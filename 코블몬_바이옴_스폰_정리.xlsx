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스폰_편집" sheetId="2" state="visible" r:id="rId2"/>
    <sheet name="포켓몬_요약" sheetId="3" state="visible" r:id="rId3"/>
    <sheet name="바이옴_요약" sheetId="4" state="visible" r:id="rId4"/>
    <sheet name="바이옴_태그" sheetId="5" state="visible" r:id="rId5"/>
    <sheet name="지역_바이옴" sheetId="6" state="visible" r:id="rId6"/>
    <sheet name="세대_기준" sheetId="7" state="visible" r:id="rId7"/>
    <sheet name="원본_메타" sheetId="8" state="visible" r:id="rId8"/>
  </sheets>
  <definedNames>
    <definedName name="_xlnm._FilterDatabase" localSheetId="1" hidden="1">'스폰_편집'!$A$4:$AT$3125</definedName>
    <definedName name="_xlnm._FilterDatabase" localSheetId="2" hidden="1">'포켓몬_요약'!$A$4:$U$1029</definedName>
    <definedName name="_xlnm._FilterDatabase" localSheetId="3" hidden="1">'바이옴_요약'!$A$4:$R$154</definedName>
    <definedName name="_xlnm._FilterDatabase" localSheetId="4" hidden="1">'바이옴_태그'!$A$4:$F$58</definedName>
    <definedName name="_xlnm._FilterDatabase" localSheetId="5" hidden="1">'지역_바이옴'!$A$4:$J$12</definedName>
    <definedName name="_xlnm._FilterDatabase" localSheetId="6" hidden="1">'세대_기준'!$A$4:$I$13</definedName>
    <definedName name="_xlnm._FilterDatabase" localSheetId="7" hidden="1">'원본_메타'!$A$4:$D$22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43247"/>
      <sz val="10"/>
    </font>
    <font>
      <name val="Aptos"/>
      <b val="1"/>
      <color rgb="00FFFFFF"/>
      <sz val="10"/>
    </font>
    <font>
      <name val="Aptos"/>
      <color rgb="00243247"/>
      <sz val="9"/>
    </font>
    <font>
      <name val="Calibri"/>
      <family val="2"/>
      <color theme="10"/>
      <sz val="12"/>
      <scheme val="minor"/>
    </font>
    <font>
      <name val="Aptos Display"/>
      <b val="1"/>
      <color rgb="00FFFFFF"/>
      <sz val="22"/>
    </font>
    <font>
      <name val="Aptos"/>
      <b val="1"/>
      <color rgb="00243247"/>
      <sz val="10"/>
    </font>
    <font>
      <name val="Aptos Display"/>
      <b val="1"/>
      <color rgb="0016324F"/>
      <sz val="20"/>
    </font>
    <font>
      <name val="Aptos Display"/>
      <b val="1"/>
      <color rgb="00FFFFFF"/>
      <sz val="14"/>
    </font>
    <font>
      <name val="Aptos"/>
      <color rgb="00243247"/>
      <sz val="11"/>
    </font>
  </fonts>
  <fills count="10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7EFFA"/>
      </patternFill>
    </fill>
    <fill>
      <patternFill patternType="solid">
        <fgColor rgb="00166B6B"/>
      </patternFill>
    </fill>
    <fill>
      <patternFill patternType="solid">
        <fgColor rgb="00FFF2CC"/>
      </patternFill>
    </fill>
    <fill>
      <patternFill patternType="solid">
        <fgColor rgb="00DDEFEF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6" fillId="2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4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2" fontId="4" fillId="5" borderId="1" applyAlignment="1" pivotButton="0" quotePrefix="0" xfId="0">
      <alignment vertical="top" wrapText="1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User</author>
  </authors>
  <commentList>
    <comment ref="B4" authorId="0" shapeId="0">
      <text>
        <t>이 행을 최종 생성 데이터에 포함할지 선택합니다.</t>
      </text>
    </comment>
    <comment ref="M4" authorId="0" shapeId="0">
      <text>
        <t>세미콜론으로 여러 세대 차원을 기록할 수 있습니다. 기본값은 중심 세대 차원입니다.</t>
      </text>
    </comment>
    <comment ref="O4" authorId="0" shapeId="0">
      <text>
        <t>현재 프로젝트 지역 ID를 직접 배정합니다. 후보는 N열을 참고합니다.</t>
      </text>
    </comment>
    <comment ref="Q4" authorId="0" shapeId="0">
      <text>
        <t>원본바이옴을 교체할 때만 입력합니다. Cobblemon 태그 또는 바이옴 ID를 세미콜론으로 구분합니다.</t>
      </text>
    </comment>
    <comment ref="V4" authorId="0" shapeId="0">
      <text>
        <t>원본 가중치에 곱할 배율입니다. 1은 변경 없음, 0은 사실상 비활성입니다.</t>
      </text>
    </comment>
    <comment ref="Y4" authorId="0" shapeId="0">
      <text>
        <t>예: 5-20. 비워두면 원본 레벨을 유지합니다.</t>
      </text>
    </comment>
    <comment ref="AT4" authorId="0" shapeId="0">
      <text>
        <t>지역 폼, 생태 예외, 밸런스 변경 사유를 기록합니다.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gitlab.com/cable-mc/cobblemon/-/tree/1.7.3" TargetMode="External" Id="rId1" /><Relationship Type="http://schemas.openxmlformats.org/officeDocument/2006/relationships/hyperlink" Target="https://www.mozilla.org/MPL/2.0/" TargetMode="External" Id="rId2" /><Relationship Type="http://schemas.openxmlformats.org/officeDocument/2006/relationships/hyperlink" Target="https://gitlab.com/cable-mc/cobblemon/-/tree/1.7.3/common/src/main/resources/data/cobblemon/spawn_pool_world" TargetMode="External" Id="rId3" /><Relationship Type="http://schemas.openxmlformats.org/officeDocument/2006/relationships/hyperlink" Target="https://gitlab.com/cable-mc/cobblemon/-/tree/1.7.3" TargetMode="External" Id="rId4" /><Relationship Type="http://schemas.openxmlformats.org/officeDocument/2006/relationships/hyperlink" Target="https://modrinth.com/modpack/cobbleverse/version/1.7.42" TargetMode="External" Id="rId5" /><Relationship Type="http://schemas.openxmlformats.org/officeDocument/2006/relationships/hyperlink" Target="https://modrinth.com/modpack/cobbleverse" TargetMode="External" Id="rId6" /><Relationship Type="http://schemas.openxmlformats.org/officeDocument/2006/relationships/hyperlink" Target="https://cdn.modrinth.com/data/Jkb29YJU/versions/4SKGla61/COBBLEVERSE%201.7.42.mrpack" TargetMode="External" Id="rId7" /><Relationship Type="http://schemas.openxmlformats.org/officeDocument/2006/relationships/hyperlink" Target="https://modrinth.com/modpack/cobbleverse/version/1.7.42" TargetMode="External" Id="rId8" /><Relationship Type="http://schemas.openxmlformats.org/officeDocument/2006/relationships/hyperlink" Target="https://modrinth.com/modpack/cobbleverse/version/1.7.42" TargetMode="External" Id="rId9" /><Relationship Type="http://schemas.openxmlformats.org/officeDocument/2006/relationships/hyperlink" Target="https://modrinth.com/modpack/cobbleverse/version/1.7.4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Cobbleventure 포켓몬 바이옴·세대 스폰 카탈로그</t>
        </is>
      </c>
    </row>
    <row r="2" ht="20" customHeight="1"/>
    <row r="4">
      <c r="A4" s="2" t="inlineStr">
        <is>
          <t>전체 포켓몬</t>
        </is>
      </c>
      <c r="C4" s="3" t="inlineStr">
        <is>
          <t>Cobblemon 구현</t>
        </is>
      </c>
      <c r="E4" s="4" t="inlineStr">
        <is>
          <t>COBBLEVERSE 자연스폰</t>
        </is>
      </c>
      <c r="G4" s="5" t="inlineStr">
        <is>
          <t>자연스폰 없음</t>
        </is>
      </c>
    </row>
    <row r="5">
      <c r="A5" s="6">
        <f>COUNTA('포켓몬_요약'!A5:A1029)</f>
        <v/>
      </c>
      <c r="C5" s="7">
        <f>COUNTIF('포켓몬_요약'!I5:I1029,"예")</f>
        <v/>
      </c>
      <c r="E5" s="8">
        <f>COUNTIF('포켓몬_요약'!K5:K1029,"예")</f>
        <v/>
      </c>
      <c r="G5" s="9">
        <f>COUNTIF('포켓몬_요약'!T5:T1029,"없음")</f>
        <v/>
      </c>
    </row>
    <row r="6"/>
    <row r="8">
      <c r="A8" s="10" t="inlineStr">
        <is>
          <t>사용 순서</t>
        </is>
      </c>
    </row>
    <row r="9" ht="34" customHeight="1">
      <c r="A9" s="11" t="inlineStr">
        <is>
          <t>1</t>
        </is>
      </c>
      <c r="B9" s="12" t="inlineStr">
        <is>
          <t>‘포켓몬_요약’에서 1,025종의 기본 세대, 구현 여부와 자연 스폰 유무를 확인합니다.</t>
        </is>
      </c>
    </row>
    <row r="10" ht="34" customHeight="1">
      <c r="A10" s="11" t="inlineStr">
        <is>
          <t>2</t>
        </is>
      </c>
      <c r="B10" s="12" t="inlineStr">
        <is>
          <t>‘바이옴_요약’과 ‘바이옴_태그’에서 실제 조건 태그와 현재 지역 바이옴의 연결을 확인합니다.</t>
        </is>
      </c>
    </row>
    <row r="11" ht="34" customHeight="1">
      <c r="A11" s="11" t="inlineStr">
        <is>
          <t>3</t>
        </is>
      </c>
      <c r="B11" s="12" t="inlineStr">
        <is>
          <t>‘스폰_편집’의 노란색 열에서 적용 여부, 허용 세대 월드, 지역, 바이옴, 가중치와 레벨을 수정합니다.</t>
        </is>
      </c>
    </row>
    <row r="12" ht="34" customHeight="1">
      <c r="A12" s="11" t="inlineStr">
        <is>
          <t>4</t>
        </is>
      </c>
      <c r="B12" s="12" t="inlineStr">
        <is>
          <t>‘지역_바이옴’에서 1세대 지역 3~8의 바이옴 풀과 스폰 프로필을 확정합니다.</t>
        </is>
      </c>
    </row>
    <row r="13" ht="34" customHeight="1">
      <c r="A13" s="11" t="inlineStr">
        <is>
          <t>5</t>
        </is>
      </c>
      <c r="B13" s="12" t="inlineStr">
        <is>
          <t>반영 시 관리키·원본파일·스폰ID로 원본 엔트리를 찾아 덮어쓰기 JSON을 생성합니다.</t>
        </is>
      </c>
    </row>
    <row r="15">
      <c r="A15" s="10" t="inlineStr">
        <is>
          <t>중요한 해석 기준</t>
        </is>
      </c>
    </row>
    <row r="16" ht="34" customHeight="1">
      <c r="A16" s="13" t="inlineStr">
        <is>
          <t>• Cobblemon 1.7.3은 1,025종의 종 JSON을 포함하지만 implemented=true는 851종입니다.</t>
        </is>
      </c>
    </row>
    <row r="17" ht="34" customHeight="1">
      <c r="A17" s="14" t="inlineStr">
        <is>
          <t>• COBBLEVERSE DP v31은 1,017종에 자연 스폰 파일을 제공합니다. 타입:널, 실버디, 멜메탈, 가라르 화석 4종, 타부자고는 자연 스폰 파일이 없습니다.</t>
        </is>
      </c>
    </row>
    <row r="18" ht="34" customHeight="1">
      <c r="A18" s="14" t="inlineStr">
        <is>
          <t>• 세대 중심 혼합 정책의 타 세대 혼합 비율은 기존 문서에서도 미결정이므로, 현재 엑셀의 기본 허용 월드는 중심 세대 1개로 시작합니다.</t>
        </is>
      </c>
    </row>
    <row r="19" ht="34" customHeight="1">
      <c r="A19" s="13" t="inlineStr">
        <is>
          <t>• COBBLEVERSE는 All Rights Reserved입니다. 이 워크북은 내부 분석·편집 참고용이며 원본 팩·자산을 재배포하지 않습니다.</t>
        </is>
      </c>
    </row>
  </sheetData>
  <mergeCells count="20">
    <mergeCell ref="B9:H9"/>
    <mergeCell ref="A15:H15"/>
    <mergeCell ref="A5:B6"/>
    <mergeCell ref="G5:H6"/>
    <mergeCell ref="C4:D4"/>
    <mergeCell ref="E4:F4"/>
    <mergeCell ref="A16:H16"/>
    <mergeCell ref="A18:H18"/>
    <mergeCell ref="B12:H12"/>
    <mergeCell ref="C5:D6"/>
    <mergeCell ref="E5:F6"/>
    <mergeCell ref="B11:H11"/>
    <mergeCell ref="A1:H2"/>
    <mergeCell ref="A8:H8"/>
    <mergeCell ref="A17:H17"/>
    <mergeCell ref="A4:B4"/>
    <mergeCell ref="G4:H4"/>
    <mergeCell ref="B13:H13"/>
    <mergeCell ref="A19:H19"/>
    <mergeCell ref="B10:H10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T3125"/>
  <sheetViews>
    <sheetView showGridLines="0" zoomScale="85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9" customWidth="1" min="4" max="4"/>
    <col width="14" customWidth="1" min="5" max="5"/>
    <col width="17" customWidth="1" min="6" max="6"/>
    <col width="34" customWidth="1" min="7" max="7"/>
    <col width="28" customWidth="1" min="8" max="8"/>
    <col width="9" customWidth="1" min="9" max="9"/>
    <col width="11" customWidth="1" min="10" max="10"/>
    <col width="9" customWidth="1" min="11" max="11"/>
    <col width="29" customWidth="1" min="12" max="12"/>
    <col width="31" customWidth="1" min="13" max="13"/>
    <col width="22" customWidth="1" min="14" max="14"/>
    <col width="18" customWidth="1" min="15" max="15"/>
    <col width="46" customWidth="1" min="16" max="16"/>
    <col width="42" customWidth="1" min="17" max="17"/>
    <col width="46" customWidth="1" min="18" max="18"/>
    <col width="38" customWidth="1" min="19" max="19"/>
    <col width="13" customWidth="1" min="20" max="20"/>
    <col width="12" customWidth="1" min="21" max="21"/>
    <col width="14" customWidth="1" min="22" max="22"/>
    <col width="12" customWidth="1" min="23" max="23"/>
    <col width="13" customWidth="1" min="24" max="24"/>
    <col width="14" customWidth="1" min="25" max="25"/>
    <col width="13" customWidth="1" min="26" max="26"/>
    <col width="18" customWidth="1" min="27" max="27"/>
    <col width="15" customWidth="1" min="28" max="28"/>
    <col width="18" customWidth="1" min="29" max="29"/>
    <col width="15" customWidth="1" min="30" max="30"/>
    <col width="18" customWidth="1" min="31" max="31"/>
    <col width="12" customWidth="1" min="32" max="32"/>
    <col width="34" customWidth="1" min="33" max="33"/>
    <col width="38" customWidth="1" min="34" max="34"/>
    <col width="44" customWidth="1" min="35" max="35"/>
    <col width="18" customWidth="1" min="36" max="36"/>
    <col width="12" customWidth="1" min="37" max="37"/>
    <col width="28" customWidth="1" min="38" max="38"/>
    <col width="52" customWidth="1" min="39" max="39"/>
    <col width="31" customWidth="1" min="40" max="40"/>
    <col width="18" customWidth="1" min="41" max="41"/>
    <col width="18" customWidth="1" min="42" max="42"/>
    <col width="55" customWidth="1" min="43" max="43"/>
    <col width="45" customWidth="1" min="44" max="44"/>
    <col width="45" customWidth="1" min="45" max="45"/>
    <col width="36" customWidth="1" min="46" max="46"/>
  </cols>
  <sheetData>
    <row r="1" ht="30" customHeight="1">
      <c r="A1" s="15" t="inlineStr">
        <is>
          <t>Cobblemon · COBBLEVERSE 바이옴별 스폰 편집표</t>
        </is>
      </c>
    </row>
    <row r="2" ht="32" customHeight="1">
      <c r="A2" s="16" t="inlineStr">
        <is>
          <t>노란색 열만 수정합니다. 빈 바이옴·레벨 덮어쓰기는 원본 유지, 가중치 배율 1은 원본 유지입니다. 지역 후보는 현재 region_01~02의 바이옴 태그를 부분 해석한 참고값입니다.</t>
        </is>
      </c>
    </row>
    <row r="4" ht="34" customHeight="1">
      <c r="A4" s="17" t="inlineStr">
        <is>
          <t>관리키</t>
        </is>
      </c>
      <c r="B4" s="17" t="inlineStr">
        <is>
          <t>적용여부_편집</t>
        </is>
      </c>
      <c r="C4" s="17" t="inlineStr">
        <is>
          <t>변경상태</t>
        </is>
      </c>
      <c r="D4" s="17" t="inlineStr">
        <is>
          <t>덱스번호</t>
        </is>
      </c>
      <c r="E4" s="17" t="inlineStr">
        <is>
          <t>한글명</t>
        </is>
      </c>
      <c r="F4" s="17" t="inlineStr">
        <is>
          <t>영문ID</t>
        </is>
      </c>
      <c r="G4" s="17" t="inlineStr">
        <is>
          <t>포켓몬선택자</t>
        </is>
      </c>
      <c r="H4" s="17" t="inlineStr">
        <is>
          <t>폼·속성</t>
        </is>
      </c>
      <c r="I4" s="17" t="inlineStr">
        <is>
          <t>기본세대</t>
        </is>
      </c>
      <c r="J4" s="17" t="inlineStr">
        <is>
          <t>폼도입세대</t>
        </is>
      </c>
      <c r="K4" s="17" t="inlineStr">
        <is>
          <t>중심세대</t>
        </is>
      </c>
      <c r="L4" s="17" t="inlineStr">
        <is>
          <t>권장차원</t>
        </is>
      </c>
      <c r="M4" s="17" t="inlineStr">
        <is>
          <t>허용세대월드_편집</t>
        </is>
      </c>
      <c r="N4" s="17" t="inlineStr">
        <is>
          <t>지역후보_추정</t>
        </is>
      </c>
      <c r="O4" s="17" t="inlineStr">
        <is>
          <t>지역배정_편집</t>
        </is>
      </c>
      <c r="P4" s="17" t="inlineStr">
        <is>
          <t>원본바이옴</t>
        </is>
      </c>
      <c r="Q4" s="17" t="inlineStr">
        <is>
          <t>바이옴_편집</t>
        </is>
      </c>
      <c r="R4" s="17" t="inlineStr">
        <is>
          <t>적용바이옴</t>
        </is>
      </c>
      <c r="S4" s="17" t="inlineStr">
        <is>
          <t>제외바이옴</t>
        </is>
      </c>
      <c r="T4" s="17" t="inlineStr">
        <is>
          <t>희귀도</t>
        </is>
      </c>
      <c r="U4" s="17" t="inlineStr">
        <is>
          <t>원본가중치</t>
        </is>
      </c>
      <c r="V4" s="17" t="inlineStr">
        <is>
          <t>가중치배율_편집</t>
        </is>
      </c>
      <c r="W4" s="17" t="inlineStr">
        <is>
          <t>적용가중치</t>
        </is>
      </c>
      <c r="X4" s="17" t="inlineStr">
        <is>
          <t>원본레벨</t>
        </is>
      </c>
      <c r="Y4" s="17" t="inlineStr">
        <is>
          <t>레벨_편집</t>
        </is>
      </c>
      <c r="Z4" s="17" t="inlineStr">
        <is>
          <t>적용레벨</t>
        </is>
      </c>
      <c r="AA4" s="17" t="inlineStr">
        <is>
          <t>위치유형</t>
        </is>
      </c>
      <c r="AB4" s="17" t="inlineStr">
        <is>
          <t>시간</t>
        </is>
      </c>
      <c r="AC4" s="17" t="inlineStr">
        <is>
          <t>날씨</t>
        </is>
      </c>
      <c r="AD4" s="17" t="inlineStr">
        <is>
          <t>Y범위</t>
        </is>
      </c>
      <c r="AE4" s="17" t="inlineStr">
        <is>
          <t>광량</t>
        </is>
      </c>
      <c r="AF4" s="17" t="inlineStr">
        <is>
          <t>하늘노출</t>
        </is>
      </c>
      <c r="AG4" s="17" t="inlineStr">
        <is>
          <t>구조물</t>
        </is>
      </c>
      <c r="AH4" s="17" t="inlineStr">
        <is>
          <t>필요블록</t>
        </is>
      </c>
      <c r="AI4" s="17" t="inlineStr">
        <is>
          <t>기타조건</t>
        </is>
      </c>
      <c r="AJ4" s="17" t="inlineStr">
        <is>
          <t>원본상태</t>
        </is>
      </c>
      <c r="AK4" s="17" t="inlineStr">
        <is>
          <t>원본활성</t>
        </is>
      </c>
      <c r="AL4" s="17" t="inlineStr">
        <is>
          <t>출처</t>
        </is>
      </c>
      <c r="AM4" s="17" t="inlineStr">
        <is>
          <t>원본파일</t>
        </is>
      </c>
      <c r="AN4" s="17" t="inlineStr">
        <is>
          <t>스폰ID</t>
        </is>
      </c>
      <c r="AO4" s="17" t="inlineStr">
        <is>
          <t>스폰타입</t>
        </is>
      </c>
      <c r="AP4" s="17" t="inlineStr">
        <is>
          <t>프리셋</t>
        </is>
      </c>
      <c r="AQ4" s="17" t="inlineStr">
        <is>
          <t>조건JSON</t>
        </is>
      </c>
      <c r="AR4" s="17" t="inlineStr">
        <is>
          <t>제외조건JSON</t>
        </is>
      </c>
      <c r="AS4" s="17" t="inlineStr">
        <is>
          <t>가중치보정JSON</t>
        </is>
      </c>
      <c r="AT4" s="17" t="inlineStr">
        <is>
          <t>메모_편집</t>
        </is>
      </c>
    </row>
    <row r="5" ht="32" customHeight="1">
      <c r="A5" s="18" t="inlineStr">
        <is>
          <t>0000_pidgey_herd.json::pidgey-herd-test::001</t>
        </is>
      </c>
      <c r="B5" s="19" t="inlineStr">
        <is>
          <t>제외</t>
        </is>
      </c>
      <c r="C5" s="18">
        <f>IF(OR(B5&lt;&gt;AK5,M5&lt;&gt;L5,O5&lt;&gt;"",Q5&lt;&gt;"",V5&lt;&gt;1,Y5&lt;&gt;"",AT5&lt;&gt;""),"수정","원본")</f>
        <v/>
      </c>
      <c r="D5" s="18" t="n"/>
      <c r="E5" s="18" t="inlineStr">
        <is>
          <t>pidgey;</t>
        </is>
      </c>
      <c r="F5" s="18" t="inlineStr">
        <is>
          <t>pidgey;</t>
        </is>
      </c>
      <c r="G5" s="18" t="inlineStr">
        <is>
          <t>pidgey; pidgeotto; pidgeotto; pidgeot</t>
        </is>
      </c>
      <c r="H5" s="18" t="inlineStr">
        <is>
          <t>pidgeotto; pidgeotto; pidgeot</t>
        </is>
      </c>
      <c r="I5" s="18" t="n"/>
      <c r="J5" s="18" t="n"/>
      <c r="K5" s="18" t="n"/>
      <c r="L5" s="18" t="inlineStr"/>
      <c r="M5" s="19" t="inlineStr"/>
      <c r="N5" s="18" t="inlineStr">
        <is>
          <t>region_01; region_02</t>
        </is>
      </c>
      <c r="O5" s="19" t="inlineStr"/>
      <c r="P5" s="18" t="inlineStr">
        <is>
          <t>#cobblemon:is_overworld</t>
        </is>
      </c>
      <c r="Q5" s="19" t="inlineStr"/>
      <c r="R5" s="18">
        <f>IF(Q5="",P5,Q5)</f>
        <v/>
      </c>
      <c r="S5" s="18" t="inlineStr"/>
      <c r="T5" s="18" t="inlineStr">
        <is>
          <t>common</t>
        </is>
      </c>
      <c r="U5" s="20" t="n">
        <v>100</v>
      </c>
      <c r="V5" s="21" t="n">
        <v>1</v>
      </c>
      <c r="W5" s="20">
        <f>IF(OR(U5="",V5=""),U5,U5*V5)</f>
        <v/>
      </c>
      <c r="X5" s="18" t="inlineStr">
        <is>
          <t>10-40</t>
        </is>
      </c>
      <c r="Y5" s="19" t="inlineStr"/>
      <c r="Z5" s="18">
        <f>IF(Y5="",X5,Y5)</f>
        <v/>
      </c>
      <c r="AA5" s="18" t="inlineStr">
        <is>
          <t>grounded</t>
        </is>
      </c>
      <c r="AB5" s="18" t="inlineStr"/>
      <c r="AC5" s="18" t="inlineStr"/>
      <c r="AD5" s="18" t="inlineStr"/>
      <c r="AE5" s="18" t="inlineStr"/>
      <c r="AF5" s="18" t="inlineStr"/>
      <c r="AG5" s="18" t="inlineStr"/>
      <c r="AH5" s="18" t="inlineStr"/>
      <c r="AI5" s="18" t="inlineStr">
        <is>
          <t>{"spawn":{"herdablePokemon":[{"levelRange":"10-40","levelRangeOffset":"-3-3","pokemon":"pidgey","weight":1},{"isLeader":true,"levelRange":"21-30","levelRangeOffset":"4-7","maxTimes":1,"pokemon":"pidgeotto","weight":1},{"isLeader":false,"levelRange":"31-40","levelRangeOffset":"-3-3","pokemon":"pidgeotto","weight":5},{"isLeader":true,"levelRange":"31-40","levelRangeOffset":"4-7","maxTimes":1,"pokemon":"pidgeot","weight":1}],"maxHerdSize":5,"minDistanceBetweenSpawns":1.5}}</t>
        </is>
      </c>
      <c r="AJ5" s="18" t="inlineStr">
        <is>
          <t>Cobblemon 전용</t>
        </is>
      </c>
      <c r="AK5" s="18" t="inlineStr">
        <is>
          <t>제외</t>
        </is>
      </c>
      <c r="AL5" s="18" t="inlineStr">
        <is>
          <t>Cobblemon 1.7.3</t>
        </is>
      </c>
      <c r="AM5" s="18" t="inlineStr">
        <is>
          <t>data/cobblemon/spawn_pool_world/0000_pidgey_herd.json</t>
        </is>
      </c>
      <c r="AN5" s="18" t="inlineStr">
        <is>
          <t>pidgey-herd-test</t>
        </is>
      </c>
      <c r="AO5" s="18" t="inlineStr">
        <is>
          <t>pokemon-herd</t>
        </is>
      </c>
      <c r="AP5" s="18" t="inlineStr">
        <is>
          <t>natural</t>
        </is>
      </c>
      <c r="AQ5" s="18" t="inlineStr">
        <is>
          <t>{"biomes":["#cobblemon:is_overworld"]}</t>
        </is>
      </c>
      <c r="AR5" s="18" t="inlineStr"/>
      <c r="AS5" s="18" t="inlineStr"/>
      <c r="AT5" s="19" t="inlineStr"/>
    </row>
    <row r="6" ht="32" customHeight="1">
      <c r="A6" s="18" t="inlineStr">
        <is>
          <t>0001_bulbasaur.json::bulbasaur-1::001</t>
        </is>
      </c>
      <c r="B6" s="19" t="inlineStr">
        <is>
          <t>사용</t>
        </is>
      </c>
      <c r="C6" s="18">
        <f>IF(OR(B6&lt;&gt;AK6,M6&lt;&gt;L6,O6&lt;&gt;"",Q6&lt;&gt;"",V6&lt;&gt;1,Y6&lt;&gt;"",AT6&lt;&gt;""),"수정","원본")</f>
        <v/>
      </c>
      <c r="D6" s="18" t="n">
        <v>1</v>
      </c>
      <c r="E6" s="18" t="inlineStr">
        <is>
          <t>이상해씨</t>
        </is>
      </c>
      <c r="F6" s="18" t="inlineStr">
        <is>
          <t>bulbasaur</t>
        </is>
      </c>
      <c r="G6" s="18" t="inlineStr">
        <is>
          <t>bulbasaur</t>
        </is>
      </c>
      <c r="H6" s="18" t="inlineStr"/>
      <c r="I6" s="18" t="n">
        <v>1</v>
      </c>
      <c r="J6" s="18" t="n"/>
      <c r="K6" s="18" t="n">
        <v>1</v>
      </c>
      <c r="L6" s="18" t="inlineStr">
        <is>
          <t>cobbleventure:generation_1</t>
        </is>
      </c>
      <c r="M6" s="19" t="inlineStr">
        <is>
          <t>cobbleventure:generation_1</t>
        </is>
      </c>
      <c r="N6" s="18" t="inlineStr"/>
      <c r="O6" s="19" t="inlineStr"/>
      <c r="P6" s="18" t="inlineStr">
        <is>
          <t>#cobblemon:is_jungle; #cobblemon:is_tropical_island</t>
        </is>
      </c>
      <c r="Q6" s="19" t="inlineStr"/>
      <c r="R6" s="18">
        <f>IF(Q6="",P6,Q6)</f>
        <v/>
      </c>
      <c r="S6" s="18" t="inlineStr"/>
      <c r="T6" s="18" t="inlineStr">
        <is>
          <t>ultra-rare</t>
        </is>
      </c>
      <c r="U6" s="20" t="n">
        <v>6</v>
      </c>
      <c r="V6" s="21" t="n">
        <v>1</v>
      </c>
      <c r="W6" s="20">
        <f>IF(OR(U6="",V6=""),U6,U6*V6)</f>
        <v/>
      </c>
      <c r="X6" s="18" t="inlineStr">
        <is>
          <t>5-32</t>
        </is>
      </c>
      <c r="Y6" s="19" t="inlineStr"/>
      <c r="Z6" s="18">
        <f>IF(Y6="",X6,Y6)</f>
        <v/>
      </c>
      <c r="AA6" s="18" t="inlineStr">
        <is>
          <t>grounded</t>
        </is>
      </c>
      <c r="AB6" s="18" t="inlineStr"/>
      <c r="AC6" s="18" t="inlineStr"/>
      <c r="AD6" s="18" t="inlineStr"/>
      <c r="AE6" s="18" t="inlineStr">
        <is>
          <t>sky 8-15</t>
        </is>
      </c>
      <c r="AF6" s="18" t="inlineStr"/>
      <c r="AG6" s="18" t="inlineStr"/>
      <c r="AH6" s="18" t="inlineStr"/>
      <c r="AI6" s="18" t="inlineStr"/>
      <c r="AJ6" s="18" t="inlineStr">
        <is>
          <t>Cobblemon 동일</t>
        </is>
      </c>
      <c r="AK6" s="18" t="inlineStr">
        <is>
          <t>사용</t>
        </is>
      </c>
      <c r="AL6" s="18" t="inlineStr">
        <is>
          <t>COBBLEVERSE 1.7.42 / DP v31</t>
        </is>
      </c>
      <c r="AM6" s="18" t="inlineStr">
        <is>
          <t>data/cobblemon/spawn_pool_world/0001_bulbasaur.json</t>
        </is>
      </c>
      <c r="AN6" s="18" t="inlineStr">
        <is>
          <t>bulbasaur-1</t>
        </is>
      </c>
      <c r="AO6" s="18" t="inlineStr">
        <is>
          <t>pokemon</t>
        </is>
      </c>
      <c r="AP6" s="18" t="inlineStr">
        <is>
          <t>natural</t>
        </is>
      </c>
      <c r="AQ6" s="18" t="inlineStr">
        <is>
          <t>{"biomes":["#cobblemon:is_jungle","#cobblemon:is_tropical_island"],"maxSkyLight":15,"minSkyLight":8}</t>
        </is>
      </c>
      <c r="AR6" s="18" t="inlineStr"/>
      <c r="AS6" s="18" t="inlineStr"/>
      <c r="AT6" s="19" t="inlineStr"/>
    </row>
    <row r="7" ht="32" customHeight="1">
      <c r="A7" s="18" t="inlineStr">
        <is>
          <t>0002_ivysaur.json::ivysaur-1::001</t>
        </is>
      </c>
      <c r="B7" s="19" t="inlineStr">
        <is>
          <t>사용</t>
        </is>
      </c>
      <c r="C7" s="18">
        <f>IF(OR(B7&lt;&gt;AK7,M7&lt;&gt;L7,O7&lt;&gt;"",Q7&lt;&gt;"",V7&lt;&gt;1,Y7&lt;&gt;"",AT7&lt;&gt;""),"수정","원본")</f>
        <v/>
      </c>
      <c r="D7" s="18" t="n">
        <v>2</v>
      </c>
      <c r="E7" s="18" t="inlineStr">
        <is>
          <t>이상해풀</t>
        </is>
      </c>
      <c r="F7" s="18" t="inlineStr">
        <is>
          <t>ivysaur</t>
        </is>
      </c>
      <c r="G7" s="18" t="inlineStr">
        <is>
          <t>ivysaur</t>
        </is>
      </c>
      <c r="H7" s="18" t="inlineStr"/>
      <c r="I7" s="18" t="n">
        <v>1</v>
      </c>
      <c r="J7" s="18" t="n"/>
      <c r="K7" s="18" t="n">
        <v>1</v>
      </c>
      <c r="L7" s="18" t="inlineStr">
        <is>
          <t>cobbleventure:generation_1</t>
        </is>
      </c>
      <c r="M7" s="19" t="inlineStr">
        <is>
          <t>cobbleventure:generation_1</t>
        </is>
      </c>
      <c r="N7" s="18" t="inlineStr"/>
      <c r="O7" s="19" t="inlineStr"/>
      <c r="P7" s="18" t="inlineStr">
        <is>
          <t>#cobblemon:is_jungle; #cobblemon:is_tropical_island</t>
        </is>
      </c>
      <c r="Q7" s="19" t="inlineStr"/>
      <c r="R7" s="18">
        <f>IF(Q7="",P7,Q7)</f>
        <v/>
      </c>
      <c r="S7" s="18" t="inlineStr"/>
      <c r="T7" s="18" t="inlineStr">
        <is>
          <t>ultra-rare</t>
        </is>
      </c>
      <c r="U7" s="20" t="n">
        <v>3.6</v>
      </c>
      <c r="V7" s="21" t="n">
        <v>1</v>
      </c>
      <c r="W7" s="20">
        <f>IF(OR(U7="",V7=""),U7,U7*V7)</f>
        <v/>
      </c>
      <c r="X7" s="18" t="inlineStr">
        <is>
          <t>16-40</t>
        </is>
      </c>
      <c r="Y7" s="19" t="inlineStr"/>
      <c r="Z7" s="18">
        <f>IF(Y7="",X7,Y7)</f>
        <v/>
      </c>
      <c r="AA7" s="18" t="inlineStr">
        <is>
          <t>grounded</t>
        </is>
      </c>
      <c r="AB7" s="18" t="inlineStr"/>
      <c r="AC7" s="18" t="inlineStr"/>
      <c r="AD7" s="18" t="inlineStr"/>
      <c r="AE7" s="18" t="inlineStr">
        <is>
          <t>sky 8-15</t>
        </is>
      </c>
      <c r="AF7" s="18" t="inlineStr"/>
      <c r="AG7" s="18" t="inlineStr"/>
      <c r="AH7" s="18" t="inlineStr"/>
      <c r="AI7" s="18" t="inlineStr"/>
      <c r="AJ7" s="18" t="inlineStr">
        <is>
          <t>Cobblemon 동일</t>
        </is>
      </c>
      <c r="AK7" s="18" t="inlineStr">
        <is>
          <t>사용</t>
        </is>
      </c>
      <c r="AL7" s="18" t="inlineStr">
        <is>
          <t>COBBLEVERSE 1.7.42 / DP v31</t>
        </is>
      </c>
      <c r="AM7" s="18" t="inlineStr">
        <is>
          <t>data/cobblemon/spawn_pool_world/0002_ivysaur.json</t>
        </is>
      </c>
      <c r="AN7" s="18" t="inlineStr">
        <is>
          <t>ivysaur-1</t>
        </is>
      </c>
      <c r="AO7" s="18" t="inlineStr">
        <is>
          <t>pokemon</t>
        </is>
      </c>
      <c r="AP7" s="18" t="inlineStr">
        <is>
          <t>natural</t>
        </is>
      </c>
      <c r="AQ7" s="18" t="inlineStr">
        <is>
          <t>{"biomes":["#cobblemon:is_jungle","#cobblemon:is_tropical_island"],"maxSkyLight":15,"minSkyLight":8}</t>
        </is>
      </c>
      <c r="AR7" s="18" t="inlineStr"/>
      <c r="AS7" s="18" t="inlineStr"/>
      <c r="AT7" s="19" t="inlineStr"/>
    </row>
    <row r="8" ht="32" customHeight="1">
      <c r="A8" s="18" t="inlineStr">
        <is>
          <t>0003_venusaur.json::venusaur-1::001</t>
        </is>
      </c>
      <c r="B8" s="19" t="inlineStr">
        <is>
          <t>사용</t>
        </is>
      </c>
      <c r="C8" s="18">
        <f>IF(OR(B8&lt;&gt;AK8,M8&lt;&gt;L8,O8&lt;&gt;"",Q8&lt;&gt;"",V8&lt;&gt;1,Y8&lt;&gt;"",AT8&lt;&gt;""),"수정","원본")</f>
        <v/>
      </c>
      <c r="D8" s="18" t="n">
        <v>3</v>
      </c>
      <c r="E8" s="18" t="inlineStr">
        <is>
          <t>이상해꽃</t>
        </is>
      </c>
      <c r="F8" s="18" t="inlineStr">
        <is>
          <t>venusaur</t>
        </is>
      </c>
      <c r="G8" s="18" t="inlineStr">
        <is>
          <t>venusaur</t>
        </is>
      </c>
      <c r="H8" s="18" t="inlineStr"/>
      <c r="I8" s="18" t="n">
        <v>1</v>
      </c>
      <c r="J8" s="18" t="n"/>
      <c r="K8" s="18" t="n">
        <v>1</v>
      </c>
      <c r="L8" s="18" t="inlineStr">
        <is>
          <t>cobbleventure:generation_1</t>
        </is>
      </c>
      <c r="M8" s="19" t="inlineStr">
        <is>
          <t>cobbleventure:generation_1</t>
        </is>
      </c>
      <c r="N8" s="18" t="inlineStr"/>
      <c r="O8" s="19" t="inlineStr"/>
      <c r="P8" s="18" t="inlineStr">
        <is>
          <t>#cobblemon:is_jungle; #cobblemon:is_tropical_island</t>
        </is>
      </c>
      <c r="Q8" s="19" t="inlineStr"/>
      <c r="R8" s="18">
        <f>IF(Q8="",P8,Q8)</f>
        <v/>
      </c>
      <c r="S8" s="18" t="inlineStr"/>
      <c r="T8" s="18" t="inlineStr">
        <is>
          <t>ultra-rare</t>
        </is>
      </c>
      <c r="U8" s="20" t="n">
        <v>0.4</v>
      </c>
      <c r="V8" s="21" t="n">
        <v>1</v>
      </c>
      <c r="W8" s="20">
        <f>IF(OR(U8="",V8=""),U8,U8*V8)</f>
        <v/>
      </c>
      <c r="X8" s="18" t="inlineStr">
        <is>
          <t>32-52</t>
        </is>
      </c>
      <c r="Y8" s="19" t="inlineStr"/>
      <c r="Z8" s="18">
        <f>IF(Y8="",X8,Y8)</f>
        <v/>
      </c>
      <c r="AA8" s="18" t="inlineStr">
        <is>
          <t>grounded</t>
        </is>
      </c>
      <c r="AB8" s="18" t="inlineStr"/>
      <c r="AC8" s="18" t="inlineStr"/>
      <c r="AD8" s="18" t="inlineStr"/>
      <c r="AE8" s="18" t="inlineStr">
        <is>
          <t>sky 8-15</t>
        </is>
      </c>
      <c r="AF8" s="18" t="inlineStr"/>
      <c r="AG8" s="18" t="inlineStr"/>
      <c r="AH8" s="18" t="inlineStr"/>
      <c r="AI8" s="18" t="inlineStr"/>
      <c r="AJ8" s="18" t="inlineStr">
        <is>
          <t>Cobblemon 동일</t>
        </is>
      </c>
      <c r="AK8" s="18" t="inlineStr">
        <is>
          <t>사용</t>
        </is>
      </c>
      <c r="AL8" s="18" t="inlineStr">
        <is>
          <t>COBBLEVERSE 1.7.42 / DP v31</t>
        </is>
      </c>
      <c r="AM8" s="18" t="inlineStr">
        <is>
          <t>data/cobblemon/spawn_pool_world/0003_venusaur.json</t>
        </is>
      </c>
      <c r="AN8" s="18" t="inlineStr">
        <is>
          <t>venusaur-1</t>
        </is>
      </c>
      <c r="AO8" s="18" t="inlineStr">
        <is>
          <t>pokemon</t>
        </is>
      </c>
      <c r="AP8" s="18" t="inlineStr">
        <is>
          <t>natural</t>
        </is>
      </c>
      <c r="AQ8" s="18" t="inlineStr">
        <is>
          <t>{"biomes":["#cobblemon:is_jungle","#cobblemon:is_tropical_island"],"maxSkyLight":15,"minSkyLight":8}</t>
        </is>
      </c>
      <c r="AR8" s="18" t="inlineStr"/>
      <c r="AS8" s="18" t="inlineStr"/>
      <c r="AT8" s="19" t="inlineStr"/>
    </row>
    <row r="9" ht="32" customHeight="1">
      <c r="A9" s="18" t="inlineStr">
        <is>
          <t>0004_charmander.json::charmander-1::001</t>
        </is>
      </c>
      <c r="B9" s="19" t="inlineStr">
        <is>
          <t>사용</t>
        </is>
      </c>
      <c r="C9" s="18">
        <f>IF(OR(B9&lt;&gt;AK9,M9&lt;&gt;L9,O9&lt;&gt;"",Q9&lt;&gt;"",V9&lt;&gt;1,Y9&lt;&gt;"",AT9&lt;&gt;""),"수정","원본")</f>
        <v/>
      </c>
      <c r="D9" s="18" t="n">
        <v>4</v>
      </c>
      <c r="E9" s="18" t="inlineStr">
        <is>
          <t>파이리</t>
        </is>
      </c>
      <c r="F9" s="18" t="inlineStr">
        <is>
          <t>charmander</t>
        </is>
      </c>
      <c r="G9" s="18" t="inlineStr">
        <is>
          <t>charmander</t>
        </is>
      </c>
      <c r="H9" s="18" t="inlineStr"/>
      <c r="I9" s="18" t="n">
        <v>1</v>
      </c>
      <c r="J9" s="18" t="n"/>
      <c r="K9" s="18" t="n">
        <v>1</v>
      </c>
      <c r="L9" s="18" t="inlineStr">
        <is>
          <t>cobbleventure:generation_1</t>
        </is>
      </c>
      <c r="M9" s="19" t="inlineStr">
        <is>
          <t>cobbleventure:generation_1</t>
        </is>
      </c>
      <c r="N9" s="18" t="inlineStr"/>
      <c r="O9" s="19" t="inlineStr"/>
      <c r="P9" s="18" t="inlineStr">
        <is>
          <t>#cobblemon:is_hills; #cobblemon:is_volcanic</t>
        </is>
      </c>
      <c r="Q9" s="19" t="inlineStr"/>
      <c r="R9" s="18">
        <f>IF(Q9="",P9,Q9)</f>
        <v/>
      </c>
      <c r="S9" s="18" t="inlineStr"/>
      <c r="T9" s="18" t="inlineStr">
        <is>
          <t>ultra-rare</t>
        </is>
      </c>
      <c r="U9" s="20" t="n">
        <v>6</v>
      </c>
      <c r="V9" s="21" t="n">
        <v>1</v>
      </c>
      <c r="W9" s="20">
        <f>IF(OR(U9="",V9=""),U9,U9*V9)</f>
        <v/>
      </c>
      <c r="X9" s="18" t="inlineStr">
        <is>
          <t>5-31</t>
        </is>
      </c>
      <c r="Y9" s="19" t="inlineStr"/>
      <c r="Z9" s="18">
        <f>IF(Y9="",X9,Y9)</f>
        <v/>
      </c>
      <c r="AA9" s="18" t="inlineStr">
        <is>
          <t>grounded</t>
        </is>
      </c>
      <c r="AB9" s="18" t="inlineStr"/>
      <c r="AC9" s="18" t="inlineStr">
        <is>
          <t>비=False</t>
        </is>
      </c>
      <c r="AD9" s="18" t="inlineStr"/>
      <c r="AE9" s="18" t="inlineStr">
        <is>
          <t>sky 8-15</t>
        </is>
      </c>
      <c r="AF9" s="18" t="inlineStr"/>
      <c r="AG9" s="18" t="inlineStr"/>
      <c r="AH9" s="18" t="inlineStr"/>
      <c r="AI9" s="18" t="inlineStr"/>
      <c r="AJ9" s="18" t="inlineStr">
        <is>
          <t>Cobblemon 동일</t>
        </is>
      </c>
      <c r="AK9" s="18" t="inlineStr">
        <is>
          <t>사용</t>
        </is>
      </c>
      <c r="AL9" s="18" t="inlineStr">
        <is>
          <t>COBBLEVERSE 1.7.42 / DP v31</t>
        </is>
      </c>
      <c r="AM9" s="18" t="inlineStr">
        <is>
          <t>data/cobblemon/spawn_pool_world/0004_charmander.json</t>
        </is>
      </c>
      <c r="AN9" s="18" t="inlineStr">
        <is>
          <t>charmander-1</t>
        </is>
      </c>
      <c r="AO9" s="18" t="inlineStr">
        <is>
          <t>pokemon</t>
        </is>
      </c>
      <c r="AP9" s="18" t="inlineStr">
        <is>
          <t>natural</t>
        </is>
      </c>
      <c r="AQ9" s="18" t="inlineStr">
        <is>
          <t>{"biomes":["#cobblemon:is_hills","#cobblemon:is_volcanic"],"isRaining":false,"maxSkyLight":15,"minSkyLight":8}</t>
        </is>
      </c>
      <c r="AR9" s="18" t="inlineStr"/>
      <c r="AS9" s="18" t="inlineStr"/>
      <c r="AT9" s="19" t="inlineStr"/>
    </row>
    <row r="10" ht="32" customHeight="1">
      <c r="A10" s="18" t="inlineStr">
        <is>
          <t>0004_charmander.json::charmander-2::002</t>
        </is>
      </c>
      <c r="B10" s="19" t="inlineStr">
        <is>
          <t>사용</t>
        </is>
      </c>
      <c r="C10" s="18">
        <f>IF(OR(B10&lt;&gt;AK10,M10&lt;&gt;L10,O10&lt;&gt;"",Q10&lt;&gt;"",V10&lt;&gt;1,Y10&lt;&gt;"",AT10&lt;&gt;""),"수정","원본")</f>
        <v/>
      </c>
      <c r="D10" s="18" t="n">
        <v>4</v>
      </c>
      <c r="E10" s="18" t="inlineStr">
        <is>
          <t>파이리</t>
        </is>
      </c>
      <c r="F10" s="18" t="inlineStr">
        <is>
          <t>charmander</t>
        </is>
      </c>
      <c r="G10" s="18" t="inlineStr">
        <is>
          <t>charmander</t>
        </is>
      </c>
      <c r="H10" s="18" t="inlineStr"/>
      <c r="I10" s="18" t="n">
        <v>1</v>
      </c>
      <c r="J10" s="18" t="n"/>
      <c r="K10" s="18" t="n">
        <v>1</v>
      </c>
      <c r="L10" s="18" t="inlineStr">
        <is>
          <t>cobbleventure:generation_1</t>
        </is>
      </c>
      <c r="M10" s="19" t="inlineStr">
        <is>
          <t>cobbleventure:generation_1</t>
        </is>
      </c>
      <c r="N10" s="18" t="inlineStr"/>
      <c r="O10" s="19" t="inlineStr"/>
      <c r="P10" s="18" t="inlineStr">
        <is>
          <t>#cobblemon:nether/is_basalt</t>
        </is>
      </c>
      <c r="Q10" s="19" t="inlineStr"/>
      <c r="R10" s="18">
        <f>IF(Q10="",P10,Q10)</f>
        <v/>
      </c>
      <c r="S10" s="18" t="inlineStr"/>
      <c r="T10" s="18" t="inlineStr">
        <is>
          <t>ultra-rare</t>
        </is>
      </c>
      <c r="U10" s="20" t="n">
        <v>6</v>
      </c>
      <c r="V10" s="21" t="n">
        <v>1</v>
      </c>
      <c r="W10" s="20">
        <f>IF(OR(U10="",V10=""),U10,U10*V10)</f>
        <v/>
      </c>
      <c r="X10" s="18" t="inlineStr">
        <is>
          <t>5-31</t>
        </is>
      </c>
      <c r="Y10" s="19" t="inlineStr"/>
      <c r="Z10" s="18">
        <f>IF(Y10="",X10,Y10)</f>
        <v/>
      </c>
      <c r="AA10" s="18" t="inlineStr">
        <is>
          <t>grounded</t>
        </is>
      </c>
      <c r="AB10" s="18" t="inlineStr"/>
      <c r="AC10" s="18" t="inlineStr"/>
      <c r="AD10" s="18" t="inlineStr"/>
      <c r="AE10" s="18" t="inlineStr"/>
      <c r="AF10" s="18" t="inlineStr"/>
      <c r="AG10" s="18" t="inlineStr"/>
      <c r="AH10" s="18" t="inlineStr"/>
      <c r="AI10" s="18" t="inlineStr"/>
      <c r="AJ10" s="18" t="inlineStr">
        <is>
          <t>Cobblemon 동일</t>
        </is>
      </c>
      <c r="AK10" s="18" t="inlineStr">
        <is>
          <t>사용</t>
        </is>
      </c>
      <c r="AL10" s="18" t="inlineStr">
        <is>
          <t>COBBLEVERSE 1.7.42 / DP v31</t>
        </is>
      </c>
      <c r="AM10" s="18" t="inlineStr">
        <is>
          <t>data/cobblemon/spawn_pool_world/0004_charmander.json</t>
        </is>
      </c>
      <c r="AN10" s="18" t="inlineStr">
        <is>
          <t>charmander-2</t>
        </is>
      </c>
      <c r="AO10" s="18" t="inlineStr">
        <is>
          <t>pokemon</t>
        </is>
      </c>
      <c r="AP10" s="18" t="inlineStr">
        <is>
          <t>natural</t>
        </is>
      </c>
      <c r="AQ10" s="18" t="inlineStr">
        <is>
          <t>{"biomes":["#cobblemon:nether/is_basalt"]}</t>
        </is>
      </c>
      <c r="AR10" s="18" t="inlineStr"/>
      <c r="AS10" s="18" t="inlineStr"/>
      <c r="AT10" s="19" t="inlineStr"/>
    </row>
    <row r="11" ht="32" customHeight="1">
      <c r="A11" s="18" t="inlineStr">
        <is>
          <t>0005_charmeleon.json::charmeleon-1::001</t>
        </is>
      </c>
      <c r="B11" s="19" t="inlineStr">
        <is>
          <t>사용</t>
        </is>
      </c>
      <c r="C11" s="18">
        <f>IF(OR(B11&lt;&gt;AK11,M11&lt;&gt;L11,O11&lt;&gt;"",Q11&lt;&gt;"",V11&lt;&gt;1,Y11&lt;&gt;"",AT11&lt;&gt;""),"수정","원본")</f>
        <v/>
      </c>
      <c r="D11" s="18" t="n">
        <v>5</v>
      </c>
      <c r="E11" s="18" t="inlineStr">
        <is>
          <t>리자드</t>
        </is>
      </c>
      <c r="F11" s="18" t="inlineStr">
        <is>
          <t>charmeleon</t>
        </is>
      </c>
      <c r="G11" s="18" t="inlineStr">
        <is>
          <t>charmeleon</t>
        </is>
      </c>
      <c r="H11" s="18" t="inlineStr"/>
      <c r="I11" s="18" t="n">
        <v>1</v>
      </c>
      <c r="J11" s="18" t="n"/>
      <c r="K11" s="18" t="n">
        <v>1</v>
      </c>
      <c r="L11" s="18" t="inlineStr">
        <is>
          <t>cobbleventure:generation_1</t>
        </is>
      </c>
      <c r="M11" s="19" t="inlineStr">
        <is>
          <t>cobbleventure:generation_1</t>
        </is>
      </c>
      <c r="N11" s="18" t="inlineStr"/>
      <c r="O11" s="19" t="inlineStr"/>
      <c r="P11" s="18" t="inlineStr">
        <is>
          <t>#cobblemon:is_hills; #cobblemon:is_volcanic</t>
        </is>
      </c>
      <c r="Q11" s="19" t="inlineStr"/>
      <c r="R11" s="18">
        <f>IF(Q11="",P11,Q11)</f>
        <v/>
      </c>
      <c r="S11" s="18" t="inlineStr"/>
      <c r="T11" s="18" t="inlineStr">
        <is>
          <t>ultra-rare</t>
        </is>
      </c>
      <c r="U11" s="20" t="n">
        <v>3.6</v>
      </c>
      <c r="V11" s="21" t="n">
        <v>1</v>
      </c>
      <c r="W11" s="20">
        <f>IF(OR(U11="",V11=""),U11,U11*V11)</f>
        <v/>
      </c>
      <c r="X11" s="18" t="inlineStr">
        <is>
          <t>16-40</t>
        </is>
      </c>
      <c r="Y11" s="19" t="inlineStr"/>
      <c r="Z11" s="18">
        <f>IF(Y11="",X11,Y11)</f>
        <v/>
      </c>
      <c r="AA11" s="18" t="inlineStr">
        <is>
          <t>grounded</t>
        </is>
      </c>
      <c r="AB11" s="18" t="inlineStr"/>
      <c r="AC11" s="18" t="inlineStr">
        <is>
          <t>비=False</t>
        </is>
      </c>
      <c r="AD11" s="18" t="inlineStr"/>
      <c r="AE11" s="18" t="inlineStr">
        <is>
          <t>sky 8-15</t>
        </is>
      </c>
      <c r="AF11" s="18" t="inlineStr"/>
      <c r="AG11" s="18" t="inlineStr"/>
      <c r="AH11" s="18" t="inlineStr"/>
      <c r="AI11" s="18" t="inlineStr"/>
      <c r="AJ11" s="18" t="inlineStr">
        <is>
          <t>Cobblemon 동일</t>
        </is>
      </c>
      <c r="AK11" s="18" t="inlineStr">
        <is>
          <t>사용</t>
        </is>
      </c>
      <c r="AL11" s="18" t="inlineStr">
        <is>
          <t>COBBLEVERSE 1.7.42 / DP v31</t>
        </is>
      </c>
      <c r="AM11" s="18" t="inlineStr">
        <is>
          <t>data/cobblemon/spawn_pool_world/0005_charmeleon.json</t>
        </is>
      </c>
      <c r="AN11" s="18" t="inlineStr">
        <is>
          <t>charmeleon-1</t>
        </is>
      </c>
      <c r="AO11" s="18" t="inlineStr">
        <is>
          <t>pokemon</t>
        </is>
      </c>
      <c r="AP11" s="18" t="inlineStr">
        <is>
          <t>natural</t>
        </is>
      </c>
      <c r="AQ11" s="18" t="inlineStr">
        <is>
          <t>{"biomes":["#cobblemon:is_hills","#cobblemon:is_volcanic"],"isRaining":false,"maxSkyLight":15,"minSkyLight":8}</t>
        </is>
      </c>
      <c r="AR11" s="18" t="inlineStr"/>
      <c r="AS11" s="18" t="inlineStr"/>
      <c r="AT11" s="19" t="inlineStr"/>
    </row>
    <row r="12" ht="32" customHeight="1">
      <c r="A12" s="18" t="inlineStr">
        <is>
          <t>0005_charmeleon.json::charmeleon-2::002</t>
        </is>
      </c>
      <c r="B12" s="19" t="inlineStr">
        <is>
          <t>사용</t>
        </is>
      </c>
      <c r="C12" s="18">
        <f>IF(OR(B12&lt;&gt;AK12,M12&lt;&gt;L12,O12&lt;&gt;"",Q12&lt;&gt;"",V12&lt;&gt;1,Y12&lt;&gt;"",AT12&lt;&gt;""),"수정","원본")</f>
        <v/>
      </c>
      <c r="D12" s="18" t="n">
        <v>5</v>
      </c>
      <c r="E12" s="18" t="inlineStr">
        <is>
          <t>리자드</t>
        </is>
      </c>
      <c r="F12" s="18" t="inlineStr">
        <is>
          <t>charmeleon</t>
        </is>
      </c>
      <c r="G12" s="18" t="inlineStr">
        <is>
          <t>charmeleon</t>
        </is>
      </c>
      <c r="H12" s="18" t="inlineStr"/>
      <c r="I12" s="18" t="n">
        <v>1</v>
      </c>
      <c r="J12" s="18" t="n"/>
      <c r="K12" s="18" t="n">
        <v>1</v>
      </c>
      <c r="L12" s="18" t="inlineStr">
        <is>
          <t>cobbleventure:generation_1</t>
        </is>
      </c>
      <c r="M12" s="19" t="inlineStr">
        <is>
          <t>cobbleventure:generation_1</t>
        </is>
      </c>
      <c r="N12" s="18" t="inlineStr"/>
      <c r="O12" s="19" t="inlineStr"/>
      <c r="P12" s="18" t="inlineStr">
        <is>
          <t>#cobblemon:nether/is_basalt</t>
        </is>
      </c>
      <c r="Q12" s="19" t="inlineStr"/>
      <c r="R12" s="18">
        <f>IF(Q12="",P12,Q12)</f>
        <v/>
      </c>
      <c r="S12" s="18" t="inlineStr"/>
      <c r="T12" s="18" t="inlineStr">
        <is>
          <t>ultra-rare</t>
        </is>
      </c>
      <c r="U12" s="20" t="n">
        <v>3.6</v>
      </c>
      <c r="V12" s="21" t="n">
        <v>1</v>
      </c>
      <c r="W12" s="20">
        <f>IF(OR(U12="",V12=""),U12,U12*V12)</f>
        <v/>
      </c>
      <c r="X12" s="18" t="inlineStr">
        <is>
          <t>16-40</t>
        </is>
      </c>
      <c r="Y12" s="19" t="inlineStr"/>
      <c r="Z12" s="18">
        <f>IF(Y12="",X12,Y12)</f>
        <v/>
      </c>
      <c r="AA12" s="18" t="inlineStr">
        <is>
          <t>grounded</t>
        </is>
      </c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  <c r="AJ12" s="18" t="inlineStr">
        <is>
          <t>Cobblemon 동일</t>
        </is>
      </c>
      <c r="AK12" s="18" t="inlineStr">
        <is>
          <t>사용</t>
        </is>
      </c>
      <c r="AL12" s="18" t="inlineStr">
        <is>
          <t>COBBLEVERSE 1.7.42 / DP v31</t>
        </is>
      </c>
      <c r="AM12" s="18" t="inlineStr">
        <is>
          <t>data/cobblemon/spawn_pool_world/0005_charmeleon.json</t>
        </is>
      </c>
      <c r="AN12" s="18" t="inlineStr">
        <is>
          <t>charmeleon-2</t>
        </is>
      </c>
      <c r="AO12" s="18" t="inlineStr">
        <is>
          <t>pokemon</t>
        </is>
      </c>
      <c r="AP12" s="18" t="inlineStr">
        <is>
          <t>natural</t>
        </is>
      </c>
      <c r="AQ12" s="18" t="inlineStr">
        <is>
          <t>{"biomes":["#cobblemon:nether/is_basalt"]}</t>
        </is>
      </c>
      <c r="AR12" s="18" t="inlineStr"/>
      <c r="AS12" s="18" t="inlineStr"/>
      <c r="AT12" s="19" t="inlineStr"/>
    </row>
    <row r="13" ht="32" customHeight="1">
      <c r="A13" s="18" t="inlineStr">
        <is>
          <t>0006_charizard.json::charizard-1::001</t>
        </is>
      </c>
      <c r="B13" s="19" t="inlineStr">
        <is>
          <t>사용</t>
        </is>
      </c>
      <c r="C13" s="18">
        <f>IF(OR(B13&lt;&gt;AK13,M13&lt;&gt;L13,O13&lt;&gt;"",Q13&lt;&gt;"",V13&lt;&gt;1,Y13&lt;&gt;"",AT13&lt;&gt;""),"수정","원본")</f>
        <v/>
      </c>
      <c r="D13" s="18" t="n">
        <v>6</v>
      </c>
      <c r="E13" s="18" t="inlineStr">
        <is>
          <t>리자몽</t>
        </is>
      </c>
      <c r="F13" s="18" t="inlineStr">
        <is>
          <t>charizard</t>
        </is>
      </c>
      <c r="G13" s="18" t="inlineStr">
        <is>
          <t>charizard</t>
        </is>
      </c>
      <c r="H13" s="18" t="inlineStr"/>
      <c r="I13" s="18" t="n">
        <v>1</v>
      </c>
      <c r="J13" s="18" t="n"/>
      <c r="K13" s="18" t="n">
        <v>1</v>
      </c>
      <c r="L13" s="18" t="inlineStr">
        <is>
          <t>cobbleventure:generation_1</t>
        </is>
      </c>
      <c r="M13" s="19" t="inlineStr">
        <is>
          <t>cobbleventure:generation_1</t>
        </is>
      </c>
      <c r="N13" s="18" t="inlineStr"/>
      <c r="O13" s="19" t="inlineStr"/>
      <c r="P13" s="18" t="inlineStr">
        <is>
          <t>#cobblemon:is_hills; #cobblemon:is_volcanic</t>
        </is>
      </c>
      <c r="Q13" s="19" t="inlineStr"/>
      <c r="R13" s="18">
        <f>IF(Q13="",P13,Q13)</f>
        <v/>
      </c>
      <c r="S13" s="18" t="inlineStr"/>
      <c r="T13" s="18" t="inlineStr">
        <is>
          <t>ultra-rare</t>
        </is>
      </c>
      <c r="U13" s="20" t="n">
        <v>0.4</v>
      </c>
      <c r="V13" s="21" t="n">
        <v>1</v>
      </c>
      <c r="W13" s="20">
        <f>IF(OR(U13="",V13=""),U13,U13*V13)</f>
        <v/>
      </c>
      <c r="X13" s="18" t="inlineStr">
        <is>
          <t>36-53</t>
        </is>
      </c>
      <c r="Y13" s="19" t="inlineStr"/>
      <c r="Z13" s="18">
        <f>IF(Y13="",X13,Y13)</f>
        <v/>
      </c>
      <c r="AA13" s="18" t="inlineStr">
        <is>
          <t>grounded</t>
        </is>
      </c>
      <c r="AB13" s="18" t="inlineStr"/>
      <c r="AC13" s="18" t="inlineStr">
        <is>
          <t>비=False</t>
        </is>
      </c>
      <c r="AD13" s="18" t="inlineStr"/>
      <c r="AE13" s="18" t="inlineStr">
        <is>
          <t>sky 8-15</t>
        </is>
      </c>
      <c r="AF13" s="18" t="inlineStr"/>
      <c r="AG13" s="18" t="inlineStr"/>
      <c r="AH13" s="18" t="inlineStr"/>
      <c r="AI13" s="18" t="inlineStr"/>
      <c r="AJ13" s="18" t="inlineStr">
        <is>
          <t>Cobblemon 동일</t>
        </is>
      </c>
      <c r="AK13" s="18" t="inlineStr">
        <is>
          <t>사용</t>
        </is>
      </c>
      <c r="AL13" s="18" t="inlineStr">
        <is>
          <t>COBBLEVERSE 1.7.42 / DP v31</t>
        </is>
      </c>
      <c r="AM13" s="18" t="inlineStr">
        <is>
          <t>data/cobblemon/spawn_pool_world/0006_charizard.json</t>
        </is>
      </c>
      <c r="AN13" s="18" t="inlineStr">
        <is>
          <t>charizard-1</t>
        </is>
      </c>
      <c r="AO13" s="18" t="inlineStr">
        <is>
          <t>pokemon</t>
        </is>
      </c>
      <c r="AP13" s="18" t="inlineStr">
        <is>
          <t>natural</t>
        </is>
      </c>
      <c r="AQ13" s="18" t="inlineStr">
        <is>
          <t>{"biomes":["#cobblemon:is_hills","#cobblemon:is_volcanic"],"isRaining":false,"maxSkyLight":15,"minSkyLight":8}</t>
        </is>
      </c>
      <c r="AR13" s="18" t="inlineStr"/>
      <c r="AS13" s="18" t="inlineStr"/>
      <c r="AT13" s="19" t="inlineStr"/>
    </row>
    <row r="14" ht="32" customHeight="1">
      <c r="A14" s="18" t="inlineStr">
        <is>
          <t>0006_charizard.json::charizard-2::002</t>
        </is>
      </c>
      <c r="B14" s="19" t="inlineStr">
        <is>
          <t>사용</t>
        </is>
      </c>
      <c r="C14" s="18">
        <f>IF(OR(B14&lt;&gt;AK14,M14&lt;&gt;L14,O14&lt;&gt;"",Q14&lt;&gt;"",V14&lt;&gt;1,Y14&lt;&gt;"",AT14&lt;&gt;""),"수정","원본")</f>
        <v/>
      </c>
      <c r="D14" s="18" t="n">
        <v>6</v>
      </c>
      <c r="E14" s="18" t="inlineStr">
        <is>
          <t>리자몽</t>
        </is>
      </c>
      <c r="F14" s="18" t="inlineStr">
        <is>
          <t>charizard</t>
        </is>
      </c>
      <c r="G14" s="18" t="inlineStr">
        <is>
          <t>charizard</t>
        </is>
      </c>
      <c r="H14" s="18" t="inlineStr"/>
      <c r="I14" s="18" t="n">
        <v>1</v>
      </c>
      <c r="J14" s="18" t="n"/>
      <c r="K14" s="18" t="n">
        <v>1</v>
      </c>
      <c r="L14" s="18" t="inlineStr">
        <is>
          <t>cobbleventure:generation_1</t>
        </is>
      </c>
      <c r="M14" s="19" t="inlineStr">
        <is>
          <t>cobbleventure:generation_1</t>
        </is>
      </c>
      <c r="N14" s="18" t="inlineStr"/>
      <c r="O14" s="19" t="inlineStr"/>
      <c r="P14" s="18" t="inlineStr">
        <is>
          <t>#cobblemon:nether/is_basalt</t>
        </is>
      </c>
      <c r="Q14" s="19" t="inlineStr"/>
      <c r="R14" s="18">
        <f>IF(Q14="",P14,Q14)</f>
        <v/>
      </c>
      <c r="S14" s="18" t="inlineStr"/>
      <c r="T14" s="18" t="inlineStr">
        <is>
          <t>ultra-rare</t>
        </is>
      </c>
      <c r="U14" s="20" t="n">
        <v>0.4</v>
      </c>
      <c r="V14" s="21" t="n">
        <v>1</v>
      </c>
      <c r="W14" s="20">
        <f>IF(OR(U14="",V14=""),U14,U14*V14)</f>
        <v/>
      </c>
      <c r="X14" s="18" t="inlineStr">
        <is>
          <t>36-53</t>
        </is>
      </c>
      <c r="Y14" s="19" t="inlineStr"/>
      <c r="Z14" s="18">
        <f>IF(Y14="",X14,Y14)</f>
        <v/>
      </c>
      <c r="AA14" s="18" t="inlineStr">
        <is>
          <t>grounded</t>
        </is>
      </c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>
        <is>
          <t>Cobblemon 동일</t>
        </is>
      </c>
      <c r="AK14" s="18" t="inlineStr">
        <is>
          <t>사용</t>
        </is>
      </c>
      <c r="AL14" s="18" t="inlineStr">
        <is>
          <t>COBBLEVERSE 1.7.42 / DP v31</t>
        </is>
      </c>
      <c r="AM14" s="18" t="inlineStr">
        <is>
          <t>data/cobblemon/spawn_pool_world/0006_charizard.json</t>
        </is>
      </c>
      <c r="AN14" s="18" t="inlineStr">
        <is>
          <t>charizard-2</t>
        </is>
      </c>
      <c r="AO14" s="18" t="inlineStr">
        <is>
          <t>pokemon</t>
        </is>
      </c>
      <c r="AP14" s="18" t="inlineStr">
        <is>
          <t>natural</t>
        </is>
      </c>
      <c r="AQ14" s="18" t="inlineStr">
        <is>
          <t>{"biomes":["#cobblemon:nether/is_basalt"]}</t>
        </is>
      </c>
      <c r="AR14" s="18" t="inlineStr"/>
      <c r="AS14" s="18" t="inlineStr"/>
      <c r="AT14" s="19" t="inlineStr"/>
    </row>
    <row r="15" ht="32" customHeight="1">
      <c r="A15" s="18" t="inlineStr">
        <is>
          <t>0007_squirtle.json::squirtle-1::001</t>
        </is>
      </c>
      <c r="B15" s="19" t="inlineStr">
        <is>
          <t>사용</t>
        </is>
      </c>
      <c r="C15" s="18">
        <f>IF(OR(B15&lt;&gt;AK15,M15&lt;&gt;L15,O15&lt;&gt;"",Q15&lt;&gt;"",V15&lt;&gt;1,Y15&lt;&gt;"",AT15&lt;&gt;""),"수정","원본")</f>
        <v/>
      </c>
      <c r="D15" s="18" t="n">
        <v>7</v>
      </c>
      <c r="E15" s="18" t="inlineStr">
        <is>
          <t>꼬부기</t>
        </is>
      </c>
      <c r="F15" s="18" t="inlineStr">
        <is>
          <t>squirtle</t>
        </is>
      </c>
      <c r="G15" s="18" t="inlineStr">
        <is>
          <t>squirtle</t>
        </is>
      </c>
      <c r="H15" s="18" t="inlineStr"/>
      <c r="I15" s="18" t="n">
        <v>1</v>
      </c>
      <c r="J15" s="18" t="n"/>
      <c r="K15" s="18" t="n">
        <v>1</v>
      </c>
      <c r="L15" s="18" t="inlineStr">
        <is>
          <t>cobbleventure:generation_1</t>
        </is>
      </c>
      <c r="M15" s="19" t="inlineStr">
        <is>
          <t>cobbleventure:generation_1</t>
        </is>
      </c>
      <c r="N15" s="18" t="inlineStr">
        <is>
          <t>region_01; region_02</t>
        </is>
      </c>
      <c r="O15" s="19" t="inlineStr"/>
      <c r="P15" s="18" t="inlineStr">
        <is>
          <t>#cobblemon:is_freshwater; #cobblemon:is_hills; #cobblemon:is_jungle; #cobblemon:is_temperate; #cobblemon:is_tropical_island</t>
        </is>
      </c>
      <c r="Q15" s="19" t="inlineStr"/>
      <c r="R15" s="18">
        <f>IF(Q15="",P15,Q15)</f>
        <v/>
      </c>
      <c r="S15" s="18" t="inlineStr">
        <is>
          <t>#cobblemon:is_freezing</t>
        </is>
      </c>
      <c r="T15" s="18" t="inlineStr">
        <is>
          <t>ultra-rare</t>
        </is>
      </c>
      <c r="U15" s="20" t="n">
        <v>6</v>
      </c>
      <c r="V15" s="21" t="n">
        <v>1</v>
      </c>
      <c r="W15" s="20">
        <f>IF(OR(U15="",V15=""),U15,U15*V15)</f>
        <v/>
      </c>
      <c r="X15" s="18" t="inlineStr">
        <is>
          <t>5-31</t>
        </is>
      </c>
      <c r="Y15" s="19" t="inlineStr"/>
      <c r="Z15" s="18">
        <f>IF(Y15="",X15,Y15)</f>
        <v/>
      </c>
      <c r="AA15" s="18" t="inlineStr">
        <is>
          <t>grounded</t>
        </is>
      </c>
      <c r="AB15" s="18" t="inlineStr"/>
      <c r="AC15" s="18" t="inlineStr"/>
      <c r="AD15" s="18" t="inlineStr"/>
      <c r="AE15" s="18" t="inlineStr">
        <is>
          <t>sky 8-15</t>
        </is>
      </c>
      <c r="AF15" s="18" t="inlineStr"/>
      <c r="AG15" s="18" t="inlineStr"/>
      <c r="AH15" s="18" t="inlineStr">
        <is>
          <t>주변=minecraft:water</t>
        </is>
      </c>
      <c r="AI15" s="18" t="inlineStr"/>
      <c r="AJ15" s="18" t="inlineStr">
        <is>
          <t>Cobblemon 동일</t>
        </is>
      </c>
      <c r="AK15" s="18" t="inlineStr">
        <is>
          <t>사용</t>
        </is>
      </c>
      <c r="AL15" s="18" t="inlineStr">
        <is>
          <t>COBBLEVERSE 1.7.42 / DP v31</t>
        </is>
      </c>
      <c r="AM15" s="18" t="inlineStr">
        <is>
          <t>data/cobblemon/spawn_pool_world/0007_squirtle.json</t>
        </is>
      </c>
      <c r="AN15" s="18" t="inlineStr">
        <is>
          <t>squirtle-1</t>
        </is>
      </c>
      <c r="AO15" s="18" t="inlineStr">
        <is>
          <t>pokemon</t>
        </is>
      </c>
      <c r="AP15" s="18" t="inlineStr">
        <is>
          <t>natural</t>
        </is>
      </c>
      <c r="AQ15" s="18" t="inlineStr">
        <is>
          <t>{"biomes":["#cobblemon:is_freshwater","#cobblemon:is_hills","#cobblemon:is_jungle","#cobblemon:is_temperate","#cobblemon:is_tropical_island"],"maxSkyLight":15,"minSkyLight":8,"neededNearbyBlocks":["minecraft:water"]}</t>
        </is>
      </c>
      <c r="AR15" s="18" t="inlineStr">
        <is>
          <t>{"biomes":["#cobblemon:is_freezing"]}</t>
        </is>
      </c>
      <c r="AS15" s="18" t="inlineStr"/>
      <c r="AT15" s="19" t="inlineStr"/>
    </row>
    <row r="16" ht="32" customHeight="1">
      <c r="A16" s="18" t="inlineStr">
        <is>
          <t>0007_squirtle.json::squirtle-2::002</t>
        </is>
      </c>
      <c r="B16" s="19" t="inlineStr">
        <is>
          <t>사용</t>
        </is>
      </c>
      <c r="C16" s="18">
        <f>IF(OR(B16&lt;&gt;AK16,M16&lt;&gt;L16,O16&lt;&gt;"",Q16&lt;&gt;"",V16&lt;&gt;1,Y16&lt;&gt;"",AT16&lt;&gt;""),"수정","원본")</f>
        <v/>
      </c>
      <c r="D16" s="18" t="n">
        <v>7</v>
      </c>
      <c r="E16" s="18" t="inlineStr">
        <is>
          <t>꼬부기</t>
        </is>
      </c>
      <c r="F16" s="18" t="inlineStr">
        <is>
          <t>squirtle</t>
        </is>
      </c>
      <c r="G16" s="18" t="inlineStr">
        <is>
          <t>squirtle</t>
        </is>
      </c>
      <c r="H16" s="18" t="inlineStr"/>
      <c r="I16" s="18" t="n">
        <v>1</v>
      </c>
      <c r="J16" s="18" t="n"/>
      <c r="K16" s="18" t="n">
        <v>1</v>
      </c>
      <c r="L16" s="18" t="inlineStr">
        <is>
          <t>cobbleventure:generation_1</t>
        </is>
      </c>
      <c r="M16" s="19" t="inlineStr">
        <is>
          <t>cobbleventure:generation_1</t>
        </is>
      </c>
      <c r="N16" s="18" t="inlineStr">
        <is>
          <t>region_01; region_02</t>
        </is>
      </c>
      <c r="O16" s="19" t="inlineStr"/>
      <c r="P16" s="18" t="inlineStr">
        <is>
          <t>#cobblemon:is_freshwater; #cobblemon:is_hills; #cobblemon:is_jungle; #cobblemon:is_temperate; #cobblemon:is_tropical_island</t>
        </is>
      </c>
      <c r="Q16" s="19" t="inlineStr"/>
      <c r="R16" s="18">
        <f>IF(Q16="",P16,Q16)</f>
        <v/>
      </c>
      <c r="S16" s="18" t="inlineStr">
        <is>
          <t>#cobblemon:is_freezing</t>
        </is>
      </c>
      <c r="T16" s="18" t="inlineStr">
        <is>
          <t>ultra-rare</t>
        </is>
      </c>
      <c r="U16" s="20" t="n">
        <v>6</v>
      </c>
      <c r="V16" s="21" t="n">
        <v>1</v>
      </c>
      <c r="W16" s="20">
        <f>IF(OR(U16="",V16=""),U16,U16*V16)</f>
        <v/>
      </c>
      <c r="X16" s="18" t="inlineStr">
        <is>
          <t>5-31</t>
        </is>
      </c>
      <c r="Y16" s="19" t="inlineStr"/>
      <c r="Z16" s="18">
        <f>IF(Y16="",X16,Y16)</f>
        <v/>
      </c>
      <c r="AA16" s="18" t="inlineStr">
        <is>
          <t>submerged</t>
        </is>
      </c>
      <c r="AB16" s="18" t="inlineStr"/>
      <c r="AC16" s="18" t="inlineStr"/>
      <c r="AD16" s="18" t="inlineStr"/>
      <c r="AE16" s="18" t="inlineStr"/>
      <c r="AF16" s="18" t="inlineStr">
        <is>
          <t>True</t>
        </is>
      </c>
      <c r="AG16" s="18" t="inlineStr"/>
      <c r="AH16" s="18" t="inlineStr"/>
      <c r="AI16" s="18" t="inlineStr"/>
      <c r="AJ16" s="18" t="inlineStr">
        <is>
          <t>Cobblemon 동일</t>
        </is>
      </c>
      <c r="AK16" s="18" t="inlineStr">
        <is>
          <t>사용</t>
        </is>
      </c>
      <c r="AL16" s="18" t="inlineStr">
        <is>
          <t>COBBLEVERSE 1.7.42 / DP v31</t>
        </is>
      </c>
      <c r="AM16" s="18" t="inlineStr">
        <is>
          <t>data/cobblemon/spawn_pool_world/0007_squirtle.json</t>
        </is>
      </c>
      <c r="AN16" s="18" t="inlineStr">
        <is>
          <t>squirtle-2</t>
        </is>
      </c>
      <c r="AO16" s="18" t="inlineStr">
        <is>
          <t>pokemon</t>
        </is>
      </c>
      <c r="AP16" s="18" t="inlineStr">
        <is>
          <t>water</t>
        </is>
      </c>
      <c r="AQ16" s="18" t="inlineStr">
        <is>
          <t>{"biomes":["#cobblemon:is_freshwater","#cobblemon:is_hills","#cobblemon:is_jungle","#cobblemon:is_temperate","#cobblemon:is_tropical_island"],"canSeeSky":true}</t>
        </is>
      </c>
      <c r="AR16" s="18" t="inlineStr">
        <is>
          <t>{"biomes":["#cobblemon:is_freezing"]}</t>
        </is>
      </c>
      <c r="AS16" s="18" t="inlineStr"/>
      <c r="AT16" s="19" t="inlineStr"/>
    </row>
    <row r="17" ht="32" customHeight="1">
      <c r="A17" s="18" t="inlineStr">
        <is>
          <t>0007_squirtle.json::squirtle-3::003</t>
        </is>
      </c>
      <c r="B17" s="19" t="inlineStr">
        <is>
          <t>사용</t>
        </is>
      </c>
      <c r="C17" s="18">
        <f>IF(OR(B17&lt;&gt;AK17,M17&lt;&gt;L17,O17&lt;&gt;"",Q17&lt;&gt;"",V17&lt;&gt;1,Y17&lt;&gt;"",AT17&lt;&gt;""),"수정","원본")</f>
        <v/>
      </c>
      <c r="D17" s="18" t="n">
        <v>7</v>
      </c>
      <c r="E17" s="18" t="inlineStr">
        <is>
          <t>꼬부기</t>
        </is>
      </c>
      <c r="F17" s="18" t="inlineStr">
        <is>
          <t>squirtle</t>
        </is>
      </c>
      <c r="G17" s="18" t="inlineStr">
        <is>
          <t>squirtle</t>
        </is>
      </c>
      <c r="H17" s="18" t="inlineStr"/>
      <c r="I17" s="18" t="n">
        <v>1</v>
      </c>
      <c r="J17" s="18" t="n"/>
      <c r="K17" s="18" t="n">
        <v>1</v>
      </c>
      <c r="L17" s="18" t="inlineStr">
        <is>
          <t>cobbleventure:generation_1</t>
        </is>
      </c>
      <c r="M17" s="19" t="inlineStr">
        <is>
          <t>cobbleventure:generation_1</t>
        </is>
      </c>
      <c r="N17" s="18" t="inlineStr">
        <is>
          <t>region_01; region_02</t>
        </is>
      </c>
      <c r="O17" s="19" t="inlineStr"/>
      <c r="P17" s="18" t="inlineStr">
        <is>
          <t>#cobblemon:is_freshwater; #cobblemon:is_hills; #cobblemon:is_jungle; #cobblemon:is_temperate; #cobblemon:is_tropical_island</t>
        </is>
      </c>
      <c r="Q17" s="19" t="inlineStr"/>
      <c r="R17" s="18">
        <f>IF(Q17="",P17,Q17)</f>
        <v/>
      </c>
      <c r="S17" s="18" t="inlineStr">
        <is>
          <t>#cobblemon:is_freezing</t>
        </is>
      </c>
      <c r="T17" s="18" t="inlineStr">
        <is>
          <t>ultra-rare</t>
        </is>
      </c>
      <c r="U17" s="20" t="n">
        <v>6</v>
      </c>
      <c r="V17" s="21" t="n">
        <v>1</v>
      </c>
      <c r="W17" s="20">
        <f>IF(OR(U17="",V17=""),U17,U17*V17)</f>
        <v/>
      </c>
      <c r="X17" s="18" t="inlineStr">
        <is>
          <t>5-31</t>
        </is>
      </c>
      <c r="Y17" s="19" t="inlineStr"/>
      <c r="Z17" s="18">
        <f>IF(Y17="",X17,Y17)</f>
        <v/>
      </c>
      <c r="AA17" s="18" t="inlineStr">
        <is>
          <t>fishing</t>
        </is>
      </c>
      <c r="AB17" s="18" t="inlineStr"/>
      <c r="AC17" s="18" t="inlineStr"/>
      <c r="AD17" s="18" t="inlineStr"/>
      <c r="AE17" s="18" t="inlineStr"/>
      <c r="AF17" s="18" t="inlineStr">
        <is>
          <t>True</t>
        </is>
      </c>
      <c r="AG17" s="18" t="inlineStr"/>
      <c r="AH17" s="18" t="inlineStr"/>
      <c r="AI17" s="18" t="inlineStr"/>
      <c r="AJ17" s="18" t="inlineStr">
        <is>
          <t>Cobblemon 동일</t>
        </is>
      </c>
      <c r="AK17" s="18" t="inlineStr">
        <is>
          <t>사용</t>
        </is>
      </c>
      <c r="AL17" s="18" t="inlineStr">
        <is>
          <t>COBBLEVERSE 1.7.42 / DP v31</t>
        </is>
      </c>
      <c r="AM17" s="18" t="inlineStr">
        <is>
          <t>data/cobblemon/spawn_pool_world/0007_squirtle.json</t>
        </is>
      </c>
      <c r="AN17" s="18" t="inlineStr">
        <is>
          <t>squirtle-3</t>
        </is>
      </c>
      <c r="AO17" s="18" t="inlineStr">
        <is>
          <t>pokemon</t>
        </is>
      </c>
      <c r="AP17" s="18" t="inlineStr"/>
      <c r="AQ17" s="18" t="inlineStr">
        <is>
          <t>{"biomes":["#cobblemon:is_freshwater","#cobblemon:is_hills","#cobblemon:is_jungle","#cobblemon:is_temperate","#cobblemon:is_tropical_island"],"canSeeSky":true}</t>
        </is>
      </c>
      <c r="AR17" s="18" t="inlineStr">
        <is>
          <t>{"biomes":["#cobblemon:is_freezing"]}</t>
        </is>
      </c>
      <c r="AS17" s="18" t="inlineStr"/>
      <c r="AT17" s="19" t="inlineStr"/>
    </row>
    <row r="18" ht="32" customHeight="1">
      <c r="A18" s="18" t="inlineStr">
        <is>
          <t>0007_squirtle.json::squirtle-4::004</t>
        </is>
      </c>
      <c r="B18" s="19" t="inlineStr">
        <is>
          <t>사용</t>
        </is>
      </c>
      <c r="C18" s="18">
        <f>IF(OR(B18&lt;&gt;AK18,M18&lt;&gt;L18,O18&lt;&gt;"",Q18&lt;&gt;"",V18&lt;&gt;1,Y18&lt;&gt;"",AT18&lt;&gt;""),"수정","원본")</f>
        <v/>
      </c>
      <c r="D18" s="18" t="n">
        <v>7</v>
      </c>
      <c r="E18" s="18" t="inlineStr">
        <is>
          <t>꼬부기</t>
        </is>
      </c>
      <c r="F18" s="18" t="inlineStr">
        <is>
          <t>squirtle</t>
        </is>
      </c>
      <c r="G18" s="18" t="inlineStr">
        <is>
          <t>squirtle</t>
        </is>
      </c>
      <c r="H18" s="18" t="inlineStr"/>
      <c r="I18" s="18" t="n">
        <v>1</v>
      </c>
      <c r="J18" s="18" t="n"/>
      <c r="K18" s="18" t="n">
        <v>1</v>
      </c>
      <c r="L18" s="18" t="inlineStr">
        <is>
          <t>cobbleventure:generation_1</t>
        </is>
      </c>
      <c r="M18" s="19" t="inlineStr">
        <is>
          <t>cobbleventure:generation_1</t>
        </is>
      </c>
      <c r="N18" s="18" t="inlineStr">
        <is>
          <t>region_01; region_02</t>
        </is>
      </c>
      <c r="O18" s="19" t="inlineStr"/>
      <c r="P18" s="18" t="inlineStr">
        <is>
          <t>#cobblemon:is_freshwater; #cobblemon:is_hills; #cobblemon:is_jungle; #cobblemon:is_temperate; #cobblemon:is_tropical_island</t>
        </is>
      </c>
      <c r="Q18" s="19" t="inlineStr"/>
      <c r="R18" s="18">
        <f>IF(Q18="",P18,Q18)</f>
        <v/>
      </c>
      <c r="S18" s="18" t="inlineStr">
        <is>
          <t>#cobblemon:is_freezing</t>
        </is>
      </c>
      <c r="T18" s="18" t="inlineStr">
        <is>
          <t>ultra-rare</t>
        </is>
      </c>
      <c r="U18" s="20" t="n">
        <v>6</v>
      </c>
      <c r="V18" s="21" t="n">
        <v>1</v>
      </c>
      <c r="W18" s="20">
        <f>IF(OR(U18="",V18=""),U18,U18*V18)</f>
        <v/>
      </c>
      <c r="X18" s="18" t="inlineStr">
        <is>
          <t>5-31</t>
        </is>
      </c>
      <c r="Y18" s="19" t="inlineStr"/>
      <c r="Z18" s="18">
        <f>IF(Y18="",X18,Y18)</f>
        <v/>
      </c>
      <c r="AA18" s="18" t="inlineStr">
        <is>
          <t>submerged</t>
        </is>
      </c>
      <c r="AB18" s="18" t="inlineStr"/>
      <c r="AC18" s="18" t="inlineStr"/>
      <c r="AD18" s="18" t="inlineStr"/>
      <c r="AE18" s="18" t="inlineStr">
        <is>
          <t>sky 8-15</t>
        </is>
      </c>
      <c r="AF18" s="18" t="inlineStr">
        <is>
          <t>False</t>
        </is>
      </c>
      <c r="AG18" s="18" t="inlineStr"/>
      <c r="AH18" s="18" t="inlineStr"/>
      <c r="AI18" s="18" t="inlineStr"/>
      <c r="AJ18" s="18" t="inlineStr">
        <is>
          <t>Cobblemon 동일</t>
        </is>
      </c>
      <c r="AK18" s="18" t="inlineStr">
        <is>
          <t>사용</t>
        </is>
      </c>
      <c r="AL18" s="18" t="inlineStr">
        <is>
          <t>COBBLEVERSE 1.7.42 / DP v31</t>
        </is>
      </c>
      <c r="AM18" s="18" t="inlineStr">
        <is>
          <t>data/cobblemon/spawn_pool_world/0007_squirtle.json</t>
        </is>
      </c>
      <c r="AN18" s="18" t="inlineStr">
        <is>
          <t>squirtle-4</t>
        </is>
      </c>
      <c r="AO18" s="18" t="inlineStr">
        <is>
          <t>pokemon</t>
        </is>
      </c>
      <c r="AP18" s="18" t="inlineStr">
        <is>
          <t>water</t>
        </is>
      </c>
      <c r="AQ18" s="18" t="inlineStr">
        <is>
          <t>{"biomes":["#cobblemon:is_freshwater","#cobblemon:is_hills","#cobblemon:is_jungle","#cobblemon:is_temperate","#cobblemon:is_tropical_island"],"canSeeSky":false,"maxSkyLight":15,"minSkyLight":8}</t>
        </is>
      </c>
      <c r="AR18" s="18" t="inlineStr">
        <is>
          <t>{"biomes":["#cobblemon:is_freezing"]}</t>
        </is>
      </c>
      <c r="AS18" s="18" t="inlineStr"/>
      <c r="AT18" s="19" t="inlineStr"/>
    </row>
    <row r="19" ht="32" customHeight="1">
      <c r="A19" s="18" t="inlineStr">
        <is>
          <t>0007_squirtle.json::squirtle-5::005</t>
        </is>
      </c>
      <c r="B19" s="19" t="inlineStr">
        <is>
          <t>사용</t>
        </is>
      </c>
      <c r="C19" s="18">
        <f>IF(OR(B19&lt;&gt;AK19,M19&lt;&gt;L19,O19&lt;&gt;"",Q19&lt;&gt;"",V19&lt;&gt;1,Y19&lt;&gt;"",AT19&lt;&gt;""),"수정","원본")</f>
        <v/>
      </c>
      <c r="D19" s="18" t="n">
        <v>7</v>
      </c>
      <c r="E19" s="18" t="inlineStr">
        <is>
          <t>꼬부기</t>
        </is>
      </c>
      <c r="F19" s="18" t="inlineStr">
        <is>
          <t>squirtle</t>
        </is>
      </c>
      <c r="G19" s="18" t="inlineStr">
        <is>
          <t>squirtle</t>
        </is>
      </c>
      <c r="H19" s="18" t="inlineStr"/>
      <c r="I19" s="18" t="n">
        <v>1</v>
      </c>
      <c r="J19" s="18" t="n"/>
      <c r="K19" s="18" t="n">
        <v>1</v>
      </c>
      <c r="L19" s="18" t="inlineStr">
        <is>
          <t>cobbleventure:generation_1</t>
        </is>
      </c>
      <c r="M19" s="19" t="inlineStr">
        <is>
          <t>cobbleventure:generation_1</t>
        </is>
      </c>
      <c r="N19" s="18" t="inlineStr">
        <is>
          <t>region_01; region_02</t>
        </is>
      </c>
      <c r="O19" s="19" t="inlineStr"/>
      <c r="P19" s="18" t="inlineStr">
        <is>
          <t>#cobblemon:is_freshwater; #cobblemon:is_hills; #cobblemon:is_jungle; #cobblemon:is_temperate; #cobblemon:is_tropical_island</t>
        </is>
      </c>
      <c r="Q19" s="19" t="inlineStr"/>
      <c r="R19" s="18">
        <f>IF(Q19="",P19,Q19)</f>
        <v/>
      </c>
      <c r="S19" s="18" t="inlineStr">
        <is>
          <t>#cobblemon:is_freezing</t>
        </is>
      </c>
      <c r="T19" s="18" t="inlineStr">
        <is>
          <t>ultra-rare</t>
        </is>
      </c>
      <c r="U19" s="20" t="n">
        <v>6</v>
      </c>
      <c r="V19" s="21" t="n">
        <v>1</v>
      </c>
      <c r="W19" s="20">
        <f>IF(OR(U19="",V19=""),U19,U19*V19)</f>
        <v/>
      </c>
      <c r="X19" s="18" t="inlineStr">
        <is>
          <t>5-31</t>
        </is>
      </c>
      <c r="Y19" s="19" t="inlineStr"/>
      <c r="Z19" s="18">
        <f>IF(Y19="",X19,Y19)</f>
        <v/>
      </c>
      <c r="AA19" s="18" t="inlineStr">
        <is>
          <t>fishing</t>
        </is>
      </c>
      <c r="AB19" s="18" t="inlineStr"/>
      <c r="AC19" s="18" t="inlineStr"/>
      <c r="AD19" s="18" t="inlineStr"/>
      <c r="AE19" s="18" t="inlineStr">
        <is>
          <t>sky 8-15</t>
        </is>
      </c>
      <c r="AF19" s="18" t="inlineStr">
        <is>
          <t>False</t>
        </is>
      </c>
      <c r="AG19" s="18" t="inlineStr"/>
      <c r="AH19" s="18" t="inlineStr"/>
      <c r="AI19" s="18" t="inlineStr"/>
      <c r="AJ19" s="18" t="inlineStr">
        <is>
          <t>Cobblemon 동일</t>
        </is>
      </c>
      <c r="AK19" s="18" t="inlineStr">
        <is>
          <t>사용</t>
        </is>
      </c>
      <c r="AL19" s="18" t="inlineStr">
        <is>
          <t>COBBLEVERSE 1.7.42 / DP v31</t>
        </is>
      </c>
      <c r="AM19" s="18" t="inlineStr">
        <is>
          <t>data/cobblemon/spawn_pool_world/0007_squirtle.json</t>
        </is>
      </c>
      <c r="AN19" s="18" t="inlineStr">
        <is>
          <t>squirtle-5</t>
        </is>
      </c>
      <c r="AO19" s="18" t="inlineStr">
        <is>
          <t>pokemon</t>
        </is>
      </c>
      <c r="AP19" s="18" t="inlineStr"/>
      <c r="AQ19" s="18" t="inlineStr">
        <is>
          <t>{"biomes":["#cobblemon:is_freshwater","#cobblemon:is_hills","#cobblemon:is_jungle","#cobblemon:is_temperate","#cobblemon:is_tropical_island"],"canSeeSky":false,"maxSkyLight":15,"minSkyLight":8}</t>
        </is>
      </c>
      <c r="AR19" s="18" t="inlineStr">
        <is>
          <t>{"biomes":["#cobblemon:is_freezing"]}</t>
        </is>
      </c>
      <c r="AS19" s="18" t="inlineStr"/>
      <c r="AT19" s="19" t="inlineStr"/>
    </row>
    <row r="20" ht="32" customHeight="1">
      <c r="A20" s="18" t="inlineStr">
        <is>
          <t>0008_wartortle.json::wartortle-1::001</t>
        </is>
      </c>
      <c r="B20" s="19" t="inlineStr">
        <is>
          <t>사용</t>
        </is>
      </c>
      <c r="C20" s="18">
        <f>IF(OR(B20&lt;&gt;AK20,M20&lt;&gt;L20,O20&lt;&gt;"",Q20&lt;&gt;"",V20&lt;&gt;1,Y20&lt;&gt;"",AT20&lt;&gt;""),"수정","원본")</f>
        <v/>
      </c>
      <c r="D20" s="18" t="n">
        <v>8</v>
      </c>
      <c r="E20" s="18" t="inlineStr">
        <is>
          <t>어니부기</t>
        </is>
      </c>
      <c r="F20" s="18" t="inlineStr">
        <is>
          <t>wartortle</t>
        </is>
      </c>
      <c r="G20" s="18" t="inlineStr">
        <is>
          <t>wartortle</t>
        </is>
      </c>
      <c r="H20" s="18" t="inlineStr"/>
      <c r="I20" s="18" t="n">
        <v>1</v>
      </c>
      <c r="J20" s="18" t="n"/>
      <c r="K20" s="18" t="n">
        <v>1</v>
      </c>
      <c r="L20" s="18" t="inlineStr">
        <is>
          <t>cobbleventure:generation_1</t>
        </is>
      </c>
      <c r="M20" s="19" t="inlineStr">
        <is>
          <t>cobbleventure:generation_1</t>
        </is>
      </c>
      <c r="N20" s="18" t="inlineStr">
        <is>
          <t>region_01; region_02</t>
        </is>
      </c>
      <c r="O20" s="19" t="inlineStr"/>
      <c r="P20" s="18" t="inlineStr">
        <is>
          <t>#cobblemon:is_freshwater; #cobblemon:is_hills; #cobblemon:is_jungle; #cobblemon:is_temperate; #cobblemon:is_tropical_island</t>
        </is>
      </c>
      <c r="Q20" s="19" t="inlineStr"/>
      <c r="R20" s="18">
        <f>IF(Q20="",P20,Q20)</f>
        <v/>
      </c>
      <c r="S20" s="18" t="inlineStr">
        <is>
          <t>#cobblemon:is_freezing</t>
        </is>
      </c>
      <c r="T20" s="18" t="inlineStr">
        <is>
          <t>ultra-rare</t>
        </is>
      </c>
      <c r="U20" s="20" t="n">
        <v>3.6</v>
      </c>
      <c r="V20" s="21" t="n">
        <v>1</v>
      </c>
      <c r="W20" s="20">
        <f>IF(OR(U20="",V20=""),U20,U20*V20)</f>
        <v/>
      </c>
      <c r="X20" s="18" t="inlineStr">
        <is>
          <t>16-40</t>
        </is>
      </c>
      <c r="Y20" s="19" t="inlineStr"/>
      <c r="Z20" s="18">
        <f>IF(Y20="",X20,Y20)</f>
        <v/>
      </c>
      <c r="AA20" s="18" t="inlineStr">
        <is>
          <t>grounded</t>
        </is>
      </c>
      <c r="AB20" s="18" t="inlineStr"/>
      <c r="AC20" s="18" t="inlineStr"/>
      <c r="AD20" s="18" t="inlineStr"/>
      <c r="AE20" s="18" t="inlineStr">
        <is>
          <t>sky 8-15</t>
        </is>
      </c>
      <c r="AF20" s="18" t="inlineStr"/>
      <c r="AG20" s="18" t="inlineStr"/>
      <c r="AH20" s="18" t="inlineStr">
        <is>
          <t>주변=minecraft:water</t>
        </is>
      </c>
      <c r="AI20" s="18" t="inlineStr"/>
      <c r="AJ20" s="18" t="inlineStr">
        <is>
          <t>Cobblemon 동일</t>
        </is>
      </c>
      <c r="AK20" s="18" t="inlineStr">
        <is>
          <t>사용</t>
        </is>
      </c>
      <c r="AL20" s="18" t="inlineStr">
        <is>
          <t>COBBLEVERSE 1.7.42 / DP v31</t>
        </is>
      </c>
      <c r="AM20" s="18" t="inlineStr">
        <is>
          <t>data/cobblemon/spawn_pool_world/0008_wartortle.json</t>
        </is>
      </c>
      <c r="AN20" s="18" t="inlineStr">
        <is>
          <t>wartortle-1</t>
        </is>
      </c>
      <c r="AO20" s="18" t="inlineStr">
        <is>
          <t>pokemon</t>
        </is>
      </c>
      <c r="AP20" s="18" t="inlineStr">
        <is>
          <t>natural</t>
        </is>
      </c>
      <c r="AQ20" s="18" t="inlineStr">
        <is>
          <t>{"biomes":["#cobblemon:is_freshwater","#cobblemon:is_hills","#cobblemon:is_jungle","#cobblemon:is_temperate","#cobblemon:is_tropical_island"],"maxSkyLight":15,"minSkyLight":8,"neededNearbyBlocks":["minecraft:water"]}</t>
        </is>
      </c>
      <c r="AR20" s="18" t="inlineStr">
        <is>
          <t>{"biomes":["#cobblemon:is_freezing"]}</t>
        </is>
      </c>
      <c r="AS20" s="18" t="inlineStr"/>
      <c r="AT20" s="19" t="inlineStr"/>
    </row>
    <row r="21" ht="32" customHeight="1">
      <c r="A21" s="18" t="inlineStr">
        <is>
          <t>0008_wartortle.json::wartortle-2::002</t>
        </is>
      </c>
      <c r="B21" s="19" t="inlineStr">
        <is>
          <t>사용</t>
        </is>
      </c>
      <c r="C21" s="18">
        <f>IF(OR(B21&lt;&gt;AK21,M21&lt;&gt;L21,O21&lt;&gt;"",Q21&lt;&gt;"",V21&lt;&gt;1,Y21&lt;&gt;"",AT21&lt;&gt;""),"수정","원본")</f>
        <v/>
      </c>
      <c r="D21" s="18" t="n">
        <v>8</v>
      </c>
      <c r="E21" s="18" t="inlineStr">
        <is>
          <t>어니부기</t>
        </is>
      </c>
      <c r="F21" s="18" t="inlineStr">
        <is>
          <t>wartortle</t>
        </is>
      </c>
      <c r="G21" s="18" t="inlineStr">
        <is>
          <t>wartortle</t>
        </is>
      </c>
      <c r="H21" s="18" t="inlineStr"/>
      <c r="I21" s="18" t="n">
        <v>1</v>
      </c>
      <c r="J21" s="18" t="n"/>
      <c r="K21" s="18" t="n">
        <v>1</v>
      </c>
      <c r="L21" s="18" t="inlineStr">
        <is>
          <t>cobbleventure:generation_1</t>
        </is>
      </c>
      <c r="M21" s="19" t="inlineStr">
        <is>
          <t>cobbleventure:generation_1</t>
        </is>
      </c>
      <c r="N21" s="18" t="inlineStr">
        <is>
          <t>region_01; region_02</t>
        </is>
      </c>
      <c r="O21" s="19" t="inlineStr"/>
      <c r="P21" s="18" t="inlineStr">
        <is>
          <t>#cobblemon:is_freshwater; #cobblemon:is_hills; #cobblemon:is_jungle; #cobblemon:is_temperate; #cobblemon:is_tropical_island</t>
        </is>
      </c>
      <c r="Q21" s="19" t="inlineStr"/>
      <c r="R21" s="18">
        <f>IF(Q21="",P21,Q21)</f>
        <v/>
      </c>
      <c r="S21" s="18" t="inlineStr">
        <is>
          <t>#cobblemon:is_freezing</t>
        </is>
      </c>
      <c r="T21" s="18" t="inlineStr">
        <is>
          <t>ultra-rare</t>
        </is>
      </c>
      <c r="U21" s="20" t="n">
        <v>3.6</v>
      </c>
      <c r="V21" s="21" t="n">
        <v>1</v>
      </c>
      <c r="W21" s="20">
        <f>IF(OR(U21="",V21=""),U21,U21*V21)</f>
        <v/>
      </c>
      <c r="X21" s="18" t="inlineStr">
        <is>
          <t>16-40</t>
        </is>
      </c>
      <c r="Y21" s="19" t="inlineStr"/>
      <c r="Z21" s="18">
        <f>IF(Y21="",X21,Y21)</f>
        <v/>
      </c>
      <c r="AA21" s="18" t="inlineStr">
        <is>
          <t>submerged</t>
        </is>
      </c>
      <c r="AB21" s="18" t="inlineStr"/>
      <c r="AC21" s="18" t="inlineStr"/>
      <c r="AD21" s="18" t="inlineStr"/>
      <c r="AE21" s="18" t="inlineStr"/>
      <c r="AF21" s="18" t="inlineStr">
        <is>
          <t>True</t>
        </is>
      </c>
      <c r="AG21" s="18" t="inlineStr"/>
      <c r="AH21" s="18" t="inlineStr"/>
      <c r="AI21" s="18" t="inlineStr"/>
      <c r="AJ21" s="18" t="inlineStr">
        <is>
          <t>Cobblemon 동일</t>
        </is>
      </c>
      <c r="AK21" s="18" t="inlineStr">
        <is>
          <t>사용</t>
        </is>
      </c>
      <c r="AL21" s="18" t="inlineStr">
        <is>
          <t>COBBLEVERSE 1.7.42 / DP v31</t>
        </is>
      </c>
      <c r="AM21" s="18" t="inlineStr">
        <is>
          <t>data/cobblemon/spawn_pool_world/0008_wartortle.json</t>
        </is>
      </c>
      <c r="AN21" s="18" t="inlineStr">
        <is>
          <t>wartortle-2</t>
        </is>
      </c>
      <c r="AO21" s="18" t="inlineStr">
        <is>
          <t>pokemon</t>
        </is>
      </c>
      <c r="AP21" s="18" t="inlineStr">
        <is>
          <t>water</t>
        </is>
      </c>
      <c r="AQ21" s="18" t="inlineStr">
        <is>
          <t>{"biomes":["#cobblemon:is_freshwater","#cobblemon:is_hills","#cobblemon:is_jungle","#cobblemon:is_temperate","#cobblemon:is_tropical_island"],"canSeeSky":true}</t>
        </is>
      </c>
      <c r="AR21" s="18" t="inlineStr">
        <is>
          <t>{"biomes":["#cobblemon:is_freezing"]}</t>
        </is>
      </c>
      <c r="AS21" s="18" t="inlineStr"/>
      <c r="AT21" s="19" t="inlineStr"/>
    </row>
    <row r="22" ht="32" customHeight="1">
      <c r="A22" s="18" t="inlineStr">
        <is>
          <t>0008_wartortle.json::wartortle-3::003</t>
        </is>
      </c>
      <c r="B22" s="19" t="inlineStr">
        <is>
          <t>사용</t>
        </is>
      </c>
      <c r="C22" s="18">
        <f>IF(OR(B22&lt;&gt;AK22,M22&lt;&gt;L22,O22&lt;&gt;"",Q22&lt;&gt;"",V22&lt;&gt;1,Y22&lt;&gt;"",AT22&lt;&gt;""),"수정","원본")</f>
        <v/>
      </c>
      <c r="D22" s="18" t="n">
        <v>8</v>
      </c>
      <c r="E22" s="18" t="inlineStr">
        <is>
          <t>어니부기</t>
        </is>
      </c>
      <c r="F22" s="18" t="inlineStr">
        <is>
          <t>wartortle</t>
        </is>
      </c>
      <c r="G22" s="18" t="inlineStr">
        <is>
          <t>wartortle</t>
        </is>
      </c>
      <c r="H22" s="18" t="inlineStr"/>
      <c r="I22" s="18" t="n">
        <v>1</v>
      </c>
      <c r="J22" s="18" t="n"/>
      <c r="K22" s="18" t="n">
        <v>1</v>
      </c>
      <c r="L22" s="18" t="inlineStr">
        <is>
          <t>cobbleventure:generation_1</t>
        </is>
      </c>
      <c r="M22" s="19" t="inlineStr">
        <is>
          <t>cobbleventure:generation_1</t>
        </is>
      </c>
      <c r="N22" s="18" t="inlineStr">
        <is>
          <t>region_01; region_02</t>
        </is>
      </c>
      <c r="O22" s="19" t="inlineStr"/>
      <c r="P22" s="18" t="inlineStr">
        <is>
          <t>#cobblemon:is_freshwater; #cobblemon:is_hills; #cobblemon:is_jungle; #cobblemon:is_temperate; #cobblemon:is_tropical_island</t>
        </is>
      </c>
      <c r="Q22" s="19" t="inlineStr"/>
      <c r="R22" s="18">
        <f>IF(Q22="",P22,Q22)</f>
        <v/>
      </c>
      <c r="S22" s="18" t="inlineStr">
        <is>
          <t>#cobblemon:is_freezing</t>
        </is>
      </c>
      <c r="T22" s="18" t="inlineStr">
        <is>
          <t>ultra-rare</t>
        </is>
      </c>
      <c r="U22" s="20" t="n">
        <v>3.6</v>
      </c>
      <c r="V22" s="21" t="n">
        <v>1</v>
      </c>
      <c r="W22" s="20">
        <f>IF(OR(U22="",V22=""),U22,U22*V22)</f>
        <v/>
      </c>
      <c r="X22" s="18" t="inlineStr">
        <is>
          <t>16-40</t>
        </is>
      </c>
      <c r="Y22" s="19" t="inlineStr"/>
      <c r="Z22" s="18">
        <f>IF(Y22="",X22,Y22)</f>
        <v/>
      </c>
      <c r="AA22" s="18" t="inlineStr">
        <is>
          <t>fishing</t>
        </is>
      </c>
      <c r="AB22" s="18" t="inlineStr"/>
      <c r="AC22" s="18" t="inlineStr"/>
      <c r="AD22" s="18" t="inlineStr"/>
      <c r="AE22" s="18" t="inlineStr"/>
      <c r="AF22" s="18" t="inlineStr">
        <is>
          <t>True</t>
        </is>
      </c>
      <c r="AG22" s="18" t="inlineStr"/>
      <c r="AH22" s="18" t="inlineStr"/>
      <c r="AI22" s="18" t="inlineStr"/>
      <c r="AJ22" s="18" t="inlineStr">
        <is>
          <t>Cobblemon 동일</t>
        </is>
      </c>
      <c r="AK22" s="18" t="inlineStr">
        <is>
          <t>사용</t>
        </is>
      </c>
      <c r="AL22" s="18" t="inlineStr">
        <is>
          <t>COBBLEVERSE 1.7.42 / DP v31</t>
        </is>
      </c>
      <c r="AM22" s="18" t="inlineStr">
        <is>
          <t>data/cobblemon/spawn_pool_world/0008_wartortle.json</t>
        </is>
      </c>
      <c r="AN22" s="18" t="inlineStr">
        <is>
          <t>wartortle-3</t>
        </is>
      </c>
      <c r="AO22" s="18" t="inlineStr">
        <is>
          <t>pokemon</t>
        </is>
      </c>
      <c r="AP22" s="18" t="inlineStr"/>
      <c r="AQ22" s="18" t="inlineStr">
        <is>
          <t>{"biomes":["#cobblemon:is_freshwater","#cobblemon:is_hills","#cobblemon:is_jungle","#cobblemon:is_temperate","#cobblemon:is_tropical_island"],"canSeeSky":true}</t>
        </is>
      </c>
      <c r="AR22" s="18" t="inlineStr">
        <is>
          <t>{"biomes":["#cobblemon:is_freezing"]}</t>
        </is>
      </c>
      <c r="AS22" s="18" t="inlineStr"/>
      <c r="AT22" s="19" t="inlineStr"/>
    </row>
    <row r="23" ht="32" customHeight="1">
      <c r="A23" s="18" t="inlineStr">
        <is>
          <t>0008_wartortle.json::wartortle-4::004</t>
        </is>
      </c>
      <c r="B23" s="19" t="inlineStr">
        <is>
          <t>사용</t>
        </is>
      </c>
      <c r="C23" s="18">
        <f>IF(OR(B23&lt;&gt;AK23,M23&lt;&gt;L23,O23&lt;&gt;"",Q23&lt;&gt;"",V23&lt;&gt;1,Y23&lt;&gt;"",AT23&lt;&gt;""),"수정","원본")</f>
        <v/>
      </c>
      <c r="D23" s="18" t="n">
        <v>8</v>
      </c>
      <c r="E23" s="18" t="inlineStr">
        <is>
          <t>어니부기</t>
        </is>
      </c>
      <c r="F23" s="18" t="inlineStr">
        <is>
          <t>wartortle</t>
        </is>
      </c>
      <c r="G23" s="18" t="inlineStr">
        <is>
          <t>wartortle</t>
        </is>
      </c>
      <c r="H23" s="18" t="inlineStr"/>
      <c r="I23" s="18" t="n">
        <v>1</v>
      </c>
      <c r="J23" s="18" t="n"/>
      <c r="K23" s="18" t="n">
        <v>1</v>
      </c>
      <c r="L23" s="18" t="inlineStr">
        <is>
          <t>cobbleventure:generation_1</t>
        </is>
      </c>
      <c r="M23" s="19" t="inlineStr">
        <is>
          <t>cobbleventure:generation_1</t>
        </is>
      </c>
      <c r="N23" s="18" t="inlineStr">
        <is>
          <t>region_01; region_02</t>
        </is>
      </c>
      <c r="O23" s="19" t="inlineStr"/>
      <c r="P23" s="18" t="inlineStr">
        <is>
          <t>#cobblemon:is_freshwater; #cobblemon:is_hills; #cobblemon:is_jungle; #cobblemon:is_temperate; #cobblemon:is_tropical_island</t>
        </is>
      </c>
      <c r="Q23" s="19" t="inlineStr"/>
      <c r="R23" s="18">
        <f>IF(Q23="",P23,Q23)</f>
        <v/>
      </c>
      <c r="S23" s="18" t="inlineStr">
        <is>
          <t>#cobblemon:is_freezing</t>
        </is>
      </c>
      <c r="T23" s="18" t="inlineStr">
        <is>
          <t>ultra-rare</t>
        </is>
      </c>
      <c r="U23" s="20" t="n">
        <v>3.6</v>
      </c>
      <c r="V23" s="21" t="n">
        <v>1</v>
      </c>
      <c r="W23" s="20">
        <f>IF(OR(U23="",V23=""),U23,U23*V23)</f>
        <v/>
      </c>
      <c r="X23" s="18" t="inlineStr">
        <is>
          <t>16-40</t>
        </is>
      </c>
      <c r="Y23" s="19" t="inlineStr"/>
      <c r="Z23" s="18">
        <f>IF(Y23="",X23,Y23)</f>
        <v/>
      </c>
      <c r="AA23" s="18" t="inlineStr">
        <is>
          <t>submerged</t>
        </is>
      </c>
      <c r="AB23" s="18" t="inlineStr"/>
      <c r="AC23" s="18" t="inlineStr"/>
      <c r="AD23" s="18" t="inlineStr"/>
      <c r="AE23" s="18" t="inlineStr">
        <is>
          <t>sky 8-15</t>
        </is>
      </c>
      <c r="AF23" s="18" t="inlineStr">
        <is>
          <t>False</t>
        </is>
      </c>
      <c r="AG23" s="18" t="inlineStr"/>
      <c r="AH23" s="18" t="inlineStr"/>
      <c r="AI23" s="18" t="inlineStr"/>
      <c r="AJ23" s="18" t="inlineStr">
        <is>
          <t>Cobblemon 동일</t>
        </is>
      </c>
      <c r="AK23" s="18" t="inlineStr">
        <is>
          <t>사용</t>
        </is>
      </c>
      <c r="AL23" s="18" t="inlineStr">
        <is>
          <t>COBBLEVERSE 1.7.42 / DP v31</t>
        </is>
      </c>
      <c r="AM23" s="18" t="inlineStr">
        <is>
          <t>data/cobblemon/spawn_pool_world/0008_wartortle.json</t>
        </is>
      </c>
      <c r="AN23" s="18" t="inlineStr">
        <is>
          <t>wartortle-4</t>
        </is>
      </c>
      <c r="AO23" s="18" t="inlineStr">
        <is>
          <t>pokemon</t>
        </is>
      </c>
      <c r="AP23" s="18" t="inlineStr">
        <is>
          <t>water</t>
        </is>
      </c>
      <c r="AQ23" s="18" t="inlineStr">
        <is>
          <t>{"biomes":["#cobblemon:is_freshwater","#cobblemon:is_hills","#cobblemon:is_jungle","#cobblemon:is_temperate","#cobblemon:is_tropical_island"],"canSeeSky":false,"maxSkyLight":15,"minSkyLight":8}</t>
        </is>
      </c>
      <c r="AR23" s="18" t="inlineStr">
        <is>
          <t>{"biomes":["#cobblemon:is_freezing"]}</t>
        </is>
      </c>
      <c r="AS23" s="18" t="inlineStr"/>
      <c r="AT23" s="19" t="inlineStr"/>
    </row>
    <row r="24" ht="32" customHeight="1">
      <c r="A24" s="18" t="inlineStr">
        <is>
          <t>0008_wartortle.json::wartortle-5::005</t>
        </is>
      </c>
      <c r="B24" s="19" t="inlineStr">
        <is>
          <t>사용</t>
        </is>
      </c>
      <c r="C24" s="18">
        <f>IF(OR(B24&lt;&gt;AK24,M24&lt;&gt;L24,O24&lt;&gt;"",Q24&lt;&gt;"",V24&lt;&gt;1,Y24&lt;&gt;"",AT24&lt;&gt;""),"수정","원본")</f>
        <v/>
      </c>
      <c r="D24" s="18" t="n">
        <v>8</v>
      </c>
      <c r="E24" s="18" t="inlineStr">
        <is>
          <t>어니부기</t>
        </is>
      </c>
      <c r="F24" s="18" t="inlineStr">
        <is>
          <t>wartortle</t>
        </is>
      </c>
      <c r="G24" s="18" t="inlineStr">
        <is>
          <t>wartortle</t>
        </is>
      </c>
      <c r="H24" s="18" t="inlineStr"/>
      <c r="I24" s="18" t="n">
        <v>1</v>
      </c>
      <c r="J24" s="18" t="n"/>
      <c r="K24" s="18" t="n">
        <v>1</v>
      </c>
      <c r="L24" s="18" t="inlineStr">
        <is>
          <t>cobbleventure:generation_1</t>
        </is>
      </c>
      <c r="M24" s="19" t="inlineStr">
        <is>
          <t>cobbleventure:generation_1</t>
        </is>
      </c>
      <c r="N24" s="18" t="inlineStr">
        <is>
          <t>region_01; region_02</t>
        </is>
      </c>
      <c r="O24" s="19" t="inlineStr"/>
      <c r="P24" s="18" t="inlineStr">
        <is>
          <t>#cobblemon:is_freshwater; #cobblemon:is_hills; #cobblemon:is_jungle; #cobblemon:is_temperate; #cobblemon:is_tropical_island</t>
        </is>
      </c>
      <c r="Q24" s="19" t="inlineStr"/>
      <c r="R24" s="18">
        <f>IF(Q24="",P24,Q24)</f>
        <v/>
      </c>
      <c r="S24" s="18" t="inlineStr">
        <is>
          <t>#cobblemon:is_freezing</t>
        </is>
      </c>
      <c r="T24" s="18" t="inlineStr">
        <is>
          <t>ultra-rare</t>
        </is>
      </c>
      <c r="U24" s="20" t="n">
        <v>3.6</v>
      </c>
      <c r="V24" s="21" t="n">
        <v>1</v>
      </c>
      <c r="W24" s="20">
        <f>IF(OR(U24="",V24=""),U24,U24*V24)</f>
        <v/>
      </c>
      <c r="X24" s="18" t="inlineStr">
        <is>
          <t>16-40</t>
        </is>
      </c>
      <c r="Y24" s="19" t="inlineStr"/>
      <c r="Z24" s="18">
        <f>IF(Y24="",X24,Y24)</f>
        <v/>
      </c>
      <c r="AA24" s="18" t="inlineStr">
        <is>
          <t>fishing</t>
        </is>
      </c>
      <c r="AB24" s="18" t="inlineStr"/>
      <c r="AC24" s="18" t="inlineStr"/>
      <c r="AD24" s="18" t="inlineStr"/>
      <c r="AE24" s="18" t="inlineStr">
        <is>
          <t>sky 8-15</t>
        </is>
      </c>
      <c r="AF24" s="18" t="inlineStr">
        <is>
          <t>False</t>
        </is>
      </c>
      <c r="AG24" s="18" t="inlineStr"/>
      <c r="AH24" s="18" t="inlineStr"/>
      <c r="AI24" s="18" t="inlineStr"/>
      <c r="AJ24" s="18" t="inlineStr">
        <is>
          <t>Cobblemon 동일</t>
        </is>
      </c>
      <c r="AK24" s="18" t="inlineStr">
        <is>
          <t>사용</t>
        </is>
      </c>
      <c r="AL24" s="18" t="inlineStr">
        <is>
          <t>COBBLEVERSE 1.7.42 / DP v31</t>
        </is>
      </c>
      <c r="AM24" s="18" t="inlineStr">
        <is>
          <t>data/cobblemon/spawn_pool_world/0008_wartortle.json</t>
        </is>
      </c>
      <c r="AN24" s="18" t="inlineStr">
        <is>
          <t>wartortle-5</t>
        </is>
      </c>
      <c r="AO24" s="18" t="inlineStr">
        <is>
          <t>pokemon</t>
        </is>
      </c>
      <c r="AP24" s="18" t="inlineStr"/>
      <c r="AQ24" s="18" t="inlineStr">
        <is>
          <t>{"biomes":["#cobblemon:is_freshwater","#cobblemon:is_hills","#cobblemon:is_jungle","#cobblemon:is_temperate","#cobblemon:is_tropical_island"],"canSeeSky":false,"maxSkyLight":15,"minSkyLight":8}</t>
        </is>
      </c>
      <c r="AR24" s="18" t="inlineStr">
        <is>
          <t>{"biomes":["#cobblemon:is_freezing"]}</t>
        </is>
      </c>
      <c r="AS24" s="18" t="inlineStr"/>
      <c r="AT24" s="19" t="inlineStr"/>
    </row>
    <row r="25" ht="32" customHeight="1">
      <c r="A25" s="18" t="inlineStr">
        <is>
          <t>0009_blastoise.json::blastoise-1::001</t>
        </is>
      </c>
      <c r="B25" s="19" t="inlineStr">
        <is>
          <t>사용</t>
        </is>
      </c>
      <c r="C25" s="18">
        <f>IF(OR(B25&lt;&gt;AK25,M25&lt;&gt;L25,O25&lt;&gt;"",Q25&lt;&gt;"",V25&lt;&gt;1,Y25&lt;&gt;"",AT25&lt;&gt;""),"수정","원본")</f>
        <v/>
      </c>
      <c r="D25" s="18" t="n">
        <v>9</v>
      </c>
      <c r="E25" s="18" t="inlineStr">
        <is>
          <t>거북왕</t>
        </is>
      </c>
      <c r="F25" s="18" t="inlineStr">
        <is>
          <t>blastoise</t>
        </is>
      </c>
      <c r="G25" s="18" t="inlineStr">
        <is>
          <t>blastoise</t>
        </is>
      </c>
      <c r="H25" s="18" t="inlineStr"/>
      <c r="I25" s="18" t="n">
        <v>1</v>
      </c>
      <c r="J25" s="18" t="n"/>
      <c r="K25" s="18" t="n">
        <v>1</v>
      </c>
      <c r="L25" s="18" t="inlineStr">
        <is>
          <t>cobbleventure:generation_1</t>
        </is>
      </c>
      <c r="M25" s="19" t="inlineStr">
        <is>
          <t>cobbleventure:generation_1</t>
        </is>
      </c>
      <c r="N25" s="18" t="inlineStr">
        <is>
          <t>region_01; region_02</t>
        </is>
      </c>
      <c r="O25" s="19" t="inlineStr"/>
      <c r="P25" s="18" t="inlineStr">
        <is>
          <t>#cobblemon:is_freshwater; #cobblemon:is_hills; #cobblemon:is_jungle; #cobblemon:is_temperate; #cobblemon:is_tropical_island</t>
        </is>
      </c>
      <c r="Q25" s="19" t="inlineStr"/>
      <c r="R25" s="18">
        <f>IF(Q25="",P25,Q25)</f>
        <v/>
      </c>
      <c r="S25" s="18" t="inlineStr">
        <is>
          <t>#cobblemon:is_freezing</t>
        </is>
      </c>
      <c r="T25" s="18" t="inlineStr">
        <is>
          <t>ultra-rare</t>
        </is>
      </c>
      <c r="U25" s="20" t="n">
        <v>0.4</v>
      </c>
      <c r="V25" s="21" t="n">
        <v>1</v>
      </c>
      <c r="W25" s="20">
        <f>IF(OR(U25="",V25=""),U25,U25*V25)</f>
        <v/>
      </c>
      <c r="X25" s="18" t="inlineStr">
        <is>
          <t>36-53</t>
        </is>
      </c>
      <c r="Y25" s="19" t="inlineStr"/>
      <c r="Z25" s="18">
        <f>IF(Y25="",X25,Y25)</f>
        <v/>
      </c>
      <c r="AA25" s="18" t="inlineStr">
        <is>
          <t>grounded</t>
        </is>
      </c>
      <c r="AB25" s="18" t="inlineStr"/>
      <c r="AC25" s="18" t="inlineStr"/>
      <c r="AD25" s="18" t="inlineStr"/>
      <c r="AE25" s="18" t="inlineStr">
        <is>
          <t>sky 8-15</t>
        </is>
      </c>
      <c r="AF25" s="18" t="inlineStr"/>
      <c r="AG25" s="18" t="inlineStr"/>
      <c r="AH25" s="18" t="inlineStr">
        <is>
          <t>주변=minecraft:water</t>
        </is>
      </c>
      <c r="AI25" s="18" t="inlineStr"/>
      <c r="AJ25" s="18" t="inlineStr">
        <is>
          <t>Cobblemon 동일</t>
        </is>
      </c>
      <c r="AK25" s="18" t="inlineStr">
        <is>
          <t>사용</t>
        </is>
      </c>
      <c r="AL25" s="18" t="inlineStr">
        <is>
          <t>COBBLEVERSE 1.7.42 / DP v31</t>
        </is>
      </c>
      <c r="AM25" s="18" t="inlineStr">
        <is>
          <t>data/cobblemon/spawn_pool_world/0009_blastoise.json</t>
        </is>
      </c>
      <c r="AN25" s="18" t="inlineStr">
        <is>
          <t>blastoise-1</t>
        </is>
      </c>
      <c r="AO25" s="18" t="inlineStr">
        <is>
          <t>pokemon</t>
        </is>
      </c>
      <c r="AP25" s="18" t="inlineStr">
        <is>
          <t>natural</t>
        </is>
      </c>
      <c r="AQ25" s="18" t="inlineStr">
        <is>
          <t>{"biomes":["#cobblemon:is_freshwater","#cobblemon:is_hills","#cobblemon:is_jungle","#cobblemon:is_temperate","#cobblemon:is_tropical_island"],"maxSkyLight":15,"minSkyLight":8,"neededNearbyBlocks":["minecraft:water"]}</t>
        </is>
      </c>
      <c r="AR25" s="18" t="inlineStr">
        <is>
          <t>{"biomes":["#cobblemon:is_freezing"]}</t>
        </is>
      </c>
      <c r="AS25" s="18" t="inlineStr"/>
      <c r="AT25" s="19" t="inlineStr"/>
    </row>
    <row r="26" ht="32" customHeight="1">
      <c r="A26" s="18" t="inlineStr">
        <is>
          <t>0009_blastoise.json::blastoise-2::002</t>
        </is>
      </c>
      <c r="B26" s="19" t="inlineStr">
        <is>
          <t>사용</t>
        </is>
      </c>
      <c r="C26" s="18">
        <f>IF(OR(B26&lt;&gt;AK26,M26&lt;&gt;L26,O26&lt;&gt;"",Q26&lt;&gt;"",V26&lt;&gt;1,Y26&lt;&gt;"",AT26&lt;&gt;""),"수정","원본")</f>
        <v/>
      </c>
      <c r="D26" s="18" t="n">
        <v>9</v>
      </c>
      <c r="E26" s="18" t="inlineStr">
        <is>
          <t>거북왕</t>
        </is>
      </c>
      <c r="F26" s="18" t="inlineStr">
        <is>
          <t>blastoise</t>
        </is>
      </c>
      <c r="G26" s="18" t="inlineStr">
        <is>
          <t>blastoise</t>
        </is>
      </c>
      <c r="H26" s="18" t="inlineStr"/>
      <c r="I26" s="18" t="n">
        <v>1</v>
      </c>
      <c r="J26" s="18" t="n"/>
      <c r="K26" s="18" t="n">
        <v>1</v>
      </c>
      <c r="L26" s="18" t="inlineStr">
        <is>
          <t>cobbleventure:generation_1</t>
        </is>
      </c>
      <c r="M26" s="19" t="inlineStr">
        <is>
          <t>cobbleventure:generation_1</t>
        </is>
      </c>
      <c r="N26" s="18" t="inlineStr">
        <is>
          <t>region_01; region_02</t>
        </is>
      </c>
      <c r="O26" s="19" t="inlineStr"/>
      <c r="P26" s="18" t="inlineStr">
        <is>
          <t>#cobblemon:is_freshwater; #cobblemon:is_hills; #cobblemon:is_jungle; #cobblemon:is_temperate; #cobblemon:is_tropical_island</t>
        </is>
      </c>
      <c r="Q26" s="19" t="inlineStr"/>
      <c r="R26" s="18">
        <f>IF(Q26="",P26,Q26)</f>
        <v/>
      </c>
      <c r="S26" s="18" t="inlineStr">
        <is>
          <t>#cobblemon:is_freezing</t>
        </is>
      </c>
      <c r="T26" s="18" t="inlineStr">
        <is>
          <t>ultra-rare</t>
        </is>
      </c>
      <c r="U26" s="20" t="n">
        <v>0.4</v>
      </c>
      <c r="V26" s="21" t="n">
        <v>1</v>
      </c>
      <c r="W26" s="20">
        <f>IF(OR(U26="",V26=""),U26,U26*V26)</f>
        <v/>
      </c>
      <c r="X26" s="18" t="inlineStr">
        <is>
          <t>36-53</t>
        </is>
      </c>
      <c r="Y26" s="19" t="inlineStr"/>
      <c r="Z26" s="18">
        <f>IF(Y26="",X26,Y26)</f>
        <v/>
      </c>
      <c r="AA26" s="18" t="inlineStr">
        <is>
          <t>submerged</t>
        </is>
      </c>
      <c r="AB26" s="18" t="inlineStr"/>
      <c r="AC26" s="18" t="inlineStr"/>
      <c r="AD26" s="18" t="inlineStr"/>
      <c r="AE26" s="18" t="inlineStr"/>
      <c r="AF26" s="18" t="inlineStr">
        <is>
          <t>True</t>
        </is>
      </c>
      <c r="AG26" s="18" t="inlineStr"/>
      <c r="AH26" s="18" t="inlineStr"/>
      <c r="AI26" s="18" t="inlineStr"/>
      <c r="AJ26" s="18" t="inlineStr">
        <is>
          <t>Cobblemon 동일</t>
        </is>
      </c>
      <c r="AK26" s="18" t="inlineStr">
        <is>
          <t>사용</t>
        </is>
      </c>
      <c r="AL26" s="18" t="inlineStr">
        <is>
          <t>COBBLEVERSE 1.7.42 / DP v31</t>
        </is>
      </c>
      <c r="AM26" s="18" t="inlineStr">
        <is>
          <t>data/cobblemon/spawn_pool_world/0009_blastoise.json</t>
        </is>
      </c>
      <c r="AN26" s="18" t="inlineStr">
        <is>
          <t>blastoise-2</t>
        </is>
      </c>
      <c r="AO26" s="18" t="inlineStr">
        <is>
          <t>pokemon</t>
        </is>
      </c>
      <c r="AP26" s="18" t="inlineStr">
        <is>
          <t>water</t>
        </is>
      </c>
      <c r="AQ26" s="18" t="inlineStr">
        <is>
          <t>{"biomes":["#cobblemon:is_freshwater","#cobblemon:is_hills","#cobblemon:is_jungle","#cobblemon:is_temperate","#cobblemon:is_tropical_island"],"canSeeSky":true}</t>
        </is>
      </c>
      <c r="AR26" s="18" t="inlineStr">
        <is>
          <t>{"biomes":["#cobblemon:is_freezing"]}</t>
        </is>
      </c>
      <c r="AS26" s="18" t="inlineStr"/>
      <c r="AT26" s="19" t="inlineStr"/>
    </row>
    <row r="27" ht="32" customHeight="1">
      <c r="A27" s="18" t="inlineStr">
        <is>
          <t>0009_blastoise.json::blastoise-3::003</t>
        </is>
      </c>
      <c r="B27" s="19" t="inlineStr">
        <is>
          <t>사용</t>
        </is>
      </c>
      <c r="C27" s="18">
        <f>IF(OR(B27&lt;&gt;AK27,M27&lt;&gt;L27,O27&lt;&gt;"",Q27&lt;&gt;"",V27&lt;&gt;1,Y27&lt;&gt;"",AT27&lt;&gt;""),"수정","원본")</f>
        <v/>
      </c>
      <c r="D27" s="18" t="n">
        <v>9</v>
      </c>
      <c r="E27" s="18" t="inlineStr">
        <is>
          <t>거북왕</t>
        </is>
      </c>
      <c r="F27" s="18" t="inlineStr">
        <is>
          <t>blastoise</t>
        </is>
      </c>
      <c r="G27" s="18" t="inlineStr">
        <is>
          <t>blastoise</t>
        </is>
      </c>
      <c r="H27" s="18" t="inlineStr"/>
      <c r="I27" s="18" t="n">
        <v>1</v>
      </c>
      <c r="J27" s="18" t="n"/>
      <c r="K27" s="18" t="n">
        <v>1</v>
      </c>
      <c r="L27" s="18" t="inlineStr">
        <is>
          <t>cobbleventure:generation_1</t>
        </is>
      </c>
      <c r="M27" s="19" t="inlineStr">
        <is>
          <t>cobbleventure:generation_1</t>
        </is>
      </c>
      <c r="N27" s="18" t="inlineStr">
        <is>
          <t>region_01; region_02</t>
        </is>
      </c>
      <c r="O27" s="19" t="inlineStr"/>
      <c r="P27" s="18" t="inlineStr">
        <is>
          <t>#cobblemon:is_freshwater; #cobblemon:is_hills; #cobblemon:is_jungle; #cobblemon:is_temperate; #cobblemon:is_tropical_island</t>
        </is>
      </c>
      <c r="Q27" s="19" t="inlineStr"/>
      <c r="R27" s="18">
        <f>IF(Q27="",P27,Q27)</f>
        <v/>
      </c>
      <c r="S27" s="18" t="inlineStr">
        <is>
          <t>#cobblemon:is_freezing</t>
        </is>
      </c>
      <c r="T27" s="18" t="inlineStr">
        <is>
          <t>ultra-rare</t>
        </is>
      </c>
      <c r="U27" s="20" t="n">
        <v>0.4</v>
      </c>
      <c r="V27" s="21" t="n">
        <v>1</v>
      </c>
      <c r="W27" s="20">
        <f>IF(OR(U27="",V27=""),U27,U27*V27)</f>
        <v/>
      </c>
      <c r="X27" s="18" t="inlineStr">
        <is>
          <t>36-53</t>
        </is>
      </c>
      <c r="Y27" s="19" t="inlineStr"/>
      <c r="Z27" s="18">
        <f>IF(Y27="",X27,Y27)</f>
        <v/>
      </c>
      <c r="AA27" s="18" t="inlineStr">
        <is>
          <t>fishing</t>
        </is>
      </c>
      <c r="AB27" s="18" t="inlineStr"/>
      <c r="AC27" s="18" t="inlineStr"/>
      <c r="AD27" s="18" t="inlineStr"/>
      <c r="AE27" s="18" t="inlineStr"/>
      <c r="AF27" s="18" t="inlineStr">
        <is>
          <t>True</t>
        </is>
      </c>
      <c r="AG27" s="18" t="inlineStr"/>
      <c r="AH27" s="18" t="inlineStr"/>
      <c r="AI27" s="18" t="inlineStr"/>
      <c r="AJ27" s="18" t="inlineStr">
        <is>
          <t>Cobblemon 동일</t>
        </is>
      </c>
      <c r="AK27" s="18" t="inlineStr">
        <is>
          <t>사용</t>
        </is>
      </c>
      <c r="AL27" s="18" t="inlineStr">
        <is>
          <t>COBBLEVERSE 1.7.42 / DP v31</t>
        </is>
      </c>
      <c r="AM27" s="18" t="inlineStr">
        <is>
          <t>data/cobblemon/spawn_pool_world/0009_blastoise.json</t>
        </is>
      </c>
      <c r="AN27" s="18" t="inlineStr">
        <is>
          <t>blastoise-3</t>
        </is>
      </c>
      <c r="AO27" s="18" t="inlineStr">
        <is>
          <t>pokemon</t>
        </is>
      </c>
      <c r="AP27" s="18" t="inlineStr"/>
      <c r="AQ27" s="18" t="inlineStr">
        <is>
          <t>{"biomes":["#cobblemon:is_freshwater","#cobblemon:is_hills","#cobblemon:is_jungle","#cobblemon:is_temperate","#cobblemon:is_tropical_island"],"canSeeSky":true}</t>
        </is>
      </c>
      <c r="AR27" s="18" t="inlineStr">
        <is>
          <t>{"biomes":["#cobblemon:is_freezing"]}</t>
        </is>
      </c>
      <c r="AS27" s="18" t="inlineStr"/>
      <c r="AT27" s="19" t="inlineStr"/>
    </row>
    <row r="28" ht="32" customHeight="1">
      <c r="A28" s="18" t="inlineStr">
        <is>
          <t>0009_blastoise.json::blastoise-4::004</t>
        </is>
      </c>
      <c r="B28" s="19" t="inlineStr">
        <is>
          <t>사용</t>
        </is>
      </c>
      <c r="C28" s="18">
        <f>IF(OR(B28&lt;&gt;AK28,M28&lt;&gt;L28,O28&lt;&gt;"",Q28&lt;&gt;"",V28&lt;&gt;1,Y28&lt;&gt;"",AT28&lt;&gt;""),"수정","원본")</f>
        <v/>
      </c>
      <c r="D28" s="18" t="n">
        <v>9</v>
      </c>
      <c r="E28" s="18" t="inlineStr">
        <is>
          <t>거북왕</t>
        </is>
      </c>
      <c r="F28" s="18" t="inlineStr">
        <is>
          <t>blastoise</t>
        </is>
      </c>
      <c r="G28" s="18" t="inlineStr">
        <is>
          <t>blastoise</t>
        </is>
      </c>
      <c r="H28" s="18" t="inlineStr"/>
      <c r="I28" s="18" t="n">
        <v>1</v>
      </c>
      <c r="J28" s="18" t="n"/>
      <c r="K28" s="18" t="n">
        <v>1</v>
      </c>
      <c r="L28" s="18" t="inlineStr">
        <is>
          <t>cobbleventure:generation_1</t>
        </is>
      </c>
      <c r="M28" s="19" t="inlineStr">
        <is>
          <t>cobbleventure:generation_1</t>
        </is>
      </c>
      <c r="N28" s="18" t="inlineStr">
        <is>
          <t>region_01; region_02</t>
        </is>
      </c>
      <c r="O28" s="19" t="inlineStr"/>
      <c r="P28" s="18" t="inlineStr">
        <is>
          <t>#cobblemon:is_freshwater; #cobblemon:is_hills; #cobblemon:is_jungle; #cobblemon:is_temperate; #cobblemon:is_tropical_island</t>
        </is>
      </c>
      <c r="Q28" s="19" t="inlineStr"/>
      <c r="R28" s="18">
        <f>IF(Q28="",P28,Q28)</f>
        <v/>
      </c>
      <c r="S28" s="18" t="inlineStr">
        <is>
          <t>#cobblemon:is_freezing</t>
        </is>
      </c>
      <c r="T28" s="18" t="inlineStr">
        <is>
          <t>ultra-rare</t>
        </is>
      </c>
      <c r="U28" s="20" t="n">
        <v>0.4</v>
      </c>
      <c r="V28" s="21" t="n">
        <v>1</v>
      </c>
      <c r="W28" s="20">
        <f>IF(OR(U28="",V28=""),U28,U28*V28)</f>
        <v/>
      </c>
      <c r="X28" s="18" t="inlineStr">
        <is>
          <t>36-53</t>
        </is>
      </c>
      <c r="Y28" s="19" t="inlineStr"/>
      <c r="Z28" s="18">
        <f>IF(Y28="",X28,Y28)</f>
        <v/>
      </c>
      <c r="AA28" s="18" t="inlineStr">
        <is>
          <t>submerged</t>
        </is>
      </c>
      <c r="AB28" s="18" t="inlineStr"/>
      <c r="AC28" s="18" t="inlineStr"/>
      <c r="AD28" s="18" t="inlineStr"/>
      <c r="AE28" s="18" t="inlineStr">
        <is>
          <t>sky 8-15</t>
        </is>
      </c>
      <c r="AF28" s="18" t="inlineStr">
        <is>
          <t>False</t>
        </is>
      </c>
      <c r="AG28" s="18" t="inlineStr"/>
      <c r="AH28" s="18" t="inlineStr"/>
      <c r="AI28" s="18" t="inlineStr"/>
      <c r="AJ28" s="18" t="inlineStr">
        <is>
          <t>Cobblemon 동일</t>
        </is>
      </c>
      <c r="AK28" s="18" t="inlineStr">
        <is>
          <t>사용</t>
        </is>
      </c>
      <c r="AL28" s="18" t="inlineStr">
        <is>
          <t>COBBLEVERSE 1.7.42 / DP v31</t>
        </is>
      </c>
      <c r="AM28" s="18" t="inlineStr">
        <is>
          <t>data/cobblemon/spawn_pool_world/0009_blastoise.json</t>
        </is>
      </c>
      <c r="AN28" s="18" t="inlineStr">
        <is>
          <t>blastoise-4</t>
        </is>
      </c>
      <c r="AO28" s="18" t="inlineStr">
        <is>
          <t>pokemon</t>
        </is>
      </c>
      <c r="AP28" s="18" t="inlineStr">
        <is>
          <t>water</t>
        </is>
      </c>
      <c r="AQ28" s="18" t="inlineStr">
        <is>
          <t>{"biomes":["#cobblemon:is_freshwater","#cobblemon:is_hills","#cobblemon:is_jungle","#cobblemon:is_temperate","#cobblemon:is_tropical_island"],"canSeeSky":false,"maxSkyLight":15,"minSkyLight":8}</t>
        </is>
      </c>
      <c r="AR28" s="18" t="inlineStr">
        <is>
          <t>{"biomes":["#cobblemon:is_freezing"]}</t>
        </is>
      </c>
      <c r="AS28" s="18" t="inlineStr"/>
      <c r="AT28" s="19" t="inlineStr"/>
    </row>
    <row r="29" ht="32" customHeight="1">
      <c r="A29" s="18" t="inlineStr">
        <is>
          <t>0009_blastoise.json::blastoise-5::005</t>
        </is>
      </c>
      <c r="B29" s="19" t="inlineStr">
        <is>
          <t>사용</t>
        </is>
      </c>
      <c r="C29" s="18">
        <f>IF(OR(B29&lt;&gt;AK29,M29&lt;&gt;L29,O29&lt;&gt;"",Q29&lt;&gt;"",V29&lt;&gt;1,Y29&lt;&gt;"",AT29&lt;&gt;""),"수정","원본")</f>
        <v/>
      </c>
      <c r="D29" s="18" t="n">
        <v>9</v>
      </c>
      <c r="E29" s="18" t="inlineStr">
        <is>
          <t>거북왕</t>
        </is>
      </c>
      <c r="F29" s="18" t="inlineStr">
        <is>
          <t>blastoise</t>
        </is>
      </c>
      <c r="G29" s="18" t="inlineStr">
        <is>
          <t>blastoise</t>
        </is>
      </c>
      <c r="H29" s="18" t="inlineStr"/>
      <c r="I29" s="18" t="n">
        <v>1</v>
      </c>
      <c r="J29" s="18" t="n"/>
      <c r="K29" s="18" t="n">
        <v>1</v>
      </c>
      <c r="L29" s="18" t="inlineStr">
        <is>
          <t>cobbleventure:generation_1</t>
        </is>
      </c>
      <c r="M29" s="19" t="inlineStr">
        <is>
          <t>cobbleventure:generation_1</t>
        </is>
      </c>
      <c r="N29" s="18" t="inlineStr">
        <is>
          <t>region_01; region_02</t>
        </is>
      </c>
      <c r="O29" s="19" t="inlineStr"/>
      <c r="P29" s="18" t="inlineStr">
        <is>
          <t>#cobblemon:is_freshwater; #cobblemon:is_hills; #cobblemon:is_jungle; #cobblemon:is_temperate; #cobblemon:is_tropical_island</t>
        </is>
      </c>
      <c r="Q29" s="19" t="inlineStr"/>
      <c r="R29" s="18">
        <f>IF(Q29="",P29,Q29)</f>
        <v/>
      </c>
      <c r="S29" s="18" t="inlineStr">
        <is>
          <t>#cobblemon:is_freezing</t>
        </is>
      </c>
      <c r="T29" s="18" t="inlineStr">
        <is>
          <t>ultra-rare</t>
        </is>
      </c>
      <c r="U29" s="20" t="n">
        <v>0.4</v>
      </c>
      <c r="V29" s="21" t="n">
        <v>1</v>
      </c>
      <c r="W29" s="20">
        <f>IF(OR(U29="",V29=""),U29,U29*V29)</f>
        <v/>
      </c>
      <c r="X29" s="18" t="inlineStr">
        <is>
          <t>36-53</t>
        </is>
      </c>
      <c r="Y29" s="19" t="inlineStr"/>
      <c r="Z29" s="18">
        <f>IF(Y29="",X29,Y29)</f>
        <v/>
      </c>
      <c r="AA29" s="18" t="inlineStr">
        <is>
          <t>fishing</t>
        </is>
      </c>
      <c r="AB29" s="18" t="inlineStr"/>
      <c r="AC29" s="18" t="inlineStr"/>
      <c r="AD29" s="18" t="inlineStr"/>
      <c r="AE29" s="18" t="inlineStr">
        <is>
          <t>sky 8-15</t>
        </is>
      </c>
      <c r="AF29" s="18" t="inlineStr">
        <is>
          <t>False</t>
        </is>
      </c>
      <c r="AG29" s="18" t="inlineStr"/>
      <c r="AH29" s="18" t="inlineStr"/>
      <c r="AI29" s="18" t="inlineStr"/>
      <c r="AJ29" s="18" t="inlineStr">
        <is>
          <t>Cobblemon 동일</t>
        </is>
      </c>
      <c r="AK29" s="18" t="inlineStr">
        <is>
          <t>사용</t>
        </is>
      </c>
      <c r="AL29" s="18" t="inlineStr">
        <is>
          <t>COBBLEVERSE 1.7.42 / DP v31</t>
        </is>
      </c>
      <c r="AM29" s="18" t="inlineStr">
        <is>
          <t>data/cobblemon/spawn_pool_world/0009_blastoise.json</t>
        </is>
      </c>
      <c r="AN29" s="18" t="inlineStr">
        <is>
          <t>blastoise-5</t>
        </is>
      </c>
      <c r="AO29" s="18" t="inlineStr">
        <is>
          <t>pokemon</t>
        </is>
      </c>
      <c r="AP29" s="18" t="inlineStr"/>
      <c r="AQ29" s="18" t="inlineStr">
        <is>
          <t>{"biomes":["#cobblemon:is_freshwater","#cobblemon:is_hills","#cobblemon:is_jungle","#cobblemon:is_temperate","#cobblemon:is_tropical_island"],"canSeeSky":false,"maxSkyLight":15,"minSkyLight":8}</t>
        </is>
      </c>
      <c r="AR29" s="18" t="inlineStr">
        <is>
          <t>{"biomes":["#cobblemon:is_freezing"]}</t>
        </is>
      </c>
      <c r="AS29" s="18" t="inlineStr"/>
      <c r="AT29" s="19" t="inlineStr"/>
    </row>
    <row r="30" ht="32" customHeight="1">
      <c r="A30" s="18" t="inlineStr">
        <is>
          <t>0010_caterpie.json::caterpie-1::001</t>
        </is>
      </c>
      <c r="B30" s="19" t="inlineStr">
        <is>
          <t>사용</t>
        </is>
      </c>
      <c r="C30" s="18">
        <f>IF(OR(B30&lt;&gt;AK30,M30&lt;&gt;L30,O30&lt;&gt;"",Q30&lt;&gt;"",V30&lt;&gt;1,Y30&lt;&gt;"",AT30&lt;&gt;""),"수정","원본")</f>
        <v/>
      </c>
      <c r="D30" s="18" t="n">
        <v>10</v>
      </c>
      <c r="E30" s="18" t="inlineStr">
        <is>
          <t>캐터피</t>
        </is>
      </c>
      <c r="F30" s="18" t="inlineStr">
        <is>
          <t>caterpie</t>
        </is>
      </c>
      <c r="G30" s="18" t="inlineStr">
        <is>
          <t>caterpie</t>
        </is>
      </c>
      <c r="H30" s="18" t="inlineStr"/>
      <c r="I30" s="18" t="n">
        <v>1</v>
      </c>
      <c r="J30" s="18" t="n"/>
      <c r="K30" s="18" t="n">
        <v>1</v>
      </c>
      <c r="L30" s="18" t="inlineStr">
        <is>
          <t>cobbleventure:generation_1</t>
        </is>
      </c>
      <c r="M30" s="19" t="inlineStr">
        <is>
          <t>cobbleventure:generation_1</t>
        </is>
      </c>
      <c r="N30" s="18" t="inlineStr">
        <is>
          <t>region_01</t>
        </is>
      </c>
      <c r="O30" s="19" t="inlineStr"/>
      <c r="P30" s="18" t="inlineStr">
        <is>
          <t>#cobblemon:is_forest; #cobblemon:is_plains; aether:skyroot_forest; aether:skyroot_woodland</t>
        </is>
      </c>
      <c r="Q30" s="19" t="inlineStr"/>
      <c r="R30" s="18">
        <f>IF(Q30="",P30,Q30)</f>
        <v/>
      </c>
      <c r="S30" s="18" t="inlineStr">
        <is>
          <t>#cobblemon:is_freezing; #cobblemon:is_spooky</t>
        </is>
      </c>
      <c r="T30" s="18" t="inlineStr">
        <is>
          <t>common</t>
        </is>
      </c>
      <c r="U30" s="20" t="n">
        <v>7</v>
      </c>
      <c r="V30" s="21" t="n">
        <v>1</v>
      </c>
      <c r="W30" s="20">
        <f>IF(OR(U30="",V30=""),U30,U30*V30)</f>
        <v/>
      </c>
      <c r="X30" s="18" t="inlineStr">
        <is>
          <t>1-20</t>
        </is>
      </c>
      <c r="Y30" s="19" t="inlineStr"/>
      <c r="Z30" s="18">
        <f>IF(Y30="",X30,Y30)</f>
        <v/>
      </c>
      <c r="AA30" s="18" t="inlineStr">
        <is>
          <t>grounded</t>
        </is>
      </c>
      <c r="AB30" s="18" t="inlineStr"/>
      <c r="AC30" s="18" t="inlineStr"/>
      <c r="AD30" s="18" t="inlineStr"/>
      <c r="AE30" s="18" t="inlineStr">
        <is>
          <t>sky 8-15</t>
        </is>
      </c>
      <c r="AF30" s="18" t="inlineStr"/>
      <c r="AG30" s="18" t="inlineStr"/>
      <c r="AH30" s="18" t="inlineStr"/>
      <c r="AI30" s="18" t="inlineStr"/>
      <c r="AJ30" s="18" t="inlineStr">
        <is>
          <t>Cobblemon 동일</t>
        </is>
      </c>
      <c r="AK30" s="18" t="inlineStr">
        <is>
          <t>사용</t>
        </is>
      </c>
      <c r="AL30" s="18" t="inlineStr">
        <is>
          <t>COBBLEVERSE 1.7.42 / DP v31</t>
        </is>
      </c>
      <c r="AM30" s="18" t="inlineStr">
        <is>
          <t>data/cobblemon/spawn_pool_world/0010_caterpie.json</t>
        </is>
      </c>
      <c r="AN30" s="18" t="inlineStr">
        <is>
          <t>caterpie-1</t>
        </is>
      </c>
      <c r="AO30" s="18" t="inlineStr">
        <is>
          <t>pokemon</t>
        </is>
      </c>
      <c r="AP30" s="18" t="inlineStr">
        <is>
          <t>natural; foliage; treetop</t>
        </is>
      </c>
      <c r="AQ30" s="18" t="inlineStr">
        <is>
          <t>{"biomes":["#cobblemon:is_forest","#cobblemon:is_plains","aether:skyroot_forest","aether:skyroot_woodland"],"maxSkyLight":15,"minSkyLight":8}</t>
        </is>
      </c>
      <c r="AR30" s="18" t="inlineStr">
        <is>
          <t>{"biomes":["#cobblemon:is_freezing","#cobblemon:is_spooky"]}</t>
        </is>
      </c>
      <c r="AS30" s="18" t="inlineStr"/>
      <c r="AT30" s="19" t="inlineStr"/>
    </row>
    <row r="31" ht="32" customHeight="1">
      <c r="A31" s="18" t="inlineStr">
        <is>
          <t>0010_caterpie.json::caterpie-valencian-2::002</t>
        </is>
      </c>
      <c r="B31" s="19" t="inlineStr">
        <is>
          <t>사용</t>
        </is>
      </c>
      <c r="C31" s="18">
        <f>IF(OR(B31&lt;&gt;AK31,M31&lt;&gt;L31,O31&lt;&gt;"",Q31&lt;&gt;"",V31&lt;&gt;1,Y31&lt;&gt;"",AT31&lt;&gt;""),"수정","원본")</f>
        <v/>
      </c>
      <c r="D31" s="18" t="n">
        <v>10</v>
      </c>
      <c r="E31" s="18" t="inlineStr">
        <is>
          <t>캐터피</t>
        </is>
      </c>
      <c r="F31" s="18" t="inlineStr">
        <is>
          <t>caterpie</t>
        </is>
      </c>
      <c r="G31" s="18" t="inlineStr">
        <is>
          <t>caterpie valencian</t>
        </is>
      </c>
      <c r="H31" s="18" t="inlineStr">
        <is>
          <t>valencian</t>
        </is>
      </c>
      <c r="I31" s="18" t="n">
        <v>1</v>
      </c>
      <c r="J31" s="18" t="n"/>
      <c r="K31" s="18" t="n">
        <v>1</v>
      </c>
      <c r="L31" s="18" t="inlineStr">
        <is>
          <t>cobbleventure:generation_1</t>
        </is>
      </c>
      <c r="M31" s="19" t="inlineStr">
        <is>
          <t>cobbleventure:generation_1</t>
        </is>
      </c>
      <c r="N31" s="18" t="inlineStr"/>
      <c r="O31" s="19" t="inlineStr"/>
      <c r="P31" s="18" t="inlineStr">
        <is>
          <t>#cobblemon:is_jungle; #cobblemon:is_tropical_island</t>
        </is>
      </c>
      <c r="Q31" s="19" t="inlineStr"/>
      <c r="R31" s="18">
        <f>IF(Q31="",P31,Q31)</f>
        <v/>
      </c>
      <c r="S31" s="18" t="inlineStr"/>
      <c r="T31" s="18" t="inlineStr">
        <is>
          <t>common</t>
        </is>
      </c>
      <c r="U31" s="20" t="n">
        <v>7</v>
      </c>
      <c r="V31" s="21" t="n">
        <v>1</v>
      </c>
      <c r="W31" s="20">
        <f>IF(OR(U31="",V31=""),U31,U31*V31)</f>
        <v/>
      </c>
      <c r="X31" s="18" t="inlineStr">
        <is>
          <t>1-20</t>
        </is>
      </c>
      <c r="Y31" s="19" t="inlineStr"/>
      <c r="Z31" s="18">
        <f>IF(Y31="",X31,Y31)</f>
        <v/>
      </c>
      <c r="AA31" s="18" t="inlineStr">
        <is>
          <t>grounded</t>
        </is>
      </c>
      <c r="AB31" s="18" t="inlineStr"/>
      <c r="AC31" s="18" t="inlineStr"/>
      <c r="AD31" s="18" t="inlineStr"/>
      <c r="AE31" s="18" t="inlineStr">
        <is>
          <t>sky 8-15</t>
        </is>
      </c>
      <c r="AF31" s="18" t="inlineStr"/>
      <c r="AG31" s="18" t="inlineStr"/>
      <c r="AH31" s="18" t="inlineStr"/>
      <c r="AI31" s="18" t="inlineStr"/>
      <c r="AJ31" s="18" t="inlineStr">
        <is>
          <t>Cobblemon 동일</t>
        </is>
      </c>
      <c r="AK31" s="18" t="inlineStr">
        <is>
          <t>사용</t>
        </is>
      </c>
      <c r="AL31" s="18" t="inlineStr">
        <is>
          <t>COBBLEVERSE 1.7.42 / DP v31</t>
        </is>
      </c>
      <c r="AM31" s="18" t="inlineStr">
        <is>
          <t>data/cobblemon/spawn_pool_world/0010_caterpie.json</t>
        </is>
      </c>
      <c r="AN31" s="18" t="inlineStr">
        <is>
          <t>caterpie-valencian-2</t>
        </is>
      </c>
      <c r="AO31" s="18" t="inlineStr">
        <is>
          <t>pokemon</t>
        </is>
      </c>
      <c r="AP31" s="18" t="inlineStr">
        <is>
          <t>natural; treetop</t>
        </is>
      </c>
      <c r="AQ31" s="18" t="inlineStr">
        <is>
          <t>{"biomes":["#cobblemon:is_jungle","#cobblemon:is_tropical_island"],"maxSkyLight":15,"minSkyLight":8}</t>
        </is>
      </c>
      <c r="AR31" s="18" t="inlineStr"/>
      <c r="AS31" s="18" t="inlineStr"/>
      <c r="AT31" s="19" t="inlineStr"/>
    </row>
    <row r="32" ht="32" customHeight="1">
      <c r="A32" s="18" t="inlineStr">
        <is>
          <t>0010_caterpie.json::caterpie-valencian-3::003</t>
        </is>
      </c>
      <c r="B32" s="19" t="inlineStr">
        <is>
          <t>사용</t>
        </is>
      </c>
      <c r="C32" s="18">
        <f>IF(OR(B32&lt;&gt;AK32,M32&lt;&gt;L32,O32&lt;&gt;"",Q32&lt;&gt;"",V32&lt;&gt;1,Y32&lt;&gt;"",AT32&lt;&gt;""),"수정","원본")</f>
        <v/>
      </c>
      <c r="D32" s="18" t="n">
        <v>10</v>
      </c>
      <c r="E32" s="18" t="inlineStr">
        <is>
          <t>캐터피</t>
        </is>
      </c>
      <c r="F32" s="18" t="inlineStr">
        <is>
          <t>caterpie</t>
        </is>
      </c>
      <c r="G32" s="18" t="inlineStr">
        <is>
          <t>caterpie valencian</t>
        </is>
      </c>
      <c r="H32" s="18" t="inlineStr">
        <is>
          <t>valencian</t>
        </is>
      </c>
      <c r="I32" s="18" t="n">
        <v>1</v>
      </c>
      <c r="J32" s="18" t="n"/>
      <c r="K32" s="18" t="n">
        <v>1</v>
      </c>
      <c r="L32" s="18" t="inlineStr">
        <is>
          <t>cobbleventure:generation_1</t>
        </is>
      </c>
      <c r="M32" s="19" t="inlineStr">
        <is>
          <t>cobbleventure:generation_1</t>
        </is>
      </c>
      <c r="N32" s="18" t="inlineStr"/>
      <c r="O32" s="19" t="inlineStr"/>
      <c r="P32" s="18" t="inlineStr">
        <is>
          <t>the_bumblezone:floral_meadow</t>
        </is>
      </c>
      <c r="Q32" s="19" t="inlineStr"/>
      <c r="R32" s="18">
        <f>IF(Q32="",P32,Q32)</f>
        <v/>
      </c>
      <c r="S32" s="18" t="inlineStr"/>
      <c r="T32" s="18" t="inlineStr">
        <is>
          <t>common</t>
        </is>
      </c>
      <c r="U32" s="20" t="n">
        <v>4.5</v>
      </c>
      <c r="V32" s="21" t="n">
        <v>1</v>
      </c>
      <c r="W32" s="20">
        <f>IF(OR(U32="",V32=""),U32,U32*V32)</f>
        <v/>
      </c>
      <c r="X32" s="18" t="inlineStr">
        <is>
          <t>1-20</t>
        </is>
      </c>
      <c r="Y32" s="19" t="inlineStr"/>
      <c r="Z32" s="18">
        <f>IF(Y32="",X32,Y32)</f>
        <v/>
      </c>
      <c r="AA32" s="18" t="inlineStr">
        <is>
          <t>grounded</t>
        </is>
      </c>
      <c r="AB32" s="18" t="inlineStr"/>
      <c r="AC32" s="18" t="inlineStr"/>
      <c r="AD32" s="18" t="inlineStr"/>
      <c r="AE32" s="18" t="inlineStr"/>
      <c r="AF32" s="18" t="inlineStr"/>
      <c r="AG32" s="18" t="inlineStr"/>
      <c r="AH32" s="18" t="inlineStr"/>
      <c r="AI32" s="18" t="inlineStr"/>
      <c r="AJ32" s="18" t="inlineStr">
        <is>
          <t>Cobblemon 동일</t>
        </is>
      </c>
      <c r="AK32" s="18" t="inlineStr">
        <is>
          <t>사용</t>
        </is>
      </c>
      <c r="AL32" s="18" t="inlineStr">
        <is>
          <t>COBBLEVERSE 1.7.42 / DP v31</t>
        </is>
      </c>
      <c r="AM32" s="18" t="inlineStr">
        <is>
          <t>data/cobblemon/spawn_pool_world/0010_caterpie.json</t>
        </is>
      </c>
      <c r="AN32" s="18" t="inlineStr">
        <is>
          <t>caterpie-valencian-3</t>
        </is>
      </c>
      <c r="AO32" s="18" t="inlineStr">
        <is>
          <t>pokemon</t>
        </is>
      </c>
      <c r="AP32" s="18" t="inlineStr"/>
      <c r="AQ32" s="18" t="inlineStr">
        <is>
          <t>{"biomes":["the_bumblezone:floral_meadow"]}</t>
        </is>
      </c>
      <c r="AR32" s="18" t="inlineStr">
        <is>
          <t>{"structures":["#the_bumblezone:sempiternal_sanctums"]}</t>
        </is>
      </c>
      <c r="AS32" s="18" t="inlineStr"/>
      <c r="AT32" s="19" t="inlineStr"/>
    </row>
    <row r="33" ht="32" customHeight="1">
      <c r="A33" s="18" t="inlineStr">
        <is>
          <t>0011_metapod.json::metapod-1::001</t>
        </is>
      </c>
      <c r="B33" s="19" t="inlineStr">
        <is>
          <t>사용</t>
        </is>
      </c>
      <c r="C33" s="18">
        <f>IF(OR(B33&lt;&gt;AK33,M33&lt;&gt;L33,O33&lt;&gt;"",Q33&lt;&gt;"",V33&lt;&gt;1,Y33&lt;&gt;"",AT33&lt;&gt;""),"수정","원본")</f>
        <v/>
      </c>
      <c r="D33" s="18" t="n">
        <v>11</v>
      </c>
      <c r="E33" s="18" t="inlineStr">
        <is>
          <t>단데기</t>
        </is>
      </c>
      <c r="F33" s="18" t="inlineStr">
        <is>
          <t>metapod</t>
        </is>
      </c>
      <c r="G33" s="18" t="inlineStr">
        <is>
          <t>metapod</t>
        </is>
      </c>
      <c r="H33" s="18" t="inlineStr"/>
      <c r="I33" s="18" t="n">
        <v>1</v>
      </c>
      <c r="J33" s="18" t="n"/>
      <c r="K33" s="18" t="n">
        <v>1</v>
      </c>
      <c r="L33" s="18" t="inlineStr">
        <is>
          <t>cobbleventure:generation_1</t>
        </is>
      </c>
      <c r="M33" s="19" t="inlineStr">
        <is>
          <t>cobbleventure:generation_1</t>
        </is>
      </c>
      <c r="N33" s="18" t="inlineStr">
        <is>
          <t>region_01</t>
        </is>
      </c>
      <c r="O33" s="19" t="inlineStr"/>
      <c r="P33" s="18" t="inlineStr">
        <is>
          <t>#cobblemon:is_forest; #cobblemon:is_plains; aether:skyroot_forest; aether:skyroot_woodland</t>
        </is>
      </c>
      <c r="Q33" s="19" t="inlineStr"/>
      <c r="R33" s="18">
        <f>IF(Q33="",P33,Q33)</f>
        <v/>
      </c>
      <c r="S33" s="18" t="inlineStr">
        <is>
          <t>#cobblemon:is_freezing; #cobblemon:is_spooky</t>
        </is>
      </c>
      <c r="T33" s="18" t="inlineStr">
        <is>
          <t>common</t>
        </is>
      </c>
      <c r="U33" s="20" t="n">
        <v>2</v>
      </c>
      <c r="V33" s="21" t="n">
        <v>1</v>
      </c>
      <c r="W33" s="20">
        <f>IF(OR(U33="",V33=""),U33,U33*V33)</f>
        <v/>
      </c>
      <c r="X33" s="18" t="inlineStr">
        <is>
          <t>7-21</t>
        </is>
      </c>
      <c r="Y33" s="19" t="inlineStr"/>
      <c r="Z33" s="18">
        <f>IF(Y33="",X33,Y33)</f>
        <v/>
      </c>
      <c r="AA33" s="18" t="inlineStr">
        <is>
          <t>grounded</t>
        </is>
      </c>
      <c r="AB33" s="18" t="inlineStr"/>
      <c r="AC33" s="18" t="inlineStr"/>
      <c r="AD33" s="18" t="inlineStr"/>
      <c r="AE33" s="18" t="inlineStr">
        <is>
          <t>sky 8-15</t>
        </is>
      </c>
      <c r="AF33" s="18" t="inlineStr"/>
      <c r="AG33" s="18" t="inlineStr"/>
      <c r="AH33" s="18" t="inlineStr"/>
      <c r="AI33" s="18" t="inlineStr"/>
      <c r="AJ33" s="18" t="inlineStr">
        <is>
          <t>Cobblemon 동일</t>
        </is>
      </c>
      <c r="AK33" s="18" t="inlineStr">
        <is>
          <t>사용</t>
        </is>
      </c>
      <c r="AL33" s="18" t="inlineStr">
        <is>
          <t>COBBLEVERSE 1.7.42 / DP v31</t>
        </is>
      </c>
      <c r="AM33" s="18" t="inlineStr">
        <is>
          <t>data/cobblemon/spawn_pool_world/0011_metapod.json</t>
        </is>
      </c>
      <c r="AN33" s="18" t="inlineStr">
        <is>
          <t>metapod-1</t>
        </is>
      </c>
      <c r="AO33" s="18" t="inlineStr">
        <is>
          <t>pokemon</t>
        </is>
      </c>
      <c r="AP33" s="18" t="inlineStr">
        <is>
          <t>natural; foliage; treetop</t>
        </is>
      </c>
      <c r="AQ33" s="18" t="inlineStr">
        <is>
          <t>{"biomes":["#cobblemon:is_forest","#cobblemon:is_plains","aether:skyroot_forest","aether:skyroot_woodland"],"maxSkyLight":15,"minSkyLight":8}</t>
        </is>
      </c>
      <c r="AR33" s="18" t="inlineStr">
        <is>
          <t>{"biomes":["#cobblemon:is_freezing","#cobblemon:is_spooky"]}</t>
        </is>
      </c>
      <c r="AS33" s="18" t="inlineStr"/>
      <c r="AT33" s="19" t="inlineStr"/>
    </row>
    <row r="34" ht="32" customHeight="1">
      <c r="A34" s="18" t="inlineStr">
        <is>
          <t>0011_metapod.json::metapod-valencian-2::002</t>
        </is>
      </c>
      <c r="B34" s="19" t="inlineStr">
        <is>
          <t>사용</t>
        </is>
      </c>
      <c r="C34" s="18">
        <f>IF(OR(B34&lt;&gt;AK34,M34&lt;&gt;L34,O34&lt;&gt;"",Q34&lt;&gt;"",V34&lt;&gt;1,Y34&lt;&gt;"",AT34&lt;&gt;""),"수정","원본")</f>
        <v/>
      </c>
      <c r="D34" s="18" t="n">
        <v>11</v>
      </c>
      <c r="E34" s="18" t="inlineStr">
        <is>
          <t>단데기</t>
        </is>
      </c>
      <c r="F34" s="18" t="inlineStr">
        <is>
          <t>metapod</t>
        </is>
      </c>
      <c r="G34" s="18" t="inlineStr">
        <is>
          <t>metapod valencian</t>
        </is>
      </c>
      <c r="H34" s="18" t="inlineStr">
        <is>
          <t>valencian</t>
        </is>
      </c>
      <c r="I34" s="18" t="n">
        <v>1</v>
      </c>
      <c r="J34" s="18" t="n"/>
      <c r="K34" s="18" t="n">
        <v>1</v>
      </c>
      <c r="L34" s="18" t="inlineStr">
        <is>
          <t>cobbleventure:generation_1</t>
        </is>
      </c>
      <c r="M34" s="19" t="inlineStr">
        <is>
          <t>cobbleventure:generation_1</t>
        </is>
      </c>
      <c r="N34" s="18" t="inlineStr"/>
      <c r="O34" s="19" t="inlineStr"/>
      <c r="P34" s="18" t="inlineStr">
        <is>
          <t>#cobblemon:is_jungle; #cobblemon:is_tropical_island</t>
        </is>
      </c>
      <c r="Q34" s="19" t="inlineStr"/>
      <c r="R34" s="18">
        <f>IF(Q34="",P34,Q34)</f>
        <v/>
      </c>
      <c r="S34" s="18" t="inlineStr"/>
      <c r="T34" s="18" t="inlineStr">
        <is>
          <t>common</t>
        </is>
      </c>
      <c r="U34" s="20" t="n">
        <v>2</v>
      </c>
      <c r="V34" s="21" t="n">
        <v>1</v>
      </c>
      <c r="W34" s="20">
        <f>IF(OR(U34="",V34=""),U34,U34*V34)</f>
        <v/>
      </c>
      <c r="X34" s="18" t="inlineStr">
        <is>
          <t>7-21</t>
        </is>
      </c>
      <c r="Y34" s="19" t="inlineStr"/>
      <c r="Z34" s="18">
        <f>IF(Y34="",X34,Y34)</f>
        <v/>
      </c>
      <c r="AA34" s="18" t="inlineStr">
        <is>
          <t>grounded</t>
        </is>
      </c>
      <c r="AB34" s="18" t="inlineStr"/>
      <c r="AC34" s="18" t="inlineStr"/>
      <c r="AD34" s="18" t="inlineStr"/>
      <c r="AE34" s="18" t="inlineStr">
        <is>
          <t>sky 8-15</t>
        </is>
      </c>
      <c r="AF34" s="18" t="inlineStr"/>
      <c r="AG34" s="18" t="inlineStr"/>
      <c r="AH34" s="18" t="inlineStr"/>
      <c r="AI34" s="18" t="inlineStr"/>
      <c r="AJ34" s="18" t="inlineStr">
        <is>
          <t>Cobblemon 동일</t>
        </is>
      </c>
      <c r="AK34" s="18" t="inlineStr">
        <is>
          <t>사용</t>
        </is>
      </c>
      <c r="AL34" s="18" t="inlineStr">
        <is>
          <t>COBBLEVERSE 1.7.42 / DP v31</t>
        </is>
      </c>
      <c r="AM34" s="18" t="inlineStr">
        <is>
          <t>data/cobblemon/spawn_pool_world/0011_metapod.json</t>
        </is>
      </c>
      <c r="AN34" s="18" t="inlineStr">
        <is>
          <t>metapod-valencian-2</t>
        </is>
      </c>
      <c r="AO34" s="18" t="inlineStr">
        <is>
          <t>pokemon</t>
        </is>
      </c>
      <c r="AP34" s="18" t="inlineStr">
        <is>
          <t>natural; treetop</t>
        </is>
      </c>
      <c r="AQ34" s="18" t="inlineStr">
        <is>
          <t>{"biomes":["#cobblemon:is_jungle","#cobblemon:is_tropical_island"],"maxSkyLight":15,"minSkyLight":8}</t>
        </is>
      </c>
      <c r="AR34" s="18" t="inlineStr"/>
      <c r="AS34" s="18" t="inlineStr"/>
      <c r="AT34" s="19" t="inlineStr"/>
    </row>
    <row r="35" ht="32" customHeight="1">
      <c r="A35" s="18" t="inlineStr">
        <is>
          <t>0011_metapod.json::metapod-valencian-3::003</t>
        </is>
      </c>
      <c r="B35" s="19" t="inlineStr">
        <is>
          <t>사용</t>
        </is>
      </c>
      <c r="C35" s="18">
        <f>IF(OR(B35&lt;&gt;AK35,M35&lt;&gt;L35,O35&lt;&gt;"",Q35&lt;&gt;"",V35&lt;&gt;1,Y35&lt;&gt;"",AT35&lt;&gt;""),"수정","원본")</f>
        <v/>
      </c>
      <c r="D35" s="18" t="n">
        <v>11</v>
      </c>
      <c r="E35" s="18" t="inlineStr">
        <is>
          <t>단데기</t>
        </is>
      </c>
      <c r="F35" s="18" t="inlineStr">
        <is>
          <t>metapod</t>
        </is>
      </c>
      <c r="G35" s="18" t="inlineStr">
        <is>
          <t>metapod valencian</t>
        </is>
      </c>
      <c r="H35" s="18" t="inlineStr">
        <is>
          <t>valencian</t>
        </is>
      </c>
      <c r="I35" s="18" t="n">
        <v>1</v>
      </c>
      <c r="J35" s="18" t="n"/>
      <c r="K35" s="18" t="n">
        <v>1</v>
      </c>
      <c r="L35" s="18" t="inlineStr">
        <is>
          <t>cobbleventure:generation_1</t>
        </is>
      </c>
      <c r="M35" s="19" t="inlineStr">
        <is>
          <t>cobbleventure:generation_1</t>
        </is>
      </c>
      <c r="N35" s="18" t="inlineStr"/>
      <c r="O35" s="19" t="inlineStr"/>
      <c r="P35" s="18" t="inlineStr">
        <is>
          <t>the_bumblezone:floral_meadow</t>
        </is>
      </c>
      <c r="Q35" s="19" t="inlineStr"/>
      <c r="R35" s="18">
        <f>IF(Q35="",P35,Q35)</f>
        <v/>
      </c>
      <c r="S35" s="18" t="inlineStr"/>
      <c r="T35" s="18" t="inlineStr">
        <is>
          <t>common</t>
        </is>
      </c>
      <c r="U35" s="20" t="n">
        <v>1</v>
      </c>
      <c r="V35" s="21" t="n">
        <v>1</v>
      </c>
      <c r="W35" s="20">
        <f>IF(OR(U35="",V35=""),U35,U35*V35)</f>
        <v/>
      </c>
      <c r="X35" s="18" t="inlineStr">
        <is>
          <t>7-21</t>
        </is>
      </c>
      <c r="Y35" s="19" t="inlineStr"/>
      <c r="Z35" s="18">
        <f>IF(Y35="",X35,Y35)</f>
        <v/>
      </c>
      <c r="AA35" s="18" t="inlineStr">
        <is>
          <t>grounded</t>
        </is>
      </c>
      <c r="AB35" s="18" t="inlineStr"/>
      <c r="AC35" s="18" t="inlineStr"/>
      <c r="AD35" s="18" t="inlineStr"/>
      <c r="AE35" s="18" t="inlineStr"/>
      <c r="AF35" s="18" t="inlineStr"/>
      <c r="AG35" s="18" t="inlineStr"/>
      <c r="AH35" s="18" t="inlineStr"/>
      <c r="AI35" s="18" t="inlineStr"/>
      <c r="AJ35" s="18" t="inlineStr">
        <is>
          <t>Cobblemon 동일</t>
        </is>
      </c>
      <c r="AK35" s="18" t="inlineStr">
        <is>
          <t>사용</t>
        </is>
      </c>
      <c r="AL35" s="18" t="inlineStr">
        <is>
          <t>COBBLEVERSE 1.7.42 / DP v31</t>
        </is>
      </c>
      <c r="AM35" s="18" t="inlineStr">
        <is>
          <t>data/cobblemon/spawn_pool_world/0011_metapod.json</t>
        </is>
      </c>
      <c r="AN35" s="18" t="inlineStr">
        <is>
          <t>metapod-valencian-3</t>
        </is>
      </c>
      <c r="AO35" s="18" t="inlineStr">
        <is>
          <t>pokemon</t>
        </is>
      </c>
      <c r="AP35" s="18" t="inlineStr"/>
      <c r="AQ35" s="18" t="inlineStr">
        <is>
          <t>{"biomes":["the_bumblezone:floral_meadow"]}</t>
        </is>
      </c>
      <c r="AR35" s="18" t="inlineStr">
        <is>
          <t>{"structures":["#the_bumblezone:sempiternal_sanctums"]}</t>
        </is>
      </c>
      <c r="AS35" s="18" t="inlineStr"/>
      <c r="AT35" s="19" t="inlineStr"/>
    </row>
    <row r="36" ht="32" customHeight="1">
      <c r="A36" s="18" t="inlineStr">
        <is>
          <t>0012_butterfree.json::butterfree-1::001</t>
        </is>
      </c>
      <c r="B36" s="19" t="inlineStr">
        <is>
          <t>사용</t>
        </is>
      </c>
      <c r="C36" s="18">
        <f>IF(OR(B36&lt;&gt;AK36,M36&lt;&gt;L36,O36&lt;&gt;"",Q36&lt;&gt;"",V36&lt;&gt;1,Y36&lt;&gt;"",AT36&lt;&gt;""),"수정","원본")</f>
        <v/>
      </c>
      <c r="D36" s="18" t="n">
        <v>12</v>
      </c>
      <c r="E36" s="18" t="inlineStr">
        <is>
          <t>버터플</t>
        </is>
      </c>
      <c r="F36" s="18" t="inlineStr">
        <is>
          <t>butterfree</t>
        </is>
      </c>
      <c r="G36" s="18" t="inlineStr">
        <is>
          <t>butterfree</t>
        </is>
      </c>
      <c r="H36" s="18" t="inlineStr"/>
      <c r="I36" s="18" t="n">
        <v>1</v>
      </c>
      <c r="J36" s="18" t="n"/>
      <c r="K36" s="18" t="n">
        <v>1</v>
      </c>
      <c r="L36" s="18" t="inlineStr">
        <is>
          <t>cobbleventure:generation_1</t>
        </is>
      </c>
      <c r="M36" s="19" t="inlineStr">
        <is>
          <t>cobbleventure:generation_1</t>
        </is>
      </c>
      <c r="N36" s="18" t="inlineStr">
        <is>
          <t>region_01</t>
        </is>
      </c>
      <c r="O36" s="19" t="inlineStr"/>
      <c r="P36" s="18" t="inlineStr">
        <is>
          <t>#cobblemon:is_temperate</t>
        </is>
      </c>
      <c r="Q36" s="19" t="inlineStr"/>
      <c r="R36" s="18">
        <f>IF(Q36="",P36,Q36)</f>
        <v/>
      </c>
      <c r="S36" s="18" t="inlineStr">
        <is>
          <t>#cobblemon:is_floral; #cobblemon:is_freezing; #cobblemon:is_spooky</t>
        </is>
      </c>
      <c r="T36" s="18" t="inlineStr">
        <is>
          <t>common</t>
        </is>
      </c>
      <c r="U36" s="20" t="n">
        <v>1</v>
      </c>
      <c r="V36" s="21" t="n">
        <v>1</v>
      </c>
      <c r="W36" s="20">
        <f>IF(OR(U36="",V36=""),U36,U36*V36)</f>
        <v/>
      </c>
      <c r="X36" s="18" t="inlineStr">
        <is>
          <t>10-40</t>
        </is>
      </c>
      <c r="Y36" s="19" t="inlineStr"/>
      <c r="Z36" s="18">
        <f>IF(Y36="",X36,Y36)</f>
        <v/>
      </c>
      <c r="AA36" s="18" t="inlineStr">
        <is>
          <t>grounded</t>
        </is>
      </c>
      <c r="AB36" s="18" t="inlineStr">
        <is>
          <t>day</t>
        </is>
      </c>
      <c r="AC36" s="18" t="inlineStr"/>
      <c r="AD36" s="18" t="inlineStr"/>
      <c r="AE36" s="18" t="inlineStr">
        <is>
          <t>sky 8-15</t>
        </is>
      </c>
      <c r="AF36" s="18" t="inlineStr"/>
      <c r="AG36" s="18" t="inlineStr"/>
      <c r="AH36" s="18" t="inlineStr"/>
      <c r="AI36" s="18" t="inlineStr"/>
      <c r="AJ36" s="18" t="inlineStr">
        <is>
          <t>Cobblemon 동일</t>
        </is>
      </c>
      <c r="AK36" s="18" t="inlineStr">
        <is>
          <t>사용</t>
        </is>
      </c>
      <c r="AL36" s="18" t="inlineStr">
        <is>
          <t>COBBLEVERSE 1.7.42 / DP v31</t>
        </is>
      </c>
      <c r="AM36" s="18" t="inlineStr">
        <is>
          <t>data/cobblemon/spawn_pool_world/0012_butterfree.json</t>
        </is>
      </c>
      <c r="AN36" s="18" t="inlineStr">
        <is>
          <t>butterfree-1</t>
        </is>
      </c>
      <c r="AO36" s="18" t="inlineStr">
        <is>
          <t>pokemon</t>
        </is>
      </c>
      <c r="AP36" s="18" t="inlineStr">
        <is>
          <t>natural</t>
        </is>
      </c>
      <c r="AQ36" s="18" t="inlineStr">
        <is>
          <t>{"biomes":["#cobblemon:is_temperate"],"maxSkyLight":15,"minSkyLight":8,"timeRange":"day"}</t>
        </is>
      </c>
      <c r="AR36" s="18" t="inlineStr">
        <is>
          <t>{"biomes":["#cobblemon:is_floral","#cobblemon:is_freezing","#cobblemon:is_spooky"]}</t>
        </is>
      </c>
      <c r="AS36" s="18" t="inlineStr"/>
      <c r="AT36" s="19" t="inlineStr"/>
    </row>
    <row r="37" ht="32" customHeight="1">
      <c r="A37" s="18" t="inlineStr">
        <is>
          <t>0012_butterfree.json::butterfree-2::002</t>
        </is>
      </c>
      <c r="B37" s="19" t="inlineStr">
        <is>
          <t>사용</t>
        </is>
      </c>
      <c r="C37" s="18">
        <f>IF(OR(B37&lt;&gt;AK37,M37&lt;&gt;L37,O37&lt;&gt;"",Q37&lt;&gt;"",V37&lt;&gt;1,Y37&lt;&gt;"",AT37&lt;&gt;""),"수정","원본")</f>
        <v/>
      </c>
      <c r="D37" s="18" t="n">
        <v>12</v>
      </c>
      <c r="E37" s="18" t="inlineStr">
        <is>
          <t>버터플</t>
        </is>
      </c>
      <c r="F37" s="18" t="inlineStr">
        <is>
          <t>butterfree</t>
        </is>
      </c>
      <c r="G37" s="18" t="inlineStr">
        <is>
          <t>butterfree</t>
        </is>
      </c>
      <c r="H37" s="18" t="inlineStr"/>
      <c r="I37" s="18" t="n">
        <v>1</v>
      </c>
      <c r="J37" s="18" t="n"/>
      <c r="K37" s="18" t="n">
        <v>1</v>
      </c>
      <c r="L37" s="18" t="inlineStr">
        <is>
          <t>cobbleventure:generation_1</t>
        </is>
      </c>
      <c r="M37" s="19" t="inlineStr">
        <is>
          <t>cobbleventure:generation_1</t>
        </is>
      </c>
      <c r="N37" s="18" t="inlineStr"/>
      <c r="O37" s="19" t="inlineStr"/>
      <c r="P37" s="18" t="inlineStr">
        <is>
          <t>#cobblemon:is_floral</t>
        </is>
      </c>
      <c r="Q37" s="19" t="inlineStr"/>
      <c r="R37" s="18">
        <f>IF(Q37="",P37,Q37)</f>
        <v/>
      </c>
      <c r="S37" s="18" t="inlineStr"/>
      <c r="T37" s="18" t="inlineStr">
        <is>
          <t>common</t>
        </is>
      </c>
      <c r="U37" s="20" t="n">
        <v>10</v>
      </c>
      <c r="V37" s="21" t="n">
        <v>1</v>
      </c>
      <c r="W37" s="20">
        <f>IF(OR(U37="",V37=""),U37,U37*V37)</f>
        <v/>
      </c>
      <c r="X37" s="18" t="inlineStr">
        <is>
          <t>10-40</t>
        </is>
      </c>
      <c r="Y37" s="19" t="inlineStr"/>
      <c r="Z37" s="18">
        <f>IF(Y37="",X37,Y37)</f>
        <v/>
      </c>
      <c r="AA37" s="18" t="inlineStr">
        <is>
          <t>grounded</t>
        </is>
      </c>
      <c r="AB37" s="18" t="inlineStr">
        <is>
          <t>day</t>
        </is>
      </c>
      <c r="AC37" s="18" t="inlineStr"/>
      <c r="AD37" s="18" t="inlineStr"/>
      <c r="AE37" s="18" t="inlineStr">
        <is>
          <t>sky 8-15</t>
        </is>
      </c>
      <c r="AF37" s="18" t="inlineStr"/>
      <c r="AG37" s="18" t="inlineStr"/>
      <c r="AH37" s="18" t="inlineStr"/>
      <c r="AI37" s="18" t="inlineStr"/>
      <c r="AJ37" s="18" t="inlineStr">
        <is>
          <t>Cobblemon 동일</t>
        </is>
      </c>
      <c r="AK37" s="18" t="inlineStr">
        <is>
          <t>사용</t>
        </is>
      </c>
      <c r="AL37" s="18" t="inlineStr">
        <is>
          <t>COBBLEVERSE 1.7.42 / DP v31</t>
        </is>
      </c>
      <c r="AM37" s="18" t="inlineStr">
        <is>
          <t>data/cobblemon/spawn_pool_world/0012_butterfree.json</t>
        </is>
      </c>
      <c r="AN37" s="18" t="inlineStr">
        <is>
          <t>butterfree-2</t>
        </is>
      </c>
      <c r="AO37" s="18" t="inlineStr">
        <is>
          <t>pokemon</t>
        </is>
      </c>
      <c r="AP37" s="18" t="inlineStr">
        <is>
          <t>natural</t>
        </is>
      </c>
      <c r="AQ37" s="18" t="inlineStr">
        <is>
          <t>{"biomes":["#cobblemon:is_floral"],"maxSkyLight":15,"minSkyLight":8,"timeRange":"day"}</t>
        </is>
      </c>
      <c r="AR37" s="18" t="inlineStr"/>
      <c r="AS37" s="18" t="inlineStr"/>
      <c r="AT37" s="19" t="inlineStr"/>
    </row>
    <row r="38" ht="32" customHeight="1">
      <c r="A38" s="18" t="inlineStr">
        <is>
          <t>0012_butterfree.json::butterfree-3::003</t>
        </is>
      </c>
      <c r="B38" s="19" t="inlineStr">
        <is>
          <t>사용</t>
        </is>
      </c>
      <c r="C38" s="18">
        <f>IF(OR(B38&lt;&gt;AK38,M38&lt;&gt;L38,O38&lt;&gt;"",Q38&lt;&gt;"",V38&lt;&gt;1,Y38&lt;&gt;"",AT38&lt;&gt;""),"수정","원본")</f>
        <v/>
      </c>
      <c r="D38" s="18" t="n">
        <v>12</v>
      </c>
      <c r="E38" s="18" t="inlineStr">
        <is>
          <t>버터플</t>
        </is>
      </c>
      <c r="F38" s="18" t="inlineStr">
        <is>
          <t>butterfree</t>
        </is>
      </c>
      <c r="G38" s="18" t="inlineStr">
        <is>
          <t>butterfree</t>
        </is>
      </c>
      <c r="H38" s="18" t="inlineStr"/>
      <c r="I38" s="18" t="n">
        <v>1</v>
      </c>
      <c r="J38" s="18" t="n"/>
      <c r="K38" s="18" t="n">
        <v>1</v>
      </c>
      <c r="L38" s="18" t="inlineStr">
        <is>
          <t>cobbleventure:generation_1</t>
        </is>
      </c>
      <c r="M38" s="19" t="inlineStr">
        <is>
          <t>cobbleventure:generation_1</t>
        </is>
      </c>
      <c r="N38" s="18" t="inlineStr"/>
      <c r="O38" s="19" t="inlineStr"/>
      <c r="P38" s="18" t="inlineStr">
        <is>
          <t>#aether:is_aether</t>
        </is>
      </c>
      <c r="Q38" s="19" t="inlineStr"/>
      <c r="R38" s="18">
        <f>IF(Q38="",P38,Q38)</f>
        <v/>
      </c>
      <c r="S38" s="18" t="inlineStr"/>
      <c r="T38" s="18" t="inlineStr">
        <is>
          <t>common</t>
        </is>
      </c>
      <c r="U38" s="20" t="n">
        <v>1</v>
      </c>
      <c r="V38" s="21" t="n">
        <v>1</v>
      </c>
      <c r="W38" s="20">
        <f>IF(OR(U38="",V38=""),U38,U38*V38)</f>
        <v/>
      </c>
      <c r="X38" s="18" t="inlineStr">
        <is>
          <t>10-40</t>
        </is>
      </c>
      <c r="Y38" s="19" t="inlineStr"/>
      <c r="Z38" s="18">
        <f>IF(Y38="",X38,Y38)</f>
        <v/>
      </c>
      <c r="AA38" s="18" t="inlineStr">
        <is>
          <t>grounded</t>
        </is>
      </c>
      <c r="AB38" s="18" t="inlineStr"/>
      <c r="AC38" s="18" t="inlineStr"/>
      <c r="AD38" s="18" t="inlineStr"/>
      <c r="AE38" s="18" t="inlineStr">
        <is>
          <t>sky 8-15</t>
        </is>
      </c>
      <c r="AF38" s="18" t="inlineStr"/>
      <c r="AG38" s="18" t="inlineStr"/>
      <c r="AH38" s="18" t="inlineStr"/>
      <c r="AI38" s="18" t="inlineStr"/>
      <c r="AJ38" s="18" t="inlineStr">
        <is>
          <t>Cobblemon 동일</t>
        </is>
      </c>
      <c r="AK38" s="18" t="inlineStr">
        <is>
          <t>사용</t>
        </is>
      </c>
      <c r="AL38" s="18" t="inlineStr">
        <is>
          <t>COBBLEVERSE 1.7.42 / DP v31</t>
        </is>
      </c>
      <c r="AM38" s="18" t="inlineStr">
        <is>
          <t>data/cobblemon/spawn_pool_world/0012_butterfree.json</t>
        </is>
      </c>
      <c r="AN38" s="18" t="inlineStr">
        <is>
          <t>butterfree-3</t>
        </is>
      </c>
      <c r="AO38" s="18" t="inlineStr">
        <is>
          <t>pokemon</t>
        </is>
      </c>
      <c r="AP38" s="18" t="inlineStr">
        <is>
          <t>natural</t>
        </is>
      </c>
      <c r="AQ38" s="18" t="inlineStr">
        <is>
          <t>{"biomes":["#aether:is_aether"],"maxSkyLight":15,"minSkyLight":8}</t>
        </is>
      </c>
      <c r="AR38" s="18" t="inlineStr"/>
      <c r="AS38" s="18" t="inlineStr"/>
      <c r="AT38" s="19" t="inlineStr"/>
    </row>
    <row r="39" ht="32" customHeight="1">
      <c r="A39" s="18" t="inlineStr">
        <is>
          <t>0012_butterfree.json::butterfree-valencian-4::004</t>
        </is>
      </c>
      <c r="B39" s="19" t="inlineStr">
        <is>
          <t>사용</t>
        </is>
      </c>
      <c r="C39" s="18">
        <f>IF(OR(B39&lt;&gt;AK39,M39&lt;&gt;L39,O39&lt;&gt;"",Q39&lt;&gt;"",V39&lt;&gt;1,Y39&lt;&gt;"",AT39&lt;&gt;""),"수정","원본")</f>
        <v/>
      </c>
      <c r="D39" s="18" t="n">
        <v>12</v>
      </c>
      <c r="E39" s="18" t="inlineStr">
        <is>
          <t>버터플</t>
        </is>
      </c>
      <c r="F39" s="18" t="inlineStr">
        <is>
          <t>butterfree</t>
        </is>
      </c>
      <c r="G39" s="18" t="inlineStr">
        <is>
          <t>butterfree valencian</t>
        </is>
      </c>
      <c r="H39" s="18" t="inlineStr">
        <is>
          <t>valencian</t>
        </is>
      </c>
      <c r="I39" s="18" t="n">
        <v>1</v>
      </c>
      <c r="J39" s="18" t="n"/>
      <c r="K39" s="18" t="n">
        <v>1</v>
      </c>
      <c r="L39" s="18" t="inlineStr">
        <is>
          <t>cobbleventure:generation_1</t>
        </is>
      </c>
      <c r="M39" s="19" t="inlineStr">
        <is>
          <t>cobbleventure:generation_1</t>
        </is>
      </c>
      <c r="N39" s="18" t="inlineStr"/>
      <c r="O39" s="19" t="inlineStr"/>
      <c r="P39" s="18" t="inlineStr">
        <is>
          <t>#cobblemon:is_jungle; #cobblemon:is_tropical_island</t>
        </is>
      </c>
      <c r="Q39" s="19" t="inlineStr"/>
      <c r="R39" s="18">
        <f>IF(Q39="",P39,Q39)</f>
        <v/>
      </c>
      <c r="S39" s="18" t="inlineStr"/>
      <c r="T39" s="18" t="inlineStr">
        <is>
          <t>common</t>
        </is>
      </c>
      <c r="U39" s="20" t="n">
        <v>1</v>
      </c>
      <c r="V39" s="21" t="n">
        <v>1</v>
      </c>
      <c r="W39" s="20">
        <f>IF(OR(U39="",V39=""),U39,U39*V39)</f>
        <v/>
      </c>
      <c r="X39" s="18" t="inlineStr">
        <is>
          <t>10-40</t>
        </is>
      </c>
      <c r="Y39" s="19" t="inlineStr"/>
      <c r="Z39" s="18">
        <f>IF(Y39="",X39,Y39)</f>
        <v/>
      </c>
      <c r="AA39" s="18" t="inlineStr">
        <is>
          <t>grounded</t>
        </is>
      </c>
      <c r="AB39" s="18" t="inlineStr">
        <is>
          <t>day</t>
        </is>
      </c>
      <c r="AC39" s="18" t="inlineStr"/>
      <c r="AD39" s="18" t="inlineStr"/>
      <c r="AE39" s="18" t="inlineStr">
        <is>
          <t>sky 8-15</t>
        </is>
      </c>
      <c r="AF39" s="18" t="inlineStr"/>
      <c r="AG39" s="18" t="inlineStr"/>
      <c r="AH39" s="18" t="inlineStr"/>
      <c r="AI39" s="18" t="inlineStr"/>
      <c r="AJ39" s="18" t="inlineStr">
        <is>
          <t>Cobblemon 동일</t>
        </is>
      </c>
      <c r="AK39" s="18" t="inlineStr">
        <is>
          <t>사용</t>
        </is>
      </c>
      <c r="AL39" s="18" t="inlineStr">
        <is>
          <t>COBBLEVERSE 1.7.42 / DP v31</t>
        </is>
      </c>
      <c r="AM39" s="18" t="inlineStr">
        <is>
          <t>data/cobblemon/spawn_pool_world/0012_butterfree.json</t>
        </is>
      </c>
      <c r="AN39" s="18" t="inlineStr">
        <is>
          <t>butterfree-valencian-4</t>
        </is>
      </c>
      <c r="AO39" s="18" t="inlineStr">
        <is>
          <t>pokemon</t>
        </is>
      </c>
      <c r="AP39" s="18" t="inlineStr">
        <is>
          <t>natural</t>
        </is>
      </c>
      <c r="AQ39" s="18" t="inlineStr">
        <is>
          <t>{"biomes":["#cobblemon:is_jungle","#cobblemon:is_tropical_island"],"maxSkyLight":15,"minSkyLight":8,"timeRange":"day"}</t>
        </is>
      </c>
      <c r="AR39" s="18" t="inlineStr"/>
      <c r="AS39" s="18" t="inlineStr"/>
      <c r="AT39" s="19" t="inlineStr"/>
    </row>
    <row r="40" ht="32" customHeight="1">
      <c r="A40" s="18" t="inlineStr">
        <is>
          <t>0012_butterfree.json::butterfree-valencian-5::005</t>
        </is>
      </c>
      <c r="B40" s="19" t="inlineStr">
        <is>
          <t>사용</t>
        </is>
      </c>
      <c r="C40" s="18">
        <f>IF(OR(B40&lt;&gt;AK40,M40&lt;&gt;L40,O40&lt;&gt;"",Q40&lt;&gt;"",V40&lt;&gt;1,Y40&lt;&gt;"",AT40&lt;&gt;""),"수정","원본")</f>
        <v/>
      </c>
      <c r="D40" s="18" t="n">
        <v>12</v>
      </c>
      <c r="E40" s="18" t="inlineStr">
        <is>
          <t>버터플</t>
        </is>
      </c>
      <c r="F40" s="18" t="inlineStr">
        <is>
          <t>butterfree</t>
        </is>
      </c>
      <c r="G40" s="18" t="inlineStr">
        <is>
          <t>butterfree valencian</t>
        </is>
      </c>
      <c r="H40" s="18" t="inlineStr">
        <is>
          <t>valencian</t>
        </is>
      </c>
      <c r="I40" s="18" t="n">
        <v>1</v>
      </c>
      <c r="J40" s="18" t="n"/>
      <c r="K40" s="18" t="n">
        <v>1</v>
      </c>
      <c r="L40" s="18" t="inlineStr">
        <is>
          <t>cobbleventure:generation_1</t>
        </is>
      </c>
      <c r="M40" s="19" t="inlineStr">
        <is>
          <t>cobbleventure:generation_1</t>
        </is>
      </c>
      <c r="N40" s="18" t="inlineStr"/>
      <c r="O40" s="19" t="inlineStr"/>
      <c r="P40" s="18" t="inlineStr">
        <is>
          <t>the_bumblezone:floral_meadow</t>
        </is>
      </c>
      <c r="Q40" s="19" t="inlineStr"/>
      <c r="R40" s="18">
        <f>IF(Q40="",P40,Q40)</f>
        <v/>
      </c>
      <c r="S40" s="18" t="inlineStr"/>
      <c r="T40" s="18" t="inlineStr">
        <is>
          <t>common</t>
        </is>
      </c>
      <c r="U40" s="20" t="n">
        <v>5</v>
      </c>
      <c r="V40" s="21" t="n">
        <v>1</v>
      </c>
      <c r="W40" s="20">
        <f>IF(OR(U40="",V40=""),U40,U40*V40)</f>
        <v/>
      </c>
      <c r="X40" s="18" t="inlineStr">
        <is>
          <t>10-40</t>
        </is>
      </c>
      <c r="Y40" s="19" t="inlineStr"/>
      <c r="Z40" s="18">
        <f>IF(Y40="",X40,Y40)</f>
        <v/>
      </c>
      <c r="AA40" s="18" t="inlineStr">
        <is>
          <t>grounded</t>
        </is>
      </c>
      <c r="AB40" s="18" t="inlineStr"/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  <c r="AJ40" s="18" t="inlineStr">
        <is>
          <t>Cobblemon 동일</t>
        </is>
      </c>
      <c r="AK40" s="18" t="inlineStr">
        <is>
          <t>사용</t>
        </is>
      </c>
      <c r="AL40" s="18" t="inlineStr">
        <is>
          <t>COBBLEVERSE 1.7.42 / DP v31</t>
        </is>
      </c>
      <c r="AM40" s="18" t="inlineStr">
        <is>
          <t>data/cobblemon/spawn_pool_world/0012_butterfree.json</t>
        </is>
      </c>
      <c r="AN40" s="18" t="inlineStr">
        <is>
          <t>butterfree-valencian-5</t>
        </is>
      </c>
      <c r="AO40" s="18" t="inlineStr">
        <is>
          <t>pokemon</t>
        </is>
      </c>
      <c r="AP40" s="18" t="inlineStr"/>
      <c r="AQ40" s="18" t="inlineStr">
        <is>
          <t>{"biomes":["the_bumblezone:floral_meadow"]}</t>
        </is>
      </c>
      <c r="AR40" s="18" t="inlineStr">
        <is>
          <t>{"structures":["#the_bumblezone:sempiternal_sanctums"]}</t>
        </is>
      </c>
      <c r="AS40" s="18" t="inlineStr"/>
      <c r="AT40" s="19" t="inlineStr"/>
    </row>
    <row r="41" ht="32" customHeight="1">
      <c r="A41" s="18" t="inlineStr">
        <is>
          <t>0013_weedle.json::weedle-1::001</t>
        </is>
      </c>
      <c r="B41" s="19" t="inlineStr">
        <is>
          <t>사용</t>
        </is>
      </c>
      <c r="C41" s="18">
        <f>IF(OR(B41&lt;&gt;AK41,M41&lt;&gt;L41,O41&lt;&gt;"",Q41&lt;&gt;"",V41&lt;&gt;1,Y41&lt;&gt;"",AT41&lt;&gt;""),"수정","원본")</f>
        <v/>
      </c>
      <c r="D41" s="18" t="n">
        <v>13</v>
      </c>
      <c r="E41" s="18" t="inlineStr">
        <is>
          <t>뿔충이</t>
        </is>
      </c>
      <c r="F41" s="18" t="inlineStr">
        <is>
          <t>weedle</t>
        </is>
      </c>
      <c r="G41" s="18" t="inlineStr">
        <is>
          <t>weedle</t>
        </is>
      </c>
      <c r="H41" s="18" t="inlineStr"/>
      <c r="I41" s="18" t="n">
        <v>1</v>
      </c>
      <c r="J41" s="18" t="n"/>
      <c r="K41" s="18" t="n">
        <v>1</v>
      </c>
      <c r="L41" s="18" t="inlineStr">
        <is>
          <t>cobbleventure:generation_1</t>
        </is>
      </c>
      <c r="M41" s="19" t="inlineStr">
        <is>
          <t>cobbleventure:generation_1</t>
        </is>
      </c>
      <c r="N41" s="18" t="inlineStr">
        <is>
          <t>region_01</t>
        </is>
      </c>
      <c r="O41" s="19" t="inlineStr"/>
      <c r="P41" s="18" t="inlineStr">
        <is>
          <t>#cobblemon:is_forest; #cobblemon:is_jungle; aether:skyroot_forest; aether:skyroot_woodland</t>
        </is>
      </c>
      <c r="Q41" s="19" t="inlineStr"/>
      <c r="R41" s="18">
        <f>IF(Q41="",P41,Q41)</f>
        <v/>
      </c>
      <c r="S41" s="18" t="inlineStr">
        <is>
          <t>#cobblemon:is_freezing</t>
        </is>
      </c>
      <c r="T41" s="18" t="inlineStr">
        <is>
          <t>common</t>
        </is>
      </c>
      <c r="U41" s="20" t="n">
        <v>7</v>
      </c>
      <c r="V41" s="21" t="n">
        <v>1</v>
      </c>
      <c r="W41" s="20">
        <f>IF(OR(U41="",V41=""),U41,U41*V41)</f>
        <v/>
      </c>
      <c r="X41" s="18" t="inlineStr">
        <is>
          <t>1-20</t>
        </is>
      </c>
      <c r="Y41" s="19" t="inlineStr"/>
      <c r="Z41" s="18">
        <f>IF(Y41="",X41,Y41)</f>
        <v/>
      </c>
      <c r="AA41" s="18" t="inlineStr">
        <is>
          <t>grounded</t>
        </is>
      </c>
      <c r="AB41" s="18" t="inlineStr"/>
      <c r="AC41" s="18" t="inlineStr"/>
      <c r="AD41" s="18" t="inlineStr"/>
      <c r="AE41" s="18" t="inlineStr">
        <is>
          <t>sky 8-15</t>
        </is>
      </c>
      <c r="AF41" s="18" t="inlineStr"/>
      <c r="AG41" s="18" t="inlineStr"/>
      <c r="AH41" s="18" t="inlineStr"/>
      <c r="AI41" s="18" t="inlineStr"/>
      <c r="AJ41" s="18" t="inlineStr">
        <is>
          <t>Cobblemon 동일</t>
        </is>
      </c>
      <c r="AK41" s="18" t="inlineStr">
        <is>
          <t>사용</t>
        </is>
      </c>
      <c r="AL41" s="18" t="inlineStr">
        <is>
          <t>COBBLEVERSE 1.7.42 / DP v31</t>
        </is>
      </c>
      <c r="AM41" s="18" t="inlineStr">
        <is>
          <t>data/cobblemon/spawn_pool_world/0013_weedle.json</t>
        </is>
      </c>
      <c r="AN41" s="18" t="inlineStr">
        <is>
          <t>weedle-1</t>
        </is>
      </c>
      <c r="AO41" s="18" t="inlineStr">
        <is>
          <t>pokemon</t>
        </is>
      </c>
      <c r="AP41" s="18" t="inlineStr">
        <is>
          <t>natural; treetop</t>
        </is>
      </c>
      <c r="AQ41" s="18" t="inlineStr">
        <is>
          <t>{"biomes":["#cobblemon:is_forest","#cobblemon:is_jungle","aether:skyroot_forest","aether:skyroot_woodland"],"maxSkyLight":15,"minSkyLight":8}</t>
        </is>
      </c>
      <c r="AR41" s="18" t="inlineStr">
        <is>
          <t>{"biomes":["#cobblemon:is_freezing"]}</t>
        </is>
      </c>
      <c r="AS41" s="18" t="inlineStr"/>
      <c r="AT41" s="19" t="inlineStr"/>
    </row>
    <row r="42" ht="32" customHeight="1">
      <c r="A42" s="18" t="inlineStr">
        <is>
          <t>0013_weedle.json::weedle-2::002</t>
        </is>
      </c>
      <c r="B42" s="19" t="inlineStr">
        <is>
          <t>사용</t>
        </is>
      </c>
      <c r="C42" s="18">
        <f>IF(OR(B42&lt;&gt;AK42,M42&lt;&gt;L42,O42&lt;&gt;"",Q42&lt;&gt;"",V42&lt;&gt;1,Y42&lt;&gt;"",AT42&lt;&gt;""),"수정","원본")</f>
        <v/>
      </c>
      <c r="D42" s="18" t="n">
        <v>13</v>
      </c>
      <c r="E42" s="18" t="inlineStr">
        <is>
          <t>뿔충이</t>
        </is>
      </c>
      <c r="F42" s="18" t="inlineStr">
        <is>
          <t>weedle</t>
        </is>
      </c>
      <c r="G42" s="18" t="inlineStr">
        <is>
          <t>weedle</t>
        </is>
      </c>
      <c r="H42" s="18" t="inlineStr"/>
      <c r="I42" s="18" t="n">
        <v>1</v>
      </c>
      <c r="J42" s="18" t="n"/>
      <c r="K42" s="18" t="n">
        <v>1</v>
      </c>
      <c r="L42" s="18" t="inlineStr">
        <is>
          <t>cobbleventure:generation_1</t>
        </is>
      </c>
      <c r="M42" s="19" t="inlineStr">
        <is>
          <t>cobbleventure:generation_1</t>
        </is>
      </c>
      <c r="N42" s="18" t="inlineStr"/>
      <c r="O42" s="19" t="inlineStr"/>
      <c r="P42" s="18" t="inlineStr">
        <is>
          <t>#the_bumblezone:the_bumblezone</t>
        </is>
      </c>
      <c r="Q42" s="19" t="inlineStr"/>
      <c r="R42" s="18">
        <f>IF(Q42="",P42,Q42)</f>
        <v/>
      </c>
      <c r="S42" s="18" t="inlineStr"/>
      <c r="T42" s="18" t="inlineStr">
        <is>
          <t>common</t>
        </is>
      </c>
      <c r="U42" s="20" t="n">
        <v>3</v>
      </c>
      <c r="V42" s="21" t="n">
        <v>1</v>
      </c>
      <c r="W42" s="20">
        <f>IF(OR(U42="",V42=""),U42,U42*V42)</f>
        <v/>
      </c>
      <c r="X42" s="18" t="inlineStr">
        <is>
          <t>1-20</t>
        </is>
      </c>
      <c r="Y42" s="19" t="inlineStr"/>
      <c r="Z42" s="18">
        <f>IF(Y42="",X42,Y42)</f>
        <v/>
      </c>
      <c r="AA42" s="18" t="inlineStr">
        <is>
          <t>grounded</t>
        </is>
      </c>
      <c r="AB42" s="18" t="inlineStr"/>
      <c r="AC42" s="18" t="inlineStr"/>
      <c r="AD42" s="18" t="inlineStr"/>
      <c r="AE42" s="18" t="inlineStr"/>
      <c r="AF42" s="18" t="inlineStr"/>
      <c r="AG42" s="18" t="inlineStr"/>
      <c r="AH42" s="18" t="inlineStr"/>
      <c r="AI42" s="18" t="inlineStr"/>
      <c r="AJ42" s="18" t="inlineStr">
        <is>
          <t>Cobblemon 동일</t>
        </is>
      </c>
      <c r="AK42" s="18" t="inlineStr">
        <is>
          <t>사용</t>
        </is>
      </c>
      <c r="AL42" s="18" t="inlineStr">
        <is>
          <t>COBBLEVERSE 1.7.42 / DP v31</t>
        </is>
      </c>
      <c r="AM42" s="18" t="inlineStr">
        <is>
          <t>data/cobblemon/spawn_pool_world/0013_weedle.json</t>
        </is>
      </c>
      <c r="AN42" s="18" t="inlineStr">
        <is>
          <t>weedle-2</t>
        </is>
      </c>
      <c r="AO42" s="18" t="inlineStr">
        <is>
          <t>pokemon</t>
        </is>
      </c>
      <c r="AP42" s="18" t="inlineStr"/>
      <c r="AQ42" s="18" t="inlineStr">
        <is>
          <t>{"biomes":["#the_bumblezone:the_bumblezone"]}</t>
        </is>
      </c>
      <c r="AR42" s="18" t="inlineStr">
        <is>
          <t>{"structures":["#the_bumblezone:sempiternal_sanctums"]}</t>
        </is>
      </c>
      <c r="AS42" s="18" t="inlineStr"/>
      <c r="AT42" s="19" t="inlineStr"/>
    </row>
    <row r="43" ht="32" customHeight="1">
      <c r="A43" s="18" t="inlineStr">
        <is>
          <t>0014_kakuna.json::kakuna-1::001</t>
        </is>
      </c>
      <c r="B43" s="19" t="inlineStr">
        <is>
          <t>사용</t>
        </is>
      </c>
      <c r="C43" s="18">
        <f>IF(OR(B43&lt;&gt;AK43,M43&lt;&gt;L43,O43&lt;&gt;"",Q43&lt;&gt;"",V43&lt;&gt;1,Y43&lt;&gt;"",AT43&lt;&gt;""),"수정","원본")</f>
        <v/>
      </c>
      <c r="D43" s="18" t="n">
        <v>14</v>
      </c>
      <c r="E43" s="18" t="inlineStr">
        <is>
          <t>딱충이</t>
        </is>
      </c>
      <c r="F43" s="18" t="inlineStr">
        <is>
          <t>kakuna</t>
        </is>
      </c>
      <c r="G43" s="18" t="inlineStr">
        <is>
          <t>kakuna</t>
        </is>
      </c>
      <c r="H43" s="18" t="inlineStr"/>
      <c r="I43" s="18" t="n">
        <v>1</v>
      </c>
      <c r="J43" s="18" t="n"/>
      <c r="K43" s="18" t="n">
        <v>1</v>
      </c>
      <c r="L43" s="18" t="inlineStr">
        <is>
          <t>cobbleventure:generation_1</t>
        </is>
      </c>
      <c r="M43" s="19" t="inlineStr">
        <is>
          <t>cobbleventure:generation_1</t>
        </is>
      </c>
      <c r="N43" s="18" t="inlineStr">
        <is>
          <t>region_01</t>
        </is>
      </c>
      <c r="O43" s="19" t="inlineStr"/>
      <c r="P43" s="18" t="inlineStr">
        <is>
          <t>#cobblemon:is_forest; #cobblemon:is_jungle; aether:skyroot_forest; aether:skyroot_woodland</t>
        </is>
      </c>
      <c r="Q43" s="19" t="inlineStr"/>
      <c r="R43" s="18">
        <f>IF(Q43="",P43,Q43)</f>
        <v/>
      </c>
      <c r="S43" s="18" t="inlineStr">
        <is>
          <t>#cobblemon:is_freezing</t>
        </is>
      </c>
      <c r="T43" s="18" t="inlineStr">
        <is>
          <t>common</t>
        </is>
      </c>
      <c r="U43" s="20" t="n">
        <v>2</v>
      </c>
      <c r="V43" s="21" t="n">
        <v>1</v>
      </c>
      <c r="W43" s="20">
        <f>IF(OR(U43="",V43=""),U43,U43*V43)</f>
        <v/>
      </c>
      <c r="X43" s="18" t="inlineStr">
        <is>
          <t>7-21</t>
        </is>
      </c>
      <c r="Y43" s="19" t="inlineStr"/>
      <c r="Z43" s="18">
        <f>IF(Y43="",X43,Y43)</f>
        <v/>
      </c>
      <c r="AA43" s="18" t="inlineStr">
        <is>
          <t>grounded</t>
        </is>
      </c>
      <c r="AB43" s="18" t="inlineStr"/>
      <c r="AC43" s="18" t="inlineStr"/>
      <c r="AD43" s="18" t="inlineStr"/>
      <c r="AE43" s="18" t="inlineStr">
        <is>
          <t>sky 8-15</t>
        </is>
      </c>
      <c r="AF43" s="18" t="inlineStr"/>
      <c r="AG43" s="18" t="inlineStr"/>
      <c r="AH43" s="18" t="inlineStr"/>
      <c r="AI43" s="18" t="inlineStr"/>
      <c r="AJ43" s="18" t="inlineStr">
        <is>
          <t>Cobblemon 동일</t>
        </is>
      </c>
      <c r="AK43" s="18" t="inlineStr">
        <is>
          <t>사용</t>
        </is>
      </c>
      <c r="AL43" s="18" t="inlineStr">
        <is>
          <t>COBBLEVERSE 1.7.42 / DP v31</t>
        </is>
      </c>
      <c r="AM43" s="18" t="inlineStr">
        <is>
          <t>data/cobblemon/spawn_pool_world/0014_kakuna.json</t>
        </is>
      </c>
      <c r="AN43" s="18" t="inlineStr">
        <is>
          <t>kakuna-1</t>
        </is>
      </c>
      <c r="AO43" s="18" t="inlineStr">
        <is>
          <t>pokemon</t>
        </is>
      </c>
      <c r="AP43" s="18" t="inlineStr">
        <is>
          <t>natural; treetop</t>
        </is>
      </c>
      <c r="AQ43" s="18" t="inlineStr">
        <is>
          <t>{"biomes":["#cobblemon:is_forest","#cobblemon:is_jungle","aether:skyroot_forest","aether:skyroot_woodland"],"maxSkyLight":15,"minSkyLight":8}</t>
        </is>
      </c>
      <c r="AR43" s="18" t="inlineStr">
        <is>
          <t>{"biomes":["#cobblemon:is_freezing"]}</t>
        </is>
      </c>
      <c r="AS43" s="18" t="inlineStr"/>
      <c r="AT43" s="19" t="inlineStr"/>
    </row>
    <row r="44" ht="32" customHeight="1">
      <c r="A44" s="18" t="inlineStr">
        <is>
          <t>0014_kakuna.json::kakuna-2::002</t>
        </is>
      </c>
      <c r="B44" s="19" t="inlineStr">
        <is>
          <t>사용</t>
        </is>
      </c>
      <c r="C44" s="18">
        <f>IF(OR(B44&lt;&gt;AK44,M44&lt;&gt;L44,O44&lt;&gt;"",Q44&lt;&gt;"",V44&lt;&gt;1,Y44&lt;&gt;"",AT44&lt;&gt;""),"수정","원본")</f>
        <v/>
      </c>
      <c r="D44" s="18" t="n">
        <v>14</v>
      </c>
      <c r="E44" s="18" t="inlineStr">
        <is>
          <t>딱충이</t>
        </is>
      </c>
      <c r="F44" s="18" t="inlineStr">
        <is>
          <t>kakuna</t>
        </is>
      </c>
      <c r="G44" s="18" t="inlineStr">
        <is>
          <t>kakuna</t>
        </is>
      </c>
      <c r="H44" s="18" t="inlineStr"/>
      <c r="I44" s="18" t="n">
        <v>1</v>
      </c>
      <c r="J44" s="18" t="n"/>
      <c r="K44" s="18" t="n">
        <v>1</v>
      </c>
      <c r="L44" s="18" t="inlineStr">
        <is>
          <t>cobbleventure:generation_1</t>
        </is>
      </c>
      <c r="M44" s="19" t="inlineStr">
        <is>
          <t>cobbleventure:generation_1</t>
        </is>
      </c>
      <c r="N44" s="18" t="inlineStr"/>
      <c r="O44" s="19" t="inlineStr"/>
      <c r="P44" s="18" t="inlineStr">
        <is>
          <t>#the_bumblezone:the_bumblezone</t>
        </is>
      </c>
      <c r="Q44" s="19" t="inlineStr"/>
      <c r="R44" s="18">
        <f>IF(Q44="",P44,Q44)</f>
        <v/>
      </c>
      <c r="S44" s="18" t="inlineStr"/>
      <c r="T44" s="18" t="inlineStr">
        <is>
          <t>common</t>
        </is>
      </c>
      <c r="U44" s="20" t="n">
        <v>2</v>
      </c>
      <c r="V44" s="21" t="n">
        <v>1</v>
      </c>
      <c r="W44" s="20">
        <f>IF(OR(U44="",V44=""),U44,U44*V44)</f>
        <v/>
      </c>
      <c r="X44" s="18" t="inlineStr">
        <is>
          <t>7-21</t>
        </is>
      </c>
      <c r="Y44" s="19" t="inlineStr"/>
      <c r="Z44" s="18">
        <f>IF(Y44="",X44,Y44)</f>
        <v/>
      </c>
      <c r="AA44" s="18" t="inlineStr">
        <is>
          <t>grounded</t>
        </is>
      </c>
      <c r="AB44" s="18" t="inlineStr"/>
      <c r="AC44" s="18" t="inlineStr"/>
      <c r="AD44" s="18" t="inlineStr"/>
      <c r="AE44" s="18" t="inlineStr"/>
      <c r="AF44" s="18" t="inlineStr"/>
      <c r="AG44" s="18" t="inlineStr"/>
      <c r="AH44" s="18" t="inlineStr"/>
      <c r="AI44" s="18" t="inlineStr"/>
      <c r="AJ44" s="18" t="inlineStr">
        <is>
          <t>Cobblemon 동일</t>
        </is>
      </c>
      <c r="AK44" s="18" t="inlineStr">
        <is>
          <t>사용</t>
        </is>
      </c>
      <c r="AL44" s="18" t="inlineStr">
        <is>
          <t>COBBLEVERSE 1.7.42 / DP v31</t>
        </is>
      </c>
      <c r="AM44" s="18" t="inlineStr">
        <is>
          <t>data/cobblemon/spawn_pool_world/0014_kakuna.json</t>
        </is>
      </c>
      <c r="AN44" s="18" t="inlineStr">
        <is>
          <t>kakuna-2</t>
        </is>
      </c>
      <c r="AO44" s="18" t="inlineStr">
        <is>
          <t>pokemon</t>
        </is>
      </c>
      <c r="AP44" s="18" t="inlineStr"/>
      <c r="AQ44" s="18" t="inlineStr">
        <is>
          <t>{"biomes":["#the_bumblezone:the_bumblezone"]}</t>
        </is>
      </c>
      <c r="AR44" s="18" t="inlineStr">
        <is>
          <t>{"structures":["#the_bumblezone:sempiternal_sanctums"]}</t>
        </is>
      </c>
      <c r="AS44" s="18" t="inlineStr"/>
      <c r="AT44" s="19" t="inlineStr"/>
    </row>
    <row r="45" ht="32" customHeight="1">
      <c r="A45" s="18" t="inlineStr">
        <is>
          <t>0015_beedrill.json::beedrill-1::001</t>
        </is>
      </c>
      <c r="B45" s="19" t="inlineStr">
        <is>
          <t>사용</t>
        </is>
      </c>
      <c r="C45" s="18">
        <f>IF(OR(B45&lt;&gt;AK45,M45&lt;&gt;L45,O45&lt;&gt;"",Q45&lt;&gt;"",V45&lt;&gt;1,Y45&lt;&gt;"",AT45&lt;&gt;""),"수정","원본")</f>
        <v/>
      </c>
      <c r="D45" s="18" t="n">
        <v>15</v>
      </c>
      <c r="E45" s="18" t="inlineStr">
        <is>
          <t>독침붕</t>
        </is>
      </c>
      <c r="F45" s="18" t="inlineStr">
        <is>
          <t>beedrill</t>
        </is>
      </c>
      <c r="G45" s="18" t="inlineStr">
        <is>
          <t>beedrill</t>
        </is>
      </c>
      <c r="H45" s="18" t="inlineStr"/>
      <c r="I45" s="18" t="n">
        <v>1</v>
      </c>
      <c r="J45" s="18" t="n"/>
      <c r="K45" s="18" t="n">
        <v>1</v>
      </c>
      <c r="L45" s="18" t="inlineStr">
        <is>
          <t>cobbleventure:generation_1</t>
        </is>
      </c>
      <c r="M45" s="19" t="inlineStr">
        <is>
          <t>cobbleventure:generation_1</t>
        </is>
      </c>
      <c r="N45" s="18" t="inlineStr">
        <is>
          <t>region_01</t>
        </is>
      </c>
      <c r="O45" s="19" t="inlineStr"/>
      <c r="P45" s="18" t="inlineStr">
        <is>
          <t>#cobblemon:is_forest; #cobblemon:is_jungle; aether:skyroot_forest; aether:skyroot_woodland</t>
        </is>
      </c>
      <c r="Q45" s="19" t="inlineStr"/>
      <c r="R45" s="18">
        <f>IF(Q45="",P45,Q45)</f>
        <v/>
      </c>
      <c r="S45" s="18" t="inlineStr">
        <is>
          <t>#cobblemon:is_freezing</t>
        </is>
      </c>
      <c r="T45" s="18" t="inlineStr">
        <is>
          <t>common</t>
        </is>
      </c>
      <c r="U45" s="20" t="n">
        <v>1</v>
      </c>
      <c r="V45" s="21" t="n">
        <v>1</v>
      </c>
      <c r="W45" s="20">
        <f>IF(OR(U45="",V45=""),U45,U45*V45)</f>
        <v/>
      </c>
      <c r="X45" s="18" t="inlineStr">
        <is>
          <t>10-40</t>
        </is>
      </c>
      <c r="Y45" s="19" t="inlineStr"/>
      <c r="Z45" s="18">
        <f>IF(Y45="",X45,Y45)</f>
        <v/>
      </c>
      <c r="AA45" s="18" t="inlineStr">
        <is>
          <t>grounded</t>
        </is>
      </c>
      <c r="AB45" s="18" t="inlineStr">
        <is>
          <t>day</t>
        </is>
      </c>
      <c r="AC45" s="18" t="inlineStr">
        <is>
          <t>비=False</t>
        </is>
      </c>
      <c r="AD45" s="18" t="inlineStr"/>
      <c r="AE45" s="18" t="inlineStr">
        <is>
          <t>sky 8-15</t>
        </is>
      </c>
      <c r="AF45" s="18" t="inlineStr"/>
      <c r="AG45" s="18" t="inlineStr"/>
      <c r="AH45" s="18" t="inlineStr"/>
      <c r="AI45" s="18" t="inlineStr"/>
      <c r="AJ45" s="18" t="inlineStr">
        <is>
          <t>Cobblemon 동일</t>
        </is>
      </c>
      <c r="AK45" s="18" t="inlineStr">
        <is>
          <t>사용</t>
        </is>
      </c>
      <c r="AL45" s="18" t="inlineStr">
        <is>
          <t>COBBLEVERSE 1.7.42 / DP v31</t>
        </is>
      </c>
      <c r="AM45" s="18" t="inlineStr">
        <is>
          <t>data/cobblemon/spawn_pool_world/0015_beedrill.json</t>
        </is>
      </c>
      <c r="AN45" s="18" t="inlineStr">
        <is>
          <t>beedrill-1</t>
        </is>
      </c>
      <c r="AO45" s="18" t="inlineStr">
        <is>
          <t>pokemon</t>
        </is>
      </c>
      <c r="AP45" s="18" t="inlineStr">
        <is>
          <t>natural</t>
        </is>
      </c>
      <c r="AQ45" s="18" t="inlineStr">
        <is>
          <t>{"biomes":["#cobblemon:is_forest","#cobblemon:is_jungle","aether:skyroot_forest","aether:skyroot_woodland"],"isRaining":false,"maxSkyLight":15,"minSkyLight":8,"timeRange":"day"}</t>
        </is>
      </c>
      <c r="AR45" s="18" t="inlineStr">
        <is>
          <t>{"biomes":["#cobblemon:is_freezing"]}</t>
        </is>
      </c>
      <c r="AS45" s="18" t="inlineStr"/>
      <c r="AT45" s="19" t="inlineStr"/>
    </row>
    <row r="46" ht="32" customHeight="1">
      <c r="A46" s="18" t="inlineStr">
        <is>
          <t>0015_beedrill.json::beedrill-2::002</t>
        </is>
      </c>
      <c r="B46" s="19" t="inlineStr">
        <is>
          <t>사용</t>
        </is>
      </c>
      <c r="C46" s="18">
        <f>IF(OR(B46&lt;&gt;AK46,M46&lt;&gt;L46,O46&lt;&gt;"",Q46&lt;&gt;"",V46&lt;&gt;1,Y46&lt;&gt;"",AT46&lt;&gt;""),"수정","원본")</f>
        <v/>
      </c>
      <c r="D46" s="18" t="n">
        <v>15</v>
      </c>
      <c r="E46" s="18" t="inlineStr">
        <is>
          <t>독침붕</t>
        </is>
      </c>
      <c r="F46" s="18" t="inlineStr">
        <is>
          <t>beedrill</t>
        </is>
      </c>
      <c r="G46" s="18" t="inlineStr">
        <is>
          <t>beedrill</t>
        </is>
      </c>
      <c r="H46" s="18" t="inlineStr"/>
      <c r="I46" s="18" t="n">
        <v>1</v>
      </c>
      <c r="J46" s="18" t="n"/>
      <c r="K46" s="18" t="n">
        <v>1</v>
      </c>
      <c r="L46" s="18" t="inlineStr">
        <is>
          <t>cobbleventure:generation_1</t>
        </is>
      </c>
      <c r="M46" s="19" t="inlineStr">
        <is>
          <t>cobbleventure:generation_1</t>
        </is>
      </c>
      <c r="N46" s="18" t="inlineStr"/>
      <c r="O46" s="19" t="inlineStr"/>
      <c r="P46" s="18" t="inlineStr">
        <is>
          <t>#the_bumblezone:the_bumblezone</t>
        </is>
      </c>
      <c r="Q46" s="19" t="inlineStr"/>
      <c r="R46" s="18">
        <f>IF(Q46="",P46,Q46)</f>
        <v/>
      </c>
      <c r="S46" s="18" t="inlineStr"/>
      <c r="T46" s="18" t="inlineStr">
        <is>
          <t>common</t>
        </is>
      </c>
      <c r="U46" s="20" t="n">
        <v>5</v>
      </c>
      <c r="V46" s="21" t="n">
        <v>1</v>
      </c>
      <c r="W46" s="20">
        <f>IF(OR(U46="",V46=""),U46,U46*V46)</f>
        <v/>
      </c>
      <c r="X46" s="18" t="inlineStr">
        <is>
          <t>10-40</t>
        </is>
      </c>
      <c r="Y46" s="19" t="inlineStr"/>
      <c r="Z46" s="18">
        <f>IF(Y46="",X46,Y46)</f>
        <v/>
      </c>
      <c r="AA46" s="18" t="inlineStr">
        <is>
          <t>grounded</t>
        </is>
      </c>
      <c r="AB46" s="18" t="inlineStr"/>
      <c r="AC46" s="18" t="inlineStr"/>
      <c r="AD46" s="18" t="inlineStr"/>
      <c r="AE46" s="18" t="inlineStr"/>
      <c r="AF46" s="18" t="inlineStr"/>
      <c r="AG46" s="18" t="inlineStr"/>
      <c r="AH46" s="18" t="inlineStr"/>
      <c r="AI46" s="18" t="inlineStr"/>
      <c r="AJ46" s="18" t="inlineStr">
        <is>
          <t>Cobblemon 동일</t>
        </is>
      </c>
      <c r="AK46" s="18" t="inlineStr">
        <is>
          <t>사용</t>
        </is>
      </c>
      <c r="AL46" s="18" t="inlineStr">
        <is>
          <t>COBBLEVERSE 1.7.42 / DP v31</t>
        </is>
      </c>
      <c r="AM46" s="18" t="inlineStr">
        <is>
          <t>data/cobblemon/spawn_pool_world/0015_beedrill.json</t>
        </is>
      </c>
      <c r="AN46" s="18" t="inlineStr">
        <is>
          <t>beedrill-2</t>
        </is>
      </c>
      <c r="AO46" s="18" t="inlineStr">
        <is>
          <t>pokemon</t>
        </is>
      </c>
      <c r="AP46" s="18" t="inlineStr"/>
      <c r="AQ46" s="18" t="inlineStr">
        <is>
          <t>{"biomes":["#the_bumblezone:the_bumblezone"]}</t>
        </is>
      </c>
      <c r="AR46" s="18" t="inlineStr">
        <is>
          <t>{"structures":["#the_bumblezone:sempiternal_sanctums"]}</t>
        </is>
      </c>
      <c r="AS46" s="18" t="inlineStr"/>
      <c r="AT46" s="19" t="inlineStr"/>
    </row>
    <row r="47" ht="32" customHeight="1">
      <c r="A47" s="18" t="inlineStr">
        <is>
          <t>0016_pidgey.json::pidgey-1::001</t>
        </is>
      </c>
      <c r="B47" s="19" t="inlineStr">
        <is>
          <t>사용</t>
        </is>
      </c>
      <c r="C47" s="18">
        <f>IF(OR(B47&lt;&gt;AK47,M47&lt;&gt;L47,O47&lt;&gt;"",Q47&lt;&gt;"",V47&lt;&gt;1,Y47&lt;&gt;"",AT47&lt;&gt;""),"수정","원본")</f>
        <v/>
      </c>
      <c r="D47" s="18" t="n">
        <v>16</v>
      </c>
      <c r="E47" s="18" t="inlineStr">
        <is>
          <t>구구</t>
        </is>
      </c>
      <c r="F47" s="18" t="inlineStr">
        <is>
          <t>pidgey</t>
        </is>
      </c>
      <c r="G47" s="18" t="inlineStr">
        <is>
          <t>pidgey</t>
        </is>
      </c>
      <c r="H47" s="18" t="inlineStr"/>
      <c r="I47" s="18" t="n">
        <v>1</v>
      </c>
      <c r="J47" s="18" t="n"/>
      <c r="K47" s="18" t="n">
        <v>1</v>
      </c>
      <c r="L47" s="18" t="inlineStr">
        <is>
          <t>cobbleventure:generation_1</t>
        </is>
      </c>
      <c r="M47" s="19" t="inlineStr">
        <is>
          <t>cobbleventure:generation_1</t>
        </is>
      </c>
      <c r="N47" s="18" t="inlineStr">
        <is>
          <t>region_01</t>
        </is>
      </c>
      <c r="O47" s="19" t="inlineStr"/>
      <c r="P47" s="18" t="inlineStr">
        <is>
          <t>#cobblemon:is_temperate; #cobblemon:is_sky</t>
        </is>
      </c>
      <c r="Q47" s="19" t="inlineStr"/>
      <c r="R47" s="18">
        <f>IF(Q47="",P47,Q47)</f>
        <v/>
      </c>
      <c r="S47" s="18" t="inlineStr">
        <is>
          <t>#cobblemon:is_spooky</t>
        </is>
      </c>
      <c r="T47" s="18" t="inlineStr">
        <is>
          <t>common</t>
        </is>
      </c>
      <c r="U47" s="20" t="n">
        <v>9</v>
      </c>
      <c r="V47" s="21" t="n">
        <v>1</v>
      </c>
      <c r="W47" s="20">
        <f>IF(OR(U47="",V47=""),U47,U47*V47)</f>
        <v/>
      </c>
      <c r="X47" s="18" t="inlineStr">
        <is>
          <t>1-25</t>
        </is>
      </c>
      <c r="Y47" s="19" t="inlineStr"/>
      <c r="Z47" s="18">
        <f>IF(Y47="",X47,Y47)</f>
        <v/>
      </c>
      <c r="AA47" s="18" t="inlineStr">
        <is>
          <t>grounded</t>
        </is>
      </c>
      <c r="AB47" s="18" t="inlineStr">
        <is>
          <t>day</t>
        </is>
      </c>
      <c r="AC47" s="18" t="inlineStr"/>
      <c r="AD47" s="18" t="inlineStr"/>
      <c r="AE47" s="18" t="inlineStr">
        <is>
          <t>sky 8-15</t>
        </is>
      </c>
      <c r="AF47" s="18" t="inlineStr"/>
      <c r="AG47" s="18" t="inlineStr"/>
      <c r="AH47" s="18" t="inlineStr"/>
      <c r="AI47" s="18" t="inlineStr"/>
      <c r="AJ47" s="18" t="inlineStr">
        <is>
          <t>Cobblemon 동일</t>
        </is>
      </c>
      <c r="AK47" s="18" t="inlineStr">
        <is>
          <t>사용</t>
        </is>
      </c>
      <c r="AL47" s="18" t="inlineStr">
        <is>
          <t>COBBLEVERSE 1.7.42 / DP v31</t>
        </is>
      </c>
      <c r="AM47" s="18" t="inlineStr">
        <is>
          <t>data/cobblemon/spawn_pool_world/0016_pidgey.json</t>
        </is>
      </c>
      <c r="AN47" s="18" t="inlineStr">
        <is>
          <t>pidgey-1</t>
        </is>
      </c>
      <c r="AO47" s="18" t="inlineStr">
        <is>
          <t>pokemon</t>
        </is>
      </c>
      <c r="AP47" s="18" t="inlineStr">
        <is>
          <t>natural; treetop</t>
        </is>
      </c>
      <c r="AQ47" s="18" t="inlineStr">
        <is>
          <t>{"biomes":["#cobblemon:is_temperate","#cobblemon:is_sky"],"maxSkyLight":15,"minSkyLight":8,"timeRange":"day"}</t>
        </is>
      </c>
      <c r="AR47" s="18" t="inlineStr">
        <is>
          <t>{"biomes":["#cobblemon:is_spooky"]}</t>
        </is>
      </c>
      <c r="AS47" s="18" t="inlineStr"/>
      <c r="AT47" s="19" t="inlineStr"/>
    </row>
    <row r="48" ht="32" customHeight="1">
      <c r="A48" s="18" t="inlineStr">
        <is>
          <t>0016_pidgey.json::pidgey-3::002</t>
        </is>
      </c>
      <c r="B48" s="19" t="inlineStr">
        <is>
          <t>사용</t>
        </is>
      </c>
      <c r="C48" s="18">
        <f>IF(OR(B48&lt;&gt;AK48,M48&lt;&gt;L48,O48&lt;&gt;"",Q48&lt;&gt;"",V48&lt;&gt;1,Y48&lt;&gt;"",AT48&lt;&gt;""),"수정","원본")</f>
        <v/>
      </c>
      <c r="D48" s="18" t="n">
        <v>16</v>
      </c>
      <c r="E48" s="18" t="inlineStr">
        <is>
          <t>구구</t>
        </is>
      </c>
      <c r="F48" s="18" t="inlineStr">
        <is>
          <t>pidgey</t>
        </is>
      </c>
      <c r="G48" s="18" t="inlineStr">
        <is>
          <t>pidgey</t>
        </is>
      </c>
      <c r="H48" s="18" t="inlineStr"/>
      <c r="I48" s="18" t="n">
        <v>1</v>
      </c>
      <c r="J48" s="18" t="n"/>
      <c r="K48" s="18" t="n">
        <v>1</v>
      </c>
      <c r="L48" s="18" t="inlineStr">
        <is>
          <t>cobbleventure:generation_1</t>
        </is>
      </c>
      <c r="M48" s="19" t="inlineStr">
        <is>
          <t>cobbleventure:generation_1</t>
        </is>
      </c>
      <c r="N48" s="18" t="inlineStr"/>
      <c r="O48" s="19" t="inlineStr"/>
      <c r="P48" s="18" t="inlineStr">
        <is>
          <t>aether:skyroot_forest; aether:skyroot_woodland</t>
        </is>
      </c>
      <c r="Q48" s="19" t="inlineStr"/>
      <c r="R48" s="18">
        <f>IF(Q48="",P48,Q48)</f>
        <v/>
      </c>
      <c r="S48" s="18" t="inlineStr"/>
      <c r="T48" s="18" t="inlineStr">
        <is>
          <t>common</t>
        </is>
      </c>
      <c r="U48" s="20" t="n">
        <v>9</v>
      </c>
      <c r="V48" s="21" t="n">
        <v>1</v>
      </c>
      <c r="W48" s="20">
        <f>IF(OR(U48="",V48=""),U48,U48*V48)</f>
        <v/>
      </c>
      <c r="X48" s="18" t="inlineStr">
        <is>
          <t>1-25</t>
        </is>
      </c>
      <c r="Y48" s="19" t="inlineStr"/>
      <c r="Z48" s="18">
        <f>IF(Y48="",X48,Y48)</f>
        <v/>
      </c>
      <c r="AA48" s="18" t="inlineStr">
        <is>
          <t>grounded</t>
        </is>
      </c>
      <c r="AB48" s="18" t="inlineStr"/>
      <c r="AC48" s="18" t="inlineStr"/>
      <c r="AD48" s="18" t="inlineStr"/>
      <c r="AE48" s="18" t="inlineStr">
        <is>
          <t>sky 8-15</t>
        </is>
      </c>
      <c r="AF48" s="18" t="inlineStr"/>
      <c r="AG48" s="18" t="inlineStr"/>
      <c r="AH48" s="18" t="inlineStr"/>
      <c r="AI48" s="18" t="inlineStr"/>
      <c r="AJ48" s="18" t="inlineStr">
        <is>
          <t>Cobblemon 동일</t>
        </is>
      </c>
      <c r="AK48" s="18" t="inlineStr">
        <is>
          <t>사용</t>
        </is>
      </c>
      <c r="AL48" s="18" t="inlineStr">
        <is>
          <t>COBBLEVERSE 1.7.42 / DP v31</t>
        </is>
      </c>
      <c r="AM48" s="18" t="inlineStr">
        <is>
          <t>data/cobblemon/spawn_pool_world/0016_pidgey.json</t>
        </is>
      </c>
      <c r="AN48" s="18" t="inlineStr">
        <is>
          <t>pidgey-3</t>
        </is>
      </c>
      <c r="AO48" s="18" t="inlineStr">
        <is>
          <t>pokemon</t>
        </is>
      </c>
      <c r="AP48" s="18" t="inlineStr">
        <is>
          <t>natural; treetop</t>
        </is>
      </c>
      <c r="AQ48" s="18" t="inlineStr">
        <is>
          <t>{"biomes":["aether:skyroot_forest","aether:skyroot_woodland"],"maxSkyLight":15,"minSkyLight":8}</t>
        </is>
      </c>
      <c r="AR48" s="18" t="inlineStr"/>
      <c r="AS48" s="18" t="inlineStr"/>
      <c r="AT48" s="19" t="inlineStr"/>
    </row>
    <row r="49" ht="32" customHeight="1">
      <c r="A49" s="18" t="inlineStr">
        <is>
          <t>0017_pidgeotto.json::pidgeotto-1::001</t>
        </is>
      </c>
      <c r="B49" s="19" t="inlineStr">
        <is>
          <t>사용</t>
        </is>
      </c>
      <c r="C49" s="18">
        <f>IF(OR(B49&lt;&gt;AK49,M49&lt;&gt;L49,O49&lt;&gt;"",Q49&lt;&gt;"",V49&lt;&gt;1,Y49&lt;&gt;"",AT49&lt;&gt;""),"수정","원본")</f>
        <v/>
      </c>
      <c r="D49" s="18" t="n">
        <v>17</v>
      </c>
      <c r="E49" s="18" t="inlineStr">
        <is>
          <t>피죤</t>
        </is>
      </c>
      <c r="F49" s="18" t="inlineStr">
        <is>
          <t>pidgeotto</t>
        </is>
      </c>
      <c r="G49" s="18" t="inlineStr">
        <is>
          <t>pidgeotto</t>
        </is>
      </c>
      <c r="H49" s="18" t="inlineStr"/>
      <c r="I49" s="18" t="n">
        <v>1</v>
      </c>
      <c r="J49" s="18" t="n"/>
      <c r="K49" s="18" t="n">
        <v>1</v>
      </c>
      <c r="L49" s="18" t="inlineStr">
        <is>
          <t>cobbleventure:generation_1</t>
        </is>
      </c>
      <c r="M49" s="19" t="inlineStr">
        <is>
          <t>cobbleventure:generation_1</t>
        </is>
      </c>
      <c r="N49" s="18" t="inlineStr">
        <is>
          <t>region_01</t>
        </is>
      </c>
      <c r="O49" s="19" t="inlineStr"/>
      <c r="P49" s="18" t="inlineStr">
        <is>
          <t>#cobblemon:is_temperate; #cobblemon:is_sky</t>
        </is>
      </c>
      <c r="Q49" s="19" t="inlineStr"/>
      <c r="R49" s="18">
        <f>IF(Q49="",P49,Q49)</f>
        <v/>
      </c>
      <c r="S49" s="18" t="inlineStr">
        <is>
          <t>#cobblemon:is_spooky</t>
        </is>
      </c>
      <c r="T49" s="18" t="inlineStr">
        <is>
          <t>common</t>
        </is>
      </c>
      <c r="U49" s="20" t="n">
        <v>0.9</v>
      </c>
      <c r="V49" s="21" t="n">
        <v>1</v>
      </c>
      <c r="W49" s="20">
        <f>IF(OR(U49="",V49=""),U49,U49*V49)</f>
        <v/>
      </c>
      <c r="X49" s="18" t="inlineStr">
        <is>
          <t>18-35</t>
        </is>
      </c>
      <c r="Y49" s="19" t="inlineStr"/>
      <c r="Z49" s="18">
        <f>IF(Y49="",X49,Y49)</f>
        <v/>
      </c>
      <c r="AA49" s="18" t="inlineStr">
        <is>
          <t>grounded</t>
        </is>
      </c>
      <c r="AB49" s="18" t="inlineStr">
        <is>
          <t>day</t>
        </is>
      </c>
      <c r="AC49" s="18" t="inlineStr"/>
      <c r="AD49" s="18" t="inlineStr"/>
      <c r="AE49" s="18" t="inlineStr">
        <is>
          <t>sky 8-15</t>
        </is>
      </c>
      <c r="AF49" s="18" t="inlineStr"/>
      <c r="AG49" s="18" t="inlineStr"/>
      <c r="AH49" s="18" t="inlineStr"/>
      <c r="AI49" s="18" t="inlineStr"/>
      <c r="AJ49" s="18" t="inlineStr">
        <is>
          <t>Cobblemon 동일</t>
        </is>
      </c>
      <c r="AK49" s="18" t="inlineStr">
        <is>
          <t>사용</t>
        </is>
      </c>
      <c r="AL49" s="18" t="inlineStr">
        <is>
          <t>COBBLEVERSE 1.7.42 / DP v31</t>
        </is>
      </c>
      <c r="AM49" s="18" t="inlineStr">
        <is>
          <t>data/cobblemon/spawn_pool_world/0017_pidgeotto.json</t>
        </is>
      </c>
      <c r="AN49" s="18" t="inlineStr">
        <is>
          <t>pidgeotto-1</t>
        </is>
      </c>
      <c r="AO49" s="18" t="inlineStr">
        <is>
          <t>pokemon</t>
        </is>
      </c>
      <c r="AP49" s="18" t="inlineStr">
        <is>
          <t>natural; treetop</t>
        </is>
      </c>
      <c r="AQ49" s="18" t="inlineStr">
        <is>
          <t>{"biomes":["#cobblemon:is_temperate","#cobblemon:is_sky"],"maxSkyLight":15,"minSkyLight":8,"timeRange":"day"}</t>
        </is>
      </c>
      <c r="AR49" s="18" t="inlineStr">
        <is>
          <t>{"biomes":["#cobblemon:is_spooky"]}</t>
        </is>
      </c>
      <c r="AS49" s="18" t="inlineStr"/>
      <c r="AT49" s="19" t="inlineStr"/>
    </row>
    <row r="50" ht="32" customHeight="1">
      <c r="A50" s="18" t="inlineStr">
        <is>
          <t>0017_pidgeotto.json::pidgeotto-3::002</t>
        </is>
      </c>
      <c r="B50" s="19" t="inlineStr">
        <is>
          <t>사용</t>
        </is>
      </c>
      <c r="C50" s="18">
        <f>IF(OR(B50&lt;&gt;AK50,M50&lt;&gt;L50,O50&lt;&gt;"",Q50&lt;&gt;"",V50&lt;&gt;1,Y50&lt;&gt;"",AT50&lt;&gt;""),"수정","원본")</f>
        <v/>
      </c>
      <c r="D50" s="18" t="n">
        <v>17</v>
      </c>
      <c r="E50" s="18" t="inlineStr">
        <is>
          <t>피죤</t>
        </is>
      </c>
      <c r="F50" s="18" t="inlineStr">
        <is>
          <t>pidgeotto</t>
        </is>
      </c>
      <c r="G50" s="18" t="inlineStr">
        <is>
          <t>pidgeotto</t>
        </is>
      </c>
      <c r="H50" s="18" t="inlineStr"/>
      <c r="I50" s="18" t="n">
        <v>1</v>
      </c>
      <c r="J50" s="18" t="n"/>
      <c r="K50" s="18" t="n">
        <v>1</v>
      </c>
      <c r="L50" s="18" t="inlineStr">
        <is>
          <t>cobbleventure:generation_1</t>
        </is>
      </c>
      <c r="M50" s="19" t="inlineStr">
        <is>
          <t>cobbleventure:generation_1</t>
        </is>
      </c>
      <c r="N50" s="18" t="inlineStr"/>
      <c r="O50" s="19" t="inlineStr"/>
      <c r="P50" s="18" t="inlineStr">
        <is>
          <t>aether:skyroot_forest; aether:skyroot_woodland</t>
        </is>
      </c>
      <c r="Q50" s="19" t="inlineStr"/>
      <c r="R50" s="18">
        <f>IF(Q50="",P50,Q50)</f>
        <v/>
      </c>
      <c r="S50" s="18" t="inlineStr"/>
      <c r="T50" s="18" t="inlineStr">
        <is>
          <t>common</t>
        </is>
      </c>
      <c r="U50" s="20" t="n">
        <v>0.9</v>
      </c>
      <c r="V50" s="21" t="n">
        <v>1</v>
      </c>
      <c r="W50" s="20">
        <f>IF(OR(U50="",V50=""),U50,U50*V50)</f>
        <v/>
      </c>
      <c r="X50" s="18" t="inlineStr">
        <is>
          <t>18-35</t>
        </is>
      </c>
      <c r="Y50" s="19" t="inlineStr"/>
      <c r="Z50" s="18">
        <f>IF(Y50="",X50,Y50)</f>
        <v/>
      </c>
      <c r="AA50" s="18" t="inlineStr">
        <is>
          <t>grounded</t>
        </is>
      </c>
      <c r="AB50" s="18" t="inlineStr"/>
      <c r="AC50" s="18" t="inlineStr"/>
      <c r="AD50" s="18" t="inlineStr"/>
      <c r="AE50" s="18" t="inlineStr">
        <is>
          <t>sky 8-15</t>
        </is>
      </c>
      <c r="AF50" s="18" t="inlineStr"/>
      <c r="AG50" s="18" t="inlineStr"/>
      <c r="AH50" s="18" t="inlineStr"/>
      <c r="AI50" s="18" t="inlineStr"/>
      <c r="AJ50" s="18" t="inlineStr">
        <is>
          <t>Cobblemon 동일</t>
        </is>
      </c>
      <c r="AK50" s="18" t="inlineStr">
        <is>
          <t>사용</t>
        </is>
      </c>
      <c r="AL50" s="18" t="inlineStr">
        <is>
          <t>COBBLEVERSE 1.7.42 / DP v31</t>
        </is>
      </c>
      <c r="AM50" s="18" t="inlineStr">
        <is>
          <t>data/cobblemon/spawn_pool_world/0017_pidgeotto.json</t>
        </is>
      </c>
      <c r="AN50" s="18" t="inlineStr">
        <is>
          <t>pidgeotto-3</t>
        </is>
      </c>
      <c r="AO50" s="18" t="inlineStr">
        <is>
          <t>pokemon</t>
        </is>
      </c>
      <c r="AP50" s="18" t="inlineStr">
        <is>
          <t>natural; treetop</t>
        </is>
      </c>
      <c r="AQ50" s="18" t="inlineStr">
        <is>
          <t>{"biomes":["aether:skyroot_forest","aether:skyroot_woodland"],"maxSkyLight":15,"minSkyLight":8}</t>
        </is>
      </c>
      <c r="AR50" s="18" t="inlineStr"/>
      <c r="AS50" s="18" t="inlineStr"/>
      <c r="AT50" s="19" t="inlineStr"/>
    </row>
    <row r="51" ht="32" customHeight="1">
      <c r="A51" s="18" t="inlineStr">
        <is>
          <t>0018_pidgeot.json::pidgeot-1::001</t>
        </is>
      </c>
      <c r="B51" s="19" t="inlineStr">
        <is>
          <t>사용</t>
        </is>
      </c>
      <c r="C51" s="18">
        <f>IF(OR(B51&lt;&gt;AK51,M51&lt;&gt;L51,O51&lt;&gt;"",Q51&lt;&gt;"",V51&lt;&gt;1,Y51&lt;&gt;"",AT51&lt;&gt;""),"수정","원본")</f>
        <v/>
      </c>
      <c r="D51" s="18" t="n">
        <v>18</v>
      </c>
      <c r="E51" s="18" t="inlineStr">
        <is>
          <t>피죤투</t>
        </is>
      </c>
      <c r="F51" s="18" t="inlineStr">
        <is>
          <t>pidgeot</t>
        </is>
      </c>
      <c r="G51" s="18" t="inlineStr">
        <is>
          <t>pidgeot</t>
        </is>
      </c>
      <c r="H51" s="18" t="inlineStr"/>
      <c r="I51" s="18" t="n">
        <v>1</v>
      </c>
      <c r="J51" s="18" t="n"/>
      <c r="K51" s="18" t="n">
        <v>1</v>
      </c>
      <c r="L51" s="18" t="inlineStr">
        <is>
          <t>cobbleventure:generation_1</t>
        </is>
      </c>
      <c r="M51" s="19" t="inlineStr">
        <is>
          <t>cobbleventure:generation_1</t>
        </is>
      </c>
      <c r="N51" s="18" t="inlineStr">
        <is>
          <t>region_01</t>
        </is>
      </c>
      <c r="O51" s="19" t="inlineStr"/>
      <c r="P51" s="18" t="inlineStr">
        <is>
          <t>#cobblemon:is_temperate; #cobblemon:is_sky</t>
        </is>
      </c>
      <c r="Q51" s="19" t="inlineStr"/>
      <c r="R51" s="18">
        <f>IF(Q51="",P51,Q51)</f>
        <v/>
      </c>
      <c r="S51" s="18" t="inlineStr">
        <is>
          <t>#cobblemon:is_spooky</t>
        </is>
      </c>
      <c r="T51" s="18" t="inlineStr">
        <is>
          <t>common</t>
        </is>
      </c>
      <c r="U51" s="20" t="n">
        <v>0.1</v>
      </c>
      <c r="V51" s="21" t="n">
        <v>1</v>
      </c>
      <c r="W51" s="20">
        <f>IF(OR(U51="",V51=""),U51,U51*V51)</f>
        <v/>
      </c>
      <c r="X51" s="18" t="inlineStr">
        <is>
          <t>36-48</t>
        </is>
      </c>
      <c r="Y51" s="19" t="inlineStr"/>
      <c r="Z51" s="18">
        <f>IF(Y51="",X51,Y51)</f>
        <v/>
      </c>
      <c r="AA51" s="18" t="inlineStr">
        <is>
          <t>grounded</t>
        </is>
      </c>
      <c r="AB51" s="18" t="inlineStr">
        <is>
          <t>day</t>
        </is>
      </c>
      <c r="AC51" s="18" t="inlineStr"/>
      <c r="AD51" s="18" t="inlineStr"/>
      <c r="AE51" s="18" t="inlineStr">
        <is>
          <t>sky 8-15</t>
        </is>
      </c>
      <c r="AF51" s="18" t="inlineStr"/>
      <c r="AG51" s="18" t="inlineStr"/>
      <c r="AH51" s="18" t="inlineStr"/>
      <c r="AI51" s="18" t="inlineStr"/>
      <c r="AJ51" s="18" t="inlineStr">
        <is>
          <t>Cobblemon 동일</t>
        </is>
      </c>
      <c r="AK51" s="18" t="inlineStr">
        <is>
          <t>사용</t>
        </is>
      </c>
      <c r="AL51" s="18" t="inlineStr">
        <is>
          <t>COBBLEVERSE 1.7.42 / DP v31</t>
        </is>
      </c>
      <c r="AM51" s="18" t="inlineStr">
        <is>
          <t>data/cobblemon/spawn_pool_world/0018_pidgeot.json</t>
        </is>
      </c>
      <c r="AN51" s="18" t="inlineStr">
        <is>
          <t>pidgeot-1</t>
        </is>
      </c>
      <c r="AO51" s="18" t="inlineStr">
        <is>
          <t>pokemon</t>
        </is>
      </c>
      <c r="AP51" s="18" t="inlineStr">
        <is>
          <t>natural; treetop</t>
        </is>
      </c>
      <c r="AQ51" s="18" t="inlineStr">
        <is>
          <t>{"biomes":["#cobblemon:is_temperate","#cobblemon:is_sky"],"maxSkyLight":15,"minSkyLight":8,"timeRange":"day"}</t>
        </is>
      </c>
      <c r="AR51" s="18" t="inlineStr">
        <is>
          <t>{"biomes":["#cobblemon:is_spooky"]}</t>
        </is>
      </c>
      <c r="AS51" s="18" t="inlineStr"/>
      <c r="AT51" s="19" t="inlineStr"/>
    </row>
    <row r="52" ht="32" customHeight="1">
      <c r="A52" s="18" t="inlineStr">
        <is>
          <t>0018_pidgeot.json::pidgeot-3::002</t>
        </is>
      </c>
      <c r="B52" s="19" t="inlineStr">
        <is>
          <t>사용</t>
        </is>
      </c>
      <c r="C52" s="18">
        <f>IF(OR(B52&lt;&gt;AK52,M52&lt;&gt;L52,O52&lt;&gt;"",Q52&lt;&gt;"",V52&lt;&gt;1,Y52&lt;&gt;"",AT52&lt;&gt;""),"수정","원본")</f>
        <v/>
      </c>
      <c r="D52" s="18" t="n">
        <v>18</v>
      </c>
      <c r="E52" s="18" t="inlineStr">
        <is>
          <t>피죤투</t>
        </is>
      </c>
      <c r="F52" s="18" t="inlineStr">
        <is>
          <t>pidgeot</t>
        </is>
      </c>
      <c r="G52" s="18" t="inlineStr">
        <is>
          <t>pidgeot</t>
        </is>
      </c>
      <c r="H52" s="18" t="inlineStr"/>
      <c r="I52" s="18" t="n">
        <v>1</v>
      </c>
      <c r="J52" s="18" t="n"/>
      <c r="K52" s="18" t="n">
        <v>1</v>
      </c>
      <c r="L52" s="18" t="inlineStr">
        <is>
          <t>cobbleventure:generation_1</t>
        </is>
      </c>
      <c r="M52" s="19" t="inlineStr">
        <is>
          <t>cobbleventure:generation_1</t>
        </is>
      </c>
      <c r="N52" s="18" t="inlineStr"/>
      <c r="O52" s="19" t="inlineStr"/>
      <c r="P52" s="18" t="inlineStr">
        <is>
          <t>aether:skyroot_forest; aether:skyroot_woodland</t>
        </is>
      </c>
      <c r="Q52" s="19" t="inlineStr"/>
      <c r="R52" s="18">
        <f>IF(Q52="",P52,Q52)</f>
        <v/>
      </c>
      <c r="S52" s="18" t="inlineStr"/>
      <c r="T52" s="18" t="inlineStr">
        <is>
          <t>common</t>
        </is>
      </c>
      <c r="U52" s="20" t="n">
        <v>0.1</v>
      </c>
      <c r="V52" s="21" t="n">
        <v>1</v>
      </c>
      <c r="W52" s="20">
        <f>IF(OR(U52="",V52=""),U52,U52*V52)</f>
        <v/>
      </c>
      <c r="X52" s="18" t="inlineStr">
        <is>
          <t>36-48</t>
        </is>
      </c>
      <c r="Y52" s="19" t="inlineStr"/>
      <c r="Z52" s="18">
        <f>IF(Y52="",X52,Y52)</f>
        <v/>
      </c>
      <c r="AA52" s="18" t="inlineStr">
        <is>
          <t>grounded</t>
        </is>
      </c>
      <c r="AB52" s="18" t="inlineStr"/>
      <c r="AC52" s="18" t="inlineStr"/>
      <c r="AD52" s="18" t="inlineStr"/>
      <c r="AE52" s="18" t="inlineStr">
        <is>
          <t>sky 8-15</t>
        </is>
      </c>
      <c r="AF52" s="18" t="inlineStr"/>
      <c r="AG52" s="18" t="inlineStr"/>
      <c r="AH52" s="18" t="inlineStr"/>
      <c r="AI52" s="18" t="inlineStr"/>
      <c r="AJ52" s="18" t="inlineStr">
        <is>
          <t>Cobblemon 동일</t>
        </is>
      </c>
      <c r="AK52" s="18" t="inlineStr">
        <is>
          <t>사용</t>
        </is>
      </c>
      <c r="AL52" s="18" t="inlineStr">
        <is>
          <t>COBBLEVERSE 1.7.42 / DP v31</t>
        </is>
      </c>
      <c r="AM52" s="18" t="inlineStr">
        <is>
          <t>data/cobblemon/spawn_pool_world/0018_pidgeot.json</t>
        </is>
      </c>
      <c r="AN52" s="18" t="inlineStr">
        <is>
          <t>pidgeot-3</t>
        </is>
      </c>
      <c r="AO52" s="18" t="inlineStr">
        <is>
          <t>pokemon</t>
        </is>
      </c>
      <c r="AP52" s="18" t="inlineStr">
        <is>
          <t>natural; treetop</t>
        </is>
      </c>
      <c r="AQ52" s="18" t="inlineStr">
        <is>
          <t>{"biomes":["aether:skyroot_forest","aether:skyroot_woodland"],"maxSkyLight":15,"minSkyLight":8}</t>
        </is>
      </c>
      <c r="AR52" s="18" t="inlineStr"/>
      <c r="AS52" s="18" t="inlineStr"/>
      <c r="AT52" s="19" t="inlineStr"/>
    </row>
    <row r="53" ht="32" customHeight="1">
      <c r="A53" s="18" t="inlineStr">
        <is>
          <t>0019_rattata.json::rattata-1::001</t>
        </is>
      </c>
      <c r="B53" s="19" t="inlineStr">
        <is>
          <t>사용</t>
        </is>
      </c>
      <c r="C53" s="18">
        <f>IF(OR(B53&lt;&gt;AK53,M53&lt;&gt;L53,O53&lt;&gt;"",Q53&lt;&gt;"",V53&lt;&gt;1,Y53&lt;&gt;"",AT53&lt;&gt;""),"수정","원본")</f>
        <v/>
      </c>
      <c r="D53" s="18" t="n">
        <v>19</v>
      </c>
      <c r="E53" s="18" t="inlineStr">
        <is>
          <t>꼬렛</t>
        </is>
      </c>
      <c r="F53" s="18" t="inlineStr">
        <is>
          <t>rattata</t>
        </is>
      </c>
      <c r="G53" s="18" t="inlineStr">
        <is>
          <t>rattata</t>
        </is>
      </c>
      <c r="H53" s="18" t="inlineStr"/>
      <c r="I53" s="18" t="n">
        <v>1</v>
      </c>
      <c r="J53" s="18" t="n"/>
      <c r="K53" s="18" t="n">
        <v>1</v>
      </c>
      <c r="L53" s="18" t="inlineStr">
        <is>
          <t>cobbleventure:generation_1</t>
        </is>
      </c>
      <c r="M53" s="19" t="inlineStr">
        <is>
          <t>cobbleventure:generation_1</t>
        </is>
      </c>
      <c r="N53" s="18" t="inlineStr">
        <is>
          <t>region_01</t>
        </is>
      </c>
      <c r="O53" s="19" t="inlineStr"/>
      <c r="P53" s="18" t="inlineStr">
        <is>
          <t>#cobblemon:is_grassland</t>
        </is>
      </c>
      <c r="Q53" s="19" t="inlineStr"/>
      <c r="R53" s="18">
        <f>IF(Q53="",P53,Q53)</f>
        <v/>
      </c>
      <c r="S53" s="18" t="inlineStr">
        <is>
          <t>#cobblemon:is_spooky</t>
        </is>
      </c>
      <c r="T53" s="18" t="inlineStr">
        <is>
          <t>common</t>
        </is>
      </c>
      <c r="U53" s="20" t="n">
        <v>9</v>
      </c>
      <c r="V53" s="21" t="n">
        <v>1</v>
      </c>
      <c r="W53" s="20">
        <f>IF(OR(U53="",V53=""),U53,U53*V53)</f>
        <v/>
      </c>
      <c r="X53" s="18" t="inlineStr">
        <is>
          <t>1-25</t>
        </is>
      </c>
      <c r="Y53" s="19" t="inlineStr"/>
      <c r="Z53" s="18">
        <f>IF(Y53="",X53,Y53)</f>
        <v/>
      </c>
      <c r="AA53" s="18" t="inlineStr">
        <is>
          <t>grounded</t>
        </is>
      </c>
      <c r="AB53" s="18" t="inlineStr">
        <is>
          <t>night</t>
        </is>
      </c>
      <c r="AC53" s="18" t="inlineStr"/>
      <c r="AD53" s="18" t="inlineStr"/>
      <c r="AE53" s="18" t="inlineStr">
        <is>
          <t>sky 8-15</t>
        </is>
      </c>
      <c r="AF53" s="18" t="inlineStr"/>
      <c r="AG53" s="18" t="inlineStr"/>
      <c r="AH53" s="18" t="inlineStr"/>
      <c r="AI53" s="18" t="inlineStr"/>
      <c r="AJ53" s="18" t="inlineStr">
        <is>
          <t>Cobblemon 동일</t>
        </is>
      </c>
      <c r="AK53" s="18" t="inlineStr">
        <is>
          <t>사용</t>
        </is>
      </c>
      <c r="AL53" s="18" t="inlineStr">
        <is>
          <t>COBBLEVERSE 1.7.42 / DP v31</t>
        </is>
      </c>
      <c r="AM53" s="18" t="inlineStr">
        <is>
          <t>data/cobblemon/spawn_pool_world/0019_rattata.json</t>
        </is>
      </c>
      <c r="AN53" s="18" t="inlineStr">
        <is>
          <t>rattata-1</t>
        </is>
      </c>
      <c r="AO53" s="18" t="inlineStr">
        <is>
          <t>pokemon</t>
        </is>
      </c>
      <c r="AP53" s="18" t="inlineStr">
        <is>
          <t>natural</t>
        </is>
      </c>
      <c r="AQ53" s="18" t="inlineStr">
        <is>
          <t>{"biomes":["#cobblemon:is_grassland"],"maxSkyLight":15,"minSkyLight":8,"timeRange":"night"}</t>
        </is>
      </c>
      <c r="AR53" s="18" t="inlineStr">
        <is>
          <t>{"biomes":["#cobblemon:is_spooky"]}</t>
        </is>
      </c>
      <c r="AS53" s="18" t="inlineStr"/>
      <c r="AT53" s="19" t="inlineStr"/>
    </row>
    <row r="54" ht="32" customHeight="1">
      <c r="A54" s="18" t="inlineStr">
        <is>
          <t>0019_rattata.json::rattata-2::002</t>
        </is>
      </c>
      <c r="B54" s="19" t="inlineStr">
        <is>
          <t>사용</t>
        </is>
      </c>
      <c r="C54" s="18">
        <f>IF(OR(B54&lt;&gt;AK54,M54&lt;&gt;L54,O54&lt;&gt;"",Q54&lt;&gt;"",V54&lt;&gt;1,Y54&lt;&gt;"",AT54&lt;&gt;""),"수정","원본")</f>
        <v/>
      </c>
      <c r="D54" s="18" t="n">
        <v>19</v>
      </c>
      <c r="E54" s="18" t="inlineStr">
        <is>
          <t>꼬렛</t>
        </is>
      </c>
      <c r="F54" s="18" t="inlineStr">
        <is>
          <t>rattata</t>
        </is>
      </c>
      <c r="G54" s="18" t="inlineStr">
        <is>
          <t>rattata</t>
        </is>
      </c>
      <c r="H54" s="18" t="inlineStr"/>
      <c r="I54" s="18" t="n">
        <v>1</v>
      </c>
      <c r="J54" s="18" t="n"/>
      <c r="K54" s="18" t="n">
        <v>1</v>
      </c>
      <c r="L54" s="18" t="inlineStr">
        <is>
          <t>cobbleventure:generation_1</t>
        </is>
      </c>
      <c r="M54" s="19" t="inlineStr">
        <is>
          <t>cobbleventure:generation_1</t>
        </is>
      </c>
      <c r="N54" s="18" t="inlineStr">
        <is>
          <t>region_01; region_02</t>
        </is>
      </c>
      <c r="O54" s="19" t="inlineStr"/>
      <c r="P54" s="18" t="inlineStr">
        <is>
          <t>#cobblemon:is_overworld</t>
        </is>
      </c>
      <c r="Q54" s="19" t="inlineStr"/>
      <c r="R54" s="18">
        <f>IF(Q54="",P54,Q54)</f>
        <v/>
      </c>
      <c r="S54" s="18" t="inlineStr">
        <is>
          <t>#cobblemon:is_deep_dark</t>
        </is>
      </c>
      <c r="T54" s="18" t="inlineStr">
        <is>
          <t>common</t>
        </is>
      </c>
      <c r="U54" s="20" t="n">
        <v>9</v>
      </c>
      <c r="V54" s="21" t="n">
        <v>1</v>
      </c>
      <c r="W54" s="20">
        <f>IF(OR(U54="",V54=""),U54,U54*V54)</f>
        <v/>
      </c>
      <c r="X54" s="18" t="inlineStr">
        <is>
          <t>1-25</t>
        </is>
      </c>
      <c r="Y54" s="19" t="inlineStr"/>
      <c r="Z54" s="18">
        <f>IF(Y54="",X54,Y54)</f>
        <v/>
      </c>
      <c r="AA54" s="18" t="inlineStr">
        <is>
          <t>grounded</t>
        </is>
      </c>
      <c r="AB54" s="18" t="inlineStr"/>
      <c r="AC54" s="18" t="inlineStr"/>
      <c r="AD54" s="18" t="inlineStr">
        <is>
          <t>minY=0</t>
        </is>
      </c>
      <c r="AE54" s="18" t="inlineStr">
        <is>
          <t>sky 0-7</t>
        </is>
      </c>
      <c r="AF54" s="18" t="inlineStr"/>
      <c r="AG54" s="18" t="inlineStr"/>
      <c r="AH54" s="18" t="inlineStr"/>
      <c r="AI54" s="18" t="inlineStr"/>
      <c r="AJ54" s="18" t="inlineStr">
        <is>
          <t>Cobblemon 동일</t>
        </is>
      </c>
      <c r="AK54" s="18" t="inlineStr">
        <is>
          <t>사용</t>
        </is>
      </c>
      <c r="AL54" s="18" t="inlineStr">
        <is>
          <t>COBBLEVERSE 1.7.42 / DP v31</t>
        </is>
      </c>
      <c r="AM54" s="18" t="inlineStr">
        <is>
          <t>data/cobblemon/spawn_pool_world/0019_rattata.json</t>
        </is>
      </c>
      <c r="AN54" s="18" t="inlineStr">
        <is>
          <t>rattata-2</t>
        </is>
      </c>
      <c r="AO54" s="18" t="inlineStr">
        <is>
          <t>pokemon</t>
        </is>
      </c>
      <c r="AP54" s="18" t="inlineStr">
        <is>
          <t>natural</t>
        </is>
      </c>
      <c r="AQ54" s="18" t="inlineStr">
        <is>
          <t>{"biomes":["#cobblemon:is_overworld"],"maxSkyLight":7,"minSkyLight":0,"minY":0}</t>
        </is>
      </c>
      <c r="AR54" s="18" t="inlineStr">
        <is>
          <t>{"biomes":["#cobblemon:is_deep_dark"]}</t>
        </is>
      </c>
      <c r="AS54" s="18" t="inlineStr"/>
      <c r="AT54" s="19" t="inlineStr"/>
    </row>
    <row r="55" ht="32" customHeight="1">
      <c r="A55" s="18" t="inlineStr">
        <is>
          <t>0019_rattata.json::rattata-3::003</t>
        </is>
      </c>
      <c r="B55" s="19" t="inlineStr">
        <is>
          <t>사용</t>
        </is>
      </c>
      <c r="C55" s="18">
        <f>IF(OR(B55&lt;&gt;AK55,M55&lt;&gt;L55,O55&lt;&gt;"",Q55&lt;&gt;"",V55&lt;&gt;1,Y55&lt;&gt;"",AT55&lt;&gt;""),"수정","원본")</f>
        <v/>
      </c>
      <c r="D55" s="18" t="n">
        <v>19</v>
      </c>
      <c r="E55" s="18" t="inlineStr">
        <is>
          <t>꼬렛</t>
        </is>
      </c>
      <c r="F55" s="18" t="inlineStr">
        <is>
          <t>rattata</t>
        </is>
      </c>
      <c r="G55" s="18" t="inlineStr">
        <is>
          <t>rattata</t>
        </is>
      </c>
      <c r="H55" s="18" t="inlineStr"/>
      <c r="I55" s="18" t="n">
        <v>1</v>
      </c>
      <c r="J55" s="18" t="n"/>
      <c r="K55" s="18" t="n">
        <v>1</v>
      </c>
      <c r="L55" s="18" t="inlineStr">
        <is>
          <t>cobbleventure:generation_1</t>
        </is>
      </c>
      <c r="M55" s="19" t="inlineStr">
        <is>
          <t>cobbleventure:generation_1</t>
        </is>
      </c>
      <c r="N55" s="18" t="inlineStr">
        <is>
          <t>region_01; region_02</t>
        </is>
      </c>
      <c r="O55" s="19" t="inlineStr"/>
      <c r="P55" s="18" t="inlineStr">
        <is>
          <t>#cobblemon:is_overworld</t>
        </is>
      </c>
      <c r="Q55" s="19" t="inlineStr"/>
      <c r="R55" s="18">
        <f>IF(Q55="",P55,Q55)</f>
        <v/>
      </c>
      <c r="S55" s="18" t="inlineStr">
        <is>
          <t>#cobblemon:is_deep_dark</t>
        </is>
      </c>
      <c r="T55" s="18" t="inlineStr">
        <is>
          <t>uncommon</t>
        </is>
      </c>
      <c r="U55" s="20" t="n">
        <v>8.4</v>
      </c>
      <c r="V55" s="21" t="n">
        <v>1</v>
      </c>
      <c r="W55" s="20">
        <f>IF(OR(U55="",V55=""),U55,U55*V55)</f>
        <v/>
      </c>
      <c r="X55" s="18" t="inlineStr">
        <is>
          <t>1-25</t>
        </is>
      </c>
      <c r="Y55" s="19" t="inlineStr"/>
      <c r="Z55" s="18">
        <f>IF(Y55="",X55,Y55)</f>
        <v/>
      </c>
      <c r="AA55" s="18" t="inlineStr">
        <is>
          <t>grounded</t>
        </is>
      </c>
      <c r="AB55" s="18" t="inlineStr"/>
      <c r="AC55" s="18" t="inlineStr"/>
      <c r="AD55" s="18" t="inlineStr">
        <is>
          <t>minY=0</t>
        </is>
      </c>
      <c r="AE55" s="18" t="inlineStr"/>
      <c r="AF55" s="18" t="inlineStr">
        <is>
          <t>False</t>
        </is>
      </c>
      <c r="AG55" s="18" t="inlineStr"/>
      <c r="AH55" s="18" t="inlineStr"/>
      <c r="AI55" s="18" t="inlineStr"/>
      <c r="AJ55" s="18" t="inlineStr">
        <is>
          <t>Cobblemon 동일</t>
        </is>
      </c>
      <c r="AK55" s="18" t="inlineStr">
        <is>
          <t>사용</t>
        </is>
      </c>
      <c r="AL55" s="18" t="inlineStr">
        <is>
          <t>COBBLEVERSE 1.7.42 / DP v31</t>
        </is>
      </c>
      <c r="AM55" s="18" t="inlineStr">
        <is>
          <t>data/cobblemon/spawn_pool_world/0019_rattata.json</t>
        </is>
      </c>
      <c r="AN55" s="18" t="inlineStr">
        <is>
          <t>rattata-3</t>
        </is>
      </c>
      <c r="AO55" s="18" t="inlineStr">
        <is>
          <t>pokemon</t>
        </is>
      </c>
      <c r="AP55" s="18" t="inlineStr">
        <is>
          <t>derelict</t>
        </is>
      </c>
      <c r="AQ55" s="18" t="inlineStr">
        <is>
          <t>{"biomes":["#cobblemon:is_overworld"],"canSeeSky":false,"minY":0}</t>
        </is>
      </c>
      <c r="AR55" s="18" t="inlineStr">
        <is>
          <t>{"biomes":["#cobblemon:is_deep_dark"]}</t>
        </is>
      </c>
      <c r="AS55" s="18" t="inlineStr"/>
      <c r="AT55" s="19" t="inlineStr"/>
    </row>
    <row r="56" ht="32" customHeight="1">
      <c r="A56" s="18" t="inlineStr">
        <is>
          <t>0019_rattata.json::rattata-alolan-4::004</t>
        </is>
      </c>
      <c r="B56" s="19" t="inlineStr">
        <is>
          <t>사용</t>
        </is>
      </c>
      <c r="C56" s="18">
        <f>IF(OR(B56&lt;&gt;AK56,M56&lt;&gt;L56,O56&lt;&gt;"",Q56&lt;&gt;"",V56&lt;&gt;1,Y56&lt;&gt;"",AT56&lt;&gt;""),"수정","원본")</f>
        <v/>
      </c>
      <c r="D56" s="18" t="n">
        <v>19</v>
      </c>
      <c r="E56" s="18" t="inlineStr">
        <is>
          <t>꼬렛</t>
        </is>
      </c>
      <c r="F56" s="18" t="inlineStr">
        <is>
          <t>rattata</t>
        </is>
      </c>
      <c r="G56" s="18" t="inlineStr">
        <is>
          <t>rattata alolan</t>
        </is>
      </c>
      <c r="H56" s="18" t="inlineStr">
        <is>
          <t>alolan</t>
        </is>
      </c>
      <c r="I56" s="18" t="n">
        <v>1</v>
      </c>
      <c r="J56" s="18" t="n">
        <v>7</v>
      </c>
      <c r="K56" s="18" t="n">
        <v>7</v>
      </c>
      <c r="L56" s="18" t="inlineStr">
        <is>
          <t>cobbleventure:generation_7</t>
        </is>
      </c>
      <c r="M56" s="19" t="inlineStr">
        <is>
          <t>cobbleventure:generation_7</t>
        </is>
      </c>
      <c r="N56" s="18" t="inlineStr">
        <is>
          <t>region_01; region_02</t>
        </is>
      </c>
      <c r="O56" s="19" t="inlineStr"/>
      <c r="P56" s="18" t="inlineStr">
        <is>
          <t>#cobblemon:is_overworld</t>
        </is>
      </c>
      <c r="Q56" s="19" t="inlineStr"/>
      <c r="R56" s="18">
        <f>IF(Q56="",P56,Q56)</f>
        <v/>
      </c>
      <c r="S56" s="18" t="inlineStr">
        <is>
          <t>#cobblemon:is_deep_dark</t>
        </is>
      </c>
      <c r="T56" s="18" t="inlineStr">
        <is>
          <t>common</t>
        </is>
      </c>
      <c r="U56" s="20" t="n">
        <v>9</v>
      </c>
      <c r="V56" s="21" t="n">
        <v>1</v>
      </c>
      <c r="W56" s="20">
        <f>IF(OR(U56="",V56=""),U56,U56*V56)</f>
        <v/>
      </c>
      <c r="X56" s="18" t="inlineStr">
        <is>
          <t>1-25</t>
        </is>
      </c>
      <c r="Y56" s="19" t="inlineStr"/>
      <c r="Z56" s="18">
        <f>IF(Y56="",X56,Y56)</f>
        <v/>
      </c>
      <c r="AA56" s="18" t="inlineStr">
        <is>
          <t>grounded</t>
        </is>
      </c>
      <c r="AB56" s="18" t="inlineStr"/>
      <c r="AC56" s="18" t="inlineStr"/>
      <c r="AD56" s="18" t="inlineStr">
        <is>
          <t>maxY=0</t>
        </is>
      </c>
      <c r="AE56" s="18" t="inlineStr">
        <is>
          <t>sky 0-7</t>
        </is>
      </c>
      <c r="AF56" s="18" t="inlineStr"/>
      <c r="AG56" s="18" t="inlineStr"/>
      <c r="AH56" s="18" t="inlineStr"/>
      <c r="AI56" s="18" t="inlineStr"/>
      <c r="AJ56" s="18" t="inlineStr">
        <is>
          <t>Cobblemon 동일</t>
        </is>
      </c>
      <c r="AK56" s="18" t="inlineStr">
        <is>
          <t>사용</t>
        </is>
      </c>
      <c r="AL56" s="18" t="inlineStr">
        <is>
          <t>COBBLEVERSE 1.7.42 / DP v31</t>
        </is>
      </c>
      <c r="AM56" s="18" t="inlineStr">
        <is>
          <t>data/cobblemon/spawn_pool_world/0019_rattata.json</t>
        </is>
      </c>
      <c r="AN56" s="18" t="inlineStr">
        <is>
          <t>rattata-alolan-4</t>
        </is>
      </c>
      <c r="AO56" s="18" t="inlineStr">
        <is>
          <t>pokemon</t>
        </is>
      </c>
      <c r="AP56" s="18" t="inlineStr">
        <is>
          <t>natural</t>
        </is>
      </c>
      <c r="AQ56" s="18" t="inlineStr">
        <is>
          <t>{"biomes":["#cobblemon:is_overworld"],"maxSkyLight":7,"maxY":0,"minSkyLight":0}</t>
        </is>
      </c>
      <c r="AR56" s="18" t="inlineStr">
        <is>
          <t>{"biomes":["#cobblemon:is_deep_dark"]}</t>
        </is>
      </c>
      <c r="AS56" s="18" t="inlineStr"/>
      <c r="AT56" s="19" t="inlineStr"/>
    </row>
    <row r="57" ht="32" customHeight="1">
      <c r="A57" s="18" t="inlineStr">
        <is>
          <t>0019_rattata.json::rattata-alolan-5::005</t>
        </is>
      </c>
      <c r="B57" s="19" t="inlineStr">
        <is>
          <t>사용</t>
        </is>
      </c>
      <c r="C57" s="18">
        <f>IF(OR(B57&lt;&gt;AK57,M57&lt;&gt;L57,O57&lt;&gt;"",Q57&lt;&gt;"",V57&lt;&gt;1,Y57&lt;&gt;"",AT57&lt;&gt;""),"수정","원본")</f>
        <v/>
      </c>
      <c r="D57" s="18" t="n">
        <v>19</v>
      </c>
      <c r="E57" s="18" t="inlineStr">
        <is>
          <t>꼬렛</t>
        </is>
      </c>
      <c r="F57" s="18" t="inlineStr">
        <is>
          <t>rattata</t>
        </is>
      </c>
      <c r="G57" s="18" t="inlineStr">
        <is>
          <t>rattata alolan</t>
        </is>
      </c>
      <c r="H57" s="18" t="inlineStr">
        <is>
          <t>alolan</t>
        </is>
      </c>
      <c r="I57" s="18" t="n">
        <v>1</v>
      </c>
      <c r="J57" s="18" t="n">
        <v>7</v>
      </c>
      <c r="K57" s="18" t="n">
        <v>7</v>
      </c>
      <c r="L57" s="18" t="inlineStr">
        <is>
          <t>cobbleventure:generation_7</t>
        </is>
      </c>
      <c r="M57" s="19" t="inlineStr">
        <is>
          <t>cobbleventure:generation_7</t>
        </is>
      </c>
      <c r="N57" s="18" t="inlineStr">
        <is>
          <t>region_01; region_02</t>
        </is>
      </c>
      <c r="O57" s="19" t="inlineStr"/>
      <c r="P57" s="18" t="inlineStr">
        <is>
          <t>#cobblemon:is_overworld</t>
        </is>
      </c>
      <c r="Q57" s="19" t="inlineStr"/>
      <c r="R57" s="18">
        <f>IF(Q57="",P57,Q57)</f>
        <v/>
      </c>
      <c r="S57" s="18" t="inlineStr">
        <is>
          <t>#cobblemon:is_deep_dark</t>
        </is>
      </c>
      <c r="T57" s="18" t="inlineStr">
        <is>
          <t>uncommon</t>
        </is>
      </c>
      <c r="U57" s="20" t="n">
        <v>8.4</v>
      </c>
      <c r="V57" s="21" t="n">
        <v>1</v>
      </c>
      <c r="W57" s="20">
        <f>IF(OR(U57="",V57=""),U57,U57*V57)</f>
        <v/>
      </c>
      <c r="X57" s="18" t="inlineStr">
        <is>
          <t>1-25</t>
        </is>
      </c>
      <c r="Y57" s="19" t="inlineStr"/>
      <c r="Z57" s="18">
        <f>IF(Y57="",X57,Y57)</f>
        <v/>
      </c>
      <c r="AA57" s="18" t="inlineStr">
        <is>
          <t>grounded</t>
        </is>
      </c>
      <c r="AB57" s="18" t="inlineStr"/>
      <c r="AC57" s="18" t="inlineStr"/>
      <c r="AD57" s="18" t="inlineStr">
        <is>
          <t>maxY=0</t>
        </is>
      </c>
      <c r="AE57" s="18" t="inlineStr"/>
      <c r="AF57" s="18" t="inlineStr">
        <is>
          <t>False</t>
        </is>
      </c>
      <c r="AG57" s="18" t="inlineStr"/>
      <c r="AH57" s="18" t="inlineStr"/>
      <c r="AI57" s="18" t="inlineStr"/>
      <c r="AJ57" s="18" t="inlineStr">
        <is>
          <t>Cobblemon 동일</t>
        </is>
      </c>
      <c r="AK57" s="18" t="inlineStr">
        <is>
          <t>사용</t>
        </is>
      </c>
      <c r="AL57" s="18" t="inlineStr">
        <is>
          <t>COBBLEVERSE 1.7.42 / DP v31</t>
        </is>
      </c>
      <c r="AM57" s="18" t="inlineStr">
        <is>
          <t>data/cobblemon/spawn_pool_world/0019_rattata.json</t>
        </is>
      </c>
      <c r="AN57" s="18" t="inlineStr">
        <is>
          <t>rattata-alolan-5</t>
        </is>
      </c>
      <c r="AO57" s="18" t="inlineStr">
        <is>
          <t>pokemon</t>
        </is>
      </c>
      <c r="AP57" s="18" t="inlineStr">
        <is>
          <t>derelict</t>
        </is>
      </c>
      <c r="AQ57" s="18" t="inlineStr">
        <is>
          <t>{"biomes":["#cobblemon:is_overworld"],"canSeeSky":false,"maxY":0}</t>
        </is>
      </c>
      <c r="AR57" s="18" t="inlineStr">
        <is>
          <t>{"biomes":["#cobblemon:is_deep_dark"]}</t>
        </is>
      </c>
      <c r="AS57" s="18" t="inlineStr"/>
      <c r="AT57" s="19" t="inlineStr"/>
    </row>
    <row r="58" ht="32" customHeight="1">
      <c r="A58" s="18" t="inlineStr">
        <is>
          <t>0019_rattata.json::rattata-alolan-6::006</t>
        </is>
      </c>
      <c r="B58" s="19" t="inlineStr">
        <is>
          <t>사용</t>
        </is>
      </c>
      <c r="C58" s="18">
        <f>IF(OR(B58&lt;&gt;AK58,M58&lt;&gt;L58,O58&lt;&gt;"",Q58&lt;&gt;"",V58&lt;&gt;1,Y58&lt;&gt;"",AT58&lt;&gt;""),"수정","원본")</f>
        <v/>
      </c>
      <c r="D58" s="18" t="n">
        <v>19</v>
      </c>
      <c r="E58" s="18" t="inlineStr">
        <is>
          <t>꼬렛</t>
        </is>
      </c>
      <c r="F58" s="18" t="inlineStr">
        <is>
          <t>rattata</t>
        </is>
      </c>
      <c r="G58" s="18" t="inlineStr">
        <is>
          <t>rattata alolan</t>
        </is>
      </c>
      <c r="H58" s="18" t="inlineStr">
        <is>
          <t>alolan</t>
        </is>
      </c>
      <c r="I58" s="18" t="n">
        <v>1</v>
      </c>
      <c r="J58" s="18" t="n">
        <v>7</v>
      </c>
      <c r="K58" s="18" t="n">
        <v>7</v>
      </c>
      <c r="L58" s="18" t="inlineStr">
        <is>
          <t>cobbleventure:generation_7</t>
        </is>
      </c>
      <c r="M58" s="19" t="inlineStr">
        <is>
          <t>cobbleventure:generation_7</t>
        </is>
      </c>
      <c r="N58" s="18" t="inlineStr"/>
      <c r="O58" s="19" t="inlineStr"/>
      <c r="P58" s="18" t="inlineStr">
        <is>
          <t>#cobblemon:is_spooky</t>
        </is>
      </c>
      <c r="Q58" s="19" t="inlineStr"/>
      <c r="R58" s="18">
        <f>IF(Q58="",P58,Q58)</f>
        <v/>
      </c>
      <c r="S58" s="18" t="inlineStr"/>
      <c r="T58" s="18" t="inlineStr">
        <is>
          <t>common</t>
        </is>
      </c>
      <c r="U58" s="20" t="n">
        <v>9</v>
      </c>
      <c r="V58" s="21" t="n">
        <v>1</v>
      </c>
      <c r="W58" s="20">
        <f>IF(OR(U58="",V58=""),U58,U58*V58)</f>
        <v/>
      </c>
      <c r="X58" s="18" t="inlineStr">
        <is>
          <t>1-25</t>
        </is>
      </c>
      <c r="Y58" s="19" t="inlineStr"/>
      <c r="Z58" s="18">
        <f>IF(Y58="",X58,Y58)</f>
        <v/>
      </c>
      <c r="AA58" s="18" t="inlineStr">
        <is>
          <t>grounded</t>
        </is>
      </c>
      <c r="AB58" s="18" t="inlineStr">
        <is>
          <t>night</t>
        </is>
      </c>
      <c r="AC58" s="18" t="inlineStr"/>
      <c r="AD58" s="18" t="inlineStr"/>
      <c r="AE58" s="18" t="inlineStr">
        <is>
          <t>sky 8-15</t>
        </is>
      </c>
      <c r="AF58" s="18" t="inlineStr"/>
      <c r="AG58" s="18" t="inlineStr"/>
      <c r="AH58" s="18" t="inlineStr"/>
      <c r="AI58" s="18" t="inlineStr"/>
      <c r="AJ58" s="18" t="inlineStr">
        <is>
          <t>Cobblemon 동일</t>
        </is>
      </c>
      <c r="AK58" s="18" t="inlineStr">
        <is>
          <t>사용</t>
        </is>
      </c>
      <c r="AL58" s="18" t="inlineStr">
        <is>
          <t>COBBLEVERSE 1.7.42 / DP v31</t>
        </is>
      </c>
      <c r="AM58" s="18" t="inlineStr">
        <is>
          <t>data/cobblemon/spawn_pool_world/0019_rattata.json</t>
        </is>
      </c>
      <c r="AN58" s="18" t="inlineStr">
        <is>
          <t>rattata-alolan-6</t>
        </is>
      </c>
      <c r="AO58" s="18" t="inlineStr">
        <is>
          <t>pokemon</t>
        </is>
      </c>
      <c r="AP58" s="18" t="inlineStr">
        <is>
          <t>natural</t>
        </is>
      </c>
      <c r="AQ58" s="18" t="inlineStr">
        <is>
          <t>{"biomes":["#cobblemon:is_spooky"],"maxSkyLight":15,"minSkyLight":8,"timeRange":"night"}</t>
        </is>
      </c>
      <c r="AR58" s="18" t="inlineStr"/>
      <c r="AS58" s="18" t="inlineStr"/>
      <c r="AT58" s="19" t="inlineStr"/>
    </row>
    <row r="59" ht="32" customHeight="1">
      <c r="A59" s="18" t="inlineStr">
        <is>
          <t>0019_rattata.json::rattata-alolan-7::007</t>
        </is>
      </c>
      <c r="B59" s="19" t="inlineStr">
        <is>
          <t>사용</t>
        </is>
      </c>
      <c r="C59" s="18">
        <f>IF(OR(B59&lt;&gt;AK59,M59&lt;&gt;L59,O59&lt;&gt;"",Q59&lt;&gt;"",V59&lt;&gt;1,Y59&lt;&gt;"",AT59&lt;&gt;""),"수정","원본")</f>
        <v/>
      </c>
      <c r="D59" s="18" t="n">
        <v>19</v>
      </c>
      <c r="E59" s="18" t="inlineStr">
        <is>
          <t>꼬렛</t>
        </is>
      </c>
      <c r="F59" s="18" t="inlineStr">
        <is>
          <t>rattata</t>
        </is>
      </c>
      <c r="G59" s="18" t="inlineStr">
        <is>
          <t>rattata alolan</t>
        </is>
      </c>
      <c r="H59" s="18" t="inlineStr">
        <is>
          <t>alolan</t>
        </is>
      </c>
      <c r="I59" s="18" t="n">
        <v>1</v>
      </c>
      <c r="J59" s="18" t="n">
        <v>7</v>
      </c>
      <c r="K59" s="18" t="n">
        <v>7</v>
      </c>
      <c r="L59" s="18" t="inlineStr">
        <is>
          <t>cobbleventure:generation_7</t>
        </is>
      </c>
      <c r="M59" s="19" t="inlineStr">
        <is>
          <t>cobbleventure:generation_7</t>
        </is>
      </c>
      <c r="N59" s="18" t="inlineStr"/>
      <c r="O59" s="19" t="inlineStr"/>
      <c r="P59" s="18" t="inlineStr">
        <is>
          <t>#cobblemon:is_spooky</t>
        </is>
      </c>
      <c r="Q59" s="19" t="inlineStr"/>
      <c r="R59" s="18">
        <f>IF(Q59="",P59,Q59)</f>
        <v/>
      </c>
      <c r="S59" s="18" t="inlineStr">
        <is>
          <t>#cobblemon:is_deep_dark</t>
        </is>
      </c>
      <c r="T59" s="18" t="inlineStr">
        <is>
          <t>uncommon</t>
        </is>
      </c>
      <c r="U59" s="20" t="n">
        <v>8.4</v>
      </c>
      <c r="V59" s="21" t="n">
        <v>1</v>
      </c>
      <c r="W59" s="20">
        <f>IF(OR(U59="",V59=""),U59,U59*V59)</f>
        <v/>
      </c>
      <c r="X59" s="18" t="inlineStr">
        <is>
          <t>1-25</t>
        </is>
      </c>
      <c r="Y59" s="19" t="inlineStr"/>
      <c r="Z59" s="18">
        <f>IF(Y59="",X59,Y59)</f>
        <v/>
      </c>
      <c r="AA59" s="18" t="inlineStr">
        <is>
          <t>grounded</t>
        </is>
      </c>
      <c r="AB59" s="18" t="inlineStr"/>
      <c r="AC59" s="18" t="inlineStr"/>
      <c r="AD59" s="18" t="inlineStr"/>
      <c r="AE59" s="18" t="inlineStr"/>
      <c r="AF59" s="18" t="inlineStr">
        <is>
          <t>False</t>
        </is>
      </c>
      <c r="AG59" s="18" t="inlineStr"/>
      <c r="AH59" s="18" t="inlineStr"/>
      <c r="AI59" s="18" t="inlineStr"/>
      <c r="AJ59" s="18" t="inlineStr">
        <is>
          <t>Cobblemon 동일</t>
        </is>
      </c>
      <c r="AK59" s="18" t="inlineStr">
        <is>
          <t>사용</t>
        </is>
      </c>
      <c r="AL59" s="18" t="inlineStr">
        <is>
          <t>COBBLEVERSE 1.7.42 / DP v31</t>
        </is>
      </c>
      <c r="AM59" s="18" t="inlineStr">
        <is>
          <t>data/cobblemon/spawn_pool_world/0019_rattata.json</t>
        </is>
      </c>
      <c r="AN59" s="18" t="inlineStr">
        <is>
          <t>rattata-alolan-7</t>
        </is>
      </c>
      <c r="AO59" s="18" t="inlineStr">
        <is>
          <t>pokemon</t>
        </is>
      </c>
      <c r="AP59" s="18" t="inlineStr">
        <is>
          <t>derelict</t>
        </is>
      </c>
      <c r="AQ59" s="18" t="inlineStr">
        <is>
          <t>{"biomes":["#cobblemon:is_spooky"],"canSeeSky":false}</t>
        </is>
      </c>
      <c r="AR59" s="18" t="inlineStr">
        <is>
          <t>{"biomes":["#cobblemon:is_deep_dark"]}</t>
        </is>
      </c>
      <c r="AS59" s="18" t="inlineStr"/>
      <c r="AT59" s="19" t="inlineStr"/>
    </row>
    <row r="60" ht="32" customHeight="1">
      <c r="A60" s="18" t="inlineStr">
        <is>
          <t>0020_raticate.json::raticate-1::001</t>
        </is>
      </c>
      <c r="B60" s="19" t="inlineStr">
        <is>
          <t>사용</t>
        </is>
      </c>
      <c r="C60" s="18">
        <f>IF(OR(B60&lt;&gt;AK60,M60&lt;&gt;L60,O60&lt;&gt;"",Q60&lt;&gt;"",V60&lt;&gt;1,Y60&lt;&gt;"",AT60&lt;&gt;""),"수정","원본")</f>
        <v/>
      </c>
      <c r="D60" s="18" t="n">
        <v>20</v>
      </c>
      <c r="E60" s="18" t="inlineStr">
        <is>
          <t>레트라</t>
        </is>
      </c>
      <c r="F60" s="18" t="inlineStr">
        <is>
          <t>raticate</t>
        </is>
      </c>
      <c r="G60" s="18" t="inlineStr">
        <is>
          <t>raticate</t>
        </is>
      </c>
      <c r="H60" s="18" t="inlineStr"/>
      <c r="I60" s="18" t="n">
        <v>1</v>
      </c>
      <c r="J60" s="18" t="n"/>
      <c r="K60" s="18" t="n">
        <v>1</v>
      </c>
      <c r="L60" s="18" t="inlineStr">
        <is>
          <t>cobbleventure:generation_1</t>
        </is>
      </c>
      <c r="M60" s="19" t="inlineStr">
        <is>
          <t>cobbleventure:generation_1</t>
        </is>
      </c>
      <c r="N60" s="18" t="inlineStr">
        <is>
          <t>region_01</t>
        </is>
      </c>
      <c r="O60" s="19" t="inlineStr"/>
      <c r="P60" s="18" t="inlineStr">
        <is>
          <t>#cobblemon:is_grassland</t>
        </is>
      </c>
      <c r="Q60" s="19" t="inlineStr"/>
      <c r="R60" s="18">
        <f>IF(Q60="",P60,Q60)</f>
        <v/>
      </c>
      <c r="S60" s="18" t="inlineStr">
        <is>
          <t>#cobblemon:is_spooky</t>
        </is>
      </c>
      <c r="T60" s="18" t="inlineStr">
        <is>
          <t>common</t>
        </is>
      </c>
      <c r="U60" s="20" t="n">
        <v>1</v>
      </c>
      <c r="V60" s="21" t="n">
        <v>1</v>
      </c>
      <c r="W60" s="20">
        <f>IF(OR(U60="",V60=""),U60,U60*V60)</f>
        <v/>
      </c>
      <c r="X60" s="18" t="inlineStr">
        <is>
          <t>20-41</t>
        </is>
      </c>
      <c r="Y60" s="19" t="inlineStr"/>
      <c r="Z60" s="18">
        <f>IF(Y60="",X60,Y60)</f>
        <v/>
      </c>
      <c r="AA60" s="18" t="inlineStr">
        <is>
          <t>grounded</t>
        </is>
      </c>
      <c r="AB60" s="18" t="inlineStr">
        <is>
          <t>night</t>
        </is>
      </c>
      <c r="AC60" s="18" t="inlineStr"/>
      <c r="AD60" s="18" t="inlineStr"/>
      <c r="AE60" s="18" t="inlineStr">
        <is>
          <t>sky 8-15</t>
        </is>
      </c>
      <c r="AF60" s="18" t="inlineStr"/>
      <c r="AG60" s="18" t="inlineStr"/>
      <c r="AH60" s="18" t="inlineStr"/>
      <c r="AI60" s="18" t="inlineStr"/>
      <c r="AJ60" s="18" t="inlineStr">
        <is>
          <t>Cobblemon 동일</t>
        </is>
      </c>
      <c r="AK60" s="18" t="inlineStr">
        <is>
          <t>사용</t>
        </is>
      </c>
      <c r="AL60" s="18" t="inlineStr">
        <is>
          <t>COBBLEVERSE 1.7.42 / DP v31</t>
        </is>
      </c>
      <c r="AM60" s="18" t="inlineStr">
        <is>
          <t>data/cobblemon/spawn_pool_world/0020_raticate.json</t>
        </is>
      </c>
      <c r="AN60" s="18" t="inlineStr">
        <is>
          <t>raticate-1</t>
        </is>
      </c>
      <c r="AO60" s="18" t="inlineStr">
        <is>
          <t>pokemon</t>
        </is>
      </c>
      <c r="AP60" s="18" t="inlineStr">
        <is>
          <t>natural</t>
        </is>
      </c>
      <c r="AQ60" s="18" t="inlineStr">
        <is>
          <t>{"biomes":["#cobblemon:is_grassland"],"maxSkyLight":15,"minSkyLight":8,"timeRange":"night"}</t>
        </is>
      </c>
      <c r="AR60" s="18" t="inlineStr">
        <is>
          <t>{"biomes":["#cobblemon:is_spooky"]}</t>
        </is>
      </c>
      <c r="AS60" s="18" t="inlineStr"/>
      <c r="AT60" s="19" t="inlineStr"/>
    </row>
    <row r="61" ht="32" customHeight="1">
      <c r="A61" s="18" t="inlineStr">
        <is>
          <t>0020_raticate.json::raticate-2::002</t>
        </is>
      </c>
      <c r="B61" s="19" t="inlineStr">
        <is>
          <t>사용</t>
        </is>
      </c>
      <c r="C61" s="18">
        <f>IF(OR(B61&lt;&gt;AK61,M61&lt;&gt;L61,O61&lt;&gt;"",Q61&lt;&gt;"",V61&lt;&gt;1,Y61&lt;&gt;"",AT61&lt;&gt;""),"수정","원본")</f>
        <v/>
      </c>
      <c r="D61" s="18" t="n">
        <v>20</v>
      </c>
      <c r="E61" s="18" t="inlineStr">
        <is>
          <t>레트라</t>
        </is>
      </c>
      <c r="F61" s="18" t="inlineStr">
        <is>
          <t>raticate</t>
        </is>
      </c>
      <c r="G61" s="18" t="inlineStr">
        <is>
          <t>raticate</t>
        </is>
      </c>
      <c r="H61" s="18" t="inlineStr"/>
      <c r="I61" s="18" t="n">
        <v>1</v>
      </c>
      <c r="J61" s="18" t="n"/>
      <c r="K61" s="18" t="n">
        <v>1</v>
      </c>
      <c r="L61" s="18" t="inlineStr">
        <is>
          <t>cobbleventure:generation_1</t>
        </is>
      </c>
      <c r="M61" s="19" t="inlineStr">
        <is>
          <t>cobbleventure:generation_1</t>
        </is>
      </c>
      <c r="N61" s="18" t="inlineStr">
        <is>
          <t>region_01; region_02</t>
        </is>
      </c>
      <c r="O61" s="19" t="inlineStr"/>
      <c r="P61" s="18" t="inlineStr">
        <is>
          <t>#cobblemon:is_overworld</t>
        </is>
      </c>
      <c r="Q61" s="19" t="inlineStr"/>
      <c r="R61" s="18">
        <f>IF(Q61="",P61,Q61)</f>
        <v/>
      </c>
      <c r="S61" s="18" t="inlineStr">
        <is>
          <t>#cobblemon:is_deep_dark</t>
        </is>
      </c>
      <c r="T61" s="18" t="inlineStr">
        <is>
          <t>common</t>
        </is>
      </c>
      <c r="U61" s="20" t="n">
        <v>1</v>
      </c>
      <c r="V61" s="21" t="n">
        <v>1</v>
      </c>
      <c r="W61" s="20">
        <f>IF(OR(U61="",V61=""),U61,U61*V61)</f>
        <v/>
      </c>
      <c r="X61" s="18" t="inlineStr">
        <is>
          <t>20-41</t>
        </is>
      </c>
      <c r="Y61" s="19" t="inlineStr"/>
      <c r="Z61" s="18">
        <f>IF(Y61="",X61,Y61)</f>
        <v/>
      </c>
      <c r="AA61" s="18" t="inlineStr">
        <is>
          <t>grounded</t>
        </is>
      </c>
      <c r="AB61" s="18" t="inlineStr"/>
      <c r="AC61" s="18" t="inlineStr"/>
      <c r="AD61" s="18" t="inlineStr">
        <is>
          <t>minY=0</t>
        </is>
      </c>
      <c r="AE61" s="18" t="inlineStr">
        <is>
          <t>sky 0-7</t>
        </is>
      </c>
      <c r="AF61" s="18" t="inlineStr"/>
      <c r="AG61" s="18" t="inlineStr"/>
      <c r="AH61" s="18" t="inlineStr"/>
      <c r="AI61" s="18" t="inlineStr"/>
      <c r="AJ61" s="18" t="inlineStr">
        <is>
          <t>Cobblemon 동일</t>
        </is>
      </c>
      <c r="AK61" s="18" t="inlineStr">
        <is>
          <t>사용</t>
        </is>
      </c>
      <c r="AL61" s="18" t="inlineStr">
        <is>
          <t>COBBLEVERSE 1.7.42 / DP v31</t>
        </is>
      </c>
      <c r="AM61" s="18" t="inlineStr">
        <is>
          <t>data/cobblemon/spawn_pool_world/0020_raticate.json</t>
        </is>
      </c>
      <c r="AN61" s="18" t="inlineStr">
        <is>
          <t>raticate-2</t>
        </is>
      </c>
      <c r="AO61" s="18" t="inlineStr">
        <is>
          <t>pokemon</t>
        </is>
      </c>
      <c r="AP61" s="18" t="inlineStr">
        <is>
          <t>natural</t>
        </is>
      </c>
      <c r="AQ61" s="18" t="inlineStr">
        <is>
          <t>{"biomes":["#cobblemon:is_overworld"],"maxSkyLight":7,"minSkyLight":0,"minY":0}</t>
        </is>
      </c>
      <c r="AR61" s="18" t="inlineStr">
        <is>
          <t>{"biomes":["#cobblemon:is_deep_dark"]}</t>
        </is>
      </c>
      <c r="AS61" s="18" t="inlineStr"/>
      <c r="AT61" s="19" t="inlineStr"/>
    </row>
    <row r="62" ht="32" customHeight="1">
      <c r="A62" s="18" t="inlineStr">
        <is>
          <t>0020_raticate.json::raticate-3::003</t>
        </is>
      </c>
      <c r="B62" s="19" t="inlineStr">
        <is>
          <t>사용</t>
        </is>
      </c>
      <c r="C62" s="18">
        <f>IF(OR(B62&lt;&gt;AK62,M62&lt;&gt;L62,O62&lt;&gt;"",Q62&lt;&gt;"",V62&lt;&gt;1,Y62&lt;&gt;"",AT62&lt;&gt;""),"수정","원본")</f>
        <v/>
      </c>
      <c r="D62" s="18" t="n">
        <v>20</v>
      </c>
      <c r="E62" s="18" t="inlineStr">
        <is>
          <t>레트라</t>
        </is>
      </c>
      <c r="F62" s="18" t="inlineStr">
        <is>
          <t>raticate</t>
        </is>
      </c>
      <c r="G62" s="18" t="inlineStr">
        <is>
          <t>raticate</t>
        </is>
      </c>
      <c r="H62" s="18" t="inlineStr"/>
      <c r="I62" s="18" t="n">
        <v>1</v>
      </c>
      <c r="J62" s="18" t="n"/>
      <c r="K62" s="18" t="n">
        <v>1</v>
      </c>
      <c r="L62" s="18" t="inlineStr">
        <is>
          <t>cobbleventure:generation_1</t>
        </is>
      </c>
      <c r="M62" s="19" t="inlineStr">
        <is>
          <t>cobbleventure:generation_1</t>
        </is>
      </c>
      <c r="N62" s="18" t="inlineStr">
        <is>
          <t>region_01; region_02</t>
        </is>
      </c>
      <c r="O62" s="19" t="inlineStr"/>
      <c r="P62" s="18" t="inlineStr">
        <is>
          <t>#cobblemon:is_overworld</t>
        </is>
      </c>
      <c r="Q62" s="19" t="inlineStr"/>
      <c r="R62" s="18">
        <f>IF(Q62="",P62,Q62)</f>
        <v/>
      </c>
      <c r="S62" s="18" t="inlineStr">
        <is>
          <t>#cobblemon:is_deep_dark</t>
        </is>
      </c>
      <c r="T62" s="18" t="inlineStr">
        <is>
          <t>uncommon</t>
        </is>
      </c>
      <c r="U62" s="20" t="n">
        <v>1.6</v>
      </c>
      <c r="V62" s="21" t="n">
        <v>1</v>
      </c>
      <c r="W62" s="20">
        <f>IF(OR(U62="",V62=""),U62,U62*V62)</f>
        <v/>
      </c>
      <c r="X62" s="18" t="inlineStr">
        <is>
          <t>20-41</t>
        </is>
      </c>
      <c r="Y62" s="19" t="inlineStr"/>
      <c r="Z62" s="18">
        <f>IF(Y62="",X62,Y62)</f>
        <v/>
      </c>
      <c r="AA62" s="18" t="inlineStr">
        <is>
          <t>grounded</t>
        </is>
      </c>
      <c r="AB62" s="18" t="inlineStr"/>
      <c r="AC62" s="18" t="inlineStr"/>
      <c r="AD62" s="18" t="inlineStr">
        <is>
          <t>minY=0</t>
        </is>
      </c>
      <c r="AE62" s="18" t="inlineStr"/>
      <c r="AF62" s="18" t="inlineStr">
        <is>
          <t>False</t>
        </is>
      </c>
      <c r="AG62" s="18" t="inlineStr"/>
      <c r="AH62" s="18" t="inlineStr"/>
      <c r="AI62" s="18" t="inlineStr"/>
      <c r="AJ62" s="18" t="inlineStr">
        <is>
          <t>Cobblemon 동일</t>
        </is>
      </c>
      <c r="AK62" s="18" t="inlineStr">
        <is>
          <t>사용</t>
        </is>
      </c>
      <c r="AL62" s="18" t="inlineStr">
        <is>
          <t>COBBLEVERSE 1.7.42 / DP v31</t>
        </is>
      </c>
      <c r="AM62" s="18" t="inlineStr">
        <is>
          <t>data/cobblemon/spawn_pool_world/0020_raticate.json</t>
        </is>
      </c>
      <c r="AN62" s="18" t="inlineStr">
        <is>
          <t>raticate-3</t>
        </is>
      </c>
      <c r="AO62" s="18" t="inlineStr">
        <is>
          <t>pokemon</t>
        </is>
      </c>
      <c r="AP62" s="18" t="inlineStr">
        <is>
          <t>derelict</t>
        </is>
      </c>
      <c r="AQ62" s="18" t="inlineStr">
        <is>
          <t>{"biomes":["#cobblemon:is_overworld"],"canSeeSky":false,"minY":0}</t>
        </is>
      </c>
      <c r="AR62" s="18" t="inlineStr">
        <is>
          <t>{"biomes":["#cobblemon:is_deep_dark"]}</t>
        </is>
      </c>
      <c r="AS62" s="18" t="inlineStr"/>
      <c r="AT62" s="19" t="inlineStr"/>
    </row>
    <row r="63" ht="32" customHeight="1">
      <c r="A63" s="18" t="inlineStr">
        <is>
          <t>0020_raticate.json::raticate-alolan-4::004</t>
        </is>
      </c>
      <c r="B63" s="19" t="inlineStr">
        <is>
          <t>사용</t>
        </is>
      </c>
      <c r="C63" s="18">
        <f>IF(OR(B63&lt;&gt;AK63,M63&lt;&gt;L63,O63&lt;&gt;"",Q63&lt;&gt;"",V63&lt;&gt;1,Y63&lt;&gt;"",AT63&lt;&gt;""),"수정","원본")</f>
        <v/>
      </c>
      <c r="D63" s="18" t="n">
        <v>20</v>
      </c>
      <c r="E63" s="18" t="inlineStr">
        <is>
          <t>레트라</t>
        </is>
      </c>
      <c r="F63" s="18" t="inlineStr">
        <is>
          <t>raticate</t>
        </is>
      </c>
      <c r="G63" s="18" t="inlineStr">
        <is>
          <t>raticate alolan</t>
        </is>
      </c>
      <c r="H63" s="18" t="inlineStr">
        <is>
          <t>alolan</t>
        </is>
      </c>
      <c r="I63" s="18" t="n">
        <v>1</v>
      </c>
      <c r="J63" s="18" t="n">
        <v>7</v>
      </c>
      <c r="K63" s="18" t="n">
        <v>7</v>
      </c>
      <c r="L63" s="18" t="inlineStr">
        <is>
          <t>cobbleventure:generation_7</t>
        </is>
      </c>
      <c r="M63" s="19" t="inlineStr">
        <is>
          <t>cobbleventure:generation_7</t>
        </is>
      </c>
      <c r="N63" s="18" t="inlineStr">
        <is>
          <t>region_01; region_02</t>
        </is>
      </c>
      <c r="O63" s="19" t="inlineStr"/>
      <c r="P63" s="18" t="inlineStr">
        <is>
          <t>#cobblemon:is_overworld</t>
        </is>
      </c>
      <c r="Q63" s="19" t="inlineStr"/>
      <c r="R63" s="18">
        <f>IF(Q63="",P63,Q63)</f>
        <v/>
      </c>
      <c r="S63" s="18" t="inlineStr">
        <is>
          <t>#cobblemon:is_deep_dark</t>
        </is>
      </c>
      <c r="T63" s="18" t="inlineStr">
        <is>
          <t>common</t>
        </is>
      </c>
      <c r="U63" s="20" t="n">
        <v>1</v>
      </c>
      <c r="V63" s="21" t="n">
        <v>1</v>
      </c>
      <c r="W63" s="20">
        <f>IF(OR(U63="",V63=""),U63,U63*V63)</f>
        <v/>
      </c>
      <c r="X63" s="18" t="inlineStr">
        <is>
          <t>20-41</t>
        </is>
      </c>
      <c r="Y63" s="19" t="inlineStr"/>
      <c r="Z63" s="18">
        <f>IF(Y63="",X63,Y63)</f>
        <v/>
      </c>
      <c r="AA63" s="18" t="inlineStr">
        <is>
          <t>grounded</t>
        </is>
      </c>
      <c r="AB63" s="18" t="inlineStr"/>
      <c r="AC63" s="18" t="inlineStr"/>
      <c r="AD63" s="18" t="inlineStr">
        <is>
          <t>maxY=0</t>
        </is>
      </c>
      <c r="AE63" s="18" t="inlineStr">
        <is>
          <t>sky 0-7</t>
        </is>
      </c>
      <c r="AF63" s="18" t="inlineStr"/>
      <c r="AG63" s="18" t="inlineStr"/>
      <c r="AH63" s="18" t="inlineStr"/>
      <c r="AI63" s="18" t="inlineStr"/>
      <c r="AJ63" s="18" t="inlineStr">
        <is>
          <t>Cobblemon 동일</t>
        </is>
      </c>
      <c r="AK63" s="18" t="inlineStr">
        <is>
          <t>사용</t>
        </is>
      </c>
      <c r="AL63" s="18" t="inlineStr">
        <is>
          <t>COBBLEVERSE 1.7.42 / DP v31</t>
        </is>
      </c>
      <c r="AM63" s="18" t="inlineStr">
        <is>
          <t>data/cobblemon/spawn_pool_world/0020_raticate.json</t>
        </is>
      </c>
      <c r="AN63" s="18" t="inlineStr">
        <is>
          <t>raticate-alolan-4</t>
        </is>
      </c>
      <c r="AO63" s="18" t="inlineStr">
        <is>
          <t>pokemon</t>
        </is>
      </c>
      <c r="AP63" s="18" t="inlineStr">
        <is>
          <t>natural</t>
        </is>
      </c>
      <c r="AQ63" s="18" t="inlineStr">
        <is>
          <t>{"biomes":["#cobblemon:is_overworld"],"maxSkyLight":7,"maxY":0,"minSkyLight":0}</t>
        </is>
      </c>
      <c r="AR63" s="18" t="inlineStr">
        <is>
          <t>{"biomes":["#cobblemon:is_deep_dark"]}</t>
        </is>
      </c>
      <c r="AS63" s="18" t="inlineStr"/>
      <c r="AT63" s="19" t="inlineStr"/>
    </row>
    <row r="64" ht="32" customHeight="1">
      <c r="A64" s="18" t="inlineStr">
        <is>
          <t>0020_raticate.json::raticate-alolan-5::005</t>
        </is>
      </c>
      <c r="B64" s="19" t="inlineStr">
        <is>
          <t>사용</t>
        </is>
      </c>
      <c r="C64" s="18">
        <f>IF(OR(B64&lt;&gt;AK64,M64&lt;&gt;L64,O64&lt;&gt;"",Q64&lt;&gt;"",V64&lt;&gt;1,Y64&lt;&gt;"",AT64&lt;&gt;""),"수정","원본")</f>
        <v/>
      </c>
      <c r="D64" s="18" t="n">
        <v>20</v>
      </c>
      <c r="E64" s="18" t="inlineStr">
        <is>
          <t>레트라</t>
        </is>
      </c>
      <c r="F64" s="18" t="inlineStr">
        <is>
          <t>raticate</t>
        </is>
      </c>
      <c r="G64" s="18" t="inlineStr">
        <is>
          <t>raticate alolan</t>
        </is>
      </c>
      <c r="H64" s="18" t="inlineStr">
        <is>
          <t>alolan</t>
        </is>
      </c>
      <c r="I64" s="18" t="n">
        <v>1</v>
      </c>
      <c r="J64" s="18" t="n">
        <v>7</v>
      </c>
      <c r="K64" s="18" t="n">
        <v>7</v>
      </c>
      <c r="L64" s="18" t="inlineStr">
        <is>
          <t>cobbleventure:generation_7</t>
        </is>
      </c>
      <c r="M64" s="19" t="inlineStr">
        <is>
          <t>cobbleventure:generation_7</t>
        </is>
      </c>
      <c r="N64" s="18" t="inlineStr">
        <is>
          <t>region_01; region_02</t>
        </is>
      </c>
      <c r="O64" s="19" t="inlineStr"/>
      <c r="P64" s="18" t="inlineStr">
        <is>
          <t>#cobblemon:is_overworld</t>
        </is>
      </c>
      <c r="Q64" s="19" t="inlineStr"/>
      <c r="R64" s="18">
        <f>IF(Q64="",P64,Q64)</f>
        <v/>
      </c>
      <c r="S64" s="18" t="inlineStr">
        <is>
          <t>#cobblemon:is_deep_dark</t>
        </is>
      </c>
      <c r="T64" s="18" t="inlineStr">
        <is>
          <t>uncommon</t>
        </is>
      </c>
      <c r="U64" s="20" t="n">
        <v>1.6</v>
      </c>
      <c r="V64" s="21" t="n">
        <v>1</v>
      </c>
      <c r="W64" s="20">
        <f>IF(OR(U64="",V64=""),U64,U64*V64)</f>
        <v/>
      </c>
      <c r="X64" s="18" t="inlineStr">
        <is>
          <t>20-41</t>
        </is>
      </c>
      <c r="Y64" s="19" t="inlineStr"/>
      <c r="Z64" s="18">
        <f>IF(Y64="",X64,Y64)</f>
        <v/>
      </c>
      <c r="AA64" s="18" t="inlineStr">
        <is>
          <t>grounded</t>
        </is>
      </c>
      <c r="AB64" s="18" t="inlineStr"/>
      <c r="AC64" s="18" t="inlineStr"/>
      <c r="AD64" s="18" t="inlineStr">
        <is>
          <t>maxY=0</t>
        </is>
      </c>
      <c r="AE64" s="18" t="inlineStr"/>
      <c r="AF64" s="18" t="inlineStr">
        <is>
          <t>False</t>
        </is>
      </c>
      <c r="AG64" s="18" t="inlineStr"/>
      <c r="AH64" s="18" t="inlineStr"/>
      <c r="AI64" s="18" t="inlineStr"/>
      <c r="AJ64" s="18" t="inlineStr">
        <is>
          <t>Cobblemon 동일</t>
        </is>
      </c>
      <c r="AK64" s="18" t="inlineStr">
        <is>
          <t>사용</t>
        </is>
      </c>
      <c r="AL64" s="18" t="inlineStr">
        <is>
          <t>COBBLEVERSE 1.7.42 / DP v31</t>
        </is>
      </c>
      <c r="AM64" s="18" t="inlineStr">
        <is>
          <t>data/cobblemon/spawn_pool_world/0020_raticate.json</t>
        </is>
      </c>
      <c r="AN64" s="18" t="inlineStr">
        <is>
          <t>raticate-alolan-5</t>
        </is>
      </c>
      <c r="AO64" s="18" t="inlineStr">
        <is>
          <t>pokemon</t>
        </is>
      </c>
      <c r="AP64" s="18" t="inlineStr">
        <is>
          <t>derelict</t>
        </is>
      </c>
      <c r="AQ64" s="18" t="inlineStr">
        <is>
          <t>{"biomes":["#cobblemon:is_overworld"],"canSeeSky":false,"maxY":0}</t>
        </is>
      </c>
      <c r="AR64" s="18" t="inlineStr">
        <is>
          <t>{"biomes":["#cobblemon:is_deep_dark"]}</t>
        </is>
      </c>
      <c r="AS64" s="18" t="inlineStr"/>
      <c r="AT64" s="19" t="inlineStr"/>
    </row>
    <row r="65" ht="32" customHeight="1">
      <c r="A65" s="18" t="inlineStr">
        <is>
          <t>0020_raticate.json::raticate-alolan-6::006</t>
        </is>
      </c>
      <c r="B65" s="19" t="inlineStr">
        <is>
          <t>사용</t>
        </is>
      </c>
      <c r="C65" s="18">
        <f>IF(OR(B65&lt;&gt;AK65,M65&lt;&gt;L65,O65&lt;&gt;"",Q65&lt;&gt;"",V65&lt;&gt;1,Y65&lt;&gt;"",AT65&lt;&gt;""),"수정","원본")</f>
        <v/>
      </c>
      <c r="D65" s="18" t="n">
        <v>20</v>
      </c>
      <c r="E65" s="18" t="inlineStr">
        <is>
          <t>레트라</t>
        </is>
      </c>
      <c r="F65" s="18" t="inlineStr">
        <is>
          <t>raticate</t>
        </is>
      </c>
      <c r="G65" s="18" t="inlineStr">
        <is>
          <t>raticate alolan</t>
        </is>
      </c>
      <c r="H65" s="18" t="inlineStr">
        <is>
          <t>alolan</t>
        </is>
      </c>
      <c r="I65" s="18" t="n">
        <v>1</v>
      </c>
      <c r="J65" s="18" t="n">
        <v>7</v>
      </c>
      <c r="K65" s="18" t="n">
        <v>7</v>
      </c>
      <c r="L65" s="18" t="inlineStr">
        <is>
          <t>cobbleventure:generation_7</t>
        </is>
      </c>
      <c r="M65" s="19" t="inlineStr">
        <is>
          <t>cobbleventure:generation_7</t>
        </is>
      </c>
      <c r="N65" s="18" t="inlineStr"/>
      <c r="O65" s="19" t="inlineStr"/>
      <c r="P65" s="18" t="inlineStr">
        <is>
          <t>#cobblemon:is_spooky</t>
        </is>
      </c>
      <c r="Q65" s="19" t="inlineStr"/>
      <c r="R65" s="18">
        <f>IF(Q65="",P65,Q65)</f>
        <v/>
      </c>
      <c r="S65" s="18" t="inlineStr"/>
      <c r="T65" s="18" t="inlineStr">
        <is>
          <t>common</t>
        </is>
      </c>
      <c r="U65" s="20" t="n">
        <v>1</v>
      </c>
      <c r="V65" s="21" t="n">
        <v>1</v>
      </c>
      <c r="W65" s="20">
        <f>IF(OR(U65="",V65=""),U65,U65*V65)</f>
        <v/>
      </c>
      <c r="X65" s="18" t="inlineStr">
        <is>
          <t>20-41</t>
        </is>
      </c>
      <c r="Y65" s="19" t="inlineStr"/>
      <c r="Z65" s="18">
        <f>IF(Y65="",X65,Y65)</f>
        <v/>
      </c>
      <c r="AA65" s="18" t="inlineStr">
        <is>
          <t>grounded</t>
        </is>
      </c>
      <c r="AB65" s="18" t="inlineStr">
        <is>
          <t>night</t>
        </is>
      </c>
      <c r="AC65" s="18" t="inlineStr"/>
      <c r="AD65" s="18" t="inlineStr"/>
      <c r="AE65" s="18" t="inlineStr">
        <is>
          <t>sky 8-15</t>
        </is>
      </c>
      <c r="AF65" s="18" t="inlineStr"/>
      <c r="AG65" s="18" t="inlineStr"/>
      <c r="AH65" s="18" t="inlineStr"/>
      <c r="AI65" s="18" t="inlineStr"/>
      <c r="AJ65" s="18" t="inlineStr">
        <is>
          <t>Cobblemon 동일</t>
        </is>
      </c>
      <c r="AK65" s="18" t="inlineStr">
        <is>
          <t>사용</t>
        </is>
      </c>
      <c r="AL65" s="18" t="inlineStr">
        <is>
          <t>COBBLEVERSE 1.7.42 / DP v31</t>
        </is>
      </c>
      <c r="AM65" s="18" t="inlineStr">
        <is>
          <t>data/cobblemon/spawn_pool_world/0020_raticate.json</t>
        </is>
      </c>
      <c r="AN65" s="18" t="inlineStr">
        <is>
          <t>raticate-alolan-6</t>
        </is>
      </c>
      <c r="AO65" s="18" t="inlineStr">
        <is>
          <t>pokemon</t>
        </is>
      </c>
      <c r="AP65" s="18" t="inlineStr">
        <is>
          <t>natural</t>
        </is>
      </c>
      <c r="AQ65" s="18" t="inlineStr">
        <is>
          <t>{"biomes":["#cobblemon:is_spooky"],"maxSkyLight":15,"minSkyLight":8,"timeRange":"night"}</t>
        </is>
      </c>
      <c r="AR65" s="18" t="inlineStr"/>
      <c r="AS65" s="18" t="inlineStr"/>
      <c r="AT65" s="19" t="inlineStr"/>
    </row>
    <row r="66" ht="32" customHeight="1">
      <c r="A66" s="18" t="inlineStr">
        <is>
          <t>0020_raticate.json::raticate-alolan-7::007</t>
        </is>
      </c>
      <c r="B66" s="19" t="inlineStr">
        <is>
          <t>사용</t>
        </is>
      </c>
      <c r="C66" s="18">
        <f>IF(OR(B66&lt;&gt;AK66,M66&lt;&gt;L66,O66&lt;&gt;"",Q66&lt;&gt;"",V66&lt;&gt;1,Y66&lt;&gt;"",AT66&lt;&gt;""),"수정","원본")</f>
        <v/>
      </c>
      <c r="D66" s="18" t="n">
        <v>20</v>
      </c>
      <c r="E66" s="18" t="inlineStr">
        <is>
          <t>레트라</t>
        </is>
      </c>
      <c r="F66" s="18" t="inlineStr">
        <is>
          <t>raticate</t>
        </is>
      </c>
      <c r="G66" s="18" t="inlineStr">
        <is>
          <t>raticate alolan</t>
        </is>
      </c>
      <c r="H66" s="18" t="inlineStr">
        <is>
          <t>alolan</t>
        </is>
      </c>
      <c r="I66" s="18" t="n">
        <v>1</v>
      </c>
      <c r="J66" s="18" t="n">
        <v>7</v>
      </c>
      <c r="K66" s="18" t="n">
        <v>7</v>
      </c>
      <c r="L66" s="18" t="inlineStr">
        <is>
          <t>cobbleventure:generation_7</t>
        </is>
      </c>
      <c r="M66" s="19" t="inlineStr">
        <is>
          <t>cobbleventure:generation_7</t>
        </is>
      </c>
      <c r="N66" s="18" t="inlineStr"/>
      <c r="O66" s="19" t="inlineStr"/>
      <c r="P66" s="18" t="inlineStr">
        <is>
          <t>#cobblemon:is_spooky</t>
        </is>
      </c>
      <c r="Q66" s="19" t="inlineStr"/>
      <c r="R66" s="18">
        <f>IF(Q66="",P66,Q66)</f>
        <v/>
      </c>
      <c r="S66" s="18" t="inlineStr">
        <is>
          <t>#cobblemon:is_deep_dark</t>
        </is>
      </c>
      <c r="T66" s="18" t="inlineStr">
        <is>
          <t>uncommon</t>
        </is>
      </c>
      <c r="U66" s="20" t="n">
        <v>1.6</v>
      </c>
      <c r="V66" s="21" t="n">
        <v>1</v>
      </c>
      <c r="W66" s="20">
        <f>IF(OR(U66="",V66=""),U66,U66*V66)</f>
        <v/>
      </c>
      <c r="X66" s="18" t="inlineStr">
        <is>
          <t>20-41</t>
        </is>
      </c>
      <c r="Y66" s="19" t="inlineStr"/>
      <c r="Z66" s="18">
        <f>IF(Y66="",X66,Y66)</f>
        <v/>
      </c>
      <c r="AA66" s="18" t="inlineStr">
        <is>
          <t>grounded</t>
        </is>
      </c>
      <c r="AB66" s="18" t="inlineStr"/>
      <c r="AC66" s="18" t="inlineStr"/>
      <c r="AD66" s="18" t="inlineStr"/>
      <c r="AE66" s="18" t="inlineStr"/>
      <c r="AF66" s="18" t="inlineStr">
        <is>
          <t>False</t>
        </is>
      </c>
      <c r="AG66" s="18" t="inlineStr"/>
      <c r="AH66" s="18" t="inlineStr"/>
      <c r="AI66" s="18" t="inlineStr"/>
      <c r="AJ66" s="18" t="inlineStr">
        <is>
          <t>Cobblemon 동일</t>
        </is>
      </c>
      <c r="AK66" s="18" t="inlineStr">
        <is>
          <t>사용</t>
        </is>
      </c>
      <c r="AL66" s="18" t="inlineStr">
        <is>
          <t>COBBLEVERSE 1.7.42 / DP v31</t>
        </is>
      </c>
      <c r="AM66" s="18" t="inlineStr">
        <is>
          <t>data/cobblemon/spawn_pool_world/0020_raticate.json</t>
        </is>
      </c>
      <c r="AN66" s="18" t="inlineStr">
        <is>
          <t>raticate-alolan-7</t>
        </is>
      </c>
      <c r="AO66" s="18" t="inlineStr">
        <is>
          <t>pokemon</t>
        </is>
      </c>
      <c r="AP66" s="18" t="inlineStr">
        <is>
          <t>derelict</t>
        </is>
      </c>
      <c r="AQ66" s="18" t="inlineStr">
        <is>
          <t>{"biomes":["#cobblemon:is_spooky"],"canSeeSky":false}</t>
        </is>
      </c>
      <c r="AR66" s="18" t="inlineStr">
        <is>
          <t>{"biomes":["#cobblemon:is_deep_dark"]}</t>
        </is>
      </c>
      <c r="AS66" s="18" t="inlineStr"/>
      <c r="AT66" s="19" t="inlineStr"/>
    </row>
    <row r="67" ht="32" customHeight="1">
      <c r="A67" s="18" t="inlineStr">
        <is>
          <t>0021_spearow.json::spearow-1::001</t>
        </is>
      </c>
      <c r="B67" s="19" t="inlineStr">
        <is>
          <t>사용</t>
        </is>
      </c>
      <c r="C67" s="18">
        <f>IF(OR(B67&lt;&gt;AK67,M67&lt;&gt;L67,O67&lt;&gt;"",Q67&lt;&gt;"",V67&lt;&gt;1,Y67&lt;&gt;"",AT67&lt;&gt;""),"수정","원본")</f>
        <v/>
      </c>
      <c r="D67" s="18" t="n">
        <v>21</v>
      </c>
      <c r="E67" s="18" t="inlineStr">
        <is>
          <t>깨비참</t>
        </is>
      </c>
      <c r="F67" s="18" t="inlineStr">
        <is>
          <t>spearow</t>
        </is>
      </c>
      <c r="G67" s="18" t="inlineStr">
        <is>
          <t>spearow</t>
        </is>
      </c>
      <c r="H67" s="18" t="inlineStr"/>
      <c r="I67" s="18" t="n">
        <v>1</v>
      </c>
      <c r="J67" s="18" t="n"/>
      <c r="K67" s="18" t="n">
        <v>1</v>
      </c>
      <c r="L67" s="18" t="inlineStr">
        <is>
          <t>cobbleventure:generation_1</t>
        </is>
      </c>
      <c r="M67" s="19" t="inlineStr">
        <is>
          <t>cobbleventure:generation_1</t>
        </is>
      </c>
      <c r="N67" s="18" t="inlineStr"/>
      <c r="O67" s="19" t="inlineStr"/>
      <c r="P67" s="18" t="inlineStr">
        <is>
          <t>#cobblemon:is_badlands; #cobblemon:is_savanna; #cobblemon:is_sky</t>
        </is>
      </c>
      <c r="Q67" s="19" t="inlineStr"/>
      <c r="R67" s="18">
        <f>IF(Q67="",P67,Q67)</f>
        <v/>
      </c>
      <c r="S67" s="18" t="inlineStr"/>
      <c r="T67" s="18" t="inlineStr">
        <is>
          <t>common</t>
        </is>
      </c>
      <c r="U67" s="20" t="n">
        <v>9</v>
      </c>
      <c r="V67" s="21" t="n">
        <v>1</v>
      </c>
      <c r="W67" s="20">
        <f>IF(OR(U67="",V67=""),U67,U67*V67)</f>
        <v/>
      </c>
      <c r="X67" s="18" t="inlineStr">
        <is>
          <t>1-26</t>
        </is>
      </c>
      <c r="Y67" s="19" t="inlineStr"/>
      <c r="Z67" s="18">
        <f>IF(Y67="",X67,Y67)</f>
        <v/>
      </c>
      <c r="AA67" s="18" t="inlineStr">
        <is>
          <t>grounded</t>
        </is>
      </c>
      <c r="AB67" s="18" t="inlineStr">
        <is>
          <t>day</t>
        </is>
      </c>
      <c r="AC67" s="18" t="inlineStr"/>
      <c r="AD67" s="18" t="inlineStr"/>
      <c r="AE67" s="18" t="inlineStr">
        <is>
          <t>sky 8-15</t>
        </is>
      </c>
      <c r="AF67" s="18" t="inlineStr"/>
      <c r="AG67" s="18" t="inlineStr"/>
      <c r="AH67" s="18" t="inlineStr"/>
      <c r="AI67" s="18" t="inlineStr"/>
      <c r="AJ67" s="18" t="inlineStr">
        <is>
          <t>Cobblemon 동일</t>
        </is>
      </c>
      <c r="AK67" s="18" t="inlineStr">
        <is>
          <t>사용</t>
        </is>
      </c>
      <c r="AL67" s="18" t="inlineStr">
        <is>
          <t>COBBLEVERSE 1.7.42 / DP v31</t>
        </is>
      </c>
      <c r="AM67" s="18" t="inlineStr">
        <is>
          <t>data/cobblemon/spawn_pool_world/0021_spearow.json</t>
        </is>
      </c>
      <c r="AN67" s="18" t="inlineStr">
        <is>
          <t>spearow-1</t>
        </is>
      </c>
      <c r="AO67" s="18" t="inlineStr">
        <is>
          <t>pokemon</t>
        </is>
      </c>
      <c r="AP67" s="18" t="inlineStr">
        <is>
          <t>natural; treetop</t>
        </is>
      </c>
      <c r="AQ67" s="18" t="inlineStr">
        <is>
          <t>{"biomes":["#cobblemon:is_badlands","#cobblemon:is_savanna","#cobblemon:is_sky"],"maxSkyLight":15,"minSkyLight":8,"timeRange":"day"}</t>
        </is>
      </c>
      <c r="AR67" s="18" t="inlineStr"/>
      <c r="AS67" s="18" t="inlineStr"/>
      <c r="AT67" s="19" t="inlineStr"/>
    </row>
    <row r="68" ht="32" customHeight="1">
      <c r="A68" s="18" t="inlineStr">
        <is>
          <t>0022_fearow.json::fearow-1::001</t>
        </is>
      </c>
      <c r="B68" s="19" t="inlineStr">
        <is>
          <t>사용</t>
        </is>
      </c>
      <c r="C68" s="18">
        <f>IF(OR(B68&lt;&gt;AK68,M68&lt;&gt;L68,O68&lt;&gt;"",Q68&lt;&gt;"",V68&lt;&gt;1,Y68&lt;&gt;"",AT68&lt;&gt;""),"수정","원본")</f>
        <v/>
      </c>
      <c r="D68" s="18" t="n">
        <v>22</v>
      </c>
      <c r="E68" s="18" t="inlineStr">
        <is>
          <t>깨비드릴조</t>
        </is>
      </c>
      <c r="F68" s="18" t="inlineStr">
        <is>
          <t>fearow</t>
        </is>
      </c>
      <c r="G68" s="18" t="inlineStr">
        <is>
          <t>fearow</t>
        </is>
      </c>
      <c r="H68" s="18" t="inlineStr"/>
      <c r="I68" s="18" t="n">
        <v>1</v>
      </c>
      <c r="J68" s="18" t="n"/>
      <c r="K68" s="18" t="n">
        <v>1</v>
      </c>
      <c r="L68" s="18" t="inlineStr">
        <is>
          <t>cobbleventure:generation_1</t>
        </is>
      </c>
      <c r="M68" s="19" t="inlineStr">
        <is>
          <t>cobbleventure:generation_1</t>
        </is>
      </c>
      <c r="N68" s="18" t="inlineStr"/>
      <c r="O68" s="19" t="inlineStr"/>
      <c r="P68" s="18" t="inlineStr">
        <is>
          <t>#cobblemon:is_badlands; #cobblemon:is_savanna; #cobblemon:is_sky</t>
        </is>
      </c>
      <c r="Q68" s="19" t="inlineStr"/>
      <c r="R68" s="18">
        <f>IF(Q68="",P68,Q68)</f>
        <v/>
      </c>
      <c r="S68" s="18" t="inlineStr"/>
      <c r="T68" s="18" t="inlineStr">
        <is>
          <t>common</t>
        </is>
      </c>
      <c r="U68" s="20" t="n">
        <v>1</v>
      </c>
      <c r="V68" s="21" t="n">
        <v>1</v>
      </c>
      <c r="W68" s="20">
        <f>IF(OR(U68="",V68=""),U68,U68*V68)</f>
        <v/>
      </c>
      <c r="X68" s="18" t="inlineStr">
        <is>
          <t>20-44</t>
        </is>
      </c>
      <c r="Y68" s="19" t="inlineStr"/>
      <c r="Z68" s="18">
        <f>IF(Y68="",X68,Y68)</f>
        <v/>
      </c>
      <c r="AA68" s="18" t="inlineStr">
        <is>
          <t>grounded</t>
        </is>
      </c>
      <c r="AB68" s="18" t="inlineStr">
        <is>
          <t>day</t>
        </is>
      </c>
      <c r="AC68" s="18" t="inlineStr"/>
      <c r="AD68" s="18" t="inlineStr"/>
      <c r="AE68" s="18" t="inlineStr">
        <is>
          <t>sky 8-15</t>
        </is>
      </c>
      <c r="AF68" s="18" t="inlineStr"/>
      <c r="AG68" s="18" t="inlineStr"/>
      <c r="AH68" s="18" t="inlineStr"/>
      <c r="AI68" s="18" t="inlineStr"/>
      <c r="AJ68" s="18" t="inlineStr">
        <is>
          <t>Cobblemon 동일</t>
        </is>
      </c>
      <c r="AK68" s="18" t="inlineStr">
        <is>
          <t>사용</t>
        </is>
      </c>
      <c r="AL68" s="18" t="inlineStr">
        <is>
          <t>COBBLEVERSE 1.7.42 / DP v31</t>
        </is>
      </c>
      <c r="AM68" s="18" t="inlineStr">
        <is>
          <t>data/cobblemon/spawn_pool_world/0022_fearow.json</t>
        </is>
      </c>
      <c r="AN68" s="18" t="inlineStr">
        <is>
          <t>fearow-1</t>
        </is>
      </c>
      <c r="AO68" s="18" t="inlineStr">
        <is>
          <t>pokemon</t>
        </is>
      </c>
      <c r="AP68" s="18" t="inlineStr">
        <is>
          <t>natural; treetop</t>
        </is>
      </c>
      <c r="AQ68" s="18" t="inlineStr">
        <is>
          <t>{"biomes":["#cobblemon:is_badlands","#cobblemon:is_savanna","#cobblemon:is_sky"],"maxSkyLight":15,"minSkyLight":8,"timeRange":"day"}</t>
        </is>
      </c>
      <c r="AR68" s="18" t="inlineStr"/>
      <c r="AS68" s="18" t="inlineStr"/>
      <c r="AT68" s="19" t="inlineStr"/>
    </row>
    <row r="69" ht="32" customHeight="1">
      <c r="A69" s="18" t="inlineStr">
        <is>
          <t>0023_ekans.json::ekans-classic-1::001</t>
        </is>
      </c>
      <c r="B69" s="19" t="inlineStr">
        <is>
          <t>사용</t>
        </is>
      </c>
      <c r="C69" s="18">
        <f>IF(OR(B69&lt;&gt;AK69,M69&lt;&gt;L69,O69&lt;&gt;"",Q69&lt;&gt;"",V69&lt;&gt;1,Y69&lt;&gt;"",AT69&lt;&gt;""),"수정","원본")</f>
        <v/>
      </c>
      <c r="D69" s="18" t="n">
        <v>23</v>
      </c>
      <c r="E69" s="18" t="inlineStr">
        <is>
          <t>아보</t>
        </is>
      </c>
      <c r="F69" s="18" t="inlineStr">
        <is>
          <t>ekans</t>
        </is>
      </c>
      <c r="G69" s="18" t="inlineStr">
        <is>
          <t>ekans snake_pattern=classic</t>
        </is>
      </c>
      <c r="H69" s="18" t="inlineStr">
        <is>
          <t>snake_pattern=classic</t>
        </is>
      </c>
      <c r="I69" s="18" t="n">
        <v>1</v>
      </c>
      <c r="J69" s="18" t="n"/>
      <c r="K69" s="18" t="n">
        <v>1</v>
      </c>
      <c r="L69" s="18" t="inlineStr">
        <is>
          <t>cobbleventure:generation_1</t>
        </is>
      </c>
      <c r="M69" s="19" t="inlineStr">
        <is>
          <t>cobbleventure:generation_1</t>
        </is>
      </c>
      <c r="N69" s="18" t="inlineStr">
        <is>
          <t>region_02</t>
        </is>
      </c>
      <c r="O69" s="19" t="inlineStr"/>
      <c r="P69" s="18" t="inlineStr">
        <is>
          <t>#cobblemon:is_arid</t>
        </is>
      </c>
      <c r="Q69" s="19" t="inlineStr"/>
      <c r="R69" s="18">
        <f>IF(Q69="",P69,Q69)</f>
        <v/>
      </c>
      <c r="S69" s="18" t="inlineStr"/>
      <c r="T69" s="18" t="inlineStr">
        <is>
          <t>common</t>
        </is>
      </c>
      <c r="U69" s="20" t="n">
        <v>4.05</v>
      </c>
      <c r="V69" s="21" t="n">
        <v>1</v>
      </c>
      <c r="W69" s="20">
        <f>IF(OR(U69="",V69=""),U69,U69*V69)</f>
        <v/>
      </c>
      <c r="X69" s="18" t="inlineStr">
        <is>
          <t>4-29</t>
        </is>
      </c>
      <c r="Y69" s="19" t="inlineStr"/>
      <c r="Z69" s="18">
        <f>IF(Y69="",X69,Y69)</f>
        <v/>
      </c>
      <c r="AA69" s="18" t="inlineStr">
        <is>
          <t>grounded</t>
        </is>
      </c>
      <c r="AB69" s="18" t="inlineStr"/>
      <c r="AC69" s="18" t="inlineStr"/>
      <c r="AD69" s="18" t="inlineStr"/>
      <c r="AE69" s="18" t="inlineStr">
        <is>
          <t>sky 8-15</t>
        </is>
      </c>
      <c r="AF69" s="18" t="inlineStr"/>
      <c r="AG69" s="18" t="inlineStr"/>
      <c r="AH69" s="18" t="inlineStr"/>
      <c r="AI69" s="18" t="inlineStr"/>
      <c r="AJ69" s="18" t="inlineStr">
        <is>
          <t>COBBLEVERSE 수정</t>
        </is>
      </c>
      <c r="AK69" s="18" t="inlineStr">
        <is>
          <t>사용</t>
        </is>
      </c>
      <c r="AL69" s="18" t="inlineStr">
        <is>
          <t>COBBLEVERSE 1.7.42 / DP v31</t>
        </is>
      </c>
      <c r="AM69" s="18" t="inlineStr">
        <is>
          <t>data/cobblemon/spawn_pool_world/0023_ekans.json</t>
        </is>
      </c>
      <c r="AN69" s="18" t="inlineStr">
        <is>
          <t>ekans-classic-1</t>
        </is>
      </c>
      <c r="AO69" s="18" t="inlineStr">
        <is>
          <t>pokemon</t>
        </is>
      </c>
      <c r="AP69" s="18" t="inlineStr">
        <is>
          <t>natural</t>
        </is>
      </c>
      <c r="AQ69" s="18" t="inlineStr">
        <is>
          <t>{"biomes":["#cobblemon:is_arid"],"maxSkyLight":15,"minSkyLight":8}</t>
        </is>
      </c>
      <c r="AR69" s="18" t="inlineStr"/>
      <c r="AS69" s="18" t="inlineStr"/>
      <c r="AT69" s="19" t="inlineStr"/>
    </row>
    <row r="70" ht="32" customHeight="1">
      <c r="A70" s="18" t="inlineStr">
        <is>
          <t>0023_ekans.json::ekans-legacy-2::002</t>
        </is>
      </c>
      <c r="B70" s="19" t="inlineStr">
        <is>
          <t>사용</t>
        </is>
      </c>
      <c r="C70" s="18">
        <f>IF(OR(B70&lt;&gt;AK70,M70&lt;&gt;L70,O70&lt;&gt;"",Q70&lt;&gt;"",V70&lt;&gt;1,Y70&lt;&gt;"",AT70&lt;&gt;""),"수정","원본")</f>
        <v/>
      </c>
      <c r="D70" s="18" t="n">
        <v>23</v>
      </c>
      <c r="E70" s="18" t="inlineStr">
        <is>
          <t>아보</t>
        </is>
      </c>
      <c r="F70" s="18" t="inlineStr">
        <is>
          <t>ekans</t>
        </is>
      </c>
      <c r="G70" s="18" t="inlineStr">
        <is>
          <t>ekans snake_pattern=legacy</t>
        </is>
      </c>
      <c r="H70" s="18" t="inlineStr">
        <is>
          <t>snake_pattern=legacy</t>
        </is>
      </c>
      <c r="I70" s="18" t="n">
        <v>1</v>
      </c>
      <c r="J70" s="18" t="n"/>
      <c r="K70" s="18" t="n">
        <v>1</v>
      </c>
      <c r="L70" s="18" t="inlineStr">
        <is>
          <t>cobbleventure:generation_1</t>
        </is>
      </c>
      <c r="M70" s="19" t="inlineStr">
        <is>
          <t>cobbleventure:generation_1</t>
        </is>
      </c>
      <c r="N70" s="18" t="inlineStr">
        <is>
          <t>region_02</t>
        </is>
      </c>
      <c r="O70" s="19" t="inlineStr"/>
      <c r="P70" s="18" t="inlineStr">
        <is>
          <t>#cobblemon:is_arid</t>
        </is>
      </c>
      <c r="Q70" s="19" t="inlineStr"/>
      <c r="R70" s="18">
        <f>IF(Q70="",P70,Q70)</f>
        <v/>
      </c>
      <c r="S70" s="18" t="inlineStr"/>
      <c r="T70" s="18" t="inlineStr">
        <is>
          <t>common</t>
        </is>
      </c>
      <c r="U70" s="20" t="n">
        <v>0.27</v>
      </c>
      <c r="V70" s="21" t="n">
        <v>1</v>
      </c>
      <c r="W70" s="20">
        <f>IF(OR(U70="",V70=""),U70,U70*V70)</f>
        <v/>
      </c>
      <c r="X70" s="18" t="inlineStr">
        <is>
          <t>4-29</t>
        </is>
      </c>
      <c r="Y70" s="19" t="inlineStr"/>
      <c r="Z70" s="18">
        <f>IF(Y70="",X70,Y70)</f>
        <v/>
      </c>
      <c r="AA70" s="18" t="inlineStr">
        <is>
          <t>grounded</t>
        </is>
      </c>
      <c r="AB70" s="18" t="inlineStr"/>
      <c r="AC70" s="18" t="inlineStr"/>
      <c r="AD70" s="18" t="inlineStr"/>
      <c r="AE70" s="18" t="inlineStr">
        <is>
          <t>sky 8-15</t>
        </is>
      </c>
      <c r="AF70" s="18" t="inlineStr"/>
      <c r="AG70" s="18" t="inlineStr"/>
      <c r="AH70" s="18" t="inlineStr"/>
      <c r="AI70" s="18" t="inlineStr"/>
      <c r="AJ70" s="18" t="inlineStr">
        <is>
          <t>COBBLEVERSE 수정</t>
        </is>
      </c>
      <c r="AK70" s="18" t="inlineStr">
        <is>
          <t>사용</t>
        </is>
      </c>
      <c r="AL70" s="18" t="inlineStr">
        <is>
          <t>COBBLEVERSE 1.7.42 / DP v31</t>
        </is>
      </c>
      <c r="AM70" s="18" t="inlineStr">
        <is>
          <t>data/cobblemon/spawn_pool_world/0023_ekans.json</t>
        </is>
      </c>
      <c r="AN70" s="18" t="inlineStr">
        <is>
          <t>ekans-legacy-2</t>
        </is>
      </c>
      <c r="AO70" s="18" t="inlineStr">
        <is>
          <t>pokemon</t>
        </is>
      </c>
      <c r="AP70" s="18" t="inlineStr">
        <is>
          <t>natural</t>
        </is>
      </c>
      <c r="AQ70" s="18" t="inlineStr">
        <is>
          <t>{"biomes":["#cobblemon:is_arid"],"maxSkyLight":15,"minSkyLight":8}</t>
        </is>
      </c>
      <c r="AR70" s="18" t="inlineStr"/>
      <c r="AS70" s="18" t="inlineStr"/>
      <c r="AT70" s="19" t="inlineStr"/>
    </row>
    <row r="71" ht="32" customHeight="1">
      <c r="A71" s="18" t="inlineStr">
        <is>
          <t>0023_ekans.json::ekans-attack-2::003</t>
        </is>
      </c>
      <c r="B71" s="19" t="inlineStr">
        <is>
          <t>사용</t>
        </is>
      </c>
      <c r="C71" s="18">
        <f>IF(OR(B71&lt;&gt;AK71,M71&lt;&gt;L71,O71&lt;&gt;"",Q71&lt;&gt;"",V71&lt;&gt;1,Y71&lt;&gt;"",AT71&lt;&gt;""),"수정","원본")</f>
        <v/>
      </c>
      <c r="D71" s="18" t="n">
        <v>23</v>
      </c>
      <c r="E71" s="18" t="inlineStr">
        <is>
          <t>아보</t>
        </is>
      </c>
      <c r="F71" s="18" t="inlineStr">
        <is>
          <t>ekans</t>
        </is>
      </c>
      <c r="G71" s="18" t="inlineStr">
        <is>
          <t>ekans snake_pattern=attack</t>
        </is>
      </c>
      <c r="H71" s="18" t="inlineStr">
        <is>
          <t>snake_pattern=attack</t>
        </is>
      </c>
      <c r="I71" s="18" t="n">
        <v>1</v>
      </c>
      <c r="J71" s="18" t="n"/>
      <c r="K71" s="18" t="n">
        <v>1</v>
      </c>
      <c r="L71" s="18" t="inlineStr">
        <is>
          <t>cobbleventure:generation_1</t>
        </is>
      </c>
      <c r="M71" s="19" t="inlineStr">
        <is>
          <t>cobbleventure:generation_1</t>
        </is>
      </c>
      <c r="N71" s="18" t="inlineStr">
        <is>
          <t>region_02</t>
        </is>
      </c>
      <c r="O71" s="19" t="inlineStr"/>
      <c r="P71" s="18" t="inlineStr">
        <is>
          <t>#cobblemon:is_arid</t>
        </is>
      </c>
      <c r="Q71" s="19" t="inlineStr"/>
      <c r="R71" s="18">
        <f>IF(Q71="",P71,Q71)</f>
        <v/>
      </c>
      <c r="S71" s="18" t="inlineStr"/>
      <c r="T71" s="18" t="inlineStr">
        <is>
          <t>common</t>
        </is>
      </c>
      <c r="U71" s="20" t="n">
        <v>0.27</v>
      </c>
      <c r="V71" s="21" t="n">
        <v>1</v>
      </c>
      <c r="W71" s="20">
        <f>IF(OR(U71="",V71=""),U71,U71*V71)</f>
        <v/>
      </c>
      <c r="X71" s="18" t="inlineStr">
        <is>
          <t>4-29</t>
        </is>
      </c>
      <c r="Y71" s="19" t="inlineStr"/>
      <c r="Z71" s="18">
        <f>IF(Y71="",X71,Y71)</f>
        <v/>
      </c>
      <c r="AA71" s="18" t="inlineStr">
        <is>
          <t>grounded</t>
        </is>
      </c>
      <c r="AB71" s="18" t="inlineStr"/>
      <c r="AC71" s="18" t="inlineStr"/>
      <c r="AD71" s="18" t="inlineStr"/>
      <c r="AE71" s="18" t="inlineStr">
        <is>
          <t>sky 8-15</t>
        </is>
      </c>
      <c r="AF71" s="18" t="inlineStr"/>
      <c r="AG71" s="18" t="inlineStr"/>
      <c r="AH71" s="18" t="inlineStr"/>
      <c r="AI71" s="18" t="inlineStr"/>
      <c r="AJ71" s="18" t="inlineStr">
        <is>
          <t>COBBLEVERSE 수정</t>
        </is>
      </c>
      <c r="AK71" s="18" t="inlineStr">
        <is>
          <t>사용</t>
        </is>
      </c>
      <c r="AL71" s="18" t="inlineStr">
        <is>
          <t>COBBLEVERSE 1.7.42 / DP v31</t>
        </is>
      </c>
      <c r="AM71" s="18" t="inlineStr">
        <is>
          <t>data/cobblemon/spawn_pool_world/0023_ekans.json</t>
        </is>
      </c>
      <c r="AN71" s="18" t="inlineStr">
        <is>
          <t>ekans-attack-2</t>
        </is>
      </c>
      <c r="AO71" s="18" t="inlineStr">
        <is>
          <t>pokemon</t>
        </is>
      </c>
      <c r="AP71" s="18" t="inlineStr">
        <is>
          <t>natural</t>
        </is>
      </c>
      <c r="AQ71" s="18" t="inlineStr">
        <is>
          <t>{"biomes":["#cobblemon:is_arid"],"maxSkyLight":15,"minSkyLight":8}</t>
        </is>
      </c>
      <c r="AR71" s="18" t="inlineStr"/>
      <c r="AS71" s="18" t="inlineStr"/>
      <c r="AT71" s="19" t="inlineStr"/>
    </row>
    <row r="72" ht="32" customHeight="1">
      <c r="A72" s="18" t="inlineStr">
        <is>
          <t>0023_ekans.json::ekans-speed-2::004</t>
        </is>
      </c>
      <c r="B72" s="19" t="inlineStr">
        <is>
          <t>사용</t>
        </is>
      </c>
      <c r="C72" s="18">
        <f>IF(OR(B72&lt;&gt;AK72,M72&lt;&gt;L72,O72&lt;&gt;"",Q72&lt;&gt;"",V72&lt;&gt;1,Y72&lt;&gt;"",AT72&lt;&gt;""),"수정","원본")</f>
        <v/>
      </c>
      <c r="D72" s="18" t="n">
        <v>23</v>
      </c>
      <c r="E72" s="18" t="inlineStr">
        <is>
          <t>아보</t>
        </is>
      </c>
      <c r="F72" s="18" t="inlineStr">
        <is>
          <t>ekans</t>
        </is>
      </c>
      <c r="G72" s="18" t="inlineStr">
        <is>
          <t>ekans snake_pattern=speed</t>
        </is>
      </c>
      <c r="H72" s="18" t="inlineStr">
        <is>
          <t>snake_pattern=speed</t>
        </is>
      </c>
      <c r="I72" s="18" t="n">
        <v>1</v>
      </c>
      <c r="J72" s="18" t="n"/>
      <c r="K72" s="18" t="n">
        <v>1</v>
      </c>
      <c r="L72" s="18" t="inlineStr">
        <is>
          <t>cobbleventure:generation_1</t>
        </is>
      </c>
      <c r="M72" s="19" t="inlineStr">
        <is>
          <t>cobbleventure:generation_1</t>
        </is>
      </c>
      <c r="N72" s="18" t="inlineStr">
        <is>
          <t>region_02</t>
        </is>
      </c>
      <c r="O72" s="19" t="inlineStr"/>
      <c r="P72" s="18" t="inlineStr">
        <is>
          <t>#cobblemon:is_arid</t>
        </is>
      </c>
      <c r="Q72" s="19" t="inlineStr"/>
      <c r="R72" s="18">
        <f>IF(Q72="",P72,Q72)</f>
        <v/>
      </c>
      <c r="S72" s="18" t="inlineStr"/>
      <c r="T72" s="18" t="inlineStr">
        <is>
          <t>common</t>
        </is>
      </c>
      <c r="U72" s="20" t="n">
        <v>0.27</v>
      </c>
      <c r="V72" s="21" t="n">
        <v>1</v>
      </c>
      <c r="W72" s="20">
        <f>IF(OR(U72="",V72=""),U72,U72*V72)</f>
        <v/>
      </c>
      <c r="X72" s="18" t="inlineStr">
        <is>
          <t>4-29</t>
        </is>
      </c>
      <c r="Y72" s="19" t="inlineStr"/>
      <c r="Z72" s="18">
        <f>IF(Y72="",X72,Y72)</f>
        <v/>
      </c>
      <c r="AA72" s="18" t="inlineStr">
        <is>
          <t>grounded</t>
        </is>
      </c>
      <c r="AB72" s="18" t="inlineStr"/>
      <c r="AC72" s="18" t="inlineStr"/>
      <c r="AD72" s="18" t="inlineStr"/>
      <c r="AE72" s="18" t="inlineStr">
        <is>
          <t>sky 8-15</t>
        </is>
      </c>
      <c r="AF72" s="18" t="inlineStr"/>
      <c r="AG72" s="18" t="inlineStr"/>
      <c r="AH72" s="18" t="inlineStr"/>
      <c r="AI72" s="18" t="inlineStr"/>
      <c r="AJ72" s="18" t="inlineStr">
        <is>
          <t>COBBLEVERSE 수정</t>
        </is>
      </c>
      <c r="AK72" s="18" t="inlineStr">
        <is>
          <t>사용</t>
        </is>
      </c>
      <c r="AL72" s="18" t="inlineStr">
        <is>
          <t>COBBLEVERSE 1.7.42 / DP v31</t>
        </is>
      </c>
      <c r="AM72" s="18" t="inlineStr">
        <is>
          <t>data/cobblemon/spawn_pool_world/0023_ekans.json</t>
        </is>
      </c>
      <c r="AN72" s="18" t="inlineStr">
        <is>
          <t>ekans-speed-2</t>
        </is>
      </c>
      <c r="AO72" s="18" t="inlineStr">
        <is>
          <t>pokemon</t>
        </is>
      </c>
      <c r="AP72" s="18" t="inlineStr">
        <is>
          <t>natural</t>
        </is>
      </c>
      <c r="AQ72" s="18" t="inlineStr">
        <is>
          <t>{"biomes":["#cobblemon:is_arid"],"maxSkyLight":15,"minSkyLight":8}</t>
        </is>
      </c>
      <c r="AR72" s="18" t="inlineStr"/>
      <c r="AS72" s="18" t="inlineStr"/>
      <c r="AT72" s="19" t="inlineStr"/>
    </row>
    <row r="73" ht="32" customHeight="1">
      <c r="A73" s="18" t="inlineStr">
        <is>
          <t>0023_ekans.json::ekans-elusive-2::005</t>
        </is>
      </c>
      <c r="B73" s="19" t="inlineStr">
        <is>
          <t>사용</t>
        </is>
      </c>
      <c r="C73" s="18">
        <f>IF(OR(B73&lt;&gt;AK73,M73&lt;&gt;L73,O73&lt;&gt;"",Q73&lt;&gt;"",V73&lt;&gt;1,Y73&lt;&gt;"",AT73&lt;&gt;""),"수정","원본")</f>
        <v/>
      </c>
      <c r="D73" s="18" t="n">
        <v>23</v>
      </c>
      <c r="E73" s="18" t="inlineStr">
        <is>
          <t>아보</t>
        </is>
      </c>
      <c r="F73" s="18" t="inlineStr">
        <is>
          <t>ekans</t>
        </is>
      </c>
      <c r="G73" s="18" t="inlineStr">
        <is>
          <t>ekans snake_pattern=elusive</t>
        </is>
      </c>
      <c r="H73" s="18" t="inlineStr">
        <is>
          <t>snake_pattern=elusive</t>
        </is>
      </c>
      <c r="I73" s="18" t="n">
        <v>1</v>
      </c>
      <c r="J73" s="18" t="n"/>
      <c r="K73" s="18" t="n">
        <v>1</v>
      </c>
      <c r="L73" s="18" t="inlineStr">
        <is>
          <t>cobbleventure:generation_1</t>
        </is>
      </c>
      <c r="M73" s="19" t="inlineStr">
        <is>
          <t>cobbleventure:generation_1</t>
        </is>
      </c>
      <c r="N73" s="18" t="inlineStr">
        <is>
          <t>region_02</t>
        </is>
      </c>
      <c r="O73" s="19" t="inlineStr"/>
      <c r="P73" s="18" t="inlineStr">
        <is>
          <t>#cobblemon:is_arid</t>
        </is>
      </c>
      <c r="Q73" s="19" t="inlineStr"/>
      <c r="R73" s="18">
        <f>IF(Q73="",P73,Q73)</f>
        <v/>
      </c>
      <c r="S73" s="18" t="inlineStr"/>
      <c r="T73" s="18" t="inlineStr">
        <is>
          <t>common</t>
        </is>
      </c>
      <c r="U73" s="20" t="n">
        <v>0.27</v>
      </c>
      <c r="V73" s="21" t="n">
        <v>1</v>
      </c>
      <c r="W73" s="20">
        <f>IF(OR(U73="",V73=""),U73,U73*V73)</f>
        <v/>
      </c>
      <c r="X73" s="18" t="inlineStr">
        <is>
          <t>4-29</t>
        </is>
      </c>
      <c r="Y73" s="19" t="inlineStr"/>
      <c r="Z73" s="18">
        <f>IF(Y73="",X73,Y73)</f>
        <v/>
      </c>
      <c r="AA73" s="18" t="inlineStr">
        <is>
          <t>grounded</t>
        </is>
      </c>
      <c r="AB73" s="18" t="inlineStr"/>
      <c r="AC73" s="18" t="inlineStr"/>
      <c r="AD73" s="18" t="inlineStr"/>
      <c r="AE73" s="18" t="inlineStr">
        <is>
          <t>sky 8-15</t>
        </is>
      </c>
      <c r="AF73" s="18" t="inlineStr"/>
      <c r="AG73" s="18" t="inlineStr"/>
      <c r="AH73" s="18" t="inlineStr"/>
      <c r="AI73" s="18" t="inlineStr"/>
      <c r="AJ73" s="18" t="inlineStr">
        <is>
          <t>COBBLEVERSE 수정</t>
        </is>
      </c>
      <c r="AK73" s="18" t="inlineStr">
        <is>
          <t>사용</t>
        </is>
      </c>
      <c r="AL73" s="18" t="inlineStr">
        <is>
          <t>COBBLEVERSE 1.7.42 / DP v31</t>
        </is>
      </c>
      <c r="AM73" s="18" t="inlineStr">
        <is>
          <t>data/cobblemon/spawn_pool_world/0023_ekans.json</t>
        </is>
      </c>
      <c r="AN73" s="18" t="inlineStr">
        <is>
          <t>ekans-elusive-2</t>
        </is>
      </c>
      <c r="AO73" s="18" t="inlineStr">
        <is>
          <t>pokemon</t>
        </is>
      </c>
      <c r="AP73" s="18" t="inlineStr">
        <is>
          <t>natural</t>
        </is>
      </c>
      <c r="AQ73" s="18" t="inlineStr">
        <is>
          <t>{"biomes":["#cobblemon:is_arid"],"maxSkyLight":15,"minSkyLight":8}</t>
        </is>
      </c>
      <c r="AR73" s="18" t="inlineStr"/>
      <c r="AS73" s="18" t="inlineStr"/>
      <c r="AT73" s="19" t="inlineStr"/>
    </row>
    <row r="74" ht="32" customHeight="1">
      <c r="A74" s="18" t="inlineStr">
        <is>
          <t>0023_ekans.json::ekans-sound-2::006</t>
        </is>
      </c>
      <c r="B74" s="19" t="inlineStr">
        <is>
          <t>사용</t>
        </is>
      </c>
      <c r="C74" s="18">
        <f>IF(OR(B74&lt;&gt;AK74,M74&lt;&gt;L74,O74&lt;&gt;"",Q74&lt;&gt;"",V74&lt;&gt;1,Y74&lt;&gt;"",AT74&lt;&gt;""),"수정","원본")</f>
        <v/>
      </c>
      <c r="D74" s="18" t="n">
        <v>23</v>
      </c>
      <c r="E74" s="18" t="inlineStr">
        <is>
          <t>아보</t>
        </is>
      </c>
      <c r="F74" s="18" t="inlineStr">
        <is>
          <t>ekans</t>
        </is>
      </c>
      <c r="G74" s="18" t="inlineStr">
        <is>
          <t>ekans snake_pattern=sound</t>
        </is>
      </c>
      <c r="H74" s="18" t="inlineStr">
        <is>
          <t>snake_pattern=sound</t>
        </is>
      </c>
      <c r="I74" s="18" t="n">
        <v>1</v>
      </c>
      <c r="J74" s="18" t="n"/>
      <c r="K74" s="18" t="n">
        <v>1</v>
      </c>
      <c r="L74" s="18" t="inlineStr">
        <is>
          <t>cobbleventure:generation_1</t>
        </is>
      </c>
      <c r="M74" s="19" t="inlineStr">
        <is>
          <t>cobbleventure:generation_1</t>
        </is>
      </c>
      <c r="N74" s="18" t="inlineStr">
        <is>
          <t>region_02</t>
        </is>
      </c>
      <c r="O74" s="19" t="inlineStr"/>
      <c r="P74" s="18" t="inlineStr">
        <is>
          <t>#cobblemon:is_arid</t>
        </is>
      </c>
      <c r="Q74" s="19" t="inlineStr"/>
      <c r="R74" s="18">
        <f>IF(Q74="",P74,Q74)</f>
        <v/>
      </c>
      <c r="S74" s="18" t="inlineStr"/>
      <c r="T74" s="18" t="inlineStr">
        <is>
          <t>common</t>
        </is>
      </c>
      <c r="U74" s="20" t="n">
        <v>0.27</v>
      </c>
      <c r="V74" s="21" t="n">
        <v>1</v>
      </c>
      <c r="W74" s="20">
        <f>IF(OR(U74="",V74=""),U74,U74*V74)</f>
        <v/>
      </c>
      <c r="X74" s="18" t="inlineStr">
        <is>
          <t>4-29</t>
        </is>
      </c>
      <c r="Y74" s="19" t="inlineStr"/>
      <c r="Z74" s="18">
        <f>IF(Y74="",X74,Y74)</f>
        <v/>
      </c>
      <c r="AA74" s="18" t="inlineStr">
        <is>
          <t>grounded</t>
        </is>
      </c>
      <c r="AB74" s="18" t="inlineStr"/>
      <c r="AC74" s="18" t="inlineStr"/>
      <c r="AD74" s="18" t="inlineStr"/>
      <c r="AE74" s="18" t="inlineStr">
        <is>
          <t>sky 8-15</t>
        </is>
      </c>
      <c r="AF74" s="18" t="inlineStr"/>
      <c r="AG74" s="18" t="inlineStr"/>
      <c r="AH74" s="18" t="inlineStr"/>
      <c r="AI74" s="18" t="inlineStr"/>
      <c r="AJ74" s="18" t="inlineStr">
        <is>
          <t>COBBLEVERSE 수정</t>
        </is>
      </c>
      <c r="AK74" s="18" t="inlineStr">
        <is>
          <t>사용</t>
        </is>
      </c>
      <c r="AL74" s="18" t="inlineStr">
        <is>
          <t>COBBLEVERSE 1.7.42 / DP v31</t>
        </is>
      </c>
      <c r="AM74" s="18" t="inlineStr">
        <is>
          <t>data/cobblemon/spawn_pool_world/0023_ekans.json</t>
        </is>
      </c>
      <c r="AN74" s="18" t="inlineStr">
        <is>
          <t>ekans-sound-2</t>
        </is>
      </c>
      <c r="AO74" s="18" t="inlineStr">
        <is>
          <t>pokemon</t>
        </is>
      </c>
      <c r="AP74" s="18" t="inlineStr">
        <is>
          <t>natural</t>
        </is>
      </c>
      <c r="AQ74" s="18" t="inlineStr">
        <is>
          <t>{"biomes":["#cobblemon:is_arid"],"maxSkyLight":15,"minSkyLight":8}</t>
        </is>
      </c>
      <c r="AR74" s="18" t="inlineStr"/>
      <c r="AS74" s="18" t="inlineStr"/>
      <c r="AT74" s="19" t="inlineStr"/>
    </row>
    <row r="75" ht="32" customHeight="1">
      <c r="A75" s="18" t="inlineStr">
        <is>
          <t>0023_ekans.json::ekans-dark-3::007</t>
        </is>
      </c>
      <c r="B75" s="19" t="inlineStr">
        <is>
          <t>사용</t>
        </is>
      </c>
      <c r="C75" s="18">
        <f>IF(OR(B75&lt;&gt;AK75,M75&lt;&gt;L75,O75&lt;&gt;"",Q75&lt;&gt;"",V75&lt;&gt;1,Y75&lt;&gt;"",AT75&lt;&gt;""),"수정","원본")</f>
        <v/>
      </c>
      <c r="D75" s="18" t="n">
        <v>23</v>
      </c>
      <c r="E75" s="18" t="inlineStr">
        <is>
          <t>아보</t>
        </is>
      </c>
      <c r="F75" s="18" t="inlineStr">
        <is>
          <t>ekans</t>
        </is>
      </c>
      <c r="G75" s="18" t="inlineStr">
        <is>
          <t>ekans snake_pattern=dark</t>
        </is>
      </c>
      <c r="H75" s="18" t="inlineStr">
        <is>
          <t>snake_pattern=dark</t>
        </is>
      </c>
      <c r="I75" s="18" t="n">
        <v>1</v>
      </c>
      <c r="J75" s="18" t="n"/>
      <c r="K75" s="18" t="n">
        <v>1</v>
      </c>
      <c r="L75" s="18" t="inlineStr">
        <is>
          <t>cobbleventure:generation_1</t>
        </is>
      </c>
      <c r="M75" s="19" t="inlineStr">
        <is>
          <t>cobbleventure:generation_1</t>
        </is>
      </c>
      <c r="N75" s="18" t="inlineStr"/>
      <c r="O75" s="19" t="inlineStr"/>
      <c r="P75" s="18" t="inlineStr">
        <is>
          <t>minecraft:deep_dark</t>
        </is>
      </c>
      <c r="Q75" s="19" t="inlineStr"/>
      <c r="R75" s="18">
        <f>IF(Q75="",P75,Q75)</f>
        <v/>
      </c>
      <c r="S75" s="18" t="inlineStr"/>
      <c r="T75" s="18" t="inlineStr">
        <is>
          <t>common</t>
        </is>
      </c>
      <c r="U75" s="20" t="n">
        <v>5.4</v>
      </c>
      <c r="V75" s="21" t="n">
        <v>1</v>
      </c>
      <c r="W75" s="20">
        <f>IF(OR(U75="",V75=""),U75,U75*V75)</f>
        <v/>
      </c>
      <c r="X75" s="18" t="inlineStr">
        <is>
          <t>4-29</t>
        </is>
      </c>
      <c r="Y75" s="19" t="inlineStr"/>
      <c r="Z75" s="18">
        <f>IF(Y75="",X75,Y75)</f>
        <v/>
      </c>
      <c r="AA75" s="18" t="inlineStr">
        <is>
          <t>grounded</t>
        </is>
      </c>
      <c r="AB75" s="18" t="inlineStr"/>
      <c r="AC75" s="18" t="inlineStr"/>
      <c r="AD75" s="18" t="inlineStr"/>
      <c r="AE75" s="18" t="inlineStr"/>
      <c r="AF75" s="18" t="inlineStr"/>
      <c r="AG75" s="18" t="inlineStr"/>
      <c r="AH75" s="18" t="inlineStr"/>
      <c r="AI75" s="18" t="inlineStr"/>
      <c r="AJ75" s="18" t="inlineStr">
        <is>
          <t>COBBLEVERSE 수정</t>
        </is>
      </c>
      <c r="AK75" s="18" t="inlineStr">
        <is>
          <t>사용</t>
        </is>
      </c>
      <c r="AL75" s="18" t="inlineStr">
        <is>
          <t>COBBLEVERSE 1.7.42 / DP v31</t>
        </is>
      </c>
      <c r="AM75" s="18" t="inlineStr">
        <is>
          <t>data/cobblemon/spawn_pool_world/0023_ekans.json</t>
        </is>
      </c>
      <c r="AN75" s="18" t="inlineStr">
        <is>
          <t>ekans-dark-3</t>
        </is>
      </c>
      <c r="AO75" s="18" t="inlineStr">
        <is>
          <t>pokemon</t>
        </is>
      </c>
      <c r="AP75" s="18" t="inlineStr">
        <is>
          <t>natural</t>
        </is>
      </c>
      <c r="AQ75" s="18" t="inlineStr">
        <is>
          <t>{"biomes":["minecraft:deep_dark"]}</t>
        </is>
      </c>
      <c r="AR75" s="18" t="inlineStr"/>
      <c r="AS75" s="18" t="inlineStr"/>
      <c r="AT75" s="19" t="inlineStr"/>
    </row>
    <row r="76" ht="32" customHeight="1">
      <c r="A76" s="18" t="inlineStr">
        <is>
          <t>0024_arbok.json::arbok-classic-1::001</t>
        </is>
      </c>
      <c r="B76" s="19" t="inlineStr">
        <is>
          <t>사용</t>
        </is>
      </c>
      <c r="C76" s="18">
        <f>IF(OR(B76&lt;&gt;AK76,M76&lt;&gt;L76,O76&lt;&gt;"",Q76&lt;&gt;"",V76&lt;&gt;1,Y76&lt;&gt;"",AT76&lt;&gt;""),"수정","원본")</f>
        <v/>
      </c>
      <c r="D76" s="18" t="n">
        <v>24</v>
      </c>
      <c r="E76" s="18" t="inlineStr">
        <is>
          <t>아보크</t>
        </is>
      </c>
      <c r="F76" s="18" t="inlineStr">
        <is>
          <t>arbok</t>
        </is>
      </c>
      <c r="G76" s="18" t="inlineStr">
        <is>
          <t>arbok snake_pattern=classic</t>
        </is>
      </c>
      <c r="H76" s="18" t="inlineStr">
        <is>
          <t>snake_pattern=classic</t>
        </is>
      </c>
      <c r="I76" s="18" t="n">
        <v>1</v>
      </c>
      <c r="J76" s="18" t="n"/>
      <c r="K76" s="18" t="n">
        <v>1</v>
      </c>
      <c r="L76" s="18" t="inlineStr">
        <is>
          <t>cobbleventure:generation_1</t>
        </is>
      </c>
      <c r="M76" s="19" t="inlineStr">
        <is>
          <t>cobbleventure:generation_1</t>
        </is>
      </c>
      <c r="N76" s="18" t="inlineStr">
        <is>
          <t>region_02</t>
        </is>
      </c>
      <c r="O76" s="19" t="inlineStr"/>
      <c r="P76" s="18" t="inlineStr">
        <is>
          <t>#cobblemon:is_arid</t>
        </is>
      </c>
      <c r="Q76" s="19" t="inlineStr"/>
      <c r="R76" s="18">
        <f>IF(Q76="",P76,Q76)</f>
        <v/>
      </c>
      <c r="S76" s="18" t="inlineStr"/>
      <c r="T76" s="18" t="inlineStr">
        <is>
          <t>common</t>
        </is>
      </c>
      <c r="U76" s="20" t="n">
        <v>0.45</v>
      </c>
      <c r="V76" s="21" t="n">
        <v>1</v>
      </c>
      <c r="W76" s="20">
        <f>IF(OR(U76="",V76=""),U76,U76*V76)</f>
        <v/>
      </c>
      <c r="X76" s="18" t="inlineStr">
        <is>
          <t>22-45</t>
        </is>
      </c>
      <c r="Y76" s="19" t="inlineStr"/>
      <c r="Z76" s="18">
        <f>IF(Y76="",X76,Y76)</f>
        <v/>
      </c>
      <c r="AA76" s="18" t="inlineStr">
        <is>
          <t>grounded</t>
        </is>
      </c>
      <c r="AB76" s="18" t="inlineStr"/>
      <c r="AC76" s="18" t="inlineStr"/>
      <c r="AD76" s="18" t="inlineStr"/>
      <c r="AE76" s="18" t="inlineStr">
        <is>
          <t>sky 8-15</t>
        </is>
      </c>
      <c r="AF76" s="18" t="inlineStr"/>
      <c r="AG76" s="18" t="inlineStr"/>
      <c r="AH76" s="18" t="inlineStr"/>
      <c r="AI76" s="18" t="inlineStr"/>
      <c r="AJ76" s="18" t="inlineStr">
        <is>
          <t>COBBLEVERSE 수정</t>
        </is>
      </c>
      <c r="AK76" s="18" t="inlineStr">
        <is>
          <t>사용</t>
        </is>
      </c>
      <c r="AL76" s="18" t="inlineStr">
        <is>
          <t>COBBLEVERSE 1.7.42 / DP v31</t>
        </is>
      </c>
      <c r="AM76" s="18" t="inlineStr">
        <is>
          <t>data/cobblemon/spawn_pool_world/0024_arbok.json</t>
        </is>
      </c>
      <c r="AN76" s="18" t="inlineStr">
        <is>
          <t>arbok-classic-1</t>
        </is>
      </c>
      <c r="AO76" s="18" t="inlineStr">
        <is>
          <t>pokemon</t>
        </is>
      </c>
      <c r="AP76" s="18" t="inlineStr">
        <is>
          <t>natural</t>
        </is>
      </c>
      <c r="AQ76" s="18" t="inlineStr">
        <is>
          <t>{"biomes":["#cobblemon:is_arid"],"maxSkyLight":15,"minSkyLight":8}</t>
        </is>
      </c>
      <c r="AR76" s="18" t="inlineStr"/>
      <c r="AS76" s="18" t="inlineStr"/>
      <c r="AT76" s="19" t="inlineStr"/>
    </row>
    <row r="77" ht="32" customHeight="1">
      <c r="A77" s="18" t="inlineStr">
        <is>
          <t>0024_arbok.json::arbok-legacy-2::002</t>
        </is>
      </c>
      <c r="B77" s="19" t="inlineStr">
        <is>
          <t>사용</t>
        </is>
      </c>
      <c r="C77" s="18">
        <f>IF(OR(B77&lt;&gt;AK77,M77&lt;&gt;L77,O77&lt;&gt;"",Q77&lt;&gt;"",V77&lt;&gt;1,Y77&lt;&gt;"",AT77&lt;&gt;""),"수정","원본")</f>
        <v/>
      </c>
      <c r="D77" s="18" t="n">
        <v>24</v>
      </c>
      <c r="E77" s="18" t="inlineStr">
        <is>
          <t>아보크</t>
        </is>
      </c>
      <c r="F77" s="18" t="inlineStr">
        <is>
          <t>arbok</t>
        </is>
      </c>
      <c r="G77" s="18" t="inlineStr">
        <is>
          <t>arbok snake_pattern=legacy</t>
        </is>
      </c>
      <c r="H77" s="18" t="inlineStr">
        <is>
          <t>snake_pattern=legacy</t>
        </is>
      </c>
      <c r="I77" s="18" t="n">
        <v>1</v>
      </c>
      <c r="J77" s="18" t="n"/>
      <c r="K77" s="18" t="n">
        <v>1</v>
      </c>
      <c r="L77" s="18" t="inlineStr">
        <is>
          <t>cobbleventure:generation_1</t>
        </is>
      </c>
      <c r="M77" s="19" t="inlineStr">
        <is>
          <t>cobbleventure:generation_1</t>
        </is>
      </c>
      <c r="N77" s="18" t="inlineStr">
        <is>
          <t>region_02</t>
        </is>
      </c>
      <c r="O77" s="19" t="inlineStr"/>
      <c r="P77" s="18" t="inlineStr">
        <is>
          <t>#cobblemon:is_arid</t>
        </is>
      </c>
      <c r="Q77" s="19" t="inlineStr"/>
      <c r="R77" s="18">
        <f>IF(Q77="",P77,Q77)</f>
        <v/>
      </c>
      <c r="S77" s="18" t="inlineStr"/>
      <c r="T77" s="18" t="inlineStr">
        <is>
          <t>common</t>
        </is>
      </c>
      <c r="U77" s="20" t="n">
        <v>0.03</v>
      </c>
      <c r="V77" s="21" t="n">
        <v>1</v>
      </c>
      <c r="W77" s="20">
        <f>IF(OR(U77="",V77=""),U77,U77*V77)</f>
        <v/>
      </c>
      <c r="X77" s="18" t="inlineStr">
        <is>
          <t>22-45</t>
        </is>
      </c>
      <c r="Y77" s="19" t="inlineStr"/>
      <c r="Z77" s="18">
        <f>IF(Y77="",X77,Y77)</f>
        <v/>
      </c>
      <c r="AA77" s="18" t="inlineStr">
        <is>
          <t>grounded</t>
        </is>
      </c>
      <c r="AB77" s="18" t="inlineStr"/>
      <c r="AC77" s="18" t="inlineStr"/>
      <c r="AD77" s="18" t="inlineStr"/>
      <c r="AE77" s="18" t="inlineStr">
        <is>
          <t>sky 8-15</t>
        </is>
      </c>
      <c r="AF77" s="18" t="inlineStr"/>
      <c r="AG77" s="18" t="inlineStr"/>
      <c r="AH77" s="18" t="inlineStr"/>
      <c r="AI77" s="18" t="inlineStr"/>
      <c r="AJ77" s="18" t="inlineStr">
        <is>
          <t>COBBLEVERSE 수정</t>
        </is>
      </c>
      <c r="AK77" s="18" t="inlineStr">
        <is>
          <t>사용</t>
        </is>
      </c>
      <c r="AL77" s="18" t="inlineStr">
        <is>
          <t>COBBLEVERSE 1.7.42 / DP v31</t>
        </is>
      </c>
      <c r="AM77" s="18" t="inlineStr">
        <is>
          <t>data/cobblemon/spawn_pool_world/0024_arbok.json</t>
        </is>
      </c>
      <c r="AN77" s="18" t="inlineStr">
        <is>
          <t>arbok-legacy-2</t>
        </is>
      </c>
      <c r="AO77" s="18" t="inlineStr">
        <is>
          <t>pokemon</t>
        </is>
      </c>
      <c r="AP77" s="18" t="inlineStr">
        <is>
          <t>natural</t>
        </is>
      </c>
      <c r="AQ77" s="18" t="inlineStr">
        <is>
          <t>{"biomes":["#cobblemon:is_arid"],"maxSkyLight":15,"minSkyLight":8}</t>
        </is>
      </c>
      <c r="AR77" s="18" t="inlineStr"/>
      <c r="AS77" s="18" t="inlineStr"/>
      <c r="AT77" s="19" t="inlineStr"/>
    </row>
    <row r="78" ht="32" customHeight="1">
      <c r="A78" s="18" t="inlineStr">
        <is>
          <t>0024_arbok.json::arbok-attack-2::003</t>
        </is>
      </c>
      <c r="B78" s="19" t="inlineStr">
        <is>
          <t>사용</t>
        </is>
      </c>
      <c r="C78" s="18">
        <f>IF(OR(B78&lt;&gt;AK78,M78&lt;&gt;L78,O78&lt;&gt;"",Q78&lt;&gt;"",V78&lt;&gt;1,Y78&lt;&gt;"",AT78&lt;&gt;""),"수정","원본")</f>
        <v/>
      </c>
      <c r="D78" s="18" t="n">
        <v>24</v>
      </c>
      <c r="E78" s="18" t="inlineStr">
        <is>
          <t>아보크</t>
        </is>
      </c>
      <c r="F78" s="18" t="inlineStr">
        <is>
          <t>arbok</t>
        </is>
      </c>
      <c r="G78" s="18" t="inlineStr">
        <is>
          <t>arbok snake_pattern=attack</t>
        </is>
      </c>
      <c r="H78" s="18" t="inlineStr">
        <is>
          <t>snake_pattern=attack</t>
        </is>
      </c>
      <c r="I78" s="18" t="n">
        <v>1</v>
      </c>
      <c r="J78" s="18" t="n"/>
      <c r="K78" s="18" t="n">
        <v>1</v>
      </c>
      <c r="L78" s="18" t="inlineStr">
        <is>
          <t>cobbleventure:generation_1</t>
        </is>
      </c>
      <c r="M78" s="19" t="inlineStr">
        <is>
          <t>cobbleventure:generation_1</t>
        </is>
      </c>
      <c r="N78" s="18" t="inlineStr">
        <is>
          <t>region_02</t>
        </is>
      </c>
      <c r="O78" s="19" t="inlineStr"/>
      <c r="P78" s="18" t="inlineStr">
        <is>
          <t>#cobblemon:is_arid</t>
        </is>
      </c>
      <c r="Q78" s="19" t="inlineStr"/>
      <c r="R78" s="18">
        <f>IF(Q78="",P78,Q78)</f>
        <v/>
      </c>
      <c r="S78" s="18" t="inlineStr"/>
      <c r="T78" s="18" t="inlineStr">
        <is>
          <t>common</t>
        </is>
      </c>
      <c r="U78" s="20" t="n">
        <v>0.03</v>
      </c>
      <c r="V78" s="21" t="n">
        <v>1</v>
      </c>
      <c r="W78" s="20">
        <f>IF(OR(U78="",V78=""),U78,U78*V78)</f>
        <v/>
      </c>
      <c r="X78" s="18" t="inlineStr">
        <is>
          <t>22-45</t>
        </is>
      </c>
      <c r="Y78" s="19" t="inlineStr"/>
      <c r="Z78" s="18">
        <f>IF(Y78="",X78,Y78)</f>
        <v/>
      </c>
      <c r="AA78" s="18" t="inlineStr">
        <is>
          <t>grounded</t>
        </is>
      </c>
      <c r="AB78" s="18" t="inlineStr"/>
      <c r="AC78" s="18" t="inlineStr"/>
      <c r="AD78" s="18" t="inlineStr"/>
      <c r="AE78" s="18" t="inlineStr">
        <is>
          <t>sky 8-15</t>
        </is>
      </c>
      <c r="AF78" s="18" t="inlineStr"/>
      <c r="AG78" s="18" t="inlineStr"/>
      <c r="AH78" s="18" t="inlineStr"/>
      <c r="AI78" s="18" t="inlineStr"/>
      <c r="AJ78" s="18" t="inlineStr">
        <is>
          <t>COBBLEVERSE 수정</t>
        </is>
      </c>
      <c r="AK78" s="18" t="inlineStr">
        <is>
          <t>사용</t>
        </is>
      </c>
      <c r="AL78" s="18" t="inlineStr">
        <is>
          <t>COBBLEVERSE 1.7.42 / DP v31</t>
        </is>
      </c>
      <c r="AM78" s="18" t="inlineStr">
        <is>
          <t>data/cobblemon/spawn_pool_world/0024_arbok.json</t>
        </is>
      </c>
      <c r="AN78" s="18" t="inlineStr">
        <is>
          <t>arbok-attack-2</t>
        </is>
      </c>
      <c r="AO78" s="18" t="inlineStr">
        <is>
          <t>pokemon</t>
        </is>
      </c>
      <c r="AP78" s="18" t="inlineStr">
        <is>
          <t>natural</t>
        </is>
      </c>
      <c r="AQ78" s="18" t="inlineStr">
        <is>
          <t>{"biomes":["#cobblemon:is_arid"],"maxSkyLight":15,"minSkyLight":8}</t>
        </is>
      </c>
      <c r="AR78" s="18" t="inlineStr"/>
      <c r="AS78" s="18" t="inlineStr"/>
      <c r="AT78" s="19" t="inlineStr"/>
    </row>
    <row r="79" ht="32" customHeight="1">
      <c r="A79" s="18" t="inlineStr">
        <is>
          <t>0024_arbok.json::arbok-speed-2::004</t>
        </is>
      </c>
      <c r="B79" s="19" t="inlineStr">
        <is>
          <t>사용</t>
        </is>
      </c>
      <c r="C79" s="18">
        <f>IF(OR(B79&lt;&gt;AK79,M79&lt;&gt;L79,O79&lt;&gt;"",Q79&lt;&gt;"",V79&lt;&gt;1,Y79&lt;&gt;"",AT79&lt;&gt;""),"수정","원본")</f>
        <v/>
      </c>
      <c r="D79" s="18" t="n">
        <v>24</v>
      </c>
      <c r="E79" s="18" t="inlineStr">
        <is>
          <t>아보크</t>
        </is>
      </c>
      <c r="F79" s="18" t="inlineStr">
        <is>
          <t>arbok</t>
        </is>
      </c>
      <c r="G79" s="18" t="inlineStr">
        <is>
          <t>arbok snake_pattern=speed</t>
        </is>
      </c>
      <c r="H79" s="18" t="inlineStr">
        <is>
          <t>snake_pattern=speed</t>
        </is>
      </c>
      <c r="I79" s="18" t="n">
        <v>1</v>
      </c>
      <c r="J79" s="18" t="n"/>
      <c r="K79" s="18" t="n">
        <v>1</v>
      </c>
      <c r="L79" s="18" t="inlineStr">
        <is>
          <t>cobbleventure:generation_1</t>
        </is>
      </c>
      <c r="M79" s="19" t="inlineStr">
        <is>
          <t>cobbleventure:generation_1</t>
        </is>
      </c>
      <c r="N79" s="18" t="inlineStr">
        <is>
          <t>region_02</t>
        </is>
      </c>
      <c r="O79" s="19" t="inlineStr"/>
      <c r="P79" s="18" t="inlineStr">
        <is>
          <t>#cobblemon:is_arid</t>
        </is>
      </c>
      <c r="Q79" s="19" t="inlineStr"/>
      <c r="R79" s="18">
        <f>IF(Q79="",P79,Q79)</f>
        <v/>
      </c>
      <c r="S79" s="18" t="inlineStr"/>
      <c r="T79" s="18" t="inlineStr">
        <is>
          <t>common</t>
        </is>
      </c>
      <c r="U79" s="20" t="n">
        <v>0.03</v>
      </c>
      <c r="V79" s="21" t="n">
        <v>1</v>
      </c>
      <c r="W79" s="20">
        <f>IF(OR(U79="",V79=""),U79,U79*V79)</f>
        <v/>
      </c>
      <c r="X79" s="18" t="inlineStr">
        <is>
          <t>22-45</t>
        </is>
      </c>
      <c r="Y79" s="19" t="inlineStr"/>
      <c r="Z79" s="18">
        <f>IF(Y79="",X79,Y79)</f>
        <v/>
      </c>
      <c r="AA79" s="18" t="inlineStr">
        <is>
          <t>grounded</t>
        </is>
      </c>
      <c r="AB79" s="18" t="inlineStr"/>
      <c r="AC79" s="18" t="inlineStr"/>
      <c r="AD79" s="18" t="inlineStr"/>
      <c r="AE79" s="18" t="inlineStr">
        <is>
          <t>sky 8-15</t>
        </is>
      </c>
      <c r="AF79" s="18" t="inlineStr"/>
      <c r="AG79" s="18" t="inlineStr"/>
      <c r="AH79" s="18" t="inlineStr"/>
      <c r="AI79" s="18" t="inlineStr"/>
      <c r="AJ79" s="18" t="inlineStr">
        <is>
          <t>COBBLEVERSE 수정</t>
        </is>
      </c>
      <c r="AK79" s="18" t="inlineStr">
        <is>
          <t>사용</t>
        </is>
      </c>
      <c r="AL79" s="18" t="inlineStr">
        <is>
          <t>COBBLEVERSE 1.7.42 / DP v31</t>
        </is>
      </c>
      <c r="AM79" s="18" t="inlineStr">
        <is>
          <t>data/cobblemon/spawn_pool_world/0024_arbok.json</t>
        </is>
      </c>
      <c r="AN79" s="18" t="inlineStr">
        <is>
          <t>arbok-speed-2</t>
        </is>
      </c>
      <c r="AO79" s="18" t="inlineStr">
        <is>
          <t>pokemon</t>
        </is>
      </c>
      <c r="AP79" s="18" t="inlineStr">
        <is>
          <t>natural</t>
        </is>
      </c>
      <c r="AQ79" s="18" t="inlineStr">
        <is>
          <t>{"biomes":["#cobblemon:is_arid"],"maxSkyLight":15,"minSkyLight":8}</t>
        </is>
      </c>
      <c r="AR79" s="18" t="inlineStr"/>
      <c r="AS79" s="18" t="inlineStr"/>
      <c r="AT79" s="19" t="inlineStr"/>
    </row>
    <row r="80" ht="32" customHeight="1">
      <c r="A80" s="18" t="inlineStr">
        <is>
          <t>0024_arbok.json::arbok-elusive-2::005</t>
        </is>
      </c>
      <c r="B80" s="19" t="inlineStr">
        <is>
          <t>사용</t>
        </is>
      </c>
      <c r="C80" s="18">
        <f>IF(OR(B80&lt;&gt;AK80,M80&lt;&gt;L80,O80&lt;&gt;"",Q80&lt;&gt;"",V80&lt;&gt;1,Y80&lt;&gt;"",AT80&lt;&gt;""),"수정","원본")</f>
        <v/>
      </c>
      <c r="D80" s="18" t="n">
        <v>24</v>
      </c>
      <c r="E80" s="18" t="inlineStr">
        <is>
          <t>아보크</t>
        </is>
      </c>
      <c r="F80" s="18" t="inlineStr">
        <is>
          <t>arbok</t>
        </is>
      </c>
      <c r="G80" s="18" t="inlineStr">
        <is>
          <t>arbok snake_pattern=elusive</t>
        </is>
      </c>
      <c r="H80" s="18" t="inlineStr">
        <is>
          <t>snake_pattern=elusive</t>
        </is>
      </c>
      <c r="I80" s="18" t="n">
        <v>1</v>
      </c>
      <c r="J80" s="18" t="n"/>
      <c r="K80" s="18" t="n">
        <v>1</v>
      </c>
      <c r="L80" s="18" t="inlineStr">
        <is>
          <t>cobbleventure:generation_1</t>
        </is>
      </c>
      <c r="M80" s="19" t="inlineStr">
        <is>
          <t>cobbleventure:generation_1</t>
        </is>
      </c>
      <c r="N80" s="18" t="inlineStr">
        <is>
          <t>region_02</t>
        </is>
      </c>
      <c r="O80" s="19" t="inlineStr"/>
      <c r="P80" s="18" t="inlineStr">
        <is>
          <t>#cobblemon:is_arid</t>
        </is>
      </c>
      <c r="Q80" s="19" t="inlineStr"/>
      <c r="R80" s="18">
        <f>IF(Q80="",P80,Q80)</f>
        <v/>
      </c>
      <c r="S80" s="18" t="inlineStr"/>
      <c r="T80" s="18" t="inlineStr">
        <is>
          <t>common</t>
        </is>
      </c>
      <c r="U80" s="20" t="n">
        <v>0.03</v>
      </c>
      <c r="V80" s="21" t="n">
        <v>1</v>
      </c>
      <c r="W80" s="20">
        <f>IF(OR(U80="",V80=""),U80,U80*V80)</f>
        <v/>
      </c>
      <c r="X80" s="18" t="inlineStr">
        <is>
          <t>22-45</t>
        </is>
      </c>
      <c r="Y80" s="19" t="inlineStr"/>
      <c r="Z80" s="18">
        <f>IF(Y80="",X80,Y80)</f>
        <v/>
      </c>
      <c r="AA80" s="18" t="inlineStr">
        <is>
          <t>grounded</t>
        </is>
      </c>
      <c r="AB80" s="18" t="inlineStr"/>
      <c r="AC80" s="18" t="inlineStr"/>
      <c r="AD80" s="18" t="inlineStr"/>
      <c r="AE80" s="18" t="inlineStr">
        <is>
          <t>sky 8-15</t>
        </is>
      </c>
      <c r="AF80" s="18" t="inlineStr"/>
      <c r="AG80" s="18" t="inlineStr"/>
      <c r="AH80" s="18" t="inlineStr"/>
      <c r="AI80" s="18" t="inlineStr"/>
      <c r="AJ80" s="18" t="inlineStr">
        <is>
          <t>COBBLEVERSE 수정</t>
        </is>
      </c>
      <c r="AK80" s="18" t="inlineStr">
        <is>
          <t>사용</t>
        </is>
      </c>
      <c r="AL80" s="18" t="inlineStr">
        <is>
          <t>COBBLEVERSE 1.7.42 / DP v31</t>
        </is>
      </c>
      <c r="AM80" s="18" t="inlineStr">
        <is>
          <t>data/cobblemon/spawn_pool_world/0024_arbok.json</t>
        </is>
      </c>
      <c r="AN80" s="18" t="inlineStr">
        <is>
          <t>arbok-elusive-2</t>
        </is>
      </c>
      <c r="AO80" s="18" t="inlineStr">
        <is>
          <t>pokemon</t>
        </is>
      </c>
      <c r="AP80" s="18" t="inlineStr">
        <is>
          <t>natural</t>
        </is>
      </c>
      <c r="AQ80" s="18" t="inlineStr">
        <is>
          <t>{"biomes":["#cobblemon:is_arid"],"maxSkyLight":15,"minSkyLight":8}</t>
        </is>
      </c>
      <c r="AR80" s="18" t="inlineStr"/>
      <c r="AS80" s="18" t="inlineStr"/>
      <c r="AT80" s="19" t="inlineStr"/>
    </row>
    <row r="81" ht="32" customHeight="1">
      <c r="A81" s="18" t="inlineStr">
        <is>
          <t>0024_arbok.json::arbok-sound-2::006</t>
        </is>
      </c>
      <c r="B81" s="19" t="inlineStr">
        <is>
          <t>사용</t>
        </is>
      </c>
      <c r="C81" s="18">
        <f>IF(OR(B81&lt;&gt;AK81,M81&lt;&gt;L81,O81&lt;&gt;"",Q81&lt;&gt;"",V81&lt;&gt;1,Y81&lt;&gt;"",AT81&lt;&gt;""),"수정","원본")</f>
        <v/>
      </c>
      <c r="D81" s="18" t="n">
        <v>24</v>
      </c>
      <c r="E81" s="18" t="inlineStr">
        <is>
          <t>아보크</t>
        </is>
      </c>
      <c r="F81" s="18" t="inlineStr">
        <is>
          <t>arbok</t>
        </is>
      </c>
      <c r="G81" s="18" t="inlineStr">
        <is>
          <t>arbok snake_pattern=sound</t>
        </is>
      </c>
      <c r="H81" s="18" t="inlineStr">
        <is>
          <t>snake_pattern=sound</t>
        </is>
      </c>
      <c r="I81" s="18" t="n">
        <v>1</v>
      </c>
      <c r="J81" s="18" t="n"/>
      <c r="K81" s="18" t="n">
        <v>1</v>
      </c>
      <c r="L81" s="18" t="inlineStr">
        <is>
          <t>cobbleventure:generation_1</t>
        </is>
      </c>
      <c r="M81" s="19" t="inlineStr">
        <is>
          <t>cobbleventure:generation_1</t>
        </is>
      </c>
      <c r="N81" s="18" t="inlineStr">
        <is>
          <t>region_02</t>
        </is>
      </c>
      <c r="O81" s="19" t="inlineStr"/>
      <c r="P81" s="18" t="inlineStr">
        <is>
          <t>#cobblemon:is_arid</t>
        </is>
      </c>
      <c r="Q81" s="19" t="inlineStr"/>
      <c r="R81" s="18">
        <f>IF(Q81="",P81,Q81)</f>
        <v/>
      </c>
      <c r="S81" s="18" t="inlineStr"/>
      <c r="T81" s="18" t="inlineStr">
        <is>
          <t>common</t>
        </is>
      </c>
      <c r="U81" s="20" t="n">
        <v>0.03</v>
      </c>
      <c r="V81" s="21" t="n">
        <v>1</v>
      </c>
      <c r="W81" s="20">
        <f>IF(OR(U81="",V81=""),U81,U81*V81)</f>
        <v/>
      </c>
      <c r="X81" s="18" t="inlineStr">
        <is>
          <t>22-45</t>
        </is>
      </c>
      <c r="Y81" s="19" t="inlineStr"/>
      <c r="Z81" s="18">
        <f>IF(Y81="",X81,Y81)</f>
        <v/>
      </c>
      <c r="AA81" s="18" t="inlineStr">
        <is>
          <t>grounded</t>
        </is>
      </c>
      <c r="AB81" s="18" t="inlineStr"/>
      <c r="AC81" s="18" t="inlineStr"/>
      <c r="AD81" s="18" t="inlineStr"/>
      <c r="AE81" s="18" t="inlineStr">
        <is>
          <t>sky 8-15</t>
        </is>
      </c>
      <c r="AF81" s="18" t="inlineStr"/>
      <c r="AG81" s="18" t="inlineStr"/>
      <c r="AH81" s="18" t="inlineStr"/>
      <c r="AI81" s="18" t="inlineStr"/>
      <c r="AJ81" s="18" t="inlineStr">
        <is>
          <t>COBBLEVERSE 수정</t>
        </is>
      </c>
      <c r="AK81" s="18" t="inlineStr">
        <is>
          <t>사용</t>
        </is>
      </c>
      <c r="AL81" s="18" t="inlineStr">
        <is>
          <t>COBBLEVERSE 1.7.42 / DP v31</t>
        </is>
      </c>
      <c r="AM81" s="18" t="inlineStr">
        <is>
          <t>data/cobblemon/spawn_pool_world/0024_arbok.json</t>
        </is>
      </c>
      <c r="AN81" s="18" t="inlineStr">
        <is>
          <t>arbok-sound-2</t>
        </is>
      </c>
      <c r="AO81" s="18" t="inlineStr">
        <is>
          <t>pokemon</t>
        </is>
      </c>
      <c r="AP81" s="18" t="inlineStr">
        <is>
          <t>natural</t>
        </is>
      </c>
      <c r="AQ81" s="18" t="inlineStr">
        <is>
          <t>{"biomes":["#cobblemon:is_arid"],"maxSkyLight":15,"minSkyLight":8}</t>
        </is>
      </c>
      <c r="AR81" s="18" t="inlineStr"/>
      <c r="AS81" s="18" t="inlineStr"/>
      <c r="AT81" s="19" t="inlineStr"/>
    </row>
    <row r="82" ht="32" customHeight="1">
      <c r="A82" s="18" t="inlineStr">
        <is>
          <t>0024_arbok.json::arbok-dark-3::007</t>
        </is>
      </c>
      <c r="B82" s="19" t="inlineStr">
        <is>
          <t>사용</t>
        </is>
      </c>
      <c r="C82" s="18">
        <f>IF(OR(B82&lt;&gt;AK82,M82&lt;&gt;L82,O82&lt;&gt;"",Q82&lt;&gt;"",V82&lt;&gt;1,Y82&lt;&gt;"",AT82&lt;&gt;""),"수정","원본")</f>
        <v/>
      </c>
      <c r="D82" s="18" t="n">
        <v>24</v>
      </c>
      <c r="E82" s="18" t="inlineStr">
        <is>
          <t>아보크</t>
        </is>
      </c>
      <c r="F82" s="18" t="inlineStr">
        <is>
          <t>arbok</t>
        </is>
      </c>
      <c r="G82" s="18" t="inlineStr">
        <is>
          <t>arbok snake_pattern=dark</t>
        </is>
      </c>
      <c r="H82" s="18" t="inlineStr">
        <is>
          <t>snake_pattern=dark</t>
        </is>
      </c>
      <c r="I82" s="18" t="n">
        <v>1</v>
      </c>
      <c r="J82" s="18" t="n"/>
      <c r="K82" s="18" t="n">
        <v>1</v>
      </c>
      <c r="L82" s="18" t="inlineStr">
        <is>
          <t>cobbleventure:generation_1</t>
        </is>
      </c>
      <c r="M82" s="19" t="inlineStr">
        <is>
          <t>cobbleventure:generation_1</t>
        </is>
      </c>
      <c r="N82" s="18" t="inlineStr"/>
      <c r="O82" s="19" t="inlineStr"/>
      <c r="P82" s="18" t="inlineStr">
        <is>
          <t>minecraft:deep_dark</t>
        </is>
      </c>
      <c r="Q82" s="19" t="inlineStr"/>
      <c r="R82" s="18">
        <f>IF(Q82="",P82,Q82)</f>
        <v/>
      </c>
      <c r="S82" s="18" t="inlineStr"/>
      <c r="T82" s="18" t="inlineStr">
        <is>
          <t>common</t>
        </is>
      </c>
      <c r="U82" s="20" t="n">
        <v>0.6</v>
      </c>
      <c r="V82" s="21" t="n">
        <v>1</v>
      </c>
      <c r="W82" s="20">
        <f>IF(OR(U82="",V82=""),U82,U82*V82)</f>
        <v/>
      </c>
      <c r="X82" s="18" t="inlineStr">
        <is>
          <t>22-45</t>
        </is>
      </c>
      <c r="Y82" s="19" t="inlineStr"/>
      <c r="Z82" s="18">
        <f>IF(Y82="",X82,Y82)</f>
        <v/>
      </c>
      <c r="AA82" s="18" t="inlineStr">
        <is>
          <t>grounded</t>
        </is>
      </c>
      <c r="AB82" s="18" t="inlineStr"/>
      <c r="AC82" s="18" t="inlineStr"/>
      <c r="AD82" s="18" t="inlineStr"/>
      <c r="AE82" s="18" t="inlineStr"/>
      <c r="AF82" s="18" t="inlineStr"/>
      <c r="AG82" s="18" t="inlineStr"/>
      <c r="AH82" s="18" t="inlineStr"/>
      <c r="AI82" s="18" t="inlineStr"/>
      <c r="AJ82" s="18" t="inlineStr">
        <is>
          <t>COBBLEVERSE 수정</t>
        </is>
      </c>
      <c r="AK82" s="18" t="inlineStr">
        <is>
          <t>사용</t>
        </is>
      </c>
      <c r="AL82" s="18" t="inlineStr">
        <is>
          <t>COBBLEVERSE 1.7.42 / DP v31</t>
        </is>
      </c>
      <c r="AM82" s="18" t="inlineStr">
        <is>
          <t>data/cobblemon/spawn_pool_world/0024_arbok.json</t>
        </is>
      </c>
      <c r="AN82" s="18" t="inlineStr">
        <is>
          <t>arbok-dark-3</t>
        </is>
      </c>
      <c r="AO82" s="18" t="inlineStr">
        <is>
          <t>pokemon</t>
        </is>
      </c>
      <c r="AP82" s="18" t="inlineStr">
        <is>
          <t>natural</t>
        </is>
      </c>
      <c r="AQ82" s="18" t="inlineStr">
        <is>
          <t>{"biomes":["minecraft:deep_dark"]}</t>
        </is>
      </c>
      <c r="AR82" s="18" t="inlineStr"/>
      <c r="AS82" s="18" t="inlineStr"/>
      <c r="AT82" s="19" t="inlineStr"/>
    </row>
    <row r="83" ht="32" customHeight="1">
      <c r="A83" s="18" t="inlineStr">
        <is>
          <t>0025_pikachu.json::pikachu-1::001</t>
        </is>
      </c>
      <c r="B83" s="19" t="inlineStr">
        <is>
          <t>사용</t>
        </is>
      </c>
      <c r="C83" s="18">
        <f>IF(OR(B83&lt;&gt;AK83,M83&lt;&gt;L83,O83&lt;&gt;"",Q83&lt;&gt;"",V83&lt;&gt;1,Y83&lt;&gt;"",AT83&lt;&gt;""),"수정","원본")</f>
        <v/>
      </c>
      <c r="D83" s="18" t="n">
        <v>25</v>
      </c>
      <c r="E83" s="18" t="inlineStr">
        <is>
          <t>피카츄</t>
        </is>
      </c>
      <c r="F83" s="18" t="inlineStr">
        <is>
          <t>pikachu</t>
        </is>
      </c>
      <c r="G83" s="18" t="inlineStr">
        <is>
          <t>pikachu</t>
        </is>
      </c>
      <c r="H83" s="18" t="inlineStr"/>
      <c r="I83" s="18" t="n">
        <v>1</v>
      </c>
      <c r="J83" s="18" t="n"/>
      <c r="K83" s="18" t="n">
        <v>1</v>
      </c>
      <c r="L83" s="18" t="inlineStr">
        <is>
          <t>cobbleventure:generation_1</t>
        </is>
      </c>
      <c r="M83" s="19" t="inlineStr">
        <is>
          <t>cobbleventure:generation_1</t>
        </is>
      </c>
      <c r="N83" s="18" t="inlineStr">
        <is>
          <t>region_01</t>
        </is>
      </c>
      <c r="O83" s="19" t="inlineStr"/>
      <c r="P83" s="18" t="inlineStr">
        <is>
          <t>#cobblemon:is_forest</t>
        </is>
      </c>
      <c r="Q83" s="19" t="inlineStr"/>
      <c r="R83" s="18">
        <f>IF(Q83="",P83,Q83)</f>
        <v/>
      </c>
      <c r="S83" s="18" t="inlineStr">
        <is>
          <t>#cobblemon:is_spooky</t>
        </is>
      </c>
      <c r="T83" s="18" t="inlineStr">
        <is>
          <t>uncommon</t>
        </is>
      </c>
      <c r="U83" s="20" t="n">
        <v>3.75</v>
      </c>
      <c r="V83" s="21" t="n">
        <v>1</v>
      </c>
      <c r="W83" s="20">
        <f>IF(OR(U83="",V83=""),U83,U83*V83)</f>
        <v/>
      </c>
      <c r="X83" s="18" t="inlineStr">
        <is>
          <t>16-32</t>
        </is>
      </c>
      <c r="Y83" s="19" t="inlineStr"/>
      <c r="Z83" s="18">
        <f>IF(Y83="",X83,Y83)</f>
        <v/>
      </c>
      <c r="AA83" s="18" t="inlineStr">
        <is>
          <t>grounded</t>
        </is>
      </c>
      <c r="AB83" s="18" t="inlineStr"/>
      <c r="AC83" s="18" t="inlineStr"/>
      <c r="AD83" s="18" t="inlineStr"/>
      <c r="AE83" s="18" t="inlineStr">
        <is>
          <t>sky 8-15</t>
        </is>
      </c>
      <c r="AF83" s="18" t="inlineStr"/>
      <c r="AG83" s="18" t="inlineStr"/>
      <c r="AH83" s="18" t="inlineStr"/>
      <c r="AI83" s="18" t="inlineStr"/>
      <c r="AJ83" s="18" t="inlineStr">
        <is>
          <t>COBBLEVERSE 수정</t>
        </is>
      </c>
      <c r="AK83" s="18" t="inlineStr">
        <is>
          <t>사용</t>
        </is>
      </c>
      <c r="AL83" s="18" t="inlineStr">
        <is>
          <t>COBBLEVERSE 1.7.42 / DP v31</t>
        </is>
      </c>
      <c r="AM83" s="18" t="inlineStr">
        <is>
          <t>data/cobblemon/spawn_pool_world/0025_pikachu.json</t>
        </is>
      </c>
      <c r="AN83" s="18" t="inlineStr">
        <is>
          <t>pikachu-1</t>
        </is>
      </c>
      <c r="AO83" s="18" t="inlineStr">
        <is>
          <t>pokemon</t>
        </is>
      </c>
      <c r="AP83" s="18" t="inlineStr">
        <is>
          <t>natural</t>
        </is>
      </c>
      <c r="AQ83" s="18" t="inlineStr">
        <is>
          <t>{"biomes":["#cobblemon:is_forest"],"maxSkyLight":15,"minSkyLight":8}</t>
        </is>
      </c>
      <c r="AR83" s="18" t="inlineStr">
        <is>
          <t>{"biomes":["#cobblemon:is_spooky"]}</t>
        </is>
      </c>
      <c r="AS83" s="18" t="inlineStr">
        <is>
          <t>{"weightMultiplier":{"condition":{"isThundering":true},"multiplier":2.0}}</t>
        </is>
      </c>
      <c r="AT83" s="19" t="inlineStr"/>
    </row>
    <row r="84" ht="32" customHeight="1">
      <c r="A84" s="18" t="inlineStr">
        <is>
          <t>0025_pikachu.json::pikachu-alola-2::002</t>
        </is>
      </c>
      <c r="B84" s="19" t="inlineStr">
        <is>
          <t>사용</t>
        </is>
      </c>
      <c r="C84" s="18">
        <f>IF(OR(B84&lt;&gt;AK84,M84&lt;&gt;L84,O84&lt;&gt;"",Q84&lt;&gt;"",V84&lt;&gt;1,Y84&lt;&gt;"",AT84&lt;&gt;""),"수정","원본")</f>
        <v/>
      </c>
      <c r="D84" s="18" t="n">
        <v>25</v>
      </c>
      <c r="E84" s="18" t="inlineStr">
        <is>
          <t>피카츄</t>
        </is>
      </c>
      <c r="F84" s="18" t="inlineStr">
        <is>
          <t>pikachu</t>
        </is>
      </c>
      <c r="G84" s="18" t="inlineStr">
        <is>
          <t>pikachu region_bias=alola</t>
        </is>
      </c>
      <c r="H84" s="18" t="inlineStr">
        <is>
          <t>region_bias=alola</t>
        </is>
      </c>
      <c r="I84" s="18" t="n">
        <v>1</v>
      </c>
      <c r="J84" s="18" t="n">
        <v>7</v>
      </c>
      <c r="K84" s="18" t="n">
        <v>7</v>
      </c>
      <c r="L84" s="18" t="inlineStr">
        <is>
          <t>cobbleventure:generation_7</t>
        </is>
      </c>
      <c r="M84" s="19" t="inlineStr">
        <is>
          <t>cobbleventure:generation_7</t>
        </is>
      </c>
      <c r="N84" s="18" t="inlineStr"/>
      <c r="O84" s="19" t="inlineStr"/>
      <c r="P84" s="18" t="inlineStr">
        <is>
          <t>#cobblemon:is_beach; #cobblemon:is_tropical_island</t>
        </is>
      </c>
      <c r="Q84" s="19" t="inlineStr"/>
      <c r="R84" s="18">
        <f>IF(Q84="",P84,Q84)</f>
        <v/>
      </c>
      <c r="S84" s="18" t="inlineStr">
        <is>
          <t>#cobblemon:is_freezing</t>
        </is>
      </c>
      <c r="T84" s="18" t="inlineStr">
        <is>
          <t>uncommon</t>
        </is>
      </c>
      <c r="U84" s="20" t="n">
        <v>1.8</v>
      </c>
      <c r="V84" s="21" t="n">
        <v>1</v>
      </c>
      <c r="W84" s="20">
        <f>IF(OR(U84="",V84=""),U84,U84*V84)</f>
        <v/>
      </c>
      <c r="X84" s="18" t="inlineStr">
        <is>
          <t>16-32</t>
        </is>
      </c>
      <c r="Y84" s="19" t="inlineStr"/>
      <c r="Z84" s="18">
        <f>IF(Y84="",X84,Y84)</f>
        <v/>
      </c>
      <c r="AA84" s="18" t="inlineStr">
        <is>
          <t>grounded</t>
        </is>
      </c>
      <c r="AB84" s="18" t="inlineStr"/>
      <c r="AC84" s="18" t="inlineStr"/>
      <c r="AD84" s="18" t="inlineStr"/>
      <c r="AE84" s="18" t="inlineStr">
        <is>
          <t>sky 8-15</t>
        </is>
      </c>
      <c r="AF84" s="18" t="inlineStr"/>
      <c r="AG84" s="18" t="inlineStr"/>
      <c r="AH84" s="18" t="inlineStr"/>
      <c r="AI84" s="18" t="inlineStr"/>
      <c r="AJ84" s="18" t="inlineStr">
        <is>
          <t>COBBLEVERSE 수정</t>
        </is>
      </c>
      <c r="AK84" s="18" t="inlineStr">
        <is>
          <t>사용</t>
        </is>
      </c>
      <c r="AL84" s="18" t="inlineStr">
        <is>
          <t>COBBLEVERSE 1.7.42 / DP v31</t>
        </is>
      </c>
      <c r="AM84" s="18" t="inlineStr">
        <is>
          <t>data/cobblemon/spawn_pool_world/0025_pikachu.json</t>
        </is>
      </c>
      <c r="AN84" s="18" t="inlineStr">
        <is>
          <t>pikachu-alola-2</t>
        </is>
      </c>
      <c r="AO84" s="18" t="inlineStr">
        <is>
          <t>pokemon</t>
        </is>
      </c>
      <c r="AP84" s="18" t="inlineStr">
        <is>
          <t>natural</t>
        </is>
      </c>
      <c r="AQ84" s="18" t="inlineStr">
        <is>
          <t>{"biomes":["#cobblemon:is_beach","#cobblemon:is_tropical_island"],"maxSkyLight":15,"minSkyLight":8}</t>
        </is>
      </c>
      <c r="AR84" s="18" t="inlineStr">
        <is>
          <t>{"biomes":["#cobblemon:is_freezing"]}</t>
        </is>
      </c>
      <c r="AS84" s="18" t="inlineStr">
        <is>
          <t>{"weightMultiplier":{"condition":{"isThundering":true},"multiplier":5.0}}</t>
        </is>
      </c>
      <c r="AT84" s="19" t="inlineStr"/>
    </row>
    <row r="85" ht="32" customHeight="1">
      <c r="A85" s="18" t="inlineStr">
        <is>
          <t>0025_pikachu.json::pikachu-cosplay-3::003</t>
        </is>
      </c>
      <c r="B85" s="19" t="inlineStr">
        <is>
          <t>사용</t>
        </is>
      </c>
      <c r="C85" s="18">
        <f>IF(OR(B85&lt;&gt;AK85,M85&lt;&gt;L85,O85&lt;&gt;"",Q85&lt;&gt;"",V85&lt;&gt;1,Y85&lt;&gt;"",AT85&lt;&gt;""),"수정","원본")</f>
        <v/>
      </c>
      <c r="D85" s="18" t="n">
        <v>25</v>
      </c>
      <c r="E85" s="18" t="inlineStr">
        <is>
          <t>피카츄</t>
        </is>
      </c>
      <c r="F85" s="18" t="inlineStr">
        <is>
          <t>pikachu</t>
        </is>
      </c>
      <c r="G85" s="18" t="inlineStr">
        <is>
          <t>pikachu cosplay=belle</t>
        </is>
      </c>
      <c r="H85" s="18" t="inlineStr">
        <is>
          <t>cosplay=belle</t>
        </is>
      </c>
      <c r="I85" s="18" t="n">
        <v>1</v>
      </c>
      <c r="J85" s="18" t="n"/>
      <c r="K85" s="18" t="n">
        <v>1</v>
      </c>
      <c r="L85" s="18" t="inlineStr">
        <is>
          <t>cobbleventure:generation_1</t>
        </is>
      </c>
      <c r="M85" s="19" t="inlineStr">
        <is>
          <t>cobbleventure:generation_1</t>
        </is>
      </c>
      <c r="N85" s="18" t="inlineStr"/>
      <c r="O85" s="19" t="inlineStr"/>
      <c r="P85" s="18" t="inlineStr">
        <is>
          <t>minecraft:sunflower_plains</t>
        </is>
      </c>
      <c r="Q85" s="19" t="inlineStr"/>
      <c r="R85" s="18">
        <f>IF(Q85="",P85,Q85)</f>
        <v/>
      </c>
      <c r="S85" s="18" t="inlineStr"/>
      <c r="T85" s="18" t="inlineStr">
        <is>
          <t>rare</t>
        </is>
      </c>
      <c r="U85" s="20" t="n">
        <v>2.3</v>
      </c>
      <c r="V85" s="21" t="n">
        <v>1</v>
      </c>
      <c r="W85" s="20">
        <f>IF(OR(U85="",V85=""),U85,U85*V85)</f>
        <v/>
      </c>
      <c r="X85" s="18" t="inlineStr">
        <is>
          <t>22-44</t>
        </is>
      </c>
      <c r="Y85" s="19" t="inlineStr"/>
      <c r="Z85" s="18">
        <f>IF(Y85="",X85,Y85)</f>
        <v/>
      </c>
      <c r="AA85" s="18" t="inlineStr">
        <is>
          <t>grounded</t>
        </is>
      </c>
      <c r="AB85" s="18" t="inlineStr"/>
      <c r="AC85" s="18" t="inlineStr"/>
      <c r="AD85" s="18" t="inlineStr"/>
      <c r="AE85" s="18" t="inlineStr">
        <is>
          <t>sky 8-15</t>
        </is>
      </c>
      <c r="AF85" s="18" t="inlineStr"/>
      <c r="AG85" s="18" t="inlineStr"/>
      <c r="AH85" s="18" t="inlineStr"/>
      <c r="AI85" s="18" t="inlineStr"/>
      <c r="AJ85" s="18" t="inlineStr">
        <is>
          <t>COBBLEVERSE 수정</t>
        </is>
      </c>
      <c r="AK85" s="18" t="inlineStr">
        <is>
          <t>사용</t>
        </is>
      </c>
      <c r="AL85" s="18" t="inlineStr">
        <is>
          <t>COBBLEVERSE 1.7.42 / DP v31</t>
        </is>
      </c>
      <c r="AM85" s="18" t="inlineStr">
        <is>
          <t>data/cobblemon/spawn_pool_world/0025_pikachu.json</t>
        </is>
      </c>
      <c r="AN85" s="18" t="inlineStr">
        <is>
          <t>pikachu-cosplay-3</t>
        </is>
      </c>
      <c r="AO85" s="18" t="inlineStr">
        <is>
          <t>pokemon</t>
        </is>
      </c>
      <c r="AP85" s="18" t="inlineStr">
        <is>
          <t>natural</t>
        </is>
      </c>
      <c r="AQ85" s="18" t="inlineStr">
        <is>
          <t>{"biomes":["minecraft:sunflower_plains"],"maxSkyLight":15,"minSkyLight":8}</t>
        </is>
      </c>
      <c r="AR85" s="18" t="inlineStr"/>
      <c r="AS85" s="18" t="inlineStr"/>
      <c r="AT85" s="19" t="inlineStr"/>
    </row>
    <row r="86" ht="32" customHeight="1">
      <c r="A86" s="18" t="inlineStr">
        <is>
          <t>0025_pikachu.json::pikachu-cosplay-4::004</t>
        </is>
      </c>
      <c r="B86" s="19" t="inlineStr">
        <is>
          <t>사용</t>
        </is>
      </c>
      <c r="C86" s="18">
        <f>IF(OR(B86&lt;&gt;AK86,M86&lt;&gt;L86,O86&lt;&gt;"",Q86&lt;&gt;"",V86&lt;&gt;1,Y86&lt;&gt;"",AT86&lt;&gt;""),"수정","원본")</f>
        <v/>
      </c>
      <c r="D86" s="18" t="n">
        <v>25</v>
      </c>
      <c r="E86" s="18" t="inlineStr">
        <is>
          <t>피카츄</t>
        </is>
      </c>
      <c r="F86" s="18" t="inlineStr">
        <is>
          <t>pikachu</t>
        </is>
      </c>
      <c r="G86" s="18" t="inlineStr">
        <is>
          <t>pikachu cosplay=libre</t>
        </is>
      </c>
      <c r="H86" s="18" t="inlineStr">
        <is>
          <t>cosplay=libre</t>
        </is>
      </c>
      <c r="I86" s="18" t="n">
        <v>1</v>
      </c>
      <c r="J86" s="18" t="n"/>
      <c r="K86" s="18" t="n">
        <v>1</v>
      </c>
      <c r="L86" s="18" t="inlineStr">
        <is>
          <t>cobbleventure:generation_1</t>
        </is>
      </c>
      <c r="M86" s="19" t="inlineStr">
        <is>
          <t>cobbleventure:generation_1</t>
        </is>
      </c>
      <c r="N86" s="18" t="inlineStr"/>
      <c r="O86" s="19" t="inlineStr"/>
      <c r="P86" s="18" t="inlineStr">
        <is>
          <t>#minecraft:is_savanna</t>
        </is>
      </c>
      <c r="Q86" s="19" t="inlineStr"/>
      <c r="R86" s="18">
        <f>IF(Q86="",P86,Q86)</f>
        <v/>
      </c>
      <c r="S86" s="18" t="inlineStr"/>
      <c r="T86" s="18" t="inlineStr">
        <is>
          <t>rare</t>
        </is>
      </c>
      <c r="U86" s="20" t="n">
        <v>2.3</v>
      </c>
      <c r="V86" s="21" t="n">
        <v>1</v>
      </c>
      <c r="W86" s="20">
        <f>IF(OR(U86="",V86=""),U86,U86*V86)</f>
        <v/>
      </c>
      <c r="X86" s="18" t="inlineStr">
        <is>
          <t>22-44</t>
        </is>
      </c>
      <c r="Y86" s="19" t="inlineStr"/>
      <c r="Z86" s="18">
        <f>IF(Y86="",X86,Y86)</f>
        <v/>
      </c>
      <c r="AA86" s="18" t="inlineStr">
        <is>
          <t>grounded</t>
        </is>
      </c>
      <c r="AB86" s="18" t="inlineStr"/>
      <c r="AC86" s="18" t="inlineStr"/>
      <c r="AD86" s="18" t="inlineStr"/>
      <c r="AE86" s="18" t="inlineStr">
        <is>
          <t>sky 8-15</t>
        </is>
      </c>
      <c r="AF86" s="18" t="inlineStr"/>
      <c r="AG86" s="18" t="inlineStr"/>
      <c r="AH86" s="18" t="inlineStr"/>
      <c r="AI86" s="18" t="inlineStr"/>
      <c r="AJ86" s="18" t="inlineStr">
        <is>
          <t>COBBLEVERSE 수정</t>
        </is>
      </c>
      <c r="AK86" s="18" t="inlineStr">
        <is>
          <t>사용</t>
        </is>
      </c>
      <c r="AL86" s="18" t="inlineStr">
        <is>
          <t>COBBLEVERSE 1.7.42 / DP v31</t>
        </is>
      </c>
      <c r="AM86" s="18" t="inlineStr">
        <is>
          <t>data/cobblemon/spawn_pool_world/0025_pikachu.json</t>
        </is>
      </c>
      <c r="AN86" s="18" t="inlineStr">
        <is>
          <t>pikachu-cosplay-4</t>
        </is>
      </c>
      <c r="AO86" s="18" t="inlineStr">
        <is>
          <t>pokemon</t>
        </is>
      </c>
      <c r="AP86" s="18" t="inlineStr">
        <is>
          <t>natural</t>
        </is>
      </c>
      <c r="AQ86" s="18" t="inlineStr">
        <is>
          <t>{"biomes":["#minecraft:is_savanna"],"maxSkyLight":15,"minSkyLight":8}</t>
        </is>
      </c>
      <c r="AR86" s="18" t="inlineStr"/>
      <c r="AS86" s="18" t="inlineStr"/>
      <c r="AT86" s="19" t="inlineStr"/>
    </row>
    <row r="87" ht="32" customHeight="1">
      <c r="A87" s="18" t="inlineStr">
        <is>
          <t>0025_pikachu.json::pikachu-cosplay-5::005</t>
        </is>
      </c>
      <c r="B87" s="19" t="inlineStr">
        <is>
          <t>사용</t>
        </is>
      </c>
      <c r="C87" s="18">
        <f>IF(OR(B87&lt;&gt;AK87,M87&lt;&gt;L87,O87&lt;&gt;"",Q87&lt;&gt;"",V87&lt;&gt;1,Y87&lt;&gt;"",AT87&lt;&gt;""),"수정","원본")</f>
        <v/>
      </c>
      <c r="D87" s="18" t="n">
        <v>25</v>
      </c>
      <c r="E87" s="18" t="inlineStr">
        <is>
          <t>피카츄</t>
        </is>
      </c>
      <c r="F87" s="18" t="inlineStr">
        <is>
          <t>pikachu</t>
        </is>
      </c>
      <c r="G87" s="18" t="inlineStr">
        <is>
          <t>pikachu cosplay=phd</t>
        </is>
      </c>
      <c r="H87" s="18" t="inlineStr">
        <is>
          <t>cosplay=phd</t>
        </is>
      </c>
      <c r="I87" s="18" t="n">
        <v>1</v>
      </c>
      <c r="J87" s="18" t="n"/>
      <c r="K87" s="18" t="n">
        <v>1</v>
      </c>
      <c r="L87" s="18" t="inlineStr">
        <is>
          <t>cobbleventure:generation_1</t>
        </is>
      </c>
      <c r="M87" s="19" t="inlineStr">
        <is>
          <t>cobbleventure:generation_1</t>
        </is>
      </c>
      <c r="N87" s="18" t="inlineStr"/>
      <c r="O87" s="19" t="inlineStr"/>
      <c r="P87" s="18" t="inlineStr">
        <is>
          <t>#minecraft:is_jungle</t>
        </is>
      </c>
      <c r="Q87" s="19" t="inlineStr"/>
      <c r="R87" s="18">
        <f>IF(Q87="",P87,Q87)</f>
        <v/>
      </c>
      <c r="S87" s="18" t="inlineStr"/>
      <c r="T87" s="18" t="inlineStr">
        <is>
          <t>rare</t>
        </is>
      </c>
      <c r="U87" s="20" t="n">
        <v>2.3</v>
      </c>
      <c r="V87" s="21" t="n">
        <v>1</v>
      </c>
      <c r="W87" s="20">
        <f>IF(OR(U87="",V87=""),U87,U87*V87)</f>
        <v/>
      </c>
      <c r="X87" s="18" t="inlineStr">
        <is>
          <t>22-44</t>
        </is>
      </c>
      <c r="Y87" s="19" t="inlineStr"/>
      <c r="Z87" s="18">
        <f>IF(Y87="",X87,Y87)</f>
        <v/>
      </c>
      <c r="AA87" s="18" t="inlineStr">
        <is>
          <t>grounded</t>
        </is>
      </c>
      <c r="AB87" s="18" t="inlineStr"/>
      <c r="AC87" s="18" t="inlineStr"/>
      <c r="AD87" s="18" t="inlineStr"/>
      <c r="AE87" s="18" t="inlineStr">
        <is>
          <t>sky 8-15</t>
        </is>
      </c>
      <c r="AF87" s="18" t="inlineStr"/>
      <c r="AG87" s="18" t="inlineStr"/>
      <c r="AH87" s="18" t="inlineStr"/>
      <c r="AI87" s="18" t="inlineStr"/>
      <c r="AJ87" s="18" t="inlineStr">
        <is>
          <t>COBBLEVERSE 수정</t>
        </is>
      </c>
      <c r="AK87" s="18" t="inlineStr">
        <is>
          <t>사용</t>
        </is>
      </c>
      <c r="AL87" s="18" t="inlineStr">
        <is>
          <t>COBBLEVERSE 1.7.42 / DP v31</t>
        </is>
      </c>
      <c r="AM87" s="18" t="inlineStr">
        <is>
          <t>data/cobblemon/spawn_pool_world/0025_pikachu.json</t>
        </is>
      </c>
      <c r="AN87" s="18" t="inlineStr">
        <is>
          <t>pikachu-cosplay-5</t>
        </is>
      </c>
      <c r="AO87" s="18" t="inlineStr">
        <is>
          <t>pokemon</t>
        </is>
      </c>
      <c r="AP87" s="18" t="inlineStr">
        <is>
          <t>natural</t>
        </is>
      </c>
      <c r="AQ87" s="18" t="inlineStr">
        <is>
          <t>{"biomes":["#minecraft:is_jungle"],"maxSkyLight":15,"minSkyLight":8}</t>
        </is>
      </c>
      <c r="AR87" s="18" t="inlineStr"/>
      <c r="AS87" s="18" t="inlineStr"/>
      <c r="AT87" s="19" t="inlineStr"/>
    </row>
    <row r="88" ht="32" customHeight="1">
      <c r="A88" s="18" t="inlineStr">
        <is>
          <t>0025_pikachu.json::pikachu-cosplay-6::006</t>
        </is>
      </c>
      <c r="B88" s="19" t="inlineStr">
        <is>
          <t>사용</t>
        </is>
      </c>
      <c r="C88" s="18">
        <f>IF(OR(B88&lt;&gt;AK88,M88&lt;&gt;L88,O88&lt;&gt;"",Q88&lt;&gt;"",V88&lt;&gt;1,Y88&lt;&gt;"",AT88&lt;&gt;""),"수정","원본")</f>
        <v/>
      </c>
      <c r="D88" s="18" t="n">
        <v>25</v>
      </c>
      <c r="E88" s="18" t="inlineStr">
        <is>
          <t>피카츄</t>
        </is>
      </c>
      <c r="F88" s="18" t="inlineStr">
        <is>
          <t>pikachu</t>
        </is>
      </c>
      <c r="G88" s="18" t="inlineStr">
        <is>
          <t>pikachu cosplay=pop_star</t>
        </is>
      </c>
      <c r="H88" s="18" t="inlineStr">
        <is>
          <t>cosplay=pop_star</t>
        </is>
      </c>
      <c r="I88" s="18" t="n">
        <v>1</v>
      </c>
      <c r="J88" s="18" t="n"/>
      <c r="K88" s="18" t="n">
        <v>1</v>
      </c>
      <c r="L88" s="18" t="inlineStr">
        <is>
          <t>cobbleventure:generation_1</t>
        </is>
      </c>
      <c r="M88" s="19" t="inlineStr">
        <is>
          <t>cobbleventure:generation_1</t>
        </is>
      </c>
      <c r="N88" s="18" t="inlineStr"/>
      <c r="O88" s="19" t="inlineStr"/>
      <c r="P88" s="18" t="inlineStr">
        <is>
          <t>minecraft:cherry_grove</t>
        </is>
      </c>
      <c r="Q88" s="19" t="inlineStr"/>
      <c r="R88" s="18">
        <f>IF(Q88="",P88,Q88)</f>
        <v/>
      </c>
      <c r="S88" s="18" t="inlineStr"/>
      <c r="T88" s="18" t="inlineStr">
        <is>
          <t>rare</t>
        </is>
      </c>
      <c r="U88" s="20" t="n">
        <v>2.3</v>
      </c>
      <c r="V88" s="21" t="n">
        <v>1</v>
      </c>
      <c r="W88" s="20">
        <f>IF(OR(U88="",V88=""),U88,U88*V88)</f>
        <v/>
      </c>
      <c r="X88" s="18" t="inlineStr">
        <is>
          <t>22-44</t>
        </is>
      </c>
      <c r="Y88" s="19" t="inlineStr"/>
      <c r="Z88" s="18">
        <f>IF(Y88="",X88,Y88)</f>
        <v/>
      </c>
      <c r="AA88" s="18" t="inlineStr">
        <is>
          <t>grounded</t>
        </is>
      </c>
      <c r="AB88" s="18" t="inlineStr"/>
      <c r="AC88" s="18" t="inlineStr"/>
      <c r="AD88" s="18" t="inlineStr"/>
      <c r="AE88" s="18" t="inlineStr">
        <is>
          <t>sky 8-15</t>
        </is>
      </c>
      <c r="AF88" s="18" t="inlineStr"/>
      <c r="AG88" s="18" t="inlineStr"/>
      <c r="AH88" s="18" t="inlineStr"/>
      <c r="AI88" s="18" t="inlineStr"/>
      <c r="AJ88" s="18" t="inlineStr">
        <is>
          <t>COBBLEVERSE 수정</t>
        </is>
      </c>
      <c r="AK88" s="18" t="inlineStr">
        <is>
          <t>사용</t>
        </is>
      </c>
      <c r="AL88" s="18" t="inlineStr">
        <is>
          <t>COBBLEVERSE 1.7.42 / DP v31</t>
        </is>
      </c>
      <c r="AM88" s="18" t="inlineStr">
        <is>
          <t>data/cobblemon/spawn_pool_world/0025_pikachu.json</t>
        </is>
      </c>
      <c r="AN88" s="18" t="inlineStr">
        <is>
          <t>pikachu-cosplay-6</t>
        </is>
      </c>
      <c r="AO88" s="18" t="inlineStr">
        <is>
          <t>pokemon</t>
        </is>
      </c>
      <c r="AP88" s="18" t="inlineStr">
        <is>
          <t>natural</t>
        </is>
      </c>
      <c r="AQ88" s="18" t="inlineStr">
        <is>
          <t>{"biomes":["minecraft:cherry_grove"],"maxSkyLight":15,"minSkyLight":8}</t>
        </is>
      </c>
      <c r="AR88" s="18" t="inlineStr"/>
      <c r="AS88" s="18" t="inlineStr"/>
      <c r="AT88" s="19" t="inlineStr"/>
    </row>
    <row r="89" ht="32" customHeight="1">
      <c r="A89" s="18" t="inlineStr">
        <is>
          <t>0025_pikachu.json::pikachu-cosplay-7::007</t>
        </is>
      </c>
      <c r="B89" s="19" t="inlineStr">
        <is>
          <t>사용</t>
        </is>
      </c>
      <c r="C89" s="18">
        <f>IF(OR(B89&lt;&gt;AK89,M89&lt;&gt;L89,O89&lt;&gt;"",Q89&lt;&gt;"",V89&lt;&gt;1,Y89&lt;&gt;"",AT89&lt;&gt;""),"수정","원본")</f>
        <v/>
      </c>
      <c r="D89" s="18" t="n">
        <v>25</v>
      </c>
      <c r="E89" s="18" t="inlineStr">
        <is>
          <t>피카츄</t>
        </is>
      </c>
      <c r="F89" s="18" t="inlineStr">
        <is>
          <t>pikachu</t>
        </is>
      </c>
      <c r="G89" s="18" t="inlineStr">
        <is>
          <t>pikachu cosplay=rock_star</t>
        </is>
      </c>
      <c r="H89" s="18" t="inlineStr">
        <is>
          <t>cosplay=rock_star</t>
        </is>
      </c>
      <c r="I89" s="18" t="n">
        <v>1</v>
      </c>
      <c r="J89" s="18" t="n"/>
      <c r="K89" s="18" t="n">
        <v>1</v>
      </c>
      <c r="L89" s="18" t="inlineStr">
        <is>
          <t>cobbleventure:generation_1</t>
        </is>
      </c>
      <c r="M89" s="19" t="inlineStr">
        <is>
          <t>cobbleventure:generation_1</t>
        </is>
      </c>
      <c r="N89" s="18" t="inlineStr"/>
      <c r="O89" s="19" t="inlineStr"/>
      <c r="P89" s="18" t="inlineStr">
        <is>
          <t>#minecraft:is_badlands</t>
        </is>
      </c>
      <c r="Q89" s="19" t="inlineStr"/>
      <c r="R89" s="18">
        <f>IF(Q89="",P89,Q89)</f>
        <v/>
      </c>
      <c r="S89" s="18" t="inlineStr"/>
      <c r="T89" s="18" t="inlineStr">
        <is>
          <t>rare</t>
        </is>
      </c>
      <c r="U89" s="20" t="n">
        <v>2.3</v>
      </c>
      <c r="V89" s="21" t="n">
        <v>1</v>
      </c>
      <c r="W89" s="20">
        <f>IF(OR(U89="",V89=""),U89,U89*V89)</f>
        <v/>
      </c>
      <c r="X89" s="18" t="inlineStr">
        <is>
          <t>22-44</t>
        </is>
      </c>
      <c r="Y89" s="19" t="inlineStr"/>
      <c r="Z89" s="18">
        <f>IF(Y89="",X89,Y89)</f>
        <v/>
      </c>
      <c r="AA89" s="18" t="inlineStr">
        <is>
          <t>grounded</t>
        </is>
      </c>
      <c r="AB89" s="18" t="inlineStr"/>
      <c r="AC89" s="18" t="inlineStr"/>
      <c r="AD89" s="18" t="inlineStr"/>
      <c r="AE89" s="18" t="inlineStr">
        <is>
          <t>sky 8-15</t>
        </is>
      </c>
      <c r="AF89" s="18" t="inlineStr"/>
      <c r="AG89" s="18" t="inlineStr"/>
      <c r="AH89" s="18" t="inlineStr"/>
      <c r="AI89" s="18" t="inlineStr"/>
      <c r="AJ89" s="18" t="inlineStr">
        <is>
          <t>COBBLEVERSE 수정</t>
        </is>
      </c>
      <c r="AK89" s="18" t="inlineStr">
        <is>
          <t>사용</t>
        </is>
      </c>
      <c r="AL89" s="18" t="inlineStr">
        <is>
          <t>COBBLEVERSE 1.7.42 / DP v31</t>
        </is>
      </c>
      <c r="AM89" s="18" t="inlineStr">
        <is>
          <t>data/cobblemon/spawn_pool_world/0025_pikachu.json</t>
        </is>
      </c>
      <c r="AN89" s="18" t="inlineStr">
        <is>
          <t>pikachu-cosplay-7</t>
        </is>
      </c>
      <c r="AO89" s="18" t="inlineStr">
        <is>
          <t>pokemon</t>
        </is>
      </c>
      <c r="AP89" s="18" t="inlineStr">
        <is>
          <t>natural</t>
        </is>
      </c>
      <c r="AQ89" s="18" t="inlineStr">
        <is>
          <t>{"biomes":["#minecraft:is_badlands"],"maxSkyLight":15,"minSkyLight":8}</t>
        </is>
      </c>
      <c r="AR89" s="18" t="inlineStr"/>
      <c r="AS89" s="18" t="inlineStr"/>
      <c r="AT89" s="19" t="inlineStr"/>
    </row>
    <row r="90" ht="32" customHeight="1">
      <c r="A90" s="18" t="inlineStr">
        <is>
          <t>0025_pikachu_cosmetic.json::pikachu-cosmetic::001</t>
        </is>
      </c>
      <c r="B90" s="19" t="inlineStr">
        <is>
          <t>사용</t>
        </is>
      </c>
      <c r="C90" s="18">
        <f>IF(OR(B90&lt;&gt;AK90,M90&lt;&gt;L90,O90&lt;&gt;"",Q90&lt;&gt;"",V90&lt;&gt;1,Y90&lt;&gt;"",AT90&lt;&gt;""),"수정","원본")</f>
        <v/>
      </c>
      <c r="D90" s="18" t="n">
        <v>25</v>
      </c>
      <c r="E90" s="18" t="inlineStr">
        <is>
          <t>피카츄</t>
        </is>
      </c>
      <c r="F90" s="18" t="inlineStr">
        <is>
          <t>pikachu</t>
        </is>
      </c>
      <c r="G90" s="18" t="inlineStr">
        <is>
          <t>pikachu cosplay=cosplay</t>
        </is>
      </c>
      <c r="H90" s="18" t="inlineStr">
        <is>
          <t>cosplay=cosplay</t>
        </is>
      </c>
      <c r="I90" s="18" t="n">
        <v>1</v>
      </c>
      <c r="J90" s="18" t="n"/>
      <c r="K90" s="18" t="n">
        <v>1</v>
      </c>
      <c r="L90" s="18" t="inlineStr">
        <is>
          <t>cobbleventure:generation_1</t>
        </is>
      </c>
      <c r="M90" s="19" t="inlineStr">
        <is>
          <t>cobbleventure:generation_1</t>
        </is>
      </c>
      <c r="N90" s="18" t="inlineStr"/>
      <c r="O90" s="19" t="inlineStr"/>
      <c r="P90" s="18" t="inlineStr">
        <is>
          <t>cobbleverse:not_spawn</t>
        </is>
      </c>
      <c r="Q90" s="19" t="inlineStr"/>
      <c r="R90" s="18">
        <f>IF(Q90="",P90,Q90)</f>
        <v/>
      </c>
      <c r="S90" s="18" t="inlineStr"/>
      <c r="T90" s="18" t="inlineStr">
        <is>
          <t>uncommon</t>
        </is>
      </c>
      <c r="U90" s="20" t="n">
        <v>0</v>
      </c>
      <c r="V90" s="21" t="n">
        <v>1</v>
      </c>
      <c r="W90" s="20">
        <f>IF(OR(U90="",V90=""),U90,U90*V90)</f>
        <v/>
      </c>
      <c r="X90" s="18" t="inlineStr">
        <is>
          <t>1-10</t>
        </is>
      </c>
      <c r="Y90" s="19" t="inlineStr"/>
      <c r="Z90" s="18">
        <f>IF(Y90="",X90,Y90)</f>
        <v/>
      </c>
      <c r="AA90" s="18" t="inlineStr">
        <is>
          <t>grounded</t>
        </is>
      </c>
      <c r="AB90" s="18" t="inlineStr"/>
      <c r="AC90" s="18" t="inlineStr"/>
      <c r="AD90" s="18" t="inlineStr"/>
      <c r="AE90" s="18" t="inlineStr"/>
      <c r="AF90" s="18" t="inlineStr"/>
      <c r="AG90" s="18" t="inlineStr"/>
      <c r="AH90" s="18" t="inlineStr"/>
      <c r="AI90" s="18" t="inlineStr"/>
      <c r="AJ90" s="18" t="inlineStr">
        <is>
          <t>COBBLEVERSE 추가</t>
        </is>
      </c>
      <c r="AK90" s="18" t="inlineStr">
        <is>
          <t>사용</t>
        </is>
      </c>
      <c r="AL90" s="18" t="inlineStr">
        <is>
          <t>COBBLEVERSE 1.7.42 / DP v31</t>
        </is>
      </c>
      <c r="AM90" s="18" t="inlineStr">
        <is>
          <t>data/cobblemon/spawn_pool_world/0025_pikachu_cosmetic.json</t>
        </is>
      </c>
      <c r="AN90" s="18" t="inlineStr">
        <is>
          <t>pikachu-cosmetic</t>
        </is>
      </c>
      <c r="AO90" s="18" t="inlineStr">
        <is>
          <t>pokemon</t>
        </is>
      </c>
      <c r="AP90" s="18" t="inlineStr"/>
      <c r="AQ90" s="18" t="inlineStr">
        <is>
          <t>{"biomes":["cobbleverse:not_spawn"]}</t>
        </is>
      </c>
      <c r="AR90" s="18" t="inlineStr"/>
      <c r="AS90" s="18" t="inlineStr"/>
      <c r="AT90" s="19" t="inlineStr"/>
    </row>
    <row r="91" ht="32" customHeight="1">
      <c r="A91" s="18" t="inlineStr">
        <is>
          <t>0026_raichu.json::raichu-1::001</t>
        </is>
      </c>
      <c r="B91" s="19" t="inlineStr">
        <is>
          <t>사용</t>
        </is>
      </c>
      <c r="C91" s="18">
        <f>IF(OR(B91&lt;&gt;AK91,M91&lt;&gt;L91,O91&lt;&gt;"",Q91&lt;&gt;"",V91&lt;&gt;1,Y91&lt;&gt;"",AT91&lt;&gt;""),"수정","원본")</f>
        <v/>
      </c>
      <c r="D91" s="18" t="n">
        <v>26</v>
      </c>
      <c r="E91" s="18" t="inlineStr">
        <is>
          <t>라이츄</t>
        </is>
      </c>
      <c r="F91" s="18" t="inlineStr">
        <is>
          <t>raichu</t>
        </is>
      </c>
      <c r="G91" s="18" t="inlineStr">
        <is>
          <t>raichu</t>
        </is>
      </c>
      <c r="H91" s="18" t="inlineStr"/>
      <c r="I91" s="18" t="n">
        <v>1</v>
      </c>
      <c r="J91" s="18" t="n"/>
      <c r="K91" s="18" t="n">
        <v>1</v>
      </c>
      <c r="L91" s="18" t="inlineStr">
        <is>
          <t>cobbleventure:generation_1</t>
        </is>
      </c>
      <c r="M91" s="19" t="inlineStr">
        <is>
          <t>cobbleventure:generation_1</t>
        </is>
      </c>
      <c r="N91" s="18" t="inlineStr">
        <is>
          <t>region_01</t>
        </is>
      </c>
      <c r="O91" s="19" t="inlineStr"/>
      <c r="P91" s="18" t="inlineStr">
        <is>
          <t>#cobblemon:is_forest</t>
        </is>
      </c>
      <c r="Q91" s="19" t="inlineStr"/>
      <c r="R91" s="18">
        <f>IF(Q91="",P91,Q91)</f>
        <v/>
      </c>
      <c r="S91" s="18" t="inlineStr">
        <is>
          <t>#cobblemon:is_spooky</t>
        </is>
      </c>
      <c r="T91" s="18" t="inlineStr">
        <is>
          <t>uncommon</t>
        </is>
      </c>
      <c r="U91" s="20" t="n">
        <v>0.048</v>
      </c>
      <c r="V91" s="21" t="n">
        <v>1</v>
      </c>
      <c r="W91" s="20">
        <f>IF(OR(U91="",V91=""),U91,U91*V91)</f>
        <v/>
      </c>
      <c r="X91" s="18" t="inlineStr">
        <is>
          <t>27-49</t>
        </is>
      </c>
      <c r="Y91" s="19" t="inlineStr"/>
      <c r="Z91" s="18">
        <f>IF(Y91="",X91,Y91)</f>
        <v/>
      </c>
      <c r="AA91" s="18" t="inlineStr">
        <is>
          <t>grounded</t>
        </is>
      </c>
      <c r="AB91" s="18" t="inlineStr"/>
      <c r="AC91" s="18" t="inlineStr"/>
      <c r="AD91" s="18" t="inlineStr"/>
      <c r="AE91" s="18" t="inlineStr">
        <is>
          <t>sky 8-15</t>
        </is>
      </c>
      <c r="AF91" s="18" t="inlineStr"/>
      <c r="AG91" s="18" t="inlineStr"/>
      <c r="AH91" s="18" t="inlineStr"/>
      <c r="AI91" s="18" t="inlineStr"/>
      <c r="AJ91" s="18" t="inlineStr">
        <is>
          <t>Cobblemon 동일</t>
        </is>
      </c>
      <c r="AK91" s="18" t="inlineStr">
        <is>
          <t>사용</t>
        </is>
      </c>
      <c r="AL91" s="18" t="inlineStr">
        <is>
          <t>COBBLEVERSE 1.7.42 / DP v31</t>
        </is>
      </c>
      <c r="AM91" s="18" t="inlineStr">
        <is>
          <t>data/cobblemon/spawn_pool_world/0026_raichu.json</t>
        </is>
      </c>
      <c r="AN91" s="18" t="inlineStr">
        <is>
          <t>raichu-1</t>
        </is>
      </c>
      <c r="AO91" s="18" t="inlineStr">
        <is>
          <t>pokemon</t>
        </is>
      </c>
      <c r="AP91" s="18" t="inlineStr">
        <is>
          <t>natural</t>
        </is>
      </c>
      <c r="AQ91" s="18" t="inlineStr">
        <is>
          <t>{"biomes":["#cobblemon:is_forest"],"maxSkyLight":15,"minSkyLight":8}</t>
        </is>
      </c>
      <c r="AR91" s="18" t="inlineStr">
        <is>
          <t>{"biomes":["#cobblemon:is_spooky"]}</t>
        </is>
      </c>
      <c r="AS91" s="18" t="inlineStr">
        <is>
          <t>{"weightMultiplier":{"condition":{"isThundering":true},"multiplier":5.0}}</t>
        </is>
      </c>
      <c r="AT91" s="19" t="inlineStr"/>
    </row>
    <row r="92" ht="32" customHeight="1">
      <c r="A92" s="18" t="inlineStr">
        <is>
          <t>0026_raichu.json::raichu-alolan-2::002</t>
        </is>
      </c>
      <c r="B92" s="19" t="inlineStr">
        <is>
          <t>사용</t>
        </is>
      </c>
      <c r="C92" s="18">
        <f>IF(OR(B92&lt;&gt;AK92,M92&lt;&gt;L92,O92&lt;&gt;"",Q92&lt;&gt;"",V92&lt;&gt;1,Y92&lt;&gt;"",AT92&lt;&gt;""),"수정","원본")</f>
        <v/>
      </c>
      <c r="D92" s="18" t="n">
        <v>26</v>
      </c>
      <c r="E92" s="18" t="inlineStr">
        <is>
          <t>라이츄</t>
        </is>
      </c>
      <c r="F92" s="18" t="inlineStr">
        <is>
          <t>raichu</t>
        </is>
      </c>
      <c r="G92" s="18" t="inlineStr">
        <is>
          <t>raichu alolan</t>
        </is>
      </c>
      <c r="H92" s="18" t="inlineStr">
        <is>
          <t>alolan</t>
        </is>
      </c>
      <c r="I92" s="18" t="n">
        <v>1</v>
      </c>
      <c r="J92" s="18" t="n">
        <v>7</v>
      </c>
      <c r="K92" s="18" t="n">
        <v>7</v>
      </c>
      <c r="L92" s="18" t="inlineStr">
        <is>
          <t>cobbleventure:generation_7</t>
        </is>
      </c>
      <c r="M92" s="19" t="inlineStr">
        <is>
          <t>cobbleventure:generation_7</t>
        </is>
      </c>
      <c r="N92" s="18" t="inlineStr"/>
      <c r="O92" s="19" t="inlineStr"/>
      <c r="P92" s="18" t="inlineStr">
        <is>
          <t>#cobblemon:is_beach; aether:skyroot_forest; aether:skyroot_woodland; #cobblemon:is_tropical_island</t>
        </is>
      </c>
      <c r="Q92" s="19" t="inlineStr"/>
      <c r="R92" s="18">
        <f>IF(Q92="",P92,Q92)</f>
        <v/>
      </c>
      <c r="S92" s="18" t="inlineStr">
        <is>
          <t>#cobblemon:is_freezing</t>
        </is>
      </c>
      <c r="T92" s="18" t="inlineStr">
        <is>
          <t>uncommon</t>
        </is>
      </c>
      <c r="U92" s="20" t="n">
        <v>0.016</v>
      </c>
      <c r="V92" s="21" t="n">
        <v>1</v>
      </c>
      <c r="W92" s="20">
        <f>IF(OR(U92="",V92=""),U92,U92*V92)</f>
        <v/>
      </c>
      <c r="X92" s="18" t="inlineStr">
        <is>
          <t>27-49</t>
        </is>
      </c>
      <c r="Y92" s="19" t="inlineStr"/>
      <c r="Z92" s="18">
        <f>IF(Y92="",X92,Y92)</f>
        <v/>
      </c>
      <c r="AA92" s="18" t="inlineStr">
        <is>
          <t>grounded</t>
        </is>
      </c>
      <c r="AB92" s="18" t="inlineStr"/>
      <c r="AC92" s="18" t="inlineStr"/>
      <c r="AD92" s="18" t="inlineStr"/>
      <c r="AE92" s="18" t="inlineStr">
        <is>
          <t>sky 8-15</t>
        </is>
      </c>
      <c r="AF92" s="18" t="inlineStr"/>
      <c r="AG92" s="18" t="inlineStr"/>
      <c r="AH92" s="18" t="inlineStr"/>
      <c r="AI92" s="18" t="inlineStr"/>
      <c r="AJ92" s="18" t="inlineStr">
        <is>
          <t>Cobblemon 동일</t>
        </is>
      </c>
      <c r="AK92" s="18" t="inlineStr">
        <is>
          <t>사용</t>
        </is>
      </c>
      <c r="AL92" s="18" t="inlineStr">
        <is>
          <t>COBBLEVERSE 1.7.42 / DP v31</t>
        </is>
      </c>
      <c r="AM92" s="18" t="inlineStr">
        <is>
          <t>data/cobblemon/spawn_pool_world/0026_raichu.json</t>
        </is>
      </c>
      <c r="AN92" s="18" t="inlineStr">
        <is>
          <t>raichu-alolan-2</t>
        </is>
      </c>
      <c r="AO92" s="18" t="inlineStr">
        <is>
          <t>pokemon</t>
        </is>
      </c>
      <c r="AP92" s="18" t="inlineStr">
        <is>
          <t>natural</t>
        </is>
      </c>
      <c r="AQ92" s="18" t="inlineStr">
        <is>
          <t>{"biomes":["#cobblemon:is_beach","aether:skyroot_forest","aether:skyroot_woodland","#cobblemon:is_tropical_island"],"maxSkyLight":15,"minSkyLight":8}</t>
        </is>
      </c>
      <c r="AR92" s="18" t="inlineStr">
        <is>
          <t>{"biomes":["#cobblemon:is_freezing"]}</t>
        </is>
      </c>
      <c r="AS92" s="18" t="inlineStr">
        <is>
          <t>{"weightMultiplier":{"condition":{"isThundering":true},"multiplier":5.0}}</t>
        </is>
      </c>
      <c r="AT92" s="19" t="inlineStr"/>
    </row>
    <row r="93" ht="32" customHeight="1">
      <c r="A93" s="18" t="inlineStr">
        <is>
          <t>0027_sandshrew.json::sandshrew-1::001</t>
        </is>
      </c>
      <c r="B93" s="19" t="inlineStr">
        <is>
          <t>사용</t>
        </is>
      </c>
      <c r="C93" s="18">
        <f>IF(OR(B93&lt;&gt;AK93,M93&lt;&gt;L93,O93&lt;&gt;"",Q93&lt;&gt;"",V93&lt;&gt;1,Y93&lt;&gt;"",AT93&lt;&gt;""),"수정","원본")</f>
        <v/>
      </c>
      <c r="D93" s="18" t="n">
        <v>27</v>
      </c>
      <c r="E93" s="18" t="inlineStr">
        <is>
          <t>모래두지</t>
        </is>
      </c>
      <c r="F93" s="18" t="inlineStr">
        <is>
          <t>sandshrew</t>
        </is>
      </c>
      <c r="G93" s="18" t="inlineStr">
        <is>
          <t>sandshrew</t>
        </is>
      </c>
      <c r="H93" s="18" t="inlineStr"/>
      <c r="I93" s="18" t="n">
        <v>1</v>
      </c>
      <c r="J93" s="18" t="n"/>
      <c r="K93" s="18" t="n">
        <v>1</v>
      </c>
      <c r="L93" s="18" t="inlineStr">
        <is>
          <t>cobbleventure:generation_1</t>
        </is>
      </c>
      <c r="M93" s="19" t="inlineStr">
        <is>
          <t>cobbleventure:generation_1</t>
        </is>
      </c>
      <c r="N93" s="18" t="inlineStr">
        <is>
          <t>region_02</t>
        </is>
      </c>
      <c r="O93" s="19" t="inlineStr"/>
      <c r="P93" s="18" t="inlineStr">
        <is>
          <t>#cobblemon:is_desert</t>
        </is>
      </c>
      <c r="Q93" s="19" t="inlineStr"/>
      <c r="R93" s="18">
        <f>IF(Q93="",P93,Q93)</f>
        <v/>
      </c>
      <c r="S93" s="18" t="inlineStr"/>
      <c r="T93" s="18" t="inlineStr">
        <is>
          <t>common</t>
        </is>
      </c>
      <c r="U93" s="20" t="n">
        <v>7</v>
      </c>
      <c r="V93" s="21" t="n">
        <v>1</v>
      </c>
      <c r="W93" s="20">
        <f>IF(OR(U93="",V93=""),U93,U93*V93)</f>
        <v/>
      </c>
      <c r="X93" s="18" t="inlineStr">
        <is>
          <t>5-30</t>
        </is>
      </c>
      <c r="Y93" s="19" t="inlineStr"/>
      <c r="Z93" s="18">
        <f>IF(Y93="",X93,Y93)</f>
        <v/>
      </c>
      <c r="AA93" s="18" t="inlineStr">
        <is>
          <t>grounded</t>
        </is>
      </c>
      <c r="AB93" s="18" t="inlineStr"/>
      <c r="AC93" s="18" t="inlineStr"/>
      <c r="AD93" s="18" t="inlineStr"/>
      <c r="AE93" s="18" t="inlineStr"/>
      <c r="AF93" s="18" t="inlineStr"/>
      <c r="AG93" s="18" t="inlineStr"/>
      <c r="AH93" s="18" t="inlineStr"/>
      <c r="AI93" s="18" t="inlineStr"/>
      <c r="AJ93" s="18" t="inlineStr">
        <is>
          <t>COBBLEVERSE 수정</t>
        </is>
      </c>
      <c r="AK93" s="18" t="inlineStr">
        <is>
          <t>사용</t>
        </is>
      </c>
      <c r="AL93" s="18" t="inlineStr">
        <is>
          <t>COBBLEVERSE 1.7.42 / DP v31</t>
        </is>
      </c>
      <c r="AM93" s="18" t="inlineStr">
        <is>
          <t>data/cobblemon/spawn_pool_world/0027_sandshrew.json</t>
        </is>
      </c>
      <c r="AN93" s="18" t="inlineStr">
        <is>
          <t>sandshrew-1</t>
        </is>
      </c>
      <c r="AO93" s="18" t="inlineStr">
        <is>
          <t>pokemon</t>
        </is>
      </c>
      <c r="AP93" s="18" t="inlineStr">
        <is>
          <t>natural</t>
        </is>
      </c>
      <c r="AQ93" s="18" t="inlineStr">
        <is>
          <t>{"biomes":["#cobblemon:is_desert"]}</t>
        </is>
      </c>
      <c r="AR93" s="18" t="inlineStr"/>
      <c r="AS93" s="18" t="inlineStr"/>
      <c r="AT93" s="19" t="inlineStr"/>
    </row>
    <row r="94" ht="32" customHeight="1">
      <c r="A94" s="18" t="inlineStr">
        <is>
          <t>0027_sandshrew.json::sandshrew-alolan-2::002</t>
        </is>
      </c>
      <c r="B94" s="19" t="inlineStr">
        <is>
          <t>사용</t>
        </is>
      </c>
      <c r="C94" s="18">
        <f>IF(OR(B94&lt;&gt;AK94,M94&lt;&gt;L94,O94&lt;&gt;"",Q94&lt;&gt;"",V94&lt;&gt;1,Y94&lt;&gt;"",AT94&lt;&gt;""),"수정","원본")</f>
        <v/>
      </c>
      <c r="D94" s="18" t="n">
        <v>27</v>
      </c>
      <c r="E94" s="18" t="inlineStr">
        <is>
          <t>모래두지</t>
        </is>
      </c>
      <c r="F94" s="18" t="inlineStr">
        <is>
          <t>sandshrew</t>
        </is>
      </c>
      <c r="G94" s="18" t="inlineStr">
        <is>
          <t>sandshrew alolan</t>
        </is>
      </c>
      <c r="H94" s="18" t="inlineStr">
        <is>
          <t>alolan</t>
        </is>
      </c>
      <c r="I94" s="18" t="n">
        <v>1</v>
      </c>
      <c r="J94" s="18" t="n">
        <v>7</v>
      </c>
      <c r="K94" s="18" t="n">
        <v>7</v>
      </c>
      <c r="L94" s="18" t="inlineStr">
        <is>
          <t>cobbleventure:generation_7</t>
        </is>
      </c>
      <c r="M94" s="19" t="inlineStr">
        <is>
          <t>cobbleventure:generation_7</t>
        </is>
      </c>
      <c r="N94" s="18" t="inlineStr"/>
      <c r="O94" s="19" t="inlineStr"/>
      <c r="P94" s="18" t="inlineStr">
        <is>
          <t>#cobblemon:is_glacial</t>
        </is>
      </c>
      <c r="Q94" s="19" t="inlineStr"/>
      <c r="R94" s="18">
        <f>IF(Q94="",P94,Q94)</f>
        <v/>
      </c>
      <c r="S94" s="18" t="inlineStr"/>
      <c r="T94" s="18" t="inlineStr">
        <is>
          <t>uncommon</t>
        </is>
      </c>
      <c r="U94" s="20" t="n">
        <v>7</v>
      </c>
      <c r="V94" s="21" t="n">
        <v>1</v>
      </c>
      <c r="W94" s="20">
        <f>IF(OR(U94="",V94=""),U94,U94*V94)</f>
        <v/>
      </c>
      <c r="X94" s="18" t="inlineStr">
        <is>
          <t>15-32</t>
        </is>
      </c>
      <c r="Y94" s="19" t="inlineStr"/>
      <c r="Z94" s="18">
        <f>IF(Y94="",X94,Y94)</f>
        <v/>
      </c>
      <c r="AA94" s="18" t="inlineStr"/>
      <c r="AB94" s="18" t="inlineStr"/>
      <c r="AC94" s="18" t="inlineStr"/>
      <c r="AD94" s="18" t="inlineStr"/>
      <c r="AE94" s="18" t="inlineStr"/>
      <c r="AF94" s="18" t="inlineStr"/>
      <c r="AG94" s="18" t="inlineStr"/>
      <c r="AH94" s="18" t="inlineStr"/>
      <c r="AI94" s="18" t="inlineStr">
        <is>
          <t>{"spawn":{"context":"grounded"}}</t>
        </is>
      </c>
      <c r="AJ94" s="18" t="inlineStr">
        <is>
          <t>COBBLEVERSE 수정</t>
        </is>
      </c>
      <c r="AK94" s="18" t="inlineStr">
        <is>
          <t>사용</t>
        </is>
      </c>
      <c r="AL94" s="18" t="inlineStr">
        <is>
          <t>COBBLEVERSE 1.7.42 / DP v31</t>
        </is>
      </c>
      <c r="AM94" s="18" t="inlineStr">
        <is>
          <t>data/cobblemon/spawn_pool_world/0027_sandshrew.json</t>
        </is>
      </c>
      <c r="AN94" s="18" t="inlineStr">
        <is>
          <t>sandshrew-alolan-2</t>
        </is>
      </c>
      <c r="AO94" s="18" t="inlineStr">
        <is>
          <t>pokemon</t>
        </is>
      </c>
      <c r="AP94" s="18" t="inlineStr">
        <is>
          <t>natural</t>
        </is>
      </c>
      <c r="AQ94" s="18" t="inlineStr">
        <is>
          <t>{"biomes":["#cobblemon:is_glacial"]}</t>
        </is>
      </c>
      <c r="AR94" s="18" t="inlineStr"/>
      <c r="AS94" s="18" t="inlineStr"/>
      <c r="AT94" s="19" t="inlineStr"/>
    </row>
    <row r="95" ht="32" customHeight="1">
      <c r="A95" s="18" t="inlineStr">
        <is>
          <t>0028_sandslash.json::sandslash-1::001</t>
        </is>
      </c>
      <c r="B95" s="19" t="inlineStr">
        <is>
          <t>사용</t>
        </is>
      </c>
      <c r="C95" s="18">
        <f>IF(OR(B95&lt;&gt;AK95,M95&lt;&gt;L95,O95&lt;&gt;"",Q95&lt;&gt;"",V95&lt;&gt;1,Y95&lt;&gt;"",AT95&lt;&gt;""),"수정","원본")</f>
        <v/>
      </c>
      <c r="D95" s="18" t="n">
        <v>28</v>
      </c>
      <c r="E95" s="18" t="inlineStr">
        <is>
          <t>고지</t>
        </is>
      </c>
      <c r="F95" s="18" t="inlineStr">
        <is>
          <t>sandslash</t>
        </is>
      </c>
      <c r="G95" s="18" t="inlineStr">
        <is>
          <t>sandslash</t>
        </is>
      </c>
      <c r="H95" s="18" t="inlineStr"/>
      <c r="I95" s="18" t="n">
        <v>1</v>
      </c>
      <c r="J95" s="18" t="n"/>
      <c r="K95" s="18" t="n">
        <v>1</v>
      </c>
      <c r="L95" s="18" t="inlineStr">
        <is>
          <t>cobbleventure:generation_1</t>
        </is>
      </c>
      <c r="M95" s="19" t="inlineStr">
        <is>
          <t>cobbleventure:generation_1</t>
        </is>
      </c>
      <c r="N95" s="18" t="inlineStr">
        <is>
          <t>region_02</t>
        </is>
      </c>
      <c r="O95" s="19" t="inlineStr"/>
      <c r="P95" s="18" t="inlineStr">
        <is>
          <t>#cobblemon:is_desert</t>
        </is>
      </c>
      <c r="Q95" s="19" t="inlineStr"/>
      <c r="R95" s="18">
        <f>IF(Q95="",P95,Q95)</f>
        <v/>
      </c>
      <c r="S95" s="18" t="inlineStr"/>
      <c r="T95" s="18" t="inlineStr">
        <is>
          <t>common</t>
        </is>
      </c>
      <c r="U95" s="20" t="n">
        <v>1.8</v>
      </c>
      <c r="V95" s="21" t="n">
        <v>1</v>
      </c>
      <c r="W95" s="20">
        <f>IF(OR(U95="",V95=""),U95,U95*V95)</f>
        <v/>
      </c>
      <c r="X95" s="18" t="inlineStr">
        <is>
          <t>22-47</t>
        </is>
      </c>
      <c r="Y95" s="19" t="inlineStr"/>
      <c r="Z95" s="18">
        <f>IF(Y95="",X95,Y95)</f>
        <v/>
      </c>
      <c r="AA95" s="18" t="inlineStr">
        <is>
          <t>grounded</t>
        </is>
      </c>
      <c r="AB95" s="18" t="inlineStr"/>
      <c r="AC95" s="18" t="inlineStr"/>
      <c r="AD95" s="18" t="inlineStr"/>
      <c r="AE95" s="18" t="inlineStr"/>
      <c r="AF95" s="18" t="inlineStr"/>
      <c r="AG95" s="18" t="inlineStr"/>
      <c r="AH95" s="18" t="inlineStr"/>
      <c r="AI95" s="18" t="inlineStr"/>
      <c r="AJ95" s="18" t="inlineStr">
        <is>
          <t>COBBLEVERSE 수정</t>
        </is>
      </c>
      <c r="AK95" s="18" t="inlineStr">
        <is>
          <t>사용</t>
        </is>
      </c>
      <c r="AL95" s="18" t="inlineStr">
        <is>
          <t>COBBLEVERSE 1.7.42 / DP v31</t>
        </is>
      </c>
      <c r="AM95" s="18" t="inlineStr">
        <is>
          <t>data/cobblemon/spawn_pool_world/0028_sandslash.json</t>
        </is>
      </c>
      <c r="AN95" s="18" t="inlineStr">
        <is>
          <t>sandslash-1</t>
        </is>
      </c>
      <c r="AO95" s="18" t="inlineStr">
        <is>
          <t>pokemon</t>
        </is>
      </c>
      <c r="AP95" s="18" t="inlineStr">
        <is>
          <t>natural</t>
        </is>
      </c>
      <c r="AQ95" s="18" t="inlineStr">
        <is>
          <t>{"biomes":["#cobblemon:is_desert"]}</t>
        </is>
      </c>
      <c r="AR95" s="18" t="inlineStr"/>
      <c r="AS95" s="18" t="inlineStr"/>
      <c r="AT95" s="19" t="inlineStr"/>
    </row>
    <row r="96" ht="32" customHeight="1">
      <c r="A96" s="18" t="inlineStr">
        <is>
          <t>0028_sandslash.json::sandslash-alolan-2::002</t>
        </is>
      </c>
      <c r="B96" s="19" t="inlineStr">
        <is>
          <t>사용</t>
        </is>
      </c>
      <c r="C96" s="18">
        <f>IF(OR(B96&lt;&gt;AK96,M96&lt;&gt;L96,O96&lt;&gt;"",Q96&lt;&gt;"",V96&lt;&gt;1,Y96&lt;&gt;"",AT96&lt;&gt;""),"수정","원본")</f>
        <v/>
      </c>
      <c r="D96" s="18" t="n">
        <v>28</v>
      </c>
      <c r="E96" s="18" t="inlineStr">
        <is>
          <t>고지</t>
        </is>
      </c>
      <c r="F96" s="18" t="inlineStr">
        <is>
          <t>sandslash</t>
        </is>
      </c>
      <c r="G96" s="18" t="inlineStr">
        <is>
          <t>sandslash alolan</t>
        </is>
      </c>
      <c r="H96" s="18" t="inlineStr">
        <is>
          <t>alolan</t>
        </is>
      </c>
      <c r="I96" s="18" t="n">
        <v>1</v>
      </c>
      <c r="J96" s="18" t="n">
        <v>7</v>
      </c>
      <c r="K96" s="18" t="n">
        <v>7</v>
      </c>
      <c r="L96" s="18" t="inlineStr">
        <is>
          <t>cobbleventure:generation_7</t>
        </is>
      </c>
      <c r="M96" s="19" t="inlineStr">
        <is>
          <t>cobbleventure:generation_7</t>
        </is>
      </c>
      <c r="N96" s="18" t="inlineStr"/>
      <c r="O96" s="19" t="inlineStr"/>
      <c r="P96" s="18" t="inlineStr">
        <is>
          <t>#cobblemon:is_glacial</t>
        </is>
      </c>
      <c r="Q96" s="19" t="inlineStr"/>
      <c r="R96" s="18">
        <f>IF(Q96="",P96,Q96)</f>
        <v/>
      </c>
      <c r="S96" s="18" t="inlineStr"/>
      <c r="T96" s="18" t="inlineStr">
        <is>
          <t>uncommon</t>
        </is>
      </c>
      <c r="U96" s="20" t="n">
        <v>1.8</v>
      </c>
      <c r="V96" s="21" t="n">
        <v>1</v>
      </c>
      <c r="W96" s="20">
        <f>IF(OR(U96="",V96=""),U96,U96*V96)</f>
        <v/>
      </c>
      <c r="X96" s="18" t="inlineStr">
        <is>
          <t>24-55</t>
        </is>
      </c>
      <c r="Y96" s="19" t="inlineStr"/>
      <c r="Z96" s="18">
        <f>IF(Y96="",X96,Y96)</f>
        <v/>
      </c>
      <c r="AA96" s="18" t="inlineStr">
        <is>
          <t>grounded</t>
        </is>
      </c>
      <c r="AB96" s="18" t="inlineStr"/>
      <c r="AC96" s="18" t="inlineStr"/>
      <c r="AD96" s="18" t="inlineStr"/>
      <c r="AE96" s="18" t="inlineStr"/>
      <c r="AF96" s="18" t="inlineStr"/>
      <c r="AG96" s="18" t="inlineStr"/>
      <c r="AH96" s="18" t="inlineStr"/>
      <c r="AI96" s="18" t="inlineStr"/>
      <c r="AJ96" s="18" t="inlineStr">
        <is>
          <t>COBBLEVERSE 수정</t>
        </is>
      </c>
      <c r="AK96" s="18" t="inlineStr">
        <is>
          <t>사용</t>
        </is>
      </c>
      <c r="AL96" s="18" t="inlineStr">
        <is>
          <t>COBBLEVERSE 1.7.42 / DP v31</t>
        </is>
      </c>
      <c r="AM96" s="18" t="inlineStr">
        <is>
          <t>data/cobblemon/spawn_pool_world/0028_sandslash.json</t>
        </is>
      </c>
      <c r="AN96" s="18" t="inlineStr">
        <is>
          <t>sandslash-alolan-2</t>
        </is>
      </c>
      <c r="AO96" s="18" t="inlineStr">
        <is>
          <t>pokemon</t>
        </is>
      </c>
      <c r="AP96" s="18" t="inlineStr">
        <is>
          <t>natural</t>
        </is>
      </c>
      <c r="AQ96" s="18" t="inlineStr">
        <is>
          <t>{"biomes":["#cobblemon:is_glacial"]}</t>
        </is>
      </c>
      <c r="AR96" s="18" t="inlineStr"/>
      <c r="AS96" s="18" t="inlineStr"/>
      <c r="AT96" s="19" t="inlineStr"/>
    </row>
    <row r="97" ht="32" customHeight="1">
      <c r="A97" s="18" t="inlineStr">
        <is>
          <t>0029_nidoranf.json::nidoranf-1::001</t>
        </is>
      </c>
      <c r="B97" s="19" t="inlineStr">
        <is>
          <t>사용</t>
        </is>
      </c>
      <c r="C97" s="18">
        <f>IF(OR(B97&lt;&gt;AK97,M97&lt;&gt;L97,O97&lt;&gt;"",Q97&lt;&gt;"",V97&lt;&gt;1,Y97&lt;&gt;"",AT97&lt;&gt;""),"수정","원본")</f>
        <v/>
      </c>
      <c r="D97" s="18" t="n">
        <v>29</v>
      </c>
      <c r="E97" s="18" t="inlineStr">
        <is>
          <t>니드런</t>
        </is>
      </c>
      <c r="F97" s="18" t="inlineStr">
        <is>
          <t>nidoranf</t>
        </is>
      </c>
      <c r="G97" s="18" t="inlineStr">
        <is>
          <t>nidoranf</t>
        </is>
      </c>
      <c r="H97" s="18" t="inlineStr"/>
      <c r="I97" s="18" t="n">
        <v>1</v>
      </c>
      <c r="J97" s="18" t="n"/>
      <c r="K97" s="18" t="n">
        <v>1</v>
      </c>
      <c r="L97" s="18" t="inlineStr">
        <is>
          <t>cobbleventure:generation_1</t>
        </is>
      </c>
      <c r="M97" s="19" t="inlineStr">
        <is>
          <t>cobbleventure:generation_1</t>
        </is>
      </c>
      <c r="N97" s="18" t="inlineStr"/>
      <c r="O97" s="19" t="inlineStr"/>
      <c r="P97" s="18" t="inlineStr">
        <is>
          <t>#cobblemon:is_savanna</t>
        </is>
      </c>
      <c r="Q97" s="19" t="inlineStr"/>
      <c r="R97" s="18">
        <f>IF(Q97="",P97,Q97)</f>
        <v/>
      </c>
      <c r="S97" s="18" t="inlineStr"/>
      <c r="T97" s="18" t="inlineStr">
        <is>
          <t>uncommon</t>
        </is>
      </c>
      <c r="U97" s="20" t="n">
        <v>8.4</v>
      </c>
      <c r="V97" s="21" t="n">
        <v>1</v>
      </c>
      <c r="W97" s="20">
        <f>IF(OR(U97="",V97=""),U97,U97*V97)</f>
        <v/>
      </c>
      <c r="X97" s="18" t="inlineStr">
        <is>
          <t>3-28</t>
        </is>
      </c>
      <c r="Y97" s="19" t="inlineStr"/>
      <c r="Z97" s="18">
        <f>IF(Y97="",X97,Y97)</f>
        <v/>
      </c>
      <c r="AA97" s="18" t="inlineStr">
        <is>
          <t>grounded</t>
        </is>
      </c>
      <c r="AB97" s="18" t="inlineStr"/>
      <c r="AC97" s="18" t="inlineStr"/>
      <c r="AD97" s="18" t="inlineStr"/>
      <c r="AE97" s="18" t="inlineStr">
        <is>
          <t>sky 8-15</t>
        </is>
      </c>
      <c r="AF97" s="18" t="inlineStr"/>
      <c r="AG97" s="18" t="inlineStr"/>
      <c r="AH97" s="18" t="inlineStr"/>
      <c r="AI97" s="18" t="inlineStr"/>
      <c r="AJ97" s="18" t="inlineStr">
        <is>
          <t>Cobblemon 동일</t>
        </is>
      </c>
      <c r="AK97" s="18" t="inlineStr">
        <is>
          <t>사용</t>
        </is>
      </c>
      <c r="AL97" s="18" t="inlineStr">
        <is>
          <t>COBBLEVERSE 1.7.42 / DP v31</t>
        </is>
      </c>
      <c r="AM97" s="18" t="inlineStr">
        <is>
          <t>data/cobblemon/spawn_pool_world/0029_nidoranf.json</t>
        </is>
      </c>
      <c r="AN97" s="18" t="inlineStr">
        <is>
          <t>nidoranf-1</t>
        </is>
      </c>
      <c r="AO97" s="18" t="inlineStr">
        <is>
          <t>pokemon</t>
        </is>
      </c>
      <c r="AP97" s="18" t="inlineStr">
        <is>
          <t>natural; wild</t>
        </is>
      </c>
      <c r="AQ97" s="18" t="inlineStr">
        <is>
          <t>{"biomes":["#cobblemon:is_savanna"],"maxSkyLight":15,"minSkyLight":8}</t>
        </is>
      </c>
      <c r="AR97" s="18" t="inlineStr"/>
      <c r="AS97" s="18" t="inlineStr"/>
      <c r="AT97" s="19" t="inlineStr"/>
    </row>
    <row r="98" ht="32" customHeight="1">
      <c r="A98" s="18" t="inlineStr">
        <is>
          <t>0030_nidorina.json::nidorina-1::001</t>
        </is>
      </c>
      <c r="B98" s="19" t="inlineStr">
        <is>
          <t>사용</t>
        </is>
      </c>
      <c r="C98" s="18">
        <f>IF(OR(B98&lt;&gt;AK98,M98&lt;&gt;L98,O98&lt;&gt;"",Q98&lt;&gt;"",V98&lt;&gt;1,Y98&lt;&gt;"",AT98&lt;&gt;""),"수정","원본")</f>
        <v/>
      </c>
      <c r="D98" s="18" t="n">
        <v>30</v>
      </c>
      <c r="E98" s="18" t="inlineStr">
        <is>
          <t>니드리나</t>
        </is>
      </c>
      <c r="F98" s="18" t="inlineStr">
        <is>
          <t>nidorina</t>
        </is>
      </c>
      <c r="G98" s="18" t="inlineStr">
        <is>
          <t>nidorina</t>
        </is>
      </c>
      <c r="H98" s="18" t="inlineStr"/>
      <c r="I98" s="18" t="n">
        <v>1</v>
      </c>
      <c r="J98" s="18" t="n"/>
      <c r="K98" s="18" t="n">
        <v>1</v>
      </c>
      <c r="L98" s="18" t="inlineStr">
        <is>
          <t>cobbleventure:generation_1</t>
        </is>
      </c>
      <c r="M98" s="19" t="inlineStr">
        <is>
          <t>cobbleventure:generation_1</t>
        </is>
      </c>
      <c r="N98" s="18" t="inlineStr"/>
      <c r="O98" s="19" t="inlineStr"/>
      <c r="P98" s="18" t="inlineStr">
        <is>
          <t>#cobblemon:is_savanna</t>
        </is>
      </c>
      <c r="Q98" s="19" t="inlineStr"/>
      <c r="R98" s="18">
        <f>IF(Q98="",P98,Q98)</f>
        <v/>
      </c>
      <c r="S98" s="18" t="inlineStr"/>
      <c r="T98" s="18" t="inlineStr">
        <is>
          <t>uncommon</t>
        </is>
      </c>
      <c r="U98" s="20" t="n">
        <v>1.52</v>
      </c>
      <c r="V98" s="21" t="n">
        <v>1</v>
      </c>
      <c r="W98" s="20">
        <f>IF(OR(U98="",V98=""),U98,U98*V98)</f>
        <v/>
      </c>
      <c r="X98" s="18" t="inlineStr">
        <is>
          <t>16-37</t>
        </is>
      </c>
      <c r="Y98" s="19" t="inlineStr"/>
      <c r="Z98" s="18">
        <f>IF(Y98="",X98,Y98)</f>
        <v/>
      </c>
      <c r="AA98" s="18" t="inlineStr">
        <is>
          <t>grounded</t>
        </is>
      </c>
      <c r="AB98" s="18" t="inlineStr"/>
      <c r="AC98" s="18" t="inlineStr"/>
      <c r="AD98" s="18" t="inlineStr"/>
      <c r="AE98" s="18" t="inlineStr">
        <is>
          <t>sky 8-15</t>
        </is>
      </c>
      <c r="AF98" s="18" t="inlineStr"/>
      <c r="AG98" s="18" t="inlineStr"/>
      <c r="AH98" s="18" t="inlineStr"/>
      <c r="AI98" s="18" t="inlineStr"/>
      <c r="AJ98" s="18" t="inlineStr">
        <is>
          <t>Cobblemon 동일</t>
        </is>
      </c>
      <c r="AK98" s="18" t="inlineStr">
        <is>
          <t>사용</t>
        </is>
      </c>
      <c r="AL98" s="18" t="inlineStr">
        <is>
          <t>COBBLEVERSE 1.7.42 / DP v31</t>
        </is>
      </c>
      <c r="AM98" s="18" t="inlineStr">
        <is>
          <t>data/cobblemon/spawn_pool_world/0030_nidorina.json</t>
        </is>
      </c>
      <c r="AN98" s="18" t="inlineStr">
        <is>
          <t>nidorina-1</t>
        </is>
      </c>
      <c r="AO98" s="18" t="inlineStr">
        <is>
          <t>pokemon</t>
        </is>
      </c>
      <c r="AP98" s="18" t="inlineStr">
        <is>
          <t>natural; wild</t>
        </is>
      </c>
      <c r="AQ98" s="18" t="inlineStr">
        <is>
          <t>{"biomes":["#cobblemon:is_savanna"],"maxSkyLight":15,"minSkyLight":8}</t>
        </is>
      </c>
      <c r="AR98" s="18" t="inlineStr"/>
      <c r="AS98" s="18" t="inlineStr"/>
      <c r="AT98" s="19" t="inlineStr"/>
    </row>
    <row r="99" ht="32" customHeight="1">
      <c r="A99" s="18" t="inlineStr">
        <is>
          <t>0031_nidoqueen.json::nidoqueen-1::001</t>
        </is>
      </c>
      <c r="B99" s="19" t="inlineStr">
        <is>
          <t>사용</t>
        </is>
      </c>
      <c r="C99" s="18">
        <f>IF(OR(B99&lt;&gt;AK99,M99&lt;&gt;L99,O99&lt;&gt;"",Q99&lt;&gt;"",V99&lt;&gt;1,Y99&lt;&gt;"",AT99&lt;&gt;""),"수정","원본")</f>
        <v/>
      </c>
      <c r="D99" s="18" t="n">
        <v>31</v>
      </c>
      <c r="E99" s="18" t="inlineStr">
        <is>
          <t>니드퀸</t>
        </is>
      </c>
      <c r="F99" s="18" t="inlineStr">
        <is>
          <t>nidoqueen</t>
        </is>
      </c>
      <c r="G99" s="18" t="inlineStr">
        <is>
          <t>nidoqueen</t>
        </is>
      </c>
      <c r="H99" s="18" t="inlineStr"/>
      <c r="I99" s="18" t="n">
        <v>1</v>
      </c>
      <c r="J99" s="18" t="n"/>
      <c r="K99" s="18" t="n">
        <v>1</v>
      </c>
      <c r="L99" s="18" t="inlineStr">
        <is>
          <t>cobbleventure:generation_1</t>
        </is>
      </c>
      <c r="M99" s="19" t="inlineStr">
        <is>
          <t>cobbleventure:generation_1</t>
        </is>
      </c>
      <c r="N99" s="18" t="inlineStr"/>
      <c r="O99" s="19" t="inlineStr"/>
      <c r="P99" s="18" t="inlineStr">
        <is>
          <t>#cobblemon:is_savanna</t>
        </is>
      </c>
      <c r="Q99" s="19" t="inlineStr"/>
      <c r="R99" s="18">
        <f>IF(Q99="",P99,Q99)</f>
        <v/>
      </c>
      <c r="S99" s="18" t="inlineStr"/>
      <c r="T99" s="18" t="inlineStr">
        <is>
          <t>uncommon</t>
        </is>
      </c>
      <c r="U99" s="20" t="n">
        <v>0.08</v>
      </c>
      <c r="V99" s="21" t="n">
        <v>1</v>
      </c>
      <c r="W99" s="20">
        <f>IF(OR(U99="",V99=""),U99,U99*V99)</f>
        <v/>
      </c>
      <c r="X99" s="18" t="inlineStr">
        <is>
          <t>37-51</t>
        </is>
      </c>
      <c r="Y99" s="19" t="inlineStr"/>
      <c r="Z99" s="18">
        <f>IF(Y99="",X99,Y99)</f>
        <v/>
      </c>
      <c r="AA99" s="18" t="inlineStr">
        <is>
          <t>grounded</t>
        </is>
      </c>
      <c r="AB99" s="18" t="inlineStr"/>
      <c r="AC99" s="18" t="inlineStr"/>
      <c r="AD99" s="18" t="inlineStr"/>
      <c r="AE99" s="18" t="inlineStr">
        <is>
          <t>sky 8-15</t>
        </is>
      </c>
      <c r="AF99" s="18" t="inlineStr"/>
      <c r="AG99" s="18" t="inlineStr"/>
      <c r="AH99" s="18" t="inlineStr"/>
      <c r="AI99" s="18" t="inlineStr"/>
      <c r="AJ99" s="18" t="inlineStr">
        <is>
          <t>Cobblemon 동일</t>
        </is>
      </c>
      <c r="AK99" s="18" t="inlineStr">
        <is>
          <t>사용</t>
        </is>
      </c>
      <c r="AL99" s="18" t="inlineStr">
        <is>
          <t>COBBLEVERSE 1.7.42 / DP v31</t>
        </is>
      </c>
      <c r="AM99" s="18" t="inlineStr">
        <is>
          <t>data/cobblemon/spawn_pool_world/0031_nidoqueen.json</t>
        </is>
      </c>
      <c r="AN99" s="18" t="inlineStr">
        <is>
          <t>nidoqueen-1</t>
        </is>
      </c>
      <c r="AO99" s="18" t="inlineStr">
        <is>
          <t>pokemon</t>
        </is>
      </c>
      <c r="AP99" s="18" t="inlineStr">
        <is>
          <t>natural; wild</t>
        </is>
      </c>
      <c r="AQ99" s="18" t="inlineStr">
        <is>
          <t>{"biomes":["#cobblemon:is_savanna"],"maxSkyLight":15,"minSkyLight":8}</t>
        </is>
      </c>
      <c r="AR99" s="18" t="inlineStr"/>
      <c r="AS99" s="18" t="inlineStr"/>
      <c r="AT99" s="19" t="inlineStr"/>
    </row>
    <row r="100" ht="32" customHeight="1">
      <c r="A100" s="18" t="inlineStr">
        <is>
          <t>0032_nidoranm.json::nidoranm-1::001</t>
        </is>
      </c>
      <c r="B100" s="19" t="inlineStr">
        <is>
          <t>사용</t>
        </is>
      </c>
      <c r="C100" s="18">
        <f>IF(OR(B100&lt;&gt;AK100,M100&lt;&gt;L100,O100&lt;&gt;"",Q100&lt;&gt;"",V100&lt;&gt;1,Y100&lt;&gt;"",AT100&lt;&gt;""),"수정","원본")</f>
        <v/>
      </c>
      <c r="D100" s="18" t="n">
        <v>32</v>
      </c>
      <c r="E100" s="18" t="inlineStr">
        <is>
          <t>니드런</t>
        </is>
      </c>
      <c r="F100" s="18" t="inlineStr">
        <is>
          <t>nidoranm</t>
        </is>
      </c>
      <c r="G100" s="18" t="inlineStr">
        <is>
          <t>nidoranm</t>
        </is>
      </c>
      <c r="H100" s="18" t="inlineStr"/>
      <c r="I100" s="18" t="n">
        <v>1</v>
      </c>
      <c r="J100" s="18" t="n"/>
      <c r="K100" s="18" t="n">
        <v>1</v>
      </c>
      <c r="L100" s="18" t="inlineStr">
        <is>
          <t>cobbleventure:generation_1</t>
        </is>
      </c>
      <c r="M100" s="19" t="inlineStr">
        <is>
          <t>cobbleventure:generation_1</t>
        </is>
      </c>
      <c r="N100" s="18" t="inlineStr"/>
      <c r="O100" s="19" t="inlineStr"/>
      <c r="P100" s="18" t="inlineStr">
        <is>
          <t>#cobblemon:is_savanna</t>
        </is>
      </c>
      <c r="Q100" s="19" t="inlineStr"/>
      <c r="R100" s="18">
        <f>IF(Q100="",P100,Q100)</f>
        <v/>
      </c>
      <c r="S100" s="18" t="inlineStr"/>
      <c r="T100" s="18" t="inlineStr">
        <is>
          <t>uncommon</t>
        </is>
      </c>
      <c r="U100" s="20" t="n">
        <v>8.4</v>
      </c>
      <c r="V100" s="21" t="n">
        <v>1</v>
      </c>
      <c r="W100" s="20">
        <f>IF(OR(U100="",V100=""),U100,U100*V100)</f>
        <v/>
      </c>
      <c r="X100" s="18" t="inlineStr">
        <is>
          <t>3-28</t>
        </is>
      </c>
      <c r="Y100" s="19" t="inlineStr"/>
      <c r="Z100" s="18">
        <f>IF(Y100="",X100,Y100)</f>
        <v/>
      </c>
      <c r="AA100" s="18" t="inlineStr">
        <is>
          <t>grounded</t>
        </is>
      </c>
      <c r="AB100" s="18" t="inlineStr"/>
      <c r="AC100" s="18" t="inlineStr"/>
      <c r="AD100" s="18" t="inlineStr"/>
      <c r="AE100" s="18" t="inlineStr">
        <is>
          <t>sky 8-15</t>
        </is>
      </c>
      <c r="AF100" s="18" t="inlineStr"/>
      <c r="AG100" s="18" t="inlineStr"/>
      <c r="AH100" s="18" t="inlineStr"/>
      <c r="AI100" s="18" t="inlineStr"/>
      <c r="AJ100" s="18" t="inlineStr">
        <is>
          <t>Cobblemon 동일</t>
        </is>
      </c>
      <c r="AK100" s="18" t="inlineStr">
        <is>
          <t>사용</t>
        </is>
      </c>
      <c r="AL100" s="18" t="inlineStr">
        <is>
          <t>COBBLEVERSE 1.7.42 / DP v31</t>
        </is>
      </c>
      <c r="AM100" s="18" t="inlineStr">
        <is>
          <t>data/cobblemon/spawn_pool_world/0032_nidoranm.json</t>
        </is>
      </c>
      <c r="AN100" s="18" t="inlineStr">
        <is>
          <t>nidoranm-1</t>
        </is>
      </c>
      <c r="AO100" s="18" t="inlineStr">
        <is>
          <t>pokemon</t>
        </is>
      </c>
      <c r="AP100" s="18" t="inlineStr">
        <is>
          <t>natural; wild</t>
        </is>
      </c>
      <c r="AQ100" s="18" t="inlineStr">
        <is>
          <t>{"biomes":["#cobblemon:is_savanna"],"maxSkyLight":15,"minSkyLight":8}</t>
        </is>
      </c>
      <c r="AR100" s="18" t="inlineStr"/>
      <c r="AS100" s="18" t="inlineStr"/>
      <c r="AT100" s="19" t="inlineStr"/>
    </row>
    <row r="101" ht="32" customHeight="1">
      <c r="A101" s="18" t="inlineStr">
        <is>
          <t>0033_nidorino.json::nidorino-1::001</t>
        </is>
      </c>
      <c r="B101" s="19" t="inlineStr">
        <is>
          <t>사용</t>
        </is>
      </c>
      <c r="C101" s="18">
        <f>IF(OR(B101&lt;&gt;AK101,M101&lt;&gt;L101,O101&lt;&gt;"",Q101&lt;&gt;"",V101&lt;&gt;1,Y101&lt;&gt;"",AT101&lt;&gt;""),"수정","원본")</f>
        <v/>
      </c>
      <c r="D101" s="18" t="n">
        <v>33</v>
      </c>
      <c r="E101" s="18" t="inlineStr">
        <is>
          <t>니드리노</t>
        </is>
      </c>
      <c r="F101" s="18" t="inlineStr">
        <is>
          <t>nidorino</t>
        </is>
      </c>
      <c r="G101" s="18" t="inlineStr">
        <is>
          <t>nidorino</t>
        </is>
      </c>
      <c r="H101" s="18" t="inlineStr"/>
      <c r="I101" s="18" t="n">
        <v>1</v>
      </c>
      <c r="J101" s="18" t="n"/>
      <c r="K101" s="18" t="n">
        <v>1</v>
      </c>
      <c r="L101" s="18" t="inlineStr">
        <is>
          <t>cobbleventure:generation_1</t>
        </is>
      </c>
      <c r="M101" s="19" t="inlineStr">
        <is>
          <t>cobbleventure:generation_1</t>
        </is>
      </c>
      <c r="N101" s="18" t="inlineStr"/>
      <c r="O101" s="19" t="inlineStr"/>
      <c r="P101" s="18" t="inlineStr">
        <is>
          <t>#cobblemon:is_savanna</t>
        </is>
      </c>
      <c r="Q101" s="19" t="inlineStr"/>
      <c r="R101" s="18">
        <f>IF(Q101="",P101,Q101)</f>
        <v/>
      </c>
      <c r="S101" s="18" t="inlineStr"/>
      <c r="T101" s="18" t="inlineStr">
        <is>
          <t>uncommon</t>
        </is>
      </c>
      <c r="U101" s="20" t="n">
        <v>1.52</v>
      </c>
      <c r="V101" s="21" t="n">
        <v>1</v>
      </c>
      <c r="W101" s="20">
        <f>IF(OR(U101="",V101=""),U101,U101*V101)</f>
        <v/>
      </c>
      <c r="X101" s="18" t="inlineStr">
        <is>
          <t>16-37</t>
        </is>
      </c>
      <c r="Y101" s="19" t="inlineStr"/>
      <c r="Z101" s="18">
        <f>IF(Y101="",X101,Y101)</f>
        <v/>
      </c>
      <c r="AA101" s="18" t="inlineStr">
        <is>
          <t>grounded</t>
        </is>
      </c>
      <c r="AB101" s="18" t="inlineStr"/>
      <c r="AC101" s="18" t="inlineStr"/>
      <c r="AD101" s="18" t="inlineStr"/>
      <c r="AE101" s="18" t="inlineStr">
        <is>
          <t>sky 8-15</t>
        </is>
      </c>
      <c r="AF101" s="18" t="inlineStr"/>
      <c r="AG101" s="18" t="inlineStr"/>
      <c r="AH101" s="18" t="inlineStr"/>
      <c r="AI101" s="18" t="inlineStr"/>
      <c r="AJ101" s="18" t="inlineStr">
        <is>
          <t>Cobblemon 동일</t>
        </is>
      </c>
      <c r="AK101" s="18" t="inlineStr">
        <is>
          <t>사용</t>
        </is>
      </c>
      <c r="AL101" s="18" t="inlineStr">
        <is>
          <t>COBBLEVERSE 1.7.42 / DP v31</t>
        </is>
      </c>
      <c r="AM101" s="18" t="inlineStr">
        <is>
          <t>data/cobblemon/spawn_pool_world/0033_nidorino.json</t>
        </is>
      </c>
      <c r="AN101" s="18" t="inlineStr">
        <is>
          <t>nidorino-1</t>
        </is>
      </c>
      <c r="AO101" s="18" t="inlineStr">
        <is>
          <t>pokemon</t>
        </is>
      </c>
      <c r="AP101" s="18" t="inlineStr">
        <is>
          <t>natural; wild</t>
        </is>
      </c>
      <c r="AQ101" s="18" t="inlineStr">
        <is>
          <t>{"biomes":["#cobblemon:is_savanna"],"maxSkyLight":15,"minSkyLight":8}</t>
        </is>
      </c>
      <c r="AR101" s="18" t="inlineStr"/>
      <c r="AS101" s="18" t="inlineStr"/>
      <c r="AT101" s="19" t="inlineStr"/>
    </row>
    <row r="102" ht="32" customHeight="1">
      <c r="A102" s="18" t="inlineStr">
        <is>
          <t>0034_nidoking.json::nidoking-1::001</t>
        </is>
      </c>
      <c r="B102" s="19" t="inlineStr">
        <is>
          <t>사용</t>
        </is>
      </c>
      <c r="C102" s="18">
        <f>IF(OR(B102&lt;&gt;AK102,M102&lt;&gt;L102,O102&lt;&gt;"",Q102&lt;&gt;"",V102&lt;&gt;1,Y102&lt;&gt;"",AT102&lt;&gt;""),"수정","원본")</f>
        <v/>
      </c>
      <c r="D102" s="18" t="n">
        <v>34</v>
      </c>
      <c r="E102" s="18" t="inlineStr">
        <is>
          <t>니드킹</t>
        </is>
      </c>
      <c r="F102" s="18" t="inlineStr">
        <is>
          <t>nidoking</t>
        </is>
      </c>
      <c r="G102" s="18" t="inlineStr">
        <is>
          <t>nidoking</t>
        </is>
      </c>
      <c r="H102" s="18" t="inlineStr"/>
      <c r="I102" s="18" t="n">
        <v>1</v>
      </c>
      <c r="J102" s="18" t="n"/>
      <c r="K102" s="18" t="n">
        <v>1</v>
      </c>
      <c r="L102" s="18" t="inlineStr">
        <is>
          <t>cobbleventure:generation_1</t>
        </is>
      </c>
      <c r="M102" s="19" t="inlineStr">
        <is>
          <t>cobbleventure:generation_1</t>
        </is>
      </c>
      <c r="N102" s="18" t="inlineStr"/>
      <c r="O102" s="19" t="inlineStr"/>
      <c r="P102" s="18" t="inlineStr">
        <is>
          <t>#cobblemon:is_savanna</t>
        </is>
      </c>
      <c r="Q102" s="19" t="inlineStr"/>
      <c r="R102" s="18">
        <f>IF(Q102="",P102,Q102)</f>
        <v/>
      </c>
      <c r="S102" s="18" t="inlineStr"/>
      <c r="T102" s="18" t="inlineStr">
        <is>
          <t>uncommon</t>
        </is>
      </c>
      <c r="U102" s="20" t="n">
        <v>0.08</v>
      </c>
      <c r="V102" s="21" t="n">
        <v>1</v>
      </c>
      <c r="W102" s="20">
        <f>IF(OR(U102="",V102=""),U102,U102*V102)</f>
        <v/>
      </c>
      <c r="X102" s="18" t="inlineStr">
        <is>
          <t>37-51</t>
        </is>
      </c>
      <c r="Y102" s="19" t="inlineStr"/>
      <c r="Z102" s="18">
        <f>IF(Y102="",X102,Y102)</f>
        <v/>
      </c>
      <c r="AA102" s="18" t="inlineStr">
        <is>
          <t>grounded</t>
        </is>
      </c>
      <c r="AB102" s="18" t="inlineStr"/>
      <c r="AC102" s="18" t="inlineStr"/>
      <c r="AD102" s="18" t="inlineStr"/>
      <c r="AE102" s="18" t="inlineStr">
        <is>
          <t>sky 8-15</t>
        </is>
      </c>
      <c r="AF102" s="18" t="inlineStr"/>
      <c r="AG102" s="18" t="inlineStr"/>
      <c r="AH102" s="18" t="inlineStr"/>
      <c r="AI102" s="18" t="inlineStr"/>
      <c r="AJ102" s="18" t="inlineStr">
        <is>
          <t>Cobblemon 동일</t>
        </is>
      </c>
      <c r="AK102" s="18" t="inlineStr">
        <is>
          <t>사용</t>
        </is>
      </c>
      <c r="AL102" s="18" t="inlineStr">
        <is>
          <t>COBBLEVERSE 1.7.42 / DP v31</t>
        </is>
      </c>
      <c r="AM102" s="18" t="inlineStr">
        <is>
          <t>data/cobblemon/spawn_pool_world/0034_nidoking.json</t>
        </is>
      </c>
      <c r="AN102" s="18" t="inlineStr">
        <is>
          <t>nidoking-1</t>
        </is>
      </c>
      <c r="AO102" s="18" t="inlineStr">
        <is>
          <t>pokemon</t>
        </is>
      </c>
      <c r="AP102" s="18" t="inlineStr">
        <is>
          <t>natural; wild</t>
        </is>
      </c>
      <c r="AQ102" s="18" t="inlineStr">
        <is>
          <t>{"biomes":["#cobblemon:is_savanna"],"maxSkyLight":15,"minSkyLight":8}</t>
        </is>
      </c>
      <c r="AR102" s="18" t="inlineStr"/>
      <c r="AS102" s="18" t="inlineStr"/>
      <c r="AT102" s="19" t="inlineStr"/>
    </row>
    <row r="103" ht="32" customHeight="1">
      <c r="A103" s="18" t="inlineStr">
        <is>
          <t>0035_clefairy.json::clefairy-1::001</t>
        </is>
      </c>
      <c r="B103" s="19" t="inlineStr">
        <is>
          <t>사용</t>
        </is>
      </c>
      <c r="C103" s="18">
        <f>IF(OR(B103&lt;&gt;AK103,M103&lt;&gt;L103,O103&lt;&gt;"",Q103&lt;&gt;"",V103&lt;&gt;1,Y103&lt;&gt;"",AT103&lt;&gt;""),"수정","원본")</f>
        <v/>
      </c>
      <c r="D103" s="18" t="n">
        <v>35</v>
      </c>
      <c r="E103" s="18" t="inlineStr">
        <is>
          <t>삐삐</t>
        </is>
      </c>
      <c r="F103" s="18" t="inlineStr">
        <is>
          <t>clefairy</t>
        </is>
      </c>
      <c r="G103" s="18" t="inlineStr">
        <is>
          <t>clefairy</t>
        </is>
      </c>
      <c r="H103" s="18" t="inlineStr"/>
      <c r="I103" s="18" t="n">
        <v>1</v>
      </c>
      <c r="J103" s="18" t="n"/>
      <c r="K103" s="18" t="n">
        <v>1</v>
      </c>
      <c r="L103" s="18" t="inlineStr">
        <is>
          <t>cobbleventure:generation_1</t>
        </is>
      </c>
      <c r="M103" s="19" t="inlineStr">
        <is>
          <t>cobbleventure:generation_1</t>
        </is>
      </c>
      <c r="N103" s="18" t="inlineStr"/>
      <c r="O103" s="19" t="inlineStr"/>
      <c r="P103" s="18" t="inlineStr">
        <is>
          <t>#cobblemon:is_dripstone</t>
        </is>
      </c>
      <c r="Q103" s="19" t="inlineStr"/>
      <c r="R103" s="18">
        <f>IF(Q103="",P103,Q103)</f>
        <v/>
      </c>
      <c r="S103" s="18" t="inlineStr"/>
      <c r="T103" s="18" t="inlineStr">
        <is>
          <t>uncommon</t>
        </is>
      </c>
      <c r="U103" s="20" t="n">
        <v>1.52</v>
      </c>
      <c r="V103" s="21" t="n">
        <v>1</v>
      </c>
      <c r="W103" s="20">
        <f>IF(OR(U103="",V103=""),U103,U103*V103)</f>
        <v/>
      </c>
      <c r="X103" s="18" t="inlineStr">
        <is>
          <t>17-32</t>
        </is>
      </c>
      <c r="Y103" s="19" t="inlineStr"/>
      <c r="Z103" s="18">
        <f>IF(Y103="",X103,Y103)</f>
        <v/>
      </c>
      <c r="AA103" s="18" t="inlineStr">
        <is>
          <t>grounded</t>
        </is>
      </c>
      <c r="AB103" s="18" t="inlineStr">
        <is>
          <t>night</t>
        </is>
      </c>
      <c r="AC103" s="18" t="inlineStr"/>
      <c r="AD103" s="18" t="inlineStr"/>
      <c r="AE103" s="18" t="inlineStr">
        <is>
          <t>sky 8-15</t>
        </is>
      </c>
      <c r="AF103" s="18" t="inlineStr"/>
      <c r="AG103" s="18" t="inlineStr"/>
      <c r="AH103" s="18" t="inlineStr"/>
      <c r="AI103" s="18" t="inlineStr"/>
      <c r="AJ103" s="18" t="inlineStr">
        <is>
          <t>Cobblemon 동일</t>
        </is>
      </c>
      <c r="AK103" s="18" t="inlineStr">
        <is>
          <t>사용</t>
        </is>
      </c>
      <c r="AL103" s="18" t="inlineStr">
        <is>
          <t>COBBLEVERSE 1.7.42 / DP v31</t>
        </is>
      </c>
      <c r="AM103" s="18" t="inlineStr">
        <is>
          <t>data/cobblemon/spawn_pool_world/0035_clefairy.json</t>
        </is>
      </c>
      <c r="AN103" s="18" t="inlineStr">
        <is>
          <t>clefairy-1</t>
        </is>
      </c>
      <c r="AO103" s="18" t="inlineStr">
        <is>
          <t>pokemon</t>
        </is>
      </c>
      <c r="AP103" s="18" t="inlineStr">
        <is>
          <t>natural</t>
        </is>
      </c>
      <c r="AQ103" s="18" t="inlineStr">
        <is>
          <t>{"biomes":["#cobblemon:is_dripstone"],"maxSkyLight":15,"minSkyLight":8,"timeRange":"night"}</t>
        </is>
      </c>
      <c r="AR103" s="18" t="inlineStr"/>
      <c r="AS103" s="18" t="inlineStr"/>
      <c r="AT103" s="19" t="inlineStr"/>
    </row>
    <row r="104" ht="32" customHeight="1">
      <c r="A104" s="18" t="inlineStr">
        <is>
          <t>0035_clefairy.json::clefairy-2::002</t>
        </is>
      </c>
      <c r="B104" s="19" t="inlineStr">
        <is>
          <t>사용</t>
        </is>
      </c>
      <c r="C104" s="18">
        <f>IF(OR(B104&lt;&gt;AK104,M104&lt;&gt;L104,O104&lt;&gt;"",Q104&lt;&gt;"",V104&lt;&gt;1,Y104&lt;&gt;"",AT104&lt;&gt;""),"수정","원본")</f>
        <v/>
      </c>
      <c r="D104" s="18" t="n">
        <v>35</v>
      </c>
      <c r="E104" s="18" t="inlineStr">
        <is>
          <t>삐삐</t>
        </is>
      </c>
      <c r="F104" s="18" t="inlineStr">
        <is>
          <t>clefairy</t>
        </is>
      </c>
      <c r="G104" s="18" t="inlineStr">
        <is>
          <t>clefairy</t>
        </is>
      </c>
      <c r="H104" s="18" t="inlineStr"/>
      <c r="I104" s="18" t="n">
        <v>1</v>
      </c>
      <c r="J104" s="18" t="n"/>
      <c r="K104" s="18" t="n">
        <v>1</v>
      </c>
      <c r="L104" s="18" t="inlineStr">
        <is>
          <t>cobbleventure:generation_1</t>
        </is>
      </c>
      <c r="M104" s="19" t="inlineStr">
        <is>
          <t>cobbleventure:generation_1</t>
        </is>
      </c>
      <c r="N104" s="18" t="inlineStr"/>
      <c r="O104" s="19" t="inlineStr"/>
      <c r="P104" s="18" t="inlineStr">
        <is>
          <t>#aether:is_aether; #cobblemon:is_dripstone</t>
        </is>
      </c>
      <c r="Q104" s="19" t="inlineStr"/>
      <c r="R104" s="18">
        <f>IF(Q104="",P104,Q104)</f>
        <v/>
      </c>
      <c r="S104" s="18" t="inlineStr"/>
      <c r="T104" s="18" t="inlineStr">
        <is>
          <t>uncommon</t>
        </is>
      </c>
      <c r="U104" s="20" t="n">
        <v>1.52</v>
      </c>
      <c r="V104" s="21" t="n">
        <v>1</v>
      </c>
      <c r="W104" s="20">
        <f>IF(OR(U104="",V104=""),U104,U104*V104)</f>
        <v/>
      </c>
      <c r="X104" s="18" t="inlineStr">
        <is>
          <t>17-32</t>
        </is>
      </c>
      <c r="Y104" s="19" t="inlineStr"/>
      <c r="Z104" s="18">
        <f>IF(Y104="",X104,Y104)</f>
        <v/>
      </c>
      <c r="AA104" s="18" t="inlineStr">
        <is>
          <t>grounded</t>
        </is>
      </c>
      <c r="AB104" s="18" t="inlineStr"/>
      <c r="AC104" s="18" t="inlineStr"/>
      <c r="AD104" s="18" t="inlineStr"/>
      <c r="AE104" s="18" t="inlineStr">
        <is>
          <t>sky 0-7</t>
        </is>
      </c>
      <c r="AF104" s="18" t="inlineStr"/>
      <c r="AG104" s="18" t="inlineStr"/>
      <c r="AH104" s="18" t="inlineStr"/>
      <c r="AI104" s="18" t="inlineStr"/>
      <c r="AJ104" s="18" t="inlineStr">
        <is>
          <t>Cobblemon 동일</t>
        </is>
      </c>
      <c r="AK104" s="18" t="inlineStr">
        <is>
          <t>사용</t>
        </is>
      </c>
      <c r="AL104" s="18" t="inlineStr">
        <is>
          <t>COBBLEVERSE 1.7.42 / DP v31</t>
        </is>
      </c>
      <c r="AM104" s="18" t="inlineStr">
        <is>
          <t>data/cobblemon/spawn_pool_world/0035_clefairy.json</t>
        </is>
      </c>
      <c r="AN104" s="18" t="inlineStr">
        <is>
          <t>clefairy-2</t>
        </is>
      </c>
      <c r="AO104" s="18" t="inlineStr">
        <is>
          <t>pokemon</t>
        </is>
      </c>
      <c r="AP104" s="18" t="inlineStr">
        <is>
          <t>natural</t>
        </is>
      </c>
      <c r="AQ104" s="18" t="inlineStr">
        <is>
          <t>{"biomes":["#aether:is_aether","#cobblemon:is_dripstone"],"maxSkyLight":7,"minSkyLight":0}</t>
        </is>
      </c>
      <c r="AR104" s="18" t="inlineStr"/>
      <c r="AS104" s="18" t="inlineStr"/>
      <c r="AT104" s="19" t="inlineStr"/>
    </row>
    <row r="105" ht="32" customHeight="1">
      <c r="A105" s="18" t="inlineStr">
        <is>
          <t>0035_clefairy.json::clefairy-3::003</t>
        </is>
      </c>
      <c r="B105" s="19" t="inlineStr">
        <is>
          <t>사용</t>
        </is>
      </c>
      <c r="C105" s="18">
        <f>IF(OR(B105&lt;&gt;AK105,M105&lt;&gt;L105,O105&lt;&gt;"",Q105&lt;&gt;"",V105&lt;&gt;1,Y105&lt;&gt;"",AT105&lt;&gt;""),"수정","원본")</f>
        <v/>
      </c>
      <c r="D105" s="18" t="n">
        <v>35</v>
      </c>
      <c r="E105" s="18" t="inlineStr">
        <is>
          <t>삐삐</t>
        </is>
      </c>
      <c r="F105" s="18" t="inlineStr">
        <is>
          <t>clefairy</t>
        </is>
      </c>
      <c r="G105" s="18" t="inlineStr">
        <is>
          <t>clefairy</t>
        </is>
      </c>
      <c r="H105" s="18" t="inlineStr"/>
      <c r="I105" s="18" t="n">
        <v>1</v>
      </c>
      <c r="J105" s="18" t="n"/>
      <c r="K105" s="18" t="n">
        <v>1</v>
      </c>
      <c r="L105" s="18" t="inlineStr">
        <is>
          <t>cobbleventure:generation_1</t>
        </is>
      </c>
      <c r="M105" s="19" t="inlineStr">
        <is>
          <t>cobbleventure:generation_1</t>
        </is>
      </c>
      <c r="N105" s="18" t="inlineStr"/>
      <c r="O105" s="19" t="inlineStr"/>
      <c r="P105" s="18" t="inlineStr">
        <is>
          <t>#cobblemon:is_hills</t>
        </is>
      </c>
      <c r="Q105" s="19" t="inlineStr"/>
      <c r="R105" s="18">
        <f>IF(Q105="",P105,Q105)</f>
        <v/>
      </c>
      <c r="S105" s="18" t="inlineStr"/>
      <c r="T105" s="18" t="inlineStr">
        <is>
          <t>uncommon</t>
        </is>
      </c>
      <c r="U105" s="20" t="n">
        <v>1.52</v>
      </c>
      <c r="V105" s="21" t="n">
        <v>1</v>
      </c>
      <c r="W105" s="20">
        <f>IF(OR(U105="",V105=""),U105,U105*V105)</f>
        <v/>
      </c>
      <c r="X105" s="18" t="inlineStr">
        <is>
          <t>17-32</t>
        </is>
      </c>
      <c r="Y105" s="19" t="inlineStr"/>
      <c r="Z105" s="18">
        <f>IF(Y105="",X105,Y105)</f>
        <v/>
      </c>
      <c r="AA105" s="18" t="inlineStr">
        <is>
          <t>grounded</t>
        </is>
      </c>
      <c r="AB105" s="18" t="inlineStr">
        <is>
          <t>night</t>
        </is>
      </c>
      <c r="AC105" s="18" t="inlineStr"/>
      <c r="AD105" s="18" t="inlineStr"/>
      <c r="AE105" s="18" t="inlineStr">
        <is>
          <t>sky 8-15</t>
        </is>
      </c>
      <c r="AF105" s="18" t="inlineStr"/>
      <c r="AG105" s="18" t="inlineStr"/>
      <c r="AH105" s="18" t="inlineStr"/>
      <c r="AI105" s="18" t="inlineStr">
        <is>
          <t>{"condition":{"moonPhase":"0"}}</t>
        </is>
      </c>
      <c r="AJ105" s="18" t="inlineStr">
        <is>
          <t>Cobblemon 동일</t>
        </is>
      </c>
      <c r="AK105" s="18" t="inlineStr">
        <is>
          <t>사용</t>
        </is>
      </c>
      <c r="AL105" s="18" t="inlineStr">
        <is>
          <t>COBBLEVERSE 1.7.42 / DP v31</t>
        </is>
      </c>
      <c r="AM105" s="18" t="inlineStr">
        <is>
          <t>data/cobblemon/spawn_pool_world/0035_clefairy.json</t>
        </is>
      </c>
      <c r="AN105" s="18" t="inlineStr">
        <is>
          <t>clefairy-3</t>
        </is>
      </c>
      <c r="AO105" s="18" t="inlineStr">
        <is>
          <t>pokemon</t>
        </is>
      </c>
      <c r="AP105" s="18" t="inlineStr">
        <is>
          <t>natural</t>
        </is>
      </c>
      <c r="AQ105" s="18" t="inlineStr">
        <is>
          <t>{"biomes":["#cobblemon:is_hills"],"maxSkyLight":15,"minSkyLight":8,"moonPhase":"0","timeRange":"night"}</t>
        </is>
      </c>
      <c r="AR105" s="18" t="inlineStr"/>
      <c r="AS105" s="18" t="inlineStr"/>
      <c r="AT105" s="19" t="inlineStr"/>
    </row>
    <row r="106" ht="32" customHeight="1">
      <c r="A106" s="18" t="inlineStr">
        <is>
          <t>0035_clefairy.json::clefairy-4::004</t>
        </is>
      </c>
      <c r="B106" s="19" t="inlineStr">
        <is>
          <t>사용</t>
        </is>
      </c>
      <c r="C106" s="18">
        <f>IF(OR(B106&lt;&gt;AK106,M106&lt;&gt;L106,O106&lt;&gt;"",Q106&lt;&gt;"",V106&lt;&gt;1,Y106&lt;&gt;"",AT106&lt;&gt;""),"수정","원본")</f>
        <v/>
      </c>
      <c r="D106" s="18" t="n">
        <v>35</v>
      </c>
      <c r="E106" s="18" t="inlineStr">
        <is>
          <t>삐삐</t>
        </is>
      </c>
      <c r="F106" s="18" t="inlineStr">
        <is>
          <t>clefairy</t>
        </is>
      </c>
      <c r="G106" s="18" t="inlineStr">
        <is>
          <t>clefairy</t>
        </is>
      </c>
      <c r="H106" s="18" t="inlineStr"/>
      <c r="I106" s="18" t="n">
        <v>1</v>
      </c>
      <c r="J106" s="18" t="n"/>
      <c r="K106" s="18" t="n">
        <v>1</v>
      </c>
      <c r="L106" s="18" t="inlineStr">
        <is>
          <t>cobbleventure:generation_1</t>
        </is>
      </c>
      <c r="M106" s="19" t="inlineStr">
        <is>
          <t>cobbleventure:generation_1</t>
        </is>
      </c>
      <c r="N106" s="18" t="inlineStr"/>
      <c r="O106" s="19" t="inlineStr"/>
      <c r="P106" s="18" t="inlineStr">
        <is>
          <t>#cobblemon:is_magical</t>
        </is>
      </c>
      <c r="Q106" s="19" t="inlineStr"/>
      <c r="R106" s="18">
        <f>IF(Q106="",P106,Q106)</f>
        <v/>
      </c>
      <c r="S106" s="18" t="inlineStr">
        <is>
          <t>#cobblemon:is_spooky</t>
        </is>
      </c>
      <c r="T106" s="18" t="inlineStr">
        <is>
          <t>uncommon</t>
        </is>
      </c>
      <c r="U106" s="20" t="n">
        <v>1.52</v>
      </c>
      <c r="V106" s="21" t="n">
        <v>1</v>
      </c>
      <c r="W106" s="20">
        <f>IF(OR(U106="",V106=""),U106,U106*V106)</f>
        <v/>
      </c>
      <c r="X106" s="18" t="inlineStr">
        <is>
          <t>17-32</t>
        </is>
      </c>
      <c r="Y106" s="19" t="inlineStr"/>
      <c r="Z106" s="18">
        <f>IF(Y106="",X106,Y106)</f>
        <v/>
      </c>
      <c r="AA106" s="18" t="inlineStr">
        <is>
          <t>grounded</t>
        </is>
      </c>
      <c r="AB106" s="18" t="inlineStr">
        <is>
          <t>night</t>
        </is>
      </c>
      <c r="AC106" s="18" t="inlineStr"/>
      <c r="AD106" s="18" t="inlineStr"/>
      <c r="AE106" s="18" t="inlineStr">
        <is>
          <t>sky 8-15</t>
        </is>
      </c>
      <c r="AF106" s="18" t="inlineStr"/>
      <c r="AG106" s="18" t="inlineStr"/>
      <c r="AH106" s="18" t="inlineStr"/>
      <c r="AI106" s="18" t="inlineStr"/>
      <c r="AJ106" s="18" t="inlineStr">
        <is>
          <t>Cobblemon 동일</t>
        </is>
      </c>
      <c r="AK106" s="18" t="inlineStr">
        <is>
          <t>사용</t>
        </is>
      </c>
      <c r="AL106" s="18" t="inlineStr">
        <is>
          <t>COBBLEVERSE 1.7.42 / DP v31</t>
        </is>
      </c>
      <c r="AM106" s="18" t="inlineStr">
        <is>
          <t>data/cobblemon/spawn_pool_world/0035_clefairy.json</t>
        </is>
      </c>
      <c r="AN106" s="18" t="inlineStr">
        <is>
          <t>clefairy-4</t>
        </is>
      </c>
      <c r="AO106" s="18" t="inlineStr">
        <is>
          <t>pokemon</t>
        </is>
      </c>
      <c r="AP106" s="18" t="inlineStr">
        <is>
          <t>natural</t>
        </is>
      </c>
      <c r="AQ106" s="18" t="inlineStr">
        <is>
          <t>{"biomes":["#cobblemon:is_magical"],"maxSkyLight":15,"minSkyLight":8,"timeRange":"night"}</t>
        </is>
      </c>
      <c r="AR106" s="18" t="inlineStr">
        <is>
          <t>{"biomes":["#cobblemon:is_spooky"]}</t>
        </is>
      </c>
      <c r="AS106" s="18" t="inlineStr"/>
      <c r="AT106" s="19" t="inlineStr"/>
    </row>
    <row r="107" ht="32" customHeight="1">
      <c r="A107" s="18" t="inlineStr">
        <is>
          <t>0036_clefable.json::clefable-1::001</t>
        </is>
      </c>
      <c r="B107" s="19" t="inlineStr">
        <is>
          <t>사용</t>
        </is>
      </c>
      <c r="C107" s="18">
        <f>IF(OR(B107&lt;&gt;AK107,M107&lt;&gt;L107,O107&lt;&gt;"",Q107&lt;&gt;"",V107&lt;&gt;1,Y107&lt;&gt;"",AT107&lt;&gt;""),"수정","원본")</f>
        <v/>
      </c>
      <c r="D107" s="18" t="n">
        <v>36</v>
      </c>
      <c r="E107" s="18" t="inlineStr">
        <is>
          <t>픽시</t>
        </is>
      </c>
      <c r="F107" s="18" t="inlineStr">
        <is>
          <t>clefable</t>
        </is>
      </c>
      <c r="G107" s="18" t="inlineStr">
        <is>
          <t>clefable</t>
        </is>
      </c>
      <c r="H107" s="18" t="inlineStr"/>
      <c r="I107" s="18" t="n">
        <v>1</v>
      </c>
      <c r="J107" s="18" t="n"/>
      <c r="K107" s="18" t="n">
        <v>1</v>
      </c>
      <c r="L107" s="18" t="inlineStr">
        <is>
          <t>cobbleventure:generation_1</t>
        </is>
      </c>
      <c r="M107" s="19" t="inlineStr">
        <is>
          <t>cobbleventure:generation_1</t>
        </is>
      </c>
      <c r="N107" s="18" t="inlineStr"/>
      <c r="O107" s="19" t="inlineStr"/>
      <c r="P107" s="18" t="inlineStr">
        <is>
          <t>#cobblemon:is_dripstone</t>
        </is>
      </c>
      <c r="Q107" s="19" t="inlineStr"/>
      <c r="R107" s="18">
        <f>IF(Q107="",P107,Q107)</f>
        <v/>
      </c>
      <c r="S107" s="18" t="inlineStr"/>
      <c r="T107" s="18" t="inlineStr">
        <is>
          <t>uncommon</t>
        </is>
      </c>
      <c r="U107" s="20" t="n">
        <v>0.08</v>
      </c>
      <c r="V107" s="21" t="n">
        <v>1</v>
      </c>
      <c r="W107" s="20">
        <f>IF(OR(U107="",V107=""),U107,U107*V107)</f>
        <v/>
      </c>
      <c r="X107" s="18" t="inlineStr">
        <is>
          <t>27-48</t>
        </is>
      </c>
      <c r="Y107" s="19" t="inlineStr"/>
      <c r="Z107" s="18">
        <f>IF(Y107="",X107,Y107)</f>
        <v/>
      </c>
      <c r="AA107" s="18" t="inlineStr">
        <is>
          <t>grounded</t>
        </is>
      </c>
      <c r="AB107" s="18" t="inlineStr">
        <is>
          <t>night</t>
        </is>
      </c>
      <c r="AC107" s="18" t="inlineStr"/>
      <c r="AD107" s="18" t="inlineStr"/>
      <c r="AE107" s="18" t="inlineStr">
        <is>
          <t>sky 8-15</t>
        </is>
      </c>
      <c r="AF107" s="18" t="inlineStr"/>
      <c r="AG107" s="18" t="inlineStr"/>
      <c r="AH107" s="18" t="inlineStr"/>
      <c r="AI107" s="18" t="inlineStr"/>
      <c r="AJ107" s="18" t="inlineStr">
        <is>
          <t>Cobblemon 동일</t>
        </is>
      </c>
      <c r="AK107" s="18" t="inlineStr">
        <is>
          <t>사용</t>
        </is>
      </c>
      <c r="AL107" s="18" t="inlineStr">
        <is>
          <t>COBBLEVERSE 1.7.42 / DP v31</t>
        </is>
      </c>
      <c r="AM107" s="18" t="inlineStr">
        <is>
          <t>data/cobblemon/spawn_pool_world/0036_clefable.json</t>
        </is>
      </c>
      <c r="AN107" s="18" t="inlineStr">
        <is>
          <t>clefable-1</t>
        </is>
      </c>
      <c r="AO107" s="18" t="inlineStr">
        <is>
          <t>pokemon</t>
        </is>
      </c>
      <c r="AP107" s="18" t="inlineStr">
        <is>
          <t>natural</t>
        </is>
      </c>
      <c r="AQ107" s="18" t="inlineStr">
        <is>
          <t>{"biomes":["#cobblemon:is_dripstone"],"maxSkyLight":15,"minSkyLight":8,"timeRange":"night"}</t>
        </is>
      </c>
      <c r="AR107" s="18" t="inlineStr"/>
      <c r="AS107" s="18" t="inlineStr"/>
      <c r="AT107" s="19" t="inlineStr"/>
    </row>
    <row r="108" ht="32" customHeight="1">
      <c r="A108" s="18" t="inlineStr">
        <is>
          <t>0036_clefable.json::clefable-2::002</t>
        </is>
      </c>
      <c r="B108" s="19" t="inlineStr">
        <is>
          <t>사용</t>
        </is>
      </c>
      <c r="C108" s="18">
        <f>IF(OR(B108&lt;&gt;AK108,M108&lt;&gt;L108,O108&lt;&gt;"",Q108&lt;&gt;"",V108&lt;&gt;1,Y108&lt;&gt;"",AT108&lt;&gt;""),"수정","원본")</f>
        <v/>
      </c>
      <c r="D108" s="18" t="n">
        <v>36</v>
      </c>
      <c r="E108" s="18" t="inlineStr">
        <is>
          <t>픽시</t>
        </is>
      </c>
      <c r="F108" s="18" t="inlineStr">
        <is>
          <t>clefable</t>
        </is>
      </c>
      <c r="G108" s="18" t="inlineStr">
        <is>
          <t>clefable</t>
        </is>
      </c>
      <c r="H108" s="18" t="inlineStr"/>
      <c r="I108" s="18" t="n">
        <v>1</v>
      </c>
      <c r="J108" s="18" t="n"/>
      <c r="K108" s="18" t="n">
        <v>1</v>
      </c>
      <c r="L108" s="18" t="inlineStr">
        <is>
          <t>cobbleventure:generation_1</t>
        </is>
      </c>
      <c r="M108" s="19" t="inlineStr">
        <is>
          <t>cobbleventure:generation_1</t>
        </is>
      </c>
      <c r="N108" s="18" t="inlineStr"/>
      <c r="O108" s="19" t="inlineStr"/>
      <c r="P108" s="18" t="inlineStr">
        <is>
          <t>#aether:is_aether; #cobblemon:is_dripstone</t>
        </is>
      </c>
      <c r="Q108" s="19" t="inlineStr"/>
      <c r="R108" s="18">
        <f>IF(Q108="",P108,Q108)</f>
        <v/>
      </c>
      <c r="S108" s="18" t="inlineStr"/>
      <c r="T108" s="18" t="inlineStr">
        <is>
          <t>uncommon</t>
        </is>
      </c>
      <c r="U108" s="20" t="n">
        <v>0.08</v>
      </c>
      <c r="V108" s="21" t="n">
        <v>1</v>
      </c>
      <c r="W108" s="20">
        <f>IF(OR(U108="",V108=""),U108,U108*V108)</f>
        <v/>
      </c>
      <c r="X108" s="18" t="inlineStr">
        <is>
          <t>27-48</t>
        </is>
      </c>
      <c r="Y108" s="19" t="inlineStr"/>
      <c r="Z108" s="18">
        <f>IF(Y108="",X108,Y108)</f>
        <v/>
      </c>
      <c r="AA108" s="18" t="inlineStr">
        <is>
          <t>grounded</t>
        </is>
      </c>
      <c r="AB108" s="18" t="inlineStr"/>
      <c r="AC108" s="18" t="inlineStr"/>
      <c r="AD108" s="18" t="inlineStr"/>
      <c r="AE108" s="18" t="inlineStr">
        <is>
          <t>sky 0-7</t>
        </is>
      </c>
      <c r="AF108" s="18" t="inlineStr"/>
      <c r="AG108" s="18" t="inlineStr"/>
      <c r="AH108" s="18" t="inlineStr"/>
      <c r="AI108" s="18" t="inlineStr"/>
      <c r="AJ108" s="18" t="inlineStr">
        <is>
          <t>Cobblemon 동일</t>
        </is>
      </c>
      <c r="AK108" s="18" t="inlineStr">
        <is>
          <t>사용</t>
        </is>
      </c>
      <c r="AL108" s="18" t="inlineStr">
        <is>
          <t>COBBLEVERSE 1.7.42 / DP v31</t>
        </is>
      </c>
      <c r="AM108" s="18" t="inlineStr">
        <is>
          <t>data/cobblemon/spawn_pool_world/0036_clefable.json</t>
        </is>
      </c>
      <c r="AN108" s="18" t="inlineStr">
        <is>
          <t>clefable-2</t>
        </is>
      </c>
      <c r="AO108" s="18" t="inlineStr">
        <is>
          <t>pokemon</t>
        </is>
      </c>
      <c r="AP108" s="18" t="inlineStr">
        <is>
          <t>natural</t>
        </is>
      </c>
      <c r="AQ108" s="18" t="inlineStr">
        <is>
          <t>{"biomes":["#aether:is_aether","#cobblemon:is_dripstone"],"maxSkyLight":7,"minSkyLight":0}</t>
        </is>
      </c>
      <c r="AR108" s="18" t="inlineStr"/>
      <c r="AS108" s="18" t="inlineStr"/>
      <c r="AT108" s="19" t="inlineStr"/>
    </row>
    <row r="109" ht="32" customHeight="1">
      <c r="A109" s="18" t="inlineStr">
        <is>
          <t>0036_clefable.json::clefable-3::003</t>
        </is>
      </c>
      <c r="B109" s="19" t="inlineStr">
        <is>
          <t>사용</t>
        </is>
      </c>
      <c r="C109" s="18">
        <f>IF(OR(B109&lt;&gt;AK109,M109&lt;&gt;L109,O109&lt;&gt;"",Q109&lt;&gt;"",V109&lt;&gt;1,Y109&lt;&gt;"",AT109&lt;&gt;""),"수정","원본")</f>
        <v/>
      </c>
      <c r="D109" s="18" t="n">
        <v>36</v>
      </c>
      <c r="E109" s="18" t="inlineStr">
        <is>
          <t>픽시</t>
        </is>
      </c>
      <c r="F109" s="18" t="inlineStr">
        <is>
          <t>clefable</t>
        </is>
      </c>
      <c r="G109" s="18" t="inlineStr">
        <is>
          <t>clefable</t>
        </is>
      </c>
      <c r="H109" s="18" t="inlineStr"/>
      <c r="I109" s="18" t="n">
        <v>1</v>
      </c>
      <c r="J109" s="18" t="n"/>
      <c r="K109" s="18" t="n">
        <v>1</v>
      </c>
      <c r="L109" s="18" t="inlineStr">
        <is>
          <t>cobbleventure:generation_1</t>
        </is>
      </c>
      <c r="M109" s="19" t="inlineStr">
        <is>
          <t>cobbleventure:generation_1</t>
        </is>
      </c>
      <c r="N109" s="18" t="inlineStr"/>
      <c r="O109" s="19" t="inlineStr"/>
      <c r="P109" s="18" t="inlineStr">
        <is>
          <t>#cobblemon:is_hills</t>
        </is>
      </c>
      <c r="Q109" s="19" t="inlineStr"/>
      <c r="R109" s="18">
        <f>IF(Q109="",P109,Q109)</f>
        <v/>
      </c>
      <c r="S109" s="18" t="inlineStr"/>
      <c r="T109" s="18" t="inlineStr">
        <is>
          <t>uncommon</t>
        </is>
      </c>
      <c r="U109" s="20" t="n">
        <v>0.08</v>
      </c>
      <c r="V109" s="21" t="n">
        <v>1</v>
      </c>
      <c r="W109" s="20">
        <f>IF(OR(U109="",V109=""),U109,U109*V109)</f>
        <v/>
      </c>
      <c r="X109" s="18" t="inlineStr">
        <is>
          <t>27-48</t>
        </is>
      </c>
      <c r="Y109" s="19" t="inlineStr"/>
      <c r="Z109" s="18">
        <f>IF(Y109="",X109,Y109)</f>
        <v/>
      </c>
      <c r="AA109" s="18" t="inlineStr">
        <is>
          <t>grounded</t>
        </is>
      </c>
      <c r="AB109" s="18" t="inlineStr">
        <is>
          <t>night</t>
        </is>
      </c>
      <c r="AC109" s="18" t="inlineStr"/>
      <c r="AD109" s="18" t="inlineStr"/>
      <c r="AE109" s="18" t="inlineStr">
        <is>
          <t>sky 8-15</t>
        </is>
      </c>
      <c r="AF109" s="18" t="inlineStr"/>
      <c r="AG109" s="18" t="inlineStr"/>
      <c r="AH109" s="18" t="inlineStr"/>
      <c r="AI109" s="18" t="inlineStr">
        <is>
          <t>{"condition":{"moonPhase":"0"}}</t>
        </is>
      </c>
      <c r="AJ109" s="18" t="inlineStr">
        <is>
          <t>Cobblemon 동일</t>
        </is>
      </c>
      <c r="AK109" s="18" t="inlineStr">
        <is>
          <t>사용</t>
        </is>
      </c>
      <c r="AL109" s="18" t="inlineStr">
        <is>
          <t>COBBLEVERSE 1.7.42 / DP v31</t>
        </is>
      </c>
      <c r="AM109" s="18" t="inlineStr">
        <is>
          <t>data/cobblemon/spawn_pool_world/0036_clefable.json</t>
        </is>
      </c>
      <c r="AN109" s="18" t="inlineStr">
        <is>
          <t>clefable-3</t>
        </is>
      </c>
      <c r="AO109" s="18" t="inlineStr">
        <is>
          <t>pokemon</t>
        </is>
      </c>
      <c r="AP109" s="18" t="inlineStr">
        <is>
          <t>natural</t>
        </is>
      </c>
      <c r="AQ109" s="18" t="inlineStr">
        <is>
          <t>{"biomes":["#cobblemon:is_hills"],"maxSkyLight":15,"minSkyLight":8,"moonPhase":"0","timeRange":"night"}</t>
        </is>
      </c>
      <c r="AR109" s="18" t="inlineStr"/>
      <c r="AS109" s="18" t="inlineStr"/>
      <c r="AT109" s="19" t="inlineStr"/>
    </row>
    <row r="110" ht="32" customHeight="1">
      <c r="A110" s="18" t="inlineStr">
        <is>
          <t>0036_clefable.json::clefable-4::004</t>
        </is>
      </c>
      <c r="B110" s="19" t="inlineStr">
        <is>
          <t>사용</t>
        </is>
      </c>
      <c r="C110" s="18">
        <f>IF(OR(B110&lt;&gt;AK110,M110&lt;&gt;L110,O110&lt;&gt;"",Q110&lt;&gt;"",V110&lt;&gt;1,Y110&lt;&gt;"",AT110&lt;&gt;""),"수정","원본")</f>
        <v/>
      </c>
      <c r="D110" s="18" t="n">
        <v>36</v>
      </c>
      <c r="E110" s="18" t="inlineStr">
        <is>
          <t>픽시</t>
        </is>
      </c>
      <c r="F110" s="18" t="inlineStr">
        <is>
          <t>clefable</t>
        </is>
      </c>
      <c r="G110" s="18" t="inlineStr">
        <is>
          <t>clefable</t>
        </is>
      </c>
      <c r="H110" s="18" t="inlineStr"/>
      <c r="I110" s="18" t="n">
        <v>1</v>
      </c>
      <c r="J110" s="18" t="n"/>
      <c r="K110" s="18" t="n">
        <v>1</v>
      </c>
      <c r="L110" s="18" t="inlineStr">
        <is>
          <t>cobbleventure:generation_1</t>
        </is>
      </c>
      <c r="M110" s="19" t="inlineStr">
        <is>
          <t>cobbleventure:generation_1</t>
        </is>
      </c>
      <c r="N110" s="18" t="inlineStr"/>
      <c r="O110" s="19" t="inlineStr"/>
      <c r="P110" s="18" t="inlineStr">
        <is>
          <t>#cobblemon:is_magical</t>
        </is>
      </c>
      <c r="Q110" s="19" t="inlineStr"/>
      <c r="R110" s="18">
        <f>IF(Q110="",P110,Q110)</f>
        <v/>
      </c>
      <c r="S110" s="18" t="inlineStr">
        <is>
          <t>#cobblemon:is_spooky</t>
        </is>
      </c>
      <c r="T110" s="18" t="inlineStr">
        <is>
          <t>uncommon</t>
        </is>
      </c>
      <c r="U110" s="20" t="n">
        <v>0.08</v>
      </c>
      <c r="V110" s="21" t="n">
        <v>1</v>
      </c>
      <c r="W110" s="20">
        <f>IF(OR(U110="",V110=""),U110,U110*V110)</f>
        <v/>
      </c>
      <c r="X110" s="18" t="inlineStr">
        <is>
          <t>27-48</t>
        </is>
      </c>
      <c r="Y110" s="19" t="inlineStr"/>
      <c r="Z110" s="18">
        <f>IF(Y110="",X110,Y110)</f>
        <v/>
      </c>
      <c r="AA110" s="18" t="inlineStr">
        <is>
          <t>grounded</t>
        </is>
      </c>
      <c r="AB110" s="18" t="inlineStr">
        <is>
          <t>night</t>
        </is>
      </c>
      <c r="AC110" s="18" t="inlineStr"/>
      <c r="AD110" s="18" t="inlineStr"/>
      <c r="AE110" s="18" t="inlineStr">
        <is>
          <t>sky 8-15</t>
        </is>
      </c>
      <c r="AF110" s="18" t="inlineStr"/>
      <c r="AG110" s="18" t="inlineStr"/>
      <c r="AH110" s="18" t="inlineStr"/>
      <c r="AI110" s="18" t="inlineStr"/>
      <c r="AJ110" s="18" t="inlineStr">
        <is>
          <t>Cobblemon 동일</t>
        </is>
      </c>
      <c r="AK110" s="18" t="inlineStr">
        <is>
          <t>사용</t>
        </is>
      </c>
      <c r="AL110" s="18" t="inlineStr">
        <is>
          <t>COBBLEVERSE 1.7.42 / DP v31</t>
        </is>
      </c>
      <c r="AM110" s="18" t="inlineStr">
        <is>
          <t>data/cobblemon/spawn_pool_world/0036_clefable.json</t>
        </is>
      </c>
      <c r="AN110" s="18" t="inlineStr">
        <is>
          <t>clefable-4</t>
        </is>
      </c>
      <c r="AO110" s="18" t="inlineStr">
        <is>
          <t>pokemon</t>
        </is>
      </c>
      <c r="AP110" s="18" t="inlineStr">
        <is>
          <t>natural</t>
        </is>
      </c>
      <c r="AQ110" s="18" t="inlineStr">
        <is>
          <t>{"biomes":["#cobblemon:is_magical"],"maxSkyLight":15,"minSkyLight":8,"timeRange":"night"}</t>
        </is>
      </c>
      <c r="AR110" s="18" t="inlineStr">
        <is>
          <t>{"biomes":["#cobblemon:is_spooky"]}</t>
        </is>
      </c>
      <c r="AS110" s="18" t="inlineStr"/>
      <c r="AT110" s="19" t="inlineStr"/>
    </row>
    <row r="111" ht="32" customHeight="1">
      <c r="A111" s="18" t="inlineStr">
        <is>
          <t>0037_vulpix.json::vulpix-1::001</t>
        </is>
      </c>
      <c r="B111" s="19" t="inlineStr">
        <is>
          <t>사용</t>
        </is>
      </c>
      <c r="C111" s="18">
        <f>IF(OR(B111&lt;&gt;AK111,M111&lt;&gt;L111,O111&lt;&gt;"",Q111&lt;&gt;"",V111&lt;&gt;1,Y111&lt;&gt;"",AT111&lt;&gt;""),"수정","원본")</f>
        <v/>
      </c>
      <c r="D111" s="18" t="n">
        <v>37</v>
      </c>
      <c r="E111" s="18" t="inlineStr">
        <is>
          <t>식스테일</t>
        </is>
      </c>
      <c r="F111" s="18" t="inlineStr">
        <is>
          <t>vulpix</t>
        </is>
      </c>
      <c r="G111" s="18" t="inlineStr">
        <is>
          <t>vulpix</t>
        </is>
      </c>
      <c r="H111" s="18" t="inlineStr"/>
      <c r="I111" s="18" t="n">
        <v>1</v>
      </c>
      <c r="J111" s="18" t="n"/>
      <c r="K111" s="18" t="n">
        <v>1</v>
      </c>
      <c r="L111" s="18" t="inlineStr">
        <is>
          <t>cobbleventure:generation_1</t>
        </is>
      </c>
      <c r="M111" s="19" t="inlineStr">
        <is>
          <t>cobbleventure:generation_1</t>
        </is>
      </c>
      <c r="N111" s="18" t="inlineStr">
        <is>
          <t>region_01</t>
        </is>
      </c>
      <c r="O111" s="19" t="inlineStr"/>
      <c r="P111" s="18" t="inlineStr">
        <is>
          <t>#cobblemon:is_forest; #cobblemon:is_taiga</t>
        </is>
      </c>
      <c r="Q111" s="19" t="inlineStr"/>
      <c r="R111" s="18">
        <f>IF(Q111="",P111,Q111)</f>
        <v/>
      </c>
      <c r="S111" s="18" t="inlineStr">
        <is>
          <t>#cobblemon:is_freezing</t>
        </is>
      </c>
      <c r="T111" s="18" t="inlineStr">
        <is>
          <t>uncommon</t>
        </is>
      </c>
      <c r="U111" s="20" t="n">
        <v>5.5</v>
      </c>
      <c r="V111" s="21" t="n">
        <v>1</v>
      </c>
      <c r="W111" s="20">
        <f>IF(OR(U111="",V111=""),U111,U111*V111)</f>
        <v/>
      </c>
      <c r="X111" s="18" t="inlineStr">
        <is>
          <t>5-30</t>
        </is>
      </c>
      <c r="Y111" s="19" t="inlineStr"/>
      <c r="Z111" s="18">
        <f>IF(Y111="",X111,Y111)</f>
        <v/>
      </c>
      <c r="AA111" s="18" t="inlineStr">
        <is>
          <t>grounded</t>
        </is>
      </c>
      <c r="AB111" s="18" t="inlineStr"/>
      <c r="AC111" s="18" t="inlineStr"/>
      <c r="AD111" s="18" t="inlineStr"/>
      <c r="AE111" s="18" t="inlineStr">
        <is>
          <t>sky 8-15</t>
        </is>
      </c>
      <c r="AF111" s="18" t="inlineStr"/>
      <c r="AG111" s="18" t="inlineStr"/>
      <c r="AH111" s="18" t="inlineStr"/>
      <c r="AI111" s="18" t="inlineStr"/>
      <c r="AJ111" s="18" t="inlineStr">
        <is>
          <t>COBBLEVERSE 수정</t>
        </is>
      </c>
      <c r="AK111" s="18" t="inlineStr">
        <is>
          <t>사용</t>
        </is>
      </c>
      <c r="AL111" s="18" t="inlineStr">
        <is>
          <t>COBBLEVERSE 1.7.42 / DP v31</t>
        </is>
      </c>
      <c r="AM111" s="18" t="inlineStr">
        <is>
          <t>data/cobblemon/spawn_pool_world/0037_vulpix.json</t>
        </is>
      </c>
      <c r="AN111" s="18" t="inlineStr">
        <is>
          <t>vulpix-1</t>
        </is>
      </c>
      <c r="AO111" s="18" t="inlineStr">
        <is>
          <t>pokemon</t>
        </is>
      </c>
      <c r="AP111" s="18" t="inlineStr">
        <is>
          <t>natural</t>
        </is>
      </c>
      <c r="AQ111" s="18" t="inlineStr">
        <is>
          <t>{"biomes":["#cobblemon:is_forest","#cobblemon:is_taiga"],"maxSkyLight":15,"minSkyLight":8}</t>
        </is>
      </c>
      <c r="AR111" s="18" t="inlineStr">
        <is>
          <t>{"biomes":["#cobblemon:is_freezing"]}</t>
        </is>
      </c>
      <c r="AS111" s="18" t="inlineStr">
        <is>
          <t>{"weightMultiplier":{"condition":{"timeRange":"twilight"},"multiplier":2.5}}</t>
        </is>
      </c>
      <c r="AT111" s="19" t="inlineStr"/>
    </row>
    <row r="112" ht="32" customHeight="1">
      <c r="A112" s="18" t="inlineStr">
        <is>
          <t>0037_vulpix.json::vulpix-2::002</t>
        </is>
      </c>
      <c r="B112" s="19" t="inlineStr">
        <is>
          <t>사용</t>
        </is>
      </c>
      <c r="C112" s="18">
        <f>IF(OR(B112&lt;&gt;AK112,M112&lt;&gt;L112,O112&lt;&gt;"",Q112&lt;&gt;"",V112&lt;&gt;1,Y112&lt;&gt;"",AT112&lt;&gt;""),"수정","원본")</f>
        <v/>
      </c>
      <c r="D112" s="18" t="n">
        <v>37</v>
      </c>
      <c r="E112" s="18" t="inlineStr">
        <is>
          <t>식스테일</t>
        </is>
      </c>
      <c r="F112" s="18" t="inlineStr">
        <is>
          <t>vulpix</t>
        </is>
      </c>
      <c r="G112" s="18" t="inlineStr">
        <is>
          <t>vulpix</t>
        </is>
      </c>
      <c r="H112" s="18" t="inlineStr"/>
      <c r="I112" s="18" t="n">
        <v>1</v>
      </c>
      <c r="J112" s="18" t="n"/>
      <c r="K112" s="18" t="n">
        <v>1</v>
      </c>
      <c r="L112" s="18" t="inlineStr">
        <is>
          <t>cobbleventure:generation_1</t>
        </is>
      </c>
      <c r="M112" s="19" t="inlineStr">
        <is>
          <t>cobbleventure:generation_1</t>
        </is>
      </c>
      <c r="N112" s="18" t="inlineStr"/>
      <c r="O112" s="19" t="inlineStr"/>
      <c r="P112" s="18" t="inlineStr">
        <is>
          <t>#cobblemon:nether/is_forest</t>
        </is>
      </c>
      <c r="Q112" s="19" t="inlineStr"/>
      <c r="R112" s="18">
        <f>IF(Q112="",P112,Q112)</f>
        <v/>
      </c>
      <c r="S112" s="18" t="inlineStr">
        <is>
          <t>#cobblemon:nether/is_frozen</t>
        </is>
      </c>
      <c r="T112" s="18" t="inlineStr">
        <is>
          <t>common</t>
        </is>
      </c>
      <c r="U112" s="20" t="n">
        <v>1.9</v>
      </c>
      <c r="V112" s="21" t="n">
        <v>1</v>
      </c>
      <c r="W112" s="20">
        <f>IF(OR(U112="",V112=""),U112,U112*V112)</f>
        <v/>
      </c>
      <c r="X112" s="18" t="inlineStr">
        <is>
          <t>5-30</t>
        </is>
      </c>
      <c r="Y112" s="19" t="inlineStr"/>
      <c r="Z112" s="18">
        <f>IF(Y112="",X112,Y112)</f>
        <v/>
      </c>
      <c r="AA112" s="18" t="inlineStr">
        <is>
          <t>grounded</t>
        </is>
      </c>
      <c r="AB112" s="18" t="inlineStr"/>
      <c r="AC112" s="18" t="inlineStr"/>
      <c r="AD112" s="18" t="inlineStr"/>
      <c r="AE112" s="18" t="inlineStr"/>
      <c r="AF112" s="18" t="inlineStr"/>
      <c r="AG112" s="18" t="inlineStr"/>
      <c r="AH112" s="18" t="inlineStr"/>
      <c r="AI112" s="18" t="inlineStr"/>
      <c r="AJ112" s="18" t="inlineStr">
        <is>
          <t>COBBLEVERSE 수정</t>
        </is>
      </c>
      <c r="AK112" s="18" t="inlineStr">
        <is>
          <t>사용</t>
        </is>
      </c>
      <c r="AL112" s="18" t="inlineStr">
        <is>
          <t>COBBLEVERSE 1.7.42 / DP v31</t>
        </is>
      </c>
      <c r="AM112" s="18" t="inlineStr">
        <is>
          <t>data/cobblemon/spawn_pool_world/0037_vulpix.json</t>
        </is>
      </c>
      <c r="AN112" s="18" t="inlineStr">
        <is>
          <t>vulpix-2</t>
        </is>
      </c>
      <c r="AO112" s="18" t="inlineStr">
        <is>
          <t>pokemon</t>
        </is>
      </c>
      <c r="AP112" s="18" t="inlineStr">
        <is>
          <t>natural</t>
        </is>
      </c>
      <c r="AQ112" s="18" t="inlineStr">
        <is>
          <t>{"biomes":["#cobblemon:nether/is_forest"]}</t>
        </is>
      </c>
      <c r="AR112" s="18" t="inlineStr">
        <is>
          <t>{"biomes":["#cobblemon:nether/is_frozen"]}</t>
        </is>
      </c>
      <c r="AS112" s="18" t="inlineStr"/>
      <c r="AT112" s="19" t="inlineStr"/>
    </row>
    <row r="113" ht="32" customHeight="1">
      <c r="A113" s="18" t="inlineStr">
        <is>
          <t>0037_vulpix.json::vulpix-alolan-3::003</t>
        </is>
      </c>
      <c r="B113" s="19" t="inlineStr">
        <is>
          <t>사용</t>
        </is>
      </c>
      <c r="C113" s="18">
        <f>IF(OR(B113&lt;&gt;AK113,M113&lt;&gt;L113,O113&lt;&gt;"",Q113&lt;&gt;"",V113&lt;&gt;1,Y113&lt;&gt;"",AT113&lt;&gt;""),"수정","원본")</f>
        <v/>
      </c>
      <c r="D113" s="18" t="n">
        <v>37</v>
      </c>
      <c r="E113" s="18" t="inlineStr">
        <is>
          <t>식스테일</t>
        </is>
      </c>
      <c r="F113" s="18" t="inlineStr">
        <is>
          <t>vulpix</t>
        </is>
      </c>
      <c r="G113" s="18" t="inlineStr">
        <is>
          <t>vulpix alolan</t>
        </is>
      </c>
      <c r="H113" s="18" t="inlineStr">
        <is>
          <t>alolan</t>
        </is>
      </c>
      <c r="I113" s="18" t="n">
        <v>1</v>
      </c>
      <c r="J113" s="18" t="n">
        <v>7</v>
      </c>
      <c r="K113" s="18" t="n">
        <v>7</v>
      </c>
      <c r="L113" s="18" t="inlineStr">
        <is>
          <t>cobbleventure:generation_7</t>
        </is>
      </c>
      <c r="M113" s="19" t="inlineStr">
        <is>
          <t>cobbleventure:generation_7</t>
        </is>
      </c>
      <c r="N113" s="18" t="inlineStr"/>
      <c r="O113" s="19" t="inlineStr"/>
      <c r="P113" s="18" t="inlineStr">
        <is>
          <t>#cobblemon:is_snowy_forest; #cobblemon:is_snowy_taiga</t>
        </is>
      </c>
      <c r="Q113" s="19" t="inlineStr"/>
      <c r="R113" s="18">
        <f>IF(Q113="",P113,Q113)</f>
        <v/>
      </c>
      <c r="S113" s="18" t="inlineStr"/>
      <c r="T113" s="18" t="inlineStr">
        <is>
          <t>uncommon</t>
        </is>
      </c>
      <c r="U113" s="20" t="n">
        <v>5.5</v>
      </c>
      <c r="V113" s="21" t="n">
        <v>1</v>
      </c>
      <c r="W113" s="20">
        <f>IF(OR(U113="",V113=""),U113,U113*V113)</f>
        <v/>
      </c>
      <c r="X113" s="18" t="inlineStr">
        <is>
          <t>5-30</t>
        </is>
      </c>
      <c r="Y113" s="19" t="inlineStr"/>
      <c r="Z113" s="18">
        <f>IF(Y113="",X113,Y113)</f>
        <v/>
      </c>
      <c r="AA113" s="18" t="inlineStr">
        <is>
          <t>grounded</t>
        </is>
      </c>
      <c r="AB113" s="18" t="inlineStr"/>
      <c r="AC113" s="18" t="inlineStr"/>
      <c r="AD113" s="18" t="inlineStr"/>
      <c r="AE113" s="18" t="inlineStr">
        <is>
          <t>sky 8-15</t>
        </is>
      </c>
      <c r="AF113" s="18" t="inlineStr"/>
      <c r="AG113" s="18" t="inlineStr"/>
      <c r="AH113" s="18" t="inlineStr"/>
      <c r="AI113" s="18" t="inlineStr"/>
      <c r="AJ113" s="18" t="inlineStr">
        <is>
          <t>COBBLEVERSE 수정</t>
        </is>
      </c>
      <c r="AK113" s="18" t="inlineStr">
        <is>
          <t>사용</t>
        </is>
      </c>
      <c r="AL113" s="18" t="inlineStr">
        <is>
          <t>COBBLEVERSE 1.7.42 / DP v31</t>
        </is>
      </c>
      <c r="AM113" s="18" t="inlineStr">
        <is>
          <t>data/cobblemon/spawn_pool_world/0037_vulpix.json</t>
        </is>
      </c>
      <c r="AN113" s="18" t="inlineStr">
        <is>
          <t>vulpix-alolan-3</t>
        </is>
      </c>
      <c r="AO113" s="18" t="inlineStr">
        <is>
          <t>pokemon</t>
        </is>
      </c>
      <c r="AP113" s="18" t="inlineStr">
        <is>
          <t>natural</t>
        </is>
      </c>
      <c r="AQ113" s="18" t="inlineStr">
        <is>
          <t>{"biomes":["#cobblemon:is_snowy_forest","#cobblemon:is_snowy_taiga"],"maxSkyLight":15,"minSkyLight":8}</t>
        </is>
      </c>
      <c r="AR113" s="18" t="inlineStr"/>
      <c r="AS113" s="18" t="inlineStr">
        <is>
          <t>{"weightMultiplier":{"condition":{"timeRange":"twilight"},"multiplier":2.5}}</t>
        </is>
      </c>
      <c r="AT113" s="19" t="inlineStr"/>
    </row>
    <row r="114" ht="32" customHeight="1">
      <c r="A114" s="18" t="inlineStr">
        <is>
          <t>0037_vulpix.json::vulpix-alolan-4::004</t>
        </is>
      </c>
      <c r="B114" s="19" t="inlineStr">
        <is>
          <t>사용</t>
        </is>
      </c>
      <c r="C114" s="18">
        <f>IF(OR(B114&lt;&gt;AK114,M114&lt;&gt;L114,O114&lt;&gt;"",Q114&lt;&gt;"",V114&lt;&gt;1,Y114&lt;&gt;"",AT114&lt;&gt;""),"수정","원본")</f>
        <v/>
      </c>
      <c r="D114" s="18" t="n">
        <v>37</v>
      </c>
      <c r="E114" s="18" t="inlineStr">
        <is>
          <t>식스테일</t>
        </is>
      </c>
      <c r="F114" s="18" t="inlineStr">
        <is>
          <t>vulpix</t>
        </is>
      </c>
      <c r="G114" s="18" t="inlineStr">
        <is>
          <t>vulpix alolan</t>
        </is>
      </c>
      <c r="H114" s="18" t="inlineStr">
        <is>
          <t>alolan</t>
        </is>
      </c>
      <c r="I114" s="18" t="n">
        <v>1</v>
      </c>
      <c r="J114" s="18" t="n">
        <v>7</v>
      </c>
      <c r="K114" s="18" t="n">
        <v>7</v>
      </c>
      <c r="L114" s="18" t="inlineStr">
        <is>
          <t>cobbleventure:generation_7</t>
        </is>
      </c>
      <c r="M114" s="19" t="inlineStr">
        <is>
          <t>cobbleventure:generation_7</t>
        </is>
      </c>
      <c r="N114" s="18" t="inlineStr"/>
      <c r="O114" s="19" t="inlineStr"/>
      <c r="P114" s="18" t="inlineStr">
        <is>
          <t>minecraft:snowy_plains</t>
        </is>
      </c>
      <c r="Q114" s="19" t="inlineStr"/>
      <c r="R114" s="18">
        <f>IF(Q114="",P114,Q114)</f>
        <v/>
      </c>
      <c r="S114" s="18" t="inlineStr"/>
      <c r="T114" s="18" t="inlineStr">
        <is>
          <t>rare</t>
        </is>
      </c>
      <c r="U114" s="20" t="n">
        <v>7.3</v>
      </c>
      <c r="V114" s="21" t="n">
        <v>1</v>
      </c>
      <c r="W114" s="20">
        <f>IF(OR(U114="",V114=""),U114,U114*V114)</f>
        <v/>
      </c>
      <c r="X114" s="18" t="inlineStr">
        <is>
          <t>35-55</t>
        </is>
      </c>
      <c r="Y114" s="19" t="inlineStr"/>
      <c r="Z114" s="18">
        <f>IF(Y114="",X114,Y114)</f>
        <v/>
      </c>
      <c r="AA114" s="18" t="inlineStr">
        <is>
          <t>grounded</t>
        </is>
      </c>
      <c r="AB114" s="18" t="inlineStr"/>
      <c r="AC114" s="18" t="inlineStr"/>
      <c r="AD114" s="18" t="inlineStr"/>
      <c r="AE114" s="18" t="inlineStr">
        <is>
          <t>sky 8-15</t>
        </is>
      </c>
      <c r="AF114" s="18" t="inlineStr"/>
      <c r="AG114" s="18" t="inlineStr">
        <is>
          <t>cobbleverse:crown_spire</t>
        </is>
      </c>
      <c r="AH114" s="18" t="inlineStr"/>
      <c r="AI114" s="18" t="inlineStr"/>
      <c r="AJ114" s="18" t="inlineStr">
        <is>
          <t>COBBLEVERSE 수정</t>
        </is>
      </c>
      <c r="AK114" s="18" t="inlineStr">
        <is>
          <t>사용</t>
        </is>
      </c>
      <c r="AL114" s="18" t="inlineStr">
        <is>
          <t>COBBLEVERSE 1.7.42 / DP v31</t>
        </is>
      </c>
      <c r="AM114" s="18" t="inlineStr">
        <is>
          <t>data/cobblemon/spawn_pool_world/0037_vulpix.json</t>
        </is>
      </c>
      <c r="AN114" s="18" t="inlineStr">
        <is>
          <t>vulpix-alolan-4</t>
        </is>
      </c>
      <c r="AO114" s="18" t="inlineStr">
        <is>
          <t>pokemon</t>
        </is>
      </c>
      <c r="AP114" s="18" t="inlineStr">
        <is>
          <t>natural</t>
        </is>
      </c>
      <c r="AQ114" s="18" t="inlineStr">
        <is>
          <t>{"biomes":["minecraft:snowy_plains"],"maxSkyLight":15,"minSkyLight":8,"structures":["cobbleverse:crown_spire"]}</t>
        </is>
      </c>
      <c r="AR114" s="18" t="inlineStr"/>
      <c r="AS114" s="18" t="inlineStr"/>
      <c r="AT114" s="19" t="inlineStr"/>
    </row>
    <row r="115" ht="32" customHeight="1">
      <c r="A115" s="18" t="inlineStr">
        <is>
          <t>0038_ninetales.json::ninetales-1::001</t>
        </is>
      </c>
      <c r="B115" s="19" t="inlineStr">
        <is>
          <t>사용</t>
        </is>
      </c>
      <c r="C115" s="18">
        <f>IF(OR(B115&lt;&gt;AK115,M115&lt;&gt;L115,O115&lt;&gt;"",Q115&lt;&gt;"",V115&lt;&gt;1,Y115&lt;&gt;"",AT115&lt;&gt;""),"수정","원본")</f>
        <v/>
      </c>
      <c r="D115" s="18" t="n">
        <v>38</v>
      </c>
      <c r="E115" s="18" t="inlineStr">
        <is>
          <t>나인테일</t>
        </is>
      </c>
      <c r="F115" s="18" t="inlineStr">
        <is>
          <t>ninetales</t>
        </is>
      </c>
      <c r="G115" s="18" t="inlineStr">
        <is>
          <t>ninetales</t>
        </is>
      </c>
      <c r="H115" s="18" t="inlineStr"/>
      <c r="I115" s="18" t="n">
        <v>1</v>
      </c>
      <c r="J115" s="18" t="n"/>
      <c r="K115" s="18" t="n">
        <v>1</v>
      </c>
      <c r="L115" s="18" t="inlineStr">
        <is>
          <t>cobbleventure:generation_1</t>
        </is>
      </c>
      <c r="M115" s="19" t="inlineStr">
        <is>
          <t>cobbleventure:generation_1</t>
        </is>
      </c>
      <c r="N115" s="18" t="inlineStr">
        <is>
          <t>region_01</t>
        </is>
      </c>
      <c r="O115" s="19" t="inlineStr"/>
      <c r="P115" s="18" t="inlineStr">
        <is>
          <t>#cobblemon:is_forest; #cobblemon:is_taiga</t>
        </is>
      </c>
      <c r="Q115" s="19" t="inlineStr"/>
      <c r="R115" s="18">
        <f>IF(Q115="",P115,Q115)</f>
        <v/>
      </c>
      <c r="S115" s="18" t="inlineStr">
        <is>
          <t>#cobblemon:is_freezing</t>
        </is>
      </c>
      <c r="T115" s="18" t="inlineStr">
        <is>
          <t>uncommon</t>
        </is>
      </c>
      <c r="U115" s="20" t="n">
        <v>0.48</v>
      </c>
      <c r="V115" s="21" t="n">
        <v>1</v>
      </c>
      <c r="W115" s="20">
        <f>IF(OR(U115="",V115=""),U115,U115*V115)</f>
        <v/>
      </c>
      <c r="X115" s="18" t="inlineStr">
        <is>
          <t>25-51</t>
        </is>
      </c>
      <c r="Y115" s="19" t="inlineStr"/>
      <c r="Z115" s="18">
        <f>IF(Y115="",X115,Y115)</f>
        <v/>
      </c>
      <c r="AA115" s="18" t="inlineStr">
        <is>
          <t>grounded</t>
        </is>
      </c>
      <c r="AB115" s="18" t="inlineStr"/>
      <c r="AC115" s="18" t="inlineStr"/>
      <c r="AD115" s="18" t="inlineStr"/>
      <c r="AE115" s="18" t="inlineStr">
        <is>
          <t>sky 8-15</t>
        </is>
      </c>
      <c r="AF115" s="18" t="inlineStr"/>
      <c r="AG115" s="18" t="inlineStr"/>
      <c r="AH115" s="18" t="inlineStr"/>
      <c r="AI115" s="18" t="inlineStr"/>
      <c r="AJ115" s="18" t="inlineStr">
        <is>
          <t>COBBLEVERSE 수정</t>
        </is>
      </c>
      <c r="AK115" s="18" t="inlineStr">
        <is>
          <t>사용</t>
        </is>
      </c>
      <c r="AL115" s="18" t="inlineStr">
        <is>
          <t>COBBLEVERSE 1.7.42 / DP v31</t>
        </is>
      </c>
      <c r="AM115" s="18" t="inlineStr">
        <is>
          <t>data/cobblemon/spawn_pool_world/0038_ninetales.json</t>
        </is>
      </c>
      <c r="AN115" s="18" t="inlineStr">
        <is>
          <t>ninetales-1</t>
        </is>
      </c>
      <c r="AO115" s="18" t="inlineStr">
        <is>
          <t>pokemon</t>
        </is>
      </c>
      <c r="AP115" s="18" t="inlineStr">
        <is>
          <t>natural</t>
        </is>
      </c>
      <c r="AQ115" s="18" t="inlineStr">
        <is>
          <t>{"biomes":["#cobblemon:is_forest","#cobblemon:is_taiga"],"maxSkyLight":15,"minSkyLight":8}</t>
        </is>
      </c>
      <c r="AR115" s="18" t="inlineStr">
        <is>
          <t>{"biomes":["#cobblemon:is_freezing"]}</t>
        </is>
      </c>
      <c r="AS115" s="18" t="inlineStr">
        <is>
          <t>{"weightMultiplier":{"condition":{"timeRange":"twilight"},"multiplier":2.5}}</t>
        </is>
      </c>
      <c r="AT115" s="19" t="inlineStr"/>
    </row>
    <row r="116" ht="32" customHeight="1">
      <c r="A116" s="18" t="inlineStr">
        <is>
          <t>0038_ninetales.json::ninetales-2::002</t>
        </is>
      </c>
      <c r="B116" s="19" t="inlineStr">
        <is>
          <t>사용</t>
        </is>
      </c>
      <c r="C116" s="18">
        <f>IF(OR(B116&lt;&gt;AK116,M116&lt;&gt;L116,O116&lt;&gt;"",Q116&lt;&gt;"",V116&lt;&gt;1,Y116&lt;&gt;"",AT116&lt;&gt;""),"수정","원본")</f>
        <v/>
      </c>
      <c r="D116" s="18" t="n">
        <v>38</v>
      </c>
      <c r="E116" s="18" t="inlineStr">
        <is>
          <t>나인테일</t>
        </is>
      </c>
      <c r="F116" s="18" t="inlineStr">
        <is>
          <t>ninetales</t>
        </is>
      </c>
      <c r="G116" s="18" t="inlineStr">
        <is>
          <t>ninetales</t>
        </is>
      </c>
      <c r="H116" s="18" t="inlineStr"/>
      <c r="I116" s="18" t="n">
        <v>1</v>
      </c>
      <c r="J116" s="18" t="n"/>
      <c r="K116" s="18" t="n">
        <v>1</v>
      </c>
      <c r="L116" s="18" t="inlineStr">
        <is>
          <t>cobbleventure:generation_1</t>
        </is>
      </c>
      <c r="M116" s="19" t="inlineStr">
        <is>
          <t>cobbleventure:generation_1</t>
        </is>
      </c>
      <c r="N116" s="18" t="inlineStr"/>
      <c r="O116" s="19" t="inlineStr"/>
      <c r="P116" s="18" t="inlineStr">
        <is>
          <t>#cobblemon:nether/is_forest</t>
        </is>
      </c>
      <c r="Q116" s="19" t="inlineStr"/>
      <c r="R116" s="18">
        <f>IF(Q116="",P116,Q116)</f>
        <v/>
      </c>
      <c r="S116" s="18" t="inlineStr">
        <is>
          <t>#cobblemon:nether/is_frozen</t>
        </is>
      </c>
      <c r="T116" s="18" t="inlineStr">
        <is>
          <t>common</t>
        </is>
      </c>
      <c r="U116" s="20" t="n">
        <v>0.1</v>
      </c>
      <c r="V116" s="21" t="n">
        <v>1</v>
      </c>
      <c r="W116" s="20">
        <f>IF(OR(U116="",V116=""),U116,U116*V116)</f>
        <v/>
      </c>
      <c r="X116" s="18" t="inlineStr">
        <is>
          <t>25-51</t>
        </is>
      </c>
      <c r="Y116" s="19" t="inlineStr"/>
      <c r="Z116" s="18">
        <f>IF(Y116="",X116,Y116)</f>
        <v/>
      </c>
      <c r="AA116" s="18" t="inlineStr">
        <is>
          <t>grounded</t>
        </is>
      </c>
      <c r="AB116" s="18" t="inlineStr"/>
      <c r="AC116" s="18" t="inlineStr"/>
      <c r="AD116" s="18" t="inlineStr"/>
      <c r="AE116" s="18" t="inlineStr"/>
      <c r="AF116" s="18" t="inlineStr"/>
      <c r="AG116" s="18" t="inlineStr"/>
      <c r="AH116" s="18" t="inlineStr"/>
      <c r="AI116" s="18" t="inlineStr"/>
      <c r="AJ116" s="18" t="inlineStr">
        <is>
          <t>COBBLEVERSE 수정</t>
        </is>
      </c>
      <c r="AK116" s="18" t="inlineStr">
        <is>
          <t>사용</t>
        </is>
      </c>
      <c r="AL116" s="18" t="inlineStr">
        <is>
          <t>COBBLEVERSE 1.7.42 / DP v31</t>
        </is>
      </c>
      <c r="AM116" s="18" t="inlineStr">
        <is>
          <t>data/cobblemon/spawn_pool_world/0038_ninetales.json</t>
        </is>
      </c>
      <c r="AN116" s="18" t="inlineStr">
        <is>
          <t>ninetales-2</t>
        </is>
      </c>
      <c r="AO116" s="18" t="inlineStr">
        <is>
          <t>pokemon</t>
        </is>
      </c>
      <c r="AP116" s="18" t="inlineStr">
        <is>
          <t>natural</t>
        </is>
      </c>
      <c r="AQ116" s="18" t="inlineStr">
        <is>
          <t>{"biomes":["#cobblemon:nether/is_forest"]}</t>
        </is>
      </c>
      <c r="AR116" s="18" t="inlineStr">
        <is>
          <t>{"biomes":["#cobblemon:nether/is_frozen"]}</t>
        </is>
      </c>
      <c r="AS116" s="18" t="inlineStr"/>
      <c r="AT116" s="19" t="inlineStr"/>
    </row>
    <row r="117" ht="32" customHeight="1">
      <c r="A117" s="18" t="inlineStr">
        <is>
          <t>0038_ninetales.json::ninetales-alolan-3::003</t>
        </is>
      </c>
      <c r="B117" s="19" t="inlineStr">
        <is>
          <t>사용</t>
        </is>
      </c>
      <c r="C117" s="18">
        <f>IF(OR(B117&lt;&gt;AK117,M117&lt;&gt;L117,O117&lt;&gt;"",Q117&lt;&gt;"",V117&lt;&gt;1,Y117&lt;&gt;"",AT117&lt;&gt;""),"수정","원본")</f>
        <v/>
      </c>
      <c r="D117" s="18" t="n">
        <v>38</v>
      </c>
      <c r="E117" s="18" t="inlineStr">
        <is>
          <t>나인테일</t>
        </is>
      </c>
      <c r="F117" s="18" t="inlineStr">
        <is>
          <t>ninetales</t>
        </is>
      </c>
      <c r="G117" s="18" t="inlineStr">
        <is>
          <t>ninetales alolan</t>
        </is>
      </c>
      <c r="H117" s="18" t="inlineStr">
        <is>
          <t>alolan</t>
        </is>
      </c>
      <c r="I117" s="18" t="n">
        <v>1</v>
      </c>
      <c r="J117" s="18" t="n">
        <v>7</v>
      </c>
      <c r="K117" s="18" t="n">
        <v>7</v>
      </c>
      <c r="L117" s="18" t="inlineStr">
        <is>
          <t>cobbleventure:generation_7</t>
        </is>
      </c>
      <c r="M117" s="19" t="inlineStr">
        <is>
          <t>cobbleventure:generation_7</t>
        </is>
      </c>
      <c r="N117" s="18" t="inlineStr"/>
      <c r="O117" s="19" t="inlineStr"/>
      <c r="P117" s="18" t="inlineStr">
        <is>
          <t>#cobblemon:is_snowy_forest; #cobblemon:is_snowy_taiga</t>
        </is>
      </c>
      <c r="Q117" s="19" t="inlineStr"/>
      <c r="R117" s="18">
        <f>IF(Q117="",P117,Q117)</f>
        <v/>
      </c>
      <c r="S117" s="18" t="inlineStr"/>
      <c r="T117" s="18" t="inlineStr">
        <is>
          <t>uncommon</t>
        </is>
      </c>
      <c r="U117" s="20" t="n">
        <v>0.48</v>
      </c>
      <c r="V117" s="21" t="n">
        <v>1</v>
      </c>
      <c r="W117" s="20">
        <f>IF(OR(U117="",V117=""),U117,U117*V117)</f>
        <v/>
      </c>
      <c r="X117" s="18" t="inlineStr">
        <is>
          <t>25-51</t>
        </is>
      </c>
      <c r="Y117" s="19" t="inlineStr"/>
      <c r="Z117" s="18">
        <f>IF(Y117="",X117,Y117)</f>
        <v/>
      </c>
      <c r="AA117" s="18" t="inlineStr">
        <is>
          <t>grounded</t>
        </is>
      </c>
      <c r="AB117" s="18" t="inlineStr"/>
      <c r="AC117" s="18" t="inlineStr"/>
      <c r="AD117" s="18" t="inlineStr"/>
      <c r="AE117" s="18" t="inlineStr">
        <is>
          <t>sky 8-15</t>
        </is>
      </c>
      <c r="AF117" s="18" t="inlineStr"/>
      <c r="AG117" s="18" t="inlineStr"/>
      <c r="AH117" s="18" t="inlineStr"/>
      <c r="AI117" s="18" t="inlineStr"/>
      <c r="AJ117" s="18" t="inlineStr">
        <is>
          <t>COBBLEVERSE 수정</t>
        </is>
      </c>
      <c r="AK117" s="18" t="inlineStr">
        <is>
          <t>사용</t>
        </is>
      </c>
      <c r="AL117" s="18" t="inlineStr">
        <is>
          <t>COBBLEVERSE 1.7.42 / DP v31</t>
        </is>
      </c>
      <c r="AM117" s="18" t="inlineStr">
        <is>
          <t>data/cobblemon/spawn_pool_world/0038_ninetales.json</t>
        </is>
      </c>
      <c r="AN117" s="18" t="inlineStr">
        <is>
          <t>ninetales-alolan-3</t>
        </is>
      </c>
      <c r="AO117" s="18" t="inlineStr">
        <is>
          <t>pokemon</t>
        </is>
      </c>
      <c r="AP117" s="18" t="inlineStr">
        <is>
          <t>natural</t>
        </is>
      </c>
      <c r="AQ117" s="18" t="inlineStr">
        <is>
          <t>{"biomes":["#cobblemon:is_snowy_forest","#cobblemon:is_snowy_taiga"],"maxSkyLight":15,"minSkyLight":8}</t>
        </is>
      </c>
      <c r="AR117" s="18" t="inlineStr"/>
      <c r="AS117" s="18" t="inlineStr">
        <is>
          <t>{"weightMultiplier":{"condition":{"timeRange":"twilight"},"multiplier":2.5}}</t>
        </is>
      </c>
      <c r="AT117" s="19" t="inlineStr"/>
    </row>
    <row r="118" ht="32" customHeight="1">
      <c r="A118" s="18" t="inlineStr">
        <is>
          <t>0039_jigglypuff.json::jigglypuff-1::001</t>
        </is>
      </c>
      <c r="B118" s="19" t="inlineStr">
        <is>
          <t>사용</t>
        </is>
      </c>
      <c r="C118" s="18">
        <f>IF(OR(B118&lt;&gt;AK118,M118&lt;&gt;L118,O118&lt;&gt;"",Q118&lt;&gt;"",V118&lt;&gt;1,Y118&lt;&gt;"",AT118&lt;&gt;""),"수정","원본")</f>
        <v/>
      </c>
      <c r="D118" s="18" t="n">
        <v>39</v>
      </c>
      <c r="E118" s="18" t="inlineStr">
        <is>
          <t>푸린</t>
        </is>
      </c>
      <c r="F118" s="18" t="inlineStr">
        <is>
          <t>jigglypuff</t>
        </is>
      </c>
      <c r="G118" s="18" t="inlineStr">
        <is>
          <t>jigglypuff</t>
        </is>
      </c>
      <c r="H118" s="18" t="inlineStr"/>
      <c r="I118" s="18" t="n">
        <v>1</v>
      </c>
      <c r="J118" s="18" t="n"/>
      <c r="K118" s="18" t="n">
        <v>1</v>
      </c>
      <c r="L118" s="18" t="inlineStr">
        <is>
          <t>cobbleventure:generation_1</t>
        </is>
      </c>
      <c r="M118" s="19" t="inlineStr">
        <is>
          <t>cobbleventure:generation_1</t>
        </is>
      </c>
      <c r="N118" s="18" t="inlineStr"/>
      <c r="O118" s="19" t="inlineStr"/>
      <c r="P118" s="18" t="inlineStr">
        <is>
          <t>#cobblemon:is_floral</t>
        </is>
      </c>
      <c r="Q118" s="19" t="inlineStr"/>
      <c r="R118" s="18">
        <f>IF(Q118="",P118,Q118)</f>
        <v/>
      </c>
      <c r="S118" s="18" t="inlineStr"/>
      <c r="T118" s="18" t="inlineStr">
        <is>
          <t>common</t>
        </is>
      </c>
      <c r="U118" s="20" t="n">
        <v>0.95</v>
      </c>
      <c r="V118" s="21" t="n">
        <v>1</v>
      </c>
      <c r="W118" s="20">
        <f>IF(OR(U118="",V118=""),U118,U118*V118)</f>
        <v/>
      </c>
      <c r="X118" s="18" t="inlineStr">
        <is>
          <t>16-27</t>
        </is>
      </c>
      <c r="Y118" s="19" t="inlineStr"/>
      <c r="Z118" s="18">
        <f>IF(Y118="",X118,Y118)</f>
        <v/>
      </c>
      <c r="AA118" s="18" t="inlineStr">
        <is>
          <t>grounded</t>
        </is>
      </c>
      <c r="AB118" s="18" t="inlineStr"/>
      <c r="AC118" s="18" t="inlineStr"/>
      <c r="AD118" s="18" t="inlineStr"/>
      <c r="AE118" s="18" t="inlineStr">
        <is>
          <t>sky 8-15</t>
        </is>
      </c>
      <c r="AF118" s="18" t="inlineStr"/>
      <c r="AG118" s="18" t="inlineStr"/>
      <c r="AH118" s="18" t="inlineStr"/>
      <c r="AI118" s="18" t="inlineStr"/>
      <c r="AJ118" s="18" t="inlineStr">
        <is>
          <t>Cobblemon 동일</t>
        </is>
      </c>
      <c r="AK118" s="18" t="inlineStr">
        <is>
          <t>사용</t>
        </is>
      </c>
      <c r="AL118" s="18" t="inlineStr">
        <is>
          <t>COBBLEVERSE 1.7.42 / DP v31</t>
        </is>
      </c>
      <c r="AM118" s="18" t="inlineStr">
        <is>
          <t>data/cobblemon/spawn_pool_world/0039_jigglypuff.json</t>
        </is>
      </c>
      <c r="AN118" s="18" t="inlineStr">
        <is>
          <t>jigglypuff-1</t>
        </is>
      </c>
      <c r="AO118" s="18" t="inlineStr">
        <is>
          <t>pokemon</t>
        </is>
      </c>
      <c r="AP118" s="18" t="inlineStr">
        <is>
          <t>natural</t>
        </is>
      </c>
      <c r="AQ118" s="18" t="inlineStr">
        <is>
          <t>{"biomes":["#cobblemon:is_floral"],"maxSkyLight":15,"minSkyLight":8}</t>
        </is>
      </c>
      <c r="AR118" s="18" t="inlineStr"/>
      <c r="AS118" s="18" t="inlineStr">
        <is>
          <t>{"weightMultiplier":{"condition":{"timeRange":"night"},"multiplier":1.5}}</t>
        </is>
      </c>
      <c r="AT118" s="19" t="inlineStr"/>
    </row>
    <row r="119" ht="32" customHeight="1">
      <c r="A119" s="18" t="inlineStr">
        <is>
          <t>0039_jigglypuff.json::jigglypuff-2::002</t>
        </is>
      </c>
      <c r="B119" s="19" t="inlineStr">
        <is>
          <t>사용</t>
        </is>
      </c>
      <c r="C119" s="18">
        <f>IF(OR(B119&lt;&gt;AK119,M119&lt;&gt;L119,O119&lt;&gt;"",Q119&lt;&gt;"",V119&lt;&gt;1,Y119&lt;&gt;"",AT119&lt;&gt;""),"수정","원본")</f>
        <v/>
      </c>
      <c r="D119" s="18" t="n">
        <v>39</v>
      </c>
      <c r="E119" s="18" t="inlineStr">
        <is>
          <t>푸린</t>
        </is>
      </c>
      <c r="F119" s="18" t="inlineStr">
        <is>
          <t>jigglypuff</t>
        </is>
      </c>
      <c r="G119" s="18" t="inlineStr">
        <is>
          <t>jigglypuff</t>
        </is>
      </c>
      <c r="H119" s="18" t="inlineStr"/>
      <c r="I119" s="18" t="n">
        <v>1</v>
      </c>
      <c r="J119" s="18" t="n"/>
      <c r="K119" s="18" t="n">
        <v>1</v>
      </c>
      <c r="L119" s="18" t="inlineStr">
        <is>
          <t>cobbleventure:generation_1</t>
        </is>
      </c>
      <c r="M119" s="19" t="inlineStr">
        <is>
          <t>cobbleventure:generation_1</t>
        </is>
      </c>
      <c r="N119" s="18" t="inlineStr">
        <is>
          <t>region_01</t>
        </is>
      </c>
      <c r="O119" s="19" t="inlineStr"/>
      <c r="P119" s="18" t="inlineStr">
        <is>
          <t>#cobblemon:is_plains</t>
        </is>
      </c>
      <c r="Q119" s="19" t="inlineStr"/>
      <c r="R119" s="18">
        <f>IF(Q119="",P119,Q119)</f>
        <v/>
      </c>
      <c r="S119" s="18" t="inlineStr">
        <is>
          <t>#cobblemon:is_floral</t>
        </is>
      </c>
      <c r="T119" s="18" t="inlineStr">
        <is>
          <t>common</t>
        </is>
      </c>
      <c r="U119" s="20" t="n">
        <v>0.19</v>
      </c>
      <c r="V119" s="21" t="n">
        <v>1</v>
      </c>
      <c r="W119" s="20">
        <f>IF(OR(U119="",V119=""),U119,U119*V119)</f>
        <v/>
      </c>
      <c r="X119" s="18" t="inlineStr">
        <is>
          <t>16-27</t>
        </is>
      </c>
      <c r="Y119" s="19" t="inlineStr"/>
      <c r="Z119" s="18">
        <f>IF(Y119="",X119,Y119)</f>
        <v/>
      </c>
      <c r="AA119" s="18" t="inlineStr">
        <is>
          <t>grounded</t>
        </is>
      </c>
      <c r="AB119" s="18" t="inlineStr"/>
      <c r="AC119" s="18" t="inlineStr"/>
      <c r="AD119" s="18" t="inlineStr"/>
      <c r="AE119" s="18" t="inlineStr">
        <is>
          <t>sky 8-15</t>
        </is>
      </c>
      <c r="AF119" s="18" t="inlineStr"/>
      <c r="AG119" s="18" t="inlineStr"/>
      <c r="AH119" s="18" t="inlineStr"/>
      <c r="AI119" s="18" t="inlineStr"/>
      <c r="AJ119" s="18" t="inlineStr">
        <is>
          <t>Cobblemon 동일</t>
        </is>
      </c>
      <c r="AK119" s="18" t="inlineStr">
        <is>
          <t>사용</t>
        </is>
      </c>
      <c r="AL119" s="18" t="inlineStr">
        <is>
          <t>COBBLEVERSE 1.7.42 / DP v31</t>
        </is>
      </c>
      <c r="AM119" s="18" t="inlineStr">
        <is>
          <t>data/cobblemon/spawn_pool_world/0039_jigglypuff.json</t>
        </is>
      </c>
      <c r="AN119" s="18" t="inlineStr">
        <is>
          <t>jigglypuff-2</t>
        </is>
      </c>
      <c r="AO119" s="18" t="inlineStr">
        <is>
          <t>pokemon</t>
        </is>
      </c>
      <c r="AP119" s="18" t="inlineStr">
        <is>
          <t>natural</t>
        </is>
      </c>
      <c r="AQ119" s="18" t="inlineStr">
        <is>
          <t>{"biomes":["#cobblemon:is_plains"],"maxSkyLight":15,"minSkyLight":8}</t>
        </is>
      </c>
      <c r="AR119" s="18" t="inlineStr">
        <is>
          <t>{"biomes":["#cobblemon:is_floral"]}</t>
        </is>
      </c>
      <c r="AS119" s="18" t="inlineStr">
        <is>
          <t>{"weightMultiplier":{"condition":{"timeRange":"night"},"multiplier":1.5}}</t>
        </is>
      </c>
      <c r="AT119" s="19" t="inlineStr"/>
    </row>
    <row r="120" ht="32" customHeight="1">
      <c r="A120" s="18" t="inlineStr">
        <is>
          <t>0039_jigglypuff.json::jigglypuff-3::003</t>
        </is>
      </c>
      <c r="B120" s="19" t="inlineStr">
        <is>
          <t>사용</t>
        </is>
      </c>
      <c r="C120" s="18">
        <f>IF(OR(B120&lt;&gt;AK120,M120&lt;&gt;L120,O120&lt;&gt;"",Q120&lt;&gt;"",V120&lt;&gt;1,Y120&lt;&gt;"",AT120&lt;&gt;""),"수정","원본")</f>
        <v/>
      </c>
      <c r="D120" s="18" t="n">
        <v>39</v>
      </c>
      <c r="E120" s="18" t="inlineStr">
        <is>
          <t>푸린</t>
        </is>
      </c>
      <c r="F120" s="18" t="inlineStr">
        <is>
          <t>jigglypuff</t>
        </is>
      </c>
      <c r="G120" s="18" t="inlineStr">
        <is>
          <t>jigglypuff</t>
        </is>
      </c>
      <c r="H120" s="18" t="inlineStr"/>
      <c r="I120" s="18" t="n">
        <v>1</v>
      </c>
      <c r="J120" s="18" t="n"/>
      <c r="K120" s="18" t="n">
        <v>1</v>
      </c>
      <c r="L120" s="18" t="inlineStr">
        <is>
          <t>cobbleventure:generation_1</t>
        </is>
      </c>
      <c r="M120" s="19" t="inlineStr">
        <is>
          <t>cobbleventure:generation_1</t>
        </is>
      </c>
      <c r="N120" s="18" t="inlineStr"/>
      <c r="O120" s="19" t="inlineStr"/>
      <c r="P120" s="18" t="inlineStr">
        <is>
          <t>aether:skyroot_grove; aether:skyroot_meadow</t>
        </is>
      </c>
      <c r="Q120" s="19" t="inlineStr"/>
      <c r="R120" s="18">
        <f>IF(Q120="",P120,Q120)</f>
        <v/>
      </c>
      <c r="S120" s="18" t="inlineStr"/>
      <c r="T120" s="18" t="inlineStr">
        <is>
          <t>common</t>
        </is>
      </c>
      <c r="U120" s="20" t="n">
        <v>0.95</v>
      </c>
      <c r="V120" s="21" t="n">
        <v>1</v>
      </c>
      <c r="W120" s="20">
        <f>IF(OR(U120="",V120=""),U120,U120*V120)</f>
        <v/>
      </c>
      <c r="X120" s="18" t="inlineStr">
        <is>
          <t>16-27</t>
        </is>
      </c>
      <c r="Y120" s="19" t="inlineStr"/>
      <c r="Z120" s="18">
        <f>IF(Y120="",X120,Y120)</f>
        <v/>
      </c>
      <c r="AA120" s="18" t="inlineStr">
        <is>
          <t>grounded</t>
        </is>
      </c>
      <c r="AB120" s="18" t="inlineStr"/>
      <c r="AC120" s="18" t="inlineStr"/>
      <c r="AD120" s="18" t="inlineStr"/>
      <c r="AE120" s="18" t="inlineStr">
        <is>
          <t>sky 8-15</t>
        </is>
      </c>
      <c r="AF120" s="18" t="inlineStr"/>
      <c r="AG120" s="18" t="inlineStr"/>
      <c r="AH120" s="18" t="inlineStr"/>
      <c r="AI120" s="18" t="inlineStr"/>
      <c r="AJ120" s="18" t="inlineStr">
        <is>
          <t>Cobblemon 동일</t>
        </is>
      </c>
      <c r="AK120" s="18" t="inlineStr">
        <is>
          <t>사용</t>
        </is>
      </c>
      <c r="AL120" s="18" t="inlineStr">
        <is>
          <t>COBBLEVERSE 1.7.42 / DP v31</t>
        </is>
      </c>
      <c r="AM120" s="18" t="inlineStr">
        <is>
          <t>data/cobblemon/spawn_pool_world/0039_jigglypuff.json</t>
        </is>
      </c>
      <c r="AN120" s="18" t="inlineStr">
        <is>
          <t>jigglypuff-3</t>
        </is>
      </c>
      <c r="AO120" s="18" t="inlineStr">
        <is>
          <t>pokemon</t>
        </is>
      </c>
      <c r="AP120" s="18" t="inlineStr">
        <is>
          <t>natural</t>
        </is>
      </c>
      <c r="AQ120" s="18" t="inlineStr">
        <is>
          <t>{"biomes":["aether:skyroot_grove","aether:skyroot_meadow"],"maxSkyLight":15,"minSkyLight":8}</t>
        </is>
      </c>
      <c r="AR120" s="18" t="inlineStr"/>
      <c r="AS120" s="18" t="inlineStr"/>
      <c r="AT120" s="19" t="inlineStr"/>
    </row>
    <row r="121" ht="32" customHeight="1">
      <c r="A121" s="18" t="inlineStr">
        <is>
          <t>0040_wigglytuff.json::wigglytuff-1::001</t>
        </is>
      </c>
      <c r="B121" s="19" t="inlineStr">
        <is>
          <t>사용</t>
        </is>
      </c>
      <c r="C121" s="18">
        <f>IF(OR(B121&lt;&gt;AK121,M121&lt;&gt;L121,O121&lt;&gt;"",Q121&lt;&gt;"",V121&lt;&gt;1,Y121&lt;&gt;"",AT121&lt;&gt;""),"수정","원본")</f>
        <v/>
      </c>
      <c r="D121" s="18" t="n">
        <v>40</v>
      </c>
      <c r="E121" s="18" t="inlineStr">
        <is>
          <t>푸크린</t>
        </is>
      </c>
      <c r="F121" s="18" t="inlineStr">
        <is>
          <t>wigglytuff</t>
        </is>
      </c>
      <c r="G121" s="18" t="inlineStr">
        <is>
          <t>wigglytuff</t>
        </is>
      </c>
      <c r="H121" s="18" t="inlineStr"/>
      <c r="I121" s="18" t="n">
        <v>1</v>
      </c>
      <c r="J121" s="18" t="n"/>
      <c r="K121" s="18" t="n">
        <v>1</v>
      </c>
      <c r="L121" s="18" t="inlineStr">
        <is>
          <t>cobbleventure:generation_1</t>
        </is>
      </c>
      <c r="M121" s="19" t="inlineStr">
        <is>
          <t>cobbleventure:generation_1</t>
        </is>
      </c>
      <c r="N121" s="18" t="inlineStr"/>
      <c r="O121" s="19" t="inlineStr"/>
      <c r="P121" s="18" t="inlineStr">
        <is>
          <t>#cobblemon:is_floral</t>
        </is>
      </c>
      <c r="Q121" s="19" t="inlineStr"/>
      <c r="R121" s="18">
        <f>IF(Q121="",P121,Q121)</f>
        <v/>
      </c>
      <c r="S121" s="18" t="inlineStr"/>
      <c r="T121" s="18" t="inlineStr">
        <is>
          <t>common</t>
        </is>
      </c>
      <c r="U121" s="20" t="n">
        <v>0.05</v>
      </c>
      <c r="V121" s="21" t="n">
        <v>1</v>
      </c>
      <c r="W121" s="20">
        <f>IF(OR(U121="",V121=""),U121,U121*V121)</f>
        <v/>
      </c>
      <c r="X121" s="18" t="inlineStr">
        <is>
          <t>22-44</t>
        </is>
      </c>
      <c r="Y121" s="19" t="inlineStr"/>
      <c r="Z121" s="18">
        <f>IF(Y121="",X121,Y121)</f>
        <v/>
      </c>
      <c r="AA121" s="18" t="inlineStr">
        <is>
          <t>grounded</t>
        </is>
      </c>
      <c r="AB121" s="18" t="inlineStr"/>
      <c r="AC121" s="18" t="inlineStr"/>
      <c r="AD121" s="18" t="inlineStr"/>
      <c r="AE121" s="18" t="inlineStr">
        <is>
          <t>sky 8-15</t>
        </is>
      </c>
      <c r="AF121" s="18" t="inlineStr"/>
      <c r="AG121" s="18" t="inlineStr"/>
      <c r="AH121" s="18" t="inlineStr"/>
      <c r="AI121" s="18" t="inlineStr"/>
      <c r="AJ121" s="18" t="inlineStr">
        <is>
          <t>Cobblemon 동일</t>
        </is>
      </c>
      <c r="AK121" s="18" t="inlineStr">
        <is>
          <t>사용</t>
        </is>
      </c>
      <c r="AL121" s="18" t="inlineStr">
        <is>
          <t>COBBLEVERSE 1.7.42 / DP v31</t>
        </is>
      </c>
      <c r="AM121" s="18" t="inlineStr">
        <is>
          <t>data/cobblemon/spawn_pool_world/0040_wigglytuff.json</t>
        </is>
      </c>
      <c r="AN121" s="18" t="inlineStr">
        <is>
          <t>wigglytuff-1</t>
        </is>
      </c>
      <c r="AO121" s="18" t="inlineStr">
        <is>
          <t>pokemon</t>
        </is>
      </c>
      <c r="AP121" s="18" t="inlineStr">
        <is>
          <t>natural</t>
        </is>
      </c>
      <c r="AQ121" s="18" t="inlineStr">
        <is>
          <t>{"biomes":["#cobblemon:is_floral"],"maxSkyLight":15,"minSkyLight":8}</t>
        </is>
      </c>
      <c r="AR121" s="18" t="inlineStr"/>
      <c r="AS121" s="18" t="inlineStr">
        <is>
          <t>{"weightMultiplier":{"condition":{"timeRange":"night"},"multiplier":1.5}}</t>
        </is>
      </c>
      <c r="AT121" s="19" t="inlineStr"/>
    </row>
    <row r="122" ht="32" customHeight="1">
      <c r="A122" s="18" t="inlineStr">
        <is>
          <t>0040_wigglytuff.json::wigglytuff-2::002</t>
        </is>
      </c>
      <c r="B122" s="19" t="inlineStr">
        <is>
          <t>사용</t>
        </is>
      </c>
      <c r="C122" s="18">
        <f>IF(OR(B122&lt;&gt;AK122,M122&lt;&gt;L122,O122&lt;&gt;"",Q122&lt;&gt;"",V122&lt;&gt;1,Y122&lt;&gt;"",AT122&lt;&gt;""),"수정","원본")</f>
        <v/>
      </c>
      <c r="D122" s="18" t="n">
        <v>40</v>
      </c>
      <c r="E122" s="18" t="inlineStr">
        <is>
          <t>푸크린</t>
        </is>
      </c>
      <c r="F122" s="18" t="inlineStr">
        <is>
          <t>wigglytuff</t>
        </is>
      </c>
      <c r="G122" s="18" t="inlineStr">
        <is>
          <t>wigglytuff</t>
        </is>
      </c>
      <c r="H122" s="18" t="inlineStr"/>
      <c r="I122" s="18" t="n">
        <v>1</v>
      </c>
      <c r="J122" s="18" t="n"/>
      <c r="K122" s="18" t="n">
        <v>1</v>
      </c>
      <c r="L122" s="18" t="inlineStr">
        <is>
          <t>cobbleventure:generation_1</t>
        </is>
      </c>
      <c r="M122" s="19" t="inlineStr">
        <is>
          <t>cobbleventure:generation_1</t>
        </is>
      </c>
      <c r="N122" s="18" t="inlineStr">
        <is>
          <t>region_01</t>
        </is>
      </c>
      <c r="O122" s="19" t="inlineStr"/>
      <c r="P122" s="18" t="inlineStr">
        <is>
          <t>#cobblemon:is_plains</t>
        </is>
      </c>
      <c r="Q122" s="19" t="inlineStr"/>
      <c r="R122" s="18">
        <f>IF(Q122="",P122,Q122)</f>
        <v/>
      </c>
      <c r="S122" s="18" t="inlineStr">
        <is>
          <t>#cobblemon:is_floral</t>
        </is>
      </c>
      <c r="T122" s="18" t="inlineStr">
        <is>
          <t>common</t>
        </is>
      </c>
      <c r="U122" s="20" t="n">
        <v>0.01</v>
      </c>
      <c r="V122" s="21" t="n">
        <v>1</v>
      </c>
      <c r="W122" s="20">
        <f>IF(OR(U122="",V122=""),U122,U122*V122)</f>
        <v/>
      </c>
      <c r="X122" s="18" t="inlineStr">
        <is>
          <t>22-44</t>
        </is>
      </c>
      <c r="Y122" s="19" t="inlineStr"/>
      <c r="Z122" s="18">
        <f>IF(Y122="",X122,Y122)</f>
        <v/>
      </c>
      <c r="AA122" s="18" t="inlineStr">
        <is>
          <t>grounded</t>
        </is>
      </c>
      <c r="AB122" s="18" t="inlineStr"/>
      <c r="AC122" s="18" t="inlineStr"/>
      <c r="AD122" s="18" t="inlineStr"/>
      <c r="AE122" s="18" t="inlineStr">
        <is>
          <t>sky 8-15</t>
        </is>
      </c>
      <c r="AF122" s="18" t="inlineStr"/>
      <c r="AG122" s="18" t="inlineStr"/>
      <c r="AH122" s="18" t="inlineStr"/>
      <c r="AI122" s="18" t="inlineStr"/>
      <c r="AJ122" s="18" t="inlineStr">
        <is>
          <t>Cobblemon 동일</t>
        </is>
      </c>
      <c r="AK122" s="18" t="inlineStr">
        <is>
          <t>사용</t>
        </is>
      </c>
      <c r="AL122" s="18" t="inlineStr">
        <is>
          <t>COBBLEVERSE 1.7.42 / DP v31</t>
        </is>
      </c>
      <c r="AM122" s="18" t="inlineStr">
        <is>
          <t>data/cobblemon/spawn_pool_world/0040_wigglytuff.json</t>
        </is>
      </c>
      <c r="AN122" s="18" t="inlineStr">
        <is>
          <t>wigglytuff-2</t>
        </is>
      </c>
      <c r="AO122" s="18" t="inlineStr">
        <is>
          <t>pokemon</t>
        </is>
      </c>
      <c r="AP122" s="18" t="inlineStr">
        <is>
          <t>natural</t>
        </is>
      </c>
      <c r="AQ122" s="18" t="inlineStr">
        <is>
          <t>{"biomes":["#cobblemon:is_plains"],"maxSkyLight":15,"minSkyLight":8}</t>
        </is>
      </c>
      <c r="AR122" s="18" t="inlineStr">
        <is>
          <t>{"biomes":["#cobblemon:is_floral"]}</t>
        </is>
      </c>
      <c r="AS122" s="18" t="inlineStr">
        <is>
          <t>{"weightMultiplier":{"condition":{"timeRange":"night"},"multiplier":1.5}}</t>
        </is>
      </c>
      <c r="AT122" s="19" t="inlineStr"/>
    </row>
    <row r="123" ht="32" customHeight="1">
      <c r="A123" s="18" t="inlineStr">
        <is>
          <t>0040_wigglytuff.json::wigglytuff-3::003</t>
        </is>
      </c>
      <c r="B123" s="19" t="inlineStr">
        <is>
          <t>사용</t>
        </is>
      </c>
      <c r="C123" s="18">
        <f>IF(OR(B123&lt;&gt;AK123,M123&lt;&gt;L123,O123&lt;&gt;"",Q123&lt;&gt;"",V123&lt;&gt;1,Y123&lt;&gt;"",AT123&lt;&gt;""),"수정","원본")</f>
        <v/>
      </c>
      <c r="D123" s="18" t="n">
        <v>40</v>
      </c>
      <c r="E123" s="18" t="inlineStr">
        <is>
          <t>푸크린</t>
        </is>
      </c>
      <c r="F123" s="18" t="inlineStr">
        <is>
          <t>wigglytuff</t>
        </is>
      </c>
      <c r="G123" s="18" t="inlineStr">
        <is>
          <t>wigglytuff</t>
        </is>
      </c>
      <c r="H123" s="18" t="inlineStr"/>
      <c r="I123" s="18" t="n">
        <v>1</v>
      </c>
      <c r="J123" s="18" t="n"/>
      <c r="K123" s="18" t="n">
        <v>1</v>
      </c>
      <c r="L123" s="18" t="inlineStr">
        <is>
          <t>cobbleventure:generation_1</t>
        </is>
      </c>
      <c r="M123" s="19" t="inlineStr">
        <is>
          <t>cobbleventure:generation_1</t>
        </is>
      </c>
      <c r="N123" s="18" t="inlineStr"/>
      <c r="O123" s="19" t="inlineStr"/>
      <c r="P123" s="18" t="inlineStr">
        <is>
          <t>aether:skyroot_grove; aether:skyroot_meadow</t>
        </is>
      </c>
      <c r="Q123" s="19" t="inlineStr"/>
      <c r="R123" s="18">
        <f>IF(Q123="",P123,Q123)</f>
        <v/>
      </c>
      <c r="S123" s="18" t="inlineStr"/>
      <c r="T123" s="18" t="inlineStr">
        <is>
          <t>common</t>
        </is>
      </c>
      <c r="U123" s="20" t="n">
        <v>0.05</v>
      </c>
      <c r="V123" s="21" t="n">
        <v>1</v>
      </c>
      <c r="W123" s="20">
        <f>IF(OR(U123="",V123=""),U123,U123*V123)</f>
        <v/>
      </c>
      <c r="X123" s="18" t="inlineStr">
        <is>
          <t>22-44</t>
        </is>
      </c>
      <c r="Y123" s="19" t="inlineStr"/>
      <c r="Z123" s="18">
        <f>IF(Y123="",X123,Y123)</f>
        <v/>
      </c>
      <c r="AA123" s="18" t="inlineStr">
        <is>
          <t>grounded</t>
        </is>
      </c>
      <c r="AB123" s="18" t="inlineStr"/>
      <c r="AC123" s="18" t="inlineStr"/>
      <c r="AD123" s="18" t="inlineStr"/>
      <c r="AE123" s="18" t="inlineStr">
        <is>
          <t>sky 8-15</t>
        </is>
      </c>
      <c r="AF123" s="18" t="inlineStr"/>
      <c r="AG123" s="18" t="inlineStr"/>
      <c r="AH123" s="18" t="inlineStr"/>
      <c r="AI123" s="18" t="inlineStr"/>
      <c r="AJ123" s="18" t="inlineStr">
        <is>
          <t>Cobblemon 동일</t>
        </is>
      </c>
      <c r="AK123" s="18" t="inlineStr">
        <is>
          <t>사용</t>
        </is>
      </c>
      <c r="AL123" s="18" t="inlineStr">
        <is>
          <t>COBBLEVERSE 1.7.42 / DP v31</t>
        </is>
      </c>
      <c r="AM123" s="18" t="inlineStr">
        <is>
          <t>data/cobblemon/spawn_pool_world/0040_wigglytuff.json</t>
        </is>
      </c>
      <c r="AN123" s="18" t="inlineStr">
        <is>
          <t>wigglytuff-3</t>
        </is>
      </c>
      <c r="AO123" s="18" t="inlineStr">
        <is>
          <t>pokemon</t>
        </is>
      </c>
      <c r="AP123" s="18" t="inlineStr">
        <is>
          <t>natural</t>
        </is>
      </c>
      <c r="AQ123" s="18" t="inlineStr">
        <is>
          <t>{"biomes":["aether:skyroot_grove","aether:skyroot_meadow"],"maxSkyLight":15,"minSkyLight":8}</t>
        </is>
      </c>
      <c r="AR123" s="18" t="inlineStr"/>
      <c r="AS123" s="18" t="inlineStr"/>
      <c r="AT123" s="19" t="inlineStr"/>
    </row>
    <row r="124" ht="32" customHeight="1">
      <c r="A124" s="18" t="inlineStr">
        <is>
          <t>0041_zubat.json::zubat-1::001</t>
        </is>
      </c>
      <c r="B124" s="19" t="inlineStr">
        <is>
          <t>사용</t>
        </is>
      </c>
      <c r="C124" s="18">
        <f>IF(OR(B124&lt;&gt;AK124,M124&lt;&gt;L124,O124&lt;&gt;"",Q124&lt;&gt;"",V124&lt;&gt;1,Y124&lt;&gt;"",AT124&lt;&gt;""),"수정","원본")</f>
        <v/>
      </c>
      <c r="D124" s="18" t="n">
        <v>41</v>
      </c>
      <c r="E124" s="18" t="inlineStr">
        <is>
          <t>주뱃</t>
        </is>
      </c>
      <c r="F124" s="18" t="inlineStr">
        <is>
          <t>zubat</t>
        </is>
      </c>
      <c r="G124" s="18" t="inlineStr">
        <is>
          <t>zubat</t>
        </is>
      </c>
      <c r="H124" s="18" t="inlineStr"/>
      <c r="I124" s="18" t="n">
        <v>1</v>
      </c>
      <c r="J124" s="18" t="n"/>
      <c r="K124" s="18" t="n">
        <v>1</v>
      </c>
      <c r="L124" s="18" t="inlineStr">
        <is>
          <t>cobbleventure:generation_1</t>
        </is>
      </c>
      <c r="M124" s="19" t="inlineStr">
        <is>
          <t>cobbleventure:generation_1</t>
        </is>
      </c>
      <c r="N124" s="18" t="inlineStr">
        <is>
          <t>region_01; region_02</t>
        </is>
      </c>
      <c r="O124" s="19" t="inlineStr"/>
      <c r="P124" s="18" t="inlineStr">
        <is>
          <t>#cobblemon:is_forest; #cobblemon:is_swamp</t>
        </is>
      </c>
      <c r="Q124" s="19" t="inlineStr"/>
      <c r="R124" s="18">
        <f>IF(Q124="",P124,Q124)</f>
        <v/>
      </c>
      <c r="S124" s="18" t="inlineStr">
        <is>
          <t>#cobblemon:is_spooky; #cobblemon:is_freezing</t>
        </is>
      </c>
      <c r="T124" s="18" t="inlineStr">
        <is>
          <t>common</t>
        </is>
      </c>
      <c r="U124" s="20" t="n">
        <v>1.8</v>
      </c>
      <c r="V124" s="21" t="n">
        <v>1</v>
      </c>
      <c r="W124" s="20">
        <f>IF(OR(U124="",V124=""),U124,U124*V124)</f>
        <v/>
      </c>
      <c r="X124" s="18" t="inlineStr">
        <is>
          <t>1-25</t>
        </is>
      </c>
      <c r="Y124" s="19" t="inlineStr"/>
      <c r="Z124" s="18">
        <f>IF(Y124="",X124,Y124)</f>
        <v/>
      </c>
      <c r="AA124" s="18" t="inlineStr">
        <is>
          <t>grounded</t>
        </is>
      </c>
      <c r="AB124" s="18" t="inlineStr">
        <is>
          <t>night</t>
        </is>
      </c>
      <c r="AC124" s="18" t="inlineStr">
        <is>
          <t>비=False</t>
        </is>
      </c>
      <c r="AD124" s="18" t="inlineStr"/>
      <c r="AE124" s="18" t="inlineStr">
        <is>
          <t>sky 8-15</t>
        </is>
      </c>
      <c r="AF124" s="18" t="inlineStr"/>
      <c r="AG124" s="18" t="inlineStr"/>
      <c r="AH124" s="18" t="inlineStr"/>
      <c r="AI124" s="18" t="inlineStr"/>
      <c r="AJ124" s="18" t="inlineStr">
        <is>
          <t>Cobblemon 동일</t>
        </is>
      </c>
      <c r="AK124" s="18" t="inlineStr">
        <is>
          <t>사용</t>
        </is>
      </c>
      <c r="AL124" s="18" t="inlineStr">
        <is>
          <t>COBBLEVERSE 1.7.42 / DP v31</t>
        </is>
      </c>
      <c r="AM124" s="18" t="inlineStr">
        <is>
          <t>data/cobblemon/spawn_pool_world/0041_zubat.json</t>
        </is>
      </c>
      <c r="AN124" s="18" t="inlineStr">
        <is>
          <t>zubat-1</t>
        </is>
      </c>
      <c r="AO124" s="18" t="inlineStr">
        <is>
          <t>pokemon</t>
        </is>
      </c>
      <c r="AP124" s="18" t="inlineStr">
        <is>
          <t>natural</t>
        </is>
      </c>
      <c r="AQ124" s="18" t="inlineStr">
        <is>
          <t>{"biomes":["#cobblemon:is_forest","#cobblemon:is_swamp"],"isRaining":false,"maxSkyLight":15,"minSkyLight":8,"timeRange":"night"}</t>
        </is>
      </c>
      <c r="AR124" s="18" t="inlineStr">
        <is>
          <t>{"biomes":["#cobblemon:is_spooky","#cobblemon:is_freezing"]}</t>
        </is>
      </c>
      <c r="AS124" s="18" t="inlineStr"/>
      <c r="AT124" s="19" t="inlineStr"/>
    </row>
    <row r="125" ht="32" customHeight="1">
      <c r="A125" s="18" t="inlineStr">
        <is>
          <t>0041_zubat.json::zubat-3::002</t>
        </is>
      </c>
      <c r="B125" s="19" t="inlineStr">
        <is>
          <t>사용</t>
        </is>
      </c>
      <c r="C125" s="18">
        <f>IF(OR(B125&lt;&gt;AK125,M125&lt;&gt;L125,O125&lt;&gt;"",Q125&lt;&gt;"",V125&lt;&gt;1,Y125&lt;&gt;"",AT125&lt;&gt;""),"수정","원본")</f>
        <v/>
      </c>
      <c r="D125" s="18" t="n">
        <v>41</v>
      </c>
      <c r="E125" s="18" t="inlineStr">
        <is>
          <t>주뱃</t>
        </is>
      </c>
      <c r="F125" s="18" t="inlineStr">
        <is>
          <t>zubat</t>
        </is>
      </c>
      <c r="G125" s="18" t="inlineStr">
        <is>
          <t>zubat</t>
        </is>
      </c>
      <c r="H125" s="18" t="inlineStr"/>
      <c r="I125" s="18" t="n">
        <v>1</v>
      </c>
      <c r="J125" s="18" t="n"/>
      <c r="K125" s="18" t="n">
        <v>1</v>
      </c>
      <c r="L125" s="18" t="inlineStr">
        <is>
          <t>cobbleventure:generation_1</t>
        </is>
      </c>
      <c r="M125" s="19" t="inlineStr">
        <is>
          <t>cobbleventure:generation_1</t>
        </is>
      </c>
      <c r="N125" s="18" t="inlineStr">
        <is>
          <t>region_01; region_02</t>
        </is>
      </c>
      <c r="O125" s="19" t="inlineStr"/>
      <c r="P125" s="18" t="inlineStr">
        <is>
          <t>#cobblemon:is_forest; #cobblemon:is_swamp</t>
        </is>
      </c>
      <c r="Q125" s="19" t="inlineStr"/>
      <c r="R125" s="18">
        <f>IF(Q125="",P125,Q125)</f>
        <v/>
      </c>
      <c r="S125" s="18" t="inlineStr">
        <is>
          <t>#cobblemon:is_spooky; #cobblemon:is_freezing</t>
        </is>
      </c>
      <c r="T125" s="18" t="inlineStr">
        <is>
          <t>common</t>
        </is>
      </c>
      <c r="U125" s="20" t="n">
        <v>1.8</v>
      </c>
      <c r="V125" s="21" t="n">
        <v>1</v>
      </c>
      <c r="W125" s="20">
        <f>IF(OR(U125="",V125=""),U125,U125*V125)</f>
        <v/>
      </c>
      <c r="X125" s="18" t="inlineStr">
        <is>
          <t>1-25</t>
        </is>
      </c>
      <c r="Y125" s="19" t="inlineStr"/>
      <c r="Z125" s="18">
        <f>IF(Y125="",X125,Y125)</f>
        <v/>
      </c>
      <c r="AA125" s="18" t="inlineStr">
        <is>
          <t>grounded</t>
        </is>
      </c>
      <c r="AB125" s="18" t="inlineStr"/>
      <c r="AC125" s="18" t="inlineStr"/>
      <c r="AD125" s="18" t="inlineStr"/>
      <c r="AE125" s="18" t="inlineStr">
        <is>
          <t>sky 0-7</t>
        </is>
      </c>
      <c r="AF125" s="18" t="inlineStr"/>
      <c r="AG125" s="18" t="inlineStr"/>
      <c r="AH125" s="18" t="inlineStr"/>
      <c r="AI125" s="18" t="inlineStr"/>
      <c r="AJ125" s="18" t="inlineStr">
        <is>
          <t>Cobblemon 동일</t>
        </is>
      </c>
      <c r="AK125" s="18" t="inlineStr">
        <is>
          <t>사용</t>
        </is>
      </c>
      <c r="AL125" s="18" t="inlineStr">
        <is>
          <t>COBBLEVERSE 1.7.42 / DP v31</t>
        </is>
      </c>
      <c r="AM125" s="18" t="inlineStr">
        <is>
          <t>data/cobblemon/spawn_pool_world/0041_zubat.json</t>
        </is>
      </c>
      <c r="AN125" s="18" t="inlineStr">
        <is>
          <t>zubat-3</t>
        </is>
      </c>
      <c r="AO125" s="18" t="inlineStr">
        <is>
          <t>pokemon</t>
        </is>
      </c>
      <c r="AP125" s="18" t="inlineStr">
        <is>
          <t>natural</t>
        </is>
      </c>
      <c r="AQ125" s="18" t="inlineStr">
        <is>
          <t>{"biomes":["#cobblemon:is_forest","#cobblemon:is_swamp"],"maxSkyLight":7,"minSkyLight":0}</t>
        </is>
      </c>
      <c r="AR125" s="18" t="inlineStr">
        <is>
          <t>{"biomes":["#cobblemon:is_spooky","#cobblemon:is_freezing"]}</t>
        </is>
      </c>
      <c r="AS125" s="18" t="inlineStr">
        <is>
          <t>{"weightMultiplier":{"condition":{"timeRange":"night"},"multiplier":0.25}}</t>
        </is>
      </c>
      <c r="AT125" s="19" t="inlineStr"/>
    </row>
    <row r="126" ht="32" customHeight="1">
      <c r="A126" s="18" t="inlineStr">
        <is>
          <t>0041_zubat.json::zubat-4::003</t>
        </is>
      </c>
      <c r="B126" s="19" t="inlineStr">
        <is>
          <t>사용</t>
        </is>
      </c>
      <c r="C126" s="18">
        <f>IF(OR(B126&lt;&gt;AK126,M126&lt;&gt;L126,O126&lt;&gt;"",Q126&lt;&gt;"",V126&lt;&gt;1,Y126&lt;&gt;"",AT126&lt;&gt;""),"수정","원본")</f>
        <v/>
      </c>
      <c r="D126" s="18" t="n">
        <v>41</v>
      </c>
      <c r="E126" s="18" t="inlineStr">
        <is>
          <t>주뱃</t>
        </is>
      </c>
      <c r="F126" s="18" t="inlineStr">
        <is>
          <t>zubat</t>
        </is>
      </c>
      <c r="G126" s="18" t="inlineStr">
        <is>
          <t>zubat</t>
        </is>
      </c>
      <c r="H126" s="18" t="inlineStr"/>
      <c r="I126" s="18" t="n">
        <v>1</v>
      </c>
      <c r="J126" s="18" t="n"/>
      <c r="K126" s="18" t="n">
        <v>1</v>
      </c>
      <c r="L126" s="18" t="inlineStr">
        <is>
          <t>cobbleventure:generation_1</t>
        </is>
      </c>
      <c r="M126" s="19" t="inlineStr">
        <is>
          <t>cobbleventure:generation_1</t>
        </is>
      </c>
      <c r="N126" s="18" t="inlineStr"/>
      <c r="O126" s="19" t="inlineStr"/>
      <c r="P126" s="18" t="inlineStr">
        <is>
          <t>#cobblemon:is_overworld</t>
        </is>
      </c>
      <c r="Q126" s="19" t="inlineStr"/>
      <c r="R126" s="18">
        <f>IF(Q126="",P126,Q126)</f>
        <v/>
      </c>
      <c r="S126" s="18" t="inlineStr">
        <is>
          <t>#cobblemon:is_deep_dark; #cobblemon:is_forest; #cobblemon:is_swamp</t>
        </is>
      </c>
      <c r="T126" s="18" t="inlineStr">
        <is>
          <t>common</t>
        </is>
      </c>
      <c r="U126" s="20" t="n">
        <v>9</v>
      </c>
      <c r="V126" s="21" t="n">
        <v>1</v>
      </c>
      <c r="W126" s="20">
        <f>IF(OR(U126="",V126=""),U126,U126*V126)</f>
        <v/>
      </c>
      <c r="X126" s="18" t="inlineStr">
        <is>
          <t>1-25</t>
        </is>
      </c>
      <c r="Y126" s="19" t="inlineStr"/>
      <c r="Z126" s="18">
        <f>IF(Y126="",X126,Y126)</f>
        <v/>
      </c>
      <c r="AA126" s="18" t="inlineStr">
        <is>
          <t>grounded</t>
        </is>
      </c>
      <c r="AB126" s="18" t="inlineStr"/>
      <c r="AC126" s="18" t="inlineStr"/>
      <c r="AD126" s="18" t="inlineStr"/>
      <c r="AE126" s="18" t="inlineStr">
        <is>
          <t>sky 0-7</t>
        </is>
      </c>
      <c r="AF126" s="18" t="inlineStr"/>
      <c r="AG126" s="18" t="inlineStr"/>
      <c r="AH126" s="18" t="inlineStr"/>
      <c r="AI126" s="18" t="inlineStr"/>
      <c r="AJ126" s="18" t="inlineStr">
        <is>
          <t>Cobblemon 동일</t>
        </is>
      </c>
      <c r="AK126" s="18" t="inlineStr">
        <is>
          <t>사용</t>
        </is>
      </c>
      <c r="AL126" s="18" t="inlineStr">
        <is>
          <t>COBBLEVERSE 1.7.42 / DP v31</t>
        </is>
      </c>
      <c r="AM126" s="18" t="inlineStr">
        <is>
          <t>data/cobblemon/spawn_pool_world/0041_zubat.json</t>
        </is>
      </c>
      <c r="AN126" s="18" t="inlineStr">
        <is>
          <t>zubat-4</t>
        </is>
      </c>
      <c r="AO126" s="18" t="inlineStr">
        <is>
          <t>pokemon</t>
        </is>
      </c>
      <c r="AP126" s="18" t="inlineStr">
        <is>
          <t>natural</t>
        </is>
      </c>
      <c r="AQ126" s="18" t="inlineStr">
        <is>
          <t>{"biomes":["#cobblemon:is_overworld"],"maxSkyLight":7,"minSkyLight":0}</t>
        </is>
      </c>
      <c r="AR126" s="18" t="inlineStr">
        <is>
          <t>{"biomes":["#cobblemon:is_deep_dark","#cobblemon:is_forest","#cobblemon:is_swamp"]}</t>
        </is>
      </c>
      <c r="AS126" s="18" t="inlineStr">
        <is>
          <t>{"weightMultiplier":{"condition":{"timeRange":"day"},"multiplier":1.5}}</t>
        </is>
      </c>
      <c r="AT126" s="19" t="inlineStr"/>
    </row>
    <row r="127" ht="32" customHeight="1">
      <c r="A127" s="18" t="inlineStr">
        <is>
          <t>0041_zubat.json::zubat-5::004</t>
        </is>
      </c>
      <c r="B127" s="19" t="inlineStr">
        <is>
          <t>사용</t>
        </is>
      </c>
      <c r="C127" s="18">
        <f>IF(OR(B127&lt;&gt;AK127,M127&lt;&gt;L127,O127&lt;&gt;"",Q127&lt;&gt;"",V127&lt;&gt;1,Y127&lt;&gt;"",AT127&lt;&gt;""),"수정","원본")</f>
        <v/>
      </c>
      <c r="D127" s="18" t="n">
        <v>41</v>
      </c>
      <c r="E127" s="18" t="inlineStr">
        <is>
          <t>주뱃</t>
        </is>
      </c>
      <c r="F127" s="18" t="inlineStr">
        <is>
          <t>zubat</t>
        </is>
      </c>
      <c r="G127" s="18" t="inlineStr">
        <is>
          <t>zubat</t>
        </is>
      </c>
      <c r="H127" s="18" t="inlineStr"/>
      <c r="I127" s="18" t="n">
        <v>1</v>
      </c>
      <c r="J127" s="18" t="n"/>
      <c r="K127" s="18" t="n">
        <v>1</v>
      </c>
      <c r="L127" s="18" t="inlineStr">
        <is>
          <t>cobbleventure:generation_1</t>
        </is>
      </c>
      <c r="M127" s="19" t="inlineStr">
        <is>
          <t>cobbleventure:generation_1</t>
        </is>
      </c>
      <c r="N127" s="18" t="inlineStr"/>
      <c r="O127" s="19" t="inlineStr"/>
      <c r="P127" s="18" t="inlineStr">
        <is>
          <t>#cobblemon:is_overworld</t>
        </is>
      </c>
      <c r="Q127" s="19" t="inlineStr"/>
      <c r="R127" s="18">
        <f>IF(Q127="",P127,Q127)</f>
        <v/>
      </c>
      <c r="S127" s="18" t="inlineStr">
        <is>
          <t>#cobblemon:is_deep_dark; #cobblemon:is_forest; #cobblemon:is_swamp</t>
        </is>
      </c>
      <c r="T127" s="18" t="inlineStr">
        <is>
          <t>uncommon</t>
        </is>
      </c>
      <c r="U127" s="20" t="n">
        <v>8.4</v>
      </c>
      <c r="V127" s="21" t="n">
        <v>1</v>
      </c>
      <c r="W127" s="20">
        <f>IF(OR(U127="",V127=""),U127,U127*V127)</f>
        <v/>
      </c>
      <c r="X127" s="18" t="inlineStr">
        <is>
          <t>1-25</t>
        </is>
      </c>
      <c r="Y127" s="19" t="inlineStr"/>
      <c r="Z127" s="18">
        <f>IF(Y127="",X127,Y127)</f>
        <v/>
      </c>
      <c r="AA127" s="18" t="inlineStr">
        <is>
          <t>grounded</t>
        </is>
      </c>
      <c r="AB127" s="18" t="inlineStr"/>
      <c r="AC127" s="18" t="inlineStr"/>
      <c r="AD127" s="18" t="inlineStr"/>
      <c r="AE127" s="18" t="inlineStr"/>
      <c r="AF127" s="18" t="inlineStr">
        <is>
          <t>False</t>
        </is>
      </c>
      <c r="AG127" s="18" t="inlineStr"/>
      <c r="AH127" s="18" t="inlineStr"/>
      <c r="AI127" s="18" t="inlineStr"/>
      <c r="AJ127" s="18" t="inlineStr">
        <is>
          <t>Cobblemon 동일</t>
        </is>
      </c>
      <c r="AK127" s="18" t="inlineStr">
        <is>
          <t>사용</t>
        </is>
      </c>
      <c r="AL127" s="18" t="inlineStr">
        <is>
          <t>COBBLEVERSE 1.7.42 / DP v31</t>
        </is>
      </c>
      <c r="AM127" s="18" t="inlineStr">
        <is>
          <t>data/cobblemon/spawn_pool_world/0041_zubat.json</t>
        </is>
      </c>
      <c r="AN127" s="18" t="inlineStr">
        <is>
          <t>zubat-5</t>
        </is>
      </c>
      <c r="AO127" s="18" t="inlineStr">
        <is>
          <t>pokemon</t>
        </is>
      </c>
      <c r="AP127" s="18" t="inlineStr">
        <is>
          <t>derelict</t>
        </is>
      </c>
      <c r="AQ127" s="18" t="inlineStr">
        <is>
          <t>{"biomes":["#cobblemon:is_overworld"],"canSeeSky":false}</t>
        </is>
      </c>
      <c r="AR127" s="18" t="inlineStr">
        <is>
          <t>{"biomes":["#cobblemon:is_deep_dark","#cobblemon:is_forest","#cobblemon:is_swamp"]}</t>
        </is>
      </c>
      <c r="AS127" s="18" t="inlineStr">
        <is>
          <t>{"weightMultiplier":{"condition":{"timeRange":"day"},"multiplier":1.5}}</t>
        </is>
      </c>
      <c r="AT127" s="19" t="inlineStr"/>
    </row>
    <row r="128" ht="32" customHeight="1">
      <c r="A128" s="18" t="inlineStr">
        <is>
          <t>0041_zubat.json::zubat-6::005</t>
        </is>
      </c>
      <c r="B128" s="19" t="inlineStr">
        <is>
          <t>사용</t>
        </is>
      </c>
      <c r="C128" s="18">
        <f>IF(OR(B128&lt;&gt;AK128,M128&lt;&gt;L128,O128&lt;&gt;"",Q128&lt;&gt;"",V128&lt;&gt;1,Y128&lt;&gt;"",AT128&lt;&gt;""),"수정","원본")</f>
        <v/>
      </c>
      <c r="D128" s="18" t="n">
        <v>41</v>
      </c>
      <c r="E128" s="18" t="inlineStr">
        <is>
          <t>주뱃</t>
        </is>
      </c>
      <c r="F128" s="18" t="inlineStr">
        <is>
          <t>zubat</t>
        </is>
      </c>
      <c r="G128" s="18" t="inlineStr">
        <is>
          <t>zubat</t>
        </is>
      </c>
      <c r="H128" s="18" t="inlineStr"/>
      <c r="I128" s="18" t="n">
        <v>1</v>
      </c>
      <c r="J128" s="18" t="n"/>
      <c r="K128" s="18" t="n">
        <v>1</v>
      </c>
      <c r="L128" s="18" t="inlineStr">
        <is>
          <t>cobbleventure:generation_1</t>
        </is>
      </c>
      <c r="M128" s="19" t="inlineStr">
        <is>
          <t>cobbleventure:generation_1</t>
        </is>
      </c>
      <c r="N128" s="18" t="inlineStr"/>
      <c r="O128" s="19" t="inlineStr"/>
      <c r="P128" s="18" t="inlineStr">
        <is>
          <t>#cobblemon:is_spooky</t>
        </is>
      </c>
      <c r="Q128" s="19" t="inlineStr"/>
      <c r="R128" s="18">
        <f>IF(Q128="",P128,Q128)</f>
        <v/>
      </c>
      <c r="S128" s="18" t="inlineStr"/>
      <c r="T128" s="18" t="inlineStr">
        <is>
          <t>common</t>
        </is>
      </c>
      <c r="U128" s="20" t="n">
        <v>9</v>
      </c>
      <c r="V128" s="21" t="n">
        <v>1</v>
      </c>
      <c r="W128" s="20">
        <f>IF(OR(U128="",V128=""),U128,U128*V128)</f>
        <v/>
      </c>
      <c r="X128" s="18" t="inlineStr">
        <is>
          <t>1-25</t>
        </is>
      </c>
      <c r="Y128" s="19" t="inlineStr"/>
      <c r="Z128" s="18">
        <f>IF(Y128="",X128,Y128)</f>
        <v/>
      </c>
      <c r="AA128" s="18" t="inlineStr">
        <is>
          <t>grounded</t>
        </is>
      </c>
      <c r="AB128" s="18" t="inlineStr"/>
      <c r="AC128" s="18" t="inlineStr">
        <is>
          <t>비=False</t>
        </is>
      </c>
      <c r="AD128" s="18" t="inlineStr"/>
      <c r="AE128" s="18" t="inlineStr">
        <is>
          <t>sky 8-15</t>
        </is>
      </c>
      <c r="AF128" s="18" t="inlineStr"/>
      <c r="AG128" s="18" t="inlineStr"/>
      <c r="AH128" s="18" t="inlineStr"/>
      <c r="AI128" s="18" t="inlineStr"/>
      <c r="AJ128" s="18" t="inlineStr">
        <is>
          <t>Cobblemon 동일</t>
        </is>
      </c>
      <c r="AK128" s="18" t="inlineStr">
        <is>
          <t>사용</t>
        </is>
      </c>
      <c r="AL128" s="18" t="inlineStr">
        <is>
          <t>COBBLEVERSE 1.7.42 / DP v31</t>
        </is>
      </c>
      <c r="AM128" s="18" t="inlineStr">
        <is>
          <t>data/cobblemon/spawn_pool_world/0041_zubat.json</t>
        </is>
      </c>
      <c r="AN128" s="18" t="inlineStr">
        <is>
          <t>zubat-6</t>
        </is>
      </c>
      <c r="AO128" s="18" t="inlineStr">
        <is>
          <t>pokemon</t>
        </is>
      </c>
      <c r="AP128" s="18" t="inlineStr">
        <is>
          <t>natural</t>
        </is>
      </c>
      <c r="AQ128" s="18" t="inlineStr">
        <is>
          <t>{"biomes":["#cobblemon:is_spooky"],"isRaining":false,"maxSkyLight":15,"minSkyLight":8}</t>
        </is>
      </c>
      <c r="AR128" s="18" t="inlineStr"/>
      <c r="AS128" s="18" t="inlineStr">
        <is>
          <t>{"weightMultiplier":{"condition":{"timeRange":"night"},"multiplier":1.5}}</t>
        </is>
      </c>
      <c r="AT128" s="19" t="inlineStr"/>
    </row>
    <row r="129" ht="32" customHeight="1">
      <c r="A129" s="18" t="inlineStr">
        <is>
          <t>0041_zubat.json::zubat-8::006</t>
        </is>
      </c>
      <c r="B129" s="19" t="inlineStr">
        <is>
          <t>사용</t>
        </is>
      </c>
      <c r="C129" s="18">
        <f>IF(OR(B129&lt;&gt;AK129,M129&lt;&gt;L129,O129&lt;&gt;"",Q129&lt;&gt;"",V129&lt;&gt;1,Y129&lt;&gt;"",AT129&lt;&gt;""),"수정","원본")</f>
        <v/>
      </c>
      <c r="D129" s="18" t="n">
        <v>41</v>
      </c>
      <c r="E129" s="18" t="inlineStr">
        <is>
          <t>주뱃</t>
        </is>
      </c>
      <c r="F129" s="18" t="inlineStr">
        <is>
          <t>zubat</t>
        </is>
      </c>
      <c r="G129" s="18" t="inlineStr">
        <is>
          <t>zubat</t>
        </is>
      </c>
      <c r="H129" s="18" t="inlineStr"/>
      <c r="I129" s="18" t="n">
        <v>1</v>
      </c>
      <c r="J129" s="18" t="n"/>
      <c r="K129" s="18" t="n">
        <v>1</v>
      </c>
      <c r="L129" s="18" t="inlineStr">
        <is>
          <t>cobbleventure:generation_1</t>
        </is>
      </c>
      <c r="M129" s="19" t="inlineStr">
        <is>
          <t>cobbleventure:generation_1</t>
        </is>
      </c>
      <c r="N129" s="18" t="inlineStr"/>
      <c r="O129" s="19" t="inlineStr"/>
      <c r="P129" s="18" t="inlineStr">
        <is>
          <t>#cobblemon:is_deep_dark</t>
        </is>
      </c>
      <c r="Q129" s="19" t="inlineStr"/>
      <c r="R129" s="18">
        <f>IF(Q129="",P129,Q129)</f>
        <v/>
      </c>
      <c r="S129" s="18" t="inlineStr"/>
      <c r="T129" s="18" t="inlineStr">
        <is>
          <t>uncommon</t>
        </is>
      </c>
      <c r="U129" s="20" t="n">
        <v>8.4</v>
      </c>
      <c r="V129" s="21" t="n">
        <v>1</v>
      </c>
      <c r="W129" s="20">
        <f>IF(OR(U129="",V129=""),U129,U129*V129)</f>
        <v/>
      </c>
      <c r="X129" s="18" t="inlineStr">
        <is>
          <t>1-25</t>
        </is>
      </c>
      <c r="Y129" s="19" t="inlineStr"/>
      <c r="Z129" s="18">
        <f>IF(Y129="",X129,Y129)</f>
        <v/>
      </c>
      <c r="AA129" s="18" t="inlineStr">
        <is>
          <t>grounded</t>
        </is>
      </c>
      <c r="AB129" s="18" t="inlineStr"/>
      <c r="AC129" s="18" t="inlineStr"/>
      <c r="AD129" s="18" t="inlineStr"/>
      <c r="AE129" s="18" t="inlineStr">
        <is>
          <t>sky 0-7</t>
        </is>
      </c>
      <c r="AF129" s="18" t="inlineStr"/>
      <c r="AG129" s="18" t="inlineStr"/>
      <c r="AH129" s="18" t="inlineStr"/>
      <c r="AI129" s="18" t="inlineStr"/>
      <c r="AJ129" s="18" t="inlineStr">
        <is>
          <t>Cobblemon 동일</t>
        </is>
      </c>
      <c r="AK129" s="18" t="inlineStr">
        <is>
          <t>사용</t>
        </is>
      </c>
      <c r="AL129" s="18" t="inlineStr">
        <is>
          <t>COBBLEVERSE 1.7.42 / DP v31</t>
        </is>
      </c>
      <c r="AM129" s="18" t="inlineStr">
        <is>
          <t>data/cobblemon/spawn_pool_world/0041_zubat.json</t>
        </is>
      </c>
      <c r="AN129" s="18" t="inlineStr">
        <is>
          <t>zubat-8</t>
        </is>
      </c>
      <c r="AO129" s="18" t="inlineStr">
        <is>
          <t>pokemon</t>
        </is>
      </c>
      <c r="AP129" s="18" t="inlineStr">
        <is>
          <t>natural</t>
        </is>
      </c>
      <c r="AQ129" s="18" t="inlineStr">
        <is>
          <t>{"biomes":["#cobblemon:is_deep_dark"],"maxSkyLight":7,"minSkyLight":0}</t>
        </is>
      </c>
      <c r="AR129" s="18" t="inlineStr"/>
      <c r="AS129" s="18" t="inlineStr"/>
      <c r="AT129" s="19" t="inlineStr"/>
    </row>
    <row r="130" ht="32" customHeight="1">
      <c r="A130" s="18" t="inlineStr">
        <is>
          <t>0041_zubat.json::zubat-9::007</t>
        </is>
      </c>
      <c r="B130" s="19" t="inlineStr">
        <is>
          <t>사용</t>
        </is>
      </c>
      <c r="C130" s="18">
        <f>IF(OR(B130&lt;&gt;AK130,M130&lt;&gt;L130,O130&lt;&gt;"",Q130&lt;&gt;"",V130&lt;&gt;1,Y130&lt;&gt;"",AT130&lt;&gt;""),"수정","원본")</f>
        <v/>
      </c>
      <c r="D130" s="18" t="n">
        <v>41</v>
      </c>
      <c r="E130" s="18" t="inlineStr">
        <is>
          <t>주뱃</t>
        </is>
      </c>
      <c r="F130" s="18" t="inlineStr">
        <is>
          <t>zubat</t>
        </is>
      </c>
      <c r="G130" s="18" t="inlineStr">
        <is>
          <t>zubat</t>
        </is>
      </c>
      <c r="H130" s="18" t="inlineStr"/>
      <c r="I130" s="18" t="n">
        <v>1</v>
      </c>
      <c r="J130" s="18" t="n"/>
      <c r="K130" s="18" t="n">
        <v>1</v>
      </c>
      <c r="L130" s="18" t="inlineStr">
        <is>
          <t>cobbleventure:generation_1</t>
        </is>
      </c>
      <c r="M130" s="19" t="inlineStr">
        <is>
          <t>cobbleventure:generation_1</t>
        </is>
      </c>
      <c r="N130" s="18" t="inlineStr"/>
      <c r="O130" s="19" t="inlineStr"/>
      <c r="P130" s="18" t="inlineStr">
        <is>
          <t>#aether:is_aether</t>
        </is>
      </c>
      <c r="Q130" s="19" t="inlineStr"/>
      <c r="R130" s="18">
        <f>IF(Q130="",P130,Q130)</f>
        <v/>
      </c>
      <c r="S130" s="18" t="inlineStr"/>
      <c r="T130" s="18" t="inlineStr">
        <is>
          <t>common</t>
        </is>
      </c>
      <c r="U130" s="20" t="n">
        <v>9</v>
      </c>
      <c r="V130" s="21" t="n">
        <v>1</v>
      </c>
      <c r="W130" s="20">
        <f>IF(OR(U130="",V130=""),U130,U130*V130)</f>
        <v/>
      </c>
      <c r="X130" s="18" t="inlineStr">
        <is>
          <t>1-25</t>
        </is>
      </c>
      <c r="Y130" s="19" t="inlineStr"/>
      <c r="Z130" s="18">
        <f>IF(Y130="",X130,Y130)</f>
        <v/>
      </c>
      <c r="AA130" s="18" t="inlineStr">
        <is>
          <t>grounded</t>
        </is>
      </c>
      <c r="AB130" s="18" t="inlineStr"/>
      <c r="AC130" s="18" t="inlineStr"/>
      <c r="AD130" s="18" t="inlineStr"/>
      <c r="AE130" s="18" t="inlineStr">
        <is>
          <t>sky 0-7</t>
        </is>
      </c>
      <c r="AF130" s="18" t="inlineStr"/>
      <c r="AG130" s="18" t="inlineStr"/>
      <c r="AH130" s="18" t="inlineStr"/>
      <c r="AI130" s="18" t="inlineStr"/>
      <c r="AJ130" s="18" t="inlineStr">
        <is>
          <t>Cobblemon 동일</t>
        </is>
      </c>
      <c r="AK130" s="18" t="inlineStr">
        <is>
          <t>사용</t>
        </is>
      </c>
      <c r="AL130" s="18" t="inlineStr">
        <is>
          <t>COBBLEVERSE 1.7.42 / DP v31</t>
        </is>
      </c>
      <c r="AM130" s="18" t="inlineStr">
        <is>
          <t>data/cobblemon/spawn_pool_world/0041_zubat.json</t>
        </is>
      </c>
      <c r="AN130" s="18" t="inlineStr">
        <is>
          <t>zubat-9</t>
        </is>
      </c>
      <c r="AO130" s="18" t="inlineStr">
        <is>
          <t>pokemon</t>
        </is>
      </c>
      <c r="AP130" s="18" t="inlineStr">
        <is>
          <t>natural</t>
        </is>
      </c>
      <c r="AQ130" s="18" t="inlineStr">
        <is>
          <t>{"biomes":["#aether:is_aether"],"maxSkyLight":7,"minSkyLight":0}</t>
        </is>
      </c>
      <c r="AR130" s="18" t="inlineStr"/>
      <c r="AS130" s="18" t="inlineStr"/>
      <c r="AT130" s="19" t="inlineStr"/>
    </row>
    <row r="131" ht="32" customHeight="1">
      <c r="A131" s="18" t="inlineStr">
        <is>
          <t>0042_golbat.json::golbat-1::001</t>
        </is>
      </c>
      <c r="B131" s="19" t="inlineStr">
        <is>
          <t>사용</t>
        </is>
      </c>
      <c r="C131" s="18">
        <f>IF(OR(B131&lt;&gt;AK131,M131&lt;&gt;L131,O131&lt;&gt;"",Q131&lt;&gt;"",V131&lt;&gt;1,Y131&lt;&gt;"",AT131&lt;&gt;""),"수정","원본")</f>
        <v/>
      </c>
      <c r="D131" s="18" t="n">
        <v>42</v>
      </c>
      <c r="E131" s="18" t="inlineStr">
        <is>
          <t>골뱃</t>
        </is>
      </c>
      <c r="F131" s="18" t="inlineStr">
        <is>
          <t>golbat</t>
        </is>
      </c>
      <c r="G131" s="18" t="inlineStr">
        <is>
          <t>golbat</t>
        </is>
      </c>
      <c r="H131" s="18" t="inlineStr"/>
      <c r="I131" s="18" t="n">
        <v>1</v>
      </c>
      <c r="J131" s="18" t="n"/>
      <c r="K131" s="18" t="n">
        <v>1</v>
      </c>
      <c r="L131" s="18" t="inlineStr">
        <is>
          <t>cobbleventure:generation_1</t>
        </is>
      </c>
      <c r="M131" s="19" t="inlineStr">
        <is>
          <t>cobbleventure:generation_1</t>
        </is>
      </c>
      <c r="N131" s="18" t="inlineStr">
        <is>
          <t>region_01; region_02</t>
        </is>
      </c>
      <c r="O131" s="19" t="inlineStr"/>
      <c r="P131" s="18" t="inlineStr">
        <is>
          <t>#cobblemon:is_forest; #cobblemon:is_swamp</t>
        </is>
      </c>
      <c r="Q131" s="19" t="inlineStr"/>
      <c r="R131" s="18">
        <f>IF(Q131="",P131,Q131)</f>
        <v/>
      </c>
      <c r="S131" s="18" t="inlineStr">
        <is>
          <t>#cobblemon:is_spooky; #cobblemon:is_freezing</t>
        </is>
      </c>
      <c r="T131" s="18" t="inlineStr">
        <is>
          <t>common</t>
        </is>
      </c>
      <c r="U131" s="20" t="n">
        <v>0.18</v>
      </c>
      <c r="V131" s="21" t="n">
        <v>1</v>
      </c>
      <c r="W131" s="20">
        <f>IF(OR(U131="",V131=""),U131,U131*V131)</f>
        <v/>
      </c>
      <c r="X131" s="18" t="inlineStr">
        <is>
          <t>22-46</t>
        </is>
      </c>
      <c r="Y131" s="19" t="inlineStr"/>
      <c r="Z131" s="18">
        <f>IF(Y131="",X131,Y131)</f>
        <v/>
      </c>
      <c r="AA131" s="18" t="inlineStr">
        <is>
          <t>grounded</t>
        </is>
      </c>
      <c r="AB131" s="18" t="inlineStr">
        <is>
          <t>night</t>
        </is>
      </c>
      <c r="AC131" s="18" t="inlineStr">
        <is>
          <t>비=False</t>
        </is>
      </c>
      <c r="AD131" s="18" t="inlineStr"/>
      <c r="AE131" s="18" t="inlineStr">
        <is>
          <t>sky 8-15</t>
        </is>
      </c>
      <c r="AF131" s="18" t="inlineStr"/>
      <c r="AG131" s="18" t="inlineStr"/>
      <c r="AH131" s="18" t="inlineStr"/>
      <c r="AI131" s="18" t="inlineStr"/>
      <c r="AJ131" s="18" t="inlineStr">
        <is>
          <t>Cobblemon 동일</t>
        </is>
      </c>
      <c r="AK131" s="18" t="inlineStr">
        <is>
          <t>사용</t>
        </is>
      </c>
      <c r="AL131" s="18" t="inlineStr">
        <is>
          <t>COBBLEVERSE 1.7.42 / DP v31</t>
        </is>
      </c>
      <c r="AM131" s="18" t="inlineStr">
        <is>
          <t>data/cobblemon/spawn_pool_world/0042_golbat.json</t>
        </is>
      </c>
      <c r="AN131" s="18" t="inlineStr">
        <is>
          <t>golbat-1</t>
        </is>
      </c>
      <c r="AO131" s="18" t="inlineStr">
        <is>
          <t>pokemon</t>
        </is>
      </c>
      <c r="AP131" s="18" t="inlineStr">
        <is>
          <t>natural</t>
        </is>
      </c>
      <c r="AQ131" s="18" t="inlineStr">
        <is>
          <t>{"biomes":["#cobblemon:is_forest","#cobblemon:is_swamp"],"isRaining":false,"maxSkyLight":15,"minSkyLight":8,"timeRange":"night"}</t>
        </is>
      </c>
      <c r="AR131" s="18" t="inlineStr">
        <is>
          <t>{"biomes":["#cobblemon:is_spooky","#cobblemon:is_freezing"]}</t>
        </is>
      </c>
      <c r="AS131" s="18" t="inlineStr"/>
      <c r="AT131" s="19" t="inlineStr"/>
    </row>
    <row r="132" ht="32" customHeight="1">
      <c r="A132" s="18" t="inlineStr">
        <is>
          <t>0042_golbat.json::golbat-3::002</t>
        </is>
      </c>
      <c r="B132" s="19" t="inlineStr">
        <is>
          <t>사용</t>
        </is>
      </c>
      <c r="C132" s="18">
        <f>IF(OR(B132&lt;&gt;AK132,M132&lt;&gt;L132,O132&lt;&gt;"",Q132&lt;&gt;"",V132&lt;&gt;1,Y132&lt;&gt;"",AT132&lt;&gt;""),"수정","원본")</f>
        <v/>
      </c>
      <c r="D132" s="18" t="n">
        <v>42</v>
      </c>
      <c r="E132" s="18" t="inlineStr">
        <is>
          <t>골뱃</t>
        </is>
      </c>
      <c r="F132" s="18" t="inlineStr">
        <is>
          <t>golbat</t>
        </is>
      </c>
      <c r="G132" s="18" t="inlineStr">
        <is>
          <t>golbat</t>
        </is>
      </c>
      <c r="H132" s="18" t="inlineStr"/>
      <c r="I132" s="18" t="n">
        <v>1</v>
      </c>
      <c r="J132" s="18" t="n"/>
      <c r="K132" s="18" t="n">
        <v>1</v>
      </c>
      <c r="L132" s="18" t="inlineStr">
        <is>
          <t>cobbleventure:generation_1</t>
        </is>
      </c>
      <c r="M132" s="19" t="inlineStr">
        <is>
          <t>cobbleventure:generation_1</t>
        </is>
      </c>
      <c r="N132" s="18" t="inlineStr">
        <is>
          <t>region_01; region_02</t>
        </is>
      </c>
      <c r="O132" s="19" t="inlineStr"/>
      <c r="P132" s="18" t="inlineStr">
        <is>
          <t>#cobblemon:is_forest; #cobblemon:is_swamp</t>
        </is>
      </c>
      <c r="Q132" s="19" t="inlineStr"/>
      <c r="R132" s="18">
        <f>IF(Q132="",P132,Q132)</f>
        <v/>
      </c>
      <c r="S132" s="18" t="inlineStr">
        <is>
          <t>#cobblemon:is_spooky; #cobblemon:is_freezing</t>
        </is>
      </c>
      <c r="T132" s="18" t="inlineStr">
        <is>
          <t>common</t>
        </is>
      </c>
      <c r="U132" s="20" t="n">
        <v>0.18</v>
      </c>
      <c r="V132" s="21" t="n">
        <v>1</v>
      </c>
      <c r="W132" s="20">
        <f>IF(OR(U132="",V132=""),U132,U132*V132)</f>
        <v/>
      </c>
      <c r="X132" s="18" t="inlineStr">
        <is>
          <t>22-46</t>
        </is>
      </c>
      <c r="Y132" s="19" t="inlineStr"/>
      <c r="Z132" s="18">
        <f>IF(Y132="",X132,Y132)</f>
        <v/>
      </c>
      <c r="AA132" s="18" t="inlineStr">
        <is>
          <t>grounded</t>
        </is>
      </c>
      <c r="AB132" s="18" t="inlineStr"/>
      <c r="AC132" s="18" t="inlineStr"/>
      <c r="AD132" s="18" t="inlineStr"/>
      <c r="AE132" s="18" t="inlineStr">
        <is>
          <t>sky 0-7</t>
        </is>
      </c>
      <c r="AF132" s="18" t="inlineStr"/>
      <c r="AG132" s="18" t="inlineStr"/>
      <c r="AH132" s="18" t="inlineStr"/>
      <c r="AI132" s="18" t="inlineStr"/>
      <c r="AJ132" s="18" t="inlineStr">
        <is>
          <t>Cobblemon 동일</t>
        </is>
      </c>
      <c r="AK132" s="18" t="inlineStr">
        <is>
          <t>사용</t>
        </is>
      </c>
      <c r="AL132" s="18" t="inlineStr">
        <is>
          <t>COBBLEVERSE 1.7.42 / DP v31</t>
        </is>
      </c>
      <c r="AM132" s="18" t="inlineStr">
        <is>
          <t>data/cobblemon/spawn_pool_world/0042_golbat.json</t>
        </is>
      </c>
      <c r="AN132" s="18" t="inlineStr">
        <is>
          <t>golbat-3</t>
        </is>
      </c>
      <c r="AO132" s="18" t="inlineStr">
        <is>
          <t>pokemon</t>
        </is>
      </c>
      <c r="AP132" s="18" t="inlineStr">
        <is>
          <t>natural</t>
        </is>
      </c>
      <c r="AQ132" s="18" t="inlineStr">
        <is>
          <t>{"biomes":["#cobblemon:is_forest","#cobblemon:is_swamp"],"maxSkyLight":7,"minSkyLight":0}</t>
        </is>
      </c>
      <c r="AR132" s="18" t="inlineStr">
        <is>
          <t>{"biomes":["#cobblemon:is_spooky","#cobblemon:is_freezing"]}</t>
        </is>
      </c>
      <c r="AS132" s="18" t="inlineStr">
        <is>
          <t>{"weightMultiplier":{"condition":{"timeRange":"night"},"multiplier":0.25}}</t>
        </is>
      </c>
      <c r="AT132" s="19" t="inlineStr"/>
    </row>
    <row r="133" ht="32" customHeight="1">
      <c r="A133" s="18" t="inlineStr">
        <is>
          <t>0042_golbat.json::golbat-4::003</t>
        </is>
      </c>
      <c r="B133" s="19" t="inlineStr">
        <is>
          <t>사용</t>
        </is>
      </c>
      <c r="C133" s="18">
        <f>IF(OR(B133&lt;&gt;AK133,M133&lt;&gt;L133,O133&lt;&gt;"",Q133&lt;&gt;"",V133&lt;&gt;1,Y133&lt;&gt;"",AT133&lt;&gt;""),"수정","원본")</f>
        <v/>
      </c>
      <c r="D133" s="18" t="n">
        <v>42</v>
      </c>
      <c r="E133" s="18" t="inlineStr">
        <is>
          <t>골뱃</t>
        </is>
      </c>
      <c r="F133" s="18" t="inlineStr">
        <is>
          <t>golbat</t>
        </is>
      </c>
      <c r="G133" s="18" t="inlineStr">
        <is>
          <t>golbat</t>
        </is>
      </c>
      <c r="H133" s="18" t="inlineStr"/>
      <c r="I133" s="18" t="n">
        <v>1</v>
      </c>
      <c r="J133" s="18" t="n"/>
      <c r="K133" s="18" t="n">
        <v>1</v>
      </c>
      <c r="L133" s="18" t="inlineStr">
        <is>
          <t>cobbleventure:generation_1</t>
        </is>
      </c>
      <c r="M133" s="19" t="inlineStr">
        <is>
          <t>cobbleventure:generation_1</t>
        </is>
      </c>
      <c r="N133" s="18" t="inlineStr"/>
      <c r="O133" s="19" t="inlineStr"/>
      <c r="P133" s="18" t="inlineStr">
        <is>
          <t>#cobblemon:is_overworld</t>
        </is>
      </c>
      <c r="Q133" s="19" t="inlineStr"/>
      <c r="R133" s="18">
        <f>IF(Q133="",P133,Q133)</f>
        <v/>
      </c>
      <c r="S133" s="18" t="inlineStr">
        <is>
          <t>#cobblemon:is_deep_dark; #cobblemon:is_forest; #cobblemon:is_swamp</t>
        </is>
      </c>
      <c r="T133" s="18" t="inlineStr">
        <is>
          <t>common</t>
        </is>
      </c>
      <c r="U133" s="20" t="n">
        <v>0.9</v>
      </c>
      <c r="V133" s="21" t="n">
        <v>1</v>
      </c>
      <c r="W133" s="20">
        <f>IF(OR(U133="",V133=""),U133,U133*V133)</f>
        <v/>
      </c>
      <c r="X133" s="18" t="inlineStr">
        <is>
          <t>22-46</t>
        </is>
      </c>
      <c r="Y133" s="19" t="inlineStr"/>
      <c r="Z133" s="18">
        <f>IF(Y133="",X133,Y133)</f>
        <v/>
      </c>
      <c r="AA133" s="18" t="inlineStr">
        <is>
          <t>grounded</t>
        </is>
      </c>
      <c r="AB133" s="18" t="inlineStr"/>
      <c r="AC133" s="18" t="inlineStr"/>
      <c r="AD133" s="18" t="inlineStr"/>
      <c r="AE133" s="18" t="inlineStr">
        <is>
          <t>sky 0-7</t>
        </is>
      </c>
      <c r="AF133" s="18" t="inlineStr"/>
      <c r="AG133" s="18" t="inlineStr"/>
      <c r="AH133" s="18" t="inlineStr"/>
      <c r="AI133" s="18" t="inlineStr"/>
      <c r="AJ133" s="18" t="inlineStr">
        <is>
          <t>Cobblemon 동일</t>
        </is>
      </c>
      <c r="AK133" s="18" t="inlineStr">
        <is>
          <t>사용</t>
        </is>
      </c>
      <c r="AL133" s="18" t="inlineStr">
        <is>
          <t>COBBLEVERSE 1.7.42 / DP v31</t>
        </is>
      </c>
      <c r="AM133" s="18" t="inlineStr">
        <is>
          <t>data/cobblemon/spawn_pool_world/0042_golbat.json</t>
        </is>
      </c>
      <c r="AN133" s="18" t="inlineStr">
        <is>
          <t>golbat-4</t>
        </is>
      </c>
      <c r="AO133" s="18" t="inlineStr">
        <is>
          <t>pokemon</t>
        </is>
      </c>
      <c r="AP133" s="18" t="inlineStr">
        <is>
          <t>natural</t>
        </is>
      </c>
      <c r="AQ133" s="18" t="inlineStr">
        <is>
          <t>{"biomes":["#cobblemon:is_overworld"],"maxSkyLight":7,"minSkyLight":0}</t>
        </is>
      </c>
      <c r="AR133" s="18" t="inlineStr">
        <is>
          <t>{"biomes":["#cobblemon:is_deep_dark","#cobblemon:is_forest","#cobblemon:is_swamp"]}</t>
        </is>
      </c>
      <c r="AS133" s="18" t="inlineStr">
        <is>
          <t>{"weightMultiplier":{"condition":{"timeRange":"day"},"multiplier":1.5}}</t>
        </is>
      </c>
      <c r="AT133" s="19" t="inlineStr"/>
    </row>
    <row r="134" ht="32" customHeight="1">
      <c r="A134" s="18" t="inlineStr">
        <is>
          <t>0042_golbat.json::golbat-5::004</t>
        </is>
      </c>
      <c r="B134" s="19" t="inlineStr">
        <is>
          <t>사용</t>
        </is>
      </c>
      <c r="C134" s="18">
        <f>IF(OR(B134&lt;&gt;AK134,M134&lt;&gt;L134,O134&lt;&gt;"",Q134&lt;&gt;"",V134&lt;&gt;1,Y134&lt;&gt;"",AT134&lt;&gt;""),"수정","원본")</f>
        <v/>
      </c>
      <c r="D134" s="18" t="n">
        <v>42</v>
      </c>
      <c r="E134" s="18" t="inlineStr">
        <is>
          <t>골뱃</t>
        </is>
      </c>
      <c r="F134" s="18" t="inlineStr">
        <is>
          <t>golbat</t>
        </is>
      </c>
      <c r="G134" s="18" t="inlineStr">
        <is>
          <t>golbat</t>
        </is>
      </c>
      <c r="H134" s="18" t="inlineStr"/>
      <c r="I134" s="18" t="n">
        <v>1</v>
      </c>
      <c r="J134" s="18" t="n"/>
      <c r="K134" s="18" t="n">
        <v>1</v>
      </c>
      <c r="L134" s="18" t="inlineStr">
        <is>
          <t>cobbleventure:generation_1</t>
        </is>
      </c>
      <c r="M134" s="19" t="inlineStr">
        <is>
          <t>cobbleventure:generation_1</t>
        </is>
      </c>
      <c r="N134" s="18" t="inlineStr"/>
      <c r="O134" s="19" t="inlineStr"/>
      <c r="P134" s="18" t="inlineStr">
        <is>
          <t>#cobblemon:is_overworld</t>
        </is>
      </c>
      <c r="Q134" s="19" t="inlineStr"/>
      <c r="R134" s="18">
        <f>IF(Q134="",P134,Q134)</f>
        <v/>
      </c>
      <c r="S134" s="18" t="inlineStr">
        <is>
          <t>#cobblemon:is_deep_dark; #cobblemon:is_forest; #cobblemon:is_swamp</t>
        </is>
      </c>
      <c r="T134" s="18" t="inlineStr">
        <is>
          <t>uncommon</t>
        </is>
      </c>
      <c r="U134" s="20" t="n">
        <v>1.52</v>
      </c>
      <c r="V134" s="21" t="n">
        <v>1</v>
      </c>
      <c r="W134" s="20">
        <f>IF(OR(U134="",V134=""),U134,U134*V134)</f>
        <v/>
      </c>
      <c r="X134" s="18" t="inlineStr">
        <is>
          <t>22-46</t>
        </is>
      </c>
      <c r="Y134" s="19" t="inlineStr"/>
      <c r="Z134" s="18">
        <f>IF(Y134="",X134,Y134)</f>
        <v/>
      </c>
      <c r="AA134" s="18" t="inlineStr">
        <is>
          <t>grounded</t>
        </is>
      </c>
      <c r="AB134" s="18" t="inlineStr"/>
      <c r="AC134" s="18" t="inlineStr"/>
      <c r="AD134" s="18" t="inlineStr"/>
      <c r="AE134" s="18" t="inlineStr"/>
      <c r="AF134" s="18" t="inlineStr">
        <is>
          <t>False</t>
        </is>
      </c>
      <c r="AG134" s="18" t="inlineStr"/>
      <c r="AH134" s="18" t="inlineStr"/>
      <c r="AI134" s="18" t="inlineStr"/>
      <c r="AJ134" s="18" t="inlineStr">
        <is>
          <t>Cobblemon 동일</t>
        </is>
      </c>
      <c r="AK134" s="18" t="inlineStr">
        <is>
          <t>사용</t>
        </is>
      </c>
      <c r="AL134" s="18" t="inlineStr">
        <is>
          <t>COBBLEVERSE 1.7.42 / DP v31</t>
        </is>
      </c>
      <c r="AM134" s="18" t="inlineStr">
        <is>
          <t>data/cobblemon/spawn_pool_world/0042_golbat.json</t>
        </is>
      </c>
      <c r="AN134" s="18" t="inlineStr">
        <is>
          <t>golbat-5</t>
        </is>
      </c>
      <c r="AO134" s="18" t="inlineStr">
        <is>
          <t>pokemon</t>
        </is>
      </c>
      <c r="AP134" s="18" t="inlineStr">
        <is>
          <t>derelict</t>
        </is>
      </c>
      <c r="AQ134" s="18" t="inlineStr">
        <is>
          <t>{"biomes":["#cobblemon:is_overworld"],"canSeeSky":false}</t>
        </is>
      </c>
      <c r="AR134" s="18" t="inlineStr">
        <is>
          <t>{"biomes":["#cobblemon:is_deep_dark","#cobblemon:is_forest","#cobblemon:is_swamp"]}</t>
        </is>
      </c>
      <c r="AS134" s="18" t="inlineStr">
        <is>
          <t>{"weightMultiplier":{"condition":{"timeRange":"day"},"multiplier":1.5}}</t>
        </is>
      </c>
      <c r="AT134" s="19" t="inlineStr"/>
    </row>
    <row r="135" ht="32" customHeight="1">
      <c r="A135" s="18" t="inlineStr">
        <is>
          <t>0042_golbat.json::golbat-6::005</t>
        </is>
      </c>
      <c r="B135" s="19" t="inlineStr">
        <is>
          <t>사용</t>
        </is>
      </c>
      <c r="C135" s="18">
        <f>IF(OR(B135&lt;&gt;AK135,M135&lt;&gt;L135,O135&lt;&gt;"",Q135&lt;&gt;"",V135&lt;&gt;1,Y135&lt;&gt;"",AT135&lt;&gt;""),"수정","원본")</f>
        <v/>
      </c>
      <c r="D135" s="18" t="n">
        <v>42</v>
      </c>
      <c r="E135" s="18" t="inlineStr">
        <is>
          <t>골뱃</t>
        </is>
      </c>
      <c r="F135" s="18" t="inlineStr">
        <is>
          <t>golbat</t>
        </is>
      </c>
      <c r="G135" s="18" t="inlineStr">
        <is>
          <t>golbat</t>
        </is>
      </c>
      <c r="H135" s="18" t="inlineStr"/>
      <c r="I135" s="18" t="n">
        <v>1</v>
      </c>
      <c r="J135" s="18" t="n"/>
      <c r="K135" s="18" t="n">
        <v>1</v>
      </c>
      <c r="L135" s="18" t="inlineStr">
        <is>
          <t>cobbleventure:generation_1</t>
        </is>
      </c>
      <c r="M135" s="19" t="inlineStr">
        <is>
          <t>cobbleventure:generation_1</t>
        </is>
      </c>
      <c r="N135" s="18" t="inlineStr"/>
      <c r="O135" s="19" t="inlineStr"/>
      <c r="P135" s="18" t="inlineStr">
        <is>
          <t>#cobblemon:is_spooky</t>
        </is>
      </c>
      <c r="Q135" s="19" t="inlineStr"/>
      <c r="R135" s="18">
        <f>IF(Q135="",P135,Q135)</f>
        <v/>
      </c>
      <c r="S135" s="18" t="inlineStr"/>
      <c r="T135" s="18" t="inlineStr">
        <is>
          <t>common</t>
        </is>
      </c>
      <c r="U135" s="20" t="n">
        <v>0.9</v>
      </c>
      <c r="V135" s="21" t="n">
        <v>1</v>
      </c>
      <c r="W135" s="20">
        <f>IF(OR(U135="",V135=""),U135,U135*V135)</f>
        <v/>
      </c>
      <c r="X135" s="18" t="inlineStr">
        <is>
          <t>22-46</t>
        </is>
      </c>
      <c r="Y135" s="19" t="inlineStr"/>
      <c r="Z135" s="18">
        <f>IF(Y135="",X135,Y135)</f>
        <v/>
      </c>
      <c r="AA135" s="18" t="inlineStr">
        <is>
          <t>grounded</t>
        </is>
      </c>
      <c r="AB135" s="18" t="inlineStr"/>
      <c r="AC135" s="18" t="inlineStr">
        <is>
          <t>비=False</t>
        </is>
      </c>
      <c r="AD135" s="18" t="inlineStr"/>
      <c r="AE135" s="18" t="inlineStr">
        <is>
          <t>sky 8-15</t>
        </is>
      </c>
      <c r="AF135" s="18" t="inlineStr"/>
      <c r="AG135" s="18" t="inlineStr"/>
      <c r="AH135" s="18" t="inlineStr"/>
      <c r="AI135" s="18" t="inlineStr"/>
      <c r="AJ135" s="18" t="inlineStr">
        <is>
          <t>Cobblemon 동일</t>
        </is>
      </c>
      <c r="AK135" s="18" t="inlineStr">
        <is>
          <t>사용</t>
        </is>
      </c>
      <c r="AL135" s="18" t="inlineStr">
        <is>
          <t>COBBLEVERSE 1.7.42 / DP v31</t>
        </is>
      </c>
      <c r="AM135" s="18" t="inlineStr">
        <is>
          <t>data/cobblemon/spawn_pool_world/0042_golbat.json</t>
        </is>
      </c>
      <c r="AN135" s="18" t="inlineStr">
        <is>
          <t>golbat-6</t>
        </is>
      </c>
      <c r="AO135" s="18" t="inlineStr">
        <is>
          <t>pokemon</t>
        </is>
      </c>
      <c r="AP135" s="18" t="inlineStr">
        <is>
          <t>natural</t>
        </is>
      </c>
      <c r="AQ135" s="18" t="inlineStr">
        <is>
          <t>{"biomes":["#cobblemon:is_spooky"],"isRaining":false,"maxSkyLight":15,"minSkyLight":8}</t>
        </is>
      </c>
      <c r="AR135" s="18" t="inlineStr"/>
      <c r="AS135" s="18" t="inlineStr">
        <is>
          <t>{"weightMultiplier":{"condition":{"timeRange":"night"},"multiplier":1.5}}</t>
        </is>
      </c>
      <c r="AT135" s="19" t="inlineStr"/>
    </row>
    <row r="136" ht="32" customHeight="1">
      <c r="A136" s="18" t="inlineStr">
        <is>
          <t>0042_golbat.json::golbat-8::006</t>
        </is>
      </c>
      <c r="B136" s="19" t="inlineStr">
        <is>
          <t>사용</t>
        </is>
      </c>
      <c r="C136" s="18">
        <f>IF(OR(B136&lt;&gt;AK136,M136&lt;&gt;L136,O136&lt;&gt;"",Q136&lt;&gt;"",V136&lt;&gt;1,Y136&lt;&gt;"",AT136&lt;&gt;""),"수정","원본")</f>
        <v/>
      </c>
      <c r="D136" s="18" t="n">
        <v>42</v>
      </c>
      <c r="E136" s="18" t="inlineStr">
        <is>
          <t>골뱃</t>
        </is>
      </c>
      <c r="F136" s="18" t="inlineStr">
        <is>
          <t>golbat</t>
        </is>
      </c>
      <c r="G136" s="18" t="inlineStr">
        <is>
          <t>golbat</t>
        </is>
      </c>
      <c r="H136" s="18" t="inlineStr"/>
      <c r="I136" s="18" t="n">
        <v>1</v>
      </c>
      <c r="J136" s="18" t="n"/>
      <c r="K136" s="18" t="n">
        <v>1</v>
      </c>
      <c r="L136" s="18" t="inlineStr">
        <is>
          <t>cobbleventure:generation_1</t>
        </is>
      </c>
      <c r="M136" s="19" t="inlineStr">
        <is>
          <t>cobbleventure:generation_1</t>
        </is>
      </c>
      <c r="N136" s="18" t="inlineStr"/>
      <c r="O136" s="19" t="inlineStr"/>
      <c r="P136" s="18" t="inlineStr">
        <is>
          <t>#cobblemon:is_deep_dark</t>
        </is>
      </c>
      <c r="Q136" s="19" t="inlineStr"/>
      <c r="R136" s="18">
        <f>IF(Q136="",P136,Q136)</f>
        <v/>
      </c>
      <c r="S136" s="18" t="inlineStr"/>
      <c r="T136" s="18" t="inlineStr">
        <is>
          <t>uncommon</t>
        </is>
      </c>
      <c r="U136" s="20" t="n">
        <v>1.52</v>
      </c>
      <c r="V136" s="21" t="n">
        <v>1</v>
      </c>
      <c r="W136" s="20">
        <f>IF(OR(U136="",V136=""),U136,U136*V136)</f>
        <v/>
      </c>
      <c r="X136" s="18" t="inlineStr">
        <is>
          <t>22-46</t>
        </is>
      </c>
      <c r="Y136" s="19" t="inlineStr"/>
      <c r="Z136" s="18">
        <f>IF(Y136="",X136,Y136)</f>
        <v/>
      </c>
      <c r="AA136" s="18" t="inlineStr">
        <is>
          <t>grounded</t>
        </is>
      </c>
      <c r="AB136" s="18" t="inlineStr"/>
      <c r="AC136" s="18" t="inlineStr"/>
      <c r="AD136" s="18" t="inlineStr"/>
      <c r="AE136" s="18" t="inlineStr">
        <is>
          <t>sky 0-7</t>
        </is>
      </c>
      <c r="AF136" s="18" t="inlineStr"/>
      <c r="AG136" s="18" t="inlineStr"/>
      <c r="AH136" s="18" t="inlineStr"/>
      <c r="AI136" s="18" t="inlineStr"/>
      <c r="AJ136" s="18" t="inlineStr">
        <is>
          <t>Cobblemon 동일</t>
        </is>
      </c>
      <c r="AK136" s="18" t="inlineStr">
        <is>
          <t>사용</t>
        </is>
      </c>
      <c r="AL136" s="18" t="inlineStr">
        <is>
          <t>COBBLEVERSE 1.7.42 / DP v31</t>
        </is>
      </c>
      <c r="AM136" s="18" t="inlineStr">
        <is>
          <t>data/cobblemon/spawn_pool_world/0042_golbat.json</t>
        </is>
      </c>
      <c r="AN136" s="18" t="inlineStr">
        <is>
          <t>golbat-8</t>
        </is>
      </c>
      <c r="AO136" s="18" t="inlineStr">
        <is>
          <t>pokemon</t>
        </is>
      </c>
      <c r="AP136" s="18" t="inlineStr">
        <is>
          <t>natural</t>
        </is>
      </c>
      <c r="AQ136" s="18" t="inlineStr">
        <is>
          <t>{"biomes":["#cobblemon:is_deep_dark"],"maxSkyLight":7,"minSkyLight":0}</t>
        </is>
      </c>
      <c r="AR136" s="18" t="inlineStr"/>
      <c r="AS136" s="18" t="inlineStr"/>
      <c r="AT136" s="19" t="inlineStr"/>
    </row>
    <row r="137" ht="32" customHeight="1">
      <c r="A137" s="18" t="inlineStr">
        <is>
          <t>0042_golbat.json::golbat-9::007</t>
        </is>
      </c>
      <c r="B137" s="19" t="inlineStr">
        <is>
          <t>사용</t>
        </is>
      </c>
      <c r="C137" s="18">
        <f>IF(OR(B137&lt;&gt;AK137,M137&lt;&gt;L137,O137&lt;&gt;"",Q137&lt;&gt;"",V137&lt;&gt;1,Y137&lt;&gt;"",AT137&lt;&gt;""),"수정","원본")</f>
        <v/>
      </c>
      <c r="D137" s="18" t="n">
        <v>42</v>
      </c>
      <c r="E137" s="18" t="inlineStr">
        <is>
          <t>골뱃</t>
        </is>
      </c>
      <c r="F137" s="18" t="inlineStr">
        <is>
          <t>golbat</t>
        </is>
      </c>
      <c r="G137" s="18" t="inlineStr">
        <is>
          <t>golbat</t>
        </is>
      </c>
      <c r="H137" s="18" t="inlineStr"/>
      <c r="I137" s="18" t="n">
        <v>1</v>
      </c>
      <c r="J137" s="18" t="n"/>
      <c r="K137" s="18" t="n">
        <v>1</v>
      </c>
      <c r="L137" s="18" t="inlineStr">
        <is>
          <t>cobbleventure:generation_1</t>
        </is>
      </c>
      <c r="M137" s="19" t="inlineStr">
        <is>
          <t>cobbleventure:generation_1</t>
        </is>
      </c>
      <c r="N137" s="18" t="inlineStr"/>
      <c r="O137" s="19" t="inlineStr"/>
      <c r="P137" s="18" t="inlineStr">
        <is>
          <t>#aether:is_aether</t>
        </is>
      </c>
      <c r="Q137" s="19" t="inlineStr"/>
      <c r="R137" s="18">
        <f>IF(Q137="",P137,Q137)</f>
        <v/>
      </c>
      <c r="S137" s="18" t="inlineStr"/>
      <c r="T137" s="18" t="inlineStr">
        <is>
          <t>common</t>
        </is>
      </c>
      <c r="U137" s="20" t="n">
        <v>0.9</v>
      </c>
      <c r="V137" s="21" t="n">
        <v>1</v>
      </c>
      <c r="W137" s="20">
        <f>IF(OR(U137="",V137=""),U137,U137*V137)</f>
        <v/>
      </c>
      <c r="X137" s="18" t="inlineStr">
        <is>
          <t>22-46</t>
        </is>
      </c>
      <c r="Y137" s="19" t="inlineStr"/>
      <c r="Z137" s="18">
        <f>IF(Y137="",X137,Y137)</f>
        <v/>
      </c>
      <c r="AA137" s="18" t="inlineStr">
        <is>
          <t>grounded</t>
        </is>
      </c>
      <c r="AB137" s="18" t="inlineStr"/>
      <c r="AC137" s="18" t="inlineStr"/>
      <c r="AD137" s="18" t="inlineStr"/>
      <c r="AE137" s="18" t="inlineStr">
        <is>
          <t>sky 0-7</t>
        </is>
      </c>
      <c r="AF137" s="18" t="inlineStr"/>
      <c r="AG137" s="18" t="inlineStr"/>
      <c r="AH137" s="18" t="inlineStr"/>
      <c r="AI137" s="18" t="inlineStr"/>
      <c r="AJ137" s="18" t="inlineStr">
        <is>
          <t>Cobblemon 동일</t>
        </is>
      </c>
      <c r="AK137" s="18" t="inlineStr">
        <is>
          <t>사용</t>
        </is>
      </c>
      <c r="AL137" s="18" t="inlineStr">
        <is>
          <t>COBBLEVERSE 1.7.42 / DP v31</t>
        </is>
      </c>
      <c r="AM137" s="18" t="inlineStr">
        <is>
          <t>data/cobblemon/spawn_pool_world/0042_golbat.json</t>
        </is>
      </c>
      <c r="AN137" s="18" t="inlineStr">
        <is>
          <t>golbat-9</t>
        </is>
      </c>
      <c r="AO137" s="18" t="inlineStr">
        <is>
          <t>pokemon</t>
        </is>
      </c>
      <c r="AP137" s="18" t="inlineStr">
        <is>
          <t>natural</t>
        </is>
      </c>
      <c r="AQ137" s="18" t="inlineStr">
        <is>
          <t>{"biomes":["#aether:is_aether"],"maxSkyLight":7,"minSkyLight":0}</t>
        </is>
      </c>
      <c r="AR137" s="18" t="inlineStr"/>
      <c r="AS137" s="18" t="inlineStr"/>
      <c r="AT137" s="19" t="inlineStr"/>
    </row>
    <row r="138" ht="32" customHeight="1">
      <c r="A138" s="18" t="inlineStr">
        <is>
          <t>0043_oddish.json::oddish-1::001</t>
        </is>
      </c>
      <c r="B138" s="19" t="inlineStr">
        <is>
          <t>사용</t>
        </is>
      </c>
      <c r="C138" s="18">
        <f>IF(OR(B138&lt;&gt;AK138,M138&lt;&gt;L138,O138&lt;&gt;"",Q138&lt;&gt;"",V138&lt;&gt;1,Y138&lt;&gt;"",AT138&lt;&gt;""),"수정","원본")</f>
        <v/>
      </c>
      <c r="D138" s="18" t="n">
        <v>43</v>
      </c>
      <c r="E138" s="18" t="inlineStr">
        <is>
          <t>뚜벅쵸</t>
        </is>
      </c>
      <c r="F138" s="18" t="inlineStr">
        <is>
          <t>oddish</t>
        </is>
      </c>
      <c r="G138" s="18" t="inlineStr">
        <is>
          <t>oddish</t>
        </is>
      </c>
      <c r="H138" s="18" t="inlineStr"/>
      <c r="I138" s="18" t="n">
        <v>1</v>
      </c>
      <c r="J138" s="18" t="n"/>
      <c r="K138" s="18" t="n">
        <v>1</v>
      </c>
      <c r="L138" s="18" t="inlineStr">
        <is>
          <t>cobbleventure:generation_1</t>
        </is>
      </c>
      <c r="M138" s="19" t="inlineStr">
        <is>
          <t>cobbleventure:generation_1</t>
        </is>
      </c>
      <c r="N138" s="18" t="inlineStr"/>
      <c r="O138" s="19" t="inlineStr"/>
      <c r="P138" s="18" t="inlineStr">
        <is>
          <t>#cobblemon:is_jungle</t>
        </is>
      </c>
      <c r="Q138" s="19" t="inlineStr"/>
      <c r="R138" s="18">
        <f>IF(Q138="",P138,Q138)</f>
        <v/>
      </c>
      <c r="S138" s="18" t="inlineStr"/>
      <c r="T138" s="18" t="inlineStr">
        <is>
          <t>common</t>
        </is>
      </c>
      <c r="U138" s="20" t="n">
        <v>9</v>
      </c>
      <c r="V138" s="21" t="n">
        <v>1</v>
      </c>
      <c r="W138" s="20">
        <f>IF(OR(U138="",V138=""),U138,U138*V138)</f>
        <v/>
      </c>
      <c r="X138" s="18" t="inlineStr">
        <is>
          <t>7-32</t>
        </is>
      </c>
      <c r="Y138" s="19" t="inlineStr"/>
      <c r="Z138" s="18">
        <f>IF(Y138="",X138,Y138)</f>
        <v/>
      </c>
      <c r="AA138" s="18" t="inlineStr">
        <is>
          <t>grounded</t>
        </is>
      </c>
      <c r="AB138" s="18" t="inlineStr"/>
      <c r="AC138" s="18" t="inlineStr"/>
      <c r="AD138" s="18" t="inlineStr"/>
      <c r="AE138" s="18" t="inlineStr">
        <is>
          <t>sky 8-15</t>
        </is>
      </c>
      <c r="AF138" s="18" t="inlineStr"/>
      <c r="AG138" s="18" t="inlineStr"/>
      <c r="AH138" s="18" t="inlineStr"/>
      <c r="AI138" s="18" t="inlineStr"/>
      <c r="AJ138" s="18" t="inlineStr">
        <is>
          <t>Cobblemon 동일</t>
        </is>
      </c>
      <c r="AK138" s="18" t="inlineStr">
        <is>
          <t>사용</t>
        </is>
      </c>
      <c r="AL138" s="18" t="inlineStr">
        <is>
          <t>COBBLEVERSE 1.7.42 / DP v31</t>
        </is>
      </c>
      <c r="AM138" s="18" t="inlineStr">
        <is>
          <t>data/cobblemon/spawn_pool_world/0043_oddish.json</t>
        </is>
      </c>
      <c r="AN138" s="18" t="inlineStr">
        <is>
          <t>oddish-1</t>
        </is>
      </c>
      <c r="AO138" s="18" t="inlineStr">
        <is>
          <t>pokemon</t>
        </is>
      </c>
      <c r="AP138" s="18" t="inlineStr">
        <is>
          <t>natural</t>
        </is>
      </c>
      <c r="AQ138" s="18" t="inlineStr">
        <is>
          <t>{"biomes":["#cobblemon:is_jungle"],"maxSkyLight":15,"minSkyLight":8}</t>
        </is>
      </c>
      <c r="AR138" s="18" t="inlineStr"/>
      <c r="AS138" s="18" t="inlineStr">
        <is>
          <t>{"weightMultiplier":{"condition":{"timeRange":"day"},"multiplier":0.25}}</t>
        </is>
      </c>
      <c r="AT138" s="19" t="inlineStr"/>
    </row>
    <row r="139" ht="32" customHeight="1">
      <c r="A139" s="18" t="inlineStr">
        <is>
          <t>0043_oddish.json::oddish-2::002</t>
        </is>
      </c>
      <c r="B139" s="19" t="inlineStr">
        <is>
          <t>사용</t>
        </is>
      </c>
      <c r="C139" s="18">
        <f>IF(OR(B139&lt;&gt;AK139,M139&lt;&gt;L139,O139&lt;&gt;"",Q139&lt;&gt;"",V139&lt;&gt;1,Y139&lt;&gt;"",AT139&lt;&gt;""),"수정","원본")</f>
        <v/>
      </c>
      <c r="D139" s="18" t="n">
        <v>43</v>
      </c>
      <c r="E139" s="18" t="inlineStr">
        <is>
          <t>뚜벅쵸</t>
        </is>
      </c>
      <c r="F139" s="18" t="inlineStr">
        <is>
          <t>oddish</t>
        </is>
      </c>
      <c r="G139" s="18" t="inlineStr">
        <is>
          <t>oddish</t>
        </is>
      </c>
      <c r="H139" s="18" t="inlineStr"/>
      <c r="I139" s="18" t="n">
        <v>1</v>
      </c>
      <c r="J139" s="18" t="n"/>
      <c r="K139" s="18" t="n">
        <v>1</v>
      </c>
      <c r="L139" s="18" t="inlineStr">
        <is>
          <t>cobbleventure:generation_1</t>
        </is>
      </c>
      <c r="M139" s="19" t="inlineStr">
        <is>
          <t>cobbleventure:generation_1</t>
        </is>
      </c>
      <c r="N139" s="18" t="inlineStr">
        <is>
          <t>region_01</t>
        </is>
      </c>
      <c r="O139" s="19" t="inlineStr"/>
      <c r="P139" s="18" t="inlineStr">
        <is>
          <t>#cobblemon:is_temperate</t>
        </is>
      </c>
      <c r="Q139" s="19" t="inlineStr"/>
      <c r="R139" s="18">
        <f>IF(Q139="",P139,Q139)</f>
        <v/>
      </c>
      <c r="S139" s="18" t="inlineStr"/>
      <c r="T139" s="18" t="inlineStr">
        <is>
          <t>common</t>
        </is>
      </c>
      <c r="U139" s="20" t="n">
        <v>1.8</v>
      </c>
      <c r="V139" s="21" t="n">
        <v>1</v>
      </c>
      <c r="W139" s="20">
        <f>IF(OR(U139="",V139=""),U139,U139*V139)</f>
        <v/>
      </c>
      <c r="X139" s="18" t="inlineStr">
        <is>
          <t>7-32</t>
        </is>
      </c>
      <c r="Y139" s="19" t="inlineStr"/>
      <c r="Z139" s="18">
        <f>IF(Y139="",X139,Y139)</f>
        <v/>
      </c>
      <c r="AA139" s="18" t="inlineStr">
        <is>
          <t>grounded</t>
        </is>
      </c>
      <c r="AB139" s="18" t="inlineStr"/>
      <c r="AC139" s="18" t="inlineStr"/>
      <c r="AD139" s="18" t="inlineStr"/>
      <c r="AE139" s="18" t="inlineStr">
        <is>
          <t>sky 8-15</t>
        </is>
      </c>
      <c r="AF139" s="18" t="inlineStr"/>
      <c r="AG139" s="18" t="inlineStr"/>
      <c r="AH139" s="18" t="inlineStr"/>
      <c r="AI139" s="18" t="inlineStr"/>
      <c r="AJ139" s="18" t="inlineStr">
        <is>
          <t>Cobblemon 동일</t>
        </is>
      </c>
      <c r="AK139" s="18" t="inlineStr">
        <is>
          <t>사용</t>
        </is>
      </c>
      <c r="AL139" s="18" t="inlineStr">
        <is>
          <t>COBBLEVERSE 1.7.42 / DP v31</t>
        </is>
      </c>
      <c r="AM139" s="18" t="inlineStr">
        <is>
          <t>data/cobblemon/spawn_pool_world/0043_oddish.json</t>
        </is>
      </c>
      <c r="AN139" s="18" t="inlineStr">
        <is>
          <t>oddish-2</t>
        </is>
      </c>
      <c r="AO139" s="18" t="inlineStr">
        <is>
          <t>pokemon</t>
        </is>
      </c>
      <c r="AP139" s="18" t="inlineStr">
        <is>
          <t>natural</t>
        </is>
      </c>
      <c r="AQ139" s="18" t="inlineStr">
        <is>
          <t>{"biomes":["#cobblemon:is_temperate"],"maxSkyLight":15,"minSkyLight":8}</t>
        </is>
      </c>
      <c r="AR139" s="18" t="inlineStr"/>
      <c r="AS139" s="18" t="inlineStr">
        <is>
          <t>{"weightMultiplier":{"condition":{"timeRange":"day"},"multiplier":0.25}}</t>
        </is>
      </c>
      <c r="AT139" s="19" t="inlineStr"/>
    </row>
    <row r="140" ht="32" customHeight="1">
      <c r="A140" s="18" t="inlineStr">
        <is>
          <t>0043_oddish.json::oddish-valencian-3::003</t>
        </is>
      </c>
      <c r="B140" s="19" t="inlineStr">
        <is>
          <t>사용</t>
        </is>
      </c>
      <c r="C140" s="18">
        <f>IF(OR(B140&lt;&gt;AK140,M140&lt;&gt;L140,O140&lt;&gt;"",Q140&lt;&gt;"",V140&lt;&gt;1,Y140&lt;&gt;"",AT140&lt;&gt;""),"수정","원본")</f>
        <v/>
      </c>
      <c r="D140" s="18" t="n">
        <v>43</v>
      </c>
      <c r="E140" s="18" t="inlineStr">
        <is>
          <t>뚜벅쵸</t>
        </is>
      </c>
      <c r="F140" s="18" t="inlineStr">
        <is>
          <t>oddish</t>
        </is>
      </c>
      <c r="G140" s="18" t="inlineStr">
        <is>
          <t>oddish valencian</t>
        </is>
      </c>
      <c r="H140" s="18" t="inlineStr">
        <is>
          <t>valencian</t>
        </is>
      </c>
      <c r="I140" s="18" t="n">
        <v>1</v>
      </c>
      <c r="J140" s="18" t="n"/>
      <c r="K140" s="18" t="n">
        <v>1</v>
      </c>
      <c r="L140" s="18" t="inlineStr">
        <is>
          <t>cobbleventure:generation_1</t>
        </is>
      </c>
      <c r="M140" s="19" t="inlineStr">
        <is>
          <t>cobbleventure:generation_1</t>
        </is>
      </c>
      <c r="N140" s="18" t="inlineStr"/>
      <c r="O140" s="19" t="inlineStr"/>
      <c r="P140" s="18" t="inlineStr">
        <is>
          <t>#cobblemon:is_savanna; #cobblemon:is_tropical_island</t>
        </is>
      </c>
      <c r="Q140" s="19" t="inlineStr"/>
      <c r="R140" s="18">
        <f>IF(Q140="",P140,Q140)</f>
        <v/>
      </c>
      <c r="S140" s="18" t="inlineStr"/>
      <c r="T140" s="18" t="inlineStr">
        <is>
          <t>common</t>
        </is>
      </c>
      <c r="U140" s="20" t="n">
        <v>1.8</v>
      </c>
      <c r="V140" s="21" t="n">
        <v>1</v>
      </c>
      <c r="W140" s="20">
        <f>IF(OR(U140="",V140=""),U140,U140*V140)</f>
        <v/>
      </c>
      <c r="X140" s="18" t="inlineStr">
        <is>
          <t>7-32</t>
        </is>
      </c>
      <c r="Y140" s="19" t="inlineStr"/>
      <c r="Z140" s="18">
        <f>IF(Y140="",X140,Y140)</f>
        <v/>
      </c>
      <c r="AA140" s="18" t="inlineStr">
        <is>
          <t>grounded</t>
        </is>
      </c>
      <c r="AB140" s="18" t="inlineStr"/>
      <c r="AC140" s="18" t="inlineStr"/>
      <c r="AD140" s="18" t="inlineStr"/>
      <c r="AE140" s="18" t="inlineStr">
        <is>
          <t>sky 8-15</t>
        </is>
      </c>
      <c r="AF140" s="18" t="inlineStr"/>
      <c r="AG140" s="18" t="inlineStr"/>
      <c r="AH140" s="18" t="inlineStr"/>
      <c r="AI140" s="18" t="inlineStr"/>
      <c r="AJ140" s="18" t="inlineStr">
        <is>
          <t>Cobblemon 동일</t>
        </is>
      </c>
      <c r="AK140" s="18" t="inlineStr">
        <is>
          <t>사용</t>
        </is>
      </c>
      <c r="AL140" s="18" t="inlineStr">
        <is>
          <t>COBBLEVERSE 1.7.42 / DP v31</t>
        </is>
      </c>
      <c r="AM140" s="18" t="inlineStr">
        <is>
          <t>data/cobblemon/spawn_pool_world/0043_oddish.json</t>
        </is>
      </c>
      <c r="AN140" s="18" t="inlineStr">
        <is>
          <t>oddish-valencian-3</t>
        </is>
      </c>
      <c r="AO140" s="18" t="inlineStr">
        <is>
          <t>pokemon</t>
        </is>
      </c>
      <c r="AP140" s="18" t="inlineStr">
        <is>
          <t>natural</t>
        </is>
      </c>
      <c r="AQ140" s="18" t="inlineStr">
        <is>
          <t>{"biomes":["#cobblemon:is_savanna","#cobblemon:is_tropical_island"],"maxSkyLight":15,"minSkyLight":8}</t>
        </is>
      </c>
      <c r="AR140" s="18" t="inlineStr"/>
      <c r="AS140" s="18" t="inlineStr">
        <is>
          <t>{"weightMultiplier":{"condition":{"timeRange":"day"},"multiplier":0.25}}</t>
        </is>
      </c>
      <c r="AT140" s="19" t="inlineStr"/>
    </row>
    <row r="141" ht="32" customHeight="1">
      <c r="A141" s="18" t="inlineStr">
        <is>
          <t>0044_gloom.json::gloom-1::001</t>
        </is>
      </c>
      <c r="B141" s="19" t="inlineStr">
        <is>
          <t>사용</t>
        </is>
      </c>
      <c r="C141" s="18">
        <f>IF(OR(B141&lt;&gt;AK141,M141&lt;&gt;L141,O141&lt;&gt;"",Q141&lt;&gt;"",V141&lt;&gt;1,Y141&lt;&gt;"",AT141&lt;&gt;""),"수정","원본")</f>
        <v/>
      </c>
      <c r="D141" s="18" t="n">
        <v>44</v>
      </c>
      <c r="E141" s="18" t="inlineStr">
        <is>
          <t>냄새꼬</t>
        </is>
      </c>
      <c r="F141" s="18" t="inlineStr">
        <is>
          <t>gloom</t>
        </is>
      </c>
      <c r="G141" s="18" t="inlineStr">
        <is>
          <t>gloom</t>
        </is>
      </c>
      <c r="H141" s="18" t="inlineStr"/>
      <c r="I141" s="18" t="n">
        <v>1</v>
      </c>
      <c r="J141" s="18" t="n"/>
      <c r="K141" s="18" t="n">
        <v>1</v>
      </c>
      <c r="L141" s="18" t="inlineStr">
        <is>
          <t>cobbleventure:generation_1</t>
        </is>
      </c>
      <c r="M141" s="19" t="inlineStr">
        <is>
          <t>cobbleventure:generation_1</t>
        </is>
      </c>
      <c r="N141" s="18" t="inlineStr"/>
      <c r="O141" s="19" t="inlineStr"/>
      <c r="P141" s="18" t="inlineStr">
        <is>
          <t>#cobblemon:is_jungle</t>
        </is>
      </c>
      <c r="Q141" s="19" t="inlineStr"/>
      <c r="R141" s="18">
        <f>IF(Q141="",P141,Q141)</f>
        <v/>
      </c>
      <c r="S141" s="18" t="inlineStr"/>
      <c r="T141" s="18" t="inlineStr">
        <is>
          <t>common</t>
        </is>
      </c>
      <c r="U141" s="20" t="n">
        <v>0.95</v>
      </c>
      <c r="V141" s="21" t="n">
        <v>1</v>
      </c>
      <c r="W141" s="20">
        <f>IF(OR(U141="",V141=""),U141,U141*V141)</f>
        <v/>
      </c>
      <c r="X141" s="18" t="inlineStr">
        <is>
          <t>21-40</t>
        </is>
      </c>
      <c r="Y141" s="19" t="inlineStr"/>
      <c r="Z141" s="18">
        <f>IF(Y141="",X141,Y141)</f>
        <v/>
      </c>
      <c r="AA141" s="18" t="inlineStr">
        <is>
          <t>grounded</t>
        </is>
      </c>
      <c r="AB141" s="18" t="inlineStr"/>
      <c r="AC141" s="18" t="inlineStr"/>
      <c r="AD141" s="18" t="inlineStr"/>
      <c r="AE141" s="18" t="inlineStr">
        <is>
          <t>sky 8-15</t>
        </is>
      </c>
      <c r="AF141" s="18" t="inlineStr"/>
      <c r="AG141" s="18" t="inlineStr"/>
      <c r="AH141" s="18" t="inlineStr"/>
      <c r="AI141" s="18" t="inlineStr"/>
      <c r="AJ141" s="18" t="inlineStr">
        <is>
          <t>Cobblemon 동일</t>
        </is>
      </c>
      <c r="AK141" s="18" t="inlineStr">
        <is>
          <t>사용</t>
        </is>
      </c>
      <c r="AL141" s="18" t="inlineStr">
        <is>
          <t>COBBLEVERSE 1.7.42 / DP v31</t>
        </is>
      </c>
      <c r="AM141" s="18" t="inlineStr">
        <is>
          <t>data/cobblemon/spawn_pool_world/0044_gloom.json</t>
        </is>
      </c>
      <c r="AN141" s="18" t="inlineStr">
        <is>
          <t>gloom-1</t>
        </is>
      </c>
      <c r="AO141" s="18" t="inlineStr">
        <is>
          <t>pokemon</t>
        </is>
      </c>
      <c r="AP141" s="18" t="inlineStr">
        <is>
          <t>natural</t>
        </is>
      </c>
      <c r="AQ141" s="18" t="inlineStr">
        <is>
          <t>{"biomes":["#cobblemon:is_jungle"],"maxSkyLight":15,"minSkyLight":8}</t>
        </is>
      </c>
      <c r="AR141" s="18" t="inlineStr"/>
      <c r="AS141" s="18" t="inlineStr">
        <is>
          <t>{"weightMultiplier":{"condition":{"timeRange":"day"},"multiplier":0.25}}</t>
        </is>
      </c>
      <c r="AT141" s="19" t="inlineStr"/>
    </row>
    <row r="142" ht="32" customHeight="1">
      <c r="A142" s="18" t="inlineStr">
        <is>
          <t>0044_gloom.json::gloom-2::002</t>
        </is>
      </c>
      <c r="B142" s="19" t="inlineStr">
        <is>
          <t>사용</t>
        </is>
      </c>
      <c r="C142" s="18">
        <f>IF(OR(B142&lt;&gt;AK142,M142&lt;&gt;L142,O142&lt;&gt;"",Q142&lt;&gt;"",V142&lt;&gt;1,Y142&lt;&gt;"",AT142&lt;&gt;""),"수정","원본")</f>
        <v/>
      </c>
      <c r="D142" s="18" t="n">
        <v>44</v>
      </c>
      <c r="E142" s="18" t="inlineStr">
        <is>
          <t>냄새꼬</t>
        </is>
      </c>
      <c r="F142" s="18" t="inlineStr">
        <is>
          <t>gloom</t>
        </is>
      </c>
      <c r="G142" s="18" t="inlineStr">
        <is>
          <t>gloom</t>
        </is>
      </c>
      <c r="H142" s="18" t="inlineStr"/>
      <c r="I142" s="18" t="n">
        <v>1</v>
      </c>
      <c r="J142" s="18" t="n"/>
      <c r="K142" s="18" t="n">
        <v>1</v>
      </c>
      <c r="L142" s="18" t="inlineStr">
        <is>
          <t>cobbleventure:generation_1</t>
        </is>
      </c>
      <c r="M142" s="19" t="inlineStr">
        <is>
          <t>cobbleventure:generation_1</t>
        </is>
      </c>
      <c r="N142" s="18" t="inlineStr">
        <is>
          <t>region_01</t>
        </is>
      </c>
      <c r="O142" s="19" t="inlineStr"/>
      <c r="P142" s="18" t="inlineStr">
        <is>
          <t>#cobblemon:is_temperate</t>
        </is>
      </c>
      <c r="Q142" s="19" t="inlineStr"/>
      <c r="R142" s="18">
        <f>IF(Q142="",P142,Q142)</f>
        <v/>
      </c>
      <c r="S142" s="18" t="inlineStr"/>
      <c r="T142" s="18" t="inlineStr">
        <is>
          <t>common</t>
        </is>
      </c>
      <c r="U142" s="20" t="n">
        <v>0.19</v>
      </c>
      <c r="V142" s="21" t="n">
        <v>1</v>
      </c>
      <c r="W142" s="20">
        <f>IF(OR(U142="",V142=""),U142,U142*V142)</f>
        <v/>
      </c>
      <c r="X142" s="18" t="inlineStr">
        <is>
          <t>21-40</t>
        </is>
      </c>
      <c r="Y142" s="19" t="inlineStr"/>
      <c r="Z142" s="18">
        <f>IF(Y142="",X142,Y142)</f>
        <v/>
      </c>
      <c r="AA142" s="18" t="inlineStr">
        <is>
          <t>grounded</t>
        </is>
      </c>
      <c r="AB142" s="18" t="inlineStr"/>
      <c r="AC142" s="18" t="inlineStr"/>
      <c r="AD142" s="18" t="inlineStr"/>
      <c r="AE142" s="18" t="inlineStr">
        <is>
          <t>sky 8-15</t>
        </is>
      </c>
      <c r="AF142" s="18" t="inlineStr"/>
      <c r="AG142" s="18" t="inlineStr"/>
      <c r="AH142" s="18" t="inlineStr"/>
      <c r="AI142" s="18" t="inlineStr"/>
      <c r="AJ142" s="18" t="inlineStr">
        <is>
          <t>Cobblemon 동일</t>
        </is>
      </c>
      <c r="AK142" s="18" t="inlineStr">
        <is>
          <t>사용</t>
        </is>
      </c>
      <c r="AL142" s="18" t="inlineStr">
        <is>
          <t>COBBLEVERSE 1.7.42 / DP v31</t>
        </is>
      </c>
      <c r="AM142" s="18" t="inlineStr">
        <is>
          <t>data/cobblemon/spawn_pool_world/0044_gloom.json</t>
        </is>
      </c>
      <c r="AN142" s="18" t="inlineStr">
        <is>
          <t>gloom-2</t>
        </is>
      </c>
      <c r="AO142" s="18" t="inlineStr">
        <is>
          <t>pokemon</t>
        </is>
      </c>
      <c r="AP142" s="18" t="inlineStr">
        <is>
          <t>natural</t>
        </is>
      </c>
      <c r="AQ142" s="18" t="inlineStr">
        <is>
          <t>{"biomes":["#cobblemon:is_temperate"],"maxSkyLight":15,"minSkyLight":8}</t>
        </is>
      </c>
      <c r="AR142" s="18" t="inlineStr"/>
      <c r="AS142" s="18" t="inlineStr">
        <is>
          <t>{"weightMultiplier":{"condition":{"timeRange":"day"},"multiplier":0.25}}</t>
        </is>
      </c>
      <c r="AT142" s="19" t="inlineStr"/>
    </row>
    <row r="143" ht="32" customHeight="1">
      <c r="A143" s="18" t="inlineStr">
        <is>
          <t>0044_gloom.json::gloom-valencian-3::003</t>
        </is>
      </c>
      <c r="B143" s="19" t="inlineStr">
        <is>
          <t>사용</t>
        </is>
      </c>
      <c r="C143" s="18">
        <f>IF(OR(B143&lt;&gt;AK143,M143&lt;&gt;L143,O143&lt;&gt;"",Q143&lt;&gt;"",V143&lt;&gt;1,Y143&lt;&gt;"",AT143&lt;&gt;""),"수정","원본")</f>
        <v/>
      </c>
      <c r="D143" s="18" t="n">
        <v>44</v>
      </c>
      <c r="E143" s="18" t="inlineStr">
        <is>
          <t>냄새꼬</t>
        </is>
      </c>
      <c r="F143" s="18" t="inlineStr">
        <is>
          <t>gloom</t>
        </is>
      </c>
      <c r="G143" s="18" t="inlineStr">
        <is>
          <t>gloom valencian</t>
        </is>
      </c>
      <c r="H143" s="18" t="inlineStr">
        <is>
          <t>valencian</t>
        </is>
      </c>
      <c r="I143" s="18" t="n">
        <v>1</v>
      </c>
      <c r="J143" s="18" t="n"/>
      <c r="K143" s="18" t="n">
        <v>1</v>
      </c>
      <c r="L143" s="18" t="inlineStr">
        <is>
          <t>cobbleventure:generation_1</t>
        </is>
      </c>
      <c r="M143" s="19" t="inlineStr">
        <is>
          <t>cobbleventure:generation_1</t>
        </is>
      </c>
      <c r="N143" s="18" t="inlineStr"/>
      <c r="O143" s="19" t="inlineStr"/>
      <c r="P143" s="18" t="inlineStr">
        <is>
          <t>#cobblemon:is_savanna; #cobblemon:is_tropical_island</t>
        </is>
      </c>
      <c r="Q143" s="19" t="inlineStr"/>
      <c r="R143" s="18">
        <f>IF(Q143="",P143,Q143)</f>
        <v/>
      </c>
      <c r="S143" s="18" t="inlineStr"/>
      <c r="T143" s="18" t="inlineStr">
        <is>
          <t>common</t>
        </is>
      </c>
      <c r="U143" s="20" t="n">
        <v>0.19</v>
      </c>
      <c r="V143" s="21" t="n">
        <v>1</v>
      </c>
      <c r="W143" s="20">
        <f>IF(OR(U143="",V143=""),U143,U143*V143)</f>
        <v/>
      </c>
      <c r="X143" s="18" t="inlineStr">
        <is>
          <t>21-40</t>
        </is>
      </c>
      <c r="Y143" s="19" t="inlineStr"/>
      <c r="Z143" s="18">
        <f>IF(Y143="",X143,Y143)</f>
        <v/>
      </c>
      <c r="AA143" s="18" t="inlineStr">
        <is>
          <t>grounded</t>
        </is>
      </c>
      <c r="AB143" s="18" t="inlineStr"/>
      <c r="AC143" s="18" t="inlineStr"/>
      <c r="AD143" s="18" t="inlineStr"/>
      <c r="AE143" s="18" t="inlineStr">
        <is>
          <t>sky 8-15</t>
        </is>
      </c>
      <c r="AF143" s="18" t="inlineStr"/>
      <c r="AG143" s="18" t="inlineStr"/>
      <c r="AH143" s="18" t="inlineStr"/>
      <c r="AI143" s="18" t="inlineStr"/>
      <c r="AJ143" s="18" t="inlineStr">
        <is>
          <t>Cobblemon 동일</t>
        </is>
      </c>
      <c r="AK143" s="18" t="inlineStr">
        <is>
          <t>사용</t>
        </is>
      </c>
      <c r="AL143" s="18" t="inlineStr">
        <is>
          <t>COBBLEVERSE 1.7.42 / DP v31</t>
        </is>
      </c>
      <c r="AM143" s="18" t="inlineStr">
        <is>
          <t>data/cobblemon/spawn_pool_world/0044_gloom.json</t>
        </is>
      </c>
      <c r="AN143" s="18" t="inlineStr">
        <is>
          <t>gloom-valencian-3</t>
        </is>
      </c>
      <c r="AO143" s="18" t="inlineStr">
        <is>
          <t>pokemon</t>
        </is>
      </c>
      <c r="AP143" s="18" t="inlineStr">
        <is>
          <t>natural</t>
        </is>
      </c>
      <c r="AQ143" s="18" t="inlineStr">
        <is>
          <t>{"biomes":["#cobblemon:is_savanna","#cobblemon:is_tropical_island"],"maxSkyLight":15,"minSkyLight":8}</t>
        </is>
      </c>
      <c r="AR143" s="18" t="inlineStr"/>
      <c r="AS143" s="18" t="inlineStr">
        <is>
          <t>{"weightMultiplier":{"condition":{"timeRange":"day"},"multiplier":0.25}}</t>
        </is>
      </c>
      <c r="AT143" s="19" t="inlineStr"/>
    </row>
    <row r="144" ht="32" customHeight="1">
      <c r="A144" s="18" t="inlineStr">
        <is>
          <t>0045_vileplume.json::vileplume-1::001</t>
        </is>
      </c>
      <c r="B144" s="19" t="inlineStr">
        <is>
          <t>사용</t>
        </is>
      </c>
      <c r="C144" s="18">
        <f>IF(OR(B144&lt;&gt;AK144,M144&lt;&gt;L144,O144&lt;&gt;"",Q144&lt;&gt;"",V144&lt;&gt;1,Y144&lt;&gt;"",AT144&lt;&gt;""),"수정","원본")</f>
        <v/>
      </c>
      <c r="D144" s="18" t="n">
        <v>45</v>
      </c>
      <c r="E144" s="18" t="inlineStr">
        <is>
          <t>라플레시아</t>
        </is>
      </c>
      <c r="F144" s="18" t="inlineStr">
        <is>
          <t>vileplume</t>
        </is>
      </c>
      <c r="G144" s="18" t="inlineStr">
        <is>
          <t>vileplume</t>
        </is>
      </c>
      <c r="H144" s="18" t="inlineStr"/>
      <c r="I144" s="18" t="n">
        <v>1</v>
      </c>
      <c r="J144" s="18" t="n"/>
      <c r="K144" s="18" t="n">
        <v>1</v>
      </c>
      <c r="L144" s="18" t="inlineStr">
        <is>
          <t>cobbleventure:generation_1</t>
        </is>
      </c>
      <c r="M144" s="19" t="inlineStr">
        <is>
          <t>cobbleventure:generation_1</t>
        </is>
      </c>
      <c r="N144" s="18" t="inlineStr"/>
      <c r="O144" s="19" t="inlineStr"/>
      <c r="P144" s="18" t="inlineStr">
        <is>
          <t>#cobblemon:is_jungle</t>
        </is>
      </c>
      <c r="Q144" s="19" t="inlineStr"/>
      <c r="R144" s="18">
        <f>IF(Q144="",P144,Q144)</f>
        <v/>
      </c>
      <c r="S144" s="18" t="inlineStr"/>
      <c r="T144" s="18" t="inlineStr">
        <is>
          <t>common</t>
        </is>
      </c>
      <c r="U144" s="20" t="n">
        <v>0.05</v>
      </c>
      <c r="V144" s="21" t="n">
        <v>1</v>
      </c>
      <c r="W144" s="20">
        <f>IF(OR(U144="",V144=""),U144,U144*V144)</f>
        <v/>
      </c>
      <c r="X144" s="18" t="inlineStr">
        <is>
          <t>35-49</t>
        </is>
      </c>
      <c r="Y144" s="19" t="inlineStr"/>
      <c r="Z144" s="18">
        <f>IF(Y144="",X144,Y144)</f>
        <v/>
      </c>
      <c r="AA144" s="18" t="inlineStr">
        <is>
          <t>grounded</t>
        </is>
      </c>
      <c r="AB144" s="18" t="inlineStr">
        <is>
          <t>night</t>
        </is>
      </c>
      <c r="AC144" s="18" t="inlineStr"/>
      <c r="AD144" s="18" t="inlineStr"/>
      <c r="AE144" s="18" t="inlineStr">
        <is>
          <t>sky 8-15</t>
        </is>
      </c>
      <c r="AF144" s="18" t="inlineStr"/>
      <c r="AG144" s="18" t="inlineStr"/>
      <c r="AH144" s="18" t="inlineStr"/>
      <c r="AI144" s="18" t="inlineStr"/>
      <c r="AJ144" s="18" t="inlineStr">
        <is>
          <t>Cobblemon 동일</t>
        </is>
      </c>
      <c r="AK144" s="18" t="inlineStr">
        <is>
          <t>사용</t>
        </is>
      </c>
      <c r="AL144" s="18" t="inlineStr">
        <is>
          <t>COBBLEVERSE 1.7.42 / DP v31</t>
        </is>
      </c>
      <c r="AM144" s="18" t="inlineStr">
        <is>
          <t>data/cobblemon/spawn_pool_world/0045_vileplume.json</t>
        </is>
      </c>
      <c r="AN144" s="18" t="inlineStr">
        <is>
          <t>vileplume-1</t>
        </is>
      </c>
      <c r="AO144" s="18" t="inlineStr">
        <is>
          <t>pokemon</t>
        </is>
      </c>
      <c r="AP144" s="18" t="inlineStr">
        <is>
          <t>natural</t>
        </is>
      </c>
      <c r="AQ144" s="18" t="inlineStr">
        <is>
          <t>{"biomes":["#cobblemon:is_jungle"],"maxSkyLight":15,"minSkyLight":8,"timeRange":"night"}</t>
        </is>
      </c>
      <c r="AR144" s="18" t="inlineStr"/>
      <c r="AS144" s="18" t="inlineStr"/>
      <c r="AT144" s="19" t="inlineStr"/>
    </row>
    <row r="145" ht="32" customHeight="1">
      <c r="A145" s="18" t="inlineStr">
        <is>
          <t>0045_vileplume.json::vileplume-2::002</t>
        </is>
      </c>
      <c r="B145" s="19" t="inlineStr">
        <is>
          <t>사용</t>
        </is>
      </c>
      <c r="C145" s="18">
        <f>IF(OR(B145&lt;&gt;AK145,M145&lt;&gt;L145,O145&lt;&gt;"",Q145&lt;&gt;"",V145&lt;&gt;1,Y145&lt;&gt;"",AT145&lt;&gt;""),"수정","원본")</f>
        <v/>
      </c>
      <c r="D145" s="18" t="n">
        <v>45</v>
      </c>
      <c r="E145" s="18" t="inlineStr">
        <is>
          <t>라플레시아</t>
        </is>
      </c>
      <c r="F145" s="18" t="inlineStr">
        <is>
          <t>vileplume</t>
        </is>
      </c>
      <c r="G145" s="18" t="inlineStr">
        <is>
          <t>vileplume</t>
        </is>
      </c>
      <c r="H145" s="18" t="inlineStr"/>
      <c r="I145" s="18" t="n">
        <v>1</v>
      </c>
      <c r="J145" s="18" t="n"/>
      <c r="K145" s="18" t="n">
        <v>1</v>
      </c>
      <c r="L145" s="18" t="inlineStr">
        <is>
          <t>cobbleventure:generation_1</t>
        </is>
      </c>
      <c r="M145" s="19" t="inlineStr">
        <is>
          <t>cobbleventure:generation_1</t>
        </is>
      </c>
      <c r="N145" s="18" t="inlineStr">
        <is>
          <t>region_01</t>
        </is>
      </c>
      <c r="O145" s="19" t="inlineStr"/>
      <c r="P145" s="18" t="inlineStr">
        <is>
          <t>#cobblemon:is_temperate</t>
        </is>
      </c>
      <c r="Q145" s="19" t="inlineStr"/>
      <c r="R145" s="18">
        <f>IF(Q145="",P145,Q145)</f>
        <v/>
      </c>
      <c r="S145" s="18" t="inlineStr"/>
      <c r="T145" s="18" t="inlineStr">
        <is>
          <t>common</t>
        </is>
      </c>
      <c r="U145" s="20" t="n">
        <v>0.01</v>
      </c>
      <c r="V145" s="21" t="n">
        <v>1</v>
      </c>
      <c r="W145" s="20">
        <f>IF(OR(U145="",V145=""),U145,U145*V145)</f>
        <v/>
      </c>
      <c r="X145" s="18" t="inlineStr">
        <is>
          <t>35-49</t>
        </is>
      </c>
      <c r="Y145" s="19" t="inlineStr"/>
      <c r="Z145" s="18">
        <f>IF(Y145="",X145,Y145)</f>
        <v/>
      </c>
      <c r="AA145" s="18" t="inlineStr">
        <is>
          <t>grounded</t>
        </is>
      </c>
      <c r="AB145" s="18" t="inlineStr">
        <is>
          <t>night</t>
        </is>
      </c>
      <c r="AC145" s="18" t="inlineStr"/>
      <c r="AD145" s="18" t="inlineStr"/>
      <c r="AE145" s="18" t="inlineStr">
        <is>
          <t>sky 8-15</t>
        </is>
      </c>
      <c r="AF145" s="18" t="inlineStr"/>
      <c r="AG145" s="18" t="inlineStr"/>
      <c r="AH145" s="18" t="inlineStr"/>
      <c r="AI145" s="18" t="inlineStr"/>
      <c r="AJ145" s="18" t="inlineStr">
        <is>
          <t>Cobblemon 동일</t>
        </is>
      </c>
      <c r="AK145" s="18" t="inlineStr">
        <is>
          <t>사용</t>
        </is>
      </c>
      <c r="AL145" s="18" t="inlineStr">
        <is>
          <t>COBBLEVERSE 1.7.42 / DP v31</t>
        </is>
      </c>
      <c r="AM145" s="18" t="inlineStr">
        <is>
          <t>data/cobblemon/spawn_pool_world/0045_vileplume.json</t>
        </is>
      </c>
      <c r="AN145" s="18" t="inlineStr">
        <is>
          <t>vileplume-2</t>
        </is>
      </c>
      <c r="AO145" s="18" t="inlineStr">
        <is>
          <t>pokemon</t>
        </is>
      </c>
      <c r="AP145" s="18" t="inlineStr">
        <is>
          <t>natural</t>
        </is>
      </c>
      <c r="AQ145" s="18" t="inlineStr">
        <is>
          <t>{"biomes":["#cobblemon:is_temperate"],"maxSkyLight":15,"minSkyLight":8,"timeRange":"night"}</t>
        </is>
      </c>
      <c r="AR145" s="18" t="inlineStr"/>
      <c r="AS145" s="18" t="inlineStr"/>
      <c r="AT145" s="19" t="inlineStr"/>
    </row>
    <row r="146" ht="32" customHeight="1">
      <c r="A146" s="18" t="inlineStr">
        <is>
          <t>0045_vileplume.json::vileplume-valencian-3::003</t>
        </is>
      </c>
      <c r="B146" s="19" t="inlineStr">
        <is>
          <t>사용</t>
        </is>
      </c>
      <c r="C146" s="18">
        <f>IF(OR(B146&lt;&gt;AK146,M146&lt;&gt;L146,O146&lt;&gt;"",Q146&lt;&gt;"",V146&lt;&gt;1,Y146&lt;&gt;"",AT146&lt;&gt;""),"수정","원본")</f>
        <v/>
      </c>
      <c r="D146" s="18" t="n">
        <v>45</v>
      </c>
      <c r="E146" s="18" t="inlineStr">
        <is>
          <t>라플레시아</t>
        </is>
      </c>
      <c r="F146" s="18" t="inlineStr">
        <is>
          <t>vileplume</t>
        </is>
      </c>
      <c r="G146" s="18" t="inlineStr">
        <is>
          <t>vileplume valencian</t>
        </is>
      </c>
      <c r="H146" s="18" t="inlineStr">
        <is>
          <t>valencian</t>
        </is>
      </c>
      <c r="I146" s="18" t="n">
        <v>1</v>
      </c>
      <c r="J146" s="18" t="n"/>
      <c r="K146" s="18" t="n">
        <v>1</v>
      </c>
      <c r="L146" s="18" t="inlineStr">
        <is>
          <t>cobbleventure:generation_1</t>
        </is>
      </c>
      <c r="M146" s="19" t="inlineStr">
        <is>
          <t>cobbleventure:generation_1</t>
        </is>
      </c>
      <c r="N146" s="18" t="inlineStr"/>
      <c r="O146" s="19" t="inlineStr"/>
      <c r="P146" s="18" t="inlineStr">
        <is>
          <t>#cobblemon:is_savanna; #cobblemon:is_tropical_island</t>
        </is>
      </c>
      <c r="Q146" s="19" t="inlineStr"/>
      <c r="R146" s="18">
        <f>IF(Q146="",P146,Q146)</f>
        <v/>
      </c>
      <c r="S146" s="18" t="inlineStr"/>
      <c r="T146" s="18" t="inlineStr">
        <is>
          <t>common</t>
        </is>
      </c>
      <c r="U146" s="20" t="n">
        <v>0.01</v>
      </c>
      <c r="V146" s="21" t="n">
        <v>1</v>
      </c>
      <c r="W146" s="20">
        <f>IF(OR(U146="",V146=""),U146,U146*V146)</f>
        <v/>
      </c>
      <c r="X146" s="18" t="inlineStr">
        <is>
          <t>35-49</t>
        </is>
      </c>
      <c r="Y146" s="19" t="inlineStr"/>
      <c r="Z146" s="18">
        <f>IF(Y146="",X146,Y146)</f>
        <v/>
      </c>
      <c r="AA146" s="18" t="inlineStr">
        <is>
          <t>grounded</t>
        </is>
      </c>
      <c r="AB146" s="18" t="inlineStr">
        <is>
          <t>night</t>
        </is>
      </c>
      <c r="AC146" s="18" t="inlineStr"/>
      <c r="AD146" s="18" t="inlineStr"/>
      <c r="AE146" s="18" t="inlineStr">
        <is>
          <t>sky 8-15</t>
        </is>
      </c>
      <c r="AF146" s="18" t="inlineStr"/>
      <c r="AG146" s="18" t="inlineStr"/>
      <c r="AH146" s="18" t="inlineStr"/>
      <c r="AI146" s="18" t="inlineStr"/>
      <c r="AJ146" s="18" t="inlineStr">
        <is>
          <t>Cobblemon 동일</t>
        </is>
      </c>
      <c r="AK146" s="18" t="inlineStr">
        <is>
          <t>사용</t>
        </is>
      </c>
      <c r="AL146" s="18" t="inlineStr">
        <is>
          <t>COBBLEVERSE 1.7.42 / DP v31</t>
        </is>
      </c>
      <c r="AM146" s="18" t="inlineStr">
        <is>
          <t>data/cobblemon/spawn_pool_world/0045_vileplume.json</t>
        </is>
      </c>
      <c r="AN146" s="18" t="inlineStr">
        <is>
          <t>vileplume-valencian-3</t>
        </is>
      </c>
      <c r="AO146" s="18" t="inlineStr">
        <is>
          <t>pokemon</t>
        </is>
      </c>
      <c r="AP146" s="18" t="inlineStr">
        <is>
          <t>natural</t>
        </is>
      </c>
      <c r="AQ146" s="18" t="inlineStr">
        <is>
          <t>{"biomes":["#cobblemon:is_savanna","#cobblemon:is_tropical_island"],"maxSkyLight":15,"minSkyLight":8,"timeRange":"night"}</t>
        </is>
      </c>
      <c r="AR146" s="18" t="inlineStr"/>
      <c r="AS146" s="18" t="inlineStr"/>
      <c r="AT146" s="19" t="inlineStr"/>
    </row>
    <row r="147" ht="32" customHeight="1">
      <c r="A147" s="18" t="inlineStr">
        <is>
          <t>0046_paras.json::paras-1::001</t>
        </is>
      </c>
      <c r="B147" s="19" t="inlineStr">
        <is>
          <t>사용</t>
        </is>
      </c>
      <c r="C147" s="18">
        <f>IF(OR(B147&lt;&gt;AK147,M147&lt;&gt;L147,O147&lt;&gt;"",Q147&lt;&gt;"",V147&lt;&gt;1,Y147&lt;&gt;"",AT147&lt;&gt;""),"수정","원본")</f>
        <v/>
      </c>
      <c r="D147" s="18" t="n">
        <v>46</v>
      </c>
      <c r="E147" s="18" t="inlineStr">
        <is>
          <t>파라스</t>
        </is>
      </c>
      <c r="F147" s="18" t="inlineStr">
        <is>
          <t>paras</t>
        </is>
      </c>
      <c r="G147" s="18" t="inlineStr">
        <is>
          <t>paras</t>
        </is>
      </c>
      <c r="H147" s="18" t="inlineStr"/>
      <c r="I147" s="18" t="n">
        <v>1</v>
      </c>
      <c r="J147" s="18" t="n"/>
      <c r="K147" s="18" t="n">
        <v>1</v>
      </c>
      <c r="L147" s="18" t="inlineStr">
        <is>
          <t>cobbleventure:generation_1</t>
        </is>
      </c>
      <c r="M147" s="19" t="inlineStr">
        <is>
          <t>cobbleventure:generation_1</t>
        </is>
      </c>
      <c r="N147" s="18" t="inlineStr"/>
      <c r="O147" s="19" t="inlineStr"/>
      <c r="P147" s="18" t="inlineStr">
        <is>
          <t>#cobblemon:is_lush</t>
        </is>
      </c>
      <c r="Q147" s="19" t="inlineStr"/>
      <c r="R147" s="18">
        <f>IF(Q147="",P147,Q147)</f>
        <v/>
      </c>
      <c r="S147" s="18" t="inlineStr"/>
      <c r="T147" s="18" t="inlineStr">
        <is>
          <t>uncommon</t>
        </is>
      </c>
      <c r="U147" s="20" t="n">
        <v>8.4</v>
      </c>
      <c r="V147" s="21" t="n">
        <v>1</v>
      </c>
      <c r="W147" s="20">
        <f>IF(OR(U147="",V147=""),U147,U147*V147)</f>
        <v/>
      </c>
      <c r="X147" s="18" t="inlineStr">
        <is>
          <t>4-29</t>
        </is>
      </c>
      <c r="Y147" s="19" t="inlineStr"/>
      <c r="Z147" s="18">
        <f>IF(Y147="",X147,Y147)</f>
        <v/>
      </c>
      <c r="AA147" s="18" t="inlineStr">
        <is>
          <t>grounded</t>
        </is>
      </c>
      <c r="AB147" s="18" t="inlineStr"/>
      <c r="AC147" s="18" t="inlineStr"/>
      <c r="AD147" s="18" t="inlineStr"/>
      <c r="AE147" s="18" t="inlineStr">
        <is>
          <t>sky 0-7</t>
        </is>
      </c>
      <c r="AF147" s="18" t="inlineStr"/>
      <c r="AG147" s="18" t="inlineStr"/>
      <c r="AH147" s="18" t="inlineStr"/>
      <c r="AI147" s="18" t="inlineStr"/>
      <c r="AJ147" s="18" t="inlineStr">
        <is>
          <t>Cobblemon 동일</t>
        </is>
      </c>
      <c r="AK147" s="18" t="inlineStr">
        <is>
          <t>사용</t>
        </is>
      </c>
      <c r="AL147" s="18" t="inlineStr">
        <is>
          <t>COBBLEVERSE 1.7.42 / DP v31</t>
        </is>
      </c>
      <c r="AM147" s="18" t="inlineStr">
        <is>
          <t>data/cobblemon/spawn_pool_world/0046_paras.json</t>
        </is>
      </c>
      <c r="AN147" s="18" t="inlineStr">
        <is>
          <t>paras-1</t>
        </is>
      </c>
      <c r="AO147" s="18" t="inlineStr">
        <is>
          <t>pokemon</t>
        </is>
      </c>
      <c r="AP147" s="18" t="inlineStr">
        <is>
          <t>natural</t>
        </is>
      </c>
      <c r="AQ147" s="18" t="inlineStr">
        <is>
          <t>{"biomes":["#cobblemon:is_lush"],"maxSkyLight":7,"minSkyLight":0}</t>
        </is>
      </c>
      <c r="AR147" s="18" t="inlineStr">
        <is>
          <t>{"maxY":9,"minY":-41,"structures":["cobblemon:shipwreck_coves/lush_shipwreck_cove"]}</t>
        </is>
      </c>
      <c r="AS147" s="18" t="inlineStr"/>
      <c r="AT147" s="19" t="inlineStr"/>
    </row>
    <row r="148" ht="32" customHeight="1">
      <c r="A148" s="18" t="inlineStr">
        <is>
          <t>0046_paras.json::paras-2::002</t>
        </is>
      </c>
      <c r="B148" s="19" t="inlineStr">
        <is>
          <t>사용</t>
        </is>
      </c>
      <c r="C148" s="18">
        <f>IF(OR(B148&lt;&gt;AK148,M148&lt;&gt;L148,O148&lt;&gt;"",Q148&lt;&gt;"",V148&lt;&gt;1,Y148&lt;&gt;"",AT148&lt;&gt;""),"수정","원본")</f>
        <v/>
      </c>
      <c r="D148" s="18" t="n">
        <v>46</v>
      </c>
      <c r="E148" s="18" t="inlineStr">
        <is>
          <t>파라스</t>
        </is>
      </c>
      <c r="F148" s="18" t="inlineStr">
        <is>
          <t>paras</t>
        </is>
      </c>
      <c r="G148" s="18" t="inlineStr">
        <is>
          <t>paras</t>
        </is>
      </c>
      <c r="H148" s="18" t="inlineStr"/>
      <c r="I148" s="18" t="n">
        <v>1</v>
      </c>
      <c r="J148" s="18" t="n"/>
      <c r="K148" s="18" t="n">
        <v>1</v>
      </c>
      <c r="L148" s="18" t="inlineStr">
        <is>
          <t>cobbleventure:generation_1</t>
        </is>
      </c>
      <c r="M148" s="19" t="inlineStr">
        <is>
          <t>cobbleventure:generation_1</t>
        </is>
      </c>
      <c r="N148" s="18" t="inlineStr"/>
      <c r="O148" s="19" t="inlineStr"/>
      <c r="P148" s="18" t="inlineStr">
        <is>
          <t>#cobblemon:is_mushroom</t>
        </is>
      </c>
      <c r="Q148" s="19" t="inlineStr"/>
      <c r="R148" s="18">
        <f>IF(Q148="",P148,Q148)</f>
        <v/>
      </c>
      <c r="S148" s="18" t="inlineStr"/>
      <c r="T148" s="18" t="inlineStr">
        <is>
          <t>common</t>
        </is>
      </c>
      <c r="U148" s="20" t="n">
        <v>9</v>
      </c>
      <c r="V148" s="21" t="n">
        <v>1</v>
      </c>
      <c r="W148" s="20">
        <f>IF(OR(U148="",V148=""),U148,U148*V148)</f>
        <v/>
      </c>
      <c r="X148" s="18" t="inlineStr">
        <is>
          <t>4-29</t>
        </is>
      </c>
      <c r="Y148" s="19" t="inlineStr"/>
      <c r="Z148" s="18">
        <f>IF(Y148="",X148,Y148)</f>
        <v/>
      </c>
      <c r="AA148" s="18" t="inlineStr">
        <is>
          <t>grounded</t>
        </is>
      </c>
      <c r="AB148" s="18" t="inlineStr"/>
      <c r="AC148" s="18" t="inlineStr"/>
      <c r="AD148" s="18" t="inlineStr"/>
      <c r="AE148" s="18" t="inlineStr"/>
      <c r="AF148" s="18" t="inlineStr"/>
      <c r="AG148" s="18" t="inlineStr"/>
      <c r="AH148" s="18" t="inlineStr"/>
      <c r="AI148" s="18" t="inlineStr"/>
      <c r="AJ148" s="18" t="inlineStr">
        <is>
          <t>Cobblemon 동일</t>
        </is>
      </c>
      <c r="AK148" s="18" t="inlineStr">
        <is>
          <t>사용</t>
        </is>
      </c>
      <c r="AL148" s="18" t="inlineStr">
        <is>
          <t>COBBLEVERSE 1.7.42 / DP v31</t>
        </is>
      </c>
      <c r="AM148" s="18" t="inlineStr">
        <is>
          <t>data/cobblemon/spawn_pool_world/0046_paras.json</t>
        </is>
      </c>
      <c r="AN148" s="18" t="inlineStr">
        <is>
          <t>paras-2</t>
        </is>
      </c>
      <c r="AO148" s="18" t="inlineStr">
        <is>
          <t>pokemon</t>
        </is>
      </c>
      <c r="AP148" s="18" t="inlineStr">
        <is>
          <t>natural</t>
        </is>
      </c>
      <c r="AQ148" s="18" t="inlineStr">
        <is>
          <t>{"biomes":["#cobblemon:is_mushroom"]}</t>
        </is>
      </c>
      <c r="AR148" s="18" t="inlineStr"/>
      <c r="AS148" s="18" t="inlineStr"/>
      <c r="AT148" s="19" t="inlineStr"/>
    </row>
    <row r="149" ht="32" customHeight="1">
      <c r="A149" s="18" t="inlineStr">
        <is>
          <t>0046_paras.json::paras-3::003</t>
        </is>
      </c>
      <c r="B149" s="19" t="inlineStr">
        <is>
          <t>사용</t>
        </is>
      </c>
      <c r="C149" s="18">
        <f>IF(OR(B149&lt;&gt;AK149,M149&lt;&gt;L149,O149&lt;&gt;"",Q149&lt;&gt;"",V149&lt;&gt;1,Y149&lt;&gt;"",AT149&lt;&gt;""),"수정","원본")</f>
        <v/>
      </c>
      <c r="D149" s="18" t="n">
        <v>46</v>
      </c>
      <c r="E149" s="18" t="inlineStr">
        <is>
          <t>파라스</t>
        </is>
      </c>
      <c r="F149" s="18" t="inlineStr">
        <is>
          <t>paras</t>
        </is>
      </c>
      <c r="G149" s="18" t="inlineStr">
        <is>
          <t>paras</t>
        </is>
      </c>
      <c r="H149" s="18" t="inlineStr"/>
      <c r="I149" s="18" t="n">
        <v>1</v>
      </c>
      <c r="J149" s="18" t="n"/>
      <c r="K149" s="18" t="n">
        <v>1</v>
      </c>
      <c r="L149" s="18" t="inlineStr">
        <is>
          <t>cobbleventure:generation_1</t>
        </is>
      </c>
      <c r="M149" s="19" t="inlineStr">
        <is>
          <t>cobbleventure:generation_1</t>
        </is>
      </c>
      <c r="N149" s="18" t="inlineStr"/>
      <c r="O149" s="19" t="inlineStr"/>
      <c r="P149" s="18" t="inlineStr">
        <is>
          <t>#cobblemon:nether/is_fungus</t>
        </is>
      </c>
      <c r="Q149" s="19" t="inlineStr"/>
      <c r="R149" s="18">
        <f>IF(Q149="",P149,Q149)</f>
        <v/>
      </c>
      <c r="S149" s="18" t="inlineStr">
        <is>
          <t>#cobblemon:nether/is_warped</t>
        </is>
      </c>
      <c r="T149" s="18" t="inlineStr">
        <is>
          <t>common</t>
        </is>
      </c>
      <c r="U149" s="20" t="n">
        <v>9</v>
      </c>
      <c r="V149" s="21" t="n">
        <v>1</v>
      </c>
      <c r="W149" s="20">
        <f>IF(OR(U149="",V149=""),U149,U149*V149)</f>
        <v/>
      </c>
      <c r="X149" s="18" t="inlineStr">
        <is>
          <t>4-29</t>
        </is>
      </c>
      <c r="Y149" s="19" t="inlineStr"/>
      <c r="Z149" s="18">
        <f>IF(Y149="",X149,Y149)</f>
        <v/>
      </c>
      <c r="AA149" s="18" t="inlineStr">
        <is>
          <t>grounded</t>
        </is>
      </c>
      <c r="AB149" s="18" t="inlineStr"/>
      <c r="AC149" s="18" t="inlineStr"/>
      <c r="AD149" s="18" t="inlineStr"/>
      <c r="AE149" s="18" t="inlineStr"/>
      <c r="AF149" s="18" t="inlineStr"/>
      <c r="AG149" s="18" t="inlineStr"/>
      <c r="AH149" s="18" t="inlineStr"/>
      <c r="AI149" s="18" t="inlineStr"/>
      <c r="AJ149" s="18" t="inlineStr">
        <is>
          <t>Cobblemon 동일</t>
        </is>
      </c>
      <c r="AK149" s="18" t="inlineStr">
        <is>
          <t>사용</t>
        </is>
      </c>
      <c r="AL149" s="18" t="inlineStr">
        <is>
          <t>COBBLEVERSE 1.7.42 / DP v31</t>
        </is>
      </c>
      <c r="AM149" s="18" t="inlineStr">
        <is>
          <t>data/cobblemon/spawn_pool_world/0046_paras.json</t>
        </is>
      </c>
      <c r="AN149" s="18" t="inlineStr">
        <is>
          <t>paras-3</t>
        </is>
      </c>
      <c r="AO149" s="18" t="inlineStr">
        <is>
          <t>pokemon</t>
        </is>
      </c>
      <c r="AP149" s="18" t="inlineStr">
        <is>
          <t>natural</t>
        </is>
      </c>
      <c r="AQ149" s="18" t="inlineStr">
        <is>
          <t>{"biomes":["#cobblemon:nether/is_fungus"]}</t>
        </is>
      </c>
      <c r="AR149" s="18" t="inlineStr">
        <is>
          <t>{"biomes":["#cobblemon:nether/is_warped"]}</t>
        </is>
      </c>
      <c r="AS149" s="18" t="inlineStr"/>
      <c r="AT149" s="19" t="inlineStr"/>
    </row>
    <row r="150" ht="32" customHeight="1">
      <c r="A150" s="18" t="inlineStr">
        <is>
          <t>0046_paras.json::paras-4::004</t>
        </is>
      </c>
      <c r="B150" s="19" t="inlineStr">
        <is>
          <t>사용</t>
        </is>
      </c>
      <c r="C150" s="18">
        <f>IF(OR(B150&lt;&gt;AK150,M150&lt;&gt;L150,O150&lt;&gt;"",Q150&lt;&gt;"",V150&lt;&gt;1,Y150&lt;&gt;"",AT150&lt;&gt;""),"수정","원본")</f>
        <v/>
      </c>
      <c r="D150" s="18" t="n">
        <v>46</v>
      </c>
      <c r="E150" s="18" t="inlineStr">
        <is>
          <t>파라스</t>
        </is>
      </c>
      <c r="F150" s="18" t="inlineStr">
        <is>
          <t>paras</t>
        </is>
      </c>
      <c r="G150" s="18" t="inlineStr">
        <is>
          <t>paras</t>
        </is>
      </c>
      <c r="H150" s="18" t="inlineStr"/>
      <c r="I150" s="18" t="n">
        <v>1</v>
      </c>
      <c r="J150" s="18" t="n"/>
      <c r="K150" s="18" t="n">
        <v>1</v>
      </c>
      <c r="L150" s="18" t="inlineStr">
        <is>
          <t>cobbleventure:generation_1</t>
        </is>
      </c>
      <c r="M150" s="19" t="inlineStr">
        <is>
          <t>cobbleventure:generation_1</t>
        </is>
      </c>
      <c r="N150" s="18" t="inlineStr">
        <is>
          <t>region_01; region_02</t>
        </is>
      </c>
      <c r="O150" s="19" t="inlineStr"/>
      <c r="P150" s="18" t="inlineStr">
        <is>
          <t>#cobblemon:is_overworld</t>
        </is>
      </c>
      <c r="Q150" s="19" t="inlineStr"/>
      <c r="R150" s="18">
        <f>IF(Q150="",P150,Q150)</f>
        <v/>
      </c>
      <c r="S150" s="18" t="inlineStr">
        <is>
          <t>#cobblemon:is_lush</t>
        </is>
      </c>
      <c r="T150" s="18" t="inlineStr">
        <is>
          <t>uncommon</t>
        </is>
      </c>
      <c r="U150" s="20" t="n">
        <v>8.4</v>
      </c>
      <c r="V150" s="21" t="n">
        <v>1</v>
      </c>
      <c r="W150" s="20">
        <f>IF(OR(U150="",V150=""),U150,U150*V150)</f>
        <v/>
      </c>
      <c r="X150" s="18" t="inlineStr">
        <is>
          <t>4-29</t>
        </is>
      </c>
      <c r="Y150" s="19" t="inlineStr"/>
      <c r="Z150" s="18">
        <f>IF(Y150="",X150,Y150)</f>
        <v/>
      </c>
      <c r="AA150" s="18" t="inlineStr">
        <is>
          <t>grounded</t>
        </is>
      </c>
      <c r="AB150" s="18" t="inlineStr"/>
      <c r="AC150" s="18" t="inlineStr"/>
      <c r="AD150" s="18" t="inlineStr">
        <is>
          <t>minY=-41, maxY=9</t>
        </is>
      </c>
      <c r="AE150" s="18" t="inlineStr">
        <is>
          <t>sky 0-7</t>
        </is>
      </c>
      <c r="AF150" s="18" t="inlineStr"/>
      <c r="AG150" s="18" t="inlineStr">
        <is>
          <t>cobblemon:shipwreck_coves/lush_shipwreck_cove</t>
        </is>
      </c>
      <c r="AH150" s="18" t="inlineStr"/>
      <c r="AI150" s="18" t="inlineStr"/>
      <c r="AJ150" s="18" t="inlineStr">
        <is>
          <t>Cobblemon 동일</t>
        </is>
      </c>
      <c r="AK150" s="18" t="inlineStr">
        <is>
          <t>사용</t>
        </is>
      </c>
      <c r="AL150" s="18" t="inlineStr">
        <is>
          <t>COBBLEVERSE 1.7.42 / DP v31</t>
        </is>
      </c>
      <c r="AM150" s="18" t="inlineStr">
        <is>
          <t>data/cobblemon/spawn_pool_world/0046_paras.json</t>
        </is>
      </c>
      <c r="AN150" s="18" t="inlineStr">
        <is>
          <t>paras-4</t>
        </is>
      </c>
      <c r="AO150" s="18" t="inlineStr">
        <is>
          <t>pokemon</t>
        </is>
      </c>
      <c r="AP150" s="18" t="inlineStr">
        <is>
          <t>natural</t>
        </is>
      </c>
      <c r="AQ150" s="18" t="inlineStr">
        <is>
          <t>{"biomes":["#cobblemon:is_overworld"],"maxSkyLight":7,"maxY":9,"minSkyLight":0,"minY":-41,"structures":["cobblemon:shipwreck_coves/lush_shipwreck_cove"]}</t>
        </is>
      </c>
      <c r="AR150" s="18" t="inlineStr">
        <is>
          <t>{"biomes":["#cobblemon:is_lush"]}</t>
        </is>
      </c>
      <c r="AS150" s="18" t="inlineStr"/>
      <c r="AT150" s="19" t="inlineStr"/>
    </row>
    <row r="151" ht="32" customHeight="1">
      <c r="A151" s="18" t="inlineStr">
        <is>
          <t>0047_parasect.json::parasect-1::001</t>
        </is>
      </c>
      <c r="B151" s="19" t="inlineStr">
        <is>
          <t>사용</t>
        </is>
      </c>
      <c r="C151" s="18">
        <f>IF(OR(B151&lt;&gt;AK151,M151&lt;&gt;L151,O151&lt;&gt;"",Q151&lt;&gt;"",V151&lt;&gt;1,Y151&lt;&gt;"",AT151&lt;&gt;""),"수정","원본")</f>
        <v/>
      </c>
      <c r="D151" s="18" t="n">
        <v>47</v>
      </c>
      <c r="E151" s="18" t="inlineStr">
        <is>
          <t>파라섹트</t>
        </is>
      </c>
      <c r="F151" s="18" t="inlineStr">
        <is>
          <t>parasect</t>
        </is>
      </c>
      <c r="G151" s="18" t="inlineStr">
        <is>
          <t>parasect</t>
        </is>
      </c>
      <c r="H151" s="18" t="inlineStr"/>
      <c r="I151" s="18" t="n">
        <v>1</v>
      </c>
      <c r="J151" s="18" t="n"/>
      <c r="K151" s="18" t="n">
        <v>1</v>
      </c>
      <c r="L151" s="18" t="inlineStr">
        <is>
          <t>cobbleventure:generation_1</t>
        </is>
      </c>
      <c r="M151" s="19" t="inlineStr">
        <is>
          <t>cobbleventure:generation_1</t>
        </is>
      </c>
      <c r="N151" s="18" t="inlineStr"/>
      <c r="O151" s="19" t="inlineStr"/>
      <c r="P151" s="18" t="inlineStr">
        <is>
          <t>#cobblemon:is_lush</t>
        </is>
      </c>
      <c r="Q151" s="19" t="inlineStr"/>
      <c r="R151" s="18">
        <f>IF(Q151="",P151,Q151)</f>
        <v/>
      </c>
      <c r="S151" s="18" t="inlineStr"/>
      <c r="T151" s="18" t="inlineStr">
        <is>
          <t>uncommon</t>
        </is>
      </c>
      <c r="U151" s="20" t="n">
        <v>1.6</v>
      </c>
      <c r="V151" s="21" t="n">
        <v>1</v>
      </c>
      <c r="W151" s="20">
        <f>IF(OR(U151="",V151=""),U151,U151*V151)</f>
        <v/>
      </c>
      <c r="X151" s="18" t="inlineStr">
        <is>
          <t>24-41</t>
        </is>
      </c>
      <c r="Y151" s="19" t="inlineStr"/>
      <c r="Z151" s="18">
        <f>IF(Y151="",X151,Y151)</f>
        <v/>
      </c>
      <c r="AA151" s="18" t="inlineStr">
        <is>
          <t>grounded</t>
        </is>
      </c>
      <c r="AB151" s="18" t="inlineStr"/>
      <c r="AC151" s="18" t="inlineStr"/>
      <c r="AD151" s="18" t="inlineStr"/>
      <c r="AE151" s="18" t="inlineStr">
        <is>
          <t>sky 0-7</t>
        </is>
      </c>
      <c r="AF151" s="18" t="inlineStr"/>
      <c r="AG151" s="18" t="inlineStr"/>
      <c r="AH151" s="18" t="inlineStr"/>
      <c r="AI151" s="18" t="inlineStr"/>
      <c r="AJ151" s="18" t="inlineStr">
        <is>
          <t>Cobblemon 동일</t>
        </is>
      </c>
      <c r="AK151" s="18" t="inlineStr">
        <is>
          <t>사용</t>
        </is>
      </c>
      <c r="AL151" s="18" t="inlineStr">
        <is>
          <t>COBBLEVERSE 1.7.42 / DP v31</t>
        </is>
      </c>
      <c r="AM151" s="18" t="inlineStr">
        <is>
          <t>data/cobblemon/spawn_pool_world/0047_parasect.json</t>
        </is>
      </c>
      <c r="AN151" s="18" t="inlineStr">
        <is>
          <t>parasect-1</t>
        </is>
      </c>
      <c r="AO151" s="18" t="inlineStr">
        <is>
          <t>pokemon</t>
        </is>
      </c>
      <c r="AP151" s="18" t="inlineStr">
        <is>
          <t>natural</t>
        </is>
      </c>
      <c r="AQ151" s="18" t="inlineStr">
        <is>
          <t>{"biomes":["#cobblemon:is_lush"],"maxSkyLight":7,"minSkyLight":0}</t>
        </is>
      </c>
      <c r="AR151" s="18" t="inlineStr">
        <is>
          <t>{"maxY":9,"minY":-41,"structures":["cobblemon:shipwreck_coves/lush_shipwreck_cove"]}</t>
        </is>
      </c>
      <c r="AS151" s="18" t="inlineStr"/>
      <c r="AT151" s="19" t="inlineStr"/>
    </row>
    <row r="152" ht="32" customHeight="1">
      <c r="A152" s="18" t="inlineStr">
        <is>
          <t>0047_parasect.json::parasect-2::002</t>
        </is>
      </c>
      <c r="B152" s="19" t="inlineStr">
        <is>
          <t>사용</t>
        </is>
      </c>
      <c r="C152" s="18">
        <f>IF(OR(B152&lt;&gt;AK152,M152&lt;&gt;L152,O152&lt;&gt;"",Q152&lt;&gt;"",V152&lt;&gt;1,Y152&lt;&gt;"",AT152&lt;&gt;""),"수정","원본")</f>
        <v/>
      </c>
      <c r="D152" s="18" t="n">
        <v>47</v>
      </c>
      <c r="E152" s="18" t="inlineStr">
        <is>
          <t>파라섹트</t>
        </is>
      </c>
      <c r="F152" s="18" t="inlineStr">
        <is>
          <t>parasect</t>
        </is>
      </c>
      <c r="G152" s="18" t="inlineStr">
        <is>
          <t>parasect</t>
        </is>
      </c>
      <c r="H152" s="18" t="inlineStr"/>
      <c r="I152" s="18" t="n">
        <v>1</v>
      </c>
      <c r="J152" s="18" t="n"/>
      <c r="K152" s="18" t="n">
        <v>1</v>
      </c>
      <c r="L152" s="18" t="inlineStr">
        <is>
          <t>cobbleventure:generation_1</t>
        </is>
      </c>
      <c r="M152" s="19" t="inlineStr">
        <is>
          <t>cobbleventure:generation_1</t>
        </is>
      </c>
      <c r="N152" s="18" t="inlineStr"/>
      <c r="O152" s="19" t="inlineStr"/>
      <c r="P152" s="18" t="inlineStr">
        <is>
          <t>#cobblemon:is_mushroom</t>
        </is>
      </c>
      <c r="Q152" s="19" t="inlineStr"/>
      <c r="R152" s="18">
        <f>IF(Q152="",P152,Q152)</f>
        <v/>
      </c>
      <c r="S152" s="18" t="inlineStr"/>
      <c r="T152" s="18" t="inlineStr">
        <is>
          <t>common</t>
        </is>
      </c>
      <c r="U152" s="20" t="n">
        <v>1</v>
      </c>
      <c r="V152" s="21" t="n">
        <v>1</v>
      </c>
      <c r="W152" s="20">
        <f>IF(OR(U152="",V152=""),U152,U152*V152)</f>
        <v/>
      </c>
      <c r="X152" s="18" t="inlineStr">
        <is>
          <t>24-41</t>
        </is>
      </c>
      <c r="Y152" s="19" t="inlineStr"/>
      <c r="Z152" s="18">
        <f>IF(Y152="",X152,Y152)</f>
        <v/>
      </c>
      <c r="AA152" s="18" t="inlineStr">
        <is>
          <t>grounded</t>
        </is>
      </c>
      <c r="AB152" s="18" t="inlineStr"/>
      <c r="AC152" s="18" t="inlineStr"/>
      <c r="AD152" s="18" t="inlineStr"/>
      <c r="AE152" s="18" t="inlineStr"/>
      <c r="AF152" s="18" t="inlineStr"/>
      <c r="AG152" s="18" t="inlineStr"/>
      <c r="AH152" s="18" t="inlineStr"/>
      <c r="AI152" s="18" t="inlineStr"/>
      <c r="AJ152" s="18" t="inlineStr">
        <is>
          <t>Cobblemon 동일</t>
        </is>
      </c>
      <c r="AK152" s="18" t="inlineStr">
        <is>
          <t>사용</t>
        </is>
      </c>
      <c r="AL152" s="18" t="inlineStr">
        <is>
          <t>COBBLEVERSE 1.7.42 / DP v31</t>
        </is>
      </c>
      <c r="AM152" s="18" t="inlineStr">
        <is>
          <t>data/cobblemon/spawn_pool_world/0047_parasect.json</t>
        </is>
      </c>
      <c r="AN152" s="18" t="inlineStr">
        <is>
          <t>parasect-2</t>
        </is>
      </c>
      <c r="AO152" s="18" t="inlineStr">
        <is>
          <t>pokemon</t>
        </is>
      </c>
      <c r="AP152" s="18" t="inlineStr">
        <is>
          <t>natural</t>
        </is>
      </c>
      <c r="AQ152" s="18" t="inlineStr">
        <is>
          <t>{"biomes":["#cobblemon:is_mushroom"]}</t>
        </is>
      </c>
      <c r="AR152" s="18" t="inlineStr"/>
      <c r="AS152" s="18" t="inlineStr"/>
      <c r="AT152" s="19" t="inlineStr"/>
    </row>
    <row r="153" ht="32" customHeight="1">
      <c r="A153" s="18" t="inlineStr">
        <is>
          <t>0047_parasect.json::parasect-3::003</t>
        </is>
      </c>
      <c r="B153" s="19" t="inlineStr">
        <is>
          <t>사용</t>
        </is>
      </c>
      <c r="C153" s="18">
        <f>IF(OR(B153&lt;&gt;AK153,M153&lt;&gt;L153,O153&lt;&gt;"",Q153&lt;&gt;"",V153&lt;&gt;1,Y153&lt;&gt;"",AT153&lt;&gt;""),"수정","원본")</f>
        <v/>
      </c>
      <c r="D153" s="18" t="n">
        <v>47</v>
      </c>
      <c r="E153" s="18" t="inlineStr">
        <is>
          <t>파라섹트</t>
        </is>
      </c>
      <c r="F153" s="18" t="inlineStr">
        <is>
          <t>parasect</t>
        </is>
      </c>
      <c r="G153" s="18" t="inlineStr">
        <is>
          <t>parasect</t>
        </is>
      </c>
      <c r="H153" s="18" t="inlineStr"/>
      <c r="I153" s="18" t="n">
        <v>1</v>
      </c>
      <c r="J153" s="18" t="n"/>
      <c r="K153" s="18" t="n">
        <v>1</v>
      </c>
      <c r="L153" s="18" t="inlineStr">
        <is>
          <t>cobbleventure:generation_1</t>
        </is>
      </c>
      <c r="M153" s="19" t="inlineStr">
        <is>
          <t>cobbleventure:generation_1</t>
        </is>
      </c>
      <c r="N153" s="18" t="inlineStr"/>
      <c r="O153" s="19" t="inlineStr"/>
      <c r="P153" s="18" t="inlineStr">
        <is>
          <t>#cobblemon:nether/is_fungus</t>
        </is>
      </c>
      <c r="Q153" s="19" t="inlineStr"/>
      <c r="R153" s="18">
        <f>IF(Q153="",P153,Q153)</f>
        <v/>
      </c>
      <c r="S153" s="18" t="inlineStr">
        <is>
          <t>#cobblemon:nether/is_warped</t>
        </is>
      </c>
      <c r="T153" s="18" t="inlineStr">
        <is>
          <t>common</t>
        </is>
      </c>
      <c r="U153" s="20" t="n">
        <v>1</v>
      </c>
      <c r="V153" s="21" t="n">
        <v>1</v>
      </c>
      <c r="W153" s="20">
        <f>IF(OR(U153="",V153=""),U153,U153*V153)</f>
        <v/>
      </c>
      <c r="X153" s="18" t="inlineStr">
        <is>
          <t>24-41</t>
        </is>
      </c>
      <c r="Y153" s="19" t="inlineStr"/>
      <c r="Z153" s="18">
        <f>IF(Y153="",X153,Y153)</f>
        <v/>
      </c>
      <c r="AA153" s="18" t="inlineStr">
        <is>
          <t>grounded</t>
        </is>
      </c>
      <c r="AB153" s="18" t="inlineStr"/>
      <c r="AC153" s="18" t="inlineStr"/>
      <c r="AD153" s="18" t="inlineStr"/>
      <c r="AE153" s="18" t="inlineStr"/>
      <c r="AF153" s="18" t="inlineStr"/>
      <c r="AG153" s="18" t="inlineStr"/>
      <c r="AH153" s="18" t="inlineStr"/>
      <c r="AI153" s="18" t="inlineStr"/>
      <c r="AJ153" s="18" t="inlineStr">
        <is>
          <t>Cobblemon 동일</t>
        </is>
      </c>
      <c r="AK153" s="18" t="inlineStr">
        <is>
          <t>사용</t>
        </is>
      </c>
      <c r="AL153" s="18" t="inlineStr">
        <is>
          <t>COBBLEVERSE 1.7.42 / DP v31</t>
        </is>
      </c>
      <c r="AM153" s="18" t="inlineStr">
        <is>
          <t>data/cobblemon/spawn_pool_world/0047_parasect.json</t>
        </is>
      </c>
      <c r="AN153" s="18" t="inlineStr">
        <is>
          <t>parasect-3</t>
        </is>
      </c>
      <c r="AO153" s="18" t="inlineStr">
        <is>
          <t>pokemon</t>
        </is>
      </c>
      <c r="AP153" s="18" t="inlineStr">
        <is>
          <t>natural</t>
        </is>
      </c>
      <c r="AQ153" s="18" t="inlineStr">
        <is>
          <t>{"biomes":["#cobblemon:nether/is_fungus"]}</t>
        </is>
      </c>
      <c r="AR153" s="18" t="inlineStr">
        <is>
          <t>{"biomes":["#cobblemon:nether/is_warped"]}</t>
        </is>
      </c>
      <c r="AS153" s="18" t="inlineStr"/>
      <c r="AT153" s="19" t="inlineStr"/>
    </row>
    <row r="154" ht="32" customHeight="1">
      <c r="A154" s="18" t="inlineStr">
        <is>
          <t>0047_parasect.json::parasect-4::004</t>
        </is>
      </c>
      <c r="B154" s="19" t="inlineStr">
        <is>
          <t>사용</t>
        </is>
      </c>
      <c r="C154" s="18">
        <f>IF(OR(B154&lt;&gt;AK154,M154&lt;&gt;L154,O154&lt;&gt;"",Q154&lt;&gt;"",V154&lt;&gt;1,Y154&lt;&gt;"",AT154&lt;&gt;""),"수정","원본")</f>
        <v/>
      </c>
      <c r="D154" s="18" t="n">
        <v>47</v>
      </c>
      <c r="E154" s="18" t="inlineStr">
        <is>
          <t>파라섹트</t>
        </is>
      </c>
      <c r="F154" s="18" t="inlineStr">
        <is>
          <t>parasect</t>
        </is>
      </c>
      <c r="G154" s="18" t="inlineStr">
        <is>
          <t>parasect</t>
        </is>
      </c>
      <c r="H154" s="18" t="inlineStr"/>
      <c r="I154" s="18" t="n">
        <v>1</v>
      </c>
      <c r="J154" s="18" t="n"/>
      <c r="K154" s="18" t="n">
        <v>1</v>
      </c>
      <c r="L154" s="18" t="inlineStr">
        <is>
          <t>cobbleventure:generation_1</t>
        </is>
      </c>
      <c r="M154" s="19" t="inlineStr">
        <is>
          <t>cobbleventure:generation_1</t>
        </is>
      </c>
      <c r="N154" s="18" t="inlineStr">
        <is>
          <t>region_01; region_02</t>
        </is>
      </c>
      <c r="O154" s="19" t="inlineStr"/>
      <c r="P154" s="18" t="inlineStr">
        <is>
          <t>#cobblemon:is_overworld</t>
        </is>
      </c>
      <c r="Q154" s="19" t="inlineStr"/>
      <c r="R154" s="18">
        <f>IF(Q154="",P154,Q154)</f>
        <v/>
      </c>
      <c r="S154" s="18" t="inlineStr">
        <is>
          <t>#cobblemon:is_lush</t>
        </is>
      </c>
      <c r="T154" s="18" t="inlineStr">
        <is>
          <t>uncommon</t>
        </is>
      </c>
      <c r="U154" s="20" t="n">
        <v>1.6</v>
      </c>
      <c r="V154" s="21" t="n">
        <v>1</v>
      </c>
      <c r="W154" s="20">
        <f>IF(OR(U154="",V154=""),U154,U154*V154)</f>
        <v/>
      </c>
      <c r="X154" s="18" t="inlineStr">
        <is>
          <t>24-41</t>
        </is>
      </c>
      <c r="Y154" s="19" t="inlineStr"/>
      <c r="Z154" s="18">
        <f>IF(Y154="",X154,Y154)</f>
        <v/>
      </c>
      <c r="AA154" s="18" t="inlineStr">
        <is>
          <t>grounded</t>
        </is>
      </c>
      <c r="AB154" s="18" t="inlineStr"/>
      <c r="AC154" s="18" t="inlineStr"/>
      <c r="AD154" s="18" t="inlineStr">
        <is>
          <t>minY=-41, maxY=9</t>
        </is>
      </c>
      <c r="AE154" s="18" t="inlineStr">
        <is>
          <t>sky 0-7</t>
        </is>
      </c>
      <c r="AF154" s="18" t="inlineStr"/>
      <c r="AG154" s="18" t="inlineStr">
        <is>
          <t>cobblemon:shipwreck_coves/lush_shipwreck_cove</t>
        </is>
      </c>
      <c r="AH154" s="18" t="inlineStr"/>
      <c r="AI154" s="18" t="inlineStr"/>
      <c r="AJ154" s="18" t="inlineStr">
        <is>
          <t>Cobblemon 동일</t>
        </is>
      </c>
      <c r="AK154" s="18" t="inlineStr">
        <is>
          <t>사용</t>
        </is>
      </c>
      <c r="AL154" s="18" t="inlineStr">
        <is>
          <t>COBBLEVERSE 1.7.42 / DP v31</t>
        </is>
      </c>
      <c r="AM154" s="18" t="inlineStr">
        <is>
          <t>data/cobblemon/spawn_pool_world/0047_parasect.json</t>
        </is>
      </c>
      <c r="AN154" s="18" t="inlineStr">
        <is>
          <t>parasect-4</t>
        </is>
      </c>
      <c r="AO154" s="18" t="inlineStr">
        <is>
          <t>pokemon</t>
        </is>
      </c>
      <c r="AP154" s="18" t="inlineStr">
        <is>
          <t>natural</t>
        </is>
      </c>
      <c r="AQ154" s="18" t="inlineStr">
        <is>
          <t>{"biomes":["#cobblemon:is_overworld"],"maxSkyLight":7,"maxY":9,"minSkyLight":0,"minY":-41,"structures":["cobblemon:shipwreck_coves/lush_shipwreck_cove"]}</t>
        </is>
      </c>
      <c r="AR154" s="18" t="inlineStr">
        <is>
          <t>{"biomes":["#cobblemon:is_lush"]}</t>
        </is>
      </c>
      <c r="AS154" s="18" t="inlineStr"/>
      <c r="AT154" s="19" t="inlineStr"/>
    </row>
    <row r="155" ht="32" customHeight="1">
      <c r="A155" s="18" t="inlineStr">
        <is>
          <t>0048_venonat.json::venonat-1::001</t>
        </is>
      </c>
      <c r="B155" s="19" t="inlineStr">
        <is>
          <t>사용</t>
        </is>
      </c>
      <c r="C155" s="18">
        <f>IF(OR(B155&lt;&gt;AK155,M155&lt;&gt;L155,O155&lt;&gt;"",Q155&lt;&gt;"",V155&lt;&gt;1,Y155&lt;&gt;"",AT155&lt;&gt;""),"수정","원본")</f>
        <v/>
      </c>
      <c r="D155" s="18" t="n">
        <v>48</v>
      </c>
      <c r="E155" s="18" t="inlineStr">
        <is>
          <t>콘팡</t>
        </is>
      </c>
      <c r="F155" s="18" t="inlineStr">
        <is>
          <t>venonat</t>
        </is>
      </c>
      <c r="G155" s="18" t="inlineStr">
        <is>
          <t>venonat</t>
        </is>
      </c>
      <c r="H155" s="18" t="inlineStr"/>
      <c r="I155" s="18" t="n">
        <v>1</v>
      </c>
      <c r="J155" s="18" t="n"/>
      <c r="K155" s="18" t="n">
        <v>1</v>
      </c>
      <c r="L155" s="18" t="inlineStr">
        <is>
          <t>cobbleventure:generation_1</t>
        </is>
      </c>
      <c r="M155" s="19" t="inlineStr">
        <is>
          <t>cobbleventure:generation_1</t>
        </is>
      </c>
      <c r="N155" s="18" t="inlineStr">
        <is>
          <t>region_02</t>
        </is>
      </c>
      <c r="O155" s="19" t="inlineStr"/>
      <c r="P155" s="18" t="inlineStr">
        <is>
          <t>#cobblemon:is_spooky; #cobblemon:is_swamp</t>
        </is>
      </c>
      <c r="Q155" s="19" t="inlineStr"/>
      <c r="R155" s="18">
        <f>IF(Q155="",P155,Q155)</f>
        <v/>
      </c>
      <c r="S155" s="18" t="inlineStr"/>
      <c r="T155" s="18" t="inlineStr">
        <is>
          <t>common</t>
        </is>
      </c>
      <c r="U155" s="20" t="n">
        <v>5.4</v>
      </c>
      <c r="V155" s="21" t="n">
        <v>1</v>
      </c>
      <c r="W155" s="20">
        <f>IF(OR(U155="",V155=""),U155,U155*V155)</f>
        <v/>
      </c>
      <c r="X155" s="18" t="inlineStr">
        <is>
          <t>6-31</t>
        </is>
      </c>
      <c r="Y155" s="19" t="inlineStr"/>
      <c r="Z155" s="18">
        <f>IF(Y155="",X155,Y155)</f>
        <v/>
      </c>
      <c r="AA155" s="18" t="inlineStr">
        <is>
          <t>grounded</t>
        </is>
      </c>
      <c r="AB155" s="18" t="inlineStr">
        <is>
          <t>night</t>
        </is>
      </c>
      <c r="AC155" s="18" t="inlineStr"/>
      <c r="AD155" s="18" t="inlineStr"/>
      <c r="AE155" s="18" t="inlineStr">
        <is>
          <t>sky 8-15</t>
        </is>
      </c>
      <c r="AF155" s="18" t="inlineStr"/>
      <c r="AG155" s="18" t="inlineStr"/>
      <c r="AH155" s="18" t="inlineStr"/>
      <c r="AI155" s="18" t="inlineStr"/>
      <c r="AJ155" s="18" t="inlineStr">
        <is>
          <t>Cobblemon 동일</t>
        </is>
      </c>
      <c r="AK155" s="18" t="inlineStr">
        <is>
          <t>사용</t>
        </is>
      </c>
      <c r="AL155" s="18" t="inlineStr">
        <is>
          <t>COBBLEVERSE 1.7.42 / DP v31</t>
        </is>
      </c>
      <c r="AM155" s="18" t="inlineStr">
        <is>
          <t>data/cobblemon/spawn_pool_world/0048_venonat.json</t>
        </is>
      </c>
      <c r="AN155" s="18" t="inlineStr">
        <is>
          <t>venonat-1</t>
        </is>
      </c>
      <c r="AO155" s="18" t="inlineStr">
        <is>
          <t>pokemon</t>
        </is>
      </c>
      <c r="AP155" s="18" t="inlineStr">
        <is>
          <t>natural</t>
        </is>
      </c>
      <c r="AQ155" s="18" t="inlineStr">
        <is>
          <t>{"biomes":["#cobblemon:is_spooky","#cobblemon:is_swamp"],"maxSkyLight":15,"minSkyLight":8,"timeRange":"night"}</t>
        </is>
      </c>
      <c r="AR155" s="18" t="inlineStr"/>
      <c r="AS155" s="18" t="inlineStr"/>
      <c r="AT155" s="19" t="inlineStr"/>
    </row>
    <row r="156" ht="32" customHeight="1">
      <c r="A156" s="18" t="inlineStr">
        <is>
          <t>0049_venomoth.json::venomoth-1::001</t>
        </is>
      </c>
      <c r="B156" s="19" t="inlineStr">
        <is>
          <t>사용</t>
        </is>
      </c>
      <c r="C156" s="18">
        <f>IF(OR(B156&lt;&gt;AK156,M156&lt;&gt;L156,O156&lt;&gt;"",Q156&lt;&gt;"",V156&lt;&gt;1,Y156&lt;&gt;"",AT156&lt;&gt;""),"수정","원본")</f>
        <v/>
      </c>
      <c r="D156" s="18" t="n">
        <v>49</v>
      </c>
      <c r="E156" s="18" t="inlineStr">
        <is>
          <t>도나리</t>
        </is>
      </c>
      <c r="F156" s="18" t="inlineStr">
        <is>
          <t>venomoth</t>
        </is>
      </c>
      <c r="G156" s="18" t="inlineStr">
        <is>
          <t>venomoth</t>
        </is>
      </c>
      <c r="H156" s="18" t="inlineStr"/>
      <c r="I156" s="18" t="n">
        <v>1</v>
      </c>
      <c r="J156" s="18" t="n"/>
      <c r="K156" s="18" t="n">
        <v>1</v>
      </c>
      <c r="L156" s="18" t="inlineStr">
        <is>
          <t>cobbleventure:generation_1</t>
        </is>
      </c>
      <c r="M156" s="19" t="inlineStr">
        <is>
          <t>cobbleventure:generation_1</t>
        </is>
      </c>
      <c r="N156" s="18" t="inlineStr">
        <is>
          <t>region_02</t>
        </is>
      </c>
      <c r="O156" s="19" t="inlineStr"/>
      <c r="P156" s="18" t="inlineStr">
        <is>
          <t>#cobblemon:is_spooky; #cobblemon:is_swamp</t>
        </is>
      </c>
      <c r="Q156" s="19" t="inlineStr"/>
      <c r="R156" s="18">
        <f>IF(Q156="",P156,Q156)</f>
        <v/>
      </c>
      <c r="S156" s="18" t="inlineStr"/>
      <c r="T156" s="18" t="inlineStr">
        <is>
          <t>common</t>
        </is>
      </c>
      <c r="U156" s="20" t="n">
        <v>0.6</v>
      </c>
      <c r="V156" s="21" t="n">
        <v>1</v>
      </c>
      <c r="W156" s="20">
        <f>IF(OR(U156="",V156=""),U156,U156*V156)</f>
        <v/>
      </c>
      <c r="X156" s="18" t="inlineStr">
        <is>
          <t>31-45</t>
        </is>
      </c>
      <c r="Y156" s="19" t="inlineStr"/>
      <c r="Z156" s="18">
        <f>IF(Y156="",X156,Y156)</f>
        <v/>
      </c>
      <c r="AA156" s="18" t="inlineStr">
        <is>
          <t>grounded</t>
        </is>
      </c>
      <c r="AB156" s="18" t="inlineStr">
        <is>
          <t>night</t>
        </is>
      </c>
      <c r="AC156" s="18" t="inlineStr">
        <is>
          <t>비=False</t>
        </is>
      </c>
      <c r="AD156" s="18" t="inlineStr"/>
      <c r="AE156" s="18" t="inlineStr">
        <is>
          <t>sky 8-15</t>
        </is>
      </c>
      <c r="AF156" s="18" t="inlineStr"/>
      <c r="AG156" s="18" t="inlineStr"/>
      <c r="AH156" s="18" t="inlineStr"/>
      <c r="AI156" s="18" t="inlineStr"/>
      <c r="AJ156" s="18" t="inlineStr">
        <is>
          <t>Cobblemon 동일</t>
        </is>
      </c>
      <c r="AK156" s="18" t="inlineStr">
        <is>
          <t>사용</t>
        </is>
      </c>
      <c r="AL156" s="18" t="inlineStr">
        <is>
          <t>COBBLEVERSE 1.7.42 / DP v31</t>
        </is>
      </c>
      <c r="AM156" s="18" t="inlineStr">
        <is>
          <t>data/cobblemon/spawn_pool_world/0049_venomoth.json</t>
        </is>
      </c>
      <c r="AN156" s="18" t="inlineStr">
        <is>
          <t>venomoth-1</t>
        </is>
      </c>
      <c r="AO156" s="18" t="inlineStr">
        <is>
          <t>pokemon</t>
        </is>
      </c>
      <c r="AP156" s="18" t="inlineStr">
        <is>
          <t>natural</t>
        </is>
      </c>
      <c r="AQ156" s="18" t="inlineStr">
        <is>
          <t>{"biomes":["#cobblemon:is_spooky","#cobblemon:is_swamp"],"isRaining":false,"maxSkyLight":15,"minSkyLight":8,"timeRange":"night"}</t>
        </is>
      </c>
      <c r="AR156" s="18" t="inlineStr"/>
      <c r="AS156" s="18" t="inlineStr"/>
      <c r="AT156" s="19" t="inlineStr"/>
    </row>
    <row r="157" ht="32" customHeight="1">
      <c r="A157" s="18" t="inlineStr">
        <is>
          <t>0050_diglett.json::diglett-1::001</t>
        </is>
      </c>
      <c r="B157" s="19" t="inlineStr">
        <is>
          <t>사용</t>
        </is>
      </c>
      <c r="C157" s="18">
        <f>IF(OR(B157&lt;&gt;AK157,M157&lt;&gt;L157,O157&lt;&gt;"",Q157&lt;&gt;"",V157&lt;&gt;1,Y157&lt;&gt;"",AT157&lt;&gt;""),"수정","원본")</f>
        <v/>
      </c>
      <c r="D157" s="18" t="n">
        <v>50</v>
      </c>
      <c r="E157" s="18" t="inlineStr">
        <is>
          <t>디그다</t>
        </is>
      </c>
      <c r="F157" s="18" t="inlineStr">
        <is>
          <t>diglett</t>
        </is>
      </c>
      <c r="G157" s="18" t="inlineStr">
        <is>
          <t>diglett</t>
        </is>
      </c>
      <c r="H157" s="18" t="inlineStr"/>
      <c r="I157" s="18" t="n">
        <v>1</v>
      </c>
      <c r="J157" s="18" t="n"/>
      <c r="K157" s="18" t="n">
        <v>1</v>
      </c>
      <c r="L157" s="18" t="inlineStr">
        <is>
          <t>cobbleventure:generation_1</t>
        </is>
      </c>
      <c r="M157" s="19" t="inlineStr">
        <is>
          <t>cobbleventure:generation_1</t>
        </is>
      </c>
      <c r="N157" s="18" t="inlineStr">
        <is>
          <t>region_01; region_02</t>
        </is>
      </c>
      <c r="O157" s="19" t="inlineStr"/>
      <c r="P157" s="18" t="inlineStr">
        <is>
          <t>#cobblemon:is_overworld</t>
        </is>
      </c>
      <c r="Q157" s="19" t="inlineStr"/>
      <c r="R157" s="18">
        <f>IF(Q157="",P157,Q157)</f>
        <v/>
      </c>
      <c r="S157" s="18" t="inlineStr">
        <is>
          <t>#cobblemon:is_deep_dark</t>
        </is>
      </c>
      <c r="T157" s="18" t="inlineStr">
        <is>
          <t>common</t>
        </is>
      </c>
      <c r="U157" s="20" t="n">
        <v>9</v>
      </c>
      <c r="V157" s="21" t="n">
        <v>1</v>
      </c>
      <c r="W157" s="20">
        <f>IF(OR(U157="",V157=""),U157,U157*V157)</f>
        <v/>
      </c>
      <c r="X157" s="18" t="inlineStr">
        <is>
          <t>2-27</t>
        </is>
      </c>
      <c r="Y157" s="19" t="inlineStr"/>
      <c r="Z157" s="18">
        <f>IF(Y157="",X157,Y157)</f>
        <v/>
      </c>
      <c r="AA157" s="18" t="inlineStr">
        <is>
          <t>grounded</t>
        </is>
      </c>
      <c r="AB157" s="18" t="inlineStr"/>
      <c r="AC157" s="18" t="inlineStr"/>
      <c r="AD157" s="18" t="inlineStr">
        <is>
          <t>minY=0</t>
        </is>
      </c>
      <c r="AE157" s="18" t="inlineStr">
        <is>
          <t>sky 0-7</t>
        </is>
      </c>
      <c r="AF157" s="18" t="inlineStr"/>
      <c r="AG157" s="18" t="inlineStr"/>
      <c r="AH157" s="18" t="inlineStr"/>
      <c r="AI157" s="18" t="inlineStr"/>
      <c r="AJ157" s="18" t="inlineStr">
        <is>
          <t>Cobblemon 동일</t>
        </is>
      </c>
      <c r="AK157" s="18" t="inlineStr">
        <is>
          <t>사용</t>
        </is>
      </c>
      <c r="AL157" s="18" t="inlineStr">
        <is>
          <t>COBBLEVERSE 1.7.42 / DP v31</t>
        </is>
      </c>
      <c r="AM157" s="18" t="inlineStr">
        <is>
          <t>data/cobblemon/spawn_pool_world/0050_diglett.json</t>
        </is>
      </c>
      <c r="AN157" s="18" t="inlineStr">
        <is>
          <t>diglett-1</t>
        </is>
      </c>
      <c r="AO157" s="18" t="inlineStr">
        <is>
          <t>pokemon</t>
        </is>
      </c>
      <c r="AP157" s="18" t="inlineStr">
        <is>
          <t>natural</t>
        </is>
      </c>
      <c r="AQ157" s="18" t="inlineStr">
        <is>
          <t>{"biomes":["#cobblemon:is_overworld"],"maxSkyLight":7,"minSkyLight":0,"minY":0}</t>
        </is>
      </c>
      <c r="AR157" s="18" t="inlineStr">
        <is>
          <t>{"biomes":["#cobblemon:is_deep_dark"]}</t>
        </is>
      </c>
      <c r="AS157" s="18" t="inlineStr"/>
      <c r="AT157" s="19" t="inlineStr"/>
    </row>
    <row r="158" ht="32" customHeight="1">
      <c r="A158" s="18" t="inlineStr">
        <is>
          <t>0050_diglett.json::diglett-alolan-2::002</t>
        </is>
      </c>
      <c r="B158" s="19" t="inlineStr">
        <is>
          <t>사용</t>
        </is>
      </c>
      <c r="C158" s="18">
        <f>IF(OR(B158&lt;&gt;AK158,M158&lt;&gt;L158,O158&lt;&gt;"",Q158&lt;&gt;"",V158&lt;&gt;1,Y158&lt;&gt;"",AT158&lt;&gt;""),"수정","원본")</f>
        <v/>
      </c>
      <c r="D158" s="18" t="n">
        <v>50</v>
      </c>
      <c r="E158" s="18" t="inlineStr">
        <is>
          <t>디그다</t>
        </is>
      </c>
      <c r="F158" s="18" t="inlineStr">
        <is>
          <t>diglett</t>
        </is>
      </c>
      <c r="G158" s="18" t="inlineStr">
        <is>
          <t>diglett alolan</t>
        </is>
      </c>
      <c r="H158" s="18" t="inlineStr">
        <is>
          <t>alolan</t>
        </is>
      </c>
      <c r="I158" s="18" t="n">
        <v>1</v>
      </c>
      <c r="J158" s="18" t="n">
        <v>7</v>
      </c>
      <c r="K158" s="18" t="n">
        <v>7</v>
      </c>
      <c r="L158" s="18" t="inlineStr">
        <is>
          <t>cobbleventure:generation_7</t>
        </is>
      </c>
      <c r="M158" s="19" t="inlineStr">
        <is>
          <t>cobbleventure:generation_7</t>
        </is>
      </c>
      <c r="N158" s="18" t="inlineStr">
        <is>
          <t>region_01; region_02</t>
        </is>
      </c>
      <c r="O158" s="19" t="inlineStr"/>
      <c r="P158" s="18" t="inlineStr">
        <is>
          <t>#cobblemon:is_overworld</t>
        </is>
      </c>
      <c r="Q158" s="19" t="inlineStr"/>
      <c r="R158" s="18">
        <f>IF(Q158="",P158,Q158)</f>
        <v/>
      </c>
      <c r="S158" s="18" t="inlineStr">
        <is>
          <t>#cobblemon:is_deep_dark</t>
        </is>
      </c>
      <c r="T158" s="18" t="inlineStr">
        <is>
          <t>common</t>
        </is>
      </c>
      <c r="U158" s="20" t="n">
        <v>9</v>
      </c>
      <c r="V158" s="21" t="n">
        <v>1</v>
      </c>
      <c r="W158" s="20">
        <f>IF(OR(U158="",V158=""),U158,U158*V158)</f>
        <v/>
      </c>
      <c r="X158" s="18" t="inlineStr">
        <is>
          <t>2-27</t>
        </is>
      </c>
      <c r="Y158" s="19" t="inlineStr"/>
      <c r="Z158" s="18">
        <f>IF(Y158="",X158,Y158)</f>
        <v/>
      </c>
      <c r="AA158" s="18" t="inlineStr">
        <is>
          <t>grounded</t>
        </is>
      </c>
      <c r="AB158" s="18" t="inlineStr"/>
      <c r="AC158" s="18" t="inlineStr"/>
      <c r="AD158" s="18" t="inlineStr">
        <is>
          <t>maxY=0</t>
        </is>
      </c>
      <c r="AE158" s="18" t="inlineStr">
        <is>
          <t>sky 0-7</t>
        </is>
      </c>
      <c r="AF158" s="18" t="inlineStr"/>
      <c r="AG158" s="18" t="inlineStr"/>
      <c r="AH158" s="18" t="inlineStr"/>
      <c r="AI158" s="18" t="inlineStr"/>
      <c r="AJ158" s="18" t="inlineStr">
        <is>
          <t>Cobblemon 동일</t>
        </is>
      </c>
      <c r="AK158" s="18" t="inlineStr">
        <is>
          <t>사용</t>
        </is>
      </c>
      <c r="AL158" s="18" t="inlineStr">
        <is>
          <t>COBBLEVERSE 1.7.42 / DP v31</t>
        </is>
      </c>
      <c r="AM158" s="18" t="inlineStr">
        <is>
          <t>data/cobblemon/spawn_pool_world/0050_diglett.json</t>
        </is>
      </c>
      <c r="AN158" s="18" t="inlineStr">
        <is>
          <t>diglett-alolan-2</t>
        </is>
      </c>
      <c r="AO158" s="18" t="inlineStr">
        <is>
          <t>pokemon</t>
        </is>
      </c>
      <c r="AP158" s="18" t="inlineStr">
        <is>
          <t>natural</t>
        </is>
      </c>
      <c r="AQ158" s="18" t="inlineStr">
        <is>
          <t>{"biomes":["#cobblemon:is_overworld"],"maxSkyLight":7,"maxY":0,"minSkyLight":0}</t>
        </is>
      </c>
      <c r="AR158" s="18" t="inlineStr">
        <is>
          <t>{"biomes":["#cobblemon:is_deep_dark"]}</t>
        </is>
      </c>
      <c r="AS158" s="18" t="inlineStr"/>
      <c r="AT158" s="19" t="inlineStr"/>
    </row>
    <row r="159" ht="32" customHeight="1">
      <c r="A159" s="18" t="inlineStr">
        <is>
          <t>0051_dugtrio.json::dugtrio-1::001</t>
        </is>
      </c>
      <c r="B159" s="19" t="inlineStr">
        <is>
          <t>사용</t>
        </is>
      </c>
      <c r="C159" s="18">
        <f>IF(OR(B159&lt;&gt;AK159,M159&lt;&gt;L159,O159&lt;&gt;"",Q159&lt;&gt;"",V159&lt;&gt;1,Y159&lt;&gt;"",AT159&lt;&gt;""),"수정","원본")</f>
        <v/>
      </c>
      <c r="D159" s="18" t="n">
        <v>51</v>
      </c>
      <c r="E159" s="18" t="inlineStr">
        <is>
          <t>닥트리오</t>
        </is>
      </c>
      <c r="F159" s="18" t="inlineStr">
        <is>
          <t>dugtrio</t>
        </is>
      </c>
      <c r="G159" s="18" t="inlineStr">
        <is>
          <t>dugtrio</t>
        </is>
      </c>
      <c r="H159" s="18" t="inlineStr"/>
      <c r="I159" s="18" t="n">
        <v>1</v>
      </c>
      <c r="J159" s="18" t="n"/>
      <c r="K159" s="18" t="n">
        <v>1</v>
      </c>
      <c r="L159" s="18" t="inlineStr">
        <is>
          <t>cobbleventure:generation_1</t>
        </is>
      </c>
      <c r="M159" s="19" t="inlineStr">
        <is>
          <t>cobbleventure:generation_1</t>
        </is>
      </c>
      <c r="N159" s="18" t="inlineStr">
        <is>
          <t>region_01; region_02</t>
        </is>
      </c>
      <c r="O159" s="19" t="inlineStr"/>
      <c r="P159" s="18" t="inlineStr">
        <is>
          <t>#cobblemon:is_overworld</t>
        </is>
      </c>
      <c r="Q159" s="19" t="inlineStr"/>
      <c r="R159" s="18">
        <f>IF(Q159="",P159,Q159)</f>
        <v/>
      </c>
      <c r="S159" s="18" t="inlineStr">
        <is>
          <t>#cobblemon:is_deep_dark</t>
        </is>
      </c>
      <c r="T159" s="18" t="inlineStr">
        <is>
          <t>common</t>
        </is>
      </c>
      <c r="U159" s="20" t="n">
        <v>1</v>
      </c>
      <c r="V159" s="21" t="n">
        <v>1</v>
      </c>
      <c r="W159" s="20">
        <f>IF(OR(U159="",V159=""),U159,U159*V159)</f>
        <v/>
      </c>
      <c r="X159" s="18" t="inlineStr">
        <is>
          <t>26-43</t>
        </is>
      </c>
      <c r="Y159" s="19" t="inlineStr"/>
      <c r="Z159" s="18">
        <f>IF(Y159="",X159,Y159)</f>
        <v/>
      </c>
      <c r="AA159" s="18" t="inlineStr">
        <is>
          <t>grounded</t>
        </is>
      </c>
      <c r="AB159" s="18" t="inlineStr"/>
      <c r="AC159" s="18" t="inlineStr"/>
      <c r="AD159" s="18" t="inlineStr">
        <is>
          <t>minY=0</t>
        </is>
      </c>
      <c r="AE159" s="18" t="inlineStr">
        <is>
          <t>sky 0-7</t>
        </is>
      </c>
      <c r="AF159" s="18" t="inlineStr"/>
      <c r="AG159" s="18" t="inlineStr"/>
      <c r="AH159" s="18" t="inlineStr"/>
      <c r="AI159" s="18" t="inlineStr"/>
      <c r="AJ159" s="18" t="inlineStr">
        <is>
          <t>Cobblemon 동일</t>
        </is>
      </c>
      <c r="AK159" s="18" t="inlineStr">
        <is>
          <t>사용</t>
        </is>
      </c>
      <c r="AL159" s="18" t="inlineStr">
        <is>
          <t>COBBLEVERSE 1.7.42 / DP v31</t>
        </is>
      </c>
      <c r="AM159" s="18" t="inlineStr">
        <is>
          <t>data/cobblemon/spawn_pool_world/0051_dugtrio.json</t>
        </is>
      </c>
      <c r="AN159" s="18" t="inlineStr">
        <is>
          <t>dugtrio-1</t>
        </is>
      </c>
      <c r="AO159" s="18" t="inlineStr">
        <is>
          <t>pokemon</t>
        </is>
      </c>
      <c r="AP159" s="18" t="inlineStr">
        <is>
          <t>natural</t>
        </is>
      </c>
      <c r="AQ159" s="18" t="inlineStr">
        <is>
          <t>{"biomes":["#cobblemon:is_overworld"],"maxSkyLight":7,"minSkyLight":0,"minY":0}</t>
        </is>
      </c>
      <c r="AR159" s="18" t="inlineStr">
        <is>
          <t>{"biomes":["#cobblemon:is_deep_dark"]}</t>
        </is>
      </c>
      <c r="AS159" s="18" t="inlineStr"/>
      <c r="AT159" s="19" t="inlineStr"/>
    </row>
    <row r="160" ht="32" customHeight="1">
      <c r="A160" s="18" t="inlineStr">
        <is>
          <t>0051_dugtrio.json::dugtrio-alolan-2::002</t>
        </is>
      </c>
      <c r="B160" s="19" t="inlineStr">
        <is>
          <t>사용</t>
        </is>
      </c>
      <c r="C160" s="18">
        <f>IF(OR(B160&lt;&gt;AK160,M160&lt;&gt;L160,O160&lt;&gt;"",Q160&lt;&gt;"",V160&lt;&gt;1,Y160&lt;&gt;"",AT160&lt;&gt;""),"수정","원본")</f>
        <v/>
      </c>
      <c r="D160" s="18" t="n">
        <v>51</v>
      </c>
      <c r="E160" s="18" t="inlineStr">
        <is>
          <t>닥트리오</t>
        </is>
      </c>
      <c r="F160" s="18" t="inlineStr">
        <is>
          <t>dugtrio</t>
        </is>
      </c>
      <c r="G160" s="18" t="inlineStr">
        <is>
          <t>dugtrio alolan</t>
        </is>
      </c>
      <c r="H160" s="18" t="inlineStr">
        <is>
          <t>alolan</t>
        </is>
      </c>
      <c r="I160" s="18" t="n">
        <v>1</v>
      </c>
      <c r="J160" s="18" t="n">
        <v>7</v>
      </c>
      <c r="K160" s="18" t="n">
        <v>7</v>
      </c>
      <c r="L160" s="18" t="inlineStr">
        <is>
          <t>cobbleventure:generation_7</t>
        </is>
      </c>
      <c r="M160" s="19" t="inlineStr">
        <is>
          <t>cobbleventure:generation_7</t>
        </is>
      </c>
      <c r="N160" s="18" t="inlineStr">
        <is>
          <t>region_01; region_02</t>
        </is>
      </c>
      <c r="O160" s="19" t="inlineStr"/>
      <c r="P160" s="18" t="inlineStr">
        <is>
          <t>#cobblemon:is_overworld</t>
        </is>
      </c>
      <c r="Q160" s="19" t="inlineStr"/>
      <c r="R160" s="18">
        <f>IF(Q160="",P160,Q160)</f>
        <v/>
      </c>
      <c r="S160" s="18" t="inlineStr">
        <is>
          <t>#cobblemon:is_deep_dark</t>
        </is>
      </c>
      <c r="T160" s="18" t="inlineStr">
        <is>
          <t>common</t>
        </is>
      </c>
      <c r="U160" s="20" t="n">
        <v>1</v>
      </c>
      <c r="V160" s="21" t="n">
        <v>1</v>
      </c>
      <c r="W160" s="20">
        <f>IF(OR(U160="",V160=""),U160,U160*V160)</f>
        <v/>
      </c>
      <c r="X160" s="18" t="inlineStr">
        <is>
          <t>26-43</t>
        </is>
      </c>
      <c r="Y160" s="19" t="inlineStr"/>
      <c r="Z160" s="18">
        <f>IF(Y160="",X160,Y160)</f>
        <v/>
      </c>
      <c r="AA160" s="18" t="inlineStr">
        <is>
          <t>grounded</t>
        </is>
      </c>
      <c r="AB160" s="18" t="inlineStr"/>
      <c r="AC160" s="18" t="inlineStr"/>
      <c r="AD160" s="18" t="inlineStr">
        <is>
          <t>maxY=0</t>
        </is>
      </c>
      <c r="AE160" s="18" t="inlineStr">
        <is>
          <t>sky 0-7</t>
        </is>
      </c>
      <c r="AF160" s="18" t="inlineStr"/>
      <c r="AG160" s="18" t="inlineStr"/>
      <c r="AH160" s="18" t="inlineStr"/>
      <c r="AI160" s="18" t="inlineStr"/>
      <c r="AJ160" s="18" t="inlineStr">
        <is>
          <t>Cobblemon 동일</t>
        </is>
      </c>
      <c r="AK160" s="18" t="inlineStr">
        <is>
          <t>사용</t>
        </is>
      </c>
      <c r="AL160" s="18" t="inlineStr">
        <is>
          <t>COBBLEVERSE 1.7.42 / DP v31</t>
        </is>
      </c>
      <c r="AM160" s="18" t="inlineStr">
        <is>
          <t>data/cobblemon/spawn_pool_world/0051_dugtrio.json</t>
        </is>
      </c>
      <c r="AN160" s="18" t="inlineStr">
        <is>
          <t>dugtrio-alolan-2</t>
        </is>
      </c>
      <c r="AO160" s="18" t="inlineStr">
        <is>
          <t>pokemon</t>
        </is>
      </c>
      <c r="AP160" s="18" t="inlineStr">
        <is>
          <t>natural</t>
        </is>
      </c>
      <c r="AQ160" s="18" t="inlineStr">
        <is>
          <t>{"biomes":["#cobblemon:is_overworld"],"maxSkyLight":7,"maxY":0,"minSkyLight":0}</t>
        </is>
      </c>
      <c r="AR160" s="18" t="inlineStr">
        <is>
          <t>{"biomes":["#cobblemon:is_deep_dark"]}</t>
        </is>
      </c>
      <c r="AS160" s="18" t="inlineStr"/>
      <c r="AT160" s="19" t="inlineStr"/>
    </row>
    <row r="161" ht="32" customHeight="1">
      <c r="A161" s="18" t="inlineStr">
        <is>
          <t>0052_meowth.json::meowth-1::001</t>
        </is>
      </c>
      <c r="B161" s="19" t="inlineStr">
        <is>
          <t>사용</t>
        </is>
      </c>
      <c r="C161" s="18">
        <f>IF(OR(B161&lt;&gt;AK161,M161&lt;&gt;L161,O161&lt;&gt;"",Q161&lt;&gt;"",V161&lt;&gt;1,Y161&lt;&gt;"",AT161&lt;&gt;""),"수정","원본")</f>
        <v/>
      </c>
      <c r="D161" s="18" t="n">
        <v>52</v>
      </c>
      <c r="E161" s="18" t="inlineStr">
        <is>
          <t>나옹</t>
        </is>
      </c>
      <c r="F161" s="18" t="inlineStr">
        <is>
          <t>meowth</t>
        </is>
      </c>
      <c r="G161" s="18" t="inlineStr">
        <is>
          <t>meowth</t>
        </is>
      </c>
      <c r="H161" s="18" t="inlineStr"/>
      <c r="I161" s="18" t="n">
        <v>1</v>
      </c>
      <c r="J161" s="18" t="n"/>
      <c r="K161" s="18" t="n">
        <v>1</v>
      </c>
      <c r="L161" s="18" t="inlineStr">
        <is>
          <t>cobbleventure:generation_1</t>
        </is>
      </c>
      <c r="M161" s="19" t="inlineStr">
        <is>
          <t>cobbleventure:generation_1</t>
        </is>
      </c>
      <c r="N161" s="18" t="inlineStr">
        <is>
          <t>region_01</t>
        </is>
      </c>
      <c r="O161" s="19" t="inlineStr"/>
      <c r="P161" s="18" t="inlineStr">
        <is>
          <t>#cobblemon:is_overworld</t>
        </is>
      </c>
      <c r="Q161" s="19" t="inlineStr"/>
      <c r="R161" s="18">
        <f>IF(Q161="",P161,Q161)</f>
        <v/>
      </c>
      <c r="S161" s="18" t="inlineStr">
        <is>
          <t>#cobblemon:is_arid; #cobblemon:is_freezing; #cobblemon:is_taiga</t>
        </is>
      </c>
      <c r="T161" s="18" t="inlineStr">
        <is>
          <t>common</t>
        </is>
      </c>
      <c r="U161" s="20" t="n">
        <v>9</v>
      </c>
      <c r="V161" s="21" t="n">
        <v>1</v>
      </c>
      <c r="W161" s="20">
        <f>IF(OR(U161="",V161=""),U161,U161*V161)</f>
        <v/>
      </c>
      <c r="X161" s="18" t="inlineStr">
        <is>
          <t>4-29</t>
        </is>
      </c>
      <c r="Y161" s="19" t="inlineStr"/>
      <c r="Z161" s="18">
        <f>IF(Y161="",X161,Y161)</f>
        <v/>
      </c>
      <c r="AA161" s="18" t="inlineStr">
        <is>
          <t>grounded</t>
        </is>
      </c>
      <c r="AB161" s="18" t="inlineStr"/>
      <c r="AC161" s="18" t="inlineStr">
        <is>
          <t>비=False</t>
        </is>
      </c>
      <c r="AD161" s="18" t="inlineStr"/>
      <c r="AE161" s="18" t="inlineStr">
        <is>
          <t>sky 8-15</t>
        </is>
      </c>
      <c r="AF161" s="18" t="inlineStr"/>
      <c r="AG161" s="18" t="inlineStr"/>
      <c r="AH161" s="18" t="inlineStr"/>
      <c r="AI161" s="18" t="inlineStr"/>
      <c r="AJ161" s="18" t="inlineStr">
        <is>
          <t>COBBLEVERSE 수정</t>
        </is>
      </c>
      <c r="AK161" s="18" t="inlineStr">
        <is>
          <t>사용</t>
        </is>
      </c>
      <c r="AL161" s="18" t="inlineStr">
        <is>
          <t>COBBLEVERSE 1.7.42 / DP v31</t>
        </is>
      </c>
      <c r="AM161" s="18" t="inlineStr">
        <is>
          <t>data/cobblemon/spawn_pool_world/0052_meowth.json</t>
        </is>
      </c>
      <c r="AN161" s="18" t="inlineStr">
        <is>
          <t>meowth-1</t>
        </is>
      </c>
      <c r="AO161" s="18" t="inlineStr">
        <is>
          <t>pokemon</t>
        </is>
      </c>
      <c r="AP161" s="18" t="inlineStr">
        <is>
          <t>natural</t>
        </is>
      </c>
      <c r="AQ161" s="18" t="inlineStr">
        <is>
          <t>{"biomes":["#cobblemon:is_overworld"],"isRaining":false,"maxSkyLight":15,"minSkyLight":8}</t>
        </is>
      </c>
      <c r="AR161" s="18" t="inlineStr">
        <is>
          <t>{"biomes":["#cobblemon:is_arid","#cobblemon:is_freezing","#cobblemon:is_taiga"]}</t>
        </is>
      </c>
      <c r="AS161" s="18" t="inlineStr">
        <is>
          <t>{"weightMultiplier":{"condition":{"timeRange":"night"},"multiplier":1.5}}</t>
        </is>
      </c>
      <c r="AT161" s="19" t="inlineStr"/>
    </row>
    <row r="162" ht="32" customHeight="1">
      <c r="A162" s="18" t="inlineStr">
        <is>
          <t>0052_meowth.json::meowth-2::002</t>
        </is>
      </c>
      <c r="B162" s="19" t="inlineStr">
        <is>
          <t>사용</t>
        </is>
      </c>
      <c r="C162" s="18">
        <f>IF(OR(B162&lt;&gt;AK162,M162&lt;&gt;L162,O162&lt;&gt;"",Q162&lt;&gt;"",V162&lt;&gt;1,Y162&lt;&gt;"",AT162&lt;&gt;""),"수정","원본")</f>
        <v/>
      </c>
      <c r="D162" s="18" t="n">
        <v>52</v>
      </c>
      <c r="E162" s="18" t="inlineStr">
        <is>
          <t>나옹</t>
        </is>
      </c>
      <c r="F162" s="18" t="inlineStr">
        <is>
          <t>meowth</t>
        </is>
      </c>
      <c r="G162" s="18" t="inlineStr">
        <is>
          <t>meowth</t>
        </is>
      </c>
      <c r="H162" s="18" t="inlineStr"/>
      <c r="I162" s="18" t="n">
        <v>1</v>
      </c>
      <c r="J162" s="18" t="n"/>
      <c r="K162" s="18" t="n">
        <v>1</v>
      </c>
      <c r="L162" s="18" t="inlineStr">
        <is>
          <t>cobbleventure:generation_1</t>
        </is>
      </c>
      <c r="M162" s="19" t="inlineStr">
        <is>
          <t>cobbleventure:generation_1</t>
        </is>
      </c>
      <c r="N162" s="18" t="inlineStr">
        <is>
          <t>region_01</t>
        </is>
      </c>
      <c r="O162" s="19" t="inlineStr"/>
      <c r="P162" s="18" t="inlineStr">
        <is>
          <t>#cobblemon:is_overworld</t>
        </is>
      </c>
      <c r="Q162" s="19" t="inlineStr"/>
      <c r="R162" s="18">
        <f>IF(Q162="",P162,Q162)</f>
        <v/>
      </c>
      <c r="S162" s="18" t="inlineStr">
        <is>
          <t>#cobblemon:is_arid; #cobblemon:is_freezing; #cobblemon:is_taiga</t>
        </is>
      </c>
      <c r="T162" s="18" t="inlineStr">
        <is>
          <t>common</t>
        </is>
      </c>
      <c r="U162" s="20" t="n">
        <v>9</v>
      </c>
      <c r="V162" s="21" t="n">
        <v>1</v>
      </c>
      <c r="W162" s="20">
        <f>IF(OR(U162="",V162=""),U162,U162*V162)</f>
        <v/>
      </c>
      <c r="X162" s="18" t="inlineStr">
        <is>
          <t>4-29</t>
        </is>
      </c>
      <c r="Y162" s="19" t="inlineStr"/>
      <c r="Z162" s="18">
        <f>IF(Y162="",X162,Y162)</f>
        <v/>
      </c>
      <c r="AA162" s="18" t="inlineStr">
        <is>
          <t>grounded</t>
        </is>
      </c>
      <c r="AB162" s="18" t="inlineStr"/>
      <c r="AC162" s="18" t="inlineStr">
        <is>
          <t>비=False</t>
        </is>
      </c>
      <c r="AD162" s="18" t="inlineStr"/>
      <c r="AE162" s="18" t="inlineStr">
        <is>
          <t>sky 8-15</t>
        </is>
      </c>
      <c r="AF162" s="18" t="inlineStr"/>
      <c r="AG162" s="18" t="inlineStr">
        <is>
          <t>#minecraft:village</t>
        </is>
      </c>
      <c r="AH162" s="18" t="inlineStr"/>
      <c r="AI162" s="18" t="inlineStr"/>
      <c r="AJ162" s="18" t="inlineStr">
        <is>
          <t>COBBLEVERSE 수정</t>
        </is>
      </c>
      <c r="AK162" s="18" t="inlineStr">
        <is>
          <t>사용</t>
        </is>
      </c>
      <c r="AL162" s="18" t="inlineStr">
        <is>
          <t>COBBLEVERSE 1.7.42 / DP v31</t>
        </is>
      </c>
      <c r="AM162" s="18" t="inlineStr">
        <is>
          <t>data/cobblemon/spawn_pool_world/0052_meowth.json</t>
        </is>
      </c>
      <c r="AN162" s="18" t="inlineStr">
        <is>
          <t>meowth-2</t>
        </is>
      </c>
      <c r="AO162" s="18" t="inlineStr">
        <is>
          <t>pokemon</t>
        </is>
      </c>
      <c r="AP162" s="18" t="inlineStr">
        <is>
          <t>natural</t>
        </is>
      </c>
      <c r="AQ162" s="18" t="inlineStr">
        <is>
          <t>{"biomes":["#cobblemon:is_overworld"],"isRaining":false,"maxSkyLight":15,"minSkyLight":8,"structures":["#minecraft:village"]}</t>
        </is>
      </c>
      <c r="AR162" s="18" t="inlineStr">
        <is>
          <t>{"biomes":["#cobblemon:is_arid","#cobblemon:is_freezing","#cobblemon:is_taiga"]}</t>
        </is>
      </c>
      <c r="AS162" s="18" t="inlineStr">
        <is>
          <t>{"weightMultiplier":{"condition":{"timeRange":"night"},"multiplier":1.5}}</t>
        </is>
      </c>
      <c r="AT162" s="19" t="inlineStr"/>
    </row>
    <row r="163" ht="32" customHeight="1">
      <c r="A163" s="18" t="inlineStr">
        <is>
          <t>0052_meowth.json::meowth-3::003</t>
        </is>
      </c>
      <c r="B163" s="19" t="inlineStr">
        <is>
          <t>사용</t>
        </is>
      </c>
      <c r="C163" s="18">
        <f>IF(OR(B163&lt;&gt;AK163,M163&lt;&gt;L163,O163&lt;&gt;"",Q163&lt;&gt;"",V163&lt;&gt;1,Y163&lt;&gt;"",AT163&lt;&gt;""),"수정","원본")</f>
        <v/>
      </c>
      <c r="D163" s="18" t="n">
        <v>52</v>
      </c>
      <c r="E163" s="18" t="inlineStr">
        <is>
          <t>나옹</t>
        </is>
      </c>
      <c r="F163" s="18" t="inlineStr">
        <is>
          <t>meowth</t>
        </is>
      </c>
      <c r="G163" s="18" t="inlineStr">
        <is>
          <t>meowth</t>
        </is>
      </c>
      <c r="H163" s="18" t="inlineStr"/>
      <c r="I163" s="18" t="n">
        <v>1</v>
      </c>
      <c r="J163" s="18" t="n"/>
      <c r="K163" s="18" t="n">
        <v>1</v>
      </c>
      <c r="L163" s="18" t="inlineStr">
        <is>
          <t>cobbleventure:generation_1</t>
        </is>
      </c>
      <c r="M163" s="19" t="inlineStr">
        <is>
          <t>cobbleventure:generation_1</t>
        </is>
      </c>
      <c r="N163" s="18" t="inlineStr">
        <is>
          <t>region_02</t>
        </is>
      </c>
      <c r="O163" s="19" t="inlineStr"/>
      <c r="P163" s="18" t="inlineStr">
        <is>
          <t>#cobblemon:is_arid</t>
        </is>
      </c>
      <c r="Q163" s="19" t="inlineStr"/>
      <c r="R163" s="18">
        <f>IF(Q163="",P163,Q163)</f>
        <v/>
      </c>
      <c r="S163" s="18" t="inlineStr"/>
      <c r="T163" s="18" t="inlineStr">
        <is>
          <t>common</t>
        </is>
      </c>
      <c r="U163" s="20" t="n">
        <v>9</v>
      </c>
      <c r="V163" s="21" t="n">
        <v>1</v>
      </c>
      <c r="W163" s="20">
        <f>IF(OR(U163="",V163=""),U163,U163*V163)</f>
        <v/>
      </c>
      <c r="X163" s="18" t="inlineStr">
        <is>
          <t>4-29</t>
        </is>
      </c>
      <c r="Y163" s="19" t="inlineStr"/>
      <c r="Z163" s="18">
        <f>IF(Y163="",X163,Y163)</f>
        <v/>
      </c>
      <c r="AA163" s="18" t="inlineStr">
        <is>
          <t>grounded</t>
        </is>
      </c>
      <c r="AB163" s="18" t="inlineStr"/>
      <c r="AC163" s="18" t="inlineStr"/>
      <c r="AD163" s="18" t="inlineStr"/>
      <c r="AE163" s="18" t="inlineStr">
        <is>
          <t>sky 8-15</t>
        </is>
      </c>
      <c r="AF163" s="18" t="inlineStr"/>
      <c r="AG163" s="18" t="inlineStr"/>
      <c r="AH163" s="18" t="inlineStr"/>
      <c r="AI163" s="18" t="inlineStr"/>
      <c r="AJ163" s="18" t="inlineStr">
        <is>
          <t>COBBLEVERSE 수정</t>
        </is>
      </c>
      <c r="AK163" s="18" t="inlineStr">
        <is>
          <t>사용</t>
        </is>
      </c>
      <c r="AL163" s="18" t="inlineStr">
        <is>
          <t>COBBLEVERSE 1.7.42 / DP v31</t>
        </is>
      </c>
      <c r="AM163" s="18" t="inlineStr">
        <is>
          <t>data/cobblemon/spawn_pool_world/0052_meowth.json</t>
        </is>
      </c>
      <c r="AN163" s="18" t="inlineStr">
        <is>
          <t>meowth-3</t>
        </is>
      </c>
      <c r="AO163" s="18" t="inlineStr">
        <is>
          <t>pokemon</t>
        </is>
      </c>
      <c r="AP163" s="18" t="inlineStr">
        <is>
          <t>natural</t>
        </is>
      </c>
      <c r="AQ163" s="18" t="inlineStr">
        <is>
          <t>{"biomes":["#cobblemon:is_arid"],"maxSkyLight":15,"minSkyLight":8}</t>
        </is>
      </c>
      <c r="AR163" s="18" t="inlineStr"/>
      <c r="AS163" s="18" t="inlineStr">
        <is>
          <t>{"weightMultiplier":{"condition":{"timeRange":"night"},"multiplier":1.5}}</t>
        </is>
      </c>
      <c r="AT163" s="19" t="inlineStr"/>
    </row>
    <row r="164" ht="32" customHeight="1">
      <c r="A164" s="18" t="inlineStr">
        <is>
          <t>0052_meowth.json::meowth-4::004</t>
        </is>
      </c>
      <c r="B164" s="19" t="inlineStr">
        <is>
          <t>사용</t>
        </is>
      </c>
      <c r="C164" s="18">
        <f>IF(OR(B164&lt;&gt;AK164,M164&lt;&gt;L164,O164&lt;&gt;"",Q164&lt;&gt;"",V164&lt;&gt;1,Y164&lt;&gt;"",AT164&lt;&gt;""),"수정","원본")</f>
        <v/>
      </c>
      <c r="D164" s="18" t="n">
        <v>52</v>
      </c>
      <c r="E164" s="18" t="inlineStr">
        <is>
          <t>나옹</t>
        </is>
      </c>
      <c r="F164" s="18" t="inlineStr">
        <is>
          <t>meowth</t>
        </is>
      </c>
      <c r="G164" s="18" t="inlineStr">
        <is>
          <t>meowth</t>
        </is>
      </c>
      <c r="H164" s="18" t="inlineStr"/>
      <c r="I164" s="18" t="n">
        <v>1</v>
      </c>
      <c r="J164" s="18" t="n"/>
      <c r="K164" s="18" t="n">
        <v>1</v>
      </c>
      <c r="L164" s="18" t="inlineStr">
        <is>
          <t>cobbleventure:generation_1</t>
        </is>
      </c>
      <c r="M164" s="19" t="inlineStr">
        <is>
          <t>cobbleventure:generation_1</t>
        </is>
      </c>
      <c r="N164" s="18" t="inlineStr">
        <is>
          <t>region_02</t>
        </is>
      </c>
      <c r="O164" s="19" t="inlineStr"/>
      <c r="P164" s="18" t="inlineStr">
        <is>
          <t>#cobblemon:is_arid</t>
        </is>
      </c>
      <c r="Q164" s="19" t="inlineStr"/>
      <c r="R164" s="18">
        <f>IF(Q164="",P164,Q164)</f>
        <v/>
      </c>
      <c r="S164" s="18" t="inlineStr"/>
      <c r="T164" s="18" t="inlineStr">
        <is>
          <t>common</t>
        </is>
      </c>
      <c r="U164" s="20" t="n">
        <v>9</v>
      </c>
      <c r="V164" s="21" t="n">
        <v>1</v>
      </c>
      <c r="W164" s="20">
        <f>IF(OR(U164="",V164=""),U164,U164*V164)</f>
        <v/>
      </c>
      <c r="X164" s="18" t="inlineStr">
        <is>
          <t>4-29</t>
        </is>
      </c>
      <c r="Y164" s="19" t="inlineStr"/>
      <c r="Z164" s="18">
        <f>IF(Y164="",X164,Y164)</f>
        <v/>
      </c>
      <c r="AA164" s="18" t="inlineStr">
        <is>
          <t>grounded</t>
        </is>
      </c>
      <c r="AB164" s="18" t="inlineStr"/>
      <c r="AC164" s="18" t="inlineStr"/>
      <c r="AD164" s="18" t="inlineStr"/>
      <c r="AE164" s="18" t="inlineStr">
        <is>
          <t>sky 8-15</t>
        </is>
      </c>
      <c r="AF164" s="18" t="inlineStr"/>
      <c r="AG164" s="18" t="inlineStr">
        <is>
          <t>#minecraft:village</t>
        </is>
      </c>
      <c r="AH164" s="18" t="inlineStr"/>
      <c r="AI164" s="18" t="inlineStr"/>
      <c r="AJ164" s="18" t="inlineStr">
        <is>
          <t>COBBLEVERSE 수정</t>
        </is>
      </c>
      <c r="AK164" s="18" t="inlineStr">
        <is>
          <t>사용</t>
        </is>
      </c>
      <c r="AL164" s="18" t="inlineStr">
        <is>
          <t>COBBLEVERSE 1.7.42 / DP v31</t>
        </is>
      </c>
      <c r="AM164" s="18" t="inlineStr">
        <is>
          <t>data/cobblemon/spawn_pool_world/0052_meowth.json</t>
        </is>
      </c>
      <c r="AN164" s="18" t="inlineStr">
        <is>
          <t>meowth-4</t>
        </is>
      </c>
      <c r="AO164" s="18" t="inlineStr">
        <is>
          <t>pokemon</t>
        </is>
      </c>
      <c r="AP164" s="18" t="inlineStr">
        <is>
          <t>natural</t>
        </is>
      </c>
      <c r="AQ164" s="18" t="inlineStr">
        <is>
          <t>{"biomes":["#cobblemon:is_arid"],"maxSkyLight":15,"minSkyLight":8,"structures":["#minecraft:village"]}</t>
        </is>
      </c>
      <c r="AR164" s="18" t="inlineStr"/>
      <c r="AS164" s="18" t="inlineStr">
        <is>
          <t>{"weightMultiplier":{"condition":{"timeRange":"night"},"multiplier":1.5}}</t>
        </is>
      </c>
      <c r="AT164" s="19" t="inlineStr"/>
    </row>
    <row r="165" ht="32" customHeight="1">
      <c r="A165" s="18" t="inlineStr">
        <is>
          <t>0052_meowth.json::meowth-alolan-5::005</t>
        </is>
      </c>
      <c r="B165" s="19" t="inlineStr">
        <is>
          <t>사용</t>
        </is>
      </c>
      <c r="C165" s="18">
        <f>IF(OR(B165&lt;&gt;AK165,M165&lt;&gt;L165,O165&lt;&gt;"",Q165&lt;&gt;"",V165&lt;&gt;1,Y165&lt;&gt;"",AT165&lt;&gt;""),"수정","원본")</f>
        <v/>
      </c>
      <c r="D165" s="18" t="n">
        <v>52</v>
      </c>
      <c r="E165" s="18" t="inlineStr">
        <is>
          <t>나옹</t>
        </is>
      </c>
      <c r="F165" s="18" t="inlineStr">
        <is>
          <t>meowth</t>
        </is>
      </c>
      <c r="G165" s="18" t="inlineStr">
        <is>
          <t>meowth alolan</t>
        </is>
      </c>
      <c r="H165" s="18" t="inlineStr">
        <is>
          <t>alolan</t>
        </is>
      </c>
      <c r="I165" s="18" t="n">
        <v>1</v>
      </c>
      <c r="J165" s="18" t="n">
        <v>7</v>
      </c>
      <c r="K165" s="18" t="n">
        <v>7</v>
      </c>
      <c r="L165" s="18" t="inlineStr">
        <is>
          <t>cobbleventure:generation_7</t>
        </is>
      </c>
      <c r="M165" s="19" t="inlineStr">
        <is>
          <t>cobbleventure:generation_7</t>
        </is>
      </c>
      <c r="N165" s="18" t="inlineStr">
        <is>
          <t>region_01</t>
        </is>
      </c>
      <c r="O165" s="19" t="inlineStr"/>
      <c r="P165" s="18" t="inlineStr">
        <is>
          <t>#cobblemon:is_overworld</t>
        </is>
      </c>
      <c r="Q165" s="19" t="inlineStr"/>
      <c r="R165" s="18">
        <f>IF(Q165="",P165,Q165)</f>
        <v/>
      </c>
      <c r="S165" s="18" t="inlineStr">
        <is>
          <t>#cobblemon:is_arid; #cobblemon:is_freezing</t>
        </is>
      </c>
      <c r="T165" s="18" t="inlineStr">
        <is>
          <t>common</t>
        </is>
      </c>
      <c r="U165" s="20" t="n">
        <v>7</v>
      </c>
      <c r="V165" s="21" t="n">
        <v>1</v>
      </c>
      <c r="W165" s="20">
        <f>IF(OR(U165="",V165=""),U165,U165*V165)</f>
        <v/>
      </c>
      <c r="X165" s="18" t="inlineStr">
        <is>
          <t>4-29</t>
        </is>
      </c>
      <c r="Y165" s="19" t="inlineStr"/>
      <c r="Z165" s="18">
        <f>IF(Y165="",X165,Y165)</f>
        <v/>
      </c>
      <c r="AA165" s="18" t="inlineStr">
        <is>
          <t>grounded</t>
        </is>
      </c>
      <c r="AB165" s="18" t="inlineStr"/>
      <c r="AC165" s="18" t="inlineStr">
        <is>
          <t>비=False</t>
        </is>
      </c>
      <c r="AD165" s="18" t="inlineStr"/>
      <c r="AE165" s="18" t="inlineStr">
        <is>
          <t>sky 8-15</t>
        </is>
      </c>
      <c r="AF165" s="18" t="inlineStr"/>
      <c r="AG165" s="18" t="inlineStr"/>
      <c r="AH165" s="18" t="inlineStr"/>
      <c r="AI165" s="18" t="inlineStr"/>
      <c r="AJ165" s="18" t="inlineStr">
        <is>
          <t>COBBLEVERSE 수정</t>
        </is>
      </c>
      <c r="AK165" s="18" t="inlineStr">
        <is>
          <t>사용</t>
        </is>
      </c>
      <c r="AL165" s="18" t="inlineStr">
        <is>
          <t>COBBLEVERSE 1.7.42 / DP v31</t>
        </is>
      </c>
      <c r="AM165" s="18" t="inlineStr">
        <is>
          <t>data/cobblemon/spawn_pool_world/0052_meowth.json</t>
        </is>
      </c>
      <c r="AN165" s="18" t="inlineStr">
        <is>
          <t>meowth-alolan-5</t>
        </is>
      </c>
      <c r="AO165" s="18" t="inlineStr">
        <is>
          <t>pokemon</t>
        </is>
      </c>
      <c r="AP165" s="18" t="inlineStr">
        <is>
          <t>natural; illager_structures</t>
        </is>
      </c>
      <c r="AQ165" s="18" t="inlineStr">
        <is>
          <t>{"biomes":["#cobblemon:is_overworld"],"isRaining":false,"maxSkyLight":15,"minSkyLight":8}</t>
        </is>
      </c>
      <c r="AR165" s="18" t="inlineStr">
        <is>
          <t>{"biomes":["#cobblemon:is_arid","#cobblemon:is_freezing"]}</t>
        </is>
      </c>
      <c r="AS165" s="18" t="inlineStr">
        <is>
          <t>{"weightMultiplier":{"condition":{"timeRange":"night"},"multiplier":1.5}}</t>
        </is>
      </c>
      <c r="AT165" s="19" t="inlineStr"/>
    </row>
    <row r="166" ht="32" customHeight="1">
      <c r="A166" s="18" t="inlineStr">
        <is>
          <t>0052_meowth.json::meowth-alolan-6::006</t>
        </is>
      </c>
      <c r="B166" s="19" t="inlineStr">
        <is>
          <t>사용</t>
        </is>
      </c>
      <c r="C166" s="18">
        <f>IF(OR(B166&lt;&gt;AK166,M166&lt;&gt;L166,O166&lt;&gt;"",Q166&lt;&gt;"",V166&lt;&gt;1,Y166&lt;&gt;"",AT166&lt;&gt;""),"수정","원본")</f>
        <v/>
      </c>
      <c r="D166" s="18" t="n">
        <v>52</v>
      </c>
      <c r="E166" s="18" t="inlineStr">
        <is>
          <t>나옹</t>
        </is>
      </c>
      <c r="F166" s="18" t="inlineStr">
        <is>
          <t>meowth</t>
        </is>
      </c>
      <c r="G166" s="18" t="inlineStr">
        <is>
          <t>meowth alolan</t>
        </is>
      </c>
      <c r="H166" s="18" t="inlineStr">
        <is>
          <t>alolan</t>
        </is>
      </c>
      <c r="I166" s="18" t="n">
        <v>1</v>
      </c>
      <c r="J166" s="18" t="n">
        <v>7</v>
      </c>
      <c r="K166" s="18" t="n">
        <v>7</v>
      </c>
      <c r="L166" s="18" t="inlineStr">
        <is>
          <t>cobbleventure:generation_7</t>
        </is>
      </c>
      <c r="M166" s="19" t="inlineStr">
        <is>
          <t>cobbleventure:generation_7</t>
        </is>
      </c>
      <c r="N166" s="18" t="inlineStr">
        <is>
          <t>region_02</t>
        </is>
      </c>
      <c r="O166" s="19" t="inlineStr"/>
      <c r="P166" s="18" t="inlineStr">
        <is>
          <t>#cobblemon:is_arid; #cobblemon:is_freezing</t>
        </is>
      </c>
      <c r="Q166" s="19" t="inlineStr"/>
      <c r="R166" s="18">
        <f>IF(Q166="",P166,Q166)</f>
        <v/>
      </c>
      <c r="S166" s="18" t="inlineStr"/>
      <c r="T166" s="18" t="inlineStr">
        <is>
          <t>common</t>
        </is>
      </c>
      <c r="U166" s="20" t="n">
        <v>5</v>
      </c>
      <c r="V166" s="21" t="n">
        <v>1</v>
      </c>
      <c r="W166" s="20">
        <f>IF(OR(U166="",V166=""),U166,U166*V166)</f>
        <v/>
      </c>
      <c r="X166" s="18" t="inlineStr">
        <is>
          <t>4-29</t>
        </is>
      </c>
      <c r="Y166" s="19" t="inlineStr"/>
      <c r="Z166" s="18">
        <f>IF(Y166="",X166,Y166)</f>
        <v/>
      </c>
      <c r="AA166" s="18" t="inlineStr">
        <is>
          <t>grounded</t>
        </is>
      </c>
      <c r="AB166" s="18" t="inlineStr"/>
      <c r="AC166" s="18" t="inlineStr"/>
      <c r="AD166" s="18" t="inlineStr"/>
      <c r="AE166" s="18" t="inlineStr">
        <is>
          <t>sky 8-15</t>
        </is>
      </c>
      <c r="AF166" s="18" t="inlineStr"/>
      <c r="AG166" s="18" t="inlineStr"/>
      <c r="AH166" s="18" t="inlineStr"/>
      <c r="AI166" s="18" t="inlineStr"/>
      <c r="AJ166" s="18" t="inlineStr">
        <is>
          <t>COBBLEVERSE 수정</t>
        </is>
      </c>
      <c r="AK166" s="18" t="inlineStr">
        <is>
          <t>사용</t>
        </is>
      </c>
      <c r="AL166" s="18" t="inlineStr">
        <is>
          <t>COBBLEVERSE 1.7.42 / DP v31</t>
        </is>
      </c>
      <c r="AM166" s="18" t="inlineStr">
        <is>
          <t>data/cobblemon/spawn_pool_world/0052_meowth.json</t>
        </is>
      </c>
      <c r="AN166" s="18" t="inlineStr">
        <is>
          <t>meowth-alolan-6</t>
        </is>
      </c>
      <c r="AO166" s="18" t="inlineStr">
        <is>
          <t>pokemon</t>
        </is>
      </c>
      <c r="AP166" s="18" t="inlineStr">
        <is>
          <t>natural</t>
        </is>
      </c>
      <c r="AQ166" s="18" t="inlineStr">
        <is>
          <t>{"biomes":["#cobblemon:is_arid","#cobblemon:is_freezing"],"maxSkyLight":15,"minSkyLight":8}</t>
        </is>
      </c>
      <c r="AR166" s="18" t="inlineStr"/>
      <c r="AS166" s="18" t="inlineStr">
        <is>
          <t>{"weightMultiplier":{"condition":{"timeRange":"night"},"multiplier":1.5}}</t>
        </is>
      </c>
      <c r="AT166" s="19" t="inlineStr"/>
    </row>
    <row r="167" ht="32" customHeight="1">
      <c r="A167" s="18" t="inlineStr">
        <is>
          <t>0052_meowth.json::meowth-alolan-7::007</t>
        </is>
      </c>
      <c r="B167" s="19" t="inlineStr">
        <is>
          <t>사용</t>
        </is>
      </c>
      <c r="C167" s="18">
        <f>IF(OR(B167&lt;&gt;AK167,M167&lt;&gt;L167,O167&lt;&gt;"",Q167&lt;&gt;"",V167&lt;&gt;1,Y167&lt;&gt;"",AT167&lt;&gt;""),"수정","원본")</f>
        <v/>
      </c>
      <c r="D167" s="18" t="n">
        <v>52</v>
      </c>
      <c r="E167" s="18" t="inlineStr">
        <is>
          <t>나옹</t>
        </is>
      </c>
      <c r="F167" s="18" t="inlineStr">
        <is>
          <t>meowth</t>
        </is>
      </c>
      <c r="G167" s="18" t="inlineStr">
        <is>
          <t>meowth alolan</t>
        </is>
      </c>
      <c r="H167" s="18" t="inlineStr">
        <is>
          <t>alolan</t>
        </is>
      </c>
      <c r="I167" s="18" t="n">
        <v>1</v>
      </c>
      <c r="J167" s="18" t="n">
        <v>7</v>
      </c>
      <c r="K167" s="18" t="n">
        <v>7</v>
      </c>
      <c r="L167" s="18" t="inlineStr">
        <is>
          <t>cobbleventure:generation_7</t>
        </is>
      </c>
      <c r="M167" s="19" t="inlineStr">
        <is>
          <t>cobbleventure:generation_7</t>
        </is>
      </c>
      <c r="N167" s="18" t="inlineStr">
        <is>
          <t>region_01; region_02</t>
        </is>
      </c>
      <c r="O167" s="19" t="inlineStr"/>
      <c r="P167" s="18" t="inlineStr">
        <is>
          <t>#cobblemon:is_overworld</t>
        </is>
      </c>
      <c r="Q167" s="19" t="inlineStr"/>
      <c r="R167" s="18">
        <f>IF(Q167="",P167,Q167)</f>
        <v/>
      </c>
      <c r="S167" s="18" t="inlineStr"/>
      <c r="T167" s="18" t="inlineStr">
        <is>
          <t>uncommon</t>
        </is>
      </c>
      <c r="U167" s="20" t="n">
        <v>5.4</v>
      </c>
      <c r="V167" s="21" t="n">
        <v>1</v>
      </c>
      <c r="W167" s="20">
        <f>IF(OR(U167="",V167=""),U167,U167*V167)</f>
        <v/>
      </c>
      <c r="X167" s="18" t="inlineStr">
        <is>
          <t>4-29</t>
        </is>
      </c>
      <c r="Y167" s="19" t="inlineStr"/>
      <c r="Z167" s="18">
        <f>IF(Y167="",X167,Y167)</f>
        <v/>
      </c>
      <c r="AA167" s="18" t="inlineStr">
        <is>
          <t>grounded</t>
        </is>
      </c>
      <c r="AB167" s="18" t="inlineStr"/>
      <c r="AC167" s="18" t="inlineStr"/>
      <c r="AD167" s="18" t="inlineStr">
        <is>
          <t>minY=62</t>
        </is>
      </c>
      <c r="AE167" s="18" t="inlineStr"/>
      <c r="AF167" s="18" t="inlineStr">
        <is>
          <t>False</t>
        </is>
      </c>
      <c r="AG167" s="18" t="inlineStr"/>
      <c r="AH167" s="18" t="inlineStr"/>
      <c r="AI167" s="18" t="inlineStr"/>
      <c r="AJ167" s="18" t="inlineStr">
        <is>
          <t>COBBLEVERSE 수정</t>
        </is>
      </c>
      <c r="AK167" s="18" t="inlineStr">
        <is>
          <t>사용</t>
        </is>
      </c>
      <c r="AL167" s="18" t="inlineStr">
        <is>
          <t>COBBLEVERSE 1.7.42 / DP v31</t>
        </is>
      </c>
      <c r="AM167" s="18" t="inlineStr">
        <is>
          <t>data/cobblemon/spawn_pool_world/0052_meowth.json</t>
        </is>
      </c>
      <c r="AN167" s="18" t="inlineStr">
        <is>
          <t>meowth-alolan-7</t>
        </is>
      </c>
      <c r="AO167" s="18" t="inlineStr">
        <is>
          <t>pokemon</t>
        </is>
      </c>
      <c r="AP167" s="18" t="inlineStr">
        <is>
          <t>illager_structures</t>
        </is>
      </c>
      <c r="AQ167" s="18" t="inlineStr">
        <is>
          <t>{"biomes":["#cobblemon:is_overworld"],"canSeeSky":false,"minY":62}</t>
        </is>
      </c>
      <c r="AR167" s="18" t="inlineStr"/>
      <c r="AS167" s="18" t="inlineStr"/>
      <c r="AT167" s="19" t="inlineStr"/>
    </row>
    <row r="168" ht="32" customHeight="1">
      <c r="A168" s="18" t="inlineStr">
        <is>
          <t>0052_meowth.json::meowth-galarian-8::008</t>
        </is>
      </c>
      <c r="B168" s="19" t="inlineStr">
        <is>
          <t>사용</t>
        </is>
      </c>
      <c r="C168" s="18">
        <f>IF(OR(B168&lt;&gt;AK168,M168&lt;&gt;L168,O168&lt;&gt;"",Q168&lt;&gt;"",V168&lt;&gt;1,Y168&lt;&gt;"",AT168&lt;&gt;""),"수정","원본")</f>
        <v/>
      </c>
      <c r="D168" s="18" t="n">
        <v>52</v>
      </c>
      <c r="E168" s="18" t="inlineStr">
        <is>
          <t>나옹</t>
        </is>
      </c>
      <c r="F168" s="18" t="inlineStr">
        <is>
          <t>meowth</t>
        </is>
      </c>
      <c r="G168" s="18" t="inlineStr">
        <is>
          <t>meowth galarian</t>
        </is>
      </c>
      <c r="H168" s="18" t="inlineStr">
        <is>
          <t>galarian</t>
        </is>
      </c>
      <c r="I168" s="18" t="n">
        <v>1</v>
      </c>
      <c r="J168" s="18" t="n">
        <v>8</v>
      </c>
      <c r="K168" s="18" t="n">
        <v>8</v>
      </c>
      <c r="L168" s="18" t="inlineStr">
        <is>
          <t>cobbleventure:generation_8</t>
        </is>
      </c>
      <c r="M168" s="19" t="inlineStr">
        <is>
          <t>cobbleventure:generation_8</t>
        </is>
      </c>
      <c r="N168" s="18" t="inlineStr"/>
      <c r="O168" s="19" t="inlineStr"/>
      <c r="P168" s="18" t="inlineStr">
        <is>
          <t>#cobblemon:is_freezing; #cobblemon:is_taiga</t>
        </is>
      </c>
      <c r="Q168" s="19" t="inlineStr"/>
      <c r="R168" s="18">
        <f>IF(Q168="",P168,Q168)</f>
        <v/>
      </c>
      <c r="S168" s="18" t="inlineStr"/>
      <c r="T168" s="18" t="inlineStr">
        <is>
          <t>common</t>
        </is>
      </c>
      <c r="U168" s="20" t="n">
        <v>9</v>
      </c>
      <c r="V168" s="21" t="n">
        <v>1</v>
      </c>
      <c r="W168" s="20">
        <f>IF(OR(U168="",V168=""),U168,U168*V168)</f>
        <v/>
      </c>
      <c r="X168" s="18" t="inlineStr">
        <is>
          <t>4-29</t>
        </is>
      </c>
      <c r="Y168" s="19" t="inlineStr"/>
      <c r="Z168" s="18">
        <f>IF(Y168="",X168,Y168)</f>
        <v/>
      </c>
      <c r="AA168" s="18" t="inlineStr">
        <is>
          <t>grounded</t>
        </is>
      </c>
      <c r="AB168" s="18" t="inlineStr"/>
      <c r="AC168" s="18" t="inlineStr"/>
      <c r="AD168" s="18" t="inlineStr"/>
      <c r="AE168" s="18" t="inlineStr">
        <is>
          <t>sky 8-15</t>
        </is>
      </c>
      <c r="AF168" s="18" t="inlineStr"/>
      <c r="AG168" s="18" t="inlineStr"/>
      <c r="AH168" s="18" t="inlineStr"/>
      <c r="AI168" s="18" t="inlineStr"/>
      <c r="AJ168" s="18" t="inlineStr">
        <is>
          <t>COBBLEVERSE 수정</t>
        </is>
      </c>
      <c r="AK168" s="18" t="inlineStr">
        <is>
          <t>사용</t>
        </is>
      </c>
      <c r="AL168" s="18" t="inlineStr">
        <is>
          <t>COBBLEVERSE 1.7.42 / DP v31</t>
        </is>
      </c>
      <c r="AM168" s="18" t="inlineStr">
        <is>
          <t>data/cobblemon/spawn_pool_world/0052_meowth.json</t>
        </is>
      </c>
      <c r="AN168" s="18" t="inlineStr">
        <is>
          <t>meowth-galarian-8</t>
        </is>
      </c>
      <c r="AO168" s="18" t="inlineStr">
        <is>
          <t>pokemon</t>
        </is>
      </c>
      <c r="AP168" s="18" t="inlineStr">
        <is>
          <t>natural; urban</t>
        </is>
      </c>
      <c r="AQ168" s="18" t="inlineStr">
        <is>
          <t>{"biomes":["#cobblemon:is_freezing","#cobblemon:is_taiga"],"maxSkyLight":15,"minSkyLight":8}</t>
        </is>
      </c>
      <c r="AR168" s="18" t="inlineStr"/>
      <c r="AS168" s="18" t="inlineStr">
        <is>
          <t>{"weightMultiplier":{"condition":{"timeRange":"night"},"multiplier":1.5}}</t>
        </is>
      </c>
      <c r="AT168" s="19" t="inlineStr"/>
    </row>
    <row r="169" ht="32" customHeight="1">
      <c r="A169" s="18" t="inlineStr">
        <is>
          <t>0052_meowth.json::meowth-galarian-9::009</t>
        </is>
      </c>
      <c r="B169" s="19" t="inlineStr">
        <is>
          <t>사용</t>
        </is>
      </c>
      <c r="C169" s="18">
        <f>IF(OR(B169&lt;&gt;AK169,M169&lt;&gt;L169,O169&lt;&gt;"",Q169&lt;&gt;"",V169&lt;&gt;1,Y169&lt;&gt;"",AT169&lt;&gt;""),"수정","원본")</f>
        <v/>
      </c>
      <c r="D169" s="18" t="n">
        <v>52</v>
      </c>
      <c r="E169" s="18" t="inlineStr">
        <is>
          <t>나옹</t>
        </is>
      </c>
      <c r="F169" s="18" t="inlineStr">
        <is>
          <t>meowth</t>
        </is>
      </c>
      <c r="G169" s="18" t="inlineStr">
        <is>
          <t>meowth galarian</t>
        </is>
      </c>
      <c r="H169" s="18" t="inlineStr">
        <is>
          <t>galarian</t>
        </is>
      </c>
      <c r="I169" s="18" t="n">
        <v>1</v>
      </c>
      <c r="J169" s="18" t="n">
        <v>8</v>
      </c>
      <c r="K169" s="18" t="n">
        <v>8</v>
      </c>
      <c r="L169" s="18" t="inlineStr">
        <is>
          <t>cobbleventure:generation_8</t>
        </is>
      </c>
      <c r="M169" s="19" t="inlineStr">
        <is>
          <t>cobbleventure:generation_8</t>
        </is>
      </c>
      <c r="N169" s="18" t="inlineStr"/>
      <c r="O169" s="19" t="inlineStr"/>
      <c r="P169" s="18" t="inlineStr">
        <is>
          <t>#cobblemon:is_freezing; #cobblemon:is_taiga</t>
        </is>
      </c>
      <c r="Q169" s="19" t="inlineStr"/>
      <c r="R169" s="18">
        <f>IF(Q169="",P169,Q169)</f>
        <v/>
      </c>
      <c r="S169" s="18" t="inlineStr"/>
      <c r="T169" s="18" t="inlineStr">
        <is>
          <t>common</t>
        </is>
      </c>
      <c r="U169" s="20" t="n">
        <v>9</v>
      </c>
      <c r="V169" s="21" t="n">
        <v>1</v>
      </c>
      <c r="W169" s="20">
        <f>IF(OR(U169="",V169=""),U169,U169*V169)</f>
        <v/>
      </c>
      <c r="X169" s="18" t="inlineStr">
        <is>
          <t>4-29</t>
        </is>
      </c>
      <c r="Y169" s="19" t="inlineStr"/>
      <c r="Z169" s="18">
        <f>IF(Y169="",X169,Y169)</f>
        <v/>
      </c>
      <c r="AA169" s="18" t="inlineStr">
        <is>
          <t>grounded</t>
        </is>
      </c>
      <c r="AB169" s="18" t="inlineStr"/>
      <c r="AC169" s="18" t="inlineStr"/>
      <c r="AD169" s="18" t="inlineStr"/>
      <c r="AE169" s="18" t="inlineStr">
        <is>
          <t>sky 8-15</t>
        </is>
      </c>
      <c r="AF169" s="18" t="inlineStr"/>
      <c r="AG169" s="18" t="inlineStr">
        <is>
          <t>#minecraft:village</t>
        </is>
      </c>
      <c r="AH169" s="18" t="inlineStr"/>
      <c r="AI169" s="18" t="inlineStr"/>
      <c r="AJ169" s="18" t="inlineStr">
        <is>
          <t>COBBLEVERSE 수정</t>
        </is>
      </c>
      <c r="AK169" s="18" t="inlineStr">
        <is>
          <t>사용</t>
        </is>
      </c>
      <c r="AL169" s="18" t="inlineStr">
        <is>
          <t>COBBLEVERSE 1.7.42 / DP v31</t>
        </is>
      </c>
      <c r="AM169" s="18" t="inlineStr">
        <is>
          <t>data/cobblemon/spawn_pool_world/0052_meowth.json</t>
        </is>
      </c>
      <c r="AN169" s="18" t="inlineStr">
        <is>
          <t>meowth-galarian-9</t>
        </is>
      </c>
      <c r="AO169" s="18" t="inlineStr">
        <is>
          <t>pokemon</t>
        </is>
      </c>
      <c r="AP169" s="18" t="inlineStr">
        <is>
          <t>natural</t>
        </is>
      </c>
      <c r="AQ169" s="18" t="inlineStr">
        <is>
          <t>{"biomes":["#cobblemon:is_freezing","#cobblemon:is_taiga"],"maxSkyLight":15,"minSkyLight":8,"structures":["#minecraft:village"]}</t>
        </is>
      </c>
      <c r="AR169" s="18" t="inlineStr"/>
      <c r="AS169" s="18" t="inlineStr">
        <is>
          <t>{"weightMultiplier":{"condition":{"timeRange":"night"},"multiplier":1.5}}</t>
        </is>
      </c>
      <c r="AT169" s="19" t="inlineStr"/>
    </row>
    <row r="170" ht="32" customHeight="1">
      <c r="A170" s="18" t="inlineStr">
        <is>
          <t>0053_persian.json::persian-1::001</t>
        </is>
      </c>
      <c r="B170" s="19" t="inlineStr">
        <is>
          <t>사용</t>
        </is>
      </c>
      <c r="C170" s="18">
        <f>IF(OR(B170&lt;&gt;AK170,M170&lt;&gt;L170,O170&lt;&gt;"",Q170&lt;&gt;"",V170&lt;&gt;1,Y170&lt;&gt;"",AT170&lt;&gt;""),"수정","원본")</f>
        <v/>
      </c>
      <c r="D170" s="18" t="n">
        <v>53</v>
      </c>
      <c r="E170" s="18" t="inlineStr">
        <is>
          <t>페르시온</t>
        </is>
      </c>
      <c r="F170" s="18" t="inlineStr">
        <is>
          <t>persian</t>
        </is>
      </c>
      <c r="G170" s="18" t="inlineStr">
        <is>
          <t>persian</t>
        </is>
      </c>
      <c r="H170" s="18" t="inlineStr"/>
      <c r="I170" s="18" t="n">
        <v>1</v>
      </c>
      <c r="J170" s="18" t="n"/>
      <c r="K170" s="18" t="n">
        <v>1</v>
      </c>
      <c r="L170" s="18" t="inlineStr">
        <is>
          <t>cobbleventure:generation_1</t>
        </is>
      </c>
      <c r="M170" s="19" t="inlineStr">
        <is>
          <t>cobbleventure:generation_1</t>
        </is>
      </c>
      <c r="N170" s="18" t="inlineStr">
        <is>
          <t>region_01</t>
        </is>
      </c>
      <c r="O170" s="19" t="inlineStr"/>
      <c r="P170" s="18" t="inlineStr">
        <is>
          <t>#cobblemon:is_overworld</t>
        </is>
      </c>
      <c r="Q170" s="19" t="inlineStr"/>
      <c r="R170" s="18">
        <f>IF(Q170="",P170,Q170)</f>
        <v/>
      </c>
      <c r="S170" s="18" t="inlineStr">
        <is>
          <t>#cobblemon:is_arid; #cobblemon:is_freezing; #cobblemon:is_taiga</t>
        </is>
      </c>
      <c r="T170" s="18" t="inlineStr">
        <is>
          <t>common</t>
        </is>
      </c>
      <c r="U170" s="20" t="n">
        <v>1</v>
      </c>
      <c r="V170" s="21" t="n">
        <v>1</v>
      </c>
      <c r="W170" s="20">
        <f>IF(OR(U170="",V170=""),U170,U170*V170)</f>
        <v/>
      </c>
      <c r="X170" s="18" t="inlineStr">
        <is>
          <t>28-44</t>
        </is>
      </c>
      <c r="Y170" s="19" t="inlineStr"/>
      <c r="Z170" s="18">
        <f>IF(Y170="",X170,Y170)</f>
        <v/>
      </c>
      <c r="AA170" s="18" t="inlineStr">
        <is>
          <t>grounded</t>
        </is>
      </c>
      <c r="AB170" s="18" t="inlineStr"/>
      <c r="AC170" s="18" t="inlineStr">
        <is>
          <t>비=False</t>
        </is>
      </c>
      <c r="AD170" s="18" t="inlineStr"/>
      <c r="AE170" s="18" t="inlineStr">
        <is>
          <t>sky 8-15</t>
        </is>
      </c>
      <c r="AF170" s="18" t="inlineStr"/>
      <c r="AG170" s="18" t="inlineStr"/>
      <c r="AH170" s="18" t="inlineStr"/>
      <c r="AI170" s="18" t="inlineStr"/>
      <c r="AJ170" s="18" t="inlineStr">
        <is>
          <t>COBBLEVERSE 수정</t>
        </is>
      </c>
      <c r="AK170" s="18" t="inlineStr">
        <is>
          <t>사용</t>
        </is>
      </c>
      <c r="AL170" s="18" t="inlineStr">
        <is>
          <t>COBBLEVERSE 1.7.42 / DP v31</t>
        </is>
      </c>
      <c r="AM170" s="18" t="inlineStr">
        <is>
          <t>data/cobblemon/spawn_pool_world/0053_persian.json</t>
        </is>
      </c>
      <c r="AN170" s="18" t="inlineStr">
        <is>
          <t>persian-1</t>
        </is>
      </c>
      <c r="AO170" s="18" t="inlineStr">
        <is>
          <t>pokemon</t>
        </is>
      </c>
      <c r="AP170" s="18" t="inlineStr">
        <is>
          <t>natural; urban</t>
        </is>
      </c>
      <c r="AQ170" s="18" t="inlineStr">
        <is>
          <t>{"biomes":["#cobblemon:is_overworld"],"isRaining":false,"maxSkyLight":15,"minSkyLight":8}</t>
        </is>
      </c>
      <c r="AR170" s="18" t="inlineStr">
        <is>
          <t>{"biomes":["#cobblemon:is_arid","#cobblemon:is_freezing","#cobblemon:is_taiga"]}</t>
        </is>
      </c>
      <c r="AS170" s="18" t="inlineStr">
        <is>
          <t>{"weightMultiplier":{"condition":{"timeRange":"night"},"multiplier":1.5}}</t>
        </is>
      </c>
      <c r="AT170" s="19" t="inlineStr"/>
    </row>
    <row r="171" ht="32" customHeight="1">
      <c r="A171" s="18" t="inlineStr">
        <is>
          <t>0053_persian.json::persian-2::002</t>
        </is>
      </c>
      <c r="B171" s="19" t="inlineStr">
        <is>
          <t>사용</t>
        </is>
      </c>
      <c r="C171" s="18">
        <f>IF(OR(B171&lt;&gt;AK171,M171&lt;&gt;L171,O171&lt;&gt;"",Q171&lt;&gt;"",V171&lt;&gt;1,Y171&lt;&gt;"",AT171&lt;&gt;""),"수정","원본")</f>
        <v/>
      </c>
      <c r="D171" s="18" t="n">
        <v>53</v>
      </c>
      <c r="E171" s="18" t="inlineStr">
        <is>
          <t>페르시온</t>
        </is>
      </c>
      <c r="F171" s="18" t="inlineStr">
        <is>
          <t>persian</t>
        </is>
      </c>
      <c r="G171" s="18" t="inlineStr">
        <is>
          <t>persian</t>
        </is>
      </c>
      <c r="H171" s="18" t="inlineStr"/>
      <c r="I171" s="18" t="n">
        <v>1</v>
      </c>
      <c r="J171" s="18" t="n"/>
      <c r="K171" s="18" t="n">
        <v>1</v>
      </c>
      <c r="L171" s="18" t="inlineStr">
        <is>
          <t>cobbleventure:generation_1</t>
        </is>
      </c>
      <c r="M171" s="19" t="inlineStr">
        <is>
          <t>cobbleventure:generation_1</t>
        </is>
      </c>
      <c r="N171" s="18" t="inlineStr">
        <is>
          <t>region_01</t>
        </is>
      </c>
      <c r="O171" s="19" t="inlineStr"/>
      <c r="P171" s="18" t="inlineStr">
        <is>
          <t>#cobblemon:is_overworld</t>
        </is>
      </c>
      <c r="Q171" s="19" t="inlineStr"/>
      <c r="R171" s="18">
        <f>IF(Q171="",P171,Q171)</f>
        <v/>
      </c>
      <c r="S171" s="18" t="inlineStr">
        <is>
          <t>#cobblemon:is_arid; #cobblemon:is_freezing; #cobblemon:is_taiga</t>
        </is>
      </c>
      <c r="T171" s="18" t="inlineStr">
        <is>
          <t>common</t>
        </is>
      </c>
      <c r="U171" s="20" t="n">
        <v>1</v>
      </c>
      <c r="V171" s="21" t="n">
        <v>1</v>
      </c>
      <c r="W171" s="20">
        <f>IF(OR(U171="",V171=""),U171,U171*V171)</f>
        <v/>
      </c>
      <c r="X171" s="18" t="inlineStr">
        <is>
          <t>28-44</t>
        </is>
      </c>
      <c r="Y171" s="19" t="inlineStr"/>
      <c r="Z171" s="18">
        <f>IF(Y171="",X171,Y171)</f>
        <v/>
      </c>
      <c r="AA171" s="18" t="inlineStr">
        <is>
          <t>grounded</t>
        </is>
      </c>
      <c r="AB171" s="18" t="inlineStr"/>
      <c r="AC171" s="18" t="inlineStr">
        <is>
          <t>비=False</t>
        </is>
      </c>
      <c r="AD171" s="18" t="inlineStr"/>
      <c r="AE171" s="18" t="inlineStr">
        <is>
          <t>sky 8-15</t>
        </is>
      </c>
      <c r="AF171" s="18" t="inlineStr"/>
      <c r="AG171" s="18" t="inlineStr">
        <is>
          <t>#minecraft:village</t>
        </is>
      </c>
      <c r="AH171" s="18" t="inlineStr"/>
      <c r="AI171" s="18" t="inlineStr"/>
      <c r="AJ171" s="18" t="inlineStr">
        <is>
          <t>COBBLEVERSE 수정</t>
        </is>
      </c>
      <c r="AK171" s="18" t="inlineStr">
        <is>
          <t>사용</t>
        </is>
      </c>
      <c r="AL171" s="18" t="inlineStr">
        <is>
          <t>COBBLEVERSE 1.7.42 / DP v31</t>
        </is>
      </c>
      <c r="AM171" s="18" t="inlineStr">
        <is>
          <t>data/cobblemon/spawn_pool_world/0053_persian.json</t>
        </is>
      </c>
      <c r="AN171" s="18" t="inlineStr">
        <is>
          <t>persian-2</t>
        </is>
      </c>
      <c r="AO171" s="18" t="inlineStr">
        <is>
          <t>pokemon</t>
        </is>
      </c>
      <c r="AP171" s="18" t="inlineStr">
        <is>
          <t>natural</t>
        </is>
      </c>
      <c r="AQ171" s="18" t="inlineStr">
        <is>
          <t>{"biomes":["#cobblemon:is_overworld"],"isRaining":false,"maxSkyLight":15,"minSkyLight":8,"structures":["#minecraft:village"]}</t>
        </is>
      </c>
      <c r="AR171" s="18" t="inlineStr">
        <is>
          <t>{"biomes":["#cobblemon:is_arid","#cobblemon:is_freezing","#cobblemon:is_taiga"]}</t>
        </is>
      </c>
      <c r="AS171" s="18" t="inlineStr">
        <is>
          <t>{"weightMultiplier":{"condition":{"timeRange":"night"},"multiplier":1.5}}</t>
        </is>
      </c>
      <c r="AT171" s="19" t="inlineStr"/>
    </row>
    <row r="172" ht="32" customHeight="1">
      <c r="A172" s="18" t="inlineStr">
        <is>
          <t>0053_persian.json::persian-3::003</t>
        </is>
      </c>
      <c r="B172" s="19" t="inlineStr">
        <is>
          <t>사용</t>
        </is>
      </c>
      <c r="C172" s="18">
        <f>IF(OR(B172&lt;&gt;AK172,M172&lt;&gt;L172,O172&lt;&gt;"",Q172&lt;&gt;"",V172&lt;&gt;1,Y172&lt;&gt;"",AT172&lt;&gt;""),"수정","원본")</f>
        <v/>
      </c>
      <c r="D172" s="18" t="n">
        <v>53</v>
      </c>
      <c r="E172" s="18" t="inlineStr">
        <is>
          <t>페르시온</t>
        </is>
      </c>
      <c r="F172" s="18" t="inlineStr">
        <is>
          <t>persian</t>
        </is>
      </c>
      <c r="G172" s="18" t="inlineStr">
        <is>
          <t>persian</t>
        </is>
      </c>
      <c r="H172" s="18" t="inlineStr"/>
      <c r="I172" s="18" t="n">
        <v>1</v>
      </c>
      <c r="J172" s="18" t="n"/>
      <c r="K172" s="18" t="n">
        <v>1</v>
      </c>
      <c r="L172" s="18" t="inlineStr">
        <is>
          <t>cobbleventure:generation_1</t>
        </is>
      </c>
      <c r="M172" s="19" t="inlineStr">
        <is>
          <t>cobbleventure:generation_1</t>
        </is>
      </c>
      <c r="N172" s="18" t="inlineStr">
        <is>
          <t>region_02</t>
        </is>
      </c>
      <c r="O172" s="19" t="inlineStr"/>
      <c r="P172" s="18" t="inlineStr">
        <is>
          <t>#cobblemon:is_arid</t>
        </is>
      </c>
      <c r="Q172" s="19" t="inlineStr"/>
      <c r="R172" s="18">
        <f>IF(Q172="",P172,Q172)</f>
        <v/>
      </c>
      <c r="S172" s="18" t="inlineStr"/>
      <c r="T172" s="18" t="inlineStr">
        <is>
          <t>common</t>
        </is>
      </c>
      <c r="U172" s="20" t="n">
        <v>1</v>
      </c>
      <c r="V172" s="21" t="n">
        <v>1</v>
      </c>
      <c r="W172" s="20">
        <f>IF(OR(U172="",V172=""),U172,U172*V172)</f>
        <v/>
      </c>
      <c r="X172" s="18" t="inlineStr">
        <is>
          <t>28-44</t>
        </is>
      </c>
      <c r="Y172" s="19" t="inlineStr"/>
      <c r="Z172" s="18">
        <f>IF(Y172="",X172,Y172)</f>
        <v/>
      </c>
      <c r="AA172" s="18" t="inlineStr">
        <is>
          <t>grounded</t>
        </is>
      </c>
      <c r="AB172" s="18" t="inlineStr"/>
      <c r="AC172" s="18" t="inlineStr"/>
      <c r="AD172" s="18" t="inlineStr"/>
      <c r="AE172" s="18" t="inlineStr">
        <is>
          <t>sky 8-15</t>
        </is>
      </c>
      <c r="AF172" s="18" t="inlineStr"/>
      <c r="AG172" s="18" t="inlineStr"/>
      <c r="AH172" s="18" t="inlineStr"/>
      <c r="AI172" s="18" t="inlineStr"/>
      <c r="AJ172" s="18" t="inlineStr">
        <is>
          <t>COBBLEVERSE 수정</t>
        </is>
      </c>
      <c r="AK172" s="18" t="inlineStr">
        <is>
          <t>사용</t>
        </is>
      </c>
      <c r="AL172" s="18" t="inlineStr">
        <is>
          <t>COBBLEVERSE 1.7.42 / DP v31</t>
        </is>
      </c>
      <c r="AM172" s="18" t="inlineStr">
        <is>
          <t>data/cobblemon/spawn_pool_world/0053_persian.json</t>
        </is>
      </c>
      <c r="AN172" s="18" t="inlineStr">
        <is>
          <t>persian-3</t>
        </is>
      </c>
      <c r="AO172" s="18" t="inlineStr">
        <is>
          <t>pokemon</t>
        </is>
      </c>
      <c r="AP172" s="18" t="inlineStr">
        <is>
          <t>natural; urban</t>
        </is>
      </c>
      <c r="AQ172" s="18" t="inlineStr">
        <is>
          <t>{"biomes":["#cobblemon:is_arid"],"maxSkyLight":15,"minSkyLight":8}</t>
        </is>
      </c>
      <c r="AR172" s="18" t="inlineStr"/>
      <c r="AS172" s="18" t="inlineStr">
        <is>
          <t>{"weightMultiplier":{"condition":{"timeRange":"night"},"multiplier":1.5}}</t>
        </is>
      </c>
      <c r="AT172" s="19" t="inlineStr"/>
    </row>
    <row r="173" ht="32" customHeight="1">
      <c r="A173" s="18" t="inlineStr">
        <is>
          <t>0053_persian.json::persian-4::004</t>
        </is>
      </c>
      <c r="B173" s="19" t="inlineStr">
        <is>
          <t>사용</t>
        </is>
      </c>
      <c r="C173" s="18">
        <f>IF(OR(B173&lt;&gt;AK173,M173&lt;&gt;L173,O173&lt;&gt;"",Q173&lt;&gt;"",V173&lt;&gt;1,Y173&lt;&gt;"",AT173&lt;&gt;""),"수정","원본")</f>
        <v/>
      </c>
      <c r="D173" s="18" t="n">
        <v>53</v>
      </c>
      <c r="E173" s="18" t="inlineStr">
        <is>
          <t>페르시온</t>
        </is>
      </c>
      <c r="F173" s="18" t="inlineStr">
        <is>
          <t>persian</t>
        </is>
      </c>
      <c r="G173" s="18" t="inlineStr">
        <is>
          <t>persian</t>
        </is>
      </c>
      <c r="H173" s="18" t="inlineStr"/>
      <c r="I173" s="18" t="n">
        <v>1</v>
      </c>
      <c r="J173" s="18" t="n"/>
      <c r="K173" s="18" t="n">
        <v>1</v>
      </c>
      <c r="L173" s="18" t="inlineStr">
        <is>
          <t>cobbleventure:generation_1</t>
        </is>
      </c>
      <c r="M173" s="19" t="inlineStr">
        <is>
          <t>cobbleventure:generation_1</t>
        </is>
      </c>
      <c r="N173" s="18" t="inlineStr">
        <is>
          <t>region_02</t>
        </is>
      </c>
      <c r="O173" s="19" t="inlineStr"/>
      <c r="P173" s="18" t="inlineStr">
        <is>
          <t>#cobblemon:is_arid</t>
        </is>
      </c>
      <c r="Q173" s="19" t="inlineStr"/>
      <c r="R173" s="18">
        <f>IF(Q173="",P173,Q173)</f>
        <v/>
      </c>
      <c r="S173" s="18" t="inlineStr"/>
      <c r="T173" s="18" t="inlineStr">
        <is>
          <t>common</t>
        </is>
      </c>
      <c r="U173" s="20" t="n">
        <v>1</v>
      </c>
      <c r="V173" s="21" t="n">
        <v>1</v>
      </c>
      <c r="W173" s="20">
        <f>IF(OR(U173="",V173=""),U173,U173*V173)</f>
        <v/>
      </c>
      <c r="X173" s="18" t="inlineStr">
        <is>
          <t>28-44</t>
        </is>
      </c>
      <c r="Y173" s="19" t="inlineStr"/>
      <c r="Z173" s="18">
        <f>IF(Y173="",X173,Y173)</f>
        <v/>
      </c>
      <c r="AA173" s="18" t="inlineStr">
        <is>
          <t>grounded</t>
        </is>
      </c>
      <c r="AB173" s="18" t="inlineStr"/>
      <c r="AC173" s="18" t="inlineStr"/>
      <c r="AD173" s="18" t="inlineStr"/>
      <c r="AE173" s="18" t="inlineStr">
        <is>
          <t>sky 8-15</t>
        </is>
      </c>
      <c r="AF173" s="18" t="inlineStr"/>
      <c r="AG173" s="18" t="inlineStr">
        <is>
          <t>#minecraft:village</t>
        </is>
      </c>
      <c r="AH173" s="18" t="inlineStr"/>
      <c r="AI173" s="18" t="inlineStr"/>
      <c r="AJ173" s="18" t="inlineStr">
        <is>
          <t>COBBLEVERSE 수정</t>
        </is>
      </c>
      <c r="AK173" s="18" t="inlineStr">
        <is>
          <t>사용</t>
        </is>
      </c>
      <c r="AL173" s="18" t="inlineStr">
        <is>
          <t>COBBLEVERSE 1.7.42 / DP v31</t>
        </is>
      </c>
      <c r="AM173" s="18" t="inlineStr">
        <is>
          <t>data/cobblemon/spawn_pool_world/0053_persian.json</t>
        </is>
      </c>
      <c r="AN173" s="18" t="inlineStr">
        <is>
          <t>persian-4</t>
        </is>
      </c>
      <c r="AO173" s="18" t="inlineStr">
        <is>
          <t>pokemon</t>
        </is>
      </c>
      <c r="AP173" s="18" t="inlineStr">
        <is>
          <t>natural</t>
        </is>
      </c>
      <c r="AQ173" s="18" t="inlineStr">
        <is>
          <t>{"biomes":["#cobblemon:is_arid"],"maxSkyLight":15,"minSkyLight":8,"structures":["#minecraft:village"]}</t>
        </is>
      </c>
      <c r="AR173" s="18" t="inlineStr"/>
      <c r="AS173" s="18" t="inlineStr">
        <is>
          <t>{"weightMultiplier":{"condition":{"timeRange":"night"},"multiplier":1.5}}</t>
        </is>
      </c>
      <c r="AT173" s="19" t="inlineStr"/>
    </row>
    <row r="174" ht="32" customHeight="1">
      <c r="A174" s="18" t="inlineStr">
        <is>
          <t>0053_persian.json::persian-alolan-5::005</t>
        </is>
      </c>
      <c r="B174" s="19" t="inlineStr">
        <is>
          <t>사용</t>
        </is>
      </c>
      <c r="C174" s="18">
        <f>IF(OR(B174&lt;&gt;AK174,M174&lt;&gt;L174,O174&lt;&gt;"",Q174&lt;&gt;"",V174&lt;&gt;1,Y174&lt;&gt;"",AT174&lt;&gt;""),"수정","원본")</f>
        <v/>
      </c>
      <c r="D174" s="18" t="n">
        <v>53</v>
      </c>
      <c r="E174" s="18" t="inlineStr">
        <is>
          <t>페르시온</t>
        </is>
      </c>
      <c r="F174" s="18" t="inlineStr">
        <is>
          <t>persian</t>
        </is>
      </c>
      <c r="G174" s="18" t="inlineStr">
        <is>
          <t>persian alolan</t>
        </is>
      </c>
      <c r="H174" s="18" t="inlineStr">
        <is>
          <t>alolan</t>
        </is>
      </c>
      <c r="I174" s="18" t="n">
        <v>1</v>
      </c>
      <c r="J174" s="18" t="n">
        <v>7</v>
      </c>
      <c r="K174" s="18" t="n">
        <v>7</v>
      </c>
      <c r="L174" s="18" t="inlineStr">
        <is>
          <t>cobbleventure:generation_7</t>
        </is>
      </c>
      <c r="M174" s="19" t="inlineStr">
        <is>
          <t>cobbleventure:generation_7</t>
        </is>
      </c>
      <c r="N174" s="18" t="inlineStr">
        <is>
          <t>region_01</t>
        </is>
      </c>
      <c r="O174" s="19" t="inlineStr"/>
      <c r="P174" s="18" t="inlineStr">
        <is>
          <t>#cobblemon:is_overworld</t>
        </is>
      </c>
      <c r="Q174" s="19" t="inlineStr"/>
      <c r="R174" s="18">
        <f>IF(Q174="",P174,Q174)</f>
        <v/>
      </c>
      <c r="S174" s="18" t="inlineStr">
        <is>
          <t>#cobblemon:is_arid; #cobblemon:is_freezing</t>
        </is>
      </c>
      <c r="T174" s="18" t="inlineStr">
        <is>
          <t>common</t>
        </is>
      </c>
      <c r="U174" s="20" t="n">
        <v>6</v>
      </c>
      <c r="V174" s="21" t="n">
        <v>1</v>
      </c>
      <c r="W174" s="20">
        <f>IF(OR(U174="",V174=""),U174,U174*V174)</f>
        <v/>
      </c>
      <c r="X174" s="18" t="inlineStr">
        <is>
          <t>28-44</t>
        </is>
      </c>
      <c r="Y174" s="19" t="inlineStr"/>
      <c r="Z174" s="18">
        <f>IF(Y174="",X174,Y174)</f>
        <v/>
      </c>
      <c r="AA174" s="18" t="inlineStr">
        <is>
          <t>grounded</t>
        </is>
      </c>
      <c r="AB174" s="18" t="inlineStr"/>
      <c r="AC174" s="18" t="inlineStr">
        <is>
          <t>비=False</t>
        </is>
      </c>
      <c r="AD174" s="18" t="inlineStr"/>
      <c r="AE174" s="18" t="inlineStr">
        <is>
          <t>sky 8-15</t>
        </is>
      </c>
      <c r="AF174" s="18" t="inlineStr"/>
      <c r="AG174" s="18" t="inlineStr"/>
      <c r="AH174" s="18" t="inlineStr"/>
      <c r="AI174" s="18" t="inlineStr"/>
      <c r="AJ174" s="18" t="inlineStr">
        <is>
          <t>COBBLEVERSE 수정</t>
        </is>
      </c>
      <c r="AK174" s="18" t="inlineStr">
        <is>
          <t>사용</t>
        </is>
      </c>
      <c r="AL174" s="18" t="inlineStr">
        <is>
          <t>COBBLEVERSE 1.7.42 / DP v31</t>
        </is>
      </c>
      <c r="AM174" s="18" t="inlineStr">
        <is>
          <t>data/cobblemon/spawn_pool_world/0053_persian.json</t>
        </is>
      </c>
      <c r="AN174" s="18" t="inlineStr">
        <is>
          <t>persian-alolan-5</t>
        </is>
      </c>
      <c r="AO174" s="18" t="inlineStr">
        <is>
          <t>pokemon</t>
        </is>
      </c>
      <c r="AP174" s="18" t="inlineStr">
        <is>
          <t>natural; illager_structures</t>
        </is>
      </c>
      <c r="AQ174" s="18" t="inlineStr">
        <is>
          <t>{"biomes":["#cobblemon:is_overworld"],"isRaining":false,"maxSkyLight":15,"minSkyLight":8}</t>
        </is>
      </c>
      <c r="AR174" s="18" t="inlineStr">
        <is>
          <t>{"biomes":["#cobblemon:is_arid","#cobblemon:is_freezing"]}</t>
        </is>
      </c>
      <c r="AS174" s="18" t="inlineStr">
        <is>
          <t>{"weightMultiplier":{"condition":{"timeRange":"night"},"multiplier":1.5}}</t>
        </is>
      </c>
      <c r="AT174" s="19" t="inlineStr"/>
    </row>
    <row r="175" ht="32" customHeight="1">
      <c r="A175" s="18" t="inlineStr">
        <is>
          <t>0053_persian.json::persian-alolan-6::006</t>
        </is>
      </c>
      <c r="B175" s="19" t="inlineStr">
        <is>
          <t>사용</t>
        </is>
      </c>
      <c r="C175" s="18">
        <f>IF(OR(B175&lt;&gt;AK175,M175&lt;&gt;L175,O175&lt;&gt;"",Q175&lt;&gt;"",V175&lt;&gt;1,Y175&lt;&gt;"",AT175&lt;&gt;""),"수정","원본")</f>
        <v/>
      </c>
      <c r="D175" s="18" t="n">
        <v>53</v>
      </c>
      <c r="E175" s="18" t="inlineStr">
        <is>
          <t>페르시온</t>
        </is>
      </c>
      <c r="F175" s="18" t="inlineStr">
        <is>
          <t>persian</t>
        </is>
      </c>
      <c r="G175" s="18" t="inlineStr">
        <is>
          <t>persian alolan</t>
        </is>
      </c>
      <c r="H175" s="18" t="inlineStr">
        <is>
          <t>alolan</t>
        </is>
      </c>
      <c r="I175" s="18" t="n">
        <v>1</v>
      </c>
      <c r="J175" s="18" t="n">
        <v>7</v>
      </c>
      <c r="K175" s="18" t="n">
        <v>7</v>
      </c>
      <c r="L175" s="18" t="inlineStr">
        <is>
          <t>cobbleventure:generation_7</t>
        </is>
      </c>
      <c r="M175" s="19" t="inlineStr">
        <is>
          <t>cobbleventure:generation_7</t>
        </is>
      </c>
      <c r="N175" s="18" t="inlineStr">
        <is>
          <t>region_02</t>
        </is>
      </c>
      <c r="O175" s="19" t="inlineStr"/>
      <c r="P175" s="18" t="inlineStr">
        <is>
          <t>#cobblemon:is_arid; #cobblemon:is_freezing</t>
        </is>
      </c>
      <c r="Q175" s="19" t="inlineStr"/>
      <c r="R175" s="18">
        <f>IF(Q175="",P175,Q175)</f>
        <v/>
      </c>
      <c r="S175" s="18" t="inlineStr"/>
      <c r="T175" s="18" t="inlineStr">
        <is>
          <t>common</t>
        </is>
      </c>
      <c r="U175" s="20" t="n">
        <v>6</v>
      </c>
      <c r="V175" s="21" t="n">
        <v>1</v>
      </c>
      <c r="W175" s="20">
        <f>IF(OR(U175="",V175=""),U175,U175*V175)</f>
        <v/>
      </c>
      <c r="X175" s="18" t="inlineStr">
        <is>
          <t>28-44</t>
        </is>
      </c>
      <c r="Y175" s="19" t="inlineStr"/>
      <c r="Z175" s="18">
        <f>IF(Y175="",X175,Y175)</f>
        <v/>
      </c>
      <c r="AA175" s="18" t="inlineStr">
        <is>
          <t>grounded</t>
        </is>
      </c>
      <c r="AB175" s="18" t="inlineStr"/>
      <c r="AC175" s="18" t="inlineStr"/>
      <c r="AD175" s="18" t="inlineStr"/>
      <c r="AE175" s="18" t="inlineStr">
        <is>
          <t>sky 8-15</t>
        </is>
      </c>
      <c r="AF175" s="18" t="inlineStr"/>
      <c r="AG175" s="18" t="inlineStr"/>
      <c r="AH175" s="18" t="inlineStr"/>
      <c r="AI175" s="18" t="inlineStr"/>
      <c r="AJ175" s="18" t="inlineStr">
        <is>
          <t>COBBLEVERSE 수정</t>
        </is>
      </c>
      <c r="AK175" s="18" t="inlineStr">
        <is>
          <t>사용</t>
        </is>
      </c>
      <c r="AL175" s="18" t="inlineStr">
        <is>
          <t>COBBLEVERSE 1.7.42 / DP v31</t>
        </is>
      </c>
      <c r="AM175" s="18" t="inlineStr">
        <is>
          <t>data/cobblemon/spawn_pool_world/0053_persian.json</t>
        </is>
      </c>
      <c r="AN175" s="18" t="inlineStr">
        <is>
          <t>persian-alolan-6</t>
        </is>
      </c>
      <c r="AO175" s="18" t="inlineStr">
        <is>
          <t>pokemon</t>
        </is>
      </c>
      <c r="AP175" s="18" t="inlineStr">
        <is>
          <t>natural</t>
        </is>
      </c>
      <c r="AQ175" s="18" t="inlineStr">
        <is>
          <t>{"biomes":["#cobblemon:is_arid","#cobblemon:is_freezing"],"maxSkyLight":15,"minSkyLight":8}</t>
        </is>
      </c>
      <c r="AR175" s="18" t="inlineStr"/>
      <c r="AS175" s="18" t="inlineStr">
        <is>
          <t>{"weightMultiplier":{"condition":{"timeRange":"night"},"multiplier":1.5}}</t>
        </is>
      </c>
      <c r="AT175" s="19" t="inlineStr"/>
    </row>
    <row r="176" ht="32" customHeight="1">
      <c r="A176" s="18" t="inlineStr">
        <is>
          <t>0053_persian.json::persian-alolan-7::007</t>
        </is>
      </c>
      <c r="B176" s="19" t="inlineStr">
        <is>
          <t>사용</t>
        </is>
      </c>
      <c r="C176" s="18">
        <f>IF(OR(B176&lt;&gt;AK176,M176&lt;&gt;L176,O176&lt;&gt;"",Q176&lt;&gt;"",V176&lt;&gt;1,Y176&lt;&gt;"",AT176&lt;&gt;""),"수정","원본")</f>
        <v/>
      </c>
      <c r="D176" s="18" t="n">
        <v>53</v>
      </c>
      <c r="E176" s="18" t="inlineStr">
        <is>
          <t>페르시온</t>
        </is>
      </c>
      <c r="F176" s="18" t="inlineStr">
        <is>
          <t>persian</t>
        </is>
      </c>
      <c r="G176" s="18" t="inlineStr">
        <is>
          <t>persian alolan</t>
        </is>
      </c>
      <c r="H176" s="18" t="inlineStr">
        <is>
          <t>alolan</t>
        </is>
      </c>
      <c r="I176" s="18" t="n">
        <v>1</v>
      </c>
      <c r="J176" s="18" t="n">
        <v>7</v>
      </c>
      <c r="K176" s="18" t="n">
        <v>7</v>
      </c>
      <c r="L176" s="18" t="inlineStr">
        <is>
          <t>cobbleventure:generation_7</t>
        </is>
      </c>
      <c r="M176" s="19" t="inlineStr">
        <is>
          <t>cobbleventure:generation_7</t>
        </is>
      </c>
      <c r="N176" s="18" t="inlineStr">
        <is>
          <t>region_01; region_02</t>
        </is>
      </c>
      <c r="O176" s="19" t="inlineStr"/>
      <c r="P176" s="18" t="inlineStr">
        <is>
          <t>#cobblemon:is_overworld</t>
        </is>
      </c>
      <c r="Q176" s="19" t="inlineStr"/>
      <c r="R176" s="18">
        <f>IF(Q176="",P176,Q176)</f>
        <v/>
      </c>
      <c r="S176" s="18" t="inlineStr"/>
      <c r="T176" s="18" t="inlineStr">
        <is>
          <t>uncommon</t>
        </is>
      </c>
      <c r="U176" s="20" t="n">
        <v>9.6</v>
      </c>
      <c r="V176" s="21" t="n">
        <v>1</v>
      </c>
      <c r="W176" s="20">
        <f>IF(OR(U176="",V176=""),U176,U176*V176)</f>
        <v/>
      </c>
      <c r="X176" s="18" t="inlineStr">
        <is>
          <t>28-44</t>
        </is>
      </c>
      <c r="Y176" s="19" t="inlineStr"/>
      <c r="Z176" s="18">
        <f>IF(Y176="",X176,Y176)</f>
        <v/>
      </c>
      <c r="AA176" s="18" t="inlineStr">
        <is>
          <t>grounded</t>
        </is>
      </c>
      <c r="AB176" s="18" t="inlineStr"/>
      <c r="AC176" s="18" t="inlineStr"/>
      <c r="AD176" s="18" t="inlineStr">
        <is>
          <t>minY=62</t>
        </is>
      </c>
      <c r="AE176" s="18" t="inlineStr"/>
      <c r="AF176" s="18" t="inlineStr">
        <is>
          <t>False</t>
        </is>
      </c>
      <c r="AG176" s="18" t="inlineStr"/>
      <c r="AH176" s="18" t="inlineStr"/>
      <c r="AI176" s="18" t="inlineStr"/>
      <c r="AJ176" s="18" t="inlineStr">
        <is>
          <t>COBBLEVERSE 수정</t>
        </is>
      </c>
      <c r="AK176" s="18" t="inlineStr">
        <is>
          <t>사용</t>
        </is>
      </c>
      <c r="AL176" s="18" t="inlineStr">
        <is>
          <t>COBBLEVERSE 1.7.42 / DP v31</t>
        </is>
      </c>
      <c r="AM176" s="18" t="inlineStr">
        <is>
          <t>data/cobblemon/spawn_pool_world/0053_persian.json</t>
        </is>
      </c>
      <c r="AN176" s="18" t="inlineStr">
        <is>
          <t>persian-alolan-7</t>
        </is>
      </c>
      <c r="AO176" s="18" t="inlineStr">
        <is>
          <t>pokemon</t>
        </is>
      </c>
      <c r="AP176" s="18" t="inlineStr">
        <is>
          <t>illager_structures</t>
        </is>
      </c>
      <c r="AQ176" s="18" t="inlineStr">
        <is>
          <t>{"biomes":["#cobblemon:is_overworld"],"canSeeSky":false,"minY":62}</t>
        </is>
      </c>
      <c r="AR176" s="18" t="inlineStr"/>
      <c r="AS176" s="18" t="inlineStr"/>
      <c r="AT176" s="19" t="inlineStr"/>
    </row>
    <row r="177" ht="32" customHeight="1">
      <c r="A177" s="18" t="inlineStr">
        <is>
          <t>0054_psyduck.json::psyduck-1::001</t>
        </is>
      </c>
      <c r="B177" s="19" t="inlineStr">
        <is>
          <t>사용</t>
        </is>
      </c>
      <c r="C177" s="18">
        <f>IF(OR(B177&lt;&gt;AK177,M177&lt;&gt;L177,O177&lt;&gt;"",Q177&lt;&gt;"",V177&lt;&gt;1,Y177&lt;&gt;"",AT177&lt;&gt;""),"수정","원본")</f>
        <v/>
      </c>
      <c r="D177" s="18" t="n">
        <v>54</v>
      </c>
      <c r="E177" s="18" t="inlineStr">
        <is>
          <t>고라파덕</t>
        </is>
      </c>
      <c r="F177" s="18" t="inlineStr">
        <is>
          <t>psyduck</t>
        </is>
      </c>
      <c r="G177" s="18" t="inlineStr">
        <is>
          <t>psyduck</t>
        </is>
      </c>
      <c r="H177" s="18" t="inlineStr"/>
      <c r="I177" s="18" t="n">
        <v>1</v>
      </c>
      <c r="J177" s="18" t="n"/>
      <c r="K177" s="18" t="n">
        <v>1</v>
      </c>
      <c r="L177" s="18" t="inlineStr">
        <is>
          <t>cobbleventure:generation_1</t>
        </is>
      </c>
      <c r="M177" s="19" t="inlineStr">
        <is>
          <t>cobbleventure:generation_1</t>
        </is>
      </c>
      <c r="N177" s="18" t="inlineStr">
        <is>
          <t>region_02</t>
        </is>
      </c>
      <c r="O177" s="19" t="inlineStr"/>
      <c r="P177" s="18" t="inlineStr">
        <is>
          <t>#cobblemon:is_swamp</t>
        </is>
      </c>
      <c r="Q177" s="19" t="inlineStr"/>
      <c r="R177" s="18">
        <f>IF(Q177="",P177,Q177)</f>
        <v/>
      </c>
      <c r="S177" s="18" t="inlineStr"/>
      <c r="T177" s="18" t="inlineStr">
        <is>
          <t>common</t>
        </is>
      </c>
      <c r="U177" s="20" t="n">
        <v>5.4</v>
      </c>
      <c r="V177" s="21" t="n">
        <v>1</v>
      </c>
      <c r="W177" s="20">
        <f>IF(OR(U177="",V177=""),U177,U177*V177)</f>
        <v/>
      </c>
      <c r="X177" s="18" t="inlineStr">
        <is>
          <t>7-32</t>
        </is>
      </c>
      <c r="Y177" s="19" t="inlineStr"/>
      <c r="Z177" s="18">
        <f>IF(Y177="",X177,Y177)</f>
        <v/>
      </c>
      <c r="AA177" s="18" t="inlineStr">
        <is>
          <t>grounded</t>
        </is>
      </c>
      <c r="AB177" s="18" t="inlineStr"/>
      <c r="AC177" s="18" t="inlineStr"/>
      <c r="AD177" s="18" t="inlineStr"/>
      <c r="AE177" s="18" t="inlineStr">
        <is>
          <t>sky 8-15</t>
        </is>
      </c>
      <c r="AF177" s="18" t="inlineStr"/>
      <c r="AG177" s="18" t="inlineStr"/>
      <c r="AH177" s="18" t="inlineStr"/>
      <c r="AI177" s="18" t="inlineStr"/>
      <c r="AJ177" s="18" t="inlineStr">
        <is>
          <t>COBBLEVERSE 수정</t>
        </is>
      </c>
      <c r="AK177" s="18" t="inlineStr">
        <is>
          <t>사용</t>
        </is>
      </c>
      <c r="AL177" s="18" t="inlineStr">
        <is>
          <t>COBBLEVERSE 1.7.42 / DP v31</t>
        </is>
      </c>
      <c r="AM177" s="18" t="inlineStr">
        <is>
          <t>data/cobblemon/spawn_pool_world/0054_psyduck.json</t>
        </is>
      </c>
      <c r="AN177" s="18" t="inlineStr">
        <is>
          <t>psyduck-1</t>
        </is>
      </c>
      <c r="AO177" s="18" t="inlineStr">
        <is>
          <t>pokemon</t>
        </is>
      </c>
      <c r="AP177" s="18" t="inlineStr">
        <is>
          <t>natural</t>
        </is>
      </c>
      <c r="AQ177" s="18" t="inlineStr">
        <is>
          <t>{"biomes":["#cobblemon:is_swamp"],"maxSkyLight":15,"minSkyLight":8}</t>
        </is>
      </c>
      <c r="AR177" s="18" t="inlineStr"/>
      <c r="AS177" s="18" t="inlineStr"/>
      <c r="AT177" s="19" t="inlineStr"/>
    </row>
    <row r="178" ht="32" customHeight="1">
      <c r="A178" s="18" t="inlineStr">
        <is>
          <t>0054_psyduck.json::psyduck-2::002</t>
        </is>
      </c>
      <c r="B178" s="19" t="inlineStr">
        <is>
          <t>사용</t>
        </is>
      </c>
      <c r="C178" s="18">
        <f>IF(OR(B178&lt;&gt;AK178,M178&lt;&gt;L178,O178&lt;&gt;"",Q178&lt;&gt;"",V178&lt;&gt;1,Y178&lt;&gt;"",AT178&lt;&gt;""),"수정","원본")</f>
        <v/>
      </c>
      <c r="D178" s="18" t="n">
        <v>54</v>
      </c>
      <c r="E178" s="18" t="inlineStr">
        <is>
          <t>고라파덕</t>
        </is>
      </c>
      <c r="F178" s="18" t="inlineStr">
        <is>
          <t>psyduck</t>
        </is>
      </c>
      <c r="G178" s="18" t="inlineStr">
        <is>
          <t>psyduck</t>
        </is>
      </c>
      <c r="H178" s="18" t="inlineStr"/>
      <c r="I178" s="18" t="n">
        <v>1</v>
      </c>
      <c r="J178" s="18" t="n"/>
      <c r="K178" s="18" t="n">
        <v>1</v>
      </c>
      <c r="L178" s="18" t="inlineStr">
        <is>
          <t>cobbleventure:generation_1</t>
        </is>
      </c>
      <c r="M178" s="19" t="inlineStr">
        <is>
          <t>cobbleventure:generation_1</t>
        </is>
      </c>
      <c r="N178" s="18" t="inlineStr">
        <is>
          <t>region_01</t>
        </is>
      </c>
      <c r="O178" s="19" t="inlineStr"/>
      <c r="P178" s="18" t="inlineStr">
        <is>
          <t>#cobblemon:is_forest; #cobblemon:is_freshwater; #cobblemon:is_grassland; #cobblemon:is_magical; #cobblemon:is_tropical_island</t>
        </is>
      </c>
      <c r="Q178" s="19" t="inlineStr"/>
      <c r="R178" s="18">
        <f>IF(Q178="",P178,Q178)</f>
        <v/>
      </c>
      <c r="S178" s="18" t="inlineStr">
        <is>
          <t>#cobblemon:is_freezing; #cobblemon:is_swamp</t>
        </is>
      </c>
      <c r="T178" s="18" t="inlineStr">
        <is>
          <t>common</t>
        </is>
      </c>
      <c r="U178" s="20" t="n">
        <v>5.4</v>
      </c>
      <c r="V178" s="21" t="n">
        <v>1</v>
      </c>
      <c r="W178" s="20">
        <f>IF(OR(U178="",V178=""),U178,U178*V178)</f>
        <v/>
      </c>
      <c r="X178" s="18" t="inlineStr">
        <is>
          <t>7-32</t>
        </is>
      </c>
      <c r="Y178" s="19" t="inlineStr"/>
      <c r="Z178" s="18">
        <f>IF(Y178="",X178,Y178)</f>
        <v/>
      </c>
      <c r="AA178" s="18" t="inlineStr">
        <is>
          <t>grounded</t>
        </is>
      </c>
      <c r="AB178" s="18" t="inlineStr"/>
      <c r="AC178" s="18" t="inlineStr"/>
      <c r="AD178" s="18" t="inlineStr"/>
      <c r="AE178" s="18" t="inlineStr">
        <is>
          <t>sky 8-15</t>
        </is>
      </c>
      <c r="AF178" s="18" t="inlineStr"/>
      <c r="AG178" s="18" t="inlineStr"/>
      <c r="AH178" s="18" t="inlineStr">
        <is>
          <t>주변=minecraft:water; minecraft:flowing_water</t>
        </is>
      </c>
      <c r="AI178" s="18" t="inlineStr"/>
      <c r="AJ178" s="18" t="inlineStr">
        <is>
          <t>COBBLEVERSE 수정</t>
        </is>
      </c>
      <c r="AK178" s="18" t="inlineStr">
        <is>
          <t>사용</t>
        </is>
      </c>
      <c r="AL178" s="18" t="inlineStr">
        <is>
          <t>COBBLEVERSE 1.7.42 / DP v31</t>
        </is>
      </c>
      <c r="AM178" s="18" t="inlineStr">
        <is>
          <t>data/cobblemon/spawn_pool_world/0054_psyduck.json</t>
        </is>
      </c>
      <c r="AN178" s="18" t="inlineStr">
        <is>
          <t>psyduck-2</t>
        </is>
      </c>
      <c r="AO178" s="18" t="inlineStr">
        <is>
          <t>pokemon</t>
        </is>
      </c>
      <c r="AP178" s="18" t="inlineStr">
        <is>
          <t>natural</t>
        </is>
      </c>
      <c r="AQ178" s="18" t="inlineStr">
        <is>
          <t>{"biomes":["#cobblemon:is_forest","#cobblemon:is_freshwater","#cobblemon:is_grassland","#cobblemon:is_magical","#cobblemon:is_tropical_island"],"maxSkyLight":15,"minSkyLight":8,"neededNearbyBlocks":["minecraft:water","minecraft:flowing_water"]}</t>
        </is>
      </c>
      <c r="AR178" s="18" t="inlineStr">
        <is>
          <t>{"biomes":["#cobblemon:is_freezing","#cobblemon:is_swamp"]}</t>
        </is>
      </c>
      <c r="AS178" s="18" t="inlineStr"/>
      <c r="AT178" s="19" t="inlineStr"/>
    </row>
    <row r="179" ht="32" customHeight="1">
      <c r="A179" s="18" t="inlineStr">
        <is>
          <t>0054_psyduck.json::psyduck-3::003</t>
        </is>
      </c>
      <c r="B179" s="19" t="inlineStr">
        <is>
          <t>사용</t>
        </is>
      </c>
      <c r="C179" s="18">
        <f>IF(OR(B179&lt;&gt;AK179,M179&lt;&gt;L179,O179&lt;&gt;"",Q179&lt;&gt;"",V179&lt;&gt;1,Y179&lt;&gt;"",AT179&lt;&gt;""),"수정","원본")</f>
        <v/>
      </c>
      <c r="D179" s="18" t="n">
        <v>54</v>
      </c>
      <c r="E179" s="18" t="inlineStr">
        <is>
          <t>고라파덕</t>
        </is>
      </c>
      <c r="F179" s="18" t="inlineStr">
        <is>
          <t>psyduck</t>
        </is>
      </c>
      <c r="G179" s="18" t="inlineStr">
        <is>
          <t>psyduck</t>
        </is>
      </c>
      <c r="H179" s="18" t="inlineStr"/>
      <c r="I179" s="18" t="n">
        <v>1</v>
      </c>
      <c r="J179" s="18" t="n"/>
      <c r="K179" s="18" t="n">
        <v>1</v>
      </c>
      <c r="L179" s="18" t="inlineStr">
        <is>
          <t>cobbleventure:generation_1</t>
        </is>
      </c>
      <c r="M179" s="19" t="inlineStr">
        <is>
          <t>cobbleventure:generation_1</t>
        </is>
      </c>
      <c r="N179" s="18" t="inlineStr">
        <is>
          <t>region_01; region_02</t>
        </is>
      </c>
      <c r="O179" s="19" t="inlineStr"/>
      <c r="P179" s="18" t="inlineStr">
        <is>
          <t>#cobblemon:is_forest; #cobblemon:is_freshwater; #cobblemon:is_grassland; #cobblemon:is_magical; #cobblemon:is_tropical_island</t>
        </is>
      </c>
      <c r="Q179" s="19" t="inlineStr"/>
      <c r="R179" s="18">
        <f>IF(Q179="",P179,Q179)</f>
        <v/>
      </c>
      <c r="S179" s="18" t="inlineStr">
        <is>
          <t>#cobblemon:is_freezing</t>
        </is>
      </c>
      <c r="T179" s="18" t="inlineStr">
        <is>
          <t>common</t>
        </is>
      </c>
      <c r="U179" s="20" t="n">
        <v>5.4</v>
      </c>
      <c r="V179" s="21" t="n">
        <v>1</v>
      </c>
      <c r="W179" s="20">
        <f>IF(OR(U179="",V179=""),U179,U179*V179)</f>
        <v/>
      </c>
      <c r="X179" s="18" t="inlineStr">
        <is>
          <t>7-32</t>
        </is>
      </c>
      <c r="Y179" s="19" t="inlineStr"/>
      <c r="Z179" s="18">
        <f>IF(Y179="",X179,Y179)</f>
        <v/>
      </c>
      <c r="AA179" s="18" t="inlineStr">
        <is>
          <t>submerged</t>
        </is>
      </c>
      <c r="AB179" s="18" t="inlineStr"/>
      <c r="AC179" s="18" t="inlineStr"/>
      <c r="AD179" s="18" t="inlineStr"/>
      <c r="AE179" s="18" t="inlineStr">
        <is>
          <t>sky 8-15</t>
        </is>
      </c>
      <c r="AF179" s="18" t="inlineStr">
        <is>
          <t>True</t>
        </is>
      </c>
      <c r="AG179" s="18" t="inlineStr"/>
      <c r="AH179" s="18" t="inlineStr"/>
      <c r="AI179" s="18" t="inlineStr"/>
      <c r="AJ179" s="18" t="inlineStr">
        <is>
          <t>COBBLEVERSE 수정</t>
        </is>
      </c>
      <c r="AK179" s="18" t="inlineStr">
        <is>
          <t>사용</t>
        </is>
      </c>
      <c r="AL179" s="18" t="inlineStr">
        <is>
          <t>COBBLEVERSE 1.7.42 / DP v31</t>
        </is>
      </c>
      <c r="AM179" s="18" t="inlineStr">
        <is>
          <t>data/cobblemon/spawn_pool_world/0054_psyduck.json</t>
        </is>
      </c>
      <c r="AN179" s="18" t="inlineStr">
        <is>
          <t>psyduck-3</t>
        </is>
      </c>
      <c r="AO179" s="18" t="inlineStr">
        <is>
          <t>pokemon</t>
        </is>
      </c>
      <c r="AP179" s="18" t="inlineStr">
        <is>
          <t>water</t>
        </is>
      </c>
      <c r="AQ179" s="18" t="inlineStr">
        <is>
          <t>{"biomes":["#cobblemon:is_forest","#cobblemon:is_freshwater","#cobblemon:is_grassland","#cobblemon:is_magical","#cobblemon:is_tropical_island"],"canSeeSky":true,"maxSkyLight":15,"minSkyLight":8}</t>
        </is>
      </c>
      <c r="AR179" s="18" t="inlineStr">
        <is>
          <t>{"biomes":["#cobblemon:is_freezing"]}</t>
        </is>
      </c>
      <c r="AS179" s="18" t="inlineStr"/>
      <c r="AT179" s="19" t="inlineStr"/>
    </row>
    <row r="180" ht="32" customHeight="1">
      <c r="A180" s="18" t="inlineStr">
        <is>
          <t>0054_psyduck.json::psyduck-4::004</t>
        </is>
      </c>
      <c r="B180" s="19" t="inlineStr">
        <is>
          <t>사용</t>
        </is>
      </c>
      <c r="C180" s="18">
        <f>IF(OR(B180&lt;&gt;AK180,M180&lt;&gt;L180,O180&lt;&gt;"",Q180&lt;&gt;"",V180&lt;&gt;1,Y180&lt;&gt;"",AT180&lt;&gt;""),"수정","원본")</f>
        <v/>
      </c>
      <c r="D180" s="18" t="n">
        <v>54</v>
      </c>
      <c r="E180" s="18" t="inlineStr">
        <is>
          <t>고라파덕</t>
        </is>
      </c>
      <c r="F180" s="18" t="inlineStr">
        <is>
          <t>psyduck</t>
        </is>
      </c>
      <c r="G180" s="18" t="inlineStr">
        <is>
          <t>psyduck</t>
        </is>
      </c>
      <c r="H180" s="18" t="inlineStr"/>
      <c r="I180" s="18" t="n">
        <v>1</v>
      </c>
      <c r="J180" s="18" t="n"/>
      <c r="K180" s="18" t="n">
        <v>1</v>
      </c>
      <c r="L180" s="18" t="inlineStr">
        <is>
          <t>cobbleventure:generation_1</t>
        </is>
      </c>
      <c r="M180" s="19" t="inlineStr">
        <is>
          <t>cobbleventure:generation_1</t>
        </is>
      </c>
      <c r="N180" s="18" t="inlineStr">
        <is>
          <t>region_01; region_02</t>
        </is>
      </c>
      <c r="O180" s="19" t="inlineStr"/>
      <c r="P180" s="18" t="inlineStr">
        <is>
          <t>#cobblemon:is_forest; #cobblemon:is_freshwater; #cobblemon:is_grassland; #cobblemon:is_magical; #cobblemon:is_tropical_island</t>
        </is>
      </c>
      <c r="Q180" s="19" t="inlineStr"/>
      <c r="R180" s="18">
        <f>IF(Q180="",P180,Q180)</f>
        <v/>
      </c>
      <c r="S180" s="18" t="inlineStr">
        <is>
          <t>#cobblemon:is_freezing</t>
        </is>
      </c>
      <c r="T180" s="18" t="inlineStr">
        <is>
          <t>common</t>
        </is>
      </c>
      <c r="U180" s="20" t="n">
        <v>1.8</v>
      </c>
      <c r="V180" s="21" t="n">
        <v>1</v>
      </c>
      <c r="W180" s="20">
        <f>IF(OR(U180="",V180=""),U180,U180*V180)</f>
        <v/>
      </c>
      <c r="X180" s="18" t="inlineStr">
        <is>
          <t>7-32</t>
        </is>
      </c>
      <c r="Y180" s="19" t="inlineStr"/>
      <c r="Z180" s="18">
        <f>IF(Y180="",X180,Y180)</f>
        <v/>
      </c>
      <c r="AA180" s="18" t="inlineStr">
        <is>
          <t>fishing</t>
        </is>
      </c>
      <c r="AB180" s="18" t="inlineStr"/>
      <c r="AC180" s="18" t="inlineStr"/>
      <c r="AD180" s="18" t="inlineStr"/>
      <c r="AE180" s="18" t="inlineStr">
        <is>
          <t>sky 8-15</t>
        </is>
      </c>
      <c r="AF180" s="18" t="inlineStr">
        <is>
          <t>True</t>
        </is>
      </c>
      <c r="AG180" s="18" t="inlineStr"/>
      <c r="AH180" s="18" t="inlineStr"/>
      <c r="AI180" s="18" t="inlineStr"/>
      <c r="AJ180" s="18" t="inlineStr">
        <is>
          <t>COBBLEVERSE 수정</t>
        </is>
      </c>
      <c r="AK180" s="18" t="inlineStr">
        <is>
          <t>사용</t>
        </is>
      </c>
      <c r="AL180" s="18" t="inlineStr">
        <is>
          <t>COBBLEVERSE 1.7.42 / DP v31</t>
        </is>
      </c>
      <c r="AM180" s="18" t="inlineStr">
        <is>
          <t>data/cobblemon/spawn_pool_world/0054_psyduck.json</t>
        </is>
      </c>
      <c r="AN180" s="18" t="inlineStr">
        <is>
          <t>psyduck-4</t>
        </is>
      </c>
      <c r="AO180" s="18" t="inlineStr">
        <is>
          <t>pokemon</t>
        </is>
      </c>
      <c r="AP180" s="18" t="inlineStr"/>
      <c r="AQ180" s="18" t="inlineStr">
        <is>
          <t>{"biomes":["#cobblemon:is_forest","#cobblemon:is_freshwater","#cobblemon:is_grassland","#cobblemon:is_magical","#cobblemon:is_tropical_island"],"canSeeSky":true,"maxSkyLight":15,"minSkyLight":8}</t>
        </is>
      </c>
      <c r="AR180" s="18" t="inlineStr">
        <is>
          <t>{"biomes":["#cobblemon:is_freezing"]}</t>
        </is>
      </c>
      <c r="AS180" s="18" t="inlineStr">
        <is>
          <t>{"weightMultipliers":[{"condition":{"maxLureLevel":2,"minLureLevel":2},"multiplier":3},{"condition":{"minLureLevel":3},"multiplier":5}]}</t>
        </is>
      </c>
      <c r="AT180" s="19" t="inlineStr"/>
    </row>
    <row r="181" ht="32" customHeight="1">
      <c r="A181" s="18" t="inlineStr">
        <is>
          <t>0055_golduck.json::golduck-1::001</t>
        </is>
      </c>
      <c r="B181" s="19" t="inlineStr">
        <is>
          <t>사용</t>
        </is>
      </c>
      <c r="C181" s="18">
        <f>IF(OR(B181&lt;&gt;AK181,M181&lt;&gt;L181,O181&lt;&gt;"",Q181&lt;&gt;"",V181&lt;&gt;1,Y181&lt;&gt;"",AT181&lt;&gt;""),"수정","원본")</f>
        <v/>
      </c>
      <c r="D181" s="18" t="n">
        <v>55</v>
      </c>
      <c r="E181" s="18" t="inlineStr">
        <is>
          <t>골덕</t>
        </is>
      </c>
      <c r="F181" s="18" t="inlineStr">
        <is>
          <t>golduck</t>
        </is>
      </c>
      <c r="G181" s="18" t="inlineStr">
        <is>
          <t>golduck</t>
        </is>
      </c>
      <c r="H181" s="18" t="inlineStr"/>
      <c r="I181" s="18" t="n">
        <v>1</v>
      </c>
      <c r="J181" s="18" t="n"/>
      <c r="K181" s="18" t="n">
        <v>1</v>
      </c>
      <c r="L181" s="18" t="inlineStr">
        <is>
          <t>cobbleventure:generation_1</t>
        </is>
      </c>
      <c r="M181" s="19" t="inlineStr">
        <is>
          <t>cobbleventure:generation_1</t>
        </is>
      </c>
      <c r="N181" s="18" t="inlineStr">
        <is>
          <t>region_02</t>
        </is>
      </c>
      <c r="O181" s="19" t="inlineStr"/>
      <c r="P181" s="18" t="inlineStr">
        <is>
          <t>#cobblemon:is_swamp</t>
        </is>
      </c>
      <c r="Q181" s="19" t="inlineStr"/>
      <c r="R181" s="18">
        <f>IF(Q181="",P181,Q181)</f>
        <v/>
      </c>
      <c r="S181" s="18" t="inlineStr"/>
      <c r="T181" s="18" t="inlineStr">
        <is>
          <t>common</t>
        </is>
      </c>
      <c r="U181" s="20" t="n">
        <v>0.6</v>
      </c>
      <c r="V181" s="21" t="n">
        <v>1</v>
      </c>
      <c r="W181" s="20">
        <f>IF(OR(U181="",V181=""),U181,U181*V181)</f>
        <v/>
      </c>
      <c r="X181" s="18" t="inlineStr">
        <is>
          <t>33-50</t>
        </is>
      </c>
      <c r="Y181" s="19" t="inlineStr"/>
      <c r="Z181" s="18">
        <f>IF(Y181="",X181,Y181)</f>
        <v/>
      </c>
      <c r="AA181" s="18" t="inlineStr">
        <is>
          <t>grounded</t>
        </is>
      </c>
      <c r="AB181" s="18" t="inlineStr"/>
      <c r="AC181" s="18" t="inlineStr"/>
      <c r="AD181" s="18" t="inlineStr"/>
      <c r="AE181" s="18" t="inlineStr">
        <is>
          <t>sky 8-15</t>
        </is>
      </c>
      <c r="AF181" s="18" t="inlineStr"/>
      <c r="AG181" s="18" t="inlineStr"/>
      <c r="AH181" s="18" t="inlineStr"/>
      <c r="AI181" s="18" t="inlineStr"/>
      <c r="AJ181" s="18" t="inlineStr">
        <is>
          <t>COBBLEVERSE 수정</t>
        </is>
      </c>
      <c r="AK181" s="18" t="inlineStr">
        <is>
          <t>사용</t>
        </is>
      </c>
      <c r="AL181" s="18" t="inlineStr">
        <is>
          <t>COBBLEVERSE 1.7.42 / DP v31</t>
        </is>
      </c>
      <c r="AM181" s="18" t="inlineStr">
        <is>
          <t>data/cobblemon/spawn_pool_world/0055_golduck.json</t>
        </is>
      </c>
      <c r="AN181" s="18" t="inlineStr">
        <is>
          <t>golduck-1</t>
        </is>
      </c>
      <c r="AO181" s="18" t="inlineStr">
        <is>
          <t>pokemon</t>
        </is>
      </c>
      <c r="AP181" s="18" t="inlineStr">
        <is>
          <t>natural</t>
        </is>
      </c>
      <c r="AQ181" s="18" t="inlineStr">
        <is>
          <t>{"biomes":["#cobblemon:is_swamp"],"maxSkyLight":15,"minSkyLight":8}</t>
        </is>
      </c>
      <c r="AR181" s="18" t="inlineStr"/>
      <c r="AS181" s="18" t="inlineStr"/>
      <c r="AT181" s="19" t="inlineStr"/>
    </row>
    <row r="182" ht="32" customHeight="1">
      <c r="A182" s="18" t="inlineStr">
        <is>
          <t>0055_golduck.json::golduck-2::002</t>
        </is>
      </c>
      <c r="B182" s="19" t="inlineStr">
        <is>
          <t>사용</t>
        </is>
      </c>
      <c r="C182" s="18">
        <f>IF(OR(B182&lt;&gt;AK182,M182&lt;&gt;L182,O182&lt;&gt;"",Q182&lt;&gt;"",V182&lt;&gt;1,Y182&lt;&gt;"",AT182&lt;&gt;""),"수정","원본")</f>
        <v/>
      </c>
      <c r="D182" s="18" t="n">
        <v>55</v>
      </c>
      <c r="E182" s="18" t="inlineStr">
        <is>
          <t>골덕</t>
        </is>
      </c>
      <c r="F182" s="18" t="inlineStr">
        <is>
          <t>golduck</t>
        </is>
      </c>
      <c r="G182" s="18" t="inlineStr">
        <is>
          <t>golduck</t>
        </is>
      </c>
      <c r="H182" s="18" t="inlineStr"/>
      <c r="I182" s="18" t="n">
        <v>1</v>
      </c>
      <c r="J182" s="18" t="n"/>
      <c r="K182" s="18" t="n">
        <v>1</v>
      </c>
      <c r="L182" s="18" t="inlineStr">
        <is>
          <t>cobbleventure:generation_1</t>
        </is>
      </c>
      <c r="M182" s="19" t="inlineStr">
        <is>
          <t>cobbleventure:generation_1</t>
        </is>
      </c>
      <c r="N182" s="18" t="inlineStr">
        <is>
          <t>region_01</t>
        </is>
      </c>
      <c r="O182" s="19" t="inlineStr"/>
      <c r="P182" s="18" t="inlineStr">
        <is>
          <t>#cobblemon:is_forest; #cobblemon:is_freshwater; #cobblemon:is_grassland; #cobblemon:is_magical; #cobblemon:is_tropical_island</t>
        </is>
      </c>
      <c r="Q182" s="19" t="inlineStr"/>
      <c r="R182" s="18">
        <f>IF(Q182="",P182,Q182)</f>
        <v/>
      </c>
      <c r="S182" s="18" t="inlineStr">
        <is>
          <t>#cobblemon:is_freezing; #cobblemon:is_swamp</t>
        </is>
      </c>
      <c r="T182" s="18" t="inlineStr">
        <is>
          <t>common</t>
        </is>
      </c>
      <c r="U182" s="20" t="n">
        <v>0.6</v>
      </c>
      <c r="V182" s="21" t="n">
        <v>1</v>
      </c>
      <c r="W182" s="20">
        <f>IF(OR(U182="",V182=""),U182,U182*V182)</f>
        <v/>
      </c>
      <c r="X182" s="18" t="inlineStr">
        <is>
          <t>33-50</t>
        </is>
      </c>
      <c r="Y182" s="19" t="inlineStr"/>
      <c r="Z182" s="18">
        <f>IF(Y182="",X182,Y182)</f>
        <v/>
      </c>
      <c r="AA182" s="18" t="inlineStr">
        <is>
          <t>grounded</t>
        </is>
      </c>
      <c r="AB182" s="18" t="inlineStr"/>
      <c r="AC182" s="18" t="inlineStr"/>
      <c r="AD182" s="18" t="inlineStr"/>
      <c r="AE182" s="18" t="inlineStr">
        <is>
          <t>sky 8-15</t>
        </is>
      </c>
      <c r="AF182" s="18" t="inlineStr"/>
      <c r="AG182" s="18" t="inlineStr"/>
      <c r="AH182" s="18" t="inlineStr">
        <is>
          <t>주변=minecraft:water; minecraft:flowing_water</t>
        </is>
      </c>
      <c r="AI182" s="18" t="inlineStr"/>
      <c r="AJ182" s="18" t="inlineStr">
        <is>
          <t>COBBLEVERSE 수정</t>
        </is>
      </c>
      <c r="AK182" s="18" t="inlineStr">
        <is>
          <t>사용</t>
        </is>
      </c>
      <c r="AL182" s="18" t="inlineStr">
        <is>
          <t>COBBLEVERSE 1.7.42 / DP v31</t>
        </is>
      </c>
      <c r="AM182" s="18" t="inlineStr">
        <is>
          <t>data/cobblemon/spawn_pool_world/0055_golduck.json</t>
        </is>
      </c>
      <c r="AN182" s="18" t="inlineStr">
        <is>
          <t>golduck-2</t>
        </is>
      </c>
      <c r="AO182" s="18" t="inlineStr">
        <is>
          <t>pokemon</t>
        </is>
      </c>
      <c r="AP182" s="18" t="inlineStr">
        <is>
          <t>natural</t>
        </is>
      </c>
      <c r="AQ182" s="18" t="inlineStr">
        <is>
          <t>{"biomes":["#cobblemon:is_forest","#cobblemon:is_freshwater","#cobblemon:is_grassland","#cobblemon:is_magical","#cobblemon:is_tropical_island"],"maxSkyLight":15,"minSkyLight":8,"neededNearbyBlocks":["minecraft:water","minecraft:flowing_water"]}</t>
        </is>
      </c>
      <c r="AR182" s="18" t="inlineStr">
        <is>
          <t>{"biomes":["#cobblemon:is_freezing","#cobblemon:is_swamp"]}</t>
        </is>
      </c>
      <c r="AS182" s="18" t="inlineStr"/>
      <c r="AT182" s="19" t="inlineStr"/>
    </row>
    <row r="183" ht="32" customHeight="1">
      <c r="A183" s="18" t="inlineStr">
        <is>
          <t>0055_golduck.json::golduck-3::003</t>
        </is>
      </c>
      <c r="B183" s="19" t="inlineStr">
        <is>
          <t>사용</t>
        </is>
      </c>
      <c r="C183" s="18">
        <f>IF(OR(B183&lt;&gt;AK183,M183&lt;&gt;L183,O183&lt;&gt;"",Q183&lt;&gt;"",V183&lt;&gt;1,Y183&lt;&gt;"",AT183&lt;&gt;""),"수정","원본")</f>
        <v/>
      </c>
      <c r="D183" s="18" t="n">
        <v>55</v>
      </c>
      <c r="E183" s="18" t="inlineStr">
        <is>
          <t>골덕</t>
        </is>
      </c>
      <c r="F183" s="18" t="inlineStr">
        <is>
          <t>golduck</t>
        </is>
      </c>
      <c r="G183" s="18" t="inlineStr">
        <is>
          <t>golduck</t>
        </is>
      </c>
      <c r="H183" s="18" t="inlineStr"/>
      <c r="I183" s="18" t="n">
        <v>1</v>
      </c>
      <c r="J183" s="18" t="n"/>
      <c r="K183" s="18" t="n">
        <v>1</v>
      </c>
      <c r="L183" s="18" t="inlineStr">
        <is>
          <t>cobbleventure:generation_1</t>
        </is>
      </c>
      <c r="M183" s="19" t="inlineStr">
        <is>
          <t>cobbleventure:generation_1</t>
        </is>
      </c>
      <c r="N183" s="18" t="inlineStr">
        <is>
          <t>region_01; region_02</t>
        </is>
      </c>
      <c r="O183" s="19" t="inlineStr"/>
      <c r="P183" s="18" t="inlineStr">
        <is>
          <t>#cobblemon:is_forest; #cobblemon:is_freshwater; #cobblemon:is_grassland; #cobblemon:is_magical; #cobblemon:is_tropical_island</t>
        </is>
      </c>
      <c r="Q183" s="19" t="inlineStr"/>
      <c r="R183" s="18">
        <f>IF(Q183="",P183,Q183)</f>
        <v/>
      </c>
      <c r="S183" s="18" t="inlineStr">
        <is>
          <t>#cobblemon:is_freezing</t>
        </is>
      </c>
      <c r="T183" s="18" t="inlineStr">
        <is>
          <t>common</t>
        </is>
      </c>
      <c r="U183" s="20" t="n">
        <v>0.6</v>
      </c>
      <c r="V183" s="21" t="n">
        <v>1</v>
      </c>
      <c r="W183" s="20">
        <f>IF(OR(U183="",V183=""),U183,U183*V183)</f>
        <v/>
      </c>
      <c r="X183" s="18" t="inlineStr">
        <is>
          <t>33-50</t>
        </is>
      </c>
      <c r="Y183" s="19" t="inlineStr"/>
      <c r="Z183" s="18">
        <f>IF(Y183="",X183,Y183)</f>
        <v/>
      </c>
      <c r="AA183" s="18" t="inlineStr">
        <is>
          <t>submerged</t>
        </is>
      </c>
      <c r="AB183" s="18" t="inlineStr"/>
      <c r="AC183" s="18" t="inlineStr"/>
      <c r="AD183" s="18" t="inlineStr"/>
      <c r="AE183" s="18" t="inlineStr">
        <is>
          <t>sky 8-15</t>
        </is>
      </c>
      <c r="AF183" s="18" t="inlineStr">
        <is>
          <t>True</t>
        </is>
      </c>
      <c r="AG183" s="18" t="inlineStr"/>
      <c r="AH183" s="18" t="inlineStr"/>
      <c r="AI183" s="18" t="inlineStr"/>
      <c r="AJ183" s="18" t="inlineStr">
        <is>
          <t>COBBLEVERSE 수정</t>
        </is>
      </c>
      <c r="AK183" s="18" t="inlineStr">
        <is>
          <t>사용</t>
        </is>
      </c>
      <c r="AL183" s="18" t="inlineStr">
        <is>
          <t>COBBLEVERSE 1.7.42 / DP v31</t>
        </is>
      </c>
      <c r="AM183" s="18" t="inlineStr">
        <is>
          <t>data/cobblemon/spawn_pool_world/0055_golduck.json</t>
        </is>
      </c>
      <c r="AN183" s="18" t="inlineStr">
        <is>
          <t>golduck-3</t>
        </is>
      </c>
      <c r="AO183" s="18" t="inlineStr">
        <is>
          <t>pokemon</t>
        </is>
      </c>
      <c r="AP183" s="18" t="inlineStr">
        <is>
          <t>water</t>
        </is>
      </c>
      <c r="AQ183" s="18" t="inlineStr">
        <is>
          <t>{"biomes":["#cobblemon:is_forest","#cobblemon:is_freshwater","#cobblemon:is_grassland","#cobblemon:is_magical","#cobblemon:is_tropical_island"],"canSeeSky":true,"maxSkyLight":15,"minSkyLight":8}</t>
        </is>
      </c>
      <c r="AR183" s="18" t="inlineStr">
        <is>
          <t>{"biomes":["#cobblemon:is_freezing"]}</t>
        </is>
      </c>
      <c r="AS183" s="18" t="inlineStr"/>
      <c r="AT183" s="19" t="inlineStr"/>
    </row>
    <row r="184" ht="32" customHeight="1">
      <c r="A184" s="18" t="inlineStr">
        <is>
          <t>0055_golduck.json::golduck-4::004</t>
        </is>
      </c>
      <c r="B184" s="19" t="inlineStr">
        <is>
          <t>사용</t>
        </is>
      </c>
      <c r="C184" s="18">
        <f>IF(OR(B184&lt;&gt;AK184,M184&lt;&gt;L184,O184&lt;&gt;"",Q184&lt;&gt;"",V184&lt;&gt;1,Y184&lt;&gt;"",AT184&lt;&gt;""),"수정","원본")</f>
        <v/>
      </c>
      <c r="D184" s="18" t="n">
        <v>55</v>
      </c>
      <c r="E184" s="18" t="inlineStr">
        <is>
          <t>골덕</t>
        </is>
      </c>
      <c r="F184" s="18" t="inlineStr">
        <is>
          <t>golduck</t>
        </is>
      </c>
      <c r="G184" s="18" t="inlineStr">
        <is>
          <t>golduck</t>
        </is>
      </c>
      <c r="H184" s="18" t="inlineStr"/>
      <c r="I184" s="18" t="n">
        <v>1</v>
      </c>
      <c r="J184" s="18" t="n"/>
      <c r="K184" s="18" t="n">
        <v>1</v>
      </c>
      <c r="L184" s="18" t="inlineStr">
        <is>
          <t>cobbleventure:generation_1</t>
        </is>
      </c>
      <c r="M184" s="19" t="inlineStr">
        <is>
          <t>cobbleventure:generation_1</t>
        </is>
      </c>
      <c r="N184" s="18" t="inlineStr">
        <is>
          <t>region_01; region_02</t>
        </is>
      </c>
      <c r="O184" s="19" t="inlineStr"/>
      <c r="P184" s="18" t="inlineStr">
        <is>
          <t>#cobblemon:is_forest; #cobblemon:is_freshwater; #cobblemon:is_grassland; #cobblemon:is_magical; #cobblemon:is_tropical_island</t>
        </is>
      </c>
      <c r="Q184" s="19" t="inlineStr"/>
      <c r="R184" s="18">
        <f>IF(Q184="",P184,Q184)</f>
        <v/>
      </c>
      <c r="S184" s="18" t="inlineStr">
        <is>
          <t>#cobblemon:is_freezing</t>
        </is>
      </c>
      <c r="T184" s="18" t="inlineStr">
        <is>
          <t>common</t>
        </is>
      </c>
      <c r="U184" s="20" t="n">
        <v>0.2</v>
      </c>
      <c r="V184" s="21" t="n">
        <v>1</v>
      </c>
      <c r="W184" s="20">
        <f>IF(OR(U184="",V184=""),U184,U184*V184)</f>
        <v/>
      </c>
      <c r="X184" s="18" t="inlineStr">
        <is>
          <t>33-50</t>
        </is>
      </c>
      <c r="Y184" s="19" t="inlineStr"/>
      <c r="Z184" s="18">
        <f>IF(Y184="",X184,Y184)</f>
        <v/>
      </c>
      <c r="AA184" s="18" t="inlineStr">
        <is>
          <t>fishing</t>
        </is>
      </c>
      <c r="AB184" s="18" t="inlineStr"/>
      <c r="AC184" s="18" t="inlineStr"/>
      <c r="AD184" s="18" t="inlineStr"/>
      <c r="AE184" s="18" t="inlineStr">
        <is>
          <t>sky 8-15</t>
        </is>
      </c>
      <c r="AF184" s="18" t="inlineStr">
        <is>
          <t>True</t>
        </is>
      </c>
      <c r="AG184" s="18" t="inlineStr"/>
      <c r="AH184" s="18" t="inlineStr"/>
      <c r="AI184" s="18" t="inlineStr"/>
      <c r="AJ184" s="18" t="inlineStr">
        <is>
          <t>COBBLEVERSE 수정</t>
        </is>
      </c>
      <c r="AK184" s="18" t="inlineStr">
        <is>
          <t>사용</t>
        </is>
      </c>
      <c r="AL184" s="18" t="inlineStr">
        <is>
          <t>COBBLEVERSE 1.7.42 / DP v31</t>
        </is>
      </c>
      <c r="AM184" s="18" t="inlineStr">
        <is>
          <t>data/cobblemon/spawn_pool_world/0055_golduck.json</t>
        </is>
      </c>
      <c r="AN184" s="18" t="inlineStr">
        <is>
          <t>golduck-4</t>
        </is>
      </c>
      <c r="AO184" s="18" t="inlineStr">
        <is>
          <t>pokemon</t>
        </is>
      </c>
      <c r="AP184" s="18" t="inlineStr"/>
      <c r="AQ184" s="18" t="inlineStr">
        <is>
          <t>{"biomes":["#cobblemon:is_forest","#cobblemon:is_freshwater","#cobblemon:is_grassland","#cobblemon:is_magical","#cobblemon:is_tropical_island"],"canSeeSky":true,"maxSkyLight":15,"minSkyLight":8}</t>
        </is>
      </c>
      <c r="AR184" s="18" t="inlineStr">
        <is>
          <t>{"biomes":["#cobblemon:is_freezing"]}</t>
        </is>
      </c>
      <c r="AS184" s="18" t="inlineStr">
        <is>
          <t>{"weightMultipliers":[{"condition":{"maxLureLevel":2,"minLureLevel":2},"multiplier":3},{"condition":{"minLureLevel":3},"multiplier":5}]}</t>
        </is>
      </c>
      <c r="AT184" s="19" t="inlineStr"/>
    </row>
    <row r="185" ht="32" customHeight="1">
      <c r="A185" s="18" t="inlineStr">
        <is>
          <t>0056_mankey.json::mankey-1::001</t>
        </is>
      </c>
      <c r="B185" s="19" t="inlineStr">
        <is>
          <t>사용</t>
        </is>
      </c>
      <c r="C185" s="18">
        <f>IF(OR(B185&lt;&gt;AK185,M185&lt;&gt;L185,O185&lt;&gt;"",Q185&lt;&gt;"",V185&lt;&gt;1,Y185&lt;&gt;"",AT185&lt;&gt;""),"수정","원본")</f>
        <v/>
      </c>
      <c r="D185" s="18" t="n">
        <v>56</v>
      </c>
      <c r="E185" s="18" t="inlineStr">
        <is>
          <t>망키</t>
        </is>
      </c>
      <c r="F185" s="18" t="inlineStr">
        <is>
          <t>mankey</t>
        </is>
      </c>
      <c r="G185" s="18" t="inlineStr">
        <is>
          <t>mankey</t>
        </is>
      </c>
      <c r="H185" s="18" t="inlineStr"/>
      <c r="I185" s="18" t="n">
        <v>1</v>
      </c>
      <c r="J185" s="18" t="n"/>
      <c r="K185" s="18" t="n">
        <v>1</v>
      </c>
      <c r="L185" s="18" t="inlineStr">
        <is>
          <t>cobbleventure:generation_1</t>
        </is>
      </c>
      <c r="M185" s="19" t="inlineStr">
        <is>
          <t>cobbleventure:generation_1</t>
        </is>
      </c>
      <c r="N185" s="18" t="inlineStr"/>
      <c r="O185" s="19" t="inlineStr"/>
      <c r="P185" s="18" t="inlineStr">
        <is>
          <t>#cobblemon:is_hills; #cobblemon:is_jungle</t>
        </is>
      </c>
      <c r="Q185" s="19" t="inlineStr"/>
      <c r="R185" s="18">
        <f>IF(Q185="",P185,Q185)</f>
        <v/>
      </c>
      <c r="S185" s="18" t="inlineStr"/>
      <c r="T185" s="18" t="inlineStr">
        <is>
          <t>common</t>
        </is>
      </c>
      <c r="U185" s="20" t="n">
        <v>5.4</v>
      </c>
      <c r="V185" s="21" t="n">
        <v>1</v>
      </c>
      <c r="W185" s="20">
        <f>IF(OR(U185="",V185=""),U185,U185*V185)</f>
        <v/>
      </c>
      <c r="X185" s="18" t="inlineStr">
        <is>
          <t>6-31</t>
        </is>
      </c>
      <c r="Y185" s="19" t="inlineStr"/>
      <c r="Z185" s="18">
        <f>IF(Y185="",X185,Y185)</f>
        <v/>
      </c>
      <c r="AA185" s="18" t="inlineStr">
        <is>
          <t>grounded</t>
        </is>
      </c>
      <c r="AB185" s="18" t="inlineStr"/>
      <c r="AC185" s="18" t="inlineStr"/>
      <c r="AD185" s="18" t="inlineStr"/>
      <c r="AE185" s="18" t="inlineStr">
        <is>
          <t>sky 8-15</t>
        </is>
      </c>
      <c r="AF185" s="18" t="inlineStr"/>
      <c r="AG185" s="18" t="inlineStr"/>
      <c r="AH185" s="18" t="inlineStr"/>
      <c r="AI185" s="18" t="inlineStr"/>
      <c r="AJ185" s="18" t="inlineStr">
        <is>
          <t>Cobblemon 동일</t>
        </is>
      </c>
      <c r="AK185" s="18" t="inlineStr">
        <is>
          <t>사용</t>
        </is>
      </c>
      <c r="AL185" s="18" t="inlineStr">
        <is>
          <t>COBBLEVERSE 1.7.42 / DP v31</t>
        </is>
      </c>
      <c r="AM185" s="18" t="inlineStr">
        <is>
          <t>data/cobblemon/spawn_pool_world/0056_mankey.json</t>
        </is>
      </c>
      <c r="AN185" s="18" t="inlineStr">
        <is>
          <t>mankey-1</t>
        </is>
      </c>
      <c r="AO185" s="18" t="inlineStr">
        <is>
          <t>pokemon</t>
        </is>
      </c>
      <c r="AP185" s="18" t="inlineStr">
        <is>
          <t>natural; treetop</t>
        </is>
      </c>
      <c r="AQ185" s="18" t="inlineStr">
        <is>
          <t>{"biomes":["#cobblemon:is_hills","#cobblemon:is_jungle"],"maxSkyLight":15,"minSkyLight":8}</t>
        </is>
      </c>
      <c r="AR185" s="18" t="inlineStr"/>
      <c r="AS185" s="18" t="inlineStr"/>
      <c r="AT185" s="19" t="inlineStr"/>
    </row>
    <row r="186" ht="32" customHeight="1">
      <c r="A186" s="18" t="inlineStr">
        <is>
          <t>0057_primeape.json::primeape-1::001</t>
        </is>
      </c>
      <c r="B186" s="19" t="inlineStr">
        <is>
          <t>사용</t>
        </is>
      </c>
      <c r="C186" s="18">
        <f>IF(OR(B186&lt;&gt;AK186,M186&lt;&gt;L186,O186&lt;&gt;"",Q186&lt;&gt;"",V186&lt;&gt;1,Y186&lt;&gt;"",AT186&lt;&gt;""),"수정","원본")</f>
        <v/>
      </c>
      <c r="D186" s="18" t="n">
        <v>57</v>
      </c>
      <c r="E186" s="18" t="inlineStr">
        <is>
          <t>성원숭</t>
        </is>
      </c>
      <c r="F186" s="18" t="inlineStr">
        <is>
          <t>primeape</t>
        </is>
      </c>
      <c r="G186" s="18" t="inlineStr">
        <is>
          <t>primeape</t>
        </is>
      </c>
      <c r="H186" s="18" t="inlineStr"/>
      <c r="I186" s="18" t="n">
        <v>1</v>
      </c>
      <c r="J186" s="18" t="n"/>
      <c r="K186" s="18" t="n">
        <v>1</v>
      </c>
      <c r="L186" s="18" t="inlineStr">
        <is>
          <t>cobbleventure:generation_1</t>
        </is>
      </c>
      <c r="M186" s="19" t="inlineStr">
        <is>
          <t>cobbleventure:generation_1</t>
        </is>
      </c>
      <c r="N186" s="18" t="inlineStr"/>
      <c r="O186" s="19" t="inlineStr"/>
      <c r="P186" s="18" t="inlineStr">
        <is>
          <t>#cobblemon:is_hills; #cobblemon:is_jungle</t>
        </is>
      </c>
      <c r="Q186" s="19" t="inlineStr"/>
      <c r="R186" s="18">
        <f>IF(Q186="",P186,Q186)</f>
        <v/>
      </c>
      <c r="S186" s="18" t="inlineStr"/>
      <c r="T186" s="18" t="inlineStr">
        <is>
          <t>common</t>
        </is>
      </c>
      <c r="U186" s="20" t="n">
        <v>0.54</v>
      </c>
      <c r="V186" s="21" t="n">
        <v>1</v>
      </c>
      <c r="W186" s="20">
        <f>IF(OR(U186="",V186=""),U186,U186*V186)</f>
        <v/>
      </c>
      <c r="X186" s="18" t="inlineStr">
        <is>
          <t>28-46</t>
        </is>
      </c>
      <c r="Y186" s="19" t="inlineStr"/>
      <c r="Z186" s="18">
        <f>IF(Y186="",X186,Y186)</f>
        <v/>
      </c>
      <c r="AA186" s="18" t="inlineStr">
        <is>
          <t>grounded</t>
        </is>
      </c>
      <c r="AB186" s="18" t="inlineStr"/>
      <c r="AC186" s="18" t="inlineStr"/>
      <c r="AD186" s="18" t="inlineStr"/>
      <c r="AE186" s="18" t="inlineStr">
        <is>
          <t>sky 8-15</t>
        </is>
      </c>
      <c r="AF186" s="18" t="inlineStr"/>
      <c r="AG186" s="18" t="inlineStr"/>
      <c r="AH186" s="18" t="inlineStr"/>
      <c r="AI186" s="18" t="inlineStr"/>
      <c r="AJ186" s="18" t="inlineStr">
        <is>
          <t>Cobblemon 동일</t>
        </is>
      </c>
      <c r="AK186" s="18" t="inlineStr">
        <is>
          <t>사용</t>
        </is>
      </c>
      <c r="AL186" s="18" t="inlineStr">
        <is>
          <t>COBBLEVERSE 1.7.42 / DP v31</t>
        </is>
      </c>
      <c r="AM186" s="18" t="inlineStr">
        <is>
          <t>data/cobblemon/spawn_pool_world/0057_primeape.json</t>
        </is>
      </c>
      <c r="AN186" s="18" t="inlineStr">
        <is>
          <t>primeape-1</t>
        </is>
      </c>
      <c r="AO186" s="18" t="inlineStr">
        <is>
          <t>pokemon</t>
        </is>
      </c>
      <c r="AP186" s="18" t="inlineStr">
        <is>
          <t>natural; treetop</t>
        </is>
      </c>
      <c r="AQ186" s="18" t="inlineStr">
        <is>
          <t>{"biomes":["#cobblemon:is_hills","#cobblemon:is_jungle"],"maxSkyLight":15,"minSkyLight":8}</t>
        </is>
      </c>
      <c r="AR186" s="18" t="inlineStr"/>
      <c r="AS186" s="18" t="inlineStr"/>
      <c r="AT186" s="19" t="inlineStr"/>
    </row>
    <row r="187" ht="32" customHeight="1">
      <c r="A187" s="18" t="inlineStr">
        <is>
          <t>0058_growlithe.json::growlithe-1::001</t>
        </is>
      </c>
      <c r="B187" s="19" t="inlineStr">
        <is>
          <t>사용</t>
        </is>
      </c>
      <c r="C187" s="18">
        <f>IF(OR(B187&lt;&gt;AK187,M187&lt;&gt;L187,O187&lt;&gt;"",Q187&lt;&gt;"",V187&lt;&gt;1,Y187&lt;&gt;"",AT187&lt;&gt;""),"수정","원본")</f>
        <v/>
      </c>
      <c r="D187" s="18" t="n">
        <v>58</v>
      </c>
      <c r="E187" s="18" t="inlineStr">
        <is>
          <t>가디</t>
        </is>
      </c>
      <c r="F187" s="18" t="inlineStr">
        <is>
          <t>growlithe</t>
        </is>
      </c>
      <c r="G187" s="18" t="inlineStr">
        <is>
          <t>growlithe</t>
        </is>
      </c>
      <c r="H187" s="18" t="inlineStr"/>
      <c r="I187" s="18" t="n">
        <v>1</v>
      </c>
      <c r="J187" s="18" t="n"/>
      <c r="K187" s="18" t="n">
        <v>1</v>
      </c>
      <c r="L187" s="18" t="inlineStr">
        <is>
          <t>cobbleventure:generation_1</t>
        </is>
      </c>
      <c r="M187" s="19" t="inlineStr">
        <is>
          <t>cobbleventure:generation_1</t>
        </is>
      </c>
      <c r="N187" s="18" t="inlineStr">
        <is>
          <t>region_01</t>
        </is>
      </c>
      <c r="O187" s="19" t="inlineStr"/>
      <c r="P187" s="18" t="inlineStr">
        <is>
          <t>#cobblemon:is_overworld</t>
        </is>
      </c>
      <c r="Q187" s="19" t="inlineStr"/>
      <c r="R187" s="18">
        <f>IF(Q187="",P187,Q187)</f>
        <v/>
      </c>
      <c r="S187" s="18" t="inlineStr">
        <is>
          <t>#cobblemon:is_desert</t>
        </is>
      </c>
      <c r="T187" s="18" t="inlineStr">
        <is>
          <t>uncommon</t>
        </is>
      </c>
      <c r="U187" s="20" t="n">
        <v>9.199999999999999</v>
      </c>
      <c r="V187" s="21" t="n">
        <v>1</v>
      </c>
      <c r="W187" s="20">
        <f>IF(OR(U187="",V187=""),U187,U187*V187)</f>
        <v/>
      </c>
      <c r="X187" s="18" t="inlineStr">
        <is>
          <t>10-35</t>
        </is>
      </c>
      <c r="Y187" s="19" t="inlineStr"/>
      <c r="Z187" s="18">
        <f>IF(Y187="",X187,Y187)</f>
        <v/>
      </c>
      <c r="AA187" s="18" t="inlineStr">
        <is>
          <t>grounded</t>
        </is>
      </c>
      <c r="AB187" s="18" t="inlineStr"/>
      <c r="AC187" s="18" t="inlineStr"/>
      <c r="AD187" s="18" t="inlineStr"/>
      <c r="AE187" s="18" t="inlineStr">
        <is>
          <t>sky 8-15</t>
        </is>
      </c>
      <c r="AF187" s="18" t="inlineStr"/>
      <c r="AG187" s="18" t="inlineStr"/>
      <c r="AH187" s="18" t="inlineStr"/>
      <c r="AI187" s="18" t="inlineStr"/>
      <c r="AJ187" s="18" t="inlineStr">
        <is>
          <t>COBBLEVERSE 수정</t>
        </is>
      </c>
      <c r="AK187" s="18" t="inlineStr">
        <is>
          <t>사용</t>
        </is>
      </c>
      <c r="AL187" s="18" t="inlineStr">
        <is>
          <t>COBBLEVERSE 1.7.42 / DP v31</t>
        </is>
      </c>
      <c r="AM187" s="18" t="inlineStr">
        <is>
          <t>data/cobblemon/spawn_pool_world/0058_growlithe.json</t>
        </is>
      </c>
      <c r="AN187" s="18" t="inlineStr">
        <is>
          <t>growlithe-1</t>
        </is>
      </c>
      <c r="AO187" s="18" t="inlineStr">
        <is>
          <t>pokemon</t>
        </is>
      </c>
      <c r="AP187" s="18" t="inlineStr">
        <is>
          <t>natural; urban</t>
        </is>
      </c>
      <c r="AQ187" s="18" t="inlineStr">
        <is>
          <t>{"biomes":["#cobblemon:is_overworld"],"maxSkyLight":15,"minSkyLight":8}</t>
        </is>
      </c>
      <c r="AR187" s="18" t="inlineStr">
        <is>
          <t>{"biomes":["#cobblemon:is_desert"]}</t>
        </is>
      </c>
      <c r="AS187" s="18" t="inlineStr"/>
      <c r="AT187" s="19" t="inlineStr"/>
    </row>
    <row r="188" ht="32" customHeight="1">
      <c r="A188" s="18" t="inlineStr">
        <is>
          <t>0058_growlithe.json::growlithe-2::002</t>
        </is>
      </c>
      <c r="B188" s="19" t="inlineStr">
        <is>
          <t>사용</t>
        </is>
      </c>
      <c r="C188" s="18">
        <f>IF(OR(B188&lt;&gt;AK188,M188&lt;&gt;L188,O188&lt;&gt;"",Q188&lt;&gt;"",V188&lt;&gt;1,Y188&lt;&gt;"",AT188&lt;&gt;""),"수정","원본")</f>
        <v/>
      </c>
      <c r="D188" s="18" t="n">
        <v>58</v>
      </c>
      <c r="E188" s="18" t="inlineStr">
        <is>
          <t>가디</t>
        </is>
      </c>
      <c r="F188" s="18" t="inlineStr">
        <is>
          <t>growlithe</t>
        </is>
      </c>
      <c r="G188" s="18" t="inlineStr">
        <is>
          <t>growlithe</t>
        </is>
      </c>
      <c r="H188" s="18" t="inlineStr"/>
      <c r="I188" s="18" t="n">
        <v>1</v>
      </c>
      <c r="J188" s="18" t="n"/>
      <c r="K188" s="18" t="n">
        <v>1</v>
      </c>
      <c r="L188" s="18" t="inlineStr">
        <is>
          <t>cobbleventure:generation_1</t>
        </is>
      </c>
      <c r="M188" s="19" t="inlineStr">
        <is>
          <t>cobbleventure:generation_1</t>
        </is>
      </c>
      <c r="N188" s="18" t="inlineStr">
        <is>
          <t>region_01</t>
        </is>
      </c>
      <c r="O188" s="19" t="inlineStr"/>
      <c r="P188" s="18" t="inlineStr">
        <is>
          <t>#cobblemon:is_overworld</t>
        </is>
      </c>
      <c r="Q188" s="19" t="inlineStr"/>
      <c r="R188" s="18">
        <f>IF(Q188="",P188,Q188)</f>
        <v/>
      </c>
      <c r="S188" s="18" t="inlineStr">
        <is>
          <t>#cobblemon:is_desert</t>
        </is>
      </c>
      <c r="T188" s="18" t="inlineStr">
        <is>
          <t>uncommon</t>
        </is>
      </c>
      <c r="U188" s="20" t="n">
        <v>9.199999999999999</v>
      </c>
      <c r="V188" s="21" t="n">
        <v>1</v>
      </c>
      <c r="W188" s="20">
        <f>IF(OR(U188="",V188=""),U188,U188*V188)</f>
        <v/>
      </c>
      <c r="X188" s="18" t="inlineStr">
        <is>
          <t>10-35</t>
        </is>
      </c>
      <c r="Y188" s="19" t="inlineStr"/>
      <c r="Z188" s="18">
        <f>IF(Y188="",X188,Y188)</f>
        <v/>
      </c>
      <c r="AA188" s="18" t="inlineStr">
        <is>
          <t>grounded</t>
        </is>
      </c>
      <c r="AB188" s="18" t="inlineStr"/>
      <c r="AC188" s="18" t="inlineStr"/>
      <c r="AD188" s="18" t="inlineStr"/>
      <c r="AE188" s="18" t="inlineStr">
        <is>
          <t>sky 8-15</t>
        </is>
      </c>
      <c r="AF188" s="18" t="inlineStr"/>
      <c r="AG188" s="18" t="inlineStr">
        <is>
          <t>#minecraft:village</t>
        </is>
      </c>
      <c r="AH188" s="18" t="inlineStr"/>
      <c r="AI188" s="18" t="inlineStr"/>
      <c r="AJ188" s="18" t="inlineStr">
        <is>
          <t>COBBLEVERSE 수정</t>
        </is>
      </c>
      <c r="AK188" s="18" t="inlineStr">
        <is>
          <t>사용</t>
        </is>
      </c>
      <c r="AL188" s="18" t="inlineStr">
        <is>
          <t>COBBLEVERSE 1.7.42 / DP v31</t>
        </is>
      </c>
      <c r="AM188" s="18" t="inlineStr">
        <is>
          <t>data/cobblemon/spawn_pool_world/0058_growlithe.json</t>
        </is>
      </c>
      <c r="AN188" s="18" t="inlineStr">
        <is>
          <t>growlithe-2</t>
        </is>
      </c>
      <c r="AO188" s="18" t="inlineStr">
        <is>
          <t>pokemon</t>
        </is>
      </c>
      <c r="AP188" s="18" t="inlineStr">
        <is>
          <t>natural</t>
        </is>
      </c>
      <c r="AQ188" s="18" t="inlineStr">
        <is>
          <t>{"biomes":["#cobblemon:is_overworld"],"maxSkyLight":15,"minSkyLight":8,"structures":["#minecraft:village"]}</t>
        </is>
      </c>
      <c r="AR188" s="18" t="inlineStr">
        <is>
          <t>{"biomes":["#cobblemon:is_desert"]}</t>
        </is>
      </c>
      <c r="AS188" s="18" t="inlineStr"/>
      <c r="AT188" s="19" t="inlineStr"/>
    </row>
    <row r="189" ht="32" customHeight="1">
      <c r="A189" s="18" t="inlineStr">
        <is>
          <t>0058_growlithe.json::growlithe-hisui-1::003</t>
        </is>
      </c>
      <c r="B189" s="19" t="inlineStr">
        <is>
          <t>사용</t>
        </is>
      </c>
      <c r="C189" s="18">
        <f>IF(OR(B189&lt;&gt;AK189,M189&lt;&gt;L189,O189&lt;&gt;"",Q189&lt;&gt;"",V189&lt;&gt;1,Y189&lt;&gt;"",AT189&lt;&gt;""),"수정","원본")</f>
        <v/>
      </c>
      <c r="D189" s="18" t="n">
        <v>58</v>
      </c>
      <c r="E189" s="18" t="inlineStr">
        <is>
          <t>가디</t>
        </is>
      </c>
      <c r="F189" s="18" t="inlineStr">
        <is>
          <t>growlithe</t>
        </is>
      </c>
      <c r="G189" s="18" t="inlineStr">
        <is>
          <t>growlithe hisuian</t>
        </is>
      </c>
      <c r="H189" s="18" t="inlineStr">
        <is>
          <t>hisuian</t>
        </is>
      </c>
      <c r="I189" s="18" t="n">
        <v>1</v>
      </c>
      <c r="J189" s="18" t="n">
        <v>8</v>
      </c>
      <c r="K189" s="18" t="n">
        <v>8</v>
      </c>
      <c r="L189" s="18" t="inlineStr">
        <is>
          <t>cobbleventure:generation_8</t>
        </is>
      </c>
      <c r="M189" s="19" t="inlineStr">
        <is>
          <t>cobbleventure:generation_8</t>
        </is>
      </c>
      <c r="N189" s="18" t="inlineStr"/>
      <c r="O189" s="19" t="inlineStr"/>
      <c r="P189" s="18" t="inlineStr">
        <is>
          <t>#cobblemon:is_peak</t>
        </is>
      </c>
      <c r="Q189" s="19" t="inlineStr"/>
      <c r="R189" s="18">
        <f>IF(Q189="",P189,Q189)</f>
        <v/>
      </c>
      <c r="S189" s="18" t="inlineStr"/>
      <c r="T189" s="18" t="inlineStr">
        <is>
          <t>uncommon</t>
        </is>
      </c>
      <c r="U189" s="20" t="n">
        <v>8</v>
      </c>
      <c r="V189" s="21" t="n">
        <v>1</v>
      </c>
      <c r="W189" s="20">
        <f>IF(OR(U189="",V189=""),U189,U189*V189)</f>
        <v/>
      </c>
      <c r="X189" s="18" t="inlineStr">
        <is>
          <t>12-36</t>
        </is>
      </c>
      <c r="Y189" s="19" t="inlineStr"/>
      <c r="Z189" s="18">
        <f>IF(Y189="",X189,Y189)</f>
        <v/>
      </c>
      <c r="AA189" s="18" t="inlineStr"/>
      <c r="AB189" s="18" t="inlineStr"/>
      <c r="AC189" s="18" t="inlineStr"/>
      <c r="AD189" s="18" t="inlineStr"/>
      <c r="AE189" s="18" t="inlineStr"/>
      <c r="AF189" s="18" t="inlineStr">
        <is>
          <t>True</t>
        </is>
      </c>
      <c r="AG189" s="18" t="inlineStr"/>
      <c r="AH189" s="18" t="inlineStr"/>
      <c r="AI189" s="18" t="inlineStr">
        <is>
          <t>{"spawn":{"context":"grounded"}}</t>
        </is>
      </c>
      <c r="AJ189" s="18" t="inlineStr">
        <is>
          <t>COBBLEVERSE 수정</t>
        </is>
      </c>
      <c r="AK189" s="18" t="inlineStr">
        <is>
          <t>사용</t>
        </is>
      </c>
      <c r="AL189" s="18" t="inlineStr">
        <is>
          <t>COBBLEVERSE 1.7.42 / DP v31</t>
        </is>
      </c>
      <c r="AM189" s="18" t="inlineStr">
        <is>
          <t>data/cobblemon/spawn_pool_world/0058_growlithe.json</t>
        </is>
      </c>
      <c r="AN189" s="18" t="inlineStr">
        <is>
          <t>growlithe-hisui-1</t>
        </is>
      </c>
      <c r="AO189" s="18" t="inlineStr">
        <is>
          <t>pokemon</t>
        </is>
      </c>
      <c r="AP189" s="18" t="inlineStr">
        <is>
          <t>natural</t>
        </is>
      </c>
      <c r="AQ189" s="18" t="inlineStr">
        <is>
          <t>{"biomes":["#cobblemon:is_peak"],"canSeeSky":true}</t>
        </is>
      </c>
      <c r="AR189" s="18" t="inlineStr"/>
      <c r="AS189" s="18" t="inlineStr"/>
      <c r="AT189" s="19" t="inlineStr"/>
    </row>
    <row r="190" ht="32" customHeight="1">
      <c r="A190" s="18" t="inlineStr">
        <is>
          <t>0059_arcanine.json::arcanine-1::001</t>
        </is>
      </c>
      <c r="B190" s="19" t="inlineStr">
        <is>
          <t>사용</t>
        </is>
      </c>
      <c r="C190" s="18">
        <f>IF(OR(B190&lt;&gt;AK190,M190&lt;&gt;L190,O190&lt;&gt;"",Q190&lt;&gt;"",V190&lt;&gt;1,Y190&lt;&gt;"",AT190&lt;&gt;""),"수정","원본")</f>
        <v/>
      </c>
      <c r="D190" s="18" t="n">
        <v>59</v>
      </c>
      <c r="E190" s="18" t="inlineStr">
        <is>
          <t>윈디</t>
        </is>
      </c>
      <c r="F190" s="18" t="inlineStr">
        <is>
          <t>arcanine</t>
        </is>
      </c>
      <c r="G190" s="18" t="inlineStr">
        <is>
          <t>arcanine</t>
        </is>
      </c>
      <c r="H190" s="18" t="inlineStr"/>
      <c r="I190" s="18" t="n">
        <v>1</v>
      </c>
      <c r="J190" s="18" t="n"/>
      <c r="K190" s="18" t="n">
        <v>1</v>
      </c>
      <c r="L190" s="18" t="inlineStr">
        <is>
          <t>cobbleventure:generation_1</t>
        </is>
      </c>
      <c r="M190" s="19" t="inlineStr">
        <is>
          <t>cobbleventure:generation_1</t>
        </is>
      </c>
      <c r="N190" s="18" t="inlineStr">
        <is>
          <t>region_01</t>
        </is>
      </c>
      <c r="O190" s="19" t="inlineStr"/>
      <c r="P190" s="18" t="inlineStr">
        <is>
          <t>#cobblemon:is_overworld</t>
        </is>
      </c>
      <c r="Q190" s="19" t="inlineStr"/>
      <c r="R190" s="18">
        <f>IF(Q190="",P190,Q190)</f>
        <v/>
      </c>
      <c r="S190" s="18" t="inlineStr">
        <is>
          <t>#cobblemon:is_desert</t>
        </is>
      </c>
      <c r="T190" s="18" t="inlineStr">
        <is>
          <t>uncommon</t>
        </is>
      </c>
      <c r="U190" s="20" t="n">
        <v>0.8</v>
      </c>
      <c r="V190" s="21" t="n">
        <v>1</v>
      </c>
      <c r="W190" s="20">
        <f>IF(OR(U190="",V190=""),U190,U190*V190)</f>
        <v/>
      </c>
      <c r="X190" s="18" t="inlineStr">
        <is>
          <t>30-56</t>
        </is>
      </c>
      <c r="Y190" s="19" t="inlineStr"/>
      <c r="Z190" s="18">
        <f>IF(Y190="",X190,Y190)</f>
        <v/>
      </c>
      <c r="AA190" s="18" t="inlineStr">
        <is>
          <t>grounded</t>
        </is>
      </c>
      <c r="AB190" s="18" t="inlineStr"/>
      <c r="AC190" s="18" t="inlineStr"/>
      <c r="AD190" s="18" t="inlineStr"/>
      <c r="AE190" s="18" t="inlineStr">
        <is>
          <t>sky 8-15</t>
        </is>
      </c>
      <c r="AF190" s="18" t="inlineStr"/>
      <c r="AG190" s="18" t="inlineStr"/>
      <c r="AH190" s="18" t="inlineStr"/>
      <c r="AI190" s="18" t="inlineStr"/>
      <c r="AJ190" s="18" t="inlineStr">
        <is>
          <t>COBBLEVERSE 수정</t>
        </is>
      </c>
      <c r="AK190" s="18" t="inlineStr">
        <is>
          <t>사용</t>
        </is>
      </c>
      <c r="AL190" s="18" t="inlineStr">
        <is>
          <t>COBBLEVERSE 1.7.42 / DP v31</t>
        </is>
      </c>
      <c r="AM190" s="18" t="inlineStr">
        <is>
          <t>data/cobblemon/spawn_pool_world/0059_arcanine.json</t>
        </is>
      </c>
      <c r="AN190" s="18" t="inlineStr">
        <is>
          <t>arcanine-1</t>
        </is>
      </c>
      <c r="AO190" s="18" t="inlineStr">
        <is>
          <t>pokemon</t>
        </is>
      </c>
      <c r="AP190" s="18" t="inlineStr">
        <is>
          <t>natural; urban</t>
        </is>
      </c>
      <c r="AQ190" s="18" t="inlineStr">
        <is>
          <t>{"biomes":["#cobblemon:is_overworld"],"maxSkyLight":15,"minSkyLight":8}</t>
        </is>
      </c>
      <c r="AR190" s="18" t="inlineStr">
        <is>
          <t>{"biomes":["#cobblemon:is_desert"]}</t>
        </is>
      </c>
      <c r="AS190" s="18" t="inlineStr"/>
      <c r="AT190" s="19" t="inlineStr"/>
    </row>
    <row r="191" ht="32" customHeight="1">
      <c r="A191" s="18" t="inlineStr">
        <is>
          <t>0059_arcanine.json::arcanine-2::002</t>
        </is>
      </c>
      <c r="B191" s="19" t="inlineStr">
        <is>
          <t>사용</t>
        </is>
      </c>
      <c r="C191" s="18">
        <f>IF(OR(B191&lt;&gt;AK191,M191&lt;&gt;L191,O191&lt;&gt;"",Q191&lt;&gt;"",V191&lt;&gt;1,Y191&lt;&gt;"",AT191&lt;&gt;""),"수정","원본")</f>
        <v/>
      </c>
      <c r="D191" s="18" t="n">
        <v>59</v>
      </c>
      <c r="E191" s="18" t="inlineStr">
        <is>
          <t>윈디</t>
        </is>
      </c>
      <c r="F191" s="18" t="inlineStr">
        <is>
          <t>arcanine</t>
        </is>
      </c>
      <c r="G191" s="18" t="inlineStr">
        <is>
          <t>arcanine</t>
        </is>
      </c>
      <c r="H191" s="18" t="inlineStr"/>
      <c r="I191" s="18" t="n">
        <v>1</v>
      </c>
      <c r="J191" s="18" t="n"/>
      <c r="K191" s="18" t="n">
        <v>1</v>
      </c>
      <c r="L191" s="18" t="inlineStr">
        <is>
          <t>cobbleventure:generation_1</t>
        </is>
      </c>
      <c r="M191" s="19" t="inlineStr">
        <is>
          <t>cobbleventure:generation_1</t>
        </is>
      </c>
      <c r="N191" s="18" t="inlineStr">
        <is>
          <t>region_01</t>
        </is>
      </c>
      <c r="O191" s="19" t="inlineStr"/>
      <c r="P191" s="18" t="inlineStr">
        <is>
          <t>#cobblemon:is_overworld</t>
        </is>
      </c>
      <c r="Q191" s="19" t="inlineStr"/>
      <c r="R191" s="18">
        <f>IF(Q191="",P191,Q191)</f>
        <v/>
      </c>
      <c r="S191" s="18" t="inlineStr">
        <is>
          <t>#cobblemon:is_desert</t>
        </is>
      </c>
      <c r="T191" s="18" t="inlineStr">
        <is>
          <t>uncommon</t>
        </is>
      </c>
      <c r="U191" s="20" t="n">
        <v>0.8</v>
      </c>
      <c r="V191" s="21" t="n">
        <v>1</v>
      </c>
      <c r="W191" s="20">
        <f>IF(OR(U191="",V191=""),U191,U191*V191)</f>
        <v/>
      </c>
      <c r="X191" s="18" t="inlineStr">
        <is>
          <t>30-56</t>
        </is>
      </c>
      <c r="Y191" s="19" t="inlineStr"/>
      <c r="Z191" s="18">
        <f>IF(Y191="",X191,Y191)</f>
        <v/>
      </c>
      <c r="AA191" s="18" t="inlineStr">
        <is>
          <t>grounded</t>
        </is>
      </c>
      <c r="AB191" s="18" t="inlineStr"/>
      <c r="AC191" s="18" t="inlineStr"/>
      <c r="AD191" s="18" t="inlineStr"/>
      <c r="AE191" s="18" t="inlineStr">
        <is>
          <t>sky 8-15</t>
        </is>
      </c>
      <c r="AF191" s="18" t="inlineStr"/>
      <c r="AG191" s="18" t="inlineStr">
        <is>
          <t>#minecraft:village</t>
        </is>
      </c>
      <c r="AH191" s="18" t="inlineStr"/>
      <c r="AI191" s="18" t="inlineStr"/>
      <c r="AJ191" s="18" t="inlineStr">
        <is>
          <t>COBBLEVERSE 수정</t>
        </is>
      </c>
      <c r="AK191" s="18" t="inlineStr">
        <is>
          <t>사용</t>
        </is>
      </c>
      <c r="AL191" s="18" t="inlineStr">
        <is>
          <t>COBBLEVERSE 1.7.42 / DP v31</t>
        </is>
      </c>
      <c r="AM191" s="18" t="inlineStr">
        <is>
          <t>data/cobblemon/spawn_pool_world/0059_arcanine.json</t>
        </is>
      </c>
      <c r="AN191" s="18" t="inlineStr">
        <is>
          <t>arcanine-2</t>
        </is>
      </c>
      <c r="AO191" s="18" t="inlineStr">
        <is>
          <t>pokemon</t>
        </is>
      </c>
      <c r="AP191" s="18" t="inlineStr">
        <is>
          <t>natural</t>
        </is>
      </c>
      <c r="AQ191" s="18" t="inlineStr">
        <is>
          <t>{"biomes":["#cobblemon:is_overworld"],"maxSkyLight":15,"minSkyLight":8,"structures":["#minecraft:village"]}</t>
        </is>
      </c>
      <c r="AR191" s="18" t="inlineStr">
        <is>
          <t>{"biomes":["#cobblemon:is_desert"]}</t>
        </is>
      </c>
      <c r="AS191" s="18" t="inlineStr"/>
      <c r="AT191" s="19" t="inlineStr"/>
    </row>
    <row r="192" ht="32" customHeight="1">
      <c r="A192" s="18" t="inlineStr">
        <is>
          <t>0059_arcanine.json::arcanine-hisui-1::003</t>
        </is>
      </c>
      <c r="B192" s="19" t="inlineStr">
        <is>
          <t>사용</t>
        </is>
      </c>
      <c r="C192" s="18">
        <f>IF(OR(B192&lt;&gt;AK192,M192&lt;&gt;L192,O192&lt;&gt;"",Q192&lt;&gt;"",V192&lt;&gt;1,Y192&lt;&gt;"",AT192&lt;&gt;""),"수정","원본")</f>
        <v/>
      </c>
      <c r="D192" s="18" t="n">
        <v>59</v>
      </c>
      <c r="E192" s="18" t="inlineStr">
        <is>
          <t>윈디</t>
        </is>
      </c>
      <c r="F192" s="18" t="inlineStr">
        <is>
          <t>arcanine</t>
        </is>
      </c>
      <c r="G192" s="18" t="inlineStr">
        <is>
          <t>arcanine hisuian</t>
        </is>
      </c>
      <c r="H192" s="18" t="inlineStr">
        <is>
          <t>hisuian</t>
        </is>
      </c>
      <c r="I192" s="18" t="n">
        <v>1</v>
      </c>
      <c r="J192" s="18" t="n">
        <v>8</v>
      </c>
      <c r="K192" s="18" t="n">
        <v>8</v>
      </c>
      <c r="L192" s="18" t="inlineStr">
        <is>
          <t>cobbleventure:generation_8</t>
        </is>
      </c>
      <c r="M192" s="19" t="inlineStr">
        <is>
          <t>cobbleventure:generation_8</t>
        </is>
      </c>
      <c r="N192" s="18" t="inlineStr"/>
      <c r="O192" s="19" t="inlineStr"/>
      <c r="P192" s="18" t="inlineStr">
        <is>
          <t>#cobblemon:is_peak</t>
        </is>
      </c>
      <c r="Q192" s="19" t="inlineStr"/>
      <c r="R192" s="18">
        <f>IF(Q192="",P192,Q192)</f>
        <v/>
      </c>
      <c r="S192" s="18" t="inlineStr"/>
      <c r="T192" s="18" t="inlineStr">
        <is>
          <t>rare</t>
        </is>
      </c>
      <c r="U192" s="20" t="n">
        <v>5</v>
      </c>
      <c r="V192" s="21" t="n">
        <v>1</v>
      </c>
      <c r="W192" s="20">
        <f>IF(OR(U192="",V192=""),U192,U192*V192)</f>
        <v/>
      </c>
      <c r="X192" s="18" t="inlineStr">
        <is>
          <t>38-57</t>
        </is>
      </c>
      <c r="Y192" s="19" t="inlineStr"/>
      <c r="Z192" s="18">
        <f>IF(Y192="",X192,Y192)</f>
        <v/>
      </c>
      <c r="AA192" s="18" t="inlineStr">
        <is>
          <t>grounded</t>
        </is>
      </c>
      <c r="AB192" s="18" t="inlineStr"/>
      <c r="AC192" s="18" t="inlineStr"/>
      <c r="AD192" s="18" t="inlineStr"/>
      <c r="AE192" s="18" t="inlineStr"/>
      <c r="AF192" s="18" t="inlineStr">
        <is>
          <t>True</t>
        </is>
      </c>
      <c r="AG192" s="18" t="inlineStr"/>
      <c r="AH192" s="18" t="inlineStr"/>
      <c r="AI192" s="18" t="inlineStr"/>
      <c r="AJ192" s="18" t="inlineStr">
        <is>
          <t>COBBLEVERSE 수정</t>
        </is>
      </c>
      <c r="AK192" s="18" t="inlineStr">
        <is>
          <t>사용</t>
        </is>
      </c>
      <c r="AL192" s="18" t="inlineStr">
        <is>
          <t>COBBLEVERSE 1.7.42 / DP v31</t>
        </is>
      </c>
      <c r="AM192" s="18" t="inlineStr">
        <is>
          <t>data/cobblemon/spawn_pool_world/0059_arcanine.json</t>
        </is>
      </c>
      <c r="AN192" s="18" t="inlineStr">
        <is>
          <t>arcanine-hisui-1</t>
        </is>
      </c>
      <c r="AO192" s="18" t="inlineStr">
        <is>
          <t>pokemon</t>
        </is>
      </c>
      <c r="AP192" s="18" t="inlineStr">
        <is>
          <t>natural</t>
        </is>
      </c>
      <c r="AQ192" s="18" t="inlineStr">
        <is>
          <t>{"biomes":["#cobblemon:is_peak"],"canSeeSky":true}</t>
        </is>
      </c>
      <c r="AR192" s="18" t="inlineStr"/>
      <c r="AS192" s="18" t="inlineStr"/>
      <c r="AT192" s="19" t="inlineStr"/>
    </row>
    <row r="193" ht="32" customHeight="1">
      <c r="A193" s="18" t="inlineStr">
        <is>
          <t>0059_arcanine.json::arcanine-hisui-2::004</t>
        </is>
      </c>
      <c r="B193" s="19" t="inlineStr">
        <is>
          <t>사용</t>
        </is>
      </c>
      <c r="C193" s="18">
        <f>IF(OR(B193&lt;&gt;AK193,M193&lt;&gt;L193,O193&lt;&gt;"",Q193&lt;&gt;"",V193&lt;&gt;1,Y193&lt;&gt;"",AT193&lt;&gt;""),"수정","원본")</f>
        <v/>
      </c>
      <c r="D193" s="18" t="n">
        <v>59</v>
      </c>
      <c r="E193" s="18" t="inlineStr">
        <is>
          <t>윈디</t>
        </is>
      </c>
      <c r="F193" s="18" t="inlineStr">
        <is>
          <t>arcanine</t>
        </is>
      </c>
      <c r="G193" s="18" t="inlineStr">
        <is>
          <t>arcanine hisuian</t>
        </is>
      </c>
      <c r="H193" s="18" t="inlineStr">
        <is>
          <t>hisuian</t>
        </is>
      </c>
      <c r="I193" s="18" t="n">
        <v>1</v>
      </c>
      <c r="J193" s="18" t="n">
        <v>8</v>
      </c>
      <c r="K193" s="18" t="n">
        <v>8</v>
      </c>
      <c r="L193" s="18" t="inlineStr">
        <is>
          <t>cobbleventure:generation_8</t>
        </is>
      </c>
      <c r="M193" s="19" t="inlineStr">
        <is>
          <t>cobbleventure:generation_8</t>
        </is>
      </c>
      <c r="N193" s="18" t="inlineStr"/>
      <c r="O193" s="19" t="inlineStr"/>
      <c r="P193" s="18" t="inlineStr">
        <is>
          <t>#cobblemon:nether/is_basalt</t>
        </is>
      </c>
      <c r="Q193" s="19" t="inlineStr"/>
      <c r="R193" s="18">
        <f>IF(Q193="",P193,Q193)</f>
        <v/>
      </c>
      <c r="S193" s="18" t="inlineStr"/>
      <c r="T193" s="18" t="inlineStr">
        <is>
          <t>uncommon</t>
        </is>
      </c>
      <c r="U193" s="20" t="n">
        <v>3</v>
      </c>
      <c r="V193" s="21" t="n">
        <v>1</v>
      </c>
      <c r="W193" s="20">
        <f>IF(OR(U193="",V193=""),U193,U193*V193)</f>
        <v/>
      </c>
      <c r="X193" s="18" t="inlineStr">
        <is>
          <t>38-57</t>
        </is>
      </c>
      <c r="Y193" s="19" t="inlineStr"/>
      <c r="Z193" s="18">
        <f>IF(Y193="",X193,Y193)</f>
        <v/>
      </c>
      <c r="AA193" s="18" t="inlineStr">
        <is>
          <t>grounded</t>
        </is>
      </c>
      <c r="AB193" s="18" t="inlineStr"/>
      <c r="AC193" s="18" t="inlineStr"/>
      <c r="AD193" s="18" t="inlineStr"/>
      <c r="AE193" s="18" t="inlineStr"/>
      <c r="AF193" s="18" t="inlineStr"/>
      <c r="AG193" s="18" t="inlineStr"/>
      <c r="AH193" s="18" t="inlineStr"/>
      <c r="AI193" s="18" t="inlineStr"/>
      <c r="AJ193" s="18" t="inlineStr">
        <is>
          <t>COBBLEVERSE 수정</t>
        </is>
      </c>
      <c r="AK193" s="18" t="inlineStr">
        <is>
          <t>사용</t>
        </is>
      </c>
      <c r="AL193" s="18" t="inlineStr">
        <is>
          <t>COBBLEVERSE 1.7.42 / DP v31</t>
        </is>
      </c>
      <c r="AM193" s="18" t="inlineStr">
        <is>
          <t>data/cobblemon/spawn_pool_world/0059_arcanine.json</t>
        </is>
      </c>
      <c r="AN193" s="18" t="inlineStr">
        <is>
          <t>arcanine-hisui-2</t>
        </is>
      </c>
      <c r="AO193" s="18" t="inlineStr">
        <is>
          <t>pokemon</t>
        </is>
      </c>
      <c r="AP193" s="18" t="inlineStr">
        <is>
          <t>natural</t>
        </is>
      </c>
      <c r="AQ193" s="18" t="inlineStr">
        <is>
          <t>{"biomes":["#cobblemon:nether/is_basalt"]}</t>
        </is>
      </c>
      <c r="AR193" s="18" t="inlineStr"/>
      <c r="AS193" s="18" t="inlineStr"/>
      <c r="AT193" s="19" t="inlineStr"/>
    </row>
    <row r="194" ht="32" customHeight="1">
      <c r="A194" s="18" t="inlineStr">
        <is>
          <t>0060_poliwag.json::poliwag-1::001</t>
        </is>
      </c>
      <c r="B194" s="19" t="inlineStr">
        <is>
          <t>사용</t>
        </is>
      </c>
      <c r="C194" s="18">
        <f>IF(OR(B194&lt;&gt;AK194,M194&lt;&gt;L194,O194&lt;&gt;"",Q194&lt;&gt;"",V194&lt;&gt;1,Y194&lt;&gt;"",AT194&lt;&gt;""),"수정","원본")</f>
        <v/>
      </c>
      <c r="D194" s="18" t="n">
        <v>60</v>
      </c>
      <c r="E194" s="18" t="inlineStr">
        <is>
          <t>발챙이</t>
        </is>
      </c>
      <c r="F194" s="18" t="inlineStr">
        <is>
          <t>poliwag</t>
        </is>
      </c>
      <c r="G194" s="18" t="inlineStr">
        <is>
          <t>poliwag</t>
        </is>
      </c>
      <c r="H194" s="18" t="inlineStr"/>
      <c r="I194" s="18" t="n">
        <v>1</v>
      </c>
      <c r="J194" s="18" t="n"/>
      <c r="K194" s="18" t="n">
        <v>1</v>
      </c>
      <c r="L194" s="18" t="inlineStr">
        <is>
          <t>cobbleventure:generation_1</t>
        </is>
      </c>
      <c r="M194" s="19" t="inlineStr">
        <is>
          <t>cobbleventure:generation_1</t>
        </is>
      </c>
      <c r="N194" s="18" t="inlineStr">
        <is>
          <t>region_02</t>
        </is>
      </c>
      <c r="O194" s="19" t="inlineStr"/>
      <c r="P194" s="18" t="inlineStr">
        <is>
          <t>#cobblemon:is_swamp</t>
        </is>
      </c>
      <c r="Q194" s="19" t="inlineStr"/>
      <c r="R194" s="18">
        <f>IF(Q194="",P194,Q194)</f>
        <v/>
      </c>
      <c r="S194" s="18" t="inlineStr"/>
      <c r="T194" s="18" t="inlineStr">
        <is>
          <t>common</t>
        </is>
      </c>
      <c r="U194" s="20" t="n">
        <v>9</v>
      </c>
      <c r="V194" s="21" t="n">
        <v>1</v>
      </c>
      <c r="W194" s="20">
        <f>IF(OR(U194="",V194=""),U194,U194*V194)</f>
        <v/>
      </c>
      <c r="X194" s="18" t="inlineStr">
        <is>
          <t>5-30</t>
        </is>
      </c>
      <c r="Y194" s="19" t="inlineStr"/>
      <c r="Z194" s="18">
        <f>IF(Y194="",X194,Y194)</f>
        <v/>
      </c>
      <c r="AA194" s="18" t="inlineStr">
        <is>
          <t>grounded</t>
        </is>
      </c>
      <c r="AB194" s="18" t="inlineStr"/>
      <c r="AC194" s="18" t="inlineStr">
        <is>
          <t>비=True</t>
        </is>
      </c>
      <c r="AD194" s="18" t="inlineStr"/>
      <c r="AE194" s="18" t="inlineStr">
        <is>
          <t>sky 8-15</t>
        </is>
      </c>
      <c r="AF194" s="18" t="inlineStr"/>
      <c r="AG194" s="18" t="inlineStr"/>
      <c r="AH194" s="18" t="inlineStr"/>
      <c r="AI194" s="18" t="inlineStr"/>
      <c r="AJ194" s="18" t="inlineStr">
        <is>
          <t>Cobblemon 동일</t>
        </is>
      </c>
      <c r="AK194" s="18" t="inlineStr">
        <is>
          <t>사용</t>
        </is>
      </c>
      <c r="AL194" s="18" t="inlineStr">
        <is>
          <t>COBBLEVERSE 1.7.42 / DP v31</t>
        </is>
      </c>
      <c r="AM194" s="18" t="inlineStr">
        <is>
          <t>data/cobblemon/spawn_pool_world/0060_poliwag.json</t>
        </is>
      </c>
      <c r="AN194" s="18" t="inlineStr">
        <is>
          <t>poliwag-1</t>
        </is>
      </c>
      <c r="AO194" s="18" t="inlineStr">
        <is>
          <t>pokemon</t>
        </is>
      </c>
      <c r="AP194" s="18" t="inlineStr">
        <is>
          <t>natural</t>
        </is>
      </c>
      <c r="AQ194" s="18" t="inlineStr">
        <is>
          <t>{"biomes":["#cobblemon:is_swamp"],"isRaining":true,"maxSkyLight":15,"minSkyLight":8}</t>
        </is>
      </c>
      <c r="AR194" s="18" t="inlineStr"/>
      <c r="AS194" s="18" t="inlineStr"/>
      <c r="AT194" s="19" t="inlineStr"/>
    </row>
    <row r="195" ht="32" customHeight="1">
      <c r="A195" s="18" t="inlineStr">
        <is>
          <t>0060_poliwag.json::poliwag-2::002</t>
        </is>
      </c>
      <c r="B195" s="19" t="inlineStr">
        <is>
          <t>사용</t>
        </is>
      </c>
      <c r="C195" s="18">
        <f>IF(OR(B195&lt;&gt;AK195,M195&lt;&gt;L195,O195&lt;&gt;"",Q195&lt;&gt;"",V195&lt;&gt;1,Y195&lt;&gt;"",AT195&lt;&gt;""),"수정","원본")</f>
        <v/>
      </c>
      <c r="D195" s="18" t="n">
        <v>60</v>
      </c>
      <c r="E195" s="18" t="inlineStr">
        <is>
          <t>발챙이</t>
        </is>
      </c>
      <c r="F195" s="18" t="inlineStr">
        <is>
          <t>poliwag</t>
        </is>
      </c>
      <c r="G195" s="18" t="inlineStr">
        <is>
          <t>poliwag</t>
        </is>
      </c>
      <c r="H195" s="18" t="inlineStr"/>
      <c r="I195" s="18" t="n">
        <v>1</v>
      </c>
      <c r="J195" s="18" t="n"/>
      <c r="K195" s="18" t="n">
        <v>1</v>
      </c>
      <c r="L195" s="18" t="inlineStr">
        <is>
          <t>cobbleventure:generation_1</t>
        </is>
      </c>
      <c r="M195" s="19" t="inlineStr">
        <is>
          <t>cobbleventure:generation_1</t>
        </is>
      </c>
      <c r="N195" s="18" t="inlineStr">
        <is>
          <t>region_02</t>
        </is>
      </c>
      <c r="O195" s="19" t="inlineStr"/>
      <c r="P195" s="18" t="inlineStr">
        <is>
          <t>#cobblemon:is_swamp</t>
        </is>
      </c>
      <c r="Q195" s="19" t="inlineStr"/>
      <c r="R195" s="18">
        <f>IF(Q195="",P195,Q195)</f>
        <v/>
      </c>
      <c r="S195" s="18" t="inlineStr"/>
      <c r="T195" s="18" t="inlineStr">
        <is>
          <t>common</t>
        </is>
      </c>
      <c r="U195" s="20" t="n">
        <v>9</v>
      </c>
      <c r="V195" s="21" t="n">
        <v>1</v>
      </c>
      <c r="W195" s="20">
        <f>IF(OR(U195="",V195=""),U195,U195*V195)</f>
        <v/>
      </c>
      <c r="X195" s="18" t="inlineStr">
        <is>
          <t>5-30</t>
        </is>
      </c>
      <c r="Y195" s="19" t="inlineStr"/>
      <c r="Z195" s="18">
        <f>IF(Y195="",X195,Y195)</f>
        <v/>
      </c>
      <c r="AA195" s="18" t="inlineStr">
        <is>
          <t>submerged</t>
        </is>
      </c>
      <c r="AB195" s="18" t="inlineStr"/>
      <c r="AC195" s="18" t="inlineStr"/>
      <c r="AD195" s="18" t="inlineStr"/>
      <c r="AE195" s="18" t="inlineStr"/>
      <c r="AF195" s="18" t="inlineStr">
        <is>
          <t>True</t>
        </is>
      </c>
      <c r="AG195" s="18" t="inlineStr"/>
      <c r="AH195" s="18" t="inlineStr">
        <is>
          <t>주변=minecraft:lily_pad</t>
        </is>
      </c>
      <c r="AI195" s="18" t="inlineStr"/>
      <c r="AJ195" s="18" t="inlineStr">
        <is>
          <t>Cobblemon 동일</t>
        </is>
      </c>
      <c r="AK195" s="18" t="inlineStr">
        <is>
          <t>사용</t>
        </is>
      </c>
      <c r="AL195" s="18" t="inlineStr">
        <is>
          <t>COBBLEVERSE 1.7.42 / DP v31</t>
        </is>
      </c>
      <c r="AM195" s="18" t="inlineStr">
        <is>
          <t>data/cobblemon/spawn_pool_world/0060_poliwag.json</t>
        </is>
      </c>
      <c r="AN195" s="18" t="inlineStr">
        <is>
          <t>poliwag-2</t>
        </is>
      </c>
      <c r="AO195" s="18" t="inlineStr">
        <is>
          <t>pokemon</t>
        </is>
      </c>
      <c r="AP195" s="18" t="inlineStr">
        <is>
          <t>water</t>
        </is>
      </c>
      <c r="AQ195" s="18" t="inlineStr">
        <is>
          <t>{"biomes":["#cobblemon:is_swamp"],"canSeeSky":true,"neededNearbyBlocks":["minecraft:lily_pad"]}</t>
        </is>
      </c>
      <c r="AR195" s="18" t="inlineStr"/>
      <c r="AS195" s="18" t="inlineStr"/>
      <c r="AT195" s="19" t="inlineStr"/>
    </row>
    <row r="196" ht="32" customHeight="1">
      <c r="A196" s="18" t="inlineStr">
        <is>
          <t>0060_poliwag.json::poliwag-3::003</t>
        </is>
      </c>
      <c r="B196" s="19" t="inlineStr">
        <is>
          <t>사용</t>
        </is>
      </c>
      <c r="C196" s="18">
        <f>IF(OR(B196&lt;&gt;AK196,M196&lt;&gt;L196,O196&lt;&gt;"",Q196&lt;&gt;"",V196&lt;&gt;1,Y196&lt;&gt;"",AT196&lt;&gt;""),"수정","원본")</f>
        <v/>
      </c>
      <c r="D196" s="18" t="n">
        <v>60</v>
      </c>
      <c r="E196" s="18" t="inlineStr">
        <is>
          <t>발챙이</t>
        </is>
      </c>
      <c r="F196" s="18" t="inlineStr">
        <is>
          <t>poliwag</t>
        </is>
      </c>
      <c r="G196" s="18" t="inlineStr">
        <is>
          <t>poliwag</t>
        </is>
      </c>
      <c r="H196" s="18" t="inlineStr"/>
      <c r="I196" s="18" t="n">
        <v>1</v>
      </c>
      <c r="J196" s="18" t="n"/>
      <c r="K196" s="18" t="n">
        <v>1</v>
      </c>
      <c r="L196" s="18" t="inlineStr">
        <is>
          <t>cobbleventure:generation_1</t>
        </is>
      </c>
      <c r="M196" s="19" t="inlineStr">
        <is>
          <t>cobbleventure:generation_1</t>
        </is>
      </c>
      <c r="N196" s="18" t="inlineStr">
        <is>
          <t>region_01</t>
        </is>
      </c>
      <c r="O196" s="19" t="inlineStr"/>
      <c r="P196" s="18" t="inlineStr">
        <is>
          <t>#cobblemon:is_freshwater; #cobblemon:is_hills; #cobblemon:is_jungle; #cobblemon:is_magical; #cobblemon:is_mushroom; #cobblemon:is_temperate</t>
        </is>
      </c>
      <c r="Q196" s="19" t="inlineStr"/>
      <c r="R196" s="18">
        <f>IF(Q196="",P196,Q196)</f>
        <v/>
      </c>
      <c r="S196" s="18" t="inlineStr">
        <is>
          <t>#cobblemon:is_freezing; #cobblemon:is_swamp</t>
        </is>
      </c>
      <c r="T196" s="18" t="inlineStr">
        <is>
          <t>common</t>
        </is>
      </c>
      <c r="U196" s="20" t="n">
        <v>5.4</v>
      </c>
      <c r="V196" s="21" t="n">
        <v>1</v>
      </c>
      <c r="W196" s="20">
        <f>IF(OR(U196="",V196=""),U196,U196*V196)</f>
        <v/>
      </c>
      <c r="X196" s="18" t="inlineStr">
        <is>
          <t>5-30</t>
        </is>
      </c>
      <c r="Y196" s="19" t="inlineStr"/>
      <c r="Z196" s="18">
        <f>IF(Y196="",X196,Y196)</f>
        <v/>
      </c>
      <c r="AA196" s="18" t="inlineStr">
        <is>
          <t>grounded</t>
        </is>
      </c>
      <c r="AB196" s="18" t="inlineStr"/>
      <c r="AC196" s="18" t="inlineStr">
        <is>
          <t>비=True</t>
        </is>
      </c>
      <c r="AD196" s="18" t="inlineStr"/>
      <c r="AE196" s="18" t="inlineStr">
        <is>
          <t>sky 8-15</t>
        </is>
      </c>
      <c r="AF196" s="18" t="inlineStr"/>
      <c r="AG196" s="18" t="inlineStr"/>
      <c r="AH196" s="18" t="inlineStr">
        <is>
          <t>주변=minecraft:water</t>
        </is>
      </c>
      <c r="AI196" s="18" t="inlineStr"/>
      <c r="AJ196" s="18" t="inlineStr">
        <is>
          <t>Cobblemon 동일</t>
        </is>
      </c>
      <c r="AK196" s="18" t="inlineStr">
        <is>
          <t>사용</t>
        </is>
      </c>
      <c r="AL196" s="18" t="inlineStr">
        <is>
          <t>COBBLEVERSE 1.7.42 / DP v31</t>
        </is>
      </c>
      <c r="AM196" s="18" t="inlineStr">
        <is>
          <t>data/cobblemon/spawn_pool_world/0060_poliwag.json</t>
        </is>
      </c>
      <c r="AN196" s="18" t="inlineStr">
        <is>
          <t>poliwag-3</t>
        </is>
      </c>
      <c r="AO196" s="18" t="inlineStr">
        <is>
          <t>pokemon</t>
        </is>
      </c>
      <c r="AP196" s="18" t="inlineStr">
        <is>
          <t>natural</t>
        </is>
      </c>
      <c r="AQ196" s="18" t="inlineStr">
        <is>
          <t>{"biomes":["#cobblemon:is_freshwater","#cobblemon:is_hills","#cobblemon:is_jungle","#cobblemon:is_magical","#cobblemon:is_mushroom","#cobblemon:is_temperate"],"isRaining":true,"maxSkyLight":15,"minSkyLight":8,"neededNearbyBlocks":["minecraft:water"]}</t>
        </is>
      </c>
      <c r="AR196" s="18" t="inlineStr">
        <is>
          <t>{"biomes":["#cobblemon:is_freezing","#cobblemon:is_swamp"]}</t>
        </is>
      </c>
      <c r="AS196" s="18" t="inlineStr"/>
      <c r="AT196" s="19" t="inlineStr"/>
    </row>
    <row r="197" ht="32" customHeight="1">
      <c r="A197" s="18" t="inlineStr">
        <is>
          <t>0060_poliwag.json::poliwag-4::004</t>
        </is>
      </c>
      <c r="B197" s="19" t="inlineStr">
        <is>
          <t>사용</t>
        </is>
      </c>
      <c r="C197" s="18">
        <f>IF(OR(B197&lt;&gt;AK197,M197&lt;&gt;L197,O197&lt;&gt;"",Q197&lt;&gt;"",V197&lt;&gt;1,Y197&lt;&gt;"",AT197&lt;&gt;""),"수정","원본")</f>
        <v/>
      </c>
      <c r="D197" s="18" t="n">
        <v>60</v>
      </c>
      <c r="E197" s="18" t="inlineStr">
        <is>
          <t>발챙이</t>
        </is>
      </c>
      <c r="F197" s="18" t="inlineStr">
        <is>
          <t>poliwag</t>
        </is>
      </c>
      <c r="G197" s="18" t="inlineStr">
        <is>
          <t>poliwag</t>
        </is>
      </c>
      <c r="H197" s="18" t="inlineStr"/>
      <c r="I197" s="18" t="n">
        <v>1</v>
      </c>
      <c r="J197" s="18" t="n"/>
      <c r="K197" s="18" t="n">
        <v>1</v>
      </c>
      <c r="L197" s="18" t="inlineStr">
        <is>
          <t>cobbleventure:generation_1</t>
        </is>
      </c>
      <c r="M197" s="19" t="inlineStr">
        <is>
          <t>cobbleventure:generation_1</t>
        </is>
      </c>
      <c r="N197" s="18" t="inlineStr">
        <is>
          <t>region_01</t>
        </is>
      </c>
      <c r="O197" s="19" t="inlineStr"/>
      <c r="P197" s="18" t="inlineStr">
        <is>
          <t>#cobblemon:is_freshwater; #cobblemon:is_hills; #cobblemon:is_jungle; #cobblemon:is_magical; #cobblemon:is_mushroom; #cobblemon:is_temperate</t>
        </is>
      </c>
      <c r="Q197" s="19" t="inlineStr"/>
      <c r="R197" s="18">
        <f>IF(Q197="",P197,Q197)</f>
        <v/>
      </c>
      <c r="S197" s="18" t="inlineStr">
        <is>
          <t>#cobblemon:is_freezing; #cobblemon:is_swamp</t>
        </is>
      </c>
      <c r="T197" s="18" t="inlineStr">
        <is>
          <t>common</t>
        </is>
      </c>
      <c r="U197" s="20" t="n">
        <v>5.4</v>
      </c>
      <c r="V197" s="21" t="n">
        <v>1</v>
      </c>
      <c r="W197" s="20">
        <f>IF(OR(U197="",V197=""),U197,U197*V197)</f>
        <v/>
      </c>
      <c r="X197" s="18" t="inlineStr">
        <is>
          <t>5-30</t>
        </is>
      </c>
      <c r="Y197" s="19" t="inlineStr"/>
      <c r="Z197" s="18">
        <f>IF(Y197="",X197,Y197)</f>
        <v/>
      </c>
      <c r="AA197" s="18" t="inlineStr">
        <is>
          <t>submerged</t>
        </is>
      </c>
      <c r="AB197" s="18" t="inlineStr"/>
      <c r="AC197" s="18" t="inlineStr"/>
      <c r="AD197" s="18" t="inlineStr"/>
      <c r="AE197" s="18" t="inlineStr"/>
      <c r="AF197" s="18" t="inlineStr">
        <is>
          <t>True</t>
        </is>
      </c>
      <c r="AG197" s="18" t="inlineStr"/>
      <c r="AH197" s="18" t="inlineStr"/>
      <c r="AI197" s="18" t="inlineStr"/>
      <c r="AJ197" s="18" t="inlineStr">
        <is>
          <t>Cobblemon 동일</t>
        </is>
      </c>
      <c r="AK197" s="18" t="inlineStr">
        <is>
          <t>사용</t>
        </is>
      </c>
      <c r="AL197" s="18" t="inlineStr">
        <is>
          <t>COBBLEVERSE 1.7.42 / DP v31</t>
        </is>
      </c>
      <c r="AM197" s="18" t="inlineStr">
        <is>
          <t>data/cobblemon/spawn_pool_world/0060_poliwag.json</t>
        </is>
      </c>
      <c r="AN197" s="18" t="inlineStr">
        <is>
          <t>poliwag-4</t>
        </is>
      </c>
      <c r="AO197" s="18" t="inlineStr">
        <is>
          <t>pokemon</t>
        </is>
      </c>
      <c r="AP197" s="18" t="inlineStr">
        <is>
          <t>water</t>
        </is>
      </c>
      <c r="AQ197" s="18" t="inlineStr">
        <is>
          <t>{"biomes":["#cobblemon:is_freshwater","#cobblemon:is_hills","#cobblemon:is_jungle","#cobblemon:is_magical","#cobblemon:is_mushroom","#cobblemon:is_temperate"],"canSeeSky":true}</t>
        </is>
      </c>
      <c r="AR197" s="18" t="inlineStr">
        <is>
          <t>{"biomes":["#cobblemon:is_freezing","#cobblemon:is_swamp"]}</t>
        </is>
      </c>
      <c r="AS197" s="18" t="inlineStr"/>
      <c r="AT197" s="19" t="inlineStr"/>
    </row>
    <row r="198" ht="32" customHeight="1">
      <c r="A198" s="18" t="inlineStr">
        <is>
          <t>0060_poliwag.json::poliwag-5::005</t>
        </is>
      </c>
      <c r="B198" s="19" t="inlineStr">
        <is>
          <t>사용</t>
        </is>
      </c>
      <c r="C198" s="18">
        <f>IF(OR(B198&lt;&gt;AK198,M198&lt;&gt;L198,O198&lt;&gt;"",Q198&lt;&gt;"",V198&lt;&gt;1,Y198&lt;&gt;"",AT198&lt;&gt;""),"수정","원본")</f>
        <v/>
      </c>
      <c r="D198" s="18" t="n">
        <v>60</v>
      </c>
      <c r="E198" s="18" t="inlineStr">
        <is>
          <t>발챙이</t>
        </is>
      </c>
      <c r="F198" s="18" t="inlineStr">
        <is>
          <t>poliwag</t>
        </is>
      </c>
      <c r="G198" s="18" t="inlineStr">
        <is>
          <t>poliwag</t>
        </is>
      </c>
      <c r="H198" s="18" t="inlineStr"/>
      <c r="I198" s="18" t="n">
        <v>1</v>
      </c>
      <c r="J198" s="18" t="n"/>
      <c r="K198" s="18" t="n">
        <v>1</v>
      </c>
      <c r="L198" s="18" t="inlineStr">
        <is>
          <t>cobbleventure:generation_1</t>
        </is>
      </c>
      <c r="M198" s="19" t="inlineStr">
        <is>
          <t>cobbleventure:generation_1</t>
        </is>
      </c>
      <c r="N198" s="18" t="inlineStr"/>
      <c r="O198" s="19" t="inlineStr"/>
      <c r="P198" s="18" t="inlineStr">
        <is>
          <t>#cobblemon:is_lush</t>
        </is>
      </c>
      <c r="Q198" s="19" t="inlineStr"/>
      <c r="R198" s="18">
        <f>IF(Q198="",P198,Q198)</f>
        <v/>
      </c>
      <c r="S198" s="18" t="inlineStr"/>
      <c r="T198" s="18" t="inlineStr">
        <is>
          <t>common</t>
        </is>
      </c>
      <c r="U198" s="20" t="n">
        <v>1.8</v>
      </c>
      <c r="V198" s="21" t="n">
        <v>1</v>
      </c>
      <c r="W198" s="20">
        <f>IF(OR(U198="",V198=""),U198,U198*V198)</f>
        <v/>
      </c>
      <c r="X198" s="18" t="inlineStr">
        <is>
          <t>5-30</t>
        </is>
      </c>
      <c r="Y198" s="19" t="inlineStr"/>
      <c r="Z198" s="18">
        <f>IF(Y198="",X198,Y198)</f>
        <v/>
      </c>
      <c r="AA198" s="18" t="inlineStr">
        <is>
          <t>grounded</t>
        </is>
      </c>
      <c r="AB198" s="18" t="inlineStr"/>
      <c r="AC198" s="18" t="inlineStr"/>
      <c r="AD198" s="18" t="inlineStr"/>
      <c r="AE198" s="18" t="inlineStr">
        <is>
          <t>sky 0-7</t>
        </is>
      </c>
      <c r="AF198" s="18" t="inlineStr"/>
      <c r="AG198" s="18" t="inlineStr"/>
      <c r="AH198" s="18" t="inlineStr"/>
      <c r="AI198" s="18" t="inlineStr"/>
      <c r="AJ198" s="18" t="inlineStr">
        <is>
          <t>Cobblemon 동일</t>
        </is>
      </c>
      <c r="AK198" s="18" t="inlineStr">
        <is>
          <t>사용</t>
        </is>
      </c>
      <c r="AL198" s="18" t="inlineStr">
        <is>
          <t>COBBLEVERSE 1.7.42 / DP v31</t>
        </is>
      </c>
      <c r="AM198" s="18" t="inlineStr">
        <is>
          <t>data/cobblemon/spawn_pool_world/0060_poliwag.json</t>
        </is>
      </c>
      <c r="AN198" s="18" t="inlineStr">
        <is>
          <t>poliwag-5</t>
        </is>
      </c>
      <c r="AO198" s="18" t="inlineStr">
        <is>
          <t>pokemon</t>
        </is>
      </c>
      <c r="AP198" s="18" t="inlineStr">
        <is>
          <t>natural</t>
        </is>
      </c>
      <c r="AQ198" s="18" t="inlineStr">
        <is>
          <t>{"biomes":["#cobblemon:is_lush"],"maxSkyLight":7,"minSkyLight":0}</t>
        </is>
      </c>
      <c r="AR198" s="18" t="inlineStr">
        <is>
          <t>{"maxY":9,"minY":-41,"structures":["cobblemon:shipwreck_coves/lush_shipwreck_cove"]}</t>
        </is>
      </c>
      <c r="AS198" s="18" t="inlineStr"/>
      <c r="AT198" s="19" t="inlineStr"/>
    </row>
    <row r="199" ht="32" customHeight="1">
      <c r="A199" s="18" t="inlineStr">
        <is>
          <t>0060_poliwag.json::poliwag-6::006</t>
        </is>
      </c>
      <c r="B199" s="19" t="inlineStr">
        <is>
          <t>사용</t>
        </is>
      </c>
      <c r="C199" s="18">
        <f>IF(OR(B199&lt;&gt;AK199,M199&lt;&gt;L199,O199&lt;&gt;"",Q199&lt;&gt;"",V199&lt;&gt;1,Y199&lt;&gt;"",AT199&lt;&gt;""),"수정","원본")</f>
        <v/>
      </c>
      <c r="D199" s="18" t="n">
        <v>60</v>
      </c>
      <c r="E199" s="18" t="inlineStr">
        <is>
          <t>발챙이</t>
        </is>
      </c>
      <c r="F199" s="18" t="inlineStr">
        <is>
          <t>poliwag</t>
        </is>
      </c>
      <c r="G199" s="18" t="inlineStr">
        <is>
          <t>poliwag</t>
        </is>
      </c>
      <c r="H199" s="18" t="inlineStr"/>
      <c r="I199" s="18" t="n">
        <v>1</v>
      </c>
      <c r="J199" s="18" t="n"/>
      <c r="K199" s="18" t="n">
        <v>1</v>
      </c>
      <c r="L199" s="18" t="inlineStr">
        <is>
          <t>cobbleventure:generation_1</t>
        </is>
      </c>
      <c r="M199" s="19" t="inlineStr">
        <is>
          <t>cobbleventure:generation_1</t>
        </is>
      </c>
      <c r="N199" s="18" t="inlineStr"/>
      <c r="O199" s="19" t="inlineStr"/>
      <c r="P199" s="18" t="inlineStr">
        <is>
          <t>#cobblemon:is_lush</t>
        </is>
      </c>
      <c r="Q199" s="19" t="inlineStr"/>
      <c r="R199" s="18">
        <f>IF(Q199="",P199,Q199)</f>
        <v/>
      </c>
      <c r="S199" s="18" t="inlineStr"/>
      <c r="T199" s="18" t="inlineStr">
        <is>
          <t>common</t>
        </is>
      </c>
      <c r="U199" s="20" t="n">
        <v>5.4</v>
      </c>
      <c r="V199" s="21" t="n">
        <v>1</v>
      </c>
      <c r="W199" s="20">
        <f>IF(OR(U199="",V199=""),U199,U199*V199)</f>
        <v/>
      </c>
      <c r="X199" s="18" t="inlineStr">
        <is>
          <t>5-30</t>
        </is>
      </c>
      <c r="Y199" s="19" t="inlineStr"/>
      <c r="Z199" s="18">
        <f>IF(Y199="",X199,Y199)</f>
        <v/>
      </c>
      <c r="AA199" s="18" t="inlineStr">
        <is>
          <t>submerged</t>
        </is>
      </c>
      <c r="AB199" s="18" t="inlineStr"/>
      <c r="AC199" s="18" t="inlineStr"/>
      <c r="AD199" s="18" t="inlineStr"/>
      <c r="AE199" s="18" t="inlineStr">
        <is>
          <t>sky 0-7</t>
        </is>
      </c>
      <c r="AF199" s="18" t="inlineStr"/>
      <c r="AG199" s="18" t="inlineStr"/>
      <c r="AH199" s="18" t="inlineStr"/>
      <c r="AI199" s="18" t="inlineStr"/>
      <c r="AJ199" s="18" t="inlineStr">
        <is>
          <t>Cobblemon 동일</t>
        </is>
      </c>
      <c r="AK199" s="18" t="inlineStr">
        <is>
          <t>사용</t>
        </is>
      </c>
      <c r="AL199" s="18" t="inlineStr">
        <is>
          <t>COBBLEVERSE 1.7.42 / DP v31</t>
        </is>
      </c>
      <c r="AM199" s="18" t="inlineStr">
        <is>
          <t>data/cobblemon/spawn_pool_world/0060_poliwag.json</t>
        </is>
      </c>
      <c r="AN199" s="18" t="inlineStr">
        <is>
          <t>poliwag-6</t>
        </is>
      </c>
      <c r="AO199" s="18" t="inlineStr">
        <is>
          <t>pokemon</t>
        </is>
      </c>
      <c r="AP199" s="18" t="inlineStr">
        <is>
          <t>water</t>
        </is>
      </c>
      <c r="AQ199" s="18" t="inlineStr">
        <is>
          <t>{"biomes":["#cobblemon:is_lush"],"maxSkyLight":7,"minSkyLight":0}</t>
        </is>
      </c>
      <c r="AR199" s="18" t="inlineStr">
        <is>
          <t>{"maxY":9,"minY":-41,"structures":["cobblemon:shipwreck_coves/lush_shipwreck_cove"]}</t>
        </is>
      </c>
      <c r="AS199" s="18" t="inlineStr"/>
      <c r="AT199" s="19" t="inlineStr"/>
    </row>
    <row r="200" ht="32" customHeight="1">
      <c r="A200" s="18" t="inlineStr">
        <is>
          <t>0060_poliwag.json::poliwag-7::007</t>
        </is>
      </c>
      <c r="B200" s="19" t="inlineStr">
        <is>
          <t>사용</t>
        </is>
      </c>
      <c r="C200" s="18">
        <f>IF(OR(B200&lt;&gt;AK200,M200&lt;&gt;L200,O200&lt;&gt;"",Q200&lt;&gt;"",V200&lt;&gt;1,Y200&lt;&gt;"",AT200&lt;&gt;""),"수정","원본")</f>
        <v/>
      </c>
      <c r="D200" s="18" t="n">
        <v>60</v>
      </c>
      <c r="E200" s="18" t="inlineStr">
        <is>
          <t>발챙이</t>
        </is>
      </c>
      <c r="F200" s="18" t="inlineStr">
        <is>
          <t>poliwag</t>
        </is>
      </c>
      <c r="G200" s="18" t="inlineStr">
        <is>
          <t>poliwag</t>
        </is>
      </c>
      <c r="H200" s="18" t="inlineStr"/>
      <c r="I200" s="18" t="n">
        <v>1</v>
      </c>
      <c r="J200" s="18" t="n"/>
      <c r="K200" s="18" t="n">
        <v>1</v>
      </c>
      <c r="L200" s="18" t="inlineStr">
        <is>
          <t>cobbleventure:generation_1</t>
        </is>
      </c>
      <c r="M200" s="19" t="inlineStr">
        <is>
          <t>cobbleventure:generation_1</t>
        </is>
      </c>
      <c r="N200" s="18" t="inlineStr">
        <is>
          <t>region_01; region_02</t>
        </is>
      </c>
      <c r="O200" s="19" t="inlineStr"/>
      <c r="P200" s="18" t="inlineStr">
        <is>
          <t>#cobblemon:is_freshwater; #cobblemon:is_hills; #cobblemon:is_jungle; #cobblemon:is_magical; #cobblemon:is_mushroom; #cobblemon:is_temperate</t>
        </is>
      </c>
      <c r="Q200" s="19" t="inlineStr"/>
      <c r="R200" s="18">
        <f>IF(Q200="",P200,Q200)</f>
        <v/>
      </c>
      <c r="S200" s="18" t="inlineStr">
        <is>
          <t>#cobblemon:is_freezing</t>
        </is>
      </c>
      <c r="T200" s="18" t="inlineStr">
        <is>
          <t>common</t>
        </is>
      </c>
      <c r="U200" s="20" t="n">
        <v>9</v>
      </c>
      <c r="V200" s="21" t="n">
        <v>1</v>
      </c>
      <c r="W200" s="20">
        <f>IF(OR(U200="",V200=""),U200,U200*V200)</f>
        <v/>
      </c>
      <c r="X200" s="18" t="inlineStr">
        <is>
          <t>5-30</t>
        </is>
      </c>
      <c r="Y200" s="19" t="inlineStr"/>
      <c r="Z200" s="18">
        <f>IF(Y200="",X200,Y200)</f>
        <v/>
      </c>
      <c r="AA200" s="18" t="inlineStr">
        <is>
          <t>fishing</t>
        </is>
      </c>
      <c r="AB200" s="18" t="inlineStr"/>
      <c r="AC200" s="18" t="inlineStr"/>
      <c r="AD200" s="18" t="inlineStr"/>
      <c r="AE200" s="18" t="inlineStr"/>
      <c r="AF200" s="18" t="inlineStr">
        <is>
          <t>True</t>
        </is>
      </c>
      <c r="AG200" s="18" t="inlineStr"/>
      <c r="AH200" s="18" t="inlineStr"/>
      <c r="AI200" s="18" t="inlineStr"/>
      <c r="AJ200" s="18" t="inlineStr">
        <is>
          <t>Cobblemon 동일</t>
        </is>
      </c>
      <c r="AK200" s="18" t="inlineStr">
        <is>
          <t>사용</t>
        </is>
      </c>
      <c r="AL200" s="18" t="inlineStr">
        <is>
          <t>COBBLEVERSE 1.7.42 / DP v31</t>
        </is>
      </c>
      <c r="AM200" s="18" t="inlineStr">
        <is>
          <t>data/cobblemon/spawn_pool_world/0060_poliwag.json</t>
        </is>
      </c>
      <c r="AN200" s="18" t="inlineStr">
        <is>
          <t>poliwag-7</t>
        </is>
      </c>
      <c r="AO200" s="18" t="inlineStr">
        <is>
          <t>pokemon</t>
        </is>
      </c>
      <c r="AP200" s="18" t="inlineStr"/>
      <c r="AQ200" s="18" t="inlineStr">
        <is>
          <t>{"biomes":["#cobblemon:is_freshwater","#cobblemon:is_hills","#cobblemon:is_jungle","#cobblemon:is_magical","#cobblemon:is_mushroom","#cobblemon:is_temperate"],"canSeeSky":true}</t>
        </is>
      </c>
      <c r="AR200" s="18" t="inlineStr">
        <is>
          <t>{"biomes":["#cobblemon:is_freezing"]}</t>
        </is>
      </c>
      <c r="AS200" s="18" t="inlineStr"/>
      <c r="AT200" s="19" t="inlineStr"/>
    </row>
    <row r="201" ht="32" customHeight="1">
      <c r="A201" s="18" t="inlineStr">
        <is>
          <t>0060_poliwag.json::poliwag-8::008</t>
        </is>
      </c>
      <c r="B201" s="19" t="inlineStr">
        <is>
          <t>사용</t>
        </is>
      </c>
      <c r="C201" s="18">
        <f>IF(OR(B201&lt;&gt;AK201,M201&lt;&gt;L201,O201&lt;&gt;"",Q201&lt;&gt;"",V201&lt;&gt;1,Y201&lt;&gt;"",AT201&lt;&gt;""),"수정","원본")</f>
        <v/>
      </c>
      <c r="D201" s="18" t="n">
        <v>60</v>
      </c>
      <c r="E201" s="18" t="inlineStr">
        <is>
          <t>발챙이</t>
        </is>
      </c>
      <c r="F201" s="18" t="inlineStr">
        <is>
          <t>poliwag</t>
        </is>
      </c>
      <c r="G201" s="18" t="inlineStr">
        <is>
          <t>poliwag</t>
        </is>
      </c>
      <c r="H201" s="18" t="inlineStr"/>
      <c r="I201" s="18" t="n">
        <v>1</v>
      </c>
      <c r="J201" s="18" t="n"/>
      <c r="K201" s="18" t="n">
        <v>1</v>
      </c>
      <c r="L201" s="18" t="inlineStr">
        <is>
          <t>cobbleventure:generation_1</t>
        </is>
      </c>
      <c r="M201" s="19" t="inlineStr">
        <is>
          <t>cobbleventure:generation_1</t>
        </is>
      </c>
      <c r="N201" s="18" t="inlineStr"/>
      <c r="O201" s="19" t="inlineStr"/>
      <c r="P201" s="18" t="inlineStr">
        <is>
          <t>#cobblemon:is_lush</t>
        </is>
      </c>
      <c r="Q201" s="19" t="inlineStr"/>
      <c r="R201" s="18">
        <f>IF(Q201="",P201,Q201)</f>
        <v/>
      </c>
      <c r="S201" s="18" t="inlineStr"/>
      <c r="T201" s="18" t="inlineStr">
        <is>
          <t>common</t>
        </is>
      </c>
      <c r="U201" s="20" t="n">
        <v>9</v>
      </c>
      <c r="V201" s="21" t="n">
        <v>1</v>
      </c>
      <c r="W201" s="20">
        <f>IF(OR(U201="",V201=""),U201,U201*V201)</f>
        <v/>
      </c>
      <c r="X201" s="18" t="inlineStr">
        <is>
          <t>5-30</t>
        </is>
      </c>
      <c r="Y201" s="19" t="inlineStr"/>
      <c r="Z201" s="18">
        <f>IF(Y201="",X201,Y201)</f>
        <v/>
      </c>
      <c r="AA201" s="18" t="inlineStr">
        <is>
          <t>fishing</t>
        </is>
      </c>
      <c r="AB201" s="18" t="inlineStr"/>
      <c r="AC201" s="18" t="inlineStr"/>
      <c r="AD201" s="18" t="inlineStr"/>
      <c r="AE201" s="18" t="inlineStr">
        <is>
          <t>sky 0-7</t>
        </is>
      </c>
      <c r="AF201" s="18" t="inlineStr"/>
      <c r="AG201" s="18" t="inlineStr"/>
      <c r="AH201" s="18" t="inlineStr"/>
      <c r="AI201" s="18" t="inlineStr"/>
      <c r="AJ201" s="18" t="inlineStr">
        <is>
          <t>Cobblemon 동일</t>
        </is>
      </c>
      <c r="AK201" s="18" t="inlineStr">
        <is>
          <t>사용</t>
        </is>
      </c>
      <c r="AL201" s="18" t="inlineStr">
        <is>
          <t>COBBLEVERSE 1.7.42 / DP v31</t>
        </is>
      </c>
      <c r="AM201" s="18" t="inlineStr">
        <is>
          <t>data/cobblemon/spawn_pool_world/0060_poliwag.json</t>
        </is>
      </c>
      <c r="AN201" s="18" t="inlineStr">
        <is>
          <t>poliwag-8</t>
        </is>
      </c>
      <c r="AO201" s="18" t="inlineStr">
        <is>
          <t>pokemon</t>
        </is>
      </c>
      <c r="AP201" s="18" t="inlineStr"/>
      <c r="AQ201" s="18" t="inlineStr">
        <is>
          <t>{"biomes":["#cobblemon:is_lush"],"maxSkyLight":7,"minSkyLight":0}</t>
        </is>
      </c>
      <c r="AR201" s="18" t="inlineStr">
        <is>
          <t>{"maxY":9,"minY":-41,"structures":["cobblemon:shipwreck_coves/lush_shipwreck_cove"]}</t>
        </is>
      </c>
      <c r="AS201" s="18" t="inlineStr">
        <is>
          <t>{"weightMultiplier":{"condition":{"maxLureLevel":1,"minLureLevel":0},"multiplier":0.6}}</t>
        </is>
      </c>
      <c r="AT201" s="19" t="inlineStr"/>
    </row>
    <row r="202" ht="32" customHeight="1">
      <c r="A202" s="18" t="inlineStr">
        <is>
          <t>0060_poliwag.json::poliwag-9::009</t>
        </is>
      </c>
      <c r="B202" s="19" t="inlineStr">
        <is>
          <t>사용</t>
        </is>
      </c>
      <c r="C202" s="18">
        <f>IF(OR(B202&lt;&gt;AK202,M202&lt;&gt;L202,O202&lt;&gt;"",Q202&lt;&gt;"",V202&lt;&gt;1,Y202&lt;&gt;"",AT202&lt;&gt;""),"수정","원본")</f>
        <v/>
      </c>
      <c r="D202" s="18" t="n">
        <v>60</v>
      </c>
      <c r="E202" s="18" t="inlineStr">
        <is>
          <t>발챙이</t>
        </is>
      </c>
      <c r="F202" s="18" t="inlineStr">
        <is>
          <t>poliwag</t>
        </is>
      </c>
      <c r="G202" s="18" t="inlineStr">
        <is>
          <t>poliwag</t>
        </is>
      </c>
      <c r="H202" s="18" t="inlineStr"/>
      <c r="I202" s="18" t="n">
        <v>1</v>
      </c>
      <c r="J202" s="18" t="n"/>
      <c r="K202" s="18" t="n">
        <v>1</v>
      </c>
      <c r="L202" s="18" t="inlineStr">
        <is>
          <t>cobbleventure:generation_1</t>
        </is>
      </c>
      <c r="M202" s="19" t="inlineStr">
        <is>
          <t>cobbleventure:generation_1</t>
        </is>
      </c>
      <c r="N202" s="18" t="inlineStr">
        <is>
          <t>region_02</t>
        </is>
      </c>
      <c r="O202" s="19" t="inlineStr"/>
      <c r="P202" s="18" t="inlineStr">
        <is>
          <t>#cobblemon:is_swamp</t>
        </is>
      </c>
      <c r="Q202" s="19" t="inlineStr"/>
      <c r="R202" s="18">
        <f>IF(Q202="",P202,Q202)</f>
        <v/>
      </c>
      <c r="S202" s="18" t="inlineStr"/>
      <c r="T202" s="18" t="inlineStr">
        <is>
          <t>common</t>
        </is>
      </c>
      <c r="U202" s="20" t="n">
        <v>9</v>
      </c>
      <c r="V202" s="21" t="n">
        <v>1</v>
      </c>
      <c r="W202" s="20">
        <f>IF(OR(U202="",V202=""),U202,U202*V202)</f>
        <v/>
      </c>
      <c r="X202" s="18" t="inlineStr">
        <is>
          <t>5-30</t>
        </is>
      </c>
      <c r="Y202" s="19" t="inlineStr"/>
      <c r="Z202" s="18">
        <f>IF(Y202="",X202,Y202)</f>
        <v/>
      </c>
      <c r="AA202" s="18" t="inlineStr">
        <is>
          <t>submerged</t>
        </is>
      </c>
      <c r="AB202" s="18" t="inlineStr"/>
      <c r="AC202" s="18" t="inlineStr"/>
      <c r="AD202" s="18" t="inlineStr"/>
      <c r="AE202" s="18" t="inlineStr">
        <is>
          <t>sky 8-15</t>
        </is>
      </c>
      <c r="AF202" s="18" t="inlineStr">
        <is>
          <t>False</t>
        </is>
      </c>
      <c r="AG202" s="18" t="inlineStr"/>
      <c r="AH202" s="18" t="inlineStr">
        <is>
          <t>주변=minecraft:lily_pad</t>
        </is>
      </c>
      <c r="AI202" s="18" t="inlineStr"/>
      <c r="AJ202" s="18" t="inlineStr">
        <is>
          <t>Cobblemon 동일</t>
        </is>
      </c>
      <c r="AK202" s="18" t="inlineStr">
        <is>
          <t>사용</t>
        </is>
      </c>
      <c r="AL202" s="18" t="inlineStr">
        <is>
          <t>COBBLEVERSE 1.7.42 / DP v31</t>
        </is>
      </c>
      <c r="AM202" s="18" t="inlineStr">
        <is>
          <t>data/cobblemon/spawn_pool_world/0060_poliwag.json</t>
        </is>
      </c>
      <c r="AN202" s="18" t="inlineStr">
        <is>
          <t>poliwag-9</t>
        </is>
      </c>
      <c r="AO202" s="18" t="inlineStr">
        <is>
          <t>pokemon</t>
        </is>
      </c>
      <c r="AP202" s="18" t="inlineStr">
        <is>
          <t>water</t>
        </is>
      </c>
      <c r="AQ202" s="18" t="inlineStr">
        <is>
          <t>{"biomes":["#cobblemon:is_swamp"],"canSeeSky":false,"maxSkyLight":15,"minSkyLight":8,"neededNearbyBlocks":["minecraft:lily_pad"]}</t>
        </is>
      </c>
      <c r="AR202" s="18" t="inlineStr"/>
      <c r="AS202" s="18" t="inlineStr"/>
      <c r="AT202" s="19" t="inlineStr"/>
    </row>
    <row r="203" ht="32" customHeight="1">
      <c r="A203" s="18" t="inlineStr">
        <is>
          <t>0060_poliwag.json::poliwag-10::010</t>
        </is>
      </c>
      <c r="B203" s="19" t="inlineStr">
        <is>
          <t>사용</t>
        </is>
      </c>
      <c r="C203" s="18">
        <f>IF(OR(B203&lt;&gt;AK203,M203&lt;&gt;L203,O203&lt;&gt;"",Q203&lt;&gt;"",V203&lt;&gt;1,Y203&lt;&gt;"",AT203&lt;&gt;""),"수정","원본")</f>
        <v/>
      </c>
      <c r="D203" s="18" t="n">
        <v>60</v>
      </c>
      <c r="E203" s="18" t="inlineStr">
        <is>
          <t>발챙이</t>
        </is>
      </c>
      <c r="F203" s="18" t="inlineStr">
        <is>
          <t>poliwag</t>
        </is>
      </c>
      <c r="G203" s="18" t="inlineStr">
        <is>
          <t>poliwag</t>
        </is>
      </c>
      <c r="H203" s="18" t="inlineStr"/>
      <c r="I203" s="18" t="n">
        <v>1</v>
      </c>
      <c r="J203" s="18" t="n"/>
      <c r="K203" s="18" t="n">
        <v>1</v>
      </c>
      <c r="L203" s="18" t="inlineStr">
        <is>
          <t>cobbleventure:generation_1</t>
        </is>
      </c>
      <c r="M203" s="19" t="inlineStr">
        <is>
          <t>cobbleventure:generation_1</t>
        </is>
      </c>
      <c r="N203" s="18" t="inlineStr">
        <is>
          <t>region_01</t>
        </is>
      </c>
      <c r="O203" s="19" t="inlineStr"/>
      <c r="P203" s="18" t="inlineStr">
        <is>
          <t>#cobblemon:is_freshwater; #cobblemon:is_hills; #cobblemon:is_jungle; #cobblemon:is_magical; #cobblemon:is_mushroom; #cobblemon:is_temperate</t>
        </is>
      </c>
      <c r="Q203" s="19" t="inlineStr"/>
      <c r="R203" s="18">
        <f>IF(Q203="",P203,Q203)</f>
        <v/>
      </c>
      <c r="S203" s="18" t="inlineStr">
        <is>
          <t>#cobblemon:is_freezing; #cobblemon:is_swamp</t>
        </is>
      </c>
      <c r="T203" s="18" t="inlineStr">
        <is>
          <t>common</t>
        </is>
      </c>
      <c r="U203" s="20" t="n">
        <v>5.4</v>
      </c>
      <c r="V203" s="21" t="n">
        <v>1</v>
      </c>
      <c r="W203" s="20">
        <f>IF(OR(U203="",V203=""),U203,U203*V203)</f>
        <v/>
      </c>
      <c r="X203" s="18" t="inlineStr">
        <is>
          <t>5-30</t>
        </is>
      </c>
      <c r="Y203" s="19" t="inlineStr"/>
      <c r="Z203" s="18">
        <f>IF(Y203="",X203,Y203)</f>
        <v/>
      </c>
      <c r="AA203" s="18" t="inlineStr">
        <is>
          <t>submerged</t>
        </is>
      </c>
      <c r="AB203" s="18" t="inlineStr"/>
      <c r="AC203" s="18" t="inlineStr"/>
      <c r="AD203" s="18" t="inlineStr"/>
      <c r="AE203" s="18" t="inlineStr">
        <is>
          <t>sky 8-15</t>
        </is>
      </c>
      <c r="AF203" s="18" t="inlineStr">
        <is>
          <t>False</t>
        </is>
      </c>
      <c r="AG203" s="18" t="inlineStr"/>
      <c r="AH203" s="18" t="inlineStr"/>
      <c r="AI203" s="18" t="inlineStr"/>
      <c r="AJ203" s="18" t="inlineStr">
        <is>
          <t>Cobblemon 동일</t>
        </is>
      </c>
      <c r="AK203" s="18" t="inlineStr">
        <is>
          <t>사용</t>
        </is>
      </c>
      <c r="AL203" s="18" t="inlineStr">
        <is>
          <t>COBBLEVERSE 1.7.42 / DP v31</t>
        </is>
      </c>
      <c r="AM203" s="18" t="inlineStr">
        <is>
          <t>data/cobblemon/spawn_pool_world/0060_poliwag.json</t>
        </is>
      </c>
      <c r="AN203" s="18" t="inlineStr">
        <is>
          <t>poliwag-10</t>
        </is>
      </c>
      <c r="AO203" s="18" t="inlineStr">
        <is>
          <t>pokemon</t>
        </is>
      </c>
      <c r="AP203" s="18" t="inlineStr">
        <is>
          <t>water</t>
        </is>
      </c>
      <c r="AQ203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203" s="18" t="inlineStr">
        <is>
          <t>{"biomes":["#cobblemon:is_freezing","#cobblemon:is_swamp"]}</t>
        </is>
      </c>
      <c r="AS203" s="18" t="inlineStr"/>
      <c r="AT203" s="19" t="inlineStr"/>
    </row>
    <row r="204" ht="32" customHeight="1">
      <c r="A204" s="18" t="inlineStr">
        <is>
          <t>0060_poliwag.json::poliwag-11::011</t>
        </is>
      </c>
      <c r="B204" s="19" t="inlineStr">
        <is>
          <t>사용</t>
        </is>
      </c>
      <c r="C204" s="18">
        <f>IF(OR(B204&lt;&gt;AK204,M204&lt;&gt;L204,O204&lt;&gt;"",Q204&lt;&gt;"",V204&lt;&gt;1,Y204&lt;&gt;"",AT204&lt;&gt;""),"수정","원본")</f>
        <v/>
      </c>
      <c r="D204" s="18" t="n">
        <v>60</v>
      </c>
      <c r="E204" s="18" t="inlineStr">
        <is>
          <t>발챙이</t>
        </is>
      </c>
      <c r="F204" s="18" t="inlineStr">
        <is>
          <t>poliwag</t>
        </is>
      </c>
      <c r="G204" s="18" t="inlineStr">
        <is>
          <t>poliwag</t>
        </is>
      </c>
      <c r="H204" s="18" t="inlineStr"/>
      <c r="I204" s="18" t="n">
        <v>1</v>
      </c>
      <c r="J204" s="18" t="n"/>
      <c r="K204" s="18" t="n">
        <v>1</v>
      </c>
      <c r="L204" s="18" t="inlineStr">
        <is>
          <t>cobbleventure:generation_1</t>
        </is>
      </c>
      <c r="M204" s="19" t="inlineStr">
        <is>
          <t>cobbleventure:generation_1</t>
        </is>
      </c>
      <c r="N204" s="18" t="inlineStr">
        <is>
          <t>region_01; region_02</t>
        </is>
      </c>
      <c r="O204" s="19" t="inlineStr"/>
      <c r="P204" s="18" t="inlineStr">
        <is>
          <t>#cobblemon:is_freshwater; #cobblemon:is_hills; #cobblemon:is_jungle; #cobblemon:is_magical; #cobblemon:is_mushroom; #cobblemon:is_temperate</t>
        </is>
      </c>
      <c r="Q204" s="19" t="inlineStr"/>
      <c r="R204" s="18">
        <f>IF(Q204="",P204,Q204)</f>
        <v/>
      </c>
      <c r="S204" s="18" t="inlineStr">
        <is>
          <t>#cobblemon:is_freezing</t>
        </is>
      </c>
      <c r="T204" s="18" t="inlineStr">
        <is>
          <t>common</t>
        </is>
      </c>
      <c r="U204" s="20" t="n">
        <v>9</v>
      </c>
      <c r="V204" s="21" t="n">
        <v>1</v>
      </c>
      <c r="W204" s="20">
        <f>IF(OR(U204="",V204=""),U204,U204*V204)</f>
        <v/>
      </c>
      <c r="X204" s="18" t="inlineStr">
        <is>
          <t>5-30</t>
        </is>
      </c>
      <c r="Y204" s="19" t="inlineStr"/>
      <c r="Z204" s="18">
        <f>IF(Y204="",X204,Y204)</f>
        <v/>
      </c>
      <c r="AA204" s="18" t="inlineStr">
        <is>
          <t>fishing</t>
        </is>
      </c>
      <c r="AB204" s="18" t="inlineStr"/>
      <c r="AC204" s="18" t="inlineStr"/>
      <c r="AD204" s="18" t="inlineStr"/>
      <c r="AE204" s="18" t="inlineStr">
        <is>
          <t>sky 8-15</t>
        </is>
      </c>
      <c r="AF204" s="18" t="inlineStr">
        <is>
          <t>False</t>
        </is>
      </c>
      <c r="AG204" s="18" t="inlineStr"/>
      <c r="AH204" s="18" t="inlineStr"/>
      <c r="AI204" s="18" t="inlineStr"/>
      <c r="AJ204" s="18" t="inlineStr">
        <is>
          <t>Cobblemon 동일</t>
        </is>
      </c>
      <c r="AK204" s="18" t="inlineStr">
        <is>
          <t>사용</t>
        </is>
      </c>
      <c r="AL204" s="18" t="inlineStr">
        <is>
          <t>COBBLEVERSE 1.7.42 / DP v31</t>
        </is>
      </c>
      <c r="AM204" s="18" t="inlineStr">
        <is>
          <t>data/cobblemon/spawn_pool_world/0060_poliwag.json</t>
        </is>
      </c>
      <c r="AN204" s="18" t="inlineStr">
        <is>
          <t>poliwag-11</t>
        </is>
      </c>
      <c r="AO204" s="18" t="inlineStr">
        <is>
          <t>pokemon</t>
        </is>
      </c>
      <c r="AP204" s="18" t="inlineStr"/>
      <c r="AQ204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204" s="18" t="inlineStr">
        <is>
          <t>{"biomes":["#cobblemon:is_freezing"]}</t>
        </is>
      </c>
      <c r="AS204" s="18" t="inlineStr"/>
      <c r="AT204" s="19" t="inlineStr"/>
    </row>
    <row r="205" ht="32" customHeight="1">
      <c r="A205" s="18" t="inlineStr">
        <is>
          <t>0060_poliwag.json::poliwag-12::012</t>
        </is>
      </c>
      <c r="B205" s="19" t="inlineStr">
        <is>
          <t>사용</t>
        </is>
      </c>
      <c r="C205" s="18">
        <f>IF(OR(B205&lt;&gt;AK205,M205&lt;&gt;L205,O205&lt;&gt;"",Q205&lt;&gt;"",V205&lt;&gt;1,Y205&lt;&gt;"",AT205&lt;&gt;""),"수정","원본")</f>
        <v/>
      </c>
      <c r="D205" s="18" t="n">
        <v>60</v>
      </c>
      <c r="E205" s="18" t="inlineStr">
        <is>
          <t>발챙이</t>
        </is>
      </c>
      <c r="F205" s="18" t="inlineStr">
        <is>
          <t>poliwag</t>
        </is>
      </c>
      <c r="G205" s="18" t="inlineStr">
        <is>
          <t>poliwag</t>
        </is>
      </c>
      <c r="H205" s="18" t="inlineStr"/>
      <c r="I205" s="18" t="n">
        <v>1</v>
      </c>
      <c r="J205" s="18" t="n"/>
      <c r="K205" s="18" t="n">
        <v>1</v>
      </c>
      <c r="L205" s="18" t="inlineStr">
        <is>
          <t>cobbleventure:generation_1</t>
        </is>
      </c>
      <c r="M205" s="19" t="inlineStr">
        <is>
          <t>cobbleventure:generation_1</t>
        </is>
      </c>
      <c r="N205" s="18" t="inlineStr">
        <is>
          <t>region_01; region_02</t>
        </is>
      </c>
      <c r="O205" s="19" t="inlineStr"/>
      <c r="P205" s="18" t="inlineStr">
        <is>
          <t>#cobblemon:is_overworld</t>
        </is>
      </c>
      <c r="Q205" s="19" t="inlineStr"/>
      <c r="R205" s="18">
        <f>IF(Q205="",P205,Q205)</f>
        <v/>
      </c>
      <c r="S205" s="18" t="inlineStr">
        <is>
          <t>#cobblemon:is_lush</t>
        </is>
      </c>
      <c r="T205" s="18" t="inlineStr">
        <is>
          <t>common</t>
        </is>
      </c>
      <c r="U205" s="20" t="n">
        <v>1.8</v>
      </c>
      <c r="V205" s="21" t="n">
        <v>1</v>
      </c>
      <c r="W205" s="20">
        <f>IF(OR(U205="",V205=""),U205,U205*V205)</f>
        <v/>
      </c>
      <c r="X205" s="18" t="inlineStr">
        <is>
          <t>5-30</t>
        </is>
      </c>
      <c r="Y205" s="19" t="inlineStr"/>
      <c r="Z205" s="18">
        <f>IF(Y205="",X205,Y205)</f>
        <v/>
      </c>
      <c r="AA205" s="18" t="inlineStr">
        <is>
          <t>grounded</t>
        </is>
      </c>
      <c r="AB205" s="18" t="inlineStr"/>
      <c r="AC205" s="18" t="inlineStr"/>
      <c r="AD205" s="18" t="inlineStr">
        <is>
          <t>minY=-41, maxY=9</t>
        </is>
      </c>
      <c r="AE205" s="18" t="inlineStr">
        <is>
          <t>sky 0-7</t>
        </is>
      </c>
      <c r="AF205" s="18" t="inlineStr"/>
      <c r="AG205" s="18" t="inlineStr">
        <is>
          <t>cobblemon:shipwreck_coves/lush_shipwreck_cove</t>
        </is>
      </c>
      <c r="AH205" s="18" t="inlineStr"/>
      <c r="AI205" s="18" t="inlineStr"/>
      <c r="AJ205" s="18" t="inlineStr">
        <is>
          <t>Cobblemon 동일</t>
        </is>
      </c>
      <c r="AK205" s="18" t="inlineStr">
        <is>
          <t>사용</t>
        </is>
      </c>
      <c r="AL205" s="18" t="inlineStr">
        <is>
          <t>COBBLEVERSE 1.7.42 / DP v31</t>
        </is>
      </c>
      <c r="AM205" s="18" t="inlineStr">
        <is>
          <t>data/cobblemon/spawn_pool_world/0060_poliwag.json</t>
        </is>
      </c>
      <c r="AN205" s="18" t="inlineStr">
        <is>
          <t>poliwag-12</t>
        </is>
      </c>
      <c r="AO205" s="18" t="inlineStr">
        <is>
          <t>pokemon</t>
        </is>
      </c>
      <c r="AP205" s="18" t="inlineStr">
        <is>
          <t>natural</t>
        </is>
      </c>
      <c r="AQ205" s="18" t="inlineStr">
        <is>
          <t>{"biomes":["#cobblemon:is_overworld"],"maxSkyLight":7,"maxY":9,"minSkyLight":0,"minY":-41,"structures":["cobblemon:shipwreck_coves/lush_shipwreck_cove"]}</t>
        </is>
      </c>
      <c r="AR205" s="18" t="inlineStr">
        <is>
          <t>{"biomes":["#cobblemon:is_lush"]}</t>
        </is>
      </c>
      <c r="AS205" s="18" t="inlineStr"/>
      <c r="AT205" s="19" t="inlineStr"/>
    </row>
    <row r="206" ht="32" customHeight="1">
      <c r="A206" s="18" t="inlineStr">
        <is>
          <t>0060_poliwag.json::poliwag-13::013</t>
        </is>
      </c>
      <c r="B206" s="19" t="inlineStr">
        <is>
          <t>사용</t>
        </is>
      </c>
      <c r="C206" s="18">
        <f>IF(OR(B206&lt;&gt;AK206,M206&lt;&gt;L206,O206&lt;&gt;"",Q206&lt;&gt;"",V206&lt;&gt;1,Y206&lt;&gt;"",AT206&lt;&gt;""),"수정","원본")</f>
        <v/>
      </c>
      <c r="D206" s="18" t="n">
        <v>60</v>
      </c>
      <c r="E206" s="18" t="inlineStr">
        <is>
          <t>발챙이</t>
        </is>
      </c>
      <c r="F206" s="18" t="inlineStr">
        <is>
          <t>poliwag</t>
        </is>
      </c>
      <c r="G206" s="18" t="inlineStr">
        <is>
          <t>poliwag</t>
        </is>
      </c>
      <c r="H206" s="18" t="inlineStr"/>
      <c r="I206" s="18" t="n">
        <v>1</v>
      </c>
      <c r="J206" s="18" t="n"/>
      <c r="K206" s="18" t="n">
        <v>1</v>
      </c>
      <c r="L206" s="18" t="inlineStr">
        <is>
          <t>cobbleventure:generation_1</t>
        </is>
      </c>
      <c r="M206" s="19" t="inlineStr">
        <is>
          <t>cobbleventure:generation_1</t>
        </is>
      </c>
      <c r="N206" s="18" t="inlineStr">
        <is>
          <t>region_01; region_02</t>
        </is>
      </c>
      <c r="O206" s="19" t="inlineStr"/>
      <c r="P206" s="18" t="inlineStr">
        <is>
          <t>#cobblemon:is_overworld</t>
        </is>
      </c>
      <c r="Q206" s="19" t="inlineStr"/>
      <c r="R206" s="18">
        <f>IF(Q206="",P206,Q206)</f>
        <v/>
      </c>
      <c r="S206" s="18" t="inlineStr">
        <is>
          <t>#cobblemon:is_lush</t>
        </is>
      </c>
      <c r="T206" s="18" t="inlineStr">
        <is>
          <t>common</t>
        </is>
      </c>
      <c r="U206" s="20" t="n">
        <v>5.4</v>
      </c>
      <c r="V206" s="21" t="n">
        <v>1</v>
      </c>
      <c r="W206" s="20">
        <f>IF(OR(U206="",V206=""),U206,U206*V206)</f>
        <v/>
      </c>
      <c r="X206" s="18" t="inlineStr">
        <is>
          <t>5-30</t>
        </is>
      </c>
      <c r="Y206" s="19" t="inlineStr"/>
      <c r="Z206" s="18">
        <f>IF(Y206="",X206,Y206)</f>
        <v/>
      </c>
      <c r="AA206" s="18" t="inlineStr">
        <is>
          <t>submerged</t>
        </is>
      </c>
      <c r="AB206" s="18" t="inlineStr"/>
      <c r="AC206" s="18" t="inlineStr"/>
      <c r="AD206" s="18" t="inlineStr">
        <is>
          <t>minY=-41, maxY=9</t>
        </is>
      </c>
      <c r="AE206" s="18" t="inlineStr">
        <is>
          <t>sky 0-7</t>
        </is>
      </c>
      <c r="AF206" s="18" t="inlineStr"/>
      <c r="AG206" s="18" t="inlineStr">
        <is>
          <t>cobblemon:shipwreck_coves/lush_shipwreck_cove</t>
        </is>
      </c>
      <c r="AH206" s="18" t="inlineStr"/>
      <c r="AI206" s="18" t="inlineStr"/>
      <c r="AJ206" s="18" t="inlineStr">
        <is>
          <t>Cobblemon 동일</t>
        </is>
      </c>
      <c r="AK206" s="18" t="inlineStr">
        <is>
          <t>사용</t>
        </is>
      </c>
      <c r="AL206" s="18" t="inlineStr">
        <is>
          <t>COBBLEVERSE 1.7.42 / DP v31</t>
        </is>
      </c>
      <c r="AM206" s="18" t="inlineStr">
        <is>
          <t>data/cobblemon/spawn_pool_world/0060_poliwag.json</t>
        </is>
      </c>
      <c r="AN206" s="18" t="inlineStr">
        <is>
          <t>poliwag-13</t>
        </is>
      </c>
      <c r="AO206" s="18" t="inlineStr">
        <is>
          <t>pokemon</t>
        </is>
      </c>
      <c r="AP206" s="18" t="inlineStr">
        <is>
          <t>water</t>
        </is>
      </c>
      <c r="AQ206" s="18" t="inlineStr">
        <is>
          <t>{"biomes":["#cobblemon:is_overworld"],"maxSkyLight":7,"maxY":9,"minSkyLight":0,"minY":-41,"structures":["cobblemon:shipwreck_coves/lush_shipwreck_cove"]}</t>
        </is>
      </c>
      <c r="AR206" s="18" t="inlineStr">
        <is>
          <t>{"biomes":["#cobblemon:is_lush"]}</t>
        </is>
      </c>
      <c r="AS206" s="18" t="inlineStr"/>
      <c r="AT206" s="19" t="inlineStr"/>
    </row>
    <row r="207" ht="32" customHeight="1">
      <c r="A207" s="18" t="inlineStr">
        <is>
          <t>0060_poliwag.json::poliwag-14::014</t>
        </is>
      </c>
      <c r="B207" s="19" t="inlineStr">
        <is>
          <t>사용</t>
        </is>
      </c>
      <c r="C207" s="18">
        <f>IF(OR(B207&lt;&gt;AK207,M207&lt;&gt;L207,O207&lt;&gt;"",Q207&lt;&gt;"",V207&lt;&gt;1,Y207&lt;&gt;"",AT207&lt;&gt;""),"수정","원본")</f>
        <v/>
      </c>
      <c r="D207" s="18" t="n">
        <v>60</v>
      </c>
      <c r="E207" s="18" t="inlineStr">
        <is>
          <t>발챙이</t>
        </is>
      </c>
      <c r="F207" s="18" t="inlineStr">
        <is>
          <t>poliwag</t>
        </is>
      </c>
      <c r="G207" s="18" t="inlineStr">
        <is>
          <t>poliwag</t>
        </is>
      </c>
      <c r="H207" s="18" t="inlineStr"/>
      <c r="I207" s="18" t="n">
        <v>1</v>
      </c>
      <c r="J207" s="18" t="n"/>
      <c r="K207" s="18" t="n">
        <v>1</v>
      </c>
      <c r="L207" s="18" t="inlineStr">
        <is>
          <t>cobbleventure:generation_1</t>
        </is>
      </c>
      <c r="M207" s="19" t="inlineStr">
        <is>
          <t>cobbleventure:generation_1</t>
        </is>
      </c>
      <c r="N207" s="18" t="inlineStr">
        <is>
          <t>region_01; region_02</t>
        </is>
      </c>
      <c r="O207" s="19" t="inlineStr"/>
      <c r="P207" s="18" t="inlineStr">
        <is>
          <t>#cobblemon:is_overworld</t>
        </is>
      </c>
      <c r="Q207" s="19" t="inlineStr"/>
      <c r="R207" s="18">
        <f>IF(Q207="",P207,Q207)</f>
        <v/>
      </c>
      <c r="S207" s="18" t="inlineStr">
        <is>
          <t>#cobblemon:is_lush</t>
        </is>
      </c>
      <c r="T207" s="18" t="inlineStr">
        <is>
          <t>common</t>
        </is>
      </c>
      <c r="U207" s="20" t="n">
        <v>9</v>
      </c>
      <c r="V207" s="21" t="n">
        <v>1</v>
      </c>
      <c r="W207" s="20">
        <f>IF(OR(U207="",V207=""),U207,U207*V207)</f>
        <v/>
      </c>
      <c r="X207" s="18" t="inlineStr">
        <is>
          <t>5-30</t>
        </is>
      </c>
      <c r="Y207" s="19" t="inlineStr"/>
      <c r="Z207" s="18">
        <f>IF(Y207="",X207,Y207)</f>
        <v/>
      </c>
      <c r="AA207" s="18" t="inlineStr">
        <is>
          <t>fishing</t>
        </is>
      </c>
      <c r="AB207" s="18" t="inlineStr"/>
      <c r="AC207" s="18" t="inlineStr"/>
      <c r="AD207" s="18" t="inlineStr">
        <is>
          <t>minY=-41, maxY=9</t>
        </is>
      </c>
      <c r="AE207" s="18" t="inlineStr">
        <is>
          <t>sky 0-7</t>
        </is>
      </c>
      <c r="AF207" s="18" t="inlineStr"/>
      <c r="AG207" s="18" t="inlineStr">
        <is>
          <t>cobblemon:shipwreck_coves/lush_shipwreck_cove</t>
        </is>
      </c>
      <c r="AH207" s="18" t="inlineStr"/>
      <c r="AI207" s="18" t="inlineStr"/>
      <c r="AJ207" s="18" t="inlineStr">
        <is>
          <t>Cobblemon 동일</t>
        </is>
      </c>
      <c r="AK207" s="18" t="inlineStr">
        <is>
          <t>사용</t>
        </is>
      </c>
      <c r="AL207" s="18" t="inlineStr">
        <is>
          <t>COBBLEVERSE 1.7.42 / DP v31</t>
        </is>
      </c>
      <c r="AM207" s="18" t="inlineStr">
        <is>
          <t>data/cobblemon/spawn_pool_world/0060_poliwag.json</t>
        </is>
      </c>
      <c r="AN207" s="18" t="inlineStr">
        <is>
          <t>poliwag-14</t>
        </is>
      </c>
      <c r="AO207" s="18" t="inlineStr">
        <is>
          <t>pokemon</t>
        </is>
      </c>
      <c r="AP207" s="18" t="inlineStr"/>
      <c r="AQ207" s="18" t="inlineStr">
        <is>
          <t>{"biomes":["#cobblemon:is_overworld"],"maxSkyLight":7,"maxY":9,"minSkyLight":0,"minY":-41,"structures":["cobblemon:shipwreck_coves/lush_shipwreck_cove"]}</t>
        </is>
      </c>
      <c r="AR207" s="18" t="inlineStr">
        <is>
          <t>{"biomes":["#cobblemon:is_lush"]}</t>
        </is>
      </c>
      <c r="AS207" s="18" t="inlineStr">
        <is>
          <t>{"weightMultiplier":{"condition":{"maxLureLevel":1,"minLureLevel":0},"multiplier":0.6}}</t>
        </is>
      </c>
      <c r="AT207" s="19" t="inlineStr"/>
    </row>
    <row r="208" ht="32" customHeight="1">
      <c r="A208" s="18" t="inlineStr">
        <is>
          <t>0061_poliwhirl.json::poliwhirl-1::001</t>
        </is>
      </c>
      <c r="B208" s="19" t="inlineStr">
        <is>
          <t>사용</t>
        </is>
      </c>
      <c r="C208" s="18">
        <f>IF(OR(B208&lt;&gt;AK208,M208&lt;&gt;L208,O208&lt;&gt;"",Q208&lt;&gt;"",V208&lt;&gt;1,Y208&lt;&gt;"",AT208&lt;&gt;""),"수정","원본")</f>
        <v/>
      </c>
      <c r="D208" s="18" t="n">
        <v>61</v>
      </c>
      <c r="E208" s="18" t="inlineStr">
        <is>
          <t>슈륙챙이</t>
        </is>
      </c>
      <c r="F208" s="18" t="inlineStr">
        <is>
          <t>poliwhirl</t>
        </is>
      </c>
      <c r="G208" s="18" t="inlineStr">
        <is>
          <t>poliwhirl</t>
        </is>
      </c>
      <c r="H208" s="18" t="inlineStr"/>
      <c r="I208" s="18" t="n">
        <v>1</v>
      </c>
      <c r="J208" s="18" t="n"/>
      <c r="K208" s="18" t="n">
        <v>1</v>
      </c>
      <c r="L208" s="18" t="inlineStr">
        <is>
          <t>cobbleventure:generation_1</t>
        </is>
      </c>
      <c r="M208" s="19" t="inlineStr">
        <is>
          <t>cobbleventure:generation_1</t>
        </is>
      </c>
      <c r="N208" s="18" t="inlineStr">
        <is>
          <t>region_02</t>
        </is>
      </c>
      <c r="O208" s="19" t="inlineStr"/>
      <c r="P208" s="18" t="inlineStr">
        <is>
          <t>#cobblemon:is_swamp</t>
        </is>
      </c>
      <c r="Q208" s="19" t="inlineStr"/>
      <c r="R208" s="18">
        <f>IF(Q208="",P208,Q208)</f>
        <v/>
      </c>
      <c r="S208" s="18" t="inlineStr"/>
      <c r="T208" s="18" t="inlineStr">
        <is>
          <t>common</t>
        </is>
      </c>
      <c r="U208" s="20" t="n">
        <v>0.95</v>
      </c>
      <c r="V208" s="21" t="n">
        <v>1</v>
      </c>
      <c r="W208" s="20">
        <f>IF(OR(U208="",V208=""),U208,U208*V208)</f>
        <v/>
      </c>
      <c r="X208" s="18" t="inlineStr">
        <is>
          <t>25-39</t>
        </is>
      </c>
      <c r="Y208" s="19" t="inlineStr"/>
      <c r="Z208" s="18">
        <f>IF(Y208="",X208,Y208)</f>
        <v/>
      </c>
      <c r="AA208" s="18" t="inlineStr">
        <is>
          <t>grounded</t>
        </is>
      </c>
      <c r="AB208" s="18" t="inlineStr"/>
      <c r="AC208" s="18" t="inlineStr">
        <is>
          <t>비=True</t>
        </is>
      </c>
      <c r="AD208" s="18" t="inlineStr"/>
      <c r="AE208" s="18" t="inlineStr">
        <is>
          <t>sky 8-15</t>
        </is>
      </c>
      <c r="AF208" s="18" t="inlineStr"/>
      <c r="AG208" s="18" t="inlineStr"/>
      <c r="AH208" s="18" t="inlineStr"/>
      <c r="AI208" s="18" t="inlineStr"/>
      <c r="AJ208" s="18" t="inlineStr">
        <is>
          <t>Cobblemon 동일</t>
        </is>
      </c>
      <c r="AK208" s="18" t="inlineStr">
        <is>
          <t>사용</t>
        </is>
      </c>
      <c r="AL208" s="18" t="inlineStr">
        <is>
          <t>COBBLEVERSE 1.7.42 / DP v31</t>
        </is>
      </c>
      <c r="AM208" s="18" t="inlineStr">
        <is>
          <t>data/cobblemon/spawn_pool_world/0061_poliwhirl.json</t>
        </is>
      </c>
      <c r="AN208" s="18" t="inlineStr">
        <is>
          <t>poliwhirl-1</t>
        </is>
      </c>
      <c r="AO208" s="18" t="inlineStr">
        <is>
          <t>pokemon</t>
        </is>
      </c>
      <c r="AP208" s="18" t="inlineStr">
        <is>
          <t>natural</t>
        </is>
      </c>
      <c r="AQ208" s="18" t="inlineStr">
        <is>
          <t>{"biomes":["#cobblemon:is_swamp"],"isRaining":true,"maxSkyLight":15,"minSkyLight":8}</t>
        </is>
      </c>
      <c r="AR208" s="18" t="inlineStr"/>
      <c r="AS208" s="18" t="inlineStr"/>
      <c r="AT208" s="19" t="inlineStr"/>
    </row>
    <row r="209" ht="32" customHeight="1">
      <c r="A209" s="18" t="inlineStr">
        <is>
          <t>0061_poliwhirl.json::poliwhirl-2::002</t>
        </is>
      </c>
      <c r="B209" s="19" t="inlineStr">
        <is>
          <t>사용</t>
        </is>
      </c>
      <c r="C209" s="18">
        <f>IF(OR(B209&lt;&gt;AK209,M209&lt;&gt;L209,O209&lt;&gt;"",Q209&lt;&gt;"",V209&lt;&gt;1,Y209&lt;&gt;"",AT209&lt;&gt;""),"수정","원본")</f>
        <v/>
      </c>
      <c r="D209" s="18" t="n">
        <v>61</v>
      </c>
      <c r="E209" s="18" t="inlineStr">
        <is>
          <t>슈륙챙이</t>
        </is>
      </c>
      <c r="F209" s="18" t="inlineStr">
        <is>
          <t>poliwhirl</t>
        </is>
      </c>
      <c r="G209" s="18" t="inlineStr">
        <is>
          <t>poliwhirl</t>
        </is>
      </c>
      <c r="H209" s="18" t="inlineStr"/>
      <c r="I209" s="18" t="n">
        <v>1</v>
      </c>
      <c r="J209" s="18" t="n"/>
      <c r="K209" s="18" t="n">
        <v>1</v>
      </c>
      <c r="L209" s="18" t="inlineStr">
        <is>
          <t>cobbleventure:generation_1</t>
        </is>
      </c>
      <c r="M209" s="19" t="inlineStr">
        <is>
          <t>cobbleventure:generation_1</t>
        </is>
      </c>
      <c r="N209" s="18" t="inlineStr">
        <is>
          <t>region_02</t>
        </is>
      </c>
      <c r="O209" s="19" t="inlineStr"/>
      <c r="P209" s="18" t="inlineStr">
        <is>
          <t>#cobblemon:is_swamp</t>
        </is>
      </c>
      <c r="Q209" s="19" t="inlineStr"/>
      <c r="R209" s="18">
        <f>IF(Q209="",P209,Q209)</f>
        <v/>
      </c>
      <c r="S209" s="18" t="inlineStr"/>
      <c r="T209" s="18" t="inlineStr">
        <is>
          <t>common</t>
        </is>
      </c>
      <c r="U209" s="20" t="n">
        <v>0.95</v>
      </c>
      <c r="V209" s="21" t="n">
        <v>1</v>
      </c>
      <c r="W209" s="20">
        <f>IF(OR(U209="",V209=""),U209,U209*V209)</f>
        <v/>
      </c>
      <c r="X209" s="18" t="inlineStr">
        <is>
          <t>25-39</t>
        </is>
      </c>
      <c r="Y209" s="19" t="inlineStr"/>
      <c r="Z209" s="18">
        <f>IF(Y209="",X209,Y209)</f>
        <v/>
      </c>
      <c r="AA209" s="18" t="inlineStr">
        <is>
          <t>submerged</t>
        </is>
      </c>
      <c r="AB209" s="18" t="inlineStr"/>
      <c r="AC209" s="18" t="inlineStr"/>
      <c r="AD209" s="18" t="inlineStr"/>
      <c r="AE209" s="18" t="inlineStr"/>
      <c r="AF209" s="18" t="inlineStr">
        <is>
          <t>True</t>
        </is>
      </c>
      <c r="AG209" s="18" t="inlineStr"/>
      <c r="AH209" s="18" t="inlineStr">
        <is>
          <t>주변=minecraft:lily_pad</t>
        </is>
      </c>
      <c r="AI209" s="18" t="inlineStr"/>
      <c r="AJ209" s="18" t="inlineStr">
        <is>
          <t>Cobblemon 동일</t>
        </is>
      </c>
      <c r="AK209" s="18" t="inlineStr">
        <is>
          <t>사용</t>
        </is>
      </c>
      <c r="AL209" s="18" t="inlineStr">
        <is>
          <t>COBBLEVERSE 1.7.42 / DP v31</t>
        </is>
      </c>
      <c r="AM209" s="18" t="inlineStr">
        <is>
          <t>data/cobblemon/spawn_pool_world/0061_poliwhirl.json</t>
        </is>
      </c>
      <c r="AN209" s="18" t="inlineStr">
        <is>
          <t>poliwhirl-2</t>
        </is>
      </c>
      <c r="AO209" s="18" t="inlineStr">
        <is>
          <t>pokemon</t>
        </is>
      </c>
      <c r="AP209" s="18" t="inlineStr">
        <is>
          <t>water</t>
        </is>
      </c>
      <c r="AQ209" s="18" t="inlineStr">
        <is>
          <t>{"biomes":["#cobblemon:is_swamp"],"canSeeSky":true,"neededNearbyBlocks":["minecraft:lily_pad"]}</t>
        </is>
      </c>
      <c r="AR209" s="18" t="inlineStr"/>
      <c r="AS209" s="18" t="inlineStr"/>
      <c r="AT209" s="19" t="inlineStr"/>
    </row>
    <row r="210" ht="32" customHeight="1">
      <c r="A210" s="18" t="inlineStr">
        <is>
          <t>0061_poliwhirl.json::poliwhirl-3::003</t>
        </is>
      </c>
      <c r="B210" s="19" t="inlineStr">
        <is>
          <t>사용</t>
        </is>
      </c>
      <c r="C210" s="18">
        <f>IF(OR(B210&lt;&gt;AK210,M210&lt;&gt;L210,O210&lt;&gt;"",Q210&lt;&gt;"",V210&lt;&gt;1,Y210&lt;&gt;"",AT210&lt;&gt;""),"수정","원본")</f>
        <v/>
      </c>
      <c r="D210" s="18" t="n">
        <v>61</v>
      </c>
      <c r="E210" s="18" t="inlineStr">
        <is>
          <t>슈륙챙이</t>
        </is>
      </c>
      <c r="F210" s="18" t="inlineStr">
        <is>
          <t>poliwhirl</t>
        </is>
      </c>
      <c r="G210" s="18" t="inlineStr">
        <is>
          <t>poliwhirl</t>
        </is>
      </c>
      <c r="H210" s="18" t="inlineStr"/>
      <c r="I210" s="18" t="n">
        <v>1</v>
      </c>
      <c r="J210" s="18" t="n"/>
      <c r="K210" s="18" t="n">
        <v>1</v>
      </c>
      <c r="L210" s="18" t="inlineStr">
        <is>
          <t>cobbleventure:generation_1</t>
        </is>
      </c>
      <c r="M210" s="19" t="inlineStr">
        <is>
          <t>cobbleventure:generation_1</t>
        </is>
      </c>
      <c r="N210" s="18" t="inlineStr">
        <is>
          <t>region_01</t>
        </is>
      </c>
      <c r="O210" s="19" t="inlineStr"/>
      <c r="P210" s="18" t="inlineStr">
        <is>
          <t>#cobblemon:is_freshwater; #cobblemon:is_hills; #cobblemon:is_jungle; #cobblemon:is_magical; #cobblemon:is_mushroom; #cobblemon:is_temperate</t>
        </is>
      </c>
      <c r="Q210" s="19" t="inlineStr"/>
      <c r="R210" s="18">
        <f>IF(Q210="",P210,Q210)</f>
        <v/>
      </c>
      <c r="S210" s="18" t="inlineStr">
        <is>
          <t>#cobblemon:is_freezing; #cobblemon:is_swamp</t>
        </is>
      </c>
      <c r="T210" s="18" t="inlineStr">
        <is>
          <t>common</t>
        </is>
      </c>
      <c r="U210" s="20" t="n">
        <v>0.57</v>
      </c>
      <c r="V210" s="21" t="n">
        <v>1</v>
      </c>
      <c r="W210" s="20">
        <f>IF(OR(U210="",V210=""),U210,U210*V210)</f>
        <v/>
      </c>
      <c r="X210" s="18" t="inlineStr">
        <is>
          <t>25-39</t>
        </is>
      </c>
      <c r="Y210" s="19" t="inlineStr"/>
      <c r="Z210" s="18">
        <f>IF(Y210="",X210,Y210)</f>
        <v/>
      </c>
      <c r="AA210" s="18" t="inlineStr">
        <is>
          <t>grounded</t>
        </is>
      </c>
      <c r="AB210" s="18" t="inlineStr"/>
      <c r="AC210" s="18" t="inlineStr">
        <is>
          <t>비=True</t>
        </is>
      </c>
      <c r="AD210" s="18" t="inlineStr"/>
      <c r="AE210" s="18" t="inlineStr">
        <is>
          <t>sky 8-15</t>
        </is>
      </c>
      <c r="AF210" s="18" t="inlineStr"/>
      <c r="AG210" s="18" t="inlineStr"/>
      <c r="AH210" s="18" t="inlineStr">
        <is>
          <t>주변=minecraft:water</t>
        </is>
      </c>
      <c r="AI210" s="18" t="inlineStr"/>
      <c r="AJ210" s="18" t="inlineStr">
        <is>
          <t>Cobblemon 동일</t>
        </is>
      </c>
      <c r="AK210" s="18" t="inlineStr">
        <is>
          <t>사용</t>
        </is>
      </c>
      <c r="AL210" s="18" t="inlineStr">
        <is>
          <t>COBBLEVERSE 1.7.42 / DP v31</t>
        </is>
      </c>
      <c r="AM210" s="18" t="inlineStr">
        <is>
          <t>data/cobblemon/spawn_pool_world/0061_poliwhirl.json</t>
        </is>
      </c>
      <c r="AN210" s="18" t="inlineStr">
        <is>
          <t>poliwhirl-3</t>
        </is>
      </c>
      <c r="AO210" s="18" t="inlineStr">
        <is>
          <t>pokemon</t>
        </is>
      </c>
      <c r="AP210" s="18" t="inlineStr">
        <is>
          <t>natural</t>
        </is>
      </c>
      <c r="AQ210" s="18" t="inlineStr">
        <is>
          <t>{"biomes":["#cobblemon:is_freshwater","#cobblemon:is_hills","#cobblemon:is_jungle","#cobblemon:is_magical","#cobblemon:is_mushroom","#cobblemon:is_temperate"],"isRaining":true,"maxSkyLight":15,"minSkyLight":8,"neededNearbyBlocks":["minecraft:water"]}</t>
        </is>
      </c>
      <c r="AR210" s="18" t="inlineStr">
        <is>
          <t>{"biomes":["#cobblemon:is_freezing","#cobblemon:is_swamp"]}</t>
        </is>
      </c>
      <c r="AS210" s="18" t="inlineStr"/>
      <c r="AT210" s="19" t="inlineStr"/>
    </row>
    <row r="211" ht="32" customHeight="1">
      <c r="A211" s="18" t="inlineStr">
        <is>
          <t>0061_poliwhirl.json::poliwhirl-4::004</t>
        </is>
      </c>
      <c r="B211" s="19" t="inlineStr">
        <is>
          <t>사용</t>
        </is>
      </c>
      <c r="C211" s="18">
        <f>IF(OR(B211&lt;&gt;AK211,M211&lt;&gt;L211,O211&lt;&gt;"",Q211&lt;&gt;"",V211&lt;&gt;1,Y211&lt;&gt;"",AT211&lt;&gt;""),"수정","원본")</f>
        <v/>
      </c>
      <c r="D211" s="18" t="n">
        <v>61</v>
      </c>
      <c r="E211" s="18" t="inlineStr">
        <is>
          <t>슈륙챙이</t>
        </is>
      </c>
      <c r="F211" s="18" t="inlineStr">
        <is>
          <t>poliwhirl</t>
        </is>
      </c>
      <c r="G211" s="18" t="inlineStr">
        <is>
          <t>poliwhirl</t>
        </is>
      </c>
      <c r="H211" s="18" t="inlineStr"/>
      <c r="I211" s="18" t="n">
        <v>1</v>
      </c>
      <c r="J211" s="18" t="n"/>
      <c r="K211" s="18" t="n">
        <v>1</v>
      </c>
      <c r="L211" s="18" t="inlineStr">
        <is>
          <t>cobbleventure:generation_1</t>
        </is>
      </c>
      <c r="M211" s="19" t="inlineStr">
        <is>
          <t>cobbleventure:generation_1</t>
        </is>
      </c>
      <c r="N211" s="18" t="inlineStr">
        <is>
          <t>region_01</t>
        </is>
      </c>
      <c r="O211" s="19" t="inlineStr"/>
      <c r="P211" s="18" t="inlineStr">
        <is>
          <t>#cobblemon:is_freshwater; #cobblemon:is_hills; #cobblemon:is_jungle; #cobblemon:is_magical; #cobblemon:is_mushroom; #cobblemon:is_temperate</t>
        </is>
      </c>
      <c r="Q211" s="19" t="inlineStr"/>
      <c r="R211" s="18">
        <f>IF(Q211="",P211,Q211)</f>
        <v/>
      </c>
      <c r="S211" s="18" t="inlineStr">
        <is>
          <t>#cobblemon:is_freezing; #cobblemon:is_swamp</t>
        </is>
      </c>
      <c r="T211" s="18" t="inlineStr">
        <is>
          <t>common</t>
        </is>
      </c>
      <c r="U211" s="20" t="n">
        <v>0.57</v>
      </c>
      <c r="V211" s="21" t="n">
        <v>1</v>
      </c>
      <c r="W211" s="20">
        <f>IF(OR(U211="",V211=""),U211,U211*V211)</f>
        <v/>
      </c>
      <c r="X211" s="18" t="inlineStr">
        <is>
          <t>25-39</t>
        </is>
      </c>
      <c r="Y211" s="19" t="inlineStr"/>
      <c r="Z211" s="18">
        <f>IF(Y211="",X211,Y211)</f>
        <v/>
      </c>
      <c r="AA211" s="18" t="inlineStr">
        <is>
          <t>submerged</t>
        </is>
      </c>
      <c r="AB211" s="18" t="inlineStr"/>
      <c r="AC211" s="18" t="inlineStr"/>
      <c r="AD211" s="18" t="inlineStr"/>
      <c r="AE211" s="18" t="inlineStr"/>
      <c r="AF211" s="18" t="inlineStr">
        <is>
          <t>True</t>
        </is>
      </c>
      <c r="AG211" s="18" t="inlineStr"/>
      <c r="AH211" s="18" t="inlineStr"/>
      <c r="AI211" s="18" t="inlineStr"/>
      <c r="AJ211" s="18" t="inlineStr">
        <is>
          <t>Cobblemon 동일</t>
        </is>
      </c>
      <c r="AK211" s="18" t="inlineStr">
        <is>
          <t>사용</t>
        </is>
      </c>
      <c r="AL211" s="18" t="inlineStr">
        <is>
          <t>COBBLEVERSE 1.7.42 / DP v31</t>
        </is>
      </c>
      <c r="AM211" s="18" t="inlineStr">
        <is>
          <t>data/cobblemon/spawn_pool_world/0061_poliwhirl.json</t>
        </is>
      </c>
      <c r="AN211" s="18" t="inlineStr">
        <is>
          <t>poliwhirl-4</t>
        </is>
      </c>
      <c r="AO211" s="18" t="inlineStr">
        <is>
          <t>pokemon</t>
        </is>
      </c>
      <c r="AP211" s="18" t="inlineStr">
        <is>
          <t>water</t>
        </is>
      </c>
      <c r="AQ211" s="18" t="inlineStr">
        <is>
          <t>{"biomes":["#cobblemon:is_freshwater","#cobblemon:is_hills","#cobblemon:is_jungle","#cobblemon:is_magical","#cobblemon:is_mushroom","#cobblemon:is_temperate"],"canSeeSky":true}</t>
        </is>
      </c>
      <c r="AR211" s="18" t="inlineStr">
        <is>
          <t>{"biomes":["#cobblemon:is_freezing","#cobblemon:is_swamp"]}</t>
        </is>
      </c>
      <c r="AS211" s="18" t="inlineStr"/>
      <c r="AT211" s="19" t="inlineStr"/>
    </row>
    <row r="212" ht="32" customHeight="1">
      <c r="A212" s="18" t="inlineStr">
        <is>
          <t>0061_poliwhirl.json::poliwhirl-5::005</t>
        </is>
      </c>
      <c r="B212" s="19" t="inlineStr">
        <is>
          <t>사용</t>
        </is>
      </c>
      <c r="C212" s="18">
        <f>IF(OR(B212&lt;&gt;AK212,M212&lt;&gt;L212,O212&lt;&gt;"",Q212&lt;&gt;"",V212&lt;&gt;1,Y212&lt;&gt;"",AT212&lt;&gt;""),"수정","원본")</f>
        <v/>
      </c>
      <c r="D212" s="18" t="n">
        <v>61</v>
      </c>
      <c r="E212" s="18" t="inlineStr">
        <is>
          <t>슈륙챙이</t>
        </is>
      </c>
      <c r="F212" s="18" t="inlineStr">
        <is>
          <t>poliwhirl</t>
        </is>
      </c>
      <c r="G212" s="18" t="inlineStr">
        <is>
          <t>poliwhirl</t>
        </is>
      </c>
      <c r="H212" s="18" t="inlineStr"/>
      <c r="I212" s="18" t="n">
        <v>1</v>
      </c>
      <c r="J212" s="18" t="n"/>
      <c r="K212" s="18" t="n">
        <v>1</v>
      </c>
      <c r="L212" s="18" t="inlineStr">
        <is>
          <t>cobbleventure:generation_1</t>
        </is>
      </c>
      <c r="M212" s="19" t="inlineStr">
        <is>
          <t>cobbleventure:generation_1</t>
        </is>
      </c>
      <c r="N212" s="18" t="inlineStr"/>
      <c r="O212" s="19" t="inlineStr"/>
      <c r="P212" s="18" t="inlineStr">
        <is>
          <t>#cobblemon:is_lush</t>
        </is>
      </c>
      <c r="Q212" s="19" t="inlineStr"/>
      <c r="R212" s="18">
        <f>IF(Q212="",P212,Q212)</f>
        <v/>
      </c>
      <c r="S212" s="18" t="inlineStr"/>
      <c r="T212" s="18" t="inlineStr">
        <is>
          <t>common</t>
        </is>
      </c>
      <c r="U212" s="20" t="n">
        <v>0.19</v>
      </c>
      <c r="V212" s="21" t="n">
        <v>1</v>
      </c>
      <c r="W212" s="20">
        <f>IF(OR(U212="",V212=""),U212,U212*V212)</f>
        <v/>
      </c>
      <c r="X212" s="18" t="inlineStr">
        <is>
          <t>25-39</t>
        </is>
      </c>
      <c r="Y212" s="19" t="inlineStr"/>
      <c r="Z212" s="18">
        <f>IF(Y212="",X212,Y212)</f>
        <v/>
      </c>
      <c r="AA212" s="18" t="inlineStr">
        <is>
          <t>grounded</t>
        </is>
      </c>
      <c r="AB212" s="18" t="inlineStr"/>
      <c r="AC212" s="18" t="inlineStr"/>
      <c r="AD212" s="18" t="inlineStr"/>
      <c r="AE212" s="18" t="inlineStr">
        <is>
          <t>sky 0-7</t>
        </is>
      </c>
      <c r="AF212" s="18" t="inlineStr"/>
      <c r="AG212" s="18" t="inlineStr"/>
      <c r="AH212" s="18" t="inlineStr"/>
      <c r="AI212" s="18" t="inlineStr"/>
      <c r="AJ212" s="18" t="inlineStr">
        <is>
          <t>Cobblemon 동일</t>
        </is>
      </c>
      <c r="AK212" s="18" t="inlineStr">
        <is>
          <t>사용</t>
        </is>
      </c>
      <c r="AL212" s="18" t="inlineStr">
        <is>
          <t>COBBLEVERSE 1.7.42 / DP v31</t>
        </is>
      </c>
      <c r="AM212" s="18" t="inlineStr">
        <is>
          <t>data/cobblemon/spawn_pool_world/0061_poliwhirl.json</t>
        </is>
      </c>
      <c r="AN212" s="18" t="inlineStr">
        <is>
          <t>poliwhirl-5</t>
        </is>
      </c>
      <c r="AO212" s="18" t="inlineStr">
        <is>
          <t>pokemon</t>
        </is>
      </c>
      <c r="AP212" s="18" t="inlineStr">
        <is>
          <t>natural</t>
        </is>
      </c>
      <c r="AQ212" s="18" t="inlineStr">
        <is>
          <t>{"biomes":["#cobblemon:is_lush"],"maxSkyLight":7,"minSkyLight":0}</t>
        </is>
      </c>
      <c r="AR212" s="18" t="inlineStr">
        <is>
          <t>{"maxY":9,"minY":-41,"structures":["cobblemon:shipwreck_coves/lush_shipwreck_cove"]}</t>
        </is>
      </c>
      <c r="AS212" s="18" t="inlineStr"/>
      <c r="AT212" s="19" t="inlineStr"/>
    </row>
    <row r="213" ht="32" customHeight="1">
      <c r="A213" s="18" t="inlineStr">
        <is>
          <t>0061_poliwhirl.json::poliwhirl-6::006</t>
        </is>
      </c>
      <c r="B213" s="19" t="inlineStr">
        <is>
          <t>사용</t>
        </is>
      </c>
      <c r="C213" s="18">
        <f>IF(OR(B213&lt;&gt;AK213,M213&lt;&gt;L213,O213&lt;&gt;"",Q213&lt;&gt;"",V213&lt;&gt;1,Y213&lt;&gt;"",AT213&lt;&gt;""),"수정","원본")</f>
        <v/>
      </c>
      <c r="D213" s="18" t="n">
        <v>61</v>
      </c>
      <c r="E213" s="18" t="inlineStr">
        <is>
          <t>슈륙챙이</t>
        </is>
      </c>
      <c r="F213" s="18" t="inlineStr">
        <is>
          <t>poliwhirl</t>
        </is>
      </c>
      <c r="G213" s="18" t="inlineStr">
        <is>
          <t>poliwhirl</t>
        </is>
      </c>
      <c r="H213" s="18" t="inlineStr"/>
      <c r="I213" s="18" t="n">
        <v>1</v>
      </c>
      <c r="J213" s="18" t="n"/>
      <c r="K213" s="18" t="n">
        <v>1</v>
      </c>
      <c r="L213" s="18" t="inlineStr">
        <is>
          <t>cobbleventure:generation_1</t>
        </is>
      </c>
      <c r="M213" s="19" t="inlineStr">
        <is>
          <t>cobbleventure:generation_1</t>
        </is>
      </c>
      <c r="N213" s="18" t="inlineStr"/>
      <c r="O213" s="19" t="inlineStr"/>
      <c r="P213" s="18" t="inlineStr">
        <is>
          <t>#cobblemon:is_lush</t>
        </is>
      </c>
      <c r="Q213" s="19" t="inlineStr"/>
      <c r="R213" s="18">
        <f>IF(Q213="",P213,Q213)</f>
        <v/>
      </c>
      <c r="S213" s="18" t="inlineStr"/>
      <c r="T213" s="18" t="inlineStr">
        <is>
          <t>common</t>
        </is>
      </c>
      <c r="U213" s="20" t="n">
        <v>0.57</v>
      </c>
      <c r="V213" s="21" t="n">
        <v>1</v>
      </c>
      <c r="W213" s="20">
        <f>IF(OR(U213="",V213=""),U213,U213*V213)</f>
        <v/>
      </c>
      <c r="X213" s="18" t="inlineStr">
        <is>
          <t>25-39</t>
        </is>
      </c>
      <c r="Y213" s="19" t="inlineStr"/>
      <c r="Z213" s="18">
        <f>IF(Y213="",X213,Y213)</f>
        <v/>
      </c>
      <c r="AA213" s="18" t="inlineStr">
        <is>
          <t>submerged</t>
        </is>
      </c>
      <c r="AB213" s="18" t="inlineStr"/>
      <c r="AC213" s="18" t="inlineStr"/>
      <c r="AD213" s="18" t="inlineStr"/>
      <c r="AE213" s="18" t="inlineStr">
        <is>
          <t>sky 0-7</t>
        </is>
      </c>
      <c r="AF213" s="18" t="inlineStr"/>
      <c r="AG213" s="18" t="inlineStr"/>
      <c r="AH213" s="18" t="inlineStr"/>
      <c r="AI213" s="18" t="inlineStr"/>
      <c r="AJ213" s="18" t="inlineStr">
        <is>
          <t>Cobblemon 동일</t>
        </is>
      </c>
      <c r="AK213" s="18" t="inlineStr">
        <is>
          <t>사용</t>
        </is>
      </c>
      <c r="AL213" s="18" t="inlineStr">
        <is>
          <t>COBBLEVERSE 1.7.42 / DP v31</t>
        </is>
      </c>
      <c r="AM213" s="18" t="inlineStr">
        <is>
          <t>data/cobblemon/spawn_pool_world/0061_poliwhirl.json</t>
        </is>
      </c>
      <c r="AN213" s="18" t="inlineStr">
        <is>
          <t>poliwhirl-6</t>
        </is>
      </c>
      <c r="AO213" s="18" t="inlineStr">
        <is>
          <t>pokemon</t>
        </is>
      </c>
      <c r="AP213" s="18" t="inlineStr">
        <is>
          <t>water</t>
        </is>
      </c>
      <c r="AQ213" s="18" t="inlineStr">
        <is>
          <t>{"biomes":["#cobblemon:is_lush"],"maxSkyLight":7,"minSkyLight":0}</t>
        </is>
      </c>
      <c r="AR213" s="18" t="inlineStr">
        <is>
          <t>{"maxY":9,"minY":-41,"structures":["cobblemon:shipwreck_coves/lush_shipwreck_cove"]}</t>
        </is>
      </c>
      <c r="AS213" s="18" t="inlineStr"/>
      <c r="AT213" s="19" t="inlineStr"/>
    </row>
    <row r="214" ht="32" customHeight="1">
      <c r="A214" s="18" t="inlineStr">
        <is>
          <t>0061_poliwhirl.json::poliwhirl-7::007</t>
        </is>
      </c>
      <c r="B214" s="19" t="inlineStr">
        <is>
          <t>사용</t>
        </is>
      </c>
      <c r="C214" s="18">
        <f>IF(OR(B214&lt;&gt;AK214,M214&lt;&gt;L214,O214&lt;&gt;"",Q214&lt;&gt;"",V214&lt;&gt;1,Y214&lt;&gt;"",AT214&lt;&gt;""),"수정","원본")</f>
        <v/>
      </c>
      <c r="D214" s="18" t="n">
        <v>61</v>
      </c>
      <c r="E214" s="18" t="inlineStr">
        <is>
          <t>슈륙챙이</t>
        </is>
      </c>
      <c r="F214" s="18" t="inlineStr">
        <is>
          <t>poliwhirl</t>
        </is>
      </c>
      <c r="G214" s="18" t="inlineStr">
        <is>
          <t>poliwhirl</t>
        </is>
      </c>
      <c r="H214" s="18" t="inlineStr"/>
      <c r="I214" s="18" t="n">
        <v>1</v>
      </c>
      <c r="J214" s="18" t="n"/>
      <c r="K214" s="18" t="n">
        <v>1</v>
      </c>
      <c r="L214" s="18" t="inlineStr">
        <is>
          <t>cobbleventure:generation_1</t>
        </is>
      </c>
      <c r="M214" s="19" t="inlineStr">
        <is>
          <t>cobbleventure:generation_1</t>
        </is>
      </c>
      <c r="N214" s="18" t="inlineStr">
        <is>
          <t>region_01; region_02</t>
        </is>
      </c>
      <c r="O214" s="19" t="inlineStr"/>
      <c r="P214" s="18" t="inlineStr">
        <is>
          <t>#cobblemon:is_freshwater; #cobblemon:is_hills; #cobblemon:is_jungle; #cobblemon:is_magical; #cobblemon:is_mushroom; #cobblemon:is_temperate</t>
        </is>
      </c>
      <c r="Q214" s="19" t="inlineStr"/>
      <c r="R214" s="18">
        <f>IF(Q214="",P214,Q214)</f>
        <v/>
      </c>
      <c r="S214" s="18" t="inlineStr">
        <is>
          <t>#cobblemon:is_freezing</t>
        </is>
      </c>
      <c r="T214" s="18" t="inlineStr">
        <is>
          <t>common</t>
        </is>
      </c>
      <c r="U214" s="20" t="n">
        <v>0.95</v>
      </c>
      <c r="V214" s="21" t="n">
        <v>1</v>
      </c>
      <c r="W214" s="20">
        <f>IF(OR(U214="",V214=""),U214,U214*V214)</f>
        <v/>
      </c>
      <c r="X214" s="18" t="inlineStr">
        <is>
          <t>25-39</t>
        </is>
      </c>
      <c r="Y214" s="19" t="inlineStr"/>
      <c r="Z214" s="18">
        <f>IF(Y214="",X214,Y214)</f>
        <v/>
      </c>
      <c r="AA214" s="18" t="inlineStr">
        <is>
          <t>fishing</t>
        </is>
      </c>
      <c r="AB214" s="18" t="inlineStr"/>
      <c r="AC214" s="18" t="inlineStr"/>
      <c r="AD214" s="18" t="inlineStr"/>
      <c r="AE214" s="18" t="inlineStr"/>
      <c r="AF214" s="18" t="inlineStr">
        <is>
          <t>True</t>
        </is>
      </c>
      <c r="AG214" s="18" t="inlineStr"/>
      <c r="AH214" s="18" t="inlineStr"/>
      <c r="AI214" s="18" t="inlineStr"/>
      <c r="AJ214" s="18" t="inlineStr">
        <is>
          <t>Cobblemon 동일</t>
        </is>
      </c>
      <c r="AK214" s="18" t="inlineStr">
        <is>
          <t>사용</t>
        </is>
      </c>
      <c r="AL214" s="18" t="inlineStr">
        <is>
          <t>COBBLEVERSE 1.7.42 / DP v31</t>
        </is>
      </c>
      <c r="AM214" s="18" t="inlineStr">
        <is>
          <t>data/cobblemon/spawn_pool_world/0061_poliwhirl.json</t>
        </is>
      </c>
      <c r="AN214" s="18" t="inlineStr">
        <is>
          <t>poliwhirl-7</t>
        </is>
      </c>
      <c r="AO214" s="18" t="inlineStr">
        <is>
          <t>pokemon</t>
        </is>
      </c>
      <c r="AP214" s="18" t="inlineStr"/>
      <c r="AQ214" s="18" t="inlineStr">
        <is>
          <t>{"biomes":["#cobblemon:is_freshwater","#cobblemon:is_hills","#cobblemon:is_jungle","#cobblemon:is_magical","#cobblemon:is_mushroom","#cobblemon:is_temperate"],"canSeeSky":true}</t>
        </is>
      </c>
      <c r="AR214" s="18" t="inlineStr">
        <is>
          <t>{"biomes":["#cobblemon:is_freezing"]}</t>
        </is>
      </c>
      <c r="AS214" s="18" t="inlineStr"/>
      <c r="AT214" s="19" t="inlineStr"/>
    </row>
    <row r="215" ht="32" customHeight="1">
      <c r="A215" s="18" t="inlineStr">
        <is>
          <t>0061_poliwhirl.json::poliwhirl-8::008</t>
        </is>
      </c>
      <c r="B215" s="19" t="inlineStr">
        <is>
          <t>사용</t>
        </is>
      </c>
      <c r="C215" s="18">
        <f>IF(OR(B215&lt;&gt;AK215,M215&lt;&gt;L215,O215&lt;&gt;"",Q215&lt;&gt;"",V215&lt;&gt;1,Y215&lt;&gt;"",AT215&lt;&gt;""),"수정","원본")</f>
        <v/>
      </c>
      <c r="D215" s="18" t="n">
        <v>61</v>
      </c>
      <c r="E215" s="18" t="inlineStr">
        <is>
          <t>슈륙챙이</t>
        </is>
      </c>
      <c r="F215" s="18" t="inlineStr">
        <is>
          <t>poliwhirl</t>
        </is>
      </c>
      <c r="G215" s="18" t="inlineStr">
        <is>
          <t>poliwhirl</t>
        </is>
      </c>
      <c r="H215" s="18" t="inlineStr"/>
      <c r="I215" s="18" t="n">
        <v>1</v>
      </c>
      <c r="J215" s="18" t="n"/>
      <c r="K215" s="18" t="n">
        <v>1</v>
      </c>
      <c r="L215" s="18" t="inlineStr">
        <is>
          <t>cobbleventure:generation_1</t>
        </is>
      </c>
      <c r="M215" s="19" t="inlineStr">
        <is>
          <t>cobbleventure:generation_1</t>
        </is>
      </c>
      <c r="N215" s="18" t="inlineStr"/>
      <c r="O215" s="19" t="inlineStr"/>
      <c r="P215" s="18" t="inlineStr">
        <is>
          <t>#cobblemon:is_lush</t>
        </is>
      </c>
      <c r="Q215" s="19" t="inlineStr"/>
      <c r="R215" s="18">
        <f>IF(Q215="",P215,Q215)</f>
        <v/>
      </c>
      <c r="S215" s="18" t="inlineStr"/>
      <c r="T215" s="18" t="inlineStr">
        <is>
          <t>common</t>
        </is>
      </c>
      <c r="U215" s="20" t="n">
        <v>0.95</v>
      </c>
      <c r="V215" s="21" t="n">
        <v>1</v>
      </c>
      <c r="W215" s="20">
        <f>IF(OR(U215="",V215=""),U215,U215*V215)</f>
        <v/>
      </c>
      <c r="X215" s="18" t="inlineStr">
        <is>
          <t>25-39</t>
        </is>
      </c>
      <c r="Y215" s="19" t="inlineStr"/>
      <c r="Z215" s="18">
        <f>IF(Y215="",X215,Y215)</f>
        <v/>
      </c>
      <c r="AA215" s="18" t="inlineStr">
        <is>
          <t>fishing</t>
        </is>
      </c>
      <c r="AB215" s="18" t="inlineStr"/>
      <c r="AC215" s="18" t="inlineStr"/>
      <c r="AD215" s="18" t="inlineStr"/>
      <c r="AE215" s="18" t="inlineStr">
        <is>
          <t>sky 0-7</t>
        </is>
      </c>
      <c r="AF215" s="18" t="inlineStr"/>
      <c r="AG215" s="18" t="inlineStr"/>
      <c r="AH215" s="18" t="inlineStr"/>
      <c r="AI215" s="18" t="inlineStr"/>
      <c r="AJ215" s="18" t="inlineStr">
        <is>
          <t>Cobblemon 동일</t>
        </is>
      </c>
      <c r="AK215" s="18" t="inlineStr">
        <is>
          <t>사용</t>
        </is>
      </c>
      <c r="AL215" s="18" t="inlineStr">
        <is>
          <t>COBBLEVERSE 1.7.42 / DP v31</t>
        </is>
      </c>
      <c r="AM215" s="18" t="inlineStr">
        <is>
          <t>data/cobblemon/spawn_pool_world/0061_poliwhirl.json</t>
        </is>
      </c>
      <c r="AN215" s="18" t="inlineStr">
        <is>
          <t>poliwhirl-8</t>
        </is>
      </c>
      <c r="AO215" s="18" t="inlineStr">
        <is>
          <t>pokemon</t>
        </is>
      </c>
      <c r="AP215" s="18" t="inlineStr"/>
      <c r="AQ215" s="18" t="inlineStr">
        <is>
          <t>{"biomes":["#cobblemon:is_lush"],"maxSkyLight":7,"minSkyLight":0}</t>
        </is>
      </c>
      <c r="AR215" s="18" t="inlineStr">
        <is>
          <t>{"maxY":9,"minY":-41,"structures":["cobblemon:shipwreck_coves/lush_shipwreck_cove"]}</t>
        </is>
      </c>
      <c r="AS215" s="18" t="inlineStr">
        <is>
          <t>{"weightMultiplier":{"condition":{"maxLureLevel":1,"minLureLevel":0},"multiplier":0.6}}</t>
        </is>
      </c>
      <c r="AT215" s="19" t="inlineStr"/>
    </row>
    <row r="216" ht="32" customHeight="1">
      <c r="A216" s="18" t="inlineStr">
        <is>
          <t>0061_poliwhirl.json::poliwhirl-9::009</t>
        </is>
      </c>
      <c r="B216" s="19" t="inlineStr">
        <is>
          <t>사용</t>
        </is>
      </c>
      <c r="C216" s="18">
        <f>IF(OR(B216&lt;&gt;AK216,M216&lt;&gt;L216,O216&lt;&gt;"",Q216&lt;&gt;"",V216&lt;&gt;1,Y216&lt;&gt;"",AT216&lt;&gt;""),"수정","원본")</f>
        <v/>
      </c>
      <c r="D216" s="18" t="n">
        <v>61</v>
      </c>
      <c r="E216" s="18" t="inlineStr">
        <is>
          <t>슈륙챙이</t>
        </is>
      </c>
      <c r="F216" s="18" t="inlineStr">
        <is>
          <t>poliwhirl</t>
        </is>
      </c>
      <c r="G216" s="18" t="inlineStr">
        <is>
          <t>poliwhirl</t>
        </is>
      </c>
      <c r="H216" s="18" t="inlineStr"/>
      <c r="I216" s="18" t="n">
        <v>1</v>
      </c>
      <c r="J216" s="18" t="n"/>
      <c r="K216" s="18" t="n">
        <v>1</v>
      </c>
      <c r="L216" s="18" t="inlineStr">
        <is>
          <t>cobbleventure:generation_1</t>
        </is>
      </c>
      <c r="M216" s="19" t="inlineStr">
        <is>
          <t>cobbleventure:generation_1</t>
        </is>
      </c>
      <c r="N216" s="18" t="inlineStr">
        <is>
          <t>region_02</t>
        </is>
      </c>
      <c r="O216" s="19" t="inlineStr"/>
      <c r="P216" s="18" t="inlineStr">
        <is>
          <t>#cobblemon:is_swamp</t>
        </is>
      </c>
      <c r="Q216" s="19" t="inlineStr"/>
      <c r="R216" s="18">
        <f>IF(Q216="",P216,Q216)</f>
        <v/>
      </c>
      <c r="S216" s="18" t="inlineStr"/>
      <c r="T216" s="18" t="inlineStr">
        <is>
          <t>common</t>
        </is>
      </c>
      <c r="U216" s="20" t="n">
        <v>0.95</v>
      </c>
      <c r="V216" s="21" t="n">
        <v>1</v>
      </c>
      <c r="W216" s="20">
        <f>IF(OR(U216="",V216=""),U216,U216*V216)</f>
        <v/>
      </c>
      <c r="X216" s="18" t="inlineStr">
        <is>
          <t>25-39</t>
        </is>
      </c>
      <c r="Y216" s="19" t="inlineStr"/>
      <c r="Z216" s="18">
        <f>IF(Y216="",X216,Y216)</f>
        <v/>
      </c>
      <c r="AA216" s="18" t="inlineStr">
        <is>
          <t>submerged</t>
        </is>
      </c>
      <c r="AB216" s="18" t="inlineStr"/>
      <c r="AC216" s="18" t="inlineStr"/>
      <c r="AD216" s="18" t="inlineStr"/>
      <c r="AE216" s="18" t="inlineStr">
        <is>
          <t>sky 8-15</t>
        </is>
      </c>
      <c r="AF216" s="18" t="inlineStr">
        <is>
          <t>False</t>
        </is>
      </c>
      <c r="AG216" s="18" t="inlineStr"/>
      <c r="AH216" s="18" t="inlineStr">
        <is>
          <t>주변=minecraft:lily_pad</t>
        </is>
      </c>
      <c r="AI216" s="18" t="inlineStr"/>
      <c r="AJ216" s="18" t="inlineStr">
        <is>
          <t>Cobblemon 동일</t>
        </is>
      </c>
      <c r="AK216" s="18" t="inlineStr">
        <is>
          <t>사용</t>
        </is>
      </c>
      <c r="AL216" s="18" t="inlineStr">
        <is>
          <t>COBBLEVERSE 1.7.42 / DP v31</t>
        </is>
      </c>
      <c r="AM216" s="18" t="inlineStr">
        <is>
          <t>data/cobblemon/spawn_pool_world/0061_poliwhirl.json</t>
        </is>
      </c>
      <c r="AN216" s="18" t="inlineStr">
        <is>
          <t>poliwhirl-9</t>
        </is>
      </c>
      <c r="AO216" s="18" t="inlineStr">
        <is>
          <t>pokemon</t>
        </is>
      </c>
      <c r="AP216" s="18" t="inlineStr">
        <is>
          <t>water</t>
        </is>
      </c>
      <c r="AQ216" s="18" t="inlineStr">
        <is>
          <t>{"biomes":["#cobblemon:is_swamp"],"canSeeSky":false,"maxSkyLight":15,"minSkyLight":8,"neededNearbyBlocks":["minecraft:lily_pad"]}</t>
        </is>
      </c>
      <c r="AR216" s="18" t="inlineStr"/>
      <c r="AS216" s="18" t="inlineStr"/>
      <c r="AT216" s="19" t="inlineStr"/>
    </row>
    <row r="217" ht="32" customHeight="1">
      <c r="A217" s="18" t="inlineStr">
        <is>
          <t>0061_poliwhirl.json::poliwhirl-10::010</t>
        </is>
      </c>
      <c r="B217" s="19" t="inlineStr">
        <is>
          <t>사용</t>
        </is>
      </c>
      <c r="C217" s="18">
        <f>IF(OR(B217&lt;&gt;AK217,M217&lt;&gt;L217,O217&lt;&gt;"",Q217&lt;&gt;"",V217&lt;&gt;1,Y217&lt;&gt;"",AT217&lt;&gt;""),"수정","원본")</f>
        <v/>
      </c>
      <c r="D217" s="18" t="n">
        <v>61</v>
      </c>
      <c r="E217" s="18" t="inlineStr">
        <is>
          <t>슈륙챙이</t>
        </is>
      </c>
      <c r="F217" s="18" t="inlineStr">
        <is>
          <t>poliwhirl</t>
        </is>
      </c>
      <c r="G217" s="18" t="inlineStr">
        <is>
          <t>poliwhirl</t>
        </is>
      </c>
      <c r="H217" s="18" t="inlineStr"/>
      <c r="I217" s="18" t="n">
        <v>1</v>
      </c>
      <c r="J217" s="18" t="n"/>
      <c r="K217" s="18" t="n">
        <v>1</v>
      </c>
      <c r="L217" s="18" t="inlineStr">
        <is>
          <t>cobbleventure:generation_1</t>
        </is>
      </c>
      <c r="M217" s="19" t="inlineStr">
        <is>
          <t>cobbleventure:generation_1</t>
        </is>
      </c>
      <c r="N217" s="18" t="inlineStr">
        <is>
          <t>region_01</t>
        </is>
      </c>
      <c r="O217" s="19" t="inlineStr"/>
      <c r="P217" s="18" t="inlineStr">
        <is>
          <t>#cobblemon:is_freshwater; #cobblemon:is_hills; #cobblemon:is_jungle; #cobblemon:is_magical; #cobblemon:is_mushroom; #cobblemon:is_temperate</t>
        </is>
      </c>
      <c r="Q217" s="19" t="inlineStr"/>
      <c r="R217" s="18">
        <f>IF(Q217="",P217,Q217)</f>
        <v/>
      </c>
      <c r="S217" s="18" t="inlineStr">
        <is>
          <t>#cobblemon:is_freezing; #cobblemon:is_swamp</t>
        </is>
      </c>
      <c r="T217" s="18" t="inlineStr">
        <is>
          <t>common</t>
        </is>
      </c>
      <c r="U217" s="20" t="n">
        <v>0.57</v>
      </c>
      <c r="V217" s="21" t="n">
        <v>1</v>
      </c>
      <c r="W217" s="20">
        <f>IF(OR(U217="",V217=""),U217,U217*V217)</f>
        <v/>
      </c>
      <c r="X217" s="18" t="inlineStr">
        <is>
          <t>25-39</t>
        </is>
      </c>
      <c r="Y217" s="19" t="inlineStr"/>
      <c r="Z217" s="18">
        <f>IF(Y217="",X217,Y217)</f>
        <v/>
      </c>
      <c r="AA217" s="18" t="inlineStr">
        <is>
          <t>submerged</t>
        </is>
      </c>
      <c r="AB217" s="18" t="inlineStr"/>
      <c r="AC217" s="18" t="inlineStr"/>
      <c r="AD217" s="18" t="inlineStr"/>
      <c r="AE217" s="18" t="inlineStr">
        <is>
          <t>sky 8-15</t>
        </is>
      </c>
      <c r="AF217" s="18" t="inlineStr">
        <is>
          <t>False</t>
        </is>
      </c>
      <c r="AG217" s="18" t="inlineStr"/>
      <c r="AH217" s="18" t="inlineStr"/>
      <c r="AI217" s="18" t="inlineStr"/>
      <c r="AJ217" s="18" t="inlineStr">
        <is>
          <t>Cobblemon 동일</t>
        </is>
      </c>
      <c r="AK217" s="18" t="inlineStr">
        <is>
          <t>사용</t>
        </is>
      </c>
      <c r="AL217" s="18" t="inlineStr">
        <is>
          <t>COBBLEVERSE 1.7.42 / DP v31</t>
        </is>
      </c>
      <c r="AM217" s="18" t="inlineStr">
        <is>
          <t>data/cobblemon/spawn_pool_world/0061_poliwhirl.json</t>
        </is>
      </c>
      <c r="AN217" s="18" t="inlineStr">
        <is>
          <t>poliwhirl-10</t>
        </is>
      </c>
      <c r="AO217" s="18" t="inlineStr">
        <is>
          <t>pokemon</t>
        </is>
      </c>
      <c r="AP217" s="18" t="inlineStr">
        <is>
          <t>water</t>
        </is>
      </c>
      <c r="AQ217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217" s="18" t="inlineStr">
        <is>
          <t>{"biomes":["#cobblemon:is_freezing","#cobblemon:is_swamp"]}</t>
        </is>
      </c>
      <c r="AS217" s="18" t="inlineStr"/>
      <c r="AT217" s="19" t="inlineStr"/>
    </row>
    <row r="218" ht="32" customHeight="1">
      <c r="A218" s="18" t="inlineStr">
        <is>
          <t>0061_poliwhirl.json::poliwhirl-11::011</t>
        </is>
      </c>
      <c r="B218" s="19" t="inlineStr">
        <is>
          <t>사용</t>
        </is>
      </c>
      <c r="C218" s="18">
        <f>IF(OR(B218&lt;&gt;AK218,M218&lt;&gt;L218,O218&lt;&gt;"",Q218&lt;&gt;"",V218&lt;&gt;1,Y218&lt;&gt;"",AT218&lt;&gt;""),"수정","원본")</f>
        <v/>
      </c>
      <c r="D218" s="18" t="n">
        <v>61</v>
      </c>
      <c r="E218" s="18" t="inlineStr">
        <is>
          <t>슈륙챙이</t>
        </is>
      </c>
      <c r="F218" s="18" t="inlineStr">
        <is>
          <t>poliwhirl</t>
        </is>
      </c>
      <c r="G218" s="18" t="inlineStr">
        <is>
          <t>poliwhirl</t>
        </is>
      </c>
      <c r="H218" s="18" t="inlineStr"/>
      <c r="I218" s="18" t="n">
        <v>1</v>
      </c>
      <c r="J218" s="18" t="n"/>
      <c r="K218" s="18" t="n">
        <v>1</v>
      </c>
      <c r="L218" s="18" t="inlineStr">
        <is>
          <t>cobbleventure:generation_1</t>
        </is>
      </c>
      <c r="M218" s="19" t="inlineStr">
        <is>
          <t>cobbleventure:generation_1</t>
        </is>
      </c>
      <c r="N218" s="18" t="inlineStr">
        <is>
          <t>region_01; region_02</t>
        </is>
      </c>
      <c r="O218" s="19" t="inlineStr"/>
      <c r="P218" s="18" t="inlineStr">
        <is>
          <t>#cobblemon:is_freshwater; #cobblemon:is_hills; #cobblemon:is_jungle; #cobblemon:is_magical; #cobblemon:is_mushroom; #cobblemon:is_temperate</t>
        </is>
      </c>
      <c r="Q218" s="19" t="inlineStr"/>
      <c r="R218" s="18">
        <f>IF(Q218="",P218,Q218)</f>
        <v/>
      </c>
      <c r="S218" s="18" t="inlineStr">
        <is>
          <t>#cobblemon:is_freezing</t>
        </is>
      </c>
      <c r="T218" s="18" t="inlineStr">
        <is>
          <t>common</t>
        </is>
      </c>
      <c r="U218" s="20" t="n">
        <v>0.95</v>
      </c>
      <c r="V218" s="21" t="n">
        <v>1</v>
      </c>
      <c r="W218" s="20">
        <f>IF(OR(U218="",V218=""),U218,U218*V218)</f>
        <v/>
      </c>
      <c r="X218" s="18" t="inlineStr">
        <is>
          <t>25-39</t>
        </is>
      </c>
      <c r="Y218" s="19" t="inlineStr"/>
      <c r="Z218" s="18">
        <f>IF(Y218="",X218,Y218)</f>
        <v/>
      </c>
      <c r="AA218" s="18" t="inlineStr">
        <is>
          <t>fishing</t>
        </is>
      </c>
      <c r="AB218" s="18" t="inlineStr"/>
      <c r="AC218" s="18" t="inlineStr"/>
      <c r="AD218" s="18" t="inlineStr"/>
      <c r="AE218" s="18" t="inlineStr">
        <is>
          <t>sky 8-15</t>
        </is>
      </c>
      <c r="AF218" s="18" t="inlineStr">
        <is>
          <t>False</t>
        </is>
      </c>
      <c r="AG218" s="18" t="inlineStr"/>
      <c r="AH218" s="18" t="inlineStr"/>
      <c r="AI218" s="18" t="inlineStr"/>
      <c r="AJ218" s="18" t="inlineStr">
        <is>
          <t>Cobblemon 동일</t>
        </is>
      </c>
      <c r="AK218" s="18" t="inlineStr">
        <is>
          <t>사용</t>
        </is>
      </c>
      <c r="AL218" s="18" t="inlineStr">
        <is>
          <t>COBBLEVERSE 1.7.42 / DP v31</t>
        </is>
      </c>
      <c r="AM218" s="18" t="inlineStr">
        <is>
          <t>data/cobblemon/spawn_pool_world/0061_poliwhirl.json</t>
        </is>
      </c>
      <c r="AN218" s="18" t="inlineStr">
        <is>
          <t>poliwhirl-11</t>
        </is>
      </c>
      <c r="AO218" s="18" t="inlineStr">
        <is>
          <t>pokemon</t>
        </is>
      </c>
      <c r="AP218" s="18" t="inlineStr"/>
      <c r="AQ218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218" s="18" t="inlineStr">
        <is>
          <t>{"biomes":["#cobblemon:is_freezing"]}</t>
        </is>
      </c>
      <c r="AS218" s="18" t="inlineStr"/>
      <c r="AT218" s="19" t="inlineStr"/>
    </row>
    <row r="219" ht="32" customHeight="1">
      <c r="A219" s="18" t="inlineStr">
        <is>
          <t>0061_poliwhirl.json::poliwhirl-12::012</t>
        </is>
      </c>
      <c r="B219" s="19" t="inlineStr">
        <is>
          <t>사용</t>
        </is>
      </c>
      <c r="C219" s="18">
        <f>IF(OR(B219&lt;&gt;AK219,M219&lt;&gt;L219,O219&lt;&gt;"",Q219&lt;&gt;"",V219&lt;&gt;1,Y219&lt;&gt;"",AT219&lt;&gt;""),"수정","원본")</f>
        <v/>
      </c>
      <c r="D219" s="18" t="n">
        <v>61</v>
      </c>
      <c r="E219" s="18" t="inlineStr">
        <is>
          <t>슈륙챙이</t>
        </is>
      </c>
      <c r="F219" s="18" t="inlineStr">
        <is>
          <t>poliwhirl</t>
        </is>
      </c>
      <c r="G219" s="18" t="inlineStr">
        <is>
          <t>poliwhirl</t>
        </is>
      </c>
      <c r="H219" s="18" t="inlineStr"/>
      <c r="I219" s="18" t="n">
        <v>1</v>
      </c>
      <c r="J219" s="18" t="n"/>
      <c r="K219" s="18" t="n">
        <v>1</v>
      </c>
      <c r="L219" s="18" t="inlineStr">
        <is>
          <t>cobbleventure:generation_1</t>
        </is>
      </c>
      <c r="M219" s="19" t="inlineStr">
        <is>
          <t>cobbleventure:generation_1</t>
        </is>
      </c>
      <c r="N219" s="18" t="inlineStr">
        <is>
          <t>region_01; region_02</t>
        </is>
      </c>
      <c r="O219" s="19" t="inlineStr"/>
      <c r="P219" s="18" t="inlineStr">
        <is>
          <t>#cobblemon:is_overworld</t>
        </is>
      </c>
      <c r="Q219" s="19" t="inlineStr"/>
      <c r="R219" s="18">
        <f>IF(Q219="",P219,Q219)</f>
        <v/>
      </c>
      <c r="S219" s="18" t="inlineStr">
        <is>
          <t>#cobblemon:is_lush</t>
        </is>
      </c>
      <c r="T219" s="18" t="inlineStr">
        <is>
          <t>common</t>
        </is>
      </c>
      <c r="U219" s="20" t="n">
        <v>0.19</v>
      </c>
      <c r="V219" s="21" t="n">
        <v>1</v>
      </c>
      <c r="W219" s="20">
        <f>IF(OR(U219="",V219=""),U219,U219*V219)</f>
        <v/>
      </c>
      <c r="X219" s="18" t="inlineStr">
        <is>
          <t>25-39</t>
        </is>
      </c>
      <c r="Y219" s="19" t="inlineStr"/>
      <c r="Z219" s="18">
        <f>IF(Y219="",X219,Y219)</f>
        <v/>
      </c>
      <c r="AA219" s="18" t="inlineStr">
        <is>
          <t>grounded</t>
        </is>
      </c>
      <c r="AB219" s="18" t="inlineStr"/>
      <c r="AC219" s="18" t="inlineStr"/>
      <c r="AD219" s="18" t="inlineStr">
        <is>
          <t>minY=-41, maxY=9</t>
        </is>
      </c>
      <c r="AE219" s="18" t="inlineStr">
        <is>
          <t>sky 0-7</t>
        </is>
      </c>
      <c r="AF219" s="18" t="inlineStr"/>
      <c r="AG219" s="18" t="inlineStr">
        <is>
          <t>cobblemon:shipwreck_coves/lush_shipwreck_cove</t>
        </is>
      </c>
      <c r="AH219" s="18" t="inlineStr"/>
      <c r="AI219" s="18" t="inlineStr"/>
      <c r="AJ219" s="18" t="inlineStr">
        <is>
          <t>Cobblemon 동일</t>
        </is>
      </c>
      <c r="AK219" s="18" t="inlineStr">
        <is>
          <t>사용</t>
        </is>
      </c>
      <c r="AL219" s="18" t="inlineStr">
        <is>
          <t>COBBLEVERSE 1.7.42 / DP v31</t>
        </is>
      </c>
      <c r="AM219" s="18" t="inlineStr">
        <is>
          <t>data/cobblemon/spawn_pool_world/0061_poliwhirl.json</t>
        </is>
      </c>
      <c r="AN219" s="18" t="inlineStr">
        <is>
          <t>poliwhirl-12</t>
        </is>
      </c>
      <c r="AO219" s="18" t="inlineStr">
        <is>
          <t>pokemon</t>
        </is>
      </c>
      <c r="AP219" s="18" t="inlineStr">
        <is>
          <t>natural</t>
        </is>
      </c>
      <c r="AQ219" s="18" t="inlineStr">
        <is>
          <t>{"biomes":["#cobblemon:is_overworld"],"maxSkyLight":7,"maxY":9,"minSkyLight":0,"minY":-41,"structures":["cobblemon:shipwreck_coves/lush_shipwreck_cove"]}</t>
        </is>
      </c>
      <c r="AR219" s="18" t="inlineStr">
        <is>
          <t>{"biomes":["#cobblemon:is_lush"]}</t>
        </is>
      </c>
      <c r="AS219" s="18" t="inlineStr"/>
      <c r="AT219" s="19" t="inlineStr"/>
    </row>
    <row r="220" ht="32" customHeight="1">
      <c r="A220" s="18" t="inlineStr">
        <is>
          <t>0061_poliwhirl.json::poliwhirl-13::013</t>
        </is>
      </c>
      <c r="B220" s="19" t="inlineStr">
        <is>
          <t>사용</t>
        </is>
      </c>
      <c r="C220" s="18">
        <f>IF(OR(B220&lt;&gt;AK220,M220&lt;&gt;L220,O220&lt;&gt;"",Q220&lt;&gt;"",V220&lt;&gt;1,Y220&lt;&gt;"",AT220&lt;&gt;""),"수정","원본")</f>
        <v/>
      </c>
      <c r="D220" s="18" t="n">
        <v>61</v>
      </c>
      <c r="E220" s="18" t="inlineStr">
        <is>
          <t>슈륙챙이</t>
        </is>
      </c>
      <c r="F220" s="18" t="inlineStr">
        <is>
          <t>poliwhirl</t>
        </is>
      </c>
      <c r="G220" s="18" t="inlineStr">
        <is>
          <t>poliwhirl</t>
        </is>
      </c>
      <c r="H220" s="18" t="inlineStr"/>
      <c r="I220" s="18" t="n">
        <v>1</v>
      </c>
      <c r="J220" s="18" t="n"/>
      <c r="K220" s="18" t="n">
        <v>1</v>
      </c>
      <c r="L220" s="18" t="inlineStr">
        <is>
          <t>cobbleventure:generation_1</t>
        </is>
      </c>
      <c r="M220" s="19" t="inlineStr">
        <is>
          <t>cobbleventure:generation_1</t>
        </is>
      </c>
      <c r="N220" s="18" t="inlineStr">
        <is>
          <t>region_01; region_02</t>
        </is>
      </c>
      <c r="O220" s="19" t="inlineStr"/>
      <c r="P220" s="18" t="inlineStr">
        <is>
          <t>#cobblemon:is_overworld</t>
        </is>
      </c>
      <c r="Q220" s="19" t="inlineStr"/>
      <c r="R220" s="18">
        <f>IF(Q220="",P220,Q220)</f>
        <v/>
      </c>
      <c r="S220" s="18" t="inlineStr">
        <is>
          <t>#cobblemon:is_lush</t>
        </is>
      </c>
      <c r="T220" s="18" t="inlineStr">
        <is>
          <t>common</t>
        </is>
      </c>
      <c r="U220" s="20" t="n">
        <v>0.57</v>
      </c>
      <c r="V220" s="21" t="n">
        <v>1</v>
      </c>
      <c r="W220" s="20">
        <f>IF(OR(U220="",V220=""),U220,U220*V220)</f>
        <v/>
      </c>
      <c r="X220" s="18" t="inlineStr">
        <is>
          <t>25-39</t>
        </is>
      </c>
      <c r="Y220" s="19" t="inlineStr"/>
      <c r="Z220" s="18">
        <f>IF(Y220="",X220,Y220)</f>
        <v/>
      </c>
      <c r="AA220" s="18" t="inlineStr">
        <is>
          <t>submerged</t>
        </is>
      </c>
      <c r="AB220" s="18" t="inlineStr"/>
      <c r="AC220" s="18" t="inlineStr"/>
      <c r="AD220" s="18" t="inlineStr">
        <is>
          <t>minY=-41, maxY=9</t>
        </is>
      </c>
      <c r="AE220" s="18" t="inlineStr">
        <is>
          <t>sky 0-7</t>
        </is>
      </c>
      <c r="AF220" s="18" t="inlineStr"/>
      <c r="AG220" s="18" t="inlineStr">
        <is>
          <t>cobblemon:shipwreck_coves/lush_shipwreck_cove</t>
        </is>
      </c>
      <c r="AH220" s="18" t="inlineStr"/>
      <c r="AI220" s="18" t="inlineStr"/>
      <c r="AJ220" s="18" t="inlineStr">
        <is>
          <t>Cobblemon 동일</t>
        </is>
      </c>
      <c r="AK220" s="18" t="inlineStr">
        <is>
          <t>사용</t>
        </is>
      </c>
      <c r="AL220" s="18" t="inlineStr">
        <is>
          <t>COBBLEVERSE 1.7.42 / DP v31</t>
        </is>
      </c>
      <c r="AM220" s="18" t="inlineStr">
        <is>
          <t>data/cobblemon/spawn_pool_world/0061_poliwhirl.json</t>
        </is>
      </c>
      <c r="AN220" s="18" t="inlineStr">
        <is>
          <t>poliwhirl-13</t>
        </is>
      </c>
      <c r="AO220" s="18" t="inlineStr">
        <is>
          <t>pokemon</t>
        </is>
      </c>
      <c r="AP220" s="18" t="inlineStr">
        <is>
          <t>water</t>
        </is>
      </c>
      <c r="AQ220" s="18" t="inlineStr">
        <is>
          <t>{"biomes":["#cobblemon:is_overworld"],"maxSkyLight":7,"maxY":9,"minSkyLight":0,"minY":-41,"structures":["cobblemon:shipwreck_coves/lush_shipwreck_cove"]}</t>
        </is>
      </c>
      <c r="AR220" s="18" t="inlineStr">
        <is>
          <t>{"biomes":["#cobblemon:is_lush"]}</t>
        </is>
      </c>
      <c r="AS220" s="18" t="inlineStr"/>
      <c r="AT220" s="19" t="inlineStr"/>
    </row>
    <row r="221" ht="32" customHeight="1">
      <c r="A221" s="18" t="inlineStr">
        <is>
          <t>0061_poliwhirl.json::poliwhirl-14::014</t>
        </is>
      </c>
      <c r="B221" s="19" t="inlineStr">
        <is>
          <t>사용</t>
        </is>
      </c>
      <c r="C221" s="18">
        <f>IF(OR(B221&lt;&gt;AK221,M221&lt;&gt;L221,O221&lt;&gt;"",Q221&lt;&gt;"",V221&lt;&gt;1,Y221&lt;&gt;"",AT221&lt;&gt;""),"수정","원본")</f>
        <v/>
      </c>
      <c r="D221" s="18" t="n">
        <v>61</v>
      </c>
      <c r="E221" s="18" t="inlineStr">
        <is>
          <t>슈륙챙이</t>
        </is>
      </c>
      <c r="F221" s="18" t="inlineStr">
        <is>
          <t>poliwhirl</t>
        </is>
      </c>
      <c r="G221" s="18" t="inlineStr">
        <is>
          <t>poliwhirl</t>
        </is>
      </c>
      <c r="H221" s="18" t="inlineStr"/>
      <c r="I221" s="18" t="n">
        <v>1</v>
      </c>
      <c r="J221" s="18" t="n"/>
      <c r="K221" s="18" t="n">
        <v>1</v>
      </c>
      <c r="L221" s="18" t="inlineStr">
        <is>
          <t>cobbleventure:generation_1</t>
        </is>
      </c>
      <c r="M221" s="19" t="inlineStr">
        <is>
          <t>cobbleventure:generation_1</t>
        </is>
      </c>
      <c r="N221" s="18" t="inlineStr">
        <is>
          <t>region_01; region_02</t>
        </is>
      </c>
      <c r="O221" s="19" t="inlineStr"/>
      <c r="P221" s="18" t="inlineStr">
        <is>
          <t>#cobblemon:is_overworld</t>
        </is>
      </c>
      <c r="Q221" s="19" t="inlineStr"/>
      <c r="R221" s="18">
        <f>IF(Q221="",P221,Q221)</f>
        <v/>
      </c>
      <c r="S221" s="18" t="inlineStr">
        <is>
          <t>#cobblemon:is_lush</t>
        </is>
      </c>
      <c r="T221" s="18" t="inlineStr">
        <is>
          <t>common</t>
        </is>
      </c>
      <c r="U221" s="20" t="n">
        <v>0.95</v>
      </c>
      <c r="V221" s="21" t="n">
        <v>1</v>
      </c>
      <c r="W221" s="20">
        <f>IF(OR(U221="",V221=""),U221,U221*V221)</f>
        <v/>
      </c>
      <c r="X221" s="18" t="inlineStr">
        <is>
          <t>25-39</t>
        </is>
      </c>
      <c r="Y221" s="19" t="inlineStr"/>
      <c r="Z221" s="18">
        <f>IF(Y221="",X221,Y221)</f>
        <v/>
      </c>
      <c r="AA221" s="18" t="inlineStr">
        <is>
          <t>fishing</t>
        </is>
      </c>
      <c r="AB221" s="18" t="inlineStr"/>
      <c r="AC221" s="18" t="inlineStr"/>
      <c r="AD221" s="18" t="inlineStr">
        <is>
          <t>minY=-41, maxY=9</t>
        </is>
      </c>
      <c r="AE221" s="18" t="inlineStr">
        <is>
          <t>sky 0-7</t>
        </is>
      </c>
      <c r="AF221" s="18" t="inlineStr"/>
      <c r="AG221" s="18" t="inlineStr">
        <is>
          <t>cobblemon:shipwreck_coves/lush_shipwreck_cove</t>
        </is>
      </c>
      <c r="AH221" s="18" t="inlineStr"/>
      <c r="AI221" s="18" t="inlineStr"/>
      <c r="AJ221" s="18" t="inlineStr">
        <is>
          <t>Cobblemon 동일</t>
        </is>
      </c>
      <c r="AK221" s="18" t="inlineStr">
        <is>
          <t>사용</t>
        </is>
      </c>
      <c r="AL221" s="18" t="inlineStr">
        <is>
          <t>COBBLEVERSE 1.7.42 / DP v31</t>
        </is>
      </c>
      <c r="AM221" s="18" t="inlineStr">
        <is>
          <t>data/cobblemon/spawn_pool_world/0061_poliwhirl.json</t>
        </is>
      </c>
      <c r="AN221" s="18" t="inlineStr">
        <is>
          <t>poliwhirl-14</t>
        </is>
      </c>
      <c r="AO221" s="18" t="inlineStr">
        <is>
          <t>pokemon</t>
        </is>
      </c>
      <c r="AP221" s="18" t="inlineStr"/>
      <c r="AQ221" s="18" t="inlineStr">
        <is>
          <t>{"biomes":["#cobblemon:is_overworld"],"maxSkyLight":7,"maxY":9,"minSkyLight":0,"minY":-41,"structures":["cobblemon:shipwreck_coves/lush_shipwreck_cove"]}</t>
        </is>
      </c>
      <c r="AR221" s="18" t="inlineStr">
        <is>
          <t>{"biomes":["#cobblemon:is_lush"]}</t>
        </is>
      </c>
      <c r="AS221" s="18" t="inlineStr">
        <is>
          <t>{"weightMultiplier":{"condition":{"maxLureLevel":1,"minLureLevel":0},"multiplier":0.6}}</t>
        </is>
      </c>
      <c r="AT221" s="19" t="inlineStr"/>
    </row>
    <row r="222" ht="32" customHeight="1">
      <c r="A222" s="18" t="inlineStr">
        <is>
          <t>0062_poliwrath.json::poliwrath-1::001</t>
        </is>
      </c>
      <c r="B222" s="19" t="inlineStr">
        <is>
          <t>사용</t>
        </is>
      </c>
      <c r="C222" s="18">
        <f>IF(OR(B222&lt;&gt;AK222,M222&lt;&gt;L222,O222&lt;&gt;"",Q222&lt;&gt;"",V222&lt;&gt;1,Y222&lt;&gt;"",AT222&lt;&gt;""),"수정","원본")</f>
        <v/>
      </c>
      <c r="D222" s="18" t="n">
        <v>62</v>
      </c>
      <c r="E222" s="18" t="inlineStr">
        <is>
          <t>강챙이</t>
        </is>
      </c>
      <c r="F222" s="18" t="inlineStr">
        <is>
          <t>poliwrath</t>
        </is>
      </c>
      <c r="G222" s="18" t="inlineStr">
        <is>
          <t>poliwrath</t>
        </is>
      </c>
      <c r="H222" s="18" t="inlineStr"/>
      <c r="I222" s="18" t="n">
        <v>1</v>
      </c>
      <c r="J222" s="18" t="n"/>
      <c r="K222" s="18" t="n">
        <v>1</v>
      </c>
      <c r="L222" s="18" t="inlineStr">
        <is>
          <t>cobbleventure:generation_1</t>
        </is>
      </c>
      <c r="M222" s="19" t="inlineStr">
        <is>
          <t>cobbleventure:generation_1</t>
        </is>
      </c>
      <c r="N222" s="18" t="inlineStr">
        <is>
          <t>region_02</t>
        </is>
      </c>
      <c r="O222" s="19" t="inlineStr"/>
      <c r="P222" s="18" t="inlineStr">
        <is>
          <t>#cobblemon:is_swamp</t>
        </is>
      </c>
      <c r="Q222" s="19" t="inlineStr"/>
      <c r="R222" s="18">
        <f>IF(Q222="",P222,Q222)</f>
        <v/>
      </c>
      <c r="S222" s="18" t="inlineStr"/>
      <c r="T222" s="18" t="inlineStr">
        <is>
          <t>common</t>
        </is>
      </c>
      <c r="U222" s="20" t="n">
        <v>0.025</v>
      </c>
      <c r="V222" s="21" t="n">
        <v>1</v>
      </c>
      <c r="W222" s="20">
        <f>IF(OR(U222="",V222=""),U222,U222*V222)</f>
        <v/>
      </c>
      <c r="X222" s="18" t="inlineStr">
        <is>
          <t>34-51</t>
        </is>
      </c>
      <c r="Y222" s="19" t="inlineStr"/>
      <c r="Z222" s="18">
        <f>IF(Y222="",X222,Y222)</f>
        <v/>
      </c>
      <c r="AA222" s="18" t="inlineStr">
        <is>
          <t>grounded</t>
        </is>
      </c>
      <c r="AB222" s="18" t="inlineStr"/>
      <c r="AC222" s="18" t="inlineStr">
        <is>
          <t>비=True</t>
        </is>
      </c>
      <c r="AD222" s="18" t="inlineStr"/>
      <c r="AE222" s="18" t="inlineStr">
        <is>
          <t>sky 8-15</t>
        </is>
      </c>
      <c r="AF222" s="18" t="inlineStr"/>
      <c r="AG222" s="18" t="inlineStr"/>
      <c r="AH222" s="18" t="inlineStr"/>
      <c r="AI222" s="18" t="inlineStr"/>
      <c r="AJ222" s="18" t="inlineStr">
        <is>
          <t>Cobblemon 동일</t>
        </is>
      </c>
      <c r="AK222" s="18" t="inlineStr">
        <is>
          <t>사용</t>
        </is>
      </c>
      <c r="AL222" s="18" t="inlineStr">
        <is>
          <t>COBBLEVERSE 1.7.42 / DP v31</t>
        </is>
      </c>
      <c r="AM222" s="18" t="inlineStr">
        <is>
          <t>data/cobblemon/spawn_pool_world/0062_poliwrath.json</t>
        </is>
      </c>
      <c r="AN222" s="18" t="inlineStr">
        <is>
          <t>poliwrath-1</t>
        </is>
      </c>
      <c r="AO222" s="18" t="inlineStr">
        <is>
          <t>pokemon</t>
        </is>
      </c>
      <c r="AP222" s="18" t="inlineStr">
        <is>
          <t>natural</t>
        </is>
      </c>
      <c r="AQ222" s="18" t="inlineStr">
        <is>
          <t>{"biomes":["#cobblemon:is_swamp"],"isRaining":true,"maxSkyLight":15,"minSkyLight":8}</t>
        </is>
      </c>
      <c r="AR222" s="18" t="inlineStr"/>
      <c r="AS222" s="18" t="inlineStr"/>
      <c r="AT222" s="19" t="inlineStr"/>
    </row>
    <row r="223" ht="32" customHeight="1">
      <c r="A223" s="18" t="inlineStr">
        <is>
          <t>0062_poliwrath.json::poliwrath-2::002</t>
        </is>
      </c>
      <c r="B223" s="19" t="inlineStr">
        <is>
          <t>사용</t>
        </is>
      </c>
      <c r="C223" s="18">
        <f>IF(OR(B223&lt;&gt;AK223,M223&lt;&gt;L223,O223&lt;&gt;"",Q223&lt;&gt;"",V223&lt;&gt;1,Y223&lt;&gt;"",AT223&lt;&gt;""),"수정","원본")</f>
        <v/>
      </c>
      <c r="D223" s="18" t="n">
        <v>62</v>
      </c>
      <c r="E223" s="18" t="inlineStr">
        <is>
          <t>강챙이</t>
        </is>
      </c>
      <c r="F223" s="18" t="inlineStr">
        <is>
          <t>poliwrath</t>
        </is>
      </c>
      <c r="G223" s="18" t="inlineStr">
        <is>
          <t>poliwrath</t>
        </is>
      </c>
      <c r="H223" s="18" t="inlineStr"/>
      <c r="I223" s="18" t="n">
        <v>1</v>
      </c>
      <c r="J223" s="18" t="n"/>
      <c r="K223" s="18" t="n">
        <v>1</v>
      </c>
      <c r="L223" s="18" t="inlineStr">
        <is>
          <t>cobbleventure:generation_1</t>
        </is>
      </c>
      <c r="M223" s="19" t="inlineStr">
        <is>
          <t>cobbleventure:generation_1</t>
        </is>
      </c>
      <c r="N223" s="18" t="inlineStr">
        <is>
          <t>region_02</t>
        </is>
      </c>
      <c r="O223" s="19" t="inlineStr"/>
      <c r="P223" s="18" t="inlineStr">
        <is>
          <t>#cobblemon:is_swamp</t>
        </is>
      </c>
      <c r="Q223" s="19" t="inlineStr"/>
      <c r="R223" s="18">
        <f>IF(Q223="",P223,Q223)</f>
        <v/>
      </c>
      <c r="S223" s="18" t="inlineStr"/>
      <c r="T223" s="18" t="inlineStr">
        <is>
          <t>common</t>
        </is>
      </c>
      <c r="U223" s="20" t="n">
        <v>0.025</v>
      </c>
      <c r="V223" s="21" t="n">
        <v>1</v>
      </c>
      <c r="W223" s="20">
        <f>IF(OR(U223="",V223=""),U223,U223*V223)</f>
        <v/>
      </c>
      <c r="X223" s="18" t="inlineStr">
        <is>
          <t>34-51</t>
        </is>
      </c>
      <c r="Y223" s="19" t="inlineStr"/>
      <c r="Z223" s="18">
        <f>IF(Y223="",X223,Y223)</f>
        <v/>
      </c>
      <c r="AA223" s="18" t="inlineStr">
        <is>
          <t>submerged</t>
        </is>
      </c>
      <c r="AB223" s="18" t="inlineStr"/>
      <c r="AC223" s="18" t="inlineStr"/>
      <c r="AD223" s="18" t="inlineStr"/>
      <c r="AE223" s="18" t="inlineStr"/>
      <c r="AF223" s="18" t="inlineStr">
        <is>
          <t>True</t>
        </is>
      </c>
      <c r="AG223" s="18" t="inlineStr"/>
      <c r="AH223" s="18" t="inlineStr">
        <is>
          <t>주변=minecraft:lily_pad</t>
        </is>
      </c>
      <c r="AI223" s="18" t="inlineStr"/>
      <c r="AJ223" s="18" t="inlineStr">
        <is>
          <t>Cobblemon 동일</t>
        </is>
      </c>
      <c r="AK223" s="18" t="inlineStr">
        <is>
          <t>사용</t>
        </is>
      </c>
      <c r="AL223" s="18" t="inlineStr">
        <is>
          <t>COBBLEVERSE 1.7.42 / DP v31</t>
        </is>
      </c>
      <c r="AM223" s="18" t="inlineStr">
        <is>
          <t>data/cobblemon/spawn_pool_world/0062_poliwrath.json</t>
        </is>
      </c>
      <c r="AN223" s="18" t="inlineStr">
        <is>
          <t>poliwrath-2</t>
        </is>
      </c>
      <c r="AO223" s="18" t="inlineStr">
        <is>
          <t>pokemon</t>
        </is>
      </c>
      <c r="AP223" s="18" t="inlineStr">
        <is>
          <t>water</t>
        </is>
      </c>
      <c r="AQ223" s="18" t="inlineStr">
        <is>
          <t>{"biomes":["#cobblemon:is_swamp"],"canSeeSky":true,"neededNearbyBlocks":["minecraft:lily_pad"]}</t>
        </is>
      </c>
      <c r="AR223" s="18" t="inlineStr"/>
      <c r="AS223" s="18" t="inlineStr"/>
      <c r="AT223" s="19" t="inlineStr"/>
    </row>
    <row r="224" ht="32" customHeight="1">
      <c r="A224" s="18" t="inlineStr">
        <is>
          <t>0062_poliwrath.json::poliwrath-3::003</t>
        </is>
      </c>
      <c r="B224" s="19" t="inlineStr">
        <is>
          <t>사용</t>
        </is>
      </c>
      <c r="C224" s="18">
        <f>IF(OR(B224&lt;&gt;AK224,M224&lt;&gt;L224,O224&lt;&gt;"",Q224&lt;&gt;"",V224&lt;&gt;1,Y224&lt;&gt;"",AT224&lt;&gt;""),"수정","원본")</f>
        <v/>
      </c>
      <c r="D224" s="18" t="n">
        <v>62</v>
      </c>
      <c r="E224" s="18" t="inlineStr">
        <is>
          <t>강챙이</t>
        </is>
      </c>
      <c r="F224" s="18" t="inlineStr">
        <is>
          <t>poliwrath</t>
        </is>
      </c>
      <c r="G224" s="18" t="inlineStr">
        <is>
          <t>poliwrath</t>
        </is>
      </c>
      <c r="H224" s="18" t="inlineStr"/>
      <c r="I224" s="18" t="n">
        <v>1</v>
      </c>
      <c r="J224" s="18" t="n"/>
      <c r="K224" s="18" t="n">
        <v>1</v>
      </c>
      <c r="L224" s="18" t="inlineStr">
        <is>
          <t>cobbleventure:generation_1</t>
        </is>
      </c>
      <c r="M224" s="19" t="inlineStr">
        <is>
          <t>cobbleventure:generation_1</t>
        </is>
      </c>
      <c r="N224" s="18" t="inlineStr">
        <is>
          <t>region_01</t>
        </is>
      </c>
      <c r="O224" s="19" t="inlineStr"/>
      <c r="P224" s="18" t="inlineStr">
        <is>
          <t>#cobblemon:is_freshwater; #cobblemon:is_hills; #cobblemon:is_jungle; #cobblemon:is_magical; #cobblemon:is_mushroom; #cobblemon:is_temperate</t>
        </is>
      </c>
      <c r="Q224" s="19" t="inlineStr"/>
      <c r="R224" s="18">
        <f>IF(Q224="",P224,Q224)</f>
        <v/>
      </c>
      <c r="S224" s="18" t="inlineStr">
        <is>
          <t>#cobblemon:is_freezing; #cobblemon:is_swamp</t>
        </is>
      </c>
      <c r="T224" s="18" t="inlineStr">
        <is>
          <t>common</t>
        </is>
      </c>
      <c r="U224" s="20" t="n">
        <v>0.015</v>
      </c>
      <c r="V224" s="21" t="n">
        <v>1</v>
      </c>
      <c r="W224" s="20">
        <f>IF(OR(U224="",V224=""),U224,U224*V224)</f>
        <v/>
      </c>
      <c r="X224" s="18" t="inlineStr">
        <is>
          <t>34-51</t>
        </is>
      </c>
      <c r="Y224" s="19" t="inlineStr"/>
      <c r="Z224" s="18">
        <f>IF(Y224="",X224,Y224)</f>
        <v/>
      </c>
      <c r="AA224" s="18" t="inlineStr">
        <is>
          <t>grounded</t>
        </is>
      </c>
      <c r="AB224" s="18" t="inlineStr"/>
      <c r="AC224" s="18" t="inlineStr">
        <is>
          <t>비=True</t>
        </is>
      </c>
      <c r="AD224" s="18" t="inlineStr"/>
      <c r="AE224" s="18" t="inlineStr">
        <is>
          <t>sky 8-15</t>
        </is>
      </c>
      <c r="AF224" s="18" t="inlineStr"/>
      <c r="AG224" s="18" t="inlineStr"/>
      <c r="AH224" s="18" t="inlineStr">
        <is>
          <t>주변=minecraft:water</t>
        </is>
      </c>
      <c r="AI224" s="18" t="inlineStr"/>
      <c r="AJ224" s="18" t="inlineStr">
        <is>
          <t>Cobblemon 동일</t>
        </is>
      </c>
      <c r="AK224" s="18" t="inlineStr">
        <is>
          <t>사용</t>
        </is>
      </c>
      <c r="AL224" s="18" t="inlineStr">
        <is>
          <t>COBBLEVERSE 1.7.42 / DP v31</t>
        </is>
      </c>
      <c r="AM224" s="18" t="inlineStr">
        <is>
          <t>data/cobblemon/spawn_pool_world/0062_poliwrath.json</t>
        </is>
      </c>
      <c r="AN224" s="18" t="inlineStr">
        <is>
          <t>poliwrath-3</t>
        </is>
      </c>
      <c r="AO224" s="18" t="inlineStr">
        <is>
          <t>pokemon</t>
        </is>
      </c>
      <c r="AP224" s="18" t="inlineStr">
        <is>
          <t>natural</t>
        </is>
      </c>
      <c r="AQ224" s="18" t="inlineStr">
        <is>
          <t>{"biomes":["#cobblemon:is_freshwater","#cobblemon:is_hills","#cobblemon:is_jungle","#cobblemon:is_magical","#cobblemon:is_mushroom","#cobblemon:is_temperate"],"isRaining":true,"maxSkyLight":15,"minSkyLight":8,"neededNearbyBlocks":["minecraft:water"]}</t>
        </is>
      </c>
      <c r="AR224" s="18" t="inlineStr">
        <is>
          <t>{"biomes":["#cobblemon:is_freezing","#cobblemon:is_swamp"]}</t>
        </is>
      </c>
      <c r="AS224" s="18" t="inlineStr"/>
      <c r="AT224" s="19" t="inlineStr"/>
    </row>
    <row r="225" ht="32" customHeight="1">
      <c r="A225" s="18" t="inlineStr">
        <is>
          <t>0062_poliwrath.json::poliwrath-4::004</t>
        </is>
      </c>
      <c r="B225" s="19" t="inlineStr">
        <is>
          <t>사용</t>
        </is>
      </c>
      <c r="C225" s="18">
        <f>IF(OR(B225&lt;&gt;AK225,M225&lt;&gt;L225,O225&lt;&gt;"",Q225&lt;&gt;"",V225&lt;&gt;1,Y225&lt;&gt;"",AT225&lt;&gt;""),"수정","원본")</f>
        <v/>
      </c>
      <c r="D225" s="18" t="n">
        <v>62</v>
      </c>
      <c r="E225" s="18" t="inlineStr">
        <is>
          <t>강챙이</t>
        </is>
      </c>
      <c r="F225" s="18" t="inlineStr">
        <is>
          <t>poliwrath</t>
        </is>
      </c>
      <c r="G225" s="18" t="inlineStr">
        <is>
          <t>poliwrath</t>
        </is>
      </c>
      <c r="H225" s="18" t="inlineStr"/>
      <c r="I225" s="18" t="n">
        <v>1</v>
      </c>
      <c r="J225" s="18" t="n"/>
      <c r="K225" s="18" t="n">
        <v>1</v>
      </c>
      <c r="L225" s="18" t="inlineStr">
        <is>
          <t>cobbleventure:generation_1</t>
        </is>
      </c>
      <c r="M225" s="19" t="inlineStr">
        <is>
          <t>cobbleventure:generation_1</t>
        </is>
      </c>
      <c r="N225" s="18" t="inlineStr">
        <is>
          <t>region_01</t>
        </is>
      </c>
      <c r="O225" s="19" t="inlineStr"/>
      <c r="P225" s="18" t="inlineStr">
        <is>
          <t>#cobblemon:is_freshwater; #cobblemon:is_hills; #cobblemon:is_jungle; #cobblemon:is_magical; #cobblemon:is_mushroom; #cobblemon:is_temperate</t>
        </is>
      </c>
      <c r="Q225" s="19" t="inlineStr"/>
      <c r="R225" s="18">
        <f>IF(Q225="",P225,Q225)</f>
        <v/>
      </c>
      <c r="S225" s="18" t="inlineStr">
        <is>
          <t>#cobblemon:is_freezing; #cobblemon:is_swamp</t>
        </is>
      </c>
      <c r="T225" s="18" t="inlineStr">
        <is>
          <t>common</t>
        </is>
      </c>
      <c r="U225" s="20" t="n">
        <v>0.015</v>
      </c>
      <c r="V225" s="21" t="n">
        <v>1</v>
      </c>
      <c r="W225" s="20">
        <f>IF(OR(U225="",V225=""),U225,U225*V225)</f>
        <v/>
      </c>
      <c r="X225" s="18" t="inlineStr">
        <is>
          <t>34-51</t>
        </is>
      </c>
      <c r="Y225" s="19" t="inlineStr"/>
      <c r="Z225" s="18">
        <f>IF(Y225="",X225,Y225)</f>
        <v/>
      </c>
      <c r="AA225" s="18" t="inlineStr">
        <is>
          <t>submerged</t>
        </is>
      </c>
      <c r="AB225" s="18" t="inlineStr"/>
      <c r="AC225" s="18" t="inlineStr"/>
      <c r="AD225" s="18" t="inlineStr"/>
      <c r="AE225" s="18" t="inlineStr"/>
      <c r="AF225" s="18" t="inlineStr">
        <is>
          <t>True</t>
        </is>
      </c>
      <c r="AG225" s="18" t="inlineStr"/>
      <c r="AH225" s="18" t="inlineStr"/>
      <c r="AI225" s="18" t="inlineStr"/>
      <c r="AJ225" s="18" t="inlineStr">
        <is>
          <t>Cobblemon 동일</t>
        </is>
      </c>
      <c r="AK225" s="18" t="inlineStr">
        <is>
          <t>사용</t>
        </is>
      </c>
      <c r="AL225" s="18" t="inlineStr">
        <is>
          <t>COBBLEVERSE 1.7.42 / DP v31</t>
        </is>
      </c>
      <c r="AM225" s="18" t="inlineStr">
        <is>
          <t>data/cobblemon/spawn_pool_world/0062_poliwrath.json</t>
        </is>
      </c>
      <c r="AN225" s="18" t="inlineStr">
        <is>
          <t>poliwrath-4</t>
        </is>
      </c>
      <c r="AO225" s="18" t="inlineStr">
        <is>
          <t>pokemon</t>
        </is>
      </c>
      <c r="AP225" s="18" t="inlineStr">
        <is>
          <t>water</t>
        </is>
      </c>
      <c r="AQ225" s="18" t="inlineStr">
        <is>
          <t>{"biomes":["#cobblemon:is_freshwater","#cobblemon:is_hills","#cobblemon:is_jungle","#cobblemon:is_magical","#cobblemon:is_mushroom","#cobblemon:is_temperate"],"canSeeSky":true}</t>
        </is>
      </c>
      <c r="AR225" s="18" t="inlineStr">
        <is>
          <t>{"biomes":["#cobblemon:is_freezing","#cobblemon:is_swamp"]}</t>
        </is>
      </c>
      <c r="AS225" s="18" t="inlineStr"/>
      <c r="AT225" s="19" t="inlineStr"/>
    </row>
    <row r="226" ht="32" customHeight="1">
      <c r="A226" s="18" t="inlineStr">
        <is>
          <t>0062_poliwrath.json::poliwrath-5::005</t>
        </is>
      </c>
      <c r="B226" s="19" t="inlineStr">
        <is>
          <t>사용</t>
        </is>
      </c>
      <c r="C226" s="18">
        <f>IF(OR(B226&lt;&gt;AK226,M226&lt;&gt;L226,O226&lt;&gt;"",Q226&lt;&gt;"",V226&lt;&gt;1,Y226&lt;&gt;"",AT226&lt;&gt;""),"수정","원본")</f>
        <v/>
      </c>
      <c r="D226" s="18" t="n">
        <v>62</v>
      </c>
      <c r="E226" s="18" t="inlineStr">
        <is>
          <t>강챙이</t>
        </is>
      </c>
      <c r="F226" s="18" t="inlineStr">
        <is>
          <t>poliwrath</t>
        </is>
      </c>
      <c r="G226" s="18" t="inlineStr">
        <is>
          <t>poliwrath</t>
        </is>
      </c>
      <c r="H226" s="18" t="inlineStr"/>
      <c r="I226" s="18" t="n">
        <v>1</v>
      </c>
      <c r="J226" s="18" t="n"/>
      <c r="K226" s="18" t="n">
        <v>1</v>
      </c>
      <c r="L226" s="18" t="inlineStr">
        <is>
          <t>cobbleventure:generation_1</t>
        </is>
      </c>
      <c r="M226" s="19" t="inlineStr">
        <is>
          <t>cobbleventure:generation_1</t>
        </is>
      </c>
      <c r="N226" s="18" t="inlineStr"/>
      <c r="O226" s="19" t="inlineStr"/>
      <c r="P226" s="18" t="inlineStr">
        <is>
          <t>#cobblemon:is_lush</t>
        </is>
      </c>
      <c r="Q226" s="19" t="inlineStr"/>
      <c r="R226" s="18">
        <f>IF(Q226="",P226,Q226)</f>
        <v/>
      </c>
      <c r="S226" s="18" t="inlineStr"/>
      <c r="T226" s="18" t="inlineStr">
        <is>
          <t>common</t>
        </is>
      </c>
      <c r="U226" s="20" t="n">
        <v>0.005</v>
      </c>
      <c r="V226" s="21" t="n">
        <v>1</v>
      </c>
      <c r="W226" s="20">
        <f>IF(OR(U226="",V226=""),U226,U226*V226)</f>
        <v/>
      </c>
      <c r="X226" s="18" t="inlineStr">
        <is>
          <t>34-51</t>
        </is>
      </c>
      <c r="Y226" s="19" t="inlineStr"/>
      <c r="Z226" s="18">
        <f>IF(Y226="",X226,Y226)</f>
        <v/>
      </c>
      <c r="AA226" s="18" t="inlineStr">
        <is>
          <t>grounded</t>
        </is>
      </c>
      <c r="AB226" s="18" t="inlineStr"/>
      <c r="AC226" s="18" t="inlineStr"/>
      <c r="AD226" s="18" t="inlineStr"/>
      <c r="AE226" s="18" t="inlineStr">
        <is>
          <t>sky 0-7</t>
        </is>
      </c>
      <c r="AF226" s="18" t="inlineStr"/>
      <c r="AG226" s="18" t="inlineStr"/>
      <c r="AH226" s="18" t="inlineStr"/>
      <c r="AI226" s="18" t="inlineStr"/>
      <c r="AJ226" s="18" t="inlineStr">
        <is>
          <t>Cobblemon 동일</t>
        </is>
      </c>
      <c r="AK226" s="18" t="inlineStr">
        <is>
          <t>사용</t>
        </is>
      </c>
      <c r="AL226" s="18" t="inlineStr">
        <is>
          <t>COBBLEVERSE 1.7.42 / DP v31</t>
        </is>
      </c>
      <c r="AM226" s="18" t="inlineStr">
        <is>
          <t>data/cobblemon/spawn_pool_world/0062_poliwrath.json</t>
        </is>
      </c>
      <c r="AN226" s="18" t="inlineStr">
        <is>
          <t>poliwrath-5</t>
        </is>
      </c>
      <c r="AO226" s="18" t="inlineStr">
        <is>
          <t>pokemon</t>
        </is>
      </c>
      <c r="AP226" s="18" t="inlineStr">
        <is>
          <t>natural</t>
        </is>
      </c>
      <c r="AQ226" s="18" t="inlineStr">
        <is>
          <t>{"biomes":["#cobblemon:is_lush"],"maxSkyLight":7,"minSkyLight":0}</t>
        </is>
      </c>
      <c r="AR226" s="18" t="inlineStr">
        <is>
          <t>{"maxY":9,"minY":-41,"structures":["cobblemon:shipwreck_coves/lush_shipwreck_cove"]}</t>
        </is>
      </c>
      <c r="AS226" s="18" t="inlineStr"/>
      <c r="AT226" s="19" t="inlineStr"/>
    </row>
    <row r="227" ht="32" customHeight="1">
      <c r="A227" s="18" t="inlineStr">
        <is>
          <t>0062_poliwrath.json::poliwrath-6::006</t>
        </is>
      </c>
      <c r="B227" s="19" t="inlineStr">
        <is>
          <t>사용</t>
        </is>
      </c>
      <c r="C227" s="18">
        <f>IF(OR(B227&lt;&gt;AK227,M227&lt;&gt;L227,O227&lt;&gt;"",Q227&lt;&gt;"",V227&lt;&gt;1,Y227&lt;&gt;"",AT227&lt;&gt;""),"수정","원본")</f>
        <v/>
      </c>
      <c r="D227" s="18" t="n">
        <v>62</v>
      </c>
      <c r="E227" s="18" t="inlineStr">
        <is>
          <t>강챙이</t>
        </is>
      </c>
      <c r="F227" s="18" t="inlineStr">
        <is>
          <t>poliwrath</t>
        </is>
      </c>
      <c r="G227" s="18" t="inlineStr">
        <is>
          <t>poliwrath</t>
        </is>
      </c>
      <c r="H227" s="18" t="inlineStr"/>
      <c r="I227" s="18" t="n">
        <v>1</v>
      </c>
      <c r="J227" s="18" t="n"/>
      <c r="K227" s="18" t="n">
        <v>1</v>
      </c>
      <c r="L227" s="18" t="inlineStr">
        <is>
          <t>cobbleventure:generation_1</t>
        </is>
      </c>
      <c r="M227" s="19" t="inlineStr">
        <is>
          <t>cobbleventure:generation_1</t>
        </is>
      </c>
      <c r="N227" s="18" t="inlineStr"/>
      <c r="O227" s="19" t="inlineStr"/>
      <c r="P227" s="18" t="inlineStr">
        <is>
          <t>#cobblemon:is_lush</t>
        </is>
      </c>
      <c r="Q227" s="19" t="inlineStr"/>
      <c r="R227" s="18">
        <f>IF(Q227="",P227,Q227)</f>
        <v/>
      </c>
      <c r="S227" s="18" t="inlineStr"/>
      <c r="T227" s="18" t="inlineStr">
        <is>
          <t>common</t>
        </is>
      </c>
      <c r="U227" s="20" t="n">
        <v>0.015</v>
      </c>
      <c r="V227" s="21" t="n">
        <v>1</v>
      </c>
      <c r="W227" s="20">
        <f>IF(OR(U227="",V227=""),U227,U227*V227)</f>
        <v/>
      </c>
      <c r="X227" s="18" t="inlineStr">
        <is>
          <t>34-51</t>
        </is>
      </c>
      <c r="Y227" s="19" t="inlineStr"/>
      <c r="Z227" s="18">
        <f>IF(Y227="",X227,Y227)</f>
        <v/>
      </c>
      <c r="AA227" s="18" t="inlineStr">
        <is>
          <t>submerged</t>
        </is>
      </c>
      <c r="AB227" s="18" t="inlineStr"/>
      <c r="AC227" s="18" t="inlineStr"/>
      <c r="AD227" s="18" t="inlineStr"/>
      <c r="AE227" s="18" t="inlineStr">
        <is>
          <t>sky 0-7</t>
        </is>
      </c>
      <c r="AF227" s="18" t="inlineStr"/>
      <c r="AG227" s="18" t="inlineStr"/>
      <c r="AH227" s="18" t="inlineStr"/>
      <c r="AI227" s="18" t="inlineStr"/>
      <c r="AJ227" s="18" t="inlineStr">
        <is>
          <t>Cobblemon 동일</t>
        </is>
      </c>
      <c r="AK227" s="18" t="inlineStr">
        <is>
          <t>사용</t>
        </is>
      </c>
      <c r="AL227" s="18" t="inlineStr">
        <is>
          <t>COBBLEVERSE 1.7.42 / DP v31</t>
        </is>
      </c>
      <c r="AM227" s="18" t="inlineStr">
        <is>
          <t>data/cobblemon/spawn_pool_world/0062_poliwrath.json</t>
        </is>
      </c>
      <c r="AN227" s="18" t="inlineStr">
        <is>
          <t>poliwrath-6</t>
        </is>
      </c>
      <c r="AO227" s="18" t="inlineStr">
        <is>
          <t>pokemon</t>
        </is>
      </c>
      <c r="AP227" s="18" t="inlineStr">
        <is>
          <t>water</t>
        </is>
      </c>
      <c r="AQ227" s="18" t="inlineStr">
        <is>
          <t>{"biomes":["#cobblemon:is_lush"],"maxSkyLight":7,"minSkyLight":0}</t>
        </is>
      </c>
      <c r="AR227" s="18" t="inlineStr">
        <is>
          <t>{"maxY":9,"minY":-41,"structures":["cobblemon:shipwreck_coves/lush_shipwreck_cove"]}</t>
        </is>
      </c>
      <c r="AS227" s="18" t="inlineStr"/>
      <c r="AT227" s="19" t="inlineStr"/>
    </row>
    <row r="228" ht="32" customHeight="1">
      <c r="A228" s="18" t="inlineStr">
        <is>
          <t>0062_poliwrath.json::poliwrath-7::007</t>
        </is>
      </c>
      <c r="B228" s="19" t="inlineStr">
        <is>
          <t>사용</t>
        </is>
      </c>
      <c r="C228" s="18">
        <f>IF(OR(B228&lt;&gt;AK228,M228&lt;&gt;L228,O228&lt;&gt;"",Q228&lt;&gt;"",V228&lt;&gt;1,Y228&lt;&gt;"",AT228&lt;&gt;""),"수정","원본")</f>
        <v/>
      </c>
      <c r="D228" s="18" t="n">
        <v>62</v>
      </c>
      <c r="E228" s="18" t="inlineStr">
        <is>
          <t>강챙이</t>
        </is>
      </c>
      <c r="F228" s="18" t="inlineStr">
        <is>
          <t>poliwrath</t>
        </is>
      </c>
      <c r="G228" s="18" t="inlineStr">
        <is>
          <t>poliwrath</t>
        </is>
      </c>
      <c r="H228" s="18" t="inlineStr"/>
      <c r="I228" s="18" t="n">
        <v>1</v>
      </c>
      <c r="J228" s="18" t="n"/>
      <c r="K228" s="18" t="n">
        <v>1</v>
      </c>
      <c r="L228" s="18" t="inlineStr">
        <is>
          <t>cobbleventure:generation_1</t>
        </is>
      </c>
      <c r="M228" s="19" t="inlineStr">
        <is>
          <t>cobbleventure:generation_1</t>
        </is>
      </c>
      <c r="N228" s="18" t="inlineStr">
        <is>
          <t>region_01; region_02</t>
        </is>
      </c>
      <c r="O228" s="19" t="inlineStr"/>
      <c r="P228" s="18" t="inlineStr">
        <is>
          <t>#cobblemon:is_freshwater; #cobblemon:is_hills; #cobblemon:is_jungle; #cobblemon:is_magical; #cobblemon:is_mushroom; #cobblemon:is_temperate</t>
        </is>
      </c>
      <c r="Q228" s="19" t="inlineStr"/>
      <c r="R228" s="18">
        <f>IF(Q228="",P228,Q228)</f>
        <v/>
      </c>
      <c r="S228" s="18" t="inlineStr">
        <is>
          <t>#cobblemon:is_freezing</t>
        </is>
      </c>
      <c r="T228" s="18" t="inlineStr">
        <is>
          <t>common</t>
        </is>
      </c>
      <c r="U228" s="20" t="n">
        <v>0.025</v>
      </c>
      <c r="V228" s="21" t="n">
        <v>1</v>
      </c>
      <c r="W228" s="20">
        <f>IF(OR(U228="",V228=""),U228,U228*V228)</f>
        <v/>
      </c>
      <c r="X228" s="18" t="inlineStr">
        <is>
          <t>34-51</t>
        </is>
      </c>
      <c r="Y228" s="19" t="inlineStr"/>
      <c r="Z228" s="18">
        <f>IF(Y228="",X228,Y228)</f>
        <v/>
      </c>
      <c r="AA228" s="18" t="inlineStr">
        <is>
          <t>fishing</t>
        </is>
      </c>
      <c r="AB228" s="18" t="inlineStr"/>
      <c r="AC228" s="18" t="inlineStr"/>
      <c r="AD228" s="18" t="inlineStr"/>
      <c r="AE228" s="18" t="inlineStr"/>
      <c r="AF228" s="18" t="inlineStr">
        <is>
          <t>True</t>
        </is>
      </c>
      <c r="AG228" s="18" t="inlineStr"/>
      <c r="AH228" s="18" t="inlineStr"/>
      <c r="AI228" s="18" t="inlineStr"/>
      <c r="AJ228" s="18" t="inlineStr">
        <is>
          <t>Cobblemon 동일</t>
        </is>
      </c>
      <c r="AK228" s="18" t="inlineStr">
        <is>
          <t>사용</t>
        </is>
      </c>
      <c r="AL228" s="18" t="inlineStr">
        <is>
          <t>COBBLEVERSE 1.7.42 / DP v31</t>
        </is>
      </c>
      <c r="AM228" s="18" t="inlineStr">
        <is>
          <t>data/cobblemon/spawn_pool_world/0062_poliwrath.json</t>
        </is>
      </c>
      <c r="AN228" s="18" t="inlineStr">
        <is>
          <t>poliwrath-7</t>
        </is>
      </c>
      <c r="AO228" s="18" t="inlineStr">
        <is>
          <t>pokemon</t>
        </is>
      </c>
      <c r="AP228" s="18" t="inlineStr"/>
      <c r="AQ228" s="18" t="inlineStr">
        <is>
          <t>{"biomes":["#cobblemon:is_freshwater","#cobblemon:is_hills","#cobblemon:is_jungle","#cobblemon:is_magical","#cobblemon:is_mushroom","#cobblemon:is_temperate"],"canSeeSky":true}</t>
        </is>
      </c>
      <c r="AR228" s="18" t="inlineStr">
        <is>
          <t>{"biomes":["#cobblemon:is_freezing"]}</t>
        </is>
      </c>
      <c r="AS228" s="18" t="inlineStr"/>
      <c r="AT228" s="19" t="inlineStr"/>
    </row>
    <row r="229" ht="32" customHeight="1">
      <c r="A229" s="18" t="inlineStr">
        <is>
          <t>0062_poliwrath.json::poliwrath-8::008</t>
        </is>
      </c>
      <c r="B229" s="19" t="inlineStr">
        <is>
          <t>사용</t>
        </is>
      </c>
      <c r="C229" s="18">
        <f>IF(OR(B229&lt;&gt;AK229,M229&lt;&gt;L229,O229&lt;&gt;"",Q229&lt;&gt;"",V229&lt;&gt;1,Y229&lt;&gt;"",AT229&lt;&gt;""),"수정","원본")</f>
        <v/>
      </c>
      <c r="D229" s="18" t="n">
        <v>62</v>
      </c>
      <c r="E229" s="18" t="inlineStr">
        <is>
          <t>강챙이</t>
        </is>
      </c>
      <c r="F229" s="18" t="inlineStr">
        <is>
          <t>poliwrath</t>
        </is>
      </c>
      <c r="G229" s="18" t="inlineStr">
        <is>
          <t>poliwrath</t>
        </is>
      </c>
      <c r="H229" s="18" t="inlineStr"/>
      <c r="I229" s="18" t="n">
        <v>1</v>
      </c>
      <c r="J229" s="18" t="n"/>
      <c r="K229" s="18" t="n">
        <v>1</v>
      </c>
      <c r="L229" s="18" t="inlineStr">
        <is>
          <t>cobbleventure:generation_1</t>
        </is>
      </c>
      <c r="M229" s="19" t="inlineStr">
        <is>
          <t>cobbleventure:generation_1</t>
        </is>
      </c>
      <c r="N229" s="18" t="inlineStr"/>
      <c r="O229" s="19" t="inlineStr"/>
      <c r="P229" s="18" t="inlineStr">
        <is>
          <t>#cobblemon:is_lush</t>
        </is>
      </c>
      <c r="Q229" s="19" t="inlineStr"/>
      <c r="R229" s="18">
        <f>IF(Q229="",P229,Q229)</f>
        <v/>
      </c>
      <c r="S229" s="18" t="inlineStr"/>
      <c r="T229" s="18" t="inlineStr">
        <is>
          <t>common</t>
        </is>
      </c>
      <c r="U229" s="20" t="n">
        <v>0.025</v>
      </c>
      <c r="V229" s="21" t="n">
        <v>1</v>
      </c>
      <c r="W229" s="20">
        <f>IF(OR(U229="",V229=""),U229,U229*V229)</f>
        <v/>
      </c>
      <c r="X229" s="18" t="inlineStr">
        <is>
          <t>34-51</t>
        </is>
      </c>
      <c r="Y229" s="19" t="inlineStr"/>
      <c r="Z229" s="18">
        <f>IF(Y229="",X229,Y229)</f>
        <v/>
      </c>
      <c r="AA229" s="18" t="inlineStr">
        <is>
          <t>fishing</t>
        </is>
      </c>
      <c r="AB229" s="18" t="inlineStr"/>
      <c r="AC229" s="18" t="inlineStr"/>
      <c r="AD229" s="18" t="inlineStr"/>
      <c r="AE229" s="18" t="inlineStr">
        <is>
          <t>sky 0-7</t>
        </is>
      </c>
      <c r="AF229" s="18" t="inlineStr"/>
      <c r="AG229" s="18" t="inlineStr"/>
      <c r="AH229" s="18" t="inlineStr"/>
      <c r="AI229" s="18" t="inlineStr"/>
      <c r="AJ229" s="18" t="inlineStr">
        <is>
          <t>Cobblemon 동일</t>
        </is>
      </c>
      <c r="AK229" s="18" t="inlineStr">
        <is>
          <t>사용</t>
        </is>
      </c>
      <c r="AL229" s="18" t="inlineStr">
        <is>
          <t>COBBLEVERSE 1.7.42 / DP v31</t>
        </is>
      </c>
      <c r="AM229" s="18" t="inlineStr">
        <is>
          <t>data/cobblemon/spawn_pool_world/0062_poliwrath.json</t>
        </is>
      </c>
      <c r="AN229" s="18" t="inlineStr">
        <is>
          <t>poliwrath-8</t>
        </is>
      </c>
      <c r="AO229" s="18" t="inlineStr">
        <is>
          <t>pokemon</t>
        </is>
      </c>
      <c r="AP229" s="18" t="inlineStr"/>
      <c r="AQ229" s="18" t="inlineStr">
        <is>
          <t>{"biomes":["#cobblemon:is_lush"],"maxSkyLight":7,"minSkyLight":0}</t>
        </is>
      </c>
      <c r="AR229" s="18" t="inlineStr">
        <is>
          <t>{"maxY":9,"minY":-41,"structures":["cobblemon:shipwreck_coves/lush_shipwreck_cove"]}</t>
        </is>
      </c>
      <c r="AS229" s="18" t="inlineStr">
        <is>
          <t>{"weightMultiplier":{"condition":{"maxLureLevel":1,"minLureLevel":0},"multiplier":0.6}}</t>
        </is>
      </c>
      <c r="AT229" s="19" t="inlineStr"/>
    </row>
    <row r="230" ht="32" customHeight="1">
      <c r="A230" s="18" t="inlineStr">
        <is>
          <t>0062_poliwrath.json::poliwrath-9::009</t>
        </is>
      </c>
      <c r="B230" s="19" t="inlineStr">
        <is>
          <t>사용</t>
        </is>
      </c>
      <c r="C230" s="18">
        <f>IF(OR(B230&lt;&gt;AK230,M230&lt;&gt;L230,O230&lt;&gt;"",Q230&lt;&gt;"",V230&lt;&gt;1,Y230&lt;&gt;"",AT230&lt;&gt;""),"수정","원본")</f>
        <v/>
      </c>
      <c r="D230" s="18" t="n">
        <v>62</v>
      </c>
      <c r="E230" s="18" t="inlineStr">
        <is>
          <t>강챙이</t>
        </is>
      </c>
      <c r="F230" s="18" t="inlineStr">
        <is>
          <t>poliwrath</t>
        </is>
      </c>
      <c r="G230" s="18" t="inlineStr">
        <is>
          <t>poliwrath</t>
        </is>
      </c>
      <c r="H230" s="18" t="inlineStr"/>
      <c r="I230" s="18" t="n">
        <v>1</v>
      </c>
      <c r="J230" s="18" t="n"/>
      <c r="K230" s="18" t="n">
        <v>1</v>
      </c>
      <c r="L230" s="18" t="inlineStr">
        <is>
          <t>cobbleventure:generation_1</t>
        </is>
      </c>
      <c r="M230" s="19" t="inlineStr">
        <is>
          <t>cobbleventure:generation_1</t>
        </is>
      </c>
      <c r="N230" s="18" t="inlineStr">
        <is>
          <t>region_02</t>
        </is>
      </c>
      <c r="O230" s="19" t="inlineStr"/>
      <c r="P230" s="18" t="inlineStr">
        <is>
          <t>#cobblemon:is_swamp</t>
        </is>
      </c>
      <c r="Q230" s="19" t="inlineStr"/>
      <c r="R230" s="18">
        <f>IF(Q230="",P230,Q230)</f>
        <v/>
      </c>
      <c r="S230" s="18" t="inlineStr"/>
      <c r="T230" s="18" t="inlineStr">
        <is>
          <t>common</t>
        </is>
      </c>
      <c r="U230" s="20" t="n">
        <v>0.025</v>
      </c>
      <c r="V230" s="21" t="n">
        <v>1</v>
      </c>
      <c r="W230" s="20">
        <f>IF(OR(U230="",V230=""),U230,U230*V230)</f>
        <v/>
      </c>
      <c r="X230" s="18" t="inlineStr">
        <is>
          <t>34-51</t>
        </is>
      </c>
      <c r="Y230" s="19" t="inlineStr"/>
      <c r="Z230" s="18">
        <f>IF(Y230="",X230,Y230)</f>
        <v/>
      </c>
      <c r="AA230" s="18" t="inlineStr">
        <is>
          <t>submerged</t>
        </is>
      </c>
      <c r="AB230" s="18" t="inlineStr"/>
      <c r="AC230" s="18" t="inlineStr"/>
      <c r="AD230" s="18" t="inlineStr"/>
      <c r="AE230" s="18" t="inlineStr">
        <is>
          <t>sky 8-15</t>
        </is>
      </c>
      <c r="AF230" s="18" t="inlineStr">
        <is>
          <t>False</t>
        </is>
      </c>
      <c r="AG230" s="18" t="inlineStr"/>
      <c r="AH230" s="18" t="inlineStr">
        <is>
          <t>주변=minecraft:lily_pad</t>
        </is>
      </c>
      <c r="AI230" s="18" t="inlineStr"/>
      <c r="AJ230" s="18" t="inlineStr">
        <is>
          <t>Cobblemon 동일</t>
        </is>
      </c>
      <c r="AK230" s="18" t="inlineStr">
        <is>
          <t>사용</t>
        </is>
      </c>
      <c r="AL230" s="18" t="inlineStr">
        <is>
          <t>COBBLEVERSE 1.7.42 / DP v31</t>
        </is>
      </c>
      <c r="AM230" s="18" t="inlineStr">
        <is>
          <t>data/cobblemon/spawn_pool_world/0062_poliwrath.json</t>
        </is>
      </c>
      <c r="AN230" s="18" t="inlineStr">
        <is>
          <t>poliwrath-9</t>
        </is>
      </c>
      <c r="AO230" s="18" t="inlineStr">
        <is>
          <t>pokemon</t>
        </is>
      </c>
      <c r="AP230" s="18" t="inlineStr">
        <is>
          <t>water</t>
        </is>
      </c>
      <c r="AQ230" s="18" t="inlineStr">
        <is>
          <t>{"biomes":["#cobblemon:is_swamp"],"canSeeSky":false,"maxSkyLight":15,"minSkyLight":8,"neededNearbyBlocks":["minecraft:lily_pad"]}</t>
        </is>
      </c>
      <c r="AR230" s="18" t="inlineStr"/>
      <c r="AS230" s="18" t="inlineStr"/>
      <c r="AT230" s="19" t="inlineStr"/>
    </row>
    <row r="231" ht="32" customHeight="1">
      <c r="A231" s="18" t="inlineStr">
        <is>
          <t>0062_poliwrath.json::poliwrath-10::010</t>
        </is>
      </c>
      <c r="B231" s="19" t="inlineStr">
        <is>
          <t>사용</t>
        </is>
      </c>
      <c r="C231" s="18">
        <f>IF(OR(B231&lt;&gt;AK231,M231&lt;&gt;L231,O231&lt;&gt;"",Q231&lt;&gt;"",V231&lt;&gt;1,Y231&lt;&gt;"",AT231&lt;&gt;""),"수정","원본")</f>
        <v/>
      </c>
      <c r="D231" s="18" t="n">
        <v>62</v>
      </c>
      <c r="E231" s="18" t="inlineStr">
        <is>
          <t>강챙이</t>
        </is>
      </c>
      <c r="F231" s="18" t="inlineStr">
        <is>
          <t>poliwrath</t>
        </is>
      </c>
      <c r="G231" s="18" t="inlineStr">
        <is>
          <t>poliwrath</t>
        </is>
      </c>
      <c r="H231" s="18" t="inlineStr"/>
      <c r="I231" s="18" t="n">
        <v>1</v>
      </c>
      <c r="J231" s="18" t="n"/>
      <c r="K231" s="18" t="n">
        <v>1</v>
      </c>
      <c r="L231" s="18" t="inlineStr">
        <is>
          <t>cobbleventure:generation_1</t>
        </is>
      </c>
      <c r="M231" s="19" t="inlineStr">
        <is>
          <t>cobbleventure:generation_1</t>
        </is>
      </c>
      <c r="N231" s="18" t="inlineStr">
        <is>
          <t>region_01</t>
        </is>
      </c>
      <c r="O231" s="19" t="inlineStr"/>
      <c r="P231" s="18" t="inlineStr">
        <is>
          <t>#cobblemon:is_freshwater; #cobblemon:is_hills; #cobblemon:is_jungle; #cobblemon:is_magical; #cobblemon:is_mushroom; #cobblemon:is_temperate</t>
        </is>
      </c>
      <c r="Q231" s="19" t="inlineStr"/>
      <c r="R231" s="18">
        <f>IF(Q231="",P231,Q231)</f>
        <v/>
      </c>
      <c r="S231" s="18" t="inlineStr">
        <is>
          <t>#cobblemon:is_freezing; #cobblemon:is_swamp</t>
        </is>
      </c>
      <c r="T231" s="18" t="inlineStr">
        <is>
          <t>common</t>
        </is>
      </c>
      <c r="U231" s="20" t="n">
        <v>0.015</v>
      </c>
      <c r="V231" s="21" t="n">
        <v>1</v>
      </c>
      <c r="W231" s="20">
        <f>IF(OR(U231="",V231=""),U231,U231*V231)</f>
        <v/>
      </c>
      <c r="X231" s="18" t="inlineStr">
        <is>
          <t>34-51</t>
        </is>
      </c>
      <c r="Y231" s="19" t="inlineStr"/>
      <c r="Z231" s="18">
        <f>IF(Y231="",X231,Y231)</f>
        <v/>
      </c>
      <c r="AA231" s="18" t="inlineStr">
        <is>
          <t>submerged</t>
        </is>
      </c>
      <c r="AB231" s="18" t="inlineStr"/>
      <c r="AC231" s="18" t="inlineStr"/>
      <c r="AD231" s="18" t="inlineStr"/>
      <c r="AE231" s="18" t="inlineStr">
        <is>
          <t>sky 8-15</t>
        </is>
      </c>
      <c r="AF231" s="18" t="inlineStr">
        <is>
          <t>False</t>
        </is>
      </c>
      <c r="AG231" s="18" t="inlineStr"/>
      <c r="AH231" s="18" t="inlineStr"/>
      <c r="AI231" s="18" t="inlineStr"/>
      <c r="AJ231" s="18" t="inlineStr">
        <is>
          <t>Cobblemon 동일</t>
        </is>
      </c>
      <c r="AK231" s="18" t="inlineStr">
        <is>
          <t>사용</t>
        </is>
      </c>
      <c r="AL231" s="18" t="inlineStr">
        <is>
          <t>COBBLEVERSE 1.7.42 / DP v31</t>
        </is>
      </c>
      <c r="AM231" s="18" t="inlineStr">
        <is>
          <t>data/cobblemon/spawn_pool_world/0062_poliwrath.json</t>
        </is>
      </c>
      <c r="AN231" s="18" t="inlineStr">
        <is>
          <t>poliwrath-10</t>
        </is>
      </c>
      <c r="AO231" s="18" t="inlineStr">
        <is>
          <t>pokemon</t>
        </is>
      </c>
      <c r="AP231" s="18" t="inlineStr">
        <is>
          <t>water</t>
        </is>
      </c>
      <c r="AQ231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231" s="18" t="inlineStr">
        <is>
          <t>{"biomes":["#cobblemon:is_freezing","#cobblemon:is_swamp"]}</t>
        </is>
      </c>
      <c r="AS231" s="18" t="inlineStr"/>
      <c r="AT231" s="19" t="inlineStr"/>
    </row>
    <row r="232" ht="32" customHeight="1">
      <c r="A232" s="18" t="inlineStr">
        <is>
          <t>0062_poliwrath.json::poliwrath-11::011</t>
        </is>
      </c>
      <c r="B232" s="19" t="inlineStr">
        <is>
          <t>사용</t>
        </is>
      </c>
      <c r="C232" s="18">
        <f>IF(OR(B232&lt;&gt;AK232,M232&lt;&gt;L232,O232&lt;&gt;"",Q232&lt;&gt;"",V232&lt;&gt;1,Y232&lt;&gt;"",AT232&lt;&gt;""),"수정","원본")</f>
        <v/>
      </c>
      <c r="D232" s="18" t="n">
        <v>62</v>
      </c>
      <c r="E232" s="18" t="inlineStr">
        <is>
          <t>강챙이</t>
        </is>
      </c>
      <c r="F232" s="18" t="inlineStr">
        <is>
          <t>poliwrath</t>
        </is>
      </c>
      <c r="G232" s="18" t="inlineStr">
        <is>
          <t>poliwrath</t>
        </is>
      </c>
      <c r="H232" s="18" t="inlineStr"/>
      <c r="I232" s="18" t="n">
        <v>1</v>
      </c>
      <c r="J232" s="18" t="n"/>
      <c r="K232" s="18" t="n">
        <v>1</v>
      </c>
      <c r="L232" s="18" t="inlineStr">
        <is>
          <t>cobbleventure:generation_1</t>
        </is>
      </c>
      <c r="M232" s="19" t="inlineStr">
        <is>
          <t>cobbleventure:generation_1</t>
        </is>
      </c>
      <c r="N232" s="18" t="inlineStr">
        <is>
          <t>region_01; region_02</t>
        </is>
      </c>
      <c r="O232" s="19" t="inlineStr"/>
      <c r="P232" s="18" t="inlineStr">
        <is>
          <t>#cobblemon:is_freshwater; #cobblemon:is_hills; #cobblemon:is_jungle; #cobblemon:is_magical; #cobblemon:is_mushroom; #cobblemon:is_temperate</t>
        </is>
      </c>
      <c r="Q232" s="19" t="inlineStr"/>
      <c r="R232" s="18">
        <f>IF(Q232="",P232,Q232)</f>
        <v/>
      </c>
      <c r="S232" s="18" t="inlineStr">
        <is>
          <t>#cobblemon:is_freezing</t>
        </is>
      </c>
      <c r="T232" s="18" t="inlineStr">
        <is>
          <t>common</t>
        </is>
      </c>
      <c r="U232" s="20" t="n">
        <v>0.025</v>
      </c>
      <c r="V232" s="21" t="n">
        <v>1</v>
      </c>
      <c r="W232" s="20">
        <f>IF(OR(U232="",V232=""),U232,U232*V232)</f>
        <v/>
      </c>
      <c r="X232" s="18" t="inlineStr">
        <is>
          <t>34-51</t>
        </is>
      </c>
      <c r="Y232" s="19" t="inlineStr"/>
      <c r="Z232" s="18">
        <f>IF(Y232="",X232,Y232)</f>
        <v/>
      </c>
      <c r="AA232" s="18" t="inlineStr">
        <is>
          <t>fishing</t>
        </is>
      </c>
      <c r="AB232" s="18" t="inlineStr"/>
      <c r="AC232" s="18" t="inlineStr"/>
      <c r="AD232" s="18" t="inlineStr"/>
      <c r="AE232" s="18" t="inlineStr">
        <is>
          <t>sky 8-15</t>
        </is>
      </c>
      <c r="AF232" s="18" t="inlineStr">
        <is>
          <t>False</t>
        </is>
      </c>
      <c r="AG232" s="18" t="inlineStr"/>
      <c r="AH232" s="18" t="inlineStr"/>
      <c r="AI232" s="18" t="inlineStr"/>
      <c r="AJ232" s="18" t="inlineStr">
        <is>
          <t>Cobblemon 동일</t>
        </is>
      </c>
      <c r="AK232" s="18" t="inlineStr">
        <is>
          <t>사용</t>
        </is>
      </c>
      <c r="AL232" s="18" t="inlineStr">
        <is>
          <t>COBBLEVERSE 1.7.42 / DP v31</t>
        </is>
      </c>
      <c r="AM232" s="18" t="inlineStr">
        <is>
          <t>data/cobblemon/spawn_pool_world/0062_poliwrath.json</t>
        </is>
      </c>
      <c r="AN232" s="18" t="inlineStr">
        <is>
          <t>poliwrath-11</t>
        </is>
      </c>
      <c r="AO232" s="18" t="inlineStr">
        <is>
          <t>pokemon</t>
        </is>
      </c>
      <c r="AP232" s="18" t="inlineStr"/>
      <c r="AQ232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232" s="18" t="inlineStr">
        <is>
          <t>{"biomes":["#cobblemon:is_freezing"]}</t>
        </is>
      </c>
      <c r="AS232" s="18" t="inlineStr"/>
      <c r="AT232" s="19" t="inlineStr"/>
    </row>
    <row r="233" ht="32" customHeight="1">
      <c r="A233" s="18" t="inlineStr">
        <is>
          <t>0062_poliwrath.json::poliwrath-12::012</t>
        </is>
      </c>
      <c r="B233" s="19" t="inlineStr">
        <is>
          <t>사용</t>
        </is>
      </c>
      <c r="C233" s="18">
        <f>IF(OR(B233&lt;&gt;AK233,M233&lt;&gt;L233,O233&lt;&gt;"",Q233&lt;&gt;"",V233&lt;&gt;1,Y233&lt;&gt;"",AT233&lt;&gt;""),"수정","원본")</f>
        <v/>
      </c>
      <c r="D233" s="18" t="n">
        <v>62</v>
      </c>
      <c r="E233" s="18" t="inlineStr">
        <is>
          <t>강챙이</t>
        </is>
      </c>
      <c r="F233" s="18" t="inlineStr">
        <is>
          <t>poliwrath</t>
        </is>
      </c>
      <c r="G233" s="18" t="inlineStr">
        <is>
          <t>poliwrath</t>
        </is>
      </c>
      <c r="H233" s="18" t="inlineStr"/>
      <c r="I233" s="18" t="n">
        <v>1</v>
      </c>
      <c r="J233" s="18" t="n"/>
      <c r="K233" s="18" t="n">
        <v>1</v>
      </c>
      <c r="L233" s="18" t="inlineStr">
        <is>
          <t>cobbleventure:generation_1</t>
        </is>
      </c>
      <c r="M233" s="19" t="inlineStr">
        <is>
          <t>cobbleventure:generation_1</t>
        </is>
      </c>
      <c r="N233" s="18" t="inlineStr">
        <is>
          <t>region_01; region_02</t>
        </is>
      </c>
      <c r="O233" s="19" t="inlineStr"/>
      <c r="P233" s="18" t="inlineStr">
        <is>
          <t>#cobblemon:is_overworld</t>
        </is>
      </c>
      <c r="Q233" s="19" t="inlineStr"/>
      <c r="R233" s="18">
        <f>IF(Q233="",P233,Q233)</f>
        <v/>
      </c>
      <c r="S233" s="18" t="inlineStr">
        <is>
          <t>#cobblemon:is_lush</t>
        </is>
      </c>
      <c r="T233" s="18" t="inlineStr">
        <is>
          <t>common</t>
        </is>
      </c>
      <c r="U233" s="20" t="n">
        <v>0.005</v>
      </c>
      <c r="V233" s="21" t="n">
        <v>1</v>
      </c>
      <c r="W233" s="20">
        <f>IF(OR(U233="",V233=""),U233,U233*V233)</f>
        <v/>
      </c>
      <c r="X233" s="18" t="inlineStr">
        <is>
          <t>34-51</t>
        </is>
      </c>
      <c r="Y233" s="19" t="inlineStr"/>
      <c r="Z233" s="18">
        <f>IF(Y233="",X233,Y233)</f>
        <v/>
      </c>
      <c r="AA233" s="18" t="inlineStr">
        <is>
          <t>grounded</t>
        </is>
      </c>
      <c r="AB233" s="18" t="inlineStr"/>
      <c r="AC233" s="18" t="inlineStr"/>
      <c r="AD233" s="18" t="inlineStr">
        <is>
          <t>minY=-41, maxY=9</t>
        </is>
      </c>
      <c r="AE233" s="18" t="inlineStr">
        <is>
          <t>sky 0-7</t>
        </is>
      </c>
      <c r="AF233" s="18" t="inlineStr"/>
      <c r="AG233" s="18" t="inlineStr">
        <is>
          <t>cobblemon:shipwreck_coves/lush_shipwreck_cove</t>
        </is>
      </c>
      <c r="AH233" s="18" t="inlineStr"/>
      <c r="AI233" s="18" t="inlineStr"/>
      <c r="AJ233" s="18" t="inlineStr">
        <is>
          <t>Cobblemon 동일</t>
        </is>
      </c>
      <c r="AK233" s="18" t="inlineStr">
        <is>
          <t>사용</t>
        </is>
      </c>
      <c r="AL233" s="18" t="inlineStr">
        <is>
          <t>COBBLEVERSE 1.7.42 / DP v31</t>
        </is>
      </c>
      <c r="AM233" s="18" t="inlineStr">
        <is>
          <t>data/cobblemon/spawn_pool_world/0062_poliwrath.json</t>
        </is>
      </c>
      <c r="AN233" s="18" t="inlineStr">
        <is>
          <t>poliwrath-12</t>
        </is>
      </c>
      <c r="AO233" s="18" t="inlineStr">
        <is>
          <t>pokemon</t>
        </is>
      </c>
      <c r="AP233" s="18" t="inlineStr">
        <is>
          <t>natural</t>
        </is>
      </c>
      <c r="AQ233" s="18" t="inlineStr">
        <is>
          <t>{"biomes":["#cobblemon:is_overworld"],"maxSkyLight":7,"maxY":9,"minSkyLight":0,"minY":-41,"structures":["cobblemon:shipwreck_coves/lush_shipwreck_cove"]}</t>
        </is>
      </c>
      <c r="AR233" s="18" t="inlineStr">
        <is>
          <t>{"biomes":["#cobblemon:is_lush"]}</t>
        </is>
      </c>
      <c r="AS233" s="18" t="inlineStr"/>
      <c r="AT233" s="19" t="inlineStr"/>
    </row>
    <row r="234" ht="32" customHeight="1">
      <c r="A234" s="18" t="inlineStr">
        <is>
          <t>0062_poliwrath.json::poliwrath-13::013</t>
        </is>
      </c>
      <c r="B234" s="19" t="inlineStr">
        <is>
          <t>사용</t>
        </is>
      </c>
      <c r="C234" s="18">
        <f>IF(OR(B234&lt;&gt;AK234,M234&lt;&gt;L234,O234&lt;&gt;"",Q234&lt;&gt;"",V234&lt;&gt;1,Y234&lt;&gt;"",AT234&lt;&gt;""),"수정","원본")</f>
        <v/>
      </c>
      <c r="D234" s="18" t="n">
        <v>62</v>
      </c>
      <c r="E234" s="18" t="inlineStr">
        <is>
          <t>강챙이</t>
        </is>
      </c>
      <c r="F234" s="18" t="inlineStr">
        <is>
          <t>poliwrath</t>
        </is>
      </c>
      <c r="G234" s="18" t="inlineStr">
        <is>
          <t>poliwrath</t>
        </is>
      </c>
      <c r="H234" s="18" t="inlineStr"/>
      <c r="I234" s="18" t="n">
        <v>1</v>
      </c>
      <c r="J234" s="18" t="n"/>
      <c r="K234" s="18" t="n">
        <v>1</v>
      </c>
      <c r="L234" s="18" t="inlineStr">
        <is>
          <t>cobbleventure:generation_1</t>
        </is>
      </c>
      <c r="M234" s="19" t="inlineStr">
        <is>
          <t>cobbleventure:generation_1</t>
        </is>
      </c>
      <c r="N234" s="18" t="inlineStr">
        <is>
          <t>region_01; region_02</t>
        </is>
      </c>
      <c r="O234" s="19" t="inlineStr"/>
      <c r="P234" s="18" t="inlineStr">
        <is>
          <t>#cobblemon:is_overworld</t>
        </is>
      </c>
      <c r="Q234" s="19" t="inlineStr"/>
      <c r="R234" s="18">
        <f>IF(Q234="",P234,Q234)</f>
        <v/>
      </c>
      <c r="S234" s="18" t="inlineStr">
        <is>
          <t>#cobblemon:is_lush</t>
        </is>
      </c>
      <c r="T234" s="18" t="inlineStr">
        <is>
          <t>common</t>
        </is>
      </c>
      <c r="U234" s="20" t="n">
        <v>0.015</v>
      </c>
      <c r="V234" s="21" t="n">
        <v>1</v>
      </c>
      <c r="W234" s="20">
        <f>IF(OR(U234="",V234=""),U234,U234*V234)</f>
        <v/>
      </c>
      <c r="X234" s="18" t="inlineStr">
        <is>
          <t>34-51</t>
        </is>
      </c>
      <c r="Y234" s="19" t="inlineStr"/>
      <c r="Z234" s="18">
        <f>IF(Y234="",X234,Y234)</f>
        <v/>
      </c>
      <c r="AA234" s="18" t="inlineStr">
        <is>
          <t>submerged</t>
        </is>
      </c>
      <c r="AB234" s="18" t="inlineStr"/>
      <c r="AC234" s="18" t="inlineStr"/>
      <c r="AD234" s="18" t="inlineStr">
        <is>
          <t>minY=-41, maxY=9</t>
        </is>
      </c>
      <c r="AE234" s="18" t="inlineStr">
        <is>
          <t>sky 0-7</t>
        </is>
      </c>
      <c r="AF234" s="18" t="inlineStr"/>
      <c r="AG234" s="18" t="inlineStr">
        <is>
          <t>cobblemon:shipwreck_coves/lush_shipwreck_cove</t>
        </is>
      </c>
      <c r="AH234" s="18" t="inlineStr"/>
      <c r="AI234" s="18" t="inlineStr"/>
      <c r="AJ234" s="18" t="inlineStr">
        <is>
          <t>Cobblemon 동일</t>
        </is>
      </c>
      <c r="AK234" s="18" t="inlineStr">
        <is>
          <t>사용</t>
        </is>
      </c>
      <c r="AL234" s="18" t="inlineStr">
        <is>
          <t>COBBLEVERSE 1.7.42 / DP v31</t>
        </is>
      </c>
      <c r="AM234" s="18" t="inlineStr">
        <is>
          <t>data/cobblemon/spawn_pool_world/0062_poliwrath.json</t>
        </is>
      </c>
      <c r="AN234" s="18" t="inlineStr">
        <is>
          <t>poliwrath-13</t>
        </is>
      </c>
      <c r="AO234" s="18" t="inlineStr">
        <is>
          <t>pokemon</t>
        </is>
      </c>
      <c r="AP234" s="18" t="inlineStr">
        <is>
          <t>water</t>
        </is>
      </c>
      <c r="AQ234" s="18" t="inlineStr">
        <is>
          <t>{"biomes":["#cobblemon:is_overworld"],"maxSkyLight":7,"maxY":9,"minSkyLight":0,"minY":-41,"structures":["cobblemon:shipwreck_coves/lush_shipwreck_cove"]}</t>
        </is>
      </c>
      <c r="AR234" s="18" t="inlineStr">
        <is>
          <t>{"biomes":["#cobblemon:is_lush"]}</t>
        </is>
      </c>
      <c r="AS234" s="18" t="inlineStr"/>
      <c r="AT234" s="19" t="inlineStr"/>
    </row>
    <row r="235" ht="32" customHeight="1">
      <c r="A235" s="18" t="inlineStr">
        <is>
          <t>0062_poliwrath.json::poliwrath-14::014</t>
        </is>
      </c>
      <c r="B235" s="19" t="inlineStr">
        <is>
          <t>사용</t>
        </is>
      </c>
      <c r="C235" s="18">
        <f>IF(OR(B235&lt;&gt;AK235,M235&lt;&gt;L235,O235&lt;&gt;"",Q235&lt;&gt;"",V235&lt;&gt;1,Y235&lt;&gt;"",AT235&lt;&gt;""),"수정","원본")</f>
        <v/>
      </c>
      <c r="D235" s="18" t="n">
        <v>62</v>
      </c>
      <c r="E235" s="18" t="inlineStr">
        <is>
          <t>강챙이</t>
        </is>
      </c>
      <c r="F235" s="18" t="inlineStr">
        <is>
          <t>poliwrath</t>
        </is>
      </c>
      <c r="G235" s="18" t="inlineStr">
        <is>
          <t>poliwrath</t>
        </is>
      </c>
      <c r="H235" s="18" t="inlineStr"/>
      <c r="I235" s="18" t="n">
        <v>1</v>
      </c>
      <c r="J235" s="18" t="n"/>
      <c r="K235" s="18" t="n">
        <v>1</v>
      </c>
      <c r="L235" s="18" t="inlineStr">
        <is>
          <t>cobbleventure:generation_1</t>
        </is>
      </c>
      <c r="M235" s="19" t="inlineStr">
        <is>
          <t>cobbleventure:generation_1</t>
        </is>
      </c>
      <c r="N235" s="18" t="inlineStr">
        <is>
          <t>region_01; region_02</t>
        </is>
      </c>
      <c r="O235" s="19" t="inlineStr"/>
      <c r="P235" s="18" t="inlineStr">
        <is>
          <t>#cobblemon:is_overworld</t>
        </is>
      </c>
      <c r="Q235" s="19" t="inlineStr"/>
      <c r="R235" s="18">
        <f>IF(Q235="",P235,Q235)</f>
        <v/>
      </c>
      <c r="S235" s="18" t="inlineStr">
        <is>
          <t>#cobblemon:is_lush</t>
        </is>
      </c>
      <c r="T235" s="18" t="inlineStr">
        <is>
          <t>common</t>
        </is>
      </c>
      <c r="U235" s="20" t="n">
        <v>0.025</v>
      </c>
      <c r="V235" s="21" t="n">
        <v>1</v>
      </c>
      <c r="W235" s="20">
        <f>IF(OR(U235="",V235=""),U235,U235*V235)</f>
        <v/>
      </c>
      <c r="X235" s="18" t="inlineStr">
        <is>
          <t>34-51</t>
        </is>
      </c>
      <c r="Y235" s="19" t="inlineStr"/>
      <c r="Z235" s="18">
        <f>IF(Y235="",X235,Y235)</f>
        <v/>
      </c>
      <c r="AA235" s="18" t="inlineStr">
        <is>
          <t>fishing</t>
        </is>
      </c>
      <c r="AB235" s="18" t="inlineStr"/>
      <c r="AC235" s="18" t="inlineStr"/>
      <c r="AD235" s="18" t="inlineStr">
        <is>
          <t>minY=-41, maxY=9</t>
        </is>
      </c>
      <c r="AE235" s="18" t="inlineStr">
        <is>
          <t>sky 0-7</t>
        </is>
      </c>
      <c r="AF235" s="18" t="inlineStr"/>
      <c r="AG235" s="18" t="inlineStr">
        <is>
          <t>cobblemon:shipwreck_coves/lush_shipwreck_cove</t>
        </is>
      </c>
      <c r="AH235" s="18" t="inlineStr"/>
      <c r="AI235" s="18" t="inlineStr"/>
      <c r="AJ235" s="18" t="inlineStr">
        <is>
          <t>Cobblemon 동일</t>
        </is>
      </c>
      <c r="AK235" s="18" t="inlineStr">
        <is>
          <t>사용</t>
        </is>
      </c>
      <c r="AL235" s="18" t="inlineStr">
        <is>
          <t>COBBLEVERSE 1.7.42 / DP v31</t>
        </is>
      </c>
      <c r="AM235" s="18" t="inlineStr">
        <is>
          <t>data/cobblemon/spawn_pool_world/0062_poliwrath.json</t>
        </is>
      </c>
      <c r="AN235" s="18" t="inlineStr">
        <is>
          <t>poliwrath-14</t>
        </is>
      </c>
      <c r="AO235" s="18" t="inlineStr">
        <is>
          <t>pokemon</t>
        </is>
      </c>
      <c r="AP235" s="18" t="inlineStr"/>
      <c r="AQ235" s="18" t="inlineStr">
        <is>
          <t>{"biomes":["#cobblemon:is_overworld"],"maxSkyLight":7,"maxY":9,"minSkyLight":0,"minY":-41,"structures":["cobblemon:shipwreck_coves/lush_shipwreck_cove"]}</t>
        </is>
      </c>
      <c r="AR235" s="18" t="inlineStr">
        <is>
          <t>{"biomes":["#cobblemon:is_lush"]}</t>
        </is>
      </c>
      <c r="AS235" s="18" t="inlineStr">
        <is>
          <t>{"weightMultiplier":{"condition":{"maxLureLevel":1,"minLureLevel":0},"multiplier":0.6}}</t>
        </is>
      </c>
      <c r="AT235" s="19" t="inlineStr"/>
    </row>
    <row r="236" ht="32" customHeight="1">
      <c r="A236" s="18" t="inlineStr">
        <is>
          <t>0063_abra.json::abra-1::001</t>
        </is>
      </c>
      <c r="B236" s="19" t="inlineStr">
        <is>
          <t>사용</t>
        </is>
      </c>
      <c r="C236" s="18">
        <f>IF(OR(B236&lt;&gt;AK236,M236&lt;&gt;L236,O236&lt;&gt;"",Q236&lt;&gt;"",V236&lt;&gt;1,Y236&lt;&gt;"",AT236&lt;&gt;""),"수정","원본")</f>
        <v/>
      </c>
      <c r="D236" s="18" t="n">
        <v>63</v>
      </c>
      <c r="E236" s="18" t="inlineStr">
        <is>
          <t>캐이시</t>
        </is>
      </c>
      <c r="F236" s="18" t="inlineStr">
        <is>
          <t>abra</t>
        </is>
      </c>
      <c r="G236" s="18" t="inlineStr">
        <is>
          <t>abra</t>
        </is>
      </c>
      <c r="H236" s="18" t="inlineStr"/>
      <c r="I236" s="18" t="n">
        <v>1</v>
      </c>
      <c r="J236" s="18" t="n"/>
      <c r="K236" s="18" t="n">
        <v>1</v>
      </c>
      <c r="L236" s="18" t="inlineStr">
        <is>
          <t>cobbleventure:generation_1</t>
        </is>
      </c>
      <c r="M236" s="19" t="inlineStr">
        <is>
          <t>cobbleventure:generation_1</t>
        </is>
      </c>
      <c r="N236" s="18" t="inlineStr">
        <is>
          <t>region_01</t>
        </is>
      </c>
      <c r="O236" s="19" t="inlineStr"/>
      <c r="P236" s="18" t="inlineStr">
        <is>
          <t>#cobblemon:is_hills; #cobblemon:is_temperate</t>
        </is>
      </c>
      <c r="Q236" s="19" t="inlineStr"/>
      <c r="R236" s="18">
        <f>IF(Q236="",P236,Q236)</f>
        <v/>
      </c>
      <c r="S236" s="18" t="inlineStr">
        <is>
          <t>#cobblemon:is_magical</t>
        </is>
      </c>
      <c r="T236" s="18" t="inlineStr">
        <is>
          <t>rare</t>
        </is>
      </c>
      <c r="U236" s="20" t="n">
        <v>7.5</v>
      </c>
      <c r="V236" s="21" t="n">
        <v>1</v>
      </c>
      <c r="W236" s="20">
        <f>IF(OR(U236="",V236=""),U236,U236*V236)</f>
        <v/>
      </c>
      <c r="X236" s="18" t="inlineStr">
        <is>
          <t>6-31</t>
        </is>
      </c>
      <c r="Y236" s="19" t="inlineStr"/>
      <c r="Z236" s="18">
        <f>IF(Y236="",X236,Y236)</f>
        <v/>
      </c>
      <c r="AA236" s="18" t="inlineStr">
        <is>
          <t>grounded</t>
        </is>
      </c>
      <c r="AB236" s="18" t="inlineStr">
        <is>
          <t>night</t>
        </is>
      </c>
      <c r="AC236" s="18" t="inlineStr"/>
      <c r="AD236" s="18" t="inlineStr"/>
      <c r="AE236" s="18" t="inlineStr">
        <is>
          <t>sky 8-15</t>
        </is>
      </c>
      <c r="AF236" s="18" t="inlineStr"/>
      <c r="AG236" s="18" t="inlineStr"/>
      <c r="AH236" s="18" t="inlineStr"/>
      <c r="AI236" s="18" t="inlineStr"/>
      <c r="AJ236" s="18" t="inlineStr">
        <is>
          <t>Cobblemon 동일</t>
        </is>
      </c>
      <c r="AK236" s="18" t="inlineStr">
        <is>
          <t>사용</t>
        </is>
      </c>
      <c r="AL236" s="18" t="inlineStr">
        <is>
          <t>COBBLEVERSE 1.7.42 / DP v31</t>
        </is>
      </c>
      <c r="AM236" s="18" t="inlineStr">
        <is>
          <t>data/cobblemon/spawn_pool_world/0063_abra.json</t>
        </is>
      </c>
      <c r="AN236" s="18" t="inlineStr">
        <is>
          <t>abra-1</t>
        </is>
      </c>
      <c r="AO236" s="18" t="inlineStr">
        <is>
          <t>pokemon</t>
        </is>
      </c>
      <c r="AP236" s="18" t="inlineStr">
        <is>
          <t>natural</t>
        </is>
      </c>
      <c r="AQ236" s="18" t="inlineStr">
        <is>
          <t>{"biomes":["#cobblemon:is_hills","#cobblemon:is_temperate"],"maxSkyLight":15,"minSkyLight":8,"timeRange":"night"}</t>
        </is>
      </c>
      <c r="AR236" s="18" t="inlineStr">
        <is>
          <t>{"biomes":["#cobblemon:is_magical"]}</t>
        </is>
      </c>
      <c r="AS236" s="18" t="inlineStr"/>
      <c r="AT236" s="19" t="inlineStr"/>
    </row>
    <row r="237" ht="32" customHeight="1">
      <c r="A237" s="18" t="inlineStr">
        <is>
          <t>0063_abra.json::abra-2::002</t>
        </is>
      </c>
      <c r="B237" s="19" t="inlineStr">
        <is>
          <t>사용</t>
        </is>
      </c>
      <c r="C237" s="18">
        <f>IF(OR(B237&lt;&gt;AK237,M237&lt;&gt;L237,O237&lt;&gt;"",Q237&lt;&gt;"",V237&lt;&gt;1,Y237&lt;&gt;"",AT237&lt;&gt;""),"수정","원본")</f>
        <v/>
      </c>
      <c r="D237" s="18" t="n">
        <v>63</v>
      </c>
      <c r="E237" s="18" t="inlineStr">
        <is>
          <t>캐이시</t>
        </is>
      </c>
      <c r="F237" s="18" t="inlineStr">
        <is>
          <t>abra</t>
        </is>
      </c>
      <c r="G237" s="18" t="inlineStr">
        <is>
          <t>abra</t>
        </is>
      </c>
      <c r="H237" s="18" t="inlineStr"/>
      <c r="I237" s="18" t="n">
        <v>1</v>
      </c>
      <c r="J237" s="18" t="n"/>
      <c r="K237" s="18" t="n">
        <v>1</v>
      </c>
      <c r="L237" s="18" t="inlineStr">
        <is>
          <t>cobbleventure:generation_1</t>
        </is>
      </c>
      <c r="M237" s="19" t="inlineStr">
        <is>
          <t>cobbleventure:generation_1</t>
        </is>
      </c>
      <c r="N237" s="18" t="inlineStr"/>
      <c r="O237" s="19" t="inlineStr"/>
      <c r="P237" s="18" t="inlineStr">
        <is>
          <t>#cobblemon:is_magical</t>
        </is>
      </c>
      <c r="Q237" s="19" t="inlineStr"/>
      <c r="R237" s="18">
        <f>IF(Q237="",P237,Q237)</f>
        <v/>
      </c>
      <c r="S237" s="18" t="inlineStr"/>
      <c r="T237" s="18" t="inlineStr">
        <is>
          <t>uncommon</t>
        </is>
      </c>
      <c r="U237" s="20" t="n">
        <v>8.4</v>
      </c>
      <c r="V237" s="21" t="n">
        <v>1</v>
      </c>
      <c r="W237" s="20">
        <f>IF(OR(U237="",V237=""),U237,U237*V237)</f>
        <v/>
      </c>
      <c r="X237" s="18" t="inlineStr">
        <is>
          <t>6-31</t>
        </is>
      </c>
      <c r="Y237" s="19" t="inlineStr"/>
      <c r="Z237" s="18">
        <f>IF(Y237="",X237,Y237)</f>
        <v/>
      </c>
      <c r="AA237" s="18" t="inlineStr">
        <is>
          <t>grounded</t>
        </is>
      </c>
      <c r="AB237" s="18" t="inlineStr">
        <is>
          <t>night</t>
        </is>
      </c>
      <c r="AC237" s="18" t="inlineStr"/>
      <c r="AD237" s="18" t="inlineStr"/>
      <c r="AE237" s="18" t="inlineStr">
        <is>
          <t>sky 8-15</t>
        </is>
      </c>
      <c r="AF237" s="18" t="inlineStr"/>
      <c r="AG237" s="18" t="inlineStr"/>
      <c r="AH237" s="18" t="inlineStr"/>
      <c r="AI237" s="18" t="inlineStr"/>
      <c r="AJ237" s="18" t="inlineStr">
        <is>
          <t>Cobblemon 동일</t>
        </is>
      </c>
      <c r="AK237" s="18" t="inlineStr">
        <is>
          <t>사용</t>
        </is>
      </c>
      <c r="AL237" s="18" t="inlineStr">
        <is>
          <t>COBBLEVERSE 1.7.42 / DP v31</t>
        </is>
      </c>
      <c r="AM237" s="18" t="inlineStr">
        <is>
          <t>data/cobblemon/spawn_pool_world/0063_abra.json</t>
        </is>
      </c>
      <c r="AN237" s="18" t="inlineStr">
        <is>
          <t>abra-2</t>
        </is>
      </c>
      <c r="AO237" s="18" t="inlineStr">
        <is>
          <t>pokemon</t>
        </is>
      </c>
      <c r="AP237" s="18" t="inlineStr">
        <is>
          <t>natural</t>
        </is>
      </c>
      <c r="AQ237" s="18" t="inlineStr">
        <is>
          <t>{"biomes":["#cobblemon:is_magical"],"maxSkyLight":15,"minSkyLight":8,"timeRange":"night"}</t>
        </is>
      </c>
      <c r="AR237" s="18" t="inlineStr"/>
      <c r="AS237" s="18" t="inlineStr"/>
      <c r="AT237" s="19" t="inlineStr"/>
    </row>
    <row r="238" ht="32" customHeight="1">
      <c r="A238" s="18" t="inlineStr">
        <is>
          <t>0063_abra.json::abra-3::003</t>
        </is>
      </c>
      <c r="B238" s="19" t="inlineStr">
        <is>
          <t>사용</t>
        </is>
      </c>
      <c r="C238" s="18">
        <f>IF(OR(B238&lt;&gt;AK238,M238&lt;&gt;L238,O238&lt;&gt;"",Q238&lt;&gt;"",V238&lt;&gt;1,Y238&lt;&gt;"",AT238&lt;&gt;""),"수정","원본")</f>
        <v/>
      </c>
      <c r="D238" s="18" t="n">
        <v>63</v>
      </c>
      <c r="E238" s="18" t="inlineStr">
        <is>
          <t>캐이시</t>
        </is>
      </c>
      <c r="F238" s="18" t="inlineStr">
        <is>
          <t>abra</t>
        </is>
      </c>
      <c r="G238" s="18" t="inlineStr">
        <is>
          <t>abra</t>
        </is>
      </c>
      <c r="H238" s="18" t="inlineStr"/>
      <c r="I238" s="18" t="n">
        <v>1</v>
      </c>
      <c r="J238" s="18" t="n"/>
      <c r="K238" s="18" t="n">
        <v>1</v>
      </c>
      <c r="L238" s="18" t="inlineStr">
        <is>
          <t>cobbleventure:generation_1</t>
        </is>
      </c>
      <c r="M238" s="19" t="inlineStr">
        <is>
          <t>cobbleventure:generation_1</t>
        </is>
      </c>
      <c r="N238" s="18" t="inlineStr">
        <is>
          <t>region_01; region_02</t>
        </is>
      </c>
      <c r="O238" s="19" t="inlineStr"/>
      <c r="P238" s="18" t="inlineStr">
        <is>
          <t>#cobblemon:is_overworld</t>
        </is>
      </c>
      <c r="Q238" s="19" t="inlineStr"/>
      <c r="R238" s="18">
        <f>IF(Q238="",P238,Q238)</f>
        <v/>
      </c>
      <c r="S238" s="18" t="inlineStr"/>
      <c r="T238" s="18" t="inlineStr">
        <is>
          <t>common</t>
        </is>
      </c>
      <c r="U238" s="20" t="n">
        <v>1.8</v>
      </c>
      <c r="V238" s="21" t="n">
        <v>1</v>
      </c>
      <c r="W238" s="20">
        <f>IF(OR(U238="",V238=""),U238,U238*V238)</f>
        <v/>
      </c>
      <c r="X238" s="18" t="inlineStr">
        <is>
          <t>6-31</t>
        </is>
      </c>
      <c r="Y238" s="19" t="inlineStr"/>
      <c r="Z238" s="18">
        <f>IF(Y238="",X238,Y238)</f>
        <v/>
      </c>
      <c r="AA238" s="18" t="inlineStr">
        <is>
          <t>grounded</t>
        </is>
      </c>
      <c r="AB238" s="18" t="inlineStr"/>
      <c r="AC238" s="18" t="inlineStr"/>
      <c r="AD238" s="18" t="inlineStr"/>
      <c r="AE238" s="18" t="inlineStr"/>
      <c r="AF238" s="18" t="inlineStr">
        <is>
          <t>False</t>
        </is>
      </c>
      <c r="AG238" s="18" t="inlineStr"/>
      <c r="AH238" s="18" t="inlineStr"/>
      <c r="AI238" s="18" t="inlineStr"/>
      <c r="AJ238" s="18" t="inlineStr">
        <is>
          <t>Cobblemon 동일</t>
        </is>
      </c>
      <c r="AK238" s="18" t="inlineStr">
        <is>
          <t>사용</t>
        </is>
      </c>
      <c r="AL238" s="18" t="inlineStr">
        <is>
          <t>COBBLEVERSE 1.7.42 / DP v31</t>
        </is>
      </c>
      <c r="AM238" s="18" t="inlineStr">
        <is>
          <t>data/cobblemon/spawn_pool_world/0063_abra.json</t>
        </is>
      </c>
      <c r="AN238" s="18" t="inlineStr">
        <is>
          <t>abra-3</t>
        </is>
      </c>
      <c r="AO238" s="18" t="inlineStr">
        <is>
          <t>pokemon</t>
        </is>
      </c>
      <c r="AP238" s="18" t="inlineStr">
        <is>
          <t>mansion</t>
        </is>
      </c>
      <c r="AQ238" s="18" t="inlineStr">
        <is>
          <t>{"biomes":["#cobblemon:is_overworld"],"canSeeSky":false}</t>
        </is>
      </c>
      <c r="AR238" s="18" t="inlineStr"/>
      <c r="AS238" s="18" t="inlineStr"/>
      <c r="AT238" s="19" t="inlineStr"/>
    </row>
    <row r="239" ht="32" customHeight="1">
      <c r="A239" s="18" t="inlineStr">
        <is>
          <t>0064_kadabra.json::kadabra-1::001</t>
        </is>
      </c>
      <c r="B239" s="19" t="inlineStr">
        <is>
          <t>사용</t>
        </is>
      </c>
      <c r="C239" s="18">
        <f>IF(OR(B239&lt;&gt;AK239,M239&lt;&gt;L239,O239&lt;&gt;"",Q239&lt;&gt;"",V239&lt;&gt;1,Y239&lt;&gt;"",AT239&lt;&gt;""),"수정","원본")</f>
        <v/>
      </c>
      <c r="D239" s="18" t="n">
        <v>64</v>
      </c>
      <c r="E239" s="18" t="inlineStr">
        <is>
          <t>윤겔라</t>
        </is>
      </c>
      <c r="F239" s="18" t="inlineStr">
        <is>
          <t>kadabra</t>
        </is>
      </c>
      <c r="G239" s="18" t="inlineStr">
        <is>
          <t>kadabra</t>
        </is>
      </c>
      <c r="H239" s="18" t="inlineStr"/>
      <c r="I239" s="18" t="n">
        <v>1</v>
      </c>
      <c r="J239" s="18" t="n"/>
      <c r="K239" s="18" t="n">
        <v>1</v>
      </c>
      <c r="L239" s="18" t="inlineStr">
        <is>
          <t>cobbleventure:generation_1</t>
        </is>
      </c>
      <c r="M239" s="19" t="inlineStr">
        <is>
          <t>cobbleventure:generation_1</t>
        </is>
      </c>
      <c r="N239" s="18" t="inlineStr">
        <is>
          <t>region_01</t>
        </is>
      </c>
      <c r="O239" s="19" t="inlineStr"/>
      <c r="P239" s="18" t="inlineStr">
        <is>
          <t>#cobblemon:is_hills; #cobblemon:is_temperate</t>
        </is>
      </c>
      <c r="Q239" s="19" t="inlineStr"/>
      <c r="R239" s="18">
        <f>IF(Q239="",P239,Q239)</f>
        <v/>
      </c>
      <c r="S239" s="18" t="inlineStr">
        <is>
          <t>#cobblemon:is_magical</t>
        </is>
      </c>
      <c r="T239" s="18" t="inlineStr">
        <is>
          <t>rare</t>
        </is>
      </c>
      <c r="U239" s="20" t="n">
        <v>2.375</v>
      </c>
      <c r="V239" s="21" t="n">
        <v>1</v>
      </c>
      <c r="W239" s="20">
        <f>IF(OR(U239="",V239=""),U239,U239*V239)</f>
        <v/>
      </c>
      <c r="X239" s="18" t="inlineStr">
        <is>
          <t>16-40</t>
        </is>
      </c>
      <c r="Y239" s="19" t="inlineStr"/>
      <c r="Z239" s="18">
        <f>IF(Y239="",X239,Y239)</f>
        <v/>
      </c>
      <c r="AA239" s="18" t="inlineStr">
        <is>
          <t>grounded</t>
        </is>
      </c>
      <c r="AB239" s="18" t="inlineStr">
        <is>
          <t>night</t>
        </is>
      </c>
      <c r="AC239" s="18" t="inlineStr"/>
      <c r="AD239" s="18" t="inlineStr"/>
      <c r="AE239" s="18" t="inlineStr">
        <is>
          <t>sky 8-15</t>
        </is>
      </c>
      <c r="AF239" s="18" t="inlineStr"/>
      <c r="AG239" s="18" t="inlineStr"/>
      <c r="AH239" s="18" t="inlineStr"/>
      <c r="AI239" s="18" t="inlineStr"/>
      <c r="AJ239" s="18" t="inlineStr">
        <is>
          <t>Cobblemon 동일</t>
        </is>
      </c>
      <c r="AK239" s="18" t="inlineStr">
        <is>
          <t>사용</t>
        </is>
      </c>
      <c r="AL239" s="18" t="inlineStr">
        <is>
          <t>COBBLEVERSE 1.7.42 / DP v31</t>
        </is>
      </c>
      <c r="AM239" s="18" t="inlineStr">
        <is>
          <t>data/cobblemon/spawn_pool_world/0064_kadabra.json</t>
        </is>
      </c>
      <c r="AN239" s="18" t="inlineStr">
        <is>
          <t>kadabra-1</t>
        </is>
      </c>
      <c r="AO239" s="18" t="inlineStr">
        <is>
          <t>pokemon</t>
        </is>
      </c>
      <c r="AP239" s="18" t="inlineStr">
        <is>
          <t>natural</t>
        </is>
      </c>
      <c r="AQ239" s="18" t="inlineStr">
        <is>
          <t>{"biomes":["#cobblemon:is_hills","#cobblemon:is_temperate"],"maxSkyLight":15,"minSkyLight":8,"timeRange":"night"}</t>
        </is>
      </c>
      <c r="AR239" s="18" t="inlineStr">
        <is>
          <t>{"biomes":["#cobblemon:is_magical"]}</t>
        </is>
      </c>
      <c r="AS239" s="18" t="inlineStr"/>
      <c r="AT239" s="19" t="inlineStr"/>
    </row>
    <row r="240" ht="32" customHeight="1">
      <c r="A240" s="18" t="inlineStr">
        <is>
          <t>0064_kadabra.json::kadabra-2::002</t>
        </is>
      </c>
      <c r="B240" s="19" t="inlineStr">
        <is>
          <t>사용</t>
        </is>
      </c>
      <c r="C240" s="18">
        <f>IF(OR(B240&lt;&gt;AK240,M240&lt;&gt;L240,O240&lt;&gt;"",Q240&lt;&gt;"",V240&lt;&gt;1,Y240&lt;&gt;"",AT240&lt;&gt;""),"수정","원본")</f>
        <v/>
      </c>
      <c r="D240" s="18" t="n">
        <v>64</v>
      </c>
      <c r="E240" s="18" t="inlineStr">
        <is>
          <t>윤겔라</t>
        </is>
      </c>
      <c r="F240" s="18" t="inlineStr">
        <is>
          <t>kadabra</t>
        </is>
      </c>
      <c r="G240" s="18" t="inlineStr">
        <is>
          <t>kadabra</t>
        </is>
      </c>
      <c r="H240" s="18" t="inlineStr"/>
      <c r="I240" s="18" t="n">
        <v>1</v>
      </c>
      <c r="J240" s="18" t="n"/>
      <c r="K240" s="18" t="n">
        <v>1</v>
      </c>
      <c r="L240" s="18" t="inlineStr">
        <is>
          <t>cobbleventure:generation_1</t>
        </is>
      </c>
      <c r="M240" s="19" t="inlineStr">
        <is>
          <t>cobbleventure:generation_1</t>
        </is>
      </c>
      <c r="N240" s="18" t="inlineStr"/>
      <c r="O240" s="19" t="inlineStr"/>
      <c r="P240" s="18" t="inlineStr">
        <is>
          <t>#cobblemon:is_magical</t>
        </is>
      </c>
      <c r="Q240" s="19" t="inlineStr"/>
      <c r="R240" s="18">
        <f>IF(Q240="",P240,Q240)</f>
        <v/>
      </c>
      <c r="S240" s="18" t="inlineStr"/>
      <c r="T240" s="18" t="inlineStr">
        <is>
          <t>uncommon</t>
        </is>
      </c>
      <c r="U240" s="20" t="n">
        <v>1.52</v>
      </c>
      <c r="V240" s="21" t="n">
        <v>1</v>
      </c>
      <c r="W240" s="20">
        <f>IF(OR(U240="",V240=""),U240,U240*V240)</f>
        <v/>
      </c>
      <c r="X240" s="18" t="inlineStr">
        <is>
          <t>16-40</t>
        </is>
      </c>
      <c r="Y240" s="19" t="inlineStr"/>
      <c r="Z240" s="18">
        <f>IF(Y240="",X240,Y240)</f>
        <v/>
      </c>
      <c r="AA240" s="18" t="inlineStr">
        <is>
          <t>grounded</t>
        </is>
      </c>
      <c r="AB240" s="18" t="inlineStr">
        <is>
          <t>night</t>
        </is>
      </c>
      <c r="AC240" s="18" t="inlineStr"/>
      <c r="AD240" s="18" t="inlineStr"/>
      <c r="AE240" s="18" t="inlineStr">
        <is>
          <t>sky 8-15</t>
        </is>
      </c>
      <c r="AF240" s="18" t="inlineStr"/>
      <c r="AG240" s="18" t="inlineStr"/>
      <c r="AH240" s="18" t="inlineStr"/>
      <c r="AI240" s="18" t="inlineStr"/>
      <c r="AJ240" s="18" t="inlineStr">
        <is>
          <t>Cobblemon 동일</t>
        </is>
      </c>
      <c r="AK240" s="18" t="inlineStr">
        <is>
          <t>사용</t>
        </is>
      </c>
      <c r="AL240" s="18" t="inlineStr">
        <is>
          <t>COBBLEVERSE 1.7.42 / DP v31</t>
        </is>
      </c>
      <c r="AM240" s="18" t="inlineStr">
        <is>
          <t>data/cobblemon/spawn_pool_world/0064_kadabra.json</t>
        </is>
      </c>
      <c r="AN240" s="18" t="inlineStr">
        <is>
          <t>kadabra-2</t>
        </is>
      </c>
      <c r="AO240" s="18" t="inlineStr">
        <is>
          <t>pokemon</t>
        </is>
      </c>
      <c r="AP240" s="18" t="inlineStr">
        <is>
          <t>natural</t>
        </is>
      </c>
      <c r="AQ240" s="18" t="inlineStr">
        <is>
          <t>{"biomes":["#cobblemon:is_magical"],"maxSkyLight":15,"minSkyLight":8,"timeRange":"night"}</t>
        </is>
      </c>
      <c r="AR240" s="18" t="inlineStr"/>
      <c r="AS240" s="18" t="inlineStr"/>
      <c r="AT240" s="19" t="inlineStr"/>
    </row>
    <row r="241" ht="32" customHeight="1">
      <c r="A241" s="18" t="inlineStr">
        <is>
          <t>0064_kadabra.json::kadabra-3::003</t>
        </is>
      </c>
      <c r="B241" s="19" t="inlineStr">
        <is>
          <t>사용</t>
        </is>
      </c>
      <c r="C241" s="18">
        <f>IF(OR(B241&lt;&gt;AK241,M241&lt;&gt;L241,O241&lt;&gt;"",Q241&lt;&gt;"",V241&lt;&gt;1,Y241&lt;&gt;"",AT241&lt;&gt;""),"수정","원본")</f>
        <v/>
      </c>
      <c r="D241" s="18" t="n">
        <v>64</v>
      </c>
      <c r="E241" s="18" t="inlineStr">
        <is>
          <t>윤겔라</t>
        </is>
      </c>
      <c r="F241" s="18" t="inlineStr">
        <is>
          <t>kadabra</t>
        </is>
      </c>
      <c r="G241" s="18" t="inlineStr">
        <is>
          <t>kadabra</t>
        </is>
      </c>
      <c r="H241" s="18" t="inlineStr"/>
      <c r="I241" s="18" t="n">
        <v>1</v>
      </c>
      <c r="J241" s="18" t="n"/>
      <c r="K241" s="18" t="n">
        <v>1</v>
      </c>
      <c r="L241" s="18" t="inlineStr">
        <is>
          <t>cobbleventure:generation_1</t>
        </is>
      </c>
      <c r="M241" s="19" t="inlineStr">
        <is>
          <t>cobbleventure:generation_1</t>
        </is>
      </c>
      <c r="N241" s="18" t="inlineStr">
        <is>
          <t>region_01; region_02</t>
        </is>
      </c>
      <c r="O241" s="19" t="inlineStr"/>
      <c r="P241" s="18" t="inlineStr">
        <is>
          <t>#cobblemon:is_overworld</t>
        </is>
      </c>
      <c r="Q241" s="19" t="inlineStr"/>
      <c r="R241" s="18">
        <f>IF(Q241="",P241,Q241)</f>
        <v/>
      </c>
      <c r="S241" s="18" t="inlineStr"/>
      <c r="T241" s="18" t="inlineStr">
        <is>
          <t>common</t>
        </is>
      </c>
      <c r="U241" s="20" t="n">
        <v>0.19</v>
      </c>
      <c r="V241" s="21" t="n">
        <v>1</v>
      </c>
      <c r="W241" s="20">
        <f>IF(OR(U241="",V241=""),U241,U241*V241)</f>
        <v/>
      </c>
      <c r="X241" s="18" t="inlineStr">
        <is>
          <t>16-40</t>
        </is>
      </c>
      <c r="Y241" s="19" t="inlineStr"/>
      <c r="Z241" s="18">
        <f>IF(Y241="",X241,Y241)</f>
        <v/>
      </c>
      <c r="AA241" s="18" t="inlineStr">
        <is>
          <t>grounded</t>
        </is>
      </c>
      <c r="AB241" s="18" t="inlineStr"/>
      <c r="AC241" s="18" t="inlineStr"/>
      <c r="AD241" s="18" t="inlineStr"/>
      <c r="AE241" s="18" t="inlineStr"/>
      <c r="AF241" s="18" t="inlineStr">
        <is>
          <t>False</t>
        </is>
      </c>
      <c r="AG241" s="18" t="inlineStr"/>
      <c r="AH241" s="18" t="inlineStr"/>
      <c r="AI241" s="18" t="inlineStr"/>
      <c r="AJ241" s="18" t="inlineStr">
        <is>
          <t>Cobblemon 동일</t>
        </is>
      </c>
      <c r="AK241" s="18" t="inlineStr">
        <is>
          <t>사용</t>
        </is>
      </c>
      <c r="AL241" s="18" t="inlineStr">
        <is>
          <t>COBBLEVERSE 1.7.42 / DP v31</t>
        </is>
      </c>
      <c r="AM241" s="18" t="inlineStr">
        <is>
          <t>data/cobblemon/spawn_pool_world/0064_kadabra.json</t>
        </is>
      </c>
      <c r="AN241" s="18" t="inlineStr">
        <is>
          <t>kadabra-3</t>
        </is>
      </c>
      <c r="AO241" s="18" t="inlineStr">
        <is>
          <t>pokemon</t>
        </is>
      </c>
      <c r="AP241" s="18" t="inlineStr">
        <is>
          <t>mansion</t>
        </is>
      </c>
      <c r="AQ241" s="18" t="inlineStr">
        <is>
          <t>{"biomes":["#cobblemon:is_overworld"],"canSeeSky":false}</t>
        </is>
      </c>
      <c r="AR241" s="18" t="inlineStr"/>
      <c r="AS241" s="18" t="inlineStr"/>
      <c r="AT241" s="19" t="inlineStr"/>
    </row>
    <row r="242" ht="32" customHeight="1">
      <c r="A242" s="18" t="inlineStr">
        <is>
          <t>0065_alakazam.json::alakazam-1::001</t>
        </is>
      </c>
      <c r="B242" s="19" t="inlineStr">
        <is>
          <t>사용</t>
        </is>
      </c>
      <c r="C242" s="18">
        <f>IF(OR(B242&lt;&gt;AK242,M242&lt;&gt;L242,O242&lt;&gt;"",Q242&lt;&gt;"",V242&lt;&gt;1,Y242&lt;&gt;"",AT242&lt;&gt;""),"수정","원본")</f>
        <v/>
      </c>
      <c r="D242" s="18" t="n">
        <v>65</v>
      </c>
      <c r="E242" s="18" t="inlineStr">
        <is>
          <t>후딘</t>
        </is>
      </c>
      <c r="F242" s="18" t="inlineStr">
        <is>
          <t>alakazam</t>
        </is>
      </c>
      <c r="G242" s="18" t="inlineStr">
        <is>
          <t>alakazam</t>
        </is>
      </c>
      <c r="H242" s="18" t="inlineStr"/>
      <c r="I242" s="18" t="n">
        <v>1</v>
      </c>
      <c r="J242" s="18" t="n"/>
      <c r="K242" s="18" t="n">
        <v>1</v>
      </c>
      <c r="L242" s="18" t="inlineStr">
        <is>
          <t>cobbleventure:generation_1</t>
        </is>
      </c>
      <c r="M242" s="19" t="inlineStr">
        <is>
          <t>cobbleventure:generation_1</t>
        </is>
      </c>
      <c r="N242" s="18" t="inlineStr">
        <is>
          <t>region_01</t>
        </is>
      </c>
      <c r="O242" s="19" t="inlineStr"/>
      <c r="P242" s="18" t="inlineStr">
        <is>
          <t>#cobblemon:is_hills; #cobblemon:is_temperate</t>
        </is>
      </c>
      <c r="Q242" s="19" t="inlineStr"/>
      <c r="R242" s="18">
        <f>IF(Q242="",P242,Q242)</f>
        <v/>
      </c>
      <c r="S242" s="18" t="inlineStr">
        <is>
          <t>#cobblemon:is_magical</t>
        </is>
      </c>
      <c r="T242" s="18" t="inlineStr">
        <is>
          <t>rare</t>
        </is>
      </c>
      <c r="U242" s="20" t="n">
        <v>0.125</v>
      </c>
      <c r="V242" s="21" t="n">
        <v>1</v>
      </c>
      <c r="W242" s="20">
        <f>IF(OR(U242="",V242=""),U242,U242*V242)</f>
        <v/>
      </c>
      <c r="X242" s="18" t="inlineStr">
        <is>
          <t>35-50</t>
        </is>
      </c>
      <c r="Y242" s="19" t="inlineStr"/>
      <c r="Z242" s="18">
        <f>IF(Y242="",X242,Y242)</f>
        <v/>
      </c>
      <c r="AA242" s="18" t="inlineStr">
        <is>
          <t>grounded</t>
        </is>
      </c>
      <c r="AB242" s="18" t="inlineStr">
        <is>
          <t>night</t>
        </is>
      </c>
      <c r="AC242" s="18" t="inlineStr"/>
      <c r="AD242" s="18" t="inlineStr"/>
      <c r="AE242" s="18" t="inlineStr">
        <is>
          <t>sky 8-15</t>
        </is>
      </c>
      <c r="AF242" s="18" t="inlineStr"/>
      <c r="AG242" s="18" t="inlineStr"/>
      <c r="AH242" s="18" t="inlineStr"/>
      <c r="AI242" s="18" t="inlineStr"/>
      <c r="AJ242" s="18" t="inlineStr">
        <is>
          <t>Cobblemon 동일</t>
        </is>
      </c>
      <c r="AK242" s="18" t="inlineStr">
        <is>
          <t>사용</t>
        </is>
      </c>
      <c r="AL242" s="18" t="inlineStr">
        <is>
          <t>COBBLEVERSE 1.7.42 / DP v31</t>
        </is>
      </c>
      <c r="AM242" s="18" t="inlineStr">
        <is>
          <t>data/cobblemon/spawn_pool_world/0065_alakazam.json</t>
        </is>
      </c>
      <c r="AN242" s="18" t="inlineStr">
        <is>
          <t>alakazam-1</t>
        </is>
      </c>
      <c r="AO242" s="18" t="inlineStr">
        <is>
          <t>pokemon</t>
        </is>
      </c>
      <c r="AP242" s="18" t="inlineStr">
        <is>
          <t>natural</t>
        </is>
      </c>
      <c r="AQ242" s="18" t="inlineStr">
        <is>
          <t>{"biomes":["#cobblemon:is_hills","#cobblemon:is_temperate"],"maxSkyLight":15,"minSkyLight":8,"timeRange":"night"}</t>
        </is>
      </c>
      <c r="AR242" s="18" t="inlineStr">
        <is>
          <t>{"biomes":["#cobblemon:is_magical"]}</t>
        </is>
      </c>
      <c r="AS242" s="18" t="inlineStr"/>
      <c r="AT242" s="19" t="inlineStr"/>
    </row>
    <row r="243" ht="32" customHeight="1">
      <c r="A243" s="18" t="inlineStr">
        <is>
          <t>0065_alakazam.json::alakazam-2::002</t>
        </is>
      </c>
      <c r="B243" s="19" t="inlineStr">
        <is>
          <t>사용</t>
        </is>
      </c>
      <c r="C243" s="18">
        <f>IF(OR(B243&lt;&gt;AK243,M243&lt;&gt;L243,O243&lt;&gt;"",Q243&lt;&gt;"",V243&lt;&gt;1,Y243&lt;&gt;"",AT243&lt;&gt;""),"수정","원본")</f>
        <v/>
      </c>
      <c r="D243" s="18" t="n">
        <v>65</v>
      </c>
      <c r="E243" s="18" t="inlineStr">
        <is>
          <t>후딘</t>
        </is>
      </c>
      <c r="F243" s="18" t="inlineStr">
        <is>
          <t>alakazam</t>
        </is>
      </c>
      <c r="G243" s="18" t="inlineStr">
        <is>
          <t>alakazam</t>
        </is>
      </c>
      <c r="H243" s="18" t="inlineStr"/>
      <c r="I243" s="18" t="n">
        <v>1</v>
      </c>
      <c r="J243" s="18" t="n"/>
      <c r="K243" s="18" t="n">
        <v>1</v>
      </c>
      <c r="L243" s="18" t="inlineStr">
        <is>
          <t>cobbleventure:generation_1</t>
        </is>
      </c>
      <c r="M243" s="19" t="inlineStr">
        <is>
          <t>cobbleventure:generation_1</t>
        </is>
      </c>
      <c r="N243" s="18" t="inlineStr"/>
      <c r="O243" s="19" t="inlineStr"/>
      <c r="P243" s="18" t="inlineStr">
        <is>
          <t>#cobblemon:is_magical</t>
        </is>
      </c>
      <c r="Q243" s="19" t="inlineStr"/>
      <c r="R243" s="18">
        <f>IF(Q243="",P243,Q243)</f>
        <v/>
      </c>
      <c r="S243" s="18" t="inlineStr"/>
      <c r="T243" s="18" t="inlineStr">
        <is>
          <t>uncommon</t>
        </is>
      </c>
      <c r="U243" s="20" t="n">
        <v>0.08</v>
      </c>
      <c r="V243" s="21" t="n">
        <v>1</v>
      </c>
      <c r="W243" s="20">
        <f>IF(OR(U243="",V243=""),U243,U243*V243)</f>
        <v/>
      </c>
      <c r="X243" s="18" t="inlineStr">
        <is>
          <t>35-50</t>
        </is>
      </c>
      <c r="Y243" s="19" t="inlineStr"/>
      <c r="Z243" s="18">
        <f>IF(Y243="",X243,Y243)</f>
        <v/>
      </c>
      <c r="AA243" s="18" t="inlineStr">
        <is>
          <t>grounded</t>
        </is>
      </c>
      <c r="AB243" s="18" t="inlineStr">
        <is>
          <t>night</t>
        </is>
      </c>
      <c r="AC243" s="18" t="inlineStr"/>
      <c r="AD243" s="18" t="inlineStr"/>
      <c r="AE243" s="18" t="inlineStr">
        <is>
          <t>sky 8-15</t>
        </is>
      </c>
      <c r="AF243" s="18" t="inlineStr"/>
      <c r="AG243" s="18" t="inlineStr"/>
      <c r="AH243" s="18" t="inlineStr"/>
      <c r="AI243" s="18" t="inlineStr"/>
      <c r="AJ243" s="18" t="inlineStr">
        <is>
          <t>Cobblemon 동일</t>
        </is>
      </c>
      <c r="AK243" s="18" t="inlineStr">
        <is>
          <t>사용</t>
        </is>
      </c>
      <c r="AL243" s="18" t="inlineStr">
        <is>
          <t>COBBLEVERSE 1.7.42 / DP v31</t>
        </is>
      </c>
      <c r="AM243" s="18" t="inlineStr">
        <is>
          <t>data/cobblemon/spawn_pool_world/0065_alakazam.json</t>
        </is>
      </c>
      <c r="AN243" s="18" t="inlineStr">
        <is>
          <t>alakazam-2</t>
        </is>
      </c>
      <c r="AO243" s="18" t="inlineStr">
        <is>
          <t>pokemon</t>
        </is>
      </c>
      <c r="AP243" s="18" t="inlineStr">
        <is>
          <t>natural</t>
        </is>
      </c>
      <c r="AQ243" s="18" t="inlineStr">
        <is>
          <t>{"biomes":["#cobblemon:is_magical"],"maxSkyLight":15,"minSkyLight":8,"timeRange":"night"}</t>
        </is>
      </c>
      <c r="AR243" s="18" t="inlineStr"/>
      <c r="AS243" s="18" t="inlineStr"/>
      <c r="AT243" s="19" t="inlineStr"/>
    </row>
    <row r="244" ht="32" customHeight="1">
      <c r="A244" s="18" t="inlineStr">
        <is>
          <t>0065_alakazam.json::alakazam-3::003</t>
        </is>
      </c>
      <c r="B244" s="19" t="inlineStr">
        <is>
          <t>사용</t>
        </is>
      </c>
      <c r="C244" s="18">
        <f>IF(OR(B244&lt;&gt;AK244,M244&lt;&gt;L244,O244&lt;&gt;"",Q244&lt;&gt;"",V244&lt;&gt;1,Y244&lt;&gt;"",AT244&lt;&gt;""),"수정","원본")</f>
        <v/>
      </c>
      <c r="D244" s="18" t="n">
        <v>65</v>
      </c>
      <c r="E244" s="18" t="inlineStr">
        <is>
          <t>후딘</t>
        </is>
      </c>
      <c r="F244" s="18" t="inlineStr">
        <is>
          <t>alakazam</t>
        </is>
      </c>
      <c r="G244" s="18" t="inlineStr">
        <is>
          <t>alakazam</t>
        </is>
      </c>
      <c r="H244" s="18" t="inlineStr"/>
      <c r="I244" s="18" t="n">
        <v>1</v>
      </c>
      <c r="J244" s="18" t="n"/>
      <c r="K244" s="18" t="n">
        <v>1</v>
      </c>
      <c r="L244" s="18" t="inlineStr">
        <is>
          <t>cobbleventure:generation_1</t>
        </is>
      </c>
      <c r="M244" s="19" t="inlineStr">
        <is>
          <t>cobbleventure:generation_1</t>
        </is>
      </c>
      <c r="N244" s="18" t="inlineStr">
        <is>
          <t>region_01; region_02</t>
        </is>
      </c>
      <c r="O244" s="19" t="inlineStr"/>
      <c r="P244" s="18" t="inlineStr">
        <is>
          <t>#cobblemon:is_overworld</t>
        </is>
      </c>
      <c r="Q244" s="19" t="inlineStr"/>
      <c r="R244" s="18">
        <f>IF(Q244="",P244,Q244)</f>
        <v/>
      </c>
      <c r="S244" s="18" t="inlineStr"/>
      <c r="T244" s="18" t="inlineStr">
        <is>
          <t>common</t>
        </is>
      </c>
      <c r="U244" s="20" t="n">
        <v>0.01</v>
      </c>
      <c r="V244" s="21" t="n">
        <v>1</v>
      </c>
      <c r="W244" s="20">
        <f>IF(OR(U244="",V244=""),U244,U244*V244)</f>
        <v/>
      </c>
      <c r="X244" s="18" t="inlineStr">
        <is>
          <t>35-50</t>
        </is>
      </c>
      <c r="Y244" s="19" t="inlineStr"/>
      <c r="Z244" s="18">
        <f>IF(Y244="",X244,Y244)</f>
        <v/>
      </c>
      <c r="AA244" s="18" t="inlineStr">
        <is>
          <t>grounded</t>
        </is>
      </c>
      <c r="AB244" s="18" t="inlineStr"/>
      <c r="AC244" s="18" t="inlineStr"/>
      <c r="AD244" s="18" t="inlineStr"/>
      <c r="AE244" s="18" t="inlineStr"/>
      <c r="AF244" s="18" t="inlineStr">
        <is>
          <t>False</t>
        </is>
      </c>
      <c r="AG244" s="18" t="inlineStr"/>
      <c r="AH244" s="18" t="inlineStr"/>
      <c r="AI244" s="18" t="inlineStr"/>
      <c r="AJ244" s="18" t="inlineStr">
        <is>
          <t>Cobblemon 동일</t>
        </is>
      </c>
      <c r="AK244" s="18" t="inlineStr">
        <is>
          <t>사용</t>
        </is>
      </c>
      <c r="AL244" s="18" t="inlineStr">
        <is>
          <t>COBBLEVERSE 1.7.42 / DP v31</t>
        </is>
      </c>
      <c r="AM244" s="18" t="inlineStr">
        <is>
          <t>data/cobblemon/spawn_pool_world/0065_alakazam.json</t>
        </is>
      </c>
      <c r="AN244" s="18" t="inlineStr">
        <is>
          <t>alakazam-3</t>
        </is>
      </c>
      <c r="AO244" s="18" t="inlineStr">
        <is>
          <t>pokemon</t>
        </is>
      </c>
      <c r="AP244" s="18" t="inlineStr">
        <is>
          <t>mansion</t>
        </is>
      </c>
      <c r="AQ244" s="18" t="inlineStr">
        <is>
          <t>{"biomes":["#cobblemon:is_overworld"],"canSeeSky":false}</t>
        </is>
      </c>
      <c r="AR244" s="18" t="inlineStr"/>
      <c r="AS244" s="18" t="inlineStr"/>
      <c r="AT244" s="19" t="inlineStr"/>
    </row>
    <row r="245" ht="32" customHeight="1">
      <c r="A245" s="18" t="inlineStr">
        <is>
          <t>0066_machop.json::machop-1::001</t>
        </is>
      </c>
      <c r="B245" s="19" t="inlineStr">
        <is>
          <t>사용</t>
        </is>
      </c>
      <c r="C245" s="18">
        <f>IF(OR(B245&lt;&gt;AK245,M245&lt;&gt;L245,O245&lt;&gt;"",Q245&lt;&gt;"",V245&lt;&gt;1,Y245&lt;&gt;"",AT245&lt;&gt;""),"수정","원본")</f>
        <v/>
      </c>
      <c r="D245" s="18" t="n">
        <v>66</v>
      </c>
      <c r="E245" s="18" t="inlineStr">
        <is>
          <t>알통몬</t>
        </is>
      </c>
      <c r="F245" s="18" t="inlineStr">
        <is>
          <t>machop</t>
        </is>
      </c>
      <c r="G245" s="18" t="inlineStr">
        <is>
          <t>machop</t>
        </is>
      </c>
      <c r="H245" s="18" t="inlineStr"/>
      <c r="I245" s="18" t="n">
        <v>1</v>
      </c>
      <c r="J245" s="18" t="n"/>
      <c r="K245" s="18" t="n">
        <v>1</v>
      </c>
      <c r="L245" s="18" t="inlineStr">
        <is>
          <t>cobbleventure:generation_1</t>
        </is>
      </c>
      <c r="M245" s="19" t="inlineStr">
        <is>
          <t>cobbleventure:generation_1</t>
        </is>
      </c>
      <c r="N245" s="18" t="inlineStr"/>
      <c r="O245" s="19" t="inlineStr"/>
      <c r="P245" s="18" t="inlineStr">
        <is>
          <t>#cobblemon:is_hills</t>
        </is>
      </c>
      <c r="Q245" s="19" t="inlineStr"/>
      <c r="R245" s="18">
        <f>IF(Q245="",P245,Q245)</f>
        <v/>
      </c>
      <c r="S245" s="18" t="inlineStr"/>
      <c r="T245" s="18" t="inlineStr">
        <is>
          <t>common</t>
        </is>
      </c>
      <c r="U245" s="20" t="n">
        <v>5.4</v>
      </c>
      <c r="V245" s="21" t="n">
        <v>1</v>
      </c>
      <c r="W245" s="20">
        <f>IF(OR(U245="",V245=""),U245,U245*V245)</f>
        <v/>
      </c>
      <c r="X245" s="18" t="inlineStr">
        <is>
          <t>6-31</t>
        </is>
      </c>
      <c r="Y245" s="19" t="inlineStr"/>
      <c r="Z245" s="18">
        <f>IF(Y245="",X245,Y245)</f>
        <v/>
      </c>
      <c r="AA245" s="18" t="inlineStr">
        <is>
          <t>grounded</t>
        </is>
      </c>
      <c r="AB245" s="18" t="inlineStr"/>
      <c r="AC245" s="18" t="inlineStr"/>
      <c r="AD245" s="18" t="inlineStr"/>
      <c r="AE245" s="18" t="inlineStr">
        <is>
          <t>sky 8-15</t>
        </is>
      </c>
      <c r="AF245" s="18" t="inlineStr"/>
      <c r="AG245" s="18" t="inlineStr"/>
      <c r="AH245" s="18" t="inlineStr"/>
      <c r="AI245" s="18" t="inlineStr"/>
      <c r="AJ245" s="18" t="inlineStr">
        <is>
          <t>Cobblemon 동일</t>
        </is>
      </c>
      <c r="AK245" s="18" t="inlineStr">
        <is>
          <t>사용</t>
        </is>
      </c>
      <c r="AL245" s="18" t="inlineStr">
        <is>
          <t>COBBLEVERSE 1.7.42 / DP v31</t>
        </is>
      </c>
      <c r="AM245" s="18" t="inlineStr">
        <is>
          <t>data/cobblemon/spawn_pool_world/0066_machop.json</t>
        </is>
      </c>
      <c r="AN245" s="18" t="inlineStr">
        <is>
          <t>machop-1</t>
        </is>
      </c>
      <c r="AO245" s="18" t="inlineStr">
        <is>
          <t>pokemon</t>
        </is>
      </c>
      <c r="AP245" s="18" t="inlineStr">
        <is>
          <t>natural</t>
        </is>
      </c>
      <c r="AQ245" s="18" t="inlineStr">
        <is>
          <t>{"biomes":["#cobblemon:is_hills"],"maxSkyLight":15,"minSkyLight":8}</t>
        </is>
      </c>
      <c r="AR245" s="18" t="inlineStr"/>
      <c r="AS245" s="18" t="inlineStr">
        <is>
          <t>{"weightMultiplier":{"condition":{"timeRange":"night"},"multiplier":0.25}}</t>
        </is>
      </c>
      <c r="AT245" s="19" t="inlineStr"/>
    </row>
    <row r="246" ht="32" customHeight="1">
      <c r="A246" s="18" t="inlineStr">
        <is>
          <t>0067_machoke.json::machoke-1::001</t>
        </is>
      </c>
      <c r="B246" s="19" t="inlineStr">
        <is>
          <t>사용</t>
        </is>
      </c>
      <c r="C246" s="18">
        <f>IF(OR(B246&lt;&gt;AK246,M246&lt;&gt;L246,O246&lt;&gt;"",Q246&lt;&gt;"",V246&lt;&gt;1,Y246&lt;&gt;"",AT246&lt;&gt;""),"수정","원본")</f>
        <v/>
      </c>
      <c r="D246" s="18" t="n">
        <v>67</v>
      </c>
      <c r="E246" s="18" t="inlineStr">
        <is>
          <t>근육몬</t>
        </is>
      </c>
      <c r="F246" s="18" t="inlineStr">
        <is>
          <t>machoke</t>
        </is>
      </c>
      <c r="G246" s="18" t="inlineStr">
        <is>
          <t>machoke</t>
        </is>
      </c>
      <c r="H246" s="18" t="inlineStr"/>
      <c r="I246" s="18" t="n">
        <v>1</v>
      </c>
      <c r="J246" s="18" t="n"/>
      <c r="K246" s="18" t="n">
        <v>1</v>
      </c>
      <c r="L246" s="18" t="inlineStr">
        <is>
          <t>cobbleventure:generation_1</t>
        </is>
      </c>
      <c r="M246" s="19" t="inlineStr">
        <is>
          <t>cobbleventure:generation_1</t>
        </is>
      </c>
      <c r="N246" s="18" t="inlineStr"/>
      <c r="O246" s="19" t="inlineStr"/>
      <c r="P246" s="18" t="inlineStr">
        <is>
          <t>#cobblemon:is_hills</t>
        </is>
      </c>
      <c r="Q246" s="19" t="inlineStr"/>
      <c r="R246" s="18">
        <f>IF(Q246="",P246,Q246)</f>
        <v/>
      </c>
      <c r="S246" s="18" t="inlineStr"/>
      <c r="T246" s="18" t="inlineStr">
        <is>
          <t>common</t>
        </is>
      </c>
      <c r="U246" s="20" t="n">
        <v>0.57</v>
      </c>
      <c r="V246" s="21" t="n">
        <v>1</v>
      </c>
      <c r="W246" s="20">
        <f>IF(OR(U246="",V246=""),U246,U246*V246)</f>
        <v/>
      </c>
      <c r="X246" s="18" t="inlineStr">
        <is>
          <t>28-41</t>
        </is>
      </c>
      <c r="Y246" s="19" t="inlineStr"/>
      <c r="Z246" s="18">
        <f>IF(Y246="",X246,Y246)</f>
        <v/>
      </c>
      <c r="AA246" s="18" t="inlineStr">
        <is>
          <t>grounded</t>
        </is>
      </c>
      <c r="AB246" s="18" t="inlineStr"/>
      <c r="AC246" s="18" t="inlineStr"/>
      <c r="AD246" s="18" t="inlineStr"/>
      <c r="AE246" s="18" t="inlineStr">
        <is>
          <t>sky 8-15</t>
        </is>
      </c>
      <c r="AF246" s="18" t="inlineStr"/>
      <c r="AG246" s="18" t="inlineStr"/>
      <c r="AH246" s="18" t="inlineStr"/>
      <c r="AI246" s="18" t="inlineStr"/>
      <c r="AJ246" s="18" t="inlineStr">
        <is>
          <t>Cobblemon 동일</t>
        </is>
      </c>
      <c r="AK246" s="18" t="inlineStr">
        <is>
          <t>사용</t>
        </is>
      </c>
      <c r="AL246" s="18" t="inlineStr">
        <is>
          <t>COBBLEVERSE 1.7.42 / DP v31</t>
        </is>
      </c>
      <c r="AM246" s="18" t="inlineStr">
        <is>
          <t>data/cobblemon/spawn_pool_world/0067_machoke.json</t>
        </is>
      </c>
      <c r="AN246" s="18" t="inlineStr">
        <is>
          <t>machoke-1</t>
        </is>
      </c>
      <c r="AO246" s="18" t="inlineStr">
        <is>
          <t>pokemon</t>
        </is>
      </c>
      <c r="AP246" s="18" t="inlineStr">
        <is>
          <t>natural</t>
        </is>
      </c>
      <c r="AQ246" s="18" t="inlineStr">
        <is>
          <t>{"biomes":["#cobblemon:is_hills"],"maxSkyLight":15,"minSkyLight":8}</t>
        </is>
      </c>
      <c r="AR246" s="18" t="inlineStr"/>
      <c r="AS246" s="18" t="inlineStr">
        <is>
          <t>{"weightMultiplier":{"condition":{"timeRange":"night"},"multiplier":0.25}}</t>
        </is>
      </c>
      <c r="AT246" s="19" t="inlineStr"/>
    </row>
    <row r="247" ht="32" customHeight="1">
      <c r="A247" s="18" t="inlineStr">
        <is>
          <t>0068_machamp.json::machamp-1::001</t>
        </is>
      </c>
      <c r="B247" s="19" t="inlineStr">
        <is>
          <t>사용</t>
        </is>
      </c>
      <c r="C247" s="18">
        <f>IF(OR(B247&lt;&gt;AK247,M247&lt;&gt;L247,O247&lt;&gt;"",Q247&lt;&gt;"",V247&lt;&gt;1,Y247&lt;&gt;"",AT247&lt;&gt;""),"수정","원본")</f>
        <v/>
      </c>
      <c r="D247" s="18" t="n">
        <v>68</v>
      </c>
      <c r="E247" s="18" t="inlineStr">
        <is>
          <t>괴력몬</t>
        </is>
      </c>
      <c r="F247" s="18" t="inlineStr">
        <is>
          <t>machamp</t>
        </is>
      </c>
      <c r="G247" s="18" t="inlineStr">
        <is>
          <t>machamp</t>
        </is>
      </c>
      <c r="H247" s="18" t="inlineStr"/>
      <c r="I247" s="18" t="n">
        <v>1</v>
      </c>
      <c r="J247" s="18" t="n"/>
      <c r="K247" s="18" t="n">
        <v>1</v>
      </c>
      <c r="L247" s="18" t="inlineStr">
        <is>
          <t>cobbleventure:generation_1</t>
        </is>
      </c>
      <c r="M247" s="19" t="inlineStr">
        <is>
          <t>cobbleventure:generation_1</t>
        </is>
      </c>
      <c r="N247" s="18" t="inlineStr"/>
      <c r="O247" s="19" t="inlineStr"/>
      <c r="P247" s="18" t="inlineStr">
        <is>
          <t>#cobblemon:is_hills</t>
        </is>
      </c>
      <c r="Q247" s="19" t="inlineStr"/>
      <c r="R247" s="18">
        <f>IF(Q247="",P247,Q247)</f>
        <v/>
      </c>
      <c r="S247" s="18" t="inlineStr"/>
      <c r="T247" s="18" t="inlineStr">
        <is>
          <t>common</t>
        </is>
      </c>
      <c r="U247" s="20" t="n">
        <v>0.03</v>
      </c>
      <c r="V247" s="21" t="n">
        <v>1</v>
      </c>
      <c r="W247" s="20">
        <f>IF(OR(U247="",V247=""),U247,U247*V247)</f>
        <v/>
      </c>
      <c r="X247" s="18" t="inlineStr">
        <is>
          <t>36-51</t>
        </is>
      </c>
      <c r="Y247" s="19" t="inlineStr"/>
      <c r="Z247" s="18">
        <f>IF(Y247="",X247,Y247)</f>
        <v/>
      </c>
      <c r="AA247" s="18" t="inlineStr">
        <is>
          <t>grounded</t>
        </is>
      </c>
      <c r="AB247" s="18" t="inlineStr"/>
      <c r="AC247" s="18" t="inlineStr"/>
      <c r="AD247" s="18" t="inlineStr"/>
      <c r="AE247" s="18" t="inlineStr">
        <is>
          <t>sky 8-15</t>
        </is>
      </c>
      <c r="AF247" s="18" t="inlineStr"/>
      <c r="AG247" s="18" t="inlineStr"/>
      <c r="AH247" s="18" t="inlineStr"/>
      <c r="AI247" s="18" t="inlineStr"/>
      <c r="AJ247" s="18" t="inlineStr">
        <is>
          <t>Cobblemon 동일</t>
        </is>
      </c>
      <c r="AK247" s="18" t="inlineStr">
        <is>
          <t>사용</t>
        </is>
      </c>
      <c r="AL247" s="18" t="inlineStr">
        <is>
          <t>COBBLEVERSE 1.7.42 / DP v31</t>
        </is>
      </c>
      <c r="AM247" s="18" t="inlineStr">
        <is>
          <t>data/cobblemon/spawn_pool_world/0068_machamp.json</t>
        </is>
      </c>
      <c r="AN247" s="18" t="inlineStr">
        <is>
          <t>machamp-1</t>
        </is>
      </c>
      <c r="AO247" s="18" t="inlineStr">
        <is>
          <t>pokemon</t>
        </is>
      </c>
      <c r="AP247" s="18" t="inlineStr">
        <is>
          <t>natural</t>
        </is>
      </c>
      <c r="AQ247" s="18" t="inlineStr">
        <is>
          <t>{"biomes":["#cobblemon:is_hills"],"maxSkyLight":15,"minSkyLight":8}</t>
        </is>
      </c>
      <c r="AR247" s="18" t="inlineStr"/>
      <c r="AS247" s="18" t="inlineStr">
        <is>
          <t>{"weightMultiplier":{"condition":{"timeRange":"night"},"multiplier":0.25}}</t>
        </is>
      </c>
      <c r="AT247" s="19" t="inlineStr"/>
    </row>
    <row r="248" ht="32" customHeight="1">
      <c r="A248" s="18" t="inlineStr">
        <is>
          <t>0069_bellsprout.json::bellsprout-1::001</t>
        </is>
      </c>
      <c r="B248" s="19" t="inlineStr">
        <is>
          <t>사용</t>
        </is>
      </c>
      <c r="C248" s="18">
        <f>IF(OR(B248&lt;&gt;AK248,M248&lt;&gt;L248,O248&lt;&gt;"",Q248&lt;&gt;"",V248&lt;&gt;1,Y248&lt;&gt;"",AT248&lt;&gt;""),"수정","원본")</f>
        <v/>
      </c>
      <c r="D248" s="18" t="n">
        <v>69</v>
      </c>
      <c r="E248" s="18" t="inlineStr">
        <is>
          <t>모다피</t>
        </is>
      </c>
      <c r="F248" s="18" t="inlineStr">
        <is>
          <t>bellsprout</t>
        </is>
      </c>
      <c r="G248" s="18" t="inlineStr">
        <is>
          <t>bellsprout</t>
        </is>
      </c>
      <c r="H248" s="18" t="inlineStr"/>
      <c r="I248" s="18" t="n">
        <v>1</v>
      </c>
      <c r="J248" s="18" t="n"/>
      <c r="K248" s="18" t="n">
        <v>1</v>
      </c>
      <c r="L248" s="18" t="inlineStr">
        <is>
          <t>cobbleventure:generation_1</t>
        </is>
      </c>
      <c r="M248" s="19" t="inlineStr">
        <is>
          <t>cobbleventure:generation_1</t>
        </is>
      </c>
      <c r="N248" s="18" t="inlineStr"/>
      <c r="O248" s="19" t="inlineStr"/>
      <c r="P248" s="18" t="inlineStr">
        <is>
          <t>#cobblemon:is_jungle</t>
        </is>
      </c>
      <c r="Q248" s="19" t="inlineStr"/>
      <c r="R248" s="18">
        <f>IF(Q248="",P248,Q248)</f>
        <v/>
      </c>
      <c r="S248" s="18" t="inlineStr"/>
      <c r="T248" s="18" t="inlineStr">
        <is>
          <t>common</t>
        </is>
      </c>
      <c r="U248" s="20" t="n">
        <v>9</v>
      </c>
      <c r="V248" s="21" t="n">
        <v>1</v>
      </c>
      <c r="W248" s="20">
        <f>IF(OR(U248="",V248=""),U248,U248*V248)</f>
        <v/>
      </c>
      <c r="X248" s="18" t="inlineStr">
        <is>
          <t>5-30</t>
        </is>
      </c>
      <c r="Y248" s="19" t="inlineStr"/>
      <c r="Z248" s="18">
        <f>IF(Y248="",X248,Y248)</f>
        <v/>
      </c>
      <c r="AA248" s="18" t="inlineStr">
        <is>
          <t>grounded</t>
        </is>
      </c>
      <c r="AB248" s="18" t="inlineStr"/>
      <c r="AC248" s="18" t="inlineStr"/>
      <c r="AD248" s="18" t="inlineStr"/>
      <c r="AE248" s="18" t="inlineStr">
        <is>
          <t>sky 8-15</t>
        </is>
      </c>
      <c r="AF248" s="18" t="inlineStr"/>
      <c r="AG248" s="18" t="inlineStr"/>
      <c r="AH248" s="18" t="inlineStr"/>
      <c r="AI248" s="18" t="inlineStr"/>
      <c r="AJ248" s="18" t="inlineStr">
        <is>
          <t>Cobblemon 동일</t>
        </is>
      </c>
      <c r="AK248" s="18" t="inlineStr">
        <is>
          <t>사용</t>
        </is>
      </c>
      <c r="AL248" s="18" t="inlineStr">
        <is>
          <t>COBBLEVERSE 1.7.42 / DP v31</t>
        </is>
      </c>
      <c r="AM248" s="18" t="inlineStr">
        <is>
          <t>data/cobblemon/spawn_pool_world/0069_bellsprout.json</t>
        </is>
      </c>
      <c r="AN248" s="18" t="inlineStr">
        <is>
          <t>bellsprout-1</t>
        </is>
      </c>
      <c r="AO248" s="18" t="inlineStr">
        <is>
          <t>pokemon</t>
        </is>
      </c>
      <c r="AP248" s="18" t="inlineStr">
        <is>
          <t>natural</t>
        </is>
      </c>
      <c r="AQ248" s="18" t="inlineStr">
        <is>
          <t>{"biomes":["#cobblemon:is_jungle"],"maxSkyLight":15,"minSkyLight":8}</t>
        </is>
      </c>
      <c r="AR248" s="18" t="inlineStr"/>
      <c r="AS248" s="18" t="inlineStr"/>
      <c r="AT248" s="19" t="inlineStr"/>
    </row>
    <row r="249" ht="32" customHeight="1">
      <c r="A249" s="18" t="inlineStr">
        <is>
          <t>0070_weepinbell.json::weepinbell-1::001</t>
        </is>
      </c>
      <c r="B249" s="19" t="inlineStr">
        <is>
          <t>사용</t>
        </is>
      </c>
      <c r="C249" s="18">
        <f>IF(OR(B249&lt;&gt;AK249,M249&lt;&gt;L249,O249&lt;&gt;"",Q249&lt;&gt;"",V249&lt;&gt;1,Y249&lt;&gt;"",AT249&lt;&gt;""),"수정","원본")</f>
        <v/>
      </c>
      <c r="D249" s="18" t="n">
        <v>70</v>
      </c>
      <c r="E249" s="18" t="inlineStr">
        <is>
          <t>우츠동</t>
        </is>
      </c>
      <c r="F249" s="18" t="inlineStr">
        <is>
          <t>weepinbell</t>
        </is>
      </c>
      <c r="G249" s="18" t="inlineStr">
        <is>
          <t>weepinbell</t>
        </is>
      </c>
      <c r="H249" s="18" t="inlineStr"/>
      <c r="I249" s="18" t="n">
        <v>1</v>
      </c>
      <c r="J249" s="18" t="n"/>
      <c r="K249" s="18" t="n">
        <v>1</v>
      </c>
      <c r="L249" s="18" t="inlineStr">
        <is>
          <t>cobbleventure:generation_1</t>
        </is>
      </c>
      <c r="M249" s="19" t="inlineStr">
        <is>
          <t>cobbleventure:generation_1</t>
        </is>
      </c>
      <c r="N249" s="18" t="inlineStr"/>
      <c r="O249" s="19" t="inlineStr"/>
      <c r="P249" s="18" t="inlineStr">
        <is>
          <t>#cobblemon:is_jungle</t>
        </is>
      </c>
      <c r="Q249" s="19" t="inlineStr"/>
      <c r="R249" s="18">
        <f>IF(Q249="",P249,Q249)</f>
        <v/>
      </c>
      <c r="S249" s="18" t="inlineStr"/>
      <c r="T249" s="18" t="inlineStr">
        <is>
          <t>common</t>
        </is>
      </c>
      <c r="U249" s="20" t="n">
        <v>0.95</v>
      </c>
      <c r="V249" s="21" t="n">
        <v>1</v>
      </c>
      <c r="W249" s="20">
        <f>IF(OR(U249="",V249=""),U249,U249*V249)</f>
        <v/>
      </c>
      <c r="X249" s="18" t="inlineStr">
        <is>
          <t>21-39</t>
        </is>
      </c>
      <c r="Y249" s="19" t="inlineStr"/>
      <c r="Z249" s="18">
        <f>IF(Y249="",X249,Y249)</f>
        <v/>
      </c>
      <c r="AA249" s="18" t="inlineStr">
        <is>
          <t>grounded</t>
        </is>
      </c>
      <c r="AB249" s="18" t="inlineStr"/>
      <c r="AC249" s="18" t="inlineStr"/>
      <c r="AD249" s="18" t="inlineStr"/>
      <c r="AE249" s="18" t="inlineStr">
        <is>
          <t>sky 8-15</t>
        </is>
      </c>
      <c r="AF249" s="18" t="inlineStr"/>
      <c r="AG249" s="18" t="inlineStr"/>
      <c r="AH249" s="18" t="inlineStr"/>
      <c r="AI249" s="18" t="inlineStr"/>
      <c r="AJ249" s="18" t="inlineStr">
        <is>
          <t>Cobblemon 동일</t>
        </is>
      </c>
      <c r="AK249" s="18" t="inlineStr">
        <is>
          <t>사용</t>
        </is>
      </c>
      <c r="AL249" s="18" t="inlineStr">
        <is>
          <t>COBBLEVERSE 1.7.42 / DP v31</t>
        </is>
      </c>
      <c r="AM249" s="18" t="inlineStr">
        <is>
          <t>data/cobblemon/spawn_pool_world/0070_weepinbell.json</t>
        </is>
      </c>
      <c r="AN249" s="18" t="inlineStr">
        <is>
          <t>weepinbell-1</t>
        </is>
      </c>
      <c r="AO249" s="18" t="inlineStr">
        <is>
          <t>pokemon</t>
        </is>
      </c>
      <c r="AP249" s="18" t="inlineStr">
        <is>
          <t>natural</t>
        </is>
      </c>
      <c r="AQ249" s="18" t="inlineStr">
        <is>
          <t>{"biomes":["#cobblemon:is_jungle"],"maxSkyLight":15,"minSkyLight":8}</t>
        </is>
      </c>
      <c r="AR249" s="18" t="inlineStr"/>
      <c r="AS249" s="18" t="inlineStr"/>
      <c r="AT249" s="19" t="inlineStr"/>
    </row>
    <row r="250" ht="32" customHeight="1">
      <c r="A250" s="18" t="inlineStr">
        <is>
          <t>0071_victreebel.json::victreebel-1::001</t>
        </is>
      </c>
      <c r="B250" s="19" t="inlineStr">
        <is>
          <t>사용</t>
        </is>
      </c>
      <c r="C250" s="18">
        <f>IF(OR(B250&lt;&gt;AK250,M250&lt;&gt;L250,O250&lt;&gt;"",Q250&lt;&gt;"",V250&lt;&gt;1,Y250&lt;&gt;"",AT250&lt;&gt;""),"수정","원본")</f>
        <v/>
      </c>
      <c r="D250" s="18" t="n">
        <v>71</v>
      </c>
      <c r="E250" s="18" t="inlineStr">
        <is>
          <t>우츠보트</t>
        </is>
      </c>
      <c r="F250" s="18" t="inlineStr">
        <is>
          <t>victreebel</t>
        </is>
      </c>
      <c r="G250" s="18" t="inlineStr">
        <is>
          <t>victreebel</t>
        </is>
      </c>
      <c r="H250" s="18" t="inlineStr"/>
      <c r="I250" s="18" t="n">
        <v>1</v>
      </c>
      <c r="J250" s="18" t="n"/>
      <c r="K250" s="18" t="n">
        <v>1</v>
      </c>
      <c r="L250" s="18" t="inlineStr">
        <is>
          <t>cobbleventure:generation_1</t>
        </is>
      </c>
      <c r="M250" s="19" t="inlineStr">
        <is>
          <t>cobbleventure:generation_1</t>
        </is>
      </c>
      <c r="N250" s="18" t="inlineStr"/>
      <c r="O250" s="19" t="inlineStr"/>
      <c r="P250" s="18" t="inlineStr">
        <is>
          <t>#cobblemon:is_jungle</t>
        </is>
      </c>
      <c r="Q250" s="19" t="inlineStr"/>
      <c r="R250" s="18">
        <f>IF(Q250="",P250,Q250)</f>
        <v/>
      </c>
      <c r="S250" s="18" t="inlineStr"/>
      <c r="T250" s="18" t="inlineStr">
        <is>
          <t>common</t>
        </is>
      </c>
      <c r="U250" s="20" t="n">
        <v>0.05</v>
      </c>
      <c r="V250" s="21" t="n">
        <v>1</v>
      </c>
      <c r="W250" s="20">
        <f>IF(OR(U250="",V250=""),U250,U250*V250)</f>
        <v/>
      </c>
      <c r="X250" s="18" t="inlineStr">
        <is>
          <t>34-49</t>
        </is>
      </c>
      <c r="Y250" s="19" t="inlineStr"/>
      <c r="Z250" s="18">
        <f>IF(Y250="",X250,Y250)</f>
        <v/>
      </c>
      <c r="AA250" s="18" t="inlineStr">
        <is>
          <t>grounded</t>
        </is>
      </c>
      <c r="AB250" s="18" t="inlineStr"/>
      <c r="AC250" s="18" t="inlineStr"/>
      <c r="AD250" s="18" t="inlineStr"/>
      <c r="AE250" s="18" t="inlineStr">
        <is>
          <t>sky 8-15</t>
        </is>
      </c>
      <c r="AF250" s="18" t="inlineStr"/>
      <c r="AG250" s="18" t="inlineStr"/>
      <c r="AH250" s="18" t="inlineStr"/>
      <c r="AI250" s="18" t="inlineStr"/>
      <c r="AJ250" s="18" t="inlineStr">
        <is>
          <t>Cobblemon 동일</t>
        </is>
      </c>
      <c r="AK250" s="18" t="inlineStr">
        <is>
          <t>사용</t>
        </is>
      </c>
      <c r="AL250" s="18" t="inlineStr">
        <is>
          <t>COBBLEVERSE 1.7.42 / DP v31</t>
        </is>
      </c>
      <c r="AM250" s="18" t="inlineStr">
        <is>
          <t>data/cobblemon/spawn_pool_world/0071_victreebel.json</t>
        </is>
      </c>
      <c r="AN250" s="18" t="inlineStr">
        <is>
          <t>victreebel-1</t>
        </is>
      </c>
      <c r="AO250" s="18" t="inlineStr">
        <is>
          <t>pokemon</t>
        </is>
      </c>
      <c r="AP250" s="18" t="inlineStr">
        <is>
          <t>natural</t>
        </is>
      </c>
      <c r="AQ250" s="18" t="inlineStr">
        <is>
          <t>{"biomes":["#cobblemon:is_jungle"],"maxSkyLight":15,"minSkyLight":8}</t>
        </is>
      </c>
      <c r="AR250" s="18" t="inlineStr"/>
      <c r="AS250" s="18" t="inlineStr"/>
      <c r="AT250" s="19" t="inlineStr"/>
    </row>
    <row r="251" ht="32" customHeight="1">
      <c r="A251" s="18" t="inlineStr">
        <is>
          <t>0072_tentacool.json::tentacool-1::001</t>
        </is>
      </c>
      <c r="B251" s="19" t="inlineStr">
        <is>
          <t>사용</t>
        </is>
      </c>
      <c r="C251" s="18">
        <f>IF(OR(B251&lt;&gt;AK251,M251&lt;&gt;L251,O251&lt;&gt;"",Q251&lt;&gt;"",V251&lt;&gt;1,Y251&lt;&gt;"",AT251&lt;&gt;""),"수정","원본")</f>
        <v/>
      </c>
      <c r="D251" s="18" t="n">
        <v>72</v>
      </c>
      <c r="E251" s="18" t="inlineStr">
        <is>
          <t>왕눈해</t>
        </is>
      </c>
      <c r="F251" s="18" t="inlineStr">
        <is>
          <t>tentacool</t>
        </is>
      </c>
      <c r="G251" s="18" t="inlineStr">
        <is>
          <t>tentacool</t>
        </is>
      </c>
      <c r="H251" s="18" t="inlineStr"/>
      <c r="I251" s="18" t="n">
        <v>1</v>
      </c>
      <c r="J251" s="18" t="n"/>
      <c r="K251" s="18" t="n">
        <v>1</v>
      </c>
      <c r="L251" s="18" t="inlineStr">
        <is>
          <t>cobbleventure:generation_1</t>
        </is>
      </c>
      <c r="M251" s="19" t="inlineStr">
        <is>
          <t>cobbleventure:generation_1</t>
        </is>
      </c>
      <c r="N251" s="18" t="inlineStr"/>
      <c r="O251" s="19" t="inlineStr"/>
      <c r="P251" s="18" t="inlineStr">
        <is>
          <t>minecraft:cold_ocean</t>
        </is>
      </c>
      <c r="Q251" s="19" t="inlineStr"/>
      <c r="R251" s="18">
        <f>IF(Q251="",P251,Q251)</f>
        <v/>
      </c>
      <c r="S251" s="18" t="inlineStr"/>
      <c r="T251" s="18" t="inlineStr">
        <is>
          <t>common</t>
        </is>
      </c>
      <c r="U251" s="20" t="n">
        <v>0.3</v>
      </c>
      <c r="V251" s="21" t="n">
        <v>1</v>
      </c>
      <c r="W251" s="20">
        <f>IF(OR(U251="",V251=""),U251,U251*V251)</f>
        <v/>
      </c>
      <c r="X251" s="18" t="inlineStr">
        <is>
          <t>9-28</t>
        </is>
      </c>
      <c r="Y251" s="19" t="inlineStr"/>
      <c r="Z251" s="18">
        <f>IF(Y251="",X251,Y251)</f>
        <v/>
      </c>
      <c r="AA251" s="18" t="inlineStr">
        <is>
          <t>surface</t>
        </is>
      </c>
      <c r="AB251" s="18" t="inlineStr"/>
      <c r="AC251" s="18" t="inlineStr"/>
      <c r="AD251" s="18" t="inlineStr"/>
      <c r="AE251" s="18" t="inlineStr"/>
      <c r="AF251" s="18" t="inlineStr">
        <is>
          <t>True</t>
        </is>
      </c>
      <c r="AG251" s="18" t="inlineStr"/>
      <c r="AH251" s="18" t="inlineStr"/>
      <c r="AI251" s="18" t="inlineStr"/>
      <c r="AJ251" s="18" t="inlineStr">
        <is>
          <t>COBBLEVERSE 수정</t>
        </is>
      </c>
      <c r="AK251" s="18" t="inlineStr">
        <is>
          <t>사용</t>
        </is>
      </c>
      <c r="AL251" s="18" t="inlineStr">
        <is>
          <t>COBBLEVERSE 1.7.42 / DP v31</t>
        </is>
      </c>
      <c r="AM251" s="18" t="inlineStr">
        <is>
          <t>data/cobblemon/spawn_pool_world/0072_tentacool.json</t>
        </is>
      </c>
      <c r="AN251" s="18" t="inlineStr">
        <is>
          <t>tentacool-1</t>
        </is>
      </c>
      <c r="AO251" s="18" t="inlineStr">
        <is>
          <t>pokemon</t>
        </is>
      </c>
      <c r="AP251" s="18" t="inlineStr">
        <is>
          <t>water</t>
        </is>
      </c>
      <c r="AQ251" s="18" t="inlineStr">
        <is>
          <t>{"biomes":["minecraft:cold_ocean"],"canSeeSky":true}</t>
        </is>
      </c>
      <c r="AR251" s="18" t="inlineStr"/>
      <c r="AS251" s="18" t="inlineStr"/>
      <c r="AT251" s="19" t="inlineStr"/>
    </row>
    <row r="252" ht="32" customHeight="1">
      <c r="A252" s="18" t="inlineStr">
        <is>
          <t>0072_tentacool.json::tentacool-2::002</t>
        </is>
      </c>
      <c r="B252" s="19" t="inlineStr">
        <is>
          <t>사용</t>
        </is>
      </c>
      <c r="C252" s="18">
        <f>IF(OR(B252&lt;&gt;AK252,M252&lt;&gt;L252,O252&lt;&gt;"",Q252&lt;&gt;"",V252&lt;&gt;1,Y252&lt;&gt;"",AT252&lt;&gt;""),"수정","원본")</f>
        <v/>
      </c>
      <c r="D252" s="18" t="n">
        <v>72</v>
      </c>
      <c r="E252" s="18" t="inlineStr">
        <is>
          <t>왕눈해</t>
        </is>
      </c>
      <c r="F252" s="18" t="inlineStr">
        <is>
          <t>tentacool</t>
        </is>
      </c>
      <c r="G252" s="18" t="inlineStr">
        <is>
          <t>tentacool</t>
        </is>
      </c>
      <c r="H252" s="18" t="inlineStr"/>
      <c r="I252" s="18" t="n">
        <v>1</v>
      </c>
      <c r="J252" s="18" t="n"/>
      <c r="K252" s="18" t="n">
        <v>1</v>
      </c>
      <c r="L252" s="18" t="inlineStr">
        <is>
          <t>cobbleventure:generation_1</t>
        </is>
      </c>
      <c r="M252" s="19" t="inlineStr">
        <is>
          <t>cobbleventure:generation_1</t>
        </is>
      </c>
      <c r="N252" s="18" t="inlineStr"/>
      <c r="O252" s="19" t="inlineStr"/>
      <c r="P252" s="18" t="inlineStr">
        <is>
          <t>#cobblemon:is_ocean</t>
        </is>
      </c>
      <c r="Q252" s="19" t="inlineStr"/>
      <c r="R252" s="18">
        <f>IF(Q252="",P252,Q252)</f>
        <v/>
      </c>
      <c r="S252" s="18" t="inlineStr"/>
      <c r="T252" s="18" t="inlineStr">
        <is>
          <t>common</t>
        </is>
      </c>
      <c r="U252" s="20" t="n">
        <v>3</v>
      </c>
      <c r="V252" s="21" t="n">
        <v>1</v>
      </c>
      <c r="W252" s="20">
        <f>IF(OR(U252="",V252=""),U252,U252*V252)</f>
        <v/>
      </c>
      <c r="X252" s="18" t="inlineStr">
        <is>
          <t>9-29</t>
        </is>
      </c>
      <c r="Y252" s="19" t="inlineStr"/>
      <c r="Z252" s="18">
        <f>IF(Y252="",X252,Y252)</f>
        <v/>
      </c>
      <c r="AA252" s="18" t="inlineStr">
        <is>
          <t>fishing</t>
        </is>
      </c>
      <c r="AB252" s="18" t="inlineStr"/>
      <c r="AC252" s="18" t="inlineStr"/>
      <c r="AD252" s="18" t="inlineStr"/>
      <c r="AE252" s="18" t="inlineStr"/>
      <c r="AF252" s="18" t="inlineStr">
        <is>
          <t>True</t>
        </is>
      </c>
      <c r="AG252" s="18" t="inlineStr"/>
      <c r="AH252" s="18" t="inlineStr"/>
      <c r="AI252" s="18" t="inlineStr"/>
      <c r="AJ252" s="18" t="inlineStr">
        <is>
          <t>COBBLEVERSE 수정</t>
        </is>
      </c>
      <c r="AK252" s="18" t="inlineStr">
        <is>
          <t>사용</t>
        </is>
      </c>
      <c r="AL252" s="18" t="inlineStr">
        <is>
          <t>COBBLEVERSE 1.7.42 / DP v31</t>
        </is>
      </c>
      <c r="AM252" s="18" t="inlineStr">
        <is>
          <t>data/cobblemon/spawn_pool_world/0072_tentacool.json</t>
        </is>
      </c>
      <c r="AN252" s="18" t="inlineStr">
        <is>
          <t>tentacool-2</t>
        </is>
      </c>
      <c r="AO252" s="18" t="inlineStr">
        <is>
          <t>pokemon</t>
        </is>
      </c>
      <c r="AP252" s="18" t="inlineStr">
        <is>
          <t>water</t>
        </is>
      </c>
      <c r="AQ252" s="18" t="inlineStr">
        <is>
          <t>{"biomes":["#cobblemon:is_ocean"],"canSeeSky":true}</t>
        </is>
      </c>
      <c r="AR252" s="18" t="inlineStr"/>
      <c r="AS252" s="18" t="inlineStr"/>
      <c r="AT252" s="19" t="inlineStr"/>
    </row>
    <row r="253" ht="32" customHeight="1">
      <c r="A253" s="18" t="inlineStr">
        <is>
          <t>0072_tentacool.json::tentacool-3::003</t>
        </is>
      </c>
      <c r="B253" s="19" t="inlineStr">
        <is>
          <t>사용</t>
        </is>
      </c>
      <c r="C253" s="18">
        <f>IF(OR(B253&lt;&gt;AK253,M253&lt;&gt;L253,O253&lt;&gt;"",Q253&lt;&gt;"",V253&lt;&gt;1,Y253&lt;&gt;"",AT253&lt;&gt;""),"수정","원본")</f>
        <v/>
      </c>
      <c r="D253" s="18" t="n">
        <v>72</v>
      </c>
      <c r="E253" s="18" t="inlineStr">
        <is>
          <t>왕눈해</t>
        </is>
      </c>
      <c r="F253" s="18" t="inlineStr">
        <is>
          <t>tentacool</t>
        </is>
      </c>
      <c r="G253" s="18" t="inlineStr">
        <is>
          <t>tentacool</t>
        </is>
      </c>
      <c r="H253" s="18" t="inlineStr"/>
      <c r="I253" s="18" t="n">
        <v>1</v>
      </c>
      <c r="J253" s="18" t="n"/>
      <c r="K253" s="18" t="n">
        <v>1</v>
      </c>
      <c r="L253" s="18" t="inlineStr">
        <is>
          <t>cobbleventure:generation_1</t>
        </is>
      </c>
      <c r="M253" s="19" t="inlineStr">
        <is>
          <t>cobbleventure:generation_1</t>
        </is>
      </c>
      <c r="N253" s="18" t="inlineStr">
        <is>
          <t>region_01; region_02</t>
        </is>
      </c>
      <c r="O253" s="19" t="inlineStr"/>
      <c r="P253" s="18" t="inlineStr">
        <is>
          <t>#cobblemon:is_overworld</t>
        </is>
      </c>
      <c r="Q253" s="19" t="inlineStr"/>
      <c r="R253" s="18">
        <f>IF(Q253="",P253,Q253)</f>
        <v/>
      </c>
      <c r="S253" s="18" t="inlineStr">
        <is>
          <t>#cobblemon:is_dripstone; #cobblemon:is_lush</t>
        </is>
      </c>
      <c r="T253" s="18" t="inlineStr">
        <is>
          <t>common</t>
        </is>
      </c>
      <c r="U253" s="20" t="n">
        <v>1.8</v>
      </c>
      <c r="V253" s="21" t="n">
        <v>1</v>
      </c>
      <c r="W253" s="20">
        <f>IF(OR(U253="",V253=""),U253,U253*V253)</f>
        <v/>
      </c>
      <c r="X253" s="18" t="inlineStr">
        <is>
          <t>9-29</t>
        </is>
      </c>
      <c r="Y253" s="19" t="inlineStr"/>
      <c r="Z253" s="18">
        <f>IF(Y253="",X253,Y253)</f>
        <v/>
      </c>
      <c r="AA253" s="18" t="inlineStr">
        <is>
          <t>fishing</t>
        </is>
      </c>
      <c r="AB253" s="18" t="inlineStr"/>
      <c r="AC253" s="18" t="inlineStr"/>
      <c r="AD253" s="18" t="inlineStr"/>
      <c r="AE253" s="18" t="inlineStr">
        <is>
          <t>sky 0-7</t>
        </is>
      </c>
      <c r="AF253" s="18" t="inlineStr">
        <is>
          <t>False</t>
        </is>
      </c>
      <c r="AG253" s="18" t="inlineStr"/>
      <c r="AH253" s="18" t="inlineStr"/>
      <c r="AI253" s="18" t="inlineStr"/>
      <c r="AJ253" s="18" t="inlineStr">
        <is>
          <t>COBBLEVERSE 수정</t>
        </is>
      </c>
      <c r="AK253" s="18" t="inlineStr">
        <is>
          <t>사용</t>
        </is>
      </c>
      <c r="AL253" s="18" t="inlineStr">
        <is>
          <t>COBBLEVERSE 1.7.42 / DP v31</t>
        </is>
      </c>
      <c r="AM253" s="18" t="inlineStr">
        <is>
          <t>data/cobblemon/spawn_pool_world/0072_tentacool.json</t>
        </is>
      </c>
      <c r="AN253" s="18" t="inlineStr">
        <is>
          <t>tentacool-3</t>
        </is>
      </c>
      <c r="AO253" s="18" t="inlineStr">
        <is>
          <t>pokemon</t>
        </is>
      </c>
      <c r="AP253" s="18" t="inlineStr"/>
      <c r="AQ253" s="18" t="inlineStr">
        <is>
          <t>{"biomes":["#cobblemon:is_overworld"],"canSeeSky":false,"maxSkyLight":7,"minSkyLight":0}</t>
        </is>
      </c>
      <c r="AR253" s="18" t="inlineStr">
        <is>
          <t>{"biomes":["#cobblemon:is_dripstone","#cobblemon:is_lush"],"maxY":13,"minY":-60,"structures":["#cobblemon:shipwreck_cove"]}</t>
        </is>
      </c>
      <c r="AS253" s="18" t="inlineStr">
        <is>
          <t>{"weightMultiplier":{"condition":{"maxLureLevel":1,"minLureLevel":0},"multiplier":0.6}}</t>
        </is>
      </c>
      <c r="AT253" s="19" t="inlineStr"/>
    </row>
    <row r="254" ht="32" customHeight="1">
      <c r="A254" s="18" t="inlineStr">
        <is>
          <t>0072_tentacool.json::tentacool-4::004</t>
        </is>
      </c>
      <c r="B254" s="19" t="inlineStr">
        <is>
          <t>사용</t>
        </is>
      </c>
      <c r="C254" s="18">
        <f>IF(OR(B254&lt;&gt;AK254,M254&lt;&gt;L254,O254&lt;&gt;"",Q254&lt;&gt;"",V254&lt;&gt;1,Y254&lt;&gt;"",AT254&lt;&gt;""),"수정","원본")</f>
        <v/>
      </c>
      <c r="D254" s="18" t="n">
        <v>72</v>
      </c>
      <c r="E254" s="18" t="inlineStr">
        <is>
          <t>왕눈해</t>
        </is>
      </c>
      <c r="F254" s="18" t="inlineStr">
        <is>
          <t>tentacool</t>
        </is>
      </c>
      <c r="G254" s="18" t="inlineStr">
        <is>
          <t>tentacool</t>
        </is>
      </c>
      <c r="H254" s="18" t="inlineStr"/>
      <c r="I254" s="18" t="n">
        <v>1</v>
      </c>
      <c r="J254" s="18" t="n"/>
      <c r="K254" s="18" t="n">
        <v>1</v>
      </c>
      <c r="L254" s="18" t="inlineStr">
        <is>
          <t>cobbleventure:generation_1</t>
        </is>
      </c>
      <c r="M254" s="19" t="inlineStr">
        <is>
          <t>cobbleventure:generation_1</t>
        </is>
      </c>
      <c r="N254" s="18" t="inlineStr"/>
      <c r="O254" s="19" t="inlineStr"/>
      <c r="P254" s="18" t="inlineStr">
        <is>
          <t>#cobblemon:is_ocean</t>
        </is>
      </c>
      <c r="Q254" s="19" t="inlineStr"/>
      <c r="R254" s="18">
        <f>IF(Q254="",P254,Q254)</f>
        <v/>
      </c>
      <c r="S254" s="18" t="inlineStr"/>
      <c r="T254" s="18" t="inlineStr">
        <is>
          <t>common</t>
        </is>
      </c>
      <c r="U254" s="20" t="n">
        <v>2</v>
      </c>
      <c r="V254" s="21" t="n">
        <v>1</v>
      </c>
      <c r="W254" s="20">
        <f>IF(OR(U254="",V254=""),U254,U254*V254)</f>
        <v/>
      </c>
      <c r="X254" s="18" t="inlineStr">
        <is>
          <t>9-29</t>
        </is>
      </c>
      <c r="Y254" s="19" t="inlineStr"/>
      <c r="Z254" s="18">
        <f>IF(Y254="",X254,Y254)</f>
        <v/>
      </c>
      <c r="AA254" s="18" t="inlineStr">
        <is>
          <t>fishing</t>
        </is>
      </c>
      <c r="AB254" s="18" t="inlineStr"/>
      <c r="AC254" s="18" t="inlineStr"/>
      <c r="AD254" s="18" t="inlineStr"/>
      <c r="AE254" s="18" t="inlineStr">
        <is>
          <t>sky 8-15</t>
        </is>
      </c>
      <c r="AF254" s="18" t="inlineStr">
        <is>
          <t>False</t>
        </is>
      </c>
      <c r="AG254" s="18" t="inlineStr"/>
      <c r="AH254" s="18" t="inlineStr"/>
      <c r="AI254" s="18" t="inlineStr"/>
      <c r="AJ254" s="18" t="inlineStr">
        <is>
          <t>COBBLEVERSE 수정</t>
        </is>
      </c>
      <c r="AK254" s="18" t="inlineStr">
        <is>
          <t>사용</t>
        </is>
      </c>
      <c r="AL254" s="18" t="inlineStr">
        <is>
          <t>COBBLEVERSE 1.7.42 / DP v31</t>
        </is>
      </c>
      <c r="AM254" s="18" t="inlineStr">
        <is>
          <t>data/cobblemon/spawn_pool_world/0072_tentacool.json</t>
        </is>
      </c>
      <c r="AN254" s="18" t="inlineStr">
        <is>
          <t>tentacool-4</t>
        </is>
      </c>
      <c r="AO254" s="18" t="inlineStr">
        <is>
          <t>pokemon</t>
        </is>
      </c>
      <c r="AP254" s="18" t="inlineStr"/>
      <c r="AQ254" s="18" t="inlineStr">
        <is>
          <t>{"biomes":["#cobblemon:is_ocean"],"canSeeSky":false,"maxSkyLight":15,"minSkyLight":8}</t>
        </is>
      </c>
      <c r="AR254" s="18" t="inlineStr"/>
      <c r="AS254" s="18" t="inlineStr"/>
      <c r="AT254" s="19" t="inlineStr"/>
    </row>
    <row r="255" ht="32" customHeight="1">
      <c r="A255" s="18" t="inlineStr">
        <is>
          <t>0073_tentacruel.json::tentacruel-3::001</t>
        </is>
      </c>
      <c r="B255" s="19" t="inlineStr">
        <is>
          <t>사용</t>
        </is>
      </c>
      <c r="C255" s="18">
        <f>IF(OR(B255&lt;&gt;AK255,M255&lt;&gt;L255,O255&lt;&gt;"",Q255&lt;&gt;"",V255&lt;&gt;1,Y255&lt;&gt;"",AT255&lt;&gt;""),"수정","원본")</f>
        <v/>
      </c>
      <c r="D255" s="18" t="n">
        <v>73</v>
      </c>
      <c r="E255" s="18" t="inlineStr">
        <is>
          <t>독파리</t>
        </is>
      </c>
      <c r="F255" s="18" t="inlineStr">
        <is>
          <t>tentacruel</t>
        </is>
      </c>
      <c r="G255" s="18" t="inlineStr">
        <is>
          <t>tentacruel</t>
        </is>
      </c>
      <c r="H255" s="18" t="inlineStr"/>
      <c r="I255" s="18" t="n">
        <v>1</v>
      </c>
      <c r="J255" s="18" t="n"/>
      <c r="K255" s="18" t="n">
        <v>1</v>
      </c>
      <c r="L255" s="18" t="inlineStr">
        <is>
          <t>cobbleventure:generation_1</t>
        </is>
      </c>
      <c r="M255" s="19" t="inlineStr">
        <is>
          <t>cobbleventure:generation_1</t>
        </is>
      </c>
      <c r="N255" s="18" t="inlineStr"/>
      <c r="O255" s="19" t="inlineStr"/>
      <c r="P255" s="18" t="inlineStr">
        <is>
          <t>#cobblemon:is_ocean</t>
        </is>
      </c>
      <c r="Q255" s="19" t="inlineStr"/>
      <c r="R255" s="18">
        <f>IF(Q255="",P255,Q255)</f>
        <v/>
      </c>
      <c r="S255" s="18" t="inlineStr"/>
      <c r="T255" s="18" t="inlineStr">
        <is>
          <t>common</t>
        </is>
      </c>
      <c r="U255" s="20" t="n">
        <v>0.1</v>
      </c>
      <c r="V255" s="21" t="n">
        <v>1</v>
      </c>
      <c r="W255" s="20">
        <f>IF(OR(U255="",V255=""),U255,U255*V255)</f>
        <v/>
      </c>
      <c r="X255" s="18" t="inlineStr">
        <is>
          <t>30-52</t>
        </is>
      </c>
      <c r="Y255" s="19" t="inlineStr"/>
      <c r="Z255" s="18">
        <f>IF(Y255="",X255,Y255)</f>
        <v/>
      </c>
      <c r="AA255" s="18" t="inlineStr">
        <is>
          <t>submerged</t>
        </is>
      </c>
      <c r="AB255" s="18" t="inlineStr"/>
      <c r="AC255" s="18" t="inlineStr"/>
      <c r="AD255" s="18" t="inlineStr"/>
      <c r="AE255" s="18" t="inlineStr">
        <is>
          <t>sky 8-15</t>
        </is>
      </c>
      <c r="AF255" s="18" t="inlineStr"/>
      <c r="AG255" s="18" t="inlineStr"/>
      <c r="AH255" s="18" t="inlineStr"/>
      <c r="AI255" s="18" t="inlineStr"/>
      <c r="AJ255" s="18" t="inlineStr">
        <is>
          <t>COBBLEVERSE 수정</t>
        </is>
      </c>
      <c r="AK255" s="18" t="inlineStr">
        <is>
          <t>사용</t>
        </is>
      </c>
      <c r="AL255" s="18" t="inlineStr">
        <is>
          <t>COBBLEVERSE 1.7.42 / DP v31</t>
        </is>
      </c>
      <c r="AM255" s="18" t="inlineStr">
        <is>
          <t>data/cobblemon/spawn_pool_world/0073_tentacruel.json</t>
        </is>
      </c>
      <c r="AN255" s="18" t="inlineStr">
        <is>
          <t>tentacruel-3</t>
        </is>
      </c>
      <c r="AO255" s="18" t="inlineStr">
        <is>
          <t>pokemon</t>
        </is>
      </c>
      <c r="AP255" s="18" t="inlineStr">
        <is>
          <t>water</t>
        </is>
      </c>
      <c r="AQ255" s="18" t="inlineStr">
        <is>
          <t>{"biomes":["#cobblemon:is_ocean"],"maxSkyLight":15,"minSkyLight":8}</t>
        </is>
      </c>
      <c r="AR255" s="18" t="inlineStr"/>
      <c r="AS255" s="18" t="inlineStr"/>
      <c r="AT255" s="19" t="inlineStr"/>
    </row>
    <row r="256" ht="32" customHeight="1">
      <c r="A256" s="18" t="inlineStr">
        <is>
          <t>0073_tentacruel.json::tentacruel-4::002</t>
        </is>
      </c>
      <c r="B256" s="19" t="inlineStr">
        <is>
          <t>사용</t>
        </is>
      </c>
      <c r="C256" s="18">
        <f>IF(OR(B256&lt;&gt;AK256,M256&lt;&gt;L256,O256&lt;&gt;"",Q256&lt;&gt;"",V256&lt;&gt;1,Y256&lt;&gt;"",AT256&lt;&gt;""),"수정","원본")</f>
        <v/>
      </c>
      <c r="D256" s="18" t="n">
        <v>73</v>
      </c>
      <c r="E256" s="18" t="inlineStr">
        <is>
          <t>독파리</t>
        </is>
      </c>
      <c r="F256" s="18" t="inlineStr">
        <is>
          <t>tentacruel</t>
        </is>
      </c>
      <c r="G256" s="18" t="inlineStr">
        <is>
          <t>tentacruel</t>
        </is>
      </c>
      <c r="H256" s="18" t="inlineStr"/>
      <c r="I256" s="18" t="n">
        <v>1</v>
      </c>
      <c r="J256" s="18" t="n"/>
      <c r="K256" s="18" t="n">
        <v>1</v>
      </c>
      <c r="L256" s="18" t="inlineStr">
        <is>
          <t>cobbleventure:generation_1</t>
        </is>
      </c>
      <c r="M256" s="19" t="inlineStr">
        <is>
          <t>cobbleventure:generation_1</t>
        </is>
      </c>
      <c r="N256" s="18" t="inlineStr"/>
      <c r="O256" s="19" t="inlineStr"/>
      <c r="P256" s="18" t="inlineStr">
        <is>
          <t>#cobblemon:is_ocean</t>
        </is>
      </c>
      <c r="Q256" s="19" t="inlineStr"/>
      <c r="R256" s="18">
        <f>IF(Q256="",P256,Q256)</f>
        <v/>
      </c>
      <c r="S256" s="18" t="inlineStr"/>
      <c r="T256" s="18" t="inlineStr">
        <is>
          <t>common</t>
        </is>
      </c>
      <c r="U256" s="20" t="n">
        <v>1</v>
      </c>
      <c r="V256" s="21" t="n">
        <v>1</v>
      </c>
      <c r="W256" s="20">
        <f>IF(OR(U256="",V256=""),U256,U256*V256)</f>
        <v/>
      </c>
      <c r="X256" s="18" t="inlineStr">
        <is>
          <t>30-52</t>
        </is>
      </c>
      <c r="Y256" s="19" t="inlineStr"/>
      <c r="Z256" s="18">
        <f>IF(Y256="",X256,Y256)</f>
        <v/>
      </c>
      <c r="AA256" s="18" t="inlineStr">
        <is>
          <t>fishing</t>
        </is>
      </c>
      <c r="AB256" s="18" t="inlineStr"/>
      <c r="AC256" s="18" t="inlineStr"/>
      <c r="AD256" s="18" t="inlineStr"/>
      <c r="AE256" s="18" t="inlineStr"/>
      <c r="AF256" s="18" t="inlineStr">
        <is>
          <t>True</t>
        </is>
      </c>
      <c r="AG256" s="18" t="inlineStr"/>
      <c r="AH256" s="18" t="inlineStr"/>
      <c r="AI256" s="18" t="inlineStr"/>
      <c r="AJ256" s="18" t="inlineStr">
        <is>
          <t>COBBLEVERSE 수정</t>
        </is>
      </c>
      <c r="AK256" s="18" t="inlineStr">
        <is>
          <t>사용</t>
        </is>
      </c>
      <c r="AL256" s="18" t="inlineStr">
        <is>
          <t>COBBLEVERSE 1.7.42 / DP v31</t>
        </is>
      </c>
      <c r="AM256" s="18" t="inlineStr">
        <is>
          <t>data/cobblemon/spawn_pool_world/0073_tentacruel.json</t>
        </is>
      </c>
      <c r="AN256" s="18" t="inlineStr">
        <is>
          <t>tentacruel-4</t>
        </is>
      </c>
      <c r="AO256" s="18" t="inlineStr">
        <is>
          <t>pokemon</t>
        </is>
      </c>
      <c r="AP256" s="18" t="inlineStr"/>
      <c r="AQ256" s="18" t="inlineStr">
        <is>
          <t>{"biomes":["#cobblemon:is_ocean"],"canSeeSky":true}</t>
        </is>
      </c>
      <c r="AR256" s="18" t="inlineStr"/>
      <c r="AS256" s="18" t="inlineStr"/>
      <c r="AT256" s="19" t="inlineStr"/>
    </row>
    <row r="257" ht="32" customHeight="1">
      <c r="A257" s="18" t="inlineStr">
        <is>
          <t>0073_tentacruel.json::tentacruel-5::003</t>
        </is>
      </c>
      <c r="B257" s="19" t="inlineStr">
        <is>
          <t>사용</t>
        </is>
      </c>
      <c r="C257" s="18">
        <f>IF(OR(B257&lt;&gt;AK257,M257&lt;&gt;L257,O257&lt;&gt;"",Q257&lt;&gt;"",V257&lt;&gt;1,Y257&lt;&gt;"",AT257&lt;&gt;""),"수정","원본")</f>
        <v/>
      </c>
      <c r="D257" s="18" t="n">
        <v>73</v>
      </c>
      <c r="E257" s="18" t="inlineStr">
        <is>
          <t>독파리</t>
        </is>
      </c>
      <c r="F257" s="18" t="inlineStr">
        <is>
          <t>tentacruel</t>
        </is>
      </c>
      <c r="G257" s="18" t="inlineStr">
        <is>
          <t>tentacruel</t>
        </is>
      </c>
      <c r="H257" s="18" t="inlineStr"/>
      <c r="I257" s="18" t="n">
        <v>1</v>
      </c>
      <c r="J257" s="18" t="n"/>
      <c r="K257" s="18" t="n">
        <v>1</v>
      </c>
      <c r="L257" s="18" t="inlineStr">
        <is>
          <t>cobbleventure:generation_1</t>
        </is>
      </c>
      <c r="M257" s="19" t="inlineStr">
        <is>
          <t>cobbleventure:generation_1</t>
        </is>
      </c>
      <c r="N257" s="18" t="inlineStr">
        <is>
          <t>region_01; region_02</t>
        </is>
      </c>
      <c r="O257" s="19" t="inlineStr"/>
      <c r="P257" s="18" t="inlineStr">
        <is>
          <t>#cobblemon:is_overworld</t>
        </is>
      </c>
      <c r="Q257" s="19" t="inlineStr"/>
      <c r="R257" s="18">
        <f>IF(Q257="",P257,Q257)</f>
        <v/>
      </c>
      <c r="S257" s="18" t="inlineStr">
        <is>
          <t>#cobblemon:is_dripstone; #cobblemon:is_lush</t>
        </is>
      </c>
      <c r="T257" s="18" t="inlineStr">
        <is>
          <t>common</t>
        </is>
      </c>
      <c r="U257" s="20" t="n">
        <v>1</v>
      </c>
      <c r="V257" s="21" t="n">
        <v>1</v>
      </c>
      <c r="W257" s="20">
        <f>IF(OR(U257="",V257=""),U257,U257*V257)</f>
        <v/>
      </c>
      <c r="X257" s="18" t="inlineStr">
        <is>
          <t>30-52</t>
        </is>
      </c>
      <c r="Y257" s="19" t="inlineStr"/>
      <c r="Z257" s="18">
        <f>IF(Y257="",X257,Y257)</f>
        <v/>
      </c>
      <c r="AA257" s="18" t="inlineStr">
        <is>
          <t>fishing</t>
        </is>
      </c>
      <c r="AB257" s="18" t="inlineStr"/>
      <c r="AC257" s="18" t="inlineStr"/>
      <c r="AD257" s="18" t="inlineStr"/>
      <c r="AE257" s="18" t="inlineStr">
        <is>
          <t>sky 0-7</t>
        </is>
      </c>
      <c r="AF257" s="18" t="inlineStr">
        <is>
          <t>False</t>
        </is>
      </c>
      <c r="AG257" s="18" t="inlineStr"/>
      <c r="AH257" s="18" t="inlineStr"/>
      <c r="AI257" s="18" t="inlineStr"/>
      <c r="AJ257" s="18" t="inlineStr">
        <is>
          <t>COBBLEVERSE 수정</t>
        </is>
      </c>
      <c r="AK257" s="18" t="inlineStr">
        <is>
          <t>사용</t>
        </is>
      </c>
      <c r="AL257" s="18" t="inlineStr">
        <is>
          <t>COBBLEVERSE 1.7.42 / DP v31</t>
        </is>
      </c>
      <c r="AM257" s="18" t="inlineStr">
        <is>
          <t>data/cobblemon/spawn_pool_world/0073_tentacruel.json</t>
        </is>
      </c>
      <c r="AN257" s="18" t="inlineStr">
        <is>
          <t>tentacruel-5</t>
        </is>
      </c>
      <c r="AO257" s="18" t="inlineStr">
        <is>
          <t>pokemon</t>
        </is>
      </c>
      <c r="AP257" s="18" t="inlineStr"/>
      <c r="AQ257" s="18" t="inlineStr">
        <is>
          <t>{"biomes":["#cobblemon:is_overworld"],"canSeeSky":false,"maxSkyLight":7,"minSkyLight":0}</t>
        </is>
      </c>
      <c r="AR257" s="18" t="inlineStr">
        <is>
          <t>{"biomes":["#cobblemon:is_dripstone","#cobblemon:is_lush"],"maxY":13,"minY":-60,"structures":["#cobblemon:shipwreck_cove"]}</t>
        </is>
      </c>
      <c r="AS257" s="18" t="inlineStr">
        <is>
          <t>{"weightMultiplier":{"condition":{"maxLureLevel":1,"minLureLevel":0},"multiplier":0.6}}</t>
        </is>
      </c>
      <c r="AT257" s="19" t="inlineStr"/>
    </row>
    <row r="258" ht="32" customHeight="1">
      <c r="A258" s="18" t="inlineStr">
        <is>
          <t>0073_tentacruel.json::tentacruel-6::004</t>
        </is>
      </c>
      <c r="B258" s="19" t="inlineStr">
        <is>
          <t>사용</t>
        </is>
      </c>
      <c r="C258" s="18">
        <f>IF(OR(B258&lt;&gt;AK258,M258&lt;&gt;L258,O258&lt;&gt;"",Q258&lt;&gt;"",V258&lt;&gt;1,Y258&lt;&gt;"",AT258&lt;&gt;""),"수정","원본")</f>
        <v/>
      </c>
      <c r="D258" s="18" t="n">
        <v>73</v>
      </c>
      <c r="E258" s="18" t="inlineStr">
        <is>
          <t>독파리</t>
        </is>
      </c>
      <c r="F258" s="18" t="inlineStr">
        <is>
          <t>tentacruel</t>
        </is>
      </c>
      <c r="G258" s="18" t="inlineStr">
        <is>
          <t>tentacruel</t>
        </is>
      </c>
      <c r="H258" s="18" t="inlineStr"/>
      <c r="I258" s="18" t="n">
        <v>1</v>
      </c>
      <c r="J258" s="18" t="n"/>
      <c r="K258" s="18" t="n">
        <v>1</v>
      </c>
      <c r="L258" s="18" t="inlineStr">
        <is>
          <t>cobbleventure:generation_1</t>
        </is>
      </c>
      <c r="M258" s="19" t="inlineStr">
        <is>
          <t>cobbleventure:generation_1</t>
        </is>
      </c>
      <c r="N258" s="18" t="inlineStr"/>
      <c r="O258" s="19" t="inlineStr"/>
      <c r="P258" s="18" t="inlineStr">
        <is>
          <t>#cobblemon:is_ocean</t>
        </is>
      </c>
      <c r="Q258" s="19" t="inlineStr"/>
      <c r="R258" s="18">
        <f>IF(Q258="",P258,Q258)</f>
        <v/>
      </c>
      <c r="S258" s="18" t="inlineStr"/>
      <c r="T258" s="18" t="inlineStr">
        <is>
          <t>common</t>
        </is>
      </c>
      <c r="U258" s="20" t="n">
        <v>1</v>
      </c>
      <c r="V258" s="21" t="n">
        <v>1</v>
      </c>
      <c r="W258" s="20">
        <f>IF(OR(U258="",V258=""),U258,U258*V258)</f>
        <v/>
      </c>
      <c r="X258" s="18" t="inlineStr">
        <is>
          <t>30-52</t>
        </is>
      </c>
      <c r="Y258" s="19" t="inlineStr"/>
      <c r="Z258" s="18">
        <f>IF(Y258="",X258,Y258)</f>
        <v/>
      </c>
      <c r="AA258" s="18" t="inlineStr">
        <is>
          <t>fishing</t>
        </is>
      </c>
      <c r="AB258" s="18" t="inlineStr"/>
      <c r="AC258" s="18" t="inlineStr"/>
      <c r="AD258" s="18" t="inlineStr"/>
      <c r="AE258" s="18" t="inlineStr">
        <is>
          <t>sky 8-15</t>
        </is>
      </c>
      <c r="AF258" s="18" t="inlineStr">
        <is>
          <t>False</t>
        </is>
      </c>
      <c r="AG258" s="18" t="inlineStr"/>
      <c r="AH258" s="18" t="inlineStr"/>
      <c r="AI258" s="18" t="inlineStr"/>
      <c r="AJ258" s="18" t="inlineStr">
        <is>
          <t>COBBLEVERSE 수정</t>
        </is>
      </c>
      <c r="AK258" s="18" t="inlineStr">
        <is>
          <t>사용</t>
        </is>
      </c>
      <c r="AL258" s="18" t="inlineStr">
        <is>
          <t>COBBLEVERSE 1.7.42 / DP v31</t>
        </is>
      </c>
      <c r="AM258" s="18" t="inlineStr">
        <is>
          <t>data/cobblemon/spawn_pool_world/0073_tentacruel.json</t>
        </is>
      </c>
      <c r="AN258" s="18" t="inlineStr">
        <is>
          <t>tentacruel-6</t>
        </is>
      </c>
      <c r="AO258" s="18" t="inlineStr">
        <is>
          <t>pokemon</t>
        </is>
      </c>
      <c r="AP258" s="18" t="inlineStr"/>
      <c r="AQ258" s="18" t="inlineStr">
        <is>
          <t>{"biomes":["#cobblemon:is_ocean"],"canSeeSky":false,"maxSkyLight":15,"minSkyLight":8}</t>
        </is>
      </c>
      <c r="AR258" s="18" t="inlineStr"/>
      <c r="AS258" s="18" t="inlineStr"/>
      <c r="AT258" s="19" t="inlineStr"/>
    </row>
    <row r="259" ht="32" customHeight="1">
      <c r="A259" s="18" t="inlineStr">
        <is>
          <t>0073_tentacruel.json::tentacruel-8::005</t>
        </is>
      </c>
      <c r="B259" s="19" t="inlineStr">
        <is>
          <t>사용</t>
        </is>
      </c>
      <c r="C259" s="18">
        <f>IF(OR(B259&lt;&gt;AK259,M259&lt;&gt;L259,O259&lt;&gt;"",Q259&lt;&gt;"",V259&lt;&gt;1,Y259&lt;&gt;"",AT259&lt;&gt;""),"수정","원본")</f>
        <v/>
      </c>
      <c r="D259" s="18" t="n">
        <v>73</v>
      </c>
      <c r="E259" s="18" t="inlineStr">
        <is>
          <t>독파리</t>
        </is>
      </c>
      <c r="F259" s="18" t="inlineStr">
        <is>
          <t>tentacruel</t>
        </is>
      </c>
      <c r="G259" s="18" t="inlineStr">
        <is>
          <t>tentacruel</t>
        </is>
      </c>
      <c r="H259" s="18" t="inlineStr"/>
      <c r="I259" s="18" t="n">
        <v>1</v>
      </c>
      <c r="J259" s="18" t="n"/>
      <c r="K259" s="18" t="n">
        <v>1</v>
      </c>
      <c r="L259" s="18" t="inlineStr">
        <is>
          <t>cobbleventure:generation_1</t>
        </is>
      </c>
      <c r="M259" s="19" t="inlineStr">
        <is>
          <t>cobbleventure:generation_1</t>
        </is>
      </c>
      <c r="N259" s="18" t="inlineStr">
        <is>
          <t>region_01; region_02</t>
        </is>
      </c>
      <c r="O259" s="19" t="inlineStr"/>
      <c r="P259" s="18" t="inlineStr">
        <is>
          <t>#cobblemon:is_overworld</t>
        </is>
      </c>
      <c r="Q259" s="19" t="inlineStr"/>
      <c r="R259" s="18">
        <f>IF(Q259="",P259,Q259)</f>
        <v/>
      </c>
      <c r="S259" s="18" t="inlineStr"/>
      <c r="T259" s="18" t="inlineStr">
        <is>
          <t>common</t>
        </is>
      </c>
      <c r="U259" s="20" t="n">
        <v>1</v>
      </c>
      <c r="V259" s="21" t="n">
        <v>1</v>
      </c>
      <c r="W259" s="20">
        <f>IF(OR(U259="",V259=""),U259,U259*V259)</f>
        <v/>
      </c>
      <c r="X259" s="18" t="inlineStr">
        <is>
          <t>30-52</t>
        </is>
      </c>
      <c r="Y259" s="19" t="inlineStr"/>
      <c r="Z259" s="18">
        <f>IF(Y259="",X259,Y259)</f>
        <v/>
      </c>
      <c r="AA259" s="18" t="inlineStr">
        <is>
          <t>fishing</t>
        </is>
      </c>
      <c r="AB259" s="18" t="inlineStr"/>
      <c r="AC259" s="18" t="inlineStr"/>
      <c r="AD259" s="18" t="inlineStr">
        <is>
          <t>minY=-60, maxY=13</t>
        </is>
      </c>
      <c r="AE259" s="18" t="inlineStr"/>
      <c r="AF259" s="18" t="inlineStr">
        <is>
          <t>False</t>
        </is>
      </c>
      <c r="AG259" s="18" t="inlineStr">
        <is>
          <t>cobblemon:shipwreck_coves/submerged_shipwreck_cove</t>
        </is>
      </c>
      <c r="AH259" s="18" t="inlineStr"/>
      <c r="AI259" s="18" t="inlineStr"/>
      <c r="AJ259" s="18" t="inlineStr">
        <is>
          <t>COBBLEVERSE 수정</t>
        </is>
      </c>
      <c r="AK259" s="18" t="inlineStr">
        <is>
          <t>사용</t>
        </is>
      </c>
      <c r="AL259" s="18" t="inlineStr">
        <is>
          <t>COBBLEVERSE 1.7.42 / DP v31</t>
        </is>
      </c>
      <c r="AM259" s="18" t="inlineStr">
        <is>
          <t>data/cobblemon/spawn_pool_world/0073_tentacruel.json</t>
        </is>
      </c>
      <c r="AN259" s="18" t="inlineStr">
        <is>
          <t>tentacruel-8</t>
        </is>
      </c>
      <c r="AO259" s="18" t="inlineStr">
        <is>
          <t>pokemon</t>
        </is>
      </c>
      <c r="AP259" s="18" t="inlineStr"/>
      <c r="AQ259" s="18" t="inlineStr">
        <is>
          <t>{"biomes":["#cobblemon:is_overworld"],"canSeeSky":false,"maxY":13,"minY":-60,"structures":["cobblemon:shipwreck_coves/submerged_shipwreck_cove"]}</t>
        </is>
      </c>
      <c r="AR259" s="18" t="inlineStr"/>
      <c r="AS259" s="18" t="inlineStr"/>
      <c r="AT259" s="19" t="inlineStr"/>
    </row>
    <row r="260" ht="32" customHeight="1">
      <c r="A260" s="18" t="inlineStr">
        <is>
          <t>0074_geodude.json::geodude-1::001</t>
        </is>
      </c>
      <c r="B260" s="19" t="inlineStr">
        <is>
          <t>사용</t>
        </is>
      </c>
      <c r="C260" s="18">
        <f>IF(OR(B260&lt;&gt;AK260,M260&lt;&gt;L260,O260&lt;&gt;"",Q260&lt;&gt;"",V260&lt;&gt;1,Y260&lt;&gt;"",AT260&lt;&gt;""),"수정","원본")</f>
        <v/>
      </c>
      <c r="D260" s="18" t="n">
        <v>74</v>
      </c>
      <c r="E260" s="18" t="inlineStr">
        <is>
          <t>꼬마돌</t>
        </is>
      </c>
      <c r="F260" s="18" t="inlineStr">
        <is>
          <t>geodude</t>
        </is>
      </c>
      <c r="G260" s="18" t="inlineStr">
        <is>
          <t>geodude</t>
        </is>
      </c>
      <c r="H260" s="18" t="inlineStr"/>
      <c r="I260" s="18" t="n">
        <v>1</v>
      </c>
      <c r="J260" s="18" t="n"/>
      <c r="K260" s="18" t="n">
        <v>1</v>
      </c>
      <c r="L260" s="18" t="inlineStr">
        <is>
          <t>cobbleventure:generation_1</t>
        </is>
      </c>
      <c r="M260" s="19" t="inlineStr">
        <is>
          <t>cobbleventure:generation_1</t>
        </is>
      </c>
      <c r="N260" s="18" t="inlineStr"/>
      <c r="O260" s="19" t="inlineStr"/>
      <c r="P260" s="18" t="inlineStr">
        <is>
          <t>#cobblemon:is_mountain</t>
        </is>
      </c>
      <c r="Q260" s="19" t="inlineStr"/>
      <c r="R260" s="18">
        <f>IF(Q260="",P260,Q260)</f>
        <v/>
      </c>
      <c r="S260" s="18" t="inlineStr"/>
      <c r="T260" s="18" t="inlineStr">
        <is>
          <t>common</t>
        </is>
      </c>
      <c r="U260" s="20" t="n">
        <v>9</v>
      </c>
      <c r="V260" s="21" t="n">
        <v>1</v>
      </c>
      <c r="W260" s="20">
        <f>IF(OR(U260="",V260=""),U260,U260*V260)</f>
        <v/>
      </c>
      <c r="X260" s="18" t="inlineStr">
        <is>
          <t>5-30</t>
        </is>
      </c>
      <c r="Y260" s="19" t="inlineStr"/>
      <c r="Z260" s="18">
        <f>IF(Y260="",X260,Y260)</f>
        <v/>
      </c>
      <c r="AA260" s="18" t="inlineStr">
        <is>
          <t>grounded</t>
        </is>
      </c>
      <c r="AB260" s="18" t="inlineStr"/>
      <c r="AC260" s="18" t="inlineStr"/>
      <c r="AD260" s="18" t="inlineStr"/>
      <c r="AE260" s="18" t="inlineStr">
        <is>
          <t>sky 8-15</t>
        </is>
      </c>
      <c r="AF260" s="18" t="inlineStr"/>
      <c r="AG260" s="18" t="inlineStr"/>
      <c r="AH260" s="18" t="inlineStr"/>
      <c r="AI260" s="18" t="inlineStr"/>
      <c r="AJ260" s="18" t="inlineStr">
        <is>
          <t>Cobblemon 동일</t>
        </is>
      </c>
      <c r="AK260" s="18" t="inlineStr">
        <is>
          <t>사용</t>
        </is>
      </c>
      <c r="AL260" s="18" t="inlineStr">
        <is>
          <t>COBBLEVERSE 1.7.42 / DP v31</t>
        </is>
      </c>
      <c r="AM260" s="18" t="inlineStr">
        <is>
          <t>data/cobblemon/spawn_pool_world/0074_geodude.json</t>
        </is>
      </c>
      <c r="AN260" s="18" t="inlineStr">
        <is>
          <t>geodude-1</t>
        </is>
      </c>
      <c r="AO260" s="18" t="inlineStr">
        <is>
          <t>pokemon</t>
        </is>
      </c>
      <c r="AP260" s="18" t="inlineStr">
        <is>
          <t>natural; wild</t>
        </is>
      </c>
      <c r="AQ260" s="18" t="inlineStr">
        <is>
          <t>{"biomes":["#cobblemon:is_mountain"],"maxSkyLight":15,"minSkyLight":8}</t>
        </is>
      </c>
      <c r="AR260" s="18" t="inlineStr"/>
      <c r="AS260" s="18" t="inlineStr"/>
      <c r="AT260" s="19" t="inlineStr"/>
    </row>
    <row r="261" ht="32" customHeight="1">
      <c r="A261" s="18" t="inlineStr">
        <is>
          <t>0074_geodude.json::geodude-2::002</t>
        </is>
      </c>
      <c r="B261" s="19" t="inlineStr">
        <is>
          <t>사용</t>
        </is>
      </c>
      <c r="C261" s="18">
        <f>IF(OR(B261&lt;&gt;AK261,M261&lt;&gt;L261,O261&lt;&gt;"",Q261&lt;&gt;"",V261&lt;&gt;1,Y261&lt;&gt;"",AT261&lt;&gt;""),"수정","원본")</f>
        <v/>
      </c>
      <c r="D261" s="18" t="n">
        <v>74</v>
      </c>
      <c r="E261" s="18" t="inlineStr">
        <is>
          <t>꼬마돌</t>
        </is>
      </c>
      <c r="F261" s="18" t="inlineStr">
        <is>
          <t>geodude</t>
        </is>
      </c>
      <c r="G261" s="18" t="inlineStr">
        <is>
          <t>geodude</t>
        </is>
      </c>
      <c r="H261" s="18" t="inlineStr"/>
      <c r="I261" s="18" t="n">
        <v>1</v>
      </c>
      <c r="J261" s="18" t="n"/>
      <c r="K261" s="18" t="n">
        <v>1</v>
      </c>
      <c r="L261" s="18" t="inlineStr">
        <is>
          <t>cobbleventure:generation_1</t>
        </is>
      </c>
      <c r="M261" s="19" t="inlineStr">
        <is>
          <t>cobbleventure:generation_1</t>
        </is>
      </c>
      <c r="N261" s="18" t="inlineStr">
        <is>
          <t>region_01; region_02</t>
        </is>
      </c>
      <c r="O261" s="19" t="inlineStr"/>
      <c r="P261" s="18" t="inlineStr">
        <is>
          <t>#cobblemon:is_overworld</t>
        </is>
      </c>
      <c r="Q261" s="19" t="inlineStr"/>
      <c r="R261" s="18">
        <f>IF(Q261="",P261,Q261)</f>
        <v/>
      </c>
      <c r="S261" s="18" t="inlineStr">
        <is>
          <t>#cobblemon:is_deep_dark</t>
        </is>
      </c>
      <c r="T261" s="18" t="inlineStr">
        <is>
          <t>common</t>
        </is>
      </c>
      <c r="U261" s="20" t="n">
        <v>9</v>
      </c>
      <c r="V261" s="21" t="n">
        <v>1</v>
      </c>
      <c r="W261" s="20">
        <f>IF(OR(U261="",V261=""),U261,U261*V261)</f>
        <v/>
      </c>
      <c r="X261" s="18" t="inlineStr">
        <is>
          <t>5-30</t>
        </is>
      </c>
      <c r="Y261" s="19" t="inlineStr"/>
      <c r="Z261" s="18">
        <f>IF(Y261="",X261,Y261)</f>
        <v/>
      </c>
      <c r="AA261" s="18" t="inlineStr">
        <is>
          <t>grounded</t>
        </is>
      </c>
      <c r="AB261" s="18" t="inlineStr"/>
      <c r="AC261" s="18" t="inlineStr"/>
      <c r="AD261" s="18" t="inlineStr"/>
      <c r="AE261" s="18" t="inlineStr">
        <is>
          <t>sky 0-7</t>
        </is>
      </c>
      <c r="AF261" s="18" t="inlineStr"/>
      <c r="AG261" s="18" t="inlineStr"/>
      <c r="AH261" s="18" t="inlineStr"/>
      <c r="AI261" s="18" t="inlineStr"/>
      <c r="AJ261" s="18" t="inlineStr">
        <is>
          <t>Cobblemon 동일</t>
        </is>
      </c>
      <c r="AK261" s="18" t="inlineStr">
        <is>
          <t>사용</t>
        </is>
      </c>
      <c r="AL261" s="18" t="inlineStr">
        <is>
          <t>COBBLEVERSE 1.7.42 / DP v31</t>
        </is>
      </c>
      <c r="AM261" s="18" t="inlineStr">
        <is>
          <t>data/cobblemon/spawn_pool_world/0074_geodude.json</t>
        </is>
      </c>
      <c r="AN261" s="18" t="inlineStr">
        <is>
          <t>geodude-2</t>
        </is>
      </c>
      <c r="AO261" s="18" t="inlineStr">
        <is>
          <t>pokemon</t>
        </is>
      </c>
      <c r="AP261" s="18" t="inlineStr">
        <is>
          <t>natural</t>
        </is>
      </c>
      <c r="AQ261" s="18" t="inlineStr">
        <is>
          <t>{"biomes":["#cobblemon:is_overworld"],"maxSkyLight":7,"minSkyLight":0}</t>
        </is>
      </c>
      <c r="AR261" s="18" t="inlineStr">
        <is>
          <t>{"biomes":["#cobblemon:is_deep_dark"]}</t>
        </is>
      </c>
      <c r="AS261" s="18" t="inlineStr"/>
      <c r="AT261" s="19" t="inlineStr"/>
    </row>
    <row r="262" ht="32" customHeight="1">
      <c r="A262" s="18" t="inlineStr">
        <is>
          <t>0074_geodude.json::geodude-alolan-3::003</t>
        </is>
      </c>
      <c r="B262" s="19" t="inlineStr">
        <is>
          <t>사용</t>
        </is>
      </c>
      <c r="C262" s="18">
        <f>IF(OR(B262&lt;&gt;AK262,M262&lt;&gt;L262,O262&lt;&gt;"",Q262&lt;&gt;"",V262&lt;&gt;1,Y262&lt;&gt;"",AT262&lt;&gt;""),"수정","원본")</f>
        <v/>
      </c>
      <c r="D262" s="18" t="n">
        <v>74</v>
      </c>
      <c r="E262" s="18" t="inlineStr">
        <is>
          <t>꼬마돌</t>
        </is>
      </c>
      <c r="F262" s="18" t="inlineStr">
        <is>
          <t>geodude</t>
        </is>
      </c>
      <c r="G262" s="18" t="inlineStr">
        <is>
          <t>geodude alolan</t>
        </is>
      </c>
      <c r="H262" s="18" t="inlineStr">
        <is>
          <t>alolan</t>
        </is>
      </c>
      <c r="I262" s="18" t="n">
        <v>1</v>
      </c>
      <c r="J262" s="18" t="n">
        <v>7</v>
      </c>
      <c r="K262" s="18" t="n">
        <v>7</v>
      </c>
      <c r="L262" s="18" t="inlineStr">
        <is>
          <t>cobbleventure:generation_7</t>
        </is>
      </c>
      <c r="M262" s="19" t="inlineStr">
        <is>
          <t>cobbleventure:generation_7</t>
        </is>
      </c>
      <c r="N262" s="18" t="inlineStr">
        <is>
          <t>region_01; region_02</t>
        </is>
      </c>
      <c r="O262" s="19" t="inlineStr"/>
      <c r="P262" s="18" t="inlineStr">
        <is>
          <t>#cobblemon:is_overworld</t>
        </is>
      </c>
      <c r="Q262" s="19" t="inlineStr"/>
      <c r="R262" s="18">
        <f>IF(Q262="",P262,Q262)</f>
        <v/>
      </c>
      <c r="S262" s="18" t="inlineStr"/>
      <c r="T262" s="18" t="inlineStr">
        <is>
          <t>common</t>
        </is>
      </c>
      <c r="U262" s="20" t="n">
        <v>9</v>
      </c>
      <c r="V262" s="21" t="n">
        <v>1</v>
      </c>
      <c r="W262" s="20">
        <f>IF(OR(U262="",V262=""),U262,U262*V262)</f>
        <v/>
      </c>
      <c r="X262" s="18" t="inlineStr">
        <is>
          <t>5-30</t>
        </is>
      </c>
      <c r="Y262" s="19" t="inlineStr"/>
      <c r="Z262" s="18">
        <f>IF(Y262="",X262,Y262)</f>
        <v/>
      </c>
      <c r="AA262" s="18" t="inlineStr">
        <is>
          <t>grounded</t>
        </is>
      </c>
      <c r="AB262" s="18" t="inlineStr"/>
      <c r="AC262" s="18" t="inlineStr"/>
      <c r="AD262" s="18" t="inlineStr"/>
      <c r="AE262" s="18" t="inlineStr"/>
      <c r="AF262" s="18" t="inlineStr"/>
      <c r="AG262" s="18" t="inlineStr"/>
      <c r="AH262" s="18" t="inlineStr">
        <is>
          <t>주변=#minecraft:iron_ores</t>
        </is>
      </c>
      <c r="AI262" s="18" t="inlineStr"/>
      <c r="AJ262" s="18" t="inlineStr">
        <is>
          <t>Cobblemon 동일</t>
        </is>
      </c>
      <c r="AK262" s="18" t="inlineStr">
        <is>
          <t>사용</t>
        </is>
      </c>
      <c r="AL262" s="18" t="inlineStr">
        <is>
          <t>COBBLEVERSE 1.7.42 / DP v31</t>
        </is>
      </c>
      <c r="AM262" s="18" t="inlineStr">
        <is>
          <t>data/cobblemon/spawn_pool_world/0074_geodude.json</t>
        </is>
      </c>
      <c r="AN262" s="18" t="inlineStr">
        <is>
          <t>geodude-alolan-3</t>
        </is>
      </c>
      <c r="AO262" s="18" t="inlineStr">
        <is>
          <t>pokemon</t>
        </is>
      </c>
      <c r="AP262" s="18" t="inlineStr">
        <is>
          <t>natural</t>
        </is>
      </c>
      <c r="AQ262" s="18" t="inlineStr">
        <is>
          <t>{"biomes":["#cobblemon:is_overworld"],"neededNearbyBlocks":["#minecraft:iron_ores"]}</t>
        </is>
      </c>
      <c r="AR262" s="18" t="inlineStr"/>
      <c r="AS262" s="18" t="inlineStr"/>
      <c r="AT262" s="19" t="inlineStr"/>
    </row>
    <row r="263" ht="32" customHeight="1">
      <c r="A263" s="18" t="inlineStr">
        <is>
          <t>0075_graveler.json::graveler-1::001</t>
        </is>
      </c>
      <c r="B263" s="19" t="inlineStr">
        <is>
          <t>사용</t>
        </is>
      </c>
      <c r="C263" s="18">
        <f>IF(OR(B263&lt;&gt;AK263,M263&lt;&gt;L263,O263&lt;&gt;"",Q263&lt;&gt;"",V263&lt;&gt;1,Y263&lt;&gt;"",AT263&lt;&gt;""),"수정","원본")</f>
        <v/>
      </c>
      <c r="D263" s="18" t="n">
        <v>75</v>
      </c>
      <c r="E263" s="18" t="inlineStr">
        <is>
          <t>데구리</t>
        </is>
      </c>
      <c r="F263" s="18" t="inlineStr">
        <is>
          <t>graveler</t>
        </is>
      </c>
      <c r="G263" s="18" t="inlineStr">
        <is>
          <t>graveler</t>
        </is>
      </c>
      <c r="H263" s="18" t="inlineStr"/>
      <c r="I263" s="18" t="n">
        <v>1</v>
      </c>
      <c r="J263" s="18" t="n"/>
      <c r="K263" s="18" t="n">
        <v>1</v>
      </c>
      <c r="L263" s="18" t="inlineStr">
        <is>
          <t>cobbleventure:generation_1</t>
        </is>
      </c>
      <c r="M263" s="19" t="inlineStr">
        <is>
          <t>cobbleventure:generation_1</t>
        </is>
      </c>
      <c r="N263" s="18" t="inlineStr"/>
      <c r="O263" s="19" t="inlineStr"/>
      <c r="P263" s="18" t="inlineStr">
        <is>
          <t>#cobblemon:is_mountain</t>
        </is>
      </c>
      <c r="Q263" s="19" t="inlineStr"/>
      <c r="R263" s="18">
        <f>IF(Q263="",P263,Q263)</f>
        <v/>
      </c>
      <c r="S263" s="18" t="inlineStr"/>
      <c r="T263" s="18" t="inlineStr">
        <is>
          <t>common</t>
        </is>
      </c>
      <c r="U263" s="20" t="n">
        <v>0.95</v>
      </c>
      <c r="V263" s="21" t="n">
        <v>1</v>
      </c>
      <c r="W263" s="20">
        <f>IF(OR(U263="",V263=""),U263,U263*V263)</f>
        <v/>
      </c>
      <c r="X263" s="18" t="inlineStr">
        <is>
          <t>25-39</t>
        </is>
      </c>
      <c r="Y263" s="19" t="inlineStr"/>
      <c r="Z263" s="18">
        <f>IF(Y263="",X263,Y263)</f>
        <v/>
      </c>
      <c r="AA263" s="18" t="inlineStr">
        <is>
          <t>grounded</t>
        </is>
      </c>
      <c r="AB263" s="18" t="inlineStr"/>
      <c r="AC263" s="18" t="inlineStr"/>
      <c r="AD263" s="18" t="inlineStr"/>
      <c r="AE263" s="18" t="inlineStr">
        <is>
          <t>sky 8-15</t>
        </is>
      </c>
      <c r="AF263" s="18" t="inlineStr"/>
      <c r="AG263" s="18" t="inlineStr"/>
      <c r="AH263" s="18" t="inlineStr"/>
      <c r="AI263" s="18" t="inlineStr"/>
      <c r="AJ263" s="18" t="inlineStr">
        <is>
          <t>Cobblemon 동일</t>
        </is>
      </c>
      <c r="AK263" s="18" t="inlineStr">
        <is>
          <t>사용</t>
        </is>
      </c>
      <c r="AL263" s="18" t="inlineStr">
        <is>
          <t>COBBLEVERSE 1.7.42 / DP v31</t>
        </is>
      </c>
      <c r="AM263" s="18" t="inlineStr">
        <is>
          <t>data/cobblemon/spawn_pool_world/0075_graveler.json</t>
        </is>
      </c>
      <c r="AN263" s="18" t="inlineStr">
        <is>
          <t>graveler-1</t>
        </is>
      </c>
      <c r="AO263" s="18" t="inlineStr">
        <is>
          <t>pokemon</t>
        </is>
      </c>
      <c r="AP263" s="18" t="inlineStr">
        <is>
          <t>natural; wild</t>
        </is>
      </c>
      <c r="AQ263" s="18" t="inlineStr">
        <is>
          <t>{"biomes":["#cobblemon:is_mountain"],"maxSkyLight":15,"minSkyLight":8}</t>
        </is>
      </c>
      <c r="AR263" s="18" t="inlineStr"/>
      <c r="AS263" s="18" t="inlineStr"/>
      <c r="AT263" s="19" t="inlineStr"/>
    </row>
    <row r="264" ht="32" customHeight="1">
      <c r="A264" s="18" t="inlineStr">
        <is>
          <t>0075_graveler.json::graveler-2::002</t>
        </is>
      </c>
      <c r="B264" s="19" t="inlineStr">
        <is>
          <t>사용</t>
        </is>
      </c>
      <c r="C264" s="18">
        <f>IF(OR(B264&lt;&gt;AK264,M264&lt;&gt;L264,O264&lt;&gt;"",Q264&lt;&gt;"",V264&lt;&gt;1,Y264&lt;&gt;"",AT264&lt;&gt;""),"수정","원본")</f>
        <v/>
      </c>
      <c r="D264" s="18" t="n">
        <v>75</v>
      </c>
      <c r="E264" s="18" t="inlineStr">
        <is>
          <t>데구리</t>
        </is>
      </c>
      <c r="F264" s="18" t="inlineStr">
        <is>
          <t>graveler</t>
        </is>
      </c>
      <c r="G264" s="18" t="inlineStr">
        <is>
          <t>graveler</t>
        </is>
      </c>
      <c r="H264" s="18" t="inlineStr"/>
      <c r="I264" s="18" t="n">
        <v>1</v>
      </c>
      <c r="J264" s="18" t="n"/>
      <c r="K264" s="18" t="n">
        <v>1</v>
      </c>
      <c r="L264" s="18" t="inlineStr">
        <is>
          <t>cobbleventure:generation_1</t>
        </is>
      </c>
      <c r="M264" s="19" t="inlineStr">
        <is>
          <t>cobbleventure:generation_1</t>
        </is>
      </c>
      <c r="N264" s="18" t="inlineStr">
        <is>
          <t>region_01; region_02</t>
        </is>
      </c>
      <c r="O264" s="19" t="inlineStr"/>
      <c r="P264" s="18" t="inlineStr">
        <is>
          <t>#cobblemon:is_overworld</t>
        </is>
      </c>
      <c r="Q264" s="19" t="inlineStr"/>
      <c r="R264" s="18">
        <f>IF(Q264="",P264,Q264)</f>
        <v/>
      </c>
      <c r="S264" s="18" t="inlineStr">
        <is>
          <t>#cobblemon:is_deep_dark</t>
        </is>
      </c>
      <c r="T264" s="18" t="inlineStr">
        <is>
          <t>common</t>
        </is>
      </c>
      <c r="U264" s="20" t="n">
        <v>0.95</v>
      </c>
      <c r="V264" s="21" t="n">
        <v>1</v>
      </c>
      <c r="W264" s="20">
        <f>IF(OR(U264="",V264=""),U264,U264*V264)</f>
        <v/>
      </c>
      <c r="X264" s="18" t="inlineStr">
        <is>
          <t>25-39</t>
        </is>
      </c>
      <c r="Y264" s="19" t="inlineStr"/>
      <c r="Z264" s="18">
        <f>IF(Y264="",X264,Y264)</f>
        <v/>
      </c>
      <c r="AA264" s="18" t="inlineStr">
        <is>
          <t>grounded</t>
        </is>
      </c>
      <c r="AB264" s="18" t="inlineStr"/>
      <c r="AC264" s="18" t="inlineStr"/>
      <c r="AD264" s="18" t="inlineStr"/>
      <c r="AE264" s="18" t="inlineStr">
        <is>
          <t>sky 0-7</t>
        </is>
      </c>
      <c r="AF264" s="18" t="inlineStr"/>
      <c r="AG264" s="18" t="inlineStr"/>
      <c r="AH264" s="18" t="inlineStr"/>
      <c r="AI264" s="18" t="inlineStr"/>
      <c r="AJ264" s="18" t="inlineStr">
        <is>
          <t>Cobblemon 동일</t>
        </is>
      </c>
      <c r="AK264" s="18" t="inlineStr">
        <is>
          <t>사용</t>
        </is>
      </c>
      <c r="AL264" s="18" t="inlineStr">
        <is>
          <t>COBBLEVERSE 1.7.42 / DP v31</t>
        </is>
      </c>
      <c r="AM264" s="18" t="inlineStr">
        <is>
          <t>data/cobblemon/spawn_pool_world/0075_graveler.json</t>
        </is>
      </c>
      <c r="AN264" s="18" t="inlineStr">
        <is>
          <t>graveler-2</t>
        </is>
      </c>
      <c r="AO264" s="18" t="inlineStr">
        <is>
          <t>pokemon</t>
        </is>
      </c>
      <c r="AP264" s="18" t="inlineStr">
        <is>
          <t>natural</t>
        </is>
      </c>
      <c r="AQ264" s="18" t="inlineStr">
        <is>
          <t>{"biomes":["#cobblemon:is_overworld"],"maxSkyLight":7,"minSkyLight":0}</t>
        </is>
      </c>
      <c r="AR264" s="18" t="inlineStr">
        <is>
          <t>{"biomes":["#cobblemon:is_deep_dark"]}</t>
        </is>
      </c>
      <c r="AS264" s="18" t="inlineStr"/>
      <c r="AT264" s="19" t="inlineStr"/>
    </row>
    <row r="265" ht="32" customHeight="1">
      <c r="A265" s="18" t="inlineStr">
        <is>
          <t>0075_graveler.json::graveler-alolan-3::003</t>
        </is>
      </c>
      <c r="B265" s="19" t="inlineStr">
        <is>
          <t>사용</t>
        </is>
      </c>
      <c r="C265" s="18">
        <f>IF(OR(B265&lt;&gt;AK265,M265&lt;&gt;L265,O265&lt;&gt;"",Q265&lt;&gt;"",V265&lt;&gt;1,Y265&lt;&gt;"",AT265&lt;&gt;""),"수정","원본")</f>
        <v/>
      </c>
      <c r="D265" s="18" t="n">
        <v>75</v>
      </c>
      <c r="E265" s="18" t="inlineStr">
        <is>
          <t>데구리</t>
        </is>
      </c>
      <c r="F265" s="18" t="inlineStr">
        <is>
          <t>graveler</t>
        </is>
      </c>
      <c r="G265" s="18" t="inlineStr">
        <is>
          <t>graveler alolan</t>
        </is>
      </c>
      <c r="H265" s="18" t="inlineStr">
        <is>
          <t>alolan</t>
        </is>
      </c>
      <c r="I265" s="18" t="n">
        <v>1</v>
      </c>
      <c r="J265" s="18" t="n">
        <v>7</v>
      </c>
      <c r="K265" s="18" t="n">
        <v>7</v>
      </c>
      <c r="L265" s="18" t="inlineStr">
        <is>
          <t>cobbleventure:generation_7</t>
        </is>
      </c>
      <c r="M265" s="19" t="inlineStr">
        <is>
          <t>cobbleventure:generation_7</t>
        </is>
      </c>
      <c r="N265" s="18" t="inlineStr">
        <is>
          <t>region_01; region_02</t>
        </is>
      </c>
      <c r="O265" s="19" t="inlineStr"/>
      <c r="P265" s="18" t="inlineStr">
        <is>
          <t>#cobblemon:is_overworld</t>
        </is>
      </c>
      <c r="Q265" s="19" t="inlineStr"/>
      <c r="R265" s="18">
        <f>IF(Q265="",P265,Q265)</f>
        <v/>
      </c>
      <c r="S265" s="18" t="inlineStr"/>
      <c r="T265" s="18" t="inlineStr">
        <is>
          <t>common</t>
        </is>
      </c>
      <c r="U265" s="20" t="n">
        <v>0.95</v>
      </c>
      <c r="V265" s="21" t="n">
        <v>1</v>
      </c>
      <c r="W265" s="20">
        <f>IF(OR(U265="",V265=""),U265,U265*V265)</f>
        <v/>
      </c>
      <c r="X265" s="18" t="inlineStr">
        <is>
          <t>25-39</t>
        </is>
      </c>
      <c r="Y265" s="19" t="inlineStr"/>
      <c r="Z265" s="18">
        <f>IF(Y265="",X265,Y265)</f>
        <v/>
      </c>
      <c r="AA265" s="18" t="inlineStr">
        <is>
          <t>grounded</t>
        </is>
      </c>
      <c r="AB265" s="18" t="inlineStr"/>
      <c r="AC265" s="18" t="inlineStr"/>
      <c r="AD265" s="18" t="inlineStr"/>
      <c r="AE265" s="18" t="inlineStr"/>
      <c r="AF265" s="18" t="inlineStr"/>
      <c r="AG265" s="18" t="inlineStr"/>
      <c r="AH265" s="18" t="inlineStr">
        <is>
          <t>주변=#minecraft:iron_ores</t>
        </is>
      </c>
      <c r="AI265" s="18" t="inlineStr"/>
      <c r="AJ265" s="18" t="inlineStr">
        <is>
          <t>Cobblemon 동일</t>
        </is>
      </c>
      <c r="AK265" s="18" t="inlineStr">
        <is>
          <t>사용</t>
        </is>
      </c>
      <c r="AL265" s="18" t="inlineStr">
        <is>
          <t>COBBLEVERSE 1.7.42 / DP v31</t>
        </is>
      </c>
      <c r="AM265" s="18" t="inlineStr">
        <is>
          <t>data/cobblemon/spawn_pool_world/0075_graveler.json</t>
        </is>
      </c>
      <c r="AN265" s="18" t="inlineStr">
        <is>
          <t>graveler-alolan-3</t>
        </is>
      </c>
      <c r="AO265" s="18" t="inlineStr">
        <is>
          <t>pokemon</t>
        </is>
      </c>
      <c r="AP265" s="18" t="inlineStr">
        <is>
          <t>natural</t>
        </is>
      </c>
      <c r="AQ265" s="18" t="inlineStr">
        <is>
          <t>{"biomes":["#cobblemon:is_overworld"],"neededNearbyBlocks":["#minecraft:iron_ores"]}</t>
        </is>
      </c>
      <c r="AR265" s="18" t="inlineStr"/>
      <c r="AS265" s="18" t="inlineStr"/>
      <c r="AT265" s="19" t="inlineStr"/>
    </row>
    <row r="266" ht="32" customHeight="1">
      <c r="A266" s="18" t="inlineStr">
        <is>
          <t>0076_golem.json::golem-1::001</t>
        </is>
      </c>
      <c r="B266" s="19" t="inlineStr">
        <is>
          <t>사용</t>
        </is>
      </c>
      <c r="C266" s="18">
        <f>IF(OR(B266&lt;&gt;AK266,M266&lt;&gt;L266,O266&lt;&gt;"",Q266&lt;&gt;"",V266&lt;&gt;1,Y266&lt;&gt;"",AT266&lt;&gt;""),"수정","원본")</f>
        <v/>
      </c>
      <c r="D266" s="18" t="n">
        <v>76</v>
      </c>
      <c r="E266" s="18" t="inlineStr">
        <is>
          <t>딱구리</t>
        </is>
      </c>
      <c r="F266" s="18" t="inlineStr">
        <is>
          <t>golem</t>
        </is>
      </c>
      <c r="G266" s="18" t="inlineStr">
        <is>
          <t>golem</t>
        </is>
      </c>
      <c r="H266" s="18" t="inlineStr"/>
      <c r="I266" s="18" t="n">
        <v>1</v>
      </c>
      <c r="J266" s="18" t="n"/>
      <c r="K266" s="18" t="n">
        <v>1</v>
      </c>
      <c r="L266" s="18" t="inlineStr">
        <is>
          <t>cobbleventure:generation_1</t>
        </is>
      </c>
      <c r="M266" s="19" t="inlineStr">
        <is>
          <t>cobbleventure:generation_1</t>
        </is>
      </c>
      <c r="N266" s="18" t="inlineStr"/>
      <c r="O266" s="19" t="inlineStr"/>
      <c r="P266" s="18" t="inlineStr">
        <is>
          <t>#cobblemon:is_mountain</t>
        </is>
      </c>
      <c r="Q266" s="19" t="inlineStr"/>
      <c r="R266" s="18">
        <f>IF(Q266="",P266,Q266)</f>
        <v/>
      </c>
      <c r="S266" s="18" t="inlineStr"/>
      <c r="T266" s="18" t="inlineStr">
        <is>
          <t>common</t>
        </is>
      </c>
      <c r="U266" s="20" t="n">
        <v>0.05</v>
      </c>
      <c r="V266" s="21" t="n">
        <v>1</v>
      </c>
      <c r="W266" s="20">
        <f>IF(OR(U266="",V266=""),U266,U266*V266)</f>
        <v/>
      </c>
      <c r="X266" s="18" t="inlineStr">
        <is>
          <t>34-50</t>
        </is>
      </c>
      <c r="Y266" s="19" t="inlineStr"/>
      <c r="Z266" s="18">
        <f>IF(Y266="",X266,Y266)</f>
        <v/>
      </c>
      <c r="AA266" s="18" t="inlineStr">
        <is>
          <t>grounded</t>
        </is>
      </c>
      <c r="AB266" s="18" t="inlineStr"/>
      <c r="AC266" s="18" t="inlineStr"/>
      <c r="AD266" s="18" t="inlineStr"/>
      <c r="AE266" s="18" t="inlineStr">
        <is>
          <t>sky 8-15</t>
        </is>
      </c>
      <c r="AF266" s="18" t="inlineStr"/>
      <c r="AG266" s="18" t="inlineStr"/>
      <c r="AH266" s="18" t="inlineStr"/>
      <c r="AI266" s="18" t="inlineStr"/>
      <c r="AJ266" s="18" t="inlineStr">
        <is>
          <t>Cobblemon 동일</t>
        </is>
      </c>
      <c r="AK266" s="18" t="inlineStr">
        <is>
          <t>사용</t>
        </is>
      </c>
      <c r="AL266" s="18" t="inlineStr">
        <is>
          <t>COBBLEVERSE 1.7.42 / DP v31</t>
        </is>
      </c>
      <c r="AM266" s="18" t="inlineStr">
        <is>
          <t>data/cobblemon/spawn_pool_world/0076_golem.json</t>
        </is>
      </c>
      <c r="AN266" s="18" t="inlineStr">
        <is>
          <t>golem-1</t>
        </is>
      </c>
      <c r="AO266" s="18" t="inlineStr">
        <is>
          <t>pokemon</t>
        </is>
      </c>
      <c r="AP266" s="18" t="inlineStr">
        <is>
          <t>natural; wild</t>
        </is>
      </c>
      <c r="AQ266" s="18" t="inlineStr">
        <is>
          <t>{"biomes":["#cobblemon:is_mountain"],"maxSkyLight":15,"minSkyLight":8}</t>
        </is>
      </c>
      <c r="AR266" s="18" t="inlineStr"/>
      <c r="AS266" s="18" t="inlineStr"/>
      <c r="AT266" s="19" t="inlineStr"/>
    </row>
    <row r="267" ht="32" customHeight="1">
      <c r="A267" s="18" t="inlineStr">
        <is>
          <t>0076_golem.json::golem-2::002</t>
        </is>
      </c>
      <c r="B267" s="19" t="inlineStr">
        <is>
          <t>사용</t>
        </is>
      </c>
      <c r="C267" s="18">
        <f>IF(OR(B267&lt;&gt;AK267,M267&lt;&gt;L267,O267&lt;&gt;"",Q267&lt;&gt;"",V267&lt;&gt;1,Y267&lt;&gt;"",AT267&lt;&gt;""),"수정","원본")</f>
        <v/>
      </c>
      <c r="D267" s="18" t="n">
        <v>76</v>
      </c>
      <c r="E267" s="18" t="inlineStr">
        <is>
          <t>딱구리</t>
        </is>
      </c>
      <c r="F267" s="18" t="inlineStr">
        <is>
          <t>golem</t>
        </is>
      </c>
      <c r="G267" s="18" t="inlineStr">
        <is>
          <t>golem</t>
        </is>
      </c>
      <c r="H267" s="18" t="inlineStr"/>
      <c r="I267" s="18" t="n">
        <v>1</v>
      </c>
      <c r="J267" s="18" t="n"/>
      <c r="K267" s="18" t="n">
        <v>1</v>
      </c>
      <c r="L267" s="18" t="inlineStr">
        <is>
          <t>cobbleventure:generation_1</t>
        </is>
      </c>
      <c r="M267" s="19" t="inlineStr">
        <is>
          <t>cobbleventure:generation_1</t>
        </is>
      </c>
      <c r="N267" s="18" t="inlineStr">
        <is>
          <t>region_01; region_02</t>
        </is>
      </c>
      <c r="O267" s="19" t="inlineStr"/>
      <c r="P267" s="18" t="inlineStr">
        <is>
          <t>#cobblemon:is_overworld</t>
        </is>
      </c>
      <c r="Q267" s="19" t="inlineStr"/>
      <c r="R267" s="18">
        <f>IF(Q267="",P267,Q267)</f>
        <v/>
      </c>
      <c r="S267" s="18" t="inlineStr">
        <is>
          <t>#cobblemon:is_deep_dark</t>
        </is>
      </c>
      <c r="T267" s="18" t="inlineStr">
        <is>
          <t>common</t>
        </is>
      </c>
      <c r="U267" s="20" t="n">
        <v>0.05</v>
      </c>
      <c r="V267" s="21" t="n">
        <v>1</v>
      </c>
      <c r="W267" s="20">
        <f>IF(OR(U267="",V267=""),U267,U267*V267)</f>
        <v/>
      </c>
      <c r="X267" s="18" t="inlineStr">
        <is>
          <t>34-50</t>
        </is>
      </c>
      <c r="Y267" s="19" t="inlineStr"/>
      <c r="Z267" s="18">
        <f>IF(Y267="",X267,Y267)</f>
        <v/>
      </c>
      <c r="AA267" s="18" t="inlineStr">
        <is>
          <t>grounded</t>
        </is>
      </c>
      <c r="AB267" s="18" t="inlineStr"/>
      <c r="AC267" s="18" t="inlineStr"/>
      <c r="AD267" s="18" t="inlineStr"/>
      <c r="AE267" s="18" t="inlineStr">
        <is>
          <t>sky 0-7</t>
        </is>
      </c>
      <c r="AF267" s="18" t="inlineStr"/>
      <c r="AG267" s="18" t="inlineStr"/>
      <c r="AH267" s="18" t="inlineStr"/>
      <c r="AI267" s="18" t="inlineStr"/>
      <c r="AJ267" s="18" t="inlineStr">
        <is>
          <t>Cobblemon 동일</t>
        </is>
      </c>
      <c r="AK267" s="18" t="inlineStr">
        <is>
          <t>사용</t>
        </is>
      </c>
      <c r="AL267" s="18" t="inlineStr">
        <is>
          <t>COBBLEVERSE 1.7.42 / DP v31</t>
        </is>
      </c>
      <c r="AM267" s="18" t="inlineStr">
        <is>
          <t>data/cobblemon/spawn_pool_world/0076_golem.json</t>
        </is>
      </c>
      <c r="AN267" s="18" t="inlineStr">
        <is>
          <t>golem-2</t>
        </is>
      </c>
      <c r="AO267" s="18" t="inlineStr">
        <is>
          <t>pokemon</t>
        </is>
      </c>
      <c r="AP267" s="18" t="inlineStr">
        <is>
          <t>natural</t>
        </is>
      </c>
      <c r="AQ267" s="18" t="inlineStr">
        <is>
          <t>{"biomes":["#cobblemon:is_overworld"],"maxSkyLight":7,"minSkyLight":0}</t>
        </is>
      </c>
      <c r="AR267" s="18" t="inlineStr">
        <is>
          <t>{"biomes":["#cobblemon:is_deep_dark"]}</t>
        </is>
      </c>
      <c r="AS267" s="18" t="inlineStr"/>
      <c r="AT267" s="19" t="inlineStr"/>
    </row>
    <row r="268" ht="32" customHeight="1">
      <c r="A268" s="18" t="inlineStr">
        <is>
          <t>0076_golem.json::golem-alolan-3::003</t>
        </is>
      </c>
      <c r="B268" s="19" t="inlineStr">
        <is>
          <t>사용</t>
        </is>
      </c>
      <c r="C268" s="18">
        <f>IF(OR(B268&lt;&gt;AK268,M268&lt;&gt;L268,O268&lt;&gt;"",Q268&lt;&gt;"",V268&lt;&gt;1,Y268&lt;&gt;"",AT268&lt;&gt;""),"수정","원본")</f>
        <v/>
      </c>
      <c r="D268" s="18" t="n">
        <v>76</v>
      </c>
      <c r="E268" s="18" t="inlineStr">
        <is>
          <t>딱구리</t>
        </is>
      </c>
      <c r="F268" s="18" t="inlineStr">
        <is>
          <t>golem</t>
        </is>
      </c>
      <c r="G268" s="18" t="inlineStr">
        <is>
          <t>golem alolan</t>
        </is>
      </c>
      <c r="H268" s="18" t="inlineStr">
        <is>
          <t>alolan</t>
        </is>
      </c>
      <c r="I268" s="18" t="n">
        <v>1</v>
      </c>
      <c r="J268" s="18" t="n">
        <v>7</v>
      </c>
      <c r="K268" s="18" t="n">
        <v>7</v>
      </c>
      <c r="L268" s="18" t="inlineStr">
        <is>
          <t>cobbleventure:generation_7</t>
        </is>
      </c>
      <c r="M268" s="19" t="inlineStr">
        <is>
          <t>cobbleventure:generation_7</t>
        </is>
      </c>
      <c r="N268" s="18" t="inlineStr">
        <is>
          <t>region_01; region_02</t>
        </is>
      </c>
      <c r="O268" s="19" t="inlineStr"/>
      <c r="P268" s="18" t="inlineStr">
        <is>
          <t>#cobblemon:is_overworld</t>
        </is>
      </c>
      <c r="Q268" s="19" t="inlineStr"/>
      <c r="R268" s="18">
        <f>IF(Q268="",P268,Q268)</f>
        <v/>
      </c>
      <c r="S268" s="18" t="inlineStr"/>
      <c r="T268" s="18" t="inlineStr">
        <is>
          <t>common</t>
        </is>
      </c>
      <c r="U268" s="20" t="n">
        <v>0.05</v>
      </c>
      <c r="V268" s="21" t="n">
        <v>1</v>
      </c>
      <c r="W268" s="20">
        <f>IF(OR(U268="",V268=""),U268,U268*V268)</f>
        <v/>
      </c>
      <c r="X268" s="18" t="inlineStr">
        <is>
          <t>34-50</t>
        </is>
      </c>
      <c r="Y268" s="19" t="inlineStr"/>
      <c r="Z268" s="18">
        <f>IF(Y268="",X268,Y268)</f>
        <v/>
      </c>
      <c r="AA268" s="18" t="inlineStr">
        <is>
          <t>grounded</t>
        </is>
      </c>
      <c r="AB268" s="18" t="inlineStr"/>
      <c r="AC268" s="18" t="inlineStr"/>
      <c r="AD268" s="18" t="inlineStr"/>
      <c r="AE268" s="18" t="inlineStr"/>
      <c r="AF268" s="18" t="inlineStr"/>
      <c r="AG268" s="18" t="inlineStr"/>
      <c r="AH268" s="18" t="inlineStr">
        <is>
          <t>주변=#minecraft:iron_ores</t>
        </is>
      </c>
      <c r="AI268" s="18" t="inlineStr"/>
      <c r="AJ268" s="18" t="inlineStr">
        <is>
          <t>Cobblemon 동일</t>
        </is>
      </c>
      <c r="AK268" s="18" t="inlineStr">
        <is>
          <t>사용</t>
        </is>
      </c>
      <c r="AL268" s="18" t="inlineStr">
        <is>
          <t>COBBLEVERSE 1.7.42 / DP v31</t>
        </is>
      </c>
      <c r="AM268" s="18" t="inlineStr">
        <is>
          <t>data/cobblemon/spawn_pool_world/0076_golem.json</t>
        </is>
      </c>
      <c r="AN268" s="18" t="inlineStr">
        <is>
          <t>golem-alolan-3</t>
        </is>
      </c>
      <c r="AO268" s="18" t="inlineStr">
        <is>
          <t>pokemon</t>
        </is>
      </c>
      <c r="AP268" s="18" t="inlineStr">
        <is>
          <t>natural</t>
        </is>
      </c>
      <c r="AQ268" s="18" t="inlineStr">
        <is>
          <t>{"biomes":["#cobblemon:is_overworld"],"neededNearbyBlocks":["#minecraft:iron_ores"]}</t>
        </is>
      </c>
      <c r="AR268" s="18" t="inlineStr"/>
      <c r="AS268" s="18" t="inlineStr"/>
      <c r="AT268" s="19" t="inlineStr"/>
    </row>
    <row r="269" ht="32" customHeight="1">
      <c r="A269" s="18" t="inlineStr">
        <is>
          <t>0077_ponyta.json::ponyta-1::001</t>
        </is>
      </c>
      <c r="B269" s="19" t="inlineStr">
        <is>
          <t>사용</t>
        </is>
      </c>
      <c r="C269" s="18">
        <f>IF(OR(B269&lt;&gt;AK269,M269&lt;&gt;L269,O269&lt;&gt;"",Q269&lt;&gt;"",V269&lt;&gt;1,Y269&lt;&gt;"",AT269&lt;&gt;""),"수정","원본")</f>
        <v/>
      </c>
      <c r="D269" s="18" t="n">
        <v>77</v>
      </c>
      <c r="E269" s="18" t="inlineStr">
        <is>
          <t>포니타</t>
        </is>
      </c>
      <c r="F269" s="18" t="inlineStr">
        <is>
          <t>ponyta</t>
        </is>
      </c>
      <c r="G269" s="18" t="inlineStr">
        <is>
          <t>ponyta</t>
        </is>
      </c>
      <c r="H269" s="18" t="inlineStr"/>
      <c r="I269" s="18" t="n">
        <v>1</v>
      </c>
      <c r="J269" s="18" t="n"/>
      <c r="K269" s="18" t="n">
        <v>1</v>
      </c>
      <c r="L269" s="18" t="inlineStr">
        <is>
          <t>cobbleventure:generation_1</t>
        </is>
      </c>
      <c r="M269" s="19" t="inlineStr">
        <is>
          <t>cobbleventure:generation_1</t>
        </is>
      </c>
      <c r="N269" s="18" t="inlineStr">
        <is>
          <t>region_01</t>
        </is>
      </c>
      <c r="O269" s="19" t="inlineStr"/>
      <c r="P269" s="18" t="inlineStr">
        <is>
          <t>#cobblemon:is_grassland</t>
        </is>
      </c>
      <c r="Q269" s="19" t="inlineStr"/>
      <c r="R269" s="18">
        <f>IF(Q269="",P269,Q269)</f>
        <v/>
      </c>
      <c r="S269" s="18" t="inlineStr">
        <is>
          <t>#cobblemon:is_floral; #cobblemon:is_magical</t>
        </is>
      </c>
      <c r="T269" s="18" t="inlineStr">
        <is>
          <t>uncommon</t>
        </is>
      </c>
      <c r="U269" s="20" t="n">
        <v>5.04</v>
      </c>
      <c r="V269" s="21" t="n">
        <v>1</v>
      </c>
      <c r="W269" s="20">
        <f>IF(OR(U269="",V269=""),U269,U269*V269)</f>
        <v/>
      </c>
      <c r="X269" s="18" t="inlineStr">
        <is>
          <t>16-41</t>
        </is>
      </c>
      <c r="Y269" s="19" t="inlineStr"/>
      <c r="Z269" s="18">
        <f>IF(Y269="",X269,Y269)</f>
        <v/>
      </c>
      <c r="AA269" s="18" t="inlineStr">
        <is>
          <t>grounded</t>
        </is>
      </c>
      <c r="AB269" s="18" t="inlineStr"/>
      <c r="AC269" s="18" t="inlineStr">
        <is>
          <t>비=False</t>
        </is>
      </c>
      <c r="AD269" s="18" t="inlineStr"/>
      <c r="AE269" s="18" t="inlineStr">
        <is>
          <t>sky 8-15</t>
        </is>
      </c>
      <c r="AF269" s="18" t="inlineStr"/>
      <c r="AG269" s="18" t="inlineStr"/>
      <c r="AH269" s="18" t="inlineStr"/>
      <c r="AI269" s="18" t="inlineStr"/>
      <c r="AJ269" s="18" t="inlineStr">
        <is>
          <t>Cobblemon 동일</t>
        </is>
      </c>
      <c r="AK269" s="18" t="inlineStr">
        <is>
          <t>사용</t>
        </is>
      </c>
      <c r="AL269" s="18" t="inlineStr">
        <is>
          <t>COBBLEVERSE 1.7.42 / DP v31</t>
        </is>
      </c>
      <c r="AM269" s="18" t="inlineStr">
        <is>
          <t>data/cobblemon/spawn_pool_world/0077_ponyta.json</t>
        </is>
      </c>
      <c r="AN269" s="18" t="inlineStr">
        <is>
          <t>ponyta-1</t>
        </is>
      </c>
      <c r="AO269" s="18" t="inlineStr">
        <is>
          <t>pokemon</t>
        </is>
      </c>
      <c r="AP269" s="18" t="inlineStr">
        <is>
          <t>natural</t>
        </is>
      </c>
      <c r="AQ269" s="18" t="inlineStr">
        <is>
          <t>{"biomes":["#cobblemon:is_grassland"],"isRaining":false,"maxSkyLight":15,"minSkyLight":8}</t>
        </is>
      </c>
      <c r="AR269" s="18" t="inlineStr">
        <is>
          <t>{"biomes":["#cobblemon:is_floral","#cobblemon:is_magical"]}</t>
        </is>
      </c>
      <c r="AS269" s="18" t="inlineStr">
        <is>
          <t>{"weightMultiplier":{"condition":{"timeRange":"night"},"multiplier":0.25}}</t>
        </is>
      </c>
      <c r="AT269" s="19" t="inlineStr"/>
    </row>
    <row r="270" ht="32" customHeight="1">
      <c r="A270" s="18" t="inlineStr">
        <is>
          <t>0077_ponyta.json::ponyta-2::002</t>
        </is>
      </c>
      <c r="B270" s="19" t="inlineStr">
        <is>
          <t>사용</t>
        </is>
      </c>
      <c r="C270" s="18">
        <f>IF(OR(B270&lt;&gt;AK270,M270&lt;&gt;L270,O270&lt;&gt;"",Q270&lt;&gt;"",V270&lt;&gt;1,Y270&lt;&gt;"",AT270&lt;&gt;""),"수정","원본")</f>
        <v/>
      </c>
      <c r="D270" s="18" t="n">
        <v>77</v>
      </c>
      <c r="E270" s="18" t="inlineStr">
        <is>
          <t>포니타</t>
        </is>
      </c>
      <c r="F270" s="18" t="inlineStr">
        <is>
          <t>ponyta</t>
        </is>
      </c>
      <c r="G270" s="18" t="inlineStr">
        <is>
          <t>ponyta</t>
        </is>
      </c>
      <c r="H270" s="18" t="inlineStr"/>
      <c r="I270" s="18" t="n">
        <v>1</v>
      </c>
      <c r="J270" s="18" t="n"/>
      <c r="K270" s="18" t="n">
        <v>1</v>
      </c>
      <c r="L270" s="18" t="inlineStr">
        <is>
          <t>cobbleventure:generation_1</t>
        </is>
      </c>
      <c r="M270" s="19" t="inlineStr">
        <is>
          <t>cobbleventure:generation_1</t>
        </is>
      </c>
      <c r="N270" s="18" t="inlineStr"/>
      <c r="O270" s="19" t="inlineStr"/>
      <c r="P270" s="18" t="inlineStr">
        <is>
          <t>#cobblemon:nether/is_overgrowth; #cobblemon:nether/is_wasteland</t>
        </is>
      </c>
      <c r="Q270" s="19" t="inlineStr"/>
      <c r="R270" s="18">
        <f>IF(Q270="",P270,Q270)</f>
        <v/>
      </c>
      <c r="S270" s="18" t="inlineStr"/>
      <c r="T270" s="18" t="inlineStr">
        <is>
          <t>common</t>
        </is>
      </c>
      <c r="U270" s="20" t="n">
        <v>5.4</v>
      </c>
      <c r="V270" s="21" t="n">
        <v>1</v>
      </c>
      <c r="W270" s="20">
        <f>IF(OR(U270="",V270=""),U270,U270*V270)</f>
        <v/>
      </c>
      <c r="X270" s="18" t="inlineStr">
        <is>
          <t>16-41</t>
        </is>
      </c>
      <c r="Y270" s="19" t="inlineStr"/>
      <c r="Z270" s="18">
        <f>IF(Y270="",X270,Y270)</f>
        <v/>
      </c>
      <c r="AA270" s="18" t="inlineStr">
        <is>
          <t>grounded</t>
        </is>
      </c>
      <c r="AB270" s="18" t="inlineStr"/>
      <c r="AC270" s="18" t="inlineStr"/>
      <c r="AD270" s="18" t="inlineStr"/>
      <c r="AE270" s="18" t="inlineStr"/>
      <c r="AF270" s="18" t="inlineStr"/>
      <c r="AG270" s="18" t="inlineStr"/>
      <c r="AH270" s="18" t="inlineStr"/>
      <c r="AI270" s="18" t="inlineStr">
        <is>
          <t>{"spawn":{"drops":{"amount":3,"entries":[{"item":"minecraft:leather","quantityRange":"0-1"},{"item":"minecraft:blaze_powder","percentage":5.0},{"item":"cobblemon:shuca_berry","percentage":2.5}]}}}</t>
        </is>
      </c>
      <c r="AJ270" s="18" t="inlineStr">
        <is>
          <t>Cobblemon 동일</t>
        </is>
      </c>
      <c r="AK270" s="18" t="inlineStr">
        <is>
          <t>사용</t>
        </is>
      </c>
      <c r="AL270" s="18" t="inlineStr">
        <is>
          <t>COBBLEVERSE 1.7.42 / DP v31</t>
        </is>
      </c>
      <c r="AM270" s="18" t="inlineStr">
        <is>
          <t>data/cobblemon/spawn_pool_world/0077_ponyta.json</t>
        </is>
      </c>
      <c r="AN270" s="18" t="inlineStr">
        <is>
          <t>ponyta-2</t>
        </is>
      </c>
      <c r="AO270" s="18" t="inlineStr">
        <is>
          <t>pokemon</t>
        </is>
      </c>
      <c r="AP270" s="18" t="inlineStr">
        <is>
          <t>natural</t>
        </is>
      </c>
      <c r="AQ270" s="18" t="inlineStr">
        <is>
          <t>{"biomes":["#cobblemon:nether/is_overgrowth","#cobblemon:nether/is_wasteland"]}</t>
        </is>
      </c>
      <c r="AR270" s="18" t="inlineStr"/>
      <c r="AS270" s="18" t="inlineStr"/>
      <c r="AT270" s="19" t="inlineStr"/>
    </row>
    <row r="271" ht="32" customHeight="1">
      <c r="A271" s="18" t="inlineStr">
        <is>
          <t>0077_ponyta.json::ponyta-galarian-3::003</t>
        </is>
      </c>
      <c r="B271" s="19" t="inlineStr">
        <is>
          <t>사용</t>
        </is>
      </c>
      <c r="C271" s="18">
        <f>IF(OR(B271&lt;&gt;AK271,M271&lt;&gt;L271,O271&lt;&gt;"",Q271&lt;&gt;"",V271&lt;&gt;1,Y271&lt;&gt;"",AT271&lt;&gt;""),"수정","원본")</f>
        <v/>
      </c>
      <c r="D271" s="18" t="n">
        <v>77</v>
      </c>
      <c r="E271" s="18" t="inlineStr">
        <is>
          <t>포니타</t>
        </is>
      </c>
      <c r="F271" s="18" t="inlineStr">
        <is>
          <t>ponyta</t>
        </is>
      </c>
      <c r="G271" s="18" t="inlineStr">
        <is>
          <t>ponyta galarian</t>
        </is>
      </c>
      <c r="H271" s="18" t="inlineStr">
        <is>
          <t>galarian</t>
        </is>
      </c>
      <c r="I271" s="18" t="n">
        <v>1</v>
      </c>
      <c r="J271" s="18" t="n">
        <v>8</v>
      </c>
      <c r="K271" s="18" t="n">
        <v>8</v>
      </c>
      <c r="L271" s="18" t="inlineStr">
        <is>
          <t>cobbleventure:generation_8</t>
        </is>
      </c>
      <c r="M271" s="19" t="inlineStr">
        <is>
          <t>cobbleventure:generation_8</t>
        </is>
      </c>
      <c r="N271" s="18" t="inlineStr"/>
      <c r="O271" s="19" t="inlineStr"/>
      <c r="P271" s="18" t="inlineStr">
        <is>
          <t>#cobblemon:is_floral; #cobblemon:is_magical</t>
        </is>
      </c>
      <c r="Q271" s="19" t="inlineStr"/>
      <c r="R271" s="18">
        <f>IF(Q271="",P271,Q271)</f>
        <v/>
      </c>
      <c r="S271" s="18" t="inlineStr"/>
      <c r="T271" s="18" t="inlineStr">
        <is>
          <t>uncommon</t>
        </is>
      </c>
      <c r="U271" s="20" t="n">
        <v>8.4</v>
      </c>
      <c r="V271" s="21" t="n">
        <v>1</v>
      </c>
      <c r="W271" s="20">
        <f>IF(OR(U271="",V271=""),U271,U271*V271)</f>
        <v/>
      </c>
      <c r="X271" s="18" t="inlineStr">
        <is>
          <t>16-41</t>
        </is>
      </c>
      <c r="Y271" s="19" t="inlineStr"/>
      <c r="Z271" s="18">
        <f>IF(Y271="",X271,Y271)</f>
        <v/>
      </c>
      <c r="AA271" s="18" t="inlineStr">
        <is>
          <t>grounded</t>
        </is>
      </c>
      <c r="AB271" s="18" t="inlineStr"/>
      <c r="AC271" s="18" t="inlineStr"/>
      <c r="AD271" s="18" t="inlineStr"/>
      <c r="AE271" s="18" t="inlineStr">
        <is>
          <t>sky 8-15</t>
        </is>
      </c>
      <c r="AF271" s="18" t="inlineStr"/>
      <c r="AG271" s="18" t="inlineStr"/>
      <c r="AH271" s="18" t="inlineStr"/>
      <c r="AI271" s="18" t="inlineStr"/>
      <c r="AJ271" s="18" t="inlineStr">
        <is>
          <t>Cobblemon 동일</t>
        </is>
      </c>
      <c r="AK271" s="18" t="inlineStr">
        <is>
          <t>사용</t>
        </is>
      </c>
      <c r="AL271" s="18" t="inlineStr">
        <is>
          <t>COBBLEVERSE 1.7.42 / DP v31</t>
        </is>
      </c>
      <c r="AM271" s="18" t="inlineStr">
        <is>
          <t>data/cobblemon/spawn_pool_world/0077_ponyta.json</t>
        </is>
      </c>
      <c r="AN271" s="18" t="inlineStr">
        <is>
          <t>ponyta-galarian-3</t>
        </is>
      </c>
      <c r="AO271" s="18" t="inlineStr">
        <is>
          <t>pokemon</t>
        </is>
      </c>
      <c r="AP271" s="18" t="inlineStr">
        <is>
          <t>natural; wild</t>
        </is>
      </c>
      <c r="AQ271" s="18" t="inlineStr">
        <is>
          <t>{"biomes":["#cobblemon:is_floral","#cobblemon:is_magical"],"maxSkyLight":15,"minSkyLight":8}</t>
        </is>
      </c>
      <c r="AR271" s="18" t="inlineStr"/>
      <c r="AS271" s="18" t="inlineStr">
        <is>
          <t>{"weightMultiplier":{"condition":{"timeRange":"night"},"multiplier":0.25}}</t>
        </is>
      </c>
      <c r="AT271" s="19" t="inlineStr"/>
    </row>
    <row r="272" ht="32" customHeight="1">
      <c r="A272" s="18" t="inlineStr">
        <is>
          <t>0077_ponyta.json::ponyta-galarian-4::004</t>
        </is>
      </c>
      <c r="B272" s="19" t="inlineStr">
        <is>
          <t>사용</t>
        </is>
      </c>
      <c r="C272" s="18">
        <f>IF(OR(B272&lt;&gt;AK272,M272&lt;&gt;L272,O272&lt;&gt;"",Q272&lt;&gt;"",V272&lt;&gt;1,Y272&lt;&gt;"",AT272&lt;&gt;""),"수정","원본")</f>
        <v/>
      </c>
      <c r="D272" s="18" t="n">
        <v>77</v>
      </c>
      <c r="E272" s="18" t="inlineStr">
        <is>
          <t>포니타</t>
        </is>
      </c>
      <c r="F272" s="18" t="inlineStr">
        <is>
          <t>ponyta</t>
        </is>
      </c>
      <c r="G272" s="18" t="inlineStr">
        <is>
          <t>ponyta galarian</t>
        </is>
      </c>
      <c r="H272" s="18" t="inlineStr">
        <is>
          <t>galarian</t>
        </is>
      </c>
      <c r="I272" s="18" t="n">
        <v>1</v>
      </c>
      <c r="J272" s="18" t="n">
        <v>8</v>
      </c>
      <c r="K272" s="18" t="n">
        <v>8</v>
      </c>
      <c r="L272" s="18" t="inlineStr">
        <is>
          <t>cobbleventure:generation_8</t>
        </is>
      </c>
      <c r="M272" s="19" t="inlineStr">
        <is>
          <t>cobbleventure:generation_8</t>
        </is>
      </c>
      <c r="N272" s="18" t="inlineStr"/>
      <c r="O272" s="19" t="inlineStr"/>
      <c r="P272" s="18" t="inlineStr">
        <is>
          <t>#aether:is_aether</t>
        </is>
      </c>
      <c r="Q272" s="19" t="inlineStr"/>
      <c r="R272" s="18">
        <f>IF(Q272="",P272,Q272)</f>
        <v/>
      </c>
      <c r="S272" s="18" t="inlineStr"/>
      <c r="T272" s="18" t="inlineStr">
        <is>
          <t>common</t>
        </is>
      </c>
      <c r="U272" s="20" t="n">
        <v>9</v>
      </c>
      <c r="V272" s="21" t="n">
        <v>1</v>
      </c>
      <c r="W272" s="20">
        <f>IF(OR(U272="",V272=""),U272,U272*V272)</f>
        <v/>
      </c>
      <c r="X272" s="18" t="inlineStr">
        <is>
          <t>16-41</t>
        </is>
      </c>
      <c r="Y272" s="19" t="inlineStr"/>
      <c r="Z272" s="18">
        <f>IF(Y272="",X272,Y272)</f>
        <v/>
      </c>
      <c r="AA272" s="18" t="inlineStr">
        <is>
          <t>grounded</t>
        </is>
      </c>
      <c r="AB272" s="18" t="inlineStr"/>
      <c r="AC272" s="18" t="inlineStr"/>
      <c r="AD272" s="18" t="inlineStr"/>
      <c r="AE272" s="18" t="inlineStr">
        <is>
          <t>sky 8-15</t>
        </is>
      </c>
      <c r="AF272" s="18" t="inlineStr"/>
      <c r="AG272" s="18" t="inlineStr"/>
      <c r="AH272" s="18" t="inlineStr"/>
      <c r="AI272" s="18" t="inlineStr"/>
      <c r="AJ272" s="18" t="inlineStr">
        <is>
          <t>Cobblemon 동일</t>
        </is>
      </c>
      <c r="AK272" s="18" t="inlineStr">
        <is>
          <t>사용</t>
        </is>
      </c>
      <c r="AL272" s="18" t="inlineStr">
        <is>
          <t>COBBLEVERSE 1.7.42 / DP v31</t>
        </is>
      </c>
      <c r="AM272" s="18" t="inlineStr">
        <is>
          <t>data/cobblemon/spawn_pool_world/0077_ponyta.json</t>
        </is>
      </c>
      <c r="AN272" s="18" t="inlineStr">
        <is>
          <t>ponyta-galarian-4</t>
        </is>
      </c>
      <c r="AO272" s="18" t="inlineStr">
        <is>
          <t>pokemon</t>
        </is>
      </c>
      <c r="AP272" s="18" t="inlineStr">
        <is>
          <t>natural</t>
        </is>
      </c>
      <c r="AQ272" s="18" t="inlineStr">
        <is>
          <t>{"biomes":["#aether:is_aether"],"maxSkyLight":15,"minSkyLight":8}</t>
        </is>
      </c>
      <c r="AR272" s="18" t="inlineStr"/>
      <c r="AS272" s="18" t="inlineStr"/>
      <c r="AT272" s="19" t="inlineStr"/>
    </row>
    <row r="273" ht="32" customHeight="1">
      <c r="A273" s="18" t="inlineStr">
        <is>
          <t>0078_rapidash.json::rapidash-1::001</t>
        </is>
      </c>
      <c r="B273" s="19" t="inlineStr">
        <is>
          <t>사용</t>
        </is>
      </c>
      <c r="C273" s="18">
        <f>IF(OR(B273&lt;&gt;AK273,M273&lt;&gt;L273,O273&lt;&gt;"",Q273&lt;&gt;"",V273&lt;&gt;1,Y273&lt;&gt;"",AT273&lt;&gt;""),"수정","원본")</f>
        <v/>
      </c>
      <c r="D273" s="18" t="n">
        <v>78</v>
      </c>
      <c r="E273" s="18" t="inlineStr">
        <is>
          <t>날쌩마</t>
        </is>
      </c>
      <c r="F273" s="18" t="inlineStr">
        <is>
          <t>rapidash</t>
        </is>
      </c>
      <c r="G273" s="18" t="inlineStr">
        <is>
          <t>rapidash</t>
        </is>
      </c>
      <c r="H273" s="18" t="inlineStr"/>
      <c r="I273" s="18" t="n">
        <v>1</v>
      </c>
      <c r="J273" s="18" t="n"/>
      <c r="K273" s="18" t="n">
        <v>1</v>
      </c>
      <c r="L273" s="18" t="inlineStr">
        <is>
          <t>cobbleventure:generation_1</t>
        </is>
      </c>
      <c r="M273" s="19" t="inlineStr">
        <is>
          <t>cobbleventure:generation_1</t>
        </is>
      </c>
      <c r="N273" s="18" t="inlineStr">
        <is>
          <t>region_01</t>
        </is>
      </c>
      <c r="O273" s="19" t="inlineStr"/>
      <c r="P273" s="18" t="inlineStr">
        <is>
          <t>#cobblemon:is_grassland</t>
        </is>
      </c>
      <c r="Q273" s="19" t="inlineStr"/>
      <c r="R273" s="18">
        <f>IF(Q273="",P273,Q273)</f>
        <v/>
      </c>
      <c r="S273" s="18" t="inlineStr">
        <is>
          <t>#cobblemon:is_floral; #cobblemon:is_magical</t>
        </is>
      </c>
      <c r="T273" s="18" t="inlineStr">
        <is>
          <t>uncommon</t>
        </is>
      </c>
      <c r="U273" s="20" t="n">
        <v>0.96</v>
      </c>
      <c r="V273" s="21" t="n">
        <v>1</v>
      </c>
      <c r="W273" s="20">
        <f>IF(OR(U273="",V273=""),U273,U273*V273)</f>
        <v/>
      </c>
      <c r="X273" s="18" t="inlineStr">
        <is>
          <t>40-50</t>
        </is>
      </c>
      <c r="Y273" s="19" t="inlineStr"/>
      <c r="Z273" s="18">
        <f>IF(Y273="",X273,Y273)</f>
        <v/>
      </c>
      <c r="AA273" s="18" t="inlineStr">
        <is>
          <t>grounded</t>
        </is>
      </c>
      <c r="AB273" s="18" t="inlineStr"/>
      <c r="AC273" s="18" t="inlineStr">
        <is>
          <t>비=False</t>
        </is>
      </c>
      <c r="AD273" s="18" t="inlineStr"/>
      <c r="AE273" s="18" t="inlineStr">
        <is>
          <t>sky 8-15</t>
        </is>
      </c>
      <c r="AF273" s="18" t="inlineStr"/>
      <c r="AG273" s="18" t="inlineStr"/>
      <c r="AH273" s="18" t="inlineStr"/>
      <c r="AI273" s="18" t="inlineStr"/>
      <c r="AJ273" s="18" t="inlineStr">
        <is>
          <t>Cobblemon 동일</t>
        </is>
      </c>
      <c r="AK273" s="18" t="inlineStr">
        <is>
          <t>사용</t>
        </is>
      </c>
      <c r="AL273" s="18" t="inlineStr">
        <is>
          <t>COBBLEVERSE 1.7.42 / DP v31</t>
        </is>
      </c>
      <c r="AM273" s="18" t="inlineStr">
        <is>
          <t>data/cobblemon/spawn_pool_world/0078_rapidash.json</t>
        </is>
      </c>
      <c r="AN273" s="18" t="inlineStr">
        <is>
          <t>rapidash-1</t>
        </is>
      </c>
      <c r="AO273" s="18" t="inlineStr">
        <is>
          <t>pokemon</t>
        </is>
      </c>
      <c r="AP273" s="18" t="inlineStr">
        <is>
          <t>natural</t>
        </is>
      </c>
      <c r="AQ273" s="18" t="inlineStr">
        <is>
          <t>{"biomes":["#cobblemon:is_grassland"],"isRaining":false,"maxSkyLight":15,"minSkyLight":8}</t>
        </is>
      </c>
      <c r="AR273" s="18" t="inlineStr">
        <is>
          <t>{"biomes":["#cobblemon:is_floral","#cobblemon:is_magical"]}</t>
        </is>
      </c>
      <c r="AS273" s="18" t="inlineStr">
        <is>
          <t>{"weightMultiplier":{"condition":{"timeRange":"night"},"multiplier":0.25}}</t>
        </is>
      </c>
      <c r="AT273" s="19" t="inlineStr"/>
    </row>
    <row r="274" ht="32" customHeight="1">
      <c r="A274" s="18" t="inlineStr">
        <is>
          <t>0078_rapidash.json::rapidash-2::002</t>
        </is>
      </c>
      <c r="B274" s="19" t="inlineStr">
        <is>
          <t>사용</t>
        </is>
      </c>
      <c r="C274" s="18">
        <f>IF(OR(B274&lt;&gt;AK274,M274&lt;&gt;L274,O274&lt;&gt;"",Q274&lt;&gt;"",V274&lt;&gt;1,Y274&lt;&gt;"",AT274&lt;&gt;""),"수정","원본")</f>
        <v/>
      </c>
      <c r="D274" s="18" t="n">
        <v>78</v>
      </c>
      <c r="E274" s="18" t="inlineStr">
        <is>
          <t>날쌩마</t>
        </is>
      </c>
      <c r="F274" s="18" t="inlineStr">
        <is>
          <t>rapidash</t>
        </is>
      </c>
      <c r="G274" s="18" t="inlineStr">
        <is>
          <t>rapidash</t>
        </is>
      </c>
      <c r="H274" s="18" t="inlineStr"/>
      <c r="I274" s="18" t="n">
        <v>1</v>
      </c>
      <c r="J274" s="18" t="n"/>
      <c r="K274" s="18" t="n">
        <v>1</v>
      </c>
      <c r="L274" s="18" t="inlineStr">
        <is>
          <t>cobbleventure:generation_1</t>
        </is>
      </c>
      <c r="M274" s="19" t="inlineStr">
        <is>
          <t>cobbleventure:generation_1</t>
        </is>
      </c>
      <c r="N274" s="18" t="inlineStr"/>
      <c r="O274" s="19" t="inlineStr"/>
      <c r="P274" s="18" t="inlineStr">
        <is>
          <t>#cobblemon:nether/is_overgrowth; #cobblemon:nether/is_wasteland</t>
        </is>
      </c>
      <c r="Q274" s="19" t="inlineStr"/>
      <c r="R274" s="18">
        <f>IF(Q274="",P274,Q274)</f>
        <v/>
      </c>
      <c r="S274" s="18" t="inlineStr"/>
      <c r="T274" s="18" t="inlineStr">
        <is>
          <t>common</t>
        </is>
      </c>
      <c r="U274" s="20" t="n">
        <v>0.6</v>
      </c>
      <c r="V274" s="21" t="n">
        <v>1</v>
      </c>
      <c r="W274" s="20">
        <f>IF(OR(U274="",V274=""),U274,U274*V274)</f>
        <v/>
      </c>
      <c r="X274" s="18" t="inlineStr">
        <is>
          <t>40-50</t>
        </is>
      </c>
      <c r="Y274" s="19" t="inlineStr"/>
      <c r="Z274" s="18">
        <f>IF(Y274="",X274,Y274)</f>
        <v/>
      </c>
      <c r="AA274" s="18" t="inlineStr">
        <is>
          <t>grounded</t>
        </is>
      </c>
      <c r="AB274" s="18" t="inlineStr"/>
      <c r="AC274" s="18" t="inlineStr"/>
      <c r="AD274" s="18" t="inlineStr"/>
      <c r="AE274" s="18" t="inlineStr"/>
      <c r="AF274" s="18" t="inlineStr"/>
      <c r="AG274" s="18" t="inlineStr"/>
      <c r="AH274" s="18" t="inlineStr"/>
      <c r="AI274" s="18" t="inlineStr">
        <is>
          <t>{"spawn":{"drops":{"amount":4,"entries":[{"item":"minecraft:leather","quantityRange":"0-2"},{"item":"minecraft:blaze_powder","percentage":10.0},{"item":"cobblemon:shuca_berry","percentage":5.0}]}}}</t>
        </is>
      </c>
      <c r="AJ274" s="18" t="inlineStr">
        <is>
          <t>Cobblemon 동일</t>
        </is>
      </c>
      <c r="AK274" s="18" t="inlineStr">
        <is>
          <t>사용</t>
        </is>
      </c>
      <c r="AL274" s="18" t="inlineStr">
        <is>
          <t>COBBLEVERSE 1.7.42 / DP v31</t>
        </is>
      </c>
      <c r="AM274" s="18" t="inlineStr">
        <is>
          <t>data/cobblemon/spawn_pool_world/0078_rapidash.json</t>
        </is>
      </c>
      <c r="AN274" s="18" t="inlineStr">
        <is>
          <t>rapidash-2</t>
        </is>
      </c>
      <c r="AO274" s="18" t="inlineStr">
        <is>
          <t>pokemon</t>
        </is>
      </c>
      <c r="AP274" s="18" t="inlineStr">
        <is>
          <t>natural</t>
        </is>
      </c>
      <c r="AQ274" s="18" t="inlineStr">
        <is>
          <t>{"biomes":["#cobblemon:nether/is_overgrowth","#cobblemon:nether/is_wasteland"]}</t>
        </is>
      </c>
      <c r="AR274" s="18" t="inlineStr"/>
      <c r="AS274" s="18" t="inlineStr"/>
      <c r="AT274" s="19" t="inlineStr"/>
    </row>
    <row r="275" ht="32" customHeight="1">
      <c r="A275" s="18" t="inlineStr">
        <is>
          <t>0078_rapidash.json::rapidash-galarian-3::003</t>
        </is>
      </c>
      <c r="B275" s="19" t="inlineStr">
        <is>
          <t>사용</t>
        </is>
      </c>
      <c r="C275" s="18">
        <f>IF(OR(B275&lt;&gt;AK275,M275&lt;&gt;L275,O275&lt;&gt;"",Q275&lt;&gt;"",V275&lt;&gt;1,Y275&lt;&gt;"",AT275&lt;&gt;""),"수정","원본")</f>
        <v/>
      </c>
      <c r="D275" s="18" t="n">
        <v>78</v>
      </c>
      <c r="E275" s="18" t="inlineStr">
        <is>
          <t>날쌩마</t>
        </is>
      </c>
      <c r="F275" s="18" t="inlineStr">
        <is>
          <t>rapidash</t>
        </is>
      </c>
      <c r="G275" s="18" t="inlineStr">
        <is>
          <t>rapidash galarian</t>
        </is>
      </c>
      <c r="H275" s="18" t="inlineStr">
        <is>
          <t>galarian</t>
        </is>
      </c>
      <c r="I275" s="18" t="n">
        <v>1</v>
      </c>
      <c r="J275" s="18" t="n">
        <v>8</v>
      </c>
      <c r="K275" s="18" t="n">
        <v>8</v>
      </c>
      <c r="L275" s="18" t="inlineStr">
        <is>
          <t>cobbleventure:generation_8</t>
        </is>
      </c>
      <c r="M275" s="19" t="inlineStr">
        <is>
          <t>cobbleventure:generation_8</t>
        </is>
      </c>
      <c r="N275" s="18" t="inlineStr"/>
      <c r="O275" s="19" t="inlineStr"/>
      <c r="P275" s="18" t="inlineStr">
        <is>
          <t>#cobblemon:is_floral; #cobblemon:is_magical</t>
        </is>
      </c>
      <c r="Q275" s="19" t="inlineStr"/>
      <c r="R275" s="18">
        <f>IF(Q275="",P275,Q275)</f>
        <v/>
      </c>
      <c r="S275" s="18" t="inlineStr"/>
      <c r="T275" s="18" t="inlineStr">
        <is>
          <t>uncommon</t>
        </is>
      </c>
      <c r="U275" s="20" t="n">
        <v>1.6</v>
      </c>
      <c r="V275" s="21" t="n">
        <v>1</v>
      </c>
      <c r="W275" s="20">
        <f>IF(OR(U275="",V275=""),U275,U275*V275)</f>
        <v/>
      </c>
      <c r="X275" s="18" t="inlineStr">
        <is>
          <t>40-50</t>
        </is>
      </c>
      <c r="Y275" s="19" t="inlineStr"/>
      <c r="Z275" s="18">
        <f>IF(Y275="",X275,Y275)</f>
        <v/>
      </c>
      <c r="AA275" s="18" t="inlineStr">
        <is>
          <t>grounded</t>
        </is>
      </c>
      <c r="AB275" s="18" t="inlineStr"/>
      <c r="AC275" s="18" t="inlineStr"/>
      <c r="AD275" s="18" t="inlineStr"/>
      <c r="AE275" s="18" t="inlineStr">
        <is>
          <t>sky 8-15</t>
        </is>
      </c>
      <c r="AF275" s="18" t="inlineStr"/>
      <c r="AG275" s="18" t="inlineStr"/>
      <c r="AH275" s="18" t="inlineStr"/>
      <c r="AI275" s="18" t="inlineStr"/>
      <c r="AJ275" s="18" t="inlineStr">
        <is>
          <t>Cobblemon 동일</t>
        </is>
      </c>
      <c r="AK275" s="18" t="inlineStr">
        <is>
          <t>사용</t>
        </is>
      </c>
      <c r="AL275" s="18" t="inlineStr">
        <is>
          <t>COBBLEVERSE 1.7.42 / DP v31</t>
        </is>
      </c>
      <c r="AM275" s="18" t="inlineStr">
        <is>
          <t>data/cobblemon/spawn_pool_world/0078_rapidash.json</t>
        </is>
      </c>
      <c r="AN275" s="18" t="inlineStr">
        <is>
          <t>rapidash-galarian-3</t>
        </is>
      </c>
      <c r="AO275" s="18" t="inlineStr">
        <is>
          <t>pokemon</t>
        </is>
      </c>
      <c r="AP275" s="18" t="inlineStr">
        <is>
          <t>natural; wild</t>
        </is>
      </c>
      <c r="AQ275" s="18" t="inlineStr">
        <is>
          <t>{"biomes":["#cobblemon:is_floral","#cobblemon:is_magical"],"maxSkyLight":15,"minSkyLight":8}</t>
        </is>
      </c>
      <c r="AR275" s="18" t="inlineStr"/>
      <c r="AS275" s="18" t="inlineStr">
        <is>
          <t>{"weightMultiplier":{"condition":{"timeRange":"night"},"multiplier":0.25}}</t>
        </is>
      </c>
      <c r="AT275" s="19" t="inlineStr"/>
    </row>
    <row r="276" ht="32" customHeight="1">
      <c r="A276" s="18" t="inlineStr">
        <is>
          <t>0078_rapidash.json::rapidash-galarian-4::004</t>
        </is>
      </c>
      <c r="B276" s="19" t="inlineStr">
        <is>
          <t>사용</t>
        </is>
      </c>
      <c r="C276" s="18">
        <f>IF(OR(B276&lt;&gt;AK276,M276&lt;&gt;L276,O276&lt;&gt;"",Q276&lt;&gt;"",V276&lt;&gt;1,Y276&lt;&gt;"",AT276&lt;&gt;""),"수정","원본")</f>
        <v/>
      </c>
      <c r="D276" s="18" t="n">
        <v>78</v>
      </c>
      <c r="E276" s="18" t="inlineStr">
        <is>
          <t>날쌩마</t>
        </is>
      </c>
      <c r="F276" s="18" t="inlineStr">
        <is>
          <t>rapidash</t>
        </is>
      </c>
      <c r="G276" s="18" t="inlineStr">
        <is>
          <t>rapidash galarian</t>
        </is>
      </c>
      <c r="H276" s="18" t="inlineStr">
        <is>
          <t>galarian</t>
        </is>
      </c>
      <c r="I276" s="18" t="n">
        <v>1</v>
      </c>
      <c r="J276" s="18" t="n">
        <v>8</v>
      </c>
      <c r="K276" s="18" t="n">
        <v>8</v>
      </c>
      <c r="L276" s="18" t="inlineStr">
        <is>
          <t>cobbleventure:generation_8</t>
        </is>
      </c>
      <c r="M276" s="19" t="inlineStr">
        <is>
          <t>cobbleventure:generation_8</t>
        </is>
      </c>
      <c r="N276" s="18" t="inlineStr"/>
      <c r="O276" s="19" t="inlineStr"/>
      <c r="P276" s="18" t="inlineStr">
        <is>
          <t>#aether:is_aether</t>
        </is>
      </c>
      <c r="Q276" s="19" t="inlineStr"/>
      <c r="R276" s="18">
        <f>IF(Q276="",P276,Q276)</f>
        <v/>
      </c>
      <c r="S276" s="18" t="inlineStr"/>
      <c r="T276" s="18" t="inlineStr">
        <is>
          <t>common</t>
        </is>
      </c>
      <c r="U276" s="20" t="n">
        <v>1</v>
      </c>
      <c r="V276" s="21" t="n">
        <v>1</v>
      </c>
      <c r="W276" s="20">
        <f>IF(OR(U276="",V276=""),U276,U276*V276)</f>
        <v/>
      </c>
      <c r="X276" s="18" t="inlineStr">
        <is>
          <t>40-50</t>
        </is>
      </c>
      <c r="Y276" s="19" t="inlineStr"/>
      <c r="Z276" s="18">
        <f>IF(Y276="",X276,Y276)</f>
        <v/>
      </c>
      <c r="AA276" s="18" t="inlineStr">
        <is>
          <t>grounded</t>
        </is>
      </c>
      <c r="AB276" s="18" t="inlineStr"/>
      <c r="AC276" s="18" t="inlineStr"/>
      <c r="AD276" s="18" t="inlineStr"/>
      <c r="AE276" s="18" t="inlineStr">
        <is>
          <t>sky 8-15</t>
        </is>
      </c>
      <c r="AF276" s="18" t="inlineStr"/>
      <c r="AG276" s="18" t="inlineStr"/>
      <c r="AH276" s="18" t="inlineStr"/>
      <c r="AI276" s="18" t="inlineStr"/>
      <c r="AJ276" s="18" t="inlineStr">
        <is>
          <t>Cobblemon 동일</t>
        </is>
      </c>
      <c r="AK276" s="18" t="inlineStr">
        <is>
          <t>사용</t>
        </is>
      </c>
      <c r="AL276" s="18" t="inlineStr">
        <is>
          <t>COBBLEVERSE 1.7.42 / DP v31</t>
        </is>
      </c>
      <c r="AM276" s="18" t="inlineStr">
        <is>
          <t>data/cobblemon/spawn_pool_world/0078_rapidash.json</t>
        </is>
      </c>
      <c r="AN276" s="18" t="inlineStr">
        <is>
          <t>rapidash-galarian-4</t>
        </is>
      </c>
      <c r="AO276" s="18" t="inlineStr">
        <is>
          <t>pokemon</t>
        </is>
      </c>
      <c r="AP276" s="18" t="inlineStr">
        <is>
          <t>natural</t>
        </is>
      </c>
      <c r="AQ276" s="18" t="inlineStr">
        <is>
          <t>{"biomes":["#aether:is_aether"],"maxSkyLight":15,"minSkyLight":8}</t>
        </is>
      </c>
      <c r="AR276" s="18" t="inlineStr"/>
      <c r="AS276" s="18" t="inlineStr"/>
      <c r="AT276" s="19" t="inlineStr"/>
    </row>
    <row r="277" ht="32" customHeight="1">
      <c r="A277" s="18" t="inlineStr">
        <is>
          <t>0079_slowpoke.json::slowpoke-1::001</t>
        </is>
      </c>
      <c r="B277" s="19" t="inlineStr">
        <is>
          <t>사용</t>
        </is>
      </c>
      <c r="C277" s="18">
        <f>IF(OR(B277&lt;&gt;AK277,M277&lt;&gt;L277,O277&lt;&gt;"",Q277&lt;&gt;"",V277&lt;&gt;1,Y277&lt;&gt;"",AT277&lt;&gt;""),"수정","원본")</f>
        <v/>
      </c>
      <c r="D277" s="18" t="n">
        <v>79</v>
      </c>
      <c r="E277" s="18" t="inlineStr">
        <is>
          <t>야돈</t>
        </is>
      </c>
      <c r="F277" s="18" t="inlineStr">
        <is>
          <t>slowpoke</t>
        </is>
      </c>
      <c r="G277" s="18" t="inlineStr">
        <is>
          <t>slowpoke</t>
        </is>
      </c>
      <c r="H277" s="18" t="inlineStr"/>
      <c r="I277" s="18" t="n">
        <v>1</v>
      </c>
      <c r="J277" s="18" t="n"/>
      <c r="K277" s="18" t="n">
        <v>1</v>
      </c>
      <c r="L277" s="18" t="inlineStr">
        <is>
          <t>cobbleventure:generation_1</t>
        </is>
      </c>
      <c r="M277" s="19" t="inlineStr">
        <is>
          <t>cobbleventure:generation_1</t>
        </is>
      </c>
      <c r="N277" s="18" t="inlineStr"/>
      <c r="O277" s="19" t="inlineStr"/>
      <c r="P277" s="18" t="inlineStr">
        <is>
          <t>#cobblemon:is_beach</t>
        </is>
      </c>
      <c r="Q277" s="19" t="inlineStr"/>
      <c r="R277" s="18">
        <f>IF(Q277="",P277,Q277)</f>
        <v/>
      </c>
      <c r="S277" s="18" t="inlineStr"/>
      <c r="T277" s="18" t="inlineStr">
        <is>
          <t>common</t>
        </is>
      </c>
      <c r="U277" s="20" t="n">
        <v>5.4</v>
      </c>
      <c r="V277" s="21" t="n">
        <v>1</v>
      </c>
      <c r="W277" s="20">
        <f>IF(OR(U277="",V277=""),U277,U277*V277)</f>
        <v/>
      </c>
      <c r="X277" s="18" t="inlineStr">
        <is>
          <t>7-32</t>
        </is>
      </c>
      <c r="Y277" s="19" t="inlineStr"/>
      <c r="Z277" s="18">
        <f>IF(Y277="",X277,Y277)</f>
        <v/>
      </c>
      <c r="AA277" s="18" t="inlineStr">
        <is>
          <t>grounded</t>
        </is>
      </c>
      <c r="AB277" s="18" t="inlineStr"/>
      <c r="AC277" s="18" t="inlineStr"/>
      <c r="AD277" s="18" t="inlineStr"/>
      <c r="AE277" s="18" t="inlineStr">
        <is>
          <t>sky 8-15</t>
        </is>
      </c>
      <c r="AF277" s="18" t="inlineStr"/>
      <c r="AG277" s="18" t="inlineStr"/>
      <c r="AH277" s="18" t="inlineStr"/>
      <c r="AI277" s="18" t="inlineStr"/>
      <c r="AJ277" s="18" t="inlineStr">
        <is>
          <t>Cobblemon 동일</t>
        </is>
      </c>
      <c r="AK277" s="18" t="inlineStr">
        <is>
          <t>사용</t>
        </is>
      </c>
      <c r="AL277" s="18" t="inlineStr">
        <is>
          <t>COBBLEVERSE 1.7.42 / DP v31</t>
        </is>
      </c>
      <c r="AM277" s="18" t="inlineStr">
        <is>
          <t>data/cobblemon/spawn_pool_world/0079_slowpoke.json</t>
        </is>
      </c>
      <c r="AN277" s="18" t="inlineStr">
        <is>
          <t>slowpoke-1</t>
        </is>
      </c>
      <c r="AO277" s="18" t="inlineStr">
        <is>
          <t>pokemon</t>
        </is>
      </c>
      <c r="AP277" s="18" t="inlineStr">
        <is>
          <t>natural</t>
        </is>
      </c>
      <c r="AQ277" s="18" t="inlineStr">
        <is>
          <t>{"biomes":["#cobblemon:is_beach"],"maxSkyLight":15,"minSkyLight":8}</t>
        </is>
      </c>
      <c r="AR277" s="18" t="inlineStr"/>
      <c r="AS277" s="18" t="inlineStr"/>
      <c r="AT277" s="19" t="inlineStr"/>
    </row>
    <row r="278" ht="32" customHeight="1">
      <c r="A278" s="18" t="inlineStr">
        <is>
          <t>0079_slowpoke.json::slowpoke-2::002</t>
        </is>
      </c>
      <c r="B278" s="19" t="inlineStr">
        <is>
          <t>사용</t>
        </is>
      </c>
      <c r="C278" s="18">
        <f>IF(OR(B278&lt;&gt;AK278,M278&lt;&gt;L278,O278&lt;&gt;"",Q278&lt;&gt;"",V278&lt;&gt;1,Y278&lt;&gt;"",AT278&lt;&gt;""),"수정","원본")</f>
        <v/>
      </c>
      <c r="D278" s="18" t="n">
        <v>79</v>
      </c>
      <c r="E278" s="18" t="inlineStr">
        <is>
          <t>야돈</t>
        </is>
      </c>
      <c r="F278" s="18" t="inlineStr">
        <is>
          <t>slowpoke</t>
        </is>
      </c>
      <c r="G278" s="18" t="inlineStr">
        <is>
          <t>slowpoke</t>
        </is>
      </c>
      <c r="H278" s="18" t="inlineStr"/>
      <c r="I278" s="18" t="n">
        <v>1</v>
      </c>
      <c r="J278" s="18" t="n"/>
      <c r="K278" s="18" t="n">
        <v>1</v>
      </c>
      <c r="L278" s="18" t="inlineStr">
        <is>
          <t>cobbleventure:generation_1</t>
        </is>
      </c>
      <c r="M278" s="19" t="inlineStr">
        <is>
          <t>cobbleventure:generation_1</t>
        </is>
      </c>
      <c r="N278" s="18" t="inlineStr"/>
      <c r="O278" s="19" t="inlineStr"/>
      <c r="P278" s="18" t="inlineStr">
        <is>
          <t>#cobblemon:is_river</t>
        </is>
      </c>
      <c r="Q278" s="19" t="inlineStr"/>
      <c r="R278" s="18">
        <f>IF(Q278="",P278,Q278)</f>
        <v/>
      </c>
      <c r="S278" s="18" t="inlineStr">
        <is>
          <t>#cobblemon:is_freezing</t>
        </is>
      </c>
      <c r="T278" s="18" t="inlineStr">
        <is>
          <t>common</t>
        </is>
      </c>
      <c r="U278" s="20" t="n">
        <v>6</v>
      </c>
      <c r="V278" s="21" t="n">
        <v>1</v>
      </c>
      <c r="W278" s="20">
        <f>IF(OR(U278="",V278=""),U278,U278*V278)</f>
        <v/>
      </c>
      <c r="X278" s="18" t="inlineStr">
        <is>
          <t>7-32</t>
        </is>
      </c>
      <c r="Y278" s="19" t="inlineStr"/>
      <c r="Z278" s="18">
        <f>IF(Y278="",X278,Y278)</f>
        <v/>
      </c>
      <c r="AA278" s="18" t="inlineStr">
        <is>
          <t>grounded</t>
        </is>
      </c>
      <c r="AB278" s="18" t="inlineStr"/>
      <c r="AC278" s="18" t="inlineStr"/>
      <c r="AD278" s="18" t="inlineStr"/>
      <c r="AE278" s="18" t="inlineStr">
        <is>
          <t>sky 8-15</t>
        </is>
      </c>
      <c r="AF278" s="18" t="inlineStr"/>
      <c r="AG278" s="18" t="inlineStr"/>
      <c r="AH278" s="18" t="inlineStr"/>
      <c r="AI278" s="18" t="inlineStr"/>
      <c r="AJ278" s="18" t="inlineStr">
        <is>
          <t>Cobblemon 동일</t>
        </is>
      </c>
      <c r="AK278" s="18" t="inlineStr">
        <is>
          <t>사용</t>
        </is>
      </c>
      <c r="AL278" s="18" t="inlineStr">
        <is>
          <t>COBBLEVERSE 1.7.42 / DP v31</t>
        </is>
      </c>
      <c r="AM278" s="18" t="inlineStr">
        <is>
          <t>data/cobblemon/spawn_pool_world/0079_slowpoke.json</t>
        </is>
      </c>
      <c r="AN278" s="18" t="inlineStr">
        <is>
          <t>slowpoke-2</t>
        </is>
      </c>
      <c r="AO278" s="18" t="inlineStr">
        <is>
          <t>pokemon</t>
        </is>
      </c>
      <c r="AP278" s="18" t="inlineStr">
        <is>
          <t>natural</t>
        </is>
      </c>
      <c r="AQ278" s="18" t="inlineStr">
        <is>
          <t>{"biomes":["#cobblemon:is_river"],"maxSkyLight":15,"minSkyLight":8}</t>
        </is>
      </c>
      <c r="AR278" s="18" t="inlineStr">
        <is>
          <t>{"biomes":["#cobblemon:is_freezing"]}</t>
        </is>
      </c>
      <c r="AS278" s="18" t="inlineStr"/>
      <c r="AT278" s="19" t="inlineStr"/>
    </row>
    <row r="279" ht="32" customHeight="1">
      <c r="A279" s="18" t="inlineStr">
        <is>
          <t>0079_slowpoke.json::slowpoke-3::003</t>
        </is>
      </c>
      <c r="B279" s="19" t="inlineStr">
        <is>
          <t>사용</t>
        </is>
      </c>
      <c r="C279" s="18">
        <f>IF(OR(B279&lt;&gt;AK279,M279&lt;&gt;L279,O279&lt;&gt;"",Q279&lt;&gt;"",V279&lt;&gt;1,Y279&lt;&gt;"",AT279&lt;&gt;""),"수정","원본")</f>
        <v/>
      </c>
      <c r="D279" s="18" t="n">
        <v>79</v>
      </c>
      <c r="E279" s="18" t="inlineStr">
        <is>
          <t>야돈</t>
        </is>
      </c>
      <c r="F279" s="18" t="inlineStr">
        <is>
          <t>slowpoke</t>
        </is>
      </c>
      <c r="G279" s="18" t="inlineStr">
        <is>
          <t>slowpoke</t>
        </is>
      </c>
      <c r="H279" s="18" t="inlineStr"/>
      <c r="I279" s="18" t="n">
        <v>1</v>
      </c>
      <c r="J279" s="18" t="n"/>
      <c r="K279" s="18" t="n">
        <v>1</v>
      </c>
      <c r="L279" s="18" t="inlineStr">
        <is>
          <t>cobbleventure:generation_1</t>
        </is>
      </c>
      <c r="M279" s="19" t="inlineStr">
        <is>
          <t>cobbleventure:generation_1</t>
        </is>
      </c>
      <c r="N279" s="18" t="inlineStr"/>
      <c r="O279" s="19" t="inlineStr"/>
      <c r="P279" s="18" t="inlineStr">
        <is>
          <t>#cobblemon:is_beach</t>
        </is>
      </c>
      <c r="Q279" s="19" t="inlineStr"/>
      <c r="R279" s="18">
        <f>IF(Q279="",P279,Q279)</f>
        <v/>
      </c>
      <c r="S279" s="18" t="inlineStr"/>
      <c r="T279" s="18" t="inlineStr">
        <is>
          <t>common</t>
        </is>
      </c>
      <c r="U279" s="20" t="n">
        <v>1.8</v>
      </c>
      <c r="V279" s="21" t="n">
        <v>1</v>
      </c>
      <c r="W279" s="20">
        <f>IF(OR(U279="",V279=""),U279,U279*V279)</f>
        <v/>
      </c>
      <c r="X279" s="18" t="inlineStr">
        <is>
          <t>7-32</t>
        </is>
      </c>
      <c r="Y279" s="19" t="inlineStr"/>
      <c r="Z279" s="18">
        <f>IF(Y279="",X279,Y279)</f>
        <v/>
      </c>
      <c r="AA279" s="18" t="inlineStr">
        <is>
          <t>fishing</t>
        </is>
      </c>
      <c r="AB279" s="18" t="inlineStr"/>
      <c r="AC279" s="18" t="inlineStr"/>
      <c r="AD279" s="18" t="inlineStr"/>
      <c r="AE279" s="18" t="inlineStr"/>
      <c r="AF279" s="18" t="inlineStr">
        <is>
          <t>True</t>
        </is>
      </c>
      <c r="AG279" s="18" t="inlineStr"/>
      <c r="AH279" s="18" t="inlineStr"/>
      <c r="AI279" s="18" t="inlineStr"/>
      <c r="AJ279" s="18" t="inlineStr">
        <is>
          <t>Cobblemon 동일</t>
        </is>
      </c>
      <c r="AK279" s="18" t="inlineStr">
        <is>
          <t>사용</t>
        </is>
      </c>
      <c r="AL279" s="18" t="inlineStr">
        <is>
          <t>COBBLEVERSE 1.7.42 / DP v31</t>
        </is>
      </c>
      <c r="AM279" s="18" t="inlineStr">
        <is>
          <t>data/cobblemon/spawn_pool_world/0079_slowpoke.json</t>
        </is>
      </c>
      <c r="AN279" s="18" t="inlineStr">
        <is>
          <t>slowpoke-3</t>
        </is>
      </c>
      <c r="AO279" s="18" t="inlineStr">
        <is>
          <t>pokemon</t>
        </is>
      </c>
      <c r="AP279" s="18" t="inlineStr"/>
      <c r="AQ279" s="18" t="inlineStr">
        <is>
          <t>{"biomes":["#cobblemon:is_beach"],"canSeeSky":true}</t>
        </is>
      </c>
      <c r="AR279" s="18" t="inlineStr"/>
      <c r="AS279" s="18" t="inlineStr">
        <is>
          <t>{"weightMultipliers":[{"condition":{"maxLureLevel":2,"minLureLevel":2},"multiplier":3.0},{"condition":{"minLureLevel":3},"multiplier":5.0}]}</t>
        </is>
      </c>
      <c r="AT279" s="19" t="inlineStr"/>
    </row>
    <row r="280" ht="32" customHeight="1">
      <c r="A280" s="18" t="inlineStr">
        <is>
          <t>0079_slowpoke.json::slowpoke-4::004</t>
        </is>
      </c>
      <c r="B280" s="19" t="inlineStr">
        <is>
          <t>사용</t>
        </is>
      </c>
      <c r="C280" s="18">
        <f>IF(OR(B280&lt;&gt;AK280,M280&lt;&gt;L280,O280&lt;&gt;"",Q280&lt;&gt;"",V280&lt;&gt;1,Y280&lt;&gt;"",AT280&lt;&gt;""),"수정","원본")</f>
        <v/>
      </c>
      <c r="D280" s="18" t="n">
        <v>79</v>
      </c>
      <c r="E280" s="18" t="inlineStr">
        <is>
          <t>야돈</t>
        </is>
      </c>
      <c r="F280" s="18" t="inlineStr">
        <is>
          <t>slowpoke</t>
        </is>
      </c>
      <c r="G280" s="18" t="inlineStr">
        <is>
          <t>slowpoke</t>
        </is>
      </c>
      <c r="H280" s="18" t="inlineStr"/>
      <c r="I280" s="18" t="n">
        <v>1</v>
      </c>
      <c r="J280" s="18" t="n"/>
      <c r="K280" s="18" t="n">
        <v>1</v>
      </c>
      <c r="L280" s="18" t="inlineStr">
        <is>
          <t>cobbleventure:generation_1</t>
        </is>
      </c>
      <c r="M280" s="19" t="inlineStr">
        <is>
          <t>cobbleventure:generation_1</t>
        </is>
      </c>
      <c r="N280" s="18" t="inlineStr">
        <is>
          <t>region_02</t>
        </is>
      </c>
      <c r="O280" s="19" t="inlineStr"/>
      <c r="P280" s="18" t="inlineStr">
        <is>
          <t>#cobblemon:is_freshwater</t>
        </is>
      </c>
      <c r="Q280" s="19" t="inlineStr"/>
      <c r="R280" s="18">
        <f>IF(Q280="",P280,Q280)</f>
        <v/>
      </c>
      <c r="S280" s="18" t="inlineStr">
        <is>
          <t>#cobblemon:is_freezing</t>
        </is>
      </c>
      <c r="T280" s="18" t="inlineStr">
        <is>
          <t>common</t>
        </is>
      </c>
      <c r="U280" s="20" t="n">
        <v>2</v>
      </c>
      <c r="V280" s="21" t="n">
        <v>1</v>
      </c>
      <c r="W280" s="20">
        <f>IF(OR(U280="",V280=""),U280,U280*V280)</f>
        <v/>
      </c>
      <c r="X280" s="18" t="inlineStr">
        <is>
          <t>7-32</t>
        </is>
      </c>
      <c r="Y280" s="19" t="inlineStr"/>
      <c r="Z280" s="18">
        <f>IF(Y280="",X280,Y280)</f>
        <v/>
      </c>
      <c r="AA280" s="18" t="inlineStr">
        <is>
          <t>fishing</t>
        </is>
      </c>
      <c r="AB280" s="18" t="inlineStr"/>
      <c r="AC280" s="18" t="inlineStr"/>
      <c r="AD280" s="18" t="inlineStr"/>
      <c r="AE280" s="18" t="inlineStr"/>
      <c r="AF280" s="18" t="inlineStr">
        <is>
          <t>True</t>
        </is>
      </c>
      <c r="AG280" s="18" t="inlineStr"/>
      <c r="AH280" s="18" t="inlineStr"/>
      <c r="AI280" s="18" t="inlineStr"/>
      <c r="AJ280" s="18" t="inlineStr">
        <is>
          <t>Cobblemon 동일</t>
        </is>
      </c>
      <c r="AK280" s="18" t="inlineStr">
        <is>
          <t>사용</t>
        </is>
      </c>
      <c r="AL280" s="18" t="inlineStr">
        <is>
          <t>COBBLEVERSE 1.7.42 / DP v31</t>
        </is>
      </c>
      <c r="AM280" s="18" t="inlineStr">
        <is>
          <t>data/cobblemon/spawn_pool_world/0079_slowpoke.json</t>
        </is>
      </c>
      <c r="AN280" s="18" t="inlineStr">
        <is>
          <t>slowpoke-4</t>
        </is>
      </c>
      <c r="AO280" s="18" t="inlineStr">
        <is>
          <t>pokemon</t>
        </is>
      </c>
      <c r="AP280" s="18" t="inlineStr"/>
      <c r="AQ280" s="18" t="inlineStr">
        <is>
          <t>{"biomes":["#cobblemon:is_freshwater"],"canSeeSky":true}</t>
        </is>
      </c>
      <c r="AR280" s="18" t="inlineStr">
        <is>
          <t>{"biomes":["#cobblemon:is_freezing"]}</t>
        </is>
      </c>
      <c r="AS280" s="18" t="inlineStr">
        <is>
          <t>{"weightMultipliers":[{"condition":{"maxLureLevel":2,"minLureLevel":2},"multiplier":3.0},{"condition":{"minLureLevel":3},"multiplier":5.0}]}</t>
        </is>
      </c>
      <c r="AT280" s="19" t="inlineStr"/>
    </row>
    <row r="281" ht="32" customHeight="1">
      <c r="A281" s="18" t="inlineStr">
        <is>
          <t>0079_slowpoke.json::slowpoke-5::005</t>
        </is>
      </c>
      <c r="B281" s="19" t="inlineStr">
        <is>
          <t>사용</t>
        </is>
      </c>
      <c r="C281" s="18">
        <f>IF(OR(B281&lt;&gt;AK281,M281&lt;&gt;L281,O281&lt;&gt;"",Q281&lt;&gt;"",V281&lt;&gt;1,Y281&lt;&gt;"",AT281&lt;&gt;""),"수정","원본")</f>
        <v/>
      </c>
      <c r="D281" s="18" t="n">
        <v>79</v>
      </c>
      <c r="E281" s="18" t="inlineStr">
        <is>
          <t>야돈</t>
        </is>
      </c>
      <c r="F281" s="18" t="inlineStr">
        <is>
          <t>slowpoke</t>
        </is>
      </c>
      <c r="G281" s="18" t="inlineStr">
        <is>
          <t>slowpoke</t>
        </is>
      </c>
      <c r="H281" s="18" t="inlineStr"/>
      <c r="I281" s="18" t="n">
        <v>1</v>
      </c>
      <c r="J281" s="18" t="n"/>
      <c r="K281" s="18" t="n">
        <v>1</v>
      </c>
      <c r="L281" s="18" t="inlineStr">
        <is>
          <t>cobbleventure:generation_1</t>
        </is>
      </c>
      <c r="M281" s="19" t="inlineStr">
        <is>
          <t>cobbleventure:generation_1</t>
        </is>
      </c>
      <c r="N281" s="18" t="inlineStr"/>
      <c r="O281" s="19" t="inlineStr"/>
      <c r="P281" s="18" t="inlineStr">
        <is>
          <t>#cobblemon:is_beach</t>
        </is>
      </c>
      <c r="Q281" s="19" t="inlineStr"/>
      <c r="R281" s="18">
        <f>IF(Q281="",P281,Q281)</f>
        <v/>
      </c>
      <c r="S281" s="18" t="inlineStr"/>
      <c r="T281" s="18" t="inlineStr">
        <is>
          <t>common</t>
        </is>
      </c>
      <c r="U281" s="20" t="n">
        <v>1.8</v>
      </c>
      <c r="V281" s="21" t="n">
        <v>1</v>
      </c>
      <c r="W281" s="20">
        <f>IF(OR(U281="",V281=""),U281,U281*V281)</f>
        <v/>
      </c>
      <c r="X281" s="18" t="inlineStr">
        <is>
          <t>7-32</t>
        </is>
      </c>
      <c r="Y281" s="19" t="inlineStr"/>
      <c r="Z281" s="18">
        <f>IF(Y281="",X281,Y281)</f>
        <v/>
      </c>
      <c r="AA281" s="18" t="inlineStr">
        <is>
          <t>fishing</t>
        </is>
      </c>
      <c r="AB281" s="18" t="inlineStr"/>
      <c r="AC281" s="18" t="inlineStr"/>
      <c r="AD281" s="18" t="inlineStr"/>
      <c r="AE281" s="18" t="inlineStr">
        <is>
          <t>sky 8-15</t>
        </is>
      </c>
      <c r="AF281" s="18" t="inlineStr">
        <is>
          <t>False</t>
        </is>
      </c>
      <c r="AG281" s="18" t="inlineStr"/>
      <c r="AH281" s="18" t="inlineStr"/>
      <c r="AI281" s="18" t="inlineStr"/>
      <c r="AJ281" s="18" t="inlineStr">
        <is>
          <t>Cobblemon 동일</t>
        </is>
      </c>
      <c r="AK281" s="18" t="inlineStr">
        <is>
          <t>사용</t>
        </is>
      </c>
      <c r="AL281" s="18" t="inlineStr">
        <is>
          <t>COBBLEVERSE 1.7.42 / DP v31</t>
        </is>
      </c>
      <c r="AM281" s="18" t="inlineStr">
        <is>
          <t>data/cobblemon/spawn_pool_world/0079_slowpoke.json</t>
        </is>
      </c>
      <c r="AN281" s="18" t="inlineStr">
        <is>
          <t>slowpoke-5</t>
        </is>
      </c>
      <c r="AO281" s="18" t="inlineStr">
        <is>
          <t>pokemon</t>
        </is>
      </c>
      <c r="AP281" s="18" t="inlineStr"/>
      <c r="AQ281" s="18" t="inlineStr">
        <is>
          <t>{"biomes":["#cobblemon:is_beach"],"canSeeSky":false,"maxSkyLight":15,"minSkyLight":8}</t>
        </is>
      </c>
      <c r="AR281" s="18" t="inlineStr"/>
      <c r="AS281" s="18" t="inlineStr">
        <is>
          <t>{"weightMultipliers":[{"condition":{"maxLureLevel":2,"minLureLevel":2},"multiplier":3.0},{"condition":{"minLureLevel":3},"multiplier":5.0}]}</t>
        </is>
      </c>
      <c r="AT281" s="19" t="inlineStr"/>
    </row>
    <row r="282" ht="32" customHeight="1">
      <c r="A282" s="18" t="inlineStr">
        <is>
          <t>0079_slowpoke.json::slowpoke-6::006</t>
        </is>
      </c>
      <c r="B282" s="19" t="inlineStr">
        <is>
          <t>사용</t>
        </is>
      </c>
      <c r="C282" s="18">
        <f>IF(OR(B282&lt;&gt;AK282,M282&lt;&gt;L282,O282&lt;&gt;"",Q282&lt;&gt;"",V282&lt;&gt;1,Y282&lt;&gt;"",AT282&lt;&gt;""),"수정","원본")</f>
        <v/>
      </c>
      <c r="D282" s="18" t="n">
        <v>79</v>
      </c>
      <c r="E282" s="18" t="inlineStr">
        <is>
          <t>야돈</t>
        </is>
      </c>
      <c r="F282" s="18" t="inlineStr">
        <is>
          <t>slowpoke</t>
        </is>
      </c>
      <c r="G282" s="18" t="inlineStr">
        <is>
          <t>slowpoke</t>
        </is>
      </c>
      <c r="H282" s="18" t="inlineStr"/>
      <c r="I282" s="18" t="n">
        <v>1</v>
      </c>
      <c r="J282" s="18" t="n"/>
      <c r="K282" s="18" t="n">
        <v>1</v>
      </c>
      <c r="L282" s="18" t="inlineStr">
        <is>
          <t>cobbleventure:generation_1</t>
        </is>
      </c>
      <c r="M282" s="19" t="inlineStr">
        <is>
          <t>cobbleventure:generation_1</t>
        </is>
      </c>
      <c r="N282" s="18" t="inlineStr">
        <is>
          <t>region_02</t>
        </is>
      </c>
      <c r="O282" s="19" t="inlineStr"/>
      <c r="P282" s="18" t="inlineStr">
        <is>
          <t>#cobblemon:is_freshwater</t>
        </is>
      </c>
      <c r="Q282" s="19" t="inlineStr"/>
      <c r="R282" s="18">
        <f>IF(Q282="",P282,Q282)</f>
        <v/>
      </c>
      <c r="S282" s="18" t="inlineStr">
        <is>
          <t>#cobblemon:is_freezing</t>
        </is>
      </c>
      <c r="T282" s="18" t="inlineStr">
        <is>
          <t>common</t>
        </is>
      </c>
      <c r="U282" s="20" t="n">
        <v>2</v>
      </c>
      <c r="V282" s="21" t="n">
        <v>1</v>
      </c>
      <c r="W282" s="20">
        <f>IF(OR(U282="",V282=""),U282,U282*V282)</f>
        <v/>
      </c>
      <c r="X282" s="18" t="inlineStr">
        <is>
          <t>7-32</t>
        </is>
      </c>
      <c r="Y282" s="19" t="inlineStr"/>
      <c r="Z282" s="18">
        <f>IF(Y282="",X282,Y282)</f>
        <v/>
      </c>
      <c r="AA282" s="18" t="inlineStr">
        <is>
          <t>fishing</t>
        </is>
      </c>
      <c r="AB282" s="18" t="inlineStr"/>
      <c r="AC282" s="18" t="inlineStr"/>
      <c r="AD282" s="18" t="inlineStr"/>
      <c r="AE282" s="18" t="inlineStr">
        <is>
          <t>sky 8-15</t>
        </is>
      </c>
      <c r="AF282" s="18" t="inlineStr">
        <is>
          <t>False</t>
        </is>
      </c>
      <c r="AG282" s="18" t="inlineStr"/>
      <c r="AH282" s="18" t="inlineStr"/>
      <c r="AI282" s="18" t="inlineStr"/>
      <c r="AJ282" s="18" t="inlineStr">
        <is>
          <t>Cobblemon 동일</t>
        </is>
      </c>
      <c r="AK282" s="18" t="inlineStr">
        <is>
          <t>사용</t>
        </is>
      </c>
      <c r="AL282" s="18" t="inlineStr">
        <is>
          <t>COBBLEVERSE 1.7.42 / DP v31</t>
        </is>
      </c>
      <c r="AM282" s="18" t="inlineStr">
        <is>
          <t>data/cobblemon/spawn_pool_world/0079_slowpoke.json</t>
        </is>
      </c>
      <c r="AN282" s="18" t="inlineStr">
        <is>
          <t>slowpoke-6</t>
        </is>
      </c>
      <c r="AO282" s="18" t="inlineStr">
        <is>
          <t>pokemon</t>
        </is>
      </c>
      <c r="AP282" s="18" t="inlineStr"/>
      <c r="AQ282" s="18" t="inlineStr">
        <is>
          <t>{"biomes":["#cobblemon:is_freshwater"],"canSeeSky":false,"maxSkyLight":15,"minSkyLight":8}</t>
        </is>
      </c>
      <c r="AR282" s="18" t="inlineStr">
        <is>
          <t>{"biomes":["#cobblemon:is_freezing"]}</t>
        </is>
      </c>
      <c r="AS282" s="18" t="inlineStr">
        <is>
          <t>{"weightMultipliers":[{"condition":{"maxLureLevel":2,"minLureLevel":2},"multiplier":3.0},{"condition":{"minLureLevel":3},"multiplier":5.0}]}</t>
        </is>
      </c>
      <c r="AT282" s="19" t="inlineStr"/>
    </row>
    <row r="283" ht="32" customHeight="1">
      <c r="A283" s="18" t="inlineStr">
        <is>
          <t>0079_slowpoke.json::slowpoke-galarian-7::007</t>
        </is>
      </c>
      <c r="B283" s="19" t="inlineStr">
        <is>
          <t>사용</t>
        </is>
      </c>
      <c r="C283" s="18">
        <f>IF(OR(B283&lt;&gt;AK283,M283&lt;&gt;L283,O283&lt;&gt;"",Q283&lt;&gt;"",V283&lt;&gt;1,Y283&lt;&gt;"",AT283&lt;&gt;""),"수정","원본")</f>
        <v/>
      </c>
      <c r="D283" s="18" t="n">
        <v>79</v>
      </c>
      <c r="E283" s="18" t="inlineStr">
        <is>
          <t>야돈</t>
        </is>
      </c>
      <c r="F283" s="18" t="inlineStr">
        <is>
          <t>slowpoke</t>
        </is>
      </c>
      <c r="G283" s="18" t="inlineStr">
        <is>
          <t>slowpoke galarian</t>
        </is>
      </c>
      <c r="H283" s="18" t="inlineStr">
        <is>
          <t>galarian</t>
        </is>
      </c>
      <c r="I283" s="18" t="n">
        <v>1</v>
      </c>
      <c r="J283" s="18" t="n">
        <v>8</v>
      </c>
      <c r="K283" s="18" t="n">
        <v>8</v>
      </c>
      <c r="L283" s="18" t="inlineStr">
        <is>
          <t>cobbleventure:generation_8</t>
        </is>
      </c>
      <c r="M283" s="19" t="inlineStr">
        <is>
          <t>cobbleventure:generation_8</t>
        </is>
      </c>
      <c r="N283" s="18" t="inlineStr"/>
      <c r="O283" s="19" t="inlineStr"/>
      <c r="P283" s="18" t="inlineStr">
        <is>
          <t>minecraft:mushroom_fields; #cobblemon:is_tropical_island</t>
        </is>
      </c>
      <c r="Q283" s="19" t="inlineStr"/>
      <c r="R283" s="18">
        <f>IF(Q283="",P283,Q283)</f>
        <v/>
      </c>
      <c r="S283" s="18" t="inlineStr"/>
      <c r="T283" s="18" t="inlineStr">
        <is>
          <t>common</t>
        </is>
      </c>
      <c r="U283" s="20" t="n">
        <v>5.4</v>
      </c>
      <c r="V283" s="21" t="n">
        <v>1</v>
      </c>
      <c r="W283" s="20">
        <f>IF(OR(U283="",V283=""),U283,U283*V283)</f>
        <v/>
      </c>
      <c r="X283" s="18" t="inlineStr">
        <is>
          <t>7-32</t>
        </is>
      </c>
      <c r="Y283" s="19" t="inlineStr"/>
      <c r="Z283" s="18">
        <f>IF(Y283="",X283,Y283)</f>
        <v/>
      </c>
      <c r="AA283" s="18" t="inlineStr">
        <is>
          <t>grounded</t>
        </is>
      </c>
      <c r="AB283" s="18" t="inlineStr"/>
      <c r="AC283" s="18" t="inlineStr"/>
      <c r="AD283" s="18" t="inlineStr"/>
      <c r="AE283" s="18" t="inlineStr">
        <is>
          <t>sky 8-15</t>
        </is>
      </c>
      <c r="AF283" s="18" t="inlineStr"/>
      <c r="AG283" s="18" t="inlineStr"/>
      <c r="AH283" s="18" t="inlineStr">
        <is>
          <t>주변=minecraft:water</t>
        </is>
      </c>
      <c r="AI283" s="18" t="inlineStr"/>
      <c r="AJ283" s="18" t="inlineStr">
        <is>
          <t>Cobblemon 동일</t>
        </is>
      </c>
      <c r="AK283" s="18" t="inlineStr">
        <is>
          <t>사용</t>
        </is>
      </c>
      <c r="AL283" s="18" t="inlineStr">
        <is>
          <t>COBBLEVERSE 1.7.42 / DP v31</t>
        </is>
      </c>
      <c r="AM283" s="18" t="inlineStr">
        <is>
          <t>data/cobblemon/spawn_pool_world/0079_slowpoke.json</t>
        </is>
      </c>
      <c r="AN283" s="18" t="inlineStr">
        <is>
          <t>slowpoke-galarian-7</t>
        </is>
      </c>
      <c r="AO283" s="18" t="inlineStr">
        <is>
          <t>pokemon</t>
        </is>
      </c>
      <c r="AP283" s="18" t="inlineStr">
        <is>
          <t>natural</t>
        </is>
      </c>
      <c r="AQ283" s="18" t="inlineStr">
        <is>
          <t>{"biomes":["minecraft:mushroom_fields","#cobblemon:is_tropical_island"],"maxSkyLight":15,"minSkyLight":8,"neededNearbyBlocks":["minecraft:water"]}</t>
        </is>
      </c>
      <c r="AR283" s="18" t="inlineStr"/>
      <c r="AS283" s="18" t="inlineStr"/>
      <c r="AT283" s="19" t="inlineStr"/>
    </row>
    <row r="284" ht="32" customHeight="1">
      <c r="A284" s="18" t="inlineStr">
        <is>
          <t>0079_slowpoke.json::slowpoke-galarian-8::008</t>
        </is>
      </c>
      <c r="B284" s="19" t="inlineStr">
        <is>
          <t>사용</t>
        </is>
      </c>
      <c r="C284" s="18">
        <f>IF(OR(B284&lt;&gt;AK284,M284&lt;&gt;L284,O284&lt;&gt;"",Q284&lt;&gt;"",V284&lt;&gt;1,Y284&lt;&gt;"",AT284&lt;&gt;""),"수정","원본")</f>
        <v/>
      </c>
      <c r="D284" s="18" t="n">
        <v>79</v>
      </c>
      <c r="E284" s="18" t="inlineStr">
        <is>
          <t>야돈</t>
        </is>
      </c>
      <c r="F284" s="18" t="inlineStr">
        <is>
          <t>slowpoke</t>
        </is>
      </c>
      <c r="G284" s="18" t="inlineStr">
        <is>
          <t>slowpoke galarian</t>
        </is>
      </c>
      <c r="H284" s="18" t="inlineStr">
        <is>
          <t>galarian</t>
        </is>
      </c>
      <c r="I284" s="18" t="n">
        <v>1</v>
      </c>
      <c r="J284" s="18" t="n">
        <v>8</v>
      </c>
      <c r="K284" s="18" t="n">
        <v>8</v>
      </c>
      <c r="L284" s="18" t="inlineStr">
        <is>
          <t>cobbleventure:generation_8</t>
        </is>
      </c>
      <c r="M284" s="19" t="inlineStr">
        <is>
          <t>cobbleventure:generation_8</t>
        </is>
      </c>
      <c r="N284" s="18" t="inlineStr"/>
      <c r="O284" s="19" t="inlineStr"/>
      <c r="P284" s="18" t="inlineStr">
        <is>
          <t>minecraft:mushroom_fields; #cobblemon:is_tropical_island</t>
        </is>
      </c>
      <c r="Q284" s="19" t="inlineStr"/>
      <c r="R284" s="18">
        <f>IF(Q284="",P284,Q284)</f>
        <v/>
      </c>
      <c r="S284" s="18" t="inlineStr"/>
      <c r="T284" s="18" t="inlineStr">
        <is>
          <t>common</t>
        </is>
      </c>
      <c r="U284" s="20" t="n">
        <v>1.8</v>
      </c>
      <c r="V284" s="21" t="n">
        <v>1</v>
      </c>
      <c r="W284" s="20">
        <f>IF(OR(U284="",V284=""),U284,U284*V284)</f>
        <v/>
      </c>
      <c r="X284" s="18" t="inlineStr">
        <is>
          <t>7-32</t>
        </is>
      </c>
      <c r="Y284" s="19" t="inlineStr"/>
      <c r="Z284" s="18">
        <f>IF(Y284="",X284,Y284)</f>
        <v/>
      </c>
      <c r="AA284" s="18" t="inlineStr">
        <is>
          <t>fishing</t>
        </is>
      </c>
      <c r="AB284" s="18" t="inlineStr"/>
      <c r="AC284" s="18" t="inlineStr"/>
      <c r="AD284" s="18" t="inlineStr"/>
      <c r="AE284" s="18" t="inlineStr"/>
      <c r="AF284" s="18" t="inlineStr">
        <is>
          <t>True</t>
        </is>
      </c>
      <c r="AG284" s="18" t="inlineStr"/>
      <c r="AH284" s="18" t="inlineStr"/>
      <c r="AI284" s="18" t="inlineStr"/>
      <c r="AJ284" s="18" t="inlineStr">
        <is>
          <t>Cobblemon 동일</t>
        </is>
      </c>
      <c r="AK284" s="18" t="inlineStr">
        <is>
          <t>사용</t>
        </is>
      </c>
      <c r="AL284" s="18" t="inlineStr">
        <is>
          <t>COBBLEVERSE 1.7.42 / DP v31</t>
        </is>
      </c>
      <c r="AM284" s="18" t="inlineStr">
        <is>
          <t>data/cobblemon/spawn_pool_world/0079_slowpoke.json</t>
        </is>
      </c>
      <c r="AN284" s="18" t="inlineStr">
        <is>
          <t>slowpoke-galarian-8</t>
        </is>
      </c>
      <c r="AO284" s="18" t="inlineStr">
        <is>
          <t>pokemon</t>
        </is>
      </c>
      <c r="AP284" s="18" t="inlineStr"/>
      <c r="AQ284" s="18" t="inlineStr">
        <is>
          <t>{"biomes":["minecraft:mushroom_fields","#cobblemon:is_tropical_island"],"canSeeSky":true}</t>
        </is>
      </c>
      <c r="AR284" s="18" t="inlineStr"/>
      <c r="AS284" s="18" t="inlineStr">
        <is>
          <t>{"weightMultipliers":[{"condition":{"maxLureLevel":2,"minLureLevel":2},"multiplier":3.0},{"condition":{"minLureLevel":3},"multiplier":5.0}]}</t>
        </is>
      </c>
      <c r="AT284" s="19" t="inlineStr"/>
    </row>
    <row r="285" ht="32" customHeight="1">
      <c r="A285" s="18" t="inlineStr">
        <is>
          <t>0079_slowpoke.json::slowpoke-galarian-9::009</t>
        </is>
      </c>
      <c r="B285" s="19" t="inlineStr">
        <is>
          <t>사용</t>
        </is>
      </c>
      <c r="C285" s="18">
        <f>IF(OR(B285&lt;&gt;AK285,M285&lt;&gt;L285,O285&lt;&gt;"",Q285&lt;&gt;"",V285&lt;&gt;1,Y285&lt;&gt;"",AT285&lt;&gt;""),"수정","원본")</f>
        <v/>
      </c>
      <c r="D285" s="18" t="n">
        <v>79</v>
      </c>
      <c r="E285" s="18" t="inlineStr">
        <is>
          <t>야돈</t>
        </is>
      </c>
      <c r="F285" s="18" t="inlineStr">
        <is>
          <t>slowpoke</t>
        </is>
      </c>
      <c r="G285" s="18" t="inlineStr">
        <is>
          <t>slowpoke galarian</t>
        </is>
      </c>
      <c r="H285" s="18" t="inlineStr">
        <is>
          <t>galarian</t>
        </is>
      </c>
      <c r="I285" s="18" t="n">
        <v>1</v>
      </c>
      <c r="J285" s="18" t="n">
        <v>8</v>
      </c>
      <c r="K285" s="18" t="n">
        <v>8</v>
      </c>
      <c r="L285" s="18" t="inlineStr">
        <is>
          <t>cobbleventure:generation_8</t>
        </is>
      </c>
      <c r="M285" s="19" t="inlineStr">
        <is>
          <t>cobbleventure:generation_8</t>
        </is>
      </c>
      <c r="N285" s="18" t="inlineStr"/>
      <c r="O285" s="19" t="inlineStr"/>
      <c r="P285" s="18" t="inlineStr">
        <is>
          <t>minecraft:mushroom_fields; #cobblemon:is_tropical_island</t>
        </is>
      </c>
      <c r="Q285" s="19" t="inlineStr"/>
      <c r="R285" s="18">
        <f>IF(Q285="",P285,Q285)</f>
        <v/>
      </c>
      <c r="S285" s="18" t="inlineStr"/>
      <c r="T285" s="18" t="inlineStr">
        <is>
          <t>common</t>
        </is>
      </c>
      <c r="U285" s="20" t="n">
        <v>1.8</v>
      </c>
      <c r="V285" s="21" t="n">
        <v>1</v>
      </c>
      <c r="W285" s="20">
        <f>IF(OR(U285="",V285=""),U285,U285*V285)</f>
        <v/>
      </c>
      <c r="X285" s="18" t="inlineStr">
        <is>
          <t>7-32</t>
        </is>
      </c>
      <c r="Y285" s="19" t="inlineStr"/>
      <c r="Z285" s="18">
        <f>IF(Y285="",X285,Y285)</f>
        <v/>
      </c>
      <c r="AA285" s="18" t="inlineStr">
        <is>
          <t>fishing</t>
        </is>
      </c>
      <c r="AB285" s="18" t="inlineStr"/>
      <c r="AC285" s="18" t="inlineStr"/>
      <c r="AD285" s="18" t="inlineStr"/>
      <c r="AE285" s="18" t="inlineStr">
        <is>
          <t>sky 8-15</t>
        </is>
      </c>
      <c r="AF285" s="18" t="inlineStr">
        <is>
          <t>False</t>
        </is>
      </c>
      <c r="AG285" s="18" t="inlineStr"/>
      <c r="AH285" s="18" t="inlineStr"/>
      <c r="AI285" s="18" t="inlineStr"/>
      <c r="AJ285" s="18" t="inlineStr">
        <is>
          <t>Cobblemon 동일</t>
        </is>
      </c>
      <c r="AK285" s="18" t="inlineStr">
        <is>
          <t>사용</t>
        </is>
      </c>
      <c r="AL285" s="18" t="inlineStr">
        <is>
          <t>COBBLEVERSE 1.7.42 / DP v31</t>
        </is>
      </c>
      <c r="AM285" s="18" t="inlineStr">
        <is>
          <t>data/cobblemon/spawn_pool_world/0079_slowpoke.json</t>
        </is>
      </c>
      <c r="AN285" s="18" t="inlineStr">
        <is>
          <t>slowpoke-galarian-9</t>
        </is>
      </c>
      <c r="AO285" s="18" t="inlineStr">
        <is>
          <t>pokemon</t>
        </is>
      </c>
      <c r="AP285" s="18" t="inlineStr"/>
      <c r="AQ285" s="18" t="inlineStr">
        <is>
          <t>{"biomes":["minecraft:mushroom_fields","#cobblemon:is_tropical_island"],"canSeeSky":false,"maxSkyLight":15,"minSkyLight":8}</t>
        </is>
      </c>
      <c r="AR285" s="18" t="inlineStr"/>
      <c r="AS285" s="18" t="inlineStr">
        <is>
          <t>{"weightMultipliers":[{"condition":{"maxLureLevel":2,"minLureLevel":2},"multiplier":3.0},{"condition":{"minLureLevel":3},"multiplier":5.0}]}</t>
        </is>
      </c>
      <c r="AT285" s="19" t="inlineStr"/>
    </row>
    <row r="286" ht="32" customHeight="1">
      <c r="A286" s="18" t="inlineStr">
        <is>
          <t>0080_slowbro.json::slowbro-1::001</t>
        </is>
      </c>
      <c r="B286" s="19" t="inlineStr">
        <is>
          <t>사용</t>
        </is>
      </c>
      <c r="C286" s="18">
        <f>IF(OR(B286&lt;&gt;AK286,M286&lt;&gt;L286,O286&lt;&gt;"",Q286&lt;&gt;"",V286&lt;&gt;1,Y286&lt;&gt;"",AT286&lt;&gt;""),"수정","원본")</f>
        <v/>
      </c>
      <c r="D286" s="18" t="n">
        <v>80</v>
      </c>
      <c r="E286" s="18" t="inlineStr">
        <is>
          <t>야도란</t>
        </is>
      </c>
      <c r="F286" s="18" t="inlineStr">
        <is>
          <t>slowbro</t>
        </is>
      </c>
      <c r="G286" s="18" t="inlineStr">
        <is>
          <t>slowbro</t>
        </is>
      </c>
      <c r="H286" s="18" t="inlineStr"/>
      <c r="I286" s="18" t="n">
        <v>1</v>
      </c>
      <c r="J286" s="18" t="n"/>
      <c r="K286" s="18" t="n">
        <v>1</v>
      </c>
      <c r="L286" s="18" t="inlineStr">
        <is>
          <t>cobbleventure:generation_1</t>
        </is>
      </c>
      <c r="M286" s="19" t="inlineStr">
        <is>
          <t>cobbleventure:generation_1</t>
        </is>
      </c>
      <c r="N286" s="18" t="inlineStr"/>
      <c r="O286" s="19" t="inlineStr"/>
      <c r="P286" s="18" t="inlineStr">
        <is>
          <t>#cobblemon:is_beach</t>
        </is>
      </c>
      <c r="Q286" s="19" t="inlineStr"/>
      <c r="R286" s="18">
        <f>IF(Q286="",P286,Q286)</f>
        <v/>
      </c>
      <c r="S286" s="18" t="inlineStr"/>
      <c r="T286" s="18" t="inlineStr">
        <is>
          <t>common</t>
        </is>
      </c>
      <c r="U286" s="20" t="n">
        <v>0.45</v>
      </c>
      <c r="V286" s="21" t="n">
        <v>1</v>
      </c>
      <c r="W286" s="20">
        <f>IF(OR(U286="",V286=""),U286,U286*V286)</f>
        <v/>
      </c>
      <c r="X286" s="18" t="inlineStr">
        <is>
          <t>37-49</t>
        </is>
      </c>
      <c r="Y286" s="19" t="inlineStr"/>
      <c r="Z286" s="18">
        <f>IF(Y286="",X286,Y286)</f>
        <v/>
      </c>
      <c r="AA286" s="18" t="inlineStr">
        <is>
          <t>grounded</t>
        </is>
      </c>
      <c r="AB286" s="18" t="inlineStr"/>
      <c r="AC286" s="18" t="inlineStr"/>
      <c r="AD286" s="18" t="inlineStr"/>
      <c r="AE286" s="18" t="inlineStr">
        <is>
          <t>sky 8-15</t>
        </is>
      </c>
      <c r="AF286" s="18" t="inlineStr"/>
      <c r="AG286" s="18" t="inlineStr"/>
      <c r="AH286" s="18" t="inlineStr"/>
      <c r="AI286" s="18" t="inlineStr"/>
      <c r="AJ286" s="18" t="inlineStr">
        <is>
          <t>Cobblemon 동일</t>
        </is>
      </c>
      <c r="AK286" s="18" t="inlineStr">
        <is>
          <t>사용</t>
        </is>
      </c>
      <c r="AL286" s="18" t="inlineStr">
        <is>
          <t>COBBLEVERSE 1.7.42 / DP v31</t>
        </is>
      </c>
      <c r="AM286" s="18" t="inlineStr">
        <is>
          <t>data/cobblemon/spawn_pool_world/0080_slowbro.json</t>
        </is>
      </c>
      <c r="AN286" s="18" t="inlineStr">
        <is>
          <t>slowbro-1</t>
        </is>
      </c>
      <c r="AO286" s="18" t="inlineStr">
        <is>
          <t>pokemon</t>
        </is>
      </c>
      <c r="AP286" s="18" t="inlineStr">
        <is>
          <t>natural</t>
        </is>
      </c>
      <c r="AQ286" s="18" t="inlineStr">
        <is>
          <t>{"biomes":["#cobblemon:is_beach"],"maxSkyLight":15,"minSkyLight":8}</t>
        </is>
      </c>
      <c r="AR286" s="18" t="inlineStr"/>
      <c r="AS286" s="18" t="inlineStr"/>
      <c r="AT286" s="19" t="inlineStr"/>
    </row>
    <row r="287" ht="32" customHeight="1">
      <c r="A287" s="18" t="inlineStr">
        <is>
          <t>0080_slowbro.json::slowbro-2::002</t>
        </is>
      </c>
      <c r="B287" s="19" t="inlineStr">
        <is>
          <t>사용</t>
        </is>
      </c>
      <c r="C287" s="18">
        <f>IF(OR(B287&lt;&gt;AK287,M287&lt;&gt;L287,O287&lt;&gt;"",Q287&lt;&gt;"",V287&lt;&gt;1,Y287&lt;&gt;"",AT287&lt;&gt;""),"수정","원본")</f>
        <v/>
      </c>
      <c r="D287" s="18" t="n">
        <v>80</v>
      </c>
      <c r="E287" s="18" t="inlineStr">
        <is>
          <t>야도란</t>
        </is>
      </c>
      <c r="F287" s="18" t="inlineStr">
        <is>
          <t>slowbro</t>
        </is>
      </c>
      <c r="G287" s="18" t="inlineStr">
        <is>
          <t>slowbro</t>
        </is>
      </c>
      <c r="H287" s="18" t="inlineStr"/>
      <c r="I287" s="18" t="n">
        <v>1</v>
      </c>
      <c r="J287" s="18" t="n"/>
      <c r="K287" s="18" t="n">
        <v>1</v>
      </c>
      <c r="L287" s="18" t="inlineStr">
        <is>
          <t>cobbleventure:generation_1</t>
        </is>
      </c>
      <c r="M287" s="19" t="inlineStr">
        <is>
          <t>cobbleventure:generation_1</t>
        </is>
      </c>
      <c r="N287" s="18" t="inlineStr"/>
      <c r="O287" s="19" t="inlineStr"/>
      <c r="P287" s="18" t="inlineStr">
        <is>
          <t>#cobblemon:is_beach</t>
        </is>
      </c>
      <c r="Q287" s="19" t="inlineStr"/>
      <c r="R287" s="18">
        <f>IF(Q287="",P287,Q287)</f>
        <v/>
      </c>
      <c r="S287" s="18" t="inlineStr"/>
      <c r="T287" s="18" t="inlineStr">
        <is>
          <t>common</t>
        </is>
      </c>
      <c r="U287" s="20" t="n">
        <v>0.15</v>
      </c>
      <c r="V287" s="21" t="n">
        <v>1</v>
      </c>
      <c r="W287" s="20">
        <f>IF(OR(U287="",V287=""),U287,U287*V287)</f>
        <v/>
      </c>
      <c r="X287" s="18" t="inlineStr">
        <is>
          <t>37-49</t>
        </is>
      </c>
      <c r="Y287" s="19" t="inlineStr"/>
      <c r="Z287" s="18">
        <f>IF(Y287="",X287,Y287)</f>
        <v/>
      </c>
      <c r="AA287" s="18" t="inlineStr">
        <is>
          <t>fishing</t>
        </is>
      </c>
      <c r="AB287" s="18" t="inlineStr"/>
      <c r="AC287" s="18" t="inlineStr"/>
      <c r="AD287" s="18" t="inlineStr"/>
      <c r="AE287" s="18" t="inlineStr"/>
      <c r="AF287" s="18" t="inlineStr">
        <is>
          <t>True</t>
        </is>
      </c>
      <c r="AG287" s="18" t="inlineStr"/>
      <c r="AH287" s="18" t="inlineStr"/>
      <c r="AI287" s="18" t="inlineStr"/>
      <c r="AJ287" s="18" t="inlineStr">
        <is>
          <t>Cobblemon 동일</t>
        </is>
      </c>
      <c r="AK287" s="18" t="inlineStr">
        <is>
          <t>사용</t>
        </is>
      </c>
      <c r="AL287" s="18" t="inlineStr">
        <is>
          <t>COBBLEVERSE 1.7.42 / DP v31</t>
        </is>
      </c>
      <c r="AM287" s="18" t="inlineStr">
        <is>
          <t>data/cobblemon/spawn_pool_world/0080_slowbro.json</t>
        </is>
      </c>
      <c r="AN287" s="18" t="inlineStr">
        <is>
          <t>slowbro-2</t>
        </is>
      </c>
      <c r="AO287" s="18" t="inlineStr">
        <is>
          <t>pokemon</t>
        </is>
      </c>
      <c r="AP287" s="18" t="inlineStr"/>
      <c r="AQ287" s="18" t="inlineStr">
        <is>
          <t>{"biomes":["#cobblemon:is_beach"],"canSeeSky":true}</t>
        </is>
      </c>
      <c r="AR287" s="18" t="inlineStr"/>
      <c r="AS287" s="18" t="inlineStr">
        <is>
          <t>{"weightMultipliers":[{"condition":{"maxLureLevel":2,"minLureLevel":2},"multiplier":3.0},{"condition":{"minLureLevel":3},"multiplier":5.0}]}</t>
        </is>
      </c>
      <c r="AT287" s="19" t="inlineStr"/>
    </row>
    <row r="288" ht="32" customHeight="1">
      <c r="A288" s="18" t="inlineStr">
        <is>
          <t>0080_slowbro.json::slowbro-3::003</t>
        </is>
      </c>
      <c r="B288" s="19" t="inlineStr">
        <is>
          <t>사용</t>
        </is>
      </c>
      <c r="C288" s="18">
        <f>IF(OR(B288&lt;&gt;AK288,M288&lt;&gt;L288,O288&lt;&gt;"",Q288&lt;&gt;"",V288&lt;&gt;1,Y288&lt;&gt;"",AT288&lt;&gt;""),"수정","원본")</f>
        <v/>
      </c>
      <c r="D288" s="18" t="n">
        <v>80</v>
      </c>
      <c r="E288" s="18" t="inlineStr">
        <is>
          <t>야도란</t>
        </is>
      </c>
      <c r="F288" s="18" t="inlineStr">
        <is>
          <t>slowbro</t>
        </is>
      </c>
      <c r="G288" s="18" t="inlineStr">
        <is>
          <t>slowbro</t>
        </is>
      </c>
      <c r="H288" s="18" t="inlineStr"/>
      <c r="I288" s="18" t="n">
        <v>1</v>
      </c>
      <c r="J288" s="18" t="n"/>
      <c r="K288" s="18" t="n">
        <v>1</v>
      </c>
      <c r="L288" s="18" t="inlineStr">
        <is>
          <t>cobbleventure:generation_1</t>
        </is>
      </c>
      <c r="M288" s="19" t="inlineStr">
        <is>
          <t>cobbleventure:generation_1</t>
        </is>
      </c>
      <c r="N288" s="18" t="inlineStr"/>
      <c r="O288" s="19" t="inlineStr"/>
      <c r="P288" s="18" t="inlineStr">
        <is>
          <t>#cobblemon:is_beach</t>
        </is>
      </c>
      <c r="Q288" s="19" t="inlineStr"/>
      <c r="R288" s="18">
        <f>IF(Q288="",P288,Q288)</f>
        <v/>
      </c>
      <c r="S288" s="18" t="inlineStr"/>
      <c r="T288" s="18" t="inlineStr">
        <is>
          <t>common</t>
        </is>
      </c>
      <c r="U288" s="20" t="n">
        <v>0.15</v>
      </c>
      <c r="V288" s="21" t="n">
        <v>1</v>
      </c>
      <c r="W288" s="20">
        <f>IF(OR(U288="",V288=""),U288,U288*V288)</f>
        <v/>
      </c>
      <c r="X288" s="18" t="inlineStr">
        <is>
          <t>37-49</t>
        </is>
      </c>
      <c r="Y288" s="19" t="inlineStr"/>
      <c r="Z288" s="18">
        <f>IF(Y288="",X288,Y288)</f>
        <v/>
      </c>
      <c r="AA288" s="18" t="inlineStr">
        <is>
          <t>fishing</t>
        </is>
      </c>
      <c r="AB288" s="18" t="inlineStr"/>
      <c r="AC288" s="18" t="inlineStr"/>
      <c r="AD288" s="18" t="inlineStr"/>
      <c r="AE288" s="18" t="inlineStr">
        <is>
          <t>sky 8-15</t>
        </is>
      </c>
      <c r="AF288" s="18" t="inlineStr">
        <is>
          <t>False</t>
        </is>
      </c>
      <c r="AG288" s="18" t="inlineStr"/>
      <c r="AH288" s="18" t="inlineStr"/>
      <c r="AI288" s="18" t="inlineStr"/>
      <c r="AJ288" s="18" t="inlineStr">
        <is>
          <t>Cobblemon 동일</t>
        </is>
      </c>
      <c r="AK288" s="18" t="inlineStr">
        <is>
          <t>사용</t>
        </is>
      </c>
      <c r="AL288" s="18" t="inlineStr">
        <is>
          <t>COBBLEVERSE 1.7.42 / DP v31</t>
        </is>
      </c>
      <c r="AM288" s="18" t="inlineStr">
        <is>
          <t>data/cobblemon/spawn_pool_world/0080_slowbro.json</t>
        </is>
      </c>
      <c r="AN288" s="18" t="inlineStr">
        <is>
          <t>slowbro-3</t>
        </is>
      </c>
      <c r="AO288" s="18" t="inlineStr">
        <is>
          <t>pokemon</t>
        </is>
      </c>
      <c r="AP288" s="18" t="inlineStr"/>
      <c r="AQ288" s="18" t="inlineStr">
        <is>
          <t>{"biomes":["#cobblemon:is_beach"],"canSeeSky":false,"maxSkyLight":15,"minSkyLight":8}</t>
        </is>
      </c>
      <c r="AR288" s="18" t="inlineStr"/>
      <c r="AS288" s="18" t="inlineStr">
        <is>
          <t>{"weightMultipliers":[{"condition":{"maxLureLevel":2,"minLureLevel":2},"multiplier":3.0},{"condition":{"minLureLevel":3},"multiplier":5.0}]}</t>
        </is>
      </c>
      <c r="AT288" s="19" t="inlineStr"/>
    </row>
    <row r="289" ht="32" customHeight="1">
      <c r="A289" s="18" t="inlineStr">
        <is>
          <t>0080_slowbro.json::slowbro-galarian-4::004</t>
        </is>
      </c>
      <c r="B289" s="19" t="inlineStr">
        <is>
          <t>사용</t>
        </is>
      </c>
      <c r="C289" s="18">
        <f>IF(OR(B289&lt;&gt;AK289,M289&lt;&gt;L289,O289&lt;&gt;"",Q289&lt;&gt;"",V289&lt;&gt;1,Y289&lt;&gt;"",AT289&lt;&gt;""),"수정","원본")</f>
        <v/>
      </c>
      <c r="D289" s="18" t="n">
        <v>80</v>
      </c>
      <c r="E289" s="18" t="inlineStr">
        <is>
          <t>야도란</t>
        </is>
      </c>
      <c r="F289" s="18" t="inlineStr">
        <is>
          <t>slowbro</t>
        </is>
      </c>
      <c r="G289" s="18" t="inlineStr">
        <is>
          <t>slowbro galarian</t>
        </is>
      </c>
      <c r="H289" s="18" t="inlineStr">
        <is>
          <t>galarian</t>
        </is>
      </c>
      <c r="I289" s="18" t="n">
        <v>1</v>
      </c>
      <c r="J289" s="18" t="n">
        <v>8</v>
      </c>
      <c r="K289" s="18" t="n">
        <v>8</v>
      </c>
      <c r="L289" s="18" t="inlineStr">
        <is>
          <t>cobbleventure:generation_8</t>
        </is>
      </c>
      <c r="M289" s="19" t="inlineStr">
        <is>
          <t>cobbleventure:generation_8</t>
        </is>
      </c>
      <c r="N289" s="18" t="inlineStr"/>
      <c r="O289" s="19" t="inlineStr"/>
      <c r="P289" s="18" t="inlineStr">
        <is>
          <t>minecraft:mushroom_fields; #cobblemon:is_tropical_island</t>
        </is>
      </c>
      <c r="Q289" s="19" t="inlineStr"/>
      <c r="R289" s="18">
        <f>IF(Q289="",P289,Q289)</f>
        <v/>
      </c>
      <c r="S289" s="18" t="inlineStr"/>
      <c r="T289" s="18" t="inlineStr">
        <is>
          <t>common</t>
        </is>
      </c>
      <c r="U289" s="20" t="n">
        <v>0.45</v>
      </c>
      <c r="V289" s="21" t="n">
        <v>1</v>
      </c>
      <c r="W289" s="20">
        <f>IF(OR(U289="",V289=""),U289,U289*V289)</f>
        <v/>
      </c>
      <c r="X289" s="18" t="inlineStr">
        <is>
          <t>37-49</t>
        </is>
      </c>
      <c r="Y289" s="19" t="inlineStr"/>
      <c r="Z289" s="18">
        <f>IF(Y289="",X289,Y289)</f>
        <v/>
      </c>
      <c r="AA289" s="18" t="inlineStr">
        <is>
          <t>grounded</t>
        </is>
      </c>
      <c r="AB289" s="18" t="inlineStr"/>
      <c r="AC289" s="18" t="inlineStr"/>
      <c r="AD289" s="18" t="inlineStr"/>
      <c r="AE289" s="18" t="inlineStr">
        <is>
          <t>sky 8-15</t>
        </is>
      </c>
      <c r="AF289" s="18" t="inlineStr"/>
      <c r="AG289" s="18" t="inlineStr"/>
      <c r="AH289" s="18" t="inlineStr">
        <is>
          <t>주변=minecraft:water</t>
        </is>
      </c>
      <c r="AI289" s="18" t="inlineStr"/>
      <c r="AJ289" s="18" t="inlineStr">
        <is>
          <t>Cobblemon 동일</t>
        </is>
      </c>
      <c r="AK289" s="18" t="inlineStr">
        <is>
          <t>사용</t>
        </is>
      </c>
      <c r="AL289" s="18" t="inlineStr">
        <is>
          <t>COBBLEVERSE 1.7.42 / DP v31</t>
        </is>
      </c>
      <c r="AM289" s="18" t="inlineStr">
        <is>
          <t>data/cobblemon/spawn_pool_world/0080_slowbro.json</t>
        </is>
      </c>
      <c r="AN289" s="18" t="inlineStr">
        <is>
          <t>slowbro-galarian-4</t>
        </is>
      </c>
      <c r="AO289" s="18" t="inlineStr">
        <is>
          <t>pokemon</t>
        </is>
      </c>
      <c r="AP289" s="18" t="inlineStr">
        <is>
          <t>natural</t>
        </is>
      </c>
      <c r="AQ289" s="18" t="inlineStr">
        <is>
          <t>{"biomes":["minecraft:mushroom_fields","#cobblemon:is_tropical_island"],"maxSkyLight":15,"minSkyLight":8,"neededNearbyBlocks":["minecraft:water"]}</t>
        </is>
      </c>
      <c r="AR289" s="18" t="inlineStr"/>
      <c r="AS289" s="18" t="inlineStr"/>
      <c r="AT289" s="19" t="inlineStr"/>
    </row>
    <row r="290" ht="32" customHeight="1">
      <c r="A290" s="18" t="inlineStr">
        <is>
          <t>0080_slowbro.json::slowbro-galarian-5::005</t>
        </is>
      </c>
      <c r="B290" s="19" t="inlineStr">
        <is>
          <t>사용</t>
        </is>
      </c>
      <c r="C290" s="18">
        <f>IF(OR(B290&lt;&gt;AK290,M290&lt;&gt;L290,O290&lt;&gt;"",Q290&lt;&gt;"",V290&lt;&gt;1,Y290&lt;&gt;"",AT290&lt;&gt;""),"수정","원본")</f>
        <v/>
      </c>
      <c r="D290" s="18" t="n">
        <v>80</v>
      </c>
      <c r="E290" s="18" t="inlineStr">
        <is>
          <t>야도란</t>
        </is>
      </c>
      <c r="F290" s="18" t="inlineStr">
        <is>
          <t>slowbro</t>
        </is>
      </c>
      <c r="G290" s="18" t="inlineStr">
        <is>
          <t>slowbro galarian</t>
        </is>
      </c>
      <c r="H290" s="18" t="inlineStr">
        <is>
          <t>galarian</t>
        </is>
      </c>
      <c r="I290" s="18" t="n">
        <v>1</v>
      </c>
      <c r="J290" s="18" t="n">
        <v>8</v>
      </c>
      <c r="K290" s="18" t="n">
        <v>8</v>
      </c>
      <c r="L290" s="18" t="inlineStr">
        <is>
          <t>cobbleventure:generation_8</t>
        </is>
      </c>
      <c r="M290" s="19" t="inlineStr">
        <is>
          <t>cobbleventure:generation_8</t>
        </is>
      </c>
      <c r="N290" s="18" t="inlineStr"/>
      <c r="O290" s="19" t="inlineStr"/>
      <c r="P290" s="18" t="inlineStr">
        <is>
          <t>minecraft:mushroom_fields; #cobblemon:is_tropical_island</t>
        </is>
      </c>
      <c r="Q290" s="19" t="inlineStr"/>
      <c r="R290" s="18">
        <f>IF(Q290="",P290,Q290)</f>
        <v/>
      </c>
      <c r="S290" s="18" t="inlineStr"/>
      <c r="T290" s="18" t="inlineStr">
        <is>
          <t>common</t>
        </is>
      </c>
      <c r="U290" s="20" t="n">
        <v>0.15</v>
      </c>
      <c r="V290" s="21" t="n">
        <v>1</v>
      </c>
      <c r="W290" s="20">
        <f>IF(OR(U290="",V290=""),U290,U290*V290)</f>
        <v/>
      </c>
      <c r="X290" s="18" t="inlineStr">
        <is>
          <t>37-49</t>
        </is>
      </c>
      <c r="Y290" s="19" t="inlineStr"/>
      <c r="Z290" s="18">
        <f>IF(Y290="",X290,Y290)</f>
        <v/>
      </c>
      <c r="AA290" s="18" t="inlineStr">
        <is>
          <t>fishing</t>
        </is>
      </c>
      <c r="AB290" s="18" t="inlineStr"/>
      <c r="AC290" s="18" t="inlineStr"/>
      <c r="AD290" s="18" t="inlineStr"/>
      <c r="AE290" s="18" t="inlineStr"/>
      <c r="AF290" s="18" t="inlineStr">
        <is>
          <t>True</t>
        </is>
      </c>
      <c r="AG290" s="18" t="inlineStr"/>
      <c r="AH290" s="18" t="inlineStr"/>
      <c r="AI290" s="18" t="inlineStr"/>
      <c r="AJ290" s="18" t="inlineStr">
        <is>
          <t>Cobblemon 동일</t>
        </is>
      </c>
      <c r="AK290" s="18" t="inlineStr">
        <is>
          <t>사용</t>
        </is>
      </c>
      <c r="AL290" s="18" t="inlineStr">
        <is>
          <t>COBBLEVERSE 1.7.42 / DP v31</t>
        </is>
      </c>
      <c r="AM290" s="18" t="inlineStr">
        <is>
          <t>data/cobblemon/spawn_pool_world/0080_slowbro.json</t>
        </is>
      </c>
      <c r="AN290" s="18" t="inlineStr">
        <is>
          <t>slowbro-galarian-5</t>
        </is>
      </c>
      <c r="AO290" s="18" t="inlineStr">
        <is>
          <t>pokemon</t>
        </is>
      </c>
      <c r="AP290" s="18" t="inlineStr"/>
      <c r="AQ290" s="18" t="inlineStr">
        <is>
          <t>{"biomes":["minecraft:mushroom_fields","#cobblemon:is_tropical_island"],"canSeeSky":true}</t>
        </is>
      </c>
      <c r="AR290" s="18" t="inlineStr"/>
      <c r="AS290" s="18" t="inlineStr">
        <is>
          <t>{"weightMultipliers":[{"condition":{"maxLureLevel":2,"minLureLevel":2},"multiplier":3.0},{"condition":{"minLureLevel":3},"multiplier":5.0}]}</t>
        </is>
      </c>
      <c r="AT290" s="19" t="inlineStr"/>
    </row>
    <row r="291" ht="32" customHeight="1">
      <c r="A291" s="18" t="inlineStr">
        <is>
          <t>0080_slowbro.json::slowbro-galarian-6::006</t>
        </is>
      </c>
      <c r="B291" s="19" t="inlineStr">
        <is>
          <t>사용</t>
        </is>
      </c>
      <c r="C291" s="18">
        <f>IF(OR(B291&lt;&gt;AK291,M291&lt;&gt;L291,O291&lt;&gt;"",Q291&lt;&gt;"",V291&lt;&gt;1,Y291&lt;&gt;"",AT291&lt;&gt;""),"수정","원본")</f>
        <v/>
      </c>
      <c r="D291" s="18" t="n">
        <v>80</v>
      </c>
      <c r="E291" s="18" t="inlineStr">
        <is>
          <t>야도란</t>
        </is>
      </c>
      <c r="F291" s="18" t="inlineStr">
        <is>
          <t>slowbro</t>
        </is>
      </c>
      <c r="G291" s="18" t="inlineStr">
        <is>
          <t>slowbro galarian</t>
        </is>
      </c>
      <c r="H291" s="18" t="inlineStr">
        <is>
          <t>galarian</t>
        </is>
      </c>
      <c r="I291" s="18" t="n">
        <v>1</v>
      </c>
      <c r="J291" s="18" t="n">
        <v>8</v>
      </c>
      <c r="K291" s="18" t="n">
        <v>8</v>
      </c>
      <c r="L291" s="18" t="inlineStr">
        <is>
          <t>cobbleventure:generation_8</t>
        </is>
      </c>
      <c r="M291" s="19" t="inlineStr">
        <is>
          <t>cobbleventure:generation_8</t>
        </is>
      </c>
      <c r="N291" s="18" t="inlineStr"/>
      <c r="O291" s="19" t="inlineStr"/>
      <c r="P291" s="18" t="inlineStr">
        <is>
          <t>minecraft:mushroom_fields; #cobblemon:is_tropical_island</t>
        </is>
      </c>
      <c r="Q291" s="19" t="inlineStr"/>
      <c r="R291" s="18">
        <f>IF(Q291="",P291,Q291)</f>
        <v/>
      </c>
      <c r="S291" s="18" t="inlineStr"/>
      <c r="T291" s="18" t="inlineStr">
        <is>
          <t>common</t>
        </is>
      </c>
      <c r="U291" s="20" t="n">
        <v>0.15</v>
      </c>
      <c r="V291" s="21" t="n">
        <v>1</v>
      </c>
      <c r="W291" s="20">
        <f>IF(OR(U291="",V291=""),U291,U291*V291)</f>
        <v/>
      </c>
      <c r="X291" s="18" t="inlineStr">
        <is>
          <t>37-49</t>
        </is>
      </c>
      <c r="Y291" s="19" t="inlineStr"/>
      <c r="Z291" s="18">
        <f>IF(Y291="",X291,Y291)</f>
        <v/>
      </c>
      <c r="AA291" s="18" t="inlineStr">
        <is>
          <t>fishing</t>
        </is>
      </c>
      <c r="AB291" s="18" t="inlineStr"/>
      <c r="AC291" s="18" t="inlineStr"/>
      <c r="AD291" s="18" t="inlineStr"/>
      <c r="AE291" s="18" t="inlineStr">
        <is>
          <t>sky 8-15</t>
        </is>
      </c>
      <c r="AF291" s="18" t="inlineStr">
        <is>
          <t>False</t>
        </is>
      </c>
      <c r="AG291" s="18" t="inlineStr"/>
      <c r="AH291" s="18" t="inlineStr"/>
      <c r="AI291" s="18" t="inlineStr"/>
      <c r="AJ291" s="18" t="inlineStr">
        <is>
          <t>Cobblemon 동일</t>
        </is>
      </c>
      <c r="AK291" s="18" t="inlineStr">
        <is>
          <t>사용</t>
        </is>
      </c>
      <c r="AL291" s="18" t="inlineStr">
        <is>
          <t>COBBLEVERSE 1.7.42 / DP v31</t>
        </is>
      </c>
      <c r="AM291" s="18" t="inlineStr">
        <is>
          <t>data/cobblemon/spawn_pool_world/0080_slowbro.json</t>
        </is>
      </c>
      <c r="AN291" s="18" t="inlineStr">
        <is>
          <t>slowbro-galarian-6</t>
        </is>
      </c>
      <c r="AO291" s="18" t="inlineStr">
        <is>
          <t>pokemon</t>
        </is>
      </c>
      <c r="AP291" s="18" t="inlineStr"/>
      <c r="AQ291" s="18" t="inlineStr">
        <is>
          <t>{"biomes":["minecraft:mushroom_fields","#cobblemon:is_tropical_island"],"canSeeSky":false,"maxSkyLight":15,"minSkyLight":8}</t>
        </is>
      </c>
      <c r="AR291" s="18" t="inlineStr"/>
      <c r="AS291" s="18" t="inlineStr">
        <is>
          <t>{"weightMultipliers":[{"condition":{"maxLureLevel":2,"minLureLevel":2},"multiplier":3.0},{"condition":{"minLureLevel":3},"multiplier":5.0}]}</t>
        </is>
      </c>
      <c r="AT291" s="19" t="inlineStr"/>
    </row>
    <row r="292" ht="32" customHeight="1">
      <c r="A292" s="18" t="inlineStr">
        <is>
          <t>0081_magnemite.json::magnemite-1::001</t>
        </is>
      </c>
      <c r="B292" s="19" t="inlineStr">
        <is>
          <t>사용</t>
        </is>
      </c>
      <c r="C292" s="18">
        <f>IF(OR(B292&lt;&gt;AK292,M292&lt;&gt;L292,O292&lt;&gt;"",Q292&lt;&gt;"",V292&lt;&gt;1,Y292&lt;&gt;"",AT292&lt;&gt;""),"수정","원본")</f>
        <v/>
      </c>
      <c r="D292" s="18" t="n">
        <v>81</v>
      </c>
      <c r="E292" s="18" t="inlineStr">
        <is>
          <t>코일</t>
        </is>
      </c>
      <c r="F292" s="18" t="inlineStr">
        <is>
          <t>magnemite</t>
        </is>
      </c>
      <c r="G292" s="18" t="inlineStr">
        <is>
          <t>magnemite</t>
        </is>
      </c>
      <c r="H292" s="18" t="inlineStr"/>
      <c r="I292" s="18" t="n">
        <v>1</v>
      </c>
      <c r="J292" s="18" t="n"/>
      <c r="K292" s="18" t="n">
        <v>1</v>
      </c>
      <c r="L292" s="18" t="inlineStr">
        <is>
          <t>cobbleventure:generation_1</t>
        </is>
      </c>
      <c r="M292" s="19" t="inlineStr">
        <is>
          <t>cobbleventure:generation_1</t>
        </is>
      </c>
      <c r="N292" s="18" t="inlineStr">
        <is>
          <t>region_01; region_02</t>
        </is>
      </c>
      <c r="O292" s="19" t="inlineStr"/>
      <c r="P292" s="18" t="inlineStr">
        <is>
          <t>#cobblemon:is_overworld</t>
        </is>
      </c>
      <c r="Q292" s="19" t="inlineStr"/>
      <c r="R292" s="18">
        <f>IF(Q292="",P292,Q292)</f>
        <v/>
      </c>
      <c r="S292" s="18" t="inlineStr">
        <is>
          <t>#cobblemon:is_deep_dark</t>
        </is>
      </c>
      <c r="T292" s="18" t="inlineStr">
        <is>
          <t>uncommon</t>
        </is>
      </c>
      <c r="U292" s="20" t="n">
        <v>84</v>
      </c>
      <c r="V292" s="21" t="n">
        <v>1</v>
      </c>
      <c r="W292" s="20">
        <f>IF(OR(U292="",V292=""),U292,U292*V292)</f>
        <v/>
      </c>
      <c r="X292" s="18" t="inlineStr">
        <is>
          <t>8-33</t>
        </is>
      </c>
      <c r="Y292" s="19" t="inlineStr"/>
      <c r="Z292" s="18">
        <f>IF(Y292="",X292,Y292)</f>
        <v/>
      </c>
      <c r="AA292" s="18" t="inlineStr">
        <is>
          <t>grounded</t>
        </is>
      </c>
      <c r="AB292" s="18" t="inlineStr"/>
      <c r="AC292" s="18" t="inlineStr"/>
      <c r="AD292" s="18" t="inlineStr"/>
      <c r="AE292" s="18" t="inlineStr"/>
      <c r="AF292" s="18" t="inlineStr"/>
      <c r="AG292" s="18" t="inlineStr"/>
      <c r="AH292" s="18" t="inlineStr"/>
      <c r="AI292" s="18" t="inlineStr"/>
      <c r="AJ292" s="18" t="inlineStr">
        <is>
          <t>Cobblemon 동일</t>
        </is>
      </c>
      <c r="AK292" s="18" t="inlineStr">
        <is>
          <t>사용</t>
        </is>
      </c>
      <c r="AL292" s="18" t="inlineStr">
        <is>
          <t>COBBLEVERSE 1.7.42 / DP v31</t>
        </is>
      </c>
      <c r="AM292" s="18" t="inlineStr">
        <is>
          <t>data/cobblemon/spawn_pool_world/0081_magnemite.json</t>
        </is>
      </c>
      <c r="AN292" s="18" t="inlineStr">
        <is>
          <t>magnemite-1</t>
        </is>
      </c>
      <c r="AO292" s="18" t="inlineStr">
        <is>
          <t>pokemon</t>
        </is>
      </c>
      <c r="AP292" s="18" t="inlineStr">
        <is>
          <t>redstone</t>
        </is>
      </c>
      <c r="AQ292" s="18" t="inlineStr">
        <is>
          <t>{"biomes":["#cobblemon:is_overworld"]}</t>
        </is>
      </c>
      <c r="AR292" s="18" t="inlineStr">
        <is>
          <t>{"biomes":["#cobblemon:is_deep_dark"]}</t>
        </is>
      </c>
      <c r="AS292" s="18" t="inlineStr"/>
      <c r="AT292" s="19" t="inlineStr"/>
    </row>
    <row r="293" ht="32" customHeight="1">
      <c r="A293" s="18" t="inlineStr">
        <is>
          <t>0081_magnemite.json::magnemite-2::002</t>
        </is>
      </c>
      <c r="B293" s="19" t="inlineStr">
        <is>
          <t>사용</t>
        </is>
      </c>
      <c r="C293" s="18">
        <f>IF(OR(B293&lt;&gt;AK293,M293&lt;&gt;L293,O293&lt;&gt;"",Q293&lt;&gt;"",V293&lt;&gt;1,Y293&lt;&gt;"",AT293&lt;&gt;""),"수정","원본")</f>
        <v/>
      </c>
      <c r="D293" s="18" t="n">
        <v>81</v>
      </c>
      <c r="E293" s="18" t="inlineStr">
        <is>
          <t>코일</t>
        </is>
      </c>
      <c r="F293" s="18" t="inlineStr">
        <is>
          <t>magnemite</t>
        </is>
      </c>
      <c r="G293" s="18" t="inlineStr">
        <is>
          <t>magnemite</t>
        </is>
      </c>
      <c r="H293" s="18" t="inlineStr"/>
      <c r="I293" s="18" t="n">
        <v>1</v>
      </c>
      <c r="J293" s="18" t="n"/>
      <c r="K293" s="18" t="n">
        <v>1</v>
      </c>
      <c r="L293" s="18" t="inlineStr">
        <is>
          <t>cobbleventure:generation_1</t>
        </is>
      </c>
      <c r="M293" s="19" t="inlineStr">
        <is>
          <t>cobbleventure:generation_1</t>
        </is>
      </c>
      <c r="N293" s="18" t="inlineStr">
        <is>
          <t>region_01; region_02</t>
        </is>
      </c>
      <c r="O293" s="19" t="inlineStr"/>
      <c r="P293" s="18" t="inlineStr">
        <is>
          <t>#cobblemon:is_overworld</t>
        </is>
      </c>
      <c r="Q293" s="19" t="inlineStr"/>
      <c r="R293" s="18">
        <f>IF(Q293="",P293,Q293)</f>
        <v/>
      </c>
      <c r="S293" s="18" t="inlineStr"/>
      <c r="T293" s="18" t="inlineStr">
        <is>
          <t>common</t>
        </is>
      </c>
      <c r="U293" s="20" t="n">
        <v>1.8</v>
      </c>
      <c r="V293" s="21" t="n">
        <v>1</v>
      </c>
      <c r="W293" s="20">
        <f>IF(OR(U293="",V293=""),U293,U293*V293)</f>
        <v/>
      </c>
      <c r="X293" s="18" t="inlineStr">
        <is>
          <t>8-33</t>
        </is>
      </c>
      <c r="Y293" s="19" t="inlineStr"/>
      <c r="Z293" s="18">
        <f>IF(Y293="",X293,Y293)</f>
        <v/>
      </c>
      <c r="AA293" s="18" t="inlineStr">
        <is>
          <t>grounded</t>
        </is>
      </c>
      <c r="AB293" s="18" t="inlineStr"/>
      <c r="AC293" s="18" t="inlineStr"/>
      <c r="AD293" s="18" t="inlineStr"/>
      <c r="AE293" s="18" t="inlineStr">
        <is>
          <t>sky 8-15</t>
        </is>
      </c>
      <c r="AF293" s="18" t="inlineStr"/>
      <c r="AG293" s="18" t="inlineStr"/>
      <c r="AH293" s="18" t="inlineStr">
        <is>
          <t>주변=minecraft:lightning_rod</t>
        </is>
      </c>
      <c r="AI293" s="18" t="inlineStr"/>
      <c r="AJ293" s="18" t="inlineStr">
        <is>
          <t>Cobblemon 동일</t>
        </is>
      </c>
      <c r="AK293" s="18" t="inlineStr">
        <is>
          <t>사용</t>
        </is>
      </c>
      <c r="AL293" s="18" t="inlineStr">
        <is>
          <t>COBBLEVERSE 1.7.42 / DP v31</t>
        </is>
      </c>
      <c r="AM293" s="18" t="inlineStr">
        <is>
          <t>data/cobblemon/spawn_pool_world/0081_magnemite.json</t>
        </is>
      </c>
      <c r="AN293" s="18" t="inlineStr">
        <is>
          <t>magnemite-2</t>
        </is>
      </c>
      <c r="AO293" s="18" t="inlineStr">
        <is>
          <t>pokemon</t>
        </is>
      </c>
      <c r="AP293" s="18" t="inlineStr"/>
      <c r="AQ293" s="18" t="inlineStr">
        <is>
          <t>{"biomes":["#cobblemon:is_overworld"],"maxSkyLight":15,"minSkyLight":8,"neededNearbyBlocks":["minecraft:lightning_rod"]}</t>
        </is>
      </c>
      <c r="AR293" s="18" t="inlineStr"/>
      <c r="AS293" s="18" t="inlineStr">
        <is>
          <t>{"weightMultiplier":{"condition":{"isThundering":true},"multiplier":5.0}}</t>
        </is>
      </c>
      <c r="AT293" s="19" t="inlineStr"/>
    </row>
    <row r="294" ht="32" customHeight="1">
      <c r="A294" s="18" t="inlineStr">
        <is>
          <t>0082_magneton.json::magneton-1::001</t>
        </is>
      </c>
      <c r="B294" s="19" t="inlineStr">
        <is>
          <t>사용</t>
        </is>
      </c>
      <c r="C294" s="18">
        <f>IF(OR(B294&lt;&gt;AK294,M294&lt;&gt;L294,O294&lt;&gt;"",Q294&lt;&gt;"",V294&lt;&gt;1,Y294&lt;&gt;"",AT294&lt;&gt;""),"수정","원본")</f>
        <v/>
      </c>
      <c r="D294" s="18" t="n">
        <v>82</v>
      </c>
      <c r="E294" s="18" t="inlineStr">
        <is>
          <t>레어코일</t>
        </is>
      </c>
      <c r="F294" s="18" t="inlineStr">
        <is>
          <t>magneton</t>
        </is>
      </c>
      <c r="G294" s="18" t="inlineStr">
        <is>
          <t>magneton</t>
        </is>
      </c>
      <c r="H294" s="18" t="inlineStr"/>
      <c r="I294" s="18" t="n">
        <v>1</v>
      </c>
      <c r="J294" s="18" t="n"/>
      <c r="K294" s="18" t="n">
        <v>1</v>
      </c>
      <c r="L294" s="18" t="inlineStr">
        <is>
          <t>cobbleventure:generation_1</t>
        </is>
      </c>
      <c r="M294" s="19" t="inlineStr">
        <is>
          <t>cobbleventure:generation_1</t>
        </is>
      </c>
      <c r="N294" s="18" t="inlineStr">
        <is>
          <t>region_01; region_02</t>
        </is>
      </c>
      <c r="O294" s="19" t="inlineStr"/>
      <c r="P294" s="18" t="inlineStr">
        <is>
          <t>#cobblemon:is_overworld</t>
        </is>
      </c>
      <c r="Q294" s="19" t="inlineStr"/>
      <c r="R294" s="18">
        <f>IF(Q294="",P294,Q294)</f>
        <v/>
      </c>
      <c r="S294" s="18" t="inlineStr">
        <is>
          <t>#cobblemon:is_deep_dark</t>
        </is>
      </c>
      <c r="T294" s="18" t="inlineStr">
        <is>
          <t>uncommon</t>
        </is>
      </c>
      <c r="U294" s="20" t="n">
        <v>15.2</v>
      </c>
      <c r="V294" s="21" t="n">
        <v>1</v>
      </c>
      <c r="W294" s="20">
        <f>IF(OR(U294="",V294=""),U294,U294*V294)</f>
        <v/>
      </c>
      <c r="X294" s="18" t="inlineStr">
        <is>
          <t>30-47</t>
        </is>
      </c>
      <c r="Y294" s="19" t="inlineStr"/>
      <c r="Z294" s="18">
        <f>IF(Y294="",X294,Y294)</f>
        <v/>
      </c>
      <c r="AA294" s="18" t="inlineStr">
        <is>
          <t>grounded</t>
        </is>
      </c>
      <c r="AB294" s="18" t="inlineStr"/>
      <c r="AC294" s="18" t="inlineStr"/>
      <c r="AD294" s="18" t="inlineStr"/>
      <c r="AE294" s="18" t="inlineStr"/>
      <c r="AF294" s="18" t="inlineStr"/>
      <c r="AG294" s="18" t="inlineStr"/>
      <c r="AH294" s="18" t="inlineStr"/>
      <c r="AI294" s="18" t="inlineStr"/>
      <c r="AJ294" s="18" t="inlineStr">
        <is>
          <t>Cobblemon 동일</t>
        </is>
      </c>
      <c r="AK294" s="18" t="inlineStr">
        <is>
          <t>사용</t>
        </is>
      </c>
      <c r="AL294" s="18" t="inlineStr">
        <is>
          <t>COBBLEVERSE 1.7.42 / DP v31</t>
        </is>
      </c>
      <c r="AM294" s="18" t="inlineStr">
        <is>
          <t>data/cobblemon/spawn_pool_world/0082_magneton.json</t>
        </is>
      </c>
      <c r="AN294" s="18" t="inlineStr">
        <is>
          <t>magneton-1</t>
        </is>
      </c>
      <c r="AO294" s="18" t="inlineStr">
        <is>
          <t>pokemon</t>
        </is>
      </c>
      <c r="AP294" s="18" t="inlineStr">
        <is>
          <t>redstone</t>
        </is>
      </c>
      <c r="AQ294" s="18" t="inlineStr">
        <is>
          <t>{"biomes":["#cobblemon:is_overworld"]}</t>
        </is>
      </c>
      <c r="AR294" s="18" t="inlineStr">
        <is>
          <t>{"biomes":["#cobblemon:is_deep_dark"]}</t>
        </is>
      </c>
      <c r="AS294" s="18" t="inlineStr"/>
      <c r="AT294" s="19" t="inlineStr"/>
    </row>
    <row r="295" ht="32" customHeight="1">
      <c r="A295" s="18" t="inlineStr">
        <is>
          <t>0082_magneton.json::magneton-2::002</t>
        </is>
      </c>
      <c r="B295" s="19" t="inlineStr">
        <is>
          <t>사용</t>
        </is>
      </c>
      <c r="C295" s="18">
        <f>IF(OR(B295&lt;&gt;AK295,M295&lt;&gt;L295,O295&lt;&gt;"",Q295&lt;&gt;"",V295&lt;&gt;1,Y295&lt;&gt;"",AT295&lt;&gt;""),"수정","원본")</f>
        <v/>
      </c>
      <c r="D295" s="18" t="n">
        <v>82</v>
      </c>
      <c r="E295" s="18" t="inlineStr">
        <is>
          <t>레어코일</t>
        </is>
      </c>
      <c r="F295" s="18" t="inlineStr">
        <is>
          <t>magneton</t>
        </is>
      </c>
      <c r="G295" s="18" t="inlineStr">
        <is>
          <t>magneton</t>
        </is>
      </c>
      <c r="H295" s="18" t="inlineStr"/>
      <c r="I295" s="18" t="n">
        <v>1</v>
      </c>
      <c r="J295" s="18" t="n"/>
      <c r="K295" s="18" t="n">
        <v>1</v>
      </c>
      <c r="L295" s="18" t="inlineStr">
        <is>
          <t>cobbleventure:generation_1</t>
        </is>
      </c>
      <c r="M295" s="19" t="inlineStr">
        <is>
          <t>cobbleventure:generation_1</t>
        </is>
      </c>
      <c r="N295" s="18" t="inlineStr">
        <is>
          <t>region_01; region_02</t>
        </is>
      </c>
      <c r="O295" s="19" t="inlineStr"/>
      <c r="P295" s="18" t="inlineStr">
        <is>
          <t>#cobblemon:is_overworld</t>
        </is>
      </c>
      <c r="Q295" s="19" t="inlineStr"/>
      <c r="R295" s="18">
        <f>IF(Q295="",P295,Q295)</f>
        <v/>
      </c>
      <c r="S295" s="18" t="inlineStr"/>
      <c r="T295" s="18" t="inlineStr">
        <is>
          <t>common</t>
        </is>
      </c>
      <c r="U295" s="20" t="n">
        <v>0.19</v>
      </c>
      <c r="V295" s="21" t="n">
        <v>1</v>
      </c>
      <c r="W295" s="20">
        <f>IF(OR(U295="",V295=""),U295,U295*V295)</f>
        <v/>
      </c>
      <c r="X295" s="18" t="inlineStr">
        <is>
          <t>30-47</t>
        </is>
      </c>
      <c r="Y295" s="19" t="inlineStr"/>
      <c r="Z295" s="18">
        <f>IF(Y295="",X295,Y295)</f>
        <v/>
      </c>
      <c r="AA295" s="18" t="inlineStr">
        <is>
          <t>grounded</t>
        </is>
      </c>
      <c r="AB295" s="18" t="inlineStr"/>
      <c r="AC295" s="18" t="inlineStr"/>
      <c r="AD295" s="18" t="inlineStr"/>
      <c r="AE295" s="18" t="inlineStr">
        <is>
          <t>sky 8-15</t>
        </is>
      </c>
      <c r="AF295" s="18" t="inlineStr"/>
      <c r="AG295" s="18" t="inlineStr"/>
      <c r="AH295" s="18" t="inlineStr">
        <is>
          <t>주변=minecraft:lightning_rod</t>
        </is>
      </c>
      <c r="AI295" s="18" t="inlineStr"/>
      <c r="AJ295" s="18" t="inlineStr">
        <is>
          <t>Cobblemon 동일</t>
        </is>
      </c>
      <c r="AK295" s="18" t="inlineStr">
        <is>
          <t>사용</t>
        </is>
      </c>
      <c r="AL295" s="18" t="inlineStr">
        <is>
          <t>COBBLEVERSE 1.7.42 / DP v31</t>
        </is>
      </c>
      <c r="AM295" s="18" t="inlineStr">
        <is>
          <t>data/cobblemon/spawn_pool_world/0082_magneton.json</t>
        </is>
      </c>
      <c r="AN295" s="18" t="inlineStr">
        <is>
          <t>magneton-2</t>
        </is>
      </c>
      <c r="AO295" s="18" t="inlineStr">
        <is>
          <t>pokemon</t>
        </is>
      </c>
      <c r="AP295" s="18" t="inlineStr"/>
      <c r="AQ295" s="18" t="inlineStr">
        <is>
          <t>{"biomes":["#cobblemon:is_overworld"],"maxSkyLight":15,"minSkyLight":8,"neededNearbyBlocks":["minecraft:lightning_rod"]}</t>
        </is>
      </c>
      <c r="AR295" s="18" t="inlineStr"/>
      <c r="AS295" s="18" t="inlineStr">
        <is>
          <t>{"weightMultiplier":{"condition":{"isThundering":true},"multiplier":5.0}}</t>
        </is>
      </c>
      <c r="AT295" s="19" t="inlineStr"/>
    </row>
    <row r="296" ht="32" customHeight="1">
      <c r="A296" s="18" t="inlineStr">
        <is>
          <t>0083_farfetchd.json::farfetchd-1::001</t>
        </is>
      </c>
      <c r="B296" s="19" t="inlineStr">
        <is>
          <t>사용</t>
        </is>
      </c>
      <c r="C296" s="18">
        <f>IF(OR(B296&lt;&gt;AK296,M296&lt;&gt;L296,O296&lt;&gt;"",Q296&lt;&gt;"",V296&lt;&gt;1,Y296&lt;&gt;"",AT296&lt;&gt;""),"수정","원본")</f>
        <v/>
      </c>
      <c r="D296" s="18" t="n">
        <v>83</v>
      </c>
      <c r="E296" s="18" t="inlineStr">
        <is>
          <t>파오리</t>
        </is>
      </c>
      <c r="F296" s="18" t="inlineStr">
        <is>
          <t>farfetchd</t>
        </is>
      </c>
      <c r="G296" s="18" t="inlineStr">
        <is>
          <t>farfetchd</t>
        </is>
      </c>
      <c r="H296" s="18" t="inlineStr"/>
      <c r="I296" s="18" t="n">
        <v>1</v>
      </c>
      <c r="J296" s="18" t="n"/>
      <c r="K296" s="18" t="n">
        <v>1</v>
      </c>
      <c r="L296" s="18" t="inlineStr">
        <is>
          <t>cobbleventure:generation_1</t>
        </is>
      </c>
      <c r="M296" s="19" t="inlineStr">
        <is>
          <t>cobbleventure:generation_1</t>
        </is>
      </c>
      <c r="N296" s="18" t="inlineStr">
        <is>
          <t>region_01; region_02</t>
        </is>
      </c>
      <c r="O296" s="19" t="inlineStr"/>
      <c r="P296" s="18" t="inlineStr">
        <is>
          <t>#cobblemon:is_overworld</t>
        </is>
      </c>
      <c r="Q296" s="19" t="inlineStr"/>
      <c r="R296" s="18">
        <f>IF(Q296="",P296,Q296)</f>
        <v/>
      </c>
      <c r="S296" s="18" t="inlineStr"/>
      <c r="T296" s="18" t="inlineStr">
        <is>
          <t>common</t>
        </is>
      </c>
      <c r="U296" s="20" t="n">
        <v>10</v>
      </c>
      <c r="V296" s="21" t="n">
        <v>1</v>
      </c>
      <c r="W296" s="20">
        <f>IF(OR(U296="",V296=""),U296,U296*V296)</f>
        <v/>
      </c>
      <c r="X296" s="18" t="inlineStr">
        <is>
          <t>13-38</t>
        </is>
      </c>
      <c r="Y296" s="19" t="inlineStr"/>
      <c r="Z296" s="18">
        <f>IF(Y296="",X296,Y296)</f>
        <v/>
      </c>
      <c r="AA296" s="18" t="inlineStr">
        <is>
          <t>grounded</t>
        </is>
      </c>
      <c r="AB296" s="18" t="inlineStr"/>
      <c r="AC296" s="18" t="inlineStr"/>
      <c r="AD296" s="18" t="inlineStr"/>
      <c r="AE296" s="18" t="inlineStr">
        <is>
          <t>sky 8-15</t>
        </is>
      </c>
      <c r="AF296" s="18" t="inlineStr"/>
      <c r="AG296" s="18" t="inlineStr"/>
      <c r="AH296" s="18" t="inlineStr">
        <is>
          <t>주변=cobblemon:medicinal_leek</t>
        </is>
      </c>
      <c r="AI296" s="18" t="inlineStr"/>
      <c r="AJ296" s="18" t="inlineStr">
        <is>
          <t>Cobblemon 동일</t>
        </is>
      </c>
      <c r="AK296" s="18" t="inlineStr">
        <is>
          <t>사용</t>
        </is>
      </c>
      <c r="AL296" s="18" t="inlineStr">
        <is>
          <t>COBBLEVERSE 1.7.42 / DP v31</t>
        </is>
      </c>
      <c r="AM296" s="18" t="inlineStr">
        <is>
          <t>data/cobblemon/spawn_pool_world/0083_farfetchd.json</t>
        </is>
      </c>
      <c r="AN296" s="18" t="inlineStr">
        <is>
          <t>farfetchd-1</t>
        </is>
      </c>
      <c r="AO296" s="18" t="inlineStr">
        <is>
          <t>pokemon</t>
        </is>
      </c>
      <c r="AP296" s="18" t="inlineStr">
        <is>
          <t>natural; treetop; wild</t>
        </is>
      </c>
      <c r="AQ296" s="18" t="inlineStr">
        <is>
          <t>{"biomes":["#cobblemon:is_overworld"],"maxSkyLight":15,"minSkyLight":8,"neededNearbyBlocks":["cobblemon:medicinal_leek"]}</t>
        </is>
      </c>
      <c r="AR296" s="18" t="inlineStr"/>
      <c r="AS296" s="18" t="inlineStr">
        <is>
          <t>{"weightMultiplier":{"condition":{"timeRange":"night"},"multiplier":0.25}}</t>
        </is>
      </c>
      <c r="AT296" s="19" t="inlineStr"/>
    </row>
    <row r="297" ht="32" customHeight="1">
      <c r="A297" s="18" t="inlineStr">
        <is>
          <t>0083_farfetchd.json::farfetchd-galarian-2::002</t>
        </is>
      </c>
      <c r="B297" s="19" t="inlineStr">
        <is>
          <t>사용</t>
        </is>
      </c>
      <c r="C297" s="18">
        <f>IF(OR(B297&lt;&gt;AK297,M297&lt;&gt;L297,O297&lt;&gt;"",Q297&lt;&gt;"",V297&lt;&gt;1,Y297&lt;&gt;"",AT297&lt;&gt;""),"수정","원본")</f>
        <v/>
      </c>
      <c r="D297" s="18" t="n">
        <v>83</v>
      </c>
      <c r="E297" s="18" t="inlineStr">
        <is>
          <t>파오리</t>
        </is>
      </c>
      <c r="F297" s="18" t="inlineStr">
        <is>
          <t>farfetchd</t>
        </is>
      </c>
      <c r="G297" s="18" t="inlineStr">
        <is>
          <t>farfetchd galarian</t>
        </is>
      </c>
      <c r="H297" s="18" t="inlineStr">
        <is>
          <t>galarian</t>
        </is>
      </c>
      <c r="I297" s="18" t="n">
        <v>1</v>
      </c>
      <c r="J297" s="18" t="n">
        <v>8</v>
      </c>
      <c r="K297" s="18" t="n">
        <v>8</v>
      </c>
      <c r="L297" s="18" t="inlineStr">
        <is>
          <t>cobbleventure:generation_8</t>
        </is>
      </c>
      <c r="M297" s="19" t="inlineStr">
        <is>
          <t>cobbleventure:generation_8</t>
        </is>
      </c>
      <c r="N297" s="18" t="inlineStr">
        <is>
          <t>region_01</t>
        </is>
      </c>
      <c r="O297" s="19" t="inlineStr"/>
      <c r="P297" s="18" t="inlineStr">
        <is>
          <t>#cobblemon:is_forest</t>
        </is>
      </c>
      <c r="Q297" s="19" t="inlineStr"/>
      <c r="R297" s="18">
        <f>IF(Q297="",P297,Q297)</f>
        <v/>
      </c>
      <c r="S297" s="18" t="inlineStr"/>
      <c r="T297" s="18" t="inlineStr">
        <is>
          <t>rare</t>
        </is>
      </c>
      <c r="U297" s="20" t="n">
        <v>8.75</v>
      </c>
      <c r="V297" s="21" t="n">
        <v>1</v>
      </c>
      <c r="W297" s="20">
        <f>IF(OR(U297="",V297=""),U297,U297*V297)</f>
        <v/>
      </c>
      <c r="X297" s="18" t="inlineStr">
        <is>
          <t>13-38</t>
        </is>
      </c>
      <c r="Y297" s="19" t="inlineStr"/>
      <c r="Z297" s="18">
        <f>IF(Y297="",X297,Y297)</f>
        <v/>
      </c>
      <c r="AA297" s="18" t="inlineStr">
        <is>
          <t>grounded</t>
        </is>
      </c>
      <c r="AB297" s="18" t="inlineStr"/>
      <c r="AC297" s="18" t="inlineStr"/>
      <c r="AD297" s="18" t="inlineStr"/>
      <c r="AE297" s="18" t="inlineStr">
        <is>
          <t>sky 8-15</t>
        </is>
      </c>
      <c r="AF297" s="18" t="inlineStr"/>
      <c r="AG297" s="18" t="inlineStr"/>
      <c r="AH297" s="18" t="inlineStr"/>
      <c r="AI297" s="18" t="inlineStr"/>
      <c r="AJ297" s="18" t="inlineStr">
        <is>
          <t>Cobblemon 동일</t>
        </is>
      </c>
      <c r="AK297" s="18" t="inlineStr">
        <is>
          <t>사용</t>
        </is>
      </c>
      <c r="AL297" s="18" t="inlineStr">
        <is>
          <t>COBBLEVERSE 1.7.42 / DP v31</t>
        </is>
      </c>
      <c r="AM297" s="18" t="inlineStr">
        <is>
          <t>data/cobblemon/spawn_pool_world/0083_farfetchd.json</t>
        </is>
      </c>
      <c r="AN297" s="18" t="inlineStr">
        <is>
          <t>farfetchd-galarian-2</t>
        </is>
      </c>
      <c r="AO297" s="18" t="inlineStr">
        <is>
          <t>pokemon</t>
        </is>
      </c>
      <c r="AP297" s="18" t="inlineStr">
        <is>
          <t>natural; wild</t>
        </is>
      </c>
      <c r="AQ297" s="18" t="inlineStr">
        <is>
          <t>{"biomes":["#cobblemon:is_forest"],"maxSkyLight":15,"minSkyLight":8}</t>
        </is>
      </c>
      <c r="AR297" s="18" t="inlineStr">
        <is>
          <t>{"neededNearbyBlocks":["minecraft:water"]}</t>
        </is>
      </c>
      <c r="AS297" s="18" t="inlineStr">
        <is>
          <t>{"weightMultiplier":{"condition":{"timeRange":"night"},"multiplier":0.25}}</t>
        </is>
      </c>
      <c r="AT297" s="19" t="inlineStr"/>
    </row>
    <row r="298" ht="32" customHeight="1">
      <c r="A298" s="18" t="inlineStr">
        <is>
          <t>0084_doduo.json::doduo-1::001</t>
        </is>
      </c>
      <c r="B298" s="19" t="inlineStr">
        <is>
          <t>사용</t>
        </is>
      </c>
      <c r="C298" s="18">
        <f>IF(OR(B298&lt;&gt;AK298,M298&lt;&gt;L298,O298&lt;&gt;"",Q298&lt;&gt;"",V298&lt;&gt;1,Y298&lt;&gt;"",AT298&lt;&gt;""),"수정","원본")</f>
        <v/>
      </c>
      <c r="D298" s="18" t="n">
        <v>84</v>
      </c>
      <c r="E298" s="18" t="inlineStr">
        <is>
          <t>두두</t>
        </is>
      </c>
      <c r="F298" s="18" t="inlineStr">
        <is>
          <t>doduo</t>
        </is>
      </c>
      <c r="G298" s="18" t="inlineStr">
        <is>
          <t>doduo</t>
        </is>
      </c>
      <c r="H298" s="18" t="inlineStr"/>
      <c r="I298" s="18" t="n">
        <v>1</v>
      </c>
      <c r="J298" s="18" t="n"/>
      <c r="K298" s="18" t="n">
        <v>1</v>
      </c>
      <c r="L298" s="18" t="inlineStr">
        <is>
          <t>cobbleventure:generation_1</t>
        </is>
      </c>
      <c r="M298" s="19" t="inlineStr">
        <is>
          <t>cobbleventure:generation_1</t>
        </is>
      </c>
      <c r="N298" s="18" t="inlineStr"/>
      <c r="O298" s="19" t="inlineStr"/>
      <c r="P298" s="18" t="inlineStr">
        <is>
          <t>#cobblemon:is_savanna</t>
        </is>
      </c>
      <c r="Q298" s="19" t="inlineStr"/>
      <c r="R298" s="18">
        <f>IF(Q298="",P298,Q298)</f>
        <v/>
      </c>
      <c r="S298" s="18" t="inlineStr"/>
      <c r="T298" s="18" t="inlineStr">
        <is>
          <t>common</t>
        </is>
      </c>
      <c r="U298" s="20" t="n">
        <v>9</v>
      </c>
      <c r="V298" s="21" t="n">
        <v>1</v>
      </c>
      <c r="W298" s="20">
        <f>IF(OR(U298="",V298=""),U298,U298*V298)</f>
        <v/>
      </c>
      <c r="X298" s="18" t="inlineStr">
        <is>
          <t>6-31</t>
        </is>
      </c>
      <c r="Y298" s="19" t="inlineStr"/>
      <c r="Z298" s="18">
        <f>IF(Y298="",X298,Y298)</f>
        <v/>
      </c>
      <c r="AA298" s="18" t="inlineStr">
        <is>
          <t>grounded</t>
        </is>
      </c>
      <c r="AB298" s="18" t="inlineStr"/>
      <c r="AC298" s="18" t="inlineStr"/>
      <c r="AD298" s="18" t="inlineStr"/>
      <c r="AE298" s="18" t="inlineStr">
        <is>
          <t>sky 8-15</t>
        </is>
      </c>
      <c r="AF298" s="18" t="inlineStr"/>
      <c r="AG298" s="18" t="inlineStr"/>
      <c r="AH298" s="18" t="inlineStr"/>
      <c r="AI298" s="18" t="inlineStr"/>
      <c r="AJ298" s="18" t="inlineStr">
        <is>
          <t>Cobblemon 동일</t>
        </is>
      </c>
      <c r="AK298" s="18" t="inlineStr">
        <is>
          <t>사용</t>
        </is>
      </c>
      <c r="AL298" s="18" t="inlineStr">
        <is>
          <t>COBBLEVERSE 1.7.42 / DP v31</t>
        </is>
      </c>
      <c r="AM298" s="18" t="inlineStr">
        <is>
          <t>data/cobblemon/spawn_pool_world/0084_doduo.json</t>
        </is>
      </c>
      <c r="AN298" s="18" t="inlineStr">
        <is>
          <t>doduo-1</t>
        </is>
      </c>
      <c r="AO298" s="18" t="inlineStr">
        <is>
          <t>pokemon</t>
        </is>
      </c>
      <c r="AP298" s="18" t="inlineStr">
        <is>
          <t>natural</t>
        </is>
      </c>
      <c r="AQ298" s="18" t="inlineStr">
        <is>
          <t>{"biomes":["#cobblemon:is_savanna"],"maxSkyLight":15,"minSkyLight":8}</t>
        </is>
      </c>
      <c r="AR298" s="18" t="inlineStr"/>
      <c r="AS298" s="18" t="inlineStr">
        <is>
          <t>{"weightMultiplier":{"condition":{"timeRange":"night"},"multiplier":0.25}}</t>
        </is>
      </c>
      <c r="AT298" s="19" t="inlineStr"/>
    </row>
    <row r="299" ht="32" customHeight="1">
      <c r="A299" s="18" t="inlineStr">
        <is>
          <t>0084_doduo.json::doduo-2::002</t>
        </is>
      </c>
      <c r="B299" s="19" t="inlineStr">
        <is>
          <t>사용</t>
        </is>
      </c>
      <c r="C299" s="18">
        <f>IF(OR(B299&lt;&gt;AK299,M299&lt;&gt;L299,O299&lt;&gt;"",Q299&lt;&gt;"",V299&lt;&gt;1,Y299&lt;&gt;"",AT299&lt;&gt;""),"수정","원본")</f>
        <v/>
      </c>
      <c r="D299" s="18" t="n">
        <v>84</v>
      </c>
      <c r="E299" s="18" t="inlineStr">
        <is>
          <t>두두</t>
        </is>
      </c>
      <c r="F299" s="18" t="inlineStr">
        <is>
          <t>doduo</t>
        </is>
      </c>
      <c r="G299" s="18" t="inlineStr">
        <is>
          <t>doduo</t>
        </is>
      </c>
      <c r="H299" s="18" t="inlineStr"/>
      <c r="I299" s="18" t="n">
        <v>1</v>
      </c>
      <c r="J299" s="18" t="n"/>
      <c r="K299" s="18" t="n">
        <v>1</v>
      </c>
      <c r="L299" s="18" t="inlineStr">
        <is>
          <t>cobbleventure:generation_1</t>
        </is>
      </c>
      <c r="M299" s="19" t="inlineStr">
        <is>
          <t>cobbleventure:generation_1</t>
        </is>
      </c>
      <c r="N299" s="18" t="inlineStr"/>
      <c r="O299" s="19" t="inlineStr"/>
      <c r="P299" s="18" t="inlineStr">
        <is>
          <t>aether:skyroot_grove; aether:skyroot_meadow</t>
        </is>
      </c>
      <c r="Q299" s="19" t="inlineStr"/>
      <c r="R299" s="18">
        <f>IF(Q299="",P299,Q299)</f>
        <v/>
      </c>
      <c r="S299" s="18" t="inlineStr"/>
      <c r="T299" s="18" t="inlineStr">
        <is>
          <t>common</t>
        </is>
      </c>
      <c r="U299" s="20" t="n">
        <v>9</v>
      </c>
      <c r="V299" s="21" t="n">
        <v>1</v>
      </c>
      <c r="W299" s="20">
        <f>IF(OR(U299="",V299=""),U299,U299*V299)</f>
        <v/>
      </c>
      <c r="X299" s="18" t="inlineStr">
        <is>
          <t>6-31</t>
        </is>
      </c>
      <c r="Y299" s="19" t="inlineStr"/>
      <c r="Z299" s="18">
        <f>IF(Y299="",X299,Y299)</f>
        <v/>
      </c>
      <c r="AA299" s="18" t="inlineStr">
        <is>
          <t>grounded</t>
        </is>
      </c>
      <c r="AB299" s="18" t="inlineStr"/>
      <c r="AC299" s="18" t="inlineStr"/>
      <c r="AD299" s="18" t="inlineStr"/>
      <c r="AE299" s="18" t="inlineStr">
        <is>
          <t>sky 8-15</t>
        </is>
      </c>
      <c r="AF299" s="18" t="inlineStr"/>
      <c r="AG299" s="18" t="inlineStr"/>
      <c r="AH299" s="18" t="inlineStr"/>
      <c r="AI299" s="18" t="inlineStr"/>
      <c r="AJ299" s="18" t="inlineStr">
        <is>
          <t>Cobblemon 동일</t>
        </is>
      </c>
      <c r="AK299" s="18" t="inlineStr">
        <is>
          <t>사용</t>
        </is>
      </c>
      <c r="AL299" s="18" t="inlineStr">
        <is>
          <t>COBBLEVERSE 1.7.42 / DP v31</t>
        </is>
      </c>
      <c r="AM299" s="18" t="inlineStr">
        <is>
          <t>data/cobblemon/spawn_pool_world/0084_doduo.json</t>
        </is>
      </c>
      <c r="AN299" s="18" t="inlineStr">
        <is>
          <t>doduo-2</t>
        </is>
      </c>
      <c r="AO299" s="18" t="inlineStr">
        <is>
          <t>pokemon</t>
        </is>
      </c>
      <c r="AP299" s="18" t="inlineStr">
        <is>
          <t>natural</t>
        </is>
      </c>
      <c r="AQ299" s="18" t="inlineStr">
        <is>
          <t>{"biomes":["aether:skyroot_grove","aether:skyroot_meadow"],"maxSkyLight":15,"minSkyLight":8}</t>
        </is>
      </c>
      <c r="AR299" s="18" t="inlineStr"/>
      <c r="AS299" s="18" t="inlineStr"/>
      <c r="AT299" s="19" t="inlineStr"/>
    </row>
    <row r="300" ht="32" customHeight="1">
      <c r="A300" s="18" t="inlineStr">
        <is>
          <t>0085_dodrio.json::dodrio-1::001</t>
        </is>
      </c>
      <c r="B300" s="19" t="inlineStr">
        <is>
          <t>사용</t>
        </is>
      </c>
      <c r="C300" s="18">
        <f>IF(OR(B300&lt;&gt;AK300,M300&lt;&gt;L300,O300&lt;&gt;"",Q300&lt;&gt;"",V300&lt;&gt;1,Y300&lt;&gt;"",AT300&lt;&gt;""),"수정","원본")</f>
        <v/>
      </c>
      <c r="D300" s="18" t="n">
        <v>85</v>
      </c>
      <c r="E300" s="18" t="inlineStr">
        <is>
          <t>두트리오</t>
        </is>
      </c>
      <c r="F300" s="18" t="inlineStr">
        <is>
          <t>dodrio</t>
        </is>
      </c>
      <c r="G300" s="18" t="inlineStr">
        <is>
          <t>dodrio</t>
        </is>
      </c>
      <c r="H300" s="18" t="inlineStr"/>
      <c r="I300" s="18" t="n">
        <v>1</v>
      </c>
      <c r="J300" s="18" t="n"/>
      <c r="K300" s="18" t="n">
        <v>1</v>
      </c>
      <c r="L300" s="18" t="inlineStr">
        <is>
          <t>cobbleventure:generation_1</t>
        </is>
      </c>
      <c r="M300" s="19" t="inlineStr">
        <is>
          <t>cobbleventure:generation_1</t>
        </is>
      </c>
      <c r="N300" s="18" t="inlineStr"/>
      <c r="O300" s="19" t="inlineStr"/>
      <c r="P300" s="18" t="inlineStr">
        <is>
          <t>#cobblemon:is_savanna</t>
        </is>
      </c>
      <c r="Q300" s="19" t="inlineStr"/>
      <c r="R300" s="18">
        <f>IF(Q300="",P300,Q300)</f>
        <v/>
      </c>
      <c r="S300" s="18" t="inlineStr"/>
      <c r="T300" s="18" t="inlineStr">
        <is>
          <t>common</t>
        </is>
      </c>
      <c r="U300" s="20" t="n">
        <v>1</v>
      </c>
      <c r="V300" s="21" t="n">
        <v>1</v>
      </c>
      <c r="W300" s="20">
        <f>IF(OR(U300="",V300=""),U300,U300*V300)</f>
        <v/>
      </c>
      <c r="X300" s="18" t="inlineStr">
        <is>
          <t>31-47</t>
        </is>
      </c>
      <c r="Y300" s="19" t="inlineStr"/>
      <c r="Z300" s="18">
        <f>IF(Y300="",X300,Y300)</f>
        <v/>
      </c>
      <c r="AA300" s="18" t="inlineStr">
        <is>
          <t>grounded</t>
        </is>
      </c>
      <c r="AB300" s="18" t="inlineStr"/>
      <c r="AC300" s="18" t="inlineStr"/>
      <c r="AD300" s="18" t="inlineStr"/>
      <c r="AE300" s="18" t="inlineStr">
        <is>
          <t>sky 8-15</t>
        </is>
      </c>
      <c r="AF300" s="18" t="inlineStr"/>
      <c r="AG300" s="18" t="inlineStr"/>
      <c r="AH300" s="18" t="inlineStr"/>
      <c r="AI300" s="18" t="inlineStr"/>
      <c r="AJ300" s="18" t="inlineStr">
        <is>
          <t>Cobblemon 동일</t>
        </is>
      </c>
      <c r="AK300" s="18" t="inlineStr">
        <is>
          <t>사용</t>
        </is>
      </c>
      <c r="AL300" s="18" t="inlineStr">
        <is>
          <t>COBBLEVERSE 1.7.42 / DP v31</t>
        </is>
      </c>
      <c r="AM300" s="18" t="inlineStr">
        <is>
          <t>data/cobblemon/spawn_pool_world/0085_dodrio.json</t>
        </is>
      </c>
      <c r="AN300" s="18" t="inlineStr">
        <is>
          <t>dodrio-1</t>
        </is>
      </c>
      <c r="AO300" s="18" t="inlineStr">
        <is>
          <t>pokemon</t>
        </is>
      </c>
      <c r="AP300" s="18" t="inlineStr">
        <is>
          <t>natural</t>
        </is>
      </c>
      <c r="AQ300" s="18" t="inlineStr">
        <is>
          <t>{"biomes":["#cobblemon:is_savanna"],"maxSkyLight":15,"minSkyLight":8}</t>
        </is>
      </c>
      <c r="AR300" s="18" t="inlineStr"/>
      <c r="AS300" s="18" t="inlineStr">
        <is>
          <t>{"weightMultiplier":{"condition":{"timeRange":"night"},"multiplier":0.25}}</t>
        </is>
      </c>
      <c r="AT300" s="19" t="inlineStr"/>
    </row>
    <row r="301" ht="32" customHeight="1">
      <c r="A301" s="18" t="inlineStr">
        <is>
          <t>0085_dodrio.json::dodrio-2::002</t>
        </is>
      </c>
      <c r="B301" s="19" t="inlineStr">
        <is>
          <t>사용</t>
        </is>
      </c>
      <c r="C301" s="18">
        <f>IF(OR(B301&lt;&gt;AK301,M301&lt;&gt;L301,O301&lt;&gt;"",Q301&lt;&gt;"",V301&lt;&gt;1,Y301&lt;&gt;"",AT301&lt;&gt;""),"수정","원본")</f>
        <v/>
      </c>
      <c r="D301" s="18" t="n">
        <v>85</v>
      </c>
      <c r="E301" s="18" t="inlineStr">
        <is>
          <t>두트리오</t>
        </is>
      </c>
      <c r="F301" s="18" t="inlineStr">
        <is>
          <t>dodrio</t>
        </is>
      </c>
      <c r="G301" s="18" t="inlineStr">
        <is>
          <t>dodrio</t>
        </is>
      </c>
      <c r="H301" s="18" t="inlineStr"/>
      <c r="I301" s="18" t="n">
        <v>1</v>
      </c>
      <c r="J301" s="18" t="n"/>
      <c r="K301" s="18" t="n">
        <v>1</v>
      </c>
      <c r="L301" s="18" t="inlineStr">
        <is>
          <t>cobbleventure:generation_1</t>
        </is>
      </c>
      <c r="M301" s="19" t="inlineStr">
        <is>
          <t>cobbleventure:generation_1</t>
        </is>
      </c>
      <c r="N301" s="18" t="inlineStr"/>
      <c r="O301" s="19" t="inlineStr"/>
      <c r="P301" s="18" t="inlineStr">
        <is>
          <t>aether:skyroot_grove; aether:skyroot_meadow</t>
        </is>
      </c>
      <c r="Q301" s="19" t="inlineStr"/>
      <c r="R301" s="18">
        <f>IF(Q301="",P301,Q301)</f>
        <v/>
      </c>
      <c r="S301" s="18" t="inlineStr"/>
      <c r="T301" s="18" t="inlineStr">
        <is>
          <t>common</t>
        </is>
      </c>
      <c r="U301" s="20" t="n">
        <v>1</v>
      </c>
      <c r="V301" s="21" t="n">
        <v>1</v>
      </c>
      <c r="W301" s="20">
        <f>IF(OR(U301="",V301=""),U301,U301*V301)</f>
        <v/>
      </c>
      <c r="X301" s="18" t="inlineStr">
        <is>
          <t>31-47</t>
        </is>
      </c>
      <c r="Y301" s="19" t="inlineStr"/>
      <c r="Z301" s="18">
        <f>IF(Y301="",X301,Y301)</f>
        <v/>
      </c>
      <c r="AA301" s="18" t="inlineStr">
        <is>
          <t>grounded</t>
        </is>
      </c>
      <c r="AB301" s="18" t="inlineStr"/>
      <c r="AC301" s="18" t="inlineStr"/>
      <c r="AD301" s="18" t="inlineStr"/>
      <c r="AE301" s="18" t="inlineStr">
        <is>
          <t>sky 8-15</t>
        </is>
      </c>
      <c r="AF301" s="18" t="inlineStr"/>
      <c r="AG301" s="18" t="inlineStr"/>
      <c r="AH301" s="18" t="inlineStr"/>
      <c r="AI301" s="18" t="inlineStr"/>
      <c r="AJ301" s="18" t="inlineStr">
        <is>
          <t>Cobblemon 동일</t>
        </is>
      </c>
      <c r="AK301" s="18" t="inlineStr">
        <is>
          <t>사용</t>
        </is>
      </c>
      <c r="AL301" s="18" t="inlineStr">
        <is>
          <t>COBBLEVERSE 1.7.42 / DP v31</t>
        </is>
      </c>
      <c r="AM301" s="18" t="inlineStr">
        <is>
          <t>data/cobblemon/spawn_pool_world/0085_dodrio.json</t>
        </is>
      </c>
      <c r="AN301" s="18" t="inlineStr">
        <is>
          <t>dodrio-2</t>
        </is>
      </c>
      <c r="AO301" s="18" t="inlineStr">
        <is>
          <t>pokemon</t>
        </is>
      </c>
      <c r="AP301" s="18" t="inlineStr">
        <is>
          <t>natural</t>
        </is>
      </c>
      <c r="AQ301" s="18" t="inlineStr">
        <is>
          <t>{"biomes":["aether:skyroot_grove","aether:skyroot_meadow"],"maxSkyLight":15,"minSkyLight":8}</t>
        </is>
      </c>
      <c r="AR301" s="18" t="inlineStr"/>
      <c r="AS301" s="18" t="inlineStr"/>
      <c r="AT301" s="19" t="inlineStr"/>
    </row>
    <row r="302" ht="32" customHeight="1">
      <c r="A302" s="18" t="inlineStr">
        <is>
          <t>0086_seel.json::seel-1::001</t>
        </is>
      </c>
      <c r="B302" s="19" t="inlineStr">
        <is>
          <t>사용</t>
        </is>
      </c>
      <c r="C302" s="18">
        <f>IF(OR(B302&lt;&gt;AK302,M302&lt;&gt;L302,O302&lt;&gt;"",Q302&lt;&gt;"",V302&lt;&gt;1,Y302&lt;&gt;"",AT302&lt;&gt;""),"수정","원본")</f>
        <v/>
      </c>
      <c r="D302" s="18" t="n">
        <v>86</v>
      </c>
      <c r="E302" s="18" t="inlineStr">
        <is>
          <t>쥬쥬</t>
        </is>
      </c>
      <c r="F302" s="18" t="inlineStr">
        <is>
          <t>seel</t>
        </is>
      </c>
      <c r="G302" s="18" t="inlineStr">
        <is>
          <t>seel</t>
        </is>
      </c>
      <c r="H302" s="18" t="inlineStr"/>
      <c r="I302" s="18" t="n">
        <v>1</v>
      </c>
      <c r="J302" s="18" t="n"/>
      <c r="K302" s="18" t="n">
        <v>1</v>
      </c>
      <c r="L302" s="18" t="inlineStr">
        <is>
          <t>cobbleventure:generation_1</t>
        </is>
      </c>
      <c r="M302" s="19" t="inlineStr">
        <is>
          <t>cobbleventure:generation_1</t>
        </is>
      </c>
      <c r="N302" s="18" t="inlineStr"/>
      <c r="O302" s="19" t="inlineStr"/>
      <c r="P302" s="18" t="inlineStr">
        <is>
          <t>#cobblemon:is_frozen_ocean</t>
        </is>
      </c>
      <c r="Q302" s="19" t="inlineStr"/>
      <c r="R302" s="18">
        <f>IF(Q302="",P302,Q302)</f>
        <v/>
      </c>
      <c r="S302" s="18" t="inlineStr"/>
      <c r="T302" s="18" t="inlineStr">
        <is>
          <t>common</t>
        </is>
      </c>
      <c r="U302" s="20" t="n">
        <v>9</v>
      </c>
      <c r="V302" s="21" t="n">
        <v>1</v>
      </c>
      <c r="W302" s="20">
        <f>IF(OR(U302="",V302=""),U302,U302*V302)</f>
        <v/>
      </c>
      <c r="X302" s="18" t="inlineStr">
        <is>
          <t>8-33</t>
        </is>
      </c>
      <c r="Y302" s="19" t="inlineStr"/>
      <c r="Z302" s="18">
        <f>IF(Y302="",X302,Y302)</f>
        <v/>
      </c>
      <c r="AA302" s="18" t="inlineStr">
        <is>
          <t>grounded</t>
        </is>
      </c>
      <c r="AB302" s="18" t="inlineStr"/>
      <c r="AC302" s="18" t="inlineStr"/>
      <c r="AD302" s="18" t="inlineStr"/>
      <c r="AE302" s="18" t="inlineStr">
        <is>
          <t>sky 8-15</t>
        </is>
      </c>
      <c r="AF302" s="18" t="inlineStr"/>
      <c r="AG302" s="18" t="inlineStr"/>
      <c r="AH302" s="18" t="inlineStr"/>
      <c r="AI302" s="18" t="inlineStr"/>
      <c r="AJ302" s="18" t="inlineStr">
        <is>
          <t>Cobblemon 동일</t>
        </is>
      </c>
      <c r="AK302" s="18" t="inlineStr">
        <is>
          <t>사용</t>
        </is>
      </c>
      <c r="AL302" s="18" t="inlineStr">
        <is>
          <t>COBBLEVERSE 1.7.42 / DP v31</t>
        </is>
      </c>
      <c r="AM302" s="18" t="inlineStr">
        <is>
          <t>data/cobblemon/spawn_pool_world/0086_seel.json</t>
        </is>
      </c>
      <c r="AN302" s="18" t="inlineStr">
        <is>
          <t>seel-1</t>
        </is>
      </c>
      <c r="AO302" s="18" t="inlineStr">
        <is>
          <t>pokemon</t>
        </is>
      </c>
      <c r="AP302" s="18" t="inlineStr">
        <is>
          <t>natural; wild</t>
        </is>
      </c>
      <c r="AQ302" s="18" t="inlineStr">
        <is>
          <t>{"biomes":["#cobblemon:is_frozen_ocean"],"maxSkyLight":15,"minSkyLight":8}</t>
        </is>
      </c>
      <c r="AR302" s="18" t="inlineStr"/>
      <c r="AS302" s="18" t="inlineStr">
        <is>
          <t>{"weightMultiplier":{"condition":{"timeRange":"night"},"multiplier":0.25}}</t>
        </is>
      </c>
      <c r="AT302" s="19" t="inlineStr"/>
    </row>
    <row r="303" ht="32" customHeight="1">
      <c r="A303" s="18" t="inlineStr">
        <is>
          <t>0086_seel.json::seel-2::002</t>
        </is>
      </c>
      <c r="B303" s="19" t="inlineStr">
        <is>
          <t>사용</t>
        </is>
      </c>
      <c r="C303" s="18">
        <f>IF(OR(B303&lt;&gt;AK303,M303&lt;&gt;L303,O303&lt;&gt;"",Q303&lt;&gt;"",V303&lt;&gt;1,Y303&lt;&gt;"",AT303&lt;&gt;""),"수정","원본")</f>
        <v/>
      </c>
      <c r="D303" s="18" t="n">
        <v>86</v>
      </c>
      <c r="E303" s="18" t="inlineStr">
        <is>
          <t>쥬쥬</t>
        </is>
      </c>
      <c r="F303" s="18" t="inlineStr">
        <is>
          <t>seel</t>
        </is>
      </c>
      <c r="G303" s="18" t="inlineStr">
        <is>
          <t>seel</t>
        </is>
      </c>
      <c r="H303" s="18" t="inlineStr"/>
      <c r="I303" s="18" t="n">
        <v>1</v>
      </c>
      <c r="J303" s="18" t="n"/>
      <c r="K303" s="18" t="n">
        <v>1</v>
      </c>
      <c r="L303" s="18" t="inlineStr">
        <is>
          <t>cobbleventure:generation_1</t>
        </is>
      </c>
      <c r="M303" s="19" t="inlineStr">
        <is>
          <t>cobbleventure:generation_1</t>
        </is>
      </c>
      <c r="N303" s="18" t="inlineStr"/>
      <c r="O303" s="19" t="inlineStr"/>
      <c r="P303" s="18" t="inlineStr">
        <is>
          <t>#cobblemon:is_frozen_ocean</t>
        </is>
      </c>
      <c r="Q303" s="19" t="inlineStr"/>
      <c r="R303" s="18">
        <f>IF(Q303="",P303,Q303)</f>
        <v/>
      </c>
      <c r="S303" s="18" t="inlineStr"/>
      <c r="T303" s="18" t="inlineStr">
        <is>
          <t>common</t>
        </is>
      </c>
      <c r="U303" s="20" t="n">
        <v>9</v>
      </c>
      <c r="V303" s="21" t="n">
        <v>1</v>
      </c>
      <c r="W303" s="20">
        <f>IF(OR(U303="",V303=""),U303,U303*V303)</f>
        <v/>
      </c>
      <c r="X303" s="18" t="inlineStr">
        <is>
          <t>8-33</t>
        </is>
      </c>
      <c r="Y303" s="19" t="inlineStr"/>
      <c r="Z303" s="18">
        <f>IF(Y303="",X303,Y303)</f>
        <v/>
      </c>
      <c r="AA303" s="18" t="inlineStr">
        <is>
          <t>submerged</t>
        </is>
      </c>
      <c r="AB303" s="18" t="inlineStr"/>
      <c r="AC303" s="18" t="inlineStr"/>
      <c r="AD303" s="18" t="inlineStr"/>
      <c r="AE303" s="18" t="inlineStr"/>
      <c r="AF303" s="18" t="inlineStr">
        <is>
          <t>True</t>
        </is>
      </c>
      <c r="AG303" s="18" t="inlineStr"/>
      <c r="AH303" s="18" t="inlineStr"/>
      <c r="AI303" s="18" t="inlineStr"/>
      <c r="AJ303" s="18" t="inlineStr">
        <is>
          <t>Cobblemon 동일</t>
        </is>
      </c>
      <c r="AK303" s="18" t="inlineStr">
        <is>
          <t>사용</t>
        </is>
      </c>
      <c r="AL303" s="18" t="inlineStr">
        <is>
          <t>COBBLEVERSE 1.7.42 / DP v31</t>
        </is>
      </c>
      <c r="AM303" s="18" t="inlineStr">
        <is>
          <t>data/cobblemon/spawn_pool_world/0086_seel.json</t>
        </is>
      </c>
      <c r="AN303" s="18" t="inlineStr">
        <is>
          <t>seel-2</t>
        </is>
      </c>
      <c r="AO303" s="18" t="inlineStr">
        <is>
          <t>pokemon</t>
        </is>
      </c>
      <c r="AP303" s="18" t="inlineStr">
        <is>
          <t>water</t>
        </is>
      </c>
      <c r="AQ303" s="18" t="inlineStr">
        <is>
          <t>{"biomes":["#cobblemon:is_frozen_ocean"],"canSeeSky":true}</t>
        </is>
      </c>
      <c r="AR303" s="18" t="inlineStr"/>
      <c r="AS303" s="18" t="inlineStr">
        <is>
          <t>{"weightMultiplier":{"condition":{"timeRange":"day"},"multiplier":0.25}}</t>
        </is>
      </c>
      <c r="AT303" s="19" t="inlineStr"/>
    </row>
    <row r="304" ht="32" customHeight="1">
      <c r="A304" s="18" t="inlineStr">
        <is>
          <t>0086_seel.json::seel-3::003</t>
        </is>
      </c>
      <c r="B304" s="19" t="inlineStr">
        <is>
          <t>사용</t>
        </is>
      </c>
      <c r="C304" s="18">
        <f>IF(OR(B304&lt;&gt;AK304,M304&lt;&gt;L304,O304&lt;&gt;"",Q304&lt;&gt;"",V304&lt;&gt;1,Y304&lt;&gt;"",AT304&lt;&gt;""),"수정","원본")</f>
        <v/>
      </c>
      <c r="D304" s="18" t="n">
        <v>86</v>
      </c>
      <c r="E304" s="18" t="inlineStr">
        <is>
          <t>쥬쥬</t>
        </is>
      </c>
      <c r="F304" s="18" t="inlineStr">
        <is>
          <t>seel</t>
        </is>
      </c>
      <c r="G304" s="18" t="inlineStr">
        <is>
          <t>seel</t>
        </is>
      </c>
      <c r="H304" s="18" t="inlineStr"/>
      <c r="I304" s="18" t="n">
        <v>1</v>
      </c>
      <c r="J304" s="18" t="n"/>
      <c r="K304" s="18" t="n">
        <v>1</v>
      </c>
      <c r="L304" s="18" t="inlineStr">
        <is>
          <t>cobbleventure:generation_1</t>
        </is>
      </c>
      <c r="M304" s="19" t="inlineStr">
        <is>
          <t>cobbleventure:generation_1</t>
        </is>
      </c>
      <c r="N304" s="18" t="inlineStr"/>
      <c r="O304" s="19" t="inlineStr"/>
      <c r="P304" s="18" t="inlineStr">
        <is>
          <t>#cobblemon:is_cold_ocean; #cobblemon:is_frozen_ocean</t>
        </is>
      </c>
      <c r="Q304" s="19" t="inlineStr"/>
      <c r="R304" s="18">
        <f>IF(Q304="",P304,Q304)</f>
        <v/>
      </c>
      <c r="S304" s="18" t="inlineStr"/>
      <c r="T304" s="18" t="inlineStr">
        <is>
          <t>common</t>
        </is>
      </c>
      <c r="U304" s="20" t="n">
        <v>9</v>
      </c>
      <c r="V304" s="21" t="n">
        <v>1</v>
      </c>
      <c r="W304" s="20">
        <f>IF(OR(U304="",V304=""),U304,U304*V304)</f>
        <v/>
      </c>
      <c r="X304" s="18" t="inlineStr">
        <is>
          <t>8-33</t>
        </is>
      </c>
      <c r="Y304" s="19" t="inlineStr"/>
      <c r="Z304" s="18">
        <f>IF(Y304="",X304,Y304)</f>
        <v/>
      </c>
      <c r="AA304" s="18" t="inlineStr">
        <is>
          <t>fishing</t>
        </is>
      </c>
      <c r="AB304" s="18" t="inlineStr"/>
      <c r="AC304" s="18" t="inlineStr"/>
      <c r="AD304" s="18" t="inlineStr"/>
      <c r="AE304" s="18" t="inlineStr"/>
      <c r="AF304" s="18" t="inlineStr">
        <is>
          <t>True</t>
        </is>
      </c>
      <c r="AG304" s="18" t="inlineStr"/>
      <c r="AH304" s="18" t="inlineStr"/>
      <c r="AI304" s="18" t="inlineStr"/>
      <c r="AJ304" s="18" t="inlineStr">
        <is>
          <t>Cobblemon 동일</t>
        </is>
      </c>
      <c r="AK304" s="18" t="inlineStr">
        <is>
          <t>사용</t>
        </is>
      </c>
      <c r="AL304" s="18" t="inlineStr">
        <is>
          <t>COBBLEVERSE 1.7.42 / DP v31</t>
        </is>
      </c>
      <c r="AM304" s="18" t="inlineStr">
        <is>
          <t>data/cobblemon/spawn_pool_world/0086_seel.json</t>
        </is>
      </c>
      <c r="AN304" s="18" t="inlineStr">
        <is>
          <t>seel-3</t>
        </is>
      </c>
      <c r="AO304" s="18" t="inlineStr">
        <is>
          <t>pokemon</t>
        </is>
      </c>
      <c r="AP304" s="18" t="inlineStr"/>
      <c r="AQ304" s="18" t="inlineStr">
        <is>
          <t>{"biomes":["#cobblemon:is_cold_ocean","#cobblemon:is_frozen_ocean"],"canSeeSky":true}</t>
        </is>
      </c>
      <c r="AR304" s="18" t="inlineStr"/>
      <c r="AS304" s="18" t="inlineStr">
        <is>
          <t>{"weightMultipliers":[{"condition":{"timeRange":"day"},"multiplier":0.25},{"condition":{"maxLureLevel":1,"minLureLevel":0},"multiplier":0.6}]}</t>
        </is>
      </c>
      <c r="AT304" s="19" t="inlineStr"/>
    </row>
    <row r="305" ht="32" customHeight="1">
      <c r="A305" s="18" t="inlineStr">
        <is>
          <t>0086_seel.json::seel-4::004</t>
        </is>
      </c>
      <c r="B305" s="19" t="inlineStr">
        <is>
          <t>사용</t>
        </is>
      </c>
      <c r="C305" s="18">
        <f>IF(OR(B305&lt;&gt;AK305,M305&lt;&gt;L305,O305&lt;&gt;"",Q305&lt;&gt;"",V305&lt;&gt;1,Y305&lt;&gt;"",AT305&lt;&gt;""),"수정","원본")</f>
        <v/>
      </c>
      <c r="D305" s="18" t="n">
        <v>86</v>
      </c>
      <c r="E305" s="18" t="inlineStr">
        <is>
          <t>쥬쥬</t>
        </is>
      </c>
      <c r="F305" s="18" t="inlineStr">
        <is>
          <t>seel</t>
        </is>
      </c>
      <c r="G305" s="18" t="inlineStr">
        <is>
          <t>seel</t>
        </is>
      </c>
      <c r="H305" s="18" t="inlineStr"/>
      <c r="I305" s="18" t="n">
        <v>1</v>
      </c>
      <c r="J305" s="18" t="n"/>
      <c r="K305" s="18" t="n">
        <v>1</v>
      </c>
      <c r="L305" s="18" t="inlineStr">
        <is>
          <t>cobbleventure:generation_1</t>
        </is>
      </c>
      <c r="M305" s="19" t="inlineStr">
        <is>
          <t>cobbleventure:generation_1</t>
        </is>
      </c>
      <c r="N305" s="18" t="inlineStr"/>
      <c r="O305" s="19" t="inlineStr"/>
      <c r="P305" s="18" t="inlineStr">
        <is>
          <t>#cobblemon:is_frozen_ocean</t>
        </is>
      </c>
      <c r="Q305" s="19" t="inlineStr"/>
      <c r="R305" s="18">
        <f>IF(Q305="",P305,Q305)</f>
        <v/>
      </c>
      <c r="S305" s="18" t="inlineStr"/>
      <c r="T305" s="18" t="inlineStr">
        <is>
          <t>common</t>
        </is>
      </c>
      <c r="U305" s="20" t="n">
        <v>9</v>
      </c>
      <c r="V305" s="21" t="n">
        <v>1</v>
      </c>
      <c r="W305" s="20">
        <f>IF(OR(U305="",V305=""),U305,U305*V305)</f>
        <v/>
      </c>
      <c r="X305" s="18" t="inlineStr">
        <is>
          <t>8-33</t>
        </is>
      </c>
      <c r="Y305" s="19" t="inlineStr"/>
      <c r="Z305" s="18">
        <f>IF(Y305="",X305,Y305)</f>
        <v/>
      </c>
      <c r="AA305" s="18" t="inlineStr">
        <is>
          <t>submerged</t>
        </is>
      </c>
      <c r="AB305" s="18" t="inlineStr"/>
      <c r="AC305" s="18" t="inlineStr"/>
      <c r="AD305" s="18" t="inlineStr"/>
      <c r="AE305" s="18" t="inlineStr">
        <is>
          <t>sky 8-15</t>
        </is>
      </c>
      <c r="AF305" s="18" t="inlineStr">
        <is>
          <t>False</t>
        </is>
      </c>
      <c r="AG305" s="18" t="inlineStr"/>
      <c r="AH305" s="18" t="inlineStr"/>
      <c r="AI305" s="18" t="inlineStr"/>
      <c r="AJ305" s="18" t="inlineStr">
        <is>
          <t>Cobblemon 동일</t>
        </is>
      </c>
      <c r="AK305" s="18" t="inlineStr">
        <is>
          <t>사용</t>
        </is>
      </c>
      <c r="AL305" s="18" t="inlineStr">
        <is>
          <t>COBBLEVERSE 1.7.42 / DP v31</t>
        </is>
      </c>
      <c r="AM305" s="18" t="inlineStr">
        <is>
          <t>data/cobblemon/spawn_pool_world/0086_seel.json</t>
        </is>
      </c>
      <c r="AN305" s="18" t="inlineStr">
        <is>
          <t>seel-4</t>
        </is>
      </c>
      <c r="AO305" s="18" t="inlineStr">
        <is>
          <t>pokemon</t>
        </is>
      </c>
      <c r="AP305" s="18" t="inlineStr">
        <is>
          <t>water</t>
        </is>
      </c>
      <c r="AQ305" s="18" t="inlineStr">
        <is>
          <t>{"biomes":["#cobblemon:is_frozen_ocean"],"canSeeSky":false,"maxSkyLight":15,"minSkyLight":8}</t>
        </is>
      </c>
      <c r="AR305" s="18" t="inlineStr"/>
      <c r="AS305" s="18" t="inlineStr">
        <is>
          <t>{"weightMultiplier":{"condition":{"timeRange":"day"},"multiplier":0.25}}</t>
        </is>
      </c>
      <c r="AT305" s="19" t="inlineStr"/>
    </row>
    <row r="306" ht="32" customHeight="1">
      <c r="A306" s="18" t="inlineStr">
        <is>
          <t>0086_seel.json::seel-5::005</t>
        </is>
      </c>
      <c r="B306" s="19" t="inlineStr">
        <is>
          <t>사용</t>
        </is>
      </c>
      <c r="C306" s="18">
        <f>IF(OR(B306&lt;&gt;AK306,M306&lt;&gt;L306,O306&lt;&gt;"",Q306&lt;&gt;"",V306&lt;&gt;1,Y306&lt;&gt;"",AT306&lt;&gt;""),"수정","원본")</f>
        <v/>
      </c>
      <c r="D306" s="18" t="n">
        <v>86</v>
      </c>
      <c r="E306" s="18" t="inlineStr">
        <is>
          <t>쥬쥬</t>
        </is>
      </c>
      <c r="F306" s="18" t="inlineStr">
        <is>
          <t>seel</t>
        </is>
      </c>
      <c r="G306" s="18" t="inlineStr">
        <is>
          <t>seel</t>
        </is>
      </c>
      <c r="H306" s="18" t="inlineStr"/>
      <c r="I306" s="18" t="n">
        <v>1</v>
      </c>
      <c r="J306" s="18" t="n"/>
      <c r="K306" s="18" t="n">
        <v>1</v>
      </c>
      <c r="L306" s="18" t="inlineStr">
        <is>
          <t>cobbleventure:generation_1</t>
        </is>
      </c>
      <c r="M306" s="19" t="inlineStr">
        <is>
          <t>cobbleventure:generation_1</t>
        </is>
      </c>
      <c r="N306" s="18" t="inlineStr"/>
      <c r="O306" s="19" t="inlineStr"/>
      <c r="P306" s="18" t="inlineStr">
        <is>
          <t>#cobblemon:is_cold_ocean; #cobblemon:is_frozen_ocean</t>
        </is>
      </c>
      <c r="Q306" s="19" t="inlineStr"/>
      <c r="R306" s="18">
        <f>IF(Q306="",P306,Q306)</f>
        <v/>
      </c>
      <c r="S306" s="18" t="inlineStr"/>
      <c r="T306" s="18" t="inlineStr">
        <is>
          <t>common</t>
        </is>
      </c>
      <c r="U306" s="20" t="n">
        <v>9</v>
      </c>
      <c r="V306" s="21" t="n">
        <v>1</v>
      </c>
      <c r="W306" s="20">
        <f>IF(OR(U306="",V306=""),U306,U306*V306)</f>
        <v/>
      </c>
      <c r="X306" s="18" t="inlineStr">
        <is>
          <t>8-33</t>
        </is>
      </c>
      <c r="Y306" s="19" t="inlineStr"/>
      <c r="Z306" s="18">
        <f>IF(Y306="",X306,Y306)</f>
        <v/>
      </c>
      <c r="AA306" s="18" t="inlineStr">
        <is>
          <t>fishing</t>
        </is>
      </c>
      <c r="AB306" s="18" t="inlineStr"/>
      <c r="AC306" s="18" t="inlineStr"/>
      <c r="AD306" s="18" t="inlineStr"/>
      <c r="AE306" s="18" t="inlineStr">
        <is>
          <t>sky 8-15</t>
        </is>
      </c>
      <c r="AF306" s="18" t="inlineStr">
        <is>
          <t>False</t>
        </is>
      </c>
      <c r="AG306" s="18" t="inlineStr"/>
      <c r="AH306" s="18" t="inlineStr"/>
      <c r="AI306" s="18" t="inlineStr"/>
      <c r="AJ306" s="18" t="inlineStr">
        <is>
          <t>Cobblemon 동일</t>
        </is>
      </c>
      <c r="AK306" s="18" t="inlineStr">
        <is>
          <t>사용</t>
        </is>
      </c>
      <c r="AL306" s="18" t="inlineStr">
        <is>
          <t>COBBLEVERSE 1.7.42 / DP v31</t>
        </is>
      </c>
      <c r="AM306" s="18" t="inlineStr">
        <is>
          <t>data/cobblemon/spawn_pool_world/0086_seel.json</t>
        </is>
      </c>
      <c r="AN306" s="18" t="inlineStr">
        <is>
          <t>seel-5</t>
        </is>
      </c>
      <c r="AO306" s="18" t="inlineStr">
        <is>
          <t>pokemon</t>
        </is>
      </c>
      <c r="AP306" s="18" t="inlineStr"/>
      <c r="AQ306" s="18" t="inlineStr">
        <is>
          <t>{"biomes":["#cobblemon:is_cold_ocean","#cobblemon:is_frozen_ocean"],"canSeeSky":false,"maxSkyLight":15,"minSkyLight":8}</t>
        </is>
      </c>
      <c r="AR306" s="18" t="inlineStr"/>
      <c r="AS306" s="18" t="inlineStr">
        <is>
          <t>{"weightMultipliers":[{"condition":{"timeRange":"day"},"multiplier":0.25},{"condition":{"maxLureLevel":1,"minLureLevel":0},"multiplier":0.6}]}</t>
        </is>
      </c>
      <c r="AT306" s="19" t="inlineStr"/>
    </row>
    <row r="307" ht="32" customHeight="1">
      <c r="A307" s="18" t="inlineStr">
        <is>
          <t>0087_dewgong.json::dewgong-1::001</t>
        </is>
      </c>
      <c r="B307" s="19" t="inlineStr">
        <is>
          <t>사용</t>
        </is>
      </c>
      <c r="C307" s="18">
        <f>IF(OR(B307&lt;&gt;AK307,M307&lt;&gt;L307,O307&lt;&gt;"",Q307&lt;&gt;"",V307&lt;&gt;1,Y307&lt;&gt;"",AT307&lt;&gt;""),"수정","원본")</f>
        <v/>
      </c>
      <c r="D307" s="18" t="n">
        <v>87</v>
      </c>
      <c r="E307" s="18" t="inlineStr">
        <is>
          <t>쥬레곤</t>
        </is>
      </c>
      <c r="F307" s="18" t="inlineStr">
        <is>
          <t>dewgong</t>
        </is>
      </c>
      <c r="G307" s="18" t="inlineStr">
        <is>
          <t>dewgong</t>
        </is>
      </c>
      <c r="H307" s="18" t="inlineStr"/>
      <c r="I307" s="18" t="n">
        <v>1</v>
      </c>
      <c r="J307" s="18" t="n"/>
      <c r="K307" s="18" t="n">
        <v>1</v>
      </c>
      <c r="L307" s="18" t="inlineStr">
        <is>
          <t>cobbleventure:generation_1</t>
        </is>
      </c>
      <c r="M307" s="19" t="inlineStr">
        <is>
          <t>cobbleventure:generation_1</t>
        </is>
      </c>
      <c r="N307" s="18" t="inlineStr"/>
      <c r="O307" s="19" t="inlineStr"/>
      <c r="P307" s="18" t="inlineStr">
        <is>
          <t>#cobblemon:is_frozen_ocean</t>
        </is>
      </c>
      <c r="Q307" s="19" t="inlineStr"/>
      <c r="R307" s="18">
        <f>IF(Q307="",P307,Q307)</f>
        <v/>
      </c>
      <c r="S307" s="18" t="inlineStr"/>
      <c r="T307" s="18" t="inlineStr">
        <is>
          <t>common</t>
        </is>
      </c>
      <c r="U307" s="20" t="n">
        <v>1</v>
      </c>
      <c r="V307" s="21" t="n">
        <v>1</v>
      </c>
      <c r="W307" s="20">
        <f>IF(OR(U307="",V307=""),U307,U307*V307)</f>
        <v/>
      </c>
      <c r="X307" s="18" t="inlineStr">
        <is>
          <t>34-48</t>
        </is>
      </c>
      <c r="Y307" s="19" t="inlineStr"/>
      <c r="Z307" s="18">
        <f>IF(Y307="",X307,Y307)</f>
        <v/>
      </c>
      <c r="AA307" s="18" t="inlineStr">
        <is>
          <t>grounded</t>
        </is>
      </c>
      <c r="AB307" s="18" t="inlineStr"/>
      <c r="AC307" s="18" t="inlineStr"/>
      <c r="AD307" s="18" t="inlineStr"/>
      <c r="AE307" s="18" t="inlineStr">
        <is>
          <t>sky 8-15</t>
        </is>
      </c>
      <c r="AF307" s="18" t="inlineStr"/>
      <c r="AG307" s="18" t="inlineStr"/>
      <c r="AH307" s="18" t="inlineStr"/>
      <c r="AI307" s="18" t="inlineStr"/>
      <c r="AJ307" s="18" t="inlineStr">
        <is>
          <t>Cobblemon 동일</t>
        </is>
      </c>
      <c r="AK307" s="18" t="inlineStr">
        <is>
          <t>사용</t>
        </is>
      </c>
      <c r="AL307" s="18" t="inlineStr">
        <is>
          <t>COBBLEVERSE 1.7.42 / DP v31</t>
        </is>
      </c>
      <c r="AM307" s="18" t="inlineStr">
        <is>
          <t>data/cobblemon/spawn_pool_world/0087_dewgong.json</t>
        </is>
      </c>
      <c r="AN307" s="18" t="inlineStr">
        <is>
          <t>dewgong-1</t>
        </is>
      </c>
      <c r="AO307" s="18" t="inlineStr">
        <is>
          <t>pokemon</t>
        </is>
      </c>
      <c r="AP307" s="18" t="inlineStr">
        <is>
          <t>natural; wild</t>
        </is>
      </c>
      <c r="AQ307" s="18" t="inlineStr">
        <is>
          <t>{"biomes":["#cobblemon:is_frozen_ocean"],"maxSkyLight":15,"minSkyLight":8}</t>
        </is>
      </c>
      <c r="AR307" s="18" t="inlineStr"/>
      <c r="AS307" s="18" t="inlineStr">
        <is>
          <t>{"weightMultiplier":{"condition":{"timeRange":"night"},"multiplier":0.25}}</t>
        </is>
      </c>
      <c r="AT307" s="19" t="inlineStr"/>
    </row>
    <row r="308" ht="32" customHeight="1">
      <c r="A308" s="18" t="inlineStr">
        <is>
          <t>0087_dewgong.json::dewgong-2::002</t>
        </is>
      </c>
      <c r="B308" s="19" t="inlineStr">
        <is>
          <t>사용</t>
        </is>
      </c>
      <c r="C308" s="18">
        <f>IF(OR(B308&lt;&gt;AK308,M308&lt;&gt;L308,O308&lt;&gt;"",Q308&lt;&gt;"",V308&lt;&gt;1,Y308&lt;&gt;"",AT308&lt;&gt;""),"수정","원본")</f>
        <v/>
      </c>
      <c r="D308" s="18" t="n">
        <v>87</v>
      </c>
      <c r="E308" s="18" t="inlineStr">
        <is>
          <t>쥬레곤</t>
        </is>
      </c>
      <c r="F308" s="18" t="inlineStr">
        <is>
          <t>dewgong</t>
        </is>
      </c>
      <c r="G308" s="18" t="inlineStr">
        <is>
          <t>dewgong</t>
        </is>
      </c>
      <c r="H308" s="18" t="inlineStr"/>
      <c r="I308" s="18" t="n">
        <v>1</v>
      </c>
      <c r="J308" s="18" t="n"/>
      <c r="K308" s="18" t="n">
        <v>1</v>
      </c>
      <c r="L308" s="18" t="inlineStr">
        <is>
          <t>cobbleventure:generation_1</t>
        </is>
      </c>
      <c r="M308" s="19" t="inlineStr">
        <is>
          <t>cobbleventure:generation_1</t>
        </is>
      </c>
      <c r="N308" s="18" t="inlineStr"/>
      <c r="O308" s="19" t="inlineStr"/>
      <c r="P308" s="18" t="inlineStr">
        <is>
          <t>#cobblemon:is_frozen_ocean</t>
        </is>
      </c>
      <c r="Q308" s="19" t="inlineStr"/>
      <c r="R308" s="18">
        <f>IF(Q308="",P308,Q308)</f>
        <v/>
      </c>
      <c r="S308" s="18" t="inlineStr"/>
      <c r="T308" s="18" t="inlineStr">
        <is>
          <t>common</t>
        </is>
      </c>
      <c r="U308" s="20" t="n">
        <v>1</v>
      </c>
      <c r="V308" s="21" t="n">
        <v>1</v>
      </c>
      <c r="W308" s="20">
        <f>IF(OR(U308="",V308=""),U308,U308*V308)</f>
        <v/>
      </c>
      <c r="X308" s="18" t="inlineStr">
        <is>
          <t>34-48</t>
        </is>
      </c>
      <c r="Y308" s="19" t="inlineStr"/>
      <c r="Z308" s="18">
        <f>IF(Y308="",X308,Y308)</f>
        <v/>
      </c>
      <c r="AA308" s="18" t="inlineStr">
        <is>
          <t>submerged</t>
        </is>
      </c>
      <c r="AB308" s="18" t="inlineStr"/>
      <c r="AC308" s="18" t="inlineStr"/>
      <c r="AD308" s="18" t="inlineStr"/>
      <c r="AE308" s="18" t="inlineStr"/>
      <c r="AF308" s="18" t="inlineStr">
        <is>
          <t>True</t>
        </is>
      </c>
      <c r="AG308" s="18" t="inlineStr"/>
      <c r="AH308" s="18" t="inlineStr"/>
      <c r="AI308" s="18" t="inlineStr"/>
      <c r="AJ308" s="18" t="inlineStr">
        <is>
          <t>Cobblemon 동일</t>
        </is>
      </c>
      <c r="AK308" s="18" t="inlineStr">
        <is>
          <t>사용</t>
        </is>
      </c>
      <c r="AL308" s="18" t="inlineStr">
        <is>
          <t>COBBLEVERSE 1.7.42 / DP v31</t>
        </is>
      </c>
      <c r="AM308" s="18" t="inlineStr">
        <is>
          <t>data/cobblemon/spawn_pool_world/0087_dewgong.json</t>
        </is>
      </c>
      <c r="AN308" s="18" t="inlineStr">
        <is>
          <t>dewgong-2</t>
        </is>
      </c>
      <c r="AO308" s="18" t="inlineStr">
        <is>
          <t>pokemon</t>
        </is>
      </c>
      <c r="AP308" s="18" t="inlineStr">
        <is>
          <t>water</t>
        </is>
      </c>
      <c r="AQ308" s="18" t="inlineStr">
        <is>
          <t>{"biomes":["#cobblemon:is_frozen_ocean"],"canSeeSky":true}</t>
        </is>
      </c>
      <c r="AR308" s="18" t="inlineStr"/>
      <c r="AS308" s="18" t="inlineStr">
        <is>
          <t>{"weightMultiplier":{"condition":{"timeRange":"day"},"multiplier":0.25}}</t>
        </is>
      </c>
      <c r="AT308" s="19" t="inlineStr"/>
    </row>
    <row r="309" ht="32" customHeight="1">
      <c r="A309" s="18" t="inlineStr">
        <is>
          <t>0087_dewgong.json::dewgong-3::003</t>
        </is>
      </c>
      <c r="B309" s="19" t="inlineStr">
        <is>
          <t>사용</t>
        </is>
      </c>
      <c r="C309" s="18">
        <f>IF(OR(B309&lt;&gt;AK309,M309&lt;&gt;L309,O309&lt;&gt;"",Q309&lt;&gt;"",V309&lt;&gt;1,Y309&lt;&gt;"",AT309&lt;&gt;""),"수정","원본")</f>
        <v/>
      </c>
      <c r="D309" s="18" t="n">
        <v>87</v>
      </c>
      <c r="E309" s="18" t="inlineStr">
        <is>
          <t>쥬레곤</t>
        </is>
      </c>
      <c r="F309" s="18" t="inlineStr">
        <is>
          <t>dewgong</t>
        </is>
      </c>
      <c r="G309" s="18" t="inlineStr">
        <is>
          <t>dewgong</t>
        </is>
      </c>
      <c r="H309" s="18" t="inlineStr"/>
      <c r="I309" s="18" t="n">
        <v>1</v>
      </c>
      <c r="J309" s="18" t="n"/>
      <c r="K309" s="18" t="n">
        <v>1</v>
      </c>
      <c r="L309" s="18" t="inlineStr">
        <is>
          <t>cobbleventure:generation_1</t>
        </is>
      </c>
      <c r="M309" s="19" t="inlineStr">
        <is>
          <t>cobbleventure:generation_1</t>
        </is>
      </c>
      <c r="N309" s="18" t="inlineStr"/>
      <c r="O309" s="19" t="inlineStr"/>
      <c r="P309" s="18" t="inlineStr">
        <is>
          <t>#cobblemon:is_cold_ocean; #cobblemon:is_frozen_ocean</t>
        </is>
      </c>
      <c r="Q309" s="19" t="inlineStr"/>
      <c r="R309" s="18">
        <f>IF(Q309="",P309,Q309)</f>
        <v/>
      </c>
      <c r="S309" s="18" t="inlineStr"/>
      <c r="T309" s="18" t="inlineStr">
        <is>
          <t>common</t>
        </is>
      </c>
      <c r="U309" s="20" t="n">
        <v>1</v>
      </c>
      <c r="V309" s="21" t="n">
        <v>1</v>
      </c>
      <c r="W309" s="20">
        <f>IF(OR(U309="",V309=""),U309,U309*V309)</f>
        <v/>
      </c>
      <c r="X309" s="18" t="inlineStr">
        <is>
          <t>34-48</t>
        </is>
      </c>
      <c r="Y309" s="19" t="inlineStr"/>
      <c r="Z309" s="18">
        <f>IF(Y309="",X309,Y309)</f>
        <v/>
      </c>
      <c r="AA309" s="18" t="inlineStr">
        <is>
          <t>fishing</t>
        </is>
      </c>
      <c r="AB309" s="18" t="inlineStr"/>
      <c r="AC309" s="18" t="inlineStr"/>
      <c r="AD309" s="18" t="inlineStr"/>
      <c r="AE309" s="18" t="inlineStr"/>
      <c r="AF309" s="18" t="inlineStr">
        <is>
          <t>True</t>
        </is>
      </c>
      <c r="AG309" s="18" t="inlineStr"/>
      <c r="AH309" s="18" t="inlineStr"/>
      <c r="AI309" s="18" t="inlineStr"/>
      <c r="AJ309" s="18" t="inlineStr">
        <is>
          <t>Cobblemon 동일</t>
        </is>
      </c>
      <c r="AK309" s="18" t="inlineStr">
        <is>
          <t>사용</t>
        </is>
      </c>
      <c r="AL309" s="18" t="inlineStr">
        <is>
          <t>COBBLEVERSE 1.7.42 / DP v31</t>
        </is>
      </c>
      <c r="AM309" s="18" t="inlineStr">
        <is>
          <t>data/cobblemon/spawn_pool_world/0087_dewgong.json</t>
        </is>
      </c>
      <c r="AN309" s="18" t="inlineStr">
        <is>
          <t>dewgong-3</t>
        </is>
      </c>
      <c r="AO309" s="18" t="inlineStr">
        <is>
          <t>pokemon</t>
        </is>
      </c>
      <c r="AP309" s="18" t="inlineStr"/>
      <c r="AQ309" s="18" t="inlineStr">
        <is>
          <t>{"biomes":["#cobblemon:is_cold_ocean","#cobblemon:is_frozen_ocean"],"canSeeSky":true}</t>
        </is>
      </c>
      <c r="AR309" s="18" t="inlineStr"/>
      <c r="AS309" s="18" t="inlineStr">
        <is>
          <t>{"weightMultipliers":[{"condition":{"timeRange":"day"},"multiplier":0.25},{"condition":{"maxLureLevel":1,"minLureLevel":0},"multiplier":0.6}]}</t>
        </is>
      </c>
      <c r="AT309" s="19" t="inlineStr"/>
    </row>
    <row r="310" ht="32" customHeight="1">
      <c r="A310" s="18" t="inlineStr">
        <is>
          <t>0087_dewgong.json::dewgong-4::004</t>
        </is>
      </c>
      <c r="B310" s="19" t="inlineStr">
        <is>
          <t>사용</t>
        </is>
      </c>
      <c r="C310" s="18">
        <f>IF(OR(B310&lt;&gt;AK310,M310&lt;&gt;L310,O310&lt;&gt;"",Q310&lt;&gt;"",V310&lt;&gt;1,Y310&lt;&gt;"",AT310&lt;&gt;""),"수정","원본")</f>
        <v/>
      </c>
      <c r="D310" s="18" t="n">
        <v>87</v>
      </c>
      <c r="E310" s="18" t="inlineStr">
        <is>
          <t>쥬레곤</t>
        </is>
      </c>
      <c r="F310" s="18" t="inlineStr">
        <is>
          <t>dewgong</t>
        </is>
      </c>
      <c r="G310" s="18" t="inlineStr">
        <is>
          <t>dewgong</t>
        </is>
      </c>
      <c r="H310" s="18" t="inlineStr"/>
      <c r="I310" s="18" t="n">
        <v>1</v>
      </c>
      <c r="J310" s="18" t="n"/>
      <c r="K310" s="18" t="n">
        <v>1</v>
      </c>
      <c r="L310" s="18" t="inlineStr">
        <is>
          <t>cobbleventure:generation_1</t>
        </is>
      </c>
      <c r="M310" s="19" t="inlineStr">
        <is>
          <t>cobbleventure:generation_1</t>
        </is>
      </c>
      <c r="N310" s="18" t="inlineStr"/>
      <c r="O310" s="19" t="inlineStr"/>
      <c r="P310" s="18" t="inlineStr">
        <is>
          <t>#cobblemon:is_frozen_ocean</t>
        </is>
      </c>
      <c r="Q310" s="19" t="inlineStr"/>
      <c r="R310" s="18">
        <f>IF(Q310="",P310,Q310)</f>
        <v/>
      </c>
      <c r="S310" s="18" t="inlineStr"/>
      <c r="T310" s="18" t="inlineStr">
        <is>
          <t>common</t>
        </is>
      </c>
      <c r="U310" s="20" t="n">
        <v>1</v>
      </c>
      <c r="V310" s="21" t="n">
        <v>1</v>
      </c>
      <c r="W310" s="20">
        <f>IF(OR(U310="",V310=""),U310,U310*V310)</f>
        <v/>
      </c>
      <c r="X310" s="18" t="inlineStr">
        <is>
          <t>34-48</t>
        </is>
      </c>
      <c r="Y310" s="19" t="inlineStr"/>
      <c r="Z310" s="18">
        <f>IF(Y310="",X310,Y310)</f>
        <v/>
      </c>
      <c r="AA310" s="18" t="inlineStr">
        <is>
          <t>submerged</t>
        </is>
      </c>
      <c r="AB310" s="18" t="inlineStr"/>
      <c r="AC310" s="18" t="inlineStr"/>
      <c r="AD310" s="18" t="inlineStr"/>
      <c r="AE310" s="18" t="inlineStr">
        <is>
          <t>sky 8-15</t>
        </is>
      </c>
      <c r="AF310" s="18" t="inlineStr">
        <is>
          <t>False</t>
        </is>
      </c>
      <c r="AG310" s="18" t="inlineStr"/>
      <c r="AH310" s="18" t="inlineStr"/>
      <c r="AI310" s="18" t="inlineStr"/>
      <c r="AJ310" s="18" t="inlineStr">
        <is>
          <t>Cobblemon 동일</t>
        </is>
      </c>
      <c r="AK310" s="18" t="inlineStr">
        <is>
          <t>사용</t>
        </is>
      </c>
      <c r="AL310" s="18" t="inlineStr">
        <is>
          <t>COBBLEVERSE 1.7.42 / DP v31</t>
        </is>
      </c>
      <c r="AM310" s="18" t="inlineStr">
        <is>
          <t>data/cobblemon/spawn_pool_world/0087_dewgong.json</t>
        </is>
      </c>
      <c r="AN310" s="18" t="inlineStr">
        <is>
          <t>dewgong-4</t>
        </is>
      </c>
      <c r="AO310" s="18" t="inlineStr">
        <is>
          <t>pokemon</t>
        </is>
      </c>
      <c r="AP310" s="18" t="inlineStr">
        <is>
          <t>water</t>
        </is>
      </c>
      <c r="AQ310" s="18" t="inlineStr">
        <is>
          <t>{"biomes":["#cobblemon:is_frozen_ocean"],"canSeeSky":false,"maxSkyLight":15,"minSkyLight":8}</t>
        </is>
      </c>
      <c r="AR310" s="18" t="inlineStr"/>
      <c r="AS310" s="18" t="inlineStr">
        <is>
          <t>{"weightMultiplier":{"condition":{"timeRange":"day"},"multiplier":0.25}}</t>
        </is>
      </c>
      <c r="AT310" s="19" t="inlineStr"/>
    </row>
    <row r="311" ht="32" customHeight="1">
      <c r="A311" s="18" t="inlineStr">
        <is>
          <t>0087_dewgong.json::dewgong-5::005</t>
        </is>
      </c>
      <c r="B311" s="19" t="inlineStr">
        <is>
          <t>사용</t>
        </is>
      </c>
      <c r="C311" s="18">
        <f>IF(OR(B311&lt;&gt;AK311,M311&lt;&gt;L311,O311&lt;&gt;"",Q311&lt;&gt;"",V311&lt;&gt;1,Y311&lt;&gt;"",AT311&lt;&gt;""),"수정","원본")</f>
        <v/>
      </c>
      <c r="D311" s="18" t="n">
        <v>87</v>
      </c>
      <c r="E311" s="18" t="inlineStr">
        <is>
          <t>쥬레곤</t>
        </is>
      </c>
      <c r="F311" s="18" t="inlineStr">
        <is>
          <t>dewgong</t>
        </is>
      </c>
      <c r="G311" s="18" t="inlineStr">
        <is>
          <t>dewgong</t>
        </is>
      </c>
      <c r="H311" s="18" t="inlineStr"/>
      <c r="I311" s="18" t="n">
        <v>1</v>
      </c>
      <c r="J311" s="18" t="n"/>
      <c r="K311" s="18" t="n">
        <v>1</v>
      </c>
      <c r="L311" s="18" t="inlineStr">
        <is>
          <t>cobbleventure:generation_1</t>
        </is>
      </c>
      <c r="M311" s="19" t="inlineStr">
        <is>
          <t>cobbleventure:generation_1</t>
        </is>
      </c>
      <c r="N311" s="18" t="inlineStr"/>
      <c r="O311" s="19" t="inlineStr"/>
      <c r="P311" s="18" t="inlineStr">
        <is>
          <t>#cobblemon:is_cold_ocean; #cobblemon:is_frozen_ocean</t>
        </is>
      </c>
      <c r="Q311" s="19" t="inlineStr"/>
      <c r="R311" s="18">
        <f>IF(Q311="",P311,Q311)</f>
        <v/>
      </c>
      <c r="S311" s="18" t="inlineStr"/>
      <c r="T311" s="18" t="inlineStr">
        <is>
          <t>common</t>
        </is>
      </c>
      <c r="U311" s="20" t="n">
        <v>1</v>
      </c>
      <c r="V311" s="21" t="n">
        <v>1</v>
      </c>
      <c r="W311" s="20">
        <f>IF(OR(U311="",V311=""),U311,U311*V311)</f>
        <v/>
      </c>
      <c r="X311" s="18" t="inlineStr">
        <is>
          <t>34-48</t>
        </is>
      </c>
      <c r="Y311" s="19" t="inlineStr"/>
      <c r="Z311" s="18">
        <f>IF(Y311="",X311,Y311)</f>
        <v/>
      </c>
      <c r="AA311" s="18" t="inlineStr">
        <is>
          <t>fishing</t>
        </is>
      </c>
      <c r="AB311" s="18" t="inlineStr"/>
      <c r="AC311" s="18" t="inlineStr"/>
      <c r="AD311" s="18" t="inlineStr"/>
      <c r="AE311" s="18" t="inlineStr">
        <is>
          <t>sky 8-15</t>
        </is>
      </c>
      <c r="AF311" s="18" t="inlineStr">
        <is>
          <t>False</t>
        </is>
      </c>
      <c r="AG311" s="18" t="inlineStr"/>
      <c r="AH311" s="18" t="inlineStr"/>
      <c r="AI311" s="18" t="inlineStr"/>
      <c r="AJ311" s="18" t="inlineStr">
        <is>
          <t>Cobblemon 동일</t>
        </is>
      </c>
      <c r="AK311" s="18" t="inlineStr">
        <is>
          <t>사용</t>
        </is>
      </c>
      <c r="AL311" s="18" t="inlineStr">
        <is>
          <t>COBBLEVERSE 1.7.42 / DP v31</t>
        </is>
      </c>
      <c r="AM311" s="18" t="inlineStr">
        <is>
          <t>data/cobblemon/spawn_pool_world/0087_dewgong.json</t>
        </is>
      </c>
      <c r="AN311" s="18" t="inlineStr">
        <is>
          <t>dewgong-5</t>
        </is>
      </c>
      <c r="AO311" s="18" t="inlineStr">
        <is>
          <t>pokemon</t>
        </is>
      </c>
      <c r="AP311" s="18" t="inlineStr"/>
      <c r="AQ311" s="18" t="inlineStr">
        <is>
          <t>{"biomes":["#cobblemon:is_cold_ocean","#cobblemon:is_frozen_ocean"],"canSeeSky":false,"maxSkyLight":15,"minSkyLight":8}</t>
        </is>
      </c>
      <c r="AR311" s="18" t="inlineStr"/>
      <c r="AS311" s="18" t="inlineStr">
        <is>
          <t>{"weightMultipliers":[{"condition":{"timeRange":"day"},"multiplier":0.25},{"condition":{"maxLureLevel":1,"minLureLevel":0},"multiplier":0.6}]}</t>
        </is>
      </c>
      <c r="AT311" s="19" t="inlineStr"/>
    </row>
    <row r="312" ht="32" customHeight="1">
      <c r="A312" s="18" t="inlineStr">
        <is>
          <t>0088_grimer.json::grimer-1::001</t>
        </is>
      </c>
      <c r="B312" s="19" t="inlineStr">
        <is>
          <t>사용</t>
        </is>
      </c>
      <c r="C312" s="18">
        <f>IF(OR(B312&lt;&gt;AK312,M312&lt;&gt;L312,O312&lt;&gt;"",Q312&lt;&gt;"",V312&lt;&gt;1,Y312&lt;&gt;"",AT312&lt;&gt;""),"수정","원본")</f>
        <v/>
      </c>
      <c r="D312" s="18" t="n">
        <v>88</v>
      </c>
      <c r="E312" s="18" t="inlineStr">
        <is>
          <t>질퍽이</t>
        </is>
      </c>
      <c r="F312" s="18" t="inlineStr">
        <is>
          <t>grimer</t>
        </is>
      </c>
      <c r="G312" s="18" t="inlineStr">
        <is>
          <t>grimer</t>
        </is>
      </c>
      <c r="H312" s="18" t="inlineStr"/>
      <c r="I312" s="18" t="n">
        <v>1</v>
      </c>
      <c r="J312" s="18" t="n"/>
      <c r="K312" s="18" t="n">
        <v>1</v>
      </c>
      <c r="L312" s="18" t="inlineStr">
        <is>
          <t>cobbleventure:generation_1</t>
        </is>
      </c>
      <c r="M312" s="19" t="inlineStr">
        <is>
          <t>cobbleventure:generation_1</t>
        </is>
      </c>
      <c r="N312" s="18" t="inlineStr">
        <is>
          <t>region_02</t>
        </is>
      </c>
      <c r="O312" s="19" t="inlineStr"/>
      <c r="P312" s="18" t="inlineStr">
        <is>
          <t>#cobblemon:is_swamp</t>
        </is>
      </c>
      <c r="Q312" s="19" t="inlineStr"/>
      <c r="R312" s="18">
        <f>IF(Q312="",P312,Q312)</f>
        <v/>
      </c>
      <c r="S312" s="18" t="inlineStr"/>
      <c r="T312" s="18" t="inlineStr">
        <is>
          <t>uncommon</t>
        </is>
      </c>
      <c r="U312" s="20" t="n">
        <v>1.68</v>
      </c>
      <c r="V312" s="21" t="n">
        <v>1</v>
      </c>
      <c r="W312" s="20">
        <f>IF(OR(U312="",V312=""),U312,U312*V312)</f>
        <v/>
      </c>
      <c r="X312" s="18" t="inlineStr">
        <is>
          <t>8-33</t>
        </is>
      </c>
      <c r="Y312" s="19" t="inlineStr"/>
      <c r="Z312" s="18">
        <f>IF(Y312="",X312,Y312)</f>
        <v/>
      </c>
      <c r="AA312" s="18" t="inlineStr">
        <is>
          <t>surface</t>
        </is>
      </c>
      <c r="AB312" s="18" t="inlineStr"/>
      <c r="AC312" s="18" t="inlineStr"/>
      <c r="AD312" s="18" t="inlineStr"/>
      <c r="AE312" s="18" t="inlineStr">
        <is>
          <t>sky 8-15</t>
        </is>
      </c>
      <c r="AF312" s="18" t="inlineStr"/>
      <c r="AG312" s="18" t="inlineStr"/>
      <c r="AH312" s="18" t="inlineStr"/>
      <c r="AI312" s="18" t="inlineStr"/>
      <c r="AJ312" s="18" t="inlineStr">
        <is>
          <t>COBBLEVERSE 수정</t>
        </is>
      </c>
      <c r="AK312" s="18" t="inlineStr">
        <is>
          <t>사용</t>
        </is>
      </c>
      <c r="AL312" s="18" t="inlineStr">
        <is>
          <t>COBBLEVERSE 1.7.42 / DP v31</t>
        </is>
      </c>
      <c r="AM312" s="18" t="inlineStr">
        <is>
          <t>data/cobblemon/spawn_pool_world/0088_grimer.json</t>
        </is>
      </c>
      <c r="AN312" s="18" t="inlineStr">
        <is>
          <t>grimer-1</t>
        </is>
      </c>
      <c r="AO312" s="18" t="inlineStr">
        <is>
          <t>pokemon</t>
        </is>
      </c>
      <c r="AP312" s="18" t="inlineStr">
        <is>
          <t>water</t>
        </is>
      </c>
      <c r="AQ312" s="18" t="inlineStr">
        <is>
          <t>{"biomes":["#cobblemon:is_swamp"],"maxSkyLight":15,"minSkyLight":8}</t>
        </is>
      </c>
      <c r="AR312" s="18" t="inlineStr"/>
      <c r="AS312" s="18" t="inlineStr">
        <is>
          <t>{"weightMultiplier":{"condition":{"timeRange":"night"},"multiplier":1.5}}</t>
        </is>
      </c>
      <c r="AT312" s="19" t="inlineStr"/>
    </row>
    <row r="313" ht="32" customHeight="1">
      <c r="A313" s="18" t="inlineStr">
        <is>
          <t>0088_grimer.json::grimer-2::002</t>
        </is>
      </c>
      <c r="B313" s="19" t="inlineStr">
        <is>
          <t>사용</t>
        </is>
      </c>
      <c r="C313" s="18">
        <f>IF(OR(B313&lt;&gt;AK313,M313&lt;&gt;L313,O313&lt;&gt;"",Q313&lt;&gt;"",V313&lt;&gt;1,Y313&lt;&gt;"",AT313&lt;&gt;""),"수정","원본")</f>
        <v/>
      </c>
      <c r="D313" s="18" t="n">
        <v>88</v>
      </c>
      <c r="E313" s="18" t="inlineStr">
        <is>
          <t>질퍽이</t>
        </is>
      </c>
      <c r="F313" s="18" t="inlineStr">
        <is>
          <t>grimer</t>
        </is>
      </c>
      <c r="G313" s="18" t="inlineStr">
        <is>
          <t>grimer</t>
        </is>
      </c>
      <c r="H313" s="18" t="inlineStr"/>
      <c r="I313" s="18" t="n">
        <v>1</v>
      </c>
      <c r="J313" s="18" t="n"/>
      <c r="K313" s="18" t="n">
        <v>1</v>
      </c>
      <c r="L313" s="18" t="inlineStr">
        <is>
          <t>cobbleventure:generation_1</t>
        </is>
      </c>
      <c r="M313" s="19" t="inlineStr">
        <is>
          <t>cobbleventure:generation_1</t>
        </is>
      </c>
      <c r="N313" s="18" t="inlineStr">
        <is>
          <t>region_01</t>
        </is>
      </c>
      <c r="O313" s="19" t="inlineStr"/>
      <c r="P313" s="18" t="inlineStr">
        <is>
          <t>#cobblemon:is_overworld</t>
        </is>
      </c>
      <c r="Q313" s="19" t="inlineStr"/>
      <c r="R313" s="18">
        <f>IF(Q313="",P313,Q313)</f>
        <v/>
      </c>
      <c r="S313" s="18" t="inlineStr">
        <is>
          <t>#cobblemon:is_swamp</t>
        </is>
      </c>
      <c r="T313" s="18" t="inlineStr">
        <is>
          <t>uncommon</t>
        </is>
      </c>
      <c r="U313" s="20" t="n">
        <v>1.68</v>
      </c>
      <c r="V313" s="21" t="n">
        <v>1</v>
      </c>
      <c r="W313" s="20">
        <f>IF(OR(U313="",V313=""),U313,U313*V313)</f>
        <v/>
      </c>
      <c r="X313" s="18" t="inlineStr">
        <is>
          <t>8-33</t>
        </is>
      </c>
      <c r="Y313" s="19" t="inlineStr"/>
      <c r="Z313" s="18">
        <f>IF(Y313="",X313,Y313)</f>
        <v/>
      </c>
      <c r="AA313" s="18" t="inlineStr">
        <is>
          <t>surface</t>
        </is>
      </c>
      <c r="AB313" s="18" t="inlineStr"/>
      <c r="AC313" s="18" t="inlineStr"/>
      <c r="AD313" s="18" t="inlineStr"/>
      <c r="AE313" s="18" t="inlineStr">
        <is>
          <t>sky 8-15</t>
        </is>
      </c>
      <c r="AF313" s="18" t="inlineStr"/>
      <c r="AG313" s="18" t="inlineStr"/>
      <c r="AH313" s="18" t="inlineStr"/>
      <c r="AI313" s="18" t="inlineStr"/>
      <c r="AJ313" s="18" t="inlineStr">
        <is>
          <t>COBBLEVERSE 수정</t>
        </is>
      </c>
      <c r="AK313" s="18" t="inlineStr">
        <is>
          <t>사용</t>
        </is>
      </c>
      <c r="AL313" s="18" t="inlineStr">
        <is>
          <t>COBBLEVERSE 1.7.42 / DP v31</t>
        </is>
      </c>
      <c r="AM313" s="18" t="inlineStr">
        <is>
          <t>data/cobblemon/spawn_pool_world/0088_grimer.json</t>
        </is>
      </c>
      <c r="AN313" s="18" t="inlineStr">
        <is>
          <t>grimer-2</t>
        </is>
      </c>
      <c r="AO313" s="18" t="inlineStr">
        <is>
          <t>pokemon</t>
        </is>
      </c>
      <c r="AP313" s="18" t="inlineStr">
        <is>
          <t>water; urban</t>
        </is>
      </c>
      <c r="AQ313" s="18" t="inlineStr">
        <is>
          <t>{"biomes":["#cobblemon:is_overworld"],"maxSkyLight":15,"minSkyLight":8}</t>
        </is>
      </c>
      <c r="AR313" s="18" t="inlineStr">
        <is>
          <t>{"biomes":["#cobblemon:is_swamp"]}</t>
        </is>
      </c>
      <c r="AS313" s="18" t="inlineStr">
        <is>
          <t>{"weightMultiplier":{"condition":{"timeRange":"night"},"multiplier":1.5}}</t>
        </is>
      </c>
      <c r="AT313" s="19" t="inlineStr"/>
    </row>
    <row r="314" ht="32" customHeight="1">
      <c r="A314" s="18" t="inlineStr">
        <is>
          <t>0088_grimer.json::grimer-3::003</t>
        </is>
      </c>
      <c r="B314" s="19" t="inlineStr">
        <is>
          <t>사용</t>
        </is>
      </c>
      <c r="C314" s="18">
        <f>IF(OR(B314&lt;&gt;AK314,M314&lt;&gt;L314,O314&lt;&gt;"",Q314&lt;&gt;"",V314&lt;&gt;1,Y314&lt;&gt;"",AT314&lt;&gt;""),"수정","원본")</f>
        <v/>
      </c>
      <c r="D314" s="18" t="n">
        <v>88</v>
      </c>
      <c r="E314" s="18" t="inlineStr">
        <is>
          <t>질퍽이</t>
        </is>
      </c>
      <c r="F314" s="18" t="inlineStr">
        <is>
          <t>grimer</t>
        </is>
      </c>
      <c r="G314" s="18" t="inlineStr">
        <is>
          <t>grimer</t>
        </is>
      </c>
      <c r="H314" s="18" t="inlineStr"/>
      <c r="I314" s="18" t="n">
        <v>1</v>
      </c>
      <c r="J314" s="18" t="n"/>
      <c r="K314" s="18" t="n">
        <v>1</v>
      </c>
      <c r="L314" s="18" t="inlineStr">
        <is>
          <t>cobbleventure:generation_1</t>
        </is>
      </c>
      <c r="M314" s="19" t="inlineStr">
        <is>
          <t>cobbleventure:generation_1</t>
        </is>
      </c>
      <c r="N314" s="18" t="inlineStr">
        <is>
          <t>region_01</t>
        </is>
      </c>
      <c r="O314" s="19" t="inlineStr"/>
      <c r="P314" s="18" t="inlineStr">
        <is>
          <t>#cobblemon:is_overworld</t>
        </is>
      </c>
      <c r="Q314" s="19" t="inlineStr"/>
      <c r="R314" s="18">
        <f>IF(Q314="",P314,Q314)</f>
        <v/>
      </c>
      <c r="S314" s="18" t="inlineStr">
        <is>
          <t>#cobblemon:is_swamp</t>
        </is>
      </c>
      <c r="T314" s="18" t="inlineStr">
        <is>
          <t>uncommon</t>
        </is>
      </c>
      <c r="U314" s="20" t="n">
        <v>1.68</v>
      </c>
      <c r="V314" s="21" t="n">
        <v>1</v>
      </c>
      <c r="W314" s="20">
        <f>IF(OR(U314="",V314=""),U314,U314*V314)</f>
        <v/>
      </c>
      <c r="X314" s="18" t="inlineStr">
        <is>
          <t>8-33</t>
        </is>
      </c>
      <c r="Y314" s="19" t="inlineStr"/>
      <c r="Z314" s="18">
        <f>IF(Y314="",X314,Y314)</f>
        <v/>
      </c>
      <c r="AA314" s="18" t="inlineStr">
        <is>
          <t>surface</t>
        </is>
      </c>
      <c r="AB314" s="18" t="inlineStr"/>
      <c r="AC314" s="18" t="inlineStr"/>
      <c r="AD314" s="18" t="inlineStr"/>
      <c r="AE314" s="18" t="inlineStr">
        <is>
          <t>sky 8-15</t>
        </is>
      </c>
      <c r="AF314" s="18" t="inlineStr"/>
      <c r="AG314" s="18" t="inlineStr">
        <is>
          <t>#minecraft:village</t>
        </is>
      </c>
      <c r="AH314" s="18" t="inlineStr"/>
      <c r="AI314" s="18" t="inlineStr"/>
      <c r="AJ314" s="18" t="inlineStr">
        <is>
          <t>COBBLEVERSE 수정</t>
        </is>
      </c>
      <c r="AK314" s="18" t="inlineStr">
        <is>
          <t>사용</t>
        </is>
      </c>
      <c r="AL314" s="18" t="inlineStr">
        <is>
          <t>COBBLEVERSE 1.7.42 / DP v31</t>
        </is>
      </c>
      <c r="AM314" s="18" t="inlineStr">
        <is>
          <t>data/cobblemon/spawn_pool_world/0088_grimer.json</t>
        </is>
      </c>
      <c r="AN314" s="18" t="inlineStr">
        <is>
          <t>grimer-3</t>
        </is>
      </c>
      <c r="AO314" s="18" t="inlineStr">
        <is>
          <t>pokemon</t>
        </is>
      </c>
      <c r="AP314" s="18" t="inlineStr">
        <is>
          <t>water</t>
        </is>
      </c>
      <c r="AQ314" s="18" t="inlineStr">
        <is>
          <t>{"biomes":["#cobblemon:is_overworld"],"maxSkyLight":15,"minSkyLight":8,"structures":["#minecraft:village"]}</t>
        </is>
      </c>
      <c r="AR314" s="18" t="inlineStr">
        <is>
          <t>{"biomes":["#cobblemon:is_swamp"]}</t>
        </is>
      </c>
      <c r="AS314" s="18" t="inlineStr">
        <is>
          <t>{"weightMultiplier":{"condition":{"timeRange":"night"},"multiplier":1.5}}</t>
        </is>
      </c>
      <c r="AT314" s="19" t="inlineStr"/>
    </row>
    <row r="315" ht="32" customHeight="1">
      <c r="A315" s="18" t="inlineStr">
        <is>
          <t>0088_grimer.json::grimer-4::004</t>
        </is>
      </c>
      <c r="B315" s="19" t="inlineStr">
        <is>
          <t>사용</t>
        </is>
      </c>
      <c r="C315" s="18">
        <f>IF(OR(B315&lt;&gt;AK315,M315&lt;&gt;L315,O315&lt;&gt;"",Q315&lt;&gt;"",V315&lt;&gt;1,Y315&lt;&gt;"",AT315&lt;&gt;""),"수정","원본")</f>
        <v/>
      </c>
      <c r="D315" s="18" t="n">
        <v>88</v>
      </c>
      <c r="E315" s="18" t="inlineStr">
        <is>
          <t>질퍽이</t>
        </is>
      </c>
      <c r="F315" s="18" t="inlineStr">
        <is>
          <t>grimer</t>
        </is>
      </c>
      <c r="G315" s="18" t="inlineStr">
        <is>
          <t>grimer</t>
        </is>
      </c>
      <c r="H315" s="18" t="inlineStr"/>
      <c r="I315" s="18" t="n">
        <v>1</v>
      </c>
      <c r="J315" s="18" t="n"/>
      <c r="K315" s="18" t="n">
        <v>1</v>
      </c>
      <c r="L315" s="18" t="inlineStr">
        <is>
          <t>cobbleventure:generation_1</t>
        </is>
      </c>
      <c r="M315" s="19" t="inlineStr">
        <is>
          <t>cobbleventure:generation_1</t>
        </is>
      </c>
      <c r="N315" s="18" t="inlineStr">
        <is>
          <t>region_02</t>
        </is>
      </c>
      <c r="O315" s="19" t="inlineStr"/>
      <c r="P315" s="18" t="inlineStr">
        <is>
          <t>#cobblemon:is_swamp</t>
        </is>
      </c>
      <c r="Q315" s="19" t="inlineStr"/>
      <c r="R315" s="18">
        <f>IF(Q315="",P315,Q315)</f>
        <v/>
      </c>
      <c r="S315" s="18" t="inlineStr"/>
      <c r="T315" s="18" t="inlineStr">
        <is>
          <t>common</t>
        </is>
      </c>
      <c r="U315" s="20" t="n">
        <v>1.8</v>
      </c>
      <c r="V315" s="21" t="n">
        <v>1</v>
      </c>
      <c r="W315" s="20">
        <f>IF(OR(U315="",V315=""),U315,U315*V315)</f>
        <v/>
      </c>
      <c r="X315" s="18" t="inlineStr">
        <is>
          <t>8-33</t>
        </is>
      </c>
      <c r="Y315" s="19" t="inlineStr"/>
      <c r="Z315" s="18">
        <f>IF(Y315="",X315,Y315)</f>
        <v/>
      </c>
      <c r="AA315" s="18" t="inlineStr">
        <is>
          <t>fishing</t>
        </is>
      </c>
      <c r="AB315" s="18" t="inlineStr"/>
      <c r="AC315" s="18" t="inlineStr"/>
      <c r="AD315" s="18" t="inlineStr"/>
      <c r="AE315" s="18" t="inlineStr"/>
      <c r="AF315" s="18" t="inlineStr">
        <is>
          <t>True</t>
        </is>
      </c>
      <c r="AG315" s="18" t="inlineStr"/>
      <c r="AH315" s="18" t="inlineStr"/>
      <c r="AI315" s="18" t="inlineStr"/>
      <c r="AJ315" s="18" t="inlineStr">
        <is>
          <t>COBBLEVERSE 수정</t>
        </is>
      </c>
      <c r="AK315" s="18" t="inlineStr">
        <is>
          <t>사용</t>
        </is>
      </c>
      <c r="AL315" s="18" t="inlineStr">
        <is>
          <t>COBBLEVERSE 1.7.42 / DP v31</t>
        </is>
      </c>
      <c r="AM315" s="18" t="inlineStr">
        <is>
          <t>data/cobblemon/spawn_pool_world/0088_grimer.json</t>
        </is>
      </c>
      <c r="AN315" s="18" t="inlineStr">
        <is>
          <t>grimer-4</t>
        </is>
      </c>
      <c r="AO315" s="18" t="inlineStr">
        <is>
          <t>pokemon</t>
        </is>
      </c>
      <c r="AP315" s="18" t="inlineStr">
        <is>
          <t>water</t>
        </is>
      </c>
      <c r="AQ315" s="18" t="inlineStr">
        <is>
          <t>{"biomes":["#cobblemon:is_swamp"],"canSeeSky":true}</t>
        </is>
      </c>
      <c r="AR315" s="18" t="inlineStr"/>
      <c r="AS315" s="18" t="inlineStr">
        <is>
          <t>{"weightMultipliers":[{"condition":{"maxLureLevel":2,"minLureLevel":2},"multiplier":3.0},{"condition":{"minLureLevel":3},"multiplier":5.0}]}</t>
        </is>
      </c>
      <c r="AT315" s="19" t="inlineStr"/>
    </row>
    <row r="316" ht="32" customHeight="1">
      <c r="A316" s="18" t="inlineStr">
        <is>
          <t>0088_grimer.json::grimer-5::005</t>
        </is>
      </c>
      <c r="B316" s="19" t="inlineStr">
        <is>
          <t>사용</t>
        </is>
      </c>
      <c r="C316" s="18">
        <f>IF(OR(B316&lt;&gt;AK316,M316&lt;&gt;L316,O316&lt;&gt;"",Q316&lt;&gt;"",V316&lt;&gt;1,Y316&lt;&gt;"",AT316&lt;&gt;""),"수정","원본")</f>
        <v/>
      </c>
      <c r="D316" s="18" t="n">
        <v>88</v>
      </c>
      <c r="E316" s="18" t="inlineStr">
        <is>
          <t>질퍽이</t>
        </is>
      </c>
      <c r="F316" s="18" t="inlineStr">
        <is>
          <t>grimer</t>
        </is>
      </c>
      <c r="G316" s="18" t="inlineStr">
        <is>
          <t>grimer</t>
        </is>
      </c>
      <c r="H316" s="18" t="inlineStr"/>
      <c r="I316" s="18" t="n">
        <v>1</v>
      </c>
      <c r="J316" s="18" t="n"/>
      <c r="K316" s="18" t="n">
        <v>1</v>
      </c>
      <c r="L316" s="18" t="inlineStr">
        <is>
          <t>cobbleventure:generation_1</t>
        </is>
      </c>
      <c r="M316" s="19" t="inlineStr">
        <is>
          <t>cobbleventure:generation_1</t>
        </is>
      </c>
      <c r="N316" s="18" t="inlineStr">
        <is>
          <t>region_01</t>
        </is>
      </c>
      <c r="O316" s="19" t="inlineStr"/>
      <c r="P316" s="18" t="inlineStr">
        <is>
          <t>#cobblemon:is_overworld</t>
        </is>
      </c>
      <c r="Q316" s="19" t="inlineStr"/>
      <c r="R316" s="18">
        <f>IF(Q316="",P316,Q316)</f>
        <v/>
      </c>
      <c r="S316" s="18" t="inlineStr">
        <is>
          <t>#cobblemon:is_swamp</t>
        </is>
      </c>
      <c r="T316" s="18" t="inlineStr">
        <is>
          <t>common</t>
        </is>
      </c>
      <c r="U316" s="20" t="n">
        <v>1.8</v>
      </c>
      <c r="V316" s="21" t="n">
        <v>1</v>
      </c>
      <c r="W316" s="20">
        <f>IF(OR(U316="",V316=""),U316,U316*V316)</f>
        <v/>
      </c>
      <c r="X316" s="18" t="inlineStr">
        <is>
          <t>8-33</t>
        </is>
      </c>
      <c r="Y316" s="19" t="inlineStr"/>
      <c r="Z316" s="18">
        <f>IF(Y316="",X316,Y316)</f>
        <v/>
      </c>
      <c r="AA316" s="18" t="inlineStr">
        <is>
          <t>fishing</t>
        </is>
      </c>
      <c r="AB316" s="18" t="inlineStr"/>
      <c r="AC316" s="18" t="inlineStr"/>
      <c r="AD316" s="18" t="inlineStr"/>
      <c r="AE316" s="18" t="inlineStr"/>
      <c r="AF316" s="18" t="inlineStr">
        <is>
          <t>True</t>
        </is>
      </c>
      <c r="AG316" s="18" t="inlineStr"/>
      <c r="AH316" s="18" t="inlineStr"/>
      <c r="AI316" s="18" t="inlineStr"/>
      <c r="AJ316" s="18" t="inlineStr">
        <is>
          <t>COBBLEVERSE 수정</t>
        </is>
      </c>
      <c r="AK316" s="18" t="inlineStr">
        <is>
          <t>사용</t>
        </is>
      </c>
      <c r="AL316" s="18" t="inlineStr">
        <is>
          <t>COBBLEVERSE 1.7.42 / DP v31</t>
        </is>
      </c>
      <c r="AM316" s="18" t="inlineStr">
        <is>
          <t>data/cobblemon/spawn_pool_world/0088_grimer.json</t>
        </is>
      </c>
      <c r="AN316" s="18" t="inlineStr">
        <is>
          <t>grimer-5</t>
        </is>
      </c>
      <c r="AO316" s="18" t="inlineStr">
        <is>
          <t>pokemon</t>
        </is>
      </c>
      <c r="AP316" s="18" t="inlineStr">
        <is>
          <t>water; urban</t>
        </is>
      </c>
      <c r="AQ316" s="18" t="inlineStr">
        <is>
          <t>{"biomes":["#cobblemon:is_overworld"],"canSeeSky":true}</t>
        </is>
      </c>
      <c r="AR316" s="18" t="inlineStr">
        <is>
          <t>{"biomes":["#cobblemon:is_swamp"]}</t>
        </is>
      </c>
      <c r="AS316" s="18" t="inlineStr">
        <is>
          <t>{"weightMultipliers":[{"condition":{"maxLureLevel":2,"minLureLevel":2},"multiplier":3.0},{"condition":{"minLureLevel":3},"multiplier":5.0}]}</t>
        </is>
      </c>
      <c r="AT316" s="19" t="inlineStr"/>
    </row>
    <row r="317" ht="32" customHeight="1">
      <c r="A317" s="18" t="inlineStr">
        <is>
          <t>0088_grimer.json::grimer-6::006</t>
        </is>
      </c>
      <c r="B317" s="19" t="inlineStr">
        <is>
          <t>사용</t>
        </is>
      </c>
      <c r="C317" s="18">
        <f>IF(OR(B317&lt;&gt;AK317,M317&lt;&gt;L317,O317&lt;&gt;"",Q317&lt;&gt;"",V317&lt;&gt;1,Y317&lt;&gt;"",AT317&lt;&gt;""),"수정","원본")</f>
        <v/>
      </c>
      <c r="D317" s="18" t="n">
        <v>88</v>
      </c>
      <c r="E317" s="18" t="inlineStr">
        <is>
          <t>질퍽이</t>
        </is>
      </c>
      <c r="F317" s="18" t="inlineStr">
        <is>
          <t>grimer</t>
        </is>
      </c>
      <c r="G317" s="18" t="inlineStr">
        <is>
          <t>grimer</t>
        </is>
      </c>
      <c r="H317" s="18" t="inlineStr"/>
      <c r="I317" s="18" t="n">
        <v>1</v>
      </c>
      <c r="J317" s="18" t="n"/>
      <c r="K317" s="18" t="n">
        <v>1</v>
      </c>
      <c r="L317" s="18" t="inlineStr">
        <is>
          <t>cobbleventure:generation_1</t>
        </is>
      </c>
      <c r="M317" s="19" t="inlineStr">
        <is>
          <t>cobbleventure:generation_1</t>
        </is>
      </c>
      <c r="N317" s="18" t="inlineStr">
        <is>
          <t>region_01</t>
        </is>
      </c>
      <c r="O317" s="19" t="inlineStr"/>
      <c r="P317" s="18" t="inlineStr">
        <is>
          <t>#cobblemon:is_overworld</t>
        </is>
      </c>
      <c r="Q317" s="19" t="inlineStr"/>
      <c r="R317" s="18">
        <f>IF(Q317="",P317,Q317)</f>
        <v/>
      </c>
      <c r="S317" s="18" t="inlineStr">
        <is>
          <t>#cobblemon:is_swamp</t>
        </is>
      </c>
      <c r="T317" s="18" t="inlineStr">
        <is>
          <t>common</t>
        </is>
      </c>
      <c r="U317" s="20" t="n">
        <v>1.8</v>
      </c>
      <c r="V317" s="21" t="n">
        <v>1</v>
      </c>
      <c r="W317" s="20">
        <f>IF(OR(U317="",V317=""),U317,U317*V317)</f>
        <v/>
      </c>
      <c r="X317" s="18" t="inlineStr">
        <is>
          <t>8-33</t>
        </is>
      </c>
      <c r="Y317" s="19" t="inlineStr"/>
      <c r="Z317" s="18">
        <f>IF(Y317="",X317,Y317)</f>
        <v/>
      </c>
      <c r="AA317" s="18" t="inlineStr">
        <is>
          <t>fishing</t>
        </is>
      </c>
      <c r="AB317" s="18" t="inlineStr"/>
      <c r="AC317" s="18" t="inlineStr"/>
      <c r="AD317" s="18" t="inlineStr"/>
      <c r="AE317" s="18" t="inlineStr"/>
      <c r="AF317" s="18" t="inlineStr">
        <is>
          <t>True</t>
        </is>
      </c>
      <c r="AG317" s="18" t="inlineStr">
        <is>
          <t>#minecraft:village</t>
        </is>
      </c>
      <c r="AH317" s="18" t="inlineStr"/>
      <c r="AI317" s="18" t="inlineStr"/>
      <c r="AJ317" s="18" t="inlineStr">
        <is>
          <t>COBBLEVERSE 수정</t>
        </is>
      </c>
      <c r="AK317" s="18" t="inlineStr">
        <is>
          <t>사용</t>
        </is>
      </c>
      <c r="AL317" s="18" t="inlineStr">
        <is>
          <t>COBBLEVERSE 1.7.42 / DP v31</t>
        </is>
      </c>
      <c r="AM317" s="18" t="inlineStr">
        <is>
          <t>data/cobblemon/spawn_pool_world/0088_grimer.json</t>
        </is>
      </c>
      <c r="AN317" s="18" t="inlineStr">
        <is>
          <t>grimer-6</t>
        </is>
      </c>
      <c r="AO317" s="18" t="inlineStr">
        <is>
          <t>pokemon</t>
        </is>
      </c>
      <c r="AP317" s="18" t="inlineStr">
        <is>
          <t>water</t>
        </is>
      </c>
      <c r="AQ317" s="18" t="inlineStr">
        <is>
          <t>{"biomes":["#cobblemon:is_overworld"],"canSeeSky":true,"structures":["#minecraft:village"]}</t>
        </is>
      </c>
      <c r="AR317" s="18" t="inlineStr">
        <is>
          <t>{"biomes":["#cobblemon:is_swamp"]}</t>
        </is>
      </c>
      <c r="AS317" s="18" t="inlineStr">
        <is>
          <t>{"weightMultipliers":[{"condition":{"maxLureLevel":2,"minLureLevel":2},"multiplier":3.0},{"condition":{"minLureLevel":3},"multiplier":5.0}]}</t>
        </is>
      </c>
      <c r="AT317" s="19" t="inlineStr"/>
    </row>
    <row r="318" ht="32" customHeight="1">
      <c r="A318" s="18" t="inlineStr">
        <is>
          <t>0088_grimer.json::grimer-7::007</t>
        </is>
      </c>
      <c r="B318" s="19" t="inlineStr">
        <is>
          <t>사용</t>
        </is>
      </c>
      <c r="C318" s="18">
        <f>IF(OR(B318&lt;&gt;AK318,M318&lt;&gt;L318,O318&lt;&gt;"",Q318&lt;&gt;"",V318&lt;&gt;1,Y318&lt;&gt;"",AT318&lt;&gt;""),"수정","원본")</f>
        <v/>
      </c>
      <c r="D318" s="18" t="n">
        <v>88</v>
      </c>
      <c r="E318" s="18" t="inlineStr">
        <is>
          <t>질퍽이</t>
        </is>
      </c>
      <c r="F318" s="18" t="inlineStr">
        <is>
          <t>grimer</t>
        </is>
      </c>
      <c r="G318" s="18" t="inlineStr">
        <is>
          <t>grimer</t>
        </is>
      </c>
      <c r="H318" s="18" t="inlineStr"/>
      <c r="I318" s="18" t="n">
        <v>1</v>
      </c>
      <c r="J318" s="18" t="n"/>
      <c r="K318" s="18" t="n">
        <v>1</v>
      </c>
      <c r="L318" s="18" t="inlineStr">
        <is>
          <t>cobbleventure:generation_1</t>
        </is>
      </c>
      <c r="M318" s="19" t="inlineStr">
        <is>
          <t>cobbleventure:generation_1</t>
        </is>
      </c>
      <c r="N318" s="18" t="inlineStr">
        <is>
          <t>region_02</t>
        </is>
      </c>
      <c r="O318" s="19" t="inlineStr"/>
      <c r="P318" s="18" t="inlineStr">
        <is>
          <t>#cobblemon:is_swamp</t>
        </is>
      </c>
      <c r="Q318" s="19" t="inlineStr"/>
      <c r="R318" s="18">
        <f>IF(Q318="",P318,Q318)</f>
        <v/>
      </c>
      <c r="S318" s="18" t="inlineStr"/>
      <c r="T318" s="18" t="inlineStr">
        <is>
          <t>common</t>
        </is>
      </c>
      <c r="U318" s="20" t="n">
        <v>1.8</v>
      </c>
      <c r="V318" s="21" t="n">
        <v>1</v>
      </c>
      <c r="W318" s="20">
        <f>IF(OR(U318="",V318=""),U318,U318*V318)</f>
        <v/>
      </c>
      <c r="X318" s="18" t="inlineStr">
        <is>
          <t>8-33</t>
        </is>
      </c>
      <c r="Y318" s="19" t="inlineStr"/>
      <c r="Z318" s="18">
        <f>IF(Y318="",X318,Y318)</f>
        <v/>
      </c>
      <c r="AA318" s="18" t="inlineStr">
        <is>
          <t>fishing</t>
        </is>
      </c>
      <c r="AB318" s="18" t="inlineStr"/>
      <c r="AC318" s="18" t="inlineStr"/>
      <c r="AD318" s="18" t="inlineStr"/>
      <c r="AE318" s="18" t="inlineStr">
        <is>
          <t>sky 8-15</t>
        </is>
      </c>
      <c r="AF318" s="18" t="inlineStr">
        <is>
          <t>False</t>
        </is>
      </c>
      <c r="AG318" s="18" t="inlineStr"/>
      <c r="AH318" s="18" t="inlineStr"/>
      <c r="AI318" s="18" t="inlineStr"/>
      <c r="AJ318" s="18" t="inlineStr">
        <is>
          <t>COBBLEVERSE 수정</t>
        </is>
      </c>
      <c r="AK318" s="18" t="inlineStr">
        <is>
          <t>사용</t>
        </is>
      </c>
      <c r="AL318" s="18" t="inlineStr">
        <is>
          <t>COBBLEVERSE 1.7.42 / DP v31</t>
        </is>
      </c>
      <c r="AM318" s="18" t="inlineStr">
        <is>
          <t>data/cobblemon/spawn_pool_world/0088_grimer.json</t>
        </is>
      </c>
      <c r="AN318" s="18" t="inlineStr">
        <is>
          <t>grimer-7</t>
        </is>
      </c>
      <c r="AO318" s="18" t="inlineStr">
        <is>
          <t>pokemon</t>
        </is>
      </c>
      <c r="AP318" s="18" t="inlineStr">
        <is>
          <t>water</t>
        </is>
      </c>
      <c r="AQ318" s="18" t="inlineStr">
        <is>
          <t>{"biomes":["#cobblemon:is_swamp"],"canSeeSky":false,"maxSkyLight":15,"minSkyLight":8}</t>
        </is>
      </c>
      <c r="AR318" s="18" t="inlineStr"/>
      <c r="AS318" s="18" t="inlineStr">
        <is>
          <t>{"weightMultipliers":[{"condition":{"maxLureLevel":2,"minLureLevel":2},"multiplier":3.0},{"condition":{"minLureLevel":3},"multiplier":5.0}]}</t>
        </is>
      </c>
      <c r="AT318" s="19" t="inlineStr"/>
    </row>
    <row r="319" ht="32" customHeight="1">
      <c r="A319" s="18" t="inlineStr">
        <is>
          <t>0088_grimer.json::grimer-8::008</t>
        </is>
      </c>
      <c r="B319" s="19" t="inlineStr">
        <is>
          <t>사용</t>
        </is>
      </c>
      <c r="C319" s="18">
        <f>IF(OR(B319&lt;&gt;AK319,M319&lt;&gt;L319,O319&lt;&gt;"",Q319&lt;&gt;"",V319&lt;&gt;1,Y319&lt;&gt;"",AT319&lt;&gt;""),"수정","원본")</f>
        <v/>
      </c>
      <c r="D319" s="18" t="n">
        <v>88</v>
      </c>
      <c r="E319" s="18" t="inlineStr">
        <is>
          <t>질퍽이</t>
        </is>
      </c>
      <c r="F319" s="18" t="inlineStr">
        <is>
          <t>grimer</t>
        </is>
      </c>
      <c r="G319" s="18" t="inlineStr">
        <is>
          <t>grimer</t>
        </is>
      </c>
      <c r="H319" s="18" t="inlineStr"/>
      <c r="I319" s="18" t="n">
        <v>1</v>
      </c>
      <c r="J319" s="18" t="n"/>
      <c r="K319" s="18" t="n">
        <v>1</v>
      </c>
      <c r="L319" s="18" t="inlineStr">
        <is>
          <t>cobbleventure:generation_1</t>
        </is>
      </c>
      <c r="M319" s="19" t="inlineStr">
        <is>
          <t>cobbleventure:generation_1</t>
        </is>
      </c>
      <c r="N319" s="18" t="inlineStr">
        <is>
          <t>region_01</t>
        </is>
      </c>
      <c r="O319" s="19" t="inlineStr"/>
      <c r="P319" s="18" t="inlineStr">
        <is>
          <t>#cobblemon:is_overworld</t>
        </is>
      </c>
      <c r="Q319" s="19" t="inlineStr"/>
      <c r="R319" s="18">
        <f>IF(Q319="",P319,Q319)</f>
        <v/>
      </c>
      <c r="S319" s="18" t="inlineStr">
        <is>
          <t>#cobblemon:is_swamp</t>
        </is>
      </c>
      <c r="T319" s="18" t="inlineStr">
        <is>
          <t>common</t>
        </is>
      </c>
      <c r="U319" s="20" t="n">
        <v>1.8</v>
      </c>
      <c r="V319" s="21" t="n">
        <v>1</v>
      </c>
      <c r="W319" s="20">
        <f>IF(OR(U319="",V319=""),U319,U319*V319)</f>
        <v/>
      </c>
      <c r="X319" s="18" t="inlineStr">
        <is>
          <t>8-33</t>
        </is>
      </c>
      <c r="Y319" s="19" t="inlineStr"/>
      <c r="Z319" s="18">
        <f>IF(Y319="",X319,Y319)</f>
        <v/>
      </c>
      <c r="AA319" s="18" t="inlineStr">
        <is>
          <t>fishing</t>
        </is>
      </c>
      <c r="AB319" s="18" t="inlineStr"/>
      <c r="AC319" s="18" t="inlineStr"/>
      <c r="AD319" s="18" t="inlineStr"/>
      <c r="AE319" s="18" t="inlineStr">
        <is>
          <t>sky 8-15</t>
        </is>
      </c>
      <c r="AF319" s="18" t="inlineStr">
        <is>
          <t>False</t>
        </is>
      </c>
      <c r="AG319" s="18" t="inlineStr"/>
      <c r="AH319" s="18" t="inlineStr"/>
      <c r="AI319" s="18" t="inlineStr"/>
      <c r="AJ319" s="18" t="inlineStr">
        <is>
          <t>COBBLEVERSE 수정</t>
        </is>
      </c>
      <c r="AK319" s="18" t="inlineStr">
        <is>
          <t>사용</t>
        </is>
      </c>
      <c r="AL319" s="18" t="inlineStr">
        <is>
          <t>COBBLEVERSE 1.7.42 / DP v31</t>
        </is>
      </c>
      <c r="AM319" s="18" t="inlineStr">
        <is>
          <t>data/cobblemon/spawn_pool_world/0088_grimer.json</t>
        </is>
      </c>
      <c r="AN319" s="18" t="inlineStr">
        <is>
          <t>grimer-8</t>
        </is>
      </c>
      <c r="AO319" s="18" t="inlineStr">
        <is>
          <t>pokemon</t>
        </is>
      </c>
      <c r="AP319" s="18" t="inlineStr">
        <is>
          <t>water; urban</t>
        </is>
      </c>
      <c r="AQ319" s="18" t="inlineStr">
        <is>
          <t>{"biomes":["#cobblemon:is_overworld"],"canSeeSky":false,"maxSkyLight":15,"minSkyLight":8}</t>
        </is>
      </c>
      <c r="AR319" s="18" t="inlineStr">
        <is>
          <t>{"biomes":["#cobblemon:is_swamp"]}</t>
        </is>
      </c>
      <c r="AS319" s="18" t="inlineStr">
        <is>
          <t>{"weightMultipliers":[{"condition":{"maxLureLevel":2,"minLureLevel":2},"multiplier":3.0},{"condition":{"minLureLevel":3},"multiplier":5.0}]}</t>
        </is>
      </c>
      <c r="AT319" s="19" t="inlineStr"/>
    </row>
    <row r="320" ht="32" customHeight="1">
      <c r="A320" s="18" t="inlineStr">
        <is>
          <t>0088_grimer.json::grimer-9::009</t>
        </is>
      </c>
      <c r="B320" s="19" t="inlineStr">
        <is>
          <t>사용</t>
        </is>
      </c>
      <c r="C320" s="18">
        <f>IF(OR(B320&lt;&gt;AK320,M320&lt;&gt;L320,O320&lt;&gt;"",Q320&lt;&gt;"",V320&lt;&gt;1,Y320&lt;&gt;"",AT320&lt;&gt;""),"수정","원본")</f>
        <v/>
      </c>
      <c r="D320" s="18" t="n">
        <v>88</v>
      </c>
      <c r="E320" s="18" t="inlineStr">
        <is>
          <t>질퍽이</t>
        </is>
      </c>
      <c r="F320" s="18" t="inlineStr">
        <is>
          <t>grimer</t>
        </is>
      </c>
      <c r="G320" s="18" t="inlineStr">
        <is>
          <t>grimer</t>
        </is>
      </c>
      <c r="H320" s="18" t="inlineStr"/>
      <c r="I320" s="18" t="n">
        <v>1</v>
      </c>
      <c r="J320" s="18" t="n"/>
      <c r="K320" s="18" t="n">
        <v>1</v>
      </c>
      <c r="L320" s="18" t="inlineStr">
        <is>
          <t>cobbleventure:generation_1</t>
        </is>
      </c>
      <c r="M320" s="19" t="inlineStr">
        <is>
          <t>cobbleventure:generation_1</t>
        </is>
      </c>
      <c r="N320" s="18" t="inlineStr">
        <is>
          <t>region_01</t>
        </is>
      </c>
      <c r="O320" s="19" t="inlineStr"/>
      <c r="P320" s="18" t="inlineStr">
        <is>
          <t>#cobblemon:is_overworld</t>
        </is>
      </c>
      <c r="Q320" s="19" t="inlineStr"/>
      <c r="R320" s="18">
        <f>IF(Q320="",P320,Q320)</f>
        <v/>
      </c>
      <c r="S320" s="18" t="inlineStr">
        <is>
          <t>#cobblemon:is_swamp</t>
        </is>
      </c>
      <c r="T320" s="18" t="inlineStr">
        <is>
          <t>common</t>
        </is>
      </c>
      <c r="U320" s="20" t="n">
        <v>1.8</v>
      </c>
      <c r="V320" s="21" t="n">
        <v>1</v>
      </c>
      <c r="W320" s="20">
        <f>IF(OR(U320="",V320=""),U320,U320*V320)</f>
        <v/>
      </c>
      <c r="X320" s="18" t="inlineStr">
        <is>
          <t>8-33</t>
        </is>
      </c>
      <c r="Y320" s="19" t="inlineStr"/>
      <c r="Z320" s="18">
        <f>IF(Y320="",X320,Y320)</f>
        <v/>
      </c>
      <c r="AA320" s="18" t="inlineStr">
        <is>
          <t>fishing</t>
        </is>
      </c>
      <c r="AB320" s="18" t="inlineStr"/>
      <c r="AC320" s="18" t="inlineStr"/>
      <c r="AD320" s="18" t="inlineStr"/>
      <c r="AE320" s="18" t="inlineStr">
        <is>
          <t>sky 8-15</t>
        </is>
      </c>
      <c r="AF320" s="18" t="inlineStr">
        <is>
          <t>False</t>
        </is>
      </c>
      <c r="AG320" s="18" t="inlineStr">
        <is>
          <t>#minecraft:village</t>
        </is>
      </c>
      <c r="AH320" s="18" t="inlineStr"/>
      <c r="AI320" s="18" t="inlineStr"/>
      <c r="AJ320" s="18" t="inlineStr">
        <is>
          <t>COBBLEVERSE 수정</t>
        </is>
      </c>
      <c r="AK320" s="18" t="inlineStr">
        <is>
          <t>사용</t>
        </is>
      </c>
      <c r="AL320" s="18" t="inlineStr">
        <is>
          <t>COBBLEVERSE 1.7.42 / DP v31</t>
        </is>
      </c>
      <c r="AM320" s="18" t="inlineStr">
        <is>
          <t>data/cobblemon/spawn_pool_world/0088_grimer.json</t>
        </is>
      </c>
      <c r="AN320" s="18" t="inlineStr">
        <is>
          <t>grimer-9</t>
        </is>
      </c>
      <c r="AO320" s="18" t="inlineStr">
        <is>
          <t>pokemon</t>
        </is>
      </c>
      <c r="AP320" s="18" t="inlineStr">
        <is>
          <t>water</t>
        </is>
      </c>
      <c r="AQ320" s="18" t="inlineStr">
        <is>
          <t>{"biomes":["#cobblemon:is_overworld"],"canSeeSky":false,"maxSkyLight":15,"minSkyLight":8,"structures":["#minecraft:village"]}</t>
        </is>
      </c>
      <c r="AR320" s="18" t="inlineStr">
        <is>
          <t>{"biomes":["#cobblemon:is_swamp"]}</t>
        </is>
      </c>
      <c r="AS320" s="18" t="inlineStr">
        <is>
          <t>{"weightMultipliers":[{"condition":{"maxLureLevel":2,"minLureLevel":2},"multiplier":3.0},{"condition":{"minLureLevel":3},"multiplier":5.0}]}</t>
        </is>
      </c>
      <c r="AT320" s="19" t="inlineStr"/>
    </row>
    <row r="321" ht="32" customHeight="1">
      <c r="A321" s="18" t="inlineStr">
        <is>
          <t>0088_grimer.json::grimer-alolan-10::010</t>
        </is>
      </c>
      <c r="B321" s="19" t="inlineStr">
        <is>
          <t>사용</t>
        </is>
      </c>
      <c r="C321" s="18">
        <f>IF(OR(B321&lt;&gt;AK321,M321&lt;&gt;L321,O321&lt;&gt;"",Q321&lt;&gt;"",V321&lt;&gt;1,Y321&lt;&gt;"",AT321&lt;&gt;""),"수정","원본")</f>
        <v/>
      </c>
      <c r="D321" s="18" t="n">
        <v>88</v>
      </c>
      <c r="E321" s="18" t="inlineStr">
        <is>
          <t>질퍽이</t>
        </is>
      </c>
      <c r="F321" s="18" t="inlineStr">
        <is>
          <t>grimer</t>
        </is>
      </c>
      <c r="G321" s="18" t="inlineStr">
        <is>
          <t>grimer alolan</t>
        </is>
      </c>
      <c r="H321" s="18" t="inlineStr">
        <is>
          <t>alolan</t>
        </is>
      </c>
      <c r="I321" s="18" t="n">
        <v>1</v>
      </c>
      <c r="J321" s="18" t="n">
        <v>7</v>
      </c>
      <c r="K321" s="18" t="n">
        <v>7</v>
      </c>
      <c r="L321" s="18" t="inlineStr">
        <is>
          <t>cobbleventure:generation_7</t>
        </is>
      </c>
      <c r="M321" s="19" t="inlineStr">
        <is>
          <t>cobbleventure:generation_7</t>
        </is>
      </c>
      <c r="N321" s="18" t="inlineStr"/>
      <c r="O321" s="19" t="inlineStr"/>
      <c r="P321" s="18" t="inlineStr">
        <is>
          <t>#cobblemon:is_beach</t>
        </is>
      </c>
      <c r="Q321" s="19" t="inlineStr"/>
      <c r="R321" s="18">
        <f>IF(Q321="",P321,Q321)</f>
        <v/>
      </c>
      <c r="S321" s="18" t="inlineStr"/>
      <c r="T321" s="18" t="inlineStr">
        <is>
          <t>uncommon</t>
        </is>
      </c>
      <c r="U321" s="20" t="n">
        <v>1.68</v>
      </c>
      <c r="V321" s="21" t="n">
        <v>1</v>
      </c>
      <c r="W321" s="20">
        <f>IF(OR(U321="",V321=""),U321,U321*V321)</f>
        <v/>
      </c>
      <c r="X321" s="18" t="inlineStr">
        <is>
          <t>8-33</t>
        </is>
      </c>
      <c r="Y321" s="19" t="inlineStr"/>
      <c r="Z321" s="18">
        <f>IF(Y321="",X321,Y321)</f>
        <v/>
      </c>
      <c r="AA321" s="18" t="inlineStr">
        <is>
          <t>grounded</t>
        </is>
      </c>
      <c r="AB321" s="18" t="inlineStr"/>
      <c r="AC321" s="18" t="inlineStr"/>
      <c r="AD321" s="18" t="inlineStr"/>
      <c r="AE321" s="18" t="inlineStr">
        <is>
          <t>sky 8-15</t>
        </is>
      </c>
      <c r="AF321" s="18" t="inlineStr"/>
      <c r="AG321" s="18" t="inlineStr"/>
      <c r="AH321" s="18" t="inlineStr"/>
      <c r="AI321" s="18" t="inlineStr"/>
      <c r="AJ321" s="18" t="inlineStr">
        <is>
          <t>COBBLEVERSE 수정</t>
        </is>
      </c>
      <c r="AK321" s="18" t="inlineStr">
        <is>
          <t>사용</t>
        </is>
      </c>
      <c r="AL321" s="18" t="inlineStr">
        <is>
          <t>COBBLEVERSE 1.7.42 / DP v31</t>
        </is>
      </c>
      <c r="AM321" s="18" t="inlineStr">
        <is>
          <t>data/cobblemon/spawn_pool_world/0088_grimer.json</t>
        </is>
      </c>
      <c r="AN321" s="18" t="inlineStr">
        <is>
          <t>grimer-alolan-10</t>
        </is>
      </c>
      <c r="AO321" s="18" t="inlineStr">
        <is>
          <t>pokemon</t>
        </is>
      </c>
      <c r="AP321" s="18" t="inlineStr">
        <is>
          <t>natural; urban</t>
        </is>
      </c>
      <c r="AQ321" s="18" t="inlineStr">
        <is>
          <t>{"biomes":["#cobblemon:is_beach"],"maxSkyLight":15,"minSkyLight":8}</t>
        </is>
      </c>
      <c r="AR321" s="18" t="inlineStr"/>
      <c r="AS321" s="18" t="inlineStr">
        <is>
          <t>{"weightMultiplier":{"condition":{"timeRange":"night"},"multiplier":1.5}}</t>
        </is>
      </c>
      <c r="AT321" s="19" t="inlineStr"/>
    </row>
    <row r="322" ht="32" customHeight="1">
      <c r="A322" s="18" t="inlineStr">
        <is>
          <t>0088_grimer.json::grimer-11::011</t>
        </is>
      </c>
      <c r="B322" s="19" t="inlineStr">
        <is>
          <t>사용</t>
        </is>
      </c>
      <c r="C322" s="18">
        <f>IF(OR(B322&lt;&gt;AK322,M322&lt;&gt;L322,O322&lt;&gt;"",Q322&lt;&gt;"",V322&lt;&gt;1,Y322&lt;&gt;"",AT322&lt;&gt;""),"수정","원본")</f>
        <v/>
      </c>
      <c r="D322" s="18" t="n">
        <v>88</v>
      </c>
      <c r="E322" s="18" t="inlineStr">
        <is>
          <t>질퍽이</t>
        </is>
      </c>
      <c r="F322" s="18" t="inlineStr">
        <is>
          <t>grimer</t>
        </is>
      </c>
      <c r="G322" s="18" t="inlineStr">
        <is>
          <t>grimer alolan</t>
        </is>
      </c>
      <c r="H322" s="18" t="inlineStr">
        <is>
          <t>alolan</t>
        </is>
      </c>
      <c r="I322" s="18" t="n">
        <v>1</v>
      </c>
      <c r="J322" s="18" t="n">
        <v>7</v>
      </c>
      <c r="K322" s="18" t="n">
        <v>7</v>
      </c>
      <c r="L322" s="18" t="inlineStr">
        <is>
          <t>cobbleventure:generation_7</t>
        </is>
      </c>
      <c r="M322" s="19" t="inlineStr">
        <is>
          <t>cobbleventure:generation_7</t>
        </is>
      </c>
      <c r="N322" s="18" t="inlineStr"/>
      <c r="O322" s="19" t="inlineStr"/>
      <c r="P322" s="18" t="inlineStr">
        <is>
          <t>#minecraft:is_beach</t>
        </is>
      </c>
      <c r="Q322" s="19" t="inlineStr"/>
      <c r="R322" s="18">
        <f>IF(Q322="",P322,Q322)</f>
        <v/>
      </c>
      <c r="S322" s="18" t="inlineStr"/>
      <c r="T322" s="18" t="inlineStr">
        <is>
          <t>common</t>
        </is>
      </c>
      <c r="U322" s="20" t="n">
        <v>7</v>
      </c>
      <c r="V322" s="21" t="n">
        <v>1</v>
      </c>
      <c r="W322" s="20">
        <f>IF(OR(U322="",V322=""),U322,U322*V322)</f>
        <v/>
      </c>
      <c r="X322" s="18" t="inlineStr">
        <is>
          <t>11-36</t>
        </is>
      </c>
      <c r="Y322" s="19" t="inlineStr"/>
      <c r="Z322" s="18">
        <f>IF(Y322="",X322,Y322)</f>
        <v/>
      </c>
      <c r="AA322" s="18" t="inlineStr">
        <is>
          <t>grounded</t>
        </is>
      </c>
      <c r="AB322" s="18" t="inlineStr"/>
      <c r="AC322" s="18" t="inlineStr"/>
      <c r="AD322" s="18" t="inlineStr"/>
      <c r="AE322" s="18" t="inlineStr"/>
      <c r="AF322" s="18" t="inlineStr">
        <is>
          <t>True</t>
        </is>
      </c>
      <c r="AG322" s="18" t="inlineStr"/>
      <c r="AH322" s="18" t="inlineStr"/>
      <c r="AI322" s="18" t="inlineStr"/>
      <c r="AJ322" s="18" t="inlineStr">
        <is>
          <t>COBBLEVERSE 수정</t>
        </is>
      </c>
      <c r="AK322" s="18" t="inlineStr">
        <is>
          <t>사용</t>
        </is>
      </c>
      <c r="AL322" s="18" t="inlineStr">
        <is>
          <t>COBBLEVERSE 1.7.42 / DP v31</t>
        </is>
      </c>
      <c r="AM322" s="18" t="inlineStr">
        <is>
          <t>data/cobblemon/spawn_pool_world/0088_grimer.json</t>
        </is>
      </c>
      <c r="AN322" s="18" t="inlineStr">
        <is>
          <t>grimer-11</t>
        </is>
      </c>
      <c r="AO322" s="18" t="inlineStr">
        <is>
          <t>pokemon</t>
        </is>
      </c>
      <c r="AP322" s="18" t="inlineStr">
        <is>
          <t>natural; wild</t>
        </is>
      </c>
      <c r="AQ322" s="18" t="inlineStr">
        <is>
          <t>{"biomes":["#minecraft:is_beach"],"canSeeSky":true}</t>
        </is>
      </c>
      <c r="AR322" s="18" t="inlineStr"/>
      <c r="AS322" s="18" t="inlineStr"/>
      <c r="AT322" s="19" t="inlineStr"/>
    </row>
    <row r="323" ht="32" customHeight="1">
      <c r="A323" s="18" t="inlineStr">
        <is>
          <t>0088_grimer.json::grimer-12::012</t>
        </is>
      </c>
      <c r="B323" s="19" t="inlineStr">
        <is>
          <t>사용</t>
        </is>
      </c>
      <c r="C323" s="18">
        <f>IF(OR(B323&lt;&gt;AK323,M323&lt;&gt;L323,O323&lt;&gt;"",Q323&lt;&gt;"",V323&lt;&gt;1,Y323&lt;&gt;"",AT323&lt;&gt;""),"수정","원본")</f>
        <v/>
      </c>
      <c r="D323" s="18" t="n">
        <v>88</v>
      </c>
      <c r="E323" s="18" t="inlineStr">
        <is>
          <t>질퍽이</t>
        </is>
      </c>
      <c r="F323" s="18" t="inlineStr">
        <is>
          <t>grimer</t>
        </is>
      </c>
      <c r="G323" s="18" t="inlineStr">
        <is>
          <t>grimer alolan</t>
        </is>
      </c>
      <c r="H323" s="18" t="inlineStr">
        <is>
          <t>alolan</t>
        </is>
      </c>
      <c r="I323" s="18" t="n">
        <v>1</v>
      </c>
      <c r="J323" s="18" t="n">
        <v>7</v>
      </c>
      <c r="K323" s="18" t="n">
        <v>7</v>
      </c>
      <c r="L323" s="18" t="inlineStr">
        <is>
          <t>cobbleventure:generation_7</t>
        </is>
      </c>
      <c r="M323" s="19" t="inlineStr">
        <is>
          <t>cobbleventure:generation_7</t>
        </is>
      </c>
      <c r="N323" s="18" t="inlineStr"/>
      <c r="O323" s="19" t="inlineStr"/>
      <c r="P323" s="18" t="inlineStr">
        <is>
          <t>#cobblemon:is_beach</t>
        </is>
      </c>
      <c r="Q323" s="19" t="inlineStr"/>
      <c r="R323" s="18">
        <f>IF(Q323="",P323,Q323)</f>
        <v/>
      </c>
      <c r="S323" s="18" t="inlineStr"/>
      <c r="T323" s="18" t="inlineStr">
        <is>
          <t>common</t>
        </is>
      </c>
      <c r="U323" s="20" t="n">
        <v>2.5</v>
      </c>
      <c r="V323" s="21" t="n">
        <v>1</v>
      </c>
      <c r="W323" s="20">
        <f>IF(OR(U323="",V323=""),U323,U323*V323)</f>
        <v/>
      </c>
      <c r="X323" s="18" t="inlineStr">
        <is>
          <t>11-33</t>
        </is>
      </c>
      <c r="Y323" s="19" t="inlineStr"/>
      <c r="Z323" s="18">
        <f>IF(Y323="",X323,Y323)</f>
        <v/>
      </c>
      <c r="AA323" s="18" t="inlineStr">
        <is>
          <t>fishing</t>
        </is>
      </c>
      <c r="AB323" s="18" t="inlineStr"/>
      <c r="AC323" s="18" t="inlineStr"/>
      <c r="AD323" s="18" t="inlineStr"/>
      <c r="AE323" s="18" t="inlineStr"/>
      <c r="AF323" s="18" t="inlineStr"/>
      <c r="AG323" s="18" t="inlineStr"/>
      <c r="AH323" s="18" t="inlineStr"/>
      <c r="AI323" s="18" t="inlineStr"/>
      <c r="AJ323" s="18" t="inlineStr">
        <is>
          <t>COBBLEVERSE 수정</t>
        </is>
      </c>
      <c r="AK323" s="18" t="inlineStr">
        <is>
          <t>사용</t>
        </is>
      </c>
      <c r="AL323" s="18" t="inlineStr">
        <is>
          <t>COBBLEVERSE 1.7.42 / DP v31</t>
        </is>
      </c>
      <c r="AM323" s="18" t="inlineStr">
        <is>
          <t>data/cobblemon/spawn_pool_world/0088_grimer.json</t>
        </is>
      </c>
      <c r="AN323" s="18" t="inlineStr">
        <is>
          <t>grimer-12</t>
        </is>
      </c>
      <c r="AO323" s="18" t="inlineStr">
        <is>
          <t>pokemon</t>
        </is>
      </c>
      <c r="AP323" s="18" t="inlineStr">
        <is>
          <t>water</t>
        </is>
      </c>
      <c r="AQ323" s="18" t="inlineStr">
        <is>
          <t>{"biomes":["#cobblemon:is_beach"]}</t>
        </is>
      </c>
      <c r="AR323" s="18" t="inlineStr"/>
      <c r="AS323" s="18" t="inlineStr">
        <is>
          <t>{"weightMultipliers":[{"condition":{"maxLureLevel":2,"minLureLevel":2},"multiplier":3.0},{"condition":{"minLureLevel":3},"multiplier":5.0}]}</t>
        </is>
      </c>
      <c r="AT323" s="19" t="inlineStr"/>
    </row>
    <row r="324" ht="32" customHeight="1">
      <c r="A324" s="18" t="inlineStr">
        <is>
          <t>0089_muk.json::muk-1::001</t>
        </is>
      </c>
      <c r="B324" s="19" t="inlineStr">
        <is>
          <t>사용</t>
        </is>
      </c>
      <c r="C324" s="18">
        <f>IF(OR(B324&lt;&gt;AK324,M324&lt;&gt;L324,O324&lt;&gt;"",Q324&lt;&gt;"",V324&lt;&gt;1,Y324&lt;&gt;"",AT324&lt;&gt;""),"수정","원본")</f>
        <v/>
      </c>
      <c r="D324" s="18" t="n">
        <v>89</v>
      </c>
      <c r="E324" s="18" t="inlineStr">
        <is>
          <t>질뻐기</t>
        </is>
      </c>
      <c r="F324" s="18" t="inlineStr">
        <is>
          <t>muk</t>
        </is>
      </c>
      <c r="G324" s="18" t="inlineStr">
        <is>
          <t>muk</t>
        </is>
      </c>
      <c r="H324" s="18" t="inlineStr"/>
      <c r="I324" s="18" t="n">
        <v>1</v>
      </c>
      <c r="J324" s="18" t="n"/>
      <c r="K324" s="18" t="n">
        <v>1</v>
      </c>
      <c r="L324" s="18" t="inlineStr">
        <is>
          <t>cobbleventure:generation_1</t>
        </is>
      </c>
      <c r="M324" s="19" t="inlineStr">
        <is>
          <t>cobbleventure:generation_1</t>
        </is>
      </c>
      <c r="N324" s="18" t="inlineStr">
        <is>
          <t>region_02</t>
        </is>
      </c>
      <c r="O324" s="19" t="inlineStr"/>
      <c r="P324" s="18" t="inlineStr">
        <is>
          <t>#cobblemon:is_swamp</t>
        </is>
      </c>
      <c r="Q324" s="19" t="inlineStr"/>
      <c r="R324" s="18">
        <f>IF(Q324="",P324,Q324)</f>
        <v/>
      </c>
      <c r="S324" s="18" t="inlineStr"/>
      <c r="T324" s="18" t="inlineStr">
        <is>
          <t>uncommon</t>
        </is>
      </c>
      <c r="U324" s="20" t="n">
        <v>0.32</v>
      </c>
      <c r="V324" s="21" t="n">
        <v>1</v>
      </c>
      <c r="W324" s="20">
        <f>IF(OR(U324="",V324=""),U324,U324*V324)</f>
        <v/>
      </c>
      <c r="X324" s="18" t="inlineStr">
        <is>
          <t>38-50</t>
        </is>
      </c>
      <c r="Y324" s="19" t="inlineStr"/>
      <c r="Z324" s="18">
        <f>IF(Y324="",X324,Y324)</f>
        <v/>
      </c>
      <c r="AA324" s="18" t="inlineStr">
        <is>
          <t>surface</t>
        </is>
      </c>
      <c r="AB324" s="18" t="inlineStr"/>
      <c r="AC324" s="18" t="inlineStr"/>
      <c r="AD324" s="18" t="inlineStr"/>
      <c r="AE324" s="18" t="inlineStr">
        <is>
          <t>sky 8-15</t>
        </is>
      </c>
      <c r="AF324" s="18" t="inlineStr"/>
      <c r="AG324" s="18" t="inlineStr"/>
      <c r="AH324" s="18" t="inlineStr"/>
      <c r="AI324" s="18" t="inlineStr"/>
      <c r="AJ324" s="18" t="inlineStr">
        <is>
          <t>COBBLEVERSE 수정</t>
        </is>
      </c>
      <c r="AK324" s="18" t="inlineStr">
        <is>
          <t>사용</t>
        </is>
      </c>
      <c r="AL324" s="18" t="inlineStr">
        <is>
          <t>COBBLEVERSE 1.7.42 / DP v31</t>
        </is>
      </c>
      <c r="AM324" s="18" t="inlineStr">
        <is>
          <t>data/cobblemon/spawn_pool_world/0089_muk.json</t>
        </is>
      </c>
      <c r="AN324" s="18" t="inlineStr">
        <is>
          <t>muk-1</t>
        </is>
      </c>
      <c r="AO324" s="18" t="inlineStr">
        <is>
          <t>pokemon</t>
        </is>
      </c>
      <c r="AP324" s="18" t="inlineStr">
        <is>
          <t>water</t>
        </is>
      </c>
      <c r="AQ324" s="18" t="inlineStr">
        <is>
          <t>{"biomes":["#cobblemon:is_swamp"],"maxSkyLight":15,"minSkyLight":8}</t>
        </is>
      </c>
      <c r="AR324" s="18" t="inlineStr"/>
      <c r="AS324" s="18" t="inlineStr">
        <is>
          <t>{"weightMultiplier":{"condition":{"timeRange":"night"},"multiplier":1.5}}</t>
        </is>
      </c>
      <c r="AT324" s="19" t="inlineStr"/>
    </row>
    <row r="325" ht="32" customHeight="1">
      <c r="A325" s="18" t="inlineStr">
        <is>
          <t>0089_muk.json::muk-2::002</t>
        </is>
      </c>
      <c r="B325" s="19" t="inlineStr">
        <is>
          <t>사용</t>
        </is>
      </c>
      <c r="C325" s="18">
        <f>IF(OR(B325&lt;&gt;AK325,M325&lt;&gt;L325,O325&lt;&gt;"",Q325&lt;&gt;"",V325&lt;&gt;1,Y325&lt;&gt;"",AT325&lt;&gt;""),"수정","원본")</f>
        <v/>
      </c>
      <c r="D325" s="18" t="n">
        <v>89</v>
      </c>
      <c r="E325" s="18" t="inlineStr">
        <is>
          <t>질뻐기</t>
        </is>
      </c>
      <c r="F325" s="18" t="inlineStr">
        <is>
          <t>muk</t>
        </is>
      </c>
      <c r="G325" s="18" t="inlineStr">
        <is>
          <t>muk</t>
        </is>
      </c>
      <c r="H325" s="18" t="inlineStr"/>
      <c r="I325" s="18" t="n">
        <v>1</v>
      </c>
      <c r="J325" s="18" t="n"/>
      <c r="K325" s="18" t="n">
        <v>1</v>
      </c>
      <c r="L325" s="18" t="inlineStr">
        <is>
          <t>cobbleventure:generation_1</t>
        </is>
      </c>
      <c r="M325" s="19" t="inlineStr">
        <is>
          <t>cobbleventure:generation_1</t>
        </is>
      </c>
      <c r="N325" s="18" t="inlineStr">
        <is>
          <t>region_01</t>
        </is>
      </c>
      <c r="O325" s="19" t="inlineStr"/>
      <c r="P325" s="18" t="inlineStr">
        <is>
          <t>#cobblemon:is_overworld</t>
        </is>
      </c>
      <c r="Q325" s="19" t="inlineStr"/>
      <c r="R325" s="18">
        <f>IF(Q325="",P325,Q325)</f>
        <v/>
      </c>
      <c r="S325" s="18" t="inlineStr">
        <is>
          <t>#cobblemon:is_swamp</t>
        </is>
      </c>
      <c r="T325" s="18" t="inlineStr">
        <is>
          <t>uncommon</t>
        </is>
      </c>
      <c r="U325" s="20" t="n">
        <v>0.32</v>
      </c>
      <c r="V325" s="21" t="n">
        <v>1</v>
      </c>
      <c r="W325" s="20">
        <f>IF(OR(U325="",V325=""),U325,U325*V325)</f>
        <v/>
      </c>
      <c r="X325" s="18" t="inlineStr">
        <is>
          <t>38-50</t>
        </is>
      </c>
      <c r="Y325" s="19" t="inlineStr"/>
      <c r="Z325" s="18">
        <f>IF(Y325="",X325,Y325)</f>
        <v/>
      </c>
      <c r="AA325" s="18" t="inlineStr">
        <is>
          <t>surface</t>
        </is>
      </c>
      <c r="AB325" s="18" t="inlineStr"/>
      <c r="AC325" s="18" t="inlineStr"/>
      <c r="AD325" s="18" t="inlineStr"/>
      <c r="AE325" s="18" t="inlineStr">
        <is>
          <t>sky 8-15</t>
        </is>
      </c>
      <c r="AF325" s="18" t="inlineStr"/>
      <c r="AG325" s="18" t="inlineStr"/>
      <c r="AH325" s="18" t="inlineStr"/>
      <c r="AI325" s="18" t="inlineStr"/>
      <c r="AJ325" s="18" t="inlineStr">
        <is>
          <t>COBBLEVERSE 수정</t>
        </is>
      </c>
      <c r="AK325" s="18" t="inlineStr">
        <is>
          <t>사용</t>
        </is>
      </c>
      <c r="AL325" s="18" t="inlineStr">
        <is>
          <t>COBBLEVERSE 1.7.42 / DP v31</t>
        </is>
      </c>
      <c r="AM325" s="18" t="inlineStr">
        <is>
          <t>data/cobblemon/spawn_pool_world/0089_muk.json</t>
        </is>
      </c>
      <c r="AN325" s="18" t="inlineStr">
        <is>
          <t>muk-2</t>
        </is>
      </c>
      <c r="AO325" s="18" t="inlineStr">
        <is>
          <t>pokemon</t>
        </is>
      </c>
      <c r="AP325" s="18" t="inlineStr">
        <is>
          <t>water; urban</t>
        </is>
      </c>
      <c r="AQ325" s="18" t="inlineStr">
        <is>
          <t>{"biomes":["#cobblemon:is_overworld"],"maxSkyLight":15,"minSkyLight":8}</t>
        </is>
      </c>
      <c r="AR325" s="18" t="inlineStr">
        <is>
          <t>{"biomes":["#cobblemon:is_swamp"]}</t>
        </is>
      </c>
      <c r="AS325" s="18" t="inlineStr">
        <is>
          <t>{"weightMultiplier":{"condition":{"timeRange":"night"},"multiplier":1.5}}</t>
        </is>
      </c>
      <c r="AT325" s="19" t="inlineStr"/>
    </row>
    <row r="326" ht="32" customHeight="1">
      <c r="A326" s="18" t="inlineStr">
        <is>
          <t>0089_muk.json::muk-3::003</t>
        </is>
      </c>
      <c r="B326" s="19" t="inlineStr">
        <is>
          <t>사용</t>
        </is>
      </c>
      <c r="C326" s="18">
        <f>IF(OR(B326&lt;&gt;AK326,M326&lt;&gt;L326,O326&lt;&gt;"",Q326&lt;&gt;"",V326&lt;&gt;1,Y326&lt;&gt;"",AT326&lt;&gt;""),"수정","원본")</f>
        <v/>
      </c>
      <c r="D326" s="18" t="n">
        <v>89</v>
      </c>
      <c r="E326" s="18" t="inlineStr">
        <is>
          <t>질뻐기</t>
        </is>
      </c>
      <c r="F326" s="18" t="inlineStr">
        <is>
          <t>muk</t>
        </is>
      </c>
      <c r="G326" s="18" t="inlineStr">
        <is>
          <t>muk</t>
        </is>
      </c>
      <c r="H326" s="18" t="inlineStr"/>
      <c r="I326" s="18" t="n">
        <v>1</v>
      </c>
      <c r="J326" s="18" t="n"/>
      <c r="K326" s="18" t="n">
        <v>1</v>
      </c>
      <c r="L326" s="18" t="inlineStr">
        <is>
          <t>cobbleventure:generation_1</t>
        </is>
      </c>
      <c r="M326" s="19" t="inlineStr">
        <is>
          <t>cobbleventure:generation_1</t>
        </is>
      </c>
      <c r="N326" s="18" t="inlineStr">
        <is>
          <t>region_01</t>
        </is>
      </c>
      <c r="O326" s="19" t="inlineStr"/>
      <c r="P326" s="18" t="inlineStr">
        <is>
          <t>#cobblemon:is_overworld</t>
        </is>
      </c>
      <c r="Q326" s="19" t="inlineStr"/>
      <c r="R326" s="18">
        <f>IF(Q326="",P326,Q326)</f>
        <v/>
      </c>
      <c r="S326" s="18" t="inlineStr">
        <is>
          <t>#cobblemon:is_swamp</t>
        </is>
      </c>
      <c r="T326" s="18" t="inlineStr">
        <is>
          <t>uncommon</t>
        </is>
      </c>
      <c r="U326" s="20" t="n">
        <v>0.32</v>
      </c>
      <c r="V326" s="21" t="n">
        <v>1</v>
      </c>
      <c r="W326" s="20">
        <f>IF(OR(U326="",V326=""),U326,U326*V326)</f>
        <v/>
      </c>
      <c r="X326" s="18" t="inlineStr">
        <is>
          <t>38-50</t>
        </is>
      </c>
      <c r="Y326" s="19" t="inlineStr"/>
      <c r="Z326" s="18">
        <f>IF(Y326="",X326,Y326)</f>
        <v/>
      </c>
      <c r="AA326" s="18" t="inlineStr">
        <is>
          <t>surface</t>
        </is>
      </c>
      <c r="AB326" s="18" t="inlineStr"/>
      <c r="AC326" s="18" t="inlineStr"/>
      <c r="AD326" s="18" t="inlineStr"/>
      <c r="AE326" s="18" t="inlineStr">
        <is>
          <t>sky 8-15</t>
        </is>
      </c>
      <c r="AF326" s="18" t="inlineStr"/>
      <c r="AG326" s="18" t="inlineStr">
        <is>
          <t>#minecraft:village</t>
        </is>
      </c>
      <c r="AH326" s="18" t="inlineStr"/>
      <c r="AI326" s="18" t="inlineStr"/>
      <c r="AJ326" s="18" t="inlineStr">
        <is>
          <t>COBBLEVERSE 수정</t>
        </is>
      </c>
      <c r="AK326" s="18" t="inlineStr">
        <is>
          <t>사용</t>
        </is>
      </c>
      <c r="AL326" s="18" t="inlineStr">
        <is>
          <t>COBBLEVERSE 1.7.42 / DP v31</t>
        </is>
      </c>
      <c r="AM326" s="18" t="inlineStr">
        <is>
          <t>data/cobblemon/spawn_pool_world/0089_muk.json</t>
        </is>
      </c>
      <c r="AN326" s="18" t="inlineStr">
        <is>
          <t>muk-3</t>
        </is>
      </c>
      <c r="AO326" s="18" t="inlineStr">
        <is>
          <t>pokemon</t>
        </is>
      </c>
      <c r="AP326" s="18" t="inlineStr">
        <is>
          <t>water</t>
        </is>
      </c>
      <c r="AQ326" s="18" t="inlineStr">
        <is>
          <t>{"biomes":["#cobblemon:is_overworld"],"maxSkyLight":15,"minSkyLight":8,"structures":["#minecraft:village"]}</t>
        </is>
      </c>
      <c r="AR326" s="18" t="inlineStr">
        <is>
          <t>{"biomes":["#cobblemon:is_swamp"]}</t>
        </is>
      </c>
      <c r="AS326" s="18" t="inlineStr">
        <is>
          <t>{"weightMultiplier":{"condition":{"timeRange":"night"},"multiplier":1.5}}</t>
        </is>
      </c>
      <c r="AT326" s="19" t="inlineStr"/>
    </row>
    <row r="327" ht="32" customHeight="1">
      <c r="A327" s="18" t="inlineStr">
        <is>
          <t>0089_muk.json::muk-4::004</t>
        </is>
      </c>
      <c r="B327" s="19" t="inlineStr">
        <is>
          <t>사용</t>
        </is>
      </c>
      <c r="C327" s="18">
        <f>IF(OR(B327&lt;&gt;AK327,M327&lt;&gt;L327,O327&lt;&gt;"",Q327&lt;&gt;"",V327&lt;&gt;1,Y327&lt;&gt;"",AT327&lt;&gt;""),"수정","원본")</f>
        <v/>
      </c>
      <c r="D327" s="18" t="n">
        <v>89</v>
      </c>
      <c r="E327" s="18" t="inlineStr">
        <is>
          <t>질뻐기</t>
        </is>
      </c>
      <c r="F327" s="18" t="inlineStr">
        <is>
          <t>muk</t>
        </is>
      </c>
      <c r="G327" s="18" t="inlineStr">
        <is>
          <t>muk</t>
        </is>
      </c>
      <c r="H327" s="18" t="inlineStr"/>
      <c r="I327" s="18" t="n">
        <v>1</v>
      </c>
      <c r="J327" s="18" t="n"/>
      <c r="K327" s="18" t="n">
        <v>1</v>
      </c>
      <c r="L327" s="18" t="inlineStr">
        <is>
          <t>cobbleventure:generation_1</t>
        </is>
      </c>
      <c r="M327" s="19" t="inlineStr">
        <is>
          <t>cobbleventure:generation_1</t>
        </is>
      </c>
      <c r="N327" s="18" t="inlineStr">
        <is>
          <t>region_02</t>
        </is>
      </c>
      <c r="O327" s="19" t="inlineStr"/>
      <c r="P327" s="18" t="inlineStr">
        <is>
          <t>#cobblemon:is_swamp</t>
        </is>
      </c>
      <c r="Q327" s="19" t="inlineStr"/>
      <c r="R327" s="18">
        <f>IF(Q327="",P327,Q327)</f>
        <v/>
      </c>
      <c r="S327" s="18" t="inlineStr"/>
      <c r="T327" s="18" t="inlineStr">
        <is>
          <t>common</t>
        </is>
      </c>
      <c r="U327" s="20" t="n">
        <v>0.2</v>
      </c>
      <c r="V327" s="21" t="n">
        <v>1</v>
      </c>
      <c r="W327" s="20">
        <f>IF(OR(U327="",V327=""),U327,U327*V327)</f>
        <v/>
      </c>
      <c r="X327" s="18" t="inlineStr">
        <is>
          <t>38-50</t>
        </is>
      </c>
      <c r="Y327" s="19" t="inlineStr"/>
      <c r="Z327" s="18">
        <f>IF(Y327="",X327,Y327)</f>
        <v/>
      </c>
      <c r="AA327" s="18" t="inlineStr">
        <is>
          <t>fishing</t>
        </is>
      </c>
      <c r="AB327" s="18" t="inlineStr"/>
      <c r="AC327" s="18" t="inlineStr"/>
      <c r="AD327" s="18" t="inlineStr"/>
      <c r="AE327" s="18" t="inlineStr"/>
      <c r="AF327" s="18" t="inlineStr">
        <is>
          <t>True</t>
        </is>
      </c>
      <c r="AG327" s="18" t="inlineStr"/>
      <c r="AH327" s="18" t="inlineStr"/>
      <c r="AI327" s="18" t="inlineStr"/>
      <c r="AJ327" s="18" t="inlineStr">
        <is>
          <t>COBBLEVERSE 수정</t>
        </is>
      </c>
      <c r="AK327" s="18" t="inlineStr">
        <is>
          <t>사용</t>
        </is>
      </c>
      <c r="AL327" s="18" t="inlineStr">
        <is>
          <t>COBBLEVERSE 1.7.42 / DP v31</t>
        </is>
      </c>
      <c r="AM327" s="18" t="inlineStr">
        <is>
          <t>data/cobblemon/spawn_pool_world/0089_muk.json</t>
        </is>
      </c>
      <c r="AN327" s="18" t="inlineStr">
        <is>
          <t>muk-4</t>
        </is>
      </c>
      <c r="AO327" s="18" t="inlineStr">
        <is>
          <t>pokemon</t>
        </is>
      </c>
      <c r="AP327" s="18" t="inlineStr">
        <is>
          <t>water</t>
        </is>
      </c>
      <c r="AQ327" s="18" t="inlineStr">
        <is>
          <t>{"biomes":["#cobblemon:is_swamp"],"canSeeSky":true}</t>
        </is>
      </c>
      <c r="AR327" s="18" t="inlineStr"/>
      <c r="AS327" s="18" t="inlineStr">
        <is>
          <t>{"weightMultipliers":[{"condition":{"maxLureLevel":2,"minLureLevel":2},"multiplier":3.0},{"condition":{"minLureLevel":3},"multiplier":5.0}]}</t>
        </is>
      </c>
      <c r="AT327" s="19" t="inlineStr"/>
    </row>
    <row r="328" ht="32" customHeight="1">
      <c r="A328" s="18" t="inlineStr">
        <is>
          <t>0089_muk.json::muk-5::005</t>
        </is>
      </c>
      <c r="B328" s="19" t="inlineStr">
        <is>
          <t>사용</t>
        </is>
      </c>
      <c r="C328" s="18">
        <f>IF(OR(B328&lt;&gt;AK328,M328&lt;&gt;L328,O328&lt;&gt;"",Q328&lt;&gt;"",V328&lt;&gt;1,Y328&lt;&gt;"",AT328&lt;&gt;""),"수정","원본")</f>
        <v/>
      </c>
      <c r="D328" s="18" t="n">
        <v>89</v>
      </c>
      <c r="E328" s="18" t="inlineStr">
        <is>
          <t>질뻐기</t>
        </is>
      </c>
      <c r="F328" s="18" t="inlineStr">
        <is>
          <t>muk</t>
        </is>
      </c>
      <c r="G328" s="18" t="inlineStr">
        <is>
          <t>muk</t>
        </is>
      </c>
      <c r="H328" s="18" t="inlineStr"/>
      <c r="I328" s="18" t="n">
        <v>1</v>
      </c>
      <c r="J328" s="18" t="n"/>
      <c r="K328" s="18" t="n">
        <v>1</v>
      </c>
      <c r="L328" s="18" t="inlineStr">
        <is>
          <t>cobbleventure:generation_1</t>
        </is>
      </c>
      <c r="M328" s="19" t="inlineStr">
        <is>
          <t>cobbleventure:generation_1</t>
        </is>
      </c>
      <c r="N328" s="18" t="inlineStr">
        <is>
          <t>region_01</t>
        </is>
      </c>
      <c r="O328" s="19" t="inlineStr"/>
      <c r="P328" s="18" t="inlineStr">
        <is>
          <t>#cobblemon:is_overworld</t>
        </is>
      </c>
      <c r="Q328" s="19" t="inlineStr"/>
      <c r="R328" s="18">
        <f>IF(Q328="",P328,Q328)</f>
        <v/>
      </c>
      <c r="S328" s="18" t="inlineStr">
        <is>
          <t>#cobblemon:is_swamp</t>
        </is>
      </c>
      <c r="T328" s="18" t="inlineStr">
        <is>
          <t>common</t>
        </is>
      </c>
      <c r="U328" s="20" t="n">
        <v>0.2</v>
      </c>
      <c r="V328" s="21" t="n">
        <v>1</v>
      </c>
      <c r="W328" s="20">
        <f>IF(OR(U328="",V328=""),U328,U328*V328)</f>
        <v/>
      </c>
      <c r="X328" s="18" t="inlineStr">
        <is>
          <t>38-50</t>
        </is>
      </c>
      <c r="Y328" s="19" t="inlineStr"/>
      <c r="Z328" s="18">
        <f>IF(Y328="",X328,Y328)</f>
        <v/>
      </c>
      <c r="AA328" s="18" t="inlineStr">
        <is>
          <t>fishing</t>
        </is>
      </c>
      <c r="AB328" s="18" t="inlineStr"/>
      <c r="AC328" s="18" t="inlineStr"/>
      <c r="AD328" s="18" t="inlineStr"/>
      <c r="AE328" s="18" t="inlineStr"/>
      <c r="AF328" s="18" t="inlineStr">
        <is>
          <t>True</t>
        </is>
      </c>
      <c r="AG328" s="18" t="inlineStr"/>
      <c r="AH328" s="18" t="inlineStr"/>
      <c r="AI328" s="18" t="inlineStr"/>
      <c r="AJ328" s="18" t="inlineStr">
        <is>
          <t>COBBLEVERSE 수정</t>
        </is>
      </c>
      <c r="AK328" s="18" t="inlineStr">
        <is>
          <t>사용</t>
        </is>
      </c>
      <c r="AL328" s="18" t="inlineStr">
        <is>
          <t>COBBLEVERSE 1.7.42 / DP v31</t>
        </is>
      </c>
      <c r="AM328" s="18" t="inlineStr">
        <is>
          <t>data/cobblemon/spawn_pool_world/0089_muk.json</t>
        </is>
      </c>
      <c r="AN328" s="18" t="inlineStr">
        <is>
          <t>muk-5</t>
        </is>
      </c>
      <c r="AO328" s="18" t="inlineStr">
        <is>
          <t>pokemon</t>
        </is>
      </c>
      <c r="AP328" s="18" t="inlineStr">
        <is>
          <t>water; urban</t>
        </is>
      </c>
      <c r="AQ328" s="18" t="inlineStr">
        <is>
          <t>{"biomes":["#cobblemon:is_overworld"],"canSeeSky":true}</t>
        </is>
      </c>
      <c r="AR328" s="18" t="inlineStr">
        <is>
          <t>{"biomes":["#cobblemon:is_swamp"]}</t>
        </is>
      </c>
      <c r="AS328" s="18" t="inlineStr">
        <is>
          <t>{"weightMultipliers":[{"condition":{"maxLureLevel":2,"minLureLevel":2},"multiplier":3.0},{"condition":{"minLureLevel":3},"multiplier":5.0}]}</t>
        </is>
      </c>
      <c r="AT328" s="19" t="inlineStr"/>
    </row>
    <row r="329" ht="32" customHeight="1">
      <c r="A329" s="18" t="inlineStr">
        <is>
          <t>0089_muk.json::muk-6::006</t>
        </is>
      </c>
      <c r="B329" s="19" t="inlineStr">
        <is>
          <t>사용</t>
        </is>
      </c>
      <c r="C329" s="18">
        <f>IF(OR(B329&lt;&gt;AK329,M329&lt;&gt;L329,O329&lt;&gt;"",Q329&lt;&gt;"",V329&lt;&gt;1,Y329&lt;&gt;"",AT329&lt;&gt;""),"수정","원본")</f>
        <v/>
      </c>
      <c r="D329" s="18" t="n">
        <v>89</v>
      </c>
      <c r="E329" s="18" t="inlineStr">
        <is>
          <t>질뻐기</t>
        </is>
      </c>
      <c r="F329" s="18" t="inlineStr">
        <is>
          <t>muk</t>
        </is>
      </c>
      <c r="G329" s="18" t="inlineStr">
        <is>
          <t>muk</t>
        </is>
      </c>
      <c r="H329" s="18" t="inlineStr"/>
      <c r="I329" s="18" t="n">
        <v>1</v>
      </c>
      <c r="J329" s="18" t="n"/>
      <c r="K329" s="18" t="n">
        <v>1</v>
      </c>
      <c r="L329" s="18" t="inlineStr">
        <is>
          <t>cobbleventure:generation_1</t>
        </is>
      </c>
      <c r="M329" s="19" t="inlineStr">
        <is>
          <t>cobbleventure:generation_1</t>
        </is>
      </c>
      <c r="N329" s="18" t="inlineStr">
        <is>
          <t>region_01</t>
        </is>
      </c>
      <c r="O329" s="19" t="inlineStr"/>
      <c r="P329" s="18" t="inlineStr">
        <is>
          <t>#cobblemon:is_overworld</t>
        </is>
      </c>
      <c r="Q329" s="19" t="inlineStr"/>
      <c r="R329" s="18">
        <f>IF(Q329="",P329,Q329)</f>
        <v/>
      </c>
      <c r="S329" s="18" t="inlineStr">
        <is>
          <t>#cobblemon:is_swamp</t>
        </is>
      </c>
      <c r="T329" s="18" t="inlineStr">
        <is>
          <t>common</t>
        </is>
      </c>
      <c r="U329" s="20" t="n">
        <v>0.2</v>
      </c>
      <c r="V329" s="21" t="n">
        <v>1</v>
      </c>
      <c r="W329" s="20">
        <f>IF(OR(U329="",V329=""),U329,U329*V329)</f>
        <v/>
      </c>
      <c r="X329" s="18" t="inlineStr">
        <is>
          <t>38-50</t>
        </is>
      </c>
      <c r="Y329" s="19" t="inlineStr"/>
      <c r="Z329" s="18">
        <f>IF(Y329="",X329,Y329)</f>
        <v/>
      </c>
      <c r="AA329" s="18" t="inlineStr">
        <is>
          <t>fishing</t>
        </is>
      </c>
      <c r="AB329" s="18" t="inlineStr"/>
      <c r="AC329" s="18" t="inlineStr"/>
      <c r="AD329" s="18" t="inlineStr"/>
      <c r="AE329" s="18" t="inlineStr"/>
      <c r="AF329" s="18" t="inlineStr">
        <is>
          <t>True</t>
        </is>
      </c>
      <c r="AG329" s="18" t="inlineStr">
        <is>
          <t>#minecraft:village</t>
        </is>
      </c>
      <c r="AH329" s="18" t="inlineStr"/>
      <c r="AI329" s="18" t="inlineStr"/>
      <c r="AJ329" s="18" t="inlineStr">
        <is>
          <t>COBBLEVERSE 수정</t>
        </is>
      </c>
      <c r="AK329" s="18" t="inlineStr">
        <is>
          <t>사용</t>
        </is>
      </c>
      <c r="AL329" s="18" t="inlineStr">
        <is>
          <t>COBBLEVERSE 1.7.42 / DP v31</t>
        </is>
      </c>
      <c r="AM329" s="18" t="inlineStr">
        <is>
          <t>data/cobblemon/spawn_pool_world/0089_muk.json</t>
        </is>
      </c>
      <c r="AN329" s="18" t="inlineStr">
        <is>
          <t>muk-6</t>
        </is>
      </c>
      <c r="AO329" s="18" t="inlineStr">
        <is>
          <t>pokemon</t>
        </is>
      </c>
      <c r="AP329" s="18" t="inlineStr">
        <is>
          <t>water</t>
        </is>
      </c>
      <c r="AQ329" s="18" t="inlineStr">
        <is>
          <t>{"biomes":["#cobblemon:is_overworld"],"canSeeSky":true,"structures":["#minecraft:village"]}</t>
        </is>
      </c>
      <c r="AR329" s="18" t="inlineStr">
        <is>
          <t>{"biomes":["#cobblemon:is_swamp"]}</t>
        </is>
      </c>
      <c r="AS329" s="18" t="inlineStr">
        <is>
          <t>{"weightMultipliers":[{"condition":{"maxLureLevel":2,"minLureLevel":2},"multiplier":3.0},{"condition":{"minLureLevel":3},"multiplier":5.0}]}</t>
        </is>
      </c>
      <c r="AT329" s="19" t="inlineStr"/>
    </row>
    <row r="330" ht="32" customHeight="1">
      <c r="A330" s="18" t="inlineStr">
        <is>
          <t>0089_muk.json::muk-7::007</t>
        </is>
      </c>
      <c r="B330" s="19" t="inlineStr">
        <is>
          <t>사용</t>
        </is>
      </c>
      <c r="C330" s="18">
        <f>IF(OR(B330&lt;&gt;AK330,M330&lt;&gt;L330,O330&lt;&gt;"",Q330&lt;&gt;"",V330&lt;&gt;1,Y330&lt;&gt;"",AT330&lt;&gt;""),"수정","원본")</f>
        <v/>
      </c>
      <c r="D330" s="18" t="n">
        <v>89</v>
      </c>
      <c r="E330" s="18" t="inlineStr">
        <is>
          <t>질뻐기</t>
        </is>
      </c>
      <c r="F330" s="18" t="inlineStr">
        <is>
          <t>muk</t>
        </is>
      </c>
      <c r="G330" s="18" t="inlineStr">
        <is>
          <t>muk</t>
        </is>
      </c>
      <c r="H330" s="18" t="inlineStr"/>
      <c r="I330" s="18" t="n">
        <v>1</v>
      </c>
      <c r="J330" s="18" t="n"/>
      <c r="K330" s="18" t="n">
        <v>1</v>
      </c>
      <c r="L330" s="18" t="inlineStr">
        <is>
          <t>cobbleventure:generation_1</t>
        </is>
      </c>
      <c r="M330" s="19" t="inlineStr">
        <is>
          <t>cobbleventure:generation_1</t>
        </is>
      </c>
      <c r="N330" s="18" t="inlineStr">
        <is>
          <t>region_02</t>
        </is>
      </c>
      <c r="O330" s="19" t="inlineStr"/>
      <c r="P330" s="18" t="inlineStr">
        <is>
          <t>#cobblemon:is_swamp</t>
        </is>
      </c>
      <c r="Q330" s="19" t="inlineStr"/>
      <c r="R330" s="18">
        <f>IF(Q330="",P330,Q330)</f>
        <v/>
      </c>
      <c r="S330" s="18" t="inlineStr"/>
      <c r="T330" s="18" t="inlineStr">
        <is>
          <t>common</t>
        </is>
      </c>
      <c r="U330" s="20" t="n">
        <v>0.2</v>
      </c>
      <c r="V330" s="21" t="n">
        <v>1</v>
      </c>
      <c r="W330" s="20">
        <f>IF(OR(U330="",V330=""),U330,U330*V330)</f>
        <v/>
      </c>
      <c r="X330" s="18" t="inlineStr">
        <is>
          <t>38-50</t>
        </is>
      </c>
      <c r="Y330" s="19" t="inlineStr"/>
      <c r="Z330" s="18">
        <f>IF(Y330="",X330,Y330)</f>
        <v/>
      </c>
      <c r="AA330" s="18" t="inlineStr">
        <is>
          <t>fishing</t>
        </is>
      </c>
      <c r="AB330" s="18" t="inlineStr"/>
      <c r="AC330" s="18" t="inlineStr"/>
      <c r="AD330" s="18" t="inlineStr"/>
      <c r="AE330" s="18" t="inlineStr">
        <is>
          <t>sky 8-15</t>
        </is>
      </c>
      <c r="AF330" s="18" t="inlineStr">
        <is>
          <t>False</t>
        </is>
      </c>
      <c r="AG330" s="18" t="inlineStr"/>
      <c r="AH330" s="18" t="inlineStr"/>
      <c r="AI330" s="18" t="inlineStr"/>
      <c r="AJ330" s="18" t="inlineStr">
        <is>
          <t>COBBLEVERSE 수정</t>
        </is>
      </c>
      <c r="AK330" s="18" t="inlineStr">
        <is>
          <t>사용</t>
        </is>
      </c>
      <c r="AL330" s="18" t="inlineStr">
        <is>
          <t>COBBLEVERSE 1.7.42 / DP v31</t>
        </is>
      </c>
      <c r="AM330" s="18" t="inlineStr">
        <is>
          <t>data/cobblemon/spawn_pool_world/0089_muk.json</t>
        </is>
      </c>
      <c r="AN330" s="18" t="inlineStr">
        <is>
          <t>muk-7</t>
        </is>
      </c>
      <c r="AO330" s="18" t="inlineStr">
        <is>
          <t>pokemon</t>
        </is>
      </c>
      <c r="AP330" s="18" t="inlineStr">
        <is>
          <t>water</t>
        </is>
      </c>
      <c r="AQ330" s="18" t="inlineStr">
        <is>
          <t>{"biomes":["#cobblemon:is_swamp"],"canSeeSky":false,"maxSkyLight":15,"minSkyLight":8}</t>
        </is>
      </c>
      <c r="AR330" s="18" t="inlineStr"/>
      <c r="AS330" s="18" t="inlineStr">
        <is>
          <t>{"weightMultipliers":[{"condition":{"maxLureLevel":2,"minLureLevel":2},"multiplier":3.0},{"condition":{"minLureLevel":3},"multiplier":5.0}]}</t>
        </is>
      </c>
      <c r="AT330" s="19" t="inlineStr"/>
    </row>
    <row r="331" ht="32" customHeight="1">
      <c r="A331" s="18" t="inlineStr">
        <is>
          <t>0089_muk.json::muk-8::008</t>
        </is>
      </c>
      <c r="B331" s="19" t="inlineStr">
        <is>
          <t>사용</t>
        </is>
      </c>
      <c r="C331" s="18">
        <f>IF(OR(B331&lt;&gt;AK331,M331&lt;&gt;L331,O331&lt;&gt;"",Q331&lt;&gt;"",V331&lt;&gt;1,Y331&lt;&gt;"",AT331&lt;&gt;""),"수정","원본")</f>
        <v/>
      </c>
      <c r="D331" s="18" t="n">
        <v>89</v>
      </c>
      <c r="E331" s="18" t="inlineStr">
        <is>
          <t>질뻐기</t>
        </is>
      </c>
      <c r="F331" s="18" t="inlineStr">
        <is>
          <t>muk</t>
        </is>
      </c>
      <c r="G331" s="18" t="inlineStr">
        <is>
          <t>muk</t>
        </is>
      </c>
      <c r="H331" s="18" t="inlineStr"/>
      <c r="I331" s="18" t="n">
        <v>1</v>
      </c>
      <c r="J331" s="18" t="n"/>
      <c r="K331" s="18" t="n">
        <v>1</v>
      </c>
      <c r="L331" s="18" t="inlineStr">
        <is>
          <t>cobbleventure:generation_1</t>
        </is>
      </c>
      <c r="M331" s="19" t="inlineStr">
        <is>
          <t>cobbleventure:generation_1</t>
        </is>
      </c>
      <c r="N331" s="18" t="inlineStr">
        <is>
          <t>region_01</t>
        </is>
      </c>
      <c r="O331" s="19" t="inlineStr"/>
      <c r="P331" s="18" t="inlineStr">
        <is>
          <t>#cobblemon:is_overworld</t>
        </is>
      </c>
      <c r="Q331" s="19" t="inlineStr"/>
      <c r="R331" s="18">
        <f>IF(Q331="",P331,Q331)</f>
        <v/>
      </c>
      <c r="S331" s="18" t="inlineStr">
        <is>
          <t>#cobblemon:is_swamp</t>
        </is>
      </c>
      <c r="T331" s="18" t="inlineStr">
        <is>
          <t>common</t>
        </is>
      </c>
      <c r="U331" s="20" t="n">
        <v>0.2</v>
      </c>
      <c r="V331" s="21" t="n">
        <v>1</v>
      </c>
      <c r="W331" s="20">
        <f>IF(OR(U331="",V331=""),U331,U331*V331)</f>
        <v/>
      </c>
      <c r="X331" s="18" t="inlineStr">
        <is>
          <t>38-50</t>
        </is>
      </c>
      <c r="Y331" s="19" t="inlineStr"/>
      <c r="Z331" s="18">
        <f>IF(Y331="",X331,Y331)</f>
        <v/>
      </c>
      <c r="AA331" s="18" t="inlineStr">
        <is>
          <t>fishing</t>
        </is>
      </c>
      <c r="AB331" s="18" t="inlineStr"/>
      <c r="AC331" s="18" t="inlineStr"/>
      <c r="AD331" s="18" t="inlineStr"/>
      <c r="AE331" s="18" t="inlineStr">
        <is>
          <t>sky 8-15</t>
        </is>
      </c>
      <c r="AF331" s="18" t="inlineStr">
        <is>
          <t>False</t>
        </is>
      </c>
      <c r="AG331" s="18" t="inlineStr"/>
      <c r="AH331" s="18" t="inlineStr"/>
      <c r="AI331" s="18" t="inlineStr"/>
      <c r="AJ331" s="18" t="inlineStr">
        <is>
          <t>COBBLEVERSE 수정</t>
        </is>
      </c>
      <c r="AK331" s="18" t="inlineStr">
        <is>
          <t>사용</t>
        </is>
      </c>
      <c r="AL331" s="18" t="inlineStr">
        <is>
          <t>COBBLEVERSE 1.7.42 / DP v31</t>
        </is>
      </c>
      <c r="AM331" s="18" t="inlineStr">
        <is>
          <t>data/cobblemon/spawn_pool_world/0089_muk.json</t>
        </is>
      </c>
      <c r="AN331" s="18" t="inlineStr">
        <is>
          <t>muk-8</t>
        </is>
      </c>
      <c r="AO331" s="18" t="inlineStr">
        <is>
          <t>pokemon</t>
        </is>
      </c>
      <c r="AP331" s="18" t="inlineStr">
        <is>
          <t>water; urban</t>
        </is>
      </c>
      <c r="AQ331" s="18" t="inlineStr">
        <is>
          <t>{"biomes":["#cobblemon:is_overworld"],"canSeeSky":false,"maxSkyLight":15,"minSkyLight":8}</t>
        </is>
      </c>
      <c r="AR331" s="18" t="inlineStr">
        <is>
          <t>{"biomes":["#cobblemon:is_swamp"]}</t>
        </is>
      </c>
      <c r="AS331" s="18" t="inlineStr">
        <is>
          <t>{"weightMultipliers":[{"condition":{"maxLureLevel":2,"minLureLevel":2},"multiplier":3.0},{"condition":{"minLureLevel":3},"multiplier":5.0}]}</t>
        </is>
      </c>
      <c r="AT331" s="19" t="inlineStr"/>
    </row>
    <row r="332" ht="32" customHeight="1">
      <c r="A332" s="18" t="inlineStr">
        <is>
          <t>0089_muk.json::muk-alolan-10::009</t>
        </is>
      </c>
      <c r="B332" s="19" t="inlineStr">
        <is>
          <t>사용</t>
        </is>
      </c>
      <c r="C332" s="18">
        <f>IF(OR(B332&lt;&gt;AK332,M332&lt;&gt;L332,O332&lt;&gt;"",Q332&lt;&gt;"",V332&lt;&gt;1,Y332&lt;&gt;"",AT332&lt;&gt;""),"수정","원본")</f>
        <v/>
      </c>
      <c r="D332" s="18" t="n">
        <v>89</v>
      </c>
      <c r="E332" s="18" t="inlineStr">
        <is>
          <t>질뻐기</t>
        </is>
      </c>
      <c r="F332" s="18" t="inlineStr">
        <is>
          <t>muk</t>
        </is>
      </c>
      <c r="G332" s="18" t="inlineStr">
        <is>
          <t>muk alolan</t>
        </is>
      </c>
      <c r="H332" s="18" t="inlineStr">
        <is>
          <t>alolan</t>
        </is>
      </c>
      <c r="I332" s="18" t="n">
        <v>1</v>
      </c>
      <c r="J332" s="18" t="n">
        <v>7</v>
      </c>
      <c r="K332" s="18" t="n">
        <v>7</v>
      </c>
      <c r="L332" s="18" t="inlineStr">
        <is>
          <t>cobbleventure:generation_7</t>
        </is>
      </c>
      <c r="M332" s="19" t="inlineStr">
        <is>
          <t>cobbleventure:generation_7</t>
        </is>
      </c>
      <c r="N332" s="18" t="inlineStr"/>
      <c r="O332" s="19" t="inlineStr"/>
      <c r="P332" s="18" t="inlineStr">
        <is>
          <t>#cobblemon:is_beach</t>
        </is>
      </c>
      <c r="Q332" s="19" t="inlineStr"/>
      <c r="R332" s="18">
        <f>IF(Q332="",P332,Q332)</f>
        <v/>
      </c>
      <c r="S332" s="18" t="inlineStr"/>
      <c r="T332" s="18" t="inlineStr">
        <is>
          <t>uncommon</t>
        </is>
      </c>
      <c r="U332" s="20" t="n">
        <v>0.32</v>
      </c>
      <c r="V332" s="21" t="n">
        <v>1</v>
      </c>
      <c r="W332" s="20">
        <f>IF(OR(U332="",V332=""),U332,U332*V332)</f>
        <v/>
      </c>
      <c r="X332" s="18" t="inlineStr">
        <is>
          <t>38-50</t>
        </is>
      </c>
      <c r="Y332" s="19" t="inlineStr"/>
      <c r="Z332" s="18">
        <f>IF(Y332="",X332,Y332)</f>
        <v/>
      </c>
      <c r="AA332" s="18" t="inlineStr">
        <is>
          <t>grounded</t>
        </is>
      </c>
      <c r="AB332" s="18" t="inlineStr"/>
      <c r="AC332" s="18" t="inlineStr"/>
      <c r="AD332" s="18" t="inlineStr"/>
      <c r="AE332" s="18" t="inlineStr">
        <is>
          <t>sky 8-15</t>
        </is>
      </c>
      <c r="AF332" s="18" t="inlineStr"/>
      <c r="AG332" s="18" t="inlineStr"/>
      <c r="AH332" s="18" t="inlineStr"/>
      <c r="AI332" s="18" t="inlineStr"/>
      <c r="AJ332" s="18" t="inlineStr">
        <is>
          <t>COBBLEVERSE 수정</t>
        </is>
      </c>
      <c r="AK332" s="18" t="inlineStr">
        <is>
          <t>사용</t>
        </is>
      </c>
      <c r="AL332" s="18" t="inlineStr">
        <is>
          <t>COBBLEVERSE 1.7.42 / DP v31</t>
        </is>
      </c>
      <c r="AM332" s="18" t="inlineStr">
        <is>
          <t>data/cobblemon/spawn_pool_world/0089_muk.json</t>
        </is>
      </c>
      <c r="AN332" s="18" t="inlineStr">
        <is>
          <t>muk-alolan-10</t>
        </is>
      </c>
      <c r="AO332" s="18" t="inlineStr">
        <is>
          <t>pokemon</t>
        </is>
      </c>
      <c r="AP332" s="18" t="inlineStr">
        <is>
          <t>natural; urban</t>
        </is>
      </c>
      <c r="AQ332" s="18" t="inlineStr">
        <is>
          <t>{"biomes":["#cobblemon:is_beach"],"maxSkyLight":15,"minSkyLight":8}</t>
        </is>
      </c>
      <c r="AR332" s="18" t="inlineStr"/>
      <c r="AS332" s="18" t="inlineStr">
        <is>
          <t>{"weightMultiplier":{"condition":{"timeRange":"night"},"multiplier":1.5}}</t>
        </is>
      </c>
      <c r="AT332" s="19" t="inlineStr"/>
    </row>
    <row r="333" ht="32" customHeight="1">
      <c r="A333" s="18" t="inlineStr">
        <is>
          <t>0089_muk.json::muk-11::010</t>
        </is>
      </c>
      <c r="B333" s="19" t="inlineStr">
        <is>
          <t>사용</t>
        </is>
      </c>
      <c r="C333" s="18">
        <f>IF(OR(B333&lt;&gt;AK333,M333&lt;&gt;L333,O333&lt;&gt;"",Q333&lt;&gt;"",V333&lt;&gt;1,Y333&lt;&gt;"",AT333&lt;&gt;""),"수정","원본")</f>
        <v/>
      </c>
      <c r="D333" s="18" t="n">
        <v>89</v>
      </c>
      <c r="E333" s="18" t="inlineStr">
        <is>
          <t>질뻐기</t>
        </is>
      </c>
      <c r="F333" s="18" t="inlineStr">
        <is>
          <t>muk</t>
        </is>
      </c>
      <c r="G333" s="18" t="inlineStr">
        <is>
          <t>muk alolan</t>
        </is>
      </c>
      <c r="H333" s="18" t="inlineStr">
        <is>
          <t>alolan</t>
        </is>
      </c>
      <c r="I333" s="18" t="n">
        <v>1</v>
      </c>
      <c r="J333" s="18" t="n">
        <v>7</v>
      </c>
      <c r="K333" s="18" t="n">
        <v>7</v>
      </c>
      <c r="L333" s="18" t="inlineStr">
        <is>
          <t>cobbleventure:generation_7</t>
        </is>
      </c>
      <c r="M333" s="19" t="inlineStr">
        <is>
          <t>cobbleventure:generation_7</t>
        </is>
      </c>
      <c r="N333" s="18" t="inlineStr"/>
      <c r="O333" s="19" t="inlineStr"/>
      <c r="P333" s="18" t="inlineStr">
        <is>
          <t>#minecraft:is_beach</t>
        </is>
      </c>
      <c r="Q333" s="19" t="inlineStr"/>
      <c r="R333" s="18">
        <f>IF(Q333="",P333,Q333)</f>
        <v/>
      </c>
      <c r="S333" s="18" t="inlineStr"/>
      <c r="T333" s="18" t="inlineStr">
        <is>
          <t>rare</t>
        </is>
      </c>
      <c r="U333" s="20" t="n">
        <v>4</v>
      </c>
      <c r="V333" s="21" t="n">
        <v>1</v>
      </c>
      <c r="W333" s="20">
        <f>IF(OR(U333="",V333=""),U333,U333*V333)</f>
        <v/>
      </c>
      <c r="X333" s="18" t="inlineStr">
        <is>
          <t>38-55</t>
        </is>
      </c>
      <c r="Y333" s="19" t="inlineStr"/>
      <c r="Z333" s="18">
        <f>IF(Y333="",X333,Y333)</f>
        <v/>
      </c>
      <c r="AA333" s="18" t="inlineStr">
        <is>
          <t>grounded</t>
        </is>
      </c>
      <c r="AB333" s="18" t="inlineStr"/>
      <c r="AC333" s="18" t="inlineStr"/>
      <c r="AD333" s="18" t="inlineStr"/>
      <c r="AE333" s="18" t="inlineStr"/>
      <c r="AF333" s="18" t="inlineStr">
        <is>
          <t>True</t>
        </is>
      </c>
      <c r="AG333" s="18" t="inlineStr"/>
      <c r="AH333" s="18" t="inlineStr"/>
      <c r="AI333" s="18" t="inlineStr"/>
      <c r="AJ333" s="18" t="inlineStr">
        <is>
          <t>COBBLEVERSE 수정</t>
        </is>
      </c>
      <c r="AK333" s="18" t="inlineStr">
        <is>
          <t>사용</t>
        </is>
      </c>
      <c r="AL333" s="18" t="inlineStr">
        <is>
          <t>COBBLEVERSE 1.7.42 / DP v31</t>
        </is>
      </c>
      <c r="AM333" s="18" t="inlineStr">
        <is>
          <t>data/cobblemon/spawn_pool_world/0089_muk.json</t>
        </is>
      </c>
      <c r="AN333" s="18" t="inlineStr">
        <is>
          <t>muk-11</t>
        </is>
      </c>
      <c r="AO333" s="18" t="inlineStr">
        <is>
          <t>pokemon</t>
        </is>
      </c>
      <c r="AP333" s="18" t="inlineStr">
        <is>
          <t>natural; wild</t>
        </is>
      </c>
      <c r="AQ333" s="18" t="inlineStr">
        <is>
          <t>{"biomes":["#minecraft:is_beach"],"canSeeSky":true}</t>
        </is>
      </c>
      <c r="AR333" s="18" t="inlineStr"/>
      <c r="AS333" s="18" t="inlineStr"/>
      <c r="AT333" s="19" t="inlineStr"/>
    </row>
    <row r="334" ht="32" customHeight="1">
      <c r="A334" s="18" t="inlineStr">
        <is>
          <t>0089_muk.json::muk-12::011</t>
        </is>
      </c>
      <c r="B334" s="19" t="inlineStr">
        <is>
          <t>사용</t>
        </is>
      </c>
      <c r="C334" s="18">
        <f>IF(OR(B334&lt;&gt;AK334,M334&lt;&gt;L334,O334&lt;&gt;"",Q334&lt;&gt;"",V334&lt;&gt;1,Y334&lt;&gt;"",AT334&lt;&gt;""),"수정","원본")</f>
        <v/>
      </c>
      <c r="D334" s="18" t="n">
        <v>89</v>
      </c>
      <c r="E334" s="18" t="inlineStr">
        <is>
          <t>질뻐기</t>
        </is>
      </c>
      <c r="F334" s="18" t="inlineStr">
        <is>
          <t>muk</t>
        </is>
      </c>
      <c r="G334" s="18" t="inlineStr">
        <is>
          <t>muk alolan</t>
        </is>
      </c>
      <c r="H334" s="18" t="inlineStr">
        <is>
          <t>alolan</t>
        </is>
      </c>
      <c r="I334" s="18" t="n">
        <v>1</v>
      </c>
      <c r="J334" s="18" t="n">
        <v>7</v>
      </c>
      <c r="K334" s="18" t="n">
        <v>7</v>
      </c>
      <c r="L334" s="18" t="inlineStr">
        <is>
          <t>cobbleventure:generation_7</t>
        </is>
      </c>
      <c r="M334" s="19" t="inlineStr">
        <is>
          <t>cobbleventure:generation_7</t>
        </is>
      </c>
      <c r="N334" s="18" t="inlineStr"/>
      <c r="O334" s="19" t="inlineStr"/>
      <c r="P334" s="18" t="inlineStr">
        <is>
          <t>#cobblemon:is_beach</t>
        </is>
      </c>
      <c r="Q334" s="19" t="inlineStr"/>
      <c r="R334" s="18">
        <f>IF(Q334="",P334,Q334)</f>
        <v/>
      </c>
      <c r="S334" s="18" t="inlineStr"/>
      <c r="T334" s="18" t="inlineStr">
        <is>
          <t>rare</t>
        </is>
      </c>
      <c r="U334" s="20" t="n">
        <v>1.8</v>
      </c>
      <c r="V334" s="21" t="n">
        <v>1</v>
      </c>
      <c r="W334" s="20">
        <f>IF(OR(U334="",V334=""),U334,U334*V334)</f>
        <v/>
      </c>
      <c r="X334" s="18" t="inlineStr">
        <is>
          <t>40-53</t>
        </is>
      </c>
      <c r="Y334" s="19" t="inlineStr"/>
      <c r="Z334" s="18">
        <f>IF(Y334="",X334,Y334)</f>
        <v/>
      </c>
      <c r="AA334" s="18" t="inlineStr">
        <is>
          <t>fishing</t>
        </is>
      </c>
      <c r="AB334" s="18" t="inlineStr"/>
      <c r="AC334" s="18" t="inlineStr"/>
      <c r="AD334" s="18" t="inlineStr"/>
      <c r="AE334" s="18" t="inlineStr"/>
      <c r="AF334" s="18" t="inlineStr"/>
      <c r="AG334" s="18" t="inlineStr"/>
      <c r="AH334" s="18" t="inlineStr"/>
      <c r="AI334" s="18" t="inlineStr"/>
      <c r="AJ334" s="18" t="inlineStr">
        <is>
          <t>COBBLEVERSE 수정</t>
        </is>
      </c>
      <c r="AK334" s="18" t="inlineStr">
        <is>
          <t>사용</t>
        </is>
      </c>
      <c r="AL334" s="18" t="inlineStr">
        <is>
          <t>COBBLEVERSE 1.7.42 / DP v31</t>
        </is>
      </c>
      <c r="AM334" s="18" t="inlineStr">
        <is>
          <t>data/cobblemon/spawn_pool_world/0089_muk.json</t>
        </is>
      </c>
      <c r="AN334" s="18" t="inlineStr">
        <is>
          <t>muk-12</t>
        </is>
      </c>
      <c r="AO334" s="18" t="inlineStr">
        <is>
          <t>pokemon</t>
        </is>
      </c>
      <c r="AP334" s="18" t="inlineStr">
        <is>
          <t>water</t>
        </is>
      </c>
      <c r="AQ334" s="18" t="inlineStr">
        <is>
          <t>{"biomes":["#cobblemon:is_beach"]}</t>
        </is>
      </c>
      <c r="AR334" s="18" t="inlineStr"/>
      <c r="AS334" s="18" t="inlineStr">
        <is>
          <t>{"weightMultipliers":[{"condition":{"maxLureLevel":2,"minLureLevel":2},"multiplier":3.0},{"condition":{"minLureLevel":3},"multiplier":5.0}]}</t>
        </is>
      </c>
      <c r="AT334" s="19" t="inlineStr"/>
    </row>
    <row r="335" ht="32" customHeight="1">
      <c r="A335" s="18" t="inlineStr">
        <is>
          <t>0090_shellder.json::shellder-1::001</t>
        </is>
      </c>
      <c r="B335" s="19" t="inlineStr">
        <is>
          <t>사용</t>
        </is>
      </c>
      <c r="C335" s="18">
        <f>IF(OR(B335&lt;&gt;AK335,M335&lt;&gt;L335,O335&lt;&gt;"",Q335&lt;&gt;"",V335&lt;&gt;1,Y335&lt;&gt;"",AT335&lt;&gt;""),"수정","원본")</f>
        <v/>
      </c>
      <c r="D335" s="18" t="n">
        <v>90</v>
      </c>
      <c r="E335" s="18" t="inlineStr">
        <is>
          <t>셀러</t>
        </is>
      </c>
      <c r="F335" s="18" t="inlineStr">
        <is>
          <t>shellder</t>
        </is>
      </c>
      <c r="G335" s="18" t="inlineStr">
        <is>
          <t>shellder</t>
        </is>
      </c>
      <c r="H335" s="18" t="inlineStr"/>
      <c r="I335" s="18" t="n">
        <v>1</v>
      </c>
      <c r="J335" s="18" t="n"/>
      <c r="K335" s="18" t="n">
        <v>1</v>
      </c>
      <c r="L335" s="18" t="inlineStr">
        <is>
          <t>cobbleventure:generation_1</t>
        </is>
      </c>
      <c r="M335" s="19" t="inlineStr">
        <is>
          <t>cobbleventure:generation_1</t>
        </is>
      </c>
      <c r="N335" s="18" t="inlineStr"/>
      <c r="O335" s="19" t="inlineStr"/>
      <c r="P335" s="18" t="inlineStr">
        <is>
          <t>#cobblemon:is_cold_ocean; #cobblemon:is_frozen_ocean</t>
        </is>
      </c>
      <c r="Q335" s="19" t="inlineStr"/>
      <c r="R335" s="18">
        <f>IF(Q335="",P335,Q335)</f>
        <v/>
      </c>
      <c r="S335" s="18" t="inlineStr"/>
      <c r="T335" s="18" t="inlineStr">
        <is>
          <t>common</t>
        </is>
      </c>
      <c r="U335" s="20" t="n">
        <v>9.5</v>
      </c>
      <c r="V335" s="21" t="n">
        <v>1</v>
      </c>
      <c r="W335" s="20">
        <f>IF(OR(U335="",V335=""),U335,U335*V335)</f>
        <v/>
      </c>
      <c r="X335" s="18" t="inlineStr">
        <is>
          <t>6-31</t>
        </is>
      </c>
      <c r="Y335" s="19" t="inlineStr"/>
      <c r="Z335" s="18">
        <f>IF(Y335="",X335,Y335)</f>
        <v/>
      </c>
      <c r="AA335" s="18" t="inlineStr">
        <is>
          <t>seafloor</t>
        </is>
      </c>
      <c r="AB335" s="18" t="inlineStr"/>
      <c r="AC335" s="18" t="inlineStr"/>
      <c r="AD335" s="18" t="inlineStr"/>
      <c r="AE335" s="18" t="inlineStr"/>
      <c r="AF335" s="18" t="inlineStr">
        <is>
          <t>True</t>
        </is>
      </c>
      <c r="AG335" s="18" t="inlineStr"/>
      <c r="AH335" s="18" t="inlineStr"/>
      <c r="AI335" s="18" t="inlineStr"/>
      <c r="AJ335" s="18" t="inlineStr">
        <is>
          <t>Cobblemon 동일</t>
        </is>
      </c>
      <c r="AK335" s="18" t="inlineStr">
        <is>
          <t>사용</t>
        </is>
      </c>
      <c r="AL335" s="18" t="inlineStr">
        <is>
          <t>COBBLEVERSE 1.7.42 / DP v31</t>
        </is>
      </c>
      <c r="AM335" s="18" t="inlineStr">
        <is>
          <t>data/cobblemon/spawn_pool_world/0090_shellder.json</t>
        </is>
      </c>
      <c r="AN335" s="18" t="inlineStr">
        <is>
          <t>shellder-1</t>
        </is>
      </c>
      <c r="AO335" s="18" t="inlineStr">
        <is>
          <t>pokemon</t>
        </is>
      </c>
      <c r="AP335" s="18" t="inlineStr">
        <is>
          <t>water</t>
        </is>
      </c>
      <c r="AQ335" s="18" t="inlineStr">
        <is>
          <t>{"biomes":["#cobblemon:is_cold_ocean","#cobblemon:is_frozen_ocean"],"canSeeSky":true}</t>
        </is>
      </c>
      <c r="AR335" s="18" t="inlineStr"/>
      <c r="AS335" s="18" t="inlineStr"/>
      <c r="AT335" s="19" t="inlineStr"/>
    </row>
    <row r="336" ht="32" customHeight="1">
      <c r="A336" s="18" t="inlineStr">
        <is>
          <t>0090_shellder.json::shellder-2::002</t>
        </is>
      </c>
      <c r="B336" s="19" t="inlineStr">
        <is>
          <t>사용</t>
        </is>
      </c>
      <c r="C336" s="18">
        <f>IF(OR(B336&lt;&gt;AK336,M336&lt;&gt;L336,O336&lt;&gt;"",Q336&lt;&gt;"",V336&lt;&gt;1,Y336&lt;&gt;"",AT336&lt;&gt;""),"수정","원본")</f>
        <v/>
      </c>
      <c r="D336" s="18" t="n">
        <v>90</v>
      </c>
      <c r="E336" s="18" t="inlineStr">
        <is>
          <t>셀러</t>
        </is>
      </c>
      <c r="F336" s="18" t="inlineStr">
        <is>
          <t>shellder</t>
        </is>
      </c>
      <c r="G336" s="18" t="inlineStr">
        <is>
          <t>shellder</t>
        </is>
      </c>
      <c r="H336" s="18" t="inlineStr"/>
      <c r="I336" s="18" t="n">
        <v>1</v>
      </c>
      <c r="J336" s="18" t="n"/>
      <c r="K336" s="18" t="n">
        <v>1</v>
      </c>
      <c r="L336" s="18" t="inlineStr">
        <is>
          <t>cobbleventure:generation_1</t>
        </is>
      </c>
      <c r="M336" s="19" t="inlineStr">
        <is>
          <t>cobbleventure:generation_1</t>
        </is>
      </c>
      <c r="N336" s="18" t="inlineStr"/>
      <c r="O336" s="19" t="inlineStr"/>
      <c r="P336" s="18" t="inlineStr">
        <is>
          <t>#cobblemon:is_ocean</t>
        </is>
      </c>
      <c r="Q336" s="19" t="inlineStr"/>
      <c r="R336" s="18">
        <f>IF(Q336="",P336,Q336)</f>
        <v/>
      </c>
      <c r="S336" s="18" t="inlineStr">
        <is>
          <t>#cobblemon:is_cold_ocean; #cobblemon:is_frozen_ocean</t>
        </is>
      </c>
      <c r="T336" s="18" t="inlineStr">
        <is>
          <t>common</t>
        </is>
      </c>
      <c r="U336" s="20" t="n">
        <v>5.7</v>
      </c>
      <c r="V336" s="21" t="n">
        <v>1</v>
      </c>
      <c r="W336" s="20">
        <f>IF(OR(U336="",V336=""),U336,U336*V336)</f>
        <v/>
      </c>
      <c r="X336" s="18" t="inlineStr">
        <is>
          <t>6-31</t>
        </is>
      </c>
      <c r="Y336" s="19" t="inlineStr"/>
      <c r="Z336" s="18">
        <f>IF(Y336="",X336,Y336)</f>
        <v/>
      </c>
      <c r="AA336" s="18" t="inlineStr">
        <is>
          <t>seafloor</t>
        </is>
      </c>
      <c r="AB336" s="18" t="inlineStr"/>
      <c r="AC336" s="18" t="inlineStr"/>
      <c r="AD336" s="18" t="inlineStr"/>
      <c r="AE336" s="18" t="inlineStr"/>
      <c r="AF336" s="18" t="inlineStr">
        <is>
          <t>True</t>
        </is>
      </c>
      <c r="AG336" s="18" t="inlineStr"/>
      <c r="AH336" s="18" t="inlineStr"/>
      <c r="AI336" s="18" t="inlineStr"/>
      <c r="AJ336" s="18" t="inlineStr">
        <is>
          <t>Cobblemon 동일</t>
        </is>
      </c>
      <c r="AK336" s="18" t="inlineStr">
        <is>
          <t>사용</t>
        </is>
      </c>
      <c r="AL336" s="18" t="inlineStr">
        <is>
          <t>COBBLEVERSE 1.7.42 / DP v31</t>
        </is>
      </c>
      <c r="AM336" s="18" t="inlineStr">
        <is>
          <t>data/cobblemon/spawn_pool_world/0090_shellder.json</t>
        </is>
      </c>
      <c r="AN336" s="18" t="inlineStr">
        <is>
          <t>shellder-2</t>
        </is>
      </c>
      <c r="AO336" s="18" t="inlineStr">
        <is>
          <t>pokemon</t>
        </is>
      </c>
      <c r="AP336" s="18" t="inlineStr">
        <is>
          <t>water</t>
        </is>
      </c>
      <c r="AQ336" s="18" t="inlineStr">
        <is>
          <t>{"biomes":["#cobblemon:is_ocean"],"canSeeSky":true}</t>
        </is>
      </c>
      <c r="AR336" s="18" t="inlineStr">
        <is>
          <t>{"biomes":["#cobblemon:is_cold_ocean","#cobblemon:is_frozen_ocean"]}</t>
        </is>
      </c>
      <c r="AS336" s="18" t="inlineStr"/>
      <c r="AT336" s="19" t="inlineStr"/>
    </row>
    <row r="337" ht="32" customHeight="1">
      <c r="A337" s="18" t="inlineStr">
        <is>
          <t>0090_shellder.json::shellder-3::003</t>
        </is>
      </c>
      <c r="B337" s="19" t="inlineStr">
        <is>
          <t>사용</t>
        </is>
      </c>
      <c r="C337" s="18">
        <f>IF(OR(B337&lt;&gt;AK337,M337&lt;&gt;L337,O337&lt;&gt;"",Q337&lt;&gt;"",V337&lt;&gt;1,Y337&lt;&gt;"",AT337&lt;&gt;""),"수정","원본")</f>
        <v/>
      </c>
      <c r="D337" s="18" t="n">
        <v>90</v>
      </c>
      <c r="E337" s="18" t="inlineStr">
        <is>
          <t>셀러</t>
        </is>
      </c>
      <c r="F337" s="18" t="inlineStr">
        <is>
          <t>shellder</t>
        </is>
      </c>
      <c r="G337" s="18" t="inlineStr">
        <is>
          <t>shellder</t>
        </is>
      </c>
      <c r="H337" s="18" t="inlineStr"/>
      <c r="I337" s="18" t="n">
        <v>1</v>
      </c>
      <c r="J337" s="18" t="n"/>
      <c r="K337" s="18" t="n">
        <v>1</v>
      </c>
      <c r="L337" s="18" t="inlineStr">
        <is>
          <t>cobbleventure:generation_1</t>
        </is>
      </c>
      <c r="M337" s="19" t="inlineStr">
        <is>
          <t>cobbleventure:generation_1</t>
        </is>
      </c>
      <c r="N337" s="18" t="inlineStr"/>
      <c r="O337" s="19" t="inlineStr"/>
      <c r="P337" s="18" t="inlineStr">
        <is>
          <t>#cobblemon:is_cold_ocean; #cobblemon:is_frozen_ocean</t>
        </is>
      </c>
      <c r="Q337" s="19" t="inlineStr"/>
      <c r="R337" s="18">
        <f>IF(Q337="",P337,Q337)</f>
        <v/>
      </c>
      <c r="S337" s="18" t="inlineStr"/>
      <c r="T337" s="18" t="inlineStr">
        <is>
          <t>common</t>
        </is>
      </c>
      <c r="U337" s="20" t="n">
        <v>9.5</v>
      </c>
      <c r="V337" s="21" t="n">
        <v>1</v>
      </c>
      <c r="W337" s="20">
        <f>IF(OR(U337="",V337=""),U337,U337*V337)</f>
        <v/>
      </c>
      <c r="X337" s="18" t="inlineStr">
        <is>
          <t>6-31</t>
        </is>
      </c>
      <c r="Y337" s="19" t="inlineStr"/>
      <c r="Z337" s="18">
        <f>IF(Y337="",X337,Y337)</f>
        <v/>
      </c>
      <c r="AA337" s="18" t="inlineStr">
        <is>
          <t>fishing</t>
        </is>
      </c>
      <c r="AB337" s="18" t="inlineStr"/>
      <c r="AC337" s="18" t="inlineStr"/>
      <c r="AD337" s="18" t="inlineStr"/>
      <c r="AE337" s="18" t="inlineStr"/>
      <c r="AF337" s="18" t="inlineStr">
        <is>
          <t>True</t>
        </is>
      </c>
      <c r="AG337" s="18" t="inlineStr"/>
      <c r="AH337" s="18" t="inlineStr"/>
      <c r="AI337" s="18" t="inlineStr"/>
      <c r="AJ337" s="18" t="inlineStr">
        <is>
          <t>Cobblemon 동일</t>
        </is>
      </c>
      <c r="AK337" s="18" t="inlineStr">
        <is>
          <t>사용</t>
        </is>
      </c>
      <c r="AL337" s="18" t="inlineStr">
        <is>
          <t>COBBLEVERSE 1.7.42 / DP v31</t>
        </is>
      </c>
      <c r="AM337" s="18" t="inlineStr">
        <is>
          <t>data/cobblemon/spawn_pool_world/0090_shellder.json</t>
        </is>
      </c>
      <c r="AN337" s="18" t="inlineStr">
        <is>
          <t>shellder-3</t>
        </is>
      </c>
      <c r="AO337" s="18" t="inlineStr">
        <is>
          <t>pokemon</t>
        </is>
      </c>
      <c r="AP337" s="18" t="inlineStr"/>
      <c r="AQ337" s="18" t="inlineStr">
        <is>
          <t>{"biomes":["#cobblemon:is_cold_ocean","#cobblemon:is_frozen_ocean"],"canSeeSky":true}</t>
        </is>
      </c>
      <c r="AR337" s="18" t="inlineStr"/>
      <c r="AS337" s="18" t="inlineStr">
        <is>
          <t>{"weightMultiplier":{"condition":{"maxLureLevel":1,"minLureLevel":0},"multiplier":0.6}}</t>
        </is>
      </c>
      <c r="AT337" s="19" t="inlineStr"/>
    </row>
    <row r="338" ht="32" customHeight="1">
      <c r="A338" s="18" t="inlineStr">
        <is>
          <t>0090_shellder.json::shellder-4::004</t>
        </is>
      </c>
      <c r="B338" s="19" t="inlineStr">
        <is>
          <t>사용</t>
        </is>
      </c>
      <c r="C338" s="18">
        <f>IF(OR(B338&lt;&gt;AK338,M338&lt;&gt;L338,O338&lt;&gt;"",Q338&lt;&gt;"",V338&lt;&gt;1,Y338&lt;&gt;"",AT338&lt;&gt;""),"수정","원본")</f>
        <v/>
      </c>
      <c r="D338" s="18" t="n">
        <v>90</v>
      </c>
      <c r="E338" s="18" t="inlineStr">
        <is>
          <t>셀러</t>
        </is>
      </c>
      <c r="F338" s="18" t="inlineStr">
        <is>
          <t>shellder</t>
        </is>
      </c>
      <c r="G338" s="18" t="inlineStr">
        <is>
          <t>shellder</t>
        </is>
      </c>
      <c r="H338" s="18" t="inlineStr"/>
      <c r="I338" s="18" t="n">
        <v>1</v>
      </c>
      <c r="J338" s="18" t="n"/>
      <c r="K338" s="18" t="n">
        <v>1</v>
      </c>
      <c r="L338" s="18" t="inlineStr">
        <is>
          <t>cobbleventure:generation_1</t>
        </is>
      </c>
      <c r="M338" s="19" t="inlineStr">
        <is>
          <t>cobbleventure:generation_1</t>
        </is>
      </c>
      <c r="N338" s="18" t="inlineStr"/>
      <c r="O338" s="19" t="inlineStr"/>
      <c r="P338" s="18" t="inlineStr">
        <is>
          <t>#cobblemon:is_coast; #cobblemon:is_ocean</t>
        </is>
      </c>
      <c r="Q338" s="19" t="inlineStr"/>
      <c r="R338" s="18">
        <f>IF(Q338="",P338,Q338)</f>
        <v/>
      </c>
      <c r="S338" s="18" t="inlineStr">
        <is>
          <t>#cobblemon:is_cold_ocean; #cobblemon:is_frozen_ocean</t>
        </is>
      </c>
      <c r="T338" s="18" t="inlineStr">
        <is>
          <t>common</t>
        </is>
      </c>
      <c r="U338" s="20" t="n">
        <v>1.9</v>
      </c>
      <c r="V338" s="21" t="n">
        <v>1</v>
      </c>
      <c r="W338" s="20">
        <f>IF(OR(U338="",V338=""),U338,U338*V338)</f>
        <v/>
      </c>
      <c r="X338" s="18" t="inlineStr">
        <is>
          <t>6-31</t>
        </is>
      </c>
      <c r="Y338" s="19" t="inlineStr"/>
      <c r="Z338" s="18">
        <f>IF(Y338="",X338,Y338)</f>
        <v/>
      </c>
      <c r="AA338" s="18" t="inlineStr">
        <is>
          <t>fishing</t>
        </is>
      </c>
      <c r="AB338" s="18" t="inlineStr"/>
      <c r="AC338" s="18" t="inlineStr"/>
      <c r="AD338" s="18" t="inlineStr"/>
      <c r="AE338" s="18" t="inlineStr"/>
      <c r="AF338" s="18" t="inlineStr">
        <is>
          <t>True</t>
        </is>
      </c>
      <c r="AG338" s="18" t="inlineStr"/>
      <c r="AH338" s="18" t="inlineStr"/>
      <c r="AI338" s="18" t="inlineStr"/>
      <c r="AJ338" s="18" t="inlineStr">
        <is>
          <t>Cobblemon 동일</t>
        </is>
      </c>
      <c r="AK338" s="18" t="inlineStr">
        <is>
          <t>사용</t>
        </is>
      </c>
      <c r="AL338" s="18" t="inlineStr">
        <is>
          <t>COBBLEVERSE 1.7.42 / DP v31</t>
        </is>
      </c>
      <c r="AM338" s="18" t="inlineStr">
        <is>
          <t>data/cobblemon/spawn_pool_world/0090_shellder.json</t>
        </is>
      </c>
      <c r="AN338" s="18" t="inlineStr">
        <is>
          <t>shellder-4</t>
        </is>
      </c>
      <c r="AO338" s="18" t="inlineStr">
        <is>
          <t>pokemon</t>
        </is>
      </c>
      <c r="AP338" s="18" t="inlineStr"/>
      <c r="AQ338" s="18" t="inlineStr">
        <is>
          <t>{"biomes":["#cobblemon:is_coast","#cobblemon:is_ocean"],"canSeeSky":true}</t>
        </is>
      </c>
      <c r="AR338" s="18" t="inlineStr">
        <is>
          <t>{"biomes":["#cobblemon:is_cold_ocean","#cobblemon:is_frozen_ocean"]}</t>
        </is>
      </c>
      <c r="AS338" s="18" t="inlineStr">
        <is>
          <t>{"weightMultipliers":[{"condition":{"maxLureLevel":2,"minLureLevel":2},"multiplier":3.0},{"condition":{"minLureLevel":3},"multiplier":5.0}]}</t>
        </is>
      </c>
      <c r="AT338" s="19" t="inlineStr"/>
    </row>
    <row r="339" ht="32" customHeight="1">
      <c r="A339" s="18" t="inlineStr">
        <is>
          <t>0090_shellder.json::shellder-5::005</t>
        </is>
      </c>
      <c r="B339" s="19" t="inlineStr">
        <is>
          <t>사용</t>
        </is>
      </c>
      <c r="C339" s="18">
        <f>IF(OR(B339&lt;&gt;AK339,M339&lt;&gt;L339,O339&lt;&gt;"",Q339&lt;&gt;"",V339&lt;&gt;1,Y339&lt;&gt;"",AT339&lt;&gt;""),"수정","원본")</f>
        <v/>
      </c>
      <c r="D339" s="18" t="n">
        <v>90</v>
      </c>
      <c r="E339" s="18" t="inlineStr">
        <is>
          <t>셀러</t>
        </is>
      </c>
      <c r="F339" s="18" t="inlineStr">
        <is>
          <t>shellder</t>
        </is>
      </c>
      <c r="G339" s="18" t="inlineStr">
        <is>
          <t>shellder</t>
        </is>
      </c>
      <c r="H339" s="18" t="inlineStr"/>
      <c r="I339" s="18" t="n">
        <v>1</v>
      </c>
      <c r="J339" s="18" t="n"/>
      <c r="K339" s="18" t="n">
        <v>1</v>
      </c>
      <c r="L339" s="18" t="inlineStr">
        <is>
          <t>cobbleventure:generation_1</t>
        </is>
      </c>
      <c r="M339" s="19" t="inlineStr">
        <is>
          <t>cobbleventure:generation_1</t>
        </is>
      </c>
      <c r="N339" s="18" t="inlineStr"/>
      <c r="O339" s="19" t="inlineStr"/>
      <c r="P339" s="18" t="inlineStr">
        <is>
          <t>#cobblemon:is_cold_ocean; #cobblemon:is_frozen_ocean</t>
        </is>
      </c>
      <c r="Q339" s="19" t="inlineStr"/>
      <c r="R339" s="18">
        <f>IF(Q339="",P339,Q339)</f>
        <v/>
      </c>
      <c r="S339" s="18" t="inlineStr"/>
      <c r="T339" s="18" t="inlineStr">
        <is>
          <t>common</t>
        </is>
      </c>
      <c r="U339" s="20" t="n">
        <v>9.5</v>
      </c>
      <c r="V339" s="21" t="n">
        <v>1</v>
      </c>
      <c r="W339" s="20">
        <f>IF(OR(U339="",V339=""),U339,U339*V339)</f>
        <v/>
      </c>
      <c r="X339" s="18" t="inlineStr">
        <is>
          <t>6-31</t>
        </is>
      </c>
      <c r="Y339" s="19" t="inlineStr"/>
      <c r="Z339" s="18">
        <f>IF(Y339="",X339,Y339)</f>
        <v/>
      </c>
      <c r="AA339" s="18" t="inlineStr">
        <is>
          <t>fishing</t>
        </is>
      </c>
      <c r="AB339" s="18" t="inlineStr"/>
      <c r="AC339" s="18" t="inlineStr"/>
      <c r="AD339" s="18" t="inlineStr"/>
      <c r="AE339" s="18" t="inlineStr">
        <is>
          <t>sky 8-15</t>
        </is>
      </c>
      <c r="AF339" s="18" t="inlineStr">
        <is>
          <t>False</t>
        </is>
      </c>
      <c r="AG339" s="18" t="inlineStr"/>
      <c r="AH339" s="18" t="inlineStr"/>
      <c r="AI339" s="18" t="inlineStr"/>
      <c r="AJ339" s="18" t="inlineStr">
        <is>
          <t>Cobblemon 동일</t>
        </is>
      </c>
      <c r="AK339" s="18" t="inlineStr">
        <is>
          <t>사용</t>
        </is>
      </c>
      <c r="AL339" s="18" t="inlineStr">
        <is>
          <t>COBBLEVERSE 1.7.42 / DP v31</t>
        </is>
      </c>
      <c r="AM339" s="18" t="inlineStr">
        <is>
          <t>data/cobblemon/spawn_pool_world/0090_shellder.json</t>
        </is>
      </c>
      <c r="AN339" s="18" t="inlineStr">
        <is>
          <t>shellder-5</t>
        </is>
      </c>
      <c r="AO339" s="18" t="inlineStr">
        <is>
          <t>pokemon</t>
        </is>
      </c>
      <c r="AP339" s="18" t="inlineStr"/>
      <c r="AQ339" s="18" t="inlineStr">
        <is>
          <t>{"biomes":["#cobblemon:is_cold_ocean","#cobblemon:is_frozen_ocean"],"canSeeSky":false,"maxSkyLight":15,"minSkyLight":8}</t>
        </is>
      </c>
      <c r="AR339" s="18" t="inlineStr"/>
      <c r="AS339" s="18" t="inlineStr">
        <is>
          <t>{"weightMultiplier":{"condition":{"maxLureLevel":1,"minLureLevel":0},"multiplier":0.6}}</t>
        </is>
      </c>
      <c r="AT339" s="19" t="inlineStr"/>
    </row>
    <row r="340" ht="32" customHeight="1">
      <c r="A340" s="18" t="inlineStr">
        <is>
          <t>0090_shellder.json::shellder-6::006</t>
        </is>
      </c>
      <c r="B340" s="19" t="inlineStr">
        <is>
          <t>사용</t>
        </is>
      </c>
      <c r="C340" s="18">
        <f>IF(OR(B340&lt;&gt;AK340,M340&lt;&gt;L340,O340&lt;&gt;"",Q340&lt;&gt;"",V340&lt;&gt;1,Y340&lt;&gt;"",AT340&lt;&gt;""),"수정","원본")</f>
        <v/>
      </c>
      <c r="D340" s="18" t="n">
        <v>90</v>
      </c>
      <c r="E340" s="18" t="inlineStr">
        <is>
          <t>셀러</t>
        </is>
      </c>
      <c r="F340" s="18" t="inlineStr">
        <is>
          <t>shellder</t>
        </is>
      </c>
      <c r="G340" s="18" t="inlineStr">
        <is>
          <t>shellder</t>
        </is>
      </c>
      <c r="H340" s="18" t="inlineStr"/>
      <c r="I340" s="18" t="n">
        <v>1</v>
      </c>
      <c r="J340" s="18" t="n"/>
      <c r="K340" s="18" t="n">
        <v>1</v>
      </c>
      <c r="L340" s="18" t="inlineStr">
        <is>
          <t>cobbleventure:generation_1</t>
        </is>
      </c>
      <c r="M340" s="19" t="inlineStr">
        <is>
          <t>cobbleventure:generation_1</t>
        </is>
      </c>
      <c r="N340" s="18" t="inlineStr"/>
      <c r="O340" s="19" t="inlineStr"/>
      <c r="P340" s="18" t="inlineStr">
        <is>
          <t>#cobblemon:is_coast; #cobblemon:is_ocean</t>
        </is>
      </c>
      <c r="Q340" s="19" t="inlineStr"/>
      <c r="R340" s="18">
        <f>IF(Q340="",P340,Q340)</f>
        <v/>
      </c>
      <c r="S340" s="18" t="inlineStr">
        <is>
          <t>#cobblemon:is_cold_ocean; #cobblemon:is_frozen_ocean</t>
        </is>
      </c>
      <c r="T340" s="18" t="inlineStr">
        <is>
          <t>common</t>
        </is>
      </c>
      <c r="U340" s="20" t="n">
        <v>1.9</v>
      </c>
      <c r="V340" s="21" t="n">
        <v>1</v>
      </c>
      <c r="W340" s="20">
        <f>IF(OR(U340="",V340=""),U340,U340*V340)</f>
        <v/>
      </c>
      <c r="X340" s="18" t="inlineStr">
        <is>
          <t>6-31</t>
        </is>
      </c>
      <c r="Y340" s="19" t="inlineStr"/>
      <c r="Z340" s="18">
        <f>IF(Y340="",X340,Y340)</f>
        <v/>
      </c>
      <c r="AA340" s="18" t="inlineStr">
        <is>
          <t>fishing</t>
        </is>
      </c>
      <c r="AB340" s="18" t="inlineStr"/>
      <c r="AC340" s="18" t="inlineStr"/>
      <c r="AD340" s="18" t="inlineStr"/>
      <c r="AE340" s="18" t="inlineStr">
        <is>
          <t>sky 8-15</t>
        </is>
      </c>
      <c r="AF340" s="18" t="inlineStr">
        <is>
          <t>False</t>
        </is>
      </c>
      <c r="AG340" s="18" t="inlineStr"/>
      <c r="AH340" s="18" t="inlineStr"/>
      <c r="AI340" s="18" t="inlineStr"/>
      <c r="AJ340" s="18" t="inlineStr">
        <is>
          <t>Cobblemon 동일</t>
        </is>
      </c>
      <c r="AK340" s="18" t="inlineStr">
        <is>
          <t>사용</t>
        </is>
      </c>
      <c r="AL340" s="18" t="inlineStr">
        <is>
          <t>COBBLEVERSE 1.7.42 / DP v31</t>
        </is>
      </c>
      <c r="AM340" s="18" t="inlineStr">
        <is>
          <t>data/cobblemon/spawn_pool_world/0090_shellder.json</t>
        </is>
      </c>
      <c r="AN340" s="18" t="inlineStr">
        <is>
          <t>shellder-6</t>
        </is>
      </c>
      <c r="AO340" s="18" t="inlineStr">
        <is>
          <t>pokemon</t>
        </is>
      </c>
      <c r="AP340" s="18" t="inlineStr"/>
      <c r="AQ340" s="18" t="inlineStr">
        <is>
          <t>{"biomes":["#cobblemon:is_coast","#cobblemon:is_ocean"],"canSeeSky":false,"maxSkyLight":15,"minSkyLight":8}</t>
        </is>
      </c>
      <c r="AR340" s="18" t="inlineStr">
        <is>
          <t>{"biomes":["#cobblemon:is_cold_ocean","#cobblemon:is_frozen_ocean"]}</t>
        </is>
      </c>
      <c r="AS340" s="18" t="inlineStr">
        <is>
          <t>{"weightMultipliers":[{"condition":{"maxLureLevel":2,"minLureLevel":2},"multiplier":3.0},{"condition":{"minLureLevel":3},"multiplier":5.0}]}</t>
        </is>
      </c>
      <c r="AT340" s="19" t="inlineStr"/>
    </row>
    <row r="341" ht="32" customHeight="1">
      <c r="A341" s="18" t="inlineStr">
        <is>
          <t>0090_shellder.json::shellder-7::007</t>
        </is>
      </c>
      <c r="B341" s="19" t="inlineStr">
        <is>
          <t>사용</t>
        </is>
      </c>
      <c r="C341" s="18">
        <f>IF(OR(B341&lt;&gt;AK341,M341&lt;&gt;L341,O341&lt;&gt;"",Q341&lt;&gt;"",V341&lt;&gt;1,Y341&lt;&gt;"",AT341&lt;&gt;""),"수정","원본")</f>
        <v/>
      </c>
      <c r="D341" s="18" t="n">
        <v>90</v>
      </c>
      <c r="E341" s="18" t="inlineStr">
        <is>
          <t>셀러</t>
        </is>
      </c>
      <c r="F341" s="18" t="inlineStr">
        <is>
          <t>shellder</t>
        </is>
      </c>
      <c r="G341" s="18" t="inlineStr">
        <is>
          <t>shellder</t>
        </is>
      </c>
      <c r="H341" s="18" t="inlineStr"/>
      <c r="I341" s="18" t="n">
        <v>1</v>
      </c>
      <c r="J341" s="18" t="n"/>
      <c r="K341" s="18" t="n">
        <v>1</v>
      </c>
      <c r="L341" s="18" t="inlineStr">
        <is>
          <t>cobbleventure:generation_1</t>
        </is>
      </c>
      <c r="M341" s="19" t="inlineStr">
        <is>
          <t>cobbleventure:generation_1</t>
        </is>
      </c>
      <c r="N341" s="18" t="inlineStr">
        <is>
          <t>region_01; region_02</t>
        </is>
      </c>
      <c r="O341" s="19" t="inlineStr"/>
      <c r="P341" s="18" t="inlineStr">
        <is>
          <t>#cobblemon:is_overworld</t>
        </is>
      </c>
      <c r="Q341" s="19" t="inlineStr"/>
      <c r="R341" s="18">
        <f>IF(Q341="",P341,Q341)</f>
        <v/>
      </c>
      <c r="S341" s="18" t="inlineStr"/>
      <c r="T341" s="18" t="inlineStr">
        <is>
          <t>common</t>
        </is>
      </c>
      <c r="U341" s="20" t="n">
        <v>5.7</v>
      </c>
      <c r="V341" s="21" t="n">
        <v>1</v>
      </c>
      <c r="W341" s="20">
        <f>IF(OR(U341="",V341=""),U341,U341*V341)</f>
        <v/>
      </c>
      <c r="X341" s="18" t="inlineStr">
        <is>
          <t>6-31</t>
        </is>
      </c>
      <c r="Y341" s="19" t="inlineStr"/>
      <c r="Z341" s="18">
        <f>IF(Y341="",X341,Y341)</f>
        <v/>
      </c>
      <c r="AA341" s="18" t="inlineStr">
        <is>
          <t>seafloor</t>
        </is>
      </c>
      <c r="AB341" s="18" t="inlineStr"/>
      <c r="AC341" s="18" t="inlineStr"/>
      <c r="AD341" s="18" t="inlineStr">
        <is>
          <t>minY=-60, maxY=13</t>
        </is>
      </c>
      <c r="AE341" s="18" t="inlineStr"/>
      <c r="AF341" s="18" t="inlineStr">
        <is>
          <t>False</t>
        </is>
      </c>
      <c r="AG341" s="18" t="inlineStr">
        <is>
          <t>cobblemon:shipwreck_coves/submerged_shipwreck_cove</t>
        </is>
      </c>
      <c r="AH341" s="18" t="inlineStr"/>
      <c r="AI341" s="18" t="inlineStr"/>
      <c r="AJ341" s="18" t="inlineStr">
        <is>
          <t>Cobblemon 동일</t>
        </is>
      </c>
      <c r="AK341" s="18" t="inlineStr">
        <is>
          <t>사용</t>
        </is>
      </c>
      <c r="AL341" s="18" t="inlineStr">
        <is>
          <t>COBBLEVERSE 1.7.42 / DP v31</t>
        </is>
      </c>
      <c r="AM341" s="18" t="inlineStr">
        <is>
          <t>data/cobblemon/spawn_pool_world/0090_shellder.json</t>
        </is>
      </c>
      <c r="AN341" s="18" t="inlineStr">
        <is>
          <t>shellder-7</t>
        </is>
      </c>
      <c r="AO341" s="18" t="inlineStr">
        <is>
          <t>pokemon</t>
        </is>
      </c>
      <c r="AP341" s="18" t="inlineStr">
        <is>
          <t>water</t>
        </is>
      </c>
      <c r="AQ341" s="18" t="inlineStr">
        <is>
          <t>{"biomes":["#cobblemon:is_overworld"],"canSeeSky":false,"maxY":13,"minY":-60,"structures":["cobblemon:shipwreck_coves/submerged_shipwreck_cove"]}</t>
        </is>
      </c>
      <c r="AR341" s="18" t="inlineStr"/>
      <c r="AS341" s="18" t="inlineStr"/>
      <c r="AT341" s="19" t="inlineStr"/>
    </row>
    <row r="342" ht="32" customHeight="1">
      <c r="A342" s="18" t="inlineStr">
        <is>
          <t>0090_shellder.json::shellder-8::008</t>
        </is>
      </c>
      <c r="B342" s="19" t="inlineStr">
        <is>
          <t>사용</t>
        </is>
      </c>
      <c r="C342" s="18">
        <f>IF(OR(B342&lt;&gt;AK342,M342&lt;&gt;L342,O342&lt;&gt;"",Q342&lt;&gt;"",V342&lt;&gt;1,Y342&lt;&gt;"",AT342&lt;&gt;""),"수정","원본")</f>
        <v/>
      </c>
      <c r="D342" s="18" t="n">
        <v>90</v>
      </c>
      <c r="E342" s="18" t="inlineStr">
        <is>
          <t>셀러</t>
        </is>
      </c>
      <c r="F342" s="18" t="inlineStr">
        <is>
          <t>shellder</t>
        </is>
      </c>
      <c r="G342" s="18" t="inlineStr">
        <is>
          <t>shellder</t>
        </is>
      </c>
      <c r="H342" s="18" t="inlineStr"/>
      <c r="I342" s="18" t="n">
        <v>1</v>
      </c>
      <c r="J342" s="18" t="n"/>
      <c r="K342" s="18" t="n">
        <v>1</v>
      </c>
      <c r="L342" s="18" t="inlineStr">
        <is>
          <t>cobbleventure:generation_1</t>
        </is>
      </c>
      <c r="M342" s="19" t="inlineStr">
        <is>
          <t>cobbleventure:generation_1</t>
        </is>
      </c>
      <c r="N342" s="18" t="inlineStr">
        <is>
          <t>region_01; region_02</t>
        </is>
      </c>
      <c r="O342" s="19" t="inlineStr"/>
      <c r="P342" s="18" t="inlineStr">
        <is>
          <t>#cobblemon:is_overworld</t>
        </is>
      </c>
      <c r="Q342" s="19" t="inlineStr"/>
      <c r="R342" s="18">
        <f>IF(Q342="",P342,Q342)</f>
        <v/>
      </c>
      <c r="S342" s="18" t="inlineStr"/>
      <c r="T342" s="18" t="inlineStr">
        <is>
          <t>common</t>
        </is>
      </c>
      <c r="U342" s="20" t="n">
        <v>9.5</v>
      </c>
      <c r="V342" s="21" t="n">
        <v>1</v>
      </c>
      <c r="W342" s="20">
        <f>IF(OR(U342="",V342=""),U342,U342*V342)</f>
        <v/>
      </c>
      <c r="X342" s="18" t="inlineStr">
        <is>
          <t>6-31</t>
        </is>
      </c>
      <c r="Y342" s="19" t="inlineStr"/>
      <c r="Z342" s="18">
        <f>IF(Y342="",X342,Y342)</f>
        <v/>
      </c>
      <c r="AA342" s="18" t="inlineStr">
        <is>
          <t>fishing</t>
        </is>
      </c>
      <c r="AB342" s="18" t="inlineStr"/>
      <c r="AC342" s="18" t="inlineStr"/>
      <c r="AD342" s="18" t="inlineStr">
        <is>
          <t>minY=-60, maxY=13</t>
        </is>
      </c>
      <c r="AE342" s="18" t="inlineStr"/>
      <c r="AF342" s="18" t="inlineStr">
        <is>
          <t>False</t>
        </is>
      </c>
      <c r="AG342" s="18" t="inlineStr">
        <is>
          <t>cobblemon:shipwreck_coves/submerged_shipwreck_cove</t>
        </is>
      </c>
      <c r="AH342" s="18" t="inlineStr"/>
      <c r="AI342" s="18" t="inlineStr"/>
      <c r="AJ342" s="18" t="inlineStr">
        <is>
          <t>Cobblemon 동일</t>
        </is>
      </c>
      <c r="AK342" s="18" t="inlineStr">
        <is>
          <t>사용</t>
        </is>
      </c>
      <c r="AL342" s="18" t="inlineStr">
        <is>
          <t>COBBLEVERSE 1.7.42 / DP v31</t>
        </is>
      </c>
      <c r="AM342" s="18" t="inlineStr">
        <is>
          <t>data/cobblemon/spawn_pool_world/0090_shellder.json</t>
        </is>
      </c>
      <c r="AN342" s="18" t="inlineStr">
        <is>
          <t>shellder-8</t>
        </is>
      </c>
      <c r="AO342" s="18" t="inlineStr">
        <is>
          <t>pokemon</t>
        </is>
      </c>
      <c r="AP342" s="18" t="inlineStr"/>
      <c r="AQ342" s="18" t="inlineStr">
        <is>
          <t>{"biomes":["#cobblemon:is_overworld"],"canSeeSky":false,"maxY":13,"minY":-60,"structures":["cobblemon:shipwreck_coves/submerged_shipwreck_cove"]}</t>
        </is>
      </c>
      <c r="AR342" s="18" t="inlineStr"/>
      <c r="AS342" s="18" t="inlineStr">
        <is>
          <t>{"weightMultiplier":{"condition":{"maxLureLevel":1,"minLureLevel":0},"multiplier":0.6}}</t>
        </is>
      </c>
      <c r="AT342" s="19" t="inlineStr"/>
    </row>
    <row r="343" ht="32" customHeight="1">
      <c r="A343" s="18" t="inlineStr">
        <is>
          <t>0091_cloyster.json::cloyster-1::001</t>
        </is>
      </c>
      <c r="B343" s="19" t="inlineStr">
        <is>
          <t>사용</t>
        </is>
      </c>
      <c r="C343" s="18">
        <f>IF(OR(B343&lt;&gt;AK343,M343&lt;&gt;L343,O343&lt;&gt;"",Q343&lt;&gt;"",V343&lt;&gt;1,Y343&lt;&gt;"",AT343&lt;&gt;""),"수정","원본")</f>
        <v/>
      </c>
      <c r="D343" s="18" t="n">
        <v>91</v>
      </c>
      <c r="E343" s="18" t="inlineStr">
        <is>
          <t>파르셀</t>
        </is>
      </c>
      <c r="F343" s="18" t="inlineStr">
        <is>
          <t>cloyster</t>
        </is>
      </c>
      <c r="G343" s="18" t="inlineStr">
        <is>
          <t>cloyster</t>
        </is>
      </c>
      <c r="H343" s="18" t="inlineStr"/>
      <c r="I343" s="18" t="n">
        <v>1</v>
      </c>
      <c r="J343" s="18" t="n"/>
      <c r="K343" s="18" t="n">
        <v>1</v>
      </c>
      <c r="L343" s="18" t="inlineStr">
        <is>
          <t>cobbleventure:generation_1</t>
        </is>
      </c>
      <c r="M343" s="19" t="inlineStr">
        <is>
          <t>cobbleventure:generation_1</t>
        </is>
      </c>
      <c r="N343" s="18" t="inlineStr"/>
      <c r="O343" s="19" t="inlineStr"/>
      <c r="P343" s="18" t="inlineStr">
        <is>
          <t>#cobblemon:is_cold_ocean; #cobblemon:is_frozen_ocean</t>
        </is>
      </c>
      <c r="Q343" s="19" t="inlineStr"/>
      <c r="R343" s="18">
        <f>IF(Q343="",P343,Q343)</f>
        <v/>
      </c>
      <c r="S343" s="18" t="inlineStr"/>
      <c r="T343" s="18" t="inlineStr">
        <is>
          <t>common</t>
        </is>
      </c>
      <c r="U343" s="20" t="n">
        <v>0.5</v>
      </c>
      <c r="V343" s="21" t="n">
        <v>1</v>
      </c>
      <c r="W343" s="20">
        <f>IF(OR(U343="",V343=""),U343,U343*V343)</f>
        <v/>
      </c>
      <c r="X343" s="18" t="inlineStr">
        <is>
          <t>26-53</t>
        </is>
      </c>
      <c r="Y343" s="19" t="inlineStr"/>
      <c r="Z343" s="18">
        <f>IF(Y343="",X343,Y343)</f>
        <v/>
      </c>
      <c r="AA343" s="18" t="inlineStr">
        <is>
          <t>seafloor</t>
        </is>
      </c>
      <c r="AB343" s="18" t="inlineStr"/>
      <c r="AC343" s="18" t="inlineStr"/>
      <c r="AD343" s="18" t="inlineStr"/>
      <c r="AE343" s="18" t="inlineStr"/>
      <c r="AF343" s="18" t="inlineStr">
        <is>
          <t>True</t>
        </is>
      </c>
      <c r="AG343" s="18" t="inlineStr"/>
      <c r="AH343" s="18" t="inlineStr"/>
      <c r="AI343" s="18" t="inlineStr"/>
      <c r="AJ343" s="18" t="inlineStr">
        <is>
          <t>Cobblemon 동일</t>
        </is>
      </c>
      <c r="AK343" s="18" t="inlineStr">
        <is>
          <t>사용</t>
        </is>
      </c>
      <c r="AL343" s="18" t="inlineStr">
        <is>
          <t>COBBLEVERSE 1.7.42 / DP v31</t>
        </is>
      </c>
      <c r="AM343" s="18" t="inlineStr">
        <is>
          <t>data/cobblemon/spawn_pool_world/0091_cloyster.json</t>
        </is>
      </c>
      <c r="AN343" s="18" t="inlineStr">
        <is>
          <t>cloyster-1</t>
        </is>
      </c>
      <c r="AO343" s="18" t="inlineStr">
        <is>
          <t>pokemon</t>
        </is>
      </c>
      <c r="AP343" s="18" t="inlineStr">
        <is>
          <t>water</t>
        </is>
      </c>
      <c r="AQ343" s="18" t="inlineStr">
        <is>
          <t>{"biomes":["#cobblemon:is_cold_ocean","#cobblemon:is_frozen_ocean"],"canSeeSky":true}</t>
        </is>
      </c>
      <c r="AR343" s="18" t="inlineStr"/>
      <c r="AS343" s="18" t="inlineStr"/>
      <c r="AT343" s="19" t="inlineStr"/>
    </row>
    <row r="344" ht="32" customHeight="1">
      <c r="A344" s="18" t="inlineStr">
        <is>
          <t>0091_cloyster.json::cloyster-2::002</t>
        </is>
      </c>
      <c r="B344" s="19" t="inlineStr">
        <is>
          <t>사용</t>
        </is>
      </c>
      <c r="C344" s="18">
        <f>IF(OR(B344&lt;&gt;AK344,M344&lt;&gt;L344,O344&lt;&gt;"",Q344&lt;&gt;"",V344&lt;&gt;1,Y344&lt;&gt;"",AT344&lt;&gt;""),"수정","원본")</f>
        <v/>
      </c>
      <c r="D344" s="18" t="n">
        <v>91</v>
      </c>
      <c r="E344" s="18" t="inlineStr">
        <is>
          <t>파르셀</t>
        </is>
      </c>
      <c r="F344" s="18" t="inlineStr">
        <is>
          <t>cloyster</t>
        </is>
      </c>
      <c r="G344" s="18" t="inlineStr">
        <is>
          <t>cloyster</t>
        </is>
      </c>
      <c r="H344" s="18" t="inlineStr"/>
      <c r="I344" s="18" t="n">
        <v>1</v>
      </c>
      <c r="J344" s="18" t="n"/>
      <c r="K344" s="18" t="n">
        <v>1</v>
      </c>
      <c r="L344" s="18" t="inlineStr">
        <is>
          <t>cobbleventure:generation_1</t>
        </is>
      </c>
      <c r="M344" s="19" t="inlineStr">
        <is>
          <t>cobbleventure:generation_1</t>
        </is>
      </c>
      <c r="N344" s="18" t="inlineStr"/>
      <c r="O344" s="19" t="inlineStr"/>
      <c r="P344" s="18" t="inlineStr">
        <is>
          <t>#cobblemon:is_ocean</t>
        </is>
      </c>
      <c r="Q344" s="19" t="inlineStr"/>
      <c r="R344" s="18">
        <f>IF(Q344="",P344,Q344)</f>
        <v/>
      </c>
      <c r="S344" s="18" t="inlineStr">
        <is>
          <t>#cobblemon:is_cold_ocean; #cobblemon:is_frozen_ocean</t>
        </is>
      </c>
      <c r="T344" s="18" t="inlineStr">
        <is>
          <t>common</t>
        </is>
      </c>
      <c r="U344" s="20" t="n">
        <v>0.3</v>
      </c>
      <c r="V344" s="21" t="n">
        <v>1</v>
      </c>
      <c r="W344" s="20">
        <f>IF(OR(U344="",V344=""),U344,U344*V344)</f>
        <v/>
      </c>
      <c r="X344" s="18" t="inlineStr">
        <is>
          <t>26-53</t>
        </is>
      </c>
      <c r="Y344" s="19" t="inlineStr"/>
      <c r="Z344" s="18">
        <f>IF(Y344="",X344,Y344)</f>
        <v/>
      </c>
      <c r="AA344" s="18" t="inlineStr">
        <is>
          <t>seafloor</t>
        </is>
      </c>
      <c r="AB344" s="18" t="inlineStr"/>
      <c r="AC344" s="18" t="inlineStr"/>
      <c r="AD344" s="18" t="inlineStr"/>
      <c r="AE344" s="18" t="inlineStr"/>
      <c r="AF344" s="18" t="inlineStr">
        <is>
          <t>True</t>
        </is>
      </c>
      <c r="AG344" s="18" t="inlineStr"/>
      <c r="AH344" s="18" t="inlineStr"/>
      <c r="AI344" s="18" t="inlineStr"/>
      <c r="AJ344" s="18" t="inlineStr">
        <is>
          <t>Cobblemon 동일</t>
        </is>
      </c>
      <c r="AK344" s="18" t="inlineStr">
        <is>
          <t>사용</t>
        </is>
      </c>
      <c r="AL344" s="18" t="inlineStr">
        <is>
          <t>COBBLEVERSE 1.7.42 / DP v31</t>
        </is>
      </c>
      <c r="AM344" s="18" t="inlineStr">
        <is>
          <t>data/cobblemon/spawn_pool_world/0091_cloyster.json</t>
        </is>
      </c>
      <c r="AN344" s="18" t="inlineStr">
        <is>
          <t>cloyster-2</t>
        </is>
      </c>
      <c r="AO344" s="18" t="inlineStr">
        <is>
          <t>pokemon</t>
        </is>
      </c>
      <c r="AP344" s="18" t="inlineStr">
        <is>
          <t>water</t>
        </is>
      </c>
      <c r="AQ344" s="18" t="inlineStr">
        <is>
          <t>{"biomes":["#cobblemon:is_ocean"],"canSeeSky":true}</t>
        </is>
      </c>
      <c r="AR344" s="18" t="inlineStr">
        <is>
          <t>{"biomes":["#cobblemon:is_cold_ocean","#cobblemon:is_frozen_ocean"]}</t>
        </is>
      </c>
      <c r="AS344" s="18" t="inlineStr"/>
      <c r="AT344" s="19" t="inlineStr"/>
    </row>
    <row r="345" ht="32" customHeight="1">
      <c r="A345" s="18" t="inlineStr">
        <is>
          <t>0091_cloyster.json::cloyster-3::003</t>
        </is>
      </c>
      <c r="B345" s="19" t="inlineStr">
        <is>
          <t>사용</t>
        </is>
      </c>
      <c r="C345" s="18">
        <f>IF(OR(B345&lt;&gt;AK345,M345&lt;&gt;L345,O345&lt;&gt;"",Q345&lt;&gt;"",V345&lt;&gt;1,Y345&lt;&gt;"",AT345&lt;&gt;""),"수정","원본")</f>
        <v/>
      </c>
      <c r="D345" s="18" t="n">
        <v>91</v>
      </c>
      <c r="E345" s="18" t="inlineStr">
        <is>
          <t>파르셀</t>
        </is>
      </c>
      <c r="F345" s="18" t="inlineStr">
        <is>
          <t>cloyster</t>
        </is>
      </c>
      <c r="G345" s="18" t="inlineStr">
        <is>
          <t>cloyster</t>
        </is>
      </c>
      <c r="H345" s="18" t="inlineStr"/>
      <c r="I345" s="18" t="n">
        <v>1</v>
      </c>
      <c r="J345" s="18" t="n"/>
      <c r="K345" s="18" t="n">
        <v>1</v>
      </c>
      <c r="L345" s="18" t="inlineStr">
        <is>
          <t>cobbleventure:generation_1</t>
        </is>
      </c>
      <c r="M345" s="19" t="inlineStr">
        <is>
          <t>cobbleventure:generation_1</t>
        </is>
      </c>
      <c r="N345" s="18" t="inlineStr"/>
      <c r="O345" s="19" t="inlineStr"/>
      <c r="P345" s="18" t="inlineStr">
        <is>
          <t>#cobblemon:is_cold_ocean; #cobblemon:is_frozen_ocean</t>
        </is>
      </c>
      <c r="Q345" s="19" t="inlineStr"/>
      <c r="R345" s="18">
        <f>IF(Q345="",P345,Q345)</f>
        <v/>
      </c>
      <c r="S345" s="18" t="inlineStr"/>
      <c r="T345" s="18" t="inlineStr">
        <is>
          <t>common</t>
        </is>
      </c>
      <c r="U345" s="20" t="n">
        <v>0.5</v>
      </c>
      <c r="V345" s="21" t="n">
        <v>1</v>
      </c>
      <c r="W345" s="20">
        <f>IF(OR(U345="",V345=""),U345,U345*V345)</f>
        <v/>
      </c>
      <c r="X345" s="18" t="inlineStr">
        <is>
          <t>26-53</t>
        </is>
      </c>
      <c r="Y345" s="19" t="inlineStr"/>
      <c r="Z345" s="18">
        <f>IF(Y345="",X345,Y345)</f>
        <v/>
      </c>
      <c r="AA345" s="18" t="inlineStr">
        <is>
          <t>fishing</t>
        </is>
      </c>
      <c r="AB345" s="18" t="inlineStr"/>
      <c r="AC345" s="18" t="inlineStr"/>
      <c r="AD345" s="18" t="inlineStr"/>
      <c r="AE345" s="18" t="inlineStr"/>
      <c r="AF345" s="18" t="inlineStr">
        <is>
          <t>True</t>
        </is>
      </c>
      <c r="AG345" s="18" t="inlineStr"/>
      <c r="AH345" s="18" t="inlineStr"/>
      <c r="AI345" s="18" t="inlineStr"/>
      <c r="AJ345" s="18" t="inlineStr">
        <is>
          <t>Cobblemon 동일</t>
        </is>
      </c>
      <c r="AK345" s="18" t="inlineStr">
        <is>
          <t>사용</t>
        </is>
      </c>
      <c r="AL345" s="18" t="inlineStr">
        <is>
          <t>COBBLEVERSE 1.7.42 / DP v31</t>
        </is>
      </c>
      <c r="AM345" s="18" t="inlineStr">
        <is>
          <t>data/cobblemon/spawn_pool_world/0091_cloyster.json</t>
        </is>
      </c>
      <c r="AN345" s="18" t="inlineStr">
        <is>
          <t>cloyster-3</t>
        </is>
      </c>
      <c r="AO345" s="18" t="inlineStr">
        <is>
          <t>pokemon</t>
        </is>
      </c>
      <c r="AP345" s="18" t="inlineStr"/>
      <c r="AQ345" s="18" t="inlineStr">
        <is>
          <t>{"biomes":["#cobblemon:is_cold_ocean","#cobblemon:is_frozen_ocean"],"canSeeSky":true}</t>
        </is>
      </c>
      <c r="AR345" s="18" t="inlineStr"/>
      <c r="AS345" s="18" t="inlineStr">
        <is>
          <t>{"weightMultiplier":{"condition":{"maxLureLevel":1,"minLureLevel":0},"multiplier":0.6}}</t>
        </is>
      </c>
      <c r="AT345" s="19" t="inlineStr"/>
    </row>
    <row r="346" ht="32" customHeight="1">
      <c r="A346" s="18" t="inlineStr">
        <is>
          <t>0091_cloyster.json::cloyster-4::004</t>
        </is>
      </c>
      <c r="B346" s="19" t="inlineStr">
        <is>
          <t>사용</t>
        </is>
      </c>
      <c r="C346" s="18">
        <f>IF(OR(B346&lt;&gt;AK346,M346&lt;&gt;L346,O346&lt;&gt;"",Q346&lt;&gt;"",V346&lt;&gt;1,Y346&lt;&gt;"",AT346&lt;&gt;""),"수정","원본")</f>
        <v/>
      </c>
      <c r="D346" s="18" t="n">
        <v>91</v>
      </c>
      <c r="E346" s="18" t="inlineStr">
        <is>
          <t>파르셀</t>
        </is>
      </c>
      <c r="F346" s="18" t="inlineStr">
        <is>
          <t>cloyster</t>
        </is>
      </c>
      <c r="G346" s="18" t="inlineStr">
        <is>
          <t>cloyster</t>
        </is>
      </c>
      <c r="H346" s="18" t="inlineStr"/>
      <c r="I346" s="18" t="n">
        <v>1</v>
      </c>
      <c r="J346" s="18" t="n"/>
      <c r="K346" s="18" t="n">
        <v>1</v>
      </c>
      <c r="L346" s="18" t="inlineStr">
        <is>
          <t>cobbleventure:generation_1</t>
        </is>
      </c>
      <c r="M346" s="19" t="inlineStr">
        <is>
          <t>cobbleventure:generation_1</t>
        </is>
      </c>
      <c r="N346" s="18" t="inlineStr"/>
      <c r="O346" s="19" t="inlineStr"/>
      <c r="P346" s="18" t="inlineStr">
        <is>
          <t>#cobblemon:is_coast; #cobblemon:is_ocean</t>
        </is>
      </c>
      <c r="Q346" s="19" t="inlineStr"/>
      <c r="R346" s="18">
        <f>IF(Q346="",P346,Q346)</f>
        <v/>
      </c>
      <c r="S346" s="18" t="inlineStr">
        <is>
          <t>#cobblemon:is_cold_ocean; #cobblemon:is_frozen_ocean</t>
        </is>
      </c>
      <c r="T346" s="18" t="inlineStr">
        <is>
          <t>common</t>
        </is>
      </c>
      <c r="U346" s="20" t="n">
        <v>0.1</v>
      </c>
      <c r="V346" s="21" t="n">
        <v>1</v>
      </c>
      <c r="W346" s="20">
        <f>IF(OR(U346="",V346=""),U346,U346*V346)</f>
        <v/>
      </c>
      <c r="X346" s="18" t="inlineStr">
        <is>
          <t>26-53</t>
        </is>
      </c>
      <c r="Y346" s="19" t="inlineStr"/>
      <c r="Z346" s="18">
        <f>IF(Y346="",X346,Y346)</f>
        <v/>
      </c>
      <c r="AA346" s="18" t="inlineStr">
        <is>
          <t>fishing</t>
        </is>
      </c>
      <c r="AB346" s="18" t="inlineStr"/>
      <c r="AC346" s="18" t="inlineStr"/>
      <c r="AD346" s="18" t="inlineStr"/>
      <c r="AE346" s="18" t="inlineStr"/>
      <c r="AF346" s="18" t="inlineStr">
        <is>
          <t>True</t>
        </is>
      </c>
      <c r="AG346" s="18" t="inlineStr"/>
      <c r="AH346" s="18" t="inlineStr"/>
      <c r="AI346" s="18" t="inlineStr"/>
      <c r="AJ346" s="18" t="inlineStr">
        <is>
          <t>Cobblemon 동일</t>
        </is>
      </c>
      <c r="AK346" s="18" t="inlineStr">
        <is>
          <t>사용</t>
        </is>
      </c>
      <c r="AL346" s="18" t="inlineStr">
        <is>
          <t>COBBLEVERSE 1.7.42 / DP v31</t>
        </is>
      </c>
      <c r="AM346" s="18" t="inlineStr">
        <is>
          <t>data/cobblemon/spawn_pool_world/0091_cloyster.json</t>
        </is>
      </c>
      <c r="AN346" s="18" t="inlineStr">
        <is>
          <t>cloyster-4</t>
        </is>
      </c>
      <c r="AO346" s="18" t="inlineStr">
        <is>
          <t>pokemon</t>
        </is>
      </c>
      <c r="AP346" s="18" t="inlineStr"/>
      <c r="AQ346" s="18" t="inlineStr">
        <is>
          <t>{"biomes":["#cobblemon:is_coast","#cobblemon:is_ocean"],"canSeeSky":true}</t>
        </is>
      </c>
      <c r="AR346" s="18" t="inlineStr">
        <is>
          <t>{"biomes":["#cobblemon:is_cold_ocean","#cobblemon:is_frozen_ocean"]}</t>
        </is>
      </c>
      <c r="AS346" s="18" t="inlineStr">
        <is>
          <t>{"weightMultipliers":[{"condition":{"maxLureLevel":2,"minLureLevel":2},"multiplier":3.0},{"condition":{"minLureLevel":3},"multiplier":5.0}]}</t>
        </is>
      </c>
      <c r="AT346" s="19" t="inlineStr"/>
    </row>
    <row r="347" ht="32" customHeight="1">
      <c r="A347" s="18" t="inlineStr">
        <is>
          <t>0091_cloyster.json::cloyster-5::005</t>
        </is>
      </c>
      <c r="B347" s="19" t="inlineStr">
        <is>
          <t>사용</t>
        </is>
      </c>
      <c r="C347" s="18">
        <f>IF(OR(B347&lt;&gt;AK347,M347&lt;&gt;L347,O347&lt;&gt;"",Q347&lt;&gt;"",V347&lt;&gt;1,Y347&lt;&gt;"",AT347&lt;&gt;""),"수정","원본")</f>
        <v/>
      </c>
      <c r="D347" s="18" t="n">
        <v>91</v>
      </c>
      <c r="E347" s="18" t="inlineStr">
        <is>
          <t>파르셀</t>
        </is>
      </c>
      <c r="F347" s="18" t="inlineStr">
        <is>
          <t>cloyster</t>
        </is>
      </c>
      <c r="G347" s="18" t="inlineStr">
        <is>
          <t>cloyster</t>
        </is>
      </c>
      <c r="H347" s="18" t="inlineStr"/>
      <c r="I347" s="18" t="n">
        <v>1</v>
      </c>
      <c r="J347" s="18" t="n"/>
      <c r="K347" s="18" t="n">
        <v>1</v>
      </c>
      <c r="L347" s="18" t="inlineStr">
        <is>
          <t>cobbleventure:generation_1</t>
        </is>
      </c>
      <c r="M347" s="19" t="inlineStr">
        <is>
          <t>cobbleventure:generation_1</t>
        </is>
      </c>
      <c r="N347" s="18" t="inlineStr"/>
      <c r="O347" s="19" t="inlineStr"/>
      <c r="P347" s="18" t="inlineStr">
        <is>
          <t>#cobblemon:is_cold_ocean; #cobblemon:is_frozen_ocean</t>
        </is>
      </c>
      <c r="Q347" s="19" t="inlineStr"/>
      <c r="R347" s="18">
        <f>IF(Q347="",P347,Q347)</f>
        <v/>
      </c>
      <c r="S347" s="18" t="inlineStr"/>
      <c r="T347" s="18" t="inlineStr">
        <is>
          <t>common</t>
        </is>
      </c>
      <c r="U347" s="20" t="n">
        <v>0.5</v>
      </c>
      <c r="V347" s="21" t="n">
        <v>1</v>
      </c>
      <c r="W347" s="20">
        <f>IF(OR(U347="",V347=""),U347,U347*V347)</f>
        <v/>
      </c>
      <c r="X347" s="18" t="inlineStr">
        <is>
          <t>26-53</t>
        </is>
      </c>
      <c r="Y347" s="19" t="inlineStr"/>
      <c r="Z347" s="18">
        <f>IF(Y347="",X347,Y347)</f>
        <v/>
      </c>
      <c r="AA347" s="18" t="inlineStr">
        <is>
          <t>fishing</t>
        </is>
      </c>
      <c r="AB347" s="18" t="inlineStr"/>
      <c r="AC347" s="18" t="inlineStr"/>
      <c r="AD347" s="18" t="inlineStr"/>
      <c r="AE347" s="18" t="inlineStr">
        <is>
          <t>sky 8-15</t>
        </is>
      </c>
      <c r="AF347" s="18" t="inlineStr">
        <is>
          <t>False</t>
        </is>
      </c>
      <c r="AG347" s="18" t="inlineStr"/>
      <c r="AH347" s="18" t="inlineStr"/>
      <c r="AI347" s="18" t="inlineStr"/>
      <c r="AJ347" s="18" t="inlineStr">
        <is>
          <t>Cobblemon 동일</t>
        </is>
      </c>
      <c r="AK347" s="18" t="inlineStr">
        <is>
          <t>사용</t>
        </is>
      </c>
      <c r="AL347" s="18" t="inlineStr">
        <is>
          <t>COBBLEVERSE 1.7.42 / DP v31</t>
        </is>
      </c>
      <c r="AM347" s="18" t="inlineStr">
        <is>
          <t>data/cobblemon/spawn_pool_world/0091_cloyster.json</t>
        </is>
      </c>
      <c r="AN347" s="18" t="inlineStr">
        <is>
          <t>cloyster-5</t>
        </is>
      </c>
      <c r="AO347" s="18" t="inlineStr">
        <is>
          <t>pokemon</t>
        </is>
      </c>
      <c r="AP347" s="18" t="inlineStr"/>
      <c r="AQ347" s="18" t="inlineStr">
        <is>
          <t>{"biomes":["#cobblemon:is_cold_ocean","#cobblemon:is_frozen_ocean"],"canSeeSky":false,"maxSkyLight":15,"minSkyLight":8}</t>
        </is>
      </c>
      <c r="AR347" s="18" t="inlineStr"/>
      <c r="AS347" s="18" t="inlineStr">
        <is>
          <t>{"weightMultiplier":{"condition":{"maxLureLevel":1,"minLureLevel":0},"multiplier":0.6}}</t>
        </is>
      </c>
      <c r="AT347" s="19" t="inlineStr"/>
    </row>
    <row r="348" ht="32" customHeight="1">
      <c r="A348" s="18" t="inlineStr">
        <is>
          <t>0091_cloyster.json::cloyster-6::006</t>
        </is>
      </c>
      <c r="B348" s="19" t="inlineStr">
        <is>
          <t>사용</t>
        </is>
      </c>
      <c r="C348" s="18">
        <f>IF(OR(B348&lt;&gt;AK348,M348&lt;&gt;L348,O348&lt;&gt;"",Q348&lt;&gt;"",V348&lt;&gt;1,Y348&lt;&gt;"",AT348&lt;&gt;""),"수정","원본")</f>
        <v/>
      </c>
      <c r="D348" s="18" t="n">
        <v>91</v>
      </c>
      <c r="E348" s="18" t="inlineStr">
        <is>
          <t>파르셀</t>
        </is>
      </c>
      <c r="F348" s="18" t="inlineStr">
        <is>
          <t>cloyster</t>
        </is>
      </c>
      <c r="G348" s="18" t="inlineStr">
        <is>
          <t>cloyster</t>
        </is>
      </c>
      <c r="H348" s="18" t="inlineStr"/>
      <c r="I348" s="18" t="n">
        <v>1</v>
      </c>
      <c r="J348" s="18" t="n"/>
      <c r="K348" s="18" t="n">
        <v>1</v>
      </c>
      <c r="L348" s="18" t="inlineStr">
        <is>
          <t>cobbleventure:generation_1</t>
        </is>
      </c>
      <c r="M348" s="19" t="inlineStr">
        <is>
          <t>cobbleventure:generation_1</t>
        </is>
      </c>
      <c r="N348" s="18" t="inlineStr"/>
      <c r="O348" s="19" t="inlineStr"/>
      <c r="P348" s="18" t="inlineStr">
        <is>
          <t>#cobblemon:is_coast; #cobblemon:is_ocean</t>
        </is>
      </c>
      <c r="Q348" s="19" t="inlineStr"/>
      <c r="R348" s="18">
        <f>IF(Q348="",P348,Q348)</f>
        <v/>
      </c>
      <c r="S348" s="18" t="inlineStr">
        <is>
          <t>#cobblemon:is_cold_ocean; #cobblemon:is_frozen_ocean</t>
        </is>
      </c>
      <c r="T348" s="18" t="inlineStr">
        <is>
          <t>common</t>
        </is>
      </c>
      <c r="U348" s="20" t="n">
        <v>0.1</v>
      </c>
      <c r="V348" s="21" t="n">
        <v>1</v>
      </c>
      <c r="W348" s="20">
        <f>IF(OR(U348="",V348=""),U348,U348*V348)</f>
        <v/>
      </c>
      <c r="X348" s="18" t="inlineStr">
        <is>
          <t>26-53</t>
        </is>
      </c>
      <c r="Y348" s="19" t="inlineStr"/>
      <c r="Z348" s="18">
        <f>IF(Y348="",X348,Y348)</f>
        <v/>
      </c>
      <c r="AA348" s="18" t="inlineStr">
        <is>
          <t>fishing</t>
        </is>
      </c>
      <c r="AB348" s="18" t="inlineStr"/>
      <c r="AC348" s="18" t="inlineStr"/>
      <c r="AD348" s="18" t="inlineStr"/>
      <c r="AE348" s="18" t="inlineStr">
        <is>
          <t>sky 8-15</t>
        </is>
      </c>
      <c r="AF348" s="18" t="inlineStr">
        <is>
          <t>False</t>
        </is>
      </c>
      <c r="AG348" s="18" t="inlineStr"/>
      <c r="AH348" s="18" t="inlineStr"/>
      <c r="AI348" s="18" t="inlineStr"/>
      <c r="AJ348" s="18" t="inlineStr">
        <is>
          <t>Cobblemon 동일</t>
        </is>
      </c>
      <c r="AK348" s="18" t="inlineStr">
        <is>
          <t>사용</t>
        </is>
      </c>
      <c r="AL348" s="18" t="inlineStr">
        <is>
          <t>COBBLEVERSE 1.7.42 / DP v31</t>
        </is>
      </c>
      <c r="AM348" s="18" t="inlineStr">
        <is>
          <t>data/cobblemon/spawn_pool_world/0091_cloyster.json</t>
        </is>
      </c>
      <c r="AN348" s="18" t="inlineStr">
        <is>
          <t>cloyster-6</t>
        </is>
      </c>
      <c r="AO348" s="18" t="inlineStr">
        <is>
          <t>pokemon</t>
        </is>
      </c>
      <c r="AP348" s="18" t="inlineStr"/>
      <c r="AQ348" s="18" t="inlineStr">
        <is>
          <t>{"biomes":["#cobblemon:is_coast","#cobblemon:is_ocean"],"canSeeSky":false,"maxSkyLight":15,"minSkyLight":8}</t>
        </is>
      </c>
      <c r="AR348" s="18" t="inlineStr">
        <is>
          <t>{"biomes":["#cobblemon:is_cold_ocean","#cobblemon:is_frozen_ocean"]}</t>
        </is>
      </c>
      <c r="AS348" s="18" t="inlineStr">
        <is>
          <t>{"weightMultipliers":[{"condition":{"maxLureLevel":2,"minLureLevel":2},"multiplier":3.0},{"condition":{"minLureLevel":3},"multiplier":5.0}]}</t>
        </is>
      </c>
      <c r="AT348" s="19" t="inlineStr"/>
    </row>
    <row r="349" ht="32" customHeight="1">
      <c r="A349" s="18" t="inlineStr">
        <is>
          <t>0091_cloyster.json::cloyster-7::007</t>
        </is>
      </c>
      <c r="B349" s="19" t="inlineStr">
        <is>
          <t>사용</t>
        </is>
      </c>
      <c r="C349" s="18">
        <f>IF(OR(B349&lt;&gt;AK349,M349&lt;&gt;L349,O349&lt;&gt;"",Q349&lt;&gt;"",V349&lt;&gt;1,Y349&lt;&gt;"",AT349&lt;&gt;""),"수정","원본")</f>
        <v/>
      </c>
      <c r="D349" s="18" t="n">
        <v>91</v>
      </c>
      <c r="E349" s="18" t="inlineStr">
        <is>
          <t>파르셀</t>
        </is>
      </c>
      <c r="F349" s="18" t="inlineStr">
        <is>
          <t>cloyster</t>
        </is>
      </c>
      <c r="G349" s="18" t="inlineStr">
        <is>
          <t>cloyster</t>
        </is>
      </c>
      <c r="H349" s="18" t="inlineStr"/>
      <c r="I349" s="18" t="n">
        <v>1</v>
      </c>
      <c r="J349" s="18" t="n"/>
      <c r="K349" s="18" t="n">
        <v>1</v>
      </c>
      <c r="L349" s="18" t="inlineStr">
        <is>
          <t>cobbleventure:generation_1</t>
        </is>
      </c>
      <c r="M349" s="19" t="inlineStr">
        <is>
          <t>cobbleventure:generation_1</t>
        </is>
      </c>
      <c r="N349" s="18" t="inlineStr">
        <is>
          <t>region_01; region_02</t>
        </is>
      </c>
      <c r="O349" s="19" t="inlineStr"/>
      <c r="P349" s="18" t="inlineStr">
        <is>
          <t>#cobblemon:is_overworld</t>
        </is>
      </c>
      <c r="Q349" s="19" t="inlineStr"/>
      <c r="R349" s="18">
        <f>IF(Q349="",P349,Q349)</f>
        <v/>
      </c>
      <c r="S349" s="18" t="inlineStr"/>
      <c r="T349" s="18" t="inlineStr">
        <is>
          <t>common</t>
        </is>
      </c>
      <c r="U349" s="20" t="n">
        <v>0.3</v>
      </c>
      <c r="V349" s="21" t="n">
        <v>1</v>
      </c>
      <c r="W349" s="20">
        <f>IF(OR(U349="",V349=""),U349,U349*V349)</f>
        <v/>
      </c>
      <c r="X349" s="18" t="inlineStr">
        <is>
          <t>26-53</t>
        </is>
      </c>
      <c r="Y349" s="19" t="inlineStr"/>
      <c r="Z349" s="18">
        <f>IF(Y349="",X349,Y349)</f>
        <v/>
      </c>
      <c r="AA349" s="18" t="inlineStr">
        <is>
          <t>seafloor</t>
        </is>
      </c>
      <c r="AB349" s="18" t="inlineStr"/>
      <c r="AC349" s="18" t="inlineStr"/>
      <c r="AD349" s="18" t="inlineStr">
        <is>
          <t>minY=-60, maxY=13</t>
        </is>
      </c>
      <c r="AE349" s="18" t="inlineStr"/>
      <c r="AF349" s="18" t="inlineStr">
        <is>
          <t>False</t>
        </is>
      </c>
      <c r="AG349" s="18" t="inlineStr">
        <is>
          <t>cobblemon:shipwreck_coves/submerged_shipwreck_cove</t>
        </is>
      </c>
      <c r="AH349" s="18" t="inlineStr"/>
      <c r="AI349" s="18" t="inlineStr"/>
      <c r="AJ349" s="18" t="inlineStr">
        <is>
          <t>Cobblemon 동일</t>
        </is>
      </c>
      <c r="AK349" s="18" t="inlineStr">
        <is>
          <t>사용</t>
        </is>
      </c>
      <c r="AL349" s="18" t="inlineStr">
        <is>
          <t>COBBLEVERSE 1.7.42 / DP v31</t>
        </is>
      </c>
      <c r="AM349" s="18" t="inlineStr">
        <is>
          <t>data/cobblemon/spawn_pool_world/0091_cloyster.json</t>
        </is>
      </c>
      <c r="AN349" s="18" t="inlineStr">
        <is>
          <t>cloyster-7</t>
        </is>
      </c>
      <c r="AO349" s="18" t="inlineStr">
        <is>
          <t>pokemon</t>
        </is>
      </c>
      <c r="AP349" s="18" t="inlineStr">
        <is>
          <t>water</t>
        </is>
      </c>
      <c r="AQ349" s="18" t="inlineStr">
        <is>
          <t>{"biomes":["#cobblemon:is_overworld"],"canSeeSky":false,"maxY":13,"minY":-60,"structures":["cobblemon:shipwreck_coves/submerged_shipwreck_cove"]}</t>
        </is>
      </c>
      <c r="AR349" s="18" t="inlineStr"/>
      <c r="AS349" s="18" t="inlineStr"/>
      <c r="AT349" s="19" t="inlineStr"/>
    </row>
    <row r="350" ht="32" customHeight="1">
      <c r="A350" s="18" t="inlineStr">
        <is>
          <t>0091_cloyster.json::cloyster-8::008</t>
        </is>
      </c>
      <c r="B350" s="19" t="inlineStr">
        <is>
          <t>사용</t>
        </is>
      </c>
      <c r="C350" s="18">
        <f>IF(OR(B350&lt;&gt;AK350,M350&lt;&gt;L350,O350&lt;&gt;"",Q350&lt;&gt;"",V350&lt;&gt;1,Y350&lt;&gt;"",AT350&lt;&gt;""),"수정","원본")</f>
        <v/>
      </c>
      <c r="D350" s="18" t="n">
        <v>91</v>
      </c>
      <c r="E350" s="18" t="inlineStr">
        <is>
          <t>파르셀</t>
        </is>
      </c>
      <c r="F350" s="18" t="inlineStr">
        <is>
          <t>cloyster</t>
        </is>
      </c>
      <c r="G350" s="18" t="inlineStr">
        <is>
          <t>cloyster</t>
        </is>
      </c>
      <c r="H350" s="18" t="inlineStr"/>
      <c r="I350" s="18" t="n">
        <v>1</v>
      </c>
      <c r="J350" s="18" t="n"/>
      <c r="K350" s="18" t="n">
        <v>1</v>
      </c>
      <c r="L350" s="18" t="inlineStr">
        <is>
          <t>cobbleventure:generation_1</t>
        </is>
      </c>
      <c r="M350" s="19" t="inlineStr">
        <is>
          <t>cobbleventure:generation_1</t>
        </is>
      </c>
      <c r="N350" s="18" t="inlineStr">
        <is>
          <t>region_01; region_02</t>
        </is>
      </c>
      <c r="O350" s="19" t="inlineStr"/>
      <c r="P350" s="18" t="inlineStr">
        <is>
          <t>#cobblemon:is_overworld</t>
        </is>
      </c>
      <c r="Q350" s="19" t="inlineStr"/>
      <c r="R350" s="18">
        <f>IF(Q350="",P350,Q350)</f>
        <v/>
      </c>
      <c r="S350" s="18" t="inlineStr"/>
      <c r="T350" s="18" t="inlineStr">
        <is>
          <t>common</t>
        </is>
      </c>
      <c r="U350" s="20" t="n">
        <v>0.5</v>
      </c>
      <c r="V350" s="21" t="n">
        <v>1</v>
      </c>
      <c r="W350" s="20">
        <f>IF(OR(U350="",V350=""),U350,U350*V350)</f>
        <v/>
      </c>
      <c r="X350" s="18" t="inlineStr">
        <is>
          <t>26-53</t>
        </is>
      </c>
      <c r="Y350" s="19" t="inlineStr"/>
      <c r="Z350" s="18">
        <f>IF(Y350="",X350,Y350)</f>
        <v/>
      </c>
      <c r="AA350" s="18" t="inlineStr">
        <is>
          <t>fishing</t>
        </is>
      </c>
      <c r="AB350" s="18" t="inlineStr"/>
      <c r="AC350" s="18" t="inlineStr"/>
      <c r="AD350" s="18" t="inlineStr">
        <is>
          <t>minY=-60, maxY=13</t>
        </is>
      </c>
      <c r="AE350" s="18" t="inlineStr"/>
      <c r="AF350" s="18" t="inlineStr">
        <is>
          <t>False</t>
        </is>
      </c>
      <c r="AG350" s="18" t="inlineStr">
        <is>
          <t>cobblemon:shipwreck_coves/submerged_shipwreck_cove</t>
        </is>
      </c>
      <c r="AH350" s="18" t="inlineStr"/>
      <c r="AI350" s="18" t="inlineStr"/>
      <c r="AJ350" s="18" t="inlineStr">
        <is>
          <t>Cobblemon 동일</t>
        </is>
      </c>
      <c r="AK350" s="18" t="inlineStr">
        <is>
          <t>사용</t>
        </is>
      </c>
      <c r="AL350" s="18" t="inlineStr">
        <is>
          <t>COBBLEVERSE 1.7.42 / DP v31</t>
        </is>
      </c>
      <c r="AM350" s="18" t="inlineStr">
        <is>
          <t>data/cobblemon/spawn_pool_world/0091_cloyster.json</t>
        </is>
      </c>
      <c r="AN350" s="18" t="inlineStr">
        <is>
          <t>cloyster-8</t>
        </is>
      </c>
      <c r="AO350" s="18" t="inlineStr">
        <is>
          <t>pokemon</t>
        </is>
      </c>
      <c r="AP350" s="18" t="inlineStr"/>
      <c r="AQ350" s="18" t="inlineStr">
        <is>
          <t>{"biomes":["#cobblemon:is_overworld"],"canSeeSky":false,"maxY":13,"minY":-60,"structures":["cobblemon:shipwreck_coves/submerged_shipwreck_cove"]}</t>
        </is>
      </c>
      <c r="AR350" s="18" t="inlineStr"/>
      <c r="AS350" s="18" t="inlineStr">
        <is>
          <t>{"weightMultiplier":{"condition":{"maxLureLevel":1,"minLureLevel":0},"multiplier":0.6}}</t>
        </is>
      </c>
      <c r="AT350" s="19" t="inlineStr"/>
    </row>
    <row r="351" ht="32" customHeight="1">
      <c r="A351" s="18" t="inlineStr">
        <is>
          <t>0092_gastly.json::gastly-1::001</t>
        </is>
      </c>
      <c r="B351" s="19" t="inlineStr">
        <is>
          <t>사용</t>
        </is>
      </c>
      <c r="C351" s="18">
        <f>IF(OR(B351&lt;&gt;AK351,M351&lt;&gt;L351,O351&lt;&gt;"",Q351&lt;&gt;"",V351&lt;&gt;1,Y351&lt;&gt;"",AT351&lt;&gt;""),"수정","원본")</f>
        <v/>
      </c>
      <c r="D351" s="18" t="n">
        <v>92</v>
      </c>
      <c r="E351" s="18" t="inlineStr">
        <is>
          <t>고오스</t>
        </is>
      </c>
      <c r="F351" s="18" t="inlineStr">
        <is>
          <t>gastly</t>
        </is>
      </c>
      <c r="G351" s="18" t="inlineStr">
        <is>
          <t>gastly</t>
        </is>
      </c>
      <c r="H351" s="18" t="inlineStr"/>
      <c r="I351" s="18" t="n">
        <v>1</v>
      </c>
      <c r="J351" s="18" t="n"/>
      <c r="K351" s="18" t="n">
        <v>1</v>
      </c>
      <c r="L351" s="18" t="inlineStr">
        <is>
          <t>cobbleventure:generation_1</t>
        </is>
      </c>
      <c r="M351" s="19" t="inlineStr">
        <is>
          <t>cobbleventure:generation_1</t>
        </is>
      </c>
      <c r="N351" s="18" t="inlineStr"/>
      <c r="O351" s="19" t="inlineStr"/>
      <c r="P351" s="18" t="inlineStr">
        <is>
          <t>#aether:is_aether; #cobblemon:is_deep_dark</t>
        </is>
      </c>
      <c r="Q351" s="19" t="inlineStr"/>
      <c r="R351" s="18">
        <f>IF(Q351="",P351,Q351)</f>
        <v/>
      </c>
      <c r="S351" s="18" t="inlineStr"/>
      <c r="T351" s="18" t="inlineStr">
        <is>
          <t>common</t>
        </is>
      </c>
      <c r="U351" s="20" t="n">
        <v>7</v>
      </c>
      <c r="V351" s="21" t="n">
        <v>1</v>
      </c>
      <c r="W351" s="20">
        <f>IF(OR(U351="",V351=""),U351,U351*V351)</f>
        <v/>
      </c>
      <c r="X351" s="18" t="inlineStr">
        <is>
          <t>6-31</t>
        </is>
      </c>
      <c r="Y351" s="19" t="inlineStr"/>
      <c r="Z351" s="18">
        <f>IF(Y351="",X351,Y351)</f>
        <v/>
      </c>
      <c r="AA351" s="18" t="inlineStr">
        <is>
          <t>grounded</t>
        </is>
      </c>
      <c r="AB351" s="18" t="inlineStr"/>
      <c r="AC351" s="18" t="inlineStr"/>
      <c r="AD351" s="18" t="inlineStr"/>
      <c r="AE351" s="18" t="inlineStr">
        <is>
          <t>sky 0-0, light -0</t>
        </is>
      </c>
      <c r="AF351" s="18" t="inlineStr"/>
      <c r="AG351" s="18" t="inlineStr"/>
      <c r="AH351" s="18" t="inlineStr"/>
      <c r="AI351" s="18" t="inlineStr"/>
      <c r="AJ351" s="18" t="inlineStr">
        <is>
          <t>COBBLEVERSE 수정</t>
        </is>
      </c>
      <c r="AK351" s="18" t="inlineStr">
        <is>
          <t>사용</t>
        </is>
      </c>
      <c r="AL351" s="18" t="inlineStr">
        <is>
          <t>COBBLEVERSE 1.7.42 / DP v31</t>
        </is>
      </c>
      <c r="AM351" s="18" t="inlineStr">
        <is>
          <t>data/cobblemon/spawn_pool_world/0092_gastly.json</t>
        </is>
      </c>
      <c r="AN351" s="18" t="inlineStr">
        <is>
          <t>gastly-1</t>
        </is>
      </c>
      <c r="AO351" s="18" t="inlineStr">
        <is>
          <t>pokemon</t>
        </is>
      </c>
      <c r="AP351" s="18" t="inlineStr">
        <is>
          <t>natural</t>
        </is>
      </c>
      <c r="AQ351" s="18" t="inlineStr">
        <is>
          <t>{"biomes":["#aether:is_aether","#cobblemon:is_deep_dark"],"maxLight":0,"maxSkyLight":0,"minSkyLight":0}</t>
        </is>
      </c>
      <c r="AR351" s="18" t="inlineStr"/>
      <c r="AS351" s="18" t="inlineStr"/>
      <c r="AT351" s="19" t="inlineStr"/>
    </row>
    <row r="352" ht="32" customHeight="1">
      <c r="A352" s="18" t="inlineStr">
        <is>
          <t>0092_gastly.json::gastly-2::002</t>
        </is>
      </c>
      <c r="B352" s="19" t="inlineStr">
        <is>
          <t>사용</t>
        </is>
      </c>
      <c r="C352" s="18">
        <f>IF(OR(B352&lt;&gt;AK352,M352&lt;&gt;L352,O352&lt;&gt;"",Q352&lt;&gt;"",V352&lt;&gt;1,Y352&lt;&gt;"",AT352&lt;&gt;""),"수정","원본")</f>
        <v/>
      </c>
      <c r="D352" s="18" t="n">
        <v>92</v>
      </c>
      <c r="E352" s="18" t="inlineStr">
        <is>
          <t>고오스</t>
        </is>
      </c>
      <c r="F352" s="18" t="inlineStr">
        <is>
          <t>gastly</t>
        </is>
      </c>
      <c r="G352" s="18" t="inlineStr">
        <is>
          <t>gastly</t>
        </is>
      </c>
      <c r="H352" s="18" t="inlineStr"/>
      <c r="I352" s="18" t="n">
        <v>1</v>
      </c>
      <c r="J352" s="18" t="n"/>
      <c r="K352" s="18" t="n">
        <v>1</v>
      </c>
      <c r="L352" s="18" t="inlineStr">
        <is>
          <t>cobbleventure:generation_1</t>
        </is>
      </c>
      <c r="M352" s="19" t="inlineStr">
        <is>
          <t>cobbleventure:generation_1</t>
        </is>
      </c>
      <c r="N352" s="18" t="inlineStr">
        <is>
          <t>region_01; region_02</t>
        </is>
      </c>
      <c r="O352" s="19" t="inlineStr"/>
      <c r="P352" s="18" t="inlineStr">
        <is>
          <t>#cobblemon:is_overworld</t>
        </is>
      </c>
      <c r="Q352" s="19" t="inlineStr"/>
      <c r="R352" s="18">
        <f>IF(Q352="",P352,Q352)</f>
        <v/>
      </c>
      <c r="S352" s="18" t="inlineStr"/>
      <c r="T352" s="18" t="inlineStr">
        <is>
          <t>uncommon</t>
        </is>
      </c>
      <c r="U352" s="20" t="n">
        <v>1.4</v>
      </c>
      <c r="V352" s="21" t="n">
        <v>1</v>
      </c>
      <c r="W352" s="20">
        <f>IF(OR(U352="",V352=""),U352,U352*V352)</f>
        <v/>
      </c>
      <c r="X352" s="18" t="inlineStr">
        <is>
          <t>6-31</t>
        </is>
      </c>
      <c r="Y352" s="19" t="inlineStr"/>
      <c r="Z352" s="18">
        <f>IF(Y352="",X352,Y352)</f>
        <v/>
      </c>
      <c r="AA352" s="18" t="inlineStr">
        <is>
          <t>grounded</t>
        </is>
      </c>
      <c r="AB352" s="18" t="inlineStr"/>
      <c r="AC352" s="18" t="inlineStr"/>
      <c r="AD352" s="18" t="inlineStr"/>
      <c r="AE352" s="18" t="inlineStr"/>
      <c r="AF352" s="18" t="inlineStr">
        <is>
          <t>False</t>
        </is>
      </c>
      <c r="AG352" s="18" t="inlineStr"/>
      <c r="AH352" s="18" t="inlineStr"/>
      <c r="AI352" s="18" t="inlineStr"/>
      <c r="AJ352" s="18" t="inlineStr">
        <is>
          <t>COBBLEVERSE 수정</t>
        </is>
      </c>
      <c r="AK352" s="18" t="inlineStr">
        <is>
          <t>사용</t>
        </is>
      </c>
      <c r="AL352" s="18" t="inlineStr">
        <is>
          <t>COBBLEVERSE 1.7.42 / DP v31</t>
        </is>
      </c>
      <c r="AM352" s="18" t="inlineStr">
        <is>
          <t>data/cobblemon/spawn_pool_world/0092_gastly.json</t>
        </is>
      </c>
      <c r="AN352" s="18" t="inlineStr">
        <is>
          <t>gastly-2</t>
        </is>
      </c>
      <c r="AO352" s="18" t="inlineStr">
        <is>
          <t>pokemon</t>
        </is>
      </c>
      <c r="AP352" s="18" t="inlineStr">
        <is>
          <t>derelict</t>
        </is>
      </c>
      <c r="AQ352" s="18" t="inlineStr">
        <is>
          <t>{"biomes":["#cobblemon:is_overworld"],"canSeeSky":false}</t>
        </is>
      </c>
      <c r="AR352" s="18" t="inlineStr"/>
      <c r="AS352" s="18" t="inlineStr"/>
      <c r="AT352" s="19" t="inlineStr"/>
    </row>
    <row r="353" ht="32" customHeight="1">
      <c r="A353" s="18" t="inlineStr">
        <is>
          <t>0092_gastly.json::gastly-3::003</t>
        </is>
      </c>
      <c r="B353" s="19" t="inlineStr">
        <is>
          <t>사용</t>
        </is>
      </c>
      <c r="C353" s="18">
        <f>IF(OR(B353&lt;&gt;AK353,M353&lt;&gt;L353,O353&lt;&gt;"",Q353&lt;&gt;"",V353&lt;&gt;1,Y353&lt;&gt;"",AT353&lt;&gt;""),"수정","원본")</f>
        <v/>
      </c>
      <c r="D353" s="18" t="n">
        <v>92</v>
      </c>
      <c r="E353" s="18" t="inlineStr">
        <is>
          <t>고오스</t>
        </is>
      </c>
      <c r="F353" s="18" t="inlineStr">
        <is>
          <t>gastly</t>
        </is>
      </c>
      <c r="G353" s="18" t="inlineStr">
        <is>
          <t>gastly</t>
        </is>
      </c>
      <c r="H353" s="18" t="inlineStr"/>
      <c r="I353" s="18" t="n">
        <v>1</v>
      </c>
      <c r="J353" s="18" t="n"/>
      <c r="K353" s="18" t="n">
        <v>1</v>
      </c>
      <c r="L353" s="18" t="inlineStr">
        <is>
          <t>cobbleventure:generation_1</t>
        </is>
      </c>
      <c r="M353" s="19" t="inlineStr">
        <is>
          <t>cobbleventure:generation_1</t>
        </is>
      </c>
      <c r="N353" s="18" t="inlineStr"/>
      <c r="O353" s="19" t="inlineStr"/>
      <c r="P353" s="18" t="inlineStr">
        <is>
          <t>#cobblemon:is_spooky</t>
        </is>
      </c>
      <c r="Q353" s="19" t="inlineStr"/>
      <c r="R353" s="18">
        <f>IF(Q353="",P353,Q353)</f>
        <v/>
      </c>
      <c r="S353" s="18" t="inlineStr"/>
      <c r="T353" s="18" t="inlineStr">
        <is>
          <t>common</t>
        </is>
      </c>
      <c r="U353" s="20" t="n">
        <v>9</v>
      </c>
      <c r="V353" s="21" t="n">
        <v>1</v>
      </c>
      <c r="W353" s="20">
        <f>IF(OR(U353="",V353=""),U353,U353*V353)</f>
        <v/>
      </c>
      <c r="X353" s="18" t="inlineStr">
        <is>
          <t>6-31</t>
        </is>
      </c>
      <c r="Y353" s="19" t="inlineStr"/>
      <c r="Z353" s="18">
        <f>IF(Y353="",X353,Y353)</f>
        <v/>
      </c>
      <c r="AA353" s="18" t="inlineStr">
        <is>
          <t>grounded</t>
        </is>
      </c>
      <c r="AB353" s="18" t="inlineStr"/>
      <c r="AC353" s="18" t="inlineStr"/>
      <c r="AD353" s="18" t="inlineStr"/>
      <c r="AE353" s="18" t="inlineStr">
        <is>
          <t>sky 8-15, light -0</t>
        </is>
      </c>
      <c r="AF353" s="18" t="inlineStr"/>
      <c r="AG353" s="18" t="inlineStr"/>
      <c r="AH353" s="18" t="inlineStr"/>
      <c r="AI353" s="18" t="inlineStr"/>
      <c r="AJ353" s="18" t="inlineStr">
        <is>
          <t>COBBLEVERSE 수정</t>
        </is>
      </c>
      <c r="AK353" s="18" t="inlineStr">
        <is>
          <t>사용</t>
        </is>
      </c>
      <c r="AL353" s="18" t="inlineStr">
        <is>
          <t>COBBLEVERSE 1.7.42 / DP v31</t>
        </is>
      </c>
      <c r="AM353" s="18" t="inlineStr">
        <is>
          <t>data/cobblemon/spawn_pool_world/0092_gastly.json</t>
        </is>
      </c>
      <c r="AN353" s="18" t="inlineStr">
        <is>
          <t>gastly-3</t>
        </is>
      </c>
      <c r="AO353" s="18" t="inlineStr">
        <is>
          <t>pokemon</t>
        </is>
      </c>
      <c r="AP353" s="18" t="inlineStr">
        <is>
          <t>natural</t>
        </is>
      </c>
      <c r="AQ353" s="18" t="inlineStr">
        <is>
          <t>{"biomes":["#cobblemon:is_spooky"],"maxLight":0,"maxSkyLight":15,"minSkyLight":8}</t>
        </is>
      </c>
      <c r="AR353" s="18" t="inlineStr"/>
      <c r="AS353" s="18" t="inlineStr"/>
      <c r="AT353" s="19" t="inlineStr"/>
    </row>
    <row r="354" ht="32" customHeight="1">
      <c r="A354" s="18" t="inlineStr">
        <is>
          <t>0092_gastly.json::gastly-4::004</t>
        </is>
      </c>
      <c r="B354" s="19" t="inlineStr">
        <is>
          <t>사용</t>
        </is>
      </c>
      <c r="C354" s="18">
        <f>IF(OR(B354&lt;&gt;AK354,M354&lt;&gt;L354,O354&lt;&gt;"",Q354&lt;&gt;"",V354&lt;&gt;1,Y354&lt;&gt;"",AT354&lt;&gt;""),"수정","원본")</f>
        <v/>
      </c>
      <c r="D354" s="18" t="n">
        <v>92</v>
      </c>
      <c r="E354" s="18" t="inlineStr">
        <is>
          <t>고오스</t>
        </is>
      </c>
      <c r="F354" s="18" t="inlineStr">
        <is>
          <t>gastly</t>
        </is>
      </c>
      <c r="G354" s="18" t="inlineStr">
        <is>
          <t>gastly</t>
        </is>
      </c>
      <c r="H354" s="18" t="inlineStr"/>
      <c r="I354" s="18" t="n">
        <v>1</v>
      </c>
      <c r="J354" s="18" t="n"/>
      <c r="K354" s="18" t="n">
        <v>1</v>
      </c>
      <c r="L354" s="18" t="inlineStr">
        <is>
          <t>cobbleventure:generation_1</t>
        </is>
      </c>
      <c r="M354" s="19" t="inlineStr">
        <is>
          <t>cobbleventure:generation_1</t>
        </is>
      </c>
      <c r="N354" s="18" t="inlineStr"/>
      <c r="O354" s="19" t="inlineStr"/>
      <c r="P354" s="18" t="inlineStr">
        <is>
          <t>#minecraft:is_nether</t>
        </is>
      </c>
      <c r="Q354" s="19" t="inlineStr"/>
      <c r="R354" s="18">
        <f>IF(Q354="",P354,Q354)</f>
        <v/>
      </c>
      <c r="S354" s="18" t="inlineStr"/>
      <c r="T354" s="18" t="inlineStr">
        <is>
          <t>common</t>
        </is>
      </c>
      <c r="U354" s="20" t="n">
        <v>9</v>
      </c>
      <c r="V354" s="21" t="n">
        <v>1</v>
      </c>
      <c r="W354" s="20">
        <f>IF(OR(U354="",V354=""),U354,U354*V354)</f>
        <v/>
      </c>
      <c r="X354" s="18" t="inlineStr">
        <is>
          <t>6-31</t>
        </is>
      </c>
      <c r="Y354" s="19" t="inlineStr"/>
      <c r="Z354" s="18">
        <f>IF(Y354="",X354,Y354)</f>
        <v/>
      </c>
      <c r="AA354" s="18" t="inlineStr">
        <is>
          <t>grounded</t>
        </is>
      </c>
      <c r="AB354" s="18" t="inlineStr"/>
      <c r="AC354" s="18" t="inlineStr"/>
      <c r="AD354" s="18" t="inlineStr"/>
      <c r="AE354" s="18" t="inlineStr"/>
      <c r="AF354" s="18" t="inlineStr"/>
      <c r="AG354" s="18" t="inlineStr"/>
      <c r="AH354" s="18" t="inlineStr"/>
      <c r="AI354" s="18" t="inlineStr">
        <is>
          <t>{"spawn":{"drops":{"amount":3,"entries":[{"item":"cobblemon:spell_tag","percentage":2.5},{"item":"cobblemon:payapa_berry","percentage":2.5},{"item":"minecraft:ghast_tear","percentage":5.0}]}}}</t>
        </is>
      </c>
      <c r="AJ354" s="18" t="inlineStr">
        <is>
          <t>COBBLEVERSE 수정</t>
        </is>
      </c>
      <c r="AK354" s="18" t="inlineStr">
        <is>
          <t>사용</t>
        </is>
      </c>
      <c r="AL354" s="18" t="inlineStr">
        <is>
          <t>COBBLEVERSE 1.7.42 / DP v31</t>
        </is>
      </c>
      <c r="AM354" s="18" t="inlineStr">
        <is>
          <t>data/cobblemon/spawn_pool_world/0092_gastly.json</t>
        </is>
      </c>
      <c r="AN354" s="18" t="inlineStr">
        <is>
          <t>gastly-4</t>
        </is>
      </c>
      <c r="AO354" s="18" t="inlineStr">
        <is>
          <t>pokemon</t>
        </is>
      </c>
      <c r="AP354" s="18" t="inlineStr">
        <is>
          <t>natural</t>
        </is>
      </c>
      <c r="AQ354" s="18" t="inlineStr">
        <is>
          <t>{"biomes":["#minecraft:is_nether"]}</t>
        </is>
      </c>
      <c r="AR354" s="18" t="inlineStr"/>
      <c r="AS354" s="18" t="inlineStr"/>
      <c r="AT354" s="19" t="inlineStr"/>
    </row>
    <row r="355" ht="32" customHeight="1">
      <c r="A355" s="18" t="inlineStr">
        <is>
          <t>0093_haunter.json::haunter-1::001</t>
        </is>
      </c>
      <c r="B355" s="19" t="inlineStr">
        <is>
          <t>사용</t>
        </is>
      </c>
      <c r="C355" s="18">
        <f>IF(OR(B355&lt;&gt;AK355,M355&lt;&gt;L355,O355&lt;&gt;"",Q355&lt;&gt;"",V355&lt;&gt;1,Y355&lt;&gt;"",AT355&lt;&gt;""),"수정","원본")</f>
        <v/>
      </c>
      <c r="D355" s="18" t="n">
        <v>93</v>
      </c>
      <c r="E355" s="18" t="inlineStr">
        <is>
          <t>고우스트</t>
        </is>
      </c>
      <c r="F355" s="18" t="inlineStr">
        <is>
          <t>haunter</t>
        </is>
      </c>
      <c r="G355" s="18" t="inlineStr">
        <is>
          <t>haunter</t>
        </is>
      </c>
      <c r="H355" s="18" t="inlineStr"/>
      <c r="I355" s="18" t="n">
        <v>1</v>
      </c>
      <c r="J355" s="18" t="n"/>
      <c r="K355" s="18" t="n">
        <v>1</v>
      </c>
      <c r="L355" s="18" t="inlineStr">
        <is>
          <t>cobbleventure:generation_1</t>
        </is>
      </c>
      <c r="M355" s="19" t="inlineStr">
        <is>
          <t>cobbleventure:generation_1</t>
        </is>
      </c>
      <c r="N355" s="18" t="inlineStr"/>
      <c r="O355" s="19" t="inlineStr"/>
      <c r="P355" s="18" t="inlineStr">
        <is>
          <t>#aether:is_aether; #cobblemon:is_deep_dark</t>
        </is>
      </c>
      <c r="Q355" s="19" t="inlineStr"/>
      <c r="R355" s="18">
        <f>IF(Q355="",P355,Q355)</f>
        <v/>
      </c>
      <c r="S355" s="18" t="inlineStr"/>
      <c r="T355" s="18" t="inlineStr">
        <is>
          <t>common</t>
        </is>
      </c>
      <c r="U355" s="20" t="n">
        <v>0.95</v>
      </c>
      <c r="V355" s="21" t="n">
        <v>1</v>
      </c>
      <c r="W355" s="20">
        <f>IF(OR(U355="",V355=""),U355,U355*V355)</f>
        <v/>
      </c>
      <c r="X355" s="18" t="inlineStr">
        <is>
          <t>25-41</t>
        </is>
      </c>
      <c r="Y355" s="19" t="inlineStr"/>
      <c r="Z355" s="18">
        <f>IF(Y355="",X355,Y355)</f>
        <v/>
      </c>
      <c r="AA355" s="18" t="inlineStr">
        <is>
          <t>grounded</t>
        </is>
      </c>
      <c r="AB355" s="18" t="inlineStr"/>
      <c r="AC355" s="18" t="inlineStr"/>
      <c r="AD355" s="18" t="inlineStr"/>
      <c r="AE355" s="18" t="inlineStr">
        <is>
          <t>sky 0-0, light -0</t>
        </is>
      </c>
      <c r="AF355" s="18" t="inlineStr"/>
      <c r="AG355" s="18" t="inlineStr"/>
      <c r="AH355" s="18" t="inlineStr"/>
      <c r="AI355" s="18" t="inlineStr"/>
      <c r="AJ355" s="18" t="inlineStr">
        <is>
          <t>COBBLEVERSE 수정</t>
        </is>
      </c>
      <c r="AK355" s="18" t="inlineStr">
        <is>
          <t>사용</t>
        </is>
      </c>
      <c r="AL355" s="18" t="inlineStr">
        <is>
          <t>COBBLEVERSE 1.7.42 / DP v31</t>
        </is>
      </c>
      <c r="AM355" s="18" t="inlineStr">
        <is>
          <t>data/cobblemon/spawn_pool_world/0093_haunter.json</t>
        </is>
      </c>
      <c r="AN355" s="18" t="inlineStr">
        <is>
          <t>haunter-1</t>
        </is>
      </c>
      <c r="AO355" s="18" t="inlineStr">
        <is>
          <t>pokemon</t>
        </is>
      </c>
      <c r="AP355" s="18" t="inlineStr">
        <is>
          <t>natural</t>
        </is>
      </c>
      <c r="AQ355" s="18" t="inlineStr">
        <is>
          <t>{"biomes":["#aether:is_aether","#cobblemon:is_deep_dark"],"maxLight":0,"maxSkyLight":0,"minSkyLight":0}</t>
        </is>
      </c>
      <c r="AR355" s="18" t="inlineStr"/>
      <c r="AS355" s="18" t="inlineStr"/>
      <c r="AT355" s="19" t="inlineStr"/>
    </row>
    <row r="356" ht="32" customHeight="1">
      <c r="A356" s="18" t="inlineStr">
        <is>
          <t>0093_haunter.json::haunter-2::002</t>
        </is>
      </c>
      <c r="B356" s="19" t="inlineStr">
        <is>
          <t>사용</t>
        </is>
      </c>
      <c r="C356" s="18">
        <f>IF(OR(B356&lt;&gt;AK356,M356&lt;&gt;L356,O356&lt;&gt;"",Q356&lt;&gt;"",V356&lt;&gt;1,Y356&lt;&gt;"",AT356&lt;&gt;""),"수정","원본")</f>
        <v/>
      </c>
      <c r="D356" s="18" t="n">
        <v>93</v>
      </c>
      <c r="E356" s="18" t="inlineStr">
        <is>
          <t>고우스트</t>
        </is>
      </c>
      <c r="F356" s="18" t="inlineStr">
        <is>
          <t>haunter</t>
        </is>
      </c>
      <c r="G356" s="18" t="inlineStr">
        <is>
          <t>haunter</t>
        </is>
      </c>
      <c r="H356" s="18" t="inlineStr"/>
      <c r="I356" s="18" t="n">
        <v>1</v>
      </c>
      <c r="J356" s="18" t="n"/>
      <c r="K356" s="18" t="n">
        <v>1</v>
      </c>
      <c r="L356" s="18" t="inlineStr">
        <is>
          <t>cobbleventure:generation_1</t>
        </is>
      </c>
      <c r="M356" s="19" t="inlineStr">
        <is>
          <t>cobbleventure:generation_1</t>
        </is>
      </c>
      <c r="N356" s="18" t="inlineStr">
        <is>
          <t>region_01; region_02</t>
        </is>
      </c>
      <c r="O356" s="19" t="inlineStr"/>
      <c r="P356" s="18" t="inlineStr">
        <is>
          <t>#cobblemon:is_overworld</t>
        </is>
      </c>
      <c r="Q356" s="19" t="inlineStr"/>
      <c r="R356" s="18">
        <f>IF(Q356="",P356,Q356)</f>
        <v/>
      </c>
      <c r="S356" s="18" t="inlineStr"/>
      <c r="T356" s="18" t="inlineStr">
        <is>
          <t>common</t>
        </is>
      </c>
      <c r="U356" s="20" t="n">
        <v>0.712</v>
      </c>
      <c r="V356" s="21" t="n">
        <v>1</v>
      </c>
      <c r="W356" s="20">
        <f>IF(OR(U356="",V356=""),U356,U356*V356)</f>
        <v/>
      </c>
      <c r="X356" s="18" t="inlineStr">
        <is>
          <t>25-41</t>
        </is>
      </c>
      <c r="Y356" s="19" t="inlineStr"/>
      <c r="Z356" s="18">
        <f>IF(Y356="",X356,Y356)</f>
        <v/>
      </c>
      <c r="AA356" s="18" t="inlineStr">
        <is>
          <t>grounded</t>
        </is>
      </c>
      <c r="AB356" s="18" t="inlineStr"/>
      <c r="AC356" s="18" t="inlineStr"/>
      <c r="AD356" s="18" t="inlineStr"/>
      <c r="AE356" s="18" t="inlineStr"/>
      <c r="AF356" s="18" t="inlineStr">
        <is>
          <t>False</t>
        </is>
      </c>
      <c r="AG356" s="18" t="inlineStr"/>
      <c r="AH356" s="18" t="inlineStr"/>
      <c r="AI356" s="18" t="inlineStr"/>
      <c r="AJ356" s="18" t="inlineStr">
        <is>
          <t>COBBLEVERSE 수정</t>
        </is>
      </c>
      <c r="AK356" s="18" t="inlineStr">
        <is>
          <t>사용</t>
        </is>
      </c>
      <c r="AL356" s="18" t="inlineStr">
        <is>
          <t>COBBLEVERSE 1.7.42 / DP v31</t>
        </is>
      </c>
      <c r="AM356" s="18" t="inlineStr">
        <is>
          <t>data/cobblemon/spawn_pool_world/0093_haunter.json</t>
        </is>
      </c>
      <c r="AN356" s="18" t="inlineStr">
        <is>
          <t>haunter-2</t>
        </is>
      </c>
      <c r="AO356" s="18" t="inlineStr">
        <is>
          <t>pokemon</t>
        </is>
      </c>
      <c r="AP356" s="18" t="inlineStr">
        <is>
          <t>derelict</t>
        </is>
      </c>
      <c r="AQ356" s="18" t="inlineStr">
        <is>
          <t>{"biomes":["#cobblemon:is_overworld"],"canSeeSky":false}</t>
        </is>
      </c>
      <c r="AR356" s="18" t="inlineStr"/>
      <c r="AS356" s="18" t="inlineStr"/>
      <c r="AT356" s="19" t="inlineStr"/>
    </row>
    <row r="357" ht="32" customHeight="1">
      <c r="A357" s="18" t="inlineStr">
        <is>
          <t>0093_haunter.json::haunter-3::003</t>
        </is>
      </c>
      <c r="B357" s="19" t="inlineStr">
        <is>
          <t>사용</t>
        </is>
      </c>
      <c r="C357" s="18">
        <f>IF(OR(B357&lt;&gt;AK357,M357&lt;&gt;L357,O357&lt;&gt;"",Q357&lt;&gt;"",V357&lt;&gt;1,Y357&lt;&gt;"",AT357&lt;&gt;""),"수정","원본")</f>
        <v/>
      </c>
      <c r="D357" s="18" t="n">
        <v>93</v>
      </c>
      <c r="E357" s="18" t="inlineStr">
        <is>
          <t>고우스트</t>
        </is>
      </c>
      <c r="F357" s="18" t="inlineStr">
        <is>
          <t>haunter</t>
        </is>
      </c>
      <c r="G357" s="18" t="inlineStr">
        <is>
          <t>haunter</t>
        </is>
      </c>
      <c r="H357" s="18" t="inlineStr"/>
      <c r="I357" s="18" t="n">
        <v>1</v>
      </c>
      <c r="J357" s="18" t="n"/>
      <c r="K357" s="18" t="n">
        <v>1</v>
      </c>
      <c r="L357" s="18" t="inlineStr">
        <is>
          <t>cobbleventure:generation_1</t>
        </is>
      </c>
      <c r="M357" s="19" t="inlineStr">
        <is>
          <t>cobbleventure:generation_1</t>
        </is>
      </c>
      <c r="N357" s="18" t="inlineStr"/>
      <c r="O357" s="19" t="inlineStr"/>
      <c r="P357" s="18" t="inlineStr">
        <is>
          <t>#cobblemon:is_spooky</t>
        </is>
      </c>
      <c r="Q357" s="19" t="inlineStr"/>
      <c r="R357" s="18">
        <f>IF(Q357="",P357,Q357)</f>
        <v/>
      </c>
      <c r="S357" s="18" t="inlineStr"/>
      <c r="T357" s="18" t="inlineStr">
        <is>
          <t>common</t>
        </is>
      </c>
      <c r="U357" s="20" t="n">
        <v>0.95</v>
      </c>
      <c r="V357" s="21" t="n">
        <v>1</v>
      </c>
      <c r="W357" s="20">
        <f>IF(OR(U357="",V357=""),U357,U357*V357)</f>
        <v/>
      </c>
      <c r="X357" s="18" t="inlineStr">
        <is>
          <t>25-41</t>
        </is>
      </c>
      <c r="Y357" s="19" t="inlineStr"/>
      <c r="Z357" s="18">
        <f>IF(Y357="",X357,Y357)</f>
        <v/>
      </c>
      <c r="AA357" s="18" t="inlineStr">
        <is>
          <t>grounded</t>
        </is>
      </c>
      <c r="AB357" s="18" t="inlineStr"/>
      <c r="AC357" s="18" t="inlineStr"/>
      <c r="AD357" s="18" t="inlineStr"/>
      <c r="AE357" s="18" t="inlineStr">
        <is>
          <t>sky 8-15, light -0</t>
        </is>
      </c>
      <c r="AF357" s="18" t="inlineStr"/>
      <c r="AG357" s="18" t="inlineStr"/>
      <c r="AH357" s="18" t="inlineStr"/>
      <c r="AI357" s="18" t="inlineStr"/>
      <c r="AJ357" s="18" t="inlineStr">
        <is>
          <t>COBBLEVERSE 수정</t>
        </is>
      </c>
      <c r="AK357" s="18" t="inlineStr">
        <is>
          <t>사용</t>
        </is>
      </c>
      <c r="AL357" s="18" t="inlineStr">
        <is>
          <t>COBBLEVERSE 1.7.42 / DP v31</t>
        </is>
      </c>
      <c r="AM357" s="18" t="inlineStr">
        <is>
          <t>data/cobblemon/spawn_pool_world/0093_haunter.json</t>
        </is>
      </c>
      <c r="AN357" s="18" t="inlineStr">
        <is>
          <t>haunter-3</t>
        </is>
      </c>
      <c r="AO357" s="18" t="inlineStr">
        <is>
          <t>pokemon</t>
        </is>
      </c>
      <c r="AP357" s="18" t="inlineStr">
        <is>
          <t>natural</t>
        </is>
      </c>
      <c r="AQ357" s="18" t="inlineStr">
        <is>
          <t>{"biomes":["#cobblemon:is_spooky"],"maxLight":0,"maxSkyLight":15,"minSkyLight":8}</t>
        </is>
      </c>
      <c r="AR357" s="18" t="inlineStr"/>
      <c r="AS357" s="18" t="inlineStr"/>
      <c r="AT357" s="19" t="inlineStr"/>
    </row>
    <row r="358" ht="32" customHeight="1">
      <c r="A358" s="18" t="inlineStr">
        <is>
          <t>0093_haunter.json::haunter-4::004</t>
        </is>
      </c>
      <c r="B358" s="19" t="inlineStr">
        <is>
          <t>사용</t>
        </is>
      </c>
      <c r="C358" s="18">
        <f>IF(OR(B358&lt;&gt;AK358,M358&lt;&gt;L358,O358&lt;&gt;"",Q358&lt;&gt;"",V358&lt;&gt;1,Y358&lt;&gt;"",AT358&lt;&gt;""),"수정","원본")</f>
        <v/>
      </c>
      <c r="D358" s="18" t="n">
        <v>93</v>
      </c>
      <c r="E358" s="18" t="inlineStr">
        <is>
          <t>고우스트</t>
        </is>
      </c>
      <c r="F358" s="18" t="inlineStr">
        <is>
          <t>haunter</t>
        </is>
      </c>
      <c r="G358" s="18" t="inlineStr">
        <is>
          <t>haunter</t>
        </is>
      </c>
      <c r="H358" s="18" t="inlineStr"/>
      <c r="I358" s="18" t="n">
        <v>1</v>
      </c>
      <c r="J358" s="18" t="n"/>
      <c r="K358" s="18" t="n">
        <v>1</v>
      </c>
      <c r="L358" s="18" t="inlineStr">
        <is>
          <t>cobbleventure:generation_1</t>
        </is>
      </c>
      <c r="M358" s="19" t="inlineStr">
        <is>
          <t>cobbleventure:generation_1</t>
        </is>
      </c>
      <c r="N358" s="18" t="inlineStr"/>
      <c r="O358" s="19" t="inlineStr"/>
      <c r="P358" s="18" t="inlineStr">
        <is>
          <t>#minecraft:is_nether</t>
        </is>
      </c>
      <c r="Q358" s="19" t="inlineStr"/>
      <c r="R358" s="18">
        <f>IF(Q358="",P358,Q358)</f>
        <v/>
      </c>
      <c r="S358" s="18" t="inlineStr"/>
      <c r="T358" s="18" t="inlineStr">
        <is>
          <t>common</t>
        </is>
      </c>
      <c r="U358" s="20" t="n">
        <v>0.95</v>
      </c>
      <c r="V358" s="21" t="n">
        <v>1</v>
      </c>
      <c r="W358" s="20">
        <f>IF(OR(U358="",V358=""),U358,U358*V358)</f>
        <v/>
      </c>
      <c r="X358" s="18" t="inlineStr">
        <is>
          <t>25-41</t>
        </is>
      </c>
      <c r="Y358" s="19" t="inlineStr"/>
      <c r="Z358" s="18">
        <f>IF(Y358="",X358,Y358)</f>
        <v/>
      </c>
      <c r="AA358" s="18" t="inlineStr">
        <is>
          <t>grounded</t>
        </is>
      </c>
      <c r="AB358" s="18" t="inlineStr"/>
      <c r="AC358" s="18" t="inlineStr"/>
      <c r="AD358" s="18" t="inlineStr"/>
      <c r="AE358" s="18" t="inlineStr"/>
      <c r="AF358" s="18" t="inlineStr"/>
      <c r="AG358" s="18" t="inlineStr"/>
      <c r="AH358" s="18" t="inlineStr"/>
      <c r="AI358" s="18" t="inlineStr">
        <is>
          <t>{"spawn":{"drops":{"amount":3,"entries":[{"item":"cobblemon:spell_tag","percentage":5.0},{"item":"cobblemon:payapa_berry","percentage":5.0},{"item":"minecraft:ghast_tear","percentage":10.0}]}}}</t>
        </is>
      </c>
      <c r="AJ358" s="18" t="inlineStr">
        <is>
          <t>COBBLEVERSE 수정</t>
        </is>
      </c>
      <c r="AK358" s="18" t="inlineStr">
        <is>
          <t>사용</t>
        </is>
      </c>
      <c r="AL358" s="18" t="inlineStr">
        <is>
          <t>COBBLEVERSE 1.7.42 / DP v31</t>
        </is>
      </c>
      <c r="AM358" s="18" t="inlineStr">
        <is>
          <t>data/cobblemon/spawn_pool_world/0093_haunter.json</t>
        </is>
      </c>
      <c r="AN358" s="18" t="inlineStr">
        <is>
          <t>haunter-4</t>
        </is>
      </c>
      <c r="AO358" s="18" t="inlineStr">
        <is>
          <t>pokemon</t>
        </is>
      </c>
      <c r="AP358" s="18" t="inlineStr">
        <is>
          <t>natural</t>
        </is>
      </c>
      <c r="AQ358" s="18" t="inlineStr">
        <is>
          <t>{"biomes":["#minecraft:is_nether"]}</t>
        </is>
      </c>
      <c r="AR358" s="18" t="inlineStr"/>
      <c r="AS358" s="18" t="inlineStr"/>
      <c r="AT358" s="19" t="inlineStr"/>
    </row>
    <row r="359" ht="32" customHeight="1">
      <c r="A359" s="18" t="inlineStr">
        <is>
          <t>0094_gengar.json::gengar-1::001</t>
        </is>
      </c>
      <c r="B359" s="19" t="inlineStr">
        <is>
          <t>사용</t>
        </is>
      </c>
      <c r="C359" s="18">
        <f>IF(OR(B359&lt;&gt;AK359,M359&lt;&gt;L359,O359&lt;&gt;"",Q359&lt;&gt;"",V359&lt;&gt;1,Y359&lt;&gt;"",AT359&lt;&gt;""),"수정","원본")</f>
        <v/>
      </c>
      <c r="D359" s="18" t="n">
        <v>94</v>
      </c>
      <c r="E359" s="18" t="inlineStr">
        <is>
          <t>팬텀</t>
        </is>
      </c>
      <c r="F359" s="18" t="inlineStr">
        <is>
          <t>gengar</t>
        </is>
      </c>
      <c r="G359" s="18" t="inlineStr">
        <is>
          <t>gengar</t>
        </is>
      </c>
      <c r="H359" s="18" t="inlineStr"/>
      <c r="I359" s="18" t="n">
        <v>1</v>
      </c>
      <c r="J359" s="18" t="n"/>
      <c r="K359" s="18" t="n">
        <v>1</v>
      </c>
      <c r="L359" s="18" t="inlineStr">
        <is>
          <t>cobbleventure:generation_1</t>
        </is>
      </c>
      <c r="M359" s="19" t="inlineStr">
        <is>
          <t>cobbleventure:generation_1</t>
        </is>
      </c>
      <c r="N359" s="18" t="inlineStr"/>
      <c r="O359" s="19" t="inlineStr"/>
      <c r="P359" s="18" t="inlineStr">
        <is>
          <t>#aether:is_aether; #cobblemon:is_deep_dark</t>
        </is>
      </c>
      <c r="Q359" s="19" t="inlineStr"/>
      <c r="R359" s="18">
        <f>IF(Q359="",P359,Q359)</f>
        <v/>
      </c>
      <c r="S359" s="18" t="inlineStr"/>
      <c r="T359" s="18" t="inlineStr">
        <is>
          <t>uncommon</t>
        </is>
      </c>
      <c r="U359" s="20" t="n">
        <v>0.05</v>
      </c>
      <c r="V359" s="21" t="n">
        <v>1</v>
      </c>
      <c r="W359" s="20">
        <f>IF(OR(U359="",V359=""),U359,U359*V359)</f>
        <v/>
      </c>
      <c r="X359" s="18" t="inlineStr">
        <is>
          <t>36-50</t>
        </is>
      </c>
      <c r="Y359" s="19" t="inlineStr"/>
      <c r="Z359" s="18">
        <f>IF(Y359="",X359,Y359)</f>
        <v/>
      </c>
      <c r="AA359" s="18" t="inlineStr">
        <is>
          <t>grounded</t>
        </is>
      </c>
      <c r="AB359" s="18" t="inlineStr"/>
      <c r="AC359" s="18" t="inlineStr"/>
      <c r="AD359" s="18" t="inlineStr"/>
      <c r="AE359" s="18" t="inlineStr">
        <is>
          <t>sky 0-0, light -0</t>
        </is>
      </c>
      <c r="AF359" s="18" t="inlineStr"/>
      <c r="AG359" s="18" t="inlineStr"/>
      <c r="AH359" s="18" t="inlineStr"/>
      <c r="AI359" s="18" t="inlineStr"/>
      <c r="AJ359" s="18" t="inlineStr">
        <is>
          <t>COBBLEVERSE 수정</t>
        </is>
      </c>
      <c r="AK359" s="18" t="inlineStr">
        <is>
          <t>사용</t>
        </is>
      </c>
      <c r="AL359" s="18" t="inlineStr">
        <is>
          <t>COBBLEVERSE 1.7.42 / DP v31</t>
        </is>
      </c>
      <c r="AM359" s="18" t="inlineStr">
        <is>
          <t>data/cobblemon/spawn_pool_world/0094_gengar.json</t>
        </is>
      </c>
      <c r="AN359" s="18" t="inlineStr">
        <is>
          <t>gengar-1</t>
        </is>
      </c>
      <c r="AO359" s="18" t="inlineStr">
        <is>
          <t>pokemon</t>
        </is>
      </c>
      <c r="AP359" s="18" t="inlineStr">
        <is>
          <t>natural</t>
        </is>
      </c>
      <c r="AQ359" s="18" t="inlineStr">
        <is>
          <t>{"biomes":["#aether:is_aether","#cobblemon:is_deep_dark"],"maxLight":0,"maxSkyLight":0,"minSkyLight":0}</t>
        </is>
      </c>
      <c r="AR359" s="18" t="inlineStr"/>
      <c r="AS359" s="18" t="inlineStr"/>
      <c r="AT359" s="19" t="inlineStr"/>
    </row>
    <row r="360" ht="32" customHeight="1">
      <c r="A360" s="18" t="inlineStr">
        <is>
          <t>0094_gengar.json::gengar-2::002</t>
        </is>
      </c>
      <c r="B360" s="19" t="inlineStr">
        <is>
          <t>사용</t>
        </is>
      </c>
      <c r="C360" s="18">
        <f>IF(OR(B360&lt;&gt;AK360,M360&lt;&gt;L360,O360&lt;&gt;"",Q360&lt;&gt;"",V360&lt;&gt;1,Y360&lt;&gt;"",AT360&lt;&gt;""),"수정","원본")</f>
        <v/>
      </c>
      <c r="D360" s="18" t="n">
        <v>94</v>
      </c>
      <c r="E360" s="18" t="inlineStr">
        <is>
          <t>팬텀</t>
        </is>
      </c>
      <c r="F360" s="18" t="inlineStr">
        <is>
          <t>gengar</t>
        </is>
      </c>
      <c r="G360" s="18" t="inlineStr">
        <is>
          <t>gengar</t>
        </is>
      </c>
      <c r="H360" s="18" t="inlineStr"/>
      <c r="I360" s="18" t="n">
        <v>1</v>
      </c>
      <c r="J360" s="18" t="n"/>
      <c r="K360" s="18" t="n">
        <v>1</v>
      </c>
      <c r="L360" s="18" t="inlineStr">
        <is>
          <t>cobbleventure:generation_1</t>
        </is>
      </c>
      <c r="M360" s="19" t="inlineStr">
        <is>
          <t>cobbleventure:generation_1</t>
        </is>
      </c>
      <c r="N360" s="18" t="inlineStr">
        <is>
          <t>region_01; region_02</t>
        </is>
      </c>
      <c r="O360" s="19" t="inlineStr"/>
      <c r="P360" s="18" t="inlineStr">
        <is>
          <t>#cobblemon:is_overworld</t>
        </is>
      </c>
      <c r="Q360" s="19" t="inlineStr"/>
      <c r="R360" s="18">
        <f>IF(Q360="",P360,Q360)</f>
        <v/>
      </c>
      <c r="S360" s="18" t="inlineStr"/>
      <c r="T360" s="18" t="inlineStr">
        <is>
          <t>uncommon</t>
        </is>
      </c>
      <c r="U360" s="20" t="n">
        <v>0.048</v>
      </c>
      <c r="V360" s="21" t="n">
        <v>1</v>
      </c>
      <c r="W360" s="20">
        <f>IF(OR(U360="",V360=""),U360,U360*V360)</f>
        <v/>
      </c>
      <c r="X360" s="18" t="inlineStr">
        <is>
          <t>36-50</t>
        </is>
      </c>
      <c r="Y360" s="19" t="inlineStr"/>
      <c r="Z360" s="18">
        <f>IF(Y360="",X360,Y360)</f>
        <v/>
      </c>
      <c r="AA360" s="18" t="inlineStr">
        <is>
          <t>grounded</t>
        </is>
      </c>
      <c r="AB360" s="18" t="inlineStr"/>
      <c r="AC360" s="18" t="inlineStr"/>
      <c r="AD360" s="18" t="inlineStr"/>
      <c r="AE360" s="18" t="inlineStr"/>
      <c r="AF360" s="18" t="inlineStr">
        <is>
          <t>False</t>
        </is>
      </c>
      <c r="AG360" s="18" t="inlineStr"/>
      <c r="AH360" s="18" t="inlineStr"/>
      <c r="AI360" s="18" t="inlineStr"/>
      <c r="AJ360" s="18" t="inlineStr">
        <is>
          <t>COBBLEVERSE 수정</t>
        </is>
      </c>
      <c r="AK360" s="18" t="inlineStr">
        <is>
          <t>사용</t>
        </is>
      </c>
      <c r="AL360" s="18" t="inlineStr">
        <is>
          <t>COBBLEVERSE 1.7.42 / DP v31</t>
        </is>
      </c>
      <c r="AM360" s="18" t="inlineStr">
        <is>
          <t>data/cobblemon/spawn_pool_world/0094_gengar.json</t>
        </is>
      </c>
      <c r="AN360" s="18" t="inlineStr">
        <is>
          <t>gengar-2</t>
        </is>
      </c>
      <c r="AO360" s="18" t="inlineStr">
        <is>
          <t>pokemon</t>
        </is>
      </c>
      <c r="AP360" s="18" t="inlineStr">
        <is>
          <t>derelict</t>
        </is>
      </c>
      <c r="AQ360" s="18" t="inlineStr">
        <is>
          <t>{"biomes":["#cobblemon:is_overworld"],"canSeeSky":false}</t>
        </is>
      </c>
      <c r="AR360" s="18" t="inlineStr"/>
      <c r="AS360" s="18" t="inlineStr"/>
      <c r="AT360" s="19" t="inlineStr"/>
    </row>
    <row r="361" ht="32" customHeight="1">
      <c r="A361" s="18" t="inlineStr">
        <is>
          <t>0094_gengar.json::gengar-3::003</t>
        </is>
      </c>
      <c r="B361" s="19" t="inlineStr">
        <is>
          <t>사용</t>
        </is>
      </c>
      <c r="C361" s="18">
        <f>IF(OR(B361&lt;&gt;AK361,M361&lt;&gt;L361,O361&lt;&gt;"",Q361&lt;&gt;"",V361&lt;&gt;1,Y361&lt;&gt;"",AT361&lt;&gt;""),"수정","원본")</f>
        <v/>
      </c>
      <c r="D361" s="18" t="n">
        <v>94</v>
      </c>
      <c r="E361" s="18" t="inlineStr">
        <is>
          <t>팬텀</t>
        </is>
      </c>
      <c r="F361" s="18" t="inlineStr">
        <is>
          <t>gengar</t>
        </is>
      </c>
      <c r="G361" s="18" t="inlineStr">
        <is>
          <t>gengar</t>
        </is>
      </c>
      <c r="H361" s="18" t="inlineStr"/>
      <c r="I361" s="18" t="n">
        <v>1</v>
      </c>
      <c r="J361" s="18" t="n"/>
      <c r="K361" s="18" t="n">
        <v>1</v>
      </c>
      <c r="L361" s="18" t="inlineStr">
        <is>
          <t>cobbleventure:generation_1</t>
        </is>
      </c>
      <c r="M361" s="19" t="inlineStr">
        <is>
          <t>cobbleventure:generation_1</t>
        </is>
      </c>
      <c r="N361" s="18" t="inlineStr"/>
      <c r="O361" s="19" t="inlineStr"/>
      <c r="P361" s="18" t="inlineStr">
        <is>
          <t>#cobblemon:is_spooky</t>
        </is>
      </c>
      <c r="Q361" s="19" t="inlineStr"/>
      <c r="R361" s="18">
        <f>IF(Q361="",P361,Q361)</f>
        <v/>
      </c>
      <c r="S361" s="18" t="inlineStr"/>
      <c r="T361" s="18" t="inlineStr">
        <is>
          <t>uncommon</t>
        </is>
      </c>
      <c r="U361" s="20" t="n">
        <v>0.05</v>
      </c>
      <c r="V361" s="21" t="n">
        <v>1</v>
      </c>
      <c r="W361" s="20">
        <f>IF(OR(U361="",V361=""),U361,U361*V361)</f>
        <v/>
      </c>
      <c r="X361" s="18" t="inlineStr">
        <is>
          <t>36-50</t>
        </is>
      </c>
      <c r="Y361" s="19" t="inlineStr"/>
      <c r="Z361" s="18">
        <f>IF(Y361="",X361,Y361)</f>
        <v/>
      </c>
      <c r="AA361" s="18" t="inlineStr">
        <is>
          <t>grounded</t>
        </is>
      </c>
      <c r="AB361" s="18" t="inlineStr"/>
      <c r="AC361" s="18" t="inlineStr"/>
      <c r="AD361" s="18" t="inlineStr"/>
      <c r="AE361" s="18" t="inlineStr">
        <is>
          <t>sky 8-15, light -0</t>
        </is>
      </c>
      <c r="AF361" s="18" t="inlineStr"/>
      <c r="AG361" s="18" t="inlineStr"/>
      <c r="AH361" s="18" t="inlineStr"/>
      <c r="AI361" s="18" t="inlineStr"/>
      <c r="AJ361" s="18" t="inlineStr">
        <is>
          <t>COBBLEVERSE 수정</t>
        </is>
      </c>
      <c r="AK361" s="18" t="inlineStr">
        <is>
          <t>사용</t>
        </is>
      </c>
      <c r="AL361" s="18" t="inlineStr">
        <is>
          <t>COBBLEVERSE 1.7.42 / DP v31</t>
        </is>
      </c>
      <c r="AM361" s="18" t="inlineStr">
        <is>
          <t>data/cobblemon/spawn_pool_world/0094_gengar.json</t>
        </is>
      </c>
      <c r="AN361" s="18" t="inlineStr">
        <is>
          <t>gengar-3</t>
        </is>
      </c>
      <c r="AO361" s="18" t="inlineStr">
        <is>
          <t>pokemon</t>
        </is>
      </c>
      <c r="AP361" s="18" t="inlineStr">
        <is>
          <t>natural</t>
        </is>
      </c>
      <c r="AQ361" s="18" t="inlineStr">
        <is>
          <t>{"biomes":["#cobblemon:is_spooky"],"maxLight":0,"maxSkyLight":15,"minSkyLight":8}</t>
        </is>
      </c>
      <c r="AR361" s="18" t="inlineStr"/>
      <c r="AS361" s="18" t="inlineStr"/>
      <c r="AT361" s="19" t="inlineStr"/>
    </row>
    <row r="362" ht="32" customHeight="1">
      <c r="A362" s="18" t="inlineStr">
        <is>
          <t>0094_gengar.json::gengar-4::004</t>
        </is>
      </c>
      <c r="B362" s="19" t="inlineStr">
        <is>
          <t>사용</t>
        </is>
      </c>
      <c r="C362" s="18">
        <f>IF(OR(B362&lt;&gt;AK362,M362&lt;&gt;L362,O362&lt;&gt;"",Q362&lt;&gt;"",V362&lt;&gt;1,Y362&lt;&gt;"",AT362&lt;&gt;""),"수정","원본")</f>
        <v/>
      </c>
      <c r="D362" s="18" t="n">
        <v>94</v>
      </c>
      <c r="E362" s="18" t="inlineStr">
        <is>
          <t>팬텀</t>
        </is>
      </c>
      <c r="F362" s="18" t="inlineStr">
        <is>
          <t>gengar</t>
        </is>
      </c>
      <c r="G362" s="18" t="inlineStr">
        <is>
          <t>gengar</t>
        </is>
      </c>
      <c r="H362" s="18" t="inlineStr"/>
      <c r="I362" s="18" t="n">
        <v>1</v>
      </c>
      <c r="J362" s="18" t="n"/>
      <c r="K362" s="18" t="n">
        <v>1</v>
      </c>
      <c r="L362" s="18" t="inlineStr">
        <is>
          <t>cobbleventure:generation_1</t>
        </is>
      </c>
      <c r="M362" s="19" t="inlineStr">
        <is>
          <t>cobbleventure:generation_1</t>
        </is>
      </c>
      <c r="N362" s="18" t="inlineStr"/>
      <c r="O362" s="19" t="inlineStr"/>
      <c r="P362" s="18" t="inlineStr">
        <is>
          <t>#minecraft:is_nether</t>
        </is>
      </c>
      <c r="Q362" s="19" t="inlineStr"/>
      <c r="R362" s="18">
        <f>IF(Q362="",P362,Q362)</f>
        <v/>
      </c>
      <c r="S362" s="18" t="inlineStr"/>
      <c r="T362" s="18" t="inlineStr">
        <is>
          <t>uncommon</t>
        </is>
      </c>
      <c r="U362" s="20" t="n">
        <v>0.05</v>
      </c>
      <c r="V362" s="21" t="n">
        <v>1</v>
      </c>
      <c r="W362" s="20">
        <f>IF(OR(U362="",V362=""),U362,U362*V362)</f>
        <v/>
      </c>
      <c r="X362" s="18" t="inlineStr">
        <is>
          <t>36-50</t>
        </is>
      </c>
      <c r="Y362" s="19" t="inlineStr"/>
      <c r="Z362" s="18">
        <f>IF(Y362="",X362,Y362)</f>
        <v/>
      </c>
      <c r="AA362" s="18" t="inlineStr">
        <is>
          <t>grounded</t>
        </is>
      </c>
      <c r="AB362" s="18" t="inlineStr"/>
      <c r="AC362" s="18" t="inlineStr"/>
      <c r="AD362" s="18" t="inlineStr"/>
      <c r="AE362" s="18" t="inlineStr"/>
      <c r="AF362" s="18" t="inlineStr"/>
      <c r="AG362" s="18" t="inlineStr"/>
      <c r="AH362" s="18" t="inlineStr"/>
      <c r="AI362" s="18" t="inlineStr">
        <is>
          <t>{"spawn":{"drops":{"amount":3,"entries":[{"item":"cobblemon:spell_tag","percentage":10.0},{"item":"cobblemon:payapa_berry","percentage":10.0},{"item":"minecraft:ghast_tear","percentage":25.0}]}}}</t>
        </is>
      </c>
      <c r="AJ362" s="18" t="inlineStr">
        <is>
          <t>COBBLEVERSE 수정</t>
        </is>
      </c>
      <c r="AK362" s="18" t="inlineStr">
        <is>
          <t>사용</t>
        </is>
      </c>
      <c r="AL362" s="18" t="inlineStr">
        <is>
          <t>COBBLEVERSE 1.7.42 / DP v31</t>
        </is>
      </c>
      <c r="AM362" s="18" t="inlineStr">
        <is>
          <t>data/cobblemon/spawn_pool_world/0094_gengar.json</t>
        </is>
      </c>
      <c r="AN362" s="18" t="inlineStr">
        <is>
          <t>gengar-4</t>
        </is>
      </c>
      <c r="AO362" s="18" t="inlineStr">
        <is>
          <t>pokemon</t>
        </is>
      </c>
      <c r="AP362" s="18" t="inlineStr">
        <is>
          <t>natural</t>
        </is>
      </c>
      <c r="AQ362" s="18" t="inlineStr">
        <is>
          <t>{"biomes":["#minecraft:is_nether"]}</t>
        </is>
      </c>
      <c r="AR362" s="18" t="inlineStr"/>
      <c r="AS362" s="18" t="inlineStr"/>
      <c r="AT362" s="19" t="inlineStr"/>
    </row>
    <row r="363" ht="32" customHeight="1">
      <c r="A363" s="18" t="inlineStr">
        <is>
          <t>0095_onix.json::onix-1::001</t>
        </is>
      </c>
      <c r="B363" s="19" t="inlineStr">
        <is>
          <t>사용</t>
        </is>
      </c>
      <c r="C363" s="18">
        <f>IF(OR(B363&lt;&gt;AK363,M363&lt;&gt;L363,O363&lt;&gt;"",Q363&lt;&gt;"",V363&lt;&gt;1,Y363&lt;&gt;"",AT363&lt;&gt;""),"수정","원본")</f>
        <v/>
      </c>
      <c r="D363" s="18" t="n">
        <v>95</v>
      </c>
      <c r="E363" s="18" t="inlineStr">
        <is>
          <t>롱스톤</t>
        </is>
      </c>
      <c r="F363" s="18" t="inlineStr">
        <is>
          <t>onix</t>
        </is>
      </c>
      <c r="G363" s="18" t="inlineStr">
        <is>
          <t>onix</t>
        </is>
      </c>
      <c r="H363" s="18" t="inlineStr"/>
      <c r="I363" s="18" t="n">
        <v>1</v>
      </c>
      <c r="J363" s="18" t="n"/>
      <c r="K363" s="18" t="n">
        <v>1</v>
      </c>
      <c r="L363" s="18" t="inlineStr">
        <is>
          <t>cobbleventure:generation_1</t>
        </is>
      </c>
      <c r="M363" s="19" t="inlineStr">
        <is>
          <t>cobbleventure:generation_1</t>
        </is>
      </c>
      <c r="N363" s="18" t="inlineStr">
        <is>
          <t>region_01; region_02</t>
        </is>
      </c>
      <c r="O363" s="19" t="inlineStr"/>
      <c r="P363" s="18" t="inlineStr">
        <is>
          <t>#cobblemon:is_overworld</t>
        </is>
      </c>
      <c r="Q363" s="19" t="inlineStr"/>
      <c r="R363" s="18">
        <f>IF(Q363="",P363,Q363)</f>
        <v/>
      </c>
      <c r="S363" s="18" t="inlineStr">
        <is>
          <t>#cobblemon:is_deep_dark</t>
        </is>
      </c>
      <c r="T363" s="18" t="inlineStr">
        <is>
          <t>uncommon</t>
        </is>
      </c>
      <c r="U363" s="20" t="n">
        <v>5.52</v>
      </c>
      <c r="V363" s="21" t="n">
        <v>1</v>
      </c>
      <c r="W363" s="20">
        <f>IF(OR(U363="",V363=""),U363,U363*V363)</f>
        <v/>
      </c>
      <c r="X363" s="18" t="inlineStr">
        <is>
          <t>14-39</t>
        </is>
      </c>
      <c r="Y363" s="19" t="inlineStr"/>
      <c r="Z363" s="18">
        <f>IF(Y363="",X363,Y363)</f>
        <v/>
      </c>
      <c r="AA363" s="18" t="inlineStr">
        <is>
          <t>grounded</t>
        </is>
      </c>
      <c r="AB363" s="18" t="inlineStr"/>
      <c r="AC363" s="18" t="inlineStr"/>
      <c r="AD363" s="18" t="inlineStr"/>
      <c r="AE363" s="18" t="inlineStr">
        <is>
          <t>sky 0-7</t>
        </is>
      </c>
      <c r="AF363" s="18" t="inlineStr"/>
      <c r="AG363" s="18" t="inlineStr"/>
      <c r="AH363" s="18" t="inlineStr"/>
      <c r="AI363" s="18" t="inlineStr"/>
      <c r="AJ363" s="18" t="inlineStr">
        <is>
          <t>Cobblemon 동일</t>
        </is>
      </c>
      <c r="AK363" s="18" t="inlineStr">
        <is>
          <t>사용</t>
        </is>
      </c>
      <c r="AL363" s="18" t="inlineStr">
        <is>
          <t>COBBLEVERSE 1.7.42 / DP v31</t>
        </is>
      </c>
      <c r="AM363" s="18" t="inlineStr">
        <is>
          <t>data/cobblemon/spawn_pool_world/0095_onix.json</t>
        </is>
      </c>
      <c r="AN363" s="18" t="inlineStr">
        <is>
          <t>onix-1</t>
        </is>
      </c>
      <c r="AO363" s="18" t="inlineStr">
        <is>
          <t>pokemon</t>
        </is>
      </c>
      <c r="AP363" s="18" t="inlineStr">
        <is>
          <t>natural</t>
        </is>
      </c>
      <c r="AQ363" s="18" t="inlineStr">
        <is>
          <t>{"biomes":["#cobblemon:is_overworld"],"maxSkyLight":7,"minSkyLight":0}</t>
        </is>
      </c>
      <c r="AR363" s="18" t="inlineStr">
        <is>
          <t>{"biomes":["#cobblemon:is_deep_dark"]}</t>
        </is>
      </c>
      <c r="AS363" s="18" t="inlineStr"/>
      <c r="AT363" s="19" t="inlineStr"/>
    </row>
    <row r="364" ht="32" customHeight="1">
      <c r="A364" s="18" t="inlineStr">
        <is>
          <t>0095_onix.json::onix-2::002</t>
        </is>
      </c>
      <c r="B364" s="19" t="inlineStr">
        <is>
          <t>사용</t>
        </is>
      </c>
      <c r="C364" s="18">
        <f>IF(OR(B364&lt;&gt;AK364,M364&lt;&gt;L364,O364&lt;&gt;"",Q364&lt;&gt;"",V364&lt;&gt;1,Y364&lt;&gt;"",AT364&lt;&gt;""),"수정","원본")</f>
        <v/>
      </c>
      <c r="D364" s="18" t="n">
        <v>95</v>
      </c>
      <c r="E364" s="18" t="inlineStr">
        <is>
          <t>롱스톤</t>
        </is>
      </c>
      <c r="F364" s="18" t="inlineStr">
        <is>
          <t>onix</t>
        </is>
      </c>
      <c r="G364" s="18" t="inlineStr">
        <is>
          <t>onix</t>
        </is>
      </c>
      <c r="H364" s="18" t="inlineStr"/>
      <c r="I364" s="18" t="n">
        <v>1</v>
      </c>
      <c r="J364" s="18" t="n"/>
      <c r="K364" s="18" t="n">
        <v>1</v>
      </c>
      <c r="L364" s="18" t="inlineStr">
        <is>
          <t>cobbleventure:generation_1</t>
        </is>
      </c>
      <c r="M364" s="19" t="inlineStr">
        <is>
          <t>cobbleventure:generation_1</t>
        </is>
      </c>
      <c r="N364" s="18" t="inlineStr"/>
      <c r="O364" s="19" t="inlineStr"/>
      <c r="P364" s="18" t="inlineStr">
        <is>
          <t>#cobblemon:nether/is_basalt</t>
        </is>
      </c>
      <c r="Q364" s="19" t="inlineStr"/>
      <c r="R364" s="18">
        <f>IF(Q364="",P364,Q364)</f>
        <v/>
      </c>
      <c r="S364" s="18" t="inlineStr"/>
      <c r="T364" s="18" t="inlineStr">
        <is>
          <t>uncommon</t>
        </is>
      </c>
      <c r="U364" s="20" t="n">
        <v>1.84</v>
      </c>
      <c r="V364" s="21" t="n">
        <v>1</v>
      </c>
      <c r="W364" s="20">
        <f>IF(OR(U364="",V364=""),U364,U364*V364)</f>
        <v/>
      </c>
      <c r="X364" s="18" t="inlineStr">
        <is>
          <t>14-39</t>
        </is>
      </c>
      <c r="Y364" s="19" t="inlineStr"/>
      <c r="Z364" s="18">
        <f>IF(Y364="",X364,Y364)</f>
        <v/>
      </c>
      <c r="AA364" s="18" t="inlineStr">
        <is>
          <t>grounded</t>
        </is>
      </c>
      <c r="AB364" s="18" t="inlineStr"/>
      <c r="AC364" s="18" t="inlineStr"/>
      <c r="AD364" s="18" t="inlineStr"/>
      <c r="AE364" s="18" t="inlineStr"/>
      <c r="AF364" s="18" t="inlineStr"/>
      <c r="AG364" s="18" t="inlineStr"/>
      <c r="AH364" s="18" t="inlineStr"/>
      <c r="AI364" s="18" t="inlineStr"/>
      <c r="AJ364" s="18" t="inlineStr">
        <is>
          <t>Cobblemon 동일</t>
        </is>
      </c>
      <c r="AK364" s="18" t="inlineStr">
        <is>
          <t>사용</t>
        </is>
      </c>
      <c r="AL364" s="18" t="inlineStr">
        <is>
          <t>COBBLEVERSE 1.7.42 / DP v31</t>
        </is>
      </c>
      <c r="AM364" s="18" t="inlineStr">
        <is>
          <t>data/cobblemon/spawn_pool_world/0095_onix.json</t>
        </is>
      </c>
      <c r="AN364" s="18" t="inlineStr">
        <is>
          <t>onix-2</t>
        </is>
      </c>
      <c r="AO364" s="18" t="inlineStr">
        <is>
          <t>pokemon</t>
        </is>
      </c>
      <c r="AP364" s="18" t="inlineStr">
        <is>
          <t>natural</t>
        </is>
      </c>
      <c r="AQ364" s="18" t="inlineStr">
        <is>
          <t>{"biomes":["#cobblemon:nether/is_basalt"]}</t>
        </is>
      </c>
      <c r="AR364" s="18" t="inlineStr"/>
      <c r="AS364" s="18" t="inlineStr"/>
      <c r="AT364" s="19" t="inlineStr"/>
    </row>
    <row r="365" ht="32" customHeight="1">
      <c r="A365" s="18" t="inlineStr">
        <is>
          <t>0096_drowzee.json::drowzee-1::001</t>
        </is>
      </c>
      <c r="B365" s="19" t="inlineStr">
        <is>
          <t>사용</t>
        </is>
      </c>
      <c r="C365" s="18">
        <f>IF(OR(B365&lt;&gt;AK365,M365&lt;&gt;L365,O365&lt;&gt;"",Q365&lt;&gt;"",V365&lt;&gt;1,Y365&lt;&gt;"",AT365&lt;&gt;""),"수정","원본")</f>
        <v/>
      </c>
      <c r="D365" s="18" t="n">
        <v>96</v>
      </c>
      <c r="E365" s="18" t="inlineStr">
        <is>
          <t>슬리프</t>
        </is>
      </c>
      <c r="F365" s="18" t="inlineStr">
        <is>
          <t>drowzee</t>
        </is>
      </c>
      <c r="G365" s="18" t="inlineStr">
        <is>
          <t>drowzee</t>
        </is>
      </c>
      <c r="H365" s="18" t="inlineStr"/>
      <c r="I365" s="18" t="n">
        <v>1</v>
      </c>
      <c r="J365" s="18" t="n"/>
      <c r="K365" s="18" t="n">
        <v>1</v>
      </c>
      <c r="L365" s="18" t="inlineStr">
        <is>
          <t>cobbleventure:generation_1</t>
        </is>
      </c>
      <c r="M365" s="19" t="inlineStr">
        <is>
          <t>cobbleventure:generation_1</t>
        </is>
      </c>
      <c r="N365" s="18" t="inlineStr">
        <is>
          <t>region_01; region_02</t>
        </is>
      </c>
      <c r="O365" s="19" t="inlineStr"/>
      <c r="P365" s="18" t="inlineStr">
        <is>
          <t>#cobblemon:is_overworld</t>
        </is>
      </c>
      <c r="Q365" s="19" t="inlineStr"/>
      <c r="R365" s="18">
        <f>IF(Q365="",P365,Q365)</f>
        <v/>
      </c>
      <c r="S365" s="18" t="inlineStr">
        <is>
          <t>#cobblemon:is_freezing</t>
        </is>
      </c>
      <c r="T365" s="18" t="inlineStr">
        <is>
          <t>common</t>
        </is>
      </c>
      <c r="U365" s="20" t="n">
        <v>9</v>
      </c>
      <c r="V365" s="21" t="n">
        <v>1</v>
      </c>
      <c r="W365" s="20">
        <f>IF(OR(U365="",V365=""),U365,U365*V365)</f>
        <v/>
      </c>
      <c r="X365" s="18" t="inlineStr">
        <is>
          <t>8-33</t>
        </is>
      </c>
      <c r="Y365" s="19" t="inlineStr"/>
      <c r="Z365" s="18">
        <f>IF(Y365="",X365,Y365)</f>
        <v/>
      </c>
      <c r="AA365" s="18" t="inlineStr">
        <is>
          <t>grounded</t>
        </is>
      </c>
      <c r="AB365" s="18" t="inlineStr">
        <is>
          <t>night</t>
        </is>
      </c>
      <c r="AC365" s="18" t="inlineStr"/>
      <c r="AD365" s="18" t="inlineStr"/>
      <c r="AE365" s="18" t="inlineStr">
        <is>
          <t>sky 8-15</t>
        </is>
      </c>
      <c r="AF365" s="18" t="inlineStr"/>
      <c r="AG365" s="18" t="inlineStr"/>
      <c r="AH365" s="18" t="inlineStr"/>
      <c r="AI365" s="18" t="inlineStr"/>
      <c r="AJ365" s="18" t="inlineStr">
        <is>
          <t>Cobblemon 동일</t>
        </is>
      </c>
      <c r="AK365" s="18" t="inlineStr">
        <is>
          <t>사용</t>
        </is>
      </c>
      <c r="AL365" s="18" t="inlineStr">
        <is>
          <t>COBBLEVERSE 1.7.42 / DP v31</t>
        </is>
      </c>
      <c r="AM365" s="18" t="inlineStr">
        <is>
          <t>data/cobblemon/spawn_pool_world/0096_drowzee.json</t>
        </is>
      </c>
      <c r="AN365" s="18" t="inlineStr">
        <is>
          <t>drowzee-1</t>
        </is>
      </c>
      <c r="AO365" s="18" t="inlineStr">
        <is>
          <t>pokemon</t>
        </is>
      </c>
      <c r="AP365" s="18" t="inlineStr">
        <is>
          <t>natural; urban</t>
        </is>
      </c>
      <c r="AQ365" s="18" t="inlineStr">
        <is>
          <t>{"biomes":["#cobblemon:is_overworld"],"maxSkyLight":15,"minSkyLight":8,"timeRange":"night"}</t>
        </is>
      </c>
      <c r="AR365" s="18" t="inlineStr">
        <is>
          <t>{"biomes":["#cobblemon:is_freezing"]}</t>
        </is>
      </c>
      <c r="AS365" s="18" t="inlineStr"/>
      <c r="AT365" s="19" t="inlineStr"/>
    </row>
    <row r="366" ht="32" customHeight="1">
      <c r="A366" s="18" t="inlineStr">
        <is>
          <t>0096_drowzee.json::drowzee-2::002</t>
        </is>
      </c>
      <c r="B366" s="19" t="inlineStr">
        <is>
          <t>사용</t>
        </is>
      </c>
      <c r="C366" s="18">
        <f>IF(OR(B366&lt;&gt;AK366,M366&lt;&gt;L366,O366&lt;&gt;"",Q366&lt;&gt;"",V366&lt;&gt;1,Y366&lt;&gt;"",AT366&lt;&gt;""),"수정","원본")</f>
        <v/>
      </c>
      <c r="D366" s="18" t="n">
        <v>96</v>
      </c>
      <c r="E366" s="18" t="inlineStr">
        <is>
          <t>슬리프</t>
        </is>
      </c>
      <c r="F366" s="18" t="inlineStr">
        <is>
          <t>drowzee</t>
        </is>
      </c>
      <c r="G366" s="18" t="inlineStr">
        <is>
          <t>drowzee</t>
        </is>
      </c>
      <c r="H366" s="18" t="inlineStr"/>
      <c r="I366" s="18" t="n">
        <v>1</v>
      </c>
      <c r="J366" s="18" t="n"/>
      <c r="K366" s="18" t="n">
        <v>1</v>
      </c>
      <c r="L366" s="18" t="inlineStr">
        <is>
          <t>cobbleventure:generation_1</t>
        </is>
      </c>
      <c r="M366" s="19" t="inlineStr">
        <is>
          <t>cobbleventure:generation_1</t>
        </is>
      </c>
      <c r="N366" s="18" t="inlineStr">
        <is>
          <t>region_01; region_02</t>
        </is>
      </c>
      <c r="O366" s="19" t="inlineStr"/>
      <c r="P366" s="18" t="inlineStr">
        <is>
          <t>#cobblemon:is_overworld</t>
        </is>
      </c>
      <c r="Q366" s="19" t="inlineStr"/>
      <c r="R366" s="18">
        <f>IF(Q366="",P366,Q366)</f>
        <v/>
      </c>
      <c r="S366" s="18" t="inlineStr">
        <is>
          <t>#cobblemon:is_freezing</t>
        </is>
      </c>
      <c r="T366" s="18" t="inlineStr">
        <is>
          <t>common</t>
        </is>
      </c>
      <c r="U366" s="20" t="n">
        <v>9</v>
      </c>
      <c r="V366" s="21" t="n">
        <v>1</v>
      </c>
      <c r="W366" s="20">
        <f>IF(OR(U366="",V366=""),U366,U366*V366)</f>
        <v/>
      </c>
      <c r="X366" s="18" t="inlineStr">
        <is>
          <t>8-33</t>
        </is>
      </c>
      <c r="Y366" s="19" t="inlineStr"/>
      <c r="Z366" s="18">
        <f>IF(Y366="",X366,Y366)</f>
        <v/>
      </c>
      <c r="AA366" s="18" t="inlineStr">
        <is>
          <t>grounded</t>
        </is>
      </c>
      <c r="AB366" s="18" t="inlineStr">
        <is>
          <t>night</t>
        </is>
      </c>
      <c r="AC366" s="18" t="inlineStr"/>
      <c r="AD366" s="18" t="inlineStr"/>
      <c r="AE366" s="18" t="inlineStr">
        <is>
          <t>sky 8-15</t>
        </is>
      </c>
      <c r="AF366" s="18" t="inlineStr"/>
      <c r="AG366" s="18" t="inlineStr">
        <is>
          <t>#minecraft:village</t>
        </is>
      </c>
      <c r="AH366" s="18" t="inlineStr"/>
      <c r="AI366" s="18" t="inlineStr"/>
      <c r="AJ366" s="18" t="inlineStr">
        <is>
          <t>Cobblemon 동일</t>
        </is>
      </c>
      <c r="AK366" s="18" t="inlineStr">
        <is>
          <t>사용</t>
        </is>
      </c>
      <c r="AL366" s="18" t="inlineStr">
        <is>
          <t>COBBLEVERSE 1.7.42 / DP v31</t>
        </is>
      </c>
      <c r="AM366" s="18" t="inlineStr">
        <is>
          <t>data/cobblemon/spawn_pool_world/0096_drowzee.json</t>
        </is>
      </c>
      <c r="AN366" s="18" t="inlineStr">
        <is>
          <t>drowzee-2</t>
        </is>
      </c>
      <c r="AO366" s="18" t="inlineStr">
        <is>
          <t>pokemon</t>
        </is>
      </c>
      <c r="AP366" s="18" t="inlineStr">
        <is>
          <t>natural</t>
        </is>
      </c>
      <c r="AQ366" s="18" t="inlineStr">
        <is>
          <t>{"biomes":["#cobblemon:is_overworld"],"maxSkyLight":15,"minSkyLight":8,"structures":["#minecraft:village"],"timeRange":"night"}</t>
        </is>
      </c>
      <c r="AR366" s="18" t="inlineStr">
        <is>
          <t>{"biomes":["#cobblemon:is_freezing"]}</t>
        </is>
      </c>
      <c r="AS366" s="18" t="inlineStr"/>
      <c r="AT366" s="19" t="inlineStr"/>
    </row>
    <row r="367" ht="32" customHeight="1">
      <c r="A367" s="18" t="inlineStr">
        <is>
          <t>0097_hypno.json::hypno-1::001</t>
        </is>
      </c>
      <c r="B367" s="19" t="inlineStr">
        <is>
          <t>사용</t>
        </is>
      </c>
      <c r="C367" s="18">
        <f>IF(OR(B367&lt;&gt;AK367,M367&lt;&gt;L367,O367&lt;&gt;"",Q367&lt;&gt;"",V367&lt;&gt;1,Y367&lt;&gt;"",AT367&lt;&gt;""),"수정","원본")</f>
        <v/>
      </c>
      <c r="D367" s="18" t="n">
        <v>97</v>
      </c>
      <c r="E367" s="18" t="inlineStr">
        <is>
          <t>슬리퍼</t>
        </is>
      </c>
      <c r="F367" s="18" t="inlineStr">
        <is>
          <t>hypno</t>
        </is>
      </c>
      <c r="G367" s="18" t="inlineStr">
        <is>
          <t>hypno</t>
        </is>
      </c>
      <c r="H367" s="18" t="inlineStr"/>
      <c r="I367" s="18" t="n">
        <v>1</v>
      </c>
      <c r="J367" s="18" t="n"/>
      <c r="K367" s="18" t="n">
        <v>1</v>
      </c>
      <c r="L367" s="18" t="inlineStr">
        <is>
          <t>cobbleventure:generation_1</t>
        </is>
      </c>
      <c r="M367" s="19" t="inlineStr">
        <is>
          <t>cobbleventure:generation_1</t>
        </is>
      </c>
      <c r="N367" s="18" t="inlineStr">
        <is>
          <t>region_01; region_02</t>
        </is>
      </c>
      <c r="O367" s="19" t="inlineStr"/>
      <c r="P367" s="18" t="inlineStr">
        <is>
          <t>#cobblemon:is_overworld</t>
        </is>
      </c>
      <c r="Q367" s="19" t="inlineStr"/>
      <c r="R367" s="18">
        <f>IF(Q367="",P367,Q367)</f>
        <v/>
      </c>
      <c r="S367" s="18" t="inlineStr">
        <is>
          <t>#cobblemon:is_freezing</t>
        </is>
      </c>
      <c r="T367" s="18" t="inlineStr">
        <is>
          <t>common</t>
        </is>
      </c>
      <c r="U367" s="20" t="n">
        <v>1</v>
      </c>
      <c r="V367" s="21" t="n">
        <v>1</v>
      </c>
      <c r="W367" s="20">
        <f>IF(OR(U367="",V367=""),U367,U367*V367)</f>
        <v/>
      </c>
      <c r="X367" s="18" t="inlineStr">
        <is>
          <t>26-48</t>
        </is>
      </c>
      <c r="Y367" s="19" t="inlineStr"/>
      <c r="Z367" s="18">
        <f>IF(Y367="",X367,Y367)</f>
        <v/>
      </c>
      <c r="AA367" s="18" t="inlineStr">
        <is>
          <t>grounded</t>
        </is>
      </c>
      <c r="AB367" s="18" t="inlineStr">
        <is>
          <t>night</t>
        </is>
      </c>
      <c r="AC367" s="18" t="inlineStr"/>
      <c r="AD367" s="18" t="inlineStr"/>
      <c r="AE367" s="18" t="inlineStr">
        <is>
          <t>sky 8-15</t>
        </is>
      </c>
      <c r="AF367" s="18" t="inlineStr"/>
      <c r="AG367" s="18" t="inlineStr"/>
      <c r="AH367" s="18" t="inlineStr"/>
      <c r="AI367" s="18" t="inlineStr"/>
      <c r="AJ367" s="18" t="inlineStr">
        <is>
          <t>Cobblemon 동일</t>
        </is>
      </c>
      <c r="AK367" s="18" t="inlineStr">
        <is>
          <t>사용</t>
        </is>
      </c>
      <c r="AL367" s="18" t="inlineStr">
        <is>
          <t>COBBLEVERSE 1.7.42 / DP v31</t>
        </is>
      </c>
      <c r="AM367" s="18" t="inlineStr">
        <is>
          <t>data/cobblemon/spawn_pool_world/0097_hypno.json</t>
        </is>
      </c>
      <c r="AN367" s="18" t="inlineStr">
        <is>
          <t>hypno-1</t>
        </is>
      </c>
      <c r="AO367" s="18" t="inlineStr">
        <is>
          <t>pokemon</t>
        </is>
      </c>
      <c r="AP367" s="18" t="inlineStr">
        <is>
          <t>natural; urban</t>
        </is>
      </c>
      <c r="AQ367" s="18" t="inlineStr">
        <is>
          <t>{"biomes":["#cobblemon:is_overworld"],"maxSkyLight":15,"minSkyLight":8,"timeRange":"night"}</t>
        </is>
      </c>
      <c r="AR367" s="18" t="inlineStr">
        <is>
          <t>{"biomes":["#cobblemon:is_freezing"]}</t>
        </is>
      </c>
      <c r="AS367" s="18" t="inlineStr"/>
      <c r="AT367" s="19" t="inlineStr"/>
    </row>
    <row r="368" ht="32" customHeight="1">
      <c r="A368" s="18" t="inlineStr">
        <is>
          <t>0097_hypno.json::hypno-2::002</t>
        </is>
      </c>
      <c r="B368" s="19" t="inlineStr">
        <is>
          <t>사용</t>
        </is>
      </c>
      <c r="C368" s="18">
        <f>IF(OR(B368&lt;&gt;AK368,M368&lt;&gt;L368,O368&lt;&gt;"",Q368&lt;&gt;"",V368&lt;&gt;1,Y368&lt;&gt;"",AT368&lt;&gt;""),"수정","원본")</f>
        <v/>
      </c>
      <c r="D368" s="18" t="n">
        <v>97</v>
      </c>
      <c r="E368" s="18" t="inlineStr">
        <is>
          <t>슬리퍼</t>
        </is>
      </c>
      <c r="F368" s="18" t="inlineStr">
        <is>
          <t>hypno</t>
        </is>
      </c>
      <c r="G368" s="18" t="inlineStr">
        <is>
          <t>hypno</t>
        </is>
      </c>
      <c r="H368" s="18" t="inlineStr"/>
      <c r="I368" s="18" t="n">
        <v>1</v>
      </c>
      <c r="J368" s="18" t="n"/>
      <c r="K368" s="18" t="n">
        <v>1</v>
      </c>
      <c r="L368" s="18" t="inlineStr">
        <is>
          <t>cobbleventure:generation_1</t>
        </is>
      </c>
      <c r="M368" s="19" t="inlineStr">
        <is>
          <t>cobbleventure:generation_1</t>
        </is>
      </c>
      <c r="N368" s="18" t="inlineStr">
        <is>
          <t>region_01; region_02</t>
        </is>
      </c>
      <c r="O368" s="19" t="inlineStr"/>
      <c r="P368" s="18" t="inlineStr">
        <is>
          <t>#cobblemon:is_overworld</t>
        </is>
      </c>
      <c r="Q368" s="19" t="inlineStr"/>
      <c r="R368" s="18">
        <f>IF(Q368="",P368,Q368)</f>
        <v/>
      </c>
      <c r="S368" s="18" t="inlineStr">
        <is>
          <t>#cobblemon:is_freezing</t>
        </is>
      </c>
      <c r="T368" s="18" t="inlineStr">
        <is>
          <t>common</t>
        </is>
      </c>
      <c r="U368" s="20" t="n">
        <v>1</v>
      </c>
      <c r="V368" s="21" t="n">
        <v>1</v>
      </c>
      <c r="W368" s="20">
        <f>IF(OR(U368="",V368=""),U368,U368*V368)</f>
        <v/>
      </c>
      <c r="X368" s="18" t="inlineStr">
        <is>
          <t>26-48</t>
        </is>
      </c>
      <c r="Y368" s="19" t="inlineStr"/>
      <c r="Z368" s="18">
        <f>IF(Y368="",X368,Y368)</f>
        <v/>
      </c>
      <c r="AA368" s="18" t="inlineStr">
        <is>
          <t>grounded</t>
        </is>
      </c>
      <c r="AB368" s="18" t="inlineStr">
        <is>
          <t>night</t>
        </is>
      </c>
      <c r="AC368" s="18" t="inlineStr"/>
      <c r="AD368" s="18" t="inlineStr"/>
      <c r="AE368" s="18" t="inlineStr">
        <is>
          <t>sky 8-15</t>
        </is>
      </c>
      <c r="AF368" s="18" t="inlineStr"/>
      <c r="AG368" s="18" t="inlineStr">
        <is>
          <t>#minecraft:village</t>
        </is>
      </c>
      <c r="AH368" s="18" t="inlineStr"/>
      <c r="AI368" s="18" t="inlineStr"/>
      <c r="AJ368" s="18" t="inlineStr">
        <is>
          <t>Cobblemon 동일</t>
        </is>
      </c>
      <c r="AK368" s="18" t="inlineStr">
        <is>
          <t>사용</t>
        </is>
      </c>
      <c r="AL368" s="18" t="inlineStr">
        <is>
          <t>COBBLEVERSE 1.7.42 / DP v31</t>
        </is>
      </c>
      <c r="AM368" s="18" t="inlineStr">
        <is>
          <t>data/cobblemon/spawn_pool_world/0097_hypno.json</t>
        </is>
      </c>
      <c r="AN368" s="18" t="inlineStr">
        <is>
          <t>hypno-2</t>
        </is>
      </c>
      <c r="AO368" s="18" t="inlineStr">
        <is>
          <t>pokemon</t>
        </is>
      </c>
      <c r="AP368" s="18" t="inlineStr">
        <is>
          <t>natural</t>
        </is>
      </c>
      <c r="AQ368" s="18" t="inlineStr">
        <is>
          <t>{"biomes":["#cobblemon:is_overworld"],"maxSkyLight":15,"minSkyLight":8,"structures":["#minecraft:village"],"timeRange":"night"}</t>
        </is>
      </c>
      <c r="AR368" s="18" t="inlineStr">
        <is>
          <t>{"biomes":["#cobblemon:is_freezing"]}</t>
        </is>
      </c>
      <c r="AS368" s="18" t="inlineStr"/>
      <c r="AT368" s="19" t="inlineStr"/>
    </row>
    <row r="369" ht="32" customHeight="1">
      <c r="A369" s="18" t="inlineStr">
        <is>
          <t>0098_krabby.json::krabby-1::001</t>
        </is>
      </c>
      <c r="B369" s="19" t="inlineStr">
        <is>
          <t>사용</t>
        </is>
      </c>
      <c r="C369" s="18">
        <f>IF(OR(B369&lt;&gt;AK369,M369&lt;&gt;L369,O369&lt;&gt;"",Q369&lt;&gt;"",V369&lt;&gt;1,Y369&lt;&gt;"",AT369&lt;&gt;""),"수정","원본")</f>
        <v/>
      </c>
      <c r="D369" s="18" t="n">
        <v>98</v>
      </c>
      <c r="E369" s="18" t="inlineStr">
        <is>
          <t>크랩</t>
        </is>
      </c>
      <c r="F369" s="18" t="inlineStr">
        <is>
          <t>krabby</t>
        </is>
      </c>
      <c r="G369" s="18" t="inlineStr">
        <is>
          <t>krabby</t>
        </is>
      </c>
      <c r="H369" s="18" t="inlineStr"/>
      <c r="I369" s="18" t="n">
        <v>1</v>
      </c>
      <c r="J369" s="18" t="n"/>
      <c r="K369" s="18" t="n">
        <v>1</v>
      </c>
      <c r="L369" s="18" t="inlineStr">
        <is>
          <t>cobbleventure:generation_1</t>
        </is>
      </c>
      <c r="M369" s="19" t="inlineStr">
        <is>
          <t>cobbleventure:generation_1</t>
        </is>
      </c>
      <c r="N369" s="18" t="inlineStr"/>
      <c r="O369" s="19" t="inlineStr"/>
      <c r="P369" s="18" t="inlineStr">
        <is>
          <t>#cobblemon:is_coast</t>
        </is>
      </c>
      <c r="Q369" s="19" t="inlineStr"/>
      <c r="R369" s="18">
        <f>IF(Q369="",P369,Q369)</f>
        <v/>
      </c>
      <c r="S369" s="18" t="inlineStr"/>
      <c r="T369" s="18" t="inlineStr">
        <is>
          <t>common</t>
        </is>
      </c>
      <c r="U369" s="20" t="n">
        <v>9</v>
      </c>
      <c r="V369" s="21" t="n">
        <v>1</v>
      </c>
      <c r="W369" s="20">
        <f>IF(OR(U369="",V369=""),U369,U369*V369)</f>
        <v/>
      </c>
      <c r="X369" s="18" t="inlineStr">
        <is>
          <t>8-33</t>
        </is>
      </c>
      <c r="Y369" s="19" t="inlineStr"/>
      <c r="Z369" s="18">
        <f>IF(Y369="",X369,Y369)</f>
        <v/>
      </c>
      <c r="AA369" s="18" t="inlineStr">
        <is>
          <t>grounded</t>
        </is>
      </c>
      <c r="AB369" s="18" t="inlineStr"/>
      <c r="AC369" s="18" t="inlineStr"/>
      <c r="AD369" s="18" t="inlineStr"/>
      <c r="AE369" s="18" t="inlineStr">
        <is>
          <t>sky 8-15</t>
        </is>
      </c>
      <c r="AF369" s="18" t="inlineStr"/>
      <c r="AG369" s="18" t="inlineStr"/>
      <c r="AH369" s="18" t="inlineStr"/>
      <c r="AI369" s="18" t="inlineStr"/>
      <c r="AJ369" s="18" t="inlineStr">
        <is>
          <t>Cobblemon 동일</t>
        </is>
      </c>
      <c r="AK369" s="18" t="inlineStr">
        <is>
          <t>사용</t>
        </is>
      </c>
      <c r="AL369" s="18" t="inlineStr">
        <is>
          <t>COBBLEVERSE 1.7.42 / DP v31</t>
        </is>
      </c>
      <c r="AM369" s="18" t="inlineStr">
        <is>
          <t>data/cobblemon/spawn_pool_world/0098_krabby.json</t>
        </is>
      </c>
      <c r="AN369" s="18" t="inlineStr">
        <is>
          <t>krabby-1</t>
        </is>
      </c>
      <c r="AO369" s="18" t="inlineStr">
        <is>
          <t>pokemon</t>
        </is>
      </c>
      <c r="AP369" s="18" t="inlineStr">
        <is>
          <t>natural</t>
        </is>
      </c>
      <c r="AQ369" s="18" t="inlineStr">
        <is>
          <t>{"biomes":["#cobblemon:is_coast"],"maxSkyLight":15,"minSkyLight":8}</t>
        </is>
      </c>
      <c r="AR369" s="18" t="inlineStr"/>
      <c r="AS369" s="18" t="inlineStr"/>
      <c r="AT369" s="19" t="inlineStr"/>
    </row>
    <row r="370" ht="32" customHeight="1">
      <c r="A370" s="18" t="inlineStr">
        <is>
          <t>0098_krabby.json::krabby-2::002</t>
        </is>
      </c>
      <c r="B370" s="19" t="inlineStr">
        <is>
          <t>사용</t>
        </is>
      </c>
      <c r="C370" s="18">
        <f>IF(OR(B370&lt;&gt;AK370,M370&lt;&gt;L370,O370&lt;&gt;"",Q370&lt;&gt;"",V370&lt;&gt;1,Y370&lt;&gt;"",AT370&lt;&gt;""),"수정","원본")</f>
        <v/>
      </c>
      <c r="D370" s="18" t="n">
        <v>98</v>
      </c>
      <c r="E370" s="18" t="inlineStr">
        <is>
          <t>크랩</t>
        </is>
      </c>
      <c r="F370" s="18" t="inlineStr">
        <is>
          <t>krabby</t>
        </is>
      </c>
      <c r="G370" s="18" t="inlineStr">
        <is>
          <t>krabby</t>
        </is>
      </c>
      <c r="H370" s="18" t="inlineStr"/>
      <c r="I370" s="18" t="n">
        <v>1</v>
      </c>
      <c r="J370" s="18" t="n"/>
      <c r="K370" s="18" t="n">
        <v>1</v>
      </c>
      <c r="L370" s="18" t="inlineStr">
        <is>
          <t>cobbleventure:generation_1</t>
        </is>
      </c>
      <c r="M370" s="19" t="inlineStr">
        <is>
          <t>cobbleventure:generation_1</t>
        </is>
      </c>
      <c r="N370" s="18" t="inlineStr"/>
      <c r="O370" s="19" t="inlineStr"/>
      <c r="P370" s="18" t="inlineStr">
        <is>
          <t>#cobblemon:is_coast; #cobblemon:is_ocean</t>
        </is>
      </c>
      <c r="Q370" s="19" t="inlineStr"/>
      <c r="R370" s="18">
        <f>IF(Q370="",P370,Q370)</f>
        <v/>
      </c>
      <c r="S370" s="18" t="inlineStr"/>
      <c r="T370" s="18" t="inlineStr">
        <is>
          <t>common</t>
        </is>
      </c>
      <c r="U370" s="20" t="n">
        <v>1.8</v>
      </c>
      <c r="V370" s="21" t="n">
        <v>1</v>
      </c>
      <c r="W370" s="20">
        <f>IF(OR(U370="",V370=""),U370,U370*V370)</f>
        <v/>
      </c>
      <c r="X370" s="18" t="inlineStr">
        <is>
          <t>8-33</t>
        </is>
      </c>
      <c r="Y370" s="19" t="inlineStr"/>
      <c r="Z370" s="18">
        <f>IF(Y370="",X370,Y370)</f>
        <v/>
      </c>
      <c r="AA370" s="18" t="inlineStr">
        <is>
          <t>seafloor</t>
        </is>
      </c>
      <c r="AB370" s="18" t="inlineStr"/>
      <c r="AC370" s="18" t="inlineStr"/>
      <c r="AD370" s="18" t="inlineStr"/>
      <c r="AE370" s="18" t="inlineStr"/>
      <c r="AF370" s="18" t="inlineStr">
        <is>
          <t>True</t>
        </is>
      </c>
      <c r="AG370" s="18" t="inlineStr"/>
      <c r="AH370" s="18" t="inlineStr"/>
      <c r="AI370" s="18" t="inlineStr"/>
      <c r="AJ370" s="18" t="inlineStr">
        <is>
          <t>Cobblemon 동일</t>
        </is>
      </c>
      <c r="AK370" s="18" t="inlineStr">
        <is>
          <t>사용</t>
        </is>
      </c>
      <c r="AL370" s="18" t="inlineStr">
        <is>
          <t>COBBLEVERSE 1.7.42 / DP v31</t>
        </is>
      </c>
      <c r="AM370" s="18" t="inlineStr">
        <is>
          <t>data/cobblemon/spawn_pool_world/0098_krabby.json</t>
        </is>
      </c>
      <c r="AN370" s="18" t="inlineStr">
        <is>
          <t>krabby-2</t>
        </is>
      </c>
      <c r="AO370" s="18" t="inlineStr">
        <is>
          <t>pokemon</t>
        </is>
      </c>
      <c r="AP370" s="18" t="inlineStr">
        <is>
          <t>water</t>
        </is>
      </c>
      <c r="AQ370" s="18" t="inlineStr">
        <is>
          <t>{"biomes":["#cobblemon:is_coast","#cobblemon:is_ocean"],"canSeeSky":true}</t>
        </is>
      </c>
      <c r="AR370" s="18" t="inlineStr"/>
      <c r="AS370" s="18" t="inlineStr"/>
      <c r="AT370" s="19" t="inlineStr"/>
    </row>
    <row r="371" ht="32" customHeight="1">
      <c r="A371" s="18" t="inlineStr">
        <is>
          <t>0098_krabby.json::krabby-3::003</t>
        </is>
      </c>
      <c r="B371" s="19" t="inlineStr">
        <is>
          <t>사용</t>
        </is>
      </c>
      <c r="C371" s="18">
        <f>IF(OR(B371&lt;&gt;AK371,M371&lt;&gt;L371,O371&lt;&gt;"",Q371&lt;&gt;"",V371&lt;&gt;1,Y371&lt;&gt;"",AT371&lt;&gt;""),"수정","원본")</f>
        <v/>
      </c>
      <c r="D371" s="18" t="n">
        <v>98</v>
      </c>
      <c r="E371" s="18" t="inlineStr">
        <is>
          <t>크랩</t>
        </is>
      </c>
      <c r="F371" s="18" t="inlineStr">
        <is>
          <t>krabby</t>
        </is>
      </c>
      <c r="G371" s="18" t="inlineStr">
        <is>
          <t>krabby</t>
        </is>
      </c>
      <c r="H371" s="18" t="inlineStr"/>
      <c r="I371" s="18" t="n">
        <v>1</v>
      </c>
      <c r="J371" s="18" t="n"/>
      <c r="K371" s="18" t="n">
        <v>1</v>
      </c>
      <c r="L371" s="18" t="inlineStr">
        <is>
          <t>cobbleventure:generation_1</t>
        </is>
      </c>
      <c r="M371" s="19" t="inlineStr">
        <is>
          <t>cobbleventure:generation_1</t>
        </is>
      </c>
      <c r="N371" s="18" t="inlineStr"/>
      <c r="O371" s="19" t="inlineStr"/>
      <c r="P371" s="18" t="inlineStr">
        <is>
          <t>#cobblemon:is_coast; #cobblemon:is_ocean</t>
        </is>
      </c>
      <c r="Q371" s="19" t="inlineStr"/>
      <c r="R371" s="18">
        <f>IF(Q371="",P371,Q371)</f>
        <v/>
      </c>
      <c r="S371" s="18" t="inlineStr"/>
      <c r="T371" s="18" t="inlineStr">
        <is>
          <t>common</t>
        </is>
      </c>
      <c r="U371" s="20" t="n">
        <v>9</v>
      </c>
      <c r="V371" s="21" t="n">
        <v>1</v>
      </c>
      <c r="W371" s="20">
        <f>IF(OR(U371="",V371=""),U371,U371*V371)</f>
        <v/>
      </c>
      <c r="X371" s="18" t="inlineStr">
        <is>
          <t>8-33</t>
        </is>
      </c>
      <c r="Y371" s="19" t="inlineStr"/>
      <c r="Z371" s="18">
        <f>IF(Y371="",X371,Y371)</f>
        <v/>
      </c>
      <c r="AA371" s="18" t="inlineStr">
        <is>
          <t>fishing</t>
        </is>
      </c>
      <c r="AB371" s="18" t="inlineStr"/>
      <c r="AC371" s="18" t="inlineStr"/>
      <c r="AD371" s="18" t="inlineStr"/>
      <c r="AE371" s="18" t="inlineStr"/>
      <c r="AF371" s="18" t="inlineStr">
        <is>
          <t>True</t>
        </is>
      </c>
      <c r="AG371" s="18" t="inlineStr"/>
      <c r="AH371" s="18" t="inlineStr"/>
      <c r="AI371" s="18" t="inlineStr"/>
      <c r="AJ371" s="18" t="inlineStr">
        <is>
          <t>Cobblemon 동일</t>
        </is>
      </c>
      <c r="AK371" s="18" t="inlineStr">
        <is>
          <t>사용</t>
        </is>
      </c>
      <c r="AL371" s="18" t="inlineStr">
        <is>
          <t>COBBLEVERSE 1.7.42 / DP v31</t>
        </is>
      </c>
      <c r="AM371" s="18" t="inlineStr">
        <is>
          <t>data/cobblemon/spawn_pool_world/0098_krabby.json</t>
        </is>
      </c>
      <c r="AN371" s="18" t="inlineStr">
        <is>
          <t>krabby-3</t>
        </is>
      </c>
      <c r="AO371" s="18" t="inlineStr">
        <is>
          <t>pokemon</t>
        </is>
      </c>
      <c r="AP371" s="18" t="inlineStr"/>
      <c r="AQ371" s="18" t="inlineStr">
        <is>
          <t>{"biomes":["#cobblemon:is_coast","#cobblemon:is_ocean"],"canSeeSky":true}</t>
        </is>
      </c>
      <c r="AR371" s="18" t="inlineStr"/>
      <c r="AS371" s="18" t="inlineStr">
        <is>
          <t>{"weightMultiplier":{"condition":{"maxLureLevel":1,"minLureLevel":0},"multiplier":0.6}}</t>
        </is>
      </c>
      <c r="AT371" s="19" t="inlineStr"/>
    </row>
    <row r="372" ht="32" customHeight="1">
      <c r="A372" s="18" t="inlineStr">
        <is>
          <t>0098_krabby.json::krabby-4::004</t>
        </is>
      </c>
      <c r="B372" s="19" t="inlineStr">
        <is>
          <t>사용</t>
        </is>
      </c>
      <c r="C372" s="18">
        <f>IF(OR(B372&lt;&gt;AK372,M372&lt;&gt;L372,O372&lt;&gt;"",Q372&lt;&gt;"",V372&lt;&gt;1,Y372&lt;&gt;"",AT372&lt;&gt;""),"수정","원본")</f>
        <v/>
      </c>
      <c r="D372" s="18" t="n">
        <v>98</v>
      </c>
      <c r="E372" s="18" t="inlineStr">
        <is>
          <t>크랩</t>
        </is>
      </c>
      <c r="F372" s="18" t="inlineStr">
        <is>
          <t>krabby</t>
        </is>
      </c>
      <c r="G372" s="18" t="inlineStr">
        <is>
          <t>krabby</t>
        </is>
      </c>
      <c r="H372" s="18" t="inlineStr"/>
      <c r="I372" s="18" t="n">
        <v>1</v>
      </c>
      <c r="J372" s="18" t="n"/>
      <c r="K372" s="18" t="n">
        <v>1</v>
      </c>
      <c r="L372" s="18" t="inlineStr">
        <is>
          <t>cobbleventure:generation_1</t>
        </is>
      </c>
      <c r="M372" s="19" t="inlineStr">
        <is>
          <t>cobbleventure:generation_1</t>
        </is>
      </c>
      <c r="N372" s="18" t="inlineStr"/>
      <c r="O372" s="19" t="inlineStr"/>
      <c r="P372" s="18" t="inlineStr">
        <is>
          <t>#cobblemon:is_coast; #cobblemon:is_ocean</t>
        </is>
      </c>
      <c r="Q372" s="19" t="inlineStr"/>
      <c r="R372" s="18">
        <f>IF(Q372="",P372,Q372)</f>
        <v/>
      </c>
      <c r="S372" s="18" t="inlineStr"/>
      <c r="T372" s="18" t="inlineStr">
        <is>
          <t>common</t>
        </is>
      </c>
      <c r="U372" s="20" t="n">
        <v>9</v>
      </c>
      <c r="V372" s="21" t="n">
        <v>1</v>
      </c>
      <c r="W372" s="20">
        <f>IF(OR(U372="",V372=""),U372,U372*V372)</f>
        <v/>
      </c>
      <c r="X372" s="18" t="inlineStr">
        <is>
          <t>8-33</t>
        </is>
      </c>
      <c r="Y372" s="19" t="inlineStr"/>
      <c r="Z372" s="18">
        <f>IF(Y372="",X372,Y372)</f>
        <v/>
      </c>
      <c r="AA372" s="18" t="inlineStr">
        <is>
          <t>fishing</t>
        </is>
      </c>
      <c r="AB372" s="18" t="inlineStr"/>
      <c r="AC372" s="18" t="inlineStr"/>
      <c r="AD372" s="18" t="inlineStr"/>
      <c r="AE372" s="18" t="inlineStr">
        <is>
          <t>sky 8-15</t>
        </is>
      </c>
      <c r="AF372" s="18" t="inlineStr">
        <is>
          <t>False</t>
        </is>
      </c>
      <c r="AG372" s="18" t="inlineStr"/>
      <c r="AH372" s="18" t="inlineStr"/>
      <c r="AI372" s="18" t="inlineStr"/>
      <c r="AJ372" s="18" t="inlineStr">
        <is>
          <t>Cobblemon 동일</t>
        </is>
      </c>
      <c r="AK372" s="18" t="inlineStr">
        <is>
          <t>사용</t>
        </is>
      </c>
      <c r="AL372" s="18" t="inlineStr">
        <is>
          <t>COBBLEVERSE 1.7.42 / DP v31</t>
        </is>
      </c>
      <c r="AM372" s="18" t="inlineStr">
        <is>
          <t>data/cobblemon/spawn_pool_world/0098_krabby.json</t>
        </is>
      </c>
      <c r="AN372" s="18" t="inlineStr">
        <is>
          <t>krabby-4</t>
        </is>
      </c>
      <c r="AO372" s="18" t="inlineStr">
        <is>
          <t>pokemon</t>
        </is>
      </c>
      <c r="AP372" s="18" t="inlineStr"/>
      <c r="AQ372" s="18" t="inlineStr">
        <is>
          <t>{"biomes":["#cobblemon:is_coast","#cobblemon:is_ocean"],"canSeeSky":false,"maxSkyLight":15,"minSkyLight":8}</t>
        </is>
      </c>
      <c r="AR372" s="18" t="inlineStr"/>
      <c r="AS372" s="18" t="inlineStr">
        <is>
          <t>{"weightMultiplier":{"condition":{"maxLureLevel":1,"minLureLevel":0},"multiplier":0.6}}</t>
        </is>
      </c>
      <c r="AT372" s="19" t="inlineStr"/>
    </row>
    <row r="373" ht="32" customHeight="1">
      <c r="A373" s="18" t="inlineStr">
        <is>
          <t>0098_krabby.json::krabby-5::005</t>
        </is>
      </c>
      <c r="B373" s="19" t="inlineStr">
        <is>
          <t>사용</t>
        </is>
      </c>
      <c r="C373" s="18">
        <f>IF(OR(B373&lt;&gt;AK373,M373&lt;&gt;L373,O373&lt;&gt;"",Q373&lt;&gt;"",V373&lt;&gt;1,Y373&lt;&gt;"",AT373&lt;&gt;""),"수정","원본")</f>
        <v/>
      </c>
      <c r="D373" s="18" t="n">
        <v>98</v>
      </c>
      <c r="E373" s="18" t="inlineStr">
        <is>
          <t>크랩</t>
        </is>
      </c>
      <c r="F373" s="18" t="inlineStr">
        <is>
          <t>krabby</t>
        </is>
      </c>
      <c r="G373" s="18" t="inlineStr">
        <is>
          <t>krabby</t>
        </is>
      </c>
      <c r="H373" s="18" t="inlineStr"/>
      <c r="I373" s="18" t="n">
        <v>1</v>
      </c>
      <c r="J373" s="18" t="n"/>
      <c r="K373" s="18" t="n">
        <v>1</v>
      </c>
      <c r="L373" s="18" t="inlineStr">
        <is>
          <t>cobbleventure:generation_1</t>
        </is>
      </c>
      <c r="M373" s="19" t="inlineStr">
        <is>
          <t>cobbleventure:generation_1</t>
        </is>
      </c>
      <c r="N373" s="18" t="inlineStr">
        <is>
          <t>region_01; region_02</t>
        </is>
      </c>
      <c r="O373" s="19" t="inlineStr"/>
      <c r="P373" s="18" t="inlineStr">
        <is>
          <t>#cobblemon:is_overworld</t>
        </is>
      </c>
      <c r="Q373" s="19" t="inlineStr"/>
      <c r="R373" s="18">
        <f>IF(Q373="",P373,Q373)</f>
        <v/>
      </c>
      <c r="S373" s="18" t="inlineStr"/>
      <c r="T373" s="18" t="inlineStr">
        <is>
          <t>common</t>
        </is>
      </c>
      <c r="U373" s="20" t="n">
        <v>1.8</v>
      </c>
      <c r="V373" s="21" t="n">
        <v>1</v>
      </c>
      <c r="W373" s="20">
        <f>IF(OR(U373="",V373=""),U373,U373*V373)</f>
        <v/>
      </c>
      <c r="X373" s="18" t="inlineStr">
        <is>
          <t>8-33</t>
        </is>
      </c>
      <c r="Y373" s="19" t="inlineStr"/>
      <c r="Z373" s="18">
        <f>IF(Y373="",X373,Y373)</f>
        <v/>
      </c>
      <c r="AA373" s="18" t="inlineStr">
        <is>
          <t>seafloor</t>
        </is>
      </c>
      <c r="AB373" s="18" t="inlineStr"/>
      <c r="AC373" s="18" t="inlineStr"/>
      <c r="AD373" s="18" t="inlineStr">
        <is>
          <t>minY=-60, maxY=13</t>
        </is>
      </c>
      <c r="AE373" s="18" t="inlineStr"/>
      <c r="AF373" s="18" t="inlineStr">
        <is>
          <t>False</t>
        </is>
      </c>
      <c r="AG373" s="18" t="inlineStr">
        <is>
          <t>cobblemon:shipwreck_coves/submerged_shipwreck_cove</t>
        </is>
      </c>
      <c r="AH373" s="18" t="inlineStr"/>
      <c r="AI373" s="18" t="inlineStr"/>
      <c r="AJ373" s="18" t="inlineStr">
        <is>
          <t>Cobblemon 동일</t>
        </is>
      </c>
      <c r="AK373" s="18" t="inlineStr">
        <is>
          <t>사용</t>
        </is>
      </c>
      <c r="AL373" s="18" t="inlineStr">
        <is>
          <t>COBBLEVERSE 1.7.42 / DP v31</t>
        </is>
      </c>
      <c r="AM373" s="18" t="inlineStr">
        <is>
          <t>data/cobblemon/spawn_pool_world/0098_krabby.json</t>
        </is>
      </c>
      <c r="AN373" s="18" t="inlineStr">
        <is>
          <t>krabby-5</t>
        </is>
      </c>
      <c r="AO373" s="18" t="inlineStr">
        <is>
          <t>pokemon</t>
        </is>
      </c>
      <c r="AP373" s="18" t="inlineStr">
        <is>
          <t>water</t>
        </is>
      </c>
      <c r="AQ373" s="18" t="inlineStr">
        <is>
          <t>{"biomes":["#cobblemon:is_overworld"],"canSeeSky":false,"maxY":13,"minY":-60,"structures":["cobblemon:shipwreck_coves/submerged_shipwreck_cove"]}</t>
        </is>
      </c>
      <c r="AR373" s="18" t="inlineStr"/>
      <c r="AS373" s="18" t="inlineStr"/>
      <c r="AT373" s="19" t="inlineStr"/>
    </row>
    <row r="374" ht="32" customHeight="1">
      <c r="A374" s="18" t="inlineStr">
        <is>
          <t>0098_krabby.json::krabby-6::006</t>
        </is>
      </c>
      <c r="B374" s="19" t="inlineStr">
        <is>
          <t>사용</t>
        </is>
      </c>
      <c r="C374" s="18">
        <f>IF(OR(B374&lt;&gt;AK374,M374&lt;&gt;L374,O374&lt;&gt;"",Q374&lt;&gt;"",V374&lt;&gt;1,Y374&lt;&gt;"",AT374&lt;&gt;""),"수정","원본")</f>
        <v/>
      </c>
      <c r="D374" s="18" t="n">
        <v>98</v>
      </c>
      <c r="E374" s="18" t="inlineStr">
        <is>
          <t>크랩</t>
        </is>
      </c>
      <c r="F374" s="18" t="inlineStr">
        <is>
          <t>krabby</t>
        </is>
      </c>
      <c r="G374" s="18" t="inlineStr">
        <is>
          <t>krabby</t>
        </is>
      </c>
      <c r="H374" s="18" t="inlineStr"/>
      <c r="I374" s="18" t="n">
        <v>1</v>
      </c>
      <c r="J374" s="18" t="n"/>
      <c r="K374" s="18" t="n">
        <v>1</v>
      </c>
      <c r="L374" s="18" t="inlineStr">
        <is>
          <t>cobbleventure:generation_1</t>
        </is>
      </c>
      <c r="M374" s="19" t="inlineStr">
        <is>
          <t>cobbleventure:generation_1</t>
        </is>
      </c>
      <c r="N374" s="18" t="inlineStr">
        <is>
          <t>region_01; region_02</t>
        </is>
      </c>
      <c r="O374" s="19" t="inlineStr"/>
      <c r="P374" s="18" t="inlineStr">
        <is>
          <t>#cobblemon:is_overworld</t>
        </is>
      </c>
      <c r="Q374" s="19" t="inlineStr"/>
      <c r="R374" s="18">
        <f>IF(Q374="",P374,Q374)</f>
        <v/>
      </c>
      <c r="S374" s="18" t="inlineStr"/>
      <c r="T374" s="18" t="inlineStr">
        <is>
          <t>common</t>
        </is>
      </c>
      <c r="U374" s="20" t="n">
        <v>9</v>
      </c>
      <c r="V374" s="21" t="n">
        <v>1</v>
      </c>
      <c r="W374" s="20">
        <f>IF(OR(U374="",V374=""),U374,U374*V374)</f>
        <v/>
      </c>
      <c r="X374" s="18" t="inlineStr">
        <is>
          <t>8-33</t>
        </is>
      </c>
      <c r="Y374" s="19" t="inlineStr"/>
      <c r="Z374" s="18">
        <f>IF(Y374="",X374,Y374)</f>
        <v/>
      </c>
      <c r="AA374" s="18" t="inlineStr">
        <is>
          <t>fishing</t>
        </is>
      </c>
      <c r="AB374" s="18" t="inlineStr"/>
      <c r="AC374" s="18" t="inlineStr"/>
      <c r="AD374" s="18" t="inlineStr">
        <is>
          <t>minY=-60, maxY=13</t>
        </is>
      </c>
      <c r="AE374" s="18" t="inlineStr"/>
      <c r="AF374" s="18" t="inlineStr">
        <is>
          <t>False</t>
        </is>
      </c>
      <c r="AG374" s="18" t="inlineStr">
        <is>
          <t>cobblemon:shipwreck_coves/submerged_shipwreck_cove</t>
        </is>
      </c>
      <c r="AH374" s="18" t="inlineStr"/>
      <c r="AI374" s="18" t="inlineStr"/>
      <c r="AJ374" s="18" t="inlineStr">
        <is>
          <t>Cobblemon 동일</t>
        </is>
      </c>
      <c r="AK374" s="18" t="inlineStr">
        <is>
          <t>사용</t>
        </is>
      </c>
      <c r="AL374" s="18" t="inlineStr">
        <is>
          <t>COBBLEVERSE 1.7.42 / DP v31</t>
        </is>
      </c>
      <c r="AM374" s="18" t="inlineStr">
        <is>
          <t>data/cobblemon/spawn_pool_world/0098_krabby.json</t>
        </is>
      </c>
      <c r="AN374" s="18" t="inlineStr">
        <is>
          <t>krabby-6</t>
        </is>
      </c>
      <c r="AO374" s="18" t="inlineStr">
        <is>
          <t>pokemon</t>
        </is>
      </c>
      <c r="AP374" s="18" t="inlineStr"/>
      <c r="AQ374" s="18" t="inlineStr">
        <is>
          <t>{"biomes":["#cobblemon:is_overworld"],"canSeeSky":false,"maxY":13,"minY":-60,"structures":["cobblemon:shipwreck_coves/submerged_shipwreck_cove"]}</t>
        </is>
      </c>
      <c r="AR374" s="18" t="inlineStr"/>
      <c r="AS374" s="18" t="inlineStr">
        <is>
          <t>{"weightMultiplier":{"condition":{"maxLureLevel":1,"minLureLevel":0},"multiplier":0.6}}</t>
        </is>
      </c>
      <c r="AT374" s="19" t="inlineStr"/>
    </row>
    <row r="375" ht="32" customHeight="1">
      <c r="A375" s="18" t="inlineStr">
        <is>
          <t>0099_kingler.json::kingler-1::001</t>
        </is>
      </c>
      <c r="B375" s="19" t="inlineStr">
        <is>
          <t>사용</t>
        </is>
      </c>
      <c r="C375" s="18">
        <f>IF(OR(B375&lt;&gt;AK375,M375&lt;&gt;L375,O375&lt;&gt;"",Q375&lt;&gt;"",V375&lt;&gt;1,Y375&lt;&gt;"",AT375&lt;&gt;""),"수정","원본")</f>
        <v/>
      </c>
      <c r="D375" s="18" t="n">
        <v>99</v>
      </c>
      <c r="E375" s="18" t="inlineStr">
        <is>
          <t>킹크랩</t>
        </is>
      </c>
      <c r="F375" s="18" t="inlineStr">
        <is>
          <t>kingler</t>
        </is>
      </c>
      <c r="G375" s="18" t="inlineStr">
        <is>
          <t>kingler</t>
        </is>
      </c>
      <c r="H375" s="18" t="inlineStr"/>
      <c r="I375" s="18" t="n">
        <v>1</v>
      </c>
      <c r="J375" s="18" t="n"/>
      <c r="K375" s="18" t="n">
        <v>1</v>
      </c>
      <c r="L375" s="18" t="inlineStr">
        <is>
          <t>cobbleventure:generation_1</t>
        </is>
      </c>
      <c r="M375" s="19" t="inlineStr">
        <is>
          <t>cobbleventure:generation_1</t>
        </is>
      </c>
      <c r="N375" s="18" t="inlineStr"/>
      <c r="O375" s="19" t="inlineStr"/>
      <c r="P375" s="18" t="inlineStr">
        <is>
          <t>#cobblemon:is_coast</t>
        </is>
      </c>
      <c r="Q375" s="19" t="inlineStr"/>
      <c r="R375" s="18">
        <f>IF(Q375="",P375,Q375)</f>
        <v/>
      </c>
      <c r="S375" s="18" t="inlineStr"/>
      <c r="T375" s="18" t="inlineStr">
        <is>
          <t>common</t>
        </is>
      </c>
      <c r="U375" s="20" t="n">
        <v>1</v>
      </c>
      <c r="V375" s="21" t="n">
        <v>1</v>
      </c>
      <c r="W375" s="20">
        <f>IF(OR(U375="",V375=""),U375,U375*V375)</f>
        <v/>
      </c>
      <c r="X375" s="18" t="inlineStr">
        <is>
          <t>28-48</t>
        </is>
      </c>
      <c r="Y375" s="19" t="inlineStr"/>
      <c r="Z375" s="18">
        <f>IF(Y375="",X375,Y375)</f>
        <v/>
      </c>
      <c r="AA375" s="18" t="inlineStr">
        <is>
          <t>grounded</t>
        </is>
      </c>
      <c r="AB375" s="18" t="inlineStr"/>
      <c r="AC375" s="18" t="inlineStr"/>
      <c r="AD375" s="18" t="inlineStr"/>
      <c r="AE375" s="18" t="inlineStr">
        <is>
          <t>sky 8-15</t>
        </is>
      </c>
      <c r="AF375" s="18" t="inlineStr"/>
      <c r="AG375" s="18" t="inlineStr"/>
      <c r="AH375" s="18" t="inlineStr"/>
      <c r="AI375" s="18" t="inlineStr"/>
      <c r="AJ375" s="18" t="inlineStr">
        <is>
          <t>Cobblemon 동일</t>
        </is>
      </c>
      <c r="AK375" s="18" t="inlineStr">
        <is>
          <t>사용</t>
        </is>
      </c>
      <c r="AL375" s="18" t="inlineStr">
        <is>
          <t>COBBLEVERSE 1.7.42 / DP v31</t>
        </is>
      </c>
      <c r="AM375" s="18" t="inlineStr">
        <is>
          <t>data/cobblemon/spawn_pool_world/0099_kingler.json</t>
        </is>
      </c>
      <c r="AN375" s="18" t="inlineStr">
        <is>
          <t>kingler-1</t>
        </is>
      </c>
      <c r="AO375" s="18" t="inlineStr">
        <is>
          <t>pokemon</t>
        </is>
      </c>
      <c r="AP375" s="18" t="inlineStr">
        <is>
          <t>natural</t>
        </is>
      </c>
      <c r="AQ375" s="18" t="inlineStr">
        <is>
          <t>{"biomes":["#cobblemon:is_coast"],"maxSkyLight":15,"minSkyLight":8}</t>
        </is>
      </c>
      <c r="AR375" s="18" t="inlineStr"/>
      <c r="AS375" s="18" t="inlineStr"/>
      <c r="AT375" s="19" t="inlineStr"/>
    </row>
    <row r="376" ht="32" customHeight="1">
      <c r="A376" s="18" t="inlineStr">
        <is>
          <t>0099_kingler.json::kingler-2::002</t>
        </is>
      </c>
      <c r="B376" s="19" t="inlineStr">
        <is>
          <t>사용</t>
        </is>
      </c>
      <c r="C376" s="18">
        <f>IF(OR(B376&lt;&gt;AK376,M376&lt;&gt;L376,O376&lt;&gt;"",Q376&lt;&gt;"",V376&lt;&gt;1,Y376&lt;&gt;"",AT376&lt;&gt;""),"수정","원본")</f>
        <v/>
      </c>
      <c r="D376" s="18" t="n">
        <v>99</v>
      </c>
      <c r="E376" s="18" t="inlineStr">
        <is>
          <t>킹크랩</t>
        </is>
      </c>
      <c r="F376" s="18" t="inlineStr">
        <is>
          <t>kingler</t>
        </is>
      </c>
      <c r="G376" s="18" t="inlineStr">
        <is>
          <t>kingler</t>
        </is>
      </c>
      <c r="H376" s="18" t="inlineStr"/>
      <c r="I376" s="18" t="n">
        <v>1</v>
      </c>
      <c r="J376" s="18" t="n"/>
      <c r="K376" s="18" t="n">
        <v>1</v>
      </c>
      <c r="L376" s="18" t="inlineStr">
        <is>
          <t>cobbleventure:generation_1</t>
        </is>
      </c>
      <c r="M376" s="19" t="inlineStr">
        <is>
          <t>cobbleventure:generation_1</t>
        </is>
      </c>
      <c r="N376" s="18" t="inlineStr"/>
      <c r="O376" s="19" t="inlineStr"/>
      <c r="P376" s="18" t="inlineStr">
        <is>
          <t>#cobblemon:is_coast; #cobblemon:is_ocean</t>
        </is>
      </c>
      <c r="Q376" s="19" t="inlineStr"/>
      <c r="R376" s="18">
        <f>IF(Q376="",P376,Q376)</f>
        <v/>
      </c>
      <c r="S376" s="18" t="inlineStr"/>
      <c r="T376" s="18" t="inlineStr">
        <is>
          <t>common</t>
        </is>
      </c>
      <c r="U376" s="20" t="n">
        <v>0.2</v>
      </c>
      <c r="V376" s="21" t="n">
        <v>1</v>
      </c>
      <c r="W376" s="20">
        <f>IF(OR(U376="",V376=""),U376,U376*V376)</f>
        <v/>
      </c>
      <c r="X376" s="18" t="inlineStr">
        <is>
          <t>28-48</t>
        </is>
      </c>
      <c r="Y376" s="19" t="inlineStr"/>
      <c r="Z376" s="18">
        <f>IF(Y376="",X376,Y376)</f>
        <v/>
      </c>
      <c r="AA376" s="18" t="inlineStr">
        <is>
          <t>seafloor</t>
        </is>
      </c>
      <c r="AB376" s="18" t="inlineStr"/>
      <c r="AC376" s="18" t="inlineStr"/>
      <c r="AD376" s="18" t="inlineStr"/>
      <c r="AE376" s="18" t="inlineStr"/>
      <c r="AF376" s="18" t="inlineStr">
        <is>
          <t>True</t>
        </is>
      </c>
      <c r="AG376" s="18" t="inlineStr"/>
      <c r="AH376" s="18" t="inlineStr"/>
      <c r="AI376" s="18" t="inlineStr"/>
      <c r="AJ376" s="18" t="inlineStr">
        <is>
          <t>Cobblemon 동일</t>
        </is>
      </c>
      <c r="AK376" s="18" t="inlineStr">
        <is>
          <t>사용</t>
        </is>
      </c>
      <c r="AL376" s="18" t="inlineStr">
        <is>
          <t>COBBLEVERSE 1.7.42 / DP v31</t>
        </is>
      </c>
      <c r="AM376" s="18" t="inlineStr">
        <is>
          <t>data/cobblemon/spawn_pool_world/0099_kingler.json</t>
        </is>
      </c>
      <c r="AN376" s="18" t="inlineStr">
        <is>
          <t>kingler-2</t>
        </is>
      </c>
      <c r="AO376" s="18" t="inlineStr">
        <is>
          <t>pokemon</t>
        </is>
      </c>
      <c r="AP376" s="18" t="inlineStr">
        <is>
          <t>water</t>
        </is>
      </c>
      <c r="AQ376" s="18" t="inlineStr">
        <is>
          <t>{"biomes":["#cobblemon:is_coast","#cobblemon:is_ocean"],"canSeeSky":true}</t>
        </is>
      </c>
      <c r="AR376" s="18" t="inlineStr"/>
      <c r="AS376" s="18" t="inlineStr"/>
      <c r="AT376" s="19" t="inlineStr"/>
    </row>
    <row r="377" ht="32" customHeight="1">
      <c r="A377" s="18" t="inlineStr">
        <is>
          <t>0099_kingler.json::kingler-3::003</t>
        </is>
      </c>
      <c r="B377" s="19" t="inlineStr">
        <is>
          <t>사용</t>
        </is>
      </c>
      <c r="C377" s="18">
        <f>IF(OR(B377&lt;&gt;AK377,M377&lt;&gt;L377,O377&lt;&gt;"",Q377&lt;&gt;"",V377&lt;&gt;1,Y377&lt;&gt;"",AT377&lt;&gt;""),"수정","원본")</f>
        <v/>
      </c>
      <c r="D377" s="18" t="n">
        <v>99</v>
      </c>
      <c r="E377" s="18" t="inlineStr">
        <is>
          <t>킹크랩</t>
        </is>
      </c>
      <c r="F377" s="18" t="inlineStr">
        <is>
          <t>kingler</t>
        </is>
      </c>
      <c r="G377" s="18" t="inlineStr">
        <is>
          <t>kingler</t>
        </is>
      </c>
      <c r="H377" s="18" t="inlineStr"/>
      <c r="I377" s="18" t="n">
        <v>1</v>
      </c>
      <c r="J377" s="18" t="n"/>
      <c r="K377" s="18" t="n">
        <v>1</v>
      </c>
      <c r="L377" s="18" t="inlineStr">
        <is>
          <t>cobbleventure:generation_1</t>
        </is>
      </c>
      <c r="M377" s="19" t="inlineStr">
        <is>
          <t>cobbleventure:generation_1</t>
        </is>
      </c>
      <c r="N377" s="18" t="inlineStr"/>
      <c r="O377" s="19" t="inlineStr"/>
      <c r="P377" s="18" t="inlineStr">
        <is>
          <t>#cobblemon:is_coast; #cobblemon:is_ocean</t>
        </is>
      </c>
      <c r="Q377" s="19" t="inlineStr"/>
      <c r="R377" s="18">
        <f>IF(Q377="",P377,Q377)</f>
        <v/>
      </c>
      <c r="S377" s="18" t="inlineStr"/>
      <c r="T377" s="18" t="inlineStr">
        <is>
          <t>common</t>
        </is>
      </c>
      <c r="U377" s="20" t="n">
        <v>1</v>
      </c>
      <c r="V377" s="21" t="n">
        <v>1</v>
      </c>
      <c r="W377" s="20">
        <f>IF(OR(U377="",V377=""),U377,U377*V377)</f>
        <v/>
      </c>
      <c r="X377" s="18" t="inlineStr">
        <is>
          <t>28-48</t>
        </is>
      </c>
      <c r="Y377" s="19" t="inlineStr"/>
      <c r="Z377" s="18">
        <f>IF(Y377="",X377,Y377)</f>
        <v/>
      </c>
      <c r="AA377" s="18" t="inlineStr">
        <is>
          <t>fishing</t>
        </is>
      </c>
      <c r="AB377" s="18" t="inlineStr"/>
      <c r="AC377" s="18" t="inlineStr"/>
      <c r="AD377" s="18" t="inlineStr"/>
      <c r="AE377" s="18" t="inlineStr"/>
      <c r="AF377" s="18" t="inlineStr">
        <is>
          <t>True</t>
        </is>
      </c>
      <c r="AG377" s="18" t="inlineStr"/>
      <c r="AH377" s="18" t="inlineStr"/>
      <c r="AI377" s="18" t="inlineStr"/>
      <c r="AJ377" s="18" t="inlineStr">
        <is>
          <t>Cobblemon 동일</t>
        </is>
      </c>
      <c r="AK377" s="18" t="inlineStr">
        <is>
          <t>사용</t>
        </is>
      </c>
      <c r="AL377" s="18" t="inlineStr">
        <is>
          <t>COBBLEVERSE 1.7.42 / DP v31</t>
        </is>
      </c>
      <c r="AM377" s="18" t="inlineStr">
        <is>
          <t>data/cobblemon/spawn_pool_world/0099_kingler.json</t>
        </is>
      </c>
      <c r="AN377" s="18" t="inlineStr">
        <is>
          <t>kingler-3</t>
        </is>
      </c>
      <c r="AO377" s="18" t="inlineStr">
        <is>
          <t>pokemon</t>
        </is>
      </c>
      <c r="AP377" s="18" t="inlineStr"/>
      <c r="AQ377" s="18" t="inlineStr">
        <is>
          <t>{"biomes":["#cobblemon:is_coast","#cobblemon:is_ocean"],"canSeeSky":true}</t>
        </is>
      </c>
      <c r="AR377" s="18" t="inlineStr"/>
      <c r="AS377" s="18" t="inlineStr">
        <is>
          <t>{"weightMultiplier":{"condition":{"maxLureLevel":1,"minLureLevel":0},"multiplier":0.6}}</t>
        </is>
      </c>
      <c r="AT377" s="19" t="inlineStr"/>
    </row>
    <row r="378" ht="32" customHeight="1">
      <c r="A378" s="18" t="inlineStr">
        <is>
          <t>0099_kingler.json::kingler-4::004</t>
        </is>
      </c>
      <c r="B378" s="19" t="inlineStr">
        <is>
          <t>사용</t>
        </is>
      </c>
      <c r="C378" s="18">
        <f>IF(OR(B378&lt;&gt;AK378,M378&lt;&gt;L378,O378&lt;&gt;"",Q378&lt;&gt;"",V378&lt;&gt;1,Y378&lt;&gt;"",AT378&lt;&gt;""),"수정","원본")</f>
        <v/>
      </c>
      <c r="D378" s="18" t="n">
        <v>99</v>
      </c>
      <c r="E378" s="18" t="inlineStr">
        <is>
          <t>킹크랩</t>
        </is>
      </c>
      <c r="F378" s="18" t="inlineStr">
        <is>
          <t>kingler</t>
        </is>
      </c>
      <c r="G378" s="18" t="inlineStr">
        <is>
          <t>kingler</t>
        </is>
      </c>
      <c r="H378" s="18" t="inlineStr"/>
      <c r="I378" s="18" t="n">
        <v>1</v>
      </c>
      <c r="J378" s="18" t="n"/>
      <c r="K378" s="18" t="n">
        <v>1</v>
      </c>
      <c r="L378" s="18" t="inlineStr">
        <is>
          <t>cobbleventure:generation_1</t>
        </is>
      </c>
      <c r="M378" s="19" t="inlineStr">
        <is>
          <t>cobbleventure:generation_1</t>
        </is>
      </c>
      <c r="N378" s="18" t="inlineStr"/>
      <c r="O378" s="19" t="inlineStr"/>
      <c r="P378" s="18" t="inlineStr">
        <is>
          <t>#cobblemon:is_coast; #cobblemon:is_ocean</t>
        </is>
      </c>
      <c r="Q378" s="19" t="inlineStr"/>
      <c r="R378" s="18">
        <f>IF(Q378="",P378,Q378)</f>
        <v/>
      </c>
      <c r="S378" s="18" t="inlineStr"/>
      <c r="T378" s="18" t="inlineStr">
        <is>
          <t>common</t>
        </is>
      </c>
      <c r="U378" s="20" t="n">
        <v>1</v>
      </c>
      <c r="V378" s="21" t="n">
        <v>1</v>
      </c>
      <c r="W378" s="20">
        <f>IF(OR(U378="",V378=""),U378,U378*V378)</f>
        <v/>
      </c>
      <c r="X378" s="18" t="inlineStr">
        <is>
          <t>28-48</t>
        </is>
      </c>
      <c r="Y378" s="19" t="inlineStr"/>
      <c r="Z378" s="18">
        <f>IF(Y378="",X378,Y378)</f>
        <v/>
      </c>
      <c r="AA378" s="18" t="inlineStr">
        <is>
          <t>fishing</t>
        </is>
      </c>
      <c r="AB378" s="18" t="inlineStr"/>
      <c r="AC378" s="18" t="inlineStr"/>
      <c r="AD378" s="18" t="inlineStr"/>
      <c r="AE378" s="18" t="inlineStr">
        <is>
          <t>sky 8-15</t>
        </is>
      </c>
      <c r="AF378" s="18" t="inlineStr">
        <is>
          <t>False</t>
        </is>
      </c>
      <c r="AG378" s="18" t="inlineStr"/>
      <c r="AH378" s="18" t="inlineStr"/>
      <c r="AI378" s="18" t="inlineStr"/>
      <c r="AJ378" s="18" t="inlineStr">
        <is>
          <t>Cobblemon 동일</t>
        </is>
      </c>
      <c r="AK378" s="18" t="inlineStr">
        <is>
          <t>사용</t>
        </is>
      </c>
      <c r="AL378" s="18" t="inlineStr">
        <is>
          <t>COBBLEVERSE 1.7.42 / DP v31</t>
        </is>
      </c>
      <c r="AM378" s="18" t="inlineStr">
        <is>
          <t>data/cobblemon/spawn_pool_world/0099_kingler.json</t>
        </is>
      </c>
      <c r="AN378" s="18" t="inlineStr">
        <is>
          <t>kingler-4</t>
        </is>
      </c>
      <c r="AO378" s="18" t="inlineStr">
        <is>
          <t>pokemon</t>
        </is>
      </c>
      <c r="AP378" s="18" t="inlineStr"/>
      <c r="AQ378" s="18" t="inlineStr">
        <is>
          <t>{"biomes":["#cobblemon:is_coast","#cobblemon:is_ocean"],"canSeeSky":false,"maxSkyLight":15,"minSkyLight":8}</t>
        </is>
      </c>
      <c r="AR378" s="18" t="inlineStr"/>
      <c r="AS378" s="18" t="inlineStr">
        <is>
          <t>{"weightMultiplier":{"condition":{"maxLureLevel":1,"minLureLevel":0},"multiplier":0.6}}</t>
        </is>
      </c>
      <c r="AT378" s="19" t="inlineStr"/>
    </row>
    <row r="379" ht="32" customHeight="1">
      <c r="A379" s="18" t="inlineStr">
        <is>
          <t>0099_kingler.json::kingler-5::005</t>
        </is>
      </c>
      <c r="B379" s="19" t="inlineStr">
        <is>
          <t>사용</t>
        </is>
      </c>
      <c r="C379" s="18">
        <f>IF(OR(B379&lt;&gt;AK379,M379&lt;&gt;L379,O379&lt;&gt;"",Q379&lt;&gt;"",V379&lt;&gt;1,Y379&lt;&gt;"",AT379&lt;&gt;""),"수정","원본")</f>
        <v/>
      </c>
      <c r="D379" s="18" t="n">
        <v>99</v>
      </c>
      <c r="E379" s="18" t="inlineStr">
        <is>
          <t>킹크랩</t>
        </is>
      </c>
      <c r="F379" s="18" t="inlineStr">
        <is>
          <t>kingler</t>
        </is>
      </c>
      <c r="G379" s="18" t="inlineStr">
        <is>
          <t>kingler</t>
        </is>
      </c>
      <c r="H379" s="18" t="inlineStr"/>
      <c r="I379" s="18" t="n">
        <v>1</v>
      </c>
      <c r="J379" s="18" t="n"/>
      <c r="K379" s="18" t="n">
        <v>1</v>
      </c>
      <c r="L379" s="18" t="inlineStr">
        <is>
          <t>cobbleventure:generation_1</t>
        </is>
      </c>
      <c r="M379" s="19" t="inlineStr">
        <is>
          <t>cobbleventure:generation_1</t>
        </is>
      </c>
      <c r="N379" s="18" t="inlineStr">
        <is>
          <t>region_01; region_02</t>
        </is>
      </c>
      <c r="O379" s="19" t="inlineStr"/>
      <c r="P379" s="18" t="inlineStr">
        <is>
          <t>#cobblemon:is_overworld</t>
        </is>
      </c>
      <c r="Q379" s="19" t="inlineStr"/>
      <c r="R379" s="18">
        <f>IF(Q379="",P379,Q379)</f>
        <v/>
      </c>
      <c r="S379" s="18" t="inlineStr"/>
      <c r="T379" s="18" t="inlineStr">
        <is>
          <t>common</t>
        </is>
      </c>
      <c r="U379" s="20" t="n">
        <v>0.2</v>
      </c>
      <c r="V379" s="21" t="n">
        <v>1</v>
      </c>
      <c r="W379" s="20">
        <f>IF(OR(U379="",V379=""),U379,U379*V379)</f>
        <v/>
      </c>
      <c r="X379" s="18" t="inlineStr">
        <is>
          <t>28-48</t>
        </is>
      </c>
      <c r="Y379" s="19" t="inlineStr"/>
      <c r="Z379" s="18">
        <f>IF(Y379="",X379,Y379)</f>
        <v/>
      </c>
      <c r="AA379" s="18" t="inlineStr">
        <is>
          <t>seafloor</t>
        </is>
      </c>
      <c r="AB379" s="18" t="inlineStr"/>
      <c r="AC379" s="18" t="inlineStr"/>
      <c r="AD379" s="18" t="inlineStr">
        <is>
          <t>minY=-60, maxY=13</t>
        </is>
      </c>
      <c r="AE379" s="18" t="inlineStr"/>
      <c r="AF379" s="18" t="inlineStr">
        <is>
          <t>False</t>
        </is>
      </c>
      <c r="AG379" s="18" t="inlineStr">
        <is>
          <t>cobblemon:shipwreck_coves/submerged_shipwreck_cove</t>
        </is>
      </c>
      <c r="AH379" s="18" t="inlineStr"/>
      <c r="AI379" s="18" t="inlineStr"/>
      <c r="AJ379" s="18" t="inlineStr">
        <is>
          <t>Cobblemon 동일</t>
        </is>
      </c>
      <c r="AK379" s="18" t="inlineStr">
        <is>
          <t>사용</t>
        </is>
      </c>
      <c r="AL379" s="18" t="inlineStr">
        <is>
          <t>COBBLEVERSE 1.7.42 / DP v31</t>
        </is>
      </c>
      <c r="AM379" s="18" t="inlineStr">
        <is>
          <t>data/cobblemon/spawn_pool_world/0099_kingler.json</t>
        </is>
      </c>
      <c r="AN379" s="18" t="inlineStr">
        <is>
          <t>kingler-5</t>
        </is>
      </c>
      <c r="AO379" s="18" t="inlineStr">
        <is>
          <t>pokemon</t>
        </is>
      </c>
      <c r="AP379" s="18" t="inlineStr">
        <is>
          <t>water</t>
        </is>
      </c>
      <c r="AQ379" s="18" t="inlineStr">
        <is>
          <t>{"biomes":["#cobblemon:is_overworld"],"canSeeSky":false,"maxY":13,"minY":-60,"structures":["cobblemon:shipwreck_coves/submerged_shipwreck_cove"]}</t>
        </is>
      </c>
      <c r="AR379" s="18" t="inlineStr"/>
      <c r="AS379" s="18" t="inlineStr"/>
      <c r="AT379" s="19" t="inlineStr"/>
    </row>
    <row r="380" ht="32" customHeight="1">
      <c r="A380" s="18" t="inlineStr">
        <is>
          <t>0099_kingler.json::kingler-6::006</t>
        </is>
      </c>
      <c r="B380" s="19" t="inlineStr">
        <is>
          <t>사용</t>
        </is>
      </c>
      <c r="C380" s="18">
        <f>IF(OR(B380&lt;&gt;AK380,M380&lt;&gt;L380,O380&lt;&gt;"",Q380&lt;&gt;"",V380&lt;&gt;1,Y380&lt;&gt;"",AT380&lt;&gt;""),"수정","원본")</f>
        <v/>
      </c>
      <c r="D380" s="18" t="n">
        <v>99</v>
      </c>
      <c r="E380" s="18" t="inlineStr">
        <is>
          <t>킹크랩</t>
        </is>
      </c>
      <c r="F380" s="18" t="inlineStr">
        <is>
          <t>kingler</t>
        </is>
      </c>
      <c r="G380" s="18" t="inlineStr">
        <is>
          <t>kingler</t>
        </is>
      </c>
      <c r="H380" s="18" t="inlineStr"/>
      <c r="I380" s="18" t="n">
        <v>1</v>
      </c>
      <c r="J380" s="18" t="n"/>
      <c r="K380" s="18" t="n">
        <v>1</v>
      </c>
      <c r="L380" s="18" t="inlineStr">
        <is>
          <t>cobbleventure:generation_1</t>
        </is>
      </c>
      <c r="M380" s="19" t="inlineStr">
        <is>
          <t>cobbleventure:generation_1</t>
        </is>
      </c>
      <c r="N380" s="18" t="inlineStr">
        <is>
          <t>region_01; region_02</t>
        </is>
      </c>
      <c r="O380" s="19" t="inlineStr"/>
      <c r="P380" s="18" t="inlineStr">
        <is>
          <t>#cobblemon:is_overworld</t>
        </is>
      </c>
      <c r="Q380" s="19" t="inlineStr"/>
      <c r="R380" s="18">
        <f>IF(Q380="",P380,Q380)</f>
        <v/>
      </c>
      <c r="S380" s="18" t="inlineStr"/>
      <c r="T380" s="18" t="inlineStr">
        <is>
          <t>common</t>
        </is>
      </c>
      <c r="U380" s="20" t="n">
        <v>1</v>
      </c>
      <c r="V380" s="21" t="n">
        <v>1</v>
      </c>
      <c r="W380" s="20">
        <f>IF(OR(U380="",V380=""),U380,U380*V380)</f>
        <v/>
      </c>
      <c r="X380" s="18" t="inlineStr">
        <is>
          <t>28-48</t>
        </is>
      </c>
      <c r="Y380" s="19" t="inlineStr"/>
      <c r="Z380" s="18">
        <f>IF(Y380="",X380,Y380)</f>
        <v/>
      </c>
      <c r="AA380" s="18" t="inlineStr">
        <is>
          <t>fishing</t>
        </is>
      </c>
      <c r="AB380" s="18" t="inlineStr"/>
      <c r="AC380" s="18" t="inlineStr"/>
      <c r="AD380" s="18" t="inlineStr">
        <is>
          <t>minY=-60, maxY=13</t>
        </is>
      </c>
      <c r="AE380" s="18" t="inlineStr"/>
      <c r="AF380" s="18" t="inlineStr">
        <is>
          <t>False</t>
        </is>
      </c>
      <c r="AG380" s="18" t="inlineStr">
        <is>
          <t>cobblemon:shipwreck_coves/submerged_shipwreck_cove</t>
        </is>
      </c>
      <c r="AH380" s="18" t="inlineStr"/>
      <c r="AI380" s="18" t="inlineStr"/>
      <c r="AJ380" s="18" t="inlineStr">
        <is>
          <t>Cobblemon 동일</t>
        </is>
      </c>
      <c r="AK380" s="18" t="inlineStr">
        <is>
          <t>사용</t>
        </is>
      </c>
      <c r="AL380" s="18" t="inlineStr">
        <is>
          <t>COBBLEVERSE 1.7.42 / DP v31</t>
        </is>
      </c>
      <c r="AM380" s="18" t="inlineStr">
        <is>
          <t>data/cobblemon/spawn_pool_world/0099_kingler.json</t>
        </is>
      </c>
      <c r="AN380" s="18" t="inlineStr">
        <is>
          <t>kingler-6</t>
        </is>
      </c>
      <c r="AO380" s="18" t="inlineStr">
        <is>
          <t>pokemon</t>
        </is>
      </c>
      <c r="AP380" s="18" t="inlineStr"/>
      <c r="AQ380" s="18" t="inlineStr">
        <is>
          <t>{"biomes":["#cobblemon:is_overworld"],"canSeeSky":false,"maxY":13,"minY":-60,"structures":["cobblemon:shipwreck_coves/submerged_shipwreck_cove"]}</t>
        </is>
      </c>
      <c r="AR380" s="18" t="inlineStr"/>
      <c r="AS380" s="18" t="inlineStr">
        <is>
          <t>{"weightMultiplier":{"condition":{"maxLureLevel":1,"minLureLevel":0},"multiplier":0.6}}</t>
        </is>
      </c>
      <c r="AT380" s="19" t="inlineStr"/>
    </row>
    <row r="381" ht="32" customHeight="1">
      <c r="A381" s="18" t="inlineStr">
        <is>
          <t>0100_voltorb.json::voltorb-1::001</t>
        </is>
      </c>
      <c r="B381" s="19" t="inlineStr">
        <is>
          <t>사용</t>
        </is>
      </c>
      <c r="C381" s="18">
        <f>IF(OR(B381&lt;&gt;AK381,M381&lt;&gt;L381,O381&lt;&gt;"",Q381&lt;&gt;"",V381&lt;&gt;1,Y381&lt;&gt;"",AT381&lt;&gt;""),"수정","원본")</f>
        <v/>
      </c>
      <c r="D381" s="18" t="n">
        <v>100</v>
      </c>
      <c r="E381" s="18" t="inlineStr">
        <is>
          <t>찌리리공</t>
        </is>
      </c>
      <c r="F381" s="18" t="inlineStr">
        <is>
          <t>voltorb</t>
        </is>
      </c>
      <c r="G381" s="18" t="inlineStr">
        <is>
          <t>voltorb</t>
        </is>
      </c>
      <c r="H381" s="18" t="inlineStr"/>
      <c r="I381" s="18" t="n">
        <v>1</v>
      </c>
      <c r="J381" s="18" t="n"/>
      <c r="K381" s="18" t="n">
        <v>1</v>
      </c>
      <c r="L381" s="18" t="inlineStr">
        <is>
          <t>cobbleventure:generation_1</t>
        </is>
      </c>
      <c r="M381" s="19" t="inlineStr">
        <is>
          <t>cobbleventure:generation_1</t>
        </is>
      </c>
      <c r="N381" s="18" t="inlineStr">
        <is>
          <t>region_01; region_02</t>
        </is>
      </c>
      <c r="O381" s="19" t="inlineStr"/>
      <c r="P381" s="18" t="inlineStr">
        <is>
          <t>#cobblemon:is_overworld</t>
        </is>
      </c>
      <c r="Q381" s="19" t="inlineStr"/>
      <c r="R381" s="18">
        <f>IF(Q381="",P381,Q381)</f>
        <v/>
      </c>
      <c r="S381" s="18" t="inlineStr"/>
      <c r="T381" s="18" t="inlineStr">
        <is>
          <t>common</t>
        </is>
      </c>
      <c r="U381" s="20" t="n">
        <v>1.8</v>
      </c>
      <c r="V381" s="21" t="n">
        <v>1</v>
      </c>
      <c r="W381" s="20">
        <f>IF(OR(U381="",V381=""),U381,U381*V381)</f>
        <v/>
      </c>
      <c r="X381" s="18" t="inlineStr">
        <is>
          <t>8-33</t>
        </is>
      </c>
      <c r="Y381" s="19" t="inlineStr"/>
      <c r="Z381" s="18">
        <f>IF(Y381="",X381,Y381)</f>
        <v/>
      </c>
      <c r="AA381" s="18" t="inlineStr">
        <is>
          <t>grounded</t>
        </is>
      </c>
      <c r="AB381" s="18" t="inlineStr"/>
      <c r="AC381" s="18" t="inlineStr"/>
      <c r="AD381" s="18" t="inlineStr"/>
      <c r="AE381" s="18" t="inlineStr">
        <is>
          <t>sky 8-15</t>
        </is>
      </c>
      <c r="AF381" s="18" t="inlineStr"/>
      <c r="AG381" s="18" t="inlineStr"/>
      <c r="AH381" s="18" t="inlineStr"/>
      <c r="AI381" s="18" t="inlineStr"/>
      <c r="AJ381" s="18" t="inlineStr">
        <is>
          <t>COBBLEVERSE 수정</t>
        </is>
      </c>
      <c r="AK381" s="18" t="inlineStr">
        <is>
          <t>사용</t>
        </is>
      </c>
      <c r="AL381" s="18" t="inlineStr">
        <is>
          <t>COBBLEVERSE 1.7.42 / DP v31</t>
        </is>
      </c>
      <c r="AM381" s="18" t="inlineStr">
        <is>
          <t>data/cobblemon/spawn_pool_world/0100_voltorb.json</t>
        </is>
      </c>
      <c r="AN381" s="18" t="inlineStr">
        <is>
          <t>voltorb-1</t>
        </is>
      </c>
      <c r="AO381" s="18" t="inlineStr">
        <is>
          <t>pokemon</t>
        </is>
      </c>
      <c r="AP381" s="18" t="inlineStr">
        <is>
          <t>natural</t>
        </is>
      </c>
      <c r="AQ381" s="18" t="inlineStr">
        <is>
          <t>{"biomes":["#cobblemon:is_overworld"],"maxSkyLight":15,"minSkyLight":8}</t>
        </is>
      </c>
      <c r="AR381" s="18" t="inlineStr"/>
      <c r="AS381" s="18" t="inlineStr">
        <is>
          <t>{"weightMultiplier":{"condition":{"isThundering":true},"multiplier":5.0}}</t>
        </is>
      </c>
      <c r="AT381" s="19" t="inlineStr"/>
    </row>
    <row r="382" ht="32" customHeight="1">
      <c r="A382" s="18" t="inlineStr">
        <is>
          <t>0100_voltorb.json::voltorb-2::002</t>
        </is>
      </c>
      <c r="B382" s="19" t="inlineStr">
        <is>
          <t>사용</t>
        </is>
      </c>
      <c r="C382" s="18">
        <f>IF(OR(B382&lt;&gt;AK382,M382&lt;&gt;L382,O382&lt;&gt;"",Q382&lt;&gt;"",V382&lt;&gt;1,Y382&lt;&gt;"",AT382&lt;&gt;""),"수정","원본")</f>
        <v/>
      </c>
      <c r="D382" s="18" t="n">
        <v>100</v>
      </c>
      <c r="E382" s="18" t="inlineStr">
        <is>
          <t>찌리리공</t>
        </is>
      </c>
      <c r="F382" s="18" t="inlineStr">
        <is>
          <t>voltorb</t>
        </is>
      </c>
      <c r="G382" s="18" t="inlineStr">
        <is>
          <t>voltorb</t>
        </is>
      </c>
      <c r="H382" s="18" t="inlineStr"/>
      <c r="I382" s="18" t="n">
        <v>1</v>
      </c>
      <c r="J382" s="18" t="n"/>
      <c r="K382" s="18" t="n">
        <v>1</v>
      </c>
      <c r="L382" s="18" t="inlineStr">
        <is>
          <t>cobbleventure:generation_1</t>
        </is>
      </c>
      <c r="M382" s="19" t="inlineStr">
        <is>
          <t>cobbleventure:generation_1</t>
        </is>
      </c>
      <c r="N382" s="18" t="inlineStr">
        <is>
          <t>region_01; region_02</t>
        </is>
      </c>
      <c r="O382" s="19" t="inlineStr"/>
      <c r="P382" s="18" t="inlineStr">
        <is>
          <t>#cobblemon:is_overworld</t>
        </is>
      </c>
      <c r="Q382" s="19" t="inlineStr"/>
      <c r="R382" s="18">
        <f>IF(Q382="",P382,Q382)</f>
        <v/>
      </c>
      <c r="S382" s="18" t="inlineStr"/>
      <c r="T382" s="18" t="inlineStr">
        <is>
          <t>common</t>
        </is>
      </c>
      <c r="U382" s="20" t="n">
        <v>1.8</v>
      </c>
      <c r="V382" s="21" t="n">
        <v>1</v>
      </c>
      <c r="W382" s="20">
        <f>IF(OR(U382="",V382=""),U382,U382*V382)</f>
        <v/>
      </c>
      <c r="X382" s="18" t="inlineStr">
        <is>
          <t>8-33</t>
        </is>
      </c>
      <c r="Y382" s="19" t="inlineStr"/>
      <c r="Z382" s="18">
        <f>IF(Y382="",X382,Y382)</f>
        <v/>
      </c>
      <c r="AA382" s="18" t="inlineStr">
        <is>
          <t>grounded</t>
        </is>
      </c>
      <c r="AB382" s="18" t="inlineStr"/>
      <c r="AC382" s="18" t="inlineStr"/>
      <c r="AD382" s="18" t="inlineStr"/>
      <c r="AE382" s="18" t="inlineStr">
        <is>
          <t>sky 8-15</t>
        </is>
      </c>
      <c r="AF382" s="18" t="inlineStr"/>
      <c r="AG382" s="18" t="inlineStr">
        <is>
          <t>#minecraft:village</t>
        </is>
      </c>
      <c r="AH382" s="18" t="inlineStr"/>
      <c r="AI382" s="18" t="inlineStr"/>
      <c r="AJ382" s="18" t="inlineStr">
        <is>
          <t>COBBLEVERSE 수정</t>
        </is>
      </c>
      <c r="AK382" s="18" t="inlineStr">
        <is>
          <t>사용</t>
        </is>
      </c>
      <c r="AL382" s="18" t="inlineStr">
        <is>
          <t>COBBLEVERSE 1.7.42 / DP v31</t>
        </is>
      </c>
      <c r="AM382" s="18" t="inlineStr">
        <is>
          <t>data/cobblemon/spawn_pool_world/0100_voltorb.json</t>
        </is>
      </c>
      <c r="AN382" s="18" t="inlineStr">
        <is>
          <t>voltorb-2</t>
        </is>
      </c>
      <c r="AO382" s="18" t="inlineStr">
        <is>
          <t>pokemon</t>
        </is>
      </c>
      <c r="AP382" s="18" t="inlineStr">
        <is>
          <t>natural</t>
        </is>
      </c>
      <c r="AQ382" s="18" t="inlineStr">
        <is>
          <t>{"biomes":["#cobblemon:is_overworld"],"maxSkyLight":15,"minSkyLight":8,"structures":["#minecraft:village"]}</t>
        </is>
      </c>
      <c r="AR382" s="18" t="inlineStr"/>
      <c r="AS382" s="18" t="inlineStr">
        <is>
          <t>{"weightMultiplier":{"condition":{"isThundering":true},"multiplier":5.0}}</t>
        </is>
      </c>
      <c r="AT382" s="19" t="inlineStr"/>
    </row>
    <row r="383" ht="32" customHeight="1">
      <c r="A383" s="18" t="inlineStr">
        <is>
          <t>0100_voltorb.json::voltorb-3::003</t>
        </is>
      </c>
      <c r="B383" s="19" t="inlineStr">
        <is>
          <t>사용</t>
        </is>
      </c>
      <c r="C383" s="18">
        <f>IF(OR(B383&lt;&gt;AK383,M383&lt;&gt;L383,O383&lt;&gt;"",Q383&lt;&gt;"",V383&lt;&gt;1,Y383&lt;&gt;"",AT383&lt;&gt;""),"수정","원본")</f>
        <v/>
      </c>
      <c r="D383" s="18" t="n">
        <v>100</v>
      </c>
      <c r="E383" s="18" t="inlineStr">
        <is>
          <t>찌리리공</t>
        </is>
      </c>
      <c r="F383" s="18" t="inlineStr">
        <is>
          <t>voltorb</t>
        </is>
      </c>
      <c r="G383" s="18" t="inlineStr">
        <is>
          <t>voltorb</t>
        </is>
      </c>
      <c r="H383" s="18" t="inlineStr"/>
      <c r="I383" s="18" t="n">
        <v>1</v>
      </c>
      <c r="J383" s="18" t="n"/>
      <c r="K383" s="18" t="n">
        <v>1</v>
      </c>
      <c r="L383" s="18" t="inlineStr">
        <is>
          <t>cobbleventure:generation_1</t>
        </is>
      </c>
      <c r="M383" s="19" t="inlineStr">
        <is>
          <t>cobbleventure:generation_1</t>
        </is>
      </c>
      <c r="N383" s="18" t="inlineStr">
        <is>
          <t>region_01; region_02</t>
        </is>
      </c>
      <c r="O383" s="19" t="inlineStr"/>
      <c r="P383" s="18" t="inlineStr">
        <is>
          <t>#cobblemon:is_overworld</t>
        </is>
      </c>
      <c r="Q383" s="19" t="inlineStr"/>
      <c r="R383" s="18">
        <f>IF(Q383="",P383,Q383)</f>
        <v/>
      </c>
      <c r="S383" s="18" t="inlineStr"/>
      <c r="T383" s="18" t="inlineStr">
        <is>
          <t>uncommon</t>
        </is>
      </c>
      <c r="U383" s="20" t="n">
        <v>84</v>
      </c>
      <c r="V383" s="21" t="n">
        <v>1</v>
      </c>
      <c r="W383" s="20">
        <f>IF(OR(U383="",V383=""),U383,U383*V383)</f>
        <v/>
      </c>
      <c r="X383" s="18" t="inlineStr">
        <is>
          <t>8-33</t>
        </is>
      </c>
      <c r="Y383" s="19" t="inlineStr"/>
      <c r="Z383" s="18">
        <f>IF(Y383="",X383,Y383)</f>
        <v/>
      </c>
      <c r="AA383" s="18" t="inlineStr">
        <is>
          <t>grounded</t>
        </is>
      </c>
      <c r="AB383" s="18" t="inlineStr"/>
      <c r="AC383" s="18" t="inlineStr"/>
      <c r="AD383" s="18" t="inlineStr"/>
      <c r="AE383" s="18" t="inlineStr">
        <is>
          <t>sky 8-15</t>
        </is>
      </c>
      <c r="AF383" s="18" t="inlineStr"/>
      <c r="AG383" s="18" t="inlineStr"/>
      <c r="AH383" s="18" t="inlineStr">
        <is>
          <t>주변=minecraft:lightning_rod</t>
        </is>
      </c>
      <c r="AI383" s="18" t="inlineStr"/>
      <c r="AJ383" s="18" t="inlineStr">
        <is>
          <t>COBBLEVERSE 수정</t>
        </is>
      </c>
      <c r="AK383" s="18" t="inlineStr">
        <is>
          <t>사용</t>
        </is>
      </c>
      <c r="AL383" s="18" t="inlineStr">
        <is>
          <t>COBBLEVERSE 1.7.42 / DP v31</t>
        </is>
      </c>
      <c r="AM383" s="18" t="inlineStr">
        <is>
          <t>data/cobblemon/spawn_pool_world/0100_voltorb.json</t>
        </is>
      </c>
      <c r="AN383" s="18" t="inlineStr">
        <is>
          <t>voltorb-3</t>
        </is>
      </c>
      <c r="AO383" s="18" t="inlineStr">
        <is>
          <t>pokemon</t>
        </is>
      </c>
      <c r="AP383" s="18" t="inlineStr"/>
      <c r="AQ383" s="18" t="inlineStr">
        <is>
          <t>{"biomes":["#cobblemon:is_overworld"],"maxSkyLight":15,"minSkyLight":8,"neededNearbyBlocks":["minecraft:lightning_rod"]}</t>
        </is>
      </c>
      <c r="AR383" s="18" t="inlineStr"/>
      <c r="AS383" s="18" t="inlineStr">
        <is>
          <t>{"weightMultiplier":{"condition":{"isThundering":true},"multiplier":5.0}}</t>
        </is>
      </c>
      <c r="AT383" s="19" t="inlineStr"/>
    </row>
    <row r="384" ht="32" customHeight="1">
      <c r="A384" s="18" t="inlineStr">
        <is>
          <t>0100_voltorb.json::voltorb-hisuian-4::004</t>
        </is>
      </c>
      <c r="B384" s="19" t="inlineStr">
        <is>
          <t>사용</t>
        </is>
      </c>
      <c r="C384" s="18">
        <f>IF(OR(B384&lt;&gt;AK384,M384&lt;&gt;L384,O384&lt;&gt;"",Q384&lt;&gt;"",V384&lt;&gt;1,Y384&lt;&gt;"",AT384&lt;&gt;""),"수정","원본")</f>
        <v/>
      </c>
      <c r="D384" s="18" t="n">
        <v>100</v>
      </c>
      <c r="E384" s="18" t="inlineStr">
        <is>
          <t>찌리리공</t>
        </is>
      </c>
      <c r="F384" s="18" t="inlineStr">
        <is>
          <t>voltorb</t>
        </is>
      </c>
      <c r="G384" s="18" t="inlineStr">
        <is>
          <t>voltorb hisuian</t>
        </is>
      </c>
      <c r="H384" s="18" t="inlineStr">
        <is>
          <t>hisuian</t>
        </is>
      </c>
      <c r="I384" s="18" t="n">
        <v>1</v>
      </c>
      <c r="J384" s="18" t="n">
        <v>8</v>
      </c>
      <c r="K384" s="18" t="n">
        <v>8</v>
      </c>
      <c r="L384" s="18" t="inlineStr">
        <is>
          <t>cobbleventure:generation_8</t>
        </is>
      </c>
      <c r="M384" s="19" t="inlineStr">
        <is>
          <t>cobbleventure:generation_8</t>
        </is>
      </c>
      <c r="N384" s="18" t="inlineStr">
        <is>
          <t>region_01; region_02</t>
        </is>
      </c>
      <c r="O384" s="19" t="inlineStr"/>
      <c r="P384" s="18" t="inlineStr">
        <is>
          <t>#cobblemon:is_overworld</t>
        </is>
      </c>
      <c r="Q384" s="19" t="inlineStr"/>
      <c r="R384" s="18">
        <f>IF(Q384="",P384,Q384)</f>
        <v/>
      </c>
      <c r="S384" s="18" t="inlineStr"/>
      <c r="T384" s="18" t="inlineStr">
        <is>
          <t>uncommon</t>
        </is>
      </c>
      <c r="U384" s="20" t="n">
        <v>92</v>
      </c>
      <c r="V384" s="21" t="n">
        <v>1</v>
      </c>
      <c r="W384" s="20">
        <f>IF(OR(U384="",V384=""),U384,U384*V384)</f>
        <v/>
      </c>
      <c r="X384" s="18" t="inlineStr">
        <is>
          <t>8-33</t>
        </is>
      </c>
      <c r="Y384" s="19" t="inlineStr"/>
      <c r="Z384" s="18">
        <f>IF(Y384="",X384,Y384)</f>
        <v/>
      </c>
      <c r="AA384" s="18" t="inlineStr">
        <is>
          <t>grounded</t>
        </is>
      </c>
      <c r="AB384" s="18" t="inlineStr"/>
      <c r="AC384" s="18" t="inlineStr"/>
      <c r="AD384" s="18" t="inlineStr"/>
      <c r="AE384" s="18" t="inlineStr">
        <is>
          <t>sky 8-15</t>
        </is>
      </c>
      <c r="AF384" s="18" t="inlineStr"/>
      <c r="AG384" s="18" t="inlineStr"/>
      <c r="AH384" s="18" t="inlineStr">
        <is>
          <t>주변=#cobblemon:apricorns</t>
        </is>
      </c>
      <c r="AI384" s="18" t="inlineStr"/>
      <c r="AJ384" s="18" t="inlineStr">
        <is>
          <t>COBBLEVERSE 수정</t>
        </is>
      </c>
      <c r="AK384" s="18" t="inlineStr">
        <is>
          <t>사용</t>
        </is>
      </c>
      <c r="AL384" s="18" t="inlineStr">
        <is>
          <t>COBBLEVERSE 1.7.42 / DP v31</t>
        </is>
      </c>
      <c r="AM384" s="18" t="inlineStr">
        <is>
          <t>data/cobblemon/spawn_pool_world/0100_voltorb.json</t>
        </is>
      </c>
      <c r="AN384" s="18" t="inlineStr">
        <is>
          <t>voltorb-hisuian-4</t>
        </is>
      </c>
      <c r="AO384" s="18" t="inlineStr">
        <is>
          <t>pokemon</t>
        </is>
      </c>
      <c r="AP384" s="18" t="inlineStr">
        <is>
          <t>natural</t>
        </is>
      </c>
      <c r="AQ384" s="18" t="inlineStr">
        <is>
          <t>{"biomes":["#cobblemon:is_overworld"],"maxSkyLight":15,"minSkyLight":8,"neededNearbyBlocks":["#cobblemon:apricorns"]}</t>
        </is>
      </c>
      <c r="AR384" s="18" t="inlineStr"/>
      <c r="AS384" s="18" t="inlineStr">
        <is>
          <t>{"weightMultiplier":{"condition":{"isThundering":true},"multiplier":5.0}}</t>
        </is>
      </c>
      <c r="AT384" s="19" t="inlineStr"/>
    </row>
    <row r="385" ht="32" customHeight="1">
      <c r="A385" s="18" t="inlineStr">
        <is>
          <t>0101_electrode.json::electrode-1::001</t>
        </is>
      </c>
      <c r="B385" s="19" t="inlineStr">
        <is>
          <t>사용</t>
        </is>
      </c>
      <c r="C385" s="18">
        <f>IF(OR(B385&lt;&gt;AK385,M385&lt;&gt;L385,O385&lt;&gt;"",Q385&lt;&gt;"",V385&lt;&gt;1,Y385&lt;&gt;"",AT385&lt;&gt;""),"수정","원본")</f>
        <v/>
      </c>
      <c r="D385" s="18" t="n">
        <v>101</v>
      </c>
      <c r="E385" s="18" t="inlineStr">
        <is>
          <t>붐볼</t>
        </is>
      </c>
      <c r="F385" s="18" t="inlineStr">
        <is>
          <t>electrode</t>
        </is>
      </c>
      <c r="G385" s="18" t="inlineStr">
        <is>
          <t>electrode</t>
        </is>
      </c>
      <c r="H385" s="18" t="inlineStr"/>
      <c r="I385" s="18" t="n">
        <v>1</v>
      </c>
      <c r="J385" s="18" t="n"/>
      <c r="K385" s="18" t="n">
        <v>1</v>
      </c>
      <c r="L385" s="18" t="inlineStr">
        <is>
          <t>cobbleventure:generation_1</t>
        </is>
      </c>
      <c r="M385" s="19" t="inlineStr">
        <is>
          <t>cobbleventure:generation_1</t>
        </is>
      </c>
      <c r="N385" s="18" t="inlineStr">
        <is>
          <t>region_01; region_02</t>
        </is>
      </c>
      <c r="O385" s="19" t="inlineStr"/>
      <c r="P385" s="18" t="inlineStr">
        <is>
          <t>#cobblemon:is_overworld</t>
        </is>
      </c>
      <c r="Q385" s="19" t="inlineStr"/>
      <c r="R385" s="18">
        <f>IF(Q385="",P385,Q385)</f>
        <v/>
      </c>
      <c r="S385" s="18" t="inlineStr"/>
      <c r="T385" s="18" t="inlineStr">
        <is>
          <t>common</t>
        </is>
      </c>
      <c r="U385" s="20" t="n">
        <v>0.2</v>
      </c>
      <c r="V385" s="21" t="n">
        <v>1</v>
      </c>
      <c r="W385" s="20">
        <f>IF(OR(U385="",V385=""),U385,U385*V385)</f>
        <v/>
      </c>
      <c r="X385" s="18" t="inlineStr">
        <is>
          <t>30-49</t>
        </is>
      </c>
      <c r="Y385" s="19" t="inlineStr"/>
      <c r="Z385" s="18">
        <f>IF(Y385="",X385,Y385)</f>
        <v/>
      </c>
      <c r="AA385" s="18" t="inlineStr">
        <is>
          <t>grounded</t>
        </is>
      </c>
      <c r="AB385" s="18" t="inlineStr"/>
      <c r="AC385" s="18" t="inlineStr"/>
      <c r="AD385" s="18" t="inlineStr"/>
      <c r="AE385" s="18" t="inlineStr">
        <is>
          <t>sky 8-15</t>
        </is>
      </c>
      <c r="AF385" s="18" t="inlineStr"/>
      <c r="AG385" s="18" t="inlineStr"/>
      <c r="AH385" s="18" t="inlineStr"/>
      <c r="AI385" s="18" t="inlineStr"/>
      <c r="AJ385" s="18" t="inlineStr">
        <is>
          <t>Cobblemon 동일</t>
        </is>
      </c>
      <c r="AK385" s="18" t="inlineStr">
        <is>
          <t>사용</t>
        </is>
      </c>
      <c r="AL385" s="18" t="inlineStr">
        <is>
          <t>COBBLEVERSE 1.7.42 / DP v31</t>
        </is>
      </c>
      <c r="AM385" s="18" t="inlineStr">
        <is>
          <t>data/cobblemon/spawn_pool_world/0101_electrode.json</t>
        </is>
      </c>
      <c r="AN385" s="18" t="inlineStr">
        <is>
          <t>electrode-1</t>
        </is>
      </c>
      <c r="AO385" s="18" t="inlineStr">
        <is>
          <t>pokemon</t>
        </is>
      </c>
      <c r="AP385" s="18" t="inlineStr">
        <is>
          <t>natural; urban</t>
        </is>
      </c>
      <c r="AQ385" s="18" t="inlineStr">
        <is>
          <t>{"biomes":["#cobblemon:is_overworld"],"maxSkyLight":15,"minSkyLight":8}</t>
        </is>
      </c>
      <c r="AR385" s="18" t="inlineStr"/>
      <c r="AS385" s="18" t="inlineStr">
        <is>
          <t>{"weightMultiplier":{"condition":{"isThundering":true},"multiplier":5.0}}</t>
        </is>
      </c>
      <c r="AT385" s="19" t="inlineStr"/>
    </row>
    <row r="386" ht="32" customHeight="1">
      <c r="A386" s="18" t="inlineStr">
        <is>
          <t>0101_electrode.json::electrode-2::002</t>
        </is>
      </c>
      <c r="B386" s="19" t="inlineStr">
        <is>
          <t>사용</t>
        </is>
      </c>
      <c r="C386" s="18">
        <f>IF(OR(B386&lt;&gt;AK386,M386&lt;&gt;L386,O386&lt;&gt;"",Q386&lt;&gt;"",V386&lt;&gt;1,Y386&lt;&gt;"",AT386&lt;&gt;""),"수정","원본")</f>
        <v/>
      </c>
      <c r="D386" s="18" t="n">
        <v>101</v>
      </c>
      <c r="E386" s="18" t="inlineStr">
        <is>
          <t>붐볼</t>
        </is>
      </c>
      <c r="F386" s="18" t="inlineStr">
        <is>
          <t>electrode</t>
        </is>
      </c>
      <c r="G386" s="18" t="inlineStr">
        <is>
          <t>electrode</t>
        </is>
      </c>
      <c r="H386" s="18" t="inlineStr"/>
      <c r="I386" s="18" t="n">
        <v>1</v>
      </c>
      <c r="J386" s="18" t="n"/>
      <c r="K386" s="18" t="n">
        <v>1</v>
      </c>
      <c r="L386" s="18" t="inlineStr">
        <is>
          <t>cobbleventure:generation_1</t>
        </is>
      </c>
      <c r="M386" s="19" t="inlineStr">
        <is>
          <t>cobbleventure:generation_1</t>
        </is>
      </c>
      <c r="N386" s="18" t="inlineStr">
        <is>
          <t>region_01; region_02</t>
        </is>
      </c>
      <c r="O386" s="19" t="inlineStr"/>
      <c r="P386" s="18" t="inlineStr">
        <is>
          <t>#cobblemon:is_overworld</t>
        </is>
      </c>
      <c r="Q386" s="19" t="inlineStr"/>
      <c r="R386" s="18">
        <f>IF(Q386="",P386,Q386)</f>
        <v/>
      </c>
      <c r="S386" s="18" t="inlineStr"/>
      <c r="T386" s="18" t="inlineStr">
        <is>
          <t>common</t>
        </is>
      </c>
      <c r="U386" s="20" t="n">
        <v>0.2</v>
      </c>
      <c r="V386" s="21" t="n">
        <v>1</v>
      </c>
      <c r="W386" s="20">
        <f>IF(OR(U386="",V386=""),U386,U386*V386)</f>
        <v/>
      </c>
      <c r="X386" s="18" t="inlineStr">
        <is>
          <t>30-49</t>
        </is>
      </c>
      <c r="Y386" s="19" t="inlineStr"/>
      <c r="Z386" s="18">
        <f>IF(Y386="",X386,Y386)</f>
        <v/>
      </c>
      <c r="AA386" s="18" t="inlineStr">
        <is>
          <t>grounded</t>
        </is>
      </c>
      <c r="AB386" s="18" t="inlineStr"/>
      <c r="AC386" s="18" t="inlineStr"/>
      <c r="AD386" s="18" t="inlineStr"/>
      <c r="AE386" s="18" t="inlineStr">
        <is>
          <t>sky 8-15</t>
        </is>
      </c>
      <c r="AF386" s="18" t="inlineStr"/>
      <c r="AG386" s="18" t="inlineStr">
        <is>
          <t>#minecraft:village</t>
        </is>
      </c>
      <c r="AH386" s="18" t="inlineStr"/>
      <c r="AI386" s="18" t="inlineStr"/>
      <c r="AJ386" s="18" t="inlineStr">
        <is>
          <t>Cobblemon 동일</t>
        </is>
      </c>
      <c r="AK386" s="18" t="inlineStr">
        <is>
          <t>사용</t>
        </is>
      </c>
      <c r="AL386" s="18" t="inlineStr">
        <is>
          <t>COBBLEVERSE 1.7.42 / DP v31</t>
        </is>
      </c>
      <c r="AM386" s="18" t="inlineStr">
        <is>
          <t>data/cobblemon/spawn_pool_world/0101_electrode.json</t>
        </is>
      </c>
      <c r="AN386" s="18" t="inlineStr">
        <is>
          <t>electrode-2</t>
        </is>
      </c>
      <c r="AO386" s="18" t="inlineStr">
        <is>
          <t>pokemon</t>
        </is>
      </c>
      <c r="AP386" s="18" t="inlineStr">
        <is>
          <t>natural</t>
        </is>
      </c>
      <c r="AQ386" s="18" t="inlineStr">
        <is>
          <t>{"biomes":["#cobblemon:is_overworld"],"maxSkyLight":15,"minSkyLight":8,"structures":["#minecraft:village"]}</t>
        </is>
      </c>
      <c r="AR386" s="18" t="inlineStr"/>
      <c r="AS386" s="18" t="inlineStr">
        <is>
          <t>{"weightMultiplier":{"condition":{"isThundering":true},"multiplier":5.0}}</t>
        </is>
      </c>
      <c r="AT386" s="19" t="inlineStr"/>
    </row>
    <row r="387" ht="32" customHeight="1">
      <c r="A387" s="18" t="inlineStr">
        <is>
          <t>0101_electrode.json::electrode-3::003</t>
        </is>
      </c>
      <c r="B387" s="19" t="inlineStr">
        <is>
          <t>사용</t>
        </is>
      </c>
      <c r="C387" s="18">
        <f>IF(OR(B387&lt;&gt;AK387,M387&lt;&gt;L387,O387&lt;&gt;"",Q387&lt;&gt;"",V387&lt;&gt;1,Y387&lt;&gt;"",AT387&lt;&gt;""),"수정","원본")</f>
        <v/>
      </c>
      <c r="D387" s="18" t="n">
        <v>101</v>
      </c>
      <c r="E387" s="18" t="inlineStr">
        <is>
          <t>붐볼</t>
        </is>
      </c>
      <c r="F387" s="18" t="inlineStr">
        <is>
          <t>electrode</t>
        </is>
      </c>
      <c r="G387" s="18" t="inlineStr">
        <is>
          <t>electrode</t>
        </is>
      </c>
      <c r="H387" s="18" t="inlineStr"/>
      <c r="I387" s="18" t="n">
        <v>1</v>
      </c>
      <c r="J387" s="18" t="n"/>
      <c r="K387" s="18" t="n">
        <v>1</v>
      </c>
      <c r="L387" s="18" t="inlineStr">
        <is>
          <t>cobbleventure:generation_1</t>
        </is>
      </c>
      <c r="M387" s="19" t="inlineStr">
        <is>
          <t>cobbleventure:generation_1</t>
        </is>
      </c>
      <c r="N387" s="18" t="inlineStr">
        <is>
          <t>region_01; region_02</t>
        </is>
      </c>
      <c r="O387" s="19" t="inlineStr"/>
      <c r="P387" s="18" t="inlineStr">
        <is>
          <t>#cobblemon:is_overworld</t>
        </is>
      </c>
      <c r="Q387" s="19" t="inlineStr"/>
      <c r="R387" s="18">
        <f>IF(Q387="",P387,Q387)</f>
        <v/>
      </c>
      <c r="S387" s="18" t="inlineStr"/>
      <c r="T387" s="18" t="inlineStr">
        <is>
          <t>uncommon</t>
        </is>
      </c>
      <c r="U387" s="20" t="n">
        <v>16</v>
      </c>
      <c r="V387" s="21" t="n">
        <v>1</v>
      </c>
      <c r="W387" s="20">
        <f>IF(OR(U387="",V387=""),U387,U387*V387)</f>
        <v/>
      </c>
      <c r="X387" s="18" t="inlineStr">
        <is>
          <t>30-49</t>
        </is>
      </c>
      <c r="Y387" s="19" t="inlineStr"/>
      <c r="Z387" s="18">
        <f>IF(Y387="",X387,Y387)</f>
        <v/>
      </c>
      <c r="AA387" s="18" t="inlineStr">
        <is>
          <t>grounded</t>
        </is>
      </c>
      <c r="AB387" s="18" t="inlineStr"/>
      <c r="AC387" s="18" t="inlineStr"/>
      <c r="AD387" s="18" t="inlineStr"/>
      <c r="AE387" s="18" t="inlineStr">
        <is>
          <t>sky 8-15</t>
        </is>
      </c>
      <c r="AF387" s="18" t="inlineStr"/>
      <c r="AG387" s="18" t="inlineStr"/>
      <c r="AH387" s="18" t="inlineStr">
        <is>
          <t>주변=minecraft:lightning_rod</t>
        </is>
      </c>
      <c r="AI387" s="18" t="inlineStr"/>
      <c r="AJ387" s="18" t="inlineStr">
        <is>
          <t>Cobblemon 동일</t>
        </is>
      </c>
      <c r="AK387" s="18" t="inlineStr">
        <is>
          <t>사용</t>
        </is>
      </c>
      <c r="AL387" s="18" t="inlineStr">
        <is>
          <t>COBBLEVERSE 1.7.42 / DP v31</t>
        </is>
      </c>
      <c r="AM387" s="18" t="inlineStr">
        <is>
          <t>data/cobblemon/spawn_pool_world/0101_electrode.json</t>
        </is>
      </c>
      <c r="AN387" s="18" t="inlineStr">
        <is>
          <t>electrode-3</t>
        </is>
      </c>
      <c r="AO387" s="18" t="inlineStr">
        <is>
          <t>pokemon</t>
        </is>
      </c>
      <c r="AP387" s="18" t="inlineStr"/>
      <c r="AQ387" s="18" t="inlineStr">
        <is>
          <t>{"biomes":["#cobblemon:is_overworld"],"maxSkyLight":15,"minSkyLight":8,"neededNearbyBlocks":["minecraft:lightning_rod"]}</t>
        </is>
      </c>
      <c r="AR387" s="18" t="inlineStr"/>
      <c r="AS387" s="18" t="inlineStr">
        <is>
          <t>{"weightMultiplier":{"condition":{"isThundering":true},"multiplier":5.0}}</t>
        </is>
      </c>
      <c r="AT387" s="19" t="inlineStr"/>
    </row>
    <row r="388" ht="32" customHeight="1">
      <c r="A388" s="18" t="inlineStr">
        <is>
          <t>0101_electrode.json::electrode-hisuian-4::004</t>
        </is>
      </c>
      <c r="B388" s="19" t="inlineStr">
        <is>
          <t>사용</t>
        </is>
      </c>
      <c r="C388" s="18">
        <f>IF(OR(B388&lt;&gt;AK388,M388&lt;&gt;L388,O388&lt;&gt;"",Q388&lt;&gt;"",V388&lt;&gt;1,Y388&lt;&gt;"",AT388&lt;&gt;""),"수정","원본")</f>
        <v/>
      </c>
      <c r="D388" s="18" t="n">
        <v>101</v>
      </c>
      <c r="E388" s="18" t="inlineStr">
        <is>
          <t>붐볼</t>
        </is>
      </c>
      <c r="F388" s="18" t="inlineStr">
        <is>
          <t>electrode</t>
        </is>
      </c>
      <c r="G388" s="18" t="inlineStr">
        <is>
          <t>electrode hisuian</t>
        </is>
      </c>
      <c r="H388" s="18" t="inlineStr">
        <is>
          <t>hisuian</t>
        </is>
      </c>
      <c r="I388" s="18" t="n">
        <v>1</v>
      </c>
      <c r="J388" s="18" t="n">
        <v>8</v>
      </c>
      <c r="K388" s="18" t="n">
        <v>8</v>
      </c>
      <c r="L388" s="18" t="inlineStr">
        <is>
          <t>cobbleventure:generation_8</t>
        </is>
      </c>
      <c r="M388" s="19" t="inlineStr">
        <is>
          <t>cobbleventure:generation_8</t>
        </is>
      </c>
      <c r="N388" s="18" t="inlineStr">
        <is>
          <t>region_01; region_02</t>
        </is>
      </c>
      <c r="O388" s="19" t="inlineStr"/>
      <c r="P388" s="18" t="inlineStr">
        <is>
          <t>#cobblemon:is_overworld</t>
        </is>
      </c>
      <c r="Q388" s="19" t="inlineStr"/>
      <c r="R388" s="18">
        <f>IF(Q388="",P388,Q388)</f>
        <v/>
      </c>
      <c r="S388" s="18" t="inlineStr"/>
      <c r="T388" s="18" t="inlineStr">
        <is>
          <t>uncommon</t>
        </is>
      </c>
      <c r="U388" s="20" t="n">
        <v>8</v>
      </c>
      <c r="V388" s="21" t="n">
        <v>1</v>
      </c>
      <c r="W388" s="20">
        <f>IF(OR(U388="",V388=""),U388,U388*V388)</f>
        <v/>
      </c>
      <c r="X388" s="18" t="inlineStr">
        <is>
          <t>30-49</t>
        </is>
      </c>
      <c r="Y388" s="19" t="inlineStr"/>
      <c r="Z388" s="18">
        <f>IF(Y388="",X388,Y388)</f>
        <v/>
      </c>
      <c r="AA388" s="18" t="inlineStr">
        <is>
          <t>grounded</t>
        </is>
      </c>
      <c r="AB388" s="18" t="inlineStr"/>
      <c r="AC388" s="18" t="inlineStr"/>
      <c r="AD388" s="18" t="inlineStr"/>
      <c r="AE388" s="18" t="inlineStr">
        <is>
          <t>sky 8-15</t>
        </is>
      </c>
      <c r="AF388" s="18" t="inlineStr"/>
      <c r="AG388" s="18" t="inlineStr"/>
      <c r="AH388" s="18" t="inlineStr">
        <is>
          <t>주변=#cobblemon:apricorns</t>
        </is>
      </c>
      <c r="AI388" s="18" t="inlineStr"/>
      <c r="AJ388" s="18" t="inlineStr">
        <is>
          <t>Cobblemon 동일</t>
        </is>
      </c>
      <c r="AK388" s="18" t="inlineStr">
        <is>
          <t>사용</t>
        </is>
      </c>
      <c r="AL388" s="18" t="inlineStr">
        <is>
          <t>COBBLEVERSE 1.7.42 / DP v31</t>
        </is>
      </c>
      <c r="AM388" s="18" t="inlineStr">
        <is>
          <t>data/cobblemon/spawn_pool_world/0101_electrode.json</t>
        </is>
      </c>
      <c r="AN388" s="18" t="inlineStr">
        <is>
          <t>electrode-hisuian-4</t>
        </is>
      </c>
      <c r="AO388" s="18" t="inlineStr">
        <is>
          <t>pokemon</t>
        </is>
      </c>
      <c r="AP388" s="18" t="inlineStr">
        <is>
          <t>natural</t>
        </is>
      </c>
      <c r="AQ388" s="18" t="inlineStr">
        <is>
          <t>{"biomes":["#cobblemon:is_overworld"],"maxSkyLight":15,"minSkyLight":8,"neededNearbyBlocks":["#cobblemon:apricorns"]}</t>
        </is>
      </c>
      <c r="AR388" s="18" t="inlineStr"/>
      <c r="AS388" s="18" t="inlineStr">
        <is>
          <t>{"weightMultiplier":{"condition":{"isThundering":true},"multiplier":5.0}}</t>
        </is>
      </c>
      <c r="AT388" s="19" t="inlineStr"/>
    </row>
    <row r="389" ht="32" customHeight="1">
      <c r="A389" s="18" t="inlineStr">
        <is>
          <t>0102_exeggcute.json::exeggcute-1::001</t>
        </is>
      </c>
      <c r="B389" s="19" t="inlineStr">
        <is>
          <t>사용</t>
        </is>
      </c>
      <c r="C389" s="18">
        <f>IF(OR(B389&lt;&gt;AK389,M389&lt;&gt;L389,O389&lt;&gt;"",Q389&lt;&gt;"",V389&lt;&gt;1,Y389&lt;&gt;"",AT389&lt;&gt;""),"수정","원본")</f>
        <v/>
      </c>
      <c r="D389" s="18" t="n">
        <v>102</v>
      </c>
      <c r="E389" s="18" t="inlineStr">
        <is>
          <t>아라리</t>
        </is>
      </c>
      <c r="F389" s="18" t="inlineStr">
        <is>
          <t>exeggcute</t>
        </is>
      </c>
      <c r="G389" s="18" t="inlineStr">
        <is>
          <t>exeggcute</t>
        </is>
      </c>
      <c r="H389" s="18" t="inlineStr"/>
      <c r="I389" s="18" t="n">
        <v>1</v>
      </c>
      <c r="J389" s="18" t="n"/>
      <c r="K389" s="18" t="n">
        <v>1</v>
      </c>
      <c r="L389" s="18" t="inlineStr">
        <is>
          <t>cobbleventure:generation_1</t>
        </is>
      </c>
      <c r="M389" s="19" t="inlineStr">
        <is>
          <t>cobbleventure:generation_1</t>
        </is>
      </c>
      <c r="N389" s="18" t="inlineStr"/>
      <c r="O389" s="19" t="inlineStr"/>
      <c r="P389" s="18" t="inlineStr">
        <is>
          <t>#cobblemon:is_jungle; #cobblemon:is_savanna</t>
        </is>
      </c>
      <c r="Q389" s="19" t="inlineStr"/>
      <c r="R389" s="18">
        <f>IF(Q389="",P389,Q389)</f>
        <v/>
      </c>
      <c r="S389" s="18" t="inlineStr"/>
      <c r="T389" s="18" t="inlineStr">
        <is>
          <t>common</t>
        </is>
      </c>
      <c r="U389" s="20" t="n">
        <v>1.9</v>
      </c>
      <c r="V389" s="21" t="n">
        <v>1</v>
      </c>
      <c r="W389" s="20">
        <f>IF(OR(U389="",V389=""),U389,U389*V389)</f>
        <v/>
      </c>
      <c r="X389" s="18" t="inlineStr">
        <is>
          <t>8-33</t>
        </is>
      </c>
      <c r="Y389" s="19" t="inlineStr"/>
      <c r="Z389" s="18">
        <f>IF(Y389="",X389,Y389)</f>
        <v/>
      </c>
      <c r="AA389" s="18" t="inlineStr">
        <is>
          <t>grounded</t>
        </is>
      </c>
      <c r="AB389" s="18" t="inlineStr"/>
      <c r="AC389" s="18" t="inlineStr"/>
      <c r="AD389" s="18" t="inlineStr"/>
      <c r="AE389" s="18" t="inlineStr">
        <is>
          <t>sky 8-15</t>
        </is>
      </c>
      <c r="AF389" s="18" t="inlineStr"/>
      <c r="AG389" s="18" t="inlineStr"/>
      <c r="AH389" s="18" t="inlineStr"/>
      <c r="AI389" s="18" t="inlineStr"/>
      <c r="AJ389" s="18" t="inlineStr">
        <is>
          <t>Cobblemon 동일</t>
        </is>
      </c>
      <c r="AK389" s="18" t="inlineStr">
        <is>
          <t>사용</t>
        </is>
      </c>
      <c r="AL389" s="18" t="inlineStr">
        <is>
          <t>COBBLEVERSE 1.7.42 / DP v31</t>
        </is>
      </c>
      <c r="AM389" s="18" t="inlineStr">
        <is>
          <t>data/cobblemon/spawn_pool_world/0102_exeggcute.json</t>
        </is>
      </c>
      <c r="AN389" s="18" t="inlineStr">
        <is>
          <t>exeggcute-1</t>
        </is>
      </c>
      <c r="AO389" s="18" t="inlineStr">
        <is>
          <t>pokemon</t>
        </is>
      </c>
      <c r="AP389" s="18" t="inlineStr">
        <is>
          <t>natural</t>
        </is>
      </c>
      <c r="AQ389" s="18" t="inlineStr">
        <is>
          <t>{"biomes":["#cobblemon:is_jungle","#cobblemon:is_savanna"],"maxSkyLight":15,"minSkyLight":8}</t>
        </is>
      </c>
      <c r="AR389" s="18" t="inlineStr"/>
      <c r="AS389" s="18" t="inlineStr"/>
      <c r="AT389" s="19" t="inlineStr"/>
    </row>
    <row r="390" ht="32" customHeight="1">
      <c r="A390" s="18" t="inlineStr">
        <is>
          <t>0102_exeggcute.json::exeggcute-alola-2::002</t>
        </is>
      </c>
      <c r="B390" s="19" t="inlineStr">
        <is>
          <t>사용</t>
        </is>
      </c>
      <c r="C390" s="18">
        <f>IF(OR(B390&lt;&gt;AK390,M390&lt;&gt;L390,O390&lt;&gt;"",Q390&lt;&gt;"",V390&lt;&gt;1,Y390&lt;&gt;"",AT390&lt;&gt;""),"수정","원본")</f>
        <v/>
      </c>
      <c r="D390" s="18" t="n">
        <v>102</v>
      </c>
      <c r="E390" s="18" t="inlineStr">
        <is>
          <t>아라리</t>
        </is>
      </c>
      <c r="F390" s="18" t="inlineStr">
        <is>
          <t>exeggcute</t>
        </is>
      </c>
      <c r="G390" s="18" t="inlineStr">
        <is>
          <t>exeggcute region_bias=alola</t>
        </is>
      </c>
      <c r="H390" s="18" t="inlineStr">
        <is>
          <t>region_bias=alola</t>
        </is>
      </c>
      <c r="I390" s="18" t="n">
        <v>1</v>
      </c>
      <c r="J390" s="18" t="n">
        <v>7</v>
      </c>
      <c r="K390" s="18" t="n">
        <v>7</v>
      </c>
      <c r="L390" s="18" t="inlineStr">
        <is>
          <t>cobbleventure:generation_7</t>
        </is>
      </c>
      <c r="M390" s="19" t="inlineStr">
        <is>
          <t>cobbleventure:generation_7</t>
        </is>
      </c>
      <c r="N390" s="18" t="inlineStr"/>
      <c r="O390" s="19" t="inlineStr"/>
      <c r="P390" s="18" t="inlineStr">
        <is>
          <t>#cobblemon:is_beach; #cobblemon:is_tropical_island</t>
        </is>
      </c>
      <c r="Q390" s="19" t="inlineStr"/>
      <c r="R390" s="18">
        <f>IF(Q390="",P390,Q390)</f>
        <v/>
      </c>
      <c r="S390" s="18" t="inlineStr">
        <is>
          <t>#cobblemon:is_freezing</t>
        </is>
      </c>
      <c r="T390" s="18" t="inlineStr">
        <is>
          <t>uncommon</t>
        </is>
      </c>
      <c r="U390" s="20" t="n">
        <v>9.199999999999999</v>
      </c>
      <c r="V390" s="21" t="n">
        <v>1</v>
      </c>
      <c r="W390" s="20">
        <f>IF(OR(U390="",V390=""),U390,U390*V390)</f>
        <v/>
      </c>
      <c r="X390" s="18" t="inlineStr">
        <is>
          <t>8-33</t>
        </is>
      </c>
      <c r="Y390" s="19" t="inlineStr"/>
      <c r="Z390" s="18">
        <f>IF(Y390="",X390,Y390)</f>
        <v/>
      </c>
      <c r="AA390" s="18" t="inlineStr">
        <is>
          <t>grounded</t>
        </is>
      </c>
      <c r="AB390" s="18" t="inlineStr"/>
      <c r="AC390" s="18" t="inlineStr"/>
      <c r="AD390" s="18" t="inlineStr"/>
      <c r="AE390" s="18" t="inlineStr">
        <is>
          <t>sky 8-15</t>
        </is>
      </c>
      <c r="AF390" s="18" t="inlineStr"/>
      <c r="AG390" s="18" t="inlineStr"/>
      <c r="AH390" s="18" t="inlineStr"/>
      <c r="AI390" s="18" t="inlineStr"/>
      <c r="AJ390" s="18" t="inlineStr">
        <is>
          <t>Cobblemon 동일</t>
        </is>
      </c>
      <c r="AK390" s="18" t="inlineStr">
        <is>
          <t>사용</t>
        </is>
      </c>
      <c r="AL390" s="18" t="inlineStr">
        <is>
          <t>COBBLEVERSE 1.7.42 / DP v31</t>
        </is>
      </c>
      <c r="AM390" s="18" t="inlineStr">
        <is>
          <t>data/cobblemon/spawn_pool_world/0102_exeggcute.json</t>
        </is>
      </c>
      <c r="AN390" s="18" t="inlineStr">
        <is>
          <t>exeggcute-alola-2</t>
        </is>
      </c>
      <c r="AO390" s="18" t="inlineStr">
        <is>
          <t>pokemon</t>
        </is>
      </c>
      <c r="AP390" s="18" t="inlineStr">
        <is>
          <t>natural</t>
        </is>
      </c>
      <c r="AQ390" s="18" t="inlineStr">
        <is>
          <t>{"biomes":["#cobblemon:is_beach","#cobblemon:is_tropical_island"],"maxSkyLight":15,"minSkyLight":8}</t>
        </is>
      </c>
      <c r="AR390" s="18" t="inlineStr">
        <is>
          <t>{"biomes":["#cobblemon:is_freezing"]}</t>
        </is>
      </c>
      <c r="AS390" s="18" t="inlineStr"/>
      <c r="AT390" s="19" t="inlineStr"/>
    </row>
    <row r="391" ht="32" customHeight="1">
      <c r="A391" s="18" t="inlineStr">
        <is>
          <t>0103_exeggutor.json::exeggutor-1::001</t>
        </is>
      </c>
      <c r="B391" s="19" t="inlineStr">
        <is>
          <t>사용</t>
        </is>
      </c>
      <c r="C391" s="18">
        <f>IF(OR(B391&lt;&gt;AK391,M391&lt;&gt;L391,O391&lt;&gt;"",Q391&lt;&gt;"",V391&lt;&gt;1,Y391&lt;&gt;"",AT391&lt;&gt;""),"수정","원본")</f>
        <v/>
      </c>
      <c r="D391" s="18" t="n">
        <v>103</v>
      </c>
      <c r="E391" s="18" t="inlineStr">
        <is>
          <t>나시</t>
        </is>
      </c>
      <c r="F391" s="18" t="inlineStr">
        <is>
          <t>exeggutor</t>
        </is>
      </c>
      <c r="G391" s="18" t="inlineStr">
        <is>
          <t>exeggutor</t>
        </is>
      </c>
      <c r="H391" s="18" t="inlineStr"/>
      <c r="I391" s="18" t="n">
        <v>1</v>
      </c>
      <c r="J391" s="18" t="n"/>
      <c r="K391" s="18" t="n">
        <v>1</v>
      </c>
      <c r="L391" s="18" t="inlineStr">
        <is>
          <t>cobbleventure:generation_1</t>
        </is>
      </c>
      <c r="M391" s="19" t="inlineStr">
        <is>
          <t>cobbleventure:generation_1</t>
        </is>
      </c>
      <c r="N391" s="18" t="inlineStr"/>
      <c r="O391" s="19" t="inlineStr"/>
      <c r="P391" s="18" t="inlineStr">
        <is>
          <t>#cobblemon:is_jungle; #cobblemon:is_savanna</t>
        </is>
      </c>
      <c r="Q391" s="19" t="inlineStr"/>
      <c r="R391" s="18">
        <f>IF(Q391="",P391,Q391)</f>
        <v/>
      </c>
      <c r="S391" s="18" t="inlineStr"/>
      <c r="T391" s="18" t="inlineStr">
        <is>
          <t>common</t>
        </is>
      </c>
      <c r="U391" s="20" t="n">
        <v>0.1</v>
      </c>
      <c r="V391" s="21" t="n">
        <v>1</v>
      </c>
      <c r="W391" s="20">
        <f>IF(OR(U391="",V391=""),U391,U391*V391)</f>
        <v/>
      </c>
      <c r="X391" s="18" t="inlineStr">
        <is>
          <t>28-53</t>
        </is>
      </c>
      <c r="Y391" s="19" t="inlineStr"/>
      <c r="Z391" s="18">
        <f>IF(Y391="",X391,Y391)</f>
        <v/>
      </c>
      <c r="AA391" s="18" t="inlineStr">
        <is>
          <t>grounded</t>
        </is>
      </c>
      <c r="AB391" s="18" t="inlineStr"/>
      <c r="AC391" s="18" t="inlineStr"/>
      <c r="AD391" s="18" t="inlineStr"/>
      <c r="AE391" s="18" t="inlineStr">
        <is>
          <t>sky 8-15</t>
        </is>
      </c>
      <c r="AF391" s="18" t="inlineStr"/>
      <c r="AG391" s="18" t="inlineStr"/>
      <c r="AH391" s="18" t="inlineStr"/>
      <c r="AI391" s="18" t="inlineStr"/>
      <c r="AJ391" s="18" t="inlineStr">
        <is>
          <t>Cobblemon 동일</t>
        </is>
      </c>
      <c r="AK391" s="18" t="inlineStr">
        <is>
          <t>사용</t>
        </is>
      </c>
      <c r="AL391" s="18" t="inlineStr">
        <is>
          <t>COBBLEVERSE 1.7.42 / DP v31</t>
        </is>
      </c>
      <c r="AM391" s="18" t="inlineStr">
        <is>
          <t>data/cobblemon/spawn_pool_world/0103_exeggutor.json</t>
        </is>
      </c>
      <c r="AN391" s="18" t="inlineStr">
        <is>
          <t>exeggutor-1</t>
        </is>
      </c>
      <c r="AO391" s="18" t="inlineStr">
        <is>
          <t>pokemon</t>
        </is>
      </c>
      <c r="AP391" s="18" t="inlineStr">
        <is>
          <t>natural</t>
        </is>
      </c>
      <c r="AQ391" s="18" t="inlineStr">
        <is>
          <t>{"biomes":["#cobblemon:is_jungle","#cobblemon:is_savanna"],"maxSkyLight":15,"minSkyLight":8}</t>
        </is>
      </c>
      <c r="AR391" s="18" t="inlineStr"/>
      <c r="AS391" s="18" t="inlineStr"/>
      <c r="AT391" s="19" t="inlineStr"/>
    </row>
    <row r="392" ht="32" customHeight="1">
      <c r="A392" s="18" t="inlineStr">
        <is>
          <t>0103_exeggutor.json::exeggutor-alolan-2::002</t>
        </is>
      </c>
      <c r="B392" s="19" t="inlineStr">
        <is>
          <t>사용</t>
        </is>
      </c>
      <c r="C392" s="18">
        <f>IF(OR(B392&lt;&gt;AK392,M392&lt;&gt;L392,O392&lt;&gt;"",Q392&lt;&gt;"",V392&lt;&gt;1,Y392&lt;&gt;"",AT392&lt;&gt;""),"수정","원본")</f>
        <v/>
      </c>
      <c r="D392" s="18" t="n">
        <v>103</v>
      </c>
      <c r="E392" s="18" t="inlineStr">
        <is>
          <t>나시</t>
        </is>
      </c>
      <c r="F392" s="18" t="inlineStr">
        <is>
          <t>exeggutor</t>
        </is>
      </c>
      <c r="G392" s="18" t="inlineStr">
        <is>
          <t>exeggutor alolan</t>
        </is>
      </c>
      <c r="H392" s="18" t="inlineStr">
        <is>
          <t>alolan</t>
        </is>
      </c>
      <c r="I392" s="18" t="n">
        <v>1</v>
      </c>
      <c r="J392" s="18" t="n">
        <v>7</v>
      </c>
      <c r="K392" s="18" t="n">
        <v>7</v>
      </c>
      <c r="L392" s="18" t="inlineStr">
        <is>
          <t>cobbleventure:generation_7</t>
        </is>
      </c>
      <c r="M392" s="19" t="inlineStr">
        <is>
          <t>cobbleventure:generation_7</t>
        </is>
      </c>
      <c r="N392" s="18" t="inlineStr"/>
      <c r="O392" s="19" t="inlineStr"/>
      <c r="P392" s="18" t="inlineStr">
        <is>
          <t>#cobblemon:is_beach; #cobblemon:is_tropical_island</t>
        </is>
      </c>
      <c r="Q392" s="19" t="inlineStr"/>
      <c r="R392" s="18">
        <f>IF(Q392="",P392,Q392)</f>
        <v/>
      </c>
      <c r="S392" s="18" t="inlineStr">
        <is>
          <t>#cobblemon:is_freezing</t>
        </is>
      </c>
      <c r="T392" s="18" t="inlineStr">
        <is>
          <t>uncommon</t>
        </is>
      </c>
      <c r="U392" s="20" t="n">
        <v>0.8</v>
      </c>
      <c r="V392" s="21" t="n">
        <v>1</v>
      </c>
      <c r="W392" s="20">
        <f>IF(OR(U392="",V392=""),U392,U392*V392)</f>
        <v/>
      </c>
      <c r="X392" s="18" t="inlineStr">
        <is>
          <t>28-53</t>
        </is>
      </c>
      <c r="Y392" s="19" t="inlineStr"/>
      <c r="Z392" s="18">
        <f>IF(Y392="",X392,Y392)</f>
        <v/>
      </c>
      <c r="AA392" s="18" t="inlineStr">
        <is>
          <t>grounded</t>
        </is>
      </c>
      <c r="AB392" s="18" t="inlineStr"/>
      <c r="AC392" s="18" t="inlineStr"/>
      <c r="AD392" s="18" t="inlineStr"/>
      <c r="AE392" s="18" t="inlineStr">
        <is>
          <t>sky 8-15</t>
        </is>
      </c>
      <c r="AF392" s="18" t="inlineStr"/>
      <c r="AG392" s="18" t="inlineStr"/>
      <c r="AH392" s="18" t="inlineStr"/>
      <c r="AI392" s="18" t="inlineStr"/>
      <c r="AJ392" s="18" t="inlineStr">
        <is>
          <t>Cobblemon 동일</t>
        </is>
      </c>
      <c r="AK392" s="18" t="inlineStr">
        <is>
          <t>사용</t>
        </is>
      </c>
      <c r="AL392" s="18" t="inlineStr">
        <is>
          <t>COBBLEVERSE 1.7.42 / DP v31</t>
        </is>
      </c>
      <c r="AM392" s="18" t="inlineStr">
        <is>
          <t>data/cobblemon/spawn_pool_world/0103_exeggutor.json</t>
        </is>
      </c>
      <c r="AN392" s="18" t="inlineStr">
        <is>
          <t>exeggutor-alolan-2</t>
        </is>
      </c>
      <c r="AO392" s="18" t="inlineStr">
        <is>
          <t>pokemon</t>
        </is>
      </c>
      <c r="AP392" s="18" t="inlineStr">
        <is>
          <t>natural</t>
        </is>
      </c>
      <c r="AQ392" s="18" t="inlineStr">
        <is>
          <t>{"biomes":["#cobblemon:is_beach","#cobblemon:is_tropical_island"],"maxSkyLight":15,"minSkyLight":8}</t>
        </is>
      </c>
      <c r="AR392" s="18" t="inlineStr">
        <is>
          <t>{"biomes":["#cobblemon:is_freezing"]}</t>
        </is>
      </c>
      <c r="AS392" s="18" t="inlineStr"/>
      <c r="AT392" s="19" t="inlineStr"/>
    </row>
    <row r="393" ht="32" customHeight="1">
      <c r="A393" s="18" t="inlineStr">
        <is>
          <t>0104_cubone.json::cubone-1::001</t>
        </is>
      </c>
      <c r="B393" s="19" t="inlineStr">
        <is>
          <t>사용</t>
        </is>
      </c>
      <c r="C393" s="18">
        <f>IF(OR(B393&lt;&gt;AK393,M393&lt;&gt;L393,O393&lt;&gt;"",Q393&lt;&gt;"",V393&lt;&gt;1,Y393&lt;&gt;"",AT393&lt;&gt;""),"수정","원본")</f>
        <v/>
      </c>
      <c r="D393" s="18" t="n">
        <v>104</v>
      </c>
      <c r="E393" s="18" t="inlineStr">
        <is>
          <t>탕구리</t>
        </is>
      </c>
      <c r="F393" s="18" t="inlineStr">
        <is>
          <t>cubone</t>
        </is>
      </c>
      <c r="G393" s="18" t="inlineStr">
        <is>
          <t>cubone</t>
        </is>
      </c>
      <c r="H393" s="18" t="inlineStr"/>
      <c r="I393" s="18" t="n">
        <v>1</v>
      </c>
      <c r="J393" s="18" t="n"/>
      <c r="K393" s="18" t="n">
        <v>1</v>
      </c>
      <c r="L393" s="18" t="inlineStr">
        <is>
          <t>cobbleventure:generation_1</t>
        </is>
      </c>
      <c r="M393" s="19" t="inlineStr">
        <is>
          <t>cobbleventure:generation_1</t>
        </is>
      </c>
      <c r="N393" s="18" t="inlineStr">
        <is>
          <t>region_02</t>
        </is>
      </c>
      <c r="O393" s="19" t="inlineStr"/>
      <c r="P393" s="18" t="inlineStr">
        <is>
          <t>#cobblemon:is_badlands; #cobblemon:is_desert</t>
        </is>
      </c>
      <c r="Q393" s="19" t="inlineStr"/>
      <c r="R393" s="18">
        <f>IF(Q393="",P393,Q393)</f>
        <v/>
      </c>
      <c r="S393" s="18" t="inlineStr"/>
      <c r="T393" s="18" t="inlineStr">
        <is>
          <t>common</t>
        </is>
      </c>
      <c r="U393" s="20" t="n">
        <v>1.8</v>
      </c>
      <c r="V393" s="21" t="n">
        <v>1</v>
      </c>
      <c r="W393" s="20">
        <f>IF(OR(U393="",V393=""),U393,U393*V393)</f>
        <v/>
      </c>
      <c r="X393" s="18" t="inlineStr">
        <is>
          <t>7-32</t>
        </is>
      </c>
      <c r="Y393" s="19" t="inlineStr"/>
      <c r="Z393" s="18">
        <f>IF(Y393="",X393,Y393)</f>
        <v/>
      </c>
      <c r="AA393" s="18" t="inlineStr">
        <is>
          <t>grounded</t>
        </is>
      </c>
      <c r="AB393" s="18" t="inlineStr"/>
      <c r="AC393" s="18" t="inlineStr"/>
      <c r="AD393" s="18" t="inlineStr"/>
      <c r="AE393" s="18" t="inlineStr">
        <is>
          <t>sky 8-15</t>
        </is>
      </c>
      <c r="AF393" s="18" t="inlineStr"/>
      <c r="AG393" s="18" t="inlineStr"/>
      <c r="AH393" s="18" t="inlineStr"/>
      <c r="AI393" s="18" t="inlineStr"/>
      <c r="AJ393" s="18" t="inlineStr">
        <is>
          <t>Cobblemon 동일</t>
        </is>
      </c>
      <c r="AK393" s="18" t="inlineStr">
        <is>
          <t>사용</t>
        </is>
      </c>
      <c r="AL393" s="18" t="inlineStr">
        <is>
          <t>COBBLEVERSE 1.7.42 / DP v31</t>
        </is>
      </c>
      <c r="AM393" s="18" t="inlineStr">
        <is>
          <t>data/cobblemon/spawn_pool_world/0104_cubone.json</t>
        </is>
      </c>
      <c r="AN393" s="18" t="inlineStr">
        <is>
          <t>cubone-1</t>
        </is>
      </c>
      <c r="AO393" s="18" t="inlineStr">
        <is>
          <t>pokemon</t>
        </is>
      </c>
      <c r="AP393" s="18" t="inlineStr">
        <is>
          <t>natural; wild</t>
        </is>
      </c>
      <c r="AQ393" s="18" t="inlineStr">
        <is>
          <t>{"biomes":["#cobblemon:is_badlands","#cobblemon:is_desert"],"maxSkyLight":15,"minSkyLight":8}</t>
        </is>
      </c>
      <c r="AR393" s="18" t="inlineStr"/>
      <c r="AS393" s="18" t="inlineStr"/>
      <c r="AT393" s="19" t="inlineStr"/>
    </row>
    <row r="394" ht="32" customHeight="1">
      <c r="A394" s="18" t="inlineStr">
        <is>
          <t>0104_cubone.json::cubone-alola-2::002</t>
        </is>
      </c>
      <c r="B394" s="19" t="inlineStr">
        <is>
          <t>사용</t>
        </is>
      </c>
      <c r="C394" s="18">
        <f>IF(OR(B394&lt;&gt;AK394,M394&lt;&gt;L394,O394&lt;&gt;"",Q394&lt;&gt;"",V394&lt;&gt;1,Y394&lt;&gt;"",AT394&lt;&gt;""),"수정","원본")</f>
        <v/>
      </c>
      <c r="D394" s="18" t="n">
        <v>104</v>
      </c>
      <c r="E394" s="18" t="inlineStr">
        <is>
          <t>탕구리</t>
        </is>
      </c>
      <c r="F394" s="18" t="inlineStr">
        <is>
          <t>cubone</t>
        </is>
      </c>
      <c r="G394" s="18" t="inlineStr">
        <is>
          <t>cubone region_bias=alola</t>
        </is>
      </c>
      <c r="H394" s="18" t="inlineStr">
        <is>
          <t>region_bias=alola</t>
        </is>
      </c>
      <c r="I394" s="18" t="n">
        <v>1</v>
      </c>
      <c r="J394" s="18" t="n">
        <v>7</v>
      </c>
      <c r="K394" s="18" t="n">
        <v>7</v>
      </c>
      <c r="L394" s="18" t="inlineStr">
        <is>
          <t>cobbleventure:generation_7</t>
        </is>
      </c>
      <c r="M394" s="19" t="inlineStr">
        <is>
          <t>cobbleventure:generation_7</t>
        </is>
      </c>
      <c r="N394" s="18" t="inlineStr"/>
      <c r="O394" s="19" t="inlineStr"/>
      <c r="P394" s="18" t="inlineStr">
        <is>
          <t>#cobblemon:is_volcanic</t>
        </is>
      </c>
      <c r="Q394" s="19" t="inlineStr"/>
      <c r="R394" s="18">
        <f>IF(Q394="",P394,Q394)</f>
        <v/>
      </c>
      <c r="S394" s="18" t="inlineStr"/>
      <c r="T394" s="18" t="inlineStr">
        <is>
          <t>common</t>
        </is>
      </c>
      <c r="U394" s="20" t="n">
        <v>5.4</v>
      </c>
      <c r="V394" s="21" t="n">
        <v>1</v>
      </c>
      <c r="W394" s="20">
        <f>IF(OR(U394="",V394=""),U394,U394*V394)</f>
        <v/>
      </c>
      <c r="X394" s="18" t="inlineStr">
        <is>
          <t>7-32</t>
        </is>
      </c>
      <c r="Y394" s="19" t="inlineStr"/>
      <c r="Z394" s="18">
        <f>IF(Y394="",X394,Y394)</f>
        <v/>
      </c>
      <c r="AA394" s="18" t="inlineStr">
        <is>
          <t>grounded</t>
        </is>
      </c>
      <c r="AB394" s="18" t="inlineStr"/>
      <c r="AC394" s="18" t="inlineStr"/>
      <c r="AD394" s="18" t="inlineStr"/>
      <c r="AE394" s="18" t="inlineStr">
        <is>
          <t>sky 8-15</t>
        </is>
      </c>
      <c r="AF394" s="18" t="inlineStr"/>
      <c r="AG394" s="18" t="inlineStr"/>
      <c r="AH394" s="18" t="inlineStr"/>
      <c r="AI394" s="18" t="inlineStr"/>
      <c r="AJ394" s="18" t="inlineStr">
        <is>
          <t>Cobblemon 동일</t>
        </is>
      </c>
      <c r="AK394" s="18" t="inlineStr">
        <is>
          <t>사용</t>
        </is>
      </c>
      <c r="AL394" s="18" t="inlineStr">
        <is>
          <t>COBBLEVERSE 1.7.42 / DP v31</t>
        </is>
      </c>
      <c r="AM394" s="18" t="inlineStr">
        <is>
          <t>data/cobblemon/spawn_pool_world/0104_cubone.json</t>
        </is>
      </c>
      <c r="AN394" s="18" t="inlineStr">
        <is>
          <t>cubone-alola-2</t>
        </is>
      </c>
      <c r="AO394" s="18" t="inlineStr">
        <is>
          <t>pokemon</t>
        </is>
      </c>
      <c r="AP394" s="18" t="inlineStr">
        <is>
          <t>natural; wild</t>
        </is>
      </c>
      <c r="AQ394" s="18" t="inlineStr">
        <is>
          <t>{"biomes":["#cobblemon:is_volcanic"],"maxSkyLight":15,"minSkyLight":8}</t>
        </is>
      </c>
      <c r="AR394" s="18" t="inlineStr"/>
      <c r="AS394" s="18" t="inlineStr"/>
      <c r="AT394" s="19" t="inlineStr"/>
    </row>
    <row r="395" ht="32" customHeight="1">
      <c r="A395" s="18" t="inlineStr">
        <is>
          <t>0104_cubone.json::cubone-alola-3::003</t>
        </is>
      </c>
      <c r="B395" s="19" t="inlineStr">
        <is>
          <t>사용</t>
        </is>
      </c>
      <c r="C395" s="18">
        <f>IF(OR(B395&lt;&gt;AK395,M395&lt;&gt;L395,O395&lt;&gt;"",Q395&lt;&gt;"",V395&lt;&gt;1,Y395&lt;&gt;"",AT395&lt;&gt;""),"수정","원본")</f>
        <v/>
      </c>
      <c r="D395" s="18" t="n">
        <v>104</v>
      </c>
      <c r="E395" s="18" t="inlineStr">
        <is>
          <t>탕구리</t>
        </is>
      </c>
      <c r="F395" s="18" t="inlineStr">
        <is>
          <t>cubone</t>
        </is>
      </c>
      <c r="G395" s="18" t="inlineStr">
        <is>
          <t>cubone region_bias=alola</t>
        </is>
      </c>
      <c r="H395" s="18" t="inlineStr">
        <is>
          <t>region_bias=alola</t>
        </is>
      </c>
      <c r="I395" s="18" t="n">
        <v>1</v>
      </c>
      <c r="J395" s="18" t="n">
        <v>7</v>
      </c>
      <c r="K395" s="18" t="n">
        <v>7</v>
      </c>
      <c r="L395" s="18" t="inlineStr">
        <is>
          <t>cobbleventure:generation_7</t>
        </is>
      </c>
      <c r="M395" s="19" t="inlineStr">
        <is>
          <t>cobbleventure:generation_7</t>
        </is>
      </c>
      <c r="N395" s="18" t="inlineStr"/>
      <c r="O395" s="19" t="inlineStr"/>
      <c r="P395" s="18" t="inlineStr">
        <is>
          <t>#cobblemon:nether/is_desert</t>
        </is>
      </c>
      <c r="Q395" s="19" t="inlineStr"/>
      <c r="R395" s="18">
        <f>IF(Q395="",P395,Q395)</f>
        <v/>
      </c>
      <c r="S395" s="18" t="inlineStr"/>
      <c r="T395" s="18" t="inlineStr">
        <is>
          <t>common</t>
        </is>
      </c>
      <c r="U395" s="20" t="n">
        <v>9</v>
      </c>
      <c r="V395" s="21" t="n">
        <v>1</v>
      </c>
      <c r="W395" s="20">
        <f>IF(OR(U395="",V395=""),U395,U395*V395)</f>
        <v/>
      </c>
      <c r="X395" s="18" t="inlineStr">
        <is>
          <t>7-32</t>
        </is>
      </c>
      <c r="Y395" s="19" t="inlineStr"/>
      <c r="Z395" s="18">
        <f>IF(Y395="",X395,Y395)</f>
        <v/>
      </c>
      <c r="AA395" s="18" t="inlineStr">
        <is>
          <t>grounded</t>
        </is>
      </c>
      <c r="AB395" s="18" t="inlineStr"/>
      <c r="AC395" s="18" t="inlineStr"/>
      <c r="AD395" s="18" t="inlineStr"/>
      <c r="AE395" s="18" t="inlineStr"/>
      <c r="AF395" s="18" t="inlineStr"/>
      <c r="AG395" s="18" t="inlineStr"/>
      <c r="AH395" s="18" t="inlineStr"/>
      <c r="AI395" s="18" t="inlineStr"/>
      <c r="AJ395" s="18" t="inlineStr">
        <is>
          <t>Cobblemon 동일</t>
        </is>
      </c>
      <c r="AK395" s="18" t="inlineStr">
        <is>
          <t>사용</t>
        </is>
      </c>
      <c r="AL395" s="18" t="inlineStr">
        <is>
          <t>COBBLEVERSE 1.7.42 / DP v31</t>
        </is>
      </c>
      <c r="AM395" s="18" t="inlineStr">
        <is>
          <t>data/cobblemon/spawn_pool_world/0104_cubone.json</t>
        </is>
      </c>
      <c r="AN395" s="18" t="inlineStr">
        <is>
          <t>cubone-alola-3</t>
        </is>
      </c>
      <c r="AO395" s="18" t="inlineStr">
        <is>
          <t>pokemon</t>
        </is>
      </c>
      <c r="AP395" s="18" t="inlineStr">
        <is>
          <t>natural; wild</t>
        </is>
      </c>
      <c r="AQ395" s="18" t="inlineStr">
        <is>
          <t>{"biomes":["#cobblemon:nether/is_desert"]}</t>
        </is>
      </c>
      <c r="AR395" s="18" t="inlineStr"/>
      <c r="AS395" s="18" t="inlineStr"/>
      <c r="AT395" s="19" t="inlineStr"/>
    </row>
    <row r="396" ht="32" customHeight="1">
      <c r="A396" s="18" t="inlineStr">
        <is>
          <t>0105_marowak.json::marowak-1::001</t>
        </is>
      </c>
      <c r="B396" s="19" t="inlineStr">
        <is>
          <t>사용</t>
        </is>
      </c>
      <c r="C396" s="18">
        <f>IF(OR(B396&lt;&gt;AK396,M396&lt;&gt;L396,O396&lt;&gt;"",Q396&lt;&gt;"",V396&lt;&gt;1,Y396&lt;&gt;"",AT396&lt;&gt;""),"수정","원본")</f>
        <v/>
      </c>
      <c r="D396" s="18" t="n">
        <v>105</v>
      </c>
      <c r="E396" s="18" t="inlineStr">
        <is>
          <t>텅구리</t>
        </is>
      </c>
      <c r="F396" s="18" t="inlineStr">
        <is>
          <t>marowak</t>
        </is>
      </c>
      <c r="G396" s="18" t="inlineStr">
        <is>
          <t>marowak</t>
        </is>
      </c>
      <c r="H396" s="18" t="inlineStr"/>
      <c r="I396" s="18" t="n">
        <v>1</v>
      </c>
      <c r="J396" s="18" t="n"/>
      <c r="K396" s="18" t="n">
        <v>1</v>
      </c>
      <c r="L396" s="18" t="inlineStr">
        <is>
          <t>cobbleventure:generation_1</t>
        </is>
      </c>
      <c r="M396" s="19" t="inlineStr">
        <is>
          <t>cobbleventure:generation_1</t>
        </is>
      </c>
      <c r="N396" s="18" t="inlineStr">
        <is>
          <t>region_02</t>
        </is>
      </c>
      <c r="O396" s="19" t="inlineStr"/>
      <c r="P396" s="18" t="inlineStr">
        <is>
          <t>#cobblemon:is_badlands; #cobblemon:is_desert</t>
        </is>
      </c>
      <c r="Q396" s="19" t="inlineStr"/>
      <c r="R396" s="18">
        <f>IF(Q396="",P396,Q396)</f>
        <v/>
      </c>
      <c r="S396" s="18" t="inlineStr"/>
      <c r="T396" s="18" t="inlineStr">
        <is>
          <t>common</t>
        </is>
      </c>
      <c r="U396" s="20" t="n">
        <v>0.2</v>
      </c>
      <c r="V396" s="21" t="n">
        <v>1</v>
      </c>
      <c r="W396" s="20">
        <f>IF(OR(U396="",V396=""),U396,U396*V396)</f>
        <v/>
      </c>
      <c r="X396" s="18" t="inlineStr">
        <is>
          <t>28-43</t>
        </is>
      </c>
      <c r="Y396" s="19" t="inlineStr"/>
      <c r="Z396" s="18">
        <f>IF(Y396="",X396,Y396)</f>
        <v/>
      </c>
      <c r="AA396" s="18" t="inlineStr">
        <is>
          <t>grounded</t>
        </is>
      </c>
      <c r="AB396" s="18" t="inlineStr"/>
      <c r="AC396" s="18" t="inlineStr"/>
      <c r="AD396" s="18" t="inlineStr"/>
      <c r="AE396" s="18" t="inlineStr">
        <is>
          <t>sky 8-15</t>
        </is>
      </c>
      <c r="AF396" s="18" t="inlineStr"/>
      <c r="AG396" s="18" t="inlineStr"/>
      <c r="AH396" s="18" t="inlineStr"/>
      <c r="AI396" s="18" t="inlineStr"/>
      <c r="AJ396" s="18" t="inlineStr">
        <is>
          <t>Cobblemon 동일</t>
        </is>
      </c>
      <c r="AK396" s="18" t="inlineStr">
        <is>
          <t>사용</t>
        </is>
      </c>
      <c r="AL396" s="18" t="inlineStr">
        <is>
          <t>COBBLEVERSE 1.7.42 / DP v31</t>
        </is>
      </c>
      <c r="AM396" s="18" t="inlineStr">
        <is>
          <t>data/cobblemon/spawn_pool_world/0105_marowak.json</t>
        </is>
      </c>
      <c r="AN396" s="18" t="inlineStr">
        <is>
          <t>marowak-1</t>
        </is>
      </c>
      <c r="AO396" s="18" t="inlineStr">
        <is>
          <t>pokemon</t>
        </is>
      </c>
      <c r="AP396" s="18" t="inlineStr">
        <is>
          <t>natural; wild</t>
        </is>
      </c>
      <c r="AQ396" s="18" t="inlineStr">
        <is>
          <t>{"biomes":["#cobblemon:is_badlands","#cobblemon:is_desert"],"maxSkyLight":15,"minSkyLight":8}</t>
        </is>
      </c>
      <c r="AR396" s="18" t="inlineStr"/>
      <c r="AS396" s="18" t="inlineStr"/>
      <c r="AT396" s="19" t="inlineStr"/>
    </row>
    <row r="397" ht="32" customHeight="1">
      <c r="A397" s="18" t="inlineStr">
        <is>
          <t>0105_marowak.json::marowak-alolan-2::002</t>
        </is>
      </c>
      <c r="B397" s="19" t="inlineStr">
        <is>
          <t>사용</t>
        </is>
      </c>
      <c r="C397" s="18">
        <f>IF(OR(B397&lt;&gt;AK397,M397&lt;&gt;L397,O397&lt;&gt;"",Q397&lt;&gt;"",V397&lt;&gt;1,Y397&lt;&gt;"",AT397&lt;&gt;""),"수정","원본")</f>
        <v/>
      </c>
      <c r="D397" s="18" t="n">
        <v>105</v>
      </c>
      <c r="E397" s="18" t="inlineStr">
        <is>
          <t>텅구리</t>
        </is>
      </c>
      <c r="F397" s="18" t="inlineStr">
        <is>
          <t>marowak</t>
        </is>
      </c>
      <c r="G397" s="18" t="inlineStr">
        <is>
          <t>marowak alolan</t>
        </is>
      </c>
      <c r="H397" s="18" t="inlineStr">
        <is>
          <t>alolan</t>
        </is>
      </c>
      <c r="I397" s="18" t="n">
        <v>1</v>
      </c>
      <c r="J397" s="18" t="n">
        <v>7</v>
      </c>
      <c r="K397" s="18" t="n">
        <v>7</v>
      </c>
      <c r="L397" s="18" t="inlineStr">
        <is>
          <t>cobbleventure:generation_7</t>
        </is>
      </c>
      <c r="M397" s="19" t="inlineStr">
        <is>
          <t>cobbleventure:generation_7</t>
        </is>
      </c>
      <c r="N397" s="18" t="inlineStr"/>
      <c r="O397" s="19" t="inlineStr"/>
      <c r="P397" s="18" t="inlineStr">
        <is>
          <t>#cobblemon:is_volcanic</t>
        </is>
      </c>
      <c r="Q397" s="19" t="inlineStr"/>
      <c r="R397" s="18">
        <f>IF(Q397="",P397,Q397)</f>
        <v/>
      </c>
      <c r="S397" s="18" t="inlineStr"/>
      <c r="T397" s="18" t="inlineStr">
        <is>
          <t>common</t>
        </is>
      </c>
      <c r="U397" s="20" t="n">
        <v>0.6</v>
      </c>
      <c r="V397" s="21" t="n">
        <v>1</v>
      </c>
      <c r="W397" s="20">
        <f>IF(OR(U397="",V397=""),U397,U397*V397)</f>
        <v/>
      </c>
      <c r="X397" s="18" t="inlineStr">
        <is>
          <t>28-43</t>
        </is>
      </c>
      <c r="Y397" s="19" t="inlineStr"/>
      <c r="Z397" s="18">
        <f>IF(Y397="",X397,Y397)</f>
        <v/>
      </c>
      <c r="AA397" s="18" t="inlineStr">
        <is>
          <t>grounded</t>
        </is>
      </c>
      <c r="AB397" s="18" t="inlineStr"/>
      <c r="AC397" s="18" t="inlineStr"/>
      <c r="AD397" s="18" t="inlineStr"/>
      <c r="AE397" s="18" t="inlineStr">
        <is>
          <t>sky 8-15</t>
        </is>
      </c>
      <c r="AF397" s="18" t="inlineStr"/>
      <c r="AG397" s="18" t="inlineStr"/>
      <c r="AH397" s="18" t="inlineStr"/>
      <c r="AI397" s="18" t="inlineStr"/>
      <c r="AJ397" s="18" t="inlineStr">
        <is>
          <t>Cobblemon 동일</t>
        </is>
      </c>
      <c r="AK397" s="18" t="inlineStr">
        <is>
          <t>사용</t>
        </is>
      </c>
      <c r="AL397" s="18" t="inlineStr">
        <is>
          <t>COBBLEVERSE 1.7.42 / DP v31</t>
        </is>
      </c>
      <c r="AM397" s="18" t="inlineStr">
        <is>
          <t>data/cobblemon/spawn_pool_world/0105_marowak.json</t>
        </is>
      </c>
      <c r="AN397" s="18" t="inlineStr">
        <is>
          <t>marowak-alolan-2</t>
        </is>
      </c>
      <c r="AO397" s="18" t="inlineStr">
        <is>
          <t>pokemon</t>
        </is>
      </c>
      <c r="AP397" s="18" t="inlineStr">
        <is>
          <t>natural; wild</t>
        </is>
      </c>
      <c r="AQ397" s="18" t="inlineStr">
        <is>
          <t>{"biomes":["#cobblemon:is_volcanic"],"maxSkyLight":15,"minSkyLight":8}</t>
        </is>
      </c>
      <c r="AR397" s="18" t="inlineStr"/>
      <c r="AS397" s="18" t="inlineStr"/>
      <c r="AT397" s="19" t="inlineStr"/>
    </row>
    <row r="398" ht="32" customHeight="1">
      <c r="A398" s="18" t="inlineStr">
        <is>
          <t>0105_marowak.json::marowak-alolan-3::003</t>
        </is>
      </c>
      <c r="B398" s="19" t="inlineStr">
        <is>
          <t>사용</t>
        </is>
      </c>
      <c r="C398" s="18">
        <f>IF(OR(B398&lt;&gt;AK398,M398&lt;&gt;L398,O398&lt;&gt;"",Q398&lt;&gt;"",V398&lt;&gt;1,Y398&lt;&gt;"",AT398&lt;&gt;""),"수정","원본")</f>
        <v/>
      </c>
      <c r="D398" s="18" t="n">
        <v>105</v>
      </c>
      <c r="E398" s="18" t="inlineStr">
        <is>
          <t>텅구리</t>
        </is>
      </c>
      <c r="F398" s="18" t="inlineStr">
        <is>
          <t>marowak</t>
        </is>
      </c>
      <c r="G398" s="18" t="inlineStr">
        <is>
          <t>marowak alolan</t>
        </is>
      </c>
      <c r="H398" s="18" t="inlineStr">
        <is>
          <t>alolan</t>
        </is>
      </c>
      <c r="I398" s="18" t="n">
        <v>1</v>
      </c>
      <c r="J398" s="18" t="n">
        <v>7</v>
      </c>
      <c r="K398" s="18" t="n">
        <v>7</v>
      </c>
      <c r="L398" s="18" t="inlineStr">
        <is>
          <t>cobbleventure:generation_7</t>
        </is>
      </c>
      <c r="M398" s="19" t="inlineStr">
        <is>
          <t>cobbleventure:generation_7</t>
        </is>
      </c>
      <c r="N398" s="18" t="inlineStr"/>
      <c r="O398" s="19" t="inlineStr"/>
      <c r="P398" s="18" t="inlineStr">
        <is>
          <t>#cobblemon:nether/is_desert</t>
        </is>
      </c>
      <c r="Q398" s="19" t="inlineStr"/>
      <c r="R398" s="18">
        <f>IF(Q398="",P398,Q398)</f>
        <v/>
      </c>
      <c r="S398" s="18" t="inlineStr"/>
      <c r="T398" s="18" t="inlineStr">
        <is>
          <t>common</t>
        </is>
      </c>
      <c r="U398" s="20" t="n">
        <v>1</v>
      </c>
      <c r="V398" s="21" t="n">
        <v>1</v>
      </c>
      <c r="W398" s="20">
        <f>IF(OR(U398="",V398=""),U398,U398*V398)</f>
        <v/>
      </c>
      <c r="X398" s="18" t="inlineStr">
        <is>
          <t>28-43</t>
        </is>
      </c>
      <c r="Y398" s="19" t="inlineStr"/>
      <c r="Z398" s="18">
        <f>IF(Y398="",X398,Y398)</f>
        <v/>
      </c>
      <c r="AA398" s="18" t="inlineStr">
        <is>
          <t>grounded</t>
        </is>
      </c>
      <c r="AB398" s="18" t="inlineStr"/>
      <c r="AC398" s="18" t="inlineStr"/>
      <c r="AD398" s="18" t="inlineStr"/>
      <c r="AE398" s="18" t="inlineStr"/>
      <c r="AF398" s="18" t="inlineStr"/>
      <c r="AG398" s="18" t="inlineStr"/>
      <c r="AH398" s="18" t="inlineStr"/>
      <c r="AI398" s="18" t="inlineStr"/>
      <c r="AJ398" s="18" t="inlineStr">
        <is>
          <t>Cobblemon 동일</t>
        </is>
      </c>
      <c r="AK398" s="18" t="inlineStr">
        <is>
          <t>사용</t>
        </is>
      </c>
      <c r="AL398" s="18" t="inlineStr">
        <is>
          <t>COBBLEVERSE 1.7.42 / DP v31</t>
        </is>
      </c>
      <c r="AM398" s="18" t="inlineStr">
        <is>
          <t>data/cobblemon/spawn_pool_world/0105_marowak.json</t>
        </is>
      </c>
      <c r="AN398" s="18" t="inlineStr">
        <is>
          <t>marowak-alolan-3</t>
        </is>
      </c>
      <c r="AO398" s="18" t="inlineStr">
        <is>
          <t>pokemon</t>
        </is>
      </c>
      <c r="AP398" s="18" t="inlineStr">
        <is>
          <t>natural; wild</t>
        </is>
      </c>
      <c r="AQ398" s="18" t="inlineStr">
        <is>
          <t>{"biomes":["#cobblemon:nether/is_desert"]}</t>
        </is>
      </c>
      <c r="AR398" s="18" t="inlineStr"/>
      <c r="AS398" s="18" t="inlineStr"/>
      <c r="AT398" s="19" t="inlineStr"/>
    </row>
    <row r="399" ht="32" customHeight="1">
      <c r="A399" s="18" t="inlineStr">
        <is>
          <t>0106_hitmonlee.json::hitmonlee-1::001</t>
        </is>
      </c>
      <c r="B399" s="19" t="inlineStr">
        <is>
          <t>사용</t>
        </is>
      </c>
      <c r="C399" s="18">
        <f>IF(OR(B399&lt;&gt;AK399,M399&lt;&gt;L399,O399&lt;&gt;"",Q399&lt;&gt;"",V399&lt;&gt;1,Y399&lt;&gt;"",AT399&lt;&gt;""),"수정","원본")</f>
        <v/>
      </c>
      <c r="D399" s="18" t="n">
        <v>106</v>
      </c>
      <c r="E399" s="18" t="inlineStr">
        <is>
          <t>시라소몬</t>
        </is>
      </c>
      <c r="F399" s="18" t="inlineStr">
        <is>
          <t>hitmonlee</t>
        </is>
      </c>
      <c r="G399" s="18" t="inlineStr">
        <is>
          <t>hitmonlee</t>
        </is>
      </c>
      <c r="H399" s="18" t="inlineStr"/>
      <c r="I399" s="18" t="n">
        <v>1</v>
      </c>
      <c r="J399" s="18" t="n"/>
      <c r="K399" s="18" t="n">
        <v>1</v>
      </c>
      <c r="L399" s="18" t="inlineStr">
        <is>
          <t>cobbleventure:generation_1</t>
        </is>
      </c>
      <c r="M399" s="19" t="inlineStr">
        <is>
          <t>cobbleventure:generation_1</t>
        </is>
      </c>
      <c r="N399" s="18" t="inlineStr"/>
      <c r="O399" s="19" t="inlineStr"/>
      <c r="P399" s="18" t="inlineStr">
        <is>
          <t>#cobblemon:is_hills</t>
        </is>
      </c>
      <c r="Q399" s="19" t="inlineStr"/>
      <c r="R399" s="18">
        <f>IF(Q399="",P399,Q399)</f>
        <v/>
      </c>
      <c r="S399" s="18" t="inlineStr"/>
      <c r="T399" s="18" t="inlineStr">
        <is>
          <t>uncommon</t>
        </is>
      </c>
      <c r="U399" s="20" t="n">
        <v>0.32</v>
      </c>
      <c r="V399" s="21" t="n">
        <v>1</v>
      </c>
      <c r="W399" s="20">
        <f>IF(OR(U399="",V399=""),U399,U399*V399)</f>
        <v/>
      </c>
      <c r="X399" s="18" t="inlineStr">
        <is>
          <t>20-46</t>
        </is>
      </c>
      <c r="Y399" s="19" t="inlineStr"/>
      <c r="Z399" s="18">
        <f>IF(Y399="",X399,Y399)</f>
        <v/>
      </c>
      <c r="AA399" s="18" t="inlineStr">
        <is>
          <t>grounded</t>
        </is>
      </c>
      <c r="AB399" s="18" t="inlineStr"/>
      <c r="AC399" s="18" t="inlineStr"/>
      <c r="AD399" s="18" t="inlineStr"/>
      <c r="AE399" s="18" t="inlineStr">
        <is>
          <t>sky 8-15</t>
        </is>
      </c>
      <c r="AF399" s="18" t="inlineStr"/>
      <c r="AG399" s="18" t="inlineStr"/>
      <c r="AH399" s="18" t="inlineStr"/>
      <c r="AI399" s="18" t="inlineStr"/>
      <c r="AJ399" s="18" t="inlineStr">
        <is>
          <t>Cobblemon 동일</t>
        </is>
      </c>
      <c r="AK399" s="18" t="inlineStr">
        <is>
          <t>사용</t>
        </is>
      </c>
      <c r="AL399" s="18" t="inlineStr">
        <is>
          <t>COBBLEVERSE 1.7.42 / DP v31</t>
        </is>
      </c>
      <c r="AM399" s="18" t="inlineStr">
        <is>
          <t>data/cobblemon/spawn_pool_world/0106_hitmonlee.json</t>
        </is>
      </c>
      <c r="AN399" s="18" t="inlineStr">
        <is>
          <t>hitmonlee-1</t>
        </is>
      </c>
      <c r="AO399" s="18" t="inlineStr">
        <is>
          <t>pokemon</t>
        </is>
      </c>
      <c r="AP399" s="18" t="inlineStr">
        <is>
          <t>natural</t>
        </is>
      </c>
      <c r="AQ399" s="18" t="inlineStr">
        <is>
          <t>{"biomes":["#cobblemon:is_hills"],"maxSkyLight":15,"minSkyLight":8}</t>
        </is>
      </c>
      <c r="AR399" s="18" t="inlineStr"/>
      <c r="AS399" s="18" t="inlineStr">
        <is>
          <t>{"weightMultiplier":{"condition":{"timeRange":"night"},"multiplier":0.25}}</t>
        </is>
      </c>
      <c r="AT399" s="19" t="inlineStr"/>
    </row>
    <row r="400" ht="32" customHeight="1">
      <c r="A400" s="18" t="inlineStr">
        <is>
          <t>0107_hitmonchan.json::hitmonchan-1::001</t>
        </is>
      </c>
      <c r="B400" s="19" t="inlineStr">
        <is>
          <t>사용</t>
        </is>
      </c>
      <c r="C400" s="18">
        <f>IF(OR(B400&lt;&gt;AK400,M400&lt;&gt;L400,O400&lt;&gt;"",Q400&lt;&gt;"",V400&lt;&gt;1,Y400&lt;&gt;"",AT400&lt;&gt;""),"수정","원본")</f>
        <v/>
      </c>
      <c r="D400" s="18" t="n">
        <v>107</v>
      </c>
      <c r="E400" s="18" t="inlineStr">
        <is>
          <t>홍수몬</t>
        </is>
      </c>
      <c r="F400" s="18" t="inlineStr">
        <is>
          <t>hitmonchan</t>
        </is>
      </c>
      <c r="G400" s="18" t="inlineStr">
        <is>
          <t>hitmonchan</t>
        </is>
      </c>
      <c r="H400" s="18" t="inlineStr"/>
      <c r="I400" s="18" t="n">
        <v>1</v>
      </c>
      <c r="J400" s="18" t="n"/>
      <c r="K400" s="18" t="n">
        <v>1</v>
      </c>
      <c r="L400" s="18" t="inlineStr">
        <is>
          <t>cobbleventure:generation_1</t>
        </is>
      </c>
      <c r="M400" s="19" t="inlineStr">
        <is>
          <t>cobbleventure:generation_1</t>
        </is>
      </c>
      <c r="N400" s="18" t="inlineStr"/>
      <c r="O400" s="19" t="inlineStr"/>
      <c r="P400" s="18" t="inlineStr">
        <is>
          <t>#cobblemon:is_hills</t>
        </is>
      </c>
      <c r="Q400" s="19" t="inlineStr"/>
      <c r="R400" s="18">
        <f>IF(Q400="",P400,Q400)</f>
        <v/>
      </c>
      <c r="S400" s="18" t="inlineStr"/>
      <c r="T400" s="18" t="inlineStr">
        <is>
          <t>uncommon</t>
        </is>
      </c>
      <c r="U400" s="20" t="n">
        <v>0.32</v>
      </c>
      <c r="V400" s="21" t="n">
        <v>1</v>
      </c>
      <c r="W400" s="20">
        <f>IF(OR(U400="",V400=""),U400,U400*V400)</f>
        <v/>
      </c>
      <c r="X400" s="18" t="inlineStr">
        <is>
          <t>20-46</t>
        </is>
      </c>
      <c r="Y400" s="19" t="inlineStr"/>
      <c r="Z400" s="18">
        <f>IF(Y400="",X400,Y400)</f>
        <v/>
      </c>
      <c r="AA400" s="18" t="inlineStr">
        <is>
          <t>grounded</t>
        </is>
      </c>
      <c r="AB400" s="18" t="inlineStr"/>
      <c r="AC400" s="18" t="inlineStr"/>
      <c r="AD400" s="18" t="inlineStr"/>
      <c r="AE400" s="18" t="inlineStr">
        <is>
          <t>sky 8-15</t>
        </is>
      </c>
      <c r="AF400" s="18" t="inlineStr"/>
      <c r="AG400" s="18" t="inlineStr"/>
      <c r="AH400" s="18" t="inlineStr"/>
      <c r="AI400" s="18" t="inlineStr"/>
      <c r="AJ400" s="18" t="inlineStr">
        <is>
          <t>Cobblemon 동일</t>
        </is>
      </c>
      <c r="AK400" s="18" t="inlineStr">
        <is>
          <t>사용</t>
        </is>
      </c>
      <c r="AL400" s="18" t="inlineStr">
        <is>
          <t>COBBLEVERSE 1.7.42 / DP v31</t>
        </is>
      </c>
      <c r="AM400" s="18" t="inlineStr">
        <is>
          <t>data/cobblemon/spawn_pool_world/0107_hitmonchan.json</t>
        </is>
      </c>
      <c r="AN400" s="18" t="inlineStr">
        <is>
          <t>hitmonchan-1</t>
        </is>
      </c>
      <c r="AO400" s="18" t="inlineStr">
        <is>
          <t>pokemon</t>
        </is>
      </c>
      <c r="AP400" s="18" t="inlineStr">
        <is>
          <t>natural</t>
        </is>
      </c>
      <c r="AQ400" s="18" t="inlineStr">
        <is>
          <t>{"biomes":["#cobblemon:is_hills"],"maxSkyLight":15,"minSkyLight":8}</t>
        </is>
      </c>
      <c r="AR400" s="18" t="inlineStr"/>
      <c r="AS400" s="18" t="inlineStr">
        <is>
          <t>{"weightMultiplier":{"condition":{"timeRange":"night"},"multiplier":0.25}}</t>
        </is>
      </c>
      <c r="AT400" s="19" t="inlineStr"/>
    </row>
    <row r="401" ht="32" customHeight="1">
      <c r="A401" s="18" t="inlineStr">
        <is>
          <t>0108_lickitung.json::lickitung-1::001</t>
        </is>
      </c>
      <c r="B401" s="19" t="inlineStr">
        <is>
          <t>사용</t>
        </is>
      </c>
      <c r="C401" s="18">
        <f>IF(OR(B401&lt;&gt;AK401,M401&lt;&gt;L401,O401&lt;&gt;"",Q401&lt;&gt;"",V401&lt;&gt;1,Y401&lt;&gt;"",AT401&lt;&gt;""),"수정","원본")</f>
        <v/>
      </c>
      <c r="D401" s="18" t="n">
        <v>108</v>
      </c>
      <c r="E401" s="18" t="inlineStr">
        <is>
          <t>내루미</t>
        </is>
      </c>
      <c r="F401" s="18" t="inlineStr">
        <is>
          <t>lickitung</t>
        </is>
      </c>
      <c r="G401" s="18" t="inlineStr">
        <is>
          <t>lickitung</t>
        </is>
      </c>
      <c r="H401" s="18" t="inlineStr"/>
      <c r="I401" s="18" t="n">
        <v>1</v>
      </c>
      <c r="J401" s="18" t="n"/>
      <c r="K401" s="18" t="n">
        <v>1</v>
      </c>
      <c r="L401" s="18" t="inlineStr">
        <is>
          <t>cobbleventure:generation_1</t>
        </is>
      </c>
      <c r="M401" s="19" t="inlineStr">
        <is>
          <t>cobbleventure:generation_1</t>
        </is>
      </c>
      <c r="N401" s="18" t="inlineStr">
        <is>
          <t>region_01</t>
        </is>
      </c>
      <c r="O401" s="19" t="inlineStr"/>
      <c r="P401" s="18" t="inlineStr">
        <is>
          <t>#cobblemon:is_grassland</t>
        </is>
      </c>
      <c r="Q401" s="19" t="inlineStr"/>
      <c r="R401" s="18">
        <f>IF(Q401="",P401,Q401)</f>
        <v/>
      </c>
      <c r="S401" s="18" t="inlineStr"/>
      <c r="T401" s="18" t="inlineStr">
        <is>
          <t>uncommon</t>
        </is>
      </c>
      <c r="U401" s="20" t="n">
        <v>1.68</v>
      </c>
      <c r="V401" s="21" t="n">
        <v>1</v>
      </c>
      <c r="W401" s="20">
        <f>IF(OR(U401="",V401=""),U401,U401*V401)</f>
        <v/>
      </c>
      <c r="X401" s="18" t="inlineStr">
        <is>
          <t>14-39</t>
        </is>
      </c>
      <c r="Y401" s="19" t="inlineStr"/>
      <c r="Z401" s="18">
        <f>IF(Y401="",X401,Y401)</f>
        <v/>
      </c>
      <c r="AA401" s="18" t="inlineStr">
        <is>
          <t>grounded</t>
        </is>
      </c>
      <c r="AB401" s="18" t="inlineStr"/>
      <c r="AC401" s="18" t="inlineStr"/>
      <c r="AD401" s="18" t="inlineStr"/>
      <c r="AE401" s="18" t="inlineStr">
        <is>
          <t>sky 8-15</t>
        </is>
      </c>
      <c r="AF401" s="18" t="inlineStr"/>
      <c r="AG401" s="18" t="inlineStr"/>
      <c r="AH401" s="18" t="inlineStr"/>
      <c r="AI401" s="18" t="inlineStr"/>
      <c r="AJ401" s="18" t="inlineStr">
        <is>
          <t>Cobblemon 동일</t>
        </is>
      </c>
      <c r="AK401" s="18" t="inlineStr">
        <is>
          <t>사용</t>
        </is>
      </c>
      <c r="AL401" s="18" t="inlineStr">
        <is>
          <t>COBBLEVERSE 1.7.42 / DP v31</t>
        </is>
      </c>
      <c r="AM401" s="18" t="inlineStr">
        <is>
          <t>data/cobblemon/spawn_pool_world/0108_lickitung.json</t>
        </is>
      </c>
      <c r="AN401" s="18" t="inlineStr">
        <is>
          <t>lickitung-1</t>
        </is>
      </c>
      <c r="AO401" s="18" t="inlineStr">
        <is>
          <t>pokemon</t>
        </is>
      </c>
      <c r="AP401" s="18" t="inlineStr">
        <is>
          <t>natural</t>
        </is>
      </c>
      <c r="AQ401" s="18" t="inlineStr">
        <is>
          <t>{"biomes":["#cobblemon:is_grassland"],"maxSkyLight":15,"minSkyLight":8}</t>
        </is>
      </c>
      <c r="AR401" s="18" t="inlineStr"/>
      <c r="AS401" s="18" t="inlineStr">
        <is>
          <t>{"weightMultiplier":{"condition":{"timeRange":"night"},"multiplier":0.25}}</t>
        </is>
      </c>
      <c r="AT401" s="19" t="inlineStr"/>
    </row>
    <row r="402" ht="32" customHeight="1">
      <c r="A402" s="18" t="inlineStr">
        <is>
          <t>0109_koffing.json::koffing-1::001</t>
        </is>
      </c>
      <c r="B402" s="19" t="inlineStr">
        <is>
          <t>사용</t>
        </is>
      </c>
      <c r="C402" s="18">
        <f>IF(OR(B402&lt;&gt;AK402,M402&lt;&gt;L402,O402&lt;&gt;"",Q402&lt;&gt;"",V402&lt;&gt;1,Y402&lt;&gt;"",AT402&lt;&gt;""),"수정","원본")</f>
        <v/>
      </c>
      <c r="D402" s="18" t="n">
        <v>109</v>
      </c>
      <c r="E402" s="18" t="inlineStr">
        <is>
          <t>또가스</t>
        </is>
      </c>
      <c r="F402" s="18" t="inlineStr">
        <is>
          <t>koffing</t>
        </is>
      </c>
      <c r="G402" s="18" t="inlineStr">
        <is>
          <t>koffing</t>
        </is>
      </c>
      <c r="H402" s="18" t="inlineStr"/>
      <c r="I402" s="18" t="n">
        <v>1</v>
      </c>
      <c r="J402" s="18" t="n"/>
      <c r="K402" s="18" t="n">
        <v>1</v>
      </c>
      <c r="L402" s="18" t="inlineStr">
        <is>
          <t>cobbleventure:generation_1</t>
        </is>
      </c>
      <c r="M402" s="19" t="inlineStr">
        <is>
          <t>cobbleventure:generation_1</t>
        </is>
      </c>
      <c r="N402" s="18" t="inlineStr">
        <is>
          <t>region_01; region_02</t>
        </is>
      </c>
      <c r="O402" s="19" t="inlineStr"/>
      <c r="P402" s="18" t="inlineStr">
        <is>
          <t>#cobblemon:is_overworld</t>
        </is>
      </c>
      <c r="Q402" s="19" t="inlineStr"/>
      <c r="R402" s="18">
        <f>IF(Q402="",P402,Q402)</f>
        <v/>
      </c>
      <c r="S402" s="18" t="inlineStr"/>
      <c r="T402" s="18" t="inlineStr">
        <is>
          <t>common</t>
        </is>
      </c>
      <c r="U402" s="20" t="n">
        <v>1.8</v>
      </c>
      <c r="V402" s="21" t="n">
        <v>1</v>
      </c>
      <c r="W402" s="20">
        <f>IF(OR(U402="",V402=""),U402,U402*V402)</f>
        <v/>
      </c>
      <c r="X402" s="18" t="inlineStr">
        <is>
          <t>9-34</t>
        </is>
      </c>
      <c r="Y402" s="19" t="inlineStr"/>
      <c r="Z402" s="18">
        <f>IF(Y402="",X402,Y402)</f>
        <v/>
      </c>
      <c r="AA402" s="18" t="inlineStr">
        <is>
          <t>grounded</t>
        </is>
      </c>
      <c r="AB402" s="18" t="inlineStr"/>
      <c r="AC402" s="18" t="inlineStr"/>
      <c r="AD402" s="18" t="inlineStr"/>
      <c r="AE402" s="18" t="inlineStr">
        <is>
          <t>sky 8-15</t>
        </is>
      </c>
      <c r="AF402" s="18" t="inlineStr"/>
      <c r="AG402" s="18" t="inlineStr"/>
      <c r="AH402" s="18" t="inlineStr"/>
      <c r="AI402" s="18" t="inlineStr"/>
      <c r="AJ402" s="18" t="inlineStr">
        <is>
          <t>COBBLEVERSE 수정</t>
        </is>
      </c>
      <c r="AK402" s="18" t="inlineStr">
        <is>
          <t>사용</t>
        </is>
      </c>
      <c r="AL402" s="18" t="inlineStr">
        <is>
          <t>COBBLEVERSE 1.7.42 / DP v31</t>
        </is>
      </c>
      <c r="AM402" s="18" t="inlineStr">
        <is>
          <t>data/cobblemon/spawn_pool_world/0109_koffing.json</t>
        </is>
      </c>
      <c r="AN402" s="18" t="inlineStr">
        <is>
          <t>koffing-1</t>
        </is>
      </c>
      <c r="AO402" s="18" t="inlineStr">
        <is>
          <t>pokemon</t>
        </is>
      </c>
      <c r="AP402" s="18" t="inlineStr">
        <is>
          <t>natural; urban</t>
        </is>
      </c>
      <c r="AQ402" s="18" t="inlineStr">
        <is>
          <t>{"biomes":["#cobblemon:is_overworld"],"maxSkyLight":15,"minSkyLight":8}</t>
        </is>
      </c>
      <c r="AR402" s="18" t="inlineStr"/>
      <c r="AS402" s="18" t="inlineStr">
        <is>
          <t>{"weightMultiplier":{"condition":{"timeRange":"night"},"multiplier":5.0}}</t>
        </is>
      </c>
      <c r="AT402" s="19" t="inlineStr"/>
    </row>
    <row r="403" ht="32" customHeight="1">
      <c r="A403" s="18" t="inlineStr">
        <is>
          <t>0109_koffing.json::koffing-2::002</t>
        </is>
      </c>
      <c r="B403" s="19" t="inlineStr">
        <is>
          <t>사용</t>
        </is>
      </c>
      <c r="C403" s="18">
        <f>IF(OR(B403&lt;&gt;AK403,M403&lt;&gt;L403,O403&lt;&gt;"",Q403&lt;&gt;"",V403&lt;&gt;1,Y403&lt;&gt;"",AT403&lt;&gt;""),"수정","원본")</f>
        <v/>
      </c>
      <c r="D403" s="18" t="n">
        <v>109</v>
      </c>
      <c r="E403" s="18" t="inlineStr">
        <is>
          <t>또가스</t>
        </is>
      </c>
      <c r="F403" s="18" t="inlineStr">
        <is>
          <t>koffing</t>
        </is>
      </c>
      <c r="G403" s="18" t="inlineStr">
        <is>
          <t>koffing</t>
        </is>
      </c>
      <c r="H403" s="18" t="inlineStr"/>
      <c r="I403" s="18" t="n">
        <v>1</v>
      </c>
      <c r="J403" s="18" t="n"/>
      <c r="K403" s="18" t="n">
        <v>1</v>
      </c>
      <c r="L403" s="18" t="inlineStr">
        <is>
          <t>cobbleventure:generation_1</t>
        </is>
      </c>
      <c r="M403" s="19" t="inlineStr">
        <is>
          <t>cobbleventure:generation_1</t>
        </is>
      </c>
      <c r="N403" s="18" t="inlineStr">
        <is>
          <t>region_01; region_02</t>
        </is>
      </c>
      <c r="O403" s="19" t="inlineStr"/>
      <c r="P403" s="18" t="inlineStr">
        <is>
          <t>#cobblemon:is_overworld</t>
        </is>
      </c>
      <c r="Q403" s="19" t="inlineStr"/>
      <c r="R403" s="18">
        <f>IF(Q403="",P403,Q403)</f>
        <v/>
      </c>
      <c r="S403" s="18" t="inlineStr"/>
      <c r="T403" s="18" t="inlineStr">
        <is>
          <t>common</t>
        </is>
      </c>
      <c r="U403" s="20" t="n">
        <v>1.8</v>
      </c>
      <c r="V403" s="21" t="n">
        <v>1</v>
      </c>
      <c r="W403" s="20">
        <f>IF(OR(U403="",V403=""),U403,U403*V403)</f>
        <v/>
      </c>
      <c r="X403" s="18" t="inlineStr">
        <is>
          <t>9-34</t>
        </is>
      </c>
      <c r="Y403" s="19" t="inlineStr"/>
      <c r="Z403" s="18">
        <f>IF(Y403="",X403,Y403)</f>
        <v/>
      </c>
      <c r="AA403" s="18" t="inlineStr">
        <is>
          <t>grounded</t>
        </is>
      </c>
      <c r="AB403" s="18" t="inlineStr"/>
      <c r="AC403" s="18" t="inlineStr"/>
      <c r="AD403" s="18" t="inlineStr"/>
      <c r="AE403" s="18" t="inlineStr">
        <is>
          <t>sky 8-15</t>
        </is>
      </c>
      <c r="AF403" s="18" t="inlineStr"/>
      <c r="AG403" s="18" t="inlineStr">
        <is>
          <t>#minecraft:village</t>
        </is>
      </c>
      <c r="AH403" s="18" t="inlineStr"/>
      <c r="AI403" s="18" t="inlineStr"/>
      <c r="AJ403" s="18" t="inlineStr">
        <is>
          <t>COBBLEVERSE 수정</t>
        </is>
      </c>
      <c r="AK403" s="18" t="inlineStr">
        <is>
          <t>사용</t>
        </is>
      </c>
      <c r="AL403" s="18" t="inlineStr">
        <is>
          <t>COBBLEVERSE 1.7.42 / DP v31</t>
        </is>
      </c>
      <c r="AM403" s="18" t="inlineStr">
        <is>
          <t>data/cobblemon/spawn_pool_world/0109_koffing.json</t>
        </is>
      </c>
      <c r="AN403" s="18" t="inlineStr">
        <is>
          <t>koffing-2</t>
        </is>
      </c>
      <c r="AO403" s="18" t="inlineStr">
        <is>
          <t>pokemon</t>
        </is>
      </c>
      <c r="AP403" s="18" t="inlineStr">
        <is>
          <t>natural</t>
        </is>
      </c>
      <c r="AQ403" s="18" t="inlineStr">
        <is>
          <t>{"biomes":["#cobblemon:is_overworld"],"maxSkyLight":15,"minSkyLight":8,"structures":["#minecraft:village"]}</t>
        </is>
      </c>
      <c r="AR403" s="18" t="inlineStr"/>
      <c r="AS403" s="18" t="inlineStr">
        <is>
          <t>{"weightMultiplier":{"condition":{"timeRange":"night"},"multiplier":5.0}}</t>
        </is>
      </c>
      <c r="AT403" s="19" t="inlineStr"/>
    </row>
    <row r="404" ht="32" customHeight="1">
      <c r="A404" s="18" t="inlineStr">
        <is>
          <t>0109_koffing.json::koffing-3::003</t>
        </is>
      </c>
      <c r="B404" s="19" t="inlineStr">
        <is>
          <t>사용</t>
        </is>
      </c>
      <c r="C404" s="18">
        <f>IF(OR(B404&lt;&gt;AK404,M404&lt;&gt;L404,O404&lt;&gt;"",Q404&lt;&gt;"",V404&lt;&gt;1,Y404&lt;&gt;"",AT404&lt;&gt;""),"수정","원본")</f>
        <v/>
      </c>
      <c r="D404" s="18" t="n">
        <v>109</v>
      </c>
      <c r="E404" s="18" t="inlineStr">
        <is>
          <t>또가스</t>
        </is>
      </c>
      <c r="F404" s="18" t="inlineStr">
        <is>
          <t>koffing</t>
        </is>
      </c>
      <c r="G404" s="18" t="inlineStr">
        <is>
          <t>koffing</t>
        </is>
      </c>
      <c r="H404" s="18" t="inlineStr"/>
      <c r="I404" s="18" t="n">
        <v>1</v>
      </c>
      <c r="J404" s="18" t="n"/>
      <c r="K404" s="18" t="n">
        <v>1</v>
      </c>
      <c r="L404" s="18" t="inlineStr">
        <is>
          <t>cobbleventure:generation_1</t>
        </is>
      </c>
      <c r="M404" s="19" t="inlineStr">
        <is>
          <t>cobbleventure:generation_1</t>
        </is>
      </c>
      <c r="N404" s="18" t="inlineStr"/>
      <c r="O404" s="19" t="inlineStr"/>
      <c r="P404" s="18" t="inlineStr">
        <is>
          <t>minecraft:soul_sand_valley</t>
        </is>
      </c>
      <c r="Q404" s="19" t="inlineStr"/>
      <c r="R404" s="18">
        <f>IF(Q404="",P404,Q404)</f>
        <v/>
      </c>
      <c r="S404" s="18" t="inlineStr"/>
      <c r="T404" s="18" t="inlineStr">
        <is>
          <t>common</t>
        </is>
      </c>
      <c r="U404" s="20" t="n">
        <v>9</v>
      </c>
      <c r="V404" s="21" t="n">
        <v>1</v>
      </c>
      <c r="W404" s="20">
        <f>IF(OR(U404="",V404=""),U404,U404*V404)</f>
        <v/>
      </c>
      <c r="X404" s="18" t="inlineStr">
        <is>
          <t>9-34</t>
        </is>
      </c>
      <c r="Y404" s="19" t="inlineStr"/>
      <c r="Z404" s="18">
        <f>IF(Y404="",X404,Y404)</f>
        <v/>
      </c>
      <c r="AA404" s="18" t="inlineStr">
        <is>
          <t>grounded</t>
        </is>
      </c>
      <c r="AB404" s="18" t="inlineStr"/>
      <c r="AC404" s="18" t="inlineStr"/>
      <c r="AD404" s="18" t="inlineStr"/>
      <c r="AE404" s="18" t="inlineStr"/>
      <c r="AF404" s="18" t="inlineStr"/>
      <c r="AG404" s="18" t="inlineStr"/>
      <c r="AH404" s="18" t="inlineStr"/>
      <c r="AI404" s="18" t="inlineStr"/>
      <c r="AJ404" s="18" t="inlineStr">
        <is>
          <t>COBBLEVERSE 수정</t>
        </is>
      </c>
      <c r="AK404" s="18" t="inlineStr">
        <is>
          <t>사용</t>
        </is>
      </c>
      <c r="AL404" s="18" t="inlineStr">
        <is>
          <t>COBBLEVERSE 1.7.42 / DP v31</t>
        </is>
      </c>
      <c r="AM404" s="18" t="inlineStr">
        <is>
          <t>data/cobblemon/spawn_pool_world/0109_koffing.json</t>
        </is>
      </c>
      <c r="AN404" s="18" t="inlineStr">
        <is>
          <t>koffing-3</t>
        </is>
      </c>
      <c r="AO404" s="18" t="inlineStr">
        <is>
          <t>pokemon</t>
        </is>
      </c>
      <c r="AP404" s="18" t="inlineStr">
        <is>
          <t>natural</t>
        </is>
      </c>
      <c r="AQ404" s="18" t="inlineStr">
        <is>
          <t>{"biomes":["minecraft:soul_sand_valley"]}</t>
        </is>
      </c>
      <c r="AR404" s="18" t="inlineStr"/>
      <c r="AS404" s="18" t="inlineStr"/>
      <c r="AT404" s="19" t="inlineStr"/>
    </row>
    <row r="405" ht="32" customHeight="1">
      <c r="A405" s="18" t="inlineStr">
        <is>
          <t>0109_koffing.json::koffing-galar-4::004</t>
        </is>
      </c>
      <c r="B405" s="19" t="inlineStr">
        <is>
          <t>사용</t>
        </is>
      </c>
      <c r="C405" s="18">
        <f>IF(OR(B405&lt;&gt;AK405,M405&lt;&gt;L405,O405&lt;&gt;"",Q405&lt;&gt;"",V405&lt;&gt;1,Y405&lt;&gt;"",AT405&lt;&gt;""),"수정","원본")</f>
        <v/>
      </c>
      <c r="D405" s="18" t="n">
        <v>109</v>
      </c>
      <c r="E405" s="18" t="inlineStr">
        <is>
          <t>또가스</t>
        </is>
      </c>
      <c r="F405" s="18" t="inlineStr">
        <is>
          <t>koffing</t>
        </is>
      </c>
      <c r="G405" s="18" t="inlineStr">
        <is>
          <t>koffing region_bias=galar</t>
        </is>
      </c>
      <c r="H405" s="18" t="inlineStr">
        <is>
          <t>region_bias=galar</t>
        </is>
      </c>
      <c r="I405" s="18" t="n">
        <v>1</v>
      </c>
      <c r="J405" s="18" t="n">
        <v>8</v>
      </c>
      <c r="K405" s="18" t="n">
        <v>8</v>
      </c>
      <c r="L405" s="18" t="inlineStr">
        <is>
          <t>cobbleventure:generation_8</t>
        </is>
      </c>
      <c r="M405" s="19" t="inlineStr">
        <is>
          <t>cobbleventure:generation_8</t>
        </is>
      </c>
      <c r="N405" s="18" t="inlineStr"/>
      <c r="O405" s="19" t="inlineStr"/>
      <c r="P405" s="18" t="inlineStr">
        <is>
          <t>#cobblemon:is_magical</t>
        </is>
      </c>
      <c r="Q405" s="19" t="inlineStr"/>
      <c r="R405" s="18">
        <f>IF(Q405="",P405,Q405)</f>
        <v/>
      </c>
      <c r="S405" s="18" t="inlineStr"/>
      <c r="T405" s="18" t="inlineStr">
        <is>
          <t>common</t>
        </is>
      </c>
      <c r="U405" s="20" t="n">
        <v>1.8</v>
      </c>
      <c r="V405" s="21" t="n">
        <v>1</v>
      </c>
      <c r="W405" s="20">
        <f>IF(OR(U405="",V405=""),U405,U405*V405)</f>
        <v/>
      </c>
      <c r="X405" s="18" t="inlineStr">
        <is>
          <t>9-34</t>
        </is>
      </c>
      <c r="Y405" s="19" t="inlineStr"/>
      <c r="Z405" s="18">
        <f>IF(Y405="",X405,Y405)</f>
        <v/>
      </c>
      <c r="AA405" s="18" t="inlineStr">
        <is>
          <t>grounded</t>
        </is>
      </c>
      <c r="AB405" s="18" t="inlineStr"/>
      <c r="AC405" s="18" t="inlineStr"/>
      <c r="AD405" s="18" t="inlineStr"/>
      <c r="AE405" s="18" t="inlineStr">
        <is>
          <t>sky 8-15</t>
        </is>
      </c>
      <c r="AF405" s="18" t="inlineStr"/>
      <c r="AG405" s="18" t="inlineStr"/>
      <c r="AH405" s="18" t="inlineStr"/>
      <c r="AI405" s="18" t="inlineStr"/>
      <c r="AJ405" s="18" t="inlineStr">
        <is>
          <t>COBBLEVERSE 수정</t>
        </is>
      </c>
      <c r="AK405" s="18" t="inlineStr">
        <is>
          <t>사용</t>
        </is>
      </c>
      <c r="AL405" s="18" t="inlineStr">
        <is>
          <t>COBBLEVERSE 1.7.42 / DP v31</t>
        </is>
      </c>
      <c r="AM405" s="18" t="inlineStr">
        <is>
          <t>data/cobblemon/spawn_pool_world/0109_koffing.json</t>
        </is>
      </c>
      <c r="AN405" s="18" t="inlineStr">
        <is>
          <t>koffing-galar-4</t>
        </is>
      </c>
      <c r="AO405" s="18" t="inlineStr">
        <is>
          <t>pokemon</t>
        </is>
      </c>
      <c r="AP405" s="18" t="inlineStr">
        <is>
          <t>natural</t>
        </is>
      </c>
      <c r="AQ405" s="18" t="inlineStr">
        <is>
          <t>{"biomes":["#cobblemon:is_magical"],"maxSkyLight":15,"minSkyLight":8}</t>
        </is>
      </c>
      <c r="AR405" s="18" t="inlineStr"/>
      <c r="AS405" s="18" t="inlineStr">
        <is>
          <t>{"weightMultiplier":{"condition":{"timeRange":"night"},"multiplier":1.5}}</t>
        </is>
      </c>
      <c r="AT405" s="19" t="inlineStr"/>
    </row>
    <row r="406" ht="32" customHeight="1">
      <c r="A406" s="18" t="inlineStr">
        <is>
          <t>0109_koffing.json::koffing-galar-5::005</t>
        </is>
      </c>
      <c r="B406" s="19" t="inlineStr">
        <is>
          <t>사용</t>
        </is>
      </c>
      <c r="C406" s="18">
        <f>IF(OR(B406&lt;&gt;AK406,M406&lt;&gt;L406,O406&lt;&gt;"",Q406&lt;&gt;"",V406&lt;&gt;1,Y406&lt;&gt;"",AT406&lt;&gt;""),"수정","원본")</f>
        <v/>
      </c>
      <c r="D406" s="18" t="n">
        <v>109</v>
      </c>
      <c r="E406" s="18" t="inlineStr">
        <is>
          <t>또가스</t>
        </is>
      </c>
      <c r="F406" s="18" t="inlineStr">
        <is>
          <t>koffing</t>
        </is>
      </c>
      <c r="G406" s="18" t="inlineStr">
        <is>
          <t>koffing region_bias=galar</t>
        </is>
      </c>
      <c r="H406" s="18" t="inlineStr">
        <is>
          <t>region_bias=galar</t>
        </is>
      </c>
      <c r="I406" s="18" t="n">
        <v>1</v>
      </c>
      <c r="J406" s="18" t="n">
        <v>8</v>
      </c>
      <c r="K406" s="18" t="n">
        <v>8</v>
      </c>
      <c r="L406" s="18" t="inlineStr">
        <is>
          <t>cobbleventure:generation_8</t>
        </is>
      </c>
      <c r="M406" s="19" t="inlineStr">
        <is>
          <t>cobbleventure:generation_8</t>
        </is>
      </c>
      <c r="N406" s="18" t="inlineStr"/>
      <c r="O406" s="19" t="inlineStr"/>
      <c r="P406" s="18" t="inlineStr">
        <is>
          <t>#cobblemon:is_spooky</t>
        </is>
      </c>
      <c r="Q406" s="19" t="inlineStr"/>
      <c r="R406" s="18">
        <f>IF(Q406="",P406,Q406)</f>
        <v/>
      </c>
      <c r="S406" s="18" t="inlineStr"/>
      <c r="T406" s="18" t="inlineStr">
        <is>
          <t>common</t>
        </is>
      </c>
      <c r="U406" s="20" t="n">
        <v>1.8</v>
      </c>
      <c r="V406" s="21" t="n">
        <v>1</v>
      </c>
      <c r="W406" s="20">
        <f>IF(OR(U406="",V406=""),U406,U406*V406)</f>
        <v/>
      </c>
      <c r="X406" s="18" t="inlineStr">
        <is>
          <t>9-34</t>
        </is>
      </c>
      <c r="Y406" s="19" t="inlineStr"/>
      <c r="Z406" s="18">
        <f>IF(Y406="",X406,Y406)</f>
        <v/>
      </c>
      <c r="AA406" s="18" t="inlineStr">
        <is>
          <t>grounded</t>
        </is>
      </c>
      <c r="AB406" s="18" t="inlineStr"/>
      <c r="AC406" s="18" t="inlineStr"/>
      <c r="AD406" s="18" t="inlineStr"/>
      <c r="AE406" s="18" t="inlineStr">
        <is>
          <t>sky 8-15</t>
        </is>
      </c>
      <c r="AF406" s="18" t="inlineStr"/>
      <c r="AG406" s="18" t="inlineStr"/>
      <c r="AH406" s="18" t="inlineStr"/>
      <c r="AI406" s="18" t="inlineStr"/>
      <c r="AJ406" s="18" t="inlineStr">
        <is>
          <t>COBBLEVERSE 수정</t>
        </is>
      </c>
      <c r="AK406" s="18" t="inlineStr">
        <is>
          <t>사용</t>
        </is>
      </c>
      <c r="AL406" s="18" t="inlineStr">
        <is>
          <t>COBBLEVERSE 1.7.42 / DP v31</t>
        </is>
      </c>
      <c r="AM406" s="18" t="inlineStr">
        <is>
          <t>data/cobblemon/spawn_pool_world/0109_koffing.json</t>
        </is>
      </c>
      <c r="AN406" s="18" t="inlineStr">
        <is>
          <t>koffing-galar-5</t>
        </is>
      </c>
      <c r="AO406" s="18" t="inlineStr">
        <is>
          <t>pokemon</t>
        </is>
      </c>
      <c r="AP406" s="18" t="inlineStr">
        <is>
          <t>natural</t>
        </is>
      </c>
      <c r="AQ406" s="18" t="inlineStr">
        <is>
          <t>{"biomes":["#cobblemon:is_spooky"],"maxSkyLight":15,"minSkyLight":8}</t>
        </is>
      </c>
      <c r="AR406" s="18" t="inlineStr"/>
      <c r="AS406" s="18" t="inlineStr">
        <is>
          <t>{"weightMultiplier":{"condition":{"timeRange":"night"},"multiplier":1.5}}</t>
        </is>
      </c>
      <c r="AT406" s="19" t="inlineStr"/>
    </row>
    <row r="407" ht="32" customHeight="1">
      <c r="A407" s="18" t="inlineStr">
        <is>
          <t>0110_weezing.json::weezing-1::001</t>
        </is>
      </c>
      <c r="B407" s="19" t="inlineStr">
        <is>
          <t>사용</t>
        </is>
      </c>
      <c r="C407" s="18">
        <f>IF(OR(B407&lt;&gt;AK407,M407&lt;&gt;L407,O407&lt;&gt;"",Q407&lt;&gt;"",V407&lt;&gt;1,Y407&lt;&gt;"",AT407&lt;&gt;""),"수정","원본")</f>
        <v/>
      </c>
      <c r="D407" s="18" t="n">
        <v>110</v>
      </c>
      <c r="E407" s="18" t="inlineStr">
        <is>
          <t>또도가스</t>
        </is>
      </c>
      <c r="F407" s="18" t="inlineStr">
        <is>
          <t>weezing</t>
        </is>
      </c>
      <c r="G407" s="18" t="inlineStr">
        <is>
          <t>weezing</t>
        </is>
      </c>
      <c r="H407" s="18" t="inlineStr"/>
      <c r="I407" s="18" t="n">
        <v>1</v>
      </c>
      <c r="J407" s="18" t="n"/>
      <c r="K407" s="18" t="n">
        <v>1</v>
      </c>
      <c r="L407" s="18" t="inlineStr">
        <is>
          <t>cobbleventure:generation_1</t>
        </is>
      </c>
      <c r="M407" s="19" t="inlineStr">
        <is>
          <t>cobbleventure:generation_1</t>
        </is>
      </c>
      <c r="N407" s="18" t="inlineStr">
        <is>
          <t>region_01; region_02</t>
        </is>
      </c>
      <c r="O407" s="19" t="inlineStr"/>
      <c r="P407" s="18" t="inlineStr">
        <is>
          <t>#cobblemon:is_overworld</t>
        </is>
      </c>
      <c r="Q407" s="19" t="inlineStr"/>
      <c r="R407" s="18">
        <f>IF(Q407="",P407,Q407)</f>
        <v/>
      </c>
      <c r="S407" s="18" t="inlineStr"/>
      <c r="T407" s="18" t="inlineStr">
        <is>
          <t>common</t>
        </is>
      </c>
      <c r="U407" s="20" t="n">
        <v>0.2</v>
      </c>
      <c r="V407" s="21" t="n">
        <v>1</v>
      </c>
      <c r="W407" s="20">
        <f>IF(OR(U407="",V407=""),U407,U407*V407)</f>
        <v/>
      </c>
      <c r="X407" s="18" t="inlineStr">
        <is>
          <t>35-49</t>
        </is>
      </c>
      <c r="Y407" s="19" t="inlineStr"/>
      <c r="Z407" s="18">
        <f>IF(Y407="",X407,Y407)</f>
        <v/>
      </c>
      <c r="AA407" s="18" t="inlineStr">
        <is>
          <t>grounded</t>
        </is>
      </c>
      <c r="AB407" s="18" t="inlineStr"/>
      <c r="AC407" s="18" t="inlineStr"/>
      <c r="AD407" s="18" t="inlineStr"/>
      <c r="AE407" s="18" t="inlineStr">
        <is>
          <t>sky 8-15</t>
        </is>
      </c>
      <c r="AF407" s="18" t="inlineStr"/>
      <c r="AG407" s="18" t="inlineStr"/>
      <c r="AH407" s="18" t="inlineStr"/>
      <c r="AI407" s="18" t="inlineStr"/>
      <c r="AJ407" s="18" t="inlineStr">
        <is>
          <t>COBBLEVERSE 수정</t>
        </is>
      </c>
      <c r="AK407" s="18" t="inlineStr">
        <is>
          <t>사용</t>
        </is>
      </c>
      <c r="AL407" s="18" t="inlineStr">
        <is>
          <t>COBBLEVERSE 1.7.42 / DP v31</t>
        </is>
      </c>
      <c r="AM407" s="18" t="inlineStr">
        <is>
          <t>data/cobblemon/spawn_pool_world/0110_weezing.json</t>
        </is>
      </c>
      <c r="AN407" s="18" t="inlineStr">
        <is>
          <t>weezing-1</t>
        </is>
      </c>
      <c r="AO407" s="18" t="inlineStr">
        <is>
          <t>pokemon</t>
        </is>
      </c>
      <c r="AP407" s="18" t="inlineStr">
        <is>
          <t>natural; urban</t>
        </is>
      </c>
      <c r="AQ407" s="18" t="inlineStr">
        <is>
          <t>{"biomes":["#cobblemon:is_overworld"],"maxSkyLight":15,"minSkyLight":8}</t>
        </is>
      </c>
      <c r="AR407" s="18" t="inlineStr"/>
      <c r="AS407" s="18" t="inlineStr">
        <is>
          <t>{"weightMultiplier":{"condition":{"timeRange":"night"},"multiplier":5.0}}</t>
        </is>
      </c>
      <c r="AT407" s="19" t="inlineStr"/>
    </row>
    <row r="408" ht="32" customHeight="1">
      <c r="A408" s="18" t="inlineStr">
        <is>
          <t>0110_weezing.json::weezing-2::002</t>
        </is>
      </c>
      <c r="B408" s="19" t="inlineStr">
        <is>
          <t>사용</t>
        </is>
      </c>
      <c r="C408" s="18">
        <f>IF(OR(B408&lt;&gt;AK408,M408&lt;&gt;L408,O408&lt;&gt;"",Q408&lt;&gt;"",V408&lt;&gt;1,Y408&lt;&gt;"",AT408&lt;&gt;""),"수정","원본")</f>
        <v/>
      </c>
      <c r="D408" s="18" t="n">
        <v>110</v>
      </c>
      <c r="E408" s="18" t="inlineStr">
        <is>
          <t>또도가스</t>
        </is>
      </c>
      <c r="F408" s="18" t="inlineStr">
        <is>
          <t>weezing</t>
        </is>
      </c>
      <c r="G408" s="18" t="inlineStr">
        <is>
          <t>weezing</t>
        </is>
      </c>
      <c r="H408" s="18" t="inlineStr"/>
      <c r="I408" s="18" t="n">
        <v>1</v>
      </c>
      <c r="J408" s="18" t="n"/>
      <c r="K408" s="18" t="n">
        <v>1</v>
      </c>
      <c r="L408" s="18" t="inlineStr">
        <is>
          <t>cobbleventure:generation_1</t>
        </is>
      </c>
      <c r="M408" s="19" t="inlineStr">
        <is>
          <t>cobbleventure:generation_1</t>
        </is>
      </c>
      <c r="N408" s="18" t="inlineStr">
        <is>
          <t>region_01; region_02</t>
        </is>
      </c>
      <c r="O408" s="19" t="inlineStr"/>
      <c r="P408" s="18" t="inlineStr">
        <is>
          <t>#cobblemon:is_overworld</t>
        </is>
      </c>
      <c r="Q408" s="19" t="inlineStr"/>
      <c r="R408" s="18">
        <f>IF(Q408="",P408,Q408)</f>
        <v/>
      </c>
      <c r="S408" s="18" t="inlineStr"/>
      <c r="T408" s="18" t="inlineStr">
        <is>
          <t>common</t>
        </is>
      </c>
      <c r="U408" s="20" t="n">
        <v>0.2</v>
      </c>
      <c r="V408" s="21" t="n">
        <v>1</v>
      </c>
      <c r="W408" s="20">
        <f>IF(OR(U408="",V408=""),U408,U408*V408)</f>
        <v/>
      </c>
      <c r="X408" s="18" t="inlineStr">
        <is>
          <t>35-49</t>
        </is>
      </c>
      <c r="Y408" s="19" t="inlineStr"/>
      <c r="Z408" s="18">
        <f>IF(Y408="",X408,Y408)</f>
        <v/>
      </c>
      <c r="AA408" s="18" t="inlineStr">
        <is>
          <t>grounded</t>
        </is>
      </c>
      <c r="AB408" s="18" t="inlineStr"/>
      <c r="AC408" s="18" t="inlineStr"/>
      <c r="AD408" s="18" t="inlineStr"/>
      <c r="AE408" s="18" t="inlineStr">
        <is>
          <t>sky 8-15</t>
        </is>
      </c>
      <c r="AF408" s="18" t="inlineStr"/>
      <c r="AG408" s="18" t="inlineStr">
        <is>
          <t>#minecraft:village</t>
        </is>
      </c>
      <c r="AH408" s="18" t="inlineStr"/>
      <c r="AI408" s="18" t="inlineStr"/>
      <c r="AJ408" s="18" t="inlineStr">
        <is>
          <t>COBBLEVERSE 수정</t>
        </is>
      </c>
      <c r="AK408" s="18" t="inlineStr">
        <is>
          <t>사용</t>
        </is>
      </c>
      <c r="AL408" s="18" t="inlineStr">
        <is>
          <t>COBBLEVERSE 1.7.42 / DP v31</t>
        </is>
      </c>
      <c r="AM408" s="18" t="inlineStr">
        <is>
          <t>data/cobblemon/spawn_pool_world/0110_weezing.json</t>
        </is>
      </c>
      <c r="AN408" s="18" t="inlineStr">
        <is>
          <t>weezing-2</t>
        </is>
      </c>
      <c r="AO408" s="18" t="inlineStr">
        <is>
          <t>pokemon</t>
        </is>
      </c>
      <c r="AP408" s="18" t="inlineStr">
        <is>
          <t>natural</t>
        </is>
      </c>
      <c r="AQ408" s="18" t="inlineStr">
        <is>
          <t>{"biomes":["#cobblemon:is_overworld"],"maxSkyLight":15,"minSkyLight":8,"structures":["#minecraft:village"]}</t>
        </is>
      </c>
      <c r="AR408" s="18" t="inlineStr"/>
      <c r="AS408" s="18" t="inlineStr">
        <is>
          <t>{"weightMultiplier":{"condition":{"timeRange":"night"},"multiplier":5.0}}</t>
        </is>
      </c>
      <c r="AT408" s="19" t="inlineStr"/>
    </row>
    <row r="409" ht="32" customHeight="1">
      <c r="A409" s="18" t="inlineStr">
        <is>
          <t>0110_weezing.json::weezing-3::003</t>
        </is>
      </c>
      <c r="B409" s="19" t="inlineStr">
        <is>
          <t>사용</t>
        </is>
      </c>
      <c r="C409" s="18">
        <f>IF(OR(B409&lt;&gt;AK409,M409&lt;&gt;L409,O409&lt;&gt;"",Q409&lt;&gt;"",V409&lt;&gt;1,Y409&lt;&gt;"",AT409&lt;&gt;""),"수정","원본")</f>
        <v/>
      </c>
      <c r="D409" s="18" t="n">
        <v>110</v>
      </c>
      <c r="E409" s="18" t="inlineStr">
        <is>
          <t>또도가스</t>
        </is>
      </c>
      <c r="F409" s="18" t="inlineStr">
        <is>
          <t>weezing</t>
        </is>
      </c>
      <c r="G409" s="18" t="inlineStr">
        <is>
          <t>weezing</t>
        </is>
      </c>
      <c r="H409" s="18" t="inlineStr"/>
      <c r="I409" s="18" t="n">
        <v>1</v>
      </c>
      <c r="J409" s="18" t="n"/>
      <c r="K409" s="18" t="n">
        <v>1</v>
      </c>
      <c r="L409" s="18" t="inlineStr">
        <is>
          <t>cobbleventure:generation_1</t>
        </is>
      </c>
      <c r="M409" s="19" t="inlineStr">
        <is>
          <t>cobbleventure:generation_1</t>
        </is>
      </c>
      <c r="N409" s="18" t="inlineStr"/>
      <c r="O409" s="19" t="inlineStr"/>
      <c r="P409" s="18" t="inlineStr">
        <is>
          <t>minecraft:soul_sand_valley</t>
        </is>
      </c>
      <c r="Q409" s="19" t="inlineStr"/>
      <c r="R409" s="18">
        <f>IF(Q409="",P409,Q409)</f>
        <v/>
      </c>
      <c r="S409" s="18" t="inlineStr"/>
      <c r="T409" s="18" t="inlineStr">
        <is>
          <t>common</t>
        </is>
      </c>
      <c r="U409" s="20" t="n">
        <v>1</v>
      </c>
      <c r="V409" s="21" t="n">
        <v>1</v>
      </c>
      <c r="W409" s="20">
        <f>IF(OR(U409="",V409=""),U409,U409*V409)</f>
        <v/>
      </c>
      <c r="X409" s="18" t="inlineStr">
        <is>
          <t>35-49</t>
        </is>
      </c>
      <c r="Y409" s="19" t="inlineStr"/>
      <c r="Z409" s="18">
        <f>IF(Y409="",X409,Y409)</f>
        <v/>
      </c>
      <c r="AA409" s="18" t="inlineStr">
        <is>
          <t>grounded</t>
        </is>
      </c>
      <c r="AB409" s="18" t="inlineStr"/>
      <c r="AC409" s="18" t="inlineStr"/>
      <c r="AD409" s="18" t="inlineStr"/>
      <c r="AE409" s="18" t="inlineStr"/>
      <c r="AF409" s="18" t="inlineStr"/>
      <c r="AG409" s="18" t="inlineStr"/>
      <c r="AH409" s="18" t="inlineStr"/>
      <c r="AI409" s="18" t="inlineStr"/>
      <c r="AJ409" s="18" t="inlineStr">
        <is>
          <t>COBBLEVERSE 수정</t>
        </is>
      </c>
      <c r="AK409" s="18" t="inlineStr">
        <is>
          <t>사용</t>
        </is>
      </c>
      <c r="AL409" s="18" t="inlineStr">
        <is>
          <t>COBBLEVERSE 1.7.42 / DP v31</t>
        </is>
      </c>
      <c r="AM409" s="18" t="inlineStr">
        <is>
          <t>data/cobblemon/spawn_pool_world/0110_weezing.json</t>
        </is>
      </c>
      <c r="AN409" s="18" t="inlineStr">
        <is>
          <t>weezing-3</t>
        </is>
      </c>
      <c r="AO409" s="18" t="inlineStr">
        <is>
          <t>pokemon</t>
        </is>
      </c>
      <c r="AP409" s="18" t="inlineStr">
        <is>
          <t>natural</t>
        </is>
      </c>
      <c r="AQ409" s="18" t="inlineStr">
        <is>
          <t>{"biomes":["minecraft:soul_sand_valley"]}</t>
        </is>
      </c>
      <c r="AR409" s="18" t="inlineStr"/>
      <c r="AS409" s="18" t="inlineStr"/>
      <c r="AT409" s="19" t="inlineStr"/>
    </row>
    <row r="410" ht="32" customHeight="1">
      <c r="A410" s="18" t="inlineStr">
        <is>
          <t>0110_weezing.json::weezing-galarian-4::004</t>
        </is>
      </c>
      <c r="B410" s="19" t="inlineStr">
        <is>
          <t>사용</t>
        </is>
      </c>
      <c r="C410" s="18">
        <f>IF(OR(B410&lt;&gt;AK410,M410&lt;&gt;L410,O410&lt;&gt;"",Q410&lt;&gt;"",V410&lt;&gt;1,Y410&lt;&gt;"",AT410&lt;&gt;""),"수정","원본")</f>
        <v/>
      </c>
      <c r="D410" s="18" t="n">
        <v>110</v>
      </c>
      <c r="E410" s="18" t="inlineStr">
        <is>
          <t>또도가스</t>
        </is>
      </c>
      <c r="F410" s="18" t="inlineStr">
        <is>
          <t>weezing</t>
        </is>
      </c>
      <c r="G410" s="18" t="inlineStr">
        <is>
          <t>weezing galarian</t>
        </is>
      </c>
      <c r="H410" s="18" t="inlineStr">
        <is>
          <t>galarian</t>
        </is>
      </c>
      <c r="I410" s="18" t="n">
        <v>1</v>
      </c>
      <c r="J410" s="18" t="n">
        <v>8</v>
      </c>
      <c r="K410" s="18" t="n">
        <v>8</v>
      </c>
      <c r="L410" s="18" t="inlineStr">
        <is>
          <t>cobbleventure:generation_8</t>
        </is>
      </c>
      <c r="M410" s="19" t="inlineStr">
        <is>
          <t>cobbleventure:generation_8</t>
        </is>
      </c>
      <c r="N410" s="18" t="inlineStr"/>
      <c r="O410" s="19" t="inlineStr"/>
      <c r="P410" s="18" t="inlineStr">
        <is>
          <t>#cobblemon:is_magical</t>
        </is>
      </c>
      <c r="Q410" s="19" t="inlineStr"/>
      <c r="R410" s="18">
        <f>IF(Q410="",P410,Q410)</f>
        <v/>
      </c>
      <c r="S410" s="18" t="inlineStr"/>
      <c r="T410" s="18" t="inlineStr">
        <is>
          <t>common</t>
        </is>
      </c>
      <c r="U410" s="20" t="n">
        <v>0.2</v>
      </c>
      <c r="V410" s="21" t="n">
        <v>1</v>
      </c>
      <c r="W410" s="20">
        <f>IF(OR(U410="",V410=""),U410,U410*V410)</f>
        <v/>
      </c>
      <c r="X410" s="18" t="inlineStr">
        <is>
          <t>35-49</t>
        </is>
      </c>
      <c r="Y410" s="19" t="inlineStr"/>
      <c r="Z410" s="18">
        <f>IF(Y410="",X410,Y410)</f>
        <v/>
      </c>
      <c r="AA410" s="18" t="inlineStr">
        <is>
          <t>grounded</t>
        </is>
      </c>
      <c r="AB410" s="18" t="inlineStr"/>
      <c r="AC410" s="18" t="inlineStr"/>
      <c r="AD410" s="18" t="inlineStr"/>
      <c r="AE410" s="18" t="inlineStr">
        <is>
          <t>sky 8-15</t>
        </is>
      </c>
      <c r="AF410" s="18" t="inlineStr"/>
      <c r="AG410" s="18" t="inlineStr"/>
      <c r="AH410" s="18" t="inlineStr"/>
      <c r="AI410" s="18" t="inlineStr"/>
      <c r="AJ410" s="18" t="inlineStr">
        <is>
          <t>COBBLEVERSE 수정</t>
        </is>
      </c>
      <c r="AK410" s="18" t="inlineStr">
        <is>
          <t>사용</t>
        </is>
      </c>
      <c r="AL410" s="18" t="inlineStr">
        <is>
          <t>COBBLEVERSE 1.7.42 / DP v31</t>
        </is>
      </c>
      <c r="AM410" s="18" t="inlineStr">
        <is>
          <t>data/cobblemon/spawn_pool_world/0110_weezing.json</t>
        </is>
      </c>
      <c r="AN410" s="18" t="inlineStr">
        <is>
          <t>weezing-galarian-4</t>
        </is>
      </c>
      <c r="AO410" s="18" t="inlineStr">
        <is>
          <t>pokemon</t>
        </is>
      </c>
      <c r="AP410" s="18" t="inlineStr">
        <is>
          <t>natural</t>
        </is>
      </c>
      <c r="AQ410" s="18" t="inlineStr">
        <is>
          <t>{"biomes":["#cobblemon:is_magical"],"maxSkyLight":15,"minSkyLight":8}</t>
        </is>
      </c>
      <c r="AR410" s="18" t="inlineStr"/>
      <c r="AS410" s="18" t="inlineStr">
        <is>
          <t>{"weightMultiplier":{"condition":{"timeRange":"night"},"multiplier":1.5}}</t>
        </is>
      </c>
      <c r="AT410" s="19" t="inlineStr"/>
    </row>
    <row r="411" ht="32" customHeight="1">
      <c r="A411" s="18" t="inlineStr">
        <is>
          <t>0110_weezing.json::weezing-galarian-5::005</t>
        </is>
      </c>
      <c r="B411" s="19" t="inlineStr">
        <is>
          <t>사용</t>
        </is>
      </c>
      <c r="C411" s="18">
        <f>IF(OR(B411&lt;&gt;AK411,M411&lt;&gt;L411,O411&lt;&gt;"",Q411&lt;&gt;"",V411&lt;&gt;1,Y411&lt;&gt;"",AT411&lt;&gt;""),"수정","원본")</f>
        <v/>
      </c>
      <c r="D411" s="18" t="n">
        <v>110</v>
      </c>
      <c r="E411" s="18" t="inlineStr">
        <is>
          <t>또도가스</t>
        </is>
      </c>
      <c r="F411" s="18" t="inlineStr">
        <is>
          <t>weezing</t>
        </is>
      </c>
      <c r="G411" s="18" t="inlineStr">
        <is>
          <t>weezing galarian</t>
        </is>
      </c>
      <c r="H411" s="18" t="inlineStr">
        <is>
          <t>galarian</t>
        </is>
      </c>
      <c r="I411" s="18" t="n">
        <v>1</v>
      </c>
      <c r="J411" s="18" t="n">
        <v>8</v>
      </c>
      <c r="K411" s="18" t="n">
        <v>8</v>
      </c>
      <c r="L411" s="18" t="inlineStr">
        <is>
          <t>cobbleventure:generation_8</t>
        </is>
      </c>
      <c r="M411" s="19" t="inlineStr">
        <is>
          <t>cobbleventure:generation_8</t>
        </is>
      </c>
      <c r="N411" s="18" t="inlineStr"/>
      <c r="O411" s="19" t="inlineStr"/>
      <c r="P411" s="18" t="inlineStr">
        <is>
          <t>#cobblemon:is_spooky</t>
        </is>
      </c>
      <c r="Q411" s="19" t="inlineStr"/>
      <c r="R411" s="18">
        <f>IF(Q411="",P411,Q411)</f>
        <v/>
      </c>
      <c r="S411" s="18" t="inlineStr"/>
      <c r="T411" s="18" t="inlineStr">
        <is>
          <t>common</t>
        </is>
      </c>
      <c r="U411" s="20" t="n">
        <v>0.2</v>
      </c>
      <c r="V411" s="21" t="n">
        <v>1</v>
      </c>
      <c r="W411" s="20">
        <f>IF(OR(U411="",V411=""),U411,U411*V411)</f>
        <v/>
      </c>
      <c r="X411" s="18" t="inlineStr">
        <is>
          <t>35-49</t>
        </is>
      </c>
      <c r="Y411" s="19" t="inlineStr"/>
      <c r="Z411" s="18">
        <f>IF(Y411="",X411,Y411)</f>
        <v/>
      </c>
      <c r="AA411" s="18" t="inlineStr">
        <is>
          <t>grounded</t>
        </is>
      </c>
      <c r="AB411" s="18" t="inlineStr"/>
      <c r="AC411" s="18" t="inlineStr"/>
      <c r="AD411" s="18" t="inlineStr"/>
      <c r="AE411" s="18" t="inlineStr">
        <is>
          <t>sky 8-15</t>
        </is>
      </c>
      <c r="AF411" s="18" t="inlineStr"/>
      <c r="AG411" s="18" t="inlineStr"/>
      <c r="AH411" s="18" t="inlineStr"/>
      <c r="AI411" s="18" t="inlineStr"/>
      <c r="AJ411" s="18" t="inlineStr">
        <is>
          <t>COBBLEVERSE 수정</t>
        </is>
      </c>
      <c r="AK411" s="18" t="inlineStr">
        <is>
          <t>사용</t>
        </is>
      </c>
      <c r="AL411" s="18" t="inlineStr">
        <is>
          <t>COBBLEVERSE 1.7.42 / DP v31</t>
        </is>
      </c>
      <c r="AM411" s="18" t="inlineStr">
        <is>
          <t>data/cobblemon/spawn_pool_world/0110_weezing.json</t>
        </is>
      </c>
      <c r="AN411" s="18" t="inlineStr">
        <is>
          <t>weezing-galarian-5</t>
        </is>
      </c>
      <c r="AO411" s="18" t="inlineStr">
        <is>
          <t>pokemon</t>
        </is>
      </c>
      <c r="AP411" s="18" t="inlineStr">
        <is>
          <t>natural</t>
        </is>
      </c>
      <c r="AQ411" s="18" t="inlineStr">
        <is>
          <t>{"biomes":["#cobblemon:is_spooky"],"maxSkyLight":15,"minSkyLight":8}</t>
        </is>
      </c>
      <c r="AR411" s="18" t="inlineStr"/>
      <c r="AS411" s="18" t="inlineStr">
        <is>
          <t>{"weightMultiplier":{"condition":{"timeRange":"night"},"multiplier":1.5}}</t>
        </is>
      </c>
      <c r="AT411" s="19" t="inlineStr"/>
    </row>
    <row r="412" ht="32" customHeight="1">
      <c r="A412" s="18" t="inlineStr">
        <is>
          <t>0111_rhyhorn.json::rhyhorn-1::001</t>
        </is>
      </c>
      <c r="B412" s="19" t="inlineStr">
        <is>
          <t>사용</t>
        </is>
      </c>
      <c r="C412" s="18">
        <f>IF(OR(B412&lt;&gt;AK412,M412&lt;&gt;L412,O412&lt;&gt;"",Q412&lt;&gt;"",V412&lt;&gt;1,Y412&lt;&gt;"",AT412&lt;&gt;""),"수정","원본")</f>
        <v/>
      </c>
      <c r="D412" s="18" t="n">
        <v>111</v>
      </c>
      <c r="E412" s="18" t="inlineStr">
        <is>
          <t>뿔카노</t>
        </is>
      </c>
      <c r="F412" s="18" t="inlineStr">
        <is>
          <t>rhyhorn</t>
        </is>
      </c>
      <c r="G412" s="18" t="inlineStr">
        <is>
          <t>rhyhorn</t>
        </is>
      </c>
      <c r="H412" s="18" t="inlineStr"/>
      <c r="I412" s="18" t="n">
        <v>1</v>
      </c>
      <c r="J412" s="18" t="n"/>
      <c r="K412" s="18" t="n">
        <v>1</v>
      </c>
      <c r="L412" s="18" t="inlineStr">
        <is>
          <t>cobbleventure:generation_1</t>
        </is>
      </c>
      <c r="M412" s="19" t="inlineStr">
        <is>
          <t>cobbleventure:generation_1</t>
        </is>
      </c>
      <c r="N412" s="18" t="inlineStr"/>
      <c r="O412" s="19" t="inlineStr"/>
      <c r="P412" s="18" t="inlineStr">
        <is>
          <t>#cobblemon:is_mountain; #cobblemon:is_savanna</t>
        </is>
      </c>
      <c r="Q412" s="19" t="inlineStr"/>
      <c r="R412" s="18">
        <f>IF(Q412="",P412,Q412)</f>
        <v/>
      </c>
      <c r="S412" s="18" t="inlineStr">
        <is>
          <t>#cobblemon:is_cold</t>
        </is>
      </c>
      <c r="T412" s="18" t="inlineStr">
        <is>
          <t>common</t>
        </is>
      </c>
      <c r="U412" s="20" t="n">
        <v>1.8</v>
      </c>
      <c r="V412" s="21" t="n">
        <v>1</v>
      </c>
      <c r="W412" s="20">
        <f>IF(OR(U412="",V412=""),U412,U412*V412)</f>
        <v/>
      </c>
      <c r="X412" s="18" t="inlineStr">
        <is>
          <t>10-35</t>
        </is>
      </c>
      <c r="Y412" s="19" t="inlineStr"/>
      <c r="Z412" s="18">
        <f>IF(Y412="",X412,Y412)</f>
        <v/>
      </c>
      <c r="AA412" s="18" t="inlineStr">
        <is>
          <t>grounded</t>
        </is>
      </c>
      <c r="AB412" s="18" t="inlineStr"/>
      <c r="AC412" s="18" t="inlineStr"/>
      <c r="AD412" s="18" t="inlineStr"/>
      <c r="AE412" s="18" t="inlineStr">
        <is>
          <t>sky 8-15</t>
        </is>
      </c>
      <c r="AF412" s="18" t="inlineStr"/>
      <c r="AG412" s="18" t="inlineStr"/>
      <c r="AH412" s="18" t="inlineStr"/>
      <c r="AI412" s="18" t="inlineStr"/>
      <c r="AJ412" s="18" t="inlineStr">
        <is>
          <t>Cobblemon 동일</t>
        </is>
      </c>
      <c r="AK412" s="18" t="inlineStr">
        <is>
          <t>사용</t>
        </is>
      </c>
      <c r="AL412" s="18" t="inlineStr">
        <is>
          <t>COBBLEVERSE 1.7.42 / DP v31</t>
        </is>
      </c>
      <c r="AM412" s="18" t="inlineStr">
        <is>
          <t>data/cobblemon/spawn_pool_world/0111_rhyhorn.json</t>
        </is>
      </c>
      <c r="AN412" s="18" t="inlineStr">
        <is>
          <t>rhyhorn-1</t>
        </is>
      </c>
      <c r="AO412" s="18" t="inlineStr">
        <is>
          <t>pokemon</t>
        </is>
      </c>
      <c r="AP412" s="18" t="inlineStr">
        <is>
          <t>natural; wild</t>
        </is>
      </c>
      <c r="AQ412" s="18" t="inlineStr">
        <is>
          <t>{"biomes":["#cobblemon:is_mountain","#cobblemon:is_savanna"],"maxSkyLight":15,"minSkyLight":8}</t>
        </is>
      </c>
      <c r="AR412" s="18" t="inlineStr">
        <is>
          <t>{"biomes":["#cobblemon:is_cold"]}</t>
        </is>
      </c>
      <c r="AS412" s="18" t="inlineStr">
        <is>
          <t>{"weightMultiplier":{"condition":{"timeRange":"night"},"multiplier":0.25}}</t>
        </is>
      </c>
      <c r="AT412" s="19" t="inlineStr"/>
    </row>
    <row r="413" ht="32" customHeight="1">
      <c r="A413" s="18" t="inlineStr">
        <is>
          <t>0112_rhydon.json::rhydon-1::001</t>
        </is>
      </c>
      <c r="B413" s="19" t="inlineStr">
        <is>
          <t>사용</t>
        </is>
      </c>
      <c r="C413" s="18">
        <f>IF(OR(B413&lt;&gt;AK413,M413&lt;&gt;L413,O413&lt;&gt;"",Q413&lt;&gt;"",V413&lt;&gt;1,Y413&lt;&gt;"",AT413&lt;&gt;""),"수정","원본")</f>
        <v/>
      </c>
      <c r="D413" s="18" t="n">
        <v>112</v>
      </c>
      <c r="E413" s="18" t="inlineStr">
        <is>
          <t>코뿌리</t>
        </is>
      </c>
      <c r="F413" s="18" t="inlineStr">
        <is>
          <t>rhydon</t>
        </is>
      </c>
      <c r="G413" s="18" t="inlineStr">
        <is>
          <t>rhydon</t>
        </is>
      </c>
      <c r="H413" s="18" t="inlineStr"/>
      <c r="I413" s="18" t="n">
        <v>1</v>
      </c>
      <c r="J413" s="18" t="n"/>
      <c r="K413" s="18" t="n">
        <v>1</v>
      </c>
      <c r="L413" s="18" t="inlineStr">
        <is>
          <t>cobbleventure:generation_1</t>
        </is>
      </c>
      <c r="M413" s="19" t="inlineStr">
        <is>
          <t>cobbleventure:generation_1</t>
        </is>
      </c>
      <c r="N413" s="18" t="inlineStr"/>
      <c r="O413" s="19" t="inlineStr"/>
      <c r="P413" s="18" t="inlineStr">
        <is>
          <t>#cobblemon:is_mountain; #cobblemon:is_savanna</t>
        </is>
      </c>
      <c r="Q413" s="19" t="inlineStr"/>
      <c r="R413" s="18">
        <f>IF(Q413="",P413,Q413)</f>
        <v/>
      </c>
      <c r="S413" s="18" t="inlineStr">
        <is>
          <t>#cobblemon:is_cold</t>
        </is>
      </c>
      <c r="T413" s="18" t="inlineStr">
        <is>
          <t>common</t>
        </is>
      </c>
      <c r="U413" s="20" t="n">
        <v>0.19</v>
      </c>
      <c r="V413" s="21" t="n">
        <v>1</v>
      </c>
      <c r="W413" s="20">
        <f>IF(OR(U413="",V413=""),U413,U413*V413)</f>
        <v/>
      </c>
      <c r="X413" s="18" t="inlineStr">
        <is>
          <t>42-49</t>
        </is>
      </c>
      <c r="Y413" s="19" t="inlineStr"/>
      <c r="Z413" s="18">
        <f>IF(Y413="",X413,Y413)</f>
        <v/>
      </c>
      <c r="AA413" s="18" t="inlineStr">
        <is>
          <t>grounded</t>
        </is>
      </c>
      <c r="AB413" s="18" t="inlineStr"/>
      <c r="AC413" s="18" t="inlineStr"/>
      <c r="AD413" s="18" t="inlineStr"/>
      <c r="AE413" s="18" t="inlineStr">
        <is>
          <t>sky 8-15</t>
        </is>
      </c>
      <c r="AF413" s="18" t="inlineStr"/>
      <c r="AG413" s="18" t="inlineStr"/>
      <c r="AH413" s="18" t="inlineStr"/>
      <c r="AI413" s="18" t="inlineStr"/>
      <c r="AJ413" s="18" t="inlineStr">
        <is>
          <t>Cobblemon 동일</t>
        </is>
      </c>
      <c r="AK413" s="18" t="inlineStr">
        <is>
          <t>사용</t>
        </is>
      </c>
      <c r="AL413" s="18" t="inlineStr">
        <is>
          <t>COBBLEVERSE 1.7.42 / DP v31</t>
        </is>
      </c>
      <c r="AM413" s="18" t="inlineStr">
        <is>
          <t>data/cobblemon/spawn_pool_world/0112_rhydon.json</t>
        </is>
      </c>
      <c r="AN413" s="18" t="inlineStr">
        <is>
          <t>rhydon-1</t>
        </is>
      </c>
      <c r="AO413" s="18" t="inlineStr">
        <is>
          <t>pokemon</t>
        </is>
      </c>
      <c r="AP413" s="18" t="inlineStr">
        <is>
          <t>natural; wild</t>
        </is>
      </c>
      <c r="AQ413" s="18" t="inlineStr">
        <is>
          <t>{"biomes":["#cobblemon:is_mountain","#cobblemon:is_savanna"],"maxSkyLight":15,"minSkyLight":8}</t>
        </is>
      </c>
      <c r="AR413" s="18" t="inlineStr">
        <is>
          <t>{"biomes":["#cobblemon:is_cold"]}</t>
        </is>
      </c>
      <c r="AS413" s="18" t="inlineStr">
        <is>
          <t>{"weightMultiplier":{"condition":{"timeRange":"night"},"multiplier":0.25}}</t>
        </is>
      </c>
      <c r="AT413" s="19" t="inlineStr"/>
    </row>
    <row r="414" ht="32" customHeight="1">
      <c r="A414" s="18" t="inlineStr">
        <is>
          <t>0113_chansey.json::chansey-1::001</t>
        </is>
      </c>
      <c r="B414" s="19" t="inlineStr">
        <is>
          <t>사용</t>
        </is>
      </c>
      <c r="C414" s="18">
        <f>IF(OR(B414&lt;&gt;AK414,M414&lt;&gt;L414,O414&lt;&gt;"",Q414&lt;&gt;"",V414&lt;&gt;1,Y414&lt;&gt;"",AT414&lt;&gt;""),"수정","원본")</f>
        <v/>
      </c>
      <c r="D414" s="18" t="n">
        <v>113</v>
      </c>
      <c r="E414" s="18" t="inlineStr">
        <is>
          <t>럭키</t>
        </is>
      </c>
      <c r="F414" s="18" t="inlineStr">
        <is>
          <t>chansey</t>
        </is>
      </c>
      <c r="G414" s="18" t="inlineStr">
        <is>
          <t>chansey</t>
        </is>
      </c>
      <c r="H414" s="18" t="inlineStr"/>
      <c r="I414" s="18" t="n">
        <v>1</v>
      </c>
      <c r="J414" s="18" t="n"/>
      <c r="K414" s="18" t="n">
        <v>1</v>
      </c>
      <c r="L414" s="18" t="inlineStr">
        <is>
          <t>cobbleventure:generation_1</t>
        </is>
      </c>
      <c r="M414" s="19" t="inlineStr">
        <is>
          <t>cobbleventure:generation_1</t>
        </is>
      </c>
      <c r="N414" s="18" t="inlineStr">
        <is>
          <t>region_01; region_02</t>
        </is>
      </c>
      <c r="O414" s="19" t="inlineStr"/>
      <c r="P414" s="18" t="inlineStr">
        <is>
          <t>#cobblemon:is_overworld</t>
        </is>
      </c>
      <c r="Q414" s="19" t="inlineStr"/>
      <c r="R414" s="18">
        <f>IF(Q414="",P414,Q414)</f>
        <v/>
      </c>
      <c r="S414" s="18" t="inlineStr"/>
      <c r="T414" s="18" t="inlineStr">
        <is>
          <t>rare</t>
        </is>
      </c>
      <c r="U414" s="20" t="n">
        <v>1.125</v>
      </c>
      <c r="V414" s="21" t="n">
        <v>1</v>
      </c>
      <c r="W414" s="20">
        <f>IF(OR(U414="",V414=""),U414,U414*V414)</f>
        <v/>
      </c>
      <c r="X414" s="18" t="inlineStr">
        <is>
          <t>17-45</t>
        </is>
      </c>
      <c r="Y414" s="19" t="inlineStr"/>
      <c r="Z414" s="18">
        <f>IF(Y414="",X414,Y414)</f>
        <v/>
      </c>
      <c r="AA414" s="18" t="inlineStr"/>
      <c r="AB414" s="18" t="inlineStr"/>
      <c r="AC414" s="18" t="inlineStr"/>
      <c r="AD414" s="18" t="inlineStr"/>
      <c r="AE414" s="18" t="inlineStr">
        <is>
          <t>sky 8-15</t>
        </is>
      </c>
      <c r="AF414" s="18" t="inlineStr"/>
      <c r="AG414" s="18" t="inlineStr"/>
      <c r="AH414" s="18" t="inlineStr"/>
      <c r="AI414" s="18" t="inlineStr">
        <is>
          <t>{"spawn":{"context":"grounded"}}</t>
        </is>
      </c>
      <c r="AJ414" s="18" t="inlineStr">
        <is>
          <t>COBBLEVERSE 수정</t>
        </is>
      </c>
      <c r="AK414" s="18" t="inlineStr">
        <is>
          <t>사용</t>
        </is>
      </c>
      <c r="AL414" s="18" t="inlineStr">
        <is>
          <t>COBBLEVERSE 1.7.42 / DP v31</t>
        </is>
      </c>
      <c r="AM414" s="18" t="inlineStr">
        <is>
          <t>data/cobblemon/spawn_pool_world/0113_chansey.json</t>
        </is>
      </c>
      <c r="AN414" s="18" t="inlineStr">
        <is>
          <t>chansey-1</t>
        </is>
      </c>
      <c r="AO414" s="18" t="inlineStr">
        <is>
          <t>pokemon</t>
        </is>
      </c>
      <c r="AP414" s="18" t="inlineStr">
        <is>
          <t>natural</t>
        </is>
      </c>
      <c r="AQ414" s="18" t="inlineStr">
        <is>
          <t>{"biomes":["#cobblemon:is_overworld"],"maxSkyLight":15,"minSkyLight":8}</t>
        </is>
      </c>
      <c r="AR414" s="18" t="inlineStr"/>
      <c r="AS414" s="18" t="inlineStr">
        <is>
          <t>{"weightMultiplier":{"condition":{"timeRange":"night"},"multiplier":0.25}}</t>
        </is>
      </c>
      <c r="AT414" s="19" t="inlineStr"/>
    </row>
    <row r="415" ht="32" customHeight="1">
      <c r="A415" s="18" t="inlineStr">
        <is>
          <t>0113_chansey.json::chansey-2::002</t>
        </is>
      </c>
      <c r="B415" s="19" t="inlineStr">
        <is>
          <t>사용</t>
        </is>
      </c>
      <c r="C415" s="18">
        <f>IF(OR(B415&lt;&gt;AK415,M415&lt;&gt;L415,O415&lt;&gt;"",Q415&lt;&gt;"",V415&lt;&gt;1,Y415&lt;&gt;"",AT415&lt;&gt;""),"수정","원본")</f>
        <v/>
      </c>
      <c r="D415" s="18" t="n">
        <v>113</v>
      </c>
      <c r="E415" s="18" t="inlineStr">
        <is>
          <t>럭키</t>
        </is>
      </c>
      <c r="F415" s="18" t="inlineStr">
        <is>
          <t>chansey</t>
        </is>
      </c>
      <c r="G415" s="18" t="inlineStr">
        <is>
          <t>chansey</t>
        </is>
      </c>
      <c r="H415" s="18" t="inlineStr"/>
      <c r="I415" s="18" t="n">
        <v>1</v>
      </c>
      <c r="J415" s="18" t="n"/>
      <c r="K415" s="18" t="n">
        <v>1</v>
      </c>
      <c r="L415" s="18" t="inlineStr">
        <is>
          <t>cobbleventure:generation_1</t>
        </is>
      </c>
      <c r="M415" s="19" t="inlineStr">
        <is>
          <t>cobbleventure:generation_1</t>
        </is>
      </c>
      <c r="N415" s="18" t="inlineStr">
        <is>
          <t>region_01; region_02</t>
        </is>
      </c>
      <c r="O415" s="19" t="inlineStr"/>
      <c r="P415" s="18" t="inlineStr">
        <is>
          <t>#cobblemon:is_overworld</t>
        </is>
      </c>
      <c r="Q415" s="19" t="inlineStr"/>
      <c r="R415" s="18">
        <f>IF(Q415="",P415,Q415)</f>
        <v/>
      </c>
      <c r="S415" s="18" t="inlineStr"/>
      <c r="T415" s="18" t="inlineStr">
        <is>
          <t>rare</t>
        </is>
      </c>
      <c r="U415" s="20" t="n">
        <v>1.125</v>
      </c>
      <c r="V415" s="21" t="n">
        <v>1</v>
      </c>
      <c r="W415" s="20">
        <f>IF(OR(U415="",V415=""),U415,U415*V415)</f>
        <v/>
      </c>
      <c r="X415" s="18" t="inlineStr">
        <is>
          <t>17-45</t>
        </is>
      </c>
      <c r="Y415" s="19" t="inlineStr"/>
      <c r="Z415" s="18">
        <f>IF(Y415="",X415,Y415)</f>
        <v/>
      </c>
      <c r="AA415" s="18" t="inlineStr"/>
      <c r="AB415" s="18" t="inlineStr"/>
      <c r="AC415" s="18" t="inlineStr"/>
      <c r="AD415" s="18" t="inlineStr"/>
      <c r="AE415" s="18" t="inlineStr">
        <is>
          <t>sky 8-15</t>
        </is>
      </c>
      <c r="AF415" s="18" t="inlineStr"/>
      <c r="AG415" s="18" t="inlineStr">
        <is>
          <t>#minecraft:village</t>
        </is>
      </c>
      <c r="AH415" s="18" t="inlineStr"/>
      <c r="AI415" s="18" t="inlineStr">
        <is>
          <t>{"spawn":{"context":"grounded"}}</t>
        </is>
      </c>
      <c r="AJ415" s="18" t="inlineStr">
        <is>
          <t>COBBLEVERSE 수정</t>
        </is>
      </c>
      <c r="AK415" s="18" t="inlineStr">
        <is>
          <t>사용</t>
        </is>
      </c>
      <c r="AL415" s="18" t="inlineStr">
        <is>
          <t>COBBLEVERSE 1.7.42 / DP v31</t>
        </is>
      </c>
      <c r="AM415" s="18" t="inlineStr">
        <is>
          <t>data/cobblemon/spawn_pool_world/0113_chansey.json</t>
        </is>
      </c>
      <c r="AN415" s="18" t="inlineStr">
        <is>
          <t>chansey-2</t>
        </is>
      </c>
      <c r="AO415" s="18" t="inlineStr">
        <is>
          <t>pokemon</t>
        </is>
      </c>
      <c r="AP415" s="18" t="inlineStr">
        <is>
          <t>natural</t>
        </is>
      </c>
      <c r="AQ415" s="18" t="inlineStr">
        <is>
          <t>{"biomes":["#cobblemon:is_overworld"],"maxSkyLight":15,"minSkyLight":8,"structures":["#minecraft:village"]}</t>
        </is>
      </c>
      <c r="AR415" s="18" t="inlineStr"/>
      <c r="AS415" s="18" t="inlineStr">
        <is>
          <t>{"weightMultiplier":{"condition":{"timeRange":"night"},"multiplier":0.25}}</t>
        </is>
      </c>
      <c r="AT415" s="19" t="inlineStr"/>
    </row>
    <row r="416" ht="32" customHeight="1">
      <c r="A416" s="18" t="inlineStr">
        <is>
          <t>0113_chansey.json::chansey-3::003</t>
        </is>
      </c>
      <c r="B416" s="19" t="inlineStr">
        <is>
          <t>사용</t>
        </is>
      </c>
      <c r="C416" s="18">
        <f>IF(OR(B416&lt;&gt;AK416,M416&lt;&gt;L416,O416&lt;&gt;"",Q416&lt;&gt;"",V416&lt;&gt;1,Y416&lt;&gt;"",AT416&lt;&gt;""),"수정","원본")</f>
        <v/>
      </c>
      <c r="D416" s="18" t="n">
        <v>113</v>
      </c>
      <c r="E416" s="18" t="inlineStr">
        <is>
          <t>럭키</t>
        </is>
      </c>
      <c r="F416" s="18" t="inlineStr">
        <is>
          <t>chansey</t>
        </is>
      </c>
      <c r="G416" s="18" t="inlineStr">
        <is>
          <t>chansey</t>
        </is>
      </c>
      <c r="H416" s="18" t="inlineStr"/>
      <c r="I416" s="18" t="n">
        <v>1</v>
      </c>
      <c r="J416" s="18" t="n"/>
      <c r="K416" s="18" t="n">
        <v>1</v>
      </c>
      <c r="L416" s="18" t="inlineStr">
        <is>
          <t>cobbleventure:generation_1</t>
        </is>
      </c>
      <c r="M416" s="19" t="inlineStr">
        <is>
          <t>cobbleventure:generation_1</t>
        </is>
      </c>
      <c r="N416" s="18" t="inlineStr"/>
      <c r="O416" s="19" t="inlineStr"/>
      <c r="P416" s="18" t="inlineStr">
        <is>
          <t>#aether:is_aether</t>
        </is>
      </c>
      <c r="Q416" s="19" t="inlineStr"/>
      <c r="R416" s="18">
        <f>IF(Q416="",P416,Q416)</f>
        <v/>
      </c>
      <c r="S416" s="18" t="inlineStr"/>
      <c r="T416" s="18" t="inlineStr">
        <is>
          <t>rare</t>
        </is>
      </c>
      <c r="U416" s="20" t="n">
        <v>1.125</v>
      </c>
      <c r="V416" s="21" t="n">
        <v>1</v>
      </c>
      <c r="W416" s="20">
        <f>IF(OR(U416="",V416=""),U416,U416*V416)</f>
        <v/>
      </c>
      <c r="X416" s="18" t="inlineStr">
        <is>
          <t>17-45</t>
        </is>
      </c>
      <c r="Y416" s="19" t="inlineStr"/>
      <c r="Z416" s="18">
        <f>IF(Y416="",X416,Y416)</f>
        <v/>
      </c>
      <c r="AA416" s="18" t="inlineStr"/>
      <c r="AB416" s="18" t="inlineStr"/>
      <c r="AC416" s="18" t="inlineStr"/>
      <c r="AD416" s="18" t="inlineStr"/>
      <c r="AE416" s="18" t="inlineStr">
        <is>
          <t>sky 8-15</t>
        </is>
      </c>
      <c r="AF416" s="18" t="inlineStr"/>
      <c r="AG416" s="18" t="inlineStr"/>
      <c r="AH416" s="18" t="inlineStr"/>
      <c r="AI416" s="18" t="inlineStr">
        <is>
          <t>{"spawn":{"context":"grounded"}}</t>
        </is>
      </c>
      <c r="AJ416" s="18" t="inlineStr">
        <is>
          <t>COBBLEVERSE 수정</t>
        </is>
      </c>
      <c r="AK416" s="18" t="inlineStr">
        <is>
          <t>사용</t>
        </is>
      </c>
      <c r="AL416" s="18" t="inlineStr">
        <is>
          <t>COBBLEVERSE 1.7.42 / DP v31</t>
        </is>
      </c>
      <c r="AM416" s="18" t="inlineStr">
        <is>
          <t>data/cobblemon/spawn_pool_world/0113_chansey.json</t>
        </is>
      </c>
      <c r="AN416" s="18" t="inlineStr">
        <is>
          <t>chansey-3</t>
        </is>
      </c>
      <c r="AO416" s="18" t="inlineStr">
        <is>
          <t>pokemon</t>
        </is>
      </c>
      <c r="AP416" s="18" t="inlineStr">
        <is>
          <t>natural</t>
        </is>
      </c>
      <c r="AQ416" s="18" t="inlineStr">
        <is>
          <t>{"biomes":["#aether:is_aether"],"maxSkyLight":15,"minSkyLight":8}</t>
        </is>
      </c>
      <c r="AR416" s="18" t="inlineStr"/>
      <c r="AS416" s="18" t="inlineStr"/>
      <c r="AT416" s="19" t="inlineStr"/>
    </row>
    <row r="417" ht="32" customHeight="1">
      <c r="A417" s="18" t="inlineStr">
        <is>
          <t>0114_tangela.json::tangela-1::001</t>
        </is>
      </c>
      <c r="B417" s="19" t="inlineStr">
        <is>
          <t>사용</t>
        </is>
      </c>
      <c r="C417" s="18">
        <f>IF(OR(B417&lt;&gt;AK417,M417&lt;&gt;L417,O417&lt;&gt;"",Q417&lt;&gt;"",V417&lt;&gt;1,Y417&lt;&gt;"",AT417&lt;&gt;""),"수정","원본")</f>
        <v/>
      </c>
      <c r="D417" s="18" t="n">
        <v>114</v>
      </c>
      <c r="E417" s="18" t="inlineStr">
        <is>
          <t>덩쿠리</t>
        </is>
      </c>
      <c r="F417" s="18" t="inlineStr">
        <is>
          <t>tangela</t>
        </is>
      </c>
      <c r="G417" s="18" t="inlineStr">
        <is>
          <t>tangela</t>
        </is>
      </c>
      <c r="H417" s="18" t="inlineStr"/>
      <c r="I417" s="18" t="n">
        <v>1</v>
      </c>
      <c r="J417" s="18" t="n"/>
      <c r="K417" s="18" t="n">
        <v>1</v>
      </c>
      <c r="L417" s="18" t="inlineStr">
        <is>
          <t>cobbleventure:generation_1</t>
        </is>
      </c>
      <c r="M417" s="19" t="inlineStr">
        <is>
          <t>cobbleventure:generation_1</t>
        </is>
      </c>
      <c r="N417" s="18" t="inlineStr"/>
      <c r="O417" s="19" t="inlineStr"/>
      <c r="P417" s="18" t="inlineStr">
        <is>
          <t>#cobblemon:is_jungle</t>
        </is>
      </c>
      <c r="Q417" s="19" t="inlineStr"/>
      <c r="R417" s="18">
        <f>IF(Q417="",P417,Q417)</f>
        <v/>
      </c>
      <c r="S417" s="18" t="inlineStr"/>
      <c r="T417" s="18" t="inlineStr">
        <is>
          <t>common</t>
        </is>
      </c>
      <c r="U417" s="20" t="n">
        <v>1.8</v>
      </c>
      <c r="V417" s="21" t="n">
        <v>1</v>
      </c>
      <c r="W417" s="20">
        <f>IF(OR(U417="",V417=""),U417,U417*V417)</f>
        <v/>
      </c>
      <c r="X417" s="18" t="inlineStr">
        <is>
          <t>19-44</t>
        </is>
      </c>
      <c r="Y417" s="19" t="inlineStr"/>
      <c r="Z417" s="18">
        <f>IF(Y417="",X417,Y417)</f>
        <v/>
      </c>
      <c r="AA417" s="18" t="inlineStr">
        <is>
          <t>grounded</t>
        </is>
      </c>
      <c r="AB417" s="18" t="inlineStr"/>
      <c r="AC417" s="18" t="inlineStr"/>
      <c r="AD417" s="18" t="inlineStr"/>
      <c r="AE417" s="18" t="inlineStr">
        <is>
          <t>sky 8-15</t>
        </is>
      </c>
      <c r="AF417" s="18" t="inlineStr"/>
      <c r="AG417" s="18" t="inlineStr"/>
      <c r="AH417" s="18" t="inlineStr"/>
      <c r="AI417" s="18" t="inlineStr"/>
      <c r="AJ417" s="18" t="inlineStr">
        <is>
          <t>Cobblemon 동일</t>
        </is>
      </c>
      <c r="AK417" s="18" t="inlineStr">
        <is>
          <t>사용</t>
        </is>
      </c>
      <c r="AL417" s="18" t="inlineStr">
        <is>
          <t>COBBLEVERSE 1.7.42 / DP v31</t>
        </is>
      </c>
      <c r="AM417" s="18" t="inlineStr">
        <is>
          <t>data/cobblemon/spawn_pool_world/0114_tangela.json</t>
        </is>
      </c>
      <c r="AN417" s="18" t="inlineStr">
        <is>
          <t>tangela-1</t>
        </is>
      </c>
      <c r="AO417" s="18" t="inlineStr">
        <is>
          <t>pokemon</t>
        </is>
      </c>
      <c r="AP417" s="18" t="inlineStr">
        <is>
          <t>natural; wild</t>
        </is>
      </c>
      <c r="AQ417" s="18" t="inlineStr">
        <is>
          <t>{"biomes":["#cobblemon:is_jungle"],"maxSkyLight":15,"minSkyLight":8}</t>
        </is>
      </c>
      <c r="AR417" s="18" t="inlineStr"/>
      <c r="AS417" s="18" t="inlineStr"/>
      <c r="AT417" s="19" t="inlineStr"/>
    </row>
    <row r="418" ht="32" customHeight="1">
      <c r="A418" s="18" t="inlineStr">
        <is>
          <t>0115_kangaskhan.json::kangaskhan-1::001</t>
        </is>
      </c>
      <c r="B418" s="19" t="inlineStr">
        <is>
          <t>사용</t>
        </is>
      </c>
      <c r="C418" s="18">
        <f>IF(OR(B418&lt;&gt;AK418,M418&lt;&gt;L418,O418&lt;&gt;"",Q418&lt;&gt;"",V418&lt;&gt;1,Y418&lt;&gt;"",AT418&lt;&gt;""),"수정","원본")</f>
        <v/>
      </c>
      <c r="D418" s="18" t="n">
        <v>115</v>
      </c>
      <c r="E418" s="18" t="inlineStr">
        <is>
          <t>캥카</t>
        </is>
      </c>
      <c r="F418" s="18" t="inlineStr">
        <is>
          <t>kangaskhan</t>
        </is>
      </c>
      <c r="G418" s="18" t="inlineStr">
        <is>
          <t>kangaskhan</t>
        </is>
      </c>
      <c r="H418" s="18" t="inlineStr"/>
      <c r="I418" s="18" t="n">
        <v>1</v>
      </c>
      <c r="J418" s="18" t="n"/>
      <c r="K418" s="18" t="n">
        <v>1</v>
      </c>
      <c r="L418" s="18" t="inlineStr">
        <is>
          <t>cobbleventure:generation_1</t>
        </is>
      </c>
      <c r="M418" s="19" t="inlineStr">
        <is>
          <t>cobbleventure:generation_1</t>
        </is>
      </c>
      <c r="N418" s="18" t="inlineStr"/>
      <c r="O418" s="19" t="inlineStr"/>
      <c r="P418" s="18" t="inlineStr">
        <is>
          <t>#cobblemon:is_savanna</t>
        </is>
      </c>
      <c r="Q418" s="19" t="inlineStr"/>
      <c r="R418" s="18">
        <f>IF(Q418="",P418,Q418)</f>
        <v/>
      </c>
      <c r="S418" s="18" t="inlineStr"/>
      <c r="T418" s="18" t="inlineStr">
        <is>
          <t>rare</t>
        </is>
      </c>
      <c r="U418" s="20" t="n">
        <v>10</v>
      </c>
      <c r="V418" s="21" t="n">
        <v>1</v>
      </c>
      <c r="W418" s="20">
        <f>IF(OR(U418="",V418=""),U418,U418*V418)</f>
        <v/>
      </c>
      <c r="X418" s="18" t="inlineStr">
        <is>
          <t>24-49</t>
        </is>
      </c>
      <c r="Y418" s="19" t="inlineStr"/>
      <c r="Z418" s="18">
        <f>IF(Y418="",X418,Y418)</f>
        <v/>
      </c>
      <c r="AA418" s="18" t="inlineStr">
        <is>
          <t>grounded</t>
        </is>
      </c>
      <c r="AB418" s="18" t="inlineStr"/>
      <c r="AC418" s="18" t="inlineStr"/>
      <c r="AD418" s="18" t="inlineStr"/>
      <c r="AE418" s="18" t="inlineStr">
        <is>
          <t>sky 8-15</t>
        </is>
      </c>
      <c r="AF418" s="18" t="inlineStr"/>
      <c r="AG418" s="18" t="inlineStr"/>
      <c r="AH418" s="18" t="inlineStr"/>
      <c r="AI418" s="18" t="inlineStr"/>
      <c r="AJ418" s="18" t="inlineStr">
        <is>
          <t>Cobblemon 동일</t>
        </is>
      </c>
      <c r="AK418" s="18" t="inlineStr">
        <is>
          <t>사용</t>
        </is>
      </c>
      <c r="AL418" s="18" t="inlineStr">
        <is>
          <t>COBBLEVERSE 1.7.42 / DP v31</t>
        </is>
      </c>
      <c r="AM418" s="18" t="inlineStr">
        <is>
          <t>data/cobblemon/spawn_pool_world/0115_kangaskhan.json</t>
        </is>
      </c>
      <c r="AN418" s="18" t="inlineStr">
        <is>
          <t>kangaskhan-1</t>
        </is>
      </c>
      <c r="AO418" s="18" t="inlineStr">
        <is>
          <t>pokemon</t>
        </is>
      </c>
      <c r="AP418" s="18" t="inlineStr">
        <is>
          <t>natural; wild</t>
        </is>
      </c>
      <c r="AQ418" s="18" t="inlineStr">
        <is>
          <t>{"biomes":["#cobblemon:is_savanna"],"maxSkyLight":15,"minSkyLight":8}</t>
        </is>
      </c>
      <c r="AR418" s="18" t="inlineStr"/>
      <c r="AS418" s="18" t="inlineStr">
        <is>
          <t>{"weightMultiplier":{"condition":{"timeRange":"night"},"multiplier":0.25}}</t>
        </is>
      </c>
      <c r="AT418" s="19" t="inlineStr"/>
    </row>
    <row r="419" ht="32" customHeight="1">
      <c r="A419" s="18" t="inlineStr">
        <is>
          <t>0116_horsea.json::horsea-1::001</t>
        </is>
      </c>
      <c r="B419" s="19" t="inlineStr">
        <is>
          <t>사용</t>
        </is>
      </c>
      <c r="C419" s="18">
        <f>IF(OR(B419&lt;&gt;AK419,M419&lt;&gt;L419,O419&lt;&gt;"",Q419&lt;&gt;"",V419&lt;&gt;1,Y419&lt;&gt;"",AT419&lt;&gt;""),"수정","원본")</f>
        <v/>
      </c>
      <c r="D419" s="18" t="n">
        <v>116</v>
      </c>
      <c r="E419" s="18" t="inlineStr">
        <is>
          <t>쏘드라</t>
        </is>
      </c>
      <c r="F419" s="18" t="inlineStr">
        <is>
          <t>horsea</t>
        </is>
      </c>
      <c r="G419" s="18" t="inlineStr">
        <is>
          <t>horsea</t>
        </is>
      </c>
      <c r="H419" s="18" t="inlineStr"/>
      <c r="I419" s="18" t="n">
        <v>1</v>
      </c>
      <c r="J419" s="18" t="n"/>
      <c r="K419" s="18" t="n">
        <v>1</v>
      </c>
      <c r="L419" s="18" t="inlineStr">
        <is>
          <t>cobbleventure:generation_1</t>
        </is>
      </c>
      <c r="M419" s="19" t="inlineStr">
        <is>
          <t>cobbleventure:generation_1</t>
        </is>
      </c>
      <c r="N419" s="18" t="inlineStr"/>
      <c r="O419" s="19" t="inlineStr"/>
      <c r="P419" s="18" t="inlineStr">
        <is>
          <t>#cobblemon:is_lukewarm_ocean; #cobblemon:is_warm_ocean</t>
        </is>
      </c>
      <c r="Q419" s="19" t="inlineStr"/>
      <c r="R419" s="18">
        <f>IF(Q419="",P419,Q419)</f>
        <v/>
      </c>
      <c r="S419" s="18" t="inlineStr"/>
      <c r="T419" s="18" t="inlineStr">
        <is>
          <t>common</t>
        </is>
      </c>
      <c r="U419" s="20" t="n">
        <v>1.8</v>
      </c>
      <c r="V419" s="21" t="n">
        <v>1</v>
      </c>
      <c r="W419" s="20">
        <f>IF(OR(U419="",V419=""),U419,U419*V419)</f>
        <v/>
      </c>
      <c r="X419" s="18" t="inlineStr">
        <is>
          <t>5-30</t>
        </is>
      </c>
      <c r="Y419" s="19" t="inlineStr"/>
      <c r="Z419" s="18">
        <f>IF(Y419="",X419,Y419)</f>
        <v/>
      </c>
      <c r="AA419" s="18" t="inlineStr">
        <is>
          <t>submerged</t>
        </is>
      </c>
      <c r="AB419" s="18" t="inlineStr"/>
      <c r="AC419" s="18" t="inlineStr"/>
      <c r="AD419" s="18" t="inlineStr"/>
      <c r="AE419" s="18" t="inlineStr"/>
      <c r="AF419" s="18" t="inlineStr">
        <is>
          <t>True</t>
        </is>
      </c>
      <c r="AG419" s="18" t="inlineStr"/>
      <c r="AH419" s="18" t="inlineStr"/>
      <c r="AI419" s="18" t="inlineStr"/>
      <c r="AJ419" s="18" t="inlineStr">
        <is>
          <t>Cobblemon 동일</t>
        </is>
      </c>
      <c r="AK419" s="18" t="inlineStr">
        <is>
          <t>사용</t>
        </is>
      </c>
      <c r="AL419" s="18" t="inlineStr">
        <is>
          <t>COBBLEVERSE 1.7.42 / DP v31</t>
        </is>
      </c>
      <c r="AM419" s="18" t="inlineStr">
        <is>
          <t>data/cobblemon/spawn_pool_world/0116_horsea.json</t>
        </is>
      </c>
      <c r="AN419" s="18" t="inlineStr">
        <is>
          <t>horsea-1</t>
        </is>
      </c>
      <c r="AO419" s="18" t="inlineStr">
        <is>
          <t>pokemon</t>
        </is>
      </c>
      <c r="AP419" s="18" t="inlineStr">
        <is>
          <t>water</t>
        </is>
      </c>
      <c r="AQ419" s="18" t="inlineStr">
        <is>
          <t>{"biomes":["#cobblemon:is_lukewarm_ocean","#cobblemon:is_warm_ocean"],"canSeeSky":true}</t>
        </is>
      </c>
      <c r="AR419" s="18" t="inlineStr"/>
      <c r="AS419" s="18" t="inlineStr"/>
      <c r="AT419" s="19" t="inlineStr"/>
    </row>
    <row r="420" ht="32" customHeight="1">
      <c r="A420" s="18" t="inlineStr">
        <is>
          <t>0116_horsea.json::horsea-2::002</t>
        </is>
      </c>
      <c r="B420" s="19" t="inlineStr">
        <is>
          <t>사용</t>
        </is>
      </c>
      <c r="C420" s="18">
        <f>IF(OR(B420&lt;&gt;AK420,M420&lt;&gt;L420,O420&lt;&gt;"",Q420&lt;&gt;"",V420&lt;&gt;1,Y420&lt;&gt;"",AT420&lt;&gt;""),"수정","원본")</f>
        <v/>
      </c>
      <c r="D420" s="18" t="n">
        <v>116</v>
      </c>
      <c r="E420" s="18" t="inlineStr">
        <is>
          <t>쏘드라</t>
        </is>
      </c>
      <c r="F420" s="18" t="inlineStr">
        <is>
          <t>horsea</t>
        </is>
      </c>
      <c r="G420" s="18" t="inlineStr">
        <is>
          <t>horsea</t>
        </is>
      </c>
      <c r="H420" s="18" t="inlineStr"/>
      <c r="I420" s="18" t="n">
        <v>1</v>
      </c>
      <c r="J420" s="18" t="n"/>
      <c r="K420" s="18" t="n">
        <v>1</v>
      </c>
      <c r="L420" s="18" t="inlineStr">
        <is>
          <t>cobbleventure:generation_1</t>
        </is>
      </c>
      <c r="M420" s="19" t="inlineStr">
        <is>
          <t>cobbleventure:generation_1</t>
        </is>
      </c>
      <c r="N420" s="18" t="inlineStr"/>
      <c r="O420" s="19" t="inlineStr"/>
      <c r="P420" s="18" t="inlineStr">
        <is>
          <t>#cobblemon:is_ocean</t>
        </is>
      </c>
      <c r="Q420" s="19" t="inlineStr"/>
      <c r="R420" s="18">
        <f>IF(Q420="",P420,Q420)</f>
        <v/>
      </c>
      <c r="S420" s="18" t="inlineStr">
        <is>
          <t>#cobblemon:is_cold_ocean; #cobblemon:is_frozen_ocean</t>
        </is>
      </c>
      <c r="T420" s="18" t="inlineStr">
        <is>
          <t>common</t>
        </is>
      </c>
      <c r="U420" s="20" t="n">
        <v>1.8</v>
      </c>
      <c r="V420" s="21" t="n">
        <v>1</v>
      </c>
      <c r="W420" s="20">
        <f>IF(OR(U420="",V420=""),U420,U420*V420)</f>
        <v/>
      </c>
      <c r="X420" s="18" t="inlineStr">
        <is>
          <t>5-30</t>
        </is>
      </c>
      <c r="Y420" s="19" t="inlineStr"/>
      <c r="Z420" s="18">
        <f>IF(Y420="",X420,Y420)</f>
        <v/>
      </c>
      <c r="AA420" s="18" t="inlineStr">
        <is>
          <t>fishing</t>
        </is>
      </c>
      <c r="AB420" s="18" t="inlineStr"/>
      <c r="AC420" s="18" t="inlineStr"/>
      <c r="AD420" s="18" t="inlineStr"/>
      <c r="AE420" s="18" t="inlineStr"/>
      <c r="AF420" s="18" t="inlineStr">
        <is>
          <t>True</t>
        </is>
      </c>
      <c r="AG420" s="18" t="inlineStr"/>
      <c r="AH420" s="18" t="inlineStr"/>
      <c r="AI420" s="18" t="inlineStr"/>
      <c r="AJ420" s="18" t="inlineStr">
        <is>
          <t>Cobblemon 동일</t>
        </is>
      </c>
      <c r="AK420" s="18" t="inlineStr">
        <is>
          <t>사용</t>
        </is>
      </c>
      <c r="AL420" s="18" t="inlineStr">
        <is>
          <t>COBBLEVERSE 1.7.42 / DP v31</t>
        </is>
      </c>
      <c r="AM420" s="18" t="inlineStr">
        <is>
          <t>data/cobblemon/spawn_pool_world/0116_horsea.json</t>
        </is>
      </c>
      <c r="AN420" s="18" t="inlineStr">
        <is>
          <t>horsea-2</t>
        </is>
      </c>
      <c r="AO420" s="18" t="inlineStr">
        <is>
          <t>pokemon</t>
        </is>
      </c>
      <c r="AP420" s="18" t="inlineStr"/>
      <c r="AQ420" s="18" t="inlineStr">
        <is>
          <t>{"biomes":["#cobblemon:is_ocean"],"canSeeSky":true}</t>
        </is>
      </c>
      <c r="AR420" s="18" t="inlineStr">
        <is>
          <t>{"biomes":["#cobblemon:is_cold_ocean","#cobblemon:is_frozen_ocean"]}</t>
        </is>
      </c>
      <c r="AS420" s="18" t="inlineStr">
        <is>
          <t>{"weightMultipliers":[{"condition":{"maxLureLevel":2,"minLureLevel":2},"multiplier":3.0},{"condition":{"minLureLevel":3},"multiplier":5.0}]}</t>
        </is>
      </c>
      <c r="AT420" s="19" t="inlineStr"/>
    </row>
    <row r="421" ht="32" customHeight="1">
      <c r="A421" s="18" t="inlineStr">
        <is>
          <t>0116_horsea.json::horsea-3::003</t>
        </is>
      </c>
      <c r="B421" s="19" t="inlineStr">
        <is>
          <t>사용</t>
        </is>
      </c>
      <c r="C421" s="18">
        <f>IF(OR(B421&lt;&gt;AK421,M421&lt;&gt;L421,O421&lt;&gt;"",Q421&lt;&gt;"",V421&lt;&gt;1,Y421&lt;&gt;"",AT421&lt;&gt;""),"수정","원본")</f>
        <v/>
      </c>
      <c r="D421" s="18" t="n">
        <v>116</v>
      </c>
      <c r="E421" s="18" t="inlineStr">
        <is>
          <t>쏘드라</t>
        </is>
      </c>
      <c r="F421" s="18" t="inlineStr">
        <is>
          <t>horsea</t>
        </is>
      </c>
      <c r="G421" s="18" t="inlineStr">
        <is>
          <t>horsea</t>
        </is>
      </c>
      <c r="H421" s="18" t="inlineStr"/>
      <c r="I421" s="18" t="n">
        <v>1</v>
      </c>
      <c r="J421" s="18" t="n"/>
      <c r="K421" s="18" t="n">
        <v>1</v>
      </c>
      <c r="L421" s="18" t="inlineStr">
        <is>
          <t>cobbleventure:generation_1</t>
        </is>
      </c>
      <c r="M421" s="19" t="inlineStr">
        <is>
          <t>cobbleventure:generation_1</t>
        </is>
      </c>
      <c r="N421" s="18" t="inlineStr"/>
      <c r="O421" s="19" t="inlineStr"/>
      <c r="P421" s="18" t="inlineStr">
        <is>
          <t>#cobblemon:is_lukewarm_ocean; #cobblemon:is_warm_ocean</t>
        </is>
      </c>
      <c r="Q421" s="19" t="inlineStr"/>
      <c r="R421" s="18">
        <f>IF(Q421="",P421,Q421)</f>
        <v/>
      </c>
      <c r="S421" s="18" t="inlineStr"/>
      <c r="T421" s="18" t="inlineStr">
        <is>
          <t>common</t>
        </is>
      </c>
      <c r="U421" s="20" t="n">
        <v>1.8</v>
      </c>
      <c r="V421" s="21" t="n">
        <v>1</v>
      </c>
      <c r="W421" s="20">
        <f>IF(OR(U421="",V421=""),U421,U421*V421)</f>
        <v/>
      </c>
      <c r="X421" s="18" t="inlineStr">
        <is>
          <t>5-30</t>
        </is>
      </c>
      <c r="Y421" s="19" t="inlineStr"/>
      <c r="Z421" s="18">
        <f>IF(Y421="",X421,Y421)</f>
        <v/>
      </c>
      <c r="AA421" s="18" t="inlineStr">
        <is>
          <t>submerged</t>
        </is>
      </c>
      <c r="AB421" s="18" t="inlineStr"/>
      <c r="AC421" s="18" t="inlineStr"/>
      <c r="AD421" s="18" t="inlineStr"/>
      <c r="AE421" s="18" t="inlineStr">
        <is>
          <t>sky 8-15</t>
        </is>
      </c>
      <c r="AF421" s="18" t="inlineStr">
        <is>
          <t>False</t>
        </is>
      </c>
      <c r="AG421" s="18" t="inlineStr"/>
      <c r="AH421" s="18" t="inlineStr"/>
      <c r="AI421" s="18" t="inlineStr"/>
      <c r="AJ421" s="18" t="inlineStr">
        <is>
          <t>Cobblemon 동일</t>
        </is>
      </c>
      <c r="AK421" s="18" t="inlineStr">
        <is>
          <t>사용</t>
        </is>
      </c>
      <c r="AL421" s="18" t="inlineStr">
        <is>
          <t>COBBLEVERSE 1.7.42 / DP v31</t>
        </is>
      </c>
      <c r="AM421" s="18" t="inlineStr">
        <is>
          <t>data/cobblemon/spawn_pool_world/0116_horsea.json</t>
        </is>
      </c>
      <c r="AN421" s="18" t="inlineStr">
        <is>
          <t>horsea-3</t>
        </is>
      </c>
      <c r="AO421" s="18" t="inlineStr">
        <is>
          <t>pokemon</t>
        </is>
      </c>
      <c r="AP421" s="18" t="inlineStr">
        <is>
          <t>water</t>
        </is>
      </c>
      <c r="AQ421" s="18" t="inlineStr">
        <is>
          <t>{"biomes":["#cobblemon:is_lukewarm_ocean","#cobblemon:is_warm_ocean"],"canSeeSky":false,"maxSkyLight":15,"minSkyLight":8}</t>
        </is>
      </c>
      <c r="AR421" s="18" t="inlineStr"/>
      <c r="AS421" s="18" t="inlineStr"/>
      <c r="AT421" s="19" t="inlineStr"/>
    </row>
    <row r="422" ht="32" customHeight="1">
      <c r="A422" s="18" t="inlineStr">
        <is>
          <t>0116_horsea.json::horsea-4::004</t>
        </is>
      </c>
      <c r="B422" s="19" t="inlineStr">
        <is>
          <t>사용</t>
        </is>
      </c>
      <c r="C422" s="18">
        <f>IF(OR(B422&lt;&gt;AK422,M422&lt;&gt;L422,O422&lt;&gt;"",Q422&lt;&gt;"",V422&lt;&gt;1,Y422&lt;&gt;"",AT422&lt;&gt;""),"수정","원본")</f>
        <v/>
      </c>
      <c r="D422" s="18" t="n">
        <v>116</v>
      </c>
      <c r="E422" s="18" t="inlineStr">
        <is>
          <t>쏘드라</t>
        </is>
      </c>
      <c r="F422" s="18" t="inlineStr">
        <is>
          <t>horsea</t>
        </is>
      </c>
      <c r="G422" s="18" t="inlineStr">
        <is>
          <t>horsea</t>
        </is>
      </c>
      <c r="H422" s="18" t="inlineStr"/>
      <c r="I422" s="18" t="n">
        <v>1</v>
      </c>
      <c r="J422" s="18" t="n"/>
      <c r="K422" s="18" t="n">
        <v>1</v>
      </c>
      <c r="L422" s="18" t="inlineStr">
        <is>
          <t>cobbleventure:generation_1</t>
        </is>
      </c>
      <c r="M422" s="19" t="inlineStr">
        <is>
          <t>cobbleventure:generation_1</t>
        </is>
      </c>
      <c r="N422" s="18" t="inlineStr"/>
      <c r="O422" s="19" t="inlineStr"/>
      <c r="P422" s="18" t="inlineStr">
        <is>
          <t>#cobblemon:is_ocean</t>
        </is>
      </c>
      <c r="Q422" s="19" t="inlineStr"/>
      <c r="R422" s="18">
        <f>IF(Q422="",P422,Q422)</f>
        <v/>
      </c>
      <c r="S422" s="18" t="inlineStr">
        <is>
          <t>#cobblemon:is_cold_ocean; #cobblemon:is_frozen_ocean</t>
        </is>
      </c>
      <c r="T422" s="18" t="inlineStr">
        <is>
          <t>common</t>
        </is>
      </c>
      <c r="U422" s="20" t="n">
        <v>1.8</v>
      </c>
      <c r="V422" s="21" t="n">
        <v>1</v>
      </c>
      <c r="W422" s="20">
        <f>IF(OR(U422="",V422=""),U422,U422*V422)</f>
        <v/>
      </c>
      <c r="X422" s="18" t="inlineStr">
        <is>
          <t>5-30</t>
        </is>
      </c>
      <c r="Y422" s="19" t="inlineStr"/>
      <c r="Z422" s="18">
        <f>IF(Y422="",X422,Y422)</f>
        <v/>
      </c>
      <c r="AA422" s="18" t="inlineStr">
        <is>
          <t>fishing</t>
        </is>
      </c>
      <c r="AB422" s="18" t="inlineStr"/>
      <c r="AC422" s="18" t="inlineStr"/>
      <c r="AD422" s="18" t="inlineStr"/>
      <c r="AE422" s="18" t="inlineStr">
        <is>
          <t>sky 8-15</t>
        </is>
      </c>
      <c r="AF422" s="18" t="inlineStr">
        <is>
          <t>False</t>
        </is>
      </c>
      <c r="AG422" s="18" t="inlineStr"/>
      <c r="AH422" s="18" t="inlineStr"/>
      <c r="AI422" s="18" t="inlineStr"/>
      <c r="AJ422" s="18" t="inlineStr">
        <is>
          <t>Cobblemon 동일</t>
        </is>
      </c>
      <c r="AK422" s="18" t="inlineStr">
        <is>
          <t>사용</t>
        </is>
      </c>
      <c r="AL422" s="18" t="inlineStr">
        <is>
          <t>COBBLEVERSE 1.7.42 / DP v31</t>
        </is>
      </c>
      <c r="AM422" s="18" t="inlineStr">
        <is>
          <t>data/cobblemon/spawn_pool_world/0116_horsea.json</t>
        </is>
      </c>
      <c r="AN422" s="18" t="inlineStr">
        <is>
          <t>horsea-4</t>
        </is>
      </c>
      <c r="AO422" s="18" t="inlineStr">
        <is>
          <t>pokemon</t>
        </is>
      </c>
      <c r="AP422" s="18" t="inlineStr"/>
      <c r="AQ422" s="18" t="inlineStr">
        <is>
          <t>{"biomes":["#cobblemon:is_ocean"],"canSeeSky":false,"maxSkyLight":15,"minSkyLight":8}</t>
        </is>
      </c>
      <c r="AR422" s="18" t="inlineStr">
        <is>
          <t>{"biomes":["#cobblemon:is_cold_ocean","#cobblemon:is_frozen_ocean"]}</t>
        </is>
      </c>
      <c r="AS422" s="18" t="inlineStr">
        <is>
          <t>{"weightMultipliers":[{"condition":{"maxLureLevel":2,"minLureLevel":2},"multiplier":3.0},{"condition":{"minLureLevel":3},"multiplier":5.0}]}</t>
        </is>
      </c>
      <c r="AT422" s="19" t="inlineStr"/>
    </row>
    <row r="423" ht="32" customHeight="1">
      <c r="A423" s="18" t="inlineStr">
        <is>
          <t>0116_horsea.json::horsea-5::005</t>
        </is>
      </c>
      <c r="B423" s="19" t="inlineStr">
        <is>
          <t>사용</t>
        </is>
      </c>
      <c r="C423" s="18">
        <f>IF(OR(B423&lt;&gt;AK423,M423&lt;&gt;L423,O423&lt;&gt;"",Q423&lt;&gt;"",V423&lt;&gt;1,Y423&lt;&gt;"",AT423&lt;&gt;""),"수정","원본")</f>
        <v/>
      </c>
      <c r="D423" s="18" t="n">
        <v>116</v>
      </c>
      <c r="E423" s="18" t="inlineStr">
        <is>
          <t>쏘드라</t>
        </is>
      </c>
      <c r="F423" s="18" t="inlineStr">
        <is>
          <t>horsea</t>
        </is>
      </c>
      <c r="G423" s="18" t="inlineStr">
        <is>
          <t>horsea</t>
        </is>
      </c>
      <c r="H423" s="18" t="inlineStr"/>
      <c r="I423" s="18" t="n">
        <v>1</v>
      </c>
      <c r="J423" s="18" t="n"/>
      <c r="K423" s="18" t="n">
        <v>1</v>
      </c>
      <c r="L423" s="18" t="inlineStr">
        <is>
          <t>cobbleventure:generation_1</t>
        </is>
      </c>
      <c r="M423" s="19" t="inlineStr">
        <is>
          <t>cobbleventure:generation_1</t>
        </is>
      </c>
      <c r="N423" s="18" t="inlineStr">
        <is>
          <t>region_01; region_02</t>
        </is>
      </c>
      <c r="O423" s="19" t="inlineStr"/>
      <c r="P423" s="18" t="inlineStr">
        <is>
          <t>#cobblemon:is_overworld</t>
        </is>
      </c>
      <c r="Q423" s="19" t="inlineStr"/>
      <c r="R423" s="18">
        <f>IF(Q423="",P423,Q423)</f>
        <v/>
      </c>
      <c r="S423" s="18" t="inlineStr"/>
      <c r="T423" s="18" t="inlineStr">
        <is>
          <t>common</t>
        </is>
      </c>
      <c r="U423" s="20" t="n">
        <v>1.8</v>
      </c>
      <c r="V423" s="21" t="n">
        <v>1</v>
      </c>
      <c r="W423" s="20">
        <f>IF(OR(U423="",V423=""),U423,U423*V423)</f>
        <v/>
      </c>
      <c r="X423" s="18" t="inlineStr">
        <is>
          <t>5-30</t>
        </is>
      </c>
      <c r="Y423" s="19" t="inlineStr"/>
      <c r="Z423" s="18">
        <f>IF(Y423="",X423,Y423)</f>
        <v/>
      </c>
      <c r="AA423" s="18" t="inlineStr">
        <is>
          <t>submerged</t>
        </is>
      </c>
      <c r="AB423" s="18" t="inlineStr"/>
      <c r="AC423" s="18" t="inlineStr"/>
      <c r="AD423" s="18" t="inlineStr">
        <is>
          <t>minY=-60, maxY=13</t>
        </is>
      </c>
      <c r="AE423" s="18" t="inlineStr"/>
      <c r="AF423" s="18" t="inlineStr">
        <is>
          <t>False</t>
        </is>
      </c>
      <c r="AG423" s="18" t="inlineStr">
        <is>
          <t>cobblemon:shipwreck_coves/submerged_shipwreck_cove</t>
        </is>
      </c>
      <c r="AH423" s="18" t="inlineStr"/>
      <c r="AI423" s="18" t="inlineStr"/>
      <c r="AJ423" s="18" t="inlineStr">
        <is>
          <t>Cobblemon 동일</t>
        </is>
      </c>
      <c r="AK423" s="18" t="inlineStr">
        <is>
          <t>사용</t>
        </is>
      </c>
      <c r="AL423" s="18" t="inlineStr">
        <is>
          <t>COBBLEVERSE 1.7.42 / DP v31</t>
        </is>
      </c>
      <c r="AM423" s="18" t="inlineStr">
        <is>
          <t>data/cobblemon/spawn_pool_world/0116_horsea.json</t>
        </is>
      </c>
      <c r="AN423" s="18" t="inlineStr">
        <is>
          <t>horsea-5</t>
        </is>
      </c>
      <c r="AO423" s="18" t="inlineStr">
        <is>
          <t>pokemon</t>
        </is>
      </c>
      <c r="AP423" s="18" t="inlineStr">
        <is>
          <t>water</t>
        </is>
      </c>
      <c r="AQ423" s="18" t="inlineStr">
        <is>
          <t>{"biomes":["#cobblemon:is_overworld"],"canSeeSky":false,"maxY":13,"minY":-60,"structures":["cobblemon:shipwreck_coves/submerged_shipwreck_cove"]}</t>
        </is>
      </c>
      <c r="AR423" s="18" t="inlineStr"/>
      <c r="AS423" s="18" t="inlineStr"/>
      <c r="AT423" s="19" t="inlineStr"/>
    </row>
    <row r="424" ht="32" customHeight="1">
      <c r="A424" s="18" t="inlineStr">
        <is>
          <t>0116_horsea.json::horsea-6::006</t>
        </is>
      </c>
      <c r="B424" s="19" t="inlineStr">
        <is>
          <t>사용</t>
        </is>
      </c>
      <c r="C424" s="18">
        <f>IF(OR(B424&lt;&gt;AK424,M424&lt;&gt;L424,O424&lt;&gt;"",Q424&lt;&gt;"",V424&lt;&gt;1,Y424&lt;&gt;"",AT424&lt;&gt;""),"수정","원본")</f>
        <v/>
      </c>
      <c r="D424" s="18" t="n">
        <v>116</v>
      </c>
      <c r="E424" s="18" t="inlineStr">
        <is>
          <t>쏘드라</t>
        </is>
      </c>
      <c r="F424" s="18" t="inlineStr">
        <is>
          <t>horsea</t>
        </is>
      </c>
      <c r="G424" s="18" t="inlineStr">
        <is>
          <t>horsea</t>
        </is>
      </c>
      <c r="H424" s="18" t="inlineStr"/>
      <c r="I424" s="18" t="n">
        <v>1</v>
      </c>
      <c r="J424" s="18" t="n"/>
      <c r="K424" s="18" t="n">
        <v>1</v>
      </c>
      <c r="L424" s="18" t="inlineStr">
        <is>
          <t>cobbleventure:generation_1</t>
        </is>
      </c>
      <c r="M424" s="19" t="inlineStr">
        <is>
          <t>cobbleventure:generation_1</t>
        </is>
      </c>
      <c r="N424" s="18" t="inlineStr">
        <is>
          <t>region_01; region_02</t>
        </is>
      </c>
      <c r="O424" s="19" t="inlineStr"/>
      <c r="P424" s="18" t="inlineStr">
        <is>
          <t>#cobblemon:is_overworld</t>
        </is>
      </c>
      <c r="Q424" s="19" t="inlineStr"/>
      <c r="R424" s="18">
        <f>IF(Q424="",P424,Q424)</f>
        <v/>
      </c>
      <c r="S424" s="18" t="inlineStr"/>
      <c r="T424" s="18" t="inlineStr">
        <is>
          <t>common</t>
        </is>
      </c>
      <c r="U424" s="20" t="n">
        <v>1.8</v>
      </c>
      <c r="V424" s="21" t="n">
        <v>1</v>
      </c>
      <c r="W424" s="20">
        <f>IF(OR(U424="",V424=""),U424,U424*V424)</f>
        <v/>
      </c>
      <c r="X424" s="18" t="inlineStr">
        <is>
          <t>5-30</t>
        </is>
      </c>
      <c r="Y424" s="19" t="inlineStr"/>
      <c r="Z424" s="18">
        <f>IF(Y424="",X424,Y424)</f>
        <v/>
      </c>
      <c r="AA424" s="18" t="inlineStr">
        <is>
          <t>fishing</t>
        </is>
      </c>
      <c r="AB424" s="18" t="inlineStr"/>
      <c r="AC424" s="18" t="inlineStr"/>
      <c r="AD424" s="18" t="inlineStr">
        <is>
          <t>minY=-60, maxY=13</t>
        </is>
      </c>
      <c r="AE424" s="18" t="inlineStr"/>
      <c r="AF424" s="18" t="inlineStr">
        <is>
          <t>False</t>
        </is>
      </c>
      <c r="AG424" s="18" t="inlineStr">
        <is>
          <t>cobblemon:shipwreck_coves/submerged_shipwreck_cove</t>
        </is>
      </c>
      <c r="AH424" s="18" t="inlineStr"/>
      <c r="AI424" s="18" t="inlineStr"/>
      <c r="AJ424" s="18" t="inlineStr">
        <is>
          <t>Cobblemon 동일</t>
        </is>
      </c>
      <c r="AK424" s="18" t="inlineStr">
        <is>
          <t>사용</t>
        </is>
      </c>
      <c r="AL424" s="18" t="inlineStr">
        <is>
          <t>COBBLEVERSE 1.7.42 / DP v31</t>
        </is>
      </c>
      <c r="AM424" s="18" t="inlineStr">
        <is>
          <t>data/cobblemon/spawn_pool_world/0116_horsea.json</t>
        </is>
      </c>
      <c r="AN424" s="18" t="inlineStr">
        <is>
          <t>horsea-6</t>
        </is>
      </c>
      <c r="AO424" s="18" t="inlineStr">
        <is>
          <t>pokemon</t>
        </is>
      </c>
      <c r="AP424" s="18" t="inlineStr"/>
      <c r="AQ424" s="18" t="inlineStr">
        <is>
          <t>{"biomes":["#cobblemon:is_overworld"],"canSeeSky":false,"maxY":13,"minY":-60,"structures":["cobblemon:shipwreck_coves/submerged_shipwreck_cove"]}</t>
        </is>
      </c>
      <c r="AR424" s="18" t="inlineStr"/>
      <c r="AS424" s="18" t="inlineStr">
        <is>
          <t>{"weightMultipliers":[{"condition":{"maxLureLevel":2,"minLureLevel":2},"multiplier":3.0},{"condition":{"minLureLevel":3},"multiplier":5.0}]}</t>
        </is>
      </c>
      <c r="AT424" s="19" t="inlineStr"/>
    </row>
    <row r="425" ht="32" customHeight="1">
      <c r="A425" s="18" t="inlineStr">
        <is>
          <t>0117_seadra.json::seadra-1::001</t>
        </is>
      </c>
      <c r="B425" s="19" t="inlineStr">
        <is>
          <t>사용</t>
        </is>
      </c>
      <c r="C425" s="18">
        <f>IF(OR(B425&lt;&gt;AK425,M425&lt;&gt;L425,O425&lt;&gt;"",Q425&lt;&gt;"",V425&lt;&gt;1,Y425&lt;&gt;"",AT425&lt;&gt;""),"수정","원본")</f>
        <v/>
      </c>
      <c r="D425" s="18" t="n">
        <v>117</v>
      </c>
      <c r="E425" s="18" t="inlineStr">
        <is>
          <t>시드라</t>
        </is>
      </c>
      <c r="F425" s="18" t="inlineStr">
        <is>
          <t>seadra</t>
        </is>
      </c>
      <c r="G425" s="18" t="inlineStr">
        <is>
          <t>seadra</t>
        </is>
      </c>
      <c r="H425" s="18" t="inlineStr"/>
      <c r="I425" s="18" t="n">
        <v>1</v>
      </c>
      <c r="J425" s="18" t="n"/>
      <c r="K425" s="18" t="n">
        <v>1</v>
      </c>
      <c r="L425" s="18" t="inlineStr">
        <is>
          <t>cobbleventure:generation_1</t>
        </is>
      </c>
      <c r="M425" s="19" t="inlineStr">
        <is>
          <t>cobbleventure:generation_1</t>
        </is>
      </c>
      <c r="N425" s="18" t="inlineStr"/>
      <c r="O425" s="19" t="inlineStr"/>
      <c r="P425" s="18" t="inlineStr">
        <is>
          <t>#cobblemon:is_lukewarm_ocean; #cobblemon:is_warm_ocean</t>
        </is>
      </c>
      <c r="Q425" s="19" t="inlineStr"/>
      <c r="R425" s="18">
        <f>IF(Q425="",P425,Q425)</f>
        <v/>
      </c>
      <c r="S425" s="18" t="inlineStr"/>
      <c r="T425" s="18" t="inlineStr">
        <is>
          <t>common</t>
        </is>
      </c>
      <c r="U425" s="20" t="n">
        <v>0.19</v>
      </c>
      <c r="V425" s="21" t="n">
        <v>1</v>
      </c>
      <c r="W425" s="20">
        <f>IF(OR(U425="",V425=""),U425,U425*V425)</f>
        <v/>
      </c>
      <c r="X425" s="18" t="inlineStr">
        <is>
          <t>32-44</t>
        </is>
      </c>
      <c r="Y425" s="19" t="inlineStr"/>
      <c r="Z425" s="18">
        <f>IF(Y425="",X425,Y425)</f>
        <v/>
      </c>
      <c r="AA425" s="18" t="inlineStr">
        <is>
          <t>submerged</t>
        </is>
      </c>
      <c r="AB425" s="18" t="inlineStr"/>
      <c r="AC425" s="18" t="inlineStr"/>
      <c r="AD425" s="18" t="inlineStr"/>
      <c r="AE425" s="18" t="inlineStr"/>
      <c r="AF425" s="18" t="inlineStr">
        <is>
          <t>True</t>
        </is>
      </c>
      <c r="AG425" s="18" t="inlineStr"/>
      <c r="AH425" s="18" t="inlineStr"/>
      <c r="AI425" s="18" t="inlineStr"/>
      <c r="AJ425" s="18" t="inlineStr">
        <is>
          <t>Cobblemon 동일</t>
        </is>
      </c>
      <c r="AK425" s="18" t="inlineStr">
        <is>
          <t>사용</t>
        </is>
      </c>
      <c r="AL425" s="18" t="inlineStr">
        <is>
          <t>COBBLEVERSE 1.7.42 / DP v31</t>
        </is>
      </c>
      <c r="AM425" s="18" t="inlineStr">
        <is>
          <t>data/cobblemon/spawn_pool_world/0117_seadra.json</t>
        </is>
      </c>
      <c r="AN425" s="18" t="inlineStr">
        <is>
          <t>seadra-1</t>
        </is>
      </c>
      <c r="AO425" s="18" t="inlineStr">
        <is>
          <t>pokemon</t>
        </is>
      </c>
      <c r="AP425" s="18" t="inlineStr">
        <is>
          <t>water</t>
        </is>
      </c>
      <c r="AQ425" s="18" t="inlineStr">
        <is>
          <t>{"biomes":["#cobblemon:is_lukewarm_ocean","#cobblemon:is_warm_ocean"],"canSeeSky":true}</t>
        </is>
      </c>
      <c r="AR425" s="18" t="inlineStr"/>
      <c r="AS425" s="18" t="inlineStr"/>
      <c r="AT425" s="19" t="inlineStr"/>
    </row>
    <row r="426" ht="32" customHeight="1">
      <c r="A426" s="18" t="inlineStr">
        <is>
          <t>0117_seadra.json::seadra-2::002</t>
        </is>
      </c>
      <c r="B426" s="19" t="inlineStr">
        <is>
          <t>사용</t>
        </is>
      </c>
      <c r="C426" s="18">
        <f>IF(OR(B426&lt;&gt;AK426,M426&lt;&gt;L426,O426&lt;&gt;"",Q426&lt;&gt;"",V426&lt;&gt;1,Y426&lt;&gt;"",AT426&lt;&gt;""),"수정","원본")</f>
        <v/>
      </c>
      <c r="D426" s="18" t="n">
        <v>117</v>
      </c>
      <c r="E426" s="18" t="inlineStr">
        <is>
          <t>시드라</t>
        </is>
      </c>
      <c r="F426" s="18" t="inlineStr">
        <is>
          <t>seadra</t>
        </is>
      </c>
      <c r="G426" s="18" t="inlineStr">
        <is>
          <t>seadra</t>
        </is>
      </c>
      <c r="H426" s="18" t="inlineStr"/>
      <c r="I426" s="18" t="n">
        <v>1</v>
      </c>
      <c r="J426" s="18" t="n"/>
      <c r="K426" s="18" t="n">
        <v>1</v>
      </c>
      <c r="L426" s="18" t="inlineStr">
        <is>
          <t>cobbleventure:generation_1</t>
        </is>
      </c>
      <c r="M426" s="19" t="inlineStr">
        <is>
          <t>cobbleventure:generation_1</t>
        </is>
      </c>
      <c r="N426" s="18" t="inlineStr"/>
      <c r="O426" s="19" t="inlineStr"/>
      <c r="P426" s="18" t="inlineStr">
        <is>
          <t>#cobblemon:is_ocean</t>
        </is>
      </c>
      <c r="Q426" s="19" t="inlineStr"/>
      <c r="R426" s="18">
        <f>IF(Q426="",P426,Q426)</f>
        <v/>
      </c>
      <c r="S426" s="18" t="inlineStr">
        <is>
          <t>#cobblemon:is_cold_ocean; #cobblemon:is_frozen_ocean</t>
        </is>
      </c>
      <c r="T426" s="18" t="inlineStr">
        <is>
          <t>common</t>
        </is>
      </c>
      <c r="U426" s="20" t="n">
        <v>0.19</v>
      </c>
      <c r="V426" s="21" t="n">
        <v>1</v>
      </c>
      <c r="W426" s="20">
        <f>IF(OR(U426="",V426=""),U426,U426*V426)</f>
        <v/>
      </c>
      <c r="X426" s="18" t="inlineStr">
        <is>
          <t>32-44</t>
        </is>
      </c>
      <c r="Y426" s="19" t="inlineStr"/>
      <c r="Z426" s="18">
        <f>IF(Y426="",X426,Y426)</f>
        <v/>
      </c>
      <c r="AA426" s="18" t="inlineStr">
        <is>
          <t>fishing</t>
        </is>
      </c>
      <c r="AB426" s="18" t="inlineStr"/>
      <c r="AC426" s="18" t="inlineStr"/>
      <c r="AD426" s="18" t="inlineStr"/>
      <c r="AE426" s="18" t="inlineStr"/>
      <c r="AF426" s="18" t="inlineStr">
        <is>
          <t>True</t>
        </is>
      </c>
      <c r="AG426" s="18" t="inlineStr"/>
      <c r="AH426" s="18" t="inlineStr"/>
      <c r="AI426" s="18" t="inlineStr"/>
      <c r="AJ426" s="18" t="inlineStr">
        <is>
          <t>Cobblemon 동일</t>
        </is>
      </c>
      <c r="AK426" s="18" t="inlineStr">
        <is>
          <t>사용</t>
        </is>
      </c>
      <c r="AL426" s="18" t="inlineStr">
        <is>
          <t>COBBLEVERSE 1.7.42 / DP v31</t>
        </is>
      </c>
      <c r="AM426" s="18" t="inlineStr">
        <is>
          <t>data/cobblemon/spawn_pool_world/0117_seadra.json</t>
        </is>
      </c>
      <c r="AN426" s="18" t="inlineStr">
        <is>
          <t>seadra-2</t>
        </is>
      </c>
      <c r="AO426" s="18" t="inlineStr">
        <is>
          <t>pokemon</t>
        </is>
      </c>
      <c r="AP426" s="18" t="inlineStr"/>
      <c r="AQ426" s="18" t="inlineStr">
        <is>
          <t>{"biomes":["#cobblemon:is_ocean"],"canSeeSky":true}</t>
        </is>
      </c>
      <c r="AR426" s="18" t="inlineStr">
        <is>
          <t>{"biomes":["#cobblemon:is_cold_ocean","#cobblemon:is_frozen_ocean"]}</t>
        </is>
      </c>
      <c r="AS426" s="18" t="inlineStr">
        <is>
          <t>{"weightMultipliers":[{"condition":{"maxLureLevel":2,"minLureLevel":2},"multiplier":3.0},{"condition":{"minLureLevel":3},"multiplier":5.0}]}</t>
        </is>
      </c>
      <c r="AT426" s="19" t="inlineStr"/>
    </row>
    <row r="427" ht="32" customHeight="1">
      <c r="A427" s="18" t="inlineStr">
        <is>
          <t>0117_seadra.json::seadra-3::003</t>
        </is>
      </c>
      <c r="B427" s="19" t="inlineStr">
        <is>
          <t>사용</t>
        </is>
      </c>
      <c r="C427" s="18">
        <f>IF(OR(B427&lt;&gt;AK427,M427&lt;&gt;L427,O427&lt;&gt;"",Q427&lt;&gt;"",V427&lt;&gt;1,Y427&lt;&gt;"",AT427&lt;&gt;""),"수정","원본")</f>
        <v/>
      </c>
      <c r="D427" s="18" t="n">
        <v>117</v>
      </c>
      <c r="E427" s="18" t="inlineStr">
        <is>
          <t>시드라</t>
        </is>
      </c>
      <c r="F427" s="18" t="inlineStr">
        <is>
          <t>seadra</t>
        </is>
      </c>
      <c r="G427" s="18" t="inlineStr">
        <is>
          <t>seadra</t>
        </is>
      </c>
      <c r="H427" s="18" t="inlineStr"/>
      <c r="I427" s="18" t="n">
        <v>1</v>
      </c>
      <c r="J427" s="18" t="n"/>
      <c r="K427" s="18" t="n">
        <v>1</v>
      </c>
      <c r="L427" s="18" t="inlineStr">
        <is>
          <t>cobbleventure:generation_1</t>
        </is>
      </c>
      <c r="M427" s="19" t="inlineStr">
        <is>
          <t>cobbleventure:generation_1</t>
        </is>
      </c>
      <c r="N427" s="18" t="inlineStr"/>
      <c r="O427" s="19" t="inlineStr"/>
      <c r="P427" s="18" t="inlineStr">
        <is>
          <t>#cobblemon:is_lukewarm_ocean; #cobblemon:is_warm_ocean</t>
        </is>
      </c>
      <c r="Q427" s="19" t="inlineStr"/>
      <c r="R427" s="18">
        <f>IF(Q427="",P427,Q427)</f>
        <v/>
      </c>
      <c r="S427" s="18" t="inlineStr"/>
      <c r="T427" s="18" t="inlineStr">
        <is>
          <t>common</t>
        </is>
      </c>
      <c r="U427" s="20" t="n">
        <v>0.19</v>
      </c>
      <c r="V427" s="21" t="n">
        <v>1</v>
      </c>
      <c r="W427" s="20">
        <f>IF(OR(U427="",V427=""),U427,U427*V427)</f>
        <v/>
      </c>
      <c r="X427" s="18" t="inlineStr">
        <is>
          <t>32-44</t>
        </is>
      </c>
      <c r="Y427" s="19" t="inlineStr"/>
      <c r="Z427" s="18">
        <f>IF(Y427="",X427,Y427)</f>
        <v/>
      </c>
      <c r="AA427" s="18" t="inlineStr">
        <is>
          <t>submerged</t>
        </is>
      </c>
      <c r="AB427" s="18" t="inlineStr"/>
      <c r="AC427" s="18" t="inlineStr"/>
      <c r="AD427" s="18" t="inlineStr"/>
      <c r="AE427" s="18" t="inlineStr">
        <is>
          <t>sky 8-15</t>
        </is>
      </c>
      <c r="AF427" s="18" t="inlineStr">
        <is>
          <t>False</t>
        </is>
      </c>
      <c r="AG427" s="18" t="inlineStr"/>
      <c r="AH427" s="18" t="inlineStr"/>
      <c r="AI427" s="18" t="inlineStr"/>
      <c r="AJ427" s="18" t="inlineStr">
        <is>
          <t>Cobblemon 동일</t>
        </is>
      </c>
      <c r="AK427" s="18" t="inlineStr">
        <is>
          <t>사용</t>
        </is>
      </c>
      <c r="AL427" s="18" t="inlineStr">
        <is>
          <t>COBBLEVERSE 1.7.42 / DP v31</t>
        </is>
      </c>
      <c r="AM427" s="18" t="inlineStr">
        <is>
          <t>data/cobblemon/spawn_pool_world/0117_seadra.json</t>
        </is>
      </c>
      <c r="AN427" s="18" t="inlineStr">
        <is>
          <t>seadra-3</t>
        </is>
      </c>
      <c r="AO427" s="18" t="inlineStr">
        <is>
          <t>pokemon</t>
        </is>
      </c>
      <c r="AP427" s="18" t="inlineStr">
        <is>
          <t>water</t>
        </is>
      </c>
      <c r="AQ427" s="18" t="inlineStr">
        <is>
          <t>{"biomes":["#cobblemon:is_lukewarm_ocean","#cobblemon:is_warm_ocean"],"canSeeSky":false,"maxSkyLight":15,"minSkyLight":8}</t>
        </is>
      </c>
      <c r="AR427" s="18" t="inlineStr"/>
      <c r="AS427" s="18" t="inlineStr"/>
      <c r="AT427" s="19" t="inlineStr"/>
    </row>
    <row r="428" ht="32" customHeight="1">
      <c r="A428" s="18" t="inlineStr">
        <is>
          <t>0117_seadra.json::seadra-4::004</t>
        </is>
      </c>
      <c r="B428" s="19" t="inlineStr">
        <is>
          <t>사용</t>
        </is>
      </c>
      <c r="C428" s="18">
        <f>IF(OR(B428&lt;&gt;AK428,M428&lt;&gt;L428,O428&lt;&gt;"",Q428&lt;&gt;"",V428&lt;&gt;1,Y428&lt;&gt;"",AT428&lt;&gt;""),"수정","원본")</f>
        <v/>
      </c>
      <c r="D428" s="18" t="n">
        <v>117</v>
      </c>
      <c r="E428" s="18" t="inlineStr">
        <is>
          <t>시드라</t>
        </is>
      </c>
      <c r="F428" s="18" t="inlineStr">
        <is>
          <t>seadra</t>
        </is>
      </c>
      <c r="G428" s="18" t="inlineStr">
        <is>
          <t>seadra</t>
        </is>
      </c>
      <c r="H428" s="18" t="inlineStr"/>
      <c r="I428" s="18" t="n">
        <v>1</v>
      </c>
      <c r="J428" s="18" t="n"/>
      <c r="K428" s="18" t="n">
        <v>1</v>
      </c>
      <c r="L428" s="18" t="inlineStr">
        <is>
          <t>cobbleventure:generation_1</t>
        </is>
      </c>
      <c r="M428" s="19" t="inlineStr">
        <is>
          <t>cobbleventure:generation_1</t>
        </is>
      </c>
      <c r="N428" s="18" t="inlineStr"/>
      <c r="O428" s="19" t="inlineStr"/>
      <c r="P428" s="18" t="inlineStr">
        <is>
          <t>#cobblemon:is_ocean</t>
        </is>
      </c>
      <c r="Q428" s="19" t="inlineStr"/>
      <c r="R428" s="18">
        <f>IF(Q428="",P428,Q428)</f>
        <v/>
      </c>
      <c r="S428" s="18" t="inlineStr">
        <is>
          <t>#cobblemon:is_cold_ocean; #cobblemon:is_frozen_ocean</t>
        </is>
      </c>
      <c r="T428" s="18" t="inlineStr">
        <is>
          <t>common</t>
        </is>
      </c>
      <c r="U428" s="20" t="n">
        <v>0.19</v>
      </c>
      <c r="V428" s="21" t="n">
        <v>1</v>
      </c>
      <c r="W428" s="20">
        <f>IF(OR(U428="",V428=""),U428,U428*V428)</f>
        <v/>
      </c>
      <c r="X428" s="18" t="inlineStr">
        <is>
          <t>32-44</t>
        </is>
      </c>
      <c r="Y428" s="19" t="inlineStr"/>
      <c r="Z428" s="18">
        <f>IF(Y428="",X428,Y428)</f>
        <v/>
      </c>
      <c r="AA428" s="18" t="inlineStr">
        <is>
          <t>fishing</t>
        </is>
      </c>
      <c r="AB428" s="18" t="inlineStr"/>
      <c r="AC428" s="18" t="inlineStr"/>
      <c r="AD428" s="18" t="inlineStr"/>
      <c r="AE428" s="18" t="inlineStr">
        <is>
          <t>sky 8-15</t>
        </is>
      </c>
      <c r="AF428" s="18" t="inlineStr">
        <is>
          <t>False</t>
        </is>
      </c>
      <c r="AG428" s="18" t="inlineStr"/>
      <c r="AH428" s="18" t="inlineStr"/>
      <c r="AI428" s="18" t="inlineStr"/>
      <c r="AJ428" s="18" t="inlineStr">
        <is>
          <t>Cobblemon 동일</t>
        </is>
      </c>
      <c r="AK428" s="18" t="inlineStr">
        <is>
          <t>사용</t>
        </is>
      </c>
      <c r="AL428" s="18" t="inlineStr">
        <is>
          <t>COBBLEVERSE 1.7.42 / DP v31</t>
        </is>
      </c>
      <c r="AM428" s="18" t="inlineStr">
        <is>
          <t>data/cobblemon/spawn_pool_world/0117_seadra.json</t>
        </is>
      </c>
      <c r="AN428" s="18" t="inlineStr">
        <is>
          <t>seadra-4</t>
        </is>
      </c>
      <c r="AO428" s="18" t="inlineStr">
        <is>
          <t>pokemon</t>
        </is>
      </c>
      <c r="AP428" s="18" t="inlineStr"/>
      <c r="AQ428" s="18" t="inlineStr">
        <is>
          <t>{"biomes":["#cobblemon:is_ocean"],"canSeeSky":false,"maxSkyLight":15,"minSkyLight":8}</t>
        </is>
      </c>
      <c r="AR428" s="18" t="inlineStr">
        <is>
          <t>{"biomes":["#cobblemon:is_cold_ocean","#cobblemon:is_frozen_ocean"]}</t>
        </is>
      </c>
      <c r="AS428" s="18" t="inlineStr">
        <is>
          <t>{"weightMultipliers":[{"condition":{"maxLureLevel":2,"minLureLevel":2},"multiplier":3.0},{"condition":{"minLureLevel":3},"multiplier":5.0}]}</t>
        </is>
      </c>
      <c r="AT428" s="19" t="inlineStr"/>
    </row>
    <row r="429" ht="32" customHeight="1">
      <c r="A429" s="18" t="inlineStr">
        <is>
          <t>0117_seadra.json::seadra-5::005</t>
        </is>
      </c>
      <c r="B429" s="19" t="inlineStr">
        <is>
          <t>사용</t>
        </is>
      </c>
      <c r="C429" s="18">
        <f>IF(OR(B429&lt;&gt;AK429,M429&lt;&gt;L429,O429&lt;&gt;"",Q429&lt;&gt;"",V429&lt;&gt;1,Y429&lt;&gt;"",AT429&lt;&gt;""),"수정","원본")</f>
        <v/>
      </c>
      <c r="D429" s="18" t="n">
        <v>117</v>
      </c>
      <c r="E429" s="18" t="inlineStr">
        <is>
          <t>시드라</t>
        </is>
      </c>
      <c r="F429" s="18" t="inlineStr">
        <is>
          <t>seadra</t>
        </is>
      </c>
      <c r="G429" s="18" t="inlineStr">
        <is>
          <t>seadra</t>
        </is>
      </c>
      <c r="H429" s="18" t="inlineStr"/>
      <c r="I429" s="18" t="n">
        <v>1</v>
      </c>
      <c r="J429" s="18" t="n"/>
      <c r="K429" s="18" t="n">
        <v>1</v>
      </c>
      <c r="L429" s="18" t="inlineStr">
        <is>
          <t>cobbleventure:generation_1</t>
        </is>
      </c>
      <c r="M429" s="19" t="inlineStr">
        <is>
          <t>cobbleventure:generation_1</t>
        </is>
      </c>
      <c r="N429" s="18" t="inlineStr">
        <is>
          <t>region_01; region_02</t>
        </is>
      </c>
      <c r="O429" s="19" t="inlineStr"/>
      <c r="P429" s="18" t="inlineStr">
        <is>
          <t>#cobblemon:is_overworld</t>
        </is>
      </c>
      <c r="Q429" s="19" t="inlineStr"/>
      <c r="R429" s="18">
        <f>IF(Q429="",P429,Q429)</f>
        <v/>
      </c>
      <c r="S429" s="18" t="inlineStr"/>
      <c r="T429" s="18" t="inlineStr">
        <is>
          <t>common</t>
        </is>
      </c>
      <c r="U429" s="20" t="n">
        <v>0.19</v>
      </c>
      <c r="V429" s="21" t="n">
        <v>1</v>
      </c>
      <c r="W429" s="20">
        <f>IF(OR(U429="",V429=""),U429,U429*V429)</f>
        <v/>
      </c>
      <c r="X429" s="18" t="inlineStr">
        <is>
          <t>32-44</t>
        </is>
      </c>
      <c r="Y429" s="19" t="inlineStr"/>
      <c r="Z429" s="18">
        <f>IF(Y429="",X429,Y429)</f>
        <v/>
      </c>
      <c r="AA429" s="18" t="inlineStr">
        <is>
          <t>submerged</t>
        </is>
      </c>
      <c r="AB429" s="18" t="inlineStr"/>
      <c r="AC429" s="18" t="inlineStr"/>
      <c r="AD429" s="18" t="inlineStr">
        <is>
          <t>minY=-60, maxY=13</t>
        </is>
      </c>
      <c r="AE429" s="18" t="inlineStr"/>
      <c r="AF429" s="18" t="inlineStr">
        <is>
          <t>False</t>
        </is>
      </c>
      <c r="AG429" s="18" t="inlineStr">
        <is>
          <t>cobblemon:shipwreck_coves/submerged_shipwreck_cove</t>
        </is>
      </c>
      <c r="AH429" s="18" t="inlineStr"/>
      <c r="AI429" s="18" t="inlineStr"/>
      <c r="AJ429" s="18" t="inlineStr">
        <is>
          <t>Cobblemon 동일</t>
        </is>
      </c>
      <c r="AK429" s="18" t="inlineStr">
        <is>
          <t>사용</t>
        </is>
      </c>
      <c r="AL429" s="18" t="inlineStr">
        <is>
          <t>COBBLEVERSE 1.7.42 / DP v31</t>
        </is>
      </c>
      <c r="AM429" s="18" t="inlineStr">
        <is>
          <t>data/cobblemon/spawn_pool_world/0117_seadra.json</t>
        </is>
      </c>
      <c r="AN429" s="18" t="inlineStr">
        <is>
          <t>seadra-5</t>
        </is>
      </c>
      <c r="AO429" s="18" t="inlineStr">
        <is>
          <t>pokemon</t>
        </is>
      </c>
      <c r="AP429" s="18" t="inlineStr">
        <is>
          <t>water</t>
        </is>
      </c>
      <c r="AQ429" s="18" t="inlineStr">
        <is>
          <t>{"biomes":["#cobblemon:is_overworld"],"canSeeSky":false,"maxY":13,"minY":-60,"structures":["cobblemon:shipwreck_coves/submerged_shipwreck_cove"]}</t>
        </is>
      </c>
      <c r="AR429" s="18" t="inlineStr"/>
      <c r="AS429" s="18" t="inlineStr"/>
      <c r="AT429" s="19" t="inlineStr"/>
    </row>
    <row r="430" ht="32" customHeight="1">
      <c r="A430" s="18" t="inlineStr">
        <is>
          <t>0117_seadra.json::seadra-6::006</t>
        </is>
      </c>
      <c r="B430" s="19" t="inlineStr">
        <is>
          <t>사용</t>
        </is>
      </c>
      <c r="C430" s="18">
        <f>IF(OR(B430&lt;&gt;AK430,M430&lt;&gt;L430,O430&lt;&gt;"",Q430&lt;&gt;"",V430&lt;&gt;1,Y430&lt;&gt;"",AT430&lt;&gt;""),"수정","원본")</f>
        <v/>
      </c>
      <c r="D430" s="18" t="n">
        <v>117</v>
      </c>
      <c r="E430" s="18" t="inlineStr">
        <is>
          <t>시드라</t>
        </is>
      </c>
      <c r="F430" s="18" t="inlineStr">
        <is>
          <t>seadra</t>
        </is>
      </c>
      <c r="G430" s="18" t="inlineStr">
        <is>
          <t>seadra</t>
        </is>
      </c>
      <c r="H430" s="18" t="inlineStr"/>
      <c r="I430" s="18" t="n">
        <v>1</v>
      </c>
      <c r="J430" s="18" t="n"/>
      <c r="K430" s="18" t="n">
        <v>1</v>
      </c>
      <c r="L430" s="18" t="inlineStr">
        <is>
          <t>cobbleventure:generation_1</t>
        </is>
      </c>
      <c r="M430" s="19" t="inlineStr">
        <is>
          <t>cobbleventure:generation_1</t>
        </is>
      </c>
      <c r="N430" s="18" t="inlineStr">
        <is>
          <t>region_01; region_02</t>
        </is>
      </c>
      <c r="O430" s="19" t="inlineStr"/>
      <c r="P430" s="18" t="inlineStr">
        <is>
          <t>#cobblemon:is_overworld</t>
        </is>
      </c>
      <c r="Q430" s="19" t="inlineStr"/>
      <c r="R430" s="18">
        <f>IF(Q430="",P430,Q430)</f>
        <v/>
      </c>
      <c r="S430" s="18" t="inlineStr"/>
      <c r="T430" s="18" t="inlineStr">
        <is>
          <t>common</t>
        </is>
      </c>
      <c r="U430" s="20" t="n">
        <v>0.19</v>
      </c>
      <c r="V430" s="21" t="n">
        <v>1</v>
      </c>
      <c r="W430" s="20">
        <f>IF(OR(U430="",V430=""),U430,U430*V430)</f>
        <v/>
      </c>
      <c r="X430" s="18" t="inlineStr">
        <is>
          <t>32-44</t>
        </is>
      </c>
      <c r="Y430" s="19" t="inlineStr"/>
      <c r="Z430" s="18">
        <f>IF(Y430="",X430,Y430)</f>
        <v/>
      </c>
      <c r="AA430" s="18" t="inlineStr">
        <is>
          <t>fishing</t>
        </is>
      </c>
      <c r="AB430" s="18" t="inlineStr"/>
      <c r="AC430" s="18" t="inlineStr"/>
      <c r="AD430" s="18" t="inlineStr">
        <is>
          <t>minY=-60, maxY=13</t>
        </is>
      </c>
      <c r="AE430" s="18" t="inlineStr"/>
      <c r="AF430" s="18" t="inlineStr">
        <is>
          <t>False</t>
        </is>
      </c>
      <c r="AG430" s="18" t="inlineStr">
        <is>
          <t>cobblemon:shipwreck_coves/submerged_shipwreck_cove</t>
        </is>
      </c>
      <c r="AH430" s="18" t="inlineStr"/>
      <c r="AI430" s="18" t="inlineStr"/>
      <c r="AJ430" s="18" t="inlineStr">
        <is>
          <t>Cobblemon 동일</t>
        </is>
      </c>
      <c r="AK430" s="18" t="inlineStr">
        <is>
          <t>사용</t>
        </is>
      </c>
      <c r="AL430" s="18" t="inlineStr">
        <is>
          <t>COBBLEVERSE 1.7.42 / DP v31</t>
        </is>
      </c>
      <c r="AM430" s="18" t="inlineStr">
        <is>
          <t>data/cobblemon/spawn_pool_world/0117_seadra.json</t>
        </is>
      </c>
      <c r="AN430" s="18" t="inlineStr">
        <is>
          <t>seadra-6</t>
        </is>
      </c>
      <c r="AO430" s="18" t="inlineStr">
        <is>
          <t>pokemon</t>
        </is>
      </c>
      <c r="AP430" s="18" t="inlineStr"/>
      <c r="AQ430" s="18" t="inlineStr">
        <is>
          <t>{"biomes":["#cobblemon:is_overworld"],"canSeeSky":false,"maxY":13,"minY":-60,"structures":["cobblemon:shipwreck_coves/submerged_shipwreck_cove"]}</t>
        </is>
      </c>
      <c r="AR430" s="18" t="inlineStr"/>
      <c r="AS430" s="18" t="inlineStr">
        <is>
          <t>{"weightMultipliers":[{"condition":{"maxLureLevel":2,"minLureLevel":2},"multiplier":3.0},{"condition":{"minLureLevel":3},"multiplier":5.0}]}</t>
        </is>
      </c>
      <c r="AT430" s="19" t="inlineStr"/>
    </row>
    <row r="431" ht="32" customHeight="1">
      <c r="A431" s="18" t="inlineStr">
        <is>
          <t>0118_goldeen.json::goldeen-1::001</t>
        </is>
      </c>
      <c r="B431" s="19" t="inlineStr">
        <is>
          <t>사용</t>
        </is>
      </c>
      <c r="C431" s="18">
        <f>IF(OR(B431&lt;&gt;AK431,M431&lt;&gt;L431,O431&lt;&gt;"",Q431&lt;&gt;"",V431&lt;&gt;1,Y431&lt;&gt;"",AT431&lt;&gt;""),"수정","원본")</f>
        <v/>
      </c>
      <c r="D431" s="18" t="n">
        <v>118</v>
      </c>
      <c r="E431" s="18" t="inlineStr">
        <is>
          <t>콘치</t>
        </is>
      </c>
      <c r="F431" s="18" t="inlineStr">
        <is>
          <t>goldeen</t>
        </is>
      </c>
      <c r="G431" s="18" t="inlineStr">
        <is>
          <t>goldeen</t>
        </is>
      </c>
      <c r="H431" s="18" t="inlineStr"/>
      <c r="I431" s="18" t="n">
        <v>1</v>
      </c>
      <c r="J431" s="18" t="n"/>
      <c r="K431" s="18" t="n">
        <v>1</v>
      </c>
      <c r="L431" s="18" t="inlineStr">
        <is>
          <t>cobbleventure:generation_1</t>
        </is>
      </c>
      <c r="M431" s="19" t="inlineStr">
        <is>
          <t>cobbleventure:generation_1</t>
        </is>
      </c>
      <c r="N431" s="18" t="inlineStr"/>
      <c r="O431" s="19" t="inlineStr"/>
      <c r="P431" s="18" t="inlineStr">
        <is>
          <t>#cobblemon:is_river</t>
        </is>
      </c>
      <c r="Q431" s="19" t="inlineStr"/>
      <c r="R431" s="18">
        <f>IF(Q431="",P431,Q431)</f>
        <v/>
      </c>
      <c r="S431" s="18" t="inlineStr"/>
      <c r="T431" s="18" t="inlineStr">
        <is>
          <t>common</t>
        </is>
      </c>
      <c r="U431" s="20" t="n">
        <v>9</v>
      </c>
      <c r="V431" s="21" t="n">
        <v>1</v>
      </c>
      <c r="W431" s="20">
        <f>IF(OR(U431="",V431=""),U431,U431*V431)</f>
        <v/>
      </c>
      <c r="X431" s="18" t="inlineStr">
        <is>
          <t>7-32</t>
        </is>
      </c>
      <c r="Y431" s="19" t="inlineStr"/>
      <c r="Z431" s="18">
        <f>IF(Y431="",X431,Y431)</f>
        <v/>
      </c>
      <c r="AA431" s="18" t="inlineStr">
        <is>
          <t>submerged</t>
        </is>
      </c>
      <c r="AB431" s="18" t="inlineStr"/>
      <c r="AC431" s="18" t="inlineStr"/>
      <c r="AD431" s="18" t="inlineStr"/>
      <c r="AE431" s="18" t="inlineStr"/>
      <c r="AF431" s="18" t="inlineStr">
        <is>
          <t>True</t>
        </is>
      </c>
      <c r="AG431" s="18" t="inlineStr"/>
      <c r="AH431" s="18" t="inlineStr"/>
      <c r="AI431" s="18" t="inlineStr"/>
      <c r="AJ431" s="18" t="inlineStr">
        <is>
          <t>Cobblemon 동일</t>
        </is>
      </c>
      <c r="AK431" s="18" t="inlineStr">
        <is>
          <t>사용</t>
        </is>
      </c>
      <c r="AL431" s="18" t="inlineStr">
        <is>
          <t>COBBLEVERSE 1.7.42 / DP v31</t>
        </is>
      </c>
      <c r="AM431" s="18" t="inlineStr">
        <is>
          <t>data/cobblemon/spawn_pool_world/0118_goldeen.json</t>
        </is>
      </c>
      <c r="AN431" s="18" t="inlineStr">
        <is>
          <t>goldeen-1</t>
        </is>
      </c>
      <c r="AO431" s="18" t="inlineStr">
        <is>
          <t>pokemon</t>
        </is>
      </c>
      <c r="AP431" s="18" t="inlineStr">
        <is>
          <t>water</t>
        </is>
      </c>
      <c r="AQ431" s="18" t="inlineStr">
        <is>
          <t>{"biomes":["#cobblemon:is_river"],"canSeeSky":true}</t>
        </is>
      </c>
      <c r="AR431" s="18" t="inlineStr"/>
      <c r="AS431" s="18" t="inlineStr"/>
      <c r="AT431" s="19" t="inlineStr"/>
    </row>
    <row r="432" ht="32" customHeight="1">
      <c r="A432" s="18" t="inlineStr">
        <is>
          <t>0118_goldeen.json::goldeen-2::002</t>
        </is>
      </c>
      <c r="B432" s="19" t="inlineStr">
        <is>
          <t>사용</t>
        </is>
      </c>
      <c r="C432" s="18">
        <f>IF(OR(B432&lt;&gt;AK432,M432&lt;&gt;L432,O432&lt;&gt;"",Q432&lt;&gt;"",V432&lt;&gt;1,Y432&lt;&gt;"",AT432&lt;&gt;""),"수정","원본")</f>
        <v/>
      </c>
      <c r="D432" s="18" t="n">
        <v>118</v>
      </c>
      <c r="E432" s="18" t="inlineStr">
        <is>
          <t>콘치</t>
        </is>
      </c>
      <c r="F432" s="18" t="inlineStr">
        <is>
          <t>goldeen</t>
        </is>
      </c>
      <c r="G432" s="18" t="inlineStr">
        <is>
          <t>goldeen</t>
        </is>
      </c>
      <c r="H432" s="18" t="inlineStr"/>
      <c r="I432" s="18" t="n">
        <v>1</v>
      </c>
      <c r="J432" s="18" t="n"/>
      <c r="K432" s="18" t="n">
        <v>1</v>
      </c>
      <c r="L432" s="18" t="inlineStr">
        <is>
          <t>cobbleventure:generation_1</t>
        </is>
      </c>
      <c r="M432" s="19" t="inlineStr">
        <is>
          <t>cobbleventure:generation_1</t>
        </is>
      </c>
      <c r="N432" s="18" t="inlineStr">
        <is>
          <t>region_01; region_02</t>
        </is>
      </c>
      <c r="O432" s="19" t="inlineStr"/>
      <c r="P432" s="18" t="inlineStr">
        <is>
          <t>#aether:is_aether; #cobblemon:is_bamboo; #cobblemon:is_floral; #cobblemon:is_freezing; #cobblemon:is_freshwater; #cobblemon:is_jungle; #cobblemon:is_magical; #cobblemon:is_mountain; #cobblemon:is_taiga; #cobblemon:is_temperate</t>
        </is>
      </c>
      <c r="Q432" s="19" t="inlineStr"/>
      <c r="R432" s="18">
        <f>IF(Q432="",P432,Q432)</f>
        <v/>
      </c>
      <c r="S432" s="18" t="inlineStr"/>
      <c r="T432" s="18" t="inlineStr">
        <is>
          <t>common</t>
        </is>
      </c>
      <c r="U432" s="20" t="n">
        <v>9</v>
      </c>
      <c r="V432" s="21" t="n">
        <v>1</v>
      </c>
      <c r="W432" s="20">
        <f>IF(OR(U432="",V432=""),U432,U432*V432)</f>
        <v/>
      </c>
      <c r="X432" s="18" t="inlineStr">
        <is>
          <t>7-32</t>
        </is>
      </c>
      <c r="Y432" s="19" t="inlineStr"/>
      <c r="Z432" s="18">
        <f>IF(Y432="",X432,Y432)</f>
        <v/>
      </c>
      <c r="AA432" s="18" t="inlineStr">
        <is>
          <t>fishing</t>
        </is>
      </c>
      <c r="AB432" s="18" t="inlineStr"/>
      <c r="AC432" s="18" t="inlineStr"/>
      <c r="AD432" s="18" t="inlineStr"/>
      <c r="AE432" s="18" t="inlineStr"/>
      <c r="AF432" s="18" t="inlineStr">
        <is>
          <t>True</t>
        </is>
      </c>
      <c r="AG432" s="18" t="inlineStr"/>
      <c r="AH432" s="18" t="inlineStr"/>
      <c r="AI432" s="18" t="inlineStr"/>
      <c r="AJ432" s="18" t="inlineStr">
        <is>
          <t>Cobblemon 동일</t>
        </is>
      </c>
      <c r="AK432" s="18" t="inlineStr">
        <is>
          <t>사용</t>
        </is>
      </c>
      <c r="AL432" s="18" t="inlineStr">
        <is>
          <t>COBBLEVERSE 1.7.42 / DP v31</t>
        </is>
      </c>
      <c r="AM432" s="18" t="inlineStr">
        <is>
          <t>data/cobblemon/spawn_pool_world/0118_goldeen.json</t>
        </is>
      </c>
      <c r="AN432" s="18" t="inlineStr">
        <is>
          <t>goldeen-2</t>
        </is>
      </c>
      <c r="AO432" s="18" t="inlineStr">
        <is>
          <t>pokemon</t>
        </is>
      </c>
      <c r="AP432" s="18" t="inlineStr"/>
      <c r="AQ432" s="18" t="inlineStr">
        <is>
          <t>{"biomes":["#aether:is_aether","#cobblemon:is_bamboo","#cobblemon:is_floral","#cobblemon:is_freezing","#cobblemon:is_freshwater","#cobblemon:is_jungle","#cobblemon:is_magical","#cobblemon:is_mountain","#cobblemon:is_taiga","#cobblemon:is_temperate"],"canSeeSky":true}</t>
        </is>
      </c>
      <c r="AR432" s="18" t="inlineStr"/>
      <c r="AS432" s="18" t="inlineStr"/>
      <c r="AT432" s="19" t="inlineStr"/>
    </row>
    <row r="433" ht="32" customHeight="1">
      <c r="A433" s="18" t="inlineStr">
        <is>
          <t>0118_goldeen.json::goldeen-3::003</t>
        </is>
      </c>
      <c r="B433" s="19" t="inlineStr">
        <is>
          <t>사용</t>
        </is>
      </c>
      <c r="C433" s="18">
        <f>IF(OR(B433&lt;&gt;AK433,M433&lt;&gt;L433,O433&lt;&gt;"",Q433&lt;&gt;"",V433&lt;&gt;1,Y433&lt;&gt;"",AT433&lt;&gt;""),"수정","원본")</f>
        <v/>
      </c>
      <c r="D433" s="18" t="n">
        <v>118</v>
      </c>
      <c r="E433" s="18" t="inlineStr">
        <is>
          <t>콘치</t>
        </is>
      </c>
      <c r="F433" s="18" t="inlineStr">
        <is>
          <t>goldeen</t>
        </is>
      </c>
      <c r="G433" s="18" t="inlineStr">
        <is>
          <t>goldeen</t>
        </is>
      </c>
      <c r="H433" s="18" t="inlineStr"/>
      <c r="I433" s="18" t="n">
        <v>1</v>
      </c>
      <c r="J433" s="18" t="n"/>
      <c r="K433" s="18" t="n">
        <v>1</v>
      </c>
      <c r="L433" s="18" t="inlineStr">
        <is>
          <t>cobbleventure:generation_1</t>
        </is>
      </c>
      <c r="M433" s="19" t="inlineStr">
        <is>
          <t>cobbleventure:generation_1</t>
        </is>
      </c>
      <c r="N433" s="18" t="inlineStr"/>
      <c r="O433" s="19" t="inlineStr"/>
      <c r="P433" s="18" t="inlineStr">
        <is>
          <t>#cobblemon:is_river</t>
        </is>
      </c>
      <c r="Q433" s="19" t="inlineStr"/>
      <c r="R433" s="18">
        <f>IF(Q433="",P433,Q433)</f>
        <v/>
      </c>
      <c r="S433" s="18" t="inlineStr"/>
      <c r="T433" s="18" t="inlineStr">
        <is>
          <t>common</t>
        </is>
      </c>
      <c r="U433" s="20" t="n">
        <v>9</v>
      </c>
      <c r="V433" s="21" t="n">
        <v>1</v>
      </c>
      <c r="W433" s="20">
        <f>IF(OR(U433="",V433=""),U433,U433*V433)</f>
        <v/>
      </c>
      <c r="X433" s="18" t="inlineStr">
        <is>
          <t>7-32</t>
        </is>
      </c>
      <c r="Y433" s="19" t="inlineStr"/>
      <c r="Z433" s="18">
        <f>IF(Y433="",X433,Y433)</f>
        <v/>
      </c>
      <c r="AA433" s="18" t="inlineStr">
        <is>
          <t>submerged</t>
        </is>
      </c>
      <c r="AB433" s="18" t="inlineStr"/>
      <c r="AC433" s="18" t="inlineStr"/>
      <c r="AD433" s="18" t="inlineStr"/>
      <c r="AE433" s="18" t="inlineStr">
        <is>
          <t>sky 8-15</t>
        </is>
      </c>
      <c r="AF433" s="18" t="inlineStr">
        <is>
          <t>False</t>
        </is>
      </c>
      <c r="AG433" s="18" t="inlineStr"/>
      <c r="AH433" s="18" t="inlineStr"/>
      <c r="AI433" s="18" t="inlineStr"/>
      <c r="AJ433" s="18" t="inlineStr">
        <is>
          <t>Cobblemon 동일</t>
        </is>
      </c>
      <c r="AK433" s="18" t="inlineStr">
        <is>
          <t>사용</t>
        </is>
      </c>
      <c r="AL433" s="18" t="inlineStr">
        <is>
          <t>COBBLEVERSE 1.7.42 / DP v31</t>
        </is>
      </c>
      <c r="AM433" s="18" t="inlineStr">
        <is>
          <t>data/cobblemon/spawn_pool_world/0118_goldeen.json</t>
        </is>
      </c>
      <c r="AN433" s="18" t="inlineStr">
        <is>
          <t>goldeen-3</t>
        </is>
      </c>
      <c r="AO433" s="18" t="inlineStr">
        <is>
          <t>pokemon</t>
        </is>
      </c>
      <c r="AP433" s="18" t="inlineStr">
        <is>
          <t>water</t>
        </is>
      </c>
      <c r="AQ433" s="18" t="inlineStr">
        <is>
          <t>{"biomes":["#cobblemon:is_river"],"canSeeSky":false,"maxSkyLight":15,"minSkyLight":8}</t>
        </is>
      </c>
      <c r="AR433" s="18" t="inlineStr"/>
      <c r="AS433" s="18" t="inlineStr"/>
      <c r="AT433" s="19" t="inlineStr"/>
    </row>
    <row r="434" ht="32" customHeight="1">
      <c r="A434" s="18" t="inlineStr">
        <is>
          <t>0118_goldeen.json::goldeen-4::004</t>
        </is>
      </c>
      <c r="B434" s="19" t="inlineStr">
        <is>
          <t>사용</t>
        </is>
      </c>
      <c r="C434" s="18">
        <f>IF(OR(B434&lt;&gt;AK434,M434&lt;&gt;L434,O434&lt;&gt;"",Q434&lt;&gt;"",V434&lt;&gt;1,Y434&lt;&gt;"",AT434&lt;&gt;""),"수정","원본")</f>
        <v/>
      </c>
      <c r="D434" s="18" t="n">
        <v>118</v>
      </c>
      <c r="E434" s="18" t="inlineStr">
        <is>
          <t>콘치</t>
        </is>
      </c>
      <c r="F434" s="18" t="inlineStr">
        <is>
          <t>goldeen</t>
        </is>
      </c>
      <c r="G434" s="18" t="inlineStr">
        <is>
          <t>goldeen</t>
        </is>
      </c>
      <c r="H434" s="18" t="inlineStr"/>
      <c r="I434" s="18" t="n">
        <v>1</v>
      </c>
      <c r="J434" s="18" t="n"/>
      <c r="K434" s="18" t="n">
        <v>1</v>
      </c>
      <c r="L434" s="18" t="inlineStr">
        <is>
          <t>cobbleventure:generation_1</t>
        </is>
      </c>
      <c r="M434" s="19" t="inlineStr">
        <is>
          <t>cobbleventure:generation_1</t>
        </is>
      </c>
      <c r="N434" s="18" t="inlineStr">
        <is>
          <t>region_01; region_02</t>
        </is>
      </c>
      <c r="O434" s="19" t="inlineStr"/>
      <c r="P434" s="18" t="inlineStr">
        <is>
          <t>#aether:is_aether; #cobblemon:is_bamboo; #cobblemon:is_floral; #cobblemon:is_freezing; #cobblemon:is_freshwater; #cobblemon:is_jungle; #cobblemon:is_magical; #cobblemon:is_mountain; #cobblemon:is_taiga; #cobblemon:is_temperate</t>
        </is>
      </c>
      <c r="Q434" s="19" t="inlineStr"/>
      <c r="R434" s="18">
        <f>IF(Q434="",P434,Q434)</f>
        <v/>
      </c>
      <c r="S434" s="18" t="inlineStr"/>
      <c r="T434" s="18" t="inlineStr">
        <is>
          <t>common</t>
        </is>
      </c>
      <c r="U434" s="20" t="n">
        <v>9</v>
      </c>
      <c r="V434" s="21" t="n">
        <v>1</v>
      </c>
      <c r="W434" s="20">
        <f>IF(OR(U434="",V434=""),U434,U434*V434)</f>
        <v/>
      </c>
      <c r="X434" s="18" t="inlineStr">
        <is>
          <t>7-32</t>
        </is>
      </c>
      <c r="Y434" s="19" t="inlineStr"/>
      <c r="Z434" s="18">
        <f>IF(Y434="",X434,Y434)</f>
        <v/>
      </c>
      <c r="AA434" s="18" t="inlineStr">
        <is>
          <t>fishing</t>
        </is>
      </c>
      <c r="AB434" s="18" t="inlineStr"/>
      <c r="AC434" s="18" t="inlineStr"/>
      <c r="AD434" s="18" t="inlineStr"/>
      <c r="AE434" s="18" t="inlineStr">
        <is>
          <t>sky 8-15</t>
        </is>
      </c>
      <c r="AF434" s="18" t="inlineStr">
        <is>
          <t>False</t>
        </is>
      </c>
      <c r="AG434" s="18" t="inlineStr"/>
      <c r="AH434" s="18" t="inlineStr"/>
      <c r="AI434" s="18" t="inlineStr"/>
      <c r="AJ434" s="18" t="inlineStr">
        <is>
          <t>Cobblemon 동일</t>
        </is>
      </c>
      <c r="AK434" s="18" t="inlineStr">
        <is>
          <t>사용</t>
        </is>
      </c>
      <c r="AL434" s="18" t="inlineStr">
        <is>
          <t>COBBLEVERSE 1.7.42 / DP v31</t>
        </is>
      </c>
      <c r="AM434" s="18" t="inlineStr">
        <is>
          <t>data/cobblemon/spawn_pool_world/0118_goldeen.json</t>
        </is>
      </c>
      <c r="AN434" s="18" t="inlineStr">
        <is>
          <t>goldeen-4</t>
        </is>
      </c>
      <c r="AO434" s="18" t="inlineStr">
        <is>
          <t>pokemon</t>
        </is>
      </c>
      <c r="AP434" s="18" t="inlineStr"/>
      <c r="AQ434" s="18" t="inlineStr">
        <is>
          <t>{"biomes":["#aether:is_aether","#cobblemon:is_bamboo","#cobblemon:is_floral","#cobblemon:is_freezing","#cobblemon:is_freshwater","#cobblemon:is_jungle","#cobblemon:is_magical","#cobblemon:is_mountain","#cobblemon:is_taiga","#cobblemon:is_temperate"],"canSeeSky":false,"maxSkyLight":15,"minSkyLight":8}</t>
        </is>
      </c>
      <c r="AR434" s="18" t="inlineStr"/>
      <c r="AS434" s="18" t="inlineStr"/>
      <c r="AT434" s="19" t="inlineStr"/>
    </row>
    <row r="435" ht="32" customHeight="1">
      <c r="A435" s="18" t="inlineStr">
        <is>
          <t>0119_seaking.json::seaking-1::001</t>
        </is>
      </c>
      <c r="B435" s="19" t="inlineStr">
        <is>
          <t>사용</t>
        </is>
      </c>
      <c r="C435" s="18">
        <f>IF(OR(B435&lt;&gt;AK435,M435&lt;&gt;L435,O435&lt;&gt;"",Q435&lt;&gt;"",V435&lt;&gt;1,Y435&lt;&gt;"",AT435&lt;&gt;""),"수정","원본")</f>
        <v/>
      </c>
      <c r="D435" s="18" t="n">
        <v>119</v>
      </c>
      <c r="E435" s="18" t="inlineStr">
        <is>
          <t>왕콘치</t>
        </is>
      </c>
      <c r="F435" s="18" t="inlineStr">
        <is>
          <t>seaking</t>
        </is>
      </c>
      <c r="G435" s="18" t="inlineStr">
        <is>
          <t>seaking</t>
        </is>
      </c>
      <c r="H435" s="18" t="inlineStr"/>
      <c r="I435" s="18" t="n">
        <v>1</v>
      </c>
      <c r="J435" s="18" t="n"/>
      <c r="K435" s="18" t="n">
        <v>1</v>
      </c>
      <c r="L435" s="18" t="inlineStr">
        <is>
          <t>cobbleventure:generation_1</t>
        </is>
      </c>
      <c r="M435" s="19" t="inlineStr">
        <is>
          <t>cobbleventure:generation_1</t>
        </is>
      </c>
      <c r="N435" s="18" t="inlineStr"/>
      <c r="O435" s="19" t="inlineStr"/>
      <c r="P435" s="18" t="inlineStr">
        <is>
          <t>#cobblemon:is_river</t>
        </is>
      </c>
      <c r="Q435" s="19" t="inlineStr"/>
      <c r="R435" s="18">
        <f>IF(Q435="",P435,Q435)</f>
        <v/>
      </c>
      <c r="S435" s="18" t="inlineStr"/>
      <c r="T435" s="18" t="inlineStr">
        <is>
          <t>common</t>
        </is>
      </c>
      <c r="U435" s="20" t="n">
        <v>1</v>
      </c>
      <c r="V435" s="21" t="n">
        <v>1</v>
      </c>
      <c r="W435" s="20">
        <f>IF(OR(U435="",V435=""),U435,U435*V435)</f>
        <v/>
      </c>
      <c r="X435" s="18" t="inlineStr">
        <is>
          <t>33-45</t>
        </is>
      </c>
      <c r="Y435" s="19" t="inlineStr"/>
      <c r="Z435" s="18">
        <f>IF(Y435="",X435,Y435)</f>
        <v/>
      </c>
      <c r="AA435" s="18" t="inlineStr">
        <is>
          <t>submerged</t>
        </is>
      </c>
      <c r="AB435" s="18" t="inlineStr"/>
      <c r="AC435" s="18" t="inlineStr"/>
      <c r="AD435" s="18" t="inlineStr"/>
      <c r="AE435" s="18" t="inlineStr"/>
      <c r="AF435" s="18" t="inlineStr">
        <is>
          <t>True</t>
        </is>
      </c>
      <c r="AG435" s="18" t="inlineStr"/>
      <c r="AH435" s="18" t="inlineStr"/>
      <c r="AI435" s="18" t="inlineStr"/>
      <c r="AJ435" s="18" t="inlineStr">
        <is>
          <t>Cobblemon 동일</t>
        </is>
      </c>
      <c r="AK435" s="18" t="inlineStr">
        <is>
          <t>사용</t>
        </is>
      </c>
      <c r="AL435" s="18" t="inlineStr">
        <is>
          <t>COBBLEVERSE 1.7.42 / DP v31</t>
        </is>
      </c>
      <c r="AM435" s="18" t="inlineStr">
        <is>
          <t>data/cobblemon/spawn_pool_world/0119_seaking.json</t>
        </is>
      </c>
      <c r="AN435" s="18" t="inlineStr">
        <is>
          <t>seaking-1</t>
        </is>
      </c>
      <c r="AO435" s="18" t="inlineStr">
        <is>
          <t>pokemon</t>
        </is>
      </c>
      <c r="AP435" s="18" t="inlineStr">
        <is>
          <t>water</t>
        </is>
      </c>
      <c r="AQ435" s="18" t="inlineStr">
        <is>
          <t>{"biomes":["#cobblemon:is_river"],"canSeeSky":true}</t>
        </is>
      </c>
      <c r="AR435" s="18" t="inlineStr"/>
      <c r="AS435" s="18" t="inlineStr"/>
      <c r="AT435" s="19" t="inlineStr"/>
    </row>
    <row r="436" ht="32" customHeight="1">
      <c r="A436" s="18" t="inlineStr">
        <is>
          <t>0119_seaking.json::seaking-2::002</t>
        </is>
      </c>
      <c r="B436" s="19" t="inlineStr">
        <is>
          <t>사용</t>
        </is>
      </c>
      <c r="C436" s="18">
        <f>IF(OR(B436&lt;&gt;AK436,M436&lt;&gt;L436,O436&lt;&gt;"",Q436&lt;&gt;"",V436&lt;&gt;1,Y436&lt;&gt;"",AT436&lt;&gt;""),"수정","원본")</f>
        <v/>
      </c>
      <c r="D436" s="18" t="n">
        <v>119</v>
      </c>
      <c r="E436" s="18" t="inlineStr">
        <is>
          <t>왕콘치</t>
        </is>
      </c>
      <c r="F436" s="18" t="inlineStr">
        <is>
          <t>seaking</t>
        </is>
      </c>
      <c r="G436" s="18" t="inlineStr">
        <is>
          <t>seaking</t>
        </is>
      </c>
      <c r="H436" s="18" t="inlineStr"/>
      <c r="I436" s="18" t="n">
        <v>1</v>
      </c>
      <c r="J436" s="18" t="n"/>
      <c r="K436" s="18" t="n">
        <v>1</v>
      </c>
      <c r="L436" s="18" t="inlineStr">
        <is>
          <t>cobbleventure:generation_1</t>
        </is>
      </c>
      <c r="M436" s="19" t="inlineStr">
        <is>
          <t>cobbleventure:generation_1</t>
        </is>
      </c>
      <c r="N436" s="18" t="inlineStr">
        <is>
          <t>region_01; region_02</t>
        </is>
      </c>
      <c r="O436" s="19" t="inlineStr"/>
      <c r="P436" s="18" t="inlineStr">
        <is>
          <t>#aether:is_aether; #cobblemon:is_bamboo; #cobblemon:is_floral; #cobblemon:is_freezing; #cobblemon:is_freshwater; #cobblemon:is_jungle; #cobblemon:is_magical; #cobblemon:is_mountain; #cobblemon:is_taiga; #cobblemon:is_temperate</t>
        </is>
      </c>
      <c r="Q436" s="19" t="inlineStr"/>
      <c r="R436" s="18">
        <f>IF(Q436="",P436,Q436)</f>
        <v/>
      </c>
      <c r="S436" s="18" t="inlineStr"/>
      <c r="T436" s="18" t="inlineStr">
        <is>
          <t>common</t>
        </is>
      </c>
      <c r="U436" s="20" t="n">
        <v>1</v>
      </c>
      <c r="V436" s="21" t="n">
        <v>1</v>
      </c>
      <c r="W436" s="20">
        <f>IF(OR(U436="",V436=""),U436,U436*V436)</f>
        <v/>
      </c>
      <c r="X436" s="18" t="inlineStr">
        <is>
          <t>33-45</t>
        </is>
      </c>
      <c r="Y436" s="19" t="inlineStr"/>
      <c r="Z436" s="18">
        <f>IF(Y436="",X436,Y436)</f>
        <v/>
      </c>
      <c r="AA436" s="18" t="inlineStr">
        <is>
          <t>fishing</t>
        </is>
      </c>
      <c r="AB436" s="18" t="inlineStr"/>
      <c r="AC436" s="18" t="inlineStr"/>
      <c r="AD436" s="18" t="inlineStr"/>
      <c r="AE436" s="18" t="inlineStr"/>
      <c r="AF436" s="18" t="inlineStr">
        <is>
          <t>True</t>
        </is>
      </c>
      <c r="AG436" s="18" t="inlineStr"/>
      <c r="AH436" s="18" t="inlineStr"/>
      <c r="AI436" s="18" t="inlineStr"/>
      <c r="AJ436" s="18" t="inlineStr">
        <is>
          <t>Cobblemon 동일</t>
        </is>
      </c>
      <c r="AK436" s="18" t="inlineStr">
        <is>
          <t>사용</t>
        </is>
      </c>
      <c r="AL436" s="18" t="inlineStr">
        <is>
          <t>COBBLEVERSE 1.7.42 / DP v31</t>
        </is>
      </c>
      <c r="AM436" s="18" t="inlineStr">
        <is>
          <t>data/cobblemon/spawn_pool_world/0119_seaking.json</t>
        </is>
      </c>
      <c r="AN436" s="18" t="inlineStr">
        <is>
          <t>seaking-2</t>
        </is>
      </c>
      <c r="AO436" s="18" t="inlineStr">
        <is>
          <t>pokemon</t>
        </is>
      </c>
      <c r="AP436" s="18" t="inlineStr"/>
      <c r="AQ436" s="18" t="inlineStr">
        <is>
          <t>{"biomes":["#aether:is_aether","#cobblemon:is_bamboo","#cobblemon:is_floral","#cobblemon:is_freezing","#cobblemon:is_freshwater","#cobblemon:is_jungle","#cobblemon:is_magical","#cobblemon:is_mountain","#cobblemon:is_taiga","#cobblemon:is_temperate"],"canSeeSky":true}</t>
        </is>
      </c>
      <c r="AR436" s="18" t="inlineStr"/>
      <c r="AS436" s="18" t="inlineStr"/>
      <c r="AT436" s="19" t="inlineStr"/>
    </row>
    <row r="437" ht="32" customHeight="1">
      <c r="A437" s="18" t="inlineStr">
        <is>
          <t>0119_seaking.json::seaking-3::003</t>
        </is>
      </c>
      <c r="B437" s="19" t="inlineStr">
        <is>
          <t>사용</t>
        </is>
      </c>
      <c r="C437" s="18">
        <f>IF(OR(B437&lt;&gt;AK437,M437&lt;&gt;L437,O437&lt;&gt;"",Q437&lt;&gt;"",V437&lt;&gt;1,Y437&lt;&gt;"",AT437&lt;&gt;""),"수정","원본")</f>
        <v/>
      </c>
      <c r="D437" s="18" t="n">
        <v>119</v>
      </c>
      <c r="E437" s="18" t="inlineStr">
        <is>
          <t>왕콘치</t>
        </is>
      </c>
      <c r="F437" s="18" t="inlineStr">
        <is>
          <t>seaking</t>
        </is>
      </c>
      <c r="G437" s="18" t="inlineStr">
        <is>
          <t>seaking</t>
        </is>
      </c>
      <c r="H437" s="18" t="inlineStr"/>
      <c r="I437" s="18" t="n">
        <v>1</v>
      </c>
      <c r="J437" s="18" t="n"/>
      <c r="K437" s="18" t="n">
        <v>1</v>
      </c>
      <c r="L437" s="18" t="inlineStr">
        <is>
          <t>cobbleventure:generation_1</t>
        </is>
      </c>
      <c r="M437" s="19" t="inlineStr">
        <is>
          <t>cobbleventure:generation_1</t>
        </is>
      </c>
      <c r="N437" s="18" t="inlineStr"/>
      <c r="O437" s="19" t="inlineStr"/>
      <c r="P437" s="18" t="inlineStr">
        <is>
          <t>#cobblemon:is_river</t>
        </is>
      </c>
      <c r="Q437" s="19" t="inlineStr"/>
      <c r="R437" s="18">
        <f>IF(Q437="",P437,Q437)</f>
        <v/>
      </c>
      <c r="S437" s="18" t="inlineStr"/>
      <c r="T437" s="18" t="inlineStr">
        <is>
          <t>common</t>
        </is>
      </c>
      <c r="U437" s="20" t="n">
        <v>1</v>
      </c>
      <c r="V437" s="21" t="n">
        <v>1</v>
      </c>
      <c r="W437" s="20">
        <f>IF(OR(U437="",V437=""),U437,U437*V437)</f>
        <v/>
      </c>
      <c r="X437" s="18" t="inlineStr">
        <is>
          <t>33-45</t>
        </is>
      </c>
      <c r="Y437" s="19" t="inlineStr"/>
      <c r="Z437" s="18">
        <f>IF(Y437="",X437,Y437)</f>
        <v/>
      </c>
      <c r="AA437" s="18" t="inlineStr">
        <is>
          <t>submerged</t>
        </is>
      </c>
      <c r="AB437" s="18" t="inlineStr"/>
      <c r="AC437" s="18" t="inlineStr"/>
      <c r="AD437" s="18" t="inlineStr"/>
      <c r="AE437" s="18" t="inlineStr">
        <is>
          <t>sky 8-15</t>
        </is>
      </c>
      <c r="AF437" s="18" t="inlineStr">
        <is>
          <t>False</t>
        </is>
      </c>
      <c r="AG437" s="18" t="inlineStr"/>
      <c r="AH437" s="18" t="inlineStr"/>
      <c r="AI437" s="18" t="inlineStr"/>
      <c r="AJ437" s="18" t="inlineStr">
        <is>
          <t>Cobblemon 동일</t>
        </is>
      </c>
      <c r="AK437" s="18" t="inlineStr">
        <is>
          <t>사용</t>
        </is>
      </c>
      <c r="AL437" s="18" t="inlineStr">
        <is>
          <t>COBBLEVERSE 1.7.42 / DP v31</t>
        </is>
      </c>
      <c r="AM437" s="18" t="inlineStr">
        <is>
          <t>data/cobblemon/spawn_pool_world/0119_seaking.json</t>
        </is>
      </c>
      <c r="AN437" s="18" t="inlineStr">
        <is>
          <t>seaking-3</t>
        </is>
      </c>
      <c r="AO437" s="18" t="inlineStr">
        <is>
          <t>pokemon</t>
        </is>
      </c>
      <c r="AP437" s="18" t="inlineStr">
        <is>
          <t>water</t>
        </is>
      </c>
      <c r="AQ437" s="18" t="inlineStr">
        <is>
          <t>{"biomes":["#cobblemon:is_river"],"canSeeSky":false,"maxSkyLight":15,"minSkyLight":8}</t>
        </is>
      </c>
      <c r="AR437" s="18" t="inlineStr"/>
      <c r="AS437" s="18" t="inlineStr"/>
      <c r="AT437" s="19" t="inlineStr"/>
    </row>
    <row r="438" ht="32" customHeight="1">
      <c r="A438" s="18" t="inlineStr">
        <is>
          <t>0119_seaking.json::seaking-4::004</t>
        </is>
      </c>
      <c r="B438" s="19" t="inlineStr">
        <is>
          <t>사용</t>
        </is>
      </c>
      <c r="C438" s="18">
        <f>IF(OR(B438&lt;&gt;AK438,M438&lt;&gt;L438,O438&lt;&gt;"",Q438&lt;&gt;"",V438&lt;&gt;1,Y438&lt;&gt;"",AT438&lt;&gt;""),"수정","원본")</f>
        <v/>
      </c>
      <c r="D438" s="18" t="n">
        <v>119</v>
      </c>
      <c r="E438" s="18" t="inlineStr">
        <is>
          <t>왕콘치</t>
        </is>
      </c>
      <c r="F438" s="18" t="inlineStr">
        <is>
          <t>seaking</t>
        </is>
      </c>
      <c r="G438" s="18" t="inlineStr">
        <is>
          <t>seaking</t>
        </is>
      </c>
      <c r="H438" s="18" t="inlineStr"/>
      <c r="I438" s="18" t="n">
        <v>1</v>
      </c>
      <c r="J438" s="18" t="n"/>
      <c r="K438" s="18" t="n">
        <v>1</v>
      </c>
      <c r="L438" s="18" t="inlineStr">
        <is>
          <t>cobbleventure:generation_1</t>
        </is>
      </c>
      <c r="M438" s="19" t="inlineStr">
        <is>
          <t>cobbleventure:generation_1</t>
        </is>
      </c>
      <c r="N438" s="18" t="inlineStr">
        <is>
          <t>region_01; region_02</t>
        </is>
      </c>
      <c r="O438" s="19" t="inlineStr"/>
      <c r="P438" s="18" t="inlineStr">
        <is>
          <t>#aether:is_aether; #cobblemon:is_bamboo; #cobblemon:is_floral; #cobblemon:is_freezing; #cobblemon:is_freshwater; #cobblemon:is_jungle; #cobblemon:is_magical; #cobblemon:is_mountain; #cobblemon:is_taiga; #cobblemon:is_temperate</t>
        </is>
      </c>
      <c r="Q438" s="19" t="inlineStr"/>
      <c r="R438" s="18">
        <f>IF(Q438="",P438,Q438)</f>
        <v/>
      </c>
      <c r="S438" s="18" t="inlineStr"/>
      <c r="T438" s="18" t="inlineStr">
        <is>
          <t>common</t>
        </is>
      </c>
      <c r="U438" s="20" t="n">
        <v>1</v>
      </c>
      <c r="V438" s="21" t="n">
        <v>1</v>
      </c>
      <c r="W438" s="20">
        <f>IF(OR(U438="",V438=""),U438,U438*V438)</f>
        <v/>
      </c>
      <c r="X438" s="18" t="inlineStr">
        <is>
          <t>33-45</t>
        </is>
      </c>
      <c r="Y438" s="19" t="inlineStr"/>
      <c r="Z438" s="18">
        <f>IF(Y438="",X438,Y438)</f>
        <v/>
      </c>
      <c r="AA438" s="18" t="inlineStr">
        <is>
          <t>fishing</t>
        </is>
      </c>
      <c r="AB438" s="18" t="inlineStr"/>
      <c r="AC438" s="18" t="inlineStr"/>
      <c r="AD438" s="18" t="inlineStr"/>
      <c r="AE438" s="18" t="inlineStr">
        <is>
          <t>sky 8-15</t>
        </is>
      </c>
      <c r="AF438" s="18" t="inlineStr">
        <is>
          <t>False</t>
        </is>
      </c>
      <c r="AG438" s="18" t="inlineStr"/>
      <c r="AH438" s="18" t="inlineStr"/>
      <c r="AI438" s="18" t="inlineStr"/>
      <c r="AJ438" s="18" t="inlineStr">
        <is>
          <t>Cobblemon 동일</t>
        </is>
      </c>
      <c r="AK438" s="18" t="inlineStr">
        <is>
          <t>사용</t>
        </is>
      </c>
      <c r="AL438" s="18" t="inlineStr">
        <is>
          <t>COBBLEVERSE 1.7.42 / DP v31</t>
        </is>
      </c>
      <c r="AM438" s="18" t="inlineStr">
        <is>
          <t>data/cobblemon/spawn_pool_world/0119_seaking.json</t>
        </is>
      </c>
      <c r="AN438" s="18" t="inlineStr">
        <is>
          <t>seaking-4</t>
        </is>
      </c>
      <c r="AO438" s="18" t="inlineStr">
        <is>
          <t>pokemon</t>
        </is>
      </c>
      <c r="AP438" s="18" t="inlineStr"/>
      <c r="AQ438" s="18" t="inlineStr">
        <is>
          <t>{"biomes":["#aether:is_aether","#cobblemon:is_bamboo","#cobblemon:is_floral","#cobblemon:is_freezing","#cobblemon:is_freshwater","#cobblemon:is_jungle","#cobblemon:is_magical","#cobblemon:is_mountain","#cobblemon:is_taiga","#cobblemon:is_temperate"],"canSeeSky":false,"maxSkyLight":15,"minSkyLight":8}</t>
        </is>
      </c>
      <c r="AR438" s="18" t="inlineStr"/>
      <c r="AS438" s="18" t="inlineStr"/>
      <c r="AT438" s="19" t="inlineStr"/>
    </row>
    <row r="439" ht="32" customHeight="1">
      <c r="A439" s="18" t="inlineStr">
        <is>
          <t>0120_staryu.json::staryu-1::001</t>
        </is>
      </c>
      <c r="B439" s="19" t="inlineStr">
        <is>
          <t>사용</t>
        </is>
      </c>
      <c r="C439" s="18">
        <f>IF(OR(B439&lt;&gt;AK439,M439&lt;&gt;L439,O439&lt;&gt;"",Q439&lt;&gt;"",V439&lt;&gt;1,Y439&lt;&gt;"",AT439&lt;&gt;""),"수정","원본")</f>
        <v/>
      </c>
      <c r="D439" s="18" t="n">
        <v>120</v>
      </c>
      <c r="E439" s="18" t="inlineStr">
        <is>
          <t>별가사리</t>
        </is>
      </c>
      <c r="F439" s="18" t="inlineStr">
        <is>
          <t>staryu</t>
        </is>
      </c>
      <c r="G439" s="18" t="inlineStr">
        <is>
          <t>staryu</t>
        </is>
      </c>
      <c r="H439" s="18" t="inlineStr"/>
      <c r="I439" s="18" t="n">
        <v>1</v>
      </c>
      <c r="J439" s="18" t="n"/>
      <c r="K439" s="18" t="n">
        <v>1</v>
      </c>
      <c r="L439" s="18" t="inlineStr">
        <is>
          <t>cobbleventure:generation_1</t>
        </is>
      </c>
      <c r="M439" s="19" t="inlineStr">
        <is>
          <t>cobbleventure:generation_1</t>
        </is>
      </c>
      <c r="N439" s="18" t="inlineStr"/>
      <c r="O439" s="19" t="inlineStr"/>
      <c r="P439" s="18" t="inlineStr">
        <is>
          <t>#cobblemon:is_coast</t>
        </is>
      </c>
      <c r="Q439" s="19" t="inlineStr"/>
      <c r="R439" s="18">
        <f>IF(Q439="",P439,Q439)</f>
        <v/>
      </c>
      <c r="S439" s="18" t="inlineStr"/>
      <c r="T439" s="18" t="inlineStr">
        <is>
          <t>uncommon</t>
        </is>
      </c>
      <c r="U439" s="20" t="n">
        <v>9.199999999999999</v>
      </c>
      <c r="V439" s="21" t="n">
        <v>1</v>
      </c>
      <c r="W439" s="20">
        <f>IF(OR(U439="",V439=""),U439,U439*V439)</f>
        <v/>
      </c>
      <c r="X439" s="18" t="inlineStr">
        <is>
          <t>9-34</t>
        </is>
      </c>
      <c r="Y439" s="19" t="inlineStr"/>
      <c r="Z439" s="18">
        <f>IF(Y439="",X439,Y439)</f>
        <v/>
      </c>
      <c r="AA439" s="18" t="inlineStr">
        <is>
          <t>grounded</t>
        </is>
      </c>
      <c r="AB439" s="18" t="inlineStr"/>
      <c r="AC439" s="18" t="inlineStr"/>
      <c r="AD439" s="18" t="inlineStr"/>
      <c r="AE439" s="18" t="inlineStr">
        <is>
          <t>sky 8-15</t>
        </is>
      </c>
      <c r="AF439" s="18" t="inlineStr"/>
      <c r="AG439" s="18" t="inlineStr"/>
      <c r="AH439" s="18" t="inlineStr"/>
      <c r="AI439" s="18" t="inlineStr"/>
      <c r="AJ439" s="18" t="inlineStr">
        <is>
          <t>COBBLEVERSE 수정</t>
        </is>
      </c>
      <c r="AK439" s="18" t="inlineStr">
        <is>
          <t>사용</t>
        </is>
      </c>
      <c r="AL439" s="18" t="inlineStr">
        <is>
          <t>COBBLEVERSE 1.7.42 / DP v31</t>
        </is>
      </c>
      <c r="AM439" s="18" t="inlineStr">
        <is>
          <t>data/cobblemon/spawn_pool_world/0120_staryu.json</t>
        </is>
      </c>
      <c r="AN439" s="18" t="inlineStr">
        <is>
          <t>staryu-1</t>
        </is>
      </c>
      <c r="AO439" s="18" t="inlineStr">
        <is>
          <t>pokemon</t>
        </is>
      </c>
      <c r="AP439" s="18" t="inlineStr">
        <is>
          <t>natural</t>
        </is>
      </c>
      <c r="AQ439" s="18" t="inlineStr">
        <is>
          <t>{"biomes":["#cobblemon:is_coast"],"maxSkyLight":15,"minSkyLight":8}</t>
        </is>
      </c>
      <c r="AR439" s="18" t="inlineStr"/>
      <c r="AS439" s="18" t="inlineStr"/>
      <c r="AT439" s="19" t="inlineStr"/>
    </row>
    <row r="440" ht="32" customHeight="1">
      <c r="A440" s="18" t="inlineStr">
        <is>
          <t>0120_staryu.json::staryu-2::002</t>
        </is>
      </c>
      <c r="B440" s="19" t="inlineStr">
        <is>
          <t>사용</t>
        </is>
      </c>
      <c r="C440" s="18">
        <f>IF(OR(B440&lt;&gt;AK440,M440&lt;&gt;L440,O440&lt;&gt;"",Q440&lt;&gt;"",V440&lt;&gt;1,Y440&lt;&gt;"",AT440&lt;&gt;""),"수정","원본")</f>
        <v/>
      </c>
      <c r="D440" s="18" t="n">
        <v>120</v>
      </c>
      <c r="E440" s="18" t="inlineStr">
        <is>
          <t>별가사리</t>
        </is>
      </c>
      <c r="F440" s="18" t="inlineStr">
        <is>
          <t>staryu</t>
        </is>
      </c>
      <c r="G440" s="18" t="inlineStr">
        <is>
          <t>staryu</t>
        </is>
      </c>
      <c r="H440" s="18" t="inlineStr"/>
      <c r="I440" s="18" t="n">
        <v>1</v>
      </c>
      <c r="J440" s="18" t="n"/>
      <c r="K440" s="18" t="n">
        <v>1</v>
      </c>
      <c r="L440" s="18" t="inlineStr">
        <is>
          <t>cobbleventure:generation_1</t>
        </is>
      </c>
      <c r="M440" s="19" t="inlineStr">
        <is>
          <t>cobbleventure:generation_1</t>
        </is>
      </c>
      <c r="N440" s="18" t="inlineStr"/>
      <c r="O440" s="19" t="inlineStr"/>
      <c r="P440" s="18" t="inlineStr">
        <is>
          <t>#cobblemon:is_ocean</t>
        </is>
      </c>
      <c r="Q440" s="19" t="inlineStr"/>
      <c r="R440" s="18">
        <f>IF(Q440="",P440,Q440)</f>
        <v/>
      </c>
      <c r="S440" s="18" t="inlineStr"/>
      <c r="T440" s="18" t="inlineStr">
        <is>
          <t>uncommon</t>
        </is>
      </c>
      <c r="U440" s="20" t="n">
        <v>5.52</v>
      </c>
      <c r="V440" s="21" t="n">
        <v>1</v>
      </c>
      <c r="W440" s="20">
        <f>IF(OR(U440="",V440=""),U440,U440*V440)</f>
        <v/>
      </c>
      <c r="X440" s="18" t="inlineStr">
        <is>
          <t>9-34</t>
        </is>
      </c>
      <c r="Y440" s="19" t="inlineStr"/>
      <c r="Z440" s="18">
        <f>IF(Y440="",X440,Y440)</f>
        <v/>
      </c>
      <c r="AA440" s="18" t="inlineStr">
        <is>
          <t>submerged</t>
        </is>
      </c>
      <c r="AB440" s="18" t="inlineStr"/>
      <c r="AC440" s="18" t="inlineStr"/>
      <c r="AD440" s="18" t="inlineStr"/>
      <c r="AE440" s="18" t="inlineStr"/>
      <c r="AF440" s="18" t="inlineStr">
        <is>
          <t>True</t>
        </is>
      </c>
      <c r="AG440" s="18" t="inlineStr"/>
      <c r="AH440" s="18" t="inlineStr"/>
      <c r="AI440" s="18" t="inlineStr"/>
      <c r="AJ440" s="18" t="inlineStr">
        <is>
          <t>COBBLEVERSE 수정</t>
        </is>
      </c>
      <c r="AK440" s="18" t="inlineStr">
        <is>
          <t>사용</t>
        </is>
      </c>
      <c r="AL440" s="18" t="inlineStr">
        <is>
          <t>COBBLEVERSE 1.7.42 / DP v31</t>
        </is>
      </c>
      <c r="AM440" s="18" t="inlineStr">
        <is>
          <t>data/cobblemon/spawn_pool_world/0120_staryu.json</t>
        </is>
      </c>
      <c r="AN440" s="18" t="inlineStr">
        <is>
          <t>staryu-2</t>
        </is>
      </c>
      <c r="AO440" s="18" t="inlineStr">
        <is>
          <t>pokemon</t>
        </is>
      </c>
      <c r="AP440" s="18" t="inlineStr">
        <is>
          <t>water</t>
        </is>
      </c>
      <c r="AQ440" s="18" t="inlineStr">
        <is>
          <t>{"biomes":["#cobblemon:is_ocean"],"canSeeSky":true}</t>
        </is>
      </c>
      <c r="AR440" s="18" t="inlineStr"/>
      <c r="AS440" s="18" t="inlineStr">
        <is>
          <t>{"weightMultiplier":{"condition":{"timeRange":"night"},"multiplier":1.5}}</t>
        </is>
      </c>
      <c r="AT440" s="19" t="inlineStr"/>
    </row>
    <row r="441" ht="32" customHeight="1">
      <c r="A441" s="18" t="inlineStr">
        <is>
          <t>0120_staryu.json::staryu-3::003</t>
        </is>
      </c>
      <c r="B441" s="19" t="inlineStr">
        <is>
          <t>사용</t>
        </is>
      </c>
      <c r="C441" s="18">
        <f>IF(OR(B441&lt;&gt;AK441,M441&lt;&gt;L441,O441&lt;&gt;"",Q441&lt;&gt;"",V441&lt;&gt;1,Y441&lt;&gt;"",AT441&lt;&gt;""),"수정","원본")</f>
        <v/>
      </c>
      <c r="D441" s="18" t="n">
        <v>120</v>
      </c>
      <c r="E441" s="18" t="inlineStr">
        <is>
          <t>별가사리</t>
        </is>
      </c>
      <c r="F441" s="18" t="inlineStr">
        <is>
          <t>staryu</t>
        </is>
      </c>
      <c r="G441" s="18" t="inlineStr">
        <is>
          <t>staryu</t>
        </is>
      </c>
      <c r="H441" s="18" t="inlineStr"/>
      <c r="I441" s="18" t="n">
        <v>1</v>
      </c>
      <c r="J441" s="18" t="n"/>
      <c r="K441" s="18" t="n">
        <v>1</v>
      </c>
      <c r="L441" s="18" t="inlineStr">
        <is>
          <t>cobbleventure:generation_1</t>
        </is>
      </c>
      <c r="M441" s="19" t="inlineStr">
        <is>
          <t>cobbleventure:generation_1</t>
        </is>
      </c>
      <c r="N441" s="18" t="inlineStr"/>
      <c r="O441" s="19" t="inlineStr"/>
      <c r="P441" s="18" t="inlineStr">
        <is>
          <t>#cobblemon:is_coast; #cobblemon:is_ocean; #cobblemon:is_tropical_island</t>
        </is>
      </c>
      <c r="Q441" s="19" t="inlineStr"/>
      <c r="R441" s="18">
        <f>IF(Q441="",P441,Q441)</f>
        <v/>
      </c>
      <c r="S441" s="18" t="inlineStr"/>
      <c r="T441" s="18" t="inlineStr">
        <is>
          <t>uncommon</t>
        </is>
      </c>
      <c r="U441" s="20" t="n">
        <v>5.52</v>
      </c>
      <c r="V441" s="21" t="n">
        <v>1</v>
      </c>
      <c r="W441" s="20">
        <f>IF(OR(U441="",V441=""),U441,U441*V441)</f>
        <v/>
      </c>
      <c r="X441" s="18" t="inlineStr">
        <is>
          <t>9-34</t>
        </is>
      </c>
      <c r="Y441" s="19" t="inlineStr"/>
      <c r="Z441" s="18">
        <f>IF(Y441="",X441,Y441)</f>
        <v/>
      </c>
      <c r="AA441" s="18" t="inlineStr">
        <is>
          <t>fishing</t>
        </is>
      </c>
      <c r="AB441" s="18" t="inlineStr"/>
      <c r="AC441" s="18" t="inlineStr"/>
      <c r="AD441" s="18" t="inlineStr"/>
      <c r="AE441" s="18" t="inlineStr"/>
      <c r="AF441" s="18" t="inlineStr">
        <is>
          <t>True</t>
        </is>
      </c>
      <c r="AG441" s="18" t="inlineStr"/>
      <c r="AH441" s="18" t="inlineStr"/>
      <c r="AI441" s="18" t="inlineStr"/>
      <c r="AJ441" s="18" t="inlineStr">
        <is>
          <t>COBBLEVERSE 수정</t>
        </is>
      </c>
      <c r="AK441" s="18" t="inlineStr">
        <is>
          <t>사용</t>
        </is>
      </c>
      <c r="AL441" s="18" t="inlineStr">
        <is>
          <t>COBBLEVERSE 1.7.42 / DP v31</t>
        </is>
      </c>
      <c r="AM441" s="18" t="inlineStr">
        <is>
          <t>data/cobblemon/spawn_pool_world/0120_staryu.json</t>
        </is>
      </c>
      <c r="AN441" s="18" t="inlineStr">
        <is>
          <t>staryu-3</t>
        </is>
      </c>
      <c r="AO441" s="18" t="inlineStr">
        <is>
          <t>pokemon</t>
        </is>
      </c>
      <c r="AP441" s="18" t="inlineStr"/>
      <c r="AQ441" s="18" t="inlineStr">
        <is>
          <t>{"biomes":["#cobblemon:is_coast","#cobblemon:is_ocean","#cobblemon:is_tropical_island"],"canSeeSky":true}</t>
        </is>
      </c>
      <c r="AR441" s="18" t="inlineStr">
        <is>
          <t>{"minLureLevel":1}</t>
        </is>
      </c>
      <c r="AS441" s="18" t="inlineStr">
        <is>
          <t>{"weightMultiplier":{"condition":{"timeRange":"night"},"multiplier":1.5}}</t>
        </is>
      </c>
      <c r="AT441" s="19" t="inlineStr"/>
    </row>
    <row r="442" ht="32" customHeight="1">
      <c r="A442" s="18" t="inlineStr">
        <is>
          <t>0120_staryu.json::staryu-4::004</t>
        </is>
      </c>
      <c r="B442" s="19" t="inlineStr">
        <is>
          <t>사용</t>
        </is>
      </c>
      <c r="C442" s="18">
        <f>IF(OR(B442&lt;&gt;AK442,M442&lt;&gt;L442,O442&lt;&gt;"",Q442&lt;&gt;"",V442&lt;&gt;1,Y442&lt;&gt;"",AT442&lt;&gt;""),"수정","원본")</f>
        <v/>
      </c>
      <c r="D442" s="18" t="n">
        <v>120</v>
      </c>
      <c r="E442" s="18" t="inlineStr">
        <is>
          <t>별가사리</t>
        </is>
      </c>
      <c r="F442" s="18" t="inlineStr">
        <is>
          <t>staryu</t>
        </is>
      </c>
      <c r="G442" s="18" t="inlineStr">
        <is>
          <t>staryu</t>
        </is>
      </c>
      <c r="H442" s="18" t="inlineStr"/>
      <c r="I442" s="18" t="n">
        <v>1</v>
      </c>
      <c r="J442" s="18" t="n"/>
      <c r="K442" s="18" t="n">
        <v>1</v>
      </c>
      <c r="L442" s="18" t="inlineStr">
        <is>
          <t>cobbleventure:generation_1</t>
        </is>
      </c>
      <c r="M442" s="19" t="inlineStr">
        <is>
          <t>cobbleventure:generation_1</t>
        </is>
      </c>
      <c r="N442" s="18" t="inlineStr"/>
      <c r="O442" s="19" t="inlineStr"/>
      <c r="P442" s="18" t="inlineStr">
        <is>
          <t>#cobblemon:is_coast; #cobblemon:is_ocean; #cobblemon:is_tropical_island</t>
        </is>
      </c>
      <c r="Q442" s="19" t="inlineStr"/>
      <c r="R442" s="18">
        <f>IF(Q442="",P442,Q442)</f>
        <v/>
      </c>
      <c r="S442" s="18" t="inlineStr"/>
      <c r="T442" s="18" t="inlineStr">
        <is>
          <t>common</t>
        </is>
      </c>
      <c r="U442" s="20" t="n">
        <v>1.84</v>
      </c>
      <c r="V442" s="21" t="n">
        <v>1</v>
      </c>
      <c r="W442" s="20">
        <f>IF(OR(U442="",V442=""),U442,U442*V442)</f>
        <v/>
      </c>
      <c r="X442" s="18" t="inlineStr">
        <is>
          <t>9-34</t>
        </is>
      </c>
      <c r="Y442" s="19" t="inlineStr"/>
      <c r="Z442" s="18">
        <f>IF(Y442="",X442,Y442)</f>
        <v/>
      </c>
      <c r="AA442" s="18" t="inlineStr">
        <is>
          <t>fishing</t>
        </is>
      </c>
      <c r="AB442" s="18" t="inlineStr"/>
      <c r="AC442" s="18" t="inlineStr"/>
      <c r="AD442" s="18" t="inlineStr"/>
      <c r="AE442" s="18" t="inlineStr"/>
      <c r="AF442" s="18" t="inlineStr">
        <is>
          <t>True</t>
        </is>
      </c>
      <c r="AG442" s="18" t="inlineStr"/>
      <c r="AH442" s="18" t="inlineStr"/>
      <c r="AI442" s="18" t="inlineStr">
        <is>
          <t>{"fishing":{"minLureLevel":1}}</t>
        </is>
      </c>
      <c r="AJ442" s="18" t="inlineStr">
        <is>
          <t>COBBLEVERSE 수정</t>
        </is>
      </c>
      <c r="AK442" s="18" t="inlineStr">
        <is>
          <t>사용</t>
        </is>
      </c>
      <c r="AL442" s="18" t="inlineStr">
        <is>
          <t>COBBLEVERSE 1.7.42 / DP v31</t>
        </is>
      </c>
      <c r="AM442" s="18" t="inlineStr">
        <is>
          <t>data/cobblemon/spawn_pool_world/0120_staryu.json</t>
        </is>
      </c>
      <c r="AN442" s="18" t="inlineStr">
        <is>
          <t>staryu-4</t>
        </is>
      </c>
      <c r="AO442" s="18" t="inlineStr">
        <is>
          <t>pokemon</t>
        </is>
      </c>
      <c r="AP442" s="18" t="inlineStr"/>
      <c r="AQ442" s="18" t="inlineStr">
        <is>
          <t>{"biomes":["#cobblemon:is_coast","#cobblemon:is_ocean","#cobblemon:is_tropical_island"],"canSeeSky":true,"minLureLevel":1}</t>
        </is>
      </c>
      <c r="AR442" s="18" t="inlineStr"/>
      <c r="AS442" s="18" t="inlineStr">
        <is>
          <t>{"weightMultipliers":[{"condition":{"timeRange":"night"},"multiplier":1.5},{"condition":{"minLureLevel":3},"multiplier":3.0}]}</t>
        </is>
      </c>
      <c r="AT442" s="19" t="inlineStr"/>
    </row>
    <row r="443" ht="32" customHeight="1">
      <c r="A443" s="18" t="inlineStr">
        <is>
          <t>0120_staryu.json::staryu-5::005</t>
        </is>
      </c>
      <c r="B443" s="19" t="inlineStr">
        <is>
          <t>사용</t>
        </is>
      </c>
      <c r="C443" s="18">
        <f>IF(OR(B443&lt;&gt;AK443,M443&lt;&gt;L443,O443&lt;&gt;"",Q443&lt;&gt;"",V443&lt;&gt;1,Y443&lt;&gt;"",AT443&lt;&gt;""),"수정","원본")</f>
        <v/>
      </c>
      <c r="D443" s="18" t="n">
        <v>120</v>
      </c>
      <c r="E443" s="18" t="inlineStr">
        <is>
          <t>별가사리</t>
        </is>
      </c>
      <c r="F443" s="18" t="inlineStr">
        <is>
          <t>staryu</t>
        </is>
      </c>
      <c r="G443" s="18" t="inlineStr">
        <is>
          <t>staryu</t>
        </is>
      </c>
      <c r="H443" s="18" t="inlineStr"/>
      <c r="I443" s="18" t="n">
        <v>1</v>
      </c>
      <c r="J443" s="18" t="n"/>
      <c r="K443" s="18" t="n">
        <v>1</v>
      </c>
      <c r="L443" s="18" t="inlineStr">
        <is>
          <t>cobbleventure:generation_1</t>
        </is>
      </c>
      <c r="M443" s="19" t="inlineStr">
        <is>
          <t>cobbleventure:generation_1</t>
        </is>
      </c>
      <c r="N443" s="18" t="inlineStr"/>
      <c r="O443" s="19" t="inlineStr"/>
      <c r="P443" s="18" t="inlineStr">
        <is>
          <t>#cobblemon:is_ocean</t>
        </is>
      </c>
      <c r="Q443" s="19" t="inlineStr"/>
      <c r="R443" s="18">
        <f>IF(Q443="",P443,Q443)</f>
        <v/>
      </c>
      <c r="S443" s="18" t="inlineStr"/>
      <c r="T443" s="18" t="inlineStr">
        <is>
          <t>uncommon</t>
        </is>
      </c>
      <c r="U443" s="20" t="n">
        <v>5.52</v>
      </c>
      <c r="V443" s="21" t="n">
        <v>1</v>
      </c>
      <c r="W443" s="20">
        <f>IF(OR(U443="",V443=""),U443,U443*V443)</f>
        <v/>
      </c>
      <c r="X443" s="18" t="inlineStr">
        <is>
          <t>9-34</t>
        </is>
      </c>
      <c r="Y443" s="19" t="inlineStr"/>
      <c r="Z443" s="18">
        <f>IF(Y443="",X443,Y443)</f>
        <v/>
      </c>
      <c r="AA443" s="18" t="inlineStr">
        <is>
          <t>submerged</t>
        </is>
      </c>
      <c r="AB443" s="18" t="inlineStr"/>
      <c r="AC443" s="18" t="inlineStr"/>
      <c r="AD443" s="18" t="inlineStr"/>
      <c r="AE443" s="18" t="inlineStr">
        <is>
          <t>sky 8-15</t>
        </is>
      </c>
      <c r="AF443" s="18" t="inlineStr">
        <is>
          <t>False</t>
        </is>
      </c>
      <c r="AG443" s="18" t="inlineStr"/>
      <c r="AH443" s="18" t="inlineStr"/>
      <c r="AI443" s="18" t="inlineStr"/>
      <c r="AJ443" s="18" t="inlineStr">
        <is>
          <t>COBBLEVERSE 수정</t>
        </is>
      </c>
      <c r="AK443" s="18" t="inlineStr">
        <is>
          <t>사용</t>
        </is>
      </c>
      <c r="AL443" s="18" t="inlineStr">
        <is>
          <t>COBBLEVERSE 1.7.42 / DP v31</t>
        </is>
      </c>
      <c r="AM443" s="18" t="inlineStr">
        <is>
          <t>data/cobblemon/spawn_pool_world/0120_staryu.json</t>
        </is>
      </c>
      <c r="AN443" s="18" t="inlineStr">
        <is>
          <t>staryu-5</t>
        </is>
      </c>
      <c r="AO443" s="18" t="inlineStr">
        <is>
          <t>pokemon</t>
        </is>
      </c>
      <c r="AP443" s="18" t="inlineStr">
        <is>
          <t>water</t>
        </is>
      </c>
      <c r="AQ443" s="18" t="inlineStr">
        <is>
          <t>{"biomes":["#cobblemon:is_ocean"],"canSeeSky":false,"maxSkyLight":15,"minSkyLight":8}</t>
        </is>
      </c>
      <c r="AR443" s="18" t="inlineStr"/>
      <c r="AS443" s="18" t="inlineStr">
        <is>
          <t>{"weightMultiplier":{"condition":{"timeRange":"night"},"multiplier":1.5}}</t>
        </is>
      </c>
      <c r="AT443" s="19" t="inlineStr"/>
    </row>
    <row r="444" ht="32" customHeight="1">
      <c r="A444" s="18" t="inlineStr">
        <is>
          <t>0120_staryu.json::staryu-6::006</t>
        </is>
      </c>
      <c r="B444" s="19" t="inlineStr">
        <is>
          <t>사용</t>
        </is>
      </c>
      <c r="C444" s="18">
        <f>IF(OR(B444&lt;&gt;AK444,M444&lt;&gt;L444,O444&lt;&gt;"",Q444&lt;&gt;"",V444&lt;&gt;1,Y444&lt;&gt;"",AT444&lt;&gt;""),"수정","원본")</f>
        <v/>
      </c>
      <c r="D444" s="18" t="n">
        <v>120</v>
      </c>
      <c r="E444" s="18" t="inlineStr">
        <is>
          <t>별가사리</t>
        </is>
      </c>
      <c r="F444" s="18" t="inlineStr">
        <is>
          <t>staryu</t>
        </is>
      </c>
      <c r="G444" s="18" t="inlineStr">
        <is>
          <t>staryu</t>
        </is>
      </c>
      <c r="H444" s="18" t="inlineStr"/>
      <c r="I444" s="18" t="n">
        <v>1</v>
      </c>
      <c r="J444" s="18" t="n"/>
      <c r="K444" s="18" t="n">
        <v>1</v>
      </c>
      <c r="L444" s="18" t="inlineStr">
        <is>
          <t>cobbleventure:generation_1</t>
        </is>
      </c>
      <c r="M444" s="19" t="inlineStr">
        <is>
          <t>cobbleventure:generation_1</t>
        </is>
      </c>
      <c r="N444" s="18" t="inlineStr"/>
      <c r="O444" s="19" t="inlineStr"/>
      <c r="P444" s="18" t="inlineStr">
        <is>
          <t>#cobblemon:is_coast; #cobblemon:is_ocean; #cobblemon:is_tropical_island</t>
        </is>
      </c>
      <c r="Q444" s="19" t="inlineStr"/>
      <c r="R444" s="18">
        <f>IF(Q444="",P444,Q444)</f>
        <v/>
      </c>
      <c r="S444" s="18" t="inlineStr"/>
      <c r="T444" s="18" t="inlineStr">
        <is>
          <t>uncommon</t>
        </is>
      </c>
      <c r="U444" s="20" t="n">
        <v>5.52</v>
      </c>
      <c r="V444" s="21" t="n">
        <v>1</v>
      </c>
      <c r="W444" s="20">
        <f>IF(OR(U444="",V444=""),U444,U444*V444)</f>
        <v/>
      </c>
      <c r="X444" s="18" t="inlineStr">
        <is>
          <t>9-34</t>
        </is>
      </c>
      <c r="Y444" s="19" t="inlineStr"/>
      <c r="Z444" s="18">
        <f>IF(Y444="",X444,Y444)</f>
        <v/>
      </c>
      <c r="AA444" s="18" t="inlineStr">
        <is>
          <t>fishing</t>
        </is>
      </c>
      <c r="AB444" s="18" t="inlineStr"/>
      <c r="AC444" s="18" t="inlineStr"/>
      <c r="AD444" s="18" t="inlineStr"/>
      <c r="AE444" s="18" t="inlineStr">
        <is>
          <t>sky 8-15</t>
        </is>
      </c>
      <c r="AF444" s="18" t="inlineStr">
        <is>
          <t>False</t>
        </is>
      </c>
      <c r="AG444" s="18" t="inlineStr"/>
      <c r="AH444" s="18" t="inlineStr"/>
      <c r="AI444" s="18" t="inlineStr"/>
      <c r="AJ444" s="18" t="inlineStr">
        <is>
          <t>COBBLEVERSE 수정</t>
        </is>
      </c>
      <c r="AK444" s="18" t="inlineStr">
        <is>
          <t>사용</t>
        </is>
      </c>
      <c r="AL444" s="18" t="inlineStr">
        <is>
          <t>COBBLEVERSE 1.7.42 / DP v31</t>
        </is>
      </c>
      <c r="AM444" s="18" t="inlineStr">
        <is>
          <t>data/cobblemon/spawn_pool_world/0120_staryu.json</t>
        </is>
      </c>
      <c r="AN444" s="18" t="inlineStr">
        <is>
          <t>staryu-6</t>
        </is>
      </c>
      <c r="AO444" s="18" t="inlineStr">
        <is>
          <t>pokemon</t>
        </is>
      </c>
      <c r="AP444" s="18" t="inlineStr"/>
      <c r="AQ444" s="18" t="inlineStr">
        <is>
          <t>{"biomes":["#cobblemon:is_coast","#cobblemon:is_ocean","#cobblemon:is_tropical_island"],"canSeeSky":false,"maxSkyLight":15,"minSkyLight":8}</t>
        </is>
      </c>
      <c r="AR444" s="18" t="inlineStr">
        <is>
          <t>{"minLureLevel":1}</t>
        </is>
      </c>
      <c r="AS444" s="18" t="inlineStr">
        <is>
          <t>{"weightMultiplier":{"condition":{"timeRange":"night"},"multiplier":1.5}}</t>
        </is>
      </c>
      <c r="AT444" s="19" t="inlineStr"/>
    </row>
    <row r="445" ht="32" customHeight="1">
      <c r="A445" s="18" t="inlineStr">
        <is>
          <t>0120_staryu.json::staryu-7::007</t>
        </is>
      </c>
      <c r="B445" s="19" t="inlineStr">
        <is>
          <t>사용</t>
        </is>
      </c>
      <c r="C445" s="18">
        <f>IF(OR(B445&lt;&gt;AK445,M445&lt;&gt;L445,O445&lt;&gt;"",Q445&lt;&gt;"",V445&lt;&gt;1,Y445&lt;&gt;"",AT445&lt;&gt;""),"수정","원본")</f>
        <v/>
      </c>
      <c r="D445" s="18" t="n">
        <v>120</v>
      </c>
      <c r="E445" s="18" t="inlineStr">
        <is>
          <t>별가사리</t>
        </is>
      </c>
      <c r="F445" s="18" t="inlineStr">
        <is>
          <t>staryu</t>
        </is>
      </c>
      <c r="G445" s="18" t="inlineStr">
        <is>
          <t>staryu</t>
        </is>
      </c>
      <c r="H445" s="18" t="inlineStr"/>
      <c r="I445" s="18" t="n">
        <v>1</v>
      </c>
      <c r="J445" s="18" t="n"/>
      <c r="K445" s="18" t="n">
        <v>1</v>
      </c>
      <c r="L445" s="18" t="inlineStr">
        <is>
          <t>cobbleventure:generation_1</t>
        </is>
      </c>
      <c r="M445" s="19" t="inlineStr">
        <is>
          <t>cobbleventure:generation_1</t>
        </is>
      </c>
      <c r="N445" s="18" t="inlineStr"/>
      <c r="O445" s="19" t="inlineStr"/>
      <c r="P445" s="18" t="inlineStr">
        <is>
          <t>#cobblemon:is_coast; #cobblemon:is_ocean; #cobblemon:is_tropical_island</t>
        </is>
      </c>
      <c r="Q445" s="19" t="inlineStr"/>
      <c r="R445" s="18">
        <f>IF(Q445="",P445,Q445)</f>
        <v/>
      </c>
      <c r="S445" s="18" t="inlineStr"/>
      <c r="T445" s="18" t="inlineStr">
        <is>
          <t>common</t>
        </is>
      </c>
      <c r="U445" s="20" t="n">
        <v>1.84</v>
      </c>
      <c r="V445" s="21" t="n">
        <v>1</v>
      </c>
      <c r="W445" s="20">
        <f>IF(OR(U445="",V445=""),U445,U445*V445)</f>
        <v/>
      </c>
      <c r="X445" s="18" t="inlineStr">
        <is>
          <t>9-34</t>
        </is>
      </c>
      <c r="Y445" s="19" t="inlineStr"/>
      <c r="Z445" s="18">
        <f>IF(Y445="",X445,Y445)</f>
        <v/>
      </c>
      <c r="AA445" s="18" t="inlineStr">
        <is>
          <t>fishing</t>
        </is>
      </c>
      <c r="AB445" s="18" t="inlineStr"/>
      <c r="AC445" s="18" t="inlineStr"/>
      <c r="AD445" s="18" t="inlineStr"/>
      <c r="AE445" s="18" t="inlineStr">
        <is>
          <t>sky 8-15</t>
        </is>
      </c>
      <c r="AF445" s="18" t="inlineStr">
        <is>
          <t>False</t>
        </is>
      </c>
      <c r="AG445" s="18" t="inlineStr"/>
      <c r="AH445" s="18" t="inlineStr"/>
      <c r="AI445" s="18" t="inlineStr">
        <is>
          <t>{"fishing":{"minLureLevel":1}}</t>
        </is>
      </c>
      <c r="AJ445" s="18" t="inlineStr">
        <is>
          <t>COBBLEVERSE 수정</t>
        </is>
      </c>
      <c r="AK445" s="18" t="inlineStr">
        <is>
          <t>사용</t>
        </is>
      </c>
      <c r="AL445" s="18" t="inlineStr">
        <is>
          <t>COBBLEVERSE 1.7.42 / DP v31</t>
        </is>
      </c>
      <c r="AM445" s="18" t="inlineStr">
        <is>
          <t>data/cobblemon/spawn_pool_world/0120_staryu.json</t>
        </is>
      </c>
      <c r="AN445" s="18" t="inlineStr">
        <is>
          <t>staryu-7</t>
        </is>
      </c>
      <c r="AO445" s="18" t="inlineStr">
        <is>
          <t>pokemon</t>
        </is>
      </c>
      <c r="AP445" s="18" t="inlineStr"/>
      <c r="AQ445" s="18" t="inlineStr">
        <is>
          <t>{"biomes":["#cobblemon:is_coast","#cobblemon:is_ocean","#cobblemon:is_tropical_island"],"canSeeSky":false,"maxSkyLight":15,"minLureLevel":1,"minSkyLight":8}</t>
        </is>
      </c>
      <c r="AR445" s="18" t="inlineStr"/>
      <c r="AS445" s="18" t="inlineStr">
        <is>
          <t>{"weightMultipliers":[{"condition":{"timeRange":"night"},"multiplier":1.5},{"condition":{"minLureLevel":3},"multiplier":3.0}]}</t>
        </is>
      </c>
      <c r="AT445" s="19" t="inlineStr"/>
    </row>
    <row r="446" ht="32" customHeight="1">
      <c r="A446" s="18" t="inlineStr">
        <is>
          <t>0120_staryu.json::staryu-8::008</t>
        </is>
      </c>
      <c r="B446" s="19" t="inlineStr">
        <is>
          <t>사용</t>
        </is>
      </c>
      <c r="C446" s="18">
        <f>IF(OR(B446&lt;&gt;AK446,M446&lt;&gt;L446,O446&lt;&gt;"",Q446&lt;&gt;"",V446&lt;&gt;1,Y446&lt;&gt;"",AT446&lt;&gt;""),"수정","원본")</f>
        <v/>
      </c>
      <c r="D446" s="18" t="n">
        <v>120</v>
      </c>
      <c r="E446" s="18" t="inlineStr">
        <is>
          <t>별가사리</t>
        </is>
      </c>
      <c r="F446" s="18" t="inlineStr">
        <is>
          <t>staryu</t>
        </is>
      </c>
      <c r="G446" s="18" t="inlineStr">
        <is>
          <t>staryu</t>
        </is>
      </c>
      <c r="H446" s="18" t="inlineStr"/>
      <c r="I446" s="18" t="n">
        <v>1</v>
      </c>
      <c r="J446" s="18" t="n"/>
      <c r="K446" s="18" t="n">
        <v>1</v>
      </c>
      <c r="L446" s="18" t="inlineStr">
        <is>
          <t>cobbleventure:generation_1</t>
        </is>
      </c>
      <c r="M446" s="19" t="inlineStr">
        <is>
          <t>cobbleventure:generation_1</t>
        </is>
      </c>
      <c r="N446" s="18" t="inlineStr">
        <is>
          <t>region_01; region_02</t>
        </is>
      </c>
      <c r="O446" s="19" t="inlineStr"/>
      <c r="P446" s="18" t="inlineStr">
        <is>
          <t>#cobblemon:is_overworld</t>
        </is>
      </c>
      <c r="Q446" s="19" t="inlineStr"/>
      <c r="R446" s="18">
        <f>IF(Q446="",P446,Q446)</f>
        <v/>
      </c>
      <c r="S446" s="18" t="inlineStr"/>
      <c r="T446" s="18" t="inlineStr">
        <is>
          <t>uncommon</t>
        </is>
      </c>
      <c r="U446" s="20" t="n">
        <v>5.52</v>
      </c>
      <c r="V446" s="21" t="n">
        <v>1</v>
      </c>
      <c r="W446" s="20">
        <f>IF(OR(U446="",V446=""),U446,U446*V446)</f>
        <v/>
      </c>
      <c r="X446" s="18" t="inlineStr">
        <is>
          <t>9-34</t>
        </is>
      </c>
      <c r="Y446" s="19" t="inlineStr"/>
      <c r="Z446" s="18">
        <f>IF(Y446="",X446,Y446)</f>
        <v/>
      </c>
      <c r="AA446" s="18" t="inlineStr">
        <is>
          <t>submerged</t>
        </is>
      </c>
      <c r="AB446" s="18" t="inlineStr"/>
      <c r="AC446" s="18" t="inlineStr"/>
      <c r="AD446" s="18" t="inlineStr">
        <is>
          <t>minY=-60, maxY=13</t>
        </is>
      </c>
      <c r="AE446" s="18" t="inlineStr"/>
      <c r="AF446" s="18" t="inlineStr">
        <is>
          <t>False</t>
        </is>
      </c>
      <c r="AG446" s="18" t="inlineStr">
        <is>
          <t>cobblemon:shipwreck_coves/submerged_shipwreck_cove</t>
        </is>
      </c>
      <c r="AH446" s="18" t="inlineStr"/>
      <c r="AI446" s="18" t="inlineStr"/>
      <c r="AJ446" s="18" t="inlineStr">
        <is>
          <t>COBBLEVERSE 수정</t>
        </is>
      </c>
      <c r="AK446" s="18" t="inlineStr">
        <is>
          <t>사용</t>
        </is>
      </c>
      <c r="AL446" s="18" t="inlineStr">
        <is>
          <t>COBBLEVERSE 1.7.42 / DP v31</t>
        </is>
      </c>
      <c r="AM446" s="18" t="inlineStr">
        <is>
          <t>data/cobblemon/spawn_pool_world/0120_staryu.json</t>
        </is>
      </c>
      <c r="AN446" s="18" t="inlineStr">
        <is>
          <t>staryu-8</t>
        </is>
      </c>
      <c r="AO446" s="18" t="inlineStr">
        <is>
          <t>pokemon</t>
        </is>
      </c>
      <c r="AP446" s="18" t="inlineStr">
        <is>
          <t>water</t>
        </is>
      </c>
      <c r="AQ446" s="18" t="inlineStr">
        <is>
          <t>{"biomes":["#cobblemon:is_overworld"],"canSeeSky":false,"maxY":13,"minY":-60,"structures":["cobblemon:shipwreck_coves/submerged_shipwreck_cove"]}</t>
        </is>
      </c>
      <c r="AR446" s="18" t="inlineStr"/>
      <c r="AS446" s="18" t="inlineStr"/>
      <c r="AT446" s="19" t="inlineStr"/>
    </row>
    <row r="447" ht="32" customHeight="1">
      <c r="A447" s="18" t="inlineStr">
        <is>
          <t>0120_staryu.json::staryu-9::009</t>
        </is>
      </c>
      <c r="B447" s="19" t="inlineStr">
        <is>
          <t>사용</t>
        </is>
      </c>
      <c r="C447" s="18">
        <f>IF(OR(B447&lt;&gt;AK447,M447&lt;&gt;L447,O447&lt;&gt;"",Q447&lt;&gt;"",V447&lt;&gt;1,Y447&lt;&gt;"",AT447&lt;&gt;""),"수정","원본")</f>
        <v/>
      </c>
      <c r="D447" s="18" t="n">
        <v>120</v>
      </c>
      <c r="E447" s="18" t="inlineStr">
        <is>
          <t>별가사리</t>
        </is>
      </c>
      <c r="F447" s="18" t="inlineStr">
        <is>
          <t>staryu</t>
        </is>
      </c>
      <c r="G447" s="18" t="inlineStr">
        <is>
          <t>staryu</t>
        </is>
      </c>
      <c r="H447" s="18" t="inlineStr"/>
      <c r="I447" s="18" t="n">
        <v>1</v>
      </c>
      <c r="J447" s="18" t="n"/>
      <c r="K447" s="18" t="n">
        <v>1</v>
      </c>
      <c r="L447" s="18" t="inlineStr">
        <is>
          <t>cobbleventure:generation_1</t>
        </is>
      </c>
      <c r="M447" s="19" t="inlineStr">
        <is>
          <t>cobbleventure:generation_1</t>
        </is>
      </c>
      <c r="N447" s="18" t="inlineStr">
        <is>
          <t>region_01; region_02</t>
        </is>
      </c>
      <c r="O447" s="19" t="inlineStr"/>
      <c r="P447" s="18" t="inlineStr">
        <is>
          <t>#cobblemon:is_overworld</t>
        </is>
      </c>
      <c r="Q447" s="19" t="inlineStr"/>
      <c r="R447" s="18">
        <f>IF(Q447="",P447,Q447)</f>
        <v/>
      </c>
      <c r="S447" s="18" t="inlineStr"/>
      <c r="T447" s="18" t="inlineStr">
        <is>
          <t>uncommon</t>
        </is>
      </c>
      <c r="U447" s="20" t="n">
        <v>5.52</v>
      </c>
      <c r="V447" s="21" t="n">
        <v>1</v>
      </c>
      <c r="W447" s="20">
        <f>IF(OR(U447="",V447=""),U447,U447*V447)</f>
        <v/>
      </c>
      <c r="X447" s="18" t="inlineStr">
        <is>
          <t>9-34</t>
        </is>
      </c>
      <c r="Y447" s="19" t="inlineStr"/>
      <c r="Z447" s="18">
        <f>IF(Y447="",X447,Y447)</f>
        <v/>
      </c>
      <c r="AA447" s="18" t="inlineStr">
        <is>
          <t>fishing</t>
        </is>
      </c>
      <c r="AB447" s="18" t="inlineStr"/>
      <c r="AC447" s="18" t="inlineStr"/>
      <c r="AD447" s="18" t="inlineStr">
        <is>
          <t>minY=-60, maxY=13</t>
        </is>
      </c>
      <c r="AE447" s="18" t="inlineStr"/>
      <c r="AF447" s="18" t="inlineStr">
        <is>
          <t>False</t>
        </is>
      </c>
      <c r="AG447" s="18" t="inlineStr">
        <is>
          <t>cobblemon:shipwreck_coves/submerged_shipwreck_cove</t>
        </is>
      </c>
      <c r="AH447" s="18" t="inlineStr"/>
      <c r="AI447" s="18" t="inlineStr"/>
      <c r="AJ447" s="18" t="inlineStr">
        <is>
          <t>COBBLEVERSE 수정</t>
        </is>
      </c>
      <c r="AK447" s="18" t="inlineStr">
        <is>
          <t>사용</t>
        </is>
      </c>
      <c r="AL447" s="18" t="inlineStr">
        <is>
          <t>COBBLEVERSE 1.7.42 / DP v31</t>
        </is>
      </c>
      <c r="AM447" s="18" t="inlineStr">
        <is>
          <t>data/cobblemon/spawn_pool_world/0120_staryu.json</t>
        </is>
      </c>
      <c r="AN447" s="18" t="inlineStr">
        <is>
          <t>staryu-9</t>
        </is>
      </c>
      <c r="AO447" s="18" t="inlineStr">
        <is>
          <t>pokemon</t>
        </is>
      </c>
      <c r="AP447" s="18" t="inlineStr"/>
      <c r="AQ447" s="18" t="inlineStr">
        <is>
          <t>{"biomes":["#cobblemon:is_overworld"],"canSeeSky":false,"maxY":13,"minY":-60,"structures":["cobblemon:shipwreck_coves/submerged_shipwreck_cove"]}</t>
        </is>
      </c>
      <c r="AR447" s="18" t="inlineStr">
        <is>
          <t>{"minLureLevel":1}</t>
        </is>
      </c>
      <c r="AS447" s="18" t="inlineStr"/>
      <c r="AT447" s="19" t="inlineStr"/>
    </row>
    <row r="448" ht="32" customHeight="1">
      <c r="A448" s="18" t="inlineStr">
        <is>
          <t>0120_staryu.json::staryu-10::010</t>
        </is>
      </c>
      <c r="B448" s="19" t="inlineStr">
        <is>
          <t>사용</t>
        </is>
      </c>
      <c r="C448" s="18">
        <f>IF(OR(B448&lt;&gt;AK448,M448&lt;&gt;L448,O448&lt;&gt;"",Q448&lt;&gt;"",V448&lt;&gt;1,Y448&lt;&gt;"",AT448&lt;&gt;""),"수정","원본")</f>
        <v/>
      </c>
      <c r="D448" s="18" t="n">
        <v>120</v>
      </c>
      <c r="E448" s="18" t="inlineStr">
        <is>
          <t>별가사리</t>
        </is>
      </c>
      <c r="F448" s="18" t="inlineStr">
        <is>
          <t>staryu</t>
        </is>
      </c>
      <c r="G448" s="18" t="inlineStr">
        <is>
          <t>staryu</t>
        </is>
      </c>
      <c r="H448" s="18" t="inlineStr"/>
      <c r="I448" s="18" t="n">
        <v>1</v>
      </c>
      <c r="J448" s="18" t="n"/>
      <c r="K448" s="18" t="n">
        <v>1</v>
      </c>
      <c r="L448" s="18" t="inlineStr">
        <is>
          <t>cobbleventure:generation_1</t>
        </is>
      </c>
      <c r="M448" s="19" t="inlineStr">
        <is>
          <t>cobbleventure:generation_1</t>
        </is>
      </c>
      <c r="N448" s="18" t="inlineStr">
        <is>
          <t>region_01; region_02</t>
        </is>
      </c>
      <c r="O448" s="19" t="inlineStr"/>
      <c r="P448" s="18" t="inlineStr">
        <is>
          <t>#cobblemon:is_overworld</t>
        </is>
      </c>
      <c r="Q448" s="19" t="inlineStr"/>
      <c r="R448" s="18">
        <f>IF(Q448="",P448,Q448)</f>
        <v/>
      </c>
      <c r="S448" s="18" t="inlineStr"/>
      <c r="T448" s="18" t="inlineStr">
        <is>
          <t>common</t>
        </is>
      </c>
      <c r="U448" s="20" t="n">
        <v>1.84</v>
      </c>
      <c r="V448" s="21" t="n">
        <v>1</v>
      </c>
      <c r="W448" s="20">
        <f>IF(OR(U448="",V448=""),U448,U448*V448)</f>
        <v/>
      </c>
      <c r="X448" s="18" t="inlineStr">
        <is>
          <t>9-34</t>
        </is>
      </c>
      <c r="Y448" s="19" t="inlineStr"/>
      <c r="Z448" s="18">
        <f>IF(Y448="",X448,Y448)</f>
        <v/>
      </c>
      <c r="AA448" s="18" t="inlineStr">
        <is>
          <t>fishing</t>
        </is>
      </c>
      <c r="AB448" s="18" t="inlineStr"/>
      <c r="AC448" s="18" t="inlineStr"/>
      <c r="AD448" s="18" t="inlineStr">
        <is>
          <t>minY=-60, maxY=13</t>
        </is>
      </c>
      <c r="AE448" s="18" t="inlineStr"/>
      <c r="AF448" s="18" t="inlineStr">
        <is>
          <t>False</t>
        </is>
      </c>
      <c r="AG448" s="18" t="inlineStr">
        <is>
          <t>cobblemon:shipwreck_coves/submerged_shipwreck_cove</t>
        </is>
      </c>
      <c r="AH448" s="18" t="inlineStr"/>
      <c r="AI448" s="18" t="inlineStr">
        <is>
          <t>{"fishing":{"minLureLevel":1}}</t>
        </is>
      </c>
      <c r="AJ448" s="18" t="inlineStr">
        <is>
          <t>COBBLEVERSE 수정</t>
        </is>
      </c>
      <c r="AK448" s="18" t="inlineStr">
        <is>
          <t>사용</t>
        </is>
      </c>
      <c r="AL448" s="18" t="inlineStr">
        <is>
          <t>COBBLEVERSE 1.7.42 / DP v31</t>
        </is>
      </c>
      <c r="AM448" s="18" t="inlineStr">
        <is>
          <t>data/cobblemon/spawn_pool_world/0120_staryu.json</t>
        </is>
      </c>
      <c r="AN448" s="18" t="inlineStr">
        <is>
          <t>staryu-10</t>
        </is>
      </c>
      <c r="AO448" s="18" t="inlineStr">
        <is>
          <t>pokemon</t>
        </is>
      </c>
      <c r="AP448" s="18" t="inlineStr"/>
      <c r="AQ448" s="18" t="inlineStr">
        <is>
          <t>{"biomes":["#cobblemon:is_overworld"],"canSeeSky":false,"maxY":13,"minLureLevel":1,"minY":-60,"structures":["cobblemon:shipwreck_coves/submerged_shipwreck_cove"]}</t>
        </is>
      </c>
      <c r="AR448" s="18" t="inlineStr"/>
      <c r="AS448" s="18" t="inlineStr">
        <is>
          <t>{"weightMultiplier":{"condition":{"minLureLevel":3},"multiplier":3.0}}</t>
        </is>
      </c>
      <c r="AT448" s="19" t="inlineStr"/>
    </row>
    <row r="449" ht="32" customHeight="1">
      <c r="A449" s="18" t="inlineStr">
        <is>
          <t>0121_starmie.json::starmie-1::001</t>
        </is>
      </c>
      <c r="B449" s="19" t="inlineStr">
        <is>
          <t>사용</t>
        </is>
      </c>
      <c r="C449" s="18">
        <f>IF(OR(B449&lt;&gt;AK449,M449&lt;&gt;L449,O449&lt;&gt;"",Q449&lt;&gt;"",V449&lt;&gt;1,Y449&lt;&gt;"",AT449&lt;&gt;""),"수정","원본")</f>
        <v/>
      </c>
      <c r="D449" s="18" t="n">
        <v>121</v>
      </c>
      <c r="E449" s="18" t="inlineStr">
        <is>
          <t>아쿠스타</t>
        </is>
      </c>
      <c r="F449" s="18" t="inlineStr">
        <is>
          <t>starmie</t>
        </is>
      </c>
      <c r="G449" s="18" t="inlineStr">
        <is>
          <t>starmie</t>
        </is>
      </c>
      <c r="H449" s="18" t="inlineStr"/>
      <c r="I449" s="18" t="n">
        <v>1</v>
      </c>
      <c r="J449" s="18" t="n"/>
      <c r="K449" s="18" t="n">
        <v>1</v>
      </c>
      <c r="L449" s="18" t="inlineStr">
        <is>
          <t>cobbleventure:generation_1</t>
        </is>
      </c>
      <c r="M449" s="19" t="inlineStr">
        <is>
          <t>cobbleventure:generation_1</t>
        </is>
      </c>
      <c r="N449" s="18" t="inlineStr"/>
      <c r="O449" s="19" t="inlineStr"/>
      <c r="P449" s="18" t="inlineStr">
        <is>
          <t>#cobblemon:is_coast</t>
        </is>
      </c>
      <c r="Q449" s="19" t="inlineStr"/>
      <c r="R449" s="18">
        <f>IF(Q449="",P449,Q449)</f>
        <v/>
      </c>
      <c r="S449" s="18" t="inlineStr"/>
      <c r="T449" s="18" t="inlineStr">
        <is>
          <t>uncommon</t>
        </is>
      </c>
      <c r="U449" s="20" t="n">
        <v>0.8</v>
      </c>
      <c r="V449" s="21" t="n">
        <v>1</v>
      </c>
      <c r="W449" s="20">
        <f>IF(OR(U449="",V449=""),U449,U449*V449)</f>
        <v/>
      </c>
      <c r="X449" s="18" t="inlineStr">
        <is>
          <t>29-52</t>
        </is>
      </c>
      <c r="Y449" s="19" t="inlineStr"/>
      <c r="Z449" s="18">
        <f>IF(Y449="",X449,Y449)</f>
        <v/>
      </c>
      <c r="AA449" s="18" t="inlineStr">
        <is>
          <t>grounded</t>
        </is>
      </c>
      <c r="AB449" s="18" t="inlineStr">
        <is>
          <t>night</t>
        </is>
      </c>
      <c r="AC449" s="18" t="inlineStr"/>
      <c r="AD449" s="18" t="inlineStr"/>
      <c r="AE449" s="18" t="inlineStr">
        <is>
          <t>sky 8-15</t>
        </is>
      </c>
      <c r="AF449" s="18" t="inlineStr"/>
      <c r="AG449" s="18" t="inlineStr"/>
      <c r="AH449" s="18" t="inlineStr"/>
      <c r="AI449" s="18" t="inlineStr"/>
      <c r="AJ449" s="18" t="inlineStr">
        <is>
          <t>Cobblemon 동일</t>
        </is>
      </c>
      <c r="AK449" s="18" t="inlineStr">
        <is>
          <t>사용</t>
        </is>
      </c>
      <c r="AL449" s="18" t="inlineStr">
        <is>
          <t>COBBLEVERSE 1.7.42 / DP v31</t>
        </is>
      </c>
      <c r="AM449" s="18" t="inlineStr">
        <is>
          <t>data/cobblemon/spawn_pool_world/0121_starmie.json</t>
        </is>
      </c>
      <c r="AN449" s="18" t="inlineStr">
        <is>
          <t>starmie-1</t>
        </is>
      </c>
      <c r="AO449" s="18" t="inlineStr">
        <is>
          <t>pokemon</t>
        </is>
      </c>
      <c r="AP449" s="18" t="inlineStr">
        <is>
          <t>natural</t>
        </is>
      </c>
      <c r="AQ449" s="18" t="inlineStr">
        <is>
          <t>{"biomes":["#cobblemon:is_coast"],"maxSkyLight":15,"minSkyLight":8,"timeRange":"night"}</t>
        </is>
      </c>
      <c r="AR449" s="18" t="inlineStr"/>
      <c r="AS449" s="18" t="inlineStr"/>
      <c r="AT449" s="19" t="inlineStr"/>
    </row>
    <row r="450" ht="32" customHeight="1">
      <c r="A450" s="18" t="inlineStr">
        <is>
          <t>0121_starmie.json::starmie-2::002</t>
        </is>
      </c>
      <c r="B450" s="19" t="inlineStr">
        <is>
          <t>사용</t>
        </is>
      </c>
      <c r="C450" s="18">
        <f>IF(OR(B450&lt;&gt;AK450,M450&lt;&gt;L450,O450&lt;&gt;"",Q450&lt;&gt;"",V450&lt;&gt;1,Y450&lt;&gt;"",AT450&lt;&gt;""),"수정","원본")</f>
        <v/>
      </c>
      <c r="D450" s="18" t="n">
        <v>121</v>
      </c>
      <c r="E450" s="18" t="inlineStr">
        <is>
          <t>아쿠스타</t>
        </is>
      </c>
      <c r="F450" s="18" t="inlineStr">
        <is>
          <t>starmie</t>
        </is>
      </c>
      <c r="G450" s="18" t="inlineStr">
        <is>
          <t>starmie</t>
        </is>
      </c>
      <c r="H450" s="18" t="inlineStr"/>
      <c r="I450" s="18" t="n">
        <v>1</v>
      </c>
      <c r="J450" s="18" t="n"/>
      <c r="K450" s="18" t="n">
        <v>1</v>
      </c>
      <c r="L450" s="18" t="inlineStr">
        <is>
          <t>cobbleventure:generation_1</t>
        </is>
      </c>
      <c r="M450" s="19" t="inlineStr">
        <is>
          <t>cobbleventure:generation_1</t>
        </is>
      </c>
      <c r="N450" s="18" t="inlineStr"/>
      <c r="O450" s="19" t="inlineStr"/>
      <c r="P450" s="18" t="inlineStr">
        <is>
          <t>#cobblemon:is_ocean</t>
        </is>
      </c>
      <c r="Q450" s="19" t="inlineStr"/>
      <c r="R450" s="18">
        <f>IF(Q450="",P450,Q450)</f>
        <v/>
      </c>
      <c r="S450" s="18" t="inlineStr"/>
      <c r="T450" s="18" t="inlineStr">
        <is>
          <t>uncommon</t>
        </is>
      </c>
      <c r="U450" s="20" t="n">
        <v>0.48</v>
      </c>
      <c r="V450" s="21" t="n">
        <v>1</v>
      </c>
      <c r="W450" s="20">
        <f>IF(OR(U450="",V450=""),U450,U450*V450)</f>
        <v/>
      </c>
      <c r="X450" s="18" t="inlineStr">
        <is>
          <t>29-52</t>
        </is>
      </c>
      <c r="Y450" s="19" t="inlineStr"/>
      <c r="Z450" s="18">
        <f>IF(Y450="",X450,Y450)</f>
        <v/>
      </c>
      <c r="AA450" s="18" t="inlineStr">
        <is>
          <t>submerged</t>
        </is>
      </c>
      <c r="AB450" s="18" t="inlineStr"/>
      <c r="AC450" s="18" t="inlineStr"/>
      <c r="AD450" s="18" t="inlineStr"/>
      <c r="AE450" s="18" t="inlineStr"/>
      <c r="AF450" s="18" t="inlineStr">
        <is>
          <t>True</t>
        </is>
      </c>
      <c r="AG450" s="18" t="inlineStr"/>
      <c r="AH450" s="18" t="inlineStr"/>
      <c r="AI450" s="18" t="inlineStr"/>
      <c r="AJ450" s="18" t="inlineStr">
        <is>
          <t>Cobblemon 동일</t>
        </is>
      </c>
      <c r="AK450" s="18" t="inlineStr">
        <is>
          <t>사용</t>
        </is>
      </c>
      <c r="AL450" s="18" t="inlineStr">
        <is>
          <t>COBBLEVERSE 1.7.42 / DP v31</t>
        </is>
      </c>
      <c r="AM450" s="18" t="inlineStr">
        <is>
          <t>data/cobblemon/spawn_pool_world/0121_starmie.json</t>
        </is>
      </c>
      <c r="AN450" s="18" t="inlineStr">
        <is>
          <t>starmie-2</t>
        </is>
      </c>
      <c r="AO450" s="18" t="inlineStr">
        <is>
          <t>pokemon</t>
        </is>
      </c>
      <c r="AP450" s="18" t="inlineStr">
        <is>
          <t>water</t>
        </is>
      </c>
      <c r="AQ450" s="18" t="inlineStr">
        <is>
          <t>{"biomes":["#cobblemon:is_ocean"],"canSeeSky":true}</t>
        </is>
      </c>
      <c r="AR450" s="18" t="inlineStr"/>
      <c r="AS450" s="18" t="inlineStr">
        <is>
          <t>{"weightMultiplier":{"condition":{"timeRange":"night"},"multiplier":1.5}}</t>
        </is>
      </c>
      <c r="AT450" s="19" t="inlineStr"/>
    </row>
    <row r="451" ht="32" customHeight="1">
      <c r="A451" s="18" t="inlineStr">
        <is>
          <t>0121_starmie.json::starmie-3::003</t>
        </is>
      </c>
      <c r="B451" s="19" t="inlineStr">
        <is>
          <t>사용</t>
        </is>
      </c>
      <c r="C451" s="18">
        <f>IF(OR(B451&lt;&gt;AK451,M451&lt;&gt;L451,O451&lt;&gt;"",Q451&lt;&gt;"",V451&lt;&gt;1,Y451&lt;&gt;"",AT451&lt;&gt;""),"수정","원본")</f>
        <v/>
      </c>
      <c r="D451" s="18" t="n">
        <v>121</v>
      </c>
      <c r="E451" s="18" t="inlineStr">
        <is>
          <t>아쿠스타</t>
        </is>
      </c>
      <c r="F451" s="18" t="inlineStr">
        <is>
          <t>starmie</t>
        </is>
      </c>
      <c r="G451" s="18" t="inlineStr">
        <is>
          <t>starmie</t>
        </is>
      </c>
      <c r="H451" s="18" t="inlineStr"/>
      <c r="I451" s="18" t="n">
        <v>1</v>
      </c>
      <c r="J451" s="18" t="n"/>
      <c r="K451" s="18" t="n">
        <v>1</v>
      </c>
      <c r="L451" s="18" t="inlineStr">
        <is>
          <t>cobbleventure:generation_1</t>
        </is>
      </c>
      <c r="M451" s="19" t="inlineStr">
        <is>
          <t>cobbleventure:generation_1</t>
        </is>
      </c>
      <c r="N451" s="18" t="inlineStr"/>
      <c r="O451" s="19" t="inlineStr"/>
      <c r="P451" s="18" t="inlineStr">
        <is>
          <t>#cobblemon:is_coast; #cobblemon:is_ocean; #cobblemon:is_tropical_island</t>
        </is>
      </c>
      <c r="Q451" s="19" t="inlineStr"/>
      <c r="R451" s="18">
        <f>IF(Q451="",P451,Q451)</f>
        <v/>
      </c>
      <c r="S451" s="18" t="inlineStr"/>
      <c r="T451" s="18" t="inlineStr">
        <is>
          <t>uncommon</t>
        </is>
      </c>
      <c r="U451" s="20" t="n">
        <v>0.48</v>
      </c>
      <c r="V451" s="21" t="n">
        <v>1</v>
      </c>
      <c r="W451" s="20">
        <f>IF(OR(U451="",V451=""),U451,U451*V451)</f>
        <v/>
      </c>
      <c r="X451" s="18" t="inlineStr">
        <is>
          <t>29-52</t>
        </is>
      </c>
      <c r="Y451" s="19" t="inlineStr"/>
      <c r="Z451" s="18">
        <f>IF(Y451="",X451,Y451)</f>
        <v/>
      </c>
      <c r="AA451" s="18" t="inlineStr">
        <is>
          <t>fishing</t>
        </is>
      </c>
      <c r="AB451" s="18" t="inlineStr"/>
      <c r="AC451" s="18" t="inlineStr"/>
      <c r="AD451" s="18" t="inlineStr"/>
      <c r="AE451" s="18" t="inlineStr"/>
      <c r="AF451" s="18" t="inlineStr">
        <is>
          <t>True</t>
        </is>
      </c>
      <c r="AG451" s="18" t="inlineStr"/>
      <c r="AH451" s="18" t="inlineStr"/>
      <c r="AI451" s="18" t="inlineStr"/>
      <c r="AJ451" s="18" t="inlineStr">
        <is>
          <t>Cobblemon 동일</t>
        </is>
      </c>
      <c r="AK451" s="18" t="inlineStr">
        <is>
          <t>사용</t>
        </is>
      </c>
      <c r="AL451" s="18" t="inlineStr">
        <is>
          <t>COBBLEVERSE 1.7.42 / DP v31</t>
        </is>
      </c>
      <c r="AM451" s="18" t="inlineStr">
        <is>
          <t>data/cobblemon/spawn_pool_world/0121_starmie.json</t>
        </is>
      </c>
      <c r="AN451" s="18" t="inlineStr">
        <is>
          <t>starmie-3</t>
        </is>
      </c>
      <c r="AO451" s="18" t="inlineStr">
        <is>
          <t>pokemon</t>
        </is>
      </c>
      <c r="AP451" s="18" t="inlineStr"/>
      <c r="AQ451" s="18" t="inlineStr">
        <is>
          <t>{"biomes":["#cobblemon:is_coast","#cobblemon:is_ocean","#cobblemon:is_tropical_island"],"canSeeSky":true}</t>
        </is>
      </c>
      <c r="AR451" s="18" t="inlineStr">
        <is>
          <t>{"minLureLevel":1}</t>
        </is>
      </c>
      <c r="AS451" s="18" t="inlineStr">
        <is>
          <t>{"weightMultiplier":{"condition":{"timeRange":"night"},"multiplier":1.5}}</t>
        </is>
      </c>
      <c r="AT451" s="19" t="inlineStr"/>
    </row>
    <row r="452" ht="32" customHeight="1">
      <c r="A452" s="18" t="inlineStr">
        <is>
          <t>0121_starmie.json::starmie-4::004</t>
        </is>
      </c>
      <c r="B452" s="19" t="inlineStr">
        <is>
          <t>사용</t>
        </is>
      </c>
      <c r="C452" s="18">
        <f>IF(OR(B452&lt;&gt;AK452,M452&lt;&gt;L452,O452&lt;&gt;"",Q452&lt;&gt;"",V452&lt;&gt;1,Y452&lt;&gt;"",AT452&lt;&gt;""),"수정","원본")</f>
        <v/>
      </c>
      <c r="D452" s="18" t="n">
        <v>121</v>
      </c>
      <c r="E452" s="18" t="inlineStr">
        <is>
          <t>아쿠스타</t>
        </is>
      </c>
      <c r="F452" s="18" t="inlineStr">
        <is>
          <t>starmie</t>
        </is>
      </c>
      <c r="G452" s="18" t="inlineStr">
        <is>
          <t>starmie</t>
        </is>
      </c>
      <c r="H452" s="18" t="inlineStr"/>
      <c r="I452" s="18" t="n">
        <v>1</v>
      </c>
      <c r="J452" s="18" t="n"/>
      <c r="K452" s="18" t="n">
        <v>1</v>
      </c>
      <c r="L452" s="18" t="inlineStr">
        <is>
          <t>cobbleventure:generation_1</t>
        </is>
      </c>
      <c r="M452" s="19" t="inlineStr">
        <is>
          <t>cobbleventure:generation_1</t>
        </is>
      </c>
      <c r="N452" s="18" t="inlineStr"/>
      <c r="O452" s="19" t="inlineStr"/>
      <c r="P452" s="18" t="inlineStr">
        <is>
          <t>#cobblemon:is_coast; #cobblemon:is_ocean; #cobblemon:is_tropical_island</t>
        </is>
      </c>
      <c r="Q452" s="19" t="inlineStr"/>
      <c r="R452" s="18">
        <f>IF(Q452="",P452,Q452)</f>
        <v/>
      </c>
      <c r="S452" s="18" t="inlineStr"/>
      <c r="T452" s="18" t="inlineStr">
        <is>
          <t>common</t>
        </is>
      </c>
      <c r="U452" s="20" t="n">
        <v>0.16</v>
      </c>
      <c r="V452" s="21" t="n">
        <v>1</v>
      </c>
      <c r="W452" s="20">
        <f>IF(OR(U452="",V452=""),U452,U452*V452)</f>
        <v/>
      </c>
      <c r="X452" s="18" t="inlineStr">
        <is>
          <t>29-52</t>
        </is>
      </c>
      <c r="Y452" s="19" t="inlineStr"/>
      <c r="Z452" s="18">
        <f>IF(Y452="",X452,Y452)</f>
        <v/>
      </c>
      <c r="AA452" s="18" t="inlineStr">
        <is>
          <t>fishing</t>
        </is>
      </c>
      <c r="AB452" s="18" t="inlineStr"/>
      <c r="AC452" s="18" t="inlineStr"/>
      <c r="AD452" s="18" t="inlineStr"/>
      <c r="AE452" s="18" t="inlineStr"/>
      <c r="AF452" s="18" t="inlineStr">
        <is>
          <t>True</t>
        </is>
      </c>
      <c r="AG452" s="18" t="inlineStr"/>
      <c r="AH452" s="18" t="inlineStr"/>
      <c r="AI452" s="18" t="inlineStr">
        <is>
          <t>{"fishing":{"minLureLevel":1}}</t>
        </is>
      </c>
      <c r="AJ452" s="18" t="inlineStr">
        <is>
          <t>Cobblemon 동일</t>
        </is>
      </c>
      <c r="AK452" s="18" t="inlineStr">
        <is>
          <t>사용</t>
        </is>
      </c>
      <c r="AL452" s="18" t="inlineStr">
        <is>
          <t>COBBLEVERSE 1.7.42 / DP v31</t>
        </is>
      </c>
      <c r="AM452" s="18" t="inlineStr">
        <is>
          <t>data/cobblemon/spawn_pool_world/0121_starmie.json</t>
        </is>
      </c>
      <c r="AN452" s="18" t="inlineStr">
        <is>
          <t>starmie-4</t>
        </is>
      </c>
      <c r="AO452" s="18" t="inlineStr">
        <is>
          <t>pokemon</t>
        </is>
      </c>
      <c r="AP452" s="18" t="inlineStr"/>
      <c r="AQ452" s="18" t="inlineStr">
        <is>
          <t>{"biomes":["#cobblemon:is_coast","#cobblemon:is_ocean","#cobblemon:is_tropical_island"],"canSeeSky":true,"minLureLevel":1}</t>
        </is>
      </c>
      <c r="AR452" s="18" t="inlineStr"/>
      <c r="AS452" s="18" t="inlineStr">
        <is>
          <t>{"weightMultipliers":[{"condition":{"timeRange":"night"},"multiplier":1.5},{"condition":{"minLureLevel":3},"multiplier":3.0}]}</t>
        </is>
      </c>
      <c r="AT452" s="19" t="inlineStr"/>
    </row>
    <row r="453" ht="32" customHeight="1">
      <c r="A453" s="18" t="inlineStr">
        <is>
          <t>0121_starmie.json::starmie-5::005</t>
        </is>
      </c>
      <c r="B453" s="19" t="inlineStr">
        <is>
          <t>사용</t>
        </is>
      </c>
      <c r="C453" s="18">
        <f>IF(OR(B453&lt;&gt;AK453,M453&lt;&gt;L453,O453&lt;&gt;"",Q453&lt;&gt;"",V453&lt;&gt;1,Y453&lt;&gt;"",AT453&lt;&gt;""),"수정","원본")</f>
        <v/>
      </c>
      <c r="D453" s="18" t="n">
        <v>121</v>
      </c>
      <c r="E453" s="18" t="inlineStr">
        <is>
          <t>아쿠스타</t>
        </is>
      </c>
      <c r="F453" s="18" t="inlineStr">
        <is>
          <t>starmie</t>
        </is>
      </c>
      <c r="G453" s="18" t="inlineStr">
        <is>
          <t>starmie</t>
        </is>
      </c>
      <c r="H453" s="18" t="inlineStr"/>
      <c r="I453" s="18" t="n">
        <v>1</v>
      </c>
      <c r="J453" s="18" t="n"/>
      <c r="K453" s="18" t="n">
        <v>1</v>
      </c>
      <c r="L453" s="18" t="inlineStr">
        <is>
          <t>cobbleventure:generation_1</t>
        </is>
      </c>
      <c r="M453" s="19" t="inlineStr">
        <is>
          <t>cobbleventure:generation_1</t>
        </is>
      </c>
      <c r="N453" s="18" t="inlineStr"/>
      <c r="O453" s="19" t="inlineStr"/>
      <c r="P453" s="18" t="inlineStr">
        <is>
          <t>#cobblemon:is_ocean</t>
        </is>
      </c>
      <c r="Q453" s="19" t="inlineStr"/>
      <c r="R453" s="18">
        <f>IF(Q453="",P453,Q453)</f>
        <v/>
      </c>
      <c r="S453" s="18" t="inlineStr"/>
      <c r="T453" s="18" t="inlineStr">
        <is>
          <t>uncommon</t>
        </is>
      </c>
      <c r="U453" s="20" t="n">
        <v>0.48</v>
      </c>
      <c r="V453" s="21" t="n">
        <v>1</v>
      </c>
      <c r="W453" s="20">
        <f>IF(OR(U453="",V453=""),U453,U453*V453)</f>
        <v/>
      </c>
      <c r="X453" s="18" t="inlineStr">
        <is>
          <t>29-52</t>
        </is>
      </c>
      <c r="Y453" s="19" t="inlineStr"/>
      <c r="Z453" s="18">
        <f>IF(Y453="",X453,Y453)</f>
        <v/>
      </c>
      <c r="AA453" s="18" t="inlineStr">
        <is>
          <t>submerged</t>
        </is>
      </c>
      <c r="AB453" s="18" t="inlineStr"/>
      <c r="AC453" s="18" t="inlineStr"/>
      <c r="AD453" s="18" t="inlineStr"/>
      <c r="AE453" s="18" t="inlineStr">
        <is>
          <t>sky 8-15</t>
        </is>
      </c>
      <c r="AF453" s="18" t="inlineStr">
        <is>
          <t>False</t>
        </is>
      </c>
      <c r="AG453" s="18" t="inlineStr"/>
      <c r="AH453" s="18" t="inlineStr"/>
      <c r="AI453" s="18" t="inlineStr"/>
      <c r="AJ453" s="18" t="inlineStr">
        <is>
          <t>Cobblemon 동일</t>
        </is>
      </c>
      <c r="AK453" s="18" t="inlineStr">
        <is>
          <t>사용</t>
        </is>
      </c>
      <c r="AL453" s="18" t="inlineStr">
        <is>
          <t>COBBLEVERSE 1.7.42 / DP v31</t>
        </is>
      </c>
      <c r="AM453" s="18" t="inlineStr">
        <is>
          <t>data/cobblemon/spawn_pool_world/0121_starmie.json</t>
        </is>
      </c>
      <c r="AN453" s="18" t="inlineStr">
        <is>
          <t>starmie-5</t>
        </is>
      </c>
      <c r="AO453" s="18" t="inlineStr">
        <is>
          <t>pokemon</t>
        </is>
      </c>
      <c r="AP453" s="18" t="inlineStr">
        <is>
          <t>water</t>
        </is>
      </c>
      <c r="AQ453" s="18" t="inlineStr">
        <is>
          <t>{"biomes":["#cobblemon:is_ocean"],"canSeeSky":false,"maxSkyLight":15,"minSkyLight":8}</t>
        </is>
      </c>
      <c r="AR453" s="18" t="inlineStr"/>
      <c r="AS453" s="18" t="inlineStr">
        <is>
          <t>{"weightMultiplier":{"condition":{"timeRange":"night"},"multiplier":1.5}}</t>
        </is>
      </c>
      <c r="AT453" s="19" t="inlineStr"/>
    </row>
    <row r="454" ht="32" customHeight="1">
      <c r="A454" s="18" t="inlineStr">
        <is>
          <t>0121_starmie.json::starmie-6::006</t>
        </is>
      </c>
      <c r="B454" s="19" t="inlineStr">
        <is>
          <t>사용</t>
        </is>
      </c>
      <c r="C454" s="18">
        <f>IF(OR(B454&lt;&gt;AK454,M454&lt;&gt;L454,O454&lt;&gt;"",Q454&lt;&gt;"",V454&lt;&gt;1,Y454&lt;&gt;"",AT454&lt;&gt;""),"수정","원본")</f>
        <v/>
      </c>
      <c r="D454" s="18" t="n">
        <v>121</v>
      </c>
      <c r="E454" s="18" t="inlineStr">
        <is>
          <t>아쿠스타</t>
        </is>
      </c>
      <c r="F454" s="18" t="inlineStr">
        <is>
          <t>starmie</t>
        </is>
      </c>
      <c r="G454" s="18" t="inlineStr">
        <is>
          <t>starmie</t>
        </is>
      </c>
      <c r="H454" s="18" t="inlineStr"/>
      <c r="I454" s="18" t="n">
        <v>1</v>
      </c>
      <c r="J454" s="18" t="n"/>
      <c r="K454" s="18" t="n">
        <v>1</v>
      </c>
      <c r="L454" s="18" t="inlineStr">
        <is>
          <t>cobbleventure:generation_1</t>
        </is>
      </c>
      <c r="M454" s="19" t="inlineStr">
        <is>
          <t>cobbleventure:generation_1</t>
        </is>
      </c>
      <c r="N454" s="18" t="inlineStr"/>
      <c r="O454" s="19" t="inlineStr"/>
      <c r="P454" s="18" t="inlineStr">
        <is>
          <t>#cobblemon:is_coast; #cobblemon:is_ocean; #cobblemon:is_tropical_island</t>
        </is>
      </c>
      <c r="Q454" s="19" t="inlineStr"/>
      <c r="R454" s="18">
        <f>IF(Q454="",P454,Q454)</f>
        <v/>
      </c>
      <c r="S454" s="18" t="inlineStr"/>
      <c r="T454" s="18" t="inlineStr">
        <is>
          <t>uncommon</t>
        </is>
      </c>
      <c r="U454" s="20" t="n">
        <v>0.48</v>
      </c>
      <c r="V454" s="21" t="n">
        <v>1</v>
      </c>
      <c r="W454" s="20">
        <f>IF(OR(U454="",V454=""),U454,U454*V454)</f>
        <v/>
      </c>
      <c r="X454" s="18" t="inlineStr">
        <is>
          <t>29-52</t>
        </is>
      </c>
      <c r="Y454" s="19" t="inlineStr"/>
      <c r="Z454" s="18">
        <f>IF(Y454="",X454,Y454)</f>
        <v/>
      </c>
      <c r="AA454" s="18" t="inlineStr">
        <is>
          <t>fishing</t>
        </is>
      </c>
      <c r="AB454" s="18" t="inlineStr"/>
      <c r="AC454" s="18" t="inlineStr"/>
      <c r="AD454" s="18" t="inlineStr"/>
      <c r="AE454" s="18" t="inlineStr">
        <is>
          <t>sky 8-15</t>
        </is>
      </c>
      <c r="AF454" s="18" t="inlineStr">
        <is>
          <t>False</t>
        </is>
      </c>
      <c r="AG454" s="18" t="inlineStr"/>
      <c r="AH454" s="18" t="inlineStr"/>
      <c r="AI454" s="18" t="inlineStr"/>
      <c r="AJ454" s="18" t="inlineStr">
        <is>
          <t>Cobblemon 동일</t>
        </is>
      </c>
      <c r="AK454" s="18" t="inlineStr">
        <is>
          <t>사용</t>
        </is>
      </c>
      <c r="AL454" s="18" t="inlineStr">
        <is>
          <t>COBBLEVERSE 1.7.42 / DP v31</t>
        </is>
      </c>
      <c r="AM454" s="18" t="inlineStr">
        <is>
          <t>data/cobblemon/spawn_pool_world/0121_starmie.json</t>
        </is>
      </c>
      <c r="AN454" s="18" t="inlineStr">
        <is>
          <t>starmie-6</t>
        </is>
      </c>
      <c r="AO454" s="18" t="inlineStr">
        <is>
          <t>pokemon</t>
        </is>
      </c>
      <c r="AP454" s="18" t="inlineStr"/>
      <c r="AQ454" s="18" t="inlineStr">
        <is>
          <t>{"biomes":["#cobblemon:is_coast","#cobblemon:is_ocean","#cobblemon:is_tropical_island"],"canSeeSky":false,"maxSkyLight":15,"minSkyLight":8}</t>
        </is>
      </c>
      <c r="AR454" s="18" t="inlineStr">
        <is>
          <t>{"minLureLevel":1}</t>
        </is>
      </c>
      <c r="AS454" s="18" t="inlineStr">
        <is>
          <t>{"weightMultiplier":{"condition":{"timeRange":"night"},"multiplier":1.5}}</t>
        </is>
      </c>
      <c r="AT454" s="19" t="inlineStr"/>
    </row>
    <row r="455" ht="32" customHeight="1">
      <c r="A455" s="18" t="inlineStr">
        <is>
          <t>0121_starmie.json::starmie-7::007</t>
        </is>
      </c>
      <c r="B455" s="19" t="inlineStr">
        <is>
          <t>사용</t>
        </is>
      </c>
      <c r="C455" s="18">
        <f>IF(OR(B455&lt;&gt;AK455,M455&lt;&gt;L455,O455&lt;&gt;"",Q455&lt;&gt;"",V455&lt;&gt;1,Y455&lt;&gt;"",AT455&lt;&gt;""),"수정","원본")</f>
        <v/>
      </c>
      <c r="D455" s="18" t="n">
        <v>121</v>
      </c>
      <c r="E455" s="18" t="inlineStr">
        <is>
          <t>아쿠스타</t>
        </is>
      </c>
      <c r="F455" s="18" t="inlineStr">
        <is>
          <t>starmie</t>
        </is>
      </c>
      <c r="G455" s="18" t="inlineStr">
        <is>
          <t>starmie</t>
        </is>
      </c>
      <c r="H455" s="18" t="inlineStr"/>
      <c r="I455" s="18" t="n">
        <v>1</v>
      </c>
      <c r="J455" s="18" t="n"/>
      <c r="K455" s="18" t="n">
        <v>1</v>
      </c>
      <c r="L455" s="18" t="inlineStr">
        <is>
          <t>cobbleventure:generation_1</t>
        </is>
      </c>
      <c r="M455" s="19" t="inlineStr">
        <is>
          <t>cobbleventure:generation_1</t>
        </is>
      </c>
      <c r="N455" s="18" t="inlineStr"/>
      <c r="O455" s="19" t="inlineStr"/>
      <c r="P455" s="18" t="inlineStr">
        <is>
          <t>#cobblemon:is_coast; #cobblemon:is_ocean; #cobblemon:is_tropical_island</t>
        </is>
      </c>
      <c r="Q455" s="19" t="inlineStr"/>
      <c r="R455" s="18">
        <f>IF(Q455="",P455,Q455)</f>
        <v/>
      </c>
      <c r="S455" s="18" t="inlineStr"/>
      <c r="T455" s="18" t="inlineStr">
        <is>
          <t>common</t>
        </is>
      </c>
      <c r="U455" s="20" t="n">
        <v>0.16</v>
      </c>
      <c r="V455" s="21" t="n">
        <v>1</v>
      </c>
      <c r="W455" s="20">
        <f>IF(OR(U455="",V455=""),U455,U455*V455)</f>
        <v/>
      </c>
      <c r="X455" s="18" t="inlineStr">
        <is>
          <t>29-52</t>
        </is>
      </c>
      <c r="Y455" s="19" t="inlineStr"/>
      <c r="Z455" s="18">
        <f>IF(Y455="",X455,Y455)</f>
        <v/>
      </c>
      <c r="AA455" s="18" t="inlineStr">
        <is>
          <t>fishing</t>
        </is>
      </c>
      <c r="AB455" s="18" t="inlineStr"/>
      <c r="AC455" s="18" t="inlineStr"/>
      <c r="AD455" s="18" t="inlineStr"/>
      <c r="AE455" s="18" t="inlineStr">
        <is>
          <t>sky 8-15</t>
        </is>
      </c>
      <c r="AF455" s="18" t="inlineStr">
        <is>
          <t>False</t>
        </is>
      </c>
      <c r="AG455" s="18" t="inlineStr"/>
      <c r="AH455" s="18" t="inlineStr"/>
      <c r="AI455" s="18" t="inlineStr">
        <is>
          <t>{"fishing":{"minLureLevel":1}}</t>
        </is>
      </c>
      <c r="AJ455" s="18" t="inlineStr">
        <is>
          <t>Cobblemon 동일</t>
        </is>
      </c>
      <c r="AK455" s="18" t="inlineStr">
        <is>
          <t>사용</t>
        </is>
      </c>
      <c r="AL455" s="18" t="inlineStr">
        <is>
          <t>COBBLEVERSE 1.7.42 / DP v31</t>
        </is>
      </c>
      <c r="AM455" s="18" t="inlineStr">
        <is>
          <t>data/cobblemon/spawn_pool_world/0121_starmie.json</t>
        </is>
      </c>
      <c r="AN455" s="18" t="inlineStr">
        <is>
          <t>starmie-7</t>
        </is>
      </c>
      <c r="AO455" s="18" t="inlineStr">
        <is>
          <t>pokemon</t>
        </is>
      </c>
      <c r="AP455" s="18" t="inlineStr"/>
      <c r="AQ455" s="18" t="inlineStr">
        <is>
          <t>{"biomes":["#cobblemon:is_coast","#cobblemon:is_ocean","#cobblemon:is_tropical_island"],"canSeeSky":false,"maxSkyLight":15,"minLureLevel":1,"minSkyLight":8}</t>
        </is>
      </c>
      <c r="AR455" s="18" t="inlineStr"/>
      <c r="AS455" s="18" t="inlineStr">
        <is>
          <t>{"weightMultipliers":[{"condition":{"timeRange":"night"},"multiplier":1.5},{"condition":{"minLureLevel":3},"multiplier":3.0}]}</t>
        </is>
      </c>
      <c r="AT455" s="19" t="inlineStr"/>
    </row>
    <row r="456" ht="32" customHeight="1">
      <c r="A456" s="18" t="inlineStr">
        <is>
          <t>0121_starmie.json::starmie-8::008</t>
        </is>
      </c>
      <c r="B456" s="19" t="inlineStr">
        <is>
          <t>사용</t>
        </is>
      </c>
      <c r="C456" s="18">
        <f>IF(OR(B456&lt;&gt;AK456,M456&lt;&gt;L456,O456&lt;&gt;"",Q456&lt;&gt;"",V456&lt;&gt;1,Y456&lt;&gt;"",AT456&lt;&gt;""),"수정","원본")</f>
        <v/>
      </c>
      <c r="D456" s="18" t="n">
        <v>121</v>
      </c>
      <c r="E456" s="18" t="inlineStr">
        <is>
          <t>아쿠스타</t>
        </is>
      </c>
      <c r="F456" s="18" t="inlineStr">
        <is>
          <t>starmie</t>
        </is>
      </c>
      <c r="G456" s="18" t="inlineStr">
        <is>
          <t>starmie</t>
        </is>
      </c>
      <c r="H456" s="18" t="inlineStr"/>
      <c r="I456" s="18" t="n">
        <v>1</v>
      </c>
      <c r="J456" s="18" t="n"/>
      <c r="K456" s="18" t="n">
        <v>1</v>
      </c>
      <c r="L456" s="18" t="inlineStr">
        <is>
          <t>cobbleventure:generation_1</t>
        </is>
      </c>
      <c r="M456" s="19" t="inlineStr">
        <is>
          <t>cobbleventure:generation_1</t>
        </is>
      </c>
      <c r="N456" s="18" t="inlineStr">
        <is>
          <t>region_01; region_02</t>
        </is>
      </c>
      <c r="O456" s="19" t="inlineStr"/>
      <c r="P456" s="18" t="inlineStr">
        <is>
          <t>#cobblemon:is_overworld</t>
        </is>
      </c>
      <c r="Q456" s="19" t="inlineStr"/>
      <c r="R456" s="18">
        <f>IF(Q456="",P456,Q456)</f>
        <v/>
      </c>
      <c r="S456" s="18" t="inlineStr"/>
      <c r="T456" s="18" t="inlineStr">
        <is>
          <t>uncommon</t>
        </is>
      </c>
      <c r="U456" s="20" t="n">
        <v>0.48</v>
      </c>
      <c r="V456" s="21" t="n">
        <v>1</v>
      </c>
      <c r="W456" s="20">
        <f>IF(OR(U456="",V456=""),U456,U456*V456)</f>
        <v/>
      </c>
      <c r="X456" s="18" t="inlineStr">
        <is>
          <t>29-52</t>
        </is>
      </c>
      <c r="Y456" s="19" t="inlineStr"/>
      <c r="Z456" s="18">
        <f>IF(Y456="",X456,Y456)</f>
        <v/>
      </c>
      <c r="AA456" s="18" t="inlineStr">
        <is>
          <t>submerged</t>
        </is>
      </c>
      <c r="AB456" s="18" t="inlineStr"/>
      <c r="AC456" s="18" t="inlineStr"/>
      <c r="AD456" s="18" t="inlineStr">
        <is>
          <t>minY=-60, maxY=13</t>
        </is>
      </c>
      <c r="AE456" s="18" t="inlineStr"/>
      <c r="AF456" s="18" t="inlineStr">
        <is>
          <t>False</t>
        </is>
      </c>
      <c r="AG456" s="18" t="inlineStr">
        <is>
          <t>cobblemon:shipwreck_coves/submerged_shipwreck_cove</t>
        </is>
      </c>
      <c r="AH456" s="18" t="inlineStr"/>
      <c r="AI456" s="18" t="inlineStr"/>
      <c r="AJ456" s="18" t="inlineStr">
        <is>
          <t>Cobblemon 동일</t>
        </is>
      </c>
      <c r="AK456" s="18" t="inlineStr">
        <is>
          <t>사용</t>
        </is>
      </c>
      <c r="AL456" s="18" t="inlineStr">
        <is>
          <t>COBBLEVERSE 1.7.42 / DP v31</t>
        </is>
      </c>
      <c r="AM456" s="18" t="inlineStr">
        <is>
          <t>data/cobblemon/spawn_pool_world/0121_starmie.json</t>
        </is>
      </c>
      <c r="AN456" s="18" t="inlineStr">
        <is>
          <t>starmie-8</t>
        </is>
      </c>
      <c r="AO456" s="18" t="inlineStr">
        <is>
          <t>pokemon</t>
        </is>
      </c>
      <c r="AP456" s="18" t="inlineStr">
        <is>
          <t>water</t>
        </is>
      </c>
      <c r="AQ456" s="18" t="inlineStr">
        <is>
          <t>{"biomes":["#cobblemon:is_overworld"],"canSeeSky":false,"maxY":13,"minY":-60,"structures":["cobblemon:shipwreck_coves/submerged_shipwreck_cove"]}</t>
        </is>
      </c>
      <c r="AR456" s="18" t="inlineStr"/>
      <c r="AS456" s="18" t="inlineStr"/>
      <c r="AT456" s="19" t="inlineStr"/>
    </row>
    <row r="457" ht="32" customHeight="1">
      <c r="A457" s="18" t="inlineStr">
        <is>
          <t>0121_starmie.json::starmie-9::009</t>
        </is>
      </c>
      <c r="B457" s="19" t="inlineStr">
        <is>
          <t>사용</t>
        </is>
      </c>
      <c r="C457" s="18">
        <f>IF(OR(B457&lt;&gt;AK457,M457&lt;&gt;L457,O457&lt;&gt;"",Q457&lt;&gt;"",V457&lt;&gt;1,Y457&lt;&gt;"",AT457&lt;&gt;""),"수정","원본")</f>
        <v/>
      </c>
      <c r="D457" s="18" t="n">
        <v>121</v>
      </c>
      <c r="E457" s="18" t="inlineStr">
        <is>
          <t>아쿠스타</t>
        </is>
      </c>
      <c r="F457" s="18" t="inlineStr">
        <is>
          <t>starmie</t>
        </is>
      </c>
      <c r="G457" s="18" t="inlineStr">
        <is>
          <t>starmie</t>
        </is>
      </c>
      <c r="H457" s="18" t="inlineStr"/>
      <c r="I457" s="18" t="n">
        <v>1</v>
      </c>
      <c r="J457" s="18" t="n"/>
      <c r="K457" s="18" t="n">
        <v>1</v>
      </c>
      <c r="L457" s="18" t="inlineStr">
        <is>
          <t>cobbleventure:generation_1</t>
        </is>
      </c>
      <c r="M457" s="19" t="inlineStr">
        <is>
          <t>cobbleventure:generation_1</t>
        </is>
      </c>
      <c r="N457" s="18" t="inlineStr">
        <is>
          <t>region_01; region_02</t>
        </is>
      </c>
      <c r="O457" s="19" t="inlineStr"/>
      <c r="P457" s="18" t="inlineStr">
        <is>
          <t>#cobblemon:is_overworld</t>
        </is>
      </c>
      <c r="Q457" s="19" t="inlineStr"/>
      <c r="R457" s="18">
        <f>IF(Q457="",P457,Q457)</f>
        <v/>
      </c>
      <c r="S457" s="18" t="inlineStr"/>
      <c r="T457" s="18" t="inlineStr">
        <is>
          <t>uncommon</t>
        </is>
      </c>
      <c r="U457" s="20" t="n">
        <v>0.48</v>
      </c>
      <c r="V457" s="21" t="n">
        <v>1</v>
      </c>
      <c r="W457" s="20">
        <f>IF(OR(U457="",V457=""),U457,U457*V457)</f>
        <v/>
      </c>
      <c r="X457" s="18" t="inlineStr">
        <is>
          <t>29-52</t>
        </is>
      </c>
      <c r="Y457" s="19" t="inlineStr"/>
      <c r="Z457" s="18">
        <f>IF(Y457="",X457,Y457)</f>
        <v/>
      </c>
      <c r="AA457" s="18" t="inlineStr">
        <is>
          <t>fishing</t>
        </is>
      </c>
      <c r="AB457" s="18" t="inlineStr"/>
      <c r="AC457" s="18" t="inlineStr"/>
      <c r="AD457" s="18" t="inlineStr">
        <is>
          <t>minY=-60, maxY=13</t>
        </is>
      </c>
      <c r="AE457" s="18" t="inlineStr"/>
      <c r="AF457" s="18" t="inlineStr">
        <is>
          <t>False</t>
        </is>
      </c>
      <c r="AG457" s="18" t="inlineStr">
        <is>
          <t>cobblemon:shipwreck_coves/submerged_shipwreck_cove</t>
        </is>
      </c>
      <c r="AH457" s="18" t="inlineStr"/>
      <c r="AI457" s="18" t="inlineStr"/>
      <c r="AJ457" s="18" t="inlineStr">
        <is>
          <t>Cobblemon 동일</t>
        </is>
      </c>
      <c r="AK457" s="18" t="inlineStr">
        <is>
          <t>사용</t>
        </is>
      </c>
      <c r="AL457" s="18" t="inlineStr">
        <is>
          <t>COBBLEVERSE 1.7.42 / DP v31</t>
        </is>
      </c>
      <c r="AM457" s="18" t="inlineStr">
        <is>
          <t>data/cobblemon/spawn_pool_world/0121_starmie.json</t>
        </is>
      </c>
      <c r="AN457" s="18" t="inlineStr">
        <is>
          <t>starmie-9</t>
        </is>
      </c>
      <c r="AO457" s="18" t="inlineStr">
        <is>
          <t>pokemon</t>
        </is>
      </c>
      <c r="AP457" s="18" t="inlineStr"/>
      <c r="AQ457" s="18" t="inlineStr">
        <is>
          <t>{"biomes":["#cobblemon:is_overworld"],"canSeeSky":false,"maxY":13,"minY":-60,"structures":["cobblemon:shipwreck_coves/submerged_shipwreck_cove"]}</t>
        </is>
      </c>
      <c r="AR457" s="18" t="inlineStr">
        <is>
          <t>{"minLureLevel":1}</t>
        </is>
      </c>
      <c r="AS457" s="18" t="inlineStr"/>
      <c r="AT457" s="19" t="inlineStr"/>
    </row>
    <row r="458" ht="32" customHeight="1">
      <c r="A458" s="18" t="inlineStr">
        <is>
          <t>0121_starmie.json::starmie-10::010</t>
        </is>
      </c>
      <c r="B458" s="19" t="inlineStr">
        <is>
          <t>사용</t>
        </is>
      </c>
      <c r="C458" s="18">
        <f>IF(OR(B458&lt;&gt;AK458,M458&lt;&gt;L458,O458&lt;&gt;"",Q458&lt;&gt;"",V458&lt;&gt;1,Y458&lt;&gt;"",AT458&lt;&gt;""),"수정","원본")</f>
        <v/>
      </c>
      <c r="D458" s="18" t="n">
        <v>121</v>
      </c>
      <c r="E458" s="18" t="inlineStr">
        <is>
          <t>아쿠스타</t>
        </is>
      </c>
      <c r="F458" s="18" t="inlineStr">
        <is>
          <t>starmie</t>
        </is>
      </c>
      <c r="G458" s="18" t="inlineStr">
        <is>
          <t>starmie</t>
        </is>
      </c>
      <c r="H458" s="18" t="inlineStr"/>
      <c r="I458" s="18" t="n">
        <v>1</v>
      </c>
      <c r="J458" s="18" t="n"/>
      <c r="K458" s="18" t="n">
        <v>1</v>
      </c>
      <c r="L458" s="18" t="inlineStr">
        <is>
          <t>cobbleventure:generation_1</t>
        </is>
      </c>
      <c r="M458" s="19" t="inlineStr">
        <is>
          <t>cobbleventure:generation_1</t>
        </is>
      </c>
      <c r="N458" s="18" t="inlineStr">
        <is>
          <t>region_01; region_02</t>
        </is>
      </c>
      <c r="O458" s="19" t="inlineStr"/>
      <c r="P458" s="18" t="inlineStr">
        <is>
          <t>#cobblemon:is_overworld</t>
        </is>
      </c>
      <c r="Q458" s="19" t="inlineStr"/>
      <c r="R458" s="18">
        <f>IF(Q458="",P458,Q458)</f>
        <v/>
      </c>
      <c r="S458" s="18" t="inlineStr"/>
      <c r="T458" s="18" t="inlineStr">
        <is>
          <t>common</t>
        </is>
      </c>
      <c r="U458" s="20" t="n">
        <v>0.16</v>
      </c>
      <c r="V458" s="21" t="n">
        <v>1</v>
      </c>
      <c r="W458" s="20">
        <f>IF(OR(U458="",V458=""),U458,U458*V458)</f>
        <v/>
      </c>
      <c r="X458" s="18" t="inlineStr">
        <is>
          <t>29-52</t>
        </is>
      </c>
      <c r="Y458" s="19" t="inlineStr"/>
      <c r="Z458" s="18">
        <f>IF(Y458="",X458,Y458)</f>
        <v/>
      </c>
      <c r="AA458" s="18" t="inlineStr">
        <is>
          <t>fishing</t>
        </is>
      </c>
      <c r="AB458" s="18" t="inlineStr"/>
      <c r="AC458" s="18" t="inlineStr"/>
      <c r="AD458" s="18" t="inlineStr">
        <is>
          <t>minY=-60, maxY=13</t>
        </is>
      </c>
      <c r="AE458" s="18" t="inlineStr"/>
      <c r="AF458" s="18" t="inlineStr">
        <is>
          <t>False</t>
        </is>
      </c>
      <c r="AG458" s="18" t="inlineStr">
        <is>
          <t>cobblemon:shipwreck_coves/submerged_shipwreck_cove</t>
        </is>
      </c>
      <c r="AH458" s="18" t="inlineStr"/>
      <c r="AI458" s="18" t="inlineStr">
        <is>
          <t>{"fishing":{"minLureLevel":1}}</t>
        </is>
      </c>
      <c r="AJ458" s="18" t="inlineStr">
        <is>
          <t>Cobblemon 동일</t>
        </is>
      </c>
      <c r="AK458" s="18" t="inlineStr">
        <is>
          <t>사용</t>
        </is>
      </c>
      <c r="AL458" s="18" t="inlineStr">
        <is>
          <t>COBBLEVERSE 1.7.42 / DP v31</t>
        </is>
      </c>
      <c r="AM458" s="18" t="inlineStr">
        <is>
          <t>data/cobblemon/spawn_pool_world/0121_starmie.json</t>
        </is>
      </c>
      <c r="AN458" s="18" t="inlineStr">
        <is>
          <t>starmie-10</t>
        </is>
      </c>
      <c r="AO458" s="18" t="inlineStr">
        <is>
          <t>pokemon</t>
        </is>
      </c>
      <c r="AP458" s="18" t="inlineStr"/>
      <c r="AQ458" s="18" t="inlineStr">
        <is>
          <t>{"biomes":["#cobblemon:is_overworld"],"canSeeSky":false,"maxY":13,"minLureLevel":1,"minY":-60,"structures":["cobblemon:shipwreck_coves/submerged_shipwreck_cove"]}</t>
        </is>
      </c>
      <c r="AR458" s="18" t="inlineStr"/>
      <c r="AS458" s="18" t="inlineStr">
        <is>
          <t>{"weightMultiplier":{"condition":{"minLureLevel":3},"multiplier":3.0}}</t>
        </is>
      </c>
      <c r="AT458" s="19" t="inlineStr"/>
    </row>
    <row r="459" ht="32" customHeight="1">
      <c r="A459" s="18" t="inlineStr">
        <is>
          <t>0122_mrmime.json::mrmime-1::001</t>
        </is>
      </c>
      <c r="B459" s="19" t="inlineStr">
        <is>
          <t>사용</t>
        </is>
      </c>
      <c r="C459" s="18">
        <f>IF(OR(B459&lt;&gt;AK459,M459&lt;&gt;L459,O459&lt;&gt;"",Q459&lt;&gt;"",V459&lt;&gt;1,Y459&lt;&gt;"",AT459&lt;&gt;""),"수정","원본")</f>
        <v/>
      </c>
      <c r="D459" s="18" t="n">
        <v>122</v>
      </c>
      <c r="E459" s="18" t="inlineStr">
        <is>
          <t>마임맨</t>
        </is>
      </c>
      <c r="F459" s="18" t="inlineStr">
        <is>
          <t>mrmime</t>
        </is>
      </c>
      <c r="G459" s="18" t="inlineStr">
        <is>
          <t>mrmime</t>
        </is>
      </c>
      <c r="H459" s="18" t="inlineStr"/>
      <c r="I459" s="18" t="n">
        <v>1</v>
      </c>
      <c r="J459" s="18" t="n"/>
      <c r="K459" s="18" t="n">
        <v>1</v>
      </c>
      <c r="L459" s="18" t="inlineStr">
        <is>
          <t>cobbleventure:generation_1</t>
        </is>
      </c>
      <c r="M459" s="19" t="inlineStr">
        <is>
          <t>cobbleventure:generation_1</t>
        </is>
      </c>
      <c r="N459" s="18" t="inlineStr">
        <is>
          <t>region_01; region_02</t>
        </is>
      </c>
      <c r="O459" s="19" t="inlineStr"/>
      <c r="P459" s="18" t="inlineStr">
        <is>
          <t>#cobblemon:is_overworld</t>
        </is>
      </c>
      <c r="Q459" s="19" t="inlineStr"/>
      <c r="R459" s="18">
        <f>IF(Q459="",P459,Q459)</f>
        <v/>
      </c>
      <c r="S459" s="18" t="inlineStr">
        <is>
          <t>#cobblemon:is_freezing</t>
        </is>
      </c>
      <c r="T459" s="18" t="inlineStr">
        <is>
          <t>uncommon</t>
        </is>
      </c>
      <c r="U459" s="20" t="n">
        <v>0.32</v>
      </c>
      <c r="V459" s="21" t="n">
        <v>1</v>
      </c>
      <c r="W459" s="20">
        <f>IF(OR(U459="",V459=""),U459,U459*V459)</f>
        <v/>
      </c>
      <c r="X459" s="18" t="inlineStr">
        <is>
          <t>26-46</t>
        </is>
      </c>
      <c r="Y459" s="19" t="inlineStr"/>
      <c r="Z459" s="18">
        <f>IF(Y459="",X459,Y459)</f>
        <v/>
      </c>
      <c r="AA459" s="18" t="inlineStr">
        <is>
          <t>grounded</t>
        </is>
      </c>
      <c r="AB459" s="18" t="inlineStr"/>
      <c r="AC459" s="18" t="inlineStr"/>
      <c r="AD459" s="18" t="inlineStr"/>
      <c r="AE459" s="18" t="inlineStr">
        <is>
          <t>sky 8-15</t>
        </is>
      </c>
      <c r="AF459" s="18" t="inlineStr"/>
      <c r="AG459" s="18" t="inlineStr"/>
      <c r="AH459" s="18" t="inlineStr"/>
      <c r="AI459" s="18" t="inlineStr"/>
      <c r="AJ459" s="18" t="inlineStr">
        <is>
          <t>COBBLEVERSE 수정</t>
        </is>
      </c>
      <c r="AK459" s="18" t="inlineStr">
        <is>
          <t>사용</t>
        </is>
      </c>
      <c r="AL459" s="18" t="inlineStr">
        <is>
          <t>COBBLEVERSE 1.7.42 / DP v31</t>
        </is>
      </c>
      <c r="AM459" s="18" t="inlineStr">
        <is>
          <t>data/cobblemon/spawn_pool_world/0122_mrmime.json</t>
        </is>
      </c>
      <c r="AN459" s="18" t="inlineStr">
        <is>
          <t>mrmime-1</t>
        </is>
      </c>
      <c r="AO459" s="18" t="inlineStr">
        <is>
          <t>pokemon</t>
        </is>
      </c>
      <c r="AP459" s="18" t="inlineStr">
        <is>
          <t>natural</t>
        </is>
      </c>
      <c r="AQ459" s="18" t="inlineStr">
        <is>
          <t>{"biomes":["#cobblemon:is_overworld"],"maxSkyLight":15,"minSkyLight":8}</t>
        </is>
      </c>
      <c r="AR459" s="18" t="inlineStr">
        <is>
          <t>{"biomes":["#cobblemon:is_freezing"]}</t>
        </is>
      </c>
      <c r="AS459" s="18" t="inlineStr"/>
      <c r="AT459" s="19" t="inlineStr"/>
    </row>
    <row r="460" ht="32" customHeight="1">
      <c r="A460" s="18" t="inlineStr">
        <is>
          <t>0122_mrmime.json::mrmime-2::002</t>
        </is>
      </c>
      <c r="B460" s="19" t="inlineStr">
        <is>
          <t>사용</t>
        </is>
      </c>
      <c r="C460" s="18">
        <f>IF(OR(B460&lt;&gt;AK460,M460&lt;&gt;L460,O460&lt;&gt;"",Q460&lt;&gt;"",V460&lt;&gt;1,Y460&lt;&gt;"",AT460&lt;&gt;""),"수정","원본")</f>
        <v/>
      </c>
      <c r="D460" s="18" t="n">
        <v>122</v>
      </c>
      <c r="E460" s="18" t="inlineStr">
        <is>
          <t>마임맨</t>
        </is>
      </c>
      <c r="F460" s="18" t="inlineStr">
        <is>
          <t>mrmime</t>
        </is>
      </c>
      <c r="G460" s="18" t="inlineStr">
        <is>
          <t>mrmime</t>
        </is>
      </c>
      <c r="H460" s="18" t="inlineStr"/>
      <c r="I460" s="18" t="n">
        <v>1</v>
      </c>
      <c r="J460" s="18" t="n"/>
      <c r="K460" s="18" t="n">
        <v>1</v>
      </c>
      <c r="L460" s="18" t="inlineStr">
        <is>
          <t>cobbleventure:generation_1</t>
        </is>
      </c>
      <c r="M460" s="19" t="inlineStr">
        <is>
          <t>cobbleventure:generation_1</t>
        </is>
      </c>
      <c r="N460" s="18" t="inlineStr">
        <is>
          <t>region_01; region_02</t>
        </is>
      </c>
      <c r="O460" s="19" t="inlineStr"/>
      <c r="P460" s="18" t="inlineStr">
        <is>
          <t>#cobblemon:is_overworld</t>
        </is>
      </c>
      <c r="Q460" s="19" t="inlineStr"/>
      <c r="R460" s="18">
        <f>IF(Q460="",P460,Q460)</f>
        <v/>
      </c>
      <c r="S460" s="18" t="inlineStr">
        <is>
          <t>#cobblemon:is_freezing</t>
        </is>
      </c>
      <c r="T460" s="18" t="inlineStr">
        <is>
          <t>uncommon</t>
        </is>
      </c>
      <c r="U460" s="20" t="n">
        <v>0.32</v>
      </c>
      <c r="V460" s="21" t="n">
        <v>1</v>
      </c>
      <c r="W460" s="20">
        <f>IF(OR(U460="",V460=""),U460,U460*V460)</f>
        <v/>
      </c>
      <c r="X460" s="18" t="inlineStr">
        <is>
          <t>26-46</t>
        </is>
      </c>
      <c r="Y460" s="19" t="inlineStr"/>
      <c r="Z460" s="18">
        <f>IF(Y460="",X460,Y460)</f>
        <v/>
      </c>
      <c r="AA460" s="18" t="inlineStr">
        <is>
          <t>grounded</t>
        </is>
      </c>
      <c r="AB460" s="18" t="inlineStr"/>
      <c r="AC460" s="18" t="inlineStr"/>
      <c r="AD460" s="18" t="inlineStr"/>
      <c r="AE460" s="18" t="inlineStr">
        <is>
          <t>sky 8-15</t>
        </is>
      </c>
      <c r="AF460" s="18" t="inlineStr"/>
      <c r="AG460" s="18" t="inlineStr">
        <is>
          <t>#minecraft:village</t>
        </is>
      </c>
      <c r="AH460" s="18" t="inlineStr"/>
      <c r="AI460" s="18" t="inlineStr"/>
      <c r="AJ460" s="18" t="inlineStr">
        <is>
          <t>COBBLEVERSE 수정</t>
        </is>
      </c>
      <c r="AK460" s="18" t="inlineStr">
        <is>
          <t>사용</t>
        </is>
      </c>
      <c r="AL460" s="18" t="inlineStr">
        <is>
          <t>COBBLEVERSE 1.7.42 / DP v31</t>
        </is>
      </c>
      <c r="AM460" s="18" t="inlineStr">
        <is>
          <t>data/cobblemon/spawn_pool_world/0122_mrmime.json</t>
        </is>
      </c>
      <c r="AN460" s="18" t="inlineStr">
        <is>
          <t>mrmime-2</t>
        </is>
      </c>
      <c r="AO460" s="18" t="inlineStr">
        <is>
          <t>pokemon</t>
        </is>
      </c>
      <c r="AP460" s="18" t="inlineStr">
        <is>
          <t>natural</t>
        </is>
      </c>
      <c r="AQ460" s="18" t="inlineStr">
        <is>
          <t>{"biomes":["#cobblemon:is_overworld"],"maxSkyLight":15,"minSkyLight":8,"structures":["#minecraft:village"]}</t>
        </is>
      </c>
      <c r="AR460" s="18" t="inlineStr">
        <is>
          <t>{"biomes":["#cobblemon:is_freezing"]}</t>
        </is>
      </c>
      <c r="AS460" s="18" t="inlineStr"/>
      <c r="AT460" s="19" t="inlineStr"/>
    </row>
    <row r="461" ht="32" customHeight="1">
      <c r="A461" s="18" t="inlineStr">
        <is>
          <t>0122_mrmime.json::mrmime-3::003</t>
        </is>
      </c>
      <c r="B461" s="19" t="inlineStr">
        <is>
          <t>사용</t>
        </is>
      </c>
      <c r="C461" s="18">
        <f>IF(OR(B461&lt;&gt;AK461,M461&lt;&gt;L461,O461&lt;&gt;"",Q461&lt;&gt;"",V461&lt;&gt;1,Y461&lt;&gt;"",AT461&lt;&gt;""),"수정","원본")</f>
        <v/>
      </c>
      <c r="D461" s="18" t="n">
        <v>122</v>
      </c>
      <c r="E461" s="18" t="inlineStr">
        <is>
          <t>마임맨</t>
        </is>
      </c>
      <c r="F461" s="18" t="inlineStr">
        <is>
          <t>mrmime</t>
        </is>
      </c>
      <c r="G461" s="18" t="inlineStr">
        <is>
          <t>mrmime</t>
        </is>
      </c>
      <c r="H461" s="18" t="inlineStr"/>
      <c r="I461" s="18" t="n">
        <v>1</v>
      </c>
      <c r="J461" s="18" t="n"/>
      <c r="K461" s="18" t="n">
        <v>1</v>
      </c>
      <c r="L461" s="18" t="inlineStr">
        <is>
          <t>cobbleventure:generation_1</t>
        </is>
      </c>
      <c r="M461" s="19" t="inlineStr">
        <is>
          <t>cobbleventure:generation_1</t>
        </is>
      </c>
      <c r="N461" s="18" t="inlineStr">
        <is>
          <t>region_01; region_02</t>
        </is>
      </c>
      <c r="O461" s="19" t="inlineStr"/>
      <c r="P461" s="18" t="inlineStr">
        <is>
          <t>#cobblemon:is_overworld</t>
        </is>
      </c>
      <c r="Q461" s="19" t="inlineStr"/>
      <c r="R461" s="18">
        <f>IF(Q461="",P461,Q461)</f>
        <v/>
      </c>
      <c r="S461" s="18" t="inlineStr"/>
      <c r="T461" s="18" t="inlineStr">
        <is>
          <t>common</t>
        </is>
      </c>
      <c r="U461" s="20" t="n">
        <v>0.2</v>
      </c>
      <c r="V461" s="21" t="n">
        <v>1</v>
      </c>
      <c r="W461" s="20">
        <f>IF(OR(U461="",V461=""),U461,U461*V461)</f>
        <v/>
      </c>
      <c r="X461" s="18" t="inlineStr">
        <is>
          <t>26-46</t>
        </is>
      </c>
      <c r="Y461" s="19" t="inlineStr"/>
      <c r="Z461" s="18">
        <f>IF(Y461="",X461,Y461)</f>
        <v/>
      </c>
      <c r="AA461" s="18" t="inlineStr">
        <is>
          <t>grounded</t>
        </is>
      </c>
      <c r="AB461" s="18" t="inlineStr"/>
      <c r="AC461" s="18" t="inlineStr"/>
      <c r="AD461" s="18" t="inlineStr"/>
      <c r="AE461" s="18" t="inlineStr"/>
      <c r="AF461" s="18" t="inlineStr">
        <is>
          <t>False</t>
        </is>
      </c>
      <c r="AG461" s="18" t="inlineStr"/>
      <c r="AH461" s="18" t="inlineStr"/>
      <c r="AI461" s="18" t="inlineStr"/>
      <c r="AJ461" s="18" t="inlineStr">
        <is>
          <t>COBBLEVERSE 수정</t>
        </is>
      </c>
      <c r="AK461" s="18" t="inlineStr">
        <is>
          <t>사용</t>
        </is>
      </c>
      <c r="AL461" s="18" t="inlineStr">
        <is>
          <t>COBBLEVERSE 1.7.42 / DP v31</t>
        </is>
      </c>
      <c r="AM461" s="18" t="inlineStr">
        <is>
          <t>data/cobblemon/spawn_pool_world/0122_mrmime.json</t>
        </is>
      </c>
      <c r="AN461" s="18" t="inlineStr">
        <is>
          <t>mrmime-3</t>
        </is>
      </c>
      <c r="AO461" s="18" t="inlineStr">
        <is>
          <t>pokemon</t>
        </is>
      </c>
      <c r="AP461" s="18" t="inlineStr">
        <is>
          <t>mansion</t>
        </is>
      </c>
      <c r="AQ461" s="18" t="inlineStr">
        <is>
          <t>{"biomes":["#cobblemon:is_overworld"],"canSeeSky":false}</t>
        </is>
      </c>
      <c r="AR461" s="18" t="inlineStr"/>
      <c r="AS461" s="18" t="inlineStr"/>
      <c r="AT461" s="19" t="inlineStr"/>
    </row>
    <row r="462" ht="32" customHeight="1">
      <c r="A462" s="18" t="inlineStr">
        <is>
          <t>0122_mrmime.json::mrmime-galarian-1::004</t>
        </is>
      </c>
      <c r="B462" s="19" t="inlineStr">
        <is>
          <t>사용</t>
        </is>
      </c>
      <c r="C462" s="18">
        <f>IF(OR(B462&lt;&gt;AK462,M462&lt;&gt;L462,O462&lt;&gt;"",Q462&lt;&gt;"",V462&lt;&gt;1,Y462&lt;&gt;"",AT462&lt;&gt;""),"수정","원본")</f>
        <v/>
      </c>
      <c r="D462" s="18" t="n">
        <v>122</v>
      </c>
      <c r="E462" s="18" t="inlineStr">
        <is>
          <t>마임맨</t>
        </is>
      </c>
      <c r="F462" s="18" t="inlineStr">
        <is>
          <t>mrmime</t>
        </is>
      </c>
      <c r="G462" s="18" t="inlineStr">
        <is>
          <t>mrmime galarian</t>
        </is>
      </c>
      <c r="H462" s="18" t="inlineStr">
        <is>
          <t>galarian</t>
        </is>
      </c>
      <c r="I462" s="18" t="n">
        <v>1</v>
      </c>
      <c r="J462" s="18" t="n">
        <v>8</v>
      </c>
      <c r="K462" s="18" t="n">
        <v>8</v>
      </c>
      <c r="L462" s="18" t="inlineStr">
        <is>
          <t>cobbleventure:generation_8</t>
        </is>
      </c>
      <c r="M462" s="19" t="inlineStr">
        <is>
          <t>cobbleventure:generation_8</t>
        </is>
      </c>
      <c r="N462" s="18" t="inlineStr"/>
      <c r="O462" s="19" t="inlineStr"/>
      <c r="P462" s="18" t="inlineStr">
        <is>
          <t>#cobblemon:is_freezing</t>
        </is>
      </c>
      <c r="Q462" s="19" t="inlineStr"/>
      <c r="R462" s="18">
        <f>IF(Q462="",P462,Q462)</f>
        <v/>
      </c>
      <c r="S462" s="18" t="inlineStr"/>
      <c r="T462" s="18" t="inlineStr">
        <is>
          <t>uncommon</t>
        </is>
      </c>
      <c r="U462" s="20" t="n">
        <v>0.288</v>
      </c>
      <c r="V462" s="21" t="n">
        <v>1</v>
      </c>
      <c r="W462" s="20">
        <f>IF(OR(U462="",V462=""),U462,U462*V462)</f>
        <v/>
      </c>
      <c r="X462" s="18" t="inlineStr">
        <is>
          <t>26-46</t>
        </is>
      </c>
      <c r="Y462" s="19" t="inlineStr"/>
      <c r="Z462" s="18">
        <f>IF(Y462="",X462,Y462)</f>
        <v/>
      </c>
      <c r="AA462" s="18" t="inlineStr">
        <is>
          <t>grounded</t>
        </is>
      </c>
      <c r="AB462" s="18" t="inlineStr"/>
      <c r="AC462" s="18" t="inlineStr"/>
      <c r="AD462" s="18" t="inlineStr"/>
      <c r="AE462" s="18" t="inlineStr">
        <is>
          <t>sky 8-15</t>
        </is>
      </c>
      <c r="AF462" s="18" t="inlineStr"/>
      <c r="AG462" s="18" t="inlineStr"/>
      <c r="AH462" s="18" t="inlineStr"/>
      <c r="AI462" s="18" t="inlineStr"/>
      <c r="AJ462" s="18" t="inlineStr">
        <is>
          <t>COBBLEVERSE 수정</t>
        </is>
      </c>
      <c r="AK462" s="18" t="inlineStr">
        <is>
          <t>사용</t>
        </is>
      </c>
      <c r="AL462" s="18" t="inlineStr">
        <is>
          <t>COBBLEVERSE 1.7.42 / DP v31</t>
        </is>
      </c>
      <c r="AM462" s="18" t="inlineStr">
        <is>
          <t>data/cobblemon/spawn_pool_world/0122_mrmime.json</t>
        </is>
      </c>
      <c r="AN462" s="18" t="inlineStr">
        <is>
          <t>mrmime-galarian-1</t>
        </is>
      </c>
      <c r="AO462" s="18" t="inlineStr">
        <is>
          <t>pokemon</t>
        </is>
      </c>
      <c r="AP462" s="18" t="inlineStr">
        <is>
          <t>natural</t>
        </is>
      </c>
      <c r="AQ462" s="18" t="inlineStr">
        <is>
          <t>{"biomes":["#cobblemon:is_freezing"],"maxSkyLight":15,"minSkyLight":8}</t>
        </is>
      </c>
      <c r="AR462" s="18" t="inlineStr"/>
      <c r="AS462" s="18" t="inlineStr"/>
      <c r="AT462" s="19" t="inlineStr"/>
    </row>
    <row r="463" ht="32" customHeight="1">
      <c r="A463" s="18" t="inlineStr">
        <is>
          <t>0122_mrmime.json::mrmime-galarian-2::005</t>
        </is>
      </c>
      <c r="B463" s="19" t="inlineStr">
        <is>
          <t>사용</t>
        </is>
      </c>
      <c r="C463" s="18">
        <f>IF(OR(B463&lt;&gt;AK463,M463&lt;&gt;L463,O463&lt;&gt;"",Q463&lt;&gt;"",V463&lt;&gt;1,Y463&lt;&gt;"",AT463&lt;&gt;""),"수정","원본")</f>
        <v/>
      </c>
      <c r="D463" s="18" t="n">
        <v>122</v>
      </c>
      <c r="E463" s="18" t="inlineStr">
        <is>
          <t>마임맨</t>
        </is>
      </c>
      <c r="F463" s="18" t="inlineStr">
        <is>
          <t>mrmime</t>
        </is>
      </c>
      <c r="G463" s="18" t="inlineStr">
        <is>
          <t>mrmime galarian</t>
        </is>
      </c>
      <c r="H463" s="18" t="inlineStr">
        <is>
          <t>galarian</t>
        </is>
      </c>
      <c r="I463" s="18" t="n">
        <v>1</v>
      </c>
      <c r="J463" s="18" t="n">
        <v>8</v>
      </c>
      <c r="K463" s="18" t="n">
        <v>8</v>
      </c>
      <c r="L463" s="18" t="inlineStr">
        <is>
          <t>cobbleventure:generation_8</t>
        </is>
      </c>
      <c r="M463" s="19" t="inlineStr">
        <is>
          <t>cobbleventure:generation_8</t>
        </is>
      </c>
      <c r="N463" s="18" t="inlineStr"/>
      <c r="O463" s="19" t="inlineStr"/>
      <c r="P463" s="18" t="inlineStr">
        <is>
          <t>#cobblemon:is_freezing</t>
        </is>
      </c>
      <c r="Q463" s="19" t="inlineStr"/>
      <c r="R463" s="18">
        <f>IF(Q463="",P463,Q463)</f>
        <v/>
      </c>
      <c r="S463" s="18" t="inlineStr"/>
      <c r="T463" s="18" t="inlineStr">
        <is>
          <t>uncommon</t>
        </is>
      </c>
      <c r="U463" s="20" t="n">
        <v>0.288</v>
      </c>
      <c r="V463" s="21" t="n">
        <v>1</v>
      </c>
      <c r="W463" s="20">
        <f>IF(OR(U463="",V463=""),U463,U463*V463)</f>
        <v/>
      </c>
      <c r="X463" s="18" t="inlineStr">
        <is>
          <t>26-46</t>
        </is>
      </c>
      <c r="Y463" s="19" t="inlineStr"/>
      <c r="Z463" s="18">
        <f>IF(Y463="",X463,Y463)</f>
        <v/>
      </c>
      <c r="AA463" s="18" t="inlineStr">
        <is>
          <t>grounded</t>
        </is>
      </c>
      <c r="AB463" s="18" t="inlineStr"/>
      <c r="AC463" s="18" t="inlineStr"/>
      <c r="AD463" s="18" t="inlineStr"/>
      <c r="AE463" s="18" t="inlineStr">
        <is>
          <t>sky 8-15</t>
        </is>
      </c>
      <c r="AF463" s="18" t="inlineStr"/>
      <c r="AG463" s="18" t="inlineStr">
        <is>
          <t>#minecraft:village</t>
        </is>
      </c>
      <c r="AH463" s="18" t="inlineStr"/>
      <c r="AI463" s="18" t="inlineStr"/>
      <c r="AJ463" s="18" t="inlineStr">
        <is>
          <t>COBBLEVERSE 수정</t>
        </is>
      </c>
      <c r="AK463" s="18" t="inlineStr">
        <is>
          <t>사용</t>
        </is>
      </c>
      <c r="AL463" s="18" t="inlineStr">
        <is>
          <t>COBBLEVERSE 1.7.42 / DP v31</t>
        </is>
      </c>
      <c r="AM463" s="18" t="inlineStr">
        <is>
          <t>data/cobblemon/spawn_pool_world/0122_mrmime.json</t>
        </is>
      </c>
      <c r="AN463" s="18" t="inlineStr">
        <is>
          <t>mrmime-galarian-2</t>
        </is>
      </c>
      <c r="AO463" s="18" t="inlineStr">
        <is>
          <t>pokemon</t>
        </is>
      </c>
      <c r="AP463" s="18" t="inlineStr">
        <is>
          <t>natural</t>
        </is>
      </c>
      <c r="AQ463" s="18" t="inlineStr">
        <is>
          <t>{"biomes":["#cobblemon:is_freezing"],"maxSkyLight":15,"minSkyLight":8,"structures":["#minecraft:village"]}</t>
        </is>
      </c>
      <c r="AR463" s="18" t="inlineStr"/>
      <c r="AS463" s="18" t="inlineStr"/>
      <c r="AT463" s="19" t="inlineStr"/>
    </row>
    <row r="464" ht="32" customHeight="1">
      <c r="A464" s="18" t="inlineStr">
        <is>
          <t>0123_scyther.json::scyther-1::001</t>
        </is>
      </c>
      <c r="B464" s="19" t="inlineStr">
        <is>
          <t>사용</t>
        </is>
      </c>
      <c r="C464" s="18">
        <f>IF(OR(B464&lt;&gt;AK464,M464&lt;&gt;L464,O464&lt;&gt;"",Q464&lt;&gt;"",V464&lt;&gt;1,Y464&lt;&gt;"",AT464&lt;&gt;""),"수정","원본")</f>
        <v/>
      </c>
      <c r="D464" s="18" t="n">
        <v>123</v>
      </c>
      <c r="E464" s="18" t="inlineStr">
        <is>
          <t>스라크</t>
        </is>
      </c>
      <c r="F464" s="18" t="inlineStr">
        <is>
          <t>scyther</t>
        </is>
      </c>
      <c r="G464" s="18" t="inlineStr">
        <is>
          <t>scyther</t>
        </is>
      </c>
      <c r="H464" s="18" t="inlineStr"/>
      <c r="I464" s="18" t="n">
        <v>1</v>
      </c>
      <c r="J464" s="18" t="n"/>
      <c r="K464" s="18" t="n">
        <v>1</v>
      </c>
      <c r="L464" s="18" t="inlineStr">
        <is>
          <t>cobbleventure:generation_1</t>
        </is>
      </c>
      <c r="M464" s="19" t="inlineStr">
        <is>
          <t>cobbleventure:generation_1</t>
        </is>
      </c>
      <c r="N464" s="18" t="inlineStr">
        <is>
          <t>region_01</t>
        </is>
      </c>
      <c r="O464" s="19" t="inlineStr"/>
      <c r="P464" s="18" t="inlineStr">
        <is>
          <t>#cobblemon:is_forest; #cobblemon:is_hills</t>
        </is>
      </c>
      <c r="Q464" s="19" t="inlineStr"/>
      <c r="R464" s="18">
        <f>IF(Q464="",P464,Q464)</f>
        <v/>
      </c>
      <c r="S464" s="18" t="inlineStr">
        <is>
          <t>#cobblemon:is_freezing; #cobblemon:is_spooky</t>
        </is>
      </c>
      <c r="T464" s="18" t="inlineStr">
        <is>
          <t>rare</t>
        </is>
      </c>
      <c r="U464" s="20" t="n">
        <v>1.75</v>
      </c>
      <c r="V464" s="21" t="n">
        <v>1</v>
      </c>
      <c r="W464" s="20">
        <f>IF(OR(U464="",V464=""),U464,U464*V464)</f>
        <v/>
      </c>
      <c r="X464" s="18" t="inlineStr">
        <is>
          <t>25-50</t>
        </is>
      </c>
      <c r="Y464" s="19" t="inlineStr"/>
      <c r="Z464" s="18">
        <f>IF(Y464="",X464,Y464)</f>
        <v/>
      </c>
      <c r="AA464" s="18" t="inlineStr">
        <is>
          <t>grounded</t>
        </is>
      </c>
      <c r="AB464" s="18" t="inlineStr">
        <is>
          <t>day</t>
        </is>
      </c>
      <c r="AC464" s="18" t="inlineStr"/>
      <c r="AD464" s="18" t="inlineStr"/>
      <c r="AE464" s="18" t="inlineStr">
        <is>
          <t>sky 8-15</t>
        </is>
      </c>
      <c r="AF464" s="18" t="inlineStr"/>
      <c r="AG464" s="18" t="inlineStr"/>
      <c r="AH464" s="18" t="inlineStr"/>
      <c r="AI464" s="18" t="inlineStr"/>
      <c r="AJ464" s="18" t="inlineStr">
        <is>
          <t>Cobblemon 동일</t>
        </is>
      </c>
      <c r="AK464" s="18" t="inlineStr">
        <is>
          <t>사용</t>
        </is>
      </c>
      <c r="AL464" s="18" t="inlineStr">
        <is>
          <t>COBBLEVERSE 1.7.42 / DP v31</t>
        </is>
      </c>
      <c r="AM464" s="18" t="inlineStr">
        <is>
          <t>data/cobblemon/spawn_pool_world/0123_scyther.json</t>
        </is>
      </c>
      <c r="AN464" s="18" t="inlineStr">
        <is>
          <t>scyther-1</t>
        </is>
      </c>
      <c r="AO464" s="18" t="inlineStr">
        <is>
          <t>pokemon</t>
        </is>
      </c>
      <c r="AP464" s="18" t="inlineStr">
        <is>
          <t>natural; wild</t>
        </is>
      </c>
      <c r="AQ464" s="18" t="inlineStr">
        <is>
          <t>{"biomes":["#cobblemon:is_forest","#cobblemon:is_hills"],"maxSkyLight":15,"minSkyLight":8,"timeRange":"day"}</t>
        </is>
      </c>
      <c r="AR464" s="18" t="inlineStr">
        <is>
          <t>{"biomes":["#cobblemon:is_freezing","#cobblemon:is_spooky"]}</t>
        </is>
      </c>
      <c r="AS464" s="18" t="inlineStr"/>
      <c r="AT464" s="19" t="inlineStr"/>
    </row>
    <row r="465" ht="32" customHeight="1">
      <c r="A465" s="18" t="inlineStr">
        <is>
          <t>0123_scyther.json::scyther-2::002</t>
        </is>
      </c>
      <c r="B465" s="19" t="inlineStr">
        <is>
          <t>사용</t>
        </is>
      </c>
      <c r="C465" s="18">
        <f>IF(OR(B465&lt;&gt;AK465,M465&lt;&gt;L465,O465&lt;&gt;"",Q465&lt;&gt;"",V465&lt;&gt;1,Y465&lt;&gt;"",AT465&lt;&gt;""),"수정","원본")</f>
        <v/>
      </c>
      <c r="D465" s="18" t="n">
        <v>123</v>
      </c>
      <c r="E465" s="18" t="inlineStr">
        <is>
          <t>스라크</t>
        </is>
      </c>
      <c r="F465" s="18" t="inlineStr">
        <is>
          <t>scyther</t>
        </is>
      </c>
      <c r="G465" s="18" t="inlineStr">
        <is>
          <t>scyther</t>
        </is>
      </c>
      <c r="H465" s="18" t="inlineStr"/>
      <c r="I465" s="18" t="n">
        <v>1</v>
      </c>
      <c r="J465" s="18" t="n"/>
      <c r="K465" s="18" t="n">
        <v>1</v>
      </c>
      <c r="L465" s="18" t="inlineStr">
        <is>
          <t>cobbleventure:generation_1</t>
        </is>
      </c>
      <c r="M465" s="19" t="inlineStr">
        <is>
          <t>cobbleventure:generation_1</t>
        </is>
      </c>
      <c r="N465" s="18" t="inlineStr"/>
      <c r="O465" s="19" t="inlineStr"/>
      <c r="P465" s="18" t="inlineStr">
        <is>
          <t>#cobblemon:is_jungle</t>
        </is>
      </c>
      <c r="Q465" s="19" t="inlineStr"/>
      <c r="R465" s="18">
        <f>IF(Q465="",P465,Q465)</f>
        <v/>
      </c>
      <c r="S465" s="18" t="inlineStr"/>
      <c r="T465" s="18" t="inlineStr">
        <is>
          <t>uncommon</t>
        </is>
      </c>
      <c r="U465" s="20" t="n">
        <v>1.84</v>
      </c>
      <c r="V465" s="21" t="n">
        <v>1</v>
      </c>
      <c r="W465" s="20">
        <f>IF(OR(U465="",V465=""),U465,U465*V465)</f>
        <v/>
      </c>
      <c r="X465" s="18" t="inlineStr">
        <is>
          <t>25-50</t>
        </is>
      </c>
      <c r="Y465" s="19" t="inlineStr"/>
      <c r="Z465" s="18">
        <f>IF(Y465="",X465,Y465)</f>
        <v/>
      </c>
      <c r="AA465" s="18" t="inlineStr">
        <is>
          <t>grounded</t>
        </is>
      </c>
      <c r="AB465" s="18" t="inlineStr">
        <is>
          <t>day</t>
        </is>
      </c>
      <c r="AC465" s="18" t="inlineStr"/>
      <c r="AD465" s="18" t="inlineStr"/>
      <c r="AE465" s="18" t="inlineStr">
        <is>
          <t>sky 8-15</t>
        </is>
      </c>
      <c r="AF465" s="18" t="inlineStr"/>
      <c r="AG465" s="18" t="inlineStr"/>
      <c r="AH465" s="18" t="inlineStr"/>
      <c r="AI465" s="18" t="inlineStr"/>
      <c r="AJ465" s="18" t="inlineStr">
        <is>
          <t>Cobblemon 동일</t>
        </is>
      </c>
      <c r="AK465" s="18" t="inlineStr">
        <is>
          <t>사용</t>
        </is>
      </c>
      <c r="AL465" s="18" t="inlineStr">
        <is>
          <t>COBBLEVERSE 1.7.42 / DP v31</t>
        </is>
      </c>
      <c r="AM465" s="18" t="inlineStr">
        <is>
          <t>data/cobblemon/spawn_pool_world/0123_scyther.json</t>
        </is>
      </c>
      <c r="AN465" s="18" t="inlineStr">
        <is>
          <t>scyther-2</t>
        </is>
      </c>
      <c r="AO465" s="18" t="inlineStr">
        <is>
          <t>pokemon</t>
        </is>
      </c>
      <c r="AP465" s="18" t="inlineStr">
        <is>
          <t>natural; wild</t>
        </is>
      </c>
      <c r="AQ465" s="18" t="inlineStr">
        <is>
          <t>{"biomes":["#cobblemon:is_jungle"],"maxSkyLight":15,"minSkyLight":8,"timeRange":"day"}</t>
        </is>
      </c>
      <c r="AR465" s="18" t="inlineStr"/>
      <c r="AS465" s="18" t="inlineStr"/>
      <c r="AT465" s="19" t="inlineStr"/>
    </row>
    <row r="466" ht="32" customHeight="1">
      <c r="A466" s="18" t="inlineStr">
        <is>
          <t>0123_scyther.json::scyther-3::003</t>
        </is>
      </c>
      <c r="B466" s="19" t="inlineStr">
        <is>
          <t>사용</t>
        </is>
      </c>
      <c r="C466" s="18">
        <f>IF(OR(B466&lt;&gt;AK466,M466&lt;&gt;L466,O466&lt;&gt;"",Q466&lt;&gt;"",V466&lt;&gt;1,Y466&lt;&gt;"",AT466&lt;&gt;""),"수정","원본")</f>
        <v/>
      </c>
      <c r="D466" s="18" t="n">
        <v>123</v>
      </c>
      <c r="E466" s="18" t="inlineStr">
        <is>
          <t>스라크</t>
        </is>
      </c>
      <c r="F466" s="18" t="inlineStr">
        <is>
          <t>scyther</t>
        </is>
      </c>
      <c r="G466" s="18" t="inlineStr">
        <is>
          <t>scyther</t>
        </is>
      </c>
      <c r="H466" s="18" t="inlineStr"/>
      <c r="I466" s="18" t="n">
        <v>1</v>
      </c>
      <c r="J466" s="18" t="n"/>
      <c r="K466" s="18" t="n">
        <v>1</v>
      </c>
      <c r="L466" s="18" t="inlineStr">
        <is>
          <t>cobbleventure:generation_1</t>
        </is>
      </c>
      <c r="M466" s="19" t="inlineStr">
        <is>
          <t>cobbleventure:generation_1</t>
        </is>
      </c>
      <c r="N466" s="18" t="inlineStr"/>
      <c r="O466" s="19" t="inlineStr"/>
      <c r="P466" s="18" t="inlineStr">
        <is>
          <t>aether:skyroot_forest; aether:skyroot_woodland</t>
        </is>
      </c>
      <c r="Q466" s="19" t="inlineStr"/>
      <c r="R466" s="18">
        <f>IF(Q466="",P466,Q466)</f>
        <v/>
      </c>
      <c r="S466" s="18" t="inlineStr"/>
      <c r="T466" s="18" t="inlineStr">
        <is>
          <t>rare</t>
        </is>
      </c>
      <c r="U466" s="20" t="n">
        <v>1.75</v>
      </c>
      <c r="V466" s="21" t="n">
        <v>1</v>
      </c>
      <c r="W466" s="20">
        <f>IF(OR(U466="",V466=""),U466,U466*V466)</f>
        <v/>
      </c>
      <c r="X466" s="18" t="inlineStr">
        <is>
          <t>25-50</t>
        </is>
      </c>
      <c r="Y466" s="19" t="inlineStr"/>
      <c r="Z466" s="18">
        <f>IF(Y466="",X466,Y466)</f>
        <v/>
      </c>
      <c r="AA466" s="18" t="inlineStr">
        <is>
          <t>grounded</t>
        </is>
      </c>
      <c r="AB466" s="18" t="inlineStr"/>
      <c r="AC466" s="18" t="inlineStr"/>
      <c r="AD466" s="18" t="inlineStr"/>
      <c r="AE466" s="18" t="inlineStr">
        <is>
          <t>sky 8-15</t>
        </is>
      </c>
      <c r="AF466" s="18" t="inlineStr"/>
      <c r="AG466" s="18" t="inlineStr"/>
      <c r="AH466" s="18" t="inlineStr"/>
      <c r="AI466" s="18" t="inlineStr"/>
      <c r="AJ466" s="18" t="inlineStr">
        <is>
          <t>Cobblemon 동일</t>
        </is>
      </c>
      <c r="AK466" s="18" t="inlineStr">
        <is>
          <t>사용</t>
        </is>
      </c>
      <c r="AL466" s="18" t="inlineStr">
        <is>
          <t>COBBLEVERSE 1.7.42 / DP v31</t>
        </is>
      </c>
      <c r="AM466" s="18" t="inlineStr">
        <is>
          <t>data/cobblemon/spawn_pool_world/0123_scyther.json</t>
        </is>
      </c>
      <c r="AN466" s="18" t="inlineStr">
        <is>
          <t>scyther-3</t>
        </is>
      </c>
      <c r="AO466" s="18" t="inlineStr">
        <is>
          <t>pokemon</t>
        </is>
      </c>
      <c r="AP466" s="18" t="inlineStr">
        <is>
          <t>natural</t>
        </is>
      </c>
      <c r="AQ466" s="18" t="inlineStr">
        <is>
          <t>{"biomes":["aether:skyroot_forest","aether:skyroot_woodland"],"maxSkyLight":15,"minSkyLight":8}</t>
        </is>
      </c>
      <c r="AR466" s="18" t="inlineStr"/>
      <c r="AS466" s="18" t="inlineStr"/>
      <c r="AT466" s="19" t="inlineStr"/>
    </row>
    <row r="467" ht="32" customHeight="1">
      <c r="A467" s="18" t="inlineStr">
        <is>
          <t>0124_jynx.json::jynx-1::001</t>
        </is>
      </c>
      <c r="B467" s="19" t="inlineStr">
        <is>
          <t>사용</t>
        </is>
      </c>
      <c r="C467" s="18">
        <f>IF(OR(B467&lt;&gt;AK467,M467&lt;&gt;L467,O467&lt;&gt;"",Q467&lt;&gt;"",V467&lt;&gt;1,Y467&lt;&gt;"",AT467&lt;&gt;""),"수정","원본")</f>
        <v/>
      </c>
      <c r="D467" s="18" t="n">
        <v>124</v>
      </c>
      <c r="E467" s="18" t="inlineStr">
        <is>
          <t>루주라</t>
        </is>
      </c>
      <c r="F467" s="18" t="inlineStr">
        <is>
          <t>jynx</t>
        </is>
      </c>
      <c r="G467" s="18" t="inlineStr">
        <is>
          <t>jynx</t>
        </is>
      </c>
      <c r="H467" s="18" t="inlineStr"/>
      <c r="I467" s="18" t="n">
        <v>1</v>
      </c>
      <c r="J467" s="18" t="n"/>
      <c r="K467" s="18" t="n">
        <v>1</v>
      </c>
      <c r="L467" s="18" t="inlineStr">
        <is>
          <t>cobbleventure:generation_1</t>
        </is>
      </c>
      <c r="M467" s="19" t="inlineStr">
        <is>
          <t>cobbleventure:generation_1</t>
        </is>
      </c>
      <c r="N467" s="18" t="inlineStr"/>
      <c r="O467" s="19" t="inlineStr"/>
      <c r="P467" s="18" t="inlineStr">
        <is>
          <t>#cobblemon:is_freezing</t>
        </is>
      </c>
      <c r="Q467" s="19" t="inlineStr"/>
      <c r="R467" s="18">
        <f>IF(Q467="",P467,Q467)</f>
        <v/>
      </c>
      <c r="S467" s="18" t="inlineStr"/>
      <c r="T467" s="18" t="inlineStr">
        <is>
          <t>uncommon</t>
        </is>
      </c>
      <c r="U467" s="20" t="n">
        <v>0.32</v>
      </c>
      <c r="V467" s="21" t="n">
        <v>1</v>
      </c>
      <c r="W467" s="20">
        <f>IF(OR(U467="",V467=""),U467,U467*V467)</f>
        <v/>
      </c>
      <c r="X467" s="18" t="inlineStr">
        <is>
          <t>30-46</t>
        </is>
      </c>
      <c r="Y467" s="19" t="inlineStr"/>
      <c r="Z467" s="18">
        <f>IF(Y467="",X467,Y467)</f>
        <v/>
      </c>
      <c r="AA467" s="18" t="inlineStr">
        <is>
          <t>grounded</t>
        </is>
      </c>
      <c r="AB467" s="18" t="inlineStr"/>
      <c r="AC467" s="18" t="inlineStr"/>
      <c r="AD467" s="18" t="inlineStr"/>
      <c r="AE467" s="18" t="inlineStr">
        <is>
          <t>sky 8-15</t>
        </is>
      </c>
      <c r="AF467" s="18" t="inlineStr"/>
      <c r="AG467" s="18" t="inlineStr"/>
      <c r="AH467" s="18" t="inlineStr"/>
      <c r="AI467" s="18" t="inlineStr"/>
      <c r="AJ467" s="18" t="inlineStr">
        <is>
          <t>COBBLEVERSE 수정</t>
        </is>
      </c>
      <c r="AK467" s="18" t="inlineStr">
        <is>
          <t>사용</t>
        </is>
      </c>
      <c r="AL467" s="18" t="inlineStr">
        <is>
          <t>COBBLEVERSE 1.7.42 / DP v31</t>
        </is>
      </c>
      <c r="AM467" s="18" t="inlineStr">
        <is>
          <t>data/cobblemon/spawn_pool_world/0124_jynx.json</t>
        </is>
      </c>
      <c r="AN467" s="18" t="inlineStr">
        <is>
          <t>jynx-1</t>
        </is>
      </c>
      <c r="AO467" s="18" t="inlineStr">
        <is>
          <t>pokemon</t>
        </is>
      </c>
      <c r="AP467" s="18" t="inlineStr">
        <is>
          <t>natural</t>
        </is>
      </c>
      <c r="AQ467" s="18" t="inlineStr">
        <is>
          <t>{"biomes":["#cobblemon:is_freezing"],"maxSkyLight":15,"minSkyLight":8}</t>
        </is>
      </c>
      <c r="AR467" s="18" t="inlineStr"/>
      <c r="AS467" s="18" t="inlineStr">
        <is>
          <t>{"weightMultiplier":{"condition":{"timeRange":"night"},"multiplier":0.25}}</t>
        </is>
      </c>
      <c r="AT467" s="19" t="inlineStr"/>
    </row>
    <row r="468" ht="32" customHeight="1">
      <c r="A468" s="18" t="inlineStr">
        <is>
          <t>0124_jynx.json::jynx-2::002</t>
        </is>
      </c>
      <c r="B468" s="19" t="inlineStr">
        <is>
          <t>사용</t>
        </is>
      </c>
      <c r="C468" s="18">
        <f>IF(OR(B468&lt;&gt;AK468,M468&lt;&gt;L468,O468&lt;&gt;"",Q468&lt;&gt;"",V468&lt;&gt;1,Y468&lt;&gt;"",AT468&lt;&gt;""),"수정","원본")</f>
        <v/>
      </c>
      <c r="D468" s="18" t="n">
        <v>124</v>
      </c>
      <c r="E468" s="18" t="inlineStr">
        <is>
          <t>루주라</t>
        </is>
      </c>
      <c r="F468" s="18" t="inlineStr">
        <is>
          <t>jynx</t>
        </is>
      </c>
      <c r="G468" s="18" t="inlineStr">
        <is>
          <t>jynx</t>
        </is>
      </c>
      <c r="H468" s="18" t="inlineStr"/>
      <c r="I468" s="18" t="n">
        <v>1</v>
      </c>
      <c r="J468" s="18" t="n"/>
      <c r="K468" s="18" t="n">
        <v>1</v>
      </c>
      <c r="L468" s="18" t="inlineStr">
        <is>
          <t>cobbleventure:generation_1</t>
        </is>
      </c>
      <c r="M468" s="19" t="inlineStr">
        <is>
          <t>cobbleventure:generation_1</t>
        </is>
      </c>
      <c r="N468" s="18" t="inlineStr"/>
      <c r="O468" s="19" t="inlineStr"/>
      <c r="P468" s="18" t="inlineStr">
        <is>
          <t>#cobblemon:is_freezing</t>
        </is>
      </c>
      <c r="Q468" s="19" t="inlineStr"/>
      <c r="R468" s="18">
        <f>IF(Q468="",P468,Q468)</f>
        <v/>
      </c>
      <c r="S468" s="18" t="inlineStr"/>
      <c r="T468" s="18" t="inlineStr">
        <is>
          <t>uncommon</t>
        </is>
      </c>
      <c r="U468" s="20" t="n">
        <v>0.32</v>
      </c>
      <c r="V468" s="21" t="n">
        <v>1</v>
      </c>
      <c r="W468" s="20">
        <f>IF(OR(U468="",V468=""),U468,U468*V468)</f>
        <v/>
      </c>
      <c r="X468" s="18" t="inlineStr">
        <is>
          <t>30-46</t>
        </is>
      </c>
      <c r="Y468" s="19" t="inlineStr"/>
      <c r="Z468" s="18">
        <f>IF(Y468="",X468,Y468)</f>
        <v/>
      </c>
      <c r="AA468" s="18" t="inlineStr">
        <is>
          <t>grounded</t>
        </is>
      </c>
      <c r="AB468" s="18" t="inlineStr"/>
      <c r="AC468" s="18" t="inlineStr"/>
      <c r="AD468" s="18" t="inlineStr"/>
      <c r="AE468" s="18" t="inlineStr">
        <is>
          <t>sky 8-15</t>
        </is>
      </c>
      <c r="AF468" s="18" t="inlineStr"/>
      <c r="AG468" s="18" t="inlineStr">
        <is>
          <t>#minecraft:village</t>
        </is>
      </c>
      <c r="AH468" s="18" t="inlineStr"/>
      <c r="AI468" s="18" t="inlineStr"/>
      <c r="AJ468" s="18" t="inlineStr">
        <is>
          <t>COBBLEVERSE 수정</t>
        </is>
      </c>
      <c r="AK468" s="18" t="inlineStr">
        <is>
          <t>사용</t>
        </is>
      </c>
      <c r="AL468" s="18" t="inlineStr">
        <is>
          <t>COBBLEVERSE 1.7.42 / DP v31</t>
        </is>
      </c>
      <c r="AM468" s="18" t="inlineStr">
        <is>
          <t>data/cobblemon/spawn_pool_world/0124_jynx.json</t>
        </is>
      </c>
      <c r="AN468" s="18" t="inlineStr">
        <is>
          <t>jynx-2</t>
        </is>
      </c>
      <c r="AO468" s="18" t="inlineStr">
        <is>
          <t>pokemon</t>
        </is>
      </c>
      <c r="AP468" s="18" t="inlineStr">
        <is>
          <t>natural</t>
        </is>
      </c>
      <c r="AQ468" s="18" t="inlineStr">
        <is>
          <t>{"biomes":["#cobblemon:is_freezing"],"maxSkyLight":15,"minSkyLight":8,"structures":["#minecraft:village"]}</t>
        </is>
      </c>
      <c r="AR468" s="18" t="inlineStr"/>
      <c r="AS468" s="18" t="inlineStr">
        <is>
          <t>{"weightMultiplier":{"condition":{"timeRange":"night"},"multiplier":0.25}}</t>
        </is>
      </c>
      <c r="AT468" s="19" t="inlineStr"/>
    </row>
    <row r="469" ht="32" customHeight="1">
      <c r="A469" s="18" t="inlineStr">
        <is>
          <t>0125_electabuzz.json::electabuzz-1::001</t>
        </is>
      </c>
      <c r="B469" s="19" t="inlineStr">
        <is>
          <t>사용</t>
        </is>
      </c>
      <c r="C469" s="18">
        <f>IF(OR(B469&lt;&gt;AK469,M469&lt;&gt;L469,O469&lt;&gt;"",Q469&lt;&gt;"",V469&lt;&gt;1,Y469&lt;&gt;"",AT469&lt;&gt;""),"수정","원본")</f>
        <v/>
      </c>
      <c r="D469" s="18" t="n">
        <v>125</v>
      </c>
      <c r="E469" s="18" t="inlineStr">
        <is>
          <t>에레브</t>
        </is>
      </c>
      <c r="F469" s="18" t="inlineStr">
        <is>
          <t>electabuzz</t>
        </is>
      </c>
      <c r="G469" s="18" t="inlineStr">
        <is>
          <t>electabuzz</t>
        </is>
      </c>
      <c r="H469" s="18" t="inlineStr"/>
      <c r="I469" s="18" t="n">
        <v>1</v>
      </c>
      <c r="J469" s="18" t="n"/>
      <c r="K469" s="18" t="n">
        <v>1</v>
      </c>
      <c r="L469" s="18" t="inlineStr">
        <is>
          <t>cobbleventure:generation_1</t>
        </is>
      </c>
      <c r="M469" s="19" t="inlineStr">
        <is>
          <t>cobbleventure:generation_1</t>
        </is>
      </c>
      <c r="N469" s="18" t="inlineStr">
        <is>
          <t>region_01</t>
        </is>
      </c>
      <c r="O469" s="19" t="inlineStr"/>
      <c r="P469" s="18" t="inlineStr">
        <is>
          <t>#cobblemon:is_hills; #cobblemon:is_plains</t>
        </is>
      </c>
      <c r="Q469" s="19" t="inlineStr"/>
      <c r="R469" s="18">
        <f>IF(Q469="",P469,Q469)</f>
        <v/>
      </c>
      <c r="S469" s="18" t="inlineStr"/>
      <c r="T469" s="18" t="inlineStr">
        <is>
          <t>uncommon</t>
        </is>
      </c>
      <c r="U469" s="20" t="n">
        <v>0.304</v>
      </c>
      <c r="V469" s="21" t="n">
        <v>1</v>
      </c>
      <c r="W469" s="20">
        <f>IF(OR(U469="",V469=""),U469,U469*V469)</f>
        <v/>
      </c>
      <c r="X469" s="18" t="inlineStr">
        <is>
          <t>30-50</t>
        </is>
      </c>
      <c r="Y469" s="19" t="inlineStr"/>
      <c r="Z469" s="18">
        <f>IF(Y469="",X469,Y469)</f>
        <v/>
      </c>
      <c r="AA469" s="18" t="inlineStr">
        <is>
          <t>grounded</t>
        </is>
      </c>
      <c r="AB469" s="18" t="inlineStr"/>
      <c r="AC469" s="18" t="inlineStr"/>
      <c r="AD469" s="18" t="inlineStr"/>
      <c r="AE469" s="18" t="inlineStr">
        <is>
          <t>sky 8-15</t>
        </is>
      </c>
      <c r="AF469" s="18" t="inlineStr"/>
      <c r="AG469" s="18" t="inlineStr"/>
      <c r="AH469" s="18" t="inlineStr"/>
      <c r="AI469" s="18" t="inlineStr"/>
      <c r="AJ469" s="18" t="inlineStr">
        <is>
          <t>Cobblemon 동일</t>
        </is>
      </c>
      <c r="AK469" s="18" t="inlineStr">
        <is>
          <t>사용</t>
        </is>
      </c>
      <c r="AL469" s="18" t="inlineStr">
        <is>
          <t>COBBLEVERSE 1.7.42 / DP v31</t>
        </is>
      </c>
      <c r="AM469" s="18" t="inlineStr">
        <is>
          <t>data/cobblemon/spawn_pool_world/0125_electabuzz.json</t>
        </is>
      </c>
      <c r="AN469" s="18" t="inlineStr">
        <is>
          <t>electabuzz-1</t>
        </is>
      </c>
      <c r="AO469" s="18" t="inlineStr">
        <is>
          <t>pokemon</t>
        </is>
      </c>
      <c r="AP469" s="18" t="inlineStr">
        <is>
          <t>natural</t>
        </is>
      </c>
      <c r="AQ469" s="18" t="inlineStr">
        <is>
          <t>{"biomes":["#cobblemon:is_hills","#cobblemon:is_plains"],"maxSkyLight":15,"minSkyLight":8}</t>
        </is>
      </c>
      <c r="AR469" s="18" t="inlineStr"/>
      <c r="AS469" s="18" t="inlineStr">
        <is>
          <t>{"weightMultiplier":{"condition":{"isThundering":true},"multiplier":5.0}}</t>
        </is>
      </c>
      <c r="AT469" s="19" t="inlineStr"/>
    </row>
    <row r="470" ht="32" customHeight="1">
      <c r="A470" s="18" t="inlineStr">
        <is>
          <t>0126_magmar.json::magmar-1::001</t>
        </is>
      </c>
      <c r="B470" s="19" t="inlineStr">
        <is>
          <t>사용</t>
        </is>
      </c>
      <c r="C470" s="18">
        <f>IF(OR(B470&lt;&gt;AK470,M470&lt;&gt;L470,O470&lt;&gt;"",Q470&lt;&gt;"",V470&lt;&gt;1,Y470&lt;&gt;"",AT470&lt;&gt;""),"수정","원본")</f>
        <v/>
      </c>
      <c r="D470" s="18" t="n">
        <v>126</v>
      </c>
      <c r="E470" s="18" t="inlineStr">
        <is>
          <t>마그마</t>
        </is>
      </c>
      <c r="F470" s="18" t="inlineStr">
        <is>
          <t>magmar</t>
        </is>
      </c>
      <c r="G470" s="18" t="inlineStr">
        <is>
          <t>magmar</t>
        </is>
      </c>
      <c r="H470" s="18" t="inlineStr"/>
      <c r="I470" s="18" t="n">
        <v>1</v>
      </c>
      <c r="J470" s="18" t="n"/>
      <c r="K470" s="18" t="n">
        <v>1</v>
      </c>
      <c r="L470" s="18" t="inlineStr">
        <is>
          <t>cobbleventure:generation_1</t>
        </is>
      </c>
      <c r="M470" s="19" t="inlineStr">
        <is>
          <t>cobbleventure:generation_1</t>
        </is>
      </c>
      <c r="N470" s="18" t="inlineStr"/>
      <c r="O470" s="19" t="inlineStr"/>
      <c r="P470" s="18" t="inlineStr">
        <is>
          <t>#cobblemon:is_hills</t>
        </is>
      </c>
      <c r="Q470" s="19" t="inlineStr"/>
      <c r="R470" s="18">
        <f>IF(Q470="",P470,Q470)</f>
        <v/>
      </c>
      <c r="S470" s="18" t="inlineStr">
        <is>
          <t>#cobblemon:is_volcanic</t>
        </is>
      </c>
      <c r="T470" s="18" t="inlineStr">
        <is>
          <t>common</t>
        </is>
      </c>
      <c r="U470" s="20" t="n">
        <v>0.95</v>
      </c>
      <c r="V470" s="21" t="n">
        <v>1</v>
      </c>
      <c r="W470" s="20">
        <f>IF(OR(U470="",V470=""),U470,U470*V470)</f>
        <v/>
      </c>
      <c r="X470" s="18" t="inlineStr">
        <is>
          <t>30-50</t>
        </is>
      </c>
      <c r="Y470" s="19" t="inlineStr"/>
      <c r="Z470" s="18">
        <f>IF(Y470="",X470,Y470)</f>
        <v/>
      </c>
      <c r="AA470" s="18" t="inlineStr">
        <is>
          <t>grounded</t>
        </is>
      </c>
      <c r="AB470" s="18" t="inlineStr"/>
      <c r="AC470" s="18" t="inlineStr">
        <is>
          <t>비=False</t>
        </is>
      </c>
      <c r="AD470" s="18" t="inlineStr"/>
      <c r="AE470" s="18" t="inlineStr">
        <is>
          <t>sky 8-15</t>
        </is>
      </c>
      <c r="AF470" s="18" t="inlineStr"/>
      <c r="AG470" s="18" t="inlineStr"/>
      <c r="AH470" s="18" t="inlineStr">
        <is>
          <t>주변=minecraft:lava; minecraft:magma_block</t>
        </is>
      </c>
      <c r="AI470" s="18" t="inlineStr"/>
      <c r="AJ470" s="18" t="inlineStr">
        <is>
          <t>Cobblemon 동일</t>
        </is>
      </c>
      <c r="AK470" s="18" t="inlineStr">
        <is>
          <t>사용</t>
        </is>
      </c>
      <c r="AL470" s="18" t="inlineStr">
        <is>
          <t>COBBLEVERSE 1.7.42 / DP v31</t>
        </is>
      </c>
      <c r="AM470" s="18" t="inlineStr">
        <is>
          <t>data/cobblemon/spawn_pool_world/0126_magmar.json</t>
        </is>
      </c>
      <c r="AN470" s="18" t="inlineStr">
        <is>
          <t>magmar-1</t>
        </is>
      </c>
      <c r="AO470" s="18" t="inlineStr">
        <is>
          <t>pokemon</t>
        </is>
      </c>
      <c r="AP470" s="18" t="inlineStr">
        <is>
          <t>natural</t>
        </is>
      </c>
      <c r="AQ470" s="18" t="inlineStr">
        <is>
          <t>{"biomes":["#cobblemon:is_hills"],"isRaining":false,"maxSkyLight":15,"minSkyLight":8,"neededNearbyBlocks":["minecraft:lava","minecraft:magma_block"]}</t>
        </is>
      </c>
      <c r="AR470" s="18" t="inlineStr">
        <is>
          <t>{"biomes":["#cobblemon:is_volcanic"]}</t>
        </is>
      </c>
      <c r="AS470" s="18" t="inlineStr"/>
      <c r="AT470" s="19" t="inlineStr"/>
    </row>
    <row r="471" ht="32" customHeight="1">
      <c r="A471" s="18" t="inlineStr">
        <is>
          <t>0126_magmar.json::magmar-2::002</t>
        </is>
      </c>
      <c r="B471" s="19" t="inlineStr">
        <is>
          <t>사용</t>
        </is>
      </c>
      <c r="C471" s="18">
        <f>IF(OR(B471&lt;&gt;AK471,M471&lt;&gt;L471,O471&lt;&gt;"",Q471&lt;&gt;"",V471&lt;&gt;1,Y471&lt;&gt;"",AT471&lt;&gt;""),"수정","원본")</f>
        <v/>
      </c>
      <c r="D471" s="18" t="n">
        <v>126</v>
      </c>
      <c r="E471" s="18" t="inlineStr">
        <is>
          <t>마그마</t>
        </is>
      </c>
      <c r="F471" s="18" t="inlineStr">
        <is>
          <t>magmar</t>
        </is>
      </c>
      <c r="G471" s="18" t="inlineStr">
        <is>
          <t>magmar</t>
        </is>
      </c>
      <c r="H471" s="18" t="inlineStr"/>
      <c r="I471" s="18" t="n">
        <v>1</v>
      </c>
      <c r="J471" s="18" t="n"/>
      <c r="K471" s="18" t="n">
        <v>1</v>
      </c>
      <c r="L471" s="18" t="inlineStr">
        <is>
          <t>cobbleventure:generation_1</t>
        </is>
      </c>
      <c r="M471" s="19" t="inlineStr">
        <is>
          <t>cobbleventure:generation_1</t>
        </is>
      </c>
      <c r="N471" s="18" t="inlineStr"/>
      <c r="O471" s="19" t="inlineStr"/>
      <c r="P471" s="18" t="inlineStr">
        <is>
          <t>#cobblemon:is_volcanic</t>
        </is>
      </c>
      <c r="Q471" s="19" t="inlineStr"/>
      <c r="R471" s="18">
        <f>IF(Q471="",P471,Q471)</f>
        <v/>
      </c>
      <c r="S471" s="18" t="inlineStr"/>
      <c r="T471" s="18" t="inlineStr">
        <is>
          <t>common</t>
        </is>
      </c>
      <c r="U471" s="20" t="n">
        <v>0.95</v>
      </c>
      <c r="V471" s="21" t="n">
        <v>1</v>
      </c>
      <c r="W471" s="20">
        <f>IF(OR(U471="",V471=""),U471,U471*V471)</f>
        <v/>
      </c>
      <c r="X471" s="18" t="inlineStr">
        <is>
          <t>30-50</t>
        </is>
      </c>
      <c r="Y471" s="19" t="inlineStr"/>
      <c r="Z471" s="18">
        <f>IF(Y471="",X471,Y471)</f>
        <v/>
      </c>
      <c r="AA471" s="18" t="inlineStr">
        <is>
          <t>grounded</t>
        </is>
      </c>
      <c r="AB471" s="18" t="inlineStr"/>
      <c r="AC471" s="18" t="inlineStr">
        <is>
          <t>비=False</t>
        </is>
      </c>
      <c r="AD471" s="18" t="inlineStr"/>
      <c r="AE471" s="18" t="inlineStr">
        <is>
          <t>sky 8-15</t>
        </is>
      </c>
      <c r="AF471" s="18" t="inlineStr"/>
      <c r="AG471" s="18" t="inlineStr"/>
      <c r="AH471" s="18" t="inlineStr"/>
      <c r="AI471" s="18" t="inlineStr"/>
      <c r="AJ471" s="18" t="inlineStr">
        <is>
          <t>Cobblemon 동일</t>
        </is>
      </c>
      <c r="AK471" s="18" t="inlineStr">
        <is>
          <t>사용</t>
        </is>
      </c>
      <c r="AL471" s="18" t="inlineStr">
        <is>
          <t>COBBLEVERSE 1.7.42 / DP v31</t>
        </is>
      </c>
      <c r="AM471" s="18" t="inlineStr">
        <is>
          <t>data/cobblemon/spawn_pool_world/0126_magmar.json</t>
        </is>
      </c>
      <c r="AN471" s="18" t="inlineStr">
        <is>
          <t>magmar-2</t>
        </is>
      </c>
      <c r="AO471" s="18" t="inlineStr">
        <is>
          <t>pokemon</t>
        </is>
      </c>
      <c r="AP471" s="18" t="inlineStr">
        <is>
          <t>natural</t>
        </is>
      </c>
      <c r="AQ471" s="18" t="inlineStr">
        <is>
          <t>{"biomes":["#cobblemon:is_volcanic"],"isRaining":false,"maxSkyLight":15,"minSkyLight":8}</t>
        </is>
      </c>
      <c r="AR471" s="18" t="inlineStr"/>
      <c r="AS471" s="18" t="inlineStr"/>
      <c r="AT471" s="19" t="inlineStr"/>
    </row>
    <row r="472" ht="32" customHeight="1">
      <c r="A472" s="18" t="inlineStr">
        <is>
          <t>0126_magmar.json::magmar-3::003</t>
        </is>
      </c>
      <c r="B472" s="19" t="inlineStr">
        <is>
          <t>사용</t>
        </is>
      </c>
      <c r="C472" s="18">
        <f>IF(OR(B472&lt;&gt;AK472,M472&lt;&gt;L472,O472&lt;&gt;"",Q472&lt;&gt;"",V472&lt;&gt;1,Y472&lt;&gt;"",AT472&lt;&gt;""),"수정","원본")</f>
        <v/>
      </c>
      <c r="D472" s="18" t="n">
        <v>126</v>
      </c>
      <c r="E472" s="18" t="inlineStr">
        <is>
          <t>마그마</t>
        </is>
      </c>
      <c r="F472" s="18" t="inlineStr">
        <is>
          <t>magmar</t>
        </is>
      </c>
      <c r="G472" s="18" t="inlineStr">
        <is>
          <t>magmar</t>
        </is>
      </c>
      <c r="H472" s="18" t="inlineStr"/>
      <c r="I472" s="18" t="n">
        <v>1</v>
      </c>
      <c r="J472" s="18" t="n"/>
      <c r="K472" s="18" t="n">
        <v>1</v>
      </c>
      <c r="L472" s="18" t="inlineStr">
        <is>
          <t>cobbleventure:generation_1</t>
        </is>
      </c>
      <c r="M472" s="19" t="inlineStr">
        <is>
          <t>cobbleventure:generation_1</t>
        </is>
      </c>
      <c r="N472" s="18" t="inlineStr"/>
      <c r="O472" s="19" t="inlineStr"/>
      <c r="P472" s="18" t="inlineStr">
        <is>
          <t>#cobblemon:nether/is_basalt; #cobblemon:nether/is_wasteland</t>
        </is>
      </c>
      <c r="Q472" s="19" t="inlineStr"/>
      <c r="R472" s="18">
        <f>IF(Q472="",P472,Q472)</f>
        <v/>
      </c>
      <c r="S472" s="18" t="inlineStr"/>
      <c r="T472" s="18" t="inlineStr">
        <is>
          <t>common</t>
        </is>
      </c>
      <c r="U472" s="20" t="n">
        <v>0.95</v>
      </c>
      <c r="V472" s="21" t="n">
        <v>1</v>
      </c>
      <c r="W472" s="20">
        <f>IF(OR(U472="",V472=""),U472,U472*V472)</f>
        <v/>
      </c>
      <c r="X472" s="18" t="inlineStr">
        <is>
          <t>30-50</t>
        </is>
      </c>
      <c r="Y472" s="19" t="inlineStr"/>
      <c r="Z472" s="18">
        <f>IF(Y472="",X472,Y472)</f>
        <v/>
      </c>
      <c r="AA472" s="18" t="inlineStr">
        <is>
          <t>grounded</t>
        </is>
      </c>
      <c r="AB472" s="18" t="inlineStr"/>
      <c r="AC472" s="18" t="inlineStr"/>
      <c r="AD472" s="18" t="inlineStr"/>
      <c r="AE472" s="18" t="inlineStr"/>
      <c r="AF472" s="18" t="inlineStr"/>
      <c r="AG472" s="18" t="inlineStr"/>
      <c r="AH472" s="18" t="inlineStr"/>
      <c r="AI472" s="18" t="inlineStr">
        <is>
          <t>{"spawn":{"drops":{"amount":3,"entries":[{"item":"minecraft:blaze_powder","percentage":10.0},{"item":"cobblemon:magmarizer","percentage":5.0},{"item":"cobblemon:rawst_berry","percentage":5.0}]}}}</t>
        </is>
      </c>
      <c r="AJ472" s="18" t="inlineStr">
        <is>
          <t>Cobblemon 동일</t>
        </is>
      </c>
      <c r="AK472" s="18" t="inlineStr">
        <is>
          <t>사용</t>
        </is>
      </c>
      <c r="AL472" s="18" t="inlineStr">
        <is>
          <t>COBBLEVERSE 1.7.42 / DP v31</t>
        </is>
      </c>
      <c r="AM472" s="18" t="inlineStr">
        <is>
          <t>data/cobblemon/spawn_pool_world/0126_magmar.json</t>
        </is>
      </c>
      <c r="AN472" s="18" t="inlineStr">
        <is>
          <t>magmar-3</t>
        </is>
      </c>
      <c r="AO472" s="18" t="inlineStr">
        <is>
          <t>pokemon</t>
        </is>
      </c>
      <c r="AP472" s="18" t="inlineStr">
        <is>
          <t>natural</t>
        </is>
      </c>
      <c r="AQ472" s="18" t="inlineStr">
        <is>
          <t>{"biomes":["#cobblemon:nether/is_basalt","#cobblemon:nether/is_wasteland"]}</t>
        </is>
      </c>
      <c r="AR472" s="18" t="inlineStr"/>
      <c r="AS472" s="18" t="inlineStr"/>
      <c r="AT472" s="19" t="inlineStr"/>
    </row>
    <row r="473" ht="32" customHeight="1">
      <c r="A473" s="18" t="inlineStr">
        <is>
          <t>0127_pinsir.json::pinsir-1::001</t>
        </is>
      </c>
      <c r="B473" s="19" t="inlineStr">
        <is>
          <t>사용</t>
        </is>
      </c>
      <c r="C473" s="18">
        <f>IF(OR(B473&lt;&gt;AK473,M473&lt;&gt;L473,O473&lt;&gt;"",Q473&lt;&gt;"",V473&lt;&gt;1,Y473&lt;&gt;"",AT473&lt;&gt;""),"수정","원본")</f>
        <v/>
      </c>
      <c r="D473" s="18" t="n">
        <v>127</v>
      </c>
      <c r="E473" s="18" t="inlineStr">
        <is>
          <t>쁘사이저</t>
        </is>
      </c>
      <c r="F473" s="18" t="inlineStr">
        <is>
          <t>pinsir</t>
        </is>
      </c>
      <c r="G473" s="18" t="inlineStr">
        <is>
          <t>pinsir</t>
        </is>
      </c>
      <c r="H473" s="18" t="inlineStr"/>
      <c r="I473" s="18" t="n">
        <v>1</v>
      </c>
      <c r="J473" s="18" t="n"/>
      <c r="K473" s="18" t="n">
        <v>1</v>
      </c>
      <c r="L473" s="18" t="inlineStr">
        <is>
          <t>cobbleventure:generation_1</t>
        </is>
      </c>
      <c r="M473" s="19" t="inlineStr">
        <is>
          <t>cobbleventure:generation_1</t>
        </is>
      </c>
      <c r="N473" s="18" t="inlineStr"/>
      <c r="O473" s="19" t="inlineStr"/>
      <c r="P473" s="18" t="inlineStr">
        <is>
          <t>#cobblemon:is_jungle; aether:skyroot_forest; aether:skyroot_woodland; #cobblemon:is_tropical_island</t>
        </is>
      </c>
      <c r="Q473" s="19" t="inlineStr"/>
      <c r="R473" s="18">
        <f>IF(Q473="",P473,Q473)</f>
        <v/>
      </c>
      <c r="S473" s="18" t="inlineStr"/>
      <c r="T473" s="18" t="inlineStr">
        <is>
          <t>rare</t>
        </is>
      </c>
      <c r="U473" s="20" t="n">
        <v>10</v>
      </c>
      <c r="V473" s="21" t="n">
        <v>1</v>
      </c>
      <c r="W473" s="20">
        <f>IF(OR(U473="",V473=""),U473,U473*V473)</f>
        <v/>
      </c>
      <c r="X473" s="18" t="inlineStr">
        <is>
          <t>25-50</t>
        </is>
      </c>
      <c r="Y473" s="19" t="inlineStr"/>
      <c r="Z473" s="18">
        <f>IF(Y473="",X473,Y473)</f>
        <v/>
      </c>
      <c r="AA473" s="18" t="inlineStr">
        <is>
          <t>grounded</t>
        </is>
      </c>
      <c r="AB473" s="18" t="inlineStr"/>
      <c r="AC473" s="18" t="inlineStr"/>
      <c r="AD473" s="18" t="inlineStr"/>
      <c r="AE473" s="18" t="inlineStr">
        <is>
          <t>sky 8-15</t>
        </is>
      </c>
      <c r="AF473" s="18" t="inlineStr"/>
      <c r="AG473" s="18" t="inlineStr"/>
      <c r="AH473" s="18" t="inlineStr"/>
      <c r="AI473" s="18" t="inlineStr"/>
      <c r="AJ473" s="18" t="inlineStr">
        <is>
          <t>Cobblemon 동일</t>
        </is>
      </c>
      <c r="AK473" s="18" t="inlineStr">
        <is>
          <t>사용</t>
        </is>
      </c>
      <c r="AL473" s="18" t="inlineStr">
        <is>
          <t>COBBLEVERSE 1.7.42 / DP v31</t>
        </is>
      </c>
      <c r="AM473" s="18" t="inlineStr">
        <is>
          <t>data/cobblemon/spawn_pool_world/0127_pinsir.json</t>
        </is>
      </c>
      <c r="AN473" s="18" t="inlineStr">
        <is>
          <t>pinsir-1</t>
        </is>
      </c>
      <c r="AO473" s="18" t="inlineStr">
        <is>
          <t>pokemon</t>
        </is>
      </c>
      <c r="AP473" s="18" t="inlineStr">
        <is>
          <t>natural; wild</t>
        </is>
      </c>
      <c r="AQ473" s="18" t="inlineStr">
        <is>
          <t>{"biomes":["#cobblemon:is_jungle","aether:skyroot_forest","aether:skyroot_woodland","#cobblemon:is_tropical_island"],"maxSkyLight":15,"minSkyLight":8}</t>
        </is>
      </c>
      <c r="AR473" s="18" t="inlineStr">
        <is>
          <t>{"neededNearbyBlocks":["#cobblemon:saccharine_trees"]}</t>
        </is>
      </c>
      <c r="AS473" s="18" t="inlineStr">
        <is>
          <t>{"weightMultiplier":{"condition":{"timeRange":"night"},"multiplier":1.5}}</t>
        </is>
      </c>
      <c r="AT473" s="19" t="inlineStr"/>
    </row>
    <row r="474" ht="32" customHeight="1">
      <c r="A474" s="18" t="inlineStr">
        <is>
          <t>0127_pinsir.json::pinsir-2::002</t>
        </is>
      </c>
      <c r="B474" s="19" t="inlineStr">
        <is>
          <t>사용</t>
        </is>
      </c>
      <c r="C474" s="18">
        <f>IF(OR(B474&lt;&gt;AK474,M474&lt;&gt;L474,O474&lt;&gt;"",Q474&lt;&gt;"",V474&lt;&gt;1,Y474&lt;&gt;"",AT474&lt;&gt;""),"수정","원본")</f>
        <v/>
      </c>
      <c r="D474" s="18" t="n">
        <v>127</v>
      </c>
      <c r="E474" s="18" t="inlineStr">
        <is>
          <t>쁘사이저</t>
        </is>
      </c>
      <c r="F474" s="18" t="inlineStr">
        <is>
          <t>pinsir</t>
        </is>
      </c>
      <c r="G474" s="18" t="inlineStr">
        <is>
          <t>pinsir</t>
        </is>
      </c>
      <c r="H474" s="18" t="inlineStr"/>
      <c r="I474" s="18" t="n">
        <v>1</v>
      </c>
      <c r="J474" s="18" t="n"/>
      <c r="K474" s="18" t="n">
        <v>1</v>
      </c>
      <c r="L474" s="18" t="inlineStr">
        <is>
          <t>cobbleventure:generation_1</t>
        </is>
      </c>
      <c r="M474" s="19" t="inlineStr">
        <is>
          <t>cobbleventure:generation_1</t>
        </is>
      </c>
      <c r="N474" s="18" t="inlineStr">
        <is>
          <t>region_01; region_02</t>
        </is>
      </c>
      <c r="O474" s="19" t="inlineStr"/>
      <c r="P474" s="18" t="inlineStr">
        <is>
          <t>#aether:is_aether; #cobblemon:is_overworld</t>
        </is>
      </c>
      <c r="Q474" s="19" t="inlineStr"/>
      <c r="R474" s="18">
        <f>IF(Q474="",P474,Q474)</f>
        <v/>
      </c>
      <c r="S474" s="18" t="inlineStr">
        <is>
          <t>#cobblemon:is_freezing</t>
        </is>
      </c>
      <c r="T474" s="18" t="inlineStr">
        <is>
          <t>uncommon</t>
        </is>
      </c>
      <c r="U474" s="20" t="n">
        <v>2</v>
      </c>
      <c r="V474" s="21" t="n">
        <v>1</v>
      </c>
      <c r="W474" s="20">
        <f>IF(OR(U474="",V474=""),U474,U474*V474)</f>
        <v/>
      </c>
      <c r="X474" s="18" t="inlineStr">
        <is>
          <t>25-50</t>
        </is>
      </c>
      <c r="Y474" s="19" t="inlineStr"/>
      <c r="Z474" s="18">
        <f>IF(Y474="",X474,Y474)</f>
        <v/>
      </c>
      <c r="AA474" s="18" t="inlineStr">
        <is>
          <t>grounded</t>
        </is>
      </c>
      <c r="AB474" s="18" t="inlineStr"/>
      <c r="AC474" s="18" t="inlineStr"/>
      <c r="AD474" s="18" t="inlineStr"/>
      <c r="AE474" s="18" t="inlineStr">
        <is>
          <t>sky 8-15</t>
        </is>
      </c>
      <c r="AF474" s="18" t="inlineStr"/>
      <c r="AG474" s="18" t="inlineStr"/>
      <c r="AH474" s="18" t="inlineStr">
        <is>
          <t>주변=#cobblemon:saccharine_trees</t>
        </is>
      </c>
      <c r="AI474" s="18" t="inlineStr"/>
      <c r="AJ474" s="18" t="inlineStr">
        <is>
          <t>Cobblemon 동일</t>
        </is>
      </c>
      <c r="AK474" s="18" t="inlineStr">
        <is>
          <t>사용</t>
        </is>
      </c>
      <c r="AL474" s="18" t="inlineStr">
        <is>
          <t>COBBLEVERSE 1.7.42 / DP v31</t>
        </is>
      </c>
      <c r="AM474" s="18" t="inlineStr">
        <is>
          <t>data/cobblemon/spawn_pool_world/0127_pinsir.json</t>
        </is>
      </c>
      <c r="AN474" s="18" t="inlineStr">
        <is>
          <t>pinsir-2</t>
        </is>
      </c>
      <c r="AO474" s="18" t="inlineStr">
        <is>
          <t>pokemon</t>
        </is>
      </c>
      <c r="AP474" s="18" t="inlineStr">
        <is>
          <t>natural</t>
        </is>
      </c>
      <c r="AQ474" s="18" t="inlineStr">
        <is>
          <t>{"biomes":["#aether:is_aether","#cobblemon:is_overworld"],"maxSkyLight":15,"minSkyLight":8,"neededNearbyBlocks":["#cobblemon:saccharine_trees"]}</t>
        </is>
      </c>
      <c r="AR474" s="18" t="inlineStr">
        <is>
          <t>{"biomes":["#cobblemon:is_freezing"]}</t>
        </is>
      </c>
      <c r="AS474" s="18" t="inlineStr">
        <is>
          <t>{"weightMultiplier":{"condition":{"timeRange":"night"},"multiplier":1.5}}</t>
        </is>
      </c>
      <c r="AT474" s="19" t="inlineStr"/>
    </row>
    <row r="475" ht="32" customHeight="1">
      <c r="A475" s="18" t="inlineStr">
        <is>
          <t>0128_tauros.json::tauros-1::001</t>
        </is>
      </c>
      <c r="B475" s="19" t="inlineStr">
        <is>
          <t>사용</t>
        </is>
      </c>
      <c r="C475" s="18">
        <f>IF(OR(B475&lt;&gt;AK475,M475&lt;&gt;L475,O475&lt;&gt;"",Q475&lt;&gt;"",V475&lt;&gt;1,Y475&lt;&gt;"",AT475&lt;&gt;""),"수정","원본")</f>
        <v/>
      </c>
      <c r="D475" s="18" t="n">
        <v>128</v>
      </c>
      <c r="E475" s="18" t="inlineStr">
        <is>
          <t>켄타로스</t>
        </is>
      </c>
      <c r="F475" s="18" t="inlineStr">
        <is>
          <t>tauros</t>
        </is>
      </c>
      <c r="G475" s="18" t="inlineStr">
        <is>
          <t>tauros</t>
        </is>
      </c>
      <c r="H475" s="18" t="inlineStr"/>
      <c r="I475" s="18" t="n">
        <v>1</v>
      </c>
      <c r="J475" s="18" t="n"/>
      <c r="K475" s="18" t="n">
        <v>1</v>
      </c>
      <c r="L475" s="18" t="inlineStr">
        <is>
          <t>cobbleventure:generation_1</t>
        </is>
      </c>
      <c r="M475" s="19" t="inlineStr">
        <is>
          <t>cobbleventure:generation_1</t>
        </is>
      </c>
      <c r="N475" s="18" t="inlineStr">
        <is>
          <t>region_01</t>
        </is>
      </c>
      <c r="O475" s="19" t="inlineStr"/>
      <c r="P475" s="18" t="inlineStr">
        <is>
          <t>#cobblemon:is_grassland</t>
        </is>
      </c>
      <c r="Q475" s="19" t="inlineStr"/>
      <c r="R475" s="18">
        <f>IF(Q475="",P475,Q475)</f>
        <v/>
      </c>
      <c r="S475" s="18" t="inlineStr">
        <is>
          <t>#cobblemon:is_hills</t>
        </is>
      </c>
      <c r="T475" s="18" t="inlineStr">
        <is>
          <t>common</t>
        </is>
      </c>
      <c r="U475" s="20" t="n">
        <v>2</v>
      </c>
      <c r="V475" s="21" t="n">
        <v>1</v>
      </c>
      <c r="W475" s="20">
        <f>IF(OR(U475="",V475=""),U475,U475*V475)</f>
        <v/>
      </c>
      <c r="X475" s="18" t="inlineStr">
        <is>
          <t>24-49</t>
        </is>
      </c>
      <c r="Y475" s="19" t="inlineStr"/>
      <c r="Z475" s="18">
        <f>IF(Y475="",X475,Y475)</f>
        <v/>
      </c>
      <c r="AA475" s="18" t="inlineStr">
        <is>
          <t>grounded</t>
        </is>
      </c>
      <c r="AB475" s="18" t="inlineStr"/>
      <c r="AC475" s="18" t="inlineStr"/>
      <c r="AD475" s="18" t="inlineStr"/>
      <c r="AE475" s="18" t="inlineStr">
        <is>
          <t>sky 8-15</t>
        </is>
      </c>
      <c r="AF475" s="18" t="inlineStr"/>
      <c r="AG475" s="18" t="inlineStr"/>
      <c r="AH475" s="18" t="inlineStr"/>
      <c r="AI475" s="18" t="inlineStr"/>
      <c r="AJ475" s="18" t="inlineStr">
        <is>
          <t>Cobblemon 동일</t>
        </is>
      </c>
      <c r="AK475" s="18" t="inlineStr">
        <is>
          <t>사용</t>
        </is>
      </c>
      <c r="AL475" s="18" t="inlineStr">
        <is>
          <t>COBBLEVERSE 1.7.42 / DP v31</t>
        </is>
      </c>
      <c r="AM475" s="18" t="inlineStr">
        <is>
          <t>data/cobblemon/spawn_pool_world/0128_tauros.json</t>
        </is>
      </c>
      <c r="AN475" s="18" t="inlineStr">
        <is>
          <t>tauros-1</t>
        </is>
      </c>
      <c r="AO475" s="18" t="inlineStr">
        <is>
          <t>pokemon</t>
        </is>
      </c>
      <c r="AP475" s="18" t="inlineStr">
        <is>
          <t>natural</t>
        </is>
      </c>
      <c r="AQ475" s="18" t="inlineStr">
        <is>
          <t>{"biomes":["#cobblemon:is_grassland"],"maxSkyLight":15,"minSkyLight":8}</t>
        </is>
      </c>
      <c r="AR475" s="18" t="inlineStr">
        <is>
          <t>{"biomes":["#cobblemon:is_hills"]}</t>
        </is>
      </c>
      <c r="AS475" s="18" t="inlineStr">
        <is>
          <t>{"weightMultiplier":{"condition":{"timeRange":"night"},"multiplier":0.25}}</t>
        </is>
      </c>
      <c r="AT475" s="19" t="inlineStr"/>
    </row>
    <row r="476" ht="32" customHeight="1">
      <c r="A476" s="18" t="inlineStr">
        <is>
          <t>0128_tauros.json::tauros-combat-2::002</t>
        </is>
      </c>
      <c r="B476" s="19" t="inlineStr">
        <is>
          <t>사용</t>
        </is>
      </c>
      <c r="C476" s="18">
        <f>IF(OR(B476&lt;&gt;AK476,M476&lt;&gt;L476,O476&lt;&gt;"",Q476&lt;&gt;"",V476&lt;&gt;1,Y476&lt;&gt;"",AT476&lt;&gt;""),"수정","원본")</f>
        <v/>
      </c>
      <c r="D476" s="18" t="n">
        <v>128</v>
      </c>
      <c r="E476" s="18" t="inlineStr">
        <is>
          <t>켄타로스</t>
        </is>
      </c>
      <c r="F476" s="18" t="inlineStr">
        <is>
          <t>tauros</t>
        </is>
      </c>
      <c r="G476" s="18" t="inlineStr">
        <is>
          <t>tauros paldean bull_breed=combat</t>
        </is>
      </c>
      <c r="H476" s="18" t="inlineStr">
        <is>
          <t>paldean bull_breed=combat</t>
        </is>
      </c>
      <c r="I476" s="18" t="n">
        <v>1</v>
      </c>
      <c r="J476" s="18" t="n">
        <v>9</v>
      </c>
      <c r="K476" s="18" t="n">
        <v>9</v>
      </c>
      <c r="L476" s="18" t="inlineStr">
        <is>
          <t>cobbleventure:generation_9</t>
        </is>
      </c>
      <c r="M476" s="19" t="inlineStr">
        <is>
          <t>cobbleventure:generation_9</t>
        </is>
      </c>
      <c r="N476" s="18" t="inlineStr"/>
      <c r="O476" s="19" t="inlineStr"/>
      <c r="P476" s="18" t="inlineStr">
        <is>
          <t>#cobblemon:is_highlands</t>
        </is>
      </c>
      <c r="Q476" s="19" t="inlineStr"/>
      <c r="R476" s="18">
        <f>IF(Q476="",P476,Q476)</f>
        <v/>
      </c>
      <c r="S476" s="18" t="inlineStr"/>
      <c r="T476" s="18" t="inlineStr">
        <is>
          <t>common</t>
        </is>
      </c>
      <c r="U476" s="20" t="n">
        <v>1.8</v>
      </c>
      <c r="V476" s="21" t="n">
        <v>1</v>
      </c>
      <c r="W476" s="20">
        <f>IF(OR(U476="",V476=""),U476,U476*V476)</f>
        <v/>
      </c>
      <c r="X476" s="18" t="inlineStr">
        <is>
          <t>24-49</t>
        </is>
      </c>
      <c r="Y476" s="19" t="inlineStr"/>
      <c r="Z476" s="18">
        <f>IF(Y476="",X476,Y476)</f>
        <v/>
      </c>
      <c r="AA476" s="18" t="inlineStr">
        <is>
          <t>grounded</t>
        </is>
      </c>
      <c r="AB476" s="18" t="inlineStr"/>
      <c r="AC476" s="18" t="inlineStr"/>
      <c r="AD476" s="18" t="inlineStr"/>
      <c r="AE476" s="18" t="inlineStr">
        <is>
          <t>sky 8-15</t>
        </is>
      </c>
      <c r="AF476" s="18" t="inlineStr"/>
      <c r="AG476" s="18" t="inlineStr"/>
      <c r="AH476" s="18" t="inlineStr"/>
      <c r="AI476" s="18" t="inlineStr"/>
      <c r="AJ476" s="18" t="inlineStr">
        <is>
          <t>Cobblemon 동일</t>
        </is>
      </c>
      <c r="AK476" s="18" t="inlineStr">
        <is>
          <t>사용</t>
        </is>
      </c>
      <c r="AL476" s="18" t="inlineStr">
        <is>
          <t>COBBLEVERSE 1.7.42 / DP v31</t>
        </is>
      </c>
      <c r="AM476" s="18" t="inlineStr">
        <is>
          <t>data/cobblemon/spawn_pool_world/0128_tauros.json</t>
        </is>
      </c>
      <c r="AN476" s="18" t="inlineStr">
        <is>
          <t>tauros-combat-2</t>
        </is>
      </c>
      <c r="AO476" s="18" t="inlineStr">
        <is>
          <t>pokemon</t>
        </is>
      </c>
      <c r="AP476" s="18" t="inlineStr">
        <is>
          <t>natural</t>
        </is>
      </c>
      <c r="AQ476" s="18" t="inlineStr">
        <is>
          <t>{"biomes":["#cobblemon:is_highlands"],"maxSkyLight":15,"minSkyLight":8}</t>
        </is>
      </c>
      <c r="AR476" s="18" t="inlineStr"/>
      <c r="AS476" s="18" t="inlineStr">
        <is>
          <t>{"weightMultiplier":{"condition":{"timeRange":"night"},"multiplier":0.25}}</t>
        </is>
      </c>
      <c r="AT476" s="19" t="inlineStr"/>
    </row>
    <row r="477" ht="32" customHeight="1">
      <c r="A477" s="18" t="inlineStr">
        <is>
          <t>0128_tauros.json::tauros-blaze-3::003</t>
        </is>
      </c>
      <c r="B477" s="19" t="inlineStr">
        <is>
          <t>사용</t>
        </is>
      </c>
      <c r="C477" s="18">
        <f>IF(OR(B477&lt;&gt;AK477,M477&lt;&gt;L477,O477&lt;&gt;"",Q477&lt;&gt;"",V477&lt;&gt;1,Y477&lt;&gt;"",AT477&lt;&gt;""),"수정","원본")</f>
        <v/>
      </c>
      <c r="D477" s="18" t="n">
        <v>128</v>
      </c>
      <c r="E477" s="18" t="inlineStr">
        <is>
          <t>켄타로스</t>
        </is>
      </c>
      <c r="F477" s="18" t="inlineStr">
        <is>
          <t>tauros</t>
        </is>
      </c>
      <c r="G477" s="18" t="inlineStr">
        <is>
          <t>tauros paldean bull_breed=blaze</t>
        </is>
      </c>
      <c r="H477" s="18" t="inlineStr">
        <is>
          <t>paldean bull_breed=blaze</t>
        </is>
      </c>
      <c r="I477" s="18" t="n">
        <v>1</v>
      </c>
      <c r="J477" s="18" t="n">
        <v>9</v>
      </c>
      <c r="K477" s="18" t="n">
        <v>9</v>
      </c>
      <c r="L477" s="18" t="inlineStr">
        <is>
          <t>cobbleventure:generation_9</t>
        </is>
      </c>
      <c r="M477" s="19" t="inlineStr">
        <is>
          <t>cobbleventure:generation_9</t>
        </is>
      </c>
      <c r="N477" s="18" t="inlineStr"/>
      <c r="O477" s="19" t="inlineStr"/>
      <c r="P477" s="18" t="inlineStr">
        <is>
          <t>#cobblemon:is_highlands</t>
        </is>
      </c>
      <c r="Q477" s="19" t="inlineStr"/>
      <c r="R477" s="18">
        <f>IF(Q477="",P477,Q477)</f>
        <v/>
      </c>
      <c r="S477" s="18" t="inlineStr"/>
      <c r="T477" s="18" t="inlineStr">
        <is>
          <t>common</t>
        </is>
      </c>
      <c r="U477" s="20" t="n">
        <v>0.1</v>
      </c>
      <c r="V477" s="21" t="n">
        <v>1</v>
      </c>
      <c r="W477" s="20">
        <f>IF(OR(U477="",V477=""),U477,U477*V477)</f>
        <v/>
      </c>
      <c r="X477" s="18" t="inlineStr">
        <is>
          <t>24-49</t>
        </is>
      </c>
      <c r="Y477" s="19" t="inlineStr"/>
      <c r="Z477" s="18">
        <f>IF(Y477="",X477,Y477)</f>
        <v/>
      </c>
      <c r="AA477" s="18" t="inlineStr">
        <is>
          <t>grounded</t>
        </is>
      </c>
      <c r="AB477" s="18" t="inlineStr"/>
      <c r="AC477" s="18" t="inlineStr"/>
      <c r="AD477" s="18" t="inlineStr"/>
      <c r="AE477" s="18" t="inlineStr">
        <is>
          <t>sky 8-15</t>
        </is>
      </c>
      <c r="AF477" s="18" t="inlineStr"/>
      <c r="AG477" s="18" t="inlineStr"/>
      <c r="AH477" s="18" t="inlineStr"/>
      <c r="AI477" s="18" t="inlineStr"/>
      <c r="AJ477" s="18" t="inlineStr">
        <is>
          <t>Cobblemon 동일</t>
        </is>
      </c>
      <c r="AK477" s="18" t="inlineStr">
        <is>
          <t>사용</t>
        </is>
      </c>
      <c r="AL477" s="18" t="inlineStr">
        <is>
          <t>COBBLEVERSE 1.7.42 / DP v31</t>
        </is>
      </c>
      <c r="AM477" s="18" t="inlineStr">
        <is>
          <t>data/cobblemon/spawn_pool_world/0128_tauros.json</t>
        </is>
      </c>
      <c r="AN477" s="18" t="inlineStr">
        <is>
          <t>tauros-blaze-3</t>
        </is>
      </c>
      <c r="AO477" s="18" t="inlineStr">
        <is>
          <t>pokemon</t>
        </is>
      </c>
      <c r="AP477" s="18" t="inlineStr">
        <is>
          <t>natural</t>
        </is>
      </c>
      <c r="AQ477" s="18" t="inlineStr">
        <is>
          <t>{"biomes":["#cobblemon:is_highlands"],"maxSkyLight":15,"minSkyLight":8}</t>
        </is>
      </c>
      <c r="AR477" s="18" t="inlineStr"/>
      <c r="AS477" s="18" t="inlineStr">
        <is>
          <t>{"weightMultipliers":[{"condition":{"timeRange":"night"},"multiplier":0.25},{"condition":{"neededNearbyBlocks":["#minecraft:lava"]},"multiplier":5.0}]}</t>
        </is>
      </c>
      <c r="AT477" s="19" t="inlineStr"/>
    </row>
    <row r="478" ht="32" customHeight="1">
      <c r="A478" s="18" t="inlineStr">
        <is>
          <t>0128_tauros.json::tauros-aqua-4::004</t>
        </is>
      </c>
      <c r="B478" s="19" t="inlineStr">
        <is>
          <t>사용</t>
        </is>
      </c>
      <c r="C478" s="18">
        <f>IF(OR(B478&lt;&gt;AK478,M478&lt;&gt;L478,O478&lt;&gt;"",Q478&lt;&gt;"",V478&lt;&gt;1,Y478&lt;&gt;"",AT478&lt;&gt;""),"수정","원본")</f>
        <v/>
      </c>
      <c r="D478" s="18" t="n">
        <v>128</v>
      </c>
      <c r="E478" s="18" t="inlineStr">
        <is>
          <t>켄타로스</t>
        </is>
      </c>
      <c r="F478" s="18" t="inlineStr">
        <is>
          <t>tauros</t>
        </is>
      </c>
      <c r="G478" s="18" t="inlineStr">
        <is>
          <t>tauros paldean bull_breed=aqua</t>
        </is>
      </c>
      <c r="H478" s="18" t="inlineStr">
        <is>
          <t>paldean bull_breed=aqua</t>
        </is>
      </c>
      <c r="I478" s="18" t="n">
        <v>1</v>
      </c>
      <c r="J478" s="18" t="n">
        <v>9</v>
      </c>
      <c r="K478" s="18" t="n">
        <v>9</v>
      </c>
      <c r="L478" s="18" t="inlineStr">
        <is>
          <t>cobbleventure:generation_9</t>
        </is>
      </c>
      <c r="M478" s="19" t="inlineStr">
        <is>
          <t>cobbleventure:generation_9</t>
        </is>
      </c>
      <c r="N478" s="18" t="inlineStr"/>
      <c r="O478" s="19" t="inlineStr"/>
      <c r="P478" s="18" t="inlineStr">
        <is>
          <t>#cobblemon:is_highlands</t>
        </is>
      </c>
      <c r="Q478" s="19" t="inlineStr"/>
      <c r="R478" s="18">
        <f>IF(Q478="",P478,Q478)</f>
        <v/>
      </c>
      <c r="S478" s="18" t="inlineStr"/>
      <c r="T478" s="18" t="inlineStr">
        <is>
          <t>common</t>
        </is>
      </c>
      <c r="U478" s="20" t="n">
        <v>0.1</v>
      </c>
      <c r="V478" s="21" t="n">
        <v>1</v>
      </c>
      <c r="W478" s="20">
        <f>IF(OR(U478="",V478=""),U478,U478*V478)</f>
        <v/>
      </c>
      <c r="X478" s="18" t="inlineStr">
        <is>
          <t>24-49</t>
        </is>
      </c>
      <c r="Y478" s="19" t="inlineStr"/>
      <c r="Z478" s="18">
        <f>IF(Y478="",X478,Y478)</f>
        <v/>
      </c>
      <c r="AA478" s="18" t="inlineStr">
        <is>
          <t>grounded</t>
        </is>
      </c>
      <c r="AB478" s="18" t="inlineStr"/>
      <c r="AC478" s="18" t="inlineStr"/>
      <c r="AD478" s="18" t="inlineStr"/>
      <c r="AE478" s="18" t="inlineStr">
        <is>
          <t>sky 8-15</t>
        </is>
      </c>
      <c r="AF478" s="18" t="inlineStr"/>
      <c r="AG478" s="18" t="inlineStr"/>
      <c r="AH478" s="18" t="inlineStr"/>
      <c r="AI478" s="18" t="inlineStr"/>
      <c r="AJ478" s="18" t="inlineStr">
        <is>
          <t>Cobblemon 동일</t>
        </is>
      </c>
      <c r="AK478" s="18" t="inlineStr">
        <is>
          <t>사용</t>
        </is>
      </c>
      <c r="AL478" s="18" t="inlineStr">
        <is>
          <t>COBBLEVERSE 1.7.42 / DP v31</t>
        </is>
      </c>
      <c r="AM478" s="18" t="inlineStr">
        <is>
          <t>data/cobblemon/spawn_pool_world/0128_tauros.json</t>
        </is>
      </c>
      <c r="AN478" s="18" t="inlineStr">
        <is>
          <t>tauros-aqua-4</t>
        </is>
      </c>
      <c r="AO478" s="18" t="inlineStr">
        <is>
          <t>pokemon</t>
        </is>
      </c>
      <c r="AP478" s="18" t="inlineStr">
        <is>
          <t>natural</t>
        </is>
      </c>
      <c r="AQ478" s="18" t="inlineStr">
        <is>
          <t>{"biomes":["#cobblemon:is_highlands"],"maxSkyLight":15,"minSkyLight":8}</t>
        </is>
      </c>
      <c r="AR478" s="18" t="inlineStr"/>
      <c r="AS478" s="18" t="inlineStr">
        <is>
          <t>{"weightMultipliers":[{"condition":{"timeRange":"night"},"multiplier":0.25},{"condition":{"neededNearbyBlocks":["#minecraft:water"]},"multiplier":5.0}]}</t>
        </is>
      </c>
      <c r="AT478" s="19" t="inlineStr"/>
    </row>
    <row r="479" ht="32" customHeight="1">
      <c r="A479" s="18" t="inlineStr">
        <is>
          <t>0129_magikarp.json::magikarp-1::001</t>
        </is>
      </c>
      <c r="B479" s="19" t="inlineStr">
        <is>
          <t>사용</t>
        </is>
      </c>
      <c r="C479" s="18">
        <f>IF(OR(B479&lt;&gt;AK479,M479&lt;&gt;L479,O479&lt;&gt;"",Q479&lt;&gt;"",V479&lt;&gt;1,Y479&lt;&gt;"",AT479&lt;&gt;""),"수정","원본")</f>
        <v/>
      </c>
      <c r="D479" s="18" t="n">
        <v>129</v>
      </c>
      <c r="E479" s="18" t="inlineStr">
        <is>
          <t>잉어킹</t>
        </is>
      </c>
      <c r="F479" s="18" t="inlineStr">
        <is>
          <t>magikarp</t>
        </is>
      </c>
      <c r="G479" s="18" t="inlineStr">
        <is>
          <t>magikarp</t>
        </is>
      </c>
      <c r="H479" s="18" t="inlineStr"/>
      <c r="I479" s="18" t="n">
        <v>1</v>
      </c>
      <c r="J479" s="18" t="n"/>
      <c r="K479" s="18" t="n">
        <v>1</v>
      </c>
      <c r="L479" s="18" t="inlineStr">
        <is>
          <t>cobbleventure:generation_1</t>
        </is>
      </c>
      <c r="M479" s="19" t="inlineStr">
        <is>
          <t>cobbleventure:generation_1</t>
        </is>
      </c>
      <c r="N479" s="18" t="inlineStr">
        <is>
          <t>region_02</t>
        </is>
      </c>
      <c r="O479" s="19" t="inlineStr"/>
      <c r="P479" s="18" t="inlineStr">
        <is>
          <t>#cobblemon:is_freshwater; #cobblemon:is_ocean</t>
        </is>
      </c>
      <c r="Q479" s="19" t="inlineStr"/>
      <c r="R479" s="18">
        <f>IF(Q479="",P479,Q479)</f>
        <v/>
      </c>
      <c r="S479" s="18" t="inlineStr"/>
      <c r="T479" s="18" t="inlineStr">
        <is>
          <t>common</t>
        </is>
      </c>
      <c r="U479" s="20" t="n">
        <v>6.9</v>
      </c>
      <c r="V479" s="21" t="n">
        <v>1</v>
      </c>
      <c r="W479" s="20">
        <f>IF(OR(U479="",V479=""),U479,U479*V479)</f>
        <v/>
      </c>
      <c r="X479" s="18" t="inlineStr">
        <is>
          <t>1-20</t>
        </is>
      </c>
      <c r="Y479" s="19" t="inlineStr"/>
      <c r="Z479" s="18">
        <f>IF(Y479="",X479,Y479)</f>
        <v/>
      </c>
      <c r="AA479" s="18" t="inlineStr">
        <is>
          <t>submerged</t>
        </is>
      </c>
      <c r="AB479" s="18" t="inlineStr"/>
      <c r="AC479" s="18" t="inlineStr"/>
      <c r="AD479" s="18" t="inlineStr"/>
      <c r="AE479" s="18" t="inlineStr"/>
      <c r="AF479" s="18" t="inlineStr">
        <is>
          <t>True</t>
        </is>
      </c>
      <c r="AG479" s="18" t="inlineStr"/>
      <c r="AH479" s="18" t="inlineStr"/>
      <c r="AI479" s="18" t="inlineStr"/>
      <c r="AJ479" s="18" t="inlineStr">
        <is>
          <t>COBBLEVERSE 수정</t>
        </is>
      </c>
      <c r="AK479" s="18" t="inlineStr">
        <is>
          <t>사용</t>
        </is>
      </c>
      <c r="AL479" s="18" t="inlineStr">
        <is>
          <t>COBBLEVERSE 1.7.42 / DP v31</t>
        </is>
      </c>
      <c r="AM479" s="18" t="inlineStr">
        <is>
          <t>data/cobblemon/spawn_pool_world/0129_magikarp.json</t>
        </is>
      </c>
      <c r="AN479" s="18" t="inlineStr">
        <is>
          <t>magikarp-1</t>
        </is>
      </c>
      <c r="AO479" s="18" t="inlineStr">
        <is>
          <t>pokemon</t>
        </is>
      </c>
      <c r="AP479" s="18" t="inlineStr">
        <is>
          <t>water</t>
        </is>
      </c>
      <c r="AQ479" s="18" t="inlineStr">
        <is>
          <t>{"biomes":["#cobblemon:is_freshwater","#cobblemon:is_ocean"],"canSeeSky":true}</t>
        </is>
      </c>
      <c r="AR479" s="18" t="inlineStr"/>
      <c r="AS479" s="18" t="inlineStr"/>
      <c r="AT479" s="19" t="inlineStr"/>
    </row>
    <row r="480" ht="32" customHeight="1">
      <c r="A480" s="18" t="inlineStr">
        <is>
          <t>0129_magikarp.json::magikarp-2::002</t>
        </is>
      </c>
      <c r="B480" s="19" t="inlineStr">
        <is>
          <t>사용</t>
        </is>
      </c>
      <c r="C480" s="18">
        <f>IF(OR(B480&lt;&gt;AK480,M480&lt;&gt;L480,O480&lt;&gt;"",Q480&lt;&gt;"",V480&lt;&gt;1,Y480&lt;&gt;"",AT480&lt;&gt;""),"수정","원본")</f>
        <v/>
      </c>
      <c r="D480" s="18" t="n">
        <v>129</v>
      </c>
      <c r="E480" s="18" t="inlineStr">
        <is>
          <t>잉어킹</t>
        </is>
      </c>
      <c r="F480" s="18" t="inlineStr">
        <is>
          <t>magikarp</t>
        </is>
      </c>
      <c r="G480" s="18" t="inlineStr">
        <is>
          <t>magikarp</t>
        </is>
      </c>
      <c r="H480" s="18" t="inlineStr"/>
      <c r="I480" s="18" t="n">
        <v>1</v>
      </c>
      <c r="J480" s="18" t="n"/>
      <c r="K480" s="18" t="n">
        <v>1</v>
      </c>
      <c r="L480" s="18" t="inlineStr">
        <is>
          <t>cobbleventure:generation_1</t>
        </is>
      </c>
      <c r="M480" s="19" t="inlineStr">
        <is>
          <t>cobbleventure:generation_1</t>
        </is>
      </c>
      <c r="N480" s="18" t="inlineStr">
        <is>
          <t>region_02</t>
        </is>
      </c>
      <c r="O480" s="19" t="inlineStr"/>
      <c r="P480" s="18" t="inlineStr">
        <is>
          <t>#cobblemon:is_freshwater; #cobblemon:is_ocean</t>
        </is>
      </c>
      <c r="Q480" s="19" t="inlineStr"/>
      <c r="R480" s="18">
        <f>IF(Q480="",P480,Q480)</f>
        <v/>
      </c>
      <c r="S480" s="18" t="inlineStr"/>
      <c r="T480" s="18" t="inlineStr">
        <is>
          <t>uncommon</t>
        </is>
      </c>
      <c r="U480" s="20" t="n">
        <v>1.84</v>
      </c>
      <c r="V480" s="21" t="n">
        <v>1</v>
      </c>
      <c r="W480" s="20">
        <f>IF(OR(U480="",V480=""),U480,U480*V480)</f>
        <v/>
      </c>
      <c r="X480" s="18" t="inlineStr">
        <is>
          <t>1-20</t>
        </is>
      </c>
      <c r="Y480" s="19" t="inlineStr"/>
      <c r="Z480" s="18">
        <f>IF(Y480="",X480,Y480)</f>
        <v/>
      </c>
      <c r="AA480" s="18" t="inlineStr">
        <is>
          <t>surface</t>
        </is>
      </c>
      <c r="AB480" s="18" t="inlineStr"/>
      <c r="AC480" s="18" t="inlineStr"/>
      <c r="AD480" s="18" t="inlineStr"/>
      <c r="AE480" s="18" t="inlineStr">
        <is>
          <t>sky 8-15</t>
        </is>
      </c>
      <c r="AF480" s="18" t="inlineStr"/>
      <c r="AG480" s="18" t="inlineStr"/>
      <c r="AH480" s="18" t="inlineStr"/>
      <c r="AI480" s="18" t="inlineStr"/>
      <c r="AJ480" s="18" t="inlineStr">
        <is>
          <t>COBBLEVERSE 수정</t>
        </is>
      </c>
      <c r="AK480" s="18" t="inlineStr">
        <is>
          <t>사용</t>
        </is>
      </c>
      <c r="AL480" s="18" t="inlineStr">
        <is>
          <t>COBBLEVERSE 1.7.42 / DP v31</t>
        </is>
      </c>
      <c r="AM480" s="18" t="inlineStr">
        <is>
          <t>data/cobblemon/spawn_pool_world/0129_magikarp.json</t>
        </is>
      </c>
      <c r="AN480" s="18" t="inlineStr">
        <is>
          <t>magikarp-2</t>
        </is>
      </c>
      <c r="AO480" s="18" t="inlineStr">
        <is>
          <t>pokemon</t>
        </is>
      </c>
      <c r="AP480" s="18" t="inlineStr">
        <is>
          <t>water</t>
        </is>
      </c>
      <c r="AQ480" s="18" t="inlineStr">
        <is>
          <t>{"biomes":["#cobblemon:is_freshwater","#cobblemon:is_ocean"],"maxSkyLight":15,"minSkyLight":8}</t>
        </is>
      </c>
      <c r="AR480" s="18" t="inlineStr"/>
      <c r="AS480" s="18" t="inlineStr"/>
      <c r="AT480" s="19" t="inlineStr"/>
    </row>
    <row r="481" ht="32" customHeight="1">
      <c r="A481" s="18" t="inlineStr">
        <is>
          <t>0129_magikarp.json::magikarp-3::003</t>
        </is>
      </c>
      <c r="B481" s="19" t="inlineStr">
        <is>
          <t>사용</t>
        </is>
      </c>
      <c r="C481" s="18">
        <f>IF(OR(B481&lt;&gt;AK481,M481&lt;&gt;L481,O481&lt;&gt;"",Q481&lt;&gt;"",V481&lt;&gt;1,Y481&lt;&gt;"",AT481&lt;&gt;""),"수정","원본")</f>
        <v/>
      </c>
      <c r="D481" s="18" t="n">
        <v>129</v>
      </c>
      <c r="E481" s="18" t="inlineStr">
        <is>
          <t>잉어킹</t>
        </is>
      </c>
      <c r="F481" s="18" t="inlineStr">
        <is>
          <t>magikarp</t>
        </is>
      </c>
      <c r="G481" s="18" t="inlineStr">
        <is>
          <t>magikarp</t>
        </is>
      </c>
      <c r="H481" s="18" t="inlineStr"/>
      <c r="I481" s="18" t="n">
        <v>1</v>
      </c>
      <c r="J481" s="18" t="n"/>
      <c r="K481" s="18" t="n">
        <v>1</v>
      </c>
      <c r="L481" s="18" t="inlineStr">
        <is>
          <t>cobbleventure:generation_1</t>
        </is>
      </c>
      <c r="M481" s="19" t="inlineStr">
        <is>
          <t>cobbleventure:generation_1</t>
        </is>
      </c>
      <c r="N481" s="18" t="inlineStr">
        <is>
          <t>region_01; region_02</t>
        </is>
      </c>
      <c r="O481" s="19" t="inlineStr"/>
      <c r="P481" s="18" t="inlineStr">
        <is>
          <t>#aether:is_aether; #cobblemon:is_overworld</t>
        </is>
      </c>
      <c r="Q481" s="19" t="inlineStr"/>
      <c r="R481" s="18">
        <f>IF(Q481="",P481,Q481)</f>
        <v/>
      </c>
      <c r="S481" s="18" t="inlineStr"/>
      <c r="T481" s="18" t="inlineStr">
        <is>
          <t>common</t>
        </is>
      </c>
      <c r="U481" s="20" t="n">
        <v>9</v>
      </c>
      <c r="V481" s="21" t="n">
        <v>1</v>
      </c>
      <c r="W481" s="20">
        <f>IF(OR(U481="",V481=""),U481,U481*V481)</f>
        <v/>
      </c>
      <c r="X481" s="18" t="inlineStr">
        <is>
          <t>1-20</t>
        </is>
      </c>
      <c r="Y481" s="19" t="inlineStr"/>
      <c r="Z481" s="18">
        <f>IF(Y481="",X481,Y481)</f>
        <v/>
      </c>
      <c r="AA481" s="18" t="inlineStr">
        <is>
          <t>fishing</t>
        </is>
      </c>
      <c r="AB481" s="18" t="inlineStr"/>
      <c r="AC481" s="18" t="inlineStr"/>
      <c r="AD481" s="18" t="inlineStr"/>
      <c r="AE481" s="18" t="inlineStr"/>
      <c r="AF481" s="18" t="inlineStr">
        <is>
          <t>True</t>
        </is>
      </c>
      <c r="AG481" s="18" t="inlineStr"/>
      <c r="AH481" s="18" t="inlineStr"/>
      <c r="AI481" s="18" t="inlineStr"/>
      <c r="AJ481" s="18" t="inlineStr">
        <is>
          <t>COBBLEVERSE 수정</t>
        </is>
      </c>
      <c r="AK481" s="18" t="inlineStr">
        <is>
          <t>사용</t>
        </is>
      </c>
      <c r="AL481" s="18" t="inlineStr">
        <is>
          <t>COBBLEVERSE 1.7.42 / DP v31</t>
        </is>
      </c>
      <c r="AM481" s="18" t="inlineStr">
        <is>
          <t>data/cobblemon/spawn_pool_world/0129_magikarp.json</t>
        </is>
      </c>
      <c r="AN481" s="18" t="inlineStr">
        <is>
          <t>magikarp-3</t>
        </is>
      </c>
      <c r="AO481" s="18" t="inlineStr">
        <is>
          <t>pokemon</t>
        </is>
      </c>
      <c r="AP481" s="18" t="inlineStr"/>
      <c r="AQ481" s="18" t="inlineStr">
        <is>
          <t>{"biomes":["#aether:is_aether","#cobblemon:is_overworld"],"canSeeSky":true}</t>
        </is>
      </c>
      <c r="AR481" s="18" t="inlineStr"/>
      <c r="AS481" s="18" t="inlineStr"/>
      <c r="AT481" s="19" t="inlineStr"/>
    </row>
    <row r="482" ht="32" customHeight="1">
      <c r="A482" s="18" t="inlineStr">
        <is>
          <t>0129_magikarp.json::magikarp-4::004</t>
        </is>
      </c>
      <c r="B482" s="19" t="inlineStr">
        <is>
          <t>사용</t>
        </is>
      </c>
      <c r="C482" s="18">
        <f>IF(OR(B482&lt;&gt;AK482,M482&lt;&gt;L482,O482&lt;&gt;"",Q482&lt;&gt;"",V482&lt;&gt;1,Y482&lt;&gt;"",AT482&lt;&gt;""),"수정","원본")</f>
        <v/>
      </c>
      <c r="D482" s="18" t="n">
        <v>129</v>
      </c>
      <c r="E482" s="18" t="inlineStr">
        <is>
          <t>잉어킹</t>
        </is>
      </c>
      <c r="F482" s="18" t="inlineStr">
        <is>
          <t>magikarp</t>
        </is>
      </c>
      <c r="G482" s="18" t="inlineStr">
        <is>
          <t>magikarp</t>
        </is>
      </c>
      <c r="H482" s="18" t="inlineStr"/>
      <c r="I482" s="18" t="n">
        <v>1</v>
      </c>
      <c r="J482" s="18" t="n"/>
      <c r="K482" s="18" t="n">
        <v>1</v>
      </c>
      <c r="L482" s="18" t="inlineStr">
        <is>
          <t>cobbleventure:generation_1</t>
        </is>
      </c>
      <c r="M482" s="19" t="inlineStr">
        <is>
          <t>cobbleventure:generation_1</t>
        </is>
      </c>
      <c r="N482" s="18" t="inlineStr">
        <is>
          <t>region_02</t>
        </is>
      </c>
      <c r="O482" s="19" t="inlineStr"/>
      <c r="P482" s="18" t="inlineStr">
        <is>
          <t>#cobblemon:is_freshwater; #cobblemon:is_ocean</t>
        </is>
      </c>
      <c r="Q482" s="19" t="inlineStr"/>
      <c r="R482" s="18">
        <f>IF(Q482="",P482,Q482)</f>
        <v/>
      </c>
      <c r="S482" s="18" t="inlineStr"/>
      <c r="T482" s="18" t="inlineStr">
        <is>
          <t>common</t>
        </is>
      </c>
      <c r="U482" s="20" t="n">
        <v>7.9</v>
      </c>
      <c r="V482" s="21" t="n">
        <v>1</v>
      </c>
      <c r="W482" s="20">
        <f>IF(OR(U482="",V482=""),U482,U482*V482)</f>
        <v/>
      </c>
      <c r="X482" s="18" t="inlineStr">
        <is>
          <t>1-20</t>
        </is>
      </c>
      <c r="Y482" s="19" t="inlineStr"/>
      <c r="Z482" s="18">
        <f>IF(Y482="",X482,Y482)</f>
        <v/>
      </c>
      <c r="AA482" s="18" t="inlineStr">
        <is>
          <t>submerged</t>
        </is>
      </c>
      <c r="AB482" s="18" t="inlineStr"/>
      <c r="AC482" s="18" t="inlineStr"/>
      <c r="AD482" s="18" t="inlineStr"/>
      <c r="AE482" s="18" t="inlineStr">
        <is>
          <t>sky 8-15</t>
        </is>
      </c>
      <c r="AF482" s="18" t="inlineStr">
        <is>
          <t>False</t>
        </is>
      </c>
      <c r="AG482" s="18" t="inlineStr"/>
      <c r="AH482" s="18" t="inlineStr"/>
      <c r="AI482" s="18" t="inlineStr"/>
      <c r="AJ482" s="18" t="inlineStr">
        <is>
          <t>COBBLEVERSE 수정</t>
        </is>
      </c>
      <c r="AK482" s="18" t="inlineStr">
        <is>
          <t>사용</t>
        </is>
      </c>
      <c r="AL482" s="18" t="inlineStr">
        <is>
          <t>COBBLEVERSE 1.7.42 / DP v31</t>
        </is>
      </c>
      <c r="AM482" s="18" t="inlineStr">
        <is>
          <t>data/cobblemon/spawn_pool_world/0129_magikarp.json</t>
        </is>
      </c>
      <c r="AN482" s="18" t="inlineStr">
        <is>
          <t>magikarp-4</t>
        </is>
      </c>
      <c r="AO482" s="18" t="inlineStr">
        <is>
          <t>pokemon</t>
        </is>
      </c>
      <c r="AP482" s="18" t="inlineStr">
        <is>
          <t>water</t>
        </is>
      </c>
      <c r="AQ482" s="18" t="inlineStr">
        <is>
          <t>{"biomes":["#cobblemon:is_freshwater","#cobblemon:is_ocean"],"canSeeSky":false,"maxSkyLight":15,"minSkyLight":8}</t>
        </is>
      </c>
      <c r="AR482" s="18" t="inlineStr"/>
      <c r="AS482" s="18" t="inlineStr"/>
      <c r="AT482" s="19" t="inlineStr"/>
    </row>
    <row r="483" ht="32" customHeight="1">
      <c r="A483" s="18" t="inlineStr">
        <is>
          <t>0129_magikarp.json::magikarp-5::005</t>
        </is>
      </c>
      <c r="B483" s="19" t="inlineStr">
        <is>
          <t>사용</t>
        </is>
      </c>
      <c r="C483" s="18">
        <f>IF(OR(B483&lt;&gt;AK483,M483&lt;&gt;L483,O483&lt;&gt;"",Q483&lt;&gt;"",V483&lt;&gt;1,Y483&lt;&gt;"",AT483&lt;&gt;""),"수정","원본")</f>
        <v/>
      </c>
      <c r="D483" s="18" t="n">
        <v>129</v>
      </c>
      <c r="E483" s="18" t="inlineStr">
        <is>
          <t>잉어킹</t>
        </is>
      </c>
      <c r="F483" s="18" t="inlineStr">
        <is>
          <t>magikarp</t>
        </is>
      </c>
      <c r="G483" s="18" t="inlineStr">
        <is>
          <t>magikarp</t>
        </is>
      </c>
      <c r="H483" s="18" t="inlineStr"/>
      <c r="I483" s="18" t="n">
        <v>1</v>
      </c>
      <c r="J483" s="18" t="n"/>
      <c r="K483" s="18" t="n">
        <v>1</v>
      </c>
      <c r="L483" s="18" t="inlineStr">
        <is>
          <t>cobbleventure:generation_1</t>
        </is>
      </c>
      <c r="M483" s="19" t="inlineStr">
        <is>
          <t>cobbleventure:generation_1</t>
        </is>
      </c>
      <c r="N483" s="18" t="inlineStr">
        <is>
          <t>region_01; region_02</t>
        </is>
      </c>
      <c r="O483" s="19" t="inlineStr"/>
      <c r="P483" s="18" t="inlineStr">
        <is>
          <t>#aether:is_aether; #cobblemon:is_overworld</t>
        </is>
      </c>
      <c r="Q483" s="19" t="inlineStr"/>
      <c r="R483" s="18">
        <f>IF(Q483="",P483,Q483)</f>
        <v/>
      </c>
      <c r="S483" s="18" t="inlineStr"/>
      <c r="T483" s="18" t="inlineStr">
        <is>
          <t>common</t>
        </is>
      </c>
      <c r="U483" s="20" t="n">
        <v>9</v>
      </c>
      <c r="V483" s="21" t="n">
        <v>1</v>
      </c>
      <c r="W483" s="20">
        <f>IF(OR(U483="",V483=""),U483,U483*V483)</f>
        <v/>
      </c>
      <c r="X483" s="18" t="inlineStr">
        <is>
          <t>1-20</t>
        </is>
      </c>
      <c r="Y483" s="19" t="inlineStr"/>
      <c r="Z483" s="18">
        <f>IF(Y483="",X483,Y483)</f>
        <v/>
      </c>
      <c r="AA483" s="18" t="inlineStr">
        <is>
          <t>fishing</t>
        </is>
      </c>
      <c r="AB483" s="18" t="inlineStr"/>
      <c r="AC483" s="18" t="inlineStr"/>
      <c r="AD483" s="18" t="inlineStr"/>
      <c r="AE483" s="18" t="inlineStr">
        <is>
          <t>sky 8-15</t>
        </is>
      </c>
      <c r="AF483" s="18" t="inlineStr">
        <is>
          <t>False</t>
        </is>
      </c>
      <c r="AG483" s="18" t="inlineStr"/>
      <c r="AH483" s="18" t="inlineStr"/>
      <c r="AI483" s="18" t="inlineStr"/>
      <c r="AJ483" s="18" t="inlineStr">
        <is>
          <t>COBBLEVERSE 수정</t>
        </is>
      </c>
      <c r="AK483" s="18" t="inlineStr">
        <is>
          <t>사용</t>
        </is>
      </c>
      <c r="AL483" s="18" t="inlineStr">
        <is>
          <t>COBBLEVERSE 1.7.42 / DP v31</t>
        </is>
      </c>
      <c r="AM483" s="18" t="inlineStr">
        <is>
          <t>data/cobblemon/spawn_pool_world/0129_magikarp.json</t>
        </is>
      </c>
      <c r="AN483" s="18" t="inlineStr">
        <is>
          <t>magikarp-5</t>
        </is>
      </c>
      <c r="AO483" s="18" t="inlineStr">
        <is>
          <t>pokemon</t>
        </is>
      </c>
      <c r="AP483" s="18" t="inlineStr"/>
      <c r="AQ483" s="18" t="inlineStr">
        <is>
          <t>{"biomes":["#aether:is_aether","#cobblemon:is_overworld"],"canSeeSky":false,"maxSkyLight":15,"minSkyLight":8}</t>
        </is>
      </c>
      <c r="AR483" s="18" t="inlineStr"/>
      <c r="AS483" s="18" t="inlineStr"/>
      <c r="AT483" s="19" t="inlineStr"/>
    </row>
    <row r="484" ht="32" customHeight="1">
      <c r="A484" s="18" t="inlineStr">
        <is>
          <t>0129_magikarp.json::magikarp-skelly-6::006</t>
        </is>
      </c>
      <c r="B484" s="19" t="inlineStr">
        <is>
          <t>사용</t>
        </is>
      </c>
      <c r="C484" s="18">
        <f>IF(OR(B484&lt;&gt;AK484,M484&lt;&gt;L484,O484&lt;&gt;"",Q484&lt;&gt;"",V484&lt;&gt;1,Y484&lt;&gt;"",AT484&lt;&gt;""),"수정","원본")</f>
        <v/>
      </c>
      <c r="D484" s="18" t="n">
        <v>129</v>
      </c>
      <c r="E484" s="18" t="inlineStr">
        <is>
          <t>잉어킹</t>
        </is>
      </c>
      <c r="F484" s="18" t="inlineStr">
        <is>
          <t>magikarp</t>
        </is>
      </c>
      <c r="G484" s="18" t="inlineStr">
        <is>
          <t>magikarp magikarp_jump=skelly</t>
        </is>
      </c>
      <c r="H484" s="18" t="inlineStr">
        <is>
          <t>magikarp_jump=skelly</t>
        </is>
      </c>
      <c r="I484" s="18" t="n">
        <v>1</v>
      </c>
      <c r="J484" s="18" t="n"/>
      <c r="K484" s="18" t="n">
        <v>1</v>
      </c>
      <c r="L484" s="18" t="inlineStr">
        <is>
          <t>cobbleventure:generation_1</t>
        </is>
      </c>
      <c r="M484" s="19" t="inlineStr">
        <is>
          <t>cobbleventure:generation_1</t>
        </is>
      </c>
      <c r="N484" s="18" t="inlineStr">
        <is>
          <t>region_01; region_02</t>
        </is>
      </c>
      <c r="O484" s="19" t="inlineStr"/>
      <c r="P484" s="18" t="inlineStr">
        <is>
          <t>#aether:is_aether; #cobblemon:is_overworld</t>
        </is>
      </c>
      <c r="Q484" s="19" t="inlineStr"/>
      <c r="R484" s="18">
        <f>IF(Q484="",P484,Q484)</f>
        <v/>
      </c>
      <c r="S484" s="18" t="inlineStr"/>
      <c r="T484" s="18" t="inlineStr">
        <is>
          <t>uncommon</t>
        </is>
      </c>
      <c r="U484" s="20" t="n">
        <v>2</v>
      </c>
      <c r="V484" s="21" t="n">
        <v>1</v>
      </c>
      <c r="W484" s="20">
        <f>IF(OR(U484="",V484=""),U484,U484*V484)</f>
        <v/>
      </c>
      <c r="X484" s="18" t="inlineStr">
        <is>
          <t>1-20</t>
        </is>
      </c>
      <c r="Y484" s="19" t="inlineStr"/>
      <c r="Z484" s="18">
        <f>IF(Y484="",X484,Y484)</f>
        <v/>
      </c>
      <c r="AA484" s="18" t="inlineStr">
        <is>
          <t>fishing</t>
        </is>
      </c>
      <c r="AB484" s="18" t="inlineStr"/>
      <c r="AC484" s="18" t="inlineStr"/>
      <c r="AD484" s="18" t="inlineStr"/>
      <c r="AE484" s="18" t="inlineStr"/>
      <c r="AF484" s="18" t="inlineStr">
        <is>
          <t>True</t>
        </is>
      </c>
      <c r="AG484" s="18" t="inlineStr"/>
      <c r="AH484" s="18" t="inlineStr"/>
      <c r="AI484" s="18" t="inlineStr">
        <is>
          <t>{"fishing":{"minLureLevel":1}}</t>
        </is>
      </c>
      <c r="AJ484" s="18" t="inlineStr">
        <is>
          <t>COBBLEVERSE 수정</t>
        </is>
      </c>
      <c r="AK484" s="18" t="inlineStr">
        <is>
          <t>사용</t>
        </is>
      </c>
      <c r="AL484" s="18" t="inlineStr">
        <is>
          <t>COBBLEVERSE 1.7.42 / DP v31</t>
        </is>
      </c>
      <c r="AM484" s="18" t="inlineStr">
        <is>
          <t>data/cobblemon/spawn_pool_world/0129_magikarp.json</t>
        </is>
      </c>
      <c r="AN484" s="18" t="inlineStr">
        <is>
          <t>magikarp-skelly-6</t>
        </is>
      </c>
      <c r="AO484" s="18" t="inlineStr">
        <is>
          <t>pokemon</t>
        </is>
      </c>
      <c r="AP484" s="18" t="inlineStr"/>
      <c r="AQ484" s="18" t="inlineStr">
        <is>
          <t>{"biomes":["#aether:is_aether","#cobblemon:is_overworld"],"canSeeSky":true,"minLureLevel":1}</t>
        </is>
      </c>
      <c r="AR484" s="18" t="inlineStr"/>
      <c r="AS484" s="18" t="inlineStr">
        <is>
          <t>{"weightMultiplier":{"condition":{"biomes":["#cobblemon:is_spooky"]},"multiplier":5.0}}</t>
        </is>
      </c>
      <c r="AT484" s="19" t="inlineStr"/>
    </row>
    <row r="485" ht="32" customHeight="1">
      <c r="A485" s="18" t="inlineStr">
        <is>
          <t>0129_magikarp.json::magikarp-skelly-7::007</t>
        </is>
      </c>
      <c r="B485" s="19" t="inlineStr">
        <is>
          <t>사용</t>
        </is>
      </c>
      <c r="C485" s="18">
        <f>IF(OR(B485&lt;&gt;AK485,M485&lt;&gt;L485,O485&lt;&gt;"",Q485&lt;&gt;"",V485&lt;&gt;1,Y485&lt;&gt;"",AT485&lt;&gt;""),"수정","원본")</f>
        <v/>
      </c>
      <c r="D485" s="18" t="n">
        <v>129</v>
      </c>
      <c r="E485" s="18" t="inlineStr">
        <is>
          <t>잉어킹</t>
        </is>
      </c>
      <c r="F485" s="18" t="inlineStr">
        <is>
          <t>magikarp</t>
        </is>
      </c>
      <c r="G485" s="18" t="inlineStr">
        <is>
          <t>magikarp magikarp_jump=skelly</t>
        </is>
      </c>
      <c r="H485" s="18" t="inlineStr">
        <is>
          <t>magikarp_jump=skelly</t>
        </is>
      </c>
      <c r="I485" s="18" t="n">
        <v>1</v>
      </c>
      <c r="J485" s="18" t="n"/>
      <c r="K485" s="18" t="n">
        <v>1</v>
      </c>
      <c r="L485" s="18" t="inlineStr">
        <is>
          <t>cobbleventure:generation_1</t>
        </is>
      </c>
      <c r="M485" s="19" t="inlineStr">
        <is>
          <t>cobbleventure:generation_1</t>
        </is>
      </c>
      <c r="N485" s="18" t="inlineStr">
        <is>
          <t>region_01; region_02</t>
        </is>
      </c>
      <c r="O485" s="19" t="inlineStr"/>
      <c r="P485" s="18" t="inlineStr">
        <is>
          <t>#aether:is_aether; #cobblemon:is_overworld</t>
        </is>
      </c>
      <c r="Q485" s="19" t="inlineStr"/>
      <c r="R485" s="18">
        <f>IF(Q485="",P485,Q485)</f>
        <v/>
      </c>
      <c r="S485" s="18" t="inlineStr"/>
      <c r="T485" s="18" t="inlineStr">
        <is>
          <t>uncommon</t>
        </is>
      </c>
      <c r="U485" s="20" t="n">
        <v>6</v>
      </c>
      <c r="V485" s="21" t="n">
        <v>1</v>
      </c>
      <c r="W485" s="20">
        <f>IF(OR(U485="",V485=""),U485,U485*V485)</f>
        <v/>
      </c>
      <c r="X485" s="18" t="inlineStr">
        <is>
          <t>1-20</t>
        </is>
      </c>
      <c r="Y485" s="19" t="inlineStr"/>
      <c r="Z485" s="18">
        <f>IF(Y485="",X485,Y485)</f>
        <v/>
      </c>
      <c r="AA485" s="18" t="inlineStr">
        <is>
          <t>fishing</t>
        </is>
      </c>
      <c r="AB485" s="18" t="inlineStr"/>
      <c r="AC485" s="18" t="inlineStr"/>
      <c r="AD485" s="18" t="inlineStr"/>
      <c r="AE485" s="18" t="inlineStr">
        <is>
          <t>sky 0-7</t>
        </is>
      </c>
      <c r="AF485" s="18" t="inlineStr"/>
      <c r="AG485" s="18" t="inlineStr"/>
      <c r="AH485" s="18" t="inlineStr"/>
      <c r="AI485" s="18" t="inlineStr">
        <is>
          <t>{"fishing":{"minLureLevel":1}}</t>
        </is>
      </c>
      <c r="AJ485" s="18" t="inlineStr">
        <is>
          <t>COBBLEVERSE 수정</t>
        </is>
      </c>
      <c r="AK485" s="18" t="inlineStr">
        <is>
          <t>사용</t>
        </is>
      </c>
      <c r="AL485" s="18" t="inlineStr">
        <is>
          <t>COBBLEVERSE 1.7.42 / DP v31</t>
        </is>
      </c>
      <c r="AM485" s="18" t="inlineStr">
        <is>
          <t>data/cobblemon/spawn_pool_world/0129_magikarp.json</t>
        </is>
      </c>
      <c r="AN485" s="18" t="inlineStr">
        <is>
          <t>magikarp-skelly-7</t>
        </is>
      </c>
      <c r="AO485" s="18" t="inlineStr">
        <is>
          <t>pokemon</t>
        </is>
      </c>
      <c r="AP485" s="18" t="inlineStr"/>
      <c r="AQ485" s="18" t="inlineStr">
        <is>
          <t>{"biomes":["#aether:is_aether","#cobblemon:is_overworld"],"maxSkyLight":7,"minLureLevel":1,"minSkyLight":0}</t>
        </is>
      </c>
      <c r="AR485" s="18" t="inlineStr"/>
      <c r="AS485" s="18" t="inlineStr"/>
      <c r="AT485" s="19" t="inlineStr"/>
    </row>
    <row r="486" ht="32" customHeight="1">
      <c r="A486" s="18" t="inlineStr">
        <is>
          <t>0129_magikarp.json::magikarp-skelly-8::008</t>
        </is>
      </c>
      <c r="B486" s="19" t="inlineStr">
        <is>
          <t>사용</t>
        </is>
      </c>
      <c r="C486" s="18">
        <f>IF(OR(B486&lt;&gt;AK486,M486&lt;&gt;L486,O486&lt;&gt;"",Q486&lt;&gt;"",V486&lt;&gt;1,Y486&lt;&gt;"",AT486&lt;&gt;""),"수정","원본")</f>
        <v/>
      </c>
      <c r="D486" s="18" t="n">
        <v>129</v>
      </c>
      <c r="E486" s="18" t="inlineStr">
        <is>
          <t>잉어킹</t>
        </is>
      </c>
      <c r="F486" s="18" t="inlineStr">
        <is>
          <t>magikarp</t>
        </is>
      </c>
      <c r="G486" s="18" t="inlineStr">
        <is>
          <t>magikarp magikarp_jump=skelly</t>
        </is>
      </c>
      <c r="H486" s="18" t="inlineStr">
        <is>
          <t>magikarp_jump=skelly</t>
        </is>
      </c>
      <c r="I486" s="18" t="n">
        <v>1</v>
      </c>
      <c r="J486" s="18" t="n"/>
      <c r="K486" s="18" t="n">
        <v>1</v>
      </c>
      <c r="L486" s="18" t="inlineStr">
        <is>
          <t>cobbleventure:generation_1</t>
        </is>
      </c>
      <c r="M486" s="19" t="inlineStr">
        <is>
          <t>cobbleventure:generation_1</t>
        </is>
      </c>
      <c r="N486" s="18" t="inlineStr">
        <is>
          <t>region_01; region_02</t>
        </is>
      </c>
      <c r="O486" s="19" t="inlineStr"/>
      <c r="P486" s="18" t="inlineStr">
        <is>
          <t>#aether:is_aether; #cobblemon:is_overworld</t>
        </is>
      </c>
      <c r="Q486" s="19" t="inlineStr"/>
      <c r="R486" s="18">
        <f>IF(Q486="",P486,Q486)</f>
        <v/>
      </c>
      <c r="S486" s="18" t="inlineStr"/>
      <c r="T486" s="18" t="inlineStr">
        <is>
          <t>uncommon</t>
        </is>
      </c>
      <c r="U486" s="20" t="n">
        <v>2</v>
      </c>
      <c r="V486" s="21" t="n">
        <v>1</v>
      </c>
      <c r="W486" s="20">
        <f>IF(OR(U486="",V486=""),U486,U486*V486)</f>
        <v/>
      </c>
      <c r="X486" s="18" t="inlineStr">
        <is>
          <t>1-20</t>
        </is>
      </c>
      <c r="Y486" s="19" t="inlineStr"/>
      <c r="Z486" s="18">
        <f>IF(Y486="",X486,Y486)</f>
        <v/>
      </c>
      <c r="AA486" s="18" t="inlineStr">
        <is>
          <t>fishing</t>
        </is>
      </c>
      <c r="AB486" s="18" t="inlineStr"/>
      <c r="AC486" s="18" t="inlineStr"/>
      <c r="AD486" s="18" t="inlineStr"/>
      <c r="AE486" s="18" t="inlineStr">
        <is>
          <t>sky 8-15</t>
        </is>
      </c>
      <c r="AF486" s="18" t="inlineStr">
        <is>
          <t>False</t>
        </is>
      </c>
      <c r="AG486" s="18" t="inlineStr"/>
      <c r="AH486" s="18" t="inlineStr"/>
      <c r="AI486" s="18" t="inlineStr">
        <is>
          <t>{"fishing":{"minLureLevel":1}}</t>
        </is>
      </c>
      <c r="AJ486" s="18" t="inlineStr">
        <is>
          <t>COBBLEVERSE 수정</t>
        </is>
      </c>
      <c r="AK486" s="18" t="inlineStr">
        <is>
          <t>사용</t>
        </is>
      </c>
      <c r="AL486" s="18" t="inlineStr">
        <is>
          <t>COBBLEVERSE 1.7.42 / DP v31</t>
        </is>
      </c>
      <c r="AM486" s="18" t="inlineStr">
        <is>
          <t>data/cobblemon/spawn_pool_world/0129_magikarp.json</t>
        </is>
      </c>
      <c r="AN486" s="18" t="inlineStr">
        <is>
          <t>magikarp-skelly-8</t>
        </is>
      </c>
      <c r="AO486" s="18" t="inlineStr">
        <is>
          <t>pokemon</t>
        </is>
      </c>
      <c r="AP486" s="18" t="inlineStr"/>
      <c r="AQ486" s="18" t="inlineStr">
        <is>
          <t>{"biomes":["#aether:is_aether","#cobblemon:is_overworld"],"canSeeSky":false,"maxSkyLight":15,"minLureLevel":1,"minSkyLight":8}</t>
        </is>
      </c>
      <c r="AR486" s="18" t="inlineStr"/>
      <c r="AS486" s="18" t="inlineStr">
        <is>
          <t>{"weightMultiplier":{"condition":{"biomes":["#cobblemon:is_spooky"]},"multiplier":5.0}}</t>
        </is>
      </c>
      <c r="AT486" s="19" t="inlineStr"/>
    </row>
    <row r="487" ht="32" customHeight="1">
      <c r="A487" s="18" t="inlineStr">
        <is>
          <t>0129_magikarp.json::magikarp-calico-orange-white-9::009</t>
        </is>
      </c>
      <c r="B487" s="19" t="inlineStr">
        <is>
          <t>사용</t>
        </is>
      </c>
      <c r="C487" s="18">
        <f>IF(OR(B487&lt;&gt;AK487,M487&lt;&gt;L487,O487&lt;&gt;"",Q487&lt;&gt;"",V487&lt;&gt;1,Y487&lt;&gt;"",AT487&lt;&gt;""),"수정","원본")</f>
        <v/>
      </c>
      <c r="D487" s="18" t="n">
        <v>129</v>
      </c>
      <c r="E487" s="18" t="inlineStr">
        <is>
          <t>잉어킹</t>
        </is>
      </c>
      <c r="F487" s="18" t="inlineStr">
        <is>
          <t>magikarp</t>
        </is>
      </c>
      <c r="G487" s="18" t="inlineStr">
        <is>
          <t>magikarp magikarp_jump=calico-orange-white</t>
        </is>
      </c>
      <c r="H487" s="18" t="inlineStr">
        <is>
          <t>magikarp_jump=calico-orange-white</t>
        </is>
      </c>
      <c r="I487" s="18" t="n">
        <v>1</v>
      </c>
      <c r="J487" s="18" t="n"/>
      <c r="K487" s="18" t="n">
        <v>1</v>
      </c>
      <c r="L487" s="18" t="inlineStr">
        <is>
          <t>cobbleventure:generation_1</t>
        </is>
      </c>
      <c r="M487" s="19" t="inlineStr">
        <is>
          <t>cobbleventure:generation_1</t>
        </is>
      </c>
      <c r="N487" s="18" t="inlineStr">
        <is>
          <t>region_01; region_02</t>
        </is>
      </c>
      <c r="O487" s="19" t="inlineStr"/>
      <c r="P487" s="18" t="inlineStr">
        <is>
          <t>#aether:is_aether; #cobblemon:is_overworld</t>
        </is>
      </c>
      <c r="Q487" s="19" t="inlineStr"/>
      <c r="R487" s="18">
        <f>IF(Q487="",P487,Q487)</f>
        <v/>
      </c>
      <c r="S487" s="18" t="inlineStr"/>
      <c r="T487" s="18" t="inlineStr">
        <is>
          <t>uncommon</t>
        </is>
      </c>
      <c r="U487" s="20" t="n">
        <v>2</v>
      </c>
      <c r="V487" s="21" t="n">
        <v>1</v>
      </c>
      <c r="W487" s="20">
        <f>IF(OR(U487="",V487=""),U487,U487*V487)</f>
        <v/>
      </c>
      <c r="X487" s="18" t="inlineStr">
        <is>
          <t>1-20</t>
        </is>
      </c>
      <c r="Y487" s="19" t="inlineStr"/>
      <c r="Z487" s="18">
        <f>IF(Y487="",X487,Y487)</f>
        <v/>
      </c>
      <c r="AA487" s="18" t="inlineStr">
        <is>
          <t>fishing</t>
        </is>
      </c>
      <c r="AB487" s="18" t="inlineStr"/>
      <c r="AC487" s="18" t="inlineStr"/>
      <c r="AD487" s="18" t="inlineStr"/>
      <c r="AE487" s="18" t="inlineStr"/>
      <c r="AF487" s="18" t="inlineStr"/>
      <c r="AG487" s="18" t="inlineStr"/>
      <c r="AH487" s="18" t="inlineStr"/>
      <c r="AI487" s="18" t="inlineStr">
        <is>
          <t>{"fishing":{"minLureLevel":1}}</t>
        </is>
      </c>
      <c r="AJ487" s="18" t="inlineStr">
        <is>
          <t>COBBLEVERSE 수정</t>
        </is>
      </c>
      <c r="AK487" s="18" t="inlineStr">
        <is>
          <t>사용</t>
        </is>
      </c>
      <c r="AL487" s="18" t="inlineStr">
        <is>
          <t>COBBLEVERSE 1.7.42 / DP v31</t>
        </is>
      </c>
      <c r="AM487" s="18" t="inlineStr">
        <is>
          <t>data/cobblemon/spawn_pool_world/0129_magikarp.json</t>
        </is>
      </c>
      <c r="AN487" s="18" t="inlineStr">
        <is>
          <t>magikarp-calico-orange-white-9</t>
        </is>
      </c>
      <c r="AO487" s="18" t="inlineStr">
        <is>
          <t>pokemon</t>
        </is>
      </c>
      <c r="AP487" s="18" t="inlineStr"/>
      <c r="AQ487" s="18" t="inlineStr">
        <is>
          <t>{"biomes":["#aether:is_aether","#cobblemon:is_overworld"],"minLureLevel":1}</t>
        </is>
      </c>
      <c r="AR487" s="18" t="inlineStr"/>
      <c r="AS487" s="18" t="inlineStr">
        <is>
          <t>{"weightMultipliers":[{"condition":{"biomes":["#cobblemon:is_floral","#cobblemon:is_mountain","#cobblemon:is_freshwater"]},"multiplier":3.0},{"condition":{"biomes":["#cobblemon:is_temperate"]},"multiplier":5.0}]}</t>
        </is>
      </c>
      <c r="AT487" s="19" t="inlineStr"/>
    </row>
    <row r="488" ht="32" customHeight="1">
      <c r="A488" s="18" t="inlineStr">
        <is>
          <t>0129_magikarp.json::magikarp-calico-orange-white-black-9::010</t>
        </is>
      </c>
      <c r="B488" s="19" t="inlineStr">
        <is>
          <t>사용</t>
        </is>
      </c>
      <c r="C488" s="18">
        <f>IF(OR(B488&lt;&gt;AK488,M488&lt;&gt;L488,O488&lt;&gt;"",Q488&lt;&gt;"",V488&lt;&gt;1,Y488&lt;&gt;"",AT488&lt;&gt;""),"수정","원본")</f>
        <v/>
      </c>
      <c r="D488" s="18" t="n">
        <v>129</v>
      </c>
      <c r="E488" s="18" t="inlineStr">
        <is>
          <t>잉어킹</t>
        </is>
      </c>
      <c r="F488" s="18" t="inlineStr">
        <is>
          <t>magikarp</t>
        </is>
      </c>
      <c r="G488" s="18" t="inlineStr">
        <is>
          <t>magikarp magikarp_jump=calico-orange-white-black</t>
        </is>
      </c>
      <c r="H488" s="18" t="inlineStr">
        <is>
          <t>magikarp_jump=calico-orange-white-black</t>
        </is>
      </c>
      <c r="I488" s="18" t="n">
        <v>1</v>
      </c>
      <c r="J488" s="18" t="n"/>
      <c r="K488" s="18" t="n">
        <v>1</v>
      </c>
      <c r="L488" s="18" t="inlineStr">
        <is>
          <t>cobbleventure:generation_1</t>
        </is>
      </c>
      <c r="M488" s="19" t="inlineStr">
        <is>
          <t>cobbleventure:generation_1</t>
        </is>
      </c>
      <c r="N488" s="18" t="inlineStr">
        <is>
          <t>region_01; region_02</t>
        </is>
      </c>
      <c r="O488" s="19" t="inlineStr"/>
      <c r="P488" s="18" t="inlineStr">
        <is>
          <t>#aether:is_aether; #cobblemon:is_overworld</t>
        </is>
      </c>
      <c r="Q488" s="19" t="inlineStr"/>
      <c r="R488" s="18">
        <f>IF(Q488="",P488,Q488)</f>
        <v/>
      </c>
      <c r="S488" s="18" t="inlineStr"/>
      <c r="T488" s="18" t="inlineStr">
        <is>
          <t>uncommon</t>
        </is>
      </c>
      <c r="U488" s="20" t="n">
        <v>2</v>
      </c>
      <c r="V488" s="21" t="n">
        <v>1</v>
      </c>
      <c r="W488" s="20">
        <f>IF(OR(U488="",V488=""),U488,U488*V488)</f>
        <v/>
      </c>
      <c r="X488" s="18" t="inlineStr">
        <is>
          <t>1-20</t>
        </is>
      </c>
      <c r="Y488" s="19" t="inlineStr"/>
      <c r="Z488" s="18">
        <f>IF(Y488="",X488,Y488)</f>
        <v/>
      </c>
      <c r="AA488" s="18" t="inlineStr">
        <is>
          <t>fishing</t>
        </is>
      </c>
      <c r="AB488" s="18" t="inlineStr"/>
      <c r="AC488" s="18" t="inlineStr"/>
      <c r="AD488" s="18" t="inlineStr"/>
      <c r="AE488" s="18" t="inlineStr"/>
      <c r="AF488" s="18" t="inlineStr"/>
      <c r="AG488" s="18" t="inlineStr"/>
      <c r="AH488" s="18" t="inlineStr"/>
      <c r="AI488" s="18" t="inlineStr">
        <is>
          <t>{"fishing":{"minLureLevel":1}}</t>
        </is>
      </c>
      <c r="AJ488" s="18" t="inlineStr">
        <is>
          <t>COBBLEVERSE 수정</t>
        </is>
      </c>
      <c r="AK488" s="18" t="inlineStr">
        <is>
          <t>사용</t>
        </is>
      </c>
      <c r="AL488" s="18" t="inlineStr">
        <is>
          <t>COBBLEVERSE 1.7.42 / DP v31</t>
        </is>
      </c>
      <c r="AM488" s="18" t="inlineStr">
        <is>
          <t>data/cobblemon/spawn_pool_world/0129_magikarp.json</t>
        </is>
      </c>
      <c r="AN488" s="18" t="inlineStr">
        <is>
          <t>magikarp-calico-orange-white-black-9</t>
        </is>
      </c>
      <c r="AO488" s="18" t="inlineStr">
        <is>
          <t>pokemon</t>
        </is>
      </c>
      <c r="AP488" s="18" t="inlineStr"/>
      <c r="AQ488" s="18" t="inlineStr">
        <is>
          <t>{"biomes":["#aether:is_aether","#cobblemon:is_overworld"],"minLureLevel":1}</t>
        </is>
      </c>
      <c r="AR488" s="18" t="inlineStr"/>
      <c r="AS488" s="18" t="inlineStr">
        <is>
          <t>{"weightMultipliers":[{"condition":{"biomes":["#cobblemon:is_floral","#cobblemon:is_mountain","#cobblemon:is_freshwater"]},"multiplier":3.0},{"condition":{"biomes":["#cobblemon:is_temperate"]},"multiplier":5.0}]}</t>
        </is>
      </c>
      <c r="AT488" s="19" t="inlineStr"/>
    </row>
    <row r="489" ht="32" customHeight="1">
      <c r="A489" s="18" t="inlineStr">
        <is>
          <t>0129_magikarp.json::magikarp-calico-white-orange-9::011</t>
        </is>
      </c>
      <c r="B489" s="19" t="inlineStr">
        <is>
          <t>사용</t>
        </is>
      </c>
      <c r="C489" s="18">
        <f>IF(OR(B489&lt;&gt;AK489,M489&lt;&gt;L489,O489&lt;&gt;"",Q489&lt;&gt;"",V489&lt;&gt;1,Y489&lt;&gt;"",AT489&lt;&gt;""),"수정","원본")</f>
        <v/>
      </c>
      <c r="D489" s="18" t="n">
        <v>129</v>
      </c>
      <c r="E489" s="18" t="inlineStr">
        <is>
          <t>잉어킹</t>
        </is>
      </c>
      <c r="F489" s="18" t="inlineStr">
        <is>
          <t>magikarp</t>
        </is>
      </c>
      <c r="G489" s="18" t="inlineStr">
        <is>
          <t>magikarp magikarp_jump=calico-white-orange</t>
        </is>
      </c>
      <c r="H489" s="18" t="inlineStr">
        <is>
          <t>magikarp_jump=calico-white-orange</t>
        </is>
      </c>
      <c r="I489" s="18" t="n">
        <v>1</v>
      </c>
      <c r="J489" s="18" t="n"/>
      <c r="K489" s="18" t="n">
        <v>1</v>
      </c>
      <c r="L489" s="18" t="inlineStr">
        <is>
          <t>cobbleventure:generation_1</t>
        </is>
      </c>
      <c r="M489" s="19" t="inlineStr">
        <is>
          <t>cobbleventure:generation_1</t>
        </is>
      </c>
      <c r="N489" s="18" t="inlineStr">
        <is>
          <t>region_01; region_02</t>
        </is>
      </c>
      <c r="O489" s="19" t="inlineStr"/>
      <c r="P489" s="18" t="inlineStr">
        <is>
          <t>#aether:is_aether; #cobblemon:is_overworld</t>
        </is>
      </c>
      <c r="Q489" s="19" t="inlineStr"/>
      <c r="R489" s="18">
        <f>IF(Q489="",P489,Q489)</f>
        <v/>
      </c>
      <c r="S489" s="18" t="inlineStr"/>
      <c r="T489" s="18" t="inlineStr">
        <is>
          <t>uncommon</t>
        </is>
      </c>
      <c r="U489" s="20" t="n">
        <v>2</v>
      </c>
      <c r="V489" s="21" t="n">
        <v>1</v>
      </c>
      <c r="W489" s="20">
        <f>IF(OR(U489="",V489=""),U489,U489*V489)</f>
        <v/>
      </c>
      <c r="X489" s="18" t="inlineStr">
        <is>
          <t>1-20</t>
        </is>
      </c>
      <c r="Y489" s="19" t="inlineStr"/>
      <c r="Z489" s="18">
        <f>IF(Y489="",X489,Y489)</f>
        <v/>
      </c>
      <c r="AA489" s="18" t="inlineStr">
        <is>
          <t>fishing</t>
        </is>
      </c>
      <c r="AB489" s="18" t="inlineStr"/>
      <c r="AC489" s="18" t="inlineStr"/>
      <c r="AD489" s="18" t="inlineStr"/>
      <c r="AE489" s="18" t="inlineStr"/>
      <c r="AF489" s="18" t="inlineStr"/>
      <c r="AG489" s="18" t="inlineStr"/>
      <c r="AH489" s="18" t="inlineStr"/>
      <c r="AI489" s="18" t="inlineStr">
        <is>
          <t>{"fishing":{"minLureLevel":1}}</t>
        </is>
      </c>
      <c r="AJ489" s="18" t="inlineStr">
        <is>
          <t>COBBLEVERSE 수정</t>
        </is>
      </c>
      <c r="AK489" s="18" t="inlineStr">
        <is>
          <t>사용</t>
        </is>
      </c>
      <c r="AL489" s="18" t="inlineStr">
        <is>
          <t>COBBLEVERSE 1.7.42 / DP v31</t>
        </is>
      </c>
      <c r="AM489" s="18" t="inlineStr">
        <is>
          <t>data/cobblemon/spawn_pool_world/0129_magikarp.json</t>
        </is>
      </c>
      <c r="AN489" s="18" t="inlineStr">
        <is>
          <t>magikarp-calico-white-orange-9</t>
        </is>
      </c>
      <c r="AO489" s="18" t="inlineStr">
        <is>
          <t>pokemon</t>
        </is>
      </c>
      <c r="AP489" s="18" t="inlineStr"/>
      <c r="AQ489" s="18" t="inlineStr">
        <is>
          <t>{"biomes":["#aether:is_aether","#cobblemon:is_overworld"],"minLureLevel":1}</t>
        </is>
      </c>
      <c r="AR489" s="18" t="inlineStr"/>
      <c r="AS489" s="18" t="inlineStr">
        <is>
          <t>{"weightMultipliers":[{"condition":{"biomes":["#cobblemon:is_floral","#cobblemon:is_mountain","#cobblemon:is_freshwater"]},"multiplier":3.0},{"condition":{"biomes":["#cobblemon:is_temperate"]},"multiplier":5.0}]}</t>
        </is>
      </c>
      <c r="AT489" s="19" t="inlineStr"/>
    </row>
    <row r="490" ht="32" customHeight="1">
      <c r="A490" s="18" t="inlineStr">
        <is>
          <t>0129_magikarp.json::magikarp-calico-orange-gold-10::012</t>
        </is>
      </c>
      <c r="B490" s="19" t="inlineStr">
        <is>
          <t>사용</t>
        </is>
      </c>
      <c r="C490" s="18">
        <f>IF(OR(B490&lt;&gt;AK490,M490&lt;&gt;L490,O490&lt;&gt;"",Q490&lt;&gt;"",V490&lt;&gt;1,Y490&lt;&gt;"",AT490&lt;&gt;""),"수정","원본")</f>
        <v/>
      </c>
      <c r="D490" s="18" t="n">
        <v>129</v>
      </c>
      <c r="E490" s="18" t="inlineStr">
        <is>
          <t>잉어킹</t>
        </is>
      </c>
      <c r="F490" s="18" t="inlineStr">
        <is>
          <t>magikarp</t>
        </is>
      </c>
      <c r="G490" s="18" t="inlineStr">
        <is>
          <t>magikarp magikarp_jump=calico-orange-gold</t>
        </is>
      </c>
      <c r="H490" s="18" t="inlineStr">
        <is>
          <t>magikarp_jump=calico-orange-gold</t>
        </is>
      </c>
      <c r="I490" s="18" t="n">
        <v>1</v>
      </c>
      <c r="J490" s="18" t="n"/>
      <c r="K490" s="18" t="n">
        <v>1</v>
      </c>
      <c r="L490" s="18" t="inlineStr">
        <is>
          <t>cobbleventure:generation_1</t>
        </is>
      </c>
      <c r="M490" s="19" t="inlineStr">
        <is>
          <t>cobbleventure:generation_1</t>
        </is>
      </c>
      <c r="N490" s="18" t="inlineStr">
        <is>
          <t>region_01; region_02</t>
        </is>
      </c>
      <c r="O490" s="19" t="inlineStr"/>
      <c r="P490" s="18" t="inlineStr">
        <is>
          <t>#aether:is_aether; #cobblemon:is_overworld</t>
        </is>
      </c>
      <c r="Q490" s="19" t="inlineStr"/>
      <c r="R490" s="18">
        <f>IF(Q490="",P490,Q490)</f>
        <v/>
      </c>
      <c r="S490" s="18" t="inlineStr"/>
      <c r="T490" s="18" t="inlineStr">
        <is>
          <t>uncommon</t>
        </is>
      </c>
      <c r="U490" s="20" t="n">
        <v>2</v>
      </c>
      <c r="V490" s="21" t="n">
        <v>1</v>
      </c>
      <c r="W490" s="20">
        <f>IF(OR(U490="",V490=""),U490,U490*V490)</f>
        <v/>
      </c>
      <c r="X490" s="18" t="inlineStr">
        <is>
          <t>1-20</t>
        </is>
      </c>
      <c r="Y490" s="19" t="inlineStr"/>
      <c r="Z490" s="18">
        <f>IF(Y490="",X490,Y490)</f>
        <v/>
      </c>
      <c r="AA490" s="18" t="inlineStr">
        <is>
          <t>fishing</t>
        </is>
      </c>
      <c r="AB490" s="18" t="inlineStr"/>
      <c r="AC490" s="18" t="inlineStr"/>
      <c r="AD490" s="18" t="inlineStr"/>
      <c r="AE490" s="18" t="inlineStr"/>
      <c r="AF490" s="18" t="inlineStr"/>
      <c r="AG490" s="18" t="inlineStr"/>
      <c r="AH490" s="18" t="inlineStr"/>
      <c r="AI490" s="18" t="inlineStr">
        <is>
          <t>{"fishing":{"minLureLevel":1}}</t>
        </is>
      </c>
      <c r="AJ490" s="18" t="inlineStr">
        <is>
          <t>COBBLEVERSE 수정</t>
        </is>
      </c>
      <c r="AK490" s="18" t="inlineStr">
        <is>
          <t>사용</t>
        </is>
      </c>
      <c r="AL490" s="18" t="inlineStr">
        <is>
          <t>COBBLEVERSE 1.7.42 / DP v31</t>
        </is>
      </c>
      <c r="AM490" s="18" t="inlineStr">
        <is>
          <t>data/cobblemon/spawn_pool_world/0129_magikarp.json</t>
        </is>
      </c>
      <c r="AN490" s="18" t="inlineStr">
        <is>
          <t>magikarp-calico-orange-gold-10</t>
        </is>
      </c>
      <c r="AO490" s="18" t="inlineStr">
        <is>
          <t>pokemon</t>
        </is>
      </c>
      <c r="AP490" s="18" t="inlineStr"/>
      <c r="AQ490" s="18" t="inlineStr">
        <is>
          <t>{"biomes":["#aether:is_aether","#cobblemon:is_overworld"],"minLureLevel":1}</t>
        </is>
      </c>
      <c r="AR490" s="18" t="inlineStr"/>
      <c r="AS490" s="18" t="inlineStr">
        <is>
          <t>{"weightMultipliers":[{"condition":{"biomes":["#cobblemon:is_badlands"]},"multiplier":3.0},{"condition":{"biomes":["#cobblemon:is_island"]},"multiplier":5.0}]}</t>
        </is>
      </c>
      <c r="AT490" s="19" t="inlineStr"/>
    </row>
    <row r="491" ht="32" customHeight="1">
      <c r="A491" s="18" t="inlineStr">
        <is>
          <t>0129_magikarp.json::magikarp-orange-two-tone-11::013</t>
        </is>
      </c>
      <c r="B491" s="19" t="inlineStr">
        <is>
          <t>사용</t>
        </is>
      </c>
      <c r="C491" s="18">
        <f>IF(OR(B491&lt;&gt;AK491,M491&lt;&gt;L491,O491&lt;&gt;"",Q491&lt;&gt;"",V491&lt;&gt;1,Y491&lt;&gt;"",AT491&lt;&gt;""),"수정","원본")</f>
        <v/>
      </c>
      <c r="D491" s="18" t="n">
        <v>129</v>
      </c>
      <c r="E491" s="18" t="inlineStr">
        <is>
          <t>잉어킹</t>
        </is>
      </c>
      <c r="F491" s="18" t="inlineStr">
        <is>
          <t>magikarp</t>
        </is>
      </c>
      <c r="G491" s="18" t="inlineStr">
        <is>
          <t>magikarp magikarp_jump=orange-two-tone</t>
        </is>
      </c>
      <c r="H491" s="18" t="inlineStr">
        <is>
          <t>magikarp_jump=orange-two-tone</t>
        </is>
      </c>
      <c r="I491" s="18" t="n">
        <v>1</v>
      </c>
      <c r="J491" s="18" t="n"/>
      <c r="K491" s="18" t="n">
        <v>1</v>
      </c>
      <c r="L491" s="18" t="inlineStr">
        <is>
          <t>cobbleventure:generation_1</t>
        </is>
      </c>
      <c r="M491" s="19" t="inlineStr">
        <is>
          <t>cobbleventure:generation_1</t>
        </is>
      </c>
      <c r="N491" s="18" t="inlineStr">
        <is>
          <t>region_01; region_02</t>
        </is>
      </c>
      <c r="O491" s="19" t="inlineStr"/>
      <c r="P491" s="18" t="inlineStr">
        <is>
          <t>#aether:is_aether; #cobblemon:is_overworld</t>
        </is>
      </c>
      <c r="Q491" s="19" t="inlineStr"/>
      <c r="R491" s="18">
        <f>IF(Q491="",P491,Q491)</f>
        <v/>
      </c>
      <c r="S491" s="18" t="inlineStr"/>
      <c r="T491" s="18" t="inlineStr">
        <is>
          <t>uncommon</t>
        </is>
      </c>
      <c r="U491" s="20" t="n">
        <v>2</v>
      </c>
      <c r="V491" s="21" t="n">
        <v>1</v>
      </c>
      <c r="W491" s="20">
        <f>IF(OR(U491="",V491=""),U491,U491*V491)</f>
        <v/>
      </c>
      <c r="X491" s="18" t="inlineStr">
        <is>
          <t>1-20</t>
        </is>
      </c>
      <c r="Y491" s="19" t="inlineStr"/>
      <c r="Z491" s="18">
        <f>IF(Y491="",X491,Y491)</f>
        <v/>
      </c>
      <c r="AA491" s="18" t="inlineStr">
        <is>
          <t>fishing</t>
        </is>
      </c>
      <c r="AB491" s="18" t="inlineStr"/>
      <c r="AC491" s="18" t="inlineStr"/>
      <c r="AD491" s="18" t="inlineStr"/>
      <c r="AE491" s="18" t="inlineStr"/>
      <c r="AF491" s="18" t="inlineStr"/>
      <c r="AG491" s="18" t="inlineStr"/>
      <c r="AH491" s="18" t="inlineStr"/>
      <c r="AI491" s="18" t="inlineStr">
        <is>
          <t>{"fishing":{"minLureLevel":1}}</t>
        </is>
      </c>
      <c r="AJ491" s="18" t="inlineStr">
        <is>
          <t>COBBLEVERSE 수정</t>
        </is>
      </c>
      <c r="AK491" s="18" t="inlineStr">
        <is>
          <t>사용</t>
        </is>
      </c>
      <c r="AL491" s="18" t="inlineStr">
        <is>
          <t>COBBLEVERSE 1.7.42 / DP v31</t>
        </is>
      </c>
      <c r="AM491" s="18" t="inlineStr">
        <is>
          <t>data/cobblemon/spawn_pool_world/0129_magikarp.json</t>
        </is>
      </c>
      <c r="AN491" s="18" t="inlineStr">
        <is>
          <t>magikarp-orange-two-tone-11</t>
        </is>
      </c>
      <c r="AO491" s="18" t="inlineStr">
        <is>
          <t>pokemon</t>
        </is>
      </c>
      <c r="AP491" s="18" t="inlineStr"/>
      <c r="AQ491" s="18" t="inlineStr">
        <is>
          <t>{"biomes":["#aether:is_aether","#cobblemon:is_overworld"],"minLureLevel":1}</t>
        </is>
      </c>
      <c r="AR491" s="18" t="inlineStr"/>
      <c r="AS491" s="18" t="inlineStr">
        <is>
          <t>{"weightMultipliers":[{"condition":{"biomes":["#cobblemon:is_badlands","#cobblemon:is_forest","#cobblemon:is_island","#cobblemon:is_savanna"]},"multiplier":3.0},{"condition":{"biomes":["#cobblemon:is_ocean","#cobblemon:is_river"]},"multiplier":5.0}]}</t>
        </is>
      </c>
      <c r="AT491" s="19" t="inlineStr"/>
    </row>
    <row r="492" ht="32" customHeight="1">
      <c r="A492" s="18" t="inlineStr">
        <is>
          <t>0129_magikarp.json::magikarp-orange-orca-11::014</t>
        </is>
      </c>
      <c r="B492" s="19" t="inlineStr">
        <is>
          <t>사용</t>
        </is>
      </c>
      <c r="C492" s="18">
        <f>IF(OR(B492&lt;&gt;AK492,M492&lt;&gt;L492,O492&lt;&gt;"",Q492&lt;&gt;"",V492&lt;&gt;1,Y492&lt;&gt;"",AT492&lt;&gt;""),"수정","원본")</f>
        <v/>
      </c>
      <c r="D492" s="18" t="n">
        <v>129</v>
      </c>
      <c r="E492" s="18" t="inlineStr">
        <is>
          <t>잉어킹</t>
        </is>
      </c>
      <c r="F492" s="18" t="inlineStr">
        <is>
          <t>magikarp</t>
        </is>
      </c>
      <c r="G492" s="18" t="inlineStr">
        <is>
          <t>magikarp magikarp_jump=orange-orca</t>
        </is>
      </c>
      <c r="H492" s="18" t="inlineStr">
        <is>
          <t>magikarp_jump=orange-orca</t>
        </is>
      </c>
      <c r="I492" s="18" t="n">
        <v>1</v>
      </c>
      <c r="J492" s="18" t="n"/>
      <c r="K492" s="18" t="n">
        <v>1</v>
      </c>
      <c r="L492" s="18" t="inlineStr">
        <is>
          <t>cobbleventure:generation_1</t>
        </is>
      </c>
      <c r="M492" s="19" t="inlineStr">
        <is>
          <t>cobbleventure:generation_1</t>
        </is>
      </c>
      <c r="N492" s="18" t="inlineStr">
        <is>
          <t>region_01; region_02</t>
        </is>
      </c>
      <c r="O492" s="19" t="inlineStr"/>
      <c r="P492" s="18" t="inlineStr">
        <is>
          <t>#aether:is_aether; #cobblemon:is_overworld</t>
        </is>
      </c>
      <c r="Q492" s="19" t="inlineStr"/>
      <c r="R492" s="18">
        <f>IF(Q492="",P492,Q492)</f>
        <v/>
      </c>
      <c r="S492" s="18" t="inlineStr"/>
      <c r="T492" s="18" t="inlineStr">
        <is>
          <t>uncommon</t>
        </is>
      </c>
      <c r="U492" s="20" t="n">
        <v>2</v>
      </c>
      <c r="V492" s="21" t="n">
        <v>1</v>
      </c>
      <c r="W492" s="20">
        <f>IF(OR(U492="",V492=""),U492,U492*V492)</f>
        <v/>
      </c>
      <c r="X492" s="18" t="inlineStr">
        <is>
          <t>1-20</t>
        </is>
      </c>
      <c r="Y492" s="19" t="inlineStr"/>
      <c r="Z492" s="18">
        <f>IF(Y492="",X492,Y492)</f>
        <v/>
      </c>
      <c r="AA492" s="18" t="inlineStr">
        <is>
          <t>fishing</t>
        </is>
      </c>
      <c r="AB492" s="18" t="inlineStr"/>
      <c r="AC492" s="18" t="inlineStr"/>
      <c r="AD492" s="18" t="inlineStr"/>
      <c r="AE492" s="18" t="inlineStr"/>
      <c r="AF492" s="18" t="inlineStr"/>
      <c r="AG492" s="18" t="inlineStr"/>
      <c r="AH492" s="18" t="inlineStr"/>
      <c r="AI492" s="18" t="inlineStr">
        <is>
          <t>{"fishing":{"minLureLevel":1}}</t>
        </is>
      </c>
      <c r="AJ492" s="18" t="inlineStr">
        <is>
          <t>COBBLEVERSE 수정</t>
        </is>
      </c>
      <c r="AK492" s="18" t="inlineStr">
        <is>
          <t>사용</t>
        </is>
      </c>
      <c r="AL492" s="18" t="inlineStr">
        <is>
          <t>COBBLEVERSE 1.7.42 / DP v31</t>
        </is>
      </c>
      <c r="AM492" s="18" t="inlineStr">
        <is>
          <t>data/cobblemon/spawn_pool_world/0129_magikarp.json</t>
        </is>
      </c>
      <c r="AN492" s="18" t="inlineStr">
        <is>
          <t>magikarp-orange-orca-11</t>
        </is>
      </c>
      <c r="AO492" s="18" t="inlineStr">
        <is>
          <t>pokemon</t>
        </is>
      </c>
      <c r="AP492" s="18" t="inlineStr"/>
      <c r="AQ492" s="18" t="inlineStr">
        <is>
          <t>{"biomes":["#aether:is_aether","#cobblemon:is_overworld"],"minLureLevel":1}</t>
        </is>
      </c>
      <c r="AR492" s="18" t="inlineStr"/>
      <c r="AS492" s="18" t="inlineStr">
        <is>
          <t>{"weightMultipliers":[{"condition":{"biomes":["#cobblemon:is_badlands","#cobblemon:is_forest","#cobblemon:is_island","#cobblemon:is_savanna"]},"multiplier":3.0},{"condition":{"biomes":["#cobblemon:is_ocean","#cobblemon:is_river"]},"multiplier":5.0}]}</t>
        </is>
      </c>
      <c r="AT492" s="19" t="inlineStr"/>
    </row>
    <row r="493" ht="32" customHeight="1">
      <c r="A493" s="18" t="inlineStr">
        <is>
          <t>0129_magikarp.json::magikarp-orange-dapples-11::015</t>
        </is>
      </c>
      <c r="B493" s="19" t="inlineStr">
        <is>
          <t>사용</t>
        </is>
      </c>
      <c r="C493" s="18">
        <f>IF(OR(B493&lt;&gt;AK493,M493&lt;&gt;L493,O493&lt;&gt;"",Q493&lt;&gt;"",V493&lt;&gt;1,Y493&lt;&gt;"",AT493&lt;&gt;""),"수정","원본")</f>
        <v/>
      </c>
      <c r="D493" s="18" t="n">
        <v>129</v>
      </c>
      <c r="E493" s="18" t="inlineStr">
        <is>
          <t>잉어킹</t>
        </is>
      </c>
      <c r="F493" s="18" t="inlineStr">
        <is>
          <t>magikarp</t>
        </is>
      </c>
      <c r="G493" s="18" t="inlineStr">
        <is>
          <t>magikarp magikarp_jump=orange-dapples</t>
        </is>
      </c>
      <c r="H493" s="18" t="inlineStr">
        <is>
          <t>magikarp_jump=orange-dapples</t>
        </is>
      </c>
      <c r="I493" s="18" t="n">
        <v>1</v>
      </c>
      <c r="J493" s="18" t="n"/>
      <c r="K493" s="18" t="n">
        <v>1</v>
      </c>
      <c r="L493" s="18" t="inlineStr">
        <is>
          <t>cobbleventure:generation_1</t>
        </is>
      </c>
      <c r="M493" s="19" t="inlineStr">
        <is>
          <t>cobbleventure:generation_1</t>
        </is>
      </c>
      <c r="N493" s="18" t="inlineStr">
        <is>
          <t>region_01; region_02</t>
        </is>
      </c>
      <c r="O493" s="19" t="inlineStr"/>
      <c r="P493" s="18" t="inlineStr">
        <is>
          <t>#aether:is_aether; #cobblemon:is_overworld</t>
        </is>
      </c>
      <c r="Q493" s="19" t="inlineStr"/>
      <c r="R493" s="18">
        <f>IF(Q493="",P493,Q493)</f>
        <v/>
      </c>
      <c r="S493" s="18" t="inlineStr"/>
      <c r="T493" s="18" t="inlineStr">
        <is>
          <t>uncommon</t>
        </is>
      </c>
      <c r="U493" s="20" t="n">
        <v>2</v>
      </c>
      <c r="V493" s="21" t="n">
        <v>1</v>
      </c>
      <c r="W493" s="20">
        <f>IF(OR(U493="",V493=""),U493,U493*V493)</f>
        <v/>
      </c>
      <c r="X493" s="18" t="inlineStr">
        <is>
          <t>1-20</t>
        </is>
      </c>
      <c r="Y493" s="19" t="inlineStr"/>
      <c r="Z493" s="18">
        <f>IF(Y493="",X493,Y493)</f>
        <v/>
      </c>
      <c r="AA493" s="18" t="inlineStr">
        <is>
          <t>fishing</t>
        </is>
      </c>
      <c r="AB493" s="18" t="inlineStr"/>
      <c r="AC493" s="18" t="inlineStr"/>
      <c r="AD493" s="18" t="inlineStr"/>
      <c r="AE493" s="18" t="inlineStr"/>
      <c r="AF493" s="18" t="inlineStr"/>
      <c r="AG493" s="18" t="inlineStr"/>
      <c r="AH493" s="18" t="inlineStr"/>
      <c r="AI493" s="18" t="inlineStr">
        <is>
          <t>{"fishing":{"minLureLevel":1}}</t>
        </is>
      </c>
      <c r="AJ493" s="18" t="inlineStr">
        <is>
          <t>COBBLEVERSE 수정</t>
        </is>
      </c>
      <c r="AK493" s="18" t="inlineStr">
        <is>
          <t>사용</t>
        </is>
      </c>
      <c r="AL493" s="18" t="inlineStr">
        <is>
          <t>COBBLEVERSE 1.7.42 / DP v31</t>
        </is>
      </c>
      <c r="AM493" s="18" t="inlineStr">
        <is>
          <t>data/cobblemon/spawn_pool_world/0129_magikarp.json</t>
        </is>
      </c>
      <c r="AN493" s="18" t="inlineStr">
        <is>
          <t>magikarp-orange-dapples-11</t>
        </is>
      </c>
      <c r="AO493" s="18" t="inlineStr">
        <is>
          <t>pokemon</t>
        </is>
      </c>
      <c r="AP493" s="18" t="inlineStr"/>
      <c r="AQ493" s="18" t="inlineStr">
        <is>
          <t>{"biomes":["#aether:is_aether","#cobblemon:is_overworld"],"minLureLevel":1}</t>
        </is>
      </c>
      <c r="AR493" s="18" t="inlineStr"/>
      <c r="AS493" s="18" t="inlineStr">
        <is>
          <t>{"weightMultipliers":[{"condition":{"biomes":["#cobblemon:is_badlands","#cobblemon:is_forest","#cobblemon:is_island","#cobblemon:is_savanna"]},"multiplier":3.0},{"condition":{"biomes":["#cobblemon:is_ocean","#cobblemon:is_river"]},"multiplier":5.0}]}</t>
        </is>
      </c>
      <c r="AT493" s="19" t="inlineStr"/>
    </row>
    <row r="494" ht="32" customHeight="1">
      <c r="A494" s="18" t="inlineStr">
        <is>
          <t>0129_magikarp.json::magikarp-pink-two-tone-12::016</t>
        </is>
      </c>
      <c r="B494" s="19" t="inlineStr">
        <is>
          <t>사용</t>
        </is>
      </c>
      <c r="C494" s="18">
        <f>IF(OR(B494&lt;&gt;AK494,M494&lt;&gt;L494,O494&lt;&gt;"",Q494&lt;&gt;"",V494&lt;&gt;1,Y494&lt;&gt;"",AT494&lt;&gt;""),"수정","원본")</f>
        <v/>
      </c>
      <c r="D494" s="18" t="n">
        <v>129</v>
      </c>
      <c r="E494" s="18" t="inlineStr">
        <is>
          <t>잉어킹</t>
        </is>
      </c>
      <c r="F494" s="18" t="inlineStr">
        <is>
          <t>magikarp</t>
        </is>
      </c>
      <c r="G494" s="18" t="inlineStr">
        <is>
          <t>magikarp magikarp_jump=pink-two-tone</t>
        </is>
      </c>
      <c r="H494" s="18" t="inlineStr">
        <is>
          <t>magikarp_jump=pink-two-tone</t>
        </is>
      </c>
      <c r="I494" s="18" t="n">
        <v>1</v>
      </c>
      <c r="J494" s="18" t="n"/>
      <c r="K494" s="18" t="n">
        <v>1</v>
      </c>
      <c r="L494" s="18" t="inlineStr">
        <is>
          <t>cobbleventure:generation_1</t>
        </is>
      </c>
      <c r="M494" s="19" t="inlineStr">
        <is>
          <t>cobbleventure:generation_1</t>
        </is>
      </c>
      <c r="N494" s="18" t="inlineStr">
        <is>
          <t>region_01; region_02</t>
        </is>
      </c>
      <c r="O494" s="19" t="inlineStr"/>
      <c r="P494" s="18" t="inlineStr">
        <is>
          <t>#aether:is_aether; #cobblemon:is_overworld</t>
        </is>
      </c>
      <c r="Q494" s="19" t="inlineStr"/>
      <c r="R494" s="18">
        <f>IF(Q494="",P494,Q494)</f>
        <v/>
      </c>
      <c r="S494" s="18" t="inlineStr"/>
      <c r="T494" s="18" t="inlineStr">
        <is>
          <t>uncommon</t>
        </is>
      </c>
      <c r="U494" s="20" t="n">
        <v>2</v>
      </c>
      <c r="V494" s="21" t="n">
        <v>1</v>
      </c>
      <c r="W494" s="20">
        <f>IF(OR(U494="",V494=""),U494,U494*V494)</f>
        <v/>
      </c>
      <c r="X494" s="18" t="inlineStr">
        <is>
          <t>1-20</t>
        </is>
      </c>
      <c r="Y494" s="19" t="inlineStr"/>
      <c r="Z494" s="18">
        <f>IF(Y494="",X494,Y494)</f>
        <v/>
      </c>
      <c r="AA494" s="18" t="inlineStr">
        <is>
          <t>fishing</t>
        </is>
      </c>
      <c r="AB494" s="18" t="inlineStr"/>
      <c r="AC494" s="18" t="inlineStr"/>
      <c r="AD494" s="18" t="inlineStr"/>
      <c r="AE494" s="18" t="inlineStr"/>
      <c r="AF494" s="18" t="inlineStr"/>
      <c r="AG494" s="18" t="inlineStr"/>
      <c r="AH494" s="18" t="inlineStr"/>
      <c r="AI494" s="18" t="inlineStr">
        <is>
          <t>{"fishing":{"minLureLevel":1}}</t>
        </is>
      </c>
      <c r="AJ494" s="18" t="inlineStr">
        <is>
          <t>COBBLEVERSE 수정</t>
        </is>
      </c>
      <c r="AK494" s="18" t="inlineStr">
        <is>
          <t>사용</t>
        </is>
      </c>
      <c r="AL494" s="18" t="inlineStr">
        <is>
          <t>COBBLEVERSE 1.7.42 / DP v31</t>
        </is>
      </c>
      <c r="AM494" s="18" t="inlineStr">
        <is>
          <t>data/cobblemon/spawn_pool_world/0129_magikarp.json</t>
        </is>
      </c>
      <c r="AN494" s="18" t="inlineStr">
        <is>
          <t>magikarp-pink-two-tone-12</t>
        </is>
      </c>
      <c r="AO494" s="18" t="inlineStr">
        <is>
          <t>pokemon</t>
        </is>
      </c>
      <c r="AP494" s="18" t="inlineStr"/>
      <c r="AQ494" s="18" t="inlineStr">
        <is>
          <t>{"biomes":["#aether:is_aether","#cobblemon:is_overworld"],"minLureLevel":1}</t>
        </is>
      </c>
      <c r="AR494" s="18" t="inlineStr"/>
      <c r="AS494" s="18" t="inlineStr">
        <is>
          <t>{"weightMultipliers":[{"condition":{"biomes":["#cobblemon:is_desert","#cobblemon:is_magical","#cobblemon:is_plains"]},"multiplier":3.0},{"condition":{"biomes":["#cobblemon:is_floral","#cobblemon:is_island"]},"multiplier":5.0}]}</t>
        </is>
      </c>
      <c r="AT494" s="19" t="inlineStr"/>
    </row>
    <row r="495" ht="32" customHeight="1">
      <c r="A495" s="18" t="inlineStr">
        <is>
          <t>0129_magikarp.json::magikarp-pink-orca-12::017</t>
        </is>
      </c>
      <c r="B495" s="19" t="inlineStr">
        <is>
          <t>사용</t>
        </is>
      </c>
      <c r="C495" s="18">
        <f>IF(OR(B495&lt;&gt;AK495,M495&lt;&gt;L495,O495&lt;&gt;"",Q495&lt;&gt;"",V495&lt;&gt;1,Y495&lt;&gt;"",AT495&lt;&gt;""),"수정","원본")</f>
        <v/>
      </c>
      <c r="D495" s="18" t="n">
        <v>129</v>
      </c>
      <c r="E495" s="18" t="inlineStr">
        <is>
          <t>잉어킹</t>
        </is>
      </c>
      <c r="F495" s="18" t="inlineStr">
        <is>
          <t>magikarp</t>
        </is>
      </c>
      <c r="G495" s="18" t="inlineStr">
        <is>
          <t>magikarp magikarp_jump=pink-orca</t>
        </is>
      </c>
      <c r="H495" s="18" t="inlineStr">
        <is>
          <t>magikarp_jump=pink-orca</t>
        </is>
      </c>
      <c r="I495" s="18" t="n">
        <v>1</v>
      </c>
      <c r="J495" s="18" t="n"/>
      <c r="K495" s="18" t="n">
        <v>1</v>
      </c>
      <c r="L495" s="18" t="inlineStr">
        <is>
          <t>cobbleventure:generation_1</t>
        </is>
      </c>
      <c r="M495" s="19" t="inlineStr">
        <is>
          <t>cobbleventure:generation_1</t>
        </is>
      </c>
      <c r="N495" s="18" t="inlineStr">
        <is>
          <t>region_01; region_02</t>
        </is>
      </c>
      <c r="O495" s="19" t="inlineStr"/>
      <c r="P495" s="18" t="inlineStr">
        <is>
          <t>#aether:is_aether; #cobblemon:is_overworld</t>
        </is>
      </c>
      <c r="Q495" s="19" t="inlineStr"/>
      <c r="R495" s="18">
        <f>IF(Q495="",P495,Q495)</f>
        <v/>
      </c>
      <c r="S495" s="18" t="inlineStr"/>
      <c r="T495" s="18" t="inlineStr">
        <is>
          <t>uncommon</t>
        </is>
      </c>
      <c r="U495" s="20" t="n">
        <v>2</v>
      </c>
      <c r="V495" s="21" t="n">
        <v>1</v>
      </c>
      <c r="W495" s="20">
        <f>IF(OR(U495="",V495=""),U495,U495*V495)</f>
        <v/>
      </c>
      <c r="X495" s="18" t="inlineStr">
        <is>
          <t>1-20</t>
        </is>
      </c>
      <c r="Y495" s="19" t="inlineStr"/>
      <c r="Z495" s="18">
        <f>IF(Y495="",X495,Y495)</f>
        <v/>
      </c>
      <c r="AA495" s="18" t="inlineStr">
        <is>
          <t>fishing</t>
        </is>
      </c>
      <c r="AB495" s="18" t="inlineStr"/>
      <c r="AC495" s="18" t="inlineStr"/>
      <c r="AD495" s="18" t="inlineStr"/>
      <c r="AE495" s="18" t="inlineStr"/>
      <c r="AF495" s="18" t="inlineStr"/>
      <c r="AG495" s="18" t="inlineStr"/>
      <c r="AH495" s="18" t="inlineStr"/>
      <c r="AI495" s="18" t="inlineStr">
        <is>
          <t>{"fishing":{"minLureLevel":1}}</t>
        </is>
      </c>
      <c r="AJ495" s="18" t="inlineStr">
        <is>
          <t>COBBLEVERSE 수정</t>
        </is>
      </c>
      <c r="AK495" s="18" t="inlineStr">
        <is>
          <t>사용</t>
        </is>
      </c>
      <c r="AL495" s="18" t="inlineStr">
        <is>
          <t>COBBLEVERSE 1.7.42 / DP v31</t>
        </is>
      </c>
      <c r="AM495" s="18" t="inlineStr">
        <is>
          <t>data/cobblemon/spawn_pool_world/0129_magikarp.json</t>
        </is>
      </c>
      <c r="AN495" s="18" t="inlineStr">
        <is>
          <t>magikarp-pink-orca-12</t>
        </is>
      </c>
      <c r="AO495" s="18" t="inlineStr">
        <is>
          <t>pokemon</t>
        </is>
      </c>
      <c r="AP495" s="18" t="inlineStr"/>
      <c r="AQ495" s="18" t="inlineStr">
        <is>
          <t>{"biomes":["#aether:is_aether","#cobblemon:is_overworld"],"minLureLevel":1}</t>
        </is>
      </c>
      <c r="AR495" s="18" t="inlineStr"/>
      <c r="AS495" s="18" t="inlineStr">
        <is>
          <t>{"weightMultipliers":[{"condition":{"biomes":["#cobblemon:is_desert","#cobblemon:is_magical","#cobblemon:is_plains"]},"multiplier":3.0},{"condition":{"biomes":["#cobblemon:is_floral","#cobblemon:is_island"]},"multiplier":5.0}]}</t>
        </is>
      </c>
      <c r="AT495" s="19" t="inlineStr"/>
    </row>
    <row r="496" ht="32" customHeight="1">
      <c r="A496" s="18" t="inlineStr">
        <is>
          <t>0129_magikarp.json::magikarp-pink-dapples-12::018</t>
        </is>
      </c>
      <c r="B496" s="19" t="inlineStr">
        <is>
          <t>사용</t>
        </is>
      </c>
      <c r="C496" s="18">
        <f>IF(OR(B496&lt;&gt;AK496,M496&lt;&gt;L496,O496&lt;&gt;"",Q496&lt;&gt;"",V496&lt;&gt;1,Y496&lt;&gt;"",AT496&lt;&gt;""),"수정","원본")</f>
        <v/>
      </c>
      <c r="D496" s="18" t="n">
        <v>129</v>
      </c>
      <c r="E496" s="18" t="inlineStr">
        <is>
          <t>잉어킹</t>
        </is>
      </c>
      <c r="F496" s="18" t="inlineStr">
        <is>
          <t>magikarp</t>
        </is>
      </c>
      <c r="G496" s="18" t="inlineStr">
        <is>
          <t>magikarp magikarp_jump=pink-dapples</t>
        </is>
      </c>
      <c r="H496" s="18" t="inlineStr">
        <is>
          <t>magikarp_jump=pink-dapples</t>
        </is>
      </c>
      <c r="I496" s="18" t="n">
        <v>1</v>
      </c>
      <c r="J496" s="18" t="n"/>
      <c r="K496" s="18" t="n">
        <v>1</v>
      </c>
      <c r="L496" s="18" t="inlineStr">
        <is>
          <t>cobbleventure:generation_1</t>
        </is>
      </c>
      <c r="M496" s="19" t="inlineStr">
        <is>
          <t>cobbleventure:generation_1</t>
        </is>
      </c>
      <c r="N496" s="18" t="inlineStr">
        <is>
          <t>region_01; region_02</t>
        </is>
      </c>
      <c r="O496" s="19" t="inlineStr"/>
      <c r="P496" s="18" t="inlineStr">
        <is>
          <t>#aether:is_aether; #cobblemon:is_overworld</t>
        </is>
      </c>
      <c r="Q496" s="19" t="inlineStr"/>
      <c r="R496" s="18">
        <f>IF(Q496="",P496,Q496)</f>
        <v/>
      </c>
      <c r="S496" s="18" t="inlineStr"/>
      <c r="T496" s="18" t="inlineStr">
        <is>
          <t>uncommon</t>
        </is>
      </c>
      <c r="U496" s="20" t="n">
        <v>2</v>
      </c>
      <c r="V496" s="21" t="n">
        <v>1</v>
      </c>
      <c r="W496" s="20">
        <f>IF(OR(U496="",V496=""),U496,U496*V496)</f>
        <v/>
      </c>
      <c r="X496" s="18" t="inlineStr">
        <is>
          <t>1-20</t>
        </is>
      </c>
      <c r="Y496" s="19" t="inlineStr"/>
      <c r="Z496" s="18">
        <f>IF(Y496="",X496,Y496)</f>
        <v/>
      </c>
      <c r="AA496" s="18" t="inlineStr">
        <is>
          <t>fishing</t>
        </is>
      </c>
      <c r="AB496" s="18" t="inlineStr"/>
      <c r="AC496" s="18" t="inlineStr"/>
      <c r="AD496" s="18" t="inlineStr"/>
      <c r="AE496" s="18" t="inlineStr"/>
      <c r="AF496" s="18" t="inlineStr"/>
      <c r="AG496" s="18" t="inlineStr"/>
      <c r="AH496" s="18" t="inlineStr"/>
      <c r="AI496" s="18" t="inlineStr">
        <is>
          <t>{"fishing":{"minLureLevel":1}}</t>
        </is>
      </c>
      <c r="AJ496" s="18" t="inlineStr">
        <is>
          <t>COBBLEVERSE 수정</t>
        </is>
      </c>
      <c r="AK496" s="18" t="inlineStr">
        <is>
          <t>사용</t>
        </is>
      </c>
      <c r="AL496" s="18" t="inlineStr">
        <is>
          <t>COBBLEVERSE 1.7.42 / DP v31</t>
        </is>
      </c>
      <c r="AM496" s="18" t="inlineStr">
        <is>
          <t>data/cobblemon/spawn_pool_world/0129_magikarp.json</t>
        </is>
      </c>
      <c r="AN496" s="18" t="inlineStr">
        <is>
          <t>magikarp-pink-dapples-12</t>
        </is>
      </c>
      <c r="AO496" s="18" t="inlineStr">
        <is>
          <t>pokemon</t>
        </is>
      </c>
      <c r="AP496" s="18" t="inlineStr"/>
      <c r="AQ496" s="18" t="inlineStr">
        <is>
          <t>{"biomes":["#aether:is_aether","#cobblemon:is_overworld"],"minLureLevel":1}</t>
        </is>
      </c>
      <c r="AR496" s="18" t="inlineStr"/>
      <c r="AS496" s="18" t="inlineStr">
        <is>
          <t>{"weightMultipliers":[{"condition":{"biomes":["#cobblemon:is_desert","#cobblemon:is_magical","#cobblemon:is_plains"]},"multiplier":3.0},{"condition":{"biomes":["#cobblemon:is_floral","#cobblemon:is_island"]},"multiplier":5.0}]}</t>
        </is>
      </c>
      <c r="AT496" s="19" t="inlineStr"/>
    </row>
    <row r="497" ht="32" customHeight="1">
      <c r="A497" s="18" t="inlineStr">
        <is>
          <t>0129_magikarp.json::magikarp-gray-bubbles-13::019</t>
        </is>
      </c>
      <c r="B497" s="19" t="inlineStr">
        <is>
          <t>사용</t>
        </is>
      </c>
      <c r="C497" s="18">
        <f>IF(OR(B497&lt;&gt;AK497,M497&lt;&gt;L497,O497&lt;&gt;"",Q497&lt;&gt;"",V497&lt;&gt;1,Y497&lt;&gt;"",AT497&lt;&gt;""),"수정","원본")</f>
        <v/>
      </c>
      <c r="D497" s="18" t="n">
        <v>129</v>
      </c>
      <c r="E497" s="18" t="inlineStr">
        <is>
          <t>잉어킹</t>
        </is>
      </c>
      <c r="F497" s="18" t="inlineStr">
        <is>
          <t>magikarp</t>
        </is>
      </c>
      <c r="G497" s="18" t="inlineStr">
        <is>
          <t>magikarp magikarp_jump=gray-bubbles</t>
        </is>
      </c>
      <c r="H497" s="18" t="inlineStr">
        <is>
          <t>magikarp_jump=gray-bubbles</t>
        </is>
      </c>
      <c r="I497" s="18" t="n">
        <v>1</v>
      </c>
      <c r="J497" s="18" t="n"/>
      <c r="K497" s="18" t="n">
        <v>1</v>
      </c>
      <c r="L497" s="18" t="inlineStr">
        <is>
          <t>cobbleventure:generation_1</t>
        </is>
      </c>
      <c r="M497" s="19" t="inlineStr">
        <is>
          <t>cobbleventure:generation_1</t>
        </is>
      </c>
      <c r="N497" s="18" t="inlineStr">
        <is>
          <t>region_01; region_02</t>
        </is>
      </c>
      <c r="O497" s="19" t="inlineStr"/>
      <c r="P497" s="18" t="inlineStr">
        <is>
          <t>#aether:is_aether; #cobblemon:is_overworld</t>
        </is>
      </c>
      <c r="Q497" s="19" t="inlineStr"/>
      <c r="R497" s="18">
        <f>IF(Q497="",P497,Q497)</f>
        <v/>
      </c>
      <c r="S497" s="18" t="inlineStr"/>
      <c r="T497" s="18" t="inlineStr">
        <is>
          <t>uncommon</t>
        </is>
      </c>
      <c r="U497" s="20" t="n">
        <v>2</v>
      </c>
      <c r="V497" s="21" t="n">
        <v>1</v>
      </c>
      <c r="W497" s="20">
        <f>IF(OR(U497="",V497=""),U497,U497*V497)</f>
        <v/>
      </c>
      <c r="X497" s="18" t="inlineStr">
        <is>
          <t>1-20</t>
        </is>
      </c>
      <c r="Y497" s="19" t="inlineStr"/>
      <c r="Z497" s="18">
        <f>IF(Y497="",X497,Y497)</f>
        <v/>
      </c>
      <c r="AA497" s="18" t="inlineStr">
        <is>
          <t>fishing</t>
        </is>
      </c>
      <c r="AB497" s="18" t="inlineStr"/>
      <c r="AC497" s="18" t="inlineStr"/>
      <c r="AD497" s="18" t="inlineStr"/>
      <c r="AE497" s="18" t="inlineStr"/>
      <c r="AF497" s="18" t="inlineStr"/>
      <c r="AG497" s="18" t="inlineStr"/>
      <c r="AH497" s="18" t="inlineStr"/>
      <c r="AI497" s="18" t="inlineStr">
        <is>
          <t>{"fishing":{"minLureLevel":1}}</t>
        </is>
      </c>
      <c r="AJ497" s="18" t="inlineStr">
        <is>
          <t>COBBLEVERSE 수정</t>
        </is>
      </c>
      <c r="AK497" s="18" t="inlineStr">
        <is>
          <t>사용</t>
        </is>
      </c>
      <c r="AL497" s="18" t="inlineStr">
        <is>
          <t>COBBLEVERSE 1.7.42 / DP v31</t>
        </is>
      </c>
      <c r="AM497" s="18" t="inlineStr">
        <is>
          <t>data/cobblemon/spawn_pool_world/0129_magikarp.json</t>
        </is>
      </c>
      <c r="AN497" s="18" t="inlineStr">
        <is>
          <t>magikarp-gray-bubbles-13</t>
        </is>
      </c>
      <c r="AO497" s="18" t="inlineStr">
        <is>
          <t>pokemon</t>
        </is>
      </c>
      <c r="AP497" s="18" t="inlineStr"/>
      <c r="AQ497" s="18" t="inlineStr">
        <is>
          <t>{"biomes":["#aether:is_aether","#cobblemon:is_overworld"],"minLureLevel":1}</t>
        </is>
      </c>
      <c r="AR497" s="18" t="inlineStr"/>
      <c r="AS497" s="18" t="inlineStr">
        <is>
          <t>{"weightMultipliers":[{"condition":{"biomes":["#cobblemon:is_river","#cobblemon:is_snowy","#cobblemon:is_tundra"]},"multiplier":3.0},{"condition":{"biomes":["#cobblemon:is_mountain","#cobblemon:is_spooky"]},"multiplier":5.0}]}</t>
        </is>
      </c>
      <c r="AT497" s="19" t="inlineStr"/>
    </row>
    <row r="498" ht="32" customHeight="1">
      <c r="A498" s="18" t="inlineStr">
        <is>
          <t>0129_magikarp.json::magikarp-gray-diamonds-13::020</t>
        </is>
      </c>
      <c r="B498" s="19" t="inlineStr">
        <is>
          <t>사용</t>
        </is>
      </c>
      <c r="C498" s="18">
        <f>IF(OR(B498&lt;&gt;AK498,M498&lt;&gt;L498,O498&lt;&gt;"",Q498&lt;&gt;"",V498&lt;&gt;1,Y498&lt;&gt;"",AT498&lt;&gt;""),"수정","원본")</f>
        <v/>
      </c>
      <c r="D498" s="18" t="n">
        <v>129</v>
      </c>
      <c r="E498" s="18" t="inlineStr">
        <is>
          <t>잉어킹</t>
        </is>
      </c>
      <c r="F498" s="18" t="inlineStr">
        <is>
          <t>magikarp</t>
        </is>
      </c>
      <c r="G498" s="18" t="inlineStr">
        <is>
          <t>magikarp magikarp_jump=gray-diamonds</t>
        </is>
      </c>
      <c r="H498" s="18" t="inlineStr">
        <is>
          <t>magikarp_jump=gray-diamonds</t>
        </is>
      </c>
      <c r="I498" s="18" t="n">
        <v>1</v>
      </c>
      <c r="J498" s="18" t="n"/>
      <c r="K498" s="18" t="n">
        <v>1</v>
      </c>
      <c r="L498" s="18" t="inlineStr">
        <is>
          <t>cobbleventure:generation_1</t>
        </is>
      </c>
      <c r="M498" s="19" t="inlineStr">
        <is>
          <t>cobbleventure:generation_1</t>
        </is>
      </c>
      <c r="N498" s="18" t="inlineStr">
        <is>
          <t>region_01; region_02</t>
        </is>
      </c>
      <c r="O498" s="19" t="inlineStr"/>
      <c r="P498" s="18" t="inlineStr">
        <is>
          <t>#aether:is_aether; #cobblemon:is_overworld</t>
        </is>
      </c>
      <c r="Q498" s="19" t="inlineStr"/>
      <c r="R498" s="18">
        <f>IF(Q498="",P498,Q498)</f>
        <v/>
      </c>
      <c r="S498" s="18" t="inlineStr"/>
      <c r="T498" s="18" t="inlineStr">
        <is>
          <t>uncommon</t>
        </is>
      </c>
      <c r="U498" s="20" t="n">
        <v>2</v>
      </c>
      <c r="V498" s="21" t="n">
        <v>1</v>
      </c>
      <c r="W498" s="20">
        <f>IF(OR(U498="",V498=""),U498,U498*V498)</f>
        <v/>
      </c>
      <c r="X498" s="18" t="inlineStr">
        <is>
          <t>1-20</t>
        </is>
      </c>
      <c r="Y498" s="19" t="inlineStr"/>
      <c r="Z498" s="18">
        <f>IF(Y498="",X498,Y498)</f>
        <v/>
      </c>
      <c r="AA498" s="18" t="inlineStr">
        <is>
          <t>fishing</t>
        </is>
      </c>
      <c r="AB498" s="18" t="inlineStr"/>
      <c r="AC498" s="18" t="inlineStr"/>
      <c r="AD498" s="18" t="inlineStr"/>
      <c r="AE498" s="18" t="inlineStr"/>
      <c r="AF498" s="18" t="inlineStr"/>
      <c r="AG498" s="18" t="inlineStr"/>
      <c r="AH498" s="18" t="inlineStr"/>
      <c r="AI498" s="18" t="inlineStr">
        <is>
          <t>{"fishing":{"minLureLevel":1}}</t>
        </is>
      </c>
      <c r="AJ498" s="18" t="inlineStr">
        <is>
          <t>COBBLEVERSE 수정</t>
        </is>
      </c>
      <c r="AK498" s="18" t="inlineStr">
        <is>
          <t>사용</t>
        </is>
      </c>
      <c r="AL498" s="18" t="inlineStr">
        <is>
          <t>COBBLEVERSE 1.7.42 / DP v31</t>
        </is>
      </c>
      <c r="AM498" s="18" t="inlineStr">
        <is>
          <t>data/cobblemon/spawn_pool_world/0129_magikarp.json</t>
        </is>
      </c>
      <c r="AN498" s="18" t="inlineStr">
        <is>
          <t>magikarp-gray-diamonds-13</t>
        </is>
      </c>
      <c r="AO498" s="18" t="inlineStr">
        <is>
          <t>pokemon</t>
        </is>
      </c>
      <c r="AP498" s="18" t="inlineStr"/>
      <c r="AQ498" s="18" t="inlineStr">
        <is>
          <t>{"biomes":["#aether:is_aether","#cobblemon:is_overworld"],"minLureLevel":1}</t>
        </is>
      </c>
      <c r="AR498" s="18" t="inlineStr"/>
      <c r="AS498" s="18" t="inlineStr">
        <is>
          <t>{"weightMultipliers":[{"condition":{"biomes":["#cobblemon:is_river","#cobblemon:is_snowy","#cobblemon:is_tundra"]},"multiplier":3.0},{"condition":{"biomes":["#cobblemon:is_mountain","#cobblemon:is_spooky"]},"multiplier":5.0}]}</t>
        </is>
      </c>
      <c r="AT498" s="19" t="inlineStr"/>
    </row>
    <row r="499" ht="32" customHeight="1">
      <c r="A499" s="18" t="inlineStr">
        <is>
          <t>0129_magikarp.json::magikarp-gray-patches-13::021</t>
        </is>
      </c>
      <c r="B499" s="19" t="inlineStr">
        <is>
          <t>사용</t>
        </is>
      </c>
      <c r="C499" s="18">
        <f>IF(OR(B499&lt;&gt;AK499,M499&lt;&gt;L499,O499&lt;&gt;"",Q499&lt;&gt;"",V499&lt;&gt;1,Y499&lt;&gt;"",AT499&lt;&gt;""),"수정","원본")</f>
        <v/>
      </c>
      <c r="D499" s="18" t="n">
        <v>129</v>
      </c>
      <c r="E499" s="18" t="inlineStr">
        <is>
          <t>잉어킹</t>
        </is>
      </c>
      <c r="F499" s="18" t="inlineStr">
        <is>
          <t>magikarp</t>
        </is>
      </c>
      <c r="G499" s="18" t="inlineStr">
        <is>
          <t>magikarp magikarp_jump=gray-patches</t>
        </is>
      </c>
      <c r="H499" s="18" t="inlineStr">
        <is>
          <t>magikarp_jump=gray-patches</t>
        </is>
      </c>
      <c r="I499" s="18" t="n">
        <v>1</v>
      </c>
      <c r="J499" s="18" t="n"/>
      <c r="K499" s="18" t="n">
        <v>1</v>
      </c>
      <c r="L499" s="18" t="inlineStr">
        <is>
          <t>cobbleventure:generation_1</t>
        </is>
      </c>
      <c r="M499" s="19" t="inlineStr">
        <is>
          <t>cobbleventure:generation_1</t>
        </is>
      </c>
      <c r="N499" s="18" t="inlineStr">
        <is>
          <t>region_01; region_02</t>
        </is>
      </c>
      <c r="O499" s="19" t="inlineStr"/>
      <c r="P499" s="18" t="inlineStr">
        <is>
          <t>#aether:is_aether; #cobblemon:is_overworld</t>
        </is>
      </c>
      <c r="Q499" s="19" t="inlineStr"/>
      <c r="R499" s="18">
        <f>IF(Q499="",P499,Q499)</f>
        <v/>
      </c>
      <c r="S499" s="18" t="inlineStr"/>
      <c r="T499" s="18" t="inlineStr">
        <is>
          <t>uncommon</t>
        </is>
      </c>
      <c r="U499" s="20" t="n">
        <v>2</v>
      </c>
      <c r="V499" s="21" t="n">
        <v>1</v>
      </c>
      <c r="W499" s="20">
        <f>IF(OR(U499="",V499=""),U499,U499*V499)</f>
        <v/>
      </c>
      <c r="X499" s="18" t="inlineStr">
        <is>
          <t>1-20</t>
        </is>
      </c>
      <c r="Y499" s="19" t="inlineStr"/>
      <c r="Z499" s="18">
        <f>IF(Y499="",X499,Y499)</f>
        <v/>
      </c>
      <c r="AA499" s="18" t="inlineStr">
        <is>
          <t>fishing</t>
        </is>
      </c>
      <c r="AB499" s="18" t="inlineStr"/>
      <c r="AC499" s="18" t="inlineStr"/>
      <c r="AD499" s="18" t="inlineStr"/>
      <c r="AE499" s="18" t="inlineStr"/>
      <c r="AF499" s="18" t="inlineStr"/>
      <c r="AG499" s="18" t="inlineStr"/>
      <c r="AH499" s="18" t="inlineStr"/>
      <c r="AI499" s="18" t="inlineStr">
        <is>
          <t>{"fishing":{"minLureLevel":1}}</t>
        </is>
      </c>
      <c r="AJ499" s="18" t="inlineStr">
        <is>
          <t>COBBLEVERSE 수정</t>
        </is>
      </c>
      <c r="AK499" s="18" t="inlineStr">
        <is>
          <t>사용</t>
        </is>
      </c>
      <c r="AL499" s="18" t="inlineStr">
        <is>
          <t>COBBLEVERSE 1.7.42 / DP v31</t>
        </is>
      </c>
      <c r="AM499" s="18" t="inlineStr">
        <is>
          <t>data/cobblemon/spawn_pool_world/0129_magikarp.json</t>
        </is>
      </c>
      <c r="AN499" s="18" t="inlineStr">
        <is>
          <t>magikarp-gray-patches-13</t>
        </is>
      </c>
      <c r="AO499" s="18" t="inlineStr">
        <is>
          <t>pokemon</t>
        </is>
      </c>
      <c r="AP499" s="18" t="inlineStr"/>
      <c r="AQ499" s="18" t="inlineStr">
        <is>
          <t>{"biomes":["#aether:is_aether","#cobblemon:is_overworld"],"minLureLevel":1}</t>
        </is>
      </c>
      <c r="AR499" s="18" t="inlineStr"/>
      <c r="AS499" s="18" t="inlineStr">
        <is>
          <t>{"weightMultipliers":[{"condition":{"biomes":["#cobblemon:is_river","#cobblemon:is_snowy","#cobblemon:is_tundra"]},"multiplier":3.0},{"condition":{"biomes":["#cobblemon:is_mountain","#cobblemon:is_spooky"]},"multiplier":5.0}]}</t>
        </is>
      </c>
      <c r="AT499" s="19" t="inlineStr"/>
    </row>
    <row r="500" ht="32" customHeight="1">
      <c r="A500" s="18" t="inlineStr">
        <is>
          <t>0129_magikarp.json::magikarp-purple-bubbles-14::022</t>
        </is>
      </c>
      <c r="B500" s="19" t="inlineStr">
        <is>
          <t>사용</t>
        </is>
      </c>
      <c r="C500" s="18">
        <f>IF(OR(B500&lt;&gt;AK500,M500&lt;&gt;L500,O500&lt;&gt;"",Q500&lt;&gt;"",V500&lt;&gt;1,Y500&lt;&gt;"",AT500&lt;&gt;""),"수정","원본")</f>
        <v/>
      </c>
      <c r="D500" s="18" t="n">
        <v>129</v>
      </c>
      <c r="E500" s="18" t="inlineStr">
        <is>
          <t>잉어킹</t>
        </is>
      </c>
      <c r="F500" s="18" t="inlineStr">
        <is>
          <t>magikarp</t>
        </is>
      </c>
      <c r="G500" s="18" t="inlineStr">
        <is>
          <t>magikarp magikarp_jump=purple-bubbles</t>
        </is>
      </c>
      <c r="H500" s="18" t="inlineStr">
        <is>
          <t>magikarp_jump=purple-bubbles</t>
        </is>
      </c>
      <c r="I500" s="18" t="n">
        <v>1</v>
      </c>
      <c r="J500" s="18" t="n"/>
      <c r="K500" s="18" t="n">
        <v>1</v>
      </c>
      <c r="L500" s="18" t="inlineStr">
        <is>
          <t>cobbleventure:generation_1</t>
        </is>
      </c>
      <c r="M500" s="19" t="inlineStr">
        <is>
          <t>cobbleventure:generation_1</t>
        </is>
      </c>
      <c r="N500" s="18" t="inlineStr">
        <is>
          <t>region_01; region_02</t>
        </is>
      </c>
      <c r="O500" s="19" t="inlineStr"/>
      <c r="P500" s="18" t="inlineStr">
        <is>
          <t>#aether:is_aether; #cobblemon:is_overworld</t>
        </is>
      </c>
      <c r="Q500" s="19" t="inlineStr"/>
      <c r="R500" s="18">
        <f>IF(Q500="",P500,Q500)</f>
        <v/>
      </c>
      <c r="S500" s="18" t="inlineStr"/>
      <c r="T500" s="18" t="inlineStr">
        <is>
          <t>uncommon</t>
        </is>
      </c>
      <c r="U500" s="20" t="n">
        <v>2</v>
      </c>
      <c r="V500" s="21" t="n">
        <v>1</v>
      </c>
      <c r="W500" s="20">
        <f>IF(OR(U500="",V500=""),U500,U500*V500)</f>
        <v/>
      </c>
      <c r="X500" s="18" t="inlineStr">
        <is>
          <t>1-20</t>
        </is>
      </c>
      <c r="Y500" s="19" t="inlineStr"/>
      <c r="Z500" s="18">
        <f>IF(Y500="",X500,Y500)</f>
        <v/>
      </c>
      <c r="AA500" s="18" t="inlineStr">
        <is>
          <t>fishing</t>
        </is>
      </c>
      <c r="AB500" s="18" t="inlineStr"/>
      <c r="AC500" s="18" t="inlineStr"/>
      <c r="AD500" s="18" t="inlineStr"/>
      <c r="AE500" s="18" t="inlineStr"/>
      <c r="AF500" s="18" t="inlineStr"/>
      <c r="AG500" s="18" t="inlineStr"/>
      <c r="AH500" s="18" t="inlineStr"/>
      <c r="AI500" s="18" t="inlineStr">
        <is>
          <t>{"fishing":{"minLureLevel":1}}</t>
        </is>
      </c>
      <c r="AJ500" s="18" t="inlineStr">
        <is>
          <t>COBBLEVERSE 수정</t>
        </is>
      </c>
      <c r="AK500" s="18" t="inlineStr">
        <is>
          <t>사용</t>
        </is>
      </c>
      <c r="AL500" s="18" t="inlineStr">
        <is>
          <t>COBBLEVERSE 1.7.42 / DP v31</t>
        </is>
      </c>
      <c r="AM500" s="18" t="inlineStr">
        <is>
          <t>data/cobblemon/spawn_pool_world/0129_magikarp.json</t>
        </is>
      </c>
      <c r="AN500" s="18" t="inlineStr">
        <is>
          <t>magikarp-purple-bubbles-14</t>
        </is>
      </c>
      <c r="AO500" s="18" t="inlineStr">
        <is>
          <t>pokemon</t>
        </is>
      </c>
      <c r="AP500" s="18" t="inlineStr"/>
      <c r="AQ500" s="18" t="inlineStr">
        <is>
          <t>{"biomes":["#aether:is_aether","#cobblemon:is_overworld"],"minLureLevel":1}</t>
        </is>
      </c>
      <c r="AR500" s="18" t="inlineStr"/>
      <c r="AS500" s="18" t="inlineStr">
        <is>
          <t>{"weightMultipliers":[{"condition":{"biomes":["#cobblemon:is_floral","#cobblemon:is_forest","#cobblemon:is_magical","#cobblemon:is_taiga"]},"multiplier":3.0},{"condition":{"biomes":["#cobblemon:is_swamp"]},"multiplier":5.0}]}</t>
        </is>
      </c>
      <c r="AT500" s="19" t="inlineStr"/>
    </row>
    <row r="501" ht="32" customHeight="1">
      <c r="A501" s="18" t="inlineStr">
        <is>
          <t>0129_magikarp.json::magikarp-purple-diamonds-14::023</t>
        </is>
      </c>
      <c r="B501" s="19" t="inlineStr">
        <is>
          <t>사용</t>
        </is>
      </c>
      <c r="C501" s="18">
        <f>IF(OR(B501&lt;&gt;AK501,M501&lt;&gt;L501,O501&lt;&gt;"",Q501&lt;&gt;"",V501&lt;&gt;1,Y501&lt;&gt;"",AT501&lt;&gt;""),"수정","원본")</f>
        <v/>
      </c>
      <c r="D501" s="18" t="n">
        <v>129</v>
      </c>
      <c r="E501" s="18" t="inlineStr">
        <is>
          <t>잉어킹</t>
        </is>
      </c>
      <c r="F501" s="18" t="inlineStr">
        <is>
          <t>magikarp</t>
        </is>
      </c>
      <c r="G501" s="18" t="inlineStr">
        <is>
          <t>magikarp magikarp_jump=purple-diamonds</t>
        </is>
      </c>
      <c r="H501" s="18" t="inlineStr">
        <is>
          <t>magikarp_jump=purple-diamonds</t>
        </is>
      </c>
      <c r="I501" s="18" t="n">
        <v>1</v>
      </c>
      <c r="J501" s="18" t="n"/>
      <c r="K501" s="18" t="n">
        <v>1</v>
      </c>
      <c r="L501" s="18" t="inlineStr">
        <is>
          <t>cobbleventure:generation_1</t>
        </is>
      </c>
      <c r="M501" s="19" t="inlineStr">
        <is>
          <t>cobbleventure:generation_1</t>
        </is>
      </c>
      <c r="N501" s="18" t="inlineStr">
        <is>
          <t>region_01; region_02</t>
        </is>
      </c>
      <c r="O501" s="19" t="inlineStr"/>
      <c r="P501" s="18" t="inlineStr">
        <is>
          <t>#aether:is_aether; #cobblemon:is_overworld</t>
        </is>
      </c>
      <c r="Q501" s="19" t="inlineStr"/>
      <c r="R501" s="18">
        <f>IF(Q501="",P501,Q501)</f>
        <v/>
      </c>
      <c r="S501" s="18" t="inlineStr"/>
      <c r="T501" s="18" t="inlineStr">
        <is>
          <t>uncommon</t>
        </is>
      </c>
      <c r="U501" s="20" t="n">
        <v>2</v>
      </c>
      <c r="V501" s="21" t="n">
        <v>1</v>
      </c>
      <c r="W501" s="20">
        <f>IF(OR(U501="",V501=""),U501,U501*V501)</f>
        <v/>
      </c>
      <c r="X501" s="18" t="inlineStr">
        <is>
          <t>1-20</t>
        </is>
      </c>
      <c r="Y501" s="19" t="inlineStr"/>
      <c r="Z501" s="18">
        <f>IF(Y501="",X501,Y501)</f>
        <v/>
      </c>
      <c r="AA501" s="18" t="inlineStr">
        <is>
          <t>fishing</t>
        </is>
      </c>
      <c r="AB501" s="18" t="inlineStr"/>
      <c r="AC501" s="18" t="inlineStr"/>
      <c r="AD501" s="18" t="inlineStr"/>
      <c r="AE501" s="18" t="inlineStr"/>
      <c r="AF501" s="18" t="inlineStr"/>
      <c r="AG501" s="18" t="inlineStr"/>
      <c r="AH501" s="18" t="inlineStr"/>
      <c r="AI501" s="18" t="inlineStr">
        <is>
          <t>{"fishing":{"minLureLevel":1}}</t>
        </is>
      </c>
      <c r="AJ501" s="18" t="inlineStr">
        <is>
          <t>COBBLEVERSE 수정</t>
        </is>
      </c>
      <c r="AK501" s="18" t="inlineStr">
        <is>
          <t>사용</t>
        </is>
      </c>
      <c r="AL501" s="18" t="inlineStr">
        <is>
          <t>COBBLEVERSE 1.7.42 / DP v31</t>
        </is>
      </c>
      <c r="AM501" s="18" t="inlineStr">
        <is>
          <t>data/cobblemon/spawn_pool_world/0129_magikarp.json</t>
        </is>
      </c>
      <c r="AN501" s="18" t="inlineStr">
        <is>
          <t>magikarp-purple-diamonds-14</t>
        </is>
      </c>
      <c r="AO501" s="18" t="inlineStr">
        <is>
          <t>pokemon</t>
        </is>
      </c>
      <c r="AP501" s="18" t="inlineStr"/>
      <c r="AQ501" s="18" t="inlineStr">
        <is>
          <t>{"biomes":["#aether:is_aether","#cobblemon:is_overworld"],"minLureLevel":1}</t>
        </is>
      </c>
      <c r="AR501" s="18" t="inlineStr"/>
      <c r="AS501" s="18" t="inlineStr">
        <is>
          <t>{"weightMultipliers":[{"condition":{"biomes":["#cobblemon:is_floral","#cobblemon:is_forest","#cobblemon:is_magical","#cobblemon:is_taiga"]},"multiplier":3.0},{"condition":{"biomes":["#cobblemon:is_swamp"]},"multiplier":5.0}]}</t>
        </is>
      </c>
      <c r="AT501" s="19" t="inlineStr"/>
    </row>
    <row r="502" ht="32" customHeight="1">
      <c r="A502" s="18" t="inlineStr">
        <is>
          <t>0129_magikarp.json::magikarp-purple-patches-14::024</t>
        </is>
      </c>
      <c r="B502" s="19" t="inlineStr">
        <is>
          <t>사용</t>
        </is>
      </c>
      <c r="C502" s="18">
        <f>IF(OR(B502&lt;&gt;AK502,M502&lt;&gt;L502,O502&lt;&gt;"",Q502&lt;&gt;"",V502&lt;&gt;1,Y502&lt;&gt;"",AT502&lt;&gt;""),"수정","원본")</f>
        <v/>
      </c>
      <c r="D502" s="18" t="n">
        <v>129</v>
      </c>
      <c r="E502" s="18" t="inlineStr">
        <is>
          <t>잉어킹</t>
        </is>
      </c>
      <c r="F502" s="18" t="inlineStr">
        <is>
          <t>magikarp</t>
        </is>
      </c>
      <c r="G502" s="18" t="inlineStr">
        <is>
          <t>magikarp magikarp_jump=purple-patches</t>
        </is>
      </c>
      <c r="H502" s="18" t="inlineStr">
        <is>
          <t>magikarp_jump=purple-patches</t>
        </is>
      </c>
      <c r="I502" s="18" t="n">
        <v>1</v>
      </c>
      <c r="J502" s="18" t="n"/>
      <c r="K502" s="18" t="n">
        <v>1</v>
      </c>
      <c r="L502" s="18" t="inlineStr">
        <is>
          <t>cobbleventure:generation_1</t>
        </is>
      </c>
      <c r="M502" s="19" t="inlineStr">
        <is>
          <t>cobbleventure:generation_1</t>
        </is>
      </c>
      <c r="N502" s="18" t="inlineStr">
        <is>
          <t>region_01; region_02</t>
        </is>
      </c>
      <c r="O502" s="19" t="inlineStr"/>
      <c r="P502" s="18" t="inlineStr">
        <is>
          <t>#aether:is_aether; #cobblemon:is_overworld</t>
        </is>
      </c>
      <c r="Q502" s="19" t="inlineStr"/>
      <c r="R502" s="18">
        <f>IF(Q502="",P502,Q502)</f>
        <v/>
      </c>
      <c r="S502" s="18" t="inlineStr"/>
      <c r="T502" s="18" t="inlineStr">
        <is>
          <t>uncommon</t>
        </is>
      </c>
      <c r="U502" s="20" t="n">
        <v>2</v>
      </c>
      <c r="V502" s="21" t="n">
        <v>1</v>
      </c>
      <c r="W502" s="20">
        <f>IF(OR(U502="",V502=""),U502,U502*V502)</f>
        <v/>
      </c>
      <c r="X502" s="18" t="inlineStr">
        <is>
          <t>1-20</t>
        </is>
      </c>
      <c r="Y502" s="19" t="inlineStr"/>
      <c r="Z502" s="18">
        <f>IF(Y502="",X502,Y502)</f>
        <v/>
      </c>
      <c r="AA502" s="18" t="inlineStr">
        <is>
          <t>fishing</t>
        </is>
      </c>
      <c r="AB502" s="18" t="inlineStr"/>
      <c r="AC502" s="18" t="inlineStr"/>
      <c r="AD502" s="18" t="inlineStr"/>
      <c r="AE502" s="18" t="inlineStr"/>
      <c r="AF502" s="18" t="inlineStr"/>
      <c r="AG502" s="18" t="inlineStr"/>
      <c r="AH502" s="18" t="inlineStr"/>
      <c r="AI502" s="18" t="inlineStr">
        <is>
          <t>{"fishing":{"minLureLevel":1}}</t>
        </is>
      </c>
      <c r="AJ502" s="18" t="inlineStr">
        <is>
          <t>COBBLEVERSE 수정</t>
        </is>
      </c>
      <c r="AK502" s="18" t="inlineStr">
        <is>
          <t>사용</t>
        </is>
      </c>
      <c r="AL502" s="18" t="inlineStr">
        <is>
          <t>COBBLEVERSE 1.7.42 / DP v31</t>
        </is>
      </c>
      <c r="AM502" s="18" t="inlineStr">
        <is>
          <t>data/cobblemon/spawn_pool_world/0129_magikarp.json</t>
        </is>
      </c>
      <c r="AN502" s="18" t="inlineStr">
        <is>
          <t>magikarp-purple-patches-14</t>
        </is>
      </c>
      <c r="AO502" s="18" t="inlineStr">
        <is>
          <t>pokemon</t>
        </is>
      </c>
      <c r="AP502" s="18" t="inlineStr"/>
      <c r="AQ502" s="18" t="inlineStr">
        <is>
          <t>{"biomes":["#aether:is_aether","#cobblemon:is_overworld"],"minLureLevel":1}</t>
        </is>
      </c>
      <c r="AR502" s="18" t="inlineStr"/>
      <c r="AS502" s="18" t="inlineStr">
        <is>
          <t>{"weightMultipliers":[{"condition":{"biomes":["#cobblemon:is_floral","#cobblemon:is_forest","#cobblemon:is_magical","#cobblemon:is_taiga"]},"multiplier":3.0},{"condition":{"biomes":["#cobblemon:is_swamp"]},"multiplier":5.0}]}</t>
        </is>
      </c>
      <c r="AT502" s="19" t="inlineStr"/>
    </row>
    <row r="503" ht="32" customHeight="1">
      <c r="A503" s="18" t="inlineStr">
        <is>
          <t>0129_magikarp.json::magikarp-apricot-tiger-15::025</t>
        </is>
      </c>
      <c r="B503" s="19" t="inlineStr">
        <is>
          <t>사용</t>
        </is>
      </c>
      <c r="C503" s="18">
        <f>IF(OR(B503&lt;&gt;AK503,M503&lt;&gt;L503,O503&lt;&gt;"",Q503&lt;&gt;"",V503&lt;&gt;1,Y503&lt;&gt;"",AT503&lt;&gt;""),"수정","원본")</f>
        <v/>
      </c>
      <c r="D503" s="18" t="n">
        <v>129</v>
      </c>
      <c r="E503" s="18" t="inlineStr">
        <is>
          <t>잉어킹</t>
        </is>
      </c>
      <c r="F503" s="18" t="inlineStr">
        <is>
          <t>magikarp</t>
        </is>
      </c>
      <c r="G503" s="18" t="inlineStr">
        <is>
          <t>magikarp magikarp_jump=apricot-tiger</t>
        </is>
      </c>
      <c r="H503" s="18" t="inlineStr">
        <is>
          <t>magikarp_jump=apricot-tiger</t>
        </is>
      </c>
      <c r="I503" s="18" t="n">
        <v>1</v>
      </c>
      <c r="J503" s="18" t="n"/>
      <c r="K503" s="18" t="n">
        <v>1</v>
      </c>
      <c r="L503" s="18" t="inlineStr">
        <is>
          <t>cobbleventure:generation_1</t>
        </is>
      </c>
      <c r="M503" s="19" t="inlineStr">
        <is>
          <t>cobbleventure:generation_1</t>
        </is>
      </c>
      <c r="N503" s="18" t="inlineStr">
        <is>
          <t>region_01; region_02</t>
        </is>
      </c>
      <c r="O503" s="19" t="inlineStr"/>
      <c r="P503" s="18" t="inlineStr">
        <is>
          <t>#aether:is_aether; #cobblemon:is_overworld</t>
        </is>
      </c>
      <c r="Q503" s="19" t="inlineStr"/>
      <c r="R503" s="18">
        <f>IF(Q503="",P503,Q503)</f>
        <v/>
      </c>
      <c r="S503" s="18" t="inlineStr"/>
      <c r="T503" s="18" t="inlineStr">
        <is>
          <t>uncommon</t>
        </is>
      </c>
      <c r="U503" s="20" t="n">
        <v>2</v>
      </c>
      <c r="V503" s="21" t="n">
        <v>1</v>
      </c>
      <c r="W503" s="20">
        <f>IF(OR(U503="",V503=""),U503,U503*V503)</f>
        <v/>
      </c>
      <c r="X503" s="18" t="inlineStr">
        <is>
          <t>1-20</t>
        </is>
      </c>
      <c r="Y503" s="19" t="inlineStr"/>
      <c r="Z503" s="18">
        <f>IF(Y503="",X503,Y503)</f>
        <v/>
      </c>
      <c r="AA503" s="18" t="inlineStr">
        <is>
          <t>fishing</t>
        </is>
      </c>
      <c r="AB503" s="18" t="inlineStr"/>
      <c r="AC503" s="18" t="inlineStr"/>
      <c r="AD503" s="18" t="inlineStr"/>
      <c r="AE503" s="18" t="inlineStr"/>
      <c r="AF503" s="18" t="inlineStr"/>
      <c r="AG503" s="18" t="inlineStr"/>
      <c r="AH503" s="18" t="inlineStr"/>
      <c r="AI503" s="18" t="inlineStr">
        <is>
          <t>{"fishing":{"minLureLevel":1}}</t>
        </is>
      </c>
      <c r="AJ503" s="18" t="inlineStr">
        <is>
          <t>COBBLEVERSE 수정</t>
        </is>
      </c>
      <c r="AK503" s="18" t="inlineStr">
        <is>
          <t>사용</t>
        </is>
      </c>
      <c r="AL503" s="18" t="inlineStr">
        <is>
          <t>COBBLEVERSE 1.7.42 / DP v31</t>
        </is>
      </c>
      <c r="AM503" s="18" t="inlineStr">
        <is>
          <t>data/cobblemon/spawn_pool_world/0129_magikarp.json</t>
        </is>
      </c>
      <c r="AN503" s="18" t="inlineStr">
        <is>
          <t>magikarp-apricot-tiger-15</t>
        </is>
      </c>
      <c r="AO503" s="18" t="inlineStr">
        <is>
          <t>pokemon</t>
        </is>
      </c>
      <c r="AP503" s="18" t="inlineStr"/>
      <c r="AQ503" s="18" t="inlineStr">
        <is>
          <t>{"biomes":["#aether:is_aether","#cobblemon:is_overworld"],"minLureLevel":1}</t>
        </is>
      </c>
      <c r="AR503" s="18" t="inlineStr"/>
      <c r="AS503" s="18" t="inlineStr">
        <is>
          <t>{"weightMultipliers":[{"condition":{"biomes":["#cobblemon:is_jungle","#cobblemon:is_ocean","#cobblemon:is_plains"]},"multiplier":3.0},{"condition":{"biomes":["#cobblemon:is_desert","#cobblemon:is_savanna"]},"multiplier":5.0}]}</t>
        </is>
      </c>
      <c r="AT503" s="19" t="inlineStr"/>
    </row>
    <row r="504" ht="32" customHeight="1">
      <c r="A504" s="18" t="inlineStr">
        <is>
          <t>0129_magikarp.json::magikarp-apricot-zebra-15::026</t>
        </is>
      </c>
      <c r="B504" s="19" t="inlineStr">
        <is>
          <t>사용</t>
        </is>
      </c>
      <c r="C504" s="18">
        <f>IF(OR(B504&lt;&gt;AK504,M504&lt;&gt;L504,O504&lt;&gt;"",Q504&lt;&gt;"",V504&lt;&gt;1,Y504&lt;&gt;"",AT504&lt;&gt;""),"수정","원본")</f>
        <v/>
      </c>
      <c r="D504" s="18" t="n">
        <v>129</v>
      </c>
      <c r="E504" s="18" t="inlineStr">
        <is>
          <t>잉어킹</t>
        </is>
      </c>
      <c r="F504" s="18" t="inlineStr">
        <is>
          <t>magikarp</t>
        </is>
      </c>
      <c r="G504" s="18" t="inlineStr">
        <is>
          <t>magikarp magikarp_jump=apricot-zebra</t>
        </is>
      </c>
      <c r="H504" s="18" t="inlineStr">
        <is>
          <t>magikarp_jump=apricot-zebra</t>
        </is>
      </c>
      <c r="I504" s="18" t="n">
        <v>1</v>
      </c>
      <c r="J504" s="18" t="n"/>
      <c r="K504" s="18" t="n">
        <v>1</v>
      </c>
      <c r="L504" s="18" t="inlineStr">
        <is>
          <t>cobbleventure:generation_1</t>
        </is>
      </c>
      <c r="M504" s="19" t="inlineStr">
        <is>
          <t>cobbleventure:generation_1</t>
        </is>
      </c>
      <c r="N504" s="18" t="inlineStr">
        <is>
          <t>region_01; region_02</t>
        </is>
      </c>
      <c r="O504" s="19" t="inlineStr"/>
      <c r="P504" s="18" t="inlineStr">
        <is>
          <t>#aether:is_aether; #cobblemon:is_overworld</t>
        </is>
      </c>
      <c r="Q504" s="19" t="inlineStr"/>
      <c r="R504" s="18">
        <f>IF(Q504="",P504,Q504)</f>
        <v/>
      </c>
      <c r="S504" s="18" t="inlineStr"/>
      <c r="T504" s="18" t="inlineStr">
        <is>
          <t>uncommon</t>
        </is>
      </c>
      <c r="U504" s="20" t="n">
        <v>2</v>
      </c>
      <c r="V504" s="21" t="n">
        <v>1</v>
      </c>
      <c r="W504" s="20">
        <f>IF(OR(U504="",V504=""),U504,U504*V504)</f>
        <v/>
      </c>
      <c r="X504" s="18" t="inlineStr">
        <is>
          <t>1-20</t>
        </is>
      </c>
      <c r="Y504" s="19" t="inlineStr"/>
      <c r="Z504" s="18">
        <f>IF(Y504="",X504,Y504)</f>
        <v/>
      </c>
      <c r="AA504" s="18" t="inlineStr">
        <is>
          <t>fishing</t>
        </is>
      </c>
      <c r="AB504" s="18" t="inlineStr"/>
      <c r="AC504" s="18" t="inlineStr"/>
      <c r="AD504" s="18" t="inlineStr"/>
      <c r="AE504" s="18" t="inlineStr"/>
      <c r="AF504" s="18" t="inlineStr"/>
      <c r="AG504" s="18" t="inlineStr"/>
      <c r="AH504" s="18" t="inlineStr"/>
      <c r="AI504" s="18" t="inlineStr">
        <is>
          <t>{"fishing":{"minLureLevel":1}}</t>
        </is>
      </c>
      <c r="AJ504" s="18" t="inlineStr">
        <is>
          <t>COBBLEVERSE 수정</t>
        </is>
      </c>
      <c r="AK504" s="18" t="inlineStr">
        <is>
          <t>사용</t>
        </is>
      </c>
      <c r="AL504" s="18" t="inlineStr">
        <is>
          <t>COBBLEVERSE 1.7.42 / DP v31</t>
        </is>
      </c>
      <c r="AM504" s="18" t="inlineStr">
        <is>
          <t>data/cobblemon/spawn_pool_world/0129_magikarp.json</t>
        </is>
      </c>
      <c r="AN504" s="18" t="inlineStr">
        <is>
          <t>magikarp-apricot-zebra-15</t>
        </is>
      </c>
      <c r="AO504" s="18" t="inlineStr">
        <is>
          <t>pokemon</t>
        </is>
      </c>
      <c r="AP504" s="18" t="inlineStr"/>
      <c r="AQ504" s="18" t="inlineStr">
        <is>
          <t>{"biomes":["#aether:is_aether","#cobblemon:is_overworld"],"minLureLevel":1}</t>
        </is>
      </c>
      <c r="AR504" s="18" t="inlineStr"/>
      <c r="AS504" s="18" t="inlineStr">
        <is>
          <t>{"weightMultipliers":[{"condition":{"biomes":["#cobblemon:is_jungle","#cobblemon:is_ocean","#cobblemon:is_plains"]},"multiplier":3.0},{"condition":{"biomes":["#cobblemon:is_desert","#cobblemon:is_savanna"]},"multiplier":5.0}]}</t>
        </is>
      </c>
      <c r="AT504" s="19" t="inlineStr"/>
    </row>
    <row r="505" ht="32" customHeight="1">
      <c r="A505" s="18" t="inlineStr">
        <is>
          <t>0129_magikarp.json::magikarp-apricot-stripes-15::027</t>
        </is>
      </c>
      <c r="B505" s="19" t="inlineStr">
        <is>
          <t>사용</t>
        </is>
      </c>
      <c r="C505" s="18">
        <f>IF(OR(B505&lt;&gt;AK505,M505&lt;&gt;L505,O505&lt;&gt;"",Q505&lt;&gt;"",V505&lt;&gt;1,Y505&lt;&gt;"",AT505&lt;&gt;""),"수정","원본")</f>
        <v/>
      </c>
      <c r="D505" s="18" t="n">
        <v>129</v>
      </c>
      <c r="E505" s="18" t="inlineStr">
        <is>
          <t>잉어킹</t>
        </is>
      </c>
      <c r="F505" s="18" t="inlineStr">
        <is>
          <t>magikarp</t>
        </is>
      </c>
      <c r="G505" s="18" t="inlineStr">
        <is>
          <t>magikarp magikarp_jump=apricot-stripes</t>
        </is>
      </c>
      <c r="H505" s="18" t="inlineStr">
        <is>
          <t>magikarp_jump=apricot-stripes</t>
        </is>
      </c>
      <c r="I505" s="18" t="n">
        <v>1</v>
      </c>
      <c r="J505" s="18" t="n"/>
      <c r="K505" s="18" t="n">
        <v>1</v>
      </c>
      <c r="L505" s="18" t="inlineStr">
        <is>
          <t>cobbleventure:generation_1</t>
        </is>
      </c>
      <c r="M505" s="19" t="inlineStr">
        <is>
          <t>cobbleventure:generation_1</t>
        </is>
      </c>
      <c r="N505" s="18" t="inlineStr">
        <is>
          <t>region_01; region_02</t>
        </is>
      </c>
      <c r="O505" s="19" t="inlineStr"/>
      <c r="P505" s="18" t="inlineStr">
        <is>
          <t>#aether:is_aether; #cobblemon:is_overworld</t>
        </is>
      </c>
      <c r="Q505" s="19" t="inlineStr"/>
      <c r="R505" s="18">
        <f>IF(Q505="",P505,Q505)</f>
        <v/>
      </c>
      <c r="S505" s="18" t="inlineStr"/>
      <c r="T505" s="18" t="inlineStr">
        <is>
          <t>uncommon</t>
        </is>
      </c>
      <c r="U505" s="20" t="n">
        <v>2</v>
      </c>
      <c r="V505" s="21" t="n">
        <v>1</v>
      </c>
      <c r="W505" s="20">
        <f>IF(OR(U505="",V505=""),U505,U505*V505)</f>
        <v/>
      </c>
      <c r="X505" s="18" t="inlineStr">
        <is>
          <t>1-20</t>
        </is>
      </c>
      <c r="Y505" s="19" t="inlineStr"/>
      <c r="Z505" s="18">
        <f>IF(Y505="",X505,Y505)</f>
        <v/>
      </c>
      <c r="AA505" s="18" t="inlineStr">
        <is>
          <t>fishing</t>
        </is>
      </c>
      <c r="AB505" s="18" t="inlineStr"/>
      <c r="AC505" s="18" t="inlineStr"/>
      <c r="AD505" s="18" t="inlineStr"/>
      <c r="AE505" s="18" t="inlineStr"/>
      <c r="AF505" s="18" t="inlineStr"/>
      <c r="AG505" s="18" t="inlineStr"/>
      <c r="AH505" s="18" t="inlineStr"/>
      <c r="AI505" s="18" t="inlineStr">
        <is>
          <t>{"fishing":{"minLureLevel":1}}</t>
        </is>
      </c>
      <c r="AJ505" s="18" t="inlineStr">
        <is>
          <t>COBBLEVERSE 수정</t>
        </is>
      </c>
      <c r="AK505" s="18" t="inlineStr">
        <is>
          <t>사용</t>
        </is>
      </c>
      <c r="AL505" s="18" t="inlineStr">
        <is>
          <t>COBBLEVERSE 1.7.42 / DP v31</t>
        </is>
      </c>
      <c r="AM505" s="18" t="inlineStr">
        <is>
          <t>data/cobblemon/spawn_pool_world/0129_magikarp.json</t>
        </is>
      </c>
      <c r="AN505" s="18" t="inlineStr">
        <is>
          <t>magikarp-apricot-stripes-15</t>
        </is>
      </c>
      <c r="AO505" s="18" t="inlineStr">
        <is>
          <t>pokemon</t>
        </is>
      </c>
      <c r="AP505" s="18" t="inlineStr"/>
      <c r="AQ505" s="18" t="inlineStr">
        <is>
          <t>{"biomes":["#aether:is_aether","#cobblemon:is_overworld"],"minLureLevel":1}</t>
        </is>
      </c>
      <c r="AR505" s="18" t="inlineStr"/>
      <c r="AS505" s="18" t="inlineStr">
        <is>
          <t>{"weightMultipliers":[{"condition":{"biomes":["#cobblemon:is_jungle","#cobblemon:is_ocean","#cobblemon:is_plains"]},"multiplier":3.0},{"condition":{"biomes":["#cobblemon:is_desert","#cobblemon:is_savanna"]},"multiplier":5.0}]}</t>
        </is>
      </c>
      <c r="AT505" s="19" t="inlineStr"/>
    </row>
    <row r="506" ht="32" customHeight="1">
      <c r="A506" s="18" t="inlineStr">
        <is>
          <t>0129_magikarp.json::magikarp-brown-tiger-16::028</t>
        </is>
      </c>
      <c r="B506" s="19" t="inlineStr">
        <is>
          <t>사용</t>
        </is>
      </c>
      <c r="C506" s="18">
        <f>IF(OR(B506&lt;&gt;AK506,M506&lt;&gt;L506,O506&lt;&gt;"",Q506&lt;&gt;"",V506&lt;&gt;1,Y506&lt;&gt;"",AT506&lt;&gt;""),"수정","원본")</f>
        <v/>
      </c>
      <c r="D506" s="18" t="n">
        <v>129</v>
      </c>
      <c r="E506" s="18" t="inlineStr">
        <is>
          <t>잉어킹</t>
        </is>
      </c>
      <c r="F506" s="18" t="inlineStr">
        <is>
          <t>magikarp</t>
        </is>
      </c>
      <c r="G506" s="18" t="inlineStr">
        <is>
          <t>magikarp magikarp_jump=brown-tiger</t>
        </is>
      </c>
      <c r="H506" s="18" t="inlineStr">
        <is>
          <t>magikarp_jump=brown-tiger</t>
        </is>
      </c>
      <c r="I506" s="18" t="n">
        <v>1</v>
      </c>
      <c r="J506" s="18" t="n"/>
      <c r="K506" s="18" t="n">
        <v>1</v>
      </c>
      <c r="L506" s="18" t="inlineStr">
        <is>
          <t>cobbleventure:generation_1</t>
        </is>
      </c>
      <c r="M506" s="19" t="inlineStr">
        <is>
          <t>cobbleventure:generation_1</t>
        </is>
      </c>
      <c r="N506" s="18" t="inlineStr">
        <is>
          <t>region_01; region_02</t>
        </is>
      </c>
      <c r="O506" s="19" t="inlineStr"/>
      <c r="P506" s="18" t="inlineStr">
        <is>
          <t>#aether:is_aether; #cobblemon:is_overworld</t>
        </is>
      </c>
      <c r="Q506" s="19" t="inlineStr"/>
      <c r="R506" s="18">
        <f>IF(Q506="",P506,Q506)</f>
        <v/>
      </c>
      <c r="S506" s="18" t="inlineStr"/>
      <c r="T506" s="18" t="inlineStr">
        <is>
          <t>uncommon</t>
        </is>
      </c>
      <c r="U506" s="20" t="n">
        <v>2</v>
      </c>
      <c r="V506" s="21" t="n">
        <v>1</v>
      </c>
      <c r="W506" s="20">
        <f>IF(OR(U506="",V506=""),U506,U506*V506)</f>
        <v/>
      </c>
      <c r="X506" s="18" t="inlineStr">
        <is>
          <t>1-20</t>
        </is>
      </c>
      <c r="Y506" s="19" t="inlineStr"/>
      <c r="Z506" s="18">
        <f>IF(Y506="",X506,Y506)</f>
        <v/>
      </c>
      <c r="AA506" s="18" t="inlineStr">
        <is>
          <t>fishing</t>
        </is>
      </c>
      <c r="AB506" s="18" t="inlineStr"/>
      <c r="AC506" s="18" t="inlineStr"/>
      <c r="AD506" s="18" t="inlineStr"/>
      <c r="AE506" s="18" t="inlineStr"/>
      <c r="AF506" s="18" t="inlineStr"/>
      <c r="AG506" s="18" t="inlineStr"/>
      <c r="AH506" s="18" t="inlineStr"/>
      <c r="AI506" s="18" t="inlineStr">
        <is>
          <t>{"fishing":{"minLureLevel":1}}</t>
        </is>
      </c>
      <c r="AJ506" s="18" t="inlineStr">
        <is>
          <t>COBBLEVERSE 수정</t>
        </is>
      </c>
      <c r="AK506" s="18" t="inlineStr">
        <is>
          <t>사용</t>
        </is>
      </c>
      <c r="AL506" s="18" t="inlineStr">
        <is>
          <t>COBBLEVERSE 1.7.42 / DP v31</t>
        </is>
      </c>
      <c r="AM506" s="18" t="inlineStr">
        <is>
          <t>data/cobblemon/spawn_pool_world/0129_magikarp.json</t>
        </is>
      </c>
      <c r="AN506" s="18" t="inlineStr">
        <is>
          <t>magikarp-brown-tiger-16</t>
        </is>
      </c>
      <c r="AO506" s="18" t="inlineStr">
        <is>
          <t>pokemon</t>
        </is>
      </c>
      <c r="AP506" s="18" t="inlineStr"/>
      <c r="AQ506" s="18" t="inlineStr">
        <is>
          <t>{"biomes":["#aether:is_aether","#cobblemon:is_overworld"],"minLureLevel":1}</t>
        </is>
      </c>
      <c r="AR506" s="18" t="inlineStr"/>
      <c r="AS506" s="18" t="inlineStr">
        <is>
          <t>{"weightMultipliers":[{"condition":{"biomes":["#cobblemon:is_mountain","#cobblemon:is_swamp","#cobblemon:is_taiga"]},"multiplier":3.0},{"condition":{"biomes":["#cobblemon:is_badlands","#cobblemon:is_jungle"]},"multiplier":5.0}]}</t>
        </is>
      </c>
      <c r="AT506" s="19" t="inlineStr"/>
    </row>
    <row r="507" ht="32" customHeight="1">
      <c r="A507" s="18" t="inlineStr">
        <is>
          <t>0129_magikarp.json::magikarp-brown-zebra-16::029</t>
        </is>
      </c>
      <c r="B507" s="19" t="inlineStr">
        <is>
          <t>사용</t>
        </is>
      </c>
      <c r="C507" s="18">
        <f>IF(OR(B507&lt;&gt;AK507,M507&lt;&gt;L507,O507&lt;&gt;"",Q507&lt;&gt;"",V507&lt;&gt;1,Y507&lt;&gt;"",AT507&lt;&gt;""),"수정","원본")</f>
        <v/>
      </c>
      <c r="D507" s="18" t="n">
        <v>129</v>
      </c>
      <c r="E507" s="18" t="inlineStr">
        <is>
          <t>잉어킹</t>
        </is>
      </c>
      <c r="F507" s="18" t="inlineStr">
        <is>
          <t>magikarp</t>
        </is>
      </c>
      <c r="G507" s="18" t="inlineStr">
        <is>
          <t>magikarp magikarp_jump=brown-zebra</t>
        </is>
      </c>
      <c r="H507" s="18" t="inlineStr">
        <is>
          <t>magikarp_jump=brown-zebra</t>
        </is>
      </c>
      <c r="I507" s="18" t="n">
        <v>1</v>
      </c>
      <c r="J507" s="18" t="n"/>
      <c r="K507" s="18" t="n">
        <v>1</v>
      </c>
      <c r="L507" s="18" t="inlineStr">
        <is>
          <t>cobbleventure:generation_1</t>
        </is>
      </c>
      <c r="M507" s="19" t="inlineStr">
        <is>
          <t>cobbleventure:generation_1</t>
        </is>
      </c>
      <c r="N507" s="18" t="inlineStr">
        <is>
          <t>region_01; region_02</t>
        </is>
      </c>
      <c r="O507" s="19" t="inlineStr"/>
      <c r="P507" s="18" t="inlineStr">
        <is>
          <t>#aether:is_aether; #cobblemon:is_overworld</t>
        </is>
      </c>
      <c r="Q507" s="19" t="inlineStr"/>
      <c r="R507" s="18">
        <f>IF(Q507="",P507,Q507)</f>
        <v/>
      </c>
      <c r="S507" s="18" t="inlineStr"/>
      <c r="T507" s="18" t="inlineStr">
        <is>
          <t>uncommon</t>
        </is>
      </c>
      <c r="U507" s="20" t="n">
        <v>2</v>
      </c>
      <c r="V507" s="21" t="n">
        <v>1</v>
      </c>
      <c r="W507" s="20">
        <f>IF(OR(U507="",V507=""),U507,U507*V507)</f>
        <v/>
      </c>
      <c r="X507" s="18" t="inlineStr">
        <is>
          <t>1-20</t>
        </is>
      </c>
      <c r="Y507" s="19" t="inlineStr"/>
      <c r="Z507" s="18">
        <f>IF(Y507="",X507,Y507)</f>
        <v/>
      </c>
      <c r="AA507" s="18" t="inlineStr">
        <is>
          <t>fishing</t>
        </is>
      </c>
      <c r="AB507" s="18" t="inlineStr"/>
      <c r="AC507" s="18" t="inlineStr"/>
      <c r="AD507" s="18" t="inlineStr"/>
      <c r="AE507" s="18" t="inlineStr"/>
      <c r="AF507" s="18" t="inlineStr"/>
      <c r="AG507" s="18" t="inlineStr"/>
      <c r="AH507" s="18" t="inlineStr"/>
      <c r="AI507" s="18" t="inlineStr">
        <is>
          <t>{"fishing":{"minLureLevel":1}}</t>
        </is>
      </c>
      <c r="AJ507" s="18" t="inlineStr">
        <is>
          <t>COBBLEVERSE 수정</t>
        </is>
      </c>
      <c r="AK507" s="18" t="inlineStr">
        <is>
          <t>사용</t>
        </is>
      </c>
      <c r="AL507" s="18" t="inlineStr">
        <is>
          <t>COBBLEVERSE 1.7.42 / DP v31</t>
        </is>
      </c>
      <c r="AM507" s="18" t="inlineStr">
        <is>
          <t>data/cobblemon/spawn_pool_world/0129_magikarp.json</t>
        </is>
      </c>
      <c r="AN507" s="18" t="inlineStr">
        <is>
          <t>magikarp-brown-zebra-16</t>
        </is>
      </c>
      <c r="AO507" s="18" t="inlineStr">
        <is>
          <t>pokemon</t>
        </is>
      </c>
      <c r="AP507" s="18" t="inlineStr"/>
      <c r="AQ507" s="18" t="inlineStr">
        <is>
          <t>{"biomes":["#aether:is_aether","#cobblemon:is_overworld"],"minLureLevel":1}</t>
        </is>
      </c>
      <c r="AR507" s="18" t="inlineStr"/>
      <c r="AS507" s="18" t="inlineStr">
        <is>
          <t>{"weightMultipliers":[{"condition":{"biomes":["#cobblemon:is_mountain","#cobblemon:is_swamp","#cobblemon:is_taiga"]},"multiplier":3.0},{"condition":{"biomes":["#cobblemon:is_badlands","#cobblemon:is_jungle"]},"multiplier":5.0}]}</t>
        </is>
      </c>
      <c r="AT507" s="19" t="inlineStr"/>
    </row>
    <row r="508" ht="32" customHeight="1">
      <c r="A508" s="18" t="inlineStr">
        <is>
          <t>0129_magikarp.json::magikarp-brown-stripes-16::030</t>
        </is>
      </c>
      <c r="B508" s="19" t="inlineStr">
        <is>
          <t>사용</t>
        </is>
      </c>
      <c r="C508" s="18">
        <f>IF(OR(B508&lt;&gt;AK508,M508&lt;&gt;L508,O508&lt;&gt;"",Q508&lt;&gt;"",V508&lt;&gt;1,Y508&lt;&gt;"",AT508&lt;&gt;""),"수정","원본")</f>
        <v/>
      </c>
      <c r="D508" s="18" t="n">
        <v>129</v>
      </c>
      <c r="E508" s="18" t="inlineStr">
        <is>
          <t>잉어킹</t>
        </is>
      </c>
      <c r="F508" s="18" t="inlineStr">
        <is>
          <t>magikarp</t>
        </is>
      </c>
      <c r="G508" s="18" t="inlineStr">
        <is>
          <t>magikarp magikarp_jump=brown-stripes</t>
        </is>
      </c>
      <c r="H508" s="18" t="inlineStr">
        <is>
          <t>magikarp_jump=brown-stripes</t>
        </is>
      </c>
      <c r="I508" s="18" t="n">
        <v>1</v>
      </c>
      <c r="J508" s="18" t="n"/>
      <c r="K508" s="18" t="n">
        <v>1</v>
      </c>
      <c r="L508" s="18" t="inlineStr">
        <is>
          <t>cobbleventure:generation_1</t>
        </is>
      </c>
      <c r="M508" s="19" t="inlineStr">
        <is>
          <t>cobbleventure:generation_1</t>
        </is>
      </c>
      <c r="N508" s="18" t="inlineStr">
        <is>
          <t>region_01; region_02</t>
        </is>
      </c>
      <c r="O508" s="19" t="inlineStr"/>
      <c r="P508" s="18" t="inlineStr">
        <is>
          <t>#aether:is_aether; #cobblemon:is_overworld</t>
        </is>
      </c>
      <c r="Q508" s="19" t="inlineStr"/>
      <c r="R508" s="18">
        <f>IF(Q508="",P508,Q508)</f>
        <v/>
      </c>
      <c r="S508" s="18" t="inlineStr"/>
      <c r="T508" s="18" t="inlineStr">
        <is>
          <t>uncommon</t>
        </is>
      </c>
      <c r="U508" s="20" t="n">
        <v>2</v>
      </c>
      <c r="V508" s="21" t="n">
        <v>1</v>
      </c>
      <c r="W508" s="20">
        <f>IF(OR(U508="",V508=""),U508,U508*V508)</f>
        <v/>
      </c>
      <c r="X508" s="18" t="inlineStr">
        <is>
          <t>1-20</t>
        </is>
      </c>
      <c r="Y508" s="19" t="inlineStr"/>
      <c r="Z508" s="18">
        <f>IF(Y508="",X508,Y508)</f>
        <v/>
      </c>
      <c r="AA508" s="18" t="inlineStr">
        <is>
          <t>fishing</t>
        </is>
      </c>
      <c r="AB508" s="18" t="inlineStr"/>
      <c r="AC508" s="18" t="inlineStr"/>
      <c r="AD508" s="18" t="inlineStr"/>
      <c r="AE508" s="18" t="inlineStr"/>
      <c r="AF508" s="18" t="inlineStr"/>
      <c r="AG508" s="18" t="inlineStr"/>
      <c r="AH508" s="18" t="inlineStr"/>
      <c r="AI508" s="18" t="inlineStr">
        <is>
          <t>{"fishing":{"minLureLevel":1}}</t>
        </is>
      </c>
      <c r="AJ508" s="18" t="inlineStr">
        <is>
          <t>COBBLEVERSE 수정</t>
        </is>
      </c>
      <c r="AK508" s="18" t="inlineStr">
        <is>
          <t>사용</t>
        </is>
      </c>
      <c r="AL508" s="18" t="inlineStr">
        <is>
          <t>COBBLEVERSE 1.7.42 / DP v31</t>
        </is>
      </c>
      <c r="AM508" s="18" t="inlineStr">
        <is>
          <t>data/cobblemon/spawn_pool_world/0129_magikarp.json</t>
        </is>
      </c>
      <c r="AN508" s="18" t="inlineStr">
        <is>
          <t>magikarp-brown-stripes-16</t>
        </is>
      </c>
      <c r="AO508" s="18" t="inlineStr">
        <is>
          <t>pokemon</t>
        </is>
      </c>
      <c r="AP508" s="18" t="inlineStr"/>
      <c r="AQ508" s="18" t="inlineStr">
        <is>
          <t>{"biomes":["#aether:is_aether","#cobblemon:is_overworld"],"minLureLevel":1}</t>
        </is>
      </c>
      <c r="AR508" s="18" t="inlineStr"/>
      <c r="AS508" s="18" t="inlineStr">
        <is>
          <t>{"weightMultipliers":[{"condition":{"biomes":["#cobblemon:is_mountain","#cobblemon:is_swamp","#cobblemon:is_taiga"]},"multiplier":3.0},{"condition":{"biomes":["#cobblemon:is_badlands","#cobblemon:is_jungle"]},"multiplier":5.0}]}</t>
        </is>
      </c>
      <c r="AT508" s="19" t="inlineStr"/>
    </row>
    <row r="509" ht="32" customHeight="1">
      <c r="A509" s="18" t="inlineStr">
        <is>
          <t>0129_magikarp.json::magikarp-orange-forehead-17::031</t>
        </is>
      </c>
      <c r="B509" s="19" t="inlineStr">
        <is>
          <t>사용</t>
        </is>
      </c>
      <c r="C509" s="18">
        <f>IF(OR(B509&lt;&gt;AK509,M509&lt;&gt;L509,O509&lt;&gt;"",Q509&lt;&gt;"",V509&lt;&gt;1,Y509&lt;&gt;"",AT509&lt;&gt;""),"수정","원본")</f>
        <v/>
      </c>
      <c r="D509" s="18" t="n">
        <v>129</v>
      </c>
      <c r="E509" s="18" t="inlineStr">
        <is>
          <t>잉어킹</t>
        </is>
      </c>
      <c r="F509" s="18" t="inlineStr">
        <is>
          <t>magikarp</t>
        </is>
      </c>
      <c r="G509" s="18" t="inlineStr">
        <is>
          <t>magikarp magikarp_jump=orange-forehead</t>
        </is>
      </c>
      <c r="H509" s="18" t="inlineStr">
        <is>
          <t>magikarp_jump=orange-forehead</t>
        </is>
      </c>
      <c r="I509" s="18" t="n">
        <v>1</v>
      </c>
      <c r="J509" s="18" t="n"/>
      <c r="K509" s="18" t="n">
        <v>1</v>
      </c>
      <c r="L509" s="18" t="inlineStr">
        <is>
          <t>cobbleventure:generation_1</t>
        </is>
      </c>
      <c r="M509" s="19" t="inlineStr">
        <is>
          <t>cobbleventure:generation_1</t>
        </is>
      </c>
      <c r="N509" s="18" t="inlineStr">
        <is>
          <t>region_01; region_02</t>
        </is>
      </c>
      <c r="O509" s="19" t="inlineStr"/>
      <c r="P509" s="18" t="inlineStr">
        <is>
          <t>#aether:is_aether; #cobblemon:is_overworld</t>
        </is>
      </c>
      <c r="Q509" s="19" t="inlineStr"/>
      <c r="R509" s="18">
        <f>IF(Q509="",P509,Q509)</f>
        <v/>
      </c>
      <c r="S509" s="18" t="inlineStr"/>
      <c r="T509" s="18" t="inlineStr">
        <is>
          <t>uncommon</t>
        </is>
      </c>
      <c r="U509" s="20" t="n">
        <v>2</v>
      </c>
      <c r="V509" s="21" t="n">
        <v>1</v>
      </c>
      <c r="W509" s="20">
        <f>IF(OR(U509="",V509=""),U509,U509*V509)</f>
        <v/>
      </c>
      <c r="X509" s="18" t="inlineStr">
        <is>
          <t>1-20</t>
        </is>
      </c>
      <c r="Y509" s="19" t="inlineStr"/>
      <c r="Z509" s="18">
        <f>IF(Y509="",X509,Y509)</f>
        <v/>
      </c>
      <c r="AA509" s="18" t="inlineStr">
        <is>
          <t>fishing</t>
        </is>
      </c>
      <c r="AB509" s="18" t="inlineStr"/>
      <c r="AC509" s="18" t="inlineStr"/>
      <c r="AD509" s="18" t="inlineStr"/>
      <c r="AE509" s="18" t="inlineStr"/>
      <c r="AF509" s="18" t="inlineStr">
        <is>
          <t>True</t>
        </is>
      </c>
      <c r="AG509" s="18" t="inlineStr"/>
      <c r="AH509" s="18" t="inlineStr"/>
      <c r="AI509" s="18" t="inlineStr">
        <is>
          <t>{"fishing":{"minLureLevel":1}}</t>
        </is>
      </c>
      <c r="AJ509" s="18" t="inlineStr">
        <is>
          <t>COBBLEVERSE 수정</t>
        </is>
      </c>
      <c r="AK509" s="18" t="inlineStr">
        <is>
          <t>사용</t>
        </is>
      </c>
      <c r="AL509" s="18" t="inlineStr">
        <is>
          <t>COBBLEVERSE 1.7.42 / DP v31</t>
        </is>
      </c>
      <c r="AM509" s="18" t="inlineStr">
        <is>
          <t>data/cobblemon/spawn_pool_world/0129_magikarp.json</t>
        </is>
      </c>
      <c r="AN509" s="18" t="inlineStr">
        <is>
          <t>magikarp-orange-forehead-17</t>
        </is>
      </c>
      <c r="AO509" s="18" t="inlineStr">
        <is>
          <t>pokemon</t>
        </is>
      </c>
      <c r="AP509" s="18" t="inlineStr"/>
      <c r="AQ509" s="18" t="inlineStr">
        <is>
          <t>{"biomes":["#aether:is_aether","#cobblemon:is_overworld"],"canSeeSky":true,"minLureLevel":1}</t>
        </is>
      </c>
      <c r="AR509" s="18" t="inlineStr"/>
      <c r="AS509" s="18" t="inlineStr">
        <is>
          <t>{"weightMultiplier":{"condition":{"biomes":["#cobblemon:is_desert","#cobblemon:is_savanna","#cobblemon:is_snowy","#cobblemon:is_tundra"]},"multiplier":3.0}}</t>
        </is>
      </c>
      <c r="AT509" s="19" t="inlineStr"/>
    </row>
    <row r="510" ht="32" customHeight="1">
      <c r="A510" s="18" t="inlineStr">
        <is>
          <t>0129_magikarp.json::magikarp-orange-mask-17::032</t>
        </is>
      </c>
      <c r="B510" s="19" t="inlineStr">
        <is>
          <t>사용</t>
        </is>
      </c>
      <c r="C510" s="18">
        <f>IF(OR(B510&lt;&gt;AK510,M510&lt;&gt;L510,O510&lt;&gt;"",Q510&lt;&gt;"",V510&lt;&gt;1,Y510&lt;&gt;"",AT510&lt;&gt;""),"수정","원본")</f>
        <v/>
      </c>
      <c r="D510" s="18" t="n">
        <v>129</v>
      </c>
      <c r="E510" s="18" t="inlineStr">
        <is>
          <t>잉어킹</t>
        </is>
      </c>
      <c r="F510" s="18" t="inlineStr">
        <is>
          <t>magikarp</t>
        </is>
      </c>
      <c r="G510" s="18" t="inlineStr">
        <is>
          <t>magikarp magikarp_jump=orange-mask</t>
        </is>
      </c>
      <c r="H510" s="18" t="inlineStr">
        <is>
          <t>magikarp_jump=orange-mask</t>
        </is>
      </c>
      <c r="I510" s="18" t="n">
        <v>1</v>
      </c>
      <c r="J510" s="18" t="n"/>
      <c r="K510" s="18" t="n">
        <v>1</v>
      </c>
      <c r="L510" s="18" t="inlineStr">
        <is>
          <t>cobbleventure:generation_1</t>
        </is>
      </c>
      <c r="M510" s="19" t="inlineStr">
        <is>
          <t>cobbleventure:generation_1</t>
        </is>
      </c>
      <c r="N510" s="18" t="inlineStr">
        <is>
          <t>region_01; region_02</t>
        </is>
      </c>
      <c r="O510" s="19" t="inlineStr"/>
      <c r="P510" s="18" t="inlineStr">
        <is>
          <t>#aether:is_aether; #cobblemon:is_overworld</t>
        </is>
      </c>
      <c r="Q510" s="19" t="inlineStr"/>
      <c r="R510" s="18">
        <f>IF(Q510="",P510,Q510)</f>
        <v/>
      </c>
      <c r="S510" s="18" t="inlineStr"/>
      <c r="T510" s="18" t="inlineStr">
        <is>
          <t>uncommon</t>
        </is>
      </c>
      <c r="U510" s="20" t="n">
        <v>2</v>
      </c>
      <c r="V510" s="21" t="n">
        <v>1</v>
      </c>
      <c r="W510" s="20">
        <f>IF(OR(U510="",V510=""),U510,U510*V510)</f>
        <v/>
      </c>
      <c r="X510" s="18" t="inlineStr">
        <is>
          <t>1-20</t>
        </is>
      </c>
      <c r="Y510" s="19" t="inlineStr"/>
      <c r="Z510" s="18">
        <f>IF(Y510="",X510,Y510)</f>
        <v/>
      </c>
      <c r="AA510" s="18" t="inlineStr">
        <is>
          <t>fishing</t>
        </is>
      </c>
      <c r="AB510" s="18" t="inlineStr"/>
      <c r="AC510" s="18" t="inlineStr"/>
      <c r="AD510" s="18" t="inlineStr"/>
      <c r="AE510" s="18" t="inlineStr"/>
      <c r="AF510" s="18" t="inlineStr">
        <is>
          <t>True</t>
        </is>
      </c>
      <c r="AG510" s="18" t="inlineStr"/>
      <c r="AH510" s="18" t="inlineStr"/>
      <c r="AI510" s="18" t="inlineStr">
        <is>
          <t>{"fishing":{"minLureLevel":1}}</t>
        </is>
      </c>
      <c r="AJ510" s="18" t="inlineStr">
        <is>
          <t>COBBLEVERSE 수정</t>
        </is>
      </c>
      <c r="AK510" s="18" t="inlineStr">
        <is>
          <t>사용</t>
        </is>
      </c>
      <c r="AL510" s="18" t="inlineStr">
        <is>
          <t>COBBLEVERSE 1.7.42 / DP v31</t>
        </is>
      </c>
      <c r="AM510" s="18" t="inlineStr">
        <is>
          <t>data/cobblemon/spawn_pool_world/0129_magikarp.json</t>
        </is>
      </c>
      <c r="AN510" s="18" t="inlineStr">
        <is>
          <t>magikarp-orange-mask-17</t>
        </is>
      </c>
      <c r="AO510" s="18" t="inlineStr">
        <is>
          <t>pokemon</t>
        </is>
      </c>
      <c r="AP510" s="18" t="inlineStr"/>
      <c r="AQ510" s="18" t="inlineStr">
        <is>
          <t>{"biomes":["#aether:is_aether","#cobblemon:is_overworld"],"canSeeSky":true,"minLureLevel":1}</t>
        </is>
      </c>
      <c r="AR510" s="18" t="inlineStr"/>
      <c r="AS510" s="18" t="inlineStr">
        <is>
          <t>{"weightMultiplier":{"condition":{"biomes":["#cobblemon:is_desert","#cobblemon:is_savanna","#cobblemon:is_snowy","#cobblemon:is_tundra"]},"multiplier":3.0}}</t>
        </is>
      </c>
      <c r="AT510" s="19" t="inlineStr"/>
    </row>
    <row r="511" ht="32" customHeight="1">
      <c r="A511" s="18" t="inlineStr">
        <is>
          <t>0129_magikarp.json::magikarp-orange-forehead-18::033</t>
        </is>
      </c>
      <c r="B511" s="19" t="inlineStr">
        <is>
          <t>사용</t>
        </is>
      </c>
      <c r="C511" s="18">
        <f>IF(OR(B511&lt;&gt;AK511,M511&lt;&gt;L511,O511&lt;&gt;"",Q511&lt;&gt;"",V511&lt;&gt;1,Y511&lt;&gt;"",AT511&lt;&gt;""),"수정","원본")</f>
        <v/>
      </c>
      <c r="D511" s="18" t="n">
        <v>129</v>
      </c>
      <c r="E511" s="18" t="inlineStr">
        <is>
          <t>잉어킹</t>
        </is>
      </c>
      <c r="F511" s="18" t="inlineStr">
        <is>
          <t>magikarp</t>
        </is>
      </c>
      <c r="G511" s="18" t="inlineStr">
        <is>
          <t>magikarp magikarp_jump=orange-forehead</t>
        </is>
      </c>
      <c r="H511" s="18" t="inlineStr">
        <is>
          <t>magikarp_jump=orange-forehead</t>
        </is>
      </c>
      <c r="I511" s="18" t="n">
        <v>1</v>
      </c>
      <c r="J511" s="18" t="n"/>
      <c r="K511" s="18" t="n">
        <v>1</v>
      </c>
      <c r="L511" s="18" t="inlineStr">
        <is>
          <t>cobbleventure:generation_1</t>
        </is>
      </c>
      <c r="M511" s="19" t="inlineStr">
        <is>
          <t>cobbleventure:generation_1</t>
        </is>
      </c>
      <c r="N511" s="18" t="inlineStr">
        <is>
          <t>region_01; region_02</t>
        </is>
      </c>
      <c r="O511" s="19" t="inlineStr"/>
      <c r="P511" s="18" t="inlineStr">
        <is>
          <t>#aether:is_aether; #cobblemon:is_overworld</t>
        </is>
      </c>
      <c r="Q511" s="19" t="inlineStr"/>
      <c r="R511" s="18">
        <f>IF(Q511="",P511,Q511)</f>
        <v/>
      </c>
      <c r="S511" s="18" t="inlineStr"/>
      <c r="T511" s="18" t="inlineStr">
        <is>
          <t>uncommon</t>
        </is>
      </c>
      <c r="U511" s="20" t="n">
        <v>10</v>
      </c>
      <c r="V511" s="21" t="n">
        <v>1</v>
      </c>
      <c r="W511" s="20">
        <f>IF(OR(U511="",V511=""),U511,U511*V511)</f>
        <v/>
      </c>
      <c r="X511" s="18" t="inlineStr">
        <is>
          <t>1-20</t>
        </is>
      </c>
      <c r="Y511" s="19" t="inlineStr"/>
      <c r="Z511" s="18">
        <f>IF(Y511="",X511,Y511)</f>
        <v/>
      </c>
      <c r="AA511" s="18" t="inlineStr">
        <is>
          <t>fishing</t>
        </is>
      </c>
      <c r="AB511" s="18" t="inlineStr"/>
      <c r="AC511" s="18" t="inlineStr"/>
      <c r="AD511" s="18" t="inlineStr"/>
      <c r="AE511" s="18" t="inlineStr">
        <is>
          <t>sky 0-7</t>
        </is>
      </c>
      <c r="AF511" s="18" t="inlineStr"/>
      <c r="AG511" s="18" t="inlineStr"/>
      <c r="AH511" s="18" t="inlineStr"/>
      <c r="AI511" s="18" t="inlineStr">
        <is>
          <t>{"fishing":{"minLureLevel":1}}</t>
        </is>
      </c>
      <c r="AJ511" s="18" t="inlineStr">
        <is>
          <t>COBBLEVERSE 수정</t>
        </is>
      </c>
      <c r="AK511" s="18" t="inlineStr">
        <is>
          <t>사용</t>
        </is>
      </c>
      <c r="AL511" s="18" t="inlineStr">
        <is>
          <t>COBBLEVERSE 1.7.42 / DP v31</t>
        </is>
      </c>
      <c r="AM511" s="18" t="inlineStr">
        <is>
          <t>data/cobblemon/spawn_pool_world/0129_magikarp.json</t>
        </is>
      </c>
      <c r="AN511" s="18" t="inlineStr">
        <is>
          <t>magikarp-orange-forehead-18</t>
        </is>
      </c>
      <c r="AO511" s="18" t="inlineStr">
        <is>
          <t>pokemon</t>
        </is>
      </c>
      <c r="AP511" s="18" t="inlineStr"/>
      <c r="AQ511" s="18" t="inlineStr">
        <is>
          <t>{"biomes":["#aether:is_aether","#cobblemon:is_overworld"],"maxSkyLight":7,"minLureLevel":1,"minSkyLight":0}</t>
        </is>
      </c>
      <c r="AR511" s="18" t="inlineStr"/>
      <c r="AS511" s="18" t="inlineStr"/>
      <c r="AT511" s="19" t="inlineStr"/>
    </row>
    <row r="512" ht="32" customHeight="1">
      <c r="A512" s="18" t="inlineStr">
        <is>
          <t>0129_magikarp.json::magikarp-orange-mask-18::034</t>
        </is>
      </c>
      <c r="B512" s="19" t="inlineStr">
        <is>
          <t>사용</t>
        </is>
      </c>
      <c r="C512" s="18">
        <f>IF(OR(B512&lt;&gt;AK512,M512&lt;&gt;L512,O512&lt;&gt;"",Q512&lt;&gt;"",V512&lt;&gt;1,Y512&lt;&gt;"",AT512&lt;&gt;""),"수정","원본")</f>
        <v/>
      </c>
      <c r="D512" s="18" t="n">
        <v>129</v>
      </c>
      <c r="E512" s="18" t="inlineStr">
        <is>
          <t>잉어킹</t>
        </is>
      </c>
      <c r="F512" s="18" t="inlineStr">
        <is>
          <t>magikarp</t>
        </is>
      </c>
      <c r="G512" s="18" t="inlineStr">
        <is>
          <t>magikarp magikarp_jump=orange-mask</t>
        </is>
      </c>
      <c r="H512" s="18" t="inlineStr">
        <is>
          <t>magikarp_jump=orange-mask</t>
        </is>
      </c>
      <c r="I512" s="18" t="n">
        <v>1</v>
      </c>
      <c r="J512" s="18" t="n"/>
      <c r="K512" s="18" t="n">
        <v>1</v>
      </c>
      <c r="L512" s="18" t="inlineStr">
        <is>
          <t>cobbleventure:generation_1</t>
        </is>
      </c>
      <c r="M512" s="19" t="inlineStr">
        <is>
          <t>cobbleventure:generation_1</t>
        </is>
      </c>
      <c r="N512" s="18" t="inlineStr">
        <is>
          <t>region_01; region_02</t>
        </is>
      </c>
      <c r="O512" s="19" t="inlineStr"/>
      <c r="P512" s="18" t="inlineStr">
        <is>
          <t>#aether:is_aether; #cobblemon:is_overworld</t>
        </is>
      </c>
      <c r="Q512" s="19" t="inlineStr"/>
      <c r="R512" s="18">
        <f>IF(Q512="",P512,Q512)</f>
        <v/>
      </c>
      <c r="S512" s="18" t="inlineStr"/>
      <c r="T512" s="18" t="inlineStr">
        <is>
          <t>uncommon</t>
        </is>
      </c>
      <c r="U512" s="20" t="n">
        <v>10</v>
      </c>
      <c r="V512" s="21" t="n">
        <v>1</v>
      </c>
      <c r="W512" s="20">
        <f>IF(OR(U512="",V512=""),U512,U512*V512)</f>
        <v/>
      </c>
      <c r="X512" s="18" t="inlineStr">
        <is>
          <t>1-20</t>
        </is>
      </c>
      <c r="Y512" s="19" t="inlineStr"/>
      <c r="Z512" s="18">
        <f>IF(Y512="",X512,Y512)</f>
        <v/>
      </c>
      <c r="AA512" s="18" t="inlineStr">
        <is>
          <t>fishing</t>
        </is>
      </c>
      <c r="AB512" s="18" t="inlineStr"/>
      <c r="AC512" s="18" t="inlineStr"/>
      <c r="AD512" s="18" t="inlineStr"/>
      <c r="AE512" s="18" t="inlineStr">
        <is>
          <t>sky 0-7</t>
        </is>
      </c>
      <c r="AF512" s="18" t="inlineStr"/>
      <c r="AG512" s="18" t="inlineStr"/>
      <c r="AH512" s="18" t="inlineStr"/>
      <c r="AI512" s="18" t="inlineStr">
        <is>
          <t>{"fishing":{"minLureLevel":1}}</t>
        </is>
      </c>
      <c r="AJ512" s="18" t="inlineStr">
        <is>
          <t>COBBLEVERSE 수정</t>
        </is>
      </c>
      <c r="AK512" s="18" t="inlineStr">
        <is>
          <t>사용</t>
        </is>
      </c>
      <c r="AL512" s="18" t="inlineStr">
        <is>
          <t>COBBLEVERSE 1.7.42 / DP v31</t>
        </is>
      </c>
      <c r="AM512" s="18" t="inlineStr">
        <is>
          <t>data/cobblemon/spawn_pool_world/0129_magikarp.json</t>
        </is>
      </c>
      <c r="AN512" s="18" t="inlineStr">
        <is>
          <t>magikarp-orange-mask-18</t>
        </is>
      </c>
      <c r="AO512" s="18" t="inlineStr">
        <is>
          <t>pokemon</t>
        </is>
      </c>
      <c r="AP512" s="18" t="inlineStr"/>
      <c r="AQ512" s="18" t="inlineStr">
        <is>
          <t>{"biomes":["#aether:is_aether","#cobblemon:is_overworld"],"maxSkyLight":7,"minLureLevel":1,"minSkyLight":0}</t>
        </is>
      </c>
      <c r="AR512" s="18" t="inlineStr"/>
      <c r="AS512" s="18" t="inlineStr"/>
      <c r="AT512" s="19" t="inlineStr"/>
    </row>
    <row r="513" ht="32" customHeight="1">
      <c r="A513" s="18" t="inlineStr">
        <is>
          <t>0129_magikarp.json::magikarp-orange-forehead-19::035</t>
        </is>
      </c>
      <c r="B513" s="19" t="inlineStr">
        <is>
          <t>사용</t>
        </is>
      </c>
      <c r="C513" s="18">
        <f>IF(OR(B513&lt;&gt;AK513,M513&lt;&gt;L513,O513&lt;&gt;"",Q513&lt;&gt;"",V513&lt;&gt;1,Y513&lt;&gt;"",AT513&lt;&gt;""),"수정","원본")</f>
        <v/>
      </c>
      <c r="D513" s="18" t="n">
        <v>129</v>
      </c>
      <c r="E513" s="18" t="inlineStr">
        <is>
          <t>잉어킹</t>
        </is>
      </c>
      <c r="F513" s="18" t="inlineStr">
        <is>
          <t>magikarp</t>
        </is>
      </c>
      <c r="G513" s="18" t="inlineStr">
        <is>
          <t>magikarp magikarp_jump=orange-forehead</t>
        </is>
      </c>
      <c r="H513" s="18" t="inlineStr">
        <is>
          <t>magikarp_jump=orange-forehead</t>
        </is>
      </c>
      <c r="I513" s="18" t="n">
        <v>1</v>
      </c>
      <c r="J513" s="18" t="n"/>
      <c r="K513" s="18" t="n">
        <v>1</v>
      </c>
      <c r="L513" s="18" t="inlineStr">
        <is>
          <t>cobbleventure:generation_1</t>
        </is>
      </c>
      <c r="M513" s="19" t="inlineStr">
        <is>
          <t>cobbleventure:generation_1</t>
        </is>
      </c>
      <c r="N513" s="18" t="inlineStr">
        <is>
          <t>region_01; region_02</t>
        </is>
      </c>
      <c r="O513" s="19" t="inlineStr"/>
      <c r="P513" s="18" t="inlineStr">
        <is>
          <t>#aether:is_aether; #cobblemon:is_overworld</t>
        </is>
      </c>
      <c r="Q513" s="19" t="inlineStr"/>
      <c r="R513" s="18">
        <f>IF(Q513="",P513,Q513)</f>
        <v/>
      </c>
      <c r="S513" s="18" t="inlineStr"/>
      <c r="T513" s="18" t="inlineStr">
        <is>
          <t>uncommon</t>
        </is>
      </c>
      <c r="U513" s="20" t="n">
        <v>2</v>
      </c>
      <c r="V513" s="21" t="n">
        <v>1</v>
      </c>
      <c r="W513" s="20">
        <f>IF(OR(U513="",V513=""),U513,U513*V513)</f>
        <v/>
      </c>
      <c r="X513" s="18" t="inlineStr">
        <is>
          <t>1-20</t>
        </is>
      </c>
      <c r="Y513" s="19" t="inlineStr"/>
      <c r="Z513" s="18">
        <f>IF(Y513="",X513,Y513)</f>
        <v/>
      </c>
      <c r="AA513" s="18" t="inlineStr">
        <is>
          <t>fishing</t>
        </is>
      </c>
      <c r="AB513" s="18" t="inlineStr"/>
      <c r="AC513" s="18" t="inlineStr"/>
      <c r="AD513" s="18" t="inlineStr"/>
      <c r="AE513" s="18" t="inlineStr">
        <is>
          <t>sky 8-15</t>
        </is>
      </c>
      <c r="AF513" s="18" t="inlineStr">
        <is>
          <t>False</t>
        </is>
      </c>
      <c r="AG513" s="18" t="inlineStr"/>
      <c r="AH513" s="18" t="inlineStr"/>
      <c r="AI513" s="18" t="inlineStr">
        <is>
          <t>{"fishing":{"minLureLevel":1}}</t>
        </is>
      </c>
      <c r="AJ513" s="18" t="inlineStr">
        <is>
          <t>COBBLEVERSE 수정</t>
        </is>
      </c>
      <c r="AK513" s="18" t="inlineStr">
        <is>
          <t>사용</t>
        </is>
      </c>
      <c r="AL513" s="18" t="inlineStr">
        <is>
          <t>COBBLEVERSE 1.7.42 / DP v31</t>
        </is>
      </c>
      <c r="AM513" s="18" t="inlineStr">
        <is>
          <t>data/cobblemon/spawn_pool_world/0129_magikarp.json</t>
        </is>
      </c>
      <c r="AN513" s="18" t="inlineStr">
        <is>
          <t>magikarp-orange-forehead-19</t>
        </is>
      </c>
      <c r="AO513" s="18" t="inlineStr">
        <is>
          <t>pokemon</t>
        </is>
      </c>
      <c r="AP513" s="18" t="inlineStr"/>
      <c r="AQ513" s="18" t="inlineStr">
        <is>
          <t>{"biomes":["#aether:is_aether","#cobblemon:is_overworld"],"canSeeSky":false,"maxSkyLight":15,"minLureLevel":1,"minSkyLight":8}</t>
        </is>
      </c>
      <c r="AR513" s="18" t="inlineStr"/>
      <c r="AS513" s="18" t="inlineStr">
        <is>
          <t>{"weightMultiplier":{"condition":{"biomes":["#cobblemon:is_desert","#cobblemon:is_savanna","#cobblemon:is_snowy","#cobblemon:is_tundra"]},"multiplier":3.0}}</t>
        </is>
      </c>
      <c r="AT513" s="19" t="inlineStr"/>
    </row>
    <row r="514" ht="32" customHeight="1">
      <c r="A514" s="18" t="inlineStr">
        <is>
          <t>0129_magikarp.json::magikarp-orange-mask-19::036</t>
        </is>
      </c>
      <c r="B514" s="19" t="inlineStr">
        <is>
          <t>사용</t>
        </is>
      </c>
      <c r="C514" s="18">
        <f>IF(OR(B514&lt;&gt;AK514,M514&lt;&gt;L514,O514&lt;&gt;"",Q514&lt;&gt;"",V514&lt;&gt;1,Y514&lt;&gt;"",AT514&lt;&gt;""),"수정","원본")</f>
        <v/>
      </c>
      <c r="D514" s="18" t="n">
        <v>129</v>
      </c>
      <c r="E514" s="18" t="inlineStr">
        <is>
          <t>잉어킹</t>
        </is>
      </c>
      <c r="F514" s="18" t="inlineStr">
        <is>
          <t>magikarp</t>
        </is>
      </c>
      <c r="G514" s="18" t="inlineStr">
        <is>
          <t>magikarp magikarp_jump=orange-mask</t>
        </is>
      </c>
      <c r="H514" s="18" t="inlineStr">
        <is>
          <t>magikarp_jump=orange-mask</t>
        </is>
      </c>
      <c r="I514" s="18" t="n">
        <v>1</v>
      </c>
      <c r="J514" s="18" t="n"/>
      <c r="K514" s="18" t="n">
        <v>1</v>
      </c>
      <c r="L514" s="18" t="inlineStr">
        <is>
          <t>cobbleventure:generation_1</t>
        </is>
      </c>
      <c r="M514" s="19" t="inlineStr">
        <is>
          <t>cobbleventure:generation_1</t>
        </is>
      </c>
      <c r="N514" s="18" t="inlineStr">
        <is>
          <t>region_01; region_02</t>
        </is>
      </c>
      <c r="O514" s="19" t="inlineStr"/>
      <c r="P514" s="18" t="inlineStr">
        <is>
          <t>#aether:is_aether; #cobblemon:is_overworld</t>
        </is>
      </c>
      <c r="Q514" s="19" t="inlineStr"/>
      <c r="R514" s="18">
        <f>IF(Q514="",P514,Q514)</f>
        <v/>
      </c>
      <c r="S514" s="18" t="inlineStr"/>
      <c r="T514" s="18" t="inlineStr">
        <is>
          <t>uncommon</t>
        </is>
      </c>
      <c r="U514" s="20" t="n">
        <v>2</v>
      </c>
      <c r="V514" s="21" t="n">
        <v>1</v>
      </c>
      <c r="W514" s="20">
        <f>IF(OR(U514="",V514=""),U514,U514*V514)</f>
        <v/>
      </c>
      <c r="X514" s="18" t="inlineStr">
        <is>
          <t>1-20</t>
        </is>
      </c>
      <c r="Y514" s="19" t="inlineStr"/>
      <c r="Z514" s="18">
        <f>IF(Y514="",X514,Y514)</f>
        <v/>
      </c>
      <c r="AA514" s="18" t="inlineStr">
        <is>
          <t>fishing</t>
        </is>
      </c>
      <c r="AB514" s="18" t="inlineStr"/>
      <c r="AC514" s="18" t="inlineStr"/>
      <c r="AD514" s="18" t="inlineStr"/>
      <c r="AE514" s="18" t="inlineStr">
        <is>
          <t>sky 8-15</t>
        </is>
      </c>
      <c r="AF514" s="18" t="inlineStr">
        <is>
          <t>False</t>
        </is>
      </c>
      <c r="AG514" s="18" t="inlineStr"/>
      <c r="AH514" s="18" t="inlineStr"/>
      <c r="AI514" s="18" t="inlineStr">
        <is>
          <t>{"fishing":{"minLureLevel":1}}</t>
        </is>
      </c>
      <c r="AJ514" s="18" t="inlineStr">
        <is>
          <t>COBBLEVERSE 수정</t>
        </is>
      </c>
      <c r="AK514" s="18" t="inlineStr">
        <is>
          <t>사용</t>
        </is>
      </c>
      <c r="AL514" s="18" t="inlineStr">
        <is>
          <t>COBBLEVERSE 1.7.42 / DP v31</t>
        </is>
      </c>
      <c r="AM514" s="18" t="inlineStr">
        <is>
          <t>data/cobblemon/spawn_pool_world/0129_magikarp.json</t>
        </is>
      </c>
      <c r="AN514" s="18" t="inlineStr">
        <is>
          <t>magikarp-orange-mask-19</t>
        </is>
      </c>
      <c r="AO514" s="18" t="inlineStr">
        <is>
          <t>pokemon</t>
        </is>
      </c>
      <c r="AP514" s="18" t="inlineStr"/>
      <c r="AQ514" s="18" t="inlineStr">
        <is>
          <t>{"biomes":["#aether:is_aether","#cobblemon:is_overworld"],"canSeeSky":false,"maxSkyLight":15,"minLureLevel":1,"minSkyLight":8}</t>
        </is>
      </c>
      <c r="AR514" s="18" t="inlineStr"/>
      <c r="AS514" s="18" t="inlineStr">
        <is>
          <t>{"weightMultiplier":{"condition":{"biomes":["#cobblemon:is_desert","#cobblemon:is_savanna","#cobblemon:is_snowy","#cobblemon:is_tundra"]},"multiplier":3.0}}</t>
        </is>
      </c>
      <c r="AT514" s="19" t="inlineStr"/>
    </row>
    <row r="515" ht="32" customHeight="1">
      <c r="A515" s="18" t="inlineStr">
        <is>
          <t>0129_magikarp.json::magikarp-black-forehead-20::037</t>
        </is>
      </c>
      <c r="B515" s="19" t="inlineStr">
        <is>
          <t>사용</t>
        </is>
      </c>
      <c r="C515" s="18">
        <f>IF(OR(B515&lt;&gt;AK515,M515&lt;&gt;L515,O515&lt;&gt;"",Q515&lt;&gt;"",V515&lt;&gt;1,Y515&lt;&gt;"",AT515&lt;&gt;""),"수정","원본")</f>
        <v/>
      </c>
      <c r="D515" s="18" t="n">
        <v>129</v>
      </c>
      <c r="E515" s="18" t="inlineStr">
        <is>
          <t>잉어킹</t>
        </is>
      </c>
      <c r="F515" s="18" t="inlineStr">
        <is>
          <t>magikarp</t>
        </is>
      </c>
      <c r="G515" s="18" t="inlineStr">
        <is>
          <t>magikarp magikarp_jump=black-forehead</t>
        </is>
      </c>
      <c r="H515" s="18" t="inlineStr">
        <is>
          <t>magikarp_jump=black-forehead</t>
        </is>
      </c>
      <c r="I515" s="18" t="n">
        <v>1</v>
      </c>
      <c r="J515" s="18" t="n"/>
      <c r="K515" s="18" t="n">
        <v>1</v>
      </c>
      <c r="L515" s="18" t="inlineStr">
        <is>
          <t>cobbleventure:generation_1</t>
        </is>
      </c>
      <c r="M515" s="19" t="inlineStr">
        <is>
          <t>cobbleventure:generation_1</t>
        </is>
      </c>
      <c r="N515" s="18" t="inlineStr">
        <is>
          <t>region_01; region_02</t>
        </is>
      </c>
      <c r="O515" s="19" t="inlineStr"/>
      <c r="P515" s="18" t="inlineStr">
        <is>
          <t>#aether:is_aether; #cobblemon:is_overworld</t>
        </is>
      </c>
      <c r="Q515" s="19" t="inlineStr"/>
      <c r="R515" s="18">
        <f>IF(Q515="",P515,Q515)</f>
        <v/>
      </c>
      <c r="S515" s="18" t="inlineStr"/>
      <c r="T515" s="18" t="inlineStr">
        <is>
          <t>uncommon</t>
        </is>
      </c>
      <c r="U515" s="20" t="n">
        <v>2</v>
      </c>
      <c r="V515" s="21" t="n">
        <v>1</v>
      </c>
      <c r="W515" s="20">
        <f>IF(OR(U515="",V515=""),U515,U515*V515)</f>
        <v/>
      </c>
      <c r="X515" s="18" t="inlineStr">
        <is>
          <t>1-20</t>
        </is>
      </c>
      <c r="Y515" s="19" t="inlineStr"/>
      <c r="Z515" s="18">
        <f>IF(Y515="",X515,Y515)</f>
        <v/>
      </c>
      <c r="AA515" s="18" t="inlineStr">
        <is>
          <t>fishing</t>
        </is>
      </c>
      <c r="AB515" s="18" t="inlineStr"/>
      <c r="AC515" s="18" t="inlineStr"/>
      <c r="AD515" s="18" t="inlineStr"/>
      <c r="AE515" s="18" t="inlineStr"/>
      <c r="AF515" s="18" t="inlineStr">
        <is>
          <t>True</t>
        </is>
      </c>
      <c r="AG515" s="18" t="inlineStr"/>
      <c r="AH515" s="18" t="inlineStr"/>
      <c r="AI515" s="18" t="inlineStr">
        <is>
          <t>{"fishing":{"minLureLevel":1}}</t>
        </is>
      </c>
      <c r="AJ515" s="18" t="inlineStr">
        <is>
          <t>COBBLEVERSE 수정</t>
        </is>
      </c>
      <c r="AK515" s="18" t="inlineStr">
        <is>
          <t>사용</t>
        </is>
      </c>
      <c r="AL515" s="18" t="inlineStr">
        <is>
          <t>COBBLEVERSE 1.7.42 / DP v31</t>
        </is>
      </c>
      <c r="AM515" s="18" t="inlineStr">
        <is>
          <t>data/cobblemon/spawn_pool_world/0129_magikarp.json</t>
        </is>
      </c>
      <c r="AN515" s="18" t="inlineStr">
        <is>
          <t>magikarp-black-forehead-20</t>
        </is>
      </c>
      <c r="AO515" s="18" t="inlineStr">
        <is>
          <t>pokemon</t>
        </is>
      </c>
      <c r="AP515" s="18" t="inlineStr"/>
      <c r="AQ515" s="18" t="inlineStr">
        <is>
          <t>{"biomes":["#aether:is_aether","#cobblemon:is_overworld"],"canSeeSky":true,"minLureLevel":1}</t>
        </is>
      </c>
      <c r="AR515" s="18" t="inlineStr"/>
      <c r="AS515" s="18" t="inlineStr">
        <is>
          <t>{"weightMultipliers":[{"condition":{"biomes":["#cobblemon:is_badlands","#cobblemon:is_spooky"]},"multiplier":3.0},{"condition":{"biomes":["#cobblemon:is_taiga"]},"multiplier":5.0}]}</t>
        </is>
      </c>
      <c r="AT515" s="19" t="inlineStr"/>
    </row>
    <row r="516" ht="32" customHeight="1">
      <c r="A516" s="18" t="inlineStr">
        <is>
          <t>0129_magikarp.json::magikarp-black-mask-20::038</t>
        </is>
      </c>
      <c r="B516" s="19" t="inlineStr">
        <is>
          <t>사용</t>
        </is>
      </c>
      <c r="C516" s="18">
        <f>IF(OR(B516&lt;&gt;AK516,M516&lt;&gt;L516,O516&lt;&gt;"",Q516&lt;&gt;"",V516&lt;&gt;1,Y516&lt;&gt;"",AT516&lt;&gt;""),"수정","원본")</f>
        <v/>
      </c>
      <c r="D516" s="18" t="n">
        <v>129</v>
      </c>
      <c r="E516" s="18" t="inlineStr">
        <is>
          <t>잉어킹</t>
        </is>
      </c>
      <c r="F516" s="18" t="inlineStr">
        <is>
          <t>magikarp</t>
        </is>
      </c>
      <c r="G516" s="18" t="inlineStr">
        <is>
          <t>magikarp magikarp_jump=black-mask</t>
        </is>
      </c>
      <c r="H516" s="18" t="inlineStr">
        <is>
          <t>magikarp_jump=black-mask</t>
        </is>
      </c>
      <c r="I516" s="18" t="n">
        <v>1</v>
      </c>
      <c r="J516" s="18" t="n"/>
      <c r="K516" s="18" t="n">
        <v>1</v>
      </c>
      <c r="L516" s="18" t="inlineStr">
        <is>
          <t>cobbleventure:generation_1</t>
        </is>
      </c>
      <c r="M516" s="19" t="inlineStr">
        <is>
          <t>cobbleventure:generation_1</t>
        </is>
      </c>
      <c r="N516" s="18" t="inlineStr">
        <is>
          <t>region_01; region_02</t>
        </is>
      </c>
      <c r="O516" s="19" t="inlineStr"/>
      <c r="P516" s="18" t="inlineStr">
        <is>
          <t>#aether:is_aether; #cobblemon:is_overworld</t>
        </is>
      </c>
      <c r="Q516" s="19" t="inlineStr"/>
      <c r="R516" s="18">
        <f>IF(Q516="",P516,Q516)</f>
        <v/>
      </c>
      <c r="S516" s="18" t="inlineStr"/>
      <c r="T516" s="18" t="inlineStr">
        <is>
          <t>uncommon</t>
        </is>
      </c>
      <c r="U516" s="20" t="n">
        <v>2</v>
      </c>
      <c r="V516" s="21" t="n">
        <v>1</v>
      </c>
      <c r="W516" s="20">
        <f>IF(OR(U516="",V516=""),U516,U516*V516)</f>
        <v/>
      </c>
      <c r="X516" s="18" t="inlineStr">
        <is>
          <t>1-20</t>
        </is>
      </c>
      <c r="Y516" s="19" t="inlineStr"/>
      <c r="Z516" s="18">
        <f>IF(Y516="",X516,Y516)</f>
        <v/>
      </c>
      <c r="AA516" s="18" t="inlineStr">
        <is>
          <t>fishing</t>
        </is>
      </c>
      <c r="AB516" s="18" t="inlineStr"/>
      <c r="AC516" s="18" t="inlineStr"/>
      <c r="AD516" s="18" t="inlineStr"/>
      <c r="AE516" s="18" t="inlineStr"/>
      <c r="AF516" s="18" t="inlineStr">
        <is>
          <t>True</t>
        </is>
      </c>
      <c r="AG516" s="18" t="inlineStr"/>
      <c r="AH516" s="18" t="inlineStr"/>
      <c r="AI516" s="18" t="inlineStr">
        <is>
          <t>{"fishing":{"minLureLevel":1}}</t>
        </is>
      </c>
      <c r="AJ516" s="18" t="inlineStr">
        <is>
          <t>COBBLEVERSE 수정</t>
        </is>
      </c>
      <c r="AK516" s="18" t="inlineStr">
        <is>
          <t>사용</t>
        </is>
      </c>
      <c r="AL516" s="18" t="inlineStr">
        <is>
          <t>COBBLEVERSE 1.7.42 / DP v31</t>
        </is>
      </c>
      <c r="AM516" s="18" t="inlineStr">
        <is>
          <t>data/cobblemon/spawn_pool_world/0129_magikarp.json</t>
        </is>
      </c>
      <c r="AN516" s="18" t="inlineStr">
        <is>
          <t>magikarp-black-mask-20</t>
        </is>
      </c>
      <c r="AO516" s="18" t="inlineStr">
        <is>
          <t>pokemon</t>
        </is>
      </c>
      <c r="AP516" s="18" t="inlineStr"/>
      <c r="AQ516" s="18" t="inlineStr">
        <is>
          <t>{"biomes":["#aether:is_aether","#cobblemon:is_overworld"],"canSeeSky":true,"minLureLevel":1}</t>
        </is>
      </c>
      <c r="AR516" s="18" t="inlineStr"/>
      <c r="AS516" s="18" t="inlineStr">
        <is>
          <t>{"weightMultipliers":[{"condition":{"biomes":["#cobblemon:is_badlands","#cobblemon:is_spooky"]},"multiplier":3.0},{"condition":{"biomes":["#cobblemon:is_taiga"]},"multiplier":5.0}]}</t>
        </is>
      </c>
      <c r="AT516" s="19" t="inlineStr"/>
    </row>
    <row r="517" ht="32" customHeight="1">
      <c r="A517" s="18" t="inlineStr">
        <is>
          <t>0129_magikarp.json::magikarp-black-forehead-21::039</t>
        </is>
      </c>
      <c r="B517" s="19" t="inlineStr">
        <is>
          <t>사용</t>
        </is>
      </c>
      <c r="C517" s="18">
        <f>IF(OR(B517&lt;&gt;AK517,M517&lt;&gt;L517,O517&lt;&gt;"",Q517&lt;&gt;"",V517&lt;&gt;1,Y517&lt;&gt;"",AT517&lt;&gt;""),"수정","원본")</f>
        <v/>
      </c>
      <c r="D517" s="18" t="n">
        <v>129</v>
      </c>
      <c r="E517" s="18" t="inlineStr">
        <is>
          <t>잉어킹</t>
        </is>
      </c>
      <c r="F517" s="18" t="inlineStr">
        <is>
          <t>magikarp</t>
        </is>
      </c>
      <c r="G517" s="18" t="inlineStr">
        <is>
          <t>magikarp magikarp_jump=black-forehead</t>
        </is>
      </c>
      <c r="H517" s="18" t="inlineStr">
        <is>
          <t>magikarp_jump=black-forehead</t>
        </is>
      </c>
      <c r="I517" s="18" t="n">
        <v>1</v>
      </c>
      <c r="J517" s="18" t="n"/>
      <c r="K517" s="18" t="n">
        <v>1</v>
      </c>
      <c r="L517" s="18" t="inlineStr">
        <is>
          <t>cobbleventure:generation_1</t>
        </is>
      </c>
      <c r="M517" s="19" t="inlineStr">
        <is>
          <t>cobbleventure:generation_1</t>
        </is>
      </c>
      <c r="N517" s="18" t="inlineStr">
        <is>
          <t>region_01; region_02</t>
        </is>
      </c>
      <c r="O517" s="19" t="inlineStr"/>
      <c r="P517" s="18" t="inlineStr">
        <is>
          <t>#aether:is_aether; #cobblemon:is_overworld</t>
        </is>
      </c>
      <c r="Q517" s="19" t="inlineStr"/>
      <c r="R517" s="18">
        <f>IF(Q517="",P517,Q517)</f>
        <v/>
      </c>
      <c r="S517" s="18" t="inlineStr"/>
      <c r="T517" s="18" t="inlineStr">
        <is>
          <t>uncommon</t>
        </is>
      </c>
      <c r="U517" s="20" t="n">
        <v>6</v>
      </c>
      <c r="V517" s="21" t="n">
        <v>1</v>
      </c>
      <c r="W517" s="20">
        <f>IF(OR(U517="",V517=""),U517,U517*V517)</f>
        <v/>
      </c>
      <c r="X517" s="18" t="inlineStr">
        <is>
          <t>1-20</t>
        </is>
      </c>
      <c r="Y517" s="19" t="inlineStr"/>
      <c r="Z517" s="18">
        <f>IF(Y517="",X517,Y517)</f>
        <v/>
      </c>
      <c r="AA517" s="18" t="inlineStr">
        <is>
          <t>fishing</t>
        </is>
      </c>
      <c r="AB517" s="18" t="inlineStr"/>
      <c r="AC517" s="18" t="inlineStr"/>
      <c r="AD517" s="18" t="inlineStr"/>
      <c r="AE517" s="18" t="inlineStr">
        <is>
          <t>sky 0-7</t>
        </is>
      </c>
      <c r="AF517" s="18" t="inlineStr"/>
      <c r="AG517" s="18" t="inlineStr"/>
      <c r="AH517" s="18" t="inlineStr"/>
      <c r="AI517" s="18" t="inlineStr">
        <is>
          <t>{"fishing":{"minLureLevel":1}}</t>
        </is>
      </c>
      <c r="AJ517" s="18" t="inlineStr">
        <is>
          <t>COBBLEVERSE 수정</t>
        </is>
      </c>
      <c r="AK517" s="18" t="inlineStr">
        <is>
          <t>사용</t>
        </is>
      </c>
      <c r="AL517" s="18" t="inlineStr">
        <is>
          <t>COBBLEVERSE 1.7.42 / DP v31</t>
        </is>
      </c>
      <c r="AM517" s="18" t="inlineStr">
        <is>
          <t>data/cobblemon/spawn_pool_world/0129_magikarp.json</t>
        </is>
      </c>
      <c r="AN517" s="18" t="inlineStr">
        <is>
          <t>magikarp-black-forehead-21</t>
        </is>
      </c>
      <c r="AO517" s="18" t="inlineStr">
        <is>
          <t>pokemon</t>
        </is>
      </c>
      <c r="AP517" s="18" t="inlineStr"/>
      <c r="AQ517" s="18" t="inlineStr">
        <is>
          <t>{"biomes":["#aether:is_aether","#cobblemon:is_overworld"],"maxSkyLight":7,"minLureLevel":1,"minSkyLight":0}</t>
        </is>
      </c>
      <c r="AR517" s="18" t="inlineStr"/>
      <c r="AS517" s="18" t="inlineStr"/>
      <c r="AT517" s="19" t="inlineStr"/>
    </row>
    <row r="518" ht="32" customHeight="1">
      <c r="A518" s="18" t="inlineStr">
        <is>
          <t>0129_magikarp.json::magikarp-black-mask-21::040</t>
        </is>
      </c>
      <c r="B518" s="19" t="inlineStr">
        <is>
          <t>사용</t>
        </is>
      </c>
      <c r="C518" s="18">
        <f>IF(OR(B518&lt;&gt;AK518,M518&lt;&gt;L518,O518&lt;&gt;"",Q518&lt;&gt;"",V518&lt;&gt;1,Y518&lt;&gt;"",AT518&lt;&gt;""),"수정","원본")</f>
        <v/>
      </c>
      <c r="D518" s="18" t="n">
        <v>129</v>
      </c>
      <c r="E518" s="18" t="inlineStr">
        <is>
          <t>잉어킹</t>
        </is>
      </c>
      <c r="F518" s="18" t="inlineStr">
        <is>
          <t>magikarp</t>
        </is>
      </c>
      <c r="G518" s="18" t="inlineStr">
        <is>
          <t>magikarp magikarp_jump=black-mask</t>
        </is>
      </c>
      <c r="H518" s="18" t="inlineStr">
        <is>
          <t>magikarp_jump=black-mask</t>
        </is>
      </c>
      <c r="I518" s="18" t="n">
        <v>1</v>
      </c>
      <c r="J518" s="18" t="n"/>
      <c r="K518" s="18" t="n">
        <v>1</v>
      </c>
      <c r="L518" s="18" t="inlineStr">
        <is>
          <t>cobbleventure:generation_1</t>
        </is>
      </c>
      <c r="M518" s="19" t="inlineStr">
        <is>
          <t>cobbleventure:generation_1</t>
        </is>
      </c>
      <c r="N518" s="18" t="inlineStr">
        <is>
          <t>region_01; region_02</t>
        </is>
      </c>
      <c r="O518" s="19" t="inlineStr"/>
      <c r="P518" s="18" t="inlineStr">
        <is>
          <t>#aether:is_aether; #cobblemon:is_overworld</t>
        </is>
      </c>
      <c r="Q518" s="19" t="inlineStr"/>
      <c r="R518" s="18">
        <f>IF(Q518="",P518,Q518)</f>
        <v/>
      </c>
      <c r="S518" s="18" t="inlineStr"/>
      <c r="T518" s="18" t="inlineStr">
        <is>
          <t>uncommon</t>
        </is>
      </c>
      <c r="U518" s="20" t="n">
        <v>6</v>
      </c>
      <c r="V518" s="21" t="n">
        <v>1</v>
      </c>
      <c r="W518" s="20">
        <f>IF(OR(U518="",V518=""),U518,U518*V518)</f>
        <v/>
      </c>
      <c r="X518" s="18" t="inlineStr">
        <is>
          <t>1-20</t>
        </is>
      </c>
      <c r="Y518" s="19" t="inlineStr"/>
      <c r="Z518" s="18">
        <f>IF(Y518="",X518,Y518)</f>
        <v/>
      </c>
      <c r="AA518" s="18" t="inlineStr">
        <is>
          <t>fishing</t>
        </is>
      </c>
      <c r="AB518" s="18" t="inlineStr"/>
      <c r="AC518" s="18" t="inlineStr"/>
      <c r="AD518" s="18" t="inlineStr"/>
      <c r="AE518" s="18" t="inlineStr">
        <is>
          <t>sky 0-7</t>
        </is>
      </c>
      <c r="AF518" s="18" t="inlineStr"/>
      <c r="AG518" s="18" t="inlineStr"/>
      <c r="AH518" s="18" t="inlineStr"/>
      <c r="AI518" s="18" t="inlineStr">
        <is>
          <t>{"fishing":{"minLureLevel":1}}</t>
        </is>
      </c>
      <c r="AJ518" s="18" t="inlineStr">
        <is>
          <t>COBBLEVERSE 수정</t>
        </is>
      </c>
      <c r="AK518" s="18" t="inlineStr">
        <is>
          <t>사용</t>
        </is>
      </c>
      <c r="AL518" s="18" t="inlineStr">
        <is>
          <t>COBBLEVERSE 1.7.42 / DP v31</t>
        </is>
      </c>
      <c r="AM518" s="18" t="inlineStr">
        <is>
          <t>data/cobblemon/spawn_pool_world/0129_magikarp.json</t>
        </is>
      </c>
      <c r="AN518" s="18" t="inlineStr">
        <is>
          <t>magikarp-black-mask-21</t>
        </is>
      </c>
      <c r="AO518" s="18" t="inlineStr">
        <is>
          <t>pokemon</t>
        </is>
      </c>
      <c r="AP518" s="18" t="inlineStr"/>
      <c r="AQ518" s="18" t="inlineStr">
        <is>
          <t>{"biomes":["#aether:is_aether","#cobblemon:is_overworld"],"maxSkyLight":7,"minLureLevel":1,"minSkyLight":0}</t>
        </is>
      </c>
      <c r="AR518" s="18" t="inlineStr"/>
      <c r="AS518" s="18" t="inlineStr"/>
      <c r="AT518" s="19" t="inlineStr"/>
    </row>
    <row r="519" ht="32" customHeight="1">
      <c r="A519" s="18" t="inlineStr">
        <is>
          <t>0129_magikarp.json::magikarp-black-forehead-22::041</t>
        </is>
      </c>
      <c r="B519" s="19" t="inlineStr">
        <is>
          <t>사용</t>
        </is>
      </c>
      <c r="C519" s="18">
        <f>IF(OR(B519&lt;&gt;AK519,M519&lt;&gt;L519,O519&lt;&gt;"",Q519&lt;&gt;"",V519&lt;&gt;1,Y519&lt;&gt;"",AT519&lt;&gt;""),"수정","원본")</f>
        <v/>
      </c>
      <c r="D519" s="18" t="n">
        <v>129</v>
      </c>
      <c r="E519" s="18" t="inlineStr">
        <is>
          <t>잉어킹</t>
        </is>
      </c>
      <c r="F519" s="18" t="inlineStr">
        <is>
          <t>magikarp</t>
        </is>
      </c>
      <c r="G519" s="18" t="inlineStr">
        <is>
          <t>magikarp magikarp_jump=black-forehead</t>
        </is>
      </c>
      <c r="H519" s="18" t="inlineStr">
        <is>
          <t>magikarp_jump=black-forehead</t>
        </is>
      </c>
      <c r="I519" s="18" t="n">
        <v>1</v>
      </c>
      <c r="J519" s="18" t="n"/>
      <c r="K519" s="18" t="n">
        <v>1</v>
      </c>
      <c r="L519" s="18" t="inlineStr">
        <is>
          <t>cobbleventure:generation_1</t>
        </is>
      </c>
      <c r="M519" s="19" t="inlineStr">
        <is>
          <t>cobbleventure:generation_1</t>
        </is>
      </c>
      <c r="N519" s="18" t="inlineStr">
        <is>
          <t>region_01; region_02</t>
        </is>
      </c>
      <c r="O519" s="19" t="inlineStr"/>
      <c r="P519" s="18" t="inlineStr">
        <is>
          <t>#aether:is_aether; #cobblemon:is_overworld</t>
        </is>
      </c>
      <c r="Q519" s="19" t="inlineStr"/>
      <c r="R519" s="18">
        <f>IF(Q519="",P519,Q519)</f>
        <v/>
      </c>
      <c r="S519" s="18" t="inlineStr"/>
      <c r="T519" s="18" t="inlineStr">
        <is>
          <t>uncommon</t>
        </is>
      </c>
      <c r="U519" s="20" t="n">
        <v>2</v>
      </c>
      <c r="V519" s="21" t="n">
        <v>1</v>
      </c>
      <c r="W519" s="20">
        <f>IF(OR(U519="",V519=""),U519,U519*V519)</f>
        <v/>
      </c>
      <c r="X519" s="18" t="inlineStr">
        <is>
          <t>1-20</t>
        </is>
      </c>
      <c r="Y519" s="19" t="inlineStr"/>
      <c r="Z519" s="18">
        <f>IF(Y519="",X519,Y519)</f>
        <v/>
      </c>
      <c r="AA519" s="18" t="inlineStr">
        <is>
          <t>fishing</t>
        </is>
      </c>
      <c r="AB519" s="18" t="inlineStr"/>
      <c r="AC519" s="18" t="inlineStr"/>
      <c r="AD519" s="18" t="inlineStr"/>
      <c r="AE519" s="18" t="inlineStr">
        <is>
          <t>sky 8-15</t>
        </is>
      </c>
      <c r="AF519" s="18" t="inlineStr">
        <is>
          <t>False</t>
        </is>
      </c>
      <c r="AG519" s="18" t="inlineStr"/>
      <c r="AH519" s="18" t="inlineStr"/>
      <c r="AI519" s="18" t="inlineStr">
        <is>
          <t>{"fishing":{"minLureLevel":1}}</t>
        </is>
      </c>
      <c r="AJ519" s="18" t="inlineStr">
        <is>
          <t>COBBLEVERSE 수정</t>
        </is>
      </c>
      <c r="AK519" s="18" t="inlineStr">
        <is>
          <t>사용</t>
        </is>
      </c>
      <c r="AL519" s="18" t="inlineStr">
        <is>
          <t>COBBLEVERSE 1.7.42 / DP v31</t>
        </is>
      </c>
      <c r="AM519" s="18" t="inlineStr">
        <is>
          <t>data/cobblemon/spawn_pool_world/0129_magikarp.json</t>
        </is>
      </c>
      <c r="AN519" s="18" t="inlineStr">
        <is>
          <t>magikarp-black-forehead-22</t>
        </is>
      </c>
      <c r="AO519" s="18" t="inlineStr">
        <is>
          <t>pokemon</t>
        </is>
      </c>
      <c r="AP519" s="18" t="inlineStr"/>
      <c r="AQ519" s="18" t="inlineStr">
        <is>
          <t>{"biomes":["#aether:is_aether","#cobblemon:is_overworld"],"canSeeSky":false,"maxSkyLight":15,"minLureLevel":1,"minSkyLight":8}</t>
        </is>
      </c>
      <c r="AR519" s="18" t="inlineStr"/>
      <c r="AS519" s="18" t="inlineStr">
        <is>
          <t>{"weightMultipliers":[{"condition":{"biomes":["#cobblemon:is_badlands","#cobblemon:is_spooky"]},"multiplier":3.0},{"condition":{"biomes":["#cobblemon:is_taiga"]},"multiplier":5.0}]}</t>
        </is>
      </c>
      <c r="AT519" s="19" t="inlineStr"/>
    </row>
    <row r="520" ht="32" customHeight="1">
      <c r="A520" s="18" t="inlineStr">
        <is>
          <t>0129_magikarp.json::magikarp-black-mask-22::042</t>
        </is>
      </c>
      <c r="B520" s="19" t="inlineStr">
        <is>
          <t>사용</t>
        </is>
      </c>
      <c r="C520" s="18">
        <f>IF(OR(B520&lt;&gt;AK520,M520&lt;&gt;L520,O520&lt;&gt;"",Q520&lt;&gt;"",V520&lt;&gt;1,Y520&lt;&gt;"",AT520&lt;&gt;""),"수정","원본")</f>
        <v/>
      </c>
      <c r="D520" s="18" t="n">
        <v>129</v>
      </c>
      <c r="E520" s="18" t="inlineStr">
        <is>
          <t>잉어킹</t>
        </is>
      </c>
      <c r="F520" s="18" t="inlineStr">
        <is>
          <t>magikarp</t>
        </is>
      </c>
      <c r="G520" s="18" t="inlineStr">
        <is>
          <t>magikarp magikarp_jump=black-mask</t>
        </is>
      </c>
      <c r="H520" s="18" t="inlineStr">
        <is>
          <t>magikarp_jump=black-mask</t>
        </is>
      </c>
      <c r="I520" s="18" t="n">
        <v>1</v>
      </c>
      <c r="J520" s="18" t="n"/>
      <c r="K520" s="18" t="n">
        <v>1</v>
      </c>
      <c r="L520" s="18" t="inlineStr">
        <is>
          <t>cobbleventure:generation_1</t>
        </is>
      </c>
      <c r="M520" s="19" t="inlineStr">
        <is>
          <t>cobbleventure:generation_1</t>
        </is>
      </c>
      <c r="N520" s="18" t="inlineStr">
        <is>
          <t>region_01; region_02</t>
        </is>
      </c>
      <c r="O520" s="19" t="inlineStr"/>
      <c r="P520" s="18" t="inlineStr">
        <is>
          <t>#aether:is_aether; #cobblemon:is_overworld</t>
        </is>
      </c>
      <c r="Q520" s="19" t="inlineStr"/>
      <c r="R520" s="18">
        <f>IF(Q520="",P520,Q520)</f>
        <v/>
      </c>
      <c r="S520" s="18" t="inlineStr"/>
      <c r="T520" s="18" t="inlineStr">
        <is>
          <t>uncommon</t>
        </is>
      </c>
      <c r="U520" s="20" t="n">
        <v>2</v>
      </c>
      <c r="V520" s="21" t="n">
        <v>1</v>
      </c>
      <c r="W520" s="20">
        <f>IF(OR(U520="",V520=""),U520,U520*V520)</f>
        <v/>
      </c>
      <c r="X520" s="18" t="inlineStr">
        <is>
          <t>1-20</t>
        </is>
      </c>
      <c r="Y520" s="19" t="inlineStr"/>
      <c r="Z520" s="18">
        <f>IF(Y520="",X520,Y520)</f>
        <v/>
      </c>
      <c r="AA520" s="18" t="inlineStr">
        <is>
          <t>fishing</t>
        </is>
      </c>
      <c r="AB520" s="18" t="inlineStr"/>
      <c r="AC520" s="18" t="inlineStr"/>
      <c r="AD520" s="18" t="inlineStr"/>
      <c r="AE520" s="18" t="inlineStr">
        <is>
          <t>sky 8-15</t>
        </is>
      </c>
      <c r="AF520" s="18" t="inlineStr">
        <is>
          <t>False</t>
        </is>
      </c>
      <c r="AG520" s="18" t="inlineStr"/>
      <c r="AH520" s="18" t="inlineStr"/>
      <c r="AI520" s="18" t="inlineStr">
        <is>
          <t>{"fishing":{"minLureLevel":1}}</t>
        </is>
      </c>
      <c r="AJ520" s="18" t="inlineStr">
        <is>
          <t>COBBLEVERSE 수정</t>
        </is>
      </c>
      <c r="AK520" s="18" t="inlineStr">
        <is>
          <t>사용</t>
        </is>
      </c>
      <c r="AL520" s="18" t="inlineStr">
        <is>
          <t>COBBLEVERSE 1.7.42 / DP v31</t>
        </is>
      </c>
      <c r="AM520" s="18" t="inlineStr">
        <is>
          <t>data/cobblemon/spawn_pool_world/0129_magikarp.json</t>
        </is>
      </c>
      <c r="AN520" s="18" t="inlineStr">
        <is>
          <t>magikarp-black-mask-22</t>
        </is>
      </c>
      <c r="AO520" s="18" t="inlineStr">
        <is>
          <t>pokemon</t>
        </is>
      </c>
      <c r="AP520" s="18" t="inlineStr"/>
      <c r="AQ520" s="18" t="inlineStr">
        <is>
          <t>{"biomes":["#aether:is_aether","#cobblemon:is_overworld"],"canSeeSky":false,"maxSkyLight":15,"minLureLevel":1,"minSkyLight":8}</t>
        </is>
      </c>
      <c r="AR520" s="18" t="inlineStr"/>
      <c r="AS520" s="18" t="inlineStr">
        <is>
          <t>{"weightMultipliers":[{"condition":{"biomes":["#cobblemon:is_badlands","#cobblemon:is_spooky"]},"multiplier":3.0},{"condition":{"biomes":["#cobblemon:is_taiga"]},"multiplier":5.0}]}</t>
        </is>
      </c>
      <c r="AT520" s="19" t="inlineStr"/>
    </row>
    <row r="521" ht="32" customHeight="1">
      <c r="A521" s="18" t="inlineStr">
        <is>
          <t>0129_magikarp.json::magikarp-blue-saucy-23::043</t>
        </is>
      </c>
      <c r="B521" s="19" t="inlineStr">
        <is>
          <t>사용</t>
        </is>
      </c>
      <c r="C521" s="18">
        <f>IF(OR(B521&lt;&gt;AK521,M521&lt;&gt;L521,O521&lt;&gt;"",Q521&lt;&gt;"",V521&lt;&gt;1,Y521&lt;&gt;"",AT521&lt;&gt;""),"수정","원본")</f>
        <v/>
      </c>
      <c r="D521" s="18" t="n">
        <v>129</v>
      </c>
      <c r="E521" s="18" t="inlineStr">
        <is>
          <t>잉어킹</t>
        </is>
      </c>
      <c r="F521" s="18" t="inlineStr">
        <is>
          <t>magikarp</t>
        </is>
      </c>
      <c r="G521" s="18" t="inlineStr">
        <is>
          <t>magikarp magikarp_jump=blue-saucy</t>
        </is>
      </c>
      <c r="H521" s="18" t="inlineStr">
        <is>
          <t>magikarp_jump=blue-saucy</t>
        </is>
      </c>
      <c r="I521" s="18" t="n">
        <v>1</v>
      </c>
      <c r="J521" s="18" t="n"/>
      <c r="K521" s="18" t="n">
        <v>1</v>
      </c>
      <c r="L521" s="18" t="inlineStr">
        <is>
          <t>cobbleventure:generation_1</t>
        </is>
      </c>
      <c r="M521" s="19" t="inlineStr">
        <is>
          <t>cobbleventure:generation_1</t>
        </is>
      </c>
      <c r="N521" s="18" t="inlineStr">
        <is>
          <t>region_01; region_02</t>
        </is>
      </c>
      <c r="O521" s="19" t="inlineStr"/>
      <c r="P521" s="18" t="inlineStr">
        <is>
          <t>#aether:is_aether; #cobblemon:is_overworld</t>
        </is>
      </c>
      <c r="Q521" s="19" t="inlineStr"/>
      <c r="R521" s="18">
        <f>IF(Q521="",P521,Q521)</f>
        <v/>
      </c>
      <c r="S521" s="18" t="inlineStr"/>
      <c r="T521" s="18" t="inlineStr">
        <is>
          <t>uncommon</t>
        </is>
      </c>
      <c r="U521" s="20" t="n">
        <v>2</v>
      </c>
      <c r="V521" s="21" t="n">
        <v>1</v>
      </c>
      <c r="W521" s="20">
        <f>IF(OR(U521="",V521=""),U521,U521*V521)</f>
        <v/>
      </c>
      <c r="X521" s="18" t="inlineStr">
        <is>
          <t>1-20</t>
        </is>
      </c>
      <c r="Y521" s="19" t="inlineStr"/>
      <c r="Z521" s="18">
        <f>IF(Y521="",X521,Y521)</f>
        <v/>
      </c>
      <c r="AA521" s="18" t="inlineStr">
        <is>
          <t>fishing</t>
        </is>
      </c>
      <c r="AB521" s="18" t="inlineStr"/>
      <c r="AC521" s="18" t="inlineStr"/>
      <c r="AD521" s="18" t="inlineStr"/>
      <c r="AE521" s="18" t="inlineStr"/>
      <c r="AF521" s="18" t="inlineStr"/>
      <c r="AG521" s="18" t="inlineStr"/>
      <c r="AH521" s="18" t="inlineStr"/>
      <c r="AI521" s="18" t="inlineStr">
        <is>
          <t>{"fishing":{"minLureLevel":1}}</t>
        </is>
      </c>
      <c r="AJ521" s="18" t="inlineStr">
        <is>
          <t>COBBLEVERSE 수정</t>
        </is>
      </c>
      <c r="AK521" s="18" t="inlineStr">
        <is>
          <t>사용</t>
        </is>
      </c>
      <c r="AL521" s="18" t="inlineStr">
        <is>
          <t>COBBLEVERSE 1.7.42 / DP v31</t>
        </is>
      </c>
      <c r="AM521" s="18" t="inlineStr">
        <is>
          <t>data/cobblemon/spawn_pool_world/0129_magikarp.json</t>
        </is>
      </c>
      <c r="AN521" s="18" t="inlineStr">
        <is>
          <t>magikarp-blue-saucy-23</t>
        </is>
      </c>
      <c r="AO521" s="18" t="inlineStr">
        <is>
          <t>pokemon</t>
        </is>
      </c>
      <c r="AP521" s="18" t="inlineStr"/>
      <c r="AQ521" s="18" t="inlineStr">
        <is>
          <t>{"biomes":["#aether:is_aether","#cobblemon:is_overworld"],"minLureLevel":1}</t>
        </is>
      </c>
      <c r="AR521" s="18" t="inlineStr"/>
      <c r="AS521" s="18" t="inlineStr">
        <is>
          <t>{"weightMultipliers":[{"condition":{"biomes":["#cobblemon:is_island","#cobblemon:is_ocean"]},"multiplier":3.0},{"condition":{"biomes":["#cobblemon:is_snowy","#cobblemon:is_tundra"]},"multiplier":5.0}]}</t>
        </is>
      </c>
      <c r="AT521" s="19" t="inlineStr"/>
    </row>
    <row r="522" ht="32" customHeight="1">
      <c r="A522" s="18" t="inlineStr">
        <is>
          <t>0129_magikarp.json::magikarp-blue-raindrops-23::044</t>
        </is>
      </c>
      <c r="B522" s="19" t="inlineStr">
        <is>
          <t>사용</t>
        </is>
      </c>
      <c r="C522" s="18">
        <f>IF(OR(B522&lt;&gt;AK522,M522&lt;&gt;L522,O522&lt;&gt;"",Q522&lt;&gt;"",V522&lt;&gt;1,Y522&lt;&gt;"",AT522&lt;&gt;""),"수정","원본")</f>
        <v/>
      </c>
      <c r="D522" s="18" t="n">
        <v>129</v>
      </c>
      <c r="E522" s="18" t="inlineStr">
        <is>
          <t>잉어킹</t>
        </is>
      </c>
      <c r="F522" s="18" t="inlineStr">
        <is>
          <t>magikarp</t>
        </is>
      </c>
      <c r="G522" s="18" t="inlineStr">
        <is>
          <t>magikarp magikarp_jump=blue-raindrops</t>
        </is>
      </c>
      <c r="H522" s="18" t="inlineStr">
        <is>
          <t>magikarp_jump=blue-raindrops</t>
        </is>
      </c>
      <c r="I522" s="18" t="n">
        <v>1</v>
      </c>
      <c r="J522" s="18" t="n"/>
      <c r="K522" s="18" t="n">
        <v>1</v>
      </c>
      <c r="L522" s="18" t="inlineStr">
        <is>
          <t>cobbleventure:generation_1</t>
        </is>
      </c>
      <c r="M522" s="19" t="inlineStr">
        <is>
          <t>cobbleventure:generation_1</t>
        </is>
      </c>
      <c r="N522" s="18" t="inlineStr">
        <is>
          <t>region_01; region_02</t>
        </is>
      </c>
      <c r="O522" s="19" t="inlineStr"/>
      <c r="P522" s="18" t="inlineStr">
        <is>
          <t>#aether:is_aether; #cobblemon:is_overworld</t>
        </is>
      </c>
      <c r="Q522" s="19" t="inlineStr"/>
      <c r="R522" s="18">
        <f>IF(Q522="",P522,Q522)</f>
        <v/>
      </c>
      <c r="S522" s="18" t="inlineStr"/>
      <c r="T522" s="18" t="inlineStr">
        <is>
          <t>uncommon</t>
        </is>
      </c>
      <c r="U522" s="20" t="n">
        <v>2</v>
      </c>
      <c r="V522" s="21" t="n">
        <v>1</v>
      </c>
      <c r="W522" s="20">
        <f>IF(OR(U522="",V522=""),U522,U522*V522)</f>
        <v/>
      </c>
      <c r="X522" s="18" t="inlineStr">
        <is>
          <t>1-20</t>
        </is>
      </c>
      <c r="Y522" s="19" t="inlineStr"/>
      <c r="Z522" s="18">
        <f>IF(Y522="",X522,Y522)</f>
        <v/>
      </c>
      <c r="AA522" s="18" t="inlineStr">
        <is>
          <t>fishing</t>
        </is>
      </c>
      <c r="AB522" s="18" t="inlineStr"/>
      <c r="AC522" s="18" t="inlineStr"/>
      <c r="AD522" s="18" t="inlineStr"/>
      <c r="AE522" s="18" t="inlineStr"/>
      <c r="AF522" s="18" t="inlineStr"/>
      <c r="AG522" s="18" t="inlineStr"/>
      <c r="AH522" s="18" t="inlineStr"/>
      <c r="AI522" s="18" t="inlineStr">
        <is>
          <t>{"fishing":{"minLureLevel":1}}</t>
        </is>
      </c>
      <c r="AJ522" s="18" t="inlineStr">
        <is>
          <t>COBBLEVERSE 수정</t>
        </is>
      </c>
      <c r="AK522" s="18" t="inlineStr">
        <is>
          <t>사용</t>
        </is>
      </c>
      <c r="AL522" s="18" t="inlineStr">
        <is>
          <t>COBBLEVERSE 1.7.42 / DP v31</t>
        </is>
      </c>
      <c r="AM522" s="18" t="inlineStr">
        <is>
          <t>data/cobblemon/spawn_pool_world/0129_magikarp.json</t>
        </is>
      </c>
      <c r="AN522" s="18" t="inlineStr">
        <is>
          <t>magikarp-blue-raindrops-23</t>
        </is>
      </c>
      <c r="AO522" s="18" t="inlineStr">
        <is>
          <t>pokemon</t>
        </is>
      </c>
      <c r="AP522" s="18" t="inlineStr"/>
      <c r="AQ522" s="18" t="inlineStr">
        <is>
          <t>{"biomes":["#aether:is_aether","#cobblemon:is_overworld"],"minLureLevel":1}</t>
        </is>
      </c>
      <c r="AR522" s="18" t="inlineStr"/>
      <c r="AS522" s="18" t="inlineStr">
        <is>
          <t>{"weightMultipliers":[{"condition":{"biomes":["#cobblemon:is_island","#cobblemon:is_ocean"]},"multiplier":3.0},{"condition":{"biomes":["#cobblemon:is_snowy","#cobblemon:is_tundra"]},"multiplier":5.0}]}</t>
        </is>
      </c>
      <c r="AT522" s="19" t="inlineStr"/>
    </row>
    <row r="523" ht="32" customHeight="1">
      <c r="A523" s="18" t="inlineStr">
        <is>
          <t>0129_magikarp.json::magikarp-violet-saucy-24::045</t>
        </is>
      </c>
      <c r="B523" s="19" t="inlineStr">
        <is>
          <t>사용</t>
        </is>
      </c>
      <c r="C523" s="18">
        <f>IF(OR(B523&lt;&gt;AK523,M523&lt;&gt;L523,O523&lt;&gt;"",Q523&lt;&gt;"",V523&lt;&gt;1,Y523&lt;&gt;"",AT523&lt;&gt;""),"수정","원본")</f>
        <v/>
      </c>
      <c r="D523" s="18" t="n">
        <v>129</v>
      </c>
      <c r="E523" s="18" t="inlineStr">
        <is>
          <t>잉어킹</t>
        </is>
      </c>
      <c r="F523" s="18" t="inlineStr">
        <is>
          <t>magikarp</t>
        </is>
      </c>
      <c r="G523" s="18" t="inlineStr">
        <is>
          <t>magikarp magikarp_jump=violet-saucy</t>
        </is>
      </c>
      <c r="H523" s="18" t="inlineStr">
        <is>
          <t>magikarp_jump=violet-saucy</t>
        </is>
      </c>
      <c r="I523" s="18" t="n">
        <v>1</v>
      </c>
      <c r="J523" s="18" t="n"/>
      <c r="K523" s="18" t="n">
        <v>1</v>
      </c>
      <c r="L523" s="18" t="inlineStr">
        <is>
          <t>cobbleventure:generation_1</t>
        </is>
      </c>
      <c r="M523" s="19" t="inlineStr">
        <is>
          <t>cobbleventure:generation_1</t>
        </is>
      </c>
      <c r="N523" s="18" t="inlineStr">
        <is>
          <t>region_01; region_02</t>
        </is>
      </c>
      <c r="O523" s="19" t="inlineStr"/>
      <c r="P523" s="18" t="inlineStr">
        <is>
          <t>#aether:is_aether; #cobblemon:is_overworld</t>
        </is>
      </c>
      <c r="Q523" s="19" t="inlineStr"/>
      <c r="R523" s="18">
        <f>IF(Q523="",P523,Q523)</f>
        <v/>
      </c>
      <c r="S523" s="18" t="inlineStr"/>
      <c r="T523" s="18" t="inlineStr">
        <is>
          <t>uncommon</t>
        </is>
      </c>
      <c r="U523" s="20" t="n">
        <v>2</v>
      </c>
      <c r="V523" s="21" t="n">
        <v>1</v>
      </c>
      <c r="W523" s="20">
        <f>IF(OR(U523="",V523=""),U523,U523*V523)</f>
        <v/>
      </c>
      <c r="X523" s="18" t="inlineStr">
        <is>
          <t>1-20</t>
        </is>
      </c>
      <c r="Y523" s="19" t="inlineStr"/>
      <c r="Z523" s="18">
        <f>IF(Y523="",X523,Y523)</f>
        <v/>
      </c>
      <c r="AA523" s="18" t="inlineStr">
        <is>
          <t>fishing</t>
        </is>
      </c>
      <c r="AB523" s="18" t="inlineStr"/>
      <c r="AC523" s="18" t="inlineStr"/>
      <c r="AD523" s="18" t="inlineStr"/>
      <c r="AE523" s="18" t="inlineStr"/>
      <c r="AF523" s="18" t="inlineStr"/>
      <c r="AG523" s="18" t="inlineStr"/>
      <c r="AH523" s="18" t="inlineStr"/>
      <c r="AI523" s="18" t="inlineStr">
        <is>
          <t>{"fishing":{"minLureLevel":1}}</t>
        </is>
      </c>
      <c r="AJ523" s="18" t="inlineStr">
        <is>
          <t>COBBLEVERSE 수정</t>
        </is>
      </c>
      <c r="AK523" s="18" t="inlineStr">
        <is>
          <t>사용</t>
        </is>
      </c>
      <c r="AL523" s="18" t="inlineStr">
        <is>
          <t>COBBLEVERSE 1.7.42 / DP v31</t>
        </is>
      </c>
      <c r="AM523" s="18" t="inlineStr">
        <is>
          <t>data/cobblemon/spawn_pool_world/0129_magikarp.json</t>
        </is>
      </c>
      <c r="AN523" s="18" t="inlineStr">
        <is>
          <t>magikarp-violet-saucy-24</t>
        </is>
      </c>
      <c r="AO523" s="18" t="inlineStr">
        <is>
          <t>pokemon</t>
        </is>
      </c>
      <c r="AP523" s="18" t="inlineStr"/>
      <c r="AQ523" s="18" t="inlineStr">
        <is>
          <t>{"biomes":["#aether:is_aether","#cobblemon:is_overworld"],"minLureLevel":1}</t>
        </is>
      </c>
      <c r="AR523" s="18" t="inlineStr"/>
      <c r="AS523" s="18" t="inlineStr">
        <is>
          <t>{"weightMultipliers":[{"condition":{"biomes":["#cobblemon:is_jungle","#cobblemon:is_spooky"]},"multiplier":3.0},{"condition":{"biomes":["#cobblemon:is_magical"]},"multiplier":5.0}]}</t>
        </is>
      </c>
      <c r="AT523" s="19" t="inlineStr"/>
    </row>
    <row r="524" ht="32" customHeight="1">
      <c r="A524" s="18" t="inlineStr">
        <is>
          <t>0129_magikarp.json::magikarp-violet-raindrops-24::046</t>
        </is>
      </c>
      <c r="B524" s="19" t="inlineStr">
        <is>
          <t>사용</t>
        </is>
      </c>
      <c r="C524" s="18">
        <f>IF(OR(B524&lt;&gt;AK524,M524&lt;&gt;L524,O524&lt;&gt;"",Q524&lt;&gt;"",V524&lt;&gt;1,Y524&lt;&gt;"",AT524&lt;&gt;""),"수정","원본")</f>
        <v/>
      </c>
      <c r="D524" s="18" t="n">
        <v>129</v>
      </c>
      <c r="E524" s="18" t="inlineStr">
        <is>
          <t>잉어킹</t>
        </is>
      </c>
      <c r="F524" s="18" t="inlineStr">
        <is>
          <t>magikarp</t>
        </is>
      </c>
      <c r="G524" s="18" t="inlineStr">
        <is>
          <t>magikarp magikarp_jump=violet-raindrops</t>
        </is>
      </c>
      <c r="H524" s="18" t="inlineStr">
        <is>
          <t>magikarp_jump=violet-raindrops</t>
        </is>
      </c>
      <c r="I524" s="18" t="n">
        <v>1</v>
      </c>
      <c r="J524" s="18" t="n"/>
      <c r="K524" s="18" t="n">
        <v>1</v>
      </c>
      <c r="L524" s="18" t="inlineStr">
        <is>
          <t>cobbleventure:generation_1</t>
        </is>
      </c>
      <c r="M524" s="19" t="inlineStr">
        <is>
          <t>cobbleventure:generation_1</t>
        </is>
      </c>
      <c r="N524" s="18" t="inlineStr">
        <is>
          <t>region_01; region_02</t>
        </is>
      </c>
      <c r="O524" s="19" t="inlineStr"/>
      <c r="P524" s="18" t="inlineStr">
        <is>
          <t>#aether:is_aether; #cobblemon:is_overworld</t>
        </is>
      </c>
      <c r="Q524" s="19" t="inlineStr"/>
      <c r="R524" s="18">
        <f>IF(Q524="",P524,Q524)</f>
        <v/>
      </c>
      <c r="S524" s="18" t="inlineStr"/>
      <c r="T524" s="18" t="inlineStr">
        <is>
          <t>uncommon</t>
        </is>
      </c>
      <c r="U524" s="20" t="n">
        <v>2</v>
      </c>
      <c r="V524" s="21" t="n">
        <v>1</v>
      </c>
      <c r="W524" s="20">
        <f>IF(OR(U524="",V524=""),U524,U524*V524)</f>
        <v/>
      </c>
      <c r="X524" s="18" t="inlineStr">
        <is>
          <t>1-20</t>
        </is>
      </c>
      <c r="Y524" s="19" t="inlineStr"/>
      <c r="Z524" s="18">
        <f>IF(Y524="",X524,Y524)</f>
        <v/>
      </c>
      <c r="AA524" s="18" t="inlineStr">
        <is>
          <t>fishing</t>
        </is>
      </c>
      <c r="AB524" s="18" t="inlineStr"/>
      <c r="AC524" s="18" t="inlineStr"/>
      <c r="AD524" s="18" t="inlineStr"/>
      <c r="AE524" s="18" t="inlineStr"/>
      <c r="AF524" s="18" t="inlineStr"/>
      <c r="AG524" s="18" t="inlineStr"/>
      <c r="AH524" s="18" t="inlineStr"/>
      <c r="AI524" s="18" t="inlineStr">
        <is>
          <t>{"fishing":{"minLureLevel":1}}</t>
        </is>
      </c>
      <c r="AJ524" s="18" t="inlineStr">
        <is>
          <t>COBBLEVERSE 수정</t>
        </is>
      </c>
      <c r="AK524" s="18" t="inlineStr">
        <is>
          <t>사용</t>
        </is>
      </c>
      <c r="AL524" s="18" t="inlineStr">
        <is>
          <t>COBBLEVERSE 1.7.42 / DP v31</t>
        </is>
      </c>
      <c r="AM524" s="18" t="inlineStr">
        <is>
          <t>data/cobblemon/spawn_pool_world/0129_magikarp.json</t>
        </is>
      </c>
      <c r="AN524" s="18" t="inlineStr">
        <is>
          <t>magikarp-violet-raindrops-24</t>
        </is>
      </c>
      <c r="AO524" s="18" t="inlineStr">
        <is>
          <t>pokemon</t>
        </is>
      </c>
      <c r="AP524" s="18" t="inlineStr"/>
      <c r="AQ524" s="18" t="inlineStr">
        <is>
          <t>{"biomes":["#aether:is_aether","#cobblemon:is_overworld"],"minLureLevel":1}</t>
        </is>
      </c>
      <c r="AR524" s="18" t="inlineStr"/>
      <c r="AS524" s="18" t="inlineStr">
        <is>
          <t>{"weightMultipliers":[{"condition":{"biomes":["#cobblemon:is_jungle","#cobblemon:is_spooky"]},"multiplier":3.0},{"condition":{"biomes":["#cobblemon:is_magical"]},"multiplier":5.0}]}</t>
        </is>
      </c>
      <c r="AT524" s="19" t="inlineStr"/>
    </row>
    <row r="525" ht="32" customHeight="1">
      <c r="A525" s="18" t="inlineStr">
        <is>
          <t>0130_gyarados.json::gyarados-1::001</t>
        </is>
      </c>
      <c r="B525" s="19" t="inlineStr">
        <is>
          <t>사용</t>
        </is>
      </c>
      <c r="C525" s="18">
        <f>IF(OR(B525&lt;&gt;AK525,M525&lt;&gt;L525,O525&lt;&gt;"",Q525&lt;&gt;"",V525&lt;&gt;1,Y525&lt;&gt;"",AT525&lt;&gt;""),"수정","원본")</f>
        <v/>
      </c>
      <c r="D525" s="18" t="n">
        <v>130</v>
      </c>
      <c r="E525" s="18" t="inlineStr">
        <is>
          <t>갸라도스</t>
        </is>
      </c>
      <c r="F525" s="18" t="inlineStr">
        <is>
          <t>gyarados</t>
        </is>
      </c>
      <c r="G525" s="18" t="inlineStr">
        <is>
          <t>gyarados</t>
        </is>
      </c>
      <c r="H525" s="18" t="inlineStr"/>
      <c r="I525" s="18" t="n">
        <v>1</v>
      </c>
      <c r="J525" s="18" t="n"/>
      <c r="K525" s="18" t="n">
        <v>1</v>
      </c>
      <c r="L525" s="18" t="inlineStr">
        <is>
          <t>cobbleventure:generation_1</t>
        </is>
      </c>
      <c r="M525" s="19" t="inlineStr">
        <is>
          <t>cobbleventure:generation_1</t>
        </is>
      </c>
      <c r="N525" s="18" t="inlineStr">
        <is>
          <t>region_02</t>
        </is>
      </c>
      <c r="O525" s="19" t="inlineStr"/>
      <c r="P525" s="18" t="inlineStr">
        <is>
          <t>#cobblemon:is_freshwater; #cobblemon:is_ocean</t>
        </is>
      </c>
      <c r="Q525" s="19" t="inlineStr"/>
      <c r="R525" s="18">
        <f>IF(Q525="",P525,Q525)</f>
        <v/>
      </c>
      <c r="S525" s="18" t="inlineStr"/>
      <c r="T525" s="18" t="inlineStr">
        <is>
          <t>common</t>
        </is>
      </c>
      <c r="U525" s="20" t="n">
        <v>0.1</v>
      </c>
      <c r="V525" s="21" t="n">
        <v>1</v>
      </c>
      <c r="W525" s="20">
        <f>IF(OR(U525="",V525=""),U525,U525*V525)</f>
        <v/>
      </c>
      <c r="X525" s="18" t="inlineStr">
        <is>
          <t>20-54</t>
        </is>
      </c>
      <c r="Y525" s="19" t="inlineStr"/>
      <c r="Z525" s="18">
        <f>IF(Y525="",X525,Y525)</f>
        <v/>
      </c>
      <c r="AA525" s="18" t="inlineStr">
        <is>
          <t>submerged</t>
        </is>
      </c>
      <c r="AB525" s="18" t="inlineStr"/>
      <c r="AC525" s="18" t="inlineStr"/>
      <c r="AD525" s="18" t="inlineStr"/>
      <c r="AE525" s="18" t="inlineStr"/>
      <c r="AF525" s="18" t="inlineStr">
        <is>
          <t>True</t>
        </is>
      </c>
      <c r="AG525" s="18" t="inlineStr"/>
      <c r="AH525" s="18" t="inlineStr"/>
      <c r="AI525" s="18" t="inlineStr"/>
      <c r="AJ525" s="18" t="inlineStr">
        <is>
          <t>Cobblemon 동일</t>
        </is>
      </c>
      <c r="AK525" s="18" t="inlineStr">
        <is>
          <t>사용</t>
        </is>
      </c>
      <c r="AL525" s="18" t="inlineStr">
        <is>
          <t>COBBLEVERSE 1.7.42 / DP v31</t>
        </is>
      </c>
      <c r="AM525" s="18" t="inlineStr">
        <is>
          <t>data/cobblemon/spawn_pool_world/0130_gyarados.json</t>
        </is>
      </c>
      <c r="AN525" s="18" t="inlineStr">
        <is>
          <t>gyarados-1</t>
        </is>
      </c>
      <c r="AO525" s="18" t="inlineStr">
        <is>
          <t>pokemon</t>
        </is>
      </c>
      <c r="AP525" s="18" t="inlineStr">
        <is>
          <t>water</t>
        </is>
      </c>
      <c r="AQ525" s="18" t="inlineStr">
        <is>
          <t>{"biomes":["#cobblemon:is_freshwater","#cobblemon:is_ocean"],"canSeeSky":true}</t>
        </is>
      </c>
      <c r="AR525" s="18" t="inlineStr"/>
      <c r="AS525" s="18" t="inlineStr"/>
      <c r="AT525" s="19" t="inlineStr"/>
    </row>
    <row r="526" ht="32" customHeight="1">
      <c r="A526" s="18" t="inlineStr">
        <is>
          <t>0130_gyarados.json::gyarados-2::002</t>
        </is>
      </c>
      <c r="B526" s="19" t="inlineStr">
        <is>
          <t>사용</t>
        </is>
      </c>
      <c r="C526" s="18">
        <f>IF(OR(B526&lt;&gt;AK526,M526&lt;&gt;L526,O526&lt;&gt;"",Q526&lt;&gt;"",V526&lt;&gt;1,Y526&lt;&gt;"",AT526&lt;&gt;""),"수정","원본")</f>
        <v/>
      </c>
      <c r="D526" s="18" t="n">
        <v>130</v>
      </c>
      <c r="E526" s="18" t="inlineStr">
        <is>
          <t>갸라도스</t>
        </is>
      </c>
      <c r="F526" s="18" t="inlineStr">
        <is>
          <t>gyarados</t>
        </is>
      </c>
      <c r="G526" s="18" t="inlineStr">
        <is>
          <t>gyarados</t>
        </is>
      </c>
      <c r="H526" s="18" t="inlineStr"/>
      <c r="I526" s="18" t="n">
        <v>1</v>
      </c>
      <c r="J526" s="18" t="n"/>
      <c r="K526" s="18" t="n">
        <v>1</v>
      </c>
      <c r="L526" s="18" t="inlineStr">
        <is>
          <t>cobbleventure:generation_1</t>
        </is>
      </c>
      <c r="M526" s="19" t="inlineStr">
        <is>
          <t>cobbleventure:generation_1</t>
        </is>
      </c>
      <c r="N526" s="18" t="inlineStr">
        <is>
          <t>region_02</t>
        </is>
      </c>
      <c r="O526" s="19" t="inlineStr"/>
      <c r="P526" s="18" t="inlineStr">
        <is>
          <t>#cobblemon:is_freshwater; #cobblemon:is_ocean</t>
        </is>
      </c>
      <c r="Q526" s="19" t="inlineStr"/>
      <c r="R526" s="18">
        <f>IF(Q526="",P526,Q526)</f>
        <v/>
      </c>
      <c r="S526" s="18" t="inlineStr"/>
      <c r="T526" s="18" t="inlineStr">
        <is>
          <t>uncommon</t>
        </is>
      </c>
      <c r="U526" s="20" t="n">
        <v>0.16</v>
      </c>
      <c r="V526" s="21" t="n">
        <v>1</v>
      </c>
      <c r="W526" s="20">
        <f>IF(OR(U526="",V526=""),U526,U526*V526)</f>
        <v/>
      </c>
      <c r="X526" s="18" t="inlineStr">
        <is>
          <t>20-54</t>
        </is>
      </c>
      <c r="Y526" s="19" t="inlineStr"/>
      <c r="Z526" s="18">
        <f>IF(Y526="",X526,Y526)</f>
        <v/>
      </c>
      <c r="AA526" s="18" t="inlineStr">
        <is>
          <t>surface</t>
        </is>
      </c>
      <c r="AB526" s="18" t="inlineStr"/>
      <c r="AC526" s="18" t="inlineStr"/>
      <c r="AD526" s="18" t="inlineStr"/>
      <c r="AE526" s="18" t="inlineStr">
        <is>
          <t>sky 8-15</t>
        </is>
      </c>
      <c r="AF526" s="18" t="inlineStr"/>
      <c r="AG526" s="18" t="inlineStr"/>
      <c r="AH526" s="18" t="inlineStr"/>
      <c r="AI526" s="18" t="inlineStr"/>
      <c r="AJ526" s="18" t="inlineStr">
        <is>
          <t>Cobblemon 동일</t>
        </is>
      </c>
      <c r="AK526" s="18" t="inlineStr">
        <is>
          <t>사용</t>
        </is>
      </c>
      <c r="AL526" s="18" t="inlineStr">
        <is>
          <t>COBBLEVERSE 1.7.42 / DP v31</t>
        </is>
      </c>
      <c r="AM526" s="18" t="inlineStr">
        <is>
          <t>data/cobblemon/spawn_pool_world/0130_gyarados.json</t>
        </is>
      </c>
      <c r="AN526" s="18" t="inlineStr">
        <is>
          <t>gyarados-2</t>
        </is>
      </c>
      <c r="AO526" s="18" t="inlineStr">
        <is>
          <t>pokemon</t>
        </is>
      </c>
      <c r="AP526" s="18" t="inlineStr">
        <is>
          <t>water</t>
        </is>
      </c>
      <c r="AQ526" s="18" t="inlineStr">
        <is>
          <t>{"biomes":["#cobblemon:is_freshwater","#cobblemon:is_ocean"],"maxSkyLight":15,"minSkyLight":8}</t>
        </is>
      </c>
      <c r="AR526" s="18" t="inlineStr"/>
      <c r="AS526" s="18" t="inlineStr"/>
      <c r="AT526" s="19" t="inlineStr"/>
    </row>
    <row r="527" ht="32" customHeight="1">
      <c r="A527" s="18" t="inlineStr">
        <is>
          <t>0130_gyarados.json::gyarados-3::003</t>
        </is>
      </c>
      <c r="B527" s="19" t="inlineStr">
        <is>
          <t>사용</t>
        </is>
      </c>
      <c r="C527" s="18">
        <f>IF(OR(B527&lt;&gt;AK527,M527&lt;&gt;L527,O527&lt;&gt;"",Q527&lt;&gt;"",V527&lt;&gt;1,Y527&lt;&gt;"",AT527&lt;&gt;""),"수정","원본")</f>
        <v/>
      </c>
      <c r="D527" s="18" t="n">
        <v>130</v>
      </c>
      <c r="E527" s="18" t="inlineStr">
        <is>
          <t>갸라도스</t>
        </is>
      </c>
      <c r="F527" s="18" t="inlineStr">
        <is>
          <t>gyarados</t>
        </is>
      </c>
      <c r="G527" s="18" t="inlineStr">
        <is>
          <t>gyarados</t>
        </is>
      </c>
      <c r="H527" s="18" t="inlineStr"/>
      <c r="I527" s="18" t="n">
        <v>1</v>
      </c>
      <c r="J527" s="18" t="n"/>
      <c r="K527" s="18" t="n">
        <v>1</v>
      </c>
      <c r="L527" s="18" t="inlineStr">
        <is>
          <t>cobbleventure:generation_1</t>
        </is>
      </c>
      <c r="M527" s="19" t="inlineStr">
        <is>
          <t>cobbleventure:generation_1</t>
        </is>
      </c>
      <c r="N527" s="18" t="inlineStr">
        <is>
          <t>region_01; region_02</t>
        </is>
      </c>
      <c r="O527" s="19" t="inlineStr"/>
      <c r="P527" s="18" t="inlineStr">
        <is>
          <t>#aether:is_aether; #cobblemon:is_overworld</t>
        </is>
      </c>
      <c r="Q527" s="19" t="inlineStr"/>
      <c r="R527" s="18">
        <f>IF(Q527="",P527,Q527)</f>
        <v/>
      </c>
      <c r="S527" s="18" t="inlineStr"/>
      <c r="T527" s="18" t="inlineStr">
        <is>
          <t>common</t>
        </is>
      </c>
      <c r="U527" s="20" t="n">
        <v>1</v>
      </c>
      <c r="V527" s="21" t="n">
        <v>1</v>
      </c>
      <c r="W527" s="20">
        <f>IF(OR(U527="",V527=""),U527,U527*V527)</f>
        <v/>
      </c>
      <c r="X527" s="18" t="inlineStr">
        <is>
          <t>20-54</t>
        </is>
      </c>
      <c r="Y527" s="19" t="inlineStr"/>
      <c r="Z527" s="18">
        <f>IF(Y527="",X527,Y527)</f>
        <v/>
      </c>
      <c r="AA527" s="18" t="inlineStr">
        <is>
          <t>fishing</t>
        </is>
      </c>
      <c r="AB527" s="18" t="inlineStr"/>
      <c r="AC527" s="18" t="inlineStr"/>
      <c r="AD527" s="18" t="inlineStr"/>
      <c r="AE527" s="18" t="inlineStr"/>
      <c r="AF527" s="18" t="inlineStr">
        <is>
          <t>True</t>
        </is>
      </c>
      <c r="AG527" s="18" t="inlineStr"/>
      <c r="AH527" s="18" t="inlineStr"/>
      <c r="AI527" s="18" t="inlineStr"/>
      <c r="AJ527" s="18" t="inlineStr">
        <is>
          <t>Cobblemon 동일</t>
        </is>
      </c>
      <c r="AK527" s="18" t="inlineStr">
        <is>
          <t>사용</t>
        </is>
      </c>
      <c r="AL527" s="18" t="inlineStr">
        <is>
          <t>COBBLEVERSE 1.7.42 / DP v31</t>
        </is>
      </c>
      <c r="AM527" s="18" t="inlineStr">
        <is>
          <t>data/cobblemon/spawn_pool_world/0130_gyarados.json</t>
        </is>
      </c>
      <c r="AN527" s="18" t="inlineStr">
        <is>
          <t>gyarados-3</t>
        </is>
      </c>
      <c r="AO527" s="18" t="inlineStr">
        <is>
          <t>pokemon</t>
        </is>
      </c>
      <c r="AP527" s="18" t="inlineStr"/>
      <c r="AQ527" s="18" t="inlineStr">
        <is>
          <t>{"biomes":["#aether:is_aether","#cobblemon:is_overworld"],"canSeeSky":true}</t>
        </is>
      </c>
      <c r="AR527" s="18" t="inlineStr"/>
      <c r="AS527" s="18" t="inlineStr"/>
      <c r="AT527" s="19" t="inlineStr"/>
    </row>
    <row r="528" ht="32" customHeight="1">
      <c r="A528" s="18" t="inlineStr">
        <is>
          <t>0130_gyarados.json::gyarados-4::004</t>
        </is>
      </c>
      <c r="B528" s="19" t="inlineStr">
        <is>
          <t>사용</t>
        </is>
      </c>
      <c r="C528" s="18">
        <f>IF(OR(B528&lt;&gt;AK528,M528&lt;&gt;L528,O528&lt;&gt;"",Q528&lt;&gt;"",V528&lt;&gt;1,Y528&lt;&gt;"",AT528&lt;&gt;""),"수정","원본")</f>
        <v/>
      </c>
      <c r="D528" s="18" t="n">
        <v>130</v>
      </c>
      <c r="E528" s="18" t="inlineStr">
        <is>
          <t>갸라도스</t>
        </is>
      </c>
      <c r="F528" s="18" t="inlineStr">
        <is>
          <t>gyarados</t>
        </is>
      </c>
      <c r="G528" s="18" t="inlineStr">
        <is>
          <t>gyarados</t>
        </is>
      </c>
      <c r="H528" s="18" t="inlineStr"/>
      <c r="I528" s="18" t="n">
        <v>1</v>
      </c>
      <c r="J528" s="18" t="n"/>
      <c r="K528" s="18" t="n">
        <v>1</v>
      </c>
      <c r="L528" s="18" t="inlineStr">
        <is>
          <t>cobbleventure:generation_1</t>
        </is>
      </c>
      <c r="M528" s="19" t="inlineStr">
        <is>
          <t>cobbleventure:generation_1</t>
        </is>
      </c>
      <c r="N528" s="18" t="inlineStr">
        <is>
          <t>region_02</t>
        </is>
      </c>
      <c r="O528" s="19" t="inlineStr"/>
      <c r="P528" s="18" t="inlineStr">
        <is>
          <t>#cobblemon:is_freshwater; #cobblemon:is_ocean</t>
        </is>
      </c>
      <c r="Q528" s="19" t="inlineStr"/>
      <c r="R528" s="18">
        <f>IF(Q528="",P528,Q528)</f>
        <v/>
      </c>
      <c r="S528" s="18" t="inlineStr"/>
      <c r="T528" s="18" t="inlineStr">
        <is>
          <t>common</t>
        </is>
      </c>
      <c r="U528" s="20" t="n">
        <v>0.1</v>
      </c>
      <c r="V528" s="21" t="n">
        <v>1</v>
      </c>
      <c r="W528" s="20">
        <f>IF(OR(U528="",V528=""),U528,U528*V528)</f>
        <v/>
      </c>
      <c r="X528" s="18" t="inlineStr">
        <is>
          <t>20-54</t>
        </is>
      </c>
      <c r="Y528" s="19" t="inlineStr"/>
      <c r="Z528" s="18">
        <f>IF(Y528="",X528,Y528)</f>
        <v/>
      </c>
      <c r="AA528" s="18" t="inlineStr">
        <is>
          <t>submerged</t>
        </is>
      </c>
      <c r="AB528" s="18" t="inlineStr"/>
      <c r="AC528" s="18" t="inlineStr"/>
      <c r="AD528" s="18" t="inlineStr"/>
      <c r="AE528" s="18" t="inlineStr">
        <is>
          <t>sky 8-15</t>
        </is>
      </c>
      <c r="AF528" s="18" t="inlineStr">
        <is>
          <t>False</t>
        </is>
      </c>
      <c r="AG528" s="18" t="inlineStr"/>
      <c r="AH528" s="18" t="inlineStr"/>
      <c r="AI528" s="18" t="inlineStr"/>
      <c r="AJ528" s="18" t="inlineStr">
        <is>
          <t>Cobblemon 동일</t>
        </is>
      </c>
      <c r="AK528" s="18" t="inlineStr">
        <is>
          <t>사용</t>
        </is>
      </c>
      <c r="AL528" s="18" t="inlineStr">
        <is>
          <t>COBBLEVERSE 1.7.42 / DP v31</t>
        </is>
      </c>
      <c r="AM528" s="18" t="inlineStr">
        <is>
          <t>data/cobblemon/spawn_pool_world/0130_gyarados.json</t>
        </is>
      </c>
      <c r="AN528" s="18" t="inlineStr">
        <is>
          <t>gyarados-4</t>
        </is>
      </c>
      <c r="AO528" s="18" t="inlineStr">
        <is>
          <t>pokemon</t>
        </is>
      </c>
      <c r="AP528" s="18" t="inlineStr">
        <is>
          <t>water</t>
        </is>
      </c>
      <c r="AQ528" s="18" t="inlineStr">
        <is>
          <t>{"biomes":["#cobblemon:is_freshwater","#cobblemon:is_ocean"],"canSeeSky":false,"maxSkyLight":15,"minSkyLight":8}</t>
        </is>
      </c>
      <c r="AR528" s="18" t="inlineStr"/>
      <c r="AS528" s="18" t="inlineStr"/>
      <c r="AT528" s="19" t="inlineStr"/>
    </row>
    <row r="529" ht="32" customHeight="1">
      <c r="A529" s="18" t="inlineStr">
        <is>
          <t>0130_gyarados.json::gyarados-5::005</t>
        </is>
      </c>
      <c r="B529" s="19" t="inlineStr">
        <is>
          <t>사용</t>
        </is>
      </c>
      <c r="C529" s="18">
        <f>IF(OR(B529&lt;&gt;AK529,M529&lt;&gt;L529,O529&lt;&gt;"",Q529&lt;&gt;"",V529&lt;&gt;1,Y529&lt;&gt;"",AT529&lt;&gt;""),"수정","원본")</f>
        <v/>
      </c>
      <c r="D529" s="18" t="n">
        <v>130</v>
      </c>
      <c r="E529" s="18" t="inlineStr">
        <is>
          <t>갸라도스</t>
        </is>
      </c>
      <c r="F529" s="18" t="inlineStr">
        <is>
          <t>gyarados</t>
        </is>
      </c>
      <c r="G529" s="18" t="inlineStr">
        <is>
          <t>gyarados</t>
        </is>
      </c>
      <c r="H529" s="18" t="inlineStr"/>
      <c r="I529" s="18" t="n">
        <v>1</v>
      </c>
      <c r="J529" s="18" t="n"/>
      <c r="K529" s="18" t="n">
        <v>1</v>
      </c>
      <c r="L529" s="18" t="inlineStr">
        <is>
          <t>cobbleventure:generation_1</t>
        </is>
      </c>
      <c r="M529" s="19" t="inlineStr">
        <is>
          <t>cobbleventure:generation_1</t>
        </is>
      </c>
      <c r="N529" s="18" t="inlineStr">
        <is>
          <t>region_01; region_02</t>
        </is>
      </c>
      <c r="O529" s="19" t="inlineStr"/>
      <c r="P529" s="18" t="inlineStr">
        <is>
          <t>#aether:is_aether; #cobblemon:is_overworld</t>
        </is>
      </c>
      <c r="Q529" s="19" t="inlineStr"/>
      <c r="R529" s="18">
        <f>IF(Q529="",P529,Q529)</f>
        <v/>
      </c>
      <c r="S529" s="18" t="inlineStr"/>
      <c r="T529" s="18" t="inlineStr">
        <is>
          <t>common</t>
        </is>
      </c>
      <c r="U529" s="20" t="n">
        <v>1</v>
      </c>
      <c r="V529" s="21" t="n">
        <v>1</v>
      </c>
      <c r="W529" s="20">
        <f>IF(OR(U529="",V529=""),U529,U529*V529)</f>
        <v/>
      </c>
      <c r="X529" s="18" t="inlineStr">
        <is>
          <t>20-54</t>
        </is>
      </c>
      <c r="Y529" s="19" t="inlineStr"/>
      <c r="Z529" s="18">
        <f>IF(Y529="",X529,Y529)</f>
        <v/>
      </c>
      <c r="AA529" s="18" t="inlineStr">
        <is>
          <t>fishing</t>
        </is>
      </c>
      <c r="AB529" s="18" t="inlineStr"/>
      <c r="AC529" s="18" t="inlineStr"/>
      <c r="AD529" s="18" t="inlineStr"/>
      <c r="AE529" s="18" t="inlineStr">
        <is>
          <t>sky 8-15</t>
        </is>
      </c>
      <c r="AF529" s="18" t="inlineStr">
        <is>
          <t>False</t>
        </is>
      </c>
      <c r="AG529" s="18" t="inlineStr"/>
      <c r="AH529" s="18" t="inlineStr"/>
      <c r="AI529" s="18" t="inlineStr"/>
      <c r="AJ529" s="18" t="inlineStr">
        <is>
          <t>Cobblemon 동일</t>
        </is>
      </c>
      <c r="AK529" s="18" t="inlineStr">
        <is>
          <t>사용</t>
        </is>
      </c>
      <c r="AL529" s="18" t="inlineStr">
        <is>
          <t>COBBLEVERSE 1.7.42 / DP v31</t>
        </is>
      </c>
      <c r="AM529" s="18" t="inlineStr">
        <is>
          <t>data/cobblemon/spawn_pool_world/0130_gyarados.json</t>
        </is>
      </c>
      <c r="AN529" s="18" t="inlineStr">
        <is>
          <t>gyarados-5</t>
        </is>
      </c>
      <c r="AO529" s="18" t="inlineStr">
        <is>
          <t>pokemon</t>
        </is>
      </c>
      <c r="AP529" s="18" t="inlineStr"/>
      <c r="AQ529" s="18" t="inlineStr">
        <is>
          <t>{"biomes":["#aether:is_aether","#cobblemon:is_overworld"],"canSeeSky":false,"maxSkyLight":15,"minSkyLight":8}</t>
        </is>
      </c>
      <c r="AR529" s="18" t="inlineStr"/>
      <c r="AS529" s="18" t="inlineStr"/>
      <c r="AT529" s="19" t="inlineStr"/>
    </row>
    <row r="530" ht="32" customHeight="1">
      <c r="A530" s="18" t="inlineStr">
        <is>
          <t>0131_lapras.json::lapras-1::001</t>
        </is>
      </c>
      <c r="B530" s="19" t="inlineStr">
        <is>
          <t>사용</t>
        </is>
      </c>
      <c r="C530" s="18">
        <f>IF(OR(B530&lt;&gt;AK530,M530&lt;&gt;L530,O530&lt;&gt;"",Q530&lt;&gt;"",V530&lt;&gt;1,Y530&lt;&gt;"",AT530&lt;&gt;""),"수정","원본")</f>
        <v/>
      </c>
      <c r="D530" s="18" t="n">
        <v>131</v>
      </c>
      <c r="E530" s="18" t="inlineStr">
        <is>
          <t>라프라스</t>
        </is>
      </c>
      <c r="F530" s="18" t="inlineStr">
        <is>
          <t>lapras</t>
        </is>
      </c>
      <c r="G530" s="18" t="inlineStr">
        <is>
          <t>lapras</t>
        </is>
      </c>
      <c r="H530" s="18" t="inlineStr"/>
      <c r="I530" s="18" t="n">
        <v>1</v>
      </c>
      <c r="J530" s="18" t="n"/>
      <c r="K530" s="18" t="n">
        <v>1</v>
      </c>
      <c r="L530" s="18" t="inlineStr">
        <is>
          <t>cobbleventure:generation_1</t>
        </is>
      </c>
      <c r="M530" s="19" t="inlineStr">
        <is>
          <t>cobbleventure:generation_1</t>
        </is>
      </c>
      <c r="N530" s="18" t="inlineStr"/>
      <c r="O530" s="19" t="inlineStr"/>
      <c r="P530" s="18" t="inlineStr">
        <is>
          <t>#cobblemon:is_frozen_ocean</t>
        </is>
      </c>
      <c r="Q530" s="19" t="inlineStr"/>
      <c r="R530" s="18">
        <f>IF(Q530="",P530,Q530)</f>
        <v/>
      </c>
      <c r="S530" s="18" t="inlineStr"/>
      <c r="T530" s="18" t="inlineStr">
        <is>
          <t>uncommon</t>
        </is>
      </c>
      <c r="U530" s="20" t="n">
        <v>2</v>
      </c>
      <c r="V530" s="21" t="n">
        <v>1</v>
      </c>
      <c r="W530" s="20">
        <f>IF(OR(U530="",V530=""),U530,U530*V530)</f>
        <v/>
      </c>
      <c r="X530" s="18" t="inlineStr">
        <is>
          <t>29-54</t>
        </is>
      </c>
      <c r="Y530" s="19" t="inlineStr"/>
      <c r="Z530" s="18">
        <f>IF(Y530="",X530,Y530)</f>
        <v/>
      </c>
      <c r="AA530" s="18" t="inlineStr">
        <is>
          <t>surface</t>
        </is>
      </c>
      <c r="AB530" s="18" t="inlineStr"/>
      <c r="AC530" s="18" t="inlineStr"/>
      <c r="AD530" s="18" t="inlineStr"/>
      <c r="AE530" s="18" t="inlineStr">
        <is>
          <t>sky 8-15</t>
        </is>
      </c>
      <c r="AF530" s="18" t="inlineStr"/>
      <c r="AG530" s="18" t="inlineStr"/>
      <c r="AH530" s="18" t="inlineStr"/>
      <c r="AI530" s="18" t="inlineStr"/>
      <c r="AJ530" s="18" t="inlineStr">
        <is>
          <t>Cobblemon 동일</t>
        </is>
      </c>
      <c r="AK530" s="18" t="inlineStr">
        <is>
          <t>사용</t>
        </is>
      </c>
      <c r="AL530" s="18" t="inlineStr">
        <is>
          <t>COBBLEVERSE 1.7.42 / DP v31</t>
        </is>
      </c>
      <c r="AM530" s="18" t="inlineStr">
        <is>
          <t>data/cobblemon/spawn_pool_world/0131_lapras.json</t>
        </is>
      </c>
      <c r="AN530" s="18" t="inlineStr">
        <is>
          <t>lapras-1</t>
        </is>
      </c>
      <c r="AO530" s="18" t="inlineStr">
        <is>
          <t>pokemon</t>
        </is>
      </c>
      <c r="AP530" s="18" t="inlineStr">
        <is>
          <t>water</t>
        </is>
      </c>
      <c r="AQ530" s="18" t="inlineStr">
        <is>
          <t>{"biomes":["#cobblemon:is_frozen_ocean"],"maxSkyLight":15,"minSkyLight":8}</t>
        </is>
      </c>
      <c r="AR530" s="18" t="inlineStr"/>
      <c r="AS530" s="18" t="inlineStr"/>
      <c r="AT530" s="19" t="inlineStr"/>
    </row>
    <row r="531" ht="32" customHeight="1">
      <c r="A531" s="18" t="inlineStr">
        <is>
          <t>0131_lapras.json::lapras-2::002</t>
        </is>
      </c>
      <c r="B531" s="19" t="inlineStr">
        <is>
          <t>사용</t>
        </is>
      </c>
      <c r="C531" s="18">
        <f>IF(OR(B531&lt;&gt;AK531,M531&lt;&gt;L531,O531&lt;&gt;"",Q531&lt;&gt;"",V531&lt;&gt;1,Y531&lt;&gt;"",AT531&lt;&gt;""),"수정","원본")</f>
        <v/>
      </c>
      <c r="D531" s="18" t="n">
        <v>131</v>
      </c>
      <c r="E531" s="18" t="inlineStr">
        <is>
          <t>라프라스</t>
        </is>
      </c>
      <c r="F531" s="18" t="inlineStr">
        <is>
          <t>lapras</t>
        </is>
      </c>
      <c r="G531" s="18" t="inlineStr">
        <is>
          <t>lapras</t>
        </is>
      </c>
      <c r="H531" s="18" t="inlineStr"/>
      <c r="I531" s="18" t="n">
        <v>1</v>
      </c>
      <c r="J531" s="18" t="n"/>
      <c r="K531" s="18" t="n">
        <v>1</v>
      </c>
      <c r="L531" s="18" t="inlineStr">
        <is>
          <t>cobbleventure:generation_1</t>
        </is>
      </c>
      <c r="M531" s="19" t="inlineStr">
        <is>
          <t>cobbleventure:generation_1</t>
        </is>
      </c>
      <c r="N531" s="18" t="inlineStr"/>
      <c r="O531" s="19" t="inlineStr"/>
      <c r="P531" s="18" t="inlineStr">
        <is>
          <t>#cobblemon:is_ocean</t>
        </is>
      </c>
      <c r="Q531" s="19" t="inlineStr"/>
      <c r="R531" s="18">
        <f>IF(Q531="",P531,Q531)</f>
        <v/>
      </c>
      <c r="S531" s="18" t="inlineStr">
        <is>
          <t>#cobblemon:is_frozen_ocean</t>
        </is>
      </c>
      <c r="T531" s="18" t="inlineStr">
        <is>
          <t>ultra-rare</t>
        </is>
      </c>
      <c r="U531" s="20" t="n">
        <v>10</v>
      </c>
      <c r="V531" s="21" t="n">
        <v>1</v>
      </c>
      <c r="W531" s="20">
        <f>IF(OR(U531="",V531=""),U531,U531*V531)</f>
        <v/>
      </c>
      <c r="X531" s="18" t="inlineStr">
        <is>
          <t>29-54</t>
        </is>
      </c>
      <c r="Y531" s="19" t="inlineStr"/>
      <c r="Z531" s="18">
        <f>IF(Y531="",X531,Y531)</f>
        <v/>
      </c>
      <c r="AA531" s="18" t="inlineStr">
        <is>
          <t>surface</t>
        </is>
      </c>
      <c r="AB531" s="18" t="inlineStr"/>
      <c r="AC531" s="18" t="inlineStr"/>
      <c r="AD531" s="18" t="inlineStr"/>
      <c r="AE531" s="18" t="inlineStr">
        <is>
          <t>sky 8-15</t>
        </is>
      </c>
      <c r="AF531" s="18" t="inlineStr"/>
      <c r="AG531" s="18" t="inlineStr"/>
      <c r="AH531" s="18" t="inlineStr"/>
      <c r="AI531" s="18" t="inlineStr"/>
      <c r="AJ531" s="18" t="inlineStr">
        <is>
          <t>Cobblemon 동일</t>
        </is>
      </c>
      <c r="AK531" s="18" t="inlineStr">
        <is>
          <t>사용</t>
        </is>
      </c>
      <c r="AL531" s="18" t="inlineStr">
        <is>
          <t>COBBLEVERSE 1.7.42 / DP v31</t>
        </is>
      </c>
      <c r="AM531" s="18" t="inlineStr">
        <is>
          <t>data/cobblemon/spawn_pool_world/0131_lapras.json</t>
        </is>
      </c>
      <c r="AN531" s="18" t="inlineStr">
        <is>
          <t>lapras-2</t>
        </is>
      </c>
      <c r="AO531" s="18" t="inlineStr">
        <is>
          <t>pokemon</t>
        </is>
      </c>
      <c r="AP531" s="18" t="inlineStr">
        <is>
          <t>water</t>
        </is>
      </c>
      <c r="AQ531" s="18" t="inlineStr">
        <is>
          <t>{"biomes":["#cobblemon:is_ocean"],"maxSkyLight":15,"minSkyLight":8}</t>
        </is>
      </c>
      <c r="AR531" s="18" t="inlineStr">
        <is>
          <t>{"biomes":["#cobblemon:is_frozen_ocean"]}</t>
        </is>
      </c>
      <c r="AS531" s="18" t="inlineStr"/>
      <c r="AT531" s="19" t="inlineStr"/>
    </row>
    <row r="532" ht="32" customHeight="1">
      <c r="A532" s="18" t="inlineStr">
        <is>
          <t>0131_lapras.json::lapras-3::003</t>
        </is>
      </c>
      <c r="B532" s="19" t="inlineStr">
        <is>
          <t>사용</t>
        </is>
      </c>
      <c r="C532" s="18">
        <f>IF(OR(B532&lt;&gt;AK532,M532&lt;&gt;L532,O532&lt;&gt;"",Q532&lt;&gt;"",V532&lt;&gt;1,Y532&lt;&gt;"",AT532&lt;&gt;""),"수정","원본")</f>
        <v/>
      </c>
      <c r="D532" s="18" t="n">
        <v>131</v>
      </c>
      <c r="E532" s="18" t="inlineStr">
        <is>
          <t>라프라스</t>
        </is>
      </c>
      <c r="F532" s="18" t="inlineStr">
        <is>
          <t>lapras</t>
        </is>
      </c>
      <c r="G532" s="18" t="inlineStr">
        <is>
          <t>lapras</t>
        </is>
      </c>
      <c r="H532" s="18" t="inlineStr"/>
      <c r="I532" s="18" t="n">
        <v>1</v>
      </c>
      <c r="J532" s="18" t="n"/>
      <c r="K532" s="18" t="n">
        <v>1</v>
      </c>
      <c r="L532" s="18" t="inlineStr">
        <is>
          <t>cobbleventure:generation_1</t>
        </is>
      </c>
      <c r="M532" s="19" t="inlineStr">
        <is>
          <t>cobbleventure:generation_1</t>
        </is>
      </c>
      <c r="N532" s="18" t="inlineStr"/>
      <c r="O532" s="19" t="inlineStr"/>
      <c r="P532" s="18" t="inlineStr">
        <is>
          <t>#cobblemon:is_frozen_ocean</t>
        </is>
      </c>
      <c r="Q532" s="19" t="inlineStr"/>
      <c r="R532" s="18">
        <f>IF(Q532="",P532,Q532)</f>
        <v/>
      </c>
      <c r="S532" s="18" t="inlineStr"/>
      <c r="T532" s="18" t="inlineStr">
        <is>
          <t>uncommon</t>
        </is>
      </c>
      <c r="U532" s="20" t="n">
        <v>2</v>
      </c>
      <c r="V532" s="21" t="n">
        <v>1</v>
      </c>
      <c r="W532" s="20">
        <f>IF(OR(U532="",V532=""),U532,U532*V532)</f>
        <v/>
      </c>
      <c r="X532" s="18" t="inlineStr">
        <is>
          <t>29-54</t>
        </is>
      </c>
      <c r="Y532" s="19" t="inlineStr"/>
      <c r="Z532" s="18">
        <f>IF(Y532="",X532,Y532)</f>
        <v/>
      </c>
      <c r="AA532" s="18" t="inlineStr">
        <is>
          <t>fishing</t>
        </is>
      </c>
      <c r="AB532" s="18" t="inlineStr"/>
      <c r="AC532" s="18" t="inlineStr"/>
      <c r="AD532" s="18" t="inlineStr"/>
      <c r="AE532" s="18" t="inlineStr"/>
      <c r="AF532" s="18" t="inlineStr">
        <is>
          <t>True</t>
        </is>
      </c>
      <c r="AG532" s="18" t="inlineStr"/>
      <c r="AH532" s="18" t="inlineStr"/>
      <c r="AI532" s="18" t="inlineStr"/>
      <c r="AJ532" s="18" t="inlineStr">
        <is>
          <t>Cobblemon 동일</t>
        </is>
      </c>
      <c r="AK532" s="18" t="inlineStr">
        <is>
          <t>사용</t>
        </is>
      </c>
      <c r="AL532" s="18" t="inlineStr">
        <is>
          <t>COBBLEVERSE 1.7.42 / DP v31</t>
        </is>
      </c>
      <c r="AM532" s="18" t="inlineStr">
        <is>
          <t>data/cobblemon/spawn_pool_world/0131_lapras.json</t>
        </is>
      </c>
      <c r="AN532" s="18" t="inlineStr">
        <is>
          <t>lapras-3</t>
        </is>
      </c>
      <c r="AO532" s="18" t="inlineStr">
        <is>
          <t>pokemon</t>
        </is>
      </c>
      <c r="AP532" s="18" t="inlineStr"/>
      <c r="AQ532" s="18" t="inlineStr">
        <is>
          <t>{"biomes":["#cobblemon:is_frozen_ocean"],"canSeeSky":true}</t>
        </is>
      </c>
      <c r="AR532" s="18" t="inlineStr">
        <is>
          <t>{"minLureLevel":1}</t>
        </is>
      </c>
      <c r="AS532" s="18" t="inlineStr"/>
      <c r="AT532" s="19" t="inlineStr"/>
    </row>
    <row r="533" ht="32" customHeight="1">
      <c r="A533" s="18" t="inlineStr">
        <is>
          <t>0131_lapras.json::lapras-4::004</t>
        </is>
      </c>
      <c r="B533" s="19" t="inlineStr">
        <is>
          <t>사용</t>
        </is>
      </c>
      <c r="C533" s="18">
        <f>IF(OR(B533&lt;&gt;AK533,M533&lt;&gt;L533,O533&lt;&gt;"",Q533&lt;&gt;"",V533&lt;&gt;1,Y533&lt;&gt;"",AT533&lt;&gt;""),"수정","원본")</f>
        <v/>
      </c>
      <c r="D533" s="18" t="n">
        <v>131</v>
      </c>
      <c r="E533" s="18" t="inlineStr">
        <is>
          <t>라프라스</t>
        </is>
      </c>
      <c r="F533" s="18" t="inlineStr">
        <is>
          <t>lapras</t>
        </is>
      </c>
      <c r="G533" s="18" t="inlineStr">
        <is>
          <t>lapras</t>
        </is>
      </c>
      <c r="H533" s="18" t="inlineStr"/>
      <c r="I533" s="18" t="n">
        <v>1</v>
      </c>
      <c r="J533" s="18" t="n"/>
      <c r="K533" s="18" t="n">
        <v>1</v>
      </c>
      <c r="L533" s="18" t="inlineStr">
        <is>
          <t>cobbleventure:generation_1</t>
        </is>
      </c>
      <c r="M533" s="19" t="inlineStr">
        <is>
          <t>cobbleventure:generation_1</t>
        </is>
      </c>
      <c r="N533" s="18" t="inlineStr"/>
      <c r="O533" s="19" t="inlineStr"/>
      <c r="P533" s="18" t="inlineStr">
        <is>
          <t>#cobblemon:is_frozen_ocean</t>
        </is>
      </c>
      <c r="Q533" s="19" t="inlineStr"/>
      <c r="R533" s="18">
        <f>IF(Q533="",P533,Q533)</f>
        <v/>
      </c>
      <c r="S533" s="18" t="inlineStr"/>
      <c r="T533" s="18" t="inlineStr">
        <is>
          <t>common</t>
        </is>
      </c>
      <c r="U533" s="20" t="n">
        <v>2</v>
      </c>
      <c r="V533" s="21" t="n">
        <v>1</v>
      </c>
      <c r="W533" s="20">
        <f>IF(OR(U533="",V533=""),U533,U533*V533)</f>
        <v/>
      </c>
      <c r="X533" s="18" t="inlineStr">
        <is>
          <t>29-54</t>
        </is>
      </c>
      <c r="Y533" s="19" t="inlineStr"/>
      <c r="Z533" s="18">
        <f>IF(Y533="",X533,Y533)</f>
        <v/>
      </c>
      <c r="AA533" s="18" t="inlineStr">
        <is>
          <t>fishing</t>
        </is>
      </c>
      <c r="AB533" s="18" t="inlineStr"/>
      <c r="AC533" s="18" t="inlineStr"/>
      <c r="AD533" s="18" t="inlineStr"/>
      <c r="AE533" s="18" t="inlineStr"/>
      <c r="AF533" s="18" t="inlineStr">
        <is>
          <t>True</t>
        </is>
      </c>
      <c r="AG533" s="18" t="inlineStr"/>
      <c r="AH533" s="18" t="inlineStr"/>
      <c r="AI533" s="18" t="inlineStr">
        <is>
          <t>{"fishing":{"minLureLevel":1}}</t>
        </is>
      </c>
      <c r="AJ533" s="18" t="inlineStr">
        <is>
          <t>Cobblemon 동일</t>
        </is>
      </c>
      <c r="AK533" s="18" t="inlineStr">
        <is>
          <t>사용</t>
        </is>
      </c>
      <c r="AL533" s="18" t="inlineStr">
        <is>
          <t>COBBLEVERSE 1.7.42 / DP v31</t>
        </is>
      </c>
      <c r="AM533" s="18" t="inlineStr">
        <is>
          <t>data/cobblemon/spawn_pool_world/0131_lapras.json</t>
        </is>
      </c>
      <c r="AN533" s="18" t="inlineStr">
        <is>
          <t>lapras-4</t>
        </is>
      </c>
      <c r="AO533" s="18" t="inlineStr">
        <is>
          <t>pokemon</t>
        </is>
      </c>
      <c r="AP533" s="18" t="inlineStr"/>
      <c r="AQ533" s="18" t="inlineStr">
        <is>
          <t>{"biomes":["#cobblemon:is_frozen_ocean"],"canSeeSky":true,"minLureLevel":1}</t>
        </is>
      </c>
      <c r="AR533" s="18" t="inlineStr"/>
      <c r="AS533" s="18" t="inlineStr">
        <is>
          <t>{"weightMultiplier":{"condition":{"minLureLevel":3},"multiplier":3.0}}</t>
        </is>
      </c>
      <c r="AT533" s="19" t="inlineStr"/>
    </row>
    <row r="534" ht="32" customHeight="1">
      <c r="A534" s="18" t="inlineStr">
        <is>
          <t>0131_lapras.json::lapras-5::005</t>
        </is>
      </c>
      <c r="B534" s="19" t="inlineStr">
        <is>
          <t>사용</t>
        </is>
      </c>
      <c r="C534" s="18">
        <f>IF(OR(B534&lt;&gt;AK534,M534&lt;&gt;L534,O534&lt;&gt;"",Q534&lt;&gt;"",V534&lt;&gt;1,Y534&lt;&gt;"",AT534&lt;&gt;""),"수정","원본")</f>
        <v/>
      </c>
      <c r="D534" s="18" t="n">
        <v>131</v>
      </c>
      <c r="E534" s="18" t="inlineStr">
        <is>
          <t>라프라스</t>
        </is>
      </c>
      <c r="F534" s="18" t="inlineStr">
        <is>
          <t>lapras</t>
        </is>
      </c>
      <c r="G534" s="18" t="inlineStr">
        <is>
          <t>lapras</t>
        </is>
      </c>
      <c r="H534" s="18" t="inlineStr"/>
      <c r="I534" s="18" t="n">
        <v>1</v>
      </c>
      <c r="J534" s="18" t="n"/>
      <c r="K534" s="18" t="n">
        <v>1</v>
      </c>
      <c r="L534" s="18" t="inlineStr">
        <is>
          <t>cobbleventure:generation_1</t>
        </is>
      </c>
      <c r="M534" s="19" t="inlineStr">
        <is>
          <t>cobbleventure:generation_1</t>
        </is>
      </c>
      <c r="N534" s="18" t="inlineStr"/>
      <c r="O534" s="19" t="inlineStr"/>
      <c r="P534" s="18" t="inlineStr">
        <is>
          <t>#cobblemon:is_ocean</t>
        </is>
      </c>
      <c r="Q534" s="19" t="inlineStr"/>
      <c r="R534" s="18">
        <f>IF(Q534="",P534,Q534)</f>
        <v/>
      </c>
      <c r="S534" s="18" t="inlineStr">
        <is>
          <t>#cobblemon:is_frozen_ocean</t>
        </is>
      </c>
      <c r="T534" s="18" t="inlineStr">
        <is>
          <t>ultra-rare</t>
        </is>
      </c>
      <c r="U534" s="20" t="n">
        <v>10</v>
      </c>
      <c r="V534" s="21" t="n">
        <v>1</v>
      </c>
      <c r="W534" s="20">
        <f>IF(OR(U534="",V534=""),U534,U534*V534)</f>
        <v/>
      </c>
      <c r="X534" s="18" t="inlineStr">
        <is>
          <t>29-54</t>
        </is>
      </c>
      <c r="Y534" s="19" t="inlineStr"/>
      <c r="Z534" s="18">
        <f>IF(Y534="",X534,Y534)</f>
        <v/>
      </c>
      <c r="AA534" s="18" t="inlineStr">
        <is>
          <t>fishing</t>
        </is>
      </c>
      <c r="AB534" s="18" t="inlineStr"/>
      <c r="AC534" s="18" t="inlineStr"/>
      <c r="AD534" s="18" t="inlineStr"/>
      <c r="AE534" s="18" t="inlineStr"/>
      <c r="AF534" s="18" t="inlineStr">
        <is>
          <t>True</t>
        </is>
      </c>
      <c r="AG534" s="18" t="inlineStr"/>
      <c r="AH534" s="18" t="inlineStr"/>
      <c r="AI534" s="18" t="inlineStr"/>
      <c r="AJ534" s="18" t="inlineStr">
        <is>
          <t>Cobblemon 동일</t>
        </is>
      </c>
      <c r="AK534" s="18" t="inlineStr">
        <is>
          <t>사용</t>
        </is>
      </c>
      <c r="AL534" s="18" t="inlineStr">
        <is>
          <t>COBBLEVERSE 1.7.42 / DP v31</t>
        </is>
      </c>
      <c r="AM534" s="18" t="inlineStr">
        <is>
          <t>data/cobblemon/spawn_pool_world/0131_lapras.json</t>
        </is>
      </c>
      <c r="AN534" s="18" t="inlineStr">
        <is>
          <t>lapras-5</t>
        </is>
      </c>
      <c r="AO534" s="18" t="inlineStr">
        <is>
          <t>pokemon</t>
        </is>
      </c>
      <c r="AP534" s="18" t="inlineStr"/>
      <c r="AQ534" s="18" t="inlineStr">
        <is>
          <t>{"biomes":["#cobblemon:is_ocean"],"canSeeSky":true}</t>
        </is>
      </c>
      <c r="AR534" s="18" t="inlineStr">
        <is>
          <t>{"biomes":["#cobblemon:is_frozen_ocean"]}</t>
        </is>
      </c>
      <c r="AS534" s="18" t="inlineStr"/>
      <c r="AT534" s="19" t="inlineStr"/>
    </row>
    <row r="535" ht="32" customHeight="1">
      <c r="A535" s="18" t="inlineStr">
        <is>
          <t>0131_lapras.json::lapras-6::006</t>
        </is>
      </c>
      <c r="B535" s="19" t="inlineStr">
        <is>
          <t>사용</t>
        </is>
      </c>
      <c r="C535" s="18">
        <f>IF(OR(B535&lt;&gt;AK535,M535&lt;&gt;L535,O535&lt;&gt;"",Q535&lt;&gt;"",V535&lt;&gt;1,Y535&lt;&gt;"",AT535&lt;&gt;""),"수정","원본")</f>
        <v/>
      </c>
      <c r="D535" s="18" t="n">
        <v>131</v>
      </c>
      <c r="E535" s="18" t="inlineStr">
        <is>
          <t>라프라스</t>
        </is>
      </c>
      <c r="F535" s="18" t="inlineStr">
        <is>
          <t>lapras</t>
        </is>
      </c>
      <c r="G535" s="18" t="inlineStr">
        <is>
          <t>lapras</t>
        </is>
      </c>
      <c r="H535" s="18" t="inlineStr"/>
      <c r="I535" s="18" t="n">
        <v>1</v>
      </c>
      <c r="J535" s="18" t="n"/>
      <c r="K535" s="18" t="n">
        <v>1</v>
      </c>
      <c r="L535" s="18" t="inlineStr">
        <is>
          <t>cobbleventure:generation_1</t>
        </is>
      </c>
      <c r="M535" s="19" t="inlineStr">
        <is>
          <t>cobbleventure:generation_1</t>
        </is>
      </c>
      <c r="N535" s="18" t="inlineStr"/>
      <c r="O535" s="19" t="inlineStr"/>
      <c r="P535" s="18" t="inlineStr">
        <is>
          <t>#cobblemon:is_frozen_ocean</t>
        </is>
      </c>
      <c r="Q535" s="19" t="inlineStr"/>
      <c r="R535" s="18">
        <f>IF(Q535="",P535,Q535)</f>
        <v/>
      </c>
      <c r="S535" s="18" t="inlineStr"/>
      <c r="T535" s="18" t="inlineStr">
        <is>
          <t>uncommon</t>
        </is>
      </c>
      <c r="U535" s="20" t="n">
        <v>2</v>
      </c>
      <c r="V535" s="21" t="n">
        <v>1</v>
      </c>
      <c r="W535" s="20">
        <f>IF(OR(U535="",V535=""),U535,U535*V535)</f>
        <v/>
      </c>
      <c r="X535" s="18" t="inlineStr">
        <is>
          <t>29-54</t>
        </is>
      </c>
      <c r="Y535" s="19" t="inlineStr"/>
      <c r="Z535" s="18">
        <f>IF(Y535="",X535,Y535)</f>
        <v/>
      </c>
      <c r="AA535" s="18" t="inlineStr">
        <is>
          <t>fishing</t>
        </is>
      </c>
      <c r="AB535" s="18" t="inlineStr"/>
      <c r="AC535" s="18" t="inlineStr"/>
      <c r="AD535" s="18" t="inlineStr"/>
      <c r="AE535" s="18" t="inlineStr">
        <is>
          <t>sky 8-15</t>
        </is>
      </c>
      <c r="AF535" s="18" t="inlineStr">
        <is>
          <t>False</t>
        </is>
      </c>
      <c r="AG535" s="18" t="inlineStr"/>
      <c r="AH535" s="18" t="inlineStr"/>
      <c r="AI535" s="18" t="inlineStr"/>
      <c r="AJ535" s="18" t="inlineStr">
        <is>
          <t>Cobblemon 동일</t>
        </is>
      </c>
      <c r="AK535" s="18" t="inlineStr">
        <is>
          <t>사용</t>
        </is>
      </c>
      <c r="AL535" s="18" t="inlineStr">
        <is>
          <t>COBBLEVERSE 1.7.42 / DP v31</t>
        </is>
      </c>
      <c r="AM535" s="18" t="inlineStr">
        <is>
          <t>data/cobblemon/spawn_pool_world/0131_lapras.json</t>
        </is>
      </c>
      <c r="AN535" s="18" t="inlineStr">
        <is>
          <t>lapras-6</t>
        </is>
      </c>
      <c r="AO535" s="18" t="inlineStr">
        <is>
          <t>pokemon</t>
        </is>
      </c>
      <c r="AP535" s="18" t="inlineStr"/>
      <c r="AQ535" s="18" t="inlineStr">
        <is>
          <t>{"biomes":["#cobblemon:is_frozen_ocean"],"canSeeSky":false,"maxSkyLight":15,"minSkyLight":8}</t>
        </is>
      </c>
      <c r="AR535" s="18" t="inlineStr">
        <is>
          <t>{"minLureLevel":1}</t>
        </is>
      </c>
      <c r="AS535" s="18" t="inlineStr"/>
      <c r="AT535" s="19" t="inlineStr"/>
    </row>
    <row r="536" ht="32" customHeight="1">
      <c r="A536" s="18" t="inlineStr">
        <is>
          <t>0131_lapras.json::lapras-7::007</t>
        </is>
      </c>
      <c r="B536" s="19" t="inlineStr">
        <is>
          <t>사용</t>
        </is>
      </c>
      <c r="C536" s="18">
        <f>IF(OR(B536&lt;&gt;AK536,M536&lt;&gt;L536,O536&lt;&gt;"",Q536&lt;&gt;"",V536&lt;&gt;1,Y536&lt;&gt;"",AT536&lt;&gt;""),"수정","원본")</f>
        <v/>
      </c>
      <c r="D536" s="18" t="n">
        <v>131</v>
      </c>
      <c r="E536" s="18" t="inlineStr">
        <is>
          <t>라프라스</t>
        </is>
      </c>
      <c r="F536" s="18" t="inlineStr">
        <is>
          <t>lapras</t>
        </is>
      </c>
      <c r="G536" s="18" t="inlineStr">
        <is>
          <t>lapras</t>
        </is>
      </c>
      <c r="H536" s="18" t="inlineStr"/>
      <c r="I536" s="18" t="n">
        <v>1</v>
      </c>
      <c r="J536" s="18" t="n"/>
      <c r="K536" s="18" t="n">
        <v>1</v>
      </c>
      <c r="L536" s="18" t="inlineStr">
        <is>
          <t>cobbleventure:generation_1</t>
        </is>
      </c>
      <c r="M536" s="19" t="inlineStr">
        <is>
          <t>cobbleventure:generation_1</t>
        </is>
      </c>
      <c r="N536" s="18" t="inlineStr"/>
      <c r="O536" s="19" t="inlineStr"/>
      <c r="P536" s="18" t="inlineStr">
        <is>
          <t>#cobblemon:is_frozen_ocean</t>
        </is>
      </c>
      <c r="Q536" s="19" t="inlineStr"/>
      <c r="R536" s="18">
        <f>IF(Q536="",P536,Q536)</f>
        <v/>
      </c>
      <c r="S536" s="18" t="inlineStr"/>
      <c r="T536" s="18" t="inlineStr">
        <is>
          <t>common</t>
        </is>
      </c>
      <c r="U536" s="20" t="n">
        <v>2</v>
      </c>
      <c r="V536" s="21" t="n">
        <v>1</v>
      </c>
      <c r="W536" s="20">
        <f>IF(OR(U536="",V536=""),U536,U536*V536)</f>
        <v/>
      </c>
      <c r="X536" s="18" t="inlineStr">
        <is>
          <t>29-54</t>
        </is>
      </c>
      <c r="Y536" s="19" t="inlineStr"/>
      <c r="Z536" s="18">
        <f>IF(Y536="",X536,Y536)</f>
        <v/>
      </c>
      <c r="AA536" s="18" t="inlineStr">
        <is>
          <t>fishing</t>
        </is>
      </c>
      <c r="AB536" s="18" t="inlineStr"/>
      <c r="AC536" s="18" t="inlineStr"/>
      <c r="AD536" s="18" t="inlineStr"/>
      <c r="AE536" s="18" t="inlineStr">
        <is>
          <t>sky 8-15</t>
        </is>
      </c>
      <c r="AF536" s="18" t="inlineStr">
        <is>
          <t>False</t>
        </is>
      </c>
      <c r="AG536" s="18" t="inlineStr"/>
      <c r="AH536" s="18" t="inlineStr"/>
      <c r="AI536" s="18" t="inlineStr">
        <is>
          <t>{"fishing":{"minLureLevel":1}}</t>
        </is>
      </c>
      <c r="AJ536" s="18" t="inlineStr">
        <is>
          <t>Cobblemon 동일</t>
        </is>
      </c>
      <c r="AK536" s="18" t="inlineStr">
        <is>
          <t>사용</t>
        </is>
      </c>
      <c r="AL536" s="18" t="inlineStr">
        <is>
          <t>COBBLEVERSE 1.7.42 / DP v31</t>
        </is>
      </c>
      <c r="AM536" s="18" t="inlineStr">
        <is>
          <t>data/cobblemon/spawn_pool_world/0131_lapras.json</t>
        </is>
      </c>
      <c r="AN536" s="18" t="inlineStr">
        <is>
          <t>lapras-7</t>
        </is>
      </c>
      <c r="AO536" s="18" t="inlineStr">
        <is>
          <t>pokemon</t>
        </is>
      </c>
      <c r="AP536" s="18" t="inlineStr"/>
      <c r="AQ536" s="18" t="inlineStr">
        <is>
          <t>{"biomes":["#cobblemon:is_frozen_ocean"],"canSeeSky":false,"maxSkyLight":15,"minLureLevel":1,"minSkyLight":8}</t>
        </is>
      </c>
      <c r="AR536" s="18" t="inlineStr"/>
      <c r="AS536" s="18" t="inlineStr">
        <is>
          <t>{"weightMultiplier":{"condition":{"minLureLevel":3},"multiplier":3.0}}</t>
        </is>
      </c>
      <c r="AT536" s="19" t="inlineStr"/>
    </row>
    <row r="537" ht="32" customHeight="1">
      <c r="A537" s="18" t="inlineStr">
        <is>
          <t>0131_lapras.json::lapras-8::008</t>
        </is>
      </c>
      <c r="B537" s="19" t="inlineStr">
        <is>
          <t>사용</t>
        </is>
      </c>
      <c r="C537" s="18">
        <f>IF(OR(B537&lt;&gt;AK537,M537&lt;&gt;L537,O537&lt;&gt;"",Q537&lt;&gt;"",V537&lt;&gt;1,Y537&lt;&gt;"",AT537&lt;&gt;""),"수정","원본")</f>
        <v/>
      </c>
      <c r="D537" s="18" t="n">
        <v>131</v>
      </c>
      <c r="E537" s="18" t="inlineStr">
        <is>
          <t>라프라스</t>
        </is>
      </c>
      <c r="F537" s="18" t="inlineStr">
        <is>
          <t>lapras</t>
        </is>
      </c>
      <c r="G537" s="18" t="inlineStr">
        <is>
          <t>lapras</t>
        </is>
      </c>
      <c r="H537" s="18" t="inlineStr"/>
      <c r="I537" s="18" t="n">
        <v>1</v>
      </c>
      <c r="J537" s="18" t="n"/>
      <c r="K537" s="18" t="n">
        <v>1</v>
      </c>
      <c r="L537" s="18" t="inlineStr">
        <is>
          <t>cobbleventure:generation_1</t>
        </is>
      </c>
      <c r="M537" s="19" t="inlineStr">
        <is>
          <t>cobbleventure:generation_1</t>
        </is>
      </c>
      <c r="N537" s="18" t="inlineStr"/>
      <c r="O537" s="19" t="inlineStr"/>
      <c r="P537" s="18" t="inlineStr">
        <is>
          <t>#cobblemon:is_ocean</t>
        </is>
      </c>
      <c r="Q537" s="19" t="inlineStr"/>
      <c r="R537" s="18">
        <f>IF(Q537="",P537,Q537)</f>
        <v/>
      </c>
      <c r="S537" s="18" t="inlineStr">
        <is>
          <t>#cobblemon:is_frozen_ocean</t>
        </is>
      </c>
      <c r="T537" s="18" t="inlineStr">
        <is>
          <t>ultra-rare</t>
        </is>
      </c>
      <c r="U537" s="20" t="n">
        <v>10</v>
      </c>
      <c r="V537" s="21" t="n">
        <v>1</v>
      </c>
      <c r="W537" s="20">
        <f>IF(OR(U537="",V537=""),U537,U537*V537)</f>
        <v/>
      </c>
      <c r="X537" s="18" t="inlineStr">
        <is>
          <t>29-54</t>
        </is>
      </c>
      <c r="Y537" s="19" t="inlineStr"/>
      <c r="Z537" s="18">
        <f>IF(Y537="",X537,Y537)</f>
        <v/>
      </c>
      <c r="AA537" s="18" t="inlineStr">
        <is>
          <t>fishing</t>
        </is>
      </c>
      <c r="AB537" s="18" t="inlineStr"/>
      <c r="AC537" s="18" t="inlineStr"/>
      <c r="AD537" s="18" t="inlineStr"/>
      <c r="AE537" s="18" t="inlineStr">
        <is>
          <t>sky 8-15</t>
        </is>
      </c>
      <c r="AF537" s="18" t="inlineStr">
        <is>
          <t>False</t>
        </is>
      </c>
      <c r="AG537" s="18" t="inlineStr"/>
      <c r="AH537" s="18" t="inlineStr"/>
      <c r="AI537" s="18" t="inlineStr"/>
      <c r="AJ537" s="18" t="inlineStr">
        <is>
          <t>Cobblemon 동일</t>
        </is>
      </c>
      <c r="AK537" s="18" t="inlineStr">
        <is>
          <t>사용</t>
        </is>
      </c>
      <c r="AL537" s="18" t="inlineStr">
        <is>
          <t>COBBLEVERSE 1.7.42 / DP v31</t>
        </is>
      </c>
      <c r="AM537" s="18" t="inlineStr">
        <is>
          <t>data/cobblemon/spawn_pool_world/0131_lapras.json</t>
        </is>
      </c>
      <c r="AN537" s="18" t="inlineStr">
        <is>
          <t>lapras-8</t>
        </is>
      </c>
      <c r="AO537" s="18" t="inlineStr">
        <is>
          <t>pokemon</t>
        </is>
      </c>
      <c r="AP537" s="18" t="inlineStr"/>
      <c r="AQ537" s="18" t="inlineStr">
        <is>
          <t>{"biomes":["#cobblemon:is_ocean"],"canSeeSky":false,"maxSkyLight":15,"minSkyLight":8}</t>
        </is>
      </c>
      <c r="AR537" s="18" t="inlineStr">
        <is>
          <t>{"biomes":["#cobblemon:is_frozen_ocean"]}</t>
        </is>
      </c>
      <c r="AS537" s="18" t="inlineStr"/>
      <c r="AT537" s="19" t="inlineStr"/>
    </row>
    <row r="538" ht="32" customHeight="1">
      <c r="A538" s="18" t="inlineStr">
        <is>
          <t>0132_ditto.json::ditto-1::001</t>
        </is>
      </c>
      <c r="B538" s="19" t="inlineStr">
        <is>
          <t>사용</t>
        </is>
      </c>
      <c r="C538" s="18">
        <f>IF(OR(B538&lt;&gt;AK538,M538&lt;&gt;L538,O538&lt;&gt;"",Q538&lt;&gt;"",V538&lt;&gt;1,Y538&lt;&gt;"",AT538&lt;&gt;""),"수정","원본")</f>
        <v/>
      </c>
      <c r="D538" s="18" t="n">
        <v>132</v>
      </c>
      <c r="E538" s="18" t="inlineStr">
        <is>
          <t>메타몽</t>
        </is>
      </c>
      <c r="F538" s="18" t="inlineStr">
        <is>
          <t>ditto</t>
        </is>
      </c>
      <c r="G538" s="18" t="inlineStr">
        <is>
          <t>ditto</t>
        </is>
      </c>
      <c r="H538" s="18" t="inlineStr"/>
      <c r="I538" s="18" t="n">
        <v>1</v>
      </c>
      <c r="J538" s="18" t="n"/>
      <c r="K538" s="18" t="n">
        <v>1</v>
      </c>
      <c r="L538" s="18" t="inlineStr">
        <is>
          <t>cobbleventure:generation_1</t>
        </is>
      </c>
      <c r="M538" s="19" t="inlineStr">
        <is>
          <t>cobbleventure:generation_1</t>
        </is>
      </c>
      <c r="N538" s="18" t="inlineStr">
        <is>
          <t>region_01; region_02</t>
        </is>
      </c>
      <c r="O538" s="19" t="inlineStr"/>
      <c r="P538" s="18" t="inlineStr">
        <is>
          <t>#cobblemon:is_overworld</t>
        </is>
      </c>
      <c r="Q538" s="19" t="inlineStr"/>
      <c r="R538" s="18">
        <f>IF(Q538="",P538,Q538)</f>
        <v/>
      </c>
      <c r="S538" s="18" t="inlineStr">
        <is>
          <t>#cobblemon:is_ocean</t>
        </is>
      </c>
      <c r="T538" s="18" t="inlineStr">
        <is>
          <t>rare</t>
        </is>
      </c>
      <c r="U538" s="20" t="n">
        <v>10</v>
      </c>
      <c r="V538" s="21" t="n">
        <v>1</v>
      </c>
      <c r="W538" s="20">
        <f>IF(OR(U538="",V538=""),U538,U538*V538)</f>
        <v/>
      </c>
      <c r="X538" s="18" t="inlineStr">
        <is>
          <t>4-29</t>
        </is>
      </c>
      <c r="Y538" s="19" t="inlineStr"/>
      <c r="Z538" s="18">
        <f>IF(Y538="",X538,Y538)</f>
        <v/>
      </c>
      <c r="AA538" s="18" t="inlineStr">
        <is>
          <t>grounded</t>
        </is>
      </c>
      <c r="AB538" s="18" t="inlineStr"/>
      <c r="AC538" s="18" t="inlineStr"/>
      <c r="AD538" s="18" t="inlineStr"/>
      <c r="AE538" s="18" t="inlineStr">
        <is>
          <t>sky 8-15</t>
        </is>
      </c>
      <c r="AF538" s="18" t="inlineStr"/>
      <c r="AG538" s="18" t="inlineStr"/>
      <c r="AH538" s="18" t="inlineStr"/>
      <c r="AI538" s="18" t="inlineStr">
        <is>
          <t>{"condition":{"isSlimeChunk":true}}</t>
        </is>
      </c>
      <c r="AJ538" s="18" t="inlineStr">
        <is>
          <t>Cobblemon 동일</t>
        </is>
      </c>
      <c r="AK538" s="18" t="inlineStr">
        <is>
          <t>사용</t>
        </is>
      </c>
      <c r="AL538" s="18" t="inlineStr">
        <is>
          <t>COBBLEVERSE 1.7.42 / DP v31</t>
        </is>
      </c>
      <c r="AM538" s="18" t="inlineStr">
        <is>
          <t>data/cobblemon/spawn_pool_world/0132_ditto.json</t>
        </is>
      </c>
      <c r="AN538" s="18" t="inlineStr">
        <is>
          <t>ditto-1</t>
        </is>
      </c>
      <c r="AO538" s="18" t="inlineStr">
        <is>
          <t>pokemon</t>
        </is>
      </c>
      <c r="AP538" s="18" t="inlineStr">
        <is>
          <t>natural</t>
        </is>
      </c>
      <c r="AQ538" s="18" t="inlineStr">
        <is>
          <t>{"biomes":["#cobblemon:is_overworld"],"isSlimeChunk":true,"maxSkyLight":15,"minSkyLight":8}</t>
        </is>
      </c>
      <c r="AR538" s="18" t="inlineStr">
        <is>
          <t>{"biomes":["#cobblemon:is_ocean"]}</t>
        </is>
      </c>
      <c r="AS538" s="18" t="inlineStr"/>
      <c r="AT538" s="19" t="inlineStr"/>
    </row>
    <row r="539" ht="32" customHeight="1">
      <c r="A539" s="18" t="inlineStr">
        <is>
          <t>0132_ditto.json::ditto-2::002</t>
        </is>
      </c>
      <c r="B539" s="19" t="inlineStr">
        <is>
          <t>사용</t>
        </is>
      </c>
      <c r="C539" s="18">
        <f>IF(OR(B539&lt;&gt;AK539,M539&lt;&gt;L539,O539&lt;&gt;"",Q539&lt;&gt;"",V539&lt;&gt;1,Y539&lt;&gt;"",AT539&lt;&gt;""),"수정","원본")</f>
        <v/>
      </c>
      <c r="D539" s="18" t="n">
        <v>132</v>
      </c>
      <c r="E539" s="18" t="inlineStr">
        <is>
          <t>메타몽</t>
        </is>
      </c>
      <c r="F539" s="18" t="inlineStr">
        <is>
          <t>ditto</t>
        </is>
      </c>
      <c r="G539" s="18" t="inlineStr">
        <is>
          <t>ditto</t>
        </is>
      </c>
      <c r="H539" s="18" t="inlineStr"/>
      <c r="I539" s="18" t="n">
        <v>1</v>
      </c>
      <c r="J539" s="18" t="n"/>
      <c r="K539" s="18" t="n">
        <v>1</v>
      </c>
      <c r="L539" s="18" t="inlineStr">
        <is>
          <t>cobbleventure:generation_1</t>
        </is>
      </c>
      <c r="M539" s="19" t="inlineStr">
        <is>
          <t>cobbleventure:generation_1</t>
        </is>
      </c>
      <c r="N539" s="18" t="inlineStr">
        <is>
          <t>region_01; region_02</t>
        </is>
      </c>
      <c r="O539" s="19" t="inlineStr"/>
      <c r="P539" s="18" t="inlineStr">
        <is>
          <t>#cobblemon:is_overworld</t>
        </is>
      </c>
      <c r="Q539" s="19" t="inlineStr"/>
      <c r="R539" s="18">
        <f>IF(Q539="",P539,Q539)</f>
        <v/>
      </c>
      <c r="S539" s="18" t="inlineStr">
        <is>
          <t>#cobblemon:is_ocean</t>
        </is>
      </c>
      <c r="T539" s="18" t="inlineStr">
        <is>
          <t>ultra-rare</t>
        </is>
      </c>
      <c r="U539" s="20" t="n">
        <v>6</v>
      </c>
      <c r="V539" s="21" t="n">
        <v>1</v>
      </c>
      <c r="W539" s="20">
        <f>IF(OR(U539="",V539=""),U539,U539*V539)</f>
        <v/>
      </c>
      <c r="X539" s="18" t="inlineStr">
        <is>
          <t>4-29</t>
        </is>
      </c>
      <c r="Y539" s="19" t="inlineStr"/>
      <c r="Z539" s="18">
        <f>IF(Y539="",X539,Y539)</f>
        <v/>
      </c>
      <c r="AA539" s="18" t="inlineStr">
        <is>
          <t>grounded</t>
        </is>
      </c>
      <c r="AB539" s="18" t="inlineStr"/>
      <c r="AC539" s="18" t="inlineStr"/>
      <c r="AD539" s="18" t="inlineStr"/>
      <c r="AE539" s="18" t="inlineStr">
        <is>
          <t>sky 8-15</t>
        </is>
      </c>
      <c r="AF539" s="18" t="inlineStr"/>
      <c r="AG539" s="18" t="inlineStr"/>
      <c r="AH539" s="18" t="inlineStr"/>
      <c r="AI539" s="18" t="inlineStr"/>
      <c r="AJ539" s="18" t="inlineStr">
        <is>
          <t>Cobblemon 동일</t>
        </is>
      </c>
      <c r="AK539" s="18" t="inlineStr">
        <is>
          <t>사용</t>
        </is>
      </c>
      <c r="AL539" s="18" t="inlineStr">
        <is>
          <t>COBBLEVERSE 1.7.42 / DP v31</t>
        </is>
      </c>
      <c r="AM539" s="18" t="inlineStr">
        <is>
          <t>data/cobblemon/spawn_pool_world/0132_ditto.json</t>
        </is>
      </c>
      <c r="AN539" s="18" t="inlineStr">
        <is>
          <t>ditto-2</t>
        </is>
      </c>
      <c r="AO539" s="18" t="inlineStr">
        <is>
          <t>pokemon</t>
        </is>
      </c>
      <c r="AP539" s="18" t="inlineStr">
        <is>
          <t>natural</t>
        </is>
      </c>
      <c r="AQ539" s="18" t="inlineStr">
        <is>
          <t>{"biomes":["#cobblemon:is_overworld"],"maxSkyLight":15,"minSkyLight":8}</t>
        </is>
      </c>
      <c r="AR539" s="18" t="inlineStr">
        <is>
          <t>{"biomes":["#cobblemon:is_ocean"]}</t>
        </is>
      </c>
      <c r="AS539" s="18" t="inlineStr"/>
      <c r="AT539" s="19" t="inlineStr"/>
    </row>
    <row r="540" ht="32" customHeight="1">
      <c r="A540" s="18" t="inlineStr">
        <is>
          <t>0132_ditto.json::ditto-3::003</t>
        </is>
      </c>
      <c r="B540" s="19" t="inlineStr">
        <is>
          <t>사용</t>
        </is>
      </c>
      <c r="C540" s="18">
        <f>IF(OR(B540&lt;&gt;AK540,M540&lt;&gt;L540,O540&lt;&gt;"",Q540&lt;&gt;"",V540&lt;&gt;1,Y540&lt;&gt;"",AT540&lt;&gt;""),"수정","원본")</f>
        <v/>
      </c>
      <c r="D540" s="18" t="n">
        <v>132</v>
      </c>
      <c r="E540" s="18" t="inlineStr">
        <is>
          <t>메타몽</t>
        </is>
      </c>
      <c r="F540" s="18" t="inlineStr">
        <is>
          <t>ditto</t>
        </is>
      </c>
      <c r="G540" s="18" t="inlineStr">
        <is>
          <t>ditto</t>
        </is>
      </c>
      <c r="H540" s="18" t="inlineStr"/>
      <c r="I540" s="18" t="n">
        <v>1</v>
      </c>
      <c r="J540" s="18" t="n"/>
      <c r="K540" s="18" t="n">
        <v>1</v>
      </c>
      <c r="L540" s="18" t="inlineStr">
        <is>
          <t>cobbleventure:generation_1</t>
        </is>
      </c>
      <c r="M540" s="19" t="inlineStr">
        <is>
          <t>cobbleventure:generation_1</t>
        </is>
      </c>
      <c r="N540" s="18" t="inlineStr">
        <is>
          <t>region_01; region_02</t>
        </is>
      </c>
      <c r="O540" s="19" t="inlineStr"/>
      <c r="P540" s="18" t="inlineStr">
        <is>
          <t>#cobblemon:is_overworld</t>
        </is>
      </c>
      <c r="Q540" s="19" t="inlineStr"/>
      <c r="R540" s="18">
        <f>IF(Q540="",P540,Q540)</f>
        <v/>
      </c>
      <c r="S540" s="18" t="inlineStr"/>
      <c r="T540" s="18" t="inlineStr">
        <is>
          <t>uncommon</t>
        </is>
      </c>
      <c r="U540" s="20" t="n">
        <v>10</v>
      </c>
      <c r="V540" s="21" t="n">
        <v>1</v>
      </c>
      <c r="W540" s="20">
        <f>IF(OR(U540="",V540=""),U540,U540*V540)</f>
        <v/>
      </c>
      <c r="X540" s="18" t="inlineStr">
        <is>
          <t>4-29</t>
        </is>
      </c>
      <c r="Y540" s="19" t="inlineStr"/>
      <c r="Z540" s="18">
        <f>IF(Y540="",X540,Y540)</f>
        <v/>
      </c>
      <c r="AA540" s="18" t="inlineStr">
        <is>
          <t>grounded</t>
        </is>
      </c>
      <c r="AB540" s="18" t="inlineStr"/>
      <c r="AC540" s="18" t="inlineStr"/>
      <c r="AD540" s="18" t="inlineStr"/>
      <c r="AE540" s="18" t="inlineStr"/>
      <c r="AF540" s="18" t="inlineStr">
        <is>
          <t>False</t>
        </is>
      </c>
      <c r="AG540" s="18" t="inlineStr"/>
      <c r="AH540" s="18" t="inlineStr"/>
      <c r="AI540" s="18" t="inlineStr"/>
      <c r="AJ540" s="18" t="inlineStr">
        <is>
          <t>Cobblemon 동일</t>
        </is>
      </c>
      <c r="AK540" s="18" t="inlineStr">
        <is>
          <t>사용</t>
        </is>
      </c>
      <c r="AL540" s="18" t="inlineStr">
        <is>
          <t>COBBLEVERSE 1.7.42 / DP v31</t>
        </is>
      </c>
      <c r="AM540" s="18" t="inlineStr">
        <is>
          <t>data/cobblemon/spawn_pool_world/0132_ditto.json</t>
        </is>
      </c>
      <c r="AN540" s="18" t="inlineStr">
        <is>
          <t>ditto-3</t>
        </is>
      </c>
      <c r="AO540" s="18" t="inlineStr">
        <is>
          <t>pokemon</t>
        </is>
      </c>
      <c r="AP540" s="18" t="inlineStr">
        <is>
          <t>mansion</t>
        </is>
      </c>
      <c r="AQ540" s="18" t="inlineStr">
        <is>
          <t>{"biomes":["#cobblemon:is_overworld"],"canSeeSky":false}</t>
        </is>
      </c>
      <c r="AR540" s="18" t="inlineStr"/>
      <c r="AS540" s="18" t="inlineStr"/>
      <c r="AT540" s="19" t="inlineStr"/>
    </row>
    <row r="541" ht="32" customHeight="1">
      <c r="A541" s="18" t="inlineStr">
        <is>
          <t>0133_eevee.json::eevee-1::001</t>
        </is>
      </c>
      <c r="B541" s="19" t="inlineStr">
        <is>
          <t>사용</t>
        </is>
      </c>
      <c r="C541" s="18">
        <f>IF(OR(B541&lt;&gt;AK541,M541&lt;&gt;L541,O541&lt;&gt;"",Q541&lt;&gt;"",V541&lt;&gt;1,Y541&lt;&gt;"",AT541&lt;&gt;""),"수정","원본")</f>
        <v/>
      </c>
      <c r="D541" s="18" t="n">
        <v>133</v>
      </c>
      <c r="E541" s="18" t="inlineStr">
        <is>
          <t>이브이</t>
        </is>
      </c>
      <c r="F541" s="18" t="inlineStr">
        <is>
          <t>eevee</t>
        </is>
      </c>
      <c r="G541" s="18" t="inlineStr">
        <is>
          <t>eevee</t>
        </is>
      </c>
      <c r="H541" s="18" t="inlineStr"/>
      <c r="I541" s="18" t="n">
        <v>1</v>
      </c>
      <c r="J541" s="18" t="n"/>
      <c r="K541" s="18" t="n">
        <v>1</v>
      </c>
      <c r="L541" s="18" t="inlineStr">
        <is>
          <t>cobbleventure:generation_1</t>
        </is>
      </c>
      <c r="M541" s="19" t="inlineStr">
        <is>
          <t>cobbleventure:generation_1</t>
        </is>
      </c>
      <c r="N541" s="18" t="inlineStr">
        <is>
          <t>region_02</t>
        </is>
      </c>
      <c r="O541" s="19" t="inlineStr"/>
      <c r="P541" s="18" t="inlineStr">
        <is>
          <t>#cobblemon:is_overworld</t>
        </is>
      </c>
      <c r="Q541" s="19" t="inlineStr"/>
      <c r="R541" s="18">
        <f>IF(Q541="",P541,Q541)</f>
        <v/>
      </c>
      <c r="S541" s="18" t="inlineStr">
        <is>
          <t>#cobblemon:is_ocean; #cobblemon:is_temperate</t>
        </is>
      </c>
      <c r="T541" s="18" t="inlineStr">
        <is>
          <t>ultra-rare</t>
        </is>
      </c>
      <c r="U541" s="20" t="n">
        <v>4.8</v>
      </c>
      <c r="V541" s="21" t="n">
        <v>1</v>
      </c>
      <c r="W541" s="20">
        <f>IF(OR(U541="",V541=""),U541,U541*V541)</f>
        <v/>
      </c>
      <c r="X541" s="18" t="inlineStr">
        <is>
          <t>5-33</t>
        </is>
      </c>
      <c r="Y541" s="19" t="inlineStr"/>
      <c r="Z541" s="18">
        <f>IF(Y541="",X541,Y541)</f>
        <v/>
      </c>
      <c r="AA541" s="18" t="inlineStr">
        <is>
          <t>grounded</t>
        </is>
      </c>
      <c r="AB541" s="18" t="inlineStr"/>
      <c r="AC541" s="18" t="inlineStr"/>
      <c r="AD541" s="18" t="inlineStr"/>
      <c r="AE541" s="18" t="inlineStr">
        <is>
          <t>sky 8-15</t>
        </is>
      </c>
      <c r="AF541" s="18" t="inlineStr"/>
      <c r="AG541" s="18" t="inlineStr"/>
      <c r="AH541" s="18" t="inlineStr"/>
      <c r="AI541" s="18" t="inlineStr"/>
      <c r="AJ541" s="18" t="inlineStr">
        <is>
          <t>COBBLEVERSE 수정</t>
        </is>
      </c>
      <c r="AK541" s="18" t="inlineStr">
        <is>
          <t>사용</t>
        </is>
      </c>
      <c r="AL541" s="18" t="inlineStr">
        <is>
          <t>COBBLEVERSE 1.7.42 / DP v31</t>
        </is>
      </c>
      <c r="AM541" s="18" t="inlineStr">
        <is>
          <t>data/cobblemon/spawn_pool_world/0133_eevee.json</t>
        </is>
      </c>
      <c r="AN541" s="18" t="inlineStr">
        <is>
          <t>eevee-1</t>
        </is>
      </c>
      <c r="AO541" s="18" t="inlineStr">
        <is>
          <t>pokemon</t>
        </is>
      </c>
      <c r="AP541" s="18" t="inlineStr">
        <is>
          <t>natural</t>
        </is>
      </c>
      <c r="AQ541" s="18" t="inlineStr">
        <is>
          <t>{"biomes":["#cobblemon:is_overworld"],"maxSkyLight":15,"minSkyLight":8}</t>
        </is>
      </c>
      <c r="AR541" s="18" t="inlineStr">
        <is>
          <t>{"biomes":["#cobblemon:is_ocean","#cobblemon:is_temperate"]}</t>
        </is>
      </c>
      <c r="AS541" s="18" t="inlineStr"/>
      <c r="AT541" s="19" t="inlineStr"/>
    </row>
    <row r="542" ht="32" customHeight="1">
      <c r="A542" s="18" t="inlineStr">
        <is>
          <t>0133_eevee.json::eevee-2::002</t>
        </is>
      </c>
      <c r="B542" s="19" t="inlineStr">
        <is>
          <t>사용</t>
        </is>
      </c>
      <c r="C542" s="18">
        <f>IF(OR(B542&lt;&gt;AK542,M542&lt;&gt;L542,O542&lt;&gt;"",Q542&lt;&gt;"",V542&lt;&gt;1,Y542&lt;&gt;"",AT542&lt;&gt;""),"수정","원본")</f>
        <v/>
      </c>
      <c r="D542" s="18" t="n">
        <v>133</v>
      </c>
      <c r="E542" s="18" t="inlineStr">
        <is>
          <t>이브이</t>
        </is>
      </c>
      <c r="F542" s="18" t="inlineStr">
        <is>
          <t>eevee</t>
        </is>
      </c>
      <c r="G542" s="18" t="inlineStr">
        <is>
          <t>eevee</t>
        </is>
      </c>
      <c r="H542" s="18" t="inlineStr"/>
      <c r="I542" s="18" t="n">
        <v>1</v>
      </c>
      <c r="J542" s="18" t="n"/>
      <c r="K542" s="18" t="n">
        <v>1</v>
      </c>
      <c r="L542" s="18" t="inlineStr">
        <is>
          <t>cobbleventure:generation_1</t>
        </is>
      </c>
      <c r="M542" s="19" t="inlineStr">
        <is>
          <t>cobbleventure:generation_1</t>
        </is>
      </c>
      <c r="N542" s="18" t="inlineStr">
        <is>
          <t>region_01</t>
        </is>
      </c>
      <c r="O542" s="19" t="inlineStr"/>
      <c r="P542" s="18" t="inlineStr">
        <is>
          <t>#aether:is_aether; #cobblemon:is_temperate</t>
        </is>
      </c>
      <c r="Q542" s="19" t="inlineStr"/>
      <c r="R542" s="18">
        <f>IF(Q542="",P542,Q542)</f>
        <v/>
      </c>
      <c r="S542" s="18" t="inlineStr"/>
      <c r="T542" s="18" t="inlineStr">
        <is>
          <t>rare</t>
        </is>
      </c>
      <c r="U542" s="20" t="n">
        <v>10</v>
      </c>
      <c r="V542" s="21" t="n">
        <v>1</v>
      </c>
      <c r="W542" s="20">
        <f>IF(OR(U542="",V542=""),U542,U542*V542)</f>
        <v/>
      </c>
      <c r="X542" s="18" t="inlineStr">
        <is>
          <t>5-33</t>
        </is>
      </c>
      <c r="Y542" s="19" t="inlineStr"/>
      <c r="Z542" s="18">
        <f>IF(Y542="",X542,Y542)</f>
        <v/>
      </c>
      <c r="AA542" s="18" t="inlineStr">
        <is>
          <t>grounded</t>
        </is>
      </c>
      <c r="AB542" s="18" t="inlineStr"/>
      <c r="AC542" s="18" t="inlineStr"/>
      <c r="AD542" s="18" t="inlineStr"/>
      <c r="AE542" s="18" t="inlineStr">
        <is>
          <t>sky 8-15</t>
        </is>
      </c>
      <c r="AF542" s="18" t="inlineStr"/>
      <c r="AG542" s="18" t="inlineStr"/>
      <c r="AH542" s="18" t="inlineStr"/>
      <c r="AI542" s="18" t="inlineStr"/>
      <c r="AJ542" s="18" t="inlineStr">
        <is>
          <t>COBBLEVERSE 수정</t>
        </is>
      </c>
      <c r="AK542" s="18" t="inlineStr">
        <is>
          <t>사용</t>
        </is>
      </c>
      <c r="AL542" s="18" t="inlineStr">
        <is>
          <t>COBBLEVERSE 1.7.42 / DP v31</t>
        </is>
      </c>
      <c r="AM542" s="18" t="inlineStr">
        <is>
          <t>data/cobblemon/spawn_pool_world/0133_eevee.json</t>
        </is>
      </c>
      <c r="AN542" s="18" t="inlineStr">
        <is>
          <t>eevee-2</t>
        </is>
      </c>
      <c r="AO542" s="18" t="inlineStr">
        <is>
          <t>pokemon</t>
        </is>
      </c>
      <c r="AP542" s="18" t="inlineStr">
        <is>
          <t>natural</t>
        </is>
      </c>
      <c r="AQ542" s="18" t="inlineStr">
        <is>
          <t>{"biomes":["#aether:is_aether","#cobblemon:is_temperate"],"maxSkyLight":15,"minSkyLight":8}</t>
        </is>
      </c>
      <c r="AR542" s="18" t="inlineStr"/>
      <c r="AS542" s="18" t="inlineStr"/>
      <c r="AT542" s="19" t="inlineStr"/>
    </row>
    <row r="543" ht="32" customHeight="1">
      <c r="A543" s="18" t="inlineStr">
        <is>
          <t>0133_eevee.json::eevee-3::003</t>
        </is>
      </c>
      <c r="B543" s="19" t="inlineStr">
        <is>
          <t>사용</t>
        </is>
      </c>
      <c r="C543" s="18">
        <f>IF(OR(B543&lt;&gt;AK543,M543&lt;&gt;L543,O543&lt;&gt;"",Q543&lt;&gt;"",V543&lt;&gt;1,Y543&lt;&gt;"",AT543&lt;&gt;""),"수정","원본")</f>
        <v/>
      </c>
      <c r="D543" s="18" t="n">
        <v>133</v>
      </c>
      <c r="E543" s="18" t="inlineStr">
        <is>
          <t>이브이</t>
        </is>
      </c>
      <c r="F543" s="18" t="inlineStr">
        <is>
          <t>eevee</t>
        </is>
      </c>
      <c r="G543" s="18" t="inlineStr">
        <is>
          <t>eevee</t>
        </is>
      </c>
      <c r="H543" s="18" t="inlineStr"/>
      <c r="I543" s="18" t="n">
        <v>1</v>
      </c>
      <c r="J543" s="18" t="n"/>
      <c r="K543" s="18" t="n">
        <v>1</v>
      </c>
      <c r="L543" s="18" t="inlineStr">
        <is>
          <t>cobbleventure:generation_1</t>
        </is>
      </c>
      <c r="M543" s="19" t="inlineStr">
        <is>
          <t>cobbleventure:generation_1</t>
        </is>
      </c>
      <c r="N543" s="18" t="inlineStr">
        <is>
          <t>region_01; region_02</t>
        </is>
      </c>
      <c r="O543" s="19" t="inlineStr"/>
      <c r="P543" s="18" t="inlineStr">
        <is>
          <t>#cobblemon:is_overworld</t>
        </is>
      </c>
      <c r="Q543" s="19" t="inlineStr"/>
      <c r="R543" s="18">
        <f>IF(Q543="",P543,Q543)</f>
        <v/>
      </c>
      <c r="S543" s="18" t="inlineStr"/>
      <c r="T543" s="18" t="inlineStr">
        <is>
          <t>uncommon</t>
        </is>
      </c>
      <c r="U543" s="20" t="n">
        <v>1.84</v>
      </c>
      <c r="V543" s="21" t="n">
        <v>1</v>
      </c>
      <c r="W543" s="20">
        <f>IF(OR(U543="",V543=""),U543,U543*V543)</f>
        <v/>
      </c>
      <c r="X543" s="18" t="inlineStr">
        <is>
          <t>5-33</t>
        </is>
      </c>
      <c r="Y543" s="19" t="inlineStr"/>
      <c r="Z543" s="18">
        <f>IF(Y543="",X543,Y543)</f>
        <v/>
      </c>
      <c r="AA543" s="18" t="inlineStr">
        <is>
          <t>grounded</t>
        </is>
      </c>
      <c r="AB543" s="18" t="inlineStr"/>
      <c r="AC543" s="18" t="inlineStr"/>
      <c r="AD543" s="18" t="inlineStr"/>
      <c r="AE543" s="18" t="inlineStr">
        <is>
          <t>sky 8-15</t>
        </is>
      </c>
      <c r="AF543" s="18" t="inlineStr"/>
      <c r="AG543" s="18" t="inlineStr"/>
      <c r="AH543" s="18" t="inlineStr"/>
      <c r="AI543" s="18" t="inlineStr"/>
      <c r="AJ543" s="18" t="inlineStr">
        <is>
          <t>COBBLEVERSE 수정</t>
        </is>
      </c>
      <c r="AK543" s="18" t="inlineStr">
        <is>
          <t>사용</t>
        </is>
      </c>
      <c r="AL543" s="18" t="inlineStr">
        <is>
          <t>COBBLEVERSE 1.7.42 / DP v31</t>
        </is>
      </c>
      <c r="AM543" s="18" t="inlineStr">
        <is>
          <t>data/cobblemon/spawn_pool_world/0133_eevee.json</t>
        </is>
      </c>
      <c r="AN543" s="18" t="inlineStr">
        <is>
          <t>eevee-3</t>
        </is>
      </c>
      <c r="AO543" s="18" t="inlineStr">
        <is>
          <t>pokemon</t>
        </is>
      </c>
      <c r="AP543" s="18" t="inlineStr">
        <is>
          <t>natural</t>
        </is>
      </c>
      <c r="AQ543" s="18" t="inlineStr">
        <is>
          <t>{"biomes":["#cobblemon:is_overworld"],"maxSkyLight":15,"minSkyLight":8}</t>
        </is>
      </c>
      <c r="AR543" s="18" t="inlineStr"/>
      <c r="AS543" s="18" t="inlineStr"/>
      <c r="AT543" s="19" t="inlineStr"/>
    </row>
    <row r="544" ht="32" customHeight="1">
      <c r="A544" s="18" t="inlineStr">
        <is>
          <t>0133_eevee.json::eevee-4::004</t>
        </is>
      </c>
      <c r="B544" s="19" t="inlineStr">
        <is>
          <t>사용</t>
        </is>
      </c>
      <c r="C544" s="18">
        <f>IF(OR(B544&lt;&gt;AK544,M544&lt;&gt;L544,O544&lt;&gt;"",Q544&lt;&gt;"",V544&lt;&gt;1,Y544&lt;&gt;"",AT544&lt;&gt;""),"수정","원본")</f>
        <v/>
      </c>
      <c r="D544" s="18" t="n">
        <v>133</v>
      </c>
      <c r="E544" s="18" t="inlineStr">
        <is>
          <t>이브이</t>
        </is>
      </c>
      <c r="F544" s="18" t="inlineStr">
        <is>
          <t>eevee</t>
        </is>
      </c>
      <c r="G544" s="18" t="inlineStr">
        <is>
          <t>eevee</t>
        </is>
      </c>
      <c r="H544" s="18" t="inlineStr"/>
      <c r="I544" s="18" t="n">
        <v>1</v>
      </c>
      <c r="J544" s="18" t="n"/>
      <c r="K544" s="18" t="n">
        <v>1</v>
      </c>
      <c r="L544" s="18" t="inlineStr">
        <is>
          <t>cobbleventure:generation_1</t>
        </is>
      </c>
      <c r="M544" s="19" t="inlineStr">
        <is>
          <t>cobbleventure:generation_1</t>
        </is>
      </c>
      <c r="N544" s="18" t="inlineStr">
        <is>
          <t>region_01; region_02</t>
        </is>
      </c>
      <c r="O544" s="19" t="inlineStr"/>
      <c r="P544" s="18" t="inlineStr">
        <is>
          <t>#cobblemon:is_overworld</t>
        </is>
      </c>
      <c r="Q544" s="19" t="inlineStr"/>
      <c r="R544" s="18">
        <f>IF(Q544="",P544,Q544)</f>
        <v/>
      </c>
      <c r="S544" s="18" t="inlineStr"/>
      <c r="T544" s="18" t="inlineStr">
        <is>
          <t>uncommon</t>
        </is>
      </c>
      <c r="U544" s="20" t="n">
        <v>1.84</v>
      </c>
      <c r="V544" s="21" t="n">
        <v>1</v>
      </c>
      <c r="W544" s="20">
        <f>IF(OR(U544="",V544=""),U544,U544*V544)</f>
        <v/>
      </c>
      <c r="X544" s="18" t="inlineStr">
        <is>
          <t>5-33</t>
        </is>
      </c>
      <c r="Y544" s="19" t="inlineStr"/>
      <c r="Z544" s="18">
        <f>IF(Y544="",X544,Y544)</f>
        <v/>
      </c>
      <c r="AA544" s="18" t="inlineStr">
        <is>
          <t>grounded</t>
        </is>
      </c>
      <c r="AB544" s="18" t="inlineStr"/>
      <c r="AC544" s="18" t="inlineStr"/>
      <c r="AD544" s="18" t="inlineStr"/>
      <c r="AE544" s="18" t="inlineStr">
        <is>
          <t>sky 8-15</t>
        </is>
      </c>
      <c r="AF544" s="18" t="inlineStr"/>
      <c r="AG544" s="18" t="inlineStr">
        <is>
          <t>#minecraft:village</t>
        </is>
      </c>
      <c r="AH544" s="18" t="inlineStr"/>
      <c r="AI544" s="18" t="inlineStr"/>
      <c r="AJ544" s="18" t="inlineStr">
        <is>
          <t>COBBLEVERSE 수정</t>
        </is>
      </c>
      <c r="AK544" s="18" t="inlineStr">
        <is>
          <t>사용</t>
        </is>
      </c>
      <c r="AL544" s="18" t="inlineStr">
        <is>
          <t>COBBLEVERSE 1.7.42 / DP v31</t>
        </is>
      </c>
      <c r="AM544" s="18" t="inlineStr">
        <is>
          <t>data/cobblemon/spawn_pool_world/0133_eevee.json</t>
        </is>
      </c>
      <c r="AN544" s="18" t="inlineStr">
        <is>
          <t>eevee-4</t>
        </is>
      </c>
      <c r="AO544" s="18" t="inlineStr">
        <is>
          <t>pokemon</t>
        </is>
      </c>
      <c r="AP544" s="18" t="inlineStr">
        <is>
          <t>natural</t>
        </is>
      </c>
      <c r="AQ544" s="18" t="inlineStr">
        <is>
          <t>{"biomes":["#cobblemon:is_overworld"],"maxSkyLight":15,"minSkyLight":8,"structures":["#minecraft:village"]}</t>
        </is>
      </c>
      <c r="AR544" s="18" t="inlineStr"/>
      <c r="AS544" s="18" t="inlineStr"/>
      <c r="AT544" s="19" t="inlineStr"/>
    </row>
    <row r="545" ht="32" customHeight="1">
      <c r="A545" s="18" t="inlineStr">
        <is>
          <t>0133_eevee.json::eevee-5::005</t>
        </is>
      </c>
      <c r="B545" s="19" t="inlineStr">
        <is>
          <t>사용</t>
        </is>
      </c>
      <c r="C545" s="18">
        <f>IF(OR(B545&lt;&gt;AK545,M545&lt;&gt;L545,O545&lt;&gt;"",Q545&lt;&gt;"",V545&lt;&gt;1,Y545&lt;&gt;"",AT545&lt;&gt;""),"수정","원본")</f>
        <v/>
      </c>
      <c r="D545" s="18" t="n">
        <v>133</v>
      </c>
      <c r="E545" s="18" t="inlineStr">
        <is>
          <t>이브이</t>
        </is>
      </c>
      <c r="F545" s="18" t="inlineStr">
        <is>
          <t>eevee</t>
        </is>
      </c>
      <c r="G545" s="18" t="inlineStr">
        <is>
          <t>eevee</t>
        </is>
      </c>
      <c r="H545" s="18" t="inlineStr"/>
      <c r="I545" s="18" t="n">
        <v>1</v>
      </c>
      <c r="J545" s="18" t="n"/>
      <c r="K545" s="18" t="n">
        <v>1</v>
      </c>
      <c r="L545" s="18" t="inlineStr">
        <is>
          <t>cobbleventure:generation_1</t>
        </is>
      </c>
      <c r="M545" s="19" t="inlineStr">
        <is>
          <t>cobbleventure:generation_1</t>
        </is>
      </c>
      <c r="N545" s="18" t="inlineStr">
        <is>
          <t>region_01; region_02</t>
        </is>
      </c>
      <c r="O545" s="19" t="inlineStr"/>
      <c r="P545" s="18" t="inlineStr">
        <is>
          <t>#cobblemon:is_overworld</t>
        </is>
      </c>
      <c r="Q545" s="19" t="inlineStr"/>
      <c r="R545" s="18">
        <f>IF(Q545="",P545,Q545)</f>
        <v/>
      </c>
      <c r="S545" s="18" t="inlineStr"/>
      <c r="T545" s="18" t="inlineStr">
        <is>
          <t>uncommon</t>
        </is>
      </c>
      <c r="U545" s="20" t="n">
        <v>9.199999999999999</v>
      </c>
      <c r="V545" s="21" t="n">
        <v>1</v>
      </c>
      <c r="W545" s="20">
        <f>IF(OR(U545="",V545=""),U545,U545*V545)</f>
        <v/>
      </c>
      <c r="X545" s="18" t="inlineStr">
        <is>
          <t>5-33</t>
        </is>
      </c>
      <c r="Y545" s="19" t="inlineStr"/>
      <c r="Z545" s="18">
        <f>IF(Y545="",X545,Y545)</f>
        <v/>
      </c>
      <c r="AA545" s="18" t="inlineStr">
        <is>
          <t>grounded</t>
        </is>
      </c>
      <c r="AB545" s="18" t="inlineStr"/>
      <c r="AC545" s="18" t="inlineStr"/>
      <c r="AD545" s="18" t="inlineStr"/>
      <c r="AE545" s="18" t="inlineStr"/>
      <c r="AF545" s="18" t="inlineStr">
        <is>
          <t>False</t>
        </is>
      </c>
      <c r="AG545" s="18" t="inlineStr"/>
      <c r="AH545" s="18" t="inlineStr"/>
      <c r="AI545" s="18" t="inlineStr"/>
      <c r="AJ545" s="18" t="inlineStr">
        <is>
          <t>COBBLEVERSE 수정</t>
        </is>
      </c>
      <c r="AK545" s="18" t="inlineStr">
        <is>
          <t>사용</t>
        </is>
      </c>
      <c r="AL545" s="18" t="inlineStr">
        <is>
          <t>COBBLEVERSE 1.7.42 / DP v31</t>
        </is>
      </c>
      <c r="AM545" s="18" t="inlineStr">
        <is>
          <t>data/cobblemon/spawn_pool_world/0133_eevee.json</t>
        </is>
      </c>
      <c r="AN545" s="18" t="inlineStr">
        <is>
          <t>eevee-5</t>
        </is>
      </c>
      <c r="AO545" s="18" t="inlineStr">
        <is>
          <t>pokemon</t>
        </is>
      </c>
      <c r="AP545" s="18" t="inlineStr">
        <is>
          <t>mansion</t>
        </is>
      </c>
      <c r="AQ545" s="18" t="inlineStr">
        <is>
          <t>{"biomes":["#cobblemon:is_overworld"],"canSeeSky":false}</t>
        </is>
      </c>
      <c r="AR545" s="18" t="inlineStr"/>
      <c r="AS545" s="18" t="inlineStr"/>
      <c r="AT545" s="19" t="inlineStr"/>
    </row>
    <row r="546" ht="32" customHeight="1">
      <c r="A546" s="18" t="inlineStr">
        <is>
          <t>0134_vaporeon.json::vaporeon-1::001</t>
        </is>
      </c>
      <c r="B546" s="19" t="inlineStr">
        <is>
          <t>사용</t>
        </is>
      </c>
      <c r="C546" s="18">
        <f>IF(OR(B546&lt;&gt;AK546,M546&lt;&gt;L546,O546&lt;&gt;"",Q546&lt;&gt;"",V546&lt;&gt;1,Y546&lt;&gt;"",AT546&lt;&gt;""),"수정","원본")</f>
        <v/>
      </c>
      <c r="D546" s="18" t="n">
        <v>134</v>
      </c>
      <c r="E546" s="18" t="inlineStr">
        <is>
          <t>샤미드</t>
        </is>
      </c>
      <c r="F546" s="18" t="inlineStr">
        <is>
          <t>vaporeon</t>
        </is>
      </c>
      <c r="G546" s="18" t="inlineStr">
        <is>
          <t>vaporeon</t>
        </is>
      </c>
      <c r="H546" s="18" t="inlineStr"/>
      <c r="I546" s="18" t="n">
        <v>1</v>
      </c>
      <c r="J546" s="18" t="n"/>
      <c r="K546" s="18" t="n">
        <v>1</v>
      </c>
      <c r="L546" s="18" t="inlineStr">
        <is>
          <t>cobbleventure:generation_1</t>
        </is>
      </c>
      <c r="M546" s="19" t="inlineStr">
        <is>
          <t>cobbleventure:generation_1</t>
        </is>
      </c>
      <c r="N546" s="18" t="inlineStr">
        <is>
          <t>region_01; region_02</t>
        </is>
      </c>
      <c r="O546" s="19" t="inlineStr"/>
      <c r="P546" s="18" t="inlineStr">
        <is>
          <t>#cobblemon:is_freshwater; #cobblemon:is_jungle; #cobblemon:is_magical; #cobblemon:is_temperate; #cobblemon:is_tropical_island</t>
        </is>
      </c>
      <c r="Q546" s="19" t="inlineStr"/>
      <c r="R546" s="18">
        <f>IF(Q546="",P546,Q546)</f>
        <v/>
      </c>
      <c r="S546" s="18" t="inlineStr">
        <is>
          <t>#cobblemon:is_freezing</t>
        </is>
      </c>
      <c r="T546" s="18" t="inlineStr">
        <is>
          <t>ultra-rare</t>
        </is>
      </c>
      <c r="U546" s="20" t="n">
        <v>1.2</v>
      </c>
      <c r="V546" s="21" t="n">
        <v>1</v>
      </c>
      <c r="W546" s="20">
        <f>IF(OR(U546="",V546=""),U546,U546*V546)</f>
        <v/>
      </c>
      <c r="X546" s="18" t="inlineStr">
        <is>
          <t>28-53</t>
        </is>
      </c>
      <c r="Y546" s="19" t="inlineStr"/>
      <c r="Z546" s="18">
        <f>IF(Y546="",X546,Y546)</f>
        <v/>
      </c>
      <c r="AA546" s="18" t="inlineStr">
        <is>
          <t>grounded</t>
        </is>
      </c>
      <c r="AB546" s="18" t="inlineStr"/>
      <c r="AC546" s="18" t="inlineStr"/>
      <c r="AD546" s="18" t="inlineStr"/>
      <c r="AE546" s="18" t="inlineStr">
        <is>
          <t>sky 8-15</t>
        </is>
      </c>
      <c r="AF546" s="18" t="inlineStr"/>
      <c r="AG546" s="18" t="inlineStr"/>
      <c r="AH546" s="18" t="inlineStr">
        <is>
          <t>주변=minecraft:water</t>
        </is>
      </c>
      <c r="AI546" s="18" t="inlineStr"/>
      <c r="AJ546" s="18" t="inlineStr">
        <is>
          <t>Cobblemon 동일</t>
        </is>
      </c>
      <c r="AK546" s="18" t="inlineStr">
        <is>
          <t>사용</t>
        </is>
      </c>
      <c r="AL546" s="18" t="inlineStr">
        <is>
          <t>COBBLEVERSE 1.7.42 / DP v31</t>
        </is>
      </c>
      <c r="AM546" s="18" t="inlineStr">
        <is>
          <t>data/cobblemon/spawn_pool_world/0134_vaporeon.json</t>
        </is>
      </c>
      <c r="AN546" s="18" t="inlineStr">
        <is>
          <t>vaporeon-1</t>
        </is>
      </c>
      <c r="AO546" s="18" t="inlineStr">
        <is>
          <t>pokemon</t>
        </is>
      </c>
      <c r="AP546" s="18" t="inlineStr">
        <is>
          <t>natural</t>
        </is>
      </c>
      <c r="AQ546" s="18" t="inlineStr">
        <is>
          <t>{"biomes":["#cobblemon:is_freshwater","#cobblemon:is_jungle","#cobblemon:is_magical","#cobblemon:is_temperate","#cobblemon:is_tropical_island"],"maxSkyLight":15,"minSkyLight":8,"neededNearbyBlocks":["minecraft:water"]}</t>
        </is>
      </c>
      <c r="AR546" s="18" t="inlineStr">
        <is>
          <t>{"biomes":["#cobblemon:is_freezing"]}</t>
        </is>
      </c>
      <c r="AS546" s="18" t="inlineStr"/>
      <c r="AT546" s="19" t="inlineStr"/>
    </row>
    <row r="547" ht="32" customHeight="1">
      <c r="A547" s="18" t="inlineStr">
        <is>
          <t>0134_vaporeon.json::vaporeon-2::002</t>
        </is>
      </c>
      <c r="B547" s="19" t="inlineStr">
        <is>
          <t>사용</t>
        </is>
      </c>
      <c r="C547" s="18">
        <f>IF(OR(B547&lt;&gt;AK547,M547&lt;&gt;L547,O547&lt;&gt;"",Q547&lt;&gt;"",V547&lt;&gt;1,Y547&lt;&gt;"",AT547&lt;&gt;""),"수정","원본")</f>
        <v/>
      </c>
      <c r="D547" s="18" t="n">
        <v>134</v>
      </c>
      <c r="E547" s="18" t="inlineStr">
        <is>
          <t>샤미드</t>
        </is>
      </c>
      <c r="F547" s="18" t="inlineStr">
        <is>
          <t>vaporeon</t>
        </is>
      </c>
      <c r="G547" s="18" t="inlineStr">
        <is>
          <t>vaporeon</t>
        </is>
      </c>
      <c r="H547" s="18" t="inlineStr"/>
      <c r="I547" s="18" t="n">
        <v>1</v>
      </c>
      <c r="J547" s="18" t="n"/>
      <c r="K547" s="18" t="n">
        <v>1</v>
      </c>
      <c r="L547" s="18" t="inlineStr">
        <is>
          <t>cobbleventure:generation_1</t>
        </is>
      </c>
      <c r="M547" s="19" t="inlineStr">
        <is>
          <t>cobbleventure:generation_1</t>
        </is>
      </c>
      <c r="N547" s="18" t="inlineStr">
        <is>
          <t>region_01; region_02</t>
        </is>
      </c>
      <c r="O547" s="19" t="inlineStr"/>
      <c r="P547" s="18" t="inlineStr">
        <is>
          <t>#cobblemon:is_freshwater; #cobblemon:is_jungle; #cobblemon:is_magical; #cobblemon:is_temperate; #cobblemon:is_tropical_island</t>
        </is>
      </c>
      <c r="Q547" s="19" t="inlineStr"/>
      <c r="R547" s="18">
        <f>IF(Q547="",P547,Q547)</f>
        <v/>
      </c>
      <c r="S547" s="18" t="inlineStr">
        <is>
          <t>#cobblemon:is_freezing</t>
        </is>
      </c>
      <c r="T547" s="18" t="inlineStr">
        <is>
          <t>ultra-rare</t>
        </is>
      </c>
      <c r="U547" s="20" t="n">
        <v>1.2</v>
      </c>
      <c r="V547" s="21" t="n">
        <v>1</v>
      </c>
      <c r="W547" s="20">
        <f>IF(OR(U547="",V547=""),U547,U547*V547)</f>
        <v/>
      </c>
      <c r="X547" s="18" t="inlineStr">
        <is>
          <t>28-53</t>
        </is>
      </c>
      <c r="Y547" s="19" t="inlineStr"/>
      <c r="Z547" s="18">
        <f>IF(Y547="",X547,Y547)</f>
        <v/>
      </c>
      <c r="AA547" s="18" t="inlineStr">
        <is>
          <t>submerged</t>
        </is>
      </c>
      <c r="AB547" s="18" t="inlineStr"/>
      <c r="AC547" s="18" t="inlineStr"/>
      <c r="AD547" s="18" t="inlineStr"/>
      <c r="AE547" s="18" t="inlineStr">
        <is>
          <t>sky 8-15</t>
        </is>
      </c>
      <c r="AF547" s="18" t="inlineStr"/>
      <c r="AG547" s="18" t="inlineStr"/>
      <c r="AH547" s="18" t="inlineStr"/>
      <c r="AI547" s="18" t="inlineStr"/>
      <c r="AJ547" s="18" t="inlineStr">
        <is>
          <t>Cobblemon 동일</t>
        </is>
      </c>
      <c r="AK547" s="18" t="inlineStr">
        <is>
          <t>사용</t>
        </is>
      </c>
      <c r="AL547" s="18" t="inlineStr">
        <is>
          <t>COBBLEVERSE 1.7.42 / DP v31</t>
        </is>
      </c>
      <c r="AM547" s="18" t="inlineStr">
        <is>
          <t>data/cobblemon/spawn_pool_world/0134_vaporeon.json</t>
        </is>
      </c>
      <c r="AN547" s="18" t="inlineStr">
        <is>
          <t>vaporeon-2</t>
        </is>
      </c>
      <c r="AO547" s="18" t="inlineStr">
        <is>
          <t>pokemon</t>
        </is>
      </c>
      <c r="AP547" s="18" t="inlineStr">
        <is>
          <t>water</t>
        </is>
      </c>
      <c r="AQ547" s="18" t="inlineStr">
        <is>
          <t>{"biomes":["#cobblemon:is_freshwater","#cobblemon:is_jungle","#cobblemon:is_magical","#cobblemon:is_temperate","#cobblemon:is_tropical_island"],"maxSkyLight":15,"minSkyLight":8}</t>
        </is>
      </c>
      <c r="AR547" s="18" t="inlineStr">
        <is>
          <t>{"biomes":["#cobblemon:is_freezing"]}</t>
        </is>
      </c>
      <c r="AS547" s="18" t="inlineStr"/>
      <c r="AT547" s="19" t="inlineStr"/>
    </row>
    <row r="548" ht="32" customHeight="1">
      <c r="A548" s="18" t="inlineStr">
        <is>
          <t>0134_vaporeon.json::vaporeon-3::003</t>
        </is>
      </c>
      <c r="B548" s="19" t="inlineStr">
        <is>
          <t>사용</t>
        </is>
      </c>
      <c r="C548" s="18">
        <f>IF(OR(B548&lt;&gt;AK548,M548&lt;&gt;L548,O548&lt;&gt;"",Q548&lt;&gt;"",V548&lt;&gt;1,Y548&lt;&gt;"",AT548&lt;&gt;""),"수정","원본")</f>
        <v/>
      </c>
      <c r="D548" s="18" t="n">
        <v>134</v>
      </c>
      <c r="E548" s="18" t="inlineStr">
        <is>
          <t>샤미드</t>
        </is>
      </c>
      <c r="F548" s="18" t="inlineStr">
        <is>
          <t>vaporeon</t>
        </is>
      </c>
      <c r="G548" s="18" t="inlineStr">
        <is>
          <t>vaporeon</t>
        </is>
      </c>
      <c r="H548" s="18" t="inlineStr"/>
      <c r="I548" s="18" t="n">
        <v>1</v>
      </c>
      <c r="J548" s="18" t="n"/>
      <c r="K548" s="18" t="n">
        <v>1</v>
      </c>
      <c r="L548" s="18" t="inlineStr">
        <is>
          <t>cobbleventure:generation_1</t>
        </is>
      </c>
      <c r="M548" s="19" t="inlineStr">
        <is>
          <t>cobbleventure:generation_1</t>
        </is>
      </c>
      <c r="N548" s="18" t="inlineStr">
        <is>
          <t>region_01; region_02</t>
        </is>
      </c>
      <c r="O548" s="19" t="inlineStr"/>
      <c r="P548" s="18" t="inlineStr">
        <is>
          <t>#cobblemon:is_overworld</t>
        </is>
      </c>
      <c r="Q548" s="19" t="inlineStr"/>
      <c r="R548" s="18">
        <f>IF(Q548="",P548,Q548)</f>
        <v/>
      </c>
      <c r="S548" s="18" t="inlineStr"/>
      <c r="T548" s="18" t="inlineStr">
        <is>
          <t>uncommon</t>
        </is>
      </c>
      <c r="U548" s="20" t="n">
        <v>0.02</v>
      </c>
      <c r="V548" s="21" t="n">
        <v>1</v>
      </c>
      <c r="W548" s="20">
        <f>IF(OR(U548="",V548=""),U548,U548*V548)</f>
        <v/>
      </c>
      <c r="X548" s="18" t="inlineStr">
        <is>
          <t>28-53</t>
        </is>
      </c>
      <c r="Y548" s="19" t="inlineStr"/>
      <c r="Z548" s="18">
        <f>IF(Y548="",X548,Y548)</f>
        <v/>
      </c>
      <c r="AA548" s="18" t="inlineStr">
        <is>
          <t>grounded</t>
        </is>
      </c>
      <c r="AB548" s="18" t="inlineStr"/>
      <c r="AC548" s="18" t="inlineStr"/>
      <c r="AD548" s="18" t="inlineStr"/>
      <c r="AE548" s="18" t="inlineStr">
        <is>
          <t>sky 8-15</t>
        </is>
      </c>
      <c r="AF548" s="18" t="inlineStr"/>
      <c r="AG548" s="18" t="inlineStr"/>
      <c r="AH548" s="18" t="inlineStr"/>
      <c r="AI548" s="18" t="inlineStr"/>
      <c r="AJ548" s="18" t="inlineStr">
        <is>
          <t>Cobblemon 동일</t>
        </is>
      </c>
      <c r="AK548" s="18" t="inlineStr">
        <is>
          <t>사용</t>
        </is>
      </c>
      <c r="AL548" s="18" t="inlineStr">
        <is>
          <t>COBBLEVERSE 1.7.42 / DP v31</t>
        </is>
      </c>
      <c r="AM548" s="18" t="inlineStr">
        <is>
          <t>data/cobblemon/spawn_pool_world/0134_vaporeon.json</t>
        </is>
      </c>
      <c r="AN548" s="18" t="inlineStr">
        <is>
          <t>vaporeon-3</t>
        </is>
      </c>
      <c r="AO548" s="18" t="inlineStr">
        <is>
          <t>pokemon</t>
        </is>
      </c>
      <c r="AP548" s="18" t="inlineStr">
        <is>
          <t>natural; urban</t>
        </is>
      </c>
      <c r="AQ548" s="18" t="inlineStr">
        <is>
          <t>{"biomes":["#cobblemon:is_overworld"],"maxSkyLight":15,"minSkyLight":8}</t>
        </is>
      </c>
      <c r="AR548" s="18" t="inlineStr"/>
      <c r="AS548" s="18" t="inlineStr"/>
      <c r="AT548" s="19" t="inlineStr"/>
    </row>
    <row r="549" ht="32" customHeight="1">
      <c r="A549" s="18" t="inlineStr">
        <is>
          <t>0134_vaporeon.json::vaporeon-4::004</t>
        </is>
      </c>
      <c r="B549" s="19" t="inlineStr">
        <is>
          <t>사용</t>
        </is>
      </c>
      <c r="C549" s="18">
        <f>IF(OR(B549&lt;&gt;AK549,M549&lt;&gt;L549,O549&lt;&gt;"",Q549&lt;&gt;"",V549&lt;&gt;1,Y549&lt;&gt;"",AT549&lt;&gt;""),"수정","원본")</f>
        <v/>
      </c>
      <c r="D549" s="18" t="n">
        <v>134</v>
      </c>
      <c r="E549" s="18" t="inlineStr">
        <is>
          <t>샤미드</t>
        </is>
      </c>
      <c r="F549" s="18" t="inlineStr">
        <is>
          <t>vaporeon</t>
        </is>
      </c>
      <c r="G549" s="18" t="inlineStr">
        <is>
          <t>vaporeon</t>
        </is>
      </c>
      <c r="H549" s="18" t="inlineStr"/>
      <c r="I549" s="18" t="n">
        <v>1</v>
      </c>
      <c r="J549" s="18" t="n"/>
      <c r="K549" s="18" t="n">
        <v>1</v>
      </c>
      <c r="L549" s="18" t="inlineStr">
        <is>
          <t>cobbleventure:generation_1</t>
        </is>
      </c>
      <c r="M549" s="19" t="inlineStr">
        <is>
          <t>cobbleventure:generation_1</t>
        </is>
      </c>
      <c r="N549" s="18" t="inlineStr">
        <is>
          <t>region_01; region_02</t>
        </is>
      </c>
      <c r="O549" s="19" t="inlineStr"/>
      <c r="P549" s="18" t="inlineStr">
        <is>
          <t>#cobblemon:is_overworld</t>
        </is>
      </c>
      <c r="Q549" s="19" t="inlineStr"/>
      <c r="R549" s="18">
        <f>IF(Q549="",P549,Q549)</f>
        <v/>
      </c>
      <c r="S549" s="18" t="inlineStr"/>
      <c r="T549" s="18" t="inlineStr">
        <is>
          <t>uncommon</t>
        </is>
      </c>
      <c r="U549" s="20" t="n">
        <v>0.02</v>
      </c>
      <c r="V549" s="21" t="n">
        <v>1</v>
      </c>
      <c r="W549" s="20">
        <f>IF(OR(U549="",V549=""),U549,U549*V549)</f>
        <v/>
      </c>
      <c r="X549" s="18" t="inlineStr">
        <is>
          <t>28-53</t>
        </is>
      </c>
      <c r="Y549" s="19" t="inlineStr"/>
      <c r="Z549" s="18">
        <f>IF(Y549="",X549,Y549)</f>
        <v/>
      </c>
      <c r="AA549" s="18" t="inlineStr">
        <is>
          <t>grounded</t>
        </is>
      </c>
      <c r="AB549" s="18" t="inlineStr"/>
      <c r="AC549" s="18" t="inlineStr"/>
      <c r="AD549" s="18" t="inlineStr"/>
      <c r="AE549" s="18" t="inlineStr">
        <is>
          <t>sky 8-15</t>
        </is>
      </c>
      <c r="AF549" s="18" t="inlineStr"/>
      <c r="AG549" s="18" t="inlineStr">
        <is>
          <t>#minecraft:village</t>
        </is>
      </c>
      <c r="AH549" s="18" t="inlineStr"/>
      <c r="AI549" s="18" t="inlineStr"/>
      <c r="AJ549" s="18" t="inlineStr">
        <is>
          <t>Cobblemon 동일</t>
        </is>
      </c>
      <c r="AK549" s="18" t="inlineStr">
        <is>
          <t>사용</t>
        </is>
      </c>
      <c r="AL549" s="18" t="inlineStr">
        <is>
          <t>COBBLEVERSE 1.7.42 / DP v31</t>
        </is>
      </c>
      <c r="AM549" s="18" t="inlineStr">
        <is>
          <t>data/cobblemon/spawn_pool_world/0134_vaporeon.json</t>
        </is>
      </c>
      <c r="AN549" s="18" t="inlineStr">
        <is>
          <t>vaporeon-4</t>
        </is>
      </c>
      <c r="AO549" s="18" t="inlineStr">
        <is>
          <t>pokemon</t>
        </is>
      </c>
      <c r="AP549" s="18" t="inlineStr">
        <is>
          <t>natural</t>
        </is>
      </c>
      <c r="AQ549" s="18" t="inlineStr">
        <is>
          <t>{"biomes":["#cobblemon:is_overworld"],"maxSkyLight":15,"minSkyLight":8,"structures":["#minecraft:village"]}</t>
        </is>
      </c>
      <c r="AR549" s="18" t="inlineStr"/>
      <c r="AS549" s="18" t="inlineStr"/>
      <c r="AT549" s="19" t="inlineStr"/>
    </row>
    <row r="550" ht="32" customHeight="1">
      <c r="A550" s="18" t="inlineStr">
        <is>
          <t>0134_vaporeon.json::vaporeon-5::005</t>
        </is>
      </c>
      <c r="B550" s="19" t="inlineStr">
        <is>
          <t>사용</t>
        </is>
      </c>
      <c r="C550" s="18">
        <f>IF(OR(B550&lt;&gt;AK550,M550&lt;&gt;L550,O550&lt;&gt;"",Q550&lt;&gt;"",V550&lt;&gt;1,Y550&lt;&gt;"",AT550&lt;&gt;""),"수정","원본")</f>
        <v/>
      </c>
      <c r="D550" s="18" t="n">
        <v>134</v>
      </c>
      <c r="E550" s="18" t="inlineStr">
        <is>
          <t>샤미드</t>
        </is>
      </c>
      <c r="F550" s="18" t="inlineStr">
        <is>
          <t>vaporeon</t>
        </is>
      </c>
      <c r="G550" s="18" t="inlineStr">
        <is>
          <t>vaporeon</t>
        </is>
      </c>
      <c r="H550" s="18" t="inlineStr"/>
      <c r="I550" s="18" t="n">
        <v>1</v>
      </c>
      <c r="J550" s="18" t="n"/>
      <c r="K550" s="18" t="n">
        <v>1</v>
      </c>
      <c r="L550" s="18" t="inlineStr">
        <is>
          <t>cobbleventure:generation_1</t>
        </is>
      </c>
      <c r="M550" s="19" t="inlineStr">
        <is>
          <t>cobbleventure:generation_1</t>
        </is>
      </c>
      <c r="N550" s="18" t="inlineStr">
        <is>
          <t>region_01; region_02</t>
        </is>
      </c>
      <c r="O550" s="19" t="inlineStr"/>
      <c r="P550" s="18" t="inlineStr">
        <is>
          <t>#cobblemon:is_overworld</t>
        </is>
      </c>
      <c r="Q550" s="19" t="inlineStr"/>
      <c r="R550" s="18">
        <f>IF(Q550="",P550,Q550)</f>
        <v/>
      </c>
      <c r="S550" s="18" t="inlineStr"/>
      <c r="T550" s="18" t="inlineStr">
        <is>
          <t>uncommon</t>
        </is>
      </c>
      <c r="U550" s="20" t="n">
        <v>0.1</v>
      </c>
      <c r="V550" s="21" t="n">
        <v>1</v>
      </c>
      <c r="W550" s="20">
        <f>IF(OR(U550="",V550=""),U550,U550*V550)</f>
        <v/>
      </c>
      <c r="X550" s="18" t="inlineStr">
        <is>
          <t>28-53</t>
        </is>
      </c>
      <c r="Y550" s="19" t="inlineStr"/>
      <c r="Z550" s="18">
        <f>IF(Y550="",X550,Y550)</f>
        <v/>
      </c>
      <c r="AA550" s="18" t="inlineStr">
        <is>
          <t>grounded</t>
        </is>
      </c>
      <c r="AB550" s="18" t="inlineStr"/>
      <c r="AC550" s="18" t="inlineStr"/>
      <c r="AD550" s="18" t="inlineStr"/>
      <c r="AE550" s="18" t="inlineStr"/>
      <c r="AF550" s="18" t="inlineStr">
        <is>
          <t>False</t>
        </is>
      </c>
      <c r="AG550" s="18" t="inlineStr"/>
      <c r="AH550" s="18" t="inlineStr"/>
      <c r="AI550" s="18" t="inlineStr"/>
      <c r="AJ550" s="18" t="inlineStr">
        <is>
          <t>Cobblemon 동일</t>
        </is>
      </c>
      <c r="AK550" s="18" t="inlineStr">
        <is>
          <t>사용</t>
        </is>
      </c>
      <c r="AL550" s="18" t="inlineStr">
        <is>
          <t>COBBLEVERSE 1.7.42 / DP v31</t>
        </is>
      </c>
      <c r="AM550" s="18" t="inlineStr">
        <is>
          <t>data/cobblemon/spawn_pool_world/0134_vaporeon.json</t>
        </is>
      </c>
      <c r="AN550" s="18" t="inlineStr">
        <is>
          <t>vaporeon-5</t>
        </is>
      </c>
      <c r="AO550" s="18" t="inlineStr">
        <is>
          <t>pokemon</t>
        </is>
      </c>
      <c r="AP550" s="18" t="inlineStr">
        <is>
          <t>mansion</t>
        </is>
      </c>
      <c r="AQ550" s="18" t="inlineStr">
        <is>
          <t>{"biomes":["#cobblemon:is_overworld"],"canSeeSky":false}</t>
        </is>
      </c>
      <c r="AR550" s="18" t="inlineStr"/>
      <c r="AS550" s="18" t="inlineStr"/>
      <c r="AT550" s="19" t="inlineStr"/>
    </row>
    <row r="551" ht="32" customHeight="1">
      <c r="A551" s="18" t="inlineStr">
        <is>
          <t>0134_vaporeon.json::vaporeon-6::006</t>
        </is>
      </c>
      <c r="B551" s="19" t="inlineStr">
        <is>
          <t>사용</t>
        </is>
      </c>
      <c r="C551" s="18">
        <f>IF(OR(B551&lt;&gt;AK551,M551&lt;&gt;L551,O551&lt;&gt;"",Q551&lt;&gt;"",V551&lt;&gt;1,Y551&lt;&gt;"",AT551&lt;&gt;""),"수정","원본")</f>
        <v/>
      </c>
      <c r="D551" s="18" t="n">
        <v>134</v>
      </c>
      <c r="E551" s="18" t="inlineStr">
        <is>
          <t>샤미드</t>
        </is>
      </c>
      <c r="F551" s="18" t="inlineStr">
        <is>
          <t>vaporeon</t>
        </is>
      </c>
      <c r="G551" s="18" t="inlineStr">
        <is>
          <t>vaporeon</t>
        </is>
      </c>
      <c r="H551" s="18" t="inlineStr"/>
      <c r="I551" s="18" t="n">
        <v>1</v>
      </c>
      <c r="J551" s="18" t="n"/>
      <c r="K551" s="18" t="n">
        <v>1</v>
      </c>
      <c r="L551" s="18" t="inlineStr">
        <is>
          <t>cobbleventure:generation_1</t>
        </is>
      </c>
      <c r="M551" s="19" t="inlineStr">
        <is>
          <t>cobbleventure:generation_1</t>
        </is>
      </c>
      <c r="N551" s="18" t="inlineStr">
        <is>
          <t>region_01; region_02</t>
        </is>
      </c>
      <c r="O551" s="19" t="inlineStr"/>
      <c r="P551" s="18" t="inlineStr">
        <is>
          <t>#cobblemon:is_freshwater; #cobblemon:is_jungle; #cobblemon:is_magical; #cobblemon:is_temperate; #cobblemon:is_tropical_island</t>
        </is>
      </c>
      <c r="Q551" s="19" t="inlineStr"/>
      <c r="R551" s="18">
        <f>IF(Q551="",P551,Q551)</f>
        <v/>
      </c>
      <c r="S551" s="18" t="inlineStr">
        <is>
          <t>#cobblemon:is_freezing</t>
        </is>
      </c>
      <c r="T551" s="18" t="inlineStr">
        <is>
          <t>ultra-rare</t>
        </is>
      </c>
      <c r="U551" s="20" t="n">
        <v>6</v>
      </c>
      <c r="V551" s="21" t="n">
        <v>1</v>
      </c>
      <c r="W551" s="20">
        <f>IF(OR(U551="",V551=""),U551,U551*V551)</f>
        <v/>
      </c>
      <c r="X551" s="18" t="inlineStr">
        <is>
          <t>28-53</t>
        </is>
      </c>
      <c r="Y551" s="19" t="inlineStr"/>
      <c r="Z551" s="18">
        <f>IF(Y551="",X551,Y551)</f>
        <v/>
      </c>
      <c r="AA551" s="18" t="inlineStr">
        <is>
          <t>fishing</t>
        </is>
      </c>
      <c r="AB551" s="18" t="inlineStr"/>
      <c r="AC551" s="18" t="inlineStr"/>
      <c r="AD551" s="18" t="inlineStr"/>
      <c r="AE551" s="18" t="inlineStr">
        <is>
          <t>sky 8-15</t>
        </is>
      </c>
      <c r="AF551" s="18" t="inlineStr"/>
      <c r="AG551" s="18" t="inlineStr"/>
      <c r="AH551" s="18" t="inlineStr"/>
      <c r="AI551" s="18" t="inlineStr"/>
      <c r="AJ551" s="18" t="inlineStr">
        <is>
          <t>Cobblemon 동일</t>
        </is>
      </c>
      <c r="AK551" s="18" t="inlineStr">
        <is>
          <t>사용</t>
        </is>
      </c>
      <c r="AL551" s="18" t="inlineStr">
        <is>
          <t>COBBLEVERSE 1.7.42 / DP v31</t>
        </is>
      </c>
      <c r="AM551" s="18" t="inlineStr">
        <is>
          <t>data/cobblemon/spawn_pool_world/0134_vaporeon.json</t>
        </is>
      </c>
      <c r="AN551" s="18" t="inlineStr">
        <is>
          <t>vaporeon-6</t>
        </is>
      </c>
      <c r="AO551" s="18" t="inlineStr">
        <is>
          <t>pokemon</t>
        </is>
      </c>
      <c r="AP551" s="18" t="inlineStr"/>
      <c r="AQ551" s="18" t="inlineStr">
        <is>
          <t>{"biomes":["#cobblemon:is_freshwater","#cobblemon:is_jungle","#cobblemon:is_magical","#cobblemon:is_temperate","#cobblemon:is_tropical_island"],"maxSkyLight":15,"minSkyLight":8}</t>
        </is>
      </c>
      <c r="AR551" s="18" t="inlineStr">
        <is>
          <t>{"biomes":["#cobblemon:is_freezing"]}</t>
        </is>
      </c>
      <c r="AS551" s="18" t="inlineStr"/>
      <c r="AT551" s="19" t="inlineStr"/>
    </row>
    <row r="552" ht="32" customHeight="1">
      <c r="A552" s="18" t="inlineStr">
        <is>
          <t>0135_jolteon.json::jolteon-1::001</t>
        </is>
      </c>
      <c r="B552" s="19" t="inlineStr">
        <is>
          <t>사용</t>
        </is>
      </c>
      <c r="C552" s="18">
        <f>IF(OR(B552&lt;&gt;AK552,M552&lt;&gt;L552,O552&lt;&gt;"",Q552&lt;&gt;"",V552&lt;&gt;1,Y552&lt;&gt;"",AT552&lt;&gt;""),"수정","원본")</f>
        <v/>
      </c>
      <c r="D552" s="18" t="n">
        <v>135</v>
      </c>
      <c r="E552" s="18" t="inlineStr">
        <is>
          <t>쥬피썬더</t>
        </is>
      </c>
      <c r="F552" s="18" t="inlineStr">
        <is>
          <t>jolteon</t>
        </is>
      </c>
      <c r="G552" s="18" t="inlineStr">
        <is>
          <t>jolteon</t>
        </is>
      </c>
      <c r="H552" s="18" t="inlineStr"/>
      <c r="I552" s="18" t="n">
        <v>1</v>
      </c>
      <c r="J552" s="18" t="n"/>
      <c r="K552" s="18" t="n">
        <v>1</v>
      </c>
      <c r="L552" s="18" t="inlineStr">
        <is>
          <t>cobbleventure:generation_1</t>
        </is>
      </c>
      <c r="M552" s="19" t="inlineStr">
        <is>
          <t>cobbleventure:generation_1</t>
        </is>
      </c>
      <c r="N552" s="18" t="inlineStr">
        <is>
          <t>region_01</t>
        </is>
      </c>
      <c r="O552" s="19" t="inlineStr"/>
      <c r="P552" s="18" t="inlineStr">
        <is>
          <t>#cobblemon:is_grassland</t>
        </is>
      </c>
      <c r="Q552" s="19" t="inlineStr"/>
      <c r="R552" s="18">
        <f>IF(Q552="",P552,Q552)</f>
        <v/>
      </c>
      <c r="S552" s="18" t="inlineStr"/>
      <c r="T552" s="18" t="inlineStr">
        <is>
          <t>ultra-rare</t>
        </is>
      </c>
      <c r="U552" s="20" t="n">
        <v>1.2</v>
      </c>
      <c r="V552" s="21" t="n">
        <v>1</v>
      </c>
      <c r="W552" s="20">
        <f>IF(OR(U552="",V552=""),U552,U552*V552)</f>
        <v/>
      </c>
      <c r="X552" s="18" t="inlineStr">
        <is>
          <t>28-53</t>
        </is>
      </c>
      <c r="Y552" s="19" t="inlineStr"/>
      <c r="Z552" s="18">
        <f>IF(Y552="",X552,Y552)</f>
        <v/>
      </c>
      <c r="AA552" s="18" t="inlineStr">
        <is>
          <t>grounded</t>
        </is>
      </c>
      <c r="AB552" s="18" t="inlineStr"/>
      <c r="AC552" s="18" t="inlineStr"/>
      <c r="AD552" s="18" t="inlineStr"/>
      <c r="AE552" s="18" t="inlineStr">
        <is>
          <t>sky 8-15</t>
        </is>
      </c>
      <c r="AF552" s="18" t="inlineStr"/>
      <c r="AG552" s="18" t="inlineStr"/>
      <c r="AH552" s="18" t="inlineStr"/>
      <c r="AI552" s="18" t="inlineStr"/>
      <c r="AJ552" s="18" t="inlineStr">
        <is>
          <t>Cobblemon 동일</t>
        </is>
      </c>
      <c r="AK552" s="18" t="inlineStr">
        <is>
          <t>사용</t>
        </is>
      </c>
      <c r="AL552" s="18" t="inlineStr">
        <is>
          <t>COBBLEVERSE 1.7.42 / DP v31</t>
        </is>
      </c>
      <c r="AM552" s="18" t="inlineStr">
        <is>
          <t>data/cobblemon/spawn_pool_world/0135_jolteon.json</t>
        </is>
      </c>
      <c r="AN552" s="18" t="inlineStr">
        <is>
          <t>jolteon-1</t>
        </is>
      </c>
      <c r="AO552" s="18" t="inlineStr">
        <is>
          <t>pokemon</t>
        </is>
      </c>
      <c r="AP552" s="18" t="inlineStr">
        <is>
          <t>natural</t>
        </is>
      </c>
      <c r="AQ552" s="18" t="inlineStr">
        <is>
          <t>{"biomes":["#cobblemon:is_grassland"],"maxSkyLight":15,"minSkyLight":8}</t>
        </is>
      </c>
      <c r="AR552" s="18" t="inlineStr"/>
      <c r="AS552" s="18" t="inlineStr"/>
      <c r="AT552" s="19" t="inlineStr"/>
    </row>
    <row r="553" ht="32" customHeight="1">
      <c r="A553" s="18" t="inlineStr">
        <is>
          <t>0135_jolteon.json::jolteon-2::002</t>
        </is>
      </c>
      <c r="B553" s="19" t="inlineStr">
        <is>
          <t>사용</t>
        </is>
      </c>
      <c r="C553" s="18">
        <f>IF(OR(B553&lt;&gt;AK553,M553&lt;&gt;L553,O553&lt;&gt;"",Q553&lt;&gt;"",V553&lt;&gt;1,Y553&lt;&gt;"",AT553&lt;&gt;""),"수정","원본")</f>
        <v/>
      </c>
      <c r="D553" s="18" t="n">
        <v>135</v>
      </c>
      <c r="E553" s="18" t="inlineStr">
        <is>
          <t>쥬피썬더</t>
        </is>
      </c>
      <c r="F553" s="18" t="inlineStr">
        <is>
          <t>jolteon</t>
        </is>
      </c>
      <c r="G553" s="18" t="inlineStr">
        <is>
          <t>jolteon</t>
        </is>
      </c>
      <c r="H553" s="18" t="inlineStr"/>
      <c r="I553" s="18" t="n">
        <v>1</v>
      </c>
      <c r="J553" s="18" t="n"/>
      <c r="K553" s="18" t="n">
        <v>1</v>
      </c>
      <c r="L553" s="18" t="inlineStr">
        <is>
          <t>cobbleventure:generation_1</t>
        </is>
      </c>
      <c r="M553" s="19" t="inlineStr">
        <is>
          <t>cobbleventure:generation_1</t>
        </is>
      </c>
      <c r="N553" s="18" t="inlineStr">
        <is>
          <t>region_01; region_02</t>
        </is>
      </c>
      <c r="O553" s="19" t="inlineStr"/>
      <c r="P553" s="18" t="inlineStr">
        <is>
          <t>#cobblemon:is_overworld</t>
        </is>
      </c>
      <c r="Q553" s="19" t="inlineStr"/>
      <c r="R553" s="18">
        <f>IF(Q553="",P553,Q553)</f>
        <v/>
      </c>
      <c r="S553" s="18" t="inlineStr"/>
      <c r="T553" s="18" t="inlineStr">
        <is>
          <t>uncommon</t>
        </is>
      </c>
      <c r="U553" s="20" t="n">
        <v>0.02</v>
      </c>
      <c r="V553" s="21" t="n">
        <v>1</v>
      </c>
      <c r="W553" s="20">
        <f>IF(OR(U553="",V553=""),U553,U553*V553)</f>
        <v/>
      </c>
      <c r="X553" s="18" t="inlineStr">
        <is>
          <t>28-53</t>
        </is>
      </c>
      <c r="Y553" s="19" t="inlineStr"/>
      <c r="Z553" s="18">
        <f>IF(Y553="",X553,Y553)</f>
        <v/>
      </c>
      <c r="AA553" s="18" t="inlineStr">
        <is>
          <t>grounded</t>
        </is>
      </c>
      <c r="AB553" s="18" t="inlineStr"/>
      <c r="AC553" s="18" t="inlineStr"/>
      <c r="AD553" s="18" t="inlineStr"/>
      <c r="AE553" s="18" t="inlineStr">
        <is>
          <t>sky 8-15</t>
        </is>
      </c>
      <c r="AF553" s="18" t="inlineStr"/>
      <c r="AG553" s="18" t="inlineStr"/>
      <c r="AH553" s="18" t="inlineStr"/>
      <c r="AI553" s="18" t="inlineStr"/>
      <c r="AJ553" s="18" t="inlineStr">
        <is>
          <t>Cobblemon 동일</t>
        </is>
      </c>
      <c r="AK553" s="18" t="inlineStr">
        <is>
          <t>사용</t>
        </is>
      </c>
      <c r="AL553" s="18" t="inlineStr">
        <is>
          <t>COBBLEVERSE 1.7.42 / DP v31</t>
        </is>
      </c>
      <c r="AM553" s="18" t="inlineStr">
        <is>
          <t>data/cobblemon/spawn_pool_world/0135_jolteon.json</t>
        </is>
      </c>
      <c r="AN553" s="18" t="inlineStr">
        <is>
          <t>jolteon-2</t>
        </is>
      </c>
      <c r="AO553" s="18" t="inlineStr">
        <is>
          <t>pokemon</t>
        </is>
      </c>
      <c r="AP553" s="18" t="inlineStr">
        <is>
          <t>natural; urban</t>
        </is>
      </c>
      <c r="AQ553" s="18" t="inlineStr">
        <is>
          <t>{"biomes":["#cobblemon:is_overworld"],"maxSkyLight":15,"minSkyLight":8}</t>
        </is>
      </c>
      <c r="AR553" s="18" t="inlineStr"/>
      <c r="AS553" s="18" t="inlineStr"/>
      <c r="AT553" s="19" t="inlineStr"/>
    </row>
    <row r="554" ht="32" customHeight="1">
      <c r="A554" s="18" t="inlineStr">
        <is>
          <t>0135_jolteon.json::jolteon-3::003</t>
        </is>
      </c>
      <c r="B554" s="19" t="inlineStr">
        <is>
          <t>사용</t>
        </is>
      </c>
      <c r="C554" s="18">
        <f>IF(OR(B554&lt;&gt;AK554,M554&lt;&gt;L554,O554&lt;&gt;"",Q554&lt;&gt;"",V554&lt;&gt;1,Y554&lt;&gt;"",AT554&lt;&gt;""),"수정","원본")</f>
        <v/>
      </c>
      <c r="D554" s="18" t="n">
        <v>135</v>
      </c>
      <c r="E554" s="18" t="inlineStr">
        <is>
          <t>쥬피썬더</t>
        </is>
      </c>
      <c r="F554" s="18" t="inlineStr">
        <is>
          <t>jolteon</t>
        </is>
      </c>
      <c r="G554" s="18" t="inlineStr">
        <is>
          <t>jolteon</t>
        </is>
      </c>
      <c r="H554" s="18" t="inlineStr"/>
      <c r="I554" s="18" t="n">
        <v>1</v>
      </c>
      <c r="J554" s="18" t="n"/>
      <c r="K554" s="18" t="n">
        <v>1</v>
      </c>
      <c r="L554" s="18" t="inlineStr">
        <is>
          <t>cobbleventure:generation_1</t>
        </is>
      </c>
      <c r="M554" s="19" t="inlineStr">
        <is>
          <t>cobbleventure:generation_1</t>
        </is>
      </c>
      <c r="N554" s="18" t="inlineStr">
        <is>
          <t>region_01; region_02</t>
        </is>
      </c>
      <c r="O554" s="19" t="inlineStr"/>
      <c r="P554" s="18" t="inlineStr">
        <is>
          <t>#cobblemon:is_overworld</t>
        </is>
      </c>
      <c r="Q554" s="19" t="inlineStr"/>
      <c r="R554" s="18">
        <f>IF(Q554="",P554,Q554)</f>
        <v/>
      </c>
      <c r="S554" s="18" t="inlineStr"/>
      <c r="T554" s="18" t="inlineStr">
        <is>
          <t>uncommon</t>
        </is>
      </c>
      <c r="U554" s="20" t="n">
        <v>0.02</v>
      </c>
      <c r="V554" s="21" t="n">
        <v>1</v>
      </c>
      <c r="W554" s="20">
        <f>IF(OR(U554="",V554=""),U554,U554*V554)</f>
        <v/>
      </c>
      <c r="X554" s="18" t="inlineStr">
        <is>
          <t>28-53</t>
        </is>
      </c>
      <c r="Y554" s="19" t="inlineStr"/>
      <c r="Z554" s="18">
        <f>IF(Y554="",X554,Y554)</f>
        <v/>
      </c>
      <c r="AA554" s="18" t="inlineStr">
        <is>
          <t>grounded</t>
        </is>
      </c>
      <c r="AB554" s="18" t="inlineStr"/>
      <c r="AC554" s="18" t="inlineStr"/>
      <c r="AD554" s="18" t="inlineStr"/>
      <c r="AE554" s="18" t="inlineStr">
        <is>
          <t>sky 8-15</t>
        </is>
      </c>
      <c r="AF554" s="18" t="inlineStr"/>
      <c r="AG554" s="18" t="inlineStr">
        <is>
          <t>#minecraft:village</t>
        </is>
      </c>
      <c r="AH554" s="18" t="inlineStr"/>
      <c r="AI554" s="18" t="inlineStr"/>
      <c r="AJ554" s="18" t="inlineStr">
        <is>
          <t>Cobblemon 동일</t>
        </is>
      </c>
      <c r="AK554" s="18" t="inlineStr">
        <is>
          <t>사용</t>
        </is>
      </c>
      <c r="AL554" s="18" t="inlineStr">
        <is>
          <t>COBBLEVERSE 1.7.42 / DP v31</t>
        </is>
      </c>
      <c r="AM554" s="18" t="inlineStr">
        <is>
          <t>data/cobblemon/spawn_pool_world/0135_jolteon.json</t>
        </is>
      </c>
      <c r="AN554" s="18" t="inlineStr">
        <is>
          <t>jolteon-3</t>
        </is>
      </c>
      <c r="AO554" s="18" t="inlineStr">
        <is>
          <t>pokemon</t>
        </is>
      </c>
      <c r="AP554" s="18" t="inlineStr">
        <is>
          <t>natural</t>
        </is>
      </c>
      <c r="AQ554" s="18" t="inlineStr">
        <is>
          <t>{"biomes":["#cobblemon:is_overworld"],"maxSkyLight":15,"minSkyLight":8,"structures":["#minecraft:village"]}</t>
        </is>
      </c>
      <c r="AR554" s="18" t="inlineStr"/>
      <c r="AS554" s="18" t="inlineStr"/>
      <c r="AT554" s="19" t="inlineStr"/>
    </row>
    <row r="555" ht="32" customHeight="1">
      <c r="A555" s="18" t="inlineStr">
        <is>
          <t>0135_jolteon.json::jolteon-4::004</t>
        </is>
      </c>
      <c r="B555" s="19" t="inlineStr">
        <is>
          <t>사용</t>
        </is>
      </c>
      <c r="C555" s="18">
        <f>IF(OR(B555&lt;&gt;AK555,M555&lt;&gt;L555,O555&lt;&gt;"",Q555&lt;&gt;"",V555&lt;&gt;1,Y555&lt;&gt;"",AT555&lt;&gt;""),"수정","원본")</f>
        <v/>
      </c>
      <c r="D555" s="18" t="n">
        <v>135</v>
      </c>
      <c r="E555" s="18" t="inlineStr">
        <is>
          <t>쥬피썬더</t>
        </is>
      </c>
      <c r="F555" s="18" t="inlineStr">
        <is>
          <t>jolteon</t>
        </is>
      </c>
      <c r="G555" s="18" t="inlineStr">
        <is>
          <t>jolteon</t>
        </is>
      </c>
      <c r="H555" s="18" t="inlineStr"/>
      <c r="I555" s="18" t="n">
        <v>1</v>
      </c>
      <c r="J555" s="18" t="n"/>
      <c r="K555" s="18" t="n">
        <v>1</v>
      </c>
      <c r="L555" s="18" t="inlineStr">
        <is>
          <t>cobbleventure:generation_1</t>
        </is>
      </c>
      <c r="M555" s="19" t="inlineStr">
        <is>
          <t>cobbleventure:generation_1</t>
        </is>
      </c>
      <c r="N555" s="18" t="inlineStr">
        <is>
          <t>region_01; region_02</t>
        </is>
      </c>
      <c r="O555" s="19" t="inlineStr"/>
      <c r="P555" s="18" t="inlineStr">
        <is>
          <t>#cobblemon:is_overworld</t>
        </is>
      </c>
      <c r="Q555" s="19" t="inlineStr"/>
      <c r="R555" s="18">
        <f>IF(Q555="",P555,Q555)</f>
        <v/>
      </c>
      <c r="S555" s="18" t="inlineStr"/>
      <c r="T555" s="18" t="inlineStr">
        <is>
          <t>uncommon</t>
        </is>
      </c>
      <c r="U555" s="20" t="n">
        <v>0.1</v>
      </c>
      <c r="V555" s="21" t="n">
        <v>1</v>
      </c>
      <c r="W555" s="20">
        <f>IF(OR(U555="",V555=""),U555,U555*V555)</f>
        <v/>
      </c>
      <c r="X555" s="18" t="inlineStr">
        <is>
          <t>28-53</t>
        </is>
      </c>
      <c r="Y555" s="19" t="inlineStr"/>
      <c r="Z555" s="18">
        <f>IF(Y555="",X555,Y555)</f>
        <v/>
      </c>
      <c r="AA555" s="18" t="inlineStr">
        <is>
          <t>grounded</t>
        </is>
      </c>
      <c r="AB555" s="18" t="inlineStr"/>
      <c r="AC555" s="18" t="inlineStr"/>
      <c r="AD555" s="18" t="inlineStr"/>
      <c r="AE555" s="18" t="inlineStr"/>
      <c r="AF555" s="18" t="inlineStr">
        <is>
          <t>False</t>
        </is>
      </c>
      <c r="AG555" s="18" t="inlineStr"/>
      <c r="AH555" s="18" t="inlineStr"/>
      <c r="AI555" s="18" t="inlineStr"/>
      <c r="AJ555" s="18" t="inlineStr">
        <is>
          <t>Cobblemon 동일</t>
        </is>
      </c>
      <c r="AK555" s="18" t="inlineStr">
        <is>
          <t>사용</t>
        </is>
      </c>
      <c r="AL555" s="18" t="inlineStr">
        <is>
          <t>COBBLEVERSE 1.7.42 / DP v31</t>
        </is>
      </c>
      <c r="AM555" s="18" t="inlineStr">
        <is>
          <t>data/cobblemon/spawn_pool_world/0135_jolteon.json</t>
        </is>
      </c>
      <c r="AN555" s="18" t="inlineStr">
        <is>
          <t>jolteon-4</t>
        </is>
      </c>
      <c r="AO555" s="18" t="inlineStr">
        <is>
          <t>pokemon</t>
        </is>
      </c>
      <c r="AP555" s="18" t="inlineStr">
        <is>
          <t>mansion</t>
        </is>
      </c>
      <c r="AQ555" s="18" t="inlineStr">
        <is>
          <t>{"biomes":["#cobblemon:is_overworld"],"canSeeSky":false}</t>
        </is>
      </c>
      <c r="AR555" s="18" t="inlineStr"/>
      <c r="AS555" s="18" t="inlineStr"/>
      <c r="AT555" s="19" t="inlineStr"/>
    </row>
    <row r="556" ht="32" customHeight="1">
      <c r="A556" s="18" t="inlineStr">
        <is>
          <t>0136_flareon.json::flareon-1::001</t>
        </is>
      </c>
      <c r="B556" s="19" t="inlineStr">
        <is>
          <t>사용</t>
        </is>
      </c>
      <c r="C556" s="18">
        <f>IF(OR(B556&lt;&gt;AK556,M556&lt;&gt;L556,O556&lt;&gt;"",Q556&lt;&gt;"",V556&lt;&gt;1,Y556&lt;&gt;"",AT556&lt;&gt;""),"수정","원본")</f>
        <v/>
      </c>
      <c r="D556" s="18" t="n">
        <v>136</v>
      </c>
      <c r="E556" s="18" t="inlineStr">
        <is>
          <t>부스터</t>
        </is>
      </c>
      <c r="F556" s="18" t="inlineStr">
        <is>
          <t>flareon</t>
        </is>
      </c>
      <c r="G556" s="18" t="inlineStr">
        <is>
          <t>flareon</t>
        </is>
      </c>
      <c r="H556" s="18" t="inlineStr"/>
      <c r="I556" s="18" t="n">
        <v>1</v>
      </c>
      <c r="J556" s="18" t="n"/>
      <c r="K556" s="18" t="n">
        <v>1</v>
      </c>
      <c r="L556" s="18" t="inlineStr">
        <is>
          <t>cobbleventure:generation_1</t>
        </is>
      </c>
      <c r="M556" s="19" t="inlineStr">
        <is>
          <t>cobbleventure:generation_1</t>
        </is>
      </c>
      <c r="N556" s="18" t="inlineStr">
        <is>
          <t>region_02</t>
        </is>
      </c>
      <c r="O556" s="19" t="inlineStr"/>
      <c r="P556" s="18" t="inlineStr">
        <is>
          <t>#cobblemon:is_badlands; #cobblemon:is_desert</t>
        </is>
      </c>
      <c r="Q556" s="19" t="inlineStr"/>
      <c r="R556" s="18">
        <f>IF(Q556="",P556,Q556)</f>
        <v/>
      </c>
      <c r="S556" s="18" t="inlineStr"/>
      <c r="T556" s="18" t="inlineStr">
        <is>
          <t>ultra-rare</t>
        </is>
      </c>
      <c r="U556" s="20" t="n">
        <v>1.2</v>
      </c>
      <c r="V556" s="21" t="n">
        <v>1</v>
      </c>
      <c r="W556" s="20">
        <f>IF(OR(U556="",V556=""),U556,U556*V556)</f>
        <v/>
      </c>
      <c r="X556" s="18" t="inlineStr">
        <is>
          <t>28-53</t>
        </is>
      </c>
      <c r="Y556" s="19" t="inlineStr"/>
      <c r="Z556" s="18">
        <f>IF(Y556="",X556,Y556)</f>
        <v/>
      </c>
      <c r="AA556" s="18" t="inlineStr">
        <is>
          <t>grounded</t>
        </is>
      </c>
      <c r="AB556" s="18" t="inlineStr"/>
      <c r="AC556" s="18" t="inlineStr"/>
      <c r="AD556" s="18" t="inlineStr"/>
      <c r="AE556" s="18" t="inlineStr">
        <is>
          <t>sky 8-15</t>
        </is>
      </c>
      <c r="AF556" s="18" t="inlineStr"/>
      <c r="AG556" s="18" t="inlineStr"/>
      <c r="AH556" s="18" t="inlineStr"/>
      <c r="AI556" s="18" t="inlineStr"/>
      <c r="AJ556" s="18" t="inlineStr">
        <is>
          <t>Cobblemon 동일</t>
        </is>
      </c>
      <c r="AK556" s="18" t="inlineStr">
        <is>
          <t>사용</t>
        </is>
      </c>
      <c r="AL556" s="18" t="inlineStr">
        <is>
          <t>COBBLEVERSE 1.7.42 / DP v31</t>
        </is>
      </c>
      <c r="AM556" s="18" t="inlineStr">
        <is>
          <t>data/cobblemon/spawn_pool_world/0136_flareon.json</t>
        </is>
      </c>
      <c r="AN556" s="18" t="inlineStr">
        <is>
          <t>flareon-1</t>
        </is>
      </c>
      <c r="AO556" s="18" t="inlineStr">
        <is>
          <t>pokemon</t>
        </is>
      </c>
      <c r="AP556" s="18" t="inlineStr">
        <is>
          <t>natural</t>
        </is>
      </c>
      <c r="AQ556" s="18" t="inlineStr">
        <is>
          <t>{"biomes":["#cobblemon:is_badlands","#cobblemon:is_desert"],"maxSkyLight":15,"minSkyLight":8}</t>
        </is>
      </c>
      <c r="AR556" s="18" t="inlineStr"/>
      <c r="AS556" s="18" t="inlineStr"/>
      <c r="AT556" s="19" t="inlineStr"/>
    </row>
    <row r="557" ht="32" customHeight="1">
      <c r="A557" s="18" t="inlineStr">
        <is>
          <t>0136_flareon.json::flareon-2::002</t>
        </is>
      </c>
      <c r="B557" s="19" t="inlineStr">
        <is>
          <t>사용</t>
        </is>
      </c>
      <c r="C557" s="18">
        <f>IF(OR(B557&lt;&gt;AK557,M557&lt;&gt;L557,O557&lt;&gt;"",Q557&lt;&gt;"",V557&lt;&gt;1,Y557&lt;&gt;"",AT557&lt;&gt;""),"수정","원본")</f>
        <v/>
      </c>
      <c r="D557" s="18" t="n">
        <v>136</v>
      </c>
      <c r="E557" s="18" t="inlineStr">
        <is>
          <t>부스터</t>
        </is>
      </c>
      <c r="F557" s="18" t="inlineStr">
        <is>
          <t>flareon</t>
        </is>
      </c>
      <c r="G557" s="18" t="inlineStr">
        <is>
          <t>flareon</t>
        </is>
      </c>
      <c r="H557" s="18" t="inlineStr"/>
      <c r="I557" s="18" t="n">
        <v>1</v>
      </c>
      <c r="J557" s="18" t="n"/>
      <c r="K557" s="18" t="n">
        <v>1</v>
      </c>
      <c r="L557" s="18" t="inlineStr">
        <is>
          <t>cobbleventure:generation_1</t>
        </is>
      </c>
      <c r="M557" s="19" t="inlineStr">
        <is>
          <t>cobbleventure:generation_1</t>
        </is>
      </c>
      <c r="N557" s="18" t="inlineStr">
        <is>
          <t>region_01; region_02</t>
        </is>
      </c>
      <c r="O557" s="19" t="inlineStr"/>
      <c r="P557" s="18" t="inlineStr">
        <is>
          <t>#cobblemon:is_overworld</t>
        </is>
      </c>
      <c r="Q557" s="19" t="inlineStr"/>
      <c r="R557" s="18">
        <f>IF(Q557="",P557,Q557)</f>
        <v/>
      </c>
      <c r="S557" s="18" t="inlineStr"/>
      <c r="T557" s="18" t="inlineStr">
        <is>
          <t>uncommon</t>
        </is>
      </c>
      <c r="U557" s="20" t="n">
        <v>0.02</v>
      </c>
      <c r="V557" s="21" t="n">
        <v>1</v>
      </c>
      <c r="W557" s="20">
        <f>IF(OR(U557="",V557=""),U557,U557*V557)</f>
        <v/>
      </c>
      <c r="X557" s="18" t="inlineStr">
        <is>
          <t>28-53</t>
        </is>
      </c>
      <c r="Y557" s="19" t="inlineStr"/>
      <c r="Z557" s="18">
        <f>IF(Y557="",X557,Y557)</f>
        <v/>
      </c>
      <c r="AA557" s="18" t="inlineStr">
        <is>
          <t>grounded</t>
        </is>
      </c>
      <c r="AB557" s="18" t="inlineStr"/>
      <c r="AC557" s="18" t="inlineStr"/>
      <c r="AD557" s="18" t="inlineStr"/>
      <c r="AE557" s="18" t="inlineStr">
        <is>
          <t>sky 8-15</t>
        </is>
      </c>
      <c r="AF557" s="18" t="inlineStr"/>
      <c r="AG557" s="18" t="inlineStr"/>
      <c r="AH557" s="18" t="inlineStr"/>
      <c r="AI557" s="18" t="inlineStr"/>
      <c r="AJ557" s="18" t="inlineStr">
        <is>
          <t>Cobblemon 동일</t>
        </is>
      </c>
      <c r="AK557" s="18" t="inlineStr">
        <is>
          <t>사용</t>
        </is>
      </c>
      <c r="AL557" s="18" t="inlineStr">
        <is>
          <t>COBBLEVERSE 1.7.42 / DP v31</t>
        </is>
      </c>
      <c r="AM557" s="18" t="inlineStr">
        <is>
          <t>data/cobblemon/spawn_pool_world/0136_flareon.json</t>
        </is>
      </c>
      <c r="AN557" s="18" t="inlineStr">
        <is>
          <t>flareon-2</t>
        </is>
      </c>
      <c r="AO557" s="18" t="inlineStr">
        <is>
          <t>pokemon</t>
        </is>
      </c>
      <c r="AP557" s="18" t="inlineStr">
        <is>
          <t>natural; urban</t>
        </is>
      </c>
      <c r="AQ557" s="18" t="inlineStr">
        <is>
          <t>{"biomes":["#cobblemon:is_overworld"],"maxSkyLight":15,"minSkyLight":8}</t>
        </is>
      </c>
      <c r="AR557" s="18" t="inlineStr"/>
      <c r="AS557" s="18" t="inlineStr"/>
      <c r="AT557" s="19" t="inlineStr"/>
    </row>
    <row r="558" ht="32" customHeight="1">
      <c r="A558" s="18" t="inlineStr">
        <is>
          <t>0136_flareon.json::flareon-3::003</t>
        </is>
      </c>
      <c r="B558" s="19" t="inlineStr">
        <is>
          <t>사용</t>
        </is>
      </c>
      <c r="C558" s="18">
        <f>IF(OR(B558&lt;&gt;AK558,M558&lt;&gt;L558,O558&lt;&gt;"",Q558&lt;&gt;"",V558&lt;&gt;1,Y558&lt;&gt;"",AT558&lt;&gt;""),"수정","원본")</f>
        <v/>
      </c>
      <c r="D558" s="18" t="n">
        <v>136</v>
      </c>
      <c r="E558" s="18" t="inlineStr">
        <is>
          <t>부스터</t>
        </is>
      </c>
      <c r="F558" s="18" t="inlineStr">
        <is>
          <t>flareon</t>
        </is>
      </c>
      <c r="G558" s="18" t="inlineStr">
        <is>
          <t>flareon</t>
        </is>
      </c>
      <c r="H558" s="18" t="inlineStr"/>
      <c r="I558" s="18" t="n">
        <v>1</v>
      </c>
      <c r="J558" s="18" t="n"/>
      <c r="K558" s="18" t="n">
        <v>1</v>
      </c>
      <c r="L558" s="18" t="inlineStr">
        <is>
          <t>cobbleventure:generation_1</t>
        </is>
      </c>
      <c r="M558" s="19" t="inlineStr">
        <is>
          <t>cobbleventure:generation_1</t>
        </is>
      </c>
      <c r="N558" s="18" t="inlineStr">
        <is>
          <t>region_01; region_02</t>
        </is>
      </c>
      <c r="O558" s="19" t="inlineStr"/>
      <c r="P558" s="18" t="inlineStr">
        <is>
          <t>#cobblemon:is_overworld</t>
        </is>
      </c>
      <c r="Q558" s="19" t="inlineStr"/>
      <c r="R558" s="18">
        <f>IF(Q558="",P558,Q558)</f>
        <v/>
      </c>
      <c r="S558" s="18" t="inlineStr"/>
      <c r="T558" s="18" t="inlineStr">
        <is>
          <t>uncommon</t>
        </is>
      </c>
      <c r="U558" s="20" t="n">
        <v>0.02</v>
      </c>
      <c r="V558" s="21" t="n">
        <v>1</v>
      </c>
      <c r="W558" s="20">
        <f>IF(OR(U558="",V558=""),U558,U558*V558)</f>
        <v/>
      </c>
      <c r="X558" s="18" t="inlineStr">
        <is>
          <t>28-53</t>
        </is>
      </c>
      <c r="Y558" s="19" t="inlineStr"/>
      <c r="Z558" s="18">
        <f>IF(Y558="",X558,Y558)</f>
        <v/>
      </c>
      <c r="AA558" s="18" t="inlineStr">
        <is>
          <t>grounded</t>
        </is>
      </c>
      <c r="AB558" s="18" t="inlineStr"/>
      <c r="AC558" s="18" t="inlineStr"/>
      <c r="AD558" s="18" t="inlineStr"/>
      <c r="AE558" s="18" t="inlineStr">
        <is>
          <t>sky 8-15</t>
        </is>
      </c>
      <c r="AF558" s="18" t="inlineStr"/>
      <c r="AG558" s="18" t="inlineStr">
        <is>
          <t>#minecraft:village</t>
        </is>
      </c>
      <c r="AH558" s="18" t="inlineStr"/>
      <c r="AI558" s="18" t="inlineStr"/>
      <c r="AJ558" s="18" t="inlineStr">
        <is>
          <t>Cobblemon 동일</t>
        </is>
      </c>
      <c r="AK558" s="18" t="inlineStr">
        <is>
          <t>사용</t>
        </is>
      </c>
      <c r="AL558" s="18" t="inlineStr">
        <is>
          <t>COBBLEVERSE 1.7.42 / DP v31</t>
        </is>
      </c>
      <c r="AM558" s="18" t="inlineStr">
        <is>
          <t>data/cobblemon/spawn_pool_world/0136_flareon.json</t>
        </is>
      </c>
      <c r="AN558" s="18" t="inlineStr">
        <is>
          <t>flareon-3</t>
        </is>
      </c>
      <c r="AO558" s="18" t="inlineStr">
        <is>
          <t>pokemon</t>
        </is>
      </c>
      <c r="AP558" s="18" t="inlineStr">
        <is>
          <t>natural</t>
        </is>
      </c>
      <c r="AQ558" s="18" t="inlineStr">
        <is>
          <t>{"biomes":["#cobblemon:is_overworld"],"maxSkyLight":15,"minSkyLight":8,"structures":["#minecraft:village"]}</t>
        </is>
      </c>
      <c r="AR558" s="18" t="inlineStr"/>
      <c r="AS558" s="18" t="inlineStr"/>
      <c r="AT558" s="19" t="inlineStr"/>
    </row>
    <row r="559" ht="32" customHeight="1">
      <c r="A559" s="18" t="inlineStr">
        <is>
          <t>0136_flareon.json::flareon-4::004</t>
        </is>
      </c>
      <c r="B559" s="19" t="inlineStr">
        <is>
          <t>사용</t>
        </is>
      </c>
      <c r="C559" s="18">
        <f>IF(OR(B559&lt;&gt;AK559,M559&lt;&gt;L559,O559&lt;&gt;"",Q559&lt;&gt;"",V559&lt;&gt;1,Y559&lt;&gt;"",AT559&lt;&gt;""),"수정","원본")</f>
        <v/>
      </c>
      <c r="D559" s="18" t="n">
        <v>136</v>
      </c>
      <c r="E559" s="18" t="inlineStr">
        <is>
          <t>부스터</t>
        </is>
      </c>
      <c r="F559" s="18" t="inlineStr">
        <is>
          <t>flareon</t>
        </is>
      </c>
      <c r="G559" s="18" t="inlineStr">
        <is>
          <t>flareon</t>
        </is>
      </c>
      <c r="H559" s="18" t="inlineStr"/>
      <c r="I559" s="18" t="n">
        <v>1</v>
      </c>
      <c r="J559" s="18" t="n"/>
      <c r="K559" s="18" t="n">
        <v>1</v>
      </c>
      <c r="L559" s="18" t="inlineStr">
        <is>
          <t>cobbleventure:generation_1</t>
        </is>
      </c>
      <c r="M559" s="19" t="inlineStr">
        <is>
          <t>cobbleventure:generation_1</t>
        </is>
      </c>
      <c r="N559" s="18" t="inlineStr">
        <is>
          <t>region_01; region_02</t>
        </is>
      </c>
      <c r="O559" s="19" t="inlineStr"/>
      <c r="P559" s="18" t="inlineStr">
        <is>
          <t>#cobblemon:is_overworld</t>
        </is>
      </c>
      <c r="Q559" s="19" t="inlineStr"/>
      <c r="R559" s="18">
        <f>IF(Q559="",P559,Q559)</f>
        <v/>
      </c>
      <c r="S559" s="18" t="inlineStr"/>
      <c r="T559" s="18" t="inlineStr">
        <is>
          <t>uncommon</t>
        </is>
      </c>
      <c r="U559" s="20" t="n">
        <v>0.1</v>
      </c>
      <c r="V559" s="21" t="n">
        <v>1</v>
      </c>
      <c r="W559" s="20">
        <f>IF(OR(U559="",V559=""),U559,U559*V559)</f>
        <v/>
      </c>
      <c r="X559" s="18" t="inlineStr">
        <is>
          <t>28-53</t>
        </is>
      </c>
      <c r="Y559" s="19" t="inlineStr"/>
      <c r="Z559" s="18">
        <f>IF(Y559="",X559,Y559)</f>
        <v/>
      </c>
      <c r="AA559" s="18" t="inlineStr">
        <is>
          <t>grounded</t>
        </is>
      </c>
      <c r="AB559" s="18" t="inlineStr"/>
      <c r="AC559" s="18" t="inlineStr"/>
      <c r="AD559" s="18" t="inlineStr"/>
      <c r="AE559" s="18" t="inlineStr"/>
      <c r="AF559" s="18" t="inlineStr">
        <is>
          <t>False</t>
        </is>
      </c>
      <c r="AG559" s="18" t="inlineStr"/>
      <c r="AH559" s="18" t="inlineStr"/>
      <c r="AI559" s="18" t="inlineStr"/>
      <c r="AJ559" s="18" t="inlineStr">
        <is>
          <t>Cobblemon 동일</t>
        </is>
      </c>
      <c r="AK559" s="18" t="inlineStr">
        <is>
          <t>사용</t>
        </is>
      </c>
      <c r="AL559" s="18" t="inlineStr">
        <is>
          <t>COBBLEVERSE 1.7.42 / DP v31</t>
        </is>
      </c>
      <c r="AM559" s="18" t="inlineStr">
        <is>
          <t>data/cobblemon/spawn_pool_world/0136_flareon.json</t>
        </is>
      </c>
      <c r="AN559" s="18" t="inlineStr">
        <is>
          <t>flareon-4</t>
        </is>
      </c>
      <c r="AO559" s="18" t="inlineStr">
        <is>
          <t>pokemon</t>
        </is>
      </c>
      <c r="AP559" s="18" t="inlineStr">
        <is>
          <t>mansion</t>
        </is>
      </c>
      <c r="AQ559" s="18" t="inlineStr">
        <is>
          <t>{"biomes":["#cobblemon:is_overworld"],"canSeeSky":false}</t>
        </is>
      </c>
      <c r="AR559" s="18" t="inlineStr"/>
      <c r="AS559" s="18" t="inlineStr"/>
      <c r="AT559" s="19" t="inlineStr"/>
    </row>
    <row r="560" ht="32" customHeight="1">
      <c r="A560" s="18" t="inlineStr">
        <is>
          <t>0137_porygon.json::porygon-1::001</t>
        </is>
      </c>
      <c r="B560" s="19" t="inlineStr">
        <is>
          <t>사용</t>
        </is>
      </c>
      <c r="C560" s="18">
        <f>IF(OR(B560&lt;&gt;AK560,M560&lt;&gt;L560,O560&lt;&gt;"",Q560&lt;&gt;"",V560&lt;&gt;1,Y560&lt;&gt;"",AT560&lt;&gt;""),"수정","원본")</f>
        <v/>
      </c>
      <c r="D560" s="18" t="n">
        <v>137</v>
      </c>
      <c r="E560" s="18" t="inlineStr">
        <is>
          <t>폴리곤</t>
        </is>
      </c>
      <c r="F560" s="18" t="inlineStr">
        <is>
          <t>porygon</t>
        </is>
      </c>
      <c r="G560" s="18" t="inlineStr">
        <is>
          <t>porygon</t>
        </is>
      </c>
      <c r="H560" s="18" t="inlineStr"/>
      <c r="I560" s="18" t="n">
        <v>1</v>
      </c>
      <c r="J560" s="18" t="n"/>
      <c r="K560" s="18" t="n">
        <v>1</v>
      </c>
      <c r="L560" s="18" t="inlineStr">
        <is>
          <t>cobbleventure:generation_1</t>
        </is>
      </c>
      <c r="M560" s="19" t="inlineStr">
        <is>
          <t>cobbleventure:generation_1</t>
        </is>
      </c>
      <c r="N560" s="18" t="inlineStr"/>
      <c r="O560" s="19" t="inlineStr"/>
      <c r="P560" s="18" t="inlineStr">
        <is>
          <t>#cobblemon:is_end</t>
        </is>
      </c>
      <c r="Q560" s="19" t="inlineStr"/>
      <c r="R560" s="18">
        <f>IF(Q560="",P560,Q560)</f>
        <v/>
      </c>
      <c r="S560" s="18" t="inlineStr"/>
      <c r="T560" s="18" t="inlineStr">
        <is>
          <t>uncommon</t>
        </is>
      </c>
      <c r="U560" s="20" t="n">
        <v>7</v>
      </c>
      <c r="V560" s="21" t="n">
        <v>1</v>
      </c>
      <c r="W560" s="20">
        <f>IF(OR(U560="",V560=""),U560,U560*V560)</f>
        <v/>
      </c>
      <c r="X560" s="18" t="inlineStr">
        <is>
          <t>45-68</t>
        </is>
      </c>
      <c r="Y560" s="19" t="inlineStr"/>
      <c r="Z560" s="18">
        <f>IF(Y560="",X560,Y560)</f>
        <v/>
      </c>
      <c r="AA560" s="18" t="inlineStr">
        <is>
          <t>grounded</t>
        </is>
      </c>
      <c r="AB560" s="18" t="inlineStr"/>
      <c r="AC560" s="18" t="inlineStr"/>
      <c r="AD560" s="18" t="inlineStr"/>
      <c r="AE560" s="18" t="inlineStr"/>
      <c r="AF560" s="18" t="inlineStr"/>
      <c r="AG560" s="18" t="inlineStr"/>
      <c r="AH560" s="18" t="inlineStr"/>
      <c r="AI560" s="18" t="inlineStr"/>
      <c r="AJ560" s="18" t="inlineStr">
        <is>
          <t>COBBLEVERSE 수정</t>
        </is>
      </c>
      <c r="AK560" s="18" t="inlineStr">
        <is>
          <t>사용</t>
        </is>
      </c>
      <c r="AL560" s="18" t="inlineStr">
        <is>
          <t>COBBLEVERSE 1.7.42 / DP v31</t>
        </is>
      </c>
      <c r="AM560" s="18" t="inlineStr">
        <is>
          <t>data/cobblemon/spawn_pool_world/0137_porygon.json</t>
        </is>
      </c>
      <c r="AN560" s="18" t="inlineStr">
        <is>
          <t>porygon-1</t>
        </is>
      </c>
      <c r="AO560" s="18" t="inlineStr">
        <is>
          <t>pokemon</t>
        </is>
      </c>
      <c r="AP560" s="18" t="inlineStr"/>
      <c r="AQ560" s="18" t="inlineStr">
        <is>
          <t>{"biomes":["#cobblemon:is_end"]}</t>
        </is>
      </c>
      <c r="AR560" s="18" t="inlineStr"/>
      <c r="AS560" s="18" t="inlineStr"/>
      <c r="AT560" s="19" t="inlineStr"/>
    </row>
    <row r="561" ht="32" customHeight="1">
      <c r="A561" s="18" t="inlineStr">
        <is>
          <t>0138_omanyte.json::omanyte-1::001</t>
        </is>
      </c>
      <c r="B561" s="19" t="inlineStr">
        <is>
          <t>사용</t>
        </is>
      </c>
      <c r="C561" s="18">
        <f>IF(OR(B561&lt;&gt;AK561,M561&lt;&gt;L561,O561&lt;&gt;"",Q561&lt;&gt;"",V561&lt;&gt;1,Y561&lt;&gt;"",AT561&lt;&gt;""),"수정","원본")</f>
        <v/>
      </c>
      <c r="D561" s="18" t="n">
        <v>138</v>
      </c>
      <c r="E561" s="18" t="inlineStr">
        <is>
          <t>암나이트</t>
        </is>
      </c>
      <c r="F561" s="18" t="inlineStr">
        <is>
          <t>omanyte</t>
        </is>
      </c>
      <c r="G561" s="18" t="inlineStr">
        <is>
          <t>omanyte</t>
        </is>
      </c>
      <c r="H561" s="18" t="inlineStr"/>
      <c r="I561" s="18" t="n">
        <v>1</v>
      </c>
      <c r="J561" s="18" t="n"/>
      <c r="K561" s="18" t="n">
        <v>1</v>
      </c>
      <c r="L561" s="18" t="inlineStr">
        <is>
          <t>cobbleventure:generation_1</t>
        </is>
      </c>
      <c r="M561" s="19" t="inlineStr">
        <is>
          <t>cobbleventure:generation_1</t>
        </is>
      </c>
      <c r="N561" s="18" t="inlineStr"/>
      <c r="O561" s="19" t="inlineStr"/>
      <c r="P561" s="18" t="inlineStr">
        <is>
          <t>#cobblemon:is_lush</t>
        </is>
      </c>
      <c r="Q561" s="19" t="inlineStr"/>
      <c r="R561" s="18">
        <f>IF(Q561="",P561,Q561)</f>
        <v/>
      </c>
      <c r="S561" s="18" t="inlineStr"/>
      <c r="T561" s="18" t="inlineStr">
        <is>
          <t>ultra-rare</t>
        </is>
      </c>
      <c r="U561" s="20" t="n">
        <v>6</v>
      </c>
      <c r="V561" s="21" t="n">
        <v>1</v>
      </c>
      <c r="W561" s="20">
        <f>IF(OR(U561="",V561=""),U561,U561*V561)</f>
        <v/>
      </c>
      <c r="X561" s="18" t="inlineStr">
        <is>
          <t>11-36</t>
        </is>
      </c>
      <c r="Y561" s="19" t="inlineStr"/>
      <c r="Z561" s="18">
        <f>IF(Y561="",X561,Y561)</f>
        <v/>
      </c>
      <c r="AA561" s="18" t="inlineStr">
        <is>
          <t>grounded</t>
        </is>
      </c>
      <c r="AB561" s="18" t="inlineStr"/>
      <c r="AC561" s="18" t="inlineStr"/>
      <c r="AD561" s="18" t="inlineStr"/>
      <c r="AE561" s="18" t="inlineStr">
        <is>
          <t>sky 0-7</t>
        </is>
      </c>
      <c r="AF561" s="18" t="inlineStr"/>
      <c r="AG561" s="18" t="inlineStr"/>
      <c r="AH561" s="18" t="inlineStr"/>
      <c r="AI561" s="18" t="inlineStr"/>
      <c r="AJ561" s="18" t="inlineStr">
        <is>
          <t>Cobblemon 동일</t>
        </is>
      </c>
      <c r="AK561" s="18" t="inlineStr">
        <is>
          <t>사용</t>
        </is>
      </c>
      <c r="AL561" s="18" t="inlineStr">
        <is>
          <t>COBBLEVERSE 1.7.42 / DP v31</t>
        </is>
      </c>
      <c r="AM561" s="18" t="inlineStr">
        <is>
          <t>data/cobblemon/spawn_pool_world/0138_omanyte.json</t>
        </is>
      </c>
      <c r="AN561" s="18" t="inlineStr">
        <is>
          <t>omanyte-1</t>
        </is>
      </c>
      <c r="AO561" s="18" t="inlineStr">
        <is>
          <t>pokemon</t>
        </is>
      </c>
      <c r="AP561" s="18" t="inlineStr">
        <is>
          <t>natural</t>
        </is>
      </c>
      <c r="AQ561" s="18" t="inlineStr">
        <is>
          <t>{"biomes":["#cobblemon:is_lush"],"maxSkyLight":7,"minSkyLight":0}</t>
        </is>
      </c>
      <c r="AR561" s="18" t="inlineStr"/>
      <c r="AS561" s="18" t="inlineStr"/>
      <c r="AT561" s="19" t="inlineStr"/>
    </row>
    <row r="562" ht="32" customHeight="1">
      <c r="A562" s="18" t="inlineStr">
        <is>
          <t>0138_omanyte.json::omanyte-2::002</t>
        </is>
      </c>
      <c r="B562" s="19" t="inlineStr">
        <is>
          <t>사용</t>
        </is>
      </c>
      <c r="C562" s="18">
        <f>IF(OR(B562&lt;&gt;AK562,M562&lt;&gt;L562,O562&lt;&gt;"",Q562&lt;&gt;"",V562&lt;&gt;1,Y562&lt;&gt;"",AT562&lt;&gt;""),"수정","원본")</f>
        <v/>
      </c>
      <c r="D562" s="18" t="n">
        <v>138</v>
      </c>
      <c r="E562" s="18" t="inlineStr">
        <is>
          <t>암나이트</t>
        </is>
      </c>
      <c r="F562" s="18" t="inlineStr">
        <is>
          <t>omanyte</t>
        </is>
      </c>
      <c r="G562" s="18" t="inlineStr">
        <is>
          <t>omanyte</t>
        </is>
      </c>
      <c r="H562" s="18" t="inlineStr"/>
      <c r="I562" s="18" t="n">
        <v>1</v>
      </c>
      <c r="J562" s="18" t="n"/>
      <c r="K562" s="18" t="n">
        <v>1</v>
      </c>
      <c r="L562" s="18" t="inlineStr">
        <is>
          <t>cobbleventure:generation_1</t>
        </is>
      </c>
      <c r="M562" s="19" t="inlineStr">
        <is>
          <t>cobbleventure:generation_1</t>
        </is>
      </c>
      <c r="N562" s="18" t="inlineStr"/>
      <c r="O562" s="19" t="inlineStr"/>
      <c r="P562" s="18" t="inlineStr">
        <is>
          <t>#cobblemon:is_lush</t>
        </is>
      </c>
      <c r="Q562" s="19" t="inlineStr"/>
      <c r="R562" s="18">
        <f>IF(Q562="",P562,Q562)</f>
        <v/>
      </c>
      <c r="S562" s="18" t="inlineStr"/>
      <c r="T562" s="18" t="inlineStr">
        <is>
          <t>ultra-rare</t>
        </is>
      </c>
      <c r="U562" s="20" t="n">
        <v>6</v>
      </c>
      <c r="V562" s="21" t="n">
        <v>1</v>
      </c>
      <c r="W562" s="20">
        <f>IF(OR(U562="",V562=""),U562,U562*V562)</f>
        <v/>
      </c>
      <c r="X562" s="18" t="inlineStr">
        <is>
          <t>11-36</t>
        </is>
      </c>
      <c r="Y562" s="19" t="inlineStr"/>
      <c r="Z562" s="18">
        <f>IF(Y562="",X562,Y562)</f>
        <v/>
      </c>
      <c r="AA562" s="18" t="inlineStr">
        <is>
          <t>submerged</t>
        </is>
      </c>
      <c r="AB562" s="18" t="inlineStr"/>
      <c r="AC562" s="18" t="inlineStr"/>
      <c r="AD562" s="18" t="inlineStr"/>
      <c r="AE562" s="18" t="inlineStr">
        <is>
          <t>sky 0-7</t>
        </is>
      </c>
      <c r="AF562" s="18" t="inlineStr"/>
      <c r="AG562" s="18" t="inlineStr"/>
      <c r="AH562" s="18" t="inlineStr"/>
      <c r="AI562" s="18" t="inlineStr"/>
      <c r="AJ562" s="18" t="inlineStr">
        <is>
          <t>Cobblemon 동일</t>
        </is>
      </c>
      <c r="AK562" s="18" t="inlineStr">
        <is>
          <t>사용</t>
        </is>
      </c>
      <c r="AL562" s="18" t="inlineStr">
        <is>
          <t>COBBLEVERSE 1.7.42 / DP v31</t>
        </is>
      </c>
      <c r="AM562" s="18" t="inlineStr">
        <is>
          <t>data/cobblemon/spawn_pool_world/0138_omanyte.json</t>
        </is>
      </c>
      <c r="AN562" s="18" t="inlineStr">
        <is>
          <t>omanyte-2</t>
        </is>
      </c>
      <c r="AO562" s="18" t="inlineStr">
        <is>
          <t>pokemon</t>
        </is>
      </c>
      <c r="AP562" s="18" t="inlineStr">
        <is>
          <t>water</t>
        </is>
      </c>
      <c r="AQ562" s="18" t="inlineStr">
        <is>
          <t>{"biomes":["#cobblemon:is_lush"],"maxSkyLight":7,"minSkyLight":0}</t>
        </is>
      </c>
      <c r="AR562" s="18" t="inlineStr"/>
      <c r="AS562" s="18" t="inlineStr"/>
      <c r="AT562" s="19" t="inlineStr"/>
    </row>
    <row r="563" ht="32" customHeight="1">
      <c r="A563" s="18" t="inlineStr">
        <is>
          <t>0139_omastar.json::omastar-1::001</t>
        </is>
      </c>
      <c r="B563" s="19" t="inlineStr">
        <is>
          <t>사용</t>
        </is>
      </c>
      <c r="C563" s="18">
        <f>IF(OR(B563&lt;&gt;AK563,M563&lt;&gt;L563,O563&lt;&gt;"",Q563&lt;&gt;"",V563&lt;&gt;1,Y563&lt;&gt;"",AT563&lt;&gt;""),"수정","원본")</f>
        <v/>
      </c>
      <c r="D563" s="18" t="n">
        <v>139</v>
      </c>
      <c r="E563" s="18" t="inlineStr">
        <is>
          <t>암스타</t>
        </is>
      </c>
      <c r="F563" s="18" t="inlineStr">
        <is>
          <t>omastar</t>
        </is>
      </c>
      <c r="G563" s="18" t="inlineStr">
        <is>
          <t>omastar</t>
        </is>
      </c>
      <c r="H563" s="18" t="inlineStr"/>
      <c r="I563" s="18" t="n">
        <v>1</v>
      </c>
      <c r="J563" s="18" t="n"/>
      <c r="K563" s="18" t="n">
        <v>1</v>
      </c>
      <c r="L563" s="18" t="inlineStr">
        <is>
          <t>cobbleventure:generation_1</t>
        </is>
      </c>
      <c r="M563" s="19" t="inlineStr">
        <is>
          <t>cobbleventure:generation_1</t>
        </is>
      </c>
      <c r="N563" s="18" t="inlineStr"/>
      <c r="O563" s="19" t="inlineStr"/>
      <c r="P563" s="18" t="inlineStr">
        <is>
          <t>#cobblemon:is_lush</t>
        </is>
      </c>
      <c r="Q563" s="19" t="inlineStr"/>
      <c r="R563" s="18">
        <f>IF(Q563="",P563,Q563)</f>
        <v/>
      </c>
      <c r="S563" s="18" t="inlineStr"/>
      <c r="T563" s="18" t="inlineStr">
        <is>
          <t>ultra-rare</t>
        </is>
      </c>
      <c r="U563" s="20" t="n">
        <v>4</v>
      </c>
      <c r="V563" s="21" t="n">
        <v>1</v>
      </c>
      <c r="W563" s="20">
        <f>IF(OR(U563="",V563=""),U563,U563*V563)</f>
        <v/>
      </c>
      <c r="X563" s="18" t="inlineStr">
        <is>
          <t>40-50</t>
        </is>
      </c>
      <c r="Y563" s="19" t="inlineStr"/>
      <c r="Z563" s="18">
        <f>IF(Y563="",X563,Y563)</f>
        <v/>
      </c>
      <c r="AA563" s="18" t="inlineStr">
        <is>
          <t>grounded</t>
        </is>
      </c>
      <c r="AB563" s="18" t="inlineStr"/>
      <c r="AC563" s="18" t="inlineStr"/>
      <c r="AD563" s="18" t="inlineStr"/>
      <c r="AE563" s="18" t="inlineStr">
        <is>
          <t>sky 0-7</t>
        </is>
      </c>
      <c r="AF563" s="18" t="inlineStr"/>
      <c r="AG563" s="18" t="inlineStr"/>
      <c r="AH563" s="18" t="inlineStr"/>
      <c r="AI563" s="18" t="inlineStr"/>
      <c r="AJ563" s="18" t="inlineStr">
        <is>
          <t>Cobblemon 동일</t>
        </is>
      </c>
      <c r="AK563" s="18" t="inlineStr">
        <is>
          <t>사용</t>
        </is>
      </c>
      <c r="AL563" s="18" t="inlineStr">
        <is>
          <t>COBBLEVERSE 1.7.42 / DP v31</t>
        </is>
      </c>
      <c r="AM563" s="18" t="inlineStr">
        <is>
          <t>data/cobblemon/spawn_pool_world/0139_omastar.json</t>
        </is>
      </c>
      <c r="AN563" s="18" t="inlineStr">
        <is>
          <t>omastar-1</t>
        </is>
      </c>
      <c r="AO563" s="18" t="inlineStr">
        <is>
          <t>pokemon</t>
        </is>
      </c>
      <c r="AP563" s="18" t="inlineStr">
        <is>
          <t>natural</t>
        </is>
      </c>
      <c r="AQ563" s="18" t="inlineStr">
        <is>
          <t>{"biomes":["#cobblemon:is_lush"],"maxSkyLight":7,"minSkyLight":0}</t>
        </is>
      </c>
      <c r="AR563" s="18" t="inlineStr"/>
      <c r="AS563" s="18" t="inlineStr"/>
      <c r="AT563" s="19" t="inlineStr"/>
    </row>
    <row r="564" ht="32" customHeight="1">
      <c r="A564" s="18" t="inlineStr">
        <is>
          <t>0139_omastar.json::omastar-2::002</t>
        </is>
      </c>
      <c r="B564" s="19" t="inlineStr">
        <is>
          <t>사용</t>
        </is>
      </c>
      <c r="C564" s="18">
        <f>IF(OR(B564&lt;&gt;AK564,M564&lt;&gt;L564,O564&lt;&gt;"",Q564&lt;&gt;"",V564&lt;&gt;1,Y564&lt;&gt;"",AT564&lt;&gt;""),"수정","원본")</f>
        <v/>
      </c>
      <c r="D564" s="18" t="n">
        <v>139</v>
      </c>
      <c r="E564" s="18" t="inlineStr">
        <is>
          <t>암스타</t>
        </is>
      </c>
      <c r="F564" s="18" t="inlineStr">
        <is>
          <t>omastar</t>
        </is>
      </c>
      <c r="G564" s="18" t="inlineStr">
        <is>
          <t>omastar</t>
        </is>
      </c>
      <c r="H564" s="18" t="inlineStr"/>
      <c r="I564" s="18" t="n">
        <v>1</v>
      </c>
      <c r="J564" s="18" t="n"/>
      <c r="K564" s="18" t="n">
        <v>1</v>
      </c>
      <c r="L564" s="18" t="inlineStr">
        <is>
          <t>cobbleventure:generation_1</t>
        </is>
      </c>
      <c r="M564" s="19" t="inlineStr">
        <is>
          <t>cobbleventure:generation_1</t>
        </is>
      </c>
      <c r="N564" s="18" t="inlineStr"/>
      <c r="O564" s="19" t="inlineStr"/>
      <c r="P564" s="18" t="inlineStr">
        <is>
          <t>#cobblemon:is_lush</t>
        </is>
      </c>
      <c r="Q564" s="19" t="inlineStr"/>
      <c r="R564" s="18">
        <f>IF(Q564="",P564,Q564)</f>
        <v/>
      </c>
      <c r="S564" s="18" t="inlineStr"/>
      <c r="T564" s="18" t="inlineStr">
        <is>
          <t>ultra-rare</t>
        </is>
      </c>
      <c r="U564" s="20" t="n">
        <v>4</v>
      </c>
      <c r="V564" s="21" t="n">
        <v>1</v>
      </c>
      <c r="W564" s="20">
        <f>IF(OR(U564="",V564=""),U564,U564*V564)</f>
        <v/>
      </c>
      <c r="X564" s="18" t="inlineStr">
        <is>
          <t>40-50</t>
        </is>
      </c>
      <c r="Y564" s="19" t="inlineStr"/>
      <c r="Z564" s="18">
        <f>IF(Y564="",X564,Y564)</f>
        <v/>
      </c>
      <c r="AA564" s="18" t="inlineStr">
        <is>
          <t>submerged</t>
        </is>
      </c>
      <c r="AB564" s="18" t="inlineStr"/>
      <c r="AC564" s="18" t="inlineStr"/>
      <c r="AD564" s="18" t="inlineStr"/>
      <c r="AE564" s="18" t="inlineStr">
        <is>
          <t>sky 0-7</t>
        </is>
      </c>
      <c r="AF564" s="18" t="inlineStr"/>
      <c r="AG564" s="18" t="inlineStr"/>
      <c r="AH564" s="18" t="inlineStr"/>
      <c r="AI564" s="18" t="inlineStr"/>
      <c r="AJ564" s="18" t="inlineStr">
        <is>
          <t>Cobblemon 동일</t>
        </is>
      </c>
      <c r="AK564" s="18" t="inlineStr">
        <is>
          <t>사용</t>
        </is>
      </c>
      <c r="AL564" s="18" t="inlineStr">
        <is>
          <t>COBBLEVERSE 1.7.42 / DP v31</t>
        </is>
      </c>
      <c r="AM564" s="18" t="inlineStr">
        <is>
          <t>data/cobblemon/spawn_pool_world/0139_omastar.json</t>
        </is>
      </c>
      <c r="AN564" s="18" t="inlineStr">
        <is>
          <t>omastar-2</t>
        </is>
      </c>
      <c r="AO564" s="18" t="inlineStr">
        <is>
          <t>pokemon</t>
        </is>
      </c>
      <c r="AP564" s="18" t="inlineStr">
        <is>
          <t>water</t>
        </is>
      </c>
      <c r="AQ564" s="18" t="inlineStr">
        <is>
          <t>{"biomes":["#cobblemon:is_lush"],"maxSkyLight":7,"minSkyLight":0}</t>
        </is>
      </c>
      <c r="AR564" s="18" t="inlineStr"/>
      <c r="AS564" s="18" t="inlineStr"/>
      <c r="AT564" s="19" t="inlineStr"/>
    </row>
    <row r="565" ht="32" customHeight="1">
      <c r="A565" s="18" t="inlineStr">
        <is>
          <t>0140_kabuto.json::kabuto-1::001</t>
        </is>
      </c>
      <c r="B565" s="19" t="inlineStr">
        <is>
          <t>사용</t>
        </is>
      </c>
      <c r="C565" s="18">
        <f>IF(OR(B565&lt;&gt;AK565,M565&lt;&gt;L565,O565&lt;&gt;"",Q565&lt;&gt;"",V565&lt;&gt;1,Y565&lt;&gt;"",AT565&lt;&gt;""),"수정","원본")</f>
        <v/>
      </c>
      <c r="D565" s="18" t="n">
        <v>140</v>
      </c>
      <c r="E565" s="18" t="inlineStr">
        <is>
          <t>투구</t>
        </is>
      </c>
      <c r="F565" s="18" t="inlineStr">
        <is>
          <t>kabuto</t>
        </is>
      </c>
      <c r="G565" s="18" t="inlineStr">
        <is>
          <t>kabuto</t>
        </is>
      </c>
      <c r="H565" s="18" t="inlineStr"/>
      <c r="I565" s="18" t="n">
        <v>1</v>
      </c>
      <c r="J565" s="18" t="n"/>
      <c r="K565" s="18" t="n">
        <v>1</v>
      </c>
      <c r="L565" s="18" t="inlineStr">
        <is>
          <t>cobbleventure:generation_1</t>
        </is>
      </c>
      <c r="M565" s="19" t="inlineStr">
        <is>
          <t>cobbleventure:generation_1</t>
        </is>
      </c>
      <c r="N565" s="18" t="inlineStr"/>
      <c r="O565" s="19" t="inlineStr"/>
      <c r="P565" s="18" t="inlineStr">
        <is>
          <t>#cobblemon:is_lush</t>
        </is>
      </c>
      <c r="Q565" s="19" t="inlineStr"/>
      <c r="R565" s="18">
        <f>IF(Q565="",P565,Q565)</f>
        <v/>
      </c>
      <c r="S565" s="18" t="inlineStr"/>
      <c r="T565" s="18" t="inlineStr">
        <is>
          <t>ultra-rare</t>
        </is>
      </c>
      <c r="U565" s="20" t="n">
        <v>6</v>
      </c>
      <c r="V565" s="21" t="n">
        <v>1</v>
      </c>
      <c r="W565" s="20">
        <f>IF(OR(U565="",V565=""),U565,U565*V565)</f>
        <v/>
      </c>
      <c r="X565" s="18" t="inlineStr">
        <is>
          <t>11-36</t>
        </is>
      </c>
      <c r="Y565" s="19" t="inlineStr"/>
      <c r="Z565" s="18">
        <f>IF(Y565="",X565,Y565)</f>
        <v/>
      </c>
      <c r="AA565" s="18" t="inlineStr">
        <is>
          <t>grounded</t>
        </is>
      </c>
      <c r="AB565" s="18" t="inlineStr"/>
      <c r="AC565" s="18" t="inlineStr"/>
      <c r="AD565" s="18" t="inlineStr"/>
      <c r="AE565" s="18" t="inlineStr">
        <is>
          <t>sky 0-7</t>
        </is>
      </c>
      <c r="AF565" s="18" t="inlineStr"/>
      <c r="AG565" s="18" t="inlineStr"/>
      <c r="AH565" s="18" t="inlineStr"/>
      <c r="AI565" s="18" t="inlineStr"/>
      <c r="AJ565" s="18" t="inlineStr">
        <is>
          <t>Cobblemon 동일</t>
        </is>
      </c>
      <c r="AK565" s="18" t="inlineStr">
        <is>
          <t>사용</t>
        </is>
      </c>
      <c r="AL565" s="18" t="inlineStr">
        <is>
          <t>COBBLEVERSE 1.7.42 / DP v31</t>
        </is>
      </c>
      <c r="AM565" s="18" t="inlineStr">
        <is>
          <t>data/cobblemon/spawn_pool_world/0140_kabuto.json</t>
        </is>
      </c>
      <c r="AN565" s="18" t="inlineStr">
        <is>
          <t>kabuto-1</t>
        </is>
      </c>
      <c r="AO565" s="18" t="inlineStr">
        <is>
          <t>pokemon</t>
        </is>
      </c>
      <c r="AP565" s="18" t="inlineStr">
        <is>
          <t>natural</t>
        </is>
      </c>
      <c r="AQ565" s="18" t="inlineStr">
        <is>
          <t>{"biomes":["#cobblemon:is_lush"],"maxSkyLight":7,"minSkyLight":0}</t>
        </is>
      </c>
      <c r="AR565" s="18" t="inlineStr"/>
      <c r="AS565" s="18" t="inlineStr"/>
      <c r="AT565" s="19" t="inlineStr"/>
    </row>
    <row r="566" ht="32" customHeight="1">
      <c r="A566" s="18" t="inlineStr">
        <is>
          <t>0140_kabuto.json::kabuto-2::002</t>
        </is>
      </c>
      <c r="B566" s="19" t="inlineStr">
        <is>
          <t>사용</t>
        </is>
      </c>
      <c r="C566" s="18">
        <f>IF(OR(B566&lt;&gt;AK566,M566&lt;&gt;L566,O566&lt;&gt;"",Q566&lt;&gt;"",V566&lt;&gt;1,Y566&lt;&gt;"",AT566&lt;&gt;""),"수정","원본")</f>
        <v/>
      </c>
      <c r="D566" s="18" t="n">
        <v>140</v>
      </c>
      <c r="E566" s="18" t="inlineStr">
        <is>
          <t>투구</t>
        </is>
      </c>
      <c r="F566" s="18" t="inlineStr">
        <is>
          <t>kabuto</t>
        </is>
      </c>
      <c r="G566" s="18" t="inlineStr">
        <is>
          <t>kabuto</t>
        </is>
      </c>
      <c r="H566" s="18" t="inlineStr"/>
      <c r="I566" s="18" t="n">
        <v>1</v>
      </c>
      <c r="J566" s="18" t="n"/>
      <c r="K566" s="18" t="n">
        <v>1</v>
      </c>
      <c r="L566" s="18" t="inlineStr">
        <is>
          <t>cobbleventure:generation_1</t>
        </is>
      </c>
      <c r="M566" s="19" t="inlineStr">
        <is>
          <t>cobbleventure:generation_1</t>
        </is>
      </c>
      <c r="N566" s="18" t="inlineStr"/>
      <c r="O566" s="19" t="inlineStr"/>
      <c r="P566" s="18" t="inlineStr">
        <is>
          <t>#cobblemon:is_lush</t>
        </is>
      </c>
      <c r="Q566" s="19" t="inlineStr"/>
      <c r="R566" s="18">
        <f>IF(Q566="",P566,Q566)</f>
        <v/>
      </c>
      <c r="S566" s="18" t="inlineStr"/>
      <c r="T566" s="18" t="inlineStr">
        <is>
          <t>ultra-rare</t>
        </is>
      </c>
      <c r="U566" s="20" t="n">
        <v>6</v>
      </c>
      <c r="V566" s="21" t="n">
        <v>1</v>
      </c>
      <c r="W566" s="20">
        <f>IF(OR(U566="",V566=""),U566,U566*V566)</f>
        <v/>
      </c>
      <c r="X566" s="18" t="inlineStr">
        <is>
          <t>11-36</t>
        </is>
      </c>
      <c r="Y566" s="19" t="inlineStr"/>
      <c r="Z566" s="18">
        <f>IF(Y566="",X566,Y566)</f>
        <v/>
      </c>
      <c r="AA566" s="18" t="inlineStr">
        <is>
          <t>submerged</t>
        </is>
      </c>
      <c r="AB566" s="18" t="inlineStr"/>
      <c r="AC566" s="18" t="inlineStr"/>
      <c r="AD566" s="18" t="inlineStr"/>
      <c r="AE566" s="18" t="inlineStr">
        <is>
          <t>sky 0-7</t>
        </is>
      </c>
      <c r="AF566" s="18" t="inlineStr"/>
      <c r="AG566" s="18" t="inlineStr"/>
      <c r="AH566" s="18" t="inlineStr"/>
      <c r="AI566" s="18" t="inlineStr"/>
      <c r="AJ566" s="18" t="inlineStr">
        <is>
          <t>Cobblemon 동일</t>
        </is>
      </c>
      <c r="AK566" s="18" t="inlineStr">
        <is>
          <t>사용</t>
        </is>
      </c>
      <c r="AL566" s="18" t="inlineStr">
        <is>
          <t>COBBLEVERSE 1.7.42 / DP v31</t>
        </is>
      </c>
      <c r="AM566" s="18" t="inlineStr">
        <is>
          <t>data/cobblemon/spawn_pool_world/0140_kabuto.json</t>
        </is>
      </c>
      <c r="AN566" s="18" t="inlineStr">
        <is>
          <t>kabuto-2</t>
        </is>
      </c>
      <c r="AO566" s="18" t="inlineStr">
        <is>
          <t>pokemon</t>
        </is>
      </c>
      <c r="AP566" s="18" t="inlineStr">
        <is>
          <t>water</t>
        </is>
      </c>
      <c r="AQ566" s="18" t="inlineStr">
        <is>
          <t>{"biomes":["#cobblemon:is_lush"],"maxSkyLight":7,"minSkyLight":0}</t>
        </is>
      </c>
      <c r="AR566" s="18" t="inlineStr"/>
      <c r="AS566" s="18" t="inlineStr"/>
      <c r="AT566" s="19" t="inlineStr"/>
    </row>
    <row r="567" ht="32" customHeight="1">
      <c r="A567" s="18" t="inlineStr">
        <is>
          <t>0141_kabutops.json::kabutops-1::001</t>
        </is>
      </c>
      <c r="B567" s="19" t="inlineStr">
        <is>
          <t>사용</t>
        </is>
      </c>
      <c r="C567" s="18">
        <f>IF(OR(B567&lt;&gt;AK567,M567&lt;&gt;L567,O567&lt;&gt;"",Q567&lt;&gt;"",V567&lt;&gt;1,Y567&lt;&gt;"",AT567&lt;&gt;""),"수정","원본")</f>
        <v/>
      </c>
      <c r="D567" s="18" t="n">
        <v>141</v>
      </c>
      <c r="E567" s="18" t="inlineStr">
        <is>
          <t>투구푸스</t>
        </is>
      </c>
      <c r="F567" s="18" t="inlineStr">
        <is>
          <t>kabutops</t>
        </is>
      </c>
      <c r="G567" s="18" t="inlineStr">
        <is>
          <t>kabutops</t>
        </is>
      </c>
      <c r="H567" s="18" t="inlineStr"/>
      <c r="I567" s="18" t="n">
        <v>1</v>
      </c>
      <c r="J567" s="18" t="n"/>
      <c r="K567" s="18" t="n">
        <v>1</v>
      </c>
      <c r="L567" s="18" t="inlineStr">
        <is>
          <t>cobbleventure:generation_1</t>
        </is>
      </c>
      <c r="M567" s="19" t="inlineStr">
        <is>
          <t>cobbleventure:generation_1</t>
        </is>
      </c>
      <c r="N567" s="18" t="inlineStr"/>
      <c r="O567" s="19" t="inlineStr"/>
      <c r="P567" s="18" t="inlineStr">
        <is>
          <t>#cobblemon:is_lush</t>
        </is>
      </c>
      <c r="Q567" s="19" t="inlineStr"/>
      <c r="R567" s="18">
        <f>IF(Q567="",P567,Q567)</f>
        <v/>
      </c>
      <c r="S567" s="18" t="inlineStr"/>
      <c r="T567" s="18" t="inlineStr">
        <is>
          <t>ultra-rare</t>
        </is>
      </c>
      <c r="U567" s="20" t="n">
        <v>4</v>
      </c>
      <c r="V567" s="21" t="n">
        <v>1</v>
      </c>
      <c r="W567" s="20">
        <f>IF(OR(U567="",V567=""),U567,U567*V567)</f>
        <v/>
      </c>
      <c r="X567" s="18" t="inlineStr">
        <is>
          <t>40-50</t>
        </is>
      </c>
      <c r="Y567" s="19" t="inlineStr"/>
      <c r="Z567" s="18">
        <f>IF(Y567="",X567,Y567)</f>
        <v/>
      </c>
      <c r="AA567" s="18" t="inlineStr">
        <is>
          <t>grounded</t>
        </is>
      </c>
      <c r="AB567" s="18" t="inlineStr"/>
      <c r="AC567" s="18" t="inlineStr"/>
      <c r="AD567" s="18" t="inlineStr"/>
      <c r="AE567" s="18" t="inlineStr">
        <is>
          <t>sky 0-7</t>
        </is>
      </c>
      <c r="AF567" s="18" t="inlineStr"/>
      <c r="AG567" s="18" t="inlineStr"/>
      <c r="AH567" s="18" t="inlineStr"/>
      <c r="AI567" s="18" t="inlineStr"/>
      <c r="AJ567" s="18" t="inlineStr">
        <is>
          <t>Cobblemon 동일</t>
        </is>
      </c>
      <c r="AK567" s="18" t="inlineStr">
        <is>
          <t>사용</t>
        </is>
      </c>
      <c r="AL567" s="18" t="inlineStr">
        <is>
          <t>COBBLEVERSE 1.7.42 / DP v31</t>
        </is>
      </c>
      <c r="AM567" s="18" t="inlineStr">
        <is>
          <t>data/cobblemon/spawn_pool_world/0141_kabutops.json</t>
        </is>
      </c>
      <c r="AN567" s="18" t="inlineStr">
        <is>
          <t>kabutops-1</t>
        </is>
      </c>
      <c r="AO567" s="18" t="inlineStr">
        <is>
          <t>pokemon</t>
        </is>
      </c>
      <c r="AP567" s="18" t="inlineStr">
        <is>
          <t>natural</t>
        </is>
      </c>
      <c r="AQ567" s="18" t="inlineStr">
        <is>
          <t>{"biomes":["#cobblemon:is_lush"],"maxSkyLight":7,"minSkyLight":0}</t>
        </is>
      </c>
      <c r="AR567" s="18" t="inlineStr"/>
      <c r="AS567" s="18" t="inlineStr"/>
      <c r="AT567" s="19" t="inlineStr"/>
    </row>
    <row r="568" ht="32" customHeight="1">
      <c r="A568" s="18" t="inlineStr">
        <is>
          <t>0141_kabutops.json::kabutops-2::002</t>
        </is>
      </c>
      <c r="B568" s="19" t="inlineStr">
        <is>
          <t>사용</t>
        </is>
      </c>
      <c r="C568" s="18">
        <f>IF(OR(B568&lt;&gt;AK568,M568&lt;&gt;L568,O568&lt;&gt;"",Q568&lt;&gt;"",V568&lt;&gt;1,Y568&lt;&gt;"",AT568&lt;&gt;""),"수정","원본")</f>
        <v/>
      </c>
      <c r="D568" s="18" t="n">
        <v>141</v>
      </c>
      <c r="E568" s="18" t="inlineStr">
        <is>
          <t>투구푸스</t>
        </is>
      </c>
      <c r="F568" s="18" t="inlineStr">
        <is>
          <t>kabutops</t>
        </is>
      </c>
      <c r="G568" s="18" t="inlineStr">
        <is>
          <t>kabutops</t>
        </is>
      </c>
      <c r="H568" s="18" t="inlineStr"/>
      <c r="I568" s="18" t="n">
        <v>1</v>
      </c>
      <c r="J568" s="18" t="n"/>
      <c r="K568" s="18" t="n">
        <v>1</v>
      </c>
      <c r="L568" s="18" t="inlineStr">
        <is>
          <t>cobbleventure:generation_1</t>
        </is>
      </c>
      <c r="M568" s="19" t="inlineStr">
        <is>
          <t>cobbleventure:generation_1</t>
        </is>
      </c>
      <c r="N568" s="18" t="inlineStr"/>
      <c r="O568" s="19" t="inlineStr"/>
      <c r="P568" s="18" t="inlineStr">
        <is>
          <t>#cobblemon:is_lush</t>
        </is>
      </c>
      <c r="Q568" s="19" t="inlineStr"/>
      <c r="R568" s="18">
        <f>IF(Q568="",P568,Q568)</f>
        <v/>
      </c>
      <c r="S568" s="18" t="inlineStr"/>
      <c r="T568" s="18" t="inlineStr">
        <is>
          <t>ultra-rare</t>
        </is>
      </c>
      <c r="U568" s="20" t="n">
        <v>4</v>
      </c>
      <c r="V568" s="21" t="n">
        <v>1</v>
      </c>
      <c r="W568" s="20">
        <f>IF(OR(U568="",V568=""),U568,U568*V568)</f>
        <v/>
      </c>
      <c r="X568" s="18" t="inlineStr">
        <is>
          <t>40-50</t>
        </is>
      </c>
      <c r="Y568" s="19" t="inlineStr"/>
      <c r="Z568" s="18">
        <f>IF(Y568="",X568,Y568)</f>
        <v/>
      </c>
      <c r="AA568" s="18" t="inlineStr">
        <is>
          <t>submerged</t>
        </is>
      </c>
      <c r="AB568" s="18" t="inlineStr"/>
      <c r="AC568" s="18" t="inlineStr"/>
      <c r="AD568" s="18" t="inlineStr"/>
      <c r="AE568" s="18" t="inlineStr">
        <is>
          <t>sky 0-7</t>
        </is>
      </c>
      <c r="AF568" s="18" t="inlineStr"/>
      <c r="AG568" s="18" t="inlineStr"/>
      <c r="AH568" s="18" t="inlineStr"/>
      <c r="AI568" s="18" t="inlineStr"/>
      <c r="AJ568" s="18" t="inlineStr">
        <is>
          <t>Cobblemon 동일</t>
        </is>
      </c>
      <c r="AK568" s="18" t="inlineStr">
        <is>
          <t>사용</t>
        </is>
      </c>
      <c r="AL568" s="18" t="inlineStr">
        <is>
          <t>COBBLEVERSE 1.7.42 / DP v31</t>
        </is>
      </c>
      <c r="AM568" s="18" t="inlineStr">
        <is>
          <t>data/cobblemon/spawn_pool_world/0141_kabutops.json</t>
        </is>
      </c>
      <c r="AN568" s="18" t="inlineStr">
        <is>
          <t>kabutops-2</t>
        </is>
      </c>
      <c r="AO568" s="18" t="inlineStr">
        <is>
          <t>pokemon</t>
        </is>
      </c>
      <c r="AP568" s="18" t="inlineStr">
        <is>
          <t>water</t>
        </is>
      </c>
      <c r="AQ568" s="18" t="inlineStr">
        <is>
          <t>{"biomes":["#cobblemon:is_lush"],"maxSkyLight":7,"minSkyLight":0}</t>
        </is>
      </c>
      <c r="AR568" s="18" t="inlineStr"/>
      <c r="AS568" s="18" t="inlineStr"/>
      <c r="AT568" s="19" t="inlineStr"/>
    </row>
    <row r="569" ht="32" customHeight="1">
      <c r="A569" s="18" t="inlineStr">
        <is>
          <t>0142_aerodactyl.json::aerodactyl-1::001</t>
        </is>
      </c>
      <c r="B569" s="19" t="inlineStr">
        <is>
          <t>사용</t>
        </is>
      </c>
      <c r="C569" s="18">
        <f>IF(OR(B569&lt;&gt;AK569,M569&lt;&gt;L569,O569&lt;&gt;"",Q569&lt;&gt;"",V569&lt;&gt;1,Y569&lt;&gt;"",AT569&lt;&gt;""),"수정","원본")</f>
        <v/>
      </c>
      <c r="D569" s="18" t="n">
        <v>142</v>
      </c>
      <c r="E569" s="18" t="inlineStr">
        <is>
          <t>프테라</t>
        </is>
      </c>
      <c r="F569" s="18" t="inlineStr">
        <is>
          <t>aerodactyl</t>
        </is>
      </c>
      <c r="G569" s="18" t="inlineStr">
        <is>
          <t>aerodactyl</t>
        </is>
      </c>
      <c r="H569" s="18" t="inlineStr"/>
      <c r="I569" s="18" t="n">
        <v>1</v>
      </c>
      <c r="J569" s="18" t="n"/>
      <c r="K569" s="18" t="n">
        <v>1</v>
      </c>
      <c r="L569" s="18" t="inlineStr">
        <is>
          <t>cobbleventure:generation_1</t>
        </is>
      </c>
      <c r="M569" s="19" t="inlineStr">
        <is>
          <t>cobbleventure:generation_1</t>
        </is>
      </c>
      <c r="N569" s="18" t="inlineStr"/>
      <c r="O569" s="19" t="inlineStr"/>
      <c r="P569" s="18" t="inlineStr">
        <is>
          <t>#cobblemon:is_lush</t>
        </is>
      </c>
      <c r="Q569" s="19" t="inlineStr"/>
      <c r="R569" s="18">
        <f>IF(Q569="",P569,Q569)</f>
        <v/>
      </c>
      <c r="S569" s="18" t="inlineStr"/>
      <c r="T569" s="18" t="inlineStr">
        <is>
          <t>ultra-rare</t>
        </is>
      </c>
      <c r="U569" s="20" t="n">
        <v>10</v>
      </c>
      <c r="V569" s="21" t="n">
        <v>1</v>
      </c>
      <c r="W569" s="20">
        <f>IF(OR(U569="",V569=""),U569,U569*V569)</f>
        <v/>
      </c>
      <c r="X569" s="18" t="inlineStr">
        <is>
          <t>27-52</t>
        </is>
      </c>
      <c r="Y569" s="19" t="inlineStr"/>
      <c r="Z569" s="18">
        <f>IF(Y569="",X569,Y569)</f>
        <v/>
      </c>
      <c r="AA569" s="18" t="inlineStr">
        <is>
          <t>grounded</t>
        </is>
      </c>
      <c r="AB569" s="18" t="inlineStr"/>
      <c r="AC569" s="18" t="inlineStr"/>
      <c r="AD569" s="18" t="inlineStr"/>
      <c r="AE569" s="18" t="inlineStr">
        <is>
          <t>sky 0-7</t>
        </is>
      </c>
      <c r="AF569" s="18" t="inlineStr"/>
      <c r="AG569" s="18" t="inlineStr"/>
      <c r="AH569" s="18" t="inlineStr"/>
      <c r="AI569" s="18" t="inlineStr"/>
      <c r="AJ569" s="18" t="inlineStr">
        <is>
          <t>Cobblemon 동일</t>
        </is>
      </c>
      <c r="AK569" s="18" t="inlineStr">
        <is>
          <t>사용</t>
        </is>
      </c>
      <c r="AL569" s="18" t="inlineStr">
        <is>
          <t>COBBLEVERSE 1.7.42 / DP v31</t>
        </is>
      </c>
      <c r="AM569" s="18" t="inlineStr">
        <is>
          <t>data/cobblemon/spawn_pool_world/0142_aerodactyl.json</t>
        </is>
      </c>
      <c r="AN569" s="18" t="inlineStr">
        <is>
          <t>aerodactyl-1</t>
        </is>
      </c>
      <c r="AO569" s="18" t="inlineStr">
        <is>
          <t>pokemon</t>
        </is>
      </c>
      <c r="AP569" s="18" t="inlineStr">
        <is>
          <t>natural</t>
        </is>
      </c>
      <c r="AQ569" s="18" t="inlineStr">
        <is>
          <t>{"biomes":["#cobblemon:is_lush"],"maxSkyLight":7,"minSkyLight":0}</t>
        </is>
      </c>
      <c r="AR569" s="18" t="inlineStr"/>
      <c r="AS569" s="18" t="inlineStr"/>
      <c r="AT569" s="19" t="inlineStr"/>
    </row>
    <row r="570" ht="32" customHeight="1">
      <c r="A570" s="18" t="inlineStr">
        <is>
          <t>0143_snorlax.json::snorlax-1::001</t>
        </is>
      </c>
      <c r="B570" s="19" t="inlineStr">
        <is>
          <t>사용</t>
        </is>
      </c>
      <c r="C570" s="18">
        <f>IF(OR(B570&lt;&gt;AK570,M570&lt;&gt;L570,O570&lt;&gt;"",Q570&lt;&gt;"",V570&lt;&gt;1,Y570&lt;&gt;"",AT570&lt;&gt;""),"수정","원본")</f>
        <v/>
      </c>
      <c r="D570" s="18" t="n">
        <v>143</v>
      </c>
      <c r="E570" s="18" t="inlineStr">
        <is>
          <t>잠만보</t>
        </is>
      </c>
      <c r="F570" s="18" t="inlineStr">
        <is>
          <t>snorlax</t>
        </is>
      </c>
      <c r="G570" s="18" t="inlineStr">
        <is>
          <t>snorlax</t>
        </is>
      </c>
      <c r="H570" s="18" t="inlineStr"/>
      <c r="I570" s="18" t="n">
        <v>1</v>
      </c>
      <c r="J570" s="18" t="n"/>
      <c r="K570" s="18" t="n">
        <v>1</v>
      </c>
      <c r="L570" s="18" t="inlineStr">
        <is>
          <t>cobbleventure:generation_1</t>
        </is>
      </c>
      <c r="M570" s="19" t="inlineStr">
        <is>
          <t>cobbleventure:generation_1</t>
        </is>
      </c>
      <c r="N570" s="18" t="inlineStr">
        <is>
          <t>region_01</t>
        </is>
      </c>
      <c r="O570" s="19" t="inlineStr"/>
      <c r="P570" s="18" t="inlineStr">
        <is>
          <t>#cobblemon:is_snowy_forest; #cobblemon:is_forest; #cobblemon:is_hills; aether:skyroot_forest; aether:skyroot_woodland</t>
        </is>
      </c>
      <c r="Q570" s="19" t="inlineStr"/>
      <c r="R570" s="18">
        <f>IF(Q570="",P570,Q570)</f>
        <v/>
      </c>
      <c r="S570" s="18" t="inlineStr"/>
      <c r="T570" s="18" t="inlineStr">
        <is>
          <t>rare</t>
        </is>
      </c>
      <c r="U570" s="20" t="n">
        <v>2.5</v>
      </c>
      <c r="V570" s="21" t="n">
        <v>1</v>
      </c>
      <c r="W570" s="20">
        <f>IF(OR(U570="",V570=""),U570,U570*V570)</f>
        <v/>
      </c>
      <c r="X570" s="18" t="inlineStr">
        <is>
          <t>34-54</t>
        </is>
      </c>
      <c r="Y570" s="19" t="inlineStr"/>
      <c r="Z570" s="18">
        <f>IF(Y570="",X570,Y570)</f>
        <v/>
      </c>
      <c r="AA570" s="18" t="inlineStr">
        <is>
          <t>grounded</t>
        </is>
      </c>
      <c r="AB570" s="18" t="inlineStr"/>
      <c r="AC570" s="18" t="inlineStr"/>
      <c r="AD570" s="18" t="inlineStr"/>
      <c r="AE570" s="18" t="inlineStr">
        <is>
          <t>sky 8-15</t>
        </is>
      </c>
      <c r="AF570" s="18" t="inlineStr"/>
      <c r="AG570" s="18" t="inlineStr"/>
      <c r="AH570" s="18" t="inlineStr"/>
      <c r="AI570" s="18" t="inlineStr"/>
      <c r="AJ570" s="18" t="inlineStr">
        <is>
          <t>Cobblemon 동일</t>
        </is>
      </c>
      <c r="AK570" s="18" t="inlineStr">
        <is>
          <t>사용</t>
        </is>
      </c>
      <c r="AL570" s="18" t="inlineStr">
        <is>
          <t>COBBLEVERSE 1.7.42 / DP v31</t>
        </is>
      </c>
      <c r="AM570" s="18" t="inlineStr">
        <is>
          <t>data/cobblemon/spawn_pool_world/0143_snorlax.json</t>
        </is>
      </c>
      <c r="AN570" s="18" t="inlineStr">
        <is>
          <t>snorlax-1</t>
        </is>
      </c>
      <c r="AO570" s="18" t="inlineStr">
        <is>
          <t>pokemon</t>
        </is>
      </c>
      <c r="AP570" s="18" t="inlineStr">
        <is>
          <t>natural</t>
        </is>
      </c>
      <c r="AQ570" s="18" t="inlineStr">
        <is>
          <t>{"biomes":["#cobblemon:is_snowy_forest","#cobblemon:is_forest","#cobblemon:is_hills","aether:skyroot_forest","aether:skyroot_woodland"],"maxSkyLight":15,"minSkyLight":8}</t>
        </is>
      </c>
      <c r="AR570" s="18" t="inlineStr">
        <is>
          <t>{"neededNearbyBlocks":["#cobblemon:saccharine_trees"]}</t>
        </is>
      </c>
      <c r="AS570" s="18" t="inlineStr"/>
      <c r="AT570" s="19" t="inlineStr"/>
    </row>
    <row r="571" ht="32" customHeight="1">
      <c r="A571" s="18" t="inlineStr">
        <is>
          <t>0143_snorlax.json::snorlax-2::002</t>
        </is>
      </c>
      <c r="B571" s="19" t="inlineStr">
        <is>
          <t>사용</t>
        </is>
      </c>
      <c r="C571" s="18">
        <f>IF(OR(B571&lt;&gt;AK571,M571&lt;&gt;L571,O571&lt;&gt;"",Q571&lt;&gt;"",V571&lt;&gt;1,Y571&lt;&gt;"",AT571&lt;&gt;""),"수정","원본")</f>
        <v/>
      </c>
      <c r="D571" s="18" t="n">
        <v>143</v>
      </c>
      <c r="E571" s="18" t="inlineStr">
        <is>
          <t>잠만보</t>
        </is>
      </c>
      <c r="F571" s="18" t="inlineStr">
        <is>
          <t>snorlax</t>
        </is>
      </c>
      <c r="G571" s="18" t="inlineStr">
        <is>
          <t>snorlax</t>
        </is>
      </c>
      <c r="H571" s="18" t="inlineStr"/>
      <c r="I571" s="18" t="n">
        <v>1</v>
      </c>
      <c r="J571" s="18" t="n"/>
      <c r="K571" s="18" t="n">
        <v>1</v>
      </c>
      <c r="L571" s="18" t="inlineStr">
        <is>
          <t>cobbleventure:generation_1</t>
        </is>
      </c>
      <c r="M571" s="19" t="inlineStr">
        <is>
          <t>cobbleventure:generation_1</t>
        </is>
      </c>
      <c r="N571" s="18" t="inlineStr">
        <is>
          <t>region_01; region_02</t>
        </is>
      </c>
      <c r="O571" s="19" t="inlineStr"/>
      <c r="P571" s="18" t="inlineStr">
        <is>
          <t>#aether:is_aether; #cobblemon:is_overworld</t>
        </is>
      </c>
      <c r="Q571" s="19" t="inlineStr"/>
      <c r="R571" s="18">
        <f>IF(Q571="",P571,Q571)</f>
        <v/>
      </c>
      <c r="S571" s="18" t="inlineStr"/>
      <c r="T571" s="18" t="inlineStr">
        <is>
          <t>uncommon</t>
        </is>
      </c>
      <c r="U571" s="20" t="n">
        <v>0.32</v>
      </c>
      <c r="V571" s="21" t="n">
        <v>1</v>
      </c>
      <c r="W571" s="20">
        <f>IF(OR(U571="",V571=""),U571,U571*V571)</f>
        <v/>
      </c>
      <c r="X571" s="18" t="inlineStr">
        <is>
          <t>34-54</t>
        </is>
      </c>
      <c r="Y571" s="19" t="inlineStr"/>
      <c r="Z571" s="18">
        <f>IF(Y571="",X571,Y571)</f>
        <v/>
      </c>
      <c r="AA571" s="18" t="inlineStr">
        <is>
          <t>grounded</t>
        </is>
      </c>
      <c r="AB571" s="18" t="inlineStr"/>
      <c r="AC571" s="18" t="inlineStr"/>
      <c r="AD571" s="18" t="inlineStr"/>
      <c r="AE571" s="18" t="inlineStr">
        <is>
          <t>sky 8-15</t>
        </is>
      </c>
      <c r="AF571" s="18" t="inlineStr"/>
      <c r="AG571" s="18" t="inlineStr"/>
      <c r="AH571" s="18" t="inlineStr">
        <is>
          <t>주변=#cobblemon:saccharine_trees</t>
        </is>
      </c>
      <c r="AI571" s="18" t="inlineStr"/>
      <c r="AJ571" s="18" t="inlineStr">
        <is>
          <t>Cobblemon 동일</t>
        </is>
      </c>
      <c r="AK571" s="18" t="inlineStr">
        <is>
          <t>사용</t>
        </is>
      </c>
      <c r="AL571" s="18" t="inlineStr">
        <is>
          <t>COBBLEVERSE 1.7.42 / DP v31</t>
        </is>
      </c>
      <c r="AM571" s="18" t="inlineStr">
        <is>
          <t>data/cobblemon/spawn_pool_world/0143_snorlax.json</t>
        </is>
      </c>
      <c r="AN571" s="18" t="inlineStr">
        <is>
          <t>snorlax-2</t>
        </is>
      </c>
      <c r="AO571" s="18" t="inlineStr">
        <is>
          <t>pokemon</t>
        </is>
      </c>
      <c r="AP571" s="18" t="inlineStr">
        <is>
          <t>natural</t>
        </is>
      </c>
      <c r="AQ571" s="18" t="inlineStr">
        <is>
          <t>{"biomes":["#aether:is_aether","#cobblemon:is_overworld"],"maxSkyLight":15,"minSkyLight":8,"neededNearbyBlocks":["#cobblemon:saccharine_trees"]}</t>
        </is>
      </c>
      <c r="AR571" s="18" t="inlineStr"/>
      <c r="AS571" s="18" t="inlineStr"/>
      <c r="AT571" s="19" t="inlineStr"/>
    </row>
    <row r="572" ht="32" customHeight="1">
      <c r="A572" s="18" t="inlineStr">
        <is>
          <t>0144_articuno.json::articuno-1::001</t>
        </is>
      </c>
      <c r="B572" s="19" t="inlineStr">
        <is>
          <t>사용</t>
        </is>
      </c>
      <c r="C572" s="18">
        <f>IF(OR(B572&lt;&gt;AK572,M572&lt;&gt;L572,O572&lt;&gt;"",Q572&lt;&gt;"",V572&lt;&gt;1,Y572&lt;&gt;"",AT572&lt;&gt;""),"수정","원본")</f>
        <v/>
      </c>
      <c r="D572" s="18" t="n">
        <v>144</v>
      </c>
      <c r="E572" s="18" t="inlineStr">
        <is>
          <t>프리져</t>
        </is>
      </c>
      <c r="F572" s="18" t="inlineStr">
        <is>
          <t>articuno</t>
        </is>
      </c>
      <c r="G572" s="18" t="inlineStr">
        <is>
          <t>articuno</t>
        </is>
      </c>
      <c r="H572" s="18" t="inlineStr"/>
      <c r="I572" s="18" t="n">
        <v>1</v>
      </c>
      <c r="J572" s="18" t="n"/>
      <c r="K572" s="18" t="n">
        <v>1</v>
      </c>
      <c r="L572" s="18" t="inlineStr">
        <is>
          <t>cobbleventure:generation_1</t>
        </is>
      </c>
      <c r="M572" s="19" t="inlineStr">
        <is>
          <t>cobbleventure:generation_1</t>
        </is>
      </c>
      <c r="N572" s="18" t="inlineStr"/>
      <c r="O572" s="19" t="inlineStr"/>
      <c r="P572" s="18" t="inlineStr">
        <is>
          <t>cobbleverse:custom_spawn/articuno_tower</t>
        </is>
      </c>
      <c r="Q572" s="19" t="inlineStr"/>
      <c r="R572" s="18">
        <f>IF(Q572="",P572,Q572)</f>
        <v/>
      </c>
      <c r="S572" s="18" t="inlineStr"/>
      <c r="T572" s="18" t="inlineStr">
        <is>
          <t>ultra-rare</t>
        </is>
      </c>
      <c r="U572" s="20" t="n">
        <v>0</v>
      </c>
      <c r="V572" s="21" t="n">
        <v>1</v>
      </c>
      <c r="W572" s="20">
        <f>IF(OR(U572="",V572=""),U572,U572*V572)</f>
        <v/>
      </c>
      <c r="X572" s="18" t="inlineStr">
        <is>
          <t>50</t>
        </is>
      </c>
      <c r="Y572" s="19" t="inlineStr"/>
      <c r="Z572" s="18">
        <f>IF(Y572="",X572,Y572)</f>
        <v/>
      </c>
      <c r="AA572" s="18" t="inlineStr">
        <is>
          <t>grounded</t>
        </is>
      </c>
      <c r="AB572" s="18" t="inlineStr"/>
      <c r="AC572" s="18" t="inlineStr"/>
      <c r="AD572" s="18" t="inlineStr"/>
      <c r="AE572" s="18" t="inlineStr"/>
      <c r="AF572" s="18" t="inlineStr"/>
      <c r="AG572" s="18" t="inlineStr"/>
      <c r="AH572" s="18" t="inlineStr"/>
      <c r="AI572" s="18" t="inlineStr"/>
      <c r="AJ572" s="18" t="inlineStr">
        <is>
          <t>COBBLEVERSE 추가</t>
        </is>
      </c>
      <c r="AK572" s="18" t="inlineStr">
        <is>
          <t>사용</t>
        </is>
      </c>
      <c r="AL572" s="18" t="inlineStr">
        <is>
          <t>COBBLEVERSE 1.7.42 / DP v31</t>
        </is>
      </c>
      <c r="AM572" s="18" t="inlineStr">
        <is>
          <t>data/cobblemon/spawn_pool_world/0144_articuno.json</t>
        </is>
      </c>
      <c r="AN572" s="18" t="inlineStr">
        <is>
          <t>articuno-1</t>
        </is>
      </c>
      <c r="AO572" s="18" t="inlineStr">
        <is>
          <t>pokemon</t>
        </is>
      </c>
      <c r="AP572" s="18" t="inlineStr">
        <is>
          <t>natural</t>
        </is>
      </c>
      <c r="AQ572" s="18" t="inlineStr">
        <is>
          <t>{"biomes":["cobbleverse:custom_spawn/articuno_tower"]}</t>
        </is>
      </c>
      <c r="AR572" s="18" t="inlineStr"/>
      <c r="AS572" s="18" t="inlineStr"/>
      <c r="AT572" s="19" t="inlineStr"/>
    </row>
    <row r="573" ht="32" customHeight="1">
      <c r="A573" s="18" t="inlineStr">
        <is>
          <t>0144_articuno.json::articuno-2::002</t>
        </is>
      </c>
      <c r="B573" s="19" t="inlineStr">
        <is>
          <t>사용</t>
        </is>
      </c>
      <c r="C573" s="18">
        <f>IF(OR(B573&lt;&gt;AK573,M573&lt;&gt;L573,O573&lt;&gt;"",Q573&lt;&gt;"",V573&lt;&gt;1,Y573&lt;&gt;"",AT573&lt;&gt;""),"수정","원본")</f>
        <v/>
      </c>
      <c r="D573" s="18" t="n">
        <v>144</v>
      </c>
      <c r="E573" s="18" t="inlineStr">
        <is>
          <t>프리져</t>
        </is>
      </c>
      <c r="F573" s="18" t="inlineStr">
        <is>
          <t>articuno</t>
        </is>
      </c>
      <c r="G573" s="18" t="inlineStr">
        <is>
          <t>articuno galarian</t>
        </is>
      </c>
      <c r="H573" s="18" t="inlineStr">
        <is>
          <t>galarian</t>
        </is>
      </c>
      <c r="I573" s="18" t="n">
        <v>1</v>
      </c>
      <c r="J573" s="18" t="n">
        <v>8</v>
      </c>
      <c r="K573" s="18" t="n">
        <v>8</v>
      </c>
      <c r="L573" s="18" t="inlineStr">
        <is>
          <t>cobbleventure:generation_8</t>
        </is>
      </c>
      <c r="M573" s="19" t="inlineStr">
        <is>
          <t>cobbleventure:generation_8</t>
        </is>
      </c>
      <c r="N573" s="18" t="inlineStr">
        <is>
          <t>region_01; region_02</t>
        </is>
      </c>
      <c r="O573" s="19" t="inlineStr"/>
      <c r="P573" s="18" t="inlineStr"/>
      <c r="Q573" s="19" t="inlineStr"/>
      <c r="R573" s="18">
        <f>IF(Q573="",P573,Q573)</f>
        <v/>
      </c>
      <c r="S573" s="18" t="inlineStr"/>
      <c r="T573" s="18" t="inlineStr">
        <is>
          <t>ultra-rare</t>
        </is>
      </c>
      <c r="U573" s="20" t="n">
        <v>4</v>
      </c>
      <c r="V573" s="21" t="n">
        <v>1</v>
      </c>
      <c r="W573" s="20">
        <f>IF(OR(U573="",V573=""),U573,U573*V573)</f>
        <v/>
      </c>
      <c r="X573" s="18" t="inlineStr">
        <is>
          <t>60</t>
        </is>
      </c>
      <c r="Y573" s="19" t="inlineStr"/>
      <c r="Z573" s="18">
        <f>IF(Y573="",X573,Y573)</f>
        <v/>
      </c>
      <c r="AA573" s="18" t="inlineStr">
        <is>
          <t>grounded</t>
        </is>
      </c>
      <c r="AB573" s="18" t="inlineStr">
        <is>
          <t>night</t>
        </is>
      </c>
      <c r="AC573" s="18" t="inlineStr"/>
      <c r="AD573" s="18" t="inlineStr"/>
      <c r="AE573" s="18" t="inlineStr"/>
      <c r="AF573" s="18" t="inlineStr"/>
      <c r="AG573" s="18" t="inlineStr">
        <is>
          <t>cobbleverse:dyna_tree</t>
        </is>
      </c>
      <c r="AH573" s="18" t="inlineStr"/>
      <c r="AI573" s="18" t="inlineStr"/>
      <c r="AJ573" s="18" t="inlineStr">
        <is>
          <t>COBBLEVERSE 추가</t>
        </is>
      </c>
      <c r="AK573" s="18" t="inlineStr">
        <is>
          <t>사용</t>
        </is>
      </c>
      <c r="AL573" s="18" t="inlineStr">
        <is>
          <t>COBBLEVERSE 1.7.42 / DP v31</t>
        </is>
      </c>
      <c r="AM573" s="18" t="inlineStr">
        <is>
          <t>data/cobblemon/spawn_pool_world/0144_articuno.json</t>
        </is>
      </c>
      <c r="AN573" s="18" t="inlineStr">
        <is>
          <t>articuno-2</t>
        </is>
      </c>
      <c r="AO573" s="18" t="inlineStr">
        <is>
          <t>pokemon</t>
        </is>
      </c>
      <c r="AP573" s="18" t="inlineStr">
        <is>
          <t>natural</t>
        </is>
      </c>
      <c r="AQ573" s="18" t="inlineStr">
        <is>
          <t>{"structures":["cobbleverse:dyna_tree"],"timeRange":"night"}</t>
        </is>
      </c>
      <c r="AR573" s="18" t="inlineStr"/>
      <c r="AS573" s="18" t="inlineStr"/>
      <c r="AT573" s="19" t="inlineStr"/>
    </row>
    <row r="574" ht="32" customHeight="1">
      <c r="A574" s="18" t="inlineStr">
        <is>
          <t>0145_zapdos.json::zapdos::001</t>
        </is>
      </c>
      <c r="B574" s="19" t="inlineStr">
        <is>
          <t>사용</t>
        </is>
      </c>
      <c r="C574" s="18">
        <f>IF(OR(B574&lt;&gt;AK574,M574&lt;&gt;L574,O574&lt;&gt;"",Q574&lt;&gt;"",V574&lt;&gt;1,Y574&lt;&gt;"",AT574&lt;&gt;""),"수정","원본")</f>
        <v/>
      </c>
      <c r="D574" s="18" t="n">
        <v>145</v>
      </c>
      <c r="E574" s="18" t="inlineStr">
        <is>
          <t>썬더</t>
        </is>
      </c>
      <c r="F574" s="18" t="inlineStr">
        <is>
          <t>zapdos</t>
        </is>
      </c>
      <c r="G574" s="18" t="inlineStr">
        <is>
          <t>zapdos</t>
        </is>
      </c>
      <c r="H574" s="18" t="inlineStr"/>
      <c r="I574" s="18" t="n">
        <v>1</v>
      </c>
      <c r="J574" s="18" t="n"/>
      <c r="K574" s="18" t="n">
        <v>1</v>
      </c>
      <c r="L574" s="18" t="inlineStr">
        <is>
          <t>cobbleventure:generation_1</t>
        </is>
      </c>
      <c r="M574" s="19" t="inlineStr">
        <is>
          <t>cobbleventure:generation_1</t>
        </is>
      </c>
      <c r="N574" s="18" t="inlineStr"/>
      <c r="O574" s="19" t="inlineStr"/>
      <c r="P574" s="18" t="inlineStr">
        <is>
          <t>cobbleverse:custom_spawn/zapdos_tower</t>
        </is>
      </c>
      <c r="Q574" s="19" t="inlineStr"/>
      <c r="R574" s="18">
        <f>IF(Q574="",P574,Q574)</f>
        <v/>
      </c>
      <c r="S574" s="18" t="inlineStr"/>
      <c r="T574" s="18" t="inlineStr">
        <is>
          <t>ultra-rare</t>
        </is>
      </c>
      <c r="U574" s="20" t="n">
        <v>0</v>
      </c>
      <c r="V574" s="21" t="n">
        <v>1</v>
      </c>
      <c r="W574" s="20">
        <f>IF(OR(U574="",V574=""),U574,U574*V574)</f>
        <v/>
      </c>
      <c r="X574" s="18" t="inlineStr">
        <is>
          <t>50-60</t>
        </is>
      </c>
      <c r="Y574" s="19" t="inlineStr"/>
      <c r="Z574" s="18">
        <f>IF(Y574="",X574,Y574)</f>
        <v/>
      </c>
      <c r="AA574" s="18" t="inlineStr">
        <is>
          <t>grounded</t>
        </is>
      </c>
      <c r="AB574" s="18" t="inlineStr"/>
      <c r="AC574" s="18" t="inlineStr"/>
      <c r="AD574" s="18" t="inlineStr"/>
      <c r="AE574" s="18" t="inlineStr"/>
      <c r="AF574" s="18" t="inlineStr"/>
      <c r="AG574" s="18" t="inlineStr"/>
      <c r="AH574" s="18" t="inlineStr"/>
      <c r="AI574" s="18" t="inlineStr"/>
      <c r="AJ574" s="18" t="inlineStr">
        <is>
          <t>COBBLEVERSE 추가</t>
        </is>
      </c>
      <c r="AK574" s="18" t="inlineStr">
        <is>
          <t>사용</t>
        </is>
      </c>
      <c r="AL574" s="18" t="inlineStr">
        <is>
          <t>COBBLEVERSE 1.7.42 / DP v31</t>
        </is>
      </c>
      <c r="AM574" s="18" t="inlineStr">
        <is>
          <t>data/cobblemon/spawn_pool_world/0145_zapdos.json</t>
        </is>
      </c>
      <c r="AN574" s="18" t="inlineStr">
        <is>
          <t>zapdos</t>
        </is>
      </c>
      <c r="AO574" s="18" t="inlineStr">
        <is>
          <t>pokemon</t>
        </is>
      </c>
      <c r="AP574" s="18" t="inlineStr">
        <is>
          <t>natural</t>
        </is>
      </c>
      <c r="AQ574" s="18" t="inlineStr">
        <is>
          <t>{"biomes":["cobbleverse:custom_spawn/zapdos_tower"]}</t>
        </is>
      </c>
      <c r="AR574" s="18" t="inlineStr"/>
      <c r="AS574" s="18" t="inlineStr"/>
      <c r="AT574" s="19" t="inlineStr"/>
    </row>
    <row r="575" ht="32" customHeight="1">
      <c r="A575" s="18" t="inlineStr">
        <is>
          <t>0145_zapdos.json::zapdos-2::002</t>
        </is>
      </c>
      <c r="B575" s="19" t="inlineStr">
        <is>
          <t>사용</t>
        </is>
      </c>
      <c r="C575" s="18">
        <f>IF(OR(B575&lt;&gt;AK575,M575&lt;&gt;L575,O575&lt;&gt;"",Q575&lt;&gt;"",V575&lt;&gt;1,Y575&lt;&gt;"",AT575&lt;&gt;""),"수정","원본")</f>
        <v/>
      </c>
      <c r="D575" s="18" t="n">
        <v>145</v>
      </c>
      <c r="E575" s="18" t="inlineStr">
        <is>
          <t>썬더</t>
        </is>
      </c>
      <c r="F575" s="18" t="inlineStr">
        <is>
          <t>zapdos</t>
        </is>
      </c>
      <c r="G575" s="18" t="inlineStr">
        <is>
          <t>zapdos galarian</t>
        </is>
      </c>
      <c r="H575" s="18" t="inlineStr">
        <is>
          <t>galarian</t>
        </is>
      </c>
      <c r="I575" s="18" t="n">
        <v>1</v>
      </c>
      <c r="J575" s="18" t="n">
        <v>8</v>
      </c>
      <c r="K575" s="18" t="n">
        <v>8</v>
      </c>
      <c r="L575" s="18" t="inlineStr">
        <is>
          <t>cobbleventure:generation_8</t>
        </is>
      </c>
      <c r="M575" s="19" t="inlineStr">
        <is>
          <t>cobbleventure:generation_8</t>
        </is>
      </c>
      <c r="N575" s="18" t="inlineStr">
        <is>
          <t>region_01; region_02</t>
        </is>
      </c>
      <c r="O575" s="19" t="inlineStr"/>
      <c r="P575" s="18" t="inlineStr"/>
      <c r="Q575" s="19" t="inlineStr"/>
      <c r="R575" s="18">
        <f>IF(Q575="",P575,Q575)</f>
        <v/>
      </c>
      <c r="S575" s="18" t="inlineStr"/>
      <c r="T575" s="18" t="inlineStr">
        <is>
          <t>ultra-rare</t>
        </is>
      </c>
      <c r="U575" s="20" t="n">
        <v>4</v>
      </c>
      <c r="V575" s="21" t="n">
        <v>1</v>
      </c>
      <c r="W575" s="20">
        <f>IF(OR(U575="",V575=""),U575,U575*V575)</f>
        <v/>
      </c>
      <c r="X575" s="18" t="inlineStr">
        <is>
          <t>60</t>
        </is>
      </c>
      <c r="Y575" s="19" t="inlineStr"/>
      <c r="Z575" s="18">
        <f>IF(Y575="",X575,Y575)</f>
        <v/>
      </c>
      <c r="AA575" s="18" t="inlineStr">
        <is>
          <t>grounded</t>
        </is>
      </c>
      <c r="AB575" s="18" t="inlineStr"/>
      <c r="AC575" s="18" t="inlineStr">
        <is>
          <t>천둥=True</t>
        </is>
      </c>
      <c r="AD575" s="18" t="inlineStr"/>
      <c r="AE575" s="18" t="inlineStr"/>
      <c r="AF575" s="18" t="inlineStr"/>
      <c r="AG575" s="18" t="inlineStr">
        <is>
          <t>cobbleverse:dyna_tree</t>
        </is>
      </c>
      <c r="AH575" s="18" t="inlineStr"/>
      <c r="AI575" s="18" t="inlineStr"/>
      <c r="AJ575" s="18" t="inlineStr">
        <is>
          <t>COBBLEVERSE 추가</t>
        </is>
      </c>
      <c r="AK575" s="18" t="inlineStr">
        <is>
          <t>사용</t>
        </is>
      </c>
      <c r="AL575" s="18" t="inlineStr">
        <is>
          <t>COBBLEVERSE 1.7.42 / DP v31</t>
        </is>
      </c>
      <c r="AM575" s="18" t="inlineStr">
        <is>
          <t>data/cobblemon/spawn_pool_world/0145_zapdos.json</t>
        </is>
      </c>
      <c r="AN575" s="18" t="inlineStr">
        <is>
          <t>zapdos-2</t>
        </is>
      </c>
      <c r="AO575" s="18" t="inlineStr">
        <is>
          <t>pokemon</t>
        </is>
      </c>
      <c r="AP575" s="18" t="inlineStr">
        <is>
          <t>natural</t>
        </is>
      </c>
      <c r="AQ575" s="18" t="inlineStr">
        <is>
          <t>{"isThundering":true,"structures":["cobbleverse:dyna_tree"]}</t>
        </is>
      </c>
      <c r="AR575" s="18" t="inlineStr"/>
      <c r="AS575" s="18" t="inlineStr"/>
      <c r="AT575" s="19" t="inlineStr"/>
    </row>
    <row r="576" ht="32" customHeight="1">
      <c r="A576" s="18" t="inlineStr">
        <is>
          <t>0146_moltres.json::moltres-1::001</t>
        </is>
      </c>
      <c r="B576" s="19" t="inlineStr">
        <is>
          <t>사용</t>
        </is>
      </c>
      <c r="C576" s="18">
        <f>IF(OR(B576&lt;&gt;AK576,M576&lt;&gt;L576,O576&lt;&gt;"",Q576&lt;&gt;"",V576&lt;&gt;1,Y576&lt;&gt;"",AT576&lt;&gt;""),"수정","원본")</f>
        <v/>
      </c>
      <c r="D576" s="18" t="n">
        <v>146</v>
      </c>
      <c r="E576" s="18" t="inlineStr">
        <is>
          <t>파이어</t>
        </is>
      </c>
      <c r="F576" s="18" t="inlineStr">
        <is>
          <t>moltres</t>
        </is>
      </c>
      <c r="G576" s="18" t="inlineStr">
        <is>
          <t>moltres</t>
        </is>
      </c>
      <c r="H576" s="18" t="inlineStr"/>
      <c r="I576" s="18" t="n">
        <v>1</v>
      </c>
      <c r="J576" s="18" t="n"/>
      <c r="K576" s="18" t="n">
        <v>1</v>
      </c>
      <c r="L576" s="18" t="inlineStr">
        <is>
          <t>cobbleventure:generation_1</t>
        </is>
      </c>
      <c r="M576" s="19" t="inlineStr">
        <is>
          <t>cobbleventure:generation_1</t>
        </is>
      </c>
      <c r="N576" s="18" t="inlineStr"/>
      <c r="O576" s="19" t="inlineStr"/>
      <c r="P576" s="18" t="inlineStr">
        <is>
          <t>cobbleverse:custom_spawn/moltres_tower</t>
        </is>
      </c>
      <c r="Q576" s="19" t="inlineStr"/>
      <c r="R576" s="18">
        <f>IF(Q576="",P576,Q576)</f>
        <v/>
      </c>
      <c r="S576" s="18" t="inlineStr"/>
      <c r="T576" s="18" t="inlineStr">
        <is>
          <t>ultra-rare</t>
        </is>
      </c>
      <c r="U576" s="20" t="n">
        <v>0</v>
      </c>
      <c r="V576" s="21" t="n">
        <v>1</v>
      </c>
      <c r="W576" s="20">
        <f>IF(OR(U576="",V576=""),U576,U576*V576)</f>
        <v/>
      </c>
      <c r="X576" s="18" t="inlineStr">
        <is>
          <t>50-60</t>
        </is>
      </c>
      <c r="Y576" s="19" t="inlineStr"/>
      <c r="Z576" s="18">
        <f>IF(Y576="",X576,Y576)</f>
        <v/>
      </c>
      <c r="AA576" s="18" t="inlineStr">
        <is>
          <t>grounded</t>
        </is>
      </c>
      <c r="AB576" s="18" t="inlineStr"/>
      <c r="AC576" s="18" t="inlineStr"/>
      <c r="AD576" s="18" t="inlineStr"/>
      <c r="AE576" s="18" t="inlineStr"/>
      <c r="AF576" s="18" t="inlineStr"/>
      <c r="AG576" s="18" t="inlineStr"/>
      <c r="AH576" s="18" t="inlineStr"/>
      <c r="AI576" s="18" t="inlineStr"/>
      <c r="AJ576" s="18" t="inlineStr">
        <is>
          <t>COBBLEVERSE 추가</t>
        </is>
      </c>
      <c r="AK576" s="18" t="inlineStr">
        <is>
          <t>사용</t>
        </is>
      </c>
      <c r="AL576" s="18" t="inlineStr">
        <is>
          <t>COBBLEVERSE 1.7.42 / DP v31</t>
        </is>
      </c>
      <c r="AM576" s="18" t="inlineStr">
        <is>
          <t>data/cobblemon/spawn_pool_world/0146_moltres.json</t>
        </is>
      </c>
      <c r="AN576" s="18" t="inlineStr">
        <is>
          <t>moltres-1</t>
        </is>
      </c>
      <c r="AO576" s="18" t="inlineStr">
        <is>
          <t>pokemon</t>
        </is>
      </c>
      <c r="AP576" s="18" t="inlineStr">
        <is>
          <t>natural</t>
        </is>
      </c>
      <c r="AQ576" s="18" t="inlineStr">
        <is>
          <t>{"biomes":["cobbleverse:custom_spawn/moltres_tower"]}</t>
        </is>
      </c>
      <c r="AR576" s="18" t="inlineStr"/>
      <c r="AS576" s="18" t="inlineStr"/>
      <c r="AT576" s="19" t="inlineStr"/>
    </row>
    <row r="577" ht="32" customHeight="1">
      <c r="A577" s="18" t="inlineStr">
        <is>
          <t>0146_moltres.json::moltres-2::002</t>
        </is>
      </c>
      <c r="B577" s="19" t="inlineStr">
        <is>
          <t>사용</t>
        </is>
      </c>
      <c r="C577" s="18">
        <f>IF(OR(B577&lt;&gt;AK577,M577&lt;&gt;L577,O577&lt;&gt;"",Q577&lt;&gt;"",V577&lt;&gt;1,Y577&lt;&gt;"",AT577&lt;&gt;""),"수정","원본")</f>
        <v/>
      </c>
      <c r="D577" s="18" t="n">
        <v>146</v>
      </c>
      <c r="E577" s="18" t="inlineStr">
        <is>
          <t>파이어</t>
        </is>
      </c>
      <c r="F577" s="18" t="inlineStr">
        <is>
          <t>moltres</t>
        </is>
      </c>
      <c r="G577" s="18" t="inlineStr">
        <is>
          <t>moltres galarian</t>
        </is>
      </c>
      <c r="H577" s="18" t="inlineStr">
        <is>
          <t>galarian</t>
        </is>
      </c>
      <c r="I577" s="18" t="n">
        <v>1</v>
      </c>
      <c r="J577" s="18" t="n">
        <v>8</v>
      </c>
      <c r="K577" s="18" t="n">
        <v>8</v>
      </c>
      <c r="L577" s="18" t="inlineStr">
        <is>
          <t>cobbleventure:generation_8</t>
        </is>
      </c>
      <c r="M577" s="19" t="inlineStr">
        <is>
          <t>cobbleventure:generation_8</t>
        </is>
      </c>
      <c r="N577" s="18" t="inlineStr">
        <is>
          <t>region_01; region_02</t>
        </is>
      </c>
      <c r="O577" s="19" t="inlineStr"/>
      <c r="P577" s="18" t="inlineStr"/>
      <c r="Q577" s="19" t="inlineStr"/>
      <c r="R577" s="18">
        <f>IF(Q577="",P577,Q577)</f>
        <v/>
      </c>
      <c r="S577" s="18" t="inlineStr"/>
      <c r="T577" s="18" t="inlineStr">
        <is>
          <t>ultra-rare</t>
        </is>
      </c>
      <c r="U577" s="20" t="n">
        <v>4</v>
      </c>
      <c r="V577" s="21" t="n">
        <v>1</v>
      </c>
      <c r="W577" s="20">
        <f>IF(OR(U577="",V577=""),U577,U577*V577)</f>
        <v/>
      </c>
      <c r="X577" s="18" t="inlineStr">
        <is>
          <t>60</t>
        </is>
      </c>
      <c r="Y577" s="19" t="inlineStr"/>
      <c r="Z577" s="18">
        <f>IF(Y577="",X577,Y577)</f>
        <v/>
      </c>
      <c r="AA577" s="18" t="inlineStr">
        <is>
          <t>grounded</t>
        </is>
      </c>
      <c r="AB577" s="18" t="inlineStr">
        <is>
          <t>day</t>
        </is>
      </c>
      <c r="AC577" s="18" t="inlineStr"/>
      <c r="AD577" s="18" t="inlineStr"/>
      <c r="AE577" s="18" t="inlineStr"/>
      <c r="AF577" s="18" t="inlineStr"/>
      <c r="AG577" s="18" t="inlineStr">
        <is>
          <t>cobbleverse:dyna_tree</t>
        </is>
      </c>
      <c r="AH577" s="18" t="inlineStr"/>
      <c r="AI577" s="18" t="inlineStr"/>
      <c r="AJ577" s="18" t="inlineStr">
        <is>
          <t>COBBLEVERSE 추가</t>
        </is>
      </c>
      <c r="AK577" s="18" t="inlineStr">
        <is>
          <t>사용</t>
        </is>
      </c>
      <c r="AL577" s="18" t="inlineStr">
        <is>
          <t>COBBLEVERSE 1.7.42 / DP v31</t>
        </is>
      </c>
      <c r="AM577" s="18" t="inlineStr">
        <is>
          <t>data/cobblemon/spawn_pool_world/0146_moltres.json</t>
        </is>
      </c>
      <c r="AN577" s="18" t="inlineStr">
        <is>
          <t>moltres-2</t>
        </is>
      </c>
      <c r="AO577" s="18" t="inlineStr">
        <is>
          <t>pokemon</t>
        </is>
      </c>
      <c r="AP577" s="18" t="inlineStr">
        <is>
          <t>natural</t>
        </is>
      </c>
      <c r="AQ577" s="18" t="inlineStr">
        <is>
          <t>{"structures":["cobbleverse:dyna_tree"],"timeRange":"day"}</t>
        </is>
      </c>
      <c r="AR577" s="18" t="inlineStr"/>
      <c r="AS577" s="18" t="inlineStr"/>
      <c r="AT577" s="19" t="inlineStr"/>
    </row>
    <row r="578" ht="32" customHeight="1">
      <c r="A578" s="18" t="inlineStr">
        <is>
          <t>0147_dratini.json::dratini-1::001</t>
        </is>
      </c>
      <c r="B578" s="19" t="inlineStr">
        <is>
          <t>사용</t>
        </is>
      </c>
      <c r="C578" s="18">
        <f>IF(OR(B578&lt;&gt;AK578,M578&lt;&gt;L578,O578&lt;&gt;"",Q578&lt;&gt;"",V578&lt;&gt;1,Y578&lt;&gt;"",AT578&lt;&gt;""),"수정","원본")</f>
        <v/>
      </c>
      <c r="D578" s="18" t="n">
        <v>147</v>
      </c>
      <c r="E578" s="18" t="inlineStr">
        <is>
          <t>미뇽</t>
        </is>
      </c>
      <c r="F578" s="18" t="inlineStr">
        <is>
          <t>dratini</t>
        </is>
      </c>
      <c r="G578" s="18" t="inlineStr">
        <is>
          <t>dratini</t>
        </is>
      </c>
      <c r="H578" s="18" t="inlineStr"/>
      <c r="I578" s="18" t="n">
        <v>1</v>
      </c>
      <c r="J578" s="18" t="n"/>
      <c r="K578" s="18" t="n">
        <v>1</v>
      </c>
      <c r="L578" s="18" t="inlineStr">
        <is>
          <t>cobbleventure:generation_1</t>
        </is>
      </c>
      <c r="M578" s="19" t="inlineStr">
        <is>
          <t>cobbleventure:generation_1</t>
        </is>
      </c>
      <c r="N578" s="18" t="inlineStr">
        <is>
          <t>region_01; region_02</t>
        </is>
      </c>
      <c r="O578" s="19" t="inlineStr"/>
      <c r="P578" s="18" t="inlineStr">
        <is>
          <t>#cobblemon:is_overworld</t>
        </is>
      </c>
      <c r="Q578" s="19" t="inlineStr"/>
      <c r="R578" s="18">
        <f>IF(Q578="",P578,Q578)</f>
        <v/>
      </c>
      <c r="S578" s="18" t="inlineStr">
        <is>
          <t>#cobblemon:is_deep_dark</t>
        </is>
      </c>
      <c r="T578" s="18" t="inlineStr">
        <is>
          <t>rare</t>
        </is>
      </c>
      <c r="U578" s="20" t="n">
        <v>7.5</v>
      </c>
      <c r="V578" s="21" t="n">
        <v>1</v>
      </c>
      <c r="W578" s="20">
        <f>IF(OR(U578="",V578=""),U578,U578*V578)</f>
        <v/>
      </c>
      <c r="X578" s="18" t="inlineStr">
        <is>
          <t>5-30</t>
        </is>
      </c>
      <c r="Y578" s="19" t="inlineStr"/>
      <c r="Z578" s="18">
        <f>IF(Y578="",X578,Y578)</f>
        <v/>
      </c>
      <c r="AA578" s="18" t="inlineStr">
        <is>
          <t>surface</t>
        </is>
      </c>
      <c r="AB578" s="18" t="inlineStr"/>
      <c r="AC578" s="18" t="inlineStr"/>
      <c r="AD578" s="18" t="inlineStr">
        <is>
          <t>maxY=32</t>
        </is>
      </c>
      <c r="AE578" s="18" t="inlineStr">
        <is>
          <t>sky 0-7</t>
        </is>
      </c>
      <c r="AF578" s="18" t="inlineStr"/>
      <c r="AG578" s="18" t="inlineStr"/>
      <c r="AH578" s="18" t="inlineStr"/>
      <c r="AI578" s="18" t="inlineStr"/>
      <c r="AJ578" s="18" t="inlineStr">
        <is>
          <t>Cobblemon 동일</t>
        </is>
      </c>
      <c r="AK578" s="18" t="inlineStr">
        <is>
          <t>사용</t>
        </is>
      </c>
      <c r="AL578" s="18" t="inlineStr">
        <is>
          <t>COBBLEVERSE 1.7.42 / DP v31</t>
        </is>
      </c>
      <c r="AM578" s="18" t="inlineStr">
        <is>
          <t>data/cobblemon/spawn_pool_world/0147_dratini.json</t>
        </is>
      </c>
      <c r="AN578" s="18" t="inlineStr">
        <is>
          <t>dratini-1</t>
        </is>
      </c>
      <c r="AO578" s="18" t="inlineStr">
        <is>
          <t>pokemon</t>
        </is>
      </c>
      <c r="AP578" s="18" t="inlineStr">
        <is>
          <t>water</t>
        </is>
      </c>
      <c r="AQ578" s="18" t="inlineStr">
        <is>
          <t>{"biomes":["#cobblemon:is_overworld"],"maxSkyLight":7,"maxY":32,"minSkyLight":0}</t>
        </is>
      </c>
      <c r="AR578" s="18" t="inlineStr">
        <is>
          <t>{"biomes":["#cobblemon:is_deep_dark"]}</t>
        </is>
      </c>
      <c r="AS578" s="18" t="inlineStr"/>
      <c r="AT578" s="19" t="inlineStr"/>
    </row>
    <row r="579" ht="32" customHeight="1">
      <c r="A579" s="18" t="inlineStr">
        <is>
          <t>0147_dratini.json::dratini-2::002</t>
        </is>
      </c>
      <c r="B579" s="19" t="inlineStr">
        <is>
          <t>사용</t>
        </is>
      </c>
      <c r="C579" s="18">
        <f>IF(OR(B579&lt;&gt;AK579,M579&lt;&gt;L579,O579&lt;&gt;"",Q579&lt;&gt;"",V579&lt;&gt;1,Y579&lt;&gt;"",AT579&lt;&gt;""),"수정","원본")</f>
        <v/>
      </c>
      <c r="D579" s="18" t="n">
        <v>147</v>
      </c>
      <c r="E579" s="18" t="inlineStr">
        <is>
          <t>미뇽</t>
        </is>
      </c>
      <c r="F579" s="18" t="inlineStr">
        <is>
          <t>dratini</t>
        </is>
      </c>
      <c r="G579" s="18" t="inlineStr">
        <is>
          <t>dratini</t>
        </is>
      </c>
      <c r="H579" s="18" t="inlineStr"/>
      <c r="I579" s="18" t="n">
        <v>1</v>
      </c>
      <c r="J579" s="18" t="n"/>
      <c r="K579" s="18" t="n">
        <v>1</v>
      </c>
      <c r="L579" s="18" t="inlineStr">
        <is>
          <t>cobbleventure:generation_1</t>
        </is>
      </c>
      <c r="M579" s="19" t="inlineStr">
        <is>
          <t>cobbleventure:generation_1</t>
        </is>
      </c>
      <c r="N579" s="18" t="inlineStr">
        <is>
          <t>region_01; region_02</t>
        </is>
      </c>
      <c r="O579" s="19" t="inlineStr"/>
      <c r="P579" s="18" t="inlineStr">
        <is>
          <t>#cobblemon:is_overworld</t>
        </is>
      </c>
      <c r="Q579" s="19" t="inlineStr"/>
      <c r="R579" s="18">
        <f>IF(Q579="",P579,Q579)</f>
        <v/>
      </c>
      <c r="S579" s="18" t="inlineStr">
        <is>
          <t>#cobblemon:is_deep_dark</t>
        </is>
      </c>
      <c r="T579" s="18" t="inlineStr">
        <is>
          <t>rare</t>
        </is>
      </c>
      <c r="U579" s="20" t="n">
        <v>7.5</v>
      </c>
      <c r="V579" s="21" t="n">
        <v>1</v>
      </c>
      <c r="W579" s="20">
        <f>IF(OR(U579="",V579=""),U579,U579*V579)</f>
        <v/>
      </c>
      <c r="X579" s="18" t="inlineStr">
        <is>
          <t>5-30</t>
        </is>
      </c>
      <c r="Y579" s="19" t="inlineStr"/>
      <c r="Z579" s="18">
        <f>IF(Y579="",X579,Y579)</f>
        <v/>
      </c>
      <c r="AA579" s="18" t="inlineStr">
        <is>
          <t>submerged</t>
        </is>
      </c>
      <c r="AB579" s="18" t="inlineStr"/>
      <c r="AC579" s="18" t="inlineStr"/>
      <c r="AD579" s="18" t="inlineStr">
        <is>
          <t>maxY=32</t>
        </is>
      </c>
      <c r="AE579" s="18" t="inlineStr">
        <is>
          <t>sky 0-7</t>
        </is>
      </c>
      <c r="AF579" s="18" t="inlineStr"/>
      <c r="AG579" s="18" t="inlineStr"/>
      <c r="AH579" s="18" t="inlineStr"/>
      <c r="AI579" s="18" t="inlineStr"/>
      <c r="AJ579" s="18" t="inlineStr">
        <is>
          <t>Cobblemon 동일</t>
        </is>
      </c>
      <c r="AK579" s="18" t="inlineStr">
        <is>
          <t>사용</t>
        </is>
      </c>
      <c r="AL579" s="18" t="inlineStr">
        <is>
          <t>COBBLEVERSE 1.7.42 / DP v31</t>
        </is>
      </c>
      <c r="AM579" s="18" t="inlineStr">
        <is>
          <t>data/cobblemon/spawn_pool_world/0147_dratini.json</t>
        </is>
      </c>
      <c r="AN579" s="18" t="inlineStr">
        <is>
          <t>dratini-2</t>
        </is>
      </c>
      <c r="AO579" s="18" t="inlineStr">
        <is>
          <t>pokemon</t>
        </is>
      </c>
      <c r="AP579" s="18" t="inlineStr">
        <is>
          <t>water</t>
        </is>
      </c>
      <c r="AQ579" s="18" t="inlineStr">
        <is>
          <t>{"biomes":["#cobblemon:is_overworld"],"maxSkyLight":7,"maxY":32,"minSkyLight":0}</t>
        </is>
      </c>
      <c r="AR579" s="18" t="inlineStr">
        <is>
          <t>{"biomes":["#cobblemon:is_deep_dark"]}</t>
        </is>
      </c>
      <c r="AS579" s="18" t="inlineStr"/>
      <c r="AT579" s="19" t="inlineStr"/>
    </row>
    <row r="580" ht="32" customHeight="1">
      <c r="A580" s="18" t="inlineStr">
        <is>
          <t>0147_dratini.json::dratini-3::003</t>
        </is>
      </c>
      <c r="B580" s="19" t="inlineStr">
        <is>
          <t>사용</t>
        </is>
      </c>
      <c r="C580" s="18">
        <f>IF(OR(B580&lt;&gt;AK580,M580&lt;&gt;L580,O580&lt;&gt;"",Q580&lt;&gt;"",V580&lt;&gt;1,Y580&lt;&gt;"",AT580&lt;&gt;""),"수정","원본")</f>
        <v/>
      </c>
      <c r="D580" s="18" t="n">
        <v>147</v>
      </c>
      <c r="E580" s="18" t="inlineStr">
        <is>
          <t>미뇽</t>
        </is>
      </c>
      <c r="F580" s="18" t="inlineStr">
        <is>
          <t>dratini</t>
        </is>
      </c>
      <c r="G580" s="18" t="inlineStr">
        <is>
          <t>dratini</t>
        </is>
      </c>
      <c r="H580" s="18" t="inlineStr"/>
      <c r="I580" s="18" t="n">
        <v>1</v>
      </c>
      <c r="J580" s="18" t="n"/>
      <c r="K580" s="18" t="n">
        <v>1</v>
      </c>
      <c r="L580" s="18" t="inlineStr">
        <is>
          <t>cobbleventure:generation_1</t>
        </is>
      </c>
      <c r="M580" s="19" t="inlineStr">
        <is>
          <t>cobbleventure:generation_1</t>
        </is>
      </c>
      <c r="N580" s="18" t="inlineStr"/>
      <c r="O580" s="19" t="inlineStr"/>
      <c r="P580" s="18" t="inlineStr">
        <is>
          <t>#cobblemon:is_ocean</t>
        </is>
      </c>
      <c r="Q580" s="19" t="inlineStr"/>
      <c r="R580" s="18">
        <f>IF(Q580="",P580,Q580)</f>
        <v/>
      </c>
      <c r="S580" s="18" t="inlineStr"/>
      <c r="T580" s="18" t="inlineStr">
        <is>
          <t>uncommon</t>
        </is>
      </c>
      <c r="U580" s="20" t="n">
        <v>84</v>
      </c>
      <c r="V580" s="21" t="n">
        <v>1</v>
      </c>
      <c r="W580" s="20">
        <f>IF(OR(U580="",V580=""),U580,U580*V580)</f>
        <v/>
      </c>
      <c r="X580" s="18" t="inlineStr">
        <is>
          <t>5-30</t>
        </is>
      </c>
      <c r="Y580" s="19" t="inlineStr"/>
      <c r="Z580" s="18">
        <f>IF(Y580="",X580,Y580)</f>
        <v/>
      </c>
      <c r="AA580" s="18" t="inlineStr">
        <is>
          <t>submerged</t>
        </is>
      </c>
      <c r="AB580" s="18" t="inlineStr"/>
      <c r="AC580" s="18" t="inlineStr"/>
      <c r="AD580" s="18" t="inlineStr"/>
      <c r="AE580" s="18" t="inlineStr"/>
      <c r="AF580" s="18" t="inlineStr">
        <is>
          <t>True</t>
        </is>
      </c>
      <c r="AG580" s="18" t="inlineStr"/>
      <c r="AH580" s="18" t="inlineStr"/>
      <c r="AI580" s="18" t="inlineStr"/>
      <c r="AJ580" s="18" t="inlineStr">
        <is>
          <t>Cobblemon 동일</t>
        </is>
      </c>
      <c r="AK580" s="18" t="inlineStr">
        <is>
          <t>사용</t>
        </is>
      </c>
      <c r="AL580" s="18" t="inlineStr">
        <is>
          <t>COBBLEVERSE 1.7.42 / DP v31</t>
        </is>
      </c>
      <c r="AM580" s="18" t="inlineStr">
        <is>
          <t>data/cobblemon/spawn_pool_world/0147_dratini.json</t>
        </is>
      </c>
      <c r="AN580" s="18" t="inlineStr">
        <is>
          <t>dratini-3</t>
        </is>
      </c>
      <c r="AO580" s="18" t="inlineStr">
        <is>
          <t>pokemon</t>
        </is>
      </c>
      <c r="AP580" s="18" t="inlineStr">
        <is>
          <t>water; ocean_ruins</t>
        </is>
      </c>
      <c r="AQ580" s="18" t="inlineStr">
        <is>
          <t>{"biomes":["#cobblemon:is_ocean"],"canSeeSky":true}</t>
        </is>
      </c>
      <c r="AR580" s="18" t="inlineStr"/>
      <c r="AS580" s="18" t="inlineStr"/>
      <c r="AT580" s="19" t="inlineStr"/>
    </row>
    <row r="581" ht="32" customHeight="1">
      <c r="A581" s="18" t="inlineStr">
        <is>
          <t>0147_dratini.json::dratini-4::004</t>
        </is>
      </c>
      <c r="B581" s="19" t="inlineStr">
        <is>
          <t>사용</t>
        </is>
      </c>
      <c r="C581" s="18">
        <f>IF(OR(B581&lt;&gt;AK581,M581&lt;&gt;L581,O581&lt;&gt;"",Q581&lt;&gt;"",V581&lt;&gt;1,Y581&lt;&gt;"",AT581&lt;&gt;""),"수정","원본")</f>
        <v/>
      </c>
      <c r="D581" s="18" t="n">
        <v>147</v>
      </c>
      <c r="E581" s="18" t="inlineStr">
        <is>
          <t>미뇽</t>
        </is>
      </c>
      <c r="F581" s="18" t="inlineStr">
        <is>
          <t>dratini</t>
        </is>
      </c>
      <c r="G581" s="18" t="inlineStr">
        <is>
          <t>dratini</t>
        </is>
      </c>
      <c r="H581" s="18" t="inlineStr"/>
      <c r="I581" s="18" t="n">
        <v>1</v>
      </c>
      <c r="J581" s="18" t="n"/>
      <c r="K581" s="18" t="n">
        <v>1</v>
      </c>
      <c r="L581" s="18" t="inlineStr">
        <is>
          <t>cobbleventure:generation_1</t>
        </is>
      </c>
      <c r="M581" s="19" t="inlineStr">
        <is>
          <t>cobbleventure:generation_1</t>
        </is>
      </c>
      <c r="N581" s="18" t="inlineStr">
        <is>
          <t>region_01; region_02</t>
        </is>
      </c>
      <c r="O581" s="19" t="inlineStr"/>
      <c r="P581" s="18" t="inlineStr">
        <is>
          <t>#aether:is_aether; #cobblemon:is_overworld</t>
        </is>
      </c>
      <c r="Q581" s="19" t="inlineStr"/>
      <c r="R581" s="18">
        <f>IF(Q581="",P581,Q581)</f>
        <v/>
      </c>
      <c r="S581" s="18" t="inlineStr">
        <is>
          <t>#cobblemon:is_deep_dark</t>
        </is>
      </c>
      <c r="T581" s="18" t="inlineStr">
        <is>
          <t>rare</t>
        </is>
      </c>
      <c r="U581" s="20" t="n">
        <v>1.5</v>
      </c>
      <c r="V581" s="21" t="n">
        <v>1</v>
      </c>
      <c r="W581" s="20">
        <f>IF(OR(U581="",V581=""),U581,U581*V581)</f>
        <v/>
      </c>
      <c r="X581" s="18" t="inlineStr">
        <is>
          <t>5-30</t>
        </is>
      </c>
      <c r="Y581" s="19" t="inlineStr"/>
      <c r="Z581" s="18">
        <f>IF(Y581="",X581,Y581)</f>
        <v/>
      </c>
      <c r="AA581" s="18" t="inlineStr">
        <is>
          <t>fishing</t>
        </is>
      </c>
      <c r="AB581" s="18" t="inlineStr"/>
      <c r="AC581" s="18" t="inlineStr"/>
      <c r="AD581" s="18" t="inlineStr">
        <is>
          <t>maxY=32</t>
        </is>
      </c>
      <c r="AE581" s="18" t="inlineStr">
        <is>
          <t>sky 0-7</t>
        </is>
      </c>
      <c r="AF581" s="18" t="inlineStr"/>
      <c r="AG581" s="18" t="inlineStr"/>
      <c r="AH581" s="18" t="inlineStr"/>
      <c r="AI581" s="18" t="inlineStr"/>
      <c r="AJ581" s="18" t="inlineStr">
        <is>
          <t>Cobblemon 동일</t>
        </is>
      </c>
      <c r="AK581" s="18" t="inlineStr">
        <is>
          <t>사용</t>
        </is>
      </c>
      <c r="AL581" s="18" t="inlineStr">
        <is>
          <t>COBBLEVERSE 1.7.42 / DP v31</t>
        </is>
      </c>
      <c r="AM581" s="18" t="inlineStr">
        <is>
          <t>data/cobblemon/spawn_pool_world/0147_dratini.json</t>
        </is>
      </c>
      <c r="AN581" s="18" t="inlineStr">
        <is>
          <t>dratini-4</t>
        </is>
      </c>
      <c r="AO581" s="18" t="inlineStr">
        <is>
          <t>pokemon</t>
        </is>
      </c>
      <c r="AP581" s="18" t="inlineStr"/>
      <c r="AQ581" s="18" t="inlineStr">
        <is>
          <t>{"biomes":["#aether:is_aether","#cobblemon:is_overworld"],"maxSkyLight":7,"maxY":32,"minSkyLight":0}</t>
        </is>
      </c>
      <c r="AR581" s="18" t="inlineStr">
        <is>
          <t>{"biomes":["#cobblemon:is_deep_dark"]}</t>
        </is>
      </c>
      <c r="AS581" s="18" t="inlineStr"/>
      <c r="AT581" s="19" t="inlineStr"/>
    </row>
    <row r="582" ht="32" customHeight="1">
      <c r="A582" s="18" t="inlineStr">
        <is>
          <t>0147_dratini.json::dratini-5::005</t>
        </is>
      </c>
      <c r="B582" s="19" t="inlineStr">
        <is>
          <t>사용</t>
        </is>
      </c>
      <c r="C582" s="18">
        <f>IF(OR(B582&lt;&gt;AK582,M582&lt;&gt;L582,O582&lt;&gt;"",Q582&lt;&gt;"",V582&lt;&gt;1,Y582&lt;&gt;"",AT582&lt;&gt;""),"수정","원본")</f>
        <v/>
      </c>
      <c r="D582" s="18" t="n">
        <v>147</v>
      </c>
      <c r="E582" s="18" t="inlineStr">
        <is>
          <t>미뇽</t>
        </is>
      </c>
      <c r="F582" s="18" t="inlineStr">
        <is>
          <t>dratini</t>
        </is>
      </c>
      <c r="G582" s="18" t="inlineStr">
        <is>
          <t>dratini</t>
        </is>
      </c>
      <c r="H582" s="18" t="inlineStr"/>
      <c r="I582" s="18" t="n">
        <v>1</v>
      </c>
      <c r="J582" s="18" t="n"/>
      <c r="K582" s="18" t="n">
        <v>1</v>
      </c>
      <c r="L582" s="18" t="inlineStr">
        <is>
          <t>cobbleventure:generation_1</t>
        </is>
      </c>
      <c r="M582" s="19" t="inlineStr">
        <is>
          <t>cobbleventure:generation_1</t>
        </is>
      </c>
      <c r="N582" s="18" t="inlineStr"/>
      <c r="O582" s="19" t="inlineStr"/>
      <c r="P582" s="18" t="inlineStr">
        <is>
          <t>#aether:is_aether; #cobblemon:is_magical; #cobblemon:is_ocean</t>
        </is>
      </c>
      <c r="Q582" s="19" t="inlineStr"/>
      <c r="R582" s="18">
        <f>IF(Q582="",P582,Q582)</f>
        <v/>
      </c>
      <c r="S582" s="18" t="inlineStr">
        <is>
          <t>#cobblemon:is_frozen_ocean</t>
        </is>
      </c>
      <c r="T582" s="18" t="inlineStr">
        <is>
          <t>ultra-rare</t>
        </is>
      </c>
      <c r="U582" s="20" t="n">
        <v>6</v>
      </c>
      <c r="V582" s="21" t="n">
        <v>1</v>
      </c>
      <c r="W582" s="20">
        <f>IF(OR(U582="",V582=""),U582,U582*V582)</f>
        <v/>
      </c>
      <c r="X582" s="18" t="inlineStr">
        <is>
          <t>5-30</t>
        </is>
      </c>
      <c r="Y582" s="19" t="inlineStr"/>
      <c r="Z582" s="18">
        <f>IF(Y582="",X582,Y582)</f>
        <v/>
      </c>
      <c r="AA582" s="18" t="inlineStr">
        <is>
          <t>fishing</t>
        </is>
      </c>
      <c r="AB582" s="18" t="inlineStr"/>
      <c r="AC582" s="18" t="inlineStr"/>
      <c r="AD582" s="18" t="inlineStr"/>
      <c r="AE582" s="18" t="inlineStr"/>
      <c r="AF582" s="18" t="inlineStr">
        <is>
          <t>True</t>
        </is>
      </c>
      <c r="AG582" s="18" t="inlineStr"/>
      <c r="AH582" s="18" t="inlineStr"/>
      <c r="AI582" s="18" t="inlineStr"/>
      <c r="AJ582" s="18" t="inlineStr">
        <is>
          <t>Cobblemon 동일</t>
        </is>
      </c>
      <c r="AK582" s="18" t="inlineStr">
        <is>
          <t>사용</t>
        </is>
      </c>
      <c r="AL582" s="18" t="inlineStr">
        <is>
          <t>COBBLEVERSE 1.7.42 / DP v31</t>
        </is>
      </c>
      <c r="AM582" s="18" t="inlineStr">
        <is>
          <t>data/cobblemon/spawn_pool_world/0147_dratini.json</t>
        </is>
      </c>
      <c r="AN582" s="18" t="inlineStr">
        <is>
          <t>dratini-5</t>
        </is>
      </c>
      <c r="AO582" s="18" t="inlineStr">
        <is>
          <t>pokemon</t>
        </is>
      </c>
      <c r="AP582" s="18" t="inlineStr"/>
      <c r="AQ582" s="18" t="inlineStr">
        <is>
          <t>{"biomes":["#aether:is_aether","#cobblemon:is_magical","#cobblemon:is_ocean"],"canSeeSky":true}</t>
        </is>
      </c>
      <c r="AR582" s="18" t="inlineStr">
        <is>
          <t>{"biomes":["#cobblemon:is_frozen_ocean"]}</t>
        </is>
      </c>
      <c r="AS582" s="18" t="inlineStr"/>
      <c r="AT582" s="19" t="inlineStr"/>
    </row>
    <row r="583" ht="32" customHeight="1">
      <c r="A583" s="18" t="inlineStr">
        <is>
          <t>0147_dratini.json::dratini-6::006</t>
        </is>
      </c>
      <c r="B583" s="19" t="inlineStr">
        <is>
          <t>사용</t>
        </is>
      </c>
      <c r="C583" s="18">
        <f>IF(OR(B583&lt;&gt;AK583,M583&lt;&gt;L583,O583&lt;&gt;"",Q583&lt;&gt;"",V583&lt;&gt;1,Y583&lt;&gt;"",AT583&lt;&gt;""),"수정","원본")</f>
        <v/>
      </c>
      <c r="D583" s="18" t="n">
        <v>147</v>
      </c>
      <c r="E583" s="18" t="inlineStr">
        <is>
          <t>미뇽</t>
        </is>
      </c>
      <c r="F583" s="18" t="inlineStr">
        <is>
          <t>dratini</t>
        </is>
      </c>
      <c r="G583" s="18" t="inlineStr">
        <is>
          <t>dratini</t>
        </is>
      </c>
      <c r="H583" s="18" t="inlineStr"/>
      <c r="I583" s="18" t="n">
        <v>1</v>
      </c>
      <c r="J583" s="18" t="n"/>
      <c r="K583" s="18" t="n">
        <v>1</v>
      </c>
      <c r="L583" s="18" t="inlineStr">
        <is>
          <t>cobbleventure:generation_1</t>
        </is>
      </c>
      <c r="M583" s="19" t="inlineStr">
        <is>
          <t>cobbleventure:generation_1</t>
        </is>
      </c>
      <c r="N583" s="18" t="inlineStr"/>
      <c r="O583" s="19" t="inlineStr"/>
      <c r="P583" s="18" t="inlineStr">
        <is>
          <t>#cobblemon:is_ocean</t>
        </is>
      </c>
      <c r="Q583" s="19" t="inlineStr"/>
      <c r="R583" s="18">
        <f>IF(Q583="",P583,Q583)</f>
        <v/>
      </c>
      <c r="S583" s="18" t="inlineStr"/>
      <c r="T583" s="18" t="inlineStr">
        <is>
          <t>uncommon</t>
        </is>
      </c>
      <c r="U583" s="20" t="n">
        <v>84</v>
      </c>
      <c r="V583" s="21" t="n">
        <v>1</v>
      </c>
      <c r="W583" s="20">
        <f>IF(OR(U583="",V583=""),U583,U583*V583)</f>
        <v/>
      </c>
      <c r="X583" s="18" t="inlineStr">
        <is>
          <t>5-30</t>
        </is>
      </c>
      <c r="Y583" s="19" t="inlineStr"/>
      <c r="Z583" s="18">
        <f>IF(Y583="",X583,Y583)</f>
        <v/>
      </c>
      <c r="AA583" s="18" t="inlineStr">
        <is>
          <t>submerged</t>
        </is>
      </c>
      <c r="AB583" s="18" t="inlineStr"/>
      <c r="AC583" s="18" t="inlineStr"/>
      <c r="AD583" s="18" t="inlineStr"/>
      <c r="AE583" s="18" t="inlineStr">
        <is>
          <t>sky 8-15</t>
        </is>
      </c>
      <c r="AF583" s="18" t="inlineStr">
        <is>
          <t>False</t>
        </is>
      </c>
      <c r="AG583" s="18" t="inlineStr"/>
      <c r="AH583" s="18" t="inlineStr"/>
      <c r="AI583" s="18" t="inlineStr"/>
      <c r="AJ583" s="18" t="inlineStr">
        <is>
          <t>Cobblemon 동일</t>
        </is>
      </c>
      <c r="AK583" s="18" t="inlineStr">
        <is>
          <t>사용</t>
        </is>
      </c>
      <c r="AL583" s="18" t="inlineStr">
        <is>
          <t>COBBLEVERSE 1.7.42 / DP v31</t>
        </is>
      </c>
      <c r="AM583" s="18" t="inlineStr">
        <is>
          <t>data/cobblemon/spawn_pool_world/0147_dratini.json</t>
        </is>
      </c>
      <c r="AN583" s="18" t="inlineStr">
        <is>
          <t>dratini-6</t>
        </is>
      </c>
      <c r="AO583" s="18" t="inlineStr">
        <is>
          <t>pokemon</t>
        </is>
      </c>
      <c r="AP583" s="18" t="inlineStr">
        <is>
          <t>water; ocean_ruins</t>
        </is>
      </c>
      <c r="AQ583" s="18" t="inlineStr">
        <is>
          <t>{"biomes":["#cobblemon:is_ocean"],"canSeeSky":false,"maxSkyLight":15,"minSkyLight":8}</t>
        </is>
      </c>
      <c r="AR583" s="18" t="inlineStr"/>
      <c r="AS583" s="18" t="inlineStr"/>
      <c r="AT583" s="19" t="inlineStr"/>
    </row>
    <row r="584" ht="32" customHeight="1">
      <c r="A584" s="18" t="inlineStr">
        <is>
          <t>0147_dratini.json::dratini-7::007</t>
        </is>
      </c>
      <c r="B584" s="19" t="inlineStr">
        <is>
          <t>사용</t>
        </is>
      </c>
      <c r="C584" s="18">
        <f>IF(OR(B584&lt;&gt;AK584,M584&lt;&gt;L584,O584&lt;&gt;"",Q584&lt;&gt;"",V584&lt;&gt;1,Y584&lt;&gt;"",AT584&lt;&gt;""),"수정","원본")</f>
        <v/>
      </c>
      <c r="D584" s="18" t="n">
        <v>147</v>
      </c>
      <c r="E584" s="18" t="inlineStr">
        <is>
          <t>미뇽</t>
        </is>
      </c>
      <c r="F584" s="18" t="inlineStr">
        <is>
          <t>dratini</t>
        </is>
      </c>
      <c r="G584" s="18" t="inlineStr">
        <is>
          <t>dratini</t>
        </is>
      </c>
      <c r="H584" s="18" t="inlineStr"/>
      <c r="I584" s="18" t="n">
        <v>1</v>
      </c>
      <c r="J584" s="18" t="n"/>
      <c r="K584" s="18" t="n">
        <v>1</v>
      </c>
      <c r="L584" s="18" t="inlineStr">
        <is>
          <t>cobbleventure:generation_1</t>
        </is>
      </c>
      <c r="M584" s="19" t="inlineStr">
        <is>
          <t>cobbleventure:generation_1</t>
        </is>
      </c>
      <c r="N584" s="18" t="inlineStr"/>
      <c r="O584" s="19" t="inlineStr"/>
      <c r="P584" s="18" t="inlineStr">
        <is>
          <t>#aether:is_aether; #cobblemon:is_magical; #cobblemon:is_ocean</t>
        </is>
      </c>
      <c r="Q584" s="19" t="inlineStr"/>
      <c r="R584" s="18">
        <f>IF(Q584="",P584,Q584)</f>
        <v/>
      </c>
      <c r="S584" s="18" t="inlineStr">
        <is>
          <t>#cobblemon:is_frozen_ocean</t>
        </is>
      </c>
      <c r="T584" s="18" t="inlineStr">
        <is>
          <t>ultra-rare</t>
        </is>
      </c>
      <c r="U584" s="20" t="n">
        <v>6</v>
      </c>
      <c r="V584" s="21" t="n">
        <v>1</v>
      </c>
      <c r="W584" s="20">
        <f>IF(OR(U584="",V584=""),U584,U584*V584)</f>
        <v/>
      </c>
      <c r="X584" s="18" t="inlineStr">
        <is>
          <t>5-30</t>
        </is>
      </c>
      <c r="Y584" s="19" t="inlineStr"/>
      <c r="Z584" s="18">
        <f>IF(Y584="",X584,Y584)</f>
        <v/>
      </c>
      <c r="AA584" s="18" t="inlineStr">
        <is>
          <t>fishing</t>
        </is>
      </c>
      <c r="AB584" s="18" t="inlineStr"/>
      <c r="AC584" s="18" t="inlineStr"/>
      <c r="AD584" s="18" t="inlineStr"/>
      <c r="AE584" s="18" t="inlineStr">
        <is>
          <t>sky 8-15</t>
        </is>
      </c>
      <c r="AF584" s="18" t="inlineStr">
        <is>
          <t>False</t>
        </is>
      </c>
      <c r="AG584" s="18" t="inlineStr"/>
      <c r="AH584" s="18" t="inlineStr"/>
      <c r="AI584" s="18" t="inlineStr"/>
      <c r="AJ584" s="18" t="inlineStr">
        <is>
          <t>Cobblemon 동일</t>
        </is>
      </c>
      <c r="AK584" s="18" t="inlineStr">
        <is>
          <t>사용</t>
        </is>
      </c>
      <c r="AL584" s="18" t="inlineStr">
        <is>
          <t>COBBLEVERSE 1.7.42 / DP v31</t>
        </is>
      </c>
      <c r="AM584" s="18" t="inlineStr">
        <is>
          <t>data/cobblemon/spawn_pool_world/0147_dratini.json</t>
        </is>
      </c>
      <c r="AN584" s="18" t="inlineStr">
        <is>
          <t>dratini-7</t>
        </is>
      </c>
      <c r="AO584" s="18" t="inlineStr">
        <is>
          <t>pokemon</t>
        </is>
      </c>
      <c r="AP584" s="18" t="inlineStr"/>
      <c r="AQ584" s="18" t="inlineStr">
        <is>
          <t>{"biomes":["#aether:is_aether","#cobblemon:is_magical","#cobblemon:is_ocean"],"canSeeSky":false,"maxSkyLight":15,"minSkyLight":8}</t>
        </is>
      </c>
      <c r="AR584" s="18" t="inlineStr">
        <is>
          <t>{"biomes":["#cobblemon:is_frozen_ocean"]}</t>
        </is>
      </c>
      <c r="AS584" s="18" t="inlineStr"/>
      <c r="AT584" s="19" t="inlineStr"/>
    </row>
    <row r="585" ht="32" customHeight="1">
      <c r="A585" s="18" t="inlineStr">
        <is>
          <t>0148_dragonair.json::dragonair-1::001</t>
        </is>
      </c>
      <c r="B585" s="19" t="inlineStr">
        <is>
          <t>사용</t>
        </is>
      </c>
      <c r="C585" s="18">
        <f>IF(OR(B585&lt;&gt;AK585,M585&lt;&gt;L585,O585&lt;&gt;"",Q585&lt;&gt;"",V585&lt;&gt;1,Y585&lt;&gt;"",AT585&lt;&gt;""),"수정","원본")</f>
        <v/>
      </c>
      <c r="D585" s="18" t="n">
        <v>148</v>
      </c>
      <c r="E585" s="18" t="inlineStr">
        <is>
          <t>신뇽</t>
        </is>
      </c>
      <c r="F585" s="18" t="inlineStr">
        <is>
          <t>dragonair</t>
        </is>
      </c>
      <c r="G585" s="18" t="inlineStr">
        <is>
          <t>dragonair</t>
        </is>
      </c>
      <c r="H585" s="18" t="inlineStr"/>
      <c r="I585" s="18" t="n">
        <v>1</v>
      </c>
      <c r="J585" s="18" t="n"/>
      <c r="K585" s="18" t="n">
        <v>1</v>
      </c>
      <c r="L585" s="18" t="inlineStr">
        <is>
          <t>cobbleventure:generation_1</t>
        </is>
      </c>
      <c r="M585" s="19" t="inlineStr">
        <is>
          <t>cobbleventure:generation_1</t>
        </is>
      </c>
      <c r="N585" s="18" t="inlineStr">
        <is>
          <t>region_01; region_02</t>
        </is>
      </c>
      <c r="O585" s="19" t="inlineStr"/>
      <c r="P585" s="18" t="inlineStr">
        <is>
          <t>#cobblemon:is_overworld</t>
        </is>
      </c>
      <c r="Q585" s="19" t="inlineStr"/>
      <c r="R585" s="18">
        <f>IF(Q585="",P585,Q585)</f>
        <v/>
      </c>
      <c r="S585" s="18" t="inlineStr">
        <is>
          <t>#cobblemon:is_deep_dark</t>
        </is>
      </c>
      <c r="T585" s="18" t="inlineStr">
        <is>
          <t>rare</t>
        </is>
      </c>
      <c r="U585" s="20" t="n">
        <v>2.25</v>
      </c>
      <c r="V585" s="21" t="n">
        <v>1</v>
      </c>
      <c r="W585" s="20">
        <f>IF(OR(U585="",V585=""),U585,U585*V585)</f>
        <v/>
      </c>
      <c r="X585" s="18" t="inlineStr">
        <is>
          <t>30-42</t>
        </is>
      </c>
      <c r="Y585" s="19" t="inlineStr"/>
      <c r="Z585" s="18">
        <f>IF(Y585="",X585,Y585)</f>
        <v/>
      </c>
      <c r="AA585" s="18" t="inlineStr">
        <is>
          <t>surface</t>
        </is>
      </c>
      <c r="AB585" s="18" t="inlineStr"/>
      <c r="AC585" s="18" t="inlineStr"/>
      <c r="AD585" s="18" t="inlineStr">
        <is>
          <t>maxY=32</t>
        </is>
      </c>
      <c r="AE585" s="18" t="inlineStr">
        <is>
          <t>sky 0-7</t>
        </is>
      </c>
      <c r="AF585" s="18" t="inlineStr"/>
      <c r="AG585" s="18" t="inlineStr"/>
      <c r="AH585" s="18" t="inlineStr"/>
      <c r="AI585" s="18" t="inlineStr"/>
      <c r="AJ585" s="18" t="inlineStr">
        <is>
          <t>Cobblemon 동일</t>
        </is>
      </c>
      <c r="AK585" s="18" t="inlineStr">
        <is>
          <t>사용</t>
        </is>
      </c>
      <c r="AL585" s="18" t="inlineStr">
        <is>
          <t>COBBLEVERSE 1.7.42 / DP v31</t>
        </is>
      </c>
      <c r="AM585" s="18" t="inlineStr">
        <is>
          <t>data/cobblemon/spawn_pool_world/0148_dragonair.json</t>
        </is>
      </c>
      <c r="AN585" s="18" t="inlineStr">
        <is>
          <t>dragonair-1</t>
        </is>
      </c>
      <c r="AO585" s="18" t="inlineStr">
        <is>
          <t>pokemon</t>
        </is>
      </c>
      <c r="AP585" s="18" t="inlineStr">
        <is>
          <t>water</t>
        </is>
      </c>
      <c r="AQ585" s="18" t="inlineStr">
        <is>
          <t>{"biomes":["#cobblemon:is_overworld"],"maxSkyLight":7,"maxY":32,"minSkyLight":0}</t>
        </is>
      </c>
      <c r="AR585" s="18" t="inlineStr">
        <is>
          <t>{"biomes":["#cobblemon:is_deep_dark"]}</t>
        </is>
      </c>
      <c r="AS585" s="18" t="inlineStr"/>
      <c r="AT585" s="19" t="inlineStr"/>
    </row>
    <row r="586" ht="32" customHeight="1">
      <c r="A586" s="18" t="inlineStr">
        <is>
          <t>0148_dragonair.json::dragonair-2::002</t>
        </is>
      </c>
      <c r="B586" s="19" t="inlineStr">
        <is>
          <t>사용</t>
        </is>
      </c>
      <c r="C586" s="18">
        <f>IF(OR(B586&lt;&gt;AK586,M586&lt;&gt;L586,O586&lt;&gt;"",Q586&lt;&gt;"",V586&lt;&gt;1,Y586&lt;&gt;"",AT586&lt;&gt;""),"수정","원본")</f>
        <v/>
      </c>
      <c r="D586" s="18" t="n">
        <v>148</v>
      </c>
      <c r="E586" s="18" t="inlineStr">
        <is>
          <t>신뇽</t>
        </is>
      </c>
      <c r="F586" s="18" t="inlineStr">
        <is>
          <t>dragonair</t>
        </is>
      </c>
      <c r="G586" s="18" t="inlineStr">
        <is>
          <t>dragonair</t>
        </is>
      </c>
      <c r="H586" s="18" t="inlineStr"/>
      <c r="I586" s="18" t="n">
        <v>1</v>
      </c>
      <c r="J586" s="18" t="n"/>
      <c r="K586" s="18" t="n">
        <v>1</v>
      </c>
      <c r="L586" s="18" t="inlineStr">
        <is>
          <t>cobbleventure:generation_1</t>
        </is>
      </c>
      <c r="M586" s="19" t="inlineStr">
        <is>
          <t>cobbleventure:generation_1</t>
        </is>
      </c>
      <c r="N586" s="18" t="inlineStr">
        <is>
          <t>region_01; region_02</t>
        </is>
      </c>
      <c r="O586" s="19" t="inlineStr"/>
      <c r="P586" s="18" t="inlineStr">
        <is>
          <t>#cobblemon:is_overworld</t>
        </is>
      </c>
      <c r="Q586" s="19" t="inlineStr"/>
      <c r="R586" s="18">
        <f>IF(Q586="",P586,Q586)</f>
        <v/>
      </c>
      <c r="S586" s="18" t="inlineStr">
        <is>
          <t>#cobblemon:is_deep_dark</t>
        </is>
      </c>
      <c r="T586" s="18" t="inlineStr">
        <is>
          <t>rare</t>
        </is>
      </c>
      <c r="U586" s="20" t="n">
        <v>2.25</v>
      </c>
      <c r="V586" s="21" t="n">
        <v>1</v>
      </c>
      <c r="W586" s="20">
        <f>IF(OR(U586="",V586=""),U586,U586*V586)</f>
        <v/>
      </c>
      <c r="X586" s="18" t="inlineStr">
        <is>
          <t>30-42</t>
        </is>
      </c>
      <c r="Y586" s="19" t="inlineStr"/>
      <c r="Z586" s="18">
        <f>IF(Y586="",X586,Y586)</f>
        <v/>
      </c>
      <c r="AA586" s="18" t="inlineStr">
        <is>
          <t>submerged</t>
        </is>
      </c>
      <c r="AB586" s="18" t="inlineStr"/>
      <c r="AC586" s="18" t="inlineStr"/>
      <c r="AD586" s="18" t="inlineStr">
        <is>
          <t>maxY=32</t>
        </is>
      </c>
      <c r="AE586" s="18" t="inlineStr">
        <is>
          <t>sky 0-7</t>
        </is>
      </c>
      <c r="AF586" s="18" t="inlineStr"/>
      <c r="AG586" s="18" t="inlineStr"/>
      <c r="AH586" s="18" t="inlineStr"/>
      <c r="AI586" s="18" t="inlineStr"/>
      <c r="AJ586" s="18" t="inlineStr">
        <is>
          <t>Cobblemon 동일</t>
        </is>
      </c>
      <c r="AK586" s="18" t="inlineStr">
        <is>
          <t>사용</t>
        </is>
      </c>
      <c r="AL586" s="18" t="inlineStr">
        <is>
          <t>COBBLEVERSE 1.7.42 / DP v31</t>
        </is>
      </c>
      <c r="AM586" s="18" t="inlineStr">
        <is>
          <t>data/cobblemon/spawn_pool_world/0148_dragonair.json</t>
        </is>
      </c>
      <c r="AN586" s="18" t="inlineStr">
        <is>
          <t>dragonair-2</t>
        </is>
      </c>
      <c r="AO586" s="18" t="inlineStr">
        <is>
          <t>pokemon</t>
        </is>
      </c>
      <c r="AP586" s="18" t="inlineStr">
        <is>
          <t>water</t>
        </is>
      </c>
      <c r="AQ586" s="18" t="inlineStr">
        <is>
          <t>{"biomes":["#cobblemon:is_overworld"],"maxSkyLight":7,"maxY":32,"minSkyLight":0}</t>
        </is>
      </c>
      <c r="AR586" s="18" t="inlineStr">
        <is>
          <t>{"biomes":["#cobblemon:is_deep_dark"]}</t>
        </is>
      </c>
      <c r="AS586" s="18" t="inlineStr"/>
      <c r="AT586" s="19" t="inlineStr"/>
    </row>
    <row r="587" ht="32" customHeight="1">
      <c r="A587" s="18" t="inlineStr">
        <is>
          <t>0148_dragonair.json::dragonair-3::003</t>
        </is>
      </c>
      <c r="B587" s="19" t="inlineStr">
        <is>
          <t>사용</t>
        </is>
      </c>
      <c r="C587" s="18">
        <f>IF(OR(B587&lt;&gt;AK587,M587&lt;&gt;L587,O587&lt;&gt;"",Q587&lt;&gt;"",V587&lt;&gt;1,Y587&lt;&gt;"",AT587&lt;&gt;""),"수정","원본")</f>
        <v/>
      </c>
      <c r="D587" s="18" t="n">
        <v>148</v>
      </c>
      <c r="E587" s="18" t="inlineStr">
        <is>
          <t>신뇽</t>
        </is>
      </c>
      <c r="F587" s="18" t="inlineStr">
        <is>
          <t>dragonair</t>
        </is>
      </c>
      <c r="G587" s="18" t="inlineStr">
        <is>
          <t>dragonair</t>
        </is>
      </c>
      <c r="H587" s="18" t="inlineStr"/>
      <c r="I587" s="18" t="n">
        <v>1</v>
      </c>
      <c r="J587" s="18" t="n"/>
      <c r="K587" s="18" t="n">
        <v>1</v>
      </c>
      <c r="L587" s="18" t="inlineStr">
        <is>
          <t>cobbleventure:generation_1</t>
        </is>
      </c>
      <c r="M587" s="19" t="inlineStr">
        <is>
          <t>cobbleventure:generation_1</t>
        </is>
      </c>
      <c r="N587" s="18" t="inlineStr"/>
      <c r="O587" s="19" t="inlineStr"/>
      <c r="P587" s="18" t="inlineStr">
        <is>
          <t>#cobblemon:is_ocean</t>
        </is>
      </c>
      <c r="Q587" s="19" t="inlineStr"/>
      <c r="R587" s="18">
        <f>IF(Q587="",P587,Q587)</f>
        <v/>
      </c>
      <c r="S587" s="18" t="inlineStr"/>
      <c r="T587" s="18" t="inlineStr">
        <is>
          <t>uncommon</t>
        </is>
      </c>
      <c r="U587" s="20" t="n">
        <v>14.4</v>
      </c>
      <c r="V587" s="21" t="n">
        <v>1</v>
      </c>
      <c r="W587" s="20">
        <f>IF(OR(U587="",V587=""),U587,U587*V587)</f>
        <v/>
      </c>
      <c r="X587" s="18" t="inlineStr">
        <is>
          <t>30-42</t>
        </is>
      </c>
      <c r="Y587" s="19" t="inlineStr"/>
      <c r="Z587" s="18">
        <f>IF(Y587="",X587,Y587)</f>
        <v/>
      </c>
      <c r="AA587" s="18" t="inlineStr">
        <is>
          <t>submerged</t>
        </is>
      </c>
      <c r="AB587" s="18" t="inlineStr"/>
      <c r="AC587" s="18" t="inlineStr"/>
      <c r="AD587" s="18" t="inlineStr"/>
      <c r="AE587" s="18" t="inlineStr"/>
      <c r="AF587" s="18" t="inlineStr">
        <is>
          <t>True</t>
        </is>
      </c>
      <c r="AG587" s="18" t="inlineStr"/>
      <c r="AH587" s="18" t="inlineStr"/>
      <c r="AI587" s="18" t="inlineStr"/>
      <c r="AJ587" s="18" t="inlineStr">
        <is>
          <t>Cobblemon 동일</t>
        </is>
      </c>
      <c r="AK587" s="18" t="inlineStr">
        <is>
          <t>사용</t>
        </is>
      </c>
      <c r="AL587" s="18" t="inlineStr">
        <is>
          <t>COBBLEVERSE 1.7.42 / DP v31</t>
        </is>
      </c>
      <c r="AM587" s="18" t="inlineStr">
        <is>
          <t>data/cobblemon/spawn_pool_world/0148_dragonair.json</t>
        </is>
      </c>
      <c r="AN587" s="18" t="inlineStr">
        <is>
          <t>dragonair-3</t>
        </is>
      </c>
      <c r="AO587" s="18" t="inlineStr">
        <is>
          <t>pokemon</t>
        </is>
      </c>
      <c r="AP587" s="18" t="inlineStr">
        <is>
          <t>water; ocean_ruins</t>
        </is>
      </c>
      <c r="AQ587" s="18" t="inlineStr">
        <is>
          <t>{"biomes":["#cobblemon:is_ocean"],"canSeeSky":true}</t>
        </is>
      </c>
      <c r="AR587" s="18" t="inlineStr"/>
      <c r="AS587" s="18" t="inlineStr"/>
      <c r="AT587" s="19" t="inlineStr"/>
    </row>
    <row r="588" ht="32" customHeight="1">
      <c r="A588" s="18" t="inlineStr">
        <is>
          <t>0148_dragonair.json::dragonair-4::004</t>
        </is>
      </c>
      <c r="B588" s="19" t="inlineStr">
        <is>
          <t>사용</t>
        </is>
      </c>
      <c r="C588" s="18">
        <f>IF(OR(B588&lt;&gt;AK588,M588&lt;&gt;L588,O588&lt;&gt;"",Q588&lt;&gt;"",V588&lt;&gt;1,Y588&lt;&gt;"",AT588&lt;&gt;""),"수정","원본")</f>
        <v/>
      </c>
      <c r="D588" s="18" t="n">
        <v>148</v>
      </c>
      <c r="E588" s="18" t="inlineStr">
        <is>
          <t>신뇽</t>
        </is>
      </c>
      <c r="F588" s="18" t="inlineStr">
        <is>
          <t>dragonair</t>
        </is>
      </c>
      <c r="G588" s="18" t="inlineStr">
        <is>
          <t>dragonair</t>
        </is>
      </c>
      <c r="H588" s="18" t="inlineStr"/>
      <c r="I588" s="18" t="n">
        <v>1</v>
      </c>
      <c r="J588" s="18" t="n"/>
      <c r="K588" s="18" t="n">
        <v>1</v>
      </c>
      <c r="L588" s="18" t="inlineStr">
        <is>
          <t>cobbleventure:generation_1</t>
        </is>
      </c>
      <c r="M588" s="19" t="inlineStr">
        <is>
          <t>cobbleventure:generation_1</t>
        </is>
      </c>
      <c r="N588" s="18" t="inlineStr">
        <is>
          <t>region_01; region_02</t>
        </is>
      </c>
      <c r="O588" s="19" t="inlineStr"/>
      <c r="P588" s="18" t="inlineStr">
        <is>
          <t>#aether:is_aether; #cobblemon:is_overworld</t>
        </is>
      </c>
      <c r="Q588" s="19" t="inlineStr"/>
      <c r="R588" s="18">
        <f>IF(Q588="",P588,Q588)</f>
        <v/>
      </c>
      <c r="S588" s="18" t="inlineStr">
        <is>
          <t>#cobblemon:is_deep_dark</t>
        </is>
      </c>
      <c r="T588" s="18" t="inlineStr">
        <is>
          <t>rare</t>
        </is>
      </c>
      <c r="U588" s="20" t="n">
        <v>0.45</v>
      </c>
      <c r="V588" s="21" t="n">
        <v>1</v>
      </c>
      <c r="W588" s="20">
        <f>IF(OR(U588="",V588=""),U588,U588*V588)</f>
        <v/>
      </c>
      <c r="X588" s="18" t="inlineStr">
        <is>
          <t>30-42</t>
        </is>
      </c>
      <c r="Y588" s="19" t="inlineStr"/>
      <c r="Z588" s="18">
        <f>IF(Y588="",X588,Y588)</f>
        <v/>
      </c>
      <c r="AA588" s="18" t="inlineStr">
        <is>
          <t>fishing</t>
        </is>
      </c>
      <c r="AB588" s="18" t="inlineStr"/>
      <c r="AC588" s="18" t="inlineStr"/>
      <c r="AD588" s="18" t="inlineStr">
        <is>
          <t>maxY=32</t>
        </is>
      </c>
      <c r="AE588" s="18" t="inlineStr">
        <is>
          <t>sky 0-7</t>
        </is>
      </c>
      <c r="AF588" s="18" t="inlineStr"/>
      <c r="AG588" s="18" t="inlineStr"/>
      <c r="AH588" s="18" t="inlineStr"/>
      <c r="AI588" s="18" t="inlineStr"/>
      <c r="AJ588" s="18" t="inlineStr">
        <is>
          <t>Cobblemon 동일</t>
        </is>
      </c>
      <c r="AK588" s="18" t="inlineStr">
        <is>
          <t>사용</t>
        </is>
      </c>
      <c r="AL588" s="18" t="inlineStr">
        <is>
          <t>COBBLEVERSE 1.7.42 / DP v31</t>
        </is>
      </c>
      <c r="AM588" s="18" t="inlineStr">
        <is>
          <t>data/cobblemon/spawn_pool_world/0148_dragonair.json</t>
        </is>
      </c>
      <c r="AN588" s="18" t="inlineStr">
        <is>
          <t>dragonair-4</t>
        </is>
      </c>
      <c r="AO588" s="18" t="inlineStr">
        <is>
          <t>pokemon</t>
        </is>
      </c>
      <c r="AP588" s="18" t="inlineStr"/>
      <c r="AQ588" s="18" t="inlineStr">
        <is>
          <t>{"biomes":["#aether:is_aether","#cobblemon:is_overworld"],"maxSkyLight":7,"maxY":32,"minSkyLight":0}</t>
        </is>
      </c>
      <c r="AR588" s="18" t="inlineStr">
        <is>
          <t>{"biomes":["#cobblemon:is_deep_dark"]}</t>
        </is>
      </c>
      <c r="AS588" s="18" t="inlineStr"/>
      <c r="AT588" s="19" t="inlineStr"/>
    </row>
    <row r="589" ht="32" customHeight="1">
      <c r="A589" s="18" t="inlineStr">
        <is>
          <t>0148_dragonair.json::dragonair-5::005</t>
        </is>
      </c>
      <c r="B589" s="19" t="inlineStr">
        <is>
          <t>사용</t>
        </is>
      </c>
      <c r="C589" s="18">
        <f>IF(OR(B589&lt;&gt;AK589,M589&lt;&gt;L589,O589&lt;&gt;"",Q589&lt;&gt;"",V589&lt;&gt;1,Y589&lt;&gt;"",AT589&lt;&gt;""),"수정","원본")</f>
        <v/>
      </c>
      <c r="D589" s="18" t="n">
        <v>148</v>
      </c>
      <c r="E589" s="18" t="inlineStr">
        <is>
          <t>신뇽</t>
        </is>
      </c>
      <c r="F589" s="18" t="inlineStr">
        <is>
          <t>dragonair</t>
        </is>
      </c>
      <c r="G589" s="18" t="inlineStr">
        <is>
          <t>dragonair</t>
        </is>
      </c>
      <c r="H589" s="18" t="inlineStr"/>
      <c r="I589" s="18" t="n">
        <v>1</v>
      </c>
      <c r="J589" s="18" t="n"/>
      <c r="K589" s="18" t="n">
        <v>1</v>
      </c>
      <c r="L589" s="18" t="inlineStr">
        <is>
          <t>cobbleventure:generation_1</t>
        </is>
      </c>
      <c r="M589" s="19" t="inlineStr">
        <is>
          <t>cobbleventure:generation_1</t>
        </is>
      </c>
      <c r="N589" s="18" t="inlineStr"/>
      <c r="O589" s="19" t="inlineStr"/>
      <c r="P589" s="18" t="inlineStr">
        <is>
          <t>#aether:is_aether; #cobblemon:is_magical; #cobblemon:is_ocean</t>
        </is>
      </c>
      <c r="Q589" s="19" t="inlineStr"/>
      <c r="R589" s="18">
        <f>IF(Q589="",P589,Q589)</f>
        <v/>
      </c>
      <c r="S589" s="18" t="inlineStr">
        <is>
          <t>#cobblemon:is_frozen_ocean</t>
        </is>
      </c>
      <c r="T589" s="18" t="inlineStr">
        <is>
          <t>ultra-rare</t>
        </is>
      </c>
      <c r="U589" s="20" t="n">
        <v>3.6</v>
      </c>
      <c r="V589" s="21" t="n">
        <v>1</v>
      </c>
      <c r="W589" s="20">
        <f>IF(OR(U589="",V589=""),U589,U589*V589)</f>
        <v/>
      </c>
      <c r="X589" s="18" t="inlineStr">
        <is>
          <t>30-42</t>
        </is>
      </c>
      <c r="Y589" s="19" t="inlineStr"/>
      <c r="Z589" s="18">
        <f>IF(Y589="",X589,Y589)</f>
        <v/>
      </c>
      <c r="AA589" s="18" t="inlineStr">
        <is>
          <t>fishing</t>
        </is>
      </c>
      <c r="AB589" s="18" t="inlineStr"/>
      <c r="AC589" s="18" t="inlineStr"/>
      <c r="AD589" s="18" t="inlineStr"/>
      <c r="AE589" s="18" t="inlineStr"/>
      <c r="AF589" s="18" t="inlineStr">
        <is>
          <t>True</t>
        </is>
      </c>
      <c r="AG589" s="18" t="inlineStr"/>
      <c r="AH589" s="18" t="inlineStr"/>
      <c r="AI589" s="18" t="inlineStr"/>
      <c r="AJ589" s="18" t="inlineStr">
        <is>
          <t>Cobblemon 동일</t>
        </is>
      </c>
      <c r="AK589" s="18" t="inlineStr">
        <is>
          <t>사용</t>
        </is>
      </c>
      <c r="AL589" s="18" t="inlineStr">
        <is>
          <t>COBBLEVERSE 1.7.42 / DP v31</t>
        </is>
      </c>
      <c r="AM589" s="18" t="inlineStr">
        <is>
          <t>data/cobblemon/spawn_pool_world/0148_dragonair.json</t>
        </is>
      </c>
      <c r="AN589" s="18" t="inlineStr">
        <is>
          <t>dragonair-5</t>
        </is>
      </c>
      <c r="AO589" s="18" t="inlineStr">
        <is>
          <t>pokemon</t>
        </is>
      </c>
      <c r="AP589" s="18" t="inlineStr"/>
      <c r="AQ589" s="18" t="inlineStr">
        <is>
          <t>{"biomes":["#aether:is_aether","#cobblemon:is_magical","#cobblemon:is_ocean"],"canSeeSky":true}</t>
        </is>
      </c>
      <c r="AR589" s="18" t="inlineStr">
        <is>
          <t>{"biomes":["#cobblemon:is_frozen_ocean"]}</t>
        </is>
      </c>
      <c r="AS589" s="18" t="inlineStr"/>
      <c r="AT589" s="19" t="inlineStr"/>
    </row>
    <row r="590" ht="32" customHeight="1">
      <c r="A590" s="18" t="inlineStr">
        <is>
          <t>0148_dragonair.json::dragonair-6::006</t>
        </is>
      </c>
      <c r="B590" s="19" t="inlineStr">
        <is>
          <t>사용</t>
        </is>
      </c>
      <c r="C590" s="18">
        <f>IF(OR(B590&lt;&gt;AK590,M590&lt;&gt;L590,O590&lt;&gt;"",Q590&lt;&gt;"",V590&lt;&gt;1,Y590&lt;&gt;"",AT590&lt;&gt;""),"수정","원본")</f>
        <v/>
      </c>
      <c r="D590" s="18" t="n">
        <v>148</v>
      </c>
      <c r="E590" s="18" t="inlineStr">
        <is>
          <t>신뇽</t>
        </is>
      </c>
      <c r="F590" s="18" t="inlineStr">
        <is>
          <t>dragonair</t>
        </is>
      </c>
      <c r="G590" s="18" t="inlineStr">
        <is>
          <t>dragonair</t>
        </is>
      </c>
      <c r="H590" s="18" t="inlineStr"/>
      <c r="I590" s="18" t="n">
        <v>1</v>
      </c>
      <c r="J590" s="18" t="n"/>
      <c r="K590" s="18" t="n">
        <v>1</v>
      </c>
      <c r="L590" s="18" t="inlineStr">
        <is>
          <t>cobbleventure:generation_1</t>
        </is>
      </c>
      <c r="M590" s="19" t="inlineStr">
        <is>
          <t>cobbleventure:generation_1</t>
        </is>
      </c>
      <c r="N590" s="18" t="inlineStr"/>
      <c r="O590" s="19" t="inlineStr"/>
      <c r="P590" s="18" t="inlineStr">
        <is>
          <t>#cobblemon:is_ocean</t>
        </is>
      </c>
      <c r="Q590" s="19" t="inlineStr"/>
      <c r="R590" s="18">
        <f>IF(Q590="",P590,Q590)</f>
        <v/>
      </c>
      <c r="S590" s="18" t="inlineStr"/>
      <c r="T590" s="18" t="inlineStr">
        <is>
          <t>uncommon</t>
        </is>
      </c>
      <c r="U590" s="20" t="n">
        <v>14.4</v>
      </c>
      <c r="V590" s="21" t="n">
        <v>1</v>
      </c>
      <c r="W590" s="20">
        <f>IF(OR(U590="",V590=""),U590,U590*V590)</f>
        <v/>
      </c>
      <c r="X590" s="18" t="inlineStr">
        <is>
          <t>30-42</t>
        </is>
      </c>
      <c r="Y590" s="19" t="inlineStr"/>
      <c r="Z590" s="18">
        <f>IF(Y590="",X590,Y590)</f>
        <v/>
      </c>
      <c r="AA590" s="18" t="inlineStr">
        <is>
          <t>submerged</t>
        </is>
      </c>
      <c r="AB590" s="18" t="inlineStr"/>
      <c r="AC590" s="18" t="inlineStr"/>
      <c r="AD590" s="18" t="inlineStr"/>
      <c r="AE590" s="18" t="inlineStr">
        <is>
          <t>sky 8-15</t>
        </is>
      </c>
      <c r="AF590" s="18" t="inlineStr">
        <is>
          <t>False</t>
        </is>
      </c>
      <c r="AG590" s="18" t="inlineStr"/>
      <c r="AH590" s="18" t="inlineStr"/>
      <c r="AI590" s="18" t="inlineStr"/>
      <c r="AJ590" s="18" t="inlineStr">
        <is>
          <t>Cobblemon 동일</t>
        </is>
      </c>
      <c r="AK590" s="18" t="inlineStr">
        <is>
          <t>사용</t>
        </is>
      </c>
      <c r="AL590" s="18" t="inlineStr">
        <is>
          <t>COBBLEVERSE 1.7.42 / DP v31</t>
        </is>
      </c>
      <c r="AM590" s="18" t="inlineStr">
        <is>
          <t>data/cobblemon/spawn_pool_world/0148_dragonair.json</t>
        </is>
      </c>
      <c r="AN590" s="18" t="inlineStr">
        <is>
          <t>dragonair-6</t>
        </is>
      </c>
      <c r="AO590" s="18" t="inlineStr">
        <is>
          <t>pokemon</t>
        </is>
      </c>
      <c r="AP590" s="18" t="inlineStr">
        <is>
          <t>water; ocean_ruins</t>
        </is>
      </c>
      <c r="AQ590" s="18" t="inlineStr">
        <is>
          <t>{"biomes":["#cobblemon:is_ocean"],"canSeeSky":false,"maxSkyLight":15,"minSkyLight":8}</t>
        </is>
      </c>
      <c r="AR590" s="18" t="inlineStr"/>
      <c r="AS590" s="18" t="inlineStr"/>
      <c r="AT590" s="19" t="inlineStr"/>
    </row>
    <row r="591" ht="32" customHeight="1">
      <c r="A591" s="18" t="inlineStr">
        <is>
          <t>0148_dragonair.json::dragonair-7::007</t>
        </is>
      </c>
      <c r="B591" s="19" t="inlineStr">
        <is>
          <t>사용</t>
        </is>
      </c>
      <c r="C591" s="18">
        <f>IF(OR(B591&lt;&gt;AK591,M591&lt;&gt;L591,O591&lt;&gt;"",Q591&lt;&gt;"",V591&lt;&gt;1,Y591&lt;&gt;"",AT591&lt;&gt;""),"수정","원본")</f>
        <v/>
      </c>
      <c r="D591" s="18" t="n">
        <v>148</v>
      </c>
      <c r="E591" s="18" t="inlineStr">
        <is>
          <t>신뇽</t>
        </is>
      </c>
      <c r="F591" s="18" t="inlineStr">
        <is>
          <t>dragonair</t>
        </is>
      </c>
      <c r="G591" s="18" t="inlineStr">
        <is>
          <t>dragonair</t>
        </is>
      </c>
      <c r="H591" s="18" t="inlineStr"/>
      <c r="I591" s="18" t="n">
        <v>1</v>
      </c>
      <c r="J591" s="18" t="n"/>
      <c r="K591" s="18" t="n">
        <v>1</v>
      </c>
      <c r="L591" s="18" t="inlineStr">
        <is>
          <t>cobbleventure:generation_1</t>
        </is>
      </c>
      <c r="M591" s="19" t="inlineStr">
        <is>
          <t>cobbleventure:generation_1</t>
        </is>
      </c>
      <c r="N591" s="18" t="inlineStr"/>
      <c r="O591" s="19" t="inlineStr"/>
      <c r="P591" s="18" t="inlineStr">
        <is>
          <t>#aether:is_aether; #cobblemon:is_magical; #cobblemon:is_ocean</t>
        </is>
      </c>
      <c r="Q591" s="19" t="inlineStr"/>
      <c r="R591" s="18">
        <f>IF(Q591="",P591,Q591)</f>
        <v/>
      </c>
      <c r="S591" s="18" t="inlineStr">
        <is>
          <t>#cobblemon:is_frozen_ocean</t>
        </is>
      </c>
      <c r="T591" s="18" t="inlineStr">
        <is>
          <t>ultra-rare</t>
        </is>
      </c>
      <c r="U591" s="20" t="n">
        <v>3.6</v>
      </c>
      <c r="V591" s="21" t="n">
        <v>1</v>
      </c>
      <c r="W591" s="20">
        <f>IF(OR(U591="",V591=""),U591,U591*V591)</f>
        <v/>
      </c>
      <c r="X591" s="18" t="inlineStr">
        <is>
          <t>30-42</t>
        </is>
      </c>
      <c r="Y591" s="19" t="inlineStr"/>
      <c r="Z591" s="18">
        <f>IF(Y591="",X591,Y591)</f>
        <v/>
      </c>
      <c r="AA591" s="18" t="inlineStr">
        <is>
          <t>fishing</t>
        </is>
      </c>
      <c r="AB591" s="18" t="inlineStr"/>
      <c r="AC591" s="18" t="inlineStr"/>
      <c r="AD591" s="18" t="inlineStr"/>
      <c r="AE591" s="18" t="inlineStr">
        <is>
          <t>sky 8-15</t>
        </is>
      </c>
      <c r="AF591" s="18" t="inlineStr">
        <is>
          <t>False</t>
        </is>
      </c>
      <c r="AG591" s="18" t="inlineStr"/>
      <c r="AH591" s="18" t="inlineStr"/>
      <c r="AI591" s="18" t="inlineStr"/>
      <c r="AJ591" s="18" t="inlineStr">
        <is>
          <t>Cobblemon 동일</t>
        </is>
      </c>
      <c r="AK591" s="18" t="inlineStr">
        <is>
          <t>사용</t>
        </is>
      </c>
      <c r="AL591" s="18" t="inlineStr">
        <is>
          <t>COBBLEVERSE 1.7.42 / DP v31</t>
        </is>
      </c>
      <c r="AM591" s="18" t="inlineStr">
        <is>
          <t>data/cobblemon/spawn_pool_world/0148_dragonair.json</t>
        </is>
      </c>
      <c r="AN591" s="18" t="inlineStr">
        <is>
          <t>dragonair-7</t>
        </is>
      </c>
      <c r="AO591" s="18" t="inlineStr">
        <is>
          <t>pokemon</t>
        </is>
      </c>
      <c r="AP591" s="18" t="inlineStr"/>
      <c r="AQ591" s="18" t="inlineStr">
        <is>
          <t>{"biomes":["#aether:is_aether","#cobblemon:is_magical","#cobblemon:is_ocean"],"canSeeSky":false,"maxSkyLight":15,"minSkyLight":8}</t>
        </is>
      </c>
      <c r="AR591" s="18" t="inlineStr">
        <is>
          <t>{"biomes":["#cobblemon:is_frozen_ocean"]}</t>
        </is>
      </c>
      <c r="AS591" s="18" t="inlineStr"/>
      <c r="AT591" s="19" t="inlineStr"/>
    </row>
    <row r="592" ht="32" customHeight="1">
      <c r="A592" s="18" t="inlineStr">
        <is>
          <t>0149_dragonite.json::dragonite-1::001</t>
        </is>
      </c>
      <c r="B592" s="19" t="inlineStr">
        <is>
          <t>사용</t>
        </is>
      </c>
      <c r="C592" s="18">
        <f>IF(OR(B592&lt;&gt;AK592,M592&lt;&gt;L592,O592&lt;&gt;"",Q592&lt;&gt;"",V592&lt;&gt;1,Y592&lt;&gt;"",AT592&lt;&gt;""),"수정","원본")</f>
        <v/>
      </c>
      <c r="D592" s="18" t="n">
        <v>149</v>
      </c>
      <c r="E592" s="18" t="inlineStr">
        <is>
          <t>망나뇽</t>
        </is>
      </c>
      <c r="F592" s="18" t="inlineStr">
        <is>
          <t>dragonite</t>
        </is>
      </c>
      <c r="G592" s="18" t="inlineStr">
        <is>
          <t>dragonite</t>
        </is>
      </c>
      <c r="H592" s="18" t="inlineStr"/>
      <c r="I592" s="18" t="n">
        <v>1</v>
      </c>
      <c r="J592" s="18" t="n"/>
      <c r="K592" s="18" t="n">
        <v>1</v>
      </c>
      <c r="L592" s="18" t="inlineStr">
        <is>
          <t>cobbleventure:generation_1</t>
        </is>
      </c>
      <c r="M592" s="19" t="inlineStr">
        <is>
          <t>cobbleventure:generation_1</t>
        </is>
      </c>
      <c r="N592" s="18" t="inlineStr">
        <is>
          <t>region_01; region_02</t>
        </is>
      </c>
      <c r="O592" s="19" t="inlineStr"/>
      <c r="P592" s="18" t="inlineStr">
        <is>
          <t>#cobblemon:is_overworld</t>
        </is>
      </c>
      <c r="Q592" s="19" t="inlineStr"/>
      <c r="R592" s="18">
        <f>IF(Q592="",P592,Q592)</f>
        <v/>
      </c>
      <c r="S592" s="18" t="inlineStr">
        <is>
          <t>#cobblemon:is_deep_dark</t>
        </is>
      </c>
      <c r="T592" s="18" t="inlineStr">
        <is>
          <t>rare</t>
        </is>
      </c>
      <c r="U592" s="20" t="n">
        <v>0.25</v>
      </c>
      <c r="V592" s="21" t="n">
        <v>1</v>
      </c>
      <c r="W592" s="20">
        <f>IF(OR(U592="",V592=""),U592,U592*V592)</f>
        <v/>
      </c>
      <c r="X592" s="18" t="inlineStr">
        <is>
          <t>55-60</t>
        </is>
      </c>
      <c r="Y592" s="19" t="inlineStr"/>
      <c r="Z592" s="18">
        <f>IF(Y592="",X592,Y592)</f>
        <v/>
      </c>
      <c r="AA592" s="18" t="inlineStr">
        <is>
          <t>grounded</t>
        </is>
      </c>
      <c r="AB592" s="18" t="inlineStr"/>
      <c r="AC592" s="18" t="inlineStr"/>
      <c r="AD592" s="18" t="inlineStr">
        <is>
          <t>maxY=32</t>
        </is>
      </c>
      <c r="AE592" s="18" t="inlineStr">
        <is>
          <t>sky 0-7</t>
        </is>
      </c>
      <c r="AF592" s="18" t="inlineStr"/>
      <c r="AG592" s="18" t="inlineStr"/>
      <c r="AH592" s="18" t="inlineStr">
        <is>
          <t>주변=minecraft:water</t>
        </is>
      </c>
      <c r="AI592" s="18" t="inlineStr"/>
      <c r="AJ592" s="18" t="inlineStr">
        <is>
          <t>Cobblemon 동일</t>
        </is>
      </c>
      <c r="AK592" s="18" t="inlineStr">
        <is>
          <t>사용</t>
        </is>
      </c>
      <c r="AL592" s="18" t="inlineStr">
        <is>
          <t>COBBLEVERSE 1.7.42 / DP v31</t>
        </is>
      </c>
      <c r="AM592" s="18" t="inlineStr">
        <is>
          <t>data/cobblemon/spawn_pool_world/0149_dragonite.json</t>
        </is>
      </c>
      <c r="AN592" s="18" t="inlineStr">
        <is>
          <t>dragonite-1</t>
        </is>
      </c>
      <c r="AO592" s="18" t="inlineStr">
        <is>
          <t>pokemon</t>
        </is>
      </c>
      <c r="AP592" s="18" t="inlineStr">
        <is>
          <t>natural</t>
        </is>
      </c>
      <c r="AQ592" s="18" t="inlineStr">
        <is>
          <t>{"biomes":["#cobblemon:is_overworld"],"maxSkyLight":7,"maxY":32,"minSkyLight":0,"neededNearbyBlocks":["minecraft:water"]}</t>
        </is>
      </c>
      <c r="AR592" s="18" t="inlineStr">
        <is>
          <t>{"biomes":["#cobblemon:is_deep_dark"]}</t>
        </is>
      </c>
      <c r="AS592" s="18" t="inlineStr"/>
      <c r="AT592" s="19" t="inlineStr"/>
    </row>
    <row r="593" ht="32" customHeight="1">
      <c r="A593" s="18" t="inlineStr">
        <is>
          <t>0149_dragonite.json::dragonite-2::002</t>
        </is>
      </c>
      <c r="B593" s="19" t="inlineStr">
        <is>
          <t>사용</t>
        </is>
      </c>
      <c r="C593" s="18">
        <f>IF(OR(B593&lt;&gt;AK593,M593&lt;&gt;L593,O593&lt;&gt;"",Q593&lt;&gt;"",V593&lt;&gt;1,Y593&lt;&gt;"",AT593&lt;&gt;""),"수정","원본")</f>
        <v/>
      </c>
      <c r="D593" s="18" t="n">
        <v>149</v>
      </c>
      <c r="E593" s="18" t="inlineStr">
        <is>
          <t>망나뇽</t>
        </is>
      </c>
      <c r="F593" s="18" t="inlineStr">
        <is>
          <t>dragonite</t>
        </is>
      </c>
      <c r="G593" s="18" t="inlineStr">
        <is>
          <t>dragonite</t>
        </is>
      </c>
      <c r="H593" s="18" t="inlineStr"/>
      <c r="I593" s="18" t="n">
        <v>1</v>
      </c>
      <c r="J593" s="18" t="n"/>
      <c r="K593" s="18" t="n">
        <v>1</v>
      </c>
      <c r="L593" s="18" t="inlineStr">
        <is>
          <t>cobbleventure:generation_1</t>
        </is>
      </c>
      <c r="M593" s="19" t="inlineStr">
        <is>
          <t>cobbleventure:generation_1</t>
        </is>
      </c>
      <c r="N593" s="18" t="inlineStr"/>
      <c r="O593" s="19" t="inlineStr"/>
      <c r="P593" s="18" t="inlineStr">
        <is>
          <t>#cobblemon:is_ocean</t>
        </is>
      </c>
      <c r="Q593" s="19" t="inlineStr"/>
      <c r="R593" s="18">
        <f>IF(Q593="",P593,Q593)</f>
        <v/>
      </c>
      <c r="S593" s="18" t="inlineStr"/>
      <c r="T593" s="18" t="inlineStr">
        <is>
          <t>uncommon</t>
        </is>
      </c>
      <c r="U593" s="20" t="n">
        <v>1.6</v>
      </c>
      <c r="V593" s="21" t="n">
        <v>1</v>
      </c>
      <c r="W593" s="20">
        <f>IF(OR(U593="",V593=""),U593,U593*V593)</f>
        <v/>
      </c>
      <c r="X593" s="18" t="inlineStr">
        <is>
          <t>55-60</t>
        </is>
      </c>
      <c r="Y593" s="19" t="inlineStr"/>
      <c r="Z593" s="18">
        <f>IF(Y593="",X593,Y593)</f>
        <v/>
      </c>
      <c r="AA593" s="18" t="inlineStr">
        <is>
          <t>submerged</t>
        </is>
      </c>
      <c r="AB593" s="18" t="inlineStr"/>
      <c r="AC593" s="18" t="inlineStr"/>
      <c r="AD593" s="18" t="inlineStr"/>
      <c r="AE593" s="18" t="inlineStr"/>
      <c r="AF593" s="18" t="inlineStr">
        <is>
          <t>True</t>
        </is>
      </c>
      <c r="AG593" s="18" t="inlineStr"/>
      <c r="AH593" s="18" t="inlineStr"/>
      <c r="AI593" s="18" t="inlineStr"/>
      <c r="AJ593" s="18" t="inlineStr">
        <is>
          <t>Cobblemon 동일</t>
        </is>
      </c>
      <c r="AK593" s="18" t="inlineStr">
        <is>
          <t>사용</t>
        </is>
      </c>
      <c r="AL593" s="18" t="inlineStr">
        <is>
          <t>COBBLEVERSE 1.7.42 / DP v31</t>
        </is>
      </c>
      <c r="AM593" s="18" t="inlineStr">
        <is>
          <t>data/cobblemon/spawn_pool_world/0149_dragonite.json</t>
        </is>
      </c>
      <c r="AN593" s="18" t="inlineStr">
        <is>
          <t>dragonite-2</t>
        </is>
      </c>
      <c r="AO593" s="18" t="inlineStr">
        <is>
          <t>pokemon</t>
        </is>
      </c>
      <c r="AP593" s="18" t="inlineStr">
        <is>
          <t>water; ocean_ruins</t>
        </is>
      </c>
      <c r="AQ593" s="18" t="inlineStr">
        <is>
          <t>{"biomes":["#cobblemon:is_ocean"],"canSeeSky":true}</t>
        </is>
      </c>
      <c r="AR593" s="18" t="inlineStr"/>
      <c r="AS593" s="18" t="inlineStr"/>
      <c r="AT593" s="19" t="inlineStr"/>
    </row>
    <row r="594" ht="32" customHeight="1">
      <c r="A594" s="18" t="inlineStr">
        <is>
          <t>0149_dragonite.json::dragonite-4::003</t>
        </is>
      </c>
      <c r="B594" s="19" t="inlineStr">
        <is>
          <t>사용</t>
        </is>
      </c>
      <c r="C594" s="18">
        <f>IF(OR(B594&lt;&gt;AK594,M594&lt;&gt;L594,O594&lt;&gt;"",Q594&lt;&gt;"",V594&lt;&gt;1,Y594&lt;&gt;"",AT594&lt;&gt;""),"수정","원본")</f>
        <v/>
      </c>
      <c r="D594" s="18" t="n">
        <v>149</v>
      </c>
      <c r="E594" s="18" t="inlineStr">
        <is>
          <t>망나뇽</t>
        </is>
      </c>
      <c r="F594" s="18" t="inlineStr">
        <is>
          <t>dragonite</t>
        </is>
      </c>
      <c r="G594" s="18" t="inlineStr">
        <is>
          <t>dragonite</t>
        </is>
      </c>
      <c r="H594" s="18" t="inlineStr"/>
      <c r="I594" s="18" t="n">
        <v>1</v>
      </c>
      <c r="J594" s="18" t="n"/>
      <c r="K594" s="18" t="n">
        <v>1</v>
      </c>
      <c r="L594" s="18" t="inlineStr">
        <is>
          <t>cobbleventure:generation_1</t>
        </is>
      </c>
      <c r="M594" s="19" t="inlineStr">
        <is>
          <t>cobbleventure:generation_1</t>
        </is>
      </c>
      <c r="N594" s="18" t="inlineStr"/>
      <c r="O594" s="19" t="inlineStr"/>
      <c r="P594" s="18" t="inlineStr">
        <is>
          <t>#cobblemon:is_sky</t>
        </is>
      </c>
      <c r="Q594" s="19" t="inlineStr"/>
      <c r="R594" s="18">
        <f>IF(Q594="",P594,Q594)</f>
        <v/>
      </c>
      <c r="S594" s="18" t="inlineStr"/>
      <c r="T594" s="18" t="inlineStr">
        <is>
          <t>ultra-rare</t>
        </is>
      </c>
      <c r="U594" s="20" t="n">
        <v>0.4</v>
      </c>
      <c r="V594" s="21" t="n">
        <v>1</v>
      </c>
      <c r="W594" s="20">
        <f>IF(OR(U594="",V594=""),U594,U594*V594)</f>
        <v/>
      </c>
      <c r="X594" s="18" t="inlineStr">
        <is>
          <t>55-60</t>
        </is>
      </c>
      <c r="Y594" s="19" t="inlineStr"/>
      <c r="Z594" s="18">
        <f>IF(Y594="",X594,Y594)</f>
        <v/>
      </c>
      <c r="AA594" s="18" t="inlineStr">
        <is>
          <t>grounded</t>
        </is>
      </c>
      <c r="AB594" s="18" t="inlineStr"/>
      <c r="AC594" s="18" t="inlineStr">
        <is>
          <t>비=True</t>
        </is>
      </c>
      <c r="AD594" s="18" t="inlineStr"/>
      <c r="AE594" s="18" t="inlineStr">
        <is>
          <t>sky 8-15</t>
        </is>
      </c>
      <c r="AF594" s="18" t="inlineStr"/>
      <c r="AG594" s="18" t="inlineStr"/>
      <c r="AH594" s="18" t="inlineStr"/>
      <c r="AI594" s="18" t="inlineStr"/>
      <c r="AJ594" s="18" t="inlineStr">
        <is>
          <t>Cobblemon 동일</t>
        </is>
      </c>
      <c r="AK594" s="18" t="inlineStr">
        <is>
          <t>사용</t>
        </is>
      </c>
      <c r="AL594" s="18" t="inlineStr">
        <is>
          <t>COBBLEVERSE 1.7.42 / DP v31</t>
        </is>
      </c>
      <c r="AM594" s="18" t="inlineStr">
        <is>
          <t>data/cobblemon/spawn_pool_world/0149_dragonite.json</t>
        </is>
      </c>
      <c r="AN594" s="18" t="inlineStr">
        <is>
          <t>dragonite-4</t>
        </is>
      </c>
      <c r="AO594" s="18" t="inlineStr">
        <is>
          <t>pokemon</t>
        </is>
      </c>
      <c r="AP594" s="18" t="inlineStr">
        <is>
          <t>natural</t>
        </is>
      </c>
      <c r="AQ594" s="18" t="inlineStr">
        <is>
          <t>{"biomes":["#cobblemon:is_sky"],"isRaining":true,"maxSkyLight":15,"minSkyLight":8}</t>
        </is>
      </c>
      <c r="AR594" s="18" t="inlineStr"/>
      <c r="AS594" s="18" t="inlineStr"/>
      <c r="AT594" s="19" t="inlineStr"/>
    </row>
    <row r="595" ht="32" customHeight="1">
      <c r="A595" s="18" t="inlineStr">
        <is>
          <t>0149_dragonite.json::dragonite-5::004</t>
        </is>
      </c>
      <c r="B595" s="19" t="inlineStr">
        <is>
          <t>사용</t>
        </is>
      </c>
      <c r="C595" s="18">
        <f>IF(OR(B595&lt;&gt;AK595,M595&lt;&gt;L595,O595&lt;&gt;"",Q595&lt;&gt;"",V595&lt;&gt;1,Y595&lt;&gt;"",AT595&lt;&gt;""),"수정","원본")</f>
        <v/>
      </c>
      <c r="D595" s="18" t="n">
        <v>149</v>
      </c>
      <c r="E595" s="18" t="inlineStr">
        <is>
          <t>망나뇽</t>
        </is>
      </c>
      <c r="F595" s="18" t="inlineStr">
        <is>
          <t>dragonite</t>
        </is>
      </c>
      <c r="G595" s="18" t="inlineStr">
        <is>
          <t>dragonite</t>
        </is>
      </c>
      <c r="H595" s="18" t="inlineStr"/>
      <c r="I595" s="18" t="n">
        <v>1</v>
      </c>
      <c r="J595" s="18" t="n"/>
      <c r="K595" s="18" t="n">
        <v>1</v>
      </c>
      <c r="L595" s="18" t="inlineStr">
        <is>
          <t>cobbleventure:generation_1</t>
        </is>
      </c>
      <c r="M595" s="19" t="inlineStr">
        <is>
          <t>cobbleventure:generation_1</t>
        </is>
      </c>
      <c r="N595" s="18" t="inlineStr">
        <is>
          <t>region_01; region_02</t>
        </is>
      </c>
      <c r="O595" s="19" t="inlineStr"/>
      <c r="P595" s="18" t="inlineStr">
        <is>
          <t>#aether:is_aether; #cobblemon:is_overworld</t>
        </is>
      </c>
      <c r="Q595" s="19" t="inlineStr"/>
      <c r="R595" s="18">
        <f>IF(Q595="",P595,Q595)</f>
        <v/>
      </c>
      <c r="S595" s="18" t="inlineStr">
        <is>
          <t>#cobblemon:is_deep_dark</t>
        </is>
      </c>
      <c r="T595" s="18" t="inlineStr">
        <is>
          <t>rare</t>
        </is>
      </c>
      <c r="U595" s="20" t="n">
        <v>0.05</v>
      </c>
      <c r="V595" s="21" t="n">
        <v>1</v>
      </c>
      <c r="W595" s="20">
        <f>IF(OR(U595="",V595=""),U595,U595*V595)</f>
        <v/>
      </c>
      <c r="X595" s="18" t="inlineStr">
        <is>
          <t>55-60</t>
        </is>
      </c>
      <c r="Y595" s="19" t="inlineStr"/>
      <c r="Z595" s="18">
        <f>IF(Y595="",X595,Y595)</f>
        <v/>
      </c>
      <c r="AA595" s="18" t="inlineStr">
        <is>
          <t>fishing</t>
        </is>
      </c>
      <c r="AB595" s="18" t="inlineStr"/>
      <c r="AC595" s="18" t="inlineStr"/>
      <c r="AD595" s="18" t="inlineStr">
        <is>
          <t>maxY=32</t>
        </is>
      </c>
      <c r="AE595" s="18" t="inlineStr">
        <is>
          <t>sky 0-7</t>
        </is>
      </c>
      <c r="AF595" s="18" t="inlineStr"/>
      <c r="AG595" s="18" t="inlineStr"/>
      <c r="AH595" s="18" t="inlineStr"/>
      <c r="AI595" s="18" t="inlineStr"/>
      <c r="AJ595" s="18" t="inlineStr">
        <is>
          <t>Cobblemon 동일</t>
        </is>
      </c>
      <c r="AK595" s="18" t="inlineStr">
        <is>
          <t>사용</t>
        </is>
      </c>
      <c r="AL595" s="18" t="inlineStr">
        <is>
          <t>COBBLEVERSE 1.7.42 / DP v31</t>
        </is>
      </c>
      <c r="AM595" s="18" t="inlineStr">
        <is>
          <t>data/cobblemon/spawn_pool_world/0149_dragonite.json</t>
        </is>
      </c>
      <c r="AN595" s="18" t="inlineStr">
        <is>
          <t>dragonite-5</t>
        </is>
      </c>
      <c r="AO595" s="18" t="inlineStr">
        <is>
          <t>pokemon</t>
        </is>
      </c>
      <c r="AP595" s="18" t="inlineStr"/>
      <c r="AQ595" s="18" t="inlineStr">
        <is>
          <t>{"biomes":["#aether:is_aether","#cobblemon:is_overworld"],"maxSkyLight":7,"maxY":32,"minSkyLight":0}</t>
        </is>
      </c>
      <c r="AR595" s="18" t="inlineStr">
        <is>
          <t>{"biomes":["#cobblemon:is_deep_dark"]}</t>
        </is>
      </c>
      <c r="AS595" s="18" t="inlineStr"/>
      <c r="AT595" s="19" t="inlineStr"/>
    </row>
    <row r="596" ht="32" customHeight="1">
      <c r="A596" s="18" t="inlineStr">
        <is>
          <t>0149_dragonite.json::dragonite-6::005</t>
        </is>
      </c>
      <c r="B596" s="19" t="inlineStr">
        <is>
          <t>사용</t>
        </is>
      </c>
      <c r="C596" s="18">
        <f>IF(OR(B596&lt;&gt;AK596,M596&lt;&gt;L596,O596&lt;&gt;"",Q596&lt;&gt;"",V596&lt;&gt;1,Y596&lt;&gt;"",AT596&lt;&gt;""),"수정","원본")</f>
        <v/>
      </c>
      <c r="D596" s="18" t="n">
        <v>149</v>
      </c>
      <c r="E596" s="18" t="inlineStr">
        <is>
          <t>망나뇽</t>
        </is>
      </c>
      <c r="F596" s="18" t="inlineStr">
        <is>
          <t>dragonite</t>
        </is>
      </c>
      <c r="G596" s="18" t="inlineStr">
        <is>
          <t>dragonite</t>
        </is>
      </c>
      <c r="H596" s="18" t="inlineStr"/>
      <c r="I596" s="18" t="n">
        <v>1</v>
      </c>
      <c r="J596" s="18" t="n"/>
      <c r="K596" s="18" t="n">
        <v>1</v>
      </c>
      <c r="L596" s="18" t="inlineStr">
        <is>
          <t>cobbleventure:generation_1</t>
        </is>
      </c>
      <c r="M596" s="19" t="inlineStr">
        <is>
          <t>cobbleventure:generation_1</t>
        </is>
      </c>
      <c r="N596" s="18" t="inlineStr"/>
      <c r="O596" s="19" t="inlineStr"/>
      <c r="P596" s="18" t="inlineStr">
        <is>
          <t>#aether:is_aether; #cobblemon:is_magical; #cobblemon:is_ocean</t>
        </is>
      </c>
      <c r="Q596" s="19" t="inlineStr"/>
      <c r="R596" s="18">
        <f>IF(Q596="",P596,Q596)</f>
        <v/>
      </c>
      <c r="S596" s="18" t="inlineStr">
        <is>
          <t>#cobblemon:is_frozen_ocean</t>
        </is>
      </c>
      <c r="T596" s="18" t="inlineStr">
        <is>
          <t>ultra-rare</t>
        </is>
      </c>
      <c r="U596" s="20" t="n">
        <v>0.4</v>
      </c>
      <c r="V596" s="21" t="n">
        <v>1</v>
      </c>
      <c r="W596" s="20">
        <f>IF(OR(U596="",V596=""),U596,U596*V596)</f>
        <v/>
      </c>
      <c r="X596" s="18" t="inlineStr">
        <is>
          <t>55-60</t>
        </is>
      </c>
      <c r="Y596" s="19" t="inlineStr"/>
      <c r="Z596" s="18">
        <f>IF(Y596="",X596,Y596)</f>
        <v/>
      </c>
      <c r="AA596" s="18" t="inlineStr">
        <is>
          <t>fishing</t>
        </is>
      </c>
      <c r="AB596" s="18" t="inlineStr"/>
      <c r="AC596" s="18" t="inlineStr"/>
      <c r="AD596" s="18" t="inlineStr"/>
      <c r="AE596" s="18" t="inlineStr"/>
      <c r="AF596" s="18" t="inlineStr">
        <is>
          <t>True</t>
        </is>
      </c>
      <c r="AG596" s="18" t="inlineStr"/>
      <c r="AH596" s="18" t="inlineStr"/>
      <c r="AI596" s="18" t="inlineStr"/>
      <c r="AJ596" s="18" t="inlineStr">
        <is>
          <t>Cobblemon 동일</t>
        </is>
      </c>
      <c r="AK596" s="18" t="inlineStr">
        <is>
          <t>사용</t>
        </is>
      </c>
      <c r="AL596" s="18" t="inlineStr">
        <is>
          <t>COBBLEVERSE 1.7.42 / DP v31</t>
        </is>
      </c>
      <c r="AM596" s="18" t="inlineStr">
        <is>
          <t>data/cobblemon/spawn_pool_world/0149_dragonite.json</t>
        </is>
      </c>
      <c r="AN596" s="18" t="inlineStr">
        <is>
          <t>dragonite-6</t>
        </is>
      </c>
      <c r="AO596" s="18" t="inlineStr">
        <is>
          <t>pokemon</t>
        </is>
      </c>
      <c r="AP596" s="18" t="inlineStr"/>
      <c r="AQ596" s="18" t="inlineStr">
        <is>
          <t>{"biomes":["#aether:is_aether","#cobblemon:is_magical","#cobblemon:is_ocean"],"canSeeSky":true}</t>
        </is>
      </c>
      <c r="AR596" s="18" t="inlineStr">
        <is>
          <t>{"biomes":["#cobblemon:is_frozen_ocean"]}</t>
        </is>
      </c>
      <c r="AS596" s="18" t="inlineStr"/>
      <c r="AT596" s="19" t="inlineStr"/>
    </row>
    <row r="597" ht="32" customHeight="1">
      <c r="A597" s="18" t="inlineStr">
        <is>
          <t>0149_dragonite.json::dragonite-7::006</t>
        </is>
      </c>
      <c r="B597" s="19" t="inlineStr">
        <is>
          <t>사용</t>
        </is>
      </c>
      <c r="C597" s="18">
        <f>IF(OR(B597&lt;&gt;AK597,M597&lt;&gt;L597,O597&lt;&gt;"",Q597&lt;&gt;"",V597&lt;&gt;1,Y597&lt;&gt;"",AT597&lt;&gt;""),"수정","원본")</f>
        <v/>
      </c>
      <c r="D597" s="18" t="n">
        <v>149</v>
      </c>
      <c r="E597" s="18" t="inlineStr">
        <is>
          <t>망나뇽</t>
        </is>
      </c>
      <c r="F597" s="18" t="inlineStr">
        <is>
          <t>dragonite</t>
        </is>
      </c>
      <c r="G597" s="18" t="inlineStr">
        <is>
          <t>dragonite</t>
        </is>
      </c>
      <c r="H597" s="18" t="inlineStr"/>
      <c r="I597" s="18" t="n">
        <v>1</v>
      </c>
      <c r="J597" s="18" t="n"/>
      <c r="K597" s="18" t="n">
        <v>1</v>
      </c>
      <c r="L597" s="18" t="inlineStr">
        <is>
          <t>cobbleventure:generation_1</t>
        </is>
      </c>
      <c r="M597" s="19" t="inlineStr">
        <is>
          <t>cobbleventure:generation_1</t>
        </is>
      </c>
      <c r="N597" s="18" t="inlineStr"/>
      <c r="O597" s="19" t="inlineStr"/>
      <c r="P597" s="18" t="inlineStr">
        <is>
          <t>#cobblemon:is_ocean</t>
        </is>
      </c>
      <c r="Q597" s="19" t="inlineStr"/>
      <c r="R597" s="18">
        <f>IF(Q597="",P597,Q597)</f>
        <v/>
      </c>
      <c r="S597" s="18" t="inlineStr"/>
      <c r="T597" s="18" t="inlineStr">
        <is>
          <t>uncommon</t>
        </is>
      </c>
      <c r="U597" s="20" t="n">
        <v>1.6</v>
      </c>
      <c r="V597" s="21" t="n">
        <v>1</v>
      </c>
      <c r="W597" s="20">
        <f>IF(OR(U597="",V597=""),U597,U597*V597)</f>
        <v/>
      </c>
      <c r="X597" s="18" t="inlineStr">
        <is>
          <t>55-60</t>
        </is>
      </c>
      <c r="Y597" s="19" t="inlineStr"/>
      <c r="Z597" s="18">
        <f>IF(Y597="",X597,Y597)</f>
        <v/>
      </c>
      <c r="AA597" s="18" t="inlineStr">
        <is>
          <t>submerged</t>
        </is>
      </c>
      <c r="AB597" s="18" t="inlineStr"/>
      <c r="AC597" s="18" t="inlineStr"/>
      <c r="AD597" s="18" t="inlineStr"/>
      <c r="AE597" s="18" t="inlineStr">
        <is>
          <t>sky 8-15</t>
        </is>
      </c>
      <c r="AF597" s="18" t="inlineStr">
        <is>
          <t>False</t>
        </is>
      </c>
      <c r="AG597" s="18" t="inlineStr"/>
      <c r="AH597" s="18" t="inlineStr"/>
      <c r="AI597" s="18" t="inlineStr"/>
      <c r="AJ597" s="18" t="inlineStr">
        <is>
          <t>Cobblemon 동일</t>
        </is>
      </c>
      <c r="AK597" s="18" t="inlineStr">
        <is>
          <t>사용</t>
        </is>
      </c>
      <c r="AL597" s="18" t="inlineStr">
        <is>
          <t>COBBLEVERSE 1.7.42 / DP v31</t>
        </is>
      </c>
      <c r="AM597" s="18" t="inlineStr">
        <is>
          <t>data/cobblemon/spawn_pool_world/0149_dragonite.json</t>
        </is>
      </c>
      <c r="AN597" s="18" t="inlineStr">
        <is>
          <t>dragonite-7</t>
        </is>
      </c>
      <c r="AO597" s="18" t="inlineStr">
        <is>
          <t>pokemon</t>
        </is>
      </c>
      <c r="AP597" s="18" t="inlineStr">
        <is>
          <t>water; ocean_ruins</t>
        </is>
      </c>
      <c r="AQ597" s="18" t="inlineStr">
        <is>
          <t>{"biomes":["#cobblemon:is_ocean"],"canSeeSky":false,"maxSkyLight":15,"minSkyLight":8}</t>
        </is>
      </c>
      <c r="AR597" s="18" t="inlineStr"/>
      <c r="AS597" s="18" t="inlineStr"/>
      <c r="AT597" s="19" t="inlineStr"/>
    </row>
    <row r="598" ht="32" customHeight="1">
      <c r="A598" s="18" t="inlineStr">
        <is>
          <t>0149_dragonite.json::dragonite-8::007</t>
        </is>
      </c>
      <c r="B598" s="19" t="inlineStr">
        <is>
          <t>사용</t>
        </is>
      </c>
      <c r="C598" s="18">
        <f>IF(OR(B598&lt;&gt;AK598,M598&lt;&gt;L598,O598&lt;&gt;"",Q598&lt;&gt;"",V598&lt;&gt;1,Y598&lt;&gt;"",AT598&lt;&gt;""),"수정","원본")</f>
        <v/>
      </c>
      <c r="D598" s="18" t="n">
        <v>149</v>
      </c>
      <c r="E598" s="18" t="inlineStr">
        <is>
          <t>망나뇽</t>
        </is>
      </c>
      <c r="F598" s="18" t="inlineStr">
        <is>
          <t>dragonite</t>
        </is>
      </c>
      <c r="G598" s="18" t="inlineStr">
        <is>
          <t>dragonite</t>
        </is>
      </c>
      <c r="H598" s="18" t="inlineStr"/>
      <c r="I598" s="18" t="n">
        <v>1</v>
      </c>
      <c r="J598" s="18" t="n"/>
      <c r="K598" s="18" t="n">
        <v>1</v>
      </c>
      <c r="L598" s="18" t="inlineStr">
        <is>
          <t>cobbleventure:generation_1</t>
        </is>
      </c>
      <c r="M598" s="19" t="inlineStr">
        <is>
          <t>cobbleventure:generation_1</t>
        </is>
      </c>
      <c r="N598" s="18" t="inlineStr"/>
      <c r="O598" s="19" t="inlineStr"/>
      <c r="P598" s="18" t="inlineStr">
        <is>
          <t>#aether:is_aether; #cobblemon:is_magical; #cobblemon:is_ocean</t>
        </is>
      </c>
      <c r="Q598" s="19" t="inlineStr"/>
      <c r="R598" s="18">
        <f>IF(Q598="",P598,Q598)</f>
        <v/>
      </c>
      <c r="S598" s="18" t="inlineStr">
        <is>
          <t>#cobblemon:is_frozen_ocean</t>
        </is>
      </c>
      <c r="T598" s="18" t="inlineStr">
        <is>
          <t>ultra-rare</t>
        </is>
      </c>
      <c r="U598" s="20" t="n">
        <v>0.4</v>
      </c>
      <c r="V598" s="21" t="n">
        <v>1</v>
      </c>
      <c r="W598" s="20">
        <f>IF(OR(U598="",V598=""),U598,U598*V598)</f>
        <v/>
      </c>
      <c r="X598" s="18" t="inlineStr">
        <is>
          <t>55-60</t>
        </is>
      </c>
      <c r="Y598" s="19" t="inlineStr"/>
      <c r="Z598" s="18">
        <f>IF(Y598="",X598,Y598)</f>
        <v/>
      </c>
      <c r="AA598" s="18" t="inlineStr">
        <is>
          <t>fishing</t>
        </is>
      </c>
      <c r="AB598" s="18" t="inlineStr"/>
      <c r="AC598" s="18" t="inlineStr"/>
      <c r="AD598" s="18" t="inlineStr"/>
      <c r="AE598" s="18" t="inlineStr">
        <is>
          <t>sky 8-15</t>
        </is>
      </c>
      <c r="AF598" s="18" t="inlineStr">
        <is>
          <t>False</t>
        </is>
      </c>
      <c r="AG598" s="18" t="inlineStr"/>
      <c r="AH598" s="18" t="inlineStr"/>
      <c r="AI598" s="18" t="inlineStr"/>
      <c r="AJ598" s="18" t="inlineStr">
        <is>
          <t>Cobblemon 동일</t>
        </is>
      </c>
      <c r="AK598" s="18" t="inlineStr">
        <is>
          <t>사용</t>
        </is>
      </c>
      <c r="AL598" s="18" t="inlineStr">
        <is>
          <t>COBBLEVERSE 1.7.42 / DP v31</t>
        </is>
      </c>
      <c r="AM598" s="18" t="inlineStr">
        <is>
          <t>data/cobblemon/spawn_pool_world/0149_dragonite.json</t>
        </is>
      </c>
      <c r="AN598" s="18" t="inlineStr">
        <is>
          <t>dragonite-8</t>
        </is>
      </c>
      <c r="AO598" s="18" t="inlineStr">
        <is>
          <t>pokemon</t>
        </is>
      </c>
      <c r="AP598" s="18" t="inlineStr"/>
      <c r="AQ598" s="18" t="inlineStr">
        <is>
          <t>{"biomes":["#aether:is_aether","#cobblemon:is_magical","#cobblemon:is_ocean"],"canSeeSky":false,"maxSkyLight":15,"minSkyLight":8}</t>
        </is>
      </c>
      <c r="AR598" s="18" t="inlineStr">
        <is>
          <t>{"biomes":["#cobblemon:is_frozen_ocean"]}</t>
        </is>
      </c>
      <c r="AS598" s="18" t="inlineStr"/>
      <c r="AT598" s="19" t="inlineStr"/>
    </row>
    <row r="599" ht="32" customHeight="1">
      <c r="A599" s="18" t="inlineStr">
        <is>
          <t>0150_mewtwo.json::mewtwo-1::001</t>
        </is>
      </c>
      <c r="B599" s="19" t="inlineStr">
        <is>
          <t>사용</t>
        </is>
      </c>
      <c r="C599" s="18">
        <f>IF(OR(B599&lt;&gt;AK599,M599&lt;&gt;L599,O599&lt;&gt;"",Q599&lt;&gt;"",V599&lt;&gt;1,Y599&lt;&gt;"",AT599&lt;&gt;""),"수정","원본")</f>
        <v/>
      </c>
      <c r="D599" s="18" t="n">
        <v>150</v>
      </c>
      <c r="E599" s="18" t="inlineStr">
        <is>
          <t>뮤츠</t>
        </is>
      </c>
      <c r="F599" s="18" t="inlineStr">
        <is>
          <t>mewtwo</t>
        </is>
      </c>
      <c r="G599" s="18" t="inlineStr">
        <is>
          <t>mewtwo</t>
        </is>
      </c>
      <c r="H599" s="18" t="inlineStr"/>
      <c r="I599" s="18" t="n">
        <v>1</v>
      </c>
      <c r="J599" s="18" t="n"/>
      <c r="K599" s="18" t="n">
        <v>1</v>
      </c>
      <c r="L599" s="18" t="inlineStr">
        <is>
          <t>cobbleventure:generation_1</t>
        </is>
      </c>
      <c r="M599" s="19" t="inlineStr">
        <is>
          <t>cobbleventure:generation_1</t>
        </is>
      </c>
      <c r="N599" s="18" t="inlineStr"/>
      <c r="O599" s="19" t="inlineStr"/>
      <c r="P599" s="18" t="inlineStr">
        <is>
          <t>cobbleverse:custom_spawn/team_rocket_radio</t>
        </is>
      </c>
      <c r="Q599" s="19" t="inlineStr"/>
      <c r="R599" s="18">
        <f>IF(Q599="",P599,Q599)</f>
        <v/>
      </c>
      <c r="S599" s="18" t="inlineStr"/>
      <c r="T599" s="18" t="inlineStr">
        <is>
          <t>ultra-rare</t>
        </is>
      </c>
      <c r="U599" s="20" t="n">
        <v>0</v>
      </c>
      <c r="V599" s="21" t="n">
        <v>1</v>
      </c>
      <c r="W599" s="20">
        <f>IF(OR(U599="",V599=""),U599,U599*V599)</f>
        <v/>
      </c>
      <c r="X599" s="18" t="inlineStr">
        <is>
          <t>1-10</t>
        </is>
      </c>
      <c r="Y599" s="19" t="inlineStr"/>
      <c r="Z599" s="18">
        <f>IF(Y599="",X599,Y599)</f>
        <v/>
      </c>
      <c r="AA599" s="18" t="inlineStr">
        <is>
          <t>grounded</t>
        </is>
      </c>
      <c r="AB599" s="18" t="inlineStr"/>
      <c r="AC599" s="18" t="inlineStr"/>
      <c r="AD599" s="18" t="inlineStr"/>
      <c r="AE599" s="18" t="inlineStr"/>
      <c r="AF599" s="18" t="inlineStr"/>
      <c r="AG599" s="18" t="inlineStr"/>
      <c r="AH599" s="18" t="inlineStr"/>
      <c r="AI599" s="18" t="inlineStr"/>
      <c r="AJ599" s="18" t="inlineStr">
        <is>
          <t>COBBLEVERSE 추가</t>
        </is>
      </c>
      <c r="AK599" s="18" t="inlineStr">
        <is>
          <t>사용</t>
        </is>
      </c>
      <c r="AL599" s="18" t="inlineStr">
        <is>
          <t>COBBLEVERSE 1.7.42 / DP v31</t>
        </is>
      </c>
      <c r="AM599" s="18" t="inlineStr">
        <is>
          <t>data/cobblemon/spawn_pool_world/0150_mewtwo.json</t>
        </is>
      </c>
      <c r="AN599" s="18" t="inlineStr">
        <is>
          <t>mewtwo-1</t>
        </is>
      </c>
      <c r="AO599" s="18" t="inlineStr">
        <is>
          <t>pokemon</t>
        </is>
      </c>
      <c r="AP599" s="18" t="inlineStr"/>
      <c r="AQ599" s="18" t="inlineStr">
        <is>
          <t>{"biomes":["cobbleverse:custom_spawn/team_rocket_radio"]}</t>
        </is>
      </c>
      <c r="AR599" s="18" t="inlineStr"/>
      <c r="AS599" s="18" t="inlineStr"/>
      <c r="AT599" s="19" t="inlineStr"/>
    </row>
    <row r="600" ht="32" customHeight="1">
      <c r="A600" s="18" t="inlineStr">
        <is>
          <t>0151_mew.json::mew-1::001</t>
        </is>
      </c>
      <c r="B600" s="19" t="inlineStr">
        <is>
          <t>사용</t>
        </is>
      </c>
      <c r="C600" s="18">
        <f>IF(OR(B600&lt;&gt;AK600,M600&lt;&gt;L600,O600&lt;&gt;"",Q600&lt;&gt;"",V600&lt;&gt;1,Y600&lt;&gt;"",AT600&lt;&gt;""),"수정","원본")</f>
        <v/>
      </c>
      <c r="D600" s="18" t="n">
        <v>151</v>
      </c>
      <c r="E600" s="18" t="inlineStr">
        <is>
          <t>뮤</t>
        </is>
      </c>
      <c r="F600" s="18" t="inlineStr">
        <is>
          <t>mew</t>
        </is>
      </c>
      <c r="G600" s="18" t="inlineStr">
        <is>
          <t>mew</t>
        </is>
      </c>
      <c r="H600" s="18" t="inlineStr"/>
      <c r="I600" s="18" t="n">
        <v>1</v>
      </c>
      <c r="J600" s="18" t="n"/>
      <c r="K600" s="18" t="n">
        <v>1</v>
      </c>
      <c r="L600" s="18" t="inlineStr">
        <is>
          <t>cobbleventure:generation_1</t>
        </is>
      </c>
      <c r="M600" s="19" t="inlineStr">
        <is>
          <t>cobbleventure:generation_1</t>
        </is>
      </c>
      <c r="N600" s="18" t="inlineStr"/>
      <c r="O600" s="19" t="inlineStr"/>
      <c r="P600" s="18" t="inlineStr">
        <is>
          <t>cobbleverse:custom_spawn/origin_temple</t>
        </is>
      </c>
      <c r="Q600" s="19" t="inlineStr"/>
      <c r="R600" s="18">
        <f>IF(Q600="",P600,Q600)</f>
        <v/>
      </c>
      <c r="S600" s="18" t="inlineStr"/>
      <c r="T600" s="18" t="inlineStr">
        <is>
          <t>ultra-rare</t>
        </is>
      </c>
      <c r="U600" s="20" t="n">
        <v>0</v>
      </c>
      <c r="V600" s="21" t="n">
        <v>1</v>
      </c>
      <c r="W600" s="20">
        <f>IF(OR(U600="",V600=""),U600,U600*V600)</f>
        <v/>
      </c>
      <c r="X600" s="18" t="inlineStr">
        <is>
          <t>75-90</t>
        </is>
      </c>
      <c r="Y600" s="19" t="inlineStr"/>
      <c r="Z600" s="18">
        <f>IF(Y600="",X600,Y600)</f>
        <v/>
      </c>
      <c r="AA600" s="18" t="inlineStr">
        <is>
          <t>grounded</t>
        </is>
      </c>
      <c r="AB600" s="18" t="inlineStr"/>
      <c r="AC600" s="18" t="inlineStr"/>
      <c r="AD600" s="18" t="inlineStr"/>
      <c r="AE600" s="18" t="inlineStr"/>
      <c r="AF600" s="18" t="inlineStr"/>
      <c r="AG600" s="18" t="inlineStr"/>
      <c r="AH600" s="18" t="inlineStr"/>
      <c r="AI600" s="18" t="inlineStr"/>
      <c r="AJ600" s="18" t="inlineStr">
        <is>
          <t>COBBLEVERSE 추가</t>
        </is>
      </c>
      <c r="AK600" s="18" t="inlineStr">
        <is>
          <t>사용</t>
        </is>
      </c>
      <c r="AL600" s="18" t="inlineStr">
        <is>
          <t>COBBLEVERSE 1.7.42 / DP v31</t>
        </is>
      </c>
      <c r="AM600" s="18" t="inlineStr">
        <is>
          <t>data/cobblemon/spawn_pool_world/0151_mew.json</t>
        </is>
      </c>
      <c r="AN600" s="18" t="inlineStr">
        <is>
          <t>mew-1</t>
        </is>
      </c>
      <c r="AO600" s="18" t="inlineStr">
        <is>
          <t>pokemon</t>
        </is>
      </c>
      <c r="AP600" s="18" t="inlineStr"/>
      <c r="AQ600" s="18" t="inlineStr">
        <is>
          <t>{"biomes":["cobbleverse:custom_spawn/origin_temple"]}</t>
        </is>
      </c>
      <c r="AR600" s="18" t="inlineStr"/>
      <c r="AS600" s="18" t="inlineStr"/>
      <c r="AT600" s="19" t="inlineStr"/>
    </row>
    <row r="601" ht="32" customHeight="1">
      <c r="A601" s="18" t="inlineStr">
        <is>
          <t>0152_chikorita.json::chikorita-1::001</t>
        </is>
      </c>
      <c r="B601" s="19" t="inlineStr">
        <is>
          <t>사용</t>
        </is>
      </c>
      <c r="C601" s="18">
        <f>IF(OR(B601&lt;&gt;AK601,M601&lt;&gt;L601,O601&lt;&gt;"",Q601&lt;&gt;"",V601&lt;&gt;1,Y601&lt;&gt;"",AT601&lt;&gt;""),"수정","원본")</f>
        <v/>
      </c>
      <c r="D601" s="18" t="n">
        <v>152</v>
      </c>
      <c r="E601" s="18" t="inlineStr">
        <is>
          <t>치코리타</t>
        </is>
      </c>
      <c r="F601" s="18" t="inlineStr">
        <is>
          <t>chikorita</t>
        </is>
      </c>
      <c r="G601" s="18" t="inlineStr">
        <is>
          <t>chikorita</t>
        </is>
      </c>
      <c r="H601" s="18" t="inlineStr"/>
      <c r="I601" s="18" t="n">
        <v>2</v>
      </c>
      <c r="J601" s="18" t="n"/>
      <c r="K601" s="18" t="n">
        <v>2</v>
      </c>
      <c r="L601" s="18" t="inlineStr">
        <is>
          <t>cobbleventure:generation_2</t>
        </is>
      </c>
      <c r="M601" s="19" t="inlineStr">
        <is>
          <t>cobbleventure:generation_2</t>
        </is>
      </c>
      <c r="N601" s="18" t="inlineStr"/>
      <c r="O601" s="19" t="inlineStr"/>
      <c r="P601" s="18" t="inlineStr">
        <is>
          <t>#aether:is_aether; #cobblemon:is_floral</t>
        </is>
      </c>
      <c r="Q601" s="19" t="inlineStr"/>
      <c r="R601" s="18">
        <f>IF(Q601="",P601,Q601)</f>
        <v/>
      </c>
      <c r="S601" s="18" t="inlineStr"/>
      <c r="T601" s="18" t="inlineStr">
        <is>
          <t>ultra-rare</t>
        </is>
      </c>
      <c r="U601" s="20" t="n">
        <v>6</v>
      </c>
      <c r="V601" s="21" t="n">
        <v>1</v>
      </c>
      <c r="W601" s="20">
        <f>IF(OR(U601="",V601=""),U601,U601*V601)</f>
        <v/>
      </c>
      <c r="X601" s="18" t="inlineStr">
        <is>
          <t>5-32</t>
        </is>
      </c>
      <c r="Y601" s="19" t="inlineStr"/>
      <c r="Z601" s="18">
        <f>IF(Y601="",X601,Y601)</f>
        <v/>
      </c>
      <c r="AA601" s="18" t="inlineStr">
        <is>
          <t>grounded</t>
        </is>
      </c>
      <c r="AB601" s="18" t="inlineStr"/>
      <c r="AC601" s="18" t="inlineStr"/>
      <c r="AD601" s="18" t="inlineStr"/>
      <c r="AE601" s="18" t="inlineStr">
        <is>
          <t>sky 8-15</t>
        </is>
      </c>
      <c r="AF601" s="18" t="inlineStr"/>
      <c r="AG601" s="18" t="inlineStr"/>
      <c r="AH601" s="18" t="inlineStr"/>
      <c r="AI601" s="18" t="inlineStr"/>
      <c r="AJ601" s="18" t="inlineStr">
        <is>
          <t>Cobblemon 동일</t>
        </is>
      </c>
      <c r="AK601" s="18" t="inlineStr">
        <is>
          <t>사용</t>
        </is>
      </c>
      <c r="AL601" s="18" t="inlineStr">
        <is>
          <t>COBBLEVERSE 1.7.42 / DP v31</t>
        </is>
      </c>
      <c r="AM601" s="18" t="inlineStr">
        <is>
          <t>data/cobblemon/spawn_pool_world/0152_chikorita.json</t>
        </is>
      </c>
      <c r="AN601" s="18" t="inlineStr">
        <is>
          <t>chikorita-1</t>
        </is>
      </c>
      <c r="AO601" s="18" t="inlineStr">
        <is>
          <t>pokemon</t>
        </is>
      </c>
      <c r="AP601" s="18" t="inlineStr">
        <is>
          <t>natural</t>
        </is>
      </c>
      <c r="AQ601" s="18" t="inlineStr">
        <is>
          <t>{"biomes":["#aether:is_aether","#cobblemon:is_floral"],"maxSkyLight":15,"minSkyLight":8}</t>
        </is>
      </c>
      <c r="AR601" s="18" t="inlineStr"/>
      <c r="AS601" s="18" t="inlineStr"/>
      <c r="AT601" s="19" t="inlineStr"/>
    </row>
    <row r="602" ht="32" customHeight="1">
      <c r="A602" s="18" t="inlineStr">
        <is>
          <t>0152_chikorita.json::chikorita-2::002</t>
        </is>
      </c>
      <c r="B602" s="19" t="inlineStr">
        <is>
          <t>사용</t>
        </is>
      </c>
      <c r="C602" s="18">
        <f>IF(OR(B602&lt;&gt;AK602,M602&lt;&gt;L602,O602&lt;&gt;"",Q602&lt;&gt;"",V602&lt;&gt;1,Y602&lt;&gt;"",AT602&lt;&gt;""),"수정","원본")</f>
        <v/>
      </c>
      <c r="D602" s="18" t="n">
        <v>152</v>
      </c>
      <c r="E602" s="18" t="inlineStr">
        <is>
          <t>치코리타</t>
        </is>
      </c>
      <c r="F602" s="18" t="inlineStr">
        <is>
          <t>chikorita</t>
        </is>
      </c>
      <c r="G602" s="18" t="inlineStr">
        <is>
          <t>chikorita</t>
        </is>
      </c>
      <c r="H602" s="18" t="inlineStr"/>
      <c r="I602" s="18" t="n">
        <v>2</v>
      </c>
      <c r="J602" s="18" t="n"/>
      <c r="K602" s="18" t="n">
        <v>2</v>
      </c>
      <c r="L602" s="18" t="inlineStr">
        <is>
          <t>cobbleventure:generation_2</t>
        </is>
      </c>
      <c r="M602" s="19" t="inlineStr">
        <is>
          <t>cobbleventure:generation_2</t>
        </is>
      </c>
      <c r="N602" s="18" t="inlineStr"/>
      <c r="O602" s="19" t="inlineStr"/>
      <c r="P602" s="18" t="inlineStr">
        <is>
          <t>the_bumblezone:floral_meadow</t>
        </is>
      </c>
      <c r="Q602" s="19" t="inlineStr"/>
      <c r="R602" s="18">
        <f>IF(Q602="",P602,Q602)</f>
        <v/>
      </c>
      <c r="S602" s="18" t="inlineStr"/>
      <c r="T602" s="18" t="inlineStr">
        <is>
          <t>ultra-rare</t>
        </is>
      </c>
      <c r="U602" s="20" t="n">
        <v>6</v>
      </c>
      <c r="V602" s="21" t="n">
        <v>1</v>
      </c>
      <c r="W602" s="20">
        <f>IF(OR(U602="",V602=""),U602,U602*V602)</f>
        <v/>
      </c>
      <c r="X602" s="18" t="inlineStr">
        <is>
          <t>5-32</t>
        </is>
      </c>
      <c r="Y602" s="19" t="inlineStr"/>
      <c r="Z602" s="18">
        <f>IF(Y602="",X602,Y602)</f>
        <v/>
      </c>
      <c r="AA602" s="18" t="inlineStr">
        <is>
          <t>grounded</t>
        </is>
      </c>
      <c r="AB602" s="18" t="inlineStr"/>
      <c r="AC602" s="18" t="inlineStr"/>
      <c r="AD602" s="18" t="inlineStr"/>
      <c r="AE602" s="18" t="inlineStr">
        <is>
          <t>sky 8-15</t>
        </is>
      </c>
      <c r="AF602" s="18" t="inlineStr"/>
      <c r="AG602" s="18" t="inlineStr"/>
      <c r="AH602" s="18" t="inlineStr"/>
      <c r="AI602" s="18" t="inlineStr"/>
      <c r="AJ602" s="18" t="inlineStr">
        <is>
          <t>Cobblemon 동일</t>
        </is>
      </c>
      <c r="AK602" s="18" t="inlineStr">
        <is>
          <t>사용</t>
        </is>
      </c>
      <c r="AL602" s="18" t="inlineStr">
        <is>
          <t>COBBLEVERSE 1.7.42 / DP v31</t>
        </is>
      </c>
      <c r="AM602" s="18" t="inlineStr">
        <is>
          <t>data/cobblemon/spawn_pool_world/0152_chikorita.json</t>
        </is>
      </c>
      <c r="AN602" s="18" t="inlineStr">
        <is>
          <t>chikorita-2</t>
        </is>
      </c>
      <c r="AO602" s="18" t="inlineStr">
        <is>
          <t>pokemon</t>
        </is>
      </c>
      <c r="AP602" s="18" t="inlineStr"/>
      <c r="AQ602" s="18" t="inlineStr">
        <is>
          <t>{"biomes":["the_bumblezone:floral_meadow"],"maxSkyLight":15,"minSkyLight":8}</t>
        </is>
      </c>
      <c r="AR602" s="18" t="inlineStr">
        <is>
          <t>{"structures":["#the_bumblezone:sempiternal_sanctums"]}</t>
        </is>
      </c>
      <c r="AS602" s="18" t="inlineStr"/>
      <c r="AT602" s="19" t="inlineStr"/>
    </row>
    <row r="603" ht="32" customHeight="1">
      <c r="A603" s="18" t="inlineStr">
        <is>
          <t>0153_bayleef.json::bayleef-1::001</t>
        </is>
      </c>
      <c r="B603" s="19" t="inlineStr">
        <is>
          <t>사용</t>
        </is>
      </c>
      <c r="C603" s="18">
        <f>IF(OR(B603&lt;&gt;AK603,M603&lt;&gt;L603,O603&lt;&gt;"",Q603&lt;&gt;"",V603&lt;&gt;1,Y603&lt;&gt;"",AT603&lt;&gt;""),"수정","원본")</f>
        <v/>
      </c>
      <c r="D603" s="18" t="n">
        <v>153</v>
      </c>
      <c r="E603" s="18" t="inlineStr">
        <is>
          <t>베이리프</t>
        </is>
      </c>
      <c r="F603" s="18" t="inlineStr">
        <is>
          <t>bayleef</t>
        </is>
      </c>
      <c r="G603" s="18" t="inlineStr">
        <is>
          <t>bayleef</t>
        </is>
      </c>
      <c r="H603" s="18" t="inlineStr"/>
      <c r="I603" s="18" t="n">
        <v>2</v>
      </c>
      <c r="J603" s="18" t="n"/>
      <c r="K603" s="18" t="n">
        <v>2</v>
      </c>
      <c r="L603" s="18" t="inlineStr">
        <is>
          <t>cobbleventure:generation_2</t>
        </is>
      </c>
      <c r="M603" s="19" t="inlineStr">
        <is>
          <t>cobbleventure:generation_2</t>
        </is>
      </c>
      <c r="N603" s="18" t="inlineStr"/>
      <c r="O603" s="19" t="inlineStr"/>
      <c r="P603" s="18" t="inlineStr">
        <is>
          <t>#aether:is_aether; #cobblemon:is_floral</t>
        </is>
      </c>
      <c r="Q603" s="19" t="inlineStr"/>
      <c r="R603" s="18">
        <f>IF(Q603="",P603,Q603)</f>
        <v/>
      </c>
      <c r="S603" s="18" t="inlineStr"/>
      <c r="T603" s="18" t="inlineStr">
        <is>
          <t>ultra-rare</t>
        </is>
      </c>
      <c r="U603" s="20" t="n">
        <v>3.6</v>
      </c>
      <c r="V603" s="21" t="n">
        <v>1</v>
      </c>
      <c r="W603" s="20">
        <f>IF(OR(U603="",V603=""),U603,U603*V603)</f>
        <v/>
      </c>
      <c r="X603" s="18" t="inlineStr">
        <is>
          <t>16-41</t>
        </is>
      </c>
      <c r="Y603" s="19" t="inlineStr"/>
      <c r="Z603" s="18">
        <f>IF(Y603="",X603,Y603)</f>
        <v/>
      </c>
      <c r="AA603" s="18" t="inlineStr">
        <is>
          <t>grounded</t>
        </is>
      </c>
      <c r="AB603" s="18" t="inlineStr"/>
      <c r="AC603" s="18" t="inlineStr"/>
      <c r="AD603" s="18" t="inlineStr"/>
      <c r="AE603" s="18" t="inlineStr">
        <is>
          <t>sky 8-15</t>
        </is>
      </c>
      <c r="AF603" s="18" t="inlineStr"/>
      <c r="AG603" s="18" t="inlineStr"/>
      <c r="AH603" s="18" t="inlineStr"/>
      <c r="AI603" s="18" t="inlineStr"/>
      <c r="AJ603" s="18" t="inlineStr">
        <is>
          <t>Cobblemon 동일</t>
        </is>
      </c>
      <c r="AK603" s="18" t="inlineStr">
        <is>
          <t>사용</t>
        </is>
      </c>
      <c r="AL603" s="18" t="inlineStr">
        <is>
          <t>COBBLEVERSE 1.7.42 / DP v31</t>
        </is>
      </c>
      <c r="AM603" s="18" t="inlineStr">
        <is>
          <t>data/cobblemon/spawn_pool_world/0153_bayleef.json</t>
        </is>
      </c>
      <c r="AN603" s="18" t="inlineStr">
        <is>
          <t>bayleef-1</t>
        </is>
      </c>
      <c r="AO603" s="18" t="inlineStr">
        <is>
          <t>pokemon</t>
        </is>
      </c>
      <c r="AP603" s="18" t="inlineStr">
        <is>
          <t>natural</t>
        </is>
      </c>
      <c r="AQ603" s="18" t="inlineStr">
        <is>
          <t>{"biomes":["#aether:is_aether","#cobblemon:is_floral"],"maxSkyLight":15,"minSkyLight":8}</t>
        </is>
      </c>
      <c r="AR603" s="18" t="inlineStr"/>
      <c r="AS603" s="18" t="inlineStr"/>
      <c r="AT603" s="19" t="inlineStr"/>
    </row>
    <row r="604" ht="32" customHeight="1">
      <c r="A604" s="18" t="inlineStr">
        <is>
          <t>0153_bayleef.json::bayleef-2::002</t>
        </is>
      </c>
      <c r="B604" s="19" t="inlineStr">
        <is>
          <t>사용</t>
        </is>
      </c>
      <c r="C604" s="18">
        <f>IF(OR(B604&lt;&gt;AK604,M604&lt;&gt;L604,O604&lt;&gt;"",Q604&lt;&gt;"",V604&lt;&gt;1,Y604&lt;&gt;"",AT604&lt;&gt;""),"수정","원본")</f>
        <v/>
      </c>
      <c r="D604" s="18" t="n">
        <v>153</v>
      </c>
      <c r="E604" s="18" t="inlineStr">
        <is>
          <t>베이리프</t>
        </is>
      </c>
      <c r="F604" s="18" t="inlineStr">
        <is>
          <t>bayleef</t>
        </is>
      </c>
      <c r="G604" s="18" t="inlineStr">
        <is>
          <t>bayleef</t>
        </is>
      </c>
      <c r="H604" s="18" t="inlineStr"/>
      <c r="I604" s="18" t="n">
        <v>2</v>
      </c>
      <c r="J604" s="18" t="n"/>
      <c r="K604" s="18" t="n">
        <v>2</v>
      </c>
      <c r="L604" s="18" t="inlineStr">
        <is>
          <t>cobbleventure:generation_2</t>
        </is>
      </c>
      <c r="M604" s="19" t="inlineStr">
        <is>
          <t>cobbleventure:generation_2</t>
        </is>
      </c>
      <c r="N604" s="18" t="inlineStr"/>
      <c r="O604" s="19" t="inlineStr"/>
      <c r="P604" s="18" t="inlineStr">
        <is>
          <t>the_bumblezone:floral_meadow</t>
        </is>
      </c>
      <c r="Q604" s="19" t="inlineStr"/>
      <c r="R604" s="18">
        <f>IF(Q604="",P604,Q604)</f>
        <v/>
      </c>
      <c r="S604" s="18" t="inlineStr"/>
      <c r="T604" s="18" t="inlineStr">
        <is>
          <t>ultra-rare</t>
        </is>
      </c>
      <c r="U604" s="20" t="n">
        <v>3.6</v>
      </c>
      <c r="V604" s="21" t="n">
        <v>1</v>
      </c>
      <c r="W604" s="20">
        <f>IF(OR(U604="",V604=""),U604,U604*V604)</f>
        <v/>
      </c>
      <c r="X604" s="18" t="inlineStr">
        <is>
          <t>16-41</t>
        </is>
      </c>
      <c r="Y604" s="19" t="inlineStr"/>
      <c r="Z604" s="18">
        <f>IF(Y604="",X604,Y604)</f>
        <v/>
      </c>
      <c r="AA604" s="18" t="inlineStr">
        <is>
          <t>grounded</t>
        </is>
      </c>
      <c r="AB604" s="18" t="inlineStr"/>
      <c r="AC604" s="18" t="inlineStr"/>
      <c r="AD604" s="18" t="inlineStr"/>
      <c r="AE604" s="18" t="inlineStr">
        <is>
          <t>sky 8-15</t>
        </is>
      </c>
      <c r="AF604" s="18" t="inlineStr"/>
      <c r="AG604" s="18" t="inlineStr"/>
      <c r="AH604" s="18" t="inlineStr"/>
      <c r="AI604" s="18" t="inlineStr"/>
      <c r="AJ604" s="18" t="inlineStr">
        <is>
          <t>Cobblemon 동일</t>
        </is>
      </c>
      <c r="AK604" s="18" t="inlineStr">
        <is>
          <t>사용</t>
        </is>
      </c>
      <c r="AL604" s="18" t="inlineStr">
        <is>
          <t>COBBLEVERSE 1.7.42 / DP v31</t>
        </is>
      </c>
      <c r="AM604" s="18" t="inlineStr">
        <is>
          <t>data/cobblemon/spawn_pool_world/0153_bayleef.json</t>
        </is>
      </c>
      <c r="AN604" s="18" t="inlineStr">
        <is>
          <t>bayleef-2</t>
        </is>
      </c>
      <c r="AO604" s="18" t="inlineStr">
        <is>
          <t>pokemon</t>
        </is>
      </c>
      <c r="AP604" s="18" t="inlineStr"/>
      <c r="AQ604" s="18" t="inlineStr">
        <is>
          <t>{"biomes":["the_bumblezone:floral_meadow"],"maxSkyLight":15,"minSkyLight":8}</t>
        </is>
      </c>
      <c r="AR604" s="18" t="inlineStr">
        <is>
          <t>{"structures":["#the_bumblezone:sempiternal_sanctums"]}</t>
        </is>
      </c>
      <c r="AS604" s="18" t="inlineStr"/>
      <c r="AT604" s="19" t="inlineStr"/>
    </row>
    <row r="605" ht="32" customHeight="1">
      <c r="A605" s="18" t="inlineStr">
        <is>
          <t>0154_meganium.json::meganium-1::001</t>
        </is>
      </c>
      <c r="B605" s="19" t="inlineStr">
        <is>
          <t>사용</t>
        </is>
      </c>
      <c r="C605" s="18">
        <f>IF(OR(B605&lt;&gt;AK605,M605&lt;&gt;L605,O605&lt;&gt;"",Q605&lt;&gt;"",V605&lt;&gt;1,Y605&lt;&gt;"",AT605&lt;&gt;""),"수정","원본")</f>
        <v/>
      </c>
      <c r="D605" s="18" t="n">
        <v>154</v>
      </c>
      <c r="E605" s="18" t="inlineStr">
        <is>
          <t>메가니움</t>
        </is>
      </c>
      <c r="F605" s="18" t="inlineStr">
        <is>
          <t>meganium</t>
        </is>
      </c>
      <c r="G605" s="18" t="inlineStr">
        <is>
          <t>meganium</t>
        </is>
      </c>
      <c r="H605" s="18" t="inlineStr"/>
      <c r="I605" s="18" t="n">
        <v>2</v>
      </c>
      <c r="J605" s="18" t="n"/>
      <c r="K605" s="18" t="n">
        <v>2</v>
      </c>
      <c r="L605" s="18" t="inlineStr">
        <is>
          <t>cobbleventure:generation_2</t>
        </is>
      </c>
      <c r="M605" s="19" t="inlineStr">
        <is>
          <t>cobbleventure:generation_2</t>
        </is>
      </c>
      <c r="N605" s="18" t="inlineStr"/>
      <c r="O605" s="19" t="inlineStr"/>
      <c r="P605" s="18" t="inlineStr">
        <is>
          <t>#aether:is_aether; #cobblemon:is_floral</t>
        </is>
      </c>
      <c r="Q605" s="19" t="inlineStr"/>
      <c r="R605" s="18">
        <f>IF(Q605="",P605,Q605)</f>
        <v/>
      </c>
      <c r="S605" s="18" t="inlineStr"/>
      <c r="T605" s="18" t="inlineStr">
        <is>
          <t>ultra-rare</t>
        </is>
      </c>
      <c r="U605" s="20" t="n">
        <v>0.4</v>
      </c>
      <c r="V605" s="21" t="n">
        <v>1</v>
      </c>
      <c r="W605" s="20">
        <f>IF(OR(U605="",V605=""),U605,U605*V605)</f>
        <v/>
      </c>
      <c r="X605" s="18" t="inlineStr">
        <is>
          <t>32-53</t>
        </is>
      </c>
      <c r="Y605" s="19" t="inlineStr"/>
      <c r="Z605" s="18">
        <f>IF(Y605="",X605,Y605)</f>
        <v/>
      </c>
      <c r="AA605" s="18" t="inlineStr">
        <is>
          <t>grounded</t>
        </is>
      </c>
      <c r="AB605" s="18" t="inlineStr"/>
      <c r="AC605" s="18" t="inlineStr"/>
      <c r="AD605" s="18" t="inlineStr"/>
      <c r="AE605" s="18" t="inlineStr">
        <is>
          <t>sky 8-15</t>
        </is>
      </c>
      <c r="AF605" s="18" t="inlineStr"/>
      <c r="AG605" s="18" t="inlineStr"/>
      <c r="AH605" s="18" t="inlineStr"/>
      <c r="AI605" s="18" t="inlineStr"/>
      <c r="AJ605" s="18" t="inlineStr">
        <is>
          <t>Cobblemon 동일</t>
        </is>
      </c>
      <c r="AK605" s="18" t="inlineStr">
        <is>
          <t>사용</t>
        </is>
      </c>
      <c r="AL605" s="18" t="inlineStr">
        <is>
          <t>COBBLEVERSE 1.7.42 / DP v31</t>
        </is>
      </c>
      <c r="AM605" s="18" t="inlineStr">
        <is>
          <t>data/cobblemon/spawn_pool_world/0154_meganium.json</t>
        </is>
      </c>
      <c r="AN605" s="18" t="inlineStr">
        <is>
          <t>meganium-1</t>
        </is>
      </c>
      <c r="AO605" s="18" t="inlineStr">
        <is>
          <t>pokemon</t>
        </is>
      </c>
      <c r="AP605" s="18" t="inlineStr">
        <is>
          <t>natural</t>
        </is>
      </c>
      <c r="AQ605" s="18" t="inlineStr">
        <is>
          <t>{"biomes":["#aether:is_aether","#cobblemon:is_floral"],"maxSkyLight":15,"minSkyLight":8}</t>
        </is>
      </c>
      <c r="AR605" s="18" t="inlineStr"/>
      <c r="AS605" s="18" t="inlineStr"/>
      <c r="AT605" s="19" t="inlineStr"/>
    </row>
    <row r="606" ht="32" customHeight="1">
      <c r="A606" s="18" t="inlineStr">
        <is>
          <t>0154_meganium.json::meganium-2::002</t>
        </is>
      </c>
      <c r="B606" s="19" t="inlineStr">
        <is>
          <t>사용</t>
        </is>
      </c>
      <c r="C606" s="18">
        <f>IF(OR(B606&lt;&gt;AK606,M606&lt;&gt;L606,O606&lt;&gt;"",Q606&lt;&gt;"",V606&lt;&gt;1,Y606&lt;&gt;"",AT606&lt;&gt;""),"수정","원본")</f>
        <v/>
      </c>
      <c r="D606" s="18" t="n">
        <v>154</v>
      </c>
      <c r="E606" s="18" t="inlineStr">
        <is>
          <t>메가니움</t>
        </is>
      </c>
      <c r="F606" s="18" t="inlineStr">
        <is>
          <t>meganium</t>
        </is>
      </c>
      <c r="G606" s="18" t="inlineStr">
        <is>
          <t>meganium</t>
        </is>
      </c>
      <c r="H606" s="18" t="inlineStr"/>
      <c r="I606" s="18" t="n">
        <v>2</v>
      </c>
      <c r="J606" s="18" t="n"/>
      <c r="K606" s="18" t="n">
        <v>2</v>
      </c>
      <c r="L606" s="18" t="inlineStr">
        <is>
          <t>cobbleventure:generation_2</t>
        </is>
      </c>
      <c r="M606" s="19" t="inlineStr">
        <is>
          <t>cobbleventure:generation_2</t>
        </is>
      </c>
      <c r="N606" s="18" t="inlineStr"/>
      <c r="O606" s="19" t="inlineStr"/>
      <c r="P606" s="18" t="inlineStr">
        <is>
          <t>the_bumblezone:floral_meadow</t>
        </is>
      </c>
      <c r="Q606" s="19" t="inlineStr"/>
      <c r="R606" s="18">
        <f>IF(Q606="",P606,Q606)</f>
        <v/>
      </c>
      <c r="S606" s="18" t="inlineStr"/>
      <c r="T606" s="18" t="inlineStr">
        <is>
          <t>ultra-rare</t>
        </is>
      </c>
      <c r="U606" s="20" t="n">
        <v>0.4</v>
      </c>
      <c r="V606" s="21" t="n">
        <v>1</v>
      </c>
      <c r="W606" s="20">
        <f>IF(OR(U606="",V606=""),U606,U606*V606)</f>
        <v/>
      </c>
      <c r="X606" s="18" t="inlineStr">
        <is>
          <t>32-53</t>
        </is>
      </c>
      <c r="Y606" s="19" t="inlineStr"/>
      <c r="Z606" s="18">
        <f>IF(Y606="",X606,Y606)</f>
        <v/>
      </c>
      <c r="AA606" s="18" t="inlineStr">
        <is>
          <t>grounded</t>
        </is>
      </c>
      <c r="AB606" s="18" t="inlineStr"/>
      <c r="AC606" s="18" t="inlineStr"/>
      <c r="AD606" s="18" t="inlineStr"/>
      <c r="AE606" s="18" t="inlineStr">
        <is>
          <t>sky 8-15</t>
        </is>
      </c>
      <c r="AF606" s="18" t="inlineStr"/>
      <c r="AG606" s="18" t="inlineStr"/>
      <c r="AH606" s="18" t="inlineStr"/>
      <c r="AI606" s="18" t="inlineStr"/>
      <c r="AJ606" s="18" t="inlineStr">
        <is>
          <t>Cobblemon 동일</t>
        </is>
      </c>
      <c r="AK606" s="18" t="inlineStr">
        <is>
          <t>사용</t>
        </is>
      </c>
      <c r="AL606" s="18" t="inlineStr">
        <is>
          <t>COBBLEVERSE 1.7.42 / DP v31</t>
        </is>
      </c>
      <c r="AM606" s="18" t="inlineStr">
        <is>
          <t>data/cobblemon/spawn_pool_world/0154_meganium.json</t>
        </is>
      </c>
      <c r="AN606" s="18" t="inlineStr">
        <is>
          <t>meganium-2</t>
        </is>
      </c>
      <c r="AO606" s="18" t="inlineStr">
        <is>
          <t>pokemon</t>
        </is>
      </c>
      <c r="AP606" s="18" t="inlineStr"/>
      <c r="AQ606" s="18" t="inlineStr">
        <is>
          <t>{"biomes":["the_bumblezone:floral_meadow"],"maxSkyLight":15,"minSkyLight":8}</t>
        </is>
      </c>
      <c r="AR606" s="18" t="inlineStr">
        <is>
          <t>{"structures":["#the_bumblezone:sempiternal_sanctums"]}</t>
        </is>
      </c>
      <c r="AS606" s="18" t="inlineStr"/>
      <c r="AT606" s="19" t="inlineStr"/>
    </row>
    <row r="607" ht="32" customHeight="1">
      <c r="A607" s="18" t="inlineStr">
        <is>
          <t>0155_cyndaquil.json::cyndaquil-1::001</t>
        </is>
      </c>
      <c r="B607" s="19" t="inlineStr">
        <is>
          <t>사용</t>
        </is>
      </c>
      <c r="C607" s="18">
        <f>IF(OR(B607&lt;&gt;AK607,M607&lt;&gt;L607,O607&lt;&gt;"",Q607&lt;&gt;"",V607&lt;&gt;1,Y607&lt;&gt;"",AT607&lt;&gt;""),"수정","원본")</f>
        <v/>
      </c>
      <c r="D607" s="18" t="n">
        <v>155</v>
      </c>
      <c r="E607" s="18" t="inlineStr">
        <is>
          <t>브케인</t>
        </is>
      </c>
      <c r="F607" s="18" t="inlineStr">
        <is>
          <t>cyndaquil</t>
        </is>
      </c>
      <c r="G607" s="18" t="inlineStr">
        <is>
          <t>cyndaquil</t>
        </is>
      </c>
      <c r="H607" s="18" t="inlineStr"/>
      <c r="I607" s="18" t="n">
        <v>2</v>
      </c>
      <c r="J607" s="18" t="n"/>
      <c r="K607" s="18" t="n">
        <v>2</v>
      </c>
      <c r="L607" s="18" t="inlineStr">
        <is>
          <t>cobbleventure:generation_2</t>
        </is>
      </c>
      <c r="M607" s="19" t="inlineStr">
        <is>
          <t>cobbleventure:generation_2</t>
        </is>
      </c>
      <c r="N607" s="18" t="inlineStr">
        <is>
          <t>region_01</t>
        </is>
      </c>
      <c r="O607" s="19" t="inlineStr"/>
      <c r="P607" s="18" t="inlineStr">
        <is>
          <t>#cobblemon:is_temperate</t>
        </is>
      </c>
      <c r="Q607" s="19" t="inlineStr"/>
      <c r="R607" s="18">
        <f>IF(Q607="",P607,Q607)</f>
        <v/>
      </c>
      <c r="S607" s="18" t="inlineStr">
        <is>
          <t>#cobblemon:is_spooky</t>
        </is>
      </c>
      <c r="T607" s="18" t="inlineStr">
        <is>
          <t>ultra-rare</t>
        </is>
      </c>
      <c r="U607" s="20" t="n">
        <v>6</v>
      </c>
      <c r="V607" s="21" t="n">
        <v>1</v>
      </c>
      <c r="W607" s="20">
        <f>IF(OR(U607="",V607=""),U607,U607*V607)</f>
        <v/>
      </c>
      <c r="X607" s="18" t="inlineStr">
        <is>
          <t>5-31</t>
        </is>
      </c>
      <c r="Y607" s="19" t="inlineStr"/>
      <c r="Z607" s="18">
        <f>IF(Y607="",X607,Y607)</f>
        <v/>
      </c>
      <c r="AA607" s="18" t="inlineStr">
        <is>
          <t>grounded</t>
        </is>
      </c>
      <c r="AB607" s="18" t="inlineStr"/>
      <c r="AC607" s="18" t="inlineStr"/>
      <c r="AD607" s="18" t="inlineStr"/>
      <c r="AE607" s="18" t="inlineStr">
        <is>
          <t>sky 8-15</t>
        </is>
      </c>
      <c r="AF607" s="18" t="inlineStr"/>
      <c r="AG607" s="18" t="inlineStr"/>
      <c r="AH607" s="18" t="inlineStr"/>
      <c r="AI607" s="18" t="inlineStr"/>
      <c r="AJ607" s="18" t="inlineStr">
        <is>
          <t>Cobblemon 동일</t>
        </is>
      </c>
      <c r="AK607" s="18" t="inlineStr">
        <is>
          <t>사용</t>
        </is>
      </c>
      <c r="AL607" s="18" t="inlineStr">
        <is>
          <t>COBBLEVERSE 1.7.42 / DP v31</t>
        </is>
      </c>
      <c r="AM607" s="18" t="inlineStr">
        <is>
          <t>data/cobblemon/spawn_pool_world/0155_cyndaquil.json</t>
        </is>
      </c>
      <c r="AN607" s="18" t="inlineStr">
        <is>
          <t>cyndaquil-1</t>
        </is>
      </c>
      <c r="AO607" s="18" t="inlineStr">
        <is>
          <t>pokemon</t>
        </is>
      </c>
      <c r="AP607" s="18" t="inlineStr">
        <is>
          <t>natural</t>
        </is>
      </c>
      <c r="AQ607" s="18" t="inlineStr">
        <is>
          <t>{"biomes":["#cobblemon:is_temperate"],"maxSkyLight":15,"minSkyLight":8}</t>
        </is>
      </c>
      <c r="AR607" s="18" t="inlineStr">
        <is>
          <t>{"biomes":["#cobblemon:is_spooky"]}</t>
        </is>
      </c>
      <c r="AS607" s="18" t="inlineStr"/>
      <c r="AT607" s="19" t="inlineStr"/>
    </row>
    <row r="608" ht="32" customHeight="1">
      <c r="A608" s="18" t="inlineStr">
        <is>
          <t>0155_cyndaquil.json::cyndaquil-hisui-2::002</t>
        </is>
      </c>
      <c r="B608" s="19" t="inlineStr">
        <is>
          <t>사용</t>
        </is>
      </c>
      <c r="C608" s="18">
        <f>IF(OR(B608&lt;&gt;AK608,M608&lt;&gt;L608,O608&lt;&gt;"",Q608&lt;&gt;"",V608&lt;&gt;1,Y608&lt;&gt;"",AT608&lt;&gt;""),"수정","원본")</f>
        <v/>
      </c>
      <c r="D608" s="18" t="n">
        <v>155</v>
      </c>
      <c r="E608" s="18" t="inlineStr">
        <is>
          <t>브케인</t>
        </is>
      </c>
      <c r="F608" s="18" t="inlineStr">
        <is>
          <t>cyndaquil</t>
        </is>
      </c>
      <c r="G608" s="18" t="inlineStr">
        <is>
          <t>cyndaquil region_bias=hisui</t>
        </is>
      </c>
      <c r="H608" s="18" t="inlineStr">
        <is>
          <t>region_bias=hisui</t>
        </is>
      </c>
      <c r="I608" s="18" t="n">
        <v>2</v>
      </c>
      <c r="J608" s="18" t="n">
        <v>8</v>
      </c>
      <c r="K608" s="18" t="n">
        <v>8</v>
      </c>
      <c r="L608" s="18" t="inlineStr">
        <is>
          <t>cobbleventure:generation_8</t>
        </is>
      </c>
      <c r="M608" s="19" t="inlineStr">
        <is>
          <t>cobbleventure:generation_8</t>
        </is>
      </c>
      <c r="N608" s="18" t="inlineStr"/>
      <c r="O608" s="19" t="inlineStr"/>
      <c r="P608" s="18" t="inlineStr">
        <is>
          <t>#cobblemon:is_taiga</t>
        </is>
      </c>
      <c r="Q608" s="19" t="inlineStr"/>
      <c r="R608" s="18">
        <f>IF(Q608="",P608,Q608)</f>
        <v/>
      </c>
      <c r="S608" s="18" t="inlineStr"/>
      <c r="T608" s="18" t="inlineStr">
        <is>
          <t>ultra-rare</t>
        </is>
      </c>
      <c r="U608" s="20" t="n">
        <v>6</v>
      </c>
      <c r="V608" s="21" t="n">
        <v>1</v>
      </c>
      <c r="W608" s="20">
        <f>IF(OR(U608="",V608=""),U608,U608*V608)</f>
        <v/>
      </c>
      <c r="X608" s="18" t="inlineStr">
        <is>
          <t>5-31</t>
        </is>
      </c>
      <c r="Y608" s="19" t="inlineStr"/>
      <c r="Z608" s="18">
        <f>IF(Y608="",X608,Y608)</f>
        <v/>
      </c>
      <c r="AA608" s="18" t="inlineStr">
        <is>
          <t>grounded</t>
        </is>
      </c>
      <c r="AB608" s="18" t="inlineStr"/>
      <c r="AC608" s="18" t="inlineStr">
        <is>
          <t>비=False</t>
        </is>
      </c>
      <c r="AD608" s="18" t="inlineStr"/>
      <c r="AE608" s="18" t="inlineStr">
        <is>
          <t>sky 8-15</t>
        </is>
      </c>
      <c r="AF608" s="18" t="inlineStr"/>
      <c r="AG608" s="18" t="inlineStr"/>
      <c r="AH608" s="18" t="inlineStr"/>
      <c r="AI608" s="18" t="inlineStr"/>
      <c r="AJ608" s="18" t="inlineStr">
        <is>
          <t>Cobblemon 동일</t>
        </is>
      </c>
      <c r="AK608" s="18" t="inlineStr">
        <is>
          <t>사용</t>
        </is>
      </c>
      <c r="AL608" s="18" t="inlineStr">
        <is>
          <t>COBBLEVERSE 1.7.42 / DP v31</t>
        </is>
      </c>
      <c r="AM608" s="18" t="inlineStr">
        <is>
          <t>data/cobblemon/spawn_pool_world/0155_cyndaquil.json</t>
        </is>
      </c>
      <c r="AN608" s="18" t="inlineStr">
        <is>
          <t>cyndaquil-hisui-2</t>
        </is>
      </c>
      <c r="AO608" s="18" t="inlineStr">
        <is>
          <t>pokemon</t>
        </is>
      </c>
      <c r="AP608" s="18" t="inlineStr">
        <is>
          <t>natural</t>
        </is>
      </c>
      <c r="AQ608" s="18" t="inlineStr">
        <is>
          <t>{"biomes":["#cobblemon:is_taiga"],"isRaining":false,"maxSkyLight":15,"minSkyLight":8}</t>
        </is>
      </c>
      <c r="AR608" s="18" t="inlineStr"/>
      <c r="AS608" s="18" t="inlineStr"/>
      <c r="AT608" s="19" t="inlineStr"/>
    </row>
    <row r="609" ht="32" customHeight="1">
      <c r="A609" s="18" t="inlineStr">
        <is>
          <t>0155_cyndaquil.json::cyndaquil-hisui-3::003</t>
        </is>
      </c>
      <c r="B609" s="19" t="inlineStr">
        <is>
          <t>사용</t>
        </is>
      </c>
      <c r="C609" s="18">
        <f>IF(OR(B609&lt;&gt;AK609,M609&lt;&gt;L609,O609&lt;&gt;"",Q609&lt;&gt;"",V609&lt;&gt;1,Y609&lt;&gt;"",AT609&lt;&gt;""),"수정","원본")</f>
        <v/>
      </c>
      <c r="D609" s="18" t="n">
        <v>155</v>
      </c>
      <c r="E609" s="18" t="inlineStr">
        <is>
          <t>브케인</t>
        </is>
      </c>
      <c r="F609" s="18" t="inlineStr">
        <is>
          <t>cyndaquil</t>
        </is>
      </c>
      <c r="G609" s="18" t="inlineStr">
        <is>
          <t>cyndaquil region_bias=hisui</t>
        </is>
      </c>
      <c r="H609" s="18" t="inlineStr">
        <is>
          <t>region_bias=hisui</t>
        </is>
      </c>
      <c r="I609" s="18" t="n">
        <v>2</v>
      </c>
      <c r="J609" s="18" t="n">
        <v>8</v>
      </c>
      <c r="K609" s="18" t="n">
        <v>8</v>
      </c>
      <c r="L609" s="18" t="inlineStr">
        <is>
          <t>cobbleventure:generation_8</t>
        </is>
      </c>
      <c r="M609" s="19" t="inlineStr">
        <is>
          <t>cobbleventure:generation_8</t>
        </is>
      </c>
      <c r="N609" s="18" t="inlineStr"/>
      <c r="O609" s="19" t="inlineStr"/>
      <c r="P609" s="18" t="inlineStr">
        <is>
          <t>#cobblemon:nether/is_crimson; #cobblemon:nether/is_forest; #cobblemon:nether/is_overgrowth</t>
        </is>
      </c>
      <c r="Q609" s="19" t="inlineStr"/>
      <c r="R609" s="18">
        <f>IF(Q609="",P609,Q609)</f>
        <v/>
      </c>
      <c r="S609" s="18" t="inlineStr"/>
      <c r="T609" s="18" t="inlineStr">
        <is>
          <t>ultra-rare</t>
        </is>
      </c>
      <c r="U609" s="20" t="n">
        <v>6</v>
      </c>
      <c r="V609" s="21" t="n">
        <v>1</v>
      </c>
      <c r="W609" s="20">
        <f>IF(OR(U609="",V609=""),U609,U609*V609)</f>
        <v/>
      </c>
      <c r="X609" s="18" t="inlineStr">
        <is>
          <t>5-31</t>
        </is>
      </c>
      <c r="Y609" s="19" t="inlineStr"/>
      <c r="Z609" s="18">
        <f>IF(Y609="",X609,Y609)</f>
        <v/>
      </c>
      <c r="AA609" s="18" t="inlineStr">
        <is>
          <t>grounded</t>
        </is>
      </c>
      <c r="AB609" s="18" t="inlineStr"/>
      <c r="AC609" s="18" t="inlineStr"/>
      <c r="AD609" s="18" t="inlineStr"/>
      <c r="AE609" s="18" t="inlineStr"/>
      <c r="AF609" s="18" t="inlineStr"/>
      <c r="AG609" s="18" t="inlineStr"/>
      <c r="AH609" s="18" t="inlineStr"/>
      <c r="AI609" s="18" t="inlineStr"/>
      <c r="AJ609" s="18" t="inlineStr">
        <is>
          <t>Cobblemon 동일</t>
        </is>
      </c>
      <c r="AK609" s="18" t="inlineStr">
        <is>
          <t>사용</t>
        </is>
      </c>
      <c r="AL609" s="18" t="inlineStr">
        <is>
          <t>COBBLEVERSE 1.7.42 / DP v31</t>
        </is>
      </c>
      <c r="AM609" s="18" t="inlineStr">
        <is>
          <t>data/cobblemon/spawn_pool_world/0155_cyndaquil.json</t>
        </is>
      </c>
      <c r="AN609" s="18" t="inlineStr">
        <is>
          <t>cyndaquil-hisui-3</t>
        </is>
      </c>
      <c r="AO609" s="18" t="inlineStr">
        <is>
          <t>pokemon</t>
        </is>
      </c>
      <c r="AP609" s="18" t="inlineStr">
        <is>
          <t>natural</t>
        </is>
      </c>
      <c r="AQ609" s="18" t="inlineStr">
        <is>
          <t>{"biomes":["#cobblemon:nether/is_crimson","#cobblemon:nether/is_forest","#cobblemon:nether/is_overgrowth"]}</t>
        </is>
      </c>
      <c r="AR609" s="18" t="inlineStr"/>
      <c r="AS609" s="18" t="inlineStr"/>
      <c r="AT609" s="19" t="inlineStr"/>
    </row>
    <row r="610" ht="32" customHeight="1">
      <c r="A610" s="18" t="inlineStr">
        <is>
          <t>0156_quilava.json::quilava-1::001</t>
        </is>
      </c>
      <c r="B610" s="19" t="inlineStr">
        <is>
          <t>사용</t>
        </is>
      </c>
      <c r="C610" s="18">
        <f>IF(OR(B610&lt;&gt;AK610,M610&lt;&gt;L610,O610&lt;&gt;"",Q610&lt;&gt;"",V610&lt;&gt;1,Y610&lt;&gt;"",AT610&lt;&gt;""),"수정","원본")</f>
        <v/>
      </c>
      <c r="D610" s="18" t="n">
        <v>156</v>
      </c>
      <c r="E610" s="18" t="inlineStr">
        <is>
          <t>마그케인</t>
        </is>
      </c>
      <c r="F610" s="18" t="inlineStr">
        <is>
          <t>quilava</t>
        </is>
      </c>
      <c r="G610" s="18" t="inlineStr">
        <is>
          <t>quilava</t>
        </is>
      </c>
      <c r="H610" s="18" t="inlineStr"/>
      <c r="I610" s="18" t="n">
        <v>2</v>
      </c>
      <c r="J610" s="18" t="n"/>
      <c r="K610" s="18" t="n">
        <v>2</v>
      </c>
      <c r="L610" s="18" t="inlineStr">
        <is>
          <t>cobbleventure:generation_2</t>
        </is>
      </c>
      <c r="M610" s="19" t="inlineStr">
        <is>
          <t>cobbleventure:generation_2</t>
        </is>
      </c>
      <c r="N610" s="18" t="inlineStr">
        <is>
          <t>region_01</t>
        </is>
      </c>
      <c r="O610" s="19" t="inlineStr"/>
      <c r="P610" s="18" t="inlineStr">
        <is>
          <t>#cobblemon:is_temperate</t>
        </is>
      </c>
      <c r="Q610" s="19" t="inlineStr"/>
      <c r="R610" s="18">
        <f>IF(Q610="",P610,Q610)</f>
        <v/>
      </c>
      <c r="S610" s="18" t="inlineStr">
        <is>
          <t>#cobblemon:is_spooky</t>
        </is>
      </c>
      <c r="T610" s="18" t="inlineStr">
        <is>
          <t>ultra-rare</t>
        </is>
      </c>
      <c r="U610" s="20" t="n">
        <v>3.6</v>
      </c>
      <c r="V610" s="21" t="n">
        <v>1</v>
      </c>
      <c r="W610" s="20">
        <f>IF(OR(U610="",V610=""),U610,U610*V610)</f>
        <v/>
      </c>
      <c r="X610" s="18" t="inlineStr">
        <is>
          <t>17-41</t>
        </is>
      </c>
      <c r="Y610" s="19" t="inlineStr"/>
      <c r="Z610" s="18">
        <f>IF(Y610="",X610,Y610)</f>
        <v/>
      </c>
      <c r="AA610" s="18" t="inlineStr">
        <is>
          <t>grounded</t>
        </is>
      </c>
      <c r="AB610" s="18" t="inlineStr"/>
      <c r="AC610" s="18" t="inlineStr"/>
      <c r="AD610" s="18" t="inlineStr"/>
      <c r="AE610" s="18" t="inlineStr">
        <is>
          <t>sky 8-15</t>
        </is>
      </c>
      <c r="AF610" s="18" t="inlineStr"/>
      <c r="AG610" s="18" t="inlineStr"/>
      <c r="AH610" s="18" t="inlineStr"/>
      <c r="AI610" s="18" t="inlineStr"/>
      <c r="AJ610" s="18" t="inlineStr">
        <is>
          <t>Cobblemon 동일</t>
        </is>
      </c>
      <c r="AK610" s="18" t="inlineStr">
        <is>
          <t>사용</t>
        </is>
      </c>
      <c r="AL610" s="18" t="inlineStr">
        <is>
          <t>COBBLEVERSE 1.7.42 / DP v31</t>
        </is>
      </c>
      <c r="AM610" s="18" t="inlineStr">
        <is>
          <t>data/cobblemon/spawn_pool_world/0156_quilava.json</t>
        </is>
      </c>
      <c r="AN610" s="18" t="inlineStr">
        <is>
          <t>quilava-1</t>
        </is>
      </c>
      <c r="AO610" s="18" t="inlineStr">
        <is>
          <t>pokemon</t>
        </is>
      </c>
      <c r="AP610" s="18" t="inlineStr">
        <is>
          <t>natural</t>
        </is>
      </c>
      <c r="AQ610" s="18" t="inlineStr">
        <is>
          <t>{"biomes":["#cobblemon:is_temperate"],"maxSkyLight":15,"minSkyLight":8}</t>
        </is>
      </c>
      <c r="AR610" s="18" t="inlineStr">
        <is>
          <t>{"biomes":["#cobblemon:is_spooky"]}</t>
        </is>
      </c>
      <c r="AS610" s="18" t="inlineStr"/>
      <c r="AT610" s="19" t="inlineStr"/>
    </row>
    <row r="611" ht="32" customHeight="1">
      <c r="A611" s="18" t="inlineStr">
        <is>
          <t>0156_quilava.json::quilava-hisui-2::002</t>
        </is>
      </c>
      <c r="B611" s="19" t="inlineStr">
        <is>
          <t>사용</t>
        </is>
      </c>
      <c r="C611" s="18">
        <f>IF(OR(B611&lt;&gt;AK611,M611&lt;&gt;L611,O611&lt;&gt;"",Q611&lt;&gt;"",V611&lt;&gt;1,Y611&lt;&gt;"",AT611&lt;&gt;""),"수정","원본")</f>
        <v/>
      </c>
      <c r="D611" s="18" t="n">
        <v>156</v>
      </c>
      <c r="E611" s="18" t="inlineStr">
        <is>
          <t>마그케인</t>
        </is>
      </c>
      <c r="F611" s="18" t="inlineStr">
        <is>
          <t>quilava</t>
        </is>
      </c>
      <c r="G611" s="18" t="inlineStr">
        <is>
          <t>quilava region_bias=hisui</t>
        </is>
      </c>
      <c r="H611" s="18" t="inlineStr">
        <is>
          <t>region_bias=hisui</t>
        </is>
      </c>
      <c r="I611" s="18" t="n">
        <v>2</v>
      </c>
      <c r="J611" s="18" t="n">
        <v>8</v>
      </c>
      <c r="K611" s="18" t="n">
        <v>8</v>
      </c>
      <c r="L611" s="18" t="inlineStr">
        <is>
          <t>cobbleventure:generation_8</t>
        </is>
      </c>
      <c r="M611" s="19" t="inlineStr">
        <is>
          <t>cobbleventure:generation_8</t>
        </is>
      </c>
      <c r="N611" s="18" t="inlineStr"/>
      <c r="O611" s="19" t="inlineStr"/>
      <c r="P611" s="18" t="inlineStr">
        <is>
          <t>#cobblemon:is_taiga</t>
        </is>
      </c>
      <c r="Q611" s="19" t="inlineStr"/>
      <c r="R611" s="18">
        <f>IF(Q611="",P611,Q611)</f>
        <v/>
      </c>
      <c r="S611" s="18" t="inlineStr"/>
      <c r="T611" s="18" t="inlineStr">
        <is>
          <t>ultra-rare</t>
        </is>
      </c>
      <c r="U611" s="20" t="n">
        <v>3.6</v>
      </c>
      <c r="V611" s="21" t="n">
        <v>1</v>
      </c>
      <c r="W611" s="20">
        <f>IF(OR(U611="",V611=""),U611,U611*V611)</f>
        <v/>
      </c>
      <c r="X611" s="18" t="inlineStr">
        <is>
          <t>17-41</t>
        </is>
      </c>
      <c r="Y611" s="19" t="inlineStr"/>
      <c r="Z611" s="18">
        <f>IF(Y611="",X611,Y611)</f>
        <v/>
      </c>
      <c r="AA611" s="18" t="inlineStr">
        <is>
          <t>grounded</t>
        </is>
      </c>
      <c r="AB611" s="18" t="inlineStr"/>
      <c r="AC611" s="18" t="inlineStr">
        <is>
          <t>비=False</t>
        </is>
      </c>
      <c r="AD611" s="18" t="inlineStr"/>
      <c r="AE611" s="18" t="inlineStr">
        <is>
          <t>sky 8-15</t>
        </is>
      </c>
      <c r="AF611" s="18" t="inlineStr"/>
      <c r="AG611" s="18" t="inlineStr"/>
      <c r="AH611" s="18" t="inlineStr"/>
      <c r="AI611" s="18" t="inlineStr"/>
      <c r="AJ611" s="18" t="inlineStr">
        <is>
          <t>Cobblemon 동일</t>
        </is>
      </c>
      <c r="AK611" s="18" t="inlineStr">
        <is>
          <t>사용</t>
        </is>
      </c>
      <c r="AL611" s="18" t="inlineStr">
        <is>
          <t>COBBLEVERSE 1.7.42 / DP v31</t>
        </is>
      </c>
      <c r="AM611" s="18" t="inlineStr">
        <is>
          <t>data/cobblemon/spawn_pool_world/0156_quilava.json</t>
        </is>
      </c>
      <c r="AN611" s="18" t="inlineStr">
        <is>
          <t>quilava-hisui-2</t>
        </is>
      </c>
      <c r="AO611" s="18" t="inlineStr">
        <is>
          <t>pokemon</t>
        </is>
      </c>
      <c r="AP611" s="18" t="inlineStr">
        <is>
          <t>natural</t>
        </is>
      </c>
      <c r="AQ611" s="18" t="inlineStr">
        <is>
          <t>{"biomes":["#cobblemon:is_taiga"],"isRaining":false,"maxSkyLight":15,"minSkyLight":8}</t>
        </is>
      </c>
      <c r="AR611" s="18" t="inlineStr"/>
      <c r="AS611" s="18" t="inlineStr"/>
      <c r="AT611" s="19" t="inlineStr"/>
    </row>
    <row r="612" ht="32" customHeight="1">
      <c r="A612" s="18" t="inlineStr">
        <is>
          <t>0156_quilava.json::quilava-hisui-3::003</t>
        </is>
      </c>
      <c r="B612" s="19" t="inlineStr">
        <is>
          <t>사용</t>
        </is>
      </c>
      <c r="C612" s="18">
        <f>IF(OR(B612&lt;&gt;AK612,M612&lt;&gt;L612,O612&lt;&gt;"",Q612&lt;&gt;"",V612&lt;&gt;1,Y612&lt;&gt;"",AT612&lt;&gt;""),"수정","원본")</f>
        <v/>
      </c>
      <c r="D612" s="18" t="n">
        <v>156</v>
      </c>
      <c r="E612" s="18" t="inlineStr">
        <is>
          <t>마그케인</t>
        </is>
      </c>
      <c r="F612" s="18" t="inlineStr">
        <is>
          <t>quilava</t>
        </is>
      </c>
      <c r="G612" s="18" t="inlineStr">
        <is>
          <t>quilava region_bias=hisui</t>
        </is>
      </c>
      <c r="H612" s="18" t="inlineStr">
        <is>
          <t>region_bias=hisui</t>
        </is>
      </c>
      <c r="I612" s="18" t="n">
        <v>2</v>
      </c>
      <c r="J612" s="18" t="n">
        <v>8</v>
      </c>
      <c r="K612" s="18" t="n">
        <v>8</v>
      </c>
      <c r="L612" s="18" t="inlineStr">
        <is>
          <t>cobbleventure:generation_8</t>
        </is>
      </c>
      <c r="M612" s="19" t="inlineStr">
        <is>
          <t>cobbleventure:generation_8</t>
        </is>
      </c>
      <c r="N612" s="18" t="inlineStr"/>
      <c r="O612" s="19" t="inlineStr"/>
      <c r="P612" s="18" t="inlineStr">
        <is>
          <t>#cobblemon:nether/is_crimson; #cobblemon:nether/is_forest; #cobblemon:nether/is_overgrowth</t>
        </is>
      </c>
      <c r="Q612" s="19" t="inlineStr"/>
      <c r="R612" s="18">
        <f>IF(Q612="",P612,Q612)</f>
        <v/>
      </c>
      <c r="S612" s="18" t="inlineStr"/>
      <c r="T612" s="18" t="inlineStr">
        <is>
          <t>ultra-rare</t>
        </is>
      </c>
      <c r="U612" s="20" t="n">
        <v>3.6</v>
      </c>
      <c r="V612" s="21" t="n">
        <v>1</v>
      </c>
      <c r="W612" s="20">
        <f>IF(OR(U612="",V612=""),U612,U612*V612)</f>
        <v/>
      </c>
      <c r="X612" s="18" t="inlineStr">
        <is>
          <t>17-41</t>
        </is>
      </c>
      <c r="Y612" s="19" t="inlineStr"/>
      <c r="Z612" s="18">
        <f>IF(Y612="",X612,Y612)</f>
        <v/>
      </c>
      <c r="AA612" s="18" t="inlineStr">
        <is>
          <t>grounded</t>
        </is>
      </c>
      <c r="AB612" s="18" t="inlineStr"/>
      <c r="AC612" s="18" t="inlineStr"/>
      <c r="AD612" s="18" t="inlineStr"/>
      <c r="AE612" s="18" t="inlineStr"/>
      <c r="AF612" s="18" t="inlineStr"/>
      <c r="AG612" s="18" t="inlineStr"/>
      <c r="AH612" s="18" t="inlineStr"/>
      <c r="AI612" s="18" t="inlineStr"/>
      <c r="AJ612" s="18" t="inlineStr">
        <is>
          <t>Cobblemon 동일</t>
        </is>
      </c>
      <c r="AK612" s="18" t="inlineStr">
        <is>
          <t>사용</t>
        </is>
      </c>
      <c r="AL612" s="18" t="inlineStr">
        <is>
          <t>COBBLEVERSE 1.7.42 / DP v31</t>
        </is>
      </c>
      <c r="AM612" s="18" t="inlineStr">
        <is>
          <t>data/cobblemon/spawn_pool_world/0156_quilava.json</t>
        </is>
      </c>
      <c r="AN612" s="18" t="inlineStr">
        <is>
          <t>quilava-hisui-3</t>
        </is>
      </c>
      <c r="AO612" s="18" t="inlineStr">
        <is>
          <t>pokemon</t>
        </is>
      </c>
      <c r="AP612" s="18" t="inlineStr">
        <is>
          <t>natural</t>
        </is>
      </c>
      <c r="AQ612" s="18" t="inlineStr">
        <is>
          <t>{"biomes":["#cobblemon:nether/is_crimson","#cobblemon:nether/is_forest","#cobblemon:nether/is_overgrowth"]}</t>
        </is>
      </c>
      <c r="AR612" s="18" t="inlineStr"/>
      <c r="AS612" s="18" t="inlineStr"/>
      <c r="AT612" s="19" t="inlineStr"/>
    </row>
    <row r="613" ht="32" customHeight="1">
      <c r="A613" s="18" t="inlineStr">
        <is>
          <t>0157_typhlosion.json::typhlosion-1::001</t>
        </is>
      </c>
      <c r="B613" s="19" t="inlineStr">
        <is>
          <t>사용</t>
        </is>
      </c>
      <c r="C613" s="18">
        <f>IF(OR(B613&lt;&gt;AK613,M613&lt;&gt;L613,O613&lt;&gt;"",Q613&lt;&gt;"",V613&lt;&gt;1,Y613&lt;&gt;"",AT613&lt;&gt;""),"수정","원본")</f>
        <v/>
      </c>
      <c r="D613" s="18" t="n">
        <v>157</v>
      </c>
      <c r="E613" s="18" t="inlineStr">
        <is>
          <t>블레이범</t>
        </is>
      </c>
      <c r="F613" s="18" t="inlineStr">
        <is>
          <t>typhlosion</t>
        </is>
      </c>
      <c r="G613" s="18" t="inlineStr">
        <is>
          <t>typhlosion</t>
        </is>
      </c>
      <c r="H613" s="18" t="inlineStr"/>
      <c r="I613" s="18" t="n">
        <v>2</v>
      </c>
      <c r="J613" s="18" t="n"/>
      <c r="K613" s="18" t="n">
        <v>2</v>
      </c>
      <c r="L613" s="18" t="inlineStr">
        <is>
          <t>cobbleventure:generation_2</t>
        </is>
      </c>
      <c r="M613" s="19" t="inlineStr">
        <is>
          <t>cobbleventure:generation_2</t>
        </is>
      </c>
      <c r="N613" s="18" t="inlineStr">
        <is>
          <t>region_01</t>
        </is>
      </c>
      <c r="O613" s="19" t="inlineStr"/>
      <c r="P613" s="18" t="inlineStr">
        <is>
          <t>#cobblemon:is_temperate</t>
        </is>
      </c>
      <c r="Q613" s="19" t="inlineStr"/>
      <c r="R613" s="18">
        <f>IF(Q613="",P613,Q613)</f>
        <v/>
      </c>
      <c r="S613" s="18" t="inlineStr">
        <is>
          <t>#cobblemon:is_spooky</t>
        </is>
      </c>
      <c r="T613" s="18" t="inlineStr">
        <is>
          <t>ultra-rare</t>
        </is>
      </c>
      <c r="U613" s="20" t="n">
        <v>0.4</v>
      </c>
      <c r="V613" s="21" t="n">
        <v>1</v>
      </c>
      <c r="W613" s="20">
        <f>IF(OR(U613="",V613=""),U613,U613*V613)</f>
        <v/>
      </c>
      <c r="X613" s="18" t="inlineStr">
        <is>
          <t>36-53</t>
        </is>
      </c>
      <c r="Y613" s="19" t="inlineStr"/>
      <c r="Z613" s="18">
        <f>IF(Y613="",X613,Y613)</f>
        <v/>
      </c>
      <c r="AA613" s="18" t="inlineStr">
        <is>
          <t>grounded</t>
        </is>
      </c>
      <c r="AB613" s="18" t="inlineStr"/>
      <c r="AC613" s="18" t="inlineStr"/>
      <c r="AD613" s="18" t="inlineStr"/>
      <c r="AE613" s="18" t="inlineStr">
        <is>
          <t>sky 8-15</t>
        </is>
      </c>
      <c r="AF613" s="18" t="inlineStr"/>
      <c r="AG613" s="18" t="inlineStr"/>
      <c r="AH613" s="18" t="inlineStr"/>
      <c r="AI613" s="18" t="inlineStr"/>
      <c r="AJ613" s="18" t="inlineStr">
        <is>
          <t>Cobblemon 동일</t>
        </is>
      </c>
      <c r="AK613" s="18" t="inlineStr">
        <is>
          <t>사용</t>
        </is>
      </c>
      <c r="AL613" s="18" t="inlineStr">
        <is>
          <t>COBBLEVERSE 1.7.42 / DP v31</t>
        </is>
      </c>
      <c r="AM613" s="18" t="inlineStr">
        <is>
          <t>data/cobblemon/spawn_pool_world/0157_typhlosion.json</t>
        </is>
      </c>
      <c r="AN613" s="18" t="inlineStr">
        <is>
          <t>typhlosion-1</t>
        </is>
      </c>
      <c r="AO613" s="18" t="inlineStr">
        <is>
          <t>pokemon</t>
        </is>
      </c>
      <c r="AP613" s="18" t="inlineStr">
        <is>
          <t>natural</t>
        </is>
      </c>
      <c r="AQ613" s="18" t="inlineStr">
        <is>
          <t>{"biomes":["#cobblemon:is_temperate"],"maxSkyLight":15,"minSkyLight":8}</t>
        </is>
      </c>
      <c r="AR613" s="18" t="inlineStr">
        <is>
          <t>{"biomes":["#cobblemon:is_spooky"]}</t>
        </is>
      </c>
      <c r="AS613" s="18" t="inlineStr"/>
      <c r="AT613" s="19" t="inlineStr"/>
    </row>
    <row r="614" ht="32" customHeight="1">
      <c r="A614" s="18" t="inlineStr">
        <is>
          <t>0157_typhlosion.json::typhlosion-hisuian-2::002</t>
        </is>
      </c>
      <c r="B614" s="19" t="inlineStr">
        <is>
          <t>사용</t>
        </is>
      </c>
      <c r="C614" s="18">
        <f>IF(OR(B614&lt;&gt;AK614,M614&lt;&gt;L614,O614&lt;&gt;"",Q614&lt;&gt;"",V614&lt;&gt;1,Y614&lt;&gt;"",AT614&lt;&gt;""),"수정","원본")</f>
        <v/>
      </c>
      <c r="D614" s="18" t="n">
        <v>157</v>
      </c>
      <c r="E614" s="18" t="inlineStr">
        <is>
          <t>블레이범</t>
        </is>
      </c>
      <c r="F614" s="18" t="inlineStr">
        <is>
          <t>typhlosion</t>
        </is>
      </c>
      <c r="G614" s="18" t="inlineStr">
        <is>
          <t>typhlosion hisuian</t>
        </is>
      </c>
      <c r="H614" s="18" t="inlineStr">
        <is>
          <t>hisuian</t>
        </is>
      </c>
      <c r="I614" s="18" t="n">
        <v>2</v>
      </c>
      <c r="J614" s="18" t="n">
        <v>8</v>
      </c>
      <c r="K614" s="18" t="n">
        <v>8</v>
      </c>
      <c r="L614" s="18" t="inlineStr">
        <is>
          <t>cobbleventure:generation_8</t>
        </is>
      </c>
      <c r="M614" s="19" t="inlineStr">
        <is>
          <t>cobbleventure:generation_8</t>
        </is>
      </c>
      <c r="N614" s="18" t="inlineStr"/>
      <c r="O614" s="19" t="inlineStr"/>
      <c r="P614" s="18" t="inlineStr">
        <is>
          <t>#cobblemon:is_taiga</t>
        </is>
      </c>
      <c r="Q614" s="19" t="inlineStr"/>
      <c r="R614" s="18">
        <f>IF(Q614="",P614,Q614)</f>
        <v/>
      </c>
      <c r="S614" s="18" t="inlineStr"/>
      <c r="T614" s="18" t="inlineStr">
        <is>
          <t>ultra-rare</t>
        </is>
      </c>
      <c r="U614" s="20" t="n">
        <v>0.4</v>
      </c>
      <c r="V614" s="21" t="n">
        <v>1</v>
      </c>
      <c r="W614" s="20">
        <f>IF(OR(U614="",V614=""),U614,U614*V614)</f>
        <v/>
      </c>
      <c r="X614" s="18" t="inlineStr">
        <is>
          <t>36-53</t>
        </is>
      </c>
      <c r="Y614" s="19" t="inlineStr"/>
      <c r="Z614" s="18">
        <f>IF(Y614="",X614,Y614)</f>
        <v/>
      </c>
      <c r="AA614" s="18" t="inlineStr">
        <is>
          <t>grounded</t>
        </is>
      </c>
      <c r="AB614" s="18" t="inlineStr"/>
      <c r="AC614" s="18" t="inlineStr">
        <is>
          <t>비=False</t>
        </is>
      </c>
      <c r="AD614" s="18" t="inlineStr"/>
      <c r="AE614" s="18" t="inlineStr">
        <is>
          <t>sky 8-15</t>
        </is>
      </c>
      <c r="AF614" s="18" t="inlineStr"/>
      <c r="AG614" s="18" t="inlineStr"/>
      <c r="AH614" s="18" t="inlineStr"/>
      <c r="AI614" s="18" t="inlineStr"/>
      <c r="AJ614" s="18" t="inlineStr">
        <is>
          <t>Cobblemon 동일</t>
        </is>
      </c>
      <c r="AK614" s="18" t="inlineStr">
        <is>
          <t>사용</t>
        </is>
      </c>
      <c r="AL614" s="18" t="inlineStr">
        <is>
          <t>COBBLEVERSE 1.7.42 / DP v31</t>
        </is>
      </c>
      <c r="AM614" s="18" t="inlineStr">
        <is>
          <t>data/cobblemon/spawn_pool_world/0157_typhlosion.json</t>
        </is>
      </c>
      <c r="AN614" s="18" t="inlineStr">
        <is>
          <t>typhlosion-hisuian-2</t>
        </is>
      </c>
      <c r="AO614" s="18" t="inlineStr">
        <is>
          <t>pokemon</t>
        </is>
      </c>
      <c r="AP614" s="18" t="inlineStr">
        <is>
          <t>natural</t>
        </is>
      </c>
      <c r="AQ614" s="18" t="inlineStr">
        <is>
          <t>{"biomes":["#cobblemon:is_taiga"],"isRaining":false,"maxSkyLight":15,"minSkyLight":8}</t>
        </is>
      </c>
      <c r="AR614" s="18" t="inlineStr"/>
      <c r="AS614" s="18" t="inlineStr"/>
      <c r="AT614" s="19" t="inlineStr"/>
    </row>
    <row r="615" ht="32" customHeight="1">
      <c r="A615" s="18" t="inlineStr">
        <is>
          <t>0157_typhlosion.json::typhlosion-hisuian-3::003</t>
        </is>
      </c>
      <c r="B615" s="19" t="inlineStr">
        <is>
          <t>사용</t>
        </is>
      </c>
      <c r="C615" s="18">
        <f>IF(OR(B615&lt;&gt;AK615,M615&lt;&gt;L615,O615&lt;&gt;"",Q615&lt;&gt;"",V615&lt;&gt;1,Y615&lt;&gt;"",AT615&lt;&gt;""),"수정","원본")</f>
        <v/>
      </c>
      <c r="D615" s="18" t="n">
        <v>157</v>
      </c>
      <c r="E615" s="18" t="inlineStr">
        <is>
          <t>블레이범</t>
        </is>
      </c>
      <c r="F615" s="18" t="inlineStr">
        <is>
          <t>typhlosion</t>
        </is>
      </c>
      <c r="G615" s="18" t="inlineStr">
        <is>
          <t>typhlosion hisuian</t>
        </is>
      </c>
      <c r="H615" s="18" t="inlineStr">
        <is>
          <t>hisuian</t>
        </is>
      </c>
      <c r="I615" s="18" t="n">
        <v>2</v>
      </c>
      <c r="J615" s="18" t="n">
        <v>8</v>
      </c>
      <c r="K615" s="18" t="n">
        <v>8</v>
      </c>
      <c r="L615" s="18" t="inlineStr">
        <is>
          <t>cobbleventure:generation_8</t>
        </is>
      </c>
      <c r="M615" s="19" t="inlineStr">
        <is>
          <t>cobbleventure:generation_8</t>
        </is>
      </c>
      <c r="N615" s="18" t="inlineStr"/>
      <c r="O615" s="19" t="inlineStr"/>
      <c r="P615" s="18" t="inlineStr">
        <is>
          <t>#cobblemon:nether/is_crimson; #cobblemon:nether/is_forest; #cobblemon:nether/is_overgrowth</t>
        </is>
      </c>
      <c r="Q615" s="19" t="inlineStr"/>
      <c r="R615" s="18">
        <f>IF(Q615="",P615,Q615)</f>
        <v/>
      </c>
      <c r="S615" s="18" t="inlineStr"/>
      <c r="T615" s="18" t="inlineStr">
        <is>
          <t>ultra-rare</t>
        </is>
      </c>
      <c r="U615" s="20" t="n">
        <v>0.4</v>
      </c>
      <c r="V615" s="21" t="n">
        <v>1</v>
      </c>
      <c r="W615" s="20">
        <f>IF(OR(U615="",V615=""),U615,U615*V615)</f>
        <v/>
      </c>
      <c r="X615" s="18" t="inlineStr">
        <is>
          <t>36-53</t>
        </is>
      </c>
      <c r="Y615" s="19" t="inlineStr"/>
      <c r="Z615" s="18">
        <f>IF(Y615="",X615,Y615)</f>
        <v/>
      </c>
      <c r="AA615" s="18" t="inlineStr">
        <is>
          <t>grounded</t>
        </is>
      </c>
      <c r="AB615" s="18" t="inlineStr"/>
      <c r="AC615" s="18" t="inlineStr"/>
      <c r="AD615" s="18" t="inlineStr"/>
      <c r="AE615" s="18" t="inlineStr"/>
      <c r="AF615" s="18" t="inlineStr"/>
      <c r="AG615" s="18" t="inlineStr"/>
      <c r="AH615" s="18" t="inlineStr"/>
      <c r="AI615" s="18" t="inlineStr"/>
      <c r="AJ615" s="18" t="inlineStr">
        <is>
          <t>Cobblemon 동일</t>
        </is>
      </c>
      <c r="AK615" s="18" t="inlineStr">
        <is>
          <t>사용</t>
        </is>
      </c>
      <c r="AL615" s="18" t="inlineStr">
        <is>
          <t>COBBLEVERSE 1.7.42 / DP v31</t>
        </is>
      </c>
      <c r="AM615" s="18" t="inlineStr">
        <is>
          <t>data/cobblemon/spawn_pool_world/0157_typhlosion.json</t>
        </is>
      </c>
      <c r="AN615" s="18" t="inlineStr">
        <is>
          <t>typhlosion-hisuian-3</t>
        </is>
      </c>
      <c r="AO615" s="18" t="inlineStr">
        <is>
          <t>pokemon</t>
        </is>
      </c>
      <c r="AP615" s="18" t="inlineStr">
        <is>
          <t>natural</t>
        </is>
      </c>
      <c r="AQ615" s="18" t="inlineStr">
        <is>
          <t>{"biomes":["#cobblemon:nether/is_crimson","#cobblemon:nether/is_forest","#cobblemon:nether/is_overgrowth"]}</t>
        </is>
      </c>
      <c r="AR615" s="18" t="inlineStr"/>
      <c r="AS615" s="18" t="inlineStr"/>
      <c r="AT615" s="19" t="inlineStr"/>
    </row>
    <row r="616" ht="32" customHeight="1">
      <c r="A616" s="18" t="inlineStr">
        <is>
          <t>0158_totodile.json::totodile-1::001</t>
        </is>
      </c>
      <c r="B616" s="19" t="inlineStr">
        <is>
          <t>사용</t>
        </is>
      </c>
      <c r="C616" s="18">
        <f>IF(OR(B616&lt;&gt;AK616,M616&lt;&gt;L616,O616&lt;&gt;"",Q616&lt;&gt;"",V616&lt;&gt;1,Y616&lt;&gt;"",AT616&lt;&gt;""),"수정","원본")</f>
        <v/>
      </c>
      <c r="D616" s="18" t="n">
        <v>158</v>
      </c>
      <c r="E616" s="18" t="inlineStr">
        <is>
          <t>리아코</t>
        </is>
      </c>
      <c r="F616" s="18" t="inlineStr">
        <is>
          <t>totodile</t>
        </is>
      </c>
      <c r="G616" s="18" t="inlineStr">
        <is>
          <t>totodile</t>
        </is>
      </c>
      <c r="H616" s="18" t="inlineStr"/>
      <c r="I616" s="18" t="n">
        <v>2</v>
      </c>
      <c r="J616" s="18" t="n"/>
      <c r="K616" s="18" t="n">
        <v>2</v>
      </c>
      <c r="L616" s="18" t="inlineStr">
        <is>
          <t>cobbleventure:generation_2</t>
        </is>
      </c>
      <c r="M616" s="19" t="inlineStr">
        <is>
          <t>cobbleventure:generation_2</t>
        </is>
      </c>
      <c r="N616" s="18" t="inlineStr">
        <is>
          <t>region_02</t>
        </is>
      </c>
      <c r="O616" s="19" t="inlineStr"/>
      <c r="P616" s="18" t="inlineStr">
        <is>
          <t>#cobblemon:is_swamp</t>
        </is>
      </c>
      <c r="Q616" s="19" t="inlineStr"/>
      <c r="R616" s="18">
        <f>IF(Q616="",P616,Q616)</f>
        <v/>
      </c>
      <c r="S616" s="18" t="inlineStr"/>
      <c r="T616" s="18" t="inlineStr">
        <is>
          <t>ultra-rare</t>
        </is>
      </c>
      <c r="U616" s="20" t="n">
        <v>6</v>
      </c>
      <c r="V616" s="21" t="n">
        <v>1</v>
      </c>
      <c r="W616" s="20">
        <f>IF(OR(U616="",V616=""),U616,U616*V616)</f>
        <v/>
      </c>
      <c r="X616" s="18" t="inlineStr">
        <is>
          <t>5-31</t>
        </is>
      </c>
      <c r="Y616" s="19" t="inlineStr"/>
      <c r="Z616" s="18">
        <f>IF(Y616="",X616,Y616)</f>
        <v/>
      </c>
      <c r="AA616" s="18" t="inlineStr">
        <is>
          <t>grounded</t>
        </is>
      </c>
      <c r="AB616" s="18" t="inlineStr"/>
      <c r="AC616" s="18" t="inlineStr"/>
      <c r="AD616" s="18" t="inlineStr"/>
      <c r="AE616" s="18" t="inlineStr">
        <is>
          <t>sky 8-15</t>
        </is>
      </c>
      <c r="AF616" s="18" t="inlineStr"/>
      <c r="AG616" s="18" t="inlineStr"/>
      <c r="AH616" s="18" t="inlineStr"/>
      <c r="AI616" s="18" t="inlineStr"/>
      <c r="AJ616" s="18" t="inlineStr">
        <is>
          <t>Cobblemon 동일</t>
        </is>
      </c>
      <c r="AK616" s="18" t="inlineStr">
        <is>
          <t>사용</t>
        </is>
      </c>
      <c r="AL616" s="18" t="inlineStr">
        <is>
          <t>COBBLEVERSE 1.7.42 / DP v31</t>
        </is>
      </c>
      <c r="AM616" s="18" t="inlineStr">
        <is>
          <t>data/cobblemon/spawn_pool_world/0158_totodile.json</t>
        </is>
      </c>
      <c r="AN616" s="18" t="inlineStr">
        <is>
          <t>totodile-1</t>
        </is>
      </c>
      <c r="AO616" s="18" t="inlineStr">
        <is>
          <t>pokemon</t>
        </is>
      </c>
      <c r="AP616" s="18" t="inlineStr">
        <is>
          <t>natural</t>
        </is>
      </c>
      <c r="AQ616" s="18" t="inlineStr">
        <is>
          <t>{"biomes":["#cobblemon:is_swamp"],"maxSkyLight":15,"minSkyLight":8}</t>
        </is>
      </c>
      <c r="AR616" s="18" t="inlineStr"/>
      <c r="AS616" s="18" t="inlineStr"/>
      <c r="AT616" s="19" t="inlineStr"/>
    </row>
    <row r="617" ht="32" customHeight="1">
      <c r="A617" s="18" t="inlineStr">
        <is>
          <t>0158_totodile.json::totodile-2::002</t>
        </is>
      </c>
      <c r="B617" s="19" t="inlineStr">
        <is>
          <t>사용</t>
        </is>
      </c>
      <c r="C617" s="18">
        <f>IF(OR(B617&lt;&gt;AK617,M617&lt;&gt;L617,O617&lt;&gt;"",Q617&lt;&gt;"",V617&lt;&gt;1,Y617&lt;&gt;"",AT617&lt;&gt;""),"수정","원본")</f>
        <v/>
      </c>
      <c r="D617" s="18" t="n">
        <v>158</v>
      </c>
      <c r="E617" s="18" t="inlineStr">
        <is>
          <t>리아코</t>
        </is>
      </c>
      <c r="F617" s="18" t="inlineStr">
        <is>
          <t>totodile</t>
        </is>
      </c>
      <c r="G617" s="18" t="inlineStr">
        <is>
          <t>totodile</t>
        </is>
      </c>
      <c r="H617" s="18" t="inlineStr"/>
      <c r="I617" s="18" t="n">
        <v>2</v>
      </c>
      <c r="J617" s="18" t="n"/>
      <c r="K617" s="18" t="n">
        <v>2</v>
      </c>
      <c r="L617" s="18" t="inlineStr">
        <is>
          <t>cobbleventure:generation_2</t>
        </is>
      </c>
      <c r="M617" s="19" t="inlineStr">
        <is>
          <t>cobbleventure:generation_2</t>
        </is>
      </c>
      <c r="N617" s="18" t="inlineStr">
        <is>
          <t>region_02</t>
        </is>
      </c>
      <c r="O617" s="19" t="inlineStr"/>
      <c r="P617" s="18" t="inlineStr">
        <is>
          <t>#cobblemon:is_swamp</t>
        </is>
      </c>
      <c r="Q617" s="19" t="inlineStr"/>
      <c r="R617" s="18">
        <f>IF(Q617="",P617,Q617)</f>
        <v/>
      </c>
      <c r="S617" s="18" t="inlineStr"/>
      <c r="T617" s="18" t="inlineStr">
        <is>
          <t>ultra-rare</t>
        </is>
      </c>
      <c r="U617" s="20" t="n">
        <v>6</v>
      </c>
      <c r="V617" s="21" t="n">
        <v>1</v>
      </c>
      <c r="W617" s="20">
        <f>IF(OR(U617="",V617=""),U617,U617*V617)</f>
        <v/>
      </c>
      <c r="X617" s="18" t="inlineStr">
        <is>
          <t>5-31</t>
        </is>
      </c>
      <c r="Y617" s="19" t="inlineStr"/>
      <c r="Z617" s="18">
        <f>IF(Y617="",X617,Y617)</f>
        <v/>
      </c>
      <c r="AA617" s="18" t="inlineStr">
        <is>
          <t>submerged</t>
        </is>
      </c>
      <c r="AB617" s="18" t="inlineStr"/>
      <c r="AC617" s="18" t="inlineStr"/>
      <c r="AD617" s="18" t="inlineStr"/>
      <c r="AE617" s="18" t="inlineStr"/>
      <c r="AF617" s="18" t="inlineStr">
        <is>
          <t>True</t>
        </is>
      </c>
      <c r="AG617" s="18" t="inlineStr"/>
      <c r="AH617" s="18" t="inlineStr"/>
      <c r="AI617" s="18" t="inlineStr"/>
      <c r="AJ617" s="18" t="inlineStr">
        <is>
          <t>Cobblemon 동일</t>
        </is>
      </c>
      <c r="AK617" s="18" t="inlineStr">
        <is>
          <t>사용</t>
        </is>
      </c>
      <c r="AL617" s="18" t="inlineStr">
        <is>
          <t>COBBLEVERSE 1.7.42 / DP v31</t>
        </is>
      </c>
      <c r="AM617" s="18" t="inlineStr">
        <is>
          <t>data/cobblemon/spawn_pool_world/0158_totodile.json</t>
        </is>
      </c>
      <c r="AN617" s="18" t="inlineStr">
        <is>
          <t>totodile-2</t>
        </is>
      </c>
      <c r="AO617" s="18" t="inlineStr">
        <is>
          <t>pokemon</t>
        </is>
      </c>
      <c r="AP617" s="18" t="inlineStr">
        <is>
          <t>water</t>
        </is>
      </c>
      <c r="AQ617" s="18" t="inlineStr">
        <is>
          <t>{"biomes":["#cobblemon:is_swamp"],"canSeeSky":true}</t>
        </is>
      </c>
      <c r="AR617" s="18" t="inlineStr"/>
      <c r="AS617" s="18" t="inlineStr"/>
      <c r="AT617" s="19" t="inlineStr"/>
    </row>
    <row r="618" ht="32" customHeight="1">
      <c r="A618" s="18" t="inlineStr">
        <is>
          <t>0158_totodile.json::totodile-3::003</t>
        </is>
      </c>
      <c r="B618" s="19" t="inlineStr">
        <is>
          <t>사용</t>
        </is>
      </c>
      <c r="C618" s="18">
        <f>IF(OR(B618&lt;&gt;AK618,M618&lt;&gt;L618,O618&lt;&gt;"",Q618&lt;&gt;"",V618&lt;&gt;1,Y618&lt;&gt;"",AT618&lt;&gt;""),"수정","원본")</f>
        <v/>
      </c>
      <c r="D618" s="18" t="n">
        <v>158</v>
      </c>
      <c r="E618" s="18" t="inlineStr">
        <is>
          <t>리아코</t>
        </is>
      </c>
      <c r="F618" s="18" t="inlineStr">
        <is>
          <t>totodile</t>
        </is>
      </c>
      <c r="G618" s="18" t="inlineStr">
        <is>
          <t>totodile</t>
        </is>
      </c>
      <c r="H618" s="18" t="inlineStr"/>
      <c r="I618" s="18" t="n">
        <v>2</v>
      </c>
      <c r="J618" s="18" t="n"/>
      <c r="K618" s="18" t="n">
        <v>2</v>
      </c>
      <c r="L618" s="18" t="inlineStr">
        <is>
          <t>cobbleventure:generation_2</t>
        </is>
      </c>
      <c r="M618" s="19" t="inlineStr">
        <is>
          <t>cobbleventure:generation_2</t>
        </is>
      </c>
      <c r="N618" s="18" t="inlineStr">
        <is>
          <t>region_02</t>
        </is>
      </c>
      <c r="O618" s="19" t="inlineStr"/>
      <c r="P618" s="18" t="inlineStr">
        <is>
          <t>#cobblemon:is_arid; #cobblemon:is_jungle; #cobblemon:is_swamp</t>
        </is>
      </c>
      <c r="Q618" s="19" t="inlineStr"/>
      <c r="R618" s="18">
        <f>IF(Q618="",P618,Q618)</f>
        <v/>
      </c>
      <c r="S618" s="18" t="inlineStr"/>
      <c r="T618" s="18" t="inlineStr">
        <is>
          <t>ultra-rare</t>
        </is>
      </c>
      <c r="U618" s="20" t="n">
        <v>6</v>
      </c>
      <c r="V618" s="21" t="n">
        <v>1</v>
      </c>
      <c r="W618" s="20">
        <f>IF(OR(U618="",V618=""),U618,U618*V618)</f>
        <v/>
      </c>
      <c r="X618" s="18" t="inlineStr">
        <is>
          <t>5-31</t>
        </is>
      </c>
      <c r="Y618" s="19" t="inlineStr"/>
      <c r="Z618" s="18">
        <f>IF(Y618="",X618,Y618)</f>
        <v/>
      </c>
      <c r="AA618" s="18" t="inlineStr">
        <is>
          <t>fishing</t>
        </is>
      </c>
      <c r="AB618" s="18" t="inlineStr"/>
      <c r="AC618" s="18" t="inlineStr"/>
      <c r="AD618" s="18" t="inlineStr"/>
      <c r="AE618" s="18" t="inlineStr"/>
      <c r="AF618" s="18" t="inlineStr">
        <is>
          <t>True</t>
        </is>
      </c>
      <c r="AG618" s="18" t="inlineStr"/>
      <c r="AH618" s="18" t="inlineStr"/>
      <c r="AI618" s="18" t="inlineStr"/>
      <c r="AJ618" s="18" t="inlineStr">
        <is>
          <t>Cobblemon 동일</t>
        </is>
      </c>
      <c r="AK618" s="18" t="inlineStr">
        <is>
          <t>사용</t>
        </is>
      </c>
      <c r="AL618" s="18" t="inlineStr">
        <is>
          <t>COBBLEVERSE 1.7.42 / DP v31</t>
        </is>
      </c>
      <c r="AM618" s="18" t="inlineStr">
        <is>
          <t>data/cobblemon/spawn_pool_world/0158_totodile.json</t>
        </is>
      </c>
      <c r="AN618" s="18" t="inlineStr">
        <is>
          <t>totodile-3</t>
        </is>
      </c>
      <c r="AO618" s="18" t="inlineStr">
        <is>
          <t>pokemon</t>
        </is>
      </c>
      <c r="AP618" s="18" t="inlineStr"/>
      <c r="AQ618" s="18" t="inlineStr">
        <is>
          <t>{"biomes":["#cobblemon:is_arid","#cobblemon:is_jungle","#cobblemon:is_swamp"],"canSeeSky":true}</t>
        </is>
      </c>
      <c r="AR618" s="18" t="inlineStr"/>
      <c r="AS618" s="18" t="inlineStr"/>
      <c r="AT618" s="19" t="inlineStr"/>
    </row>
    <row r="619" ht="32" customHeight="1">
      <c r="A619" s="18" t="inlineStr">
        <is>
          <t>0158_totodile.json::totodile-4::004</t>
        </is>
      </c>
      <c r="B619" s="19" t="inlineStr">
        <is>
          <t>사용</t>
        </is>
      </c>
      <c r="C619" s="18">
        <f>IF(OR(B619&lt;&gt;AK619,M619&lt;&gt;L619,O619&lt;&gt;"",Q619&lt;&gt;"",V619&lt;&gt;1,Y619&lt;&gt;"",AT619&lt;&gt;""),"수정","원본")</f>
        <v/>
      </c>
      <c r="D619" s="18" t="n">
        <v>158</v>
      </c>
      <c r="E619" s="18" t="inlineStr">
        <is>
          <t>리아코</t>
        </is>
      </c>
      <c r="F619" s="18" t="inlineStr">
        <is>
          <t>totodile</t>
        </is>
      </c>
      <c r="G619" s="18" t="inlineStr">
        <is>
          <t>totodile</t>
        </is>
      </c>
      <c r="H619" s="18" t="inlineStr"/>
      <c r="I619" s="18" t="n">
        <v>2</v>
      </c>
      <c r="J619" s="18" t="n"/>
      <c r="K619" s="18" t="n">
        <v>2</v>
      </c>
      <c r="L619" s="18" t="inlineStr">
        <is>
          <t>cobbleventure:generation_2</t>
        </is>
      </c>
      <c r="M619" s="19" t="inlineStr">
        <is>
          <t>cobbleventure:generation_2</t>
        </is>
      </c>
      <c r="N619" s="18" t="inlineStr">
        <is>
          <t>region_02</t>
        </is>
      </c>
      <c r="O619" s="19" t="inlineStr"/>
      <c r="P619" s="18" t="inlineStr">
        <is>
          <t>#cobblemon:is_swamp</t>
        </is>
      </c>
      <c r="Q619" s="19" t="inlineStr"/>
      <c r="R619" s="18">
        <f>IF(Q619="",P619,Q619)</f>
        <v/>
      </c>
      <c r="S619" s="18" t="inlineStr"/>
      <c r="T619" s="18" t="inlineStr">
        <is>
          <t>ultra-rare</t>
        </is>
      </c>
      <c r="U619" s="20" t="n">
        <v>6</v>
      </c>
      <c r="V619" s="21" t="n">
        <v>1</v>
      </c>
      <c r="W619" s="20">
        <f>IF(OR(U619="",V619=""),U619,U619*V619)</f>
        <v/>
      </c>
      <c r="X619" s="18" t="inlineStr">
        <is>
          <t>5-31</t>
        </is>
      </c>
      <c r="Y619" s="19" t="inlineStr"/>
      <c r="Z619" s="18">
        <f>IF(Y619="",X619,Y619)</f>
        <v/>
      </c>
      <c r="AA619" s="18" t="inlineStr">
        <is>
          <t>submerged</t>
        </is>
      </c>
      <c r="AB619" s="18" t="inlineStr"/>
      <c r="AC619" s="18" t="inlineStr"/>
      <c r="AD619" s="18" t="inlineStr"/>
      <c r="AE619" s="18" t="inlineStr">
        <is>
          <t>sky 8-15</t>
        </is>
      </c>
      <c r="AF619" s="18" t="inlineStr">
        <is>
          <t>False</t>
        </is>
      </c>
      <c r="AG619" s="18" t="inlineStr"/>
      <c r="AH619" s="18" t="inlineStr"/>
      <c r="AI619" s="18" t="inlineStr"/>
      <c r="AJ619" s="18" t="inlineStr">
        <is>
          <t>Cobblemon 동일</t>
        </is>
      </c>
      <c r="AK619" s="18" t="inlineStr">
        <is>
          <t>사용</t>
        </is>
      </c>
      <c r="AL619" s="18" t="inlineStr">
        <is>
          <t>COBBLEVERSE 1.7.42 / DP v31</t>
        </is>
      </c>
      <c r="AM619" s="18" t="inlineStr">
        <is>
          <t>data/cobblemon/spawn_pool_world/0158_totodile.json</t>
        </is>
      </c>
      <c r="AN619" s="18" t="inlineStr">
        <is>
          <t>totodile-4</t>
        </is>
      </c>
      <c r="AO619" s="18" t="inlineStr">
        <is>
          <t>pokemon</t>
        </is>
      </c>
      <c r="AP619" s="18" t="inlineStr">
        <is>
          <t>water</t>
        </is>
      </c>
      <c r="AQ619" s="18" t="inlineStr">
        <is>
          <t>{"biomes":["#cobblemon:is_swamp"],"canSeeSky":false,"maxSkyLight":15,"minSkyLight":8}</t>
        </is>
      </c>
      <c r="AR619" s="18" t="inlineStr"/>
      <c r="AS619" s="18" t="inlineStr"/>
      <c r="AT619" s="19" t="inlineStr"/>
    </row>
    <row r="620" ht="32" customHeight="1">
      <c r="A620" s="18" t="inlineStr">
        <is>
          <t>0158_totodile.json::totodile-5::005</t>
        </is>
      </c>
      <c r="B620" s="19" t="inlineStr">
        <is>
          <t>사용</t>
        </is>
      </c>
      <c r="C620" s="18">
        <f>IF(OR(B620&lt;&gt;AK620,M620&lt;&gt;L620,O620&lt;&gt;"",Q620&lt;&gt;"",V620&lt;&gt;1,Y620&lt;&gt;"",AT620&lt;&gt;""),"수정","원본")</f>
        <v/>
      </c>
      <c r="D620" s="18" t="n">
        <v>158</v>
      </c>
      <c r="E620" s="18" t="inlineStr">
        <is>
          <t>리아코</t>
        </is>
      </c>
      <c r="F620" s="18" t="inlineStr">
        <is>
          <t>totodile</t>
        </is>
      </c>
      <c r="G620" s="18" t="inlineStr">
        <is>
          <t>totodile</t>
        </is>
      </c>
      <c r="H620" s="18" t="inlineStr"/>
      <c r="I620" s="18" t="n">
        <v>2</v>
      </c>
      <c r="J620" s="18" t="n"/>
      <c r="K620" s="18" t="n">
        <v>2</v>
      </c>
      <c r="L620" s="18" t="inlineStr">
        <is>
          <t>cobbleventure:generation_2</t>
        </is>
      </c>
      <c r="M620" s="19" t="inlineStr">
        <is>
          <t>cobbleventure:generation_2</t>
        </is>
      </c>
      <c r="N620" s="18" t="inlineStr">
        <is>
          <t>region_02</t>
        </is>
      </c>
      <c r="O620" s="19" t="inlineStr"/>
      <c r="P620" s="18" t="inlineStr">
        <is>
          <t>#cobblemon:is_arid; #cobblemon:is_jungle; #cobblemon:is_swamp</t>
        </is>
      </c>
      <c r="Q620" s="19" t="inlineStr"/>
      <c r="R620" s="18">
        <f>IF(Q620="",P620,Q620)</f>
        <v/>
      </c>
      <c r="S620" s="18" t="inlineStr"/>
      <c r="T620" s="18" t="inlineStr">
        <is>
          <t>ultra-rare</t>
        </is>
      </c>
      <c r="U620" s="20" t="n">
        <v>6</v>
      </c>
      <c r="V620" s="21" t="n">
        <v>1</v>
      </c>
      <c r="W620" s="20">
        <f>IF(OR(U620="",V620=""),U620,U620*V620)</f>
        <v/>
      </c>
      <c r="X620" s="18" t="inlineStr">
        <is>
          <t>5-31</t>
        </is>
      </c>
      <c r="Y620" s="19" t="inlineStr"/>
      <c r="Z620" s="18">
        <f>IF(Y620="",X620,Y620)</f>
        <v/>
      </c>
      <c r="AA620" s="18" t="inlineStr">
        <is>
          <t>fishing</t>
        </is>
      </c>
      <c r="AB620" s="18" t="inlineStr"/>
      <c r="AC620" s="18" t="inlineStr"/>
      <c r="AD620" s="18" t="inlineStr"/>
      <c r="AE620" s="18" t="inlineStr">
        <is>
          <t>sky 8-15</t>
        </is>
      </c>
      <c r="AF620" s="18" t="inlineStr">
        <is>
          <t>False</t>
        </is>
      </c>
      <c r="AG620" s="18" t="inlineStr"/>
      <c r="AH620" s="18" t="inlineStr"/>
      <c r="AI620" s="18" t="inlineStr"/>
      <c r="AJ620" s="18" t="inlineStr">
        <is>
          <t>Cobblemon 동일</t>
        </is>
      </c>
      <c r="AK620" s="18" t="inlineStr">
        <is>
          <t>사용</t>
        </is>
      </c>
      <c r="AL620" s="18" t="inlineStr">
        <is>
          <t>COBBLEVERSE 1.7.42 / DP v31</t>
        </is>
      </c>
      <c r="AM620" s="18" t="inlineStr">
        <is>
          <t>data/cobblemon/spawn_pool_world/0158_totodile.json</t>
        </is>
      </c>
      <c r="AN620" s="18" t="inlineStr">
        <is>
          <t>totodile-5</t>
        </is>
      </c>
      <c r="AO620" s="18" t="inlineStr">
        <is>
          <t>pokemon</t>
        </is>
      </c>
      <c r="AP620" s="18" t="inlineStr"/>
      <c r="AQ620" s="18" t="inlineStr">
        <is>
          <t>{"biomes":["#cobblemon:is_arid","#cobblemon:is_jungle","#cobblemon:is_swamp"],"canSeeSky":false,"maxSkyLight":15,"minSkyLight":8}</t>
        </is>
      </c>
      <c r="AR620" s="18" t="inlineStr"/>
      <c r="AS620" s="18" t="inlineStr"/>
      <c r="AT620" s="19" t="inlineStr"/>
    </row>
    <row r="621" ht="32" customHeight="1">
      <c r="A621" s="18" t="inlineStr">
        <is>
          <t>0159_croconaw.json::croconaw-1::001</t>
        </is>
      </c>
      <c r="B621" s="19" t="inlineStr">
        <is>
          <t>사용</t>
        </is>
      </c>
      <c r="C621" s="18">
        <f>IF(OR(B621&lt;&gt;AK621,M621&lt;&gt;L621,O621&lt;&gt;"",Q621&lt;&gt;"",V621&lt;&gt;1,Y621&lt;&gt;"",AT621&lt;&gt;""),"수정","원본")</f>
        <v/>
      </c>
      <c r="D621" s="18" t="n">
        <v>159</v>
      </c>
      <c r="E621" s="18" t="inlineStr">
        <is>
          <t>엘리게이</t>
        </is>
      </c>
      <c r="F621" s="18" t="inlineStr">
        <is>
          <t>croconaw</t>
        </is>
      </c>
      <c r="G621" s="18" t="inlineStr">
        <is>
          <t>croconaw</t>
        </is>
      </c>
      <c r="H621" s="18" t="inlineStr"/>
      <c r="I621" s="18" t="n">
        <v>2</v>
      </c>
      <c r="J621" s="18" t="n"/>
      <c r="K621" s="18" t="n">
        <v>2</v>
      </c>
      <c r="L621" s="18" t="inlineStr">
        <is>
          <t>cobbleventure:generation_2</t>
        </is>
      </c>
      <c r="M621" s="19" t="inlineStr">
        <is>
          <t>cobbleventure:generation_2</t>
        </is>
      </c>
      <c r="N621" s="18" t="inlineStr">
        <is>
          <t>region_02</t>
        </is>
      </c>
      <c r="O621" s="19" t="inlineStr"/>
      <c r="P621" s="18" t="inlineStr">
        <is>
          <t>#cobblemon:is_swamp</t>
        </is>
      </c>
      <c r="Q621" s="19" t="inlineStr"/>
      <c r="R621" s="18">
        <f>IF(Q621="",P621,Q621)</f>
        <v/>
      </c>
      <c r="S621" s="18" t="inlineStr"/>
      <c r="T621" s="18" t="inlineStr">
        <is>
          <t>ultra-rare</t>
        </is>
      </c>
      <c r="U621" s="20" t="n">
        <v>3.6</v>
      </c>
      <c r="V621" s="21" t="n">
        <v>1</v>
      </c>
      <c r="W621" s="20">
        <f>IF(OR(U621="",V621=""),U621,U621*V621)</f>
        <v/>
      </c>
      <c r="X621" s="18" t="inlineStr">
        <is>
          <t>18-41</t>
        </is>
      </c>
      <c r="Y621" s="19" t="inlineStr"/>
      <c r="Z621" s="18">
        <f>IF(Y621="",X621,Y621)</f>
        <v/>
      </c>
      <c r="AA621" s="18" t="inlineStr">
        <is>
          <t>grounded</t>
        </is>
      </c>
      <c r="AB621" s="18" t="inlineStr"/>
      <c r="AC621" s="18" t="inlineStr"/>
      <c r="AD621" s="18" t="inlineStr"/>
      <c r="AE621" s="18" t="inlineStr">
        <is>
          <t>sky 8-15</t>
        </is>
      </c>
      <c r="AF621" s="18" t="inlineStr"/>
      <c r="AG621" s="18" t="inlineStr"/>
      <c r="AH621" s="18" t="inlineStr"/>
      <c r="AI621" s="18" t="inlineStr"/>
      <c r="AJ621" s="18" t="inlineStr">
        <is>
          <t>Cobblemon 동일</t>
        </is>
      </c>
      <c r="AK621" s="18" t="inlineStr">
        <is>
          <t>사용</t>
        </is>
      </c>
      <c r="AL621" s="18" t="inlineStr">
        <is>
          <t>COBBLEVERSE 1.7.42 / DP v31</t>
        </is>
      </c>
      <c r="AM621" s="18" t="inlineStr">
        <is>
          <t>data/cobblemon/spawn_pool_world/0159_croconaw.json</t>
        </is>
      </c>
      <c r="AN621" s="18" t="inlineStr">
        <is>
          <t>croconaw-1</t>
        </is>
      </c>
      <c r="AO621" s="18" t="inlineStr">
        <is>
          <t>pokemon</t>
        </is>
      </c>
      <c r="AP621" s="18" t="inlineStr">
        <is>
          <t>natural</t>
        </is>
      </c>
      <c r="AQ621" s="18" t="inlineStr">
        <is>
          <t>{"biomes":["#cobblemon:is_swamp"],"maxSkyLight":15,"minSkyLight":8}</t>
        </is>
      </c>
      <c r="AR621" s="18" t="inlineStr"/>
      <c r="AS621" s="18" t="inlineStr"/>
      <c r="AT621" s="19" t="inlineStr"/>
    </row>
    <row r="622" ht="32" customHeight="1">
      <c r="A622" s="18" t="inlineStr">
        <is>
          <t>0159_croconaw.json::croconaw-2::002</t>
        </is>
      </c>
      <c r="B622" s="19" t="inlineStr">
        <is>
          <t>사용</t>
        </is>
      </c>
      <c r="C622" s="18">
        <f>IF(OR(B622&lt;&gt;AK622,M622&lt;&gt;L622,O622&lt;&gt;"",Q622&lt;&gt;"",V622&lt;&gt;1,Y622&lt;&gt;"",AT622&lt;&gt;""),"수정","원본")</f>
        <v/>
      </c>
      <c r="D622" s="18" t="n">
        <v>159</v>
      </c>
      <c r="E622" s="18" t="inlineStr">
        <is>
          <t>엘리게이</t>
        </is>
      </c>
      <c r="F622" s="18" t="inlineStr">
        <is>
          <t>croconaw</t>
        </is>
      </c>
      <c r="G622" s="18" t="inlineStr">
        <is>
          <t>croconaw</t>
        </is>
      </c>
      <c r="H622" s="18" t="inlineStr"/>
      <c r="I622" s="18" t="n">
        <v>2</v>
      </c>
      <c r="J622" s="18" t="n"/>
      <c r="K622" s="18" t="n">
        <v>2</v>
      </c>
      <c r="L622" s="18" t="inlineStr">
        <is>
          <t>cobbleventure:generation_2</t>
        </is>
      </c>
      <c r="M622" s="19" t="inlineStr">
        <is>
          <t>cobbleventure:generation_2</t>
        </is>
      </c>
      <c r="N622" s="18" t="inlineStr">
        <is>
          <t>region_02</t>
        </is>
      </c>
      <c r="O622" s="19" t="inlineStr"/>
      <c r="P622" s="18" t="inlineStr">
        <is>
          <t>#cobblemon:is_swamp</t>
        </is>
      </c>
      <c r="Q622" s="19" t="inlineStr"/>
      <c r="R622" s="18">
        <f>IF(Q622="",P622,Q622)</f>
        <v/>
      </c>
      <c r="S622" s="18" t="inlineStr"/>
      <c r="T622" s="18" t="inlineStr">
        <is>
          <t>ultra-rare</t>
        </is>
      </c>
      <c r="U622" s="20" t="n">
        <v>3.6</v>
      </c>
      <c r="V622" s="21" t="n">
        <v>1</v>
      </c>
      <c r="W622" s="20">
        <f>IF(OR(U622="",V622=""),U622,U622*V622)</f>
        <v/>
      </c>
      <c r="X622" s="18" t="inlineStr">
        <is>
          <t>18-41</t>
        </is>
      </c>
      <c r="Y622" s="19" t="inlineStr"/>
      <c r="Z622" s="18">
        <f>IF(Y622="",X622,Y622)</f>
        <v/>
      </c>
      <c r="AA622" s="18" t="inlineStr">
        <is>
          <t>submerged</t>
        </is>
      </c>
      <c r="AB622" s="18" t="inlineStr"/>
      <c r="AC622" s="18" t="inlineStr"/>
      <c r="AD622" s="18" t="inlineStr"/>
      <c r="AE622" s="18" t="inlineStr"/>
      <c r="AF622" s="18" t="inlineStr">
        <is>
          <t>True</t>
        </is>
      </c>
      <c r="AG622" s="18" t="inlineStr"/>
      <c r="AH622" s="18" t="inlineStr"/>
      <c r="AI622" s="18" t="inlineStr"/>
      <c r="AJ622" s="18" t="inlineStr">
        <is>
          <t>Cobblemon 동일</t>
        </is>
      </c>
      <c r="AK622" s="18" t="inlineStr">
        <is>
          <t>사용</t>
        </is>
      </c>
      <c r="AL622" s="18" t="inlineStr">
        <is>
          <t>COBBLEVERSE 1.7.42 / DP v31</t>
        </is>
      </c>
      <c r="AM622" s="18" t="inlineStr">
        <is>
          <t>data/cobblemon/spawn_pool_world/0159_croconaw.json</t>
        </is>
      </c>
      <c r="AN622" s="18" t="inlineStr">
        <is>
          <t>croconaw-2</t>
        </is>
      </c>
      <c r="AO622" s="18" t="inlineStr">
        <is>
          <t>pokemon</t>
        </is>
      </c>
      <c r="AP622" s="18" t="inlineStr">
        <is>
          <t>water</t>
        </is>
      </c>
      <c r="AQ622" s="18" t="inlineStr">
        <is>
          <t>{"biomes":["#cobblemon:is_swamp"],"canSeeSky":true}</t>
        </is>
      </c>
      <c r="AR622" s="18" t="inlineStr"/>
      <c r="AS622" s="18" t="inlineStr"/>
      <c r="AT622" s="19" t="inlineStr"/>
    </row>
    <row r="623" ht="32" customHeight="1">
      <c r="A623" s="18" t="inlineStr">
        <is>
          <t>0159_croconaw.json::croconaw-3::003</t>
        </is>
      </c>
      <c r="B623" s="19" t="inlineStr">
        <is>
          <t>사용</t>
        </is>
      </c>
      <c r="C623" s="18">
        <f>IF(OR(B623&lt;&gt;AK623,M623&lt;&gt;L623,O623&lt;&gt;"",Q623&lt;&gt;"",V623&lt;&gt;1,Y623&lt;&gt;"",AT623&lt;&gt;""),"수정","원본")</f>
        <v/>
      </c>
      <c r="D623" s="18" t="n">
        <v>159</v>
      </c>
      <c r="E623" s="18" t="inlineStr">
        <is>
          <t>엘리게이</t>
        </is>
      </c>
      <c r="F623" s="18" t="inlineStr">
        <is>
          <t>croconaw</t>
        </is>
      </c>
      <c r="G623" s="18" t="inlineStr">
        <is>
          <t>croconaw</t>
        </is>
      </c>
      <c r="H623" s="18" t="inlineStr"/>
      <c r="I623" s="18" t="n">
        <v>2</v>
      </c>
      <c r="J623" s="18" t="n"/>
      <c r="K623" s="18" t="n">
        <v>2</v>
      </c>
      <c r="L623" s="18" t="inlineStr">
        <is>
          <t>cobbleventure:generation_2</t>
        </is>
      </c>
      <c r="M623" s="19" t="inlineStr">
        <is>
          <t>cobbleventure:generation_2</t>
        </is>
      </c>
      <c r="N623" s="18" t="inlineStr">
        <is>
          <t>region_02</t>
        </is>
      </c>
      <c r="O623" s="19" t="inlineStr"/>
      <c r="P623" s="18" t="inlineStr">
        <is>
          <t>#cobblemon:is_arid; #cobblemon:is_jungle; #cobblemon:is_swamp</t>
        </is>
      </c>
      <c r="Q623" s="19" t="inlineStr"/>
      <c r="R623" s="18">
        <f>IF(Q623="",P623,Q623)</f>
        <v/>
      </c>
      <c r="S623" s="18" t="inlineStr"/>
      <c r="T623" s="18" t="inlineStr">
        <is>
          <t>ultra-rare</t>
        </is>
      </c>
      <c r="U623" s="20" t="n">
        <v>3.6</v>
      </c>
      <c r="V623" s="21" t="n">
        <v>1</v>
      </c>
      <c r="W623" s="20">
        <f>IF(OR(U623="",V623=""),U623,U623*V623)</f>
        <v/>
      </c>
      <c r="X623" s="18" t="inlineStr">
        <is>
          <t>18-41</t>
        </is>
      </c>
      <c r="Y623" s="19" t="inlineStr"/>
      <c r="Z623" s="18">
        <f>IF(Y623="",X623,Y623)</f>
        <v/>
      </c>
      <c r="AA623" s="18" t="inlineStr">
        <is>
          <t>fishing</t>
        </is>
      </c>
      <c r="AB623" s="18" t="inlineStr"/>
      <c r="AC623" s="18" t="inlineStr"/>
      <c r="AD623" s="18" t="inlineStr"/>
      <c r="AE623" s="18" t="inlineStr"/>
      <c r="AF623" s="18" t="inlineStr">
        <is>
          <t>True</t>
        </is>
      </c>
      <c r="AG623" s="18" t="inlineStr"/>
      <c r="AH623" s="18" t="inlineStr"/>
      <c r="AI623" s="18" t="inlineStr"/>
      <c r="AJ623" s="18" t="inlineStr">
        <is>
          <t>Cobblemon 동일</t>
        </is>
      </c>
      <c r="AK623" s="18" t="inlineStr">
        <is>
          <t>사용</t>
        </is>
      </c>
      <c r="AL623" s="18" t="inlineStr">
        <is>
          <t>COBBLEVERSE 1.7.42 / DP v31</t>
        </is>
      </c>
      <c r="AM623" s="18" t="inlineStr">
        <is>
          <t>data/cobblemon/spawn_pool_world/0159_croconaw.json</t>
        </is>
      </c>
      <c r="AN623" s="18" t="inlineStr">
        <is>
          <t>croconaw-3</t>
        </is>
      </c>
      <c r="AO623" s="18" t="inlineStr">
        <is>
          <t>pokemon</t>
        </is>
      </c>
      <c r="AP623" s="18" t="inlineStr"/>
      <c r="AQ623" s="18" t="inlineStr">
        <is>
          <t>{"biomes":["#cobblemon:is_arid","#cobblemon:is_jungle","#cobblemon:is_swamp"],"canSeeSky":true}</t>
        </is>
      </c>
      <c r="AR623" s="18" t="inlineStr"/>
      <c r="AS623" s="18" t="inlineStr"/>
      <c r="AT623" s="19" t="inlineStr"/>
    </row>
    <row r="624" ht="32" customHeight="1">
      <c r="A624" s="18" t="inlineStr">
        <is>
          <t>0159_croconaw.json::croconaw-4::004</t>
        </is>
      </c>
      <c r="B624" s="19" t="inlineStr">
        <is>
          <t>사용</t>
        </is>
      </c>
      <c r="C624" s="18">
        <f>IF(OR(B624&lt;&gt;AK624,M624&lt;&gt;L624,O624&lt;&gt;"",Q624&lt;&gt;"",V624&lt;&gt;1,Y624&lt;&gt;"",AT624&lt;&gt;""),"수정","원본")</f>
        <v/>
      </c>
      <c r="D624" s="18" t="n">
        <v>159</v>
      </c>
      <c r="E624" s="18" t="inlineStr">
        <is>
          <t>엘리게이</t>
        </is>
      </c>
      <c r="F624" s="18" t="inlineStr">
        <is>
          <t>croconaw</t>
        </is>
      </c>
      <c r="G624" s="18" t="inlineStr">
        <is>
          <t>croconaw</t>
        </is>
      </c>
      <c r="H624" s="18" t="inlineStr"/>
      <c r="I624" s="18" t="n">
        <v>2</v>
      </c>
      <c r="J624" s="18" t="n"/>
      <c r="K624" s="18" t="n">
        <v>2</v>
      </c>
      <c r="L624" s="18" t="inlineStr">
        <is>
          <t>cobbleventure:generation_2</t>
        </is>
      </c>
      <c r="M624" s="19" t="inlineStr">
        <is>
          <t>cobbleventure:generation_2</t>
        </is>
      </c>
      <c r="N624" s="18" t="inlineStr">
        <is>
          <t>region_02</t>
        </is>
      </c>
      <c r="O624" s="19" t="inlineStr"/>
      <c r="P624" s="18" t="inlineStr">
        <is>
          <t>#cobblemon:is_swamp</t>
        </is>
      </c>
      <c r="Q624" s="19" t="inlineStr"/>
      <c r="R624" s="18">
        <f>IF(Q624="",P624,Q624)</f>
        <v/>
      </c>
      <c r="S624" s="18" t="inlineStr"/>
      <c r="T624" s="18" t="inlineStr">
        <is>
          <t>ultra-rare</t>
        </is>
      </c>
      <c r="U624" s="20" t="n">
        <v>3.6</v>
      </c>
      <c r="V624" s="21" t="n">
        <v>1</v>
      </c>
      <c r="W624" s="20">
        <f>IF(OR(U624="",V624=""),U624,U624*V624)</f>
        <v/>
      </c>
      <c r="X624" s="18" t="inlineStr">
        <is>
          <t>18-41</t>
        </is>
      </c>
      <c r="Y624" s="19" t="inlineStr"/>
      <c r="Z624" s="18">
        <f>IF(Y624="",X624,Y624)</f>
        <v/>
      </c>
      <c r="AA624" s="18" t="inlineStr">
        <is>
          <t>submerged</t>
        </is>
      </c>
      <c r="AB624" s="18" t="inlineStr"/>
      <c r="AC624" s="18" t="inlineStr"/>
      <c r="AD624" s="18" t="inlineStr"/>
      <c r="AE624" s="18" t="inlineStr">
        <is>
          <t>sky 8-15</t>
        </is>
      </c>
      <c r="AF624" s="18" t="inlineStr">
        <is>
          <t>False</t>
        </is>
      </c>
      <c r="AG624" s="18" t="inlineStr"/>
      <c r="AH624" s="18" t="inlineStr"/>
      <c r="AI624" s="18" t="inlineStr"/>
      <c r="AJ624" s="18" t="inlineStr">
        <is>
          <t>Cobblemon 동일</t>
        </is>
      </c>
      <c r="AK624" s="18" t="inlineStr">
        <is>
          <t>사용</t>
        </is>
      </c>
      <c r="AL624" s="18" t="inlineStr">
        <is>
          <t>COBBLEVERSE 1.7.42 / DP v31</t>
        </is>
      </c>
      <c r="AM624" s="18" t="inlineStr">
        <is>
          <t>data/cobblemon/spawn_pool_world/0159_croconaw.json</t>
        </is>
      </c>
      <c r="AN624" s="18" t="inlineStr">
        <is>
          <t>croconaw-4</t>
        </is>
      </c>
      <c r="AO624" s="18" t="inlineStr">
        <is>
          <t>pokemon</t>
        </is>
      </c>
      <c r="AP624" s="18" t="inlineStr">
        <is>
          <t>water</t>
        </is>
      </c>
      <c r="AQ624" s="18" t="inlineStr">
        <is>
          <t>{"biomes":["#cobblemon:is_swamp"],"canSeeSky":false,"maxSkyLight":15,"minSkyLight":8}</t>
        </is>
      </c>
      <c r="AR624" s="18" t="inlineStr"/>
      <c r="AS624" s="18" t="inlineStr"/>
      <c r="AT624" s="19" t="inlineStr"/>
    </row>
    <row r="625" ht="32" customHeight="1">
      <c r="A625" s="18" t="inlineStr">
        <is>
          <t>0159_croconaw.json::croconaw-5::005</t>
        </is>
      </c>
      <c r="B625" s="19" t="inlineStr">
        <is>
          <t>사용</t>
        </is>
      </c>
      <c r="C625" s="18">
        <f>IF(OR(B625&lt;&gt;AK625,M625&lt;&gt;L625,O625&lt;&gt;"",Q625&lt;&gt;"",V625&lt;&gt;1,Y625&lt;&gt;"",AT625&lt;&gt;""),"수정","원본")</f>
        <v/>
      </c>
      <c r="D625" s="18" t="n">
        <v>159</v>
      </c>
      <c r="E625" s="18" t="inlineStr">
        <is>
          <t>엘리게이</t>
        </is>
      </c>
      <c r="F625" s="18" t="inlineStr">
        <is>
          <t>croconaw</t>
        </is>
      </c>
      <c r="G625" s="18" t="inlineStr">
        <is>
          <t>croconaw</t>
        </is>
      </c>
      <c r="H625" s="18" t="inlineStr"/>
      <c r="I625" s="18" t="n">
        <v>2</v>
      </c>
      <c r="J625" s="18" t="n"/>
      <c r="K625" s="18" t="n">
        <v>2</v>
      </c>
      <c r="L625" s="18" t="inlineStr">
        <is>
          <t>cobbleventure:generation_2</t>
        </is>
      </c>
      <c r="M625" s="19" t="inlineStr">
        <is>
          <t>cobbleventure:generation_2</t>
        </is>
      </c>
      <c r="N625" s="18" t="inlineStr">
        <is>
          <t>region_02</t>
        </is>
      </c>
      <c r="O625" s="19" t="inlineStr"/>
      <c r="P625" s="18" t="inlineStr">
        <is>
          <t>#cobblemon:is_arid; #cobblemon:is_jungle; #cobblemon:is_swamp</t>
        </is>
      </c>
      <c r="Q625" s="19" t="inlineStr"/>
      <c r="R625" s="18">
        <f>IF(Q625="",P625,Q625)</f>
        <v/>
      </c>
      <c r="S625" s="18" t="inlineStr"/>
      <c r="T625" s="18" t="inlineStr">
        <is>
          <t>ultra-rare</t>
        </is>
      </c>
      <c r="U625" s="20" t="n">
        <v>3.6</v>
      </c>
      <c r="V625" s="21" t="n">
        <v>1</v>
      </c>
      <c r="W625" s="20">
        <f>IF(OR(U625="",V625=""),U625,U625*V625)</f>
        <v/>
      </c>
      <c r="X625" s="18" t="inlineStr">
        <is>
          <t>18-41</t>
        </is>
      </c>
      <c r="Y625" s="19" t="inlineStr"/>
      <c r="Z625" s="18">
        <f>IF(Y625="",X625,Y625)</f>
        <v/>
      </c>
      <c r="AA625" s="18" t="inlineStr">
        <is>
          <t>fishing</t>
        </is>
      </c>
      <c r="AB625" s="18" t="inlineStr"/>
      <c r="AC625" s="18" t="inlineStr"/>
      <c r="AD625" s="18" t="inlineStr"/>
      <c r="AE625" s="18" t="inlineStr">
        <is>
          <t>sky 8-15</t>
        </is>
      </c>
      <c r="AF625" s="18" t="inlineStr">
        <is>
          <t>False</t>
        </is>
      </c>
      <c r="AG625" s="18" t="inlineStr"/>
      <c r="AH625" s="18" t="inlineStr"/>
      <c r="AI625" s="18" t="inlineStr"/>
      <c r="AJ625" s="18" t="inlineStr">
        <is>
          <t>Cobblemon 동일</t>
        </is>
      </c>
      <c r="AK625" s="18" t="inlineStr">
        <is>
          <t>사용</t>
        </is>
      </c>
      <c r="AL625" s="18" t="inlineStr">
        <is>
          <t>COBBLEVERSE 1.7.42 / DP v31</t>
        </is>
      </c>
      <c r="AM625" s="18" t="inlineStr">
        <is>
          <t>data/cobblemon/spawn_pool_world/0159_croconaw.json</t>
        </is>
      </c>
      <c r="AN625" s="18" t="inlineStr">
        <is>
          <t>croconaw-5</t>
        </is>
      </c>
      <c r="AO625" s="18" t="inlineStr">
        <is>
          <t>pokemon</t>
        </is>
      </c>
      <c r="AP625" s="18" t="inlineStr"/>
      <c r="AQ625" s="18" t="inlineStr">
        <is>
          <t>{"biomes":["#cobblemon:is_arid","#cobblemon:is_jungle","#cobblemon:is_swamp"],"canSeeSky":false,"maxSkyLight":15,"minSkyLight":8}</t>
        </is>
      </c>
      <c r="AR625" s="18" t="inlineStr"/>
      <c r="AS625" s="18" t="inlineStr"/>
      <c r="AT625" s="19" t="inlineStr"/>
    </row>
    <row r="626" ht="32" customHeight="1">
      <c r="A626" s="18" t="inlineStr">
        <is>
          <t>0160_feraligatr.json::feraligatr-1::001</t>
        </is>
      </c>
      <c r="B626" s="19" t="inlineStr">
        <is>
          <t>사용</t>
        </is>
      </c>
      <c r="C626" s="18">
        <f>IF(OR(B626&lt;&gt;AK626,M626&lt;&gt;L626,O626&lt;&gt;"",Q626&lt;&gt;"",V626&lt;&gt;1,Y626&lt;&gt;"",AT626&lt;&gt;""),"수정","원본")</f>
        <v/>
      </c>
      <c r="D626" s="18" t="n">
        <v>160</v>
      </c>
      <c r="E626" s="18" t="inlineStr">
        <is>
          <t>장크로다일</t>
        </is>
      </c>
      <c r="F626" s="18" t="inlineStr">
        <is>
          <t>feraligatr</t>
        </is>
      </c>
      <c r="G626" s="18" t="inlineStr">
        <is>
          <t>feraligatr</t>
        </is>
      </c>
      <c r="H626" s="18" t="inlineStr"/>
      <c r="I626" s="18" t="n">
        <v>2</v>
      </c>
      <c r="J626" s="18" t="n"/>
      <c r="K626" s="18" t="n">
        <v>2</v>
      </c>
      <c r="L626" s="18" t="inlineStr">
        <is>
          <t>cobbleventure:generation_2</t>
        </is>
      </c>
      <c r="M626" s="19" t="inlineStr">
        <is>
          <t>cobbleventure:generation_2</t>
        </is>
      </c>
      <c r="N626" s="18" t="inlineStr">
        <is>
          <t>region_02</t>
        </is>
      </c>
      <c r="O626" s="19" t="inlineStr"/>
      <c r="P626" s="18" t="inlineStr">
        <is>
          <t>#cobblemon:is_swamp</t>
        </is>
      </c>
      <c r="Q626" s="19" t="inlineStr"/>
      <c r="R626" s="18">
        <f>IF(Q626="",P626,Q626)</f>
        <v/>
      </c>
      <c r="S626" s="18" t="inlineStr"/>
      <c r="T626" s="18" t="inlineStr">
        <is>
          <t>ultra-rare</t>
        </is>
      </c>
      <c r="U626" s="20" t="n">
        <v>0.4</v>
      </c>
      <c r="V626" s="21" t="n">
        <v>1</v>
      </c>
      <c r="W626" s="20">
        <f>IF(OR(U626="",V626=""),U626,U626*V626)</f>
        <v/>
      </c>
      <c r="X626" s="18" t="inlineStr">
        <is>
          <t>30-53</t>
        </is>
      </c>
      <c r="Y626" s="19" t="inlineStr"/>
      <c r="Z626" s="18">
        <f>IF(Y626="",X626,Y626)</f>
        <v/>
      </c>
      <c r="AA626" s="18" t="inlineStr">
        <is>
          <t>grounded</t>
        </is>
      </c>
      <c r="AB626" s="18" t="inlineStr"/>
      <c r="AC626" s="18" t="inlineStr"/>
      <c r="AD626" s="18" t="inlineStr"/>
      <c r="AE626" s="18" t="inlineStr">
        <is>
          <t>sky 8-15</t>
        </is>
      </c>
      <c r="AF626" s="18" t="inlineStr"/>
      <c r="AG626" s="18" t="inlineStr"/>
      <c r="AH626" s="18" t="inlineStr"/>
      <c r="AI626" s="18" t="inlineStr"/>
      <c r="AJ626" s="18" t="inlineStr">
        <is>
          <t>Cobblemon 동일</t>
        </is>
      </c>
      <c r="AK626" s="18" t="inlineStr">
        <is>
          <t>사용</t>
        </is>
      </c>
      <c r="AL626" s="18" t="inlineStr">
        <is>
          <t>COBBLEVERSE 1.7.42 / DP v31</t>
        </is>
      </c>
      <c r="AM626" s="18" t="inlineStr">
        <is>
          <t>data/cobblemon/spawn_pool_world/0160_feraligatr.json</t>
        </is>
      </c>
      <c r="AN626" s="18" t="inlineStr">
        <is>
          <t>feraligatr-1</t>
        </is>
      </c>
      <c r="AO626" s="18" t="inlineStr">
        <is>
          <t>pokemon</t>
        </is>
      </c>
      <c r="AP626" s="18" t="inlineStr">
        <is>
          <t>natural</t>
        </is>
      </c>
      <c r="AQ626" s="18" t="inlineStr">
        <is>
          <t>{"biomes":["#cobblemon:is_swamp"],"maxSkyLight":15,"minSkyLight":8}</t>
        </is>
      </c>
      <c r="AR626" s="18" t="inlineStr"/>
      <c r="AS626" s="18" t="inlineStr"/>
      <c r="AT626" s="19" t="inlineStr"/>
    </row>
    <row r="627" ht="32" customHeight="1">
      <c r="A627" s="18" t="inlineStr">
        <is>
          <t>0160_feraligatr.json::feraligatr-2::002</t>
        </is>
      </c>
      <c r="B627" s="19" t="inlineStr">
        <is>
          <t>사용</t>
        </is>
      </c>
      <c r="C627" s="18">
        <f>IF(OR(B627&lt;&gt;AK627,M627&lt;&gt;L627,O627&lt;&gt;"",Q627&lt;&gt;"",V627&lt;&gt;1,Y627&lt;&gt;"",AT627&lt;&gt;""),"수정","원본")</f>
        <v/>
      </c>
      <c r="D627" s="18" t="n">
        <v>160</v>
      </c>
      <c r="E627" s="18" t="inlineStr">
        <is>
          <t>장크로다일</t>
        </is>
      </c>
      <c r="F627" s="18" t="inlineStr">
        <is>
          <t>feraligatr</t>
        </is>
      </c>
      <c r="G627" s="18" t="inlineStr">
        <is>
          <t>feraligatr</t>
        </is>
      </c>
      <c r="H627" s="18" t="inlineStr"/>
      <c r="I627" s="18" t="n">
        <v>2</v>
      </c>
      <c r="J627" s="18" t="n"/>
      <c r="K627" s="18" t="n">
        <v>2</v>
      </c>
      <c r="L627" s="18" t="inlineStr">
        <is>
          <t>cobbleventure:generation_2</t>
        </is>
      </c>
      <c r="M627" s="19" t="inlineStr">
        <is>
          <t>cobbleventure:generation_2</t>
        </is>
      </c>
      <c r="N627" s="18" t="inlineStr">
        <is>
          <t>region_02</t>
        </is>
      </c>
      <c r="O627" s="19" t="inlineStr"/>
      <c r="P627" s="18" t="inlineStr">
        <is>
          <t>#cobblemon:is_swamp</t>
        </is>
      </c>
      <c r="Q627" s="19" t="inlineStr"/>
      <c r="R627" s="18">
        <f>IF(Q627="",P627,Q627)</f>
        <v/>
      </c>
      <c r="S627" s="18" t="inlineStr"/>
      <c r="T627" s="18" t="inlineStr">
        <is>
          <t>ultra-rare</t>
        </is>
      </c>
      <c r="U627" s="20" t="n">
        <v>0.4</v>
      </c>
      <c r="V627" s="21" t="n">
        <v>1</v>
      </c>
      <c r="W627" s="20">
        <f>IF(OR(U627="",V627=""),U627,U627*V627)</f>
        <v/>
      </c>
      <c r="X627" s="18" t="inlineStr">
        <is>
          <t>30-53</t>
        </is>
      </c>
      <c r="Y627" s="19" t="inlineStr"/>
      <c r="Z627" s="18">
        <f>IF(Y627="",X627,Y627)</f>
        <v/>
      </c>
      <c r="AA627" s="18" t="inlineStr">
        <is>
          <t>submerged</t>
        </is>
      </c>
      <c r="AB627" s="18" t="inlineStr"/>
      <c r="AC627" s="18" t="inlineStr"/>
      <c r="AD627" s="18" t="inlineStr"/>
      <c r="AE627" s="18" t="inlineStr"/>
      <c r="AF627" s="18" t="inlineStr">
        <is>
          <t>True</t>
        </is>
      </c>
      <c r="AG627" s="18" t="inlineStr"/>
      <c r="AH627" s="18" t="inlineStr"/>
      <c r="AI627" s="18" t="inlineStr"/>
      <c r="AJ627" s="18" t="inlineStr">
        <is>
          <t>Cobblemon 동일</t>
        </is>
      </c>
      <c r="AK627" s="18" t="inlineStr">
        <is>
          <t>사용</t>
        </is>
      </c>
      <c r="AL627" s="18" t="inlineStr">
        <is>
          <t>COBBLEVERSE 1.7.42 / DP v31</t>
        </is>
      </c>
      <c r="AM627" s="18" t="inlineStr">
        <is>
          <t>data/cobblemon/spawn_pool_world/0160_feraligatr.json</t>
        </is>
      </c>
      <c r="AN627" s="18" t="inlineStr">
        <is>
          <t>feraligatr-2</t>
        </is>
      </c>
      <c r="AO627" s="18" t="inlineStr">
        <is>
          <t>pokemon</t>
        </is>
      </c>
      <c r="AP627" s="18" t="inlineStr">
        <is>
          <t>water</t>
        </is>
      </c>
      <c r="AQ627" s="18" t="inlineStr">
        <is>
          <t>{"biomes":["#cobblemon:is_swamp"],"canSeeSky":true}</t>
        </is>
      </c>
      <c r="AR627" s="18" t="inlineStr"/>
      <c r="AS627" s="18" t="inlineStr"/>
      <c r="AT627" s="19" t="inlineStr"/>
    </row>
    <row r="628" ht="32" customHeight="1">
      <c r="A628" s="18" t="inlineStr">
        <is>
          <t>0160_feraligatr.json::feraligatr-3::003</t>
        </is>
      </c>
      <c r="B628" s="19" t="inlineStr">
        <is>
          <t>사용</t>
        </is>
      </c>
      <c r="C628" s="18">
        <f>IF(OR(B628&lt;&gt;AK628,M628&lt;&gt;L628,O628&lt;&gt;"",Q628&lt;&gt;"",V628&lt;&gt;1,Y628&lt;&gt;"",AT628&lt;&gt;""),"수정","원본")</f>
        <v/>
      </c>
      <c r="D628" s="18" t="n">
        <v>160</v>
      </c>
      <c r="E628" s="18" t="inlineStr">
        <is>
          <t>장크로다일</t>
        </is>
      </c>
      <c r="F628" s="18" t="inlineStr">
        <is>
          <t>feraligatr</t>
        </is>
      </c>
      <c r="G628" s="18" t="inlineStr">
        <is>
          <t>feraligatr</t>
        </is>
      </c>
      <c r="H628" s="18" t="inlineStr"/>
      <c r="I628" s="18" t="n">
        <v>2</v>
      </c>
      <c r="J628" s="18" t="n"/>
      <c r="K628" s="18" t="n">
        <v>2</v>
      </c>
      <c r="L628" s="18" t="inlineStr">
        <is>
          <t>cobbleventure:generation_2</t>
        </is>
      </c>
      <c r="M628" s="19" t="inlineStr">
        <is>
          <t>cobbleventure:generation_2</t>
        </is>
      </c>
      <c r="N628" s="18" t="inlineStr">
        <is>
          <t>region_02</t>
        </is>
      </c>
      <c r="O628" s="19" t="inlineStr"/>
      <c r="P628" s="18" t="inlineStr">
        <is>
          <t>#cobblemon:is_arid; #cobblemon:is_jungle; #cobblemon:is_swamp</t>
        </is>
      </c>
      <c r="Q628" s="19" t="inlineStr"/>
      <c r="R628" s="18">
        <f>IF(Q628="",P628,Q628)</f>
        <v/>
      </c>
      <c r="S628" s="18" t="inlineStr"/>
      <c r="T628" s="18" t="inlineStr">
        <is>
          <t>ultra-rare</t>
        </is>
      </c>
      <c r="U628" s="20" t="n">
        <v>0.4</v>
      </c>
      <c r="V628" s="21" t="n">
        <v>1</v>
      </c>
      <c r="W628" s="20">
        <f>IF(OR(U628="",V628=""),U628,U628*V628)</f>
        <v/>
      </c>
      <c r="X628" s="18" t="inlineStr">
        <is>
          <t>30-53</t>
        </is>
      </c>
      <c r="Y628" s="19" t="inlineStr"/>
      <c r="Z628" s="18">
        <f>IF(Y628="",X628,Y628)</f>
        <v/>
      </c>
      <c r="AA628" s="18" t="inlineStr">
        <is>
          <t>fishing</t>
        </is>
      </c>
      <c r="AB628" s="18" t="inlineStr"/>
      <c r="AC628" s="18" t="inlineStr"/>
      <c r="AD628" s="18" t="inlineStr"/>
      <c r="AE628" s="18" t="inlineStr"/>
      <c r="AF628" s="18" t="inlineStr">
        <is>
          <t>True</t>
        </is>
      </c>
      <c r="AG628" s="18" t="inlineStr"/>
      <c r="AH628" s="18" t="inlineStr"/>
      <c r="AI628" s="18" t="inlineStr"/>
      <c r="AJ628" s="18" t="inlineStr">
        <is>
          <t>Cobblemon 동일</t>
        </is>
      </c>
      <c r="AK628" s="18" t="inlineStr">
        <is>
          <t>사용</t>
        </is>
      </c>
      <c r="AL628" s="18" t="inlineStr">
        <is>
          <t>COBBLEVERSE 1.7.42 / DP v31</t>
        </is>
      </c>
      <c r="AM628" s="18" t="inlineStr">
        <is>
          <t>data/cobblemon/spawn_pool_world/0160_feraligatr.json</t>
        </is>
      </c>
      <c r="AN628" s="18" t="inlineStr">
        <is>
          <t>feraligatr-3</t>
        </is>
      </c>
      <c r="AO628" s="18" t="inlineStr">
        <is>
          <t>pokemon</t>
        </is>
      </c>
      <c r="AP628" s="18" t="inlineStr"/>
      <c r="AQ628" s="18" t="inlineStr">
        <is>
          <t>{"biomes":["#cobblemon:is_arid","#cobblemon:is_jungle","#cobblemon:is_swamp"],"canSeeSky":true}</t>
        </is>
      </c>
      <c r="AR628" s="18" t="inlineStr"/>
      <c r="AS628" s="18" t="inlineStr"/>
      <c r="AT628" s="19" t="inlineStr"/>
    </row>
    <row r="629" ht="32" customHeight="1">
      <c r="A629" s="18" t="inlineStr">
        <is>
          <t>0160_feraligatr.json::feraligatr-4::004</t>
        </is>
      </c>
      <c r="B629" s="19" t="inlineStr">
        <is>
          <t>사용</t>
        </is>
      </c>
      <c r="C629" s="18">
        <f>IF(OR(B629&lt;&gt;AK629,M629&lt;&gt;L629,O629&lt;&gt;"",Q629&lt;&gt;"",V629&lt;&gt;1,Y629&lt;&gt;"",AT629&lt;&gt;""),"수정","원본")</f>
        <v/>
      </c>
      <c r="D629" s="18" t="n">
        <v>160</v>
      </c>
      <c r="E629" s="18" t="inlineStr">
        <is>
          <t>장크로다일</t>
        </is>
      </c>
      <c r="F629" s="18" t="inlineStr">
        <is>
          <t>feraligatr</t>
        </is>
      </c>
      <c r="G629" s="18" t="inlineStr">
        <is>
          <t>feraligatr</t>
        </is>
      </c>
      <c r="H629" s="18" t="inlineStr"/>
      <c r="I629" s="18" t="n">
        <v>2</v>
      </c>
      <c r="J629" s="18" t="n"/>
      <c r="K629" s="18" t="n">
        <v>2</v>
      </c>
      <c r="L629" s="18" t="inlineStr">
        <is>
          <t>cobbleventure:generation_2</t>
        </is>
      </c>
      <c r="M629" s="19" t="inlineStr">
        <is>
          <t>cobbleventure:generation_2</t>
        </is>
      </c>
      <c r="N629" s="18" t="inlineStr">
        <is>
          <t>region_02</t>
        </is>
      </c>
      <c r="O629" s="19" t="inlineStr"/>
      <c r="P629" s="18" t="inlineStr">
        <is>
          <t>#cobblemon:is_swamp</t>
        </is>
      </c>
      <c r="Q629" s="19" t="inlineStr"/>
      <c r="R629" s="18">
        <f>IF(Q629="",P629,Q629)</f>
        <v/>
      </c>
      <c r="S629" s="18" t="inlineStr"/>
      <c r="T629" s="18" t="inlineStr">
        <is>
          <t>ultra-rare</t>
        </is>
      </c>
      <c r="U629" s="20" t="n">
        <v>0.4</v>
      </c>
      <c r="V629" s="21" t="n">
        <v>1</v>
      </c>
      <c r="W629" s="20">
        <f>IF(OR(U629="",V629=""),U629,U629*V629)</f>
        <v/>
      </c>
      <c r="X629" s="18" t="inlineStr">
        <is>
          <t>30-53</t>
        </is>
      </c>
      <c r="Y629" s="19" t="inlineStr"/>
      <c r="Z629" s="18">
        <f>IF(Y629="",X629,Y629)</f>
        <v/>
      </c>
      <c r="AA629" s="18" t="inlineStr">
        <is>
          <t>submerged</t>
        </is>
      </c>
      <c r="AB629" s="18" t="inlineStr"/>
      <c r="AC629" s="18" t="inlineStr"/>
      <c r="AD629" s="18" t="inlineStr"/>
      <c r="AE629" s="18" t="inlineStr">
        <is>
          <t>sky 8-15</t>
        </is>
      </c>
      <c r="AF629" s="18" t="inlineStr">
        <is>
          <t>False</t>
        </is>
      </c>
      <c r="AG629" s="18" t="inlineStr"/>
      <c r="AH629" s="18" t="inlineStr"/>
      <c r="AI629" s="18" t="inlineStr"/>
      <c r="AJ629" s="18" t="inlineStr">
        <is>
          <t>Cobblemon 동일</t>
        </is>
      </c>
      <c r="AK629" s="18" t="inlineStr">
        <is>
          <t>사용</t>
        </is>
      </c>
      <c r="AL629" s="18" t="inlineStr">
        <is>
          <t>COBBLEVERSE 1.7.42 / DP v31</t>
        </is>
      </c>
      <c r="AM629" s="18" t="inlineStr">
        <is>
          <t>data/cobblemon/spawn_pool_world/0160_feraligatr.json</t>
        </is>
      </c>
      <c r="AN629" s="18" t="inlineStr">
        <is>
          <t>feraligatr-4</t>
        </is>
      </c>
      <c r="AO629" s="18" t="inlineStr">
        <is>
          <t>pokemon</t>
        </is>
      </c>
      <c r="AP629" s="18" t="inlineStr">
        <is>
          <t>water</t>
        </is>
      </c>
      <c r="AQ629" s="18" t="inlineStr">
        <is>
          <t>{"biomes":["#cobblemon:is_swamp"],"canSeeSky":false,"maxSkyLight":15,"minSkyLight":8}</t>
        </is>
      </c>
      <c r="AR629" s="18" t="inlineStr"/>
      <c r="AS629" s="18" t="inlineStr"/>
      <c r="AT629" s="19" t="inlineStr"/>
    </row>
    <row r="630" ht="32" customHeight="1">
      <c r="A630" s="18" t="inlineStr">
        <is>
          <t>0160_feraligatr.json::feraligatr-5::005</t>
        </is>
      </c>
      <c r="B630" s="19" t="inlineStr">
        <is>
          <t>사용</t>
        </is>
      </c>
      <c r="C630" s="18">
        <f>IF(OR(B630&lt;&gt;AK630,M630&lt;&gt;L630,O630&lt;&gt;"",Q630&lt;&gt;"",V630&lt;&gt;1,Y630&lt;&gt;"",AT630&lt;&gt;""),"수정","원본")</f>
        <v/>
      </c>
      <c r="D630" s="18" t="n">
        <v>160</v>
      </c>
      <c r="E630" s="18" t="inlineStr">
        <is>
          <t>장크로다일</t>
        </is>
      </c>
      <c r="F630" s="18" t="inlineStr">
        <is>
          <t>feraligatr</t>
        </is>
      </c>
      <c r="G630" s="18" t="inlineStr">
        <is>
          <t>feraligatr</t>
        </is>
      </c>
      <c r="H630" s="18" t="inlineStr"/>
      <c r="I630" s="18" t="n">
        <v>2</v>
      </c>
      <c r="J630" s="18" t="n"/>
      <c r="K630" s="18" t="n">
        <v>2</v>
      </c>
      <c r="L630" s="18" t="inlineStr">
        <is>
          <t>cobbleventure:generation_2</t>
        </is>
      </c>
      <c r="M630" s="19" t="inlineStr">
        <is>
          <t>cobbleventure:generation_2</t>
        </is>
      </c>
      <c r="N630" s="18" t="inlineStr">
        <is>
          <t>region_02</t>
        </is>
      </c>
      <c r="O630" s="19" t="inlineStr"/>
      <c r="P630" s="18" t="inlineStr">
        <is>
          <t>#cobblemon:is_arid; #cobblemon:is_jungle; #cobblemon:is_swamp</t>
        </is>
      </c>
      <c r="Q630" s="19" t="inlineStr"/>
      <c r="R630" s="18">
        <f>IF(Q630="",P630,Q630)</f>
        <v/>
      </c>
      <c r="S630" s="18" t="inlineStr"/>
      <c r="T630" s="18" t="inlineStr">
        <is>
          <t>ultra-rare</t>
        </is>
      </c>
      <c r="U630" s="20" t="n">
        <v>0.4</v>
      </c>
      <c r="V630" s="21" t="n">
        <v>1</v>
      </c>
      <c r="W630" s="20">
        <f>IF(OR(U630="",V630=""),U630,U630*V630)</f>
        <v/>
      </c>
      <c r="X630" s="18" t="inlineStr">
        <is>
          <t>30-53</t>
        </is>
      </c>
      <c r="Y630" s="19" t="inlineStr"/>
      <c r="Z630" s="18">
        <f>IF(Y630="",X630,Y630)</f>
        <v/>
      </c>
      <c r="AA630" s="18" t="inlineStr">
        <is>
          <t>fishing</t>
        </is>
      </c>
      <c r="AB630" s="18" t="inlineStr"/>
      <c r="AC630" s="18" t="inlineStr"/>
      <c r="AD630" s="18" t="inlineStr"/>
      <c r="AE630" s="18" t="inlineStr">
        <is>
          <t>sky 8-15</t>
        </is>
      </c>
      <c r="AF630" s="18" t="inlineStr">
        <is>
          <t>False</t>
        </is>
      </c>
      <c r="AG630" s="18" t="inlineStr"/>
      <c r="AH630" s="18" t="inlineStr"/>
      <c r="AI630" s="18" t="inlineStr"/>
      <c r="AJ630" s="18" t="inlineStr">
        <is>
          <t>Cobblemon 동일</t>
        </is>
      </c>
      <c r="AK630" s="18" t="inlineStr">
        <is>
          <t>사용</t>
        </is>
      </c>
      <c r="AL630" s="18" t="inlineStr">
        <is>
          <t>COBBLEVERSE 1.7.42 / DP v31</t>
        </is>
      </c>
      <c r="AM630" s="18" t="inlineStr">
        <is>
          <t>data/cobblemon/spawn_pool_world/0160_feraligatr.json</t>
        </is>
      </c>
      <c r="AN630" s="18" t="inlineStr">
        <is>
          <t>feraligatr-5</t>
        </is>
      </c>
      <c r="AO630" s="18" t="inlineStr">
        <is>
          <t>pokemon</t>
        </is>
      </c>
      <c r="AP630" s="18" t="inlineStr"/>
      <c r="AQ630" s="18" t="inlineStr">
        <is>
          <t>{"biomes":["#cobblemon:is_arid","#cobblemon:is_jungle","#cobblemon:is_swamp"],"canSeeSky":false,"maxSkyLight":15,"minSkyLight":8}</t>
        </is>
      </c>
      <c r="AR630" s="18" t="inlineStr"/>
      <c r="AS630" s="18" t="inlineStr"/>
      <c r="AT630" s="19" t="inlineStr"/>
    </row>
    <row r="631" ht="32" customHeight="1">
      <c r="A631" s="18" t="inlineStr">
        <is>
          <t>0161_sentret.json::sentret-1::001</t>
        </is>
      </c>
      <c r="B631" s="19" t="inlineStr">
        <is>
          <t>사용</t>
        </is>
      </c>
      <c r="C631" s="18">
        <f>IF(OR(B631&lt;&gt;AK631,M631&lt;&gt;L631,O631&lt;&gt;"",Q631&lt;&gt;"",V631&lt;&gt;1,Y631&lt;&gt;"",AT631&lt;&gt;""),"수정","원본")</f>
        <v/>
      </c>
      <c r="D631" s="18" t="n">
        <v>161</v>
      </c>
      <c r="E631" s="18" t="inlineStr">
        <is>
          <t>꼬리선</t>
        </is>
      </c>
      <c r="F631" s="18" t="inlineStr">
        <is>
          <t>sentret</t>
        </is>
      </c>
      <c r="G631" s="18" t="inlineStr">
        <is>
          <t>sentret</t>
        </is>
      </c>
      <c r="H631" s="18" t="inlineStr"/>
      <c r="I631" s="18" t="n">
        <v>2</v>
      </c>
      <c r="J631" s="18" t="n"/>
      <c r="K631" s="18" t="n">
        <v>2</v>
      </c>
      <c r="L631" s="18" t="inlineStr">
        <is>
          <t>cobbleventure:generation_2</t>
        </is>
      </c>
      <c r="M631" s="19" t="inlineStr">
        <is>
          <t>cobbleventure:generation_2</t>
        </is>
      </c>
      <c r="N631" s="18" t="inlineStr">
        <is>
          <t>region_01</t>
        </is>
      </c>
      <c r="O631" s="19" t="inlineStr"/>
      <c r="P631" s="18" t="inlineStr">
        <is>
          <t>#aether:is_aether; #cobblemon:is_taiga; #cobblemon:is_temperate; #cobblemon:is_tundra</t>
        </is>
      </c>
      <c r="Q631" s="19" t="inlineStr"/>
      <c r="R631" s="18">
        <f>IF(Q631="",P631,Q631)</f>
        <v/>
      </c>
      <c r="S631" s="18" t="inlineStr"/>
      <c r="T631" s="18" t="inlineStr">
        <is>
          <t>common</t>
        </is>
      </c>
      <c r="U631" s="20" t="n">
        <v>9</v>
      </c>
      <c r="V631" s="21" t="n">
        <v>1</v>
      </c>
      <c r="W631" s="20">
        <f>IF(OR(U631="",V631=""),U631,U631*V631)</f>
        <v/>
      </c>
      <c r="X631" s="18" t="inlineStr">
        <is>
          <t>1-22</t>
        </is>
      </c>
      <c r="Y631" s="19" t="inlineStr"/>
      <c r="Z631" s="18">
        <f>IF(Y631="",X631,Y631)</f>
        <v/>
      </c>
      <c r="AA631" s="18" t="inlineStr">
        <is>
          <t>grounded</t>
        </is>
      </c>
      <c r="AB631" s="18" t="inlineStr"/>
      <c r="AC631" s="18" t="inlineStr"/>
      <c r="AD631" s="18" t="inlineStr"/>
      <c r="AE631" s="18" t="inlineStr">
        <is>
          <t>sky 8-15</t>
        </is>
      </c>
      <c r="AF631" s="18" t="inlineStr"/>
      <c r="AG631" s="18" t="inlineStr"/>
      <c r="AH631" s="18" t="inlineStr"/>
      <c r="AI631" s="18" t="inlineStr"/>
      <c r="AJ631" s="18" t="inlineStr">
        <is>
          <t>Cobblemon 동일</t>
        </is>
      </c>
      <c r="AK631" s="18" t="inlineStr">
        <is>
          <t>사용</t>
        </is>
      </c>
      <c r="AL631" s="18" t="inlineStr">
        <is>
          <t>COBBLEVERSE 1.7.42 / DP v31</t>
        </is>
      </c>
      <c r="AM631" s="18" t="inlineStr">
        <is>
          <t>data/cobblemon/spawn_pool_world/0161_sentret.json</t>
        </is>
      </c>
      <c r="AN631" s="18" t="inlineStr">
        <is>
          <t>sentret-1</t>
        </is>
      </c>
      <c r="AO631" s="18" t="inlineStr">
        <is>
          <t>pokemon</t>
        </is>
      </c>
      <c r="AP631" s="18" t="inlineStr">
        <is>
          <t>natural</t>
        </is>
      </c>
      <c r="AQ631" s="18" t="inlineStr">
        <is>
          <t>{"biomes":["#aether:is_aether","#cobblemon:is_taiga","#cobblemon:is_temperate","#cobblemon:is_tundra"],"maxSkyLight":15,"minSkyLight":8}</t>
        </is>
      </c>
      <c r="AR631" s="18" t="inlineStr"/>
      <c r="AS631" s="18" t="inlineStr"/>
      <c r="AT631" s="19" t="inlineStr"/>
    </row>
    <row r="632" ht="32" customHeight="1">
      <c r="A632" s="18" t="inlineStr">
        <is>
          <t>0162_furret.json::furret-1::001</t>
        </is>
      </c>
      <c r="B632" s="19" t="inlineStr">
        <is>
          <t>사용</t>
        </is>
      </c>
      <c r="C632" s="18">
        <f>IF(OR(B632&lt;&gt;AK632,M632&lt;&gt;L632,O632&lt;&gt;"",Q632&lt;&gt;"",V632&lt;&gt;1,Y632&lt;&gt;"",AT632&lt;&gt;""),"수정","원본")</f>
        <v/>
      </c>
      <c r="D632" s="18" t="n">
        <v>162</v>
      </c>
      <c r="E632" s="18" t="inlineStr">
        <is>
          <t>다꼬리</t>
        </is>
      </c>
      <c r="F632" s="18" t="inlineStr">
        <is>
          <t>furret</t>
        </is>
      </c>
      <c r="G632" s="18" t="inlineStr">
        <is>
          <t>furret</t>
        </is>
      </c>
      <c r="H632" s="18" t="inlineStr"/>
      <c r="I632" s="18" t="n">
        <v>2</v>
      </c>
      <c r="J632" s="18" t="n"/>
      <c r="K632" s="18" t="n">
        <v>2</v>
      </c>
      <c r="L632" s="18" t="inlineStr">
        <is>
          <t>cobbleventure:generation_2</t>
        </is>
      </c>
      <c r="M632" s="19" t="inlineStr">
        <is>
          <t>cobbleventure:generation_2</t>
        </is>
      </c>
      <c r="N632" s="18" t="inlineStr">
        <is>
          <t>region_01</t>
        </is>
      </c>
      <c r="O632" s="19" t="inlineStr"/>
      <c r="P632" s="18" t="inlineStr">
        <is>
          <t>#aether:is_aether; #cobblemon:is_taiga; #cobblemon:is_temperate; #cobblemon:is_tundra</t>
        </is>
      </c>
      <c r="Q632" s="19" t="inlineStr"/>
      <c r="R632" s="18">
        <f>IF(Q632="",P632,Q632)</f>
        <v/>
      </c>
      <c r="S632" s="18" t="inlineStr"/>
      <c r="T632" s="18" t="inlineStr">
        <is>
          <t>common</t>
        </is>
      </c>
      <c r="U632" s="20" t="n">
        <v>1</v>
      </c>
      <c r="V632" s="21" t="n">
        <v>1</v>
      </c>
      <c r="W632" s="20">
        <f>IF(OR(U632="",V632=""),U632,U632*V632)</f>
        <v/>
      </c>
      <c r="X632" s="18" t="inlineStr">
        <is>
          <t>15-42</t>
        </is>
      </c>
      <c r="Y632" s="19" t="inlineStr"/>
      <c r="Z632" s="18">
        <f>IF(Y632="",X632,Y632)</f>
        <v/>
      </c>
      <c r="AA632" s="18" t="inlineStr">
        <is>
          <t>grounded</t>
        </is>
      </c>
      <c r="AB632" s="18" t="inlineStr"/>
      <c r="AC632" s="18" t="inlineStr"/>
      <c r="AD632" s="18" t="inlineStr"/>
      <c r="AE632" s="18" t="inlineStr">
        <is>
          <t>sky 8-15</t>
        </is>
      </c>
      <c r="AF632" s="18" t="inlineStr"/>
      <c r="AG632" s="18" t="inlineStr"/>
      <c r="AH632" s="18" t="inlineStr"/>
      <c r="AI632" s="18" t="inlineStr"/>
      <c r="AJ632" s="18" t="inlineStr">
        <is>
          <t>Cobblemon 동일</t>
        </is>
      </c>
      <c r="AK632" s="18" t="inlineStr">
        <is>
          <t>사용</t>
        </is>
      </c>
      <c r="AL632" s="18" t="inlineStr">
        <is>
          <t>COBBLEVERSE 1.7.42 / DP v31</t>
        </is>
      </c>
      <c r="AM632" s="18" t="inlineStr">
        <is>
          <t>data/cobblemon/spawn_pool_world/0162_furret.json</t>
        </is>
      </c>
      <c r="AN632" s="18" t="inlineStr">
        <is>
          <t>furret-1</t>
        </is>
      </c>
      <c r="AO632" s="18" t="inlineStr">
        <is>
          <t>pokemon</t>
        </is>
      </c>
      <c r="AP632" s="18" t="inlineStr">
        <is>
          <t>natural</t>
        </is>
      </c>
      <c r="AQ632" s="18" t="inlineStr">
        <is>
          <t>{"biomes":["#aether:is_aether","#cobblemon:is_taiga","#cobblemon:is_temperate","#cobblemon:is_tundra"],"maxSkyLight":15,"minSkyLight":8}</t>
        </is>
      </c>
      <c r="AR632" s="18" t="inlineStr"/>
      <c r="AS632" s="18" t="inlineStr"/>
      <c r="AT632" s="19" t="inlineStr"/>
    </row>
    <row r="633" ht="32" customHeight="1">
      <c r="A633" s="18" t="inlineStr">
        <is>
          <t>0163_hoothoot.json::hoothoot-1::001</t>
        </is>
      </c>
      <c r="B633" s="19" t="inlineStr">
        <is>
          <t>사용</t>
        </is>
      </c>
      <c r="C633" s="18">
        <f>IF(OR(B633&lt;&gt;AK633,M633&lt;&gt;L633,O633&lt;&gt;"",Q633&lt;&gt;"",V633&lt;&gt;1,Y633&lt;&gt;"",AT633&lt;&gt;""),"수정","원본")</f>
        <v/>
      </c>
      <c r="D633" s="18" t="n">
        <v>163</v>
      </c>
      <c r="E633" s="18" t="inlineStr">
        <is>
          <t>부우부</t>
        </is>
      </c>
      <c r="F633" s="18" t="inlineStr">
        <is>
          <t>hoothoot</t>
        </is>
      </c>
      <c r="G633" s="18" t="inlineStr">
        <is>
          <t>hoothoot</t>
        </is>
      </c>
      <c r="H633" s="18" t="inlineStr"/>
      <c r="I633" s="18" t="n">
        <v>2</v>
      </c>
      <c r="J633" s="18" t="n"/>
      <c r="K633" s="18" t="n">
        <v>2</v>
      </c>
      <c r="L633" s="18" t="inlineStr">
        <is>
          <t>cobbleventure:generation_2</t>
        </is>
      </c>
      <c r="M633" s="19" t="inlineStr">
        <is>
          <t>cobbleventure:generation_2</t>
        </is>
      </c>
      <c r="N633" s="18" t="inlineStr">
        <is>
          <t>region_01</t>
        </is>
      </c>
      <c r="O633" s="19" t="inlineStr"/>
      <c r="P633" s="18" t="inlineStr">
        <is>
          <t>#cobblemon:is_forest; #cobblemon:is_sky; #cobblemon:is_spooky</t>
        </is>
      </c>
      <c r="Q633" s="19" t="inlineStr"/>
      <c r="R633" s="18">
        <f>IF(Q633="",P633,Q633)</f>
        <v/>
      </c>
      <c r="S633" s="18" t="inlineStr"/>
      <c r="T633" s="18" t="inlineStr">
        <is>
          <t>common</t>
        </is>
      </c>
      <c r="U633" s="20" t="n">
        <v>9</v>
      </c>
      <c r="V633" s="21" t="n">
        <v>1</v>
      </c>
      <c r="W633" s="20">
        <f>IF(OR(U633="",V633=""),U633,U633*V633)</f>
        <v/>
      </c>
      <c r="X633" s="18" t="inlineStr">
        <is>
          <t>1-26</t>
        </is>
      </c>
      <c r="Y633" s="19" t="inlineStr"/>
      <c r="Z633" s="18">
        <f>IF(Y633="",X633,Y633)</f>
        <v/>
      </c>
      <c r="AA633" s="18" t="inlineStr">
        <is>
          <t>grounded</t>
        </is>
      </c>
      <c r="AB633" s="18" t="inlineStr">
        <is>
          <t>night</t>
        </is>
      </c>
      <c r="AC633" s="18" t="inlineStr"/>
      <c r="AD633" s="18" t="inlineStr"/>
      <c r="AE633" s="18" t="inlineStr">
        <is>
          <t>sky 8-15</t>
        </is>
      </c>
      <c r="AF633" s="18" t="inlineStr"/>
      <c r="AG633" s="18" t="inlineStr"/>
      <c r="AH633" s="18" t="inlineStr"/>
      <c r="AI633" s="18" t="inlineStr"/>
      <c r="AJ633" s="18" t="inlineStr">
        <is>
          <t>Cobblemon 동일</t>
        </is>
      </c>
      <c r="AK633" s="18" t="inlineStr">
        <is>
          <t>사용</t>
        </is>
      </c>
      <c r="AL633" s="18" t="inlineStr">
        <is>
          <t>COBBLEVERSE 1.7.42 / DP v31</t>
        </is>
      </c>
      <c r="AM633" s="18" t="inlineStr">
        <is>
          <t>data/cobblemon/spawn_pool_world/0163_hoothoot.json</t>
        </is>
      </c>
      <c r="AN633" s="18" t="inlineStr">
        <is>
          <t>hoothoot-1</t>
        </is>
      </c>
      <c r="AO633" s="18" t="inlineStr">
        <is>
          <t>pokemon</t>
        </is>
      </c>
      <c r="AP633" s="18" t="inlineStr">
        <is>
          <t>natural; treetop</t>
        </is>
      </c>
      <c r="AQ633" s="18" t="inlineStr">
        <is>
          <t>{"biomes":["#cobblemon:is_forest","#cobblemon:is_sky","#cobblemon:is_spooky"],"maxSkyLight":15,"minSkyLight":8,"timeRange":"night"}</t>
        </is>
      </c>
      <c r="AR633" s="18" t="inlineStr"/>
      <c r="AS633" s="18" t="inlineStr"/>
      <c r="AT633" s="19" t="inlineStr"/>
    </row>
    <row r="634" ht="32" customHeight="1">
      <c r="A634" s="18" t="inlineStr">
        <is>
          <t>0164_noctowl.json::noctowl-1::001</t>
        </is>
      </c>
      <c r="B634" s="19" t="inlineStr">
        <is>
          <t>사용</t>
        </is>
      </c>
      <c r="C634" s="18">
        <f>IF(OR(B634&lt;&gt;AK634,M634&lt;&gt;L634,O634&lt;&gt;"",Q634&lt;&gt;"",V634&lt;&gt;1,Y634&lt;&gt;"",AT634&lt;&gt;""),"수정","원본")</f>
        <v/>
      </c>
      <c r="D634" s="18" t="n">
        <v>164</v>
      </c>
      <c r="E634" s="18" t="inlineStr">
        <is>
          <t>야부엉</t>
        </is>
      </c>
      <c r="F634" s="18" t="inlineStr">
        <is>
          <t>noctowl</t>
        </is>
      </c>
      <c r="G634" s="18" t="inlineStr">
        <is>
          <t>noctowl</t>
        </is>
      </c>
      <c r="H634" s="18" t="inlineStr"/>
      <c r="I634" s="18" t="n">
        <v>2</v>
      </c>
      <c r="J634" s="18" t="n"/>
      <c r="K634" s="18" t="n">
        <v>2</v>
      </c>
      <c r="L634" s="18" t="inlineStr">
        <is>
          <t>cobbleventure:generation_2</t>
        </is>
      </c>
      <c r="M634" s="19" t="inlineStr">
        <is>
          <t>cobbleventure:generation_2</t>
        </is>
      </c>
      <c r="N634" s="18" t="inlineStr">
        <is>
          <t>region_01</t>
        </is>
      </c>
      <c r="O634" s="19" t="inlineStr"/>
      <c r="P634" s="18" t="inlineStr">
        <is>
          <t>#cobblemon:is_forest; #cobblemon:is_sky; #cobblemon:is_spooky</t>
        </is>
      </c>
      <c r="Q634" s="19" t="inlineStr"/>
      <c r="R634" s="18">
        <f>IF(Q634="",P634,Q634)</f>
        <v/>
      </c>
      <c r="S634" s="18" t="inlineStr"/>
      <c r="T634" s="18" t="inlineStr">
        <is>
          <t>common</t>
        </is>
      </c>
      <c r="U634" s="20" t="n">
        <v>1</v>
      </c>
      <c r="V634" s="21" t="n">
        <v>1</v>
      </c>
      <c r="W634" s="20">
        <f>IF(OR(U634="",V634=""),U634,U634*V634)</f>
        <v/>
      </c>
      <c r="X634" s="18" t="inlineStr">
        <is>
          <t>20-45</t>
        </is>
      </c>
      <c r="Y634" s="19" t="inlineStr"/>
      <c r="Z634" s="18">
        <f>IF(Y634="",X634,Y634)</f>
        <v/>
      </c>
      <c r="AA634" s="18" t="inlineStr">
        <is>
          <t>grounded</t>
        </is>
      </c>
      <c r="AB634" s="18" t="inlineStr">
        <is>
          <t>night</t>
        </is>
      </c>
      <c r="AC634" s="18" t="inlineStr"/>
      <c r="AD634" s="18" t="inlineStr"/>
      <c r="AE634" s="18" t="inlineStr">
        <is>
          <t>sky 8-15</t>
        </is>
      </c>
      <c r="AF634" s="18" t="inlineStr"/>
      <c r="AG634" s="18" t="inlineStr"/>
      <c r="AH634" s="18" t="inlineStr"/>
      <c r="AI634" s="18" t="inlineStr"/>
      <c r="AJ634" s="18" t="inlineStr">
        <is>
          <t>Cobblemon 동일</t>
        </is>
      </c>
      <c r="AK634" s="18" t="inlineStr">
        <is>
          <t>사용</t>
        </is>
      </c>
      <c r="AL634" s="18" t="inlineStr">
        <is>
          <t>COBBLEVERSE 1.7.42 / DP v31</t>
        </is>
      </c>
      <c r="AM634" s="18" t="inlineStr">
        <is>
          <t>data/cobblemon/spawn_pool_world/0164_noctowl.json</t>
        </is>
      </c>
      <c r="AN634" s="18" t="inlineStr">
        <is>
          <t>noctowl-1</t>
        </is>
      </c>
      <c r="AO634" s="18" t="inlineStr">
        <is>
          <t>pokemon</t>
        </is>
      </c>
      <c r="AP634" s="18" t="inlineStr">
        <is>
          <t>natural; treetop</t>
        </is>
      </c>
      <c r="AQ634" s="18" t="inlineStr">
        <is>
          <t>{"biomes":["#cobblemon:is_forest","#cobblemon:is_sky","#cobblemon:is_spooky"],"maxSkyLight":15,"minSkyLight":8,"timeRange":"night"}</t>
        </is>
      </c>
      <c r="AR634" s="18" t="inlineStr"/>
      <c r="AS634" s="18" t="inlineStr"/>
      <c r="AT634" s="19" t="inlineStr"/>
    </row>
    <row r="635" ht="32" customHeight="1">
      <c r="A635" s="18" t="inlineStr">
        <is>
          <t>0165_ledyba.json::ledyba-1::001</t>
        </is>
      </c>
      <c r="B635" s="19" t="inlineStr">
        <is>
          <t>사용</t>
        </is>
      </c>
      <c r="C635" s="18">
        <f>IF(OR(B635&lt;&gt;AK635,M635&lt;&gt;L635,O635&lt;&gt;"",Q635&lt;&gt;"",V635&lt;&gt;1,Y635&lt;&gt;"",AT635&lt;&gt;""),"수정","원본")</f>
        <v/>
      </c>
      <c r="D635" s="18" t="n">
        <v>165</v>
      </c>
      <c r="E635" s="18" t="inlineStr">
        <is>
          <t>레디바</t>
        </is>
      </c>
      <c r="F635" s="18" t="inlineStr">
        <is>
          <t>ledyba</t>
        </is>
      </c>
      <c r="G635" s="18" t="inlineStr">
        <is>
          <t>ledyba</t>
        </is>
      </c>
      <c r="H635" s="18" t="inlineStr"/>
      <c r="I635" s="18" t="n">
        <v>2</v>
      </c>
      <c r="J635" s="18" t="n"/>
      <c r="K635" s="18" t="n">
        <v>2</v>
      </c>
      <c r="L635" s="18" t="inlineStr">
        <is>
          <t>cobbleventure:generation_2</t>
        </is>
      </c>
      <c r="M635" s="19" t="inlineStr">
        <is>
          <t>cobbleventure:generation_2</t>
        </is>
      </c>
      <c r="N635" s="18" t="inlineStr">
        <is>
          <t>region_01</t>
        </is>
      </c>
      <c r="O635" s="19" t="inlineStr"/>
      <c r="P635" s="18" t="inlineStr">
        <is>
          <t>#cobblemon:is_temperate</t>
        </is>
      </c>
      <c r="Q635" s="19" t="inlineStr"/>
      <c r="R635" s="18">
        <f>IF(Q635="",P635,Q635)</f>
        <v/>
      </c>
      <c r="S635" s="18" t="inlineStr">
        <is>
          <t>#cobblemon:is_freezing</t>
        </is>
      </c>
      <c r="T635" s="18" t="inlineStr">
        <is>
          <t>common</t>
        </is>
      </c>
      <c r="U635" s="20" t="n">
        <v>10</v>
      </c>
      <c r="V635" s="21" t="n">
        <v>1</v>
      </c>
      <c r="W635" s="20">
        <f>IF(OR(U635="",V635=""),U635,U635*V635)</f>
        <v/>
      </c>
      <c r="X635" s="18" t="inlineStr">
        <is>
          <t>2-27</t>
        </is>
      </c>
      <c r="Y635" s="19" t="inlineStr"/>
      <c r="Z635" s="18">
        <f>IF(Y635="",X635,Y635)</f>
        <v/>
      </c>
      <c r="AA635" s="18" t="inlineStr">
        <is>
          <t>grounded</t>
        </is>
      </c>
      <c r="AB635" s="18" t="inlineStr">
        <is>
          <t>day</t>
        </is>
      </c>
      <c r="AC635" s="18" t="inlineStr">
        <is>
          <t>비=False</t>
        </is>
      </c>
      <c r="AD635" s="18" t="inlineStr"/>
      <c r="AE635" s="18" t="inlineStr">
        <is>
          <t>sky 8-15</t>
        </is>
      </c>
      <c r="AF635" s="18" t="inlineStr"/>
      <c r="AG635" s="18" t="inlineStr"/>
      <c r="AH635" s="18" t="inlineStr"/>
      <c r="AI635" s="18" t="inlineStr"/>
      <c r="AJ635" s="18" t="inlineStr">
        <is>
          <t>Cobblemon 동일</t>
        </is>
      </c>
      <c r="AK635" s="18" t="inlineStr">
        <is>
          <t>사용</t>
        </is>
      </c>
      <c r="AL635" s="18" t="inlineStr">
        <is>
          <t>COBBLEVERSE 1.7.42 / DP v31</t>
        </is>
      </c>
      <c r="AM635" s="18" t="inlineStr">
        <is>
          <t>data/cobblemon/spawn_pool_world/0165_ledyba.json</t>
        </is>
      </c>
      <c r="AN635" s="18" t="inlineStr">
        <is>
          <t>ledyba-1</t>
        </is>
      </c>
      <c r="AO635" s="18" t="inlineStr">
        <is>
          <t>pokemon</t>
        </is>
      </c>
      <c r="AP635" s="18" t="inlineStr">
        <is>
          <t>natural; treetop</t>
        </is>
      </c>
      <c r="AQ635" s="18" t="inlineStr">
        <is>
          <t>{"biomes":["#cobblemon:is_temperate"],"isRaining":false,"maxSkyLight":15,"minSkyLight":8,"timeRange":"day"}</t>
        </is>
      </c>
      <c r="AR635" s="18" t="inlineStr">
        <is>
          <t>{"biomes":["#cobblemon:is_freezing"]}</t>
        </is>
      </c>
      <c r="AS635" s="18" t="inlineStr"/>
      <c r="AT635" s="19" t="inlineStr"/>
    </row>
    <row r="636" ht="32" customHeight="1">
      <c r="A636" s="18" t="inlineStr">
        <is>
          <t>0165_ledyba.json::ledyba-2::002</t>
        </is>
      </c>
      <c r="B636" s="19" t="inlineStr">
        <is>
          <t>사용</t>
        </is>
      </c>
      <c r="C636" s="18">
        <f>IF(OR(B636&lt;&gt;AK636,M636&lt;&gt;L636,O636&lt;&gt;"",Q636&lt;&gt;"",V636&lt;&gt;1,Y636&lt;&gt;"",AT636&lt;&gt;""),"수정","원본")</f>
        <v/>
      </c>
      <c r="D636" s="18" t="n">
        <v>165</v>
      </c>
      <c r="E636" s="18" t="inlineStr">
        <is>
          <t>레디바</t>
        </is>
      </c>
      <c r="F636" s="18" t="inlineStr">
        <is>
          <t>ledyba</t>
        </is>
      </c>
      <c r="G636" s="18" t="inlineStr">
        <is>
          <t>ledyba</t>
        </is>
      </c>
      <c r="H636" s="18" t="inlineStr"/>
      <c r="I636" s="18" t="n">
        <v>2</v>
      </c>
      <c r="J636" s="18" t="n"/>
      <c r="K636" s="18" t="n">
        <v>2</v>
      </c>
      <c r="L636" s="18" t="inlineStr">
        <is>
          <t>cobbleventure:generation_2</t>
        </is>
      </c>
      <c r="M636" s="19" t="inlineStr">
        <is>
          <t>cobbleventure:generation_2</t>
        </is>
      </c>
      <c r="N636" s="18" t="inlineStr"/>
      <c r="O636" s="19" t="inlineStr"/>
      <c r="P636" s="18" t="inlineStr">
        <is>
          <t>the_bumblezone:floral_meadow</t>
        </is>
      </c>
      <c r="Q636" s="19" t="inlineStr"/>
      <c r="R636" s="18">
        <f>IF(Q636="",P636,Q636)</f>
        <v/>
      </c>
      <c r="S636" s="18" t="inlineStr"/>
      <c r="T636" s="18" t="inlineStr">
        <is>
          <t>common</t>
        </is>
      </c>
      <c r="U636" s="20" t="n">
        <v>7</v>
      </c>
      <c r="V636" s="21" t="n">
        <v>1</v>
      </c>
      <c r="W636" s="20">
        <f>IF(OR(U636="",V636=""),U636,U636*V636)</f>
        <v/>
      </c>
      <c r="X636" s="18" t="inlineStr">
        <is>
          <t>2-27</t>
        </is>
      </c>
      <c r="Y636" s="19" t="inlineStr"/>
      <c r="Z636" s="18">
        <f>IF(Y636="",X636,Y636)</f>
        <v/>
      </c>
      <c r="AA636" s="18" t="inlineStr">
        <is>
          <t>grounded</t>
        </is>
      </c>
      <c r="AB636" s="18" t="inlineStr"/>
      <c r="AC636" s="18" t="inlineStr"/>
      <c r="AD636" s="18" t="inlineStr"/>
      <c r="AE636" s="18" t="inlineStr"/>
      <c r="AF636" s="18" t="inlineStr"/>
      <c r="AG636" s="18" t="inlineStr"/>
      <c r="AH636" s="18" t="inlineStr"/>
      <c r="AI636" s="18" t="inlineStr"/>
      <c r="AJ636" s="18" t="inlineStr">
        <is>
          <t>Cobblemon 동일</t>
        </is>
      </c>
      <c r="AK636" s="18" t="inlineStr">
        <is>
          <t>사용</t>
        </is>
      </c>
      <c r="AL636" s="18" t="inlineStr">
        <is>
          <t>COBBLEVERSE 1.7.42 / DP v31</t>
        </is>
      </c>
      <c r="AM636" s="18" t="inlineStr">
        <is>
          <t>data/cobblemon/spawn_pool_world/0165_ledyba.json</t>
        </is>
      </c>
      <c r="AN636" s="18" t="inlineStr">
        <is>
          <t>ledyba-2</t>
        </is>
      </c>
      <c r="AO636" s="18" t="inlineStr">
        <is>
          <t>pokemon</t>
        </is>
      </c>
      <c r="AP636" s="18" t="inlineStr"/>
      <c r="AQ636" s="18" t="inlineStr">
        <is>
          <t>{"biomes":["the_bumblezone:floral_meadow"]}</t>
        </is>
      </c>
      <c r="AR636" s="18" t="inlineStr">
        <is>
          <t>{"structures":["#the_bumblezone:sempiternal_sanctums"]}</t>
        </is>
      </c>
      <c r="AS636" s="18" t="inlineStr"/>
      <c r="AT636" s="19" t="inlineStr"/>
    </row>
    <row r="637" ht="32" customHeight="1">
      <c r="A637" s="18" t="inlineStr">
        <is>
          <t>0165_ledyba.json::ledyba-3::003</t>
        </is>
      </c>
      <c r="B637" s="19" t="inlineStr">
        <is>
          <t>사용</t>
        </is>
      </c>
      <c r="C637" s="18">
        <f>IF(OR(B637&lt;&gt;AK637,M637&lt;&gt;L637,O637&lt;&gt;"",Q637&lt;&gt;"",V637&lt;&gt;1,Y637&lt;&gt;"",AT637&lt;&gt;""),"수정","원본")</f>
        <v/>
      </c>
      <c r="D637" s="18" t="n">
        <v>165</v>
      </c>
      <c r="E637" s="18" t="inlineStr">
        <is>
          <t>레디바</t>
        </is>
      </c>
      <c r="F637" s="18" t="inlineStr">
        <is>
          <t>ledyba</t>
        </is>
      </c>
      <c r="G637" s="18" t="inlineStr">
        <is>
          <t>ledyba</t>
        </is>
      </c>
      <c r="H637" s="18" t="inlineStr"/>
      <c r="I637" s="18" t="n">
        <v>2</v>
      </c>
      <c r="J637" s="18" t="n"/>
      <c r="K637" s="18" t="n">
        <v>2</v>
      </c>
      <c r="L637" s="18" t="inlineStr">
        <is>
          <t>cobbleventure:generation_2</t>
        </is>
      </c>
      <c r="M637" s="19" t="inlineStr">
        <is>
          <t>cobbleventure:generation_2</t>
        </is>
      </c>
      <c r="N637" s="18" t="inlineStr"/>
      <c r="O637" s="19" t="inlineStr"/>
      <c r="P637" s="18" t="inlineStr">
        <is>
          <t>#aether:is_aether</t>
        </is>
      </c>
      <c r="Q637" s="19" t="inlineStr"/>
      <c r="R637" s="18">
        <f>IF(Q637="",P637,Q637)</f>
        <v/>
      </c>
      <c r="S637" s="18" t="inlineStr"/>
      <c r="T637" s="18" t="inlineStr">
        <is>
          <t>common</t>
        </is>
      </c>
      <c r="U637" s="20" t="n">
        <v>7</v>
      </c>
      <c r="V637" s="21" t="n">
        <v>1</v>
      </c>
      <c r="W637" s="20">
        <f>IF(OR(U637="",V637=""),U637,U637*V637)</f>
        <v/>
      </c>
      <c r="X637" s="18" t="inlineStr">
        <is>
          <t>2-27</t>
        </is>
      </c>
      <c r="Y637" s="19" t="inlineStr"/>
      <c r="Z637" s="18">
        <f>IF(Y637="",X637,Y637)</f>
        <v/>
      </c>
      <c r="AA637" s="18" t="inlineStr">
        <is>
          <t>grounded</t>
        </is>
      </c>
      <c r="AB637" s="18" t="inlineStr"/>
      <c r="AC637" s="18" t="inlineStr"/>
      <c r="AD637" s="18" t="inlineStr"/>
      <c r="AE637" s="18" t="inlineStr">
        <is>
          <t>sky 8-15</t>
        </is>
      </c>
      <c r="AF637" s="18" t="inlineStr"/>
      <c r="AG637" s="18" t="inlineStr"/>
      <c r="AH637" s="18" t="inlineStr"/>
      <c r="AI637" s="18" t="inlineStr"/>
      <c r="AJ637" s="18" t="inlineStr">
        <is>
          <t>Cobblemon 동일</t>
        </is>
      </c>
      <c r="AK637" s="18" t="inlineStr">
        <is>
          <t>사용</t>
        </is>
      </c>
      <c r="AL637" s="18" t="inlineStr">
        <is>
          <t>COBBLEVERSE 1.7.42 / DP v31</t>
        </is>
      </c>
      <c r="AM637" s="18" t="inlineStr">
        <is>
          <t>data/cobblemon/spawn_pool_world/0165_ledyba.json</t>
        </is>
      </c>
      <c r="AN637" s="18" t="inlineStr">
        <is>
          <t>ledyba-3</t>
        </is>
      </c>
      <c r="AO637" s="18" t="inlineStr">
        <is>
          <t>pokemon</t>
        </is>
      </c>
      <c r="AP637" s="18" t="inlineStr">
        <is>
          <t>natural; treetop</t>
        </is>
      </c>
      <c r="AQ637" s="18" t="inlineStr">
        <is>
          <t>{"biomes":["#aether:is_aether"],"maxSkyLight":15,"minSkyLight":8}</t>
        </is>
      </c>
      <c r="AR637" s="18" t="inlineStr"/>
      <c r="AS637" s="18" t="inlineStr"/>
      <c r="AT637" s="19" t="inlineStr"/>
    </row>
    <row r="638" ht="32" customHeight="1">
      <c r="A638" s="18" t="inlineStr">
        <is>
          <t>0166_ledian.json::ledian-1::001</t>
        </is>
      </c>
      <c r="B638" s="19" t="inlineStr">
        <is>
          <t>사용</t>
        </is>
      </c>
      <c r="C638" s="18">
        <f>IF(OR(B638&lt;&gt;AK638,M638&lt;&gt;L638,O638&lt;&gt;"",Q638&lt;&gt;"",V638&lt;&gt;1,Y638&lt;&gt;"",AT638&lt;&gt;""),"수정","원본")</f>
        <v/>
      </c>
      <c r="D638" s="18" t="n">
        <v>166</v>
      </c>
      <c r="E638" s="18" t="inlineStr">
        <is>
          <t>레디안</t>
        </is>
      </c>
      <c r="F638" s="18" t="inlineStr">
        <is>
          <t>ledian</t>
        </is>
      </c>
      <c r="G638" s="18" t="inlineStr">
        <is>
          <t>ledian</t>
        </is>
      </c>
      <c r="H638" s="18" t="inlineStr"/>
      <c r="I638" s="18" t="n">
        <v>2</v>
      </c>
      <c r="J638" s="18" t="n"/>
      <c r="K638" s="18" t="n">
        <v>2</v>
      </c>
      <c r="L638" s="18" t="inlineStr">
        <is>
          <t>cobbleventure:generation_2</t>
        </is>
      </c>
      <c r="M638" s="19" t="inlineStr">
        <is>
          <t>cobbleventure:generation_2</t>
        </is>
      </c>
      <c r="N638" s="18" t="inlineStr">
        <is>
          <t>region_01</t>
        </is>
      </c>
      <c r="O638" s="19" t="inlineStr"/>
      <c r="P638" s="18" t="inlineStr">
        <is>
          <t>#cobblemon:is_temperate</t>
        </is>
      </c>
      <c r="Q638" s="19" t="inlineStr"/>
      <c r="R638" s="18">
        <f>IF(Q638="",P638,Q638)</f>
        <v/>
      </c>
      <c r="S638" s="18" t="inlineStr">
        <is>
          <t>#cobblemon:is_freezing</t>
        </is>
      </c>
      <c r="T638" s="18" t="inlineStr">
        <is>
          <t>common</t>
        </is>
      </c>
      <c r="U638" s="20" t="n">
        <v>2</v>
      </c>
      <c r="V638" s="21" t="n">
        <v>1</v>
      </c>
      <c r="W638" s="20">
        <f>IF(OR(U638="",V638=""),U638,U638*V638)</f>
        <v/>
      </c>
      <c r="X638" s="18" t="inlineStr">
        <is>
          <t>18-39</t>
        </is>
      </c>
      <c r="Y638" s="19" t="inlineStr"/>
      <c r="Z638" s="18">
        <f>IF(Y638="",X638,Y638)</f>
        <v/>
      </c>
      <c r="AA638" s="18" t="inlineStr">
        <is>
          <t>grounded</t>
        </is>
      </c>
      <c r="AB638" s="18" t="inlineStr">
        <is>
          <t>night</t>
        </is>
      </c>
      <c r="AC638" s="18" t="inlineStr">
        <is>
          <t>비=False</t>
        </is>
      </c>
      <c r="AD638" s="18" t="inlineStr"/>
      <c r="AE638" s="18" t="inlineStr">
        <is>
          <t>sky 8-15</t>
        </is>
      </c>
      <c r="AF638" s="18" t="inlineStr"/>
      <c r="AG638" s="18" t="inlineStr"/>
      <c r="AH638" s="18" t="inlineStr"/>
      <c r="AI638" s="18" t="inlineStr"/>
      <c r="AJ638" s="18" t="inlineStr">
        <is>
          <t>Cobblemon 동일</t>
        </is>
      </c>
      <c r="AK638" s="18" t="inlineStr">
        <is>
          <t>사용</t>
        </is>
      </c>
      <c r="AL638" s="18" t="inlineStr">
        <is>
          <t>COBBLEVERSE 1.7.42 / DP v31</t>
        </is>
      </c>
      <c r="AM638" s="18" t="inlineStr">
        <is>
          <t>data/cobblemon/spawn_pool_world/0166_ledian.json</t>
        </is>
      </c>
      <c r="AN638" s="18" t="inlineStr">
        <is>
          <t>ledian-1</t>
        </is>
      </c>
      <c r="AO638" s="18" t="inlineStr">
        <is>
          <t>pokemon</t>
        </is>
      </c>
      <c r="AP638" s="18" t="inlineStr">
        <is>
          <t>natural; treetop</t>
        </is>
      </c>
      <c r="AQ638" s="18" t="inlineStr">
        <is>
          <t>{"biomes":["#cobblemon:is_temperate"],"isRaining":false,"maxSkyLight":15,"minSkyLight":8,"timeRange":"night"}</t>
        </is>
      </c>
      <c r="AR638" s="18" t="inlineStr">
        <is>
          <t>{"biomes":["#cobblemon:is_freezing"]}</t>
        </is>
      </c>
      <c r="AS638" s="18" t="inlineStr"/>
      <c r="AT638" s="19" t="inlineStr"/>
    </row>
    <row r="639" ht="32" customHeight="1">
      <c r="A639" s="18" t="inlineStr">
        <is>
          <t>0166_ledian.json::ledian-2::002</t>
        </is>
      </c>
      <c r="B639" s="19" t="inlineStr">
        <is>
          <t>사용</t>
        </is>
      </c>
      <c r="C639" s="18">
        <f>IF(OR(B639&lt;&gt;AK639,M639&lt;&gt;L639,O639&lt;&gt;"",Q639&lt;&gt;"",V639&lt;&gt;1,Y639&lt;&gt;"",AT639&lt;&gt;""),"수정","원본")</f>
        <v/>
      </c>
      <c r="D639" s="18" t="n">
        <v>166</v>
      </c>
      <c r="E639" s="18" t="inlineStr">
        <is>
          <t>레디안</t>
        </is>
      </c>
      <c r="F639" s="18" t="inlineStr">
        <is>
          <t>ledian</t>
        </is>
      </c>
      <c r="G639" s="18" t="inlineStr">
        <is>
          <t>ledian</t>
        </is>
      </c>
      <c r="H639" s="18" t="inlineStr"/>
      <c r="I639" s="18" t="n">
        <v>2</v>
      </c>
      <c r="J639" s="18" t="n"/>
      <c r="K639" s="18" t="n">
        <v>2</v>
      </c>
      <c r="L639" s="18" t="inlineStr">
        <is>
          <t>cobbleventure:generation_2</t>
        </is>
      </c>
      <c r="M639" s="19" t="inlineStr">
        <is>
          <t>cobbleventure:generation_2</t>
        </is>
      </c>
      <c r="N639" s="18" t="inlineStr"/>
      <c r="O639" s="19" t="inlineStr"/>
      <c r="P639" s="18" t="inlineStr">
        <is>
          <t>the_bumblezone:floral_meadow</t>
        </is>
      </c>
      <c r="Q639" s="19" t="inlineStr"/>
      <c r="R639" s="18">
        <f>IF(Q639="",P639,Q639)</f>
        <v/>
      </c>
      <c r="S639" s="18" t="inlineStr"/>
      <c r="T639" s="18" t="inlineStr">
        <is>
          <t>common</t>
        </is>
      </c>
      <c r="U639" s="20" t="n">
        <v>3</v>
      </c>
      <c r="V639" s="21" t="n">
        <v>1</v>
      </c>
      <c r="W639" s="20">
        <f>IF(OR(U639="",V639=""),U639,U639*V639)</f>
        <v/>
      </c>
      <c r="X639" s="18" t="inlineStr">
        <is>
          <t>18-39</t>
        </is>
      </c>
      <c r="Y639" s="19" t="inlineStr"/>
      <c r="Z639" s="18">
        <f>IF(Y639="",X639,Y639)</f>
        <v/>
      </c>
      <c r="AA639" s="18" t="inlineStr">
        <is>
          <t>grounded</t>
        </is>
      </c>
      <c r="AB639" s="18" t="inlineStr"/>
      <c r="AC639" s="18" t="inlineStr"/>
      <c r="AD639" s="18" t="inlineStr"/>
      <c r="AE639" s="18" t="inlineStr"/>
      <c r="AF639" s="18" t="inlineStr"/>
      <c r="AG639" s="18" t="inlineStr"/>
      <c r="AH639" s="18" t="inlineStr"/>
      <c r="AI639" s="18" t="inlineStr"/>
      <c r="AJ639" s="18" t="inlineStr">
        <is>
          <t>Cobblemon 동일</t>
        </is>
      </c>
      <c r="AK639" s="18" t="inlineStr">
        <is>
          <t>사용</t>
        </is>
      </c>
      <c r="AL639" s="18" t="inlineStr">
        <is>
          <t>COBBLEVERSE 1.7.42 / DP v31</t>
        </is>
      </c>
      <c r="AM639" s="18" t="inlineStr">
        <is>
          <t>data/cobblemon/spawn_pool_world/0166_ledian.json</t>
        </is>
      </c>
      <c r="AN639" s="18" t="inlineStr">
        <is>
          <t>ledian-2</t>
        </is>
      </c>
      <c r="AO639" s="18" t="inlineStr">
        <is>
          <t>pokemon</t>
        </is>
      </c>
      <c r="AP639" s="18" t="inlineStr"/>
      <c r="AQ639" s="18" t="inlineStr">
        <is>
          <t>{"biomes":["the_bumblezone:floral_meadow"]}</t>
        </is>
      </c>
      <c r="AR639" s="18" t="inlineStr">
        <is>
          <t>{"structures":["#the_bumblezone:sempiternal_sanctums"]}</t>
        </is>
      </c>
      <c r="AS639" s="18" t="inlineStr"/>
      <c r="AT639" s="19" t="inlineStr"/>
    </row>
    <row r="640" ht="32" customHeight="1">
      <c r="A640" s="18" t="inlineStr">
        <is>
          <t>0166_ledian.json::ledian-3::003</t>
        </is>
      </c>
      <c r="B640" s="19" t="inlineStr">
        <is>
          <t>사용</t>
        </is>
      </c>
      <c r="C640" s="18">
        <f>IF(OR(B640&lt;&gt;AK640,M640&lt;&gt;L640,O640&lt;&gt;"",Q640&lt;&gt;"",V640&lt;&gt;1,Y640&lt;&gt;"",AT640&lt;&gt;""),"수정","원본")</f>
        <v/>
      </c>
      <c r="D640" s="18" t="n">
        <v>166</v>
      </c>
      <c r="E640" s="18" t="inlineStr">
        <is>
          <t>레디안</t>
        </is>
      </c>
      <c r="F640" s="18" t="inlineStr">
        <is>
          <t>ledian</t>
        </is>
      </c>
      <c r="G640" s="18" t="inlineStr">
        <is>
          <t>ledian</t>
        </is>
      </c>
      <c r="H640" s="18" t="inlineStr"/>
      <c r="I640" s="18" t="n">
        <v>2</v>
      </c>
      <c r="J640" s="18" t="n"/>
      <c r="K640" s="18" t="n">
        <v>2</v>
      </c>
      <c r="L640" s="18" t="inlineStr">
        <is>
          <t>cobbleventure:generation_2</t>
        </is>
      </c>
      <c r="M640" s="19" t="inlineStr">
        <is>
          <t>cobbleventure:generation_2</t>
        </is>
      </c>
      <c r="N640" s="18" t="inlineStr"/>
      <c r="O640" s="19" t="inlineStr"/>
      <c r="P640" s="18" t="inlineStr">
        <is>
          <t>#aether:is_aether</t>
        </is>
      </c>
      <c r="Q640" s="19" t="inlineStr"/>
      <c r="R640" s="18">
        <f>IF(Q640="",P640,Q640)</f>
        <v/>
      </c>
      <c r="S640" s="18" t="inlineStr"/>
      <c r="T640" s="18" t="inlineStr">
        <is>
          <t>common</t>
        </is>
      </c>
      <c r="U640" s="20" t="n">
        <v>3</v>
      </c>
      <c r="V640" s="21" t="n">
        <v>1</v>
      </c>
      <c r="W640" s="20">
        <f>IF(OR(U640="",V640=""),U640,U640*V640)</f>
        <v/>
      </c>
      <c r="X640" s="18" t="inlineStr">
        <is>
          <t>18-39</t>
        </is>
      </c>
      <c r="Y640" s="19" t="inlineStr"/>
      <c r="Z640" s="18">
        <f>IF(Y640="",X640,Y640)</f>
        <v/>
      </c>
      <c r="AA640" s="18" t="inlineStr">
        <is>
          <t>grounded</t>
        </is>
      </c>
      <c r="AB640" s="18" t="inlineStr"/>
      <c r="AC640" s="18" t="inlineStr"/>
      <c r="AD640" s="18" t="inlineStr"/>
      <c r="AE640" s="18" t="inlineStr">
        <is>
          <t>sky 8-15</t>
        </is>
      </c>
      <c r="AF640" s="18" t="inlineStr"/>
      <c r="AG640" s="18" t="inlineStr"/>
      <c r="AH640" s="18" t="inlineStr"/>
      <c r="AI640" s="18" t="inlineStr"/>
      <c r="AJ640" s="18" t="inlineStr">
        <is>
          <t>Cobblemon 동일</t>
        </is>
      </c>
      <c r="AK640" s="18" t="inlineStr">
        <is>
          <t>사용</t>
        </is>
      </c>
      <c r="AL640" s="18" t="inlineStr">
        <is>
          <t>COBBLEVERSE 1.7.42 / DP v31</t>
        </is>
      </c>
      <c r="AM640" s="18" t="inlineStr">
        <is>
          <t>data/cobblemon/spawn_pool_world/0166_ledian.json</t>
        </is>
      </c>
      <c r="AN640" s="18" t="inlineStr">
        <is>
          <t>ledian-3</t>
        </is>
      </c>
      <c r="AO640" s="18" t="inlineStr">
        <is>
          <t>pokemon</t>
        </is>
      </c>
      <c r="AP640" s="18" t="inlineStr">
        <is>
          <t>natural; treetop</t>
        </is>
      </c>
      <c r="AQ640" s="18" t="inlineStr">
        <is>
          <t>{"biomes":["#aether:is_aether"],"maxSkyLight":15,"minSkyLight":8}</t>
        </is>
      </c>
      <c r="AR640" s="18" t="inlineStr"/>
      <c r="AS640" s="18" t="inlineStr"/>
      <c r="AT640" s="19" t="inlineStr"/>
    </row>
    <row r="641" ht="32" customHeight="1">
      <c r="A641" s="18" t="inlineStr">
        <is>
          <t>0167_spinarak.json::spinarak-1::001</t>
        </is>
      </c>
      <c r="B641" s="19" t="inlineStr">
        <is>
          <t>사용</t>
        </is>
      </c>
      <c r="C641" s="18">
        <f>IF(OR(B641&lt;&gt;AK641,M641&lt;&gt;L641,O641&lt;&gt;"",Q641&lt;&gt;"",V641&lt;&gt;1,Y641&lt;&gt;"",AT641&lt;&gt;""),"수정","원본")</f>
        <v/>
      </c>
      <c r="D641" s="18" t="n">
        <v>167</v>
      </c>
      <c r="E641" s="18" t="inlineStr">
        <is>
          <t>페이검</t>
        </is>
      </c>
      <c r="F641" s="18" t="inlineStr">
        <is>
          <t>spinarak</t>
        </is>
      </c>
      <c r="G641" s="18" t="inlineStr">
        <is>
          <t>spinarak</t>
        </is>
      </c>
      <c r="H641" s="18" t="inlineStr"/>
      <c r="I641" s="18" t="n">
        <v>2</v>
      </c>
      <c r="J641" s="18" t="n"/>
      <c r="K641" s="18" t="n">
        <v>2</v>
      </c>
      <c r="L641" s="18" t="inlineStr">
        <is>
          <t>cobbleventure:generation_2</t>
        </is>
      </c>
      <c r="M641" s="19" t="inlineStr">
        <is>
          <t>cobbleventure:generation_2</t>
        </is>
      </c>
      <c r="N641" s="18" t="inlineStr">
        <is>
          <t>region_01</t>
        </is>
      </c>
      <c r="O641" s="19" t="inlineStr"/>
      <c r="P641" s="18" t="inlineStr">
        <is>
          <t>#cobblemon:is_forest; #cobblemon:is_jungle; #cobblemon:is_spooky</t>
        </is>
      </c>
      <c r="Q641" s="19" t="inlineStr"/>
      <c r="R641" s="18">
        <f>IF(Q641="",P641,Q641)</f>
        <v/>
      </c>
      <c r="S641" s="18" t="inlineStr">
        <is>
          <t>#cobblemon:is_freezing</t>
        </is>
      </c>
      <c r="T641" s="18" t="inlineStr">
        <is>
          <t>common</t>
        </is>
      </c>
      <c r="U641" s="20" t="n">
        <v>5.4</v>
      </c>
      <c r="V641" s="21" t="n">
        <v>1</v>
      </c>
      <c r="W641" s="20">
        <f>IF(OR(U641="",V641=""),U641,U641*V641)</f>
        <v/>
      </c>
      <c r="X641" s="18" t="inlineStr">
        <is>
          <t>1-25</t>
        </is>
      </c>
      <c r="Y641" s="19" t="inlineStr"/>
      <c r="Z641" s="18">
        <f>IF(Y641="",X641,Y641)</f>
        <v/>
      </c>
      <c r="AA641" s="18" t="inlineStr">
        <is>
          <t>grounded</t>
        </is>
      </c>
      <c r="AB641" s="18" t="inlineStr">
        <is>
          <t>night</t>
        </is>
      </c>
      <c r="AC641" s="18" t="inlineStr">
        <is>
          <t>비=False</t>
        </is>
      </c>
      <c r="AD641" s="18" t="inlineStr"/>
      <c r="AE641" s="18" t="inlineStr">
        <is>
          <t>sky 8-15</t>
        </is>
      </c>
      <c r="AF641" s="18" t="inlineStr"/>
      <c r="AG641" s="18" t="inlineStr"/>
      <c r="AH641" s="18" t="inlineStr"/>
      <c r="AI641" s="18" t="inlineStr"/>
      <c r="AJ641" s="18" t="inlineStr">
        <is>
          <t>Cobblemon 동일</t>
        </is>
      </c>
      <c r="AK641" s="18" t="inlineStr">
        <is>
          <t>사용</t>
        </is>
      </c>
      <c r="AL641" s="18" t="inlineStr">
        <is>
          <t>COBBLEVERSE 1.7.42 / DP v31</t>
        </is>
      </c>
      <c r="AM641" s="18" t="inlineStr">
        <is>
          <t>data/cobblemon/spawn_pool_world/0167_spinarak.json</t>
        </is>
      </c>
      <c r="AN641" s="18" t="inlineStr">
        <is>
          <t>spinarak-1</t>
        </is>
      </c>
      <c r="AO641" s="18" t="inlineStr">
        <is>
          <t>pokemon</t>
        </is>
      </c>
      <c r="AP641" s="18" t="inlineStr">
        <is>
          <t>natural; treetop</t>
        </is>
      </c>
      <c r="AQ641" s="18" t="inlineStr">
        <is>
          <t>{"biomes":["#cobblemon:is_forest","#cobblemon:is_jungle","#cobblemon:is_spooky"],"isRaining":false,"maxSkyLight":15,"minSkyLight":8,"timeRange":"night"}</t>
        </is>
      </c>
      <c r="AR641" s="18" t="inlineStr">
        <is>
          <t>{"biomes":["#cobblemon:is_freezing"]}</t>
        </is>
      </c>
      <c r="AS641" s="18" t="inlineStr"/>
      <c r="AT641" s="19" t="inlineStr"/>
    </row>
    <row r="642" ht="32" customHeight="1">
      <c r="A642" s="18" t="inlineStr">
        <is>
          <t>0167_spinarak.json::spinarak-2::002</t>
        </is>
      </c>
      <c r="B642" s="19" t="inlineStr">
        <is>
          <t>사용</t>
        </is>
      </c>
      <c r="C642" s="18">
        <f>IF(OR(B642&lt;&gt;AK642,M642&lt;&gt;L642,O642&lt;&gt;"",Q642&lt;&gt;"",V642&lt;&gt;1,Y642&lt;&gt;"",AT642&lt;&gt;""),"수정","원본")</f>
        <v/>
      </c>
      <c r="D642" s="18" t="n">
        <v>167</v>
      </c>
      <c r="E642" s="18" t="inlineStr">
        <is>
          <t>페이검</t>
        </is>
      </c>
      <c r="F642" s="18" t="inlineStr">
        <is>
          <t>spinarak</t>
        </is>
      </c>
      <c r="G642" s="18" t="inlineStr">
        <is>
          <t>spinarak</t>
        </is>
      </c>
      <c r="H642" s="18" t="inlineStr"/>
      <c r="I642" s="18" t="n">
        <v>2</v>
      </c>
      <c r="J642" s="18" t="n"/>
      <c r="K642" s="18" t="n">
        <v>2</v>
      </c>
      <c r="L642" s="18" t="inlineStr">
        <is>
          <t>cobbleventure:generation_2</t>
        </is>
      </c>
      <c r="M642" s="19" t="inlineStr">
        <is>
          <t>cobbleventure:generation_2</t>
        </is>
      </c>
      <c r="N642" s="18" t="inlineStr">
        <is>
          <t>region_01; region_02</t>
        </is>
      </c>
      <c r="O642" s="19" t="inlineStr"/>
      <c r="P642" s="18" t="inlineStr">
        <is>
          <t>#cobblemon:is_overworld</t>
        </is>
      </c>
      <c r="Q642" s="19" t="inlineStr"/>
      <c r="R642" s="18">
        <f>IF(Q642="",P642,Q642)</f>
        <v/>
      </c>
      <c r="S642" s="18" t="inlineStr">
        <is>
          <t>#cobblemon:is_deep_dark</t>
        </is>
      </c>
      <c r="T642" s="18" t="inlineStr">
        <is>
          <t>common</t>
        </is>
      </c>
      <c r="U642" s="20" t="n">
        <v>1.8</v>
      </c>
      <c r="V642" s="21" t="n">
        <v>1</v>
      </c>
      <c r="W642" s="20">
        <f>IF(OR(U642="",V642=""),U642,U642*V642)</f>
        <v/>
      </c>
      <c r="X642" s="18" t="inlineStr">
        <is>
          <t>1-25</t>
        </is>
      </c>
      <c r="Y642" s="19" t="inlineStr"/>
      <c r="Z642" s="18">
        <f>IF(Y642="",X642,Y642)</f>
        <v/>
      </c>
      <c r="AA642" s="18" t="inlineStr">
        <is>
          <t>grounded</t>
        </is>
      </c>
      <c r="AB642" s="18" t="inlineStr"/>
      <c r="AC642" s="18" t="inlineStr"/>
      <c r="AD642" s="18" t="inlineStr"/>
      <c r="AE642" s="18" t="inlineStr">
        <is>
          <t>sky 0-7</t>
        </is>
      </c>
      <c r="AF642" s="18" t="inlineStr"/>
      <c r="AG642" s="18" t="inlineStr"/>
      <c r="AH642" s="18" t="inlineStr"/>
      <c r="AI642" s="18" t="inlineStr"/>
      <c r="AJ642" s="18" t="inlineStr">
        <is>
          <t>Cobblemon 동일</t>
        </is>
      </c>
      <c r="AK642" s="18" t="inlineStr">
        <is>
          <t>사용</t>
        </is>
      </c>
      <c r="AL642" s="18" t="inlineStr">
        <is>
          <t>COBBLEVERSE 1.7.42 / DP v31</t>
        </is>
      </c>
      <c r="AM642" s="18" t="inlineStr">
        <is>
          <t>data/cobblemon/spawn_pool_world/0167_spinarak.json</t>
        </is>
      </c>
      <c r="AN642" s="18" t="inlineStr">
        <is>
          <t>spinarak-2</t>
        </is>
      </c>
      <c r="AO642" s="18" t="inlineStr">
        <is>
          <t>pokemon</t>
        </is>
      </c>
      <c r="AP642" s="18" t="inlineStr">
        <is>
          <t>natural</t>
        </is>
      </c>
      <c r="AQ642" s="18" t="inlineStr">
        <is>
          <t>{"biomes":["#cobblemon:is_overworld"],"maxSkyLight":7,"minSkyLight":0}</t>
        </is>
      </c>
      <c r="AR642" s="18" t="inlineStr">
        <is>
          <t>{"biomes":["#cobblemon:is_deep_dark"]}</t>
        </is>
      </c>
      <c r="AS642" s="18" t="inlineStr"/>
      <c r="AT642" s="19" t="inlineStr"/>
    </row>
    <row r="643" ht="32" customHeight="1">
      <c r="A643" s="18" t="inlineStr">
        <is>
          <t>0167_spinarak.json::spinarak-3::003</t>
        </is>
      </c>
      <c r="B643" s="19" t="inlineStr">
        <is>
          <t>사용</t>
        </is>
      </c>
      <c r="C643" s="18">
        <f>IF(OR(B643&lt;&gt;AK643,M643&lt;&gt;L643,O643&lt;&gt;"",Q643&lt;&gt;"",V643&lt;&gt;1,Y643&lt;&gt;"",AT643&lt;&gt;""),"수정","원본")</f>
        <v/>
      </c>
      <c r="D643" s="18" t="n">
        <v>167</v>
      </c>
      <c r="E643" s="18" t="inlineStr">
        <is>
          <t>페이검</t>
        </is>
      </c>
      <c r="F643" s="18" t="inlineStr">
        <is>
          <t>spinarak</t>
        </is>
      </c>
      <c r="G643" s="18" t="inlineStr">
        <is>
          <t>spinarak</t>
        </is>
      </c>
      <c r="H643" s="18" t="inlineStr"/>
      <c r="I643" s="18" t="n">
        <v>2</v>
      </c>
      <c r="J643" s="18" t="n"/>
      <c r="K643" s="18" t="n">
        <v>2</v>
      </c>
      <c r="L643" s="18" t="inlineStr">
        <is>
          <t>cobbleventure:generation_2</t>
        </is>
      </c>
      <c r="M643" s="19" t="inlineStr">
        <is>
          <t>cobbleventure:generation_2</t>
        </is>
      </c>
      <c r="N643" s="18" t="inlineStr">
        <is>
          <t>region_01; region_02</t>
        </is>
      </c>
      <c r="O643" s="19" t="inlineStr"/>
      <c r="P643" s="18" t="inlineStr">
        <is>
          <t>#cobblemon:is_overworld</t>
        </is>
      </c>
      <c r="Q643" s="19" t="inlineStr"/>
      <c r="R643" s="18">
        <f>IF(Q643="",P643,Q643)</f>
        <v/>
      </c>
      <c r="S643" s="18" t="inlineStr">
        <is>
          <t>#cobblemon:is_deep_dark</t>
        </is>
      </c>
      <c r="T643" s="18" t="inlineStr">
        <is>
          <t>common</t>
        </is>
      </c>
      <c r="U643" s="20" t="n">
        <v>5.4</v>
      </c>
      <c r="V643" s="21" t="n">
        <v>1</v>
      </c>
      <c r="W643" s="20">
        <f>IF(OR(U643="",V643=""),U643,U643*V643)</f>
        <v/>
      </c>
      <c r="X643" s="18" t="inlineStr">
        <is>
          <t>1-25</t>
        </is>
      </c>
      <c r="Y643" s="19" t="inlineStr"/>
      <c r="Z643" s="18">
        <f>IF(Y643="",X643,Y643)</f>
        <v/>
      </c>
      <c r="AA643" s="18" t="inlineStr">
        <is>
          <t>grounded</t>
        </is>
      </c>
      <c r="AB643" s="18" t="inlineStr"/>
      <c r="AC643" s="18" t="inlineStr"/>
      <c r="AD643" s="18" t="inlineStr">
        <is>
          <t>minY=0</t>
        </is>
      </c>
      <c r="AE643" s="18" t="inlineStr"/>
      <c r="AF643" s="18" t="inlineStr">
        <is>
          <t>False</t>
        </is>
      </c>
      <c r="AG643" s="18" t="inlineStr"/>
      <c r="AH643" s="18" t="inlineStr"/>
      <c r="AI643" s="18" t="inlineStr"/>
      <c r="AJ643" s="18" t="inlineStr">
        <is>
          <t>Cobblemon 동일</t>
        </is>
      </c>
      <c r="AK643" s="18" t="inlineStr">
        <is>
          <t>사용</t>
        </is>
      </c>
      <c r="AL643" s="18" t="inlineStr">
        <is>
          <t>COBBLEVERSE 1.7.42 / DP v31</t>
        </is>
      </c>
      <c r="AM643" s="18" t="inlineStr">
        <is>
          <t>data/cobblemon/spawn_pool_world/0167_spinarak.json</t>
        </is>
      </c>
      <c r="AN643" s="18" t="inlineStr">
        <is>
          <t>spinarak-3</t>
        </is>
      </c>
      <c r="AO643" s="18" t="inlineStr">
        <is>
          <t>pokemon</t>
        </is>
      </c>
      <c r="AP643" s="18" t="inlineStr">
        <is>
          <t>derelict</t>
        </is>
      </c>
      <c r="AQ643" s="18" t="inlineStr">
        <is>
          <t>{"biomes":["#cobblemon:is_overworld"],"canSeeSky":false,"minY":0}</t>
        </is>
      </c>
      <c r="AR643" s="18" t="inlineStr">
        <is>
          <t>{"biomes":["#cobblemon:is_deep_dark"]}</t>
        </is>
      </c>
      <c r="AS643" s="18" t="inlineStr"/>
      <c r="AT643" s="19" t="inlineStr"/>
    </row>
    <row r="644" ht="32" customHeight="1">
      <c r="A644" s="18" t="inlineStr">
        <is>
          <t>0167_spinarak.json::spinarak-4::004</t>
        </is>
      </c>
      <c r="B644" s="19" t="inlineStr">
        <is>
          <t>사용</t>
        </is>
      </c>
      <c r="C644" s="18">
        <f>IF(OR(B644&lt;&gt;AK644,M644&lt;&gt;L644,O644&lt;&gt;"",Q644&lt;&gt;"",V644&lt;&gt;1,Y644&lt;&gt;"",AT644&lt;&gt;""),"수정","원본")</f>
        <v/>
      </c>
      <c r="D644" s="18" t="n">
        <v>167</v>
      </c>
      <c r="E644" s="18" t="inlineStr">
        <is>
          <t>페이검</t>
        </is>
      </c>
      <c r="F644" s="18" t="inlineStr">
        <is>
          <t>spinarak</t>
        </is>
      </c>
      <c r="G644" s="18" t="inlineStr">
        <is>
          <t>spinarak</t>
        </is>
      </c>
      <c r="H644" s="18" t="inlineStr"/>
      <c r="I644" s="18" t="n">
        <v>2</v>
      </c>
      <c r="J644" s="18" t="n"/>
      <c r="K644" s="18" t="n">
        <v>2</v>
      </c>
      <c r="L644" s="18" t="inlineStr">
        <is>
          <t>cobbleventure:generation_2</t>
        </is>
      </c>
      <c r="M644" s="19" t="inlineStr">
        <is>
          <t>cobbleventure:generation_2</t>
        </is>
      </c>
      <c r="N644" s="18" t="inlineStr">
        <is>
          <t>region_01; region_02</t>
        </is>
      </c>
      <c r="O644" s="19" t="inlineStr"/>
      <c r="P644" s="18" t="inlineStr"/>
      <c r="Q644" s="19" t="inlineStr"/>
      <c r="R644" s="18">
        <f>IF(Q644="",P644,Q644)</f>
        <v/>
      </c>
      <c r="S644" s="18" t="inlineStr"/>
      <c r="T644" s="18" t="inlineStr">
        <is>
          <t>common</t>
        </is>
      </c>
      <c r="U644" s="20" t="n">
        <v>9</v>
      </c>
      <c r="V644" s="21" t="n">
        <v>1</v>
      </c>
      <c r="W644" s="20">
        <f>IF(OR(U644="",V644=""),U644,U644*V644)</f>
        <v/>
      </c>
      <c r="X644" s="18" t="inlineStr">
        <is>
          <t>1-25</t>
        </is>
      </c>
      <c r="Y644" s="19" t="inlineStr"/>
      <c r="Z644" s="18">
        <f>IF(Y644="",X644,Y644)</f>
        <v/>
      </c>
      <c r="AA644" s="18" t="inlineStr">
        <is>
          <t>grounded</t>
        </is>
      </c>
      <c r="AB644" s="18" t="inlineStr"/>
      <c r="AC644" s="18" t="inlineStr"/>
      <c r="AD644" s="18" t="inlineStr"/>
      <c r="AE644" s="18" t="inlineStr">
        <is>
          <t>sky 0-7</t>
        </is>
      </c>
      <c r="AF644" s="18" t="inlineStr"/>
      <c r="AG644" s="18" t="inlineStr"/>
      <c r="AH644" s="18" t="inlineStr"/>
      <c r="AI644" s="18" t="inlineStr"/>
      <c r="AJ644" s="18" t="inlineStr">
        <is>
          <t>Cobblemon 동일</t>
        </is>
      </c>
      <c r="AK644" s="18" t="inlineStr">
        <is>
          <t>사용</t>
        </is>
      </c>
      <c r="AL644" s="18" t="inlineStr">
        <is>
          <t>COBBLEVERSE 1.7.42 / DP v31</t>
        </is>
      </c>
      <c r="AM644" s="18" t="inlineStr">
        <is>
          <t>data/cobblemon/spawn_pool_world/0167_spinarak.json</t>
        </is>
      </c>
      <c r="AN644" s="18" t="inlineStr">
        <is>
          <t>spinarak-4</t>
        </is>
      </c>
      <c r="AO644" s="18" t="inlineStr">
        <is>
          <t>pokemon</t>
        </is>
      </c>
      <c r="AP644" s="18" t="inlineStr">
        <is>
          <t>webs; natural</t>
        </is>
      </c>
      <c r="AQ644" s="18" t="inlineStr">
        <is>
          <t>{"maxSkyLight":7,"minSkyLight":0}</t>
        </is>
      </c>
      <c r="AR644" s="18" t="inlineStr"/>
      <c r="AS644" s="18" t="inlineStr"/>
      <c r="AT644" s="19" t="inlineStr"/>
    </row>
    <row r="645" ht="32" customHeight="1">
      <c r="A645" s="18" t="inlineStr">
        <is>
          <t>0167_spinarak.json::spinarak-5::005</t>
        </is>
      </c>
      <c r="B645" s="19" t="inlineStr">
        <is>
          <t>사용</t>
        </is>
      </c>
      <c r="C645" s="18">
        <f>IF(OR(B645&lt;&gt;AK645,M645&lt;&gt;L645,O645&lt;&gt;"",Q645&lt;&gt;"",V645&lt;&gt;1,Y645&lt;&gt;"",AT645&lt;&gt;""),"수정","원본")</f>
        <v/>
      </c>
      <c r="D645" s="18" t="n">
        <v>167</v>
      </c>
      <c r="E645" s="18" t="inlineStr">
        <is>
          <t>페이검</t>
        </is>
      </c>
      <c r="F645" s="18" t="inlineStr">
        <is>
          <t>spinarak</t>
        </is>
      </c>
      <c r="G645" s="18" t="inlineStr">
        <is>
          <t>spinarak</t>
        </is>
      </c>
      <c r="H645" s="18" t="inlineStr"/>
      <c r="I645" s="18" t="n">
        <v>2</v>
      </c>
      <c r="J645" s="18" t="n"/>
      <c r="K645" s="18" t="n">
        <v>2</v>
      </c>
      <c r="L645" s="18" t="inlineStr">
        <is>
          <t>cobbleventure:generation_2</t>
        </is>
      </c>
      <c r="M645" s="19" t="inlineStr">
        <is>
          <t>cobbleventure:generation_2</t>
        </is>
      </c>
      <c r="N645" s="18" t="inlineStr">
        <is>
          <t>region_01; region_02</t>
        </is>
      </c>
      <c r="O645" s="19" t="inlineStr"/>
      <c r="P645" s="18" t="inlineStr">
        <is>
          <t>#cobblemon:is_overworld</t>
        </is>
      </c>
      <c r="Q645" s="19" t="inlineStr"/>
      <c r="R645" s="18">
        <f>IF(Q645="",P645,Q645)</f>
        <v/>
      </c>
      <c r="S645" s="18" t="inlineStr"/>
      <c r="T645" s="18" t="inlineStr">
        <is>
          <t>common</t>
        </is>
      </c>
      <c r="U645" s="20" t="n">
        <v>9</v>
      </c>
      <c r="V645" s="21" t="n">
        <v>1</v>
      </c>
      <c r="W645" s="20">
        <f>IF(OR(U645="",V645=""),U645,U645*V645)</f>
        <v/>
      </c>
      <c r="X645" s="18" t="inlineStr">
        <is>
          <t>1-25</t>
        </is>
      </c>
      <c r="Y645" s="19" t="inlineStr"/>
      <c r="Z645" s="18">
        <f>IF(Y645="",X645,Y645)</f>
        <v/>
      </c>
      <c r="AA645" s="18" t="inlineStr">
        <is>
          <t>grounded</t>
        </is>
      </c>
      <c r="AB645" s="18" t="inlineStr"/>
      <c r="AC645" s="18" t="inlineStr"/>
      <c r="AD645" s="18" t="inlineStr"/>
      <c r="AE645" s="18" t="inlineStr"/>
      <c r="AF645" s="18" t="inlineStr">
        <is>
          <t>False</t>
        </is>
      </c>
      <c r="AG645" s="18" t="inlineStr"/>
      <c r="AH645" s="18" t="inlineStr">
        <is>
          <t>주변=minecraft:cobweb</t>
        </is>
      </c>
      <c r="AI645" s="18" t="inlineStr"/>
      <c r="AJ645" s="18" t="inlineStr">
        <is>
          <t>Cobblemon 동일</t>
        </is>
      </c>
      <c r="AK645" s="18" t="inlineStr">
        <is>
          <t>사용</t>
        </is>
      </c>
      <c r="AL645" s="18" t="inlineStr">
        <is>
          <t>COBBLEVERSE 1.7.42 / DP v31</t>
        </is>
      </c>
      <c r="AM645" s="18" t="inlineStr">
        <is>
          <t>data/cobblemon/spawn_pool_world/0167_spinarak.json</t>
        </is>
      </c>
      <c r="AN645" s="18" t="inlineStr">
        <is>
          <t>spinarak-5</t>
        </is>
      </c>
      <c r="AO645" s="18" t="inlineStr">
        <is>
          <t>pokemon</t>
        </is>
      </c>
      <c r="AP645" s="18" t="inlineStr">
        <is>
          <t>mansion</t>
        </is>
      </c>
      <c r="AQ645" s="18" t="inlineStr">
        <is>
          <t>{"biomes":["#cobblemon:is_overworld"],"canSeeSky":false,"neededNearbyBlocks":["minecraft:cobweb"]}</t>
        </is>
      </c>
      <c r="AR645" s="18" t="inlineStr"/>
      <c r="AS645" s="18" t="inlineStr"/>
      <c r="AT645" s="19" t="inlineStr"/>
    </row>
    <row r="646" ht="32" customHeight="1">
      <c r="A646" s="18" t="inlineStr">
        <is>
          <t>0168_ariados.json::ariados-1::001</t>
        </is>
      </c>
      <c r="B646" s="19" t="inlineStr">
        <is>
          <t>사용</t>
        </is>
      </c>
      <c r="C646" s="18">
        <f>IF(OR(B646&lt;&gt;AK646,M646&lt;&gt;L646,O646&lt;&gt;"",Q646&lt;&gt;"",V646&lt;&gt;1,Y646&lt;&gt;"",AT646&lt;&gt;""),"수정","원본")</f>
        <v/>
      </c>
      <c r="D646" s="18" t="n">
        <v>168</v>
      </c>
      <c r="E646" s="18" t="inlineStr">
        <is>
          <t>아리아도스</t>
        </is>
      </c>
      <c r="F646" s="18" t="inlineStr">
        <is>
          <t>ariados</t>
        </is>
      </c>
      <c r="G646" s="18" t="inlineStr">
        <is>
          <t>ariados</t>
        </is>
      </c>
      <c r="H646" s="18" t="inlineStr"/>
      <c r="I646" s="18" t="n">
        <v>2</v>
      </c>
      <c r="J646" s="18" t="n"/>
      <c r="K646" s="18" t="n">
        <v>2</v>
      </c>
      <c r="L646" s="18" t="inlineStr">
        <is>
          <t>cobbleventure:generation_2</t>
        </is>
      </c>
      <c r="M646" s="19" t="inlineStr">
        <is>
          <t>cobbleventure:generation_2</t>
        </is>
      </c>
      <c r="N646" s="18" t="inlineStr">
        <is>
          <t>region_01</t>
        </is>
      </c>
      <c r="O646" s="19" t="inlineStr"/>
      <c r="P646" s="18" t="inlineStr">
        <is>
          <t>#cobblemon:is_forest; #cobblemon:is_jungle; #cobblemon:is_spooky</t>
        </is>
      </c>
      <c r="Q646" s="19" t="inlineStr"/>
      <c r="R646" s="18">
        <f>IF(Q646="",P646,Q646)</f>
        <v/>
      </c>
      <c r="S646" s="18" t="inlineStr">
        <is>
          <t>#cobblemon:is_freezing</t>
        </is>
      </c>
      <c r="T646" s="18" t="inlineStr">
        <is>
          <t>common</t>
        </is>
      </c>
      <c r="U646" s="20" t="n">
        <v>0.6</v>
      </c>
      <c r="V646" s="21" t="n">
        <v>1</v>
      </c>
      <c r="W646" s="20">
        <f>IF(OR(U646="",V646=""),U646,U646*V646)</f>
        <v/>
      </c>
      <c r="X646" s="18" t="inlineStr">
        <is>
          <t>22-40</t>
        </is>
      </c>
      <c r="Y646" s="19" t="inlineStr"/>
      <c r="Z646" s="18">
        <f>IF(Y646="",X646,Y646)</f>
        <v/>
      </c>
      <c r="AA646" s="18" t="inlineStr">
        <is>
          <t>grounded</t>
        </is>
      </c>
      <c r="AB646" s="18" t="inlineStr">
        <is>
          <t>night</t>
        </is>
      </c>
      <c r="AC646" s="18" t="inlineStr">
        <is>
          <t>비=False</t>
        </is>
      </c>
      <c r="AD646" s="18" t="inlineStr"/>
      <c r="AE646" s="18" t="inlineStr">
        <is>
          <t>sky 8-15</t>
        </is>
      </c>
      <c r="AF646" s="18" t="inlineStr"/>
      <c r="AG646" s="18" t="inlineStr"/>
      <c r="AH646" s="18" t="inlineStr"/>
      <c r="AI646" s="18" t="inlineStr"/>
      <c r="AJ646" s="18" t="inlineStr">
        <is>
          <t>Cobblemon 동일</t>
        </is>
      </c>
      <c r="AK646" s="18" t="inlineStr">
        <is>
          <t>사용</t>
        </is>
      </c>
      <c r="AL646" s="18" t="inlineStr">
        <is>
          <t>COBBLEVERSE 1.7.42 / DP v31</t>
        </is>
      </c>
      <c r="AM646" s="18" t="inlineStr">
        <is>
          <t>data/cobblemon/spawn_pool_world/0168_ariados.json</t>
        </is>
      </c>
      <c r="AN646" s="18" t="inlineStr">
        <is>
          <t>ariados-1</t>
        </is>
      </c>
      <c r="AO646" s="18" t="inlineStr">
        <is>
          <t>pokemon</t>
        </is>
      </c>
      <c r="AP646" s="18" t="inlineStr">
        <is>
          <t>natural; treetop</t>
        </is>
      </c>
      <c r="AQ646" s="18" t="inlineStr">
        <is>
          <t>{"biomes":["#cobblemon:is_forest","#cobblemon:is_jungle","#cobblemon:is_spooky"],"isRaining":false,"maxSkyLight":15,"minSkyLight":8,"timeRange":"night"}</t>
        </is>
      </c>
      <c r="AR646" s="18" t="inlineStr">
        <is>
          <t>{"biomes":["#cobblemon:is_freezing"]}</t>
        </is>
      </c>
      <c r="AS646" s="18" t="inlineStr"/>
      <c r="AT646" s="19" t="inlineStr"/>
    </row>
    <row r="647" ht="32" customHeight="1">
      <c r="A647" s="18" t="inlineStr">
        <is>
          <t>0168_ariados.json::ariados-2::002</t>
        </is>
      </c>
      <c r="B647" s="19" t="inlineStr">
        <is>
          <t>사용</t>
        </is>
      </c>
      <c r="C647" s="18">
        <f>IF(OR(B647&lt;&gt;AK647,M647&lt;&gt;L647,O647&lt;&gt;"",Q647&lt;&gt;"",V647&lt;&gt;1,Y647&lt;&gt;"",AT647&lt;&gt;""),"수정","원본")</f>
        <v/>
      </c>
      <c r="D647" s="18" t="n">
        <v>168</v>
      </c>
      <c r="E647" s="18" t="inlineStr">
        <is>
          <t>아리아도스</t>
        </is>
      </c>
      <c r="F647" s="18" t="inlineStr">
        <is>
          <t>ariados</t>
        </is>
      </c>
      <c r="G647" s="18" t="inlineStr">
        <is>
          <t>ariados</t>
        </is>
      </c>
      <c r="H647" s="18" t="inlineStr"/>
      <c r="I647" s="18" t="n">
        <v>2</v>
      </c>
      <c r="J647" s="18" t="n"/>
      <c r="K647" s="18" t="n">
        <v>2</v>
      </c>
      <c r="L647" s="18" t="inlineStr">
        <is>
          <t>cobbleventure:generation_2</t>
        </is>
      </c>
      <c r="M647" s="19" t="inlineStr">
        <is>
          <t>cobbleventure:generation_2</t>
        </is>
      </c>
      <c r="N647" s="18" t="inlineStr">
        <is>
          <t>region_01; region_02</t>
        </is>
      </c>
      <c r="O647" s="19" t="inlineStr"/>
      <c r="P647" s="18" t="inlineStr">
        <is>
          <t>#cobblemon:is_overworld</t>
        </is>
      </c>
      <c r="Q647" s="19" t="inlineStr"/>
      <c r="R647" s="18">
        <f>IF(Q647="",P647,Q647)</f>
        <v/>
      </c>
      <c r="S647" s="18" t="inlineStr">
        <is>
          <t>#cobblemon:is_deep_dark</t>
        </is>
      </c>
      <c r="T647" s="18" t="inlineStr">
        <is>
          <t>common</t>
        </is>
      </c>
      <c r="U647" s="20" t="n">
        <v>0.2</v>
      </c>
      <c r="V647" s="21" t="n">
        <v>1</v>
      </c>
      <c r="W647" s="20">
        <f>IF(OR(U647="",V647=""),U647,U647*V647)</f>
        <v/>
      </c>
      <c r="X647" s="18" t="inlineStr">
        <is>
          <t>22-40</t>
        </is>
      </c>
      <c r="Y647" s="19" t="inlineStr"/>
      <c r="Z647" s="18">
        <f>IF(Y647="",X647,Y647)</f>
        <v/>
      </c>
      <c r="AA647" s="18" t="inlineStr">
        <is>
          <t>grounded</t>
        </is>
      </c>
      <c r="AB647" s="18" t="inlineStr"/>
      <c r="AC647" s="18" t="inlineStr"/>
      <c r="AD647" s="18" t="inlineStr"/>
      <c r="AE647" s="18" t="inlineStr">
        <is>
          <t>sky 0-7</t>
        </is>
      </c>
      <c r="AF647" s="18" t="inlineStr"/>
      <c r="AG647" s="18" t="inlineStr"/>
      <c r="AH647" s="18" t="inlineStr"/>
      <c r="AI647" s="18" t="inlineStr"/>
      <c r="AJ647" s="18" t="inlineStr">
        <is>
          <t>Cobblemon 동일</t>
        </is>
      </c>
      <c r="AK647" s="18" t="inlineStr">
        <is>
          <t>사용</t>
        </is>
      </c>
      <c r="AL647" s="18" t="inlineStr">
        <is>
          <t>COBBLEVERSE 1.7.42 / DP v31</t>
        </is>
      </c>
      <c r="AM647" s="18" t="inlineStr">
        <is>
          <t>data/cobblemon/spawn_pool_world/0168_ariados.json</t>
        </is>
      </c>
      <c r="AN647" s="18" t="inlineStr">
        <is>
          <t>ariados-2</t>
        </is>
      </c>
      <c r="AO647" s="18" t="inlineStr">
        <is>
          <t>pokemon</t>
        </is>
      </c>
      <c r="AP647" s="18" t="inlineStr">
        <is>
          <t>natural</t>
        </is>
      </c>
      <c r="AQ647" s="18" t="inlineStr">
        <is>
          <t>{"biomes":["#cobblemon:is_overworld"],"maxSkyLight":7,"minSkyLight":0}</t>
        </is>
      </c>
      <c r="AR647" s="18" t="inlineStr">
        <is>
          <t>{"biomes":["#cobblemon:is_deep_dark"]}</t>
        </is>
      </c>
      <c r="AS647" s="18" t="inlineStr"/>
      <c r="AT647" s="19" t="inlineStr"/>
    </row>
    <row r="648" ht="32" customHeight="1">
      <c r="A648" s="18" t="inlineStr">
        <is>
          <t>0168_ariados.json::ariados-3::003</t>
        </is>
      </c>
      <c r="B648" s="19" t="inlineStr">
        <is>
          <t>사용</t>
        </is>
      </c>
      <c r="C648" s="18">
        <f>IF(OR(B648&lt;&gt;AK648,M648&lt;&gt;L648,O648&lt;&gt;"",Q648&lt;&gt;"",V648&lt;&gt;1,Y648&lt;&gt;"",AT648&lt;&gt;""),"수정","원본")</f>
        <v/>
      </c>
      <c r="D648" s="18" t="n">
        <v>168</v>
      </c>
      <c r="E648" s="18" t="inlineStr">
        <is>
          <t>아리아도스</t>
        </is>
      </c>
      <c r="F648" s="18" t="inlineStr">
        <is>
          <t>ariados</t>
        </is>
      </c>
      <c r="G648" s="18" t="inlineStr">
        <is>
          <t>ariados</t>
        </is>
      </c>
      <c r="H648" s="18" t="inlineStr"/>
      <c r="I648" s="18" t="n">
        <v>2</v>
      </c>
      <c r="J648" s="18" t="n"/>
      <c r="K648" s="18" t="n">
        <v>2</v>
      </c>
      <c r="L648" s="18" t="inlineStr">
        <is>
          <t>cobbleventure:generation_2</t>
        </is>
      </c>
      <c r="M648" s="19" t="inlineStr">
        <is>
          <t>cobbleventure:generation_2</t>
        </is>
      </c>
      <c r="N648" s="18" t="inlineStr">
        <is>
          <t>region_01; region_02</t>
        </is>
      </c>
      <c r="O648" s="19" t="inlineStr"/>
      <c r="P648" s="18" t="inlineStr">
        <is>
          <t>#cobblemon:is_overworld</t>
        </is>
      </c>
      <c r="Q648" s="19" t="inlineStr"/>
      <c r="R648" s="18">
        <f>IF(Q648="",P648,Q648)</f>
        <v/>
      </c>
      <c r="S648" s="18" t="inlineStr">
        <is>
          <t>#cobblemon:is_deep_dark</t>
        </is>
      </c>
      <c r="T648" s="18" t="inlineStr">
        <is>
          <t>common</t>
        </is>
      </c>
      <c r="U648" s="20" t="n">
        <v>0.6</v>
      </c>
      <c r="V648" s="21" t="n">
        <v>1</v>
      </c>
      <c r="W648" s="20">
        <f>IF(OR(U648="",V648=""),U648,U648*V648)</f>
        <v/>
      </c>
      <c r="X648" s="18" t="inlineStr">
        <is>
          <t>22-40</t>
        </is>
      </c>
      <c r="Y648" s="19" t="inlineStr"/>
      <c r="Z648" s="18">
        <f>IF(Y648="",X648,Y648)</f>
        <v/>
      </c>
      <c r="AA648" s="18" t="inlineStr">
        <is>
          <t>grounded</t>
        </is>
      </c>
      <c r="AB648" s="18" t="inlineStr"/>
      <c r="AC648" s="18" t="inlineStr"/>
      <c r="AD648" s="18" t="inlineStr">
        <is>
          <t>minY=0</t>
        </is>
      </c>
      <c r="AE648" s="18" t="inlineStr"/>
      <c r="AF648" s="18" t="inlineStr">
        <is>
          <t>False</t>
        </is>
      </c>
      <c r="AG648" s="18" t="inlineStr"/>
      <c r="AH648" s="18" t="inlineStr"/>
      <c r="AI648" s="18" t="inlineStr"/>
      <c r="AJ648" s="18" t="inlineStr">
        <is>
          <t>Cobblemon 동일</t>
        </is>
      </c>
      <c r="AK648" s="18" t="inlineStr">
        <is>
          <t>사용</t>
        </is>
      </c>
      <c r="AL648" s="18" t="inlineStr">
        <is>
          <t>COBBLEVERSE 1.7.42 / DP v31</t>
        </is>
      </c>
      <c r="AM648" s="18" t="inlineStr">
        <is>
          <t>data/cobblemon/spawn_pool_world/0168_ariados.json</t>
        </is>
      </c>
      <c r="AN648" s="18" t="inlineStr">
        <is>
          <t>ariados-3</t>
        </is>
      </c>
      <c r="AO648" s="18" t="inlineStr">
        <is>
          <t>pokemon</t>
        </is>
      </c>
      <c r="AP648" s="18" t="inlineStr">
        <is>
          <t>derelict</t>
        </is>
      </c>
      <c r="AQ648" s="18" t="inlineStr">
        <is>
          <t>{"biomes":["#cobblemon:is_overworld"],"canSeeSky":false,"minY":0}</t>
        </is>
      </c>
      <c r="AR648" s="18" t="inlineStr">
        <is>
          <t>{"biomes":["#cobblemon:is_deep_dark"]}</t>
        </is>
      </c>
      <c r="AS648" s="18" t="inlineStr"/>
      <c r="AT648" s="19" t="inlineStr"/>
    </row>
    <row r="649" ht="32" customHeight="1">
      <c r="A649" s="18" t="inlineStr">
        <is>
          <t>0168_ariados.json::ariados-4::004</t>
        </is>
      </c>
      <c r="B649" s="19" t="inlineStr">
        <is>
          <t>사용</t>
        </is>
      </c>
      <c r="C649" s="18">
        <f>IF(OR(B649&lt;&gt;AK649,M649&lt;&gt;L649,O649&lt;&gt;"",Q649&lt;&gt;"",V649&lt;&gt;1,Y649&lt;&gt;"",AT649&lt;&gt;""),"수정","원본")</f>
        <v/>
      </c>
      <c r="D649" s="18" t="n">
        <v>168</v>
      </c>
      <c r="E649" s="18" t="inlineStr">
        <is>
          <t>아리아도스</t>
        </is>
      </c>
      <c r="F649" s="18" t="inlineStr">
        <is>
          <t>ariados</t>
        </is>
      </c>
      <c r="G649" s="18" t="inlineStr">
        <is>
          <t>ariados</t>
        </is>
      </c>
      <c r="H649" s="18" t="inlineStr"/>
      <c r="I649" s="18" t="n">
        <v>2</v>
      </c>
      <c r="J649" s="18" t="n"/>
      <c r="K649" s="18" t="n">
        <v>2</v>
      </c>
      <c r="L649" s="18" t="inlineStr">
        <is>
          <t>cobbleventure:generation_2</t>
        </is>
      </c>
      <c r="M649" s="19" t="inlineStr">
        <is>
          <t>cobbleventure:generation_2</t>
        </is>
      </c>
      <c r="N649" s="18" t="inlineStr">
        <is>
          <t>region_01; region_02</t>
        </is>
      </c>
      <c r="O649" s="19" t="inlineStr"/>
      <c r="P649" s="18" t="inlineStr"/>
      <c r="Q649" s="19" t="inlineStr"/>
      <c r="R649" s="18">
        <f>IF(Q649="",P649,Q649)</f>
        <v/>
      </c>
      <c r="S649" s="18" t="inlineStr"/>
      <c r="T649" s="18" t="inlineStr">
        <is>
          <t>common</t>
        </is>
      </c>
      <c r="U649" s="20" t="n">
        <v>1</v>
      </c>
      <c r="V649" s="21" t="n">
        <v>1</v>
      </c>
      <c r="W649" s="20">
        <f>IF(OR(U649="",V649=""),U649,U649*V649)</f>
        <v/>
      </c>
      <c r="X649" s="18" t="inlineStr">
        <is>
          <t>22-40</t>
        </is>
      </c>
      <c r="Y649" s="19" t="inlineStr"/>
      <c r="Z649" s="18">
        <f>IF(Y649="",X649,Y649)</f>
        <v/>
      </c>
      <c r="AA649" s="18" t="inlineStr">
        <is>
          <t>grounded</t>
        </is>
      </c>
      <c r="AB649" s="18" t="inlineStr"/>
      <c r="AC649" s="18" t="inlineStr"/>
      <c r="AD649" s="18" t="inlineStr"/>
      <c r="AE649" s="18" t="inlineStr">
        <is>
          <t>sky 0-7</t>
        </is>
      </c>
      <c r="AF649" s="18" t="inlineStr"/>
      <c r="AG649" s="18" t="inlineStr"/>
      <c r="AH649" s="18" t="inlineStr"/>
      <c r="AI649" s="18" t="inlineStr"/>
      <c r="AJ649" s="18" t="inlineStr">
        <is>
          <t>Cobblemon 동일</t>
        </is>
      </c>
      <c r="AK649" s="18" t="inlineStr">
        <is>
          <t>사용</t>
        </is>
      </c>
      <c r="AL649" s="18" t="inlineStr">
        <is>
          <t>COBBLEVERSE 1.7.42 / DP v31</t>
        </is>
      </c>
      <c r="AM649" s="18" t="inlineStr">
        <is>
          <t>data/cobblemon/spawn_pool_world/0168_ariados.json</t>
        </is>
      </c>
      <c r="AN649" s="18" t="inlineStr">
        <is>
          <t>ariados-4</t>
        </is>
      </c>
      <c r="AO649" s="18" t="inlineStr">
        <is>
          <t>pokemon</t>
        </is>
      </c>
      <c r="AP649" s="18" t="inlineStr">
        <is>
          <t>webs; natural</t>
        </is>
      </c>
      <c r="AQ649" s="18" t="inlineStr">
        <is>
          <t>{"maxSkyLight":7,"minSkyLight":0}</t>
        </is>
      </c>
      <c r="AR649" s="18" t="inlineStr"/>
      <c r="AS649" s="18" t="inlineStr"/>
      <c r="AT649" s="19" t="inlineStr"/>
    </row>
    <row r="650" ht="32" customHeight="1">
      <c r="A650" s="18" t="inlineStr">
        <is>
          <t>0168_ariados.json::ariados-5::005</t>
        </is>
      </c>
      <c r="B650" s="19" t="inlineStr">
        <is>
          <t>사용</t>
        </is>
      </c>
      <c r="C650" s="18">
        <f>IF(OR(B650&lt;&gt;AK650,M650&lt;&gt;L650,O650&lt;&gt;"",Q650&lt;&gt;"",V650&lt;&gt;1,Y650&lt;&gt;"",AT650&lt;&gt;""),"수정","원본")</f>
        <v/>
      </c>
      <c r="D650" s="18" t="n">
        <v>168</v>
      </c>
      <c r="E650" s="18" t="inlineStr">
        <is>
          <t>아리아도스</t>
        </is>
      </c>
      <c r="F650" s="18" t="inlineStr">
        <is>
          <t>ariados</t>
        </is>
      </c>
      <c r="G650" s="18" t="inlineStr">
        <is>
          <t>ariados</t>
        </is>
      </c>
      <c r="H650" s="18" t="inlineStr"/>
      <c r="I650" s="18" t="n">
        <v>2</v>
      </c>
      <c r="J650" s="18" t="n"/>
      <c r="K650" s="18" t="n">
        <v>2</v>
      </c>
      <c r="L650" s="18" t="inlineStr">
        <is>
          <t>cobbleventure:generation_2</t>
        </is>
      </c>
      <c r="M650" s="19" t="inlineStr">
        <is>
          <t>cobbleventure:generation_2</t>
        </is>
      </c>
      <c r="N650" s="18" t="inlineStr">
        <is>
          <t>region_01; region_02</t>
        </is>
      </c>
      <c r="O650" s="19" t="inlineStr"/>
      <c r="P650" s="18" t="inlineStr">
        <is>
          <t>#cobblemon:is_overworld</t>
        </is>
      </c>
      <c r="Q650" s="19" t="inlineStr"/>
      <c r="R650" s="18">
        <f>IF(Q650="",P650,Q650)</f>
        <v/>
      </c>
      <c r="S650" s="18" t="inlineStr"/>
      <c r="T650" s="18" t="inlineStr">
        <is>
          <t>common</t>
        </is>
      </c>
      <c r="U650" s="20" t="n">
        <v>1</v>
      </c>
      <c r="V650" s="21" t="n">
        <v>1</v>
      </c>
      <c r="W650" s="20">
        <f>IF(OR(U650="",V650=""),U650,U650*V650)</f>
        <v/>
      </c>
      <c r="X650" s="18" t="inlineStr">
        <is>
          <t>22-40</t>
        </is>
      </c>
      <c r="Y650" s="19" t="inlineStr"/>
      <c r="Z650" s="18">
        <f>IF(Y650="",X650,Y650)</f>
        <v/>
      </c>
      <c r="AA650" s="18" t="inlineStr">
        <is>
          <t>grounded</t>
        </is>
      </c>
      <c r="AB650" s="18" t="inlineStr"/>
      <c r="AC650" s="18" t="inlineStr"/>
      <c r="AD650" s="18" t="inlineStr"/>
      <c r="AE650" s="18" t="inlineStr"/>
      <c r="AF650" s="18" t="inlineStr">
        <is>
          <t>False</t>
        </is>
      </c>
      <c r="AG650" s="18" t="inlineStr"/>
      <c r="AH650" s="18" t="inlineStr">
        <is>
          <t>주변=minecraft:cobweb</t>
        </is>
      </c>
      <c r="AI650" s="18" t="inlineStr"/>
      <c r="AJ650" s="18" t="inlineStr">
        <is>
          <t>Cobblemon 동일</t>
        </is>
      </c>
      <c r="AK650" s="18" t="inlineStr">
        <is>
          <t>사용</t>
        </is>
      </c>
      <c r="AL650" s="18" t="inlineStr">
        <is>
          <t>COBBLEVERSE 1.7.42 / DP v31</t>
        </is>
      </c>
      <c r="AM650" s="18" t="inlineStr">
        <is>
          <t>data/cobblemon/spawn_pool_world/0168_ariados.json</t>
        </is>
      </c>
      <c r="AN650" s="18" t="inlineStr">
        <is>
          <t>ariados-5</t>
        </is>
      </c>
      <c r="AO650" s="18" t="inlineStr">
        <is>
          <t>pokemon</t>
        </is>
      </c>
      <c r="AP650" s="18" t="inlineStr">
        <is>
          <t>mansion</t>
        </is>
      </c>
      <c r="AQ650" s="18" t="inlineStr">
        <is>
          <t>{"biomes":["#cobblemon:is_overworld"],"canSeeSky":false,"neededNearbyBlocks":["minecraft:cobweb"]}</t>
        </is>
      </c>
      <c r="AR650" s="18" t="inlineStr"/>
      <c r="AS650" s="18" t="inlineStr"/>
      <c r="AT650" s="19" t="inlineStr"/>
    </row>
    <row r="651" ht="32" customHeight="1">
      <c r="A651" s="18" t="inlineStr">
        <is>
          <t>0169_crobat.json::crobat-1::001</t>
        </is>
      </c>
      <c r="B651" s="19" t="inlineStr">
        <is>
          <t>사용</t>
        </is>
      </c>
      <c r="C651" s="18">
        <f>IF(OR(B651&lt;&gt;AK651,M651&lt;&gt;L651,O651&lt;&gt;"",Q651&lt;&gt;"",V651&lt;&gt;1,Y651&lt;&gt;"",AT651&lt;&gt;""),"수정","원본")</f>
        <v/>
      </c>
      <c r="D651" s="18" t="n">
        <v>169</v>
      </c>
      <c r="E651" s="18" t="inlineStr">
        <is>
          <t>크로뱃</t>
        </is>
      </c>
      <c r="F651" s="18" t="inlineStr">
        <is>
          <t>crobat</t>
        </is>
      </c>
      <c r="G651" s="18" t="inlineStr">
        <is>
          <t>crobat</t>
        </is>
      </c>
      <c r="H651" s="18" t="inlineStr"/>
      <c r="I651" s="18" t="n">
        <v>2</v>
      </c>
      <c r="J651" s="18" t="n"/>
      <c r="K651" s="18" t="n">
        <v>2</v>
      </c>
      <c r="L651" s="18" t="inlineStr">
        <is>
          <t>cobbleventure:generation_2</t>
        </is>
      </c>
      <c r="M651" s="19" t="inlineStr">
        <is>
          <t>cobbleventure:generation_2</t>
        </is>
      </c>
      <c r="N651" s="18" t="inlineStr">
        <is>
          <t>region_01; region_02</t>
        </is>
      </c>
      <c r="O651" s="19" t="inlineStr"/>
      <c r="P651" s="18" t="inlineStr">
        <is>
          <t>#cobblemon:is_forest; #cobblemon:is_swamp</t>
        </is>
      </c>
      <c r="Q651" s="19" t="inlineStr"/>
      <c r="R651" s="18">
        <f>IF(Q651="",P651,Q651)</f>
        <v/>
      </c>
      <c r="S651" s="18" t="inlineStr">
        <is>
          <t>#cobblemon:is_spooky; #cobblemon:is_freezing</t>
        </is>
      </c>
      <c r="T651" s="18" t="inlineStr">
        <is>
          <t>common</t>
        </is>
      </c>
      <c r="U651" s="20" t="n">
        <v>0.02</v>
      </c>
      <c r="V651" s="21" t="n">
        <v>1</v>
      </c>
      <c r="W651" s="20">
        <f>IF(OR(U651="",V651=""),U651,U651*V651)</f>
        <v/>
      </c>
      <c r="X651" s="18" t="inlineStr">
        <is>
          <t>41-54</t>
        </is>
      </c>
      <c r="Y651" s="19" t="inlineStr"/>
      <c r="Z651" s="18">
        <f>IF(Y651="",X651,Y651)</f>
        <v/>
      </c>
      <c r="AA651" s="18" t="inlineStr">
        <is>
          <t>grounded</t>
        </is>
      </c>
      <c r="AB651" s="18" t="inlineStr">
        <is>
          <t>night</t>
        </is>
      </c>
      <c r="AC651" s="18" t="inlineStr">
        <is>
          <t>비=False</t>
        </is>
      </c>
      <c r="AD651" s="18" t="inlineStr"/>
      <c r="AE651" s="18" t="inlineStr">
        <is>
          <t>sky 8-15</t>
        </is>
      </c>
      <c r="AF651" s="18" t="inlineStr"/>
      <c r="AG651" s="18" t="inlineStr"/>
      <c r="AH651" s="18" t="inlineStr"/>
      <c r="AI651" s="18" t="inlineStr"/>
      <c r="AJ651" s="18" t="inlineStr">
        <is>
          <t>Cobblemon 동일</t>
        </is>
      </c>
      <c r="AK651" s="18" t="inlineStr">
        <is>
          <t>사용</t>
        </is>
      </c>
      <c r="AL651" s="18" t="inlineStr">
        <is>
          <t>COBBLEVERSE 1.7.42 / DP v31</t>
        </is>
      </c>
      <c r="AM651" s="18" t="inlineStr">
        <is>
          <t>data/cobblemon/spawn_pool_world/0169_crobat.json</t>
        </is>
      </c>
      <c r="AN651" s="18" t="inlineStr">
        <is>
          <t>crobat-1</t>
        </is>
      </c>
      <c r="AO651" s="18" t="inlineStr">
        <is>
          <t>pokemon</t>
        </is>
      </c>
      <c r="AP651" s="18" t="inlineStr">
        <is>
          <t>natural</t>
        </is>
      </c>
      <c r="AQ651" s="18" t="inlineStr">
        <is>
          <t>{"biomes":["#cobblemon:is_forest","#cobblemon:is_swamp"],"isRaining":false,"maxSkyLight":15,"minSkyLight":8,"timeRange":"night"}</t>
        </is>
      </c>
      <c r="AR651" s="18" t="inlineStr">
        <is>
          <t>{"biomes":["#cobblemon:is_spooky","#cobblemon:is_freezing"]}</t>
        </is>
      </c>
      <c r="AS651" s="18" t="inlineStr"/>
      <c r="AT651" s="19" t="inlineStr"/>
    </row>
    <row r="652" ht="32" customHeight="1">
      <c r="A652" s="18" t="inlineStr">
        <is>
          <t>0169_crobat.json::crobat-3::002</t>
        </is>
      </c>
      <c r="B652" s="19" t="inlineStr">
        <is>
          <t>사용</t>
        </is>
      </c>
      <c r="C652" s="18">
        <f>IF(OR(B652&lt;&gt;AK652,M652&lt;&gt;L652,O652&lt;&gt;"",Q652&lt;&gt;"",V652&lt;&gt;1,Y652&lt;&gt;"",AT652&lt;&gt;""),"수정","원본")</f>
        <v/>
      </c>
      <c r="D652" s="18" t="n">
        <v>169</v>
      </c>
      <c r="E652" s="18" t="inlineStr">
        <is>
          <t>크로뱃</t>
        </is>
      </c>
      <c r="F652" s="18" t="inlineStr">
        <is>
          <t>crobat</t>
        </is>
      </c>
      <c r="G652" s="18" t="inlineStr">
        <is>
          <t>crobat</t>
        </is>
      </c>
      <c r="H652" s="18" t="inlineStr"/>
      <c r="I652" s="18" t="n">
        <v>2</v>
      </c>
      <c r="J652" s="18" t="n"/>
      <c r="K652" s="18" t="n">
        <v>2</v>
      </c>
      <c r="L652" s="18" t="inlineStr">
        <is>
          <t>cobbleventure:generation_2</t>
        </is>
      </c>
      <c r="M652" s="19" t="inlineStr">
        <is>
          <t>cobbleventure:generation_2</t>
        </is>
      </c>
      <c r="N652" s="18" t="inlineStr">
        <is>
          <t>region_01; region_02</t>
        </is>
      </c>
      <c r="O652" s="19" t="inlineStr"/>
      <c r="P652" s="18" t="inlineStr">
        <is>
          <t>#cobblemon:is_forest; #cobblemon:is_swamp</t>
        </is>
      </c>
      <c r="Q652" s="19" t="inlineStr"/>
      <c r="R652" s="18">
        <f>IF(Q652="",P652,Q652)</f>
        <v/>
      </c>
      <c r="S652" s="18" t="inlineStr">
        <is>
          <t>#cobblemon:is_spooky; #cobblemon:is_freezing</t>
        </is>
      </c>
      <c r="T652" s="18" t="inlineStr">
        <is>
          <t>common</t>
        </is>
      </c>
      <c r="U652" s="20" t="n">
        <v>0.02</v>
      </c>
      <c r="V652" s="21" t="n">
        <v>1</v>
      </c>
      <c r="W652" s="20">
        <f>IF(OR(U652="",V652=""),U652,U652*V652)</f>
        <v/>
      </c>
      <c r="X652" s="18" t="inlineStr">
        <is>
          <t>41-54</t>
        </is>
      </c>
      <c r="Y652" s="19" t="inlineStr"/>
      <c r="Z652" s="18">
        <f>IF(Y652="",X652,Y652)</f>
        <v/>
      </c>
      <c r="AA652" s="18" t="inlineStr">
        <is>
          <t>grounded</t>
        </is>
      </c>
      <c r="AB652" s="18" t="inlineStr"/>
      <c r="AC652" s="18" t="inlineStr"/>
      <c r="AD652" s="18" t="inlineStr"/>
      <c r="AE652" s="18" t="inlineStr">
        <is>
          <t>sky 0-7</t>
        </is>
      </c>
      <c r="AF652" s="18" t="inlineStr"/>
      <c r="AG652" s="18" t="inlineStr"/>
      <c r="AH652" s="18" t="inlineStr"/>
      <c r="AI652" s="18" t="inlineStr"/>
      <c r="AJ652" s="18" t="inlineStr">
        <is>
          <t>Cobblemon 동일</t>
        </is>
      </c>
      <c r="AK652" s="18" t="inlineStr">
        <is>
          <t>사용</t>
        </is>
      </c>
      <c r="AL652" s="18" t="inlineStr">
        <is>
          <t>COBBLEVERSE 1.7.42 / DP v31</t>
        </is>
      </c>
      <c r="AM652" s="18" t="inlineStr">
        <is>
          <t>data/cobblemon/spawn_pool_world/0169_crobat.json</t>
        </is>
      </c>
      <c r="AN652" s="18" t="inlineStr">
        <is>
          <t>crobat-3</t>
        </is>
      </c>
      <c r="AO652" s="18" t="inlineStr">
        <is>
          <t>pokemon</t>
        </is>
      </c>
      <c r="AP652" s="18" t="inlineStr">
        <is>
          <t>natural</t>
        </is>
      </c>
      <c r="AQ652" s="18" t="inlineStr">
        <is>
          <t>{"biomes":["#cobblemon:is_forest","#cobblemon:is_swamp"],"maxSkyLight":7,"minSkyLight":0}</t>
        </is>
      </c>
      <c r="AR652" s="18" t="inlineStr">
        <is>
          <t>{"biomes":["#cobblemon:is_spooky","#cobblemon:is_freezing"]}</t>
        </is>
      </c>
      <c r="AS652" s="18" t="inlineStr">
        <is>
          <t>{"weightMultiplier":{"condition":{"timeRange":"night"},"multiplier":0.25}}</t>
        </is>
      </c>
      <c r="AT652" s="19" t="inlineStr"/>
    </row>
    <row r="653" ht="32" customHeight="1">
      <c r="A653" s="18" t="inlineStr">
        <is>
          <t>0169_crobat.json::crobat-4::003</t>
        </is>
      </c>
      <c r="B653" s="19" t="inlineStr">
        <is>
          <t>사용</t>
        </is>
      </c>
      <c r="C653" s="18">
        <f>IF(OR(B653&lt;&gt;AK653,M653&lt;&gt;L653,O653&lt;&gt;"",Q653&lt;&gt;"",V653&lt;&gt;1,Y653&lt;&gt;"",AT653&lt;&gt;""),"수정","원본")</f>
        <v/>
      </c>
      <c r="D653" s="18" t="n">
        <v>169</v>
      </c>
      <c r="E653" s="18" t="inlineStr">
        <is>
          <t>크로뱃</t>
        </is>
      </c>
      <c r="F653" s="18" t="inlineStr">
        <is>
          <t>crobat</t>
        </is>
      </c>
      <c r="G653" s="18" t="inlineStr">
        <is>
          <t>crobat</t>
        </is>
      </c>
      <c r="H653" s="18" t="inlineStr"/>
      <c r="I653" s="18" t="n">
        <v>2</v>
      </c>
      <c r="J653" s="18" t="n"/>
      <c r="K653" s="18" t="n">
        <v>2</v>
      </c>
      <c r="L653" s="18" t="inlineStr">
        <is>
          <t>cobbleventure:generation_2</t>
        </is>
      </c>
      <c r="M653" s="19" t="inlineStr">
        <is>
          <t>cobbleventure:generation_2</t>
        </is>
      </c>
      <c r="N653" s="18" t="inlineStr"/>
      <c r="O653" s="19" t="inlineStr"/>
      <c r="P653" s="18" t="inlineStr">
        <is>
          <t>#cobblemon:is_overworld</t>
        </is>
      </c>
      <c r="Q653" s="19" t="inlineStr"/>
      <c r="R653" s="18">
        <f>IF(Q653="",P653,Q653)</f>
        <v/>
      </c>
      <c r="S653" s="18" t="inlineStr">
        <is>
          <t>#cobblemon:is_deep_dark; #cobblemon:is_forest; #cobblemon:is_swamp</t>
        </is>
      </c>
      <c r="T653" s="18" t="inlineStr">
        <is>
          <t>common</t>
        </is>
      </c>
      <c r="U653" s="20" t="n">
        <v>0.1</v>
      </c>
      <c r="V653" s="21" t="n">
        <v>1</v>
      </c>
      <c r="W653" s="20">
        <f>IF(OR(U653="",V653=""),U653,U653*V653)</f>
        <v/>
      </c>
      <c r="X653" s="18" t="inlineStr">
        <is>
          <t>41-54</t>
        </is>
      </c>
      <c r="Y653" s="19" t="inlineStr"/>
      <c r="Z653" s="18">
        <f>IF(Y653="",X653,Y653)</f>
        <v/>
      </c>
      <c r="AA653" s="18" t="inlineStr">
        <is>
          <t>grounded</t>
        </is>
      </c>
      <c r="AB653" s="18" t="inlineStr"/>
      <c r="AC653" s="18" t="inlineStr"/>
      <c r="AD653" s="18" t="inlineStr"/>
      <c r="AE653" s="18" t="inlineStr">
        <is>
          <t>sky 0-7</t>
        </is>
      </c>
      <c r="AF653" s="18" t="inlineStr"/>
      <c r="AG653" s="18" t="inlineStr"/>
      <c r="AH653" s="18" t="inlineStr"/>
      <c r="AI653" s="18" t="inlineStr"/>
      <c r="AJ653" s="18" t="inlineStr">
        <is>
          <t>Cobblemon 동일</t>
        </is>
      </c>
      <c r="AK653" s="18" t="inlineStr">
        <is>
          <t>사용</t>
        </is>
      </c>
      <c r="AL653" s="18" t="inlineStr">
        <is>
          <t>COBBLEVERSE 1.7.42 / DP v31</t>
        </is>
      </c>
      <c r="AM653" s="18" t="inlineStr">
        <is>
          <t>data/cobblemon/spawn_pool_world/0169_crobat.json</t>
        </is>
      </c>
      <c r="AN653" s="18" t="inlineStr">
        <is>
          <t>crobat-4</t>
        </is>
      </c>
      <c r="AO653" s="18" t="inlineStr">
        <is>
          <t>pokemon</t>
        </is>
      </c>
      <c r="AP653" s="18" t="inlineStr">
        <is>
          <t>natural</t>
        </is>
      </c>
      <c r="AQ653" s="18" t="inlineStr">
        <is>
          <t>{"biomes":["#cobblemon:is_overworld"],"maxSkyLight":7,"minSkyLight":0}</t>
        </is>
      </c>
      <c r="AR653" s="18" t="inlineStr">
        <is>
          <t>{"biomes":["#cobblemon:is_deep_dark","#cobblemon:is_forest","#cobblemon:is_swamp"]}</t>
        </is>
      </c>
      <c r="AS653" s="18" t="inlineStr">
        <is>
          <t>{"weightMultiplier":{"condition":{"timeRange":"day"},"multiplier":1.5}}</t>
        </is>
      </c>
      <c r="AT653" s="19" t="inlineStr"/>
    </row>
    <row r="654" ht="32" customHeight="1">
      <c r="A654" s="18" t="inlineStr">
        <is>
          <t>0169_crobat.json::crobat-5::004</t>
        </is>
      </c>
      <c r="B654" s="19" t="inlineStr">
        <is>
          <t>사용</t>
        </is>
      </c>
      <c r="C654" s="18">
        <f>IF(OR(B654&lt;&gt;AK654,M654&lt;&gt;L654,O654&lt;&gt;"",Q654&lt;&gt;"",V654&lt;&gt;1,Y654&lt;&gt;"",AT654&lt;&gt;""),"수정","원본")</f>
        <v/>
      </c>
      <c r="D654" s="18" t="n">
        <v>169</v>
      </c>
      <c r="E654" s="18" t="inlineStr">
        <is>
          <t>크로뱃</t>
        </is>
      </c>
      <c r="F654" s="18" t="inlineStr">
        <is>
          <t>crobat</t>
        </is>
      </c>
      <c r="G654" s="18" t="inlineStr">
        <is>
          <t>crobat</t>
        </is>
      </c>
      <c r="H654" s="18" t="inlineStr"/>
      <c r="I654" s="18" t="n">
        <v>2</v>
      </c>
      <c r="J654" s="18" t="n"/>
      <c r="K654" s="18" t="n">
        <v>2</v>
      </c>
      <c r="L654" s="18" t="inlineStr">
        <is>
          <t>cobbleventure:generation_2</t>
        </is>
      </c>
      <c r="M654" s="19" t="inlineStr">
        <is>
          <t>cobbleventure:generation_2</t>
        </is>
      </c>
      <c r="N654" s="18" t="inlineStr"/>
      <c r="O654" s="19" t="inlineStr"/>
      <c r="P654" s="18" t="inlineStr">
        <is>
          <t>#cobblemon:is_overworld</t>
        </is>
      </c>
      <c r="Q654" s="19" t="inlineStr"/>
      <c r="R654" s="18">
        <f>IF(Q654="",P654,Q654)</f>
        <v/>
      </c>
      <c r="S654" s="18" t="inlineStr">
        <is>
          <t>#cobblemon:is_deep_dark; #cobblemon:is_forest; #cobblemon:is_swamp</t>
        </is>
      </c>
      <c r="T654" s="18" t="inlineStr">
        <is>
          <t>uncommon</t>
        </is>
      </c>
      <c r="U654" s="20" t="n">
        <v>0.08</v>
      </c>
      <c r="V654" s="21" t="n">
        <v>1</v>
      </c>
      <c r="W654" s="20">
        <f>IF(OR(U654="",V654=""),U654,U654*V654)</f>
        <v/>
      </c>
      <c r="X654" s="18" t="inlineStr">
        <is>
          <t>41-54</t>
        </is>
      </c>
      <c r="Y654" s="19" t="inlineStr"/>
      <c r="Z654" s="18">
        <f>IF(Y654="",X654,Y654)</f>
        <v/>
      </c>
      <c r="AA654" s="18" t="inlineStr">
        <is>
          <t>grounded</t>
        </is>
      </c>
      <c r="AB654" s="18" t="inlineStr"/>
      <c r="AC654" s="18" t="inlineStr"/>
      <c r="AD654" s="18" t="inlineStr"/>
      <c r="AE654" s="18" t="inlineStr"/>
      <c r="AF654" s="18" t="inlineStr">
        <is>
          <t>False</t>
        </is>
      </c>
      <c r="AG654" s="18" t="inlineStr"/>
      <c r="AH654" s="18" t="inlineStr"/>
      <c r="AI654" s="18" t="inlineStr"/>
      <c r="AJ654" s="18" t="inlineStr">
        <is>
          <t>Cobblemon 동일</t>
        </is>
      </c>
      <c r="AK654" s="18" t="inlineStr">
        <is>
          <t>사용</t>
        </is>
      </c>
      <c r="AL654" s="18" t="inlineStr">
        <is>
          <t>COBBLEVERSE 1.7.42 / DP v31</t>
        </is>
      </c>
      <c r="AM654" s="18" t="inlineStr">
        <is>
          <t>data/cobblemon/spawn_pool_world/0169_crobat.json</t>
        </is>
      </c>
      <c r="AN654" s="18" t="inlineStr">
        <is>
          <t>crobat-5</t>
        </is>
      </c>
      <c r="AO654" s="18" t="inlineStr">
        <is>
          <t>pokemon</t>
        </is>
      </c>
      <c r="AP654" s="18" t="inlineStr">
        <is>
          <t>derelict</t>
        </is>
      </c>
      <c r="AQ654" s="18" t="inlineStr">
        <is>
          <t>{"biomes":["#cobblemon:is_overworld"],"canSeeSky":false}</t>
        </is>
      </c>
      <c r="AR654" s="18" t="inlineStr">
        <is>
          <t>{"biomes":["#cobblemon:is_deep_dark","#cobblemon:is_forest","#cobblemon:is_swamp"]}</t>
        </is>
      </c>
      <c r="AS654" s="18" t="inlineStr">
        <is>
          <t>{"weightMultiplier":{"condition":{"timeRange":"day"},"multiplier":1.5}}</t>
        </is>
      </c>
      <c r="AT654" s="19" t="inlineStr"/>
    </row>
    <row r="655" ht="32" customHeight="1">
      <c r="A655" s="18" t="inlineStr">
        <is>
          <t>0169_crobat.json::crobat-6::005</t>
        </is>
      </c>
      <c r="B655" s="19" t="inlineStr">
        <is>
          <t>사용</t>
        </is>
      </c>
      <c r="C655" s="18">
        <f>IF(OR(B655&lt;&gt;AK655,M655&lt;&gt;L655,O655&lt;&gt;"",Q655&lt;&gt;"",V655&lt;&gt;1,Y655&lt;&gt;"",AT655&lt;&gt;""),"수정","원본")</f>
        <v/>
      </c>
      <c r="D655" s="18" t="n">
        <v>169</v>
      </c>
      <c r="E655" s="18" t="inlineStr">
        <is>
          <t>크로뱃</t>
        </is>
      </c>
      <c r="F655" s="18" t="inlineStr">
        <is>
          <t>crobat</t>
        </is>
      </c>
      <c r="G655" s="18" t="inlineStr">
        <is>
          <t>crobat</t>
        </is>
      </c>
      <c r="H655" s="18" t="inlineStr"/>
      <c r="I655" s="18" t="n">
        <v>2</v>
      </c>
      <c r="J655" s="18" t="n"/>
      <c r="K655" s="18" t="n">
        <v>2</v>
      </c>
      <c r="L655" s="18" t="inlineStr">
        <is>
          <t>cobbleventure:generation_2</t>
        </is>
      </c>
      <c r="M655" s="19" t="inlineStr">
        <is>
          <t>cobbleventure:generation_2</t>
        </is>
      </c>
      <c r="N655" s="18" t="inlineStr"/>
      <c r="O655" s="19" t="inlineStr"/>
      <c r="P655" s="18" t="inlineStr">
        <is>
          <t>#cobblemon:is_spooky</t>
        </is>
      </c>
      <c r="Q655" s="19" t="inlineStr"/>
      <c r="R655" s="18">
        <f>IF(Q655="",P655,Q655)</f>
        <v/>
      </c>
      <c r="S655" s="18" t="inlineStr"/>
      <c r="T655" s="18" t="inlineStr">
        <is>
          <t>common</t>
        </is>
      </c>
      <c r="U655" s="20" t="n">
        <v>0.1</v>
      </c>
      <c r="V655" s="21" t="n">
        <v>1</v>
      </c>
      <c r="W655" s="20">
        <f>IF(OR(U655="",V655=""),U655,U655*V655)</f>
        <v/>
      </c>
      <c r="X655" s="18" t="inlineStr">
        <is>
          <t>41-54</t>
        </is>
      </c>
      <c r="Y655" s="19" t="inlineStr"/>
      <c r="Z655" s="18">
        <f>IF(Y655="",X655,Y655)</f>
        <v/>
      </c>
      <c r="AA655" s="18" t="inlineStr">
        <is>
          <t>grounded</t>
        </is>
      </c>
      <c r="AB655" s="18" t="inlineStr"/>
      <c r="AC655" s="18" t="inlineStr">
        <is>
          <t>비=False</t>
        </is>
      </c>
      <c r="AD655" s="18" t="inlineStr"/>
      <c r="AE655" s="18" t="inlineStr">
        <is>
          <t>sky 8-15</t>
        </is>
      </c>
      <c r="AF655" s="18" t="inlineStr"/>
      <c r="AG655" s="18" t="inlineStr"/>
      <c r="AH655" s="18" t="inlineStr"/>
      <c r="AI655" s="18" t="inlineStr"/>
      <c r="AJ655" s="18" t="inlineStr">
        <is>
          <t>Cobblemon 동일</t>
        </is>
      </c>
      <c r="AK655" s="18" t="inlineStr">
        <is>
          <t>사용</t>
        </is>
      </c>
      <c r="AL655" s="18" t="inlineStr">
        <is>
          <t>COBBLEVERSE 1.7.42 / DP v31</t>
        </is>
      </c>
      <c r="AM655" s="18" t="inlineStr">
        <is>
          <t>data/cobblemon/spawn_pool_world/0169_crobat.json</t>
        </is>
      </c>
      <c r="AN655" s="18" t="inlineStr">
        <is>
          <t>crobat-6</t>
        </is>
      </c>
      <c r="AO655" s="18" t="inlineStr">
        <is>
          <t>pokemon</t>
        </is>
      </c>
      <c r="AP655" s="18" t="inlineStr">
        <is>
          <t>natural</t>
        </is>
      </c>
      <c r="AQ655" s="18" t="inlineStr">
        <is>
          <t>{"biomes":["#cobblemon:is_spooky"],"isRaining":false,"maxSkyLight":15,"minSkyLight":8}</t>
        </is>
      </c>
      <c r="AR655" s="18" t="inlineStr"/>
      <c r="AS655" s="18" t="inlineStr">
        <is>
          <t>{"weightMultiplier":{"condition":{"timeRange":"night"},"multiplier":1.5}}</t>
        </is>
      </c>
      <c r="AT655" s="19" t="inlineStr"/>
    </row>
    <row r="656" ht="32" customHeight="1">
      <c r="A656" s="18" t="inlineStr">
        <is>
          <t>0169_crobat.json::crobat-8::006</t>
        </is>
      </c>
      <c r="B656" s="19" t="inlineStr">
        <is>
          <t>사용</t>
        </is>
      </c>
      <c r="C656" s="18">
        <f>IF(OR(B656&lt;&gt;AK656,M656&lt;&gt;L656,O656&lt;&gt;"",Q656&lt;&gt;"",V656&lt;&gt;1,Y656&lt;&gt;"",AT656&lt;&gt;""),"수정","원본")</f>
        <v/>
      </c>
      <c r="D656" s="18" t="n">
        <v>169</v>
      </c>
      <c r="E656" s="18" t="inlineStr">
        <is>
          <t>크로뱃</t>
        </is>
      </c>
      <c r="F656" s="18" t="inlineStr">
        <is>
          <t>crobat</t>
        </is>
      </c>
      <c r="G656" s="18" t="inlineStr">
        <is>
          <t>crobat</t>
        </is>
      </c>
      <c r="H656" s="18" t="inlineStr"/>
      <c r="I656" s="18" t="n">
        <v>2</v>
      </c>
      <c r="J656" s="18" t="n"/>
      <c r="K656" s="18" t="n">
        <v>2</v>
      </c>
      <c r="L656" s="18" t="inlineStr">
        <is>
          <t>cobbleventure:generation_2</t>
        </is>
      </c>
      <c r="M656" s="19" t="inlineStr">
        <is>
          <t>cobbleventure:generation_2</t>
        </is>
      </c>
      <c r="N656" s="18" t="inlineStr"/>
      <c r="O656" s="19" t="inlineStr"/>
      <c r="P656" s="18" t="inlineStr">
        <is>
          <t>#cobblemon:is_deep_dark</t>
        </is>
      </c>
      <c r="Q656" s="19" t="inlineStr"/>
      <c r="R656" s="18">
        <f>IF(Q656="",P656,Q656)</f>
        <v/>
      </c>
      <c r="S656" s="18" t="inlineStr"/>
      <c r="T656" s="18" t="inlineStr">
        <is>
          <t>uncommon</t>
        </is>
      </c>
      <c r="U656" s="20" t="n">
        <v>0.08</v>
      </c>
      <c r="V656" s="21" t="n">
        <v>1</v>
      </c>
      <c r="W656" s="20">
        <f>IF(OR(U656="",V656=""),U656,U656*V656)</f>
        <v/>
      </c>
      <c r="X656" s="18" t="inlineStr">
        <is>
          <t>41-54</t>
        </is>
      </c>
      <c r="Y656" s="19" t="inlineStr"/>
      <c r="Z656" s="18">
        <f>IF(Y656="",X656,Y656)</f>
        <v/>
      </c>
      <c r="AA656" s="18" t="inlineStr">
        <is>
          <t>grounded</t>
        </is>
      </c>
      <c r="AB656" s="18" t="inlineStr"/>
      <c r="AC656" s="18" t="inlineStr"/>
      <c r="AD656" s="18" t="inlineStr"/>
      <c r="AE656" s="18" t="inlineStr">
        <is>
          <t>sky 0-7</t>
        </is>
      </c>
      <c r="AF656" s="18" t="inlineStr"/>
      <c r="AG656" s="18" t="inlineStr"/>
      <c r="AH656" s="18" t="inlineStr"/>
      <c r="AI656" s="18" t="inlineStr"/>
      <c r="AJ656" s="18" t="inlineStr">
        <is>
          <t>Cobblemon 동일</t>
        </is>
      </c>
      <c r="AK656" s="18" t="inlineStr">
        <is>
          <t>사용</t>
        </is>
      </c>
      <c r="AL656" s="18" t="inlineStr">
        <is>
          <t>COBBLEVERSE 1.7.42 / DP v31</t>
        </is>
      </c>
      <c r="AM656" s="18" t="inlineStr">
        <is>
          <t>data/cobblemon/spawn_pool_world/0169_crobat.json</t>
        </is>
      </c>
      <c r="AN656" s="18" t="inlineStr">
        <is>
          <t>crobat-8</t>
        </is>
      </c>
      <c r="AO656" s="18" t="inlineStr">
        <is>
          <t>pokemon</t>
        </is>
      </c>
      <c r="AP656" s="18" t="inlineStr">
        <is>
          <t>natural</t>
        </is>
      </c>
      <c r="AQ656" s="18" t="inlineStr">
        <is>
          <t>{"biomes":["#cobblemon:is_deep_dark"],"maxSkyLight":7,"minSkyLight":0}</t>
        </is>
      </c>
      <c r="AR656" s="18" t="inlineStr"/>
      <c r="AS656" s="18" t="inlineStr"/>
      <c r="AT656" s="19" t="inlineStr"/>
    </row>
    <row r="657" ht="32" customHeight="1">
      <c r="A657" s="18" t="inlineStr">
        <is>
          <t>0169_crobat.json::crobat-9::007</t>
        </is>
      </c>
      <c r="B657" s="19" t="inlineStr">
        <is>
          <t>사용</t>
        </is>
      </c>
      <c r="C657" s="18">
        <f>IF(OR(B657&lt;&gt;AK657,M657&lt;&gt;L657,O657&lt;&gt;"",Q657&lt;&gt;"",V657&lt;&gt;1,Y657&lt;&gt;"",AT657&lt;&gt;""),"수정","원본")</f>
        <v/>
      </c>
      <c r="D657" s="18" t="n">
        <v>169</v>
      </c>
      <c r="E657" s="18" t="inlineStr">
        <is>
          <t>크로뱃</t>
        </is>
      </c>
      <c r="F657" s="18" t="inlineStr">
        <is>
          <t>crobat</t>
        </is>
      </c>
      <c r="G657" s="18" t="inlineStr">
        <is>
          <t>crobat</t>
        </is>
      </c>
      <c r="H657" s="18" t="inlineStr"/>
      <c r="I657" s="18" t="n">
        <v>2</v>
      </c>
      <c r="J657" s="18" t="n"/>
      <c r="K657" s="18" t="n">
        <v>2</v>
      </c>
      <c r="L657" s="18" t="inlineStr">
        <is>
          <t>cobbleventure:generation_2</t>
        </is>
      </c>
      <c r="M657" s="19" t="inlineStr">
        <is>
          <t>cobbleventure:generation_2</t>
        </is>
      </c>
      <c r="N657" s="18" t="inlineStr"/>
      <c r="O657" s="19" t="inlineStr"/>
      <c r="P657" s="18" t="inlineStr">
        <is>
          <t>#aether:is_aether</t>
        </is>
      </c>
      <c r="Q657" s="19" t="inlineStr"/>
      <c r="R657" s="18">
        <f>IF(Q657="",P657,Q657)</f>
        <v/>
      </c>
      <c r="S657" s="18" t="inlineStr"/>
      <c r="T657" s="18" t="inlineStr">
        <is>
          <t>common</t>
        </is>
      </c>
      <c r="U657" s="20" t="n">
        <v>0.1</v>
      </c>
      <c r="V657" s="21" t="n">
        <v>1</v>
      </c>
      <c r="W657" s="20">
        <f>IF(OR(U657="",V657=""),U657,U657*V657)</f>
        <v/>
      </c>
      <c r="X657" s="18" t="inlineStr">
        <is>
          <t>41-54</t>
        </is>
      </c>
      <c r="Y657" s="19" t="inlineStr"/>
      <c r="Z657" s="18">
        <f>IF(Y657="",X657,Y657)</f>
        <v/>
      </c>
      <c r="AA657" s="18" t="inlineStr">
        <is>
          <t>grounded</t>
        </is>
      </c>
      <c r="AB657" s="18" t="inlineStr"/>
      <c r="AC657" s="18" t="inlineStr"/>
      <c r="AD657" s="18" t="inlineStr"/>
      <c r="AE657" s="18" t="inlineStr">
        <is>
          <t>sky 0-7</t>
        </is>
      </c>
      <c r="AF657" s="18" t="inlineStr"/>
      <c r="AG657" s="18" t="inlineStr"/>
      <c r="AH657" s="18" t="inlineStr"/>
      <c r="AI657" s="18" t="inlineStr"/>
      <c r="AJ657" s="18" t="inlineStr">
        <is>
          <t>Cobblemon 동일</t>
        </is>
      </c>
      <c r="AK657" s="18" t="inlineStr">
        <is>
          <t>사용</t>
        </is>
      </c>
      <c r="AL657" s="18" t="inlineStr">
        <is>
          <t>COBBLEVERSE 1.7.42 / DP v31</t>
        </is>
      </c>
      <c r="AM657" s="18" t="inlineStr">
        <is>
          <t>data/cobblemon/spawn_pool_world/0169_crobat.json</t>
        </is>
      </c>
      <c r="AN657" s="18" t="inlineStr">
        <is>
          <t>crobat-9</t>
        </is>
      </c>
      <c r="AO657" s="18" t="inlineStr">
        <is>
          <t>pokemon</t>
        </is>
      </c>
      <c r="AP657" s="18" t="inlineStr">
        <is>
          <t>natural</t>
        </is>
      </c>
      <c r="AQ657" s="18" t="inlineStr">
        <is>
          <t>{"biomes":["#aether:is_aether"],"maxSkyLight":7,"minSkyLight":0}</t>
        </is>
      </c>
      <c r="AR657" s="18" t="inlineStr"/>
      <c r="AS657" s="18" t="inlineStr"/>
      <c r="AT657" s="19" t="inlineStr"/>
    </row>
    <row r="658" ht="32" customHeight="1">
      <c r="A658" s="18" t="inlineStr">
        <is>
          <t>0170_chinchou.json::chinchou-1::001</t>
        </is>
      </c>
      <c r="B658" s="19" t="inlineStr">
        <is>
          <t>사용</t>
        </is>
      </c>
      <c r="C658" s="18">
        <f>IF(OR(B658&lt;&gt;AK658,M658&lt;&gt;L658,O658&lt;&gt;"",Q658&lt;&gt;"",V658&lt;&gt;1,Y658&lt;&gt;"",AT658&lt;&gt;""),"수정","원본")</f>
        <v/>
      </c>
      <c r="D658" s="18" t="n">
        <v>170</v>
      </c>
      <c r="E658" s="18" t="inlineStr">
        <is>
          <t>초라기</t>
        </is>
      </c>
      <c r="F658" s="18" t="inlineStr">
        <is>
          <t>chinchou</t>
        </is>
      </c>
      <c r="G658" s="18" t="inlineStr">
        <is>
          <t>chinchou</t>
        </is>
      </c>
      <c r="H658" s="18" t="inlineStr"/>
      <c r="I658" s="18" t="n">
        <v>2</v>
      </c>
      <c r="J658" s="18" t="n"/>
      <c r="K658" s="18" t="n">
        <v>2</v>
      </c>
      <c r="L658" s="18" t="inlineStr">
        <is>
          <t>cobbleventure:generation_2</t>
        </is>
      </c>
      <c r="M658" s="19" t="inlineStr">
        <is>
          <t>cobbleventure:generation_2</t>
        </is>
      </c>
      <c r="N658" s="18" t="inlineStr"/>
      <c r="O658" s="19" t="inlineStr"/>
      <c r="P658" s="18" t="inlineStr">
        <is>
          <t>#cobblemon:is_deep_ocean</t>
        </is>
      </c>
      <c r="Q658" s="19" t="inlineStr"/>
      <c r="R658" s="18">
        <f>IF(Q658="",P658,Q658)</f>
        <v/>
      </c>
      <c r="S658" s="18" t="inlineStr"/>
      <c r="T658" s="18" t="inlineStr">
        <is>
          <t>common</t>
        </is>
      </c>
      <c r="U658" s="20" t="n">
        <v>5.4</v>
      </c>
      <c r="V658" s="21" t="n">
        <v>1</v>
      </c>
      <c r="W658" s="20">
        <f>IF(OR(U658="",V658=""),U658,U658*V658)</f>
        <v/>
      </c>
      <c r="X658" s="18" t="inlineStr">
        <is>
          <t>8-33</t>
        </is>
      </c>
      <c r="Y658" s="19" t="inlineStr"/>
      <c r="Z658" s="18">
        <f>IF(Y658="",X658,Y658)</f>
        <v/>
      </c>
      <c r="AA658" s="18" t="inlineStr">
        <is>
          <t>submerged</t>
        </is>
      </c>
      <c r="AB658" s="18" t="inlineStr"/>
      <c r="AC658" s="18" t="inlineStr"/>
      <c r="AD658" s="18" t="inlineStr">
        <is>
          <t>maxY=48</t>
        </is>
      </c>
      <c r="AE658" s="18" t="inlineStr"/>
      <c r="AF658" s="18" t="inlineStr">
        <is>
          <t>True</t>
        </is>
      </c>
      <c r="AG658" s="18" t="inlineStr"/>
      <c r="AH658" s="18" t="inlineStr"/>
      <c r="AI658" s="18" t="inlineStr"/>
      <c r="AJ658" s="18" t="inlineStr">
        <is>
          <t>Cobblemon 동일</t>
        </is>
      </c>
      <c r="AK658" s="18" t="inlineStr">
        <is>
          <t>사용</t>
        </is>
      </c>
      <c r="AL658" s="18" t="inlineStr">
        <is>
          <t>COBBLEVERSE 1.7.42 / DP v31</t>
        </is>
      </c>
      <c r="AM658" s="18" t="inlineStr">
        <is>
          <t>data/cobblemon/spawn_pool_world/0170_chinchou.json</t>
        </is>
      </c>
      <c r="AN658" s="18" t="inlineStr">
        <is>
          <t>chinchou-1</t>
        </is>
      </c>
      <c r="AO658" s="18" t="inlineStr">
        <is>
          <t>pokemon</t>
        </is>
      </c>
      <c r="AP658" s="18" t="inlineStr">
        <is>
          <t>water</t>
        </is>
      </c>
      <c r="AQ658" s="18" t="inlineStr">
        <is>
          <t>{"biomes":["#cobblemon:is_deep_ocean"],"canSeeSky":true,"maxY":48}</t>
        </is>
      </c>
      <c r="AR658" s="18" t="inlineStr"/>
      <c r="AS658" s="18" t="inlineStr"/>
      <c r="AT658" s="19" t="inlineStr"/>
    </row>
    <row r="659" ht="32" customHeight="1">
      <c r="A659" s="18" t="inlineStr">
        <is>
          <t>0170_chinchou.json::chinchou-2::002</t>
        </is>
      </c>
      <c r="B659" s="19" t="inlineStr">
        <is>
          <t>사용</t>
        </is>
      </c>
      <c r="C659" s="18">
        <f>IF(OR(B659&lt;&gt;AK659,M659&lt;&gt;L659,O659&lt;&gt;"",Q659&lt;&gt;"",V659&lt;&gt;1,Y659&lt;&gt;"",AT659&lt;&gt;""),"수정","원본")</f>
        <v/>
      </c>
      <c r="D659" s="18" t="n">
        <v>170</v>
      </c>
      <c r="E659" s="18" t="inlineStr">
        <is>
          <t>초라기</t>
        </is>
      </c>
      <c r="F659" s="18" t="inlineStr">
        <is>
          <t>chinchou</t>
        </is>
      </c>
      <c r="G659" s="18" t="inlineStr">
        <is>
          <t>chinchou</t>
        </is>
      </c>
      <c r="H659" s="18" t="inlineStr"/>
      <c r="I659" s="18" t="n">
        <v>2</v>
      </c>
      <c r="J659" s="18" t="n"/>
      <c r="K659" s="18" t="n">
        <v>2</v>
      </c>
      <c r="L659" s="18" t="inlineStr">
        <is>
          <t>cobbleventure:generation_2</t>
        </is>
      </c>
      <c r="M659" s="19" t="inlineStr">
        <is>
          <t>cobbleventure:generation_2</t>
        </is>
      </c>
      <c r="N659" s="18" t="inlineStr"/>
      <c r="O659" s="19" t="inlineStr"/>
      <c r="P659" s="18" t="inlineStr">
        <is>
          <t>#cobblemon:is_ocean</t>
        </is>
      </c>
      <c r="Q659" s="19" t="inlineStr"/>
      <c r="R659" s="18">
        <f>IF(Q659="",P659,Q659)</f>
        <v/>
      </c>
      <c r="S659" s="18" t="inlineStr"/>
      <c r="T659" s="18" t="inlineStr">
        <is>
          <t>common</t>
        </is>
      </c>
      <c r="U659" s="20" t="n">
        <v>9</v>
      </c>
      <c r="V659" s="21" t="n">
        <v>1</v>
      </c>
      <c r="W659" s="20">
        <f>IF(OR(U659="",V659=""),U659,U659*V659)</f>
        <v/>
      </c>
      <c r="X659" s="18" t="inlineStr">
        <is>
          <t>8-33</t>
        </is>
      </c>
      <c r="Y659" s="19" t="inlineStr"/>
      <c r="Z659" s="18">
        <f>IF(Y659="",X659,Y659)</f>
        <v/>
      </c>
      <c r="AA659" s="18" t="inlineStr">
        <is>
          <t>fishing</t>
        </is>
      </c>
      <c r="AB659" s="18" t="inlineStr"/>
      <c r="AC659" s="18" t="inlineStr"/>
      <c r="AD659" s="18" t="inlineStr"/>
      <c r="AE659" s="18" t="inlineStr"/>
      <c r="AF659" s="18" t="inlineStr">
        <is>
          <t>True</t>
        </is>
      </c>
      <c r="AG659" s="18" t="inlineStr"/>
      <c r="AH659" s="18" t="inlineStr"/>
      <c r="AI659" s="18" t="inlineStr"/>
      <c r="AJ659" s="18" t="inlineStr">
        <is>
          <t>Cobblemon 동일</t>
        </is>
      </c>
      <c r="AK659" s="18" t="inlineStr">
        <is>
          <t>사용</t>
        </is>
      </c>
      <c r="AL659" s="18" t="inlineStr">
        <is>
          <t>COBBLEVERSE 1.7.42 / DP v31</t>
        </is>
      </c>
      <c r="AM659" s="18" t="inlineStr">
        <is>
          <t>data/cobblemon/spawn_pool_world/0170_chinchou.json</t>
        </is>
      </c>
      <c r="AN659" s="18" t="inlineStr">
        <is>
          <t>chinchou-2</t>
        </is>
      </c>
      <c r="AO659" s="18" t="inlineStr">
        <is>
          <t>pokemon</t>
        </is>
      </c>
      <c r="AP659" s="18" t="inlineStr"/>
      <c r="AQ659" s="18" t="inlineStr">
        <is>
          <t>{"biomes":["#cobblemon:is_ocean"],"canSeeSky":true}</t>
        </is>
      </c>
      <c r="AR659" s="18" t="inlineStr"/>
      <c r="AS659" s="18" t="inlineStr">
        <is>
          <t>{"weightMultiplier":{"condition":{"maxLureLevel":1,"minLureLevel":0},"multiplier":0.6}}</t>
        </is>
      </c>
      <c r="AT659" s="19" t="inlineStr"/>
    </row>
    <row r="660" ht="32" customHeight="1">
      <c r="A660" s="18" t="inlineStr">
        <is>
          <t>0170_chinchou.json::chinchou-3::003</t>
        </is>
      </c>
      <c r="B660" s="19" t="inlineStr">
        <is>
          <t>사용</t>
        </is>
      </c>
      <c r="C660" s="18">
        <f>IF(OR(B660&lt;&gt;AK660,M660&lt;&gt;L660,O660&lt;&gt;"",Q660&lt;&gt;"",V660&lt;&gt;1,Y660&lt;&gt;"",AT660&lt;&gt;""),"수정","원본")</f>
        <v/>
      </c>
      <c r="D660" s="18" t="n">
        <v>170</v>
      </c>
      <c r="E660" s="18" t="inlineStr">
        <is>
          <t>초라기</t>
        </is>
      </c>
      <c r="F660" s="18" t="inlineStr">
        <is>
          <t>chinchou</t>
        </is>
      </c>
      <c r="G660" s="18" t="inlineStr">
        <is>
          <t>chinchou</t>
        </is>
      </c>
      <c r="H660" s="18" t="inlineStr"/>
      <c r="I660" s="18" t="n">
        <v>2</v>
      </c>
      <c r="J660" s="18" t="n"/>
      <c r="K660" s="18" t="n">
        <v>2</v>
      </c>
      <c r="L660" s="18" t="inlineStr">
        <is>
          <t>cobbleventure:generation_2</t>
        </is>
      </c>
      <c r="M660" s="19" t="inlineStr">
        <is>
          <t>cobbleventure:generation_2</t>
        </is>
      </c>
      <c r="N660" s="18" t="inlineStr"/>
      <c r="O660" s="19" t="inlineStr"/>
      <c r="P660" s="18" t="inlineStr">
        <is>
          <t>#cobblemon:is_deep_ocean</t>
        </is>
      </c>
      <c r="Q660" s="19" t="inlineStr"/>
      <c r="R660" s="18">
        <f>IF(Q660="",P660,Q660)</f>
        <v/>
      </c>
      <c r="S660" s="18" t="inlineStr"/>
      <c r="T660" s="18" t="inlineStr">
        <is>
          <t>common</t>
        </is>
      </c>
      <c r="U660" s="20" t="n">
        <v>5.4</v>
      </c>
      <c r="V660" s="21" t="n">
        <v>1</v>
      </c>
      <c r="W660" s="20">
        <f>IF(OR(U660="",V660=""),U660,U660*V660)</f>
        <v/>
      </c>
      <c r="X660" s="18" t="inlineStr">
        <is>
          <t>8-33</t>
        </is>
      </c>
      <c r="Y660" s="19" t="inlineStr"/>
      <c r="Z660" s="18">
        <f>IF(Y660="",X660,Y660)</f>
        <v/>
      </c>
      <c r="AA660" s="18" t="inlineStr">
        <is>
          <t>submerged</t>
        </is>
      </c>
      <c r="AB660" s="18" t="inlineStr"/>
      <c r="AC660" s="18" t="inlineStr"/>
      <c r="AD660" s="18" t="inlineStr">
        <is>
          <t>maxY=48</t>
        </is>
      </c>
      <c r="AE660" s="18" t="inlineStr">
        <is>
          <t>sky 8-15</t>
        </is>
      </c>
      <c r="AF660" s="18" t="inlineStr">
        <is>
          <t>False</t>
        </is>
      </c>
      <c r="AG660" s="18" t="inlineStr"/>
      <c r="AH660" s="18" t="inlineStr"/>
      <c r="AI660" s="18" t="inlineStr"/>
      <c r="AJ660" s="18" t="inlineStr">
        <is>
          <t>Cobblemon 동일</t>
        </is>
      </c>
      <c r="AK660" s="18" t="inlineStr">
        <is>
          <t>사용</t>
        </is>
      </c>
      <c r="AL660" s="18" t="inlineStr">
        <is>
          <t>COBBLEVERSE 1.7.42 / DP v31</t>
        </is>
      </c>
      <c r="AM660" s="18" t="inlineStr">
        <is>
          <t>data/cobblemon/spawn_pool_world/0170_chinchou.json</t>
        </is>
      </c>
      <c r="AN660" s="18" t="inlineStr">
        <is>
          <t>chinchou-3</t>
        </is>
      </c>
      <c r="AO660" s="18" t="inlineStr">
        <is>
          <t>pokemon</t>
        </is>
      </c>
      <c r="AP660" s="18" t="inlineStr">
        <is>
          <t>water</t>
        </is>
      </c>
      <c r="AQ660" s="18" t="inlineStr">
        <is>
          <t>{"biomes":["#cobblemon:is_deep_ocean"],"canSeeSky":false,"maxSkyLight":15,"maxY":48,"minSkyLight":8}</t>
        </is>
      </c>
      <c r="AR660" s="18" t="inlineStr"/>
      <c r="AS660" s="18" t="inlineStr"/>
      <c r="AT660" s="19" t="inlineStr"/>
    </row>
    <row r="661" ht="32" customHeight="1">
      <c r="A661" s="18" t="inlineStr">
        <is>
          <t>0170_chinchou.json::chinchou-4::004</t>
        </is>
      </c>
      <c r="B661" s="19" t="inlineStr">
        <is>
          <t>사용</t>
        </is>
      </c>
      <c r="C661" s="18">
        <f>IF(OR(B661&lt;&gt;AK661,M661&lt;&gt;L661,O661&lt;&gt;"",Q661&lt;&gt;"",V661&lt;&gt;1,Y661&lt;&gt;"",AT661&lt;&gt;""),"수정","원본")</f>
        <v/>
      </c>
      <c r="D661" s="18" t="n">
        <v>170</v>
      </c>
      <c r="E661" s="18" t="inlineStr">
        <is>
          <t>초라기</t>
        </is>
      </c>
      <c r="F661" s="18" t="inlineStr">
        <is>
          <t>chinchou</t>
        </is>
      </c>
      <c r="G661" s="18" t="inlineStr">
        <is>
          <t>chinchou</t>
        </is>
      </c>
      <c r="H661" s="18" t="inlineStr"/>
      <c r="I661" s="18" t="n">
        <v>2</v>
      </c>
      <c r="J661" s="18" t="n"/>
      <c r="K661" s="18" t="n">
        <v>2</v>
      </c>
      <c r="L661" s="18" t="inlineStr">
        <is>
          <t>cobbleventure:generation_2</t>
        </is>
      </c>
      <c r="M661" s="19" t="inlineStr">
        <is>
          <t>cobbleventure:generation_2</t>
        </is>
      </c>
      <c r="N661" s="18" t="inlineStr"/>
      <c r="O661" s="19" t="inlineStr"/>
      <c r="P661" s="18" t="inlineStr">
        <is>
          <t>#cobblemon:is_ocean</t>
        </is>
      </c>
      <c r="Q661" s="19" t="inlineStr"/>
      <c r="R661" s="18">
        <f>IF(Q661="",P661,Q661)</f>
        <v/>
      </c>
      <c r="S661" s="18" t="inlineStr"/>
      <c r="T661" s="18" t="inlineStr">
        <is>
          <t>common</t>
        </is>
      </c>
      <c r="U661" s="20" t="n">
        <v>9</v>
      </c>
      <c r="V661" s="21" t="n">
        <v>1</v>
      </c>
      <c r="W661" s="20">
        <f>IF(OR(U661="",V661=""),U661,U661*V661)</f>
        <v/>
      </c>
      <c r="X661" s="18" t="inlineStr">
        <is>
          <t>8-33</t>
        </is>
      </c>
      <c r="Y661" s="19" t="inlineStr"/>
      <c r="Z661" s="18">
        <f>IF(Y661="",X661,Y661)</f>
        <v/>
      </c>
      <c r="AA661" s="18" t="inlineStr">
        <is>
          <t>fishing</t>
        </is>
      </c>
      <c r="AB661" s="18" t="inlineStr"/>
      <c r="AC661" s="18" t="inlineStr"/>
      <c r="AD661" s="18" t="inlineStr"/>
      <c r="AE661" s="18" t="inlineStr">
        <is>
          <t>sky 8-15</t>
        </is>
      </c>
      <c r="AF661" s="18" t="inlineStr">
        <is>
          <t>False</t>
        </is>
      </c>
      <c r="AG661" s="18" t="inlineStr"/>
      <c r="AH661" s="18" t="inlineStr"/>
      <c r="AI661" s="18" t="inlineStr"/>
      <c r="AJ661" s="18" t="inlineStr">
        <is>
          <t>Cobblemon 동일</t>
        </is>
      </c>
      <c r="AK661" s="18" t="inlineStr">
        <is>
          <t>사용</t>
        </is>
      </c>
      <c r="AL661" s="18" t="inlineStr">
        <is>
          <t>COBBLEVERSE 1.7.42 / DP v31</t>
        </is>
      </c>
      <c r="AM661" s="18" t="inlineStr">
        <is>
          <t>data/cobblemon/spawn_pool_world/0170_chinchou.json</t>
        </is>
      </c>
      <c r="AN661" s="18" t="inlineStr">
        <is>
          <t>chinchou-4</t>
        </is>
      </c>
      <c r="AO661" s="18" t="inlineStr">
        <is>
          <t>pokemon</t>
        </is>
      </c>
      <c r="AP661" s="18" t="inlineStr"/>
      <c r="AQ661" s="18" t="inlineStr">
        <is>
          <t>{"biomes":["#cobblemon:is_ocean"],"canSeeSky":false,"maxSkyLight":15,"minSkyLight":8}</t>
        </is>
      </c>
      <c r="AR661" s="18" t="inlineStr"/>
      <c r="AS661" s="18" t="inlineStr">
        <is>
          <t>{"weightMultiplier":{"condition":{"maxLureLevel":1,"minLureLevel":0},"multiplier":0.6}}</t>
        </is>
      </c>
      <c r="AT661" s="19" t="inlineStr"/>
    </row>
    <row r="662" ht="32" customHeight="1">
      <c r="A662" s="18" t="inlineStr">
        <is>
          <t>0170_chinchou.json::chinchou-5::005</t>
        </is>
      </c>
      <c r="B662" s="19" t="inlineStr">
        <is>
          <t>사용</t>
        </is>
      </c>
      <c r="C662" s="18">
        <f>IF(OR(B662&lt;&gt;AK662,M662&lt;&gt;L662,O662&lt;&gt;"",Q662&lt;&gt;"",V662&lt;&gt;1,Y662&lt;&gt;"",AT662&lt;&gt;""),"수정","원본")</f>
        <v/>
      </c>
      <c r="D662" s="18" t="n">
        <v>170</v>
      </c>
      <c r="E662" s="18" t="inlineStr">
        <is>
          <t>초라기</t>
        </is>
      </c>
      <c r="F662" s="18" t="inlineStr">
        <is>
          <t>chinchou</t>
        </is>
      </c>
      <c r="G662" s="18" t="inlineStr">
        <is>
          <t>chinchou</t>
        </is>
      </c>
      <c r="H662" s="18" t="inlineStr"/>
      <c r="I662" s="18" t="n">
        <v>2</v>
      </c>
      <c r="J662" s="18" t="n"/>
      <c r="K662" s="18" t="n">
        <v>2</v>
      </c>
      <c r="L662" s="18" t="inlineStr">
        <is>
          <t>cobbleventure:generation_2</t>
        </is>
      </c>
      <c r="M662" s="19" t="inlineStr">
        <is>
          <t>cobbleventure:generation_2</t>
        </is>
      </c>
      <c r="N662" s="18" t="inlineStr">
        <is>
          <t>region_01; region_02</t>
        </is>
      </c>
      <c r="O662" s="19" t="inlineStr"/>
      <c r="P662" s="18" t="inlineStr">
        <is>
          <t>#cobblemon:is_overworld</t>
        </is>
      </c>
      <c r="Q662" s="19" t="inlineStr"/>
      <c r="R662" s="18">
        <f>IF(Q662="",P662,Q662)</f>
        <v/>
      </c>
      <c r="S662" s="18" t="inlineStr"/>
      <c r="T662" s="18" t="inlineStr">
        <is>
          <t>common</t>
        </is>
      </c>
      <c r="U662" s="20" t="n">
        <v>5.4</v>
      </c>
      <c r="V662" s="21" t="n">
        <v>1</v>
      </c>
      <c r="W662" s="20">
        <f>IF(OR(U662="",V662=""),U662,U662*V662)</f>
        <v/>
      </c>
      <c r="X662" s="18" t="inlineStr">
        <is>
          <t>8-33</t>
        </is>
      </c>
      <c r="Y662" s="19" t="inlineStr"/>
      <c r="Z662" s="18">
        <f>IF(Y662="",X662,Y662)</f>
        <v/>
      </c>
      <c r="AA662" s="18" t="inlineStr">
        <is>
          <t>submerged</t>
        </is>
      </c>
      <c r="AB662" s="18" t="inlineStr"/>
      <c r="AC662" s="18" t="inlineStr"/>
      <c r="AD662" s="18" t="inlineStr">
        <is>
          <t>minY=-60, maxY=13</t>
        </is>
      </c>
      <c r="AE662" s="18" t="inlineStr"/>
      <c r="AF662" s="18" t="inlineStr">
        <is>
          <t>False</t>
        </is>
      </c>
      <c r="AG662" s="18" t="inlineStr">
        <is>
          <t>cobblemon:shipwreck_coves/submerged_shipwreck_cove</t>
        </is>
      </c>
      <c r="AH662" s="18" t="inlineStr"/>
      <c r="AI662" s="18" t="inlineStr"/>
      <c r="AJ662" s="18" t="inlineStr">
        <is>
          <t>Cobblemon 동일</t>
        </is>
      </c>
      <c r="AK662" s="18" t="inlineStr">
        <is>
          <t>사용</t>
        </is>
      </c>
      <c r="AL662" s="18" t="inlineStr">
        <is>
          <t>COBBLEVERSE 1.7.42 / DP v31</t>
        </is>
      </c>
      <c r="AM662" s="18" t="inlineStr">
        <is>
          <t>data/cobblemon/spawn_pool_world/0170_chinchou.json</t>
        </is>
      </c>
      <c r="AN662" s="18" t="inlineStr">
        <is>
          <t>chinchou-5</t>
        </is>
      </c>
      <c r="AO662" s="18" t="inlineStr">
        <is>
          <t>pokemon</t>
        </is>
      </c>
      <c r="AP662" s="18" t="inlineStr">
        <is>
          <t>water</t>
        </is>
      </c>
      <c r="AQ662" s="18" t="inlineStr">
        <is>
          <t>{"biomes":["#cobblemon:is_overworld"],"canSeeSky":false,"maxY":13,"minY":-60,"structures":["cobblemon:shipwreck_coves/submerged_shipwreck_cove"]}</t>
        </is>
      </c>
      <c r="AR662" s="18" t="inlineStr"/>
      <c r="AS662" s="18" t="inlineStr"/>
      <c r="AT662" s="19" t="inlineStr"/>
    </row>
    <row r="663" ht="32" customHeight="1">
      <c r="A663" s="18" t="inlineStr">
        <is>
          <t>0170_chinchou.json::chinchou-6::006</t>
        </is>
      </c>
      <c r="B663" s="19" t="inlineStr">
        <is>
          <t>사용</t>
        </is>
      </c>
      <c r="C663" s="18">
        <f>IF(OR(B663&lt;&gt;AK663,M663&lt;&gt;L663,O663&lt;&gt;"",Q663&lt;&gt;"",V663&lt;&gt;1,Y663&lt;&gt;"",AT663&lt;&gt;""),"수정","원본")</f>
        <v/>
      </c>
      <c r="D663" s="18" t="n">
        <v>170</v>
      </c>
      <c r="E663" s="18" t="inlineStr">
        <is>
          <t>초라기</t>
        </is>
      </c>
      <c r="F663" s="18" t="inlineStr">
        <is>
          <t>chinchou</t>
        </is>
      </c>
      <c r="G663" s="18" t="inlineStr">
        <is>
          <t>chinchou</t>
        </is>
      </c>
      <c r="H663" s="18" t="inlineStr"/>
      <c r="I663" s="18" t="n">
        <v>2</v>
      </c>
      <c r="J663" s="18" t="n"/>
      <c r="K663" s="18" t="n">
        <v>2</v>
      </c>
      <c r="L663" s="18" t="inlineStr">
        <is>
          <t>cobbleventure:generation_2</t>
        </is>
      </c>
      <c r="M663" s="19" t="inlineStr">
        <is>
          <t>cobbleventure:generation_2</t>
        </is>
      </c>
      <c r="N663" s="18" t="inlineStr">
        <is>
          <t>region_01; region_02</t>
        </is>
      </c>
      <c r="O663" s="19" t="inlineStr"/>
      <c r="P663" s="18" t="inlineStr">
        <is>
          <t>#cobblemon:is_overworld</t>
        </is>
      </c>
      <c r="Q663" s="19" t="inlineStr"/>
      <c r="R663" s="18">
        <f>IF(Q663="",P663,Q663)</f>
        <v/>
      </c>
      <c r="S663" s="18" t="inlineStr"/>
      <c r="T663" s="18" t="inlineStr">
        <is>
          <t>common</t>
        </is>
      </c>
      <c r="U663" s="20" t="n">
        <v>9</v>
      </c>
      <c r="V663" s="21" t="n">
        <v>1</v>
      </c>
      <c r="W663" s="20">
        <f>IF(OR(U663="",V663=""),U663,U663*V663)</f>
        <v/>
      </c>
      <c r="X663" s="18" t="inlineStr">
        <is>
          <t>8-33</t>
        </is>
      </c>
      <c r="Y663" s="19" t="inlineStr"/>
      <c r="Z663" s="18">
        <f>IF(Y663="",X663,Y663)</f>
        <v/>
      </c>
      <c r="AA663" s="18" t="inlineStr">
        <is>
          <t>fishing</t>
        </is>
      </c>
      <c r="AB663" s="18" t="inlineStr"/>
      <c r="AC663" s="18" t="inlineStr"/>
      <c r="AD663" s="18" t="inlineStr">
        <is>
          <t>minY=-60, maxY=13</t>
        </is>
      </c>
      <c r="AE663" s="18" t="inlineStr"/>
      <c r="AF663" s="18" t="inlineStr">
        <is>
          <t>False</t>
        </is>
      </c>
      <c r="AG663" s="18" t="inlineStr">
        <is>
          <t>cobblemon:shipwreck_coves/submerged_shipwreck_cove</t>
        </is>
      </c>
      <c r="AH663" s="18" t="inlineStr"/>
      <c r="AI663" s="18" t="inlineStr"/>
      <c r="AJ663" s="18" t="inlineStr">
        <is>
          <t>Cobblemon 동일</t>
        </is>
      </c>
      <c r="AK663" s="18" t="inlineStr">
        <is>
          <t>사용</t>
        </is>
      </c>
      <c r="AL663" s="18" t="inlineStr">
        <is>
          <t>COBBLEVERSE 1.7.42 / DP v31</t>
        </is>
      </c>
      <c r="AM663" s="18" t="inlineStr">
        <is>
          <t>data/cobblemon/spawn_pool_world/0170_chinchou.json</t>
        </is>
      </c>
      <c r="AN663" s="18" t="inlineStr">
        <is>
          <t>chinchou-6</t>
        </is>
      </c>
      <c r="AO663" s="18" t="inlineStr">
        <is>
          <t>pokemon</t>
        </is>
      </c>
      <c r="AP663" s="18" t="inlineStr"/>
      <c r="AQ663" s="18" t="inlineStr">
        <is>
          <t>{"biomes":["#cobblemon:is_overworld"],"canSeeSky":false,"maxY":13,"minY":-60,"structures":["cobblemon:shipwreck_coves/submerged_shipwreck_cove"]}</t>
        </is>
      </c>
      <c r="AR663" s="18" t="inlineStr"/>
      <c r="AS663" s="18" t="inlineStr">
        <is>
          <t>{"weightMultiplier":{"condition":{"maxLureLevel":1,"minLureLevel":0},"multiplier":0.6}}</t>
        </is>
      </c>
      <c r="AT663" s="19" t="inlineStr"/>
    </row>
    <row r="664" ht="32" customHeight="1">
      <c r="A664" s="18" t="inlineStr">
        <is>
          <t>0171_lanturn.json::lanturn-1::001</t>
        </is>
      </c>
      <c r="B664" s="19" t="inlineStr">
        <is>
          <t>사용</t>
        </is>
      </c>
      <c r="C664" s="18">
        <f>IF(OR(B664&lt;&gt;AK664,M664&lt;&gt;L664,O664&lt;&gt;"",Q664&lt;&gt;"",V664&lt;&gt;1,Y664&lt;&gt;"",AT664&lt;&gt;""),"수정","원본")</f>
        <v/>
      </c>
      <c r="D664" s="18" t="n">
        <v>171</v>
      </c>
      <c r="E664" s="18" t="inlineStr">
        <is>
          <t>랜턴</t>
        </is>
      </c>
      <c r="F664" s="18" t="inlineStr">
        <is>
          <t>lanturn</t>
        </is>
      </c>
      <c r="G664" s="18" t="inlineStr">
        <is>
          <t>lanturn</t>
        </is>
      </c>
      <c r="H664" s="18" t="inlineStr"/>
      <c r="I664" s="18" t="n">
        <v>2</v>
      </c>
      <c r="J664" s="18" t="n"/>
      <c r="K664" s="18" t="n">
        <v>2</v>
      </c>
      <c r="L664" s="18" t="inlineStr">
        <is>
          <t>cobbleventure:generation_2</t>
        </is>
      </c>
      <c r="M664" s="19" t="inlineStr">
        <is>
          <t>cobbleventure:generation_2</t>
        </is>
      </c>
      <c r="N664" s="18" t="inlineStr"/>
      <c r="O664" s="19" t="inlineStr"/>
      <c r="P664" s="18" t="inlineStr">
        <is>
          <t>#cobblemon:is_deep_ocean</t>
        </is>
      </c>
      <c r="Q664" s="19" t="inlineStr"/>
      <c r="R664" s="18">
        <f>IF(Q664="",P664,Q664)</f>
        <v/>
      </c>
      <c r="S664" s="18" t="inlineStr"/>
      <c r="T664" s="18" t="inlineStr">
        <is>
          <t>common</t>
        </is>
      </c>
      <c r="U664" s="20" t="n">
        <v>0.6</v>
      </c>
      <c r="V664" s="21" t="n">
        <v>1</v>
      </c>
      <c r="W664" s="20">
        <f>IF(OR(U664="",V664=""),U664,U664*V664)</f>
        <v/>
      </c>
      <c r="X664" s="18" t="inlineStr">
        <is>
          <t>27-46</t>
        </is>
      </c>
      <c r="Y664" s="19" t="inlineStr"/>
      <c r="Z664" s="18">
        <f>IF(Y664="",X664,Y664)</f>
        <v/>
      </c>
      <c r="AA664" s="18" t="inlineStr">
        <is>
          <t>submerged</t>
        </is>
      </c>
      <c r="AB664" s="18" t="inlineStr"/>
      <c r="AC664" s="18" t="inlineStr"/>
      <c r="AD664" s="18" t="inlineStr">
        <is>
          <t>maxY=48</t>
        </is>
      </c>
      <c r="AE664" s="18" t="inlineStr"/>
      <c r="AF664" s="18" t="inlineStr">
        <is>
          <t>True</t>
        </is>
      </c>
      <c r="AG664" s="18" t="inlineStr"/>
      <c r="AH664" s="18" t="inlineStr"/>
      <c r="AI664" s="18" t="inlineStr"/>
      <c r="AJ664" s="18" t="inlineStr">
        <is>
          <t>Cobblemon 동일</t>
        </is>
      </c>
      <c r="AK664" s="18" t="inlineStr">
        <is>
          <t>사용</t>
        </is>
      </c>
      <c r="AL664" s="18" t="inlineStr">
        <is>
          <t>COBBLEVERSE 1.7.42 / DP v31</t>
        </is>
      </c>
      <c r="AM664" s="18" t="inlineStr">
        <is>
          <t>data/cobblemon/spawn_pool_world/0171_lanturn.json</t>
        </is>
      </c>
      <c r="AN664" s="18" t="inlineStr">
        <is>
          <t>lanturn-1</t>
        </is>
      </c>
      <c r="AO664" s="18" t="inlineStr">
        <is>
          <t>pokemon</t>
        </is>
      </c>
      <c r="AP664" s="18" t="inlineStr">
        <is>
          <t>water</t>
        </is>
      </c>
      <c r="AQ664" s="18" t="inlineStr">
        <is>
          <t>{"biomes":["#cobblemon:is_deep_ocean"],"canSeeSky":true,"maxY":48}</t>
        </is>
      </c>
      <c r="AR664" s="18" t="inlineStr"/>
      <c r="AS664" s="18" t="inlineStr"/>
      <c r="AT664" s="19" t="inlineStr"/>
    </row>
    <row r="665" ht="32" customHeight="1">
      <c r="A665" s="18" t="inlineStr">
        <is>
          <t>0171_lanturn.json::lanturn-2::002</t>
        </is>
      </c>
      <c r="B665" s="19" t="inlineStr">
        <is>
          <t>사용</t>
        </is>
      </c>
      <c r="C665" s="18">
        <f>IF(OR(B665&lt;&gt;AK665,M665&lt;&gt;L665,O665&lt;&gt;"",Q665&lt;&gt;"",V665&lt;&gt;1,Y665&lt;&gt;"",AT665&lt;&gt;""),"수정","원본")</f>
        <v/>
      </c>
      <c r="D665" s="18" t="n">
        <v>171</v>
      </c>
      <c r="E665" s="18" t="inlineStr">
        <is>
          <t>랜턴</t>
        </is>
      </c>
      <c r="F665" s="18" t="inlineStr">
        <is>
          <t>lanturn</t>
        </is>
      </c>
      <c r="G665" s="18" t="inlineStr">
        <is>
          <t>lanturn</t>
        </is>
      </c>
      <c r="H665" s="18" t="inlineStr"/>
      <c r="I665" s="18" t="n">
        <v>2</v>
      </c>
      <c r="J665" s="18" t="n"/>
      <c r="K665" s="18" t="n">
        <v>2</v>
      </c>
      <c r="L665" s="18" t="inlineStr">
        <is>
          <t>cobbleventure:generation_2</t>
        </is>
      </c>
      <c r="M665" s="19" t="inlineStr">
        <is>
          <t>cobbleventure:generation_2</t>
        </is>
      </c>
      <c r="N665" s="18" t="inlineStr"/>
      <c r="O665" s="19" t="inlineStr"/>
      <c r="P665" s="18" t="inlineStr">
        <is>
          <t>#cobblemon:is_ocean</t>
        </is>
      </c>
      <c r="Q665" s="19" t="inlineStr"/>
      <c r="R665" s="18">
        <f>IF(Q665="",P665,Q665)</f>
        <v/>
      </c>
      <c r="S665" s="18" t="inlineStr"/>
      <c r="T665" s="18" t="inlineStr">
        <is>
          <t>common</t>
        </is>
      </c>
      <c r="U665" s="20" t="n">
        <v>1</v>
      </c>
      <c r="V665" s="21" t="n">
        <v>1</v>
      </c>
      <c r="W665" s="20">
        <f>IF(OR(U665="",V665=""),U665,U665*V665)</f>
        <v/>
      </c>
      <c r="X665" s="18" t="inlineStr">
        <is>
          <t>27-46</t>
        </is>
      </c>
      <c r="Y665" s="19" t="inlineStr"/>
      <c r="Z665" s="18">
        <f>IF(Y665="",X665,Y665)</f>
        <v/>
      </c>
      <c r="AA665" s="18" t="inlineStr">
        <is>
          <t>fishing</t>
        </is>
      </c>
      <c r="AB665" s="18" t="inlineStr"/>
      <c r="AC665" s="18" t="inlineStr"/>
      <c r="AD665" s="18" t="inlineStr"/>
      <c r="AE665" s="18" t="inlineStr"/>
      <c r="AF665" s="18" t="inlineStr">
        <is>
          <t>True</t>
        </is>
      </c>
      <c r="AG665" s="18" t="inlineStr"/>
      <c r="AH665" s="18" t="inlineStr"/>
      <c r="AI665" s="18" t="inlineStr"/>
      <c r="AJ665" s="18" t="inlineStr">
        <is>
          <t>Cobblemon 동일</t>
        </is>
      </c>
      <c r="AK665" s="18" t="inlineStr">
        <is>
          <t>사용</t>
        </is>
      </c>
      <c r="AL665" s="18" t="inlineStr">
        <is>
          <t>COBBLEVERSE 1.7.42 / DP v31</t>
        </is>
      </c>
      <c r="AM665" s="18" t="inlineStr">
        <is>
          <t>data/cobblemon/spawn_pool_world/0171_lanturn.json</t>
        </is>
      </c>
      <c r="AN665" s="18" t="inlineStr">
        <is>
          <t>lanturn-2</t>
        </is>
      </c>
      <c r="AO665" s="18" t="inlineStr">
        <is>
          <t>pokemon</t>
        </is>
      </c>
      <c r="AP665" s="18" t="inlineStr"/>
      <c r="AQ665" s="18" t="inlineStr">
        <is>
          <t>{"biomes":["#cobblemon:is_ocean"],"canSeeSky":true}</t>
        </is>
      </c>
      <c r="AR665" s="18" t="inlineStr"/>
      <c r="AS665" s="18" t="inlineStr">
        <is>
          <t>{"weightMultiplier":{"condition":{"maxLureLevel":1,"minLureLevel":0},"multiplier":0.6}}</t>
        </is>
      </c>
      <c r="AT665" s="19" t="inlineStr"/>
    </row>
    <row r="666" ht="32" customHeight="1">
      <c r="A666" s="18" t="inlineStr">
        <is>
          <t>0171_lanturn.json::lanturn-3::003</t>
        </is>
      </c>
      <c r="B666" s="19" t="inlineStr">
        <is>
          <t>사용</t>
        </is>
      </c>
      <c r="C666" s="18">
        <f>IF(OR(B666&lt;&gt;AK666,M666&lt;&gt;L666,O666&lt;&gt;"",Q666&lt;&gt;"",V666&lt;&gt;1,Y666&lt;&gt;"",AT666&lt;&gt;""),"수정","원본")</f>
        <v/>
      </c>
      <c r="D666" s="18" t="n">
        <v>171</v>
      </c>
      <c r="E666" s="18" t="inlineStr">
        <is>
          <t>랜턴</t>
        </is>
      </c>
      <c r="F666" s="18" t="inlineStr">
        <is>
          <t>lanturn</t>
        </is>
      </c>
      <c r="G666" s="18" t="inlineStr">
        <is>
          <t>lanturn</t>
        </is>
      </c>
      <c r="H666" s="18" t="inlineStr"/>
      <c r="I666" s="18" t="n">
        <v>2</v>
      </c>
      <c r="J666" s="18" t="n"/>
      <c r="K666" s="18" t="n">
        <v>2</v>
      </c>
      <c r="L666" s="18" t="inlineStr">
        <is>
          <t>cobbleventure:generation_2</t>
        </is>
      </c>
      <c r="M666" s="19" t="inlineStr">
        <is>
          <t>cobbleventure:generation_2</t>
        </is>
      </c>
      <c r="N666" s="18" t="inlineStr"/>
      <c r="O666" s="19" t="inlineStr"/>
      <c r="P666" s="18" t="inlineStr">
        <is>
          <t>#cobblemon:is_deep_ocean</t>
        </is>
      </c>
      <c r="Q666" s="19" t="inlineStr"/>
      <c r="R666" s="18">
        <f>IF(Q666="",P666,Q666)</f>
        <v/>
      </c>
      <c r="S666" s="18" t="inlineStr"/>
      <c r="T666" s="18" t="inlineStr">
        <is>
          <t>common</t>
        </is>
      </c>
      <c r="U666" s="20" t="n">
        <v>0.6</v>
      </c>
      <c r="V666" s="21" t="n">
        <v>1</v>
      </c>
      <c r="W666" s="20">
        <f>IF(OR(U666="",V666=""),U666,U666*V666)</f>
        <v/>
      </c>
      <c r="X666" s="18" t="inlineStr">
        <is>
          <t>27-46</t>
        </is>
      </c>
      <c r="Y666" s="19" t="inlineStr"/>
      <c r="Z666" s="18">
        <f>IF(Y666="",X666,Y666)</f>
        <v/>
      </c>
      <c r="AA666" s="18" t="inlineStr">
        <is>
          <t>submerged</t>
        </is>
      </c>
      <c r="AB666" s="18" t="inlineStr"/>
      <c r="AC666" s="18" t="inlineStr"/>
      <c r="AD666" s="18" t="inlineStr">
        <is>
          <t>maxY=48</t>
        </is>
      </c>
      <c r="AE666" s="18" t="inlineStr">
        <is>
          <t>sky 8-15</t>
        </is>
      </c>
      <c r="AF666" s="18" t="inlineStr">
        <is>
          <t>False</t>
        </is>
      </c>
      <c r="AG666" s="18" t="inlineStr"/>
      <c r="AH666" s="18" t="inlineStr"/>
      <c r="AI666" s="18" t="inlineStr"/>
      <c r="AJ666" s="18" t="inlineStr">
        <is>
          <t>Cobblemon 동일</t>
        </is>
      </c>
      <c r="AK666" s="18" t="inlineStr">
        <is>
          <t>사용</t>
        </is>
      </c>
      <c r="AL666" s="18" t="inlineStr">
        <is>
          <t>COBBLEVERSE 1.7.42 / DP v31</t>
        </is>
      </c>
      <c r="AM666" s="18" t="inlineStr">
        <is>
          <t>data/cobblemon/spawn_pool_world/0171_lanturn.json</t>
        </is>
      </c>
      <c r="AN666" s="18" t="inlineStr">
        <is>
          <t>lanturn-3</t>
        </is>
      </c>
      <c r="AO666" s="18" t="inlineStr">
        <is>
          <t>pokemon</t>
        </is>
      </c>
      <c r="AP666" s="18" t="inlineStr">
        <is>
          <t>water</t>
        </is>
      </c>
      <c r="AQ666" s="18" t="inlineStr">
        <is>
          <t>{"biomes":["#cobblemon:is_deep_ocean"],"canSeeSky":false,"maxSkyLight":15,"maxY":48,"minSkyLight":8}</t>
        </is>
      </c>
      <c r="AR666" s="18" t="inlineStr"/>
      <c r="AS666" s="18" t="inlineStr"/>
      <c r="AT666" s="19" t="inlineStr"/>
    </row>
    <row r="667" ht="32" customHeight="1">
      <c r="A667" s="18" t="inlineStr">
        <is>
          <t>0171_lanturn.json::lanturn-4::004</t>
        </is>
      </c>
      <c r="B667" s="19" t="inlineStr">
        <is>
          <t>사용</t>
        </is>
      </c>
      <c r="C667" s="18">
        <f>IF(OR(B667&lt;&gt;AK667,M667&lt;&gt;L667,O667&lt;&gt;"",Q667&lt;&gt;"",V667&lt;&gt;1,Y667&lt;&gt;"",AT667&lt;&gt;""),"수정","원본")</f>
        <v/>
      </c>
      <c r="D667" s="18" t="n">
        <v>171</v>
      </c>
      <c r="E667" s="18" t="inlineStr">
        <is>
          <t>랜턴</t>
        </is>
      </c>
      <c r="F667" s="18" t="inlineStr">
        <is>
          <t>lanturn</t>
        </is>
      </c>
      <c r="G667" s="18" t="inlineStr">
        <is>
          <t>lanturn</t>
        </is>
      </c>
      <c r="H667" s="18" t="inlineStr"/>
      <c r="I667" s="18" t="n">
        <v>2</v>
      </c>
      <c r="J667" s="18" t="n"/>
      <c r="K667" s="18" t="n">
        <v>2</v>
      </c>
      <c r="L667" s="18" t="inlineStr">
        <is>
          <t>cobbleventure:generation_2</t>
        </is>
      </c>
      <c r="M667" s="19" t="inlineStr">
        <is>
          <t>cobbleventure:generation_2</t>
        </is>
      </c>
      <c r="N667" s="18" t="inlineStr"/>
      <c r="O667" s="19" t="inlineStr"/>
      <c r="P667" s="18" t="inlineStr">
        <is>
          <t>#cobblemon:is_ocean</t>
        </is>
      </c>
      <c r="Q667" s="19" t="inlineStr"/>
      <c r="R667" s="18">
        <f>IF(Q667="",P667,Q667)</f>
        <v/>
      </c>
      <c r="S667" s="18" t="inlineStr"/>
      <c r="T667" s="18" t="inlineStr">
        <is>
          <t>common</t>
        </is>
      </c>
      <c r="U667" s="20" t="n">
        <v>1</v>
      </c>
      <c r="V667" s="21" t="n">
        <v>1</v>
      </c>
      <c r="W667" s="20">
        <f>IF(OR(U667="",V667=""),U667,U667*V667)</f>
        <v/>
      </c>
      <c r="X667" s="18" t="inlineStr">
        <is>
          <t>27-46</t>
        </is>
      </c>
      <c r="Y667" s="19" t="inlineStr"/>
      <c r="Z667" s="18">
        <f>IF(Y667="",X667,Y667)</f>
        <v/>
      </c>
      <c r="AA667" s="18" t="inlineStr">
        <is>
          <t>fishing</t>
        </is>
      </c>
      <c r="AB667" s="18" t="inlineStr"/>
      <c r="AC667" s="18" t="inlineStr"/>
      <c r="AD667" s="18" t="inlineStr"/>
      <c r="AE667" s="18" t="inlineStr">
        <is>
          <t>sky 8-15</t>
        </is>
      </c>
      <c r="AF667" s="18" t="inlineStr">
        <is>
          <t>False</t>
        </is>
      </c>
      <c r="AG667" s="18" t="inlineStr"/>
      <c r="AH667" s="18" t="inlineStr"/>
      <c r="AI667" s="18" t="inlineStr"/>
      <c r="AJ667" s="18" t="inlineStr">
        <is>
          <t>Cobblemon 동일</t>
        </is>
      </c>
      <c r="AK667" s="18" t="inlineStr">
        <is>
          <t>사용</t>
        </is>
      </c>
      <c r="AL667" s="18" t="inlineStr">
        <is>
          <t>COBBLEVERSE 1.7.42 / DP v31</t>
        </is>
      </c>
      <c r="AM667" s="18" t="inlineStr">
        <is>
          <t>data/cobblemon/spawn_pool_world/0171_lanturn.json</t>
        </is>
      </c>
      <c r="AN667" s="18" t="inlineStr">
        <is>
          <t>lanturn-4</t>
        </is>
      </c>
      <c r="AO667" s="18" t="inlineStr">
        <is>
          <t>pokemon</t>
        </is>
      </c>
      <c r="AP667" s="18" t="inlineStr"/>
      <c r="AQ667" s="18" t="inlineStr">
        <is>
          <t>{"biomes":["#cobblemon:is_ocean"],"canSeeSky":false,"maxSkyLight":15,"minSkyLight":8}</t>
        </is>
      </c>
      <c r="AR667" s="18" t="inlineStr"/>
      <c r="AS667" s="18" t="inlineStr">
        <is>
          <t>{"weightMultiplier":{"condition":{"maxLureLevel":1,"minLureLevel":0},"multiplier":0.6}}</t>
        </is>
      </c>
      <c r="AT667" s="19" t="inlineStr"/>
    </row>
    <row r="668" ht="32" customHeight="1">
      <c r="A668" s="18" t="inlineStr">
        <is>
          <t>0171_lanturn.json::lanturn-5::005</t>
        </is>
      </c>
      <c r="B668" s="19" t="inlineStr">
        <is>
          <t>사용</t>
        </is>
      </c>
      <c r="C668" s="18">
        <f>IF(OR(B668&lt;&gt;AK668,M668&lt;&gt;L668,O668&lt;&gt;"",Q668&lt;&gt;"",V668&lt;&gt;1,Y668&lt;&gt;"",AT668&lt;&gt;""),"수정","원본")</f>
        <v/>
      </c>
      <c r="D668" s="18" t="n">
        <v>171</v>
      </c>
      <c r="E668" s="18" t="inlineStr">
        <is>
          <t>랜턴</t>
        </is>
      </c>
      <c r="F668" s="18" t="inlineStr">
        <is>
          <t>lanturn</t>
        </is>
      </c>
      <c r="G668" s="18" t="inlineStr">
        <is>
          <t>lanturn</t>
        </is>
      </c>
      <c r="H668" s="18" t="inlineStr"/>
      <c r="I668" s="18" t="n">
        <v>2</v>
      </c>
      <c r="J668" s="18" t="n"/>
      <c r="K668" s="18" t="n">
        <v>2</v>
      </c>
      <c r="L668" s="18" t="inlineStr">
        <is>
          <t>cobbleventure:generation_2</t>
        </is>
      </c>
      <c r="M668" s="19" t="inlineStr">
        <is>
          <t>cobbleventure:generation_2</t>
        </is>
      </c>
      <c r="N668" s="18" t="inlineStr">
        <is>
          <t>region_01; region_02</t>
        </is>
      </c>
      <c r="O668" s="19" t="inlineStr"/>
      <c r="P668" s="18" t="inlineStr">
        <is>
          <t>#cobblemon:is_overworld</t>
        </is>
      </c>
      <c r="Q668" s="19" t="inlineStr"/>
      <c r="R668" s="18">
        <f>IF(Q668="",P668,Q668)</f>
        <v/>
      </c>
      <c r="S668" s="18" t="inlineStr"/>
      <c r="T668" s="18" t="inlineStr">
        <is>
          <t>common</t>
        </is>
      </c>
      <c r="U668" s="20" t="n">
        <v>0.6</v>
      </c>
      <c r="V668" s="21" t="n">
        <v>1</v>
      </c>
      <c r="W668" s="20">
        <f>IF(OR(U668="",V668=""),U668,U668*V668)</f>
        <v/>
      </c>
      <c r="X668" s="18" t="inlineStr">
        <is>
          <t>27-46</t>
        </is>
      </c>
      <c r="Y668" s="19" t="inlineStr"/>
      <c r="Z668" s="18">
        <f>IF(Y668="",X668,Y668)</f>
        <v/>
      </c>
      <c r="AA668" s="18" t="inlineStr">
        <is>
          <t>submerged</t>
        </is>
      </c>
      <c r="AB668" s="18" t="inlineStr"/>
      <c r="AC668" s="18" t="inlineStr"/>
      <c r="AD668" s="18" t="inlineStr">
        <is>
          <t>minY=-60, maxY=13</t>
        </is>
      </c>
      <c r="AE668" s="18" t="inlineStr"/>
      <c r="AF668" s="18" t="inlineStr">
        <is>
          <t>False</t>
        </is>
      </c>
      <c r="AG668" s="18" t="inlineStr">
        <is>
          <t>cobblemon:shipwreck_coves/submerged_shipwreck_cove</t>
        </is>
      </c>
      <c r="AH668" s="18" t="inlineStr"/>
      <c r="AI668" s="18" t="inlineStr"/>
      <c r="AJ668" s="18" t="inlineStr">
        <is>
          <t>Cobblemon 동일</t>
        </is>
      </c>
      <c r="AK668" s="18" t="inlineStr">
        <is>
          <t>사용</t>
        </is>
      </c>
      <c r="AL668" s="18" t="inlineStr">
        <is>
          <t>COBBLEVERSE 1.7.42 / DP v31</t>
        </is>
      </c>
      <c r="AM668" s="18" t="inlineStr">
        <is>
          <t>data/cobblemon/spawn_pool_world/0171_lanturn.json</t>
        </is>
      </c>
      <c r="AN668" s="18" t="inlineStr">
        <is>
          <t>lanturn-5</t>
        </is>
      </c>
      <c r="AO668" s="18" t="inlineStr">
        <is>
          <t>pokemon</t>
        </is>
      </c>
      <c r="AP668" s="18" t="inlineStr">
        <is>
          <t>water</t>
        </is>
      </c>
      <c r="AQ668" s="18" t="inlineStr">
        <is>
          <t>{"biomes":["#cobblemon:is_overworld"],"canSeeSky":false,"maxY":13,"minY":-60,"structures":["cobblemon:shipwreck_coves/submerged_shipwreck_cove"]}</t>
        </is>
      </c>
      <c r="AR668" s="18" t="inlineStr"/>
      <c r="AS668" s="18" t="inlineStr"/>
      <c r="AT668" s="19" t="inlineStr"/>
    </row>
    <row r="669" ht="32" customHeight="1">
      <c r="A669" s="18" t="inlineStr">
        <is>
          <t>0171_lanturn.json::lanturn-6::006</t>
        </is>
      </c>
      <c r="B669" s="19" t="inlineStr">
        <is>
          <t>사용</t>
        </is>
      </c>
      <c r="C669" s="18">
        <f>IF(OR(B669&lt;&gt;AK669,M669&lt;&gt;L669,O669&lt;&gt;"",Q669&lt;&gt;"",V669&lt;&gt;1,Y669&lt;&gt;"",AT669&lt;&gt;""),"수정","원본")</f>
        <v/>
      </c>
      <c r="D669" s="18" t="n">
        <v>171</v>
      </c>
      <c r="E669" s="18" t="inlineStr">
        <is>
          <t>랜턴</t>
        </is>
      </c>
      <c r="F669" s="18" t="inlineStr">
        <is>
          <t>lanturn</t>
        </is>
      </c>
      <c r="G669" s="18" t="inlineStr">
        <is>
          <t>lanturn</t>
        </is>
      </c>
      <c r="H669" s="18" t="inlineStr"/>
      <c r="I669" s="18" t="n">
        <v>2</v>
      </c>
      <c r="J669" s="18" t="n"/>
      <c r="K669" s="18" t="n">
        <v>2</v>
      </c>
      <c r="L669" s="18" t="inlineStr">
        <is>
          <t>cobbleventure:generation_2</t>
        </is>
      </c>
      <c r="M669" s="19" t="inlineStr">
        <is>
          <t>cobbleventure:generation_2</t>
        </is>
      </c>
      <c r="N669" s="18" t="inlineStr">
        <is>
          <t>region_01; region_02</t>
        </is>
      </c>
      <c r="O669" s="19" t="inlineStr"/>
      <c r="P669" s="18" t="inlineStr">
        <is>
          <t>#cobblemon:is_overworld</t>
        </is>
      </c>
      <c r="Q669" s="19" t="inlineStr"/>
      <c r="R669" s="18">
        <f>IF(Q669="",P669,Q669)</f>
        <v/>
      </c>
      <c r="S669" s="18" t="inlineStr"/>
      <c r="T669" s="18" t="inlineStr">
        <is>
          <t>common</t>
        </is>
      </c>
      <c r="U669" s="20" t="n">
        <v>1</v>
      </c>
      <c r="V669" s="21" t="n">
        <v>1</v>
      </c>
      <c r="W669" s="20">
        <f>IF(OR(U669="",V669=""),U669,U669*V669)</f>
        <v/>
      </c>
      <c r="X669" s="18" t="inlineStr">
        <is>
          <t>27-46</t>
        </is>
      </c>
      <c r="Y669" s="19" t="inlineStr"/>
      <c r="Z669" s="18">
        <f>IF(Y669="",X669,Y669)</f>
        <v/>
      </c>
      <c r="AA669" s="18" t="inlineStr">
        <is>
          <t>fishing</t>
        </is>
      </c>
      <c r="AB669" s="18" t="inlineStr"/>
      <c r="AC669" s="18" t="inlineStr"/>
      <c r="AD669" s="18" t="inlineStr">
        <is>
          <t>minY=-60, maxY=13</t>
        </is>
      </c>
      <c r="AE669" s="18" t="inlineStr"/>
      <c r="AF669" s="18" t="inlineStr">
        <is>
          <t>False</t>
        </is>
      </c>
      <c r="AG669" s="18" t="inlineStr">
        <is>
          <t>cobblemon:shipwreck_coves/submerged_shipwreck_cove</t>
        </is>
      </c>
      <c r="AH669" s="18" t="inlineStr"/>
      <c r="AI669" s="18" t="inlineStr"/>
      <c r="AJ669" s="18" t="inlineStr">
        <is>
          <t>Cobblemon 동일</t>
        </is>
      </c>
      <c r="AK669" s="18" t="inlineStr">
        <is>
          <t>사용</t>
        </is>
      </c>
      <c r="AL669" s="18" t="inlineStr">
        <is>
          <t>COBBLEVERSE 1.7.42 / DP v31</t>
        </is>
      </c>
      <c r="AM669" s="18" t="inlineStr">
        <is>
          <t>data/cobblemon/spawn_pool_world/0171_lanturn.json</t>
        </is>
      </c>
      <c r="AN669" s="18" t="inlineStr">
        <is>
          <t>lanturn-6</t>
        </is>
      </c>
      <c r="AO669" s="18" t="inlineStr">
        <is>
          <t>pokemon</t>
        </is>
      </c>
      <c r="AP669" s="18" t="inlineStr"/>
      <c r="AQ669" s="18" t="inlineStr">
        <is>
          <t>{"biomes":["#cobblemon:is_overworld"],"canSeeSky":false,"maxY":13,"minY":-60,"structures":["cobblemon:shipwreck_coves/submerged_shipwreck_cove"]}</t>
        </is>
      </c>
      <c r="AR669" s="18" t="inlineStr"/>
      <c r="AS669" s="18" t="inlineStr">
        <is>
          <t>{"weightMultiplier":{"condition":{"maxLureLevel":1,"minLureLevel":0},"multiplier":0.6}}</t>
        </is>
      </c>
      <c r="AT669" s="19" t="inlineStr"/>
    </row>
    <row r="670" ht="32" customHeight="1">
      <c r="A670" s="18" t="inlineStr">
        <is>
          <t>0172_pichu.json::pichu-1::001</t>
        </is>
      </c>
      <c r="B670" s="19" t="inlineStr">
        <is>
          <t>사용</t>
        </is>
      </c>
      <c r="C670" s="18">
        <f>IF(OR(B670&lt;&gt;AK670,M670&lt;&gt;L670,O670&lt;&gt;"",Q670&lt;&gt;"",V670&lt;&gt;1,Y670&lt;&gt;"",AT670&lt;&gt;""),"수정","원본")</f>
        <v/>
      </c>
      <c r="D670" s="18" t="n">
        <v>172</v>
      </c>
      <c r="E670" s="18" t="inlineStr">
        <is>
          <t>피츄</t>
        </is>
      </c>
      <c r="F670" s="18" t="inlineStr">
        <is>
          <t>pichu</t>
        </is>
      </c>
      <c r="G670" s="18" t="inlineStr">
        <is>
          <t>pichu</t>
        </is>
      </c>
      <c r="H670" s="18" t="inlineStr"/>
      <c r="I670" s="18" t="n">
        <v>2</v>
      </c>
      <c r="J670" s="18" t="n"/>
      <c r="K670" s="18" t="n">
        <v>2</v>
      </c>
      <c r="L670" s="18" t="inlineStr">
        <is>
          <t>cobbleventure:generation_2</t>
        </is>
      </c>
      <c r="M670" s="19" t="inlineStr">
        <is>
          <t>cobbleventure:generation_2</t>
        </is>
      </c>
      <c r="N670" s="18" t="inlineStr">
        <is>
          <t>region_01</t>
        </is>
      </c>
      <c r="O670" s="19" t="inlineStr"/>
      <c r="P670" s="18" t="inlineStr">
        <is>
          <t>#cobblemon:is_forest</t>
        </is>
      </c>
      <c r="Q670" s="19" t="inlineStr"/>
      <c r="R670" s="18">
        <f>IF(Q670="",P670,Q670)</f>
        <v/>
      </c>
      <c r="S670" s="18" t="inlineStr">
        <is>
          <t>#cobblemon:is_spooky</t>
        </is>
      </c>
      <c r="T670" s="18" t="inlineStr">
        <is>
          <t>uncommon</t>
        </is>
      </c>
      <c r="U670" s="20" t="n">
        <v>5.04</v>
      </c>
      <c r="V670" s="21" t="n">
        <v>1</v>
      </c>
      <c r="W670" s="20">
        <f>IF(OR(U670="",V670=""),U670,U670*V670)</f>
        <v/>
      </c>
      <c r="X670" s="18" t="inlineStr">
        <is>
          <t>1-21</t>
        </is>
      </c>
      <c r="Y670" s="19" t="inlineStr"/>
      <c r="Z670" s="18">
        <f>IF(Y670="",X670,Y670)</f>
        <v/>
      </c>
      <c r="AA670" s="18" t="inlineStr">
        <is>
          <t>grounded</t>
        </is>
      </c>
      <c r="AB670" s="18" t="inlineStr"/>
      <c r="AC670" s="18" t="inlineStr"/>
      <c r="AD670" s="18" t="inlineStr"/>
      <c r="AE670" s="18" t="inlineStr">
        <is>
          <t>sky 8-15</t>
        </is>
      </c>
      <c r="AF670" s="18" t="inlineStr"/>
      <c r="AG670" s="18" t="inlineStr"/>
      <c r="AH670" s="18" t="inlineStr"/>
      <c r="AI670" s="18" t="inlineStr"/>
      <c r="AJ670" s="18" t="inlineStr">
        <is>
          <t>Cobblemon 동일</t>
        </is>
      </c>
      <c r="AK670" s="18" t="inlineStr">
        <is>
          <t>사용</t>
        </is>
      </c>
      <c r="AL670" s="18" t="inlineStr">
        <is>
          <t>COBBLEVERSE 1.7.42 / DP v31</t>
        </is>
      </c>
      <c r="AM670" s="18" t="inlineStr">
        <is>
          <t>data/cobblemon/spawn_pool_world/0172_pichu.json</t>
        </is>
      </c>
      <c r="AN670" s="18" t="inlineStr">
        <is>
          <t>pichu-1</t>
        </is>
      </c>
      <c r="AO670" s="18" t="inlineStr">
        <is>
          <t>pokemon</t>
        </is>
      </c>
      <c r="AP670" s="18" t="inlineStr">
        <is>
          <t>natural</t>
        </is>
      </c>
      <c r="AQ670" s="18" t="inlineStr">
        <is>
          <t>{"biomes":["#cobblemon:is_forest"],"maxSkyLight":15,"minSkyLight":8}</t>
        </is>
      </c>
      <c r="AR670" s="18" t="inlineStr">
        <is>
          <t>{"biomes":["#cobblemon:is_spooky"]}</t>
        </is>
      </c>
      <c r="AS670" s="18" t="inlineStr">
        <is>
          <t>{"weightMultiplier":{"condition":{"isThundering":true},"multiplier":5.0}}</t>
        </is>
      </c>
      <c r="AT670" s="19" t="inlineStr"/>
    </row>
    <row r="671" ht="32" customHeight="1">
      <c r="A671" s="18" t="inlineStr">
        <is>
          <t>0172_pichu.json::pichu-alola-2::002</t>
        </is>
      </c>
      <c r="B671" s="19" t="inlineStr">
        <is>
          <t>사용</t>
        </is>
      </c>
      <c r="C671" s="18">
        <f>IF(OR(B671&lt;&gt;AK671,M671&lt;&gt;L671,O671&lt;&gt;"",Q671&lt;&gt;"",V671&lt;&gt;1,Y671&lt;&gt;"",AT671&lt;&gt;""),"수정","원본")</f>
        <v/>
      </c>
      <c r="D671" s="18" t="n">
        <v>172</v>
      </c>
      <c r="E671" s="18" t="inlineStr">
        <is>
          <t>피츄</t>
        </is>
      </c>
      <c r="F671" s="18" t="inlineStr">
        <is>
          <t>pichu</t>
        </is>
      </c>
      <c r="G671" s="18" t="inlineStr">
        <is>
          <t>pichu region_bias=alola</t>
        </is>
      </c>
      <c r="H671" s="18" t="inlineStr">
        <is>
          <t>region_bias=alola</t>
        </is>
      </c>
      <c r="I671" s="18" t="n">
        <v>2</v>
      </c>
      <c r="J671" s="18" t="n">
        <v>7</v>
      </c>
      <c r="K671" s="18" t="n">
        <v>7</v>
      </c>
      <c r="L671" s="18" t="inlineStr">
        <is>
          <t>cobbleventure:generation_7</t>
        </is>
      </c>
      <c r="M671" s="19" t="inlineStr">
        <is>
          <t>cobbleventure:generation_7</t>
        </is>
      </c>
      <c r="N671" s="18" t="inlineStr"/>
      <c r="O671" s="19" t="inlineStr"/>
      <c r="P671" s="18" t="inlineStr">
        <is>
          <t>#cobblemon:is_beach; aether:skyroot_forest; aether:skyroot_woodland; #cobblemon:is_tropical_island</t>
        </is>
      </c>
      <c r="Q671" s="19" t="inlineStr"/>
      <c r="R671" s="18">
        <f>IF(Q671="",P671,Q671)</f>
        <v/>
      </c>
      <c r="S671" s="18" t="inlineStr">
        <is>
          <t>#cobblemon:is_freezing</t>
        </is>
      </c>
      <c r="T671" s="18" t="inlineStr">
        <is>
          <t>uncommon</t>
        </is>
      </c>
      <c r="U671" s="20" t="n">
        <v>1.68</v>
      </c>
      <c r="V671" s="21" t="n">
        <v>1</v>
      </c>
      <c r="W671" s="20">
        <f>IF(OR(U671="",V671=""),U671,U671*V671)</f>
        <v/>
      </c>
      <c r="X671" s="18" t="inlineStr">
        <is>
          <t>16-32</t>
        </is>
      </c>
      <c r="Y671" s="19" t="inlineStr"/>
      <c r="Z671" s="18">
        <f>IF(Y671="",X671,Y671)</f>
        <v/>
      </c>
      <c r="AA671" s="18" t="inlineStr">
        <is>
          <t>grounded</t>
        </is>
      </c>
      <c r="AB671" s="18" t="inlineStr"/>
      <c r="AC671" s="18" t="inlineStr"/>
      <c r="AD671" s="18" t="inlineStr"/>
      <c r="AE671" s="18" t="inlineStr">
        <is>
          <t>sky 8-15</t>
        </is>
      </c>
      <c r="AF671" s="18" t="inlineStr"/>
      <c r="AG671" s="18" t="inlineStr"/>
      <c r="AH671" s="18" t="inlineStr"/>
      <c r="AI671" s="18" t="inlineStr"/>
      <c r="AJ671" s="18" t="inlineStr">
        <is>
          <t>Cobblemon 동일</t>
        </is>
      </c>
      <c r="AK671" s="18" t="inlineStr">
        <is>
          <t>사용</t>
        </is>
      </c>
      <c r="AL671" s="18" t="inlineStr">
        <is>
          <t>COBBLEVERSE 1.7.42 / DP v31</t>
        </is>
      </c>
      <c r="AM671" s="18" t="inlineStr">
        <is>
          <t>data/cobblemon/spawn_pool_world/0172_pichu.json</t>
        </is>
      </c>
      <c r="AN671" s="18" t="inlineStr">
        <is>
          <t>pichu-alola-2</t>
        </is>
      </c>
      <c r="AO671" s="18" t="inlineStr">
        <is>
          <t>pokemon</t>
        </is>
      </c>
      <c r="AP671" s="18" t="inlineStr">
        <is>
          <t>natural</t>
        </is>
      </c>
      <c r="AQ671" s="18" t="inlineStr">
        <is>
          <t>{"biomes":["#cobblemon:is_beach","aether:skyroot_forest","aether:skyroot_woodland","#cobblemon:is_tropical_island"],"maxSkyLight":15,"minSkyLight":8}</t>
        </is>
      </c>
      <c r="AR671" s="18" t="inlineStr">
        <is>
          <t>{"biomes":["#cobblemon:is_freezing"]}</t>
        </is>
      </c>
      <c r="AS671" s="18" t="inlineStr">
        <is>
          <t>{"weightMultiplier":{"condition":{"isThundering":true},"multiplier":5.0}}</t>
        </is>
      </c>
      <c r="AT671" s="19" t="inlineStr"/>
    </row>
    <row r="672" ht="32" customHeight="1">
      <c r="A672" s="18" t="inlineStr">
        <is>
          <t>0173_cleffa.json::cleffa-1::001</t>
        </is>
      </c>
      <c r="B672" s="19" t="inlineStr">
        <is>
          <t>사용</t>
        </is>
      </c>
      <c r="C672" s="18">
        <f>IF(OR(B672&lt;&gt;AK672,M672&lt;&gt;L672,O672&lt;&gt;"",Q672&lt;&gt;"",V672&lt;&gt;1,Y672&lt;&gt;"",AT672&lt;&gt;""),"수정","원본")</f>
        <v/>
      </c>
      <c r="D672" s="18" t="n">
        <v>173</v>
      </c>
      <c r="E672" s="18" t="inlineStr">
        <is>
          <t>삐</t>
        </is>
      </c>
      <c r="F672" s="18" t="inlineStr">
        <is>
          <t>cleffa</t>
        </is>
      </c>
      <c r="G672" s="18" t="inlineStr">
        <is>
          <t>cleffa</t>
        </is>
      </c>
      <c r="H672" s="18" t="inlineStr"/>
      <c r="I672" s="18" t="n">
        <v>2</v>
      </c>
      <c r="J672" s="18" t="n"/>
      <c r="K672" s="18" t="n">
        <v>2</v>
      </c>
      <c r="L672" s="18" t="inlineStr">
        <is>
          <t>cobbleventure:generation_2</t>
        </is>
      </c>
      <c r="M672" s="19" t="inlineStr">
        <is>
          <t>cobbleventure:generation_2</t>
        </is>
      </c>
      <c r="N672" s="18" t="inlineStr"/>
      <c r="O672" s="19" t="inlineStr"/>
      <c r="P672" s="18" t="inlineStr">
        <is>
          <t>#cobblemon:is_dripstone</t>
        </is>
      </c>
      <c r="Q672" s="19" t="inlineStr"/>
      <c r="R672" s="18">
        <f>IF(Q672="",P672,Q672)</f>
        <v/>
      </c>
      <c r="S672" s="18" t="inlineStr"/>
      <c r="T672" s="18" t="inlineStr">
        <is>
          <t>uncommon</t>
        </is>
      </c>
      <c r="U672" s="20" t="n">
        <v>8.4</v>
      </c>
      <c r="V672" s="21" t="n">
        <v>1</v>
      </c>
      <c r="W672" s="20">
        <f>IF(OR(U672="",V672=""),U672,U672*V672)</f>
        <v/>
      </c>
      <c r="X672" s="18" t="inlineStr">
        <is>
          <t>1-22</t>
        </is>
      </c>
      <c r="Y672" s="19" t="inlineStr"/>
      <c r="Z672" s="18">
        <f>IF(Y672="",X672,Y672)</f>
        <v/>
      </c>
      <c r="AA672" s="18" t="inlineStr">
        <is>
          <t>grounded</t>
        </is>
      </c>
      <c r="AB672" s="18" t="inlineStr">
        <is>
          <t>night</t>
        </is>
      </c>
      <c r="AC672" s="18" t="inlineStr"/>
      <c r="AD672" s="18" t="inlineStr"/>
      <c r="AE672" s="18" t="inlineStr">
        <is>
          <t>sky 8-15</t>
        </is>
      </c>
      <c r="AF672" s="18" t="inlineStr"/>
      <c r="AG672" s="18" t="inlineStr"/>
      <c r="AH672" s="18" t="inlineStr"/>
      <c r="AI672" s="18" t="inlineStr"/>
      <c r="AJ672" s="18" t="inlineStr">
        <is>
          <t>Cobblemon 동일</t>
        </is>
      </c>
      <c r="AK672" s="18" t="inlineStr">
        <is>
          <t>사용</t>
        </is>
      </c>
      <c r="AL672" s="18" t="inlineStr">
        <is>
          <t>COBBLEVERSE 1.7.42 / DP v31</t>
        </is>
      </c>
      <c r="AM672" s="18" t="inlineStr">
        <is>
          <t>data/cobblemon/spawn_pool_world/0173_cleffa.json</t>
        </is>
      </c>
      <c r="AN672" s="18" t="inlineStr">
        <is>
          <t>cleffa-1</t>
        </is>
      </c>
      <c r="AO672" s="18" t="inlineStr">
        <is>
          <t>pokemon</t>
        </is>
      </c>
      <c r="AP672" s="18" t="inlineStr">
        <is>
          <t>natural</t>
        </is>
      </c>
      <c r="AQ672" s="18" t="inlineStr">
        <is>
          <t>{"biomes":["#cobblemon:is_dripstone"],"maxSkyLight":15,"minSkyLight":8,"timeRange":"night"}</t>
        </is>
      </c>
      <c r="AR672" s="18" t="inlineStr"/>
      <c r="AS672" s="18" t="inlineStr"/>
      <c r="AT672" s="19" t="inlineStr"/>
    </row>
    <row r="673" ht="32" customHeight="1">
      <c r="A673" s="18" t="inlineStr">
        <is>
          <t>0173_cleffa.json::cleffa-2::002</t>
        </is>
      </c>
      <c r="B673" s="19" t="inlineStr">
        <is>
          <t>사용</t>
        </is>
      </c>
      <c r="C673" s="18">
        <f>IF(OR(B673&lt;&gt;AK673,M673&lt;&gt;L673,O673&lt;&gt;"",Q673&lt;&gt;"",V673&lt;&gt;1,Y673&lt;&gt;"",AT673&lt;&gt;""),"수정","원본")</f>
        <v/>
      </c>
      <c r="D673" s="18" t="n">
        <v>173</v>
      </c>
      <c r="E673" s="18" t="inlineStr">
        <is>
          <t>삐</t>
        </is>
      </c>
      <c r="F673" s="18" t="inlineStr">
        <is>
          <t>cleffa</t>
        </is>
      </c>
      <c r="G673" s="18" t="inlineStr">
        <is>
          <t>cleffa</t>
        </is>
      </c>
      <c r="H673" s="18" t="inlineStr"/>
      <c r="I673" s="18" t="n">
        <v>2</v>
      </c>
      <c r="J673" s="18" t="n"/>
      <c r="K673" s="18" t="n">
        <v>2</v>
      </c>
      <c r="L673" s="18" t="inlineStr">
        <is>
          <t>cobbleventure:generation_2</t>
        </is>
      </c>
      <c r="M673" s="19" t="inlineStr">
        <is>
          <t>cobbleventure:generation_2</t>
        </is>
      </c>
      <c r="N673" s="18" t="inlineStr"/>
      <c r="O673" s="19" t="inlineStr"/>
      <c r="P673" s="18" t="inlineStr">
        <is>
          <t>#aether:is_aether; #cobblemon:is_dripstone</t>
        </is>
      </c>
      <c r="Q673" s="19" t="inlineStr"/>
      <c r="R673" s="18">
        <f>IF(Q673="",P673,Q673)</f>
        <v/>
      </c>
      <c r="S673" s="18" t="inlineStr"/>
      <c r="T673" s="18" t="inlineStr">
        <is>
          <t>uncommon</t>
        </is>
      </c>
      <c r="U673" s="20" t="n">
        <v>8.4</v>
      </c>
      <c r="V673" s="21" t="n">
        <v>1</v>
      </c>
      <c r="W673" s="20">
        <f>IF(OR(U673="",V673=""),U673,U673*V673)</f>
        <v/>
      </c>
      <c r="X673" s="18" t="inlineStr">
        <is>
          <t>1-22</t>
        </is>
      </c>
      <c r="Y673" s="19" t="inlineStr"/>
      <c r="Z673" s="18">
        <f>IF(Y673="",X673,Y673)</f>
        <v/>
      </c>
      <c r="AA673" s="18" t="inlineStr">
        <is>
          <t>grounded</t>
        </is>
      </c>
      <c r="AB673" s="18" t="inlineStr"/>
      <c r="AC673" s="18" t="inlineStr"/>
      <c r="AD673" s="18" t="inlineStr"/>
      <c r="AE673" s="18" t="inlineStr">
        <is>
          <t>sky 0-7</t>
        </is>
      </c>
      <c r="AF673" s="18" t="inlineStr"/>
      <c r="AG673" s="18" t="inlineStr"/>
      <c r="AH673" s="18" t="inlineStr"/>
      <c r="AI673" s="18" t="inlineStr"/>
      <c r="AJ673" s="18" t="inlineStr">
        <is>
          <t>Cobblemon 동일</t>
        </is>
      </c>
      <c r="AK673" s="18" t="inlineStr">
        <is>
          <t>사용</t>
        </is>
      </c>
      <c r="AL673" s="18" t="inlineStr">
        <is>
          <t>COBBLEVERSE 1.7.42 / DP v31</t>
        </is>
      </c>
      <c r="AM673" s="18" t="inlineStr">
        <is>
          <t>data/cobblemon/spawn_pool_world/0173_cleffa.json</t>
        </is>
      </c>
      <c r="AN673" s="18" t="inlineStr">
        <is>
          <t>cleffa-2</t>
        </is>
      </c>
      <c r="AO673" s="18" t="inlineStr">
        <is>
          <t>pokemon</t>
        </is>
      </c>
      <c r="AP673" s="18" t="inlineStr">
        <is>
          <t>natural</t>
        </is>
      </c>
      <c r="AQ673" s="18" t="inlineStr">
        <is>
          <t>{"biomes":["#aether:is_aether","#cobblemon:is_dripstone"],"maxSkyLight":7,"minSkyLight":0}</t>
        </is>
      </c>
      <c r="AR673" s="18" t="inlineStr"/>
      <c r="AS673" s="18" t="inlineStr"/>
      <c r="AT673" s="19" t="inlineStr"/>
    </row>
    <row r="674" ht="32" customHeight="1">
      <c r="A674" s="18" t="inlineStr">
        <is>
          <t>0173_cleffa.json::cleffa-3::003</t>
        </is>
      </c>
      <c r="B674" s="19" t="inlineStr">
        <is>
          <t>사용</t>
        </is>
      </c>
      <c r="C674" s="18">
        <f>IF(OR(B674&lt;&gt;AK674,M674&lt;&gt;L674,O674&lt;&gt;"",Q674&lt;&gt;"",V674&lt;&gt;1,Y674&lt;&gt;"",AT674&lt;&gt;""),"수정","원본")</f>
        <v/>
      </c>
      <c r="D674" s="18" t="n">
        <v>173</v>
      </c>
      <c r="E674" s="18" t="inlineStr">
        <is>
          <t>삐</t>
        </is>
      </c>
      <c r="F674" s="18" t="inlineStr">
        <is>
          <t>cleffa</t>
        </is>
      </c>
      <c r="G674" s="18" t="inlineStr">
        <is>
          <t>cleffa</t>
        </is>
      </c>
      <c r="H674" s="18" t="inlineStr"/>
      <c r="I674" s="18" t="n">
        <v>2</v>
      </c>
      <c r="J674" s="18" t="n"/>
      <c r="K674" s="18" t="n">
        <v>2</v>
      </c>
      <c r="L674" s="18" t="inlineStr">
        <is>
          <t>cobbleventure:generation_2</t>
        </is>
      </c>
      <c r="M674" s="19" t="inlineStr">
        <is>
          <t>cobbleventure:generation_2</t>
        </is>
      </c>
      <c r="N674" s="18" t="inlineStr"/>
      <c r="O674" s="19" t="inlineStr"/>
      <c r="P674" s="18" t="inlineStr">
        <is>
          <t>#cobblemon:is_hills</t>
        </is>
      </c>
      <c r="Q674" s="19" t="inlineStr"/>
      <c r="R674" s="18">
        <f>IF(Q674="",P674,Q674)</f>
        <v/>
      </c>
      <c r="S674" s="18" t="inlineStr"/>
      <c r="T674" s="18" t="inlineStr">
        <is>
          <t>uncommon</t>
        </is>
      </c>
      <c r="U674" s="20" t="n">
        <v>8.4</v>
      </c>
      <c r="V674" s="21" t="n">
        <v>1</v>
      </c>
      <c r="W674" s="20">
        <f>IF(OR(U674="",V674=""),U674,U674*V674)</f>
        <v/>
      </c>
      <c r="X674" s="18" t="inlineStr">
        <is>
          <t>1-22</t>
        </is>
      </c>
      <c r="Y674" s="19" t="inlineStr"/>
      <c r="Z674" s="18">
        <f>IF(Y674="",X674,Y674)</f>
        <v/>
      </c>
      <c r="AA674" s="18" t="inlineStr">
        <is>
          <t>grounded</t>
        </is>
      </c>
      <c r="AB674" s="18" t="inlineStr">
        <is>
          <t>night</t>
        </is>
      </c>
      <c r="AC674" s="18" t="inlineStr"/>
      <c r="AD674" s="18" t="inlineStr"/>
      <c r="AE674" s="18" t="inlineStr">
        <is>
          <t>sky 8-15</t>
        </is>
      </c>
      <c r="AF674" s="18" t="inlineStr"/>
      <c r="AG674" s="18" t="inlineStr"/>
      <c r="AH674" s="18" t="inlineStr"/>
      <c r="AI674" s="18" t="inlineStr"/>
      <c r="AJ674" s="18" t="inlineStr">
        <is>
          <t>Cobblemon 동일</t>
        </is>
      </c>
      <c r="AK674" s="18" t="inlineStr">
        <is>
          <t>사용</t>
        </is>
      </c>
      <c r="AL674" s="18" t="inlineStr">
        <is>
          <t>COBBLEVERSE 1.7.42 / DP v31</t>
        </is>
      </c>
      <c r="AM674" s="18" t="inlineStr">
        <is>
          <t>data/cobblemon/spawn_pool_world/0173_cleffa.json</t>
        </is>
      </c>
      <c r="AN674" s="18" t="inlineStr">
        <is>
          <t>cleffa-3</t>
        </is>
      </c>
      <c r="AO674" s="18" t="inlineStr">
        <is>
          <t>pokemon</t>
        </is>
      </c>
      <c r="AP674" s="18" t="inlineStr">
        <is>
          <t>natural</t>
        </is>
      </c>
      <c r="AQ674" s="18" t="inlineStr">
        <is>
          <t>{"biomes":["#cobblemon:is_hills"],"maxSkyLight":15,"minSkyLight":8,"timeRange":"night"}</t>
        </is>
      </c>
      <c r="AR674" s="18" t="inlineStr"/>
      <c r="AS674" s="18" t="inlineStr"/>
      <c r="AT674" s="19" t="inlineStr"/>
    </row>
    <row r="675" ht="32" customHeight="1">
      <c r="A675" s="18" t="inlineStr">
        <is>
          <t>0173_cleffa.json::cleffa-4::004</t>
        </is>
      </c>
      <c r="B675" s="19" t="inlineStr">
        <is>
          <t>사용</t>
        </is>
      </c>
      <c r="C675" s="18">
        <f>IF(OR(B675&lt;&gt;AK675,M675&lt;&gt;L675,O675&lt;&gt;"",Q675&lt;&gt;"",V675&lt;&gt;1,Y675&lt;&gt;"",AT675&lt;&gt;""),"수정","원본")</f>
        <v/>
      </c>
      <c r="D675" s="18" t="n">
        <v>173</v>
      </c>
      <c r="E675" s="18" t="inlineStr">
        <is>
          <t>삐</t>
        </is>
      </c>
      <c r="F675" s="18" t="inlineStr">
        <is>
          <t>cleffa</t>
        </is>
      </c>
      <c r="G675" s="18" t="inlineStr">
        <is>
          <t>cleffa</t>
        </is>
      </c>
      <c r="H675" s="18" t="inlineStr"/>
      <c r="I675" s="18" t="n">
        <v>2</v>
      </c>
      <c r="J675" s="18" t="n"/>
      <c r="K675" s="18" t="n">
        <v>2</v>
      </c>
      <c r="L675" s="18" t="inlineStr">
        <is>
          <t>cobbleventure:generation_2</t>
        </is>
      </c>
      <c r="M675" s="19" t="inlineStr">
        <is>
          <t>cobbleventure:generation_2</t>
        </is>
      </c>
      <c r="N675" s="18" t="inlineStr"/>
      <c r="O675" s="19" t="inlineStr"/>
      <c r="P675" s="18" t="inlineStr">
        <is>
          <t>#cobblemon:is_magical</t>
        </is>
      </c>
      <c r="Q675" s="19" t="inlineStr"/>
      <c r="R675" s="18">
        <f>IF(Q675="",P675,Q675)</f>
        <v/>
      </c>
      <c r="S675" s="18" t="inlineStr">
        <is>
          <t>#cobblemon:is_spooky</t>
        </is>
      </c>
      <c r="T675" s="18" t="inlineStr">
        <is>
          <t>uncommon</t>
        </is>
      </c>
      <c r="U675" s="20" t="n">
        <v>8.4</v>
      </c>
      <c r="V675" s="21" t="n">
        <v>1</v>
      </c>
      <c r="W675" s="20">
        <f>IF(OR(U675="",V675=""),U675,U675*V675)</f>
        <v/>
      </c>
      <c r="X675" s="18" t="inlineStr">
        <is>
          <t>1-22</t>
        </is>
      </c>
      <c r="Y675" s="19" t="inlineStr"/>
      <c r="Z675" s="18">
        <f>IF(Y675="",X675,Y675)</f>
        <v/>
      </c>
      <c r="AA675" s="18" t="inlineStr">
        <is>
          <t>grounded</t>
        </is>
      </c>
      <c r="AB675" s="18" t="inlineStr">
        <is>
          <t>night</t>
        </is>
      </c>
      <c r="AC675" s="18" t="inlineStr"/>
      <c r="AD675" s="18" t="inlineStr"/>
      <c r="AE675" s="18" t="inlineStr">
        <is>
          <t>sky 8-15</t>
        </is>
      </c>
      <c r="AF675" s="18" t="inlineStr"/>
      <c r="AG675" s="18" t="inlineStr"/>
      <c r="AH675" s="18" t="inlineStr"/>
      <c r="AI675" s="18" t="inlineStr"/>
      <c r="AJ675" s="18" t="inlineStr">
        <is>
          <t>Cobblemon 동일</t>
        </is>
      </c>
      <c r="AK675" s="18" t="inlineStr">
        <is>
          <t>사용</t>
        </is>
      </c>
      <c r="AL675" s="18" t="inlineStr">
        <is>
          <t>COBBLEVERSE 1.7.42 / DP v31</t>
        </is>
      </c>
      <c r="AM675" s="18" t="inlineStr">
        <is>
          <t>data/cobblemon/spawn_pool_world/0173_cleffa.json</t>
        </is>
      </c>
      <c r="AN675" s="18" t="inlineStr">
        <is>
          <t>cleffa-4</t>
        </is>
      </c>
      <c r="AO675" s="18" t="inlineStr">
        <is>
          <t>pokemon</t>
        </is>
      </c>
      <c r="AP675" s="18" t="inlineStr">
        <is>
          <t>natural</t>
        </is>
      </c>
      <c r="AQ675" s="18" t="inlineStr">
        <is>
          <t>{"biomes":["#cobblemon:is_magical"],"maxSkyLight":15,"minSkyLight":8,"timeRange":"night"}</t>
        </is>
      </c>
      <c r="AR675" s="18" t="inlineStr">
        <is>
          <t>{"biomes":["#cobblemon:is_spooky"]}</t>
        </is>
      </c>
      <c r="AS675" s="18" t="inlineStr"/>
      <c r="AT675" s="19" t="inlineStr"/>
    </row>
    <row r="676" ht="32" customHeight="1">
      <c r="A676" s="18" t="inlineStr">
        <is>
          <t>0174_igglybuff.json::igglybuff-1::001</t>
        </is>
      </c>
      <c r="B676" s="19" t="inlineStr">
        <is>
          <t>사용</t>
        </is>
      </c>
      <c r="C676" s="18">
        <f>IF(OR(B676&lt;&gt;AK676,M676&lt;&gt;L676,O676&lt;&gt;"",Q676&lt;&gt;"",V676&lt;&gt;1,Y676&lt;&gt;"",AT676&lt;&gt;""),"수정","원본")</f>
        <v/>
      </c>
      <c r="D676" s="18" t="n">
        <v>174</v>
      </c>
      <c r="E676" s="18" t="inlineStr">
        <is>
          <t>푸푸린</t>
        </is>
      </c>
      <c r="F676" s="18" t="inlineStr">
        <is>
          <t>igglybuff</t>
        </is>
      </c>
      <c r="G676" s="18" t="inlineStr">
        <is>
          <t>igglybuff</t>
        </is>
      </c>
      <c r="H676" s="18" t="inlineStr"/>
      <c r="I676" s="18" t="n">
        <v>2</v>
      </c>
      <c r="J676" s="18" t="n"/>
      <c r="K676" s="18" t="n">
        <v>2</v>
      </c>
      <c r="L676" s="18" t="inlineStr">
        <is>
          <t>cobbleventure:generation_2</t>
        </is>
      </c>
      <c r="M676" s="19" t="inlineStr">
        <is>
          <t>cobbleventure:generation_2</t>
        </is>
      </c>
      <c r="N676" s="18" t="inlineStr"/>
      <c r="O676" s="19" t="inlineStr"/>
      <c r="P676" s="18" t="inlineStr">
        <is>
          <t>#cobblemon:is_floral</t>
        </is>
      </c>
      <c r="Q676" s="19" t="inlineStr"/>
      <c r="R676" s="18">
        <f>IF(Q676="",P676,Q676)</f>
        <v/>
      </c>
      <c r="S676" s="18" t="inlineStr"/>
      <c r="T676" s="18" t="inlineStr">
        <is>
          <t>common</t>
        </is>
      </c>
      <c r="U676" s="20" t="n">
        <v>9</v>
      </c>
      <c r="V676" s="21" t="n">
        <v>1</v>
      </c>
      <c r="W676" s="20">
        <f>IF(OR(U676="",V676=""),U676,U676*V676)</f>
        <v/>
      </c>
      <c r="X676" s="18" t="inlineStr">
        <is>
          <t>1-21</t>
        </is>
      </c>
      <c r="Y676" s="19" t="inlineStr"/>
      <c r="Z676" s="18">
        <f>IF(Y676="",X676,Y676)</f>
        <v/>
      </c>
      <c r="AA676" s="18" t="inlineStr">
        <is>
          <t>grounded</t>
        </is>
      </c>
      <c r="AB676" s="18" t="inlineStr"/>
      <c r="AC676" s="18" t="inlineStr"/>
      <c r="AD676" s="18" t="inlineStr"/>
      <c r="AE676" s="18" t="inlineStr">
        <is>
          <t>sky 8-15</t>
        </is>
      </c>
      <c r="AF676" s="18" t="inlineStr"/>
      <c r="AG676" s="18" t="inlineStr"/>
      <c r="AH676" s="18" t="inlineStr"/>
      <c r="AI676" s="18" t="inlineStr"/>
      <c r="AJ676" s="18" t="inlineStr">
        <is>
          <t>COBBLEVERSE 수정</t>
        </is>
      </c>
      <c r="AK676" s="18" t="inlineStr">
        <is>
          <t>사용</t>
        </is>
      </c>
      <c r="AL676" s="18" t="inlineStr">
        <is>
          <t>COBBLEVERSE 1.7.42 / DP v31</t>
        </is>
      </c>
      <c r="AM676" s="18" t="inlineStr">
        <is>
          <t>data/cobblemon/spawn_pool_world/0174_igglybuff.json</t>
        </is>
      </c>
      <c r="AN676" s="18" t="inlineStr">
        <is>
          <t>igglybuff-1</t>
        </is>
      </c>
      <c r="AO676" s="18" t="inlineStr">
        <is>
          <t>pokemon</t>
        </is>
      </c>
      <c r="AP676" s="18" t="inlineStr">
        <is>
          <t>natural</t>
        </is>
      </c>
      <c r="AQ676" s="18" t="inlineStr">
        <is>
          <t>{"biomes":["#cobblemon:is_floral"],"maxSkyLight":15,"minSkyLight":8}</t>
        </is>
      </c>
      <c r="AR676" s="18" t="inlineStr"/>
      <c r="AS676" s="18" t="inlineStr">
        <is>
          <t>{"weightMultiplier":{"condition":{"timeRange":"night"},"multiplier":1.5}}</t>
        </is>
      </c>
      <c r="AT676" s="19" t="inlineStr"/>
    </row>
    <row r="677" ht="32" customHeight="1">
      <c r="A677" s="18" t="inlineStr">
        <is>
          <t>0174_igglybuff.json::igglybuff-2::002</t>
        </is>
      </c>
      <c r="B677" s="19" t="inlineStr">
        <is>
          <t>사용</t>
        </is>
      </c>
      <c r="C677" s="18">
        <f>IF(OR(B677&lt;&gt;AK677,M677&lt;&gt;L677,O677&lt;&gt;"",Q677&lt;&gt;"",V677&lt;&gt;1,Y677&lt;&gt;"",AT677&lt;&gt;""),"수정","원본")</f>
        <v/>
      </c>
      <c r="D677" s="18" t="n">
        <v>174</v>
      </c>
      <c r="E677" s="18" t="inlineStr">
        <is>
          <t>푸푸린</t>
        </is>
      </c>
      <c r="F677" s="18" t="inlineStr">
        <is>
          <t>igglybuff</t>
        </is>
      </c>
      <c r="G677" s="18" t="inlineStr">
        <is>
          <t>igglybuff</t>
        </is>
      </c>
      <c r="H677" s="18" t="inlineStr"/>
      <c r="I677" s="18" t="n">
        <v>2</v>
      </c>
      <c r="J677" s="18" t="n"/>
      <c r="K677" s="18" t="n">
        <v>2</v>
      </c>
      <c r="L677" s="18" t="inlineStr">
        <is>
          <t>cobbleventure:generation_2</t>
        </is>
      </c>
      <c r="M677" s="19" t="inlineStr">
        <is>
          <t>cobbleventure:generation_2</t>
        </is>
      </c>
      <c r="N677" s="18" t="inlineStr">
        <is>
          <t>region_01</t>
        </is>
      </c>
      <c r="O677" s="19" t="inlineStr"/>
      <c r="P677" s="18" t="inlineStr">
        <is>
          <t>#cobblemon:is_plains</t>
        </is>
      </c>
      <c r="Q677" s="19" t="inlineStr"/>
      <c r="R677" s="18">
        <f>IF(Q677="",P677,Q677)</f>
        <v/>
      </c>
      <c r="S677" s="18" t="inlineStr"/>
      <c r="T677" s="18" t="inlineStr">
        <is>
          <t>common</t>
        </is>
      </c>
      <c r="U677" s="20" t="n">
        <v>1.8</v>
      </c>
      <c r="V677" s="21" t="n">
        <v>1</v>
      </c>
      <c r="W677" s="20">
        <f>IF(OR(U677="",V677=""),U677,U677*V677)</f>
        <v/>
      </c>
      <c r="X677" s="18" t="inlineStr">
        <is>
          <t>1-21</t>
        </is>
      </c>
      <c r="Y677" s="19" t="inlineStr"/>
      <c r="Z677" s="18">
        <f>IF(Y677="",X677,Y677)</f>
        <v/>
      </c>
      <c r="AA677" s="18" t="inlineStr">
        <is>
          <t>grounded</t>
        </is>
      </c>
      <c r="AB677" s="18" t="inlineStr"/>
      <c r="AC677" s="18" t="inlineStr"/>
      <c r="AD677" s="18" t="inlineStr"/>
      <c r="AE677" s="18" t="inlineStr">
        <is>
          <t>sky 8-15</t>
        </is>
      </c>
      <c r="AF677" s="18" t="inlineStr"/>
      <c r="AG677" s="18" t="inlineStr"/>
      <c r="AH677" s="18" t="inlineStr"/>
      <c r="AI677" s="18" t="inlineStr"/>
      <c r="AJ677" s="18" t="inlineStr">
        <is>
          <t>COBBLEVERSE 수정</t>
        </is>
      </c>
      <c r="AK677" s="18" t="inlineStr">
        <is>
          <t>사용</t>
        </is>
      </c>
      <c r="AL677" s="18" t="inlineStr">
        <is>
          <t>COBBLEVERSE 1.7.42 / DP v31</t>
        </is>
      </c>
      <c r="AM677" s="18" t="inlineStr">
        <is>
          <t>data/cobblemon/spawn_pool_world/0174_igglybuff.json</t>
        </is>
      </c>
      <c r="AN677" s="18" t="inlineStr">
        <is>
          <t>igglybuff-2</t>
        </is>
      </c>
      <c r="AO677" s="18" t="inlineStr">
        <is>
          <t>pokemon</t>
        </is>
      </c>
      <c r="AP677" s="18" t="inlineStr">
        <is>
          <t>natural</t>
        </is>
      </c>
      <c r="AQ677" s="18" t="inlineStr">
        <is>
          <t>{"biomes":["#cobblemon:is_plains"],"maxSkyLight":15,"minSkyLight":8}</t>
        </is>
      </c>
      <c r="AR677" s="18" t="inlineStr"/>
      <c r="AS677" s="18" t="inlineStr">
        <is>
          <t>{"weightMultiplier":{"condition":{"timeRange":"night"},"multiplier":1.5}}</t>
        </is>
      </c>
      <c r="AT677" s="19" t="inlineStr"/>
    </row>
    <row r="678" ht="32" customHeight="1">
      <c r="A678" s="18" t="inlineStr">
        <is>
          <t>0174_igglybuff.json::igglybuff-3::003</t>
        </is>
      </c>
      <c r="B678" s="19" t="inlineStr">
        <is>
          <t>사용</t>
        </is>
      </c>
      <c r="C678" s="18">
        <f>IF(OR(B678&lt;&gt;AK678,M678&lt;&gt;L678,O678&lt;&gt;"",Q678&lt;&gt;"",V678&lt;&gt;1,Y678&lt;&gt;"",AT678&lt;&gt;""),"수정","원본")</f>
        <v/>
      </c>
      <c r="D678" s="18" t="n">
        <v>174</v>
      </c>
      <c r="E678" s="18" t="inlineStr">
        <is>
          <t>푸푸린</t>
        </is>
      </c>
      <c r="F678" s="18" t="inlineStr">
        <is>
          <t>igglybuff</t>
        </is>
      </c>
      <c r="G678" s="18" t="inlineStr">
        <is>
          <t>igglybuff</t>
        </is>
      </c>
      <c r="H678" s="18" t="inlineStr"/>
      <c r="I678" s="18" t="n">
        <v>2</v>
      </c>
      <c r="J678" s="18" t="n"/>
      <c r="K678" s="18" t="n">
        <v>2</v>
      </c>
      <c r="L678" s="18" t="inlineStr">
        <is>
          <t>cobbleventure:generation_2</t>
        </is>
      </c>
      <c r="M678" s="19" t="inlineStr">
        <is>
          <t>cobbleventure:generation_2</t>
        </is>
      </c>
      <c r="N678" s="18" t="inlineStr"/>
      <c r="O678" s="19" t="inlineStr"/>
      <c r="P678" s="18" t="inlineStr">
        <is>
          <t>aether:skyroot_grove; aether:skyroot_meadow</t>
        </is>
      </c>
      <c r="Q678" s="19" t="inlineStr"/>
      <c r="R678" s="18">
        <f>IF(Q678="",P678,Q678)</f>
        <v/>
      </c>
      <c r="S678" s="18" t="inlineStr"/>
      <c r="T678" s="18" t="inlineStr">
        <is>
          <t>common</t>
        </is>
      </c>
      <c r="U678" s="20" t="n">
        <v>9</v>
      </c>
      <c r="V678" s="21" t="n">
        <v>1</v>
      </c>
      <c r="W678" s="20">
        <f>IF(OR(U678="",V678=""),U678,U678*V678)</f>
        <v/>
      </c>
      <c r="X678" s="18" t="inlineStr">
        <is>
          <t>1-21</t>
        </is>
      </c>
      <c r="Y678" s="19" t="inlineStr"/>
      <c r="Z678" s="18">
        <f>IF(Y678="",X678,Y678)</f>
        <v/>
      </c>
      <c r="AA678" s="18" t="inlineStr">
        <is>
          <t>grounded</t>
        </is>
      </c>
      <c r="AB678" s="18" t="inlineStr"/>
      <c r="AC678" s="18" t="inlineStr"/>
      <c r="AD678" s="18" t="inlineStr"/>
      <c r="AE678" s="18" t="inlineStr">
        <is>
          <t>sky 8-15</t>
        </is>
      </c>
      <c r="AF678" s="18" t="inlineStr"/>
      <c r="AG678" s="18" t="inlineStr"/>
      <c r="AH678" s="18" t="inlineStr"/>
      <c r="AI678" s="18" t="inlineStr"/>
      <c r="AJ678" s="18" t="inlineStr">
        <is>
          <t>COBBLEVERSE 수정</t>
        </is>
      </c>
      <c r="AK678" s="18" t="inlineStr">
        <is>
          <t>사용</t>
        </is>
      </c>
      <c r="AL678" s="18" t="inlineStr">
        <is>
          <t>COBBLEVERSE 1.7.42 / DP v31</t>
        </is>
      </c>
      <c r="AM678" s="18" t="inlineStr">
        <is>
          <t>data/cobblemon/spawn_pool_world/0174_igglybuff.json</t>
        </is>
      </c>
      <c r="AN678" s="18" t="inlineStr">
        <is>
          <t>igglybuff-3</t>
        </is>
      </c>
      <c r="AO678" s="18" t="inlineStr">
        <is>
          <t>pokemon</t>
        </is>
      </c>
      <c r="AP678" s="18" t="inlineStr">
        <is>
          <t>natural</t>
        </is>
      </c>
      <c r="AQ678" s="18" t="inlineStr">
        <is>
          <t>{"biomes":["aether:skyroot_grove","aether:skyroot_meadow"],"maxSkyLight":15,"minSkyLight":8}</t>
        </is>
      </c>
      <c r="AR678" s="18" t="inlineStr"/>
      <c r="AS678" s="18" t="inlineStr"/>
      <c r="AT678" s="19" t="inlineStr"/>
    </row>
    <row r="679" ht="32" customHeight="1">
      <c r="A679" s="18" t="inlineStr">
        <is>
          <t>0175_togepi.json::togepi-1::001</t>
        </is>
      </c>
      <c r="B679" s="19" t="inlineStr">
        <is>
          <t>사용</t>
        </is>
      </c>
      <c r="C679" s="18">
        <f>IF(OR(B679&lt;&gt;AK679,M679&lt;&gt;L679,O679&lt;&gt;"",Q679&lt;&gt;"",V679&lt;&gt;1,Y679&lt;&gt;"",AT679&lt;&gt;""),"수정","원본")</f>
        <v/>
      </c>
      <c r="D679" s="18" t="n">
        <v>175</v>
      </c>
      <c r="E679" s="18" t="inlineStr">
        <is>
          <t>토게피</t>
        </is>
      </c>
      <c r="F679" s="18" t="inlineStr">
        <is>
          <t>togepi</t>
        </is>
      </c>
      <c r="G679" s="18" t="inlineStr">
        <is>
          <t>togepi</t>
        </is>
      </c>
      <c r="H679" s="18" t="inlineStr"/>
      <c r="I679" s="18" t="n">
        <v>2</v>
      </c>
      <c r="J679" s="18" t="n"/>
      <c r="K679" s="18" t="n">
        <v>2</v>
      </c>
      <c r="L679" s="18" t="inlineStr">
        <is>
          <t>cobbleventure:generation_2</t>
        </is>
      </c>
      <c r="M679" s="19" t="inlineStr">
        <is>
          <t>cobbleventure:generation_2</t>
        </is>
      </c>
      <c r="N679" s="18" t="inlineStr"/>
      <c r="O679" s="19" t="inlineStr"/>
      <c r="P679" s="18" t="inlineStr">
        <is>
          <t>#cobblemon:is_floral; #cobblemon:is_magical; #cobblemon:is_sky</t>
        </is>
      </c>
      <c r="Q679" s="19" t="inlineStr"/>
      <c r="R679" s="18">
        <f>IF(Q679="",P679,Q679)</f>
        <v/>
      </c>
      <c r="S679" s="18" t="inlineStr">
        <is>
          <t>#cobblemon:is_plains; #cobblemon:is_spooky</t>
        </is>
      </c>
      <c r="T679" s="18" t="inlineStr">
        <is>
          <t>rare</t>
        </is>
      </c>
      <c r="U679" s="20" t="n">
        <v>7.5</v>
      </c>
      <c r="V679" s="21" t="n">
        <v>1</v>
      </c>
      <c r="W679" s="20">
        <f>IF(OR(U679="",V679=""),U679,U679*V679)</f>
        <v/>
      </c>
      <c r="X679" s="18" t="inlineStr">
        <is>
          <t>1-25</t>
        </is>
      </c>
      <c r="Y679" s="19" t="inlineStr"/>
      <c r="Z679" s="18">
        <f>IF(Y679="",X679,Y679)</f>
        <v/>
      </c>
      <c r="AA679" s="18" t="inlineStr">
        <is>
          <t>grounded</t>
        </is>
      </c>
      <c r="AB679" s="18" t="inlineStr">
        <is>
          <t>day</t>
        </is>
      </c>
      <c r="AC679" s="18" t="inlineStr">
        <is>
          <t>비=False</t>
        </is>
      </c>
      <c r="AD679" s="18" t="inlineStr"/>
      <c r="AE679" s="18" t="inlineStr">
        <is>
          <t>sky 8-15</t>
        </is>
      </c>
      <c r="AF679" s="18" t="inlineStr"/>
      <c r="AG679" s="18" t="inlineStr"/>
      <c r="AH679" s="18" t="inlineStr"/>
      <c r="AI679" s="18" t="inlineStr"/>
      <c r="AJ679" s="18" t="inlineStr">
        <is>
          <t>Cobblemon 동일</t>
        </is>
      </c>
      <c r="AK679" s="18" t="inlineStr">
        <is>
          <t>사용</t>
        </is>
      </c>
      <c r="AL679" s="18" t="inlineStr">
        <is>
          <t>COBBLEVERSE 1.7.42 / DP v31</t>
        </is>
      </c>
      <c r="AM679" s="18" t="inlineStr">
        <is>
          <t>data/cobblemon/spawn_pool_world/0175_togepi.json</t>
        </is>
      </c>
      <c r="AN679" s="18" t="inlineStr">
        <is>
          <t>togepi-1</t>
        </is>
      </c>
      <c r="AO679" s="18" t="inlineStr">
        <is>
          <t>pokemon</t>
        </is>
      </c>
      <c r="AP679" s="18" t="inlineStr">
        <is>
          <t>natural</t>
        </is>
      </c>
      <c r="AQ679" s="18" t="inlineStr">
        <is>
          <t>{"biomes":["#cobblemon:is_floral","#cobblemon:is_magical","#cobblemon:is_sky"],"isRaining":false,"maxSkyLight":15,"minSkyLight":8,"timeRange":"day"}</t>
        </is>
      </c>
      <c r="AR679" s="18" t="inlineStr">
        <is>
          <t>{"biomes":["#cobblemon:is_plains","#cobblemon:is_spooky"]}</t>
        </is>
      </c>
      <c r="AS679" s="18" t="inlineStr"/>
      <c r="AT679" s="19" t="inlineStr"/>
    </row>
    <row r="680" ht="32" customHeight="1">
      <c r="A680" s="18" t="inlineStr">
        <is>
          <t>0175_togepi.json::togepi-2::002</t>
        </is>
      </c>
      <c r="B680" s="19" t="inlineStr">
        <is>
          <t>사용</t>
        </is>
      </c>
      <c r="C680" s="18">
        <f>IF(OR(B680&lt;&gt;AK680,M680&lt;&gt;L680,O680&lt;&gt;"",Q680&lt;&gt;"",V680&lt;&gt;1,Y680&lt;&gt;"",AT680&lt;&gt;""),"수정","원본")</f>
        <v/>
      </c>
      <c r="D680" s="18" t="n">
        <v>175</v>
      </c>
      <c r="E680" s="18" t="inlineStr">
        <is>
          <t>토게피</t>
        </is>
      </c>
      <c r="F680" s="18" t="inlineStr">
        <is>
          <t>togepi</t>
        </is>
      </c>
      <c r="G680" s="18" t="inlineStr">
        <is>
          <t>togepi</t>
        </is>
      </c>
      <c r="H680" s="18" t="inlineStr"/>
      <c r="I680" s="18" t="n">
        <v>2</v>
      </c>
      <c r="J680" s="18" t="n"/>
      <c r="K680" s="18" t="n">
        <v>2</v>
      </c>
      <c r="L680" s="18" t="inlineStr">
        <is>
          <t>cobbleventure:generation_2</t>
        </is>
      </c>
      <c r="M680" s="19" t="inlineStr">
        <is>
          <t>cobbleventure:generation_2</t>
        </is>
      </c>
      <c r="N680" s="18" t="inlineStr"/>
      <c r="O680" s="19" t="inlineStr"/>
      <c r="P680" s="18" t="inlineStr">
        <is>
          <t>aether:skyroot_grove; aether:skyroot_meadow</t>
        </is>
      </c>
      <c r="Q680" s="19" t="inlineStr"/>
      <c r="R680" s="18">
        <f>IF(Q680="",P680,Q680)</f>
        <v/>
      </c>
      <c r="S680" s="18" t="inlineStr"/>
      <c r="T680" s="18" t="inlineStr">
        <is>
          <t>rare</t>
        </is>
      </c>
      <c r="U680" s="20" t="n">
        <v>7.5</v>
      </c>
      <c r="V680" s="21" t="n">
        <v>1</v>
      </c>
      <c r="W680" s="20">
        <f>IF(OR(U680="",V680=""),U680,U680*V680)</f>
        <v/>
      </c>
      <c r="X680" s="18" t="inlineStr">
        <is>
          <t>1-25</t>
        </is>
      </c>
      <c r="Y680" s="19" t="inlineStr"/>
      <c r="Z680" s="18">
        <f>IF(Y680="",X680,Y680)</f>
        <v/>
      </c>
      <c r="AA680" s="18" t="inlineStr">
        <is>
          <t>grounded</t>
        </is>
      </c>
      <c r="AB680" s="18" t="inlineStr"/>
      <c r="AC680" s="18" t="inlineStr"/>
      <c r="AD680" s="18" t="inlineStr"/>
      <c r="AE680" s="18" t="inlineStr">
        <is>
          <t>sky 8-15</t>
        </is>
      </c>
      <c r="AF680" s="18" t="inlineStr"/>
      <c r="AG680" s="18" t="inlineStr"/>
      <c r="AH680" s="18" t="inlineStr"/>
      <c r="AI680" s="18" t="inlineStr"/>
      <c r="AJ680" s="18" t="inlineStr">
        <is>
          <t>Cobblemon 동일</t>
        </is>
      </c>
      <c r="AK680" s="18" t="inlineStr">
        <is>
          <t>사용</t>
        </is>
      </c>
      <c r="AL680" s="18" t="inlineStr">
        <is>
          <t>COBBLEVERSE 1.7.42 / DP v31</t>
        </is>
      </c>
      <c r="AM680" s="18" t="inlineStr">
        <is>
          <t>data/cobblemon/spawn_pool_world/0175_togepi.json</t>
        </is>
      </c>
      <c r="AN680" s="18" t="inlineStr">
        <is>
          <t>togepi-2</t>
        </is>
      </c>
      <c r="AO680" s="18" t="inlineStr">
        <is>
          <t>pokemon</t>
        </is>
      </c>
      <c r="AP680" s="18" t="inlineStr">
        <is>
          <t>natural</t>
        </is>
      </c>
      <c r="AQ680" s="18" t="inlineStr">
        <is>
          <t>{"biomes":["aether:skyroot_grove","aether:skyroot_meadow"],"maxSkyLight":15,"minSkyLight":8}</t>
        </is>
      </c>
      <c r="AR680" s="18" t="inlineStr"/>
      <c r="AS680" s="18" t="inlineStr"/>
      <c r="AT680" s="19" t="inlineStr"/>
    </row>
    <row r="681" ht="32" customHeight="1">
      <c r="A681" s="18" t="inlineStr">
        <is>
          <t>0175_togepi.json::togepi-3::003</t>
        </is>
      </c>
      <c r="B681" s="19" t="inlineStr">
        <is>
          <t>사용</t>
        </is>
      </c>
      <c r="C681" s="18">
        <f>IF(OR(B681&lt;&gt;AK681,M681&lt;&gt;L681,O681&lt;&gt;"",Q681&lt;&gt;"",V681&lt;&gt;1,Y681&lt;&gt;"",AT681&lt;&gt;""),"수정","원본")</f>
        <v/>
      </c>
      <c r="D681" s="18" t="n">
        <v>175</v>
      </c>
      <c r="E681" s="18" t="inlineStr">
        <is>
          <t>토게피</t>
        </is>
      </c>
      <c r="F681" s="18" t="inlineStr">
        <is>
          <t>togepi</t>
        </is>
      </c>
      <c r="G681" s="18" t="inlineStr">
        <is>
          <t>togepi</t>
        </is>
      </c>
      <c r="H681" s="18" t="inlineStr"/>
      <c r="I681" s="18" t="n">
        <v>2</v>
      </c>
      <c r="J681" s="18" t="n"/>
      <c r="K681" s="18" t="n">
        <v>2</v>
      </c>
      <c r="L681" s="18" t="inlineStr">
        <is>
          <t>cobbleventure:generation_2</t>
        </is>
      </c>
      <c r="M681" s="19" t="inlineStr">
        <is>
          <t>cobbleventure:generation_2</t>
        </is>
      </c>
      <c r="N681" s="18" t="inlineStr"/>
      <c r="O681" s="19" t="inlineStr"/>
      <c r="P681" s="18" t="inlineStr">
        <is>
          <t>the_bumblezone:floral_meadow</t>
        </is>
      </c>
      <c r="Q681" s="19" t="inlineStr"/>
      <c r="R681" s="18">
        <f>IF(Q681="",P681,Q681)</f>
        <v/>
      </c>
      <c r="S681" s="18" t="inlineStr"/>
      <c r="T681" s="18" t="inlineStr">
        <is>
          <t>rare</t>
        </is>
      </c>
      <c r="U681" s="20" t="n">
        <v>7.5</v>
      </c>
      <c r="V681" s="21" t="n">
        <v>1</v>
      </c>
      <c r="W681" s="20">
        <f>IF(OR(U681="",V681=""),U681,U681*V681)</f>
        <v/>
      </c>
      <c r="X681" s="18" t="inlineStr">
        <is>
          <t>1-25</t>
        </is>
      </c>
      <c r="Y681" s="19" t="inlineStr"/>
      <c r="Z681" s="18">
        <f>IF(Y681="",X681,Y681)</f>
        <v/>
      </c>
      <c r="AA681" s="18" t="inlineStr">
        <is>
          <t>grounded</t>
        </is>
      </c>
      <c r="AB681" s="18" t="inlineStr"/>
      <c r="AC681" s="18" t="inlineStr"/>
      <c r="AD681" s="18" t="inlineStr"/>
      <c r="AE681" s="18" t="inlineStr"/>
      <c r="AF681" s="18" t="inlineStr"/>
      <c r="AG681" s="18" t="inlineStr"/>
      <c r="AH681" s="18" t="inlineStr"/>
      <c r="AI681" s="18" t="inlineStr"/>
      <c r="AJ681" s="18" t="inlineStr">
        <is>
          <t>Cobblemon 동일</t>
        </is>
      </c>
      <c r="AK681" s="18" t="inlineStr">
        <is>
          <t>사용</t>
        </is>
      </c>
      <c r="AL681" s="18" t="inlineStr">
        <is>
          <t>COBBLEVERSE 1.7.42 / DP v31</t>
        </is>
      </c>
      <c r="AM681" s="18" t="inlineStr">
        <is>
          <t>data/cobblemon/spawn_pool_world/0175_togepi.json</t>
        </is>
      </c>
      <c r="AN681" s="18" t="inlineStr">
        <is>
          <t>togepi-3</t>
        </is>
      </c>
      <c r="AO681" s="18" t="inlineStr">
        <is>
          <t>pokemon</t>
        </is>
      </c>
      <c r="AP681" s="18" t="inlineStr"/>
      <c r="AQ681" s="18" t="inlineStr">
        <is>
          <t>{"biomes":["the_bumblezone:floral_meadow"]}</t>
        </is>
      </c>
      <c r="AR681" s="18" t="inlineStr">
        <is>
          <t>{"structures":["#the_bumblezone:sempiternal_sanctums"]}</t>
        </is>
      </c>
      <c r="AS681" s="18" t="inlineStr"/>
      <c r="AT681" s="19" t="inlineStr"/>
    </row>
    <row r="682" ht="32" customHeight="1">
      <c r="A682" s="18" t="inlineStr">
        <is>
          <t>0176_togetic.json::togetic-1::001</t>
        </is>
      </c>
      <c r="B682" s="19" t="inlineStr">
        <is>
          <t>사용</t>
        </is>
      </c>
      <c r="C682" s="18">
        <f>IF(OR(B682&lt;&gt;AK682,M682&lt;&gt;L682,O682&lt;&gt;"",Q682&lt;&gt;"",V682&lt;&gt;1,Y682&lt;&gt;"",AT682&lt;&gt;""),"수정","원본")</f>
        <v/>
      </c>
      <c r="D682" s="18" t="n">
        <v>176</v>
      </c>
      <c r="E682" s="18" t="inlineStr">
        <is>
          <t>토게틱</t>
        </is>
      </c>
      <c r="F682" s="18" t="inlineStr">
        <is>
          <t>togetic</t>
        </is>
      </c>
      <c r="G682" s="18" t="inlineStr">
        <is>
          <t>togetic</t>
        </is>
      </c>
      <c r="H682" s="18" t="inlineStr"/>
      <c r="I682" s="18" t="n">
        <v>2</v>
      </c>
      <c r="J682" s="18" t="n"/>
      <c r="K682" s="18" t="n">
        <v>2</v>
      </c>
      <c r="L682" s="18" t="inlineStr">
        <is>
          <t>cobbleventure:generation_2</t>
        </is>
      </c>
      <c r="M682" s="19" t="inlineStr">
        <is>
          <t>cobbleventure:generation_2</t>
        </is>
      </c>
      <c r="N682" s="18" t="inlineStr"/>
      <c r="O682" s="19" t="inlineStr"/>
      <c r="P682" s="18" t="inlineStr">
        <is>
          <t>#cobblemon:is_floral; #cobblemon:is_magical; #cobblemon:is_sky</t>
        </is>
      </c>
      <c r="Q682" s="19" t="inlineStr"/>
      <c r="R682" s="18">
        <f>IF(Q682="",P682,Q682)</f>
        <v/>
      </c>
      <c r="S682" s="18" t="inlineStr">
        <is>
          <t>#cobblemon:is_plains; #cobblemon:is_spooky</t>
        </is>
      </c>
      <c r="T682" s="18" t="inlineStr">
        <is>
          <t>rare</t>
        </is>
      </c>
      <c r="U682" s="20" t="n">
        <v>2.375</v>
      </c>
      <c r="V682" s="21" t="n">
        <v>1</v>
      </c>
      <c r="W682" s="20">
        <f>IF(OR(U682="",V682=""),U682,U682*V682)</f>
        <v/>
      </c>
      <c r="X682" s="18" t="inlineStr">
        <is>
          <t>20-41</t>
        </is>
      </c>
      <c r="Y682" s="19" t="inlineStr"/>
      <c r="Z682" s="18">
        <f>IF(Y682="",X682,Y682)</f>
        <v/>
      </c>
      <c r="AA682" s="18" t="inlineStr">
        <is>
          <t>grounded</t>
        </is>
      </c>
      <c r="AB682" s="18" t="inlineStr">
        <is>
          <t>day</t>
        </is>
      </c>
      <c r="AC682" s="18" t="inlineStr">
        <is>
          <t>비=False</t>
        </is>
      </c>
      <c r="AD682" s="18" t="inlineStr"/>
      <c r="AE682" s="18" t="inlineStr">
        <is>
          <t>sky 8-15</t>
        </is>
      </c>
      <c r="AF682" s="18" t="inlineStr"/>
      <c r="AG682" s="18" t="inlineStr"/>
      <c r="AH682" s="18" t="inlineStr"/>
      <c r="AI682" s="18" t="inlineStr"/>
      <c r="AJ682" s="18" t="inlineStr">
        <is>
          <t>Cobblemon 동일</t>
        </is>
      </c>
      <c r="AK682" s="18" t="inlineStr">
        <is>
          <t>사용</t>
        </is>
      </c>
      <c r="AL682" s="18" t="inlineStr">
        <is>
          <t>COBBLEVERSE 1.7.42 / DP v31</t>
        </is>
      </c>
      <c r="AM682" s="18" t="inlineStr">
        <is>
          <t>data/cobblemon/spawn_pool_world/0176_togetic.json</t>
        </is>
      </c>
      <c r="AN682" s="18" t="inlineStr">
        <is>
          <t>togetic-1</t>
        </is>
      </c>
      <c r="AO682" s="18" t="inlineStr">
        <is>
          <t>pokemon</t>
        </is>
      </c>
      <c r="AP682" s="18" t="inlineStr">
        <is>
          <t>natural</t>
        </is>
      </c>
      <c r="AQ682" s="18" t="inlineStr">
        <is>
          <t>{"biomes":["#cobblemon:is_floral","#cobblemon:is_magical","#cobblemon:is_sky"],"isRaining":false,"maxSkyLight":15,"minSkyLight":8,"timeRange":"day"}</t>
        </is>
      </c>
      <c r="AR682" s="18" t="inlineStr">
        <is>
          <t>{"biomes":["#cobblemon:is_plains","#cobblemon:is_spooky"]}</t>
        </is>
      </c>
      <c r="AS682" s="18" t="inlineStr"/>
      <c r="AT682" s="19" t="inlineStr"/>
    </row>
    <row r="683" ht="32" customHeight="1">
      <c r="A683" s="18" t="inlineStr">
        <is>
          <t>0176_togetic.json::togetic-2::002</t>
        </is>
      </c>
      <c r="B683" s="19" t="inlineStr">
        <is>
          <t>사용</t>
        </is>
      </c>
      <c r="C683" s="18">
        <f>IF(OR(B683&lt;&gt;AK683,M683&lt;&gt;L683,O683&lt;&gt;"",Q683&lt;&gt;"",V683&lt;&gt;1,Y683&lt;&gt;"",AT683&lt;&gt;""),"수정","원본")</f>
        <v/>
      </c>
      <c r="D683" s="18" t="n">
        <v>176</v>
      </c>
      <c r="E683" s="18" t="inlineStr">
        <is>
          <t>토게틱</t>
        </is>
      </c>
      <c r="F683" s="18" t="inlineStr">
        <is>
          <t>togetic</t>
        </is>
      </c>
      <c r="G683" s="18" t="inlineStr">
        <is>
          <t>togetic</t>
        </is>
      </c>
      <c r="H683" s="18" t="inlineStr"/>
      <c r="I683" s="18" t="n">
        <v>2</v>
      </c>
      <c r="J683" s="18" t="n"/>
      <c r="K683" s="18" t="n">
        <v>2</v>
      </c>
      <c r="L683" s="18" t="inlineStr">
        <is>
          <t>cobbleventure:generation_2</t>
        </is>
      </c>
      <c r="M683" s="19" t="inlineStr">
        <is>
          <t>cobbleventure:generation_2</t>
        </is>
      </c>
      <c r="N683" s="18" t="inlineStr"/>
      <c r="O683" s="19" t="inlineStr"/>
      <c r="P683" s="18" t="inlineStr">
        <is>
          <t>aether:skyroot_grove; aether:skyroot_meadow</t>
        </is>
      </c>
      <c r="Q683" s="19" t="inlineStr"/>
      <c r="R683" s="18">
        <f>IF(Q683="",P683,Q683)</f>
        <v/>
      </c>
      <c r="S683" s="18" t="inlineStr"/>
      <c r="T683" s="18" t="inlineStr">
        <is>
          <t>rare</t>
        </is>
      </c>
      <c r="U683" s="20" t="n">
        <v>2.375</v>
      </c>
      <c r="V683" s="21" t="n">
        <v>1</v>
      </c>
      <c r="W683" s="20">
        <f>IF(OR(U683="",V683=""),U683,U683*V683)</f>
        <v/>
      </c>
      <c r="X683" s="18" t="inlineStr">
        <is>
          <t>20-41</t>
        </is>
      </c>
      <c r="Y683" s="19" t="inlineStr"/>
      <c r="Z683" s="18">
        <f>IF(Y683="",X683,Y683)</f>
        <v/>
      </c>
      <c r="AA683" s="18" t="inlineStr">
        <is>
          <t>grounded</t>
        </is>
      </c>
      <c r="AB683" s="18" t="inlineStr"/>
      <c r="AC683" s="18" t="inlineStr"/>
      <c r="AD683" s="18" t="inlineStr"/>
      <c r="AE683" s="18" t="inlineStr">
        <is>
          <t>sky 8-15</t>
        </is>
      </c>
      <c r="AF683" s="18" t="inlineStr"/>
      <c r="AG683" s="18" t="inlineStr"/>
      <c r="AH683" s="18" t="inlineStr"/>
      <c r="AI683" s="18" t="inlineStr"/>
      <c r="AJ683" s="18" t="inlineStr">
        <is>
          <t>Cobblemon 동일</t>
        </is>
      </c>
      <c r="AK683" s="18" t="inlineStr">
        <is>
          <t>사용</t>
        </is>
      </c>
      <c r="AL683" s="18" t="inlineStr">
        <is>
          <t>COBBLEVERSE 1.7.42 / DP v31</t>
        </is>
      </c>
      <c r="AM683" s="18" t="inlineStr">
        <is>
          <t>data/cobblemon/spawn_pool_world/0176_togetic.json</t>
        </is>
      </c>
      <c r="AN683" s="18" t="inlineStr">
        <is>
          <t>togetic-2</t>
        </is>
      </c>
      <c r="AO683" s="18" t="inlineStr">
        <is>
          <t>pokemon</t>
        </is>
      </c>
      <c r="AP683" s="18" t="inlineStr">
        <is>
          <t>natural</t>
        </is>
      </c>
      <c r="AQ683" s="18" t="inlineStr">
        <is>
          <t>{"biomes":["aether:skyroot_grove","aether:skyroot_meadow"],"maxSkyLight":15,"minSkyLight":8}</t>
        </is>
      </c>
      <c r="AR683" s="18" t="inlineStr"/>
      <c r="AS683" s="18" t="inlineStr"/>
      <c r="AT683" s="19" t="inlineStr"/>
    </row>
    <row r="684" ht="32" customHeight="1">
      <c r="A684" s="18" t="inlineStr">
        <is>
          <t>0176_togetic.json::togetic-3::003</t>
        </is>
      </c>
      <c r="B684" s="19" t="inlineStr">
        <is>
          <t>사용</t>
        </is>
      </c>
      <c r="C684" s="18">
        <f>IF(OR(B684&lt;&gt;AK684,M684&lt;&gt;L684,O684&lt;&gt;"",Q684&lt;&gt;"",V684&lt;&gt;1,Y684&lt;&gt;"",AT684&lt;&gt;""),"수정","원본")</f>
        <v/>
      </c>
      <c r="D684" s="18" t="n">
        <v>176</v>
      </c>
      <c r="E684" s="18" t="inlineStr">
        <is>
          <t>토게틱</t>
        </is>
      </c>
      <c r="F684" s="18" t="inlineStr">
        <is>
          <t>togetic</t>
        </is>
      </c>
      <c r="G684" s="18" t="inlineStr">
        <is>
          <t>togetic</t>
        </is>
      </c>
      <c r="H684" s="18" t="inlineStr"/>
      <c r="I684" s="18" t="n">
        <v>2</v>
      </c>
      <c r="J684" s="18" t="n"/>
      <c r="K684" s="18" t="n">
        <v>2</v>
      </c>
      <c r="L684" s="18" t="inlineStr">
        <is>
          <t>cobbleventure:generation_2</t>
        </is>
      </c>
      <c r="M684" s="19" t="inlineStr">
        <is>
          <t>cobbleventure:generation_2</t>
        </is>
      </c>
      <c r="N684" s="18" t="inlineStr"/>
      <c r="O684" s="19" t="inlineStr"/>
      <c r="P684" s="18" t="inlineStr">
        <is>
          <t>the_bumblezone:floral_meadow</t>
        </is>
      </c>
      <c r="Q684" s="19" t="inlineStr"/>
      <c r="R684" s="18">
        <f>IF(Q684="",P684,Q684)</f>
        <v/>
      </c>
      <c r="S684" s="18" t="inlineStr"/>
      <c r="T684" s="18" t="inlineStr">
        <is>
          <t>rare</t>
        </is>
      </c>
      <c r="U684" s="20" t="n">
        <v>2.375</v>
      </c>
      <c r="V684" s="21" t="n">
        <v>1</v>
      </c>
      <c r="W684" s="20">
        <f>IF(OR(U684="",V684=""),U684,U684*V684)</f>
        <v/>
      </c>
      <c r="X684" s="18" t="inlineStr">
        <is>
          <t>20-41</t>
        </is>
      </c>
      <c r="Y684" s="19" t="inlineStr"/>
      <c r="Z684" s="18">
        <f>IF(Y684="",X684,Y684)</f>
        <v/>
      </c>
      <c r="AA684" s="18" t="inlineStr">
        <is>
          <t>grounded</t>
        </is>
      </c>
      <c r="AB684" s="18" t="inlineStr"/>
      <c r="AC684" s="18" t="inlineStr"/>
      <c r="AD684" s="18" t="inlineStr"/>
      <c r="AE684" s="18" t="inlineStr"/>
      <c r="AF684" s="18" t="inlineStr"/>
      <c r="AG684" s="18" t="inlineStr"/>
      <c r="AH684" s="18" t="inlineStr"/>
      <c r="AI684" s="18" t="inlineStr"/>
      <c r="AJ684" s="18" t="inlineStr">
        <is>
          <t>Cobblemon 동일</t>
        </is>
      </c>
      <c r="AK684" s="18" t="inlineStr">
        <is>
          <t>사용</t>
        </is>
      </c>
      <c r="AL684" s="18" t="inlineStr">
        <is>
          <t>COBBLEVERSE 1.7.42 / DP v31</t>
        </is>
      </c>
      <c r="AM684" s="18" t="inlineStr">
        <is>
          <t>data/cobblemon/spawn_pool_world/0176_togetic.json</t>
        </is>
      </c>
      <c r="AN684" s="18" t="inlineStr">
        <is>
          <t>togetic-3</t>
        </is>
      </c>
      <c r="AO684" s="18" t="inlineStr">
        <is>
          <t>pokemon</t>
        </is>
      </c>
      <c r="AP684" s="18" t="inlineStr"/>
      <c r="AQ684" s="18" t="inlineStr">
        <is>
          <t>{"biomes":["the_bumblezone:floral_meadow"]}</t>
        </is>
      </c>
      <c r="AR684" s="18" t="inlineStr">
        <is>
          <t>{"structures":["#the_bumblezone:sempiternal_sanctums"]}</t>
        </is>
      </c>
      <c r="AS684" s="18" t="inlineStr"/>
      <c r="AT684" s="19" t="inlineStr"/>
    </row>
    <row r="685" ht="32" customHeight="1">
      <c r="A685" s="18" t="inlineStr">
        <is>
          <t>0177_natu.json::natu-1::001</t>
        </is>
      </c>
      <c r="B685" s="19" t="inlineStr">
        <is>
          <t>사용</t>
        </is>
      </c>
      <c r="C685" s="18">
        <f>IF(OR(B685&lt;&gt;AK685,M685&lt;&gt;L685,O685&lt;&gt;"",Q685&lt;&gt;"",V685&lt;&gt;1,Y685&lt;&gt;"",AT685&lt;&gt;""),"수정","원본")</f>
        <v/>
      </c>
      <c r="D685" s="18" t="n">
        <v>177</v>
      </c>
      <c r="E685" s="18" t="inlineStr">
        <is>
          <t>네이티</t>
        </is>
      </c>
      <c r="F685" s="18" t="inlineStr">
        <is>
          <t>natu</t>
        </is>
      </c>
      <c r="G685" s="18" t="inlineStr">
        <is>
          <t>natu</t>
        </is>
      </c>
      <c r="H685" s="18" t="inlineStr"/>
      <c r="I685" s="18" t="n">
        <v>2</v>
      </c>
      <c r="J685" s="18" t="n"/>
      <c r="K685" s="18" t="n">
        <v>2</v>
      </c>
      <c r="L685" s="18" t="inlineStr">
        <is>
          <t>cobbleventure:generation_2</t>
        </is>
      </c>
      <c r="M685" s="19" t="inlineStr">
        <is>
          <t>cobbleventure:generation_2</t>
        </is>
      </c>
      <c r="N685" s="18" t="inlineStr"/>
      <c r="O685" s="19" t="inlineStr"/>
      <c r="P685" s="18" t="inlineStr">
        <is>
          <t>#cobblemon:is_badlands; #cobblemon:is_plateau</t>
        </is>
      </c>
      <c r="Q685" s="19" t="inlineStr"/>
      <c r="R685" s="18">
        <f>IF(Q685="",P685,Q685)</f>
        <v/>
      </c>
      <c r="S685" s="18" t="inlineStr"/>
      <c r="T685" s="18" t="inlineStr">
        <is>
          <t>common</t>
        </is>
      </c>
      <c r="U685" s="20" t="n">
        <v>5.4</v>
      </c>
      <c r="V685" s="21" t="n">
        <v>1</v>
      </c>
      <c r="W685" s="20">
        <f>IF(OR(U685="",V685=""),U685,U685*V685)</f>
        <v/>
      </c>
      <c r="X685" s="18" t="inlineStr">
        <is>
          <t>7-32</t>
        </is>
      </c>
      <c r="Y685" s="19" t="inlineStr"/>
      <c r="Z685" s="18">
        <f>IF(Y685="",X685,Y685)</f>
        <v/>
      </c>
      <c r="AA685" s="18" t="inlineStr">
        <is>
          <t>grounded</t>
        </is>
      </c>
      <c r="AB685" s="18" t="inlineStr">
        <is>
          <t>day</t>
        </is>
      </c>
      <c r="AC685" s="18" t="inlineStr"/>
      <c r="AD685" s="18" t="inlineStr"/>
      <c r="AE685" s="18" t="inlineStr">
        <is>
          <t>sky 8-15</t>
        </is>
      </c>
      <c r="AF685" s="18" t="inlineStr"/>
      <c r="AG685" s="18" t="inlineStr"/>
      <c r="AH685" s="18" t="inlineStr"/>
      <c r="AI685" s="18" t="inlineStr"/>
      <c r="AJ685" s="18" t="inlineStr">
        <is>
          <t>Cobblemon 동일</t>
        </is>
      </c>
      <c r="AK685" s="18" t="inlineStr">
        <is>
          <t>사용</t>
        </is>
      </c>
      <c r="AL685" s="18" t="inlineStr">
        <is>
          <t>COBBLEVERSE 1.7.42 / DP v31</t>
        </is>
      </c>
      <c r="AM685" s="18" t="inlineStr">
        <is>
          <t>data/cobblemon/spawn_pool_world/0177_natu.json</t>
        </is>
      </c>
      <c r="AN685" s="18" t="inlineStr">
        <is>
          <t>natu-1</t>
        </is>
      </c>
      <c r="AO685" s="18" t="inlineStr">
        <is>
          <t>pokemon</t>
        </is>
      </c>
      <c r="AP685" s="18" t="inlineStr">
        <is>
          <t>natural; treetop</t>
        </is>
      </c>
      <c r="AQ685" s="18" t="inlineStr">
        <is>
          <t>{"biomes":["#cobblemon:is_badlands","#cobblemon:is_plateau"],"maxSkyLight":15,"minSkyLight":8,"timeRange":"day"}</t>
        </is>
      </c>
      <c r="AR685" s="18" t="inlineStr"/>
      <c r="AS685" s="18" t="inlineStr"/>
      <c r="AT685" s="19" t="inlineStr"/>
    </row>
    <row r="686" ht="32" customHeight="1">
      <c r="A686" s="18" t="inlineStr">
        <is>
          <t>0177_natu.json::natu-3::002</t>
        </is>
      </c>
      <c r="B686" s="19" t="inlineStr">
        <is>
          <t>사용</t>
        </is>
      </c>
      <c r="C686" s="18">
        <f>IF(OR(B686&lt;&gt;AK686,M686&lt;&gt;L686,O686&lt;&gt;"",Q686&lt;&gt;"",V686&lt;&gt;1,Y686&lt;&gt;"",AT686&lt;&gt;""),"수정","원본")</f>
        <v/>
      </c>
      <c r="D686" s="18" t="n">
        <v>177</v>
      </c>
      <c r="E686" s="18" t="inlineStr">
        <is>
          <t>네이티</t>
        </is>
      </c>
      <c r="F686" s="18" t="inlineStr">
        <is>
          <t>natu</t>
        </is>
      </c>
      <c r="G686" s="18" t="inlineStr">
        <is>
          <t>natu</t>
        </is>
      </c>
      <c r="H686" s="18" t="inlineStr"/>
      <c r="I686" s="18" t="n">
        <v>2</v>
      </c>
      <c r="J686" s="18" t="n"/>
      <c r="K686" s="18" t="n">
        <v>2</v>
      </c>
      <c r="L686" s="18" t="inlineStr">
        <is>
          <t>cobbleventure:generation_2</t>
        </is>
      </c>
      <c r="M686" s="19" t="inlineStr">
        <is>
          <t>cobbleventure:generation_2</t>
        </is>
      </c>
      <c r="N686" s="18" t="inlineStr">
        <is>
          <t>region_01; region_02</t>
        </is>
      </c>
      <c r="O686" s="19" t="inlineStr"/>
      <c r="P686" s="18" t="inlineStr">
        <is>
          <t>#cobblemon:is_overworld</t>
        </is>
      </c>
      <c r="Q686" s="19" t="inlineStr"/>
      <c r="R686" s="18">
        <f>IF(Q686="",P686,Q686)</f>
        <v/>
      </c>
      <c r="S686" s="18" t="inlineStr"/>
      <c r="T686" s="18" t="inlineStr">
        <is>
          <t>common</t>
        </is>
      </c>
      <c r="U686" s="20" t="n">
        <v>90</v>
      </c>
      <c r="V686" s="21" t="n">
        <v>1</v>
      </c>
      <c r="W686" s="20">
        <f>IF(OR(U686="",V686=""),U686,U686*V686)</f>
        <v/>
      </c>
      <c r="X686" s="18" t="inlineStr">
        <is>
          <t>7-32</t>
        </is>
      </c>
      <c r="Y686" s="19" t="inlineStr"/>
      <c r="Z686" s="18">
        <f>IF(Y686="",X686,Y686)</f>
        <v/>
      </c>
      <c r="AA686" s="18" t="inlineStr">
        <is>
          <t>grounded</t>
        </is>
      </c>
      <c r="AB686" s="18" t="inlineStr">
        <is>
          <t>day</t>
        </is>
      </c>
      <c r="AC686" s="18" t="inlineStr"/>
      <c r="AD686" s="18" t="inlineStr"/>
      <c r="AE686" s="18" t="inlineStr">
        <is>
          <t>sky 8-15</t>
        </is>
      </c>
      <c r="AF686" s="18" t="inlineStr"/>
      <c r="AG686" s="18" t="inlineStr"/>
      <c r="AH686" s="18" t="inlineStr"/>
      <c r="AI686" s="18" t="inlineStr"/>
      <c r="AJ686" s="18" t="inlineStr">
        <is>
          <t>Cobblemon 동일</t>
        </is>
      </c>
      <c r="AK686" s="18" t="inlineStr">
        <is>
          <t>사용</t>
        </is>
      </c>
      <c r="AL686" s="18" t="inlineStr">
        <is>
          <t>COBBLEVERSE 1.7.42 / DP v31</t>
        </is>
      </c>
      <c r="AM686" s="18" t="inlineStr">
        <is>
          <t>data/cobblemon/spawn_pool_world/0177_natu.json</t>
        </is>
      </c>
      <c r="AN686" s="18" t="inlineStr">
        <is>
          <t>natu-3</t>
        </is>
      </c>
      <c r="AO686" s="18" t="inlineStr">
        <is>
          <t>pokemon</t>
        </is>
      </c>
      <c r="AP686" s="18" t="inlineStr">
        <is>
          <t>trail_ruins</t>
        </is>
      </c>
      <c r="AQ686" s="18" t="inlineStr">
        <is>
          <t>{"biomes":["#cobblemon:is_overworld"],"maxSkyLight":15,"minSkyLight":8,"timeRange":"day"}</t>
        </is>
      </c>
      <c r="AR686" s="18" t="inlineStr"/>
      <c r="AS686" s="18" t="inlineStr"/>
      <c r="AT686" s="19" t="inlineStr"/>
    </row>
    <row r="687" ht="32" customHeight="1">
      <c r="A687" s="18" t="inlineStr">
        <is>
          <t>0178_xatu.json::xatu-1::001</t>
        </is>
      </c>
      <c r="B687" s="19" t="inlineStr">
        <is>
          <t>사용</t>
        </is>
      </c>
      <c r="C687" s="18">
        <f>IF(OR(B687&lt;&gt;AK687,M687&lt;&gt;L687,O687&lt;&gt;"",Q687&lt;&gt;"",V687&lt;&gt;1,Y687&lt;&gt;"",AT687&lt;&gt;""),"수정","원본")</f>
        <v/>
      </c>
      <c r="D687" s="18" t="n">
        <v>178</v>
      </c>
      <c r="E687" s="18" t="inlineStr">
        <is>
          <t>네이티오</t>
        </is>
      </c>
      <c r="F687" s="18" t="inlineStr">
        <is>
          <t>xatu</t>
        </is>
      </c>
      <c r="G687" s="18" t="inlineStr">
        <is>
          <t>xatu</t>
        </is>
      </c>
      <c r="H687" s="18" t="inlineStr"/>
      <c r="I687" s="18" t="n">
        <v>2</v>
      </c>
      <c r="J687" s="18" t="n"/>
      <c r="K687" s="18" t="n">
        <v>2</v>
      </c>
      <c r="L687" s="18" t="inlineStr">
        <is>
          <t>cobbleventure:generation_2</t>
        </is>
      </c>
      <c r="M687" s="19" t="inlineStr">
        <is>
          <t>cobbleventure:generation_2</t>
        </is>
      </c>
      <c r="N687" s="18" t="inlineStr"/>
      <c r="O687" s="19" t="inlineStr"/>
      <c r="P687" s="18" t="inlineStr">
        <is>
          <t>#cobblemon:is_badlands; #cobblemon:is_plateau</t>
        </is>
      </c>
      <c r="Q687" s="19" t="inlineStr"/>
      <c r="R687" s="18">
        <f>IF(Q687="",P687,Q687)</f>
        <v/>
      </c>
      <c r="S687" s="18" t="inlineStr"/>
      <c r="T687" s="18" t="inlineStr">
        <is>
          <t>common</t>
        </is>
      </c>
      <c r="U687" s="20" t="n">
        <v>0.6</v>
      </c>
      <c r="V687" s="21" t="n">
        <v>1</v>
      </c>
      <c r="W687" s="20">
        <f>IF(OR(U687="",V687=""),U687,U687*V687)</f>
        <v/>
      </c>
      <c r="X687" s="18" t="inlineStr">
        <is>
          <t>25-47</t>
        </is>
      </c>
      <c r="Y687" s="19" t="inlineStr"/>
      <c r="Z687" s="18">
        <f>IF(Y687="",X687,Y687)</f>
        <v/>
      </c>
      <c r="AA687" s="18" t="inlineStr">
        <is>
          <t>grounded</t>
        </is>
      </c>
      <c r="AB687" s="18" t="inlineStr">
        <is>
          <t>day</t>
        </is>
      </c>
      <c r="AC687" s="18" t="inlineStr"/>
      <c r="AD687" s="18" t="inlineStr"/>
      <c r="AE687" s="18" t="inlineStr">
        <is>
          <t>sky 8-15</t>
        </is>
      </c>
      <c r="AF687" s="18" t="inlineStr"/>
      <c r="AG687" s="18" t="inlineStr"/>
      <c r="AH687" s="18" t="inlineStr"/>
      <c r="AI687" s="18" t="inlineStr"/>
      <c r="AJ687" s="18" t="inlineStr">
        <is>
          <t>Cobblemon 동일</t>
        </is>
      </c>
      <c r="AK687" s="18" t="inlineStr">
        <is>
          <t>사용</t>
        </is>
      </c>
      <c r="AL687" s="18" t="inlineStr">
        <is>
          <t>COBBLEVERSE 1.7.42 / DP v31</t>
        </is>
      </c>
      <c r="AM687" s="18" t="inlineStr">
        <is>
          <t>data/cobblemon/spawn_pool_world/0178_xatu.json</t>
        </is>
      </c>
      <c r="AN687" s="18" t="inlineStr">
        <is>
          <t>xatu-1</t>
        </is>
      </c>
      <c r="AO687" s="18" t="inlineStr">
        <is>
          <t>pokemon</t>
        </is>
      </c>
      <c r="AP687" s="18" t="inlineStr">
        <is>
          <t>natural; treetop</t>
        </is>
      </c>
      <c r="AQ687" s="18" t="inlineStr">
        <is>
          <t>{"biomes":["#cobblemon:is_badlands","#cobblemon:is_plateau"],"maxSkyLight":15,"minSkyLight":8,"timeRange":"day"}</t>
        </is>
      </c>
      <c r="AR687" s="18" t="inlineStr"/>
      <c r="AS687" s="18" t="inlineStr"/>
      <c r="AT687" s="19" t="inlineStr"/>
    </row>
    <row r="688" ht="32" customHeight="1">
      <c r="A688" s="18" t="inlineStr">
        <is>
          <t>0178_xatu.json::xatu-3::002</t>
        </is>
      </c>
      <c r="B688" s="19" t="inlineStr">
        <is>
          <t>사용</t>
        </is>
      </c>
      <c r="C688" s="18">
        <f>IF(OR(B688&lt;&gt;AK688,M688&lt;&gt;L688,O688&lt;&gt;"",Q688&lt;&gt;"",V688&lt;&gt;1,Y688&lt;&gt;"",AT688&lt;&gt;""),"수정","원본")</f>
        <v/>
      </c>
      <c r="D688" s="18" t="n">
        <v>178</v>
      </c>
      <c r="E688" s="18" t="inlineStr">
        <is>
          <t>네이티오</t>
        </is>
      </c>
      <c r="F688" s="18" t="inlineStr">
        <is>
          <t>xatu</t>
        </is>
      </c>
      <c r="G688" s="18" t="inlineStr">
        <is>
          <t>xatu</t>
        </is>
      </c>
      <c r="H688" s="18" t="inlineStr"/>
      <c r="I688" s="18" t="n">
        <v>2</v>
      </c>
      <c r="J688" s="18" t="n"/>
      <c r="K688" s="18" t="n">
        <v>2</v>
      </c>
      <c r="L688" s="18" t="inlineStr">
        <is>
          <t>cobbleventure:generation_2</t>
        </is>
      </c>
      <c r="M688" s="19" t="inlineStr">
        <is>
          <t>cobbleventure:generation_2</t>
        </is>
      </c>
      <c r="N688" s="18" t="inlineStr">
        <is>
          <t>region_01; region_02</t>
        </is>
      </c>
      <c r="O688" s="19" t="inlineStr"/>
      <c r="P688" s="18" t="inlineStr">
        <is>
          <t>#cobblemon:is_overworld</t>
        </is>
      </c>
      <c r="Q688" s="19" t="inlineStr"/>
      <c r="R688" s="18">
        <f>IF(Q688="",P688,Q688)</f>
        <v/>
      </c>
      <c r="S688" s="18" t="inlineStr"/>
      <c r="T688" s="18" t="inlineStr">
        <is>
          <t>common</t>
        </is>
      </c>
      <c r="U688" s="20" t="n">
        <v>10</v>
      </c>
      <c r="V688" s="21" t="n">
        <v>1</v>
      </c>
      <c r="W688" s="20">
        <f>IF(OR(U688="",V688=""),U688,U688*V688)</f>
        <v/>
      </c>
      <c r="X688" s="18" t="inlineStr">
        <is>
          <t>25-47</t>
        </is>
      </c>
      <c r="Y688" s="19" t="inlineStr"/>
      <c r="Z688" s="18">
        <f>IF(Y688="",X688,Y688)</f>
        <v/>
      </c>
      <c r="AA688" s="18" t="inlineStr">
        <is>
          <t>grounded</t>
        </is>
      </c>
      <c r="AB688" s="18" t="inlineStr">
        <is>
          <t>day</t>
        </is>
      </c>
      <c r="AC688" s="18" t="inlineStr"/>
      <c r="AD688" s="18" t="inlineStr"/>
      <c r="AE688" s="18" t="inlineStr">
        <is>
          <t>sky 8-15</t>
        </is>
      </c>
      <c r="AF688" s="18" t="inlineStr"/>
      <c r="AG688" s="18" t="inlineStr"/>
      <c r="AH688" s="18" t="inlineStr"/>
      <c r="AI688" s="18" t="inlineStr"/>
      <c r="AJ688" s="18" t="inlineStr">
        <is>
          <t>Cobblemon 동일</t>
        </is>
      </c>
      <c r="AK688" s="18" t="inlineStr">
        <is>
          <t>사용</t>
        </is>
      </c>
      <c r="AL688" s="18" t="inlineStr">
        <is>
          <t>COBBLEVERSE 1.7.42 / DP v31</t>
        </is>
      </c>
      <c r="AM688" s="18" t="inlineStr">
        <is>
          <t>data/cobblemon/spawn_pool_world/0178_xatu.json</t>
        </is>
      </c>
      <c r="AN688" s="18" t="inlineStr">
        <is>
          <t>xatu-3</t>
        </is>
      </c>
      <c r="AO688" s="18" t="inlineStr">
        <is>
          <t>pokemon</t>
        </is>
      </c>
      <c r="AP688" s="18" t="inlineStr">
        <is>
          <t>trail_ruins</t>
        </is>
      </c>
      <c r="AQ688" s="18" t="inlineStr">
        <is>
          <t>{"biomes":["#cobblemon:is_overworld"],"maxSkyLight":15,"minSkyLight":8,"timeRange":"day"}</t>
        </is>
      </c>
      <c r="AR688" s="18" t="inlineStr"/>
      <c r="AS688" s="18" t="inlineStr"/>
      <c r="AT688" s="19" t="inlineStr"/>
    </row>
    <row r="689" ht="32" customHeight="1">
      <c r="A689" s="18" t="inlineStr">
        <is>
          <t>0179_mareep.json::mareep-1::001</t>
        </is>
      </c>
      <c r="B689" s="19" t="inlineStr">
        <is>
          <t>사용</t>
        </is>
      </c>
      <c r="C689" s="18">
        <f>IF(OR(B689&lt;&gt;AK689,M689&lt;&gt;L689,O689&lt;&gt;"",Q689&lt;&gt;"",V689&lt;&gt;1,Y689&lt;&gt;"",AT689&lt;&gt;""),"수정","원본")</f>
        <v/>
      </c>
      <c r="D689" s="18" t="n">
        <v>179</v>
      </c>
      <c r="E689" s="18" t="inlineStr">
        <is>
          <t>메리프</t>
        </is>
      </c>
      <c r="F689" s="18" t="inlineStr">
        <is>
          <t>mareep</t>
        </is>
      </c>
      <c r="G689" s="18" t="inlineStr">
        <is>
          <t>mareep</t>
        </is>
      </c>
      <c r="H689" s="18" t="inlineStr"/>
      <c r="I689" s="18" t="n">
        <v>2</v>
      </c>
      <c r="J689" s="18" t="n"/>
      <c r="K689" s="18" t="n">
        <v>2</v>
      </c>
      <c r="L689" s="18" t="inlineStr">
        <is>
          <t>cobbleventure:generation_2</t>
        </is>
      </c>
      <c r="M689" s="19" t="inlineStr">
        <is>
          <t>cobbleventure:generation_2</t>
        </is>
      </c>
      <c r="N689" s="18" t="inlineStr">
        <is>
          <t>region_01</t>
        </is>
      </c>
      <c r="O689" s="19" t="inlineStr"/>
      <c r="P689" s="18" t="inlineStr">
        <is>
          <t>#cobblemon:is_highlands; #cobblemon:is_plains</t>
        </is>
      </c>
      <c r="Q689" s="19" t="inlineStr"/>
      <c r="R689" s="18">
        <f>IF(Q689="",P689,Q689)</f>
        <v/>
      </c>
      <c r="S689" s="18" t="inlineStr"/>
      <c r="T689" s="18" t="inlineStr">
        <is>
          <t>common</t>
        </is>
      </c>
      <c r="U689" s="20" t="n">
        <v>9</v>
      </c>
      <c r="V689" s="21" t="n">
        <v>1</v>
      </c>
      <c r="W689" s="20">
        <f>IF(OR(U689="",V689=""),U689,U689*V689)</f>
        <v/>
      </c>
      <c r="X689" s="18" t="inlineStr">
        <is>
          <t>3-28</t>
        </is>
      </c>
      <c r="Y689" s="19" t="inlineStr"/>
      <c r="Z689" s="18">
        <f>IF(Y689="",X689,Y689)</f>
        <v/>
      </c>
      <c r="AA689" s="18" t="inlineStr">
        <is>
          <t>grounded</t>
        </is>
      </c>
      <c r="AB689" s="18" t="inlineStr"/>
      <c r="AC689" s="18" t="inlineStr"/>
      <c r="AD689" s="18" t="inlineStr"/>
      <c r="AE689" s="18" t="inlineStr">
        <is>
          <t>sky 8-15</t>
        </is>
      </c>
      <c r="AF689" s="18" t="inlineStr"/>
      <c r="AG689" s="18" t="inlineStr"/>
      <c r="AH689" s="18" t="inlineStr"/>
      <c r="AI689" s="18" t="inlineStr"/>
      <c r="AJ689" s="18" t="inlineStr">
        <is>
          <t>Cobblemon 동일</t>
        </is>
      </c>
      <c r="AK689" s="18" t="inlineStr">
        <is>
          <t>사용</t>
        </is>
      </c>
      <c r="AL689" s="18" t="inlineStr">
        <is>
          <t>COBBLEVERSE 1.7.42 / DP v31</t>
        </is>
      </c>
      <c r="AM689" s="18" t="inlineStr">
        <is>
          <t>data/cobblemon/spawn_pool_world/0179_mareep.json</t>
        </is>
      </c>
      <c r="AN689" s="18" t="inlineStr">
        <is>
          <t>mareep-1</t>
        </is>
      </c>
      <c r="AO689" s="18" t="inlineStr">
        <is>
          <t>pokemon</t>
        </is>
      </c>
      <c r="AP689" s="18" t="inlineStr">
        <is>
          <t>natural</t>
        </is>
      </c>
      <c r="AQ689" s="18" t="inlineStr">
        <is>
          <t>{"biomes":["#cobblemon:is_highlands","#cobblemon:is_plains"],"maxSkyLight":15,"minSkyLight":8}</t>
        </is>
      </c>
      <c r="AR689" s="18" t="inlineStr"/>
      <c r="AS689" s="18" t="inlineStr">
        <is>
          <t>{"weightMultipliers":[{"condition":{"timeRange":"night"},"multiplier":0.25},{"condition":{"isThundering":true},"multiplier":5.0}]}</t>
        </is>
      </c>
      <c r="AT689" s="19" t="inlineStr"/>
    </row>
    <row r="690" ht="32" customHeight="1">
      <c r="A690" s="18" t="inlineStr">
        <is>
          <t>0180_flaaffy.json::flaaffy-1::001</t>
        </is>
      </c>
      <c r="B690" s="19" t="inlineStr">
        <is>
          <t>사용</t>
        </is>
      </c>
      <c r="C690" s="18">
        <f>IF(OR(B690&lt;&gt;AK690,M690&lt;&gt;L690,O690&lt;&gt;"",Q690&lt;&gt;"",V690&lt;&gt;1,Y690&lt;&gt;"",AT690&lt;&gt;""),"수정","원본")</f>
        <v/>
      </c>
      <c r="D690" s="18" t="n">
        <v>180</v>
      </c>
      <c r="E690" s="18" t="inlineStr">
        <is>
          <t>보송송</t>
        </is>
      </c>
      <c r="F690" s="18" t="inlineStr">
        <is>
          <t>flaaffy</t>
        </is>
      </c>
      <c r="G690" s="18" t="inlineStr">
        <is>
          <t>flaaffy</t>
        </is>
      </c>
      <c r="H690" s="18" t="inlineStr"/>
      <c r="I690" s="18" t="n">
        <v>2</v>
      </c>
      <c r="J690" s="18" t="n"/>
      <c r="K690" s="18" t="n">
        <v>2</v>
      </c>
      <c r="L690" s="18" t="inlineStr">
        <is>
          <t>cobbleventure:generation_2</t>
        </is>
      </c>
      <c r="M690" s="19" t="inlineStr">
        <is>
          <t>cobbleventure:generation_2</t>
        </is>
      </c>
      <c r="N690" s="18" t="inlineStr">
        <is>
          <t>region_01</t>
        </is>
      </c>
      <c r="O690" s="19" t="inlineStr"/>
      <c r="P690" s="18" t="inlineStr">
        <is>
          <t>#cobblemon:is_highlands; #cobblemon:is_plains</t>
        </is>
      </c>
      <c r="Q690" s="19" t="inlineStr"/>
      <c r="R690" s="18">
        <f>IF(Q690="",P690,Q690)</f>
        <v/>
      </c>
      <c r="S690" s="18" t="inlineStr"/>
      <c r="T690" s="18" t="inlineStr">
        <is>
          <t>common</t>
        </is>
      </c>
      <c r="U690" s="20" t="n">
        <v>0.9</v>
      </c>
      <c r="V690" s="21" t="n">
        <v>1</v>
      </c>
      <c r="W690" s="20">
        <f>IF(OR(U690="",V690=""),U690,U690*V690)</f>
        <v/>
      </c>
      <c r="X690" s="18" t="inlineStr">
        <is>
          <t>15-37</t>
        </is>
      </c>
      <c r="Y690" s="19" t="inlineStr"/>
      <c r="Z690" s="18">
        <f>IF(Y690="",X690,Y690)</f>
        <v/>
      </c>
      <c r="AA690" s="18" t="inlineStr">
        <is>
          <t>grounded</t>
        </is>
      </c>
      <c r="AB690" s="18" t="inlineStr"/>
      <c r="AC690" s="18" t="inlineStr"/>
      <c r="AD690" s="18" t="inlineStr"/>
      <c r="AE690" s="18" t="inlineStr">
        <is>
          <t>sky 8-15</t>
        </is>
      </c>
      <c r="AF690" s="18" t="inlineStr"/>
      <c r="AG690" s="18" t="inlineStr"/>
      <c r="AH690" s="18" t="inlineStr"/>
      <c r="AI690" s="18" t="inlineStr"/>
      <c r="AJ690" s="18" t="inlineStr">
        <is>
          <t>Cobblemon 동일</t>
        </is>
      </c>
      <c r="AK690" s="18" t="inlineStr">
        <is>
          <t>사용</t>
        </is>
      </c>
      <c r="AL690" s="18" t="inlineStr">
        <is>
          <t>COBBLEVERSE 1.7.42 / DP v31</t>
        </is>
      </c>
      <c r="AM690" s="18" t="inlineStr">
        <is>
          <t>data/cobblemon/spawn_pool_world/0180_flaaffy.json</t>
        </is>
      </c>
      <c r="AN690" s="18" t="inlineStr">
        <is>
          <t>flaaffy-1</t>
        </is>
      </c>
      <c r="AO690" s="18" t="inlineStr">
        <is>
          <t>pokemon</t>
        </is>
      </c>
      <c r="AP690" s="18" t="inlineStr">
        <is>
          <t>natural</t>
        </is>
      </c>
      <c r="AQ690" s="18" t="inlineStr">
        <is>
          <t>{"biomes":["#cobblemon:is_highlands","#cobblemon:is_plains"],"maxSkyLight":15,"minSkyLight":8}</t>
        </is>
      </c>
      <c r="AR690" s="18" t="inlineStr"/>
      <c r="AS690" s="18" t="inlineStr">
        <is>
          <t>{"weightMultipliers":[{"condition":{"timeRange":"night"},"multiplier":0.25},{"condition":{"isThundering":true},"multiplier":5.0}]}</t>
        </is>
      </c>
      <c r="AT690" s="19" t="inlineStr"/>
    </row>
    <row r="691" ht="32" customHeight="1">
      <c r="A691" s="18" t="inlineStr">
        <is>
          <t>0181_ampharos.json::ampharos-1::001</t>
        </is>
      </c>
      <c r="B691" s="19" t="inlineStr">
        <is>
          <t>사용</t>
        </is>
      </c>
      <c r="C691" s="18">
        <f>IF(OR(B691&lt;&gt;AK691,M691&lt;&gt;L691,O691&lt;&gt;"",Q691&lt;&gt;"",V691&lt;&gt;1,Y691&lt;&gt;"",AT691&lt;&gt;""),"수정","원본")</f>
        <v/>
      </c>
      <c r="D691" s="18" t="n">
        <v>181</v>
      </c>
      <c r="E691" s="18" t="inlineStr">
        <is>
          <t>전룡</t>
        </is>
      </c>
      <c r="F691" s="18" t="inlineStr">
        <is>
          <t>ampharos</t>
        </is>
      </c>
      <c r="G691" s="18" t="inlineStr">
        <is>
          <t>ampharos</t>
        </is>
      </c>
      <c r="H691" s="18" t="inlineStr"/>
      <c r="I691" s="18" t="n">
        <v>2</v>
      </c>
      <c r="J691" s="18" t="n"/>
      <c r="K691" s="18" t="n">
        <v>2</v>
      </c>
      <c r="L691" s="18" t="inlineStr">
        <is>
          <t>cobbleventure:generation_2</t>
        </is>
      </c>
      <c r="M691" s="19" t="inlineStr">
        <is>
          <t>cobbleventure:generation_2</t>
        </is>
      </c>
      <c r="N691" s="18" t="inlineStr">
        <is>
          <t>region_01</t>
        </is>
      </c>
      <c r="O691" s="19" t="inlineStr"/>
      <c r="P691" s="18" t="inlineStr">
        <is>
          <t>#cobblemon:is_highlands; #cobblemon:is_plains</t>
        </is>
      </c>
      <c r="Q691" s="19" t="inlineStr"/>
      <c r="R691" s="18">
        <f>IF(Q691="",P691,Q691)</f>
        <v/>
      </c>
      <c r="S691" s="18" t="inlineStr"/>
      <c r="T691" s="18" t="inlineStr">
        <is>
          <t>common</t>
        </is>
      </c>
      <c r="U691" s="20" t="n">
        <v>0.1</v>
      </c>
      <c r="V691" s="21" t="n">
        <v>1</v>
      </c>
      <c r="W691" s="20">
        <f>IF(OR(U691="",V691=""),U691,U691*V691)</f>
        <v/>
      </c>
      <c r="X691" s="18" t="inlineStr">
        <is>
          <t>30-51</t>
        </is>
      </c>
      <c r="Y691" s="19" t="inlineStr"/>
      <c r="Z691" s="18">
        <f>IF(Y691="",X691,Y691)</f>
        <v/>
      </c>
      <c r="AA691" s="18" t="inlineStr">
        <is>
          <t>grounded</t>
        </is>
      </c>
      <c r="AB691" s="18" t="inlineStr"/>
      <c r="AC691" s="18" t="inlineStr"/>
      <c r="AD691" s="18" t="inlineStr"/>
      <c r="AE691" s="18" t="inlineStr">
        <is>
          <t>sky 8-15</t>
        </is>
      </c>
      <c r="AF691" s="18" t="inlineStr"/>
      <c r="AG691" s="18" t="inlineStr"/>
      <c r="AH691" s="18" t="inlineStr"/>
      <c r="AI691" s="18" t="inlineStr"/>
      <c r="AJ691" s="18" t="inlineStr">
        <is>
          <t>Cobblemon 동일</t>
        </is>
      </c>
      <c r="AK691" s="18" t="inlineStr">
        <is>
          <t>사용</t>
        </is>
      </c>
      <c r="AL691" s="18" t="inlineStr">
        <is>
          <t>COBBLEVERSE 1.7.42 / DP v31</t>
        </is>
      </c>
      <c r="AM691" s="18" t="inlineStr">
        <is>
          <t>data/cobblemon/spawn_pool_world/0181_ampharos.json</t>
        </is>
      </c>
      <c r="AN691" s="18" t="inlineStr">
        <is>
          <t>ampharos-1</t>
        </is>
      </c>
      <c r="AO691" s="18" t="inlineStr">
        <is>
          <t>pokemon</t>
        </is>
      </c>
      <c r="AP691" s="18" t="inlineStr">
        <is>
          <t>natural</t>
        </is>
      </c>
      <c r="AQ691" s="18" t="inlineStr">
        <is>
          <t>{"biomes":["#cobblemon:is_highlands","#cobblemon:is_plains"],"maxSkyLight":15,"minSkyLight":8}</t>
        </is>
      </c>
      <c r="AR691" s="18" t="inlineStr"/>
      <c r="AS691" s="18" t="inlineStr">
        <is>
          <t>{"weightMultipliers":[{"condition":{"timeRange":"night"},"multiplier":0.25},{"condition":{"isThundering":true},"multiplier":5.0}]}</t>
        </is>
      </c>
      <c r="AT691" s="19" t="inlineStr"/>
    </row>
    <row r="692" ht="32" customHeight="1">
      <c r="A692" s="18" t="inlineStr">
        <is>
          <t>0182_bellossom.json::bellossom-1::001</t>
        </is>
      </c>
      <c r="B692" s="19" t="inlineStr">
        <is>
          <t>사용</t>
        </is>
      </c>
      <c r="C692" s="18">
        <f>IF(OR(B692&lt;&gt;AK692,M692&lt;&gt;L692,O692&lt;&gt;"",Q692&lt;&gt;"",V692&lt;&gt;1,Y692&lt;&gt;"",AT692&lt;&gt;""),"수정","원본")</f>
        <v/>
      </c>
      <c r="D692" s="18" t="n">
        <v>182</v>
      </c>
      <c r="E692" s="18" t="inlineStr">
        <is>
          <t>아르코</t>
        </is>
      </c>
      <c r="F692" s="18" t="inlineStr">
        <is>
          <t>bellossom</t>
        </is>
      </c>
      <c r="G692" s="18" t="inlineStr">
        <is>
          <t>bellossom</t>
        </is>
      </c>
      <c r="H692" s="18" t="inlineStr"/>
      <c r="I692" s="18" t="n">
        <v>2</v>
      </c>
      <c r="J692" s="18" t="n"/>
      <c r="K692" s="18" t="n">
        <v>2</v>
      </c>
      <c r="L692" s="18" t="inlineStr">
        <is>
          <t>cobbleventure:generation_2</t>
        </is>
      </c>
      <c r="M692" s="19" t="inlineStr">
        <is>
          <t>cobbleventure:generation_2</t>
        </is>
      </c>
      <c r="N692" s="18" t="inlineStr"/>
      <c r="O692" s="19" t="inlineStr"/>
      <c r="P692" s="18" t="inlineStr">
        <is>
          <t>#cobblemon:is_floral</t>
        </is>
      </c>
      <c r="Q692" s="19" t="inlineStr"/>
      <c r="R692" s="18">
        <f>IF(Q692="",P692,Q692)</f>
        <v/>
      </c>
      <c r="S692" s="18" t="inlineStr"/>
      <c r="T692" s="18" t="inlineStr">
        <is>
          <t>common</t>
        </is>
      </c>
      <c r="U692" s="20" t="n">
        <v>0.05</v>
      </c>
      <c r="V692" s="21" t="n">
        <v>1</v>
      </c>
      <c r="W692" s="20">
        <f>IF(OR(U692="",V692=""),U692,U692*V692)</f>
        <v/>
      </c>
      <c r="X692" s="18" t="inlineStr">
        <is>
          <t>35-49</t>
        </is>
      </c>
      <c r="Y692" s="19" t="inlineStr"/>
      <c r="Z692" s="18">
        <f>IF(Y692="",X692,Y692)</f>
        <v/>
      </c>
      <c r="AA692" s="18" t="inlineStr">
        <is>
          <t>grounded</t>
        </is>
      </c>
      <c r="AB692" s="18" t="inlineStr">
        <is>
          <t>day</t>
        </is>
      </c>
      <c r="AC692" s="18" t="inlineStr"/>
      <c r="AD692" s="18" t="inlineStr"/>
      <c r="AE692" s="18" t="inlineStr">
        <is>
          <t>sky 8-15</t>
        </is>
      </c>
      <c r="AF692" s="18" t="inlineStr"/>
      <c r="AG692" s="18" t="inlineStr"/>
      <c r="AH692" s="18" t="inlineStr"/>
      <c r="AI692" s="18" t="inlineStr"/>
      <c r="AJ692" s="18" t="inlineStr">
        <is>
          <t>Cobblemon 동일</t>
        </is>
      </c>
      <c r="AK692" s="18" t="inlineStr">
        <is>
          <t>사용</t>
        </is>
      </c>
      <c r="AL692" s="18" t="inlineStr">
        <is>
          <t>COBBLEVERSE 1.7.42 / DP v31</t>
        </is>
      </c>
      <c r="AM692" s="18" t="inlineStr">
        <is>
          <t>data/cobblemon/spawn_pool_world/0182_bellossom.json</t>
        </is>
      </c>
      <c r="AN692" s="18" t="inlineStr">
        <is>
          <t>bellossom-1</t>
        </is>
      </c>
      <c r="AO692" s="18" t="inlineStr">
        <is>
          <t>pokemon</t>
        </is>
      </c>
      <c r="AP692" s="18" t="inlineStr">
        <is>
          <t>natural</t>
        </is>
      </c>
      <c r="AQ692" s="18" t="inlineStr">
        <is>
          <t>{"biomes":["#cobblemon:is_floral"],"maxSkyLight":15,"minSkyLight":8,"timeRange":"day"}</t>
        </is>
      </c>
      <c r="AR692" s="18" t="inlineStr"/>
      <c r="AS692" s="18" t="inlineStr"/>
      <c r="AT692" s="19" t="inlineStr"/>
    </row>
    <row r="693" ht="32" customHeight="1">
      <c r="A693" s="18" t="inlineStr">
        <is>
          <t>0182_bellossom.json::bellossom-2::002</t>
        </is>
      </c>
      <c r="B693" s="19" t="inlineStr">
        <is>
          <t>사용</t>
        </is>
      </c>
      <c r="C693" s="18">
        <f>IF(OR(B693&lt;&gt;AK693,M693&lt;&gt;L693,O693&lt;&gt;"",Q693&lt;&gt;"",V693&lt;&gt;1,Y693&lt;&gt;"",AT693&lt;&gt;""),"수정","원본")</f>
        <v/>
      </c>
      <c r="D693" s="18" t="n">
        <v>182</v>
      </c>
      <c r="E693" s="18" t="inlineStr">
        <is>
          <t>아르코</t>
        </is>
      </c>
      <c r="F693" s="18" t="inlineStr">
        <is>
          <t>bellossom</t>
        </is>
      </c>
      <c r="G693" s="18" t="inlineStr">
        <is>
          <t>bellossom</t>
        </is>
      </c>
      <c r="H693" s="18" t="inlineStr"/>
      <c r="I693" s="18" t="n">
        <v>2</v>
      </c>
      <c r="J693" s="18" t="n"/>
      <c r="K693" s="18" t="n">
        <v>2</v>
      </c>
      <c r="L693" s="18" t="inlineStr">
        <is>
          <t>cobbleventure:generation_2</t>
        </is>
      </c>
      <c r="M693" s="19" t="inlineStr">
        <is>
          <t>cobbleventure:generation_2</t>
        </is>
      </c>
      <c r="N693" s="18" t="inlineStr"/>
      <c r="O693" s="19" t="inlineStr"/>
      <c r="P693" s="18" t="inlineStr">
        <is>
          <t>#cobblemon:is_jungle</t>
        </is>
      </c>
      <c r="Q693" s="19" t="inlineStr"/>
      <c r="R693" s="18">
        <f>IF(Q693="",P693,Q693)</f>
        <v/>
      </c>
      <c r="S693" s="18" t="inlineStr"/>
      <c r="T693" s="18" t="inlineStr">
        <is>
          <t>common</t>
        </is>
      </c>
      <c r="U693" s="20" t="n">
        <v>0.01</v>
      </c>
      <c r="V693" s="21" t="n">
        <v>1</v>
      </c>
      <c r="W693" s="20">
        <f>IF(OR(U693="",V693=""),U693,U693*V693)</f>
        <v/>
      </c>
      <c r="X693" s="18" t="inlineStr">
        <is>
          <t>35-49</t>
        </is>
      </c>
      <c r="Y693" s="19" t="inlineStr"/>
      <c r="Z693" s="18">
        <f>IF(Y693="",X693,Y693)</f>
        <v/>
      </c>
      <c r="AA693" s="18" t="inlineStr">
        <is>
          <t>grounded</t>
        </is>
      </c>
      <c r="AB693" s="18" t="inlineStr">
        <is>
          <t>day</t>
        </is>
      </c>
      <c r="AC693" s="18" t="inlineStr"/>
      <c r="AD693" s="18" t="inlineStr"/>
      <c r="AE693" s="18" t="inlineStr">
        <is>
          <t>sky 8-15</t>
        </is>
      </c>
      <c r="AF693" s="18" t="inlineStr"/>
      <c r="AG693" s="18" t="inlineStr"/>
      <c r="AH693" s="18" t="inlineStr"/>
      <c r="AI693" s="18" t="inlineStr"/>
      <c r="AJ693" s="18" t="inlineStr">
        <is>
          <t>Cobblemon 동일</t>
        </is>
      </c>
      <c r="AK693" s="18" t="inlineStr">
        <is>
          <t>사용</t>
        </is>
      </c>
      <c r="AL693" s="18" t="inlineStr">
        <is>
          <t>COBBLEVERSE 1.7.42 / DP v31</t>
        </is>
      </c>
      <c r="AM693" s="18" t="inlineStr">
        <is>
          <t>data/cobblemon/spawn_pool_world/0182_bellossom.json</t>
        </is>
      </c>
      <c r="AN693" s="18" t="inlineStr">
        <is>
          <t>bellossom-2</t>
        </is>
      </c>
      <c r="AO693" s="18" t="inlineStr">
        <is>
          <t>pokemon</t>
        </is>
      </c>
      <c r="AP693" s="18" t="inlineStr">
        <is>
          <t>natural</t>
        </is>
      </c>
      <c r="AQ693" s="18" t="inlineStr">
        <is>
          <t>{"biomes":["#cobblemon:is_jungle"],"maxSkyLight":15,"minSkyLight":8,"timeRange":"day"}</t>
        </is>
      </c>
      <c r="AR693" s="18" t="inlineStr"/>
      <c r="AS693" s="18" t="inlineStr"/>
      <c r="AT693" s="19" t="inlineStr"/>
    </row>
    <row r="694" ht="32" customHeight="1">
      <c r="A694" s="18" t="inlineStr">
        <is>
          <t>0182_bellossom.json::bellossom-valencian-3::003</t>
        </is>
      </c>
      <c r="B694" s="19" t="inlineStr">
        <is>
          <t>사용</t>
        </is>
      </c>
      <c r="C694" s="18">
        <f>IF(OR(B694&lt;&gt;AK694,M694&lt;&gt;L694,O694&lt;&gt;"",Q694&lt;&gt;"",V694&lt;&gt;1,Y694&lt;&gt;"",AT694&lt;&gt;""),"수정","원본")</f>
        <v/>
      </c>
      <c r="D694" s="18" t="n">
        <v>182</v>
      </c>
      <c r="E694" s="18" t="inlineStr">
        <is>
          <t>아르코</t>
        </is>
      </c>
      <c r="F694" s="18" t="inlineStr">
        <is>
          <t>bellossom</t>
        </is>
      </c>
      <c r="G694" s="18" t="inlineStr">
        <is>
          <t>bellossom valencian</t>
        </is>
      </c>
      <c r="H694" s="18" t="inlineStr">
        <is>
          <t>valencian</t>
        </is>
      </c>
      <c r="I694" s="18" t="n">
        <v>2</v>
      </c>
      <c r="J694" s="18" t="n"/>
      <c r="K694" s="18" t="n">
        <v>2</v>
      </c>
      <c r="L694" s="18" t="inlineStr">
        <is>
          <t>cobbleventure:generation_2</t>
        </is>
      </c>
      <c r="M694" s="19" t="inlineStr">
        <is>
          <t>cobbleventure:generation_2</t>
        </is>
      </c>
      <c r="N694" s="18" t="inlineStr"/>
      <c r="O694" s="19" t="inlineStr"/>
      <c r="P694" s="18" t="inlineStr">
        <is>
          <t>#cobblemon:is_savanna; #cobblemon:is_tropical_island</t>
        </is>
      </c>
      <c r="Q694" s="19" t="inlineStr"/>
      <c r="R694" s="18">
        <f>IF(Q694="",P694,Q694)</f>
        <v/>
      </c>
      <c r="S694" s="18" t="inlineStr"/>
      <c r="T694" s="18" t="inlineStr">
        <is>
          <t>common</t>
        </is>
      </c>
      <c r="U694" s="20" t="n">
        <v>0.01</v>
      </c>
      <c r="V694" s="21" t="n">
        <v>1</v>
      </c>
      <c r="W694" s="20">
        <f>IF(OR(U694="",V694=""),U694,U694*V694)</f>
        <v/>
      </c>
      <c r="X694" s="18" t="inlineStr">
        <is>
          <t>35-49</t>
        </is>
      </c>
      <c r="Y694" s="19" t="inlineStr"/>
      <c r="Z694" s="18">
        <f>IF(Y694="",X694,Y694)</f>
        <v/>
      </c>
      <c r="AA694" s="18" t="inlineStr">
        <is>
          <t>grounded</t>
        </is>
      </c>
      <c r="AB694" s="18" t="inlineStr">
        <is>
          <t>day</t>
        </is>
      </c>
      <c r="AC694" s="18" t="inlineStr"/>
      <c r="AD694" s="18" t="inlineStr"/>
      <c r="AE694" s="18" t="inlineStr">
        <is>
          <t>sky 8-15</t>
        </is>
      </c>
      <c r="AF694" s="18" t="inlineStr"/>
      <c r="AG694" s="18" t="inlineStr"/>
      <c r="AH694" s="18" t="inlineStr"/>
      <c r="AI694" s="18" t="inlineStr"/>
      <c r="AJ694" s="18" t="inlineStr">
        <is>
          <t>Cobblemon 동일</t>
        </is>
      </c>
      <c r="AK694" s="18" t="inlineStr">
        <is>
          <t>사용</t>
        </is>
      </c>
      <c r="AL694" s="18" t="inlineStr">
        <is>
          <t>COBBLEVERSE 1.7.42 / DP v31</t>
        </is>
      </c>
      <c r="AM694" s="18" t="inlineStr">
        <is>
          <t>data/cobblemon/spawn_pool_world/0182_bellossom.json</t>
        </is>
      </c>
      <c r="AN694" s="18" t="inlineStr">
        <is>
          <t>bellossom-valencian-3</t>
        </is>
      </c>
      <c r="AO694" s="18" t="inlineStr">
        <is>
          <t>pokemon</t>
        </is>
      </c>
      <c r="AP694" s="18" t="inlineStr">
        <is>
          <t>natural</t>
        </is>
      </c>
      <c r="AQ694" s="18" t="inlineStr">
        <is>
          <t>{"biomes":["#cobblemon:is_savanna","#cobblemon:is_tropical_island"],"maxSkyLight":15,"minSkyLight":8,"timeRange":"day"}</t>
        </is>
      </c>
      <c r="AR694" s="18" t="inlineStr"/>
      <c r="AS694" s="18" t="inlineStr"/>
      <c r="AT694" s="19" t="inlineStr"/>
    </row>
    <row r="695" ht="32" customHeight="1">
      <c r="A695" s="18" t="inlineStr">
        <is>
          <t>0183_marill.json::marill-1::001</t>
        </is>
      </c>
      <c r="B695" s="19" t="inlineStr">
        <is>
          <t>사용</t>
        </is>
      </c>
      <c r="C695" s="18">
        <f>IF(OR(B695&lt;&gt;AK695,M695&lt;&gt;L695,O695&lt;&gt;"",Q695&lt;&gt;"",V695&lt;&gt;1,Y695&lt;&gt;"",AT695&lt;&gt;""),"수정","원본")</f>
        <v/>
      </c>
      <c r="D695" s="18" t="n">
        <v>183</v>
      </c>
      <c r="E695" s="18" t="inlineStr">
        <is>
          <t>마릴</t>
        </is>
      </c>
      <c r="F695" s="18" t="inlineStr">
        <is>
          <t>marill</t>
        </is>
      </c>
      <c r="G695" s="18" t="inlineStr">
        <is>
          <t>marill</t>
        </is>
      </c>
      <c r="H695" s="18" t="inlineStr"/>
      <c r="I695" s="18" t="n">
        <v>2</v>
      </c>
      <c r="J695" s="18" t="n"/>
      <c r="K695" s="18" t="n">
        <v>2</v>
      </c>
      <c r="L695" s="18" t="inlineStr">
        <is>
          <t>cobbleventure:generation_2</t>
        </is>
      </c>
      <c r="M695" s="19" t="inlineStr">
        <is>
          <t>cobbleventure:generation_2</t>
        </is>
      </c>
      <c r="N695" s="18" t="inlineStr"/>
      <c r="O695" s="19" t="inlineStr"/>
      <c r="P695" s="18" t="inlineStr">
        <is>
          <t>#cobblemon:is_river</t>
        </is>
      </c>
      <c r="Q695" s="19" t="inlineStr"/>
      <c r="R695" s="18">
        <f>IF(Q695="",P695,Q695)</f>
        <v/>
      </c>
      <c r="S695" s="18" t="inlineStr">
        <is>
          <t>#cobblemon:is_freezing</t>
        </is>
      </c>
      <c r="T695" s="18" t="inlineStr">
        <is>
          <t>common</t>
        </is>
      </c>
      <c r="U695" s="20" t="n">
        <v>0.9</v>
      </c>
      <c r="V695" s="21" t="n">
        <v>1</v>
      </c>
      <c r="W695" s="20">
        <f>IF(OR(U695="",V695=""),U695,U695*V695)</f>
        <v/>
      </c>
      <c r="X695" s="18" t="inlineStr">
        <is>
          <t>14-25</t>
        </is>
      </c>
      <c r="Y695" s="19" t="inlineStr"/>
      <c r="Z695" s="18">
        <f>IF(Y695="",X695,Y695)</f>
        <v/>
      </c>
      <c r="AA695" s="18" t="inlineStr">
        <is>
          <t>grounded</t>
        </is>
      </c>
      <c r="AB695" s="18" t="inlineStr"/>
      <c r="AC695" s="18" t="inlineStr"/>
      <c r="AD695" s="18" t="inlineStr"/>
      <c r="AE695" s="18" t="inlineStr">
        <is>
          <t>sky 8-15</t>
        </is>
      </c>
      <c r="AF695" s="18" t="inlineStr"/>
      <c r="AG695" s="18" t="inlineStr"/>
      <c r="AH695" s="18" t="inlineStr"/>
      <c r="AI695" s="18" t="inlineStr"/>
      <c r="AJ695" s="18" t="inlineStr">
        <is>
          <t>COBBLEVERSE 수정</t>
        </is>
      </c>
      <c r="AK695" s="18" t="inlineStr">
        <is>
          <t>사용</t>
        </is>
      </c>
      <c r="AL695" s="18" t="inlineStr">
        <is>
          <t>COBBLEVERSE 1.7.42 / DP v31</t>
        </is>
      </c>
      <c r="AM695" s="18" t="inlineStr">
        <is>
          <t>data/cobblemon/spawn_pool_world/0183_marill.json</t>
        </is>
      </c>
      <c r="AN695" s="18" t="inlineStr">
        <is>
          <t>marill-1</t>
        </is>
      </c>
      <c r="AO695" s="18" t="inlineStr">
        <is>
          <t>pokemon</t>
        </is>
      </c>
      <c r="AP695" s="18" t="inlineStr">
        <is>
          <t>natural</t>
        </is>
      </c>
      <c r="AQ695" s="18" t="inlineStr">
        <is>
          <t>{"biomes":["#cobblemon:is_river"],"maxSkyLight":15,"minSkyLight":8}</t>
        </is>
      </c>
      <c r="AR695" s="18" t="inlineStr">
        <is>
          <t>{"biomes":["#cobblemon:is_freezing"]}</t>
        </is>
      </c>
      <c r="AS695" s="18" t="inlineStr"/>
      <c r="AT695" s="19" t="inlineStr"/>
    </row>
    <row r="696" ht="32" customHeight="1">
      <c r="A696" s="18" t="inlineStr">
        <is>
          <t>0183_marill.json::marill-2::002</t>
        </is>
      </c>
      <c r="B696" s="19" t="inlineStr">
        <is>
          <t>사용</t>
        </is>
      </c>
      <c r="C696" s="18">
        <f>IF(OR(B696&lt;&gt;AK696,M696&lt;&gt;L696,O696&lt;&gt;"",Q696&lt;&gt;"",V696&lt;&gt;1,Y696&lt;&gt;"",AT696&lt;&gt;""),"수정","원본")</f>
        <v/>
      </c>
      <c r="D696" s="18" t="n">
        <v>183</v>
      </c>
      <c r="E696" s="18" t="inlineStr">
        <is>
          <t>마릴</t>
        </is>
      </c>
      <c r="F696" s="18" t="inlineStr">
        <is>
          <t>marill</t>
        </is>
      </c>
      <c r="G696" s="18" t="inlineStr">
        <is>
          <t>marill</t>
        </is>
      </c>
      <c r="H696" s="18" t="inlineStr"/>
      <c r="I696" s="18" t="n">
        <v>2</v>
      </c>
      <c r="J696" s="18" t="n"/>
      <c r="K696" s="18" t="n">
        <v>2</v>
      </c>
      <c r="L696" s="18" t="inlineStr">
        <is>
          <t>cobbleventure:generation_2</t>
        </is>
      </c>
      <c r="M696" s="19" t="inlineStr">
        <is>
          <t>cobbleventure:generation_2</t>
        </is>
      </c>
      <c r="N696" s="18" t="inlineStr"/>
      <c r="O696" s="19" t="inlineStr"/>
      <c r="P696" s="18" t="inlineStr">
        <is>
          <t>#cobblemon:is_river</t>
        </is>
      </c>
      <c r="Q696" s="19" t="inlineStr"/>
      <c r="R696" s="18">
        <f>IF(Q696="",P696,Q696)</f>
        <v/>
      </c>
      <c r="S696" s="18" t="inlineStr"/>
      <c r="T696" s="18" t="inlineStr">
        <is>
          <t>common</t>
        </is>
      </c>
      <c r="U696" s="20" t="n">
        <v>0.864</v>
      </c>
      <c r="V696" s="21" t="n">
        <v>1</v>
      </c>
      <c r="W696" s="20">
        <f>IF(OR(U696="",V696=""),U696,U696*V696)</f>
        <v/>
      </c>
      <c r="X696" s="18" t="inlineStr">
        <is>
          <t>14-25</t>
        </is>
      </c>
      <c r="Y696" s="19" t="inlineStr"/>
      <c r="Z696" s="18">
        <f>IF(Y696="",X696,Y696)</f>
        <v/>
      </c>
      <c r="AA696" s="18" t="inlineStr">
        <is>
          <t>surface</t>
        </is>
      </c>
      <c r="AB696" s="18" t="inlineStr"/>
      <c r="AC696" s="18" t="inlineStr"/>
      <c r="AD696" s="18" t="inlineStr"/>
      <c r="AE696" s="18" t="inlineStr">
        <is>
          <t>sky 8-15</t>
        </is>
      </c>
      <c r="AF696" s="18" t="inlineStr"/>
      <c r="AG696" s="18" t="inlineStr"/>
      <c r="AH696" s="18" t="inlineStr"/>
      <c r="AI696" s="18" t="inlineStr"/>
      <c r="AJ696" s="18" t="inlineStr">
        <is>
          <t>COBBLEVERSE 수정</t>
        </is>
      </c>
      <c r="AK696" s="18" t="inlineStr">
        <is>
          <t>사용</t>
        </is>
      </c>
      <c r="AL696" s="18" t="inlineStr">
        <is>
          <t>COBBLEVERSE 1.7.42 / DP v31</t>
        </is>
      </c>
      <c r="AM696" s="18" t="inlineStr">
        <is>
          <t>data/cobblemon/spawn_pool_world/0183_marill.json</t>
        </is>
      </c>
      <c r="AN696" s="18" t="inlineStr">
        <is>
          <t>marill-2</t>
        </is>
      </c>
      <c r="AO696" s="18" t="inlineStr">
        <is>
          <t>pokemon</t>
        </is>
      </c>
      <c r="AP696" s="18" t="inlineStr">
        <is>
          <t>water</t>
        </is>
      </c>
      <c r="AQ696" s="18" t="inlineStr">
        <is>
          <t>{"biomes":["#cobblemon:is_river"],"maxSkyLight":15,"minSkyLight":8}</t>
        </is>
      </c>
      <c r="AR696" s="18" t="inlineStr"/>
      <c r="AS696" s="18" t="inlineStr"/>
      <c r="AT696" s="19" t="inlineStr"/>
    </row>
    <row r="697" ht="32" customHeight="1">
      <c r="A697" s="18" t="inlineStr">
        <is>
          <t>0183_marill.json::marill-3::003</t>
        </is>
      </c>
      <c r="B697" s="19" t="inlineStr">
        <is>
          <t>사용</t>
        </is>
      </c>
      <c r="C697" s="18">
        <f>IF(OR(B697&lt;&gt;AK697,M697&lt;&gt;L697,O697&lt;&gt;"",Q697&lt;&gt;"",V697&lt;&gt;1,Y697&lt;&gt;"",AT697&lt;&gt;""),"수정","원본")</f>
        <v/>
      </c>
      <c r="D697" s="18" t="n">
        <v>183</v>
      </c>
      <c r="E697" s="18" t="inlineStr">
        <is>
          <t>마릴</t>
        </is>
      </c>
      <c r="F697" s="18" t="inlineStr">
        <is>
          <t>marill</t>
        </is>
      </c>
      <c r="G697" s="18" t="inlineStr">
        <is>
          <t>marill</t>
        </is>
      </c>
      <c r="H697" s="18" t="inlineStr"/>
      <c r="I697" s="18" t="n">
        <v>2</v>
      </c>
      <c r="J697" s="18" t="n"/>
      <c r="K697" s="18" t="n">
        <v>2</v>
      </c>
      <c r="L697" s="18" t="inlineStr">
        <is>
          <t>cobbleventure:generation_2</t>
        </is>
      </c>
      <c r="M697" s="19" t="inlineStr">
        <is>
          <t>cobbleventure:generation_2</t>
        </is>
      </c>
      <c r="N697" s="18" t="inlineStr">
        <is>
          <t>region_01</t>
        </is>
      </c>
      <c r="O697" s="19" t="inlineStr"/>
      <c r="P697" s="18" t="inlineStr">
        <is>
          <t>#cobblemon:is_floral; #cobblemon:is_hills; #cobblemon:is_magical; #cobblemon:is_river; #cobblemon:is_snowy_forest; #cobblemon:is_taiga; #cobblemon:is_temperate</t>
        </is>
      </c>
      <c r="Q697" s="19" t="inlineStr"/>
      <c r="R697" s="18">
        <f>IF(Q697="",P697,Q697)</f>
        <v/>
      </c>
      <c r="S697" s="18" t="inlineStr"/>
      <c r="T697" s="18" t="inlineStr">
        <is>
          <t>common</t>
        </is>
      </c>
      <c r="U697" s="20" t="n">
        <v>0.9</v>
      </c>
      <c r="V697" s="21" t="n">
        <v>1</v>
      </c>
      <c r="W697" s="20">
        <f>IF(OR(U697="",V697=""),U697,U697*V697)</f>
        <v/>
      </c>
      <c r="X697" s="18" t="inlineStr">
        <is>
          <t>14-25</t>
        </is>
      </c>
      <c r="Y697" s="19" t="inlineStr"/>
      <c r="Z697" s="18">
        <f>IF(Y697="",X697,Y697)</f>
        <v/>
      </c>
      <c r="AA697" s="18" t="inlineStr">
        <is>
          <t>fishing</t>
        </is>
      </c>
      <c r="AB697" s="18" t="inlineStr"/>
      <c r="AC697" s="18" t="inlineStr"/>
      <c r="AD697" s="18" t="inlineStr"/>
      <c r="AE697" s="18" t="inlineStr"/>
      <c r="AF697" s="18" t="inlineStr">
        <is>
          <t>True</t>
        </is>
      </c>
      <c r="AG697" s="18" t="inlineStr"/>
      <c r="AH697" s="18" t="inlineStr"/>
      <c r="AI697" s="18" t="inlineStr"/>
      <c r="AJ697" s="18" t="inlineStr">
        <is>
          <t>COBBLEVERSE 수정</t>
        </is>
      </c>
      <c r="AK697" s="18" t="inlineStr">
        <is>
          <t>사용</t>
        </is>
      </c>
      <c r="AL697" s="18" t="inlineStr">
        <is>
          <t>COBBLEVERSE 1.7.42 / DP v31</t>
        </is>
      </c>
      <c r="AM697" s="18" t="inlineStr">
        <is>
          <t>data/cobblemon/spawn_pool_world/0183_marill.json</t>
        </is>
      </c>
      <c r="AN697" s="18" t="inlineStr">
        <is>
          <t>marill-3</t>
        </is>
      </c>
      <c r="AO697" s="18" t="inlineStr">
        <is>
          <t>pokemon</t>
        </is>
      </c>
      <c r="AP697" s="18" t="inlineStr"/>
      <c r="AQ697" s="18" t="inlineStr">
        <is>
          <t>{"biomes":["#cobblemon:is_floral","#cobblemon:is_hills","#cobblemon:is_magical","#cobblemon:is_river","#cobblemon:is_snowy_forest","#cobblemon:is_taiga","#cobblemon:is_temperate"],"canSeeSky":true}</t>
        </is>
      </c>
      <c r="AR697" s="18" t="inlineStr"/>
      <c r="AS697" s="18" t="inlineStr">
        <is>
          <t>{"weightMultiplier":{"condition":{"maxLureLevel":1,"minLureLevel":0},"multiplier":0.6}}</t>
        </is>
      </c>
      <c r="AT697" s="19" t="inlineStr"/>
    </row>
    <row r="698" ht="32" customHeight="1">
      <c r="A698" s="18" t="inlineStr">
        <is>
          <t>0183_marill.json::marill-4::004</t>
        </is>
      </c>
      <c r="B698" s="19" t="inlineStr">
        <is>
          <t>사용</t>
        </is>
      </c>
      <c r="C698" s="18">
        <f>IF(OR(B698&lt;&gt;AK698,M698&lt;&gt;L698,O698&lt;&gt;"",Q698&lt;&gt;"",V698&lt;&gt;1,Y698&lt;&gt;"",AT698&lt;&gt;""),"수정","원본")</f>
        <v/>
      </c>
      <c r="D698" s="18" t="n">
        <v>183</v>
      </c>
      <c r="E698" s="18" t="inlineStr">
        <is>
          <t>마릴</t>
        </is>
      </c>
      <c r="F698" s="18" t="inlineStr">
        <is>
          <t>marill</t>
        </is>
      </c>
      <c r="G698" s="18" t="inlineStr">
        <is>
          <t>marill</t>
        </is>
      </c>
      <c r="H698" s="18" t="inlineStr"/>
      <c r="I698" s="18" t="n">
        <v>2</v>
      </c>
      <c r="J698" s="18" t="n"/>
      <c r="K698" s="18" t="n">
        <v>2</v>
      </c>
      <c r="L698" s="18" t="inlineStr">
        <is>
          <t>cobbleventure:generation_2</t>
        </is>
      </c>
      <c r="M698" s="19" t="inlineStr">
        <is>
          <t>cobbleventure:generation_2</t>
        </is>
      </c>
      <c r="N698" s="18" t="inlineStr">
        <is>
          <t>region_01</t>
        </is>
      </c>
      <c r="O698" s="19" t="inlineStr"/>
      <c r="P698" s="18" t="inlineStr">
        <is>
          <t>#cobblemon:is_floral; #cobblemon:is_hills; #cobblemon:is_magical; #cobblemon:is_river; #cobblemon:is_snowy_forest; #cobblemon:is_taiga; #cobblemon:is_temperate</t>
        </is>
      </c>
      <c r="Q698" s="19" t="inlineStr"/>
      <c r="R698" s="18">
        <f>IF(Q698="",P698,Q698)</f>
        <v/>
      </c>
      <c r="S698" s="18" t="inlineStr"/>
      <c r="T698" s="18" t="inlineStr">
        <is>
          <t>common</t>
        </is>
      </c>
      <c r="U698" s="20" t="n">
        <v>0.9</v>
      </c>
      <c r="V698" s="21" t="n">
        <v>1</v>
      </c>
      <c r="W698" s="20">
        <f>IF(OR(U698="",V698=""),U698,U698*V698)</f>
        <v/>
      </c>
      <c r="X698" s="18" t="inlineStr">
        <is>
          <t>14-25</t>
        </is>
      </c>
      <c r="Y698" s="19" t="inlineStr"/>
      <c r="Z698" s="18">
        <f>IF(Y698="",X698,Y698)</f>
        <v/>
      </c>
      <c r="AA698" s="18" t="inlineStr">
        <is>
          <t>fishing</t>
        </is>
      </c>
      <c r="AB698" s="18" t="inlineStr"/>
      <c r="AC698" s="18" t="inlineStr"/>
      <c r="AD698" s="18" t="inlineStr"/>
      <c r="AE698" s="18" t="inlineStr">
        <is>
          <t>sky 8-15</t>
        </is>
      </c>
      <c r="AF698" s="18" t="inlineStr">
        <is>
          <t>False</t>
        </is>
      </c>
      <c r="AG698" s="18" t="inlineStr"/>
      <c r="AH698" s="18" t="inlineStr"/>
      <c r="AI698" s="18" t="inlineStr"/>
      <c r="AJ698" s="18" t="inlineStr">
        <is>
          <t>COBBLEVERSE 수정</t>
        </is>
      </c>
      <c r="AK698" s="18" t="inlineStr">
        <is>
          <t>사용</t>
        </is>
      </c>
      <c r="AL698" s="18" t="inlineStr">
        <is>
          <t>COBBLEVERSE 1.7.42 / DP v31</t>
        </is>
      </c>
      <c r="AM698" s="18" t="inlineStr">
        <is>
          <t>data/cobblemon/spawn_pool_world/0183_marill.json</t>
        </is>
      </c>
      <c r="AN698" s="18" t="inlineStr">
        <is>
          <t>marill-4</t>
        </is>
      </c>
      <c r="AO698" s="18" t="inlineStr">
        <is>
          <t>pokemon</t>
        </is>
      </c>
      <c r="AP698" s="18" t="inlineStr"/>
      <c r="AQ698" s="18" t="inlineStr">
        <is>
          <t>{"biomes":["#cobblemon:is_floral","#cobblemon:is_hills","#cobblemon:is_magical","#cobblemon:is_river","#cobblemon:is_snowy_forest","#cobblemon:is_taiga","#cobblemon:is_temperate"],"canSeeSky":false,"maxSkyLight":15,"minSkyLight":8}</t>
        </is>
      </c>
      <c r="AR698" s="18" t="inlineStr"/>
      <c r="AS698" s="18" t="inlineStr">
        <is>
          <t>{"weightMultiplier":{"condition":{"maxLureLevel":1,"minLureLevel":0},"multiplier":0.6}}</t>
        </is>
      </c>
      <c r="AT698" s="19" t="inlineStr"/>
    </row>
    <row r="699" ht="32" customHeight="1">
      <c r="A699" s="18" t="inlineStr">
        <is>
          <t>0184_azumarill.json::azumarill-1::001</t>
        </is>
      </c>
      <c r="B699" s="19" t="inlineStr">
        <is>
          <t>사용</t>
        </is>
      </c>
      <c r="C699" s="18">
        <f>IF(OR(B699&lt;&gt;AK699,M699&lt;&gt;L699,O699&lt;&gt;"",Q699&lt;&gt;"",V699&lt;&gt;1,Y699&lt;&gt;"",AT699&lt;&gt;""),"수정","원본")</f>
        <v/>
      </c>
      <c r="D699" s="18" t="n">
        <v>184</v>
      </c>
      <c r="E699" s="18" t="inlineStr">
        <is>
          <t>마릴리</t>
        </is>
      </c>
      <c r="F699" s="18" t="inlineStr">
        <is>
          <t>azumarill</t>
        </is>
      </c>
      <c r="G699" s="18" t="inlineStr">
        <is>
          <t>azumarill</t>
        </is>
      </c>
      <c r="H699" s="18" t="inlineStr"/>
      <c r="I699" s="18" t="n">
        <v>2</v>
      </c>
      <c r="J699" s="18" t="n"/>
      <c r="K699" s="18" t="n">
        <v>2</v>
      </c>
      <c r="L699" s="18" t="inlineStr">
        <is>
          <t>cobbleventure:generation_2</t>
        </is>
      </c>
      <c r="M699" s="19" t="inlineStr">
        <is>
          <t>cobbleventure:generation_2</t>
        </is>
      </c>
      <c r="N699" s="18" t="inlineStr"/>
      <c r="O699" s="19" t="inlineStr"/>
      <c r="P699" s="18" t="inlineStr">
        <is>
          <t>#cobblemon:is_river</t>
        </is>
      </c>
      <c r="Q699" s="19" t="inlineStr"/>
      <c r="R699" s="18">
        <f>IF(Q699="",P699,Q699)</f>
        <v/>
      </c>
      <c r="S699" s="18" t="inlineStr">
        <is>
          <t>#cobblemon:is_freezing</t>
        </is>
      </c>
      <c r="T699" s="18" t="inlineStr">
        <is>
          <t>uncommon</t>
        </is>
      </c>
      <c r="U699" s="20" t="n">
        <v>0.1</v>
      </c>
      <c r="V699" s="21" t="n">
        <v>1</v>
      </c>
      <c r="W699" s="20">
        <f>IF(OR(U699="",V699=""),U699,U699*V699)</f>
        <v/>
      </c>
      <c r="X699" s="18" t="inlineStr">
        <is>
          <t>18-42</t>
        </is>
      </c>
      <c r="Y699" s="19" t="inlineStr"/>
      <c r="Z699" s="18">
        <f>IF(Y699="",X699,Y699)</f>
        <v/>
      </c>
      <c r="AA699" s="18" t="inlineStr">
        <is>
          <t>grounded</t>
        </is>
      </c>
      <c r="AB699" s="18" t="inlineStr"/>
      <c r="AC699" s="18" t="inlineStr"/>
      <c r="AD699" s="18" t="inlineStr"/>
      <c r="AE699" s="18" t="inlineStr">
        <is>
          <t>sky 8-15</t>
        </is>
      </c>
      <c r="AF699" s="18" t="inlineStr"/>
      <c r="AG699" s="18" t="inlineStr"/>
      <c r="AH699" s="18" t="inlineStr"/>
      <c r="AI699" s="18" t="inlineStr"/>
      <c r="AJ699" s="18" t="inlineStr">
        <is>
          <t>COBBLEVERSE 수정</t>
        </is>
      </c>
      <c r="AK699" s="18" t="inlineStr">
        <is>
          <t>사용</t>
        </is>
      </c>
      <c r="AL699" s="18" t="inlineStr">
        <is>
          <t>COBBLEVERSE 1.7.42 / DP v31</t>
        </is>
      </c>
      <c r="AM699" s="18" t="inlineStr">
        <is>
          <t>data/cobblemon/spawn_pool_world/0184_azumarill.json</t>
        </is>
      </c>
      <c r="AN699" s="18" t="inlineStr">
        <is>
          <t>azumarill-1</t>
        </is>
      </c>
      <c r="AO699" s="18" t="inlineStr">
        <is>
          <t>pokemon</t>
        </is>
      </c>
      <c r="AP699" s="18" t="inlineStr">
        <is>
          <t>natural</t>
        </is>
      </c>
      <c r="AQ699" s="18" t="inlineStr">
        <is>
          <t>{"biomes":["#cobblemon:is_river"],"maxSkyLight":15,"minSkyLight":8}</t>
        </is>
      </c>
      <c r="AR699" s="18" t="inlineStr">
        <is>
          <t>{"biomes":["#cobblemon:is_freezing"]}</t>
        </is>
      </c>
      <c r="AS699" s="18" t="inlineStr"/>
      <c r="AT699" s="19" t="inlineStr"/>
    </row>
    <row r="700" ht="32" customHeight="1">
      <c r="A700" s="18" t="inlineStr">
        <is>
          <t>0184_azumarill.json::azumarill-2::002</t>
        </is>
      </c>
      <c r="B700" s="19" t="inlineStr">
        <is>
          <t>사용</t>
        </is>
      </c>
      <c r="C700" s="18">
        <f>IF(OR(B700&lt;&gt;AK700,M700&lt;&gt;L700,O700&lt;&gt;"",Q700&lt;&gt;"",V700&lt;&gt;1,Y700&lt;&gt;"",AT700&lt;&gt;""),"수정","원본")</f>
        <v/>
      </c>
      <c r="D700" s="18" t="n">
        <v>184</v>
      </c>
      <c r="E700" s="18" t="inlineStr">
        <is>
          <t>마릴리</t>
        </is>
      </c>
      <c r="F700" s="18" t="inlineStr">
        <is>
          <t>azumarill</t>
        </is>
      </c>
      <c r="G700" s="18" t="inlineStr">
        <is>
          <t>azumarill</t>
        </is>
      </c>
      <c r="H700" s="18" t="inlineStr"/>
      <c r="I700" s="18" t="n">
        <v>2</v>
      </c>
      <c r="J700" s="18" t="n"/>
      <c r="K700" s="18" t="n">
        <v>2</v>
      </c>
      <c r="L700" s="18" t="inlineStr">
        <is>
          <t>cobbleventure:generation_2</t>
        </is>
      </c>
      <c r="M700" s="19" t="inlineStr">
        <is>
          <t>cobbleventure:generation_2</t>
        </is>
      </c>
      <c r="N700" s="18" t="inlineStr"/>
      <c r="O700" s="19" t="inlineStr"/>
      <c r="P700" s="18" t="inlineStr">
        <is>
          <t>#cobblemon:is_river</t>
        </is>
      </c>
      <c r="Q700" s="19" t="inlineStr"/>
      <c r="R700" s="18">
        <f>IF(Q700="",P700,Q700)</f>
        <v/>
      </c>
      <c r="S700" s="18" t="inlineStr"/>
      <c r="T700" s="18" t="inlineStr">
        <is>
          <t>uncommon</t>
        </is>
      </c>
      <c r="U700" s="20" t="n">
        <v>0.096</v>
      </c>
      <c r="V700" s="21" t="n">
        <v>1</v>
      </c>
      <c r="W700" s="20">
        <f>IF(OR(U700="",V700=""),U700,U700*V700)</f>
        <v/>
      </c>
      <c r="X700" s="18" t="inlineStr">
        <is>
          <t>18-42</t>
        </is>
      </c>
      <c r="Y700" s="19" t="inlineStr"/>
      <c r="Z700" s="18">
        <f>IF(Y700="",X700,Y700)</f>
        <v/>
      </c>
      <c r="AA700" s="18" t="inlineStr">
        <is>
          <t>surface</t>
        </is>
      </c>
      <c r="AB700" s="18" t="inlineStr"/>
      <c r="AC700" s="18" t="inlineStr"/>
      <c r="AD700" s="18" t="inlineStr"/>
      <c r="AE700" s="18" t="inlineStr">
        <is>
          <t>sky 8-15</t>
        </is>
      </c>
      <c r="AF700" s="18" t="inlineStr"/>
      <c r="AG700" s="18" t="inlineStr"/>
      <c r="AH700" s="18" t="inlineStr"/>
      <c r="AI700" s="18" t="inlineStr"/>
      <c r="AJ700" s="18" t="inlineStr">
        <is>
          <t>COBBLEVERSE 수정</t>
        </is>
      </c>
      <c r="AK700" s="18" t="inlineStr">
        <is>
          <t>사용</t>
        </is>
      </c>
      <c r="AL700" s="18" t="inlineStr">
        <is>
          <t>COBBLEVERSE 1.7.42 / DP v31</t>
        </is>
      </c>
      <c r="AM700" s="18" t="inlineStr">
        <is>
          <t>data/cobblemon/spawn_pool_world/0184_azumarill.json</t>
        </is>
      </c>
      <c r="AN700" s="18" t="inlineStr">
        <is>
          <t>azumarill-2</t>
        </is>
      </c>
      <c r="AO700" s="18" t="inlineStr">
        <is>
          <t>pokemon</t>
        </is>
      </c>
      <c r="AP700" s="18" t="inlineStr">
        <is>
          <t>water</t>
        </is>
      </c>
      <c r="AQ700" s="18" t="inlineStr">
        <is>
          <t>{"biomes":["#cobblemon:is_river"],"maxSkyLight":15,"minSkyLight":8}</t>
        </is>
      </c>
      <c r="AR700" s="18" t="inlineStr"/>
      <c r="AS700" s="18" t="inlineStr"/>
      <c r="AT700" s="19" t="inlineStr"/>
    </row>
    <row r="701" ht="32" customHeight="1">
      <c r="A701" s="18" t="inlineStr">
        <is>
          <t>0184_azumarill.json::azumarill-3::003</t>
        </is>
      </c>
      <c r="B701" s="19" t="inlineStr">
        <is>
          <t>사용</t>
        </is>
      </c>
      <c r="C701" s="18">
        <f>IF(OR(B701&lt;&gt;AK701,M701&lt;&gt;L701,O701&lt;&gt;"",Q701&lt;&gt;"",V701&lt;&gt;1,Y701&lt;&gt;"",AT701&lt;&gt;""),"수정","원본")</f>
        <v/>
      </c>
      <c r="D701" s="18" t="n">
        <v>184</v>
      </c>
      <c r="E701" s="18" t="inlineStr">
        <is>
          <t>마릴리</t>
        </is>
      </c>
      <c r="F701" s="18" t="inlineStr">
        <is>
          <t>azumarill</t>
        </is>
      </c>
      <c r="G701" s="18" t="inlineStr">
        <is>
          <t>azumarill</t>
        </is>
      </c>
      <c r="H701" s="18" t="inlineStr"/>
      <c r="I701" s="18" t="n">
        <v>2</v>
      </c>
      <c r="J701" s="18" t="n"/>
      <c r="K701" s="18" t="n">
        <v>2</v>
      </c>
      <c r="L701" s="18" t="inlineStr">
        <is>
          <t>cobbleventure:generation_2</t>
        </is>
      </c>
      <c r="M701" s="19" t="inlineStr">
        <is>
          <t>cobbleventure:generation_2</t>
        </is>
      </c>
      <c r="N701" s="18" t="inlineStr">
        <is>
          <t>region_01</t>
        </is>
      </c>
      <c r="O701" s="19" t="inlineStr"/>
      <c r="P701" s="18" t="inlineStr">
        <is>
          <t>#cobblemon:is_floral; #cobblemon:is_hills; #cobblemon:is_magical; #cobblemon:is_river; #cobblemon:is_snowy_forest; #cobblemon:is_taiga; #cobblemon:is_temperate</t>
        </is>
      </c>
      <c r="Q701" s="19" t="inlineStr"/>
      <c r="R701" s="18">
        <f>IF(Q701="",P701,Q701)</f>
        <v/>
      </c>
      <c r="S701" s="18" t="inlineStr"/>
      <c r="T701" s="18" t="inlineStr">
        <is>
          <t>common</t>
        </is>
      </c>
      <c r="U701" s="20" t="n">
        <v>0.1</v>
      </c>
      <c r="V701" s="21" t="n">
        <v>1</v>
      </c>
      <c r="W701" s="20">
        <f>IF(OR(U701="",V701=""),U701,U701*V701)</f>
        <v/>
      </c>
      <c r="X701" s="18" t="inlineStr">
        <is>
          <t>18-42</t>
        </is>
      </c>
      <c r="Y701" s="19" t="inlineStr"/>
      <c r="Z701" s="18">
        <f>IF(Y701="",X701,Y701)</f>
        <v/>
      </c>
      <c r="AA701" s="18" t="inlineStr">
        <is>
          <t>fishing</t>
        </is>
      </c>
      <c r="AB701" s="18" t="inlineStr"/>
      <c r="AC701" s="18" t="inlineStr"/>
      <c r="AD701" s="18" t="inlineStr"/>
      <c r="AE701" s="18" t="inlineStr"/>
      <c r="AF701" s="18" t="inlineStr">
        <is>
          <t>True</t>
        </is>
      </c>
      <c r="AG701" s="18" t="inlineStr"/>
      <c r="AH701" s="18" t="inlineStr"/>
      <c r="AI701" s="18" t="inlineStr"/>
      <c r="AJ701" s="18" t="inlineStr">
        <is>
          <t>COBBLEVERSE 수정</t>
        </is>
      </c>
      <c r="AK701" s="18" t="inlineStr">
        <is>
          <t>사용</t>
        </is>
      </c>
      <c r="AL701" s="18" t="inlineStr">
        <is>
          <t>COBBLEVERSE 1.7.42 / DP v31</t>
        </is>
      </c>
      <c r="AM701" s="18" t="inlineStr">
        <is>
          <t>data/cobblemon/spawn_pool_world/0184_azumarill.json</t>
        </is>
      </c>
      <c r="AN701" s="18" t="inlineStr">
        <is>
          <t>azumarill-3</t>
        </is>
      </c>
      <c r="AO701" s="18" t="inlineStr">
        <is>
          <t>pokemon</t>
        </is>
      </c>
      <c r="AP701" s="18" t="inlineStr"/>
      <c r="AQ701" s="18" t="inlineStr">
        <is>
          <t>{"biomes":["#cobblemon:is_floral","#cobblemon:is_hills","#cobblemon:is_magical","#cobblemon:is_river","#cobblemon:is_snowy_forest","#cobblemon:is_taiga","#cobblemon:is_temperate"],"canSeeSky":true}</t>
        </is>
      </c>
      <c r="AR701" s="18" t="inlineStr"/>
      <c r="AS701" s="18" t="inlineStr">
        <is>
          <t>{"weightMultiplier":{"condition":{"maxLureLevel":1,"minLureLevel":0},"multiplier":0.6}}</t>
        </is>
      </c>
      <c r="AT701" s="19" t="inlineStr"/>
    </row>
    <row r="702" ht="32" customHeight="1">
      <c r="A702" s="18" t="inlineStr">
        <is>
          <t>0184_azumarill.json::azumarill-4::004</t>
        </is>
      </c>
      <c r="B702" s="19" t="inlineStr">
        <is>
          <t>사용</t>
        </is>
      </c>
      <c r="C702" s="18">
        <f>IF(OR(B702&lt;&gt;AK702,M702&lt;&gt;L702,O702&lt;&gt;"",Q702&lt;&gt;"",V702&lt;&gt;1,Y702&lt;&gt;"",AT702&lt;&gt;""),"수정","원본")</f>
        <v/>
      </c>
      <c r="D702" s="18" t="n">
        <v>184</v>
      </c>
      <c r="E702" s="18" t="inlineStr">
        <is>
          <t>마릴리</t>
        </is>
      </c>
      <c r="F702" s="18" t="inlineStr">
        <is>
          <t>azumarill</t>
        </is>
      </c>
      <c r="G702" s="18" t="inlineStr">
        <is>
          <t>azumarill</t>
        </is>
      </c>
      <c r="H702" s="18" t="inlineStr"/>
      <c r="I702" s="18" t="n">
        <v>2</v>
      </c>
      <c r="J702" s="18" t="n"/>
      <c r="K702" s="18" t="n">
        <v>2</v>
      </c>
      <c r="L702" s="18" t="inlineStr">
        <is>
          <t>cobbleventure:generation_2</t>
        </is>
      </c>
      <c r="M702" s="19" t="inlineStr">
        <is>
          <t>cobbleventure:generation_2</t>
        </is>
      </c>
      <c r="N702" s="18" t="inlineStr">
        <is>
          <t>region_01</t>
        </is>
      </c>
      <c r="O702" s="19" t="inlineStr"/>
      <c r="P702" s="18" t="inlineStr">
        <is>
          <t>#cobblemon:is_floral; #cobblemon:is_hills; #cobblemon:is_magical; #cobblemon:is_river; #cobblemon:is_snowy_forest; #cobblemon:is_taiga; #cobblemon:is_temperate</t>
        </is>
      </c>
      <c r="Q702" s="19" t="inlineStr"/>
      <c r="R702" s="18">
        <f>IF(Q702="",P702,Q702)</f>
        <v/>
      </c>
      <c r="S702" s="18" t="inlineStr"/>
      <c r="T702" s="18" t="inlineStr">
        <is>
          <t>common</t>
        </is>
      </c>
      <c r="U702" s="20" t="n">
        <v>0.1</v>
      </c>
      <c r="V702" s="21" t="n">
        <v>1</v>
      </c>
      <c r="W702" s="20">
        <f>IF(OR(U702="",V702=""),U702,U702*V702)</f>
        <v/>
      </c>
      <c r="X702" s="18" t="inlineStr">
        <is>
          <t>18-42</t>
        </is>
      </c>
      <c r="Y702" s="19" t="inlineStr"/>
      <c r="Z702" s="18">
        <f>IF(Y702="",X702,Y702)</f>
        <v/>
      </c>
      <c r="AA702" s="18" t="inlineStr">
        <is>
          <t>fishing</t>
        </is>
      </c>
      <c r="AB702" s="18" t="inlineStr"/>
      <c r="AC702" s="18" t="inlineStr"/>
      <c r="AD702" s="18" t="inlineStr"/>
      <c r="AE702" s="18" t="inlineStr">
        <is>
          <t>sky 8-15</t>
        </is>
      </c>
      <c r="AF702" s="18" t="inlineStr">
        <is>
          <t>False</t>
        </is>
      </c>
      <c r="AG702" s="18" t="inlineStr"/>
      <c r="AH702" s="18" t="inlineStr"/>
      <c r="AI702" s="18" t="inlineStr"/>
      <c r="AJ702" s="18" t="inlineStr">
        <is>
          <t>COBBLEVERSE 수정</t>
        </is>
      </c>
      <c r="AK702" s="18" t="inlineStr">
        <is>
          <t>사용</t>
        </is>
      </c>
      <c r="AL702" s="18" t="inlineStr">
        <is>
          <t>COBBLEVERSE 1.7.42 / DP v31</t>
        </is>
      </c>
      <c r="AM702" s="18" t="inlineStr">
        <is>
          <t>data/cobblemon/spawn_pool_world/0184_azumarill.json</t>
        </is>
      </c>
      <c r="AN702" s="18" t="inlineStr">
        <is>
          <t>azumarill-4</t>
        </is>
      </c>
      <c r="AO702" s="18" t="inlineStr">
        <is>
          <t>pokemon</t>
        </is>
      </c>
      <c r="AP702" s="18" t="inlineStr"/>
      <c r="AQ702" s="18" t="inlineStr">
        <is>
          <t>{"biomes":["#cobblemon:is_floral","#cobblemon:is_hills","#cobblemon:is_magical","#cobblemon:is_river","#cobblemon:is_snowy_forest","#cobblemon:is_taiga","#cobblemon:is_temperate"],"canSeeSky":false,"maxSkyLight":15,"minSkyLight":8}</t>
        </is>
      </c>
      <c r="AR702" s="18" t="inlineStr"/>
      <c r="AS702" s="18" t="inlineStr">
        <is>
          <t>{"weightMultiplier":{"condition":{"maxLureLevel":1,"minLureLevel":0},"multiplier":0.6}}</t>
        </is>
      </c>
      <c r="AT702" s="19" t="inlineStr"/>
    </row>
    <row r="703" ht="32" customHeight="1">
      <c r="A703" s="18" t="inlineStr">
        <is>
          <t>0185_sudowoodo.json::sudowoodo-1::001</t>
        </is>
      </c>
      <c r="B703" s="19" t="inlineStr">
        <is>
          <t>사용</t>
        </is>
      </c>
      <c r="C703" s="18">
        <f>IF(OR(B703&lt;&gt;AK703,M703&lt;&gt;L703,O703&lt;&gt;"",Q703&lt;&gt;"",V703&lt;&gt;1,Y703&lt;&gt;"",AT703&lt;&gt;""),"수정","원본")</f>
        <v/>
      </c>
      <c r="D703" s="18" t="n">
        <v>185</v>
      </c>
      <c r="E703" s="18" t="inlineStr">
        <is>
          <t>꼬지모</t>
        </is>
      </c>
      <c r="F703" s="18" t="inlineStr">
        <is>
          <t>sudowoodo</t>
        </is>
      </c>
      <c r="G703" s="18" t="inlineStr">
        <is>
          <t>sudowoodo</t>
        </is>
      </c>
      <c r="H703" s="18" t="inlineStr"/>
      <c r="I703" s="18" t="n">
        <v>2</v>
      </c>
      <c r="J703" s="18" t="n"/>
      <c r="K703" s="18" t="n">
        <v>2</v>
      </c>
      <c r="L703" s="18" t="inlineStr">
        <is>
          <t>cobbleventure:generation_2</t>
        </is>
      </c>
      <c r="M703" s="19" t="inlineStr">
        <is>
          <t>cobbleventure:generation_2</t>
        </is>
      </c>
      <c r="N703" s="18" t="inlineStr">
        <is>
          <t>region_01</t>
        </is>
      </c>
      <c r="O703" s="19" t="inlineStr"/>
      <c r="P703" s="18" t="inlineStr">
        <is>
          <t>#cobblemon:is_forest</t>
        </is>
      </c>
      <c r="Q703" s="19" t="inlineStr"/>
      <c r="R703" s="18">
        <f>IF(Q703="",P703,Q703)</f>
        <v/>
      </c>
      <c r="S703" s="18" t="inlineStr">
        <is>
          <t>#cobblemon:is_spooky</t>
        </is>
      </c>
      <c r="T703" s="18" t="inlineStr">
        <is>
          <t>uncommon</t>
        </is>
      </c>
      <c r="U703" s="20" t="n">
        <v>0.96</v>
      </c>
      <c r="V703" s="21" t="n">
        <v>1</v>
      </c>
      <c r="W703" s="20">
        <f>IF(OR(U703="",V703=""),U703,U703*V703)</f>
        <v/>
      </c>
      <c r="X703" s="18" t="inlineStr">
        <is>
          <t>16-41</t>
        </is>
      </c>
      <c r="Y703" s="19" t="inlineStr"/>
      <c r="Z703" s="18">
        <f>IF(Y703="",X703,Y703)</f>
        <v/>
      </c>
      <c r="AA703" s="18" t="inlineStr">
        <is>
          <t>grounded</t>
        </is>
      </c>
      <c r="AB703" s="18" t="inlineStr"/>
      <c r="AC703" s="18" t="inlineStr">
        <is>
          <t>비=False</t>
        </is>
      </c>
      <c r="AD703" s="18" t="inlineStr"/>
      <c r="AE703" s="18" t="inlineStr">
        <is>
          <t>sky 8-15</t>
        </is>
      </c>
      <c r="AF703" s="18" t="inlineStr"/>
      <c r="AG703" s="18" t="inlineStr"/>
      <c r="AH703" s="18" t="inlineStr"/>
      <c r="AI703" s="18" t="inlineStr"/>
      <c r="AJ703" s="18" t="inlineStr">
        <is>
          <t>Cobblemon 동일</t>
        </is>
      </c>
      <c r="AK703" s="18" t="inlineStr">
        <is>
          <t>사용</t>
        </is>
      </c>
      <c r="AL703" s="18" t="inlineStr">
        <is>
          <t>COBBLEVERSE 1.7.42 / DP v31</t>
        </is>
      </c>
      <c r="AM703" s="18" t="inlineStr">
        <is>
          <t>data/cobblemon/spawn_pool_world/0185_sudowoodo.json</t>
        </is>
      </c>
      <c r="AN703" s="18" t="inlineStr">
        <is>
          <t>sudowoodo-1</t>
        </is>
      </c>
      <c r="AO703" s="18" t="inlineStr">
        <is>
          <t>pokemon</t>
        </is>
      </c>
      <c r="AP703" s="18" t="inlineStr">
        <is>
          <t>natural</t>
        </is>
      </c>
      <c r="AQ703" s="18" t="inlineStr">
        <is>
          <t>{"biomes":["#cobblemon:is_forest"],"isRaining":false,"maxSkyLight":15,"minSkyLight":8}</t>
        </is>
      </c>
      <c r="AR703" s="18" t="inlineStr">
        <is>
          <t>{"biomes":["#cobblemon:is_spooky"]}</t>
        </is>
      </c>
      <c r="AS703" s="18" t="inlineStr"/>
      <c r="AT703" s="19" t="inlineStr"/>
    </row>
    <row r="704" ht="32" customHeight="1">
      <c r="A704" s="18" t="inlineStr">
        <is>
          <t>0186_politoed.json::politoed-1::001</t>
        </is>
      </c>
      <c r="B704" s="19" t="inlineStr">
        <is>
          <t>사용</t>
        </is>
      </c>
      <c r="C704" s="18">
        <f>IF(OR(B704&lt;&gt;AK704,M704&lt;&gt;L704,O704&lt;&gt;"",Q704&lt;&gt;"",V704&lt;&gt;1,Y704&lt;&gt;"",AT704&lt;&gt;""),"수정","원본")</f>
        <v/>
      </c>
      <c r="D704" s="18" t="n">
        <v>186</v>
      </c>
      <c r="E704" s="18" t="inlineStr">
        <is>
          <t>왕구리</t>
        </is>
      </c>
      <c r="F704" s="18" t="inlineStr">
        <is>
          <t>politoed</t>
        </is>
      </c>
      <c r="G704" s="18" t="inlineStr">
        <is>
          <t>politoed</t>
        </is>
      </c>
      <c r="H704" s="18" t="inlineStr"/>
      <c r="I704" s="18" t="n">
        <v>2</v>
      </c>
      <c r="J704" s="18" t="n"/>
      <c r="K704" s="18" t="n">
        <v>2</v>
      </c>
      <c r="L704" s="18" t="inlineStr">
        <is>
          <t>cobbleventure:generation_2</t>
        </is>
      </c>
      <c r="M704" s="19" t="inlineStr">
        <is>
          <t>cobbleventure:generation_2</t>
        </is>
      </c>
      <c r="N704" s="18" t="inlineStr">
        <is>
          <t>region_02</t>
        </is>
      </c>
      <c r="O704" s="19" t="inlineStr"/>
      <c r="P704" s="18" t="inlineStr">
        <is>
          <t>#cobblemon:is_swamp</t>
        </is>
      </c>
      <c r="Q704" s="19" t="inlineStr"/>
      <c r="R704" s="18">
        <f>IF(Q704="",P704,Q704)</f>
        <v/>
      </c>
      <c r="S704" s="18" t="inlineStr"/>
      <c r="T704" s="18" t="inlineStr">
        <is>
          <t>common</t>
        </is>
      </c>
      <c r="U704" s="20" t="n">
        <v>0.025</v>
      </c>
      <c r="V704" s="21" t="n">
        <v>1</v>
      </c>
      <c r="W704" s="20">
        <f>IF(OR(U704="",V704=""),U704,U704*V704)</f>
        <v/>
      </c>
      <c r="X704" s="18" t="inlineStr">
        <is>
          <t>34-50</t>
        </is>
      </c>
      <c r="Y704" s="19" t="inlineStr"/>
      <c r="Z704" s="18">
        <f>IF(Y704="",X704,Y704)</f>
        <v/>
      </c>
      <c r="AA704" s="18" t="inlineStr">
        <is>
          <t>grounded</t>
        </is>
      </c>
      <c r="AB704" s="18" t="inlineStr"/>
      <c r="AC704" s="18" t="inlineStr">
        <is>
          <t>비=True</t>
        </is>
      </c>
      <c r="AD704" s="18" t="inlineStr"/>
      <c r="AE704" s="18" t="inlineStr">
        <is>
          <t>sky 8-15</t>
        </is>
      </c>
      <c r="AF704" s="18" t="inlineStr"/>
      <c r="AG704" s="18" t="inlineStr"/>
      <c r="AH704" s="18" t="inlineStr"/>
      <c r="AI704" s="18" t="inlineStr"/>
      <c r="AJ704" s="18" t="inlineStr">
        <is>
          <t>Cobblemon 동일</t>
        </is>
      </c>
      <c r="AK704" s="18" t="inlineStr">
        <is>
          <t>사용</t>
        </is>
      </c>
      <c r="AL704" s="18" t="inlineStr">
        <is>
          <t>COBBLEVERSE 1.7.42 / DP v31</t>
        </is>
      </c>
      <c r="AM704" s="18" t="inlineStr">
        <is>
          <t>data/cobblemon/spawn_pool_world/0186_politoed.json</t>
        </is>
      </c>
      <c r="AN704" s="18" t="inlineStr">
        <is>
          <t>politoed-1</t>
        </is>
      </c>
      <c r="AO704" s="18" t="inlineStr">
        <is>
          <t>pokemon</t>
        </is>
      </c>
      <c r="AP704" s="18" t="inlineStr">
        <is>
          <t>natural</t>
        </is>
      </c>
      <c r="AQ704" s="18" t="inlineStr">
        <is>
          <t>{"biomes":["#cobblemon:is_swamp"],"isRaining":true,"maxSkyLight":15,"minSkyLight":8}</t>
        </is>
      </c>
      <c r="AR704" s="18" t="inlineStr"/>
      <c r="AS704" s="18" t="inlineStr"/>
      <c r="AT704" s="19" t="inlineStr"/>
    </row>
    <row r="705" ht="32" customHeight="1">
      <c r="A705" s="18" t="inlineStr">
        <is>
          <t>0186_politoed.json::politoed-2::002</t>
        </is>
      </c>
      <c r="B705" s="19" t="inlineStr">
        <is>
          <t>사용</t>
        </is>
      </c>
      <c r="C705" s="18">
        <f>IF(OR(B705&lt;&gt;AK705,M705&lt;&gt;L705,O705&lt;&gt;"",Q705&lt;&gt;"",V705&lt;&gt;1,Y705&lt;&gt;"",AT705&lt;&gt;""),"수정","원본")</f>
        <v/>
      </c>
      <c r="D705" s="18" t="n">
        <v>186</v>
      </c>
      <c r="E705" s="18" t="inlineStr">
        <is>
          <t>왕구리</t>
        </is>
      </c>
      <c r="F705" s="18" t="inlineStr">
        <is>
          <t>politoed</t>
        </is>
      </c>
      <c r="G705" s="18" t="inlineStr">
        <is>
          <t>politoed</t>
        </is>
      </c>
      <c r="H705" s="18" t="inlineStr"/>
      <c r="I705" s="18" t="n">
        <v>2</v>
      </c>
      <c r="J705" s="18" t="n"/>
      <c r="K705" s="18" t="n">
        <v>2</v>
      </c>
      <c r="L705" s="18" t="inlineStr">
        <is>
          <t>cobbleventure:generation_2</t>
        </is>
      </c>
      <c r="M705" s="19" t="inlineStr">
        <is>
          <t>cobbleventure:generation_2</t>
        </is>
      </c>
      <c r="N705" s="18" t="inlineStr">
        <is>
          <t>region_02</t>
        </is>
      </c>
      <c r="O705" s="19" t="inlineStr"/>
      <c r="P705" s="18" t="inlineStr">
        <is>
          <t>#cobblemon:is_swamp</t>
        </is>
      </c>
      <c r="Q705" s="19" t="inlineStr"/>
      <c r="R705" s="18">
        <f>IF(Q705="",P705,Q705)</f>
        <v/>
      </c>
      <c r="S705" s="18" t="inlineStr"/>
      <c r="T705" s="18" t="inlineStr">
        <is>
          <t>common</t>
        </is>
      </c>
      <c r="U705" s="20" t="n">
        <v>0.025</v>
      </c>
      <c r="V705" s="21" t="n">
        <v>1</v>
      </c>
      <c r="W705" s="20">
        <f>IF(OR(U705="",V705=""),U705,U705*V705)</f>
        <v/>
      </c>
      <c r="X705" s="18" t="inlineStr">
        <is>
          <t>34-50</t>
        </is>
      </c>
      <c r="Y705" s="19" t="inlineStr"/>
      <c r="Z705" s="18">
        <f>IF(Y705="",X705,Y705)</f>
        <v/>
      </c>
      <c r="AA705" s="18" t="inlineStr">
        <is>
          <t>submerged</t>
        </is>
      </c>
      <c r="AB705" s="18" t="inlineStr"/>
      <c r="AC705" s="18" t="inlineStr"/>
      <c r="AD705" s="18" t="inlineStr"/>
      <c r="AE705" s="18" t="inlineStr"/>
      <c r="AF705" s="18" t="inlineStr">
        <is>
          <t>True</t>
        </is>
      </c>
      <c r="AG705" s="18" t="inlineStr"/>
      <c r="AH705" s="18" t="inlineStr">
        <is>
          <t>주변=minecraft:lily_pad</t>
        </is>
      </c>
      <c r="AI705" s="18" t="inlineStr"/>
      <c r="AJ705" s="18" t="inlineStr">
        <is>
          <t>Cobblemon 동일</t>
        </is>
      </c>
      <c r="AK705" s="18" t="inlineStr">
        <is>
          <t>사용</t>
        </is>
      </c>
      <c r="AL705" s="18" t="inlineStr">
        <is>
          <t>COBBLEVERSE 1.7.42 / DP v31</t>
        </is>
      </c>
      <c r="AM705" s="18" t="inlineStr">
        <is>
          <t>data/cobblemon/spawn_pool_world/0186_politoed.json</t>
        </is>
      </c>
      <c r="AN705" s="18" t="inlineStr">
        <is>
          <t>politoed-2</t>
        </is>
      </c>
      <c r="AO705" s="18" t="inlineStr">
        <is>
          <t>pokemon</t>
        </is>
      </c>
      <c r="AP705" s="18" t="inlineStr">
        <is>
          <t>water</t>
        </is>
      </c>
      <c r="AQ705" s="18" t="inlineStr">
        <is>
          <t>{"biomes":["#cobblemon:is_swamp"],"canSeeSky":true,"neededNearbyBlocks":["minecraft:lily_pad"]}</t>
        </is>
      </c>
      <c r="AR705" s="18" t="inlineStr"/>
      <c r="AS705" s="18" t="inlineStr"/>
      <c r="AT705" s="19" t="inlineStr"/>
    </row>
    <row r="706" ht="32" customHeight="1">
      <c r="A706" s="18" t="inlineStr">
        <is>
          <t>0186_politoed.json::politoed-3::003</t>
        </is>
      </c>
      <c r="B706" s="19" t="inlineStr">
        <is>
          <t>사용</t>
        </is>
      </c>
      <c r="C706" s="18">
        <f>IF(OR(B706&lt;&gt;AK706,M706&lt;&gt;L706,O706&lt;&gt;"",Q706&lt;&gt;"",V706&lt;&gt;1,Y706&lt;&gt;"",AT706&lt;&gt;""),"수정","원본")</f>
        <v/>
      </c>
      <c r="D706" s="18" t="n">
        <v>186</v>
      </c>
      <c r="E706" s="18" t="inlineStr">
        <is>
          <t>왕구리</t>
        </is>
      </c>
      <c r="F706" s="18" t="inlineStr">
        <is>
          <t>politoed</t>
        </is>
      </c>
      <c r="G706" s="18" t="inlineStr">
        <is>
          <t>politoed</t>
        </is>
      </c>
      <c r="H706" s="18" t="inlineStr"/>
      <c r="I706" s="18" t="n">
        <v>2</v>
      </c>
      <c r="J706" s="18" t="n"/>
      <c r="K706" s="18" t="n">
        <v>2</v>
      </c>
      <c r="L706" s="18" t="inlineStr">
        <is>
          <t>cobbleventure:generation_2</t>
        </is>
      </c>
      <c r="M706" s="19" t="inlineStr">
        <is>
          <t>cobbleventure:generation_2</t>
        </is>
      </c>
      <c r="N706" s="18" t="inlineStr">
        <is>
          <t>region_01</t>
        </is>
      </c>
      <c r="O706" s="19" t="inlineStr"/>
      <c r="P706" s="18" t="inlineStr">
        <is>
          <t>#cobblemon:is_freshwater; #cobblemon:is_hills; #cobblemon:is_jungle; #cobblemon:is_magical; #cobblemon:is_mushroom; #cobblemon:is_temperate</t>
        </is>
      </c>
      <c r="Q706" s="19" t="inlineStr"/>
      <c r="R706" s="18">
        <f>IF(Q706="",P706,Q706)</f>
        <v/>
      </c>
      <c r="S706" s="18" t="inlineStr">
        <is>
          <t>#cobblemon:is_freezing; #cobblemon:is_swamp</t>
        </is>
      </c>
      <c r="T706" s="18" t="inlineStr">
        <is>
          <t>common</t>
        </is>
      </c>
      <c r="U706" s="20" t="n">
        <v>0.015</v>
      </c>
      <c r="V706" s="21" t="n">
        <v>1</v>
      </c>
      <c r="W706" s="20">
        <f>IF(OR(U706="",V706=""),U706,U706*V706)</f>
        <v/>
      </c>
      <c r="X706" s="18" t="inlineStr">
        <is>
          <t>34-50</t>
        </is>
      </c>
      <c r="Y706" s="19" t="inlineStr"/>
      <c r="Z706" s="18">
        <f>IF(Y706="",X706,Y706)</f>
        <v/>
      </c>
      <c r="AA706" s="18" t="inlineStr">
        <is>
          <t>grounded</t>
        </is>
      </c>
      <c r="AB706" s="18" t="inlineStr"/>
      <c r="AC706" s="18" t="inlineStr">
        <is>
          <t>비=True</t>
        </is>
      </c>
      <c r="AD706" s="18" t="inlineStr"/>
      <c r="AE706" s="18" t="inlineStr">
        <is>
          <t>sky 8-15</t>
        </is>
      </c>
      <c r="AF706" s="18" t="inlineStr"/>
      <c r="AG706" s="18" t="inlineStr"/>
      <c r="AH706" s="18" t="inlineStr">
        <is>
          <t>주변=minecraft:water</t>
        </is>
      </c>
      <c r="AI706" s="18" t="inlineStr"/>
      <c r="AJ706" s="18" t="inlineStr">
        <is>
          <t>Cobblemon 동일</t>
        </is>
      </c>
      <c r="AK706" s="18" t="inlineStr">
        <is>
          <t>사용</t>
        </is>
      </c>
      <c r="AL706" s="18" t="inlineStr">
        <is>
          <t>COBBLEVERSE 1.7.42 / DP v31</t>
        </is>
      </c>
      <c r="AM706" s="18" t="inlineStr">
        <is>
          <t>data/cobblemon/spawn_pool_world/0186_politoed.json</t>
        </is>
      </c>
      <c r="AN706" s="18" t="inlineStr">
        <is>
          <t>politoed-3</t>
        </is>
      </c>
      <c r="AO706" s="18" t="inlineStr">
        <is>
          <t>pokemon</t>
        </is>
      </c>
      <c r="AP706" s="18" t="inlineStr">
        <is>
          <t>natural</t>
        </is>
      </c>
      <c r="AQ706" s="18" t="inlineStr">
        <is>
          <t>{"biomes":["#cobblemon:is_freshwater","#cobblemon:is_hills","#cobblemon:is_jungle","#cobblemon:is_magical","#cobblemon:is_mushroom","#cobblemon:is_temperate"],"isRaining":true,"maxSkyLight":15,"minSkyLight":8,"neededNearbyBlocks":["minecraft:water"]}</t>
        </is>
      </c>
      <c r="AR706" s="18" t="inlineStr">
        <is>
          <t>{"biomes":["#cobblemon:is_freezing","#cobblemon:is_swamp"]}</t>
        </is>
      </c>
      <c r="AS706" s="18" t="inlineStr"/>
      <c r="AT706" s="19" t="inlineStr"/>
    </row>
    <row r="707" ht="32" customHeight="1">
      <c r="A707" s="18" t="inlineStr">
        <is>
          <t>0186_politoed.json::politoed-4::004</t>
        </is>
      </c>
      <c r="B707" s="19" t="inlineStr">
        <is>
          <t>사용</t>
        </is>
      </c>
      <c r="C707" s="18">
        <f>IF(OR(B707&lt;&gt;AK707,M707&lt;&gt;L707,O707&lt;&gt;"",Q707&lt;&gt;"",V707&lt;&gt;1,Y707&lt;&gt;"",AT707&lt;&gt;""),"수정","원본")</f>
        <v/>
      </c>
      <c r="D707" s="18" t="n">
        <v>186</v>
      </c>
      <c r="E707" s="18" t="inlineStr">
        <is>
          <t>왕구리</t>
        </is>
      </c>
      <c r="F707" s="18" t="inlineStr">
        <is>
          <t>politoed</t>
        </is>
      </c>
      <c r="G707" s="18" t="inlineStr">
        <is>
          <t>politoed</t>
        </is>
      </c>
      <c r="H707" s="18" t="inlineStr"/>
      <c r="I707" s="18" t="n">
        <v>2</v>
      </c>
      <c r="J707" s="18" t="n"/>
      <c r="K707" s="18" t="n">
        <v>2</v>
      </c>
      <c r="L707" s="18" t="inlineStr">
        <is>
          <t>cobbleventure:generation_2</t>
        </is>
      </c>
      <c r="M707" s="19" t="inlineStr">
        <is>
          <t>cobbleventure:generation_2</t>
        </is>
      </c>
      <c r="N707" s="18" t="inlineStr">
        <is>
          <t>region_01</t>
        </is>
      </c>
      <c r="O707" s="19" t="inlineStr"/>
      <c r="P707" s="18" t="inlineStr">
        <is>
          <t>#cobblemon:is_freshwater; #cobblemon:is_hills; #cobblemon:is_jungle; #cobblemon:is_magical; #cobblemon:is_mushroom; #cobblemon:is_temperate</t>
        </is>
      </c>
      <c r="Q707" s="19" t="inlineStr"/>
      <c r="R707" s="18">
        <f>IF(Q707="",P707,Q707)</f>
        <v/>
      </c>
      <c r="S707" s="18" t="inlineStr">
        <is>
          <t>#cobblemon:is_freezing; #cobblemon:is_swamp</t>
        </is>
      </c>
      <c r="T707" s="18" t="inlineStr">
        <is>
          <t>common</t>
        </is>
      </c>
      <c r="U707" s="20" t="n">
        <v>0.015</v>
      </c>
      <c r="V707" s="21" t="n">
        <v>1</v>
      </c>
      <c r="W707" s="20">
        <f>IF(OR(U707="",V707=""),U707,U707*V707)</f>
        <v/>
      </c>
      <c r="X707" s="18" t="inlineStr">
        <is>
          <t>34-50</t>
        </is>
      </c>
      <c r="Y707" s="19" t="inlineStr"/>
      <c r="Z707" s="18">
        <f>IF(Y707="",X707,Y707)</f>
        <v/>
      </c>
      <c r="AA707" s="18" t="inlineStr">
        <is>
          <t>submerged</t>
        </is>
      </c>
      <c r="AB707" s="18" t="inlineStr"/>
      <c r="AC707" s="18" t="inlineStr"/>
      <c r="AD707" s="18" t="inlineStr"/>
      <c r="AE707" s="18" t="inlineStr"/>
      <c r="AF707" s="18" t="inlineStr">
        <is>
          <t>True</t>
        </is>
      </c>
      <c r="AG707" s="18" t="inlineStr"/>
      <c r="AH707" s="18" t="inlineStr"/>
      <c r="AI707" s="18" t="inlineStr"/>
      <c r="AJ707" s="18" t="inlineStr">
        <is>
          <t>Cobblemon 동일</t>
        </is>
      </c>
      <c r="AK707" s="18" t="inlineStr">
        <is>
          <t>사용</t>
        </is>
      </c>
      <c r="AL707" s="18" t="inlineStr">
        <is>
          <t>COBBLEVERSE 1.7.42 / DP v31</t>
        </is>
      </c>
      <c r="AM707" s="18" t="inlineStr">
        <is>
          <t>data/cobblemon/spawn_pool_world/0186_politoed.json</t>
        </is>
      </c>
      <c r="AN707" s="18" t="inlineStr">
        <is>
          <t>politoed-4</t>
        </is>
      </c>
      <c r="AO707" s="18" t="inlineStr">
        <is>
          <t>pokemon</t>
        </is>
      </c>
      <c r="AP707" s="18" t="inlineStr">
        <is>
          <t>water</t>
        </is>
      </c>
      <c r="AQ707" s="18" t="inlineStr">
        <is>
          <t>{"biomes":["#cobblemon:is_freshwater","#cobblemon:is_hills","#cobblemon:is_jungle","#cobblemon:is_magical","#cobblemon:is_mushroom","#cobblemon:is_temperate"],"canSeeSky":true}</t>
        </is>
      </c>
      <c r="AR707" s="18" t="inlineStr">
        <is>
          <t>{"biomes":["#cobblemon:is_freezing","#cobblemon:is_swamp"]}</t>
        </is>
      </c>
      <c r="AS707" s="18" t="inlineStr"/>
      <c r="AT707" s="19" t="inlineStr"/>
    </row>
    <row r="708" ht="32" customHeight="1">
      <c r="A708" s="18" t="inlineStr">
        <is>
          <t>0186_politoed.json::politoed-5::005</t>
        </is>
      </c>
      <c r="B708" s="19" t="inlineStr">
        <is>
          <t>사용</t>
        </is>
      </c>
      <c r="C708" s="18">
        <f>IF(OR(B708&lt;&gt;AK708,M708&lt;&gt;L708,O708&lt;&gt;"",Q708&lt;&gt;"",V708&lt;&gt;1,Y708&lt;&gt;"",AT708&lt;&gt;""),"수정","원본")</f>
        <v/>
      </c>
      <c r="D708" s="18" t="n">
        <v>186</v>
      </c>
      <c r="E708" s="18" t="inlineStr">
        <is>
          <t>왕구리</t>
        </is>
      </c>
      <c r="F708" s="18" t="inlineStr">
        <is>
          <t>politoed</t>
        </is>
      </c>
      <c r="G708" s="18" t="inlineStr">
        <is>
          <t>politoed</t>
        </is>
      </c>
      <c r="H708" s="18" t="inlineStr"/>
      <c r="I708" s="18" t="n">
        <v>2</v>
      </c>
      <c r="J708" s="18" t="n"/>
      <c r="K708" s="18" t="n">
        <v>2</v>
      </c>
      <c r="L708" s="18" t="inlineStr">
        <is>
          <t>cobbleventure:generation_2</t>
        </is>
      </c>
      <c r="M708" s="19" t="inlineStr">
        <is>
          <t>cobbleventure:generation_2</t>
        </is>
      </c>
      <c r="N708" s="18" t="inlineStr"/>
      <c r="O708" s="19" t="inlineStr"/>
      <c r="P708" s="18" t="inlineStr">
        <is>
          <t>#cobblemon:is_lush</t>
        </is>
      </c>
      <c r="Q708" s="19" t="inlineStr"/>
      <c r="R708" s="18">
        <f>IF(Q708="",P708,Q708)</f>
        <v/>
      </c>
      <c r="S708" s="18" t="inlineStr"/>
      <c r="T708" s="18" t="inlineStr">
        <is>
          <t>common</t>
        </is>
      </c>
      <c r="U708" s="20" t="n">
        <v>0.005</v>
      </c>
      <c r="V708" s="21" t="n">
        <v>1</v>
      </c>
      <c r="W708" s="20">
        <f>IF(OR(U708="",V708=""),U708,U708*V708)</f>
        <v/>
      </c>
      <c r="X708" s="18" t="inlineStr">
        <is>
          <t>34-50</t>
        </is>
      </c>
      <c r="Y708" s="19" t="inlineStr"/>
      <c r="Z708" s="18">
        <f>IF(Y708="",X708,Y708)</f>
        <v/>
      </c>
      <c r="AA708" s="18" t="inlineStr">
        <is>
          <t>grounded</t>
        </is>
      </c>
      <c r="AB708" s="18" t="inlineStr"/>
      <c r="AC708" s="18" t="inlineStr"/>
      <c r="AD708" s="18" t="inlineStr"/>
      <c r="AE708" s="18" t="inlineStr">
        <is>
          <t>sky 0-7</t>
        </is>
      </c>
      <c r="AF708" s="18" t="inlineStr"/>
      <c r="AG708" s="18" t="inlineStr"/>
      <c r="AH708" s="18" t="inlineStr"/>
      <c r="AI708" s="18" t="inlineStr"/>
      <c r="AJ708" s="18" t="inlineStr">
        <is>
          <t>Cobblemon 동일</t>
        </is>
      </c>
      <c r="AK708" s="18" t="inlineStr">
        <is>
          <t>사용</t>
        </is>
      </c>
      <c r="AL708" s="18" t="inlineStr">
        <is>
          <t>COBBLEVERSE 1.7.42 / DP v31</t>
        </is>
      </c>
      <c r="AM708" s="18" t="inlineStr">
        <is>
          <t>data/cobblemon/spawn_pool_world/0186_politoed.json</t>
        </is>
      </c>
      <c r="AN708" s="18" t="inlineStr">
        <is>
          <t>politoed-5</t>
        </is>
      </c>
      <c r="AO708" s="18" t="inlineStr">
        <is>
          <t>pokemon</t>
        </is>
      </c>
      <c r="AP708" s="18" t="inlineStr">
        <is>
          <t>natural</t>
        </is>
      </c>
      <c r="AQ708" s="18" t="inlineStr">
        <is>
          <t>{"biomes":["#cobblemon:is_lush"],"maxSkyLight":7,"minSkyLight":0}</t>
        </is>
      </c>
      <c r="AR708" s="18" t="inlineStr">
        <is>
          <t>{"maxY":9,"minY":-41,"structures":["cobblemon:shipwreck_coves/lush_shipwreck_cove"]}</t>
        </is>
      </c>
      <c r="AS708" s="18" t="inlineStr"/>
      <c r="AT708" s="19" t="inlineStr"/>
    </row>
    <row r="709" ht="32" customHeight="1">
      <c r="A709" s="18" t="inlineStr">
        <is>
          <t>0186_politoed.json::politoed-6::006</t>
        </is>
      </c>
      <c r="B709" s="19" t="inlineStr">
        <is>
          <t>사용</t>
        </is>
      </c>
      <c r="C709" s="18">
        <f>IF(OR(B709&lt;&gt;AK709,M709&lt;&gt;L709,O709&lt;&gt;"",Q709&lt;&gt;"",V709&lt;&gt;1,Y709&lt;&gt;"",AT709&lt;&gt;""),"수정","원본")</f>
        <v/>
      </c>
      <c r="D709" s="18" t="n">
        <v>186</v>
      </c>
      <c r="E709" s="18" t="inlineStr">
        <is>
          <t>왕구리</t>
        </is>
      </c>
      <c r="F709" s="18" t="inlineStr">
        <is>
          <t>politoed</t>
        </is>
      </c>
      <c r="G709" s="18" t="inlineStr">
        <is>
          <t>politoed</t>
        </is>
      </c>
      <c r="H709" s="18" t="inlineStr"/>
      <c r="I709" s="18" t="n">
        <v>2</v>
      </c>
      <c r="J709" s="18" t="n"/>
      <c r="K709" s="18" t="n">
        <v>2</v>
      </c>
      <c r="L709" s="18" t="inlineStr">
        <is>
          <t>cobbleventure:generation_2</t>
        </is>
      </c>
      <c r="M709" s="19" t="inlineStr">
        <is>
          <t>cobbleventure:generation_2</t>
        </is>
      </c>
      <c r="N709" s="18" t="inlineStr"/>
      <c r="O709" s="19" t="inlineStr"/>
      <c r="P709" s="18" t="inlineStr">
        <is>
          <t>#cobblemon:is_lush</t>
        </is>
      </c>
      <c r="Q709" s="19" t="inlineStr"/>
      <c r="R709" s="18">
        <f>IF(Q709="",P709,Q709)</f>
        <v/>
      </c>
      <c r="S709" s="18" t="inlineStr"/>
      <c r="T709" s="18" t="inlineStr">
        <is>
          <t>common</t>
        </is>
      </c>
      <c r="U709" s="20" t="n">
        <v>0.015</v>
      </c>
      <c r="V709" s="21" t="n">
        <v>1</v>
      </c>
      <c r="W709" s="20">
        <f>IF(OR(U709="",V709=""),U709,U709*V709)</f>
        <v/>
      </c>
      <c r="X709" s="18" t="inlineStr">
        <is>
          <t>34-50</t>
        </is>
      </c>
      <c r="Y709" s="19" t="inlineStr"/>
      <c r="Z709" s="18">
        <f>IF(Y709="",X709,Y709)</f>
        <v/>
      </c>
      <c r="AA709" s="18" t="inlineStr">
        <is>
          <t>submerged</t>
        </is>
      </c>
      <c r="AB709" s="18" t="inlineStr"/>
      <c r="AC709" s="18" t="inlineStr"/>
      <c r="AD709" s="18" t="inlineStr"/>
      <c r="AE709" s="18" t="inlineStr">
        <is>
          <t>sky 0-7</t>
        </is>
      </c>
      <c r="AF709" s="18" t="inlineStr"/>
      <c r="AG709" s="18" t="inlineStr"/>
      <c r="AH709" s="18" t="inlineStr"/>
      <c r="AI709" s="18" t="inlineStr"/>
      <c r="AJ709" s="18" t="inlineStr">
        <is>
          <t>Cobblemon 동일</t>
        </is>
      </c>
      <c r="AK709" s="18" t="inlineStr">
        <is>
          <t>사용</t>
        </is>
      </c>
      <c r="AL709" s="18" t="inlineStr">
        <is>
          <t>COBBLEVERSE 1.7.42 / DP v31</t>
        </is>
      </c>
      <c r="AM709" s="18" t="inlineStr">
        <is>
          <t>data/cobblemon/spawn_pool_world/0186_politoed.json</t>
        </is>
      </c>
      <c r="AN709" s="18" t="inlineStr">
        <is>
          <t>politoed-6</t>
        </is>
      </c>
      <c r="AO709" s="18" t="inlineStr">
        <is>
          <t>pokemon</t>
        </is>
      </c>
      <c r="AP709" s="18" t="inlineStr">
        <is>
          <t>water</t>
        </is>
      </c>
      <c r="AQ709" s="18" t="inlineStr">
        <is>
          <t>{"biomes":["#cobblemon:is_lush"],"maxSkyLight":7,"minSkyLight":0}</t>
        </is>
      </c>
      <c r="AR709" s="18" t="inlineStr">
        <is>
          <t>{"maxY":9,"minY":-41,"structures":["cobblemon:shipwreck_coves/lush_shipwreck_cove"]}</t>
        </is>
      </c>
      <c r="AS709" s="18" t="inlineStr"/>
      <c r="AT709" s="19" t="inlineStr"/>
    </row>
    <row r="710" ht="32" customHeight="1">
      <c r="A710" s="18" t="inlineStr">
        <is>
          <t>0186_politoed.json::politoed-7::007</t>
        </is>
      </c>
      <c r="B710" s="19" t="inlineStr">
        <is>
          <t>사용</t>
        </is>
      </c>
      <c r="C710" s="18">
        <f>IF(OR(B710&lt;&gt;AK710,M710&lt;&gt;L710,O710&lt;&gt;"",Q710&lt;&gt;"",V710&lt;&gt;1,Y710&lt;&gt;"",AT710&lt;&gt;""),"수정","원본")</f>
        <v/>
      </c>
      <c r="D710" s="18" t="n">
        <v>186</v>
      </c>
      <c r="E710" s="18" t="inlineStr">
        <is>
          <t>왕구리</t>
        </is>
      </c>
      <c r="F710" s="18" t="inlineStr">
        <is>
          <t>politoed</t>
        </is>
      </c>
      <c r="G710" s="18" t="inlineStr">
        <is>
          <t>politoed</t>
        </is>
      </c>
      <c r="H710" s="18" t="inlineStr"/>
      <c r="I710" s="18" t="n">
        <v>2</v>
      </c>
      <c r="J710" s="18" t="n"/>
      <c r="K710" s="18" t="n">
        <v>2</v>
      </c>
      <c r="L710" s="18" t="inlineStr">
        <is>
          <t>cobbleventure:generation_2</t>
        </is>
      </c>
      <c r="M710" s="19" t="inlineStr">
        <is>
          <t>cobbleventure:generation_2</t>
        </is>
      </c>
      <c r="N710" s="18" t="inlineStr">
        <is>
          <t>region_01; region_02</t>
        </is>
      </c>
      <c r="O710" s="19" t="inlineStr"/>
      <c r="P710" s="18" t="inlineStr">
        <is>
          <t>#cobblemon:is_freshwater; #cobblemon:is_hills; #cobblemon:is_jungle; #cobblemon:is_magical; #cobblemon:is_mushroom; #cobblemon:is_temperate</t>
        </is>
      </c>
      <c r="Q710" s="19" t="inlineStr"/>
      <c r="R710" s="18">
        <f>IF(Q710="",P710,Q710)</f>
        <v/>
      </c>
      <c r="S710" s="18" t="inlineStr">
        <is>
          <t>#cobblemon:is_freezing</t>
        </is>
      </c>
      <c r="T710" s="18" t="inlineStr">
        <is>
          <t>common</t>
        </is>
      </c>
      <c r="U710" s="20" t="n">
        <v>0.025</v>
      </c>
      <c r="V710" s="21" t="n">
        <v>1</v>
      </c>
      <c r="W710" s="20">
        <f>IF(OR(U710="",V710=""),U710,U710*V710)</f>
        <v/>
      </c>
      <c r="X710" s="18" t="inlineStr">
        <is>
          <t>34-50</t>
        </is>
      </c>
      <c r="Y710" s="19" t="inlineStr"/>
      <c r="Z710" s="18">
        <f>IF(Y710="",X710,Y710)</f>
        <v/>
      </c>
      <c r="AA710" s="18" t="inlineStr">
        <is>
          <t>fishing</t>
        </is>
      </c>
      <c r="AB710" s="18" t="inlineStr"/>
      <c r="AC710" s="18" t="inlineStr"/>
      <c r="AD710" s="18" t="inlineStr"/>
      <c r="AE710" s="18" t="inlineStr"/>
      <c r="AF710" s="18" t="inlineStr">
        <is>
          <t>True</t>
        </is>
      </c>
      <c r="AG710" s="18" t="inlineStr"/>
      <c r="AH710" s="18" t="inlineStr"/>
      <c r="AI710" s="18" t="inlineStr"/>
      <c r="AJ710" s="18" t="inlineStr">
        <is>
          <t>Cobblemon 동일</t>
        </is>
      </c>
      <c r="AK710" s="18" t="inlineStr">
        <is>
          <t>사용</t>
        </is>
      </c>
      <c r="AL710" s="18" t="inlineStr">
        <is>
          <t>COBBLEVERSE 1.7.42 / DP v31</t>
        </is>
      </c>
      <c r="AM710" s="18" t="inlineStr">
        <is>
          <t>data/cobblemon/spawn_pool_world/0186_politoed.json</t>
        </is>
      </c>
      <c r="AN710" s="18" t="inlineStr">
        <is>
          <t>politoed-7</t>
        </is>
      </c>
      <c r="AO710" s="18" t="inlineStr">
        <is>
          <t>pokemon</t>
        </is>
      </c>
      <c r="AP710" s="18" t="inlineStr"/>
      <c r="AQ710" s="18" t="inlineStr">
        <is>
          <t>{"biomes":["#cobblemon:is_freshwater","#cobblemon:is_hills","#cobblemon:is_jungle","#cobblemon:is_magical","#cobblemon:is_mushroom","#cobblemon:is_temperate"],"canSeeSky":true}</t>
        </is>
      </c>
      <c r="AR710" s="18" t="inlineStr">
        <is>
          <t>{"biomes":["#cobblemon:is_freezing"]}</t>
        </is>
      </c>
      <c r="AS710" s="18" t="inlineStr"/>
      <c r="AT710" s="19" t="inlineStr"/>
    </row>
    <row r="711" ht="32" customHeight="1">
      <c r="A711" s="18" t="inlineStr">
        <is>
          <t>0186_politoed.json::politoed-8::008</t>
        </is>
      </c>
      <c r="B711" s="19" t="inlineStr">
        <is>
          <t>사용</t>
        </is>
      </c>
      <c r="C711" s="18">
        <f>IF(OR(B711&lt;&gt;AK711,M711&lt;&gt;L711,O711&lt;&gt;"",Q711&lt;&gt;"",V711&lt;&gt;1,Y711&lt;&gt;"",AT711&lt;&gt;""),"수정","원본")</f>
        <v/>
      </c>
      <c r="D711" s="18" t="n">
        <v>186</v>
      </c>
      <c r="E711" s="18" t="inlineStr">
        <is>
          <t>왕구리</t>
        </is>
      </c>
      <c r="F711" s="18" t="inlineStr">
        <is>
          <t>politoed</t>
        </is>
      </c>
      <c r="G711" s="18" t="inlineStr">
        <is>
          <t>politoed</t>
        </is>
      </c>
      <c r="H711" s="18" t="inlineStr"/>
      <c r="I711" s="18" t="n">
        <v>2</v>
      </c>
      <c r="J711" s="18" t="n"/>
      <c r="K711" s="18" t="n">
        <v>2</v>
      </c>
      <c r="L711" s="18" t="inlineStr">
        <is>
          <t>cobbleventure:generation_2</t>
        </is>
      </c>
      <c r="M711" s="19" t="inlineStr">
        <is>
          <t>cobbleventure:generation_2</t>
        </is>
      </c>
      <c r="N711" s="18" t="inlineStr"/>
      <c r="O711" s="19" t="inlineStr"/>
      <c r="P711" s="18" t="inlineStr">
        <is>
          <t>#cobblemon:is_lush</t>
        </is>
      </c>
      <c r="Q711" s="19" t="inlineStr"/>
      <c r="R711" s="18">
        <f>IF(Q711="",P711,Q711)</f>
        <v/>
      </c>
      <c r="S711" s="18" t="inlineStr"/>
      <c r="T711" s="18" t="inlineStr">
        <is>
          <t>common</t>
        </is>
      </c>
      <c r="U711" s="20" t="n">
        <v>0.025</v>
      </c>
      <c r="V711" s="21" t="n">
        <v>1</v>
      </c>
      <c r="W711" s="20">
        <f>IF(OR(U711="",V711=""),U711,U711*V711)</f>
        <v/>
      </c>
      <c r="X711" s="18" t="inlineStr">
        <is>
          <t>34-50</t>
        </is>
      </c>
      <c r="Y711" s="19" t="inlineStr"/>
      <c r="Z711" s="18">
        <f>IF(Y711="",X711,Y711)</f>
        <v/>
      </c>
      <c r="AA711" s="18" t="inlineStr">
        <is>
          <t>fishing</t>
        </is>
      </c>
      <c r="AB711" s="18" t="inlineStr"/>
      <c r="AC711" s="18" t="inlineStr"/>
      <c r="AD711" s="18" t="inlineStr"/>
      <c r="AE711" s="18" t="inlineStr">
        <is>
          <t>sky 0-7</t>
        </is>
      </c>
      <c r="AF711" s="18" t="inlineStr"/>
      <c r="AG711" s="18" t="inlineStr"/>
      <c r="AH711" s="18" t="inlineStr"/>
      <c r="AI711" s="18" t="inlineStr"/>
      <c r="AJ711" s="18" t="inlineStr">
        <is>
          <t>Cobblemon 동일</t>
        </is>
      </c>
      <c r="AK711" s="18" t="inlineStr">
        <is>
          <t>사용</t>
        </is>
      </c>
      <c r="AL711" s="18" t="inlineStr">
        <is>
          <t>COBBLEVERSE 1.7.42 / DP v31</t>
        </is>
      </c>
      <c r="AM711" s="18" t="inlineStr">
        <is>
          <t>data/cobblemon/spawn_pool_world/0186_politoed.json</t>
        </is>
      </c>
      <c r="AN711" s="18" t="inlineStr">
        <is>
          <t>politoed-8</t>
        </is>
      </c>
      <c r="AO711" s="18" t="inlineStr">
        <is>
          <t>pokemon</t>
        </is>
      </c>
      <c r="AP711" s="18" t="inlineStr"/>
      <c r="AQ711" s="18" t="inlineStr">
        <is>
          <t>{"biomes":["#cobblemon:is_lush"],"maxSkyLight":7,"minSkyLight":0}</t>
        </is>
      </c>
      <c r="AR711" s="18" t="inlineStr">
        <is>
          <t>{"maxY":9,"minY":-41,"structures":["cobblemon:shipwreck_coves/lush_shipwreck_cove"]}</t>
        </is>
      </c>
      <c r="AS711" s="18" t="inlineStr">
        <is>
          <t>{"weightMultiplier":{"condition":{"maxLureLevel":1,"minLureLevel":0},"multiplier":0.6}}</t>
        </is>
      </c>
      <c r="AT711" s="19" t="inlineStr"/>
    </row>
    <row r="712" ht="32" customHeight="1">
      <c r="A712" s="18" t="inlineStr">
        <is>
          <t>0186_politoed.json::politoed-9::009</t>
        </is>
      </c>
      <c r="B712" s="19" t="inlineStr">
        <is>
          <t>사용</t>
        </is>
      </c>
      <c r="C712" s="18">
        <f>IF(OR(B712&lt;&gt;AK712,M712&lt;&gt;L712,O712&lt;&gt;"",Q712&lt;&gt;"",V712&lt;&gt;1,Y712&lt;&gt;"",AT712&lt;&gt;""),"수정","원본")</f>
        <v/>
      </c>
      <c r="D712" s="18" t="n">
        <v>186</v>
      </c>
      <c r="E712" s="18" t="inlineStr">
        <is>
          <t>왕구리</t>
        </is>
      </c>
      <c r="F712" s="18" t="inlineStr">
        <is>
          <t>politoed</t>
        </is>
      </c>
      <c r="G712" s="18" t="inlineStr">
        <is>
          <t>politoed</t>
        </is>
      </c>
      <c r="H712" s="18" t="inlineStr"/>
      <c r="I712" s="18" t="n">
        <v>2</v>
      </c>
      <c r="J712" s="18" t="n"/>
      <c r="K712" s="18" t="n">
        <v>2</v>
      </c>
      <c r="L712" s="18" t="inlineStr">
        <is>
          <t>cobbleventure:generation_2</t>
        </is>
      </c>
      <c r="M712" s="19" t="inlineStr">
        <is>
          <t>cobbleventure:generation_2</t>
        </is>
      </c>
      <c r="N712" s="18" t="inlineStr">
        <is>
          <t>region_02</t>
        </is>
      </c>
      <c r="O712" s="19" t="inlineStr"/>
      <c r="P712" s="18" t="inlineStr">
        <is>
          <t>#cobblemon:is_swamp</t>
        </is>
      </c>
      <c r="Q712" s="19" t="inlineStr"/>
      <c r="R712" s="18">
        <f>IF(Q712="",P712,Q712)</f>
        <v/>
      </c>
      <c r="S712" s="18" t="inlineStr"/>
      <c r="T712" s="18" t="inlineStr">
        <is>
          <t>common</t>
        </is>
      </c>
      <c r="U712" s="20" t="n">
        <v>0.025</v>
      </c>
      <c r="V712" s="21" t="n">
        <v>1</v>
      </c>
      <c r="W712" s="20">
        <f>IF(OR(U712="",V712=""),U712,U712*V712)</f>
        <v/>
      </c>
      <c r="X712" s="18" t="inlineStr">
        <is>
          <t>34-50</t>
        </is>
      </c>
      <c r="Y712" s="19" t="inlineStr"/>
      <c r="Z712" s="18">
        <f>IF(Y712="",X712,Y712)</f>
        <v/>
      </c>
      <c r="AA712" s="18" t="inlineStr">
        <is>
          <t>submerged</t>
        </is>
      </c>
      <c r="AB712" s="18" t="inlineStr"/>
      <c r="AC712" s="18" t="inlineStr"/>
      <c r="AD712" s="18" t="inlineStr"/>
      <c r="AE712" s="18" t="inlineStr">
        <is>
          <t>sky 8-15</t>
        </is>
      </c>
      <c r="AF712" s="18" t="inlineStr">
        <is>
          <t>False</t>
        </is>
      </c>
      <c r="AG712" s="18" t="inlineStr"/>
      <c r="AH712" s="18" t="inlineStr">
        <is>
          <t>주변=minecraft:lily_pad</t>
        </is>
      </c>
      <c r="AI712" s="18" t="inlineStr"/>
      <c r="AJ712" s="18" t="inlineStr">
        <is>
          <t>Cobblemon 동일</t>
        </is>
      </c>
      <c r="AK712" s="18" t="inlineStr">
        <is>
          <t>사용</t>
        </is>
      </c>
      <c r="AL712" s="18" t="inlineStr">
        <is>
          <t>COBBLEVERSE 1.7.42 / DP v31</t>
        </is>
      </c>
      <c r="AM712" s="18" t="inlineStr">
        <is>
          <t>data/cobblemon/spawn_pool_world/0186_politoed.json</t>
        </is>
      </c>
      <c r="AN712" s="18" t="inlineStr">
        <is>
          <t>politoed-9</t>
        </is>
      </c>
      <c r="AO712" s="18" t="inlineStr">
        <is>
          <t>pokemon</t>
        </is>
      </c>
      <c r="AP712" s="18" t="inlineStr">
        <is>
          <t>water</t>
        </is>
      </c>
      <c r="AQ712" s="18" t="inlineStr">
        <is>
          <t>{"biomes":["#cobblemon:is_swamp"],"canSeeSky":false,"maxSkyLight":15,"minSkyLight":8,"neededNearbyBlocks":["minecraft:lily_pad"]}</t>
        </is>
      </c>
      <c r="AR712" s="18" t="inlineStr"/>
      <c r="AS712" s="18" t="inlineStr"/>
      <c r="AT712" s="19" t="inlineStr"/>
    </row>
    <row r="713" ht="32" customHeight="1">
      <c r="A713" s="18" t="inlineStr">
        <is>
          <t>0186_politoed.json::politoed-10::010</t>
        </is>
      </c>
      <c r="B713" s="19" t="inlineStr">
        <is>
          <t>사용</t>
        </is>
      </c>
      <c r="C713" s="18">
        <f>IF(OR(B713&lt;&gt;AK713,M713&lt;&gt;L713,O713&lt;&gt;"",Q713&lt;&gt;"",V713&lt;&gt;1,Y713&lt;&gt;"",AT713&lt;&gt;""),"수정","원본")</f>
        <v/>
      </c>
      <c r="D713" s="18" t="n">
        <v>186</v>
      </c>
      <c r="E713" s="18" t="inlineStr">
        <is>
          <t>왕구리</t>
        </is>
      </c>
      <c r="F713" s="18" t="inlineStr">
        <is>
          <t>politoed</t>
        </is>
      </c>
      <c r="G713" s="18" t="inlineStr">
        <is>
          <t>politoed</t>
        </is>
      </c>
      <c r="H713" s="18" t="inlineStr"/>
      <c r="I713" s="18" t="n">
        <v>2</v>
      </c>
      <c r="J713" s="18" t="n"/>
      <c r="K713" s="18" t="n">
        <v>2</v>
      </c>
      <c r="L713" s="18" t="inlineStr">
        <is>
          <t>cobbleventure:generation_2</t>
        </is>
      </c>
      <c r="M713" s="19" t="inlineStr">
        <is>
          <t>cobbleventure:generation_2</t>
        </is>
      </c>
      <c r="N713" s="18" t="inlineStr">
        <is>
          <t>region_01</t>
        </is>
      </c>
      <c r="O713" s="19" t="inlineStr"/>
      <c r="P713" s="18" t="inlineStr">
        <is>
          <t>#cobblemon:is_freshwater; #cobblemon:is_hills; #cobblemon:is_jungle; #cobblemon:is_magical; #cobblemon:is_mushroom; #cobblemon:is_temperate</t>
        </is>
      </c>
      <c r="Q713" s="19" t="inlineStr"/>
      <c r="R713" s="18">
        <f>IF(Q713="",P713,Q713)</f>
        <v/>
      </c>
      <c r="S713" s="18" t="inlineStr">
        <is>
          <t>#cobblemon:is_freezing; #cobblemon:is_swamp</t>
        </is>
      </c>
      <c r="T713" s="18" t="inlineStr">
        <is>
          <t>common</t>
        </is>
      </c>
      <c r="U713" s="20" t="n">
        <v>0.015</v>
      </c>
      <c r="V713" s="21" t="n">
        <v>1</v>
      </c>
      <c r="W713" s="20">
        <f>IF(OR(U713="",V713=""),U713,U713*V713)</f>
        <v/>
      </c>
      <c r="X713" s="18" t="inlineStr">
        <is>
          <t>34-50</t>
        </is>
      </c>
      <c r="Y713" s="19" t="inlineStr"/>
      <c r="Z713" s="18">
        <f>IF(Y713="",X713,Y713)</f>
        <v/>
      </c>
      <c r="AA713" s="18" t="inlineStr">
        <is>
          <t>submerged</t>
        </is>
      </c>
      <c r="AB713" s="18" t="inlineStr"/>
      <c r="AC713" s="18" t="inlineStr"/>
      <c r="AD713" s="18" t="inlineStr"/>
      <c r="AE713" s="18" t="inlineStr">
        <is>
          <t>sky 8-15</t>
        </is>
      </c>
      <c r="AF713" s="18" t="inlineStr">
        <is>
          <t>False</t>
        </is>
      </c>
      <c r="AG713" s="18" t="inlineStr"/>
      <c r="AH713" s="18" t="inlineStr"/>
      <c r="AI713" s="18" t="inlineStr"/>
      <c r="AJ713" s="18" t="inlineStr">
        <is>
          <t>Cobblemon 동일</t>
        </is>
      </c>
      <c r="AK713" s="18" t="inlineStr">
        <is>
          <t>사용</t>
        </is>
      </c>
      <c r="AL713" s="18" t="inlineStr">
        <is>
          <t>COBBLEVERSE 1.7.42 / DP v31</t>
        </is>
      </c>
      <c r="AM713" s="18" t="inlineStr">
        <is>
          <t>data/cobblemon/spawn_pool_world/0186_politoed.json</t>
        </is>
      </c>
      <c r="AN713" s="18" t="inlineStr">
        <is>
          <t>politoed-10</t>
        </is>
      </c>
      <c r="AO713" s="18" t="inlineStr">
        <is>
          <t>pokemon</t>
        </is>
      </c>
      <c r="AP713" s="18" t="inlineStr">
        <is>
          <t>water</t>
        </is>
      </c>
      <c r="AQ713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713" s="18" t="inlineStr">
        <is>
          <t>{"biomes":["#cobblemon:is_freezing","#cobblemon:is_swamp"]}</t>
        </is>
      </c>
      <c r="AS713" s="18" t="inlineStr"/>
      <c r="AT713" s="19" t="inlineStr"/>
    </row>
    <row r="714" ht="32" customHeight="1">
      <c r="A714" s="18" t="inlineStr">
        <is>
          <t>0186_politoed.json::politoed-11::011</t>
        </is>
      </c>
      <c r="B714" s="19" t="inlineStr">
        <is>
          <t>사용</t>
        </is>
      </c>
      <c r="C714" s="18">
        <f>IF(OR(B714&lt;&gt;AK714,M714&lt;&gt;L714,O714&lt;&gt;"",Q714&lt;&gt;"",V714&lt;&gt;1,Y714&lt;&gt;"",AT714&lt;&gt;""),"수정","원본")</f>
        <v/>
      </c>
      <c r="D714" s="18" t="n">
        <v>186</v>
      </c>
      <c r="E714" s="18" t="inlineStr">
        <is>
          <t>왕구리</t>
        </is>
      </c>
      <c r="F714" s="18" t="inlineStr">
        <is>
          <t>politoed</t>
        </is>
      </c>
      <c r="G714" s="18" t="inlineStr">
        <is>
          <t>politoed</t>
        </is>
      </c>
      <c r="H714" s="18" t="inlineStr"/>
      <c r="I714" s="18" t="n">
        <v>2</v>
      </c>
      <c r="J714" s="18" t="n"/>
      <c r="K714" s="18" t="n">
        <v>2</v>
      </c>
      <c r="L714" s="18" t="inlineStr">
        <is>
          <t>cobbleventure:generation_2</t>
        </is>
      </c>
      <c r="M714" s="19" t="inlineStr">
        <is>
          <t>cobbleventure:generation_2</t>
        </is>
      </c>
      <c r="N714" s="18" t="inlineStr">
        <is>
          <t>region_01; region_02</t>
        </is>
      </c>
      <c r="O714" s="19" t="inlineStr"/>
      <c r="P714" s="18" t="inlineStr">
        <is>
          <t>#cobblemon:is_freshwater; #cobblemon:is_hills; #cobblemon:is_jungle; #cobblemon:is_magical; #cobblemon:is_mushroom; #cobblemon:is_temperate</t>
        </is>
      </c>
      <c r="Q714" s="19" t="inlineStr"/>
      <c r="R714" s="18">
        <f>IF(Q714="",P714,Q714)</f>
        <v/>
      </c>
      <c r="S714" s="18" t="inlineStr">
        <is>
          <t>#cobblemon:is_freezing</t>
        </is>
      </c>
      <c r="T714" s="18" t="inlineStr">
        <is>
          <t>common</t>
        </is>
      </c>
      <c r="U714" s="20" t="n">
        <v>0.025</v>
      </c>
      <c r="V714" s="21" t="n">
        <v>1</v>
      </c>
      <c r="W714" s="20">
        <f>IF(OR(U714="",V714=""),U714,U714*V714)</f>
        <v/>
      </c>
      <c r="X714" s="18" t="inlineStr">
        <is>
          <t>34-50</t>
        </is>
      </c>
      <c r="Y714" s="19" t="inlineStr"/>
      <c r="Z714" s="18">
        <f>IF(Y714="",X714,Y714)</f>
        <v/>
      </c>
      <c r="AA714" s="18" t="inlineStr">
        <is>
          <t>fishing</t>
        </is>
      </c>
      <c r="AB714" s="18" t="inlineStr"/>
      <c r="AC714" s="18" t="inlineStr"/>
      <c r="AD714" s="18" t="inlineStr"/>
      <c r="AE714" s="18" t="inlineStr">
        <is>
          <t>sky 8-15</t>
        </is>
      </c>
      <c r="AF714" s="18" t="inlineStr">
        <is>
          <t>False</t>
        </is>
      </c>
      <c r="AG714" s="18" t="inlineStr"/>
      <c r="AH714" s="18" t="inlineStr"/>
      <c r="AI714" s="18" t="inlineStr"/>
      <c r="AJ714" s="18" t="inlineStr">
        <is>
          <t>Cobblemon 동일</t>
        </is>
      </c>
      <c r="AK714" s="18" t="inlineStr">
        <is>
          <t>사용</t>
        </is>
      </c>
      <c r="AL714" s="18" t="inlineStr">
        <is>
          <t>COBBLEVERSE 1.7.42 / DP v31</t>
        </is>
      </c>
      <c r="AM714" s="18" t="inlineStr">
        <is>
          <t>data/cobblemon/spawn_pool_world/0186_politoed.json</t>
        </is>
      </c>
      <c r="AN714" s="18" t="inlineStr">
        <is>
          <t>politoed-11</t>
        </is>
      </c>
      <c r="AO714" s="18" t="inlineStr">
        <is>
          <t>pokemon</t>
        </is>
      </c>
      <c r="AP714" s="18" t="inlineStr"/>
      <c r="AQ714" s="18" t="inlineStr">
        <is>
          <t>{"biomes":["#cobblemon:is_freshwater","#cobblemon:is_hills","#cobblemon:is_jungle","#cobblemon:is_magical","#cobblemon:is_mushroom","#cobblemon:is_temperate"],"canSeeSky":false,"maxSkyLight":15,"minSkyLight":8}</t>
        </is>
      </c>
      <c r="AR714" s="18" t="inlineStr">
        <is>
          <t>{"biomes":["#cobblemon:is_freezing"]}</t>
        </is>
      </c>
      <c r="AS714" s="18" t="inlineStr"/>
      <c r="AT714" s="19" t="inlineStr"/>
    </row>
    <row r="715" ht="32" customHeight="1">
      <c r="A715" s="18" t="inlineStr">
        <is>
          <t>0186_politoed.json::politoed-12::012</t>
        </is>
      </c>
      <c r="B715" s="19" t="inlineStr">
        <is>
          <t>사용</t>
        </is>
      </c>
      <c r="C715" s="18">
        <f>IF(OR(B715&lt;&gt;AK715,M715&lt;&gt;L715,O715&lt;&gt;"",Q715&lt;&gt;"",V715&lt;&gt;1,Y715&lt;&gt;"",AT715&lt;&gt;""),"수정","원본")</f>
        <v/>
      </c>
      <c r="D715" s="18" t="n">
        <v>186</v>
      </c>
      <c r="E715" s="18" t="inlineStr">
        <is>
          <t>왕구리</t>
        </is>
      </c>
      <c r="F715" s="18" t="inlineStr">
        <is>
          <t>politoed</t>
        </is>
      </c>
      <c r="G715" s="18" t="inlineStr">
        <is>
          <t>politoed</t>
        </is>
      </c>
      <c r="H715" s="18" t="inlineStr"/>
      <c r="I715" s="18" t="n">
        <v>2</v>
      </c>
      <c r="J715" s="18" t="n"/>
      <c r="K715" s="18" t="n">
        <v>2</v>
      </c>
      <c r="L715" s="18" t="inlineStr">
        <is>
          <t>cobbleventure:generation_2</t>
        </is>
      </c>
      <c r="M715" s="19" t="inlineStr">
        <is>
          <t>cobbleventure:generation_2</t>
        </is>
      </c>
      <c r="N715" s="18" t="inlineStr">
        <is>
          <t>region_01; region_02</t>
        </is>
      </c>
      <c r="O715" s="19" t="inlineStr"/>
      <c r="P715" s="18" t="inlineStr">
        <is>
          <t>#cobblemon:is_overworld</t>
        </is>
      </c>
      <c r="Q715" s="19" t="inlineStr"/>
      <c r="R715" s="18">
        <f>IF(Q715="",P715,Q715)</f>
        <v/>
      </c>
      <c r="S715" s="18" t="inlineStr">
        <is>
          <t>#cobblemon:is_lush</t>
        </is>
      </c>
      <c r="T715" s="18" t="inlineStr">
        <is>
          <t>common</t>
        </is>
      </c>
      <c r="U715" s="20" t="n">
        <v>0.005</v>
      </c>
      <c r="V715" s="21" t="n">
        <v>1</v>
      </c>
      <c r="W715" s="20">
        <f>IF(OR(U715="",V715=""),U715,U715*V715)</f>
        <v/>
      </c>
      <c r="X715" s="18" t="inlineStr">
        <is>
          <t>34-50</t>
        </is>
      </c>
      <c r="Y715" s="19" t="inlineStr"/>
      <c r="Z715" s="18">
        <f>IF(Y715="",X715,Y715)</f>
        <v/>
      </c>
      <c r="AA715" s="18" t="inlineStr">
        <is>
          <t>grounded</t>
        </is>
      </c>
      <c r="AB715" s="18" t="inlineStr"/>
      <c r="AC715" s="18" t="inlineStr"/>
      <c r="AD715" s="18" t="inlineStr">
        <is>
          <t>minY=-41, maxY=9</t>
        </is>
      </c>
      <c r="AE715" s="18" t="inlineStr">
        <is>
          <t>sky 0-7</t>
        </is>
      </c>
      <c r="AF715" s="18" t="inlineStr"/>
      <c r="AG715" s="18" t="inlineStr">
        <is>
          <t>cobblemon:shipwreck_coves/lush_shipwreck_cove</t>
        </is>
      </c>
      <c r="AH715" s="18" t="inlineStr"/>
      <c r="AI715" s="18" t="inlineStr"/>
      <c r="AJ715" s="18" t="inlineStr">
        <is>
          <t>Cobblemon 동일</t>
        </is>
      </c>
      <c r="AK715" s="18" t="inlineStr">
        <is>
          <t>사용</t>
        </is>
      </c>
      <c r="AL715" s="18" t="inlineStr">
        <is>
          <t>COBBLEVERSE 1.7.42 / DP v31</t>
        </is>
      </c>
      <c r="AM715" s="18" t="inlineStr">
        <is>
          <t>data/cobblemon/spawn_pool_world/0186_politoed.json</t>
        </is>
      </c>
      <c r="AN715" s="18" t="inlineStr">
        <is>
          <t>politoed-12</t>
        </is>
      </c>
      <c r="AO715" s="18" t="inlineStr">
        <is>
          <t>pokemon</t>
        </is>
      </c>
      <c r="AP715" s="18" t="inlineStr">
        <is>
          <t>natural</t>
        </is>
      </c>
      <c r="AQ715" s="18" t="inlineStr">
        <is>
          <t>{"biomes":["#cobblemon:is_overworld"],"maxSkyLight":7,"maxY":9,"minSkyLight":0,"minY":-41,"structures":["cobblemon:shipwreck_coves/lush_shipwreck_cove"]}</t>
        </is>
      </c>
      <c r="AR715" s="18" t="inlineStr">
        <is>
          <t>{"biomes":["#cobblemon:is_lush"]}</t>
        </is>
      </c>
      <c r="AS715" s="18" t="inlineStr"/>
      <c r="AT715" s="19" t="inlineStr"/>
    </row>
    <row r="716" ht="32" customHeight="1">
      <c r="A716" s="18" t="inlineStr">
        <is>
          <t>0186_politoed.json::politoed-13::013</t>
        </is>
      </c>
      <c r="B716" s="19" t="inlineStr">
        <is>
          <t>사용</t>
        </is>
      </c>
      <c r="C716" s="18">
        <f>IF(OR(B716&lt;&gt;AK716,M716&lt;&gt;L716,O716&lt;&gt;"",Q716&lt;&gt;"",V716&lt;&gt;1,Y716&lt;&gt;"",AT716&lt;&gt;""),"수정","원본")</f>
        <v/>
      </c>
      <c r="D716" s="18" t="n">
        <v>186</v>
      </c>
      <c r="E716" s="18" t="inlineStr">
        <is>
          <t>왕구리</t>
        </is>
      </c>
      <c r="F716" s="18" t="inlineStr">
        <is>
          <t>politoed</t>
        </is>
      </c>
      <c r="G716" s="18" t="inlineStr">
        <is>
          <t>politoed</t>
        </is>
      </c>
      <c r="H716" s="18" t="inlineStr"/>
      <c r="I716" s="18" t="n">
        <v>2</v>
      </c>
      <c r="J716" s="18" t="n"/>
      <c r="K716" s="18" t="n">
        <v>2</v>
      </c>
      <c r="L716" s="18" t="inlineStr">
        <is>
          <t>cobbleventure:generation_2</t>
        </is>
      </c>
      <c r="M716" s="19" t="inlineStr">
        <is>
          <t>cobbleventure:generation_2</t>
        </is>
      </c>
      <c r="N716" s="18" t="inlineStr">
        <is>
          <t>region_01; region_02</t>
        </is>
      </c>
      <c r="O716" s="19" t="inlineStr"/>
      <c r="P716" s="18" t="inlineStr">
        <is>
          <t>#cobblemon:is_overworld</t>
        </is>
      </c>
      <c r="Q716" s="19" t="inlineStr"/>
      <c r="R716" s="18">
        <f>IF(Q716="",P716,Q716)</f>
        <v/>
      </c>
      <c r="S716" s="18" t="inlineStr">
        <is>
          <t>#cobblemon:is_lush</t>
        </is>
      </c>
      <c r="T716" s="18" t="inlineStr">
        <is>
          <t>common</t>
        </is>
      </c>
      <c r="U716" s="20" t="n">
        <v>0.015</v>
      </c>
      <c r="V716" s="21" t="n">
        <v>1</v>
      </c>
      <c r="W716" s="20">
        <f>IF(OR(U716="",V716=""),U716,U716*V716)</f>
        <v/>
      </c>
      <c r="X716" s="18" t="inlineStr">
        <is>
          <t>34-50</t>
        </is>
      </c>
      <c r="Y716" s="19" t="inlineStr"/>
      <c r="Z716" s="18">
        <f>IF(Y716="",X716,Y716)</f>
        <v/>
      </c>
      <c r="AA716" s="18" t="inlineStr">
        <is>
          <t>submerged</t>
        </is>
      </c>
      <c r="AB716" s="18" t="inlineStr"/>
      <c r="AC716" s="18" t="inlineStr"/>
      <c r="AD716" s="18" t="inlineStr">
        <is>
          <t>minY=-41, maxY=9</t>
        </is>
      </c>
      <c r="AE716" s="18" t="inlineStr">
        <is>
          <t>sky 0-7</t>
        </is>
      </c>
      <c r="AF716" s="18" t="inlineStr"/>
      <c r="AG716" s="18" t="inlineStr">
        <is>
          <t>cobblemon:shipwreck_coves/lush_shipwreck_cove</t>
        </is>
      </c>
      <c r="AH716" s="18" t="inlineStr"/>
      <c r="AI716" s="18" t="inlineStr"/>
      <c r="AJ716" s="18" t="inlineStr">
        <is>
          <t>Cobblemon 동일</t>
        </is>
      </c>
      <c r="AK716" s="18" t="inlineStr">
        <is>
          <t>사용</t>
        </is>
      </c>
      <c r="AL716" s="18" t="inlineStr">
        <is>
          <t>COBBLEVERSE 1.7.42 / DP v31</t>
        </is>
      </c>
      <c r="AM716" s="18" t="inlineStr">
        <is>
          <t>data/cobblemon/spawn_pool_world/0186_politoed.json</t>
        </is>
      </c>
      <c r="AN716" s="18" t="inlineStr">
        <is>
          <t>politoed-13</t>
        </is>
      </c>
      <c r="AO716" s="18" t="inlineStr">
        <is>
          <t>pokemon</t>
        </is>
      </c>
      <c r="AP716" s="18" t="inlineStr">
        <is>
          <t>water</t>
        </is>
      </c>
      <c r="AQ716" s="18" t="inlineStr">
        <is>
          <t>{"biomes":["#cobblemon:is_overworld"],"maxSkyLight":7,"maxY":9,"minSkyLight":0,"minY":-41,"structures":["cobblemon:shipwreck_coves/lush_shipwreck_cove"]}</t>
        </is>
      </c>
      <c r="AR716" s="18" t="inlineStr">
        <is>
          <t>{"biomes":["#cobblemon:is_lush"]}</t>
        </is>
      </c>
      <c r="AS716" s="18" t="inlineStr"/>
      <c r="AT716" s="19" t="inlineStr"/>
    </row>
    <row r="717" ht="32" customHeight="1">
      <c r="A717" s="18" t="inlineStr">
        <is>
          <t>0186_politoed.json::politoed-14::014</t>
        </is>
      </c>
      <c r="B717" s="19" t="inlineStr">
        <is>
          <t>사용</t>
        </is>
      </c>
      <c r="C717" s="18">
        <f>IF(OR(B717&lt;&gt;AK717,M717&lt;&gt;L717,O717&lt;&gt;"",Q717&lt;&gt;"",V717&lt;&gt;1,Y717&lt;&gt;"",AT717&lt;&gt;""),"수정","원본")</f>
        <v/>
      </c>
      <c r="D717" s="18" t="n">
        <v>186</v>
      </c>
      <c r="E717" s="18" t="inlineStr">
        <is>
          <t>왕구리</t>
        </is>
      </c>
      <c r="F717" s="18" t="inlineStr">
        <is>
          <t>politoed</t>
        </is>
      </c>
      <c r="G717" s="18" t="inlineStr">
        <is>
          <t>politoed</t>
        </is>
      </c>
      <c r="H717" s="18" t="inlineStr"/>
      <c r="I717" s="18" t="n">
        <v>2</v>
      </c>
      <c r="J717" s="18" t="n"/>
      <c r="K717" s="18" t="n">
        <v>2</v>
      </c>
      <c r="L717" s="18" t="inlineStr">
        <is>
          <t>cobbleventure:generation_2</t>
        </is>
      </c>
      <c r="M717" s="19" t="inlineStr">
        <is>
          <t>cobbleventure:generation_2</t>
        </is>
      </c>
      <c r="N717" s="18" t="inlineStr">
        <is>
          <t>region_01; region_02</t>
        </is>
      </c>
      <c r="O717" s="19" t="inlineStr"/>
      <c r="P717" s="18" t="inlineStr">
        <is>
          <t>#cobblemon:is_overworld</t>
        </is>
      </c>
      <c r="Q717" s="19" t="inlineStr"/>
      <c r="R717" s="18">
        <f>IF(Q717="",P717,Q717)</f>
        <v/>
      </c>
      <c r="S717" s="18" t="inlineStr">
        <is>
          <t>#cobblemon:is_lush</t>
        </is>
      </c>
      <c r="T717" s="18" t="inlineStr">
        <is>
          <t>common</t>
        </is>
      </c>
      <c r="U717" s="20" t="n">
        <v>0.025</v>
      </c>
      <c r="V717" s="21" t="n">
        <v>1</v>
      </c>
      <c r="W717" s="20">
        <f>IF(OR(U717="",V717=""),U717,U717*V717)</f>
        <v/>
      </c>
      <c r="X717" s="18" t="inlineStr">
        <is>
          <t>34-50</t>
        </is>
      </c>
      <c r="Y717" s="19" t="inlineStr"/>
      <c r="Z717" s="18">
        <f>IF(Y717="",X717,Y717)</f>
        <v/>
      </c>
      <c r="AA717" s="18" t="inlineStr">
        <is>
          <t>fishing</t>
        </is>
      </c>
      <c r="AB717" s="18" t="inlineStr"/>
      <c r="AC717" s="18" t="inlineStr"/>
      <c r="AD717" s="18" t="inlineStr">
        <is>
          <t>minY=-41, maxY=9</t>
        </is>
      </c>
      <c r="AE717" s="18" t="inlineStr">
        <is>
          <t>sky 0-7</t>
        </is>
      </c>
      <c r="AF717" s="18" t="inlineStr"/>
      <c r="AG717" s="18" t="inlineStr">
        <is>
          <t>cobblemon:shipwreck_coves/lush_shipwreck_cove</t>
        </is>
      </c>
      <c r="AH717" s="18" t="inlineStr"/>
      <c r="AI717" s="18" t="inlineStr"/>
      <c r="AJ717" s="18" t="inlineStr">
        <is>
          <t>Cobblemon 동일</t>
        </is>
      </c>
      <c r="AK717" s="18" t="inlineStr">
        <is>
          <t>사용</t>
        </is>
      </c>
      <c r="AL717" s="18" t="inlineStr">
        <is>
          <t>COBBLEVERSE 1.7.42 / DP v31</t>
        </is>
      </c>
      <c r="AM717" s="18" t="inlineStr">
        <is>
          <t>data/cobblemon/spawn_pool_world/0186_politoed.json</t>
        </is>
      </c>
      <c r="AN717" s="18" t="inlineStr">
        <is>
          <t>politoed-14</t>
        </is>
      </c>
      <c r="AO717" s="18" t="inlineStr">
        <is>
          <t>pokemon</t>
        </is>
      </c>
      <c r="AP717" s="18" t="inlineStr"/>
      <c r="AQ717" s="18" t="inlineStr">
        <is>
          <t>{"biomes":["#cobblemon:is_overworld"],"maxSkyLight":7,"maxY":9,"minSkyLight":0,"minY":-41,"structures":["cobblemon:shipwreck_coves/lush_shipwreck_cove"]}</t>
        </is>
      </c>
      <c r="AR717" s="18" t="inlineStr">
        <is>
          <t>{"biomes":["#cobblemon:is_lush"]}</t>
        </is>
      </c>
      <c r="AS717" s="18" t="inlineStr">
        <is>
          <t>{"weightMultiplier":{"condition":{"maxLureLevel":1,"minLureLevel":0},"multiplier":0.6}}</t>
        </is>
      </c>
      <c r="AT717" s="19" t="inlineStr"/>
    </row>
    <row r="718" ht="32" customHeight="1">
      <c r="A718" s="18" t="inlineStr">
        <is>
          <t>0187_hoppip.json::hoppip-1::001</t>
        </is>
      </c>
      <c r="B718" s="19" t="inlineStr">
        <is>
          <t>사용</t>
        </is>
      </c>
      <c r="C718" s="18">
        <f>IF(OR(B718&lt;&gt;AK718,M718&lt;&gt;L718,O718&lt;&gt;"",Q718&lt;&gt;"",V718&lt;&gt;1,Y718&lt;&gt;"",AT718&lt;&gt;""),"수정","원본")</f>
        <v/>
      </c>
      <c r="D718" s="18" t="n">
        <v>187</v>
      </c>
      <c r="E718" s="18" t="inlineStr">
        <is>
          <t>통통코</t>
        </is>
      </c>
      <c r="F718" s="18" t="inlineStr">
        <is>
          <t>hoppip</t>
        </is>
      </c>
      <c r="G718" s="18" t="inlineStr">
        <is>
          <t>hoppip</t>
        </is>
      </c>
      <c r="H718" s="18" t="inlineStr"/>
      <c r="I718" s="18" t="n">
        <v>2</v>
      </c>
      <c r="J718" s="18" t="n"/>
      <c r="K718" s="18" t="n">
        <v>2</v>
      </c>
      <c r="L718" s="18" t="inlineStr">
        <is>
          <t>cobbleventure:generation_2</t>
        </is>
      </c>
      <c r="M718" s="19" t="inlineStr">
        <is>
          <t>cobbleventure:generation_2</t>
        </is>
      </c>
      <c r="N718" s="18" t="inlineStr">
        <is>
          <t>region_01</t>
        </is>
      </c>
      <c r="O718" s="19" t="inlineStr"/>
      <c r="P718" s="18" t="inlineStr">
        <is>
          <t>#cobblemon:is_plains</t>
        </is>
      </c>
      <c r="Q718" s="19" t="inlineStr"/>
      <c r="R718" s="18">
        <f>IF(Q718="",P718,Q718)</f>
        <v/>
      </c>
      <c r="S718" s="18" t="inlineStr"/>
      <c r="T718" s="18" t="inlineStr">
        <is>
          <t>common</t>
        </is>
      </c>
      <c r="U718" s="20" t="n">
        <v>9</v>
      </c>
      <c r="V718" s="21" t="n">
        <v>1</v>
      </c>
      <c r="W718" s="20">
        <f>IF(OR(U718="",V718=""),U718,U718*V718)</f>
        <v/>
      </c>
      <c r="X718" s="18" t="inlineStr">
        <is>
          <t>1-25</t>
        </is>
      </c>
      <c r="Y718" s="19" t="inlineStr"/>
      <c r="Z718" s="18">
        <f>IF(Y718="",X718,Y718)</f>
        <v/>
      </c>
      <c r="AA718" s="18" t="inlineStr">
        <is>
          <t>grounded</t>
        </is>
      </c>
      <c r="AB718" s="18" t="inlineStr"/>
      <c r="AC718" s="18" t="inlineStr">
        <is>
          <t>비=False</t>
        </is>
      </c>
      <c r="AD718" s="18" t="inlineStr"/>
      <c r="AE718" s="18" t="inlineStr">
        <is>
          <t>sky 8-15</t>
        </is>
      </c>
      <c r="AF718" s="18" t="inlineStr"/>
      <c r="AG718" s="18" t="inlineStr"/>
      <c r="AH718" s="18" t="inlineStr"/>
      <c r="AI718" s="18" t="inlineStr"/>
      <c r="AJ718" s="18" t="inlineStr">
        <is>
          <t>Cobblemon 동일</t>
        </is>
      </c>
      <c r="AK718" s="18" t="inlineStr">
        <is>
          <t>사용</t>
        </is>
      </c>
      <c r="AL718" s="18" t="inlineStr">
        <is>
          <t>COBBLEVERSE 1.7.42 / DP v31</t>
        </is>
      </c>
      <c r="AM718" s="18" t="inlineStr">
        <is>
          <t>data/cobblemon/spawn_pool_world/0187_hoppip.json</t>
        </is>
      </c>
      <c r="AN718" s="18" t="inlineStr">
        <is>
          <t>hoppip-1</t>
        </is>
      </c>
      <c r="AO718" s="18" t="inlineStr">
        <is>
          <t>pokemon</t>
        </is>
      </c>
      <c r="AP718" s="18" t="inlineStr">
        <is>
          <t>natural; treetop</t>
        </is>
      </c>
      <c r="AQ718" s="18" t="inlineStr">
        <is>
          <t>{"biomes":["#cobblemon:is_plains"],"isRaining":false,"maxSkyLight":15,"minSkyLight":8}</t>
        </is>
      </c>
      <c r="AR718" s="18" t="inlineStr"/>
      <c r="AS718" s="18" t="inlineStr">
        <is>
          <t>{"weightMultiplier":{"condition":{"timeRange":"night"},"multiplier":0.25}}</t>
        </is>
      </c>
      <c r="AT718" s="19" t="inlineStr"/>
    </row>
    <row r="719" ht="32" customHeight="1">
      <c r="A719" s="18" t="inlineStr">
        <is>
          <t>0187_hoppip.json::hoppip-3::002</t>
        </is>
      </c>
      <c r="B719" s="19" t="inlineStr">
        <is>
          <t>사용</t>
        </is>
      </c>
      <c r="C719" s="18">
        <f>IF(OR(B719&lt;&gt;AK719,M719&lt;&gt;L719,O719&lt;&gt;"",Q719&lt;&gt;"",V719&lt;&gt;1,Y719&lt;&gt;"",AT719&lt;&gt;""),"수정","원본")</f>
        <v/>
      </c>
      <c r="D719" s="18" t="n">
        <v>187</v>
      </c>
      <c r="E719" s="18" t="inlineStr">
        <is>
          <t>통통코</t>
        </is>
      </c>
      <c r="F719" s="18" t="inlineStr">
        <is>
          <t>hoppip</t>
        </is>
      </c>
      <c r="G719" s="18" t="inlineStr">
        <is>
          <t>hoppip</t>
        </is>
      </c>
      <c r="H719" s="18" t="inlineStr"/>
      <c r="I719" s="18" t="n">
        <v>2</v>
      </c>
      <c r="J719" s="18" t="n"/>
      <c r="K719" s="18" t="n">
        <v>2</v>
      </c>
      <c r="L719" s="18" t="inlineStr">
        <is>
          <t>cobbleventure:generation_2</t>
        </is>
      </c>
      <c r="M719" s="19" t="inlineStr">
        <is>
          <t>cobbleventure:generation_2</t>
        </is>
      </c>
      <c r="N719" s="18" t="inlineStr"/>
      <c r="O719" s="19" t="inlineStr"/>
      <c r="P719" s="18" t="inlineStr">
        <is>
          <t>aether:skyroot_grove; aether:skyroot_meadow</t>
        </is>
      </c>
      <c r="Q719" s="19" t="inlineStr"/>
      <c r="R719" s="18">
        <f>IF(Q719="",P719,Q719)</f>
        <v/>
      </c>
      <c r="S719" s="18" t="inlineStr"/>
      <c r="T719" s="18" t="inlineStr">
        <is>
          <t>common</t>
        </is>
      </c>
      <c r="U719" s="20" t="n">
        <v>9</v>
      </c>
      <c r="V719" s="21" t="n">
        <v>1</v>
      </c>
      <c r="W719" s="20">
        <f>IF(OR(U719="",V719=""),U719,U719*V719)</f>
        <v/>
      </c>
      <c r="X719" s="18" t="inlineStr">
        <is>
          <t>1-25</t>
        </is>
      </c>
      <c r="Y719" s="19" t="inlineStr"/>
      <c r="Z719" s="18">
        <f>IF(Y719="",X719,Y719)</f>
        <v/>
      </c>
      <c r="AA719" s="18" t="inlineStr">
        <is>
          <t>grounded</t>
        </is>
      </c>
      <c r="AB719" s="18" t="inlineStr"/>
      <c r="AC719" s="18" t="inlineStr">
        <is>
          <t>비=False</t>
        </is>
      </c>
      <c r="AD719" s="18" t="inlineStr"/>
      <c r="AE719" s="18" t="inlineStr">
        <is>
          <t>sky 8-15</t>
        </is>
      </c>
      <c r="AF719" s="18" t="inlineStr"/>
      <c r="AG719" s="18" t="inlineStr"/>
      <c r="AH719" s="18" t="inlineStr"/>
      <c r="AI719" s="18" t="inlineStr"/>
      <c r="AJ719" s="18" t="inlineStr">
        <is>
          <t>Cobblemon 동일</t>
        </is>
      </c>
      <c r="AK719" s="18" t="inlineStr">
        <is>
          <t>사용</t>
        </is>
      </c>
      <c r="AL719" s="18" t="inlineStr">
        <is>
          <t>COBBLEVERSE 1.7.42 / DP v31</t>
        </is>
      </c>
      <c r="AM719" s="18" t="inlineStr">
        <is>
          <t>data/cobblemon/spawn_pool_world/0187_hoppip.json</t>
        </is>
      </c>
      <c r="AN719" s="18" t="inlineStr">
        <is>
          <t>hoppip-3</t>
        </is>
      </c>
      <c r="AO719" s="18" t="inlineStr">
        <is>
          <t>pokemon</t>
        </is>
      </c>
      <c r="AP719" s="18" t="inlineStr">
        <is>
          <t>natural; treetop</t>
        </is>
      </c>
      <c r="AQ719" s="18" t="inlineStr">
        <is>
          <t>{"biomes":["aether:skyroot_grove","aether:skyroot_meadow"],"isRaining":false,"maxSkyLight":15,"minSkyLight":8}</t>
        </is>
      </c>
      <c r="AR719" s="18" t="inlineStr"/>
      <c r="AS719" s="18" t="inlineStr"/>
      <c r="AT719" s="19" t="inlineStr"/>
    </row>
    <row r="720" ht="32" customHeight="1">
      <c r="A720" s="18" t="inlineStr">
        <is>
          <t>0187_hoppip.json::hoppip-4::003</t>
        </is>
      </c>
      <c r="B720" s="19" t="inlineStr">
        <is>
          <t>사용</t>
        </is>
      </c>
      <c r="C720" s="18">
        <f>IF(OR(B720&lt;&gt;AK720,M720&lt;&gt;L720,O720&lt;&gt;"",Q720&lt;&gt;"",V720&lt;&gt;1,Y720&lt;&gt;"",AT720&lt;&gt;""),"수정","원본")</f>
        <v/>
      </c>
      <c r="D720" s="18" t="n">
        <v>187</v>
      </c>
      <c r="E720" s="18" t="inlineStr">
        <is>
          <t>통통코</t>
        </is>
      </c>
      <c r="F720" s="18" t="inlineStr">
        <is>
          <t>hoppip</t>
        </is>
      </c>
      <c r="G720" s="18" t="inlineStr">
        <is>
          <t>hoppip</t>
        </is>
      </c>
      <c r="H720" s="18" t="inlineStr"/>
      <c r="I720" s="18" t="n">
        <v>2</v>
      </c>
      <c r="J720" s="18" t="n"/>
      <c r="K720" s="18" t="n">
        <v>2</v>
      </c>
      <c r="L720" s="18" t="inlineStr">
        <is>
          <t>cobbleventure:generation_2</t>
        </is>
      </c>
      <c r="M720" s="19" t="inlineStr">
        <is>
          <t>cobbleventure:generation_2</t>
        </is>
      </c>
      <c r="N720" s="18" t="inlineStr"/>
      <c r="O720" s="19" t="inlineStr"/>
      <c r="P720" s="18" t="inlineStr">
        <is>
          <t>the_bumblezone:floral_meadow</t>
        </is>
      </c>
      <c r="Q720" s="19" t="inlineStr"/>
      <c r="R720" s="18">
        <f>IF(Q720="",P720,Q720)</f>
        <v/>
      </c>
      <c r="S720" s="18" t="inlineStr"/>
      <c r="T720" s="18" t="inlineStr">
        <is>
          <t>common</t>
        </is>
      </c>
      <c r="U720" s="20" t="n">
        <v>9</v>
      </c>
      <c r="V720" s="21" t="n">
        <v>1</v>
      </c>
      <c r="W720" s="20">
        <f>IF(OR(U720="",V720=""),U720,U720*V720)</f>
        <v/>
      </c>
      <c r="X720" s="18" t="inlineStr">
        <is>
          <t>1-25</t>
        </is>
      </c>
      <c r="Y720" s="19" t="inlineStr"/>
      <c r="Z720" s="18">
        <f>IF(Y720="",X720,Y720)</f>
        <v/>
      </c>
      <c r="AA720" s="18" t="inlineStr">
        <is>
          <t>grounded</t>
        </is>
      </c>
      <c r="AB720" s="18" t="inlineStr"/>
      <c r="AC720" s="18" t="inlineStr"/>
      <c r="AD720" s="18" t="inlineStr"/>
      <c r="AE720" s="18" t="inlineStr"/>
      <c r="AF720" s="18" t="inlineStr"/>
      <c r="AG720" s="18" t="inlineStr"/>
      <c r="AH720" s="18" t="inlineStr"/>
      <c r="AI720" s="18" t="inlineStr"/>
      <c r="AJ720" s="18" t="inlineStr">
        <is>
          <t>Cobblemon 동일</t>
        </is>
      </c>
      <c r="AK720" s="18" t="inlineStr">
        <is>
          <t>사용</t>
        </is>
      </c>
      <c r="AL720" s="18" t="inlineStr">
        <is>
          <t>COBBLEVERSE 1.7.42 / DP v31</t>
        </is>
      </c>
      <c r="AM720" s="18" t="inlineStr">
        <is>
          <t>data/cobblemon/spawn_pool_world/0187_hoppip.json</t>
        </is>
      </c>
      <c r="AN720" s="18" t="inlineStr">
        <is>
          <t>hoppip-4</t>
        </is>
      </c>
      <c r="AO720" s="18" t="inlineStr">
        <is>
          <t>pokemon</t>
        </is>
      </c>
      <c r="AP720" s="18" t="inlineStr">
        <is>
          <t>natural</t>
        </is>
      </c>
      <c r="AQ720" s="18" t="inlineStr">
        <is>
          <t>{"biomes":["the_bumblezone:floral_meadow"]}</t>
        </is>
      </c>
      <c r="AR720" s="18" t="inlineStr">
        <is>
          <t>{"structures":["#the_bumblezone:sempiternal_sanctums"]}</t>
        </is>
      </c>
      <c r="AS720" s="18" t="inlineStr"/>
      <c r="AT720" s="19" t="inlineStr"/>
    </row>
    <row r="721" ht="32" customHeight="1">
      <c r="A721" s="18" t="inlineStr">
        <is>
          <t>0188_skiploom.json::skiploom-1::001</t>
        </is>
      </c>
      <c r="B721" s="19" t="inlineStr">
        <is>
          <t>사용</t>
        </is>
      </c>
      <c r="C721" s="18">
        <f>IF(OR(B721&lt;&gt;AK721,M721&lt;&gt;L721,O721&lt;&gt;"",Q721&lt;&gt;"",V721&lt;&gt;1,Y721&lt;&gt;"",AT721&lt;&gt;""),"수정","원본")</f>
        <v/>
      </c>
      <c r="D721" s="18" t="n">
        <v>188</v>
      </c>
      <c r="E721" s="18" t="inlineStr">
        <is>
          <t>두코</t>
        </is>
      </c>
      <c r="F721" s="18" t="inlineStr">
        <is>
          <t>skiploom</t>
        </is>
      </c>
      <c r="G721" s="18" t="inlineStr">
        <is>
          <t>skiploom</t>
        </is>
      </c>
      <c r="H721" s="18" t="inlineStr"/>
      <c r="I721" s="18" t="n">
        <v>2</v>
      </c>
      <c r="J721" s="18" t="n"/>
      <c r="K721" s="18" t="n">
        <v>2</v>
      </c>
      <c r="L721" s="18" t="inlineStr">
        <is>
          <t>cobbleventure:generation_2</t>
        </is>
      </c>
      <c r="M721" s="19" t="inlineStr">
        <is>
          <t>cobbleventure:generation_2</t>
        </is>
      </c>
      <c r="N721" s="18" t="inlineStr">
        <is>
          <t>region_01</t>
        </is>
      </c>
      <c r="O721" s="19" t="inlineStr"/>
      <c r="P721" s="18" t="inlineStr">
        <is>
          <t>#cobblemon:is_plains</t>
        </is>
      </c>
      <c r="Q721" s="19" t="inlineStr"/>
      <c r="R721" s="18">
        <f>IF(Q721="",P721,Q721)</f>
        <v/>
      </c>
      <c r="S721" s="18" t="inlineStr"/>
      <c r="T721" s="18" t="inlineStr">
        <is>
          <t>common</t>
        </is>
      </c>
      <c r="U721" s="20" t="n">
        <v>0.9</v>
      </c>
      <c r="V721" s="21" t="n">
        <v>1</v>
      </c>
      <c r="W721" s="20">
        <f>IF(OR(U721="",V721=""),U721,U721*V721)</f>
        <v/>
      </c>
      <c r="X721" s="18" t="inlineStr">
        <is>
          <t>18-34</t>
        </is>
      </c>
      <c r="Y721" s="19" t="inlineStr"/>
      <c r="Z721" s="18">
        <f>IF(Y721="",X721,Y721)</f>
        <v/>
      </c>
      <c r="AA721" s="18" t="inlineStr">
        <is>
          <t>grounded</t>
        </is>
      </c>
      <c r="AB721" s="18" t="inlineStr"/>
      <c r="AC721" s="18" t="inlineStr">
        <is>
          <t>비=False</t>
        </is>
      </c>
      <c r="AD721" s="18" t="inlineStr"/>
      <c r="AE721" s="18" t="inlineStr">
        <is>
          <t>sky 8-15</t>
        </is>
      </c>
      <c r="AF721" s="18" t="inlineStr"/>
      <c r="AG721" s="18" t="inlineStr"/>
      <c r="AH721" s="18" t="inlineStr"/>
      <c r="AI721" s="18" t="inlineStr"/>
      <c r="AJ721" s="18" t="inlineStr">
        <is>
          <t>Cobblemon 동일</t>
        </is>
      </c>
      <c r="AK721" s="18" t="inlineStr">
        <is>
          <t>사용</t>
        </is>
      </c>
      <c r="AL721" s="18" t="inlineStr">
        <is>
          <t>COBBLEVERSE 1.7.42 / DP v31</t>
        </is>
      </c>
      <c r="AM721" s="18" t="inlineStr">
        <is>
          <t>data/cobblemon/spawn_pool_world/0188_skiploom.json</t>
        </is>
      </c>
      <c r="AN721" s="18" t="inlineStr">
        <is>
          <t>skiploom-1</t>
        </is>
      </c>
      <c r="AO721" s="18" t="inlineStr">
        <is>
          <t>pokemon</t>
        </is>
      </c>
      <c r="AP721" s="18" t="inlineStr">
        <is>
          <t>natural; treetop</t>
        </is>
      </c>
      <c r="AQ721" s="18" t="inlineStr">
        <is>
          <t>{"biomes":["#cobblemon:is_plains"],"isRaining":false,"maxSkyLight":15,"minSkyLight":8}</t>
        </is>
      </c>
      <c r="AR721" s="18" t="inlineStr"/>
      <c r="AS721" s="18" t="inlineStr">
        <is>
          <t>{"weightMultiplier":{"condition":{"timeRange":"night"},"multiplier":0.25}}</t>
        </is>
      </c>
      <c r="AT721" s="19" t="inlineStr"/>
    </row>
    <row r="722" ht="32" customHeight="1">
      <c r="A722" s="18" t="inlineStr">
        <is>
          <t>0188_skiploom.json::skiploom-3::002</t>
        </is>
      </c>
      <c r="B722" s="19" t="inlineStr">
        <is>
          <t>사용</t>
        </is>
      </c>
      <c r="C722" s="18">
        <f>IF(OR(B722&lt;&gt;AK722,M722&lt;&gt;L722,O722&lt;&gt;"",Q722&lt;&gt;"",V722&lt;&gt;1,Y722&lt;&gt;"",AT722&lt;&gt;""),"수정","원본")</f>
        <v/>
      </c>
      <c r="D722" s="18" t="n">
        <v>188</v>
      </c>
      <c r="E722" s="18" t="inlineStr">
        <is>
          <t>두코</t>
        </is>
      </c>
      <c r="F722" s="18" t="inlineStr">
        <is>
          <t>skiploom</t>
        </is>
      </c>
      <c r="G722" s="18" t="inlineStr">
        <is>
          <t>skiploom</t>
        </is>
      </c>
      <c r="H722" s="18" t="inlineStr"/>
      <c r="I722" s="18" t="n">
        <v>2</v>
      </c>
      <c r="J722" s="18" t="n"/>
      <c r="K722" s="18" t="n">
        <v>2</v>
      </c>
      <c r="L722" s="18" t="inlineStr">
        <is>
          <t>cobbleventure:generation_2</t>
        </is>
      </c>
      <c r="M722" s="19" t="inlineStr">
        <is>
          <t>cobbleventure:generation_2</t>
        </is>
      </c>
      <c r="N722" s="18" t="inlineStr"/>
      <c r="O722" s="19" t="inlineStr"/>
      <c r="P722" s="18" t="inlineStr">
        <is>
          <t>aether:skyroot_grove; aether:skyroot_meadow</t>
        </is>
      </c>
      <c r="Q722" s="19" t="inlineStr"/>
      <c r="R722" s="18">
        <f>IF(Q722="",P722,Q722)</f>
        <v/>
      </c>
      <c r="S722" s="18" t="inlineStr"/>
      <c r="T722" s="18" t="inlineStr">
        <is>
          <t>common</t>
        </is>
      </c>
      <c r="U722" s="20" t="n">
        <v>0.9</v>
      </c>
      <c r="V722" s="21" t="n">
        <v>1</v>
      </c>
      <c r="W722" s="20">
        <f>IF(OR(U722="",V722=""),U722,U722*V722)</f>
        <v/>
      </c>
      <c r="X722" s="18" t="inlineStr">
        <is>
          <t>18-34</t>
        </is>
      </c>
      <c r="Y722" s="19" t="inlineStr"/>
      <c r="Z722" s="18">
        <f>IF(Y722="",X722,Y722)</f>
        <v/>
      </c>
      <c r="AA722" s="18" t="inlineStr">
        <is>
          <t>grounded</t>
        </is>
      </c>
      <c r="AB722" s="18" t="inlineStr"/>
      <c r="AC722" s="18" t="inlineStr">
        <is>
          <t>비=False</t>
        </is>
      </c>
      <c r="AD722" s="18" t="inlineStr"/>
      <c r="AE722" s="18" t="inlineStr">
        <is>
          <t>sky 8-15</t>
        </is>
      </c>
      <c r="AF722" s="18" t="inlineStr"/>
      <c r="AG722" s="18" t="inlineStr"/>
      <c r="AH722" s="18" t="inlineStr"/>
      <c r="AI722" s="18" t="inlineStr"/>
      <c r="AJ722" s="18" t="inlineStr">
        <is>
          <t>Cobblemon 동일</t>
        </is>
      </c>
      <c r="AK722" s="18" t="inlineStr">
        <is>
          <t>사용</t>
        </is>
      </c>
      <c r="AL722" s="18" t="inlineStr">
        <is>
          <t>COBBLEVERSE 1.7.42 / DP v31</t>
        </is>
      </c>
      <c r="AM722" s="18" t="inlineStr">
        <is>
          <t>data/cobblemon/spawn_pool_world/0188_skiploom.json</t>
        </is>
      </c>
      <c r="AN722" s="18" t="inlineStr">
        <is>
          <t>skiploom-3</t>
        </is>
      </c>
      <c r="AO722" s="18" t="inlineStr">
        <is>
          <t>pokemon</t>
        </is>
      </c>
      <c r="AP722" s="18" t="inlineStr">
        <is>
          <t>natural; treetop</t>
        </is>
      </c>
      <c r="AQ722" s="18" t="inlineStr">
        <is>
          <t>{"biomes":["aether:skyroot_grove","aether:skyroot_meadow"],"isRaining":false,"maxSkyLight":15,"minSkyLight":8}</t>
        </is>
      </c>
      <c r="AR722" s="18" t="inlineStr"/>
      <c r="AS722" s="18" t="inlineStr"/>
      <c r="AT722" s="19" t="inlineStr"/>
    </row>
    <row r="723" ht="32" customHeight="1">
      <c r="A723" s="18" t="inlineStr">
        <is>
          <t>0188_skiploom.json::skiploom-4::003</t>
        </is>
      </c>
      <c r="B723" s="19" t="inlineStr">
        <is>
          <t>사용</t>
        </is>
      </c>
      <c r="C723" s="18">
        <f>IF(OR(B723&lt;&gt;AK723,M723&lt;&gt;L723,O723&lt;&gt;"",Q723&lt;&gt;"",V723&lt;&gt;1,Y723&lt;&gt;"",AT723&lt;&gt;""),"수정","원본")</f>
        <v/>
      </c>
      <c r="D723" s="18" t="n">
        <v>188</v>
      </c>
      <c r="E723" s="18" t="inlineStr">
        <is>
          <t>두코</t>
        </is>
      </c>
      <c r="F723" s="18" t="inlineStr">
        <is>
          <t>skiploom</t>
        </is>
      </c>
      <c r="G723" s="18" t="inlineStr">
        <is>
          <t>skiploom</t>
        </is>
      </c>
      <c r="H723" s="18" t="inlineStr"/>
      <c r="I723" s="18" t="n">
        <v>2</v>
      </c>
      <c r="J723" s="18" t="n"/>
      <c r="K723" s="18" t="n">
        <v>2</v>
      </c>
      <c r="L723" s="18" t="inlineStr">
        <is>
          <t>cobbleventure:generation_2</t>
        </is>
      </c>
      <c r="M723" s="19" t="inlineStr">
        <is>
          <t>cobbleventure:generation_2</t>
        </is>
      </c>
      <c r="N723" s="18" t="inlineStr"/>
      <c r="O723" s="19" t="inlineStr"/>
      <c r="P723" s="18" t="inlineStr">
        <is>
          <t>the_bumblezone:floral_meadow</t>
        </is>
      </c>
      <c r="Q723" s="19" t="inlineStr"/>
      <c r="R723" s="18">
        <f>IF(Q723="",P723,Q723)</f>
        <v/>
      </c>
      <c r="S723" s="18" t="inlineStr"/>
      <c r="T723" s="18" t="inlineStr">
        <is>
          <t>common</t>
        </is>
      </c>
      <c r="U723" s="20" t="n">
        <v>0.9</v>
      </c>
      <c r="V723" s="21" t="n">
        <v>1</v>
      </c>
      <c r="W723" s="20">
        <f>IF(OR(U723="",V723=""),U723,U723*V723)</f>
        <v/>
      </c>
      <c r="X723" s="18" t="inlineStr">
        <is>
          <t>18-34</t>
        </is>
      </c>
      <c r="Y723" s="19" t="inlineStr"/>
      <c r="Z723" s="18">
        <f>IF(Y723="",X723,Y723)</f>
        <v/>
      </c>
      <c r="AA723" s="18" t="inlineStr">
        <is>
          <t>grounded</t>
        </is>
      </c>
      <c r="AB723" s="18" t="inlineStr"/>
      <c r="AC723" s="18" t="inlineStr">
        <is>
          <t>비=False</t>
        </is>
      </c>
      <c r="AD723" s="18" t="inlineStr"/>
      <c r="AE723" s="18" t="inlineStr"/>
      <c r="AF723" s="18" t="inlineStr"/>
      <c r="AG723" s="18" t="inlineStr"/>
      <c r="AH723" s="18" t="inlineStr"/>
      <c r="AI723" s="18" t="inlineStr"/>
      <c r="AJ723" s="18" t="inlineStr">
        <is>
          <t>Cobblemon 동일</t>
        </is>
      </c>
      <c r="AK723" s="18" t="inlineStr">
        <is>
          <t>사용</t>
        </is>
      </c>
      <c r="AL723" s="18" t="inlineStr">
        <is>
          <t>COBBLEVERSE 1.7.42 / DP v31</t>
        </is>
      </c>
      <c r="AM723" s="18" t="inlineStr">
        <is>
          <t>data/cobblemon/spawn_pool_world/0188_skiploom.json</t>
        </is>
      </c>
      <c r="AN723" s="18" t="inlineStr">
        <is>
          <t>skiploom-4</t>
        </is>
      </c>
      <c r="AO723" s="18" t="inlineStr">
        <is>
          <t>pokemon</t>
        </is>
      </c>
      <c r="AP723" s="18" t="inlineStr">
        <is>
          <t>natural</t>
        </is>
      </c>
      <c r="AQ723" s="18" t="inlineStr">
        <is>
          <t>{"biomes":["the_bumblezone:floral_meadow"],"isRaining":false}</t>
        </is>
      </c>
      <c r="AR723" s="18" t="inlineStr">
        <is>
          <t>{"structures":["#the_bumblezone:sempiternal_sanctums"]}</t>
        </is>
      </c>
      <c r="AS723" s="18" t="inlineStr"/>
      <c r="AT723" s="19" t="inlineStr"/>
    </row>
    <row r="724" ht="32" customHeight="1">
      <c r="A724" s="18" t="inlineStr">
        <is>
          <t>0189_jumpluff.json::jumpluff-1::001</t>
        </is>
      </c>
      <c r="B724" s="19" t="inlineStr">
        <is>
          <t>사용</t>
        </is>
      </c>
      <c r="C724" s="18">
        <f>IF(OR(B724&lt;&gt;AK724,M724&lt;&gt;L724,O724&lt;&gt;"",Q724&lt;&gt;"",V724&lt;&gt;1,Y724&lt;&gt;"",AT724&lt;&gt;""),"수정","원본")</f>
        <v/>
      </c>
      <c r="D724" s="18" t="n">
        <v>189</v>
      </c>
      <c r="E724" s="18" t="inlineStr">
        <is>
          <t>솜솜코</t>
        </is>
      </c>
      <c r="F724" s="18" t="inlineStr">
        <is>
          <t>jumpluff</t>
        </is>
      </c>
      <c r="G724" s="18" t="inlineStr">
        <is>
          <t>jumpluff</t>
        </is>
      </c>
      <c r="H724" s="18" t="inlineStr"/>
      <c r="I724" s="18" t="n">
        <v>2</v>
      </c>
      <c r="J724" s="18" t="n"/>
      <c r="K724" s="18" t="n">
        <v>2</v>
      </c>
      <c r="L724" s="18" t="inlineStr">
        <is>
          <t>cobbleventure:generation_2</t>
        </is>
      </c>
      <c r="M724" s="19" t="inlineStr">
        <is>
          <t>cobbleventure:generation_2</t>
        </is>
      </c>
      <c r="N724" s="18" t="inlineStr">
        <is>
          <t>region_01</t>
        </is>
      </c>
      <c r="O724" s="19" t="inlineStr"/>
      <c r="P724" s="18" t="inlineStr">
        <is>
          <t>#cobblemon:is_plains</t>
        </is>
      </c>
      <c r="Q724" s="19" t="inlineStr"/>
      <c r="R724" s="18">
        <f>IF(Q724="",P724,Q724)</f>
        <v/>
      </c>
      <c r="S724" s="18" t="inlineStr"/>
      <c r="T724" s="18" t="inlineStr">
        <is>
          <t>common</t>
        </is>
      </c>
      <c r="U724" s="20" t="n">
        <v>0.1</v>
      </c>
      <c r="V724" s="21" t="n">
        <v>1</v>
      </c>
      <c r="W724" s="20">
        <f>IF(OR(U724="",V724=""),U724,U724*V724)</f>
        <v/>
      </c>
      <c r="X724" s="18" t="inlineStr">
        <is>
          <t>27-46</t>
        </is>
      </c>
      <c r="Y724" s="19" t="inlineStr"/>
      <c r="Z724" s="18">
        <f>IF(Y724="",X724,Y724)</f>
        <v/>
      </c>
      <c r="AA724" s="18" t="inlineStr">
        <is>
          <t>grounded</t>
        </is>
      </c>
      <c r="AB724" s="18" t="inlineStr"/>
      <c r="AC724" s="18" t="inlineStr"/>
      <c r="AD724" s="18" t="inlineStr"/>
      <c r="AE724" s="18" t="inlineStr">
        <is>
          <t>sky 8-15</t>
        </is>
      </c>
      <c r="AF724" s="18" t="inlineStr"/>
      <c r="AG724" s="18" t="inlineStr"/>
      <c r="AH724" s="18" t="inlineStr"/>
      <c r="AI724" s="18" t="inlineStr"/>
      <c r="AJ724" s="18" t="inlineStr">
        <is>
          <t>Cobblemon 동일</t>
        </is>
      </c>
      <c r="AK724" s="18" t="inlineStr">
        <is>
          <t>사용</t>
        </is>
      </c>
      <c r="AL724" s="18" t="inlineStr">
        <is>
          <t>COBBLEVERSE 1.7.42 / DP v31</t>
        </is>
      </c>
      <c r="AM724" s="18" t="inlineStr">
        <is>
          <t>data/cobblemon/spawn_pool_world/0189_jumpluff.json</t>
        </is>
      </c>
      <c r="AN724" s="18" t="inlineStr">
        <is>
          <t>jumpluff-1</t>
        </is>
      </c>
      <c r="AO724" s="18" t="inlineStr">
        <is>
          <t>pokemon</t>
        </is>
      </c>
      <c r="AP724" s="18" t="inlineStr">
        <is>
          <t>natural; treetop</t>
        </is>
      </c>
      <c r="AQ724" s="18" t="inlineStr">
        <is>
          <t>{"biomes":["#cobblemon:is_plains"],"maxSkyLight":15,"minSkyLight":8}</t>
        </is>
      </c>
      <c r="AR724" s="18" t="inlineStr"/>
      <c r="AS724" s="18" t="inlineStr">
        <is>
          <t>{"weightMultiplier":{"condition":{"timeRange":"night"},"multiplier":0.25}}</t>
        </is>
      </c>
      <c r="AT724" s="19" t="inlineStr"/>
    </row>
    <row r="725" ht="32" customHeight="1">
      <c r="A725" s="18" t="inlineStr">
        <is>
          <t>0189_jumpluff.json::jumpluff-3::002</t>
        </is>
      </c>
      <c r="B725" s="19" t="inlineStr">
        <is>
          <t>사용</t>
        </is>
      </c>
      <c r="C725" s="18">
        <f>IF(OR(B725&lt;&gt;AK725,M725&lt;&gt;L725,O725&lt;&gt;"",Q725&lt;&gt;"",V725&lt;&gt;1,Y725&lt;&gt;"",AT725&lt;&gt;""),"수정","원본")</f>
        <v/>
      </c>
      <c r="D725" s="18" t="n">
        <v>189</v>
      </c>
      <c r="E725" s="18" t="inlineStr">
        <is>
          <t>솜솜코</t>
        </is>
      </c>
      <c r="F725" s="18" t="inlineStr">
        <is>
          <t>jumpluff</t>
        </is>
      </c>
      <c r="G725" s="18" t="inlineStr">
        <is>
          <t>jumpluff</t>
        </is>
      </c>
      <c r="H725" s="18" t="inlineStr"/>
      <c r="I725" s="18" t="n">
        <v>2</v>
      </c>
      <c r="J725" s="18" t="n"/>
      <c r="K725" s="18" t="n">
        <v>2</v>
      </c>
      <c r="L725" s="18" t="inlineStr">
        <is>
          <t>cobbleventure:generation_2</t>
        </is>
      </c>
      <c r="M725" s="19" t="inlineStr">
        <is>
          <t>cobbleventure:generation_2</t>
        </is>
      </c>
      <c r="N725" s="18" t="inlineStr"/>
      <c r="O725" s="19" t="inlineStr"/>
      <c r="P725" s="18" t="inlineStr">
        <is>
          <t>aether:skyroot_grove; aether:skyroot_meadow</t>
        </is>
      </c>
      <c r="Q725" s="19" t="inlineStr"/>
      <c r="R725" s="18">
        <f>IF(Q725="",P725,Q725)</f>
        <v/>
      </c>
      <c r="S725" s="18" t="inlineStr"/>
      <c r="T725" s="18" t="inlineStr">
        <is>
          <t>common</t>
        </is>
      </c>
      <c r="U725" s="20" t="n">
        <v>0.1</v>
      </c>
      <c r="V725" s="21" t="n">
        <v>1</v>
      </c>
      <c r="W725" s="20">
        <f>IF(OR(U725="",V725=""),U725,U725*V725)</f>
        <v/>
      </c>
      <c r="X725" s="18" t="inlineStr">
        <is>
          <t>27-46</t>
        </is>
      </c>
      <c r="Y725" s="19" t="inlineStr"/>
      <c r="Z725" s="18">
        <f>IF(Y725="",X725,Y725)</f>
        <v/>
      </c>
      <c r="AA725" s="18" t="inlineStr">
        <is>
          <t>grounded</t>
        </is>
      </c>
      <c r="AB725" s="18" t="inlineStr"/>
      <c r="AC725" s="18" t="inlineStr"/>
      <c r="AD725" s="18" t="inlineStr"/>
      <c r="AE725" s="18" t="inlineStr">
        <is>
          <t>sky 8-15</t>
        </is>
      </c>
      <c r="AF725" s="18" t="inlineStr"/>
      <c r="AG725" s="18" t="inlineStr"/>
      <c r="AH725" s="18" t="inlineStr"/>
      <c r="AI725" s="18" t="inlineStr"/>
      <c r="AJ725" s="18" t="inlineStr">
        <is>
          <t>Cobblemon 동일</t>
        </is>
      </c>
      <c r="AK725" s="18" t="inlineStr">
        <is>
          <t>사용</t>
        </is>
      </c>
      <c r="AL725" s="18" t="inlineStr">
        <is>
          <t>COBBLEVERSE 1.7.42 / DP v31</t>
        </is>
      </c>
      <c r="AM725" s="18" t="inlineStr">
        <is>
          <t>data/cobblemon/spawn_pool_world/0189_jumpluff.json</t>
        </is>
      </c>
      <c r="AN725" s="18" t="inlineStr">
        <is>
          <t>jumpluff-3</t>
        </is>
      </c>
      <c r="AO725" s="18" t="inlineStr">
        <is>
          <t>pokemon</t>
        </is>
      </c>
      <c r="AP725" s="18" t="inlineStr">
        <is>
          <t>natural; treetop</t>
        </is>
      </c>
      <c r="AQ725" s="18" t="inlineStr">
        <is>
          <t>{"biomes":["aether:skyroot_grove","aether:skyroot_meadow"],"maxSkyLight":15,"minSkyLight":8}</t>
        </is>
      </c>
      <c r="AR725" s="18" t="inlineStr"/>
      <c r="AS725" s="18" t="inlineStr"/>
      <c r="AT725" s="19" t="inlineStr"/>
    </row>
    <row r="726" ht="32" customHeight="1">
      <c r="A726" s="18" t="inlineStr">
        <is>
          <t>0189_jumpluff.json::jumpluff-4::003</t>
        </is>
      </c>
      <c r="B726" s="19" t="inlineStr">
        <is>
          <t>사용</t>
        </is>
      </c>
      <c r="C726" s="18">
        <f>IF(OR(B726&lt;&gt;AK726,M726&lt;&gt;L726,O726&lt;&gt;"",Q726&lt;&gt;"",V726&lt;&gt;1,Y726&lt;&gt;"",AT726&lt;&gt;""),"수정","원본")</f>
        <v/>
      </c>
      <c r="D726" s="18" t="n">
        <v>189</v>
      </c>
      <c r="E726" s="18" t="inlineStr">
        <is>
          <t>솜솜코</t>
        </is>
      </c>
      <c r="F726" s="18" t="inlineStr">
        <is>
          <t>jumpluff</t>
        </is>
      </c>
      <c r="G726" s="18" t="inlineStr">
        <is>
          <t>jumpluff</t>
        </is>
      </c>
      <c r="H726" s="18" t="inlineStr"/>
      <c r="I726" s="18" t="n">
        <v>2</v>
      </c>
      <c r="J726" s="18" t="n"/>
      <c r="K726" s="18" t="n">
        <v>2</v>
      </c>
      <c r="L726" s="18" t="inlineStr">
        <is>
          <t>cobbleventure:generation_2</t>
        </is>
      </c>
      <c r="M726" s="19" t="inlineStr">
        <is>
          <t>cobbleventure:generation_2</t>
        </is>
      </c>
      <c r="N726" s="18" t="inlineStr"/>
      <c r="O726" s="19" t="inlineStr"/>
      <c r="P726" s="18" t="inlineStr">
        <is>
          <t>the_bumblezone:floral_meadow</t>
        </is>
      </c>
      <c r="Q726" s="19" t="inlineStr"/>
      <c r="R726" s="18">
        <f>IF(Q726="",P726,Q726)</f>
        <v/>
      </c>
      <c r="S726" s="18" t="inlineStr"/>
      <c r="T726" s="18" t="inlineStr">
        <is>
          <t>common</t>
        </is>
      </c>
      <c r="U726" s="20" t="n">
        <v>0.1</v>
      </c>
      <c r="V726" s="21" t="n">
        <v>1</v>
      </c>
      <c r="W726" s="20">
        <f>IF(OR(U726="",V726=""),U726,U726*V726)</f>
        <v/>
      </c>
      <c r="X726" s="18" t="inlineStr">
        <is>
          <t>27-46</t>
        </is>
      </c>
      <c r="Y726" s="19" t="inlineStr"/>
      <c r="Z726" s="18">
        <f>IF(Y726="",X726,Y726)</f>
        <v/>
      </c>
      <c r="AA726" s="18" t="inlineStr">
        <is>
          <t>grounded</t>
        </is>
      </c>
      <c r="AB726" s="18" t="inlineStr"/>
      <c r="AC726" s="18" t="inlineStr"/>
      <c r="AD726" s="18" t="inlineStr"/>
      <c r="AE726" s="18" t="inlineStr"/>
      <c r="AF726" s="18" t="inlineStr"/>
      <c r="AG726" s="18" t="inlineStr"/>
      <c r="AH726" s="18" t="inlineStr"/>
      <c r="AI726" s="18" t="inlineStr"/>
      <c r="AJ726" s="18" t="inlineStr">
        <is>
          <t>Cobblemon 동일</t>
        </is>
      </c>
      <c r="AK726" s="18" t="inlineStr">
        <is>
          <t>사용</t>
        </is>
      </c>
      <c r="AL726" s="18" t="inlineStr">
        <is>
          <t>COBBLEVERSE 1.7.42 / DP v31</t>
        </is>
      </c>
      <c r="AM726" s="18" t="inlineStr">
        <is>
          <t>data/cobblemon/spawn_pool_world/0189_jumpluff.json</t>
        </is>
      </c>
      <c r="AN726" s="18" t="inlineStr">
        <is>
          <t>jumpluff-4</t>
        </is>
      </c>
      <c r="AO726" s="18" t="inlineStr">
        <is>
          <t>pokemon</t>
        </is>
      </c>
      <c r="AP726" s="18" t="inlineStr">
        <is>
          <t>natural</t>
        </is>
      </c>
      <c r="AQ726" s="18" t="inlineStr">
        <is>
          <t>{"biomes":["the_bumblezone:floral_meadow"]}</t>
        </is>
      </c>
      <c r="AR726" s="18" t="inlineStr">
        <is>
          <t>{"structures":["#the_bumblezone:sempiternal_sanctums"]}</t>
        </is>
      </c>
      <c r="AS726" s="18" t="inlineStr"/>
      <c r="AT726" s="19" t="inlineStr"/>
    </row>
    <row r="727" ht="32" customHeight="1">
      <c r="A727" s="18" t="inlineStr">
        <is>
          <t>0190_aipom.json::aipom-1::001</t>
        </is>
      </c>
      <c r="B727" s="19" t="inlineStr">
        <is>
          <t>사용</t>
        </is>
      </c>
      <c r="C727" s="18">
        <f>IF(OR(B727&lt;&gt;AK727,M727&lt;&gt;L727,O727&lt;&gt;"",Q727&lt;&gt;"",V727&lt;&gt;1,Y727&lt;&gt;"",AT727&lt;&gt;""),"수정","원본")</f>
        <v/>
      </c>
      <c r="D727" s="18" t="n">
        <v>190</v>
      </c>
      <c r="E727" s="18" t="inlineStr">
        <is>
          <t>에이팜</t>
        </is>
      </c>
      <c r="F727" s="18" t="inlineStr">
        <is>
          <t>aipom</t>
        </is>
      </c>
      <c r="G727" s="18" t="inlineStr">
        <is>
          <t>aipom</t>
        </is>
      </c>
      <c r="H727" s="18" t="inlineStr"/>
      <c r="I727" s="18" t="n">
        <v>2</v>
      </c>
      <c r="J727" s="18" t="n"/>
      <c r="K727" s="18" t="n">
        <v>2</v>
      </c>
      <c r="L727" s="18" t="inlineStr">
        <is>
          <t>cobbleventure:generation_2</t>
        </is>
      </c>
      <c r="M727" s="19" t="inlineStr">
        <is>
          <t>cobbleventure:generation_2</t>
        </is>
      </c>
      <c r="N727" s="18" t="inlineStr"/>
      <c r="O727" s="19" t="inlineStr"/>
      <c r="P727" s="18" t="inlineStr">
        <is>
          <t>#cobblemon:is_jungle; #cobblemon:is_tropical_island</t>
        </is>
      </c>
      <c r="Q727" s="19" t="inlineStr"/>
      <c r="R727" s="18">
        <f>IF(Q727="",P727,Q727)</f>
        <v/>
      </c>
      <c r="S727" s="18" t="inlineStr"/>
      <c r="T727" s="18" t="inlineStr">
        <is>
          <t>common</t>
        </is>
      </c>
      <c r="U727" s="20" t="n">
        <v>5.4</v>
      </c>
      <c r="V727" s="21" t="n">
        <v>1</v>
      </c>
      <c r="W727" s="20">
        <f>IF(OR(U727="",V727=""),U727,U727*V727)</f>
        <v/>
      </c>
      <c r="X727" s="18" t="inlineStr">
        <is>
          <t>11-36</t>
        </is>
      </c>
      <c r="Y727" s="19" t="inlineStr"/>
      <c r="Z727" s="18">
        <f>IF(Y727="",X727,Y727)</f>
        <v/>
      </c>
      <c r="AA727" s="18" t="inlineStr">
        <is>
          <t>grounded</t>
        </is>
      </c>
      <c r="AB727" s="18" t="inlineStr"/>
      <c r="AC727" s="18" t="inlineStr"/>
      <c r="AD727" s="18" t="inlineStr"/>
      <c r="AE727" s="18" t="inlineStr">
        <is>
          <t>sky 8-15</t>
        </is>
      </c>
      <c r="AF727" s="18" t="inlineStr"/>
      <c r="AG727" s="18" t="inlineStr"/>
      <c r="AH727" s="18" t="inlineStr"/>
      <c r="AI727" s="18" t="inlineStr"/>
      <c r="AJ727" s="18" t="inlineStr">
        <is>
          <t>Cobblemon 동일</t>
        </is>
      </c>
      <c r="AK727" s="18" t="inlineStr">
        <is>
          <t>사용</t>
        </is>
      </c>
      <c r="AL727" s="18" t="inlineStr">
        <is>
          <t>COBBLEVERSE 1.7.42 / DP v31</t>
        </is>
      </c>
      <c r="AM727" s="18" t="inlineStr">
        <is>
          <t>data/cobblemon/spawn_pool_world/0190_aipom.json</t>
        </is>
      </c>
      <c r="AN727" s="18" t="inlineStr">
        <is>
          <t>aipom-1</t>
        </is>
      </c>
      <c r="AO727" s="18" t="inlineStr">
        <is>
          <t>pokemon</t>
        </is>
      </c>
      <c r="AP727" s="18" t="inlineStr">
        <is>
          <t>natural; treetop</t>
        </is>
      </c>
      <c r="AQ727" s="18" t="inlineStr">
        <is>
          <t>{"biomes":["#cobblemon:is_jungle","#cobblemon:is_tropical_island"],"maxSkyLight":15,"minSkyLight":8}</t>
        </is>
      </c>
      <c r="AR727" s="18" t="inlineStr"/>
      <c r="AS727" s="18" t="inlineStr"/>
      <c r="AT727" s="19" t="inlineStr"/>
    </row>
    <row r="728" ht="32" customHeight="1">
      <c r="A728" s="18" t="inlineStr">
        <is>
          <t>0190_aipom.json::aipom-2::002</t>
        </is>
      </c>
      <c r="B728" s="19" t="inlineStr">
        <is>
          <t>사용</t>
        </is>
      </c>
      <c r="C728" s="18">
        <f>IF(OR(B728&lt;&gt;AK728,M728&lt;&gt;L728,O728&lt;&gt;"",Q728&lt;&gt;"",V728&lt;&gt;1,Y728&lt;&gt;"",AT728&lt;&gt;""),"수정","원본")</f>
        <v/>
      </c>
      <c r="D728" s="18" t="n">
        <v>190</v>
      </c>
      <c r="E728" s="18" t="inlineStr">
        <is>
          <t>에이팜</t>
        </is>
      </c>
      <c r="F728" s="18" t="inlineStr">
        <is>
          <t>aipom</t>
        </is>
      </c>
      <c r="G728" s="18" t="inlineStr">
        <is>
          <t>aipom</t>
        </is>
      </c>
      <c r="H728" s="18" t="inlineStr"/>
      <c r="I728" s="18" t="n">
        <v>2</v>
      </c>
      <c r="J728" s="18" t="n"/>
      <c r="K728" s="18" t="n">
        <v>2</v>
      </c>
      <c r="L728" s="18" t="inlineStr">
        <is>
          <t>cobbleventure:generation_2</t>
        </is>
      </c>
      <c r="M728" s="19" t="inlineStr">
        <is>
          <t>cobbleventure:generation_2</t>
        </is>
      </c>
      <c r="N728" s="18" t="inlineStr">
        <is>
          <t>region_01; region_02</t>
        </is>
      </c>
      <c r="O728" s="19" t="inlineStr"/>
      <c r="P728" s="18" t="inlineStr">
        <is>
          <t>#cobblemon:is_overworld</t>
        </is>
      </c>
      <c r="Q728" s="19" t="inlineStr"/>
      <c r="R728" s="18">
        <f>IF(Q728="",P728,Q728)</f>
        <v/>
      </c>
      <c r="S728" s="18" t="inlineStr"/>
      <c r="T728" s="18" t="inlineStr">
        <is>
          <t>common</t>
        </is>
      </c>
      <c r="U728" s="20" t="n">
        <v>5.4</v>
      </c>
      <c r="V728" s="21" t="n">
        <v>1</v>
      </c>
      <c r="W728" s="20">
        <f>IF(OR(U728="",V728=""),U728,U728*V728)</f>
        <v/>
      </c>
      <c r="X728" s="18" t="inlineStr">
        <is>
          <t>11-36</t>
        </is>
      </c>
      <c r="Y728" s="19" t="inlineStr"/>
      <c r="Z728" s="18">
        <f>IF(Y728="",X728,Y728)</f>
        <v/>
      </c>
      <c r="AA728" s="18" t="inlineStr">
        <is>
          <t>grounded</t>
        </is>
      </c>
      <c r="AB728" s="18" t="inlineStr"/>
      <c r="AC728" s="18" t="inlineStr"/>
      <c r="AD728" s="18" t="inlineStr">
        <is>
          <t>minY=-41, maxY=9</t>
        </is>
      </c>
      <c r="AE728" s="18" t="inlineStr">
        <is>
          <t>sky 0-7</t>
        </is>
      </c>
      <c r="AF728" s="18" t="inlineStr"/>
      <c r="AG728" s="18" t="inlineStr">
        <is>
          <t>cobblemon:shipwreck_coves/lush_shipwreck_cove</t>
        </is>
      </c>
      <c r="AH728" s="18" t="inlineStr"/>
      <c r="AI728" s="18" t="inlineStr"/>
      <c r="AJ728" s="18" t="inlineStr">
        <is>
          <t>Cobblemon 동일</t>
        </is>
      </c>
      <c r="AK728" s="18" t="inlineStr">
        <is>
          <t>사용</t>
        </is>
      </c>
      <c r="AL728" s="18" t="inlineStr">
        <is>
          <t>COBBLEVERSE 1.7.42 / DP v31</t>
        </is>
      </c>
      <c r="AM728" s="18" t="inlineStr">
        <is>
          <t>data/cobblemon/spawn_pool_world/0190_aipom.json</t>
        </is>
      </c>
      <c r="AN728" s="18" t="inlineStr">
        <is>
          <t>aipom-2</t>
        </is>
      </c>
      <c r="AO728" s="18" t="inlineStr">
        <is>
          <t>pokemon</t>
        </is>
      </c>
      <c r="AP728" s="18" t="inlineStr"/>
      <c r="AQ728" s="18" t="inlineStr">
        <is>
          <t>{"biomes":["#cobblemon:is_overworld"],"maxSkyLight":7,"maxY":9,"minSkyLight":0,"minY":-41,"structures":["cobblemon:shipwreck_coves/lush_shipwreck_cove"]}</t>
        </is>
      </c>
      <c r="AR728" s="18" t="inlineStr"/>
      <c r="AS728" s="18" t="inlineStr"/>
      <c r="AT728" s="19" t="inlineStr"/>
    </row>
    <row r="729" ht="32" customHeight="1">
      <c r="A729" s="18" t="inlineStr">
        <is>
          <t>0191_sunkern.json::sunkern-1::001</t>
        </is>
      </c>
      <c r="B729" s="19" t="inlineStr">
        <is>
          <t>사용</t>
        </is>
      </c>
      <c r="C729" s="18">
        <f>IF(OR(B729&lt;&gt;AK729,M729&lt;&gt;L729,O729&lt;&gt;"",Q729&lt;&gt;"",V729&lt;&gt;1,Y729&lt;&gt;"",AT729&lt;&gt;""),"수정","원본")</f>
        <v/>
      </c>
      <c r="D729" s="18" t="n">
        <v>191</v>
      </c>
      <c r="E729" s="18" t="inlineStr">
        <is>
          <t>해너츠</t>
        </is>
      </c>
      <c r="F729" s="18" t="inlineStr">
        <is>
          <t>sunkern</t>
        </is>
      </c>
      <c r="G729" s="18" t="inlineStr">
        <is>
          <t>sunkern</t>
        </is>
      </c>
      <c r="H729" s="18" t="inlineStr"/>
      <c r="I729" s="18" t="n">
        <v>2</v>
      </c>
      <c r="J729" s="18" t="n"/>
      <c r="K729" s="18" t="n">
        <v>2</v>
      </c>
      <c r="L729" s="18" t="inlineStr">
        <is>
          <t>cobbleventure:generation_2</t>
        </is>
      </c>
      <c r="M729" s="19" t="inlineStr">
        <is>
          <t>cobbleventure:generation_2</t>
        </is>
      </c>
      <c r="N729" s="18" t="inlineStr"/>
      <c r="O729" s="19" t="inlineStr"/>
      <c r="P729" s="18" t="inlineStr">
        <is>
          <t>minecraft:sunflower_plains</t>
        </is>
      </c>
      <c r="Q729" s="19" t="inlineStr"/>
      <c r="R729" s="18">
        <f>IF(Q729="",P729,Q729)</f>
        <v/>
      </c>
      <c r="S729" s="18" t="inlineStr"/>
      <c r="T729" s="18" t="inlineStr">
        <is>
          <t>common</t>
        </is>
      </c>
      <c r="U729" s="20" t="n">
        <v>9.5</v>
      </c>
      <c r="V729" s="21" t="n">
        <v>1</v>
      </c>
      <c r="W729" s="20">
        <f>IF(OR(U729="",V729=""),U729,U729*V729)</f>
        <v/>
      </c>
      <c r="X729" s="18" t="inlineStr">
        <is>
          <t>1-18</t>
        </is>
      </c>
      <c r="Y729" s="19" t="inlineStr"/>
      <c r="Z729" s="18">
        <f>IF(Y729="",X729,Y729)</f>
        <v/>
      </c>
      <c r="AA729" s="18" t="inlineStr">
        <is>
          <t>grounded</t>
        </is>
      </c>
      <c r="AB729" s="18" t="inlineStr"/>
      <c r="AC729" s="18" t="inlineStr"/>
      <c r="AD729" s="18" t="inlineStr"/>
      <c r="AE729" s="18" t="inlineStr">
        <is>
          <t>sky 8-15</t>
        </is>
      </c>
      <c r="AF729" s="18" t="inlineStr"/>
      <c r="AG729" s="18" t="inlineStr"/>
      <c r="AH729" s="18" t="inlineStr">
        <is>
          <t>주변=minecraft:sunflower</t>
        </is>
      </c>
      <c r="AI729" s="18" t="inlineStr"/>
      <c r="AJ729" s="18" t="inlineStr">
        <is>
          <t>Cobblemon 동일</t>
        </is>
      </c>
      <c r="AK729" s="18" t="inlineStr">
        <is>
          <t>사용</t>
        </is>
      </c>
      <c r="AL729" s="18" t="inlineStr">
        <is>
          <t>COBBLEVERSE 1.7.42 / DP v31</t>
        </is>
      </c>
      <c r="AM729" s="18" t="inlineStr">
        <is>
          <t>data/cobblemon/spawn_pool_world/0191_sunkern.json</t>
        </is>
      </c>
      <c r="AN729" s="18" t="inlineStr">
        <is>
          <t>sunkern-1</t>
        </is>
      </c>
      <c r="AO729" s="18" t="inlineStr">
        <is>
          <t>pokemon</t>
        </is>
      </c>
      <c r="AP729" s="18" t="inlineStr">
        <is>
          <t>natural</t>
        </is>
      </c>
      <c r="AQ729" s="18" t="inlineStr">
        <is>
          <t>{"biomes":["minecraft:sunflower_plains"],"maxSkyLight":15,"minSkyLight":8,"neededNearbyBlocks":["minecraft:sunflower"]}</t>
        </is>
      </c>
      <c r="AR729" s="18" t="inlineStr"/>
      <c r="AS729" s="18" t="inlineStr">
        <is>
          <t>{"weightMultiplier":{"condition":{"timeRange":"night"},"multiplier":0.25}}</t>
        </is>
      </c>
      <c r="AT729" s="19" t="inlineStr"/>
    </row>
    <row r="730" ht="32" customHeight="1">
      <c r="A730" s="18" t="inlineStr">
        <is>
          <t>0191_sunkern.json::sunkern-2::002</t>
        </is>
      </c>
      <c r="B730" s="19" t="inlineStr">
        <is>
          <t>사용</t>
        </is>
      </c>
      <c r="C730" s="18">
        <f>IF(OR(B730&lt;&gt;AK730,M730&lt;&gt;L730,O730&lt;&gt;"",Q730&lt;&gt;"",V730&lt;&gt;1,Y730&lt;&gt;"",AT730&lt;&gt;""),"수정","원본")</f>
        <v/>
      </c>
      <c r="D730" s="18" t="n">
        <v>191</v>
      </c>
      <c r="E730" s="18" t="inlineStr">
        <is>
          <t>해너츠</t>
        </is>
      </c>
      <c r="F730" s="18" t="inlineStr">
        <is>
          <t>sunkern</t>
        </is>
      </c>
      <c r="G730" s="18" t="inlineStr">
        <is>
          <t>sunkern</t>
        </is>
      </c>
      <c r="H730" s="18" t="inlineStr"/>
      <c r="I730" s="18" t="n">
        <v>2</v>
      </c>
      <c r="J730" s="18" t="n"/>
      <c r="K730" s="18" t="n">
        <v>2</v>
      </c>
      <c r="L730" s="18" t="inlineStr">
        <is>
          <t>cobbleventure:generation_2</t>
        </is>
      </c>
      <c r="M730" s="19" t="inlineStr">
        <is>
          <t>cobbleventure:generation_2</t>
        </is>
      </c>
      <c r="N730" s="18" t="inlineStr">
        <is>
          <t>region_01; region_02</t>
        </is>
      </c>
      <c r="O730" s="19" t="inlineStr"/>
      <c r="P730" s="18" t="inlineStr">
        <is>
          <t>#cobblemon:is_overworld</t>
        </is>
      </c>
      <c r="Q730" s="19" t="inlineStr"/>
      <c r="R730" s="18">
        <f>IF(Q730="",P730,Q730)</f>
        <v/>
      </c>
      <c r="S730" s="18" t="inlineStr">
        <is>
          <t>minecraft:sunflower_plains</t>
        </is>
      </c>
      <c r="T730" s="18" t="inlineStr">
        <is>
          <t>common</t>
        </is>
      </c>
      <c r="U730" s="20" t="n">
        <v>9.5</v>
      </c>
      <c r="V730" s="21" t="n">
        <v>1</v>
      </c>
      <c r="W730" s="20">
        <f>IF(OR(U730="",V730=""),U730,U730*V730)</f>
        <v/>
      </c>
      <c r="X730" s="18" t="inlineStr">
        <is>
          <t>1-18</t>
        </is>
      </c>
      <c r="Y730" s="19" t="inlineStr"/>
      <c r="Z730" s="18">
        <f>IF(Y730="",X730,Y730)</f>
        <v/>
      </c>
      <c r="AA730" s="18" t="inlineStr">
        <is>
          <t>grounded</t>
        </is>
      </c>
      <c r="AB730" s="18" t="inlineStr"/>
      <c r="AC730" s="18" t="inlineStr"/>
      <c r="AD730" s="18" t="inlineStr"/>
      <c r="AE730" s="18" t="inlineStr">
        <is>
          <t>sky 8-15</t>
        </is>
      </c>
      <c r="AF730" s="18" t="inlineStr"/>
      <c r="AG730" s="18" t="inlineStr"/>
      <c r="AH730" s="18" t="inlineStr">
        <is>
          <t>주변=minecraft:sunflower</t>
        </is>
      </c>
      <c r="AI730" s="18" t="inlineStr"/>
      <c r="AJ730" s="18" t="inlineStr">
        <is>
          <t>Cobblemon 동일</t>
        </is>
      </c>
      <c r="AK730" s="18" t="inlineStr">
        <is>
          <t>사용</t>
        </is>
      </c>
      <c r="AL730" s="18" t="inlineStr">
        <is>
          <t>COBBLEVERSE 1.7.42 / DP v31</t>
        </is>
      </c>
      <c r="AM730" s="18" t="inlineStr">
        <is>
          <t>data/cobblemon/spawn_pool_world/0191_sunkern.json</t>
        </is>
      </c>
      <c r="AN730" s="18" t="inlineStr">
        <is>
          <t>sunkern-2</t>
        </is>
      </c>
      <c r="AO730" s="18" t="inlineStr">
        <is>
          <t>pokemon</t>
        </is>
      </c>
      <c r="AP730" s="18" t="inlineStr">
        <is>
          <t>natural</t>
        </is>
      </c>
      <c r="AQ730" s="18" t="inlineStr">
        <is>
          <t>{"biomes":["#cobblemon:is_overworld"],"maxSkyLight":15,"minSkyLight":8,"neededNearbyBlocks":["minecraft:sunflower"]}</t>
        </is>
      </c>
      <c r="AR730" s="18" t="inlineStr">
        <is>
          <t>{"biomes":["minecraft:sunflower_plains"]}</t>
        </is>
      </c>
      <c r="AS730" s="18" t="inlineStr">
        <is>
          <t>{"weightMultiplier":{"condition":{"timeRange":"night"},"multiplier":0.25}}</t>
        </is>
      </c>
      <c r="AT730" s="19" t="inlineStr"/>
    </row>
    <row r="731" ht="32" customHeight="1">
      <c r="A731" s="18" t="inlineStr">
        <is>
          <t>0191_sunkern.json::sunkern-3::003</t>
        </is>
      </c>
      <c r="B731" s="19" t="inlineStr">
        <is>
          <t>사용</t>
        </is>
      </c>
      <c r="C731" s="18">
        <f>IF(OR(B731&lt;&gt;AK731,M731&lt;&gt;L731,O731&lt;&gt;"",Q731&lt;&gt;"",V731&lt;&gt;1,Y731&lt;&gt;"",AT731&lt;&gt;""),"수정","원본")</f>
        <v/>
      </c>
      <c r="D731" s="18" t="n">
        <v>191</v>
      </c>
      <c r="E731" s="18" t="inlineStr">
        <is>
          <t>해너츠</t>
        </is>
      </c>
      <c r="F731" s="18" t="inlineStr">
        <is>
          <t>sunkern</t>
        </is>
      </c>
      <c r="G731" s="18" t="inlineStr">
        <is>
          <t>sunkern</t>
        </is>
      </c>
      <c r="H731" s="18" t="inlineStr"/>
      <c r="I731" s="18" t="n">
        <v>2</v>
      </c>
      <c r="J731" s="18" t="n"/>
      <c r="K731" s="18" t="n">
        <v>2</v>
      </c>
      <c r="L731" s="18" t="inlineStr">
        <is>
          <t>cobbleventure:generation_2</t>
        </is>
      </c>
      <c r="M731" s="19" t="inlineStr">
        <is>
          <t>cobbleventure:generation_2</t>
        </is>
      </c>
      <c r="N731" s="18" t="inlineStr"/>
      <c r="O731" s="19" t="inlineStr"/>
      <c r="P731" s="18" t="inlineStr">
        <is>
          <t>aether:skyroot_grove; aether:skyroot_meadow</t>
        </is>
      </c>
      <c r="Q731" s="19" t="inlineStr"/>
      <c r="R731" s="18">
        <f>IF(Q731="",P731,Q731)</f>
        <v/>
      </c>
      <c r="S731" s="18" t="inlineStr"/>
      <c r="T731" s="18" t="inlineStr">
        <is>
          <t>common</t>
        </is>
      </c>
      <c r="U731" s="20" t="n">
        <v>5.7</v>
      </c>
      <c r="V731" s="21" t="n">
        <v>1</v>
      </c>
      <c r="W731" s="20">
        <f>IF(OR(U731="",V731=""),U731,U731*V731)</f>
        <v/>
      </c>
      <c r="X731" s="18" t="inlineStr">
        <is>
          <t>1-18</t>
        </is>
      </c>
      <c r="Y731" s="19" t="inlineStr"/>
      <c r="Z731" s="18">
        <f>IF(Y731="",X731,Y731)</f>
        <v/>
      </c>
      <c r="AA731" s="18" t="inlineStr">
        <is>
          <t>grounded</t>
        </is>
      </c>
      <c r="AB731" s="18" t="inlineStr"/>
      <c r="AC731" s="18" t="inlineStr"/>
      <c r="AD731" s="18" t="inlineStr"/>
      <c r="AE731" s="18" t="inlineStr">
        <is>
          <t>sky 8-15</t>
        </is>
      </c>
      <c r="AF731" s="18" t="inlineStr"/>
      <c r="AG731" s="18" t="inlineStr"/>
      <c r="AH731" s="18" t="inlineStr"/>
      <c r="AI731" s="18" t="inlineStr"/>
      <c r="AJ731" s="18" t="inlineStr">
        <is>
          <t>Cobblemon 동일</t>
        </is>
      </c>
      <c r="AK731" s="18" t="inlineStr">
        <is>
          <t>사용</t>
        </is>
      </c>
      <c r="AL731" s="18" t="inlineStr">
        <is>
          <t>COBBLEVERSE 1.7.42 / DP v31</t>
        </is>
      </c>
      <c r="AM731" s="18" t="inlineStr">
        <is>
          <t>data/cobblemon/spawn_pool_world/0191_sunkern.json</t>
        </is>
      </c>
      <c r="AN731" s="18" t="inlineStr">
        <is>
          <t>sunkern-3</t>
        </is>
      </c>
      <c r="AO731" s="18" t="inlineStr">
        <is>
          <t>pokemon</t>
        </is>
      </c>
      <c r="AP731" s="18" t="inlineStr">
        <is>
          <t>natural</t>
        </is>
      </c>
      <c r="AQ731" s="18" t="inlineStr">
        <is>
          <t>{"biomes":["aether:skyroot_grove","aether:skyroot_meadow"],"maxSkyLight":15,"minSkyLight":8}</t>
        </is>
      </c>
      <c r="AR731" s="18" t="inlineStr"/>
      <c r="AS731" s="18" t="inlineStr"/>
      <c r="AT731" s="19" t="inlineStr"/>
    </row>
    <row r="732" ht="32" customHeight="1">
      <c r="A732" s="18" t="inlineStr">
        <is>
          <t>0191_sunkern.json::sunkern-4::004</t>
        </is>
      </c>
      <c r="B732" s="19" t="inlineStr">
        <is>
          <t>사용</t>
        </is>
      </c>
      <c r="C732" s="18">
        <f>IF(OR(B732&lt;&gt;AK732,M732&lt;&gt;L732,O732&lt;&gt;"",Q732&lt;&gt;"",V732&lt;&gt;1,Y732&lt;&gt;"",AT732&lt;&gt;""),"수정","원본")</f>
        <v/>
      </c>
      <c r="D732" s="18" t="n">
        <v>191</v>
      </c>
      <c r="E732" s="18" t="inlineStr">
        <is>
          <t>해너츠</t>
        </is>
      </c>
      <c r="F732" s="18" t="inlineStr">
        <is>
          <t>sunkern</t>
        </is>
      </c>
      <c r="G732" s="18" t="inlineStr">
        <is>
          <t>sunkern</t>
        </is>
      </c>
      <c r="H732" s="18" t="inlineStr"/>
      <c r="I732" s="18" t="n">
        <v>2</v>
      </c>
      <c r="J732" s="18" t="n"/>
      <c r="K732" s="18" t="n">
        <v>2</v>
      </c>
      <c r="L732" s="18" t="inlineStr">
        <is>
          <t>cobbleventure:generation_2</t>
        </is>
      </c>
      <c r="M732" s="19" t="inlineStr">
        <is>
          <t>cobbleventure:generation_2</t>
        </is>
      </c>
      <c r="N732" s="18" t="inlineStr"/>
      <c r="O732" s="19" t="inlineStr"/>
      <c r="P732" s="18" t="inlineStr">
        <is>
          <t>the_bumblezone:floral_meadow</t>
        </is>
      </c>
      <c r="Q732" s="19" t="inlineStr"/>
      <c r="R732" s="18">
        <f>IF(Q732="",P732,Q732)</f>
        <v/>
      </c>
      <c r="S732" s="18" t="inlineStr"/>
      <c r="T732" s="18" t="inlineStr">
        <is>
          <t>common</t>
        </is>
      </c>
      <c r="U732" s="20" t="n">
        <v>9.5</v>
      </c>
      <c r="V732" s="21" t="n">
        <v>1</v>
      </c>
      <c r="W732" s="20">
        <f>IF(OR(U732="",V732=""),U732,U732*V732)</f>
        <v/>
      </c>
      <c r="X732" s="18" t="inlineStr">
        <is>
          <t>1-18</t>
        </is>
      </c>
      <c r="Y732" s="19" t="inlineStr"/>
      <c r="Z732" s="18">
        <f>IF(Y732="",X732,Y732)</f>
        <v/>
      </c>
      <c r="AA732" s="18" t="inlineStr">
        <is>
          <t>grounded</t>
        </is>
      </c>
      <c r="AB732" s="18" t="inlineStr"/>
      <c r="AC732" s="18" t="inlineStr"/>
      <c r="AD732" s="18" t="inlineStr"/>
      <c r="AE732" s="18" t="inlineStr"/>
      <c r="AF732" s="18" t="inlineStr"/>
      <c r="AG732" s="18" t="inlineStr"/>
      <c r="AH732" s="18" t="inlineStr"/>
      <c r="AI732" s="18" t="inlineStr"/>
      <c r="AJ732" s="18" t="inlineStr">
        <is>
          <t>Cobblemon 동일</t>
        </is>
      </c>
      <c r="AK732" s="18" t="inlineStr">
        <is>
          <t>사용</t>
        </is>
      </c>
      <c r="AL732" s="18" t="inlineStr">
        <is>
          <t>COBBLEVERSE 1.7.42 / DP v31</t>
        </is>
      </c>
      <c r="AM732" s="18" t="inlineStr">
        <is>
          <t>data/cobblemon/spawn_pool_world/0191_sunkern.json</t>
        </is>
      </c>
      <c r="AN732" s="18" t="inlineStr">
        <is>
          <t>sunkern-4</t>
        </is>
      </c>
      <c r="AO732" s="18" t="inlineStr">
        <is>
          <t>pokemon</t>
        </is>
      </c>
      <c r="AP732" s="18" t="inlineStr"/>
      <c r="AQ732" s="18" t="inlineStr">
        <is>
          <t>{"biomes":["the_bumblezone:floral_meadow"]}</t>
        </is>
      </c>
      <c r="AR732" s="18" t="inlineStr">
        <is>
          <t>{"structures":["#the_bumblezone:sempiternal_sanctums"]}</t>
        </is>
      </c>
      <c r="AS732" s="18" t="inlineStr"/>
      <c r="AT732" s="19" t="inlineStr"/>
    </row>
    <row r="733" ht="32" customHeight="1">
      <c r="A733" s="18" t="inlineStr">
        <is>
          <t>0192_sunflora.json::sunflora-1::001</t>
        </is>
      </c>
      <c r="B733" s="19" t="inlineStr">
        <is>
          <t>사용</t>
        </is>
      </c>
      <c r="C733" s="18">
        <f>IF(OR(B733&lt;&gt;AK733,M733&lt;&gt;L733,O733&lt;&gt;"",Q733&lt;&gt;"",V733&lt;&gt;1,Y733&lt;&gt;"",AT733&lt;&gt;""),"수정","원본")</f>
        <v/>
      </c>
      <c r="D733" s="18" t="n">
        <v>192</v>
      </c>
      <c r="E733" s="18" t="inlineStr">
        <is>
          <t>해루미</t>
        </is>
      </c>
      <c r="F733" s="18" t="inlineStr">
        <is>
          <t>sunflora</t>
        </is>
      </c>
      <c r="G733" s="18" t="inlineStr">
        <is>
          <t>sunflora</t>
        </is>
      </c>
      <c r="H733" s="18" t="inlineStr"/>
      <c r="I733" s="18" t="n">
        <v>2</v>
      </c>
      <c r="J733" s="18" t="n"/>
      <c r="K733" s="18" t="n">
        <v>2</v>
      </c>
      <c r="L733" s="18" t="inlineStr">
        <is>
          <t>cobbleventure:generation_2</t>
        </is>
      </c>
      <c r="M733" s="19" t="inlineStr">
        <is>
          <t>cobbleventure:generation_2</t>
        </is>
      </c>
      <c r="N733" s="18" t="inlineStr"/>
      <c r="O733" s="19" t="inlineStr"/>
      <c r="P733" s="18" t="inlineStr">
        <is>
          <t>minecraft:sunflower_plains</t>
        </is>
      </c>
      <c r="Q733" s="19" t="inlineStr"/>
      <c r="R733" s="18">
        <f>IF(Q733="",P733,Q733)</f>
        <v/>
      </c>
      <c r="S733" s="18" t="inlineStr"/>
      <c r="T733" s="18" t="inlineStr">
        <is>
          <t>common</t>
        </is>
      </c>
      <c r="U733" s="20" t="n">
        <v>0.5</v>
      </c>
      <c r="V733" s="21" t="n">
        <v>1</v>
      </c>
      <c r="W733" s="20">
        <f>IF(OR(U733="",V733=""),U733,U733*V733)</f>
        <v/>
      </c>
      <c r="X733" s="18" t="inlineStr">
        <is>
          <t>13-43</t>
        </is>
      </c>
      <c r="Y733" s="19" t="inlineStr"/>
      <c r="Z733" s="18">
        <f>IF(Y733="",X733,Y733)</f>
        <v/>
      </c>
      <c r="AA733" s="18" t="inlineStr">
        <is>
          <t>grounded</t>
        </is>
      </c>
      <c r="AB733" s="18" t="inlineStr"/>
      <c r="AC733" s="18" t="inlineStr"/>
      <c r="AD733" s="18" t="inlineStr"/>
      <c r="AE733" s="18" t="inlineStr">
        <is>
          <t>sky 8-15</t>
        </is>
      </c>
      <c r="AF733" s="18" t="inlineStr"/>
      <c r="AG733" s="18" t="inlineStr"/>
      <c r="AH733" s="18" t="inlineStr">
        <is>
          <t>주변=minecraft:sunflower</t>
        </is>
      </c>
      <c r="AI733" s="18" t="inlineStr"/>
      <c r="AJ733" s="18" t="inlineStr">
        <is>
          <t>Cobblemon 동일</t>
        </is>
      </c>
      <c r="AK733" s="18" t="inlineStr">
        <is>
          <t>사용</t>
        </is>
      </c>
      <c r="AL733" s="18" t="inlineStr">
        <is>
          <t>COBBLEVERSE 1.7.42 / DP v31</t>
        </is>
      </c>
      <c r="AM733" s="18" t="inlineStr">
        <is>
          <t>data/cobblemon/spawn_pool_world/0192_sunflora.json</t>
        </is>
      </c>
      <c r="AN733" s="18" t="inlineStr">
        <is>
          <t>sunflora-1</t>
        </is>
      </c>
      <c r="AO733" s="18" t="inlineStr">
        <is>
          <t>pokemon</t>
        </is>
      </c>
      <c r="AP733" s="18" t="inlineStr">
        <is>
          <t>natural</t>
        </is>
      </c>
      <c r="AQ733" s="18" t="inlineStr">
        <is>
          <t>{"biomes":["minecraft:sunflower_plains"],"maxSkyLight":15,"minSkyLight":8,"neededNearbyBlocks":["minecraft:sunflower"]}</t>
        </is>
      </c>
      <c r="AR733" s="18" t="inlineStr"/>
      <c r="AS733" s="18" t="inlineStr">
        <is>
          <t>{"weightMultiplier":{"condition":{"timeRange":"night"},"multiplier":0.25}}</t>
        </is>
      </c>
      <c r="AT733" s="19" t="inlineStr"/>
    </row>
    <row r="734" ht="32" customHeight="1">
      <c r="A734" s="18" t="inlineStr">
        <is>
          <t>0192_sunflora.json::sunflora-2::002</t>
        </is>
      </c>
      <c r="B734" s="19" t="inlineStr">
        <is>
          <t>사용</t>
        </is>
      </c>
      <c r="C734" s="18">
        <f>IF(OR(B734&lt;&gt;AK734,M734&lt;&gt;L734,O734&lt;&gt;"",Q734&lt;&gt;"",V734&lt;&gt;1,Y734&lt;&gt;"",AT734&lt;&gt;""),"수정","원본")</f>
        <v/>
      </c>
      <c r="D734" s="18" t="n">
        <v>192</v>
      </c>
      <c r="E734" s="18" t="inlineStr">
        <is>
          <t>해루미</t>
        </is>
      </c>
      <c r="F734" s="18" t="inlineStr">
        <is>
          <t>sunflora</t>
        </is>
      </c>
      <c r="G734" s="18" t="inlineStr">
        <is>
          <t>sunflora</t>
        </is>
      </c>
      <c r="H734" s="18" t="inlineStr"/>
      <c r="I734" s="18" t="n">
        <v>2</v>
      </c>
      <c r="J734" s="18" t="n"/>
      <c r="K734" s="18" t="n">
        <v>2</v>
      </c>
      <c r="L734" s="18" t="inlineStr">
        <is>
          <t>cobbleventure:generation_2</t>
        </is>
      </c>
      <c r="M734" s="19" t="inlineStr">
        <is>
          <t>cobbleventure:generation_2</t>
        </is>
      </c>
      <c r="N734" s="18" t="inlineStr">
        <is>
          <t>region_01; region_02</t>
        </is>
      </c>
      <c r="O734" s="19" t="inlineStr"/>
      <c r="P734" s="18" t="inlineStr">
        <is>
          <t>#cobblemon:is_overworld</t>
        </is>
      </c>
      <c r="Q734" s="19" t="inlineStr"/>
      <c r="R734" s="18">
        <f>IF(Q734="",P734,Q734)</f>
        <v/>
      </c>
      <c r="S734" s="18" t="inlineStr">
        <is>
          <t>minecraft:sunflower_plains</t>
        </is>
      </c>
      <c r="T734" s="18" t="inlineStr">
        <is>
          <t>common</t>
        </is>
      </c>
      <c r="U734" s="20" t="n">
        <v>0.5</v>
      </c>
      <c r="V734" s="21" t="n">
        <v>1</v>
      </c>
      <c r="W734" s="20">
        <f>IF(OR(U734="",V734=""),U734,U734*V734)</f>
        <v/>
      </c>
      <c r="X734" s="18" t="inlineStr">
        <is>
          <t>13-43</t>
        </is>
      </c>
      <c r="Y734" s="19" t="inlineStr"/>
      <c r="Z734" s="18">
        <f>IF(Y734="",X734,Y734)</f>
        <v/>
      </c>
      <c r="AA734" s="18" t="inlineStr">
        <is>
          <t>grounded</t>
        </is>
      </c>
      <c r="AB734" s="18" t="inlineStr"/>
      <c r="AC734" s="18" t="inlineStr"/>
      <c r="AD734" s="18" t="inlineStr"/>
      <c r="AE734" s="18" t="inlineStr">
        <is>
          <t>sky 8-15</t>
        </is>
      </c>
      <c r="AF734" s="18" t="inlineStr"/>
      <c r="AG734" s="18" t="inlineStr"/>
      <c r="AH734" s="18" t="inlineStr">
        <is>
          <t>주변=minecraft:sunflower</t>
        </is>
      </c>
      <c r="AI734" s="18" t="inlineStr"/>
      <c r="AJ734" s="18" t="inlineStr">
        <is>
          <t>Cobblemon 동일</t>
        </is>
      </c>
      <c r="AK734" s="18" t="inlineStr">
        <is>
          <t>사용</t>
        </is>
      </c>
      <c r="AL734" s="18" t="inlineStr">
        <is>
          <t>COBBLEVERSE 1.7.42 / DP v31</t>
        </is>
      </c>
      <c r="AM734" s="18" t="inlineStr">
        <is>
          <t>data/cobblemon/spawn_pool_world/0192_sunflora.json</t>
        </is>
      </c>
      <c r="AN734" s="18" t="inlineStr">
        <is>
          <t>sunflora-2</t>
        </is>
      </c>
      <c r="AO734" s="18" t="inlineStr">
        <is>
          <t>pokemon</t>
        </is>
      </c>
      <c r="AP734" s="18" t="inlineStr">
        <is>
          <t>natural</t>
        </is>
      </c>
      <c r="AQ734" s="18" t="inlineStr">
        <is>
          <t>{"biomes":["#cobblemon:is_overworld"],"maxSkyLight":15,"minSkyLight":8,"neededNearbyBlocks":["minecraft:sunflower"]}</t>
        </is>
      </c>
      <c r="AR734" s="18" t="inlineStr">
        <is>
          <t>{"biomes":["minecraft:sunflower_plains"]}</t>
        </is>
      </c>
      <c r="AS734" s="18" t="inlineStr">
        <is>
          <t>{"weightMultiplier":{"condition":{"timeRange":"night"},"multiplier":0.25}}</t>
        </is>
      </c>
      <c r="AT734" s="19" t="inlineStr"/>
    </row>
    <row r="735" ht="32" customHeight="1">
      <c r="A735" s="18" t="inlineStr">
        <is>
          <t>0192_sunflora.json::sunflora-3::003</t>
        </is>
      </c>
      <c r="B735" s="19" t="inlineStr">
        <is>
          <t>사용</t>
        </is>
      </c>
      <c r="C735" s="18">
        <f>IF(OR(B735&lt;&gt;AK735,M735&lt;&gt;L735,O735&lt;&gt;"",Q735&lt;&gt;"",V735&lt;&gt;1,Y735&lt;&gt;"",AT735&lt;&gt;""),"수정","원본")</f>
        <v/>
      </c>
      <c r="D735" s="18" t="n">
        <v>192</v>
      </c>
      <c r="E735" s="18" t="inlineStr">
        <is>
          <t>해루미</t>
        </is>
      </c>
      <c r="F735" s="18" t="inlineStr">
        <is>
          <t>sunflora</t>
        </is>
      </c>
      <c r="G735" s="18" t="inlineStr">
        <is>
          <t>sunflora</t>
        </is>
      </c>
      <c r="H735" s="18" t="inlineStr"/>
      <c r="I735" s="18" t="n">
        <v>2</v>
      </c>
      <c r="J735" s="18" t="n"/>
      <c r="K735" s="18" t="n">
        <v>2</v>
      </c>
      <c r="L735" s="18" t="inlineStr">
        <is>
          <t>cobbleventure:generation_2</t>
        </is>
      </c>
      <c r="M735" s="19" t="inlineStr">
        <is>
          <t>cobbleventure:generation_2</t>
        </is>
      </c>
      <c r="N735" s="18" t="inlineStr"/>
      <c r="O735" s="19" t="inlineStr"/>
      <c r="P735" s="18" t="inlineStr">
        <is>
          <t>aether:skyroot_grove; aether:skyroot_meadow</t>
        </is>
      </c>
      <c r="Q735" s="19" t="inlineStr"/>
      <c r="R735" s="18">
        <f>IF(Q735="",P735,Q735)</f>
        <v/>
      </c>
      <c r="S735" s="18" t="inlineStr"/>
      <c r="T735" s="18" t="inlineStr">
        <is>
          <t>common</t>
        </is>
      </c>
      <c r="U735" s="20" t="n">
        <v>0.3</v>
      </c>
      <c r="V735" s="21" t="n">
        <v>1</v>
      </c>
      <c r="W735" s="20">
        <f>IF(OR(U735="",V735=""),U735,U735*V735)</f>
        <v/>
      </c>
      <c r="X735" s="18" t="inlineStr">
        <is>
          <t>13-43</t>
        </is>
      </c>
      <c r="Y735" s="19" t="inlineStr"/>
      <c r="Z735" s="18">
        <f>IF(Y735="",X735,Y735)</f>
        <v/>
      </c>
      <c r="AA735" s="18" t="inlineStr">
        <is>
          <t>grounded</t>
        </is>
      </c>
      <c r="AB735" s="18" t="inlineStr"/>
      <c r="AC735" s="18" t="inlineStr"/>
      <c r="AD735" s="18" t="inlineStr"/>
      <c r="AE735" s="18" t="inlineStr">
        <is>
          <t>sky 8-15</t>
        </is>
      </c>
      <c r="AF735" s="18" t="inlineStr"/>
      <c r="AG735" s="18" t="inlineStr"/>
      <c r="AH735" s="18" t="inlineStr"/>
      <c r="AI735" s="18" t="inlineStr"/>
      <c r="AJ735" s="18" t="inlineStr">
        <is>
          <t>Cobblemon 동일</t>
        </is>
      </c>
      <c r="AK735" s="18" t="inlineStr">
        <is>
          <t>사용</t>
        </is>
      </c>
      <c r="AL735" s="18" t="inlineStr">
        <is>
          <t>COBBLEVERSE 1.7.42 / DP v31</t>
        </is>
      </c>
      <c r="AM735" s="18" t="inlineStr">
        <is>
          <t>data/cobblemon/spawn_pool_world/0192_sunflora.json</t>
        </is>
      </c>
      <c r="AN735" s="18" t="inlineStr">
        <is>
          <t>sunflora-3</t>
        </is>
      </c>
      <c r="AO735" s="18" t="inlineStr">
        <is>
          <t>pokemon</t>
        </is>
      </c>
      <c r="AP735" s="18" t="inlineStr">
        <is>
          <t>natural</t>
        </is>
      </c>
      <c r="AQ735" s="18" t="inlineStr">
        <is>
          <t>{"biomes":["aether:skyroot_grove","aether:skyroot_meadow"],"maxSkyLight":15,"minSkyLight":8}</t>
        </is>
      </c>
      <c r="AR735" s="18" t="inlineStr"/>
      <c r="AS735" s="18" t="inlineStr"/>
      <c r="AT735" s="19" t="inlineStr"/>
    </row>
    <row r="736" ht="32" customHeight="1">
      <c r="A736" s="18" t="inlineStr">
        <is>
          <t>0192_sunflora.json::sunflora-4::004</t>
        </is>
      </c>
      <c r="B736" s="19" t="inlineStr">
        <is>
          <t>사용</t>
        </is>
      </c>
      <c r="C736" s="18">
        <f>IF(OR(B736&lt;&gt;AK736,M736&lt;&gt;L736,O736&lt;&gt;"",Q736&lt;&gt;"",V736&lt;&gt;1,Y736&lt;&gt;"",AT736&lt;&gt;""),"수정","원본")</f>
        <v/>
      </c>
      <c r="D736" s="18" t="n">
        <v>192</v>
      </c>
      <c r="E736" s="18" t="inlineStr">
        <is>
          <t>해루미</t>
        </is>
      </c>
      <c r="F736" s="18" t="inlineStr">
        <is>
          <t>sunflora</t>
        </is>
      </c>
      <c r="G736" s="18" t="inlineStr">
        <is>
          <t>sunflora</t>
        </is>
      </c>
      <c r="H736" s="18" t="inlineStr"/>
      <c r="I736" s="18" t="n">
        <v>2</v>
      </c>
      <c r="J736" s="18" t="n"/>
      <c r="K736" s="18" t="n">
        <v>2</v>
      </c>
      <c r="L736" s="18" t="inlineStr">
        <is>
          <t>cobbleventure:generation_2</t>
        </is>
      </c>
      <c r="M736" s="19" t="inlineStr">
        <is>
          <t>cobbleventure:generation_2</t>
        </is>
      </c>
      <c r="N736" s="18" t="inlineStr"/>
      <c r="O736" s="19" t="inlineStr"/>
      <c r="P736" s="18" t="inlineStr">
        <is>
          <t>the_bumblezone:floral_meadow</t>
        </is>
      </c>
      <c r="Q736" s="19" t="inlineStr"/>
      <c r="R736" s="18">
        <f>IF(Q736="",P736,Q736)</f>
        <v/>
      </c>
      <c r="S736" s="18" t="inlineStr"/>
      <c r="T736" s="18" t="inlineStr">
        <is>
          <t>common</t>
        </is>
      </c>
      <c r="U736" s="20" t="n">
        <v>0.5</v>
      </c>
      <c r="V736" s="21" t="n">
        <v>1</v>
      </c>
      <c r="W736" s="20">
        <f>IF(OR(U736="",V736=""),U736,U736*V736)</f>
        <v/>
      </c>
      <c r="X736" s="18" t="inlineStr">
        <is>
          <t>13-43</t>
        </is>
      </c>
      <c r="Y736" s="19" t="inlineStr"/>
      <c r="Z736" s="18">
        <f>IF(Y736="",X736,Y736)</f>
        <v/>
      </c>
      <c r="AA736" s="18" t="inlineStr">
        <is>
          <t>grounded</t>
        </is>
      </c>
      <c r="AB736" s="18" t="inlineStr"/>
      <c r="AC736" s="18" t="inlineStr"/>
      <c r="AD736" s="18" t="inlineStr"/>
      <c r="AE736" s="18" t="inlineStr"/>
      <c r="AF736" s="18" t="inlineStr"/>
      <c r="AG736" s="18" t="inlineStr"/>
      <c r="AH736" s="18" t="inlineStr"/>
      <c r="AI736" s="18" t="inlineStr"/>
      <c r="AJ736" s="18" t="inlineStr">
        <is>
          <t>Cobblemon 동일</t>
        </is>
      </c>
      <c r="AK736" s="18" t="inlineStr">
        <is>
          <t>사용</t>
        </is>
      </c>
      <c r="AL736" s="18" t="inlineStr">
        <is>
          <t>COBBLEVERSE 1.7.42 / DP v31</t>
        </is>
      </c>
      <c r="AM736" s="18" t="inlineStr">
        <is>
          <t>data/cobblemon/spawn_pool_world/0192_sunflora.json</t>
        </is>
      </c>
      <c r="AN736" s="18" t="inlineStr">
        <is>
          <t>sunflora-4</t>
        </is>
      </c>
      <c r="AO736" s="18" t="inlineStr">
        <is>
          <t>pokemon</t>
        </is>
      </c>
      <c r="AP736" s="18" t="inlineStr"/>
      <c r="AQ736" s="18" t="inlineStr">
        <is>
          <t>{"biomes":["the_bumblezone:floral_meadow"]}</t>
        </is>
      </c>
      <c r="AR736" s="18" t="inlineStr">
        <is>
          <t>{"structures":["#the_bumblezone:sempiternal_sanctums"]}</t>
        </is>
      </c>
      <c r="AS736" s="18" t="inlineStr"/>
      <c r="AT736" s="19" t="inlineStr"/>
    </row>
    <row r="737" ht="32" customHeight="1">
      <c r="A737" s="18" t="inlineStr">
        <is>
          <t>0193_yanma.json::yanma-1::001</t>
        </is>
      </c>
      <c r="B737" s="19" t="inlineStr">
        <is>
          <t>사용</t>
        </is>
      </c>
      <c r="C737" s="18">
        <f>IF(OR(B737&lt;&gt;AK737,M737&lt;&gt;L737,O737&lt;&gt;"",Q737&lt;&gt;"",V737&lt;&gt;1,Y737&lt;&gt;"",AT737&lt;&gt;""),"수정","원본")</f>
        <v/>
      </c>
      <c r="D737" s="18" t="n">
        <v>193</v>
      </c>
      <c r="E737" s="18" t="inlineStr">
        <is>
          <t>왕자리</t>
        </is>
      </c>
      <c r="F737" s="18" t="inlineStr">
        <is>
          <t>yanma</t>
        </is>
      </c>
      <c r="G737" s="18" t="inlineStr">
        <is>
          <t>yanma</t>
        </is>
      </c>
      <c r="H737" s="18" t="inlineStr"/>
      <c r="I737" s="18" t="n">
        <v>2</v>
      </c>
      <c r="J737" s="18" t="n"/>
      <c r="K737" s="18" t="n">
        <v>2</v>
      </c>
      <c r="L737" s="18" t="inlineStr">
        <is>
          <t>cobbleventure:generation_2</t>
        </is>
      </c>
      <c r="M737" s="19" t="inlineStr">
        <is>
          <t>cobbleventure:generation_2</t>
        </is>
      </c>
      <c r="N737" s="18" t="inlineStr">
        <is>
          <t>region_02</t>
        </is>
      </c>
      <c r="O737" s="19" t="inlineStr"/>
      <c r="P737" s="18" t="inlineStr">
        <is>
          <t>#cobblemon:is_freshwater</t>
        </is>
      </c>
      <c r="Q737" s="19" t="inlineStr"/>
      <c r="R737" s="18">
        <f>IF(Q737="",P737,Q737)</f>
        <v/>
      </c>
      <c r="S737" s="18" t="inlineStr">
        <is>
          <t>#cobblemon:is_freezing</t>
        </is>
      </c>
      <c r="T737" s="18" t="inlineStr">
        <is>
          <t>uncommon</t>
        </is>
      </c>
      <c r="U737" s="20" t="n">
        <v>5.04</v>
      </c>
      <c r="V737" s="21" t="n">
        <v>1</v>
      </c>
      <c r="W737" s="20">
        <f>IF(OR(U737="",V737=""),U737,U737*V737)</f>
        <v/>
      </c>
      <c r="X737" s="18" t="inlineStr">
        <is>
          <t>14-39</t>
        </is>
      </c>
      <c r="Y737" s="19" t="inlineStr"/>
      <c r="Z737" s="18">
        <f>IF(Y737="",X737,Y737)</f>
        <v/>
      </c>
      <c r="AA737" s="18" t="inlineStr">
        <is>
          <t>surface</t>
        </is>
      </c>
      <c r="AB737" s="18" t="inlineStr">
        <is>
          <t>day</t>
        </is>
      </c>
      <c r="AC737" s="18" t="inlineStr">
        <is>
          <t>비=False</t>
        </is>
      </c>
      <c r="AD737" s="18" t="inlineStr"/>
      <c r="AE737" s="18" t="inlineStr">
        <is>
          <t>sky 8-15</t>
        </is>
      </c>
      <c r="AF737" s="18" t="inlineStr"/>
      <c r="AG737" s="18" t="inlineStr"/>
      <c r="AH737" s="18" t="inlineStr"/>
      <c r="AI737" s="18" t="inlineStr"/>
      <c r="AJ737" s="18" t="inlineStr">
        <is>
          <t>Cobblemon 동일</t>
        </is>
      </c>
      <c r="AK737" s="18" t="inlineStr">
        <is>
          <t>사용</t>
        </is>
      </c>
      <c r="AL737" s="18" t="inlineStr">
        <is>
          <t>COBBLEVERSE 1.7.42 / DP v31</t>
        </is>
      </c>
      <c r="AM737" s="18" t="inlineStr">
        <is>
          <t>data/cobblemon/spawn_pool_world/0193_yanma.json</t>
        </is>
      </c>
      <c r="AN737" s="18" t="inlineStr">
        <is>
          <t>yanma-1</t>
        </is>
      </c>
      <c r="AO737" s="18" t="inlineStr">
        <is>
          <t>pokemon</t>
        </is>
      </c>
      <c r="AP737" s="18" t="inlineStr">
        <is>
          <t>water</t>
        </is>
      </c>
      <c r="AQ737" s="18" t="inlineStr">
        <is>
          <t>{"biomes":["#cobblemon:is_freshwater"],"isRaining":false,"maxSkyLight":15,"minSkyLight":8,"timeRange":"day"}</t>
        </is>
      </c>
      <c r="AR737" s="18" t="inlineStr">
        <is>
          <t>{"biomes":["#cobblemon:is_freezing"]}</t>
        </is>
      </c>
      <c r="AS737" s="18" t="inlineStr"/>
      <c r="AT737" s="19" t="inlineStr"/>
    </row>
    <row r="738" ht="32" customHeight="1">
      <c r="A738" s="18" t="inlineStr">
        <is>
          <t>0193_yanma.json::yanma-2::002</t>
        </is>
      </c>
      <c r="B738" s="19" t="inlineStr">
        <is>
          <t>사용</t>
        </is>
      </c>
      <c r="C738" s="18">
        <f>IF(OR(B738&lt;&gt;AK738,M738&lt;&gt;L738,O738&lt;&gt;"",Q738&lt;&gt;"",V738&lt;&gt;1,Y738&lt;&gt;"",AT738&lt;&gt;""),"수정","원본")</f>
        <v/>
      </c>
      <c r="D738" s="18" t="n">
        <v>193</v>
      </c>
      <c r="E738" s="18" t="inlineStr">
        <is>
          <t>왕자리</t>
        </is>
      </c>
      <c r="F738" s="18" t="inlineStr">
        <is>
          <t>yanma</t>
        </is>
      </c>
      <c r="G738" s="18" t="inlineStr">
        <is>
          <t>yanma</t>
        </is>
      </c>
      <c r="H738" s="18" t="inlineStr"/>
      <c r="I738" s="18" t="n">
        <v>2</v>
      </c>
      <c r="J738" s="18" t="n"/>
      <c r="K738" s="18" t="n">
        <v>2</v>
      </c>
      <c r="L738" s="18" t="inlineStr">
        <is>
          <t>cobbleventure:generation_2</t>
        </is>
      </c>
      <c r="M738" s="19" t="inlineStr">
        <is>
          <t>cobbleventure:generation_2</t>
        </is>
      </c>
      <c r="N738" s="18" t="inlineStr"/>
      <c r="O738" s="19" t="inlineStr"/>
      <c r="P738" s="18" t="inlineStr">
        <is>
          <t>#cobblemon:is_lush</t>
        </is>
      </c>
      <c r="Q738" s="19" t="inlineStr"/>
      <c r="R738" s="18">
        <f>IF(Q738="",P738,Q738)</f>
        <v/>
      </c>
      <c r="S738" s="18" t="inlineStr"/>
      <c r="T738" s="18" t="inlineStr">
        <is>
          <t>uncommon</t>
        </is>
      </c>
      <c r="U738" s="20" t="n">
        <v>1.68</v>
      </c>
      <c r="V738" s="21" t="n">
        <v>1</v>
      </c>
      <c r="W738" s="20">
        <f>IF(OR(U738="",V738=""),U738,U738*V738)</f>
        <v/>
      </c>
      <c r="X738" s="18" t="inlineStr">
        <is>
          <t>14-39</t>
        </is>
      </c>
      <c r="Y738" s="19" t="inlineStr"/>
      <c r="Z738" s="18">
        <f>IF(Y738="",X738,Y738)</f>
        <v/>
      </c>
      <c r="AA738" s="18" t="inlineStr">
        <is>
          <t>surface</t>
        </is>
      </c>
      <c r="AB738" s="18" t="inlineStr"/>
      <c r="AC738" s="18" t="inlineStr"/>
      <c r="AD738" s="18" t="inlineStr"/>
      <c r="AE738" s="18" t="inlineStr">
        <is>
          <t>sky 0-7</t>
        </is>
      </c>
      <c r="AF738" s="18" t="inlineStr"/>
      <c r="AG738" s="18" t="inlineStr"/>
      <c r="AH738" s="18" t="inlineStr"/>
      <c r="AI738" s="18" t="inlineStr"/>
      <c r="AJ738" s="18" t="inlineStr">
        <is>
          <t>Cobblemon 동일</t>
        </is>
      </c>
      <c r="AK738" s="18" t="inlineStr">
        <is>
          <t>사용</t>
        </is>
      </c>
      <c r="AL738" s="18" t="inlineStr">
        <is>
          <t>COBBLEVERSE 1.7.42 / DP v31</t>
        </is>
      </c>
      <c r="AM738" s="18" t="inlineStr">
        <is>
          <t>data/cobblemon/spawn_pool_world/0193_yanma.json</t>
        </is>
      </c>
      <c r="AN738" s="18" t="inlineStr">
        <is>
          <t>yanma-2</t>
        </is>
      </c>
      <c r="AO738" s="18" t="inlineStr">
        <is>
          <t>pokemon</t>
        </is>
      </c>
      <c r="AP738" s="18" t="inlineStr">
        <is>
          <t>water</t>
        </is>
      </c>
      <c r="AQ738" s="18" t="inlineStr">
        <is>
          <t>{"biomes":["#cobblemon:is_lush"],"maxSkyLight":7,"minSkyLight":0}</t>
        </is>
      </c>
      <c r="AR738" s="18" t="inlineStr">
        <is>
          <t>{"maxY":9,"minY":-41,"structures":["cobblemon:shipwreck_coves/lush_shipwreck_cove"]}</t>
        </is>
      </c>
      <c r="AS738" s="18" t="inlineStr"/>
      <c r="AT738" s="19" t="inlineStr"/>
    </row>
    <row r="739" ht="32" customHeight="1">
      <c r="A739" s="18" t="inlineStr">
        <is>
          <t>0193_yanma.json::yanma-3::003</t>
        </is>
      </c>
      <c r="B739" s="19" t="inlineStr">
        <is>
          <t>사용</t>
        </is>
      </c>
      <c r="C739" s="18">
        <f>IF(OR(B739&lt;&gt;AK739,M739&lt;&gt;L739,O739&lt;&gt;"",Q739&lt;&gt;"",V739&lt;&gt;1,Y739&lt;&gt;"",AT739&lt;&gt;""),"수정","원본")</f>
        <v/>
      </c>
      <c r="D739" s="18" t="n">
        <v>193</v>
      </c>
      <c r="E739" s="18" t="inlineStr">
        <is>
          <t>왕자리</t>
        </is>
      </c>
      <c r="F739" s="18" t="inlineStr">
        <is>
          <t>yanma</t>
        </is>
      </c>
      <c r="G739" s="18" t="inlineStr">
        <is>
          <t>yanma</t>
        </is>
      </c>
      <c r="H739" s="18" t="inlineStr"/>
      <c r="I739" s="18" t="n">
        <v>2</v>
      </c>
      <c r="J739" s="18" t="n"/>
      <c r="K739" s="18" t="n">
        <v>2</v>
      </c>
      <c r="L739" s="18" t="inlineStr">
        <is>
          <t>cobbleventure:generation_2</t>
        </is>
      </c>
      <c r="M739" s="19" t="inlineStr">
        <is>
          <t>cobbleventure:generation_2</t>
        </is>
      </c>
      <c r="N739" s="18" t="inlineStr"/>
      <c r="O739" s="19" t="inlineStr"/>
      <c r="P739" s="18" t="inlineStr">
        <is>
          <t>#the_bumblezone:the_bumblezone</t>
        </is>
      </c>
      <c r="Q739" s="19" t="inlineStr"/>
      <c r="R739" s="18">
        <f>IF(Q739="",P739,Q739)</f>
        <v/>
      </c>
      <c r="S739" s="18" t="inlineStr"/>
      <c r="T739" s="18" t="inlineStr">
        <is>
          <t>uncommon</t>
        </is>
      </c>
      <c r="U739" s="20" t="n">
        <v>1.68</v>
      </c>
      <c r="V739" s="21" t="n">
        <v>1</v>
      </c>
      <c r="W739" s="20">
        <f>IF(OR(U739="",V739=""),U739,U739*V739)</f>
        <v/>
      </c>
      <c r="X739" s="18" t="inlineStr">
        <is>
          <t>14-39</t>
        </is>
      </c>
      <c r="Y739" s="19" t="inlineStr"/>
      <c r="Z739" s="18">
        <f>IF(Y739="",X739,Y739)</f>
        <v/>
      </c>
      <c r="AA739" s="18" t="inlineStr">
        <is>
          <t>surface</t>
        </is>
      </c>
      <c r="AB739" s="18" t="inlineStr"/>
      <c r="AC739" s="18" t="inlineStr"/>
      <c r="AD739" s="18" t="inlineStr"/>
      <c r="AE739" s="18" t="inlineStr"/>
      <c r="AF739" s="18" t="inlineStr"/>
      <c r="AG739" s="18" t="inlineStr"/>
      <c r="AH739" s="18" t="inlineStr"/>
      <c r="AI739" s="18" t="inlineStr"/>
      <c r="AJ739" s="18" t="inlineStr">
        <is>
          <t>Cobblemon 동일</t>
        </is>
      </c>
      <c r="AK739" s="18" t="inlineStr">
        <is>
          <t>사용</t>
        </is>
      </c>
      <c r="AL739" s="18" t="inlineStr">
        <is>
          <t>COBBLEVERSE 1.7.42 / DP v31</t>
        </is>
      </c>
      <c r="AM739" s="18" t="inlineStr">
        <is>
          <t>data/cobblemon/spawn_pool_world/0193_yanma.json</t>
        </is>
      </c>
      <c r="AN739" s="18" t="inlineStr">
        <is>
          <t>yanma-3</t>
        </is>
      </c>
      <c r="AO739" s="18" t="inlineStr">
        <is>
          <t>pokemon</t>
        </is>
      </c>
      <c r="AP739" s="18" t="inlineStr">
        <is>
          <t>water</t>
        </is>
      </c>
      <c r="AQ739" s="18" t="inlineStr">
        <is>
          <t>{"biomes":["#the_bumblezone:the_bumblezone"]}</t>
        </is>
      </c>
      <c r="AR739" s="18" t="inlineStr">
        <is>
          <t>{"structures":["#the_bumblezone:sempiternal_sanctums"]}</t>
        </is>
      </c>
      <c r="AS739" s="18" t="inlineStr"/>
      <c r="AT739" s="19" t="inlineStr"/>
    </row>
    <row r="740" ht="32" customHeight="1">
      <c r="A740" s="18" t="inlineStr">
        <is>
          <t>0193_yanma.json::yanma-4::004</t>
        </is>
      </c>
      <c r="B740" s="19" t="inlineStr">
        <is>
          <t>사용</t>
        </is>
      </c>
      <c r="C740" s="18">
        <f>IF(OR(B740&lt;&gt;AK740,M740&lt;&gt;L740,O740&lt;&gt;"",Q740&lt;&gt;"",V740&lt;&gt;1,Y740&lt;&gt;"",AT740&lt;&gt;""),"수정","원본")</f>
        <v/>
      </c>
      <c r="D740" s="18" t="n">
        <v>193</v>
      </c>
      <c r="E740" s="18" t="inlineStr">
        <is>
          <t>왕자리</t>
        </is>
      </c>
      <c r="F740" s="18" t="inlineStr">
        <is>
          <t>yanma</t>
        </is>
      </c>
      <c r="G740" s="18" t="inlineStr">
        <is>
          <t>yanma</t>
        </is>
      </c>
      <c r="H740" s="18" t="inlineStr"/>
      <c r="I740" s="18" t="n">
        <v>2</v>
      </c>
      <c r="J740" s="18" t="n"/>
      <c r="K740" s="18" t="n">
        <v>2</v>
      </c>
      <c r="L740" s="18" t="inlineStr">
        <is>
          <t>cobbleventure:generation_2</t>
        </is>
      </c>
      <c r="M740" s="19" t="inlineStr">
        <is>
          <t>cobbleventure:generation_2</t>
        </is>
      </c>
      <c r="N740" s="18" t="inlineStr">
        <is>
          <t>region_01; region_02</t>
        </is>
      </c>
      <c r="O740" s="19" t="inlineStr"/>
      <c r="P740" s="18" t="inlineStr">
        <is>
          <t>#cobblemon:is_overworld</t>
        </is>
      </c>
      <c r="Q740" s="19" t="inlineStr"/>
      <c r="R740" s="18">
        <f>IF(Q740="",P740,Q740)</f>
        <v/>
      </c>
      <c r="S740" s="18" t="inlineStr">
        <is>
          <t>#cobblemon:is_lush</t>
        </is>
      </c>
      <c r="T740" s="18" t="inlineStr">
        <is>
          <t>uncommon</t>
        </is>
      </c>
      <c r="U740" s="20" t="n">
        <v>1.68</v>
      </c>
      <c r="V740" s="21" t="n">
        <v>1</v>
      </c>
      <c r="W740" s="20">
        <f>IF(OR(U740="",V740=""),U740,U740*V740)</f>
        <v/>
      </c>
      <c r="X740" s="18" t="inlineStr">
        <is>
          <t>14-39</t>
        </is>
      </c>
      <c r="Y740" s="19" t="inlineStr"/>
      <c r="Z740" s="18">
        <f>IF(Y740="",X740,Y740)</f>
        <v/>
      </c>
      <c r="AA740" s="18" t="inlineStr">
        <is>
          <t>surface</t>
        </is>
      </c>
      <c r="AB740" s="18" t="inlineStr"/>
      <c r="AC740" s="18" t="inlineStr"/>
      <c r="AD740" s="18" t="inlineStr">
        <is>
          <t>minY=-41, maxY=9</t>
        </is>
      </c>
      <c r="AE740" s="18" t="inlineStr">
        <is>
          <t>sky 0-7</t>
        </is>
      </c>
      <c r="AF740" s="18" t="inlineStr"/>
      <c r="AG740" s="18" t="inlineStr">
        <is>
          <t>cobblemon:shipwreck_coves/lush_shipwreck_cove</t>
        </is>
      </c>
      <c r="AH740" s="18" t="inlineStr"/>
      <c r="AI740" s="18" t="inlineStr"/>
      <c r="AJ740" s="18" t="inlineStr">
        <is>
          <t>Cobblemon 동일</t>
        </is>
      </c>
      <c r="AK740" s="18" t="inlineStr">
        <is>
          <t>사용</t>
        </is>
      </c>
      <c r="AL740" s="18" t="inlineStr">
        <is>
          <t>COBBLEVERSE 1.7.42 / DP v31</t>
        </is>
      </c>
      <c r="AM740" s="18" t="inlineStr">
        <is>
          <t>data/cobblemon/spawn_pool_world/0193_yanma.json</t>
        </is>
      </c>
      <c r="AN740" s="18" t="inlineStr">
        <is>
          <t>yanma-4</t>
        </is>
      </c>
      <c r="AO740" s="18" t="inlineStr">
        <is>
          <t>pokemon</t>
        </is>
      </c>
      <c r="AP740" s="18" t="inlineStr">
        <is>
          <t>water</t>
        </is>
      </c>
      <c r="AQ740" s="18" t="inlineStr">
        <is>
          <t>{"biomes":["#cobblemon:is_overworld"],"maxSkyLight":7,"maxY":9,"minSkyLight":0,"minY":-41,"structures":["cobblemon:shipwreck_coves/lush_shipwreck_cove"]}</t>
        </is>
      </c>
      <c r="AR740" s="18" t="inlineStr">
        <is>
          <t>{"biomes":["#cobblemon:is_lush"]}</t>
        </is>
      </c>
      <c r="AS740" s="18" t="inlineStr"/>
      <c r="AT740" s="19" t="inlineStr"/>
    </row>
    <row r="741" ht="32" customHeight="1">
      <c r="A741" s="18" t="inlineStr">
        <is>
          <t>0193_yanma.json::yanma-5::005</t>
        </is>
      </c>
      <c r="B741" s="19" t="inlineStr">
        <is>
          <t>사용</t>
        </is>
      </c>
      <c r="C741" s="18">
        <f>IF(OR(B741&lt;&gt;AK741,M741&lt;&gt;L741,O741&lt;&gt;"",Q741&lt;&gt;"",V741&lt;&gt;1,Y741&lt;&gt;"",AT741&lt;&gt;""),"수정","원본")</f>
        <v/>
      </c>
      <c r="D741" s="18" t="n">
        <v>193</v>
      </c>
      <c r="E741" s="18" t="inlineStr">
        <is>
          <t>왕자리</t>
        </is>
      </c>
      <c r="F741" s="18" t="inlineStr">
        <is>
          <t>yanma</t>
        </is>
      </c>
      <c r="G741" s="18" t="inlineStr">
        <is>
          <t>yanma</t>
        </is>
      </c>
      <c r="H741" s="18" t="inlineStr"/>
      <c r="I741" s="18" t="n">
        <v>2</v>
      </c>
      <c r="J741" s="18" t="n"/>
      <c r="K741" s="18" t="n">
        <v>2</v>
      </c>
      <c r="L741" s="18" t="inlineStr">
        <is>
          <t>cobbleventure:generation_2</t>
        </is>
      </c>
      <c r="M741" s="19" t="inlineStr">
        <is>
          <t>cobbleventure:generation_2</t>
        </is>
      </c>
      <c r="N741" s="18" t="inlineStr"/>
      <c r="O741" s="19" t="inlineStr"/>
      <c r="P741" s="18" t="inlineStr">
        <is>
          <t>#aether:is_aether</t>
        </is>
      </c>
      <c r="Q741" s="19" t="inlineStr"/>
      <c r="R741" s="18">
        <f>IF(Q741="",P741,Q741)</f>
        <v/>
      </c>
      <c r="S741" s="18" t="inlineStr"/>
      <c r="T741" s="18" t="inlineStr">
        <is>
          <t>uncommon</t>
        </is>
      </c>
      <c r="U741" s="20" t="n">
        <v>5.04</v>
      </c>
      <c r="V741" s="21" t="n">
        <v>1</v>
      </c>
      <c r="W741" s="20">
        <f>IF(OR(U741="",V741=""),U741,U741*V741)</f>
        <v/>
      </c>
      <c r="X741" s="18" t="inlineStr">
        <is>
          <t>14-39</t>
        </is>
      </c>
      <c r="Y741" s="19" t="inlineStr"/>
      <c r="Z741" s="18">
        <f>IF(Y741="",X741,Y741)</f>
        <v/>
      </c>
      <c r="AA741" s="18" t="inlineStr">
        <is>
          <t>surface</t>
        </is>
      </c>
      <c r="AB741" s="18" t="inlineStr"/>
      <c r="AC741" s="18" t="inlineStr"/>
      <c r="AD741" s="18" t="inlineStr"/>
      <c r="AE741" s="18" t="inlineStr">
        <is>
          <t>sky 8-15</t>
        </is>
      </c>
      <c r="AF741" s="18" t="inlineStr"/>
      <c r="AG741" s="18" t="inlineStr"/>
      <c r="AH741" s="18" t="inlineStr"/>
      <c r="AI741" s="18" t="inlineStr"/>
      <c r="AJ741" s="18" t="inlineStr">
        <is>
          <t>Cobblemon 동일</t>
        </is>
      </c>
      <c r="AK741" s="18" t="inlineStr">
        <is>
          <t>사용</t>
        </is>
      </c>
      <c r="AL741" s="18" t="inlineStr">
        <is>
          <t>COBBLEVERSE 1.7.42 / DP v31</t>
        </is>
      </c>
      <c r="AM741" s="18" t="inlineStr">
        <is>
          <t>data/cobblemon/spawn_pool_world/0193_yanma.json</t>
        </is>
      </c>
      <c r="AN741" s="18" t="inlineStr">
        <is>
          <t>yanma-5</t>
        </is>
      </c>
      <c r="AO741" s="18" t="inlineStr">
        <is>
          <t>pokemon</t>
        </is>
      </c>
      <c r="AP741" s="18" t="inlineStr">
        <is>
          <t>water</t>
        </is>
      </c>
      <c r="AQ741" s="18" t="inlineStr">
        <is>
          <t>{"biomes":["#aether:is_aether"],"maxSkyLight":15,"minSkyLight":8}</t>
        </is>
      </c>
      <c r="AR741" s="18" t="inlineStr"/>
      <c r="AS741" s="18" t="inlineStr"/>
      <c r="AT741" s="19" t="inlineStr"/>
    </row>
    <row r="742" ht="32" customHeight="1">
      <c r="A742" s="18" t="inlineStr">
        <is>
          <t>0194_wooper.json::wooper-1::001</t>
        </is>
      </c>
      <c r="B742" s="19" t="inlineStr">
        <is>
          <t>사용</t>
        </is>
      </c>
      <c r="C742" s="18">
        <f>IF(OR(B742&lt;&gt;AK742,M742&lt;&gt;L742,O742&lt;&gt;"",Q742&lt;&gt;"",V742&lt;&gt;1,Y742&lt;&gt;"",AT742&lt;&gt;""),"수정","원본")</f>
        <v/>
      </c>
      <c r="D742" s="18" t="n">
        <v>194</v>
      </c>
      <c r="E742" s="18" t="inlineStr">
        <is>
          <t>우파</t>
        </is>
      </c>
      <c r="F742" s="18" t="inlineStr">
        <is>
          <t>wooper</t>
        </is>
      </c>
      <c r="G742" s="18" t="inlineStr">
        <is>
          <t>wooper</t>
        </is>
      </c>
      <c r="H742" s="18" t="inlineStr"/>
      <c r="I742" s="18" t="n">
        <v>2</v>
      </c>
      <c r="J742" s="18" t="n"/>
      <c r="K742" s="18" t="n">
        <v>2</v>
      </c>
      <c r="L742" s="18" t="inlineStr">
        <is>
          <t>cobbleventure:generation_2</t>
        </is>
      </c>
      <c r="M742" s="19" t="inlineStr">
        <is>
          <t>cobbleventure:generation_2</t>
        </is>
      </c>
      <c r="N742" s="18" t="inlineStr"/>
      <c r="O742" s="19" t="inlineStr"/>
      <c r="P742" s="18" t="inlineStr">
        <is>
          <t>#cobblemon:is_lush</t>
        </is>
      </c>
      <c r="Q742" s="19" t="inlineStr"/>
      <c r="R742" s="18">
        <f>IF(Q742="",P742,Q742)</f>
        <v/>
      </c>
      <c r="S742" s="18" t="inlineStr"/>
      <c r="T742" s="18" t="inlineStr">
        <is>
          <t>common</t>
        </is>
      </c>
      <c r="U742" s="20" t="n">
        <v>9</v>
      </c>
      <c r="V742" s="21" t="n">
        <v>1</v>
      </c>
      <c r="W742" s="20">
        <f>IF(OR(U742="",V742=""),U742,U742*V742)</f>
        <v/>
      </c>
      <c r="X742" s="18" t="inlineStr">
        <is>
          <t>1-21</t>
        </is>
      </c>
      <c r="Y742" s="19" t="inlineStr"/>
      <c r="Z742" s="18">
        <f>IF(Y742="",X742,Y742)</f>
        <v/>
      </c>
      <c r="AA742" s="18" t="inlineStr">
        <is>
          <t>grounded</t>
        </is>
      </c>
      <c r="AB742" s="18" t="inlineStr"/>
      <c r="AC742" s="18" t="inlineStr"/>
      <c r="AD742" s="18" t="inlineStr"/>
      <c r="AE742" s="18" t="inlineStr">
        <is>
          <t>sky 0-7</t>
        </is>
      </c>
      <c r="AF742" s="18" t="inlineStr"/>
      <c r="AG742" s="18" t="inlineStr"/>
      <c r="AH742" s="18" t="inlineStr"/>
      <c r="AI742" s="18" t="inlineStr"/>
      <c r="AJ742" s="18" t="inlineStr">
        <is>
          <t>Cobblemon 동일</t>
        </is>
      </c>
      <c r="AK742" s="18" t="inlineStr">
        <is>
          <t>사용</t>
        </is>
      </c>
      <c r="AL742" s="18" t="inlineStr">
        <is>
          <t>COBBLEVERSE 1.7.42 / DP v31</t>
        </is>
      </c>
      <c r="AM742" s="18" t="inlineStr">
        <is>
          <t>data/cobblemon/spawn_pool_world/0194_wooper.json</t>
        </is>
      </c>
      <c r="AN742" s="18" t="inlineStr">
        <is>
          <t>wooper-1</t>
        </is>
      </c>
      <c r="AO742" s="18" t="inlineStr">
        <is>
          <t>pokemon</t>
        </is>
      </c>
      <c r="AP742" s="18" t="inlineStr">
        <is>
          <t>natural</t>
        </is>
      </c>
      <c r="AQ742" s="18" t="inlineStr">
        <is>
          <t>{"biomes":["#cobblemon:is_lush"],"maxSkyLight":7,"minSkyLight":0}</t>
        </is>
      </c>
      <c r="AR742" s="18" t="inlineStr">
        <is>
          <t>{"maxY":9,"minY":-41,"structures":["cobblemon:shipwreck_coves/lush_shipwreck_cove"]}</t>
        </is>
      </c>
      <c r="AS742" s="18" t="inlineStr"/>
      <c r="AT742" s="19" t="inlineStr"/>
    </row>
    <row r="743" ht="32" customHeight="1">
      <c r="A743" s="18" t="inlineStr">
        <is>
          <t>0194_wooper.json::wooper-2::002</t>
        </is>
      </c>
      <c r="B743" s="19" t="inlineStr">
        <is>
          <t>사용</t>
        </is>
      </c>
      <c r="C743" s="18">
        <f>IF(OR(B743&lt;&gt;AK743,M743&lt;&gt;L743,O743&lt;&gt;"",Q743&lt;&gt;"",V743&lt;&gt;1,Y743&lt;&gt;"",AT743&lt;&gt;""),"수정","원본")</f>
        <v/>
      </c>
      <c r="D743" s="18" t="n">
        <v>194</v>
      </c>
      <c r="E743" s="18" t="inlineStr">
        <is>
          <t>우파</t>
        </is>
      </c>
      <c r="F743" s="18" t="inlineStr">
        <is>
          <t>wooper</t>
        </is>
      </c>
      <c r="G743" s="18" t="inlineStr">
        <is>
          <t>wooper</t>
        </is>
      </c>
      <c r="H743" s="18" t="inlineStr"/>
      <c r="I743" s="18" t="n">
        <v>2</v>
      </c>
      <c r="J743" s="18" t="n"/>
      <c r="K743" s="18" t="n">
        <v>2</v>
      </c>
      <c r="L743" s="18" t="inlineStr">
        <is>
          <t>cobbleventure:generation_2</t>
        </is>
      </c>
      <c r="M743" s="19" t="inlineStr">
        <is>
          <t>cobbleventure:generation_2</t>
        </is>
      </c>
      <c r="N743" s="18" t="inlineStr"/>
      <c r="O743" s="19" t="inlineStr"/>
      <c r="P743" s="18" t="inlineStr">
        <is>
          <t>#cobblemon:is_lush</t>
        </is>
      </c>
      <c r="Q743" s="19" t="inlineStr"/>
      <c r="R743" s="18">
        <f>IF(Q743="",P743,Q743)</f>
        <v/>
      </c>
      <c r="S743" s="18" t="inlineStr"/>
      <c r="T743" s="18" t="inlineStr">
        <is>
          <t>common</t>
        </is>
      </c>
      <c r="U743" s="20" t="n">
        <v>9</v>
      </c>
      <c r="V743" s="21" t="n">
        <v>1</v>
      </c>
      <c r="W743" s="20">
        <f>IF(OR(U743="",V743=""),U743,U743*V743)</f>
        <v/>
      </c>
      <c r="X743" s="18" t="inlineStr">
        <is>
          <t>1-21</t>
        </is>
      </c>
      <c r="Y743" s="19" t="inlineStr"/>
      <c r="Z743" s="18">
        <f>IF(Y743="",X743,Y743)</f>
        <v/>
      </c>
      <c r="AA743" s="18" t="inlineStr">
        <is>
          <t>submerged</t>
        </is>
      </c>
      <c r="AB743" s="18" t="inlineStr"/>
      <c r="AC743" s="18" t="inlineStr"/>
      <c r="AD743" s="18" t="inlineStr"/>
      <c r="AE743" s="18" t="inlineStr">
        <is>
          <t>sky 0-7</t>
        </is>
      </c>
      <c r="AF743" s="18" t="inlineStr"/>
      <c r="AG743" s="18" t="inlineStr"/>
      <c r="AH743" s="18" t="inlineStr"/>
      <c r="AI743" s="18" t="inlineStr"/>
      <c r="AJ743" s="18" t="inlineStr">
        <is>
          <t>Cobblemon 동일</t>
        </is>
      </c>
      <c r="AK743" s="18" t="inlineStr">
        <is>
          <t>사용</t>
        </is>
      </c>
      <c r="AL743" s="18" t="inlineStr">
        <is>
          <t>COBBLEVERSE 1.7.42 / DP v31</t>
        </is>
      </c>
      <c r="AM743" s="18" t="inlineStr">
        <is>
          <t>data/cobblemon/spawn_pool_world/0194_wooper.json</t>
        </is>
      </c>
      <c r="AN743" s="18" t="inlineStr">
        <is>
          <t>wooper-2</t>
        </is>
      </c>
      <c r="AO743" s="18" t="inlineStr">
        <is>
          <t>pokemon</t>
        </is>
      </c>
      <c r="AP743" s="18" t="inlineStr">
        <is>
          <t>water</t>
        </is>
      </c>
      <c r="AQ743" s="18" t="inlineStr">
        <is>
          <t>{"biomes":["#cobblemon:is_lush"],"maxSkyLight":7,"minSkyLight":0}</t>
        </is>
      </c>
      <c r="AR743" s="18" t="inlineStr">
        <is>
          <t>{"maxY":9,"minY":-41,"structures":["cobblemon:shipwreck_coves/lush_shipwreck_cove"]}</t>
        </is>
      </c>
      <c r="AS743" s="18" t="inlineStr"/>
      <c r="AT743" s="19" t="inlineStr"/>
    </row>
    <row r="744" ht="32" customHeight="1">
      <c r="A744" s="18" t="inlineStr">
        <is>
          <t>0194_wooper.json::wooper-3::003</t>
        </is>
      </c>
      <c r="B744" s="19" t="inlineStr">
        <is>
          <t>사용</t>
        </is>
      </c>
      <c r="C744" s="18">
        <f>IF(OR(B744&lt;&gt;AK744,M744&lt;&gt;L744,O744&lt;&gt;"",Q744&lt;&gt;"",V744&lt;&gt;1,Y744&lt;&gt;"",AT744&lt;&gt;""),"수정","원본")</f>
        <v/>
      </c>
      <c r="D744" s="18" t="n">
        <v>194</v>
      </c>
      <c r="E744" s="18" t="inlineStr">
        <is>
          <t>우파</t>
        </is>
      </c>
      <c r="F744" s="18" t="inlineStr">
        <is>
          <t>wooper</t>
        </is>
      </c>
      <c r="G744" s="18" t="inlineStr">
        <is>
          <t>wooper</t>
        </is>
      </c>
      <c r="H744" s="18" t="inlineStr"/>
      <c r="I744" s="18" t="n">
        <v>2</v>
      </c>
      <c r="J744" s="18" t="n"/>
      <c r="K744" s="18" t="n">
        <v>2</v>
      </c>
      <c r="L744" s="18" t="inlineStr">
        <is>
          <t>cobbleventure:generation_2</t>
        </is>
      </c>
      <c r="M744" s="19" t="inlineStr">
        <is>
          <t>cobbleventure:generation_2</t>
        </is>
      </c>
      <c r="N744" s="18" t="inlineStr">
        <is>
          <t>region_01; region_02</t>
        </is>
      </c>
      <c r="O744" s="19" t="inlineStr"/>
      <c r="P744" s="18" t="inlineStr">
        <is>
          <t>#cobblemon:is_overworld</t>
        </is>
      </c>
      <c r="Q744" s="19" t="inlineStr"/>
      <c r="R744" s="18">
        <f>IF(Q744="",P744,Q744)</f>
        <v/>
      </c>
      <c r="S744" s="18" t="inlineStr">
        <is>
          <t>#cobblemon:is_lush</t>
        </is>
      </c>
      <c r="T744" s="18" t="inlineStr">
        <is>
          <t>uncommon</t>
        </is>
      </c>
      <c r="U744" s="20" t="n">
        <v>8.4</v>
      </c>
      <c r="V744" s="21" t="n">
        <v>1</v>
      </c>
      <c r="W744" s="20">
        <f>IF(OR(U744="",V744=""),U744,U744*V744)</f>
        <v/>
      </c>
      <c r="X744" s="18" t="inlineStr">
        <is>
          <t>1-21</t>
        </is>
      </c>
      <c r="Y744" s="19" t="inlineStr"/>
      <c r="Z744" s="18">
        <f>IF(Y744="",X744,Y744)</f>
        <v/>
      </c>
      <c r="AA744" s="18" t="inlineStr">
        <is>
          <t>grounded</t>
        </is>
      </c>
      <c r="AB744" s="18" t="inlineStr"/>
      <c r="AC744" s="18" t="inlineStr"/>
      <c r="AD744" s="18" t="inlineStr">
        <is>
          <t>maxY=62</t>
        </is>
      </c>
      <c r="AE744" s="18" t="inlineStr">
        <is>
          <t>sky 0-7</t>
        </is>
      </c>
      <c r="AF744" s="18" t="inlineStr"/>
      <c r="AG744" s="18" t="inlineStr"/>
      <c r="AH744" s="18" t="inlineStr">
        <is>
          <t>주변=minecraft:water</t>
        </is>
      </c>
      <c r="AI744" s="18" t="inlineStr"/>
      <c r="AJ744" s="18" t="inlineStr">
        <is>
          <t>Cobblemon 동일</t>
        </is>
      </c>
      <c r="AK744" s="18" t="inlineStr">
        <is>
          <t>사용</t>
        </is>
      </c>
      <c r="AL744" s="18" t="inlineStr">
        <is>
          <t>COBBLEVERSE 1.7.42 / DP v31</t>
        </is>
      </c>
      <c r="AM744" s="18" t="inlineStr">
        <is>
          <t>data/cobblemon/spawn_pool_world/0194_wooper.json</t>
        </is>
      </c>
      <c r="AN744" s="18" t="inlineStr">
        <is>
          <t>wooper-3</t>
        </is>
      </c>
      <c r="AO744" s="18" t="inlineStr">
        <is>
          <t>pokemon</t>
        </is>
      </c>
      <c r="AP744" s="18" t="inlineStr">
        <is>
          <t>natural</t>
        </is>
      </c>
      <c r="AQ744" s="18" t="inlineStr">
        <is>
          <t>{"biomes":["#cobblemon:is_overworld"],"maxSkyLight":7,"maxY":62,"minSkyLight":0,"neededNearbyBlocks":["minecraft:water"]}</t>
        </is>
      </c>
      <c r="AR744" s="18" t="inlineStr">
        <is>
          <t>{"biomes":["#cobblemon:is_lush"]}</t>
        </is>
      </c>
      <c r="AS744" s="18" t="inlineStr"/>
      <c r="AT744" s="19" t="inlineStr"/>
    </row>
    <row r="745" ht="32" customHeight="1">
      <c r="A745" s="18" t="inlineStr">
        <is>
          <t>0194_wooper.json::wooper-4::004</t>
        </is>
      </c>
      <c r="B745" s="19" t="inlineStr">
        <is>
          <t>사용</t>
        </is>
      </c>
      <c r="C745" s="18">
        <f>IF(OR(B745&lt;&gt;AK745,M745&lt;&gt;L745,O745&lt;&gt;"",Q745&lt;&gt;"",V745&lt;&gt;1,Y745&lt;&gt;"",AT745&lt;&gt;""),"수정","원본")</f>
        <v/>
      </c>
      <c r="D745" s="18" t="n">
        <v>194</v>
      </c>
      <c r="E745" s="18" t="inlineStr">
        <is>
          <t>우파</t>
        </is>
      </c>
      <c r="F745" s="18" t="inlineStr">
        <is>
          <t>wooper</t>
        </is>
      </c>
      <c r="G745" s="18" t="inlineStr">
        <is>
          <t>wooper</t>
        </is>
      </c>
      <c r="H745" s="18" t="inlineStr"/>
      <c r="I745" s="18" t="n">
        <v>2</v>
      </c>
      <c r="J745" s="18" t="n"/>
      <c r="K745" s="18" t="n">
        <v>2</v>
      </c>
      <c r="L745" s="18" t="inlineStr">
        <is>
          <t>cobbleventure:generation_2</t>
        </is>
      </c>
      <c r="M745" s="19" t="inlineStr">
        <is>
          <t>cobbleventure:generation_2</t>
        </is>
      </c>
      <c r="N745" s="18" t="inlineStr">
        <is>
          <t>region_01; region_02</t>
        </is>
      </c>
      <c r="O745" s="19" t="inlineStr"/>
      <c r="P745" s="18" t="inlineStr">
        <is>
          <t>#cobblemon:is_overworld</t>
        </is>
      </c>
      <c r="Q745" s="19" t="inlineStr"/>
      <c r="R745" s="18">
        <f>IF(Q745="",P745,Q745)</f>
        <v/>
      </c>
      <c r="S745" s="18" t="inlineStr">
        <is>
          <t>#cobblemon:is_lush</t>
        </is>
      </c>
      <c r="T745" s="18" t="inlineStr">
        <is>
          <t>uncommon</t>
        </is>
      </c>
      <c r="U745" s="20" t="n">
        <v>8.4</v>
      </c>
      <c r="V745" s="21" t="n">
        <v>1</v>
      </c>
      <c r="W745" s="20">
        <f>IF(OR(U745="",V745=""),U745,U745*V745)</f>
        <v/>
      </c>
      <c r="X745" s="18" t="inlineStr">
        <is>
          <t>1-21</t>
        </is>
      </c>
      <c r="Y745" s="19" t="inlineStr"/>
      <c r="Z745" s="18">
        <f>IF(Y745="",X745,Y745)</f>
        <v/>
      </c>
      <c r="AA745" s="18" t="inlineStr">
        <is>
          <t>submerged</t>
        </is>
      </c>
      <c r="AB745" s="18" t="inlineStr"/>
      <c r="AC745" s="18" t="inlineStr"/>
      <c r="AD745" s="18" t="inlineStr">
        <is>
          <t>maxY=62</t>
        </is>
      </c>
      <c r="AE745" s="18" t="inlineStr">
        <is>
          <t>sky 0-7</t>
        </is>
      </c>
      <c r="AF745" s="18" t="inlineStr"/>
      <c r="AG745" s="18" t="inlineStr"/>
      <c r="AH745" s="18" t="inlineStr"/>
      <c r="AI745" s="18" t="inlineStr"/>
      <c r="AJ745" s="18" t="inlineStr">
        <is>
          <t>Cobblemon 동일</t>
        </is>
      </c>
      <c r="AK745" s="18" t="inlineStr">
        <is>
          <t>사용</t>
        </is>
      </c>
      <c r="AL745" s="18" t="inlineStr">
        <is>
          <t>COBBLEVERSE 1.7.42 / DP v31</t>
        </is>
      </c>
      <c r="AM745" s="18" t="inlineStr">
        <is>
          <t>data/cobblemon/spawn_pool_world/0194_wooper.json</t>
        </is>
      </c>
      <c r="AN745" s="18" t="inlineStr">
        <is>
          <t>wooper-4</t>
        </is>
      </c>
      <c r="AO745" s="18" t="inlineStr">
        <is>
          <t>pokemon</t>
        </is>
      </c>
      <c r="AP745" s="18" t="inlineStr">
        <is>
          <t>water</t>
        </is>
      </c>
      <c r="AQ745" s="18" t="inlineStr">
        <is>
          <t>{"biomes":["#cobblemon:is_overworld"],"maxSkyLight":7,"maxY":62,"minSkyLight":0}</t>
        </is>
      </c>
      <c r="AR745" s="18" t="inlineStr">
        <is>
          <t>{"biomes":["#cobblemon:is_lush"]}</t>
        </is>
      </c>
      <c r="AS745" s="18" t="inlineStr"/>
      <c r="AT745" s="19" t="inlineStr"/>
    </row>
    <row r="746" ht="32" customHeight="1">
      <c r="A746" s="18" t="inlineStr">
        <is>
          <t>0194_wooper.json::wooper-5::005</t>
        </is>
      </c>
      <c r="B746" s="19" t="inlineStr">
        <is>
          <t>사용</t>
        </is>
      </c>
      <c r="C746" s="18">
        <f>IF(OR(B746&lt;&gt;AK746,M746&lt;&gt;L746,O746&lt;&gt;"",Q746&lt;&gt;"",V746&lt;&gt;1,Y746&lt;&gt;"",AT746&lt;&gt;""),"수정","원본")</f>
        <v/>
      </c>
      <c r="D746" s="18" t="n">
        <v>194</v>
      </c>
      <c r="E746" s="18" t="inlineStr">
        <is>
          <t>우파</t>
        </is>
      </c>
      <c r="F746" s="18" t="inlineStr">
        <is>
          <t>wooper</t>
        </is>
      </c>
      <c r="G746" s="18" t="inlineStr">
        <is>
          <t>wooper</t>
        </is>
      </c>
      <c r="H746" s="18" t="inlineStr"/>
      <c r="I746" s="18" t="n">
        <v>2</v>
      </c>
      <c r="J746" s="18" t="n"/>
      <c r="K746" s="18" t="n">
        <v>2</v>
      </c>
      <c r="L746" s="18" t="inlineStr">
        <is>
          <t>cobbleventure:generation_2</t>
        </is>
      </c>
      <c r="M746" s="19" t="inlineStr">
        <is>
          <t>cobbleventure:generation_2</t>
        </is>
      </c>
      <c r="N746" s="18" t="inlineStr">
        <is>
          <t>region_02</t>
        </is>
      </c>
      <c r="O746" s="19" t="inlineStr"/>
      <c r="P746" s="18" t="inlineStr">
        <is>
          <t>#cobblemon:is_swamp</t>
        </is>
      </c>
      <c r="Q746" s="19" t="inlineStr"/>
      <c r="R746" s="18">
        <f>IF(Q746="",P746,Q746)</f>
        <v/>
      </c>
      <c r="S746" s="18" t="inlineStr">
        <is>
          <t>#cobblemon:has_block/mud</t>
        </is>
      </c>
      <c r="T746" s="18" t="inlineStr">
        <is>
          <t>common</t>
        </is>
      </c>
      <c r="U746" s="20" t="n">
        <v>1.8</v>
      </c>
      <c r="V746" s="21" t="n">
        <v>1</v>
      </c>
      <c r="W746" s="20">
        <f>IF(OR(U746="",V746=""),U746,U746*V746)</f>
        <v/>
      </c>
      <c r="X746" s="18" t="inlineStr">
        <is>
          <t>1-21</t>
        </is>
      </c>
      <c r="Y746" s="19" t="inlineStr"/>
      <c r="Z746" s="18">
        <f>IF(Y746="",X746,Y746)</f>
        <v/>
      </c>
      <c r="AA746" s="18" t="inlineStr">
        <is>
          <t>grounded</t>
        </is>
      </c>
      <c r="AB746" s="18" t="inlineStr"/>
      <c r="AC746" s="18" t="inlineStr">
        <is>
          <t>비=True</t>
        </is>
      </c>
      <c r="AD746" s="18" t="inlineStr"/>
      <c r="AE746" s="18" t="inlineStr">
        <is>
          <t>sky 8-15</t>
        </is>
      </c>
      <c r="AF746" s="18" t="inlineStr"/>
      <c r="AG746" s="18" t="inlineStr"/>
      <c r="AH746" s="18" t="inlineStr"/>
      <c r="AI746" s="18" t="inlineStr"/>
      <c r="AJ746" s="18" t="inlineStr">
        <is>
          <t>Cobblemon 동일</t>
        </is>
      </c>
      <c r="AK746" s="18" t="inlineStr">
        <is>
          <t>사용</t>
        </is>
      </c>
      <c r="AL746" s="18" t="inlineStr">
        <is>
          <t>COBBLEVERSE 1.7.42 / DP v31</t>
        </is>
      </c>
      <c r="AM746" s="18" t="inlineStr">
        <is>
          <t>data/cobblemon/spawn_pool_world/0194_wooper.json</t>
        </is>
      </c>
      <c r="AN746" s="18" t="inlineStr">
        <is>
          <t>wooper-5</t>
        </is>
      </c>
      <c r="AO746" s="18" t="inlineStr">
        <is>
          <t>pokemon</t>
        </is>
      </c>
      <c r="AP746" s="18" t="inlineStr">
        <is>
          <t>natural</t>
        </is>
      </c>
      <c r="AQ746" s="18" t="inlineStr">
        <is>
          <t>{"biomes":["#cobblemon:is_swamp"],"isRaining":true,"maxSkyLight":15,"minSkyLight":8}</t>
        </is>
      </c>
      <c r="AR746" s="18" t="inlineStr">
        <is>
          <t>{"biomes":["#cobblemon:has_block/mud"]}</t>
        </is>
      </c>
      <c r="AS746" s="18" t="inlineStr"/>
      <c r="AT746" s="19" t="inlineStr"/>
    </row>
    <row r="747" ht="32" customHeight="1">
      <c r="A747" s="18" t="inlineStr">
        <is>
          <t>0194_wooper.json::wooper-6::006</t>
        </is>
      </c>
      <c r="B747" s="19" t="inlineStr">
        <is>
          <t>사용</t>
        </is>
      </c>
      <c r="C747" s="18">
        <f>IF(OR(B747&lt;&gt;AK747,M747&lt;&gt;L747,O747&lt;&gt;"",Q747&lt;&gt;"",V747&lt;&gt;1,Y747&lt;&gt;"",AT747&lt;&gt;""),"수정","원본")</f>
        <v/>
      </c>
      <c r="D747" s="18" t="n">
        <v>194</v>
      </c>
      <c r="E747" s="18" t="inlineStr">
        <is>
          <t>우파</t>
        </is>
      </c>
      <c r="F747" s="18" t="inlineStr">
        <is>
          <t>wooper</t>
        </is>
      </c>
      <c r="G747" s="18" t="inlineStr">
        <is>
          <t>wooper</t>
        </is>
      </c>
      <c r="H747" s="18" t="inlineStr"/>
      <c r="I747" s="18" t="n">
        <v>2</v>
      </c>
      <c r="J747" s="18" t="n"/>
      <c r="K747" s="18" t="n">
        <v>2</v>
      </c>
      <c r="L747" s="18" t="inlineStr">
        <is>
          <t>cobbleventure:generation_2</t>
        </is>
      </c>
      <c r="M747" s="19" t="inlineStr">
        <is>
          <t>cobbleventure:generation_2</t>
        </is>
      </c>
      <c r="N747" s="18" t="inlineStr">
        <is>
          <t>region_02</t>
        </is>
      </c>
      <c r="O747" s="19" t="inlineStr"/>
      <c r="P747" s="18" t="inlineStr">
        <is>
          <t>#cobblemon:is_swamp</t>
        </is>
      </c>
      <c r="Q747" s="19" t="inlineStr"/>
      <c r="R747" s="18">
        <f>IF(Q747="",P747,Q747)</f>
        <v/>
      </c>
      <c r="S747" s="18" t="inlineStr">
        <is>
          <t>#cobblemon:has_block/mud</t>
        </is>
      </c>
      <c r="T747" s="18" t="inlineStr">
        <is>
          <t>common</t>
        </is>
      </c>
      <c r="U747" s="20" t="n">
        <v>1.8</v>
      </c>
      <c r="V747" s="21" t="n">
        <v>1</v>
      </c>
      <c r="W747" s="20">
        <f>IF(OR(U747="",V747=""),U747,U747*V747)</f>
        <v/>
      </c>
      <c r="X747" s="18" t="inlineStr">
        <is>
          <t>1-21</t>
        </is>
      </c>
      <c r="Y747" s="19" t="inlineStr"/>
      <c r="Z747" s="18">
        <f>IF(Y747="",X747,Y747)</f>
        <v/>
      </c>
      <c r="AA747" s="18" t="inlineStr">
        <is>
          <t>submerged</t>
        </is>
      </c>
      <c r="AB747" s="18" t="inlineStr"/>
      <c r="AC747" s="18" t="inlineStr"/>
      <c r="AD747" s="18" t="inlineStr"/>
      <c r="AE747" s="18" t="inlineStr"/>
      <c r="AF747" s="18" t="inlineStr">
        <is>
          <t>True</t>
        </is>
      </c>
      <c r="AG747" s="18" t="inlineStr"/>
      <c r="AH747" s="18" t="inlineStr"/>
      <c r="AI747" s="18" t="inlineStr"/>
      <c r="AJ747" s="18" t="inlineStr">
        <is>
          <t>Cobblemon 동일</t>
        </is>
      </c>
      <c r="AK747" s="18" t="inlineStr">
        <is>
          <t>사용</t>
        </is>
      </c>
      <c r="AL747" s="18" t="inlineStr">
        <is>
          <t>COBBLEVERSE 1.7.42 / DP v31</t>
        </is>
      </c>
      <c r="AM747" s="18" t="inlineStr">
        <is>
          <t>data/cobblemon/spawn_pool_world/0194_wooper.json</t>
        </is>
      </c>
      <c r="AN747" s="18" t="inlineStr">
        <is>
          <t>wooper-6</t>
        </is>
      </c>
      <c r="AO747" s="18" t="inlineStr">
        <is>
          <t>pokemon</t>
        </is>
      </c>
      <c r="AP747" s="18" t="inlineStr">
        <is>
          <t>water</t>
        </is>
      </c>
      <c r="AQ747" s="18" t="inlineStr">
        <is>
          <t>{"biomes":["#cobblemon:is_swamp"],"canSeeSky":true}</t>
        </is>
      </c>
      <c r="AR747" s="18" t="inlineStr">
        <is>
          <t>{"biomes":["#cobblemon:has_block/mud"]}</t>
        </is>
      </c>
      <c r="AS747" s="18" t="inlineStr"/>
      <c r="AT747" s="19" t="inlineStr"/>
    </row>
    <row r="748" ht="32" customHeight="1">
      <c r="A748" s="18" t="inlineStr">
        <is>
          <t>0194_wooper.json::wooper-7::007</t>
        </is>
      </c>
      <c r="B748" s="19" t="inlineStr">
        <is>
          <t>사용</t>
        </is>
      </c>
      <c r="C748" s="18">
        <f>IF(OR(B748&lt;&gt;AK748,M748&lt;&gt;L748,O748&lt;&gt;"",Q748&lt;&gt;"",V748&lt;&gt;1,Y748&lt;&gt;"",AT748&lt;&gt;""),"수정","원본")</f>
        <v/>
      </c>
      <c r="D748" s="18" t="n">
        <v>194</v>
      </c>
      <c r="E748" s="18" t="inlineStr">
        <is>
          <t>우파</t>
        </is>
      </c>
      <c r="F748" s="18" t="inlineStr">
        <is>
          <t>wooper</t>
        </is>
      </c>
      <c r="G748" s="18" t="inlineStr">
        <is>
          <t>wooper</t>
        </is>
      </c>
      <c r="H748" s="18" t="inlineStr"/>
      <c r="I748" s="18" t="n">
        <v>2</v>
      </c>
      <c r="J748" s="18" t="n"/>
      <c r="K748" s="18" t="n">
        <v>2</v>
      </c>
      <c r="L748" s="18" t="inlineStr">
        <is>
          <t>cobbleventure:generation_2</t>
        </is>
      </c>
      <c r="M748" s="19" t="inlineStr">
        <is>
          <t>cobbleventure:generation_2</t>
        </is>
      </c>
      <c r="N748" s="18" t="inlineStr">
        <is>
          <t>region_02</t>
        </is>
      </c>
      <c r="O748" s="19" t="inlineStr"/>
      <c r="P748" s="18" t="inlineStr">
        <is>
          <t>#cobblemon:is_swamp</t>
        </is>
      </c>
      <c r="Q748" s="19" t="inlineStr"/>
      <c r="R748" s="18">
        <f>IF(Q748="",P748,Q748)</f>
        <v/>
      </c>
      <c r="S748" s="18" t="inlineStr">
        <is>
          <t>#cobblemon:has_block/mud</t>
        </is>
      </c>
      <c r="T748" s="18" t="inlineStr">
        <is>
          <t>common</t>
        </is>
      </c>
      <c r="U748" s="20" t="n">
        <v>1.8</v>
      </c>
      <c r="V748" s="21" t="n">
        <v>1</v>
      </c>
      <c r="W748" s="20">
        <f>IF(OR(U748="",V748=""),U748,U748*V748)</f>
        <v/>
      </c>
      <c r="X748" s="18" t="inlineStr">
        <is>
          <t>1-21</t>
        </is>
      </c>
      <c r="Y748" s="19" t="inlineStr"/>
      <c r="Z748" s="18">
        <f>IF(Y748="",X748,Y748)</f>
        <v/>
      </c>
      <c r="AA748" s="18" t="inlineStr">
        <is>
          <t>submerged</t>
        </is>
      </c>
      <c r="AB748" s="18" t="inlineStr"/>
      <c r="AC748" s="18" t="inlineStr"/>
      <c r="AD748" s="18" t="inlineStr"/>
      <c r="AE748" s="18" t="inlineStr">
        <is>
          <t>sky 8-15</t>
        </is>
      </c>
      <c r="AF748" s="18" t="inlineStr">
        <is>
          <t>False</t>
        </is>
      </c>
      <c r="AG748" s="18" t="inlineStr"/>
      <c r="AH748" s="18" t="inlineStr"/>
      <c r="AI748" s="18" t="inlineStr"/>
      <c r="AJ748" s="18" t="inlineStr">
        <is>
          <t>Cobblemon 동일</t>
        </is>
      </c>
      <c r="AK748" s="18" t="inlineStr">
        <is>
          <t>사용</t>
        </is>
      </c>
      <c r="AL748" s="18" t="inlineStr">
        <is>
          <t>COBBLEVERSE 1.7.42 / DP v31</t>
        </is>
      </c>
      <c r="AM748" s="18" t="inlineStr">
        <is>
          <t>data/cobblemon/spawn_pool_world/0194_wooper.json</t>
        </is>
      </c>
      <c r="AN748" s="18" t="inlineStr">
        <is>
          <t>wooper-7</t>
        </is>
      </c>
      <c r="AO748" s="18" t="inlineStr">
        <is>
          <t>pokemon</t>
        </is>
      </c>
      <c r="AP748" s="18" t="inlineStr">
        <is>
          <t>water</t>
        </is>
      </c>
      <c r="AQ748" s="18" t="inlineStr">
        <is>
          <t>{"biomes":["#cobblemon:is_swamp"],"canSeeSky":false,"maxSkyLight":15,"minSkyLight":8}</t>
        </is>
      </c>
      <c r="AR748" s="18" t="inlineStr">
        <is>
          <t>{"biomes":["#cobblemon:has_block/mud"]}</t>
        </is>
      </c>
      <c r="AS748" s="18" t="inlineStr"/>
      <c r="AT748" s="19" t="inlineStr"/>
    </row>
    <row r="749" ht="32" customHeight="1">
      <c r="A749" s="18" t="inlineStr">
        <is>
          <t>0194_wooper.json::wooper-8::008</t>
        </is>
      </c>
      <c r="B749" s="19" t="inlineStr">
        <is>
          <t>사용</t>
        </is>
      </c>
      <c r="C749" s="18">
        <f>IF(OR(B749&lt;&gt;AK749,M749&lt;&gt;L749,O749&lt;&gt;"",Q749&lt;&gt;"",V749&lt;&gt;1,Y749&lt;&gt;"",AT749&lt;&gt;""),"수정","원본")</f>
        <v/>
      </c>
      <c r="D749" s="18" t="n">
        <v>194</v>
      </c>
      <c r="E749" s="18" t="inlineStr">
        <is>
          <t>우파</t>
        </is>
      </c>
      <c r="F749" s="18" t="inlineStr">
        <is>
          <t>wooper</t>
        </is>
      </c>
      <c r="G749" s="18" t="inlineStr">
        <is>
          <t>wooper</t>
        </is>
      </c>
      <c r="H749" s="18" t="inlineStr"/>
      <c r="I749" s="18" t="n">
        <v>2</v>
      </c>
      <c r="J749" s="18" t="n"/>
      <c r="K749" s="18" t="n">
        <v>2</v>
      </c>
      <c r="L749" s="18" t="inlineStr">
        <is>
          <t>cobbleventure:generation_2</t>
        </is>
      </c>
      <c r="M749" s="19" t="inlineStr">
        <is>
          <t>cobbleventure:generation_2</t>
        </is>
      </c>
      <c r="N749" s="18" t="inlineStr">
        <is>
          <t>region_01; region_02</t>
        </is>
      </c>
      <c r="O749" s="19" t="inlineStr"/>
      <c r="P749" s="18" t="inlineStr">
        <is>
          <t>#aether:is_aether; #cobblemon:is_overworld</t>
        </is>
      </c>
      <c r="Q749" s="19" t="inlineStr"/>
      <c r="R749" s="18">
        <f>IF(Q749="",P749,Q749)</f>
        <v/>
      </c>
      <c r="S749" s="18" t="inlineStr"/>
      <c r="T749" s="18" t="inlineStr">
        <is>
          <t>common</t>
        </is>
      </c>
      <c r="U749" s="20" t="n">
        <v>9</v>
      </c>
      <c r="V749" s="21" t="n">
        <v>1</v>
      </c>
      <c r="W749" s="20">
        <f>IF(OR(U749="",V749=""),U749,U749*V749)</f>
        <v/>
      </c>
      <c r="X749" s="18" t="inlineStr">
        <is>
          <t>1-21</t>
        </is>
      </c>
      <c r="Y749" s="19" t="inlineStr"/>
      <c r="Z749" s="18">
        <f>IF(Y749="",X749,Y749)</f>
        <v/>
      </c>
      <c r="AA749" s="18" t="inlineStr">
        <is>
          <t>fishing</t>
        </is>
      </c>
      <c r="AB749" s="18" t="inlineStr"/>
      <c r="AC749" s="18" t="inlineStr"/>
      <c r="AD749" s="18" t="inlineStr"/>
      <c r="AE749" s="18" t="inlineStr">
        <is>
          <t>sky 0-7</t>
        </is>
      </c>
      <c r="AF749" s="18" t="inlineStr"/>
      <c r="AG749" s="18" t="inlineStr"/>
      <c r="AH749" s="18" t="inlineStr"/>
      <c r="AI749" s="18" t="inlineStr"/>
      <c r="AJ749" s="18" t="inlineStr">
        <is>
          <t>Cobblemon 동일</t>
        </is>
      </c>
      <c r="AK749" s="18" t="inlineStr">
        <is>
          <t>사용</t>
        </is>
      </c>
      <c r="AL749" s="18" t="inlineStr">
        <is>
          <t>COBBLEVERSE 1.7.42 / DP v31</t>
        </is>
      </c>
      <c r="AM749" s="18" t="inlineStr">
        <is>
          <t>data/cobblemon/spawn_pool_world/0194_wooper.json</t>
        </is>
      </c>
      <c r="AN749" s="18" t="inlineStr">
        <is>
          <t>wooper-8</t>
        </is>
      </c>
      <c r="AO749" s="18" t="inlineStr">
        <is>
          <t>pokemon</t>
        </is>
      </c>
      <c r="AP749" s="18" t="inlineStr"/>
      <c r="AQ749" s="18" t="inlineStr">
        <is>
          <t>{"biomes":["#aether:is_aether","#cobblemon:is_overworld"],"maxSkyLight":7,"minSkyLight":0}</t>
        </is>
      </c>
      <c r="AR749" s="18" t="inlineStr"/>
      <c r="AS749" s="18" t="inlineStr"/>
      <c r="AT749" s="19" t="inlineStr"/>
    </row>
    <row r="750" ht="32" customHeight="1">
      <c r="A750" s="18" t="inlineStr">
        <is>
          <t>0194_wooper.json::wooper-9::009</t>
        </is>
      </c>
      <c r="B750" s="19" t="inlineStr">
        <is>
          <t>사용</t>
        </is>
      </c>
      <c r="C750" s="18">
        <f>IF(OR(B750&lt;&gt;AK750,M750&lt;&gt;L750,O750&lt;&gt;"",Q750&lt;&gt;"",V750&lt;&gt;1,Y750&lt;&gt;"",AT750&lt;&gt;""),"수정","원본")</f>
        <v/>
      </c>
      <c r="D750" s="18" t="n">
        <v>194</v>
      </c>
      <c r="E750" s="18" t="inlineStr">
        <is>
          <t>우파</t>
        </is>
      </c>
      <c r="F750" s="18" t="inlineStr">
        <is>
          <t>wooper</t>
        </is>
      </c>
      <c r="G750" s="18" t="inlineStr">
        <is>
          <t>wooper</t>
        </is>
      </c>
      <c r="H750" s="18" t="inlineStr"/>
      <c r="I750" s="18" t="n">
        <v>2</v>
      </c>
      <c r="J750" s="18" t="n"/>
      <c r="K750" s="18" t="n">
        <v>2</v>
      </c>
      <c r="L750" s="18" t="inlineStr">
        <is>
          <t>cobbleventure:generation_2</t>
        </is>
      </c>
      <c r="M750" s="19" t="inlineStr">
        <is>
          <t>cobbleventure:generation_2</t>
        </is>
      </c>
      <c r="N750" s="18" t="inlineStr">
        <is>
          <t>region_02</t>
        </is>
      </c>
      <c r="O750" s="19" t="inlineStr"/>
      <c r="P750" s="18" t="inlineStr">
        <is>
          <t>#cobblemon:is_mushroom; #cobblemon:is_swamp</t>
        </is>
      </c>
      <c r="Q750" s="19" t="inlineStr"/>
      <c r="R750" s="18">
        <f>IF(Q750="",P750,Q750)</f>
        <v/>
      </c>
      <c r="S750" s="18" t="inlineStr">
        <is>
          <t>#cobblemon:has_block/mud</t>
        </is>
      </c>
      <c r="T750" s="18" t="inlineStr">
        <is>
          <t>common</t>
        </is>
      </c>
      <c r="U750" s="20" t="n">
        <v>1.8</v>
      </c>
      <c r="V750" s="21" t="n">
        <v>1</v>
      </c>
      <c r="W750" s="20">
        <f>IF(OR(U750="",V750=""),U750,U750*V750)</f>
        <v/>
      </c>
      <c r="X750" s="18" t="inlineStr">
        <is>
          <t>1-21</t>
        </is>
      </c>
      <c r="Y750" s="19" t="inlineStr"/>
      <c r="Z750" s="18">
        <f>IF(Y750="",X750,Y750)</f>
        <v/>
      </c>
      <c r="AA750" s="18" t="inlineStr">
        <is>
          <t>fishing</t>
        </is>
      </c>
      <c r="AB750" s="18" t="inlineStr"/>
      <c r="AC750" s="18" t="inlineStr"/>
      <c r="AD750" s="18" t="inlineStr"/>
      <c r="AE750" s="18" t="inlineStr"/>
      <c r="AF750" s="18" t="inlineStr">
        <is>
          <t>True</t>
        </is>
      </c>
      <c r="AG750" s="18" t="inlineStr"/>
      <c r="AH750" s="18" t="inlineStr"/>
      <c r="AI750" s="18" t="inlineStr"/>
      <c r="AJ750" s="18" t="inlineStr">
        <is>
          <t>Cobblemon 동일</t>
        </is>
      </c>
      <c r="AK750" s="18" t="inlineStr">
        <is>
          <t>사용</t>
        </is>
      </c>
      <c r="AL750" s="18" t="inlineStr">
        <is>
          <t>COBBLEVERSE 1.7.42 / DP v31</t>
        </is>
      </c>
      <c r="AM750" s="18" t="inlineStr">
        <is>
          <t>data/cobblemon/spawn_pool_world/0194_wooper.json</t>
        </is>
      </c>
      <c r="AN750" s="18" t="inlineStr">
        <is>
          <t>wooper-9</t>
        </is>
      </c>
      <c r="AO750" s="18" t="inlineStr">
        <is>
          <t>pokemon</t>
        </is>
      </c>
      <c r="AP750" s="18" t="inlineStr"/>
      <c r="AQ750" s="18" t="inlineStr">
        <is>
          <t>{"biomes":["#cobblemon:is_mushroom","#cobblemon:is_swamp"],"canSeeSky":true}</t>
        </is>
      </c>
      <c r="AR750" s="18" t="inlineStr">
        <is>
          <t>{"biomes":["#cobblemon:has_block/mud"]}</t>
        </is>
      </c>
      <c r="AS750" s="18" t="inlineStr">
        <is>
          <t>{"weightMultipliers":[{"condition":{"maxLureLevel":2,"minLureLevel":2},"multiplier":3.0},{"condition":{"minLureLevel":3},"multiplier":5.0}]}</t>
        </is>
      </c>
      <c r="AT750" s="19" t="inlineStr"/>
    </row>
    <row r="751" ht="32" customHeight="1">
      <c r="A751" s="18" t="inlineStr">
        <is>
          <t>0194_wooper.json::wooper-10::010</t>
        </is>
      </c>
      <c r="B751" s="19" t="inlineStr">
        <is>
          <t>사용</t>
        </is>
      </c>
      <c r="C751" s="18">
        <f>IF(OR(B751&lt;&gt;AK751,M751&lt;&gt;L751,O751&lt;&gt;"",Q751&lt;&gt;"",V751&lt;&gt;1,Y751&lt;&gt;"",AT751&lt;&gt;""),"수정","원본")</f>
        <v/>
      </c>
      <c r="D751" s="18" t="n">
        <v>194</v>
      </c>
      <c r="E751" s="18" t="inlineStr">
        <is>
          <t>우파</t>
        </is>
      </c>
      <c r="F751" s="18" t="inlineStr">
        <is>
          <t>wooper</t>
        </is>
      </c>
      <c r="G751" s="18" t="inlineStr">
        <is>
          <t>wooper</t>
        </is>
      </c>
      <c r="H751" s="18" t="inlineStr"/>
      <c r="I751" s="18" t="n">
        <v>2</v>
      </c>
      <c r="J751" s="18" t="n"/>
      <c r="K751" s="18" t="n">
        <v>2</v>
      </c>
      <c r="L751" s="18" t="inlineStr">
        <is>
          <t>cobbleventure:generation_2</t>
        </is>
      </c>
      <c r="M751" s="19" t="inlineStr">
        <is>
          <t>cobbleventure:generation_2</t>
        </is>
      </c>
      <c r="N751" s="18" t="inlineStr">
        <is>
          <t>region_02</t>
        </is>
      </c>
      <c r="O751" s="19" t="inlineStr"/>
      <c r="P751" s="18" t="inlineStr">
        <is>
          <t>#cobblemon:is_mushroom; #cobblemon:is_swamp</t>
        </is>
      </c>
      <c r="Q751" s="19" t="inlineStr"/>
      <c r="R751" s="18">
        <f>IF(Q751="",P751,Q751)</f>
        <v/>
      </c>
      <c r="S751" s="18" t="inlineStr">
        <is>
          <t>#cobblemon:has_block/mud</t>
        </is>
      </c>
      <c r="T751" s="18" t="inlineStr">
        <is>
          <t>common</t>
        </is>
      </c>
      <c r="U751" s="20" t="n">
        <v>1.8</v>
      </c>
      <c r="V751" s="21" t="n">
        <v>1</v>
      </c>
      <c r="W751" s="20">
        <f>IF(OR(U751="",V751=""),U751,U751*V751)</f>
        <v/>
      </c>
      <c r="X751" s="18" t="inlineStr">
        <is>
          <t>1-21</t>
        </is>
      </c>
      <c r="Y751" s="19" t="inlineStr"/>
      <c r="Z751" s="18">
        <f>IF(Y751="",X751,Y751)</f>
        <v/>
      </c>
      <c r="AA751" s="18" t="inlineStr">
        <is>
          <t>fishing</t>
        </is>
      </c>
      <c r="AB751" s="18" t="inlineStr"/>
      <c r="AC751" s="18" t="inlineStr"/>
      <c r="AD751" s="18" t="inlineStr"/>
      <c r="AE751" s="18" t="inlineStr">
        <is>
          <t>sky 8-15</t>
        </is>
      </c>
      <c r="AF751" s="18" t="inlineStr">
        <is>
          <t>False</t>
        </is>
      </c>
      <c r="AG751" s="18" t="inlineStr"/>
      <c r="AH751" s="18" t="inlineStr"/>
      <c r="AI751" s="18" t="inlineStr"/>
      <c r="AJ751" s="18" t="inlineStr">
        <is>
          <t>Cobblemon 동일</t>
        </is>
      </c>
      <c r="AK751" s="18" t="inlineStr">
        <is>
          <t>사용</t>
        </is>
      </c>
      <c r="AL751" s="18" t="inlineStr">
        <is>
          <t>COBBLEVERSE 1.7.42 / DP v31</t>
        </is>
      </c>
      <c r="AM751" s="18" t="inlineStr">
        <is>
          <t>data/cobblemon/spawn_pool_world/0194_wooper.json</t>
        </is>
      </c>
      <c r="AN751" s="18" t="inlineStr">
        <is>
          <t>wooper-10</t>
        </is>
      </c>
      <c r="AO751" s="18" t="inlineStr">
        <is>
          <t>pokemon</t>
        </is>
      </c>
      <c r="AP751" s="18" t="inlineStr"/>
      <c r="AQ751" s="18" t="inlineStr">
        <is>
          <t>{"biomes":["#cobblemon:is_mushroom","#cobblemon:is_swamp"],"canSeeSky":false,"maxSkyLight":15,"minSkyLight":8}</t>
        </is>
      </c>
      <c r="AR751" s="18" t="inlineStr">
        <is>
          <t>{"biomes":["#cobblemon:has_block/mud"]}</t>
        </is>
      </c>
      <c r="AS751" s="18" t="inlineStr">
        <is>
          <t>{"weightMultipliers":[{"condition":{"maxLureLevel":2,"minLureLevel":2},"multiplier":3.0},{"condition":{"minLureLevel":3},"multiplier":5.0}]}</t>
        </is>
      </c>
      <c r="AT751" s="19" t="inlineStr"/>
    </row>
    <row r="752" ht="32" customHeight="1">
      <c r="A752" s="18" t="inlineStr">
        <is>
          <t>0194_wooper.json::wooper-11::011</t>
        </is>
      </c>
      <c r="B752" s="19" t="inlineStr">
        <is>
          <t>사용</t>
        </is>
      </c>
      <c r="C752" s="18">
        <f>IF(OR(B752&lt;&gt;AK752,M752&lt;&gt;L752,O752&lt;&gt;"",Q752&lt;&gt;"",V752&lt;&gt;1,Y752&lt;&gt;"",AT752&lt;&gt;""),"수정","원본")</f>
        <v/>
      </c>
      <c r="D752" s="18" t="n">
        <v>194</v>
      </c>
      <c r="E752" s="18" t="inlineStr">
        <is>
          <t>우파</t>
        </is>
      </c>
      <c r="F752" s="18" t="inlineStr">
        <is>
          <t>wooper</t>
        </is>
      </c>
      <c r="G752" s="18" t="inlineStr">
        <is>
          <t>wooper</t>
        </is>
      </c>
      <c r="H752" s="18" t="inlineStr"/>
      <c r="I752" s="18" t="n">
        <v>2</v>
      </c>
      <c r="J752" s="18" t="n"/>
      <c r="K752" s="18" t="n">
        <v>2</v>
      </c>
      <c r="L752" s="18" t="inlineStr">
        <is>
          <t>cobbleventure:generation_2</t>
        </is>
      </c>
      <c r="M752" s="19" t="inlineStr">
        <is>
          <t>cobbleventure:generation_2</t>
        </is>
      </c>
      <c r="N752" s="18" t="inlineStr">
        <is>
          <t>region_01; region_02</t>
        </is>
      </c>
      <c r="O752" s="19" t="inlineStr"/>
      <c r="P752" s="18" t="inlineStr">
        <is>
          <t>#cobblemon:is_overworld</t>
        </is>
      </c>
      <c r="Q752" s="19" t="inlineStr"/>
      <c r="R752" s="18">
        <f>IF(Q752="",P752,Q752)</f>
        <v/>
      </c>
      <c r="S752" s="18" t="inlineStr">
        <is>
          <t>#cobblemon:is_lush</t>
        </is>
      </c>
      <c r="T752" s="18" t="inlineStr">
        <is>
          <t>common</t>
        </is>
      </c>
      <c r="U752" s="20" t="n">
        <v>9</v>
      </c>
      <c r="V752" s="21" t="n">
        <v>1</v>
      </c>
      <c r="W752" s="20">
        <f>IF(OR(U752="",V752=""),U752,U752*V752)</f>
        <v/>
      </c>
      <c r="X752" s="18" t="inlineStr">
        <is>
          <t>1-21</t>
        </is>
      </c>
      <c r="Y752" s="19" t="inlineStr"/>
      <c r="Z752" s="18">
        <f>IF(Y752="",X752,Y752)</f>
        <v/>
      </c>
      <c r="AA752" s="18" t="inlineStr">
        <is>
          <t>grounded</t>
        </is>
      </c>
      <c r="AB752" s="18" t="inlineStr"/>
      <c r="AC752" s="18" t="inlineStr"/>
      <c r="AD752" s="18" t="inlineStr">
        <is>
          <t>minY=-41, maxY=9</t>
        </is>
      </c>
      <c r="AE752" s="18" t="inlineStr">
        <is>
          <t>sky 0-7</t>
        </is>
      </c>
      <c r="AF752" s="18" t="inlineStr"/>
      <c r="AG752" s="18" t="inlineStr">
        <is>
          <t>cobblemon:shipwreck_coves/lush_shipwreck_cove</t>
        </is>
      </c>
      <c r="AH752" s="18" t="inlineStr"/>
      <c r="AI752" s="18" t="inlineStr"/>
      <c r="AJ752" s="18" t="inlineStr">
        <is>
          <t>Cobblemon 동일</t>
        </is>
      </c>
      <c r="AK752" s="18" t="inlineStr">
        <is>
          <t>사용</t>
        </is>
      </c>
      <c r="AL752" s="18" t="inlineStr">
        <is>
          <t>COBBLEVERSE 1.7.42 / DP v31</t>
        </is>
      </c>
      <c r="AM752" s="18" t="inlineStr">
        <is>
          <t>data/cobblemon/spawn_pool_world/0194_wooper.json</t>
        </is>
      </c>
      <c r="AN752" s="18" t="inlineStr">
        <is>
          <t>wooper-11</t>
        </is>
      </c>
      <c r="AO752" s="18" t="inlineStr">
        <is>
          <t>pokemon</t>
        </is>
      </c>
      <c r="AP752" s="18" t="inlineStr">
        <is>
          <t>natural</t>
        </is>
      </c>
      <c r="AQ752" s="18" t="inlineStr">
        <is>
          <t>{"biomes":["#cobblemon:is_overworld"],"maxSkyLight":7,"maxY":9,"minSkyLight":0,"minY":-41,"structures":["cobblemon:shipwreck_coves/lush_shipwreck_cove"]}</t>
        </is>
      </c>
      <c r="AR752" s="18" t="inlineStr">
        <is>
          <t>{"biomes":["#cobblemon:is_lush"]}</t>
        </is>
      </c>
      <c r="AS752" s="18" t="inlineStr"/>
      <c r="AT752" s="19" t="inlineStr"/>
    </row>
    <row r="753" ht="32" customHeight="1">
      <c r="A753" s="18" t="inlineStr">
        <is>
          <t>0194_wooper.json::wooper-12::012</t>
        </is>
      </c>
      <c r="B753" s="19" t="inlineStr">
        <is>
          <t>사용</t>
        </is>
      </c>
      <c r="C753" s="18">
        <f>IF(OR(B753&lt;&gt;AK753,M753&lt;&gt;L753,O753&lt;&gt;"",Q753&lt;&gt;"",V753&lt;&gt;1,Y753&lt;&gt;"",AT753&lt;&gt;""),"수정","원본")</f>
        <v/>
      </c>
      <c r="D753" s="18" t="n">
        <v>194</v>
      </c>
      <c r="E753" s="18" t="inlineStr">
        <is>
          <t>우파</t>
        </is>
      </c>
      <c r="F753" s="18" t="inlineStr">
        <is>
          <t>wooper</t>
        </is>
      </c>
      <c r="G753" s="18" t="inlineStr">
        <is>
          <t>wooper</t>
        </is>
      </c>
      <c r="H753" s="18" t="inlineStr"/>
      <c r="I753" s="18" t="n">
        <v>2</v>
      </c>
      <c r="J753" s="18" t="n"/>
      <c r="K753" s="18" t="n">
        <v>2</v>
      </c>
      <c r="L753" s="18" t="inlineStr">
        <is>
          <t>cobbleventure:generation_2</t>
        </is>
      </c>
      <c r="M753" s="19" t="inlineStr">
        <is>
          <t>cobbleventure:generation_2</t>
        </is>
      </c>
      <c r="N753" s="18" t="inlineStr">
        <is>
          <t>region_01; region_02</t>
        </is>
      </c>
      <c r="O753" s="19" t="inlineStr"/>
      <c r="P753" s="18" t="inlineStr">
        <is>
          <t>#cobblemon:is_overworld</t>
        </is>
      </c>
      <c r="Q753" s="19" t="inlineStr"/>
      <c r="R753" s="18">
        <f>IF(Q753="",P753,Q753)</f>
        <v/>
      </c>
      <c r="S753" s="18" t="inlineStr">
        <is>
          <t>#cobblemon:is_lush</t>
        </is>
      </c>
      <c r="T753" s="18" t="inlineStr">
        <is>
          <t>common</t>
        </is>
      </c>
      <c r="U753" s="20" t="n">
        <v>9</v>
      </c>
      <c r="V753" s="21" t="n">
        <v>1</v>
      </c>
      <c r="W753" s="20">
        <f>IF(OR(U753="",V753=""),U753,U753*V753)</f>
        <v/>
      </c>
      <c r="X753" s="18" t="inlineStr">
        <is>
          <t>1-21</t>
        </is>
      </c>
      <c r="Y753" s="19" t="inlineStr"/>
      <c r="Z753" s="18">
        <f>IF(Y753="",X753,Y753)</f>
        <v/>
      </c>
      <c r="AA753" s="18" t="inlineStr">
        <is>
          <t>submerged</t>
        </is>
      </c>
      <c r="AB753" s="18" t="inlineStr"/>
      <c r="AC753" s="18" t="inlineStr"/>
      <c r="AD753" s="18" t="inlineStr">
        <is>
          <t>minY=-41, maxY=9</t>
        </is>
      </c>
      <c r="AE753" s="18" t="inlineStr">
        <is>
          <t>sky 0-7</t>
        </is>
      </c>
      <c r="AF753" s="18" t="inlineStr"/>
      <c r="AG753" s="18" t="inlineStr">
        <is>
          <t>cobblemon:shipwreck_coves/lush_shipwreck_cove</t>
        </is>
      </c>
      <c r="AH753" s="18" t="inlineStr"/>
      <c r="AI753" s="18" t="inlineStr"/>
      <c r="AJ753" s="18" t="inlineStr">
        <is>
          <t>Cobblemon 동일</t>
        </is>
      </c>
      <c r="AK753" s="18" t="inlineStr">
        <is>
          <t>사용</t>
        </is>
      </c>
      <c r="AL753" s="18" t="inlineStr">
        <is>
          <t>COBBLEVERSE 1.7.42 / DP v31</t>
        </is>
      </c>
      <c r="AM753" s="18" t="inlineStr">
        <is>
          <t>data/cobblemon/spawn_pool_world/0194_wooper.json</t>
        </is>
      </c>
      <c r="AN753" s="18" t="inlineStr">
        <is>
          <t>wooper-12</t>
        </is>
      </c>
      <c r="AO753" s="18" t="inlineStr">
        <is>
          <t>pokemon</t>
        </is>
      </c>
      <c r="AP753" s="18" t="inlineStr">
        <is>
          <t>water</t>
        </is>
      </c>
      <c r="AQ753" s="18" t="inlineStr">
        <is>
          <t>{"biomes":["#cobblemon:is_overworld"],"maxSkyLight":7,"maxY":9,"minSkyLight":0,"minY":-41,"structures":["cobblemon:shipwreck_coves/lush_shipwreck_cove"]}</t>
        </is>
      </c>
      <c r="AR753" s="18" t="inlineStr">
        <is>
          <t>{"biomes":["#cobblemon:is_lush"]}</t>
        </is>
      </c>
      <c r="AS753" s="18" t="inlineStr"/>
      <c r="AT753" s="19" t="inlineStr"/>
    </row>
    <row r="754" ht="32" customHeight="1">
      <c r="A754" s="18" t="inlineStr">
        <is>
          <t>0194_wooper.json::wooper-13::013</t>
        </is>
      </c>
      <c r="B754" s="19" t="inlineStr">
        <is>
          <t>사용</t>
        </is>
      </c>
      <c r="C754" s="18">
        <f>IF(OR(B754&lt;&gt;AK754,M754&lt;&gt;L754,O754&lt;&gt;"",Q754&lt;&gt;"",V754&lt;&gt;1,Y754&lt;&gt;"",AT754&lt;&gt;""),"수정","원본")</f>
        <v/>
      </c>
      <c r="D754" s="18" t="n">
        <v>194</v>
      </c>
      <c r="E754" s="18" t="inlineStr">
        <is>
          <t>우파</t>
        </is>
      </c>
      <c r="F754" s="18" t="inlineStr">
        <is>
          <t>wooper</t>
        </is>
      </c>
      <c r="G754" s="18" t="inlineStr">
        <is>
          <t>wooper</t>
        </is>
      </c>
      <c r="H754" s="18" t="inlineStr"/>
      <c r="I754" s="18" t="n">
        <v>2</v>
      </c>
      <c r="J754" s="18" t="n"/>
      <c r="K754" s="18" t="n">
        <v>2</v>
      </c>
      <c r="L754" s="18" t="inlineStr">
        <is>
          <t>cobbleventure:generation_2</t>
        </is>
      </c>
      <c r="M754" s="19" t="inlineStr">
        <is>
          <t>cobbleventure:generation_2</t>
        </is>
      </c>
      <c r="N754" s="18" t="inlineStr"/>
      <c r="O754" s="19" t="inlineStr"/>
      <c r="P754" s="18" t="inlineStr">
        <is>
          <t>#aether:is_aether</t>
        </is>
      </c>
      <c r="Q754" s="19" t="inlineStr"/>
      <c r="R754" s="18">
        <f>IF(Q754="",P754,Q754)</f>
        <v/>
      </c>
      <c r="S754" s="18" t="inlineStr"/>
      <c r="T754" s="18" t="inlineStr">
        <is>
          <t>uncommon</t>
        </is>
      </c>
      <c r="U754" s="20" t="n">
        <v>8.4</v>
      </c>
      <c r="V754" s="21" t="n">
        <v>1</v>
      </c>
      <c r="W754" s="20">
        <f>IF(OR(U754="",V754=""),U754,U754*V754)</f>
        <v/>
      </c>
      <c r="X754" s="18" t="inlineStr">
        <is>
          <t>1-21</t>
        </is>
      </c>
      <c r="Y754" s="19" t="inlineStr"/>
      <c r="Z754" s="18">
        <f>IF(Y754="",X754,Y754)</f>
        <v/>
      </c>
      <c r="AA754" s="18" t="inlineStr">
        <is>
          <t>grounded</t>
        </is>
      </c>
      <c r="AB754" s="18" t="inlineStr"/>
      <c r="AC754" s="18" t="inlineStr"/>
      <c r="AD754" s="18" t="inlineStr"/>
      <c r="AE754" s="18" t="inlineStr">
        <is>
          <t>sky 0-7</t>
        </is>
      </c>
      <c r="AF754" s="18" t="inlineStr"/>
      <c r="AG754" s="18" t="inlineStr"/>
      <c r="AH754" s="18" t="inlineStr">
        <is>
          <t>주변=minecraft:water</t>
        </is>
      </c>
      <c r="AI754" s="18" t="inlineStr"/>
      <c r="AJ754" s="18" t="inlineStr">
        <is>
          <t>Cobblemon 동일</t>
        </is>
      </c>
      <c r="AK754" s="18" t="inlineStr">
        <is>
          <t>사용</t>
        </is>
      </c>
      <c r="AL754" s="18" t="inlineStr">
        <is>
          <t>COBBLEVERSE 1.7.42 / DP v31</t>
        </is>
      </c>
      <c r="AM754" s="18" t="inlineStr">
        <is>
          <t>data/cobblemon/spawn_pool_world/0194_wooper.json</t>
        </is>
      </c>
      <c r="AN754" s="18" t="inlineStr">
        <is>
          <t>wooper-13</t>
        </is>
      </c>
      <c r="AO754" s="18" t="inlineStr">
        <is>
          <t>pokemon</t>
        </is>
      </c>
      <c r="AP754" s="18" t="inlineStr">
        <is>
          <t>natural</t>
        </is>
      </c>
      <c r="AQ754" s="18" t="inlineStr">
        <is>
          <t>{"biomes":["#aether:is_aether"],"maxSkyLight":7,"minSkyLight":0,"neededNearbyBlocks":["minecraft:water"]}</t>
        </is>
      </c>
      <c r="AR754" s="18" t="inlineStr"/>
      <c r="AS754" s="18" t="inlineStr"/>
      <c r="AT754" s="19" t="inlineStr"/>
    </row>
    <row r="755" ht="32" customHeight="1">
      <c r="A755" s="18" t="inlineStr">
        <is>
          <t>0194_wooper.json::wooper-14::014</t>
        </is>
      </c>
      <c r="B755" s="19" t="inlineStr">
        <is>
          <t>사용</t>
        </is>
      </c>
      <c r="C755" s="18">
        <f>IF(OR(B755&lt;&gt;AK755,M755&lt;&gt;L755,O755&lt;&gt;"",Q755&lt;&gt;"",V755&lt;&gt;1,Y755&lt;&gt;"",AT755&lt;&gt;""),"수정","원본")</f>
        <v/>
      </c>
      <c r="D755" s="18" t="n">
        <v>194</v>
      </c>
      <c r="E755" s="18" t="inlineStr">
        <is>
          <t>우파</t>
        </is>
      </c>
      <c r="F755" s="18" t="inlineStr">
        <is>
          <t>wooper</t>
        </is>
      </c>
      <c r="G755" s="18" t="inlineStr">
        <is>
          <t>wooper</t>
        </is>
      </c>
      <c r="H755" s="18" t="inlineStr"/>
      <c r="I755" s="18" t="n">
        <v>2</v>
      </c>
      <c r="J755" s="18" t="n"/>
      <c r="K755" s="18" t="n">
        <v>2</v>
      </c>
      <c r="L755" s="18" t="inlineStr">
        <is>
          <t>cobbleventure:generation_2</t>
        </is>
      </c>
      <c r="M755" s="19" t="inlineStr">
        <is>
          <t>cobbleventure:generation_2</t>
        </is>
      </c>
      <c r="N755" s="18" t="inlineStr"/>
      <c r="O755" s="19" t="inlineStr"/>
      <c r="P755" s="18" t="inlineStr">
        <is>
          <t>#aether:is_aether</t>
        </is>
      </c>
      <c r="Q755" s="19" t="inlineStr"/>
      <c r="R755" s="18">
        <f>IF(Q755="",P755,Q755)</f>
        <v/>
      </c>
      <c r="S755" s="18" t="inlineStr"/>
      <c r="T755" s="18" t="inlineStr">
        <is>
          <t>uncommon</t>
        </is>
      </c>
      <c r="U755" s="20" t="n">
        <v>8.4</v>
      </c>
      <c r="V755" s="21" t="n">
        <v>1</v>
      </c>
      <c r="W755" s="20">
        <f>IF(OR(U755="",V755=""),U755,U755*V755)</f>
        <v/>
      </c>
      <c r="X755" s="18" t="inlineStr">
        <is>
          <t>1-21</t>
        </is>
      </c>
      <c r="Y755" s="19" t="inlineStr"/>
      <c r="Z755" s="18">
        <f>IF(Y755="",X755,Y755)</f>
        <v/>
      </c>
      <c r="AA755" s="18" t="inlineStr">
        <is>
          <t>submerged</t>
        </is>
      </c>
      <c r="AB755" s="18" t="inlineStr"/>
      <c r="AC755" s="18" t="inlineStr"/>
      <c r="AD755" s="18" t="inlineStr"/>
      <c r="AE755" s="18" t="inlineStr">
        <is>
          <t>sky 0-7</t>
        </is>
      </c>
      <c r="AF755" s="18" t="inlineStr"/>
      <c r="AG755" s="18" t="inlineStr"/>
      <c r="AH755" s="18" t="inlineStr"/>
      <c r="AI755" s="18" t="inlineStr"/>
      <c r="AJ755" s="18" t="inlineStr">
        <is>
          <t>Cobblemon 동일</t>
        </is>
      </c>
      <c r="AK755" s="18" t="inlineStr">
        <is>
          <t>사용</t>
        </is>
      </c>
      <c r="AL755" s="18" t="inlineStr">
        <is>
          <t>COBBLEVERSE 1.7.42 / DP v31</t>
        </is>
      </c>
      <c r="AM755" s="18" t="inlineStr">
        <is>
          <t>data/cobblemon/spawn_pool_world/0194_wooper.json</t>
        </is>
      </c>
      <c r="AN755" s="18" t="inlineStr">
        <is>
          <t>wooper-14</t>
        </is>
      </c>
      <c r="AO755" s="18" t="inlineStr">
        <is>
          <t>pokemon</t>
        </is>
      </c>
      <c r="AP755" s="18" t="inlineStr">
        <is>
          <t>water</t>
        </is>
      </c>
      <c r="AQ755" s="18" t="inlineStr">
        <is>
          <t>{"biomes":["#aether:is_aether"],"maxSkyLight":7,"minSkyLight":0}</t>
        </is>
      </c>
      <c r="AR755" s="18" t="inlineStr"/>
      <c r="AS755" s="18" t="inlineStr"/>
      <c r="AT755" s="19" t="inlineStr"/>
    </row>
    <row r="756" ht="32" customHeight="1">
      <c r="A756" s="18" t="inlineStr">
        <is>
          <t>0194_wooper.json::wooper-true-15::015</t>
        </is>
      </c>
      <c r="B756" s="19" t="inlineStr">
        <is>
          <t>사용</t>
        </is>
      </c>
      <c r="C756" s="18">
        <f>IF(OR(B756&lt;&gt;AK756,M756&lt;&gt;L756,O756&lt;&gt;"",Q756&lt;&gt;"",V756&lt;&gt;1,Y756&lt;&gt;"",AT756&lt;&gt;""),"수정","원본")</f>
        <v/>
      </c>
      <c r="D756" s="18" t="n">
        <v>194</v>
      </c>
      <c r="E756" s="18" t="inlineStr">
        <is>
          <t>우파</t>
        </is>
      </c>
      <c r="F756" s="18" t="inlineStr">
        <is>
          <t>wooper</t>
        </is>
      </c>
      <c r="G756" s="18" t="inlineStr">
        <is>
          <t>wooper wooper_heart=true</t>
        </is>
      </c>
      <c r="H756" s="18" t="inlineStr">
        <is>
          <t>wooper_heart=true</t>
        </is>
      </c>
      <c r="I756" s="18" t="n">
        <v>2</v>
      </c>
      <c r="J756" s="18" t="n"/>
      <c r="K756" s="18" t="n">
        <v>2</v>
      </c>
      <c r="L756" s="18" t="inlineStr">
        <is>
          <t>cobbleventure:generation_2</t>
        </is>
      </c>
      <c r="M756" s="19" t="inlineStr">
        <is>
          <t>cobbleventure:generation_2</t>
        </is>
      </c>
      <c r="N756" s="18" t="inlineStr">
        <is>
          <t>region_01; region_02</t>
        </is>
      </c>
      <c r="O756" s="19" t="inlineStr"/>
      <c r="P756" s="18" t="inlineStr">
        <is>
          <t>#aether:is_aether; #cobblemon:is_overworld</t>
        </is>
      </c>
      <c r="Q756" s="19" t="inlineStr"/>
      <c r="R756" s="18">
        <f>IF(Q756="",P756,Q756)</f>
        <v/>
      </c>
      <c r="S756" s="18" t="inlineStr"/>
      <c r="T756" s="18" t="inlineStr">
        <is>
          <t>uncommon</t>
        </is>
      </c>
      <c r="U756" s="20" t="n">
        <v>10</v>
      </c>
      <c r="V756" s="21" t="n">
        <v>1</v>
      </c>
      <c r="W756" s="20">
        <f>IF(OR(U756="",V756=""),U756,U756*V756)</f>
        <v/>
      </c>
      <c r="X756" s="18" t="inlineStr">
        <is>
          <t>1-21</t>
        </is>
      </c>
      <c r="Y756" s="19" t="inlineStr"/>
      <c r="Z756" s="18">
        <f>IF(Y756="",X756,Y756)</f>
        <v/>
      </c>
      <c r="AA756" s="18" t="inlineStr">
        <is>
          <t>fishing</t>
        </is>
      </c>
      <c r="AB756" s="18" t="inlineStr"/>
      <c r="AC756" s="18" t="inlineStr"/>
      <c r="AD756" s="18" t="inlineStr"/>
      <c r="AE756" s="18" t="inlineStr">
        <is>
          <t>sky 0-7</t>
        </is>
      </c>
      <c r="AF756" s="18" t="inlineStr"/>
      <c r="AG756" s="18" t="inlineStr"/>
      <c r="AH756" s="18" t="inlineStr"/>
      <c r="AI756" s="18" t="inlineStr">
        <is>
          <t>{"fishing":{"rodType":"cobblemon:love_rod"}}</t>
        </is>
      </c>
      <c r="AJ756" s="18" t="inlineStr">
        <is>
          <t>Cobblemon 동일</t>
        </is>
      </c>
      <c r="AK756" s="18" t="inlineStr">
        <is>
          <t>사용</t>
        </is>
      </c>
      <c r="AL756" s="18" t="inlineStr">
        <is>
          <t>COBBLEVERSE 1.7.42 / DP v31</t>
        </is>
      </c>
      <c r="AM756" s="18" t="inlineStr">
        <is>
          <t>data/cobblemon/spawn_pool_world/0194_wooper.json</t>
        </is>
      </c>
      <c r="AN756" s="18" t="inlineStr">
        <is>
          <t>wooper-true-15</t>
        </is>
      </c>
      <c r="AO756" s="18" t="inlineStr">
        <is>
          <t>pokemon</t>
        </is>
      </c>
      <c r="AP756" s="18" t="inlineStr"/>
      <c r="AQ756" s="18" t="inlineStr">
        <is>
          <t>{"biomes":["#aether:is_aether","#cobblemon:is_overworld"],"maxSkyLight":7,"minSkyLight":0,"rodType":"cobblemon:love_rod"}</t>
        </is>
      </c>
      <c r="AR756" s="18" t="inlineStr"/>
      <c r="AS756" s="18" t="inlineStr"/>
      <c r="AT756" s="19" t="inlineStr"/>
    </row>
    <row r="757" ht="32" customHeight="1">
      <c r="A757" s="18" t="inlineStr">
        <is>
          <t>0194_wooper.json::wooper-true-16::016</t>
        </is>
      </c>
      <c r="B757" s="19" t="inlineStr">
        <is>
          <t>사용</t>
        </is>
      </c>
      <c r="C757" s="18">
        <f>IF(OR(B757&lt;&gt;AK757,M757&lt;&gt;L757,O757&lt;&gt;"",Q757&lt;&gt;"",V757&lt;&gt;1,Y757&lt;&gt;"",AT757&lt;&gt;""),"수정","원본")</f>
        <v/>
      </c>
      <c r="D757" s="18" t="n">
        <v>194</v>
      </c>
      <c r="E757" s="18" t="inlineStr">
        <is>
          <t>우파</t>
        </is>
      </c>
      <c r="F757" s="18" t="inlineStr">
        <is>
          <t>wooper</t>
        </is>
      </c>
      <c r="G757" s="18" t="inlineStr">
        <is>
          <t>wooper wooper_heart=true</t>
        </is>
      </c>
      <c r="H757" s="18" t="inlineStr">
        <is>
          <t>wooper_heart=true</t>
        </is>
      </c>
      <c r="I757" s="18" t="n">
        <v>2</v>
      </c>
      <c r="J757" s="18" t="n"/>
      <c r="K757" s="18" t="n">
        <v>2</v>
      </c>
      <c r="L757" s="18" t="inlineStr">
        <is>
          <t>cobbleventure:generation_2</t>
        </is>
      </c>
      <c r="M757" s="19" t="inlineStr">
        <is>
          <t>cobbleventure:generation_2</t>
        </is>
      </c>
      <c r="N757" s="18" t="inlineStr">
        <is>
          <t>region_02</t>
        </is>
      </c>
      <c r="O757" s="19" t="inlineStr"/>
      <c r="P757" s="18" t="inlineStr">
        <is>
          <t>#cobblemon:is_mushroom; #cobblemon:is_swamp</t>
        </is>
      </c>
      <c r="Q757" s="19" t="inlineStr"/>
      <c r="R757" s="18">
        <f>IF(Q757="",P757,Q757)</f>
        <v/>
      </c>
      <c r="S757" s="18" t="inlineStr">
        <is>
          <t>#cobblemon:has_block/mud</t>
        </is>
      </c>
      <c r="T757" s="18" t="inlineStr">
        <is>
          <t>uncommon</t>
        </is>
      </c>
      <c r="U757" s="20" t="n">
        <v>2</v>
      </c>
      <c r="V757" s="21" t="n">
        <v>1</v>
      </c>
      <c r="W757" s="20">
        <f>IF(OR(U757="",V757=""),U757,U757*V757)</f>
        <v/>
      </c>
      <c r="X757" s="18" t="inlineStr">
        <is>
          <t>1-21</t>
        </is>
      </c>
      <c r="Y757" s="19" t="inlineStr"/>
      <c r="Z757" s="18">
        <f>IF(Y757="",X757,Y757)</f>
        <v/>
      </c>
      <c r="AA757" s="18" t="inlineStr">
        <is>
          <t>fishing</t>
        </is>
      </c>
      <c r="AB757" s="18" t="inlineStr"/>
      <c r="AC757" s="18" t="inlineStr"/>
      <c r="AD757" s="18" t="inlineStr"/>
      <c r="AE757" s="18" t="inlineStr"/>
      <c r="AF757" s="18" t="inlineStr">
        <is>
          <t>True</t>
        </is>
      </c>
      <c r="AG757" s="18" t="inlineStr"/>
      <c r="AH757" s="18" t="inlineStr"/>
      <c r="AI757" s="18" t="inlineStr">
        <is>
          <t>{"fishing":{"rodType":"cobblemon:love_rod"}}</t>
        </is>
      </c>
      <c r="AJ757" s="18" t="inlineStr">
        <is>
          <t>Cobblemon 동일</t>
        </is>
      </c>
      <c r="AK757" s="18" t="inlineStr">
        <is>
          <t>사용</t>
        </is>
      </c>
      <c r="AL757" s="18" t="inlineStr">
        <is>
          <t>COBBLEVERSE 1.7.42 / DP v31</t>
        </is>
      </c>
      <c r="AM757" s="18" t="inlineStr">
        <is>
          <t>data/cobblemon/spawn_pool_world/0194_wooper.json</t>
        </is>
      </c>
      <c r="AN757" s="18" t="inlineStr">
        <is>
          <t>wooper-true-16</t>
        </is>
      </c>
      <c r="AO757" s="18" t="inlineStr">
        <is>
          <t>pokemon</t>
        </is>
      </c>
      <c r="AP757" s="18" t="inlineStr"/>
      <c r="AQ757" s="18" t="inlineStr">
        <is>
          <t>{"biomes":["#cobblemon:is_mushroom","#cobblemon:is_swamp"],"canSeeSky":true,"rodType":"cobblemon:love_rod"}</t>
        </is>
      </c>
      <c r="AR757" s="18" t="inlineStr">
        <is>
          <t>{"biomes":["#cobblemon:has_block/mud"]}</t>
        </is>
      </c>
      <c r="AS757" s="18" t="inlineStr">
        <is>
          <t>{"weightMultipliers":[{"condition":{"maxLureLevel":2,"minLureLevel":2},"multiplier":3.0},{"condition":{"minLureLevel":3},"multiplier":5.0}]}</t>
        </is>
      </c>
      <c r="AT757" s="19" t="inlineStr"/>
    </row>
    <row r="758" ht="32" customHeight="1">
      <c r="A758" s="18" t="inlineStr">
        <is>
          <t>0194_wooper.json::wooper-true-17::017</t>
        </is>
      </c>
      <c r="B758" s="19" t="inlineStr">
        <is>
          <t>사용</t>
        </is>
      </c>
      <c r="C758" s="18">
        <f>IF(OR(B758&lt;&gt;AK758,M758&lt;&gt;L758,O758&lt;&gt;"",Q758&lt;&gt;"",V758&lt;&gt;1,Y758&lt;&gt;"",AT758&lt;&gt;""),"수정","원본")</f>
        <v/>
      </c>
      <c r="D758" s="18" t="n">
        <v>194</v>
      </c>
      <c r="E758" s="18" t="inlineStr">
        <is>
          <t>우파</t>
        </is>
      </c>
      <c r="F758" s="18" t="inlineStr">
        <is>
          <t>wooper</t>
        </is>
      </c>
      <c r="G758" s="18" t="inlineStr">
        <is>
          <t>wooper wooper_heart=true</t>
        </is>
      </c>
      <c r="H758" s="18" t="inlineStr">
        <is>
          <t>wooper_heart=true</t>
        </is>
      </c>
      <c r="I758" s="18" t="n">
        <v>2</v>
      </c>
      <c r="J758" s="18" t="n"/>
      <c r="K758" s="18" t="n">
        <v>2</v>
      </c>
      <c r="L758" s="18" t="inlineStr">
        <is>
          <t>cobbleventure:generation_2</t>
        </is>
      </c>
      <c r="M758" s="19" t="inlineStr">
        <is>
          <t>cobbleventure:generation_2</t>
        </is>
      </c>
      <c r="N758" s="18" t="inlineStr">
        <is>
          <t>region_01; region_02</t>
        </is>
      </c>
      <c r="O758" s="19" t="inlineStr"/>
      <c r="P758" s="18" t="inlineStr">
        <is>
          <t>#aether:is_aether; #cobblemon:is_overworld</t>
        </is>
      </c>
      <c r="Q758" s="19" t="inlineStr"/>
      <c r="R758" s="18">
        <f>IF(Q758="",P758,Q758)</f>
        <v/>
      </c>
      <c r="S758" s="18" t="inlineStr"/>
      <c r="T758" s="18" t="inlineStr">
        <is>
          <t>common</t>
        </is>
      </c>
      <c r="U758" s="20" t="n">
        <v>20</v>
      </c>
      <c r="V758" s="21" t="n">
        <v>1</v>
      </c>
      <c r="W758" s="20">
        <f>IF(OR(U758="",V758=""),U758,U758*V758)</f>
        <v/>
      </c>
      <c r="X758" s="18" t="inlineStr">
        <is>
          <t>1-21</t>
        </is>
      </c>
      <c r="Y758" s="19" t="inlineStr"/>
      <c r="Z758" s="18">
        <f>IF(Y758="",X758,Y758)</f>
        <v/>
      </c>
      <c r="AA758" s="18" t="inlineStr">
        <is>
          <t>fishing</t>
        </is>
      </c>
      <c r="AB758" s="18" t="inlineStr"/>
      <c r="AC758" s="18" t="inlineStr"/>
      <c r="AD758" s="18" t="inlineStr"/>
      <c r="AE758" s="18" t="inlineStr">
        <is>
          <t>sky 0-7</t>
        </is>
      </c>
      <c r="AF758" s="18" t="inlineStr"/>
      <c r="AG758" s="18" t="inlineStr"/>
      <c r="AH758" s="18" t="inlineStr"/>
      <c r="AI758" s="18" t="inlineStr">
        <is>
          <t>{"fishing":{"bait":"cobblemon:love_sweet"}}</t>
        </is>
      </c>
      <c r="AJ758" s="18" t="inlineStr">
        <is>
          <t>Cobblemon 동일</t>
        </is>
      </c>
      <c r="AK758" s="18" t="inlineStr">
        <is>
          <t>사용</t>
        </is>
      </c>
      <c r="AL758" s="18" t="inlineStr">
        <is>
          <t>COBBLEVERSE 1.7.42 / DP v31</t>
        </is>
      </c>
      <c r="AM758" s="18" t="inlineStr">
        <is>
          <t>data/cobblemon/spawn_pool_world/0194_wooper.json</t>
        </is>
      </c>
      <c r="AN758" s="18" t="inlineStr">
        <is>
          <t>wooper-true-17</t>
        </is>
      </c>
      <c r="AO758" s="18" t="inlineStr">
        <is>
          <t>pokemon</t>
        </is>
      </c>
      <c r="AP758" s="18" t="inlineStr"/>
      <c r="AQ758" s="18" t="inlineStr">
        <is>
          <t>{"bait":"cobblemon:love_sweet","biomes":["#aether:is_aether","#cobblemon:is_overworld"],"maxSkyLight":7,"minSkyLight":0}</t>
        </is>
      </c>
      <c r="AR758" s="18" t="inlineStr"/>
      <c r="AS758" s="18" t="inlineStr"/>
      <c r="AT758" s="19" t="inlineStr"/>
    </row>
    <row r="759" ht="32" customHeight="1">
      <c r="A759" s="18" t="inlineStr">
        <is>
          <t>0194_wooper.json::wooper-true-18::018</t>
        </is>
      </c>
      <c r="B759" s="19" t="inlineStr">
        <is>
          <t>사용</t>
        </is>
      </c>
      <c r="C759" s="18">
        <f>IF(OR(B759&lt;&gt;AK759,M759&lt;&gt;L759,O759&lt;&gt;"",Q759&lt;&gt;"",V759&lt;&gt;1,Y759&lt;&gt;"",AT759&lt;&gt;""),"수정","원본")</f>
        <v/>
      </c>
      <c r="D759" s="18" t="n">
        <v>194</v>
      </c>
      <c r="E759" s="18" t="inlineStr">
        <is>
          <t>우파</t>
        </is>
      </c>
      <c r="F759" s="18" t="inlineStr">
        <is>
          <t>wooper</t>
        </is>
      </c>
      <c r="G759" s="18" t="inlineStr">
        <is>
          <t>wooper wooper_heart=true</t>
        </is>
      </c>
      <c r="H759" s="18" t="inlineStr">
        <is>
          <t>wooper_heart=true</t>
        </is>
      </c>
      <c r="I759" s="18" t="n">
        <v>2</v>
      </c>
      <c r="J759" s="18" t="n"/>
      <c r="K759" s="18" t="n">
        <v>2</v>
      </c>
      <c r="L759" s="18" t="inlineStr">
        <is>
          <t>cobbleventure:generation_2</t>
        </is>
      </c>
      <c r="M759" s="19" t="inlineStr">
        <is>
          <t>cobbleventure:generation_2</t>
        </is>
      </c>
      <c r="N759" s="18" t="inlineStr">
        <is>
          <t>region_02</t>
        </is>
      </c>
      <c r="O759" s="19" t="inlineStr"/>
      <c r="P759" s="18" t="inlineStr">
        <is>
          <t>#cobblemon:is_mushroom; #cobblemon:is_swamp</t>
        </is>
      </c>
      <c r="Q759" s="19" t="inlineStr"/>
      <c r="R759" s="18">
        <f>IF(Q759="",P759,Q759)</f>
        <v/>
      </c>
      <c r="S759" s="18" t="inlineStr">
        <is>
          <t>#cobblemon:has_block/mud</t>
        </is>
      </c>
      <c r="T759" s="18" t="inlineStr">
        <is>
          <t>common</t>
        </is>
      </c>
      <c r="U759" s="20" t="n">
        <v>20</v>
      </c>
      <c r="V759" s="21" t="n">
        <v>1</v>
      </c>
      <c r="W759" s="20">
        <f>IF(OR(U759="",V759=""),U759,U759*V759)</f>
        <v/>
      </c>
      <c r="X759" s="18" t="inlineStr">
        <is>
          <t>1-21</t>
        </is>
      </c>
      <c r="Y759" s="19" t="inlineStr"/>
      <c r="Z759" s="18">
        <f>IF(Y759="",X759,Y759)</f>
        <v/>
      </c>
      <c r="AA759" s="18" t="inlineStr">
        <is>
          <t>fishing</t>
        </is>
      </c>
      <c r="AB759" s="18" t="inlineStr"/>
      <c r="AC759" s="18" t="inlineStr"/>
      <c r="AD759" s="18" t="inlineStr"/>
      <c r="AE759" s="18" t="inlineStr"/>
      <c r="AF759" s="18" t="inlineStr">
        <is>
          <t>True</t>
        </is>
      </c>
      <c r="AG759" s="18" t="inlineStr"/>
      <c r="AH759" s="18" t="inlineStr"/>
      <c r="AI759" s="18" t="inlineStr">
        <is>
          <t>{"fishing":{"bait":"cobblemon:love_sweet"}}</t>
        </is>
      </c>
      <c r="AJ759" s="18" t="inlineStr">
        <is>
          <t>Cobblemon 동일</t>
        </is>
      </c>
      <c r="AK759" s="18" t="inlineStr">
        <is>
          <t>사용</t>
        </is>
      </c>
      <c r="AL759" s="18" t="inlineStr">
        <is>
          <t>COBBLEVERSE 1.7.42 / DP v31</t>
        </is>
      </c>
      <c r="AM759" s="18" t="inlineStr">
        <is>
          <t>data/cobblemon/spawn_pool_world/0194_wooper.json</t>
        </is>
      </c>
      <c r="AN759" s="18" t="inlineStr">
        <is>
          <t>wooper-true-18</t>
        </is>
      </c>
      <c r="AO759" s="18" t="inlineStr">
        <is>
          <t>pokemon</t>
        </is>
      </c>
      <c r="AP759" s="18" t="inlineStr"/>
      <c r="AQ759" s="18" t="inlineStr">
        <is>
          <t>{"bait":"cobblemon:love_sweet","biomes":["#cobblemon:is_mushroom","#cobblemon:is_swamp"],"canSeeSky":true}</t>
        </is>
      </c>
      <c r="AR759" s="18" t="inlineStr">
        <is>
          <t>{"biomes":["#cobblemon:has_block/mud"]}</t>
        </is>
      </c>
      <c r="AS759" s="18" t="inlineStr">
        <is>
          <t>{"weightMultipliers":[{"condition":{"maxLureLevel":2,"minLureLevel":2},"multiplier":3.0},{"condition":{"minLureLevel":3},"multiplier":5.0}]}</t>
        </is>
      </c>
      <c r="AT759" s="19" t="inlineStr"/>
    </row>
    <row r="760" ht="32" customHeight="1">
      <c r="A760" s="18" t="inlineStr">
        <is>
          <t>0194_wooper.json::wooper-true-19::019</t>
        </is>
      </c>
      <c r="B760" s="19" t="inlineStr">
        <is>
          <t>사용</t>
        </is>
      </c>
      <c r="C760" s="18">
        <f>IF(OR(B760&lt;&gt;AK760,M760&lt;&gt;L760,O760&lt;&gt;"",Q760&lt;&gt;"",V760&lt;&gt;1,Y760&lt;&gt;"",AT760&lt;&gt;""),"수정","원본")</f>
        <v/>
      </c>
      <c r="D760" s="18" t="n">
        <v>194</v>
      </c>
      <c r="E760" s="18" t="inlineStr">
        <is>
          <t>우파</t>
        </is>
      </c>
      <c r="F760" s="18" t="inlineStr">
        <is>
          <t>wooper</t>
        </is>
      </c>
      <c r="G760" s="18" t="inlineStr">
        <is>
          <t>wooper wooper_heart=true</t>
        </is>
      </c>
      <c r="H760" s="18" t="inlineStr">
        <is>
          <t>wooper_heart=true</t>
        </is>
      </c>
      <c r="I760" s="18" t="n">
        <v>2</v>
      </c>
      <c r="J760" s="18" t="n"/>
      <c r="K760" s="18" t="n">
        <v>2</v>
      </c>
      <c r="L760" s="18" t="inlineStr">
        <is>
          <t>cobbleventure:generation_2</t>
        </is>
      </c>
      <c r="M760" s="19" t="inlineStr">
        <is>
          <t>cobbleventure:generation_2</t>
        </is>
      </c>
      <c r="N760" s="18" t="inlineStr">
        <is>
          <t>region_02</t>
        </is>
      </c>
      <c r="O760" s="19" t="inlineStr"/>
      <c r="P760" s="18" t="inlineStr">
        <is>
          <t>#cobblemon:is_mushroom; #cobblemon:is_swamp</t>
        </is>
      </c>
      <c r="Q760" s="19" t="inlineStr"/>
      <c r="R760" s="18">
        <f>IF(Q760="",P760,Q760)</f>
        <v/>
      </c>
      <c r="S760" s="18" t="inlineStr">
        <is>
          <t>#cobblemon:has_block/mud</t>
        </is>
      </c>
      <c r="T760" s="18" t="inlineStr">
        <is>
          <t>uncommon</t>
        </is>
      </c>
      <c r="U760" s="20" t="n">
        <v>2</v>
      </c>
      <c r="V760" s="21" t="n">
        <v>1</v>
      </c>
      <c r="W760" s="20">
        <f>IF(OR(U760="",V760=""),U760,U760*V760)</f>
        <v/>
      </c>
      <c r="X760" s="18" t="inlineStr">
        <is>
          <t>1-21</t>
        </is>
      </c>
      <c r="Y760" s="19" t="inlineStr"/>
      <c r="Z760" s="18">
        <f>IF(Y760="",X760,Y760)</f>
        <v/>
      </c>
      <c r="AA760" s="18" t="inlineStr">
        <is>
          <t>fishing</t>
        </is>
      </c>
      <c r="AB760" s="18" t="inlineStr"/>
      <c r="AC760" s="18" t="inlineStr"/>
      <c r="AD760" s="18" t="inlineStr"/>
      <c r="AE760" s="18" t="inlineStr">
        <is>
          <t>sky 8-15</t>
        </is>
      </c>
      <c r="AF760" s="18" t="inlineStr">
        <is>
          <t>False</t>
        </is>
      </c>
      <c r="AG760" s="18" t="inlineStr"/>
      <c r="AH760" s="18" t="inlineStr"/>
      <c r="AI760" s="18" t="inlineStr">
        <is>
          <t>{"fishing":{"rodType":"cobblemon:love_rod"}}</t>
        </is>
      </c>
      <c r="AJ760" s="18" t="inlineStr">
        <is>
          <t>Cobblemon 동일</t>
        </is>
      </c>
      <c r="AK760" s="18" t="inlineStr">
        <is>
          <t>사용</t>
        </is>
      </c>
      <c r="AL760" s="18" t="inlineStr">
        <is>
          <t>COBBLEVERSE 1.7.42 / DP v31</t>
        </is>
      </c>
      <c r="AM760" s="18" t="inlineStr">
        <is>
          <t>data/cobblemon/spawn_pool_world/0194_wooper.json</t>
        </is>
      </c>
      <c r="AN760" s="18" t="inlineStr">
        <is>
          <t>wooper-true-19</t>
        </is>
      </c>
      <c r="AO760" s="18" t="inlineStr">
        <is>
          <t>pokemon</t>
        </is>
      </c>
      <c r="AP760" s="18" t="inlineStr"/>
      <c r="AQ760" s="18" t="inlineStr">
        <is>
          <t>{"biomes":["#cobblemon:is_mushroom","#cobblemon:is_swamp"],"canSeeSky":false,"maxSkyLight":15,"minSkyLight":8,"rodType":"cobblemon:love_rod"}</t>
        </is>
      </c>
      <c r="AR760" s="18" t="inlineStr">
        <is>
          <t>{"biomes":["#cobblemon:has_block/mud"]}</t>
        </is>
      </c>
      <c r="AS760" s="18" t="inlineStr">
        <is>
          <t>{"weightMultipliers":[{"condition":{"maxLureLevel":2,"minLureLevel":2},"multiplier":3.0},{"condition":{"minLureLevel":3},"multiplier":5.0}]}</t>
        </is>
      </c>
      <c r="AT760" s="19" t="inlineStr"/>
    </row>
    <row r="761" ht="32" customHeight="1">
      <c r="A761" s="18" t="inlineStr">
        <is>
          <t>0194_wooper.json::wooper-true-20::020</t>
        </is>
      </c>
      <c r="B761" s="19" t="inlineStr">
        <is>
          <t>사용</t>
        </is>
      </c>
      <c r="C761" s="18">
        <f>IF(OR(B761&lt;&gt;AK761,M761&lt;&gt;L761,O761&lt;&gt;"",Q761&lt;&gt;"",V761&lt;&gt;1,Y761&lt;&gt;"",AT761&lt;&gt;""),"수정","원본")</f>
        <v/>
      </c>
      <c r="D761" s="18" t="n">
        <v>194</v>
      </c>
      <c r="E761" s="18" t="inlineStr">
        <is>
          <t>우파</t>
        </is>
      </c>
      <c r="F761" s="18" t="inlineStr">
        <is>
          <t>wooper</t>
        </is>
      </c>
      <c r="G761" s="18" t="inlineStr">
        <is>
          <t>wooper wooper_heart=true</t>
        </is>
      </c>
      <c r="H761" s="18" t="inlineStr">
        <is>
          <t>wooper_heart=true</t>
        </is>
      </c>
      <c r="I761" s="18" t="n">
        <v>2</v>
      </c>
      <c r="J761" s="18" t="n"/>
      <c r="K761" s="18" t="n">
        <v>2</v>
      </c>
      <c r="L761" s="18" t="inlineStr">
        <is>
          <t>cobbleventure:generation_2</t>
        </is>
      </c>
      <c r="M761" s="19" t="inlineStr">
        <is>
          <t>cobbleventure:generation_2</t>
        </is>
      </c>
      <c r="N761" s="18" t="inlineStr">
        <is>
          <t>region_02</t>
        </is>
      </c>
      <c r="O761" s="19" t="inlineStr"/>
      <c r="P761" s="18" t="inlineStr">
        <is>
          <t>#cobblemon:is_mushroom; #cobblemon:is_swamp</t>
        </is>
      </c>
      <c r="Q761" s="19" t="inlineStr"/>
      <c r="R761" s="18">
        <f>IF(Q761="",P761,Q761)</f>
        <v/>
      </c>
      <c r="S761" s="18" t="inlineStr">
        <is>
          <t>#cobblemon:has_block/mud</t>
        </is>
      </c>
      <c r="T761" s="18" t="inlineStr">
        <is>
          <t>common</t>
        </is>
      </c>
      <c r="U761" s="20" t="n">
        <v>20</v>
      </c>
      <c r="V761" s="21" t="n">
        <v>1</v>
      </c>
      <c r="W761" s="20">
        <f>IF(OR(U761="",V761=""),U761,U761*V761)</f>
        <v/>
      </c>
      <c r="X761" s="18" t="inlineStr">
        <is>
          <t>1-21</t>
        </is>
      </c>
      <c r="Y761" s="19" t="inlineStr"/>
      <c r="Z761" s="18">
        <f>IF(Y761="",X761,Y761)</f>
        <v/>
      </c>
      <c r="AA761" s="18" t="inlineStr">
        <is>
          <t>fishing</t>
        </is>
      </c>
      <c r="AB761" s="18" t="inlineStr"/>
      <c r="AC761" s="18" t="inlineStr"/>
      <c r="AD761" s="18" t="inlineStr"/>
      <c r="AE761" s="18" t="inlineStr">
        <is>
          <t>sky 8-15</t>
        </is>
      </c>
      <c r="AF761" s="18" t="inlineStr">
        <is>
          <t>False</t>
        </is>
      </c>
      <c r="AG761" s="18" t="inlineStr"/>
      <c r="AH761" s="18" t="inlineStr"/>
      <c r="AI761" s="18" t="inlineStr">
        <is>
          <t>{"fishing":{"bait":"cobblemon:love_sweet"}}</t>
        </is>
      </c>
      <c r="AJ761" s="18" t="inlineStr">
        <is>
          <t>Cobblemon 동일</t>
        </is>
      </c>
      <c r="AK761" s="18" t="inlineStr">
        <is>
          <t>사용</t>
        </is>
      </c>
      <c r="AL761" s="18" t="inlineStr">
        <is>
          <t>COBBLEVERSE 1.7.42 / DP v31</t>
        </is>
      </c>
      <c r="AM761" s="18" t="inlineStr">
        <is>
          <t>data/cobblemon/spawn_pool_world/0194_wooper.json</t>
        </is>
      </c>
      <c r="AN761" s="18" t="inlineStr">
        <is>
          <t>wooper-true-20</t>
        </is>
      </c>
      <c r="AO761" s="18" t="inlineStr">
        <is>
          <t>pokemon</t>
        </is>
      </c>
      <c r="AP761" s="18" t="inlineStr"/>
      <c r="AQ761" s="18" t="inlineStr">
        <is>
          <t>{"bait":"cobblemon:love_sweet","biomes":["#cobblemon:is_mushroom","#cobblemon:is_swamp"],"canSeeSky":false,"maxSkyLight":15,"minSkyLight":8}</t>
        </is>
      </c>
      <c r="AR761" s="18" t="inlineStr">
        <is>
          <t>{"biomes":["#cobblemon:has_block/mud"]}</t>
        </is>
      </c>
      <c r="AS761" s="18" t="inlineStr">
        <is>
          <t>{"weightMultipliers":[{"condition":{"maxLureLevel":2,"minLureLevel":2},"multiplier":3.0},{"condition":{"minLureLevel":3},"multiplier":5.0}]}</t>
        </is>
      </c>
      <c r="AT761" s="19" t="inlineStr"/>
    </row>
    <row r="762" ht="32" customHeight="1">
      <c r="A762" s="18" t="inlineStr">
        <is>
          <t>0194_wooper.json::wooper-paldean-21::021</t>
        </is>
      </c>
      <c r="B762" s="19" t="inlineStr">
        <is>
          <t>사용</t>
        </is>
      </c>
      <c r="C762" s="18">
        <f>IF(OR(B762&lt;&gt;AK762,M762&lt;&gt;L762,O762&lt;&gt;"",Q762&lt;&gt;"",V762&lt;&gt;1,Y762&lt;&gt;"",AT762&lt;&gt;""),"수정","원본")</f>
        <v/>
      </c>
      <c r="D762" s="18" t="n">
        <v>194</v>
      </c>
      <c r="E762" s="18" t="inlineStr">
        <is>
          <t>우파</t>
        </is>
      </c>
      <c r="F762" s="18" t="inlineStr">
        <is>
          <t>wooper</t>
        </is>
      </c>
      <c r="G762" s="18" t="inlineStr">
        <is>
          <t>wooper paldean</t>
        </is>
      </c>
      <c r="H762" s="18" t="inlineStr">
        <is>
          <t>paldean</t>
        </is>
      </c>
      <c r="I762" s="18" t="n">
        <v>2</v>
      </c>
      <c r="J762" s="18" t="n">
        <v>9</v>
      </c>
      <c r="K762" s="18" t="n">
        <v>9</v>
      </c>
      <c r="L762" s="18" t="inlineStr">
        <is>
          <t>cobbleventure:generation_9</t>
        </is>
      </c>
      <c r="M762" s="19" t="inlineStr">
        <is>
          <t>cobbleventure:generation_9</t>
        </is>
      </c>
      <c r="N762" s="18" t="inlineStr"/>
      <c r="O762" s="19" t="inlineStr"/>
      <c r="P762" s="18" t="inlineStr">
        <is>
          <t>#cobblemon:has_block/mud</t>
        </is>
      </c>
      <c r="Q762" s="19" t="inlineStr"/>
      <c r="R762" s="18">
        <f>IF(Q762="",P762,Q762)</f>
        <v/>
      </c>
      <c r="S762" s="18" t="inlineStr"/>
      <c r="T762" s="18" t="inlineStr">
        <is>
          <t>common</t>
        </is>
      </c>
      <c r="U762" s="20" t="n">
        <v>9</v>
      </c>
      <c r="V762" s="21" t="n">
        <v>1</v>
      </c>
      <c r="W762" s="20">
        <f>IF(OR(U762="",V762=""),U762,U762*V762)</f>
        <v/>
      </c>
      <c r="X762" s="18" t="inlineStr">
        <is>
          <t>1-21</t>
        </is>
      </c>
      <c r="Y762" s="19" t="inlineStr"/>
      <c r="Z762" s="18">
        <f>IF(Y762="",X762,Y762)</f>
        <v/>
      </c>
      <c r="AA762" s="18" t="inlineStr">
        <is>
          <t>grounded</t>
        </is>
      </c>
      <c r="AB762" s="18" t="inlineStr"/>
      <c r="AC762" s="18" t="inlineStr"/>
      <c r="AD762" s="18" t="inlineStr"/>
      <c r="AE762" s="18" t="inlineStr">
        <is>
          <t>sky 8-15</t>
        </is>
      </c>
      <c r="AF762" s="18" t="inlineStr"/>
      <c r="AG762" s="18" t="inlineStr"/>
      <c r="AH762" s="18" t="inlineStr"/>
      <c r="AI762" s="18" t="inlineStr"/>
      <c r="AJ762" s="18" t="inlineStr">
        <is>
          <t>Cobblemon 동일</t>
        </is>
      </c>
      <c r="AK762" s="18" t="inlineStr">
        <is>
          <t>사용</t>
        </is>
      </c>
      <c r="AL762" s="18" t="inlineStr">
        <is>
          <t>COBBLEVERSE 1.7.42 / DP v31</t>
        </is>
      </c>
      <c r="AM762" s="18" t="inlineStr">
        <is>
          <t>data/cobblemon/spawn_pool_world/0194_wooper.json</t>
        </is>
      </c>
      <c r="AN762" s="18" t="inlineStr">
        <is>
          <t>wooper-paldean-21</t>
        </is>
      </c>
      <c r="AO762" s="18" t="inlineStr">
        <is>
          <t>pokemon</t>
        </is>
      </c>
      <c r="AP762" s="18" t="inlineStr">
        <is>
          <t>natural</t>
        </is>
      </c>
      <c r="AQ762" s="18" t="inlineStr">
        <is>
          <t>{"biomes":["#cobblemon:has_block/mud"],"maxSkyLight":15,"minSkyLight":8}</t>
        </is>
      </c>
      <c r="AR762" s="18" t="inlineStr"/>
      <c r="AS762" s="18" t="inlineStr"/>
      <c r="AT762" s="19" t="inlineStr"/>
    </row>
    <row r="763" ht="32" customHeight="1">
      <c r="A763" s="18" t="inlineStr">
        <is>
          <t>0194_wooper.json::wooper-paldean-22::022</t>
        </is>
      </c>
      <c r="B763" s="19" t="inlineStr">
        <is>
          <t>사용</t>
        </is>
      </c>
      <c r="C763" s="18">
        <f>IF(OR(B763&lt;&gt;AK763,M763&lt;&gt;L763,O763&lt;&gt;"",Q763&lt;&gt;"",V763&lt;&gt;1,Y763&lt;&gt;"",AT763&lt;&gt;""),"수정","원본")</f>
        <v/>
      </c>
      <c r="D763" s="18" t="n">
        <v>194</v>
      </c>
      <c r="E763" s="18" t="inlineStr">
        <is>
          <t>우파</t>
        </is>
      </c>
      <c r="F763" s="18" t="inlineStr">
        <is>
          <t>wooper</t>
        </is>
      </c>
      <c r="G763" s="18" t="inlineStr">
        <is>
          <t>wooper paldean</t>
        </is>
      </c>
      <c r="H763" s="18" t="inlineStr">
        <is>
          <t>paldean</t>
        </is>
      </c>
      <c r="I763" s="18" t="n">
        <v>2</v>
      </c>
      <c r="J763" s="18" t="n">
        <v>9</v>
      </c>
      <c r="K763" s="18" t="n">
        <v>9</v>
      </c>
      <c r="L763" s="18" t="inlineStr">
        <is>
          <t>cobbleventure:generation_9</t>
        </is>
      </c>
      <c r="M763" s="19" t="inlineStr">
        <is>
          <t>cobbleventure:generation_9</t>
        </is>
      </c>
      <c r="N763" s="18" t="inlineStr"/>
      <c r="O763" s="19" t="inlineStr"/>
      <c r="P763" s="18" t="inlineStr">
        <is>
          <t>#cobblemon:has_block/mud</t>
        </is>
      </c>
      <c r="Q763" s="19" t="inlineStr"/>
      <c r="R763" s="18">
        <f>IF(Q763="",P763,Q763)</f>
        <v/>
      </c>
      <c r="S763" s="18" t="inlineStr"/>
      <c r="T763" s="18" t="inlineStr">
        <is>
          <t>common</t>
        </is>
      </c>
      <c r="U763" s="20" t="n">
        <v>9</v>
      </c>
      <c r="V763" s="21" t="n">
        <v>1</v>
      </c>
      <c r="W763" s="20">
        <f>IF(OR(U763="",V763=""),U763,U763*V763)</f>
        <v/>
      </c>
      <c r="X763" s="18" t="inlineStr">
        <is>
          <t>1-21</t>
        </is>
      </c>
      <c r="Y763" s="19" t="inlineStr"/>
      <c r="Z763" s="18">
        <f>IF(Y763="",X763,Y763)</f>
        <v/>
      </c>
      <c r="AA763" s="18" t="inlineStr">
        <is>
          <t>submerged</t>
        </is>
      </c>
      <c r="AB763" s="18" t="inlineStr"/>
      <c r="AC763" s="18" t="inlineStr"/>
      <c r="AD763" s="18" t="inlineStr"/>
      <c r="AE763" s="18" t="inlineStr"/>
      <c r="AF763" s="18" t="inlineStr">
        <is>
          <t>True</t>
        </is>
      </c>
      <c r="AG763" s="18" t="inlineStr"/>
      <c r="AH763" s="18" t="inlineStr"/>
      <c r="AI763" s="18" t="inlineStr"/>
      <c r="AJ763" s="18" t="inlineStr">
        <is>
          <t>Cobblemon 동일</t>
        </is>
      </c>
      <c r="AK763" s="18" t="inlineStr">
        <is>
          <t>사용</t>
        </is>
      </c>
      <c r="AL763" s="18" t="inlineStr">
        <is>
          <t>COBBLEVERSE 1.7.42 / DP v31</t>
        </is>
      </c>
      <c r="AM763" s="18" t="inlineStr">
        <is>
          <t>data/cobblemon/spawn_pool_world/0194_wooper.json</t>
        </is>
      </c>
      <c r="AN763" s="18" t="inlineStr">
        <is>
          <t>wooper-paldean-22</t>
        </is>
      </c>
      <c r="AO763" s="18" t="inlineStr">
        <is>
          <t>pokemon</t>
        </is>
      </c>
      <c r="AP763" s="18" t="inlineStr">
        <is>
          <t>water</t>
        </is>
      </c>
      <c r="AQ763" s="18" t="inlineStr">
        <is>
          <t>{"biomes":["#cobblemon:has_block/mud"],"canSeeSky":true}</t>
        </is>
      </c>
      <c r="AR763" s="18" t="inlineStr"/>
      <c r="AS763" s="18" t="inlineStr"/>
      <c r="AT763" s="19" t="inlineStr"/>
    </row>
    <row r="764" ht="32" customHeight="1">
      <c r="A764" s="18" t="inlineStr">
        <is>
          <t>0194_wooper.json::wooper-paldean-23::023</t>
        </is>
      </c>
      <c r="B764" s="19" t="inlineStr">
        <is>
          <t>사용</t>
        </is>
      </c>
      <c r="C764" s="18">
        <f>IF(OR(B764&lt;&gt;AK764,M764&lt;&gt;L764,O764&lt;&gt;"",Q764&lt;&gt;"",V764&lt;&gt;1,Y764&lt;&gt;"",AT764&lt;&gt;""),"수정","원본")</f>
        <v/>
      </c>
      <c r="D764" s="18" t="n">
        <v>194</v>
      </c>
      <c r="E764" s="18" t="inlineStr">
        <is>
          <t>우파</t>
        </is>
      </c>
      <c r="F764" s="18" t="inlineStr">
        <is>
          <t>wooper</t>
        </is>
      </c>
      <c r="G764" s="18" t="inlineStr">
        <is>
          <t>wooper paldean</t>
        </is>
      </c>
      <c r="H764" s="18" t="inlineStr">
        <is>
          <t>paldean</t>
        </is>
      </c>
      <c r="I764" s="18" t="n">
        <v>2</v>
      </c>
      <c r="J764" s="18" t="n">
        <v>9</v>
      </c>
      <c r="K764" s="18" t="n">
        <v>9</v>
      </c>
      <c r="L764" s="18" t="inlineStr">
        <is>
          <t>cobbleventure:generation_9</t>
        </is>
      </c>
      <c r="M764" s="19" t="inlineStr">
        <is>
          <t>cobbleventure:generation_9</t>
        </is>
      </c>
      <c r="N764" s="18" t="inlineStr"/>
      <c r="O764" s="19" t="inlineStr"/>
      <c r="P764" s="18" t="inlineStr">
        <is>
          <t>#cobblemon:is_savanna</t>
        </is>
      </c>
      <c r="Q764" s="19" t="inlineStr"/>
      <c r="R764" s="18">
        <f>IF(Q764="",P764,Q764)</f>
        <v/>
      </c>
      <c r="S764" s="18" t="inlineStr"/>
      <c r="T764" s="18" t="inlineStr">
        <is>
          <t>uncommon</t>
        </is>
      </c>
      <c r="U764" s="20" t="n">
        <v>8.4</v>
      </c>
      <c r="V764" s="21" t="n">
        <v>1</v>
      </c>
      <c r="W764" s="20">
        <f>IF(OR(U764="",V764=""),U764,U764*V764)</f>
        <v/>
      </c>
      <c r="X764" s="18" t="inlineStr">
        <is>
          <t>1-21</t>
        </is>
      </c>
      <c r="Y764" s="19" t="inlineStr"/>
      <c r="Z764" s="18">
        <f>IF(Y764="",X764,Y764)</f>
        <v/>
      </c>
      <c r="AA764" s="18" t="inlineStr">
        <is>
          <t>grounded</t>
        </is>
      </c>
      <c r="AB764" s="18" t="inlineStr"/>
      <c r="AC764" s="18" t="inlineStr"/>
      <c r="AD764" s="18" t="inlineStr"/>
      <c r="AE764" s="18" t="inlineStr">
        <is>
          <t>sky 8-15</t>
        </is>
      </c>
      <c r="AF764" s="18" t="inlineStr"/>
      <c r="AG764" s="18" t="inlineStr"/>
      <c r="AH764" s="18" t="inlineStr">
        <is>
          <t>주변=minecraft:water</t>
        </is>
      </c>
      <c r="AI764" s="18" t="inlineStr"/>
      <c r="AJ764" s="18" t="inlineStr">
        <is>
          <t>Cobblemon 동일</t>
        </is>
      </c>
      <c r="AK764" s="18" t="inlineStr">
        <is>
          <t>사용</t>
        </is>
      </c>
      <c r="AL764" s="18" t="inlineStr">
        <is>
          <t>COBBLEVERSE 1.7.42 / DP v31</t>
        </is>
      </c>
      <c r="AM764" s="18" t="inlineStr">
        <is>
          <t>data/cobblemon/spawn_pool_world/0194_wooper.json</t>
        </is>
      </c>
      <c r="AN764" s="18" t="inlineStr">
        <is>
          <t>wooper-paldean-23</t>
        </is>
      </c>
      <c r="AO764" s="18" t="inlineStr">
        <is>
          <t>pokemon</t>
        </is>
      </c>
      <c r="AP764" s="18" t="inlineStr">
        <is>
          <t>natural</t>
        </is>
      </c>
      <c r="AQ764" s="18" t="inlineStr">
        <is>
          <t>{"biomes":["#cobblemon:is_savanna"],"maxSkyLight":15,"minSkyLight":8,"neededNearbyBlocks":["minecraft:water"]}</t>
        </is>
      </c>
      <c r="AR764" s="18" t="inlineStr"/>
      <c r="AS764" s="18" t="inlineStr"/>
      <c r="AT764" s="19" t="inlineStr"/>
    </row>
    <row r="765" ht="32" customHeight="1">
      <c r="A765" s="18" t="inlineStr">
        <is>
          <t>0194_wooper.json::wooper-paldean-24::024</t>
        </is>
      </c>
      <c r="B765" s="19" t="inlineStr">
        <is>
          <t>사용</t>
        </is>
      </c>
      <c r="C765" s="18">
        <f>IF(OR(B765&lt;&gt;AK765,M765&lt;&gt;L765,O765&lt;&gt;"",Q765&lt;&gt;"",V765&lt;&gt;1,Y765&lt;&gt;"",AT765&lt;&gt;""),"수정","원본")</f>
        <v/>
      </c>
      <c r="D765" s="18" t="n">
        <v>194</v>
      </c>
      <c r="E765" s="18" t="inlineStr">
        <is>
          <t>우파</t>
        </is>
      </c>
      <c r="F765" s="18" t="inlineStr">
        <is>
          <t>wooper</t>
        </is>
      </c>
      <c r="G765" s="18" t="inlineStr">
        <is>
          <t>wooper paldean</t>
        </is>
      </c>
      <c r="H765" s="18" t="inlineStr">
        <is>
          <t>paldean</t>
        </is>
      </c>
      <c r="I765" s="18" t="n">
        <v>2</v>
      </c>
      <c r="J765" s="18" t="n">
        <v>9</v>
      </c>
      <c r="K765" s="18" t="n">
        <v>9</v>
      </c>
      <c r="L765" s="18" t="inlineStr">
        <is>
          <t>cobbleventure:generation_9</t>
        </is>
      </c>
      <c r="M765" s="19" t="inlineStr">
        <is>
          <t>cobbleventure:generation_9</t>
        </is>
      </c>
      <c r="N765" s="18" t="inlineStr"/>
      <c r="O765" s="19" t="inlineStr"/>
      <c r="P765" s="18" t="inlineStr">
        <is>
          <t>#cobblemon:is_savanna</t>
        </is>
      </c>
      <c r="Q765" s="19" t="inlineStr"/>
      <c r="R765" s="18">
        <f>IF(Q765="",P765,Q765)</f>
        <v/>
      </c>
      <c r="S765" s="18" t="inlineStr"/>
      <c r="T765" s="18" t="inlineStr">
        <is>
          <t>uncommon</t>
        </is>
      </c>
      <c r="U765" s="20" t="n">
        <v>8.4</v>
      </c>
      <c r="V765" s="21" t="n">
        <v>1</v>
      </c>
      <c r="W765" s="20">
        <f>IF(OR(U765="",V765=""),U765,U765*V765)</f>
        <v/>
      </c>
      <c r="X765" s="18" t="inlineStr">
        <is>
          <t>1-21</t>
        </is>
      </c>
      <c r="Y765" s="19" t="inlineStr"/>
      <c r="Z765" s="18">
        <f>IF(Y765="",X765,Y765)</f>
        <v/>
      </c>
      <c r="AA765" s="18" t="inlineStr">
        <is>
          <t>submerged</t>
        </is>
      </c>
      <c r="AB765" s="18" t="inlineStr"/>
      <c r="AC765" s="18" t="inlineStr"/>
      <c r="AD765" s="18" t="inlineStr"/>
      <c r="AE765" s="18" t="inlineStr"/>
      <c r="AF765" s="18" t="inlineStr">
        <is>
          <t>True</t>
        </is>
      </c>
      <c r="AG765" s="18" t="inlineStr"/>
      <c r="AH765" s="18" t="inlineStr"/>
      <c r="AI765" s="18" t="inlineStr"/>
      <c r="AJ765" s="18" t="inlineStr">
        <is>
          <t>Cobblemon 동일</t>
        </is>
      </c>
      <c r="AK765" s="18" t="inlineStr">
        <is>
          <t>사용</t>
        </is>
      </c>
      <c r="AL765" s="18" t="inlineStr">
        <is>
          <t>COBBLEVERSE 1.7.42 / DP v31</t>
        </is>
      </c>
      <c r="AM765" s="18" t="inlineStr">
        <is>
          <t>data/cobblemon/spawn_pool_world/0194_wooper.json</t>
        </is>
      </c>
      <c r="AN765" s="18" t="inlineStr">
        <is>
          <t>wooper-paldean-24</t>
        </is>
      </c>
      <c r="AO765" s="18" t="inlineStr">
        <is>
          <t>pokemon</t>
        </is>
      </c>
      <c r="AP765" s="18" t="inlineStr">
        <is>
          <t>water</t>
        </is>
      </c>
      <c r="AQ765" s="18" t="inlineStr">
        <is>
          <t>{"biomes":["#cobblemon:is_savanna"],"canSeeSky":true}</t>
        </is>
      </c>
      <c r="AR765" s="18" t="inlineStr"/>
      <c r="AS765" s="18" t="inlineStr"/>
      <c r="AT765" s="19" t="inlineStr"/>
    </row>
    <row r="766" ht="32" customHeight="1">
      <c r="A766" s="18" t="inlineStr">
        <is>
          <t>0194_wooper.json::wooper-paldean-25::025</t>
        </is>
      </c>
      <c r="B766" s="19" t="inlineStr">
        <is>
          <t>사용</t>
        </is>
      </c>
      <c r="C766" s="18">
        <f>IF(OR(B766&lt;&gt;AK766,M766&lt;&gt;L766,O766&lt;&gt;"",Q766&lt;&gt;"",V766&lt;&gt;1,Y766&lt;&gt;"",AT766&lt;&gt;""),"수정","원본")</f>
        <v/>
      </c>
      <c r="D766" s="18" t="n">
        <v>194</v>
      </c>
      <c r="E766" s="18" t="inlineStr">
        <is>
          <t>우파</t>
        </is>
      </c>
      <c r="F766" s="18" t="inlineStr">
        <is>
          <t>wooper</t>
        </is>
      </c>
      <c r="G766" s="18" t="inlineStr">
        <is>
          <t>wooper paldean</t>
        </is>
      </c>
      <c r="H766" s="18" t="inlineStr">
        <is>
          <t>paldean</t>
        </is>
      </c>
      <c r="I766" s="18" t="n">
        <v>2</v>
      </c>
      <c r="J766" s="18" t="n">
        <v>9</v>
      </c>
      <c r="K766" s="18" t="n">
        <v>9</v>
      </c>
      <c r="L766" s="18" t="inlineStr">
        <is>
          <t>cobbleventure:generation_9</t>
        </is>
      </c>
      <c r="M766" s="19" t="inlineStr">
        <is>
          <t>cobbleventure:generation_9</t>
        </is>
      </c>
      <c r="N766" s="18" t="inlineStr"/>
      <c r="O766" s="19" t="inlineStr"/>
      <c r="P766" s="18" t="inlineStr">
        <is>
          <t>#cobblemon:has_block/mud</t>
        </is>
      </c>
      <c r="Q766" s="19" t="inlineStr"/>
      <c r="R766" s="18">
        <f>IF(Q766="",P766,Q766)</f>
        <v/>
      </c>
      <c r="S766" s="18" t="inlineStr"/>
      <c r="T766" s="18" t="inlineStr">
        <is>
          <t>common</t>
        </is>
      </c>
      <c r="U766" s="20" t="n">
        <v>9</v>
      </c>
      <c r="V766" s="21" t="n">
        <v>1</v>
      </c>
      <c r="W766" s="20">
        <f>IF(OR(U766="",V766=""),U766,U766*V766)</f>
        <v/>
      </c>
      <c r="X766" s="18" t="inlineStr">
        <is>
          <t>1-21</t>
        </is>
      </c>
      <c r="Y766" s="19" t="inlineStr"/>
      <c r="Z766" s="18">
        <f>IF(Y766="",X766,Y766)</f>
        <v/>
      </c>
      <c r="AA766" s="18" t="inlineStr">
        <is>
          <t>fishing</t>
        </is>
      </c>
      <c r="AB766" s="18" t="inlineStr"/>
      <c r="AC766" s="18" t="inlineStr"/>
      <c r="AD766" s="18" t="inlineStr"/>
      <c r="AE766" s="18" t="inlineStr"/>
      <c r="AF766" s="18" t="inlineStr">
        <is>
          <t>True</t>
        </is>
      </c>
      <c r="AG766" s="18" t="inlineStr"/>
      <c r="AH766" s="18" t="inlineStr"/>
      <c r="AI766" s="18" t="inlineStr"/>
      <c r="AJ766" s="18" t="inlineStr">
        <is>
          <t>Cobblemon 동일</t>
        </is>
      </c>
      <c r="AK766" s="18" t="inlineStr">
        <is>
          <t>사용</t>
        </is>
      </c>
      <c r="AL766" s="18" t="inlineStr">
        <is>
          <t>COBBLEVERSE 1.7.42 / DP v31</t>
        </is>
      </c>
      <c r="AM766" s="18" t="inlineStr">
        <is>
          <t>data/cobblemon/spawn_pool_world/0194_wooper.json</t>
        </is>
      </c>
      <c r="AN766" s="18" t="inlineStr">
        <is>
          <t>wooper-paldean-25</t>
        </is>
      </c>
      <c r="AO766" s="18" t="inlineStr">
        <is>
          <t>pokemon</t>
        </is>
      </c>
      <c r="AP766" s="18" t="inlineStr"/>
      <c r="AQ766" s="18" t="inlineStr">
        <is>
          <t>{"biomes":["#cobblemon:has_block/mud"],"canSeeSky":true}</t>
        </is>
      </c>
      <c r="AR766" s="18" t="inlineStr"/>
      <c r="AS766" s="18" t="inlineStr"/>
      <c r="AT766" s="19" t="inlineStr"/>
    </row>
    <row r="767" ht="32" customHeight="1">
      <c r="A767" s="18" t="inlineStr">
        <is>
          <t>0194_wooper.json::wooper-paldean-26::026</t>
        </is>
      </c>
      <c r="B767" s="19" t="inlineStr">
        <is>
          <t>사용</t>
        </is>
      </c>
      <c r="C767" s="18">
        <f>IF(OR(B767&lt;&gt;AK767,M767&lt;&gt;L767,O767&lt;&gt;"",Q767&lt;&gt;"",V767&lt;&gt;1,Y767&lt;&gt;"",AT767&lt;&gt;""),"수정","원본")</f>
        <v/>
      </c>
      <c r="D767" s="18" t="n">
        <v>194</v>
      </c>
      <c r="E767" s="18" t="inlineStr">
        <is>
          <t>우파</t>
        </is>
      </c>
      <c r="F767" s="18" t="inlineStr">
        <is>
          <t>wooper</t>
        </is>
      </c>
      <c r="G767" s="18" t="inlineStr">
        <is>
          <t>wooper paldean</t>
        </is>
      </c>
      <c r="H767" s="18" t="inlineStr">
        <is>
          <t>paldean</t>
        </is>
      </c>
      <c r="I767" s="18" t="n">
        <v>2</v>
      </c>
      <c r="J767" s="18" t="n">
        <v>9</v>
      </c>
      <c r="K767" s="18" t="n">
        <v>9</v>
      </c>
      <c r="L767" s="18" t="inlineStr">
        <is>
          <t>cobbleventure:generation_9</t>
        </is>
      </c>
      <c r="M767" s="19" t="inlineStr">
        <is>
          <t>cobbleventure:generation_9</t>
        </is>
      </c>
      <c r="N767" s="18" t="inlineStr">
        <is>
          <t>region_02</t>
        </is>
      </c>
      <c r="O767" s="19" t="inlineStr"/>
      <c r="P767" s="18" t="inlineStr">
        <is>
          <t>#cobblemon:is_arid</t>
        </is>
      </c>
      <c r="Q767" s="19" t="inlineStr"/>
      <c r="R767" s="18">
        <f>IF(Q767="",P767,Q767)</f>
        <v/>
      </c>
      <c r="S767" s="18" t="inlineStr"/>
      <c r="T767" s="18" t="inlineStr">
        <is>
          <t>uncommon</t>
        </is>
      </c>
      <c r="U767" s="20" t="n">
        <v>8.4</v>
      </c>
      <c r="V767" s="21" t="n">
        <v>1</v>
      </c>
      <c r="W767" s="20">
        <f>IF(OR(U767="",V767=""),U767,U767*V767)</f>
        <v/>
      </c>
      <c r="X767" s="18" t="inlineStr">
        <is>
          <t>1-21</t>
        </is>
      </c>
      <c r="Y767" s="19" t="inlineStr"/>
      <c r="Z767" s="18">
        <f>IF(Y767="",X767,Y767)</f>
        <v/>
      </c>
      <c r="AA767" s="18" t="inlineStr">
        <is>
          <t>fishing</t>
        </is>
      </c>
      <c r="AB767" s="18" t="inlineStr"/>
      <c r="AC767" s="18" t="inlineStr"/>
      <c r="AD767" s="18" t="inlineStr"/>
      <c r="AE767" s="18" t="inlineStr"/>
      <c r="AF767" s="18" t="inlineStr">
        <is>
          <t>True</t>
        </is>
      </c>
      <c r="AG767" s="18" t="inlineStr"/>
      <c r="AH767" s="18" t="inlineStr"/>
      <c r="AI767" s="18" t="inlineStr"/>
      <c r="AJ767" s="18" t="inlineStr">
        <is>
          <t>Cobblemon 동일</t>
        </is>
      </c>
      <c r="AK767" s="18" t="inlineStr">
        <is>
          <t>사용</t>
        </is>
      </c>
      <c r="AL767" s="18" t="inlineStr">
        <is>
          <t>COBBLEVERSE 1.7.42 / DP v31</t>
        </is>
      </c>
      <c r="AM767" s="18" t="inlineStr">
        <is>
          <t>data/cobblemon/spawn_pool_world/0194_wooper.json</t>
        </is>
      </c>
      <c r="AN767" s="18" t="inlineStr">
        <is>
          <t>wooper-paldean-26</t>
        </is>
      </c>
      <c r="AO767" s="18" t="inlineStr">
        <is>
          <t>pokemon</t>
        </is>
      </c>
      <c r="AP767" s="18" t="inlineStr"/>
      <c r="AQ767" s="18" t="inlineStr">
        <is>
          <t>{"biomes":["#cobblemon:is_arid"],"canSeeSky":true}</t>
        </is>
      </c>
      <c r="AR767" s="18" t="inlineStr">
        <is>
          <t>{"minLureLevel":1}</t>
        </is>
      </c>
      <c r="AS767" s="18" t="inlineStr"/>
      <c r="AT767" s="19" t="inlineStr"/>
    </row>
    <row r="768" ht="32" customHeight="1">
      <c r="A768" s="18" t="inlineStr">
        <is>
          <t>0194_wooper.json::wooper-paldean-27::027</t>
        </is>
      </c>
      <c r="B768" s="19" t="inlineStr">
        <is>
          <t>사용</t>
        </is>
      </c>
      <c r="C768" s="18">
        <f>IF(OR(B768&lt;&gt;AK768,M768&lt;&gt;L768,O768&lt;&gt;"",Q768&lt;&gt;"",V768&lt;&gt;1,Y768&lt;&gt;"",AT768&lt;&gt;""),"수정","원본")</f>
        <v/>
      </c>
      <c r="D768" s="18" t="n">
        <v>194</v>
      </c>
      <c r="E768" s="18" t="inlineStr">
        <is>
          <t>우파</t>
        </is>
      </c>
      <c r="F768" s="18" t="inlineStr">
        <is>
          <t>wooper</t>
        </is>
      </c>
      <c r="G768" s="18" t="inlineStr">
        <is>
          <t>wooper paldean</t>
        </is>
      </c>
      <c r="H768" s="18" t="inlineStr">
        <is>
          <t>paldean</t>
        </is>
      </c>
      <c r="I768" s="18" t="n">
        <v>2</v>
      </c>
      <c r="J768" s="18" t="n">
        <v>9</v>
      </c>
      <c r="K768" s="18" t="n">
        <v>9</v>
      </c>
      <c r="L768" s="18" t="inlineStr">
        <is>
          <t>cobbleventure:generation_9</t>
        </is>
      </c>
      <c r="M768" s="19" t="inlineStr">
        <is>
          <t>cobbleventure:generation_9</t>
        </is>
      </c>
      <c r="N768" s="18" t="inlineStr">
        <is>
          <t>region_02</t>
        </is>
      </c>
      <c r="O768" s="19" t="inlineStr"/>
      <c r="P768" s="18" t="inlineStr">
        <is>
          <t>#cobblemon:is_arid</t>
        </is>
      </c>
      <c r="Q768" s="19" t="inlineStr"/>
      <c r="R768" s="18">
        <f>IF(Q768="",P768,Q768)</f>
        <v/>
      </c>
      <c r="S768" s="18" t="inlineStr"/>
      <c r="T768" s="18" t="inlineStr">
        <is>
          <t>common</t>
        </is>
      </c>
      <c r="U768" s="20" t="n">
        <v>9</v>
      </c>
      <c r="V768" s="21" t="n">
        <v>1</v>
      </c>
      <c r="W768" s="20">
        <f>IF(OR(U768="",V768=""),U768,U768*V768)</f>
        <v/>
      </c>
      <c r="X768" s="18" t="inlineStr">
        <is>
          <t>1-21</t>
        </is>
      </c>
      <c r="Y768" s="19" t="inlineStr"/>
      <c r="Z768" s="18">
        <f>IF(Y768="",X768,Y768)</f>
        <v/>
      </c>
      <c r="AA768" s="18" t="inlineStr">
        <is>
          <t>fishing</t>
        </is>
      </c>
      <c r="AB768" s="18" t="inlineStr"/>
      <c r="AC768" s="18" t="inlineStr"/>
      <c r="AD768" s="18" t="inlineStr"/>
      <c r="AE768" s="18" t="inlineStr"/>
      <c r="AF768" s="18" t="inlineStr">
        <is>
          <t>True</t>
        </is>
      </c>
      <c r="AG768" s="18" t="inlineStr"/>
      <c r="AH768" s="18" t="inlineStr"/>
      <c r="AI768" s="18" t="inlineStr">
        <is>
          <t>{"fishing":{"minLureLevel":1}}</t>
        </is>
      </c>
      <c r="AJ768" s="18" t="inlineStr">
        <is>
          <t>Cobblemon 동일</t>
        </is>
      </c>
      <c r="AK768" s="18" t="inlineStr">
        <is>
          <t>사용</t>
        </is>
      </c>
      <c r="AL768" s="18" t="inlineStr">
        <is>
          <t>COBBLEVERSE 1.7.42 / DP v31</t>
        </is>
      </c>
      <c r="AM768" s="18" t="inlineStr">
        <is>
          <t>data/cobblemon/spawn_pool_world/0194_wooper.json</t>
        </is>
      </c>
      <c r="AN768" s="18" t="inlineStr">
        <is>
          <t>wooper-paldean-27</t>
        </is>
      </c>
      <c r="AO768" s="18" t="inlineStr">
        <is>
          <t>pokemon</t>
        </is>
      </c>
      <c r="AP768" s="18" t="inlineStr"/>
      <c r="AQ768" s="18" t="inlineStr">
        <is>
          <t>{"biomes":["#cobblemon:is_arid"],"canSeeSky":true,"minLureLevel":1}</t>
        </is>
      </c>
      <c r="AR768" s="18" t="inlineStr"/>
      <c r="AS768" s="18" t="inlineStr">
        <is>
          <t>{"weightMultiplier":{"condition":{"maxLureLevel":2,"minLureLevel":1},"multiplier":0.6}}</t>
        </is>
      </c>
      <c r="AT768" s="19" t="inlineStr"/>
    </row>
    <row r="769" ht="32" customHeight="1">
      <c r="A769" s="18" t="inlineStr">
        <is>
          <t>0194_wooper.json::wooper-paldean-28::028</t>
        </is>
      </c>
      <c r="B769" s="19" t="inlineStr">
        <is>
          <t>사용</t>
        </is>
      </c>
      <c r="C769" s="18">
        <f>IF(OR(B769&lt;&gt;AK769,M769&lt;&gt;L769,O769&lt;&gt;"",Q769&lt;&gt;"",V769&lt;&gt;1,Y769&lt;&gt;"",AT769&lt;&gt;""),"수정","원본")</f>
        <v/>
      </c>
      <c r="D769" s="18" t="n">
        <v>194</v>
      </c>
      <c r="E769" s="18" t="inlineStr">
        <is>
          <t>우파</t>
        </is>
      </c>
      <c r="F769" s="18" t="inlineStr">
        <is>
          <t>wooper</t>
        </is>
      </c>
      <c r="G769" s="18" t="inlineStr">
        <is>
          <t>wooper paldean</t>
        </is>
      </c>
      <c r="H769" s="18" t="inlineStr">
        <is>
          <t>paldean</t>
        </is>
      </c>
      <c r="I769" s="18" t="n">
        <v>2</v>
      </c>
      <c r="J769" s="18" t="n">
        <v>9</v>
      </c>
      <c r="K769" s="18" t="n">
        <v>9</v>
      </c>
      <c r="L769" s="18" t="inlineStr">
        <is>
          <t>cobbleventure:generation_9</t>
        </is>
      </c>
      <c r="M769" s="19" t="inlineStr">
        <is>
          <t>cobbleventure:generation_9</t>
        </is>
      </c>
      <c r="N769" s="18" t="inlineStr"/>
      <c r="O769" s="19" t="inlineStr"/>
      <c r="P769" s="18" t="inlineStr">
        <is>
          <t>#cobblemon:has_block/mud</t>
        </is>
      </c>
      <c r="Q769" s="19" t="inlineStr"/>
      <c r="R769" s="18">
        <f>IF(Q769="",P769,Q769)</f>
        <v/>
      </c>
      <c r="S769" s="18" t="inlineStr"/>
      <c r="T769" s="18" t="inlineStr">
        <is>
          <t>common</t>
        </is>
      </c>
      <c r="U769" s="20" t="n">
        <v>9</v>
      </c>
      <c r="V769" s="21" t="n">
        <v>1</v>
      </c>
      <c r="W769" s="20">
        <f>IF(OR(U769="",V769=""),U769,U769*V769)</f>
        <v/>
      </c>
      <c r="X769" s="18" t="inlineStr">
        <is>
          <t>1-21</t>
        </is>
      </c>
      <c r="Y769" s="19" t="inlineStr"/>
      <c r="Z769" s="18">
        <f>IF(Y769="",X769,Y769)</f>
        <v/>
      </c>
      <c r="AA769" s="18" t="inlineStr">
        <is>
          <t>submerged</t>
        </is>
      </c>
      <c r="AB769" s="18" t="inlineStr"/>
      <c r="AC769" s="18" t="inlineStr"/>
      <c r="AD769" s="18" t="inlineStr"/>
      <c r="AE769" s="18" t="inlineStr">
        <is>
          <t>sky 8-15</t>
        </is>
      </c>
      <c r="AF769" s="18" t="inlineStr">
        <is>
          <t>False</t>
        </is>
      </c>
      <c r="AG769" s="18" t="inlineStr"/>
      <c r="AH769" s="18" t="inlineStr"/>
      <c r="AI769" s="18" t="inlineStr"/>
      <c r="AJ769" s="18" t="inlineStr">
        <is>
          <t>Cobblemon 동일</t>
        </is>
      </c>
      <c r="AK769" s="18" t="inlineStr">
        <is>
          <t>사용</t>
        </is>
      </c>
      <c r="AL769" s="18" t="inlineStr">
        <is>
          <t>COBBLEVERSE 1.7.42 / DP v31</t>
        </is>
      </c>
      <c r="AM769" s="18" t="inlineStr">
        <is>
          <t>data/cobblemon/spawn_pool_world/0194_wooper.json</t>
        </is>
      </c>
      <c r="AN769" s="18" t="inlineStr">
        <is>
          <t>wooper-paldean-28</t>
        </is>
      </c>
      <c r="AO769" s="18" t="inlineStr">
        <is>
          <t>pokemon</t>
        </is>
      </c>
      <c r="AP769" s="18" t="inlineStr">
        <is>
          <t>water</t>
        </is>
      </c>
      <c r="AQ769" s="18" t="inlineStr">
        <is>
          <t>{"biomes":["#cobblemon:has_block/mud"],"canSeeSky":false,"maxSkyLight":15,"minSkyLight":8}</t>
        </is>
      </c>
      <c r="AR769" s="18" t="inlineStr"/>
      <c r="AS769" s="18" t="inlineStr"/>
      <c r="AT769" s="19" t="inlineStr"/>
    </row>
    <row r="770" ht="32" customHeight="1">
      <c r="A770" s="18" t="inlineStr">
        <is>
          <t>0194_wooper.json::wooper-paldean-29::029</t>
        </is>
      </c>
      <c r="B770" s="19" t="inlineStr">
        <is>
          <t>사용</t>
        </is>
      </c>
      <c r="C770" s="18">
        <f>IF(OR(B770&lt;&gt;AK770,M770&lt;&gt;L770,O770&lt;&gt;"",Q770&lt;&gt;"",V770&lt;&gt;1,Y770&lt;&gt;"",AT770&lt;&gt;""),"수정","원본")</f>
        <v/>
      </c>
      <c r="D770" s="18" t="n">
        <v>194</v>
      </c>
      <c r="E770" s="18" t="inlineStr">
        <is>
          <t>우파</t>
        </is>
      </c>
      <c r="F770" s="18" t="inlineStr">
        <is>
          <t>wooper</t>
        </is>
      </c>
      <c r="G770" s="18" t="inlineStr">
        <is>
          <t>wooper paldean</t>
        </is>
      </c>
      <c r="H770" s="18" t="inlineStr">
        <is>
          <t>paldean</t>
        </is>
      </c>
      <c r="I770" s="18" t="n">
        <v>2</v>
      </c>
      <c r="J770" s="18" t="n">
        <v>9</v>
      </c>
      <c r="K770" s="18" t="n">
        <v>9</v>
      </c>
      <c r="L770" s="18" t="inlineStr">
        <is>
          <t>cobbleventure:generation_9</t>
        </is>
      </c>
      <c r="M770" s="19" t="inlineStr">
        <is>
          <t>cobbleventure:generation_9</t>
        </is>
      </c>
      <c r="N770" s="18" t="inlineStr"/>
      <c r="O770" s="19" t="inlineStr"/>
      <c r="P770" s="18" t="inlineStr">
        <is>
          <t>#cobblemon:is_savanna</t>
        </is>
      </c>
      <c r="Q770" s="19" t="inlineStr"/>
      <c r="R770" s="18">
        <f>IF(Q770="",P770,Q770)</f>
        <v/>
      </c>
      <c r="S770" s="18" t="inlineStr"/>
      <c r="T770" s="18" t="inlineStr">
        <is>
          <t>uncommon</t>
        </is>
      </c>
      <c r="U770" s="20" t="n">
        <v>8.4</v>
      </c>
      <c r="V770" s="21" t="n">
        <v>1</v>
      </c>
      <c r="W770" s="20">
        <f>IF(OR(U770="",V770=""),U770,U770*V770)</f>
        <v/>
      </c>
      <c r="X770" s="18" t="inlineStr">
        <is>
          <t>1-21</t>
        </is>
      </c>
      <c r="Y770" s="19" t="inlineStr"/>
      <c r="Z770" s="18">
        <f>IF(Y770="",X770,Y770)</f>
        <v/>
      </c>
      <c r="AA770" s="18" t="inlineStr">
        <is>
          <t>submerged</t>
        </is>
      </c>
      <c r="AB770" s="18" t="inlineStr"/>
      <c r="AC770" s="18" t="inlineStr"/>
      <c r="AD770" s="18" t="inlineStr"/>
      <c r="AE770" s="18" t="inlineStr">
        <is>
          <t>sky 8-15</t>
        </is>
      </c>
      <c r="AF770" s="18" t="inlineStr">
        <is>
          <t>False</t>
        </is>
      </c>
      <c r="AG770" s="18" t="inlineStr"/>
      <c r="AH770" s="18" t="inlineStr"/>
      <c r="AI770" s="18" t="inlineStr"/>
      <c r="AJ770" s="18" t="inlineStr">
        <is>
          <t>Cobblemon 동일</t>
        </is>
      </c>
      <c r="AK770" s="18" t="inlineStr">
        <is>
          <t>사용</t>
        </is>
      </c>
      <c r="AL770" s="18" t="inlineStr">
        <is>
          <t>COBBLEVERSE 1.7.42 / DP v31</t>
        </is>
      </c>
      <c r="AM770" s="18" t="inlineStr">
        <is>
          <t>data/cobblemon/spawn_pool_world/0194_wooper.json</t>
        </is>
      </c>
      <c r="AN770" s="18" t="inlineStr">
        <is>
          <t>wooper-paldean-29</t>
        </is>
      </c>
      <c r="AO770" s="18" t="inlineStr">
        <is>
          <t>pokemon</t>
        </is>
      </c>
      <c r="AP770" s="18" t="inlineStr">
        <is>
          <t>water</t>
        </is>
      </c>
      <c r="AQ770" s="18" t="inlineStr">
        <is>
          <t>{"biomes":["#cobblemon:is_savanna"],"canSeeSky":false,"maxSkyLight":15,"minSkyLight":8}</t>
        </is>
      </c>
      <c r="AR770" s="18" t="inlineStr"/>
      <c r="AS770" s="18" t="inlineStr"/>
      <c r="AT770" s="19" t="inlineStr"/>
    </row>
    <row r="771" ht="32" customHeight="1">
      <c r="A771" s="18" t="inlineStr">
        <is>
          <t>0194_wooper.json::wooper-paldean-30::030</t>
        </is>
      </c>
      <c r="B771" s="19" t="inlineStr">
        <is>
          <t>사용</t>
        </is>
      </c>
      <c r="C771" s="18">
        <f>IF(OR(B771&lt;&gt;AK771,M771&lt;&gt;L771,O771&lt;&gt;"",Q771&lt;&gt;"",V771&lt;&gt;1,Y771&lt;&gt;"",AT771&lt;&gt;""),"수정","원본")</f>
        <v/>
      </c>
      <c r="D771" s="18" t="n">
        <v>194</v>
      </c>
      <c r="E771" s="18" t="inlineStr">
        <is>
          <t>우파</t>
        </is>
      </c>
      <c r="F771" s="18" t="inlineStr">
        <is>
          <t>wooper</t>
        </is>
      </c>
      <c r="G771" s="18" t="inlineStr">
        <is>
          <t>wooper paldean</t>
        </is>
      </c>
      <c r="H771" s="18" t="inlineStr">
        <is>
          <t>paldean</t>
        </is>
      </c>
      <c r="I771" s="18" t="n">
        <v>2</v>
      </c>
      <c r="J771" s="18" t="n">
        <v>9</v>
      </c>
      <c r="K771" s="18" t="n">
        <v>9</v>
      </c>
      <c r="L771" s="18" t="inlineStr">
        <is>
          <t>cobbleventure:generation_9</t>
        </is>
      </c>
      <c r="M771" s="19" t="inlineStr">
        <is>
          <t>cobbleventure:generation_9</t>
        </is>
      </c>
      <c r="N771" s="18" t="inlineStr"/>
      <c r="O771" s="19" t="inlineStr"/>
      <c r="P771" s="18" t="inlineStr">
        <is>
          <t>#cobblemon:has_block/mud</t>
        </is>
      </c>
      <c r="Q771" s="19" t="inlineStr"/>
      <c r="R771" s="18">
        <f>IF(Q771="",P771,Q771)</f>
        <v/>
      </c>
      <c r="S771" s="18" t="inlineStr"/>
      <c r="T771" s="18" t="inlineStr">
        <is>
          <t>common</t>
        </is>
      </c>
      <c r="U771" s="20" t="n">
        <v>9</v>
      </c>
      <c r="V771" s="21" t="n">
        <v>1</v>
      </c>
      <c r="W771" s="20">
        <f>IF(OR(U771="",V771=""),U771,U771*V771)</f>
        <v/>
      </c>
      <c r="X771" s="18" t="inlineStr">
        <is>
          <t>1-21</t>
        </is>
      </c>
      <c r="Y771" s="19" t="inlineStr"/>
      <c r="Z771" s="18">
        <f>IF(Y771="",X771,Y771)</f>
        <v/>
      </c>
      <c r="AA771" s="18" t="inlineStr">
        <is>
          <t>fishing</t>
        </is>
      </c>
      <c r="AB771" s="18" t="inlineStr"/>
      <c r="AC771" s="18" t="inlineStr"/>
      <c r="AD771" s="18" t="inlineStr"/>
      <c r="AE771" s="18" t="inlineStr">
        <is>
          <t>sky 8-15</t>
        </is>
      </c>
      <c r="AF771" s="18" t="inlineStr">
        <is>
          <t>False</t>
        </is>
      </c>
      <c r="AG771" s="18" t="inlineStr"/>
      <c r="AH771" s="18" t="inlineStr"/>
      <c r="AI771" s="18" t="inlineStr"/>
      <c r="AJ771" s="18" t="inlineStr">
        <is>
          <t>Cobblemon 동일</t>
        </is>
      </c>
      <c r="AK771" s="18" t="inlineStr">
        <is>
          <t>사용</t>
        </is>
      </c>
      <c r="AL771" s="18" t="inlineStr">
        <is>
          <t>COBBLEVERSE 1.7.42 / DP v31</t>
        </is>
      </c>
      <c r="AM771" s="18" t="inlineStr">
        <is>
          <t>data/cobblemon/spawn_pool_world/0194_wooper.json</t>
        </is>
      </c>
      <c r="AN771" s="18" t="inlineStr">
        <is>
          <t>wooper-paldean-30</t>
        </is>
      </c>
      <c r="AO771" s="18" t="inlineStr">
        <is>
          <t>pokemon</t>
        </is>
      </c>
      <c r="AP771" s="18" t="inlineStr"/>
      <c r="AQ771" s="18" t="inlineStr">
        <is>
          <t>{"biomes":["#cobblemon:has_block/mud"],"canSeeSky":false,"maxSkyLight":15,"minSkyLight":8}</t>
        </is>
      </c>
      <c r="AR771" s="18" t="inlineStr"/>
      <c r="AS771" s="18" t="inlineStr"/>
      <c r="AT771" s="19" t="inlineStr"/>
    </row>
    <row r="772" ht="32" customHeight="1">
      <c r="A772" s="18" t="inlineStr">
        <is>
          <t>0194_wooper.json::wooper-paldean-31::031</t>
        </is>
      </c>
      <c r="B772" s="19" t="inlineStr">
        <is>
          <t>사용</t>
        </is>
      </c>
      <c r="C772" s="18">
        <f>IF(OR(B772&lt;&gt;AK772,M772&lt;&gt;L772,O772&lt;&gt;"",Q772&lt;&gt;"",V772&lt;&gt;1,Y772&lt;&gt;"",AT772&lt;&gt;""),"수정","원본")</f>
        <v/>
      </c>
      <c r="D772" s="18" t="n">
        <v>194</v>
      </c>
      <c r="E772" s="18" t="inlineStr">
        <is>
          <t>우파</t>
        </is>
      </c>
      <c r="F772" s="18" t="inlineStr">
        <is>
          <t>wooper</t>
        </is>
      </c>
      <c r="G772" s="18" t="inlineStr">
        <is>
          <t>wooper paldean</t>
        </is>
      </c>
      <c r="H772" s="18" t="inlineStr">
        <is>
          <t>paldean</t>
        </is>
      </c>
      <c r="I772" s="18" t="n">
        <v>2</v>
      </c>
      <c r="J772" s="18" t="n">
        <v>9</v>
      </c>
      <c r="K772" s="18" t="n">
        <v>9</v>
      </c>
      <c r="L772" s="18" t="inlineStr">
        <is>
          <t>cobbleventure:generation_9</t>
        </is>
      </c>
      <c r="M772" s="19" t="inlineStr">
        <is>
          <t>cobbleventure:generation_9</t>
        </is>
      </c>
      <c r="N772" s="18" t="inlineStr">
        <is>
          <t>region_02</t>
        </is>
      </c>
      <c r="O772" s="19" t="inlineStr"/>
      <c r="P772" s="18" t="inlineStr">
        <is>
          <t>#cobblemon:is_arid</t>
        </is>
      </c>
      <c r="Q772" s="19" t="inlineStr"/>
      <c r="R772" s="18">
        <f>IF(Q772="",P772,Q772)</f>
        <v/>
      </c>
      <c r="S772" s="18" t="inlineStr"/>
      <c r="T772" s="18" t="inlineStr">
        <is>
          <t>uncommon</t>
        </is>
      </c>
      <c r="U772" s="20" t="n">
        <v>8.4</v>
      </c>
      <c r="V772" s="21" t="n">
        <v>1</v>
      </c>
      <c r="W772" s="20">
        <f>IF(OR(U772="",V772=""),U772,U772*V772)</f>
        <v/>
      </c>
      <c r="X772" s="18" t="inlineStr">
        <is>
          <t>1-21</t>
        </is>
      </c>
      <c r="Y772" s="19" t="inlineStr"/>
      <c r="Z772" s="18">
        <f>IF(Y772="",X772,Y772)</f>
        <v/>
      </c>
      <c r="AA772" s="18" t="inlineStr">
        <is>
          <t>fishing</t>
        </is>
      </c>
      <c r="AB772" s="18" t="inlineStr"/>
      <c r="AC772" s="18" t="inlineStr"/>
      <c r="AD772" s="18" t="inlineStr"/>
      <c r="AE772" s="18" t="inlineStr">
        <is>
          <t>sky 8-15</t>
        </is>
      </c>
      <c r="AF772" s="18" t="inlineStr">
        <is>
          <t>False</t>
        </is>
      </c>
      <c r="AG772" s="18" t="inlineStr"/>
      <c r="AH772" s="18" t="inlineStr"/>
      <c r="AI772" s="18" t="inlineStr"/>
      <c r="AJ772" s="18" t="inlineStr">
        <is>
          <t>Cobblemon 동일</t>
        </is>
      </c>
      <c r="AK772" s="18" t="inlineStr">
        <is>
          <t>사용</t>
        </is>
      </c>
      <c r="AL772" s="18" t="inlineStr">
        <is>
          <t>COBBLEVERSE 1.7.42 / DP v31</t>
        </is>
      </c>
      <c r="AM772" s="18" t="inlineStr">
        <is>
          <t>data/cobblemon/spawn_pool_world/0194_wooper.json</t>
        </is>
      </c>
      <c r="AN772" s="18" t="inlineStr">
        <is>
          <t>wooper-paldean-31</t>
        </is>
      </c>
      <c r="AO772" s="18" t="inlineStr">
        <is>
          <t>pokemon</t>
        </is>
      </c>
      <c r="AP772" s="18" t="inlineStr"/>
      <c r="AQ772" s="18" t="inlineStr">
        <is>
          <t>{"biomes":["#cobblemon:is_arid"],"canSeeSky":false,"maxSkyLight":15,"minSkyLight":8}</t>
        </is>
      </c>
      <c r="AR772" s="18" t="inlineStr">
        <is>
          <t>{"minLureLevel":1}</t>
        </is>
      </c>
      <c r="AS772" s="18" t="inlineStr"/>
      <c r="AT772" s="19" t="inlineStr"/>
    </row>
    <row r="773" ht="32" customHeight="1">
      <c r="A773" s="18" t="inlineStr">
        <is>
          <t>0194_wooper.json::wooper-paldean-32::032</t>
        </is>
      </c>
      <c r="B773" s="19" t="inlineStr">
        <is>
          <t>사용</t>
        </is>
      </c>
      <c r="C773" s="18">
        <f>IF(OR(B773&lt;&gt;AK773,M773&lt;&gt;L773,O773&lt;&gt;"",Q773&lt;&gt;"",V773&lt;&gt;1,Y773&lt;&gt;"",AT773&lt;&gt;""),"수정","원본")</f>
        <v/>
      </c>
      <c r="D773" s="18" t="n">
        <v>194</v>
      </c>
      <c r="E773" s="18" t="inlineStr">
        <is>
          <t>우파</t>
        </is>
      </c>
      <c r="F773" s="18" t="inlineStr">
        <is>
          <t>wooper</t>
        </is>
      </c>
      <c r="G773" s="18" t="inlineStr">
        <is>
          <t>wooper paldean</t>
        </is>
      </c>
      <c r="H773" s="18" t="inlineStr">
        <is>
          <t>paldean</t>
        </is>
      </c>
      <c r="I773" s="18" t="n">
        <v>2</v>
      </c>
      <c r="J773" s="18" t="n">
        <v>9</v>
      </c>
      <c r="K773" s="18" t="n">
        <v>9</v>
      </c>
      <c r="L773" s="18" t="inlineStr">
        <is>
          <t>cobbleventure:generation_9</t>
        </is>
      </c>
      <c r="M773" s="19" t="inlineStr">
        <is>
          <t>cobbleventure:generation_9</t>
        </is>
      </c>
      <c r="N773" s="18" t="inlineStr">
        <is>
          <t>region_02</t>
        </is>
      </c>
      <c r="O773" s="19" t="inlineStr"/>
      <c r="P773" s="18" t="inlineStr">
        <is>
          <t>#cobblemon:is_arid</t>
        </is>
      </c>
      <c r="Q773" s="19" t="inlineStr"/>
      <c r="R773" s="18">
        <f>IF(Q773="",P773,Q773)</f>
        <v/>
      </c>
      <c r="S773" s="18" t="inlineStr"/>
      <c r="T773" s="18" t="inlineStr">
        <is>
          <t>common</t>
        </is>
      </c>
      <c r="U773" s="20" t="n">
        <v>9</v>
      </c>
      <c r="V773" s="21" t="n">
        <v>1</v>
      </c>
      <c r="W773" s="20">
        <f>IF(OR(U773="",V773=""),U773,U773*V773)</f>
        <v/>
      </c>
      <c r="X773" s="18" t="inlineStr">
        <is>
          <t>1-21</t>
        </is>
      </c>
      <c r="Y773" s="19" t="inlineStr"/>
      <c r="Z773" s="18">
        <f>IF(Y773="",X773,Y773)</f>
        <v/>
      </c>
      <c r="AA773" s="18" t="inlineStr">
        <is>
          <t>fishing</t>
        </is>
      </c>
      <c r="AB773" s="18" t="inlineStr"/>
      <c r="AC773" s="18" t="inlineStr"/>
      <c r="AD773" s="18" t="inlineStr"/>
      <c r="AE773" s="18" t="inlineStr">
        <is>
          <t>sky 8-15</t>
        </is>
      </c>
      <c r="AF773" s="18" t="inlineStr">
        <is>
          <t>False</t>
        </is>
      </c>
      <c r="AG773" s="18" t="inlineStr"/>
      <c r="AH773" s="18" t="inlineStr"/>
      <c r="AI773" s="18" t="inlineStr">
        <is>
          <t>{"fishing":{"minLureLevel":1}}</t>
        </is>
      </c>
      <c r="AJ773" s="18" t="inlineStr">
        <is>
          <t>Cobblemon 동일</t>
        </is>
      </c>
      <c r="AK773" s="18" t="inlineStr">
        <is>
          <t>사용</t>
        </is>
      </c>
      <c r="AL773" s="18" t="inlineStr">
        <is>
          <t>COBBLEVERSE 1.7.42 / DP v31</t>
        </is>
      </c>
      <c r="AM773" s="18" t="inlineStr">
        <is>
          <t>data/cobblemon/spawn_pool_world/0194_wooper.json</t>
        </is>
      </c>
      <c r="AN773" s="18" t="inlineStr">
        <is>
          <t>wooper-paldean-32</t>
        </is>
      </c>
      <c r="AO773" s="18" t="inlineStr">
        <is>
          <t>pokemon</t>
        </is>
      </c>
      <c r="AP773" s="18" t="inlineStr"/>
      <c r="AQ773" s="18" t="inlineStr">
        <is>
          <t>{"biomes":["#cobblemon:is_arid"],"canSeeSky":false,"maxSkyLight":15,"minLureLevel":1,"minSkyLight":8}</t>
        </is>
      </c>
      <c r="AR773" s="18" t="inlineStr"/>
      <c r="AS773" s="18" t="inlineStr">
        <is>
          <t>{"weightMultiplier":{"condition":{"maxLureLevel":2,"minLureLevel":1},"multiplier":0.6}}</t>
        </is>
      </c>
      <c r="AT773" s="19" t="inlineStr"/>
    </row>
    <row r="774" ht="32" customHeight="1">
      <c r="A774" s="18" t="inlineStr">
        <is>
          <t>0195_quagsire.json::quagsire-1::001</t>
        </is>
      </c>
      <c r="B774" s="19" t="inlineStr">
        <is>
          <t>사용</t>
        </is>
      </c>
      <c r="C774" s="18">
        <f>IF(OR(B774&lt;&gt;AK774,M774&lt;&gt;L774,O774&lt;&gt;"",Q774&lt;&gt;"",V774&lt;&gt;1,Y774&lt;&gt;"",AT774&lt;&gt;""),"수정","원본")</f>
        <v/>
      </c>
      <c r="D774" s="18" t="n">
        <v>195</v>
      </c>
      <c r="E774" s="18" t="inlineStr">
        <is>
          <t>누오</t>
        </is>
      </c>
      <c r="F774" s="18" t="inlineStr">
        <is>
          <t>quagsire</t>
        </is>
      </c>
      <c r="G774" s="18" t="inlineStr">
        <is>
          <t>quagsire</t>
        </is>
      </c>
      <c r="H774" s="18" t="inlineStr"/>
      <c r="I774" s="18" t="n">
        <v>2</v>
      </c>
      <c r="J774" s="18" t="n"/>
      <c r="K774" s="18" t="n">
        <v>2</v>
      </c>
      <c r="L774" s="18" t="inlineStr">
        <is>
          <t>cobbleventure:generation_2</t>
        </is>
      </c>
      <c r="M774" s="19" t="inlineStr">
        <is>
          <t>cobbleventure:generation_2</t>
        </is>
      </c>
      <c r="N774" s="18" t="inlineStr"/>
      <c r="O774" s="19" t="inlineStr"/>
      <c r="P774" s="18" t="inlineStr">
        <is>
          <t>#cobblemon:is_lush</t>
        </is>
      </c>
      <c r="Q774" s="19" t="inlineStr"/>
      <c r="R774" s="18">
        <f>IF(Q774="",P774,Q774)</f>
        <v/>
      </c>
      <c r="S774" s="18" t="inlineStr"/>
      <c r="T774" s="18" t="inlineStr">
        <is>
          <t>common</t>
        </is>
      </c>
      <c r="U774" s="20" t="n">
        <v>1</v>
      </c>
      <c r="V774" s="21" t="n">
        <v>1</v>
      </c>
      <c r="W774" s="20">
        <f>IF(OR(U774="",V774=""),U774,U774*V774)</f>
        <v/>
      </c>
      <c r="X774" s="18" t="inlineStr">
        <is>
          <t>20-43</t>
        </is>
      </c>
      <c r="Y774" s="19" t="inlineStr"/>
      <c r="Z774" s="18">
        <f>IF(Y774="",X774,Y774)</f>
        <v/>
      </c>
      <c r="AA774" s="18" t="inlineStr">
        <is>
          <t>grounded</t>
        </is>
      </c>
      <c r="AB774" s="18" t="inlineStr"/>
      <c r="AC774" s="18" t="inlineStr"/>
      <c r="AD774" s="18" t="inlineStr"/>
      <c r="AE774" s="18" t="inlineStr">
        <is>
          <t>sky 0-7</t>
        </is>
      </c>
      <c r="AF774" s="18" t="inlineStr"/>
      <c r="AG774" s="18" t="inlineStr"/>
      <c r="AH774" s="18" t="inlineStr"/>
      <c r="AI774" s="18" t="inlineStr"/>
      <c r="AJ774" s="18" t="inlineStr">
        <is>
          <t>Cobblemon 동일</t>
        </is>
      </c>
      <c r="AK774" s="18" t="inlineStr">
        <is>
          <t>사용</t>
        </is>
      </c>
      <c r="AL774" s="18" t="inlineStr">
        <is>
          <t>COBBLEVERSE 1.7.42 / DP v31</t>
        </is>
      </c>
      <c r="AM774" s="18" t="inlineStr">
        <is>
          <t>data/cobblemon/spawn_pool_world/0195_quagsire.json</t>
        </is>
      </c>
      <c r="AN774" s="18" t="inlineStr">
        <is>
          <t>quagsire-1</t>
        </is>
      </c>
      <c r="AO774" s="18" t="inlineStr">
        <is>
          <t>pokemon</t>
        </is>
      </c>
      <c r="AP774" s="18" t="inlineStr">
        <is>
          <t>natural</t>
        </is>
      </c>
      <c r="AQ774" s="18" t="inlineStr">
        <is>
          <t>{"biomes":["#cobblemon:is_lush"],"maxSkyLight":7,"minSkyLight":0}</t>
        </is>
      </c>
      <c r="AR774" s="18" t="inlineStr">
        <is>
          <t>{"maxY":9,"minY":-41,"structures":["cobblemon:shipwreck_coves/lush_shipwreck_cove"]}</t>
        </is>
      </c>
      <c r="AS774" s="18" t="inlineStr"/>
      <c r="AT774" s="19" t="inlineStr"/>
    </row>
    <row r="775" ht="32" customHeight="1">
      <c r="A775" s="18" t="inlineStr">
        <is>
          <t>0195_quagsire.json::quagsire-2::002</t>
        </is>
      </c>
      <c r="B775" s="19" t="inlineStr">
        <is>
          <t>사용</t>
        </is>
      </c>
      <c r="C775" s="18">
        <f>IF(OR(B775&lt;&gt;AK775,M775&lt;&gt;L775,O775&lt;&gt;"",Q775&lt;&gt;"",V775&lt;&gt;1,Y775&lt;&gt;"",AT775&lt;&gt;""),"수정","원본")</f>
        <v/>
      </c>
      <c r="D775" s="18" t="n">
        <v>195</v>
      </c>
      <c r="E775" s="18" t="inlineStr">
        <is>
          <t>누오</t>
        </is>
      </c>
      <c r="F775" s="18" t="inlineStr">
        <is>
          <t>quagsire</t>
        </is>
      </c>
      <c r="G775" s="18" t="inlineStr">
        <is>
          <t>quagsire</t>
        </is>
      </c>
      <c r="H775" s="18" t="inlineStr"/>
      <c r="I775" s="18" t="n">
        <v>2</v>
      </c>
      <c r="J775" s="18" t="n"/>
      <c r="K775" s="18" t="n">
        <v>2</v>
      </c>
      <c r="L775" s="18" t="inlineStr">
        <is>
          <t>cobbleventure:generation_2</t>
        </is>
      </c>
      <c r="M775" s="19" t="inlineStr">
        <is>
          <t>cobbleventure:generation_2</t>
        </is>
      </c>
      <c r="N775" s="18" t="inlineStr"/>
      <c r="O775" s="19" t="inlineStr"/>
      <c r="P775" s="18" t="inlineStr">
        <is>
          <t>#cobblemon:is_lush</t>
        </is>
      </c>
      <c r="Q775" s="19" t="inlineStr"/>
      <c r="R775" s="18">
        <f>IF(Q775="",P775,Q775)</f>
        <v/>
      </c>
      <c r="S775" s="18" t="inlineStr"/>
      <c r="T775" s="18" t="inlineStr">
        <is>
          <t>common</t>
        </is>
      </c>
      <c r="U775" s="20" t="n">
        <v>1</v>
      </c>
      <c r="V775" s="21" t="n">
        <v>1</v>
      </c>
      <c r="W775" s="20">
        <f>IF(OR(U775="",V775=""),U775,U775*V775)</f>
        <v/>
      </c>
      <c r="X775" s="18" t="inlineStr">
        <is>
          <t>20-43</t>
        </is>
      </c>
      <c r="Y775" s="19" t="inlineStr"/>
      <c r="Z775" s="18">
        <f>IF(Y775="",X775,Y775)</f>
        <v/>
      </c>
      <c r="AA775" s="18" t="inlineStr">
        <is>
          <t>submerged</t>
        </is>
      </c>
      <c r="AB775" s="18" t="inlineStr"/>
      <c r="AC775" s="18" t="inlineStr"/>
      <c r="AD775" s="18" t="inlineStr"/>
      <c r="AE775" s="18" t="inlineStr">
        <is>
          <t>sky 0-7</t>
        </is>
      </c>
      <c r="AF775" s="18" t="inlineStr"/>
      <c r="AG775" s="18" t="inlineStr"/>
      <c r="AH775" s="18" t="inlineStr"/>
      <c r="AI775" s="18" t="inlineStr"/>
      <c r="AJ775" s="18" t="inlineStr">
        <is>
          <t>Cobblemon 동일</t>
        </is>
      </c>
      <c r="AK775" s="18" t="inlineStr">
        <is>
          <t>사용</t>
        </is>
      </c>
      <c r="AL775" s="18" t="inlineStr">
        <is>
          <t>COBBLEVERSE 1.7.42 / DP v31</t>
        </is>
      </c>
      <c r="AM775" s="18" t="inlineStr">
        <is>
          <t>data/cobblemon/spawn_pool_world/0195_quagsire.json</t>
        </is>
      </c>
      <c r="AN775" s="18" t="inlineStr">
        <is>
          <t>quagsire-2</t>
        </is>
      </c>
      <c r="AO775" s="18" t="inlineStr">
        <is>
          <t>pokemon</t>
        </is>
      </c>
      <c r="AP775" s="18" t="inlineStr">
        <is>
          <t>water</t>
        </is>
      </c>
      <c r="AQ775" s="18" t="inlineStr">
        <is>
          <t>{"biomes":["#cobblemon:is_lush"],"maxSkyLight":7,"minSkyLight":0}</t>
        </is>
      </c>
      <c r="AR775" s="18" t="inlineStr">
        <is>
          <t>{"maxY":9,"minY":-41,"structures":["cobblemon:shipwreck_coves/lush_shipwreck_cove"]}</t>
        </is>
      </c>
      <c r="AS775" s="18" t="inlineStr"/>
      <c r="AT775" s="19" t="inlineStr"/>
    </row>
    <row r="776" ht="32" customHeight="1">
      <c r="A776" s="18" t="inlineStr">
        <is>
          <t>0195_quagsire.json::quagsire-3::003</t>
        </is>
      </c>
      <c r="B776" s="19" t="inlineStr">
        <is>
          <t>사용</t>
        </is>
      </c>
      <c r="C776" s="18">
        <f>IF(OR(B776&lt;&gt;AK776,M776&lt;&gt;L776,O776&lt;&gt;"",Q776&lt;&gt;"",V776&lt;&gt;1,Y776&lt;&gt;"",AT776&lt;&gt;""),"수정","원본")</f>
        <v/>
      </c>
      <c r="D776" s="18" t="n">
        <v>195</v>
      </c>
      <c r="E776" s="18" t="inlineStr">
        <is>
          <t>누오</t>
        </is>
      </c>
      <c r="F776" s="18" t="inlineStr">
        <is>
          <t>quagsire</t>
        </is>
      </c>
      <c r="G776" s="18" t="inlineStr">
        <is>
          <t>quagsire</t>
        </is>
      </c>
      <c r="H776" s="18" t="inlineStr"/>
      <c r="I776" s="18" t="n">
        <v>2</v>
      </c>
      <c r="J776" s="18" t="n"/>
      <c r="K776" s="18" t="n">
        <v>2</v>
      </c>
      <c r="L776" s="18" t="inlineStr">
        <is>
          <t>cobbleventure:generation_2</t>
        </is>
      </c>
      <c r="M776" s="19" t="inlineStr">
        <is>
          <t>cobbleventure:generation_2</t>
        </is>
      </c>
      <c r="N776" s="18" t="inlineStr">
        <is>
          <t>region_01; region_02</t>
        </is>
      </c>
      <c r="O776" s="19" t="inlineStr"/>
      <c r="P776" s="18" t="inlineStr">
        <is>
          <t>#cobblemon:is_overworld</t>
        </is>
      </c>
      <c r="Q776" s="19" t="inlineStr"/>
      <c r="R776" s="18">
        <f>IF(Q776="",P776,Q776)</f>
        <v/>
      </c>
      <c r="S776" s="18" t="inlineStr">
        <is>
          <t>#cobblemon:is_lush</t>
        </is>
      </c>
      <c r="T776" s="18" t="inlineStr">
        <is>
          <t>uncommon</t>
        </is>
      </c>
      <c r="U776" s="20" t="n">
        <v>1.6</v>
      </c>
      <c r="V776" s="21" t="n">
        <v>1</v>
      </c>
      <c r="W776" s="20">
        <f>IF(OR(U776="",V776=""),U776,U776*V776)</f>
        <v/>
      </c>
      <c r="X776" s="18" t="inlineStr">
        <is>
          <t>20-43</t>
        </is>
      </c>
      <c r="Y776" s="19" t="inlineStr"/>
      <c r="Z776" s="18">
        <f>IF(Y776="",X776,Y776)</f>
        <v/>
      </c>
      <c r="AA776" s="18" t="inlineStr">
        <is>
          <t>grounded</t>
        </is>
      </c>
      <c r="AB776" s="18" t="inlineStr"/>
      <c r="AC776" s="18" t="inlineStr"/>
      <c r="AD776" s="18" t="inlineStr">
        <is>
          <t>maxY=62</t>
        </is>
      </c>
      <c r="AE776" s="18" t="inlineStr">
        <is>
          <t>sky 0-7</t>
        </is>
      </c>
      <c r="AF776" s="18" t="inlineStr"/>
      <c r="AG776" s="18" t="inlineStr"/>
      <c r="AH776" s="18" t="inlineStr">
        <is>
          <t>주변=minecraft:water</t>
        </is>
      </c>
      <c r="AI776" s="18" t="inlineStr"/>
      <c r="AJ776" s="18" t="inlineStr">
        <is>
          <t>Cobblemon 동일</t>
        </is>
      </c>
      <c r="AK776" s="18" t="inlineStr">
        <is>
          <t>사용</t>
        </is>
      </c>
      <c r="AL776" s="18" t="inlineStr">
        <is>
          <t>COBBLEVERSE 1.7.42 / DP v31</t>
        </is>
      </c>
      <c r="AM776" s="18" t="inlineStr">
        <is>
          <t>data/cobblemon/spawn_pool_world/0195_quagsire.json</t>
        </is>
      </c>
      <c r="AN776" s="18" t="inlineStr">
        <is>
          <t>quagsire-3</t>
        </is>
      </c>
      <c r="AO776" s="18" t="inlineStr">
        <is>
          <t>pokemon</t>
        </is>
      </c>
      <c r="AP776" s="18" t="inlineStr">
        <is>
          <t>natural</t>
        </is>
      </c>
      <c r="AQ776" s="18" t="inlineStr">
        <is>
          <t>{"biomes":["#cobblemon:is_overworld"],"maxSkyLight":7,"maxY":62,"minSkyLight":0,"neededNearbyBlocks":["minecraft:water"]}</t>
        </is>
      </c>
      <c r="AR776" s="18" t="inlineStr">
        <is>
          <t>{"biomes":["#cobblemon:is_lush"]}</t>
        </is>
      </c>
      <c r="AS776" s="18" t="inlineStr"/>
      <c r="AT776" s="19" t="inlineStr"/>
    </row>
    <row r="777" ht="32" customHeight="1">
      <c r="A777" s="18" t="inlineStr">
        <is>
          <t>0195_quagsire.json::quagsire-4::004</t>
        </is>
      </c>
      <c r="B777" s="19" t="inlineStr">
        <is>
          <t>사용</t>
        </is>
      </c>
      <c r="C777" s="18">
        <f>IF(OR(B777&lt;&gt;AK777,M777&lt;&gt;L777,O777&lt;&gt;"",Q777&lt;&gt;"",V777&lt;&gt;1,Y777&lt;&gt;"",AT777&lt;&gt;""),"수정","원본")</f>
        <v/>
      </c>
      <c r="D777" s="18" t="n">
        <v>195</v>
      </c>
      <c r="E777" s="18" t="inlineStr">
        <is>
          <t>누오</t>
        </is>
      </c>
      <c r="F777" s="18" t="inlineStr">
        <is>
          <t>quagsire</t>
        </is>
      </c>
      <c r="G777" s="18" t="inlineStr">
        <is>
          <t>quagsire</t>
        </is>
      </c>
      <c r="H777" s="18" t="inlineStr"/>
      <c r="I777" s="18" t="n">
        <v>2</v>
      </c>
      <c r="J777" s="18" t="n"/>
      <c r="K777" s="18" t="n">
        <v>2</v>
      </c>
      <c r="L777" s="18" t="inlineStr">
        <is>
          <t>cobbleventure:generation_2</t>
        </is>
      </c>
      <c r="M777" s="19" t="inlineStr">
        <is>
          <t>cobbleventure:generation_2</t>
        </is>
      </c>
      <c r="N777" s="18" t="inlineStr">
        <is>
          <t>region_01; region_02</t>
        </is>
      </c>
      <c r="O777" s="19" t="inlineStr"/>
      <c r="P777" s="18" t="inlineStr">
        <is>
          <t>#cobblemon:is_overworld</t>
        </is>
      </c>
      <c r="Q777" s="19" t="inlineStr"/>
      <c r="R777" s="18">
        <f>IF(Q777="",P777,Q777)</f>
        <v/>
      </c>
      <c r="S777" s="18" t="inlineStr">
        <is>
          <t>#cobblemon:is_lush</t>
        </is>
      </c>
      <c r="T777" s="18" t="inlineStr">
        <is>
          <t>uncommon</t>
        </is>
      </c>
      <c r="U777" s="20" t="n">
        <v>1.6</v>
      </c>
      <c r="V777" s="21" t="n">
        <v>1</v>
      </c>
      <c r="W777" s="20">
        <f>IF(OR(U777="",V777=""),U777,U777*V777)</f>
        <v/>
      </c>
      <c r="X777" s="18" t="inlineStr">
        <is>
          <t>20-43</t>
        </is>
      </c>
      <c r="Y777" s="19" t="inlineStr"/>
      <c r="Z777" s="18">
        <f>IF(Y777="",X777,Y777)</f>
        <v/>
      </c>
      <c r="AA777" s="18" t="inlineStr">
        <is>
          <t>submerged</t>
        </is>
      </c>
      <c r="AB777" s="18" t="inlineStr"/>
      <c r="AC777" s="18" t="inlineStr"/>
      <c r="AD777" s="18" t="inlineStr">
        <is>
          <t>maxY=62</t>
        </is>
      </c>
      <c r="AE777" s="18" t="inlineStr">
        <is>
          <t>sky 0-7</t>
        </is>
      </c>
      <c r="AF777" s="18" t="inlineStr"/>
      <c r="AG777" s="18" t="inlineStr"/>
      <c r="AH777" s="18" t="inlineStr"/>
      <c r="AI777" s="18" t="inlineStr"/>
      <c r="AJ777" s="18" t="inlineStr">
        <is>
          <t>Cobblemon 동일</t>
        </is>
      </c>
      <c r="AK777" s="18" t="inlineStr">
        <is>
          <t>사용</t>
        </is>
      </c>
      <c r="AL777" s="18" t="inlineStr">
        <is>
          <t>COBBLEVERSE 1.7.42 / DP v31</t>
        </is>
      </c>
      <c r="AM777" s="18" t="inlineStr">
        <is>
          <t>data/cobblemon/spawn_pool_world/0195_quagsire.json</t>
        </is>
      </c>
      <c r="AN777" s="18" t="inlineStr">
        <is>
          <t>quagsire-4</t>
        </is>
      </c>
      <c r="AO777" s="18" t="inlineStr">
        <is>
          <t>pokemon</t>
        </is>
      </c>
      <c r="AP777" s="18" t="inlineStr">
        <is>
          <t>water</t>
        </is>
      </c>
      <c r="AQ777" s="18" t="inlineStr">
        <is>
          <t>{"biomes":["#cobblemon:is_overworld"],"maxSkyLight":7,"maxY":62,"minSkyLight":0}</t>
        </is>
      </c>
      <c r="AR777" s="18" t="inlineStr">
        <is>
          <t>{"biomes":["#cobblemon:is_lush"]}</t>
        </is>
      </c>
      <c r="AS777" s="18" t="inlineStr"/>
      <c r="AT777" s="19" t="inlineStr"/>
    </row>
    <row r="778" ht="32" customHeight="1">
      <c r="A778" s="18" t="inlineStr">
        <is>
          <t>0195_quagsire.json::quagsire-5::005</t>
        </is>
      </c>
      <c r="B778" s="19" t="inlineStr">
        <is>
          <t>사용</t>
        </is>
      </c>
      <c r="C778" s="18">
        <f>IF(OR(B778&lt;&gt;AK778,M778&lt;&gt;L778,O778&lt;&gt;"",Q778&lt;&gt;"",V778&lt;&gt;1,Y778&lt;&gt;"",AT778&lt;&gt;""),"수정","원본")</f>
        <v/>
      </c>
      <c r="D778" s="18" t="n">
        <v>195</v>
      </c>
      <c r="E778" s="18" t="inlineStr">
        <is>
          <t>누오</t>
        </is>
      </c>
      <c r="F778" s="18" t="inlineStr">
        <is>
          <t>quagsire</t>
        </is>
      </c>
      <c r="G778" s="18" t="inlineStr">
        <is>
          <t>quagsire</t>
        </is>
      </c>
      <c r="H778" s="18" t="inlineStr"/>
      <c r="I778" s="18" t="n">
        <v>2</v>
      </c>
      <c r="J778" s="18" t="n"/>
      <c r="K778" s="18" t="n">
        <v>2</v>
      </c>
      <c r="L778" s="18" t="inlineStr">
        <is>
          <t>cobbleventure:generation_2</t>
        </is>
      </c>
      <c r="M778" s="19" t="inlineStr">
        <is>
          <t>cobbleventure:generation_2</t>
        </is>
      </c>
      <c r="N778" s="18" t="inlineStr">
        <is>
          <t>region_02</t>
        </is>
      </c>
      <c r="O778" s="19" t="inlineStr"/>
      <c r="P778" s="18" t="inlineStr">
        <is>
          <t>#cobblemon:is_swamp</t>
        </is>
      </c>
      <c r="Q778" s="19" t="inlineStr"/>
      <c r="R778" s="18">
        <f>IF(Q778="",P778,Q778)</f>
        <v/>
      </c>
      <c r="S778" s="18" t="inlineStr">
        <is>
          <t>#cobblemon:has_block/mud</t>
        </is>
      </c>
      <c r="T778" s="18" t="inlineStr">
        <is>
          <t>common</t>
        </is>
      </c>
      <c r="U778" s="20" t="n">
        <v>0.2</v>
      </c>
      <c r="V778" s="21" t="n">
        <v>1</v>
      </c>
      <c r="W778" s="20">
        <f>IF(OR(U778="",V778=""),U778,U778*V778)</f>
        <v/>
      </c>
      <c r="X778" s="18" t="inlineStr">
        <is>
          <t>20-43</t>
        </is>
      </c>
      <c r="Y778" s="19" t="inlineStr"/>
      <c r="Z778" s="18">
        <f>IF(Y778="",X778,Y778)</f>
        <v/>
      </c>
      <c r="AA778" s="18" t="inlineStr">
        <is>
          <t>grounded</t>
        </is>
      </c>
      <c r="AB778" s="18" t="inlineStr"/>
      <c r="AC778" s="18" t="inlineStr">
        <is>
          <t>비=True</t>
        </is>
      </c>
      <c r="AD778" s="18" t="inlineStr"/>
      <c r="AE778" s="18" t="inlineStr">
        <is>
          <t>sky 8-15</t>
        </is>
      </c>
      <c r="AF778" s="18" t="inlineStr"/>
      <c r="AG778" s="18" t="inlineStr"/>
      <c r="AH778" s="18" t="inlineStr"/>
      <c r="AI778" s="18" t="inlineStr"/>
      <c r="AJ778" s="18" t="inlineStr">
        <is>
          <t>Cobblemon 동일</t>
        </is>
      </c>
      <c r="AK778" s="18" t="inlineStr">
        <is>
          <t>사용</t>
        </is>
      </c>
      <c r="AL778" s="18" t="inlineStr">
        <is>
          <t>COBBLEVERSE 1.7.42 / DP v31</t>
        </is>
      </c>
      <c r="AM778" s="18" t="inlineStr">
        <is>
          <t>data/cobblemon/spawn_pool_world/0195_quagsire.json</t>
        </is>
      </c>
      <c r="AN778" s="18" t="inlineStr">
        <is>
          <t>quagsire-5</t>
        </is>
      </c>
      <c r="AO778" s="18" t="inlineStr">
        <is>
          <t>pokemon</t>
        </is>
      </c>
      <c r="AP778" s="18" t="inlineStr">
        <is>
          <t>natural</t>
        </is>
      </c>
      <c r="AQ778" s="18" t="inlineStr">
        <is>
          <t>{"biomes":["#cobblemon:is_swamp"],"isRaining":true,"maxSkyLight":15,"minSkyLight":8}</t>
        </is>
      </c>
      <c r="AR778" s="18" t="inlineStr">
        <is>
          <t>{"biomes":["#cobblemon:has_block/mud"]}</t>
        </is>
      </c>
      <c r="AS778" s="18" t="inlineStr"/>
      <c r="AT778" s="19" t="inlineStr"/>
    </row>
    <row r="779" ht="32" customHeight="1">
      <c r="A779" s="18" t="inlineStr">
        <is>
          <t>0195_quagsire.json::quagsire-6::006</t>
        </is>
      </c>
      <c r="B779" s="19" t="inlineStr">
        <is>
          <t>사용</t>
        </is>
      </c>
      <c r="C779" s="18">
        <f>IF(OR(B779&lt;&gt;AK779,M779&lt;&gt;L779,O779&lt;&gt;"",Q779&lt;&gt;"",V779&lt;&gt;1,Y779&lt;&gt;"",AT779&lt;&gt;""),"수정","원본")</f>
        <v/>
      </c>
      <c r="D779" s="18" t="n">
        <v>195</v>
      </c>
      <c r="E779" s="18" t="inlineStr">
        <is>
          <t>누오</t>
        </is>
      </c>
      <c r="F779" s="18" t="inlineStr">
        <is>
          <t>quagsire</t>
        </is>
      </c>
      <c r="G779" s="18" t="inlineStr">
        <is>
          <t>quagsire</t>
        </is>
      </c>
      <c r="H779" s="18" t="inlineStr"/>
      <c r="I779" s="18" t="n">
        <v>2</v>
      </c>
      <c r="J779" s="18" t="n"/>
      <c r="K779" s="18" t="n">
        <v>2</v>
      </c>
      <c r="L779" s="18" t="inlineStr">
        <is>
          <t>cobbleventure:generation_2</t>
        </is>
      </c>
      <c r="M779" s="19" t="inlineStr">
        <is>
          <t>cobbleventure:generation_2</t>
        </is>
      </c>
      <c r="N779" s="18" t="inlineStr">
        <is>
          <t>region_02</t>
        </is>
      </c>
      <c r="O779" s="19" t="inlineStr"/>
      <c r="P779" s="18" t="inlineStr">
        <is>
          <t>#cobblemon:is_swamp</t>
        </is>
      </c>
      <c r="Q779" s="19" t="inlineStr"/>
      <c r="R779" s="18">
        <f>IF(Q779="",P779,Q779)</f>
        <v/>
      </c>
      <c r="S779" s="18" t="inlineStr">
        <is>
          <t>#cobblemon:has_block/mud</t>
        </is>
      </c>
      <c r="T779" s="18" t="inlineStr">
        <is>
          <t>common</t>
        </is>
      </c>
      <c r="U779" s="20" t="n">
        <v>0.2</v>
      </c>
      <c r="V779" s="21" t="n">
        <v>1</v>
      </c>
      <c r="W779" s="20">
        <f>IF(OR(U779="",V779=""),U779,U779*V779)</f>
        <v/>
      </c>
      <c r="X779" s="18" t="inlineStr">
        <is>
          <t>20-43</t>
        </is>
      </c>
      <c r="Y779" s="19" t="inlineStr"/>
      <c r="Z779" s="18">
        <f>IF(Y779="",X779,Y779)</f>
        <v/>
      </c>
      <c r="AA779" s="18" t="inlineStr">
        <is>
          <t>submerged</t>
        </is>
      </c>
      <c r="AB779" s="18" t="inlineStr"/>
      <c r="AC779" s="18" t="inlineStr"/>
      <c r="AD779" s="18" t="inlineStr"/>
      <c r="AE779" s="18" t="inlineStr"/>
      <c r="AF779" s="18" t="inlineStr">
        <is>
          <t>True</t>
        </is>
      </c>
      <c r="AG779" s="18" t="inlineStr"/>
      <c r="AH779" s="18" t="inlineStr"/>
      <c r="AI779" s="18" t="inlineStr"/>
      <c r="AJ779" s="18" t="inlineStr">
        <is>
          <t>Cobblemon 동일</t>
        </is>
      </c>
      <c r="AK779" s="18" t="inlineStr">
        <is>
          <t>사용</t>
        </is>
      </c>
      <c r="AL779" s="18" t="inlineStr">
        <is>
          <t>COBBLEVERSE 1.7.42 / DP v31</t>
        </is>
      </c>
      <c r="AM779" s="18" t="inlineStr">
        <is>
          <t>data/cobblemon/spawn_pool_world/0195_quagsire.json</t>
        </is>
      </c>
      <c r="AN779" s="18" t="inlineStr">
        <is>
          <t>quagsire-6</t>
        </is>
      </c>
      <c r="AO779" s="18" t="inlineStr">
        <is>
          <t>pokemon</t>
        </is>
      </c>
      <c r="AP779" s="18" t="inlineStr">
        <is>
          <t>water</t>
        </is>
      </c>
      <c r="AQ779" s="18" t="inlineStr">
        <is>
          <t>{"biomes":["#cobblemon:is_swamp"],"canSeeSky":true}</t>
        </is>
      </c>
      <c r="AR779" s="18" t="inlineStr">
        <is>
          <t>{"biomes":["#cobblemon:has_block/mud"]}</t>
        </is>
      </c>
      <c r="AS779" s="18" t="inlineStr"/>
      <c r="AT779" s="19" t="inlineStr"/>
    </row>
    <row r="780" ht="32" customHeight="1">
      <c r="A780" s="18" t="inlineStr">
        <is>
          <t>0195_quagsire.json::quagsire-7::007</t>
        </is>
      </c>
      <c r="B780" s="19" t="inlineStr">
        <is>
          <t>사용</t>
        </is>
      </c>
      <c r="C780" s="18">
        <f>IF(OR(B780&lt;&gt;AK780,M780&lt;&gt;L780,O780&lt;&gt;"",Q780&lt;&gt;"",V780&lt;&gt;1,Y780&lt;&gt;"",AT780&lt;&gt;""),"수정","원본")</f>
        <v/>
      </c>
      <c r="D780" s="18" t="n">
        <v>195</v>
      </c>
      <c r="E780" s="18" t="inlineStr">
        <is>
          <t>누오</t>
        </is>
      </c>
      <c r="F780" s="18" t="inlineStr">
        <is>
          <t>quagsire</t>
        </is>
      </c>
      <c r="G780" s="18" t="inlineStr">
        <is>
          <t>quagsire</t>
        </is>
      </c>
      <c r="H780" s="18" t="inlineStr"/>
      <c r="I780" s="18" t="n">
        <v>2</v>
      </c>
      <c r="J780" s="18" t="n"/>
      <c r="K780" s="18" t="n">
        <v>2</v>
      </c>
      <c r="L780" s="18" t="inlineStr">
        <is>
          <t>cobbleventure:generation_2</t>
        </is>
      </c>
      <c r="M780" s="19" t="inlineStr">
        <is>
          <t>cobbleventure:generation_2</t>
        </is>
      </c>
      <c r="N780" s="18" t="inlineStr">
        <is>
          <t>region_01; region_02</t>
        </is>
      </c>
      <c r="O780" s="19" t="inlineStr"/>
      <c r="P780" s="18" t="inlineStr">
        <is>
          <t>#aether:is_aether; #cobblemon:is_overworld</t>
        </is>
      </c>
      <c r="Q780" s="19" t="inlineStr"/>
      <c r="R780" s="18">
        <f>IF(Q780="",P780,Q780)</f>
        <v/>
      </c>
      <c r="S780" s="18" t="inlineStr">
        <is>
          <t>#cobblemon:is_lush</t>
        </is>
      </c>
      <c r="T780" s="18" t="inlineStr">
        <is>
          <t>common</t>
        </is>
      </c>
      <c r="U780" s="20" t="n">
        <v>1</v>
      </c>
      <c r="V780" s="21" t="n">
        <v>1</v>
      </c>
      <c r="W780" s="20">
        <f>IF(OR(U780="",V780=""),U780,U780*V780)</f>
        <v/>
      </c>
      <c r="X780" s="18" t="inlineStr">
        <is>
          <t>20-43</t>
        </is>
      </c>
      <c r="Y780" s="19" t="inlineStr"/>
      <c r="Z780" s="18">
        <f>IF(Y780="",X780,Y780)</f>
        <v/>
      </c>
      <c r="AA780" s="18" t="inlineStr">
        <is>
          <t>fishing</t>
        </is>
      </c>
      <c r="AB780" s="18" t="inlineStr"/>
      <c r="AC780" s="18" t="inlineStr"/>
      <c r="AD780" s="18" t="inlineStr"/>
      <c r="AE780" s="18" t="inlineStr">
        <is>
          <t>sky 0-7</t>
        </is>
      </c>
      <c r="AF780" s="18" t="inlineStr"/>
      <c r="AG780" s="18" t="inlineStr"/>
      <c r="AH780" s="18" t="inlineStr"/>
      <c r="AI780" s="18" t="inlineStr"/>
      <c r="AJ780" s="18" t="inlineStr">
        <is>
          <t>Cobblemon 동일</t>
        </is>
      </c>
      <c r="AK780" s="18" t="inlineStr">
        <is>
          <t>사용</t>
        </is>
      </c>
      <c r="AL780" s="18" t="inlineStr">
        <is>
          <t>COBBLEVERSE 1.7.42 / DP v31</t>
        </is>
      </c>
      <c r="AM780" s="18" t="inlineStr">
        <is>
          <t>data/cobblemon/spawn_pool_world/0195_quagsire.json</t>
        </is>
      </c>
      <c r="AN780" s="18" t="inlineStr">
        <is>
          <t>quagsire-7</t>
        </is>
      </c>
      <c r="AO780" s="18" t="inlineStr">
        <is>
          <t>pokemon</t>
        </is>
      </c>
      <c r="AP780" s="18" t="inlineStr"/>
      <c r="AQ780" s="18" t="inlineStr">
        <is>
          <t>{"biomes":["#aether:is_aether","#cobblemon:is_overworld"],"maxSkyLight":7,"minSkyLight":0}</t>
        </is>
      </c>
      <c r="AR780" s="18" t="inlineStr">
        <is>
          <t>{"biomes":["#cobblemon:is_lush"]}</t>
        </is>
      </c>
      <c r="AS780" s="18" t="inlineStr"/>
      <c r="AT780" s="19" t="inlineStr"/>
    </row>
    <row r="781" ht="32" customHeight="1">
      <c r="A781" s="18" t="inlineStr">
        <is>
          <t>0195_quagsire.json::quagsire-8::008</t>
        </is>
      </c>
      <c r="B781" s="19" t="inlineStr">
        <is>
          <t>사용</t>
        </is>
      </c>
      <c r="C781" s="18">
        <f>IF(OR(B781&lt;&gt;AK781,M781&lt;&gt;L781,O781&lt;&gt;"",Q781&lt;&gt;"",V781&lt;&gt;1,Y781&lt;&gt;"",AT781&lt;&gt;""),"수정","원본")</f>
        <v/>
      </c>
      <c r="D781" s="18" t="n">
        <v>195</v>
      </c>
      <c r="E781" s="18" t="inlineStr">
        <is>
          <t>누오</t>
        </is>
      </c>
      <c r="F781" s="18" t="inlineStr">
        <is>
          <t>quagsire</t>
        </is>
      </c>
      <c r="G781" s="18" t="inlineStr">
        <is>
          <t>quagsire</t>
        </is>
      </c>
      <c r="H781" s="18" t="inlineStr"/>
      <c r="I781" s="18" t="n">
        <v>2</v>
      </c>
      <c r="J781" s="18" t="n"/>
      <c r="K781" s="18" t="n">
        <v>2</v>
      </c>
      <c r="L781" s="18" t="inlineStr">
        <is>
          <t>cobbleventure:generation_2</t>
        </is>
      </c>
      <c r="M781" s="19" t="inlineStr">
        <is>
          <t>cobbleventure:generation_2</t>
        </is>
      </c>
      <c r="N781" s="18" t="inlineStr">
        <is>
          <t>region_02</t>
        </is>
      </c>
      <c r="O781" s="19" t="inlineStr"/>
      <c r="P781" s="18" t="inlineStr">
        <is>
          <t>#cobblemon:is_mushroom; #cobblemon:is_swamp</t>
        </is>
      </c>
      <c r="Q781" s="19" t="inlineStr"/>
      <c r="R781" s="18">
        <f>IF(Q781="",P781,Q781)</f>
        <v/>
      </c>
      <c r="S781" s="18" t="inlineStr">
        <is>
          <t>#cobblemon:has_block/mud</t>
        </is>
      </c>
      <c r="T781" s="18" t="inlineStr">
        <is>
          <t>common</t>
        </is>
      </c>
      <c r="U781" s="20" t="n">
        <v>0.2</v>
      </c>
      <c r="V781" s="21" t="n">
        <v>1</v>
      </c>
      <c r="W781" s="20">
        <f>IF(OR(U781="",V781=""),U781,U781*V781)</f>
        <v/>
      </c>
      <c r="X781" s="18" t="inlineStr">
        <is>
          <t>20-43</t>
        </is>
      </c>
      <c r="Y781" s="19" t="inlineStr"/>
      <c r="Z781" s="18">
        <f>IF(Y781="",X781,Y781)</f>
        <v/>
      </c>
      <c r="AA781" s="18" t="inlineStr">
        <is>
          <t>fishing</t>
        </is>
      </c>
      <c r="AB781" s="18" t="inlineStr"/>
      <c r="AC781" s="18" t="inlineStr"/>
      <c r="AD781" s="18" t="inlineStr"/>
      <c r="AE781" s="18" t="inlineStr"/>
      <c r="AF781" s="18" t="inlineStr">
        <is>
          <t>True</t>
        </is>
      </c>
      <c r="AG781" s="18" t="inlineStr"/>
      <c r="AH781" s="18" t="inlineStr"/>
      <c r="AI781" s="18" t="inlineStr"/>
      <c r="AJ781" s="18" t="inlineStr">
        <is>
          <t>Cobblemon 동일</t>
        </is>
      </c>
      <c r="AK781" s="18" t="inlineStr">
        <is>
          <t>사용</t>
        </is>
      </c>
      <c r="AL781" s="18" t="inlineStr">
        <is>
          <t>COBBLEVERSE 1.7.42 / DP v31</t>
        </is>
      </c>
      <c r="AM781" s="18" t="inlineStr">
        <is>
          <t>data/cobblemon/spawn_pool_world/0195_quagsire.json</t>
        </is>
      </c>
      <c r="AN781" s="18" t="inlineStr">
        <is>
          <t>quagsire-8</t>
        </is>
      </c>
      <c r="AO781" s="18" t="inlineStr">
        <is>
          <t>pokemon</t>
        </is>
      </c>
      <c r="AP781" s="18" t="inlineStr"/>
      <c r="AQ781" s="18" t="inlineStr">
        <is>
          <t>{"biomes":["#cobblemon:is_mushroom","#cobblemon:is_swamp"],"canSeeSky":true}</t>
        </is>
      </c>
      <c r="AR781" s="18" t="inlineStr">
        <is>
          <t>{"biomes":["#cobblemon:has_block/mud"]}</t>
        </is>
      </c>
      <c r="AS781" s="18" t="inlineStr">
        <is>
          <t>{"weightMultipliers":[{"condition":{"maxLureLevel":2,"minLureLevel":2},"multiplier":3.0},{"condition":{"minLureLevel":3},"multiplier":5.0}]}</t>
        </is>
      </c>
      <c r="AT781" s="19" t="inlineStr"/>
    </row>
    <row r="782" ht="32" customHeight="1">
      <c r="A782" s="18" t="inlineStr">
        <is>
          <t>0195_quagsire.json::quagsire-9::009</t>
        </is>
      </c>
      <c r="B782" s="19" t="inlineStr">
        <is>
          <t>사용</t>
        </is>
      </c>
      <c r="C782" s="18">
        <f>IF(OR(B782&lt;&gt;AK782,M782&lt;&gt;L782,O782&lt;&gt;"",Q782&lt;&gt;"",V782&lt;&gt;1,Y782&lt;&gt;"",AT782&lt;&gt;""),"수정","원본")</f>
        <v/>
      </c>
      <c r="D782" s="18" t="n">
        <v>195</v>
      </c>
      <c r="E782" s="18" t="inlineStr">
        <is>
          <t>누오</t>
        </is>
      </c>
      <c r="F782" s="18" t="inlineStr">
        <is>
          <t>quagsire</t>
        </is>
      </c>
      <c r="G782" s="18" t="inlineStr">
        <is>
          <t>quagsire</t>
        </is>
      </c>
      <c r="H782" s="18" t="inlineStr"/>
      <c r="I782" s="18" t="n">
        <v>2</v>
      </c>
      <c r="J782" s="18" t="n"/>
      <c r="K782" s="18" t="n">
        <v>2</v>
      </c>
      <c r="L782" s="18" t="inlineStr">
        <is>
          <t>cobbleventure:generation_2</t>
        </is>
      </c>
      <c r="M782" s="19" t="inlineStr">
        <is>
          <t>cobbleventure:generation_2</t>
        </is>
      </c>
      <c r="N782" s="18" t="inlineStr">
        <is>
          <t>region_02</t>
        </is>
      </c>
      <c r="O782" s="19" t="inlineStr"/>
      <c r="P782" s="18" t="inlineStr">
        <is>
          <t>#cobblemon:is_swamp</t>
        </is>
      </c>
      <c r="Q782" s="19" t="inlineStr"/>
      <c r="R782" s="18">
        <f>IF(Q782="",P782,Q782)</f>
        <v/>
      </c>
      <c r="S782" s="18" t="inlineStr">
        <is>
          <t>#cobblemon:has_block/mud</t>
        </is>
      </c>
      <c r="T782" s="18" t="inlineStr">
        <is>
          <t>common</t>
        </is>
      </c>
      <c r="U782" s="20" t="n">
        <v>0.2</v>
      </c>
      <c r="V782" s="21" t="n">
        <v>1</v>
      </c>
      <c r="W782" s="20">
        <f>IF(OR(U782="",V782=""),U782,U782*V782)</f>
        <v/>
      </c>
      <c r="X782" s="18" t="inlineStr">
        <is>
          <t>20-43</t>
        </is>
      </c>
      <c r="Y782" s="19" t="inlineStr"/>
      <c r="Z782" s="18">
        <f>IF(Y782="",X782,Y782)</f>
        <v/>
      </c>
      <c r="AA782" s="18" t="inlineStr">
        <is>
          <t>submerged</t>
        </is>
      </c>
      <c r="AB782" s="18" t="inlineStr"/>
      <c r="AC782" s="18" t="inlineStr"/>
      <c r="AD782" s="18" t="inlineStr"/>
      <c r="AE782" s="18" t="inlineStr">
        <is>
          <t>sky 8-15</t>
        </is>
      </c>
      <c r="AF782" s="18" t="inlineStr">
        <is>
          <t>False</t>
        </is>
      </c>
      <c r="AG782" s="18" t="inlineStr"/>
      <c r="AH782" s="18" t="inlineStr"/>
      <c r="AI782" s="18" t="inlineStr"/>
      <c r="AJ782" s="18" t="inlineStr">
        <is>
          <t>Cobblemon 동일</t>
        </is>
      </c>
      <c r="AK782" s="18" t="inlineStr">
        <is>
          <t>사용</t>
        </is>
      </c>
      <c r="AL782" s="18" t="inlineStr">
        <is>
          <t>COBBLEVERSE 1.7.42 / DP v31</t>
        </is>
      </c>
      <c r="AM782" s="18" t="inlineStr">
        <is>
          <t>data/cobblemon/spawn_pool_world/0195_quagsire.json</t>
        </is>
      </c>
      <c r="AN782" s="18" t="inlineStr">
        <is>
          <t>quagsire-9</t>
        </is>
      </c>
      <c r="AO782" s="18" t="inlineStr">
        <is>
          <t>pokemon</t>
        </is>
      </c>
      <c r="AP782" s="18" t="inlineStr">
        <is>
          <t>water</t>
        </is>
      </c>
      <c r="AQ782" s="18" t="inlineStr">
        <is>
          <t>{"biomes":["#cobblemon:is_swamp"],"canSeeSky":false,"maxSkyLight":15,"minSkyLight":8}</t>
        </is>
      </c>
      <c r="AR782" s="18" t="inlineStr">
        <is>
          <t>{"biomes":["#cobblemon:has_block/mud"]}</t>
        </is>
      </c>
      <c r="AS782" s="18" t="inlineStr"/>
      <c r="AT782" s="19" t="inlineStr"/>
    </row>
    <row r="783" ht="32" customHeight="1">
      <c r="A783" s="18" t="inlineStr">
        <is>
          <t>0195_quagsire.json::quagsire-10::010</t>
        </is>
      </c>
      <c r="B783" s="19" t="inlineStr">
        <is>
          <t>사용</t>
        </is>
      </c>
      <c r="C783" s="18">
        <f>IF(OR(B783&lt;&gt;AK783,M783&lt;&gt;L783,O783&lt;&gt;"",Q783&lt;&gt;"",V783&lt;&gt;1,Y783&lt;&gt;"",AT783&lt;&gt;""),"수정","원본")</f>
        <v/>
      </c>
      <c r="D783" s="18" t="n">
        <v>195</v>
      </c>
      <c r="E783" s="18" t="inlineStr">
        <is>
          <t>누오</t>
        </is>
      </c>
      <c r="F783" s="18" t="inlineStr">
        <is>
          <t>quagsire</t>
        </is>
      </c>
      <c r="G783" s="18" t="inlineStr">
        <is>
          <t>quagsire</t>
        </is>
      </c>
      <c r="H783" s="18" t="inlineStr"/>
      <c r="I783" s="18" t="n">
        <v>2</v>
      </c>
      <c r="J783" s="18" t="n"/>
      <c r="K783" s="18" t="n">
        <v>2</v>
      </c>
      <c r="L783" s="18" t="inlineStr">
        <is>
          <t>cobbleventure:generation_2</t>
        </is>
      </c>
      <c r="M783" s="19" t="inlineStr">
        <is>
          <t>cobbleventure:generation_2</t>
        </is>
      </c>
      <c r="N783" s="18" t="inlineStr">
        <is>
          <t>region_02</t>
        </is>
      </c>
      <c r="O783" s="19" t="inlineStr"/>
      <c r="P783" s="18" t="inlineStr">
        <is>
          <t>#cobblemon:is_mushroom; #cobblemon:is_swamp</t>
        </is>
      </c>
      <c r="Q783" s="19" t="inlineStr"/>
      <c r="R783" s="18">
        <f>IF(Q783="",P783,Q783)</f>
        <v/>
      </c>
      <c r="S783" s="18" t="inlineStr">
        <is>
          <t>#cobblemon:has_block/mud</t>
        </is>
      </c>
      <c r="T783" s="18" t="inlineStr">
        <is>
          <t>common</t>
        </is>
      </c>
      <c r="U783" s="20" t="n">
        <v>0.2</v>
      </c>
      <c r="V783" s="21" t="n">
        <v>1</v>
      </c>
      <c r="W783" s="20">
        <f>IF(OR(U783="",V783=""),U783,U783*V783)</f>
        <v/>
      </c>
      <c r="X783" s="18" t="inlineStr">
        <is>
          <t>20-43</t>
        </is>
      </c>
      <c r="Y783" s="19" t="inlineStr"/>
      <c r="Z783" s="18">
        <f>IF(Y783="",X783,Y783)</f>
        <v/>
      </c>
      <c r="AA783" s="18" t="inlineStr">
        <is>
          <t>fishing</t>
        </is>
      </c>
      <c r="AB783" s="18" t="inlineStr"/>
      <c r="AC783" s="18" t="inlineStr"/>
      <c r="AD783" s="18" t="inlineStr"/>
      <c r="AE783" s="18" t="inlineStr">
        <is>
          <t>sky 8-15</t>
        </is>
      </c>
      <c r="AF783" s="18" t="inlineStr">
        <is>
          <t>False</t>
        </is>
      </c>
      <c r="AG783" s="18" t="inlineStr"/>
      <c r="AH783" s="18" t="inlineStr"/>
      <c r="AI783" s="18" t="inlineStr"/>
      <c r="AJ783" s="18" t="inlineStr">
        <is>
          <t>Cobblemon 동일</t>
        </is>
      </c>
      <c r="AK783" s="18" t="inlineStr">
        <is>
          <t>사용</t>
        </is>
      </c>
      <c r="AL783" s="18" t="inlineStr">
        <is>
          <t>COBBLEVERSE 1.7.42 / DP v31</t>
        </is>
      </c>
      <c r="AM783" s="18" t="inlineStr">
        <is>
          <t>data/cobblemon/spawn_pool_world/0195_quagsire.json</t>
        </is>
      </c>
      <c r="AN783" s="18" t="inlineStr">
        <is>
          <t>quagsire-10</t>
        </is>
      </c>
      <c r="AO783" s="18" t="inlineStr">
        <is>
          <t>pokemon</t>
        </is>
      </c>
      <c r="AP783" s="18" t="inlineStr"/>
      <c r="AQ783" s="18" t="inlineStr">
        <is>
          <t>{"biomes":["#cobblemon:is_mushroom","#cobblemon:is_swamp"],"canSeeSky":false,"maxSkyLight":15,"minSkyLight":8}</t>
        </is>
      </c>
      <c r="AR783" s="18" t="inlineStr">
        <is>
          <t>{"biomes":["#cobblemon:has_block/mud"]}</t>
        </is>
      </c>
      <c r="AS783" s="18" t="inlineStr">
        <is>
          <t>{"weightMultipliers":[{"condition":{"maxLureLevel":2,"minLureLevel":2},"multiplier":3.0},{"condition":{"minLureLevel":3},"multiplier":5.0}]}</t>
        </is>
      </c>
      <c r="AT783" s="19" t="inlineStr"/>
    </row>
    <row r="784" ht="32" customHeight="1">
      <c r="A784" s="18" t="inlineStr">
        <is>
          <t>0195_quagsire.json::quagsire-11::011</t>
        </is>
      </c>
      <c r="B784" s="19" t="inlineStr">
        <is>
          <t>사용</t>
        </is>
      </c>
      <c r="C784" s="18">
        <f>IF(OR(B784&lt;&gt;AK784,M784&lt;&gt;L784,O784&lt;&gt;"",Q784&lt;&gt;"",V784&lt;&gt;1,Y784&lt;&gt;"",AT784&lt;&gt;""),"수정","원본")</f>
        <v/>
      </c>
      <c r="D784" s="18" t="n">
        <v>195</v>
      </c>
      <c r="E784" s="18" t="inlineStr">
        <is>
          <t>누오</t>
        </is>
      </c>
      <c r="F784" s="18" t="inlineStr">
        <is>
          <t>quagsire</t>
        </is>
      </c>
      <c r="G784" s="18" t="inlineStr">
        <is>
          <t>quagsire</t>
        </is>
      </c>
      <c r="H784" s="18" t="inlineStr"/>
      <c r="I784" s="18" t="n">
        <v>2</v>
      </c>
      <c r="J784" s="18" t="n"/>
      <c r="K784" s="18" t="n">
        <v>2</v>
      </c>
      <c r="L784" s="18" t="inlineStr">
        <is>
          <t>cobbleventure:generation_2</t>
        </is>
      </c>
      <c r="M784" s="19" t="inlineStr">
        <is>
          <t>cobbleventure:generation_2</t>
        </is>
      </c>
      <c r="N784" s="18" t="inlineStr">
        <is>
          <t>region_01; region_02</t>
        </is>
      </c>
      <c r="O784" s="19" t="inlineStr"/>
      <c r="P784" s="18" t="inlineStr">
        <is>
          <t>#cobblemon:is_overworld</t>
        </is>
      </c>
      <c r="Q784" s="19" t="inlineStr"/>
      <c r="R784" s="18">
        <f>IF(Q784="",P784,Q784)</f>
        <v/>
      </c>
      <c r="S784" s="18" t="inlineStr">
        <is>
          <t>#cobblemon:is_lush</t>
        </is>
      </c>
      <c r="T784" s="18" t="inlineStr">
        <is>
          <t>common</t>
        </is>
      </c>
      <c r="U784" s="20" t="n">
        <v>1</v>
      </c>
      <c r="V784" s="21" t="n">
        <v>1</v>
      </c>
      <c r="W784" s="20">
        <f>IF(OR(U784="",V784=""),U784,U784*V784)</f>
        <v/>
      </c>
      <c r="X784" s="18" t="inlineStr">
        <is>
          <t>20-43</t>
        </is>
      </c>
      <c r="Y784" s="19" t="inlineStr"/>
      <c r="Z784" s="18">
        <f>IF(Y784="",X784,Y784)</f>
        <v/>
      </c>
      <c r="AA784" s="18" t="inlineStr">
        <is>
          <t>grounded</t>
        </is>
      </c>
      <c r="AB784" s="18" t="inlineStr"/>
      <c r="AC784" s="18" t="inlineStr"/>
      <c r="AD784" s="18" t="inlineStr">
        <is>
          <t>minY=-41, maxY=9</t>
        </is>
      </c>
      <c r="AE784" s="18" t="inlineStr">
        <is>
          <t>sky 0-7</t>
        </is>
      </c>
      <c r="AF784" s="18" t="inlineStr"/>
      <c r="AG784" s="18" t="inlineStr">
        <is>
          <t>cobblemon:shipwreck_coves/lush_shipwreck_cove</t>
        </is>
      </c>
      <c r="AH784" s="18" t="inlineStr"/>
      <c r="AI784" s="18" t="inlineStr"/>
      <c r="AJ784" s="18" t="inlineStr">
        <is>
          <t>Cobblemon 동일</t>
        </is>
      </c>
      <c r="AK784" s="18" t="inlineStr">
        <is>
          <t>사용</t>
        </is>
      </c>
      <c r="AL784" s="18" t="inlineStr">
        <is>
          <t>COBBLEVERSE 1.7.42 / DP v31</t>
        </is>
      </c>
      <c r="AM784" s="18" t="inlineStr">
        <is>
          <t>data/cobblemon/spawn_pool_world/0195_quagsire.json</t>
        </is>
      </c>
      <c r="AN784" s="18" t="inlineStr">
        <is>
          <t>quagsire-11</t>
        </is>
      </c>
      <c r="AO784" s="18" t="inlineStr">
        <is>
          <t>pokemon</t>
        </is>
      </c>
      <c r="AP784" s="18" t="inlineStr">
        <is>
          <t>natural</t>
        </is>
      </c>
      <c r="AQ784" s="18" t="inlineStr">
        <is>
          <t>{"biomes":["#cobblemon:is_overworld"],"maxSkyLight":7,"maxY":9,"minSkyLight":0,"minY":-41,"structures":["cobblemon:shipwreck_coves/lush_shipwreck_cove"]}</t>
        </is>
      </c>
      <c r="AR784" s="18" t="inlineStr">
        <is>
          <t>{"biomes":["#cobblemon:is_lush"]}</t>
        </is>
      </c>
      <c r="AS784" s="18" t="inlineStr"/>
      <c r="AT784" s="19" t="inlineStr"/>
    </row>
    <row r="785" ht="32" customHeight="1">
      <c r="A785" s="18" t="inlineStr">
        <is>
          <t>0195_quagsire.json::quagsire-12::012</t>
        </is>
      </c>
      <c r="B785" s="19" t="inlineStr">
        <is>
          <t>사용</t>
        </is>
      </c>
      <c r="C785" s="18">
        <f>IF(OR(B785&lt;&gt;AK785,M785&lt;&gt;L785,O785&lt;&gt;"",Q785&lt;&gt;"",V785&lt;&gt;1,Y785&lt;&gt;"",AT785&lt;&gt;""),"수정","원본")</f>
        <v/>
      </c>
      <c r="D785" s="18" t="n">
        <v>195</v>
      </c>
      <c r="E785" s="18" t="inlineStr">
        <is>
          <t>누오</t>
        </is>
      </c>
      <c r="F785" s="18" t="inlineStr">
        <is>
          <t>quagsire</t>
        </is>
      </c>
      <c r="G785" s="18" t="inlineStr">
        <is>
          <t>quagsire</t>
        </is>
      </c>
      <c r="H785" s="18" t="inlineStr"/>
      <c r="I785" s="18" t="n">
        <v>2</v>
      </c>
      <c r="J785" s="18" t="n"/>
      <c r="K785" s="18" t="n">
        <v>2</v>
      </c>
      <c r="L785" s="18" t="inlineStr">
        <is>
          <t>cobbleventure:generation_2</t>
        </is>
      </c>
      <c r="M785" s="19" t="inlineStr">
        <is>
          <t>cobbleventure:generation_2</t>
        </is>
      </c>
      <c r="N785" s="18" t="inlineStr">
        <is>
          <t>region_01; region_02</t>
        </is>
      </c>
      <c r="O785" s="19" t="inlineStr"/>
      <c r="P785" s="18" t="inlineStr">
        <is>
          <t>#cobblemon:is_overworld</t>
        </is>
      </c>
      <c r="Q785" s="19" t="inlineStr"/>
      <c r="R785" s="18">
        <f>IF(Q785="",P785,Q785)</f>
        <v/>
      </c>
      <c r="S785" s="18" t="inlineStr">
        <is>
          <t>#cobblemon:is_lush</t>
        </is>
      </c>
      <c r="T785" s="18" t="inlineStr">
        <is>
          <t>common</t>
        </is>
      </c>
      <c r="U785" s="20" t="n">
        <v>1</v>
      </c>
      <c r="V785" s="21" t="n">
        <v>1</v>
      </c>
      <c r="W785" s="20">
        <f>IF(OR(U785="",V785=""),U785,U785*V785)</f>
        <v/>
      </c>
      <c r="X785" s="18" t="inlineStr">
        <is>
          <t>20-43</t>
        </is>
      </c>
      <c r="Y785" s="19" t="inlineStr"/>
      <c r="Z785" s="18">
        <f>IF(Y785="",X785,Y785)</f>
        <v/>
      </c>
      <c r="AA785" s="18" t="inlineStr">
        <is>
          <t>submerged</t>
        </is>
      </c>
      <c r="AB785" s="18" t="inlineStr"/>
      <c r="AC785" s="18" t="inlineStr"/>
      <c r="AD785" s="18" t="inlineStr">
        <is>
          <t>minY=-41, maxY=9</t>
        </is>
      </c>
      <c r="AE785" s="18" t="inlineStr">
        <is>
          <t>sky 0-7</t>
        </is>
      </c>
      <c r="AF785" s="18" t="inlineStr"/>
      <c r="AG785" s="18" t="inlineStr">
        <is>
          <t>cobblemon:shipwreck_coves/lush_shipwreck_cove</t>
        </is>
      </c>
      <c r="AH785" s="18" t="inlineStr"/>
      <c r="AI785" s="18" t="inlineStr"/>
      <c r="AJ785" s="18" t="inlineStr">
        <is>
          <t>Cobblemon 동일</t>
        </is>
      </c>
      <c r="AK785" s="18" t="inlineStr">
        <is>
          <t>사용</t>
        </is>
      </c>
      <c r="AL785" s="18" t="inlineStr">
        <is>
          <t>COBBLEVERSE 1.7.42 / DP v31</t>
        </is>
      </c>
      <c r="AM785" s="18" t="inlineStr">
        <is>
          <t>data/cobblemon/spawn_pool_world/0195_quagsire.json</t>
        </is>
      </c>
      <c r="AN785" s="18" t="inlineStr">
        <is>
          <t>quagsire-12</t>
        </is>
      </c>
      <c r="AO785" s="18" t="inlineStr">
        <is>
          <t>pokemon</t>
        </is>
      </c>
      <c r="AP785" s="18" t="inlineStr">
        <is>
          <t>water</t>
        </is>
      </c>
      <c r="AQ785" s="18" t="inlineStr">
        <is>
          <t>{"biomes":["#cobblemon:is_overworld"],"maxSkyLight":7,"maxY":9,"minSkyLight":0,"minY":-41,"structures":["cobblemon:shipwreck_coves/lush_shipwreck_cove"]}</t>
        </is>
      </c>
      <c r="AR785" s="18" t="inlineStr">
        <is>
          <t>{"biomes":["#cobblemon:is_lush"]}</t>
        </is>
      </c>
      <c r="AS785" s="18" t="inlineStr"/>
      <c r="AT785" s="19" t="inlineStr"/>
    </row>
    <row r="786" ht="32" customHeight="1">
      <c r="A786" s="18" t="inlineStr">
        <is>
          <t>0195_quagsire.json::quagsire-13::013</t>
        </is>
      </c>
      <c r="B786" s="19" t="inlineStr">
        <is>
          <t>사용</t>
        </is>
      </c>
      <c r="C786" s="18">
        <f>IF(OR(B786&lt;&gt;AK786,M786&lt;&gt;L786,O786&lt;&gt;"",Q786&lt;&gt;"",V786&lt;&gt;1,Y786&lt;&gt;"",AT786&lt;&gt;""),"수정","원본")</f>
        <v/>
      </c>
      <c r="D786" s="18" t="n">
        <v>195</v>
      </c>
      <c r="E786" s="18" t="inlineStr">
        <is>
          <t>누오</t>
        </is>
      </c>
      <c r="F786" s="18" t="inlineStr">
        <is>
          <t>quagsire</t>
        </is>
      </c>
      <c r="G786" s="18" t="inlineStr">
        <is>
          <t>quagsire</t>
        </is>
      </c>
      <c r="H786" s="18" t="inlineStr"/>
      <c r="I786" s="18" t="n">
        <v>2</v>
      </c>
      <c r="J786" s="18" t="n"/>
      <c r="K786" s="18" t="n">
        <v>2</v>
      </c>
      <c r="L786" s="18" t="inlineStr">
        <is>
          <t>cobbleventure:generation_2</t>
        </is>
      </c>
      <c r="M786" s="19" t="inlineStr">
        <is>
          <t>cobbleventure:generation_2</t>
        </is>
      </c>
      <c r="N786" s="18" t="inlineStr"/>
      <c r="O786" s="19" t="inlineStr"/>
      <c r="P786" s="18" t="inlineStr">
        <is>
          <t>#aether:is_aether</t>
        </is>
      </c>
      <c r="Q786" s="19" t="inlineStr"/>
      <c r="R786" s="18">
        <f>IF(Q786="",P786,Q786)</f>
        <v/>
      </c>
      <c r="S786" s="18" t="inlineStr"/>
      <c r="T786" s="18" t="inlineStr">
        <is>
          <t>uncommon</t>
        </is>
      </c>
      <c r="U786" s="20" t="n">
        <v>1.6</v>
      </c>
      <c r="V786" s="21" t="n">
        <v>1</v>
      </c>
      <c r="W786" s="20">
        <f>IF(OR(U786="",V786=""),U786,U786*V786)</f>
        <v/>
      </c>
      <c r="X786" s="18" t="inlineStr">
        <is>
          <t>20-43</t>
        </is>
      </c>
      <c r="Y786" s="19" t="inlineStr"/>
      <c r="Z786" s="18">
        <f>IF(Y786="",X786,Y786)</f>
        <v/>
      </c>
      <c r="AA786" s="18" t="inlineStr">
        <is>
          <t>grounded</t>
        </is>
      </c>
      <c r="AB786" s="18" t="inlineStr"/>
      <c r="AC786" s="18" t="inlineStr"/>
      <c r="AD786" s="18" t="inlineStr"/>
      <c r="AE786" s="18" t="inlineStr">
        <is>
          <t>sky 0-7</t>
        </is>
      </c>
      <c r="AF786" s="18" t="inlineStr"/>
      <c r="AG786" s="18" t="inlineStr"/>
      <c r="AH786" s="18" t="inlineStr">
        <is>
          <t>주변=minecraft:water</t>
        </is>
      </c>
      <c r="AI786" s="18" t="inlineStr"/>
      <c r="AJ786" s="18" t="inlineStr">
        <is>
          <t>Cobblemon 동일</t>
        </is>
      </c>
      <c r="AK786" s="18" t="inlineStr">
        <is>
          <t>사용</t>
        </is>
      </c>
      <c r="AL786" s="18" t="inlineStr">
        <is>
          <t>COBBLEVERSE 1.7.42 / DP v31</t>
        </is>
      </c>
      <c r="AM786" s="18" t="inlineStr">
        <is>
          <t>data/cobblemon/spawn_pool_world/0195_quagsire.json</t>
        </is>
      </c>
      <c r="AN786" s="18" t="inlineStr">
        <is>
          <t>quagsire-13</t>
        </is>
      </c>
      <c r="AO786" s="18" t="inlineStr">
        <is>
          <t>pokemon</t>
        </is>
      </c>
      <c r="AP786" s="18" t="inlineStr">
        <is>
          <t>natural</t>
        </is>
      </c>
      <c r="AQ786" s="18" t="inlineStr">
        <is>
          <t>{"biomes":["#aether:is_aether"],"maxSkyLight":7,"minSkyLight":0,"neededNearbyBlocks":["minecraft:water"]}</t>
        </is>
      </c>
      <c r="AR786" s="18" t="inlineStr"/>
      <c r="AS786" s="18" t="inlineStr"/>
      <c r="AT786" s="19" t="inlineStr"/>
    </row>
    <row r="787" ht="32" customHeight="1">
      <c r="A787" s="18" t="inlineStr">
        <is>
          <t>0195_quagsire.json::quagsire-14::014</t>
        </is>
      </c>
      <c r="B787" s="19" t="inlineStr">
        <is>
          <t>사용</t>
        </is>
      </c>
      <c r="C787" s="18">
        <f>IF(OR(B787&lt;&gt;AK787,M787&lt;&gt;L787,O787&lt;&gt;"",Q787&lt;&gt;"",V787&lt;&gt;1,Y787&lt;&gt;"",AT787&lt;&gt;""),"수정","원본")</f>
        <v/>
      </c>
      <c r="D787" s="18" t="n">
        <v>195</v>
      </c>
      <c r="E787" s="18" t="inlineStr">
        <is>
          <t>누오</t>
        </is>
      </c>
      <c r="F787" s="18" t="inlineStr">
        <is>
          <t>quagsire</t>
        </is>
      </c>
      <c r="G787" s="18" t="inlineStr">
        <is>
          <t>quagsire</t>
        </is>
      </c>
      <c r="H787" s="18" t="inlineStr"/>
      <c r="I787" s="18" t="n">
        <v>2</v>
      </c>
      <c r="J787" s="18" t="n"/>
      <c r="K787" s="18" t="n">
        <v>2</v>
      </c>
      <c r="L787" s="18" t="inlineStr">
        <is>
          <t>cobbleventure:generation_2</t>
        </is>
      </c>
      <c r="M787" s="19" t="inlineStr">
        <is>
          <t>cobbleventure:generation_2</t>
        </is>
      </c>
      <c r="N787" s="18" t="inlineStr"/>
      <c r="O787" s="19" t="inlineStr"/>
      <c r="P787" s="18" t="inlineStr">
        <is>
          <t>#aether:is_aether</t>
        </is>
      </c>
      <c r="Q787" s="19" t="inlineStr"/>
      <c r="R787" s="18">
        <f>IF(Q787="",P787,Q787)</f>
        <v/>
      </c>
      <c r="S787" s="18" t="inlineStr"/>
      <c r="T787" s="18" t="inlineStr">
        <is>
          <t>uncommon</t>
        </is>
      </c>
      <c r="U787" s="20" t="n">
        <v>1.6</v>
      </c>
      <c r="V787" s="21" t="n">
        <v>1</v>
      </c>
      <c r="W787" s="20">
        <f>IF(OR(U787="",V787=""),U787,U787*V787)</f>
        <v/>
      </c>
      <c r="X787" s="18" t="inlineStr">
        <is>
          <t>20-43</t>
        </is>
      </c>
      <c r="Y787" s="19" t="inlineStr"/>
      <c r="Z787" s="18">
        <f>IF(Y787="",X787,Y787)</f>
        <v/>
      </c>
      <c r="AA787" s="18" t="inlineStr">
        <is>
          <t>submerged</t>
        </is>
      </c>
      <c r="AB787" s="18" t="inlineStr"/>
      <c r="AC787" s="18" t="inlineStr"/>
      <c r="AD787" s="18" t="inlineStr"/>
      <c r="AE787" s="18" t="inlineStr">
        <is>
          <t>sky 0-7</t>
        </is>
      </c>
      <c r="AF787" s="18" t="inlineStr"/>
      <c r="AG787" s="18" t="inlineStr"/>
      <c r="AH787" s="18" t="inlineStr"/>
      <c r="AI787" s="18" t="inlineStr"/>
      <c r="AJ787" s="18" t="inlineStr">
        <is>
          <t>Cobblemon 동일</t>
        </is>
      </c>
      <c r="AK787" s="18" t="inlineStr">
        <is>
          <t>사용</t>
        </is>
      </c>
      <c r="AL787" s="18" t="inlineStr">
        <is>
          <t>COBBLEVERSE 1.7.42 / DP v31</t>
        </is>
      </c>
      <c r="AM787" s="18" t="inlineStr">
        <is>
          <t>data/cobblemon/spawn_pool_world/0195_quagsire.json</t>
        </is>
      </c>
      <c r="AN787" s="18" t="inlineStr">
        <is>
          <t>quagsire-14</t>
        </is>
      </c>
      <c r="AO787" s="18" t="inlineStr">
        <is>
          <t>pokemon</t>
        </is>
      </c>
      <c r="AP787" s="18" t="inlineStr">
        <is>
          <t>water</t>
        </is>
      </c>
      <c r="AQ787" s="18" t="inlineStr">
        <is>
          <t>{"biomes":["#aether:is_aether"],"maxSkyLight":7,"minSkyLight":0}</t>
        </is>
      </c>
      <c r="AR787" s="18" t="inlineStr"/>
      <c r="AS787" s="18" t="inlineStr"/>
      <c r="AT787" s="19" t="inlineStr"/>
    </row>
    <row r="788" ht="32" customHeight="1">
      <c r="A788" s="18" t="inlineStr">
        <is>
          <t>0196_espeon.json::espeon-1::001</t>
        </is>
      </c>
      <c r="B788" s="19" t="inlineStr">
        <is>
          <t>사용</t>
        </is>
      </c>
      <c r="C788" s="18">
        <f>IF(OR(B788&lt;&gt;AK788,M788&lt;&gt;L788,O788&lt;&gt;"",Q788&lt;&gt;"",V788&lt;&gt;1,Y788&lt;&gt;"",AT788&lt;&gt;""),"수정","원본")</f>
        <v/>
      </c>
      <c r="D788" s="18" t="n">
        <v>196</v>
      </c>
      <c r="E788" s="18" t="inlineStr">
        <is>
          <t>에브이</t>
        </is>
      </c>
      <c r="F788" s="18" t="inlineStr">
        <is>
          <t>espeon</t>
        </is>
      </c>
      <c r="G788" s="18" t="inlineStr">
        <is>
          <t>espeon</t>
        </is>
      </c>
      <c r="H788" s="18" t="inlineStr"/>
      <c r="I788" s="18" t="n">
        <v>2</v>
      </c>
      <c r="J788" s="18" t="n"/>
      <c r="K788" s="18" t="n">
        <v>2</v>
      </c>
      <c r="L788" s="18" t="inlineStr">
        <is>
          <t>cobbleventure:generation_2</t>
        </is>
      </c>
      <c r="M788" s="19" t="inlineStr">
        <is>
          <t>cobbleventure:generation_2</t>
        </is>
      </c>
      <c r="N788" s="18" t="inlineStr"/>
      <c r="O788" s="19" t="inlineStr"/>
      <c r="P788" s="18" t="inlineStr">
        <is>
          <t>#cobblemon:is_hills</t>
        </is>
      </c>
      <c r="Q788" s="19" t="inlineStr"/>
      <c r="R788" s="18">
        <f>IF(Q788="",P788,Q788)</f>
        <v/>
      </c>
      <c r="S788" s="18" t="inlineStr"/>
      <c r="T788" s="18" t="inlineStr">
        <is>
          <t>ultra-rare</t>
        </is>
      </c>
      <c r="U788" s="20" t="n">
        <v>1.2</v>
      </c>
      <c r="V788" s="21" t="n">
        <v>1</v>
      </c>
      <c r="W788" s="20">
        <f>IF(OR(U788="",V788=""),U788,U788*V788)</f>
        <v/>
      </c>
      <c r="X788" s="18" t="inlineStr">
        <is>
          <t>28-53</t>
        </is>
      </c>
      <c r="Y788" s="19" t="inlineStr"/>
      <c r="Z788" s="18">
        <f>IF(Y788="",X788,Y788)</f>
        <v/>
      </c>
      <c r="AA788" s="18" t="inlineStr">
        <is>
          <t>grounded</t>
        </is>
      </c>
      <c r="AB788" s="18" t="inlineStr"/>
      <c r="AC788" s="18" t="inlineStr"/>
      <c r="AD788" s="18" t="inlineStr"/>
      <c r="AE788" s="18" t="inlineStr">
        <is>
          <t>sky 8-15</t>
        </is>
      </c>
      <c r="AF788" s="18" t="inlineStr"/>
      <c r="AG788" s="18" t="inlineStr"/>
      <c r="AH788" s="18" t="inlineStr"/>
      <c r="AI788" s="18" t="inlineStr"/>
      <c r="AJ788" s="18" t="inlineStr">
        <is>
          <t>COBBLEVERSE 수정</t>
        </is>
      </c>
      <c r="AK788" s="18" t="inlineStr">
        <is>
          <t>사용</t>
        </is>
      </c>
      <c r="AL788" s="18" t="inlineStr">
        <is>
          <t>COBBLEVERSE 1.7.42 / DP v31</t>
        </is>
      </c>
      <c r="AM788" s="18" t="inlineStr">
        <is>
          <t>data/cobblemon/spawn_pool_world/0196_espeon.json</t>
        </is>
      </c>
      <c r="AN788" s="18" t="inlineStr">
        <is>
          <t>espeon-1</t>
        </is>
      </c>
      <c r="AO788" s="18" t="inlineStr">
        <is>
          <t>pokemon</t>
        </is>
      </c>
      <c r="AP788" s="18" t="inlineStr">
        <is>
          <t>natural</t>
        </is>
      </c>
      <c r="AQ788" s="18" t="inlineStr">
        <is>
          <t>{"biomes":["#cobblemon:is_hills"],"maxSkyLight":15,"minSkyLight":8}</t>
        </is>
      </c>
      <c r="AR788" s="18" t="inlineStr"/>
      <c r="AS788" s="18" t="inlineStr"/>
      <c r="AT788" s="19" t="inlineStr"/>
    </row>
    <row r="789" ht="32" customHeight="1">
      <c r="A789" s="18" t="inlineStr">
        <is>
          <t>0196_espeon.json::espeon-2::002</t>
        </is>
      </c>
      <c r="B789" s="19" t="inlineStr">
        <is>
          <t>사용</t>
        </is>
      </c>
      <c r="C789" s="18">
        <f>IF(OR(B789&lt;&gt;AK789,M789&lt;&gt;L789,O789&lt;&gt;"",Q789&lt;&gt;"",V789&lt;&gt;1,Y789&lt;&gt;"",AT789&lt;&gt;""),"수정","원본")</f>
        <v/>
      </c>
      <c r="D789" s="18" t="n">
        <v>196</v>
      </c>
      <c r="E789" s="18" t="inlineStr">
        <is>
          <t>에브이</t>
        </is>
      </c>
      <c r="F789" s="18" t="inlineStr">
        <is>
          <t>espeon</t>
        </is>
      </c>
      <c r="G789" s="18" t="inlineStr">
        <is>
          <t>espeon</t>
        </is>
      </c>
      <c r="H789" s="18" t="inlineStr"/>
      <c r="I789" s="18" t="n">
        <v>2</v>
      </c>
      <c r="J789" s="18" t="n"/>
      <c r="K789" s="18" t="n">
        <v>2</v>
      </c>
      <c r="L789" s="18" t="inlineStr">
        <is>
          <t>cobbleventure:generation_2</t>
        </is>
      </c>
      <c r="M789" s="19" t="inlineStr">
        <is>
          <t>cobbleventure:generation_2</t>
        </is>
      </c>
      <c r="N789" s="18" t="inlineStr">
        <is>
          <t>region_01; region_02</t>
        </is>
      </c>
      <c r="O789" s="19" t="inlineStr"/>
      <c r="P789" s="18" t="inlineStr">
        <is>
          <t>#cobblemon:is_overworld</t>
        </is>
      </c>
      <c r="Q789" s="19" t="inlineStr"/>
      <c r="R789" s="18">
        <f>IF(Q789="",P789,Q789)</f>
        <v/>
      </c>
      <c r="S789" s="18" t="inlineStr"/>
      <c r="T789" s="18" t="inlineStr">
        <is>
          <t>uncommon</t>
        </is>
      </c>
      <c r="U789" s="20" t="n">
        <v>0.02</v>
      </c>
      <c r="V789" s="21" t="n">
        <v>1</v>
      </c>
      <c r="W789" s="20">
        <f>IF(OR(U789="",V789=""),U789,U789*V789)</f>
        <v/>
      </c>
      <c r="X789" s="18" t="inlineStr">
        <is>
          <t>28-53</t>
        </is>
      </c>
      <c r="Y789" s="19" t="inlineStr"/>
      <c r="Z789" s="18">
        <f>IF(Y789="",X789,Y789)</f>
        <v/>
      </c>
      <c r="AA789" s="18" t="inlineStr">
        <is>
          <t>grounded</t>
        </is>
      </c>
      <c r="AB789" s="18" t="inlineStr"/>
      <c r="AC789" s="18" t="inlineStr"/>
      <c r="AD789" s="18" t="inlineStr"/>
      <c r="AE789" s="18" t="inlineStr">
        <is>
          <t>sky 8-15</t>
        </is>
      </c>
      <c r="AF789" s="18" t="inlineStr"/>
      <c r="AG789" s="18" t="inlineStr"/>
      <c r="AH789" s="18" t="inlineStr"/>
      <c r="AI789" s="18" t="inlineStr"/>
      <c r="AJ789" s="18" t="inlineStr">
        <is>
          <t>COBBLEVERSE 수정</t>
        </is>
      </c>
      <c r="AK789" s="18" t="inlineStr">
        <is>
          <t>사용</t>
        </is>
      </c>
      <c r="AL789" s="18" t="inlineStr">
        <is>
          <t>COBBLEVERSE 1.7.42 / DP v31</t>
        </is>
      </c>
      <c r="AM789" s="18" t="inlineStr">
        <is>
          <t>data/cobblemon/spawn_pool_world/0196_espeon.json</t>
        </is>
      </c>
      <c r="AN789" s="18" t="inlineStr">
        <is>
          <t>espeon-2</t>
        </is>
      </c>
      <c r="AO789" s="18" t="inlineStr">
        <is>
          <t>pokemon</t>
        </is>
      </c>
      <c r="AP789" s="18" t="inlineStr">
        <is>
          <t>natural; urban</t>
        </is>
      </c>
      <c r="AQ789" s="18" t="inlineStr">
        <is>
          <t>{"biomes":["#cobblemon:is_overworld"],"maxSkyLight":15,"minSkyLight":8}</t>
        </is>
      </c>
      <c r="AR789" s="18" t="inlineStr"/>
      <c r="AS789" s="18" t="inlineStr"/>
      <c r="AT789" s="19" t="inlineStr"/>
    </row>
    <row r="790" ht="32" customHeight="1">
      <c r="A790" s="18" t="inlineStr">
        <is>
          <t>0196_espeon.json::espeon-3::003</t>
        </is>
      </c>
      <c r="B790" s="19" t="inlineStr">
        <is>
          <t>사용</t>
        </is>
      </c>
      <c r="C790" s="18">
        <f>IF(OR(B790&lt;&gt;AK790,M790&lt;&gt;L790,O790&lt;&gt;"",Q790&lt;&gt;"",V790&lt;&gt;1,Y790&lt;&gt;"",AT790&lt;&gt;""),"수정","원본")</f>
        <v/>
      </c>
      <c r="D790" s="18" t="n">
        <v>196</v>
      </c>
      <c r="E790" s="18" t="inlineStr">
        <is>
          <t>에브이</t>
        </is>
      </c>
      <c r="F790" s="18" t="inlineStr">
        <is>
          <t>espeon</t>
        </is>
      </c>
      <c r="G790" s="18" t="inlineStr">
        <is>
          <t>espeon</t>
        </is>
      </c>
      <c r="H790" s="18" t="inlineStr"/>
      <c r="I790" s="18" t="n">
        <v>2</v>
      </c>
      <c r="J790" s="18" t="n"/>
      <c r="K790" s="18" t="n">
        <v>2</v>
      </c>
      <c r="L790" s="18" t="inlineStr">
        <is>
          <t>cobbleventure:generation_2</t>
        </is>
      </c>
      <c r="M790" s="19" t="inlineStr">
        <is>
          <t>cobbleventure:generation_2</t>
        </is>
      </c>
      <c r="N790" s="18" t="inlineStr">
        <is>
          <t>region_01; region_02</t>
        </is>
      </c>
      <c r="O790" s="19" t="inlineStr"/>
      <c r="P790" s="18" t="inlineStr">
        <is>
          <t>#cobblemon:is_overworld</t>
        </is>
      </c>
      <c r="Q790" s="19" t="inlineStr"/>
      <c r="R790" s="18">
        <f>IF(Q790="",P790,Q790)</f>
        <v/>
      </c>
      <c r="S790" s="18" t="inlineStr"/>
      <c r="T790" s="18" t="inlineStr">
        <is>
          <t>uncommon</t>
        </is>
      </c>
      <c r="U790" s="20" t="n">
        <v>0.02</v>
      </c>
      <c r="V790" s="21" t="n">
        <v>1</v>
      </c>
      <c r="W790" s="20">
        <f>IF(OR(U790="",V790=""),U790,U790*V790)</f>
        <v/>
      </c>
      <c r="X790" s="18" t="inlineStr">
        <is>
          <t>28-53</t>
        </is>
      </c>
      <c r="Y790" s="19" t="inlineStr"/>
      <c r="Z790" s="18">
        <f>IF(Y790="",X790,Y790)</f>
        <v/>
      </c>
      <c r="AA790" s="18" t="inlineStr">
        <is>
          <t>grounded</t>
        </is>
      </c>
      <c r="AB790" s="18" t="inlineStr"/>
      <c r="AC790" s="18" t="inlineStr"/>
      <c r="AD790" s="18" t="inlineStr"/>
      <c r="AE790" s="18" t="inlineStr">
        <is>
          <t>sky 8-15</t>
        </is>
      </c>
      <c r="AF790" s="18" t="inlineStr"/>
      <c r="AG790" s="18" t="inlineStr">
        <is>
          <t>#minecraft:village</t>
        </is>
      </c>
      <c r="AH790" s="18" t="inlineStr"/>
      <c r="AI790" s="18" t="inlineStr"/>
      <c r="AJ790" s="18" t="inlineStr">
        <is>
          <t>COBBLEVERSE 수정</t>
        </is>
      </c>
      <c r="AK790" s="18" t="inlineStr">
        <is>
          <t>사용</t>
        </is>
      </c>
      <c r="AL790" s="18" t="inlineStr">
        <is>
          <t>COBBLEVERSE 1.7.42 / DP v31</t>
        </is>
      </c>
      <c r="AM790" s="18" t="inlineStr">
        <is>
          <t>data/cobblemon/spawn_pool_world/0196_espeon.json</t>
        </is>
      </c>
      <c r="AN790" s="18" t="inlineStr">
        <is>
          <t>espeon-3</t>
        </is>
      </c>
      <c r="AO790" s="18" t="inlineStr">
        <is>
          <t>pokemon</t>
        </is>
      </c>
      <c r="AP790" s="18" t="inlineStr">
        <is>
          <t>natural</t>
        </is>
      </c>
      <c r="AQ790" s="18" t="inlineStr">
        <is>
          <t>{"biomes":["#cobblemon:is_overworld"],"maxSkyLight":15,"minSkyLight":8,"structures":["#minecraft:village"]}</t>
        </is>
      </c>
      <c r="AR790" s="18" t="inlineStr"/>
      <c r="AS790" s="18" t="inlineStr"/>
      <c r="AT790" s="19" t="inlineStr"/>
    </row>
    <row r="791" ht="32" customHeight="1">
      <c r="A791" s="18" t="inlineStr">
        <is>
          <t>0197_umbreon.json::umbreon-1::001</t>
        </is>
      </c>
      <c r="B791" s="19" t="inlineStr">
        <is>
          <t>사용</t>
        </is>
      </c>
      <c r="C791" s="18">
        <f>IF(OR(B791&lt;&gt;AK791,M791&lt;&gt;L791,O791&lt;&gt;"",Q791&lt;&gt;"",V791&lt;&gt;1,Y791&lt;&gt;"",AT791&lt;&gt;""),"수정","원본")</f>
        <v/>
      </c>
      <c r="D791" s="18" t="n">
        <v>197</v>
      </c>
      <c r="E791" s="18" t="inlineStr">
        <is>
          <t>블래키</t>
        </is>
      </c>
      <c r="F791" s="18" t="inlineStr">
        <is>
          <t>umbreon</t>
        </is>
      </c>
      <c r="G791" s="18" t="inlineStr">
        <is>
          <t>umbreon</t>
        </is>
      </c>
      <c r="H791" s="18" t="inlineStr"/>
      <c r="I791" s="18" t="n">
        <v>2</v>
      </c>
      <c r="J791" s="18" t="n"/>
      <c r="K791" s="18" t="n">
        <v>2</v>
      </c>
      <c r="L791" s="18" t="inlineStr">
        <is>
          <t>cobbleventure:generation_2</t>
        </is>
      </c>
      <c r="M791" s="19" t="inlineStr">
        <is>
          <t>cobbleventure:generation_2</t>
        </is>
      </c>
      <c r="N791" s="18" t="inlineStr"/>
      <c r="O791" s="19" t="inlineStr"/>
      <c r="P791" s="18" t="inlineStr">
        <is>
          <t>#cobblemon:is_spooky</t>
        </is>
      </c>
      <c r="Q791" s="19" t="inlineStr"/>
      <c r="R791" s="18">
        <f>IF(Q791="",P791,Q791)</f>
        <v/>
      </c>
      <c r="S791" s="18" t="inlineStr"/>
      <c r="T791" s="18" t="inlineStr">
        <is>
          <t>ultra-rare</t>
        </is>
      </c>
      <c r="U791" s="20" t="n">
        <v>1.2</v>
      </c>
      <c r="V791" s="21" t="n">
        <v>1</v>
      </c>
      <c r="W791" s="20">
        <f>IF(OR(U791="",V791=""),U791,U791*V791)</f>
        <v/>
      </c>
      <c r="X791" s="18" t="inlineStr">
        <is>
          <t>28-53</t>
        </is>
      </c>
      <c r="Y791" s="19" t="inlineStr"/>
      <c r="Z791" s="18">
        <f>IF(Y791="",X791,Y791)</f>
        <v/>
      </c>
      <c r="AA791" s="18" t="inlineStr">
        <is>
          <t>grounded</t>
        </is>
      </c>
      <c r="AB791" s="18" t="inlineStr">
        <is>
          <t>night</t>
        </is>
      </c>
      <c r="AC791" s="18" t="inlineStr"/>
      <c r="AD791" s="18" t="inlineStr"/>
      <c r="AE791" s="18" t="inlineStr"/>
      <c r="AF791" s="18" t="inlineStr"/>
      <c r="AG791" s="18" t="inlineStr"/>
      <c r="AH791" s="18" t="inlineStr"/>
      <c r="AI791" s="18" t="inlineStr"/>
      <c r="AJ791" s="18" t="inlineStr">
        <is>
          <t>COBBLEVERSE 수정</t>
        </is>
      </c>
      <c r="AK791" s="18" t="inlineStr">
        <is>
          <t>사용</t>
        </is>
      </c>
      <c r="AL791" s="18" t="inlineStr">
        <is>
          <t>COBBLEVERSE 1.7.42 / DP v31</t>
        </is>
      </c>
      <c r="AM791" s="18" t="inlineStr">
        <is>
          <t>data/cobblemon/spawn_pool_world/0197_umbreon.json</t>
        </is>
      </c>
      <c r="AN791" s="18" t="inlineStr">
        <is>
          <t>umbreon-1</t>
        </is>
      </c>
      <c r="AO791" s="18" t="inlineStr">
        <is>
          <t>pokemon</t>
        </is>
      </c>
      <c r="AP791" s="18" t="inlineStr">
        <is>
          <t>natural</t>
        </is>
      </c>
      <c r="AQ791" s="18" t="inlineStr">
        <is>
          <t>{"biomes":["#cobblemon:is_spooky"],"timeRange":"night"}</t>
        </is>
      </c>
      <c r="AR791" s="18" t="inlineStr"/>
      <c r="AS791" s="18" t="inlineStr"/>
      <c r="AT791" s="19" t="inlineStr"/>
    </row>
    <row r="792" ht="32" customHeight="1">
      <c r="A792" s="18" t="inlineStr">
        <is>
          <t>0197_umbreon.json::umbreon-2::002</t>
        </is>
      </c>
      <c r="B792" s="19" t="inlineStr">
        <is>
          <t>사용</t>
        </is>
      </c>
      <c r="C792" s="18">
        <f>IF(OR(B792&lt;&gt;AK792,M792&lt;&gt;L792,O792&lt;&gt;"",Q792&lt;&gt;"",V792&lt;&gt;1,Y792&lt;&gt;"",AT792&lt;&gt;""),"수정","원본")</f>
        <v/>
      </c>
      <c r="D792" s="18" t="n">
        <v>197</v>
      </c>
      <c r="E792" s="18" t="inlineStr">
        <is>
          <t>블래키</t>
        </is>
      </c>
      <c r="F792" s="18" t="inlineStr">
        <is>
          <t>umbreon</t>
        </is>
      </c>
      <c r="G792" s="18" t="inlineStr">
        <is>
          <t>umbreon</t>
        </is>
      </c>
      <c r="H792" s="18" t="inlineStr"/>
      <c r="I792" s="18" t="n">
        <v>2</v>
      </c>
      <c r="J792" s="18" t="n"/>
      <c r="K792" s="18" t="n">
        <v>2</v>
      </c>
      <c r="L792" s="18" t="inlineStr">
        <is>
          <t>cobbleventure:generation_2</t>
        </is>
      </c>
      <c r="M792" s="19" t="inlineStr">
        <is>
          <t>cobbleventure:generation_2</t>
        </is>
      </c>
      <c r="N792" s="18" t="inlineStr">
        <is>
          <t>region_01; region_02</t>
        </is>
      </c>
      <c r="O792" s="19" t="inlineStr"/>
      <c r="P792" s="18" t="inlineStr">
        <is>
          <t>#cobblemon:is_overworld</t>
        </is>
      </c>
      <c r="Q792" s="19" t="inlineStr"/>
      <c r="R792" s="18">
        <f>IF(Q792="",P792,Q792)</f>
        <v/>
      </c>
      <c r="S792" s="18" t="inlineStr"/>
      <c r="T792" s="18" t="inlineStr">
        <is>
          <t>rare</t>
        </is>
      </c>
      <c r="U792" s="20" t="n">
        <v>0.02</v>
      </c>
      <c r="V792" s="21" t="n">
        <v>1</v>
      </c>
      <c r="W792" s="20">
        <f>IF(OR(U792="",V792=""),U792,U792*V792)</f>
        <v/>
      </c>
      <c r="X792" s="18" t="inlineStr">
        <is>
          <t>28-53</t>
        </is>
      </c>
      <c r="Y792" s="19" t="inlineStr"/>
      <c r="Z792" s="18">
        <f>IF(Y792="",X792,Y792)</f>
        <v/>
      </c>
      <c r="AA792" s="18" t="inlineStr">
        <is>
          <t>grounded</t>
        </is>
      </c>
      <c r="AB792" s="18" t="inlineStr"/>
      <c r="AC792" s="18" t="inlineStr"/>
      <c r="AD792" s="18" t="inlineStr"/>
      <c r="AE792" s="18" t="inlineStr">
        <is>
          <t>sky 8-15</t>
        </is>
      </c>
      <c r="AF792" s="18" t="inlineStr"/>
      <c r="AG792" s="18" t="inlineStr"/>
      <c r="AH792" s="18" t="inlineStr"/>
      <c r="AI792" s="18" t="inlineStr"/>
      <c r="AJ792" s="18" t="inlineStr">
        <is>
          <t>COBBLEVERSE 수정</t>
        </is>
      </c>
      <c r="AK792" s="18" t="inlineStr">
        <is>
          <t>사용</t>
        </is>
      </c>
      <c r="AL792" s="18" t="inlineStr">
        <is>
          <t>COBBLEVERSE 1.7.42 / DP v31</t>
        </is>
      </c>
      <c r="AM792" s="18" t="inlineStr">
        <is>
          <t>data/cobblemon/spawn_pool_world/0197_umbreon.json</t>
        </is>
      </c>
      <c r="AN792" s="18" t="inlineStr">
        <is>
          <t>umbreon-2</t>
        </is>
      </c>
      <c r="AO792" s="18" t="inlineStr">
        <is>
          <t>pokemon</t>
        </is>
      </c>
      <c r="AP792" s="18" t="inlineStr">
        <is>
          <t>natural</t>
        </is>
      </c>
      <c r="AQ792" s="18" t="inlineStr">
        <is>
          <t>{"biomes":["#cobblemon:is_overworld"],"maxSkyLight":15,"minSkyLight":8}</t>
        </is>
      </c>
      <c r="AR792" s="18" t="inlineStr"/>
      <c r="AS792" s="18" t="inlineStr"/>
      <c r="AT792" s="19" t="inlineStr"/>
    </row>
    <row r="793" ht="32" customHeight="1">
      <c r="A793" s="18" t="inlineStr">
        <is>
          <t>0197_umbreon.json::umbreon-3::003</t>
        </is>
      </c>
      <c r="B793" s="19" t="inlineStr">
        <is>
          <t>사용</t>
        </is>
      </c>
      <c r="C793" s="18">
        <f>IF(OR(B793&lt;&gt;AK793,M793&lt;&gt;L793,O793&lt;&gt;"",Q793&lt;&gt;"",V793&lt;&gt;1,Y793&lt;&gt;"",AT793&lt;&gt;""),"수정","원본")</f>
        <v/>
      </c>
      <c r="D793" s="18" t="n">
        <v>197</v>
      </c>
      <c r="E793" s="18" t="inlineStr">
        <is>
          <t>블래키</t>
        </is>
      </c>
      <c r="F793" s="18" t="inlineStr">
        <is>
          <t>umbreon</t>
        </is>
      </c>
      <c r="G793" s="18" t="inlineStr">
        <is>
          <t>umbreon</t>
        </is>
      </c>
      <c r="H793" s="18" t="inlineStr"/>
      <c r="I793" s="18" t="n">
        <v>2</v>
      </c>
      <c r="J793" s="18" t="n"/>
      <c r="K793" s="18" t="n">
        <v>2</v>
      </c>
      <c r="L793" s="18" t="inlineStr">
        <is>
          <t>cobbleventure:generation_2</t>
        </is>
      </c>
      <c r="M793" s="19" t="inlineStr">
        <is>
          <t>cobbleventure:generation_2</t>
        </is>
      </c>
      <c r="N793" s="18" t="inlineStr">
        <is>
          <t>region_01; region_02</t>
        </is>
      </c>
      <c r="O793" s="19" t="inlineStr"/>
      <c r="P793" s="18" t="inlineStr">
        <is>
          <t>#cobblemon:is_overworld</t>
        </is>
      </c>
      <c r="Q793" s="19" t="inlineStr"/>
      <c r="R793" s="18">
        <f>IF(Q793="",P793,Q793)</f>
        <v/>
      </c>
      <c r="S793" s="18" t="inlineStr"/>
      <c r="T793" s="18" t="inlineStr">
        <is>
          <t>uncommon</t>
        </is>
      </c>
      <c r="U793" s="20" t="n">
        <v>0.02</v>
      </c>
      <c r="V793" s="21" t="n">
        <v>1</v>
      </c>
      <c r="W793" s="20">
        <f>IF(OR(U793="",V793=""),U793,U793*V793)</f>
        <v/>
      </c>
      <c r="X793" s="18" t="inlineStr">
        <is>
          <t>28-53</t>
        </is>
      </c>
      <c r="Y793" s="19" t="inlineStr"/>
      <c r="Z793" s="18">
        <f>IF(Y793="",X793,Y793)</f>
        <v/>
      </c>
      <c r="AA793" s="18" t="inlineStr">
        <is>
          <t>grounded</t>
        </is>
      </c>
      <c r="AB793" s="18" t="inlineStr"/>
      <c r="AC793" s="18" t="inlineStr"/>
      <c r="AD793" s="18" t="inlineStr"/>
      <c r="AE793" s="18" t="inlineStr">
        <is>
          <t>sky 8-15</t>
        </is>
      </c>
      <c r="AF793" s="18" t="inlineStr"/>
      <c r="AG793" s="18" t="inlineStr">
        <is>
          <t>#minecraft:village</t>
        </is>
      </c>
      <c r="AH793" s="18" t="inlineStr"/>
      <c r="AI793" s="18" t="inlineStr"/>
      <c r="AJ793" s="18" t="inlineStr">
        <is>
          <t>COBBLEVERSE 수정</t>
        </is>
      </c>
      <c r="AK793" s="18" t="inlineStr">
        <is>
          <t>사용</t>
        </is>
      </c>
      <c r="AL793" s="18" t="inlineStr">
        <is>
          <t>COBBLEVERSE 1.7.42 / DP v31</t>
        </is>
      </c>
      <c r="AM793" s="18" t="inlineStr">
        <is>
          <t>data/cobblemon/spawn_pool_world/0197_umbreon.json</t>
        </is>
      </c>
      <c r="AN793" s="18" t="inlineStr">
        <is>
          <t>umbreon-3</t>
        </is>
      </c>
      <c r="AO793" s="18" t="inlineStr">
        <is>
          <t>pokemon</t>
        </is>
      </c>
      <c r="AP793" s="18" t="inlineStr">
        <is>
          <t>natural</t>
        </is>
      </c>
      <c r="AQ793" s="18" t="inlineStr">
        <is>
          <t>{"biomes":["#cobblemon:is_overworld"],"maxSkyLight":15,"minSkyLight":8,"structures":["#minecraft:village"]}</t>
        </is>
      </c>
      <c r="AR793" s="18" t="inlineStr"/>
      <c r="AS793" s="18" t="inlineStr"/>
      <c r="AT793" s="19" t="inlineStr"/>
    </row>
    <row r="794" ht="32" customHeight="1">
      <c r="A794" s="18" t="inlineStr">
        <is>
          <t>0197_umbreon.json::umbreon-4::004</t>
        </is>
      </c>
      <c r="B794" s="19" t="inlineStr">
        <is>
          <t>사용</t>
        </is>
      </c>
      <c r="C794" s="18">
        <f>IF(OR(B794&lt;&gt;AK794,M794&lt;&gt;L794,O794&lt;&gt;"",Q794&lt;&gt;"",V794&lt;&gt;1,Y794&lt;&gt;"",AT794&lt;&gt;""),"수정","원본")</f>
        <v/>
      </c>
      <c r="D794" s="18" t="n">
        <v>197</v>
      </c>
      <c r="E794" s="18" t="inlineStr">
        <is>
          <t>블래키</t>
        </is>
      </c>
      <c r="F794" s="18" t="inlineStr">
        <is>
          <t>umbreon</t>
        </is>
      </c>
      <c r="G794" s="18" t="inlineStr">
        <is>
          <t>umbreon</t>
        </is>
      </c>
      <c r="H794" s="18" t="inlineStr"/>
      <c r="I794" s="18" t="n">
        <v>2</v>
      </c>
      <c r="J794" s="18" t="n"/>
      <c r="K794" s="18" t="n">
        <v>2</v>
      </c>
      <c r="L794" s="18" t="inlineStr">
        <is>
          <t>cobbleventure:generation_2</t>
        </is>
      </c>
      <c r="M794" s="19" t="inlineStr">
        <is>
          <t>cobbleventure:generation_2</t>
        </is>
      </c>
      <c r="N794" s="18" t="inlineStr">
        <is>
          <t>region_01; region_02</t>
        </is>
      </c>
      <c r="O794" s="19" t="inlineStr"/>
      <c r="P794" s="18" t="inlineStr">
        <is>
          <t>#cobblemon:is_overworld</t>
        </is>
      </c>
      <c r="Q794" s="19" t="inlineStr"/>
      <c r="R794" s="18">
        <f>IF(Q794="",P794,Q794)</f>
        <v/>
      </c>
      <c r="S794" s="18" t="inlineStr"/>
      <c r="T794" s="18" t="inlineStr">
        <is>
          <t>uncommon</t>
        </is>
      </c>
      <c r="U794" s="20" t="n">
        <v>0.1</v>
      </c>
      <c r="V794" s="21" t="n">
        <v>1</v>
      </c>
      <c r="W794" s="20">
        <f>IF(OR(U794="",V794=""),U794,U794*V794)</f>
        <v/>
      </c>
      <c r="X794" s="18" t="inlineStr">
        <is>
          <t>28-53</t>
        </is>
      </c>
      <c r="Y794" s="19" t="inlineStr"/>
      <c r="Z794" s="18">
        <f>IF(Y794="",X794,Y794)</f>
        <v/>
      </c>
      <c r="AA794" s="18" t="inlineStr">
        <is>
          <t>grounded</t>
        </is>
      </c>
      <c r="AB794" s="18" t="inlineStr"/>
      <c r="AC794" s="18" t="inlineStr"/>
      <c r="AD794" s="18" t="inlineStr"/>
      <c r="AE794" s="18" t="inlineStr"/>
      <c r="AF794" s="18" t="inlineStr">
        <is>
          <t>False</t>
        </is>
      </c>
      <c r="AG794" s="18" t="inlineStr"/>
      <c r="AH794" s="18" t="inlineStr"/>
      <c r="AI794" s="18" t="inlineStr"/>
      <c r="AJ794" s="18" t="inlineStr">
        <is>
          <t>COBBLEVERSE 수정</t>
        </is>
      </c>
      <c r="AK794" s="18" t="inlineStr">
        <is>
          <t>사용</t>
        </is>
      </c>
      <c r="AL794" s="18" t="inlineStr">
        <is>
          <t>COBBLEVERSE 1.7.42 / DP v31</t>
        </is>
      </c>
      <c r="AM794" s="18" t="inlineStr">
        <is>
          <t>data/cobblemon/spawn_pool_world/0197_umbreon.json</t>
        </is>
      </c>
      <c r="AN794" s="18" t="inlineStr">
        <is>
          <t>umbreon-4</t>
        </is>
      </c>
      <c r="AO794" s="18" t="inlineStr">
        <is>
          <t>pokemon</t>
        </is>
      </c>
      <c r="AP794" s="18" t="inlineStr">
        <is>
          <t>mansion</t>
        </is>
      </c>
      <c r="AQ794" s="18" t="inlineStr">
        <is>
          <t>{"biomes":["#cobblemon:is_overworld"],"canSeeSky":false}</t>
        </is>
      </c>
      <c r="AR794" s="18" t="inlineStr"/>
      <c r="AS794" s="18" t="inlineStr"/>
      <c r="AT794" s="19" t="inlineStr"/>
    </row>
    <row r="795" ht="32" customHeight="1">
      <c r="A795" s="18" t="inlineStr">
        <is>
          <t>0198_murkrow.json::murkrow-1::001</t>
        </is>
      </c>
      <c r="B795" s="19" t="inlineStr">
        <is>
          <t>사용</t>
        </is>
      </c>
      <c r="C795" s="18">
        <f>IF(OR(B795&lt;&gt;AK795,M795&lt;&gt;L795,O795&lt;&gt;"",Q795&lt;&gt;"",V795&lt;&gt;1,Y795&lt;&gt;"",AT795&lt;&gt;""),"수정","원본")</f>
        <v/>
      </c>
      <c r="D795" s="18" t="n">
        <v>198</v>
      </c>
      <c r="E795" s="18" t="inlineStr">
        <is>
          <t>니로우</t>
        </is>
      </c>
      <c r="F795" s="18" t="inlineStr">
        <is>
          <t>murkrow</t>
        </is>
      </c>
      <c r="G795" s="18" t="inlineStr">
        <is>
          <t>murkrow</t>
        </is>
      </c>
      <c r="H795" s="18" t="inlineStr"/>
      <c r="I795" s="18" t="n">
        <v>2</v>
      </c>
      <c r="J795" s="18" t="n"/>
      <c r="K795" s="18" t="n">
        <v>2</v>
      </c>
      <c r="L795" s="18" t="inlineStr">
        <is>
          <t>cobbleventure:generation_2</t>
        </is>
      </c>
      <c r="M795" s="19" t="inlineStr">
        <is>
          <t>cobbleventure:generation_2</t>
        </is>
      </c>
      <c r="N795" s="18" t="inlineStr"/>
      <c r="O795" s="19" t="inlineStr"/>
      <c r="P795" s="18" t="inlineStr">
        <is>
          <t>#cobblemon:is_spooky</t>
        </is>
      </c>
      <c r="Q795" s="19" t="inlineStr"/>
      <c r="R795" s="18">
        <f>IF(Q795="",P795,Q795)</f>
        <v/>
      </c>
      <c r="S795" s="18" t="inlineStr"/>
      <c r="T795" s="18" t="inlineStr">
        <is>
          <t>common</t>
        </is>
      </c>
      <c r="U795" s="20" t="n">
        <v>5.5</v>
      </c>
      <c r="V795" s="21" t="n">
        <v>1</v>
      </c>
      <c r="W795" s="20">
        <f>IF(OR(U795="",V795=""),U795,U795*V795)</f>
        <v/>
      </c>
      <c r="X795" s="18" t="inlineStr">
        <is>
          <t>16-41</t>
        </is>
      </c>
      <c r="Y795" s="19" t="inlineStr"/>
      <c r="Z795" s="18">
        <f>IF(Y795="",X795,Y795)</f>
        <v/>
      </c>
      <c r="AA795" s="18" t="inlineStr">
        <is>
          <t>grounded</t>
        </is>
      </c>
      <c r="AB795" s="18" t="inlineStr"/>
      <c r="AC795" s="18" t="inlineStr"/>
      <c r="AD795" s="18" t="inlineStr"/>
      <c r="AE795" s="18" t="inlineStr"/>
      <c r="AF795" s="18" t="inlineStr"/>
      <c r="AG795" s="18" t="inlineStr"/>
      <c r="AH795" s="18" t="inlineStr"/>
      <c r="AI795" s="18" t="inlineStr"/>
      <c r="AJ795" s="18" t="inlineStr">
        <is>
          <t>COBBLEVERSE 수정</t>
        </is>
      </c>
      <c r="AK795" s="18" t="inlineStr">
        <is>
          <t>사용</t>
        </is>
      </c>
      <c r="AL795" s="18" t="inlineStr">
        <is>
          <t>COBBLEVERSE 1.7.42 / DP v31</t>
        </is>
      </c>
      <c r="AM795" s="18" t="inlineStr">
        <is>
          <t>data/cobblemon/spawn_pool_world/0198_murkrow.json</t>
        </is>
      </c>
      <c r="AN795" s="18" t="inlineStr">
        <is>
          <t>murkrow-1</t>
        </is>
      </c>
      <c r="AO795" s="18" t="inlineStr">
        <is>
          <t>pokemon</t>
        </is>
      </c>
      <c r="AP795" s="18" t="inlineStr">
        <is>
          <t>natural; treetop</t>
        </is>
      </c>
      <c r="AQ795" s="18" t="inlineStr">
        <is>
          <t>{"biomes":["#cobblemon:is_spooky"]}</t>
        </is>
      </c>
      <c r="AR795" s="18" t="inlineStr"/>
      <c r="AS795" s="18" t="inlineStr">
        <is>
          <t>{"weightMultiplier":{"condition":{"timeRange":"night"},"multiplier":1.5}}</t>
        </is>
      </c>
      <c r="AT795" s="19" t="inlineStr"/>
    </row>
    <row r="796" ht="32" customHeight="1">
      <c r="A796" s="18" t="inlineStr">
        <is>
          <t>0198_murkrow.json::murkrow-3::002</t>
        </is>
      </c>
      <c r="B796" s="19" t="inlineStr">
        <is>
          <t>사용</t>
        </is>
      </c>
      <c r="C796" s="18">
        <f>IF(OR(B796&lt;&gt;AK796,M796&lt;&gt;L796,O796&lt;&gt;"",Q796&lt;&gt;"",V796&lt;&gt;1,Y796&lt;&gt;"",AT796&lt;&gt;""),"수정","원본")</f>
        <v/>
      </c>
      <c r="D796" s="18" t="n">
        <v>198</v>
      </c>
      <c r="E796" s="18" t="inlineStr">
        <is>
          <t>니로우</t>
        </is>
      </c>
      <c r="F796" s="18" t="inlineStr">
        <is>
          <t>murkrow</t>
        </is>
      </c>
      <c r="G796" s="18" t="inlineStr">
        <is>
          <t>murkrow</t>
        </is>
      </c>
      <c r="H796" s="18" t="inlineStr"/>
      <c r="I796" s="18" t="n">
        <v>2</v>
      </c>
      <c r="J796" s="18" t="n"/>
      <c r="K796" s="18" t="n">
        <v>2</v>
      </c>
      <c r="L796" s="18" t="inlineStr">
        <is>
          <t>cobbleventure:generation_2</t>
        </is>
      </c>
      <c r="M796" s="19" t="inlineStr">
        <is>
          <t>cobbleventure:generation_2</t>
        </is>
      </c>
      <c r="N796" s="18" t="inlineStr">
        <is>
          <t>region_02</t>
        </is>
      </c>
      <c r="O796" s="19" t="inlineStr"/>
      <c r="P796" s="18" t="inlineStr">
        <is>
          <t>#cobblemon:is_swamp</t>
        </is>
      </c>
      <c r="Q796" s="19" t="inlineStr"/>
      <c r="R796" s="18">
        <f>IF(Q796="",P796,Q796)</f>
        <v/>
      </c>
      <c r="S796" s="18" t="inlineStr"/>
      <c r="T796" s="18" t="inlineStr">
        <is>
          <t>common</t>
        </is>
      </c>
      <c r="U796" s="20" t="n">
        <v>5.7</v>
      </c>
      <c r="V796" s="21" t="n">
        <v>1</v>
      </c>
      <c r="W796" s="20">
        <f>IF(OR(U796="",V796=""),U796,U796*V796)</f>
        <v/>
      </c>
      <c r="X796" s="18" t="inlineStr">
        <is>
          <t>16-41</t>
        </is>
      </c>
      <c r="Y796" s="19" t="inlineStr"/>
      <c r="Z796" s="18">
        <f>IF(Y796="",X796,Y796)</f>
        <v/>
      </c>
      <c r="AA796" s="18" t="inlineStr">
        <is>
          <t>grounded</t>
        </is>
      </c>
      <c r="AB796" s="18" t="inlineStr">
        <is>
          <t>night</t>
        </is>
      </c>
      <c r="AC796" s="18" t="inlineStr"/>
      <c r="AD796" s="18" t="inlineStr"/>
      <c r="AE796" s="18" t="inlineStr"/>
      <c r="AF796" s="18" t="inlineStr"/>
      <c r="AG796" s="18" t="inlineStr"/>
      <c r="AH796" s="18" t="inlineStr"/>
      <c r="AI796" s="18" t="inlineStr"/>
      <c r="AJ796" s="18" t="inlineStr">
        <is>
          <t>COBBLEVERSE 수정</t>
        </is>
      </c>
      <c r="AK796" s="18" t="inlineStr">
        <is>
          <t>사용</t>
        </is>
      </c>
      <c r="AL796" s="18" t="inlineStr">
        <is>
          <t>COBBLEVERSE 1.7.42 / DP v31</t>
        </is>
      </c>
      <c r="AM796" s="18" t="inlineStr">
        <is>
          <t>data/cobblemon/spawn_pool_world/0198_murkrow.json</t>
        </is>
      </c>
      <c r="AN796" s="18" t="inlineStr">
        <is>
          <t>murkrow-3</t>
        </is>
      </c>
      <c r="AO796" s="18" t="inlineStr">
        <is>
          <t>pokemon</t>
        </is>
      </c>
      <c r="AP796" s="18" t="inlineStr">
        <is>
          <t>natural; treetop</t>
        </is>
      </c>
      <c r="AQ796" s="18" t="inlineStr">
        <is>
          <t>{"biomes":["#cobblemon:is_swamp"],"timeRange":"night"}</t>
        </is>
      </c>
      <c r="AR796" s="18" t="inlineStr"/>
      <c r="AS796" s="18" t="inlineStr"/>
      <c r="AT796" s="19" t="inlineStr"/>
    </row>
    <row r="797" ht="32" customHeight="1">
      <c r="A797" s="18" t="inlineStr">
        <is>
          <t>0198_murkrow.json::murkrow-4::003</t>
        </is>
      </c>
      <c r="B797" s="19" t="inlineStr">
        <is>
          <t>사용</t>
        </is>
      </c>
      <c r="C797" s="18">
        <f>IF(OR(B797&lt;&gt;AK797,M797&lt;&gt;L797,O797&lt;&gt;"",Q797&lt;&gt;"",V797&lt;&gt;1,Y797&lt;&gt;"",AT797&lt;&gt;""),"수정","원본")</f>
        <v/>
      </c>
      <c r="D797" s="18" t="n">
        <v>198</v>
      </c>
      <c r="E797" s="18" t="inlineStr">
        <is>
          <t>니로우</t>
        </is>
      </c>
      <c r="F797" s="18" t="inlineStr">
        <is>
          <t>murkrow</t>
        </is>
      </c>
      <c r="G797" s="18" t="inlineStr">
        <is>
          <t>murkrow</t>
        </is>
      </c>
      <c r="H797" s="18" t="inlineStr"/>
      <c r="I797" s="18" t="n">
        <v>2</v>
      </c>
      <c r="J797" s="18" t="n"/>
      <c r="K797" s="18" t="n">
        <v>2</v>
      </c>
      <c r="L797" s="18" t="inlineStr">
        <is>
          <t>cobbleventure:generation_2</t>
        </is>
      </c>
      <c r="M797" s="19" t="inlineStr">
        <is>
          <t>cobbleventure:generation_2</t>
        </is>
      </c>
      <c r="N797" s="18" t="inlineStr"/>
      <c r="O797" s="19" t="inlineStr"/>
      <c r="P797" s="18" t="inlineStr">
        <is>
          <t>#cobblemon:is_taiga</t>
        </is>
      </c>
      <c r="Q797" s="19" t="inlineStr"/>
      <c r="R797" s="18">
        <f>IF(Q797="",P797,Q797)</f>
        <v/>
      </c>
      <c r="S797" s="18" t="inlineStr"/>
      <c r="T797" s="18" t="inlineStr">
        <is>
          <t>common</t>
        </is>
      </c>
      <c r="U797" s="20" t="n">
        <v>5.7</v>
      </c>
      <c r="V797" s="21" t="n">
        <v>1</v>
      </c>
      <c r="W797" s="20">
        <f>IF(OR(U797="",V797=""),U797,U797*V797)</f>
        <v/>
      </c>
      <c r="X797" s="18" t="inlineStr">
        <is>
          <t>16-41</t>
        </is>
      </c>
      <c r="Y797" s="19" t="inlineStr"/>
      <c r="Z797" s="18">
        <f>IF(Y797="",X797,Y797)</f>
        <v/>
      </c>
      <c r="AA797" s="18" t="inlineStr">
        <is>
          <t>grounded</t>
        </is>
      </c>
      <c r="AB797" s="18" t="inlineStr">
        <is>
          <t>night</t>
        </is>
      </c>
      <c r="AC797" s="18" t="inlineStr"/>
      <c r="AD797" s="18" t="inlineStr"/>
      <c r="AE797" s="18" t="inlineStr"/>
      <c r="AF797" s="18" t="inlineStr"/>
      <c r="AG797" s="18" t="inlineStr"/>
      <c r="AH797" s="18" t="inlineStr"/>
      <c r="AI797" s="18" t="inlineStr"/>
      <c r="AJ797" s="18" t="inlineStr">
        <is>
          <t>COBBLEVERSE 수정</t>
        </is>
      </c>
      <c r="AK797" s="18" t="inlineStr">
        <is>
          <t>사용</t>
        </is>
      </c>
      <c r="AL797" s="18" t="inlineStr">
        <is>
          <t>COBBLEVERSE 1.7.42 / DP v31</t>
        </is>
      </c>
      <c r="AM797" s="18" t="inlineStr">
        <is>
          <t>data/cobblemon/spawn_pool_world/0198_murkrow.json</t>
        </is>
      </c>
      <c r="AN797" s="18" t="inlineStr">
        <is>
          <t>murkrow-4</t>
        </is>
      </c>
      <c r="AO797" s="18" t="inlineStr">
        <is>
          <t>pokemon</t>
        </is>
      </c>
      <c r="AP797" s="18" t="inlineStr">
        <is>
          <t>natural; treetop</t>
        </is>
      </c>
      <c r="AQ797" s="18" t="inlineStr">
        <is>
          <t>{"biomes":["#cobblemon:is_taiga"],"timeRange":"night"}</t>
        </is>
      </c>
      <c r="AR797" s="18" t="inlineStr"/>
      <c r="AS797" s="18" t="inlineStr"/>
      <c r="AT797" s="19" t="inlineStr"/>
    </row>
    <row r="798" ht="32" customHeight="1">
      <c r="A798" s="18" t="inlineStr">
        <is>
          <t>0199_slowking.json::slowking-1::001</t>
        </is>
      </c>
      <c r="B798" s="19" t="inlineStr">
        <is>
          <t>사용</t>
        </is>
      </c>
      <c r="C798" s="18">
        <f>IF(OR(B798&lt;&gt;AK798,M798&lt;&gt;L798,O798&lt;&gt;"",Q798&lt;&gt;"",V798&lt;&gt;1,Y798&lt;&gt;"",AT798&lt;&gt;""),"수정","원본")</f>
        <v/>
      </c>
      <c r="D798" s="18" t="n">
        <v>199</v>
      </c>
      <c r="E798" s="18" t="inlineStr">
        <is>
          <t>야도킹</t>
        </is>
      </c>
      <c r="F798" s="18" t="inlineStr">
        <is>
          <t>slowking</t>
        </is>
      </c>
      <c r="G798" s="18" t="inlineStr">
        <is>
          <t>slowking</t>
        </is>
      </c>
      <c r="H798" s="18" t="inlineStr"/>
      <c r="I798" s="18" t="n">
        <v>2</v>
      </c>
      <c r="J798" s="18" t="n"/>
      <c r="K798" s="18" t="n">
        <v>2</v>
      </c>
      <c r="L798" s="18" t="inlineStr">
        <is>
          <t>cobbleventure:generation_2</t>
        </is>
      </c>
      <c r="M798" s="19" t="inlineStr">
        <is>
          <t>cobbleventure:generation_2</t>
        </is>
      </c>
      <c r="N798" s="18" t="inlineStr"/>
      <c r="O798" s="19" t="inlineStr"/>
      <c r="P798" s="18" t="inlineStr">
        <is>
          <t>#cobblemon:is_beach</t>
        </is>
      </c>
      <c r="Q798" s="19" t="inlineStr"/>
      <c r="R798" s="18">
        <f>IF(Q798="",P798,Q798)</f>
        <v/>
      </c>
      <c r="S798" s="18" t="inlineStr"/>
      <c r="T798" s="18" t="inlineStr">
        <is>
          <t>common</t>
        </is>
      </c>
      <c r="U798" s="20" t="n">
        <v>0.15</v>
      </c>
      <c r="V798" s="21" t="n">
        <v>1</v>
      </c>
      <c r="W798" s="20">
        <f>IF(OR(U798="",V798=""),U798,U798*V798)</f>
        <v/>
      </c>
      <c r="X798" s="18" t="inlineStr">
        <is>
          <t>37-49</t>
        </is>
      </c>
      <c r="Y798" s="19" t="inlineStr"/>
      <c r="Z798" s="18">
        <f>IF(Y798="",X798,Y798)</f>
        <v/>
      </c>
      <c r="AA798" s="18" t="inlineStr">
        <is>
          <t>grounded</t>
        </is>
      </c>
      <c r="AB798" s="18" t="inlineStr"/>
      <c r="AC798" s="18" t="inlineStr"/>
      <c r="AD798" s="18" t="inlineStr"/>
      <c r="AE798" s="18" t="inlineStr">
        <is>
          <t>sky 8-15</t>
        </is>
      </c>
      <c r="AF798" s="18" t="inlineStr"/>
      <c r="AG798" s="18" t="inlineStr"/>
      <c r="AH798" s="18" t="inlineStr"/>
      <c r="AI798" s="18" t="inlineStr"/>
      <c r="AJ798" s="18" t="inlineStr">
        <is>
          <t>Cobblemon 동일</t>
        </is>
      </c>
      <c r="AK798" s="18" t="inlineStr">
        <is>
          <t>사용</t>
        </is>
      </c>
      <c r="AL798" s="18" t="inlineStr">
        <is>
          <t>COBBLEVERSE 1.7.42 / DP v31</t>
        </is>
      </c>
      <c r="AM798" s="18" t="inlineStr">
        <is>
          <t>data/cobblemon/spawn_pool_world/0199_slowking.json</t>
        </is>
      </c>
      <c r="AN798" s="18" t="inlineStr">
        <is>
          <t>slowking-1</t>
        </is>
      </c>
      <c r="AO798" s="18" t="inlineStr">
        <is>
          <t>pokemon</t>
        </is>
      </c>
      <c r="AP798" s="18" t="inlineStr">
        <is>
          <t>natural</t>
        </is>
      </c>
      <c r="AQ798" s="18" t="inlineStr">
        <is>
          <t>{"biomes":["#cobblemon:is_beach"],"maxSkyLight":15,"minSkyLight":8}</t>
        </is>
      </c>
      <c r="AR798" s="18" t="inlineStr"/>
      <c r="AS798" s="18" t="inlineStr"/>
      <c r="AT798" s="19" t="inlineStr"/>
    </row>
    <row r="799" ht="32" customHeight="1">
      <c r="A799" s="18" t="inlineStr">
        <is>
          <t>0199_slowking.json::slowking-2::002</t>
        </is>
      </c>
      <c r="B799" s="19" t="inlineStr">
        <is>
          <t>사용</t>
        </is>
      </c>
      <c r="C799" s="18">
        <f>IF(OR(B799&lt;&gt;AK799,M799&lt;&gt;L799,O799&lt;&gt;"",Q799&lt;&gt;"",V799&lt;&gt;1,Y799&lt;&gt;"",AT799&lt;&gt;""),"수정","원본")</f>
        <v/>
      </c>
      <c r="D799" s="18" t="n">
        <v>199</v>
      </c>
      <c r="E799" s="18" t="inlineStr">
        <is>
          <t>야도킹</t>
        </is>
      </c>
      <c r="F799" s="18" t="inlineStr">
        <is>
          <t>slowking</t>
        </is>
      </c>
      <c r="G799" s="18" t="inlineStr">
        <is>
          <t>slowking</t>
        </is>
      </c>
      <c r="H799" s="18" t="inlineStr"/>
      <c r="I799" s="18" t="n">
        <v>2</v>
      </c>
      <c r="J799" s="18" t="n"/>
      <c r="K799" s="18" t="n">
        <v>2</v>
      </c>
      <c r="L799" s="18" t="inlineStr">
        <is>
          <t>cobbleventure:generation_2</t>
        </is>
      </c>
      <c r="M799" s="19" t="inlineStr">
        <is>
          <t>cobbleventure:generation_2</t>
        </is>
      </c>
      <c r="N799" s="18" t="inlineStr"/>
      <c r="O799" s="19" t="inlineStr"/>
      <c r="P799" s="18" t="inlineStr">
        <is>
          <t>#cobblemon:is_beach</t>
        </is>
      </c>
      <c r="Q799" s="19" t="inlineStr"/>
      <c r="R799" s="18">
        <f>IF(Q799="",P799,Q799)</f>
        <v/>
      </c>
      <c r="S799" s="18" t="inlineStr"/>
      <c r="T799" s="18" t="inlineStr">
        <is>
          <t>common</t>
        </is>
      </c>
      <c r="U799" s="20" t="n">
        <v>0.05</v>
      </c>
      <c r="V799" s="21" t="n">
        <v>1</v>
      </c>
      <c r="W799" s="20">
        <f>IF(OR(U799="",V799=""),U799,U799*V799)</f>
        <v/>
      </c>
      <c r="X799" s="18" t="inlineStr">
        <is>
          <t>37-49</t>
        </is>
      </c>
      <c r="Y799" s="19" t="inlineStr"/>
      <c r="Z799" s="18">
        <f>IF(Y799="",X799,Y799)</f>
        <v/>
      </c>
      <c r="AA799" s="18" t="inlineStr">
        <is>
          <t>fishing</t>
        </is>
      </c>
      <c r="AB799" s="18" t="inlineStr"/>
      <c r="AC799" s="18" t="inlineStr"/>
      <c r="AD799" s="18" t="inlineStr"/>
      <c r="AE799" s="18" t="inlineStr"/>
      <c r="AF799" s="18" t="inlineStr">
        <is>
          <t>True</t>
        </is>
      </c>
      <c r="AG799" s="18" t="inlineStr"/>
      <c r="AH799" s="18" t="inlineStr"/>
      <c r="AI799" s="18" t="inlineStr"/>
      <c r="AJ799" s="18" t="inlineStr">
        <is>
          <t>Cobblemon 동일</t>
        </is>
      </c>
      <c r="AK799" s="18" t="inlineStr">
        <is>
          <t>사용</t>
        </is>
      </c>
      <c r="AL799" s="18" t="inlineStr">
        <is>
          <t>COBBLEVERSE 1.7.42 / DP v31</t>
        </is>
      </c>
      <c r="AM799" s="18" t="inlineStr">
        <is>
          <t>data/cobblemon/spawn_pool_world/0199_slowking.json</t>
        </is>
      </c>
      <c r="AN799" s="18" t="inlineStr">
        <is>
          <t>slowking-2</t>
        </is>
      </c>
      <c r="AO799" s="18" t="inlineStr">
        <is>
          <t>pokemon</t>
        </is>
      </c>
      <c r="AP799" s="18" t="inlineStr"/>
      <c r="AQ799" s="18" t="inlineStr">
        <is>
          <t>{"biomes":["#cobblemon:is_beach"],"canSeeSky":true}</t>
        </is>
      </c>
      <c r="AR799" s="18" t="inlineStr"/>
      <c r="AS799" s="18" t="inlineStr">
        <is>
          <t>{"weightMultipliers":[{"condition":{"maxLureLevel":2,"minLureLevel":2},"multiplier":3.0},{"condition":{"minLureLevel":3},"multiplier":5.0}]}</t>
        </is>
      </c>
      <c r="AT799" s="19" t="inlineStr"/>
    </row>
    <row r="800" ht="32" customHeight="1">
      <c r="A800" s="18" t="inlineStr">
        <is>
          <t>0199_slowking.json::slowking-3::003</t>
        </is>
      </c>
      <c r="B800" s="19" t="inlineStr">
        <is>
          <t>사용</t>
        </is>
      </c>
      <c r="C800" s="18">
        <f>IF(OR(B800&lt;&gt;AK800,M800&lt;&gt;L800,O800&lt;&gt;"",Q800&lt;&gt;"",V800&lt;&gt;1,Y800&lt;&gt;"",AT800&lt;&gt;""),"수정","원본")</f>
        <v/>
      </c>
      <c r="D800" s="18" t="n">
        <v>199</v>
      </c>
      <c r="E800" s="18" t="inlineStr">
        <is>
          <t>야도킹</t>
        </is>
      </c>
      <c r="F800" s="18" t="inlineStr">
        <is>
          <t>slowking</t>
        </is>
      </c>
      <c r="G800" s="18" t="inlineStr">
        <is>
          <t>slowking</t>
        </is>
      </c>
      <c r="H800" s="18" t="inlineStr"/>
      <c r="I800" s="18" t="n">
        <v>2</v>
      </c>
      <c r="J800" s="18" t="n"/>
      <c r="K800" s="18" t="n">
        <v>2</v>
      </c>
      <c r="L800" s="18" t="inlineStr">
        <is>
          <t>cobbleventure:generation_2</t>
        </is>
      </c>
      <c r="M800" s="19" t="inlineStr">
        <is>
          <t>cobbleventure:generation_2</t>
        </is>
      </c>
      <c r="N800" s="18" t="inlineStr"/>
      <c r="O800" s="19" t="inlineStr"/>
      <c r="P800" s="18" t="inlineStr">
        <is>
          <t>#cobblemon:is_beach</t>
        </is>
      </c>
      <c r="Q800" s="19" t="inlineStr"/>
      <c r="R800" s="18">
        <f>IF(Q800="",P800,Q800)</f>
        <v/>
      </c>
      <c r="S800" s="18" t="inlineStr"/>
      <c r="T800" s="18" t="inlineStr">
        <is>
          <t>common</t>
        </is>
      </c>
      <c r="U800" s="20" t="n">
        <v>0.05</v>
      </c>
      <c r="V800" s="21" t="n">
        <v>1</v>
      </c>
      <c r="W800" s="20">
        <f>IF(OR(U800="",V800=""),U800,U800*V800)</f>
        <v/>
      </c>
      <c r="X800" s="18" t="inlineStr">
        <is>
          <t>37-49</t>
        </is>
      </c>
      <c r="Y800" s="19" t="inlineStr"/>
      <c r="Z800" s="18">
        <f>IF(Y800="",X800,Y800)</f>
        <v/>
      </c>
      <c r="AA800" s="18" t="inlineStr">
        <is>
          <t>fishing</t>
        </is>
      </c>
      <c r="AB800" s="18" t="inlineStr"/>
      <c r="AC800" s="18" t="inlineStr"/>
      <c r="AD800" s="18" t="inlineStr"/>
      <c r="AE800" s="18" t="inlineStr">
        <is>
          <t>sky 8-15</t>
        </is>
      </c>
      <c r="AF800" s="18" t="inlineStr">
        <is>
          <t>False</t>
        </is>
      </c>
      <c r="AG800" s="18" t="inlineStr"/>
      <c r="AH800" s="18" t="inlineStr"/>
      <c r="AI800" s="18" t="inlineStr"/>
      <c r="AJ800" s="18" t="inlineStr">
        <is>
          <t>Cobblemon 동일</t>
        </is>
      </c>
      <c r="AK800" s="18" t="inlineStr">
        <is>
          <t>사용</t>
        </is>
      </c>
      <c r="AL800" s="18" t="inlineStr">
        <is>
          <t>COBBLEVERSE 1.7.42 / DP v31</t>
        </is>
      </c>
      <c r="AM800" s="18" t="inlineStr">
        <is>
          <t>data/cobblemon/spawn_pool_world/0199_slowking.json</t>
        </is>
      </c>
      <c r="AN800" s="18" t="inlineStr">
        <is>
          <t>slowking-3</t>
        </is>
      </c>
      <c r="AO800" s="18" t="inlineStr">
        <is>
          <t>pokemon</t>
        </is>
      </c>
      <c r="AP800" s="18" t="inlineStr"/>
      <c r="AQ800" s="18" t="inlineStr">
        <is>
          <t>{"biomes":["#cobblemon:is_beach"],"canSeeSky":false,"maxSkyLight":15,"minSkyLight":8}</t>
        </is>
      </c>
      <c r="AR800" s="18" t="inlineStr"/>
      <c r="AS800" s="18" t="inlineStr">
        <is>
          <t>{"weightMultipliers":[{"condition":{"maxLureLevel":2,"minLureLevel":2},"multiplier":3.0},{"condition":{"minLureLevel":3},"multiplier":5.0}]}</t>
        </is>
      </c>
      <c r="AT800" s="19" t="inlineStr"/>
    </row>
    <row r="801" ht="32" customHeight="1">
      <c r="A801" s="18" t="inlineStr">
        <is>
          <t>0199_slowking.json::slowking-galarian-4::004</t>
        </is>
      </c>
      <c r="B801" s="19" t="inlineStr">
        <is>
          <t>사용</t>
        </is>
      </c>
      <c r="C801" s="18">
        <f>IF(OR(B801&lt;&gt;AK801,M801&lt;&gt;L801,O801&lt;&gt;"",Q801&lt;&gt;"",V801&lt;&gt;1,Y801&lt;&gt;"",AT801&lt;&gt;""),"수정","원본")</f>
        <v/>
      </c>
      <c r="D801" s="18" t="n">
        <v>199</v>
      </c>
      <c r="E801" s="18" t="inlineStr">
        <is>
          <t>야도킹</t>
        </is>
      </c>
      <c r="F801" s="18" t="inlineStr">
        <is>
          <t>slowking</t>
        </is>
      </c>
      <c r="G801" s="18" t="inlineStr">
        <is>
          <t>slowking galarian</t>
        </is>
      </c>
      <c r="H801" s="18" t="inlineStr">
        <is>
          <t>galarian</t>
        </is>
      </c>
      <c r="I801" s="18" t="n">
        <v>2</v>
      </c>
      <c r="J801" s="18" t="n">
        <v>8</v>
      </c>
      <c r="K801" s="18" t="n">
        <v>8</v>
      </c>
      <c r="L801" s="18" t="inlineStr">
        <is>
          <t>cobbleventure:generation_8</t>
        </is>
      </c>
      <c r="M801" s="19" t="inlineStr">
        <is>
          <t>cobbleventure:generation_8</t>
        </is>
      </c>
      <c r="N801" s="18" t="inlineStr"/>
      <c r="O801" s="19" t="inlineStr"/>
      <c r="P801" s="18" t="inlineStr">
        <is>
          <t>minecraft:mushroom_fields; #cobblemon:is_tropical_island</t>
        </is>
      </c>
      <c r="Q801" s="19" t="inlineStr"/>
      <c r="R801" s="18">
        <f>IF(Q801="",P801,Q801)</f>
        <v/>
      </c>
      <c r="S801" s="18" t="inlineStr"/>
      <c r="T801" s="18" t="inlineStr">
        <is>
          <t>common</t>
        </is>
      </c>
      <c r="U801" s="20" t="n">
        <v>0.15</v>
      </c>
      <c r="V801" s="21" t="n">
        <v>1</v>
      </c>
      <c r="W801" s="20">
        <f>IF(OR(U801="",V801=""),U801,U801*V801)</f>
        <v/>
      </c>
      <c r="X801" s="18" t="inlineStr">
        <is>
          <t>37-49</t>
        </is>
      </c>
      <c r="Y801" s="19" t="inlineStr"/>
      <c r="Z801" s="18">
        <f>IF(Y801="",X801,Y801)</f>
        <v/>
      </c>
      <c r="AA801" s="18" t="inlineStr">
        <is>
          <t>grounded</t>
        </is>
      </c>
      <c r="AB801" s="18" t="inlineStr"/>
      <c r="AC801" s="18" t="inlineStr"/>
      <c r="AD801" s="18" t="inlineStr"/>
      <c r="AE801" s="18" t="inlineStr">
        <is>
          <t>sky 8-15</t>
        </is>
      </c>
      <c r="AF801" s="18" t="inlineStr"/>
      <c r="AG801" s="18" t="inlineStr"/>
      <c r="AH801" s="18" t="inlineStr">
        <is>
          <t>주변=minecraft:water</t>
        </is>
      </c>
      <c r="AI801" s="18" t="inlineStr"/>
      <c r="AJ801" s="18" t="inlineStr">
        <is>
          <t>Cobblemon 동일</t>
        </is>
      </c>
      <c r="AK801" s="18" t="inlineStr">
        <is>
          <t>사용</t>
        </is>
      </c>
      <c r="AL801" s="18" t="inlineStr">
        <is>
          <t>COBBLEVERSE 1.7.42 / DP v31</t>
        </is>
      </c>
      <c r="AM801" s="18" t="inlineStr">
        <is>
          <t>data/cobblemon/spawn_pool_world/0199_slowking.json</t>
        </is>
      </c>
      <c r="AN801" s="18" t="inlineStr">
        <is>
          <t>slowking-galarian-4</t>
        </is>
      </c>
      <c r="AO801" s="18" t="inlineStr">
        <is>
          <t>pokemon</t>
        </is>
      </c>
      <c r="AP801" s="18" t="inlineStr">
        <is>
          <t>natural</t>
        </is>
      </c>
      <c r="AQ801" s="18" t="inlineStr">
        <is>
          <t>{"biomes":["minecraft:mushroom_fields","#cobblemon:is_tropical_island"],"maxSkyLight":15,"minSkyLight":8,"neededNearbyBlocks":["minecraft:water"]}</t>
        </is>
      </c>
      <c r="AR801" s="18" t="inlineStr"/>
      <c r="AS801" s="18" t="inlineStr"/>
      <c r="AT801" s="19" t="inlineStr"/>
    </row>
    <row r="802" ht="32" customHeight="1">
      <c r="A802" s="18" t="inlineStr">
        <is>
          <t>0199_slowking.json::slowking-galarian-5::005</t>
        </is>
      </c>
      <c r="B802" s="19" t="inlineStr">
        <is>
          <t>사용</t>
        </is>
      </c>
      <c r="C802" s="18">
        <f>IF(OR(B802&lt;&gt;AK802,M802&lt;&gt;L802,O802&lt;&gt;"",Q802&lt;&gt;"",V802&lt;&gt;1,Y802&lt;&gt;"",AT802&lt;&gt;""),"수정","원본")</f>
        <v/>
      </c>
      <c r="D802" s="18" t="n">
        <v>199</v>
      </c>
      <c r="E802" s="18" t="inlineStr">
        <is>
          <t>야도킹</t>
        </is>
      </c>
      <c r="F802" s="18" t="inlineStr">
        <is>
          <t>slowking</t>
        </is>
      </c>
      <c r="G802" s="18" t="inlineStr">
        <is>
          <t>slowking galarian</t>
        </is>
      </c>
      <c r="H802" s="18" t="inlineStr">
        <is>
          <t>galarian</t>
        </is>
      </c>
      <c r="I802" s="18" t="n">
        <v>2</v>
      </c>
      <c r="J802" s="18" t="n">
        <v>8</v>
      </c>
      <c r="K802" s="18" t="n">
        <v>8</v>
      </c>
      <c r="L802" s="18" t="inlineStr">
        <is>
          <t>cobbleventure:generation_8</t>
        </is>
      </c>
      <c r="M802" s="19" t="inlineStr">
        <is>
          <t>cobbleventure:generation_8</t>
        </is>
      </c>
      <c r="N802" s="18" t="inlineStr"/>
      <c r="O802" s="19" t="inlineStr"/>
      <c r="P802" s="18" t="inlineStr">
        <is>
          <t>minecraft:mushroom_fields; #cobblemon:is_tropical_island</t>
        </is>
      </c>
      <c r="Q802" s="19" t="inlineStr"/>
      <c r="R802" s="18">
        <f>IF(Q802="",P802,Q802)</f>
        <v/>
      </c>
      <c r="S802" s="18" t="inlineStr"/>
      <c r="T802" s="18" t="inlineStr">
        <is>
          <t>common</t>
        </is>
      </c>
      <c r="U802" s="20" t="n">
        <v>0.05</v>
      </c>
      <c r="V802" s="21" t="n">
        <v>1</v>
      </c>
      <c r="W802" s="20">
        <f>IF(OR(U802="",V802=""),U802,U802*V802)</f>
        <v/>
      </c>
      <c r="X802" s="18" t="inlineStr">
        <is>
          <t>37-49</t>
        </is>
      </c>
      <c r="Y802" s="19" t="inlineStr"/>
      <c r="Z802" s="18">
        <f>IF(Y802="",X802,Y802)</f>
        <v/>
      </c>
      <c r="AA802" s="18" t="inlineStr">
        <is>
          <t>fishing</t>
        </is>
      </c>
      <c r="AB802" s="18" t="inlineStr"/>
      <c r="AC802" s="18" t="inlineStr"/>
      <c r="AD802" s="18" t="inlineStr"/>
      <c r="AE802" s="18" t="inlineStr"/>
      <c r="AF802" s="18" t="inlineStr">
        <is>
          <t>True</t>
        </is>
      </c>
      <c r="AG802" s="18" t="inlineStr"/>
      <c r="AH802" s="18" t="inlineStr"/>
      <c r="AI802" s="18" t="inlineStr"/>
      <c r="AJ802" s="18" t="inlineStr">
        <is>
          <t>Cobblemon 동일</t>
        </is>
      </c>
      <c r="AK802" s="18" t="inlineStr">
        <is>
          <t>사용</t>
        </is>
      </c>
      <c r="AL802" s="18" t="inlineStr">
        <is>
          <t>COBBLEVERSE 1.7.42 / DP v31</t>
        </is>
      </c>
      <c r="AM802" s="18" t="inlineStr">
        <is>
          <t>data/cobblemon/spawn_pool_world/0199_slowking.json</t>
        </is>
      </c>
      <c r="AN802" s="18" t="inlineStr">
        <is>
          <t>slowking-galarian-5</t>
        </is>
      </c>
      <c r="AO802" s="18" t="inlineStr">
        <is>
          <t>pokemon</t>
        </is>
      </c>
      <c r="AP802" s="18" t="inlineStr"/>
      <c r="AQ802" s="18" t="inlineStr">
        <is>
          <t>{"biomes":["minecraft:mushroom_fields","#cobblemon:is_tropical_island"],"canSeeSky":true}</t>
        </is>
      </c>
      <c r="AR802" s="18" t="inlineStr"/>
      <c r="AS802" s="18" t="inlineStr">
        <is>
          <t>{"weightMultipliers":[{"condition":{"maxLureLevel":2,"minLureLevel":2},"multiplier":3.0},{"condition":{"minLureLevel":3},"multiplier":5.0}]}</t>
        </is>
      </c>
      <c r="AT802" s="19" t="inlineStr"/>
    </row>
    <row r="803" ht="32" customHeight="1">
      <c r="A803" s="18" t="inlineStr">
        <is>
          <t>0199_slowking.json::slowking-galarian-6::006</t>
        </is>
      </c>
      <c r="B803" s="19" t="inlineStr">
        <is>
          <t>사용</t>
        </is>
      </c>
      <c r="C803" s="18">
        <f>IF(OR(B803&lt;&gt;AK803,M803&lt;&gt;L803,O803&lt;&gt;"",Q803&lt;&gt;"",V803&lt;&gt;1,Y803&lt;&gt;"",AT803&lt;&gt;""),"수정","원본")</f>
        <v/>
      </c>
      <c r="D803" s="18" t="n">
        <v>199</v>
      </c>
      <c r="E803" s="18" t="inlineStr">
        <is>
          <t>야도킹</t>
        </is>
      </c>
      <c r="F803" s="18" t="inlineStr">
        <is>
          <t>slowking</t>
        </is>
      </c>
      <c r="G803" s="18" t="inlineStr">
        <is>
          <t>slowking galarian</t>
        </is>
      </c>
      <c r="H803" s="18" t="inlineStr">
        <is>
          <t>galarian</t>
        </is>
      </c>
      <c r="I803" s="18" t="n">
        <v>2</v>
      </c>
      <c r="J803" s="18" t="n">
        <v>8</v>
      </c>
      <c r="K803" s="18" t="n">
        <v>8</v>
      </c>
      <c r="L803" s="18" t="inlineStr">
        <is>
          <t>cobbleventure:generation_8</t>
        </is>
      </c>
      <c r="M803" s="19" t="inlineStr">
        <is>
          <t>cobbleventure:generation_8</t>
        </is>
      </c>
      <c r="N803" s="18" t="inlineStr"/>
      <c r="O803" s="19" t="inlineStr"/>
      <c r="P803" s="18" t="inlineStr">
        <is>
          <t>minecraft:mushroom_fields; #cobblemon:is_tropical_island</t>
        </is>
      </c>
      <c r="Q803" s="19" t="inlineStr"/>
      <c r="R803" s="18">
        <f>IF(Q803="",P803,Q803)</f>
        <v/>
      </c>
      <c r="S803" s="18" t="inlineStr"/>
      <c r="T803" s="18" t="inlineStr">
        <is>
          <t>common</t>
        </is>
      </c>
      <c r="U803" s="20" t="n">
        <v>0.05</v>
      </c>
      <c r="V803" s="21" t="n">
        <v>1</v>
      </c>
      <c r="W803" s="20">
        <f>IF(OR(U803="",V803=""),U803,U803*V803)</f>
        <v/>
      </c>
      <c r="X803" s="18" t="inlineStr">
        <is>
          <t>37-49</t>
        </is>
      </c>
      <c r="Y803" s="19" t="inlineStr"/>
      <c r="Z803" s="18">
        <f>IF(Y803="",X803,Y803)</f>
        <v/>
      </c>
      <c r="AA803" s="18" t="inlineStr">
        <is>
          <t>fishing</t>
        </is>
      </c>
      <c r="AB803" s="18" t="inlineStr"/>
      <c r="AC803" s="18" t="inlineStr"/>
      <c r="AD803" s="18" t="inlineStr"/>
      <c r="AE803" s="18" t="inlineStr">
        <is>
          <t>sky 8-15</t>
        </is>
      </c>
      <c r="AF803" s="18" t="inlineStr">
        <is>
          <t>False</t>
        </is>
      </c>
      <c r="AG803" s="18" t="inlineStr"/>
      <c r="AH803" s="18" t="inlineStr"/>
      <c r="AI803" s="18" t="inlineStr"/>
      <c r="AJ803" s="18" t="inlineStr">
        <is>
          <t>Cobblemon 동일</t>
        </is>
      </c>
      <c r="AK803" s="18" t="inlineStr">
        <is>
          <t>사용</t>
        </is>
      </c>
      <c r="AL803" s="18" t="inlineStr">
        <is>
          <t>COBBLEVERSE 1.7.42 / DP v31</t>
        </is>
      </c>
      <c r="AM803" s="18" t="inlineStr">
        <is>
          <t>data/cobblemon/spawn_pool_world/0199_slowking.json</t>
        </is>
      </c>
      <c r="AN803" s="18" t="inlineStr">
        <is>
          <t>slowking-galarian-6</t>
        </is>
      </c>
      <c r="AO803" s="18" t="inlineStr">
        <is>
          <t>pokemon</t>
        </is>
      </c>
      <c r="AP803" s="18" t="inlineStr"/>
      <c r="AQ803" s="18" t="inlineStr">
        <is>
          <t>{"biomes":["minecraft:mushroom_fields","#cobblemon:is_tropical_island"],"canSeeSky":false,"maxSkyLight":15,"minSkyLight":8}</t>
        </is>
      </c>
      <c r="AR803" s="18" t="inlineStr"/>
      <c r="AS803" s="18" t="inlineStr">
        <is>
          <t>{"weightMultipliers":[{"condition":{"maxLureLevel":2,"minLureLevel":2},"multiplier":3.0},{"condition":{"minLureLevel":3},"multiplier":5.0}]}</t>
        </is>
      </c>
      <c r="AT803" s="19" t="inlineStr"/>
    </row>
    <row r="804" ht="32" customHeight="1">
      <c r="A804" s="18" t="inlineStr">
        <is>
          <t>0200_misdreavus.json::misdreavus-1::001</t>
        </is>
      </c>
      <c r="B804" s="19" t="inlineStr">
        <is>
          <t>사용</t>
        </is>
      </c>
      <c r="C804" s="18">
        <f>IF(OR(B804&lt;&gt;AK804,M804&lt;&gt;L804,O804&lt;&gt;"",Q804&lt;&gt;"",V804&lt;&gt;1,Y804&lt;&gt;"",AT804&lt;&gt;""),"수정","원본")</f>
        <v/>
      </c>
      <c r="D804" s="18" t="n">
        <v>200</v>
      </c>
      <c r="E804" s="18" t="inlineStr">
        <is>
          <t>무우마</t>
        </is>
      </c>
      <c r="F804" s="18" t="inlineStr">
        <is>
          <t>misdreavus</t>
        </is>
      </c>
      <c r="G804" s="18" t="inlineStr">
        <is>
          <t>misdreavus</t>
        </is>
      </c>
      <c r="H804" s="18" t="inlineStr"/>
      <c r="I804" s="18" t="n">
        <v>2</v>
      </c>
      <c r="J804" s="18" t="n"/>
      <c r="K804" s="18" t="n">
        <v>2</v>
      </c>
      <c r="L804" s="18" t="inlineStr">
        <is>
          <t>cobbleventure:generation_2</t>
        </is>
      </c>
      <c r="M804" s="19" t="inlineStr">
        <is>
          <t>cobbleventure:generation_2</t>
        </is>
      </c>
      <c r="N804" s="18" t="inlineStr"/>
      <c r="O804" s="19" t="inlineStr"/>
      <c r="P804" s="18" t="inlineStr">
        <is>
          <t>#cobblemon:is_spooky</t>
        </is>
      </c>
      <c r="Q804" s="19" t="inlineStr"/>
      <c r="R804" s="18">
        <f>IF(Q804="",P804,Q804)</f>
        <v/>
      </c>
      <c r="S804" s="18" t="inlineStr">
        <is>
          <t>#cobblemon:is_deep_dark</t>
        </is>
      </c>
      <c r="T804" s="18" t="inlineStr">
        <is>
          <t>common</t>
        </is>
      </c>
      <c r="U804" s="20" t="n">
        <v>5.7</v>
      </c>
      <c r="V804" s="21" t="n">
        <v>1</v>
      </c>
      <c r="W804" s="20">
        <f>IF(OR(U804="",V804=""),U804,U804*V804)</f>
        <v/>
      </c>
      <c r="X804" s="18" t="inlineStr">
        <is>
          <t>19-44</t>
        </is>
      </c>
      <c r="Y804" s="19" t="inlineStr"/>
      <c r="Z804" s="18">
        <f>IF(Y804="",X804,Y804)</f>
        <v/>
      </c>
      <c r="AA804" s="18" t="inlineStr">
        <is>
          <t>grounded</t>
        </is>
      </c>
      <c r="AB804" s="18" t="inlineStr"/>
      <c r="AC804" s="18" t="inlineStr"/>
      <c r="AD804" s="18" t="inlineStr"/>
      <c r="AE804" s="18" t="inlineStr">
        <is>
          <t>sky 1-7, light -7</t>
        </is>
      </c>
      <c r="AF804" s="18" t="inlineStr"/>
      <c r="AG804" s="18" t="inlineStr"/>
      <c r="AH804" s="18" t="inlineStr"/>
      <c r="AI804" s="18" t="inlineStr"/>
      <c r="AJ804" s="18" t="inlineStr">
        <is>
          <t>Cobblemon 동일</t>
        </is>
      </c>
      <c r="AK804" s="18" t="inlineStr">
        <is>
          <t>사용</t>
        </is>
      </c>
      <c r="AL804" s="18" t="inlineStr">
        <is>
          <t>COBBLEVERSE 1.7.42 / DP v31</t>
        </is>
      </c>
      <c r="AM804" s="18" t="inlineStr">
        <is>
          <t>data/cobblemon/spawn_pool_world/0200_misdreavus.json</t>
        </is>
      </c>
      <c r="AN804" s="18" t="inlineStr">
        <is>
          <t>misdreavus-1</t>
        </is>
      </c>
      <c r="AO804" s="18" t="inlineStr">
        <is>
          <t>pokemon</t>
        </is>
      </c>
      <c r="AP804" s="18" t="inlineStr">
        <is>
          <t>natural</t>
        </is>
      </c>
      <c r="AQ804" s="18" t="inlineStr">
        <is>
          <t>{"biomes":["#cobblemon:is_spooky"],"maxLight":7,"maxSkyLight":7,"minSkyLight":1}</t>
        </is>
      </c>
      <c r="AR804" s="18" t="inlineStr">
        <is>
          <t>{"biomes":["#cobblemon:is_deep_dark"]}</t>
        </is>
      </c>
      <c r="AS804" s="18" t="inlineStr"/>
      <c r="AT804" s="19" t="inlineStr"/>
    </row>
    <row r="805" ht="32" customHeight="1">
      <c r="A805" s="18" t="inlineStr">
        <is>
          <t>0200_misdreavus.json::misdreavus-2::002</t>
        </is>
      </c>
      <c r="B805" s="19" t="inlineStr">
        <is>
          <t>사용</t>
        </is>
      </c>
      <c r="C805" s="18">
        <f>IF(OR(B805&lt;&gt;AK805,M805&lt;&gt;L805,O805&lt;&gt;"",Q805&lt;&gt;"",V805&lt;&gt;1,Y805&lt;&gt;"",AT805&lt;&gt;""),"수정","원본")</f>
        <v/>
      </c>
      <c r="D805" s="18" t="n">
        <v>200</v>
      </c>
      <c r="E805" s="18" t="inlineStr">
        <is>
          <t>무우마</t>
        </is>
      </c>
      <c r="F805" s="18" t="inlineStr">
        <is>
          <t>misdreavus</t>
        </is>
      </c>
      <c r="G805" s="18" t="inlineStr">
        <is>
          <t>misdreavus</t>
        </is>
      </c>
      <c r="H805" s="18" t="inlineStr"/>
      <c r="I805" s="18" t="n">
        <v>2</v>
      </c>
      <c r="J805" s="18" t="n"/>
      <c r="K805" s="18" t="n">
        <v>2</v>
      </c>
      <c r="L805" s="18" t="inlineStr">
        <is>
          <t>cobbleventure:generation_2</t>
        </is>
      </c>
      <c r="M805" s="19" t="inlineStr">
        <is>
          <t>cobbleventure:generation_2</t>
        </is>
      </c>
      <c r="N805" s="18" t="inlineStr">
        <is>
          <t>region_02</t>
        </is>
      </c>
      <c r="O805" s="19" t="inlineStr"/>
      <c r="P805" s="18" t="inlineStr">
        <is>
          <t>#cobblemon:is_spooky; #cobblemon:is_swamp</t>
        </is>
      </c>
      <c r="Q805" s="19" t="inlineStr"/>
      <c r="R805" s="18">
        <f>IF(Q805="",P805,Q805)</f>
        <v/>
      </c>
      <c r="S805" s="18" t="inlineStr">
        <is>
          <t>#cobblemon:is_deep_dark</t>
        </is>
      </c>
      <c r="T805" s="18" t="inlineStr">
        <is>
          <t>common</t>
        </is>
      </c>
      <c r="U805" s="20" t="n">
        <v>1.9</v>
      </c>
      <c r="V805" s="21" t="n">
        <v>1</v>
      </c>
      <c r="W805" s="20">
        <f>IF(OR(U805="",V805=""),U805,U805*V805)</f>
        <v/>
      </c>
      <c r="X805" s="18" t="inlineStr">
        <is>
          <t>19-44</t>
        </is>
      </c>
      <c r="Y805" s="19" t="inlineStr"/>
      <c r="Z805" s="18">
        <f>IF(Y805="",X805,Y805)</f>
        <v/>
      </c>
      <c r="AA805" s="18" t="inlineStr">
        <is>
          <t>grounded</t>
        </is>
      </c>
      <c r="AB805" s="18" t="inlineStr"/>
      <c r="AC805" s="18" t="inlineStr"/>
      <c r="AD805" s="18" t="inlineStr"/>
      <c r="AE805" s="18" t="inlineStr">
        <is>
          <t>sky 0-7</t>
        </is>
      </c>
      <c r="AF805" s="18" t="inlineStr"/>
      <c r="AG805" s="18" t="inlineStr"/>
      <c r="AH805" s="18" t="inlineStr"/>
      <c r="AI805" s="18" t="inlineStr"/>
      <c r="AJ805" s="18" t="inlineStr">
        <is>
          <t>Cobblemon 동일</t>
        </is>
      </c>
      <c r="AK805" s="18" t="inlineStr">
        <is>
          <t>사용</t>
        </is>
      </c>
      <c r="AL805" s="18" t="inlineStr">
        <is>
          <t>COBBLEVERSE 1.7.42 / DP v31</t>
        </is>
      </c>
      <c r="AM805" s="18" t="inlineStr">
        <is>
          <t>data/cobblemon/spawn_pool_world/0200_misdreavus.json</t>
        </is>
      </c>
      <c r="AN805" s="18" t="inlineStr">
        <is>
          <t>misdreavus-2</t>
        </is>
      </c>
      <c r="AO805" s="18" t="inlineStr">
        <is>
          <t>pokemon</t>
        </is>
      </c>
      <c r="AP805" s="18" t="inlineStr">
        <is>
          <t>natural</t>
        </is>
      </c>
      <c r="AQ805" s="18" t="inlineStr">
        <is>
          <t>{"biomes":["#cobblemon:is_spooky","#cobblemon:is_swamp"],"maxSkyLight":7,"minSkyLight":0}</t>
        </is>
      </c>
      <c r="AR805" s="18" t="inlineStr">
        <is>
          <t>{"biomes":["#cobblemon:is_deep_dark"]}</t>
        </is>
      </c>
      <c r="AS805" s="18" t="inlineStr"/>
      <c r="AT805" s="19" t="inlineStr"/>
    </row>
    <row r="806" ht="32" customHeight="1">
      <c r="A806" s="18" t="inlineStr">
        <is>
          <t>0200_misdreavus.json::misdreavus-3::003</t>
        </is>
      </c>
      <c r="B806" s="19" t="inlineStr">
        <is>
          <t>사용</t>
        </is>
      </c>
      <c r="C806" s="18">
        <f>IF(OR(B806&lt;&gt;AK806,M806&lt;&gt;L806,O806&lt;&gt;"",Q806&lt;&gt;"",V806&lt;&gt;1,Y806&lt;&gt;"",AT806&lt;&gt;""),"수정","원본")</f>
        <v/>
      </c>
      <c r="D806" s="18" t="n">
        <v>200</v>
      </c>
      <c r="E806" s="18" t="inlineStr">
        <is>
          <t>무우마</t>
        </is>
      </c>
      <c r="F806" s="18" t="inlineStr">
        <is>
          <t>misdreavus</t>
        </is>
      </c>
      <c r="G806" s="18" t="inlineStr">
        <is>
          <t>misdreavus</t>
        </is>
      </c>
      <c r="H806" s="18" t="inlineStr"/>
      <c r="I806" s="18" t="n">
        <v>2</v>
      </c>
      <c r="J806" s="18" t="n"/>
      <c r="K806" s="18" t="n">
        <v>2</v>
      </c>
      <c r="L806" s="18" t="inlineStr">
        <is>
          <t>cobbleventure:generation_2</t>
        </is>
      </c>
      <c r="M806" s="19" t="inlineStr">
        <is>
          <t>cobbleventure:generation_2</t>
        </is>
      </c>
      <c r="N806" s="18" t="inlineStr">
        <is>
          <t>region_02</t>
        </is>
      </c>
      <c r="O806" s="19" t="inlineStr"/>
      <c r="P806" s="18" t="inlineStr">
        <is>
          <t>#cobblemon:is_spooky; #cobblemon:is_swamp</t>
        </is>
      </c>
      <c r="Q806" s="19" t="inlineStr"/>
      <c r="R806" s="18">
        <f>IF(Q806="",P806,Q806)</f>
        <v/>
      </c>
      <c r="S806" s="18" t="inlineStr">
        <is>
          <t>#cobblemon:is_deep_dark</t>
        </is>
      </c>
      <c r="T806" s="18" t="inlineStr">
        <is>
          <t>common</t>
        </is>
      </c>
      <c r="U806" s="20" t="n">
        <v>5.7</v>
      </c>
      <c r="V806" s="21" t="n">
        <v>1</v>
      </c>
      <c r="W806" s="20">
        <f>IF(OR(U806="",V806=""),U806,U806*V806)</f>
        <v/>
      </c>
      <c r="X806" s="18" t="inlineStr">
        <is>
          <t>19-44</t>
        </is>
      </c>
      <c r="Y806" s="19" t="inlineStr"/>
      <c r="Z806" s="18">
        <f>IF(Y806="",X806,Y806)</f>
        <v/>
      </c>
      <c r="AA806" s="18" t="inlineStr">
        <is>
          <t>grounded</t>
        </is>
      </c>
      <c r="AB806" s="18" t="inlineStr"/>
      <c r="AC806" s="18" t="inlineStr"/>
      <c r="AD806" s="18" t="inlineStr"/>
      <c r="AE806" s="18" t="inlineStr"/>
      <c r="AF806" s="18" t="inlineStr">
        <is>
          <t>False</t>
        </is>
      </c>
      <c r="AG806" s="18" t="inlineStr"/>
      <c r="AH806" s="18" t="inlineStr"/>
      <c r="AI806" s="18" t="inlineStr"/>
      <c r="AJ806" s="18" t="inlineStr">
        <is>
          <t>Cobblemon 동일</t>
        </is>
      </c>
      <c r="AK806" s="18" t="inlineStr">
        <is>
          <t>사용</t>
        </is>
      </c>
      <c r="AL806" s="18" t="inlineStr">
        <is>
          <t>COBBLEVERSE 1.7.42 / DP v31</t>
        </is>
      </c>
      <c r="AM806" s="18" t="inlineStr">
        <is>
          <t>data/cobblemon/spawn_pool_world/0200_misdreavus.json</t>
        </is>
      </c>
      <c r="AN806" s="18" t="inlineStr">
        <is>
          <t>misdreavus-3</t>
        </is>
      </c>
      <c r="AO806" s="18" t="inlineStr">
        <is>
          <t>pokemon</t>
        </is>
      </c>
      <c r="AP806" s="18" t="inlineStr">
        <is>
          <t>derelict</t>
        </is>
      </c>
      <c r="AQ806" s="18" t="inlineStr">
        <is>
          <t>{"biomes":["#cobblemon:is_spooky","#cobblemon:is_swamp"],"canSeeSky":false}</t>
        </is>
      </c>
      <c r="AR806" s="18" t="inlineStr">
        <is>
          <t>{"biomes":["#cobblemon:is_deep_dark"]}</t>
        </is>
      </c>
      <c r="AS806" s="18" t="inlineStr"/>
      <c r="AT806" s="19" t="inlineStr"/>
    </row>
    <row r="807" ht="32" customHeight="1">
      <c r="A807" s="18" t="inlineStr">
        <is>
          <t>0200_misdreavus.json::misdreavus-4::004</t>
        </is>
      </c>
      <c r="B807" s="19" t="inlineStr">
        <is>
          <t>사용</t>
        </is>
      </c>
      <c r="C807" s="18">
        <f>IF(OR(B807&lt;&gt;AK807,M807&lt;&gt;L807,O807&lt;&gt;"",Q807&lt;&gt;"",V807&lt;&gt;1,Y807&lt;&gt;"",AT807&lt;&gt;""),"수정","원본")</f>
        <v/>
      </c>
      <c r="D807" s="18" t="n">
        <v>200</v>
      </c>
      <c r="E807" s="18" t="inlineStr">
        <is>
          <t>무우마</t>
        </is>
      </c>
      <c r="F807" s="18" t="inlineStr">
        <is>
          <t>misdreavus</t>
        </is>
      </c>
      <c r="G807" s="18" t="inlineStr">
        <is>
          <t>misdreavus</t>
        </is>
      </c>
      <c r="H807" s="18" t="inlineStr"/>
      <c r="I807" s="18" t="n">
        <v>2</v>
      </c>
      <c r="J807" s="18" t="n"/>
      <c r="K807" s="18" t="n">
        <v>2</v>
      </c>
      <c r="L807" s="18" t="inlineStr">
        <is>
          <t>cobbleventure:generation_2</t>
        </is>
      </c>
      <c r="M807" s="19" t="inlineStr">
        <is>
          <t>cobbleventure:generation_2</t>
        </is>
      </c>
      <c r="N807" s="18" t="inlineStr">
        <is>
          <t>region_02</t>
        </is>
      </c>
      <c r="O807" s="19" t="inlineStr"/>
      <c r="P807" s="18" t="inlineStr">
        <is>
          <t>#cobblemon:is_swamp</t>
        </is>
      </c>
      <c r="Q807" s="19" t="inlineStr"/>
      <c r="R807" s="18">
        <f>IF(Q807="",P807,Q807)</f>
        <v/>
      </c>
      <c r="S807" s="18" t="inlineStr"/>
      <c r="T807" s="18" t="inlineStr">
        <is>
          <t>common</t>
        </is>
      </c>
      <c r="U807" s="20" t="n">
        <v>5.7</v>
      </c>
      <c r="V807" s="21" t="n">
        <v>1</v>
      </c>
      <c r="W807" s="20">
        <f>IF(OR(U807="",V807=""),U807,U807*V807)</f>
        <v/>
      </c>
      <c r="X807" s="18" t="inlineStr">
        <is>
          <t>19-44</t>
        </is>
      </c>
      <c r="Y807" s="19" t="inlineStr"/>
      <c r="Z807" s="18">
        <f>IF(Y807="",X807,Y807)</f>
        <v/>
      </c>
      <c r="AA807" s="18" t="inlineStr">
        <is>
          <t>grounded</t>
        </is>
      </c>
      <c r="AB807" s="18" t="inlineStr">
        <is>
          <t>night</t>
        </is>
      </c>
      <c r="AC807" s="18" t="inlineStr"/>
      <c r="AD807" s="18" t="inlineStr"/>
      <c r="AE807" s="18" t="inlineStr">
        <is>
          <t>sky 8-15</t>
        </is>
      </c>
      <c r="AF807" s="18" t="inlineStr"/>
      <c r="AG807" s="18" t="inlineStr"/>
      <c r="AH807" s="18" t="inlineStr"/>
      <c r="AI807" s="18" t="inlineStr"/>
      <c r="AJ807" s="18" t="inlineStr">
        <is>
          <t>Cobblemon 동일</t>
        </is>
      </c>
      <c r="AK807" s="18" t="inlineStr">
        <is>
          <t>사용</t>
        </is>
      </c>
      <c r="AL807" s="18" t="inlineStr">
        <is>
          <t>COBBLEVERSE 1.7.42 / DP v31</t>
        </is>
      </c>
      <c r="AM807" s="18" t="inlineStr">
        <is>
          <t>data/cobblemon/spawn_pool_world/0200_misdreavus.json</t>
        </is>
      </c>
      <c r="AN807" s="18" t="inlineStr">
        <is>
          <t>misdreavus-4</t>
        </is>
      </c>
      <c r="AO807" s="18" t="inlineStr">
        <is>
          <t>pokemon</t>
        </is>
      </c>
      <c r="AP807" s="18" t="inlineStr">
        <is>
          <t>natural</t>
        </is>
      </c>
      <c r="AQ807" s="18" t="inlineStr">
        <is>
          <t>{"biomes":["#cobblemon:is_swamp"],"maxSkyLight":15,"minSkyLight":8,"timeRange":"night"}</t>
        </is>
      </c>
      <c r="AR807" s="18" t="inlineStr"/>
      <c r="AS807" s="18" t="inlineStr"/>
      <c r="AT807" s="19" t="inlineStr"/>
    </row>
    <row r="808" ht="32" customHeight="1">
      <c r="A808" s="18" t="inlineStr">
        <is>
          <t>0200_misdreavus.json::misdreavus-5::005</t>
        </is>
      </c>
      <c r="B808" s="19" t="inlineStr">
        <is>
          <t>사용</t>
        </is>
      </c>
      <c r="C808" s="18">
        <f>IF(OR(B808&lt;&gt;AK808,M808&lt;&gt;L808,O808&lt;&gt;"",Q808&lt;&gt;"",V808&lt;&gt;1,Y808&lt;&gt;"",AT808&lt;&gt;""),"수정","원본")</f>
        <v/>
      </c>
      <c r="D808" s="18" t="n">
        <v>200</v>
      </c>
      <c r="E808" s="18" t="inlineStr">
        <is>
          <t>무우마</t>
        </is>
      </c>
      <c r="F808" s="18" t="inlineStr">
        <is>
          <t>misdreavus</t>
        </is>
      </c>
      <c r="G808" s="18" t="inlineStr">
        <is>
          <t>misdreavus</t>
        </is>
      </c>
      <c r="H808" s="18" t="inlineStr"/>
      <c r="I808" s="18" t="n">
        <v>2</v>
      </c>
      <c r="J808" s="18" t="n"/>
      <c r="K808" s="18" t="n">
        <v>2</v>
      </c>
      <c r="L808" s="18" t="inlineStr">
        <is>
          <t>cobbleventure:generation_2</t>
        </is>
      </c>
      <c r="M808" s="19" t="inlineStr">
        <is>
          <t>cobbleventure:generation_2</t>
        </is>
      </c>
      <c r="N808" s="18" t="inlineStr"/>
      <c r="O808" s="19" t="inlineStr"/>
      <c r="P808" s="18" t="inlineStr">
        <is>
          <t>#cobblemon:nether/is_warped</t>
        </is>
      </c>
      <c r="Q808" s="19" t="inlineStr"/>
      <c r="R808" s="18">
        <f>IF(Q808="",P808,Q808)</f>
        <v/>
      </c>
      <c r="S808" s="18" t="inlineStr"/>
      <c r="T808" s="18" t="inlineStr">
        <is>
          <t>common</t>
        </is>
      </c>
      <c r="U808" s="20" t="n">
        <v>5.7</v>
      </c>
      <c r="V808" s="21" t="n">
        <v>1</v>
      </c>
      <c r="W808" s="20">
        <f>IF(OR(U808="",V808=""),U808,U808*V808)</f>
        <v/>
      </c>
      <c r="X808" s="18" t="inlineStr">
        <is>
          <t>19-44</t>
        </is>
      </c>
      <c r="Y808" s="19" t="inlineStr"/>
      <c r="Z808" s="18">
        <f>IF(Y808="",X808,Y808)</f>
        <v/>
      </c>
      <c r="AA808" s="18" t="inlineStr">
        <is>
          <t>grounded</t>
        </is>
      </c>
      <c r="AB808" s="18" t="inlineStr"/>
      <c r="AC808" s="18" t="inlineStr"/>
      <c r="AD808" s="18" t="inlineStr"/>
      <c r="AE808" s="18" t="inlineStr"/>
      <c r="AF808" s="18" t="inlineStr"/>
      <c r="AG808" s="18" t="inlineStr"/>
      <c r="AH808" s="18" t="inlineStr"/>
      <c r="AI808" s="18" t="inlineStr"/>
      <c r="AJ808" s="18" t="inlineStr">
        <is>
          <t>Cobblemon 동일</t>
        </is>
      </c>
      <c r="AK808" s="18" t="inlineStr">
        <is>
          <t>사용</t>
        </is>
      </c>
      <c r="AL808" s="18" t="inlineStr">
        <is>
          <t>COBBLEVERSE 1.7.42 / DP v31</t>
        </is>
      </c>
      <c r="AM808" s="18" t="inlineStr">
        <is>
          <t>data/cobblemon/spawn_pool_world/0200_misdreavus.json</t>
        </is>
      </c>
      <c r="AN808" s="18" t="inlineStr">
        <is>
          <t>misdreavus-5</t>
        </is>
      </c>
      <c r="AO808" s="18" t="inlineStr">
        <is>
          <t>pokemon</t>
        </is>
      </c>
      <c r="AP808" s="18" t="inlineStr">
        <is>
          <t>natural</t>
        </is>
      </c>
      <c r="AQ808" s="18" t="inlineStr">
        <is>
          <t>{"biomes":["#cobblemon:nether/is_warped"]}</t>
        </is>
      </c>
      <c r="AR808" s="18" t="inlineStr"/>
      <c r="AS808" s="18" t="inlineStr"/>
      <c r="AT808" s="19" t="inlineStr"/>
    </row>
    <row r="809" ht="32" customHeight="1">
      <c r="A809" s="18" t="inlineStr">
        <is>
          <t>0200_misdreavus.json::misdreavus-6::006</t>
        </is>
      </c>
      <c r="B809" s="19" t="inlineStr">
        <is>
          <t>사용</t>
        </is>
      </c>
      <c r="C809" s="18">
        <f>IF(OR(B809&lt;&gt;AK809,M809&lt;&gt;L809,O809&lt;&gt;"",Q809&lt;&gt;"",V809&lt;&gt;1,Y809&lt;&gt;"",AT809&lt;&gt;""),"수정","원본")</f>
        <v/>
      </c>
      <c r="D809" s="18" t="n">
        <v>200</v>
      </c>
      <c r="E809" s="18" t="inlineStr">
        <is>
          <t>무우마</t>
        </is>
      </c>
      <c r="F809" s="18" t="inlineStr">
        <is>
          <t>misdreavus</t>
        </is>
      </c>
      <c r="G809" s="18" t="inlineStr">
        <is>
          <t>misdreavus</t>
        </is>
      </c>
      <c r="H809" s="18" t="inlineStr"/>
      <c r="I809" s="18" t="n">
        <v>2</v>
      </c>
      <c r="J809" s="18" t="n"/>
      <c r="K809" s="18" t="n">
        <v>2</v>
      </c>
      <c r="L809" s="18" t="inlineStr">
        <is>
          <t>cobbleventure:generation_2</t>
        </is>
      </c>
      <c r="M809" s="19" t="inlineStr">
        <is>
          <t>cobbleventure:generation_2</t>
        </is>
      </c>
      <c r="N809" s="18" t="inlineStr">
        <is>
          <t>region_01; region_02</t>
        </is>
      </c>
      <c r="O809" s="19" t="inlineStr"/>
      <c r="P809" s="18" t="inlineStr">
        <is>
          <t>#cobblemon:is_overworld</t>
        </is>
      </c>
      <c r="Q809" s="19" t="inlineStr"/>
      <c r="R809" s="18">
        <f>IF(Q809="",P809,Q809)</f>
        <v/>
      </c>
      <c r="S809" s="18" t="inlineStr">
        <is>
          <t>#cobblemon:is_deep_dark</t>
        </is>
      </c>
      <c r="T809" s="18" t="inlineStr">
        <is>
          <t>common</t>
        </is>
      </c>
      <c r="U809" s="20" t="n">
        <v>5.7</v>
      </c>
      <c r="V809" s="21" t="n">
        <v>1</v>
      </c>
      <c r="W809" s="20">
        <f>IF(OR(U809="",V809=""),U809,U809*V809)</f>
        <v/>
      </c>
      <c r="X809" s="18" t="inlineStr">
        <is>
          <t>19-44</t>
        </is>
      </c>
      <c r="Y809" s="19" t="inlineStr"/>
      <c r="Z809" s="18">
        <f>IF(Y809="",X809,Y809)</f>
        <v/>
      </c>
      <c r="AA809" s="18" t="inlineStr">
        <is>
          <t>grounded</t>
        </is>
      </c>
      <c r="AB809" s="18" t="inlineStr"/>
      <c r="AC809" s="18" t="inlineStr"/>
      <c r="AD809" s="18" t="inlineStr">
        <is>
          <t>minY=-41, maxY=9</t>
        </is>
      </c>
      <c r="AE809" s="18" t="inlineStr"/>
      <c r="AF809" s="18" t="inlineStr">
        <is>
          <t>False</t>
        </is>
      </c>
      <c r="AG809" s="18" t="inlineStr">
        <is>
          <t>#cobblemon:shipwreck_cove</t>
        </is>
      </c>
      <c r="AH809" s="18" t="inlineStr"/>
      <c r="AI809" s="18" t="inlineStr"/>
      <c r="AJ809" s="18" t="inlineStr">
        <is>
          <t>Cobblemon 동일</t>
        </is>
      </c>
      <c r="AK809" s="18" t="inlineStr">
        <is>
          <t>사용</t>
        </is>
      </c>
      <c r="AL809" s="18" t="inlineStr">
        <is>
          <t>COBBLEVERSE 1.7.42 / DP v31</t>
        </is>
      </c>
      <c r="AM809" s="18" t="inlineStr">
        <is>
          <t>data/cobblemon/spawn_pool_world/0200_misdreavus.json</t>
        </is>
      </c>
      <c r="AN809" s="18" t="inlineStr">
        <is>
          <t>misdreavus-6</t>
        </is>
      </c>
      <c r="AO809" s="18" t="inlineStr">
        <is>
          <t>pokemon</t>
        </is>
      </c>
      <c r="AP809" s="18" t="inlineStr"/>
      <c r="AQ809" s="18" t="inlineStr">
        <is>
          <t>{"biomes":["#cobblemon:is_overworld"],"canSeeSky":false,"maxY":9,"minY":-41,"structures":["#cobblemon:shipwreck_cove"]}</t>
        </is>
      </c>
      <c r="AR809" s="18" t="inlineStr">
        <is>
          <t>{"biomes":["#cobblemon:is_deep_dark"]}</t>
        </is>
      </c>
      <c r="AS809" s="18" t="inlineStr"/>
      <c r="AT809" s="19" t="inlineStr"/>
    </row>
    <row r="810" ht="32" customHeight="1">
      <c r="A810" s="18" t="inlineStr">
        <is>
          <t>0201_unown.json::unown-a-1::001</t>
        </is>
      </c>
      <c r="B810" s="19" t="inlineStr">
        <is>
          <t>사용</t>
        </is>
      </c>
      <c r="C810" s="18">
        <f>IF(OR(B810&lt;&gt;AK810,M810&lt;&gt;L810,O810&lt;&gt;"",Q810&lt;&gt;"",V810&lt;&gt;1,Y810&lt;&gt;"",AT810&lt;&gt;""),"수정","원본")</f>
        <v/>
      </c>
      <c r="D810" s="18" t="n">
        <v>201</v>
      </c>
      <c r="E810" s="18" t="inlineStr">
        <is>
          <t>안농</t>
        </is>
      </c>
      <c r="F810" s="18" t="inlineStr">
        <is>
          <t>unown</t>
        </is>
      </c>
      <c r="G810" s="18" t="inlineStr">
        <is>
          <t>unown character=a</t>
        </is>
      </c>
      <c r="H810" s="18" t="inlineStr">
        <is>
          <t>character=a</t>
        </is>
      </c>
      <c r="I810" s="18" t="n">
        <v>2</v>
      </c>
      <c r="J810" s="18" t="n"/>
      <c r="K810" s="18" t="n">
        <v>2</v>
      </c>
      <c r="L810" s="18" t="inlineStr">
        <is>
          <t>cobbleventure:generation_2</t>
        </is>
      </c>
      <c r="M810" s="19" t="inlineStr">
        <is>
          <t>cobbleventure:generation_2</t>
        </is>
      </c>
      <c r="N810" s="18" t="inlineStr"/>
      <c r="O810" s="19" t="inlineStr"/>
      <c r="P810" s="18" t="inlineStr">
        <is>
          <t>#cobblemon:is_end</t>
        </is>
      </c>
      <c r="Q810" s="19" t="inlineStr"/>
      <c r="R810" s="18">
        <f>IF(Q810="",P810,Q810)</f>
        <v/>
      </c>
      <c r="S810" s="18" t="inlineStr"/>
      <c r="T810" s="18" t="inlineStr">
        <is>
          <t>common</t>
        </is>
      </c>
      <c r="U810" s="20" t="n">
        <v>3.2</v>
      </c>
      <c r="V810" s="21" t="n">
        <v>1</v>
      </c>
      <c r="W810" s="20">
        <f>IF(OR(U810="",V810=""),U810,U810*V810)</f>
        <v/>
      </c>
      <c r="X810" s="18" t="inlineStr">
        <is>
          <t>1-100</t>
        </is>
      </c>
      <c r="Y810" s="19" t="inlineStr"/>
      <c r="Z810" s="18">
        <f>IF(Y810="",X810,Y810)</f>
        <v/>
      </c>
      <c r="AA810" s="18" t="inlineStr">
        <is>
          <t>grounded</t>
        </is>
      </c>
      <c r="AB810" s="18" t="inlineStr"/>
      <c r="AC810" s="18" t="inlineStr"/>
      <c r="AD810" s="18" t="inlineStr"/>
      <c r="AE810" s="18" t="inlineStr"/>
      <c r="AF810" s="18" t="inlineStr"/>
      <c r="AG810" s="18" t="inlineStr"/>
      <c r="AH810" s="18" t="inlineStr"/>
      <c r="AI810" s="18" t="inlineStr"/>
      <c r="AJ810" s="18" t="inlineStr">
        <is>
          <t>COBBLEVERSE 수정</t>
        </is>
      </c>
      <c r="AK810" s="18" t="inlineStr">
        <is>
          <t>사용</t>
        </is>
      </c>
      <c r="AL810" s="18" t="inlineStr">
        <is>
          <t>COBBLEVERSE 1.7.42 / DP v31</t>
        </is>
      </c>
      <c r="AM810" s="18" t="inlineStr">
        <is>
          <t>data/cobblemon/spawn_pool_world/0201_unown.json</t>
        </is>
      </c>
      <c r="AN810" s="18" t="inlineStr">
        <is>
          <t>unown-a-1</t>
        </is>
      </c>
      <c r="AO810" s="18" t="inlineStr">
        <is>
          <t>pokemon</t>
        </is>
      </c>
      <c r="AP810" s="18" t="inlineStr">
        <is>
          <t>natural</t>
        </is>
      </c>
      <c r="AQ810" s="18" t="inlineStr">
        <is>
          <t>{"biomes":["#cobblemon:is_end"]}</t>
        </is>
      </c>
      <c r="AR810" s="18" t="inlineStr"/>
      <c r="AS810" s="18" t="inlineStr"/>
      <c r="AT810" s="19" t="inlineStr"/>
    </row>
    <row r="811" ht="32" customHeight="1">
      <c r="A811" s="18" t="inlineStr">
        <is>
          <t>0201_unown.json::unown-b-1::002</t>
        </is>
      </c>
      <c r="B811" s="19" t="inlineStr">
        <is>
          <t>사용</t>
        </is>
      </c>
      <c r="C811" s="18">
        <f>IF(OR(B811&lt;&gt;AK811,M811&lt;&gt;L811,O811&lt;&gt;"",Q811&lt;&gt;"",V811&lt;&gt;1,Y811&lt;&gt;"",AT811&lt;&gt;""),"수정","원본")</f>
        <v/>
      </c>
      <c r="D811" s="18" t="n">
        <v>201</v>
      </c>
      <c r="E811" s="18" t="inlineStr">
        <is>
          <t>안농</t>
        </is>
      </c>
      <c r="F811" s="18" t="inlineStr">
        <is>
          <t>unown</t>
        </is>
      </c>
      <c r="G811" s="18" t="inlineStr">
        <is>
          <t>unown character=b</t>
        </is>
      </c>
      <c r="H811" s="18" t="inlineStr">
        <is>
          <t>character=b</t>
        </is>
      </c>
      <c r="I811" s="18" t="n">
        <v>2</v>
      </c>
      <c r="J811" s="18" t="n"/>
      <c r="K811" s="18" t="n">
        <v>2</v>
      </c>
      <c r="L811" s="18" t="inlineStr">
        <is>
          <t>cobbleventure:generation_2</t>
        </is>
      </c>
      <c r="M811" s="19" t="inlineStr">
        <is>
          <t>cobbleventure:generation_2</t>
        </is>
      </c>
      <c r="N811" s="18" t="inlineStr"/>
      <c r="O811" s="19" t="inlineStr"/>
      <c r="P811" s="18" t="inlineStr">
        <is>
          <t>#cobblemon:is_end</t>
        </is>
      </c>
      <c r="Q811" s="19" t="inlineStr"/>
      <c r="R811" s="18">
        <f>IF(Q811="",P811,Q811)</f>
        <v/>
      </c>
      <c r="S811" s="18" t="inlineStr"/>
      <c r="T811" s="18" t="inlineStr">
        <is>
          <t>common</t>
        </is>
      </c>
      <c r="U811" s="20" t="n">
        <v>3.2</v>
      </c>
      <c r="V811" s="21" t="n">
        <v>1</v>
      </c>
      <c r="W811" s="20">
        <f>IF(OR(U811="",V811=""),U811,U811*V811)</f>
        <v/>
      </c>
      <c r="X811" s="18" t="inlineStr">
        <is>
          <t>1-100</t>
        </is>
      </c>
      <c r="Y811" s="19" t="inlineStr"/>
      <c r="Z811" s="18">
        <f>IF(Y811="",X811,Y811)</f>
        <v/>
      </c>
      <c r="AA811" s="18" t="inlineStr">
        <is>
          <t>grounded</t>
        </is>
      </c>
      <c r="AB811" s="18" t="inlineStr"/>
      <c r="AC811" s="18" t="inlineStr"/>
      <c r="AD811" s="18" t="inlineStr"/>
      <c r="AE811" s="18" t="inlineStr"/>
      <c r="AF811" s="18" t="inlineStr"/>
      <c r="AG811" s="18" t="inlineStr"/>
      <c r="AH811" s="18" t="inlineStr"/>
      <c r="AI811" s="18" t="inlineStr"/>
      <c r="AJ811" s="18" t="inlineStr">
        <is>
          <t>COBBLEVERSE 수정</t>
        </is>
      </c>
      <c r="AK811" s="18" t="inlineStr">
        <is>
          <t>사용</t>
        </is>
      </c>
      <c r="AL811" s="18" t="inlineStr">
        <is>
          <t>COBBLEVERSE 1.7.42 / DP v31</t>
        </is>
      </c>
      <c r="AM811" s="18" t="inlineStr">
        <is>
          <t>data/cobblemon/spawn_pool_world/0201_unown.json</t>
        </is>
      </c>
      <c r="AN811" s="18" t="inlineStr">
        <is>
          <t>unown-b-1</t>
        </is>
      </c>
      <c r="AO811" s="18" t="inlineStr">
        <is>
          <t>pokemon</t>
        </is>
      </c>
      <c r="AP811" s="18" t="inlineStr">
        <is>
          <t>natural</t>
        </is>
      </c>
      <c r="AQ811" s="18" t="inlineStr">
        <is>
          <t>{"biomes":["#cobblemon:is_end"]}</t>
        </is>
      </c>
      <c r="AR811" s="18" t="inlineStr"/>
      <c r="AS811" s="18" t="inlineStr"/>
      <c r="AT811" s="19" t="inlineStr"/>
    </row>
    <row r="812" ht="32" customHeight="1">
      <c r="A812" s="18" t="inlineStr">
        <is>
          <t>0201_unown.json::unown-c-1::003</t>
        </is>
      </c>
      <c r="B812" s="19" t="inlineStr">
        <is>
          <t>사용</t>
        </is>
      </c>
      <c r="C812" s="18">
        <f>IF(OR(B812&lt;&gt;AK812,M812&lt;&gt;L812,O812&lt;&gt;"",Q812&lt;&gt;"",V812&lt;&gt;1,Y812&lt;&gt;"",AT812&lt;&gt;""),"수정","원본")</f>
        <v/>
      </c>
      <c r="D812" s="18" t="n">
        <v>201</v>
      </c>
      <c r="E812" s="18" t="inlineStr">
        <is>
          <t>안농</t>
        </is>
      </c>
      <c r="F812" s="18" t="inlineStr">
        <is>
          <t>unown</t>
        </is>
      </c>
      <c r="G812" s="18" t="inlineStr">
        <is>
          <t>unown character=c</t>
        </is>
      </c>
      <c r="H812" s="18" t="inlineStr">
        <is>
          <t>character=c</t>
        </is>
      </c>
      <c r="I812" s="18" t="n">
        <v>2</v>
      </c>
      <c r="J812" s="18" t="n"/>
      <c r="K812" s="18" t="n">
        <v>2</v>
      </c>
      <c r="L812" s="18" t="inlineStr">
        <is>
          <t>cobbleventure:generation_2</t>
        </is>
      </c>
      <c r="M812" s="19" t="inlineStr">
        <is>
          <t>cobbleventure:generation_2</t>
        </is>
      </c>
      <c r="N812" s="18" t="inlineStr"/>
      <c r="O812" s="19" t="inlineStr"/>
      <c r="P812" s="18" t="inlineStr">
        <is>
          <t>#cobblemon:is_end</t>
        </is>
      </c>
      <c r="Q812" s="19" t="inlineStr"/>
      <c r="R812" s="18">
        <f>IF(Q812="",P812,Q812)</f>
        <v/>
      </c>
      <c r="S812" s="18" t="inlineStr"/>
      <c r="T812" s="18" t="inlineStr">
        <is>
          <t>common</t>
        </is>
      </c>
      <c r="U812" s="20" t="n">
        <v>3.2</v>
      </c>
      <c r="V812" s="21" t="n">
        <v>1</v>
      </c>
      <c r="W812" s="20">
        <f>IF(OR(U812="",V812=""),U812,U812*V812)</f>
        <v/>
      </c>
      <c r="X812" s="18" t="inlineStr">
        <is>
          <t>1-100</t>
        </is>
      </c>
      <c r="Y812" s="19" t="inlineStr"/>
      <c r="Z812" s="18">
        <f>IF(Y812="",X812,Y812)</f>
        <v/>
      </c>
      <c r="AA812" s="18" t="inlineStr">
        <is>
          <t>grounded</t>
        </is>
      </c>
      <c r="AB812" s="18" t="inlineStr"/>
      <c r="AC812" s="18" t="inlineStr"/>
      <c r="AD812" s="18" t="inlineStr"/>
      <c r="AE812" s="18" t="inlineStr"/>
      <c r="AF812" s="18" t="inlineStr"/>
      <c r="AG812" s="18" t="inlineStr"/>
      <c r="AH812" s="18" t="inlineStr"/>
      <c r="AI812" s="18" t="inlineStr"/>
      <c r="AJ812" s="18" t="inlineStr">
        <is>
          <t>COBBLEVERSE 수정</t>
        </is>
      </c>
      <c r="AK812" s="18" t="inlineStr">
        <is>
          <t>사용</t>
        </is>
      </c>
      <c r="AL812" s="18" t="inlineStr">
        <is>
          <t>COBBLEVERSE 1.7.42 / DP v31</t>
        </is>
      </c>
      <c r="AM812" s="18" t="inlineStr">
        <is>
          <t>data/cobblemon/spawn_pool_world/0201_unown.json</t>
        </is>
      </c>
      <c r="AN812" s="18" t="inlineStr">
        <is>
          <t>unown-c-1</t>
        </is>
      </c>
      <c r="AO812" s="18" t="inlineStr">
        <is>
          <t>pokemon</t>
        </is>
      </c>
      <c r="AP812" s="18" t="inlineStr">
        <is>
          <t>natural</t>
        </is>
      </c>
      <c r="AQ812" s="18" t="inlineStr">
        <is>
          <t>{"biomes":["#cobblemon:is_end"]}</t>
        </is>
      </c>
      <c r="AR812" s="18" t="inlineStr"/>
      <c r="AS812" s="18" t="inlineStr"/>
      <c r="AT812" s="19" t="inlineStr"/>
    </row>
    <row r="813" ht="32" customHeight="1">
      <c r="A813" s="18" t="inlineStr">
        <is>
          <t>0201_unown.json::unown-d-1::004</t>
        </is>
      </c>
      <c r="B813" s="19" t="inlineStr">
        <is>
          <t>사용</t>
        </is>
      </c>
      <c r="C813" s="18">
        <f>IF(OR(B813&lt;&gt;AK813,M813&lt;&gt;L813,O813&lt;&gt;"",Q813&lt;&gt;"",V813&lt;&gt;1,Y813&lt;&gt;"",AT813&lt;&gt;""),"수정","원본")</f>
        <v/>
      </c>
      <c r="D813" s="18" t="n">
        <v>201</v>
      </c>
      <c r="E813" s="18" t="inlineStr">
        <is>
          <t>안농</t>
        </is>
      </c>
      <c r="F813" s="18" t="inlineStr">
        <is>
          <t>unown</t>
        </is>
      </c>
      <c r="G813" s="18" t="inlineStr">
        <is>
          <t>unown character=d</t>
        </is>
      </c>
      <c r="H813" s="18" t="inlineStr">
        <is>
          <t>character=d</t>
        </is>
      </c>
      <c r="I813" s="18" t="n">
        <v>2</v>
      </c>
      <c r="J813" s="18" t="n"/>
      <c r="K813" s="18" t="n">
        <v>2</v>
      </c>
      <c r="L813" s="18" t="inlineStr">
        <is>
          <t>cobbleventure:generation_2</t>
        </is>
      </c>
      <c r="M813" s="19" t="inlineStr">
        <is>
          <t>cobbleventure:generation_2</t>
        </is>
      </c>
      <c r="N813" s="18" t="inlineStr"/>
      <c r="O813" s="19" t="inlineStr"/>
      <c r="P813" s="18" t="inlineStr">
        <is>
          <t>#cobblemon:is_end</t>
        </is>
      </c>
      <c r="Q813" s="19" t="inlineStr"/>
      <c r="R813" s="18">
        <f>IF(Q813="",P813,Q813)</f>
        <v/>
      </c>
      <c r="S813" s="18" t="inlineStr"/>
      <c r="T813" s="18" t="inlineStr">
        <is>
          <t>common</t>
        </is>
      </c>
      <c r="U813" s="20" t="n">
        <v>3.2</v>
      </c>
      <c r="V813" s="21" t="n">
        <v>1</v>
      </c>
      <c r="W813" s="20">
        <f>IF(OR(U813="",V813=""),U813,U813*V813)</f>
        <v/>
      </c>
      <c r="X813" s="18" t="inlineStr">
        <is>
          <t>1-100</t>
        </is>
      </c>
      <c r="Y813" s="19" t="inlineStr"/>
      <c r="Z813" s="18">
        <f>IF(Y813="",X813,Y813)</f>
        <v/>
      </c>
      <c r="AA813" s="18" t="inlineStr">
        <is>
          <t>grounded</t>
        </is>
      </c>
      <c r="AB813" s="18" t="inlineStr"/>
      <c r="AC813" s="18" t="inlineStr"/>
      <c r="AD813" s="18" t="inlineStr"/>
      <c r="AE813" s="18" t="inlineStr"/>
      <c r="AF813" s="18" t="inlineStr"/>
      <c r="AG813" s="18" t="inlineStr"/>
      <c r="AH813" s="18" t="inlineStr"/>
      <c r="AI813" s="18" t="inlineStr"/>
      <c r="AJ813" s="18" t="inlineStr">
        <is>
          <t>COBBLEVERSE 수정</t>
        </is>
      </c>
      <c r="AK813" s="18" t="inlineStr">
        <is>
          <t>사용</t>
        </is>
      </c>
      <c r="AL813" s="18" t="inlineStr">
        <is>
          <t>COBBLEVERSE 1.7.42 / DP v31</t>
        </is>
      </c>
      <c r="AM813" s="18" t="inlineStr">
        <is>
          <t>data/cobblemon/spawn_pool_world/0201_unown.json</t>
        </is>
      </c>
      <c r="AN813" s="18" t="inlineStr">
        <is>
          <t>unown-d-1</t>
        </is>
      </c>
      <c r="AO813" s="18" t="inlineStr">
        <is>
          <t>pokemon</t>
        </is>
      </c>
      <c r="AP813" s="18" t="inlineStr">
        <is>
          <t>natural</t>
        </is>
      </c>
      <c r="AQ813" s="18" t="inlineStr">
        <is>
          <t>{"biomes":["#cobblemon:is_end"]}</t>
        </is>
      </c>
      <c r="AR813" s="18" t="inlineStr"/>
      <c r="AS813" s="18" t="inlineStr"/>
      <c r="AT813" s="19" t="inlineStr"/>
    </row>
    <row r="814" ht="32" customHeight="1">
      <c r="A814" s="18" t="inlineStr">
        <is>
          <t>0201_unown.json::unown-e-1::005</t>
        </is>
      </c>
      <c r="B814" s="19" t="inlineStr">
        <is>
          <t>사용</t>
        </is>
      </c>
      <c r="C814" s="18">
        <f>IF(OR(B814&lt;&gt;AK814,M814&lt;&gt;L814,O814&lt;&gt;"",Q814&lt;&gt;"",V814&lt;&gt;1,Y814&lt;&gt;"",AT814&lt;&gt;""),"수정","원본")</f>
        <v/>
      </c>
      <c r="D814" s="18" t="n">
        <v>201</v>
      </c>
      <c r="E814" s="18" t="inlineStr">
        <is>
          <t>안농</t>
        </is>
      </c>
      <c r="F814" s="18" t="inlineStr">
        <is>
          <t>unown</t>
        </is>
      </c>
      <c r="G814" s="18" t="inlineStr">
        <is>
          <t>unown character=e</t>
        </is>
      </c>
      <c r="H814" s="18" t="inlineStr">
        <is>
          <t>character=e</t>
        </is>
      </c>
      <c r="I814" s="18" t="n">
        <v>2</v>
      </c>
      <c r="J814" s="18" t="n"/>
      <c r="K814" s="18" t="n">
        <v>2</v>
      </c>
      <c r="L814" s="18" t="inlineStr">
        <is>
          <t>cobbleventure:generation_2</t>
        </is>
      </c>
      <c r="M814" s="19" t="inlineStr">
        <is>
          <t>cobbleventure:generation_2</t>
        </is>
      </c>
      <c r="N814" s="18" t="inlineStr"/>
      <c r="O814" s="19" t="inlineStr"/>
      <c r="P814" s="18" t="inlineStr">
        <is>
          <t>#cobblemon:is_end</t>
        </is>
      </c>
      <c r="Q814" s="19" t="inlineStr"/>
      <c r="R814" s="18">
        <f>IF(Q814="",P814,Q814)</f>
        <v/>
      </c>
      <c r="S814" s="18" t="inlineStr"/>
      <c r="T814" s="18" t="inlineStr">
        <is>
          <t>common</t>
        </is>
      </c>
      <c r="U814" s="20" t="n">
        <v>3.2</v>
      </c>
      <c r="V814" s="21" t="n">
        <v>1</v>
      </c>
      <c r="W814" s="20">
        <f>IF(OR(U814="",V814=""),U814,U814*V814)</f>
        <v/>
      </c>
      <c r="X814" s="18" t="inlineStr">
        <is>
          <t>1-100</t>
        </is>
      </c>
      <c r="Y814" s="19" t="inlineStr"/>
      <c r="Z814" s="18">
        <f>IF(Y814="",X814,Y814)</f>
        <v/>
      </c>
      <c r="AA814" s="18" t="inlineStr">
        <is>
          <t>grounded</t>
        </is>
      </c>
      <c r="AB814" s="18" t="inlineStr"/>
      <c r="AC814" s="18" t="inlineStr"/>
      <c r="AD814" s="18" t="inlineStr"/>
      <c r="AE814" s="18" t="inlineStr"/>
      <c r="AF814" s="18" t="inlineStr"/>
      <c r="AG814" s="18" t="inlineStr"/>
      <c r="AH814" s="18" t="inlineStr"/>
      <c r="AI814" s="18" t="inlineStr"/>
      <c r="AJ814" s="18" t="inlineStr">
        <is>
          <t>COBBLEVERSE 수정</t>
        </is>
      </c>
      <c r="AK814" s="18" t="inlineStr">
        <is>
          <t>사용</t>
        </is>
      </c>
      <c r="AL814" s="18" t="inlineStr">
        <is>
          <t>COBBLEVERSE 1.7.42 / DP v31</t>
        </is>
      </c>
      <c r="AM814" s="18" t="inlineStr">
        <is>
          <t>data/cobblemon/spawn_pool_world/0201_unown.json</t>
        </is>
      </c>
      <c r="AN814" s="18" t="inlineStr">
        <is>
          <t>unown-e-1</t>
        </is>
      </c>
      <c r="AO814" s="18" t="inlineStr">
        <is>
          <t>pokemon</t>
        </is>
      </c>
      <c r="AP814" s="18" t="inlineStr">
        <is>
          <t>natural</t>
        </is>
      </c>
      <c r="AQ814" s="18" t="inlineStr">
        <is>
          <t>{"biomes":["#cobblemon:is_end"]}</t>
        </is>
      </c>
      <c r="AR814" s="18" t="inlineStr"/>
      <c r="AS814" s="18" t="inlineStr"/>
      <c r="AT814" s="19" t="inlineStr"/>
    </row>
    <row r="815" ht="32" customHeight="1">
      <c r="A815" s="18" t="inlineStr">
        <is>
          <t>0201_unown.json::unown-f-1::006</t>
        </is>
      </c>
      <c r="B815" s="19" t="inlineStr">
        <is>
          <t>사용</t>
        </is>
      </c>
      <c r="C815" s="18">
        <f>IF(OR(B815&lt;&gt;AK815,M815&lt;&gt;L815,O815&lt;&gt;"",Q815&lt;&gt;"",V815&lt;&gt;1,Y815&lt;&gt;"",AT815&lt;&gt;""),"수정","원본")</f>
        <v/>
      </c>
      <c r="D815" s="18" t="n">
        <v>201</v>
      </c>
      <c r="E815" s="18" t="inlineStr">
        <is>
          <t>안농</t>
        </is>
      </c>
      <c r="F815" s="18" t="inlineStr">
        <is>
          <t>unown</t>
        </is>
      </c>
      <c r="G815" s="18" t="inlineStr">
        <is>
          <t>unown character=f</t>
        </is>
      </c>
      <c r="H815" s="18" t="inlineStr">
        <is>
          <t>character=f</t>
        </is>
      </c>
      <c r="I815" s="18" t="n">
        <v>2</v>
      </c>
      <c r="J815" s="18" t="n"/>
      <c r="K815" s="18" t="n">
        <v>2</v>
      </c>
      <c r="L815" s="18" t="inlineStr">
        <is>
          <t>cobbleventure:generation_2</t>
        </is>
      </c>
      <c r="M815" s="19" t="inlineStr">
        <is>
          <t>cobbleventure:generation_2</t>
        </is>
      </c>
      <c r="N815" s="18" t="inlineStr"/>
      <c r="O815" s="19" t="inlineStr"/>
      <c r="P815" s="18" t="inlineStr">
        <is>
          <t>#cobblemon:is_end</t>
        </is>
      </c>
      <c r="Q815" s="19" t="inlineStr"/>
      <c r="R815" s="18">
        <f>IF(Q815="",P815,Q815)</f>
        <v/>
      </c>
      <c r="S815" s="18" t="inlineStr"/>
      <c r="T815" s="18" t="inlineStr">
        <is>
          <t>common</t>
        </is>
      </c>
      <c r="U815" s="20" t="n">
        <v>3.2</v>
      </c>
      <c r="V815" s="21" t="n">
        <v>1</v>
      </c>
      <c r="W815" s="20">
        <f>IF(OR(U815="",V815=""),U815,U815*V815)</f>
        <v/>
      </c>
      <c r="X815" s="18" t="inlineStr">
        <is>
          <t>1-100</t>
        </is>
      </c>
      <c r="Y815" s="19" t="inlineStr"/>
      <c r="Z815" s="18">
        <f>IF(Y815="",X815,Y815)</f>
        <v/>
      </c>
      <c r="AA815" s="18" t="inlineStr">
        <is>
          <t>grounded</t>
        </is>
      </c>
      <c r="AB815" s="18" t="inlineStr"/>
      <c r="AC815" s="18" t="inlineStr"/>
      <c r="AD815" s="18" t="inlineStr"/>
      <c r="AE815" s="18" t="inlineStr"/>
      <c r="AF815" s="18" t="inlineStr"/>
      <c r="AG815" s="18" t="inlineStr"/>
      <c r="AH815" s="18" t="inlineStr"/>
      <c r="AI815" s="18" t="inlineStr"/>
      <c r="AJ815" s="18" t="inlineStr">
        <is>
          <t>COBBLEVERSE 수정</t>
        </is>
      </c>
      <c r="AK815" s="18" t="inlineStr">
        <is>
          <t>사용</t>
        </is>
      </c>
      <c r="AL815" s="18" t="inlineStr">
        <is>
          <t>COBBLEVERSE 1.7.42 / DP v31</t>
        </is>
      </c>
      <c r="AM815" s="18" t="inlineStr">
        <is>
          <t>data/cobblemon/spawn_pool_world/0201_unown.json</t>
        </is>
      </c>
      <c r="AN815" s="18" t="inlineStr">
        <is>
          <t>unown-f-1</t>
        </is>
      </c>
      <c r="AO815" s="18" t="inlineStr">
        <is>
          <t>pokemon</t>
        </is>
      </c>
      <c r="AP815" s="18" t="inlineStr">
        <is>
          <t>natural</t>
        </is>
      </c>
      <c r="AQ815" s="18" t="inlineStr">
        <is>
          <t>{"biomes":["#cobblemon:is_end"]}</t>
        </is>
      </c>
      <c r="AR815" s="18" t="inlineStr"/>
      <c r="AS815" s="18" t="inlineStr"/>
      <c r="AT815" s="19" t="inlineStr"/>
    </row>
    <row r="816" ht="32" customHeight="1">
      <c r="A816" s="18" t="inlineStr">
        <is>
          <t>0201_unown.json::unown-g-1::007</t>
        </is>
      </c>
      <c r="B816" s="19" t="inlineStr">
        <is>
          <t>사용</t>
        </is>
      </c>
      <c r="C816" s="18">
        <f>IF(OR(B816&lt;&gt;AK816,M816&lt;&gt;L816,O816&lt;&gt;"",Q816&lt;&gt;"",V816&lt;&gt;1,Y816&lt;&gt;"",AT816&lt;&gt;""),"수정","원본")</f>
        <v/>
      </c>
      <c r="D816" s="18" t="n">
        <v>201</v>
      </c>
      <c r="E816" s="18" t="inlineStr">
        <is>
          <t>안농</t>
        </is>
      </c>
      <c r="F816" s="18" t="inlineStr">
        <is>
          <t>unown</t>
        </is>
      </c>
      <c r="G816" s="18" t="inlineStr">
        <is>
          <t>unown character=g</t>
        </is>
      </c>
      <c r="H816" s="18" t="inlineStr">
        <is>
          <t>character=g</t>
        </is>
      </c>
      <c r="I816" s="18" t="n">
        <v>2</v>
      </c>
      <c r="J816" s="18" t="n"/>
      <c r="K816" s="18" t="n">
        <v>2</v>
      </c>
      <c r="L816" s="18" t="inlineStr">
        <is>
          <t>cobbleventure:generation_2</t>
        </is>
      </c>
      <c r="M816" s="19" t="inlineStr">
        <is>
          <t>cobbleventure:generation_2</t>
        </is>
      </c>
      <c r="N816" s="18" t="inlineStr"/>
      <c r="O816" s="19" t="inlineStr"/>
      <c r="P816" s="18" t="inlineStr">
        <is>
          <t>#cobblemon:is_end</t>
        </is>
      </c>
      <c r="Q816" s="19" t="inlineStr"/>
      <c r="R816" s="18">
        <f>IF(Q816="",P816,Q816)</f>
        <v/>
      </c>
      <c r="S816" s="18" t="inlineStr"/>
      <c r="T816" s="18" t="inlineStr">
        <is>
          <t>common</t>
        </is>
      </c>
      <c r="U816" s="20" t="n">
        <v>3.2</v>
      </c>
      <c r="V816" s="21" t="n">
        <v>1</v>
      </c>
      <c r="W816" s="20">
        <f>IF(OR(U816="",V816=""),U816,U816*V816)</f>
        <v/>
      </c>
      <c r="X816" s="18" t="inlineStr">
        <is>
          <t>1-100</t>
        </is>
      </c>
      <c r="Y816" s="19" t="inlineStr"/>
      <c r="Z816" s="18">
        <f>IF(Y816="",X816,Y816)</f>
        <v/>
      </c>
      <c r="AA816" s="18" t="inlineStr">
        <is>
          <t>grounded</t>
        </is>
      </c>
      <c r="AB816" s="18" t="inlineStr"/>
      <c r="AC816" s="18" t="inlineStr"/>
      <c r="AD816" s="18" t="inlineStr"/>
      <c r="AE816" s="18" t="inlineStr"/>
      <c r="AF816" s="18" t="inlineStr"/>
      <c r="AG816" s="18" t="inlineStr"/>
      <c r="AH816" s="18" t="inlineStr"/>
      <c r="AI816" s="18" t="inlineStr"/>
      <c r="AJ816" s="18" t="inlineStr">
        <is>
          <t>COBBLEVERSE 수정</t>
        </is>
      </c>
      <c r="AK816" s="18" t="inlineStr">
        <is>
          <t>사용</t>
        </is>
      </c>
      <c r="AL816" s="18" t="inlineStr">
        <is>
          <t>COBBLEVERSE 1.7.42 / DP v31</t>
        </is>
      </c>
      <c r="AM816" s="18" t="inlineStr">
        <is>
          <t>data/cobblemon/spawn_pool_world/0201_unown.json</t>
        </is>
      </c>
      <c r="AN816" s="18" t="inlineStr">
        <is>
          <t>unown-g-1</t>
        </is>
      </c>
      <c r="AO816" s="18" t="inlineStr">
        <is>
          <t>pokemon</t>
        </is>
      </c>
      <c r="AP816" s="18" t="inlineStr">
        <is>
          <t>natural</t>
        </is>
      </c>
      <c r="AQ816" s="18" t="inlineStr">
        <is>
          <t>{"biomes":["#cobblemon:is_end"]}</t>
        </is>
      </c>
      <c r="AR816" s="18" t="inlineStr"/>
      <c r="AS816" s="18" t="inlineStr"/>
      <c r="AT816" s="19" t="inlineStr"/>
    </row>
    <row r="817" ht="32" customHeight="1">
      <c r="A817" s="18" t="inlineStr">
        <is>
          <t>0201_unown.json::unown-h-1::008</t>
        </is>
      </c>
      <c r="B817" s="19" t="inlineStr">
        <is>
          <t>사용</t>
        </is>
      </c>
      <c r="C817" s="18">
        <f>IF(OR(B817&lt;&gt;AK817,M817&lt;&gt;L817,O817&lt;&gt;"",Q817&lt;&gt;"",V817&lt;&gt;1,Y817&lt;&gt;"",AT817&lt;&gt;""),"수정","원본")</f>
        <v/>
      </c>
      <c r="D817" s="18" t="n">
        <v>201</v>
      </c>
      <c r="E817" s="18" t="inlineStr">
        <is>
          <t>안농</t>
        </is>
      </c>
      <c r="F817" s="18" t="inlineStr">
        <is>
          <t>unown</t>
        </is>
      </c>
      <c r="G817" s="18" t="inlineStr">
        <is>
          <t>unown character=h</t>
        </is>
      </c>
      <c r="H817" s="18" t="inlineStr">
        <is>
          <t>character=h</t>
        </is>
      </c>
      <c r="I817" s="18" t="n">
        <v>2</v>
      </c>
      <c r="J817" s="18" t="n"/>
      <c r="K817" s="18" t="n">
        <v>2</v>
      </c>
      <c r="L817" s="18" t="inlineStr">
        <is>
          <t>cobbleventure:generation_2</t>
        </is>
      </c>
      <c r="M817" s="19" t="inlineStr">
        <is>
          <t>cobbleventure:generation_2</t>
        </is>
      </c>
      <c r="N817" s="18" t="inlineStr"/>
      <c r="O817" s="19" t="inlineStr"/>
      <c r="P817" s="18" t="inlineStr">
        <is>
          <t>#cobblemon:is_end</t>
        </is>
      </c>
      <c r="Q817" s="19" t="inlineStr"/>
      <c r="R817" s="18">
        <f>IF(Q817="",P817,Q817)</f>
        <v/>
      </c>
      <c r="S817" s="18" t="inlineStr"/>
      <c r="T817" s="18" t="inlineStr">
        <is>
          <t>common</t>
        </is>
      </c>
      <c r="U817" s="20" t="n">
        <v>3.2</v>
      </c>
      <c r="V817" s="21" t="n">
        <v>1</v>
      </c>
      <c r="W817" s="20">
        <f>IF(OR(U817="",V817=""),U817,U817*V817)</f>
        <v/>
      </c>
      <c r="X817" s="18" t="inlineStr">
        <is>
          <t>1-100</t>
        </is>
      </c>
      <c r="Y817" s="19" t="inlineStr"/>
      <c r="Z817" s="18">
        <f>IF(Y817="",X817,Y817)</f>
        <v/>
      </c>
      <c r="AA817" s="18" t="inlineStr">
        <is>
          <t>grounded</t>
        </is>
      </c>
      <c r="AB817" s="18" t="inlineStr"/>
      <c r="AC817" s="18" t="inlineStr"/>
      <c r="AD817" s="18" t="inlineStr"/>
      <c r="AE817" s="18" t="inlineStr"/>
      <c r="AF817" s="18" t="inlineStr"/>
      <c r="AG817" s="18" t="inlineStr"/>
      <c r="AH817" s="18" t="inlineStr"/>
      <c r="AI817" s="18" t="inlineStr"/>
      <c r="AJ817" s="18" t="inlineStr">
        <is>
          <t>COBBLEVERSE 수정</t>
        </is>
      </c>
      <c r="AK817" s="18" t="inlineStr">
        <is>
          <t>사용</t>
        </is>
      </c>
      <c r="AL817" s="18" t="inlineStr">
        <is>
          <t>COBBLEVERSE 1.7.42 / DP v31</t>
        </is>
      </c>
      <c r="AM817" s="18" t="inlineStr">
        <is>
          <t>data/cobblemon/spawn_pool_world/0201_unown.json</t>
        </is>
      </c>
      <c r="AN817" s="18" t="inlineStr">
        <is>
          <t>unown-h-1</t>
        </is>
      </c>
      <c r="AO817" s="18" t="inlineStr">
        <is>
          <t>pokemon</t>
        </is>
      </c>
      <c r="AP817" s="18" t="inlineStr">
        <is>
          <t>natural</t>
        </is>
      </c>
      <c r="AQ817" s="18" t="inlineStr">
        <is>
          <t>{"biomes":["#cobblemon:is_end"]}</t>
        </is>
      </c>
      <c r="AR817" s="18" t="inlineStr"/>
      <c r="AS817" s="18" t="inlineStr"/>
      <c r="AT817" s="19" t="inlineStr"/>
    </row>
    <row r="818" ht="32" customHeight="1">
      <c r="A818" s="18" t="inlineStr">
        <is>
          <t>0201_unown.json::unown-i-1::009</t>
        </is>
      </c>
      <c r="B818" s="19" t="inlineStr">
        <is>
          <t>사용</t>
        </is>
      </c>
      <c r="C818" s="18">
        <f>IF(OR(B818&lt;&gt;AK818,M818&lt;&gt;L818,O818&lt;&gt;"",Q818&lt;&gt;"",V818&lt;&gt;1,Y818&lt;&gt;"",AT818&lt;&gt;""),"수정","원본")</f>
        <v/>
      </c>
      <c r="D818" s="18" t="n">
        <v>201</v>
      </c>
      <c r="E818" s="18" t="inlineStr">
        <is>
          <t>안농</t>
        </is>
      </c>
      <c r="F818" s="18" t="inlineStr">
        <is>
          <t>unown</t>
        </is>
      </c>
      <c r="G818" s="18" t="inlineStr">
        <is>
          <t>unown character=i</t>
        </is>
      </c>
      <c r="H818" s="18" t="inlineStr">
        <is>
          <t>character=i</t>
        </is>
      </c>
      <c r="I818" s="18" t="n">
        <v>2</v>
      </c>
      <c r="J818" s="18" t="n"/>
      <c r="K818" s="18" t="n">
        <v>2</v>
      </c>
      <c r="L818" s="18" t="inlineStr">
        <is>
          <t>cobbleventure:generation_2</t>
        </is>
      </c>
      <c r="M818" s="19" t="inlineStr">
        <is>
          <t>cobbleventure:generation_2</t>
        </is>
      </c>
      <c r="N818" s="18" t="inlineStr"/>
      <c r="O818" s="19" t="inlineStr"/>
      <c r="P818" s="18" t="inlineStr">
        <is>
          <t>#cobblemon:is_end</t>
        </is>
      </c>
      <c r="Q818" s="19" t="inlineStr"/>
      <c r="R818" s="18">
        <f>IF(Q818="",P818,Q818)</f>
        <v/>
      </c>
      <c r="S818" s="18" t="inlineStr"/>
      <c r="T818" s="18" t="inlineStr">
        <is>
          <t>common</t>
        </is>
      </c>
      <c r="U818" s="20" t="n">
        <v>3.2</v>
      </c>
      <c r="V818" s="21" t="n">
        <v>1</v>
      </c>
      <c r="W818" s="20">
        <f>IF(OR(U818="",V818=""),U818,U818*V818)</f>
        <v/>
      </c>
      <c r="X818" s="18" t="inlineStr">
        <is>
          <t>1-100</t>
        </is>
      </c>
      <c r="Y818" s="19" t="inlineStr"/>
      <c r="Z818" s="18">
        <f>IF(Y818="",X818,Y818)</f>
        <v/>
      </c>
      <c r="AA818" s="18" t="inlineStr">
        <is>
          <t>grounded</t>
        </is>
      </c>
      <c r="AB818" s="18" t="inlineStr"/>
      <c r="AC818" s="18" t="inlineStr"/>
      <c r="AD818" s="18" t="inlineStr"/>
      <c r="AE818" s="18" t="inlineStr"/>
      <c r="AF818" s="18" t="inlineStr"/>
      <c r="AG818" s="18" t="inlineStr"/>
      <c r="AH818" s="18" t="inlineStr"/>
      <c r="AI818" s="18" t="inlineStr"/>
      <c r="AJ818" s="18" t="inlineStr">
        <is>
          <t>COBBLEVERSE 수정</t>
        </is>
      </c>
      <c r="AK818" s="18" t="inlineStr">
        <is>
          <t>사용</t>
        </is>
      </c>
      <c r="AL818" s="18" t="inlineStr">
        <is>
          <t>COBBLEVERSE 1.7.42 / DP v31</t>
        </is>
      </c>
      <c r="AM818" s="18" t="inlineStr">
        <is>
          <t>data/cobblemon/spawn_pool_world/0201_unown.json</t>
        </is>
      </c>
      <c r="AN818" s="18" t="inlineStr">
        <is>
          <t>unown-i-1</t>
        </is>
      </c>
      <c r="AO818" s="18" t="inlineStr">
        <is>
          <t>pokemon</t>
        </is>
      </c>
      <c r="AP818" s="18" t="inlineStr">
        <is>
          <t>natural</t>
        </is>
      </c>
      <c r="AQ818" s="18" t="inlineStr">
        <is>
          <t>{"biomes":["#cobblemon:is_end"]}</t>
        </is>
      </c>
      <c r="AR818" s="18" t="inlineStr"/>
      <c r="AS818" s="18" t="inlineStr"/>
      <c r="AT818" s="19" t="inlineStr"/>
    </row>
    <row r="819" ht="32" customHeight="1">
      <c r="A819" s="18" t="inlineStr">
        <is>
          <t>0201_unown.json::unown-j-1::010</t>
        </is>
      </c>
      <c r="B819" s="19" t="inlineStr">
        <is>
          <t>사용</t>
        </is>
      </c>
      <c r="C819" s="18">
        <f>IF(OR(B819&lt;&gt;AK819,M819&lt;&gt;L819,O819&lt;&gt;"",Q819&lt;&gt;"",V819&lt;&gt;1,Y819&lt;&gt;"",AT819&lt;&gt;""),"수정","원본")</f>
        <v/>
      </c>
      <c r="D819" s="18" t="n">
        <v>201</v>
      </c>
      <c r="E819" s="18" t="inlineStr">
        <is>
          <t>안농</t>
        </is>
      </c>
      <c r="F819" s="18" t="inlineStr">
        <is>
          <t>unown</t>
        </is>
      </c>
      <c r="G819" s="18" t="inlineStr">
        <is>
          <t>unown character=j</t>
        </is>
      </c>
      <c r="H819" s="18" t="inlineStr">
        <is>
          <t>character=j</t>
        </is>
      </c>
      <c r="I819" s="18" t="n">
        <v>2</v>
      </c>
      <c r="J819" s="18" t="n"/>
      <c r="K819" s="18" t="n">
        <v>2</v>
      </c>
      <c r="L819" s="18" t="inlineStr">
        <is>
          <t>cobbleventure:generation_2</t>
        </is>
      </c>
      <c r="M819" s="19" t="inlineStr">
        <is>
          <t>cobbleventure:generation_2</t>
        </is>
      </c>
      <c r="N819" s="18" t="inlineStr"/>
      <c r="O819" s="19" t="inlineStr"/>
      <c r="P819" s="18" t="inlineStr">
        <is>
          <t>#cobblemon:is_end</t>
        </is>
      </c>
      <c r="Q819" s="19" t="inlineStr"/>
      <c r="R819" s="18">
        <f>IF(Q819="",P819,Q819)</f>
        <v/>
      </c>
      <c r="S819" s="18" t="inlineStr"/>
      <c r="T819" s="18" t="inlineStr">
        <is>
          <t>common</t>
        </is>
      </c>
      <c r="U819" s="20" t="n">
        <v>3.2</v>
      </c>
      <c r="V819" s="21" t="n">
        <v>1</v>
      </c>
      <c r="W819" s="20">
        <f>IF(OR(U819="",V819=""),U819,U819*V819)</f>
        <v/>
      </c>
      <c r="X819" s="18" t="inlineStr">
        <is>
          <t>1-100</t>
        </is>
      </c>
      <c r="Y819" s="19" t="inlineStr"/>
      <c r="Z819" s="18">
        <f>IF(Y819="",X819,Y819)</f>
        <v/>
      </c>
      <c r="AA819" s="18" t="inlineStr">
        <is>
          <t>grounded</t>
        </is>
      </c>
      <c r="AB819" s="18" t="inlineStr"/>
      <c r="AC819" s="18" t="inlineStr"/>
      <c r="AD819" s="18" t="inlineStr"/>
      <c r="AE819" s="18" t="inlineStr"/>
      <c r="AF819" s="18" t="inlineStr"/>
      <c r="AG819" s="18" t="inlineStr"/>
      <c r="AH819" s="18" t="inlineStr"/>
      <c r="AI819" s="18" t="inlineStr"/>
      <c r="AJ819" s="18" t="inlineStr">
        <is>
          <t>COBBLEVERSE 수정</t>
        </is>
      </c>
      <c r="AK819" s="18" t="inlineStr">
        <is>
          <t>사용</t>
        </is>
      </c>
      <c r="AL819" s="18" t="inlineStr">
        <is>
          <t>COBBLEVERSE 1.7.42 / DP v31</t>
        </is>
      </c>
      <c r="AM819" s="18" t="inlineStr">
        <is>
          <t>data/cobblemon/spawn_pool_world/0201_unown.json</t>
        </is>
      </c>
      <c r="AN819" s="18" t="inlineStr">
        <is>
          <t>unown-j-1</t>
        </is>
      </c>
      <c r="AO819" s="18" t="inlineStr">
        <is>
          <t>pokemon</t>
        </is>
      </c>
      <c r="AP819" s="18" t="inlineStr">
        <is>
          <t>natural</t>
        </is>
      </c>
      <c r="AQ819" s="18" t="inlineStr">
        <is>
          <t>{"biomes":["#cobblemon:is_end"]}</t>
        </is>
      </c>
      <c r="AR819" s="18" t="inlineStr"/>
      <c r="AS819" s="18" t="inlineStr"/>
      <c r="AT819" s="19" t="inlineStr"/>
    </row>
    <row r="820" ht="32" customHeight="1">
      <c r="A820" s="18" t="inlineStr">
        <is>
          <t>0201_unown.json::unown-k-1::011</t>
        </is>
      </c>
      <c r="B820" s="19" t="inlineStr">
        <is>
          <t>사용</t>
        </is>
      </c>
      <c r="C820" s="18">
        <f>IF(OR(B820&lt;&gt;AK820,M820&lt;&gt;L820,O820&lt;&gt;"",Q820&lt;&gt;"",V820&lt;&gt;1,Y820&lt;&gt;"",AT820&lt;&gt;""),"수정","원본")</f>
        <v/>
      </c>
      <c r="D820" s="18" t="n">
        <v>201</v>
      </c>
      <c r="E820" s="18" t="inlineStr">
        <is>
          <t>안농</t>
        </is>
      </c>
      <c r="F820" s="18" t="inlineStr">
        <is>
          <t>unown</t>
        </is>
      </c>
      <c r="G820" s="18" t="inlineStr">
        <is>
          <t>unown character=k</t>
        </is>
      </c>
      <c r="H820" s="18" t="inlineStr">
        <is>
          <t>character=k</t>
        </is>
      </c>
      <c r="I820" s="18" t="n">
        <v>2</v>
      </c>
      <c r="J820" s="18" t="n"/>
      <c r="K820" s="18" t="n">
        <v>2</v>
      </c>
      <c r="L820" s="18" t="inlineStr">
        <is>
          <t>cobbleventure:generation_2</t>
        </is>
      </c>
      <c r="M820" s="19" t="inlineStr">
        <is>
          <t>cobbleventure:generation_2</t>
        </is>
      </c>
      <c r="N820" s="18" t="inlineStr"/>
      <c r="O820" s="19" t="inlineStr"/>
      <c r="P820" s="18" t="inlineStr">
        <is>
          <t>#cobblemon:is_end</t>
        </is>
      </c>
      <c r="Q820" s="19" t="inlineStr"/>
      <c r="R820" s="18">
        <f>IF(Q820="",P820,Q820)</f>
        <v/>
      </c>
      <c r="S820" s="18" t="inlineStr"/>
      <c r="T820" s="18" t="inlineStr">
        <is>
          <t>common</t>
        </is>
      </c>
      <c r="U820" s="20" t="n">
        <v>3.2</v>
      </c>
      <c r="V820" s="21" t="n">
        <v>1</v>
      </c>
      <c r="W820" s="20">
        <f>IF(OR(U820="",V820=""),U820,U820*V820)</f>
        <v/>
      </c>
      <c r="X820" s="18" t="inlineStr">
        <is>
          <t>1-100</t>
        </is>
      </c>
      <c r="Y820" s="19" t="inlineStr"/>
      <c r="Z820" s="18">
        <f>IF(Y820="",X820,Y820)</f>
        <v/>
      </c>
      <c r="AA820" s="18" t="inlineStr">
        <is>
          <t>grounded</t>
        </is>
      </c>
      <c r="AB820" s="18" t="inlineStr"/>
      <c r="AC820" s="18" t="inlineStr"/>
      <c r="AD820" s="18" t="inlineStr"/>
      <c r="AE820" s="18" t="inlineStr"/>
      <c r="AF820" s="18" t="inlineStr"/>
      <c r="AG820" s="18" t="inlineStr"/>
      <c r="AH820" s="18" t="inlineStr"/>
      <c r="AI820" s="18" t="inlineStr"/>
      <c r="AJ820" s="18" t="inlineStr">
        <is>
          <t>COBBLEVERSE 수정</t>
        </is>
      </c>
      <c r="AK820" s="18" t="inlineStr">
        <is>
          <t>사용</t>
        </is>
      </c>
      <c r="AL820" s="18" t="inlineStr">
        <is>
          <t>COBBLEVERSE 1.7.42 / DP v31</t>
        </is>
      </c>
      <c r="AM820" s="18" t="inlineStr">
        <is>
          <t>data/cobblemon/spawn_pool_world/0201_unown.json</t>
        </is>
      </c>
      <c r="AN820" s="18" t="inlineStr">
        <is>
          <t>unown-k-1</t>
        </is>
      </c>
      <c r="AO820" s="18" t="inlineStr">
        <is>
          <t>pokemon</t>
        </is>
      </c>
      <c r="AP820" s="18" t="inlineStr">
        <is>
          <t>natural</t>
        </is>
      </c>
      <c r="AQ820" s="18" t="inlineStr">
        <is>
          <t>{"biomes":["#cobblemon:is_end"]}</t>
        </is>
      </c>
      <c r="AR820" s="18" t="inlineStr"/>
      <c r="AS820" s="18" t="inlineStr"/>
      <c r="AT820" s="19" t="inlineStr"/>
    </row>
    <row r="821" ht="32" customHeight="1">
      <c r="A821" s="18" t="inlineStr">
        <is>
          <t>0201_unown.json::unown-l-1::012</t>
        </is>
      </c>
      <c r="B821" s="19" t="inlineStr">
        <is>
          <t>사용</t>
        </is>
      </c>
      <c r="C821" s="18">
        <f>IF(OR(B821&lt;&gt;AK821,M821&lt;&gt;L821,O821&lt;&gt;"",Q821&lt;&gt;"",V821&lt;&gt;1,Y821&lt;&gt;"",AT821&lt;&gt;""),"수정","원본")</f>
        <v/>
      </c>
      <c r="D821" s="18" t="n">
        <v>201</v>
      </c>
      <c r="E821" s="18" t="inlineStr">
        <is>
          <t>안농</t>
        </is>
      </c>
      <c r="F821" s="18" t="inlineStr">
        <is>
          <t>unown</t>
        </is>
      </c>
      <c r="G821" s="18" t="inlineStr">
        <is>
          <t>unown character=l</t>
        </is>
      </c>
      <c r="H821" s="18" t="inlineStr">
        <is>
          <t>character=l</t>
        </is>
      </c>
      <c r="I821" s="18" t="n">
        <v>2</v>
      </c>
      <c r="J821" s="18" t="n"/>
      <c r="K821" s="18" t="n">
        <v>2</v>
      </c>
      <c r="L821" s="18" t="inlineStr">
        <is>
          <t>cobbleventure:generation_2</t>
        </is>
      </c>
      <c r="M821" s="19" t="inlineStr">
        <is>
          <t>cobbleventure:generation_2</t>
        </is>
      </c>
      <c r="N821" s="18" t="inlineStr"/>
      <c r="O821" s="19" t="inlineStr"/>
      <c r="P821" s="18" t="inlineStr">
        <is>
          <t>#cobblemon:is_end</t>
        </is>
      </c>
      <c r="Q821" s="19" t="inlineStr"/>
      <c r="R821" s="18">
        <f>IF(Q821="",P821,Q821)</f>
        <v/>
      </c>
      <c r="S821" s="18" t="inlineStr"/>
      <c r="T821" s="18" t="inlineStr">
        <is>
          <t>common</t>
        </is>
      </c>
      <c r="U821" s="20" t="n">
        <v>3.2</v>
      </c>
      <c r="V821" s="21" t="n">
        <v>1</v>
      </c>
      <c r="W821" s="20">
        <f>IF(OR(U821="",V821=""),U821,U821*V821)</f>
        <v/>
      </c>
      <c r="X821" s="18" t="inlineStr">
        <is>
          <t>1-100</t>
        </is>
      </c>
      <c r="Y821" s="19" t="inlineStr"/>
      <c r="Z821" s="18">
        <f>IF(Y821="",X821,Y821)</f>
        <v/>
      </c>
      <c r="AA821" s="18" t="inlineStr">
        <is>
          <t>grounded</t>
        </is>
      </c>
      <c r="AB821" s="18" t="inlineStr"/>
      <c r="AC821" s="18" t="inlineStr"/>
      <c r="AD821" s="18" t="inlineStr"/>
      <c r="AE821" s="18" t="inlineStr"/>
      <c r="AF821" s="18" t="inlineStr"/>
      <c r="AG821" s="18" t="inlineStr"/>
      <c r="AH821" s="18" t="inlineStr"/>
      <c r="AI821" s="18" t="inlineStr"/>
      <c r="AJ821" s="18" t="inlineStr">
        <is>
          <t>COBBLEVERSE 수정</t>
        </is>
      </c>
      <c r="AK821" s="18" t="inlineStr">
        <is>
          <t>사용</t>
        </is>
      </c>
      <c r="AL821" s="18" t="inlineStr">
        <is>
          <t>COBBLEVERSE 1.7.42 / DP v31</t>
        </is>
      </c>
      <c r="AM821" s="18" t="inlineStr">
        <is>
          <t>data/cobblemon/spawn_pool_world/0201_unown.json</t>
        </is>
      </c>
      <c r="AN821" s="18" t="inlineStr">
        <is>
          <t>unown-l-1</t>
        </is>
      </c>
      <c r="AO821" s="18" t="inlineStr">
        <is>
          <t>pokemon</t>
        </is>
      </c>
      <c r="AP821" s="18" t="inlineStr">
        <is>
          <t>natural</t>
        </is>
      </c>
      <c r="AQ821" s="18" t="inlineStr">
        <is>
          <t>{"biomes":["#cobblemon:is_end"]}</t>
        </is>
      </c>
      <c r="AR821" s="18" t="inlineStr"/>
      <c r="AS821" s="18" t="inlineStr"/>
      <c r="AT821" s="19" t="inlineStr"/>
    </row>
    <row r="822" ht="32" customHeight="1">
      <c r="A822" s="18" t="inlineStr">
        <is>
          <t>0201_unown.json::unown-m-1::013</t>
        </is>
      </c>
      <c r="B822" s="19" t="inlineStr">
        <is>
          <t>사용</t>
        </is>
      </c>
      <c r="C822" s="18">
        <f>IF(OR(B822&lt;&gt;AK822,M822&lt;&gt;L822,O822&lt;&gt;"",Q822&lt;&gt;"",V822&lt;&gt;1,Y822&lt;&gt;"",AT822&lt;&gt;""),"수정","원본")</f>
        <v/>
      </c>
      <c r="D822" s="18" t="n">
        <v>201</v>
      </c>
      <c r="E822" s="18" t="inlineStr">
        <is>
          <t>안농</t>
        </is>
      </c>
      <c r="F822" s="18" t="inlineStr">
        <is>
          <t>unown</t>
        </is>
      </c>
      <c r="G822" s="18" t="inlineStr">
        <is>
          <t>unown character=m</t>
        </is>
      </c>
      <c r="H822" s="18" t="inlineStr">
        <is>
          <t>character=m</t>
        </is>
      </c>
      <c r="I822" s="18" t="n">
        <v>2</v>
      </c>
      <c r="J822" s="18" t="n"/>
      <c r="K822" s="18" t="n">
        <v>2</v>
      </c>
      <c r="L822" s="18" t="inlineStr">
        <is>
          <t>cobbleventure:generation_2</t>
        </is>
      </c>
      <c r="M822" s="19" t="inlineStr">
        <is>
          <t>cobbleventure:generation_2</t>
        </is>
      </c>
      <c r="N822" s="18" t="inlineStr"/>
      <c r="O822" s="19" t="inlineStr"/>
      <c r="P822" s="18" t="inlineStr">
        <is>
          <t>#cobblemon:is_end</t>
        </is>
      </c>
      <c r="Q822" s="19" t="inlineStr"/>
      <c r="R822" s="18">
        <f>IF(Q822="",P822,Q822)</f>
        <v/>
      </c>
      <c r="S822" s="18" t="inlineStr"/>
      <c r="T822" s="18" t="inlineStr">
        <is>
          <t>common</t>
        </is>
      </c>
      <c r="U822" s="20" t="n">
        <v>3.2</v>
      </c>
      <c r="V822" s="21" t="n">
        <v>1</v>
      </c>
      <c r="W822" s="20">
        <f>IF(OR(U822="",V822=""),U822,U822*V822)</f>
        <v/>
      </c>
      <c r="X822" s="18" t="inlineStr">
        <is>
          <t>1-100</t>
        </is>
      </c>
      <c r="Y822" s="19" t="inlineStr"/>
      <c r="Z822" s="18">
        <f>IF(Y822="",X822,Y822)</f>
        <v/>
      </c>
      <c r="AA822" s="18" t="inlineStr">
        <is>
          <t>grounded</t>
        </is>
      </c>
      <c r="AB822" s="18" t="inlineStr"/>
      <c r="AC822" s="18" t="inlineStr"/>
      <c r="AD822" s="18" t="inlineStr"/>
      <c r="AE822" s="18" t="inlineStr"/>
      <c r="AF822" s="18" t="inlineStr"/>
      <c r="AG822" s="18" t="inlineStr"/>
      <c r="AH822" s="18" t="inlineStr"/>
      <c r="AI822" s="18" t="inlineStr"/>
      <c r="AJ822" s="18" t="inlineStr">
        <is>
          <t>COBBLEVERSE 수정</t>
        </is>
      </c>
      <c r="AK822" s="18" t="inlineStr">
        <is>
          <t>사용</t>
        </is>
      </c>
      <c r="AL822" s="18" t="inlineStr">
        <is>
          <t>COBBLEVERSE 1.7.42 / DP v31</t>
        </is>
      </c>
      <c r="AM822" s="18" t="inlineStr">
        <is>
          <t>data/cobblemon/spawn_pool_world/0201_unown.json</t>
        </is>
      </c>
      <c r="AN822" s="18" t="inlineStr">
        <is>
          <t>unown-m-1</t>
        </is>
      </c>
      <c r="AO822" s="18" t="inlineStr">
        <is>
          <t>pokemon</t>
        </is>
      </c>
      <c r="AP822" s="18" t="inlineStr">
        <is>
          <t>natural</t>
        </is>
      </c>
      <c r="AQ822" s="18" t="inlineStr">
        <is>
          <t>{"biomes":["#cobblemon:is_end"]}</t>
        </is>
      </c>
      <c r="AR822" s="18" t="inlineStr"/>
      <c r="AS822" s="18" t="inlineStr"/>
      <c r="AT822" s="19" t="inlineStr"/>
    </row>
    <row r="823" ht="32" customHeight="1">
      <c r="A823" s="18" t="inlineStr">
        <is>
          <t>0201_unown.json::unown-n-1::014</t>
        </is>
      </c>
      <c r="B823" s="19" t="inlineStr">
        <is>
          <t>사용</t>
        </is>
      </c>
      <c r="C823" s="18">
        <f>IF(OR(B823&lt;&gt;AK823,M823&lt;&gt;L823,O823&lt;&gt;"",Q823&lt;&gt;"",V823&lt;&gt;1,Y823&lt;&gt;"",AT823&lt;&gt;""),"수정","원본")</f>
        <v/>
      </c>
      <c r="D823" s="18" t="n">
        <v>201</v>
      </c>
      <c r="E823" s="18" t="inlineStr">
        <is>
          <t>안농</t>
        </is>
      </c>
      <c r="F823" s="18" t="inlineStr">
        <is>
          <t>unown</t>
        </is>
      </c>
      <c r="G823" s="18" t="inlineStr">
        <is>
          <t>unown character=n</t>
        </is>
      </c>
      <c r="H823" s="18" t="inlineStr">
        <is>
          <t>character=n</t>
        </is>
      </c>
      <c r="I823" s="18" t="n">
        <v>2</v>
      </c>
      <c r="J823" s="18" t="n"/>
      <c r="K823" s="18" t="n">
        <v>2</v>
      </c>
      <c r="L823" s="18" t="inlineStr">
        <is>
          <t>cobbleventure:generation_2</t>
        </is>
      </c>
      <c r="M823" s="19" t="inlineStr">
        <is>
          <t>cobbleventure:generation_2</t>
        </is>
      </c>
      <c r="N823" s="18" t="inlineStr"/>
      <c r="O823" s="19" t="inlineStr"/>
      <c r="P823" s="18" t="inlineStr">
        <is>
          <t>#cobblemon:is_end</t>
        </is>
      </c>
      <c r="Q823" s="19" t="inlineStr"/>
      <c r="R823" s="18">
        <f>IF(Q823="",P823,Q823)</f>
        <v/>
      </c>
      <c r="S823" s="18" t="inlineStr"/>
      <c r="T823" s="18" t="inlineStr">
        <is>
          <t>common</t>
        </is>
      </c>
      <c r="U823" s="20" t="n">
        <v>3.2</v>
      </c>
      <c r="V823" s="21" t="n">
        <v>1</v>
      </c>
      <c r="W823" s="20">
        <f>IF(OR(U823="",V823=""),U823,U823*V823)</f>
        <v/>
      </c>
      <c r="X823" s="18" t="inlineStr">
        <is>
          <t>1-100</t>
        </is>
      </c>
      <c r="Y823" s="19" t="inlineStr"/>
      <c r="Z823" s="18">
        <f>IF(Y823="",X823,Y823)</f>
        <v/>
      </c>
      <c r="AA823" s="18" t="inlineStr">
        <is>
          <t>grounded</t>
        </is>
      </c>
      <c r="AB823" s="18" t="inlineStr"/>
      <c r="AC823" s="18" t="inlineStr"/>
      <c r="AD823" s="18" t="inlineStr"/>
      <c r="AE823" s="18" t="inlineStr"/>
      <c r="AF823" s="18" t="inlineStr"/>
      <c r="AG823" s="18" t="inlineStr"/>
      <c r="AH823" s="18" t="inlineStr"/>
      <c r="AI823" s="18" t="inlineStr"/>
      <c r="AJ823" s="18" t="inlineStr">
        <is>
          <t>COBBLEVERSE 수정</t>
        </is>
      </c>
      <c r="AK823" s="18" t="inlineStr">
        <is>
          <t>사용</t>
        </is>
      </c>
      <c r="AL823" s="18" t="inlineStr">
        <is>
          <t>COBBLEVERSE 1.7.42 / DP v31</t>
        </is>
      </c>
      <c r="AM823" s="18" t="inlineStr">
        <is>
          <t>data/cobblemon/spawn_pool_world/0201_unown.json</t>
        </is>
      </c>
      <c r="AN823" s="18" t="inlineStr">
        <is>
          <t>unown-n-1</t>
        </is>
      </c>
      <c r="AO823" s="18" t="inlineStr">
        <is>
          <t>pokemon</t>
        </is>
      </c>
      <c r="AP823" s="18" t="inlineStr">
        <is>
          <t>natural</t>
        </is>
      </c>
      <c r="AQ823" s="18" t="inlineStr">
        <is>
          <t>{"biomes":["#cobblemon:is_end"]}</t>
        </is>
      </c>
      <c r="AR823" s="18" t="inlineStr"/>
      <c r="AS823" s="18" t="inlineStr"/>
      <c r="AT823" s="19" t="inlineStr"/>
    </row>
    <row r="824" ht="32" customHeight="1">
      <c r="A824" s="18" t="inlineStr">
        <is>
          <t>0201_unown.json::unown-o-1::015</t>
        </is>
      </c>
      <c r="B824" s="19" t="inlineStr">
        <is>
          <t>사용</t>
        </is>
      </c>
      <c r="C824" s="18">
        <f>IF(OR(B824&lt;&gt;AK824,M824&lt;&gt;L824,O824&lt;&gt;"",Q824&lt;&gt;"",V824&lt;&gt;1,Y824&lt;&gt;"",AT824&lt;&gt;""),"수정","원본")</f>
        <v/>
      </c>
      <c r="D824" s="18" t="n">
        <v>201</v>
      </c>
      <c r="E824" s="18" t="inlineStr">
        <is>
          <t>안농</t>
        </is>
      </c>
      <c r="F824" s="18" t="inlineStr">
        <is>
          <t>unown</t>
        </is>
      </c>
      <c r="G824" s="18" t="inlineStr">
        <is>
          <t>unown character=o</t>
        </is>
      </c>
      <c r="H824" s="18" t="inlineStr">
        <is>
          <t>character=o</t>
        </is>
      </c>
      <c r="I824" s="18" t="n">
        <v>2</v>
      </c>
      <c r="J824" s="18" t="n"/>
      <c r="K824" s="18" t="n">
        <v>2</v>
      </c>
      <c r="L824" s="18" t="inlineStr">
        <is>
          <t>cobbleventure:generation_2</t>
        </is>
      </c>
      <c r="M824" s="19" t="inlineStr">
        <is>
          <t>cobbleventure:generation_2</t>
        </is>
      </c>
      <c r="N824" s="18" t="inlineStr"/>
      <c r="O824" s="19" t="inlineStr"/>
      <c r="P824" s="18" t="inlineStr">
        <is>
          <t>#cobblemon:is_end</t>
        </is>
      </c>
      <c r="Q824" s="19" t="inlineStr"/>
      <c r="R824" s="18">
        <f>IF(Q824="",P824,Q824)</f>
        <v/>
      </c>
      <c r="S824" s="18" t="inlineStr"/>
      <c r="T824" s="18" t="inlineStr">
        <is>
          <t>common</t>
        </is>
      </c>
      <c r="U824" s="20" t="n">
        <v>3.2</v>
      </c>
      <c r="V824" s="21" t="n">
        <v>1</v>
      </c>
      <c r="W824" s="20">
        <f>IF(OR(U824="",V824=""),U824,U824*V824)</f>
        <v/>
      </c>
      <c r="X824" s="18" t="inlineStr">
        <is>
          <t>1-100</t>
        </is>
      </c>
      <c r="Y824" s="19" t="inlineStr"/>
      <c r="Z824" s="18">
        <f>IF(Y824="",X824,Y824)</f>
        <v/>
      </c>
      <c r="AA824" s="18" t="inlineStr">
        <is>
          <t>grounded</t>
        </is>
      </c>
      <c r="AB824" s="18" t="inlineStr"/>
      <c r="AC824" s="18" t="inlineStr"/>
      <c r="AD824" s="18" t="inlineStr"/>
      <c r="AE824" s="18" t="inlineStr"/>
      <c r="AF824" s="18" t="inlineStr"/>
      <c r="AG824" s="18" t="inlineStr"/>
      <c r="AH824" s="18" t="inlineStr"/>
      <c r="AI824" s="18" t="inlineStr"/>
      <c r="AJ824" s="18" t="inlineStr">
        <is>
          <t>COBBLEVERSE 수정</t>
        </is>
      </c>
      <c r="AK824" s="18" t="inlineStr">
        <is>
          <t>사용</t>
        </is>
      </c>
      <c r="AL824" s="18" t="inlineStr">
        <is>
          <t>COBBLEVERSE 1.7.42 / DP v31</t>
        </is>
      </c>
      <c r="AM824" s="18" t="inlineStr">
        <is>
          <t>data/cobblemon/spawn_pool_world/0201_unown.json</t>
        </is>
      </c>
      <c r="AN824" s="18" t="inlineStr">
        <is>
          <t>unown-o-1</t>
        </is>
      </c>
      <c r="AO824" s="18" t="inlineStr">
        <is>
          <t>pokemon</t>
        </is>
      </c>
      <c r="AP824" s="18" t="inlineStr">
        <is>
          <t>natural</t>
        </is>
      </c>
      <c r="AQ824" s="18" t="inlineStr">
        <is>
          <t>{"biomes":["#cobblemon:is_end"]}</t>
        </is>
      </c>
      <c r="AR824" s="18" t="inlineStr"/>
      <c r="AS824" s="18" t="inlineStr"/>
      <c r="AT824" s="19" t="inlineStr"/>
    </row>
    <row r="825" ht="32" customHeight="1">
      <c r="A825" s="18" t="inlineStr">
        <is>
          <t>0201_unown.json::unown-p-1::016</t>
        </is>
      </c>
      <c r="B825" s="19" t="inlineStr">
        <is>
          <t>사용</t>
        </is>
      </c>
      <c r="C825" s="18">
        <f>IF(OR(B825&lt;&gt;AK825,M825&lt;&gt;L825,O825&lt;&gt;"",Q825&lt;&gt;"",V825&lt;&gt;1,Y825&lt;&gt;"",AT825&lt;&gt;""),"수정","원본")</f>
        <v/>
      </c>
      <c r="D825" s="18" t="n">
        <v>201</v>
      </c>
      <c r="E825" s="18" t="inlineStr">
        <is>
          <t>안농</t>
        </is>
      </c>
      <c r="F825" s="18" t="inlineStr">
        <is>
          <t>unown</t>
        </is>
      </c>
      <c r="G825" s="18" t="inlineStr">
        <is>
          <t>unown character=p</t>
        </is>
      </c>
      <c r="H825" s="18" t="inlineStr">
        <is>
          <t>character=p</t>
        </is>
      </c>
      <c r="I825" s="18" t="n">
        <v>2</v>
      </c>
      <c r="J825" s="18" t="n"/>
      <c r="K825" s="18" t="n">
        <v>2</v>
      </c>
      <c r="L825" s="18" t="inlineStr">
        <is>
          <t>cobbleventure:generation_2</t>
        </is>
      </c>
      <c r="M825" s="19" t="inlineStr">
        <is>
          <t>cobbleventure:generation_2</t>
        </is>
      </c>
      <c r="N825" s="18" t="inlineStr"/>
      <c r="O825" s="19" t="inlineStr"/>
      <c r="P825" s="18" t="inlineStr">
        <is>
          <t>#cobblemon:is_end</t>
        </is>
      </c>
      <c r="Q825" s="19" t="inlineStr"/>
      <c r="R825" s="18">
        <f>IF(Q825="",P825,Q825)</f>
        <v/>
      </c>
      <c r="S825" s="18" t="inlineStr"/>
      <c r="T825" s="18" t="inlineStr">
        <is>
          <t>common</t>
        </is>
      </c>
      <c r="U825" s="20" t="n">
        <v>3.2</v>
      </c>
      <c r="V825" s="21" t="n">
        <v>1</v>
      </c>
      <c r="W825" s="20">
        <f>IF(OR(U825="",V825=""),U825,U825*V825)</f>
        <v/>
      </c>
      <c r="X825" s="18" t="inlineStr">
        <is>
          <t>1-100</t>
        </is>
      </c>
      <c r="Y825" s="19" t="inlineStr"/>
      <c r="Z825" s="18">
        <f>IF(Y825="",X825,Y825)</f>
        <v/>
      </c>
      <c r="AA825" s="18" t="inlineStr">
        <is>
          <t>grounded</t>
        </is>
      </c>
      <c r="AB825" s="18" t="inlineStr"/>
      <c r="AC825" s="18" t="inlineStr"/>
      <c r="AD825" s="18" t="inlineStr"/>
      <c r="AE825" s="18" t="inlineStr"/>
      <c r="AF825" s="18" t="inlineStr"/>
      <c r="AG825" s="18" t="inlineStr"/>
      <c r="AH825" s="18" t="inlineStr"/>
      <c r="AI825" s="18" t="inlineStr"/>
      <c r="AJ825" s="18" t="inlineStr">
        <is>
          <t>COBBLEVERSE 수정</t>
        </is>
      </c>
      <c r="AK825" s="18" t="inlineStr">
        <is>
          <t>사용</t>
        </is>
      </c>
      <c r="AL825" s="18" t="inlineStr">
        <is>
          <t>COBBLEVERSE 1.7.42 / DP v31</t>
        </is>
      </c>
      <c r="AM825" s="18" t="inlineStr">
        <is>
          <t>data/cobblemon/spawn_pool_world/0201_unown.json</t>
        </is>
      </c>
      <c r="AN825" s="18" t="inlineStr">
        <is>
          <t>unown-p-1</t>
        </is>
      </c>
      <c r="AO825" s="18" t="inlineStr">
        <is>
          <t>pokemon</t>
        </is>
      </c>
      <c r="AP825" s="18" t="inlineStr">
        <is>
          <t>natural</t>
        </is>
      </c>
      <c r="AQ825" s="18" t="inlineStr">
        <is>
          <t>{"biomes":["#cobblemon:is_end"]}</t>
        </is>
      </c>
      <c r="AR825" s="18" t="inlineStr"/>
      <c r="AS825" s="18" t="inlineStr"/>
      <c r="AT825" s="19" t="inlineStr"/>
    </row>
    <row r="826" ht="32" customHeight="1">
      <c r="A826" s="18" t="inlineStr">
        <is>
          <t>0201_unown.json::unown-q-1::017</t>
        </is>
      </c>
      <c r="B826" s="19" t="inlineStr">
        <is>
          <t>사용</t>
        </is>
      </c>
      <c r="C826" s="18">
        <f>IF(OR(B826&lt;&gt;AK826,M826&lt;&gt;L826,O826&lt;&gt;"",Q826&lt;&gt;"",V826&lt;&gt;1,Y826&lt;&gt;"",AT826&lt;&gt;""),"수정","원본")</f>
        <v/>
      </c>
      <c r="D826" s="18" t="n">
        <v>201</v>
      </c>
      <c r="E826" s="18" t="inlineStr">
        <is>
          <t>안농</t>
        </is>
      </c>
      <c r="F826" s="18" t="inlineStr">
        <is>
          <t>unown</t>
        </is>
      </c>
      <c r="G826" s="18" t="inlineStr">
        <is>
          <t>unown character=q</t>
        </is>
      </c>
      <c r="H826" s="18" t="inlineStr">
        <is>
          <t>character=q</t>
        </is>
      </c>
      <c r="I826" s="18" t="n">
        <v>2</v>
      </c>
      <c r="J826" s="18" t="n"/>
      <c r="K826" s="18" t="n">
        <v>2</v>
      </c>
      <c r="L826" s="18" t="inlineStr">
        <is>
          <t>cobbleventure:generation_2</t>
        </is>
      </c>
      <c r="M826" s="19" t="inlineStr">
        <is>
          <t>cobbleventure:generation_2</t>
        </is>
      </c>
      <c r="N826" s="18" t="inlineStr"/>
      <c r="O826" s="19" t="inlineStr"/>
      <c r="P826" s="18" t="inlineStr">
        <is>
          <t>#cobblemon:is_end</t>
        </is>
      </c>
      <c r="Q826" s="19" t="inlineStr"/>
      <c r="R826" s="18">
        <f>IF(Q826="",P826,Q826)</f>
        <v/>
      </c>
      <c r="S826" s="18" t="inlineStr"/>
      <c r="T826" s="18" t="inlineStr">
        <is>
          <t>common</t>
        </is>
      </c>
      <c r="U826" s="20" t="n">
        <v>3.2</v>
      </c>
      <c r="V826" s="21" t="n">
        <v>1</v>
      </c>
      <c r="W826" s="20">
        <f>IF(OR(U826="",V826=""),U826,U826*V826)</f>
        <v/>
      </c>
      <c r="X826" s="18" t="inlineStr">
        <is>
          <t>1-100</t>
        </is>
      </c>
      <c r="Y826" s="19" t="inlineStr"/>
      <c r="Z826" s="18">
        <f>IF(Y826="",X826,Y826)</f>
        <v/>
      </c>
      <c r="AA826" s="18" t="inlineStr">
        <is>
          <t>grounded</t>
        </is>
      </c>
      <c r="AB826" s="18" t="inlineStr"/>
      <c r="AC826" s="18" t="inlineStr"/>
      <c r="AD826" s="18" t="inlineStr"/>
      <c r="AE826" s="18" t="inlineStr"/>
      <c r="AF826" s="18" t="inlineStr"/>
      <c r="AG826" s="18" t="inlineStr"/>
      <c r="AH826" s="18" t="inlineStr"/>
      <c r="AI826" s="18" t="inlineStr"/>
      <c r="AJ826" s="18" t="inlineStr">
        <is>
          <t>COBBLEVERSE 수정</t>
        </is>
      </c>
      <c r="AK826" s="18" t="inlineStr">
        <is>
          <t>사용</t>
        </is>
      </c>
      <c r="AL826" s="18" t="inlineStr">
        <is>
          <t>COBBLEVERSE 1.7.42 / DP v31</t>
        </is>
      </c>
      <c r="AM826" s="18" t="inlineStr">
        <is>
          <t>data/cobblemon/spawn_pool_world/0201_unown.json</t>
        </is>
      </c>
      <c r="AN826" s="18" t="inlineStr">
        <is>
          <t>unown-q-1</t>
        </is>
      </c>
      <c r="AO826" s="18" t="inlineStr">
        <is>
          <t>pokemon</t>
        </is>
      </c>
      <c r="AP826" s="18" t="inlineStr">
        <is>
          <t>natural</t>
        </is>
      </c>
      <c r="AQ826" s="18" t="inlineStr">
        <is>
          <t>{"biomes":["#cobblemon:is_end"]}</t>
        </is>
      </c>
      <c r="AR826" s="18" t="inlineStr"/>
      <c r="AS826" s="18" t="inlineStr"/>
      <c r="AT826" s="19" t="inlineStr"/>
    </row>
    <row r="827" ht="32" customHeight="1">
      <c r="A827" s="18" t="inlineStr">
        <is>
          <t>0201_unown.json::unown-r-1::018</t>
        </is>
      </c>
      <c r="B827" s="19" t="inlineStr">
        <is>
          <t>사용</t>
        </is>
      </c>
      <c r="C827" s="18">
        <f>IF(OR(B827&lt;&gt;AK827,M827&lt;&gt;L827,O827&lt;&gt;"",Q827&lt;&gt;"",V827&lt;&gt;1,Y827&lt;&gt;"",AT827&lt;&gt;""),"수정","원본")</f>
        <v/>
      </c>
      <c r="D827" s="18" t="n">
        <v>201</v>
      </c>
      <c r="E827" s="18" t="inlineStr">
        <is>
          <t>안농</t>
        </is>
      </c>
      <c r="F827" s="18" t="inlineStr">
        <is>
          <t>unown</t>
        </is>
      </c>
      <c r="G827" s="18" t="inlineStr">
        <is>
          <t>unown character=r</t>
        </is>
      </c>
      <c r="H827" s="18" t="inlineStr">
        <is>
          <t>character=r</t>
        </is>
      </c>
      <c r="I827" s="18" t="n">
        <v>2</v>
      </c>
      <c r="J827" s="18" t="n"/>
      <c r="K827" s="18" t="n">
        <v>2</v>
      </c>
      <c r="L827" s="18" t="inlineStr">
        <is>
          <t>cobbleventure:generation_2</t>
        </is>
      </c>
      <c r="M827" s="19" t="inlineStr">
        <is>
          <t>cobbleventure:generation_2</t>
        </is>
      </c>
      <c r="N827" s="18" t="inlineStr"/>
      <c r="O827" s="19" t="inlineStr"/>
      <c r="P827" s="18" t="inlineStr">
        <is>
          <t>#cobblemon:is_end</t>
        </is>
      </c>
      <c r="Q827" s="19" t="inlineStr"/>
      <c r="R827" s="18">
        <f>IF(Q827="",P827,Q827)</f>
        <v/>
      </c>
      <c r="S827" s="18" t="inlineStr"/>
      <c r="T827" s="18" t="inlineStr">
        <is>
          <t>common</t>
        </is>
      </c>
      <c r="U827" s="20" t="n">
        <v>3.2</v>
      </c>
      <c r="V827" s="21" t="n">
        <v>1</v>
      </c>
      <c r="W827" s="20">
        <f>IF(OR(U827="",V827=""),U827,U827*V827)</f>
        <v/>
      </c>
      <c r="X827" s="18" t="inlineStr">
        <is>
          <t>1-100</t>
        </is>
      </c>
      <c r="Y827" s="19" t="inlineStr"/>
      <c r="Z827" s="18">
        <f>IF(Y827="",X827,Y827)</f>
        <v/>
      </c>
      <c r="AA827" s="18" t="inlineStr">
        <is>
          <t>grounded</t>
        </is>
      </c>
      <c r="AB827" s="18" t="inlineStr"/>
      <c r="AC827" s="18" t="inlineStr"/>
      <c r="AD827" s="18" t="inlineStr"/>
      <c r="AE827" s="18" t="inlineStr"/>
      <c r="AF827" s="18" t="inlineStr"/>
      <c r="AG827" s="18" t="inlineStr"/>
      <c r="AH827" s="18" t="inlineStr"/>
      <c r="AI827" s="18" t="inlineStr"/>
      <c r="AJ827" s="18" t="inlineStr">
        <is>
          <t>COBBLEVERSE 수정</t>
        </is>
      </c>
      <c r="AK827" s="18" t="inlineStr">
        <is>
          <t>사용</t>
        </is>
      </c>
      <c r="AL827" s="18" t="inlineStr">
        <is>
          <t>COBBLEVERSE 1.7.42 / DP v31</t>
        </is>
      </c>
      <c r="AM827" s="18" t="inlineStr">
        <is>
          <t>data/cobblemon/spawn_pool_world/0201_unown.json</t>
        </is>
      </c>
      <c r="AN827" s="18" t="inlineStr">
        <is>
          <t>unown-r-1</t>
        </is>
      </c>
      <c r="AO827" s="18" t="inlineStr">
        <is>
          <t>pokemon</t>
        </is>
      </c>
      <c r="AP827" s="18" t="inlineStr">
        <is>
          <t>natural</t>
        </is>
      </c>
      <c r="AQ827" s="18" t="inlineStr">
        <is>
          <t>{"biomes":["#cobblemon:is_end"]}</t>
        </is>
      </c>
      <c r="AR827" s="18" t="inlineStr"/>
      <c r="AS827" s="18" t="inlineStr"/>
      <c r="AT827" s="19" t="inlineStr"/>
    </row>
    <row r="828" ht="32" customHeight="1">
      <c r="A828" s="18" t="inlineStr">
        <is>
          <t>0201_unown.json::unown-s-1::019</t>
        </is>
      </c>
      <c r="B828" s="19" t="inlineStr">
        <is>
          <t>사용</t>
        </is>
      </c>
      <c r="C828" s="18">
        <f>IF(OR(B828&lt;&gt;AK828,M828&lt;&gt;L828,O828&lt;&gt;"",Q828&lt;&gt;"",V828&lt;&gt;1,Y828&lt;&gt;"",AT828&lt;&gt;""),"수정","원본")</f>
        <v/>
      </c>
      <c r="D828" s="18" t="n">
        <v>201</v>
      </c>
      <c r="E828" s="18" t="inlineStr">
        <is>
          <t>안농</t>
        </is>
      </c>
      <c r="F828" s="18" t="inlineStr">
        <is>
          <t>unown</t>
        </is>
      </c>
      <c r="G828" s="18" t="inlineStr">
        <is>
          <t>unown character=s</t>
        </is>
      </c>
      <c r="H828" s="18" t="inlineStr">
        <is>
          <t>character=s</t>
        </is>
      </c>
      <c r="I828" s="18" t="n">
        <v>2</v>
      </c>
      <c r="J828" s="18" t="n"/>
      <c r="K828" s="18" t="n">
        <v>2</v>
      </c>
      <c r="L828" s="18" t="inlineStr">
        <is>
          <t>cobbleventure:generation_2</t>
        </is>
      </c>
      <c r="M828" s="19" t="inlineStr">
        <is>
          <t>cobbleventure:generation_2</t>
        </is>
      </c>
      <c r="N828" s="18" t="inlineStr"/>
      <c r="O828" s="19" t="inlineStr"/>
      <c r="P828" s="18" t="inlineStr">
        <is>
          <t>#cobblemon:is_end</t>
        </is>
      </c>
      <c r="Q828" s="19" t="inlineStr"/>
      <c r="R828" s="18">
        <f>IF(Q828="",P828,Q828)</f>
        <v/>
      </c>
      <c r="S828" s="18" t="inlineStr"/>
      <c r="T828" s="18" t="inlineStr">
        <is>
          <t>common</t>
        </is>
      </c>
      <c r="U828" s="20" t="n">
        <v>3.2</v>
      </c>
      <c r="V828" s="21" t="n">
        <v>1</v>
      </c>
      <c r="W828" s="20">
        <f>IF(OR(U828="",V828=""),U828,U828*V828)</f>
        <v/>
      </c>
      <c r="X828" s="18" t="inlineStr">
        <is>
          <t>1-100</t>
        </is>
      </c>
      <c r="Y828" s="19" t="inlineStr"/>
      <c r="Z828" s="18">
        <f>IF(Y828="",X828,Y828)</f>
        <v/>
      </c>
      <c r="AA828" s="18" t="inlineStr">
        <is>
          <t>grounded</t>
        </is>
      </c>
      <c r="AB828" s="18" t="inlineStr"/>
      <c r="AC828" s="18" t="inlineStr"/>
      <c r="AD828" s="18" t="inlineStr"/>
      <c r="AE828" s="18" t="inlineStr"/>
      <c r="AF828" s="18" t="inlineStr"/>
      <c r="AG828" s="18" t="inlineStr"/>
      <c r="AH828" s="18" t="inlineStr"/>
      <c r="AI828" s="18" t="inlineStr"/>
      <c r="AJ828" s="18" t="inlineStr">
        <is>
          <t>COBBLEVERSE 수정</t>
        </is>
      </c>
      <c r="AK828" s="18" t="inlineStr">
        <is>
          <t>사용</t>
        </is>
      </c>
      <c r="AL828" s="18" t="inlineStr">
        <is>
          <t>COBBLEVERSE 1.7.42 / DP v31</t>
        </is>
      </c>
      <c r="AM828" s="18" t="inlineStr">
        <is>
          <t>data/cobblemon/spawn_pool_world/0201_unown.json</t>
        </is>
      </c>
      <c r="AN828" s="18" t="inlineStr">
        <is>
          <t>unown-s-1</t>
        </is>
      </c>
      <c r="AO828" s="18" t="inlineStr">
        <is>
          <t>pokemon</t>
        </is>
      </c>
      <c r="AP828" s="18" t="inlineStr">
        <is>
          <t>natural</t>
        </is>
      </c>
      <c r="AQ828" s="18" t="inlineStr">
        <is>
          <t>{"biomes":["#cobblemon:is_end"]}</t>
        </is>
      </c>
      <c r="AR828" s="18" t="inlineStr"/>
      <c r="AS828" s="18" t="inlineStr"/>
      <c r="AT828" s="19" t="inlineStr"/>
    </row>
    <row r="829" ht="32" customHeight="1">
      <c r="A829" s="18" t="inlineStr">
        <is>
          <t>0201_unown.json::unown-t-1::020</t>
        </is>
      </c>
      <c r="B829" s="19" t="inlineStr">
        <is>
          <t>사용</t>
        </is>
      </c>
      <c r="C829" s="18">
        <f>IF(OR(B829&lt;&gt;AK829,M829&lt;&gt;L829,O829&lt;&gt;"",Q829&lt;&gt;"",V829&lt;&gt;1,Y829&lt;&gt;"",AT829&lt;&gt;""),"수정","원본")</f>
        <v/>
      </c>
      <c r="D829" s="18" t="n">
        <v>201</v>
      </c>
      <c r="E829" s="18" t="inlineStr">
        <is>
          <t>안농</t>
        </is>
      </c>
      <c r="F829" s="18" t="inlineStr">
        <is>
          <t>unown</t>
        </is>
      </c>
      <c r="G829" s="18" t="inlineStr">
        <is>
          <t>unown character=t</t>
        </is>
      </c>
      <c r="H829" s="18" t="inlineStr">
        <is>
          <t>character=t</t>
        </is>
      </c>
      <c r="I829" s="18" t="n">
        <v>2</v>
      </c>
      <c r="J829" s="18" t="n"/>
      <c r="K829" s="18" t="n">
        <v>2</v>
      </c>
      <c r="L829" s="18" t="inlineStr">
        <is>
          <t>cobbleventure:generation_2</t>
        </is>
      </c>
      <c r="M829" s="19" t="inlineStr">
        <is>
          <t>cobbleventure:generation_2</t>
        </is>
      </c>
      <c r="N829" s="18" t="inlineStr"/>
      <c r="O829" s="19" t="inlineStr"/>
      <c r="P829" s="18" t="inlineStr">
        <is>
          <t>#cobblemon:is_end</t>
        </is>
      </c>
      <c r="Q829" s="19" t="inlineStr"/>
      <c r="R829" s="18">
        <f>IF(Q829="",P829,Q829)</f>
        <v/>
      </c>
      <c r="S829" s="18" t="inlineStr"/>
      <c r="T829" s="18" t="inlineStr">
        <is>
          <t>common</t>
        </is>
      </c>
      <c r="U829" s="20" t="n">
        <v>3.2</v>
      </c>
      <c r="V829" s="21" t="n">
        <v>1</v>
      </c>
      <c r="W829" s="20">
        <f>IF(OR(U829="",V829=""),U829,U829*V829)</f>
        <v/>
      </c>
      <c r="X829" s="18" t="inlineStr">
        <is>
          <t>1-100</t>
        </is>
      </c>
      <c r="Y829" s="19" t="inlineStr"/>
      <c r="Z829" s="18">
        <f>IF(Y829="",X829,Y829)</f>
        <v/>
      </c>
      <c r="AA829" s="18" t="inlineStr">
        <is>
          <t>grounded</t>
        </is>
      </c>
      <c r="AB829" s="18" t="inlineStr"/>
      <c r="AC829" s="18" t="inlineStr"/>
      <c r="AD829" s="18" t="inlineStr"/>
      <c r="AE829" s="18" t="inlineStr"/>
      <c r="AF829" s="18" t="inlineStr"/>
      <c r="AG829" s="18" t="inlineStr"/>
      <c r="AH829" s="18" t="inlineStr"/>
      <c r="AI829" s="18" t="inlineStr"/>
      <c r="AJ829" s="18" t="inlineStr">
        <is>
          <t>COBBLEVERSE 수정</t>
        </is>
      </c>
      <c r="AK829" s="18" t="inlineStr">
        <is>
          <t>사용</t>
        </is>
      </c>
      <c r="AL829" s="18" t="inlineStr">
        <is>
          <t>COBBLEVERSE 1.7.42 / DP v31</t>
        </is>
      </c>
      <c r="AM829" s="18" t="inlineStr">
        <is>
          <t>data/cobblemon/spawn_pool_world/0201_unown.json</t>
        </is>
      </c>
      <c r="AN829" s="18" t="inlineStr">
        <is>
          <t>unown-t-1</t>
        </is>
      </c>
      <c r="AO829" s="18" t="inlineStr">
        <is>
          <t>pokemon</t>
        </is>
      </c>
      <c r="AP829" s="18" t="inlineStr">
        <is>
          <t>natural</t>
        </is>
      </c>
      <c r="AQ829" s="18" t="inlineStr">
        <is>
          <t>{"biomes":["#cobblemon:is_end"]}</t>
        </is>
      </c>
      <c r="AR829" s="18" t="inlineStr"/>
      <c r="AS829" s="18" t="inlineStr"/>
      <c r="AT829" s="19" t="inlineStr"/>
    </row>
    <row r="830" ht="32" customHeight="1">
      <c r="A830" s="18" t="inlineStr">
        <is>
          <t>0201_unown.json::unown-u-1::021</t>
        </is>
      </c>
      <c r="B830" s="19" t="inlineStr">
        <is>
          <t>사용</t>
        </is>
      </c>
      <c r="C830" s="18">
        <f>IF(OR(B830&lt;&gt;AK830,M830&lt;&gt;L830,O830&lt;&gt;"",Q830&lt;&gt;"",V830&lt;&gt;1,Y830&lt;&gt;"",AT830&lt;&gt;""),"수정","원본")</f>
        <v/>
      </c>
      <c r="D830" s="18" t="n">
        <v>201</v>
      </c>
      <c r="E830" s="18" t="inlineStr">
        <is>
          <t>안농</t>
        </is>
      </c>
      <c r="F830" s="18" t="inlineStr">
        <is>
          <t>unown</t>
        </is>
      </c>
      <c r="G830" s="18" t="inlineStr">
        <is>
          <t>unown character=u</t>
        </is>
      </c>
      <c r="H830" s="18" t="inlineStr">
        <is>
          <t>character=u</t>
        </is>
      </c>
      <c r="I830" s="18" t="n">
        <v>2</v>
      </c>
      <c r="J830" s="18" t="n"/>
      <c r="K830" s="18" t="n">
        <v>2</v>
      </c>
      <c r="L830" s="18" t="inlineStr">
        <is>
          <t>cobbleventure:generation_2</t>
        </is>
      </c>
      <c r="M830" s="19" t="inlineStr">
        <is>
          <t>cobbleventure:generation_2</t>
        </is>
      </c>
      <c r="N830" s="18" t="inlineStr"/>
      <c r="O830" s="19" t="inlineStr"/>
      <c r="P830" s="18" t="inlineStr">
        <is>
          <t>#cobblemon:is_end</t>
        </is>
      </c>
      <c r="Q830" s="19" t="inlineStr"/>
      <c r="R830" s="18">
        <f>IF(Q830="",P830,Q830)</f>
        <v/>
      </c>
      <c r="S830" s="18" t="inlineStr"/>
      <c r="T830" s="18" t="inlineStr">
        <is>
          <t>common</t>
        </is>
      </c>
      <c r="U830" s="20" t="n">
        <v>3.2</v>
      </c>
      <c r="V830" s="21" t="n">
        <v>1</v>
      </c>
      <c r="W830" s="20">
        <f>IF(OR(U830="",V830=""),U830,U830*V830)</f>
        <v/>
      </c>
      <c r="X830" s="18" t="inlineStr">
        <is>
          <t>1-100</t>
        </is>
      </c>
      <c r="Y830" s="19" t="inlineStr"/>
      <c r="Z830" s="18">
        <f>IF(Y830="",X830,Y830)</f>
        <v/>
      </c>
      <c r="AA830" s="18" t="inlineStr">
        <is>
          <t>grounded</t>
        </is>
      </c>
      <c r="AB830" s="18" t="inlineStr"/>
      <c r="AC830" s="18" t="inlineStr"/>
      <c r="AD830" s="18" t="inlineStr"/>
      <c r="AE830" s="18" t="inlineStr"/>
      <c r="AF830" s="18" t="inlineStr"/>
      <c r="AG830" s="18" t="inlineStr"/>
      <c r="AH830" s="18" t="inlineStr"/>
      <c r="AI830" s="18" t="inlineStr"/>
      <c r="AJ830" s="18" t="inlineStr">
        <is>
          <t>COBBLEVERSE 수정</t>
        </is>
      </c>
      <c r="AK830" s="18" t="inlineStr">
        <is>
          <t>사용</t>
        </is>
      </c>
      <c r="AL830" s="18" t="inlineStr">
        <is>
          <t>COBBLEVERSE 1.7.42 / DP v31</t>
        </is>
      </c>
      <c r="AM830" s="18" t="inlineStr">
        <is>
          <t>data/cobblemon/spawn_pool_world/0201_unown.json</t>
        </is>
      </c>
      <c r="AN830" s="18" t="inlineStr">
        <is>
          <t>unown-u-1</t>
        </is>
      </c>
      <c r="AO830" s="18" t="inlineStr">
        <is>
          <t>pokemon</t>
        </is>
      </c>
      <c r="AP830" s="18" t="inlineStr">
        <is>
          <t>natural</t>
        </is>
      </c>
      <c r="AQ830" s="18" t="inlineStr">
        <is>
          <t>{"biomes":["#cobblemon:is_end"]}</t>
        </is>
      </c>
      <c r="AR830" s="18" t="inlineStr"/>
      <c r="AS830" s="18" t="inlineStr"/>
      <c r="AT830" s="19" t="inlineStr"/>
    </row>
    <row r="831" ht="32" customHeight="1">
      <c r="A831" s="18" t="inlineStr">
        <is>
          <t>0201_unown.json::unown-v-1::022</t>
        </is>
      </c>
      <c r="B831" s="19" t="inlineStr">
        <is>
          <t>사용</t>
        </is>
      </c>
      <c r="C831" s="18">
        <f>IF(OR(B831&lt;&gt;AK831,M831&lt;&gt;L831,O831&lt;&gt;"",Q831&lt;&gt;"",V831&lt;&gt;1,Y831&lt;&gt;"",AT831&lt;&gt;""),"수정","원본")</f>
        <v/>
      </c>
      <c r="D831" s="18" t="n">
        <v>201</v>
      </c>
      <c r="E831" s="18" t="inlineStr">
        <is>
          <t>안농</t>
        </is>
      </c>
      <c r="F831" s="18" t="inlineStr">
        <is>
          <t>unown</t>
        </is>
      </c>
      <c r="G831" s="18" t="inlineStr">
        <is>
          <t>unown character=v</t>
        </is>
      </c>
      <c r="H831" s="18" t="inlineStr">
        <is>
          <t>character=v</t>
        </is>
      </c>
      <c r="I831" s="18" t="n">
        <v>2</v>
      </c>
      <c r="J831" s="18" t="n"/>
      <c r="K831" s="18" t="n">
        <v>2</v>
      </c>
      <c r="L831" s="18" t="inlineStr">
        <is>
          <t>cobbleventure:generation_2</t>
        </is>
      </c>
      <c r="M831" s="19" t="inlineStr">
        <is>
          <t>cobbleventure:generation_2</t>
        </is>
      </c>
      <c r="N831" s="18" t="inlineStr"/>
      <c r="O831" s="19" t="inlineStr"/>
      <c r="P831" s="18" t="inlineStr">
        <is>
          <t>#cobblemon:is_end</t>
        </is>
      </c>
      <c r="Q831" s="19" t="inlineStr"/>
      <c r="R831" s="18">
        <f>IF(Q831="",P831,Q831)</f>
        <v/>
      </c>
      <c r="S831" s="18" t="inlineStr"/>
      <c r="T831" s="18" t="inlineStr">
        <is>
          <t>common</t>
        </is>
      </c>
      <c r="U831" s="20" t="n">
        <v>3.2</v>
      </c>
      <c r="V831" s="21" t="n">
        <v>1</v>
      </c>
      <c r="W831" s="20">
        <f>IF(OR(U831="",V831=""),U831,U831*V831)</f>
        <v/>
      </c>
      <c r="X831" s="18" t="inlineStr">
        <is>
          <t>1-100</t>
        </is>
      </c>
      <c r="Y831" s="19" t="inlineStr"/>
      <c r="Z831" s="18">
        <f>IF(Y831="",X831,Y831)</f>
        <v/>
      </c>
      <c r="AA831" s="18" t="inlineStr">
        <is>
          <t>grounded</t>
        </is>
      </c>
      <c r="AB831" s="18" t="inlineStr"/>
      <c r="AC831" s="18" t="inlineStr"/>
      <c r="AD831" s="18" t="inlineStr"/>
      <c r="AE831" s="18" t="inlineStr"/>
      <c r="AF831" s="18" t="inlineStr"/>
      <c r="AG831" s="18" t="inlineStr"/>
      <c r="AH831" s="18" t="inlineStr"/>
      <c r="AI831" s="18" t="inlineStr"/>
      <c r="AJ831" s="18" t="inlineStr">
        <is>
          <t>COBBLEVERSE 수정</t>
        </is>
      </c>
      <c r="AK831" s="18" t="inlineStr">
        <is>
          <t>사용</t>
        </is>
      </c>
      <c r="AL831" s="18" t="inlineStr">
        <is>
          <t>COBBLEVERSE 1.7.42 / DP v31</t>
        </is>
      </c>
      <c r="AM831" s="18" t="inlineStr">
        <is>
          <t>data/cobblemon/spawn_pool_world/0201_unown.json</t>
        </is>
      </c>
      <c r="AN831" s="18" t="inlineStr">
        <is>
          <t>unown-v-1</t>
        </is>
      </c>
      <c r="AO831" s="18" t="inlineStr">
        <is>
          <t>pokemon</t>
        </is>
      </c>
      <c r="AP831" s="18" t="inlineStr">
        <is>
          <t>natural</t>
        </is>
      </c>
      <c r="AQ831" s="18" t="inlineStr">
        <is>
          <t>{"biomes":["#cobblemon:is_end"]}</t>
        </is>
      </c>
      <c r="AR831" s="18" t="inlineStr"/>
      <c r="AS831" s="18" t="inlineStr"/>
      <c r="AT831" s="19" t="inlineStr"/>
    </row>
    <row r="832" ht="32" customHeight="1">
      <c r="A832" s="18" t="inlineStr">
        <is>
          <t>0201_unown.json::unown-w-1::023</t>
        </is>
      </c>
      <c r="B832" s="19" t="inlineStr">
        <is>
          <t>사용</t>
        </is>
      </c>
      <c r="C832" s="18">
        <f>IF(OR(B832&lt;&gt;AK832,M832&lt;&gt;L832,O832&lt;&gt;"",Q832&lt;&gt;"",V832&lt;&gt;1,Y832&lt;&gt;"",AT832&lt;&gt;""),"수정","원본")</f>
        <v/>
      </c>
      <c r="D832" s="18" t="n">
        <v>201</v>
      </c>
      <c r="E832" s="18" t="inlineStr">
        <is>
          <t>안농</t>
        </is>
      </c>
      <c r="F832" s="18" t="inlineStr">
        <is>
          <t>unown</t>
        </is>
      </c>
      <c r="G832" s="18" t="inlineStr">
        <is>
          <t>unown character=w</t>
        </is>
      </c>
      <c r="H832" s="18" t="inlineStr">
        <is>
          <t>character=w</t>
        </is>
      </c>
      <c r="I832" s="18" t="n">
        <v>2</v>
      </c>
      <c r="J832" s="18" t="n"/>
      <c r="K832" s="18" t="n">
        <v>2</v>
      </c>
      <c r="L832" s="18" t="inlineStr">
        <is>
          <t>cobbleventure:generation_2</t>
        </is>
      </c>
      <c r="M832" s="19" t="inlineStr">
        <is>
          <t>cobbleventure:generation_2</t>
        </is>
      </c>
      <c r="N832" s="18" t="inlineStr"/>
      <c r="O832" s="19" t="inlineStr"/>
      <c r="P832" s="18" t="inlineStr">
        <is>
          <t>#cobblemon:is_end</t>
        </is>
      </c>
      <c r="Q832" s="19" t="inlineStr"/>
      <c r="R832" s="18">
        <f>IF(Q832="",P832,Q832)</f>
        <v/>
      </c>
      <c r="S832" s="18" t="inlineStr"/>
      <c r="T832" s="18" t="inlineStr">
        <is>
          <t>common</t>
        </is>
      </c>
      <c r="U832" s="20" t="n">
        <v>3.2</v>
      </c>
      <c r="V832" s="21" t="n">
        <v>1</v>
      </c>
      <c r="W832" s="20">
        <f>IF(OR(U832="",V832=""),U832,U832*V832)</f>
        <v/>
      </c>
      <c r="X832" s="18" t="inlineStr">
        <is>
          <t>1-100</t>
        </is>
      </c>
      <c r="Y832" s="19" t="inlineStr"/>
      <c r="Z832" s="18">
        <f>IF(Y832="",X832,Y832)</f>
        <v/>
      </c>
      <c r="AA832" s="18" t="inlineStr">
        <is>
          <t>grounded</t>
        </is>
      </c>
      <c r="AB832" s="18" t="inlineStr"/>
      <c r="AC832" s="18" t="inlineStr"/>
      <c r="AD832" s="18" t="inlineStr"/>
      <c r="AE832" s="18" t="inlineStr"/>
      <c r="AF832" s="18" t="inlineStr"/>
      <c r="AG832" s="18" t="inlineStr"/>
      <c r="AH832" s="18" t="inlineStr"/>
      <c r="AI832" s="18" t="inlineStr"/>
      <c r="AJ832" s="18" t="inlineStr">
        <is>
          <t>COBBLEVERSE 수정</t>
        </is>
      </c>
      <c r="AK832" s="18" t="inlineStr">
        <is>
          <t>사용</t>
        </is>
      </c>
      <c r="AL832" s="18" t="inlineStr">
        <is>
          <t>COBBLEVERSE 1.7.42 / DP v31</t>
        </is>
      </c>
      <c r="AM832" s="18" t="inlineStr">
        <is>
          <t>data/cobblemon/spawn_pool_world/0201_unown.json</t>
        </is>
      </c>
      <c r="AN832" s="18" t="inlineStr">
        <is>
          <t>unown-w-1</t>
        </is>
      </c>
      <c r="AO832" s="18" t="inlineStr">
        <is>
          <t>pokemon</t>
        </is>
      </c>
      <c r="AP832" s="18" t="inlineStr">
        <is>
          <t>natural</t>
        </is>
      </c>
      <c r="AQ832" s="18" t="inlineStr">
        <is>
          <t>{"biomes":["#cobblemon:is_end"]}</t>
        </is>
      </c>
      <c r="AR832" s="18" t="inlineStr"/>
      <c r="AS832" s="18" t="inlineStr"/>
      <c r="AT832" s="19" t="inlineStr"/>
    </row>
    <row r="833" ht="32" customHeight="1">
      <c r="A833" s="18" t="inlineStr">
        <is>
          <t>0201_unown.json::unown-x-1::024</t>
        </is>
      </c>
      <c r="B833" s="19" t="inlineStr">
        <is>
          <t>사용</t>
        </is>
      </c>
      <c r="C833" s="18">
        <f>IF(OR(B833&lt;&gt;AK833,M833&lt;&gt;L833,O833&lt;&gt;"",Q833&lt;&gt;"",V833&lt;&gt;1,Y833&lt;&gt;"",AT833&lt;&gt;""),"수정","원본")</f>
        <v/>
      </c>
      <c r="D833" s="18" t="n">
        <v>201</v>
      </c>
      <c r="E833" s="18" t="inlineStr">
        <is>
          <t>안농</t>
        </is>
      </c>
      <c r="F833" s="18" t="inlineStr">
        <is>
          <t>unown</t>
        </is>
      </c>
      <c r="G833" s="18" t="inlineStr">
        <is>
          <t>unown character=x</t>
        </is>
      </c>
      <c r="H833" s="18" t="inlineStr">
        <is>
          <t>character=x</t>
        </is>
      </c>
      <c r="I833" s="18" t="n">
        <v>2</v>
      </c>
      <c r="J833" s="18" t="n"/>
      <c r="K833" s="18" t="n">
        <v>2</v>
      </c>
      <c r="L833" s="18" t="inlineStr">
        <is>
          <t>cobbleventure:generation_2</t>
        </is>
      </c>
      <c r="M833" s="19" t="inlineStr">
        <is>
          <t>cobbleventure:generation_2</t>
        </is>
      </c>
      <c r="N833" s="18" t="inlineStr"/>
      <c r="O833" s="19" t="inlineStr"/>
      <c r="P833" s="18" t="inlineStr">
        <is>
          <t>#cobblemon:is_end</t>
        </is>
      </c>
      <c r="Q833" s="19" t="inlineStr"/>
      <c r="R833" s="18">
        <f>IF(Q833="",P833,Q833)</f>
        <v/>
      </c>
      <c r="S833" s="18" t="inlineStr"/>
      <c r="T833" s="18" t="inlineStr">
        <is>
          <t>common</t>
        </is>
      </c>
      <c r="U833" s="20" t="n">
        <v>3.2</v>
      </c>
      <c r="V833" s="21" t="n">
        <v>1</v>
      </c>
      <c r="W833" s="20">
        <f>IF(OR(U833="",V833=""),U833,U833*V833)</f>
        <v/>
      </c>
      <c r="X833" s="18" t="inlineStr">
        <is>
          <t>1-100</t>
        </is>
      </c>
      <c r="Y833" s="19" t="inlineStr"/>
      <c r="Z833" s="18">
        <f>IF(Y833="",X833,Y833)</f>
        <v/>
      </c>
      <c r="AA833" s="18" t="inlineStr">
        <is>
          <t>grounded</t>
        </is>
      </c>
      <c r="AB833" s="18" t="inlineStr"/>
      <c r="AC833" s="18" t="inlineStr"/>
      <c r="AD833" s="18" t="inlineStr"/>
      <c r="AE833" s="18" t="inlineStr"/>
      <c r="AF833" s="18" t="inlineStr"/>
      <c r="AG833" s="18" t="inlineStr"/>
      <c r="AH833" s="18" t="inlineStr"/>
      <c r="AI833" s="18" t="inlineStr"/>
      <c r="AJ833" s="18" t="inlineStr">
        <is>
          <t>COBBLEVERSE 수정</t>
        </is>
      </c>
      <c r="AK833" s="18" t="inlineStr">
        <is>
          <t>사용</t>
        </is>
      </c>
      <c r="AL833" s="18" t="inlineStr">
        <is>
          <t>COBBLEVERSE 1.7.42 / DP v31</t>
        </is>
      </c>
      <c r="AM833" s="18" t="inlineStr">
        <is>
          <t>data/cobblemon/spawn_pool_world/0201_unown.json</t>
        </is>
      </c>
      <c r="AN833" s="18" t="inlineStr">
        <is>
          <t>unown-x-1</t>
        </is>
      </c>
      <c r="AO833" s="18" t="inlineStr">
        <is>
          <t>pokemon</t>
        </is>
      </c>
      <c r="AP833" s="18" t="inlineStr">
        <is>
          <t>natural</t>
        </is>
      </c>
      <c r="AQ833" s="18" t="inlineStr">
        <is>
          <t>{"biomes":["#cobblemon:is_end"]}</t>
        </is>
      </c>
      <c r="AR833" s="18" t="inlineStr"/>
      <c r="AS833" s="18" t="inlineStr"/>
      <c r="AT833" s="19" t="inlineStr"/>
    </row>
    <row r="834" ht="32" customHeight="1">
      <c r="A834" s="18" t="inlineStr">
        <is>
          <t>0201_unown.json::unown-y-1::025</t>
        </is>
      </c>
      <c r="B834" s="19" t="inlineStr">
        <is>
          <t>사용</t>
        </is>
      </c>
      <c r="C834" s="18">
        <f>IF(OR(B834&lt;&gt;AK834,M834&lt;&gt;L834,O834&lt;&gt;"",Q834&lt;&gt;"",V834&lt;&gt;1,Y834&lt;&gt;"",AT834&lt;&gt;""),"수정","원본")</f>
        <v/>
      </c>
      <c r="D834" s="18" t="n">
        <v>201</v>
      </c>
      <c r="E834" s="18" t="inlineStr">
        <is>
          <t>안농</t>
        </is>
      </c>
      <c r="F834" s="18" t="inlineStr">
        <is>
          <t>unown</t>
        </is>
      </c>
      <c r="G834" s="18" t="inlineStr">
        <is>
          <t>unown character=y</t>
        </is>
      </c>
      <c r="H834" s="18" t="inlineStr">
        <is>
          <t>character=y</t>
        </is>
      </c>
      <c r="I834" s="18" t="n">
        <v>2</v>
      </c>
      <c r="J834" s="18" t="n"/>
      <c r="K834" s="18" t="n">
        <v>2</v>
      </c>
      <c r="L834" s="18" t="inlineStr">
        <is>
          <t>cobbleventure:generation_2</t>
        </is>
      </c>
      <c r="M834" s="19" t="inlineStr">
        <is>
          <t>cobbleventure:generation_2</t>
        </is>
      </c>
      <c r="N834" s="18" t="inlineStr"/>
      <c r="O834" s="19" t="inlineStr"/>
      <c r="P834" s="18" t="inlineStr">
        <is>
          <t>#cobblemon:is_end</t>
        </is>
      </c>
      <c r="Q834" s="19" t="inlineStr"/>
      <c r="R834" s="18">
        <f>IF(Q834="",P834,Q834)</f>
        <v/>
      </c>
      <c r="S834" s="18" t="inlineStr"/>
      <c r="T834" s="18" t="inlineStr">
        <is>
          <t>common</t>
        </is>
      </c>
      <c r="U834" s="20" t="n">
        <v>3.2</v>
      </c>
      <c r="V834" s="21" t="n">
        <v>1</v>
      </c>
      <c r="W834" s="20">
        <f>IF(OR(U834="",V834=""),U834,U834*V834)</f>
        <v/>
      </c>
      <c r="X834" s="18" t="inlineStr">
        <is>
          <t>1-100</t>
        </is>
      </c>
      <c r="Y834" s="19" t="inlineStr"/>
      <c r="Z834" s="18">
        <f>IF(Y834="",X834,Y834)</f>
        <v/>
      </c>
      <c r="AA834" s="18" t="inlineStr">
        <is>
          <t>grounded</t>
        </is>
      </c>
      <c r="AB834" s="18" t="inlineStr"/>
      <c r="AC834" s="18" t="inlineStr"/>
      <c r="AD834" s="18" t="inlineStr"/>
      <c r="AE834" s="18" t="inlineStr"/>
      <c r="AF834" s="18" t="inlineStr"/>
      <c r="AG834" s="18" t="inlineStr"/>
      <c r="AH834" s="18" t="inlineStr"/>
      <c r="AI834" s="18" t="inlineStr"/>
      <c r="AJ834" s="18" t="inlineStr">
        <is>
          <t>COBBLEVERSE 수정</t>
        </is>
      </c>
      <c r="AK834" s="18" t="inlineStr">
        <is>
          <t>사용</t>
        </is>
      </c>
      <c r="AL834" s="18" t="inlineStr">
        <is>
          <t>COBBLEVERSE 1.7.42 / DP v31</t>
        </is>
      </c>
      <c r="AM834" s="18" t="inlineStr">
        <is>
          <t>data/cobblemon/spawn_pool_world/0201_unown.json</t>
        </is>
      </c>
      <c r="AN834" s="18" t="inlineStr">
        <is>
          <t>unown-y-1</t>
        </is>
      </c>
      <c r="AO834" s="18" t="inlineStr">
        <is>
          <t>pokemon</t>
        </is>
      </c>
      <c r="AP834" s="18" t="inlineStr">
        <is>
          <t>natural</t>
        </is>
      </c>
      <c r="AQ834" s="18" t="inlineStr">
        <is>
          <t>{"biomes":["#cobblemon:is_end"]}</t>
        </is>
      </c>
      <c r="AR834" s="18" t="inlineStr"/>
      <c r="AS834" s="18" t="inlineStr"/>
      <c r="AT834" s="19" t="inlineStr"/>
    </row>
    <row r="835" ht="32" customHeight="1">
      <c r="A835" s="18" t="inlineStr">
        <is>
          <t>0201_unown.json::unown-z-1::026</t>
        </is>
      </c>
      <c r="B835" s="19" t="inlineStr">
        <is>
          <t>사용</t>
        </is>
      </c>
      <c r="C835" s="18">
        <f>IF(OR(B835&lt;&gt;AK835,M835&lt;&gt;L835,O835&lt;&gt;"",Q835&lt;&gt;"",V835&lt;&gt;1,Y835&lt;&gt;"",AT835&lt;&gt;""),"수정","원본")</f>
        <v/>
      </c>
      <c r="D835" s="18" t="n">
        <v>201</v>
      </c>
      <c r="E835" s="18" t="inlineStr">
        <is>
          <t>안농</t>
        </is>
      </c>
      <c r="F835" s="18" t="inlineStr">
        <is>
          <t>unown</t>
        </is>
      </c>
      <c r="G835" s="18" t="inlineStr">
        <is>
          <t>unown character=z</t>
        </is>
      </c>
      <c r="H835" s="18" t="inlineStr">
        <is>
          <t>character=z</t>
        </is>
      </c>
      <c r="I835" s="18" t="n">
        <v>2</v>
      </c>
      <c r="J835" s="18" t="n"/>
      <c r="K835" s="18" t="n">
        <v>2</v>
      </c>
      <c r="L835" s="18" t="inlineStr">
        <is>
          <t>cobbleventure:generation_2</t>
        </is>
      </c>
      <c r="M835" s="19" t="inlineStr">
        <is>
          <t>cobbleventure:generation_2</t>
        </is>
      </c>
      <c r="N835" s="18" t="inlineStr"/>
      <c r="O835" s="19" t="inlineStr"/>
      <c r="P835" s="18" t="inlineStr">
        <is>
          <t>#cobblemon:is_end</t>
        </is>
      </c>
      <c r="Q835" s="19" t="inlineStr"/>
      <c r="R835" s="18">
        <f>IF(Q835="",P835,Q835)</f>
        <v/>
      </c>
      <c r="S835" s="18" t="inlineStr"/>
      <c r="T835" s="18" t="inlineStr">
        <is>
          <t>common</t>
        </is>
      </c>
      <c r="U835" s="20" t="n">
        <v>3.2</v>
      </c>
      <c r="V835" s="21" t="n">
        <v>1</v>
      </c>
      <c r="W835" s="20">
        <f>IF(OR(U835="",V835=""),U835,U835*V835)</f>
        <v/>
      </c>
      <c r="X835" s="18" t="inlineStr">
        <is>
          <t>1-100</t>
        </is>
      </c>
      <c r="Y835" s="19" t="inlineStr"/>
      <c r="Z835" s="18">
        <f>IF(Y835="",X835,Y835)</f>
        <v/>
      </c>
      <c r="AA835" s="18" t="inlineStr">
        <is>
          <t>grounded</t>
        </is>
      </c>
      <c r="AB835" s="18" t="inlineStr"/>
      <c r="AC835" s="18" t="inlineStr"/>
      <c r="AD835" s="18" t="inlineStr"/>
      <c r="AE835" s="18" t="inlineStr"/>
      <c r="AF835" s="18" t="inlineStr"/>
      <c r="AG835" s="18" t="inlineStr"/>
      <c r="AH835" s="18" t="inlineStr"/>
      <c r="AI835" s="18" t="inlineStr"/>
      <c r="AJ835" s="18" t="inlineStr">
        <is>
          <t>COBBLEVERSE 수정</t>
        </is>
      </c>
      <c r="AK835" s="18" t="inlineStr">
        <is>
          <t>사용</t>
        </is>
      </c>
      <c r="AL835" s="18" t="inlineStr">
        <is>
          <t>COBBLEVERSE 1.7.42 / DP v31</t>
        </is>
      </c>
      <c r="AM835" s="18" t="inlineStr">
        <is>
          <t>data/cobblemon/spawn_pool_world/0201_unown.json</t>
        </is>
      </c>
      <c r="AN835" s="18" t="inlineStr">
        <is>
          <t>unown-z-1</t>
        </is>
      </c>
      <c r="AO835" s="18" t="inlineStr">
        <is>
          <t>pokemon</t>
        </is>
      </c>
      <c r="AP835" s="18" t="inlineStr">
        <is>
          <t>natural</t>
        </is>
      </c>
      <c r="AQ835" s="18" t="inlineStr">
        <is>
          <t>{"biomes":["#cobblemon:is_end"]}</t>
        </is>
      </c>
      <c r="AR835" s="18" t="inlineStr"/>
      <c r="AS835" s="18" t="inlineStr"/>
      <c r="AT835" s="19" t="inlineStr"/>
    </row>
    <row r="836" ht="32" customHeight="1">
      <c r="A836" s="18" t="inlineStr">
        <is>
          <t>0201_unown.json::unown-!-2::027</t>
        </is>
      </c>
      <c r="B836" s="19" t="inlineStr">
        <is>
          <t>사용</t>
        </is>
      </c>
      <c r="C836" s="18">
        <f>IF(OR(B836&lt;&gt;AK836,M836&lt;&gt;L836,O836&lt;&gt;"",Q836&lt;&gt;"",V836&lt;&gt;1,Y836&lt;&gt;"",AT836&lt;&gt;""),"수정","원본")</f>
        <v/>
      </c>
      <c r="D836" s="18" t="n">
        <v>201</v>
      </c>
      <c r="E836" s="18" t="inlineStr">
        <is>
          <t>안농</t>
        </is>
      </c>
      <c r="F836" s="18" t="inlineStr">
        <is>
          <t>unown</t>
        </is>
      </c>
      <c r="G836" s="18" t="inlineStr">
        <is>
          <t>unown character=!</t>
        </is>
      </c>
      <c r="H836" s="18" t="inlineStr">
        <is>
          <t>character=!</t>
        </is>
      </c>
      <c r="I836" s="18" t="n">
        <v>2</v>
      </c>
      <c r="J836" s="18" t="n"/>
      <c r="K836" s="18" t="n">
        <v>2</v>
      </c>
      <c r="L836" s="18" t="inlineStr">
        <is>
          <t>cobbleventure:generation_2</t>
        </is>
      </c>
      <c r="M836" s="19" t="inlineStr">
        <is>
          <t>cobbleventure:generation_2</t>
        </is>
      </c>
      <c r="N836" s="18" t="inlineStr"/>
      <c r="O836" s="19" t="inlineStr"/>
      <c r="P836" s="18" t="inlineStr">
        <is>
          <t>#cobblemon:is_end</t>
        </is>
      </c>
      <c r="Q836" s="19" t="inlineStr"/>
      <c r="R836" s="18">
        <f>IF(Q836="",P836,Q836)</f>
        <v/>
      </c>
      <c r="S836" s="18" t="inlineStr"/>
      <c r="T836" s="18" t="inlineStr">
        <is>
          <t>common</t>
        </is>
      </c>
      <c r="U836" s="20" t="n">
        <v>1</v>
      </c>
      <c r="V836" s="21" t="n">
        <v>1</v>
      </c>
      <c r="W836" s="20">
        <f>IF(OR(U836="",V836=""),U836,U836*V836)</f>
        <v/>
      </c>
      <c r="X836" s="18" t="inlineStr">
        <is>
          <t>1-100</t>
        </is>
      </c>
      <c r="Y836" s="19" t="inlineStr"/>
      <c r="Z836" s="18">
        <f>IF(Y836="",X836,Y836)</f>
        <v/>
      </c>
      <c r="AA836" s="18" t="inlineStr">
        <is>
          <t>grounded</t>
        </is>
      </c>
      <c r="AB836" s="18" t="inlineStr"/>
      <c r="AC836" s="18" t="inlineStr"/>
      <c r="AD836" s="18" t="inlineStr"/>
      <c r="AE836" s="18" t="inlineStr"/>
      <c r="AF836" s="18" t="inlineStr"/>
      <c r="AG836" s="18" t="inlineStr"/>
      <c r="AH836" s="18" t="inlineStr"/>
      <c r="AI836" s="18" t="inlineStr"/>
      <c r="AJ836" s="18" t="inlineStr">
        <is>
          <t>COBBLEVERSE 수정</t>
        </is>
      </c>
      <c r="AK836" s="18" t="inlineStr">
        <is>
          <t>사용</t>
        </is>
      </c>
      <c r="AL836" s="18" t="inlineStr">
        <is>
          <t>COBBLEVERSE 1.7.42 / DP v31</t>
        </is>
      </c>
      <c r="AM836" s="18" t="inlineStr">
        <is>
          <t>data/cobblemon/spawn_pool_world/0201_unown.json</t>
        </is>
      </c>
      <c r="AN836" s="18" t="inlineStr">
        <is>
          <t>unown-!-2</t>
        </is>
      </c>
      <c r="AO836" s="18" t="inlineStr">
        <is>
          <t>pokemon</t>
        </is>
      </c>
      <c r="AP836" s="18" t="inlineStr">
        <is>
          <t>natural</t>
        </is>
      </c>
      <c r="AQ836" s="18" t="inlineStr">
        <is>
          <t>{"biomes":["#cobblemon:is_end"]}</t>
        </is>
      </c>
      <c r="AR836" s="18" t="inlineStr"/>
      <c r="AS836" s="18" t="inlineStr"/>
      <c r="AT836" s="19" t="inlineStr"/>
    </row>
    <row r="837" ht="32" customHeight="1">
      <c r="A837" s="18" t="inlineStr">
        <is>
          <t>0201_unown.json::unown-?-2::028</t>
        </is>
      </c>
      <c r="B837" s="19" t="inlineStr">
        <is>
          <t>사용</t>
        </is>
      </c>
      <c r="C837" s="18">
        <f>IF(OR(B837&lt;&gt;AK837,M837&lt;&gt;L837,O837&lt;&gt;"",Q837&lt;&gt;"",V837&lt;&gt;1,Y837&lt;&gt;"",AT837&lt;&gt;""),"수정","원본")</f>
        <v/>
      </c>
      <c r="D837" s="18" t="n">
        <v>201</v>
      </c>
      <c r="E837" s="18" t="inlineStr">
        <is>
          <t>안농</t>
        </is>
      </c>
      <c r="F837" s="18" t="inlineStr">
        <is>
          <t>unown</t>
        </is>
      </c>
      <c r="G837" s="18" t="inlineStr">
        <is>
          <t>unown character=?</t>
        </is>
      </c>
      <c r="H837" s="18" t="inlineStr">
        <is>
          <t>character=?</t>
        </is>
      </c>
      <c r="I837" s="18" t="n">
        <v>2</v>
      </c>
      <c r="J837" s="18" t="n"/>
      <c r="K837" s="18" t="n">
        <v>2</v>
      </c>
      <c r="L837" s="18" t="inlineStr">
        <is>
          <t>cobbleventure:generation_2</t>
        </is>
      </c>
      <c r="M837" s="19" t="inlineStr">
        <is>
          <t>cobbleventure:generation_2</t>
        </is>
      </c>
      <c r="N837" s="18" t="inlineStr"/>
      <c r="O837" s="19" t="inlineStr"/>
      <c r="P837" s="18" t="inlineStr">
        <is>
          <t>#cobblemon:is_end</t>
        </is>
      </c>
      <c r="Q837" s="19" t="inlineStr"/>
      <c r="R837" s="18">
        <f>IF(Q837="",P837,Q837)</f>
        <v/>
      </c>
      <c r="S837" s="18" t="inlineStr"/>
      <c r="T837" s="18" t="inlineStr">
        <is>
          <t>common</t>
        </is>
      </c>
      <c r="U837" s="20" t="n">
        <v>1</v>
      </c>
      <c r="V837" s="21" t="n">
        <v>1</v>
      </c>
      <c r="W837" s="20">
        <f>IF(OR(U837="",V837=""),U837,U837*V837)</f>
        <v/>
      </c>
      <c r="X837" s="18" t="inlineStr">
        <is>
          <t>1-100</t>
        </is>
      </c>
      <c r="Y837" s="19" t="inlineStr"/>
      <c r="Z837" s="18">
        <f>IF(Y837="",X837,Y837)</f>
        <v/>
      </c>
      <c r="AA837" s="18" t="inlineStr">
        <is>
          <t>grounded</t>
        </is>
      </c>
      <c r="AB837" s="18" t="inlineStr"/>
      <c r="AC837" s="18" t="inlineStr"/>
      <c r="AD837" s="18" t="inlineStr"/>
      <c r="AE837" s="18" t="inlineStr"/>
      <c r="AF837" s="18" t="inlineStr"/>
      <c r="AG837" s="18" t="inlineStr"/>
      <c r="AH837" s="18" t="inlineStr"/>
      <c r="AI837" s="18" t="inlineStr"/>
      <c r="AJ837" s="18" t="inlineStr">
        <is>
          <t>COBBLEVERSE 수정</t>
        </is>
      </c>
      <c r="AK837" s="18" t="inlineStr">
        <is>
          <t>사용</t>
        </is>
      </c>
      <c r="AL837" s="18" t="inlineStr">
        <is>
          <t>COBBLEVERSE 1.7.42 / DP v31</t>
        </is>
      </c>
      <c r="AM837" s="18" t="inlineStr">
        <is>
          <t>data/cobblemon/spawn_pool_world/0201_unown.json</t>
        </is>
      </c>
      <c r="AN837" s="18" t="inlineStr">
        <is>
          <t>unown-?-2</t>
        </is>
      </c>
      <c r="AO837" s="18" t="inlineStr">
        <is>
          <t>pokemon</t>
        </is>
      </c>
      <c r="AP837" s="18" t="inlineStr">
        <is>
          <t>natural</t>
        </is>
      </c>
      <c r="AQ837" s="18" t="inlineStr">
        <is>
          <t>{"biomes":["#cobblemon:is_end"]}</t>
        </is>
      </c>
      <c r="AR837" s="18" t="inlineStr"/>
      <c r="AS837" s="18" t="inlineStr"/>
      <c r="AT837" s="19" t="inlineStr"/>
    </row>
    <row r="838" ht="32" customHeight="1">
      <c r="A838" s="18" t="inlineStr">
        <is>
          <t>0201_unown.json::unown-a-3::029</t>
        </is>
      </c>
      <c r="B838" s="19" t="inlineStr">
        <is>
          <t>사용</t>
        </is>
      </c>
      <c r="C838" s="18">
        <f>IF(OR(B838&lt;&gt;AK838,M838&lt;&gt;L838,O838&lt;&gt;"",Q838&lt;&gt;"",V838&lt;&gt;1,Y838&lt;&gt;"",AT838&lt;&gt;""),"수정","원본")</f>
        <v/>
      </c>
      <c r="D838" s="18" t="n">
        <v>201</v>
      </c>
      <c r="E838" s="18" t="inlineStr">
        <is>
          <t>안농</t>
        </is>
      </c>
      <c r="F838" s="18" t="inlineStr">
        <is>
          <t>unown</t>
        </is>
      </c>
      <c r="G838" s="18" t="inlineStr">
        <is>
          <t>unown character=a</t>
        </is>
      </c>
      <c r="H838" s="18" t="inlineStr">
        <is>
          <t>character=a</t>
        </is>
      </c>
      <c r="I838" s="18" t="n">
        <v>2</v>
      </c>
      <c r="J838" s="18" t="n"/>
      <c r="K838" s="18" t="n">
        <v>2</v>
      </c>
      <c r="L838" s="18" t="inlineStr">
        <is>
          <t>cobbleventure:generation_2</t>
        </is>
      </c>
      <c r="M838" s="19" t="inlineStr">
        <is>
          <t>cobbleventure:generation_2</t>
        </is>
      </c>
      <c r="N838" s="18" t="inlineStr">
        <is>
          <t>region_01; region_02</t>
        </is>
      </c>
      <c r="O838" s="19" t="inlineStr"/>
      <c r="P838" s="18" t="inlineStr">
        <is>
          <t>#cobblemon:is_overworld</t>
        </is>
      </c>
      <c r="Q838" s="19" t="inlineStr"/>
      <c r="R838" s="18">
        <f>IF(Q838="",P838,Q838)</f>
        <v/>
      </c>
      <c r="S838" s="18" t="inlineStr"/>
      <c r="T838" s="18" t="inlineStr">
        <is>
          <t>common</t>
        </is>
      </c>
      <c r="U838" s="20" t="n">
        <v>0.754</v>
      </c>
      <c r="V838" s="21" t="n">
        <v>1</v>
      </c>
      <c r="W838" s="20">
        <f>IF(OR(U838="",V838=""),U838,U838*V838)</f>
        <v/>
      </c>
      <c r="X838" s="18" t="inlineStr">
        <is>
          <t>1-100</t>
        </is>
      </c>
      <c r="Y838" s="19" t="inlineStr"/>
      <c r="Z838" s="18">
        <f>IF(Y838="",X838,Y838)</f>
        <v/>
      </c>
      <c r="AA838" s="18" t="inlineStr">
        <is>
          <t>grounded</t>
        </is>
      </c>
      <c r="AB838" s="18" t="inlineStr"/>
      <c r="AC838" s="18" t="inlineStr"/>
      <c r="AD838" s="18" t="inlineStr">
        <is>
          <t>minY=48</t>
        </is>
      </c>
      <c r="AE838" s="18" t="inlineStr"/>
      <c r="AF838" s="18" t="inlineStr"/>
      <c r="AG838" s="18" t="inlineStr"/>
      <c r="AH838" s="18" t="inlineStr"/>
      <c r="AI838" s="18" t="inlineStr"/>
      <c r="AJ838" s="18" t="inlineStr">
        <is>
          <t>COBBLEVERSE 수정</t>
        </is>
      </c>
      <c r="AK838" s="18" t="inlineStr">
        <is>
          <t>사용</t>
        </is>
      </c>
      <c r="AL838" s="18" t="inlineStr">
        <is>
          <t>COBBLEVERSE 1.7.42 / DP v31</t>
        </is>
      </c>
      <c r="AM838" s="18" t="inlineStr">
        <is>
          <t>data/cobblemon/spawn_pool_world/0201_unown.json</t>
        </is>
      </c>
      <c r="AN838" s="18" t="inlineStr">
        <is>
          <t>unown-a-3</t>
        </is>
      </c>
      <c r="AO838" s="18" t="inlineStr">
        <is>
          <t>pokemon</t>
        </is>
      </c>
      <c r="AP838" s="18" t="inlineStr">
        <is>
          <t>trail_ruins</t>
        </is>
      </c>
      <c r="AQ838" s="18" t="inlineStr">
        <is>
          <t>{"biomes":["#cobblemon:is_overworld"],"minY":48}</t>
        </is>
      </c>
      <c r="AR838" s="18" t="inlineStr"/>
      <c r="AS838" s="18" t="inlineStr"/>
      <c r="AT838" s="19" t="inlineStr"/>
    </row>
    <row r="839" ht="32" customHeight="1">
      <c r="A839" s="18" t="inlineStr">
        <is>
          <t>0201_unown.json::unown-b-3::030</t>
        </is>
      </c>
      <c r="B839" s="19" t="inlineStr">
        <is>
          <t>사용</t>
        </is>
      </c>
      <c r="C839" s="18">
        <f>IF(OR(B839&lt;&gt;AK839,M839&lt;&gt;L839,O839&lt;&gt;"",Q839&lt;&gt;"",V839&lt;&gt;1,Y839&lt;&gt;"",AT839&lt;&gt;""),"수정","원본")</f>
        <v/>
      </c>
      <c r="D839" s="18" t="n">
        <v>201</v>
      </c>
      <c r="E839" s="18" t="inlineStr">
        <is>
          <t>안농</t>
        </is>
      </c>
      <c r="F839" s="18" t="inlineStr">
        <is>
          <t>unown</t>
        </is>
      </c>
      <c r="G839" s="18" t="inlineStr">
        <is>
          <t>unown character=b</t>
        </is>
      </c>
      <c r="H839" s="18" t="inlineStr">
        <is>
          <t>character=b</t>
        </is>
      </c>
      <c r="I839" s="18" t="n">
        <v>2</v>
      </c>
      <c r="J839" s="18" t="n"/>
      <c r="K839" s="18" t="n">
        <v>2</v>
      </c>
      <c r="L839" s="18" t="inlineStr">
        <is>
          <t>cobbleventure:generation_2</t>
        </is>
      </c>
      <c r="M839" s="19" t="inlineStr">
        <is>
          <t>cobbleventure:generation_2</t>
        </is>
      </c>
      <c r="N839" s="18" t="inlineStr">
        <is>
          <t>region_01; region_02</t>
        </is>
      </c>
      <c r="O839" s="19" t="inlineStr"/>
      <c r="P839" s="18" t="inlineStr">
        <is>
          <t>#cobblemon:is_overworld</t>
        </is>
      </c>
      <c r="Q839" s="19" t="inlineStr"/>
      <c r="R839" s="18">
        <f>IF(Q839="",P839,Q839)</f>
        <v/>
      </c>
      <c r="S839" s="18" t="inlineStr"/>
      <c r="T839" s="18" t="inlineStr">
        <is>
          <t>common</t>
        </is>
      </c>
      <c r="U839" s="20" t="n">
        <v>0.754</v>
      </c>
      <c r="V839" s="21" t="n">
        <v>1</v>
      </c>
      <c r="W839" s="20">
        <f>IF(OR(U839="",V839=""),U839,U839*V839)</f>
        <v/>
      </c>
      <c r="X839" s="18" t="inlineStr">
        <is>
          <t>1-100</t>
        </is>
      </c>
      <c r="Y839" s="19" t="inlineStr"/>
      <c r="Z839" s="18">
        <f>IF(Y839="",X839,Y839)</f>
        <v/>
      </c>
      <c r="AA839" s="18" t="inlineStr">
        <is>
          <t>grounded</t>
        </is>
      </c>
      <c r="AB839" s="18" t="inlineStr"/>
      <c r="AC839" s="18" t="inlineStr"/>
      <c r="AD839" s="18" t="inlineStr">
        <is>
          <t>minY=48</t>
        </is>
      </c>
      <c r="AE839" s="18" t="inlineStr"/>
      <c r="AF839" s="18" t="inlineStr"/>
      <c r="AG839" s="18" t="inlineStr"/>
      <c r="AH839" s="18" t="inlineStr"/>
      <c r="AI839" s="18" t="inlineStr"/>
      <c r="AJ839" s="18" t="inlineStr">
        <is>
          <t>COBBLEVERSE 수정</t>
        </is>
      </c>
      <c r="AK839" s="18" t="inlineStr">
        <is>
          <t>사용</t>
        </is>
      </c>
      <c r="AL839" s="18" t="inlineStr">
        <is>
          <t>COBBLEVERSE 1.7.42 / DP v31</t>
        </is>
      </c>
      <c r="AM839" s="18" t="inlineStr">
        <is>
          <t>data/cobblemon/spawn_pool_world/0201_unown.json</t>
        </is>
      </c>
      <c r="AN839" s="18" t="inlineStr">
        <is>
          <t>unown-b-3</t>
        </is>
      </c>
      <c r="AO839" s="18" t="inlineStr">
        <is>
          <t>pokemon</t>
        </is>
      </c>
      <c r="AP839" s="18" t="inlineStr">
        <is>
          <t>trail_ruins</t>
        </is>
      </c>
      <c r="AQ839" s="18" t="inlineStr">
        <is>
          <t>{"biomes":["#cobblemon:is_overworld"],"minY":48}</t>
        </is>
      </c>
      <c r="AR839" s="18" t="inlineStr"/>
      <c r="AS839" s="18" t="inlineStr"/>
      <c r="AT839" s="19" t="inlineStr"/>
    </row>
    <row r="840" ht="32" customHeight="1">
      <c r="A840" s="18" t="inlineStr">
        <is>
          <t>0201_unown.json::unown-c-3::031</t>
        </is>
      </c>
      <c r="B840" s="19" t="inlineStr">
        <is>
          <t>사용</t>
        </is>
      </c>
      <c r="C840" s="18">
        <f>IF(OR(B840&lt;&gt;AK840,M840&lt;&gt;L840,O840&lt;&gt;"",Q840&lt;&gt;"",V840&lt;&gt;1,Y840&lt;&gt;"",AT840&lt;&gt;""),"수정","원본")</f>
        <v/>
      </c>
      <c r="D840" s="18" t="n">
        <v>201</v>
      </c>
      <c r="E840" s="18" t="inlineStr">
        <is>
          <t>안농</t>
        </is>
      </c>
      <c r="F840" s="18" t="inlineStr">
        <is>
          <t>unown</t>
        </is>
      </c>
      <c r="G840" s="18" t="inlineStr">
        <is>
          <t>unown character=c</t>
        </is>
      </c>
      <c r="H840" s="18" t="inlineStr">
        <is>
          <t>character=c</t>
        </is>
      </c>
      <c r="I840" s="18" t="n">
        <v>2</v>
      </c>
      <c r="J840" s="18" t="n"/>
      <c r="K840" s="18" t="n">
        <v>2</v>
      </c>
      <c r="L840" s="18" t="inlineStr">
        <is>
          <t>cobbleventure:generation_2</t>
        </is>
      </c>
      <c r="M840" s="19" t="inlineStr">
        <is>
          <t>cobbleventure:generation_2</t>
        </is>
      </c>
      <c r="N840" s="18" t="inlineStr">
        <is>
          <t>region_01; region_02</t>
        </is>
      </c>
      <c r="O840" s="19" t="inlineStr"/>
      <c r="P840" s="18" t="inlineStr">
        <is>
          <t>#cobblemon:is_overworld</t>
        </is>
      </c>
      <c r="Q840" s="19" t="inlineStr"/>
      <c r="R840" s="18">
        <f>IF(Q840="",P840,Q840)</f>
        <v/>
      </c>
      <c r="S840" s="18" t="inlineStr"/>
      <c r="T840" s="18" t="inlineStr">
        <is>
          <t>common</t>
        </is>
      </c>
      <c r="U840" s="20" t="n">
        <v>0.754</v>
      </c>
      <c r="V840" s="21" t="n">
        <v>1</v>
      </c>
      <c r="W840" s="20">
        <f>IF(OR(U840="",V840=""),U840,U840*V840)</f>
        <v/>
      </c>
      <c r="X840" s="18" t="inlineStr">
        <is>
          <t>1-100</t>
        </is>
      </c>
      <c r="Y840" s="19" t="inlineStr"/>
      <c r="Z840" s="18">
        <f>IF(Y840="",X840,Y840)</f>
        <v/>
      </c>
      <c r="AA840" s="18" t="inlineStr">
        <is>
          <t>grounded</t>
        </is>
      </c>
      <c r="AB840" s="18" t="inlineStr"/>
      <c r="AC840" s="18" t="inlineStr"/>
      <c r="AD840" s="18" t="inlineStr">
        <is>
          <t>minY=48</t>
        </is>
      </c>
      <c r="AE840" s="18" t="inlineStr"/>
      <c r="AF840" s="18" t="inlineStr"/>
      <c r="AG840" s="18" t="inlineStr"/>
      <c r="AH840" s="18" t="inlineStr"/>
      <c r="AI840" s="18" t="inlineStr"/>
      <c r="AJ840" s="18" t="inlineStr">
        <is>
          <t>COBBLEVERSE 수정</t>
        </is>
      </c>
      <c r="AK840" s="18" t="inlineStr">
        <is>
          <t>사용</t>
        </is>
      </c>
      <c r="AL840" s="18" t="inlineStr">
        <is>
          <t>COBBLEVERSE 1.7.42 / DP v31</t>
        </is>
      </c>
      <c r="AM840" s="18" t="inlineStr">
        <is>
          <t>data/cobblemon/spawn_pool_world/0201_unown.json</t>
        </is>
      </c>
      <c r="AN840" s="18" t="inlineStr">
        <is>
          <t>unown-c-3</t>
        </is>
      </c>
      <c r="AO840" s="18" t="inlineStr">
        <is>
          <t>pokemon</t>
        </is>
      </c>
      <c r="AP840" s="18" t="inlineStr">
        <is>
          <t>trail_ruins</t>
        </is>
      </c>
      <c r="AQ840" s="18" t="inlineStr">
        <is>
          <t>{"biomes":["#cobblemon:is_overworld"],"minY":48}</t>
        </is>
      </c>
      <c r="AR840" s="18" t="inlineStr"/>
      <c r="AS840" s="18" t="inlineStr"/>
      <c r="AT840" s="19" t="inlineStr"/>
    </row>
    <row r="841" ht="32" customHeight="1">
      <c r="A841" s="18" t="inlineStr">
        <is>
          <t>0201_unown.json::unown-d-3::032</t>
        </is>
      </c>
      <c r="B841" s="19" t="inlineStr">
        <is>
          <t>사용</t>
        </is>
      </c>
      <c r="C841" s="18">
        <f>IF(OR(B841&lt;&gt;AK841,M841&lt;&gt;L841,O841&lt;&gt;"",Q841&lt;&gt;"",V841&lt;&gt;1,Y841&lt;&gt;"",AT841&lt;&gt;""),"수정","원본")</f>
        <v/>
      </c>
      <c r="D841" s="18" t="n">
        <v>201</v>
      </c>
      <c r="E841" s="18" t="inlineStr">
        <is>
          <t>안농</t>
        </is>
      </c>
      <c r="F841" s="18" t="inlineStr">
        <is>
          <t>unown</t>
        </is>
      </c>
      <c r="G841" s="18" t="inlineStr">
        <is>
          <t>unown character=d</t>
        </is>
      </c>
      <c r="H841" s="18" t="inlineStr">
        <is>
          <t>character=d</t>
        </is>
      </c>
      <c r="I841" s="18" t="n">
        <v>2</v>
      </c>
      <c r="J841" s="18" t="n"/>
      <c r="K841" s="18" t="n">
        <v>2</v>
      </c>
      <c r="L841" s="18" t="inlineStr">
        <is>
          <t>cobbleventure:generation_2</t>
        </is>
      </c>
      <c r="M841" s="19" t="inlineStr">
        <is>
          <t>cobbleventure:generation_2</t>
        </is>
      </c>
      <c r="N841" s="18" t="inlineStr">
        <is>
          <t>region_01; region_02</t>
        </is>
      </c>
      <c r="O841" s="19" t="inlineStr"/>
      <c r="P841" s="18" t="inlineStr">
        <is>
          <t>#cobblemon:is_overworld</t>
        </is>
      </c>
      <c r="Q841" s="19" t="inlineStr"/>
      <c r="R841" s="18">
        <f>IF(Q841="",P841,Q841)</f>
        <v/>
      </c>
      <c r="S841" s="18" t="inlineStr"/>
      <c r="T841" s="18" t="inlineStr">
        <is>
          <t>common</t>
        </is>
      </c>
      <c r="U841" s="20" t="n">
        <v>0.754</v>
      </c>
      <c r="V841" s="21" t="n">
        <v>1</v>
      </c>
      <c r="W841" s="20">
        <f>IF(OR(U841="",V841=""),U841,U841*V841)</f>
        <v/>
      </c>
      <c r="X841" s="18" t="inlineStr">
        <is>
          <t>1-100</t>
        </is>
      </c>
      <c r="Y841" s="19" t="inlineStr"/>
      <c r="Z841" s="18">
        <f>IF(Y841="",X841,Y841)</f>
        <v/>
      </c>
      <c r="AA841" s="18" t="inlineStr">
        <is>
          <t>grounded</t>
        </is>
      </c>
      <c r="AB841" s="18" t="inlineStr"/>
      <c r="AC841" s="18" t="inlineStr"/>
      <c r="AD841" s="18" t="inlineStr">
        <is>
          <t>minY=48</t>
        </is>
      </c>
      <c r="AE841" s="18" t="inlineStr"/>
      <c r="AF841" s="18" t="inlineStr"/>
      <c r="AG841" s="18" t="inlineStr"/>
      <c r="AH841" s="18" t="inlineStr"/>
      <c r="AI841" s="18" t="inlineStr"/>
      <c r="AJ841" s="18" t="inlineStr">
        <is>
          <t>COBBLEVERSE 수정</t>
        </is>
      </c>
      <c r="AK841" s="18" t="inlineStr">
        <is>
          <t>사용</t>
        </is>
      </c>
      <c r="AL841" s="18" t="inlineStr">
        <is>
          <t>COBBLEVERSE 1.7.42 / DP v31</t>
        </is>
      </c>
      <c r="AM841" s="18" t="inlineStr">
        <is>
          <t>data/cobblemon/spawn_pool_world/0201_unown.json</t>
        </is>
      </c>
      <c r="AN841" s="18" t="inlineStr">
        <is>
          <t>unown-d-3</t>
        </is>
      </c>
      <c r="AO841" s="18" t="inlineStr">
        <is>
          <t>pokemon</t>
        </is>
      </c>
      <c r="AP841" s="18" t="inlineStr">
        <is>
          <t>trail_ruins</t>
        </is>
      </c>
      <c r="AQ841" s="18" t="inlineStr">
        <is>
          <t>{"biomes":["#cobblemon:is_overworld"],"minY":48}</t>
        </is>
      </c>
      <c r="AR841" s="18" t="inlineStr"/>
      <c r="AS841" s="18" t="inlineStr"/>
      <c r="AT841" s="19" t="inlineStr"/>
    </row>
    <row r="842" ht="32" customHeight="1">
      <c r="A842" s="18" t="inlineStr">
        <is>
          <t>0201_unown.json::unown-e-3::033</t>
        </is>
      </c>
      <c r="B842" s="19" t="inlineStr">
        <is>
          <t>사용</t>
        </is>
      </c>
      <c r="C842" s="18">
        <f>IF(OR(B842&lt;&gt;AK842,M842&lt;&gt;L842,O842&lt;&gt;"",Q842&lt;&gt;"",V842&lt;&gt;1,Y842&lt;&gt;"",AT842&lt;&gt;""),"수정","원본")</f>
        <v/>
      </c>
      <c r="D842" s="18" t="n">
        <v>201</v>
      </c>
      <c r="E842" s="18" t="inlineStr">
        <is>
          <t>안농</t>
        </is>
      </c>
      <c r="F842" s="18" t="inlineStr">
        <is>
          <t>unown</t>
        </is>
      </c>
      <c r="G842" s="18" t="inlineStr">
        <is>
          <t>unown character=e</t>
        </is>
      </c>
      <c r="H842" s="18" t="inlineStr">
        <is>
          <t>character=e</t>
        </is>
      </c>
      <c r="I842" s="18" t="n">
        <v>2</v>
      </c>
      <c r="J842" s="18" t="n"/>
      <c r="K842" s="18" t="n">
        <v>2</v>
      </c>
      <c r="L842" s="18" t="inlineStr">
        <is>
          <t>cobbleventure:generation_2</t>
        </is>
      </c>
      <c r="M842" s="19" t="inlineStr">
        <is>
          <t>cobbleventure:generation_2</t>
        </is>
      </c>
      <c r="N842" s="18" t="inlineStr">
        <is>
          <t>region_01; region_02</t>
        </is>
      </c>
      <c r="O842" s="19" t="inlineStr"/>
      <c r="P842" s="18" t="inlineStr">
        <is>
          <t>#cobblemon:is_overworld</t>
        </is>
      </c>
      <c r="Q842" s="19" t="inlineStr"/>
      <c r="R842" s="18">
        <f>IF(Q842="",P842,Q842)</f>
        <v/>
      </c>
      <c r="S842" s="18" t="inlineStr"/>
      <c r="T842" s="18" t="inlineStr">
        <is>
          <t>common</t>
        </is>
      </c>
      <c r="U842" s="20" t="n">
        <v>0.754</v>
      </c>
      <c r="V842" s="21" t="n">
        <v>1</v>
      </c>
      <c r="W842" s="20">
        <f>IF(OR(U842="",V842=""),U842,U842*V842)</f>
        <v/>
      </c>
      <c r="X842" s="18" t="inlineStr">
        <is>
          <t>1-100</t>
        </is>
      </c>
      <c r="Y842" s="19" t="inlineStr"/>
      <c r="Z842" s="18">
        <f>IF(Y842="",X842,Y842)</f>
        <v/>
      </c>
      <c r="AA842" s="18" t="inlineStr">
        <is>
          <t>grounded</t>
        </is>
      </c>
      <c r="AB842" s="18" t="inlineStr"/>
      <c r="AC842" s="18" t="inlineStr"/>
      <c r="AD842" s="18" t="inlineStr">
        <is>
          <t>minY=48</t>
        </is>
      </c>
      <c r="AE842" s="18" t="inlineStr"/>
      <c r="AF842" s="18" t="inlineStr"/>
      <c r="AG842" s="18" t="inlineStr"/>
      <c r="AH842" s="18" t="inlineStr"/>
      <c r="AI842" s="18" t="inlineStr"/>
      <c r="AJ842" s="18" t="inlineStr">
        <is>
          <t>COBBLEVERSE 수정</t>
        </is>
      </c>
      <c r="AK842" s="18" t="inlineStr">
        <is>
          <t>사용</t>
        </is>
      </c>
      <c r="AL842" s="18" t="inlineStr">
        <is>
          <t>COBBLEVERSE 1.7.42 / DP v31</t>
        </is>
      </c>
      <c r="AM842" s="18" t="inlineStr">
        <is>
          <t>data/cobblemon/spawn_pool_world/0201_unown.json</t>
        </is>
      </c>
      <c r="AN842" s="18" t="inlineStr">
        <is>
          <t>unown-e-3</t>
        </is>
      </c>
      <c r="AO842" s="18" t="inlineStr">
        <is>
          <t>pokemon</t>
        </is>
      </c>
      <c r="AP842" s="18" t="inlineStr">
        <is>
          <t>trail_ruins</t>
        </is>
      </c>
      <c r="AQ842" s="18" t="inlineStr">
        <is>
          <t>{"biomes":["#cobblemon:is_overworld"],"minY":48}</t>
        </is>
      </c>
      <c r="AR842" s="18" t="inlineStr"/>
      <c r="AS842" s="18" t="inlineStr"/>
      <c r="AT842" s="19" t="inlineStr"/>
    </row>
    <row r="843" ht="32" customHeight="1">
      <c r="A843" s="18" t="inlineStr">
        <is>
          <t>0201_unown.json::unown-f-3::034</t>
        </is>
      </c>
      <c r="B843" s="19" t="inlineStr">
        <is>
          <t>사용</t>
        </is>
      </c>
      <c r="C843" s="18">
        <f>IF(OR(B843&lt;&gt;AK843,M843&lt;&gt;L843,O843&lt;&gt;"",Q843&lt;&gt;"",V843&lt;&gt;1,Y843&lt;&gt;"",AT843&lt;&gt;""),"수정","원본")</f>
        <v/>
      </c>
      <c r="D843" s="18" t="n">
        <v>201</v>
      </c>
      <c r="E843" s="18" t="inlineStr">
        <is>
          <t>안농</t>
        </is>
      </c>
      <c r="F843" s="18" t="inlineStr">
        <is>
          <t>unown</t>
        </is>
      </c>
      <c r="G843" s="18" t="inlineStr">
        <is>
          <t>unown character=f</t>
        </is>
      </c>
      <c r="H843" s="18" t="inlineStr">
        <is>
          <t>character=f</t>
        </is>
      </c>
      <c r="I843" s="18" t="n">
        <v>2</v>
      </c>
      <c r="J843" s="18" t="n"/>
      <c r="K843" s="18" t="n">
        <v>2</v>
      </c>
      <c r="L843" s="18" t="inlineStr">
        <is>
          <t>cobbleventure:generation_2</t>
        </is>
      </c>
      <c r="M843" s="19" t="inlineStr">
        <is>
          <t>cobbleventure:generation_2</t>
        </is>
      </c>
      <c r="N843" s="18" t="inlineStr">
        <is>
          <t>region_01; region_02</t>
        </is>
      </c>
      <c r="O843" s="19" t="inlineStr"/>
      <c r="P843" s="18" t="inlineStr">
        <is>
          <t>#cobblemon:is_overworld</t>
        </is>
      </c>
      <c r="Q843" s="19" t="inlineStr"/>
      <c r="R843" s="18">
        <f>IF(Q843="",P843,Q843)</f>
        <v/>
      </c>
      <c r="S843" s="18" t="inlineStr"/>
      <c r="T843" s="18" t="inlineStr">
        <is>
          <t>common</t>
        </is>
      </c>
      <c r="U843" s="20" t="n">
        <v>0.754</v>
      </c>
      <c r="V843" s="21" t="n">
        <v>1</v>
      </c>
      <c r="W843" s="20">
        <f>IF(OR(U843="",V843=""),U843,U843*V843)</f>
        <v/>
      </c>
      <c r="X843" s="18" t="inlineStr">
        <is>
          <t>1-100</t>
        </is>
      </c>
      <c r="Y843" s="19" t="inlineStr"/>
      <c r="Z843" s="18">
        <f>IF(Y843="",X843,Y843)</f>
        <v/>
      </c>
      <c r="AA843" s="18" t="inlineStr">
        <is>
          <t>grounded</t>
        </is>
      </c>
      <c r="AB843" s="18" t="inlineStr"/>
      <c r="AC843" s="18" t="inlineStr"/>
      <c r="AD843" s="18" t="inlineStr">
        <is>
          <t>minY=48</t>
        </is>
      </c>
      <c r="AE843" s="18" t="inlineStr"/>
      <c r="AF843" s="18" t="inlineStr"/>
      <c r="AG843" s="18" t="inlineStr"/>
      <c r="AH843" s="18" t="inlineStr"/>
      <c r="AI843" s="18" t="inlineStr"/>
      <c r="AJ843" s="18" t="inlineStr">
        <is>
          <t>COBBLEVERSE 수정</t>
        </is>
      </c>
      <c r="AK843" s="18" t="inlineStr">
        <is>
          <t>사용</t>
        </is>
      </c>
      <c r="AL843" s="18" t="inlineStr">
        <is>
          <t>COBBLEVERSE 1.7.42 / DP v31</t>
        </is>
      </c>
      <c r="AM843" s="18" t="inlineStr">
        <is>
          <t>data/cobblemon/spawn_pool_world/0201_unown.json</t>
        </is>
      </c>
      <c r="AN843" s="18" t="inlineStr">
        <is>
          <t>unown-f-3</t>
        </is>
      </c>
      <c r="AO843" s="18" t="inlineStr">
        <is>
          <t>pokemon</t>
        </is>
      </c>
      <c r="AP843" s="18" t="inlineStr">
        <is>
          <t>trail_ruins</t>
        </is>
      </c>
      <c r="AQ843" s="18" t="inlineStr">
        <is>
          <t>{"biomes":["#cobblemon:is_overworld"],"minY":48}</t>
        </is>
      </c>
      <c r="AR843" s="18" t="inlineStr"/>
      <c r="AS843" s="18" t="inlineStr"/>
      <c r="AT843" s="19" t="inlineStr"/>
    </row>
    <row r="844" ht="32" customHeight="1">
      <c r="A844" s="18" t="inlineStr">
        <is>
          <t>0201_unown.json::unown-g-3::035</t>
        </is>
      </c>
      <c r="B844" s="19" t="inlineStr">
        <is>
          <t>사용</t>
        </is>
      </c>
      <c r="C844" s="18">
        <f>IF(OR(B844&lt;&gt;AK844,M844&lt;&gt;L844,O844&lt;&gt;"",Q844&lt;&gt;"",V844&lt;&gt;1,Y844&lt;&gt;"",AT844&lt;&gt;""),"수정","원본")</f>
        <v/>
      </c>
      <c r="D844" s="18" t="n">
        <v>201</v>
      </c>
      <c r="E844" s="18" t="inlineStr">
        <is>
          <t>안농</t>
        </is>
      </c>
      <c r="F844" s="18" t="inlineStr">
        <is>
          <t>unown</t>
        </is>
      </c>
      <c r="G844" s="18" t="inlineStr">
        <is>
          <t>unown character=g</t>
        </is>
      </c>
      <c r="H844" s="18" t="inlineStr">
        <is>
          <t>character=g</t>
        </is>
      </c>
      <c r="I844" s="18" t="n">
        <v>2</v>
      </c>
      <c r="J844" s="18" t="n"/>
      <c r="K844" s="18" t="n">
        <v>2</v>
      </c>
      <c r="L844" s="18" t="inlineStr">
        <is>
          <t>cobbleventure:generation_2</t>
        </is>
      </c>
      <c r="M844" s="19" t="inlineStr">
        <is>
          <t>cobbleventure:generation_2</t>
        </is>
      </c>
      <c r="N844" s="18" t="inlineStr">
        <is>
          <t>region_01; region_02</t>
        </is>
      </c>
      <c r="O844" s="19" t="inlineStr"/>
      <c r="P844" s="18" t="inlineStr">
        <is>
          <t>#cobblemon:is_overworld</t>
        </is>
      </c>
      <c r="Q844" s="19" t="inlineStr"/>
      <c r="R844" s="18">
        <f>IF(Q844="",P844,Q844)</f>
        <v/>
      </c>
      <c r="S844" s="18" t="inlineStr"/>
      <c r="T844" s="18" t="inlineStr">
        <is>
          <t>common</t>
        </is>
      </c>
      <c r="U844" s="20" t="n">
        <v>0.754</v>
      </c>
      <c r="V844" s="21" t="n">
        <v>1</v>
      </c>
      <c r="W844" s="20">
        <f>IF(OR(U844="",V844=""),U844,U844*V844)</f>
        <v/>
      </c>
      <c r="X844" s="18" t="inlineStr">
        <is>
          <t>1-100</t>
        </is>
      </c>
      <c r="Y844" s="19" t="inlineStr"/>
      <c r="Z844" s="18">
        <f>IF(Y844="",X844,Y844)</f>
        <v/>
      </c>
      <c r="AA844" s="18" t="inlineStr">
        <is>
          <t>grounded</t>
        </is>
      </c>
      <c r="AB844" s="18" t="inlineStr"/>
      <c r="AC844" s="18" t="inlineStr"/>
      <c r="AD844" s="18" t="inlineStr">
        <is>
          <t>minY=48</t>
        </is>
      </c>
      <c r="AE844" s="18" t="inlineStr"/>
      <c r="AF844" s="18" t="inlineStr"/>
      <c r="AG844" s="18" t="inlineStr"/>
      <c r="AH844" s="18" t="inlineStr"/>
      <c r="AI844" s="18" t="inlineStr"/>
      <c r="AJ844" s="18" t="inlineStr">
        <is>
          <t>COBBLEVERSE 수정</t>
        </is>
      </c>
      <c r="AK844" s="18" t="inlineStr">
        <is>
          <t>사용</t>
        </is>
      </c>
      <c r="AL844" s="18" t="inlineStr">
        <is>
          <t>COBBLEVERSE 1.7.42 / DP v31</t>
        </is>
      </c>
      <c r="AM844" s="18" t="inlineStr">
        <is>
          <t>data/cobblemon/spawn_pool_world/0201_unown.json</t>
        </is>
      </c>
      <c r="AN844" s="18" t="inlineStr">
        <is>
          <t>unown-g-3</t>
        </is>
      </c>
      <c r="AO844" s="18" t="inlineStr">
        <is>
          <t>pokemon</t>
        </is>
      </c>
      <c r="AP844" s="18" t="inlineStr">
        <is>
          <t>trail_ruins</t>
        </is>
      </c>
      <c r="AQ844" s="18" t="inlineStr">
        <is>
          <t>{"biomes":["#cobblemon:is_overworld"],"minY":48}</t>
        </is>
      </c>
      <c r="AR844" s="18" t="inlineStr"/>
      <c r="AS844" s="18" t="inlineStr"/>
      <c r="AT844" s="19" t="inlineStr"/>
    </row>
    <row r="845" ht="32" customHeight="1">
      <c r="A845" s="18" t="inlineStr">
        <is>
          <t>0201_unown.json::unown-h-3::036</t>
        </is>
      </c>
      <c r="B845" s="19" t="inlineStr">
        <is>
          <t>사용</t>
        </is>
      </c>
      <c r="C845" s="18">
        <f>IF(OR(B845&lt;&gt;AK845,M845&lt;&gt;L845,O845&lt;&gt;"",Q845&lt;&gt;"",V845&lt;&gt;1,Y845&lt;&gt;"",AT845&lt;&gt;""),"수정","원본")</f>
        <v/>
      </c>
      <c r="D845" s="18" t="n">
        <v>201</v>
      </c>
      <c r="E845" s="18" t="inlineStr">
        <is>
          <t>안농</t>
        </is>
      </c>
      <c r="F845" s="18" t="inlineStr">
        <is>
          <t>unown</t>
        </is>
      </c>
      <c r="G845" s="18" t="inlineStr">
        <is>
          <t>unown character=h</t>
        </is>
      </c>
      <c r="H845" s="18" t="inlineStr">
        <is>
          <t>character=h</t>
        </is>
      </c>
      <c r="I845" s="18" t="n">
        <v>2</v>
      </c>
      <c r="J845" s="18" t="n"/>
      <c r="K845" s="18" t="n">
        <v>2</v>
      </c>
      <c r="L845" s="18" t="inlineStr">
        <is>
          <t>cobbleventure:generation_2</t>
        </is>
      </c>
      <c r="M845" s="19" t="inlineStr">
        <is>
          <t>cobbleventure:generation_2</t>
        </is>
      </c>
      <c r="N845" s="18" t="inlineStr">
        <is>
          <t>region_01; region_02</t>
        </is>
      </c>
      <c r="O845" s="19" t="inlineStr"/>
      <c r="P845" s="18" t="inlineStr">
        <is>
          <t>#cobblemon:is_overworld</t>
        </is>
      </c>
      <c r="Q845" s="19" t="inlineStr"/>
      <c r="R845" s="18">
        <f>IF(Q845="",P845,Q845)</f>
        <v/>
      </c>
      <c r="S845" s="18" t="inlineStr"/>
      <c r="T845" s="18" t="inlineStr">
        <is>
          <t>common</t>
        </is>
      </c>
      <c r="U845" s="20" t="n">
        <v>0.754</v>
      </c>
      <c r="V845" s="21" t="n">
        <v>1</v>
      </c>
      <c r="W845" s="20">
        <f>IF(OR(U845="",V845=""),U845,U845*V845)</f>
        <v/>
      </c>
      <c r="X845" s="18" t="inlineStr">
        <is>
          <t>1-100</t>
        </is>
      </c>
      <c r="Y845" s="19" t="inlineStr"/>
      <c r="Z845" s="18">
        <f>IF(Y845="",X845,Y845)</f>
        <v/>
      </c>
      <c r="AA845" s="18" t="inlineStr">
        <is>
          <t>grounded</t>
        </is>
      </c>
      <c r="AB845" s="18" t="inlineStr"/>
      <c r="AC845" s="18" t="inlineStr"/>
      <c r="AD845" s="18" t="inlineStr">
        <is>
          <t>minY=48</t>
        </is>
      </c>
      <c r="AE845" s="18" t="inlineStr"/>
      <c r="AF845" s="18" t="inlineStr"/>
      <c r="AG845" s="18" t="inlineStr"/>
      <c r="AH845" s="18" t="inlineStr"/>
      <c r="AI845" s="18" t="inlineStr"/>
      <c r="AJ845" s="18" t="inlineStr">
        <is>
          <t>COBBLEVERSE 수정</t>
        </is>
      </c>
      <c r="AK845" s="18" t="inlineStr">
        <is>
          <t>사용</t>
        </is>
      </c>
      <c r="AL845" s="18" t="inlineStr">
        <is>
          <t>COBBLEVERSE 1.7.42 / DP v31</t>
        </is>
      </c>
      <c r="AM845" s="18" t="inlineStr">
        <is>
          <t>data/cobblemon/spawn_pool_world/0201_unown.json</t>
        </is>
      </c>
      <c r="AN845" s="18" t="inlineStr">
        <is>
          <t>unown-h-3</t>
        </is>
      </c>
      <c r="AO845" s="18" t="inlineStr">
        <is>
          <t>pokemon</t>
        </is>
      </c>
      <c r="AP845" s="18" t="inlineStr">
        <is>
          <t>trail_ruins</t>
        </is>
      </c>
      <c r="AQ845" s="18" t="inlineStr">
        <is>
          <t>{"biomes":["#cobblemon:is_overworld"],"minY":48}</t>
        </is>
      </c>
      <c r="AR845" s="18" t="inlineStr"/>
      <c r="AS845" s="18" t="inlineStr"/>
      <c r="AT845" s="19" t="inlineStr"/>
    </row>
    <row r="846" ht="32" customHeight="1">
      <c r="A846" s="18" t="inlineStr">
        <is>
          <t>0201_unown.json::unown-i-3::037</t>
        </is>
      </c>
      <c r="B846" s="19" t="inlineStr">
        <is>
          <t>사용</t>
        </is>
      </c>
      <c r="C846" s="18">
        <f>IF(OR(B846&lt;&gt;AK846,M846&lt;&gt;L846,O846&lt;&gt;"",Q846&lt;&gt;"",V846&lt;&gt;1,Y846&lt;&gt;"",AT846&lt;&gt;""),"수정","원본")</f>
        <v/>
      </c>
      <c r="D846" s="18" t="n">
        <v>201</v>
      </c>
      <c r="E846" s="18" t="inlineStr">
        <is>
          <t>안농</t>
        </is>
      </c>
      <c r="F846" s="18" t="inlineStr">
        <is>
          <t>unown</t>
        </is>
      </c>
      <c r="G846" s="18" t="inlineStr">
        <is>
          <t>unown character=i</t>
        </is>
      </c>
      <c r="H846" s="18" t="inlineStr">
        <is>
          <t>character=i</t>
        </is>
      </c>
      <c r="I846" s="18" t="n">
        <v>2</v>
      </c>
      <c r="J846" s="18" t="n"/>
      <c r="K846" s="18" t="n">
        <v>2</v>
      </c>
      <c r="L846" s="18" t="inlineStr">
        <is>
          <t>cobbleventure:generation_2</t>
        </is>
      </c>
      <c r="M846" s="19" t="inlineStr">
        <is>
          <t>cobbleventure:generation_2</t>
        </is>
      </c>
      <c r="N846" s="18" t="inlineStr">
        <is>
          <t>region_01; region_02</t>
        </is>
      </c>
      <c r="O846" s="19" t="inlineStr"/>
      <c r="P846" s="18" t="inlineStr">
        <is>
          <t>#cobblemon:is_overworld</t>
        </is>
      </c>
      <c r="Q846" s="19" t="inlineStr"/>
      <c r="R846" s="18">
        <f>IF(Q846="",P846,Q846)</f>
        <v/>
      </c>
      <c r="S846" s="18" t="inlineStr"/>
      <c r="T846" s="18" t="inlineStr">
        <is>
          <t>common</t>
        </is>
      </c>
      <c r="U846" s="20" t="n">
        <v>0.754</v>
      </c>
      <c r="V846" s="21" t="n">
        <v>1</v>
      </c>
      <c r="W846" s="20">
        <f>IF(OR(U846="",V846=""),U846,U846*V846)</f>
        <v/>
      </c>
      <c r="X846" s="18" t="inlineStr">
        <is>
          <t>1-100</t>
        </is>
      </c>
      <c r="Y846" s="19" t="inlineStr"/>
      <c r="Z846" s="18">
        <f>IF(Y846="",X846,Y846)</f>
        <v/>
      </c>
      <c r="AA846" s="18" t="inlineStr">
        <is>
          <t>grounded</t>
        </is>
      </c>
      <c r="AB846" s="18" t="inlineStr"/>
      <c r="AC846" s="18" t="inlineStr"/>
      <c r="AD846" s="18" t="inlineStr">
        <is>
          <t>minY=48</t>
        </is>
      </c>
      <c r="AE846" s="18" t="inlineStr"/>
      <c r="AF846" s="18" t="inlineStr"/>
      <c r="AG846" s="18" t="inlineStr"/>
      <c r="AH846" s="18" t="inlineStr"/>
      <c r="AI846" s="18" t="inlineStr"/>
      <c r="AJ846" s="18" t="inlineStr">
        <is>
          <t>COBBLEVERSE 수정</t>
        </is>
      </c>
      <c r="AK846" s="18" t="inlineStr">
        <is>
          <t>사용</t>
        </is>
      </c>
      <c r="AL846" s="18" t="inlineStr">
        <is>
          <t>COBBLEVERSE 1.7.42 / DP v31</t>
        </is>
      </c>
      <c r="AM846" s="18" t="inlineStr">
        <is>
          <t>data/cobblemon/spawn_pool_world/0201_unown.json</t>
        </is>
      </c>
      <c r="AN846" s="18" t="inlineStr">
        <is>
          <t>unown-i-3</t>
        </is>
      </c>
      <c r="AO846" s="18" t="inlineStr">
        <is>
          <t>pokemon</t>
        </is>
      </c>
      <c r="AP846" s="18" t="inlineStr">
        <is>
          <t>trail_ruins</t>
        </is>
      </c>
      <c r="AQ846" s="18" t="inlineStr">
        <is>
          <t>{"biomes":["#cobblemon:is_overworld"],"minY":48}</t>
        </is>
      </c>
      <c r="AR846" s="18" t="inlineStr"/>
      <c r="AS846" s="18" t="inlineStr"/>
      <c r="AT846" s="19" t="inlineStr"/>
    </row>
    <row r="847" ht="32" customHeight="1">
      <c r="A847" s="18" t="inlineStr">
        <is>
          <t>0201_unown.json::unown-j-3::038</t>
        </is>
      </c>
      <c r="B847" s="19" t="inlineStr">
        <is>
          <t>사용</t>
        </is>
      </c>
      <c r="C847" s="18">
        <f>IF(OR(B847&lt;&gt;AK847,M847&lt;&gt;L847,O847&lt;&gt;"",Q847&lt;&gt;"",V847&lt;&gt;1,Y847&lt;&gt;"",AT847&lt;&gt;""),"수정","원본")</f>
        <v/>
      </c>
      <c r="D847" s="18" t="n">
        <v>201</v>
      </c>
      <c r="E847" s="18" t="inlineStr">
        <is>
          <t>안농</t>
        </is>
      </c>
      <c r="F847" s="18" t="inlineStr">
        <is>
          <t>unown</t>
        </is>
      </c>
      <c r="G847" s="18" t="inlineStr">
        <is>
          <t>unown character=j</t>
        </is>
      </c>
      <c r="H847" s="18" t="inlineStr">
        <is>
          <t>character=j</t>
        </is>
      </c>
      <c r="I847" s="18" t="n">
        <v>2</v>
      </c>
      <c r="J847" s="18" t="n"/>
      <c r="K847" s="18" t="n">
        <v>2</v>
      </c>
      <c r="L847" s="18" t="inlineStr">
        <is>
          <t>cobbleventure:generation_2</t>
        </is>
      </c>
      <c r="M847" s="19" t="inlineStr">
        <is>
          <t>cobbleventure:generation_2</t>
        </is>
      </c>
      <c r="N847" s="18" t="inlineStr">
        <is>
          <t>region_01; region_02</t>
        </is>
      </c>
      <c r="O847" s="19" t="inlineStr"/>
      <c r="P847" s="18" t="inlineStr">
        <is>
          <t>#cobblemon:is_overworld</t>
        </is>
      </c>
      <c r="Q847" s="19" t="inlineStr"/>
      <c r="R847" s="18">
        <f>IF(Q847="",P847,Q847)</f>
        <v/>
      </c>
      <c r="S847" s="18" t="inlineStr"/>
      <c r="T847" s="18" t="inlineStr">
        <is>
          <t>common</t>
        </is>
      </c>
      <c r="U847" s="20" t="n">
        <v>0.754</v>
      </c>
      <c r="V847" s="21" t="n">
        <v>1</v>
      </c>
      <c r="W847" s="20">
        <f>IF(OR(U847="",V847=""),U847,U847*V847)</f>
        <v/>
      </c>
      <c r="X847" s="18" t="inlineStr">
        <is>
          <t>1-100</t>
        </is>
      </c>
      <c r="Y847" s="19" t="inlineStr"/>
      <c r="Z847" s="18">
        <f>IF(Y847="",X847,Y847)</f>
        <v/>
      </c>
      <c r="AA847" s="18" t="inlineStr">
        <is>
          <t>grounded</t>
        </is>
      </c>
      <c r="AB847" s="18" t="inlineStr"/>
      <c r="AC847" s="18" t="inlineStr"/>
      <c r="AD847" s="18" t="inlineStr">
        <is>
          <t>minY=48</t>
        </is>
      </c>
      <c r="AE847" s="18" t="inlineStr"/>
      <c r="AF847" s="18" t="inlineStr"/>
      <c r="AG847" s="18" t="inlineStr"/>
      <c r="AH847" s="18" t="inlineStr"/>
      <c r="AI847" s="18" t="inlineStr"/>
      <c r="AJ847" s="18" t="inlineStr">
        <is>
          <t>COBBLEVERSE 수정</t>
        </is>
      </c>
      <c r="AK847" s="18" t="inlineStr">
        <is>
          <t>사용</t>
        </is>
      </c>
      <c r="AL847" s="18" t="inlineStr">
        <is>
          <t>COBBLEVERSE 1.7.42 / DP v31</t>
        </is>
      </c>
      <c r="AM847" s="18" t="inlineStr">
        <is>
          <t>data/cobblemon/spawn_pool_world/0201_unown.json</t>
        </is>
      </c>
      <c r="AN847" s="18" t="inlineStr">
        <is>
          <t>unown-j-3</t>
        </is>
      </c>
      <c r="AO847" s="18" t="inlineStr">
        <is>
          <t>pokemon</t>
        </is>
      </c>
      <c r="AP847" s="18" t="inlineStr">
        <is>
          <t>trail_ruins</t>
        </is>
      </c>
      <c r="AQ847" s="18" t="inlineStr">
        <is>
          <t>{"biomes":["#cobblemon:is_overworld"],"minY":48}</t>
        </is>
      </c>
      <c r="AR847" s="18" t="inlineStr"/>
      <c r="AS847" s="18" t="inlineStr"/>
      <c r="AT847" s="19" t="inlineStr"/>
    </row>
    <row r="848" ht="32" customHeight="1">
      <c r="A848" s="18" t="inlineStr">
        <is>
          <t>0201_unown.json::unown-k-3::039</t>
        </is>
      </c>
      <c r="B848" s="19" t="inlineStr">
        <is>
          <t>사용</t>
        </is>
      </c>
      <c r="C848" s="18">
        <f>IF(OR(B848&lt;&gt;AK848,M848&lt;&gt;L848,O848&lt;&gt;"",Q848&lt;&gt;"",V848&lt;&gt;1,Y848&lt;&gt;"",AT848&lt;&gt;""),"수정","원본")</f>
        <v/>
      </c>
      <c r="D848" s="18" t="n">
        <v>201</v>
      </c>
      <c r="E848" s="18" t="inlineStr">
        <is>
          <t>안농</t>
        </is>
      </c>
      <c r="F848" s="18" t="inlineStr">
        <is>
          <t>unown</t>
        </is>
      </c>
      <c r="G848" s="18" t="inlineStr">
        <is>
          <t>unown character=k</t>
        </is>
      </c>
      <c r="H848" s="18" t="inlineStr">
        <is>
          <t>character=k</t>
        </is>
      </c>
      <c r="I848" s="18" t="n">
        <v>2</v>
      </c>
      <c r="J848" s="18" t="n"/>
      <c r="K848" s="18" t="n">
        <v>2</v>
      </c>
      <c r="L848" s="18" t="inlineStr">
        <is>
          <t>cobbleventure:generation_2</t>
        </is>
      </c>
      <c r="M848" s="19" t="inlineStr">
        <is>
          <t>cobbleventure:generation_2</t>
        </is>
      </c>
      <c r="N848" s="18" t="inlineStr">
        <is>
          <t>region_01; region_02</t>
        </is>
      </c>
      <c r="O848" s="19" t="inlineStr"/>
      <c r="P848" s="18" t="inlineStr">
        <is>
          <t>#cobblemon:is_overworld</t>
        </is>
      </c>
      <c r="Q848" s="19" t="inlineStr"/>
      <c r="R848" s="18">
        <f>IF(Q848="",P848,Q848)</f>
        <v/>
      </c>
      <c r="S848" s="18" t="inlineStr"/>
      <c r="T848" s="18" t="inlineStr">
        <is>
          <t>common</t>
        </is>
      </c>
      <c r="U848" s="20" t="n">
        <v>0.754</v>
      </c>
      <c r="V848" s="21" t="n">
        <v>1</v>
      </c>
      <c r="W848" s="20">
        <f>IF(OR(U848="",V848=""),U848,U848*V848)</f>
        <v/>
      </c>
      <c r="X848" s="18" t="inlineStr">
        <is>
          <t>1-100</t>
        </is>
      </c>
      <c r="Y848" s="19" t="inlineStr"/>
      <c r="Z848" s="18">
        <f>IF(Y848="",X848,Y848)</f>
        <v/>
      </c>
      <c r="AA848" s="18" t="inlineStr">
        <is>
          <t>grounded</t>
        </is>
      </c>
      <c r="AB848" s="18" t="inlineStr"/>
      <c r="AC848" s="18" t="inlineStr"/>
      <c r="AD848" s="18" t="inlineStr">
        <is>
          <t>minY=48</t>
        </is>
      </c>
      <c r="AE848" s="18" t="inlineStr"/>
      <c r="AF848" s="18" t="inlineStr"/>
      <c r="AG848" s="18" t="inlineStr"/>
      <c r="AH848" s="18" t="inlineStr"/>
      <c r="AI848" s="18" t="inlineStr"/>
      <c r="AJ848" s="18" t="inlineStr">
        <is>
          <t>COBBLEVERSE 수정</t>
        </is>
      </c>
      <c r="AK848" s="18" t="inlineStr">
        <is>
          <t>사용</t>
        </is>
      </c>
      <c r="AL848" s="18" t="inlineStr">
        <is>
          <t>COBBLEVERSE 1.7.42 / DP v31</t>
        </is>
      </c>
      <c r="AM848" s="18" t="inlineStr">
        <is>
          <t>data/cobblemon/spawn_pool_world/0201_unown.json</t>
        </is>
      </c>
      <c r="AN848" s="18" t="inlineStr">
        <is>
          <t>unown-k-3</t>
        </is>
      </c>
      <c r="AO848" s="18" t="inlineStr">
        <is>
          <t>pokemon</t>
        </is>
      </c>
      <c r="AP848" s="18" t="inlineStr">
        <is>
          <t>trail_ruins</t>
        </is>
      </c>
      <c r="AQ848" s="18" t="inlineStr">
        <is>
          <t>{"biomes":["#cobblemon:is_overworld"],"minY":48}</t>
        </is>
      </c>
      <c r="AR848" s="18" t="inlineStr"/>
      <c r="AS848" s="18" t="inlineStr"/>
      <c r="AT848" s="19" t="inlineStr"/>
    </row>
    <row r="849" ht="32" customHeight="1">
      <c r="A849" s="18" t="inlineStr">
        <is>
          <t>0201_unown.json::unown-l-3::040</t>
        </is>
      </c>
      <c r="B849" s="19" t="inlineStr">
        <is>
          <t>사용</t>
        </is>
      </c>
      <c r="C849" s="18">
        <f>IF(OR(B849&lt;&gt;AK849,M849&lt;&gt;L849,O849&lt;&gt;"",Q849&lt;&gt;"",V849&lt;&gt;1,Y849&lt;&gt;"",AT849&lt;&gt;""),"수정","원본")</f>
        <v/>
      </c>
      <c r="D849" s="18" t="n">
        <v>201</v>
      </c>
      <c r="E849" s="18" t="inlineStr">
        <is>
          <t>안농</t>
        </is>
      </c>
      <c r="F849" s="18" t="inlineStr">
        <is>
          <t>unown</t>
        </is>
      </c>
      <c r="G849" s="18" t="inlineStr">
        <is>
          <t>unown character=l</t>
        </is>
      </c>
      <c r="H849" s="18" t="inlineStr">
        <is>
          <t>character=l</t>
        </is>
      </c>
      <c r="I849" s="18" t="n">
        <v>2</v>
      </c>
      <c r="J849" s="18" t="n"/>
      <c r="K849" s="18" t="n">
        <v>2</v>
      </c>
      <c r="L849" s="18" t="inlineStr">
        <is>
          <t>cobbleventure:generation_2</t>
        </is>
      </c>
      <c r="M849" s="19" t="inlineStr">
        <is>
          <t>cobbleventure:generation_2</t>
        </is>
      </c>
      <c r="N849" s="18" t="inlineStr">
        <is>
          <t>region_01; region_02</t>
        </is>
      </c>
      <c r="O849" s="19" t="inlineStr"/>
      <c r="P849" s="18" t="inlineStr">
        <is>
          <t>#cobblemon:is_overworld</t>
        </is>
      </c>
      <c r="Q849" s="19" t="inlineStr"/>
      <c r="R849" s="18">
        <f>IF(Q849="",P849,Q849)</f>
        <v/>
      </c>
      <c r="S849" s="18" t="inlineStr"/>
      <c r="T849" s="18" t="inlineStr">
        <is>
          <t>common</t>
        </is>
      </c>
      <c r="U849" s="20" t="n">
        <v>0.754</v>
      </c>
      <c r="V849" s="21" t="n">
        <v>1</v>
      </c>
      <c r="W849" s="20">
        <f>IF(OR(U849="",V849=""),U849,U849*V849)</f>
        <v/>
      </c>
      <c r="X849" s="18" t="inlineStr">
        <is>
          <t>1-100</t>
        </is>
      </c>
      <c r="Y849" s="19" t="inlineStr"/>
      <c r="Z849" s="18">
        <f>IF(Y849="",X849,Y849)</f>
        <v/>
      </c>
      <c r="AA849" s="18" t="inlineStr">
        <is>
          <t>grounded</t>
        </is>
      </c>
      <c r="AB849" s="18" t="inlineStr"/>
      <c r="AC849" s="18" t="inlineStr"/>
      <c r="AD849" s="18" t="inlineStr">
        <is>
          <t>minY=48</t>
        </is>
      </c>
      <c r="AE849" s="18" t="inlineStr"/>
      <c r="AF849" s="18" t="inlineStr"/>
      <c r="AG849" s="18" t="inlineStr"/>
      <c r="AH849" s="18" t="inlineStr"/>
      <c r="AI849" s="18" t="inlineStr"/>
      <c r="AJ849" s="18" t="inlineStr">
        <is>
          <t>COBBLEVERSE 수정</t>
        </is>
      </c>
      <c r="AK849" s="18" t="inlineStr">
        <is>
          <t>사용</t>
        </is>
      </c>
      <c r="AL849" s="18" t="inlineStr">
        <is>
          <t>COBBLEVERSE 1.7.42 / DP v31</t>
        </is>
      </c>
      <c r="AM849" s="18" t="inlineStr">
        <is>
          <t>data/cobblemon/spawn_pool_world/0201_unown.json</t>
        </is>
      </c>
      <c r="AN849" s="18" t="inlineStr">
        <is>
          <t>unown-l-3</t>
        </is>
      </c>
      <c r="AO849" s="18" t="inlineStr">
        <is>
          <t>pokemon</t>
        </is>
      </c>
      <c r="AP849" s="18" t="inlineStr">
        <is>
          <t>trail_ruins</t>
        </is>
      </c>
      <c r="AQ849" s="18" t="inlineStr">
        <is>
          <t>{"biomes":["#cobblemon:is_overworld"],"minY":48}</t>
        </is>
      </c>
      <c r="AR849" s="18" t="inlineStr"/>
      <c r="AS849" s="18" t="inlineStr"/>
      <c r="AT849" s="19" t="inlineStr"/>
    </row>
    <row r="850" ht="32" customHeight="1">
      <c r="A850" s="18" t="inlineStr">
        <is>
          <t>0201_unown.json::unown-m-3::041</t>
        </is>
      </c>
      <c r="B850" s="19" t="inlineStr">
        <is>
          <t>사용</t>
        </is>
      </c>
      <c r="C850" s="18">
        <f>IF(OR(B850&lt;&gt;AK850,M850&lt;&gt;L850,O850&lt;&gt;"",Q850&lt;&gt;"",V850&lt;&gt;1,Y850&lt;&gt;"",AT850&lt;&gt;""),"수정","원본")</f>
        <v/>
      </c>
      <c r="D850" s="18" t="n">
        <v>201</v>
      </c>
      <c r="E850" s="18" t="inlineStr">
        <is>
          <t>안농</t>
        </is>
      </c>
      <c r="F850" s="18" t="inlineStr">
        <is>
          <t>unown</t>
        </is>
      </c>
      <c r="G850" s="18" t="inlineStr">
        <is>
          <t>unown character=m</t>
        </is>
      </c>
      <c r="H850" s="18" t="inlineStr">
        <is>
          <t>character=m</t>
        </is>
      </c>
      <c r="I850" s="18" t="n">
        <v>2</v>
      </c>
      <c r="J850" s="18" t="n"/>
      <c r="K850" s="18" t="n">
        <v>2</v>
      </c>
      <c r="L850" s="18" t="inlineStr">
        <is>
          <t>cobbleventure:generation_2</t>
        </is>
      </c>
      <c r="M850" s="19" t="inlineStr">
        <is>
          <t>cobbleventure:generation_2</t>
        </is>
      </c>
      <c r="N850" s="18" t="inlineStr">
        <is>
          <t>region_01; region_02</t>
        </is>
      </c>
      <c r="O850" s="19" t="inlineStr"/>
      <c r="P850" s="18" t="inlineStr">
        <is>
          <t>#cobblemon:is_overworld</t>
        </is>
      </c>
      <c r="Q850" s="19" t="inlineStr"/>
      <c r="R850" s="18">
        <f>IF(Q850="",P850,Q850)</f>
        <v/>
      </c>
      <c r="S850" s="18" t="inlineStr"/>
      <c r="T850" s="18" t="inlineStr">
        <is>
          <t>common</t>
        </is>
      </c>
      <c r="U850" s="20" t="n">
        <v>0.754</v>
      </c>
      <c r="V850" s="21" t="n">
        <v>1</v>
      </c>
      <c r="W850" s="20">
        <f>IF(OR(U850="",V850=""),U850,U850*V850)</f>
        <v/>
      </c>
      <c r="X850" s="18" t="inlineStr">
        <is>
          <t>1-100</t>
        </is>
      </c>
      <c r="Y850" s="19" t="inlineStr"/>
      <c r="Z850" s="18">
        <f>IF(Y850="",X850,Y850)</f>
        <v/>
      </c>
      <c r="AA850" s="18" t="inlineStr">
        <is>
          <t>grounded</t>
        </is>
      </c>
      <c r="AB850" s="18" t="inlineStr"/>
      <c r="AC850" s="18" t="inlineStr"/>
      <c r="AD850" s="18" t="inlineStr">
        <is>
          <t>minY=48</t>
        </is>
      </c>
      <c r="AE850" s="18" t="inlineStr"/>
      <c r="AF850" s="18" t="inlineStr"/>
      <c r="AG850" s="18" t="inlineStr"/>
      <c r="AH850" s="18" t="inlineStr"/>
      <c r="AI850" s="18" t="inlineStr"/>
      <c r="AJ850" s="18" t="inlineStr">
        <is>
          <t>COBBLEVERSE 수정</t>
        </is>
      </c>
      <c r="AK850" s="18" t="inlineStr">
        <is>
          <t>사용</t>
        </is>
      </c>
      <c r="AL850" s="18" t="inlineStr">
        <is>
          <t>COBBLEVERSE 1.7.42 / DP v31</t>
        </is>
      </c>
      <c r="AM850" s="18" t="inlineStr">
        <is>
          <t>data/cobblemon/spawn_pool_world/0201_unown.json</t>
        </is>
      </c>
      <c r="AN850" s="18" t="inlineStr">
        <is>
          <t>unown-m-3</t>
        </is>
      </c>
      <c r="AO850" s="18" t="inlineStr">
        <is>
          <t>pokemon</t>
        </is>
      </c>
      <c r="AP850" s="18" t="inlineStr">
        <is>
          <t>trail_ruins</t>
        </is>
      </c>
      <c r="AQ850" s="18" t="inlineStr">
        <is>
          <t>{"biomes":["#cobblemon:is_overworld"],"minY":48}</t>
        </is>
      </c>
      <c r="AR850" s="18" t="inlineStr"/>
      <c r="AS850" s="18" t="inlineStr"/>
      <c r="AT850" s="19" t="inlineStr"/>
    </row>
    <row r="851" ht="32" customHeight="1">
      <c r="A851" s="18" t="inlineStr">
        <is>
          <t>0201_unown.json::unown-n-3::042</t>
        </is>
      </c>
      <c r="B851" s="19" t="inlineStr">
        <is>
          <t>사용</t>
        </is>
      </c>
      <c r="C851" s="18">
        <f>IF(OR(B851&lt;&gt;AK851,M851&lt;&gt;L851,O851&lt;&gt;"",Q851&lt;&gt;"",V851&lt;&gt;1,Y851&lt;&gt;"",AT851&lt;&gt;""),"수정","원본")</f>
        <v/>
      </c>
      <c r="D851" s="18" t="n">
        <v>201</v>
      </c>
      <c r="E851" s="18" t="inlineStr">
        <is>
          <t>안농</t>
        </is>
      </c>
      <c r="F851" s="18" t="inlineStr">
        <is>
          <t>unown</t>
        </is>
      </c>
      <c r="G851" s="18" t="inlineStr">
        <is>
          <t>unown character=n</t>
        </is>
      </c>
      <c r="H851" s="18" t="inlineStr">
        <is>
          <t>character=n</t>
        </is>
      </c>
      <c r="I851" s="18" t="n">
        <v>2</v>
      </c>
      <c r="J851" s="18" t="n"/>
      <c r="K851" s="18" t="n">
        <v>2</v>
      </c>
      <c r="L851" s="18" t="inlineStr">
        <is>
          <t>cobbleventure:generation_2</t>
        </is>
      </c>
      <c r="M851" s="19" t="inlineStr">
        <is>
          <t>cobbleventure:generation_2</t>
        </is>
      </c>
      <c r="N851" s="18" t="inlineStr">
        <is>
          <t>region_01; region_02</t>
        </is>
      </c>
      <c r="O851" s="19" t="inlineStr"/>
      <c r="P851" s="18" t="inlineStr">
        <is>
          <t>#cobblemon:is_overworld</t>
        </is>
      </c>
      <c r="Q851" s="19" t="inlineStr"/>
      <c r="R851" s="18">
        <f>IF(Q851="",P851,Q851)</f>
        <v/>
      </c>
      <c r="S851" s="18" t="inlineStr"/>
      <c r="T851" s="18" t="inlineStr">
        <is>
          <t>common</t>
        </is>
      </c>
      <c r="U851" s="20" t="n">
        <v>0.754</v>
      </c>
      <c r="V851" s="21" t="n">
        <v>1</v>
      </c>
      <c r="W851" s="20">
        <f>IF(OR(U851="",V851=""),U851,U851*V851)</f>
        <v/>
      </c>
      <c r="X851" s="18" t="inlineStr">
        <is>
          <t>1-100</t>
        </is>
      </c>
      <c r="Y851" s="19" t="inlineStr"/>
      <c r="Z851" s="18">
        <f>IF(Y851="",X851,Y851)</f>
        <v/>
      </c>
      <c r="AA851" s="18" t="inlineStr">
        <is>
          <t>grounded</t>
        </is>
      </c>
      <c r="AB851" s="18" t="inlineStr"/>
      <c r="AC851" s="18" t="inlineStr"/>
      <c r="AD851" s="18" t="inlineStr">
        <is>
          <t>minY=48</t>
        </is>
      </c>
      <c r="AE851" s="18" t="inlineStr"/>
      <c r="AF851" s="18" t="inlineStr"/>
      <c r="AG851" s="18" t="inlineStr"/>
      <c r="AH851" s="18" t="inlineStr"/>
      <c r="AI851" s="18" t="inlineStr"/>
      <c r="AJ851" s="18" t="inlineStr">
        <is>
          <t>COBBLEVERSE 수정</t>
        </is>
      </c>
      <c r="AK851" s="18" t="inlineStr">
        <is>
          <t>사용</t>
        </is>
      </c>
      <c r="AL851" s="18" t="inlineStr">
        <is>
          <t>COBBLEVERSE 1.7.42 / DP v31</t>
        </is>
      </c>
      <c r="AM851" s="18" t="inlineStr">
        <is>
          <t>data/cobblemon/spawn_pool_world/0201_unown.json</t>
        </is>
      </c>
      <c r="AN851" s="18" t="inlineStr">
        <is>
          <t>unown-n-3</t>
        </is>
      </c>
      <c r="AO851" s="18" t="inlineStr">
        <is>
          <t>pokemon</t>
        </is>
      </c>
      <c r="AP851" s="18" t="inlineStr">
        <is>
          <t>trail_ruins</t>
        </is>
      </c>
      <c r="AQ851" s="18" t="inlineStr">
        <is>
          <t>{"biomes":["#cobblemon:is_overworld"],"minY":48}</t>
        </is>
      </c>
      <c r="AR851" s="18" t="inlineStr"/>
      <c r="AS851" s="18" t="inlineStr"/>
      <c r="AT851" s="19" t="inlineStr"/>
    </row>
    <row r="852" ht="32" customHeight="1">
      <c r="A852" s="18" t="inlineStr">
        <is>
          <t>0201_unown.json::unown-o-3::043</t>
        </is>
      </c>
      <c r="B852" s="19" t="inlineStr">
        <is>
          <t>사용</t>
        </is>
      </c>
      <c r="C852" s="18">
        <f>IF(OR(B852&lt;&gt;AK852,M852&lt;&gt;L852,O852&lt;&gt;"",Q852&lt;&gt;"",V852&lt;&gt;1,Y852&lt;&gt;"",AT852&lt;&gt;""),"수정","원본")</f>
        <v/>
      </c>
      <c r="D852" s="18" t="n">
        <v>201</v>
      </c>
      <c r="E852" s="18" t="inlineStr">
        <is>
          <t>안농</t>
        </is>
      </c>
      <c r="F852" s="18" t="inlineStr">
        <is>
          <t>unown</t>
        </is>
      </c>
      <c r="G852" s="18" t="inlineStr">
        <is>
          <t>unown character=o</t>
        </is>
      </c>
      <c r="H852" s="18" t="inlineStr">
        <is>
          <t>character=o</t>
        </is>
      </c>
      <c r="I852" s="18" t="n">
        <v>2</v>
      </c>
      <c r="J852" s="18" t="n"/>
      <c r="K852" s="18" t="n">
        <v>2</v>
      </c>
      <c r="L852" s="18" t="inlineStr">
        <is>
          <t>cobbleventure:generation_2</t>
        </is>
      </c>
      <c r="M852" s="19" t="inlineStr">
        <is>
          <t>cobbleventure:generation_2</t>
        </is>
      </c>
      <c r="N852" s="18" t="inlineStr">
        <is>
          <t>region_01; region_02</t>
        </is>
      </c>
      <c r="O852" s="19" t="inlineStr"/>
      <c r="P852" s="18" t="inlineStr">
        <is>
          <t>#cobblemon:is_overworld</t>
        </is>
      </c>
      <c r="Q852" s="19" t="inlineStr"/>
      <c r="R852" s="18">
        <f>IF(Q852="",P852,Q852)</f>
        <v/>
      </c>
      <c r="S852" s="18" t="inlineStr"/>
      <c r="T852" s="18" t="inlineStr">
        <is>
          <t>common</t>
        </is>
      </c>
      <c r="U852" s="20" t="n">
        <v>0.754</v>
      </c>
      <c r="V852" s="21" t="n">
        <v>1</v>
      </c>
      <c r="W852" s="20">
        <f>IF(OR(U852="",V852=""),U852,U852*V852)</f>
        <v/>
      </c>
      <c r="X852" s="18" t="inlineStr">
        <is>
          <t>1-100</t>
        </is>
      </c>
      <c r="Y852" s="19" t="inlineStr"/>
      <c r="Z852" s="18">
        <f>IF(Y852="",X852,Y852)</f>
        <v/>
      </c>
      <c r="AA852" s="18" t="inlineStr">
        <is>
          <t>grounded</t>
        </is>
      </c>
      <c r="AB852" s="18" t="inlineStr"/>
      <c r="AC852" s="18" t="inlineStr"/>
      <c r="AD852" s="18" t="inlineStr">
        <is>
          <t>minY=48</t>
        </is>
      </c>
      <c r="AE852" s="18" t="inlineStr"/>
      <c r="AF852" s="18" t="inlineStr"/>
      <c r="AG852" s="18" t="inlineStr"/>
      <c r="AH852" s="18" t="inlineStr"/>
      <c r="AI852" s="18" t="inlineStr"/>
      <c r="AJ852" s="18" t="inlineStr">
        <is>
          <t>COBBLEVERSE 수정</t>
        </is>
      </c>
      <c r="AK852" s="18" t="inlineStr">
        <is>
          <t>사용</t>
        </is>
      </c>
      <c r="AL852" s="18" t="inlineStr">
        <is>
          <t>COBBLEVERSE 1.7.42 / DP v31</t>
        </is>
      </c>
      <c r="AM852" s="18" t="inlineStr">
        <is>
          <t>data/cobblemon/spawn_pool_world/0201_unown.json</t>
        </is>
      </c>
      <c r="AN852" s="18" t="inlineStr">
        <is>
          <t>unown-o-3</t>
        </is>
      </c>
      <c r="AO852" s="18" t="inlineStr">
        <is>
          <t>pokemon</t>
        </is>
      </c>
      <c r="AP852" s="18" t="inlineStr">
        <is>
          <t>trail_ruins</t>
        </is>
      </c>
      <c r="AQ852" s="18" t="inlineStr">
        <is>
          <t>{"biomes":["#cobblemon:is_overworld"],"minY":48}</t>
        </is>
      </c>
      <c r="AR852" s="18" t="inlineStr"/>
      <c r="AS852" s="18" t="inlineStr"/>
      <c r="AT852" s="19" t="inlineStr"/>
    </row>
    <row r="853" ht="32" customHeight="1">
      <c r="A853" s="18" t="inlineStr">
        <is>
          <t>0201_unown.json::unown-p-3::044</t>
        </is>
      </c>
      <c r="B853" s="19" t="inlineStr">
        <is>
          <t>사용</t>
        </is>
      </c>
      <c r="C853" s="18">
        <f>IF(OR(B853&lt;&gt;AK853,M853&lt;&gt;L853,O853&lt;&gt;"",Q853&lt;&gt;"",V853&lt;&gt;1,Y853&lt;&gt;"",AT853&lt;&gt;""),"수정","원본")</f>
        <v/>
      </c>
      <c r="D853" s="18" t="n">
        <v>201</v>
      </c>
      <c r="E853" s="18" t="inlineStr">
        <is>
          <t>안농</t>
        </is>
      </c>
      <c r="F853" s="18" t="inlineStr">
        <is>
          <t>unown</t>
        </is>
      </c>
      <c r="G853" s="18" t="inlineStr">
        <is>
          <t>unown character=p</t>
        </is>
      </c>
      <c r="H853" s="18" t="inlineStr">
        <is>
          <t>character=p</t>
        </is>
      </c>
      <c r="I853" s="18" t="n">
        <v>2</v>
      </c>
      <c r="J853" s="18" t="n"/>
      <c r="K853" s="18" t="n">
        <v>2</v>
      </c>
      <c r="L853" s="18" t="inlineStr">
        <is>
          <t>cobbleventure:generation_2</t>
        </is>
      </c>
      <c r="M853" s="19" t="inlineStr">
        <is>
          <t>cobbleventure:generation_2</t>
        </is>
      </c>
      <c r="N853" s="18" t="inlineStr">
        <is>
          <t>region_01; region_02</t>
        </is>
      </c>
      <c r="O853" s="19" t="inlineStr"/>
      <c r="P853" s="18" t="inlineStr">
        <is>
          <t>#cobblemon:is_overworld</t>
        </is>
      </c>
      <c r="Q853" s="19" t="inlineStr"/>
      <c r="R853" s="18">
        <f>IF(Q853="",P853,Q853)</f>
        <v/>
      </c>
      <c r="S853" s="18" t="inlineStr"/>
      <c r="T853" s="18" t="inlineStr">
        <is>
          <t>common</t>
        </is>
      </c>
      <c r="U853" s="20" t="n">
        <v>0.754</v>
      </c>
      <c r="V853" s="21" t="n">
        <v>1</v>
      </c>
      <c r="W853" s="20">
        <f>IF(OR(U853="",V853=""),U853,U853*V853)</f>
        <v/>
      </c>
      <c r="X853" s="18" t="inlineStr">
        <is>
          <t>1-100</t>
        </is>
      </c>
      <c r="Y853" s="19" t="inlineStr"/>
      <c r="Z853" s="18">
        <f>IF(Y853="",X853,Y853)</f>
        <v/>
      </c>
      <c r="AA853" s="18" t="inlineStr">
        <is>
          <t>grounded</t>
        </is>
      </c>
      <c r="AB853" s="18" t="inlineStr"/>
      <c r="AC853" s="18" t="inlineStr"/>
      <c r="AD853" s="18" t="inlineStr">
        <is>
          <t>minY=48</t>
        </is>
      </c>
      <c r="AE853" s="18" t="inlineStr"/>
      <c r="AF853" s="18" t="inlineStr"/>
      <c r="AG853" s="18" t="inlineStr"/>
      <c r="AH853" s="18" t="inlineStr"/>
      <c r="AI853" s="18" t="inlineStr"/>
      <c r="AJ853" s="18" t="inlineStr">
        <is>
          <t>COBBLEVERSE 수정</t>
        </is>
      </c>
      <c r="AK853" s="18" t="inlineStr">
        <is>
          <t>사용</t>
        </is>
      </c>
      <c r="AL853" s="18" t="inlineStr">
        <is>
          <t>COBBLEVERSE 1.7.42 / DP v31</t>
        </is>
      </c>
      <c r="AM853" s="18" t="inlineStr">
        <is>
          <t>data/cobblemon/spawn_pool_world/0201_unown.json</t>
        </is>
      </c>
      <c r="AN853" s="18" t="inlineStr">
        <is>
          <t>unown-p-3</t>
        </is>
      </c>
      <c r="AO853" s="18" t="inlineStr">
        <is>
          <t>pokemon</t>
        </is>
      </c>
      <c r="AP853" s="18" t="inlineStr">
        <is>
          <t>trail_ruins</t>
        </is>
      </c>
      <c r="AQ853" s="18" t="inlineStr">
        <is>
          <t>{"biomes":["#cobblemon:is_overworld"],"minY":48}</t>
        </is>
      </c>
      <c r="AR853" s="18" t="inlineStr"/>
      <c r="AS853" s="18" t="inlineStr"/>
      <c r="AT853" s="19" t="inlineStr"/>
    </row>
    <row r="854" ht="32" customHeight="1">
      <c r="A854" s="18" t="inlineStr">
        <is>
          <t>0201_unown.json::unown-q-3::045</t>
        </is>
      </c>
      <c r="B854" s="19" t="inlineStr">
        <is>
          <t>사용</t>
        </is>
      </c>
      <c r="C854" s="18">
        <f>IF(OR(B854&lt;&gt;AK854,M854&lt;&gt;L854,O854&lt;&gt;"",Q854&lt;&gt;"",V854&lt;&gt;1,Y854&lt;&gt;"",AT854&lt;&gt;""),"수정","원본")</f>
        <v/>
      </c>
      <c r="D854" s="18" t="n">
        <v>201</v>
      </c>
      <c r="E854" s="18" t="inlineStr">
        <is>
          <t>안농</t>
        </is>
      </c>
      <c r="F854" s="18" t="inlineStr">
        <is>
          <t>unown</t>
        </is>
      </c>
      <c r="G854" s="18" t="inlineStr">
        <is>
          <t>unown character=q</t>
        </is>
      </c>
      <c r="H854" s="18" t="inlineStr">
        <is>
          <t>character=q</t>
        </is>
      </c>
      <c r="I854" s="18" t="n">
        <v>2</v>
      </c>
      <c r="J854" s="18" t="n"/>
      <c r="K854" s="18" t="n">
        <v>2</v>
      </c>
      <c r="L854" s="18" t="inlineStr">
        <is>
          <t>cobbleventure:generation_2</t>
        </is>
      </c>
      <c r="M854" s="19" t="inlineStr">
        <is>
          <t>cobbleventure:generation_2</t>
        </is>
      </c>
      <c r="N854" s="18" t="inlineStr">
        <is>
          <t>region_01; region_02</t>
        </is>
      </c>
      <c r="O854" s="19" t="inlineStr"/>
      <c r="P854" s="18" t="inlineStr">
        <is>
          <t>#cobblemon:is_overworld</t>
        </is>
      </c>
      <c r="Q854" s="19" t="inlineStr"/>
      <c r="R854" s="18">
        <f>IF(Q854="",P854,Q854)</f>
        <v/>
      </c>
      <c r="S854" s="18" t="inlineStr"/>
      <c r="T854" s="18" t="inlineStr">
        <is>
          <t>common</t>
        </is>
      </c>
      <c r="U854" s="20" t="n">
        <v>0.754</v>
      </c>
      <c r="V854" s="21" t="n">
        <v>1</v>
      </c>
      <c r="W854" s="20">
        <f>IF(OR(U854="",V854=""),U854,U854*V854)</f>
        <v/>
      </c>
      <c r="X854" s="18" t="inlineStr">
        <is>
          <t>1-100</t>
        </is>
      </c>
      <c r="Y854" s="19" t="inlineStr"/>
      <c r="Z854" s="18">
        <f>IF(Y854="",X854,Y854)</f>
        <v/>
      </c>
      <c r="AA854" s="18" t="inlineStr">
        <is>
          <t>grounded</t>
        </is>
      </c>
      <c r="AB854" s="18" t="inlineStr"/>
      <c r="AC854" s="18" t="inlineStr"/>
      <c r="AD854" s="18" t="inlineStr">
        <is>
          <t>minY=48</t>
        </is>
      </c>
      <c r="AE854" s="18" t="inlineStr"/>
      <c r="AF854" s="18" t="inlineStr"/>
      <c r="AG854" s="18" t="inlineStr"/>
      <c r="AH854" s="18" t="inlineStr"/>
      <c r="AI854" s="18" t="inlineStr"/>
      <c r="AJ854" s="18" t="inlineStr">
        <is>
          <t>COBBLEVERSE 수정</t>
        </is>
      </c>
      <c r="AK854" s="18" t="inlineStr">
        <is>
          <t>사용</t>
        </is>
      </c>
      <c r="AL854" s="18" t="inlineStr">
        <is>
          <t>COBBLEVERSE 1.7.42 / DP v31</t>
        </is>
      </c>
      <c r="AM854" s="18" t="inlineStr">
        <is>
          <t>data/cobblemon/spawn_pool_world/0201_unown.json</t>
        </is>
      </c>
      <c r="AN854" s="18" t="inlineStr">
        <is>
          <t>unown-q-3</t>
        </is>
      </c>
      <c r="AO854" s="18" t="inlineStr">
        <is>
          <t>pokemon</t>
        </is>
      </c>
      <c r="AP854" s="18" t="inlineStr">
        <is>
          <t>trail_ruins</t>
        </is>
      </c>
      <c r="AQ854" s="18" t="inlineStr">
        <is>
          <t>{"biomes":["#cobblemon:is_overworld"],"minY":48}</t>
        </is>
      </c>
      <c r="AR854" s="18" t="inlineStr"/>
      <c r="AS854" s="18" t="inlineStr"/>
      <c r="AT854" s="19" t="inlineStr"/>
    </row>
    <row r="855" ht="32" customHeight="1">
      <c r="A855" s="18" t="inlineStr">
        <is>
          <t>0201_unown.json::unown-r-3::046</t>
        </is>
      </c>
      <c r="B855" s="19" t="inlineStr">
        <is>
          <t>사용</t>
        </is>
      </c>
      <c r="C855" s="18">
        <f>IF(OR(B855&lt;&gt;AK855,M855&lt;&gt;L855,O855&lt;&gt;"",Q855&lt;&gt;"",V855&lt;&gt;1,Y855&lt;&gt;"",AT855&lt;&gt;""),"수정","원본")</f>
        <v/>
      </c>
      <c r="D855" s="18" t="n">
        <v>201</v>
      </c>
      <c r="E855" s="18" t="inlineStr">
        <is>
          <t>안농</t>
        </is>
      </c>
      <c r="F855" s="18" t="inlineStr">
        <is>
          <t>unown</t>
        </is>
      </c>
      <c r="G855" s="18" t="inlineStr">
        <is>
          <t>unown character=r</t>
        </is>
      </c>
      <c r="H855" s="18" t="inlineStr">
        <is>
          <t>character=r</t>
        </is>
      </c>
      <c r="I855" s="18" t="n">
        <v>2</v>
      </c>
      <c r="J855" s="18" t="n"/>
      <c r="K855" s="18" t="n">
        <v>2</v>
      </c>
      <c r="L855" s="18" t="inlineStr">
        <is>
          <t>cobbleventure:generation_2</t>
        </is>
      </c>
      <c r="M855" s="19" t="inlineStr">
        <is>
          <t>cobbleventure:generation_2</t>
        </is>
      </c>
      <c r="N855" s="18" t="inlineStr">
        <is>
          <t>region_01; region_02</t>
        </is>
      </c>
      <c r="O855" s="19" t="inlineStr"/>
      <c r="P855" s="18" t="inlineStr">
        <is>
          <t>#cobblemon:is_overworld</t>
        </is>
      </c>
      <c r="Q855" s="19" t="inlineStr"/>
      <c r="R855" s="18">
        <f>IF(Q855="",P855,Q855)</f>
        <v/>
      </c>
      <c r="S855" s="18" t="inlineStr"/>
      <c r="T855" s="18" t="inlineStr">
        <is>
          <t>common</t>
        </is>
      </c>
      <c r="U855" s="20" t="n">
        <v>0.754</v>
      </c>
      <c r="V855" s="21" t="n">
        <v>1</v>
      </c>
      <c r="W855" s="20">
        <f>IF(OR(U855="",V855=""),U855,U855*V855)</f>
        <v/>
      </c>
      <c r="X855" s="18" t="inlineStr">
        <is>
          <t>1-100</t>
        </is>
      </c>
      <c r="Y855" s="19" t="inlineStr"/>
      <c r="Z855" s="18">
        <f>IF(Y855="",X855,Y855)</f>
        <v/>
      </c>
      <c r="AA855" s="18" t="inlineStr">
        <is>
          <t>grounded</t>
        </is>
      </c>
      <c r="AB855" s="18" t="inlineStr"/>
      <c r="AC855" s="18" t="inlineStr"/>
      <c r="AD855" s="18" t="inlineStr">
        <is>
          <t>minY=48</t>
        </is>
      </c>
      <c r="AE855" s="18" t="inlineStr"/>
      <c r="AF855" s="18" t="inlineStr"/>
      <c r="AG855" s="18" t="inlineStr"/>
      <c r="AH855" s="18" t="inlineStr"/>
      <c r="AI855" s="18" t="inlineStr"/>
      <c r="AJ855" s="18" t="inlineStr">
        <is>
          <t>COBBLEVERSE 수정</t>
        </is>
      </c>
      <c r="AK855" s="18" t="inlineStr">
        <is>
          <t>사용</t>
        </is>
      </c>
      <c r="AL855" s="18" t="inlineStr">
        <is>
          <t>COBBLEVERSE 1.7.42 / DP v31</t>
        </is>
      </c>
      <c r="AM855" s="18" t="inlineStr">
        <is>
          <t>data/cobblemon/spawn_pool_world/0201_unown.json</t>
        </is>
      </c>
      <c r="AN855" s="18" t="inlineStr">
        <is>
          <t>unown-r-3</t>
        </is>
      </c>
      <c r="AO855" s="18" t="inlineStr">
        <is>
          <t>pokemon</t>
        </is>
      </c>
      <c r="AP855" s="18" t="inlineStr">
        <is>
          <t>trail_ruins</t>
        </is>
      </c>
      <c r="AQ855" s="18" t="inlineStr">
        <is>
          <t>{"biomes":["#cobblemon:is_overworld"],"minY":48}</t>
        </is>
      </c>
      <c r="AR855" s="18" t="inlineStr"/>
      <c r="AS855" s="18" t="inlineStr"/>
      <c r="AT855" s="19" t="inlineStr"/>
    </row>
    <row r="856" ht="32" customHeight="1">
      <c r="A856" s="18" t="inlineStr">
        <is>
          <t>0201_unown.json::unown-s-3::047</t>
        </is>
      </c>
      <c r="B856" s="19" t="inlineStr">
        <is>
          <t>사용</t>
        </is>
      </c>
      <c r="C856" s="18">
        <f>IF(OR(B856&lt;&gt;AK856,M856&lt;&gt;L856,O856&lt;&gt;"",Q856&lt;&gt;"",V856&lt;&gt;1,Y856&lt;&gt;"",AT856&lt;&gt;""),"수정","원본")</f>
        <v/>
      </c>
      <c r="D856" s="18" t="n">
        <v>201</v>
      </c>
      <c r="E856" s="18" t="inlineStr">
        <is>
          <t>안농</t>
        </is>
      </c>
      <c r="F856" s="18" t="inlineStr">
        <is>
          <t>unown</t>
        </is>
      </c>
      <c r="G856" s="18" t="inlineStr">
        <is>
          <t>unown character=s</t>
        </is>
      </c>
      <c r="H856" s="18" t="inlineStr">
        <is>
          <t>character=s</t>
        </is>
      </c>
      <c r="I856" s="18" t="n">
        <v>2</v>
      </c>
      <c r="J856" s="18" t="n"/>
      <c r="K856" s="18" t="n">
        <v>2</v>
      </c>
      <c r="L856" s="18" t="inlineStr">
        <is>
          <t>cobbleventure:generation_2</t>
        </is>
      </c>
      <c r="M856" s="19" t="inlineStr">
        <is>
          <t>cobbleventure:generation_2</t>
        </is>
      </c>
      <c r="N856" s="18" t="inlineStr">
        <is>
          <t>region_01; region_02</t>
        </is>
      </c>
      <c r="O856" s="19" t="inlineStr"/>
      <c r="P856" s="18" t="inlineStr">
        <is>
          <t>#cobblemon:is_overworld</t>
        </is>
      </c>
      <c r="Q856" s="19" t="inlineStr"/>
      <c r="R856" s="18">
        <f>IF(Q856="",P856,Q856)</f>
        <v/>
      </c>
      <c r="S856" s="18" t="inlineStr"/>
      <c r="T856" s="18" t="inlineStr">
        <is>
          <t>common</t>
        </is>
      </c>
      <c r="U856" s="20" t="n">
        <v>0.754</v>
      </c>
      <c r="V856" s="21" t="n">
        <v>1</v>
      </c>
      <c r="W856" s="20">
        <f>IF(OR(U856="",V856=""),U856,U856*V856)</f>
        <v/>
      </c>
      <c r="X856" s="18" t="inlineStr">
        <is>
          <t>1-100</t>
        </is>
      </c>
      <c r="Y856" s="19" t="inlineStr"/>
      <c r="Z856" s="18">
        <f>IF(Y856="",X856,Y856)</f>
        <v/>
      </c>
      <c r="AA856" s="18" t="inlineStr">
        <is>
          <t>grounded</t>
        </is>
      </c>
      <c r="AB856" s="18" t="inlineStr"/>
      <c r="AC856" s="18" t="inlineStr"/>
      <c r="AD856" s="18" t="inlineStr">
        <is>
          <t>minY=48</t>
        </is>
      </c>
      <c r="AE856" s="18" t="inlineStr"/>
      <c r="AF856" s="18" t="inlineStr"/>
      <c r="AG856" s="18" t="inlineStr"/>
      <c r="AH856" s="18" t="inlineStr"/>
      <c r="AI856" s="18" t="inlineStr"/>
      <c r="AJ856" s="18" t="inlineStr">
        <is>
          <t>COBBLEVERSE 수정</t>
        </is>
      </c>
      <c r="AK856" s="18" t="inlineStr">
        <is>
          <t>사용</t>
        </is>
      </c>
      <c r="AL856" s="18" t="inlineStr">
        <is>
          <t>COBBLEVERSE 1.7.42 / DP v31</t>
        </is>
      </c>
      <c r="AM856" s="18" t="inlineStr">
        <is>
          <t>data/cobblemon/spawn_pool_world/0201_unown.json</t>
        </is>
      </c>
      <c r="AN856" s="18" t="inlineStr">
        <is>
          <t>unown-s-3</t>
        </is>
      </c>
      <c r="AO856" s="18" t="inlineStr">
        <is>
          <t>pokemon</t>
        </is>
      </c>
      <c r="AP856" s="18" t="inlineStr">
        <is>
          <t>trail_ruins</t>
        </is>
      </c>
      <c r="AQ856" s="18" t="inlineStr">
        <is>
          <t>{"biomes":["#cobblemon:is_overworld"],"minY":48}</t>
        </is>
      </c>
      <c r="AR856" s="18" t="inlineStr"/>
      <c r="AS856" s="18" t="inlineStr"/>
      <c r="AT856" s="19" t="inlineStr"/>
    </row>
    <row r="857" ht="32" customHeight="1">
      <c r="A857" s="18" t="inlineStr">
        <is>
          <t>0201_unown.json::unown-t-3::048</t>
        </is>
      </c>
      <c r="B857" s="19" t="inlineStr">
        <is>
          <t>사용</t>
        </is>
      </c>
      <c r="C857" s="18">
        <f>IF(OR(B857&lt;&gt;AK857,M857&lt;&gt;L857,O857&lt;&gt;"",Q857&lt;&gt;"",V857&lt;&gt;1,Y857&lt;&gt;"",AT857&lt;&gt;""),"수정","원본")</f>
        <v/>
      </c>
      <c r="D857" s="18" t="n">
        <v>201</v>
      </c>
      <c r="E857" s="18" t="inlineStr">
        <is>
          <t>안농</t>
        </is>
      </c>
      <c r="F857" s="18" t="inlineStr">
        <is>
          <t>unown</t>
        </is>
      </c>
      <c r="G857" s="18" t="inlineStr">
        <is>
          <t>unown character=t</t>
        </is>
      </c>
      <c r="H857" s="18" t="inlineStr">
        <is>
          <t>character=t</t>
        </is>
      </c>
      <c r="I857" s="18" t="n">
        <v>2</v>
      </c>
      <c r="J857" s="18" t="n"/>
      <c r="K857" s="18" t="n">
        <v>2</v>
      </c>
      <c r="L857" s="18" t="inlineStr">
        <is>
          <t>cobbleventure:generation_2</t>
        </is>
      </c>
      <c r="M857" s="19" t="inlineStr">
        <is>
          <t>cobbleventure:generation_2</t>
        </is>
      </c>
      <c r="N857" s="18" t="inlineStr">
        <is>
          <t>region_01; region_02</t>
        </is>
      </c>
      <c r="O857" s="19" t="inlineStr"/>
      <c r="P857" s="18" t="inlineStr">
        <is>
          <t>#cobblemon:is_overworld</t>
        </is>
      </c>
      <c r="Q857" s="19" t="inlineStr"/>
      <c r="R857" s="18">
        <f>IF(Q857="",P857,Q857)</f>
        <v/>
      </c>
      <c r="S857" s="18" t="inlineStr"/>
      <c r="T857" s="18" t="inlineStr">
        <is>
          <t>common</t>
        </is>
      </c>
      <c r="U857" s="20" t="n">
        <v>0.754</v>
      </c>
      <c r="V857" s="21" t="n">
        <v>1</v>
      </c>
      <c r="W857" s="20">
        <f>IF(OR(U857="",V857=""),U857,U857*V857)</f>
        <v/>
      </c>
      <c r="X857" s="18" t="inlineStr">
        <is>
          <t>1-100</t>
        </is>
      </c>
      <c r="Y857" s="19" t="inlineStr"/>
      <c r="Z857" s="18">
        <f>IF(Y857="",X857,Y857)</f>
        <v/>
      </c>
      <c r="AA857" s="18" t="inlineStr">
        <is>
          <t>grounded</t>
        </is>
      </c>
      <c r="AB857" s="18" t="inlineStr"/>
      <c r="AC857" s="18" t="inlineStr"/>
      <c r="AD857" s="18" t="inlineStr">
        <is>
          <t>minY=48</t>
        </is>
      </c>
      <c r="AE857" s="18" t="inlineStr"/>
      <c r="AF857" s="18" t="inlineStr"/>
      <c r="AG857" s="18" t="inlineStr"/>
      <c r="AH857" s="18" t="inlineStr"/>
      <c r="AI857" s="18" t="inlineStr"/>
      <c r="AJ857" s="18" t="inlineStr">
        <is>
          <t>COBBLEVERSE 수정</t>
        </is>
      </c>
      <c r="AK857" s="18" t="inlineStr">
        <is>
          <t>사용</t>
        </is>
      </c>
      <c r="AL857" s="18" t="inlineStr">
        <is>
          <t>COBBLEVERSE 1.7.42 / DP v31</t>
        </is>
      </c>
      <c r="AM857" s="18" t="inlineStr">
        <is>
          <t>data/cobblemon/spawn_pool_world/0201_unown.json</t>
        </is>
      </c>
      <c r="AN857" s="18" t="inlineStr">
        <is>
          <t>unown-t-3</t>
        </is>
      </c>
      <c r="AO857" s="18" t="inlineStr">
        <is>
          <t>pokemon</t>
        </is>
      </c>
      <c r="AP857" s="18" t="inlineStr">
        <is>
          <t>trail_ruins</t>
        </is>
      </c>
      <c r="AQ857" s="18" t="inlineStr">
        <is>
          <t>{"biomes":["#cobblemon:is_overworld"],"minY":48}</t>
        </is>
      </c>
      <c r="AR857" s="18" t="inlineStr"/>
      <c r="AS857" s="18" t="inlineStr"/>
      <c r="AT857" s="19" t="inlineStr"/>
    </row>
    <row r="858" ht="32" customHeight="1">
      <c r="A858" s="18" t="inlineStr">
        <is>
          <t>0201_unown.json::unown-u-3::049</t>
        </is>
      </c>
      <c r="B858" s="19" t="inlineStr">
        <is>
          <t>사용</t>
        </is>
      </c>
      <c r="C858" s="18">
        <f>IF(OR(B858&lt;&gt;AK858,M858&lt;&gt;L858,O858&lt;&gt;"",Q858&lt;&gt;"",V858&lt;&gt;1,Y858&lt;&gt;"",AT858&lt;&gt;""),"수정","원본")</f>
        <v/>
      </c>
      <c r="D858" s="18" t="n">
        <v>201</v>
      </c>
      <c r="E858" s="18" t="inlineStr">
        <is>
          <t>안농</t>
        </is>
      </c>
      <c r="F858" s="18" t="inlineStr">
        <is>
          <t>unown</t>
        </is>
      </c>
      <c r="G858" s="18" t="inlineStr">
        <is>
          <t>unown character=u</t>
        </is>
      </c>
      <c r="H858" s="18" t="inlineStr">
        <is>
          <t>character=u</t>
        </is>
      </c>
      <c r="I858" s="18" t="n">
        <v>2</v>
      </c>
      <c r="J858" s="18" t="n"/>
      <c r="K858" s="18" t="n">
        <v>2</v>
      </c>
      <c r="L858" s="18" t="inlineStr">
        <is>
          <t>cobbleventure:generation_2</t>
        </is>
      </c>
      <c r="M858" s="19" t="inlineStr">
        <is>
          <t>cobbleventure:generation_2</t>
        </is>
      </c>
      <c r="N858" s="18" t="inlineStr">
        <is>
          <t>region_01; region_02</t>
        </is>
      </c>
      <c r="O858" s="19" t="inlineStr"/>
      <c r="P858" s="18" t="inlineStr">
        <is>
          <t>#cobblemon:is_overworld</t>
        </is>
      </c>
      <c r="Q858" s="19" t="inlineStr"/>
      <c r="R858" s="18">
        <f>IF(Q858="",P858,Q858)</f>
        <v/>
      </c>
      <c r="S858" s="18" t="inlineStr"/>
      <c r="T858" s="18" t="inlineStr">
        <is>
          <t>common</t>
        </is>
      </c>
      <c r="U858" s="20" t="n">
        <v>0.754</v>
      </c>
      <c r="V858" s="21" t="n">
        <v>1</v>
      </c>
      <c r="W858" s="20">
        <f>IF(OR(U858="",V858=""),U858,U858*V858)</f>
        <v/>
      </c>
      <c r="X858" s="18" t="inlineStr">
        <is>
          <t>1-100</t>
        </is>
      </c>
      <c r="Y858" s="19" t="inlineStr"/>
      <c r="Z858" s="18">
        <f>IF(Y858="",X858,Y858)</f>
        <v/>
      </c>
      <c r="AA858" s="18" t="inlineStr">
        <is>
          <t>grounded</t>
        </is>
      </c>
      <c r="AB858" s="18" t="inlineStr"/>
      <c r="AC858" s="18" t="inlineStr"/>
      <c r="AD858" s="18" t="inlineStr">
        <is>
          <t>minY=48</t>
        </is>
      </c>
      <c r="AE858" s="18" t="inlineStr"/>
      <c r="AF858" s="18" t="inlineStr"/>
      <c r="AG858" s="18" t="inlineStr"/>
      <c r="AH858" s="18" t="inlineStr"/>
      <c r="AI858" s="18" t="inlineStr"/>
      <c r="AJ858" s="18" t="inlineStr">
        <is>
          <t>COBBLEVERSE 수정</t>
        </is>
      </c>
      <c r="AK858" s="18" t="inlineStr">
        <is>
          <t>사용</t>
        </is>
      </c>
      <c r="AL858" s="18" t="inlineStr">
        <is>
          <t>COBBLEVERSE 1.7.42 / DP v31</t>
        </is>
      </c>
      <c r="AM858" s="18" t="inlineStr">
        <is>
          <t>data/cobblemon/spawn_pool_world/0201_unown.json</t>
        </is>
      </c>
      <c r="AN858" s="18" t="inlineStr">
        <is>
          <t>unown-u-3</t>
        </is>
      </c>
      <c r="AO858" s="18" t="inlineStr">
        <is>
          <t>pokemon</t>
        </is>
      </c>
      <c r="AP858" s="18" t="inlineStr">
        <is>
          <t>trail_ruins</t>
        </is>
      </c>
      <c r="AQ858" s="18" t="inlineStr">
        <is>
          <t>{"biomes":["#cobblemon:is_overworld"],"minY":48}</t>
        </is>
      </c>
      <c r="AR858" s="18" t="inlineStr"/>
      <c r="AS858" s="18" t="inlineStr"/>
      <c r="AT858" s="19" t="inlineStr"/>
    </row>
    <row r="859" ht="32" customHeight="1">
      <c r="A859" s="18" t="inlineStr">
        <is>
          <t>0201_unown.json::unown-v-3::050</t>
        </is>
      </c>
      <c r="B859" s="19" t="inlineStr">
        <is>
          <t>사용</t>
        </is>
      </c>
      <c r="C859" s="18">
        <f>IF(OR(B859&lt;&gt;AK859,M859&lt;&gt;L859,O859&lt;&gt;"",Q859&lt;&gt;"",V859&lt;&gt;1,Y859&lt;&gt;"",AT859&lt;&gt;""),"수정","원본")</f>
        <v/>
      </c>
      <c r="D859" s="18" t="n">
        <v>201</v>
      </c>
      <c r="E859" s="18" t="inlineStr">
        <is>
          <t>안농</t>
        </is>
      </c>
      <c r="F859" s="18" t="inlineStr">
        <is>
          <t>unown</t>
        </is>
      </c>
      <c r="G859" s="18" t="inlineStr">
        <is>
          <t>unown character=v</t>
        </is>
      </c>
      <c r="H859" s="18" t="inlineStr">
        <is>
          <t>character=v</t>
        </is>
      </c>
      <c r="I859" s="18" t="n">
        <v>2</v>
      </c>
      <c r="J859" s="18" t="n"/>
      <c r="K859" s="18" t="n">
        <v>2</v>
      </c>
      <c r="L859" s="18" t="inlineStr">
        <is>
          <t>cobbleventure:generation_2</t>
        </is>
      </c>
      <c r="M859" s="19" t="inlineStr">
        <is>
          <t>cobbleventure:generation_2</t>
        </is>
      </c>
      <c r="N859" s="18" t="inlineStr">
        <is>
          <t>region_01; region_02</t>
        </is>
      </c>
      <c r="O859" s="19" t="inlineStr"/>
      <c r="P859" s="18" t="inlineStr">
        <is>
          <t>#cobblemon:is_overworld</t>
        </is>
      </c>
      <c r="Q859" s="19" t="inlineStr"/>
      <c r="R859" s="18">
        <f>IF(Q859="",P859,Q859)</f>
        <v/>
      </c>
      <c r="S859" s="18" t="inlineStr"/>
      <c r="T859" s="18" t="inlineStr">
        <is>
          <t>common</t>
        </is>
      </c>
      <c r="U859" s="20" t="n">
        <v>0.754</v>
      </c>
      <c r="V859" s="21" t="n">
        <v>1</v>
      </c>
      <c r="W859" s="20">
        <f>IF(OR(U859="",V859=""),U859,U859*V859)</f>
        <v/>
      </c>
      <c r="X859" s="18" t="inlineStr">
        <is>
          <t>1-100</t>
        </is>
      </c>
      <c r="Y859" s="19" t="inlineStr"/>
      <c r="Z859" s="18">
        <f>IF(Y859="",X859,Y859)</f>
        <v/>
      </c>
      <c r="AA859" s="18" t="inlineStr">
        <is>
          <t>grounded</t>
        </is>
      </c>
      <c r="AB859" s="18" t="inlineStr"/>
      <c r="AC859" s="18" t="inlineStr"/>
      <c r="AD859" s="18" t="inlineStr">
        <is>
          <t>minY=48</t>
        </is>
      </c>
      <c r="AE859" s="18" t="inlineStr"/>
      <c r="AF859" s="18" t="inlineStr"/>
      <c r="AG859" s="18" t="inlineStr"/>
      <c r="AH859" s="18" t="inlineStr"/>
      <c r="AI859" s="18" t="inlineStr"/>
      <c r="AJ859" s="18" t="inlineStr">
        <is>
          <t>COBBLEVERSE 수정</t>
        </is>
      </c>
      <c r="AK859" s="18" t="inlineStr">
        <is>
          <t>사용</t>
        </is>
      </c>
      <c r="AL859" s="18" t="inlineStr">
        <is>
          <t>COBBLEVERSE 1.7.42 / DP v31</t>
        </is>
      </c>
      <c r="AM859" s="18" t="inlineStr">
        <is>
          <t>data/cobblemon/spawn_pool_world/0201_unown.json</t>
        </is>
      </c>
      <c r="AN859" s="18" t="inlineStr">
        <is>
          <t>unown-v-3</t>
        </is>
      </c>
      <c r="AO859" s="18" t="inlineStr">
        <is>
          <t>pokemon</t>
        </is>
      </c>
      <c r="AP859" s="18" t="inlineStr">
        <is>
          <t>trail_ruins</t>
        </is>
      </c>
      <c r="AQ859" s="18" t="inlineStr">
        <is>
          <t>{"biomes":["#cobblemon:is_overworld"],"minY":48}</t>
        </is>
      </c>
      <c r="AR859" s="18" t="inlineStr"/>
      <c r="AS859" s="18" t="inlineStr"/>
      <c r="AT859" s="19" t="inlineStr"/>
    </row>
    <row r="860" ht="32" customHeight="1">
      <c r="A860" s="18" t="inlineStr">
        <is>
          <t>0201_unown.json::unown-w-3::051</t>
        </is>
      </c>
      <c r="B860" s="19" t="inlineStr">
        <is>
          <t>사용</t>
        </is>
      </c>
      <c r="C860" s="18">
        <f>IF(OR(B860&lt;&gt;AK860,M860&lt;&gt;L860,O860&lt;&gt;"",Q860&lt;&gt;"",V860&lt;&gt;1,Y860&lt;&gt;"",AT860&lt;&gt;""),"수정","원본")</f>
        <v/>
      </c>
      <c r="D860" s="18" t="n">
        <v>201</v>
      </c>
      <c r="E860" s="18" t="inlineStr">
        <is>
          <t>안농</t>
        </is>
      </c>
      <c r="F860" s="18" t="inlineStr">
        <is>
          <t>unown</t>
        </is>
      </c>
      <c r="G860" s="18" t="inlineStr">
        <is>
          <t>unown character=w</t>
        </is>
      </c>
      <c r="H860" s="18" t="inlineStr">
        <is>
          <t>character=w</t>
        </is>
      </c>
      <c r="I860" s="18" t="n">
        <v>2</v>
      </c>
      <c r="J860" s="18" t="n"/>
      <c r="K860" s="18" t="n">
        <v>2</v>
      </c>
      <c r="L860" s="18" t="inlineStr">
        <is>
          <t>cobbleventure:generation_2</t>
        </is>
      </c>
      <c r="M860" s="19" t="inlineStr">
        <is>
          <t>cobbleventure:generation_2</t>
        </is>
      </c>
      <c r="N860" s="18" t="inlineStr">
        <is>
          <t>region_01; region_02</t>
        </is>
      </c>
      <c r="O860" s="19" t="inlineStr"/>
      <c r="P860" s="18" t="inlineStr">
        <is>
          <t>#cobblemon:is_overworld</t>
        </is>
      </c>
      <c r="Q860" s="19" t="inlineStr"/>
      <c r="R860" s="18">
        <f>IF(Q860="",P860,Q860)</f>
        <v/>
      </c>
      <c r="S860" s="18" t="inlineStr"/>
      <c r="T860" s="18" t="inlineStr">
        <is>
          <t>common</t>
        </is>
      </c>
      <c r="U860" s="20" t="n">
        <v>0.754</v>
      </c>
      <c r="V860" s="21" t="n">
        <v>1</v>
      </c>
      <c r="W860" s="20">
        <f>IF(OR(U860="",V860=""),U860,U860*V860)</f>
        <v/>
      </c>
      <c r="X860" s="18" t="inlineStr">
        <is>
          <t>1-100</t>
        </is>
      </c>
      <c r="Y860" s="19" t="inlineStr"/>
      <c r="Z860" s="18">
        <f>IF(Y860="",X860,Y860)</f>
        <v/>
      </c>
      <c r="AA860" s="18" t="inlineStr">
        <is>
          <t>grounded</t>
        </is>
      </c>
      <c r="AB860" s="18" t="inlineStr"/>
      <c r="AC860" s="18" t="inlineStr"/>
      <c r="AD860" s="18" t="inlineStr">
        <is>
          <t>minY=48</t>
        </is>
      </c>
      <c r="AE860" s="18" t="inlineStr"/>
      <c r="AF860" s="18" t="inlineStr"/>
      <c r="AG860" s="18" t="inlineStr"/>
      <c r="AH860" s="18" t="inlineStr"/>
      <c r="AI860" s="18" t="inlineStr"/>
      <c r="AJ860" s="18" t="inlineStr">
        <is>
          <t>COBBLEVERSE 수정</t>
        </is>
      </c>
      <c r="AK860" s="18" t="inlineStr">
        <is>
          <t>사용</t>
        </is>
      </c>
      <c r="AL860" s="18" t="inlineStr">
        <is>
          <t>COBBLEVERSE 1.7.42 / DP v31</t>
        </is>
      </c>
      <c r="AM860" s="18" t="inlineStr">
        <is>
          <t>data/cobblemon/spawn_pool_world/0201_unown.json</t>
        </is>
      </c>
      <c r="AN860" s="18" t="inlineStr">
        <is>
          <t>unown-w-3</t>
        </is>
      </c>
      <c r="AO860" s="18" t="inlineStr">
        <is>
          <t>pokemon</t>
        </is>
      </c>
      <c r="AP860" s="18" t="inlineStr">
        <is>
          <t>trail_ruins</t>
        </is>
      </c>
      <c r="AQ860" s="18" t="inlineStr">
        <is>
          <t>{"biomes":["#cobblemon:is_overworld"],"minY":48}</t>
        </is>
      </c>
      <c r="AR860" s="18" t="inlineStr"/>
      <c r="AS860" s="18" t="inlineStr"/>
      <c r="AT860" s="19" t="inlineStr"/>
    </row>
    <row r="861" ht="32" customHeight="1">
      <c r="A861" s="18" t="inlineStr">
        <is>
          <t>0201_unown.json::unown-x-3::052</t>
        </is>
      </c>
      <c r="B861" s="19" t="inlineStr">
        <is>
          <t>사용</t>
        </is>
      </c>
      <c r="C861" s="18">
        <f>IF(OR(B861&lt;&gt;AK861,M861&lt;&gt;L861,O861&lt;&gt;"",Q861&lt;&gt;"",V861&lt;&gt;1,Y861&lt;&gt;"",AT861&lt;&gt;""),"수정","원본")</f>
        <v/>
      </c>
      <c r="D861" s="18" t="n">
        <v>201</v>
      </c>
      <c r="E861" s="18" t="inlineStr">
        <is>
          <t>안농</t>
        </is>
      </c>
      <c r="F861" s="18" t="inlineStr">
        <is>
          <t>unown</t>
        </is>
      </c>
      <c r="G861" s="18" t="inlineStr">
        <is>
          <t>unown character=x</t>
        </is>
      </c>
      <c r="H861" s="18" t="inlineStr">
        <is>
          <t>character=x</t>
        </is>
      </c>
      <c r="I861" s="18" t="n">
        <v>2</v>
      </c>
      <c r="J861" s="18" t="n"/>
      <c r="K861" s="18" t="n">
        <v>2</v>
      </c>
      <c r="L861" s="18" t="inlineStr">
        <is>
          <t>cobbleventure:generation_2</t>
        </is>
      </c>
      <c r="M861" s="19" t="inlineStr">
        <is>
          <t>cobbleventure:generation_2</t>
        </is>
      </c>
      <c r="N861" s="18" t="inlineStr">
        <is>
          <t>region_01; region_02</t>
        </is>
      </c>
      <c r="O861" s="19" t="inlineStr"/>
      <c r="P861" s="18" t="inlineStr">
        <is>
          <t>#cobblemon:is_overworld</t>
        </is>
      </c>
      <c r="Q861" s="19" t="inlineStr"/>
      <c r="R861" s="18">
        <f>IF(Q861="",P861,Q861)</f>
        <v/>
      </c>
      <c r="S861" s="18" t="inlineStr"/>
      <c r="T861" s="18" t="inlineStr">
        <is>
          <t>common</t>
        </is>
      </c>
      <c r="U861" s="20" t="n">
        <v>0.754</v>
      </c>
      <c r="V861" s="21" t="n">
        <v>1</v>
      </c>
      <c r="W861" s="20">
        <f>IF(OR(U861="",V861=""),U861,U861*V861)</f>
        <v/>
      </c>
      <c r="X861" s="18" t="inlineStr">
        <is>
          <t>1-100</t>
        </is>
      </c>
      <c r="Y861" s="19" t="inlineStr"/>
      <c r="Z861" s="18">
        <f>IF(Y861="",X861,Y861)</f>
        <v/>
      </c>
      <c r="AA861" s="18" t="inlineStr">
        <is>
          <t>grounded</t>
        </is>
      </c>
      <c r="AB861" s="18" t="inlineStr"/>
      <c r="AC861" s="18" t="inlineStr"/>
      <c r="AD861" s="18" t="inlineStr">
        <is>
          <t>minY=48</t>
        </is>
      </c>
      <c r="AE861" s="18" t="inlineStr"/>
      <c r="AF861" s="18" t="inlineStr"/>
      <c r="AG861" s="18" t="inlineStr"/>
      <c r="AH861" s="18" t="inlineStr"/>
      <c r="AI861" s="18" t="inlineStr"/>
      <c r="AJ861" s="18" t="inlineStr">
        <is>
          <t>COBBLEVERSE 수정</t>
        </is>
      </c>
      <c r="AK861" s="18" t="inlineStr">
        <is>
          <t>사용</t>
        </is>
      </c>
      <c r="AL861" s="18" t="inlineStr">
        <is>
          <t>COBBLEVERSE 1.7.42 / DP v31</t>
        </is>
      </c>
      <c r="AM861" s="18" t="inlineStr">
        <is>
          <t>data/cobblemon/spawn_pool_world/0201_unown.json</t>
        </is>
      </c>
      <c r="AN861" s="18" t="inlineStr">
        <is>
          <t>unown-x-3</t>
        </is>
      </c>
      <c r="AO861" s="18" t="inlineStr">
        <is>
          <t>pokemon</t>
        </is>
      </c>
      <c r="AP861" s="18" t="inlineStr">
        <is>
          <t>trail_ruins</t>
        </is>
      </c>
      <c r="AQ861" s="18" t="inlineStr">
        <is>
          <t>{"biomes":["#cobblemon:is_overworld"],"minY":48}</t>
        </is>
      </c>
      <c r="AR861" s="18" t="inlineStr"/>
      <c r="AS861" s="18" t="inlineStr"/>
      <c r="AT861" s="19" t="inlineStr"/>
    </row>
    <row r="862" ht="32" customHeight="1">
      <c r="A862" s="18" t="inlineStr">
        <is>
          <t>0201_unown.json::unown-y-3::053</t>
        </is>
      </c>
      <c r="B862" s="19" t="inlineStr">
        <is>
          <t>사용</t>
        </is>
      </c>
      <c r="C862" s="18">
        <f>IF(OR(B862&lt;&gt;AK862,M862&lt;&gt;L862,O862&lt;&gt;"",Q862&lt;&gt;"",V862&lt;&gt;1,Y862&lt;&gt;"",AT862&lt;&gt;""),"수정","원본")</f>
        <v/>
      </c>
      <c r="D862" s="18" t="n">
        <v>201</v>
      </c>
      <c r="E862" s="18" t="inlineStr">
        <is>
          <t>안농</t>
        </is>
      </c>
      <c r="F862" s="18" t="inlineStr">
        <is>
          <t>unown</t>
        </is>
      </c>
      <c r="G862" s="18" t="inlineStr">
        <is>
          <t>unown character=y</t>
        </is>
      </c>
      <c r="H862" s="18" t="inlineStr">
        <is>
          <t>character=y</t>
        </is>
      </c>
      <c r="I862" s="18" t="n">
        <v>2</v>
      </c>
      <c r="J862" s="18" t="n"/>
      <c r="K862" s="18" t="n">
        <v>2</v>
      </c>
      <c r="L862" s="18" t="inlineStr">
        <is>
          <t>cobbleventure:generation_2</t>
        </is>
      </c>
      <c r="M862" s="19" t="inlineStr">
        <is>
          <t>cobbleventure:generation_2</t>
        </is>
      </c>
      <c r="N862" s="18" t="inlineStr">
        <is>
          <t>region_01; region_02</t>
        </is>
      </c>
      <c r="O862" s="19" t="inlineStr"/>
      <c r="P862" s="18" t="inlineStr">
        <is>
          <t>#cobblemon:is_overworld</t>
        </is>
      </c>
      <c r="Q862" s="19" t="inlineStr"/>
      <c r="R862" s="18">
        <f>IF(Q862="",P862,Q862)</f>
        <v/>
      </c>
      <c r="S862" s="18" t="inlineStr"/>
      <c r="T862" s="18" t="inlineStr">
        <is>
          <t>common</t>
        </is>
      </c>
      <c r="U862" s="20" t="n">
        <v>0.754</v>
      </c>
      <c r="V862" s="21" t="n">
        <v>1</v>
      </c>
      <c r="W862" s="20">
        <f>IF(OR(U862="",V862=""),U862,U862*V862)</f>
        <v/>
      </c>
      <c r="X862" s="18" t="inlineStr">
        <is>
          <t>1-100</t>
        </is>
      </c>
      <c r="Y862" s="19" t="inlineStr"/>
      <c r="Z862" s="18">
        <f>IF(Y862="",X862,Y862)</f>
        <v/>
      </c>
      <c r="AA862" s="18" t="inlineStr">
        <is>
          <t>grounded</t>
        </is>
      </c>
      <c r="AB862" s="18" t="inlineStr"/>
      <c r="AC862" s="18" t="inlineStr"/>
      <c r="AD862" s="18" t="inlineStr">
        <is>
          <t>minY=48</t>
        </is>
      </c>
      <c r="AE862" s="18" t="inlineStr"/>
      <c r="AF862" s="18" t="inlineStr"/>
      <c r="AG862" s="18" t="inlineStr"/>
      <c r="AH862" s="18" t="inlineStr"/>
      <c r="AI862" s="18" t="inlineStr"/>
      <c r="AJ862" s="18" t="inlineStr">
        <is>
          <t>COBBLEVERSE 수정</t>
        </is>
      </c>
      <c r="AK862" s="18" t="inlineStr">
        <is>
          <t>사용</t>
        </is>
      </c>
      <c r="AL862" s="18" t="inlineStr">
        <is>
          <t>COBBLEVERSE 1.7.42 / DP v31</t>
        </is>
      </c>
      <c r="AM862" s="18" t="inlineStr">
        <is>
          <t>data/cobblemon/spawn_pool_world/0201_unown.json</t>
        </is>
      </c>
      <c r="AN862" s="18" t="inlineStr">
        <is>
          <t>unown-y-3</t>
        </is>
      </c>
      <c r="AO862" s="18" t="inlineStr">
        <is>
          <t>pokemon</t>
        </is>
      </c>
      <c r="AP862" s="18" t="inlineStr">
        <is>
          <t>trail_ruins</t>
        </is>
      </c>
      <c r="AQ862" s="18" t="inlineStr">
        <is>
          <t>{"biomes":["#cobblemon:is_overworld"],"minY":48}</t>
        </is>
      </c>
      <c r="AR862" s="18" t="inlineStr"/>
      <c r="AS862" s="18" t="inlineStr"/>
      <c r="AT862" s="19" t="inlineStr"/>
    </row>
    <row r="863" ht="32" customHeight="1">
      <c r="A863" s="18" t="inlineStr">
        <is>
          <t>0201_unown.json::unown-z-3::054</t>
        </is>
      </c>
      <c r="B863" s="19" t="inlineStr">
        <is>
          <t>사용</t>
        </is>
      </c>
      <c r="C863" s="18">
        <f>IF(OR(B863&lt;&gt;AK863,M863&lt;&gt;L863,O863&lt;&gt;"",Q863&lt;&gt;"",V863&lt;&gt;1,Y863&lt;&gt;"",AT863&lt;&gt;""),"수정","원본")</f>
        <v/>
      </c>
      <c r="D863" s="18" t="n">
        <v>201</v>
      </c>
      <c r="E863" s="18" t="inlineStr">
        <is>
          <t>안농</t>
        </is>
      </c>
      <c r="F863" s="18" t="inlineStr">
        <is>
          <t>unown</t>
        </is>
      </c>
      <c r="G863" s="18" t="inlineStr">
        <is>
          <t>unown character=z</t>
        </is>
      </c>
      <c r="H863" s="18" t="inlineStr">
        <is>
          <t>character=z</t>
        </is>
      </c>
      <c r="I863" s="18" t="n">
        <v>2</v>
      </c>
      <c r="J863" s="18" t="n"/>
      <c r="K863" s="18" t="n">
        <v>2</v>
      </c>
      <c r="L863" s="18" t="inlineStr">
        <is>
          <t>cobbleventure:generation_2</t>
        </is>
      </c>
      <c r="M863" s="19" t="inlineStr">
        <is>
          <t>cobbleventure:generation_2</t>
        </is>
      </c>
      <c r="N863" s="18" t="inlineStr">
        <is>
          <t>region_01; region_02</t>
        </is>
      </c>
      <c r="O863" s="19" t="inlineStr"/>
      <c r="P863" s="18" t="inlineStr">
        <is>
          <t>#cobblemon:is_overworld</t>
        </is>
      </c>
      <c r="Q863" s="19" t="inlineStr"/>
      <c r="R863" s="18">
        <f>IF(Q863="",P863,Q863)</f>
        <v/>
      </c>
      <c r="S863" s="18" t="inlineStr"/>
      <c r="T863" s="18" t="inlineStr">
        <is>
          <t>common</t>
        </is>
      </c>
      <c r="U863" s="20" t="n">
        <v>0.754</v>
      </c>
      <c r="V863" s="21" t="n">
        <v>1</v>
      </c>
      <c r="W863" s="20">
        <f>IF(OR(U863="",V863=""),U863,U863*V863)</f>
        <v/>
      </c>
      <c r="X863" s="18" t="inlineStr">
        <is>
          <t>1-100</t>
        </is>
      </c>
      <c r="Y863" s="19" t="inlineStr"/>
      <c r="Z863" s="18">
        <f>IF(Y863="",X863,Y863)</f>
        <v/>
      </c>
      <c r="AA863" s="18" t="inlineStr">
        <is>
          <t>grounded</t>
        </is>
      </c>
      <c r="AB863" s="18" t="inlineStr"/>
      <c r="AC863" s="18" t="inlineStr"/>
      <c r="AD863" s="18" t="inlineStr">
        <is>
          <t>minY=48</t>
        </is>
      </c>
      <c r="AE863" s="18" t="inlineStr"/>
      <c r="AF863" s="18" t="inlineStr"/>
      <c r="AG863" s="18" t="inlineStr"/>
      <c r="AH863" s="18" t="inlineStr"/>
      <c r="AI863" s="18" t="inlineStr"/>
      <c r="AJ863" s="18" t="inlineStr">
        <is>
          <t>COBBLEVERSE 수정</t>
        </is>
      </c>
      <c r="AK863" s="18" t="inlineStr">
        <is>
          <t>사용</t>
        </is>
      </c>
      <c r="AL863" s="18" t="inlineStr">
        <is>
          <t>COBBLEVERSE 1.7.42 / DP v31</t>
        </is>
      </c>
      <c r="AM863" s="18" t="inlineStr">
        <is>
          <t>data/cobblemon/spawn_pool_world/0201_unown.json</t>
        </is>
      </c>
      <c r="AN863" s="18" t="inlineStr">
        <is>
          <t>unown-z-3</t>
        </is>
      </c>
      <c r="AO863" s="18" t="inlineStr">
        <is>
          <t>pokemon</t>
        </is>
      </c>
      <c r="AP863" s="18" t="inlineStr">
        <is>
          <t>trail_ruins</t>
        </is>
      </c>
      <c r="AQ863" s="18" t="inlineStr">
        <is>
          <t>{"biomes":["#cobblemon:is_overworld"],"minY":48}</t>
        </is>
      </c>
      <c r="AR863" s="18" t="inlineStr"/>
      <c r="AS863" s="18" t="inlineStr"/>
      <c r="AT863" s="19" t="inlineStr"/>
    </row>
    <row r="864" ht="32" customHeight="1">
      <c r="A864" s="18" t="inlineStr">
        <is>
          <t>0201_unown.json::unown-!-4::055</t>
        </is>
      </c>
      <c r="B864" s="19" t="inlineStr">
        <is>
          <t>사용</t>
        </is>
      </c>
      <c r="C864" s="18">
        <f>IF(OR(B864&lt;&gt;AK864,M864&lt;&gt;L864,O864&lt;&gt;"",Q864&lt;&gt;"",V864&lt;&gt;1,Y864&lt;&gt;"",AT864&lt;&gt;""),"수정","원본")</f>
        <v/>
      </c>
      <c r="D864" s="18" t="n">
        <v>201</v>
      </c>
      <c r="E864" s="18" t="inlineStr">
        <is>
          <t>안농</t>
        </is>
      </c>
      <c r="F864" s="18" t="inlineStr">
        <is>
          <t>unown</t>
        </is>
      </c>
      <c r="G864" s="18" t="inlineStr">
        <is>
          <t>unown character=!</t>
        </is>
      </c>
      <c r="H864" s="18" t="inlineStr">
        <is>
          <t>character=!</t>
        </is>
      </c>
      <c r="I864" s="18" t="n">
        <v>2</v>
      </c>
      <c r="J864" s="18" t="n"/>
      <c r="K864" s="18" t="n">
        <v>2</v>
      </c>
      <c r="L864" s="18" t="inlineStr">
        <is>
          <t>cobbleventure:generation_2</t>
        </is>
      </c>
      <c r="M864" s="19" t="inlineStr">
        <is>
          <t>cobbleventure:generation_2</t>
        </is>
      </c>
      <c r="N864" s="18" t="inlineStr">
        <is>
          <t>region_01; region_02</t>
        </is>
      </c>
      <c r="O864" s="19" t="inlineStr"/>
      <c r="P864" s="18" t="inlineStr">
        <is>
          <t>#cobblemon:is_overworld</t>
        </is>
      </c>
      <c r="Q864" s="19" t="inlineStr"/>
      <c r="R864" s="18">
        <f>IF(Q864="",P864,Q864)</f>
        <v/>
      </c>
      <c r="S864" s="18" t="inlineStr"/>
      <c r="T864" s="18" t="inlineStr">
        <is>
          <t>common</t>
        </is>
      </c>
      <c r="U864" s="20" t="n">
        <v>0.2</v>
      </c>
      <c r="V864" s="21" t="n">
        <v>1</v>
      </c>
      <c r="W864" s="20">
        <f>IF(OR(U864="",V864=""),U864,U864*V864)</f>
        <v/>
      </c>
      <c r="X864" s="18" t="inlineStr">
        <is>
          <t>1-100</t>
        </is>
      </c>
      <c r="Y864" s="19" t="inlineStr"/>
      <c r="Z864" s="18">
        <f>IF(Y864="",X864,Y864)</f>
        <v/>
      </c>
      <c r="AA864" s="18" t="inlineStr">
        <is>
          <t>grounded</t>
        </is>
      </c>
      <c r="AB864" s="18" t="inlineStr"/>
      <c r="AC864" s="18" t="inlineStr"/>
      <c r="AD864" s="18" t="inlineStr">
        <is>
          <t>minY=48</t>
        </is>
      </c>
      <c r="AE864" s="18" t="inlineStr"/>
      <c r="AF864" s="18" t="inlineStr"/>
      <c r="AG864" s="18" t="inlineStr"/>
      <c r="AH864" s="18" t="inlineStr"/>
      <c r="AI864" s="18" t="inlineStr"/>
      <c r="AJ864" s="18" t="inlineStr">
        <is>
          <t>COBBLEVERSE 수정</t>
        </is>
      </c>
      <c r="AK864" s="18" t="inlineStr">
        <is>
          <t>사용</t>
        </is>
      </c>
      <c r="AL864" s="18" t="inlineStr">
        <is>
          <t>COBBLEVERSE 1.7.42 / DP v31</t>
        </is>
      </c>
      <c r="AM864" s="18" t="inlineStr">
        <is>
          <t>data/cobblemon/spawn_pool_world/0201_unown.json</t>
        </is>
      </c>
      <c r="AN864" s="18" t="inlineStr">
        <is>
          <t>unown-!-4</t>
        </is>
      </c>
      <c r="AO864" s="18" t="inlineStr">
        <is>
          <t>pokemon</t>
        </is>
      </c>
      <c r="AP864" s="18" t="inlineStr">
        <is>
          <t>trail_ruins</t>
        </is>
      </c>
      <c r="AQ864" s="18" t="inlineStr">
        <is>
          <t>{"biomes":["#cobblemon:is_overworld"],"minY":48}</t>
        </is>
      </c>
      <c r="AR864" s="18" t="inlineStr"/>
      <c r="AS864" s="18" t="inlineStr"/>
      <c r="AT864" s="19" t="inlineStr"/>
    </row>
    <row r="865" ht="32" customHeight="1">
      <c r="A865" s="18" t="inlineStr">
        <is>
          <t>0201_unown.json::unown-?-4::056</t>
        </is>
      </c>
      <c r="B865" s="19" t="inlineStr">
        <is>
          <t>사용</t>
        </is>
      </c>
      <c r="C865" s="18">
        <f>IF(OR(B865&lt;&gt;AK865,M865&lt;&gt;L865,O865&lt;&gt;"",Q865&lt;&gt;"",V865&lt;&gt;1,Y865&lt;&gt;"",AT865&lt;&gt;""),"수정","원본")</f>
        <v/>
      </c>
      <c r="D865" s="18" t="n">
        <v>201</v>
      </c>
      <c r="E865" s="18" t="inlineStr">
        <is>
          <t>안농</t>
        </is>
      </c>
      <c r="F865" s="18" t="inlineStr">
        <is>
          <t>unown</t>
        </is>
      </c>
      <c r="G865" s="18" t="inlineStr">
        <is>
          <t>unown character=?</t>
        </is>
      </c>
      <c r="H865" s="18" t="inlineStr">
        <is>
          <t>character=?</t>
        </is>
      </c>
      <c r="I865" s="18" t="n">
        <v>2</v>
      </c>
      <c r="J865" s="18" t="n"/>
      <c r="K865" s="18" t="n">
        <v>2</v>
      </c>
      <c r="L865" s="18" t="inlineStr">
        <is>
          <t>cobbleventure:generation_2</t>
        </is>
      </c>
      <c r="M865" s="19" t="inlineStr">
        <is>
          <t>cobbleventure:generation_2</t>
        </is>
      </c>
      <c r="N865" s="18" t="inlineStr">
        <is>
          <t>region_01; region_02</t>
        </is>
      </c>
      <c r="O865" s="19" t="inlineStr"/>
      <c r="P865" s="18" t="inlineStr">
        <is>
          <t>#cobblemon:is_overworld</t>
        </is>
      </c>
      <c r="Q865" s="19" t="inlineStr"/>
      <c r="R865" s="18">
        <f>IF(Q865="",P865,Q865)</f>
        <v/>
      </c>
      <c r="S865" s="18" t="inlineStr"/>
      <c r="T865" s="18" t="inlineStr">
        <is>
          <t>common</t>
        </is>
      </c>
      <c r="U865" s="20" t="n">
        <v>0.2</v>
      </c>
      <c r="V865" s="21" t="n">
        <v>1</v>
      </c>
      <c r="W865" s="20">
        <f>IF(OR(U865="",V865=""),U865,U865*V865)</f>
        <v/>
      </c>
      <c r="X865" s="18" t="inlineStr">
        <is>
          <t>1-100</t>
        </is>
      </c>
      <c r="Y865" s="19" t="inlineStr"/>
      <c r="Z865" s="18">
        <f>IF(Y865="",X865,Y865)</f>
        <v/>
      </c>
      <c r="AA865" s="18" t="inlineStr">
        <is>
          <t>grounded</t>
        </is>
      </c>
      <c r="AB865" s="18" t="inlineStr"/>
      <c r="AC865" s="18" t="inlineStr"/>
      <c r="AD865" s="18" t="inlineStr">
        <is>
          <t>minY=48</t>
        </is>
      </c>
      <c r="AE865" s="18" t="inlineStr"/>
      <c r="AF865" s="18" t="inlineStr"/>
      <c r="AG865" s="18" t="inlineStr"/>
      <c r="AH865" s="18" t="inlineStr"/>
      <c r="AI865" s="18" t="inlineStr"/>
      <c r="AJ865" s="18" t="inlineStr">
        <is>
          <t>COBBLEVERSE 수정</t>
        </is>
      </c>
      <c r="AK865" s="18" t="inlineStr">
        <is>
          <t>사용</t>
        </is>
      </c>
      <c r="AL865" s="18" t="inlineStr">
        <is>
          <t>COBBLEVERSE 1.7.42 / DP v31</t>
        </is>
      </c>
      <c r="AM865" s="18" t="inlineStr">
        <is>
          <t>data/cobblemon/spawn_pool_world/0201_unown.json</t>
        </is>
      </c>
      <c r="AN865" s="18" t="inlineStr">
        <is>
          <t>unown-?-4</t>
        </is>
      </c>
      <c r="AO865" s="18" t="inlineStr">
        <is>
          <t>pokemon</t>
        </is>
      </c>
      <c r="AP865" s="18" t="inlineStr">
        <is>
          <t>trail_ruins</t>
        </is>
      </c>
      <c r="AQ865" s="18" t="inlineStr">
        <is>
          <t>{"biomes":["#cobblemon:is_overworld"],"minY":48}</t>
        </is>
      </c>
      <c r="AR865" s="18" t="inlineStr"/>
      <c r="AS865" s="18" t="inlineStr"/>
      <c r="AT865" s="19" t="inlineStr"/>
    </row>
    <row r="866" ht="32" customHeight="1">
      <c r="A866" s="18" t="inlineStr">
        <is>
          <t>0201_unown.json::unown-a-5::057</t>
        </is>
      </c>
      <c r="B866" s="19" t="inlineStr">
        <is>
          <t>사용</t>
        </is>
      </c>
      <c r="C866" s="18">
        <f>IF(OR(B866&lt;&gt;AK866,M866&lt;&gt;L866,O866&lt;&gt;"",Q866&lt;&gt;"",V866&lt;&gt;1,Y866&lt;&gt;"",AT866&lt;&gt;""),"수정","원본")</f>
        <v/>
      </c>
      <c r="D866" s="18" t="n">
        <v>201</v>
      </c>
      <c r="E866" s="18" t="inlineStr">
        <is>
          <t>안농</t>
        </is>
      </c>
      <c r="F866" s="18" t="inlineStr">
        <is>
          <t>unown</t>
        </is>
      </c>
      <c r="G866" s="18" t="inlineStr">
        <is>
          <t>unown character=a</t>
        </is>
      </c>
      <c r="H866" s="18" t="inlineStr">
        <is>
          <t>character=a</t>
        </is>
      </c>
      <c r="I866" s="18" t="n">
        <v>2</v>
      </c>
      <c r="J866" s="18" t="n"/>
      <c r="K866" s="18" t="n">
        <v>2</v>
      </c>
      <c r="L866" s="18" t="inlineStr">
        <is>
          <t>cobbleventure:generation_2</t>
        </is>
      </c>
      <c r="M866" s="19" t="inlineStr">
        <is>
          <t>cobbleventure:generation_2</t>
        </is>
      </c>
      <c r="N866" s="18" t="inlineStr"/>
      <c r="O866" s="19" t="inlineStr"/>
      <c r="P866" s="18" t="inlineStr">
        <is>
          <t>the_bumblezone:howling_constructs</t>
        </is>
      </c>
      <c r="Q866" s="19" t="inlineStr"/>
      <c r="R866" s="18">
        <f>IF(Q866="",P866,Q866)</f>
        <v/>
      </c>
      <c r="S866" s="18" t="inlineStr"/>
      <c r="T866" s="18" t="inlineStr">
        <is>
          <t>common</t>
        </is>
      </c>
      <c r="U866" s="20" t="n">
        <v>3.2</v>
      </c>
      <c r="V866" s="21" t="n">
        <v>1</v>
      </c>
      <c r="W866" s="20">
        <f>IF(OR(U866="",V866=""),U866,U866*V866)</f>
        <v/>
      </c>
      <c r="X866" s="18" t="inlineStr">
        <is>
          <t>1-100</t>
        </is>
      </c>
      <c r="Y866" s="19" t="inlineStr"/>
      <c r="Z866" s="18">
        <f>IF(Y866="",X866,Y866)</f>
        <v/>
      </c>
      <c r="AA866" s="18" t="inlineStr">
        <is>
          <t>grounded</t>
        </is>
      </c>
      <c r="AB866" s="18" t="inlineStr"/>
      <c r="AC866" s="18" t="inlineStr"/>
      <c r="AD866" s="18" t="inlineStr"/>
      <c r="AE866" s="18" t="inlineStr"/>
      <c r="AF866" s="18" t="inlineStr"/>
      <c r="AG866" s="18" t="inlineStr"/>
      <c r="AH866" s="18" t="inlineStr"/>
      <c r="AI866" s="18" t="inlineStr"/>
      <c r="AJ866" s="18" t="inlineStr">
        <is>
          <t>COBBLEVERSE 수정</t>
        </is>
      </c>
      <c r="AK866" s="18" t="inlineStr">
        <is>
          <t>사용</t>
        </is>
      </c>
      <c r="AL866" s="18" t="inlineStr">
        <is>
          <t>COBBLEVERSE 1.7.42 / DP v31</t>
        </is>
      </c>
      <c r="AM866" s="18" t="inlineStr">
        <is>
          <t>data/cobblemon/spawn_pool_world/0201_unown.json</t>
        </is>
      </c>
      <c r="AN866" s="18" t="inlineStr">
        <is>
          <t>unown-a-5</t>
        </is>
      </c>
      <c r="AO866" s="18" t="inlineStr">
        <is>
          <t>pokemon</t>
        </is>
      </c>
      <c r="AP866" s="18" t="inlineStr"/>
      <c r="AQ866" s="18" t="inlineStr">
        <is>
          <t>{"biomes":["the_bumblezone:howling_constructs"]}</t>
        </is>
      </c>
      <c r="AR866" s="18" t="inlineStr">
        <is>
          <t>{"structures":["#the_bumblezone:sempiternal_sanctums"]}</t>
        </is>
      </c>
      <c r="AS866" s="18" t="inlineStr"/>
      <c r="AT866" s="19" t="inlineStr"/>
    </row>
    <row r="867" ht="32" customHeight="1">
      <c r="A867" s="18" t="inlineStr">
        <is>
          <t>0201_unown.json::unown-b-5::058</t>
        </is>
      </c>
      <c r="B867" s="19" t="inlineStr">
        <is>
          <t>사용</t>
        </is>
      </c>
      <c r="C867" s="18">
        <f>IF(OR(B867&lt;&gt;AK867,M867&lt;&gt;L867,O867&lt;&gt;"",Q867&lt;&gt;"",V867&lt;&gt;1,Y867&lt;&gt;"",AT867&lt;&gt;""),"수정","원본")</f>
        <v/>
      </c>
      <c r="D867" s="18" t="n">
        <v>201</v>
      </c>
      <c r="E867" s="18" t="inlineStr">
        <is>
          <t>안농</t>
        </is>
      </c>
      <c r="F867" s="18" t="inlineStr">
        <is>
          <t>unown</t>
        </is>
      </c>
      <c r="G867" s="18" t="inlineStr">
        <is>
          <t>unown character=b</t>
        </is>
      </c>
      <c r="H867" s="18" t="inlineStr">
        <is>
          <t>character=b</t>
        </is>
      </c>
      <c r="I867" s="18" t="n">
        <v>2</v>
      </c>
      <c r="J867" s="18" t="n"/>
      <c r="K867" s="18" t="n">
        <v>2</v>
      </c>
      <c r="L867" s="18" t="inlineStr">
        <is>
          <t>cobbleventure:generation_2</t>
        </is>
      </c>
      <c r="M867" s="19" t="inlineStr">
        <is>
          <t>cobbleventure:generation_2</t>
        </is>
      </c>
      <c r="N867" s="18" t="inlineStr"/>
      <c r="O867" s="19" t="inlineStr"/>
      <c r="P867" s="18" t="inlineStr">
        <is>
          <t>the_bumblezone:howling_constructs</t>
        </is>
      </c>
      <c r="Q867" s="19" t="inlineStr"/>
      <c r="R867" s="18">
        <f>IF(Q867="",P867,Q867)</f>
        <v/>
      </c>
      <c r="S867" s="18" t="inlineStr"/>
      <c r="T867" s="18" t="inlineStr">
        <is>
          <t>common</t>
        </is>
      </c>
      <c r="U867" s="20" t="n">
        <v>3.2</v>
      </c>
      <c r="V867" s="21" t="n">
        <v>1</v>
      </c>
      <c r="W867" s="20">
        <f>IF(OR(U867="",V867=""),U867,U867*V867)</f>
        <v/>
      </c>
      <c r="X867" s="18" t="inlineStr">
        <is>
          <t>1-100</t>
        </is>
      </c>
      <c r="Y867" s="19" t="inlineStr"/>
      <c r="Z867" s="18">
        <f>IF(Y867="",X867,Y867)</f>
        <v/>
      </c>
      <c r="AA867" s="18" t="inlineStr">
        <is>
          <t>grounded</t>
        </is>
      </c>
      <c r="AB867" s="18" t="inlineStr"/>
      <c r="AC867" s="18" t="inlineStr"/>
      <c r="AD867" s="18" t="inlineStr"/>
      <c r="AE867" s="18" t="inlineStr"/>
      <c r="AF867" s="18" t="inlineStr"/>
      <c r="AG867" s="18" t="inlineStr"/>
      <c r="AH867" s="18" t="inlineStr"/>
      <c r="AI867" s="18" t="inlineStr"/>
      <c r="AJ867" s="18" t="inlineStr">
        <is>
          <t>COBBLEVERSE 수정</t>
        </is>
      </c>
      <c r="AK867" s="18" t="inlineStr">
        <is>
          <t>사용</t>
        </is>
      </c>
      <c r="AL867" s="18" t="inlineStr">
        <is>
          <t>COBBLEVERSE 1.7.42 / DP v31</t>
        </is>
      </c>
      <c r="AM867" s="18" t="inlineStr">
        <is>
          <t>data/cobblemon/spawn_pool_world/0201_unown.json</t>
        </is>
      </c>
      <c r="AN867" s="18" t="inlineStr">
        <is>
          <t>unown-b-5</t>
        </is>
      </c>
      <c r="AO867" s="18" t="inlineStr">
        <is>
          <t>pokemon</t>
        </is>
      </c>
      <c r="AP867" s="18" t="inlineStr"/>
      <c r="AQ867" s="18" t="inlineStr">
        <is>
          <t>{"biomes":["the_bumblezone:howling_constructs"]}</t>
        </is>
      </c>
      <c r="AR867" s="18" t="inlineStr">
        <is>
          <t>{"structures":["#the_bumblezone:sempiternal_sanctums"]}</t>
        </is>
      </c>
      <c r="AS867" s="18" t="inlineStr"/>
      <c r="AT867" s="19" t="inlineStr"/>
    </row>
    <row r="868" ht="32" customHeight="1">
      <c r="A868" s="18" t="inlineStr">
        <is>
          <t>0201_unown.json::unown-c-5::059</t>
        </is>
      </c>
      <c r="B868" s="19" t="inlineStr">
        <is>
          <t>사용</t>
        </is>
      </c>
      <c r="C868" s="18">
        <f>IF(OR(B868&lt;&gt;AK868,M868&lt;&gt;L868,O868&lt;&gt;"",Q868&lt;&gt;"",V868&lt;&gt;1,Y868&lt;&gt;"",AT868&lt;&gt;""),"수정","원본")</f>
        <v/>
      </c>
      <c r="D868" s="18" t="n">
        <v>201</v>
      </c>
      <c r="E868" s="18" t="inlineStr">
        <is>
          <t>안농</t>
        </is>
      </c>
      <c r="F868" s="18" t="inlineStr">
        <is>
          <t>unown</t>
        </is>
      </c>
      <c r="G868" s="18" t="inlineStr">
        <is>
          <t>unown character=c</t>
        </is>
      </c>
      <c r="H868" s="18" t="inlineStr">
        <is>
          <t>character=c</t>
        </is>
      </c>
      <c r="I868" s="18" t="n">
        <v>2</v>
      </c>
      <c r="J868" s="18" t="n"/>
      <c r="K868" s="18" t="n">
        <v>2</v>
      </c>
      <c r="L868" s="18" t="inlineStr">
        <is>
          <t>cobbleventure:generation_2</t>
        </is>
      </c>
      <c r="M868" s="19" t="inlineStr">
        <is>
          <t>cobbleventure:generation_2</t>
        </is>
      </c>
      <c r="N868" s="18" t="inlineStr"/>
      <c r="O868" s="19" t="inlineStr"/>
      <c r="P868" s="18" t="inlineStr">
        <is>
          <t>the_bumblezone:howling_constructs</t>
        </is>
      </c>
      <c r="Q868" s="19" t="inlineStr"/>
      <c r="R868" s="18">
        <f>IF(Q868="",P868,Q868)</f>
        <v/>
      </c>
      <c r="S868" s="18" t="inlineStr"/>
      <c r="T868" s="18" t="inlineStr">
        <is>
          <t>common</t>
        </is>
      </c>
      <c r="U868" s="20" t="n">
        <v>3.2</v>
      </c>
      <c r="V868" s="21" t="n">
        <v>1</v>
      </c>
      <c r="W868" s="20">
        <f>IF(OR(U868="",V868=""),U868,U868*V868)</f>
        <v/>
      </c>
      <c r="X868" s="18" t="inlineStr">
        <is>
          <t>1-100</t>
        </is>
      </c>
      <c r="Y868" s="19" t="inlineStr"/>
      <c r="Z868" s="18">
        <f>IF(Y868="",X868,Y868)</f>
        <v/>
      </c>
      <c r="AA868" s="18" t="inlineStr">
        <is>
          <t>grounded</t>
        </is>
      </c>
      <c r="AB868" s="18" t="inlineStr"/>
      <c r="AC868" s="18" t="inlineStr"/>
      <c r="AD868" s="18" t="inlineStr"/>
      <c r="AE868" s="18" t="inlineStr"/>
      <c r="AF868" s="18" t="inlineStr"/>
      <c r="AG868" s="18" t="inlineStr"/>
      <c r="AH868" s="18" t="inlineStr"/>
      <c r="AI868" s="18" t="inlineStr"/>
      <c r="AJ868" s="18" t="inlineStr">
        <is>
          <t>COBBLEVERSE 수정</t>
        </is>
      </c>
      <c r="AK868" s="18" t="inlineStr">
        <is>
          <t>사용</t>
        </is>
      </c>
      <c r="AL868" s="18" t="inlineStr">
        <is>
          <t>COBBLEVERSE 1.7.42 / DP v31</t>
        </is>
      </c>
      <c r="AM868" s="18" t="inlineStr">
        <is>
          <t>data/cobblemon/spawn_pool_world/0201_unown.json</t>
        </is>
      </c>
      <c r="AN868" s="18" t="inlineStr">
        <is>
          <t>unown-c-5</t>
        </is>
      </c>
      <c r="AO868" s="18" t="inlineStr">
        <is>
          <t>pokemon</t>
        </is>
      </c>
      <c r="AP868" s="18" t="inlineStr"/>
      <c r="AQ868" s="18" t="inlineStr">
        <is>
          <t>{"biomes":["the_bumblezone:howling_constructs"]}</t>
        </is>
      </c>
      <c r="AR868" s="18" t="inlineStr">
        <is>
          <t>{"structures":["#the_bumblezone:sempiternal_sanctums"]}</t>
        </is>
      </c>
      <c r="AS868" s="18" t="inlineStr"/>
      <c r="AT868" s="19" t="inlineStr"/>
    </row>
    <row r="869" ht="32" customHeight="1">
      <c r="A869" s="18" t="inlineStr">
        <is>
          <t>0201_unown.json::unown-d-5::060</t>
        </is>
      </c>
      <c r="B869" s="19" t="inlineStr">
        <is>
          <t>사용</t>
        </is>
      </c>
      <c r="C869" s="18">
        <f>IF(OR(B869&lt;&gt;AK869,M869&lt;&gt;L869,O869&lt;&gt;"",Q869&lt;&gt;"",V869&lt;&gt;1,Y869&lt;&gt;"",AT869&lt;&gt;""),"수정","원본")</f>
        <v/>
      </c>
      <c r="D869" s="18" t="n">
        <v>201</v>
      </c>
      <c r="E869" s="18" t="inlineStr">
        <is>
          <t>안농</t>
        </is>
      </c>
      <c r="F869" s="18" t="inlineStr">
        <is>
          <t>unown</t>
        </is>
      </c>
      <c r="G869" s="18" t="inlineStr">
        <is>
          <t>unown character=d</t>
        </is>
      </c>
      <c r="H869" s="18" t="inlineStr">
        <is>
          <t>character=d</t>
        </is>
      </c>
      <c r="I869" s="18" t="n">
        <v>2</v>
      </c>
      <c r="J869" s="18" t="n"/>
      <c r="K869" s="18" t="n">
        <v>2</v>
      </c>
      <c r="L869" s="18" t="inlineStr">
        <is>
          <t>cobbleventure:generation_2</t>
        </is>
      </c>
      <c r="M869" s="19" t="inlineStr">
        <is>
          <t>cobbleventure:generation_2</t>
        </is>
      </c>
      <c r="N869" s="18" t="inlineStr"/>
      <c r="O869" s="19" t="inlineStr"/>
      <c r="P869" s="18" t="inlineStr">
        <is>
          <t>the_bumblezone:howling_constructs</t>
        </is>
      </c>
      <c r="Q869" s="19" t="inlineStr"/>
      <c r="R869" s="18">
        <f>IF(Q869="",P869,Q869)</f>
        <v/>
      </c>
      <c r="S869" s="18" t="inlineStr"/>
      <c r="T869" s="18" t="inlineStr">
        <is>
          <t>common</t>
        </is>
      </c>
      <c r="U869" s="20" t="n">
        <v>3.2</v>
      </c>
      <c r="V869" s="21" t="n">
        <v>1</v>
      </c>
      <c r="W869" s="20">
        <f>IF(OR(U869="",V869=""),U869,U869*V869)</f>
        <v/>
      </c>
      <c r="X869" s="18" t="inlineStr">
        <is>
          <t>1-100</t>
        </is>
      </c>
      <c r="Y869" s="19" t="inlineStr"/>
      <c r="Z869" s="18">
        <f>IF(Y869="",X869,Y869)</f>
        <v/>
      </c>
      <c r="AA869" s="18" t="inlineStr">
        <is>
          <t>grounded</t>
        </is>
      </c>
      <c r="AB869" s="18" t="inlineStr"/>
      <c r="AC869" s="18" t="inlineStr"/>
      <c r="AD869" s="18" t="inlineStr"/>
      <c r="AE869" s="18" t="inlineStr"/>
      <c r="AF869" s="18" t="inlineStr"/>
      <c r="AG869" s="18" t="inlineStr"/>
      <c r="AH869" s="18" t="inlineStr"/>
      <c r="AI869" s="18" t="inlineStr"/>
      <c r="AJ869" s="18" t="inlineStr">
        <is>
          <t>COBBLEVERSE 수정</t>
        </is>
      </c>
      <c r="AK869" s="18" t="inlineStr">
        <is>
          <t>사용</t>
        </is>
      </c>
      <c r="AL869" s="18" t="inlineStr">
        <is>
          <t>COBBLEVERSE 1.7.42 / DP v31</t>
        </is>
      </c>
      <c r="AM869" s="18" t="inlineStr">
        <is>
          <t>data/cobblemon/spawn_pool_world/0201_unown.json</t>
        </is>
      </c>
      <c r="AN869" s="18" t="inlineStr">
        <is>
          <t>unown-d-5</t>
        </is>
      </c>
      <c r="AO869" s="18" t="inlineStr">
        <is>
          <t>pokemon</t>
        </is>
      </c>
      <c r="AP869" s="18" t="inlineStr"/>
      <c r="AQ869" s="18" t="inlineStr">
        <is>
          <t>{"biomes":["the_bumblezone:howling_constructs"]}</t>
        </is>
      </c>
      <c r="AR869" s="18" t="inlineStr">
        <is>
          <t>{"structures":["#the_bumblezone:sempiternal_sanctums"]}</t>
        </is>
      </c>
      <c r="AS869" s="18" t="inlineStr"/>
      <c r="AT869" s="19" t="inlineStr"/>
    </row>
    <row r="870" ht="32" customHeight="1">
      <c r="A870" s="18" t="inlineStr">
        <is>
          <t>0201_unown.json::unown-e-5::061</t>
        </is>
      </c>
      <c r="B870" s="19" t="inlineStr">
        <is>
          <t>사용</t>
        </is>
      </c>
      <c r="C870" s="18">
        <f>IF(OR(B870&lt;&gt;AK870,M870&lt;&gt;L870,O870&lt;&gt;"",Q870&lt;&gt;"",V870&lt;&gt;1,Y870&lt;&gt;"",AT870&lt;&gt;""),"수정","원본")</f>
        <v/>
      </c>
      <c r="D870" s="18" t="n">
        <v>201</v>
      </c>
      <c r="E870" s="18" t="inlineStr">
        <is>
          <t>안농</t>
        </is>
      </c>
      <c r="F870" s="18" t="inlineStr">
        <is>
          <t>unown</t>
        </is>
      </c>
      <c r="G870" s="18" t="inlineStr">
        <is>
          <t>unown character=e</t>
        </is>
      </c>
      <c r="H870" s="18" t="inlineStr">
        <is>
          <t>character=e</t>
        </is>
      </c>
      <c r="I870" s="18" t="n">
        <v>2</v>
      </c>
      <c r="J870" s="18" t="n"/>
      <c r="K870" s="18" t="n">
        <v>2</v>
      </c>
      <c r="L870" s="18" t="inlineStr">
        <is>
          <t>cobbleventure:generation_2</t>
        </is>
      </c>
      <c r="M870" s="19" t="inlineStr">
        <is>
          <t>cobbleventure:generation_2</t>
        </is>
      </c>
      <c r="N870" s="18" t="inlineStr"/>
      <c r="O870" s="19" t="inlineStr"/>
      <c r="P870" s="18" t="inlineStr">
        <is>
          <t>the_bumblezone:howling_constructs</t>
        </is>
      </c>
      <c r="Q870" s="19" t="inlineStr"/>
      <c r="R870" s="18">
        <f>IF(Q870="",P870,Q870)</f>
        <v/>
      </c>
      <c r="S870" s="18" t="inlineStr"/>
      <c r="T870" s="18" t="inlineStr">
        <is>
          <t>common</t>
        </is>
      </c>
      <c r="U870" s="20" t="n">
        <v>3.2</v>
      </c>
      <c r="V870" s="21" t="n">
        <v>1</v>
      </c>
      <c r="W870" s="20">
        <f>IF(OR(U870="",V870=""),U870,U870*V870)</f>
        <v/>
      </c>
      <c r="X870" s="18" t="inlineStr">
        <is>
          <t>1-100</t>
        </is>
      </c>
      <c r="Y870" s="19" t="inlineStr"/>
      <c r="Z870" s="18">
        <f>IF(Y870="",X870,Y870)</f>
        <v/>
      </c>
      <c r="AA870" s="18" t="inlineStr">
        <is>
          <t>grounded</t>
        </is>
      </c>
      <c r="AB870" s="18" t="inlineStr"/>
      <c r="AC870" s="18" t="inlineStr"/>
      <c r="AD870" s="18" t="inlineStr"/>
      <c r="AE870" s="18" t="inlineStr"/>
      <c r="AF870" s="18" t="inlineStr"/>
      <c r="AG870" s="18" t="inlineStr"/>
      <c r="AH870" s="18" t="inlineStr"/>
      <c r="AI870" s="18" t="inlineStr"/>
      <c r="AJ870" s="18" t="inlineStr">
        <is>
          <t>COBBLEVERSE 수정</t>
        </is>
      </c>
      <c r="AK870" s="18" t="inlineStr">
        <is>
          <t>사용</t>
        </is>
      </c>
      <c r="AL870" s="18" t="inlineStr">
        <is>
          <t>COBBLEVERSE 1.7.42 / DP v31</t>
        </is>
      </c>
      <c r="AM870" s="18" t="inlineStr">
        <is>
          <t>data/cobblemon/spawn_pool_world/0201_unown.json</t>
        </is>
      </c>
      <c r="AN870" s="18" t="inlineStr">
        <is>
          <t>unown-e-5</t>
        </is>
      </c>
      <c r="AO870" s="18" t="inlineStr">
        <is>
          <t>pokemon</t>
        </is>
      </c>
      <c r="AP870" s="18" t="inlineStr"/>
      <c r="AQ870" s="18" t="inlineStr">
        <is>
          <t>{"biomes":["the_bumblezone:howling_constructs"]}</t>
        </is>
      </c>
      <c r="AR870" s="18" t="inlineStr">
        <is>
          <t>{"structures":["#the_bumblezone:sempiternal_sanctums"]}</t>
        </is>
      </c>
      <c r="AS870" s="18" t="inlineStr"/>
      <c r="AT870" s="19" t="inlineStr"/>
    </row>
    <row r="871" ht="32" customHeight="1">
      <c r="A871" s="18" t="inlineStr">
        <is>
          <t>0201_unown.json::unown-f-5::062</t>
        </is>
      </c>
      <c r="B871" s="19" t="inlineStr">
        <is>
          <t>사용</t>
        </is>
      </c>
      <c r="C871" s="18">
        <f>IF(OR(B871&lt;&gt;AK871,M871&lt;&gt;L871,O871&lt;&gt;"",Q871&lt;&gt;"",V871&lt;&gt;1,Y871&lt;&gt;"",AT871&lt;&gt;""),"수정","원본")</f>
        <v/>
      </c>
      <c r="D871" s="18" t="n">
        <v>201</v>
      </c>
      <c r="E871" s="18" t="inlineStr">
        <is>
          <t>안농</t>
        </is>
      </c>
      <c r="F871" s="18" t="inlineStr">
        <is>
          <t>unown</t>
        </is>
      </c>
      <c r="G871" s="18" t="inlineStr">
        <is>
          <t>unown character=f</t>
        </is>
      </c>
      <c r="H871" s="18" t="inlineStr">
        <is>
          <t>character=f</t>
        </is>
      </c>
      <c r="I871" s="18" t="n">
        <v>2</v>
      </c>
      <c r="J871" s="18" t="n"/>
      <c r="K871" s="18" t="n">
        <v>2</v>
      </c>
      <c r="L871" s="18" t="inlineStr">
        <is>
          <t>cobbleventure:generation_2</t>
        </is>
      </c>
      <c r="M871" s="19" t="inlineStr">
        <is>
          <t>cobbleventure:generation_2</t>
        </is>
      </c>
      <c r="N871" s="18" t="inlineStr"/>
      <c r="O871" s="19" t="inlineStr"/>
      <c r="P871" s="18" t="inlineStr">
        <is>
          <t>the_bumblezone:howling_constructs</t>
        </is>
      </c>
      <c r="Q871" s="19" t="inlineStr"/>
      <c r="R871" s="18">
        <f>IF(Q871="",P871,Q871)</f>
        <v/>
      </c>
      <c r="S871" s="18" t="inlineStr"/>
      <c r="T871" s="18" t="inlineStr">
        <is>
          <t>common</t>
        </is>
      </c>
      <c r="U871" s="20" t="n">
        <v>3.2</v>
      </c>
      <c r="V871" s="21" t="n">
        <v>1</v>
      </c>
      <c r="W871" s="20">
        <f>IF(OR(U871="",V871=""),U871,U871*V871)</f>
        <v/>
      </c>
      <c r="X871" s="18" t="inlineStr">
        <is>
          <t>1-100</t>
        </is>
      </c>
      <c r="Y871" s="19" t="inlineStr"/>
      <c r="Z871" s="18">
        <f>IF(Y871="",X871,Y871)</f>
        <v/>
      </c>
      <c r="AA871" s="18" t="inlineStr">
        <is>
          <t>grounded</t>
        </is>
      </c>
      <c r="AB871" s="18" t="inlineStr"/>
      <c r="AC871" s="18" t="inlineStr"/>
      <c r="AD871" s="18" t="inlineStr"/>
      <c r="AE871" s="18" t="inlineStr"/>
      <c r="AF871" s="18" t="inlineStr"/>
      <c r="AG871" s="18" t="inlineStr"/>
      <c r="AH871" s="18" t="inlineStr"/>
      <c r="AI871" s="18" t="inlineStr"/>
      <c r="AJ871" s="18" t="inlineStr">
        <is>
          <t>COBBLEVERSE 수정</t>
        </is>
      </c>
      <c r="AK871" s="18" t="inlineStr">
        <is>
          <t>사용</t>
        </is>
      </c>
      <c r="AL871" s="18" t="inlineStr">
        <is>
          <t>COBBLEVERSE 1.7.42 / DP v31</t>
        </is>
      </c>
      <c r="AM871" s="18" t="inlineStr">
        <is>
          <t>data/cobblemon/spawn_pool_world/0201_unown.json</t>
        </is>
      </c>
      <c r="AN871" s="18" t="inlineStr">
        <is>
          <t>unown-f-5</t>
        </is>
      </c>
      <c r="AO871" s="18" t="inlineStr">
        <is>
          <t>pokemon</t>
        </is>
      </c>
      <c r="AP871" s="18" t="inlineStr"/>
      <c r="AQ871" s="18" t="inlineStr">
        <is>
          <t>{"biomes":["the_bumblezone:howling_constructs"]}</t>
        </is>
      </c>
      <c r="AR871" s="18" t="inlineStr">
        <is>
          <t>{"structures":["#the_bumblezone:sempiternal_sanctums"]}</t>
        </is>
      </c>
      <c r="AS871" s="18" t="inlineStr"/>
      <c r="AT871" s="19" t="inlineStr"/>
    </row>
    <row r="872" ht="32" customHeight="1">
      <c r="A872" s="18" t="inlineStr">
        <is>
          <t>0201_unown.json::unown-g-5::063</t>
        </is>
      </c>
      <c r="B872" s="19" t="inlineStr">
        <is>
          <t>사용</t>
        </is>
      </c>
      <c r="C872" s="18">
        <f>IF(OR(B872&lt;&gt;AK872,M872&lt;&gt;L872,O872&lt;&gt;"",Q872&lt;&gt;"",V872&lt;&gt;1,Y872&lt;&gt;"",AT872&lt;&gt;""),"수정","원본")</f>
        <v/>
      </c>
      <c r="D872" s="18" t="n">
        <v>201</v>
      </c>
      <c r="E872" s="18" t="inlineStr">
        <is>
          <t>안농</t>
        </is>
      </c>
      <c r="F872" s="18" t="inlineStr">
        <is>
          <t>unown</t>
        </is>
      </c>
      <c r="G872" s="18" t="inlineStr">
        <is>
          <t>unown character=g</t>
        </is>
      </c>
      <c r="H872" s="18" t="inlineStr">
        <is>
          <t>character=g</t>
        </is>
      </c>
      <c r="I872" s="18" t="n">
        <v>2</v>
      </c>
      <c r="J872" s="18" t="n"/>
      <c r="K872" s="18" t="n">
        <v>2</v>
      </c>
      <c r="L872" s="18" t="inlineStr">
        <is>
          <t>cobbleventure:generation_2</t>
        </is>
      </c>
      <c r="M872" s="19" t="inlineStr">
        <is>
          <t>cobbleventure:generation_2</t>
        </is>
      </c>
      <c r="N872" s="18" t="inlineStr"/>
      <c r="O872" s="19" t="inlineStr"/>
      <c r="P872" s="18" t="inlineStr">
        <is>
          <t>the_bumblezone:howling_constructs</t>
        </is>
      </c>
      <c r="Q872" s="19" t="inlineStr"/>
      <c r="R872" s="18">
        <f>IF(Q872="",P872,Q872)</f>
        <v/>
      </c>
      <c r="S872" s="18" t="inlineStr"/>
      <c r="T872" s="18" t="inlineStr">
        <is>
          <t>common</t>
        </is>
      </c>
      <c r="U872" s="20" t="n">
        <v>3.2</v>
      </c>
      <c r="V872" s="21" t="n">
        <v>1</v>
      </c>
      <c r="W872" s="20">
        <f>IF(OR(U872="",V872=""),U872,U872*V872)</f>
        <v/>
      </c>
      <c r="X872" s="18" t="inlineStr">
        <is>
          <t>1-100</t>
        </is>
      </c>
      <c r="Y872" s="19" t="inlineStr"/>
      <c r="Z872" s="18">
        <f>IF(Y872="",X872,Y872)</f>
        <v/>
      </c>
      <c r="AA872" s="18" t="inlineStr">
        <is>
          <t>grounded</t>
        </is>
      </c>
      <c r="AB872" s="18" t="inlineStr"/>
      <c r="AC872" s="18" t="inlineStr"/>
      <c r="AD872" s="18" t="inlineStr"/>
      <c r="AE872" s="18" t="inlineStr"/>
      <c r="AF872" s="18" t="inlineStr"/>
      <c r="AG872" s="18" t="inlineStr"/>
      <c r="AH872" s="18" t="inlineStr"/>
      <c r="AI872" s="18" t="inlineStr"/>
      <c r="AJ872" s="18" t="inlineStr">
        <is>
          <t>COBBLEVERSE 수정</t>
        </is>
      </c>
      <c r="AK872" s="18" t="inlineStr">
        <is>
          <t>사용</t>
        </is>
      </c>
      <c r="AL872" s="18" t="inlineStr">
        <is>
          <t>COBBLEVERSE 1.7.42 / DP v31</t>
        </is>
      </c>
      <c r="AM872" s="18" t="inlineStr">
        <is>
          <t>data/cobblemon/spawn_pool_world/0201_unown.json</t>
        </is>
      </c>
      <c r="AN872" s="18" t="inlineStr">
        <is>
          <t>unown-g-5</t>
        </is>
      </c>
      <c r="AO872" s="18" t="inlineStr">
        <is>
          <t>pokemon</t>
        </is>
      </c>
      <c r="AP872" s="18" t="inlineStr"/>
      <c r="AQ872" s="18" t="inlineStr">
        <is>
          <t>{"biomes":["the_bumblezone:howling_constructs"]}</t>
        </is>
      </c>
      <c r="AR872" s="18" t="inlineStr">
        <is>
          <t>{"structures":["#the_bumblezone:sempiternal_sanctums"]}</t>
        </is>
      </c>
      <c r="AS872" s="18" t="inlineStr"/>
      <c r="AT872" s="19" t="inlineStr"/>
    </row>
    <row r="873" ht="32" customHeight="1">
      <c r="A873" s="18" t="inlineStr">
        <is>
          <t>0201_unown.json::unown-h-5::064</t>
        </is>
      </c>
      <c r="B873" s="19" t="inlineStr">
        <is>
          <t>사용</t>
        </is>
      </c>
      <c r="C873" s="18">
        <f>IF(OR(B873&lt;&gt;AK873,M873&lt;&gt;L873,O873&lt;&gt;"",Q873&lt;&gt;"",V873&lt;&gt;1,Y873&lt;&gt;"",AT873&lt;&gt;""),"수정","원본")</f>
        <v/>
      </c>
      <c r="D873" s="18" t="n">
        <v>201</v>
      </c>
      <c r="E873" s="18" t="inlineStr">
        <is>
          <t>안농</t>
        </is>
      </c>
      <c r="F873" s="18" t="inlineStr">
        <is>
          <t>unown</t>
        </is>
      </c>
      <c r="G873" s="18" t="inlineStr">
        <is>
          <t>unown character=h</t>
        </is>
      </c>
      <c r="H873" s="18" t="inlineStr">
        <is>
          <t>character=h</t>
        </is>
      </c>
      <c r="I873" s="18" t="n">
        <v>2</v>
      </c>
      <c r="J873" s="18" t="n"/>
      <c r="K873" s="18" t="n">
        <v>2</v>
      </c>
      <c r="L873" s="18" t="inlineStr">
        <is>
          <t>cobbleventure:generation_2</t>
        </is>
      </c>
      <c r="M873" s="19" t="inlineStr">
        <is>
          <t>cobbleventure:generation_2</t>
        </is>
      </c>
      <c r="N873" s="18" t="inlineStr"/>
      <c r="O873" s="19" t="inlineStr"/>
      <c r="P873" s="18" t="inlineStr">
        <is>
          <t>the_bumblezone:howling_constructs</t>
        </is>
      </c>
      <c r="Q873" s="19" t="inlineStr"/>
      <c r="R873" s="18">
        <f>IF(Q873="",P873,Q873)</f>
        <v/>
      </c>
      <c r="S873" s="18" t="inlineStr"/>
      <c r="T873" s="18" t="inlineStr">
        <is>
          <t>common</t>
        </is>
      </c>
      <c r="U873" s="20" t="n">
        <v>3.2</v>
      </c>
      <c r="V873" s="21" t="n">
        <v>1</v>
      </c>
      <c r="W873" s="20">
        <f>IF(OR(U873="",V873=""),U873,U873*V873)</f>
        <v/>
      </c>
      <c r="X873" s="18" t="inlineStr">
        <is>
          <t>1-100</t>
        </is>
      </c>
      <c r="Y873" s="19" t="inlineStr"/>
      <c r="Z873" s="18">
        <f>IF(Y873="",X873,Y873)</f>
        <v/>
      </c>
      <c r="AA873" s="18" t="inlineStr">
        <is>
          <t>grounded</t>
        </is>
      </c>
      <c r="AB873" s="18" t="inlineStr"/>
      <c r="AC873" s="18" t="inlineStr"/>
      <c r="AD873" s="18" t="inlineStr"/>
      <c r="AE873" s="18" t="inlineStr"/>
      <c r="AF873" s="18" t="inlineStr"/>
      <c r="AG873" s="18" t="inlineStr"/>
      <c r="AH873" s="18" t="inlineStr"/>
      <c r="AI873" s="18" t="inlineStr"/>
      <c r="AJ873" s="18" t="inlineStr">
        <is>
          <t>COBBLEVERSE 수정</t>
        </is>
      </c>
      <c r="AK873" s="18" t="inlineStr">
        <is>
          <t>사용</t>
        </is>
      </c>
      <c r="AL873" s="18" t="inlineStr">
        <is>
          <t>COBBLEVERSE 1.7.42 / DP v31</t>
        </is>
      </c>
      <c r="AM873" s="18" t="inlineStr">
        <is>
          <t>data/cobblemon/spawn_pool_world/0201_unown.json</t>
        </is>
      </c>
      <c r="AN873" s="18" t="inlineStr">
        <is>
          <t>unown-h-5</t>
        </is>
      </c>
      <c r="AO873" s="18" t="inlineStr">
        <is>
          <t>pokemon</t>
        </is>
      </c>
      <c r="AP873" s="18" t="inlineStr"/>
      <c r="AQ873" s="18" t="inlineStr">
        <is>
          <t>{"biomes":["the_bumblezone:howling_constructs"]}</t>
        </is>
      </c>
      <c r="AR873" s="18" t="inlineStr">
        <is>
          <t>{"structures":["#the_bumblezone:sempiternal_sanctums"]}</t>
        </is>
      </c>
      <c r="AS873" s="18" t="inlineStr"/>
      <c r="AT873" s="19" t="inlineStr"/>
    </row>
    <row r="874" ht="32" customHeight="1">
      <c r="A874" s="18" t="inlineStr">
        <is>
          <t>0201_unown.json::unown-i-5::065</t>
        </is>
      </c>
      <c r="B874" s="19" t="inlineStr">
        <is>
          <t>사용</t>
        </is>
      </c>
      <c r="C874" s="18">
        <f>IF(OR(B874&lt;&gt;AK874,M874&lt;&gt;L874,O874&lt;&gt;"",Q874&lt;&gt;"",V874&lt;&gt;1,Y874&lt;&gt;"",AT874&lt;&gt;""),"수정","원본")</f>
        <v/>
      </c>
      <c r="D874" s="18" t="n">
        <v>201</v>
      </c>
      <c r="E874" s="18" t="inlineStr">
        <is>
          <t>안농</t>
        </is>
      </c>
      <c r="F874" s="18" t="inlineStr">
        <is>
          <t>unown</t>
        </is>
      </c>
      <c r="G874" s="18" t="inlineStr">
        <is>
          <t>unown character=i</t>
        </is>
      </c>
      <c r="H874" s="18" t="inlineStr">
        <is>
          <t>character=i</t>
        </is>
      </c>
      <c r="I874" s="18" t="n">
        <v>2</v>
      </c>
      <c r="J874" s="18" t="n"/>
      <c r="K874" s="18" t="n">
        <v>2</v>
      </c>
      <c r="L874" s="18" t="inlineStr">
        <is>
          <t>cobbleventure:generation_2</t>
        </is>
      </c>
      <c r="M874" s="19" t="inlineStr">
        <is>
          <t>cobbleventure:generation_2</t>
        </is>
      </c>
      <c r="N874" s="18" t="inlineStr"/>
      <c r="O874" s="19" t="inlineStr"/>
      <c r="P874" s="18" t="inlineStr">
        <is>
          <t>the_bumblezone:howling_constructs</t>
        </is>
      </c>
      <c r="Q874" s="19" t="inlineStr"/>
      <c r="R874" s="18">
        <f>IF(Q874="",P874,Q874)</f>
        <v/>
      </c>
      <c r="S874" s="18" t="inlineStr"/>
      <c r="T874" s="18" t="inlineStr">
        <is>
          <t>common</t>
        </is>
      </c>
      <c r="U874" s="20" t="n">
        <v>3.2</v>
      </c>
      <c r="V874" s="21" t="n">
        <v>1</v>
      </c>
      <c r="W874" s="20">
        <f>IF(OR(U874="",V874=""),U874,U874*V874)</f>
        <v/>
      </c>
      <c r="X874" s="18" t="inlineStr">
        <is>
          <t>1-100</t>
        </is>
      </c>
      <c r="Y874" s="19" t="inlineStr"/>
      <c r="Z874" s="18">
        <f>IF(Y874="",X874,Y874)</f>
        <v/>
      </c>
      <c r="AA874" s="18" t="inlineStr">
        <is>
          <t>grounded</t>
        </is>
      </c>
      <c r="AB874" s="18" t="inlineStr"/>
      <c r="AC874" s="18" t="inlineStr"/>
      <c r="AD874" s="18" t="inlineStr"/>
      <c r="AE874" s="18" t="inlineStr"/>
      <c r="AF874" s="18" t="inlineStr"/>
      <c r="AG874" s="18" t="inlineStr"/>
      <c r="AH874" s="18" t="inlineStr"/>
      <c r="AI874" s="18" t="inlineStr"/>
      <c r="AJ874" s="18" t="inlineStr">
        <is>
          <t>COBBLEVERSE 수정</t>
        </is>
      </c>
      <c r="AK874" s="18" t="inlineStr">
        <is>
          <t>사용</t>
        </is>
      </c>
      <c r="AL874" s="18" t="inlineStr">
        <is>
          <t>COBBLEVERSE 1.7.42 / DP v31</t>
        </is>
      </c>
      <c r="AM874" s="18" t="inlineStr">
        <is>
          <t>data/cobblemon/spawn_pool_world/0201_unown.json</t>
        </is>
      </c>
      <c r="AN874" s="18" t="inlineStr">
        <is>
          <t>unown-i-5</t>
        </is>
      </c>
      <c r="AO874" s="18" t="inlineStr">
        <is>
          <t>pokemon</t>
        </is>
      </c>
      <c r="AP874" s="18" t="inlineStr"/>
      <c r="AQ874" s="18" t="inlineStr">
        <is>
          <t>{"biomes":["the_bumblezone:howling_constructs"]}</t>
        </is>
      </c>
      <c r="AR874" s="18" t="inlineStr">
        <is>
          <t>{"structures":["#the_bumblezone:sempiternal_sanctums"]}</t>
        </is>
      </c>
      <c r="AS874" s="18" t="inlineStr"/>
      <c r="AT874" s="19" t="inlineStr"/>
    </row>
    <row r="875" ht="32" customHeight="1">
      <c r="A875" s="18" t="inlineStr">
        <is>
          <t>0201_unown.json::unown-j-5::066</t>
        </is>
      </c>
      <c r="B875" s="19" t="inlineStr">
        <is>
          <t>사용</t>
        </is>
      </c>
      <c r="C875" s="18">
        <f>IF(OR(B875&lt;&gt;AK875,M875&lt;&gt;L875,O875&lt;&gt;"",Q875&lt;&gt;"",V875&lt;&gt;1,Y875&lt;&gt;"",AT875&lt;&gt;""),"수정","원본")</f>
        <v/>
      </c>
      <c r="D875" s="18" t="n">
        <v>201</v>
      </c>
      <c r="E875" s="18" t="inlineStr">
        <is>
          <t>안농</t>
        </is>
      </c>
      <c r="F875" s="18" t="inlineStr">
        <is>
          <t>unown</t>
        </is>
      </c>
      <c r="G875" s="18" t="inlineStr">
        <is>
          <t>unown character=j</t>
        </is>
      </c>
      <c r="H875" s="18" t="inlineStr">
        <is>
          <t>character=j</t>
        </is>
      </c>
      <c r="I875" s="18" t="n">
        <v>2</v>
      </c>
      <c r="J875" s="18" t="n"/>
      <c r="K875" s="18" t="n">
        <v>2</v>
      </c>
      <c r="L875" s="18" t="inlineStr">
        <is>
          <t>cobbleventure:generation_2</t>
        </is>
      </c>
      <c r="M875" s="19" t="inlineStr">
        <is>
          <t>cobbleventure:generation_2</t>
        </is>
      </c>
      <c r="N875" s="18" t="inlineStr"/>
      <c r="O875" s="19" t="inlineStr"/>
      <c r="P875" s="18" t="inlineStr">
        <is>
          <t>the_bumblezone:howling_constructs</t>
        </is>
      </c>
      <c r="Q875" s="19" t="inlineStr"/>
      <c r="R875" s="18">
        <f>IF(Q875="",P875,Q875)</f>
        <v/>
      </c>
      <c r="S875" s="18" t="inlineStr"/>
      <c r="T875" s="18" t="inlineStr">
        <is>
          <t>common</t>
        </is>
      </c>
      <c r="U875" s="20" t="n">
        <v>3.2</v>
      </c>
      <c r="V875" s="21" t="n">
        <v>1</v>
      </c>
      <c r="W875" s="20">
        <f>IF(OR(U875="",V875=""),U875,U875*V875)</f>
        <v/>
      </c>
      <c r="X875" s="18" t="inlineStr">
        <is>
          <t>1-100</t>
        </is>
      </c>
      <c r="Y875" s="19" t="inlineStr"/>
      <c r="Z875" s="18">
        <f>IF(Y875="",X875,Y875)</f>
        <v/>
      </c>
      <c r="AA875" s="18" t="inlineStr">
        <is>
          <t>grounded</t>
        </is>
      </c>
      <c r="AB875" s="18" t="inlineStr"/>
      <c r="AC875" s="18" t="inlineStr"/>
      <c r="AD875" s="18" t="inlineStr"/>
      <c r="AE875" s="18" t="inlineStr"/>
      <c r="AF875" s="18" t="inlineStr"/>
      <c r="AG875" s="18" t="inlineStr"/>
      <c r="AH875" s="18" t="inlineStr"/>
      <c r="AI875" s="18" t="inlineStr"/>
      <c r="AJ875" s="18" t="inlineStr">
        <is>
          <t>COBBLEVERSE 수정</t>
        </is>
      </c>
      <c r="AK875" s="18" t="inlineStr">
        <is>
          <t>사용</t>
        </is>
      </c>
      <c r="AL875" s="18" t="inlineStr">
        <is>
          <t>COBBLEVERSE 1.7.42 / DP v31</t>
        </is>
      </c>
      <c r="AM875" s="18" t="inlineStr">
        <is>
          <t>data/cobblemon/spawn_pool_world/0201_unown.json</t>
        </is>
      </c>
      <c r="AN875" s="18" t="inlineStr">
        <is>
          <t>unown-j-5</t>
        </is>
      </c>
      <c r="AO875" s="18" t="inlineStr">
        <is>
          <t>pokemon</t>
        </is>
      </c>
      <c r="AP875" s="18" t="inlineStr"/>
      <c r="AQ875" s="18" t="inlineStr">
        <is>
          <t>{"biomes":["the_bumblezone:howling_constructs"]}</t>
        </is>
      </c>
      <c r="AR875" s="18" t="inlineStr">
        <is>
          <t>{"structures":["#the_bumblezone:sempiternal_sanctums"]}</t>
        </is>
      </c>
      <c r="AS875" s="18" t="inlineStr"/>
      <c r="AT875" s="19" t="inlineStr"/>
    </row>
    <row r="876" ht="32" customHeight="1">
      <c r="A876" s="18" t="inlineStr">
        <is>
          <t>0201_unown.json::unown-k-5::067</t>
        </is>
      </c>
      <c r="B876" s="19" t="inlineStr">
        <is>
          <t>사용</t>
        </is>
      </c>
      <c r="C876" s="18">
        <f>IF(OR(B876&lt;&gt;AK876,M876&lt;&gt;L876,O876&lt;&gt;"",Q876&lt;&gt;"",V876&lt;&gt;1,Y876&lt;&gt;"",AT876&lt;&gt;""),"수정","원본")</f>
        <v/>
      </c>
      <c r="D876" s="18" t="n">
        <v>201</v>
      </c>
      <c r="E876" s="18" t="inlineStr">
        <is>
          <t>안농</t>
        </is>
      </c>
      <c r="F876" s="18" t="inlineStr">
        <is>
          <t>unown</t>
        </is>
      </c>
      <c r="G876" s="18" t="inlineStr">
        <is>
          <t>unown character=k</t>
        </is>
      </c>
      <c r="H876" s="18" t="inlineStr">
        <is>
          <t>character=k</t>
        </is>
      </c>
      <c r="I876" s="18" t="n">
        <v>2</v>
      </c>
      <c r="J876" s="18" t="n"/>
      <c r="K876" s="18" t="n">
        <v>2</v>
      </c>
      <c r="L876" s="18" t="inlineStr">
        <is>
          <t>cobbleventure:generation_2</t>
        </is>
      </c>
      <c r="M876" s="19" t="inlineStr">
        <is>
          <t>cobbleventure:generation_2</t>
        </is>
      </c>
      <c r="N876" s="18" t="inlineStr"/>
      <c r="O876" s="19" t="inlineStr"/>
      <c r="P876" s="18" t="inlineStr">
        <is>
          <t>the_bumblezone:howling_constructs</t>
        </is>
      </c>
      <c r="Q876" s="19" t="inlineStr"/>
      <c r="R876" s="18">
        <f>IF(Q876="",P876,Q876)</f>
        <v/>
      </c>
      <c r="S876" s="18" t="inlineStr"/>
      <c r="T876" s="18" t="inlineStr">
        <is>
          <t>common</t>
        </is>
      </c>
      <c r="U876" s="20" t="n">
        <v>3.2</v>
      </c>
      <c r="V876" s="21" t="n">
        <v>1</v>
      </c>
      <c r="W876" s="20">
        <f>IF(OR(U876="",V876=""),U876,U876*V876)</f>
        <v/>
      </c>
      <c r="X876" s="18" t="inlineStr">
        <is>
          <t>1-100</t>
        </is>
      </c>
      <c r="Y876" s="19" t="inlineStr"/>
      <c r="Z876" s="18">
        <f>IF(Y876="",X876,Y876)</f>
        <v/>
      </c>
      <c r="AA876" s="18" t="inlineStr">
        <is>
          <t>grounded</t>
        </is>
      </c>
      <c r="AB876" s="18" t="inlineStr"/>
      <c r="AC876" s="18" t="inlineStr"/>
      <c r="AD876" s="18" t="inlineStr"/>
      <c r="AE876" s="18" t="inlineStr"/>
      <c r="AF876" s="18" t="inlineStr"/>
      <c r="AG876" s="18" t="inlineStr"/>
      <c r="AH876" s="18" t="inlineStr"/>
      <c r="AI876" s="18" t="inlineStr"/>
      <c r="AJ876" s="18" t="inlineStr">
        <is>
          <t>COBBLEVERSE 수정</t>
        </is>
      </c>
      <c r="AK876" s="18" t="inlineStr">
        <is>
          <t>사용</t>
        </is>
      </c>
      <c r="AL876" s="18" t="inlineStr">
        <is>
          <t>COBBLEVERSE 1.7.42 / DP v31</t>
        </is>
      </c>
      <c r="AM876" s="18" t="inlineStr">
        <is>
          <t>data/cobblemon/spawn_pool_world/0201_unown.json</t>
        </is>
      </c>
      <c r="AN876" s="18" t="inlineStr">
        <is>
          <t>unown-k-5</t>
        </is>
      </c>
      <c r="AO876" s="18" t="inlineStr">
        <is>
          <t>pokemon</t>
        </is>
      </c>
      <c r="AP876" s="18" t="inlineStr"/>
      <c r="AQ876" s="18" t="inlineStr">
        <is>
          <t>{"biomes":["the_bumblezone:howling_constructs"]}</t>
        </is>
      </c>
      <c r="AR876" s="18" t="inlineStr">
        <is>
          <t>{"structures":["#the_bumblezone:sempiternal_sanctums"]}</t>
        </is>
      </c>
      <c r="AS876" s="18" t="inlineStr"/>
      <c r="AT876" s="19" t="inlineStr"/>
    </row>
    <row r="877" ht="32" customHeight="1">
      <c r="A877" s="18" t="inlineStr">
        <is>
          <t>0201_unown.json::unown-l-5::068</t>
        </is>
      </c>
      <c r="B877" s="19" t="inlineStr">
        <is>
          <t>사용</t>
        </is>
      </c>
      <c r="C877" s="18">
        <f>IF(OR(B877&lt;&gt;AK877,M877&lt;&gt;L877,O877&lt;&gt;"",Q877&lt;&gt;"",V877&lt;&gt;1,Y877&lt;&gt;"",AT877&lt;&gt;""),"수정","원본")</f>
        <v/>
      </c>
      <c r="D877" s="18" t="n">
        <v>201</v>
      </c>
      <c r="E877" s="18" t="inlineStr">
        <is>
          <t>안농</t>
        </is>
      </c>
      <c r="F877" s="18" t="inlineStr">
        <is>
          <t>unown</t>
        </is>
      </c>
      <c r="G877" s="18" t="inlineStr">
        <is>
          <t>unown character=l</t>
        </is>
      </c>
      <c r="H877" s="18" t="inlineStr">
        <is>
          <t>character=l</t>
        </is>
      </c>
      <c r="I877" s="18" t="n">
        <v>2</v>
      </c>
      <c r="J877" s="18" t="n"/>
      <c r="K877" s="18" t="n">
        <v>2</v>
      </c>
      <c r="L877" s="18" t="inlineStr">
        <is>
          <t>cobbleventure:generation_2</t>
        </is>
      </c>
      <c r="M877" s="19" t="inlineStr">
        <is>
          <t>cobbleventure:generation_2</t>
        </is>
      </c>
      <c r="N877" s="18" t="inlineStr"/>
      <c r="O877" s="19" t="inlineStr"/>
      <c r="P877" s="18" t="inlineStr">
        <is>
          <t>the_bumblezone:howling_constructs</t>
        </is>
      </c>
      <c r="Q877" s="19" t="inlineStr"/>
      <c r="R877" s="18">
        <f>IF(Q877="",P877,Q877)</f>
        <v/>
      </c>
      <c r="S877" s="18" t="inlineStr"/>
      <c r="T877" s="18" t="inlineStr">
        <is>
          <t>common</t>
        </is>
      </c>
      <c r="U877" s="20" t="n">
        <v>3.2</v>
      </c>
      <c r="V877" s="21" t="n">
        <v>1</v>
      </c>
      <c r="W877" s="20">
        <f>IF(OR(U877="",V877=""),U877,U877*V877)</f>
        <v/>
      </c>
      <c r="X877" s="18" t="inlineStr">
        <is>
          <t>1-100</t>
        </is>
      </c>
      <c r="Y877" s="19" t="inlineStr"/>
      <c r="Z877" s="18">
        <f>IF(Y877="",X877,Y877)</f>
        <v/>
      </c>
      <c r="AA877" s="18" t="inlineStr">
        <is>
          <t>grounded</t>
        </is>
      </c>
      <c r="AB877" s="18" t="inlineStr"/>
      <c r="AC877" s="18" t="inlineStr"/>
      <c r="AD877" s="18" t="inlineStr"/>
      <c r="AE877" s="18" t="inlineStr"/>
      <c r="AF877" s="18" t="inlineStr"/>
      <c r="AG877" s="18" t="inlineStr"/>
      <c r="AH877" s="18" t="inlineStr"/>
      <c r="AI877" s="18" t="inlineStr"/>
      <c r="AJ877" s="18" t="inlineStr">
        <is>
          <t>COBBLEVERSE 수정</t>
        </is>
      </c>
      <c r="AK877" s="18" t="inlineStr">
        <is>
          <t>사용</t>
        </is>
      </c>
      <c r="AL877" s="18" t="inlineStr">
        <is>
          <t>COBBLEVERSE 1.7.42 / DP v31</t>
        </is>
      </c>
      <c r="AM877" s="18" t="inlineStr">
        <is>
          <t>data/cobblemon/spawn_pool_world/0201_unown.json</t>
        </is>
      </c>
      <c r="AN877" s="18" t="inlineStr">
        <is>
          <t>unown-l-5</t>
        </is>
      </c>
      <c r="AO877" s="18" t="inlineStr">
        <is>
          <t>pokemon</t>
        </is>
      </c>
      <c r="AP877" s="18" t="inlineStr"/>
      <c r="AQ877" s="18" t="inlineStr">
        <is>
          <t>{"biomes":["the_bumblezone:howling_constructs"]}</t>
        </is>
      </c>
      <c r="AR877" s="18" t="inlineStr">
        <is>
          <t>{"structures":["#the_bumblezone:sempiternal_sanctums"]}</t>
        </is>
      </c>
      <c r="AS877" s="18" t="inlineStr"/>
      <c r="AT877" s="19" t="inlineStr"/>
    </row>
    <row r="878" ht="32" customHeight="1">
      <c r="A878" s="18" t="inlineStr">
        <is>
          <t>0201_unown.json::unown-m-5::069</t>
        </is>
      </c>
      <c r="B878" s="19" t="inlineStr">
        <is>
          <t>사용</t>
        </is>
      </c>
      <c r="C878" s="18">
        <f>IF(OR(B878&lt;&gt;AK878,M878&lt;&gt;L878,O878&lt;&gt;"",Q878&lt;&gt;"",V878&lt;&gt;1,Y878&lt;&gt;"",AT878&lt;&gt;""),"수정","원본")</f>
        <v/>
      </c>
      <c r="D878" s="18" t="n">
        <v>201</v>
      </c>
      <c r="E878" s="18" t="inlineStr">
        <is>
          <t>안농</t>
        </is>
      </c>
      <c r="F878" s="18" t="inlineStr">
        <is>
          <t>unown</t>
        </is>
      </c>
      <c r="G878" s="18" t="inlineStr">
        <is>
          <t>unown character=m</t>
        </is>
      </c>
      <c r="H878" s="18" t="inlineStr">
        <is>
          <t>character=m</t>
        </is>
      </c>
      <c r="I878" s="18" t="n">
        <v>2</v>
      </c>
      <c r="J878" s="18" t="n"/>
      <c r="K878" s="18" t="n">
        <v>2</v>
      </c>
      <c r="L878" s="18" t="inlineStr">
        <is>
          <t>cobbleventure:generation_2</t>
        </is>
      </c>
      <c r="M878" s="19" t="inlineStr">
        <is>
          <t>cobbleventure:generation_2</t>
        </is>
      </c>
      <c r="N878" s="18" t="inlineStr"/>
      <c r="O878" s="19" t="inlineStr"/>
      <c r="P878" s="18" t="inlineStr">
        <is>
          <t>the_bumblezone:howling_constructs</t>
        </is>
      </c>
      <c r="Q878" s="19" t="inlineStr"/>
      <c r="R878" s="18">
        <f>IF(Q878="",P878,Q878)</f>
        <v/>
      </c>
      <c r="S878" s="18" t="inlineStr"/>
      <c r="T878" s="18" t="inlineStr">
        <is>
          <t>common</t>
        </is>
      </c>
      <c r="U878" s="20" t="n">
        <v>3.2</v>
      </c>
      <c r="V878" s="21" t="n">
        <v>1</v>
      </c>
      <c r="W878" s="20">
        <f>IF(OR(U878="",V878=""),U878,U878*V878)</f>
        <v/>
      </c>
      <c r="X878" s="18" t="inlineStr">
        <is>
          <t>1-100</t>
        </is>
      </c>
      <c r="Y878" s="19" t="inlineStr"/>
      <c r="Z878" s="18">
        <f>IF(Y878="",X878,Y878)</f>
        <v/>
      </c>
      <c r="AA878" s="18" t="inlineStr">
        <is>
          <t>grounded</t>
        </is>
      </c>
      <c r="AB878" s="18" t="inlineStr"/>
      <c r="AC878" s="18" t="inlineStr"/>
      <c r="AD878" s="18" t="inlineStr"/>
      <c r="AE878" s="18" t="inlineStr"/>
      <c r="AF878" s="18" t="inlineStr"/>
      <c r="AG878" s="18" t="inlineStr"/>
      <c r="AH878" s="18" t="inlineStr"/>
      <c r="AI878" s="18" t="inlineStr"/>
      <c r="AJ878" s="18" t="inlineStr">
        <is>
          <t>COBBLEVERSE 수정</t>
        </is>
      </c>
      <c r="AK878" s="18" t="inlineStr">
        <is>
          <t>사용</t>
        </is>
      </c>
      <c r="AL878" s="18" t="inlineStr">
        <is>
          <t>COBBLEVERSE 1.7.42 / DP v31</t>
        </is>
      </c>
      <c r="AM878" s="18" t="inlineStr">
        <is>
          <t>data/cobblemon/spawn_pool_world/0201_unown.json</t>
        </is>
      </c>
      <c r="AN878" s="18" t="inlineStr">
        <is>
          <t>unown-m-5</t>
        </is>
      </c>
      <c r="AO878" s="18" t="inlineStr">
        <is>
          <t>pokemon</t>
        </is>
      </c>
      <c r="AP878" s="18" t="inlineStr"/>
      <c r="AQ878" s="18" t="inlineStr">
        <is>
          <t>{"biomes":["the_bumblezone:howling_constructs"]}</t>
        </is>
      </c>
      <c r="AR878" s="18" t="inlineStr">
        <is>
          <t>{"structures":["#the_bumblezone:sempiternal_sanctums"]}</t>
        </is>
      </c>
      <c r="AS878" s="18" t="inlineStr"/>
      <c r="AT878" s="19" t="inlineStr"/>
    </row>
    <row r="879" ht="32" customHeight="1">
      <c r="A879" s="18" t="inlineStr">
        <is>
          <t>0201_unown.json::unown-n-5::070</t>
        </is>
      </c>
      <c r="B879" s="19" t="inlineStr">
        <is>
          <t>사용</t>
        </is>
      </c>
      <c r="C879" s="18">
        <f>IF(OR(B879&lt;&gt;AK879,M879&lt;&gt;L879,O879&lt;&gt;"",Q879&lt;&gt;"",V879&lt;&gt;1,Y879&lt;&gt;"",AT879&lt;&gt;""),"수정","원본")</f>
        <v/>
      </c>
      <c r="D879" s="18" t="n">
        <v>201</v>
      </c>
      <c r="E879" s="18" t="inlineStr">
        <is>
          <t>안농</t>
        </is>
      </c>
      <c r="F879" s="18" t="inlineStr">
        <is>
          <t>unown</t>
        </is>
      </c>
      <c r="G879" s="18" t="inlineStr">
        <is>
          <t>unown character=n</t>
        </is>
      </c>
      <c r="H879" s="18" t="inlineStr">
        <is>
          <t>character=n</t>
        </is>
      </c>
      <c r="I879" s="18" t="n">
        <v>2</v>
      </c>
      <c r="J879" s="18" t="n"/>
      <c r="K879" s="18" t="n">
        <v>2</v>
      </c>
      <c r="L879" s="18" t="inlineStr">
        <is>
          <t>cobbleventure:generation_2</t>
        </is>
      </c>
      <c r="M879" s="19" t="inlineStr">
        <is>
          <t>cobbleventure:generation_2</t>
        </is>
      </c>
      <c r="N879" s="18" t="inlineStr"/>
      <c r="O879" s="19" t="inlineStr"/>
      <c r="P879" s="18" t="inlineStr">
        <is>
          <t>the_bumblezone:howling_constructs</t>
        </is>
      </c>
      <c r="Q879" s="19" t="inlineStr"/>
      <c r="R879" s="18">
        <f>IF(Q879="",P879,Q879)</f>
        <v/>
      </c>
      <c r="S879" s="18" t="inlineStr"/>
      <c r="T879" s="18" t="inlineStr">
        <is>
          <t>common</t>
        </is>
      </c>
      <c r="U879" s="20" t="n">
        <v>3.2</v>
      </c>
      <c r="V879" s="21" t="n">
        <v>1</v>
      </c>
      <c r="W879" s="20">
        <f>IF(OR(U879="",V879=""),U879,U879*V879)</f>
        <v/>
      </c>
      <c r="X879" s="18" t="inlineStr">
        <is>
          <t>1-100</t>
        </is>
      </c>
      <c r="Y879" s="19" t="inlineStr"/>
      <c r="Z879" s="18">
        <f>IF(Y879="",X879,Y879)</f>
        <v/>
      </c>
      <c r="AA879" s="18" t="inlineStr">
        <is>
          <t>grounded</t>
        </is>
      </c>
      <c r="AB879" s="18" t="inlineStr"/>
      <c r="AC879" s="18" t="inlineStr"/>
      <c r="AD879" s="18" t="inlineStr"/>
      <c r="AE879" s="18" t="inlineStr"/>
      <c r="AF879" s="18" t="inlineStr"/>
      <c r="AG879" s="18" t="inlineStr"/>
      <c r="AH879" s="18" t="inlineStr"/>
      <c r="AI879" s="18" t="inlineStr"/>
      <c r="AJ879" s="18" t="inlineStr">
        <is>
          <t>COBBLEVERSE 수정</t>
        </is>
      </c>
      <c r="AK879" s="18" t="inlineStr">
        <is>
          <t>사용</t>
        </is>
      </c>
      <c r="AL879" s="18" t="inlineStr">
        <is>
          <t>COBBLEVERSE 1.7.42 / DP v31</t>
        </is>
      </c>
      <c r="AM879" s="18" t="inlineStr">
        <is>
          <t>data/cobblemon/spawn_pool_world/0201_unown.json</t>
        </is>
      </c>
      <c r="AN879" s="18" t="inlineStr">
        <is>
          <t>unown-n-5</t>
        </is>
      </c>
      <c r="AO879" s="18" t="inlineStr">
        <is>
          <t>pokemon</t>
        </is>
      </c>
      <c r="AP879" s="18" t="inlineStr"/>
      <c r="AQ879" s="18" t="inlineStr">
        <is>
          <t>{"biomes":["the_bumblezone:howling_constructs"]}</t>
        </is>
      </c>
      <c r="AR879" s="18" t="inlineStr">
        <is>
          <t>{"structures":["#the_bumblezone:sempiternal_sanctums"]}</t>
        </is>
      </c>
      <c r="AS879" s="18" t="inlineStr"/>
      <c r="AT879" s="19" t="inlineStr"/>
    </row>
    <row r="880" ht="32" customHeight="1">
      <c r="A880" s="18" t="inlineStr">
        <is>
          <t>0201_unown.json::unown-o-5::071</t>
        </is>
      </c>
      <c r="B880" s="19" t="inlineStr">
        <is>
          <t>사용</t>
        </is>
      </c>
      <c r="C880" s="18">
        <f>IF(OR(B880&lt;&gt;AK880,M880&lt;&gt;L880,O880&lt;&gt;"",Q880&lt;&gt;"",V880&lt;&gt;1,Y880&lt;&gt;"",AT880&lt;&gt;""),"수정","원본")</f>
        <v/>
      </c>
      <c r="D880" s="18" t="n">
        <v>201</v>
      </c>
      <c r="E880" s="18" t="inlineStr">
        <is>
          <t>안농</t>
        </is>
      </c>
      <c r="F880" s="18" t="inlineStr">
        <is>
          <t>unown</t>
        </is>
      </c>
      <c r="G880" s="18" t="inlineStr">
        <is>
          <t>unown character=o</t>
        </is>
      </c>
      <c r="H880" s="18" t="inlineStr">
        <is>
          <t>character=o</t>
        </is>
      </c>
      <c r="I880" s="18" t="n">
        <v>2</v>
      </c>
      <c r="J880" s="18" t="n"/>
      <c r="K880" s="18" t="n">
        <v>2</v>
      </c>
      <c r="L880" s="18" t="inlineStr">
        <is>
          <t>cobbleventure:generation_2</t>
        </is>
      </c>
      <c r="M880" s="19" t="inlineStr">
        <is>
          <t>cobbleventure:generation_2</t>
        </is>
      </c>
      <c r="N880" s="18" t="inlineStr"/>
      <c r="O880" s="19" t="inlineStr"/>
      <c r="P880" s="18" t="inlineStr">
        <is>
          <t>the_bumblezone:howling_constructs</t>
        </is>
      </c>
      <c r="Q880" s="19" t="inlineStr"/>
      <c r="R880" s="18">
        <f>IF(Q880="",P880,Q880)</f>
        <v/>
      </c>
      <c r="S880" s="18" t="inlineStr"/>
      <c r="T880" s="18" t="inlineStr">
        <is>
          <t>common</t>
        </is>
      </c>
      <c r="U880" s="20" t="n">
        <v>3.2</v>
      </c>
      <c r="V880" s="21" t="n">
        <v>1</v>
      </c>
      <c r="W880" s="20">
        <f>IF(OR(U880="",V880=""),U880,U880*V880)</f>
        <v/>
      </c>
      <c r="X880" s="18" t="inlineStr">
        <is>
          <t>1-100</t>
        </is>
      </c>
      <c r="Y880" s="19" t="inlineStr"/>
      <c r="Z880" s="18">
        <f>IF(Y880="",X880,Y880)</f>
        <v/>
      </c>
      <c r="AA880" s="18" t="inlineStr">
        <is>
          <t>grounded</t>
        </is>
      </c>
      <c r="AB880" s="18" t="inlineStr"/>
      <c r="AC880" s="18" t="inlineStr"/>
      <c r="AD880" s="18" t="inlineStr"/>
      <c r="AE880" s="18" t="inlineStr"/>
      <c r="AF880" s="18" t="inlineStr"/>
      <c r="AG880" s="18" t="inlineStr"/>
      <c r="AH880" s="18" t="inlineStr"/>
      <c r="AI880" s="18" t="inlineStr"/>
      <c r="AJ880" s="18" t="inlineStr">
        <is>
          <t>COBBLEVERSE 수정</t>
        </is>
      </c>
      <c r="AK880" s="18" t="inlineStr">
        <is>
          <t>사용</t>
        </is>
      </c>
      <c r="AL880" s="18" t="inlineStr">
        <is>
          <t>COBBLEVERSE 1.7.42 / DP v31</t>
        </is>
      </c>
      <c r="AM880" s="18" t="inlineStr">
        <is>
          <t>data/cobblemon/spawn_pool_world/0201_unown.json</t>
        </is>
      </c>
      <c r="AN880" s="18" t="inlineStr">
        <is>
          <t>unown-o-5</t>
        </is>
      </c>
      <c r="AO880" s="18" t="inlineStr">
        <is>
          <t>pokemon</t>
        </is>
      </c>
      <c r="AP880" s="18" t="inlineStr"/>
      <c r="AQ880" s="18" t="inlineStr">
        <is>
          <t>{"biomes":["the_bumblezone:howling_constructs"]}</t>
        </is>
      </c>
      <c r="AR880" s="18" t="inlineStr">
        <is>
          <t>{"structures":["#the_bumblezone:sempiternal_sanctums"]}</t>
        </is>
      </c>
      <c r="AS880" s="18" t="inlineStr"/>
      <c r="AT880" s="19" t="inlineStr"/>
    </row>
    <row r="881" ht="32" customHeight="1">
      <c r="A881" s="18" t="inlineStr">
        <is>
          <t>0201_unown.json::unown-p-5::072</t>
        </is>
      </c>
      <c r="B881" s="19" t="inlineStr">
        <is>
          <t>사용</t>
        </is>
      </c>
      <c r="C881" s="18">
        <f>IF(OR(B881&lt;&gt;AK881,M881&lt;&gt;L881,O881&lt;&gt;"",Q881&lt;&gt;"",V881&lt;&gt;1,Y881&lt;&gt;"",AT881&lt;&gt;""),"수정","원본")</f>
        <v/>
      </c>
      <c r="D881" s="18" t="n">
        <v>201</v>
      </c>
      <c r="E881" s="18" t="inlineStr">
        <is>
          <t>안농</t>
        </is>
      </c>
      <c r="F881" s="18" t="inlineStr">
        <is>
          <t>unown</t>
        </is>
      </c>
      <c r="G881" s="18" t="inlineStr">
        <is>
          <t>unown character=p</t>
        </is>
      </c>
      <c r="H881" s="18" t="inlineStr">
        <is>
          <t>character=p</t>
        </is>
      </c>
      <c r="I881" s="18" t="n">
        <v>2</v>
      </c>
      <c r="J881" s="18" t="n"/>
      <c r="K881" s="18" t="n">
        <v>2</v>
      </c>
      <c r="L881" s="18" t="inlineStr">
        <is>
          <t>cobbleventure:generation_2</t>
        </is>
      </c>
      <c r="M881" s="19" t="inlineStr">
        <is>
          <t>cobbleventure:generation_2</t>
        </is>
      </c>
      <c r="N881" s="18" t="inlineStr"/>
      <c r="O881" s="19" t="inlineStr"/>
      <c r="P881" s="18" t="inlineStr">
        <is>
          <t>the_bumblezone:howling_constructs</t>
        </is>
      </c>
      <c r="Q881" s="19" t="inlineStr"/>
      <c r="R881" s="18">
        <f>IF(Q881="",P881,Q881)</f>
        <v/>
      </c>
      <c r="S881" s="18" t="inlineStr"/>
      <c r="T881" s="18" t="inlineStr">
        <is>
          <t>common</t>
        </is>
      </c>
      <c r="U881" s="20" t="n">
        <v>3.2</v>
      </c>
      <c r="V881" s="21" t="n">
        <v>1</v>
      </c>
      <c r="W881" s="20">
        <f>IF(OR(U881="",V881=""),U881,U881*V881)</f>
        <v/>
      </c>
      <c r="X881" s="18" t="inlineStr">
        <is>
          <t>1-100</t>
        </is>
      </c>
      <c r="Y881" s="19" t="inlineStr"/>
      <c r="Z881" s="18">
        <f>IF(Y881="",X881,Y881)</f>
        <v/>
      </c>
      <c r="AA881" s="18" t="inlineStr">
        <is>
          <t>grounded</t>
        </is>
      </c>
      <c r="AB881" s="18" t="inlineStr"/>
      <c r="AC881" s="18" t="inlineStr"/>
      <c r="AD881" s="18" t="inlineStr"/>
      <c r="AE881" s="18" t="inlineStr"/>
      <c r="AF881" s="18" t="inlineStr"/>
      <c r="AG881" s="18" t="inlineStr"/>
      <c r="AH881" s="18" t="inlineStr"/>
      <c r="AI881" s="18" t="inlineStr"/>
      <c r="AJ881" s="18" t="inlineStr">
        <is>
          <t>COBBLEVERSE 수정</t>
        </is>
      </c>
      <c r="AK881" s="18" t="inlineStr">
        <is>
          <t>사용</t>
        </is>
      </c>
      <c r="AL881" s="18" t="inlineStr">
        <is>
          <t>COBBLEVERSE 1.7.42 / DP v31</t>
        </is>
      </c>
      <c r="AM881" s="18" t="inlineStr">
        <is>
          <t>data/cobblemon/spawn_pool_world/0201_unown.json</t>
        </is>
      </c>
      <c r="AN881" s="18" t="inlineStr">
        <is>
          <t>unown-p-5</t>
        </is>
      </c>
      <c r="AO881" s="18" t="inlineStr">
        <is>
          <t>pokemon</t>
        </is>
      </c>
      <c r="AP881" s="18" t="inlineStr"/>
      <c r="AQ881" s="18" t="inlineStr">
        <is>
          <t>{"biomes":["the_bumblezone:howling_constructs"]}</t>
        </is>
      </c>
      <c r="AR881" s="18" t="inlineStr">
        <is>
          <t>{"structures":["#the_bumblezone:sempiternal_sanctums"]}</t>
        </is>
      </c>
      <c r="AS881" s="18" t="inlineStr"/>
      <c r="AT881" s="19" t="inlineStr"/>
    </row>
    <row r="882" ht="32" customHeight="1">
      <c r="A882" s="18" t="inlineStr">
        <is>
          <t>0201_unown.json::unown-q-5::073</t>
        </is>
      </c>
      <c r="B882" s="19" t="inlineStr">
        <is>
          <t>사용</t>
        </is>
      </c>
      <c r="C882" s="18">
        <f>IF(OR(B882&lt;&gt;AK882,M882&lt;&gt;L882,O882&lt;&gt;"",Q882&lt;&gt;"",V882&lt;&gt;1,Y882&lt;&gt;"",AT882&lt;&gt;""),"수정","원본")</f>
        <v/>
      </c>
      <c r="D882" s="18" t="n">
        <v>201</v>
      </c>
      <c r="E882" s="18" t="inlineStr">
        <is>
          <t>안농</t>
        </is>
      </c>
      <c r="F882" s="18" t="inlineStr">
        <is>
          <t>unown</t>
        </is>
      </c>
      <c r="G882" s="18" t="inlineStr">
        <is>
          <t>unown character=q</t>
        </is>
      </c>
      <c r="H882" s="18" t="inlineStr">
        <is>
          <t>character=q</t>
        </is>
      </c>
      <c r="I882" s="18" t="n">
        <v>2</v>
      </c>
      <c r="J882" s="18" t="n"/>
      <c r="K882" s="18" t="n">
        <v>2</v>
      </c>
      <c r="L882" s="18" t="inlineStr">
        <is>
          <t>cobbleventure:generation_2</t>
        </is>
      </c>
      <c r="M882" s="19" t="inlineStr">
        <is>
          <t>cobbleventure:generation_2</t>
        </is>
      </c>
      <c r="N882" s="18" t="inlineStr"/>
      <c r="O882" s="19" t="inlineStr"/>
      <c r="P882" s="18" t="inlineStr">
        <is>
          <t>the_bumblezone:howling_constructs</t>
        </is>
      </c>
      <c r="Q882" s="19" t="inlineStr"/>
      <c r="R882" s="18">
        <f>IF(Q882="",P882,Q882)</f>
        <v/>
      </c>
      <c r="S882" s="18" t="inlineStr"/>
      <c r="T882" s="18" t="inlineStr">
        <is>
          <t>common</t>
        </is>
      </c>
      <c r="U882" s="20" t="n">
        <v>3.2</v>
      </c>
      <c r="V882" s="21" t="n">
        <v>1</v>
      </c>
      <c r="W882" s="20">
        <f>IF(OR(U882="",V882=""),U882,U882*V882)</f>
        <v/>
      </c>
      <c r="X882" s="18" t="inlineStr">
        <is>
          <t>1-100</t>
        </is>
      </c>
      <c r="Y882" s="19" t="inlineStr"/>
      <c r="Z882" s="18">
        <f>IF(Y882="",X882,Y882)</f>
        <v/>
      </c>
      <c r="AA882" s="18" t="inlineStr">
        <is>
          <t>grounded</t>
        </is>
      </c>
      <c r="AB882" s="18" t="inlineStr"/>
      <c r="AC882" s="18" t="inlineStr"/>
      <c r="AD882" s="18" t="inlineStr"/>
      <c r="AE882" s="18" t="inlineStr"/>
      <c r="AF882" s="18" t="inlineStr"/>
      <c r="AG882" s="18" t="inlineStr"/>
      <c r="AH882" s="18" t="inlineStr"/>
      <c r="AI882" s="18" t="inlineStr"/>
      <c r="AJ882" s="18" t="inlineStr">
        <is>
          <t>COBBLEVERSE 수정</t>
        </is>
      </c>
      <c r="AK882" s="18" t="inlineStr">
        <is>
          <t>사용</t>
        </is>
      </c>
      <c r="AL882" s="18" t="inlineStr">
        <is>
          <t>COBBLEVERSE 1.7.42 / DP v31</t>
        </is>
      </c>
      <c r="AM882" s="18" t="inlineStr">
        <is>
          <t>data/cobblemon/spawn_pool_world/0201_unown.json</t>
        </is>
      </c>
      <c r="AN882" s="18" t="inlineStr">
        <is>
          <t>unown-q-5</t>
        </is>
      </c>
      <c r="AO882" s="18" t="inlineStr">
        <is>
          <t>pokemon</t>
        </is>
      </c>
      <c r="AP882" s="18" t="inlineStr"/>
      <c r="AQ882" s="18" t="inlineStr">
        <is>
          <t>{"biomes":["the_bumblezone:howling_constructs"]}</t>
        </is>
      </c>
      <c r="AR882" s="18" t="inlineStr">
        <is>
          <t>{"structures":["#the_bumblezone:sempiternal_sanctums"]}</t>
        </is>
      </c>
      <c r="AS882" s="18" t="inlineStr"/>
      <c r="AT882" s="19" t="inlineStr"/>
    </row>
    <row r="883" ht="32" customHeight="1">
      <c r="A883" s="18" t="inlineStr">
        <is>
          <t>0201_unown.json::unown-r-5::074</t>
        </is>
      </c>
      <c r="B883" s="19" t="inlineStr">
        <is>
          <t>사용</t>
        </is>
      </c>
      <c r="C883" s="18">
        <f>IF(OR(B883&lt;&gt;AK883,M883&lt;&gt;L883,O883&lt;&gt;"",Q883&lt;&gt;"",V883&lt;&gt;1,Y883&lt;&gt;"",AT883&lt;&gt;""),"수정","원본")</f>
        <v/>
      </c>
      <c r="D883" s="18" t="n">
        <v>201</v>
      </c>
      <c r="E883" s="18" t="inlineStr">
        <is>
          <t>안농</t>
        </is>
      </c>
      <c r="F883" s="18" t="inlineStr">
        <is>
          <t>unown</t>
        </is>
      </c>
      <c r="G883" s="18" t="inlineStr">
        <is>
          <t>unown character=r</t>
        </is>
      </c>
      <c r="H883" s="18" t="inlineStr">
        <is>
          <t>character=r</t>
        </is>
      </c>
      <c r="I883" s="18" t="n">
        <v>2</v>
      </c>
      <c r="J883" s="18" t="n"/>
      <c r="K883" s="18" t="n">
        <v>2</v>
      </c>
      <c r="L883" s="18" t="inlineStr">
        <is>
          <t>cobbleventure:generation_2</t>
        </is>
      </c>
      <c r="M883" s="19" t="inlineStr">
        <is>
          <t>cobbleventure:generation_2</t>
        </is>
      </c>
      <c r="N883" s="18" t="inlineStr"/>
      <c r="O883" s="19" t="inlineStr"/>
      <c r="P883" s="18" t="inlineStr">
        <is>
          <t>the_bumblezone:howling_constructs</t>
        </is>
      </c>
      <c r="Q883" s="19" t="inlineStr"/>
      <c r="R883" s="18">
        <f>IF(Q883="",P883,Q883)</f>
        <v/>
      </c>
      <c r="S883" s="18" t="inlineStr"/>
      <c r="T883" s="18" t="inlineStr">
        <is>
          <t>common</t>
        </is>
      </c>
      <c r="U883" s="20" t="n">
        <v>3.2</v>
      </c>
      <c r="V883" s="21" t="n">
        <v>1</v>
      </c>
      <c r="W883" s="20">
        <f>IF(OR(U883="",V883=""),U883,U883*V883)</f>
        <v/>
      </c>
      <c r="X883" s="18" t="inlineStr">
        <is>
          <t>1-100</t>
        </is>
      </c>
      <c r="Y883" s="19" t="inlineStr"/>
      <c r="Z883" s="18">
        <f>IF(Y883="",X883,Y883)</f>
        <v/>
      </c>
      <c r="AA883" s="18" t="inlineStr">
        <is>
          <t>grounded</t>
        </is>
      </c>
      <c r="AB883" s="18" t="inlineStr"/>
      <c r="AC883" s="18" t="inlineStr"/>
      <c r="AD883" s="18" t="inlineStr"/>
      <c r="AE883" s="18" t="inlineStr"/>
      <c r="AF883" s="18" t="inlineStr"/>
      <c r="AG883" s="18" t="inlineStr"/>
      <c r="AH883" s="18" t="inlineStr"/>
      <c r="AI883" s="18" t="inlineStr"/>
      <c r="AJ883" s="18" t="inlineStr">
        <is>
          <t>COBBLEVERSE 수정</t>
        </is>
      </c>
      <c r="AK883" s="18" t="inlineStr">
        <is>
          <t>사용</t>
        </is>
      </c>
      <c r="AL883" s="18" t="inlineStr">
        <is>
          <t>COBBLEVERSE 1.7.42 / DP v31</t>
        </is>
      </c>
      <c r="AM883" s="18" t="inlineStr">
        <is>
          <t>data/cobblemon/spawn_pool_world/0201_unown.json</t>
        </is>
      </c>
      <c r="AN883" s="18" t="inlineStr">
        <is>
          <t>unown-r-5</t>
        </is>
      </c>
      <c r="AO883" s="18" t="inlineStr">
        <is>
          <t>pokemon</t>
        </is>
      </c>
      <c r="AP883" s="18" t="inlineStr"/>
      <c r="AQ883" s="18" t="inlineStr">
        <is>
          <t>{"biomes":["the_bumblezone:howling_constructs"]}</t>
        </is>
      </c>
      <c r="AR883" s="18" t="inlineStr">
        <is>
          <t>{"structures":["#the_bumblezone:sempiternal_sanctums"]}</t>
        </is>
      </c>
      <c r="AS883" s="18" t="inlineStr"/>
      <c r="AT883" s="19" t="inlineStr"/>
    </row>
    <row r="884" ht="32" customHeight="1">
      <c r="A884" s="18" t="inlineStr">
        <is>
          <t>0201_unown.json::unown-s-5::075</t>
        </is>
      </c>
      <c r="B884" s="19" t="inlineStr">
        <is>
          <t>사용</t>
        </is>
      </c>
      <c r="C884" s="18">
        <f>IF(OR(B884&lt;&gt;AK884,M884&lt;&gt;L884,O884&lt;&gt;"",Q884&lt;&gt;"",V884&lt;&gt;1,Y884&lt;&gt;"",AT884&lt;&gt;""),"수정","원본")</f>
        <v/>
      </c>
      <c r="D884" s="18" t="n">
        <v>201</v>
      </c>
      <c r="E884" s="18" t="inlineStr">
        <is>
          <t>안농</t>
        </is>
      </c>
      <c r="F884" s="18" t="inlineStr">
        <is>
          <t>unown</t>
        </is>
      </c>
      <c r="G884" s="18" t="inlineStr">
        <is>
          <t>unown character=s</t>
        </is>
      </c>
      <c r="H884" s="18" t="inlineStr">
        <is>
          <t>character=s</t>
        </is>
      </c>
      <c r="I884" s="18" t="n">
        <v>2</v>
      </c>
      <c r="J884" s="18" t="n"/>
      <c r="K884" s="18" t="n">
        <v>2</v>
      </c>
      <c r="L884" s="18" t="inlineStr">
        <is>
          <t>cobbleventure:generation_2</t>
        </is>
      </c>
      <c r="M884" s="19" t="inlineStr">
        <is>
          <t>cobbleventure:generation_2</t>
        </is>
      </c>
      <c r="N884" s="18" t="inlineStr"/>
      <c r="O884" s="19" t="inlineStr"/>
      <c r="P884" s="18" t="inlineStr">
        <is>
          <t>the_bumblezone:howling_constructs</t>
        </is>
      </c>
      <c r="Q884" s="19" t="inlineStr"/>
      <c r="R884" s="18">
        <f>IF(Q884="",P884,Q884)</f>
        <v/>
      </c>
      <c r="S884" s="18" t="inlineStr"/>
      <c r="T884" s="18" t="inlineStr">
        <is>
          <t>common</t>
        </is>
      </c>
      <c r="U884" s="20" t="n">
        <v>3.2</v>
      </c>
      <c r="V884" s="21" t="n">
        <v>1</v>
      </c>
      <c r="W884" s="20">
        <f>IF(OR(U884="",V884=""),U884,U884*V884)</f>
        <v/>
      </c>
      <c r="X884" s="18" t="inlineStr">
        <is>
          <t>1-100</t>
        </is>
      </c>
      <c r="Y884" s="19" t="inlineStr"/>
      <c r="Z884" s="18">
        <f>IF(Y884="",X884,Y884)</f>
        <v/>
      </c>
      <c r="AA884" s="18" t="inlineStr">
        <is>
          <t>grounded</t>
        </is>
      </c>
      <c r="AB884" s="18" t="inlineStr"/>
      <c r="AC884" s="18" t="inlineStr"/>
      <c r="AD884" s="18" t="inlineStr"/>
      <c r="AE884" s="18" t="inlineStr"/>
      <c r="AF884" s="18" t="inlineStr"/>
      <c r="AG884" s="18" t="inlineStr"/>
      <c r="AH884" s="18" t="inlineStr"/>
      <c r="AI884" s="18" t="inlineStr"/>
      <c r="AJ884" s="18" t="inlineStr">
        <is>
          <t>COBBLEVERSE 수정</t>
        </is>
      </c>
      <c r="AK884" s="18" t="inlineStr">
        <is>
          <t>사용</t>
        </is>
      </c>
      <c r="AL884" s="18" t="inlineStr">
        <is>
          <t>COBBLEVERSE 1.7.42 / DP v31</t>
        </is>
      </c>
      <c r="AM884" s="18" t="inlineStr">
        <is>
          <t>data/cobblemon/spawn_pool_world/0201_unown.json</t>
        </is>
      </c>
      <c r="AN884" s="18" t="inlineStr">
        <is>
          <t>unown-s-5</t>
        </is>
      </c>
      <c r="AO884" s="18" t="inlineStr">
        <is>
          <t>pokemon</t>
        </is>
      </c>
      <c r="AP884" s="18" t="inlineStr"/>
      <c r="AQ884" s="18" t="inlineStr">
        <is>
          <t>{"biomes":["the_bumblezone:howling_constructs"]}</t>
        </is>
      </c>
      <c r="AR884" s="18" t="inlineStr">
        <is>
          <t>{"structures":["#the_bumblezone:sempiternal_sanctums"]}</t>
        </is>
      </c>
      <c r="AS884" s="18" t="inlineStr"/>
      <c r="AT884" s="19" t="inlineStr"/>
    </row>
    <row r="885" ht="32" customHeight="1">
      <c r="A885" s="18" t="inlineStr">
        <is>
          <t>0201_unown.json::unown-t-5::076</t>
        </is>
      </c>
      <c r="B885" s="19" t="inlineStr">
        <is>
          <t>사용</t>
        </is>
      </c>
      <c r="C885" s="18">
        <f>IF(OR(B885&lt;&gt;AK885,M885&lt;&gt;L885,O885&lt;&gt;"",Q885&lt;&gt;"",V885&lt;&gt;1,Y885&lt;&gt;"",AT885&lt;&gt;""),"수정","원본")</f>
        <v/>
      </c>
      <c r="D885" s="18" t="n">
        <v>201</v>
      </c>
      <c r="E885" s="18" t="inlineStr">
        <is>
          <t>안농</t>
        </is>
      </c>
      <c r="F885" s="18" t="inlineStr">
        <is>
          <t>unown</t>
        </is>
      </c>
      <c r="G885" s="18" t="inlineStr">
        <is>
          <t>unown character=t</t>
        </is>
      </c>
      <c r="H885" s="18" t="inlineStr">
        <is>
          <t>character=t</t>
        </is>
      </c>
      <c r="I885" s="18" t="n">
        <v>2</v>
      </c>
      <c r="J885" s="18" t="n"/>
      <c r="K885" s="18" t="n">
        <v>2</v>
      </c>
      <c r="L885" s="18" t="inlineStr">
        <is>
          <t>cobbleventure:generation_2</t>
        </is>
      </c>
      <c r="M885" s="19" t="inlineStr">
        <is>
          <t>cobbleventure:generation_2</t>
        </is>
      </c>
      <c r="N885" s="18" t="inlineStr"/>
      <c r="O885" s="19" t="inlineStr"/>
      <c r="P885" s="18" t="inlineStr">
        <is>
          <t>the_bumblezone:howling_constructs</t>
        </is>
      </c>
      <c r="Q885" s="19" t="inlineStr"/>
      <c r="R885" s="18">
        <f>IF(Q885="",P885,Q885)</f>
        <v/>
      </c>
      <c r="S885" s="18" t="inlineStr"/>
      <c r="T885" s="18" t="inlineStr">
        <is>
          <t>common</t>
        </is>
      </c>
      <c r="U885" s="20" t="n">
        <v>3.2</v>
      </c>
      <c r="V885" s="21" t="n">
        <v>1</v>
      </c>
      <c r="W885" s="20">
        <f>IF(OR(U885="",V885=""),U885,U885*V885)</f>
        <v/>
      </c>
      <c r="X885" s="18" t="inlineStr">
        <is>
          <t>1-100</t>
        </is>
      </c>
      <c r="Y885" s="19" t="inlineStr"/>
      <c r="Z885" s="18">
        <f>IF(Y885="",X885,Y885)</f>
        <v/>
      </c>
      <c r="AA885" s="18" t="inlineStr">
        <is>
          <t>grounded</t>
        </is>
      </c>
      <c r="AB885" s="18" t="inlineStr"/>
      <c r="AC885" s="18" t="inlineStr"/>
      <c r="AD885" s="18" t="inlineStr"/>
      <c r="AE885" s="18" t="inlineStr"/>
      <c r="AF885" s="18" t="inlineStr"/>
      <c r="AG885" s="18" t="inlineStr"/>
      <c r="AH885" s="18" t="inlineStr"/>
      <c r="AI885" s="18" t="inlineStr"/>
      <c r="AJ885" s="18" t="inlineStr">
        <is>
          <t>COBBLEVERSE 수정</t>
        </is>
      </c>
      <c r="AK885" s="18" t="inlineStr">
        <is>
          <t>사용</t>
        </is>
      </c>
      <c r="AL885" s="18" t="inlineStr">
        <is>
          <t>COBBLEVERSE 1.7.42 / DP v31</t>
        </is>
      </c>
      <c r="AM885" s="18" t="inlineStr">
        <is>
          <t>data/cobblemon/spawn_pool_world/0201_unown.json</t>
        </is>
      </c>
      <c r="AN885" s="18" t="inlineStr">
        <is>
          <t>unown-t-5</t>
        </is>
      </c>
      <c r="AO885" s="18" t="inlineStr">
        <is>
          <t>pokemon</t>
        </is>
      </c>
      <c r="AP885" s="18" t="inlineStr"/>
      <c r="AQ885" s="18" t="inlineStr">
        <is>
          <t>{"biomes":["the_bumblezone:howling_constructs"]}</t>
        </is>
      </c>
      <c r="AR885" s="18" t="inlineStr">
        <is>
          <t>{"structures":["#the_bumblezone:sempiternal_sanctums"]}</t>
        </is>
      </c>
      <c r="AS885" s="18" t="inlineStr"/>
      <c r="AT885" s="19" t="inlineStr"/>
    </row>
    <row r="886" ht="32" customHeight="1">
      <c r="A886" s="18" t="inlineStr">
        <is>
          <t>0201_unown.json::unown-u-5::077</t>
        </is>
      </c>
      <c r="B886" s="19" t="inlineStr">
        <is>
          <t>사용</t>
        </is>
      </c>
      <c r="C886" s="18">
        <f>IF(OR(B886&lt;&gt;AK886,M886&lt;&gt;L886,O886&lt;&gt;"",Q886&lt;&gt;"",V886&lt;&gt;1,Y886&lt;&gt;"",AT886&lt;&gt;""),"수정","원본")</f>
        <v/>
      </c>
      <c r="D886" s="18" t="n">
        <v>201</v>
      </c>
      <c r="E886" s="18" t="inlineStr">
        <is>
          <t>안농</t>
        </is>
      </c>
      <c r="F886" s="18" t="inlineStr">
        <is>
          <t>unown</t>
        </is>
      </c>
      <c r="G886" s="18" t="inlineStr">
        <is>
          <t>unown character=u</t>
        </is>
      </c>
      <c r="H886" s="18" t="inlineStr">
        <is>
          <t>character=u</t>
        </is>
      </c>
      <c r="I886" s="18" t="n">
        <v>2</v>
      </c>
      <c r="J886" s="18" t="n"/>
      <c r="K886" s="18" t="n">
        <v>2</v>
      </c>
      <c r="L886" s="18" t="inlineStr">
        <is>
          <t>cobbleventure:generation_2</t>
        </is>
      </c>
      <c r="M886" s="19" t="inlineStr">
        <is>
          <t>cobbleventure:generation_2</t>
        </is>
      </c>
      <c r="N886" s="18" t="inlineStr"/>
      <c r="O886" s="19" t="inlineStr"/>
      <c r="P886" s="18" t="inlineStr">
        <is>
          <t>the_bumblezone:howling_constructs</t>
        </is>
      </c>
      <c r="Q886" s="19" t="inlineStr"/>
      <c r="R886" s="18">
        <f>IF(Q886="",P886,Q886)</f>
        <v/>
      </c>
      <c r="S886" s="18" t="inlineStr"/>
      <c r="T886" s="18" t="inlineStr">
        <is>
          <t>common</t>
        </is>
      </c>
      <c r="U886" s="20" t="n">
        <v>3.2</v>
      </c>
      <c r="V886" s="21" t="n">
        <v>1</v>
      </c>
      <c r="W886" s="20">
        <f>IF(OR(U886="",V886=""),U886,U886*V886)</f>
        <v/>
      </c>
      <c r="X886" s="18" t="inlineStr">
        <is>
          <t>1-100</t>
        </is>
      </c>
      <c r="Y886" s="19" t="inlineStr"/>
      <c r="Z886" s="18">
        <f>IF(Y886="",X886,Y886)</f>
        <v/>
      </c>
      <c r="AA886" s="18" t="inlineStr">
        <is>
          <t>grounded</t>
        </is>
      </c>
      <c r="AB886" s="18" t="inlineStr"/>
      <c r="AC886" s="18" t="inlineStr"/>
      <c r="AD886" s="18" t="inlineStr"/>
      <c r="AE886" s="18" t="inlineStr"/>
      <c r="AF886" s="18" t="inlineStr"/>
      <c r="AG886" s="18" t="inlineStr"/>
      <c r="AH886" s="18" t="inlineStr"/>
      <c r="AI886" s="18" t="inlineStr"/>
      <c r="AJ886" s="18" t="inlineStr">
        <is>
          <t>COBBLEVERSE 수정</t>
        </is>
      </c>
      <c r="AK886" s="18" t="inlineStr">
        <is>
          <t>사용</t>
        </is>
      </c>
      <c r="AL886" s="18" t="inlineStr">
        <is>
          <t>COBBLEVERSE 1.7.42 / DP v31</t>
        </is>
      </c>
      <c r="AM886" s="18" t="inlineStr">
        <is>
          <t>data/cobblemon/spawn_pool_world/0201_unown.json</t>
        </is>
      </c>
      <c r="AN886" s="18" t="inlineStr">
        <is>
          <t>unown-u-5</t>
        </is>
      </c>
      <c r="AO886" s="18" t="inlineStr">
        <is>
          <t>pokemon</t>
        </is>
      </c>
      <c r="AP886" s="18" t="inlineStr"/>
      <c r="AQ886" s="18" t="inlineStr">
        <is>
          <t>{"biomes":["the_bumblezone:howling_constructs"]}</t>
        </is>
      </c>
      <c r="AR886" s="18" t="inlineStr">
        <is>
          <t>{"structures":["#the_bumblezone:sempiternal_sanctums"]}</t>
        </is>
      </c>
      <c r="AS886" s="18" t="inlineStr"/>
      <c r="AT886" s="19" t="inlineStr"/>
    </row>
    <row r="887" ht="32" customHeight="1">
      <c r="A887" s="18" t="inlineStr">
        <is>
          <t>0201_unown.json::unown-v-5::078</t>
        </is>
      </c>
      <c r="B887" s="19" t="inlineStr">
        <is>
          <t>사용</t>
        </is>
      </c>
      <c r="C887" s="18">
        <f>IF(OR(B887&lt;&gt;AK887,M887&lt;&gt;L887,O887&lt;&gt;"",Q887&lt;&gt;"",V887&lt;&gt;1,Y887&lt;&gt;"",AT887&lt;&gt;""),"수정","원본")</f>
        <v/>
      </c>
      <c r="D887" s="18" t="n">
        <v>201</v>
      </c>
      <c r="E887" s="18" t="inlineStr">
        <is>
          <t>안농</t>
        </is>
      </c>
      <c r="F887" s="18" t="inlineStr">
        <is>
          <t>unown</t>
        </is>
      </c>
      <c r="G887" s="18" t="inlineStr">
        <is>
          <t>unown character=v</t>
        </is>
      </c>
      <c r="H887" s="18" t="inlineStr">
        <is>
          <t>character=v</t>
        </is>
      </c>
      <c r="I887" s="18" t="n">
        <v>2</v>
      </c>
      <c r="J887" s="18" t="n"/>
      <c r="K887" s="18" t="n">
        <v>2</v>
      </c>
      <c r="L887" s="18" t="inlineStr">
        <is>
          <t>cobbleventure:generation_2</t>
        </is>
      </c>
      <c r="M887" s="19" t="inlineStr">
        <is>
          <t>cobbleventure:generation_2</t>
        </is>
      </c>
      <c r="N887" s="18" t="inlineStr"/>
      <c r="O887" s="19" t="inlineStr"/>
      <c r="P887" s="18" t="inlineStr">
        <is>
          <t>the_bumblezone:howling_constructs</t>
        </is>
      </c>
      <c r="Q887" s="19" t="inlineStr"/>
      <c r="R887" s="18">
        <f>IF(Q887="",P887,Q887)</f>
        <v/>
      </c>
      <c r="S887" s="18" t="inlineStr"/>
      <c r="T887" s="18" t="inlineStr">
        <is>
          <t>common</t>
        </is>
      </c>
      <c r="U887" s="20" t="n">
        <v>3.2</v>
      </c>
      <c r="V887" s="21" t="n">
        <v>1</v>
      </c>
      <c r="W887" s="20">
        <f>IF(OR(U887="",V887=""),U887,U887*V887)</f>
        <v/>
      </c>
      <c r="X887" s="18" t="inlineStr">
        <is>
          <t>1-100</t>
        </is>
      </c>
      <c r="Y887" s="19" t="inlineStr"/>
      <c r="Z887" s="18">
        <f>IF(Y887="",X887,Y887)</f>
        <v/>
      </c>
      <c r="AA887" s="18" t="inlineStr">
        <is>
          <t>grounded</t>
        </is>
      </c>
      <c r="AB887" s="18" t="inlineStr"/>
      <c r="AC887" s="18" t="inlineStr"/>
      <c r="AD887" s="18" t="inlineStr"/>
      <c r="AE887" s="18" t="inlineStr"/>
      <c r="AF887" s="18" t="inlineStr"/>
      <c r="AG887" s="18" t="inlineStr"/>
      <c r="AH887" s="18" t="inlineStr"/>
      <c r="AI887" s="18" t="inlineStr"/>
      <c r="AJ887" s="18" t="inlineStr">
        <is>
          <t>COBBLEVERSE 수정</t>
        </is>
      </c>
      <c r="AK887" s="18" t="inlineStr">
        <is>
          <t>사용</t>
        </is>
      </c>
      <c r="AL887" s="18" t="inlineStr">
        <is>
          <t>COBBLEVERSE 1.7.42 / DP v31</t>
        </is>
      </c>
      <c r="AM887" s="18" t="inlineStr">
        <is>
          <t>data/cobblemon/spawn_pool_world/0201_unown.json</t>
        </is>
      </c>
      <c r="AN887" s="18" t="inlineStr">
        <is>
          <t>unown-v-5</t>
        </is>
      </c>
      <c r="AO887" s="18" t="inlineStr">
        <is>
          <t>pokemon</t>
        </is>
      </c>
      <c r="AP887" s="18" t="inlineStr"/>
      <c r="AQ887" s="18" t="inlineStr">
        <is>
          <t>{"biomes":["the_bumblezone:howling_constructs"]}</t>
        </is>
      </c>
      <c r="AR887" s="18" t="inlineStr">
        <is>
          <t>{"structures":["#the_bumblezone:sempiternal_sanctums"]}</t>
        </is>
      </c>
      <c r="AS887" s="18" t="inlineStr"/>
      <c r="AT887" s="19" t="inlineStr"/>
    </row>
    <row r="888" ht="32" customHeight="1">
      <c r="A888" s="18" t="inlineStr">
        <is>
          <t>0201_unown.json::unown-w-5::079</t>
        </is>
      </c>
      <c r="B888" s="19" t="inlineStr">
        <is>
          <t>사용</t>
        </is>
      </c>
      <c r="C888" s="18">
        <f>IF(OR(B888&lt;&gt;AK888,M888&lt;&gt;L888,O888&lt;&gt;"",Q888&lt;&gt;"",V888&lt;&gt;1,Y888&lt;&gt;"",AT888&lt;&gt;""),"수정","원본")</f>
        <v/>
      </c>
      <c r="D888" s="18" t="n">
        <v>201</v>
      </c>
      <c r="E888" s="18" t="inlineStr">
        <is>
          <t>안농</t>
        </is>
      </c>
      <c r="F888" s="18" t="inlineStr">
        <is>
          <t>unown</t>
        </is>
      </c>
      <c r="G888" s="18" t="inlineStr">
        <is>
          <t>unown character=w</t>
        </is>
      </c>
      <c r="H888" s="18" t="inlineStr">
        <is>
          <t>character=w</t>
        </is>
      </c>
      <c r="I888" s="18" t="n">
        <v>2</v>
      </c>
      <c r="J888" s="18" t="n"/>
      <c r="K888" s="18" t="n">
        <v>2</v>
      </c>
      <c r="L888" s="18" t="inlineStr">
        <is>
          <t>cobbleventure:generation_2</t>
        </is>
      </c>
      <c r="M888" s="19" t="inlineStr">
        <is>
          <t>cobbleventure:generation_2</t>
        </is>
      </c>
      <c r="N888" s="18" t="inlineStr"/>
      <c r="O888" s="19" t="inlineStr"/>
      <c r="P888" s="18" t="inlineStr">
        <is>
          <t>the_bumblezone:howling_constructs</t>
        </is>
      </c>
      <c r="Q888" s="19" t="inlineStr"/>
      <c r="R888" s="18">
        <f>IF(Q888="",P888,Q888)</f>
        <v/>
      </c>
      <c r="S888" s="18" t="inlineStr"/>
      <c r="T888" s="18" t="inlineStr">
        <is>
          <t>common</t>
        </is>
      </c>
      <c r="U888" s="20" t="n">
        <v>3.2</v>
      </c>
      <c r="V888" s="21" t="n">
        <v>1</v>
      </c>
      <c r="W888" s="20">
        <f>IF(OR(U888="",V888=""),U888,U888*V888)</f>
        <v/>
      </c>
      <c r="X888" s="18" t="inlineStr">
        <is>
          <t>1-100</t>
        </is>
      </c>
      <c r="Y888" s="19" t="inlineStr"/>
      <c r="Z888" s="18">
        <f>IF(Y888="",X888,Y888)</f>
        <v/>
      </c>
      <c r="AA888" s="18" t="inlineStr">
        <is>
          <t>grounded</t>
        </is>
      </c>
      <c r="AB888" s="18" t="inlineStr"/>
      <c r="AC888" s="18" t="inlineStr"/>
      <c r="AD888" s="18" t="inlineStr"/>
      <c r="AE888" s="18" t="inlineStr"/>
      <c r="AF888" s="18" t="inlineStr"/>
      <c r="AG888" s="18" t="inlineStr"/>
      <c r="AH888" s="18" t="inlineStr"/>
      <c r="AI888" s="18" t="inlineStr"/>
      <c r="AJ888" s="18" t="inlineStr">
        <is>
          <t>COBBLEVERSE 수정</t>
        </is>
      </c>
      <c r="AK888" s="18" t="inlineStr">
        <is>
          <t>사용</t>
        </is>
      </c>
      <c r="AL888" s="18" t="inlineStr">
        <is>
          <t>COBBLEVERSE 1.7.42 / DP v31</t>
        </is>
      </c>
      <c r="AM888" s="18" t="inlineStr">
        <is>
          <t>data/cobblemon/spawn_pool_world/0201_unown.json</t>
        </is>
      </c>
      <c r="AN888" s="18" t="inlineStr">
        <is>
          <t>unown-w-5</t>
        </is>
      </c>
      <c r="AO888" s="18" t="inlineStr">
        <is>
          <t>pokemon</t>
        </is>
      </c>
      <c r="AP888" s="18" t="inlineStr"/>
      <c r="AQ888" s="18" t="inlineStr">
        <is>
          <t>{"biomes":["the_bumblezone:howling_constructs"]}</t>
        </is>
      </c>
      <c r="AR888" s="18" t="inlineStr">
        <is>
          <t>{"structures":["#the_bumblezone:sempiternal_sanctums"]}</t>
        </is>
      </c>
      <c r="AS888" s="18" t="inlineStr"/>
      <c r="AT888" s="19" t="inlineStr"/>
    </row>
    <row r="889" ht="32" customHeight="1">
      <c r="A889" s="18" t="inlineStr">
        <is>
          <t>0201_unown.json::unown-x-5::080</t>
        </is>
      </c>
      <c r="B889" s="19" t="inlineStr">
        <is>
          <t>사용</t>
        </is>
      </c>
      <c r="C889" s="18">
        <f>IF(OR(B889&lt;&gt;AK889,M889&lt;&gt;L889,O889&lt;&gt;"",Q889&lt;&gt;"",V889&lt;&gt;1,Y889&lt;&gt;"",AT889&lt;&gt;""),"수정","원본")</f>
        <v/>
      </c>
      <c r="D889" s="18" t="n">
        <v>201</v>
      </c>
      <c r="E889" s="18" t="inlineStr">
        <is>
          <t>안농</t>
        </is>
      </c>
      <c r="F889" s="18" t="inlineStr">
        <is>
          <t>unown</t>
        </is>
      </c>
      <c r="G889" s="18" t="inlineStr">
        <is>
          <t>unown character=x</t>
        </is>
      </c>
      <c r="H889" s="18" t="inlineStr">
        <is>
          <t>character=x</t>
        </is>
      </c>
      <c r="I889" s="18" t="n">
        <v>2</v>
      </c>
      <c r="J889" s="18" t="n"/>
      <c r="K889" s="18" t="n">
        <v>2</v>
      </c>
      <c r="L889" s="18" t="inlineStr">
        <is>
          <t>cobbleventure:generation_2</t>
        </is>
      </c>
      <c r="M889" s="19" t="inlineStr">
        <is>
          <t>cobbleventure:generation_2</t>
        </is>
      </c>
      <c r="N889" s="18" t="inlineStr"/>
      <c r="O889" s="19" t="inlineStr"/>
      <c r="P889" s="18" t="inlineStr">
        <is>
          <t>the_bumblezone:howling_constructs</t>
        </is>
      </c>
      <c r="Q889" s="19" t="inlineStr"/>
      <c r="R889" s="18">
        <f>IF(Q889="",P889,Q889)</f>
        <v/>
      </c>
      <c r="S889" s="18" t="inlineStr"/>
      <c r="T889" s="18" t="inlineStr">
        <is>
          <t>common</t>
        </is>
      </c>
      <c r="U889" s="20" t="n">
        <v>3.2</v>
      </c>
      <c r="V889" s="21" t="n">
        <v>1</v>
      </c>
      <c r="W889" s="20">
        <f>IF(OR(U889="",V889=""),U889,U889*V889)</f>
        <v/>
      </c>
      <c r="X889" s="18" t="inlineStr">
        <is>
          <t>1-100</t>
        </is>
      </c>
      <c r="Y889" s="19" t="inlineStr"/>
      <c r="Z889" s="18">
        <f>IF(Y889="",X889,Y889)</f>
        <v/>
      </c>
      <c r="AA889" s="18" t="inlineStr">
        <is>
          <t>grounded</t>
        </is>
      </c>
      <c r="AB889" s="18" t="inlineStr"/>
      <c r="AC889" s="18" t="inlineStr"/>
      <c r="AD889" s="18" t="inlineStr"/>
      <c r="AE889" s="18" t="inlineStr"/>
      <c r="AF889" s="18" t="inlineStr"/>
      <c r="AG889" s="18" t="inlineStr"/>
      <c r="AH889" s="18" t="inlineStr"/>
      <c r="AI889" s="18" t="inlineStr"/>
      <c r="AJ889" s="18" t="inlineStr">
        <is>
          <t>COBBLEVERSE 수정</t>
        </is>
      </c>
      <c r="AK889" s="18" t="inlineStr">
        <is>
          <t>사용</t>
        </is>
      </c>
      <c r="AL889" s="18" t="inlineStr">
        <is>
          <t>COBBLEVERSE 1.7.42 / DP v31</t>
        </is>
      </c>
      <c r="AM889" s="18" t="inlineStr">
        <is>
          <t>data/cobblemon/spawn_pool_world/0201_unown.json</t>
        </is>
      </c>
      <c r="AN889" s="18" t="inlineStr">
        <is>
          <t>unown-x-5</t>
        </is>
      </c>
      <c r="AO889" s="18" t="inlineStr">
        <is>
          <t>pokemon</t>
        </is>
      </c>
      <c r="AP889" s="18" t="inlineStr"/>
      <c r="AQ889" s="18" t="inlineStr">
        <is>
          <t>{"biomes":["the_bumblezone:howling_constructs"]}</t>
        </is>
      </c>
      <c r="AR889" s="18" t="inlineStr">
        <is>
          <t>{"structures":["#the_bumblezone:sempiternal_sanctums"]}</t>
        </is>
      </c>
      <c r="AS889" s="18" t="inlineStr"/>
      <c r="AT889" s="19" t="inlineStr"/>
    </row>
    <row r="890" ht="32" customHeight="1">
      <c r="A890" s="18" t="inlineStr">
        <is>
          <t>0201_unown.json::unown-y-5::081</t>
        </is>
      </c>
      <c r="B890" s="19" t="inlineStr">
        <is>
          <t>사용</t>
        </is>
      </c>
      <c r="C890" s="18">
        <f>IF(OR(B890&lt;&gt;AK890,M890&lt;&gt;L890,O890&lt;&gt;"",Q890&lt;&gt;"",V890&lt;&gt;1,Y890&lt;&gt;"",AT890&lt;&gt;""),"수정","원본")</f>
        <v/>
      </c>
      <c r="D890" s="18" t="n">
        <v>201</v>
      </c>
      <c r="E890" s="18" t="inlineStr">
        <is>
          <t>안농</t>
        </is>
      </c>
      <c r="F890" s="18" t="inlineStr">
        <is>
          <t>unown</t>
        </is>
      </c>
      <c r="G890" s="18" t="inlineStr">
        <is>
          <t>unown character=y</t>
        </is>
      </c>
      <c r="H890" s="18" t="inlineStr">
        <is>
          <t>character=y</t>
        </is>
      </c>
      <c r="I890" s="18" t="n">
        <v>2</v>
      </c>
      <c r="J890" s="18" t="n"/>
      <c r="K890" s="18" t="n">
        <v>2</v>
      </c>
      <c r="L890" s="18" t="inlineStr">
        <is>
          <t>cobbleventure:generation_2</t>
        </is>
      </c>
      <c r="M890" s="19" t="inlineStr">
        <is>
          <t>cobbleventure:generation_2</t>
        </is>
      </c>
      <c r="N890" s="18" t="inlineStr"/>
      <c r="O890" s="19" t="inlineStr"/>
      <c r="P890" s="18" t="inlineStr">
        <is>
          <t>the_bumblezone:howling_constructs</t>
        </is>
      </c>
      <c r="Q890" s="19" t="inlineStr"/>
      <c r="R890" s="18">
        <f>IF(Q890="",P890,Q890)</f>
        <v/>
      </c>
      <c r="S890" s="18" t="inlineStr"/>
      <c r="T890" s="18" t="inlineStr">
        <is>
          <t>common</t>
        </is>
      </c>
      <c r="U890" s="20" t="n">
        <v>3.2</v>
      </c>
      <c r="V890" s="21" t="n">
        <v>1</v>
      </c>
      <c r="W890" s="20">
        <f>IF(OR(U890="",V890=""),U890,U890*V890)</f>
        <v/>
      </c>
      <c r="X890" s="18" t="inlineStr">
        <is>
          <t>1-100</t>
        </is>
      </c>
      <c r="Y890" s="19" t="inlineStr"/>
      <c r="Z890" s="18">
        <f>IF(Y890="",X890,Y890)</f>
        <v/>
      </c>
      <c r="AA890" s="18" t="inlineStr">
        <is>
          <t>grounded</t>
        </is>
      </c>
      <c r="AB890" s="18" t="inlineStr"/>
      <c r="AC890" s="18" t="inlineStr"/>
      <c r="AD890" s="18" t="inlineStr"/>
      <c r="AE890" s="18" t="inlineStr"/>
      <c r="AF890" s="18" t="inlineStr"/>
      <c r="AG890" s="18" t="inlineStr"/>
      <c r="AH890" s="18" t="inlineStr"/>
      <c r="AI890" s="18" t="inlineStr"/>
      <c r="AJ890" s="18" t="inlineStr">
        <is>
          <t>COBBLEVERSE 수정</t>
        </is>
      </c>
      <c r="AK890" s="18" t="inlineStr">
        <is>
          <t>사용</t>
        </is>
      </c>
      <c r="AL890" s="18" t="inlineStr">
        <is>
          <t>COBBLEVERSE 1.7.42 / DP v31</t>
        </is>
      </c>
      <c r="AM890" s="18" t="inlineStr">
        <is>
          <t>data/cobblemon/spawn_pool_world/0201_unown.json</t>
        </is>
      </c>
      <c r="AN890" s="18" t="inlineStr">
        <is>
          <t>unown-y-5</t>
        </is>
      </c>
      <c r="AO890" s="18" t="inlineStr">
        <is>
          <t>pokemon</t>
        </is>
      </c>
      <c r="AP890" s="18" t="inlineStr"/>
      <c r="AQ890" s="18" t="inlineStr">
        <is>
          <t>{"biomes":["the_bumblezone:howling_constructs"]}</t>
        </is>
      </c>
      <c r="AR890" s="18" t="inlineStr">
        <is>
          <t>{"structures":["#the_bumblezone:sempiternal_sanctums"]}</t>
        </is>
      </c>
      <c r="AS890" s="18" t="inlineStr"/>
      <c r="AT890" s="19" t="inlineStr"/>
    </row>
    <row r="891" ht="32" customHeight="1">
      <c r="A891" s="18" t="inlineStr">
        <is>
          <t>0201_unown.json::unown-z-5::082</t>
        </is>
      </c>
      <c r="B891" s="19" t="inlineStr">
        <is>
          <t>사용</t>
        </is>
      </c>
      <c r="C891" s="18">
        <f>IF(OR(B891&lt;&gt;AK891,M891&lt;&gt;L891,O891&lt;&gt;"",Q891&lt;&gt;"",V891&lt;&gt;1,Y891&lt;&gt;"",AT891&lt;&gt;""),"수정","원본")</f>
        <v/>
      </c>
      <c r="D891" s="18" t="n">
        <v>201</v>
      </c>
      <c r="E891" s="18" t="inlineStr">
        <is>
          <t>안농</t>
        </is>
      </c>
      <c r="F891" s="18" t="inlineStr">
        <is>
          <t>unown</t>
        </is>
      </c>
      <c r="G891" s="18" t="inlineStr">
        <is>
          <t>unown character=z</t>
        </is>
      </c>
      <c r="H891" s="18" t="inlineStr">
        <is>
          <t>character=z</t>
        </is>
      </c>
      <c r="I891" s="18" t="n">
        <v>2</v>
      </c>
      <c r="J891" s="18" t="n"/>
      <c r="K891" s="18" t="n">
        <v>2</v>
      </c>
      <c r="L891" s="18" t="inlineStr">
        <is>
          <t>cobbleventure:generation_2</t>
        </is>
      </c>
      <c r="M891" s="19" t="inlineStr">
        <is>
          <t>cobbleventure:generation_2</t>
        </is>
      </c>
      <c r="N891" s="18" t="inlineStr"/>
      <c r="O891" s="19" t="inlineStr"/>
      <c r="P891" s="18" t="inlineStr">
        <is>
          <t>the_bumblezone:howling_constructs</t>
        </is>
      </c>
      <c r="Q891" s="19" t="inlineStr"/>
      <c r="R891" s="18">
        <f>IF(Q891="",P891,Q891)</f>
        <v/>
      </c>
      <c r="S891" s="18" t="inlineStr"/>
      <c r="T891" s="18" t="inlineStr">
        <is>
          <t>common</t>
        </is>
      </c>
      <c r="U891" s="20" t="n">
        <v>3.2</v>
      </c>
      <c r="V891" s="21" t="n">
        <v>1</v>
      </c>
      <c r="W891" s="20">
        <f>IF(OR(U891="",V891=""),U891,U891*V891)</f>
        <v/>
      </c>
      <c r="X891" s="18" t="inlineStr">
        <is>
          <t>1-100</t>
        </is>
      </c>
      <c r="Y891" s="19" t="inlineStr"/>
      <c r="Z891" s="18">
        <f>IF(Y891="",X891,Y891)</f>
        <v/>
      </c>
      <c r="AA891" s="18" t="inlineStr">
        <is>
          <t>grounded</t>
        </is>
      </c>
      <c r="AB891" s="18" t="inlineStr"/>
      <c r="AC891" s="18" t="inlineStr"/>
      <c r="AD891" s="18" t="inlineStr"/>
      <c r="AE891" s="18" t="inlineStr"/>
      <c r="AF891" s="18" t="inlineStr"/>
      <c r="AG891" s="18" t="inlineStr"/>
      <c r="AH891" s="18" t="inlineStr"/>
      <c r="AI891" s="18" t="inlineStr"/>
      <c r="AJ891" s="18" t="inlineStr">
        <is>
          <t>COBBLEVERSE 수정</t>
        </is>
      </c>
      <c r="AK891" s="18" t="inlineStr">
        <is>
          <t>사용</t>
        </is>
      </c>
      <c r="AL891" s="18" t="inlineStr">
        <is>
          <t>COBBLEVERSE 1.7.42 / DP v31</t>
        </is>
      </c>
      <c r="AM891" s="18" t="inlineStr">
        <is>
          <t>data/cobblemon/spawn_pool_world/0201_unown.json</t>
        </is>
      </c>
      <c r="AN891" s="18" t="inlineStr">
        <is>
          <t>unown-z-5</t>
        </is>
      </c>
      <c r="AO891" s="18" t="inlineStr">
        <is>
          <t>pokemon</t>
        </is>
      </c>
      <c r="AP891" s="18" t="inlineStr"/>
      <c r="AQ891" s="18" t="inlineStr">
        <is>
          <t>{"biomes":["the_bumblezone:howling_constructs"]}</t>
        </is>
      </c>
      <c r="AR891" s="18" t="inlineStr">
        <is>
          <t>{"structures":["#the_bumblezone:sempiternal_sanctums"]}</t>
        </is>
      </c>
      <c r="AS891" s="18" t="inlineStr"/>
      <c r="AT891" s="19" t="inlineStr"/>
    </row>
    <row r="892" ht="32" customHeight="1">
      <c r="A892" s="18" t="inlineStr">
        <is>
          <t>0201_unown.json::unown-!-6::083</t>
        </is>
      </c>
      <c r="B892" s="19" t="inlineStr">
        <is>
          <t>사용</t>
        </is>
      </c>
      <c r="C892" s="18">
        <f>IF(OR(B892&lt;&gt;AK892,M892&lt;&gt;L892,O892&lt;&gt;"",Q892&lt;&gt;"",V892&lt;&gt;1,Y892&lt;&gt;"",AT892&lt;&gt;""),"수정","원본")</f>
        <v/>
      </c>
      <c r="D892" s="18" t="n">
        <v>201</v>
      </c>
      <c r="E892" s="18" t="inlineStr">
        <is>
          <t>안농</t>
        </is>
      </c>
      <c r="F892" s="18" t="inlineStr">
        <is>
          <t>unown</t>
        </is>
      </c>
      <c r="G892" s="18" t="inlineStr">
        <is>
          <t>unown character=!</t>
        </is>
      </c>
      <c r="H892" s="18" t="inlineStr">
        <is>
          <t>character=!</t>
        </is>
      </c>
      <c r="I892" s="18" t="n">
        <v>2</v>
      </c>
      <c r="J892" s="18" t="n"/>
      <c r="K892" s="18" t="n">
        <v>2</v>
      </c>
      <c r="L892" s="18" t="inlineStr">
        <is>
          <t>cobbleventure:generation_2</t>
        </is>
      </c>
      <c r="M892" s="19" t="inlineStr">
        <is>
          <t>cobbleventure:generation_2</t>
        </is>
      </c>
      <c r="N892" s="18" t="inlineStr"/>
      <c r="O892" s="19" t="inlineStr"/>
      <c r="P892" s="18" t="inlineStr">
        <is>
          <t>the_bumblezone:howling_constructs</t>
        </is>
      </c>
      <c r="Q892" s="19" t="inlineStr"/>
      <c r="R892" s="18">
        <f>IF(Q892="",P892,Q892)</f>
        <v/>
      </c>
      <c r="S892" s="18" t="inlineStr"/>
      <c r="T892" s="18" t="inlineStr">
        <is>
          <t>common</t>
        </is>
      </c>
      <c r="U892" s="20" t="n">
        <v>1</v>
      </c>
      <c r="V892" s="21" t="n">
        <v>1</v>
      </c>
      <c r="W892" s="20">
        <f>IF(OR(U892="",V892=""),U892,U892*V892)</f>
        <v/>
      </c>
      <c r="X892" s="18" t="inlineStr">
        <is>
          <t>1-100</t>
        </is>
      </c>
      <c r="Y892" s="19" t="inlineStr"/>
      <c r="Z892" s="18">
        <f>IF(Y892="",X892,Y892)</f>
        <v/>
      </c>
      <c r="AA892" s="18" t="inlineStr">
        <is>
          <t>grounded</t>
        </is>
      </c>
      <c r="AB892" s="18" t="inlineStr"/>
      <c r="AC892" s="18" t="inlineStr"/>
      <c r="AD892" s="18" t="inlineStr"/>
      <c r="AE892" s="18" t="inlineStr"/>
      <c r="AF892" s="18" t="inlineStr"/>
      <c r="AG892" s="18" t="inlineStr"/>
      <c r="AH892" s="18" t="inlineStr"/>
      <c r="AI892" s="18" t="inlineStr"/>
      <c r="AJ892" s="18" t="inlineStr">
        <is>
          <t>COBBLEVERSE 수정</t>
        </is>
      </c>
      <c r="AK892" s="18" t="inlineStr">
        <is>
          <t>사용</t>
        </is>
      </c>
      <c r="AL892" s="18" t="inlineStr">
        <is>
          <t>COBBLEVERSE 1.7.42 / DP v31</t>
        </is>
      </c>
      <c r="AM892" s="18" t="inlineStr">
        <is>
          <t>data/cobblemon/spawn_pool_world/0201_unown.json</t>
        </is>
      </c>
      <c r="AN892" s="18" t="inlineStr">
        <is>
          <t>unown-!-6</t>
        </is>
      </c>
      <c r="AO892" s="18" t="inlineStr">
        <is>
          <t>pokemon</t>
        </is>
      </c>
      <c r="AP892" s="18" t="inlineStr"/>
      <c r="AQ892" s="18" t="inlineStr">
        <is>
          <t>{"biomes":["the_bumblezone:howling_constructs"]}</t>
        </is>
      </c>
      <c r="AR892" s="18" t="inlineStr">
        <is>
          <t>{"structures":["#the_bumblezone:sempiternal_sanctums"]}</t>
        </is>
      </c>
      <c r="AS892" s="18" t="inlineStr"/>
      <c r="AT892" s="19" t="inlineStr"/>
    </row>
    <row r="893" ht="32" customHeight="1">
      <c r="A893" s="18" t="inlineStr">
        <is>
          <t>0201_unown.json::unown-?-6::084</t>
        </is>
      </c>
      <c r="B893" s="19" t="inlineStr">
        <is>
          <t>사용</t>
        </is>
      </c>
      <c r="C893" s="18">
        <f>IF(OR(B893&lt;&gt;AK893,M893&lt;&gt;L893,O893&lt;&gt;"",Q893&lt;&gt;"",V893&lt;&gt;1,Y893&lt;&gt;"",AT893&lt;&gt;""),"수정","원본")</f>
        <v/>
      </c>
      <c r="D893" s="18" t="n">
        <v>201</v>
      </c>
      <c r="E893" s="18" t="inlineStr">
        <is>
          <t>안농</t>
        </is>
      </c>
      <c r="F893" s="18" t="inlineStr">
        <is>
          <t>unown</t>
        </is>
      </c>
      <c r="G893" s="18" t="inlineStr">
        <is>
          <t>unown character=?</t>
        </is>
      </c>
      <c r="H893" s="18" t="inlineStr">
        <is>
          <t>character=?</t>
        </is>
      </c>
      <c r="I893" s="18" t="n">
        <v>2</v>
      </c>
      <c r="J893" s="18" t="n"/>
      <c r="K893" s="18" t="n">
        <v>2</v>
      </c>
      <c r="L893" s="18" t="inlineStr">
        <is>
          <t>cobbleventure:generation_2</t>
        </is>
      </c>
      <c r="M893" s="19" t="inlineStr">
        <is>
          <t>cobbleventure:generation_2</t>
        </is>
      </c>
      <c r="N893" s="18" t="inlineStr"/>
      <c r="O893" s="19" t="inlineStr"/>
      <c r="P893" s="18" t="inlineStr">
        <is>
          <t>the_bumblezone:howling_constructs</t>
        </is>
      </c>
      <c r="Q893" s="19" t="inlineStr"/>
      <c r="R893" s="18">
        <f>IF(Q893="",P893,Q893)</f>
        <v/>
      </c>
      <c r="S893" s="18" t="inlineStr"/>
      <c r="T893" s="18" t="inlineStr">
        <is>
          <t>common</t>
        </is>
      </c>
      <c r="U893" s="20" t="n">
        <v>1</v>
      </c>
      <c r="V893" s="21" t="n">
        <v>1</v>
      </c>
      <c r="W893" s="20">
        <f>IF(OR(U893="",V893=""),U893,U893*V893)</f>
        <v/>
      </c>
      <c r="X893" s="18" t="inlineStr">
        <is>
          <t>1-100</t>
        </is>
      </c>
      <c r="Y893" s="19" t="inlineStr"/>
      <c r="Z893" s="18">
        <f>IF(Y893="",X893,Y893)</f>
        <v/>
      </c>
      <c r="AA893" s="18" t="inlineStr">
        <is>
          <t>grounded</t>
        </is>
      </c>
      <c r="AB893" s="18" t="inlineStr"/>
      <c r="AC893" s="18" t="inlineStr"/>
      <c r="AD893" s="18" t="inlineStr"/>
      <c r="AE893" s="18" t="inlineStr"/>
      <c r="AF893" s="18" t="inlineStr"/>
      <c r="AG893" s="18" t="inlineStr"/>
      <c r="AH893" s="18" t="inlineStr"/>
      <c r="AI893" s="18" t="inlineStr"/>
      <c r="AJ893" s="18" t="inlineStr">
        <is>
          <t>COBBLEVERSE 수정</t>
        </is>
      </c>
      <c r="AK893" s="18" t="inlineStr">
        <is>
          <t>사용</t>
        </is>
      </c>
      <c r="AL893" s="18" t="inlineStr">
        <is>
          <t>COBBLEVERSE 1.7.42 / DP v31</t>
        </is>
      </c>
      <c r="AM893" s="18" t="inlineStr">
        <is>
          <t>data/cobblemon/spawn_pool_world/0201_unown.json</t>
        </is>
      </c>
      <c r="AN893" s="18" t="inlineStr">
        <is>
          <t>unown-?-6</t>
        </is>
      </c>
      <c r="AO893" s="18" t="inlineStr">
        <is>
          <t>pokemon</t>
        </is>
      </c>
      <c r="AP893" s="18" t="inlineStr"/>
      <c r="AQ893" s="18" t="inlineStr">
        <is>
          <t>{"biomes":["the_bumblezone:howling_constructs"]}</t>
        </is>
      </c>
      <c r="AR893" s="18" t="inlineStr">
        <is>
          <t>{"structures":["#the_bumblezone:sempiternal_sanctums"]}</t>
        </is>
      </c>
      <c r="AS893" s="18" t="inlineStr"/>
      <c r="AT893" s="19" t="inlineStr"/>
    </row>
    <row r="894" ht="32" customHeight="1">
      <c r="A894" s="18" t="inlineStr">
        <is>
          <t>0202_wobbuffet.json::wobbuffet-1::001</t>
        </is>
      </c>
      <c r="B894" s="19" t="inlineStr">
        <is>
          <t>사용</t>
        </is>
      </c>
      <c r="C894" s="18">
        <f>IF(OR(B894&lt;&gt;AK894,M894&lt;&gt;L894,O894&lt;&gt;"",Q894&lt;&gt;"",V894&lt;&gt;1,Y894&lt;&gt;"",AT894&lt;&gt;""),"수정","원본")</f>
        <v/>
      </c>
      <c r="D894" s="18" t="n">
        <v>202</v>
      </c>
      <c r="E894" s="18" t="inlineStr">
        <is>
          <t>마자용</t>
        </is>
      </c>
      <c r="F894" s="18" t="inlineStr">
        <is>
          <t>wobbuffet</t>
        </is>
      </c>
      <c r="G894" s="18" t="inlineStr">
        <is>
          <t>wobbuffet</t>
        </is>
      </c>
      <c r="H894" s="18" t="inlineStr"/>
      <c r="I894" s="18" t="n">
        <v>2</v>
      </c>
      <c r="J894" s="18" t="n"/>
      <c r="K894" s="18" t="n">
        <v>2</v>
      </c>
      <c r="L894" s="18" t="inlineStr">
        <is>
          <t>cobbleventure:generation_2</t>
        </is>
      </c>
      <c r="M894" s="19" t="inlineStr">
        <is>
          <t>cobbleventure:generation_2</t>
        </is>
      </c>
      <c r="N894" s="18" t="inlineStr">
        <is>
          <t>region_01</t>
        </is>
      </c>
      <c r="O894" s="19" t="inlineStr"/>
      <c r="P894" s="18" t="inlineStr">
        <is>
          <t>#cobblemon:is_grassland</t>
        </is>
      </c>
      <c r="Q894" s="19" t="inlineStr"/>
      <c r="R894" s="18">
        <f>IF(Q894="",P894,Q894)</f>
        <v/>
      </c>
      <c r="S894" s="18" t="inlineStr">
        <is>
          <t>#cobblemon:is_deep_dark</t>
        </is>
      </c>
      <c r="T894" s="18" t="inlineStr">
        <is>
          <t>rare</t>
        </is>
      </c>
      <c r="U894" s="20" t="n">
        <v>2.5</v>
      </c>
      <c r="V894" s="21" t="n">
        <v>1</v>
      </c>
      <c r="W894" s="20">
        <f>IF(OR(U894="",V894=""),U894,U894*V894)</f>
        <v/>
      </c>
      <c r="X894" s="18" t="inlineStr">
        <is>
          <t>15-41</t>
        </is>
      </c>
      <c r="Y894" s="19" t="inlineStr"/>
      <c r="Z894" s="18">
        <f>IF(Y894="",X894,Y894)</f>
        <v/>
      </c>
      <c r="AA894" s="18" t="inlineStr">
        <is>
          <t>grounded</t>
        </is>
      </c>
      <c r="AB894" s="18" t="inlineStr"/>
      <c r="AC894" s="18" t="inlineStr"/>
      <c r="AD894" s="18" t="inlineStr"/>
      <c r="AE894" s="18" t="inlineStr">
        <is>
          <t>sky 0-7</t>
        </is>
      </c>
      <c r="AF894" s="18" t="inlineStr"/>
      <c r="AG894" s="18" t="inlineStr"/>
      <c r="AH894" s="18" t="inlineStr"/>
      <c r="AI894" s="18" t="inlineStr"/>
      <c r="AJ894" s="18" t="inlineStr">
        <is>
          <t>COBBLEVERSE 수정</t>
        </is>
      </c>
      <c r="AK894" s="18" t="inlineStr">
        <is>
          <t>사용</t>
        </is>
      </c>
      <c r="AL894" s="18" t="inlineStr">
        <is>
          <t>COBBLEVERSE 1.7.42 / DP v31</t>
        </is>
      </c>
      <c r="AM894" s="18" t="inlineStr">
        <is>
          <t>data/cobblemon/spawn_pool_world/0202_wobbuffet.json</t>
        </is>
      </c>
      <c r="AN894" s="18" t="inlineStr">
        <is>
          <t>wobbuffet-1</t>
        </is>
      </c>
      <c r="AO894" s="18" t="inlineStr">
        <is>
          <t>pokemon</t>
        </is>
      </c>
      <c r="AP894" s="18" t="inlineStr">
        <is>
          <t>natural</t>
        </is>
      </c>
      <c r="AQ894" s="18" t="inlineStr">
        <is>
          <t>{"biomes":["#cobblemon:is_grassland"],"maxSkyLight":7,"minSkyLight":0}</t>
        </is>
      </c>
      <c r="AR894" s="18" t="inlineStr">
        <is>
          <t>{"biomes":["#cobblemon:is_deep_dark"]}</t>
        </is>
      </c>
      <c r="AS894" s="18" t="inlineStr"/>
      <c r="AT894" s="19" t="inlineStr"/>
    </row>
    <row r="895" ht="32" customHeight="1">
      <c r="A895" s="18" t="inlineStr">
        <is>
          <t>0203_girafarig.json::girafarig-1::001</t>
        </is>
      </c>
      <c r="B895" s="19" t="inlineStr">
        <is>
          <t>사용</t>
        </is>
      </c>
      <c r="C895" s="18">
        <f>IF(OR(B895&lt;&gt;AK895,M895&lt;&gt;L895,O895&lt;&gt;"",Q895&lt;&gt;"",V895&lt;&gt;1,Y895&lt;&gt;"",AT895&lt;&gt;""),"수정","원본")</f>
        <v/>
      </c>
      <c r="D895" s="18" t="n">
        <v>203</v>
      </c>
      <c r="E895" s="18" t="inlineStr">
        <is>
          <t>키링키</t>
        </is>
      </c>
      <c r="F895" s="18" t="inlineStr">
        <is>
          <t>girafarig</t>
        </is>
      </c>
      <c r="G895" s="18" t="inlineStr">
        <is>
          <t>girafarig</t>
        </is>
      </c>
      <c r="H895" s="18" t="inlineStr"/>
      <c r="I895" s="18" t="n">
        <v>2</v>
      </c>
      <c r="J895" s="18" t="n"/>
      <c r="K895" s="18" t="n">
        <v>2</v>
      </c>
      <c r="L895" s="18" t="inlineStr">
        <is>
          <t>cobbleventure:generation_2</t>
        </is>
      </c>
      <c r="M895" s="19" t="inlineStr">
        <is>
          <t>cobbleventure:generation_2</t>
        </is>
      </c>
      <c r="N895" s="18" t="inlineStr"/>
      <c r="O895" s="19" t="inlineStr"/>
      <c r="P895" s="18" t="inlineStr">
        <is>
          <t>#cobblemon:is_savanna</t>
        </is>
      </c>
      <c r="Q895" s="19" t="inlineStr"/>
      <c r="R895" s="18">
        <f>IF(Q895="",P895,Q895)</f>
        <v/>
      </c>
      <c r="S895" s="18" t="inlineStr"/>
      <c r="T895" s="18" t="inlineStr">
        <is>
          <t>common</t>
        </is>
      </c>
      <c r="U895" s="20" t="n">
        <v>5.4</v>
      </c>
      <c r="V895" s="21" t="n">
        <v>1</v>
      </c>
      <c r="W895" s="20">
        <f>IF(OR(U895="",V895=""),U895,U895*V895)</f>
        <v/>
      </c>
      <c r="X895" s="18" t="inlineStr">
        <is>
          <t>21-46</t>
        </is>
      </c>
      <c r="Y895" s="19" t="inlineStr"/>
      <c r="Z895" s="18">
        <f>IF(Y895="",X895,Y895)</f>
        <v/>
      </c>
      <c r="AA895" s="18" t="inlineStr">
        <is>
          <t>grounded</t>
        </is>
      </c>
      <c r="AB895" s="18" t="inlineStr"/>
      <c r="AC895" s="18" t="inlineStr"/>
      <c r="AD895" s="18" t="inlineStr"/>
      <c r="AE895" s="18" t="inlineStr">
        <is>
          <t>sky 8-15</t>
        </is>
      </c>
      <c r="AF895" s="18" t="inlineStr"/>
      <c r="AG895" s="18" t="inlineStr"/>
      <c r="AH895" s="18" t="inlineStr"/>
      <c r="AI895" s="18" t="inlineStr"/>
      <c r="AJ895" s="18" t="inlineStr">
        <is>
          <t>Cobblemon 동일</t>
        </is>
      </c>
      <c r="AK895" s="18" t="inlineStr">
        <is>
          <t>사용</t>
        </is>
      </c>
      <c r="AL895" s="18" t="inlineStr">
        <is>
          <t>COBBLEVERSE 1.7.42 / DP v31</t>
        </is>
      </c>
      <c r="AM895" s="18" t="inlineStr">
        <is>
          <t>data/cobblemon/spawn_pool_world/0203_girafarig.json</t>
        </is>
      </c>
      <c r="AN895" s="18" t="inlineStr">
        <is>
          <t>girafarig-1</t>
        </is>
      </c>
      <c r="AO895" s="18" t="inlineStr">
        <is>
          <t>pokemon</t>
        </is>
      </c>
      <c r="AP895" s="18" t="inlineStr">
        <is>
          <t>natural; wild</t>
        </is>
      </c>
      <c r="AQ895" s="18" t="inlineStr">
        <is>
          <t>{"biomes":["#cobblemon:is_savanna"],"maxSkyLight":15,"minSkyLight":8}</t>
        </is>
      </c>
      <c r="AR895" s="18" t="inlineStr"/>
      <c r="AS895" s="18" t="inlineStr">
        <is>
          <t>{"weightMultiplier":{"condition":{"timeRange":"night"},"multiplier":0.25}}</t>
        </is>
      </c>
      <c r="AT895" s="19" t="inlineStr"/>
    </row>
    <row r="896" ht="32" customHeight="1">
      <c r="A896" s="18" t="inlineStr">
        <is>
          <t>0204_pineco.json::pineco-1::001</t>
        </is>
      </c>
      <c r="B896" s="19" t="inlineStr">
        <is>
          <t>사용</t>
        </is>
      </c>
      <c r="C896" s="18">
        <f>IF(OR(B896&lt;&gt;AK896,M896&lt;&gt;L896,O896&lt;&gt;"",Q896&lt;&gt;"",V896&lt;&gt;1,Y896&lt;&gt;"",AT896&lt;&gt;""),"수정","원본")</f>
        <v/>
      </c>
      <c r="D896" s="18" t="n">
        <v>204</v>
      </c>
      <c r="E896" s="18" t="inlineStr">
        <is>
          <t>피콘</t>
        </is>
      </c>
      <c r="F896" s="18" t="inlineStr">
        <is>
          <t>pineco</t>
        </is>
      </c>
      <c r="G896" s="18" t="inlineStr">
        <is>
          <t>pineco</t>
        </is>
      </c>
      <c r="H896" s="18" t="inlineStr"/>
      <c r="I896" s="18" t="n">
        <v>2</v>
      </c>
      <c r="J896" s="18" t="n"/>
      <c r="K896" s="18" t="n">
        <v>2</v>
      </c>
      <c r="L896" s="18" t="inlineStr">
        <is>
          <t>cobbleventure:generation_2</t>
        </is>
      </c>
      <c r="M896" s="19" t="inlineStr">
        <is>
          <t>cobbleventure:generation_2</t>
        </is>
      </c>
      <c r="N896" s="18" t="inlineStr"/>
      <c r="O896" s="19" t="inlineStr"/>
      <c r="P896" s="18" t="inlineStr">
        <is>
          <t>#cobblemon:is_taiga</t>
        </is>
      </c>
      <c r="Q896" s="19" t="inlineStr"/>
      <c r="R896" s="18">
        <f>IF(Q896="",P896,Q896)</f>
        <v/>
      </c>
      <c r="S896" s="18" t="inlineStr"/>
      <c r="T896" s="18" t="inlineStr">
        <is>
          <t>common</t>
        </is>
      </c>
      <c r="U896" s="20" t="n">
        <v>9</v>
      </c>
      <c r="V896" s="21" t="n">
        <v>1</v>
      </c>
      <c r="W896" s="20">
        <f>IF(OR(U896="",V896=""),U896,U896*V896)</f>
        <v/>
      </c>
      <c r="X896" s="18" t="inlineStr">
        <is>
          <t>4-29</t>
        </is>
      </c>
      <c r="Y896" s="19" t="inlineStr"/>
      <c r="Z896" s="18">
        <f>IF(Y896="",X896,Y896)</f>
        <v/>
      </c>
      <c r="AA896" s="18" t="inlineStr">
        <is>
          <t>grounded</t>
        </is>
      </c>
      <c r="AB896" s="18" t="inlineStr"/>
      <c r="AC896" s="18" t="inlineStr"/>
      <c r="AD896" s="18" t="inlineStr"/>
      <c r="AE896" s="18" t="inlineStr">
        <is>
          <t>sky 8-15</t>
        </is>
      </c>
      <c r="AF896" s="18" t="inlineStr"/>
      <c r="AG896" s="18" t="inlineStr"/>
      <c r="AH896" s="18" t="inlineStr"/>
      <c r="AI896" s="18" t="inlineStr"/>
      <c r="AJ896" s="18" t="inlineStr">
        <is>
          <t>Cobblemon 동일</t>
        </is>
      </c>
      <c r="AK896" s="18" t="inlineStr">
        <is>
          <t>사용</t>
        </is>
      </c>
      <c r="AL896" s="18" t="inlineStr">
        <is>
          <t>COBBLEVERSE 1.7.42 / DP v31</t>
        </is>
      </c>
      <c r="AM896" s="18" t="inlineStr">
        <is>
          <t>data/cobblemon/spawn_pool_world/0204_pineco.json</t>
        </is>
      </c>
      <c r="AN896" s="18" t="inlineStr">
        <is>
          <t>pineco-1</t>
        </is>
      </c>
      <c r="AO896" s="18" t="inlineStr">
        <is>
          <t>pokemon</t>
        </is>
      </c>
      <c r="AP896" s="18" t="inlineStr">
        <is>
          <t>natural; treetop</t>
        </is>
      </c>
      <c r="AQ896" s="18" t="inlineStr">
        <is>
          <t>{"biomes":["#cobblemon:is_taiga"],"maxSkyLight":15,"minSkyLight":8}</t>
        </is>
      </c>
      <c r="AR896" s="18" t="inlineStr"/>
      <c r="AS896" s="18" t="inlineStr"/>
      <c r="AT896" s="19" t="inlineStr"/>
    </row>
    <row r="897" ht="32" customHeight="1">
      <c r="A897" s="18" t="inlineStr">
        <is>
          <t>0205_forretress.json::forretress-1::001</t>
        </is>
      </c>
      <c r="B897" s="19" t="inlineStr">
        <is>
          <t>사용</t>
        </is>
      </c>
      <c r="C897" s="18">
        <f>IF(OR(B897&lt;&gt;AK897,M897&lt;&gt;L897,O897&lt;&gt;"",Q897&lt;&gt;"",V897&lt;&gt;1,Y897&lt;&gt;"",AT897&lt;&gt;""),"수정","원본")</f>
        <v/>
      </c>
      <c r="D897" s="18" t="n">
        <v>205</v>
      </c>
      <c r="E897" s="18" t="inlineStr">
        <is>
          <t>쏘콘</t>
        </is>
      </c>
      <c r="F897" s="18" t="inlineStr">
        <is>
          <t>forretress</t>
        </is>
      </c>
      <c r="G897" s="18" t="inlineStr">
        <is>
          <t>forretress</t>
        </is>
      </c>
      <c r="H897" s="18" t="inlineStr"/>
      <c r="I897" s="18" t="n">
        <v>2</v>
      </c>
      <c r="J897" s="18" t="n"/>
      <c r="K897" s="18" t="n">
        <v>2</v>
      </c>
      <c r="L897" s="18" t="inlineStr">
        <is>
          <t>cobbleventure:generation_2</t>
        </is>
      </c>
      <c r="M897" s="19" t="inlineStr">
        <is>
          <t>cobbleventure:generation_2</t>
        </is>
      </c>
      <c r="N897" s="18" t="inlineStr"/>
      <c r="O897" s="19" t="inlineStr"/>
      <c r="P897" s="18" t="inlineStr">
        <is>
          <t>#cobblemon:is_taiga</t>
        </is>
      </c>
      <c r="Q897" s="19" t="inlineStr"/>
      <c r="R897" s="18">
        <f>IF(Q897="",P897,Q897)</f>
        <v/>
      </c>
      <c r="S897" s="18" t="inlineStr"/>
      <c r="T897" s="18" t="inlineStr">
        <is>
          <t>common</t>
        </is>
      </c>
      <c r="U897" s="20" t="n">
        <v>1</v>
      </c>
      <c r="V897" s="21" t="n">
        <v>1</v>
      </c>
      <c r="W897" s="20">
        <f>IF(OR(U897="",V897=""),U897,U897*V897)</f>
        <v/>
      </c>
      <c r="X897" s="18" t="inlineStr">
        <is>
          <t>31-47</t>
        </is>
      </c>
      <c r="Y897" s="19" t="inlineStr"/>
      <c r="Z897" s="18">
        <f>IF(Y897="",X897,Y897)</f>
        <v/>
      </c>
      <c r="AA897" s="18" t="inlineStr">
        <is>
          <t>grounded</t>
        </is>
      </c>
      <c r="AB897" s="18" t="inlineStr"/>
      <c r="AC897" s="18" t="inlineStr"/>
      <c r="AD897" s="18" t="inlineStr"/>
      <c r="AE897" s="18" t="inlineStr">
        <is>
          <t>sky 8-15</t>
        </is>
      </c>
      <c r="AF897" s="18" t="inlineStr"/>
      <c r="AG897" s="18" t="inlineStr"/>
      <c r="AH897" s="18" t="inlineStr"/>
      <c r="AI897" s="18" t="inlineStr"/>
      <c r="AJ897" s="18" t="inlineStr">
        <is>
          <t>Cobblemon 동일</t>
        </is>
      </c>
      <c r="AK897" s="18" t="inlineStr">
        <is>
          <t>사용</t>
        </is>
      </c>
      <c r="AL897" s="18" t="inlineStr">
        <is>
          <t>COBBLEVERSE 1.7.42 / DP v31</t>
        </is>
      </c>
      <c r="AM897" s="18" t="inlineStr">
        <is>
          <t>data/cobblemon/spawn_pool_world/0205_forretress.json</t>
        </is>
      </c>
      <c r="AN897" s="18" t="inlineStr">
        <is>
          <t>forretress-1</t>
        </is>
      </c>
      <c r="AO897" s="18" t="inlineStr">
        <is>
          <t>pokemon</t>
        </is>
      </c>
      <c r="AP897" s="18" t="inlineStr">
        <is>
          <t>natural</t>
        </is>
      </c>
      <c r="AQ897" s="18" t="inlineStr">
        <is>
          <t>{"biomes":["#cobblemon:is_taiga"],"maxSkyLight":15,"minSkyLight":8}</t>
        </is>
      </c>
      <c r="AR897" s="18" t="inlineStr"/>
      <c r="AS897" s="18" t="inlineStr"/>
      <c r="AT897" s="19" t="inlineStr"/>
    </row>
    <row r="898" ht="32" customHeight="1">
      <c r="A898" s="18" t="inlineStr">
        <is>
          <t>0206_dunsparce.json::dunsparce-1::001</t>
        </is>
      </c>
      <c r="B898" s="19" t="inlineStr">
        <is>
          <t>사용</t>
        </is>
      </c>
      <c r="C898" s="18">
        <f>IF(OR(B898&lt;&gt;AK898,M898&lt;&gt;L898,O898&lt;&gt;"",Q898&lt;&gt;"",V898&lt;&gt;1,Y898&lt;&gt;"",AT898&lt;&gt;""),"수정","원본")</f>
        <v/>
      </c>
      <c r="D898" s="18" t="n">
        <v>206</v>
      </c>
      <c r="E898" s="18" t="inlineStr">
        <is>
          <t>노고치</t>
        </is>
      </c>
      <c r="F898" s="18" t="inlineStr">
        <is>
          <t>dunsparce</t>
        </is>
      </c>
      <c r="G898" s="18" t="inlineStr">
        <is>
          <t>dunsparce</t>
        </is>
      </c>
      <c r="H898" s="18" t="inlineStr"/>
      <c r="I898" s="18" t="n">
        <v>2</v>
      </c>
      <c r="J898" s="18" t="n"/>
      <c r="K898" s="18" t="n">
        <v>2</v>
      </c>
      <c r="L898" s="18" t="inlineStr">
        <is>
          <t>cobbleventure:generation_2</t>
        </is>
      </c>
      <c r="M898" s="19" t="inlineStr">
        <is>
          <t>cobbleventure:generation_2</t>
        </is>
      </c>
      <c r="N898" s="18" t="inlineStr">
        <is>
          <t>region_01; region_02</t>
        </is>
      </c>
      <c r="O898" s="19" t="inlineStr"/>
      <c r="P898" s="18" t="inlineStr">
        <is>
          <t>#cobblemon:is_overworld</t>
        </is>
      </c>
      <c r="Q898" s="19" t="inlineStr"/>
      <c r="R898" s="18">
        <f>IF(Q898="",P898,Q898)</f>
        <v/>
      </c>
      <c r="S898" s="18" t="inlineStr">
        <is>
          <t>#cobblemon:is_deep_dark</t>
        </is>
      </c>
      <c r="T898" s="18" t="inlineStr">
        <is>
          <t>rare</t>
        </is>
      </c>
      <c r="U898" s="20" t="n">
        <v>1.68</v>
      </c>
      <c r="V898" s="21" t="n">
        <v>1</v>
      </c>
      <c r="W898" s="20">
        <f>IF(OR(U898="",V898=""),U898,U898*V898)</f>
        <v/>
      </c>
      <c r="X898" s="18" t="inlineStr">
        <is>
          <t>17-42</t>
        </is>
      </c>
      <c r="Y898" s="19" t="inlineStr"/>
      <c r="Z898" s="18">
        <f>IF(Y898="",X898,Y898)</f>
        <v/>
      </c>
      <c r="AA898" s="18" t="inlineStr">
        <is>
          <t>grounded</t>
        </is>
      </c>
      <c r="AB898" s="18" t="inlineStr"/>
      <c r="AC898" s="18" t="inlineStr"/>
      <c r="AD898" s="18" t="inlineStr"/>
      <c r="AE898" s="18" t="inlineStr"/>
      <c r="AF898" s="18" t="inlineStr">
        <is>
          <t>False</t>
        </is>
      </c>
      <c r="AG898" s="18" t="inlineStr"/>
      <c r="AH898" s="18" t="inlineStr"/>
      <c r="AI898" s="18" t="inlineStr"/>
      <c r="AJ898" s="18" t="inlineStr">
        <is>
          <t>COBBLEVERSE 수정</t>
        </is>
      </c>
      <c r="AK898" s="18" t="inlineStr">
        <is>
          <t>사용</t>
        </is>
      </c>
      <c r="AL898" s="18" t="inlineStr">
        <is>
          <t>COBBLEVERSE 1.7.42 / DP v31</t>
        </is>
      </c>
      <c r="AM898" s="18" t="inlineStr">
        <is>
          <t>data/cobblemon/spawn_pool_world/0206_dunsparce.json</t>
        </is>
      </c>
      <c r="AN898" s="18" t="inlineStr">
        <is>
          <t>dunsparce-1</t>
        </is>
      </c>
      <c r="AO898" s="18" t="inlineStr">
        <is>
          <t>pokemon</t>
        </is>
      </c>
      <c r="AP898" s="18" t="inlineStr">
        <is>
          <t>natural</t>
        </is>
      </c>
      <c r="AQ898" s="18" t="inlineStr">
        <is>
          <t>{"biomes":["#cobblemon:is_overworld"],"canSeeSky":false}</t>
        </is>
      </c>
      <c r="AR898" s="18" t="inlineStr">
        <is>
          <t>{"biomes":["#cobblemon:is_deep_dark"]}</t>
        </is>
      </c>
      <c r="AS898" s="18" t="inlineStr"/>
      <c r="AT898" s="19" t="inlineStr"/>
    </row>
    <row r="899" ht="32" customHeight="1">
      <c r="A899" s="18" t="inlineStr">
        <is>
          <t>0206_dunsparce.json::dunsparce-lush-2::002</t>
        </is>
      </c>
      <c r="B899" s="19" t="inlineStr">
        <is>
          <t>사용</t>
        </is>
      </c>
      <c r="C899" s="18">
        <f>IF(OR(B899&lt;&gt;AK899,M899&lt;&gt;L899,O899&lt;&gt;"",Q899&lt;&gt;"",V899&lt;&gt;1,Y899&lt;&gt;"",AT899&lt;&gt;""),"수정","원본")</f>
        <v/>
      </c>
      <c r="D899" s="18" t="n">
        <v>206</v>
      </c>
      <c r="E899" s="18" t="inlineStr">
        <is>
          <t>노고치</t>
        </is>
      </c>
      <c r="F899" s="18" t="inlineStr">
        <is>
          <t>dunsparce</t>
        </is>
      </c>
      <c r="G899" s="18" t="inlineStr">
        <is>
          <t>dunsparce</t>
        </is>
      </c>
      <c r="H899" s="18" t="inlineStr"/>
      <c r="I899" s="18" t="n">
        <v>2</v>
      </c>
      <c r="J899" s="18" t="n"/>
      <c r="K899" s="18" t="n">
        <v>2</v>
      </c>
      <c r="L899" s="18" t="inlineStr">
        <is>
          <t>cobbleventure:generation_2</t>
        </is>
      </c>
      <c r="M899" s="19" t="inlineStr">
        <is>
          <t>cobbleventure:generation_2</t>
        </is>
      </c>
      <c r="N899" s="18" t="inlineStr"/>
      <c r="O899" s="19" t="inlineStr"/>
      <c r="P899" s="18" t="inlineStr">
        <is>
          <t>#cobblemon:is_lush</t>
        </is>
      </c>
      <c r="Q899" s="19" t="inlineStr"/>
      <c r="R899" s="18">
        <f>IF(Q899="",P899,Q899)</f>
        <v/>
      </c>
      <c r="S899" s="18" t="inlineStr"/>
      <c r="T899" s="18" t="inlineStr">
        <is>
          <t>rare</t>
        </is>
      </c>
      <c r="U899" s="20" t="n">
        <v>5</v>
      </c>
      <c r="V899" s="21" t="n">
        <v>1</v>
      </c>
      <c r="W899" s="20">
        <f>IF(OR(U899="",V899=""),U899,U899*V899)</f>
        <v/>
      </c>
      <c r="X899" s="18" t="inlineStr">
        <is>
          <t>17-42</t>
        </is>
      </c>
      <c r="Y899" s="19" t="inlineStr"/>
      <c r="Z899" s="18">
        <f>IF(Y899="",X899,Y899)</f>
        <v/>
      </c>
      <c r="AA899" s="18" t="inlineStr">
        <is>
          <t>grounded</t>
        </is>
      </c>
      <c r="AB899" s="18" t="inlineStr"/>
      <c r="AC899" s="18" t="inlineStr"/>
      <c r="AD899" s="18" t="inlineStr"/>
      <c r="AE899" s="18" t="inlineStr"/>
      <c r="AF899" s="18" t="inlineStr"/>
      <c r="AG899" s="18" t="inlineStr"/>
      <c r="AH899" s="18" t="inlineStr"/>
      <c r="AI899" s="18" t="inlineStr"/>
      <c r="AJ899" s="18" t="inlineStr">
        <is>
          <t>COBBLEVERSE 수정</t>
        </is>
      </c>
      <c r="AK899" s="18" t="inlineStr">
        <is>
          <t>사용</t>
        </is>
      </c>
      <c r="AL899" s="18" t="inlineStr">
        <is>
          <t>COBBLEVERSE 1.7.42 / DP v31</t>
        </is>
      </c>
      <c r="AM899" s="18" t="inlineStr">
        <is>
          <t>data/cobblemon/spawn_pool_world/0206_dunsparce.json</t>
        </is>
      </c>
      <c r="AN899" s="18" t="inlineStr">
        <is>
          <t>dunsparce-lush-2</t>
        </is>
      </c>
      <c r="AO899" s="18" t="inlineStr">
        <is>
          <t>pokemon</t>
        </is>
      </c>
      <c r="AP899" s="18" t="inlineStr">
        <is>
          <t>natural</t>
        </is>
      </c>
      <c r="AQ899" s="18" t="inlineStr">
        <is>
          <t>{"biomes":["#cobblemon:is_lush"]}</t>
        </is>
      </c>
      <c r="AR899" s="18" t="inlineStr"/>
      <c r="AS899" s="18" t="inlineStr"/>
      <c r="AT899" s="19" t="inlineStr"/>
    </row>
    <row r="900" ht="32" customHeight="1">
      <c r="A900" s="18" t="inlineStr">
        <is>
          <t>0207_gligar.json::gligar-1::001</t>
        </is>
      </c>
      <c r="B900" s="19" t="inlineStr">
        <is>
          <t>사용</t>
        </is>
      </c>
      <c r="C900" s="18">
        <f>IF(OR(B900&lt;&gt;AK900,M900&lt;&gt;L900,O900&lt;&gt;"",Q900&lt;&gt;"",V900&lt;&gt;1,Y900&lt;&gt;"",AT900&lt;&gt;""),"수정","원본")</f>
        <v/>
      </c>
      <c r="D900" s="18" t="n">
        <v>207</v>
      </c>
      <c r="E900" s="18" t="inlineStr">
        <is>
          <t>글라이거</t>
        </is>
      </c>
      <c r="F900" s="18" t="inlineStr">
        <is>
          <t>gligar</t>
        </is>
      </c>
      <c r="G900" s="18" t="inlineStr">
        <is>
          <t>gligar</t>
        </is>
      </c>
      <c r="H900" s="18" t="inlineStr"/>
      <c r="I900" s="18" t="n">
        <v>2</v>
      </c>
      <c r="J900" s="18" t="n"/>
      <c r="K900" s="18" t="n">
        <v>2</v>
      </c>
      <c r="L900" s="18" t="inlineStr">
        <is>
          <t>cobbleventure:generation_2</t>
        </is>
      </c>
      <c r="M900" s="19" t="inlineStr">
        <is>
          <t>cobbleventure:generation_2</t>
        </is>
      </c>
      <c r="N900" s="18" t="inlineStr"/>
      <c r="O900" s="19" t="inlineStr"/>
      <c r="P900" s="18" t="inlineStr">
        <is>
          <t>#cobblemon:is_badlands</t>
        </is>
      </c>
      <c r="Q900" s="19" t="inlineStr"/>
      <c r="R900" s="18">
        <f>IF(Q900="",P900,Q900)</f>
        <v/>
      </c>
      <c r="S900" s="18" t="inlineStr"/>
      <c r="T900" s="18" t="inlineStr">
        <is>
          <t>uncommon</t>
        </is>
      </c>
      <c r="U900" s="20" t="n">
        <v>5.52</v>
      </c>
      <c r="V900" s="21" t="n">
        <v>1</v>
      </c>
      <c r="W900" s="20">
        <f>IF(OR(U900="",V900=""),U900,U900*V900)</f>
        <v/>
      </c>
      <c r="X900" s="18" t="inlineStr">
        <is>
          <t>18-43</t>
        </is>
      </c>
      <c r="Y900" s="19" t="inlineStr"/>
      <c r="Z900" s="18">
        <f>IF(Y900="",X900,Y900)</f>
        <v/>
      </c>
      <c r="AA900" s="18" t="inlineStr">
        <is>
          <t>grounded</t>
        </is>
      </c>
      <c r="AB900" s="18" t="inlineStr">
        <is>
          <t>night</t>
        </is>
      </c>
      <c r="AC900" s="18" t="inlineStr"/>
      <c r="AD900" s="18" t="inlineStr"/>
      <c r="AE900" s="18" t="inlineStr"/>
      <c r="AF900" s="18" t="inlineStr"/>
      <c r="AG900" s="18" t="inlineStr"/>
      <c r="AH900" s="18" t="inlineStr"/>
      <c r="AI900" s="18" t="inlineStr"/>
      <c r="AJ900" s="18" t="inlineStr">
        <is>
          <t>COBBLEVERSE 수정</t>
        </is>
      </c>
      <c r="AK900" s="18" t="inlineStr">
        <is>
          <t>사용</t>
        </is>
      </c>
      <c r="AL900" s="18" t="inlineStr">
        <is>
          <t>COBBLEVERSE 1.7.42 / DP v31</t>
        </is>
      </c>
      <c r="AM900" s="18" t="inlineStr">
        <is>
          <t>data/cobblemon/spawn_pool_world/0207_gligar.json</t>
        </is>
      </c>
      <c r="AN900" s="18" t="inlineStr">
        <is>
          <t>gligar-1</t>
        </is>
      </c>
      <c r="AO900" s="18" t="inlineStr">
        <is>
          <t>pokemon</t>
        </is>
      </c>
      <c r="AP900" s="18" t="inlineStr">
        <is>
          <t>natural; treetop</t>
        </is>
      </c>
      <c r="AQ900" s="18" t="inlineStr">
        <is>
          <t>{"biomes":["#cobblemon:is_badlands"],"timeRange":"night"}</t>
        </is>
      </c>
      <c r="AR900" s="18" t="inlineStr"/>
      <c r="AS900" s="18" t="inlineStr"/>
      <c r="AT900" s="19" t="inlineStr"/>
    </row>
    <row r="901" ht="32" customHeight="1">
      <c r="A901" s="18" t="inlineStr">
        <is>
          <t>0207_gligar.json::gligar-2::002</t>
        </is>
      </c>
      <c r="B901" s="19" t="inlineStr">
        <is>
          <t>사용</t>
        </is>
      </c>
      <c r="C901" s="18">
        <f>IF(OR(B901&lt;&gt;AK901,M901&lt;&gt;L901,O901&lt;&gt;"",Q901&lt;&gt;"",V901&lt;&gt;1,Y901&lt;&gt;"",AT901&lt;&gt;""),"수정","원본")</f>
        <v/>
      </c>
      <c r="D901" s="18" t="n">
        <v>207</v>
      </c>
      <c r="E901" s="18" t="inlineStr">
        <is>
          <t>글라이거</t>
        </is>
      </c>
      <c r="F901" s="18" t="inlineStr">
        <is>
          <t>gligar</t>
        </is>
      </c>
      <c r="G901" s="18" t="inlineStr">
        <is>
          <t>gligar</t>
        </is>
      </c>
      <c r="H901" s="18" t="inlineStr"/>
      <c r="I901" s="18" t="n">
        <v>2</v>
      </c>
      <c r="J901" s="18" t="n"/>
      <c r="K901" s="18" t="n">
        <v>2</v>
      </c>
      <c r="L901" s="18" t="inlineStr">
        <is>
          <t>cobbleventure:generation_2</t>
        </is>
      </c>
      <c r="M901" s="19" t="inlineStr">
        <is>
          <t>cobbleventure:generation_2</t>
        </is>
      </c>
      <c r="N901" s="18" t="inlineStr"/>
      <c r="O901" s="19" t="inlineStr"/>
      <c r="P901" s="18" t="inlineStr">
        <is>
          <t>#cobblemon:nether/is_mountain</t>
        </is>
      </c>
      <c r="Q901" s="19" t="inlineStr"/>
      <c r="R901" s="18">
        <f>IF(Q901="",P901,Q901)</f>
        <v/>
      </c>
      <c r="S901" s="18" t="inlineStr"/>
      <c r="T901" s="18" t="inlineStr">
        <is>
          <t>common</t>
        </is>
      </c>
      <c r="U901" s="20" t="n">
        <v>1.9</v>
      </c>
      <c r="V901" s="21" t="n">
        <v>1</v>
      </c>
      <c r="W901" s="20">
        <f>IF(OR(U901="",V901=""),U901,U901*V901)</f>
        <v/>
      </c>
      <c r="X901" s="18" t="inlineStr">
        <is>
          <t>18-43</t>
        </is>
      </c>
      <c r="Y901" s="19" t="inlineStr"/>
      <c r="Z901" s="18">
        <f>IF(Y901="",X901,Y901)</f>
        <v/>
      </c>
      <c r="AA901" s="18" t="inlineStr">
        <is>
          <t>grounded</t>
        </is>
      </c>
      <c r="AB901" s="18" t="inlineStr"/>
      <c r="AC901" s="18" t="inlineStr"/>
      <c r="AD901" s="18" t="inlineStr"/>
      <c r="AE901" s="18" t="inlineStr"/>
      <c r="AF901" s="18" t="inlineStr"/>
      <c r="AG901" s="18" t="inlineStr"/>
      <c r="AH901" s="18" t="inlineStr"/>
      <c r="AI901" s="18" t="inlineStr"/>
      <c r="AJ901" s="18" t="inlineStr">
        <is>
          <t>COBBLEVERSE 수정</t>
        </is>
      </c>
      <c r="AK901" s="18" t="inlineStr">
        <is>
          <t>사용</t>
        </is>
      </c>
      <c r="AL901" s="18" t="inlineStr">
        <is>
          <t>COBBLEVERSE 1.7.42 / DP v31</t>
        </is>
      </c>
      <c r="AM901" s="18" t="inlineStr">
        <is>
          <t>data/cobblemon/spawn_pool_world/0207_gligar.json</t>
        </is>
      </c>
      <c r="AN901" s="18" t="inlineStr">
        <is>
          <t>gligar-2</t>
        </is>
      </c>
      <c r="AO901" s="18" t="inlineStr">
        <is>
          <t>pokemon</t>
        </is>
      </c>
      <c r="AP901" s="18" t="inlineStr">
        <is>
          <t>natural</t>
        </is>
      </c>
      <c r="AQ901" s="18" t="inlineStr">
        <is>
          <t>{"biomes":["#cobblemon:nether/is_mountain"]}</t>
        </is>
      </c>
      <c r="AR901" s="18" t="inlineStr"/>
      <c r="AS901" s="18" t="inlineStr"/>
      <c r="AT901" s="19" t="inlineStr"/>
    </row>
    <row r="902" ht="32" customHeight="1">
      <c r="A902" s="18" t="inlineStr">
        <is>
          <t>0208_steelix.json::steelix-1::001</t>
        </is>
      </c>
      <c r="B902" s="19" t="inlineStr">
        <is>
          <t>사용</t>
        </is>
      </c>
      <c r="C902" s="18">
        <f>IF(OR(B902&lt;&gt;AK902,M902&lt;&gt;L902,O902&lt;&gt;"",Q902&lt;&gt;"",V902&lt;&gt;1,Y902&lt;&gt;"",AT902&lt;&gt;""),"수정","원본")</f>
        <v/>
      </c>
      <c r="D902" s="18" t="n">
        <v>208</v>
      </c>
      <c r="E902" s="18" t="inlineStr">
        <is>
          <t>강철톤</t>
        </is>
      </c>
      <c r="F902" s="18" t="inlineStr">
        <is>
          <t>steelix</t>
        </is>
      </c>
      <c r="G902" s="18" t="inlineStr">
        <is>
          <t>steelix</t>
        </is>
      </c>
      <c r="H902" s="18" t="inlineStr"/>
      <c r="I902" s="18" t="n">
        <v>2</v>
      </c>
      <c r="J902" s="18" t="n"/>
      <c r="K902" s="18" t="n">
        <v>2</v>
      </c>
      <c r="L902" s="18" t="inlineStr">
        <is>
          <t>cobbleventure:generation_2</t>
        </is>
      </c>
      <c r="M902" s="19" t="inlineStr">
        <is>
          <t>cobbleventure:generation_2</t>
        </is>
      </c>
      <c r="N902" s="18" t="inlineStr">
        <is>
          <t>region_01; region_02</t>
        </is>
      </c>
      <c r="O902" s="19" t="inlineStr"/>
      <c r="P902" s="18" t="inlineStr">
        <is>
          <t>#cobblemon:is_overworld</t>
        </is>
      </c>
      <c r="Q902" s="19" t="inlineStr"/>
      <c r="R902" s="18">
        <f>IF(Q902="",P902,Q902)</f>
        <v/>
      </c>
      <c r="S902" s="18" t="inlineStr">
        <is>
          <t>#cobblemon:is_deep_dark</t>
        </is>
      </c>
      <c r="T902" s="18" t="inlineStr">
        <is>
          <t>uncommon</t>
        </is>
      </c>
      <c r="U902" s="20" t="n">
        <v>0.48</v>
      </c>
      <c r="V902" s="21" t="n">
        <v>1</v>
      </c>
      <c r="W902" s="20">
        <f>IF(OR(U902="",V902=""),U902,U902*V902)</f>
        <v/>
      </c>
      <c r="X902" s="18" t="inlineStr">
        <is>
          <t>34-51</t>
        </is>
      </c>
      <c r="Y902" s="19" t="inlineStr"/>
      <c r="Z902" s="18">
        <f>IF(Y902="",X902,Y902)</f>
        <v/>
      </c>
      <c r="AA902" s="18" t="inlineStr">
        <is>
          <t>grounded</t>
        </is>
      </c>
      <c r="AB902" s="18" t="inlineStr"/>
      <c r="AC902" s="18" t="inlineStr"/>
      <c r="AD902" s="18" t="inlineStr"/>
      <c r="AE902" s="18" t="inlineStr">
        <is>
          <t>sky 0-7</t>
        </is>
      </c>
      <c r="AF902" s="18" t="inlineStr"/>
      <c r="AG902" s="18" t="inlineStr"/>
      <c r="AH902" s="18" t="inlineStr"/>
      <c r="AI902" s="18" t="inlineStr"/>
      <c r="AJ902" s="18" t="inlineStr">
        <is>
          <t>Cobblemon 동일</t>
        </is>
      </c>
      <c r="AK902" s="18" t="inlineStr">
        <is>
          <t>사용</t>
        </is>
      </c>
      <c r="AL902" s="18" t="inlineStr">
        <is>
          <t>COBBLEVERSE 1.7.42 / DP v31</t>
        </is>
      </c>
      <c r="AM902" s="18" t="inlineStr">
        <is>
          <t>data/cobblemon/spawn_pool_world/0208_steelix.json</t>
        </is>
      </c>
      <c r="AN902" s="18" t="inlineStr">
        <is>
          <t>steelix-1</t>
        </is>
      </c>
      <c r="AO902" s="18" t="inlineStr">
        <is>
          <t>pokemon</t>
        </is>
      </c>
      <c r="AP902" s="18" t="inlineStr">
        <is>
          <t>natural</t>
        </is>
      </c>
      <c r="AQ902" s="18" t="inlineStr">
        <is>
          <t>{"biomes":["#cobblemon:is_overworld"],"maxSkyLight":7,"minSkyLight":0}</t>
        </is>
      </c>
      <c r="AR902" s="18" t="inlineStr">
        <is>
          <t>{"biomes":["#cobblemon:is_deep_dark"]}</t>
        </is>
      </c>
      <c r="AS902" s="18" t="inlineStr"/>
      <c r="AT902" s="19" t="inlineStr"/>
    </row>
    <row r="903" ht="32" customHeight="1">
      <c r="A903" s="18" t="inlineStr">
        <is>
          <t>0208_steelix.json::steelix-2::002</t>
        </is>
      </c>
      <c r="B903" s="19" t="inlineStr">
        <is>
          <t>사용</t>
        </is>
      </c>
      <c r="C903" s="18">
        <f>IF(OR(B903&lt;&gt;AK903,M903&lt;&gt;L903,O903&lt;&gt;"",Q903&lt;&gt;"",V903&lt;&gt;1,Y903&lt;&gt;"",AT903&lt;&gt;""),"수정","원본")</f>
        <v/>
      </c>
      <c r="D903" s="18" t="n">
        <v>208</v>
      </c>
      <c r="E903" s="18" t="inlineStr">
        <is>
          <t>강철톤</t>
        </is>
      </c>
      <c r="F903" s="18" t="inlineStr">
        <is>
          <t>steelix</t>
        </is>
      </c>
      <c r="G903" s="18" t="inlineStr">
        <is>
          <t>steelix</t>
        </is>
      </c>
      <c r="H903" s="18" t="inlineStr"/>
      <c r="I903" s="18" t="n">
        <v>2</v>
      </c>
      <c r="J903" s="18" t="n"/>
      <c r="K903" s="18" t="n">
        <v>2</v>
      </c>
      <c r="L903" s="18" t="inlineStr">
        <is>
          <t>cobbleventure:generation_2</t>
        </is>
      </c>
      <c r="M903" s="19" t="inlineStr">
        <is>
          <t>cobbleventure:generation_2</t>
        </is>
      </c>
      <c r="N903" s="18" t="inlineStr"/>
      <c r="O903" s="19" t="inlineStr"/>
      <c r="P903" s="18" t="inlineStr">
        <is>
          <t>#cobblemon:nether/is_basalt</t>
        </is>
      </c>
      <c r="Q903" s="19" t="inlineStr"/>
      <c r="R903" s="18">
        <f>IF(Q903="",P903,Q903)</f>
        <v/>
      </c>
      <c r="S903" s="18" t="inlineStr"/>
      <c r="T903" s="18" t="inlineStr">
        <is>
          <t>uncommon</t>
        </is>
      </c>
      <c r="U903" s="20" t="n">
        <v>0.16</v>
      </c>
      <c r="V903" s="21" t="n">
        <v>1</v>
      </c>
      <c r="W903" s="20">
        <f>IF(OR(U903="",V903=""),U903,U903*V903)</f>
        <v/>
      </c>
      <c r="X903" s="18" t="inlineStr">
        <is>
          <t>34-51</t>
        </is>
      </c>
      <c r="Y903" s="19" t="inlineStr"/>
      <c r="Z903" s="18">
        <f>IF(Y903="",X903,Y903)</f>
        <v/>
      </c>
      <c r="AA903" s="18" t="inlineStr">
        <is>
          <t>grounded</t>
        </is>
      </c>
      <c r="AB903" s="18" t="inlineStr"/>
      <c r="AC903" s="18" t="inlineStr"/>
      <c r="AD903" s="18" t="inlineStr"/>
      <c r="AE903" s="18" t="inlineStr"/>
      <c r="AF903" s="18" t="inlineStr"/>
      <c r="AG903" s="18" t="inlineStr"/>
      <c r="AH903" s="18" t="inlineStr"/>
      <c r="AI903" s="18" t="inlineStr"/>
      <c r="AJ903" s="18" t="inlineStr">
        <is>
          <t>Cobblemon 동일</t>
        </is>
      </c>
      <c r="AK903" s="18" t="inlineStr">
        <is>
          <t>사용</t>
        </is>
      </c>
      <c r="AL903" s="18" t="inlineStr">
        <is>
          <t>COBBLEVERSE 1.7.42 / DP v31</t>
        </is>
      </c>
      <c r="AM903" s="18" t="inlineStr">
        <is>
          <t>data/cobblemon/spawn_pool_world/0208_steelix.json</t>
        </is>
      </c>
      <c r="AN903" s="18" t="inlineStr">
        <is>
          <t>steelix-2</t>
        </is>
      </c>
      <c r="AO903" s="18" t="inlineStr">
        <is>
          <t>pokemon</t>
        </is>
      </c>
      <c r="AP903" s="18" t="inlineStr">
        <is>
          <t>natural</t>
        </is>
      </c>
      <c r="AQ903" s="18" t="inlineStr">
        <is>
          <t>{"biomes":["#cobblemon:nether/is_basalt"]}</t>
        </is>
      </c>
      <c r="AR903" s="18" t="inlineStr"/>
      <c r="AS903" s="18" t="inlineStr"/>
      <c r="AT903" s="19" t="inlineStr"/>
    </row>
    <row r="904" ht="32" customHeight="1">
      <c r="A904" s="18" t="inlineStr">
        <is>
          <t>0209_snubbull.json::snubbull-1::001</t>
        </is>
      </c>
      <c r="B904" s="19" t="inlineStr">
        <is>
          <t>사용</t>
        </is>
      </c>
      <c r="C904" s="18">
        <f>IF(OR(B904&lt;&gt;AK904,M904&lt;&gt;L904,O904&lt;&gt;"",Q904&lt;&gt;"",V904&lt;&gt;1,Y904&lt;&gt;"",AT904&lt;&gt;""),"수정","원본")</f>
        <v/>
      </c>
      <c r="D904" s="18" t="n">
        <v>209</v>
      </c>
      <c r="E904" s="18" t="inlineStr">
        <is>
          <t>블루</t>
        </is>
      </c>
      <c r="F904" s="18" t="inlineStr">
        <is>
          <t>snubbull</t>
        </is>
      </c>
      <c r="G904" s="18" t="inlineStr">
        <is>
          <t>snubbull</t>
        </is>
      </c>
      <c r="H904" s="18" t="inlineStr"/>
      <c r="I904" s="18" t="n">
        <v>2</v>
      </c>
      <c r="J904" s="18" t="n"/>
      <c r="K904" s="18" t="n">
        <v>2</v>
      </c>
      <c r="L904" s="18" t="inlineStr">
        <is>
          <t>cobbleventure:generation_2</t>
        </is>
      </c>
      <c r="M904" s="19" t="inlineStr">
        <is>
          <t>cobbleventure:generation_2</t>
        </is>
      </c>
      <c r="N904" s="18" t="inlineStr">
        <is>
          <t>region_01</t>
        </is>
      </c>
      <c r="O904" s="19" t="inlineStr"/>
      <c r="P904" s="18" t="inlineStr">
        <is>
          <t>#cobblemon:is_savanna; #cobblemon:is_plains</t>
        </is>
      </c>
      <c r="Q904" s="19" t="inlineStr"/>
      <c r="R904" s="18">
        <f>IF(Q904="",P904,Q904)</f>
        <v/>
      </c>
      <c r="S904" s="18" t="inlineStr"/>
      <c r="T904" s="18" t="inlineStr">
        <is>
          <t>common</t>
        </is>
      </c>
      <c r="U904" s="20" t="n">
        <v>5.4</v>
      </c>
      <c r="V904" s="21" t="n">
        <v>1</v>
      </c>
      <c r="W904" s="20">
        <f>IF(OR(U904="",V904=""),U904,U904*V904)</f>
        <v/>
      </c>
      <c r="X904" s="18" t="inlineStr">
        <is>
          <t>5-30</t>
        </is>
      </c>
      <c r="Y904" s="19" t="inlineStr"/>
      <c r="Z904" s="18">
        <f>IF(Y904="",X904,Y904)</f>
        <v/>
      </c>
      <c r="AA904" s="18" t="inlineStr">
        <is>
          <t>grounded</t>
        </is>
      </c>
      <c r="AB904" s="18" t="inlineStr"/>
      <c r="AC904" s="18" t="inlineStr"/>
      <c r="AD904" s="18" t="inlineStr"/>
      <c r="AE904" s="18" t="inlineStr"/>
      <c r="AF904" s="18" t="inlineStr"/>
      <c r="AG904" s="18" t="inlineStr"/>
      <c r="AH904" s="18" t="inlineStr"/>
      <c r="AI904" s="18" t="inlineStr"/>
      <c r="AJ904" s="18" t="inlineStr">
        <is>
          <t>COBBLEVERSE 수정</t>
        </is>
      </c>
      <c r="AK904" s="18" t="inlineStr">
        <is>
          <t>사용</t>
        </is>
      </c>
      <c r="AL904" s="18" t="inlineStr">
        <is>
          <t>COBBLEVERSE 1.7.42 / DP v31</t>
        </is>
      </c>
      <c r="AM904" s="18" t="inlineStr">
        <is>
          <t>data/cobblemon/spawn_pool_world/0209_snubbull.json</t>
        </is>
      </c>
      <c r="AN904" s="18" t="inlineStr">
        <is>
          <t>snubbull-1</t>
        </is>
      </c>
      <c r="AO904" s="18" t="inlineStr">
        <is>
          <t>pokemon</t>
        </is>
      </c>
      <c r="AP904" s="18" t="inlineStr">
        <is>
          <t>natural</t>
        </is>
      </c>
      <c r="AQ904" s="18" t="inlineStr">
        <is>
          <t>{"biomes":["#cobblemon:is_savanna","#cobblemon:is_plains"]}</t>
        </is>
      </c>
      <c r="AR904" s="18" t="inlineStr"/>
      <c r="AS904" s="18" t="inlineStr"/>
      <c r="AT904" s="19" t="inlineStr"/>
    </row>
    <row r="905" ht="32" customHeight="1">
      <c r="A905" s="18" t="inlineStr">
        <is>
          <t>0209_snubbull.json::snubbull-2::002</t>
        </is>
      </c>
      <c r="B905" s="19" t="inlineStr">
        <is>
          <t>사용</t>
        </is>
      </c>
      <c r="C905" s="18">
        <f>IF(OR(B905&lt;&gt;AK905,M905&lt;&gt;L905,O905&lt;&gt;"",Q905&lt;&gt;"",V905&lt;&gt;1,Y905&lt;&gt;"",AT905&lt;&gt;""),"수정","원본")</f>
        <v/>
      </c>
      <c r="D905" s="18" t="n">
        <v>209</v>
      </c>
      <c r="E905" s="18" t="inlineStr">
        <is>
          <t>블루</t>
        </is>
      </c>
      <c r="F905" s="18" t="inlineStr">
        <is>
          <t>snubbull</t>
        </is>
      </c>
      <c r="G905" s="18" t="inlineStr">
        <is>
          <t>snubbull</t>
        </is>
      </c>
      <c r="H905" s="18" t="inlineStr"/>
      <c r="I905" s="18" t="n">
        <v>2</v>
      </c>
      <c r="J905" s="18" t="n"/>
      <c r="K905" s="18" t="n">
        <v>2</v>
      </c>
      <c r="L905" s="18" t="inlineStr">
        <is>
          <t>cobbleventure:generation_2</t>
        </is>
      </c>
      <c r="M905" s="19" t="inlineStr">
        <is>
          <t>cobbleventure:generation_2</t>
        </is>
      </c>
      <c r="N905" s="18" t="inlineStr">
        <is>
          <t>region_01; region_02</t>
        </is>
      </c>
      <c r="O905" s="19" t="inlineStr"/>
      <c r="P905" s="18" t="inlineStr"/>
      <c r="Q905" s="19" t="inlineStr"/>
      <c r="R905" s="18">
        <f>IF(Q905="",P905,Q905)</f>
        <v/>
      </c>
      <c r="S905" s="18" t="inlineStr"/>
      <c r="T905" s="18" t="inlineStr">
        <is>
          <t>common</t>
        </is>
      </c>
      <c r="U905" s="20" t="n">
        <v>5.4</v>
      </c>
      <c r="V905" s="21" t="n">
        <v>1</v>
      </c>
      <c r="W905" s="20">
        <f>IF(OR(U905="",V905=""),U905,U905*V905)</f>
        <v/>
      </c>
      <c r="X905" s="18" t="inlineStr">
        <is>
          <t>5-30</t>
        </is>
      </c>
      <c r="Y905" s="19" t="inlineStr"/>
      <c r="Z905" s="18">
        <f>IF(Y905="",X905,Y905)</f>
        <v/>
      </c>
      <c r="AA905" s="18" t="inlineStr">
        <is>
          <t>grounded</t>
        </is>
      </c>
      <c r="AB905" s="18" t="inlineStr"/>
      <c r="AC905" s="18" t="inlineStr"/>
      <c r="AD905" s="18" t="inlineStr"/>
      <c r="AE905" s="18" t="inlineStr"/>
      <c r="AF905" s="18" t="inlineStr"/>
      <c r="AG905" s="18" t="inlineStr">
        <is>
          <t>#minecraft:village</t>
        </is>
      </c>
      <c r="AH905" s="18" t="inlineStr"/>
      <c r="AI905" s="18" t="inlineStr"/>
      <c r="AJ905" s="18" t="inlineStr">
        <is>
          <t>COBBLEVERSE 수정</t>
        </is>
      </c>
      <c r="AK905" s="18" t="inlineStr">
        <is>
          <t>사용</t>
        </is>
      </c>
      <c r="AL905" s="18" t="inlineStr">
        <is>
          <t>COBBLEVERSE 1.7.42 / DP v31</t>
        </is>
      </c>
      <c r="AM905" s="18" t="inlineStr">
        <is>
          <t>data/cobblemon/spawn_pool_world/0209_snubbull.json</t>
        </is>
      </c>
      <c r="AN905" s="18" t="inlineStr">
        <is>
          <t>snubbull-2</t>
        </is>
      </c>
      <c r="AO905" s="18" t="inlineStr">
        <is>
          <t>pokemon</t>
        </is>
      </c>
      <c r="AP905" s="18" t="inlineStr">
        <is>
          <t>natural</t>
        </is>
      </c>
      <c r="AQ905" s="18" t="inlineStr">
        <is>
          <t>{"structures":["#minecraft:village"]}</t>
        </is>
      </c>
      <c r="AR905" s="18" t="inlineStr"/>
      <c r="AS905" s="18" t="inlineStr"/>
      <c r="AT905" s="19" t="inlineStr"/>
    </row>
    <row r="906" ht="32" customHeight="1">
      <c r="A906" s="18" t="inlineStr">
        <is>
          <t>0210_granbull.json::granbull-1::001</t>
        </is>
      </c>
      <c r="B906" s="19" t="inlineStr">
        <is>
          <t>사용</t>
        </is>
      </c>
      <c r="C906" s="18">
        <f>IF(OR(B906&lt;&gt;AK906,M906&lt;&gt;L906,O906&lt;&gt;"",Q906&lt;&gt;"",V906&lt;&gt;1,Y906&lt;&gt;"",AT906&lt;&gt;""),"수정","원본")</f>
        <v/>
      </c>
      <c r="D906" s="18" t="n">
        <v>210</v>
      </c>
      <c r="E906" s="18" t="inlineStr">
        <is>
          <t>그랑블루</t>
        </is>
      </c>
      <c r="F906" s="18" t="inlineStr">
        <is>
          <t>granbull</t>
        </is>
      </c>
      <c r="G906" s="18" t="inlineStr">
        <is>
          <t>granbull</t>
        </is>
      </c>
      <c r="H906" s="18" t="inlineStr"/>
      <c r="I906" s="18" t="n">
        <v>2</v>
      </c>
      <c r="J906" s="18" t="n"/>
      <c r="K906" s="18" t="n">
        <v>2</v>
      </c>
      <c r="L906" s="18" t="inlineStr">
        <is>
          <t>cobbleventure:generation_2</t>
        </is>
      </c>
      <c r="M906" s="19" t="inlineStr">
        <is>
          <t>cobbleventure:generation_2</t>
        </is>
      </c>
      <c r="N906" s="18" t="inlineStr">
        <is>
          <t>region_01</t>
        </is>
      </c>
      <c r="O906" s="19" t="inlineStr"/>
      <c r="P906" s="18" t="inlineStr">
        <is>
          <t>#cobblemon:is_savanna; #cobblemon:is_plains</t>
        </is>
      </c>
      <c r="Q906" s="19" t="inlineStr"/>
      <c r="R906" s="18">
        <f>IF(Q906="",P906,Q906)</f>
        <v/>
      </c>
      <c r="S906" s="18" t="inlineStr"/>
      <c r="T906" s="18" t="inlineStr">
        <is>
          <t>common</t>
        </is>
      </c>
      <c r="U906" s="20" t="n">
        <v>0.2</v>
      </c>
      <c r="V906" s="21" t="n">
        <v>1</v>
      </c>
      <c r="W906" s="20">
        <f>IF(OR(U906="",V906=""),U906,U906*V906)</f>
        <v/>
      </c>
      <c r="X906" s="18" t="inlineStr">
        <is>
          <t>23-45</t>
        </is>
      </c>
      <c r="Y906" s="19" t="inlineStr"/>
      <c r="Z906" s="18">
        <f>IF(Y906="",X906,Y906)</f>
        <v/>
      </c>
      <c r="AA906" s="18" t="inlineStr">
        <is>
          <t>grounded</t>
        </is>
      </c>
      <c r="AB906" s="18" t="inlineStr"/>
      <c r="AC906" s="18" t="inlineStr"/>
      <c r="AD906" s="18" t="inlineStr"/>
      <c r="AE906" s="18" t="inlineStr"/>
      <c r="AF906" s="18" t="inlineStr"/>
      <c r="AG906" s="18" t="inlineStr"/>
      <c r="AH906" s="18" t="inlineStr"/>
      <c r="AI906" s="18" t="inlineStr"/>
      <c r="AJ906" s="18" t="inlineStr">
        <is>
          <t>COBBLEVERSE 수정</t>
        </is>
      </c>
      <c r="AK906" s="18" t="inlineStr">
        <is>
          <t>사용</t>
        </is>
      </c>
      <c r="AL906" s="18" t="inlineStr">
        <is>
          <t>COBBLEVERSE 1.7.42 / DP v31</t>
        </is>
      </c>
      <c r="AM906" s="18" t="inlineStr">
        <is>
          <t>data/cobblemon/spawn_pool_world/0210_granbull.json</t>
        </is>
      </c>
      <c r="AN906" s="18" t="inlineStr">
        <is>
          <t>granbull-1</t>
        </is>
      </c>
      <c r="AO906" s="18" t="inlineStr">
        <is>
          <t>pokemon</t>
        </is>
      </c>
      <c r="AP906" s="18" t="inlineStr">
        <is>
          <t>natural</t>
        </is>
      </c>
      <c r="AQ906" s="18" t="inlineStr">
        <is>
          <t>{"biomes":["#cobblemon:is_savanna","#cobblemon:is_plains"]}</t>
        </is>
      </c>
      <c r="AR906" s="18" t="inlineStr"/>
      <c r="AS906" s="18" t="inlineStr"/>
      <c r="AT906" s="19" t="inlineStr"/>
    </row>
    <row r="907" ht="32" customHeight="1">
      <c r="A907" s="18" t="inlineStr">
        <is>
          <t>0210_granbull.json::granbull-2::002</t>
        </is>
      </c>
      <c r="B907" s="19" t="inlineStr">
        <is>
          <t>사용</t>
        </is>
      </c>
      <c r="C907" s="18">
        <f>IF(OR(B907&lt;&gt;AK907,M907&lt;&gt;L907,O907&lt;&gt;"",Q907&lt;&gt;"",V907&lt;&gt;1,Y907&lt;&gt;"",AT907&lt;&gt;""),"수정","원본")</f>
        <v/>
      </c>
      <c r="D907" s="18" t="n">
        <v>210</v>
      </c>
      <c r="E907" s="18" t="inlineStr">
        <is>
          <t>그랑블루</t>
        </is>
      </c>
      <c r="F907" s="18" t="inlineStr">
        <is>
          <t>granbull</t>
        </is>
      </c>
      <c r="G907" s="18" t="inlineStr">
        <is>
          <t>granbull</t>
        </is>
      </c>
      <c r="H907" s="18" t="inlineStr"/>
      <c r="I907" s="18" t="n">
        <v>2</v>
      </c>
      <c r="J907" s="18" t="n"/>
      <c r="K907" s="18" t="n">
        <v>2</v>
      </c>
      <c r="L907" s="18" t="inlineStr">
        <is>
          <t>cobbleventure:generation_2</t>
        </is>
      </c>
      <c r="M907" s="19" t="inlineStr">
        <is>
          <t>cobbleventure:generation_2</t>
        </is>
      </c>
      <c r="N907" s="18" t="inlineStr">
        <is>
          <t>region_01; region_02</t>
        </is>
      </c>
      <c r="O907" s="19" t="inlineStr"/>
      <c r="P907" s="18" t="inlineStr"/>
      <c r="Q907" s="19" t="inlineStr"/>
      <c r="R907" s="18">
        <f>IF(Q907="",P907,Q907)</f>
        <v/>
      </c>
      <c r="S907" s="18" t="inlineStr"/>
      <c r="T907" s="18" t="inlineStr">
        <is>
          <t>common</t>
        </is>
      </c>
      <c r="U907" s="20" t="n">
        <v>0.6</v>
      </c>
      <c r="V907" s="21" t="n">
        <v>1</v>
      </c>
      <c r="W907" s="20">
        <f>IF(OR(U907="",V907=""),U907,U907*V907)</f>
        <v/>
      </c>
      <c r="X907" s="18" t="inlineStr">
        <is>
          <t>23-45</t>
        </is>
      </c>
      <c r="Y907" s="19" t="inlineStr"/>
      <c r="Z907" s="18">
        <f>IF(Y907="",X907,Y907)</f>
        <v/>
      </c>
      <c r="AA907" s="18" t="inlineStr">
        <is>
          <t>grounded</t>
        </is>
      </c>
      <c r="AB907" s="18" t="inlineStr"/>
      <c r="AC907" s="18" t="inlineStr"/>
      <c r="AD907" s="18" t="inlineStr"/>
      <c r="AE907" s="18" t="inlineStr"/>
      <c r="AF907" s="18" t="inlineStr"/>
      <c r="AG907" s="18" t="inlineStr">
        <is>
          <t>#minecraft:village</t>
        </is>
      </c>
      <c r="AH907" s="18" t="inlineStr"/>
      <c r="AI907" s="18" t="inlineStr"/>
      <c r="AJ907" s="18" t="inlineStr">
        <is>
          <t>COBBLEVERSE 수정</t>
        </is>
      </c>
      <c r="AK907" s="18" t="inlineStr">
        <is>
          <t>사용</t>
        </is>
      </c>
      <c r="AL907" s="18" t="inlineStr">
        <is>
          <t>COBBLEVERSE 1.7.42 / DP v31</t>
        </is>
      </c>
      <c r="AM907" s="18" t="inlineStr">
        <is>
          <t>data/cobblemon/spawn_pool_world/0210_granbull.json</t>
        </is>
      </c>
      <c r="AN907" s="18" t="inlineStr">
        <is>
          <t>granbull-2</t>
        </is>
      </c>
      <c r="AO907" s="18" t="inlineStr">
        <is>
          <t>pokemon</t>
        </is>
      </c>
      <c r="AP907" s="18" t="inlineStr">
        <is>
          <t>natural</t>
        </is>
      </c>
      <c r="AQ907" s="18" t="inlineStr">
        <is>
          <t>{"structures":["#minecraft:village"]}</t>
        </is>
      </c>
      <c r="AR907" s="18" t="inlineStr"/>
      <c r="AS907" s="18" t="inlineStr"/>
      <c r="AT907" s="19" t="inlineStr"/>
    </row>
    <row r="908" ht="32" customHeight="1">
      <c r="A908" s="18" t="inlineStr">
        <is>
          <t>0211_qwilfish.json::qwilfish-1::001</t>
        </is>
      </c>
      <c r="B908" s="19" t="inlineStr">
        <is>
          <t>사용</t>
        </is>
      </c>
      <c r="C908" s="18">
        <f>IF(OR(B908&lt;&gt;AK908,M908&lt;&gt;L908,O908&lt;&gt;"",Q908&lt;&gt;"",V908&lt;&gt;1,Y908&lt;&gt;"",AT908&lt;&gt;""),"수정","원본")</f>
        <v/>
      </c>
      <c r="D908" s="18" t="n">
        <v>211</v>
      </c>
      <c r="E908" s="18" t="inlineStr">
        <is>
          <t>침바루</t>
        </is>
      </c>
      <c r="F908" s="18" t="inlineStr">
        <is>
          <t>qwilfish</t>
        </is>
      </c>
      <c r="G908" s="18" t="inlineStr">
        <is>
          <t>qwilfish</t>
        </is>
      </c>
      <c r="H908" s="18" t="inlineStr"/>
      <c r="I908" s="18" t="n">
        <v>2</v>
      </c>
      <c r="J908" s="18" t="n"/>
      <c r="K908" s="18" t="n">
        <v>2</v>
      </c>
      <c r="L908" s="18" t="inlineStr">
        <is>
          <t>cobbleventure:generation_2</t>
        </is>
      </c>
      <c r="M908" s="19" t="inlineStr">
        <is>
          <t>cobbleventure:generation_2</t>
        </is>
      </c>
      <c r="N908" s="18" t="inlineStr"/>
      <c r="O908" s="19" t="inlineStr"/>
      <c r="P908" s="18" t="inlineStr">
        <is>
          <t>#cobblemon:is_lukewarm_ocean; #cobblemon:is_warm_ocean</t>
        </is>
      </c>
      <c r="Q908" s="19" t="inlineStr"/>
      <c r="R908" s="18">
        <f>IF(Q908="",P908,Q908)</f>
        <v/>
      </c>
      <c r="S908" s="18" t="inlineStr"/>
      <c r="T908" s="18" t="inlineStr">
        <is>
          <t>uncommon</t>
        </is>
      </c>
      <c r="U908" s="20" t="n">
        <v>10</v>
      </c>
      <c r="V908" s="21" t="n">
        <v>1</v>
      </c>
      <c r="W908" s="20">
        <f>IF(OR(U908="",V908=""),U908,U908*V908)</f>
        <v/>
      </c>
      <c r="X908" s="18" t="inlineStr">
        <is>
          <t>19-44</t>
        </is>
      </c>
      <c r="Y908" s="19" t="inlineStr"/>
      <c r="Z908" s="18">
        <f>IF(Y908="",X908,Y908)</f>
        <v/>
      </c>
      <c r="AA908" s="18" t="inlineStr">
        <is>
          <t>submerged</t>
        </is>
      </c>
      <c r="AB908" s="18" t="inlineStr"/>
      <c r="AC908" s="18" t="inlineStr"/>
      <c r="AD908" s="18" t="inlineStr"/>
      <c r="AE908" s="18" t="inlineStr"/>
      <c r="AF908" s="18" t="inlineStr">
        <is>
          <t>True</t>
        </is>
      </c>
      <c r="AG908" s="18" t="inlineStr"/>
      <c r="AH908" s="18" t="inlineStr"/>
      <c r="AI908" s="18" t="inlineStr"/>
      <c r="AJ908" s="18" t="inlineStr">
        <is>
          <t>COBBLEVERSE 수정</t>
        </is>
      </c>
      <c r="AK908" s="18" t="inlineStr">
        <is>
          <t>사용</t>
        </is>
      </c>
      <c r="AL908" s="18" t="inlineStr">
        <is>
          <t>COBBLEVERSE 1.7.42 / DP v31</t>
        </is>
      </c>
      <c r="AM908" s="18" t="inlineStr">
        <is>
          <t>data/cobblemon/spawn_pool_world/0211_qwilfish.json</t>
        </is>
      </c>
      <c r="AN908" s="18" t="inlineStr">
        <is>
          <t>qwilfish-1</t>
        </is>
      </c>
      <c r="AO908" s="18" t="inlineStr">
        <is>
          <t>pokemon</t>
        </is>
      </c>
      <c r="AP908" s="18" t="inlineStr">
        <is>
          <t>water</t>
        </is>
      </c>
      <c r="AQ908" s="18" t="inlineStr">
        <is>
          <t>{"biomes":["#cobblemon:is_lukewarm_ocean","#cobblemon:is_warm_ocean"],"canSeeSky":true}</t>
        </is>
      </c>
      <c r="AR908" s="18" t="inlineStr">
        <is>
          <t>{"structures":["minecraft:monument"]}</t>
        </is>
      </c>
      <c r="AS908" s="18" t="inlineStr"/>
      <c r="AT908" s="19" t="inlineStr"/>
    </row>
    <row r="909" ht="32" customHeight="1">
      <c r="A909" s="18" t="inlineStr">
        <is>
          <t>0211_qwilfish.json::qwilfish-2::002</t>
        </is>
      </c>
      <c r="B909" s="19" t="inlineStr">
        <is>
          <t>사용</t>
        </is>
      </c>
      <c r="C909" s="18">
        <f>IF(OR(B909&lt;&gt;AK909,M909&lt;&gt;L909,O909&lt;&gt;"",Q909&lt;&gt;"",V909&lt;&gt;1,Y909&lt;&gt;"",AT909&lt;&gt;""),"수정","원본")</f>
        <v/>
      </c>
      <c r="D909" s="18" t="n">
        <v>211</v>
      </c>
      <c r="E909" s="18" t="inlineStr">
        <is>
          <t>침바루</t>
        </is>
      </c>
      <c r="F909" s="18" t="inlineStr">
        <is>
          <t>qwilfish</t>
        </is>
      </c>
      <c r="G909" s="18" t="inlineStr">
        <is>
          <t>qwilfish</t>
        </is>
      </c>
      <c r="H909" s="18" t="inlineStr"/>
      <c r="I909" s="18" t="n">
        <v>2</v>
      </c>
      <c r="J909" s="18" t="n"/>
      <c r="K909" s="18" t="n">
        <v>2</v>
      </c>
      <c r="L909" s="18" t="inlineStr">
        <is>
          <t>cobbleventure:generation_2</t>
        </is>
      </c>
      <c r="M909" s="19" t="inlineStr">
        <is>
          <t>cobbleventure:generation_2</t>
        </is>
      </c>
      <c r="N909" s="18" t="inlineStr"/>
      <c r="O909" s="19" t="inlineStr"/>
      <c r="P909" s="18" t="inlineStr">
        <is>
          <t>#cobblemon:is_ocean</t>
        </is>
      </c>
      <c r="Q909" s="19" t="inlineStr"/>
      <c r="R909" s="18">
        <f>IF(Q909="",P909,Q909)</f>
        <v/>
      </c>
      <c r="S909" s="18" t="inlineStr">
        <is>
          <t>#cobblemon:is_cold_ocean; #cobblemon:is_frozen_ocean</t>
        </is>
      </c>
      <c r="T909" s="18" t="inlineStr">
        <is>
          <t>common</t>
        </is>
      </c>
      <c r="U909" s="20" t="n">
        <v>60</v>
      </c>
      <c r="V909" s="21" t="n">
        <v>1</v>
      </c>
      <c r="W909" s="20">
        <f>IF(OR(U909="",V909=""),U909,U909*V909)</f>
        <v/>
      </c>
      <c r="X909" s="18" t="inlineStr">
        <is>
          <t>19-44</t>
        </is>
      </c>
      <c r="Y909" s="19" t="inlineStr"/>
      <c r="Z909" s="18">
        <f>IF(Y909="",X909,Y909)</f>
        <v/>
      </c>
      <c r="AA909" s="18" t="inlineStr">
        <is>
          <t>submerged</t>
        </is>
      </c>
      <c r="AB909" s="18" t="inlineStr"/>
      <c r="AC909" s="18" t="inlineStr"/>
      <c r="AD909" s="18" t="inlineStr"/>
      <c r="AE909" s="18" t="inlineStr"/>
      <c r="AF909" s="18" t="inlineStr">
        <is>
          <t>True</t>
        </is>
      </c>
      <c r="AG909" s="18" t="inlineStr"/>
      <c r="AH909" s="18" t="inlineStr"/>
      <c r="AI909" s="18" t="inlineStr"/>
      <c r="AJ909" s="18" t="inlineStr">
        <is>
          <t>COBBLEVERSE 수정</t>
        </is>
      </c>
      <c r="AK909" s="18" t="inlineStr">
        <is>
          <t>사용</t>
        </is>
      </c>
      <c r="AL909" s="18" t="inlineStr">
        <is>
          <t>COBBLEVERSE 1.7.42 / DP v31</t>
        </is>
      </c>
      <c r="AM909" s="18" t="inlineStr">
        <is>
          <t>data/cobblemon/spawn_pool_world/0211_qwilfish.json</t>
        </is>
      </c>
      <c r="AN909" s="18" t="inlineStr">
        <is>
          <t>qwilfish-2</t>
        </is>
      </c>
      <c r="AO909" s="18" t="inlineStr">
        <is>
          <t>pokemon</t>
        </is>
      </c>
      <c r="AP909" s="18" t="inlineStr">
        <is>
          <t>water; ocean_monument</t>
        </is>
      </c>
      <c r="AQ909" s="18" t="inlineStr">
        <is>
          <t>{"biomes":["#cobblemon:is_ocean"],"canSeeSky":true}</t>
        </is>
      </c>
      <c r="AR909" s="18" t="inlineStr">
        <is>
          <t>{"biomes":["#cobblemon:is_cold_ocean","#cobblemon:is_frozen_ocean"]}</t>
        </is>
      </c>
      <c r="AS909" s="18" t="inlineStr"/>
      <c r="AT909" s="19" t="inlineStr"/>
    </row>
    <row r="910" ht="32" customHeight="1">
      <c r="A910" s="18" t="inlineStr">
        <is>
          <t>0211_qwilfish.json::qwilfish-3::003</t>
        </is>
      </c>
      <c r="B910" s="19" t="inlineStr">
        <is>
          <t>사용</t>
        </is>
      </c>
      <c r="C910" s="18">
        <f>IF(OR(B910&lt;&gt;AK910,M910&lt;&gt;L910,O910&lt;&gt;"",Q910&lt;&gt;"",V910&lt;&gt;1,Y910&lt;&gt;"",AT910&lt;&gt;""),"수정","원본")</f>
        <v/>
      </c>
      <c r="D910" s="18" t="n">
        <v>211</v>
      </c>
      <c r="E910" s="18" t="inlineStr">
        <is>
          <t>침바루</t>
        </is>
      </c>
      <c r="F910" s="18" t="inlineStr">
        <is>
          <t>qwilfish</t>
        </is>
      </c>
      <c r="G910" s="18" t="inlineStr">
        <is>
          <t>qwilfish</t>
        </is>
      </c>
      <c r="H910" s="18" t="inlineStr"/>
      <c r="I910" s="18" t="n">
        <v>2</v>
      </c>
      <c r="J910" s="18" t="n"/>
      <c r="K910" s="18" t="n">
        <v>2</v>
      </c>
      <c r="L910" s="18" t="inlineStr">
        <is>
          <t>cobbleventure:generation_2</t>
        </is>
      </c>
      <c r="M910" s="19" t="inlineStr">
        <is>
          <t>cobbleventure:generation_2</t>
        </is>
      </c>
      <c r="N910" s="18" t="inlineStr"/>
      <c r="O910" s="19" t="inlineStr"/>
      <c r="P910" s="18" t="inlineStr">
        <is>
          <t>#cobblemon:is_lukewarm_ocean; #cobblemon:is_warm_ocean</t>
        </is>
      </c>
      <c r="Q910" s="19" t="inlineStr"/>
      <c r="R910" s="18">
        <f>IF(Q910="",P910,Q910)</f>
        <v/>
      </c>
      <c r="S910" s="18" t="inlineStr"/>
      <c r="T910" s="18" t="inlineStr">
        <is>
          <t>uncommon</t>
        </is>
      </c>
      <c r="U910" s="20" t="n">
        <v>10</v>
      </c>
      <c r="V910" s="21" t="n">
        <v>1</v>
      </c>
      <c r="W910" s="20">
        <f>IF(OR(U910="",V910=""),U910,U910*V910)</f>
        <v/>
      </c>
      <c r="X910" s="18" t="inlineStr">
        <is>
          <t>19-44</t>
        </is>
      </c>
      <c r="Y910" s="19" t="inlineStr"/>
      <c r="Z910" s="18">
        <f>IF(Y910="",X910,Y910)</f>
        <v/>
      </c>
      <c r="AA910" s="18" t="inlineStr">
        <is>
          <t>fishing</t>
        </is>
      </c>
      <c r="AB910" s="18" t="inlineStr"/>
      <c r="AC910" s="18" t="inlineStr"/>
      <c r="AD910" s="18" t="inlineStr"/>
      <c r="AE910" s="18" t="inlineStr"/>
      <c r="AF910" s="18" t="inlineStr">
        <is>
          <t>True</t>
        </is>
      </c>
      <c r="AG910" s="18" t="inlineStr"/>
      <c r="AH910" s="18" t="inlineStr"/>
      <c r="AI910" s="18" t="inlineStr"/>
      <c r="AJ910" s="18" t="inlineStr">
        <is>
          <t>COBBLEVERSE 수정</t>
        </is>
      </c>
      <c r="AK910" s="18" t="inlineStr">
        <is>
          <t>사용</t>
        </is>
      </c>
      <c r="AL910" s="18" t="inlineStr">
        <is>
          <t>COBBLEVERSE 1.7.42 / DP v31</t>
        </is>
      </c>
      <c r="AM910" s="18" t="inlineStr">
        <is>
          <t>data/cobblemon/spawn_pool_world/0211_qwilfish.json</t>
        </is>
      </c>
      <c r="AN910" s="18" t="inlineStr">
        <is>
          <t>qwilfish-3</t>
        </is>
      </c>
      <c r="AO910" s="18" t="inlineStr">
        <is>
          <t>pokemon</t>
        </is>
      </c>
      <c r="AP910" s="18" t="inlineStr"/>
      <c r="AQ910" s="18" t="inlineStr">
        <is>
          <t>{"biomes":["#cobblemon:is_lukewarm_ocean","#cobblemon:is_warm_ocean"],"canSeeSky":true}</t>
        </is>
      </c>
      <c r="AR910" s="18" t="inlineStr">
        <is>
          <t>{"minLureLevel":1,"structures":["minecraft:monument"]}</t>
        </is>
      </c>
      <c r="AS910" s="18" t="inlineStr"/>
      <c r="AT910" s="19" t="inlineStr"/>
    </row>
    <row r="911" ht="32" customHeight="1">
      <c r="A911" s="18" t="inlineStr">
        <is>
          <t>0211_qwilfish.json::qwilfish-4::004</t>
        </is>
      </c>
      <c r="B911" s="19" t="inlineStr">
        <is>
          <t>사용</t>
        </is>
      </c>
      <c r="C911" s="18">
        <f>IF(OR(B911&lt;&gt;AK911,M911&lt;&gt;L911,O911&lt;&gt;"",Q911&lt;&gt;"",V911&lt;&gt;1,Y911&lt;&gt;"",AT911&lt;&gt;""),"수정","원본")</f>
        <v/>
      </c>
      <c r="D911" s="18" t="n">
        <v>211</v>
      </c>
      <c r="E911" s="18" t="inlineStr">
        <is>
          <t>침바루</t>
        </is>
      </c>
      <c r="F911" s="18" t="inlineStr">
        <is>
          <t>qwilfish</t>
        </is>
      </c>
      <c r="G911" s="18" t="inlineStr">
        <is>
          <t>qwilfish</t>
        </is>
      </c>
      <c r="H911" s="18" t="inlineStr"/>
      <c r="I911" s="18" t="n">
        <v>2</v>
      </c>
      <c r="J911" s="18" t="n"/>
      <c r="K911" s="18" t="n">
        <v>2</v>
      </c>
      <c r="L911" s="18" t="inlineStr">
        <is>
          <t>cobbleventure:generation_2</t>
        </is>
      </c>
      <c r="M911" s="19" t="inlineStr">
        <is>
          <t>cobbleventure:generation_2</t>
        </is>
      </c>
      <c r="N911" s="18" t="inlineStr"/>
      <c r="O911" s="19" t="inlineStr"/>
      <c r="P911" s="18" t="inlineStr">
        <is>
          <t>#cobblemon:is_lukewarm_ocean; #cobblemon:is_warm_ocean</t>
        </is>
      </c>
      <c r="Q911" s="19" t="inlineStr"/>
      <c r="R911" s="18">
        <f>IF(Q911="",P911,Q911)</f>
        <v/>
      </c>
      <c r="S911" s="18" t="inlineStr"/>
      <c r="T911" s="18" t="inlineStr">
        <is>
          <t>common</t>
        </is>
      </c>
      <c r="U911" s="20" t="n">
        <v>10</v>
      </c>
      <c r="V911" s="21" t="n">
        <v>1</v>
      </c>
      <c r="W911" s="20">
        <f>IF(OR(U911="",V911=""),U911,U911*V911)</f>
        <v/>
      </c>
      <c r="X911" s="18" t="inlineStr">
        <is>
          <t>19-44</t>
        </is>
      </c>
      <c r="Y911" s="19" t="inlineStr"/>
      <c r="Z911" s="18">
        <f>IF(Y911="",X911,Y911)</f>
        <v/>
      </c>
      <c r="AA911" s="18" t="inlineStr">
        <is>
          <t>fishing</t>
        </is>
      </c>
      <c r="AB911" s="18" t="inlineStr"/>
      <c r="AC911" s="18" t="inlineStr"/>
      <c r="AD911" s="18" t="inlineStr"/>
      <c r="AE911" s="18" t="inlineStr"/>
      <c r="AF911" s="18" t="inlineStr">
        <is>
          <t>True</t>
        </is>
      </c>
      <c r="AG911" s="18" t="inlineStr"/>
      <c r="AH911" s="18" t="inlineStr"/>
      <c r="AI911" s="18" t="inlineStr">
        <is>
          <t>{"fishing":{"minLureLevel":1}}</t>
        </is>
      </c>
      <c r="AJ911" s="18" t="inlineStr">
        <is>
          <t>COBBLEVERSE 수정</t>
        </is>
      </c>
      <c r="AK911" s="18" t="inlineStr">
        <is>
          <t>사용</t>
        </is>
      </c>
      <c r="AL911" s="18" t="inlineStr">
        <is>
          <t>COBBLEVERSE 1.7.42 / DP v31</t>
        </is>
      </c>
      <c r="AM911" s="18" t="inlineStr">
        <is>
          <t>data/cobblemon/spawn_pool_world/0211_qwilfish.json</t>
        </is>
      </c>
      <c r="AN911" s="18" t="inlineStr">
        <is>
          <t>qwilfish-4</t>
        </is>
      </c>
      <c r="AO911" s="18" t="inlineStr">
        <is>
          <t>pokemon</t>
        </is>
      </c>
      <c r="AP911" s="18" t="inlineStr"/>
      <c r="AQ911" s="18" t="inlineStr">
        <is>
          <t>{"biomes":["#cobblemon:is_lukewarm_ocean","#cobblemon:is_warm_ocean"],"canSeeSky":true,"minLureLevel":1}</t>
        </is>
      </c>
      <c r="AR911" s="18" t="inlineStr">
        <is>
          <t>{"structures":["minecraft:monument"]}</t>
        </is>
      </c>
      <c r="AS911" s="18" t="inlineStr">
        <is>
          <t>{"weightMultiplier":{"condition":{"maxLureLevel":2,"minLureLevel":1},"multiplier":0.6}}</t>
        </is>
      </c>
      <c r="AT911" s="19" t="inlineStr"/>
    </row>
    <row r="912" ht="32" customHeight="1">
      <c r="A912" s="18" t="inlineStr">
        <is>
          <t>0211_qwilfish.json::qwilfish-5::005</t>
        </is>
      </c>
      <c r="B912" s="19" t="inlineStr">
        <is>
          <t>사용</t>
        </is>
      </c>
      <c r="C912" s="18">
        <f>IF(OR(B912&lt;&gt;AK912,M912&lt;&gt;L912,O912&lt;&gt;"",Q912&lt;&gt;"",V912&lt;&gt;1,Y912&lt;&gt;"",AT912&lt;&gt;""),"수정","원본")</f>
        <v/>
      </c>
      <c r="D912" s="18" t="n">
        <v>211</v>
      </c>
      <c r="E912" s="18" t="inlineStr">
        <is>
          <t>침바루</t>
        </is>
      </c>
      <c r="F912" s="18" t="inlineStr">
        <is>
          <t>qwilfish</t>
        </is>
      </c>
      <c r="G912" s="18" t="inlineStr">
        <is>
          <t>qwilfish</t>
        </is>
      </c>
      <c r="H912" s="18" t="inlineStr"/>
      <c r="I912" s="18" t="n">
        <v>2</v>
      </c>
      <c r="J912" s="18" t="n"/>
      <c r="K912" s="18" t="n">
        <v>2</v>
      </c>
      <c r="L912" s="18" t="inlineStr">
        <is>
          <t>cobbleventure:generation_2</t>
        </is>
      </c>
      <c r="M912" s="19" t="inlineStr">
        <is>
          <t>cobbleventure:generation_2</t>
        </is>
      </c>
      <c r="N912" s="18" t="inlineStr"/>
      <c r="O912" s="19" t="inlineStr"/>
      <c r="P912" s="18" t="inlineStr">
        <is>
          <t>#cobblemon:is_ocean</t>
        </is>
      </c>
      <c r="Q912" s="19" t="inlineStr"/>
      <c r="R912" s="18">
        <f>IF(Q912="",P912,Q912)</f>
        <v/>
      </c>
      <c r="S912" s="18" t="inlineStr">
        <is>
          <t>#cobblemon:is_cold_ocean; #cobblemon:is_frozen_ocean</t>
        </is>
      </c>
      <c r="T912" s="18" t="inlineStr">
        <is>
          <t>common</t>
        </is>
      </c>
      <c r="U912" s="20" t="n">
        <v>100</v>
      </c>
      <c r="V912" s="21" t="n">
        <v>1</v>
      </c>
      <c r="W912" s="20">
        <f>IF(OR(U912="",V912=""),U912,U912*V912)</f>
        <v/>
      </c>
      <c r="X912" s="18" t="inlineStr">
        <is>
          <t>19-44</t>
        </is>
      </c>
      <c r="Y912" s="19" t="inlineStr"/>
      <c r="Z912" s="18">
        <f>IF(Y912="",X912,Y912)</f>
        <v/>
      </c>
      <c r="AA912" s="18" t="inlineStr">
        <is>
          <t>fishing</t>
        </is>
      </c>
      <c r="AB912" s="18" t="inlineStr"/>
      <c r="AC912" s="18" t="inlineStr"/>
      <c r="AD912" s="18" t="inlineStr"/>
      <c r="AE912" s="18" t="inlineStr"/>
      <c r="AF912" s="18" t="inlineStr">
        <is>
          <t>True</t>
        </is>
      </c>
      <c r="AG912" s="18" t="inlineStr">
        <is>
          <t>minecraft:monument</t>
        </is>
      </c>
      <c r="AH912" s="18" t="inlineStr"/>
      <c r="AI912" s="18" t="inlineStr"/>
      <c r="AJ912" s="18" t="inlineStr">
        <is>
          <t>COBBLEVERSE 수정</t>
        </is>
      </c>
      <c r="AK912" s="18" t="inlineStr">
        <is>
          <t>사용</t>
        </is>
      </c>
      <c r="AL912" s="18" t="inlineStr">
        <is>
          <t>COBBLEVERSE 1.7.42 / DP v31</t>
        </is>
      </c>
      <c r="AM912" s="18" t="inlineStr">
        <is>
          <t>data/cobblemon/spawn_pool_world/0211_qwilfish.json</t>
        </is>
      </c>
      <c r="AN912" s="18" t="inlineStr">
        <is>
          <t>qwilfish-5</t>
        </is>
      </c>
      <c r="AO912" s="18" t="inlineStr">
        <is>
          <t>pokemon</t>
        </is>
      </c>
      <c r="AP912" s="18" t="inlineStr"/>
      <c r="AQ912" s="18" t="inlineStr">
        <is>
          <t>{"biomes":["#cobblemon:is_ocean"],"canSeeSky":true,"structures":["minecraft:monument"]}</t>
        </is>
      </c>
      <c r="AR912" s="18" t="inlineStr">
        <is>
          <t>{"biomes":["#cobblemon:is_cold_ocean","#cobblemon:is_frozen_ocean"]}</t>
        </is>
      </c>
      <c r="AS912" s="18" t="inlineStr">
        <is>
          <t>{"weightMultiplier":{"condition":{"maxLureLevel":1,"minLureLevel":0},"multiplier":0.6}}</t>
        </is>
      </c>
      <c r="AT912" s="19" t="inlineStr"/>
    </row>
    <row r="913" ht="32" customHeight="1">
      <c r="A913" s="18" t="inlineStr">
        <is>
          <t>0211_qwilfish.json::qwilfish-6::006</t>
        </is>
      </c>
      <c r="B913" s="19" t="inlineStr">
        <is>
          <t>사용</t>
        </is>
      </c>
      <c r="C913" s="18">
        <f>IF(OR(B913&lt;&gt;AK913,M913&lt;&gt;L913,O913&lt;&gt;"",Q913&lt;&gt;"",V913&lt;&gt;1,Y913&lt;&gt;"",AT913&lt;&gt;""),"수정","원본")</f>
        <v/>
      </c>
      <c r="D913" s="18" t="n">
        <v>211</v>
      </c>
      <c r="E913" s="18" t="inlineStr">
        <is>
          <t>침바루</t>
        </is>
      </c>
      <c r="F913" s="18" t="inlineStr">
        <is>
          <t>qwilfish</t>
        </is>
      </c>
      <c r="G913" s="18" t="inlineStr">
        <is>
          <t>qwilfish</t>
        </is>
      </c>
      <c r="H913" s="18" t="inlineStr"/>
      <c r="I913" s="18" t="n">
        <v>2</v>
      </c>
      <c r="J913" s="18" t="n"/>
      <c r="K913" s="18" t="n">
        <v>2</v>
      </c>
      <c r="L913" s="18" t="inlineStr">
        <is>
          <t>cobbleventure:generation_2</t>
        </is>
      </c>
      <c r="M913" s="19" t="inlineStr">
        <is>
          <t>cobbleventure:generation_2</t>
        </is>
      </c>
      <c r="N913" s="18" t="inlineStr"/>
      <c r="O913" s="19" t="inlineStr"/>
      <c r="P913" s="18" t="inlineStr">
        <is>
          <t>#cobblemon:is_lukewarm_ocean; #cobblemon:is_warm_ocean</t>
        </is>
      </c>
      <c r="Q913" s="19" t="inlineStr"/>
      <c r="R913" s="18">
        <f>IF(Q913="",P913,Q913)</f>
        <v/>
      </c>
      <c r="S913" s="18" t="inlineStr"/>
      <c r="T913" s="18" t="inlineStr">
        <is>
          <t>common</t>
        </is>
      </c>
      <c r="U913" s="20" t="n">
        <v>4</v>
      </c>
      <c r="V913" s="21" t="n">
        <v>1</v>
      </c>
      <c r="W913" s="20">
        <f>IF(OR(U913="",V913=""),U913,U913*V913)</f>
        <v/>
      </c>
      <c r="X913" s="18" t="inlineStr">
        <is>
          <t>19-44</t>
        </is>
      </c>
      <c r="Y913" s="19" t="inlineStr"/>
      <c r="Z913" s="18">
        <f>IF(Y913="",X913,Y913)</f>
        <v/>
      </c>
      <c r="AA913" s="18" t="inlineStr">
        <is>
          <t>submerged</t>
        </is>
      </c>
      <c r="AB913" s="18" t="inlineStr"/>
      <c r="AC913" s="18" t="inlineStr"/>
      <c r="AD913" s="18" t="inlineStr"/>
      <c r="AE913" s="18" t="inlineStr"/>
      <c r="AF913" s="18" t="inlineStr"/>
      <c r="AG913" s="18" t="inlineStr"/>
      <c r="AH913" s="18" t="inlineStr"/>
      <c r="AI913" s="18" t="inlineStr"/>
      <c r="AJ913" s="18" t="inlineStr">
        <is>
          <t>COBBLEVERSE 수정</t>
        </is>
      </c>
      <c r="AK913" s="18" t="inlineStr">
        <is>
          <t>사용</t>
        </is>
      </c>
      <c r="AL913" s="18" t="inlineStr">
        <is>
          <t>COBBLEVERSE 1.7.42 / DP v31</t>
        </is>
      </c>
      <c r="AM913" s="18" t="inlineStr">
        <is>
          <t>data/cobblemon/spawn_pool_world/0211_qwilfish.json</t>
        </is>
      </c>
      <c r="AN913" s="18" t="inlineStr">
        <is>
          <t>qwilfish-6</t>
        </is>
      </c>
      <c r="AO913" s="18" t="inlineStr">
        <is>
          <t>pokemon</t>
        </is>
      </c>
      <c r="AP913" s="18" t="inlineStr">
        <is>
          <t>water</t>
        </is>
      </c>
      <c r="AQ913" s="18" t="inlineStr">
        <is>
          <t>{"biomes":["#cobblemon:is_lukewarm_ocean","#cobblemon:is_warm_ocean"]}</t>
        </is>
      </c>
      <c r="AR913" s="18" t="inlineStr">
        <is>
          <t>{"structures":["minecraft:monument"]}</t>
        </is>
      </c>
      <c r="AS913" s="18" t="inlineStr"/>
      <c r="AT913" s="19" t="inlineStr"/>
    </row>
    <row r="914" ht="32" customHeight="1">
      <c r="A914" s="18" t="inlineStr">
        <is>
          <t>0211_qwilfish.json::qwilfish-7::007</t>
        </is>
      </c>
      <c r="B914" s="19" t="inlineStr">
        <is>
          <t>사용</t>
        </is>
      </c>
      <c r="C914" s="18">
        <f>IF(OR(B914&lt;&gt;AK914,M914&lt;&gt;L914,O914&lt;&gt;"",Q914&lt;&gt;"",V914&lt;&gt;1,Y914&lt;&gt;"",AT914&lt;&gt;""),"수정","원본")</f>
        <v/>
      </c>
      <c r="D914" s="18" t="n">
        <v>211</v>
      </c>
      <c r="E914" s="18" t="inlineStr">
        <is>
          <t>침바루</t>
        </is>
      </c>
      <c r="F914" s="18" t="inlineStr">
        <is>
          <t>qwilfish</t>
        </is>
      </c>
      <c r="G914" s="18" t="inlineStr">
        <is>
          <t>qwilfish</t>
        </is>
      </c>
      <c r="H914" s="18" t="inlineStr"/>
      <c r="I914" s="18" t="n">
        <v>2</v>
      </c>
      <c r="J914" s="18" t="n"/>
      <c r="K914" s="18" t="n">
        <v>2</v>
      </c>
      <c r="L914" s="18" t="inlineStr">
        <is>
          <t>cobbleventure:generation_2</t>
        </is>
      </c>
      <c r="M914" s="19" t="inlineStr">
        <is>
          <t>cobbleventure:generation_2</t>
        </is>
      </c>
      <c r="N914" s="18" t="inlineStr"/>
      <c r="O914" s="19" t="inlineStr"/>
      <c r="P914" s="18" t="inlineStr">
        <is>
          <t>#cobblemon:is_ocean</t>
        </is>
      </c>
      <c r="Q914" s="19" t="inlineStr"/>
      <c r="R914" s="18">
        <f>IF(Q914="",P914,Q914)</f>
        <v/>
      </c>
      <c r="S914" s="18" t="inlineStr">
        <is>
          <t>#cobblemon:is_cold_ocean; #cobblemon:is_frozen_ocean</t>
        </is>
      </c>
      <c r="T914" s="18" t="inlineStr">
        <is>
          <t>common</t>
        </is>
      </c>
      <c r="U914" s="20" t="n">
        <v>60</v>
      </c>
      <c r="V914" s="21" t="n">
        <v>1</v>
      </c>
      <c r="W914" s="20">
        <f>IF(OR(U914="",V914=""),U914,U914*V914)</f>
        <v/>
      </c>
      <c r="X914" s="18" t="inlineStr">
        <is>
          <t>19-44</t>
        </is>
      </c>
      <c r="Y914" s="19" t="inlineStr"/>
      <c r="Z914" s="18">
        <f>IF(Y914="",X914,Y914)</f>
        <v/>
      </c>
      <c r="AA914" s="18" t="inlineStr">
        <is>
          <t>submerged</t>
        </is>
      </c>
      <c r="AB914" s="18" t="inlineStr"/>
      <c r="AC914" s="18" t="inlineStr"/>
      <c r="AD914" s="18" t="inlineStr"/>
      <c r="AE914" s="18" t="inlineStr">
        <is>
          <t>sky 8-15</t>
        </is>
      </c>
      <c r="AF914" s="18" t="inlineStr"/>
      <c r="AG914" s="18" t="inlineStr"/>
      <c r="AH914" s="18" t="inlineStr"/>
      <c r="AI914" s="18" t="inlineStr"/>
      <c r="AJ914" s="18" t="inlineStr">
        <is>
          <t>COBBLEVERSE 수정</t>
        </is>
      </c>
      <c r="AK914" s="18" t="inlineStr">
        <is>
          <t>사용</t>
        </is>
      </c>
      <c r="AL914" s="18" t="inlineStr">
        <is>
          <t>COBBLEVERSE 1.7.42 / DP v31</t>
        </is>
      </c>
      <c r="AM914" s="18" t="inlineStr">
        <is>
          <t>data/cobblemon/spawn_pool_world/0211_qwilfish.json</t>
        </is>
      </c>
      <c r="AN914" s="18" t="inlineStr">
        <is>
          <t>qwilfish-7</t>
        </is>
      </c>
      <c r="AO914" s="18" t="inlineStr">
        <is>
          <t>pokemon</t>
        </is>
      </c>
      <c r="AP914" s="18" t="inlineStr">
        <is>
          <t>water; ocean_monument</t>
        </is>
      </c>
      <c r="AQ914" s="18" t="inlineStr">
        <is>
          <t>{"biomes":["#cobblemon:is_ocean"],"maxSkyLight":15,"minSkyLight":8}</t>
        </is>
      </c>
      <c r="AR914" s="18" t="inlineStr">
        <is>
          <t>{"biomes":["#cobblemon:is_cold_ocean","#cobblemon:is_frozen_ocean"]}</t>
        </is>
      </c>
      <c r="AS914" s="18" t="inlineStr"/>
      <c r="AT914" s="19" t="inlineStr"/>
    </row>
    <row r="915" ht="32" customHeight="1">
      <c r="A915" s="18" t="inlineStr">
        <is>
          <t>0211_qwilfish.json::qwilfish-8::008</t>
        </is>
      </c>
      <c r="B915" s="19" t="inlineStr">
        <is>
          <t>사용</t>
        </is>
      </c>
      <c r="C915" s="18">
        <f>IF(OR(B915&lt;&gt;AK915,M915&lt;&gt;L915,O915&lt;&gt;"",Q915&lt;&gt;"",V915&lt;&gt;1,Y915&lt;&gt;"",AT915&lt;&gt;""),"수정","원본")</f>
        <v/>
      </c>
      <c r="D915" s="18" t="n">
        <v>211</v>
      </c>
      <c r="E915" s="18" t="inlineStr">
        <is>
          <t>침바루</t>
        </is>
      </c>
      <c r="F915" s="18" t="inlineStr">
        <is>
          <t>qwilfish</t>
        </is>
      </c>
      <c r="G915" s="18" t="inlineStr">
        <is>
          <t>qwilfish</t>
        </is>
      </c>
      <c r="H915" s="18" t="inlineStr"/>
      <c r="I915" s="18" t="n">
        <v>2</v>
      </c>
      <c r="J915" s="18" t="n"/>
      <c r="K915" s="18" t="n">
        <v>2</v>
      </c>
      <c r="L915" s="18" t="inlineStr">
        <is>
          <t>cobbleventure:generation_2</t>
        </is>
      </c>
      <c r="M915" s="19" t="inlineStr">
        <is>
          <t>cobbleventure:generation_2</t>
        </is>
      </c>
      <c r="N915" s="18" t="inlineStr"/>
      <c r="O915" s="19" t="inlineStr"/>
      <c r="P915" s="18" t="inlineStr">
        <is>
          <t>#cobblemon:is_lukewarm_ocean; #cobblemon:is_warm_ocean</t>
        </is>
      </c>
      <c r="Q915" s="19" t="inlineStr"/>
      <c r="R915" s="18">
        <f>IF(Q915="",P915,Q915)</f>
        <v/>
      </c>
      <c r="S915" s="18" t="inlineStr"/>
      <c r="T915" s="18" t="inlineStr">
        <is>
          <t>uncommon</t>
        </is>
      </c>
      <c r="U915" s="20" t="n">
        <v>10</v>
      </c>
      <c r="V915" s="21" t="n">
        <v>1</v>
      </c>
      <c r="W915" s="20">
        <f>IF(OR(U915="",V915=""),U915,U915*V915)</f>
        <v/>
      </c>
      <c r="X915" s="18" t="inlineStr">
        <is>
          <t>19-44</t>
        </is>
      </c>
      <c r="Y915" s="19" t="inlineStr"/>
      <c r="Z915" s="18">
        <f>IF(Y915="",X915,Y915)</f>
        <v/>
      </c>
      <c r="AA915" s="18" t="inlineStr">
        <is>
          <t>fishing</t>
        </is>
      </c>
      <c r="AB915" s="18" t="inlineStr"/>
      <c r="AC915" s="18" t="inlineStr"/>
      <c r="AD915" s="18" t="inlineStr"/>
      <c r="AE915" s="18" t="inlineStr">
        <is>
          <t>sky 8-15</t>
        </is>
      </c>
      <c r="AF915" s="18" t="inlineStr"/>
      <c r="AG915" s="18" t="inlineStr"/>
      <c r="AH915" s="18" t="inlineStr"/>
      <c r="AI915" s="18" t="inlineStr"/>
      <c r="AJ915" s="18" t="inlineStr">
        <is>
          <t>COBBLEVERSE 수정</t>
        </is>
      </c>
      <c r="AK915" s="18" t="inlineStr">
        <is>
          <t>사용</t>
        </is>
      </c>
      <c r="AL915" s="18" t="inlineStr">
        <is>
          <t>COBBLEVERSE 1.7.42 / DP v31</t>
        </is>
      </c>
      <c r="AM915" s="18" t="inlineStr">
        <is>
          <t>data/cobblemon/spawn_pool_world/0211_qwilfish.json</t>
        </is>
      </c>
      <c r="AN915" s="18" t="inlineStr">
        <is>
          <t>qwilfish-8</t>
        </is>
      </c>
      <c r="AO915" s="18" t="inlineStr">
        <is>
          <t>pokemon</t>
        </is>
      </c>
      <c r="AP915" s="18" t="inlineStr"/>
      <c r="AQ915" s="18" t="inlineStr">
        <is>
          <t>{"biomes":["#cobblemon:is_lukewarm_ocean","#cobblemon:is_warm_ocean"],"maxSkyLight":15,"minSkyLight":8}</t>
        </is>
      </c>
      <c r="AR915" s="18" t="inlineStr">
        <is>
          <t>{"minLureLevel":1,"structures":["minecraft:monument"]}</t>
        </is>
      </c>
      <c r="AS915" s="18" t="inlineStr"/>
      <c r="AT915" s="19" t="inlineStr"/>
    </row>
    <row r="916" ht="32" customHeight="1">
      <c r="A916" s="18" t="inlineStr">
        <is>
          <t>0211_qwilfish.json::qwilfish-9::009</t>
        </is>
      </c>
      <c r="B916" s="19" t="inlineStr">
        <is>
          <t>사용</t>
        </is>
      </c>
      <c r="C916" s="18">
        <f>IF(OR(B916&lt;&gt;AK916,M916&lt;&gt;L916,O916&lt;&gt;"",Q916&lt;&gt;"",V916&lt;&gt;1,Y916&lt;&gt;"",AT916&lt;&gt;""),"수정","원본")</f>
        <v/>
      </c>
      <c r="D916" s="18" t="n">
        <v>211</v>
      </c>
      <c r="E916" s="18" t="inlineStr">
        <is>
          <t>침바루</t>
        </is>
      </c>
      <c r="F916" s="18" t="inlineStr">
        <is>
          <t>qwilfish</t>
        </is>
      </c>
      <c r="G916" s="18" t="inlineStr">
        <is>
          <t>qwilfish</t>
        </is>
      </c>
      <c r="H916" s="18" t="inlineStr"/>
      <c r="I916" s="18" t="n">
        <v>2</v>
      </c>
      <c r="J916" s="18" t="n"/>
      <c r="K916" s="18" t="n">
        <v>2</v>
      </c>
      <c r="L916" s="18" t="inlineStr">
        <is>
          <t>cobbleventure:generation_2</t>
        </is>
      </c>
      <c r="M916" s="19" t="inlineStr">
        <is>
          <t>cobbleventure:generation_2</t>
        </is>
      </c>
      <c r="N916" s="18" t="inlineStr"/>
      <c r="O916" s="19" t="inlineStr"/>
      <c r="P916" s="18" t="inlineStr">
        <is>
          <t>#cobblemon:is_lukewarm_ocean; #cobblemon:is_warm_ocean</t>
        </is>
      </c>
      <c r="Q916" s="19" t="inlineStr"/>
      <c r="R916" s="18">
        <f>IF(Q916="",P916,Q916)</f>
        <v/>
      </c>
      <c r="S916" s="18" t="inlineStr"/>
      <c r="T916" s="18" t="inlineStr">
        <is>
          <t>common</t>
        </is>
      </c>
      <c r="U916" s="20" t="n">
        <v>10</v>
      </c>
      <c r="V916" s="21" t="n">
        <v>1</v>
      </c>
      <c r="W916" s="20">
        <f>IF(OR(U916="",V916=""),U916,U916*V916)</f>
        <v/>
      </c>
      <c r="X916" s="18" t="inlineStr">
        <is>
          <t>19-44</t>
        </is>
      </c>
      <c r="Y916" s="19" t="inlineStr"/>
      <c r="Z916" s="18">
        <f>IF(Y916="",X916,Y916)</f>
        <v/>
      </c>
      <c r="AA916" s="18" t="inlineStr">
        <is>
          <t>fishing</t>
        </is>
      </c>
      <c r="AB916" s="18" t="inlineStr"/>
      <c r="AC916" s="18" t="inlineStr"/>
      <c r="AD916" s="18" t="inlineStr"/>
      <c r="AE916" s="18" t="inlineStr">
        <is>
          <t>sky 8-15</t>
        </is>
      </c>
      <c r="AF916" s="18" t="inlineStr">
        <is>
          <t>False</t>
        </is>
      </c>
      <c r="AG916" s="18" t="inlineStr"/>
      <c r="AH916" s="18" t="inlineStr"/>
      <c r="AI916" s="18" t="inlineStr">
        <is>
          <t>{"fishing":{"minLureLevel":1}}</t>
        </is>
      </c>
      <c r="AJ916" s="18" t="inlineStr">
        <is>
          <t>COBBLEVERSE 수정</t>
        </is>
      </c>
      <c r="AK916" s="18" t="inlineStr">
        <is>
          <t>사용</t>
        </is>
      </c>
      <c r="AL916" s="18" t="inlineStr">
        <is>
          <t>COBBLEVERSE 1.7.42 / DP v31</t>
        </is>
      </c>
      <c r="AM916" s="18" t="inlineStr">
        <is>
          <t>data/cobblemon/spawn_pool_world/0211_qwilfish.json</t>
        </is>
      </c>
      <c r="AN916" s="18" t="inlineStr">
        <is>
          <t>qwilfish-9</t>
        </is>
      </c>
      <c r="AO916" s="18" t="inlineStr">
        <is>
          <t>pokemon</t>
        </is>
      </c>
      <c r="AP916" s="18" t="inlineStr"/>
      <c r="AQ916" s="18" t="inlineStr">
        <is>
          <t>{"biomes":["#cobblemon:is_lukewarm_ocean","#cobblemon:is_warm_ocean"],"canSeeSky":false,"maxSkyLight":15,"minLureLevel":1,"minSkyLight":8}</t>
        </is>
      </c>
      <c r="AR916" s="18" t="inlineStr">
        <is>
          <t>{"structures":["minecraft:monument"]}</t>
        </is>
      </c>
      <c r="AS916" s="18" t="inlineStr">
        <is>
          <t>{"weightMultiplier":{"condition":{"maxLureLevel":2,"minLureLevel":1},"multiplier":0.6}}</t>
        </is>
      </c>
      <c r="AT916" s="19" t="inlineStr"/>
    </row>
    <row r="917" ht="32" customHeight="1">
      <c r="A917" s="18" t="inlineStr">
        <is>
          <t>0211_qwilfish.json::qwilfish-10::010</t>
        </is>
      </c>
      <c r="B917" s="19" t="inlineStr">
        <is>
          <t>사용</t>
        </is>
      </c>
      <c r="C917" s="18">
        <f>IF(OR(B917&lt;&gt;AK917,M917&lt;&gt;L917,O917&lt;&gt;"",Q917&lt;&gt;"",V917&lt;&gt;1,Y917&lt;&gt;"",AT917&lt;&gt;""),"수정","원본")</f>
        <v/>
      </c>
      <c r="D917" s="18" t="n">
        <v>211</v>
      </c>
      <c r="E917" s="18" t="inlineStr">
        <is>
          <t>침바루</t>
        </is>
      </c>
      <c r="F917" s="18" t="inlineStr">
        <is>
          <t>qwilfish</t>
        </is>
      </c>
      <c r="G917" s="18" t="inlineStr">
        <is>
          <t>qwilfish</t>
        </is>
      </c>
      <c r="H917" s="18" t="inlineStr"/>
      <c r="I917" s="18" t="n">
        <v>2</v>
      </c>
      <c r="J917" s="18" t="n"/>
      <c r="K917" s="18" t="n">
        <v>2</v>
      </c>
      <c r="L917" s="18" t="inlineStr">
        <is>
          <t>cobbleventure:generation_2</t>
        </is>
      </c>
      <c r="M917" s="19" t="inlineStr">
        <is>
          <t>cobbleventure:generation_2</t>
        </is>
      </c>
      <c r="N917" s="18" t="inlineStr"/>
      <c r="O917" s="19" t="inlineStr"/>
      <c r="P917" s="18" t="inlineStr">
        <is>
          <t>#cobblemon:is_ocean</t>
        </is>
      </c>
      <c r="Q917" s="19" t="inlineStr"/>
      <c r="R917" s="18">
        <f>IF(Q917="",P917,Q917)</f>
        <v/>
      </c>
      <c r="S917" s="18" t="inlineStr">
        <is>
          <t>#cobblemon:is_cold_ocean; #cobblemon:is_frozen_ocean</t>
        </is>
      </c>
      <c r="T917" s="18" t="inlineStr">
        <is>
          <t>common</t>
        </is>
      </c>
      <c r="U917" s="20" t="n">
        <v>100</v>
      </c>
      <c r="V917" s="21" t="n">
        <v>1</v>
      </c>
      <c r="W917" s="20">
        <f>IF(OR(U917="",V917=""),U917,U917*V917)</f>
        <v/>
      </c>
      <c r="X917" s="18" t="inlineStr">
        <is>
          <t>19-44</t>
        </is>
      </c>
      <c r="Y917" s="19" t="inlineStr"/>
      <c r="Z917" s="18">
        <f>IF(Y917="",X917,Y917)</f>
        <v/>
      </c>
      <c r="AA917" s="18" t="inlineStr">
        <is>
          <t>fishing</t>
        </is>
      </c>
      <c r="AB917" s="18" t="inlineStr"/>
      <c r="AC917" s="18" t="inlineStr"/>
      <c r="AD917" s="18" t="inlineStr"/>
      <c r="AE917" s="18" t="inlineStr">
        <is>
          <t>sky 8-15</t>
        </is>
      </c>
      <c r="AF917" s="18" t="inlineStr">
        <is>
          <t>False</t>
        </is>
      </c>
      <c r="AG917" s="18" t="inlineStr">
        <is>
          <t>minecraft:monument</t>
        </is>
      </c>
      <c r="AH917" s="18" t="inlineStr"/>
      <c r="AI917" s="18" t="inlineStr"/>
      <c r="AJ917" s="18" t="inlineStr">
        <is>
          <t>COBBLEVERSE 수정</t>
        </is>
      </c>
      <c r="AK917" s="18" t="inlineStr">
        <is>
          <t>사용</t>
        </is>
      </c>
      <c r="AL917" s="18" t="inlineStr">
        <is>
          <t>COBBLEVERSE 1.7.42 / DP v31</t>
        </is>
      </c>
      <c r="AM917" s="18" t="inlineStr">
        <is>
          <t>data/cobblemon/spawn_pool_world/0211_qwilfish.json</t>
        </is>
      </c>
      <c r="AN917" s="18" t="inlineStr">
        <is>
          <t>qwilfish-10</t>
        </is>
      </c>
      <c r="AO917" s="18" t="inlineStr">
        <is>
          <t>pokemon</t>
        </is>
      </c>
      <c r="AP917" s="18" t="inlineStr"/>
      <c r="AQ917" s="18" t="inlineStr">
        <is>
          <t>{"biomes":["#cobblemon:is_ocean"],"canSeeSky":false,"maxSkyLight":15,"minSkyLight":8,"structures":["minecraft:monument"]}</t>
        </is>
      </c>
      <c r="AR917" s="18" t="inlineStr">
        <is>
          <t>{"biomes":["#cobblemon:is_cold_ocean","#cobblemon:is_frozen_ocean"]}</t>
        </is>
      </c>
      <c r="AS917" s="18" t="inlineStr">
        <is>
          <t>{"weightMultiplier":{"condition":{"maxLureLevel":1,"minLureLevel":0},"multiplier":0.6}}</t>
        </is>
      </c>
      <c r="AT917" s="19" t="inlineStr"/>
    </row>
    <row r="918" ht="32" customHeight="1">
      <c r="A918" s="18" t="inlineStr">
        <is>
          <t>0211_qwilfish.json::qwilfish-11::011</t>
        </is>
      </c>
      <c r="B918" s="19" t="inlineStr">
        <is>
          <t>사용</t>
        </is>
      </c>
      <c r="C918" s="18">
        <f>IF(OR(B918&lt;&gt;AK918,M918&lt;&gt;L918,O918&lt;&gt;"",Q918&lt;&gt;"",V918&lt;&gt;1,Y918&lt;&gt;"",AT918&lt;&gt;""),"수정","원본")</f>
        <v/>
      </c>
      <c r="D918" s="18" t="n">
        <v>211</v>
      </c>
      <c r="E918" s="18" t="inlineStr">
        <is>
          <t>침바루</t>
        </is>
      </c>
      <c r="F918" s="18" t="inlineStr">
        <is>
          <t>qwilfish</t>
        </is>
      </c>
      <c r="G918" s="18" t="inlineStr">
        <is>
          <t>qwilfish</t>
        </is>
      </c>
      <c r="H918" s="18" t="inlineStr"/>
      <c r="I918" s="18" t="n">
        <v>2</v>
      </c>
      <c r="J918" s="18" t="n"/>
      <c r="K918" s="18" t="n">
        <v>2</v>
      </c>
      <c r="L918" s="18" t="inlineStr">
        <is>
          <t>cobbleventure:generation_2</t>
        </is>
      </c>
      <c r="M918" s="19" t="inlineStr">
        <is>
          <t>cobbleventure:generation_2</t>
        </is>
      </c>
      <c r="N918" s="18" t="inlineStr">
        <is>
          <t>region_01; region_02</t>
        </is>
      </c>
      <c r="O918" s="19" t="inlineStr"/>
      <c r="P918" s="18" t="inlineStr">
        <is>
          <t>#cobblemon:is_overworld</t>
        </is>
      </c>
      <c r="Q918" s="19" t="inlineStr"/>
      <c r="R918" s="18">
        <f>IF(Q918="",P918,Q918)</f>
        <v/>
      </c>
      <c r="S918" s="18" t="inlineStr">
        <is>
          <t>#cobblemon:is_cold</t>
        </is>
      </c>
      <c r="T918" s="18" t="inlineStr">
        <is>
          <t>uncommon</t>
        </is>
      </c>
      <c r="U918" s="20" t="n">
        <v>10</v>
      </c>
      <c r="V918" s="21" t="n">
        <v>1</v>
      </c>
      <c r="W918" s="20">
        <f>IF(OR(U918="",V918=""),U918,U918*V918)</f>
        <v/>
      </c>
      <c r="X918" s="18" t="inlineStr">
        <is>
          <t>19-44</t>
        </is>
      </c>
      <c r="Y918" s="19" t="inlineStr"/>
      <c r="Z918" s="18">
        <f>IF(Y918="",X918,Y918)</f>
        <v/>
      </c>
      <c r="AA918" s="18" t="inlineStr">
        <is>
          <t>submerged</t>
        </is>
      </c>
      <c r="AB918" s="18" t="inlineStr"/>
      <c r="AC918" s="18" t="inlineStr"/>
      <c r="AD918" s="18" t="inlineStr">
        <is>
          <t>minY=-60, maxY=13</t>
        </is>
      </c>
      <c r="AE918" s="18" t="inlineStr"/>
      <c r="AF918" s="18" t="inlineStr">
        <is>
          <t>False</t>
        </is>
      </c>
      <c r="AG918" s="18" t="inlineStr">
        <is>
          <t>cobblemon:shipwreck_coves/submerged_shipwreck_cove</t>
        </is>
      </c>
      <c r="AH918" s="18" t="inlineStr"/>
      <c r="AI918" s="18" t="inlineStr"/>
      <c r="AJ918" s="18" t="inlineStr">
        <is>
          <t>COBBLEVERSE 수정</t>
        </is>
      </c>
      <c r="AK918" s="18" t="inlineStr">
        <is>
          <t>사용</t>
        </is>
      </c>
      <c r="AL918" s="18" t="inlineStr">
        <is>
          <t>COBBLEVERSE 1.7.42 / DP v31</t>
        </is>
      </c>
      <c r="AM918" s="18" t="inlineStr">
        <is>
          <t>data/cobblemon/spawn_pool_world/0211_qwilfish.json</t>
        </is>
      </c>
      <c r="AN918" s="18" t="inlineStr">
        <is>
          <t>qwilfish-11</t>
        </is>
      </c>
      <c r="AO918" s="18" t="inlineStr">
        <is>
          <t>pokemon</t>
        </is>
      </c>
      <c r="AP918" s="18" t="inlineStr">
        <is>
          <t>water</t>
        </is>
      </c>
      <c r="AQ918" s="18" t="inlineStr">
        <is>
          <t>{"biomes":["#cobblemon:is_overworld"],"canSeeSky":false,"maxY":13,"minY":-60,"structures":["cobblemon:shipwreck_coves/submerged_shipwreck_cove"]}</t>
        </is>
      </c>
      <c r="AR918" s="18" t="inlineStr">
        <is>
          <t>{"biomes":["#cobblemon:is_cold"]}</t>
        </is>
      </c>
      <c r="AS918" s="18" t="inlineStr"/>
      <c r="AT918" s="19" t="inlineStr"/>
    </row>
    <row r="919" ht="32" customHeight="1">
      <c r="A919" s="18" t="inlineStr">
        <is>
          <t>0211_qwilfish.json::qwilfish-12::012</t>
        </is>
      </c>
      <c r="B919" s="19" t="inlineStr">
        <is>
          <t>사용</t>
        </is>
      </c>
      <c r="C919" s="18">
        <f>IF(OR(B919&lt;&gt;AK919,M919&lt;&gt;L919,O919&lt;&gt;"",Q919&lt;&gt;"",V919&lt;&gt;1,Y919&lt;&gt;"",AT919&lt;&gt;""),"수정","원본")</f>
        <v/>
      </c>
      <c r="D919" s="18" t="n">
        <v>211</v>
      </c>
      <c r="E919" s="18" t="inlineStr">
        <is>
          <t>침바루</t>
        </is>
      </c>
      <c r="F919" s="18" t="inlineStr">
        <is>
          <t>qwilfish</t>
        </is>
      </c>
      <c r="G919" s="18" t="inlineStr">
        <is>
          <t>qwilfish</t>
        </is>
      </c>
      <c r="H919" s="18" t="inlineStr"/>
      <c r="I919" s="18" t="n">
        <v>2</v>
      </c>
      <c r="J919" s="18" t="n"/>
      <c r="K919" s="18" t="n">
        <v>2</v>
      </c>
      <c r="L919" s="18" t="inlineStr">
        <is>
          <t>cobbleventure:generation_2</t>
        </is>
      </c>
      <c r="M919" s="19" t="inlineStr">
        <is>
          <t>cobbleventure:generation_2</t>
        </is>
      </c>
      <c r="N919" s="18" t="inlineStr">
        <is>
          <t>region_01; region_02</t>
        </is>
      </c>
      <c r="O919" s="19" t="inlineStr"/>
      <c r="P919" s="18" t="inlineStr">
        <is>
          <t>#cobblemon:is_overworld</t>
        </is>
      </c>
      <c r="Q919" s="19" t="inlineStr"/>
      <c r="R919" s="18">
        <f>IF(Q919="",P919,Q919)</f>
        <v/>
      </c>
      <c r="S919" s="18" t="inlineStr">
        <is>
          <t>#cobblemon:is_cold</t>
        </is>
      </c>
      <c r="T919" s="18" t="inlineStr">
        <is>
          <t>uncommon</t>
        </is>
      </c>
      <c r="U919" s="20" t="n">
        <v>10</v>
      </c>
      <c r="V919" s="21" t="n">
        <v>1</v>
      </c>
      <c r="W919" s="20">
        <f>IF(OR(U919="",V919=""),U919,U919*V919)</f>
        <v/>
      </c>
      <c r="X919" s="18" t="inlineStr">
        <is>
          <t>19-44</t>
        </is>
      </c>
      <c r="Y919" s="19" t="inlineStr"/>
      <c r="Z919" s="18">
        <f>IF(Y919="",X919,Y919)</f>
        <v/>
      </c>
      <c r="AA919" s="18" t="inlineStr">
        <is>
          <t>fishing</t>
        </is>
      </c>
      <c r="AB919" s="18" t="inlineStr"/>
      <c r="AC919" s="18" t="inlineStr"/>
      <c r="AD919" s="18" t="inlineStr">
        <is>
          <t>minY=-60, maxY=13</t>
        </is>
      </c>
      <c r="AE919" s="18" t="inlineStr"/>
      <c r="AF919" s="18" t="inlineStr">
        <is>
          <t>False</t>
        </is>
      </c>
      <c r="AG919" s="18" t="inlineStr">
        <is>
          <t>cobblemon:shipwreck_coves/submerged_shipwreck_cove</t>
        </is>
      </c>
      <c r="AH919" s="18" t="inlineStr"/>
      <c r="AI919" s="18" t="inlineStr"/>
      <c r="AJ919" s="18" t="inlineStr">
        <is>
          <t>COBBLEVERSE 수정</t>
        </is>
      </c>
      <c r="AK919" s="18" t="inlineStr">
        <is>
          <t>사용</t>
        </is>
      </c>
      <c r="AL919" s="18" t="inlineStr">
        <is>
          <t>COBBLEVERSE 1.7.42 / DP v31</t>
        </is>
      </c>
      <c r="AM919" s="18" t="inlineStr">
        <is>
          <t>data/cobblemon/spawn_pool_world/0211_qwilfish.json</t>
        </is>
      </c>
      <c r="AN919" s="18" t="inlineStr">
        <is>
          <t>qwilfish-12</t>
        </is>
      </c>
      <c r="AO919" s="18" t="inlineStr">
        <is>
          <t>pokemon</t>
        </is>
      </c>
      <c r="AP919" s="18" t="inlineStr"/>
      <c r="AQ919" s="18" t="inlineStr">
        <is>
          <t>{"biomes":["#cobblemon:is_overworld"],"canSeeSky":false,"maxY":13,"minY":-60,"structures":["cobblemon:shipwreck_coves/submerged_shipwreck_cove"]}</t>
        </is>
      </c>
      <c r="AR919" s="18" t="inlineStr">
        <is>
          <t>{"biomes":["#cobblemon:is_cold"],"minLureLevel":1}</t>
        </is>
      </c>
      <c r="AS919" s="18" t="inlineStr"/>
      <c r="AT919" s="19" t="inlineStr"/>
    </row>
    <row r="920" ht="32" customHeight="1">
      <c r="A920" s="18" t="inlineStr">
        <is>
          <t>0211_qwilfish.json::qwilfish-13::013</t>
        </is>
      </c>
      <c r="B920" s="19" t="inlineStr">
        <is>
          <t>사용</t>
        </is>
      </c>
      <c r="C920" s="18">
        <f>IF(OR(B920&lt;&gt;AK920,M920&lt;&gt;L920,O920&lt;&gt;"",Q920&lt;&gt;"",V920&lt;&gt;1,Y920&lt;&gt;"",AT920&lt;&gt;""),"수정","원본")</f>
        <v/>
      </c>
      <c r="D920" s="18" t="n">
        <v>211</v>
      </c>
      <c r="E920" s="18" t="inlineStr">
        <is>
          <t>침바루</t>
        </is>
      </c>
      <c r="F920" s="18" t="inlineStr">
        <is>
          <t>qwilfish</t>
        </is>
      </c>
      <c r="G920" s="18" t="inlineStr">
        <is>
          <t>qwilfish</t>
        </is>
      </c>
      <c r="H920" s="18" t="inlineStr"/>
      <c r="I920" s="18" t="n">
        <v>2</v>
      </c>
      <c r="J920" s="18" t="n"/>
      <c r="K920" s="18" t="n">
        <v>2</v>
      </c>
      <c r="L920" s="18" t="inlineStr">
        <is>
          <t>cobbleventure:generation_2</t>
        </is>
      </c>
      <c r="M920" s="19" t="inlineStr">
        <is>
          <t>cobbleventure:generation_2</t>
        </is>
      </c>
      <c r="N920" s="18" t="inlineStr">
        <is>
          <t>region_01; region_02</t>
        </is>
      </c>
      <c r="O920" s="19" t="inlineStr"/>
      <c r="P920" s="18" t="inlineStr">
        <is>
          <t>#cobblemon:is_overworld</t>
        </is>
      </c>
      <c r="Q920" s="19" t="inlineStr"/>
      <c r="R920" s="18">
        <f>IF(Q920="",P920,Q920)</f>
        <v/>
      </c>
      <c r="S920" s="18" t="inlineStr">
        <is>
          <t>#cobblemon:is_cold</t>
        </is>
      </c>
      <c r="T920" s="18" t="inlineStr">
        <is>
          <t>common</t>
        </is>
      </c>
      <c r="U920" s="20" t="n">
        <v>10</v>
      </c>
      <c r="V920" s="21" t="n">
        <v>1</v>
      </c>
      <c r="W920" s="20">
        <f>IF(OR(U920="",V920=""),U920,U920*V920)</f>
        <v/>
      </c>
      <c r="X920" s="18" t="inlineStr">
        <is>
          <t>19-44</t>
        </is>
      </c>
      <c r="Y920" s="19" t="inlineStr"/>
      <c r="Z920" s="18">
        <f>IF(Y920="",X920,Y920)</f>
        <v/>
      </c>
      <c r="AA920" s="18" t="inlineStr">
        <is>
          <t>fishing</t>
        </is>
      </c>
      <c r="AB920" s="18" t="inlineStr"/>
      <c r="AC920" s="18" t="inlineStr"/>
      <c r="AD920" s="18" t="inlineStr">
        <is>
          <t>minY=-60, maxY=13</t>
        </is>
      </c>
      <c r="AE920" s="18" t="inlineStr"/>
      <c r="AF920" s="18" t="inlineStr">
        <is>
          <t>False</t>
        </is>
      </c>
      <c r="AG920" s="18" t="inlineStr">
        <is>
          <t>cobblemon:shipwreck_coves/submerged_shipwreck_cove</t>
        </is>
      </c>
      <c r="AH920" s="18" t="inlineStr"/>
      <c r="AI920" s="18" t="inlineStr">
        <is>
          <t>{"fishing":{"minLureLevel":1}}</t>
        </is>
      </c>
      <c r="AJ920" s="18" t="inlineStr">
        <is>
          <t>COBBLEVERSE 수정</t>
        </is>
      </c>
      <c r="AK920" s="18" t="inlineStr">
        <is>
          <t>사용</t>
        </is>
      </c>
      <c r="AL920" s="18" t="inlineStr">
        <is>
          <t>COBBLEVERSE 1.7.42 / DP v31</t>
        </is>
      </c>
      <c r="AM920" s="18" t="inlineStr">
        <is>
          <t>data/cobblemon/spawn_pool_world/0211_qwilfish.json</t>
        </is>
      </c>
      <c r="AN920" s="18" t="inlineStr">
        <is>
          <t>qwilfish-13</t>
        </is>
      </c>
      <c r="AO920" s="18" t="inlineStr">
        <is>
          <t>pokemon</t>
        </is>
      </c>
      <c r="AP920" s="18" t="inlineStr"/>
      <c r="AQ920" s="18" t="inlineStr">
        <is>
          <t>{"biomes":["#cobblemon:is_overworld"],"canSeeSky":false,"maxY":13,"minLureLevel":1,"minY":-60,"structures":["cobblemon:shipwreck_coves/submerged_shipwreck_cove"]}</t>
        </is>
      </c>
      <c r="AR920" s="18" t="inlineStr">
        <is>
          <t>{"biomes":["#cobblemon:is_cold"]}</t>
        </is>
      </c>
      <c r="AS920" s="18" t="inlineStr">
        <is>
          <t>{"weightMultiplier":{"condition":{"maxLureLevel":2,"minLureLevel":1},"multiplier":0.6}}</t>
        </is>
      </c>
      <c r="AT920" s="19" t="inlineStr"/>
    </row>
    <row r="921" ht="32" customHeight="1">
      <c r="A921" s="18" t="inlineStr">
        <is>
          <t>0211_qwilfish.json::qwilfish-hisuian-14::014</t>
        </is>
      </c>
      <c r="B921" s="19" t="inlineStr">
        <is>
          <t>사용</t>
        </is>
      </c>
      <c r="C921" s="18">
        <f>IF(OR(B921&lt;&gt;AK921,M921&lt;&gt;L921,O921&lt;&gt;"",Q921&lt;&gt;"",V921&lt;&gt;1,Y921&lt;&gt;"",AT921&lt;&gt;""),"수정","원본")</f>
        <v/>
      </c>
      <c r="D921" s="18" t="n">
        <v>211</v>
      </c>
      <c r="E921" s="18" t="inlineStr">
        <is>
          <t>침바루</t>
        </is>
      </c>
      <c r="F921" s="18" t="inlineStr">
        <is>
          <t>qwilfish</t>
        </is>
      </c>
      <c r="G921" s="18" t="inlineStr">
        <is>
          <t>qwilfish hisuian</t>
        </is>
      </c>
      <c r="H921" s="18" t="inlineStr">
        <is>
          <t>hisuian</t>
        </is>
      </c>
      <c r="I921" s="18" t="n">
        <v>2</v>
      </c>
      <c r="J921" s="18" t="n">
        <v>8</v>
      </c>
      <c r="K921" s="18" t="n">
        <v>8</v>
      </c>
      <c r="L921" s="18" t="inlineStr">
        <is>
          <t>cobbleventure:generation_8</t>
        </is>
      </c>
      <c r="M921" s="19" t="inlineStr">
        <is>
          <t>cobbleventure:generation_8</t>
        </is>
      </c>
      <c r="N921" s="18" t="inlineStr"/>
      <c r="O921" s="19" t="inlineStr"/>
      <c r="P921" s="18" t="inlineStr">
        <is>
          <t>#cobblemon:is_cold_ocean</t>
        </is>
      </c>
      <c r="Q921" s="19" t="inlineStr"/>
      <c r="R921" s="18">
        <f>IF(Q921="",P921,Q921)</f>
        <v/>
      </c>
      <c r="S921" s="18" t="inlineStr"/>
      <c r="T921" s="18" t="inlineStr">
        <is>
          <t>uncommon</t>
        </is>
      </c>
      <c r="U921" s="20" t="n">
        <v>8.4</v>
      </c>
      <c r="V921" s="21" t="n">
        <v>1</v>
      </c>
      <c r="W921" s="20">
        <f>IF(OR(U921="",V921=""),U921,U921*V921)</f>
        <v/>
      </c>
      <c r="X921" s="18" t="inlineStr">
        <is>
          <t>19-44</t>
        </is>
      </c>
      <c r="Y921" s="19" t="inlineStr"/>
      <c r="Z921" s="18">
        <f>IF(Y921="",X921,Y921)</f>
        <v/>
      </c>
      <c r="AA921" s="18" t="inlineStr">
        <is>
          <t>submerged</t>
        </is>
      </c>
      <c r="AB921" s="18" t="inlineStr"/>
      <c r="AC921" s="18" t="inlineStr"/>
      <c r="AD921" s="18" t="inlineStr"/>
      <c r="AE921" s="18" t="inlineStr"/>
      <c r="AF921" s="18" t="inlineStr">
        <is>
          <t>True</t>
        </is>
      </c>
      <c r="AG921" s="18" t="inlineStr"/>
      <c r="AH921" s="18" t="inlineStr"/>
      <c r="AI921" s="18" t="inlineStr"/>
      <c r="AJ921" s="18" t="inlineStr">
        <is>
          <t>COBBLEVERSE 수정</t>
        </is>
      </c>
      <c r="AK921" s="18" t="inlineStr">
        <is>
          <t>사용</t>
        </is>
      </c>
      <c r="AL921" s="18" t="inlineStr">
        <is>
          <t>COBBLEVERSE 1.7.42 / DP v31</t>
        </is>
      </c>
      <c r="AM921" s="18" t="inlineStr">
        <is>
          <t>data/cobblemon/spawn_pool_world/0211_qwilfish.json</t>
        </is>
      </c>
      <c r="AN921" s="18" t="inlineStr">
        <is>
          <t>qwilfish-hisuian-14</t>
        </is>
      </c>
      <c r="AO921" s="18" t="inlineStr">
        <is>
          <t>pokemon</t>
        </is>
      </c>
      <c r="AP921" s="18" t="inlineStr">
        <is>
          <t>water</t>
        </is>
      </c>
      <c r="AQ921" s="18" t="inlineStr">
        <is>
          <t>{"biomes":["#cobblemon:is_cold_ocean"],"canSeeSky":true}</t>
        </is>
      </c>
      <c r="AR921" s="18" t="inlineStr">
        <is>
          <t>{"structures":["minecraft:monument"]}</t>
        </is>
      </c>
      <c r="AS921" s="18" t="inlineStr"/>
      <c r="AT921" s="19" t="inlineStr"/>
    </row>
    <row r="922" ht="32" customHeight="1">
      <c r="A922" s="18" t="inlineStr">
        <is>
          <t>0211_qwilfish.json::qwilfish-hisuian-15::015</t>
        </is>
      </c>
      <c r="B922" s="19" t="inlineStr">
        <is>
          <t>사용</t>
        </is>
      </c>
      <c r="C922" s="18">
        <f>IF(OR(B922&lt;&gt;AK922,M922&lt;&gt;L922,O922&lt;&gt;"",Q922&lt;&gt;"",V922&lt;&gt;1,Y922&lt;&gt;"",AT922&lt;&gt;""),"수정","원본")</f>
        <v/>
      </c>
      <c r="D922" s="18" t="n">
        <v>211</v>
      </c>
      <c r="E922" s="18" t="inlineStr">
        <is>
          <t>침바루</t>
        </is>
      </c>
      <c r="F922" s="18" t="inlineStr">
        <is>
          <t>qwilfish</t>
        </is>
      </c>
      <c r="G922" s="18" t="inlineStr">
        <is>
          <t>qwilfish hisuian</t>
        </is>
      </c>
      <c r="H922" s="18" t="inlineStr">
        <is>
          <t>hisuian</t>
        </is>
      </c>
      <c r="I922" s="18" t="n">
        <v>2</v>
      </c>
      <c r="J922" s="18" t="n">
        <v>8</v>
      </c>
      <c r="K922" s="18" t="n">
        <v>8</v>
      </c>
      <c r="L922" s="18" t="inlineStr">
        <is>
          <t>cobbleventure:generation_8</t>
        </is>
      </c>
      <c r="M922" s="19" t="inlineStr">
        <is>
          <t>cobbleventure:generation_8</t>
        </is>
      </c>
      <c r="N922" s="18" t="inlineStr"/>
      <c r="O922" s="19" t="inlineStr"/>
      <c r="P922" s="18" t="inlineStr">
        <is>
          <t>#cobblemon:is_cold_ocean; #cobblemon:is_frozen_ocean</t>
        </is>
      </c>
      <c r="Q922" s="19" t="inlineStr"/>
      <c r="R922" s="18">
        <f>IF(Q922="",P922,Q922)</f>
        <v/>
      </c>
      <c r="S922" s="18" t="inlineStr"/>
      <c r="T922" s="18" t="inlineStr">
        <is>
          <t>common</t>
        </is>
      </c>
      <c r="U922" s="20" t="n">
        <v>54</v>
      </c>
      <c r="V922" s="21" t="n">
        <v>1</v>
      </c>
      <c r="W922" s="20">
        <f>IF(OR(U922="",V922=""),U922,U922*V922)</f>
        <v/>
      </c>
      <c r="X922" s="18" t="inlineStr">
        <is>
          <t>19-44</t>
        </is>
      </c>
      <c r="Y922" s="19" t="inlineStr"/>
      <c r="Z922" s="18">
        <f>IF(Y922="",X922,Y922)</f>
        <v/>
      </c>
      <c r="AA922" s="18" t="inlineStr">
        <is>
          <t>submerged</t>
        </is>
      </c>
      <c r="AB922" s="18" t="inlineStr"/>
      <c r="AC922" s="18" t="inlineStr"/>
      <c r="AD922" s="18" t="inlineStr"/>
      <c r="AE922" s="18" t="inlineStr"/>
      <c r="AF922" s="18" t="inlineStr">
        <is>
          <t>True</t>
        </is>
      </c>
      <c r="AG922" s="18" t="inlineStr"/>
      <c r="AH922" s="18" t="inlineStr"/>
      <c r="AI922" s="18" t="inlineStr"/>
      <c r="AJ922" s="18" t="inlineStr">
        <is>
          <t>COBBLEVERSE 수정</t>
        </is>
      </c>
      <c r="AK922" s="18" t="inlineStr">
        <is>
          <t>사용</t>
        </is>
      </c>
      <c r="AL922" s="18" t="inlineStr">
        <is>
          <t>COBBLEVERSE 1.7.42 / DP v31</t>
        </is>
      </c>
      <c r="AM922" s="18" t="inlineStr">
        <is>
          <t>data/cobblemon/spawn_pool_world/0211_qwilfish.json</t>
        </is>
      </c>
      <c r="AN922" s="18" t="inlineStr">
        <is>
          <t>qwilfish-hisuian-15</t>
        </is>
      </c>
      <c r="AO922" s="18" t="inlineStr">
        <is>
          <t>pokemon</t>
        </is>
      </c>
      <c r="AP922" s="18" t="inlineStr">
        <is>
          <t>water; ocean_monument</t>
        </is>
      </c>
      <c r="AQ922" s="18" t="inlineStr">
        <is>
          <t>{"biomes":["#cobblemon:is_cold_ocean","#cobblemon:is_frozen_ocean"],"canSeeSky":true}</t>
        </is>
      </c>
      <c r="AR922" s="18" t="inlineStr"/>
      <c r="AS922" s="18" t="inlineStr"/>
      <c r="AT922" s="19" t="inlineStr"/>
    </row>
    <row r="923" ht="32" customHeight="1">
      <c r="A923" s="18" t="inlineStr">
        <is>
          <t>0211_qwilfish.json::qwilfish-hisuian-16::016</t>
        </is>
      </c>
      <c r="B923" s="19" t="inlineStr">
        <is>
          <t>사용</t>
        </is>
      </c>
      <c r="C923" s="18">
        <f>IF(OR(B923&lt;&gt;AK923,M923&lt;&gt;L923,O923&lt;&gt;"",Q923&lt;&gt;"",V923&lt;&gt;1,Y923&lt;&gt;"",AT923&lt;&gt;""),"수정","원본")</f>
        <v/>
      </c>
      <c r="D923" s="18" t="n">
        <v>211</v>
      </c>
      <c r="E923" s="18" t="inlineStr">
        <is>
          <t>침바루</t>
        </is>
      </c>
      <c r="F923" s="18" t="inlineStr">
        <is>
          <t>qwilfish</t>
        </is>
      </c>
      <c r="G923" s="18" t="inlineStr">
        <is>
          <t>qwilfish hisuian</t>
        </is>
      </c>
      <c r="H923" s="18" t="inlineStr">
        <is>
          <t>hisuian</t>
        </is>
      </c>
      <c r="I923" s="18" t="n">
        <v>2</v>
      </c>
      <c r="J923" s="18" t="n">
        <v>8</v>
      </c>
      <c r="K923" s="18" t="n">
        <v>8</v>
      </c>
      <c r="L923" s="18" t="inlineStr">
        <is>
          <t>cobbleventure:generation_8</t>
        </is>
      </c>
      <c r="M923" s="19" t="inlineStr">
        <is>
          <t>cobbleventure:generation_8</t>
        </is>
      </c>
      <c r="N923" s="18" t="inlineStr"/>
      <c r="O923" s="19" t="inlineStr"/>
      <c r="P923" s="18" t="inlineStr">
        <is>
          <t>#cobblemon:is_cold_ocean</t>
        </is>
      </c>
      <c r="Q923" s="19" t="inlineStr"/>
      <c r="R923" s="18">
        <f>IF(Q923="",P923,Q923)</f>
        <v/>
      </c>
      <c r="S923" s="18" t="inlineStr"/>
      <c r="T923" s="18" t="inlineStr">
        <is>
          <t>uncommon</t>
        </is>
      </c>
      <c r="U923" s="20" t="n">
        <v>8.4</v>
      </c>
      <c r="V923" s="21" t="n">
        <v>1</v>
      </c>
      <c r="W923" s="20">
        <f>IF(OR(U923="",V923=""),U923,U923*V923)</f>
        <v/>
      </c>
      <c r="X923" s="18" t="inlineStr">
        <is>
          <t>19-44</t>
        </is>
      </c>
      <c r="Y923" s="19" t="inlineStr"/>
      <c r="Z923" s="18">
        <f>IF(Y923="",X923,Y923)</f>
        <v/>
      </c>
      <c r="AA923" s="18" t="inlineStr">
        <is>
          <t>fishing</t>
        </is>
      </c>
      <c r="AB923" s="18" t="inlineStr"/>
      <c r="AC923" s="18" t="inlineStr"/>
      <c r="AD923" s="18" t="inlineStr"/>
      <c r="AE923" s="18" t="inlineStr"/>
      <c r="AF923" s="18" t="inlineStr">
        <is>
          <t>True</t>
        </is>
      </c>
      <c r="AG923" s="18" t="inlineStr"/>
      <c r="AH923" s="18" t="inlineStr"/>
      <c r="AI923" s="18" t="inlineStr"/>
      <c r="AJ923" s="18" t="inlineStr">
        <is>
          <t>COBBLEVERSE 수정</t>
        </is>
      </c>
      <c r="AK923" s="18" t="inlineStr">
        <is>
          <t>사용</t>
        </is>
      </c>
      <c r="AL923" s="18" t="inlineStr">
        <is>
          <t>COBBLEVERSE 1.7.42 / DP v31</t>
        </is>
      </c>
      <c r="AM923" s="18" t="inlineStr">
        <is>
          <t>data/cobblemon/spawn_pool_world/0211_qwilfish.json</t>
        </is>
      </c>
      <c r="AN923" s="18" t="inlineStr">
        <is>
          <t>qwilfish-hisuian-16</t>
        </is>
      </c>
      <c r="AO923" s="18" t="inlineStr">
        <is>
          <t>pokemon</t>
        </is>
      </c>
      <c r="AP923" s="18" t="inlineStr"/>
      <c r="AQ923" s="18" t="inlineStr">
        <is>
          <t>{"biomes":["#cobblemon:is_cold_ocean"],"canSeeSky":true}</t>
        </is>
      </c>
      <c r="AR923" s="18" t="inlineStr">
        <is>
          <t>{"minLureLevel":1,"structures":["minecraft:monument"]}</t>
        </is>
      </c>
      <c r="AS923" s="18" t="inlineStr"/>
      <c r="AT923" s="19" t="inlineStr"/>
    </row>
    <row r="924" ht="32" customHeight="1">
      <c r="A924" s="18" t="inlineStr">
        <is>
          <t>0211_qwilfish.json::qwilfish-hisuian-17::017</t>
        </is>
      </c>
      <c r="B924" s="19" t="inlineStr">
        <is>
          <t>사용</t>
        </is>
      </c>
      <c r="C924" s="18">
        <f>IF(OR(B924&lt;&gt;AK924,M924&lt;&gt;L924,O924&lt;&gt;"",Q924&lt;&gt;"",V924&lt;&gt;1,Y924&lt;&gt;"",AT924&lt;&gt;""),"수정","원본")</f>
        <v/>
      </c>
      <c r="D924" s="18" t="n">
        <v>211</v>
      </c>
      <c r="E924" s="18" t="inlineStr">
        <is>
          <t>침바루</t>
        </is>
      </c>
      <c r="F924" s="18" t="inlineStr">
        <is>
          <t>qwilfish</t>
        </is>
      </c>
      <c r="G924" s="18" t="inlineStr">
        <is>
          <t>qwilfish hisuian</t>
        </is>
      </c>
      <c r="H924" s="18" t="inlineStr">
        <is>
          <t>hisuian</t>
        </is>
      </c>
      <c r="I924" s="18" t="n">
        <v>2</v>
      </c>
      <c r="J924" s="18" t="n">
        <v>8</v>
      </c>
      <c r="K924" s="18" t="n">
        <v>8</v>
      </c>
      <c r="L924" s="18" t="inlineStr">
        <is>
          <t>cobbleventure:generation_8</t>
        </is>
      </c>
      <c r="M924" s="19" t="inlineStr">
        <is>
          <t>cobbleventure:generation_8</t>
        </is>
      </c>
      <c r="N924" s="18" t="inlineStr"/>
      <c r="O924" s="19" t="inlineStr"/>
      <c r="P924" s="18" t="inlineStr">
        <is>
          <t>#cobblemon:is_cold_ocean</t>
        </is>
      </c>
      <c r="Q924" s="19" t="inlineStr"/>
      <c r="R924" s="18">
        <f>IF(Q924="",P924,Q924)</f>
        <v/>
      </c>
      <c r="S924" s="18" t="inlineStr"/>
      <c r="T924" s="18" t="inlineStr">
        <is>
          <t>common</t>
        </is>
      </c>
      <c r="U924" s="20" t="n">
        <v>9</v>
      </c>
      <c r="V924" s="21" t="n">
        <v>1</v>
      </c>
      <c r="W924" s="20">
        <f>IF(OR(U924="",V924=""),U924,U924*V924)</f>
        <v/>
      </c>
      <c r="X924" s="18" t="inlineStr">
        <is>
          <t>19-44</t>
        </is>
      </c>
      <c r="Y924" s="19" t="inlineStr"/>
      <c r="Z924" s="18">
        <f>IF(Y924="",X924,Y924)</f>
        <v/>
      </c>
      <c r="AA924" s="18" t="inlineStr">
        <is>
          <t>fishing</t>
        </is>
      </c>
      <c r="AB924" s="18" t="inlineStr"/>
      <c r="AC924" s="18" t="inlineStr"/>
      <c r="AD924" s="18" t="inlineStr"/>
      <c r="AE924" s="18" t="inlineStr"/>
      <c r="AF924" s="18" t="inlineStr">
        <is>
          <t>True</t>
        </is>
      </c>
      <c r="AG924" s="18" t="inlineStr"/>
      <c r="AH924" s="18" t="inlineStr"/>
      <c r="AI924" s="18" t="inlineStr">
        <is>
          <t>{"fishing":{"minLureLevel":1}}</t>
        </is>
      </c>
      <c r="AJ924" s="18" t="inlineStr">
        <is>
          <t>COBBLEVERSE 수정</t>
        </is>
      </c>
      <c r="AK924" s="18" t="inlineStr">
        <is>
          <t>사용</t>
        </is>
      </c>
      <c r="AL924" s="18" t="inlineStr">
        <is>
          <t>COBBLEVERSE 1.7.42 / DP v31</t>
        </is>
      </c>
      <c r="AM924" s="18" t="inlineStr">
        <is>
          <t>data/cobblemon/spawn_pool_world/0211_qwilfish.json</t>
        </is>
      </c>
      <c r="AN924" s="18" t="inlineStr">
        <is>
          <t>qwilfish-hisuian-17</t>
        </is>
      </c>
      <c r="AO924" s="18" t="inlineStr">
        <is>
          <t>pokemon</t>
        </is>
      </c>
      <c r="AP924" s="18" t="inlineStr"/>
      <c r="AQ924" s="18" t="inlineStr">
        <is>
          <t>{"biomes":["#cobblemon:is_cold_ocean"],"canSeeSky":true,"minLureLevel":1}</t>
        </is>
      </c>
      <c r="AR924" s="18" t="inlineStr">
        <is>
          <t>{"structures":["minecraft:monument"]}</t>
        </is>
      </c>
      <c r="AS924" s="18" t="inlineStr">
        <is>
          <t>{"weightMultiplier":{"condition":{"maxLureLevel":2,"minLureLevel":1},"multiplier":0.6}}</t>
        </is>
      </c>
      <c r="AT924" s="19" t="inlineStr"/>
    </row>
    <row r="925" ht="32" customHeight="1">
      <c r="A925" s="18" t="inlineStr">
        <is>
          <t>0211_qwilfish.json::qwilfish-hisuian-18::018</t>
        </is>
      </c>
      <c r="B925" s="19" t="inlineStr">
        <is>
          <t>사용</t>
        </is>
      </c>
      <c r="C925" s="18">
        <f>IF(OR(B925&lt;&gt;AK925,M925&lt;&gt;L925,O925&lt;&gt;"",Q925&lt;&gt;"",V925&lt;&gt;1,Y925&lt;&gt;"",AT925&lt;&gt;""),"수정","원본")</f>
        <v/>
      </c>
      <c r="D925" s="18" t="n">
        <v>211</v>
      </c>
      <c r="E925" s="18" t="inlineStr">
        <is>
          <t>침바루</t>
        </is>
      </c>
      <c r="F925" s="18" t="inlineStr">
        <is>
          <t>qwilfish</t>
        </is>
      </c>
      <c r="G925" s="18" t="inlineStr">
        <is>
          <t>qwilfish hisuian</t>
        </is>
      </c>
      <c r="H925" s="18" t="inlineStr">
        <is>
          <t>hisuian</t>
        </is>
      </c>
      <c r="I925" s="18" t="n">
        <v>2</v>
      </c>
      <c r="J925" s="18" t="n">
        <v>8</v>
      </c>
      <c r="K925" s="18" t="n">
        <v>8</v>
      </c>
      <c r="L925" s="18" t="inlineStr">
        <is>
          <t>cobbleventure:generation_8</t>
        </is>
      </c>
      <c r="M925" s="19" t="inlineStr">
        <is>
          <t>cobbleventure:generation_8</t>
        </is>
      </c>
      <c r="N925" s="18" t="inlineStr"/>
      <c r="O925" s="19" t="inlineStr"/>
      <c r="P925" s="18" t="inlineStr">
        <is>
          <t>#cobblemon:is_cold_ocean; #cobblemon:is_frozen_ocean</t>
        </is>
      </c>
      <c r="Q925" s="19" t="inlineStr"/>
      <c r="R925" s="18">
        <f>IF(Q925="",P925,Q925)</f>
        <v/>
      </c>
      <c r="S925" s="18" t="inlineStr"/>
      <c r="T925" s="18" t="inlineStr">
        <is>
          <t>common</t>
        </is>
      </c>
      <c r="U925" s="20" t="n">
        <v>54</v>
      </c>
      <c r="V925" s="21" t="n">
        <v>1</v>
      </c>
      <c r="W925" s="20">
        <f>IF(OR(U925="",V925=""),U925,U925*V925)</f>
        <v/>
      </c>
      <c r="X925" s="18" t="inlineStr">
        <is>
          <t>19-44</t>
        </is>
      </c>
      <c r="Y925" s="19" t="inlineStr"/>
      <c r="Z925" s="18">
        <f>IF(Y925="",X925,Y925)</f>
        <v/>
      </c>
      <c r="AA925" s="18" t="inlineStr">
        <is>
          <t>fishing</t>
        </is>
      </c>
      <c r="AB925" s="18" t="inlineStr"/>
      <c r="AC925" s="18" t="inlineStr"/>
      <c r="AD925" s="18" t="inlineStr"/>
      <c r="AE925" s="18" t="inlineStr"/>
      <c r="AF925" s="18" t="inlineStr">
        <is>
          <t>True</t>
        </is>
      </c>
      <c r="AG925" s="18" t="inlineStr">
        <is>
          <t>minecraft:monument</t>
        </is>
      </c>
      <c r="AH925" s="18" t="inlineStr"/>
      <c r="AI925" s="18" t="inlineStr"/>
      <c r="AJ925" s="18" t="inlineStr">
        <is>
          <t>COBBLEVERSE 수정</t>
        </is>
      </c>
      <c r="AK925" s="18" t="inlineStr">
        <is>
          <t>사용</t>
        </is>
      </c>
      <c r="AL925" s="18" t="inlineStr">
        <is>
          <t>COBBLEVERSE 1.7.42 / DP v31</t>
        </is>
      </c>
      <c r="AM925" s="18" t="inlineStr">
        <is>
          <t>data/cobblemon/spawn_pool_world/0211_qwilfish.json</t>
        </is>
      </c>
      <c r="AN925" s="18" t="inlineStr">
        <is>
          <t>qwilfish-hisuian-18</t>
        </is>
      </c>
      <c r="AO925" s="18" t="inlineStr">
        <is>
          <t>pokemon</t>
        </is>
      </c>
      <c r="AP925" s="18" t="inlineStr"/>
      <c r="AQ925" s="18" t="inlineStr">
        <is>
          <t>{"biomes":["#cobblemon:is_cold_ocean","#cobblemon:is_frozen_ocean"],"canSeeSky":true,"structures":["minecraft:monument"]}</t>
        </is>
      </c>
      <c r="AR925" s="18" t="inlineStr"/>
      <c r="AS925" s="18" t="inlineStr">
        <is>
          <t>{"weightMultiplier":{"condition":{"maxLureLevel":1,"minLureLevel":0},"multiplier":0.6}}</t>
        </is>
      </c>
      <c r="AT925" s="19" t="inlineStr"/>
    </row>
    <row r="926" ht="32" customHeight="1">
      <c r="A926" s="18" t="inlineStr">
        <is>
          <t>0211_qwilfish.json::qwilfish-hisuian-19::019</t>
        </is>
      </c>
      <c r="B926" s="19" t="inlineStr">
        <is>
          <t>사용</t>
        </is>
      </c>
      <c r="C926" s="18">
        <f>IF(OR(B926&lt;&gt;AK926,M926&lt;&gt;L926,O926&lt;&gt;"",Q926&lt;&gt;"",V926&lt;&gt;1,Y926&lt;&gt;"",AT926&lt;&gt;""),"수정","원본")</f>
        <v/>
      </c>
      <c r="D926" s="18" t="n">
        <v>211</v>
      </c>
      <c r="E926" s="18" t="inlineStr">
        <is>
          <t>침바루</t>
        </is>
      </c>
      <c r="F926" s="18" t="inlineStr">
        <is>
          <t>qwilfish</t>
        </is>
      </c>
      <c r="G926" s="18" t="inlineStr">
        <is>
          <t>qwilfish hisuian</t>
        </is>
      </c>
      <c r="H926" s="18" t="inlineStr">
        <is>
          <t>hisuian</t>
        </is>
      </c>
      <c r="I926" s="18" t="n">
        <v>2</v>
      </c>
      <c r="J926" s="18" t="n">
        <v>8</v>
      </c>
      <c r="K926" s="18" t="n">
        <v>8</v>
      </c>
      <c r="L926" s="18" t="inlineStr">
        <is>
          <t>cobbleventure:generation_8</t>
        </is>
      </c>
      <c r="M926" s="19" t="inlineStr">
        <is>
          <t>cobbleventure:generation_8</t>
        </is>
      </c>
      <c r="N926" s="18" t="inlineStr"/>
      <c r="O926" s="19" t="inlineStr"/>
      <c r="P926" s="18" t="inlineStr">
        <is>
          <t>#cobblemon:is_cold_ocean</t>
        </is>
      </c>
      <c r="Q926" s="19" t="inlineStr"/>
      <c r="R926" s="18">
        <f>IF(Q926="",P926,Q926)</f>
        <v/>
      </c>
      <c r="S926" s="18" t="inlineStr"/>
      <c r="T926" s="18" t="inlineStr">
        <is>
          <t>uncommon</t>
        </is>
      </c>
      <c r="U926" s="20" t="n">
        <v>8.4</v>
      </c>
      <c r="V926" s="21" t="n">
        <v>1</v>
      </c>
      <c r="W926" s="20">
        <f>IF(OR(U926="",V926=""),U926,U926*V926)</f>
        <v/>
      </c>
      <c r="X926" s="18" t="inlineStr">
        <is>
          <t>19-44</t>
        </is>
      </c>
      <c r="Y926" s="19" t="inlineStr"/>
      <c r="Z926" s="18">
        <f>IF(Y926="",X926,Y926)</f>
        <v/>
      </c>
      <c r="AA926" s="18" t="inlineStr">
        <is>
          <t>submerged</t>
        </is>
      </c>
      <c r="AB926" s="18" t="inlineStr"/>
      <c r="AC926" s="18" t="inlineStr"/>
      <c r="AD926" s="18" t="inlineStr"/>
      <c r="AE926" s="18" t="inlineStr">
        <is>
          <t>sky 8-15</t>
        </is>
      </c>
      <c r="AF926" s="18" t="inlineStr">
        <is>
          <t>False</t>
        </is>
      </c>
      <c r="AG926" s="18" t="inlineStr"/>
      <c r="AH926" s="18" t="inlineStr"/>
      <c r="AI926" s="18" t="inlineStr"/>
      <c r="AJ926" s="18" t="inlineStr">
        <is>
          <t>COBBLEVERSE 수정</t>
        </is>
      </c>
      <c r="AK926" s="18" t="inlineStr">
        <is>
          <t>사용</t>
        </is>
      </c>
      <c r="AL926" s="18" t="inlineStr">
        <is>
          <t>COBBLEVERSE 1.7.42 / DP v31</t>
        </is>
      </c>
      <c r="AM926" s="18" t="inlineStr">
        <is>
          <t>data/cobblemon/spawn_pool_world/0211_qwilfish.json</t>
        </is>
      </c>
      <c r="AN926" s="18" t="inlineStr">
        <is>
          <t>qwilfish-hisuian-19</t>
        </is>
      </c>
      <c r="AO926" s="18" t="inlineStr">
        <is>
          <t>pokemon</t>
        </is>
      </c>
      <c r="AP926" s="18" t="inlineStr">
        <is>
          <t>water</t>
        </is>
      </c>
      <c r="AQ926" s="18" t="inlineStr">
        <is>
          <t>{"biomes":["#cobblemon:is_cold_ocean"],"canSeeSky":false,"maxSkyLight":15,"minSkyLight":8}</t>
        </is>
      </c>
      <c r="AR926" s="18" t="inlineStr">
        <is>
          <t>{"structures":["minecraft:monument"]}</t>
        </is>
      </c>
      <c r="AS926" s="18" t="inlineStr"/>
      <c r="AT926" s="19" t="inlineStr"/>
    </row>
    <row r="927" ht="32" customHeight="1">
      <c r="A927" s="18" t="inlineStr">
        <is>
          <t>0211_qwilfish.json::qwilfish-hisuian-20::020</t>
        </is>
      </c>
      <c r="B927" s="19" t="inlineStr">
        <is>
          <t>사용</t>
        </is>
      </c>
      <c r="C927" s="18">
        <f>IF(OR(B927&lt;&gt;AK927,M927&lt;&gt;L927,O927&lt;&gt;"",Q927&lt;&gt;"",V927&lt;&gt;1,Y927&lt;&gt;"",AT927&lt;&gt;""),"수정","원본")</f>
        <v/>
      </c>
      <c r="D927" s="18" t="n">
        <v>211</v>
      </c>
      <c r="E927" s="18" t="inlineStr">
        <is>
          <t>침바루</t>
        </is>
      </c>
      <c r="F927" s="18" t="inlineStr">
        <is>
          <t>qwilfish</t>
        </is>
      </c>
      <c r="G927" s="18" t="inlineStr">
        <is>
          <t>qwilfish hisuian</t>
        </is>
      </c>
      <c r="H927" s="18" t="inlineStr">
        <is>
          <t>hisuian</t>
        </is>
      </c>
      <c r="I927" s="18" t="n">
        <v>2</v>
      </c>
      <c r="J927" s="18" t="n">
        <v>8</v>
      </c>
      <c r="K927" s="18" t="n">
        <v>8</v>
      </c>
      <c r="L927" s="18" t="inlineStr">
        <is>
          <t>cobbleventure:generation_8</t>
        </is>
      </c>
      <c r="M927" s="19" t="inlineStr">
        <is>
          <t>cobbleventure:generation_8</t>
        </is>
      </c>
      <c r="N927" s="18" t="inlineStr"/>
      <c r="O927" s="19" t="inlineStr"/>
      <c r="P927" s="18" t="inlineStr">
        <is>
          <t>#cobblemon:is_cold_ocean; #cobblemon:is_frozen_ocean</t>
        </is>
      </c>
      <c r="Q927" s="19" t="inlineStr"/>
      <c r="R927" s="18">
        <f>IF(Q927="",P927,Q927)</f>
        <v/>
      </c>
      <c r="S927" s="18" t="inlineStr"/>
      <c r="T927" s="18" t="inlineStr">
        <is>
          <t>common</t>
        </is>
      </c>
      <c r="U927" s="20" t="n">
        <v>54</v>
      </c>
      <c r="V927" s="21" t="n">
        <v>1</v>
      </c>
      <c r="W927" s="20">
        <f>IF(OR(U927="",V927=""),U927,U927*V927)</f>
        <v/>
      </c>
      <c r="X927" s="18" t="inlineStr">
        <is>
          <t>19-44</t>
        </is>
      </c>
      <c r="Y927" s="19" t="inlineStr"/>
      <c r="Z927" s="18">
        <f>IF(Y927="",X927,Y927)</f>
        <v/>
      </c>
      <c r="AA927" s="18" t="inlineStr">
        <is>
          <t>submerged</t>
        </is>
      </c>
      <c r="AB927" s="18" t="inlineStr"/>
      <c r="AC927" s="18" t="inlineStr"/>
      <c r="AD927" s="18" t="inlineStr"/>
      <c r="AE927" s="18" t="inlineStr">
        <is>
          <t>sky 8-15</t>
        </is>
      </c>
      <c r="AF927" s="18" t="inlineStr">
        <is>
          <t>False</t>
        </is>
      </c>
      <c r="AG927" s="18" t="inlineStr"/>
      <c r="AH927" s="18" t="inlineStr"/>
      <c r="AI927" s="18" t="inlineStr"/>
      <c r="AJ927" s="18" t="inlineStr">
        <is>
          <t>COBBLEVERSE 수정</t>
        </is>
      </c>
      <c r="AK927" s="18" t="inlineStr">
        <is>
          <t>사용</t>
        </is>
      </c>
      <c r="AL927" s="18" t="inlineStr">
        <is>
          <t>COBBLEVERSE 1.7.42 / DP v31</t>
        </is>
      </c>
      <c r="AM927" s="18" t="inlineStr">
        <is>
          <t>data/cobblemon/spawn_pool_world/0211_qwilfish.json</t>
        </is>
      </c>
      <c r="AN927" s="18" t="inlineStr">
        <is>
          <t>qwilfish-hisuian-20</t>
        </is>
      </c>
      <c r="AO927" s="18" t="inlineStr">
        <is>
          <t>pokemon</t>
        </is>
      </c>
      <c r="AP927" s="18" t="inlineStr">
        <is>
          <t>water; ocean_monument</t>
        </is>
      </c>
      <c r="AQ927" s="18" t="inlineStr">
        <is>
          <t>{"biomes":["#cobblemon:is_cold_ocean","#cobblemon:is_frozen_ocean"],"canSeeSky":false,"maxSkyLight":15,"minSkyLight":8}</t>
        </is>
      </c>
      <c r="AR927" s="18" t="inlineStr"/>
      <c r="AS927" s="18" t="inlineStr"/>
      <c r="AT927" s="19" t="inlineStr"/>
    </row>
    <row r="928" ht="32" customHeight="1">
      <c r="A928" s="18" t="inlineStr">
        <is>
          <t>0211_qwilfish.json::qwilfish-hisuian-21::021</t>
        </is>
      </c>
      <c r="B928" s="19" t="inlineStr">
        <is>
          <t>사용</t>
        </is>
      </c>
      <c r="C928" s="18">
        <f>IF(OR(B928&lt;&gt;AK928,M928&lt;&gt;L928,O928&lt;&gt;"",Q928&lt;&gt;"",V928&lt;&gt;1,Y928&lt;&gt;"",AT928&lt;&gt;""),"수정","원본")</f>
        <v/>
      </c>
      <c r="D928" s="18" t="n">
        <v>211</v>
      </c>
      <c r="E928" s="18" t="inlineStr">
        <is>
          <t>침바루</t>
        </is>
      </c>
      <c r="F928" s="18" t="inlineStr">
        <is>
          <t>qwilfish</t>
        </is>
      </c>
      <c r="G928" s="18" t="inlineStr">
        <is>
          <t>qwilfish hisuian</t>
        </is>
      </c>
      <c r="H928" s="18" t="inlineStr">
        <is>
          <t>hisuian</t>
        </is>
      </c>
      <c r="I928" s="18" t="n">
        <v>2</v>
      </c>
      <c r="J928" s="18" t="n">
        <v>8</v>
      </c>
      <c r="K928" s="18" t="n">
        <v>8</v>
      </c>
      <c r="L928" s="18" t="inlineStr">
        <is>
          <t>cobbleventure:generation_8</t>
        </is>
      </c>
      <c r="M928" s="19" t="inlineStr">
        <is>
          <t>cobbleventure:generation_8</t>
        </is>
      </c>
      <c r="N928" s="18" t="inlineStr"/>
      <c r="O928" s="19" t="inlineStr"/>
      <c r="P928" s="18" t="inlineStr">
        <is>
          <t>#cobblemon:is_cold_ocean</t>
        </is>
      </c>
      <c r="Q928" s="19" t="inlineStr"/>
      <c r="R928" s="18">
        <f>IF(Q928="",P928,Q928)</f>
        <v/>
      </c>
      <c r="S928" s="18" t="inlineStr"/>
      <c r="T928" s="18" t="inlineStr">
        <is>
          <t>uncommon</t>
        </is>
      </c>
      <c r="U928" s="20" t="n">
        <v>8.4</v>
      </c>
      <c r="V928" s="21" t="n">
        <v>1</v>
      </c>
      <c r="W928" s="20">
        <f>IF(OR(U928="",V928=""),U928,U928*V928)</f>
        <v/>
      </c>
      <c r="X928" s="18" t="inlineStr">
        <is>
          <t>19-44</t>
        </is>
      </c>
      <c r="Y928" s="19" t="inlineStr"/>
      <c r="Z928" s="18">
        <f>IF(Y928="",X928,Y928)</f>
        <v/>
      </c>
      <c r="AA928" s="18" t="inlineStr">
        <is>
          <t>fishing</t>
        </is>
      </c>
      <c r="AB928" s="18" t="inlineStr"/>
      <c r="AC928" s="18" t="inlineStr"/>
      <c r="AD928" s="18" t="inlineStr"/>
      <c r="AE928" s="18" t="inlineStr">
        <is>
          <t>sky 8-15</t>
        </is>
      </c>
      <c r="AF928" s="18" t="inlineStr">
        <is>
          <t>False</t>
        </is>
      </c>
      <c r="AG928" s="18" t="inlineStr"/>
      <c r="AH928" s="18" t="inlineStr"/>
      <c r="AI928" s="18" t="inlineStr"/>
      <c r="AJ928" s="18" t="inlineStr">
        <is>
          <t>COBBLEVERSE 수정</t>
        </is>
      </c>
      <c r="AK928" s="18" t="inlineStr">
        <is>
          <t>사용</t>
        </is>
      </c>
      <c r="AL928" s="18" t="inlineStr">
        <is>
          <t>COBBLEVERSE 1.7.42 / DP v31</t>
        </is>
      </c>
      <c r="AM928" s="18" t="inlineStr">
        <is>
          <t>data/cobblemon/spawn_pool_world/0211_qwilfish.json</t>
        </is>
      </c>
      <c r="AN928" s="18" t="inlineStr">
        <is>
          <t>qwilfish-hisuian-21</t>
        </is>
      </c>
      <c r="AO928" s="18" t="inlineStr">
        <is>
          <t>pokemon</t>
        </is>
      </c>
      <c r="AP928" s="18" t="inlineStr"/>
      <c r="AQ928" s="18" t="inlineStr">
        <is>
          <t>{"biomes":["#cobblemon:is_cold_ocean"],"canSeeSky":false,"maxSkyLight":15,"minSkyLight":8}</t>
        </is>
      </c>
      <c r="AR928" s="18" t="inlineStr">
        <is>
          <t>{"minLureLevel":1,"structures":["minecraft:monument"]}</t>
        </is>
      </c>
      <c r="AS928" s="18" t="inlineStr"/>
      <c r="AT928" s="19" t="inlineStr"/>
    </row>
    <row r="929" ht="32" customHeight="1">
      <c r="A929" s="18" t="inlineStr">
        <is>
          <t>0211_qwilfish.json::qwilfish-hisuian-22::022</t>
        </is>
      </c>
      <c r="B929" s="19" t="inlineStr">
        <is>
          <t>사용</t>
        </is>
      </c>
      <c r="C929" s="18">
        <f>IF(OR(B929&lt;&gt;AK929,M929&lt;&gt;L929,O929&lt;&gt;"",Q929&lt;&gt;"",V929&lt;&gt;1,Y929&lt;&gt;"",AT929&lt;&gt;""),"수정","원본")</f>
        <v/>
      </c>
      <c r="D929" s="18" t="n">
        <v>211</v>
      </c>
      <c r="E929" s="18" t="inlineStr">
        <is>
          <t>침바루</t>
        </is>
      </c>
      <c r="F929" s="18" t="inlineStr">
        <is>
          <t>qwilfish</t>
        </is>
      </c>
      <c r="G929" s="18" t="inlineStr">
        <is>
          <t>qwilfish hisuian</t>
        </is>
      </c>
      <c r="H929" s="18" t="inlineStr">
        <is>
          <t>hisuian</t>
        </is>
      </c>
      <c r="I929" s="18" t="n">
        <v>2</v>
      </c>
      <c r="J929" s="18" t="n">
        <v>8</v>
      </c>
      <c r="K929" s="18" t="n">
        <v>8</v>
      </c>
      <c r="L929" s="18" t="inlineStr">
        <is>
          <t>cobbleventure:generation_8</t>
        </is>
      </c>
      <c r="M929" s="19" t="inlineStr">
        <is>
          <t>cobbleventure:generation_8</t>
        </is>
      </c>
      <c r="N929" s="18" t="inlineStr"/>
      <c r="O929" s="19" t="inlineStr"/>
      <c r="P929" s="18" t="inlineStr">
        <is>
          <t>#cobblemon:is_cold_ocean</t>
        </is>
      </c>
      <c r="Q929" s="19" t="inlineStr"/>
      <c r="R929" s="18">
        <f>IF(Q929="",P929,Q929)</f>
        <v/>
      </c>
      <c r="S929" s="18" t="inlineStr"/>
      <c r="T929" s="18" t="inlineStr">
        <is>
          <t>common</t>
        </is>
      </c>
      <c r="U929" s="20" t="n">
        <v>9</v>
      </c>
      <c r="V929" s="21" t="n">
        <v>1</v>
      </c>
      <c r="W929" s="20">
        <f>IF(OR(U929="",V929=""),U929,U929*V929)</f>
        <v/>
      </c>
      <c r="X929" s="18" t="inlineStr">
        <is>
          <t>19-44</t>
        </is>
      </c>
      <c r="Y929" s="19" t="inlineStr"/>
      <c r="Z929" s="18">
        <f>IF(Y929="",X929,Y929)</f>
        <v/>
      </c>
      <c r="AA929" s="18" t="inlineStr">
        <is>
          <t>fishing</t>
        </is>
      </c>
      <c r="AB929" s="18" t="inlineStr"/>
      <c r="AC929" s="18" t="inlineStr"/>
      <c r="AD929" s="18" t="inlineStr"/>
      <c r="AE929" s="18" t="inlineStr">
        <is>
          <t>sky 8-15</t>
        </is>
      </c>
      <c r="AF929" s="18" t="inlineStr">
        <is>
          <t>False</t>
        </is>
      </c>
      <c r="AG929" s="18" t="inlineStr"/>
      <c r="AH929" s="18" t="inlineStr"/>
      <c r="AI929" s="18" t="inlineStr">
        <is>
          <t>{"fishing":{"minLureLevel":1}}</t>
        </is>
      </c>
      <c r="AJ929" s="18" t="inlineStr">
        <is>
          <t>COBBLEVERSE 수정</t>
        </is>
      </c>
      <c r="AK929" s="18" t="inlineStr">
        <is>
          <t>사용</t>
        </is>
      </c>
      <c r="AL929" s="18" t="inlineStr">
        <is>
          <t>COBBLEVERSE 1.7.42 / DP v31</t>
        </is>
      </c>
      <c r="AM929" s="18" t="inlineStr">
        <is>
          <t>data/cobblemon/spawn_pool_world/0211_qwilfish.json</t>
        </is>
      </c>
      <c r="AN929" s="18" t="inlineStr">
        <is>
          <t>qwilfish-hisuian-22</t>
        </is>
      </c>
      <c r="AO929" s="18" t="inlineStr">
        <is>
          <t>pokemon</t>
        </is>
      </c>
      <c r="AP929" s="18" t="inlineStr"/>
      <c r="AQ929" s="18" t="inlineStr">
        <is>
          <t>{"biomes":["#cobblemon:is_cold_ocean"],"canSeeSky":false,"maxSkyLight":15,"minLureLevel":1,"minSkyLight":8}</t>
        </is>
      </c>
      <c r="AR929" s="18" t="inlineStr">
        <is>
          <t>{"structures":["minecraft:monument"]}</t>
        </is>
      </c>
      <c r="AS929" s="18" t="inlineStr">
        <is>
          <t>{"weightMultiplier":{"condition":{"maxLureLevel":2,"minLureLevel":1},"multiplier":0.6}}</t>
        </is>
      </c>
      <c r="AT929" s="19" t="inlineStr"/>
    </row>
    <row r="930" ht="32" customHeight="1">
      <c r="A930" s="18" t="inlineStr">
        <is>
          <t>0211_qwilfish.json::qwilfish-hisuian-23::023</t>
        </is>
      </c>
      <c r="B930" s="19" t="inlineStr">
        <is>
          <t>사용</t>
        </is>
      </c>
      <c r="C930" s="18">
        <f>IF(OR(B930&lt;&gt;AK930,M930&lt;&gt;L930,O930&lt;&gt;"",Q930&lt;&gt;"",V930&lt;&gt;1,Y930&lt;&gt;"",AT930&lt;&gt;""),"수정","원본")</f>
        <v/>
      </c>
      <c r="D930" s="18" t="n">
        <v>211</v>
      </c>
      <c r="E930" s="18" t="inlineStr">
        <is>
          <t>침바루</t>
        </is>
      </c>
      <c r="F930" s="18" t="inlineStr">
        <is>
          <t>qwilfish</t>
        </is>
      </c>
      <c r="G930" s="18" t="inlineStr">
        <is>
          <t>qwilfish hisuian</t>
        </is>
      </c>
      <c r="H930" s="18" t="inlineStr">
        <is>
          <t>hisuian</t>
        </is>
      </c>
      <c r="I930" s="18" t="n">
        <v>2</v>
      </c>
      <c r="J930" s="18" t="n">
        <v>8</v>
      </c>
      <c r="K930" s="18" t="n">
        <v>8</v>
      </c>
      <c r="L930" s="18" t="inlineStr">
        <is>
          <t>cobbleventure:generation_8</t>
        </is>
      </c>
      <c r="M930" s="19" t="inlineStr">
        <is>
          <t>cobbleventure:generation_8</t>
        </is>
      </c>
      <c r="N930" s="18" t="inlineStr"/>
      <c r="O930" s="19" t="inlineStr"/>
      <c r="P930" s="18" t="inlineStr">
        <is>
          <t>#cobblemon:is_cold_ocean; #cobblemon:is_frozen_ocean</t>
        </is>
      </c>
      <c r="Q930" s="19" t="inlineStr"/>
      <c r="R930" s="18">
        <f>IF(Q930="",P930,Q930)</f>
        <v/>
      </c>
      <c r="S930" s="18" t="inlineStr"/>
      <c r="T930" s="18" t="inlineStr">
        <is>
          <t>common</t>
        </is>
      </c>
      <c r="U930" s="20" t="n">
        <v>54</v>
      </c>
      <c r="V930" s="21" t="n">
        <v>1</v>
      </c>
      <c r="W930" s="20">
        <f>IF(OR(U930="",V930=""),U930,U930*V930)</f>
        <v/>
      </c>
      <c r="X930" s="18" t="inlineStr">
        <is>
          <t>19-44</t>
        </is>
      </c>
      <c r="Y930" s="19" t="inlineStr"/>
      <c r="Z930" s="18">
        <f>IF(Y930="",X930,Y930)</f>
        <v/>
      </c>
      <c r="AA930" s="18" t="inlineStr">
        <is>
          <t>fishing</t>
        </is>
      </c>
      <c r="AB930" s="18" t="inlineStr"/>
      <c r="AC930" s="18" t="inlineStr"/>
      <c r="AD930" s="18" t="inlineStr"/>
      <c r="AE930" s="18" t="inlineStr">
        <is>
          <t>sky 8-15</t>
        </is>
      </c>
      <c r="AF930" s="18" t="inlineStr">
        <is>
          <t>False</t>
        </is>
      </c>
      <c r="AG930" s="18" t="inlineStr">
        <is>
          <t>minecraft:monument</t>
        </is>
      </c>
      <c r="AH930" s="18" t="inlineStr"/>
      <c r="AI930" s="18" t="inlineStr"/>
      <c r="AJ930" s="18" t="inlineStr">
        <is>
          <t>COBBLEVERSE 수정</t>
        </is>
      </c>
      <c r="AK930" s="18" t="inlineStr">
        <is>
          <t>사용</t>
        </is>
      </c>
      <c r="AL930" s="18" t="inlineStr">
        <is>
          <t>COBBLEVERSE 1.7.42 / DP v31</t>
        </is>
      </c>
      <c r="AM930" s="18" t="inlineStr">
        <is>
          <t>data/cobblemon/spawn_pool_world/0211_qwilfish.json</t>
        </is>
      </c>
      <c r="AN930" s="18" t="inlineStr">
        <is>
          <t>qwilfish-hisuian-23</t>
        </is>
      </c>
      <c r="AO930" s="18" t="inlineStr">
        <is>
          <t>pokemon</t>
        </is>
      </c>
      <c r="AP930" s="18" t="inlineStr"/>
      <c r="AQ930" s="18" t="inlineStr">
        <is>
          <t>{"biomes":["#cobblemon:is_cold_ocean","#cobblemon:is_frozen_ocean"],"canSeeSky":false,"maxSkyLight":15,"minSkyLight":8,"structures":["minecraft:monument"]}</t>
        </is>
      </c>
      <c r="AR930" s="18" t="inlineStr"/>
      <c r="AS930" s="18" t="inlineStr">
        <is>
          <t>{"weightMultiplier":{"condition":{"maxLureLevel":1,"minLureLevel":0},"multiplier":0.6}}</t>
        </is>
      </c>
      <c r="AT930" s="19" t="inlineStr"/>
    </row>
    <row r="931" ht="32" customHeight="1">
      <c r="A931" s="18" t="inlineStr">
        <is>
          <t>0211_qwilfish.json::qwilfish-hisuian-24::024</t>
        </is>
      </c>
      <c r="B931" s="19" t="inlineStr">
        <is>
          <t>사용</t>
        </is>
      </c>
      <c r="C931" s="18">
        <f>IF(OR(B931&lt;&gt;AK931,M931&lt;&gt;L931,O931&lt;&gt;"",Q931&lt;&gt;"",V931&lt;&gt;1,Y931&lt;&gt;"",AT931&lt;&gt;""),"수정","원본")</f>
        <v/>
      </c>
      <c r="D931" s="18" t="n">
        <v>211</v>
      </c>
      <c r="E931" s="18" t="inlineStr">
        <is>
          <t>침바루</t>
        </is>
      </c>
      <c r="F931" s="18" t="inlineStr">
        <is>
          <t>qwilfish</t>
        </is>
      </c>
      <c r="G931" s="18" t="inlineStr">
        <is>
          <t>qwilfish hisuian</t>
        </is>
      </c>
      <c r="H931" s="18" t="inlineStr">
        <is>
          <t>hisuian</t>
        </is>
      </c>
      <c r="I931" s="18" t="n">
        <v>2</v>
      </c>
      <c r="J931" s="18" t="n">
        <v>8</v>
      </c>
      <c r="K931" s="18" t="n">
        <v>8</v>
      </c>
      <c r="L931" s="18" t="inlineStr">
        <is>
          <t>cobbleventure:generation_8</t>
        </is>
      </c>
      <c r="M931" s="19" t="inlineStr">
        <is>
          <t>cobbleventure:generation_8</t>
        </is>
      </c>
      <c r="N931" s="18" t="inlineStr"/>
      <c r="O931" s="19" t="inlineStr"/>
      <c r="P931" s="18" t="inlineStr">
        <is>
          <t>#cobblemon:is_cold</t>
        </is>
      </c>
      <c r="Q931" s="19" t="inlineStr"/>
      <c r="R931" s="18">
        <f>IF(Q931="",P931,Q931)</f>
        <v/>
      </c>
      <c r="S931" s="18" t="inlineStr"/>
      <c r="T931" s="18" t="inlineStr">
        <is>
          <t>uncommon</t>
        </is>
      </c>
      <c r="U931" s="20" t="n">
        <v>8.4</v>
      </c>
      <c r="V931" s="21" t="n">
        <v>1</v>
      </c>
      <c r="W931" s="20">
        <f>IF(OR(U931="",V931=""),U931,U931*V931)</f>
        <v/>
      </c>
      <c r="X931" s="18" t="inlineStr">
        <is>
          <t>19-44</t>
        </is>
      </c>
      <c r="Y931" s="19" t="inlineStr"/>
      <c r="Z931" s="18">
        <f>IF(Y931="",X931,Y931)</f>
        <v/>
      </c>
      <c r="AA931" s="18" t="inlineStr">
        <is>
          <t>submerged</t>
        </is>
      </c>
      <c r="AB931" s="18" t="inlineStr"/>
      <c r="AC931" s="18" t="inlineStr"/>
      <c r="AD931" s="18" t="inlineStr">
        <is>
          <t>minY=-60, maxY=13</t>
        </is>
      </c>
      <c r="AE931" s="18" t="inlineStr"/>
      <c r="AF931" s="18" t="inlineStr">
        <is>
          <t>False</t>
        </is>
      </c>
      <c r="AG931" s="18" t="inlineStr">
        <is>
          <t>cobblemon:shipwreck_coves/submerged_shipwreck_cove</t>
        </is>
      </c>
      <c r="AH931" s="18" t="inlineStr"/>
      <c r="AI931" s="18" t="inlineStr"/>
      <c r="AJ931" s="18" t="inlineStr">
        <is>
          <t>COBBLEVERSE 수정</t>
        </is>
      </c>
      <c r="AK931" s="18" t="inlineStr">
        <is>
          <t>사용</t>
        </is>
      </c>
      <c r="AL931" s="18" t="inlineStr">
        <is>
          <t>COBBLEVERSE 1.7.42 / DP v31</t>
        </is>
      </c>
      <c r="AM931" s="18" t="inlineStr">
        <is>
          <t>data/cobblemon/spawn_pool_world/0211_qwilfish.json</t>
        </is>
      </c>
      <c r="AN931" s="18" t="inlineStr">
        <is>
          <t>qwilfish-hisuian-24</t>
        </is>
      </c>
      <c r="AO931" s="18" t="inlineStr">
        <is>
          <t>pokemon</t>
        </is>
      </c>
      <c r="AP931" s="18" t="inlineStr">
        <is>
          <t>water</t>
        </is>
      </c>
      <c r="AQ931" s="18" t="inlineStr">
        <is>
          <t>{"biomes":["#cobblemon:is_cold"],"canSeeSky":false,"maxY":13,"minY":-60,"structures":["cobblemon:shipwreck_coves/submerged_shipwreck_cove"]}</t>
        </is>
      </c>
      <c r="AR931" s="18" t="inlineStr"/>
      <c r="AS931" s="18" t="inlineStr"/>
      <c r="AT931" s="19" t="inlineStr"/>
    </row>
    <row r="932" ht="32" customHeight="1">
      <c r="A932" s="18" t="inlineStr">
        <is>
          <t>0211_qwilfish.json::qwilfish-hisuian-25::025</t>
        </is>
      </c>
      <c r="B932" s="19" t="inlineStr">
        <is>
          <t>사용</t>
        </is>
      </c>
      <c r="C932" s="18">
        <f>IF(OR(B932&lt;&gt;AK932,M932&lt;&gt;L932,O932&lt;&gt;"",Q932&lt;&gt;"",V932&lt;&gt;1,Y932&lt;&gt;"",AT932&lt;&gt;""),"수정","원본")</f>
        <v/>
      </c>
      <c r="D932" s="18" t="n">
        <v>211</v>
      </c>
      <c r="E932" s="18" t="inlineStr">
        <is>
          <t>침바루</t>
        </is>
      </c>
      <c r="F932" s="18" t="inlineStr">
        <is>
          <t>qwilfish</t>
        </is>
      </c>
      <c r="G932" s="18" t="inlineStr">
        <is>
          <t>qwilfish hisuian</t>
        </is>
      </c>
      <c r="H932" s="18" t="inlineStr">
        <is>
          <t>hisuian</t>
        </is>
      </c>
      <c r="I932" s="18" t="n">
        <v>2</v>
      </c>
      <c r="J932" s="18" t="n">
        <v>8</v>
      </c>
      <c r="K932" s="18" t="n">
        <v>8</v>
      </c>
      <c r="L932" s="18" t="inlineStr">
        <is>
          <t>cobbleventure:generation_8</t>
        </is>
      </c>
      <c r="M932" s="19" t="inlineStr">
        <is>
          <t>cobbleventure:generation_8</t>
        </is>
      </c>
      <c r="N932" s="18" t="inlineStr"/>
      <c r="O932" s="19" t="inlineStr"/>
      <c r="P932" s="18" t="inlineStr">
        <is>
          <t>#cobblemon:is_cold</t>
        </is>
      </c>
      <c r="Q932" s="19" t="inlineStr"/>
      <c r="R932" s="18">
        <f>IF(Q932="",P932,Q932)</f>
        <v/>
      </c>
      <c r="S932" s="18" t="inlineStr"/>
      <c r="T932" s="18" t="inlineStr">
        <is>
          <t>uncommon</t>
        </is>
      </c>
      <c r="U932" s="20" t="n">
        <v>8.4</v>
      </c>
      <c r="V932" s="21" t="n">
        <v>1</v>
      </c>
      <c r="W932" s="20">
        <f>IF(OR(U932="",V932=""),U932,U932*V932)</f>
        <v/>
      </c>
      <c r="X932" s="18" t="inlineStr">
        <is>
          <t>19-44</t>
        </is>
      </c>
      <c r="Y932" s="19" t="inlineStr"/>
      <c r="Z932" s="18">
        <f>IF(Y932="",X932,Y932)</f>
        <v/>
      </c>
      <c r="AA932" s="18" t="inlineStr">
        <is>
          <t>fishing</t>
        </is>
      </c>
      <c r="AB932" s="18" t="inlineStr"/>
      <c r="AC932" s="18" t="inlineStr"/>
      <c r="AD932" s="18" t="inlineStr">
        <is>
          <t>minY=-60, maxY=13</t>
        </is>
      </c>
      <c r="AE932" s="18" t="inlineStr"/>
      <c r="AF932" s="18" t="inlineStr">
        <is>
          <t>False</t>
        </is>
      </c>
      <c r="AG932" s="18" t="inlineStr">
        <is>
          <t>cobblemon:shipwreck_coves/submerged_shipwreck_cove</t>
        </is>
      </c>
      <c r="AH932" s="18" t="inlineStr"/>
      <c r="AI932" s="18" t="inlineStr"/>
      <c r="AJ932" s="18" t="inlineStr">
        <is>
          <t>COBBLEVERSE 수정</t>
        </is>
      </c>
      <c r="AK932" s="18" t="inlineStr">
        <is>
          <t>사용</t>
        </is>
      </c>
      <c r="AL932" s="18" t="inlineStr">
        <is>
          <t>COBBLEVERSE 1.7.42 / DP v31</t>
        </is>
      </c>
      <c r="AM932" s="18" t="inlineStr">
        <is>
          <t>data/cobblemon/spawn_pool_world/0211_qwilfish.json</t>
        </is>
      </c>
      <c r="AN932" s="18" t="inlineStr">
        <is>
          <t>qwilfish-hisuian-25</t>
        </is>
      </c>
      <c r="AO932" s="18" t="inlineStr">
        <is>
          <t>pokemon</t>
        </is>
      </c>
      <c r="AP932" s="18" t="inlineStr"/>
      <c r="AQ932" s="18" t="inlineStr">
        <is>
          <t>{"biomes":["#cobblemon:is_cold"],"canSeeSky":false,"maxY":13,"minY":-60,"structures":["cobblemon:shipwreck_coves/submerged_shipwreck_cove"]}</t>
        </is>
      </c>
      <c r="AR932" s="18" t="inlineStr">
        <is>
          <t>{"minLureLevel":1}</t>
        </is>
      </c>
      <c r="AS932" s="18" t="inlineStr"/>
      <c r="AT932" s="19" t="inlineStr"/>
    </row>
    <row r="933" ht="32" customHeight="1">
      <c r="A933" s="18" t="inlineStr">
        <is>
          <t>0211_qwilfish.json::qwilfish-hisuian-26::026</t>
        </is>
      </c>
      <c r="B933" s="19" t="inlineStr">
        <is>
          <t>사용</t>
        </is>
      </c>
      <c r="C933" s="18">
        <f>IF(OR(B933&lt;&gt;AK933,M933&lt;&gt;L933,O933&lt;&gt;"",Q933&lt;&gt;"",V933&lt;&gt;1,Y933&lt;&gt;"",AT933&lt;&gt;""),"수정","원본")</f>
        <v/>
      </c>
      <c r="D933" s="18" t="n">
        <v>211</v>
      </c>
      <c r="E933" s="18" t="inlineStr">
        <is>
          <t>침바루</t>
        </is>
      </c>
      <c r="F933" s="18" t="inlineStr">
        <is>
          <t>qwilfish</t>
        </is>
      </c>
      <c r="G933" s="18" t="inlineStr">
        <is>
          <t>qwilfish hisuian</t>
        </is>
      </c>
      <c r="H933" s="18" t="inlineStr">
        <is>
          <t>hisuian</t>
        </is>
      </c>
      <c r="I933" s="18" t="n">
        <v>2</v>
      </c>
      <c r="J933" s="18" t="n">
        <v>8</v>
      </c>
      <c r="K933" s="18" t="n">
        <v>8</v>
      </c>
      <c r="L933" s="18" t="inlineStr">
        <is>
          <t>cobbleventure:generation_8</t>
        </is>
      </c>
      <c r="M933" s="19" t="inlineStr">
        <is>
          <t>cobbleventure:generation_8</t>
        </is>
      </c>
      <c r="N933" s="18" t="inlineStr"/>
      <c r="O933" s="19" t="inlineStr"/>
      <c r="P933" s="18" t="inlineStr">
        <is>
          <t>#cobblemon:is_cold</t>
        </is>
      </c>
      <c r="Q933" s="19" t="inlineStr"/>
      <c r="R933" s="18">
        <f>IF(Q933="",P933,Q933)</f>
        <v/>
      </c>
      <c r="S933" s="18" t="inlineStr"/>
      <c r="T933" s="18" t="inlineStr">
        <is>
          <t>common</t>
        </is>
      </c>
      <c r="U933" s="20" t="n">
        <v>9</v>
      </c>
      <c r="V933" s="21" t="n">
        <v>1</v>
      </c>
      <c r="W933" s="20">
        <f>IF(OR(U933="",V933=""),U933,U933*V933)</f>
        <v/>
      </c>
      <c r="X933" s="18" t="inlineStr">
        <is>
          <t>19-44</t>
        </is>
      </c>
      <c r="Y933" s="19" t="inlineStr"/>
      <c r="Z933" s="18">
        <f>IF(Y933="",X933,Y933)</f>
        <v/>
      </c>
      <c r="AA933" s="18" t="inlineStr">
        <is>
          <t>fishing</t>
        </is>
      </c>
      <c r="AB933" s="18" t="inlineStr"/>
      <c r="AC933" s="18" t="inlineStr"/>
      <c r="AD933" s="18" t="inlineStr">
        <is>
          <t>minY=-60, maxY=13</t>
        </is>
      </c>
      <c r="AE933" s="18" t="inlineStr"/>
      <c r="AF933" s="18" t="inlineStr">
        <is>
          <t>False</t>
        </is>
      </c>
      <c r="AG933" s="18" t="inlineStr">
        <is>
          <t>cobblemon:shipwreck_coves/submerged_shipwreck_cove</t>
        </is>
      </c>
      <c r="AH933" s="18" t="inlineStr"/>
      <c r="AI933" s="18" t="inlineStr">
        <is>
          <t>{"fishing":{"minLureLevel":1}}</t>
        </is>
      </c>
      <c r="AJ933" s="18" t="inlineStr">
        <is>
          <t>COBBLEVERSE 수정</t>
        </is>
      </c>
      <c r="AK933" s="18" t="inlineStr">
        <is>
          <t>사용</t>
        </is>
      </c>
      <c r="AL933" s="18" t="inlineStr">
        <is>
          <t>COBBLEVERSE 1.7.42 / DP v31</t>
        </is>
      </c>
      <c r="AM933" s="18" t="inlineStr">
        <is>
          <t>data/cobblemon/spawn_pool_world/0211_qwilfish.json</t>
        </is>
      </c>
      <c r="AN933" s="18" t="inlineStr">
        <is>
          <t>qwilfish-hisuian-26</t>
        </is>
      </c>
      <c r="AO933" s="18" t="inlineStr">
        <is>
          <t>pokemon</t>
        </is>
      </c>
      <c r="AP933" s="18" t="inlineStr"/>
      <c r="AQ933" s="18" t="inlineStr">
        <is>
          <t>{"biomes":["#cobblemon:is_cold"],"canSeeSky":false,"maxY":13,"minLureLevel":1,"minY":-60,"structures":["cobblemon:shipwreck_coves/submerged_shipwreck_cove"]}</t>
        </is>
      </c>
      <c r="AR933" s="18" t="inlineStr"/>
      <c r="AS933" s="18" t="inlineStr">
        <is>
          <t>{"weightMultiplier":{"condition":{"maxLureLevel":2,"minLureLevel":1},"multiplier":0.6}}</t>
        </is>
      </c>
      <c r="AT933" s="19" t="inlineStr"/>
    </row>
    <row r="934" ht="32" customHeight="1">
      <c r="A934" s="18" t="inlineStr">
        <is>
          <t>0212_scizor.json::scizor-1::001</t>
        </is>
      </c>
      <c r="B934" s="19" t="inlineStr">
        <is>
          <t>사용</t>
        </is>
      </c>
      <c r="C934" s="18">
        <f>IF(OR(B934&lt;&gt;AK934,M934&lt;&gt;L934,O934&lt;&gt;"",Q934&lt;&gt;"",V934&lt;&gt;1,Y934&lt;&gt;"",AT934&lt;&gt;""),"수정","원본")</f>
        <v/>
      </c>
      <c r="D934" s="18" t="n">
        <v>212</v>
      </c>
      <c r="E934" s="18" t="inlineStr">
        <is>
          <t>핫삼</t>
        </is>
      </c>
      <c r="F934" s="18" t="inlineStr">
        <is>
          <t>scizor</t>
        </is>
      </c>
      <c r="G934" s="18" t="inlineStr">
        <is>
          <t>scizor</t>
        </is>
      </c>
      <c r="H934" s="18" t="inlineStr"/>
      <c r="I934" s="18" t="n">
        <v>2</v>
      </c>
      <c r="J934" s="18" t="n"/>
      <c r="K934" s="18" t="n">
        <v>2</v>
      </c>
      <c r="L934" s="18" t="inlineStr">
        <is>
          <t>cobbleventure:generation_2</t>
        </is>
      </c>
      <c r="M934" s="19" t="inlineStr">
        <is>
          <t>cobbleventure:generation_2</t>
        </is>
      </c>
      <c r="N934" s="18" t="inlineStr"/>
      <c r="O934" s="19" t="inlineStr"/>
      <c r="P934" s="18" t="inlineStr">
        <is>
          <t>#cobblemon:is_jungle</t>
        </is>
      </c>
      <c r="Q934" s="19" t="inlineStr"/>
      <c r="R934" s="18">
        <f>IF(Q934="",P934,Q934)</f>
        <v/>
      </c>
      <c r="S934" s="18" t="inlineStr"/>
      <c r="T934" s="18" t="inlineStr">
        <is>
          <t>uncommon</t>
        </is>
      </c>
      <c r="U934" s="20" t="n">
        <v>0.16</v>
      </c>
      <c r="V934" s="21" t="n">
        <v>1</v>
      </c>
      <c r="W934" s="20">
        <f>IF(OR(U934="",V934=""),U934,U934*V934)</f>
        <v/>
      </c>
      <c r="X934" s="18" t="inlineStr">
        <is>
          <t>45-50</t>
        </is>
      </c>
      <c r="Y934" s="19" t="inlineStr"/>
      <c r="Z934" s="18">
        <f>IF(Y934="",X934,Y934)</f>
        <v/>
      </c>
      <c r="AA934" s="18" t="inlineStr">
        <is>
          <t>grounded</t>
        </is>
      </c>
      <c r="AB934" s="18" t="inlineStr">
        <is>
          <t>day</t>
        </is>
      </c>
      <c r="AC934" s="18" t="inlineStr"/>
      <c r="AD934" s="18" t="inlineStr"/>
      <c r="AE934" s="18" t="inlineStr">
        <is>
          <t>sky 8-15</t>
        </is>
      </c>
      <c r="AF934" s="18" t="inlineStr"/>
      <c r="AG934" s="18" t="inlineStr"/>
      <c r="AH934" s="18" t="inlineStr"/>
      <c r="AI934" s="18" t="inlineStr"/>
      <c r="AJ934" s="18" t="inlineStr">
        <is>
          <t>Cobblemon 동일</t>
        </is>
      </c>
      <c r="AK934" s="18" t="inlineStr">
        <is>
          <t>사용</t>
        </is>
      </c>
      <c r="AL934" s="18" t="inlineStr">
        <is>
          <t>COBBLEVERSE 1.7.42 / DP v31</t>
        </is>
      </c>
      <c r="AM934" s="18" t="inlineStr">
        <is>
          <t>data/cobblemon/spawn_pool_world/0212_scizor.json</t>
        </is>
      </c>
      <c r="AN934" s="18" t="inlineStr">
        <is>
          <t>scizor-1</t>
        </is>
      </c>
      <c r="AO934" s="18" t="inlineStr">
        <is>
          <t>pokemon</t>
        </is>
      </c>
      <c r="AP934" s="18" t="inlineStr">
        <is>
          <t>natural; wild</t>
        </is>
      </c>
      <c r="AQ934" s="18" t="inlineStr">
        <is>
          <t>{"biomes":["#cobblemon:is_jungle"],"maxSkyLight":15,"minSkyLight":8,"timeRange":"day"}</t>
        </is>
      </c>
      <c r="AR934" s="18" t="inlineStr"/>
      <c r="AS934" s="18" t="inlineStr"/>
      <c r="AT934" s="19" t="inlineStr"/>
    </row>
    <row r="935" ht="32" customHeight="1">
      <c r="A935" s="18" t="inlineStr">
        <is>
          <t>0213_shuckle.json::shuckle-1::001</t>
        </is>
      </c>
      <c r="B935" s="19" t="inlineStr">
        <is>
          <t>사용</t>
        </is>
      </c>
      <c r="C935" s="18">
        <f>IF(OR(B935&lt;&gt;AK935,M935&lt;&gt;L935,O935&lt;&gt;"",Q935&lt;&gt;"",V935&lt;&gt;1,Y935&lt;&gt;"",AT935&lt;&gt;""),"수정","원본")</f>
        <v/>
      </c>
      <c r="D935" s="18" t="n">
        <v>213</v>
      </c>
      <c r="E935" s="18" t="inlineStr">
        <is>
          <t>단단지</t>
        </is>
      </c>
      <c r="F935" s="18" t="inlineStr">
        <is>
          <t>shuckle</t>
        </is>
      </c>
      <c r="G935" s="18" t="inlineStr">
        <is>
          <t>shuckle</t>
        </is>
      </c>
      <c r="H935" s="18" t="inlineStr"/>
      <c r="I935" s="18" t="n">
        <v>2</v>
      </c>
      <c r="J935" s="18" t="n"/>
      <c r="K935" s="18" t="n">
        <v>2</v>
      </c>
      <c r="L935" s="18" t="inlineStr">
        <is>
          <t>cobbleventure:generation_2</t>
        </is>
      </c>
      <c r="M935" s="19" t="inlineStr">
        <is>
          <t>cobbleventure:generation_2</t>
        </is>
      </c>
      <c r="N935" s="18" t="inlineStr"/>
      <c r="O935" s="19" t="inlineStr"/>
      <c r="P935" s="18" t="inlineStr">
        <is>
          <t>#cobblemon:is_lush</t>
        </is>
      </c>
      <c r="Q935" s="19" t="inlineStr"/>
      <c r="R935" s="18">
        <f>IF(Q935="",P935,Q935)</f>
        <v/>
      </c>
      <c r="S935" s="18" t="inlineStr"/>
      <c r="T935" s="18" t="inlineStr">
        <is>
          <t>uncommon</t>
        </is>
      </c>
      <c r="U935" s="20" t="n">
        <v>10</v>
      </c>
      <c r="V935" s="21" t="n">
        <v>1</v>
      </c>
      <c r="W935" s="20">
        <f>IF(OR(U935="",V935=""),U935,U935*V935)</f>
        <v/>
      </c>
      <c r="X935" s="18" t="inlineStr">
        <is>
          <t>16-51</t>
        </is>
      </c>
      <c r="Y935" s="19" t="inlineStr"/>
      <c r="Z935" s="18">
        <f>IF(Y935="",X935,Y935)</f>
        <v/>
      </c>
      <c r="AA935" s="18" t="inlineStr">
        <is>
          <t>grounded</t>
        </is>
      </c>
      <c r="AB935" s="18" t="inlineStr"/>
      <c r="AC935" s="18" t="inlineStr"/>
      <c r="AD935" s="18" t="inlineStr"/>
      <c r="AE935" s="18" t="inlineStr">
        <is>
          <t>sky 0-7</t>
        </is>
      </c>
      <c r="AF935" s="18" t="inlineStr"/>
      <c r="AG935" s="18" t="inlineStr"/>
      <c r="AH935" s="18" t="inlineStr"/>
      <c r="AI935" s="18" t="inlineStr"/>
      <c r="AJ935" s="18" t="inlineStr">
        <is>
          <t>Cobblemon 동일</t>
        </is>
      </c>
      <c r="AK935" s="18" t="inlineStr">
        <is>
          <t>사용</t>
        </is>
      </c>
      <c r="AL935" s="18" t="inlineStr">
        <is>
          <t>COBBLEVERSE 1.7.42 / DP v31</t>
        </is>
      </c>
      <c r="AM935" s="18" t="inlineStr">
        <is>
          <t>data/cobblemon/spawn_pool_world/0213_shuckle.json</t>
        </is>
      </c>
      <c r="AN935" s="18" t="inlineStr">
        <is>
          <t>shuckle-1</t>
        </is>
      </c>
      <c r="AO935" s="18" t="inlineStr">
        <is>
          <t>pokemon</t>
        </is>
      </c>
      <c r="AP935" s="18" t="inlineStr">
        <is>
          <t>natural</t>
        </is>
      </c>
      <c r="AQ935" s="18" t="inlineStr">
        <is>
          <t>{"biomes":["#cobblemon:is_lush"],"maxSkyLight":7,"minSkyLight":0}</t>
        </is>
      </c>
      <c r="AR935" s="18" t="inlineStr">
        <is>
          <t>{"maxY":9,"minY":-41,"structures":["cobblemon:shipwreck_coves/lush_shipwreck_cove"]}</t>
        </is>
      </c>
      <c r="AS935" s="18" t="inlineStr"/>
      <c r="AT935" s="19" t="inlineStr"/>
    </row>
    <row r="936" ht="32" customHeight="1">
      <c r="A936" s="18" t="inlineStr">
        <is>
          <t>0213_shuckle.json::shuckle-2::002</t>
        </is>
      </c>
      <c r="B936" s="19" t="inlineStr">
        <is>
          <t>사용</t>
        </is>
      </c>
      <c r="C936" s="18">
        <f>IF(OR(B936&lt;&gt;AK936,M936&lt;&gt;L936,O936&lt;&gt;"",Q936&lt;&gt;"",V936&lt;&gt;1,Y936&lt;&gt;"",AT936&lt;&gt;""),"수정","원본")</f>
        <v/>
      </c>
      <c r="D936" s="18" t="n">
        <v>213</v>
      </c>
      <c r="E936" s="18" t="inlineStr">
        <is>
          <t>단단지</t>
        </is>
      </c>
      <c r="F936" s="18" t="inlineStr">
        <is>
          <t>shuckle</t>
        </is>
      </c>
      <c r="G936" s="18" t="inlineStr">
        <is>
          <t>shuckle</t>
        </is>
      </c>
      <c r="H936" s="18" t="inlineStr"/>
      <c r="I936" s="18" t="n">
        <v>2</v>
      </c>
      <c r="J936" s="18" t="n"/>
      <c r="K936" s="18" t="n">
        <v>2</v>
      </c>
      <c r="L936" s="18" t="inlineStr">
        <is>
          <t>cobbleventure:generation_2</t>
        </is>
      </c>
      <c r="M936" s="19" t="inlineStr">
        <is>
          <t>cobbleventure:generation_2</t>
        </is>
      </c>
      <c r="N936" s="18" t="inlineStr"/>
      <c r="O936" s="19" t="inlineStr"/>
      <c r="P936" s="18" t="inlineStr">
        <is>
          <t>#cobblemon:is_lush</t>
        </is>
      </c>
      <c r="Q936" s="19" t="inlineStr"/>
      <c r="R936" s="18">
        <f>IF(Q936="",P936,Q936)</f>
        <v/>
      </c>
      <c r="S936" s="18" t="inlineStr"/>
      <c r="T936" s="18" t="inlineStr">
        <is>
          <t>uncommon</t>
        </is>
      </c>
      <c r="U936" s="20" t="n">
        <v>6</v>
      </c>
      <c r="V936" s="21" t="n">
        <v>1</v>
      </c>
      <c r="W936" s="20">
        <f>IF(OR(U936="",V936=""),U936,U936*V936)</f>
        <v/>
      </c>
      <c r="X936" s="18" t="inlineStr">
        <is>
          <t>16-51</t>
        </is>
      </c>
      <c r="Y936" s="19" t="inlineStr"/>
      <c r="Z936" s="18">
        <f>IF(Y936="",X936,Y936)</f>
        <v/>
      </c>
      <c r="AA936" s="18" t="inlineStr">
        <is>
          <t>fishing</t>
        </is>
      </c>
      <c r="AB936" s="18" t="inlineStr"/>
      <c r="AC936" s="18" t="inlineStr"/>
      <c r="AD936" s="18" t="inlineStr"/>
      <c r="AE936" s="18" t="inlineStr">
        <is>
          <t>sky 0-7</t>
        </is>
      </c>
      <c r="AF936" s="18" t="inlineStr"/>
      <c r="AG936" s="18" t="inlineStr"/>
      <c r="AH936" s="18" t="inlineStr"/>
      <c r="AI936" s="18" t="inlineStr"/>
      <c r="AJ936" s="18" t="inlineStr">
        <is>
          <t>Cobblemon 동일</t>
        </is>
      </c>
      <c r="AK936" s="18" t="inlineStr">
        <is>
          <t>사용</t>
        </is>
      </c>
      <c r="AL936" s="18" t="inlineStr">
        <is>
          <t>COBBLEVERSE 1.7.42 / DP v31</t>
        </is>
      </c>
      <c r="AM936" s="18" t="inlineStr">
        <is>
          <t>data/cobblemon/spawn_pool_world/0213_shuckle.json</t>
        </is>
      </c>
      <c r="AN936" s="18" t="inlineStr">
        <is>
          <t>shuckle-2</t>
        </is>
      </c>
      <c r="AO936" s="18" t="inlineStr">
        <is>
          <t>pokemon</t>
        </is>
      </c>
      <c r="AP936" s="18" t="inlineStr"/>
      <c r="AQ936" s="18" t="inlineStr">
        <is>
          <t>{"biomes":["#cobblemon:is_lush"],"maxSkyLight":7,"minSkyLight":0}</t>
        </is>
      </c>
      <c r="AR936" s="18" t="inlineStr">
        <is>
          <t>{"maxY":9,"minLureLevel":1,"minY":-41,"structures":["cobblemon:shipwreck_coves/lush_shipwreck_cove"]}</t>
        </is>
      </c>
      <c r="AS936" s="18" t="inlineStr"/>
      <c r="AT936" s="19" t="inlineStr"/>
    </row>
    <row r="937" ht="32" customHeight="1">
      <c r="A937" s="18" t="inlineStr">
        <is>
          <t>0213_shuckle.json::shuckle-3::003</t>
        </is>
      </c>
      <c r="B937" s="19" t="inlineStr">
        <is>
          <t>사용</t>
        </is>
      </c>
      <c r="C937" s="18">
        <f>IF(OR(B937&lt;&gt;AK937,M937&lt;&gt;L937,O937&lt;&gt;"",Q937&lt;&gt;"",V937&lt;&gt;1,Y937&lt;&gt;"",AT937&lt;&gt;""),"수정","원본")</f>
        <v/>
      </c>
      <c r="D937" s="18" t="n">
        <v>213</v>
      </c>
      <c r="E937" s="18" t="inlineStr">
        <is>
          <t>단단지</t>
        </is>
      </c>
      <c r="F937" s="18" t="inlineStr">
        <is>
          <t>shuckle</t>
        </is>
      </c>
      <c r="G937" s="18" t="inlineStr">
        <is>
          <t>shuckle</t>
        </is>
      </c>
      <c r="H937" s="18" t="inlineStr"/>
      <c r="I937" s="18" t="n">
        <v>2</v>
      </c>
      <c r="J937" s="18" t="n"/>
      <c r="K937" s="18" t="n">
        <v>2</v>
      </c>
      <c r="L937" s="18" t="inlineStr">
        <is>
          <t>cobbleventure:generation_2</t>
        </is>
      </c>
      <c r="M937" s="19" t="inlineStr">
        <is>
          <t>cobbleventure:generation_2</t>
        </is>
      </c>
      <c r="N937" s="18" t="inlineStr"/>
      <c r="O937" s="19" t="inlineStr"/>
      <c r="P937" s="18" t="inlineStr">
        <is>
          <t>#cobblemon:is_lush</t>
        </is>
      </c>
      <c r="Q937" s="19" t="inlineStr"/>
      <c r="R937" s="18">
        <f>IF(Q937="",P937,Q937)</f>
        <v/>
      </c>
      <c r="S937" s="18" t="inlineStr"/>
      <c r="T937" s="18" t="inlineStr">
        <is>
          <t>common</t>
        </is>
      </c>
      <c r="U937" s="20" t="n">
        <v>2</v>
      </c>
      <c r="V937" s="21" t="n">
        <v>1</v>
      </c>
      <c r="W937" s="20">
        <f>IF(OR(U937="",V937=""),U937,U937*V937)</f>
        <v/>
      </c>
      <c r="X937" s="18" t="inlineStr">
        <is>
          <t>16-51</t>
        </is>
      </c>
      <c r="Y937" s="19" t="inlineStr"/>
      <c r="Z937" s="18">
        <f>IF(Y937="",X937,Y937)</f>
        <v/>
      </c>
      <c r="AA937" s="18" t="inlineStr">
        <is>
          <t>fishing</t>
        </is>
      </c>
      <c r="AB937" s="18" t="inlineStr"/>
      <c r="AC937" s="18" t="inlineStr"/>
      <c r="AD937" s="18" t="inlineStr"/>
      <c r="AE937" s="18" t="inlineStr">
        <is>
          <t>sky 0-7</t>
        </is>
      </c>
      <c r="AF937" s="18" t="inlineStr"/>
      <c r="AG937" s="18" t="inlineStr"/>
      <c r="AH937" s="18" t="inlineStr"/>
      <c r="AI937" s="18" t="inlineStr">
        <is>
          <t>{"fishing":{"minLureLevel":1}}</t>
        </is>
      </c>
      <c r="AJ937" s="18" t="inlineStr">
        <is>
          <t>Cobblemon 동일</t>
        </is>
      </c>
      <c r="AK937" s="18" t="inlineStr">
        <is>
          <t>사용</t>
        </is>
      </c>
      <c r="AL937" s="18" t="inlineStr">
        <is>
          <t>COBBLEVERSE 1.7.42 / DP v31</t>
        </is>
      </c>
      <c r="AM937" s="18" t="inlineStr">
        <is>
          <t>data/cobblemon/spawn_pool_world/0213_shuckle.json</t>
        </is>
      </c>
      <c r="AN937" s="18" t="inlineStr">
        <is>
          <t>shuckle-3</t>
        </is>
      </c>
      <c r="AO937" s="18" t="inlineStr">
        <is>
          <t>pokemon</t>
        </is>
      </c>
      <c r="AP937" s="18" t="inlineStr"/>
      <c r="AQ937" s="18" t="inlineStr">
        <is>
          <t>{"biomes":["#cobblemon:is_lush"],"maxSkyLight":7,"minLureLevel":1,"minSkyLight":0}</t>
        </is>
      </c>
      <c r="AR937" s="18" t="inlineStr">
        <is>
          <t>{"maxY":9,"minY":-41,"structures":["cobblemon:shipwreck_coves/lush_shipwreck_cove"]}</t>
        </is>
      </c>
      <c r="AS937" s="18" t="inlineStr">
        <is>
          <t>{"weightMultiplier":{"condition":{"minLureLevel":3},"multiplier":3.0}}</t>
        </is>
      </c>
      <c r="AT937" s="19" t="inlineStr"/>
    </row>
    <row r="938" ht="32" customHeight="1">
      <c r="A938" s="18" t="inlineStr">
        <is>
          <t>0213_shuckle.json::shuckle-4::004</t>
        </is>
      </c>
      <c r="B938" s="19" t="inlineStr">
        <is>
          <t>사용</t>
        </is>
      </c>
      <c r="C938" s="18">
        <f>IF(OR(B938&lt;&gt;AK938,M938&lt;&gt;L938,O938&lt;&gt;"",Q938&lt;&gt;"",V938&lt;&gt;1,Y938&lt;&gt;"",AT938&lt;&gt;""),"수정","원본")</f>
        <v/>
      </c>
      <c r="D938" s="18" t="n">
        <v>213</v>
      </c>
      <c r="E938" s="18" t="inlineStr">
        <is>
          <t>단단지</t>
        </is>
      </c>
      <c r="F938" s="18" t="inlineStr">
        <is>
          <t>shuckle</t>
        </is>
      </c>
      <c r="G938" s="18" t="inlineStr">
        <is>
          <t>shuckle</t>
        </is>
      </c>
      <c r="H938" s="18" t="inlineStr"/>
      <c r="I938" s="18" t="n">
        <v>2</v>
      </c>
      <c r="J938" s="18" t="n"/>
      <c r="K938" s="18" t="n">
        <v>2</v>
      </c>
      <c r="L938" s="18" t="inlineStr">
        <is>
          <t>cobbleventure:generation_2</t>
        </is>
      </c>
      <c r="M938" s="19" t="inlineStr">
        <is>
          <t>cobbleventure:generation_2</t>
        </is>
      </c>
      <c r="N938" s="18" t="inlineStr">
        <is>
          <t>region_01; region_02</t>
        </is>
      </c>
      <c r="O938" s="19" t="inlineStr"/>
      <c r="P938" s="18" t="inlineStr">
        <is>
          <t>#cobblemon:is_overworld</t>
        </is>
      </c>
      <c r="Q938" s="19" t="inlineStr"/>
      <c r="R938" s="18">
        <f>IF(Q938="",P938,Q938)</f>
        <v/>
      </c>
      <c r="S938" s="18" t="inlineStr">
        <is>
          <t>#cobblemon:is_lush</t>
        </is>
      </c>
      <c r="T938" s="18" t="inlineStr">
        <is>
          <t>uncommon</t>
        </is>
      </c>
      <c r="U938" s="20" t="n">
        <v>10</v>
      </c>
      <c r="V938" s="21" t="n">
        <v>1</v>
      </c>
      <c r="W938" s="20">
        <f>IF(OR(U938="",V938=""),U938,U938*V938)</f>
        <v/>
      </c>
      <c r="X938" s="18" t="inlineStr">
        <is>
          <t>16-51</t>
        </is>
      </c>
      <c r="Y938" s="19" t="inlineStr"/>
      <c r="Z938" s="18">
        <f>IF(Y938="",X938,Y938)</f>
        <v/>
      </c>
      <c r="AA938" s="18" t="inlineStr">
        <is>
          <t>grounded</t>
        </is>
      </c>
      <c r="AB938" s="18" t="inlineStr"/>
      <c r="AC938" s="18" t="inlineStr"/>
      <c r="AD938" s="18" t="inlineStr">
        <is>
          <t>minY=-41, maxY=9</t>
        </is>
      </c>
      <c r="AE938" s="18" t="inlineStr">
        <is>
          <t>sky 0-7</t>
        </is>
      </c>
      <c r="AF938" s="18" t="inlineStr"/>
      <c r="AG938" s="18" t="inlineStr">
        <is>
          <t>cobblemon:shipwreck_coves/lush_shipwreck_cove</t>
        </is>
      </c>
      <c r="AH938" s="18" t="inlineStr"/>
      <c r="AI938" s="18" t="inlineStr"/>
      <c r="AJ938" s="18" t="inlineStr">
        <is>
          <t>Cobblemon 동일</t>
        </is>
      </c>
      <c r="AK938" s="18" t="inlineStr">
        <is>
          <t>사용</t>
        </is>
      </c>
      <c r="AL938" s="18" t="inlineStr">
        <is>
          <t>COBBLEVERSE 1.7.42 / DP v31</t>
        </is>
      </c>
      <c r="AM938" s="18" t="inlineStr">
        <is>
          <t>data/cobblemon/spawn_pool_world/0213_shuckle.json</t>
        </is>
      </c>
      <c r="AN938" s="18" t="inlineStr">
        <is>
          <t>shuckle-4</t>
        </is>
      </c>
      <c r="AO938" s="18" t="inlineStr">
        <is>
          <t>pokemon</t>
        </is>
      </c>
      <c r="AP938" s="18" t="inlineStr">
        <is>
          <t>natural</t>
        </is>
      </c>
      <c r="AQ938" s="18" t="inlineStr">
        <is>
          <t>{"biomes":["#cobblemon:is_overworld"],"maxSkyLight":7,"maxY":9,"minSkyLight":0,"minY":-41,"structures":["cobblemon:shipwreck_coves/lush_shipwreck_cove"]}</t>
        </is>
      </c>
      <c r="AR938" s="18" t="inlineStr">
        <is>
          <t>{"biomes":["#cobblemon:is_lush"]}</t>
        </is>
      </c>
      <c r="AS938" s="18" t="inlineStr"/>
      <c r="AT938" s="19" t="inlineStr"/>
    </row>
    <row r="939" ht="32" customHeight="1">
      <c r="A939" s="18" t="inlineStr">
        <is>
          <t>0213_shuckle.json::shuckle-5::005</t>
        </is>
      </c>
      <c r="B939" s="19" t="inlineStr">
        <is>
          <t>사용</t>
        </is>
      </c>
      <c r="C939" s="18">
        <f>IF(OR(B939&lt;&gt;AK939,M939&lt;&gt;L939,O939&lt;&gt;"",Q939&lt;&gt;"",V939&lt;&gt;1,Y939&lt;&gt;"",AT939&lt;&gt;""),"수정","원본")</f>
        <v/>
      </c>
      <c r="D939" s="18" t="n">
        <v>213</v>
      </c>
      <c r="E939" s="18" t="inlineStr">
        <is>
          <t>단단지</t>
        </is>
      </c>
      <c r="F939" s="18" t="inlineStr">
        <is>
          <t>shuckle</t>
        </is>
      </c>
      <c r="G939" s="18" t="inlineStr">
        <is>
          <t>shuckle</t>
        </is>
      </c>
      <c r="H939" s="18" t="inlineStr"/>
      <c r="I939" s="18" t="n">
        <v>2</v>
      </c>
      <c r="J939" s="18" t="n"/>
      <c r="K939" s="18" t="n">
        <v>2</v>
      </c>
      <c r="L939" s="18" t="inlineStr">
        <is>
          <t>cobbleventure:generation_2</t>
        </is>
      </c>
      <c r="M939" s="19" t="inlineStr">
        <is>
          <t>cobbleventure:generation_2</t>
        </is>
      </c>
      <c r="N939" s="18" t="inlineStr">
        <is>
          <t>region_01; region_02</t>
        </is>
      </c>
      <c r="O939" s="19" t="inlineStr"/>
      <c r="P939" s="18" t="inlineStr">
        <is>
          <t>#cobblemon:is_overworld</t>
        </is>
      </c>
      <c r="Q939" s="19" t="inlineStr"/>
      <c r="R939" s="18">
        <f>IF(Q939="",P939,Q939)</f>
        <v/>
      </c>
      <c r="S939" s="18" t="inlineStr">
        <is>
          <t>#cobblemon:is_lush</t>
        </is>
      </c>
      <c r="T939" s="18" t="inlineStr">
        <is>
          <t>uncommon</t>
        </is>
      </c>
      <c r="U939" s="20" t="n">
        <v>6</v>
      </c>
      <c r="V939" s="21" t="n">
        <v>1</v>
      </c>
      <c r="W939" s="20">
        <f>IF(OR(U939="",V939=""),U939,U939*V939)</f>
        <v/>
      </c>
      <c r="X939" s="18" t="inlineStr">
        <is>
          <t>16-51</t>
        </is>
      </c>
      <c r="Y939" s="19" t="inlineStr"/>
      <c r="Z939" s="18">
        <f>IF(Y939="",X939,Y939)</f>
        <v/>
      </c>
      <c r="AA939" s="18" t="inlineStr">
        <is>
          <t>fishing</t>
        </is>
      </c>
      <c r="AB939" s="18" t="inlineStr"/>
      <c r="AC939" s="18" t="inlineStr"/>
      <c r="AD939" s="18" t="inlineStr">
        <is>
          <t>minY=-41, maxY=9</t>
        </is>
      </c>
      <c r="AE939" s="18" t="inlineStr">
        <is>
          <t>sky 0-7</t>
        </is>
      </c>
      <c r="AF939" s="18" t="inlineStr"/>
      <c r="AG939" s="18" t="inlineStr">
        <is>
          <t>cobblemon:shipwreck_coves/lush_shipwreck_cove</t>
        </is>
      </c>
      <c r="AH939" s="18" t="inlineStr"/>
      <c r="AI939" s="18" t="inlineStr"/>
      <c r="AJ939" s="18" t="inlineStr">
        <is>
          <t>Cobblemon 동일</t>
        </is>
      </c>
      <c r="AK939" s="18" t="inlineStr">
        <is>
          <t>사용</t>
        </is>
      </c>
      <c r="AL939" s="18" t="inlineStr">
        <is>
          <t>COBBLEVERSE 1.7.42 / DP v31</t>
        </is>
      </c>
      <c r="AM939" s="18" t="inlineStr">
        <is>
          <t>data/cobblemon/spawn_pool_world/0213_shuckle.json</t>
        </is>
      </c>
      <c r="AN939" s="18" t="inlineStr">
        <is>
          <t>shuckle-5</t>
        </is>
      </c>
      <c r="AO939" s="18" t="inlineStr">
        <is>
          <t>pokemon</t>
        </is>
      </c>
      <c r="AP939" s="18" t="inlineStr"/>
      <c r="AQ939" s="18" t="inlineStr">
        <is>
          <t>{"biomes":["#cobblemon:is_overworld"],"maxSkyLight":7,"maxY":9,"minSkyLight":0,"minY":-41,"structures":["cobblemon:shipwreck_coves/lush_shipwreck_cove"]}</t>
        </is>
      </c>
      <c r="AR939" s="18" t="inlineStr">
        <is>
          <t>{"biomes":["#cobblemon:is_lush"],"minLureLevel":1}</t>
        </is>
      </c>
      <c r="AS939" s="18" t="inlineStr"/>
      <c r="AT939" s="19" t="inlineStr"/>
    </row>
    <row r="940" ht="32" customHeight="1">
      <c r="A940" s="18" t="inlineStr">
        <is>
          <t>0213_shuckle.json::shuckle-6::006</t>
        </is>
      </c>
      <c r="B940" s="19" t="inlineStr">
        <is>
          <t>사용</t>
        </is>
      </c>
      <c r="C940" s="18">
        <f>IF(OR(B940&lt;&gt;AK940,M940&lt;&gt;L940,O940&lt;&gt;"",Q940&lt;&gt;"",V940&lt;&gt;1,Y940&lt;&gt;"",AT940&lt;&gt;""),"수정","원본")</f>
        <v/>
      </c>
      <c r="D940" s="18" t="n">
        <v>213</v>
      </c>
      <c r="E940" s="18" t="inlineStr">
        <is>
          <t>단단지</t>
        </is>
      </c>
      <c r="F940" s="18" t="inlineStr">
        <is>
          <t>shuckle</t>
        </is>
      </c>
      <c r="G940" s="18" t="inlineStr">
        <is>
          <t>shuckle</t>
        </is>
      </c>
      <c r="H940" s="18" t="inlineStr"/>
      <c r="I940" s="18" t="n">
        <v>2</v>
      </c>
      <c r="J940" s="18" t="n"/>
      <c r="K940" s="18" t="n">
        <v>2</v>
      </c>
      <c r="L940" s="18" t="inlineStr">
        <is>
          <t>cobbleventure:generation_2</t>
        </is>
      </c>
      <c r="M940" s="19" t="inlineStr">
        <is>
          <t>cobbleventure:generation_2</t>
        </is>
      </c>
      <c r="N940" s="18" t="inlineStr">
        <is>
          <t>region_01; region_02</t>
        </is>
      </c>
      <c r="O940" s="19" t="inlineStr"/>
      <c r="P940" s="18" t="inlineStr">
        <is>
          <t>#cobblemon:is_overworld</t>
        </is>
      </c>
      <c r="Q940" s="19" t="inlineStr"/>
      <c r="R940" s="18">
        <f>IF(Q940="",P940,Q940)</f>
        <v/>
      </c>
      <c r="S940" s="18" t="inlineStr">
        <is>
          <t>#cobblemon:is_lush</t>
        </is>
      </c>
      <c r="T940" s="18" t="inlineStr">
        <is>
          <t>common</t>
        </is>
      </c>
      <c r="U940" s="20" t="n">
        <v>2</v>
      </c>
      <c r="V940" s="21" t="n">
        <v>1</v>
      </c>
      <c r="W940" s="20">
        <f>IF(OR(U940="",V940=""),U940,U940*V940)</f>
        <v/>
      </c>
      <c r="X940" s="18" t="inlineStr">
        <is>
          <t>16-51</t>
        </is>
      </c>
      <c r="Y940" s="19" t="inlineStr"/>
      <c r="Z940" s="18">
        <f>IF(Y940="",X940,Y940)</f>
        <v/>
      </c>
      <c r="AA940" s="18" t="inlineStr">
        <is>
          <t>fishing</t>
        </is>
      </c>
      <c r="AB940" s="18" t="inlineStr"/>
      <c r="AC940" s="18" t="inlineStr"/>
      <c r="AD940" s="18" t="inlineStr">
        <is>
          <t>minY=-41, maxY=9</t>
        </is>
      </c>
      <c r="AE940" s="18" t="inlineStr">
        <is>
          <t>sky 0-7</t>
        </is>
      </c>
      <c r="AF940" s="18" t="inlineStr"/>
      <c r="AG940" s="18" t="inlineStr">
        <is>
          <t>cobblemon:shipwreck_coves/lush_shipwreck_cove</t>
        </is>
      </c>
      <c r="AH940" s="18" t="inlineStr"/>
      <c r="AI940" s="18" t="inlineStr">
        <is>
          <t>{"fishing":{"minLureLevel":1}}</t>
        </is>
      </c>
      <c r="AJ940" s="18" t="inlineStr">
        <is>
          <t>Cobblemon 동일</t>
        </is>
      </c>
      <c r="AK940" s="18" t="inlineStr">
        <is>
          <t>사용</t>
        </is>
      </c>
      <c r="AL940" s="18" t="inlineStr">
        <is>
          <t>COBBLEVERSE 1.7.42 / DP v31</t>
        </is>
      </c>
      <c r="AM940" s="18" t="inlineStr">
        <is>
          <t>data/cobblemon/spawn_pool_world/0213_shuckle.json</t>
        </is>
      </c>
      <c r="AN940" s="18" t="inlineStr">
        <is>
          <t>shuckle-6</t>
        </is>
      </c>
      <c r="AO940" s="18" t="inlineStr">
        <is>
          <t>pokemon</t>
        </is>
      </c>
      <c r="AP940" s="18" t="inlineStr"/>
      <c r="AQ940" s="18" t="inlineStr">
        <is>
          <t>{"biomes":["#cobblemon:is_overworld"],"maxSkyLight":7,"maxY":9,"minLureLevel":1,"minSkyLight":0,"minY":-41,"structures":["cobblemon:shipwreck_coves/lush_shipwreck_cove"]}</t>
        </is>
      </c>
      <c r="AR940" s="18" t="inlineStr">
        <is>
          <t>{"biomes":["#cobblemon:is_lush"]}</t>
        </is>
      </c>
      <c r="AS940" s="18" t="inlineStr">
        <is>
          <t>{"weightMultiplier":{"condition":{"minLureLevel":3},"multiplier":3.0}}</t>
        </is>
      </c>
      <c r="AT940" s="19" t="inlineStr"/>
    </row>
    <row r="941" ht="32" customHeight="1">
      <c r="A941" s="18" t="inlineStr">
        <is>
          <t>0214_heracross.json::heracross-1::001</t>
        </is>
      </c>
      <c r="B941" s="19" t="inlineStr">
        <is>
          <t>사용</t>
        </is>
      </c>
      <c r="C941" s="18">
        <f>IF(OR(B941&lt;&gt;AK941,M941&lt;&gt;L941,O941&lt;&gt;"",Q941&lt;&gt;"",V941&lt;&gt;1,Y941&lt;&gt;"",AT941&lt;&gt;""),"수정","원본")</f>
        <v/>
      </c>
      <c r="D941" s="18" t="n">
        <v>214</v>
      </c>
      <c r="E941" s="18" t="inlineStr">
        <is>
          <t>헤라크로스</t>
        </is>
      </c>
      <c r="F941" s="18" t="inlineStr">
        <is>
          <t>heracross</t>
        </is>
      </c>
      <c r="G941" s="18" t="inlineStr">
        <is>
          <t>heracross</t>
        </is>
      </c>
      <c r="H941" s="18" t="inlineStr"/>
      <c r="I941" s="18" t="n">
        <v>2</v>
      </c>
      <c r="J941" s="18" t="n"/>
      <c r="K941" s="18" t="n">
        <v>2</v>
      </c>
      <c r="L941" s="18" t="inlineStr">
        <is>
          <t>cobbleventure:generation_2</t>
        </is>
      </c>
      <c r="M941" s="19" t="inlineStr">
        <is>
          <t>cobbleventure:generation_2</t>
        </is>
      </c>
      <c r="N941" s="18" t="inlineStr">
        <is>
          <t>region_01</t>
        </is>
      </c>
      <c r="O941" s="19" t="inlineStr"/>
      <c r="P941" s="18" t="inlineStr">
        <is>
          <t>#cobblemon:is_forest</t>
        </is>
      </c>
      <c r="Q941" s="19" t="inlineStr"/>
      <c r="R941" s="18">
        <f>IF(Q941="",P941,Q941)</f>
        <v/>
      </c>
      <c r="S941" s="18" t="inlineStr">
        <is>
          <t>#cobblemon:is_freezing; #cobblemon:is_spooky</t>
        </is>
      </c>
      <c r="T941" s="18" t="inlineStr">
        <is>
          <t>rare</t>
        </is>
      </c>
      <c r="U941" s="20" t="n">
        <v>2</v>
      </c>
      <c r="V941" s="21" t="n">
        <v>1</v>
      </c>
      <c r="W941" s="20">
        <f>IF(OR(U941="",V941=""),U941,U941*V941)</f>
        <v/>
      </c>
      <c r="X941" s="18" t="inlineStr">
        <is>
          <t>25-50</t>
        </is>
      </c>
      <c r="Y941" s="19" t="inlineStr"/>
      <c r="Z941" s="18">
        <f>IF(Y941="",X941,Y941)</f>
        <v/>
      </c>
      <c r="AA941" s="18" t="inlineStr">
        <is>
          <t>grounded</t>
        </is>
      </c>
      <c r="AB941" s="18" t="inlineStr"/>
      <c r="AC941" s="18" t="inlineStr"/>
      <c r="AD941" s="18" t="inlineStr"/>
      <c r="AE941" s="18" t="inlineStr">
        <is>
          <t>sky 8-15</t>
        </is>
      </c>
      <c r="AF941" s="18" t="inlineStr"/>
      <c r="AG941" s="18" t="inlineStr"/>
      <c r="AH941" s="18" t="inlineStr"/>
      <c r="AI941" s="18" t="inlineStr"/>
      <c r="AJ941" s="18" t="inlineStr">
        <is>
          <t>Cobblemon 동일</t>
        </is>
      </c>
      <c r="AK941" s="18" t="inlineStr">
        <is>
          <t>사용</t>
        </is>
      </c>
      <c r="AL941" s="18" t="inlineStr">
        <is>
          <t>COBBLEVERSE 1.7.42 / DP v31</t>
        </is>
      </c>
      <c r="AM941" s="18" t="inlineStr">
        <is>
          <t>data/cobblemon/spawn_pool_world/0214_heracross.json</t>
        </is>
      </c>
      <c r="AN941" s="18" t="inlineStr">
        <is>
          <t>heracross-1</t>
        </is>
      </c>
      <c r="AO941" s="18" t="inlineStr">
        <is>
          <t>pokemon</t>
        </is>
      </c>
      <c r="AP941" s="18" t="inlineStr">
        <is>
          <t>natural; treetop; wild</t>
        </is>
      </c>
      <c r="AQ941" s="18" t="inlineStr">
        <is>
          <t>{"biomes":["#cobblemon:is_forest"],"maxSkyLight":15,"minSkyLight":8}</t>
        </is>
      </c>
      <c r="AR941" s="18" t="inlineStr">
        <is>
          <t>{"biomes":["#cobblemon:is_freezing","#cobblemon:is_spooky"],"neededNearbyBlocks":["#cobblemon:saccharine_trees"]}</t>
        </is>
      </c>
      <c r="AS941" s="18" t="inlineStr">
        <is>
          <t>{"weightMultiplier":{"condition":{"timeRange":"twilight"},"multiplier":5.0}}</t>
        </is>
      </c>
      <c r="AT941" s="19" t="inlineStr"/>
    </row>
    <row r="942" ht="32" customHeight="1">
      <c r="A942" s="18" t="inlineStr">
        <is>
          <t>0214_heracross.json::heracross-2::002</t>
        </is>
      </c>
      <c r="B942" s="19" t="inlineStr">
        <is>
          <t>사용</t>
        </is>
      </c>
      <c r="C942" s="18">
        <f>IF(OR(B942&lt;&gt;AK942,M942&lt;&gt;L942,O942&lt;&gt;"",Q942&lt;&gt;"",V942&lt;&gt;1,Y942&lt;&gt;"",AT942&lt;&gt;""),"수정","원본")</f>
        <v/>
      </c>
      <c r="D942" s="18" t="n">
        <v>214</v>
      </c>
      <c r="E942" s="18" t="inlineStr">
        <is>
          <t>헤라크로스</t>
        </is>
      </c>
      <c r="F942" s="18" t="inlineStr">
        <is>
          <t>heracross</t>
        </is>
      </c>
      <c r="G942" s="18" t="inlineStr">
        <is>
          <t>heracross</t>
        </is>
      </c>
      <c r="H942" s="18" t="inlineStr"/>
      <c r="I942" s="18" t="n">
        <v>2</v>
      </c>
      <c r="J942" s="18" t="n"/>
      <c r="K942" s="18" t="n">
        <v>2</v>
      </c>
      <c r="L942" s="18" t="inlineStr">
        <is>
          <t>cobbleventure:generation_2</t>
        </is>
      </c>
      <c r="M942" s="19" t="inlineStr">
        <is>
          <t>cobbleventure:generation_2</t>
        </is>
      </c>
      <c r="N942" s="18" t="inlineStr"/>
      <c r="O942" s="19" t="inlineStr"/>
      <c r="P942" s="18" t="inlineStr">
        <is>
          <t>#cobblemon:is_jungle; aether:skyroot_forest; aether:skyroot_woodland; #cobblemon:is_tropical_island</t>
        </is>
      </c>
      <c r="Q942" s="19" t="inlineStr"/>
      <c r="R942" s="18">
        <f>IF(Q942="",P942,Q942)</f>
        <v/>
      </c>
      <c r="S942" s="18" t="inlineStr"/>
      <c r="T942" s="18" t="inlineStr">
        <is>
          <t>uncommon</t>
        </is>
      </c>
      <c r="U942" s="20" t="n">
        <v>2</v>
      </c>
      <c r="V942" s="21" t="n">
        <v>1</v>
      </c>
      <c r="W942" s="20">
        <f>IF(OR(U942="",V942=""),U942,U942*V942)</f>
        <v/>
      </c>
      <c r="X942" s="18" t="inlineStr">
        <is>
          <t>25-50</t>
        </is>
      </c>
      <c r="Y942" s="19" t="inlineStr"/>
      <c r="Z942" s="18">
        <f>IF(Y942="",X942,Y942)</f>
        <v/>
      </c>
      <c r="AA942" s="18" t="inlineStr">
        <is>
          <t>grounded</t>
        </is>
      </c>
      <c r="AB942" s="18" t="inlineStr"/>
      <c r="AC942" s="18" t="inlineStr"/>
      <c r="AD942" s="18" t="inlineStr"/>
      <c r="AE942" s="18" t="inlineStr">
        <is>
          <t>sky 8-15</t>
        </is>
      </c>
      <c r="AF942" s="18" t="inlineStr"/>
      <c r="AG942" s="18" t="inlineStr"/>
      <c r="AH942" s="18" t="inlineStr"/>
      <c r="AI942" s="18" t="inlineStr"/>
      <c r="AJ942" s="18" t="inlineStr">
        <is>
          <t>Cobblemon 동일</t>
        </is>
      </c>
      <c r="AK942" s="18" t="inlineStr">
        <is>
          <t>사용</t>
        </is>
      </c>
      <c r="AL942" s="18" t="inlineStr">
        <is>
          <t>COBBLEVERSE 1.7.42 / DP v31</t>
        </is>
      </c>
      <c r="AM942" s="18" t="inlineStr">
        <is>
          <t>data/cobblemon/spawn_pool_world/0214_heracross.json</t>
        </is>
      </c>
      <c r="AN942" s="18" t="inlineStr">
        <is>
          <t>heracross-2</t>
        </is>
      </c>
      <c r="AO942" s="18" t="inlineStr">
        <is>
          <t>pokemon</t>
        </is>
      </c>
      <c r="AP942" s="18" t="inlineStr">
        <is>
          <t>natural; treetop; wild</t>
        </is>
      </c>
      <c r="AQ942" s="18" t="inlineStr">
        <is>
          <t>{"biomes":["#cobblemon:is_jungle","aether:skyroot_forest","aether:skyroot_woodland","#cobblemon:is_tropical_island"],"maxSkyLight":15,"minSkyLight":8}</t>
        </is>
      </c>
      <c r="AR942" s="18" t="inlineStr">
        <is>
          <t>{"neededNearbyBlocks":["#cobblemon:saccharine_trees"]}</t>
        </is>
      </c>
      <c r="AS942" s="18" t="inlineStr">
        <is>
          <t>{"weightMultiplier":{"condition":{"timeRange":"twilight"},"multiplier":5.0}}</t>
        </is>
      </c>
      <c r="AT942" s="19" t="inlineStr"/>
    </row>
    <row r="943" ht="32" customHeight="1">
      <c r="A943" s="18" t="inlineStr">
        <is>
          <t>0214_heracross.json::heracross-3::003</t>
        </is>
      </c>
      <c r="B943" s="19" t="inlineStr">
        <is>
          <t>사용</t>
        </is>
      </c>
      <c r="C943" s="18">
        <f>IF(OR(B943&lt;&gt;AK943,M943&lt;&gt;L943,O943&lt;&gt;"",Q943&lt;&gt;"",V943&lt;&gt;1,Y943&lt;&gt;"",AT943&lt;&gt;""),"수정","원본")</f>
        <v/>
      </c>
      <c r="D943" s="18" t="n">
        <v>214</v>
      </c>
      <c r="E943" s="18" t="inlineStr">
        <is>
          <t>헤라크로스</t>
        </is>
      </c>
      <c r="F943" s="18" t="inlineStr">
        <is>
          <t>heracross</t>
        </is>
      </c>
      <c r="G943" s="18" t="inlineStr">
        <is>
          <t>heracross</t>
        </is>
      </c>
      <c r="H943" s="18" t="inlineStr"/>
      <c r="I943" s="18" t="n">
        <v>2</v>
      </c>
      <c r="J943" s="18" t="n"/>
      <c r="K943" s="18" t="n">
        <v>2</v>
      </c>
      <c r="L943" s="18" t="inlineStr">
        <is>
          <t>cobbleventure:generation_2</t>
        </is>
      </c>
      <c r="M943" s="19" t="inlineStr">
        <is>
          <t>cobbleventure:generation_2</t>
        </is>
      </c>
      <c r="N943" s="18" t="inlineStr">
        <is>
          <t>region_01; region_02</t>
        </is>
      </c>
      <c r="O943" s="19" t="inlineStr"/>
      <c r="P943" s="18" t="inlineStr">
        <is>
          <t>#aether:is_aether; #cobblemon:is_overworld</t>
        </is>
      </c>
      <c r="Q943" s="19" t="inlineStr"/>
      <c r="R943" s="18">
        <f>IF(Q943="",P943,Q943)</f>
        <v/>
      </c>
      <c r="S943" s="18" t="inlineStr">
        <is>
          <t>#cobblemon:is_freezing</t>
        </is>
      </c>
      <c r="T943" s="18" t="inlineStr">
        <is>
          <t>uncommon</t>
        </is>
      </c>
      <c r="U943" s="20" t="n">
        <v>2</v>
      </c>
      <c r="V943" s="21" t="n">
        <v>1</v>
      </c>
      <c r="W943" s="20">
        <f>IF(OR(U943="",V943=""),U943,U943*V943)</f>
        <v/>
      </c>
      <c r="X943" s="18" t="inlineStr">
        <is>
          <t>25-50</t>
        </is>
      </c>
      <c r="Y943" s="19" t="inlineStr"/>
      <c r="Z943" s="18">
        <f>IF(Y943="",X943,Y943)</f>
        <v/>
      </c>
      <c r="AA943" s="18" t="inlineStr">
        <is>
          <t>grounded</t>
        </is>
      </c>
      <c r="AB943" s="18" t="inlineStr"/>
      <c r="AC943" s="18" t="inlineStr"/>
      <c r="AD943" s="18" t="inlineStr"/>
      <c r="AE943" s="18" t="inlineStr">
        <is>
          <t>sky 8-15</t>
        </is>
      </c>
      <c r="AF943" s="18" t="inlineStr"/>
      <c r="AG943" s="18" t="inlineStr"/>
      <c r="AH943" s="18" t="inlineStr">
        <is>
          <t>주변=#cobblemon:saccharine_trees</t>
        </is>
      </c>
      <c r="AI943" s="18" t="inlineStr"/>
      <c r="AJ943" s="18" t="inlineStr">
        <is>
          <t>Cobblemon 동일</t>
        </is>
      </c>
      <c r="AK943" s="18" t="inlineStr">
        <is>
          <t>사용</t>
        </is>
      </c>
      <c r="AL943" s="18" t="inlineStr">
        <is>
          <t>COBBLEVERSE 1.7.42 / DP v31</t>
        </is>
      </c>
      <c r="AM943" s="18" t="inlineStr">
        <is>
          <t>data/cobblemon/spawn_pool_world/0214_heracross.json</t>
        </is>
      </c>
      <c r="AN943" s="18" t="inlineStr">
        <is>
          <t>heracross-3</t>
        </is>
      </c>
      <c r="AO943" s="18" t="inlineStr">
        <is>
          <t>pokemon</t>
        </is>
      </c>
      <c r="AP943" s="18" t="inlineStr">
        <is>
          <t>natural; treetop</t>
        </is>
      </c>
      <c r="AQ943" s="18" t="inlineStr">
        <is>
          <t>{"biomes":["#aether:is_aether","#cobblemon:is_overworld"],"maxSkyLight":15,"minSkyLight":8,"neededNearbyBlocks":["#cobblemon:saccharine_trees"]}</t>
        </is>
      </c>
      <c r="AR943" s="18" t="inlineStr">
        <is>
          <t>{"biomes":["#cobblemon:is_freezing"]}</t>
        </is>
      </c>
      <c r="AS943" s="18" t="inlineStr">
        <is>
          <t>{"weightMultiplier":{"condition":{"timeRange":"twilight"},"multiplier":5.0}}</t>
        </is>
      </c>
      <c r="AT943" s="19" t="inlineStr"/>
    </row>
    <row r="944" ht="32" customHeight="1">
      <c r="A944" s="18" t="inlineStr">
        <is>
          <t>0214_heracross.json::heracross-4::004</t>
        </is>
      </c>
      <c r="B944" s="19" t="inlineStr">
        <is>
          <t>사용</t>
        </is>
      </c>
      <c r="C944" s="18">
        <f>IF(OR(B944&lt;&gt;AK944,M944&lt;&gt;L944,O944&lt;&gt;"",Q944&lt;&gt;"",V944&lt;&gt;1,Y944&lt;&gt;"",AT944&lt;&gt;""),"수정","원본")</f>
        <v/>
      </c>
      <c r="D944" s="18" t="n">
        <v>214</v>
      </c>
      <c r="E944" s="18" t="inlineStr">
        <is>
          <t>헤라크로스</t>
        </is>
      </c>
      <c r="F944" s="18" t="inlineStr">
        <is>
          <t>heracross</t>
        </is>
      </c>
      <c r="G944" s="18" t="inlineStr">
        <is>
          <t>heracross</t>
        </is>
      </c>
      <c r="H944" s="18" t="inlineStr"/>
      <c r="I944" s="18" t="n">
        <v>2</v>
      </c>
      <c r="J944" s="18" t="n"/>
      <c r="K944" s="18" t="n">
        <v>2</v>
      </c>
      <c r="L944" s="18" t="inlineStr">
        <is>
          <t>cobbleventure:generation_2</t>
        </is>
      </c>
      <c r="M944" s="19" t="inlineStr">
        <is>
          <t>cobbleventure:generation_2</t>
        </is>
      </c>
      <c r="N944" s="18" t="inlineStr"/>
      <c r="O944" s="19" t="inlineStr"/>
      <c r="P944" s="18" t="inlineStr">
        <is>
          <t>the_bumblezone:crystal_canyon</t>
        </is>
      </c>
      <c r="Q944" s="19" t="inlineStr"/>
      <c r="R944" s="18">
        <f>IF(Q944="",P944,Q944)</f>
        <v/>
      </c>
      <c r="S944" s="18" t="inlineStr"/>
      <c r="T944" s="18" t="inlineStr">
        <is>
          <t>uncommon</t>
        </is>
      </c>
      <c r="U944" s="20" t="n">
        <v>10</v>
      </c>
      <c r="V944" s="21" t="n">
        <v>1</v>
      </c>
      <c r="W944" s="20">
        <f>IF(OR(U944="",V944=""),U944,U944*V944)</f>
        <v/>
      </c>
      <c r="X944" s="18" t="inlineStr">
        <is>
          <t>25-50</t>
        </is>
      </c>
      <c r="Y944" s="19" t="inlineStr"/>
      <c r="Z944" s="18">
        <f>IF(Y944="",X944,Y944)</f>
        <v/>
      </c>
      <c r="AA944" s="18" t="inlineStr">
        <is>
          <t>grounded</t>
        </is>
      </c>
      <c r="AB944" s="18" t="inlineStr"/>
      <c r="AC944" s="18" t="inlineStr"/>
      <c r="AD944" s="18" t="inlineStr"/>
      <c r="AE944" s="18" t="inlineStr"/>
      <c r="AF944" s="18" t="inlineStr"/>
      <c r="AG944" s="18" t="inlineStr"/>
      <c r="AH944" s="18" t="inlineStr"/>
      <c r="AI944" s="18" t="inlineStr"/>
      <c r="AJ944" s="18" t="inlineStr">
        <is>
          <t>Cobblemon 동일</t>
        </is>
      </c>
      <c r="AK944" s="18" t="inlineStr">
        <is>
          <t>사용</t>
        </is>
      </c>
      <c r="AL944" s="18" t="inlineStr">
        <is>
          <t>COBBLEVERSE 1.7.42 / DP v31</t>
        </is>
      </c>
      <c r="AM944" s="18" t="inlineStr">
        <is>
          <t>data/cobblemon/spawn_pool_world/0214_heracross.json</t>
        </is>
      </c>
      <c r="AN944" s="18" t="inlineStr">
        <is>
          <t>heracross-4</t>
        </is>
      </c>
      <c r="AO944" s="18" t="inlineStr">
        <is>
          <t>pokemon</t>
        </is>
      </c>
      <c r="AP944" s="18" t="inlineStr"/>
      <c r="AQ944" s="18" t="inlineStr">
        <is>
          <t>{"biomes":["the_bumblezone:crystal_canyon"]}</t>
        </is>
      </c>
      <c r="AR944" s="18" t="inlineStr">
        <is>
          <t>{"structures":["#the_bumblezone:sempiternal_sanctums"]}</t>
        </is>
      </c>
      <c r="AS944" s="18" t="inlineStr"/>
      <c r="AT944" s="19" t="inlineStr"/>
    </row>
    <row r="945" ht="32" customHeight="1">
      <c r="A945" s="18" t="inlineStr">
        <is>
          <t>0215_sneasel.json::sneasel-1::001</t>
        </is>
      </c>
      <c r="B945" s="19" t="inlineStr">
        <is>
          <t>사용</t>
        </is>
      </c>
      <c r="C945" s="18">
        <f>IF(OR(B945&lt;&gt;AK945,M945&lt;&gt;L945,O945&lt;&gt;"",Q945&lt;&gt;"",V945&lt;&gt;1,Y945&lt;&gt;"",AT945&lt;&gt;""),"수정","원본")</f>
        <v/>
      </c>
      <c r="D945" s="18" t="n">
        <v>215</v>
      </c>
      <c r="E945" s="18" t="inlineStr">
        <is>
          <t>포푸니</t>
        </is>
      </c>
      <c r="F945" s="18" t="inlineStr">
        <is>
          <t>sneasel</t>
        </is>
      </c>
      <c r="G945" s="18" t="inlineStr">
        <is>
          <t>sneasel</t>
        </is>
      </c>
      <c r="H945" s="18" t="inlineStr"/>
      <c r="I945" s="18" t="n">
        <v>2</v>
      </c>
      <c r="J945" s="18" t="n"/>
      <c r="K945" s="18" t="n">
        <v>2</v>
      </c>
      <c r="L945" s="18" t="inlineStr">
        <is>
          <t>cobbleventure:generation_2</t>
        </is>
      </c>
      <c r="M945" s="19" t="inlineStr">
        <is>
          <t>cobbleventure:generation_2</t>
        </is>
      </c>
      <c r="N945" s="18" t="inlineStr"/>
      <c r="O945" s="19" t="inlineStr"/>
      <c r="P945" s="18" t="inlineStr">
        <is>
          <t>#cobblemon:is_taiga</t>
        </is>
      </c>
      <c r="Q945" s="19" t="inlineStr"/>
      <c r="R945" s="18">
        <f>IF(Q945="",P945,Q945)</f>
        <v/>
      </c>
      <c r="S945" s="18" t="inlineStr"/>
      <c r="T945" s="18" t="inlineStr">
        <is>
          <t>uncommon</t>
        </is>
      </c>
      <c r="U945" s="20" t="n">
        <v>9.199999999999999</v>
      </c>
      <c r="V945" s="21" t="n">
        <v>1</v>
      </c>
      <c r="W945" s="20">
        <f>IF(OR(U945="",V945=""),U945,U945*V945)</f>
        <v/>
      </c>
      <c r="X945" s="18" t="inlineStr">
        <is>
          <t>18-43</t>
        </is>
      </c>
      <c r="Y945" s="19" t="inlineStr"/>
      <c r="Z945" s="18">
        <f>IF(Y945="",X945,Y945)</f>
        <v/>
      </c>
      <c r="AA945" s="18" t="inlineStr">
        <is>
          <t>grounded</t>
        </is>
      </c>
      <c r="AB945" s="18" t="inlineStr"/>
      <c r="AC945" s="18" t="inlineStr"/>
      <c r="AD945" s="18" t="inlineStr"/>
      <c r="AE945" s="18" t="inlineStr"/>
      <c r="AF945" s="18" t="inlineStr"/>
      <c r="AG945" s="18" t="inlineStr"/>
      <c r="AH945" s="18" t="inlineStr"/>
      <c r="AI945" s="18" t="inlineStr"/>
      <c r="AJ945" s="18" t="inlineStr">
        <is>
          <t>COBBLEVERSE 수정</t>
        </is>
      </c>
      <c r="AK945" s="18" t="inlineStr">
        <is>
          <t>사용</t>
        </is>
      </c>
      <c r="AL945" s="18" t="inlineStr">
        <is>
          <t>COBBLEVERSE 1.7.42 / DP v31</t>
        </is>
      </c>
      <c r="AM945" s="18" t="inlineStr">
        <is>
          <t>data/cobblemon/spawn_pool_world/0215_sneasel.json</t>
        </is>
      </c>
      <c r="AN945" s="18" t="inlineStr">
        <is>
          <t>sneasel-1</t>
        </is>
      </c>
      <c r="AO945" s="18" t="inlineStr">
        <is>
          <t>pokemon</t>
        </is>
      </c>
      <c r="AP945" s="18" t="inlineStr">
        <is>
          <t>natural; wild</t>
        </is>
      </c>
      <c r="AQ945" s="18" t="inlineStr">
        <is>
          <t>{"biomes":["#cobblemon:is_taiga"]}</t>
        </is>
      </c>
      <c r="AR945" s="18" t="inlineStr"/>
      <c r="AS945" s="18" t="inlineStr">
        <is>
          <t>{"weightMultiplier":{"condition":{"timeRange":"day"},"multiplier":0.25}}</t>
        </is>
      </c>
      <c r="AT945" s="19" t="inlineStr"/>
    </row>
    <row r="946" ht="32" customHeight="1">
      <c r="A946" s="18" t="inlineStr">
        <is>
          <t>0215_sneasel.json::sneasel-hisuian-2::002</t>
        </is>
      </c>
      <c r="B946" s="19" t="inlineStr">
        <is>
          <t>사용</t>
        </is>
      </c>
      <c r="C946" s="18">
        <f>IF(OR(B946&lt;&gt;AK946,M946&lt;&gt;L946,O946&lt;&gt;"",Q946&lt;&gt;"",V946&lt;&gt;1,Y946&lt;&gt;"",AT946&lt;&gt;""),"수정","원본")</f>
        <v/>
      </c>
      <c r="D946" s="18" t="n">
        <v>215</v>
      </c>
      <c r="E946" s="18" t="inlineStr">
        <is>
          <t>포푸니</t>
        </is>
      </c>
      <c r="F946" s="18" t="inlineStr">
        <is>
          <t>sneasel</t>
        </is>
      </c>
      <c r="G946" s="18" t="inlineStr">
        <is>
          <t>sneasel hisuian</t>
        </is>
      </c>
      <c r="H946" s="18" t="inlineStr">
        <is>
          <t>hisuian</t>
        </is>
      </c>
      <c r="I946" s="18" t="n">
        <v>2</v>
      </c>
      <c r="J946" s="18" t="n">
        <v>8</v>
      </c>
      <c r="K946" s="18" t="n">
        <v>8</v>
      </c>
      <c r="L946" s="18" t="inlineStr">
        <is>
          <t>cobbleventure:generation_8</t>
        </is>
      </c>
      <c r="M946" s="19" t="inlineStr">
        <is>
          <t>cobbleventure:generation_8</t>
        </is>
      </c>
      <c r="N946" s="18" t="inlineStr"/>
      <c r="O946" s="19" t="inlineStr"/>
      <c r="P946" s="18" t="inlineStr">
        <is>
          <t>#cobblemon:is_mountain</t>
        </is>
      </c>
      <c r="Q946" s="19" t="inlineStr"/>
      <c r="R946" s="18">
        <f>IF(Q946="",P946,Q946)</f>
        <v/>
      </c>
      <c r="S946" s="18" t="inlineStr">
        <is>
          <t>#cobblemon:is_arid; #cobblemon:is_taiga; #cobblemon:is_volcanic</t>
        </is>
      </c>
      <c r="T946" s="18" t="inlineStr">
        <is>
          <t>uncommon</t>
        </is>
      </c>
      <c r="U946" s="20" t="n">
        <v>9.199999999999999</v>
      </c>
      <c r="V946" s="21" t="n">
        <v>1</v>
      </c>
      <c r="W946" s="20">
        <f>IF(OR(U946="",V946=""),U946,U946*V946)</f>
        <v/>
      </c>
      <c r="X946" s="18" t="inlineStr">
        <is>
          <t>18-43</t>
        </is>
      </c>
      <c r="Y946" s="19" t="inlineStr"/>
      <c r="Z946" s="18">
        <f>IF(Y946="",X946,Y946)</f>
        <v/>
      </c>
      <c r="AA946" s="18" t="inlineStr">
        <is>
          <t>grounded</t>
        </is>
      </c>
      <c r="AB946" s="18" t="inlineStr"/>
      <c r="AC946" s="18" t="inlineStr"/>
      <c r="AD946" s="18" t="inlineStr"/>
      <c r="AE946" s="18" t="inlineStr">
        <is>
          <t>sky 8-15</t>
        </is>
      </c>
      <c r="AF946" s="18" t="inlineStr"/>
      <c r="AG946" s="18" t="inlineStr"/>
      <c r="AH946" s="18" t="inlineStr"/>
      <c r="AI946" s="18" t="inlineStr"/>
      <c r="AJ946" s="18" t="inlineStr">
        <is>
          <t>COBBLEVERSE 수정</t>
        </is>
      </c>
      <c r="AK946" s="18" t="inlineStr">
        <is>
          <t>사용</t>
        </is>
      </c>
      <c r="AL946" s="18" t="inlineStr">
        <is>
          <t>COBBLEVERSE 1.7.42 / DP v31</t>
        </is>
      </c>
      <c r="AM946" s="18" t="inlineStr">
        <is>
          <t>data/cobblemon/spawn_pool_world/0215_sneasel.json</t>
        </is>
      </c>
      <c r="AN946" s="18" t="inlineStr">
        <is>
          <t>sneasel-hisuian-2</t>
        </is>
      </c>
      <c r="AO946" s="18" t="inlineStr">
        <is>
          <t>pokemon</t>
        </is>
      </c>
      <c r="AP946" s="18" t="inlineStr">
        <is>
          <t>natural; wild</t>
        </is>
      </c>
      <c r="AQ946" s="18" t="inlineStr">
        <is>
          <t>{"biomes":["#cobblemon:is_mountain"],"maxSkyLight":15,"minSkyLight":8}</t>
        </is>
      </c>
      <c r="AR946" s="18" t="inlineStr">
        <is>
          <t>{"biomes":["#cobblemon:is_arid","#cobblemon:is_taiga","#cobblemon:is_volcanic"]}</t>
        </is>
      </c>
      <c r="AS946" s="18" t="inlineStr">
        <is>
          <t>{"weightMultiplier":{"condition":{"timeRange":"night"},"multiplier":0.25}}</t>
        </is>
      </c>
      <c r="AT946" s="19" t="inlineStr"/>
    </row>
    <row r="947" ht="32" customHeight="1">
      <c r="A947" s="18" t="inlineStr">
        <is>
          <t>0216_teddiursa.json::teddiursa-1::001</t>
        </is>
      </c>
      <c r="B947" s="19" t="inlineStr">
        <is>
          <t>사용</t>
        </is>
      </c>
      <c r="C947" s="18">
        <f>IF(OR(B947&lt;&gt;AK947,M947&lt;&gt;L947,O947&lt;&gt;"",Q947&lt;&gt;"",V947&lt;&gt;1,Y947&lt;&gt;"",AT947&lt;&gt;""),"수정","원본")</f>
        <v/>
      </c>
      <c r="D947" s="18" t="n">
        <v>216</v>
      </c>
      <c r="E947" s="18" t="inlineStr">
        <is>
          <t>깜지곰</t>
        </is>
      </c>
      <c r="F947" s="18" t="inlineStr">
        <is>
          <t>teddiursa</t>
        </is>
      </c>
      <c r="G947" s="18" t="inlineStr">
        <is>
          <t>teddiursa</t>
        </is>
      </c>
      <c r="H947" s="18" t="inlineStr"/>
      <c r="I947" s="18" t="n">
        <v>2</v>
      </c>
      <c r="J947" s="18" t="n"/>
      <c r="K947" s="18" t="n">
        <v>2</v>
      </c>
      <c r="L947" s="18" t="inlineStr">
        <is>
          <t>cobbleventure:generation_2</t>
        </is>
      </c>
      <c r="M947" s="19" t="inlineStr">
        <is>
          <t>cobbleventure:generation_2</t>
        </is>
      </c>
      <c r="N947" s="18" t="inlineStr">
        <is>
          <t>region_01</t>
        </is>
      </c>
      <c r="O947" s="19" t="inlineStr"/>
      <c r="P947" s="18" t="inlineStr">
        <is>
          <t>#cobblemon:is_forest; #cobblemon:is_mountain; aether:skyroot_forest; aether:skyroot_woodland; #cobblemon:is_taiga</t>
        </is>
      </c>
      <c r="Q947" s="19" t="inlineStr"/>
      <c r="R947" s="18">
        <f>IF(Q947="",P947,Q947)</f>
        <v/>
      </c>
      <c r="S947" s="18" t="inlineStr">
        <is>
          <t>#cobblemon:is_volcanic</t>
        </is>
      </c>
      <c r="T947" s="18" t="inlineStr">
        <is>
          <t>common</t>
        </is>
      </c>
      <c r="U947" s="20" t="n">
        <v>1.8</v>
      </c>
      <c r="V947" s="21" t="n">
        <v>1</v>
      </c>
      <c r="W947" s="20">
        <f>IF(OR(U947="",V947=""),U947,U947*V947)</f>
        <v/>
      </c>
      <c r="X947" s="18" t="inlineStr">
        <is>
          <t>8-33</t>
        </is>
      </c>
      <c r="Y947" s="19" t="inlineStr"/>
      <c r="Z947" s="18">
        <f>IF(Y947="",X947,Y947)</f>
        <v/>
      </c>
      <c r="AA947" s="18" t="inlineStr">
        <is>
          <t>grounded</t>
        </is>
      </c>
      <c r="AB947" s="18" t="inlineStr"/>
      <c r="AC947" s="18" t="inlineStr"/>
      <c r="AD947" s="18" t="inlineStr">
        <is>
          <t>minY=48</t>
        </is>
      </c>
      <c r="AE947" s="18" t="inlineStr"/>
      <c r="AF947" s="18" t="inlineStr"/>
      <c r="AG947" s="18" t="inlineStr"/>
      <c r="AH947" s="18" t="inlineStr"/>
      <c r="AI947" s="18" t="inlineStr"/>
      <c r="AJ947" s="18" t="inlineStr">
        <is>
          <t>Cobblemon 동일</t>
        </is>
      </c>
      <c r="AK947" s="18" t="inlineStr">
        <is>
          <t>사용</t>
        </is>
      </c>
      <c r="AL947" s="18" t="inlineStr">
        <is>
          <t>COBBLEVERSE 1.7.42 / DP v31</t>
        </is>
      </c>
      <c r="AM947" s="18" t="inlineStr">
        <is>
          <t>data/cobblemon/spawn_pool_world/0216_teddiursa.json</t>
        </is>
      </c>
      <c r="AN947" s="18" t="inlineStr">
        <is>
          <t>teddiursa-1</t>
        </is>
      </c>
      <c r="AO947" s="18" t="inlineStr">
        <is>
          <t>pokemon</t>
        </is>
      </c>
      <c r="AP947" s="18" t="inlineStr">
        <is>
          <t>natural; wild</t>
        </is>
      </c>
      <c r="AQ947" s="18" t="inlineStr">
        <is>
          <t>{"biomes":["#cobblemon:is_forest","#cobblemon:is_mountain","aether:skyroot_forest","aether:skyroot_woodland","#cobblemon:is_taiga"],"minY":48}</t>
        </is>
      </c>
      <c r="AR947" s="18" t="inlineStr">
        <is>
          <t>{"biomes":["#cobblemon:is_volcanic"],"neededNearbyBlocks":["#cobblemon:saccharine_trees"]}</t>
        </is>
      </c>
      <c r="AS947" s="18" t="inlineStr"/>
      <c r="AT947" s="19" t="inlineStr"/>
    </row>
    <row r="948" ht="32" customHeight="1">
      <c r="A948" s="18" t="inlineStr">
        <is>
          <t>0216_teddiursa.json::teddiursa-2::002</t>
        </is>
      </c>
      <c r="B948" s="19" t="inlineStr">
        <is>
          <t>사용</t>
        </is>
      </c>
      <c r="C948" s="18">
        <f>IF(OR(B948&lt;&gt;AK948,M948&lt;&gt;L948,O948&lt;&gt;"",Q948&lt;&gt;"",V948&lt;&gt;1,Y948&lt;&gt;"",AT948&lt;&gt;""),"수정","원본")</f>
        <v/>
      </c>
      <c r="D948" s="18" t="n">
        <v>216</v>
      </c>
      <c r="E948" s="18" t="inlineStr">
        <is>
          <t>깜지곰</t>
        </is>
      </c>
      <c r="F948" s="18" t="inlineStr">
        <is>
          <t>teddiursa</t>
        </is>
      </c>
      <c r="G948" s="18" t="inlineStr">
        <is>
          <t>teddiursa</t>
        </is>
      </c>
      <c r="H948" s="18" t="inlineStr"/>
      <c r="I948" s="18" t="n">
        <v>2</v>
      </c>
      <c r="J948" s="18" t="n"/>
      <c r="K948" s="18" t="n">
        <v>2</v>
      </c>
      <c r="L948" s="18" t="inlineStr">
        <is>
          <t>cobbleventure:generation_2</t>
        </is>
      </c>
      <c r="M948" s="19" t="inlineStr">
        <is>
          <t>cobbleventure:generation_2</t>
        </is>
      </c>
      <c r="N948" s="18" t="inlineStr">
        <is>
          <t>region_01; region_02</t>
        </is>
      </c>
      <c r="O948" s="19" t="inlineStr"/>
      <c r="P948" s="18" t="inlineStr">
        <is>
          <t>#aether:is_aether; #cobblemon:is_overworld</t>
        </is>
      </c>
      <c r="Q948" s="19" t="inlineStr"/>
      <c r="R948" s="18">
        <f>IF(Q948="",P948,Q948)</f>
        <v/>
      </c>
      <c r="S948" s="18" t="inlineStr"/>
      <c r="T948" s="18" t="inlineStr">
        <is>
          <t>common</t>
        </is>
      </c>
      <c r="U948" s="20" t="n">
        <v>5.4</v>
      </c>
      <c r="V948" s="21" t="n">
        <v>1</v>
      </c>
      <c r="W948" s="20">
        <f>IF(OR(U948="",V948=""),U948,U948*V948)</f>
        <v/>
      </c>
      <c r="X948" s="18" t="inlineStr">
        <is>
          <t>8-33</t>
        </is>
      </c>
      <c r="Y948" s="19" t="inlineStr"/>
      <c r="Z948" s="18">
        <f>IF(Y948="",X948,Y948)</f>
        <v/>
      </c>
      <c r="AA948" s="18" t="inlineStr">
        <is>
          <t>grounded</t>
        </is>
      </c>
      <c r="AB948" s="18" t="inlineStr"/>
      <c r="AC948" s="18" t="inlineStr"/>
      <c r="AD948" s="18" t="inlineStr"/>
      <c r="AE948" s="18" t="inlineStr">
        <is>
          <t>sky 8-15</t>
        </is>
      </c>
      <c r="AF948" s="18" t="inlineStr"/>
      <c r="AG948" s="18" t="inlineStr"/>
      <c r="AH948" s="18" t="inlineStr">
        <is>
          <t>주변=#cobblemon:saccharine_trees</t>
        </is>
      </c>
      <c r="AI948" s="18" t="inlineStr"/>
      <c r="AJ948" s="18" t="inlineStr">
        <is>
          <t>Cobblemon 동일</t>
        </is>
      </c>
      <c r="AK948" s="18" t="inlineStr">
        <is>
          <t>사용</t>
        </is>
      </c>
      <c r="AL948" s="18" t="inlineStr">
        <is>
          <t>COBBLEVERSE 1.7.42 / DP v31</t>
        </is>
      </c>
      <c r="AM948" s="18" t="inlineStr">
        <is>
          <t>data/cobblemon/spawn_pool_world/0216_teddiursa.json</t>
        </is>
      </c>
      <c r="AN948" s="18" t="inlineStr">
        <is>
          <t>teddiursa-2</t>
        </is>
      </c>
      <c r="AO948" s="18" t="inlineStr">
        <is>
          <t>pokemon</t>
        </is>
      </c>
      <c r="AP948" s="18" t="inlineStr">
        <is>
          <t>natural; wild</t>
        </is>
      </c>
      <c r="AQ948" s="18" t="inlineStr">
        <is>
          <t>{"biomes":["#aether:is_aether","#cobblemon:is_overworld"],"maxSkyLight":15,"minSkyLight":8,"neededNearbyBlocks":["#cobblemon:saccharine_trees"]}</t>
        </is>
      </c>
      <c r="AR948" s="18" t="inlineStr"/>
      <c r="AS948" s="18" t="inlineStr"/>
      <c r="AT948" s="19" t="inlineStr"/>
    </row>
    <row r="949" ht="32" customHeight="1">
      <c r="A949" s="18" t="inlineStr">
        <is>
          <t>0216_teddiursa.json::teddiursa-3::003</t>
        </is>
      </c>
      <c r="B949" s="19" t="inlineStr">
        <is>
          <t>사용</t>
        </is>
      </c>
      <c r="C949" s="18">
        <f>IF(OR(B949&lt;&gt;AK949,M949&lt;&gt;L949,O949&lt;&gt;"",Q949&lt;&gt;"",V949&lt;&gt;1,Y949&lt;&gt;"",AT949&lt;&gt;""),"수정","원본")</f>
        <v/>
      </c>
      <c r="D949" s="18" t="n">
        <v>216</v>
      </c>
      <c r="E949" s="18" t="inlineStr">
        <is>
          <t>깜지곰</t>
        </is>
      </c>
      <c r="F949" s="18" t="inlineStr">
        <is>
          <t>teddiursa</t>
        </is>
      </c>
      <c r="G949" s="18" t="inlineStr">
        <is>
          <t>teddiursa</t>
        </is>
      </c>
      <c r="H949" s="18" t="inlineStr"/>
      <c r="I949" s="18" t="n">
        <v>2</v>
      </c>
      <c r="J949" s="18" t="n"/>
      <c r="K949" s="18" t="n">
        <v>2</v>
      </c>
      <c r="L949" s="18" t="inlineStr">
        <is>
          <t>cobbleventure:generation_2</t>
        </is>
      </c>
      <c r="M949" s="19" t="inlineStr">
        <is>
          <t>cobbleventure:generation_2</t>
        </is>
      </c>
      <c r="N949" s="18" t="inlineStr"/>
      <c r="O949" s="19" t="inlineStr"/>
      <c r="P949" s="18" t="inlineStr">
        <is>
          <t>the_bumblezone:crystal_canyon; the_bumblezone:floral_meadow</t>
        </is>
      </c>
      <c r="Q949" s="19" t="inlineStr"/>
      <c r="R949" s="18">
        <f>IF(Q949="",P949,Q949)</f>
        <v/>
      </c>
      <c r="S949" s="18" t="inlineStr"/>
      <c r="T949" s="18" t="inlineStr">
        <is>
          <t>common</t>
        </is>
      </c>
      <c r="U949" s="20" t="n">
        <v>1.8</v>
      </c>
      <c r="V949" s="21" t="n">
        <v>1</v>
      </c>
      <c r="W949" s="20">
        <f>IF(OR(U949="",V949=""),U949,U949*V949)</f>
        <v/>
      </c>
      <c r="X949" s="18" t="inlineStr">
        <is>
          <t>8-33</t>
        </is>
      </c>
      <c r="Y949" s="19" t="inlineStr"/>
      <c r="Z949" s="18">
        <f>IF(Y949="",X949,Y949)</f>
        <v/>
      </c>
      <c r="AA949" s="18" t="inlineStr">
        <is>
          <t>grounded</t>
        </is>
      </c>
      <c r="AB949" s="18" t="inlineStr"/>
      <c r="AC949" s="18" t="inlineStr"/>
      <c r="AD949" s="18" t="inlineStr"/>
      <c r="AE949" s="18" t="inlineStr"/>
      <c r="AF949" s="18" t="inlineStr"/>
      <c r="AG949" s="18" t="inlineStr"/>
      <c r="AH949" s="18" t="inlineStr"/>
      <c r="AI949" s="18" t="inlineStr"/>
      <c r="AJ949" s="18" t="inlineStr">
        <is>
          <t>Cobblemon 동일</t>
        </is>
      </c>
      <c r="AK949" s="18" t="inlineStr">
        <is>
          <t>사용</t>
        </is>
      </c>
      <c r="AL949" s="18" t="inlineStr">
        <is>
          <t>COBBLEVERSE 1.7.42 / DP v31</t>
        </is>
      </c>
      <c r="AM949" s="18" t="inlineStr">
        <is>
          <t>data/cobblemon/spawn_pool_world/0216_teddiursa.json</t>
        </is>
      </c>
      <c r="AN949" s="18" t="inlineStr">
        <is>
          <t>teddiursa-3</t>
        </is>
      </c>
      <c r="AO949" s="18" t="inlineStr">
        <is>
          <t>pokemon</t>
        </is>
      </c>
      <c r="AP949" s="18" t="inlineStr"/>
      <c r="AQ949" s="18" t="inlineStr">
        <is>
          <t>{"biomes":["the_bumblezone:crystal_canyon","the_bumblezone:floral_meadow"]}</t>
        </is>
      </c>
      <c r="AR949" s="18" t="inlineStr">
        <is>
          <t>{"structures":["#the_bumblezone:sempiternal_sanctums"]}</t>
        </is>
      </c>
      <c r="AS949" s="18" t="inlineStr"/>
      <c r="AT949" s="19" t="inlineStr"/>
    </row>
    <row r="950" ht="32" customHeight="1">
      <c r="A950" s="18" t="inlineStr">
        <is>
          <t>0217_ursaring.json::ursaring-1::001</t>
        </is>
      </c>
      <c r="B950" s="19" t="inlineStr">
        <is>
          <t>사용</t>
        </is>
      </c>
      <c r="C950" s="18">
        <f>IF(OR(B950&lt;&gt;AK950,M950&lt;&gt;L950,O950&lt;&gt;"",Q950&lt;&gt;"",V950&lt;&gt;1,Y950&lt;&gt;"",AT950&lt;&gt;""),"수정","원본")</f>
        <v/>
      </c>
      <c r="D950" s="18" t="n">
        <v>217</v>
      </c>
      <c r="E950" s="18" t="inlineStr">
        <is>
          <t>링곰</t>
        </is>
      </c>
      <c r="F950" s="18" t="inlineStr">
        <is>
          <t>ursaring</t>
        </is>
      </c>
      <c r="G950" s="18" t="inlineStr">
        <is>
          <t>ursaring</t>
        </is>
      </c>
      <c r="H950" s="18" t="inlineStr"/>
      <c r="I950" s="18" t="n">
        <v>2</v>
      </c>
      <c r="J950" s="18" t="n"/>
      <c r="K950" s="18" t="n">
        <v>2</v>
      </c>
      <c r="L950" s="18" t="inlineStr">
        <is>
          <t>cobbleventure:generation_2</t>
        </is>
      </c>
      <c r="M950" s="19" t="inlineStr">
        <is>
          <t>cobbleventure:generation_2</t>
        </is>
      </c>
      <c r="N950" s="18" t="inlineStr">
        <is>
          <t>region_01</t>
        </is>
      </c>
      <c r="O950" s="19" t="inlineStr"/>
      <c r="P950" s="18" t="inlineStr">
        <is>
          <t>#cobblemon:is_forest; #cobblemon:is_mountain; aether:skyroot_forest; aether:skyroot_woodland; #cobblemon:is_taiga</t>
        </is>
      </c>
      <c r="Q950" s="19" t="inlineStr"/>
      <c r="R950" s="18">
        <f>IF(Q950="",P950,Q950)</f>
        <v/>
      </c>
      <c r="S950" s="18" t="inlineStr">
        <is>
          <t>#cobblemon:is_volcanic</t>
        </is>
      </c>
      <c r="T950" s="18" t="inlineStr">
        <is>
          <t>common</t>
        </is>
      </c>
      <c r="U950" s="20" t="n">
        <v>0.19</v>
      </c>
      <c r="V950" s="21" t="n">
        <v>1</v>
      </c>
      <c r="W950" s="20">
        <f>IF(OR(U950="",V950=""),U950,U950*V950)</f>
        <v/>
      </c>
      <c r="X950" s="18" t="inlineStr">
        <is>
          <t>30-50</t>
        </is>
      </c>
      <c r="Y950" s="19" t="inlineStr"/>
      <c r="Z950" s="18">
        <f>IF(Y950="",X950,Y950)</f>
        <v/>
      </c>
      <c r="AA950" s="18" t="inlineStr">
        <is>
          <t>grounded</t>
        </is>
      </c>
      <c r="AB950" s="18" t="inlineStr"/>
      <c r="AC950" s="18" t="inlineStr"/>
      <c r="AD950" s="18" t="inlineStr">
        <is>
          <t>minY=48</t>
        </is>
      </c>
      <c r="AE950" s="18" t="inlineStr"/>
      <c r="AF950" s="18" t="inlineStr"/>
      <c r="AG950" s="18" t="inlineStr"/>
      <c r="AH950" s="18" t="inlineStr"/>
      <c r="AI950" s="18" t="inlineStr"/>
      <c r="AJ950" s="18" t="inlineStr">
        <is>
          <t>Cobblemon 동일</t>
        </is>
      </c>
      <c r="AK950" s="18" t="inlineStr">
        <is>
          <t>사용</t>
        </is>
      </c>
      <c r="AL950" s="18" t="inlineStr">
        <is>
          <t>COBBLEVERSE 1.7.42 / DP v31</t>
        </is>
      </c>
      <c r="AM950" s="18" t="inlineStr">
        <is>
          <t>data/cobblemon/spawn_pool_world/0217_ursaring.json</t>
        </is>
      </c>
      <c r="AN950" s="18" t="inlineStr">
        <is>
          <t>ursaring-1</t>
        </is>
      </c>
      <c r="AO950" s="18" t="inlineStr">
        <is>
          <t>pokemon</t>
        </is>
      </c>
      <c r="AP950" s="18" t="inlineStr">
        <is>
          <t>natural; wild</t>
        </is>
      </c>
      <c r="AQ950" s="18" t="inlineStr">
        <is>
          <t>{"biomes":["#cobblemon:is_forest","#cobblemon:is_mountain","aether:skyroot_forest","aether:skyroot_woodland","#cobblemon:is_taiga"],"minY":48}</t>
        </is>
      </c>
      <c r="AR950" s="18" t="inlineStr">
        <is>
          <t>{"biomes":["#cobblemon:is_volcanic"],"neededNearbyBlocks":["#cobblemon:saccharine_trees"]}</t>
        </is>
      </c>
      <c r="AS950" s="18" t="inlineStr"/>
      <c r="AT950" s="19" t="inlineStr"/>
    </row>
    <row r="951" ht="32" customHeight="1">
      <c r="A951" s="18" t="inlineStr">
        <is>
          <t>0217_ursaring.json::ursaring-2::002</t>
        </is>
      </c>
      <c r="B951" s="19" t="inlineStr">
        <is>
          <t>사용</t>
        </is>
      </c>
      <c r="C951" s="18">
        <f>IF(OR(B951&lt;&gt;AK951,M951&lt;&gt;L951,O951&lt;&gt;"",Q951&lt;&gt;"",V951&lt;&gt;1,Y951&lt;&gt;"",AT951&lt;&gt;""),"수정","원본")</f>
        <v/>
      </c>
      <c r="D951" s="18" t="n">
        <v>217</v>
      </c>
      <c r="E951" s="18" t="inlineStr">
        <is>
          <t>링곰</t>
        </is>
      </c>
      <c r="F951" s="18" t="inlineStr">
        <is>
          <t>ursaring</t>
        </is>
      </c>
      <c r="G951" s="18" t="inlineStr">
        <is>
          <t>ursaring</t>
        </is>
      </c>
      <c r="H951" s="18" t="inlineStr"/>
      <c r="I951" s="18" t="n">
        <v>2</v>
      </c>
      <c r="J951" s="18" t="n"/>
      <c r="K951" s="18" t="n">
        <v>2</v>
      </c>
      <c r="L951" s="18" t="inlineStr">
        <is>
          <t>cobbleventure:generation_2</t>
        </is>
      </c>
      <c r="M951" s="19" t="inlineStr">
        <is>
          <t>cobbleventure:generation_2</t>
        </is>
      </c>
      <c r="N951" s="18" t="inlineStr">
        <is>
          <t>region_01; region_02</t>
        </is>
      </c>
      <c r="O951" s="19" t="inlineStr"/>
      <c r="P951" s="18" t="inlineStr">
        <is>
          <t>#aether:is_aether; #cobblemon:is_overworld</t>
        </is>
      </c>
      <c r="Q951" s="19" t="inlineStr"/>
      <c r="R951" s="18">
        <f>IF(Q951="",P951,Q951)</f>
        <v/>
      </c>
      <c r="S951" s="18" t="inlineStr"/>
      <c r="T951" s="18" t="inlineStr">
        <is>
          <t>common</t>
        </is>
      </c>
      <c r="U951" s="20" t="n">
        <v>0.57</v>
      </c>
      <c r="V951" s="21" t="n">
        <v>1</v>
      </c>
      <c r="W951" s="20">
        <f>IF(OR(U951="",V951=""),U951,U951*V951)</f>
        <v/>
      </c>
      <c r="X951" s="18" t="inlineStr">
        <is>
          <t>30-50</t>
        </is>
      </c>
      <c r="Y951" s="19" t="inlineStr"/>
      <c r="Z951" s="18">
        <f>IF(Y951="",X951,Y951)</f>
        <v/>
      </c>
      <c r="AA951" s="18" t="inlineStr">
        <is>
          <t>grounded</t>
        </is>
      </c>
      <c r="AB951" s="18" t="inlineStr"/>
      <c r="AC951" s="18" t="inlineStr"/>
      <c r="AD951" s="18" t="inlineStr"/>
      <c r="AE951" s="18" t="inlineStr">
        <is>
          <t>sky 8-15</t>
        </is>
      </c>
      <c r="AF951" s="18" t="inlineStr"/>
      <c r="AG951" s="18" t="inlineStr"/>
      <c r="AH951" s="18" t="inlineStr">
        <is>
          <t>주변=#cobblemon:saccharine_trees</t>
        </is>
      </c>
      <c r="AI951" s="18" t="inlineStr"/>
      <c r="AJ951" s="18" t="inlineStr">
        <is>
          <t>Cobblemon 동일</t>
        </is>
      </c>
      <c r="AK951" s="18" t="inlineStr">
        <is>
          <t>사용</t>
        </is>
      </c>
      <c r="AL951" s="18" t="inlineStr">
        <is>
          <t>COBBLEVERSE 1.7.42 / DP v31</t>
        </is>
      </c>
      <c r="AM951" s="18" t="inlineStr">
        <is>
          <t>data/cobblemon/spawn_pool_world/0217_ursaring.json</t>
        </is>
      </c>
      <c r="AN951" s="18" t="inlineStr">
        <is>
          <t>ursaring-2</t>
        </is>
      </c>
      <c r="AO951" s="18" t="inlineStr">
        <is>
          <t>pokemon</t>
        </is>
      </c>
      <c r="AP951" s="18" t="inlineStr">
        <is>
          <t>natural; wild</t>
        </is>
      </c>
      <c r="AQ951" s="18" t="inlineStr">
        <is>
          <t>{"biomes":["#aether:is_aether","#cobblemon:is_overworld"],"maxSkyLight":15,"minSkyLight":8,"neededNearbyBlocks":["#cobblemon:saccharine_trees"]}</t>
        </is>
      </c>
      <c r="AR951" s="18" t="inlineStr"/>
      <c r="AS951" s="18" t="inlineStr"/>
      <c r="AT951" s="19" t="inlineStr"/>
    </row>
    <row r="952" ht="32" customHeight="1">
      <c r="A952" s="18" t="inlineStr">
        <is>
          <t>0217_ursaring.json::ursaring-3::003</t>
        </is>
      </c>
      <c r="B952" s="19" t="inlineStr">
        <is>
          <t>사용</t>
        </is>
      </c>
      <c r="C952" s="18">
        <f>IF(OR(B952&lt;&gt;AK952,M952&lt;&gt;L952,O952&lt;&gt;"",Q952&lt;&gt;"",V952&lt;&gt;1,Y952&lt;&gt;"",AT952&lt;&gt;""),"수정","원본")</f>
        <v/>
      </c>
      <c r="D952" s="18" t="n">
        <v>217</v>
      </c>
      <c r="E952" s="18" t="inlineStr">
        <is>
          <t>링곰</t>
        </is>
      </c>
      <c r="F952" s="18" t="inlineStr">
        <is>
          <t>ursaring</t>
        </is>
      </c>
      <c r="G952" s="18" t="inlineStr">
        <is>
          <t>ursaring</t>
        </is>
      </c>
      <c r="H952" s="18" t="inlineStr"/>
      <c r="I952" s="18" t="n">
        <v>2</v>
      </c>
      <c r="J952" s="18" t="n"/>
      <c r="K952" s="18" t="n">
        <v>2</v>
      </c>
      <c r="L952" s="18" t="inlineStr">
        <is>
          <t>cobbleventure:generation_2</t>
        </is>
      </c>
      <c r="M952" s="19" t="inlineStr">
        <is>
          <t>cobbleventure:generation_2</t>
        </is>
      </c>
      <c r="N952" s="18" t="inlineStr"/>
      <c r="O952" s="19" t="inlineStr"/>
      <c r="P952" s="18" t="inlineStr">
        <is>
          <t>the_bumblezone:crystal_canyon; the_bumblezone:floral_meadow</t>
        </is>
      </c>
      <c r="Q952" s="19" t="inlineStr"/>
      <c r="R952" s="18">
        <f>IF(Q952="",P952,Q952)</f>
        <v/>
      </c>
      <c r="S952" s="18" t="inlineStr"/>
      <c r="T952" s="18" t="inlineStr">
        <is>
          <t>common</t>
        </is>
      </c>
      <c r="U952" s="20" t="n">
        <v>0.19</v>
      </c>
      <c r="V952" s="21" t="n">
        <v>1</v>
      </c>
      <c r="W952" s="20">
        <f>IF(OR(U952="",V952=""),U952,U952*V952)</f>
        <v/>
      </c>
      <c r="X952" s="18" t="inlineStr">
        <is>
          <t>30-50</t>
        </is>
      </c>
      <c r="Y952" s="19" t="inlineStr"/>
      <c r="Z952" s="18">
        <f>IF(Y952="",X952,Y952)</f>
        <v/>
      </c>
      <c r="AA952" s="18" t="inlineStr">
        <is>
          <t>grounded</t>
        </is>
      </c>
      <c r="AB952" s="18" t="inlineStr"/>
      <c r="AC952" s="18" t="inlineStr"/>
      <c r="AD952" s="18" t="inlineStr"/>
      <c r="AE952" s="18" t="inlineStr"/>
      <c r="AF952" s="18" t="inlineStr"/>
      <c r="AG952" s="18" t="inlineStr"/>
      <c r="AH952" s="18" t="inlineStr"/>
      <c r="AI952" s="18" t="inlineStr"/>
      <c r="AJ952" s="18" t="inlineStr">
        <is>
          <t>Cobblemon 동일</t>
        </is>
      </c>
      <c r="AK952" s="18" t="inlineStr">
        <is>
          <t>사용</t>
        </is>
      </c>
      <c r="AL952" s="18" t="inlineStr">
        <is>
          <t>COBBLEVERSE 1.7.42 / DP v31</t>
        </is>
      </c>
      <c r="AM952" s="18" t="inlineStr">
        <is>
          <t>data/cobblemon/spawn_pool_world/0217_ursaring.json</t>
        </is>
      </c>
      <c r="AN952" s="18" t="inlineStr">
        <is>
          <t>ursaring-3</t>
        </is>
      </c>
      <c r="AO952" s="18" t="inlineStr">
        <is>
          <t>pokemon</t>
        </is>
      </c>
      <c r="AP952" s="18" t="inlineStr"/>
      <c r="AQ952" s="18" t="inlineStr">
        <is>
          <t>{"biomes":["the_bumblezone:crystal_canyon","the_bumblezone:floral_meadow"]}</t>
        </is>
      </c>
      <c r="AR952" s="18" t="inlineStr">
        <is>
          <t>{"structures":["#the_bumblezone:sempiternal_sanctums"]}</t>
        </is>
      </c>
      <c r="AS952" s="18" t="inlineStr"/>
      <c r="AT952" s="19" t="inlineStr"/>
    </row>
    <row r="953" ht="32" customHeight="1">
      <c r="A953" s="18" t="inlineStr">
        <is>
          <t>0218_slugma.json::slugma-3::001</t>
        </is>
      </c>
      <c r="B953" s="19" t="inlineStr">
        <is>
          <t>사용</t>
        </is>
      </c>
      <c r="C953" s="18">
        <f>IF(OR(B953&lt;&gt;AK953,M953&lt;&gt;L953,O953&lt;&gt;"",Q953&lt;&gt;"",V953&lt;&gt;1,Y953&lt;&gt;"",AT953&lt;&gt;""),"수정","원본")</f>
        <v/>
      </c>
      <c r="D953" s="18" t="n">
        <v>218</v>
      </c>
      <c r="E953" s="18" t="inlineStr">
        <is>
          <t>마그마그</t>
        </is>
      </c>
      <c r="F953" s="18" t="inlineStr">
        <is>
          <t>slugma</t>
        </is>
      </c>
      <c r="G953" s="18" t="inlineStr">
        <is>
          <t>slugma</t>
        </is>
      </c>
      <c r="H953" s="18" t="inlineStr"/>
      <c r="I953" s="18" t="n">
        <v>2</v>
      </c>
      <c r="J953" s="18" t="n"/>
      <c r="K953" s="18" t="n">
        <v>2</v>
      </c>
      <c r="L953" s="18" t="inlineStr">
        <is>
          <t>cobbleventure:generation_2</t>
        </is>
      </c>
      <c r="M953" s="19" t="inlineStr">
        <is>
          <t>cobbleventure:generation_2</t>
        </is>
      </c>
      <c r="N953" s="18" t="inlineStr"/>
      <c r="O953" s="19" t="inlineStr"/>
      <c r="P953" s="18" t="inlineStr">
        <is>
          <t>#cobblemon:nether/is_basalt; #cobblemon:nether/is_wasteland</t>
        </is>
      </c>
      <c r="Q953" s="19" t="inlineStr"/>
      <c r="R953" s="18">
        <f>IF(Q953="",P953,Q953)</f>
        <v/>
      </c>
      <c r="S953" s="18" t="inlineStr"/>
      <c r="T953" s="18" t="inlineStr">
        <is>
          <t>common</t>
        </is>
      </c>
      <c r="U953" s="20" t="n">
        <v>5.4</v>
      </c>
      <c r="V953" s="21" t="n">
        <v>1</v>
      </c>
      <c r="W953" s="20">
        <f>IF(OR(U953="",V953=""),U953,U953*V953)</f>
        <v/>
      </c>
      <c r="X953" s="18" t="inlineStr">
        <is>
          <t>1-25</t>
        </is>
      </c>
      <c r="Y953" s="19" t="inlineStr"/>
      <c r="Z953" s="18">
        <f>IF(Y953="",X953,Y953)</f>
        <v/>
      </c>
      <c r="AA953" s="18" t="inlineStr">
        <is>
          <t>grounded</t>
        </is>
      </c>
      <c r="AB953" s="18" t="inlineStr"/>
      <c r="AC953" s="18" t="inlineStr"/>
      <c r="AD953" s="18" t="inlineStr"/>
      <c r="AE953" s="18" t="inlineStr"/>
      <c r="AF953" s="18" t="inlineStr"/>
      <c r="AG953" s="18" t="inlineStr"/>
      <c r="AH953" s="18" t="inlineStr"/>
      <c r="AI953" s="18" t="inlineStr"/>
      <c r="AJ953" s="18" t="inlineStr">
        <is>
          <t>Cobblemon 동일</t>
        </is>
      </c>
      <c r="AK953" s="18" t="inlineStr">
        <is>
          <t>사용</t>
        </is>
      </c>
      <c r="AL953" s="18" t="inlineStr">
        <is>
          <t>COBBLEVERSE 1.7.42 / DP v31</t>
        </is>
      </c>
      <c r="AM953" s="18" t="inlineStr">
        <is>
          <t>data/cobblemon/spawn_pool_world/0218_slugma.json</t>
        </is>
      </c>
      <c r="AN953" s="18" t="inlineStr">
        <is>
          <t>slugma-3</t>
        </is>
      </c>
      <c r="AO953" s="18" t="inlineStr">
        <is>
          <t>pokemon</t>
        </is>
      </c>
      <c r="AP953" s="18" t="inlineStr">
        <is>
          <t>natural</t>
        </is>
      </c>
      <c r="AQ953" s="18" t="inlineStr">
        <is>
          <t>{"biomes":["#cobblemon:nether/is_basalt","#cobblemon:nether/is_wasteland"]}</t>
        </is>
      </c>
      <c r="AR953" s="18" t="inlineStr"/>
      <c r="AS953" s="18" t="inlineStr"/>
      <c r="AT953" s="19" t="inlineStr"/>
    </row>
    <row r="954" ht="32" customHeight="1">
      <c r="A954" s="18" t="inlineStr">
        <is>
          <t>0218_slugma.json::slugma-4::002</t>
        </is>
      </c>
      <c r="B954" s="19" t="inlineStr">
        <is>
          <t>사용</t>
        </is>
      </c>
      <c r="C954" s="18">
        <f>IF(OR(B954&lt;&gt;AK954,M954&lt;&gt;L954,O954&lt;&gt;"",Q954&lt;&gt;"",V954&lt;&gt;1,Y954&lt;&gt;"",AT954&lt;&gt;""),"수정","원본")</f>
        <v/>
      </c>
      <c r="D954" s="18" t="n">
        <v>218</v>
      </c>
      <c r="E954" s="18" t="inlineStr">
        <is>
          <t>마그마그</t>
        </is>
      </c>
      <c r="F954" s="18" t="inlineStr">
        <is>
          <t>slugma</t>
        </is>
      </c>
      <c r="G954" s="18" t="inlineStr">
        <is>
          <t>slugma</t>
        </is>
      </c>
      <c r="H954" s="18" t="inlineStr"/>
      <c r="I954" s="18" t="n">
        <v>2</v>
      </c>
      <c r="J954" s="18" t="n"/>
      <c r="K954" s="18" t="n">
        <v>2</v>
      </c>
      <c r="L954" s="18" t="inlineStr">
        <is>
          <t>cobbleventure:generation_2</t>
        </is>
      </c>
      <c r="M954" s="19" t="inlineStr">
        <is>
          <t>cobbleventure:generation_2</t>
        </is>
      </c>
      <c r="N954" s="18" t="inlineStr"/>
      <c r="O954" s="19" t="inlineStr"/>
      <c r="P954" s="18" t="inlineStr">
        <is>
          <t>#minecraft:is_nether; #cobblemon:is_volcanic</t>
        </is>
      </c>
      <c r="Q954" s="19" t="inlineStr"/>
      <c r="R954" s="18">
        <f>IF(Q954="",P954,Q954)</f>
        <v/>
      </c>
      <c r="S954" s="18" t="inlineStr"/>
      <c r="T954" s="18" t="inlineStr">
        <is>
          <t>common</t>
        </is>
      </c>
      <c r="U954" s="20" t="n">
        <v>9</v>
      </c>
      <c r="V954" s="21" t="n">
        <v>1</v>
      </c>
      <c r="W954" s="20">
        <f>IF(OR(U954="",V954=""),U954,U954*V954)</f>
        <v/>
      </c>
      <c r="X954" s="18" t="inlineStr">
        <is>
          <t>1-25</t>
        </is>
      </c>
      <c r="Y954" s="19" t="inlineStr"/>
      <c r="Z954" s="18">
        <f>IF(Y954="",X954,Y954)</f>
        <v/>
      </c>
      <c r="AA954" s="18" t="inlineStr">
        <is>
          <t>surface</t>
        </is>
      </c>
      <c r="AB954" s="18" t="inlineStr"/>
      <c r="AC954" s="18" t="inlineStr"/>
      <c r="AD954" s="18" t="inlineStr"/>
      <c r="AE954" s="18" t="inlineStr"/>
      <c r="AF954" s="18" t="inlineStr"/>
      <c r="AG954" s="18" t="inlineStr"/>
      <c r="AH954" s="18" t="inlineStr"/>
      <c r="AI954" s="18" t="inlineStr"/>
      <c r="AJ954" s="18" t="inlineStr">
        <is>
          <t>Cobblemon 동일</t>
        </is>
      </c>
      <c r="AK954" s="18" t="inlineStr">
        <is>
          <t>사용</t>
        </is>
      </c>
      <c r="AL954" s="18" t="inlineStr">
        <is>
          <t>COBBLEVERSE 1.7.42 / DP v31</t>
        </is>
      </c>
      <c r="AM954" s="18" t="inlineStr">
        <is>
          <t>data/cobblemon/spawn_pool_world/0218_slugma.json</t>
        </is>
      </c>
      <c r="AN954" s="18" t="inlineStr">
        <is>
          <t>slugma-4</t>
        </is>
      </c>
      <c r="AO954" s="18" t="inlineStr">
        <is>
          <t>pokemon</t>
        </is>
      </c>
      <c r="AP954" s="18" t="inlineStr">
        <is>
          <t>lava</t>
        </is>
      </c>
      <c r="AQ954" s="18" t="inlineStr">
        <is>
          <t>{"biomes":["#minecraft:is_nether","#cobblemon:is_volcanic"]}</t>
        </is>
      </c>
      <c r="AR954" s="18" t="inlineStr"/>
      <c r="AS954" s="18" t="inlineStr"/>
      <c r="AT954" s="19" t="inlineStr"/>
    </row>
    <row r="955" ht="32" customHeight="1">
      <c r="A955" s="18" t="inlineStr">
        <is>
          <t>0218_slugma.json::slugma-1::003</t>
        </is>
      </c>
      <c r="B955" s="19" t="inlineStr">
        <is>
          <t>사용</t>
        </is>
      </c>
      <c r="C955" s="18">
        <f>IF(OR(B955&lt;&gt;AK955,M955&lt;&gt;L955,O955&lt;&gt;"",Q955&lt;&gt;"",V955&lt;&gt;1,Y955&lt;&gt;"",AT955&lt;&gt;""),"수정","원본")</f>
        <v/>
      </c>
      <c r="D955" s="18" t="n">
        <v>218</v>
      </c>
      <c r="E955" s="18" t="inlineStr">
        <is>
          <t>마그마그</t>
        </is>
      </c>
      <c r="F955" s="18" t="inlineStr">
        <is>
          <t>slugma</t>
        </is>
      </c>
      <c r="G955" s="18" t="inlineStr">
        <is>
          <t>slugma</t>
        </is>
      </c>
      <c r="H955" s="18" t="inlineStr"/>
      <c r="I955" s="18" t="n">
        <v>2</v>
      </c>
      <c r="J955" s="18" t="n"/>
      <c r="K955" s="18" t="n">
        <v>2</v>
      </c>
      <c r="L955" s="18" t="inlineStr">
        <is>
          <t>cobbleventure:generation_2</t>
        </is>
      </c>
      <c r="M955" s="19" t="inlineStr">
        <is>
          <t>cobbleventure:generation_2</t>
        </is>
      </c>
      <c r="N955" s="18" t="inlineStr">
        <is>
          <t>region_01; region_02</t>
        </is>
      </c>
      <c r="O955" s="19" t="inlineStr"/>
      <c r="P955" s="18" t="inlineStr">
        <is>
          <t>#cobblemon:is_overworld</t>
        </is>
      </c>
      <c r="Q955" s="19" t="inlineStr"/>
      <c r="R955" s="18">
        <f>IF(Q955="",P955,Q955)</f>
        <v/>
      </c>
      <c r="S955" s="18" t="inlineStr">
        <is>
          <t>#cobblemon:is_volcanic</t>
        </is>
      </c>
      <c r="T955" s="18" t="inlineStr">
        <is>
          <t>common</t>
        </is>
      </c>
      <c r="U955" s="20" t="n">
        <v>1.8</v>
      </c>
      <c r="V955" s="21" t="n">
        <v>1</v>
      </c>
      <c r="W955" s="20">
        <f>IF(OR(U955="",V955=""),U955,U955*V955)</f>
        <v/>
      </c>
      <c r="X955" s="18" t="inlineStr">
        <is>
          <t>1-25</t>
        </is>
      </c>
      <c r="Y955" s="19" t="inlineStr"/>
      <c r="Z955" s="18">
        <f>IF(Y955="",X955,Y955)</f>
        <v/>
      </c>
      <c r="AA955" s="18" t="inlineStr">
        <is>
          <t>surface</t>
        </is>
      </c>
      <c r="AB955" s="18" t="inlineStr"/>
      <c r="AC955" s="18" t="inlineStr"/>
      <c r="AD955" s="18" t="inlineStr"/>
      <c r="AE955" s="18" t="inlineStr"/>
      <c r="AF955" s="18" t="inlineStr"/>
      <c r="AG955" s="18" t="inlineStr"/>
      <c r="AH955" s="18" t="inlineStr"/>
      <c r="AI955" s="18" t="inlineStr"/>
      <c r="AJ955" s="18" t="inlineStr">
        <is>
          <t>Cobblemon 동일</t>
        </is>
      </c>
      <c r="AK955" s="18" t="inlineStr">
        <is>
          <t>사용</t>
        </is>
      </c>
      <c r="AL955" s="18" t="inlineStr">
        <is>
          <t>COBBLEVERSE 1.7.42 / DP v31</t>
        </is>
      </c>
      <c r="AM955" s="18" t="inlineStr">
        <is>
          <t>data/cobblemon/spawn_pool_world/0218_slugma.json</t>
        </is>
      </c>
      <c r="AN955" s="18" t="inlineStr">
        <is>
          <t>slugma-1</t>
        </is>
      </c>
      <c r="AO955" s="18" t="inlineStr">
        <is>
          <t>pokemon</t>
        </is>
      </c>
      <c r="AP955" s="18" t="inlineStr">
        <is>
          <t>lava</t>
        </is>
      </c>
      <c r="AQ955" s="18" t="inlineStr">
        <is>
          <t>{"biomes":["#cobblemon:is_overworld"]}</t>
        </is>
      </c>
      <c r="AR955" s="18" t="inlineStr">
        <is>
          <t>{"biomes":["#cobblemon:is_volcanic"]}</t>
        </is>
      </c>
      <c r="AS955" s="18" t="inlineStr"/>
      <c r="AT955" s="19" t="inlineStr"/>
    </row>
    <row r="956" ht="32" customHeight="1">
      <c r="A956" s="18" t="inlineStr">
        <is>
          <t>0218_slugma.json::slugma-2::004</t>
        </is>
      </c>
      <c r="B956" s="19" t="inlineStr">
        <is>
          <t>사용</t>
        </is>
      </c>
      <c r="C956" s="18">
        <f>IF(OR(B956&lt;&gt;AK956,M956&lt;&gt;L956,O956&lt;&gt;"",Q956&lt;&gt;"",V956&lt;&gt;1,Y956&lt;&gt;"",AT956&lt;&gt;""),"수정","원본")</f>
        <v/>
      </c>
      <c r="D956" s="18" t="n">
        <v>218</v>
      </c>
      <c r="E956" s="18" t="inlineStr">
        <is>
          <t>마그마그</t>
        </is>
      </c>
      <c r="F956" s="18" t="inlineStr">
        <is>
          <t>slugma</t>
        </is>
      </c>
      <c r="G956" s="18" t="inlineStr">
        <is>
          <t>slugma</t>
        </is>
      </c>
      <c r="H956" s="18" t="inlineStr"/>
      <c r="I956" s="18" t="n">
        <v>2</v>
      </c>
      <c r="J956" s="18" t="n"/>
      <c r="K956" s="18" t="n">
        <v>2</v>
      </c>
      <c r="L956" s="18" t="inlineStr">
        <is>
          <t>cobbleventure:generation_2</t>
        </is>
      </c>
      <c r="M956" s="19" t="inlineStr">
        <is>
          <t>cobbleventure:generation_2</t>
        </is>
      </c>
      <c r="N956" s="18" t="inlineStr"/>
      <c r="O956" s="19" t="inlineStr"/>
      <c r="P956" s="18" t="inlineStr">
        <is>
          <t>#cobblemon:is_volcanic</t>
        </is>
      </c>
      <c r="Q956" s="19" t="inlineStr"/>
      <c r="R956" s="18">
        <f>IF(Q956="",P956,Q956)</f>
        <v/>
      </c>
      <c r="S956" s="18" t="inlineStr"/>
      <c r="T956" s="18" t="inlineStr">
        <is>
          <t>common</t>
        </is>
      </c>
      <c r="U956" s="20" t="n">
        <v>9</v>
      </c>
      <c r="V956" s="21" t="n">
        <v>1</v>
      </c>
      <c r="W956" s="20">
        <f>IF(OR(U956="",V956=""),U956,U956*V956)</f>
        <v/>
      </c>
      <c r="X956" s="18" t="inlineStr">
        <is>
          <t>1-25</t>
        </is>
      </c>
      <c r="Y956" s="19" t="inlineStr"/>
      <c r="Z956" s="18">
        <f>IF(Y956="",X956,Y956)</f>
        <v/>
      </c>
      <c r="AA956" s="18" t="inlineStr">
        <is>
          <t>grounded</t>
        </is>
      </c>
      <c r="AB956" s="18" t="inlineStr"/>
      <c r="AC956" s="18" t="inlineStr"/>
      <c r="AD956" s="18" t="inlineStr"/>
      <c r="AE956" s="18" t="inlineStr"/>
      <c r="AF956" s="18" t="inlineStr"/>
      <c r="AG956" s="18" t="inlineStr"/>
      <c r="AH956" s="18" t="inlineStr">
        <is>
          <t>주변=minecraft:lava</t>
        </is>
      </c>
      <c r="AI956" s="18" t="inlineStr"/>
      <c r="AJ956" s="18" t="inlineStr">
        <is>
          <t>Cobblemon 동일</t>
        </is>
      </c>
      <c r="AK956" s="18" t="inlineStr">
        <is>
          <t>사용</t>
        </is>
      </c>
      <c r="AL956" s="18" t="inlineStr">
        <is>
          <t>COBBLEVERSE 1.7.42 / DP v31</t>
        </is>
      </c>
      <c r="AM956" s="18" t="inlineStr">
        <is>
          <t>data/cobblemon/spawn_pool_world/0218_slugma.json</t>
        </is>
      </c>
      <c r="AN956" s="18" t="inlineStr">
        <is>
          <t>slugma-2</t>
        </is>
      </c>
      <c r="AO956" s="18" t="inlineStr">
        <is>
          <t>pokemon</t>
        </is>
      </c>
      <c r="AP956" s="18" t="inlineStr">
        <is>
          <t>natural</t>
        </is>
      </c>
      <c r="AQ956" s="18" t="inlineStr">
        <is>
          <t>{"biomes":["#cobblemon:is_volcanic"],"neededNearbyBlocks":["minecraft:lava"]}</t>
        </is>
      </c>
      <c r="AR956" s="18" t="inlineStr"/>
      <c r="AS956" s="18" t="inlineStr"/>
      <c r="AT956" s="19" t="inlineStr"/>
    </row>
    <row r="957" ht="32" customHeight="1">
      <c r="A957" s="18" t="inlineStr">
        <is>
          <t>0219_magcargo.json::magcargo-3::001</t>
        </is>
      </c>
      <c r="B957" s="19" t="inlineStr">
        <is>
          <t>사용</t>
        </is>
      </c>
      <c r="C957" s="18">
        <f>IF(OR(B957&lt;&gt;AK957,M957&lt;&gt;L957,O957&lt;&gt;"",Q957&lt;&gt;"",V957&lt;&gt;1,Y957&lt;&gt;"",AT957&lt;&gt;""),"수정","원본")</f>
        <v/>
      </c>
      <c r="D957" s="18" t="n">
        <v>219</v>
      </c>
      <c r="E957" s="18" t="inlineStr">
        <is>
          <t>마그카르고</t>
        </is>
      </c>
      <c r="F957" s="18" t="inlineStr">
        <is>
          <t>magcargo</t>
        </is>
      </c>
      <c r="G957" s="18" t="inlineStr">
        <is>
          <t>magcargo</t>
        </is>
      </c>
      <c r="H957" s="18" t="inlineStr"/>
      <c r="I957" s="18" t="n">
        <v>2</v>
      </c>
      <c r="J957" s="18" t="n"/>
      <c r="K957" s="18" t="n">
        <v>2</v>
      </c>
      <c r="L957" s="18" t="inlineStr">
        <is>
          <t>cobbleventure:generation_2</t>
        </is>
      </c>
      <c r="M957" s="19" t="inlineStr">
        <is>
          <t>cobbleventure:generation_2</t>
        </is>
      </c>
      <c r="N957" s="18" t="inlineStr"/>
      <c r="O957" s="19" t="inlineStr"/>
      <c r="P957" s="18" t="inlineStr">
        <is>
          <t>#cobblemon:nether/is_basalt; #cobblemon:nether/is_wasteland</t>
        </is>
      </c>
      <c r="Q957" s="19" t="inlineStr"/>
      <c r="R957" s="18">
        <f>IF(Q957="",P957,Q957)</f>
        <v/>
      </c>
      <c r="S957" s="18" t="inlineStr"/>
      <c r="T957" s="18" t="inlineStr">
        <is>
          <t>common</t>
        </is>
      </c>
      <c r="U957" s="20" t="n">
        <v>0.6</v>
      </c>
      <c r="V957" s="21" t="n">
        <v>1</v>
      </c>
      <c r="W957" s="20">
        <f>IF(OR(U957="",V957=""),U957,U957*V957)</f>
        <v/>
      </c>
      <c r="X957" s="18" t="inlineStr">
        <is>
          <t>38-43</t>
        </is>
      </c>
      <c r="Y957" s="19" t="inlineStr"/>
      <c r="Z957" s="18">
        <f>IF(Y957="",X957,Y957)</f>
        <v/>
      </c>
      <c r="AA957" s="18" t="inlineStr">
        <is>
          <t>grounded</t>
        </is>
      </c>
      <c r="AB957" s="18" t="inlineStr"/>
      <c r="AC957" s="18" t="inlineStr"/>
      <c r="AD957" s="18" t="inlineStr"/>
      <c r="AE957" s="18" t="inlineStr"/>
      <c r="AF957" s="18" t="inlineStr"/>
      <c r="AG957" s="18" t="inlineStr"/>
      <c r="AH957" s="18" t="inlineStr"/>
      <c r="AI957" s="18" t="inlineStr"/>
      <c r="AJ957" s="18" t="inlineStr">
        <is>
          <t>Cobblemon 동일</t>
        </is>
      </c>
      <c r="AK957" s="18" t="inlineStr">
        <is>
          <t>사용</t>
        </is>
      </c>
      <c r="AL957" s="18" t="inlineStr">
        <is>
          <t>COBBLEVERSE 1.7.42 / DP v31</t>
        </is>
      </c>
      <c r="AM957" s="18" t="inlineStr">
        <is>
          <t>data/cobblemon/spawn_pool_world/0219_magcargo.json</t>
        </is>
      </c>
      <c r="AN957" s="18" t="inlineStr">
        <is>
          <t>magcargo-3</t>
        </is>
      </c>
      <c r="AO957" s="18" t="inlineStr">
        <is>
          <t>pokemon</t>
        </is>
      </c>
      <c r="AP957" s="18" t="inlineStr">
        <is>
          <t>natural</t>
        </is>
      </c>
      <c r="AQ957" s="18" t="inlineStr">
        <is>
          <t>{"biomes":["#cobblemon:nether/is_basalt","#cobblemon:nether/is_wasteland"]}</t>
        </is>
      </c>
      <c r="AR957" s="18" t="inlineStr"/>
      <c r="AS957" s="18" t="inlineStr"/>
      <c r="AT957" s="19" t="inlineStr"/>
    </row>
    <row r="958" ht="32" customHeight="1">
      <c r="A958" s="18" t="inlineStr">
        <is>
          <t>0219_magcargo.json::magcargo-4::002</t>
        </is>
      </c>
      <c r="B958" s="19" t="inlineStr">
        <is>
          <t>사용</t>
        </is>
      </c>
      <c r="C958" s="18">
        <f>IF(OR(B958&lt;&gt;AK958,M958&lt;&gt;L958,O958&lt;&gt;"",Q958&lt;&gt;"",V958&lt;&gt;1,Y958&lt;&gt;"",AT958&lt;&gt;""),"수정","원본")</f>
        <v/>
      </c>
      <c r="D958" s="18" t="n">
        <v>219</v>
      </c>
      <c r="E958" s="18" t="inlineStr">
        <is>
          <t>마그카르고</t>
        </is>
      </c>
      <c r="F958" s="18" t="inlineStr">
        <is>
          <t>magcargo</t>
        </is>
      </c>
      <c r="G958" s="18" t="inlineStr">
        <is>
          <t>magcargo</t>
        </is>
      </c>
      <c r="H958" s="18" t="inlineStr"/>
      <c r="I958" s="18" t="n">
        <v>2</v>
      </c>
      <c r="J958" s="18" t="n"/>
      <c r="K958" s="18" t="n">
        <v>2</v>
      </c>
      <c r="L958" s="18" t="inlineStr">
        <is>
          <t>cobbleventure:generation_2</t>
        </is>
      </c>
      <c r="M958" s="19" t="inlineStr">
        <is>
          <t>cobbleventure:generation_2</t>
        </is>
      </c>
      <c r="N958" s="18" t="inlineStr"/>
      <c r="O958" s="19" t="inlineStr"/>
      <c r="P958" s="18" t="inlineStr">
        <is>
          <t>#minecraft:is_nether; #cobblemon:is_volcanic</t>
        </is>
      </c>
      <c r="Q958" s="19" t="inlineStr"/>
      <c r="R958" s="18">
        <f>IF(Q958="",P958,Q958)</f>
        <v/>
      </c>
      <c r="S958" s="18" t="inlineStr"/>
      <c r="T958" s="18" t="inlineStr">
        <is>
          <t>common</t>
        </is>
      </c>
      <c r="U958" s="20" t="n">
        <v>1</v>
      </c>
      <c r="V958" s="21" t="n">
        <v>1</v>
      </c>
      <c r="W958" s="20">
        <f>IF(OR(U958="",V958=""),U958,U958*V958)</f>
        <v/>
      </c>
      <c r="X958" s="18" t="inlineStr">
        <is>
          <t>38-43</t>
        </is>
      </c>
      <c r="Y958" s="19" t="inlineStr"/>
      <c r="Z958" s="18">
        <f>IF(Y958="",X958,Y958)</f>
        <v/>
      </c>
      <c r="AA958" s="18" t="inlineStr">
        <is>
          <t>surface</t>
        </is>
      </c>
      <c r="AB958" s="18" t="inlineStr"/>
      <c r="AC958" s="18" t="inlineStr"/>
      <c r="AD958" s="18" t="inlineStr"/>
      <c r="AE958" s="18" t="inlineStr"/>
      <c r="AF958" s="18" t="inlineStr"/>
      <c r="AG958" s="18" t="inlineStr"/>
      <c r="AH958" s="18" t="inlineStr"/>
      <c r="AI958" s="18" t="inlineStr"/>
      <c r="AJ958" s="18" t="inlineStr">
        <is>
          <t>Cobblemon 동일</t>
        </is>
      </c>
      <c r="AK958" s="18" t="inlineStr">
        <is>
          <t>사용</t>
        </is>
      </c>
      <c r="AL958" s="18" t="inlineStr">
        <is>
          <t>COBBLEVERSE 1.7.42 / DP v31</t>
        </is>
      </c>
      <c r="AM958" s="18" t="inlineStr">
        <is>
          <t>data/cobblemon/spawn_pool_world/0219_magcargo.json</t>
        </is>
      </c>
      <c r="AN958" s="18" t="inlineStr">
        <is>
          <t>magcargo-4</t>
        </is>
      </c>
      <c r="AO958" s="18" t="inlineStr">
        <is>
          <t>pokemon</t>
        </is>
      </c>
      <c r="AP958" s="18" t="inlineStr">
        <is>
          <t>lava</t>
        </is>
      </c>
      <c r="AQ958" s="18" t="inlineStr">
        <is>
          <t>{"biomes":["#minecraft:is_nether","#cobblemon:is_volcanic"]}</t>
        </is>
      </c>
      <c r="AR958" s="18" t="inlineStr"/>
      <c r="AS958" s="18" t="inlineStr"/>
      <c r="AT958" s="19" t="inlineStr"/>
    </row>
    <row r="959" ht="32" customHeight="1">
      <c r="A959" s="18" t="inlineStr">
        <is>
          <t>0219_magcargo.json::magcargo-1::003</t>
        </is>
      </c>
      <c r="B959" s="19" t="inlineStr">
        <is>
          <t>사용</t>
        </is>
      </c>
      <c r="C959" s="18">
        <f>IF(OR(B959&lt;&gt;AK959,M959&lt;&gt;L959,O959&lt;&gt;"",Q959&lt;&gt;"",V959&lt;&gt;1,Y959&lt;&gt;"",AT959&lt;&gt;""),"수정","원본")</f>
        <v/>
      </c>
      <c r="D959" s="18" t="n">
        <v>219</v>
      </c>
      <c r="E959" s="18" t="inlineStr">
        <is>
          <t>마그카르고</t>
        </is>
      </c>
      <c r="F959" s="18" t="inlineStr">
        <is>
          <t>magcargo</t>
        </is>
      </c>
      <c r="G959" s="18" t="inlineStr">
        <is>
          <t>magcargo</t>
        </is>
      </c>
      <c r="H959" s="18" t="inlineStr"/>
      <c r="I959" s="18" t="n">
        <v>2</v>
      </c>
      <c r="J959" s="18" t="n"/>
      <c r="K959" s="18" t="n">
        <v>2</v>
      </c>
      <c r="L959" s="18" t="inlineStr">
        <is>
          <t>cobbleventure:generation_2</t>
        </is>
      </c>
      <c r="M959" s="19" t="inlineStr">
        <is>
          <t>cobbleventure:generation_2</t>
        </is>
      </c>
      <c r="N959" s="18" t="inlineStr">
        <is>
          <t>region_01; region_02</t>
        </is>
      </c>
      <c r="O959" s="19" t="inlineStr"/>
      <c r="P959" s="18" t="inlineStr">
        <is>
          <t>#cobblemon:is_overworld</t>
        </is>
      </c>
      <c r="Q959" s="19" t="inlineStr"/>
      <c r="R959" s="18">
        <f>IF(Q959="",P959,Q959)</f>
        <v/>
      </c>
      <c r="S959" s="18" t="inlineStr">
        <is>
          <t>#cobblemon:is_volcanic</t>
        </is>
      </c>
      <c r="T959" s="18" t="inlineStr">
        <is>
          <t>common</t>
        </is>
      </c>
      <c r="U959" s="20" t="n">
        <v>0.2</v>
      </c>
      <c r="V959" s="21" t="n">
        <v>1</v>
      </c>
      <c r="W959" s="20">
        <f>IF(OR(U959="",V959=""),U959,U959*V959)</f>
        <v/>
      </c>
      <c r="X959" s="18" t="inlineStr">
        <is>
          <t>38-43</t>
        </is>
      </c>
      <c r="Y959" s="19" t="inlineStr"/>
      <c r="Z959" s="18">
        <f>IF(Y959="",X959,Y959)</f>
        <v/>
      </c>
      <c r="AA959" s="18" t="inlineStr">
        <is>
          <t>surface</t>
        </is>
      </c>
      <c r="AB959" s="18" t="inlineStr"/>
      <c r="AC959" s="18" t="inlineStr"/>
      <c r="AD959" s="18" t="inlineStr"/>
      <c r="AE959" s="18" t="inlineStr"/>
      <c r="AF959" s="18" t="inlineStr"/>
      <c r="AG959" s="18" t="inlineStr"/>
      <c r="AH959" s="18" t="inlineStr"/>
      <c r="AI959" s="18" t="inlineStr"/>
      <c r="AJ959" s="18" t="inlineStr">
        <is>
          <t>Cobblemon 동일</t>
        </is>
      </c>
      <c r="AK959" s="18" t="inlineStr">
        <is>
          <t>사용</t>
        </is>
      </c>
      <c r="AL959" s="18" t="inlineStr">
        <is>
          <t>COBBLEVERSE 1.7.42 / DP v31</t>
        </is>
      </c>
      <c r="AM959" s="18" t="inlineStr">
        <is>
          <t>data/cobblemon/spawn_pool_world/0219_magcargo.json</t>
        </is>
      </c>
      <c r="AN959" s="18" t="inlineStr">
        <is>
          <t>magcargo-1</t>
        </is>
      </c>
      <c r="AO959" s="18" t="inlineStr">
        <is>
          <t>pokemon</t>
        </is>
      </c>
      <c r="AP959" s="18" t="inlineStr">
        <is>
          <t>lava</t>
        </is>
      </c>
      <c r="AQ959" s="18" t="inlineStr">
        <is>
          <t>{"biomes":["#cobblemon:is_overworld"]}</t>
        </is>
      </c>
      <c r="AR959" s="18" t="inlineStr">
        <is>
          <t>{"biomes":["#cobblemon:is_volcanic"]}</t>
        </is>
      </c>
      <c r="AS959" s="18" t="inlineStr"/>
      <c r="AT959" s="19" t="inlineStr"/>
    </row>
    <row r="960" ht="32" customHeight="1">
      <c r="A960" s="18" t="inlineStr">
        <is>
          <t>0219_magcargo.json::magcargo-2::004</t>
        </is>
      </c>
      <c r="B960" s="19" t="inlineStr">
        <is>
          <t>사용</t>
        </is>
      </c>
      <c r="C960" s="18">
        <f>IF(OR(B960&lt;&gt;AK960,M960&lt;&gt;L960,O960&lt;&gt;"",Q960&lt;&gt;"",V960&lt;&gt;1,Y960&lt;&gt;"",AT960&lt;&gt;""),"수정","원본")</f>
        <v/>
      </c>
      <c r="D960" s="18" t="n">
        <v>219</v>
      </c>
      <c r="E960" s="18" t="inlineStr">
        <is>
          <t>마그카르고</t>
        </is>
      </c>
      <c r="F960" s="18" t="inlineStr">
        <is>
          <t>magcargo</t>
        </is>
      </c>
      <c r="G960" s="18" t="inlineStr">
        <is>
          <t>magcargo</t>
        </is>
      </c>
      <c r="H960" s="18" t="inlineStr"/>
      <c r="I960" s="18" t="n">
        <v>2</v>
      </c>
      <c r="J960" s="18" t="n"/>
      <c r="K960" s="18" t="n">
        <v>2</v>
      </c>
      <c r="L960" s="18" t="inlineStr">
        <is>
          <t>cobbleventure:generation_2</t>
        </is>
      </c>
      <c r="M960" s="19" t="inlineStr">
        <is>
          <t>cobbleventure:generation_2</t>
        </is>
      </c>
      <c r="N960" s="18" t="inlineStr"/>
      <c r="O960" s="19" t="inlineStr"/>
      <c r="P960" s="18" t="inlineStr">
        <is>
          <t>#cobblemon:is_volcanic</t>
        </is>
      </c>
      <c r="Q960" s="19" t="inlineStr"/>
      <c r="R960" s="18">
        <f>IF(Q960="",P960,Q960)</f>
        <v/>
      </c>
      <c r="S960" s="18" t="inlineStr"/>
      <c r="T960" s="18" t="inlineStr">
        <is>
          <t>common</t>
        </is>
      </c>
      <c r="U960" s="20" t="n">
        <v>1</v>
      </c>
      <c r="V960" s="21" t="n">
        <v>1</v>
      </c>
      <c r="W960" s="20">
        <f>IF(OR(U960="",V960=""),U960,U960*V960)</f>
        <v/>
      </c>
      <c r="X960" s="18" t="inlineStr">
        <is>
          <t>38-43</t>
        </is>
      </c>
      <c r="Y960" s="19" t="inlineStr"/>
      <c r="Z960" s="18">
        <f>IF(Y960="",X960,Y960)</f>
        <v/>
      </c>
      <c r="AA960" s="18" t="inlineStr">
        <is>
          <t>grounded</t>
        </is>
      </c>
      <c r="AB960" s="18" t="inlineStr"/>
      <c r="AC960" s="18" t="inlineStr"/>
      <c r="AD960" s="18" t="inlineStr"/>
      <c r="AE960" s="18" t="inlineStr"/>
      <c r="AF960" s="18" t="inlineStr"/>
      <c r="AG960" s="18" t="inlineStr"/>
      <c r="AH960" s="18" t="inlineStr">
        <is>
          <t>주변=minecraft:lava</t>
        </is>
      </c>
      <c r="AI960" s="18" t="inlineStr"/>
      <c r="AJ960" s="18" t="inlineStr">
        <is>
          <t>Cobblemon 동일</t>
        </is>
      </c>
      <c r="AK960" s="18" t="inlineStr">
        <is>
          <t>사용</t>
        </is>
      </c>
      <c r="AL960" s="18" t="inlineStr">
        <is>
          <t>COBBLEVERSE 1.7.42 / DP v31</t>
        </is>
      </c>
      <c r="AM960" s="18" t="inlineStr">
        <is>
          <t>data/cobblemon/spawn_pool_world/0219_magcargo.json</t>
        </is>
      </c>
      <c r="AN960" s="18" t="inlineStr">
        <is>
          <t>magcargo-2</t>
        </is>
      </c>
      <c r="AO960" s="18" t="inlineStr">
        <is>
          <t>pokemon</t>
        </is>
      </c>
      <c r="AP960" s="18" t="inlineStr">
        <is>
          <t>natural</t>
        </is>
      </c>
      <c r="AQ960" s="18" t="inlineStr">
        <is>
          <t>{"biomes":["#cobblemon:is_volcanic"],"neededNearbyBlocks":["minecraft:lava"]}</t>
        </is>
      </c>
      <c r="AR960" s="18" t="inlineStr"/>
      <c r="AS960" s="18" t="inlineStr"/>
      <c r="AT960" s="19" t="inlineStr"/>
    </row>
    <row r="961" ht="32" customHeight="1">
      <c r="A961" s="18" t="inlineStr">
        <is>
          <t>0220_swinub.json::swinub-1::001</t>
        </is>
      </c>
      <c r="B961" s="19" t="inlineStr">
        <is>
          <t>사용</t>
        </is>
      </c>
      <c r="C961" s="18">
        <f>IF(OR(B961&lt;&gt;AK961,M961&lt;&gt;L961,O961&lt;&gt;"",Q961&lt;&gt;"",V961&lt;&gt;1,Y961&lt;&gt;"",AT961&lt;&gt;""),"수정","원본")</f>
        <v/>
      </c>
      <c r="D961" s="18" t="n">
        <v>220</v>
      </c>
      <c r="E961" s="18" t="inlineStr">
        <is>
          <t>꾸꾸리</t>
        </is>
      </c>
      <c r="F961" s="18" t="inlineStr">
        <is>
          <t>swinub</t>
        </is>
      </c>
      <c r="G961" s="18" t="inlineStr">
        <is>
          <t>swinub</t>
        </is>
      </c>
      <c r="H961" s="18" t="inlineStr"/>
      <c r="I961" s="18" t="n">
        <v>2</v>
      </c>
      <c r="J961" s="18" t="n"/>
      <c r="K961" s="18" t="n">
        <v>2</v>
      </c>
      <c r="L961" s="18" t="inlineStr">
        <is>
          <t>cobbleventure:generation_2</t>
        </is>
      </c>
      <c r="M961" s="19" t="inlineStr">
        <is>
          <t>cobbleventure:generation_2</t>
        </is>
      </c>
      <c r="N961" s="18" t="inlineStr"/>
      <c r="O961" s="19" t="inlineStr"/>
      <c r="P961" s="18" t="inlineStr">
        <is>
          <t>#cobblemon:is_tundra</t>
        </is>
      </c>
      <c r="Q961" s="19" t="inlineStr"/>
      <c r="R961" s="18">
        <f>IF(Q961="",P961,Q961)</f>
        <v/>
      </c>
      <c r="S961" s="18" t="inlineStr"/>
      <c r="T961" s="18" t="inlineStr">
        <is>
          <t>common</t>
        </is>
      </c>
      <c r="U961" s="20" t="n">
        <v>9</v>
      </c>
      <c r="V961" s="21" t="n">
        <v>1</v>
      </c>
      <c r="W961" s="20">
        <f>IF(OR(U961="",V961=""),U961,U961*V961)</f>
        <v/>
      </c>
      <c r="X961" s="18" t="inlineStr">
        <is>
          <t>1-25</t>
        </is>
      </c>
      <c r="Y961" s="19" t="inlineStr"/>
      <c r="Z961" s="18">
        <f>IF(Y961="",X961,Y961)</f>
        <v/>
      </c>
      <c r="AA961" s="18" t="inlineStr">
        <is>
          <t>grounded</t>
        </is>
      </c>
      <c r="AB961" s="18" t="inlineStr"/>
      <c r="AC961" s="18" t="inlineStr"/>
      <c r="AD961" s="18" t="inlineStr"/>
      <c r="AE961" s="18" t="inlineStr">
        <is>
          <t>sky 8-15</t>
        </is>
      </c>
      <c r="AF961" s="18" t="inlineStr"/>
      <c r="AG961" s="18" t="inlineStr"/>
      <c r="AH961" s="18" t="inlineStr"/>
      <c r="AI961" s="18" t="inlineStr"/>
      <c r="AJ961" s="18" t="inlineStr">
        <is>
          <t>Cobblemon 동일</t>
        </is>
      </c>
      <c r="AK961" s="18" t="inlineStr">
        <is>
          <t>사용</t>
        </is>
      </c>
      <c r="AL961" s="18" t="inlineStr">
        <is>
          <t>COBBLEVERSE 1.7.42 / DP v31</t>
        </is>
      </c>
      <c r="AM961" s="18" t="inlineStr">
        <is>
          <t>data/cobblemon/spawn_pool_world/0220_swinub.json</t>
        </is>
      </c>
      <c r="AN961" s="18" t="inlineStr">
        <is>
          <t>swinub-1</t>
        </is>
      </c>
      <c r="AO961" s="18" t="inlineStr">
        <is>
          <t>pokemon</t>
        </is>
      </c>
      <c r="AP961" s="18" t="inlineStr">
        <is>
          <t>natural; wild</t>
        </is>
      </c>
      <c r="AQ961" s="18" t="inlineStr">
        <is>
          <t>{"biomes":["#cobblemon:is_tundra"],"maxSkyLight":15,"minSkyLight":8}</t>
        </is>
      </c>
      <c r="AR961" s="18" t="inlineStr"/>
      <c r="AS961" s="18" t="inlineStr"/>
      <c r="AT961" s="19" t="inlineStr"/>
    </row>
    <row r="962" ht="32" customHeight="1">
      <c r="A962" s="18" t="inlineStr">
        <is>
          <t>0221_piloswine.json::piloswine-1::001</t>
        </is>
      </c>
      <c r="B962" s="19" t="inlineStr">
        <is>
          <t>사용</t>
        </is>
      </c>
      <c r="C962" s="18">
        <f>IF(OR(B962&lt;&gt;AK962,M962&lt;&gt;L962,O962&lt;&gt;"",Q962&lt;&gt;"",V962&lt;&gt;1,Y962&lt;&gt;"",AT962&lt;&gt;""),"수정","원본")</f>
        <v/>
      </c>
      <c r="D962" s="18" t="n">
        <v>221</v>
      </c>
      <c r="E962" s="18" t="inlineStr">
        <is>
          <t>메꾸리</t>
        </is>
      </c>
      <c r="F962" s="18" t="inlineStr">
        <is>
          <t>piloswine</t>
        </is>
      </c>
      <c r="G962" s="18" t="inlineStr">
        <is>
          <t>piloswine</t>
        </is>
      </c>
      <c r="H962" s="18" t="inlineStr"/>
      <c r="I962" s="18" t="n">
        <v>2</v>
      </c>
      <c r="J962" s="18" t="n"/>
      <c r="K962" s="18" t="n">
        <v>2</v>
      </c>
      <c r="L962" s="18" t="inlineStr">
        <is>
          <t>cobbleventure:generation_2</t>
        </is>
      </c>
      <c r="M962" s="19" t="inlineStr">
        <is>
          <t>cobbleventure:generation_2</t>
        </is>
      </c>
      <c r="N962" s="18" t="inlineStr"/>
      <c r="O962" s="19" t="inlineStr"/>
      <c r="P962" s="18" t="inlineStr">
        <is>
          <t>#cobblemon:is_tundra</t>
        </is>
      </c>
      <c r="Q962" s="19" t="inlineStr"/>
      <c r="R962" s="18">
        <f>IF(Q962="",P962,Q962)</f>
        <v/>
      </c>
      <c r="S962" s="18" t="inlineStr"/>
      <c r="T962" s="18" t="inlineStr">
        <is>
          <t>common</t>
        </is>
      </c>
      <c r="U962" s="20" t="n">
        <v>0.9</v>
      </c>
      <c r="V962" s="21" t="n">
        <v>1</v>
      </c>
      <c r="W962" s="20">
        <f>IF(OR(U962="",V962=""),U962,U962*V962)</f>
        <v/>
      </c>
      <c r="X962" s="18" t="inlineStr">
        <is>
          <t>33-45</t>
        </is>
      </c>
      <c r="Y962" s="19" t="inlineStr"/>
      <c r="Z962" s="18">
        <f>IF(Y962="",X962,Y962)</f>
        <v/>
      </c>
      <c r="AA962" s="18" t="inlineStr">
        <is>
          <t>grounded</t>
        </is>
      </c>
      <c r="AB962" s="18" t="inlineStr"/>
      <c r="AC962" s="18" t="inlineStr"/>
      <c r="AD962" s="18" t="inlineStr"/>
      <c r="AE962" s="18" t="inlineStr">
        <is>
          <t>sky 8-15</t>
        </is>
      </c>
      <c r="AF962" s="18" t="inlineStr"/>
      <c r="AG962" s="18" t="inlineStr"/>
      <c r="AH962" s="18" t="inlineStr"/>
      <c r="AI962" s="18" t="inlineStr"/>
      <c r="AJ962" s="18" t="inlineStr">
        <is>
          <t>Cobblemon 동일</t>
        </is>
      </c>
      <c r="AK962" s="18" t="inlineStr">
        <is>
          <t>사용</t>
        </is>
      </c>
      <c r="AL962" s="18" t="inlineStr">
        <is>
          <t>COBBLEVERSE 1.7.42 / DP v31</t>
        </is>
      </c>
      <c r="AM962" s="18" t="inlineStr">
        <is>
          <t>data/cobblemon/spawn_pool_world/0221_piloswine.json</t>
        </is>
      </c>
      <c r="AN962" s="18" t="inlineStr">
        <is>
          <t>piloswine-1</t>
        </is>
      </c>
      <c r="AO962" s="18" t="inlineStr">
        <is>
          <t>pokemon</t>
        </is>
      </c>
      <c r="AP962" s="18" t="inlineStr">
        <is>
          <t>natural; wild</t>
        </is>
      </c>
      <c r="AQ962" s="18" t="inlineStr">
        <is>
          <t>{"biomes":["#cobblemon:is_tundra"],"maxSkyLight":15,"minSkyLight":8}</t>
        </is>
      </c>
      <c r="AR962" s="18" t="inlineStr"/>
      <c r="AS962" s="18" t="inlineStr"/>
      <c r="AT962" s="19" t="inlineStr"/>
    </row>
    <row r="963" ht="32" customHeight="1">
      <c r="A963" s="18" t="inlineStr">
        <is>
          <t>0222_corsola.json::corsola-1::001</t>
        </is>
      </c>
      <c r="B963" s="19" t="inlineStr">
        <is>
          <t>사용</t>
        </is>
      </c>
      <c r="C963" s="18">
        <f>IF(OR(B963&lt;&gt;AK963,M963&lt;&gt;L963,O963&lt;&gt;"",Q963&lt;&gt;"",V963&lt;&gt;1,Y963&lt;&gt;"",AT963&lt;&gt;""),"수정","원본")</f>
        <v/>
      </c>
      <c r="D963" s="18" t="n">
        <v>222</v>
      </c>
      <c r="E963" s="18" t="inlineStr">
        <is>
          <t>코산호</t>
        </is>
      </c>
      <c r="F963" s="18" t="inlineStr">
        <is>
          <t>corsola</t>
        </is>
      </c>
      <c r="G963" s="18" t="inlineStr">
        <is>
          <t>corsola</t>
        </is>
      </c>
      <c r="H963" s="18" t="inlineStr"/>
      <c r="I963" s="18" t="n">
        <v>2</v>
      </c>
      <c r="J963" s="18" t="n"/>
      <c r="K963" s="18" t="n">
        <v>2</v>
      </c>
      <c r="L963" s="18" t="inlineStr">
        <is>
          <t>cobbleventure:generation_2</t>
        </is>
      </c>
      <c r="M963" s="19" t="inlineStr">
        <is>
          <t>cobbleventure:generation_2</t>
        </is>
      </c>
      <c r="N963" s="18" t="inlineStr"/>
      <c r="O963" s="19" t="inlineStr"/>
      <c r="P963" s="18" t="inlineStr">
        <is>
          <t>#cobblemon:is_warm_ocean</t>
        </is>
      </c>
      <c r="Q963" s="19" t="inlineStr"/>
      <c r="R963" s="18">
        <f>IF(Q963="",P963,Q963)</f>
        <v/>
      </c>
      <c r="S963" s="18" t="inlineStr"/>
      <c r="T963" s="18" t="inlineStr">
        <is>
          <t>common</t>
        </is>
      </c>
      <c r="U963" s="20" t="n">
        <v>10</v>
      </c>
      <c r="V963" s="21" t="n">
        <v>1</v>
      </c>
      <c r="W963" s="20">
        <f>IF(OR(U963="",V963=""),U963,U963*V963)</f>
        <v/>
      </c>
      <c r="X963" s="18" t="inlineStr">
        <is>
          <t>16-41</t>
        </is>
      </c>
      <c r="Y963" s="19" t="inlineStr"/>
      <c r="Z963" s="18">
        <f>IF(Y963="",X963,Y963)</f>
        <v/>
      </c>
      <c r="AA963" s="18" t="inlineStr">
        <is>
          <t>seafloor</t>
        </is>
      </c>
      <c r="AB963" s="18" t="inlineStr"/>
      <c r="AC963" s="18" t="inlineStr"/>
      <c r="AD963" s="18" t="inlineStr"/>
      <c r="AE963" s="18" t="inlineStr"/>
      <c r="AF963" s="18" t="inlineStr">
        <is>
          <t>True</t>
        </is>
      </c>
      <c r="AG963" s="18" t="inlineStr"/>
      <c r="AH963" s="18" t="inlineStr"/>
      <c r="AI963" s="18" t="inlineStr"/>
      <c r="AJ963" s="18" t="inlineStr">
        <is>
          <t>COBBLEVERSE 수정</t>
        </is>
      </c>
      <c r="AK963" s="18" t="inlineStr">
        <is>
          <t>사용</t>
        </is>
      </c>
      <c r="AL963" s="18" t="inlineStr">
        <is>
          <t>COBBLEVERSE 1.7.42 / DP v31</t>
        </is>
      </c>
      <c r="AM963" s="18" t="inlineStr">
        <is>
          <t>data/cobblemon/spawn_pool_world/0222_corsola.json</t>
        </is>
      </c>
      <c r="AN963" s="18" t="inlineStr">
        <is>
          <t>corsola-1</t>
        </is>
      </c>
      <c r="AO963" s="18" t="inlineStr">
        <is>
          <t>pokemon</t>
        </is>
      </c>
      <c r="AP963" s="18" t="inlineStr">
        <is>
          <t>water</t>
        </is>
      </c>
      <c r="AQ963" s="18" t="inlineStr">
        <is>
          <t>{"biomes":["#cobblemon:is_warm_ocean"],"canSeeSky":true}</t>
        </is>
      </c>
      <c r="AR963" s="18" t="inlineStr"/>
      <c r="AS963" s="18" t="inlineStr"/>
      <c r="AT963" s="19" t="inlineStr"/>
    </row>
    <row r="964" ht="32" customHeight="1">
      <c r="A964" s="18" t="inlineStr">
        <is>
          <t>0222_corsola.json::corsola-2::002</t>
        </is>
      </c>
      <c r="B964" s="19" t="inlineStr">
        <is>
          <t>사용</t>
        </is>
      </c>
      <c r="C964" s="18">
        <f>IF(OR(B964&lt;&gt;AK964,M964&lt;&gt;L964,O964&lt;&gt;"",Q964&lt;&gt;"",V964&lt;&gt;1,Y964&lt;&gt;"",AT964&lt;&gt;""),"수정","원본")</f>
        <v/>
      </c>
      <c r="D964" s="18" t="n">
        <v>222</v>
      </c>
      <c r="E964" s="18" t="inlineStr">
        <is>
          <t>코산호</t>
        </is>
      </c>
      <c r="F964" s="18" t="inlineStr">
        <is>
          <t>corsola</t>
        </is>
      </c>
      <c r="G964" s="18" t="inlineStr">
        <is>
          <t>corsola</t>
        </is>
      </c>
      <c r="H964" s="18" t="inlineStr"/>
      <c r="I964" s="18" t="n">
        <v>2</v>
      </c>
      <c r="J964" s="18" t="n"/>
      <c r="K964" s="18" t="n">
        <v>2</v>
      </c>
      <c r="L964" s="18" t="inlineStr">
        <is>
          <t>cobbleventure:generation_2</t>
        </is>
      </c>
      <c r="M964" s="19" t="inlineStr">
        <is>
          <t>cobbleventure:generation_2</t>
        </is>
      </c>
      <c r="N964" s="18" t="inlineStr">
        <is>
          <t>region_01; region_02</t>
        </is>
      </c>
      <c r="O964" s="19" t="inlineStr"/>
      <c r="P964" s="18" t="inlineStr">
        <is>
          <t>#cobblemon:is_overworld</t>
        </is>
      </c>
      <c r="Q964" s="19" t="inlineStr"/>
      <c r="R964" s="18">
        <f>IF(Q964="",P964,Q964)</f>
        <v/>
      </c>
      <c r="S964" s="18" t="inlineStr">
        <is>
          <t>#cobblemon:is_warm_ocean</t>
        </is>
      </c>
      <c r="T964" s="18" t="inlineStr">
        <is>
          <t>uncommon</t>
        </is>
      </c>
      <c r="U964" s="20" t="n">
        <v>10</v>
      </c>
      <c r="V964" s="21" t="n">
        <v>1</v>
      </c>
      <c r="W964" s="20">
        <f>IF(OR(U964="",V964=""),U964,U964*V964)</f>
        <v/>
      </c>
      <c r="X964" s="18" t="inlineStr">
        <is>
          <t>16-41</t>
        </is>
      </c>
      <c r="Y964" s="19" t="inlineStr"/>
      <c r="Z964" s="18">
        <f>IF(Y964="",X964,Y964)</f>
        <v/>
      </c>
      <c r="AA964" s="18" t="inlineStr">
        <is>
          <t>seafloor</t>
        </is>
      </c>
      <c r="AB964" s="18" t="inlineStr"/>
      <c r="AC964" s="18" t="inlineStr"/>
      <c r="AD964" s="18" t="inlineStr"/>
      <c r="AE964" s="18" t="inlineStr"/>
      <c r="AF964" s="18" t="inlineStr">
        <is>
          <t>True</t>
        </is>
      </c>
      <c r="AG964" s="18" t="inlineStr"/>
      <c r="AH964" s="18" t="inlineStr">
        <is>
          <t>주변=#minecraft:corals; #minecraft:coral_blocks</t>
        </is>
      </c>
      <c r="AI964" s="18" t="inlineStr"/>
      <c r="AJ964" s="18" t="inlineStr">
        <is>
          <t>COBBLEVERSE 수정</t>
        </is>
      </c>
      <c r="AK964" s="18" t="inlineStr">
        <is>
          <t>사용</t>
        </is>
      </c>
      <c r="AL964" s="18" t="inlineStr">
        <is>
          <t>COBBLEVERSE 1.7.42 / DP v31</t>
        </is>
      </c>
      <c r="AM964" s="18" t="inlineStr">
        <is>
          <t>data/cobblemon/spawn_pool_world/0222_corsola.json</t>
        </is>
      </c>
      <c r="AN964" s="18" t="inlineStr">
        <is>
          <t>corsola-2</t>
        </is>
      </c>
      <c r="AO964" s="18" t="inlineStr">
        <is>
          <t>pokemon</t>
        </is>
      </c>
      <c r="AP964" s="18" t="inlineStr">
        <is>
          <t>water</t>
        </is>
      </c>
      <c r="AQ964" s="18" t="inlineStr">
        <is>
          <t>{"biomes":["#cobblemon:is_overworld"],"canSeeSky":true,"neededNearbyBlocks":["#minecraft:corals","#minecraft:coral_blocks"]}</t>
        </is>
      </c>
      <c r="AR964" s="18" t="inlineStr">
        <is>
          <t>{"biomes":["#cobblemon:is_warm_ocean"]}</t>
        </is>
      </c>
      <c r="AS964" s="18" t="inlineStr"/>
      <c r="AT964" s="19" t="inlineStr"/>
    </row>
    <row r="965" ht="32" customHeight="1">
      <c r="A965" s="18" t="inlineStr">
        <is>
          <t>0222_corsola.json::corsola-3::003</t>
        </is>
      </c>
      <c r="B965" s="19" t="inlineStr">
        <is>
          <t>사용</t>
        </is>
      </c>
      <c r="C965" s="18">
        <f>IF(OR(B965&lt;&gt;AK965,M965&lt;&gt;L965,O965&lt;&gt;"",Q965&lt;&gt;"",V965&lt;&gt;1,Y965&lt;&gt;"",AT965&lt;&gt;""),"수정","원본")</f>
        <v/>
      </c>
      <c r="D965" s="18" t="n">
        <v>222</v>
      </c>
      <c r="E965" s="18" t="inlineStr">
        <is>
          <t>코산호</t>
        </is>
      </c>
      <c r="F965" s="18" t="inlineStr">
        <is>
          <t>corsola</t>
        </is>
      </c>
      <c r="G965" s="18" t="inlineStr">
        <is>
          <t>corsola</t>
        </is>
      </c>
      <c r="H965" s="18" t="inlineStr"/>
      <c r="I965" s="18" t="n">
        <v>2</v>
      </c>
      <c r="J965" s="18" t="n"/>
      <c r="K965" s="18" t="n">
        <v>2</v>
      </c>
      <c r="L965" s="18" t="inlineStr">
        <is>
          <t>cobbleventure:generation_2</t>
        </is>
      </c>
      <c r="M965" s="19" t="inlineStr">
        <is>
          <t>cobbleventure:generation_2</t>
        </is>
      </c>
      <c r="N965" s="18" t="inlineStr"/>
      <c r="O965" s="19" t="inlineStr"/>
      <c r="P965" s="18" t="inlineStr">
        <is>
          <t>#cobblemon:is_warm_ocean</t>
        </is>
      </c>
      <c r="Q965" s="19" t="inlineStr"/>
      <c r="R965" s="18">
        <f>IF(Q965="",P965,Q965)</f>
        <v/>
      </c>
      <c r="S965" s="18" t="inlineStr"/>
      <c r="T965" s="18" t="inlineStr">
        <is>
          <t>common</t>
        </is>
      </c>
      <c r="U965" s="20" t="n">
        <v>10</v>
      </c>
      <c r="V965" s="21" t="n">
        <v>1</v>
      </c>
      <c r="W965" s="20">
        <f>IF(OR(U965="",V965=""),U965,U965*V965)</f>
        <v/>
      </c>
      <c r="X965" s="18" t="inlineStr">
        <is>
          <t>16-41</t>
        </is>
      </c>
      <c r="Y965" s="19" t="inlineStr"/>
      <c r="Z965" s="18">
        <f>IF(Y965="",X965,Y965)</f>
        <v/>
      </c>
      <c r="AA965" s="18" t="inlineStr">
        <is>
          <t>fishing</t>
        </is>
      </c>
      <c r="AB965" s="18" t="inlineStr"/>
      <c r="AC965" s="18" t="inlineStr"/>
      <c r="AD965" s="18" t="inlineStr"/>
      <c r="AE965" s="18" t="inlineStr"/>
      <c r="AF965" s="18" t="inlineStr">
        <is>
          <t>True</t>
        </is>
      </c>
      <c r="AG965" s="18" t="inlineStr"/>
      <c r="AH965" s="18" t="inlineStr"/>
      <c r="AI965" s="18" t="inlineStr"/>
      <c r="AJ965" s="18" t="inlineStr">
        <is>
          <t>COBBLEVERSE 수정</t>
        </is>
      </c>
      <c r="AK965" s="18" t="inlineStr">
        <is>
          <t>사용</t>
        </is>
      </c>
      <c r="AL965" s="18" t="inlineStr">
        <is>
          <t>COBBLEVERSE 1.7.42 / DP v31</t>
        </is>
      </c>
      <c r="AM965" s="18" t="inlineStr">
        <is>
          <t>data/cobblemon/spawn_pool_world/0222_corsola.json</t>
        </is>
      </c>
      <c r="AN965" s="18" t="inlineStr">
        <is>
          <t>corsola-3</t>
        </is>
      </c>
      <c r="AO965" s="18" t="inlineStr">
        <is>
          <t>pokemon</t>
        </is>
      </c>
      <c r="AP965" s="18" t="inlineStr"/>
      <c r="AQ965" s="18" t="inlineStr">
        <is>
          <t>{"biomes":["#cobblemon:is_warm_ocean"],"canSeeSky":true}</t>
        </is>
      </c>
      <c r="AR965" s="18" t="inlineStr"/>
      <c r="AS965" s="18" t="inlineStr"/>
      <c r="AT965" s="19" t="inlineStr"/>
    </row>
    <row r="966" ht="32" customHeight="1">
      <c r="A966" s="18" t="inlineStr">
        <is>
          <t>0222_corsola.json::corsola-4::004</t>
        </is>
      </c>
      <c r="B966" s="19" t="inlineStr">
        <is>
          <t>사용</t>
        </is>
      </c>
      <c r="C966" s="18">
        <f>IF(OR(B966&lt;&gt;AK966,M966&lt;&gt;L966,O966&lt;&gt;"",Q966&lt;&gt;"",V966&lt;&gt;1,Y966&lt;&gt;"",AT966&lt;&gt;""),"수정","원본")</f>
        <v/>
      </c>
      <c r="D966" s="18" t="n">
        <v>222</v>
      </c>
      <c r="E966" s="18" t="inlineStr">
        <is>
          <t>코산호</t>
        </is>
      </c>
      <c r="F966" s="18" t="inlineStr">
        <is>
          <t>corsola</t>
        </is>
      </c>
      <c r="G966" s="18" t="inlineStr">
        <is>
          <t>corsola</t>
        </is>
      </c>
      <c r="H966" s="18" t="inlineStr"/>
      <c r="I966" s="18" t="n">
        <v>2</v>
      </c>
      <c r="J966" s="18" t="n"/>
      <c r="K966" s="18" t="n">
        <v>2</v>
      </c>
      <c r="L966" s="18" t="inlineStr">
        <is>
          <t>cobbleventure:generation_2</t>
        </is>
      </c>
      <c r="M966" s="19" t="inlineStr">
        <is>
          <t>cobbleventure:generation_2</t>
        </is>
      </c>
      <c r="N966" s="18" t="inlineStr"/>
      <c r="O966" s="19" t="inlineStr"/>
      <c r="P966" s="18" t="inlineStr">
        <is>
          <t>#cobblemon:is_warm_ocean</t>
        </is>
      </c>
      <c r="Q966" s="19" t="inlineStr"/>
      <c r="R966" s="18">
        <f>IF(Q966="",P966,Q966)</f>
        <v/>
      </c>
      <c r="S966" s="18" t="inlineStr"/>
      <c r="T966" s="18" t="inlineStr">
        <is>
          <t>common</t>
        </is>
      </c>
      <c r="U966" s="20" t="n">
        <v>10</v>
      </c>
      <c r="V966" s="21" t="n">
        <v>1</v>
      </c>
      <c r="W966" s="20">
        <f>IF(OR(U966="",V966=""),U966,U966*V966)</f>
        <v/>
      </c>
      <c r="X966" s="18" t="inlineStr">
        <is>
          <t>16-41</t>
        </is>
      </c>
      <c r="Y966" s="19" t="inlineStr"/>
      <c r="Z966" s="18">
        <f>IF(Y966="",X966,Y966)</f>
        <v/>
      </c>
      <c r="AA966" s="18" t="inlineStr">
        <is>
          <t>fishing</t>
        </is>
      </c>
      <c r="AB966" s="18" t="inlineStr"/>
      <c r="AC966" s="18" t="inlineStr"/>
      <c r="AD966" s="18" t="inlineStr"/>
      <c r="AE966" s="18" t="inlineStr">
        <is>
          <t>sky 8-15</t>
        </is>
      </c>
      <c r="AF966" s="18" t="inlineStr">
        <is>
          <t>False</t>
        </is>
      </c>
      <c r="AG966" s="18" t="inlineStr"/>
      <c r="AH966" s="18" t="inlineStr"/>
      <c r="AI966" s="18" t="inlineStr"/>
      <c r="AJ966" s="18" t="inlineStr">
        <is>
          <t>COBBLEVERSE 수정</t>
        </is>
      </c>
      <c r="AK966" s="18" t="inlineStr">
        <is>
          <t>사용</t>
        </is>
      </c>
      <c r="AL966" s="18" t="inlineStr">
        <is>
          <t>COBBLEVERSE 1.7.42 / DP v31</t>
        </is>
      </c>
      <c r="AM966" s="18" t="inlineStr">
        <is>
          <t>data/cobblemon/spawn_pool_world/0222_corsola.json</t>
        </is>
      </c>
      <c r="AN966" s="18" t="inlineStr">
        <is>
          <t>corsola-4</t>
        </is>
      </c>
      <c r="AO966" s="18" t="inlineStr">
        <is>
          <t>pokemon</t>
        </is>
      </c>
      <c r="AP966" s="18" t="inlineStr"/>
      <c r="AQ966" s="18" t="inlineStr">
        <is>
          <t>{"biomes":["#cobblemon:is_warm_ocean"],"canSeeSky":false,"maxSkyLight":15,"minSkyLight":8}</t>
        </is>
      </c>
      <c r="AR966" s="18" t="inlineStr"/>
      <c r="AS966" s="18" t="inlineStr"/>
      <c r="AT966" s="19" t="inlineStr"/>
    </row>
    <row r="967" ht="32" customHeight="1">
      <c r="A967" s="18" t="inlineStr">
        <is>
          <t>0222_corsola.json::corsola-galarian-5::005</t>
        </is>
      </c>
      <c r="B967" s="19" t="inlineStr">
        <is>
          <t>사용</t>
        </is>
      </c>
      <c r="C967" s="18">
        <f>IF(OR(B967&lt;&gt;AK967,M967&lt;&gt;L967,O967&lt;&gt;"",Q967&lt;&gt;"",V967&lt;&gt;1,Y967&lt;&gt;"",AT967&lt;&gt;""),"수정","원본")</f>
        <v/>
      </c>
      <c r="D967" s="18" t="n">
        <v>222</v>
      </c>
      <c r="E967" s="18" t="inlineStr">
        <is>
          <t>코산호</t>
        </is>
      </c>
      <c r="F967" s="18" t="inlineStr">
        <is>
          <t>corsola</t>
        </is>
      </c>
      <c r="G967" s="18" t="inlineStr">
        <is>
          <t>corsola galarian</t>
        </is>
      </c>
      <c r="H967" s="18" t="inlineStr">
        <is>
          <t>galarian</t>
        </is>
      </c>
      <c r="I967" s="18" t="n">
        <v>2</v>
      </c>
      <c r="J967" s="18" t="n">
        <v>8</v>
      </c>
      <c r="K967" s="18" t="n">
        <v>8</v>
      </c>
      <c r="L967" s="18" t="inlineStr">
        <is>
          <t>cobbleventure:generation_8</t>
        </is>
      </c>
      <c r="M967" s="19" t="inlineStr">
        <is>
          <t>cobbleventure:generation_8</t>
        </is>
      </c>
      <c r="N967" s="18" t="inlineStr"/>
      <c r="O967" s="19" t="inlineStr"/>
      <c r="P967" s="18" t="inlineStr">
        <is>
          <t>#cobblemon:is_beach</t>
        </is>
      </c>
      <c r="Q967" s="19" t="inlineStr"/>
      <c r="R967" s="18">
        <f>IF(Q967="",P967,Q967)</f>
        <v/>
      </c>
      <c r="S967" s="18" t="inlineStr"/>
      <c r="T967" s="18" t="inlineStr">
        <is>
          <t>uncommon</t>
        </is>
      </c>
      <c r="U967" s="20" t="n">
        <v>1.68</v>
      </c>
      <c r="V967" s="21" t="n">
        <v>1</v>
      </c>
      <c r="W967" s="20">
        <f>IF(OR(U967="",V967=""),U967,U967*V967)</f>
        <v/>
      </c>
      <c r="X967" s="18" t="inlineStr">
        <is>
          <t>16-41</t>
        </is>
      </c>
      <c r="Y967" s="19" t="inlineStr"/>
      <c r="Z967" s="18">
        <f>IF(Y967="",X967,Y967)</f>
        <v/>
      </c>
      <c r="AA967" s="18" t="inlineStr">
        <is>
          <t>grounded</t>
        </is>
      </c>
      <c r="AB967" s="18" t="inlineStr"/>
      <c r="AC967" s="18" t="inlineStr"/>
      <c r="AD967" s="18" t="inlineStr"/>
      <c r="AE967" s="18" t="inlineStr"/>
      <c r="AF967" s="18" t="inlineStr"/>
      <c r="AG967" s="18" t="inlineStr"/>
      <c r="AH967" s="18" t="inlineStr"/>
      <c r="AI967" s="18" t="inlineStr"/>
      <c r="AJ967" s="18" t="inlineStr">
        <is>
          <t>COBBLEVERSE 수정</t>
        </is>
      </c>
      <c r="AK967" s="18" t="inlineStr">
        <is>
          <t>사용</t>
        </is>
      </c>
      <c r="AL967" s="18" t="inlineStr">
        <is>
          <t>COBBLEVERSE 1.7.42 / DP v31</t>
        </is>
      </c>
      <c r="AM967" s="18" t="inlineStr">
        <is>
          <t>data/cobblemon/spawn_pool_world/0222_corsola.json</t>
        </is>
      </c>
      <c r="AN967" s="18" t="inlineStr">
        <is>
          <t>corsola-galarian-5</t>
        </is>
      </c>
      <c r="AO967" s="18" t="inlineStr">
        <is>
          <t>pokemon</t>
        </is>
      </c>
      <c r="AP967" s="18" t="inlineStr">
        <is>
          <t>natural</t>
        </is>
      </c>
      <c r="AQ967" s="18" t="inlineStr">
        <is>
          <t>{"biomes":["#cobblemon:is_beach"]}</t>
        </is>
      </c>
      <c r="AR967" s="18" t="inlineStr"/>
      <c r="AS967" s="18" t="inlineStr"/>
      <c r="AT967" s="19" t="inlineStr"/>
    </row>
    <row r="968" ht="32" customHeight="1">
      <c r="A968" s="18" t="inlineStr">
        <is>
          <t>0222_corsola.json::corsola-galarian-6::006</t>
        </is>
      </c>
      <c r="B968" s="19" t="inlineStr">
        <is>
          <t>사용</t>
        </is>
      </c>
      <c r="C968" s="18">
        <f>IF(OR(B968&lt;&gt;AK968,M968&lt;&gt;L968,O968&lt;&gt;"",Q968&lt;&gt;"",V968&lt;&gt;1,Y968&lt;&gt;"",AT968&lt;&gt;""),"수정","원본")</f>
        <v/>
      </c>
      <c r="D968" s="18" t="n">
        <v>222</v>
      </c>
      <c r="E968" s="18" t="inlineStr">
        <is>
          <t>코산호</t>
        </is>
      </c>
      <c r="F968" s="18" t="inlineStr">
        <is>
          <t>corsola</t>
        </is>
      </c>
      <c r="G968" s="18" t="inlineStr">
        <is>
          <t>corsola galarian</t>
        </is>
      </c>
      <c r="H968" s="18" t="inlineStr">
        <is>
          <t>galarian</t>
        </is>
      </c>
      <c r="I968" s="18" t="n">
        <v>2</v>
      </c>
      <c r="J968" s="18" t="n">
        <v>8</v>
      </c>
      <c r="K968" s="18" t="n">
        <v>8</v>
      </c>
      <c r="L968" s="18" t="inlineStr">
        <is>
          <t>cobbleventure:generation_8</t>
        </is>
      </c>
      <c r="M968" s="19" t="inlineStr">
        <is>
          <t>cobbleventure:generation_8</t>
        </is>
      </c>
      <c r="N968" s="18" t="inlineStr">
        <is>
          <t>region_01; region_02</t>
        </is>
      </c>
      <c r="O968" s="19" t="inlineStr"/>
      <c r="P968" s="18" t="inlineStr">
        <is>
          <t>#cobblemon:is_overworld</t>
        </is>
      </c>
      <c r="Q968" s="19" t="inlineStr"/>
      <c r="R968" s="18">
        <f>IF(Q968="",P968,Q968)</f>
        <v/>
      </c>
      <c r="S968" s="18" t="inlineStr"/>
      <c r="T968" s="18" t="inlineStr">
        <is>
          <t>common</t>
        </is>
      </c>
      <c r="U968" s="20" t="n">
        <v>9</v>
      </c>
      <c r="V968" s="21" t="n">
        <v>1</v>
      </c>
      <c r="W968" s="20">
        <f>IF(OR(U968="",V968=""),U968,U968*V968)</f>
        <v/>
      </c>
      <c r="X968" s="18" t="inlineStr">
        <is>
          <t>16-41</t>
        </is>
      </c>
      <c r="Y968" s="19" t="inlineStr"/>
      <c r="Z968" s="18">
        <f>IF(Y968="",X968,Y968)</f>
        <v/>
      </c>
      <c r="AA968" s="18" t="inlineStr">
        <is>
          <t>grounded</t>
        </is>
      </c>
      <c r="AB968" s="18" t="inlineStr"/>
      <c r="AC968" s="18" t="inlineStr"/>
      <c r="AD968" s="18" t="inlineStr"/>
      <c r="AE968" s="18" t="inlineStr"/>
      <c r="AF968" s="18" t="inlineStr"/>
      <c r="AG968" s="18" t="inlineStr"/>
      <c r="AH968" s="18" t="inlineStr">
        <is>
          <t>주변=#cobblemon:dead_coral</t>
        </is>
      </c>
      <c r="AI968" s="18" t="inlineStr"/>
      <c r="AJ968" s="18" t="inlineStr">
        <is>
          <t>COBBLEVERSE 수정</t>
        </is>
      </c>
      <c r="AK968" s="18" t="inlineStr">
        <is>
          <t>사용</t>
        </is>
      </c>
      <c r="AL968" s="18" t="inlineStr">
        <is>
          <t>COBBLEVERSE 1.7.42 / DP v31</t>
        </is>
      </c>
      <c r="AM968" s="18" t="inlineStr">
        <is>
          <t>data/cobblemon/spawn_pool_world/0222_corsola.json</t>
        </is>
      </c>
      <c r="AN968" s="18" t="inlineStr">
        <is>
          <t>corsola-galarian-6</t>
        </is>
      </c>
      <c r="AO968" s="18" t="inlineStr">
        <is>
          <t>pokemon</t>
        </is>
      </c>
      <c r="AP968" s="18" t="inlineStr">
        <is>
          <t>natural</t>
        </is>
      </c>
      <c r="AQ968" s="18" t="inlineStr">
        <is>
          <t>{"biomes":["#cobblemon:is_overworld"],"neededNearbyBlocks":["#cobblemon:dead_coral"]}</t>
        </is>
      </c>
      <c r="AR968" s="18" t="inlineStr"/>
      <c r="AS968" s="18" t="inlineStr"/>
      <c r="AT968" s="19" t="inlineStr"/>
    </row>
    <row r="969" ht="32" customHeight="1">
      <c r="A969" s="18" t="inlineStr">
        <is>
          <t>0222_corsola.json::corsola-galarian-7::007</t>
        </is>
      </c>
      <c r="B969" s="19" t="inlineStr">
        <is>
          <t>사용</t>
        </is>
      </c>
      <c r="C969" s="18">
        <f>IF(OR(B969&lt;&gt;AK969,M969&lt;&gt;L969,O969&lt;&gt;"",Q969&lt;&gt;"",V969&lt;&gt;1,Y969&lt;&gt;"",AT969&lt;&gt;""),"수정","원본")</f>
        <v/>
      </c>
      <c r="D969" s="18" t="n">
        <v>222</v>
      </c>
      <c r="E969" s="18" t="inlineStr">
        <is>
          <t>코산호</t>
        </is>
      </c>
      <c r="F969" s="18" t="inlineStr">
        <is>
          <t>corsola</t>
        </is>
      </c>
      <c r="G969" s="18" t="inlineStr">
        <is>
          <t>corsola galarian</t>
        </is>
      </c>
      <c r="H969" s="18" t="inlineStr">
        <is>
          <t>galarian</t>
        </is>
      </c>
      <c r="I969" s="18" t="n">
        <v>2</v>
      </c>
      <c r="J969" s="18" t="n">
        <v>8</v>
      </c>
      <c r="K969" s="18" t="n">
        <v>8</v>
      </c>
      <c r="L969" s="18" t="inlineStr">
        <is>
          <t>cobbleventure:generation_8</t>
        </is>
      </c>
      <c r="M969" s="19" t="inlineStr">
        <is>
          <t>cobbleventure:generation_8</t>
        </is>
      </c>
      <c r="N969" s="18" t="inlineStr"/>
      <c r="O969" s="19" t="inlineStr"/>
      <c r="P969" s="18" t="inlineStr">
        <is>
          <t>is_warm_ocean</t>
        </is>
      </c>
      <c r="Q969" s="19" t="inlineStr"/>
      <c r="R969" s="18">
        <f>IF(Q969="",P969,Q969)</f>
        <v/>
      </c>
      <c r="S969" s="18" t="inlineStr"/>
      <c r="T969" s="18" t="inlineStr">
        <is>
          <t>common</t>
        </is>
      </c>
      <c r="U969" s="20" t="n">
        <v>9</v>
      </c>
      <c r="V969" s="21" t="n">
        <v>1</v>
      </c>
      <c r="W969" s="20">
        <f>IF(OR(U969="",V969=""),U969,U969*V969)</f>
        <v/>
      </c>
      <c r="X969" s="18" t="inlineStr">
        <is>
          <t>16-41</t>
        </is>
      </c>
      <c r="Y969" s="19" t="inlineStr"/>
      <c r="Z969" s="18">
        <f>IF(Y969="",X969,Y969)</f>
        <v/>
      </c>
      <c r="AA969" s="18" t="inlineStr">
        <is>
          <t>seafloor</t>
        </is>
      </c>
      <c r="AB969" s="18" t="inlineStr"/>
      <c r="AC969" s="18" t="inlineStr"/>
      <c r="AD969" s="18" t="inlineStr"/>
      <c r="AE969" s="18" t="inlineStr"/>
      <c r="AF969" s="18" t="inlineStr"/>
      <c r="AG969" s="18" t="inlineStr"/>
      <c r="AH969" s="18" t="inlineStr"/>
      <c r="AI969" s="18" t="inlineStr"/>
      <c r="AJ969" s="18" t="inlineStr">
        <is>
          <t>COBBLEVERSE 수정</t>
        </is>
      </c>
      <c r="AK969" s="18" t="inlineStr">
        <is>
          <t>사용</t>
        </is>
      </c>
      <c r="AL969" s="18" t="inlineStr">
        <is>
          <t>COBBLEVERSE 1.7.42 / DP v31</t>
        </is>
      </c>
      <c r="AM969" s="18" t="inlineStr">
        <is>
          <t>data/cobblemon/spawn_pool_world/0222_corsola.json</t>
        </is>
      </c>
      <c r="AN969" s="18" t="inlineStr">
        <is>
          <t>corsola-galarian-7</t>
        </is>
      </c>
      <c r="AO969" s="18" t="inlineStr">
        <is>
          <t>pokemon</t>
        </is>
      </c>
      <c r="AP969" s="18" t="inlineStr">
        <is>
          <t>water</t>
        </is>
      </c>
      <c r="AQ969" s="18" t="inlineStr">
        <is>
          <t>{"biomes":["is_warm_ocean"]}</t>
        </is>
      </c>
      <c r="AR969" s="18" t="inlineStr"/>
      <c r="AS969" s="18" t="inlineStr"/>
      <c r="AT969" s="19" t="inlineStr"/>
    </row>
    <row r="970" ht="32" customHeight="1">
      <c r="A970" s="18" t="inlineStr">
        <is>
          <t>0222_corsola.json::corsola-galarian-8::008</t>
        </is>
      </c>
      <c r="B970" s="19" t="inlineStr">
        <is>
          <t>사용</t>
        </is>
      </c>
      <c r="C970" s="18">
        <f>IF(OR(B970&lt;&gt;AK970,M970&lt;&gt;L970,O970&lt;&gt;"",Q970&lt;&gt;"",V970&lt;&gt;1,Y970&lt;&gt;"",AT970&lt;&gt;""),"수정","원본")</f>
        <v/>
      </c>
      <c r="D970" s="18" t="n">
        <v>222</v>
      </c>
      <c r="E970" s="18" t="inlineStr">
        <is>
          <t>코산호</t>
        </is>
      </c>
      <c r="F970" s="18" t="inlineStr">
        <is>
          <t>corsola</t>
        </is>
      </c>
      <c r="G970" s="18" t="inlineStr">
        <is>
          <t>corsola galarian</t>
        </is>
      </c>
      <c r="H970" s="18" t="inlineStr">
        <is>
          <t>galarian</t>
        </is>
      </c>
      <c r="I970" s="18" t="n">
        <v>2</v>
      </c>
      <c r="J970" s="18" t="n">
        <v>8</v>
      </c>
      <c r="K970" s="18" t="n">
        <v>8</v>
      </c>
      <c r="L970" s="18" t="inlineStr">
        <is>
          <t>cobbleventure:generation_8</t>
        </is>
      </c>
      <c r="M970" s="19" t="inlineStr">
        <is>
          <t>cobbleventure:generation_8</t>
        </is>
      </c>
      <c r="N970" s="18" t="inlineStr"/>
      <c r="O970" s="19" t="inlineStr"/>
      <c r="P970" s="18" t="inlineStr">
        <is>
          <t>#cobblemon:nether/is_quartz</t>
        </is>
      </c>
      <c r="Q970" s="19" t="inlineStr"/>
      <c r="R970" s="18">
        <f>IF(Q970="",P970,Q970)</f>
        <v/>
      </c>
      <c r="S970" s="18" t="inlineStr"/>
      <c r="T970" s="18" t="inlineStr">
        <is>
          <t>uncommon</t>
        </is>
      </c>
      <c r="U970" s="20" t="n">
        <v>5.04</v>
      </c>
      <c r="V970" s="21" t="n">
        <v>1</v>
      </c>
      <c r="W970" s="20">
        <f>IF(OR(U970="",V970=""),U970,U970*V970)</f>
        <v/>
      </c>
      <c r="X970" s="18" t="inlineStr">
        <is>
          <t>16-41</t>
        </is>
      </c>
      <c r="Y970" s="19" t="inlineStr"/>
      <c r="Z970" s="18">
        <f>IF(Y970="",X970,Y970)</f>
        <v/>
      </c>
      <c r="AA970" s="18" t="inlineStr">
        <is>
          <t>grounded</t>
        </is>
      </c>
      <c r="AB970" s="18" t="inlineStr"/>
      <c r="AC970" s="18" t="inlineStr"/>
      <c r="AD970" s="18" t="inlineStr"/>
      <c r="AE970" s="18" t="inlineStr"/>
      <c r="AF970" s="18" t="inlineStr"/>
      <c r="AG970" s="18" t="inlineStr"/>
      <c r="AH970" s="18" t="inlineStr">
        <is>
          <t>바닥=minecraft:quartz_block</t>
        </is>
      </c>
      <c r="AI970" s="18" t="inlineStr"/>
      <c r="AJ970" s="18" t="inlineStr">
        <is>
          <t>COBBLEVERSE 수정</t>
        </is>
      </c>
      <c r="AK970" s="18" t="inlineStr">
        <is>
          <t>사용</t>
        </is>
      </c>
      <c r="AL970" s="18" t="inlineStr">
        <is>
          <t>COBBLEVERSE 1.7.42 / DP v31</t>
        </is>
      </c>
      <c r="AM970" s="18" t="inlineStr">
        <is>
          <t>data/cobblemon/spawn_pool_world/0222_corsola.json</t>
        </is>
      </c>
      <c r="AN970" s="18" t="inlineStr">
        <is>
          <t>corsola-galarian-8</t>
        </is>
      </c>
      <c r="AO970" s="18" t="inlineStr">
        <is>
          <t>pokemon</t>
        </is>
      </c>
      <c r="AP970" s="18" t="inlineStr">
        <is>
          <t>natural</t>
        </is>
      </c>
      <c r="AQ970" s="18" t="inlineStr">
        <is>
          <t>{"biomes":["#cobblemon:nether/is_quartz"],"neededBaseBlocks":["minecraft:quartz_block"]}</t>
        </is>
      </c>
      <c r="AR970" s="18" t="inlineStr"/>
      <c r="AS970" s="18" t="inlineStr"/>
      <c r="AT970" s="19" t="inlineStr"/>
    </row>
    <row r="971" ht="32" customHeight="1">
      <c r="A971" s="18" t="inlineStr">
        <is>
          <t>0222_corsola.json::corsola-galarian-9::009</t>
        </is>
      </c>
      <c r="B971" s="19" t="inlineStr">
        <is>
          <t>사용</t>
        </is>
      </c>
      <c r="C971" s="18">
        <f>IF(OR(B971&lt;&gt;AK971,M971&lt;&gt;L971,O971&lt;&gt;"",Q971&lt;&gt;"",V971&lt;&gt;1,Y971&lt;&gt;"",AT971&lt;&gt;""),"수정","원본")</f>
        <v/>
      </c>
      <c r="D971" s="18" t="n">
        <v>222</v>
      </c>
      <c r="E971" s="18" t="inlineStr">
        <is>
          <t>코산호</t>
        </is>
      </c>
      <c r="F971" s="18" t="inlineStr">
        <is>
          <t>corsola</t>
        </is>
      </c>
      <c r="G971" s="18" t="inlineStr">
        <is>
          <t>corsola galarian</t>
        </is>
      </c>
      <c r="H971" s="18" t="inlineStr">
        <is>
          <t>galarian</t>
        </is>
      </c>
      <c r="I971" s="18" t="n">
        <v>2</v>
      </c>
      <c r="J971" s="18" t="n">
        <v>8</v>
      </c>
      <c r="K971" s="18" t="n">
        <v>8</v>
      </c>
      <c r="L971" s="18" t="inlineStr">
        <is>
          <t>cobbleventure:generation_8</t>
        </is>
      </c>
      <c r="M971" s="19" t="inlineStr">
        <is>
          <t>cobbleventure:generation_8</t>
        </is>
      </c>
      <c r="N971" s="18" t="inlineStr"/>
      <c r="O971" s="19" t="inlineStr"/>
      <c r="P971" s="18" t="inlineStr">
        <is>
          <t>byg:warped_desert</t>
        </is>
      </c>
      <c r="Q971" s="19" t="inlineStr"/>
      <c r="R971" s="18">
        <f>IF(Q971="",P971,Q971)</f>
        <v/>
      </c>
      <c r="S971" s="18" t="inlineStr"/>
      <c r="T971" s="18" t="inlineStr">
        <is>
          <t>common</t>
        </is>
      </c>
      <c r="U971" s="20" t="n">
        <v>9</v>
      </c>
      <c r="V971" s="21" t="n">
        <v>1</v>
      </c>
      <c r="W971" s="20">
        <f>IF(OR(U971="",V971=""),U971,U971*V971)</f>
        <v/>
      </c>
      <c r="X971" s="18" t="inlineStr">
        <is>
          <t>16-41</t>
        </is>
      </c>
      <c r="Y971" s="19" t="inlineStr"/>
      <c r="Z971" s="18">
        <f>IF(Y971="",X971,Y971)</f>
        <v/>
      </c>
      <c r="AA971" s="18" t="inlineStr">
        <is>
          <t>grounded</t>
        </is>
      </c>
      <c r="AB971" s="18" t="inlineStr"/>
      <c r="AC971" s="18" t="inlineStr"/>
      <c r="AD971" s="18" t="inlineStr"/>
      <c r="AE971" s="18" t="inlineStr"/>
      <c r="AF971" s="18" t="inlineStr"/>
      <c r="AG971" s="18" t="inlineStr"/>
      <c r="AH971" s="18" t="inlineStr"/>
      <c r="AI971" s="18" t="inlineStr"/>
      <c r="AJ971" s="18" t="inlineStr">
        <is>
          <t>COBBLEVERSE 수정</t>
        </is>
      </c>
      <c r="AK971" s="18" t="inlineStr">
        <is>
          <t>사용</t>
        </is>
      </c>
      <c r="AL971" s="18" t="inlineStr">
        <is>
          <t>COBBLEVERSE 1.7.42 / DP v31</t>
        </is>
      </c>
      <c r="AM971" s="18" t="inlineStr">
        <is>
          <t>data/cobblemon/spawn_pool_world/0222_corsola.json</t>
        </is>
      </c>
      <c r="AN971" s="18" t="inlineStr">
        <is>
          <t>corsola-galarian-9</t>
        </is>
      </c>
      <c r="AO971" s="18" t="inlineStr">
        <is>
          <t>pokemon</t>
        </is>
      </c>
      <c r="AP971" s="18" t="inlineStr">
        <is>
          <t>natural</t>
        </is>
      </c>
      <c r="AQ971" s="18" t="inlineStr">
        <is>
          <t>{"biomes":["byg:warped_desert"]}</t>
        </is>
      </c>
      <c r="AR971" s="18" t="inlineStr"/>
      <c r="AS971" s="18" t="inlineStr"/>
      <c r="AT971" s="19" t="inlineStr"/>
    </row>
    <row r="972" ht="32" customHeight="1">
      <c r="A972" s="18" t="inlineStr">
        <is>
          <t>0222_corsola.json::corsola-galarian-10::010</t>
        </is>
      </c>
      <c r="B972" s="19" t="inlineStr">
        <is>
          <t>사용</t>
        </is>
      </c>
      <c r="C972" s="18">
        <f>IF(OR(B972&lt;&gt;AK972,M972&lt;&gt;L972,O972&lt;&gt;"",Q972&lt;&gt;"",V972&lt;&gt;1,Y972&lt;&gt;"",AT972&lt;&gt;""),"수정","원본")</f>
        <v/>
      </c>
      <c r="D972" s="18" t="n">
        <v>222</v>
      </c>
      <c r="E972" s="18" t="inlineStr">
        <is>
          <t>코산호</t>
        </is>
      </c>
      <c r="F972" s="18" t="inlineStr">
        <is>
          <t>corsola</t>
        </is>
      </c>
      <c r="G972" s="18" t="inlineStr">
        <is>
          <t>corsola galarian</t>
        </is>
      </c>
      <c r="H972" s="18" t="inlineStr">
        <is>
          <t>galarian</t>
        </is>
      </c>
      <c r="I972" s="18" t="n">
        <v>2</v>
      </c>
      <c r="J972" s="18" t="n">
        <v>8</v>
      </c>
      <c r="K972" s="18" t="n">
        <v>8</v>
      </c>
      <c r="L972" s="18" t="inlineStr">
        <is>
          <t>cobbleventure:generation_8</t>
        </is>
      </c>
      <c r="M972" s="19" t="inlineStr">
        <is>
          <t>cobbleventure:generation_8</t>
        </is>
      </c>
      <c r="N972" s="18" t="inlineStr"/>
      <c r="O972" s="19" t="inlineStr"/>
      <c r="P972" s="18" t="inlineStr">
        <is>
          <t>#cobblemon:is_beach; #cobblemon:is_warm_ocean</t>
        </is>
      </c>
      <c r="Q972" s="19" t="inlineStr"/>
      <c r="R972" s="18">
        <f>IF(Q972="",P972,Q972)</f>
        <v/>
      </c>
      <c r="S972" s="18" t="inlineStr"/>
      <c r="T972" s="18" t="inlineStr">
        <is>
          <t>uncommon</t>
        </is>
      </c>
      <c r="U972" s="20" t="n">
        <v>1.68</v>
      </c>
      <c r="V972" s="21" t="n">
        <v>1</v>
      </c>
      <c r="W972" s="20">
        <f>IF(OR(U972="",V972=""),U972,U972*V972)</f>
        <v/>
      </c>
      <c r="X972" s="18" t="inlineStr">
        <is>
          <t>16-41</t>
        </is>
      </c>
      <c r="Y972" s="19" t="inlineStr"/>
      <c r="Z972" s="18">
        <f>IF(Y972="",X972,Y972)</f>
        <v/>
      </c>
      <c r="AA972" s="18" t="inlineStr">
        <is>
          <t>fishing</t>
        </is>
      </c>
      <c r="AB972" s="18" t="inlineStr"/>
      <c r="AC972" s="18" t="inlineStr"/>
      <c r="AD972" s="18" t="inlineStr"/>
      <c r="AE972" s="18" t="inlineStr"/>
      <c r="AF972" s="18" t="inlineStr">
        <is>
          <t>True</t>
        </is>
      </c>
      <c r="AG972" s="18" t="inlineStr"/>
      <c r="AH972" s="18" t="inlineStr"/>
      <c r="AI972" s="18" t="inlineStr"/>
      <c r="AJ972" s="18" t="inlineStr">
        <is>
          <t>COBBLEVERSE 수정</t>
        </is>
      </c>
      <c r="AK972" s="18" t="inlineStr">
        <is>
          <t>사용</t>
        </is>
      </c>
      <c r="AL972" s="18" t="inlineStr">
        <is>
          <t>COBBLEVERSE 1.7.42 / DP v31</t>
        </is>
      </c>
      <c r="AM972" s="18" t="inlineStr">
        <is>
          <t>data/cobblemon/spawn_pool_world/0222_corsola.json</t>
        </is>
      </c>
      <c r="AN972" s="18" t="inlineStr">
        <is>
          <t>corsola-galarian-10</t>
        </is>
      </c>
      <c r="AO972" s="18" t="inlineStr">
        <is>
          <t>pokemon</t>
        </is>
      </c>
      <c r="AP972" s="18" t="inlineStr"/>
      <c r="AQ972" s="18" t="inlineStr">
        <is>
          <t>{"biomes":["#cobblemon:is_beach","#cobblemon:is_warm_ocean"],"canSeeSky":true}</t>
        </is>
      </c>
      <c r="AR972" s="18" t="inlineStr">
        <is>
          <t>{"minLureLevel":1}</t>
        </is>
      </c>
      <c r="AS972" s="18" t="inlineStr"/>
      <c r="AT972" s="19" t="inlineStr"/>
    </row>
    <row r="973" ht="32" customHeight="1">
      <c r="A973" s="18" t="inlineStr">
        <is>
          <t>0222_corsola.json::corsola-galarian-11::011</t>
        </is>
      </c>
      <c r="B973" s="19" t="inlineStr">
        <is>
          <t>사용</t>
        </is>
      </c>
      <c r="C973" s="18">
        <f>IF(OR(B973&lt;&gt;AK973,M973&lt;&gt;L973,O973&lt;&gt;"",Q973&lt;&gt;"",V973&lt;&gt;1,Y973&lt;&gt;"",AT973&lt;&gt;""),"수정","원본")</f>
        <v/>
      </c>
      <c r="D973" s="18" t="n">
        <v>222</v>
      </c>
      <c r="E973" s="18" t="inlineStr">
        <is>
          <t>코산호</t>
        </is>
      </c>
      <c r="F973" s="18" t="inlineStr">
        <is>
          <t>corsola</t>
        </is>
      </c>
      <c r="G973" s="18" t="inlineStr">
        <is>
          <t>corsola galarian</t>
        </is>
      </c>
      <c r="H973" s="18" t="inlineStr">
        <is>
          <t>galarian</t>
        </is>
      </c>
      <c r="I973" s="18" t="n">
        <v>2</v>
      </c>
      <c r="J973" s="18" t="n">
        <v>8</v>
      </c>
      <c r="K973" s="18" t="n">
        <v>8</v>
      </c>
      <c r="L973" s="18" t="inlineStr">
        <is>
          <t>cobbleventure:generation_8</t>
        </is>
      </c>
      <c r="M973" s="19" t="inlineStr">
        <is>
          <t>cobbleventure:generation_8</t>
        </is>
      </c>
      <c r="N973" s="18" t="inlineStr"/>
      <c r="O973" s="19" t="inlineStr"/>
      <c r="P973" s="18" t="inlineStr">
        <is>
          <t>#cobblemon:is_beach; #cobblemon:is_warm_ocean</t>
        </is>
      </c>
      <c r="Q973" s="19" t="inlineStr"/>
      <c r="R973" s="18">
        <f>IF(Q973="",P973,Q973)</f>
        <v/>
      </c>
      <c r="S973" s="18" t="inlineStr"/>
      <c r="T973" s="18" t="inlineStr">
        <is>
          <t>common</t>
        </is>
      </c>
      <c r="U973" s="20" t="n">
        <v>1.8</v>
      </c>
      <c r="V973" s="21" t="n">
        <v>1</v>
      </c>
      <c r="W973" s="20">
        <f>IF(OR(U973="",V973=""),U973,U973*V973)</f>
        <v/>
      </c>
      <c r="X973" s="18" t="inlineStr">
        <is>
          <t>16-41</t>
        </is>
      </c>
      <c r="Y973" s="19" t="inlineStr"/>
      <c r="Z973" s="18">
        <f>IF(Y973="",X973,Y973)</f>
        <v/>
      </c>
      <c r="AA973" s="18" t="inlineStr">
        <is>
          <t>fishing</t>
        </is>
      </c>
      <c r="AB973" s="18" t="inlineStr"/>
      <c r="AC973" s="18" t="inlineStr"/>
      <c r="AD973" s="18" t="inlineStr"/>
      <c r="AE973" s="18" t="inlineStr"/>
      <c r="AF973" s="18" t="inlineStr">
        <is>
          <t>True</t>
        </is>
      </c>
      <c r="AG973" s="18" t="inlineStr"/>
      <c r="AH973" s="18" t="inlineStr"/>
      <c r="AI973" s="18" t="inlineStr">
        <is>
          <t>{"fishing":{"minLureLevel":1}}</t>
        </is>
      </c>
      <c r="AJ973" s="18" t="inlineStr">
        <is>
          <t>COBBLEVERSE 수정</t>
        </is>
      </c>
      <c r="AK973" s="18" t="inlineStr">
        <is>
          <t>사용</t>
        </is>
      </c>
      <c r="AL973" s="18" t="inlineStr">
        <is>
          <t>COBBLEVERSE 1.7.42 / DP v31</t>
        </is>
      </c>
      <c r="AM973" s="18" t="inlineStr">
        <is>
          <t>data/cobblemon/spawn_pool_world/0222_corsola.json</t>
        </is>
      </c>
      <c r="AN973" s="18" t="inlineStr">
        <is>
          <t>corsola-galarian-11</t>
        </is>
      </c>
      <c r="AO973" s="18" t="inlineStr">
        <is>
          <t>pokemon</t>
        </is>
      </c>
      <c r="AP973" s="18" t="inlineStr"/>
      <c r="AQ973" s="18" t="inlineStr">
        <is>
          <t>{"biomes":["#cobblemon:is_beach","#cobblemon:is_warm_ocean"],"canSeeSky":true,"minLureLevel":1}</t>
        </is>
      </c>
      <c r="AR973" s="18" t="inlineStr"/>
      <c r="AS973" s="18" t="inlineStr">
        <is>
          <t>{"weightMultiplier":{"condition":{"minLureLevel":3},"multiplier":3.0}}</t>
        </is>
      </c>
      <c r="AT973" s="19" t="inlineStr"/>
    </row>
    <row r="974" ht="32" customHeight="1">
      <c r="A974" s="18" t="inlineStr">
        <is>
          <t>0222_corsola.json::corsola-galarian-12::012</t>
        </is>
      </c>
      <c r="B974" s="19" t="inlineStr">
        <is>
          <t>사용</t>
        </is>
      </c>
      <c r="C974" s="18">
        <f>IF(OR(B974&lt;&gt;AK974,M974&lt;&gt;L974,O974&lt;&gt;"",Q974&lt;&gt;"",V974&lt;&gt;1,Y974&lt;&gt;"",AT974&lt;&gt;""),"수정","원본")</f>
        <v/>
      </c>
      <c r="D974" s="18" t="n">
        <v>222</v>
      </c>
      <c r="E974" s="18" t="inlineStr">
        <is>
          <t>코산호</t>
        </is>
      </c>
      <c r="F974" s="18" t="inlineStr">
        <is>
          <t>corsola</t>
        </is>
      </c>
      <c r="G974" s="18" t="inlineStr">
        <is>
          <t>corsola galarian</t>
        </is>
      </c>
      <c r="H974" s="18" t="inlineStr">
        <is>
          <t>galarian</t>
        </is>
      </c>
      <c r="I974" s="18" t="n">
        <v>2</v>
      </c>
      <c r="J974" s="18" t="n">
        <v>8</v>
      </c>
      <c r="K974" s="18" t="n">
        <v>8</v>
      </c>
      <c r="L974" s="18" t="inlineStr">
        <is>
          <t>cobbleventure:generation_8</t>
        </is>
      </c>
      <c r="M974" s="19" t="inlineStr">
        <is>
          <t>cobbleventure:generation_8</t>
        </is>
      </c>
      <c r="N974" s="18" t="inlineStr"/>
      <c r="O974" s="19" t="inlineStr"/>
      <c r="P974" s="18" t="inlineStr">
        <is>
          <t>#cobblemon:is_beach; #cobblemon:is_warm_ocean</t>
        </is>
      </c>
      <c r="Q974" s="19" t="inlineStr"/>
      <c r="R974" s="18">
        <f>IF(Q974="",P974,Q974)</f>
        <v/>
      </c>
      <c r="S974" s="18" t="inlineStr"/>
      <c r="T974" s="18" t="inlineStr">
        <is>
          <t>uncommon</t>
        </is>
      </c>
      <c r="U974" s="20" t="n">
        <v>1.68</v>
      </c>
      <c r="V974" s="21" t="n">
        <v>1</v>
      </c>
      <c r="W974" s="20">
        <f>IF(OR(U974="",V974=""),U974,U974*V974)</f>
        <v/>
      </c>
      <c r="X974" s="18" t="inlineStr">
        <is>
          <t>16-41</t>
        </is>
      </c>
      <c r="Y974" s="19" t="inlineStr"/>
      <c r="Z974" s="18">
        <f>IF(Y974="",X974,Y974)</f>
        <v/>
      </c>
      <c r="AA974" s="18" t="inlineStr">
        <is>
          <t>fishing</t>
        </is>
      </c>
      <c r="AB974" s="18" t="inlineStr"/>
      <c r="AC974" s="18" t="inlineStr"/>
      <c r="AD974" s="18" t="inlineStr"/>
      <c r="AE974" s="18" t="inlineStr">
        <is>
          <t>sky 8-15</t>
        </is>
      </c>
      <c r="AF974" s="18" t="inlineStr">
        <is>
          <t>False</t>
        </is>
      </c>
      <c r="AG974" s="18" t="inlineStr"/>
      <c r="AH974" s="18" t="inlineStr"/>
      <c r="AI974" s="18" t="inlineStr"/>
      <c r="AJ974" s="18" t="inlineStr">
        <is>
          <t>COBBLEVERSE 수정</t>
        </is>
      </c>
      <c r="AK974" s="18" t="inlineStr">
        <is>
          <t>사용</t>
        </is>
      </c>
      <c r="AL974" s="18" t="inlineStr">
        <is>
          <t>COBBLEVERSE 1.7.42 / DP v31</t>
        </is>
      </c>
      <c r="AM974" s="18" t="inlineStr">
        <is>
          <t>data/cobblemon/spawn_pool_world/0222_corsola.json</t>
        </is>
      </c>
      <c r="AN974" s="18" t="inlineStr">
        <is>
          <t>corsola-galarian-12</t>
        </is>
      </c>
      <c r="AO974" s="18" t="inlineStr">
        <is>
          <t>pokemon</t>
        </is>
      </c>
      <c r="AP974" s="18" t="inlineStr"/>
      <c r="AQ974" s="18" t="inlineStr">
        <is>
          <t>{"biomes":["#cobblemon:is_beach","#cobblemon:is_warm_ocean"],"canSeeSky":false,"maxSkyLight":15,"minSkyLight":8}</t>
        </is>
      </c>
      <c r="AR974" s="18" t="inlineStr">
        <is>
          <t>{"minLureLevel":1}</t>
        </is>
      </c>
      <c r="AS974" s="18" t="inlineStr"/>
      <c r="AT974" s="19" t="inlineStr"/>
    </row>
    <row r="975" ht="32" customHeight="1">
      <c r="A975" s="18" t="inlineStr">
        <is>
          <t>0222_corsola.json::corsola-galarian-13::013</t>
        </is>
      </c>
      <c r="B975" s="19" t="inlineStr">
        <is>
          <t>사용</t>
        </is>
      </c>
      <c r="C975" s="18">
        <f>IF(OR(B975&lt;&gt;AK975,M975&lt;&gt;L975,O975&lt;&gt;"",Q975&lt;&gt;"",V975&lt;&gt;1,Y975&lt;&gt;"",AT975&lt;&gt;""),"수정","원본")</f>
        <v/>
      </c>
      <c r="D975" s="18" t="n">
        <v>222</v>
      </c>
      <c r="E975" s="18" t="inlineStr">
        <is>
          <t>코산호</t>
        </is>
      </c>
      <c r="F975" s="18" t="inlineStr">
        <is>
          <t>corsola</t>
        </is>
      </c>
      <c r="G975" s="18" t="inlineStr">
        <is>
          <t>corsola galarian</t>
        </is>
      </c>
      <c r="H975" s="18" t="inlineStr">
        <is>
          <t>galarian</t>
        </is>
      </c>
      <c r="I975" s="18" t="n">
        <v>2</v>
      </c>
      <c r="J975" s="18" t="n">
        <v>8</v>
      </c>
      <c r="K975" s="18" t="n">
        <v>8</v>
      </c>
      <c r="L975" s="18" t="inlineStr">
        <is>
          <t>cobbleventure:generation_8</t>
        </is>
      </c>
      <c r="M975" s="19" t="inlineStr">
        <is>
          <t>cobbleventure:generation_8</t>
        </is>
      </c>
      <c r="N975" s="18" t="inlineStr"/>
      <c r="O975" s="19" t="inlineStr"/>
      <c r="P975" s="18" t="inlineStr">
        <is>
          <t>#cobblemon:is_beach; #cobblemon:is_warm_ocean</t>
        </is>
      </c>
      <c r="Q975" s="19" t="inlineStr"/>
      <c r="R975" s="18">
        <f>IF(Q975="",P975,Q975)</f>
        <v/>
      </c>
      <c r="S975" s="18" t="inlineStr"/>
      <c r="T975" s="18" t="inlineStr">
        <is>
          <t>common</t>
        </is>
      </c>
      <c r="U975" s="20" t="n">
        <v>1.8</v>
      </c>
      <c r="V975" s="21" t="n">
        <v>1</v>
      </c>
      <c r="W975" s="20">
        <f>IF(OR(U975="",V975=""),U975,U975*V975)</f>
        <v/>
      </c>
      <c r="X975" s="18" t="inlineStr">
        <is>
          <t>16-41</t>
        </is>
      </c>
      <c r="Y975" s="19" t="inlineStr"/>
      <c r="Z975" s="18">
        <f>IF(Y975="",X975,Y975)</f>
        <v/>
      </c>
      <c r="AA975" s="18" t="inlineStr">
        <is>
          <t>fishing</t>
        </is>
      </c>
      <c r="AB975" s="18" t="inlineStr"/>
      <c r="AC975" s="18" t="inlineStr"/>
      <c r="AD975" s="18" t="inlineStr"/>
      <c r="AE975" s="18" t="inlineStr">
        <is>
          <t>sky 8-15</t>
        </is>
      </c>
      <c r="AF975" s="18" t="inlineStr">
        <is>
          <t>False</t>
        </is>
      </c>
      <c r="AG975" s="18" t="inlineStr"/>
      <c r="AH975" s="18" t="inlineStr"/>
      <c r="AI975" s="18" t="inlineStr">
        <is>
          <t>{"fishing":{"minLureLevel":1}}</t>
        </is>
      </c>
      <c r="AJ975" s="18" t="inlineStr">
        <is>
          <t>COBBLEVERSE 수정</t>
        </is>
      </c>
      <c r="AK975" s="18" t="inlineStr">
        <is>
          <t>사용</t>
        </is>
      </c>
      <c r="AL975" s="18" t="inlineStr">
        <is>
          <t>COBBLEVERSE 1.7.42 / DP v31</t>
        </is>
      </c>
      <c r="AM975" s="18" t="inlineStr">
        <is>
          <t>data/cobblemon/spawn_pool_world/0222_corsola.json</t>
        </is>
      </c>
      <c r="AN975" s="18" t="inlineStr">
        <is>
          <t>corsola-galarian-13</t>
        </is>
      </c>
      <c r="AO975" s="18" t="inlineStr">
        <is>
          <t>pokemon</t>
        </is>
      </c>
      <c r="AP975" s="18" t="inlineStr"/>
      <c r="AQ975" s="18" t="inlineStr">
        <is>
          <t>{"biomes":["#cobblemon:is_beach","#cobblemon:is_warm_ocean"],"canSeeSky":false,"maxSkyLight":15,"minLureLevel":1,"minSkyLight":8}</t>
        </is>
      </c>
      <c r="AR975" s="18" t="inlineStr"/>
      <c r="AS975" s="18" t="inlineStr">
        <is>
          <t>{"weightMultiplier":{"condition":{"minLureLevel":3},"multiplier":3.0}}</t>
        </is>
      </c>
      <c r="AT975" s="19" t="inlineStr"/>
    </row>
    <row r="976" ht="32" customHeight="1">
      <c r="A976" s="18" t="inlineStr">
        <is>
          <t>0223_remoraid.json::remoraid-1::001</t>
        </is>
      </c>
      <c r="B976" s="19" t="inlineStr">
        <is>
          <t>사용</t>
        </is>
      </c>
      <c r="C976" s="18">
        <f>IF(OR(B976&lt;&gt;AK976,M976&lt;&gt;L976,O976&lt;&gt;"",Q976&lt;&gt;"",V976&lt;&gt;1,Y976&lt;&gt;"",AT976&lt;&gt;""),"수정","원본")</f>
        <v/>
      </c>
      <c r="D976" s="18" t="n">
        <v>223</v>
      </c>
      <c r="E976" s="18" t="inlineStr">
        <is>
          <t>총어</t>
        </is>
      </c>
      <c r="F976" s="18" t="inlineStr">
        <is>
          <t>remoraid</t>
        </is>
      </c>
      <c r="G976" s="18" t="inlineStr">
        <is>
          <t>remoraid</t>
        </is>
      </c>
      <c r="H976" s="18" t="inlineStr"/>
      <c r="I976" s="18" t="n">
        <v>2</v>
      </c>
      <c r="J976" s="18" t="n"/>
      <c r="K976" s="18" t="n">
        <v>2</v>
      </c>
      <c r="L976" s="18" t="inlineStr">
        <is>
          <t>cobbleventure:generation_2</t>
        </is>
      </c>
      <c r="M976" s="19" t="inlineStr">
        <is>
          <t>cobbleventure:generation_2</t>
        </is>
      </c>
      <c r="N976" s="18" t="inlineStr"/>
      <c r="O976" s="19" t="inlineStr"/>
      <c r="P976" s="18" t="inlineStr">
        <is>
          <t>#cobblemon:is_ocean</t>
        </is>
      </c>
      <c r="Q976" s="19" t="inlineStr"/>
      <c r="R976" s="18">
        <f>IF(Q976="",P976,Q976)</f>
        <v/>
      </c>
      <c r="S976" s="18" t="inlineStr"/>
      <c r="T976" s="18" t="inlineStr">
        <is>
          <t>common</t>
        </is>
      </c>
      <c r="U976" s="20" t="n">
        <v>8</v>
      </c>
      <c r="V976" s="21" t="n">
        <v>1</v>
      </c>
      <c r="W976" s="20">
        <f>IF(OR(U976="",V976=""),U976,U976*V976)</f>
        <v/>
      </c>
      <c r="X976" s="18" t="inlineStr">
        <is>
          <t>5-30</t>
        </is>
      </c>
      <c r="Y976" s="19" t="inlineStr"/>
      <c r="Z976" s="18">
        <f>IF(Y976="",X976,Y976)</f>
        <v/>
      </c>
      <c r="AA976" s="18" t="inlineStr">
        <is>
          <t>submerged</t>
        </is>
      </c>
      <c r="AB976" s="18" t="inlineStr"/>
      <c r="AC976" s="18" t="inlineStr"/>
      <c r="AD976" s="18" t="inlineStr"/>
      <c r="AE976" s="18" t="inlineStr"/>
      <c r="AF976" s="18" t="inlineStr">
        <is>
          <t>True</t>
        </is>
      </c>
      <c r="AG976" s="18" t="inlineStr"/>
      <c r="AH976" s="18" t="inlineStr"/>
      <c r="AI976" s="18" t="inlineStr"/>
      <c r="AJ976" s="18" t="inlineStr">
        <is>
          <t>COBBLEVERSE 수정</t>
        </is>
      </c>
      <c r="AK976" s="18" t="inlineStr">
        <is>
          <t>사용</t>
        </is>
      </c>
      <c r="AL976" s="18" t="inlineStr">
        <is>
          <t>COBBLEVERSE 1.7.42 / DP v31</t>
        </is>
      </c>
      <c r="AM976" s="18" t="inlineStr">
        <is>
          <t>data/cobblemon/spawn_pool_world/0223_remoraid.json</t>
        </is>
      </c>
      <c r="AN976" s="18" t="inlineStr">
        <is>
          <t>remoraid-1</t>
        </is>
      </c>
      <c r="AO976" s="18" t="inlineStr">
        <is>
          <t>pokemon</t>
        </is>
      </c>
      <c r="AP976" s="18" t="inlineStr">
        <is>
          <t>water</t>
        </is>
      </c>
      <c r="AQ976" s="18" t="inlineStr">
        <is>
          <t>{"biomes":["#cobblemon:is_ocean"],"canSeeSky":true}</t>
        </is>
      </c>
      <c r="AR976" s="18" t="inlineStr"/>
      <c r="AS976" s="18" t="inlineStr"/>
      <c r="AT976" s="19" t="inlineStr"/>
    </row>
    <row r="977" ht="32" customHeight="1">
      <c r="A977" s="18" t="inlineStr">
        <is>
          <t>0223_remoraid.json::remoraid-2::002</t>
        </is>
      </c>
      <c r="B977" s="19" t="inlineStr">
        <is>
          <t>사용</t>
        </is>
      </c>
      <c r="C977" s="18">
        <f>IF(OR(B977&lt;&gt;AK977,M977&lt;&gt;L977,O977&lt;&gt;"",Q977&lt;&gt;"",V977&lt;&gt;1,Y977&lt;&gt;"",AT977&lt;&gt;""),"수정","원본")</f>
        <v/>
      </c>
      <c r="D977" s="18" t="n">
        <v>223</v>
      </c>
      <c r="E977" s="18" t="inlineStr">
        <is>
          <t>총어</t>
        </is>
      </c>
      <c r="F977" s="18" t="inlineStr">
        <is>
          <t>remoraid</t>
        </is>
      </c>
      <c r="G977" s="18" t="inlineStr">
        <is>
          <t>remoraid</t>
        </is>
      </c>
      <c r="H977" s="18" t="inlineStr"/>
      <c r="I977" s="18" t="n">
        <v>2</v>
      </c>
      <c r="J977" s="18" t="n"/>
      <c r="K977" s="18" t="n">
        <v>2</v>
      </c>
      <c r="L977" s="18" t="inlineStr">
        <is>
          <t>cobbleventure:generation_2</t>
        </is>
      </c>
      <c r="M977" s="19" t="inlineStr">
        <is>
          <t>cobbleventure:generation_2</t>
        </is>
      </c>
      <c r="N977" s="18" t="inlineStr"/>
      <c r="O977" s="19" t="inlineStr"/>
      <c r="P977" s="18" t="inlineStr">
        <is>
          <t>#cobblemon:is_ocean</t>
        </is>
      </c>
      <c r="Q977" s="19" t="inlineStr"/>
      <c r="R977" s="18">
        <f>IF(Q977="",P977,Q977)</f>
        <v/>
      </c>
      <c r="S977" s="18" t="inlineStr"/>
      <c r="T977" s="18" t="inlineStr">
        <is>
          <t>common</t>
        </is>
      </c>
      <c r="U977" s="20" t="n">
        <v>8</v>
      </c>
      <c r="V977" s="21" t="n">
        <v>1</v>
      </c>
      <c r="W977" s="20">
        <f>IF(OR(U977="",V977=""),U977,U977*V977)</f>
        <v/>
      </c>
      <c r="X977" s="18" t="inlineStr">
        <is>
          <t>5-30</t>
        </is>
      </c>
      <c r="Y977" s="19" t="inlineStr"/>
      <c r="Z977" s="18">
        <f>IF(Y977="",X977,Y977)</f>
        <v/>
      </c>
      <c r="AA977" s="18" t="inlineStr">
        <is>
          <t>fishing</t>
        </is>
      </c>
      <c r="AB977" s="18" t="inlineStr"/>
      <c r="AC977" s="18" t="inlineStr"/>
      <c r="AD977" s="18" t="inlineStr"/>
      <c r="AE977" s="18" t="inlineStr"/>
      <c r="AF977" s="18" t="inlineStr">
        <is>
          <t>True</t>
        </is>
      </c>
      <c r="AG977" s="18" t="inlineStr"/>
      <c r="AH977" s="18" t="inlineStr"/>
      <c r="AI977" s="18" t="inlineStr"/>
      <c r="AJ977" s="18" t="inlineStr">
        <is>
          <t>COBBLEVERSE 수정</t>
        </is>
      </c>
      <c r="AK977" s="18" t="inlineStr">
        <is>
          <t>사용</t>
        </is>
      </c>
      <c r="AL977" s="18" t="inlineStr">
        <is>
          <t>COBBLEVERSE 1.7.42 / DP v31</t>
        </is>
      </c>
      <c r="AM977" s="18" t="inlineStr">
        <is>
          <t>data/cobblemon/spawn_pool_world/0223_remoraid.json</t>
        </is>
      </c>
      <c r="AN977" s="18" t="inlineStr">
        <is>
          <t>remoraid-2</t>
        </is>
      </c>
      <c r="AO977" s="18" t="inlineStr">
        <is>
          <t>pokemon</t>
        </is>
      </c>
      <c r="AP977" s="18" t="inlineStr"/>
      <c r="AQ977" s="18" t="inlineStr">
        <is>
          <t>{"biomes":["#cobblemon:is_ocean"],"canSeeSky":true}</t>
        </is>
      </c>
      <c r="AR977" s="18" t="inlineStr"/>
      <c r="AS977" s="18" t="inlineStr"/>
      <c r="AT977" s="19" t="inlineStr"/>
    </row>
    <row r="978" ht="32" customHeight="1">
      <c r="A978" s="18" t="inlineStr">
        <is>
          <t>0223_remoraid.json::remoraid-3::003</t>
        </is>
      </c>
      <c r="B978" s="19" t="inlineStr">
        <is>
          <t>사용</t>
        </is>
      </c>
      <c r="C978" s="18">
        <f>IF(OR(B978&lt;&gt;AK978,M978&lt;&gt;L978,O978&lt;&gt;"",Q978&lt;&gt;"",V978&lt;&gt;1,Y978&lt;&gt;"",AT978&lt;&gt;""),"수정","원본")</f>
        <v/>
      </c>
      <c r="D978" s="18" t="n">
        <v>223</v>
      </c>
      <c r="E978" s="18" t="inlineStr">
        <is>
          <t>총어</t>
        </is>
      </c>
      <c r="F978" s="18" t="inlineStr">
        <is>
          <t>remoraid</t>
        </is>
      </c>
      <c r="G978" s="18" t="inlineStr">
        <is>
          <t>remoraid</t>
        </is>
      </c>
      <c r="H978" s="18" t="inlineStr"/>
      <c r="I978" s="18" t="n">
        <v>2</v>
      </c>
      <c r="J978" s="18" t="n"/>
      <c r="K978" s="18" t="n">
        <v>2</v>
      </c>
      <c r="L978" s="18" t="inlineStr">
        <is>
          <t>cobbleventure:generation_2</t>
        </is>
      </c>
      <c r="M978" s="19" t="inlineStr">
        <is>
          <t>cobbleventure:generation_2</t>
        </is>
      </c>
      <c r="N978" s="18" t="inlineStr"/>
      <c r="O978" s="19" t="inlineStr"/>
      <c r="P978" s="18" t="inlineStr">
        <is>
          <t>#cobblemon:is_ocean</t>
        </is>
      </c>
      <c r="Q978" s="19" t="inlineStr"/>
      <c r="R978" s="18">
        <f>IF(Q978="",P978,Q978)</f>
        <v/>
      </c>
      <c r="S978" s="18" t="inlineStr"/>
      <c r="T978" s="18" t="inlineStr">
        <is>
          <t>common</t>
        </is>
      </c>
      <c r="U978" s="20" t="n">
        <v>8</v>
      </c>
      <c r="V978" s="21" t="n">
        <v>1</v>
      </c>
      <c r="W978" s="20">
        <f>IF(OR(U978="",V978=""),U978,U978*V978)</f>
        <v/>
      </c>
      <c r="X978" s="18" t="inlineStr">
        <is>
          <t>5-30</t>
        </is>
      </c>
      <c r="Y978" s="19" t="inlineStr"/>
      <c r="Z978" s="18">
        <f>IF(Y978="",X978,Y978)</f>
        <v/>
      </c>
      <c r="AA978" s="18" t="inlineStr">
        <is>
          <t>submerged</t>
        </is>
      </c>
      <c r="AB978" s="18" t="inlineStr"/>
      <c r="AC978" s="18" t="inlineStr"/>
      <c r="AD978" s="18" t="inlineStr"/>
      <c r="AE978" s="18" t="inlineStr">
        <is>
          <t>sky 8-15</t>
        </is>
      </c>
      <c r="AF978" s="18" t="inlineStr">
        <is>
          <t>False</t>
        </is>
      </c>
      <c r="AG978" s="18" t="inlineStr"/>
      <c r="AH978" s="18" t="inlineStr"/>
      <c r="AI978" s="18" t="inlineStr"/>
      <c r="AJ978" s="18" t="inlineStr">
        <is>
          <t>COBBLEVERSE 수정</t>
        </is>
      </c>
      <c r="AK978" s="18" t="inlineStr">
        <is>
          <t>사용</t>
        </is>
      </c>
      <c r="AL978" s="18" t="inlineStr">
        <is>
          <t>COBBLEVERSE 1.7.42 / DP v31</t>
        </is>
      </c>
      <c r="AM978" s="18" t="inlineStr">
        <is>
          <t>data/cobblemon/spawn_pool_world/0223_remoraid.json</t>
        </is>
      </c>
      <c r="AN978" s="18" t="inlineStr">
        <is>
          <t>remoraid-3</t>
        </is>
      </c>
      <c r="AO978" s="18" t="inlineStr">
        <is>
          <t>pokemon</t>
        </is>
      </c>
      <c r="AP978" s="18" t="inlineStr">
        <is>
          <t>water</t>
        </is>
      </c>
      <c r="AQ978" s="18" t="inlineStr">
        <is>
          <t>{"biomes":["#cobblemon:is_ocean"],"canSeeSky":false,"maxSkyLight":15,"minSkyLight":8}</t>
        </is>
      </c>
      <c r="AR978" s="18" t="inlineStr"/>
      <c r="AS978" s="18" t="inlineStr"/>
      <c r="AT978" s="19" t="inlineStr"/>
    </row>
    <row r="979" ht="32" customHeight="1">
      <c r="A979" s="18" t="inlineStr">
        <is>
          <t>0223_remoraid.json::remoraid-4::004</t>
        </is>
      </c>
      <c r="B979" s="19" t="inlineStr">
        <is>
          <t>사용</t>
        </is>
      </c>
      <c r="C979" s="18">
        <f>IF(OR(B979&lt;&gt;AK979,M979&lt;&gt;L979,O979&lt;&gt;"",Q979&lt;&gt;"",V979&lt;&gt;1,Y979&lt;&gt;"",AT979&lt;&gt;""),"수정","원본")</f>
        <v/>
      </c>
      <c r="D979" s="18" t="n">
        <v>223</v>
      </c>
      <c r="E979" s="18" t="inlineStr">
        <is>
          <t>총어</t>
        </is>
      </c>
      <c r="F979" s="18" t="inlineStr">
        <is>
          <t>remoraid</t>
        </is>
      </c>
      <c r="G979" s="18" t="inlineStr">
        <is>
          <t>remoraid</t>
        </is>
      </c>
      <c r="H979" s="18" t="inlineStr"/>
      <c r="I979" s="18" t="n">
        <v>2</v>
      </c>
      <c r="J979" s="18" t="n"/>
      <c r="K979" s="18" t="n">
        <v>2</v>
      </c>
      <c r="L979" s="18" t="inlineStr">
        <is>
          <t>cobbleventure:generation_2</t>
        </is>
      </c>
      <c r="M979" s="19" t="inlineStr">
        <is>
          <t>cobbleventure:generation_2</t>
        </is>
      </c>
      <c r="N979" s="18" t="inlineStr"/>
      <c r="O979" s="19" t="inlineStr"/>
      <c r="P979" s="18" t="inlineStr">
        <is>
          <t>#cobblemon:is_ocean</t>
        </is>
      </c>
      <c r="Q979" s="19" t="inlineStr"/>
      <c r="R979" s="18">
        <f>IF(Q979="",P979,Q979)</f>
        <v/>
      </c>
      <c r="S979" s="18" t="inlineStr"/>
      <c r="T979" s="18" t="inlineStr">
        <is>
          <t>common</t>
        </is>
      </c>
      <c r="U979" s="20" t="n">
        <v>8</v>
      </c>
      <c r="V979" s="21" t="n">
        <v>1</v>
      </c>
      <c r="W979" s="20">
        <f>IF(OR(U979="",V979=""),U979,U979*V979)</f>
        <v/>
      </c>
      <c r="X979" s="18" t="inlineStr">
        <is>
          <t>5-30</t>
        </is>
      </c>
      <c r="Y979" s="19" t="inlineStr"/>
      <c r="Z979" s="18">
        <f>IF(Y979="",X979,Y979)</f>
        <v/>
      </c>
      <c r="AA979" s="18" t="inlineStr">
        <is>
          <t>fishing</t>
        </is>
      </c>
      <c r="AB979" s="18" t="inlineStr"/>
      <c r="AC979" s="18" t="inlineStr"/>
      <c r="AD979" s="18" t="inlineStr"/>
      <c r="AE979" s="18" t="inlineStr">
        <is>
          <t>sky 8-15</t>
        </is>
      </c>
      <c r="AF979" s="18" t="inlineStr">
        <is>
          <t>False</t>
        </is>
      </c>
      <c r="AG979" s="18" t="inlineStr"/>
      <c r="AH979" s="18" t="inlineStr"/>
      <c r="AI979" s="18" t="inlineStr"/>
      <c r="AJ979" s="18" t="inlineStr">
        <is>
          <t>COBBLEVERSE 수정</t>
        </is>
      </c>
      <c r="AK979" s="18" t="inlineStr">
        <is>
          <t>사용</t>
        </is>
      </c>
      <c r="AL979" s="18" t="inlineStr">
        <is>
          <t>COBBLEVERSE 1.7.42 / DP v31</t>
        </is>
      </c>
      <c r="AM979" s="18" t="inlineStr">
        <is>
          <t>data/cobblemon/spawn_pool_world/0223_remoraid.json</t>
        </is>
      </c>
      <c r="AN979" s="18" t="inlineStr">
        <is>
          <t>remoraid-4</t>
        </is>
      </c>
      <c r="AO979" s="18" t="inlineStr">
        <is>
          <t>pokemon</t>
        </is>
      </c>
      <c r="AP979" s="18" t="inlineStr"/>
      <c r="AQ979" s="18" t="inlineStr">
        <is>
          <t>{"biomes":["#cobblemon:is_ocean"],"canSeeSky":false,"maxSkyLight":15,"minSkyLight":8}</t>
        </is>
      </c>
      <c r="AR979" s="18" t="inlineStr"/>
      <c r="AS979" s="18" t="inlineStr"/>
      <c r="AT979" s="19" t="inlineStr"/>
    </row>
    <row r="980" ht="32" customHeight="1">
      <c r="A980" s="18" t="inlineStr">
        <is>
          <t>0223_remoraid.json::remoraid-5::005</t>
        </is>
      </c>
      <c r="B980" s="19" t="inlineStr">
        <is>
          <t>사용</t>
        </is>
      </c>
      <c r="C980" s="18">
        <f>IF(OR(B980&lt;&gt;AK980,M980&lt;&gt;L980,O980&lt;&gt;"",Q980&lt;&gt;"",V980&lt;&gt;1,Y980&lt;&gt;"",AT980&lt;&gt;""),"수정","원본")</f>
        <v/>
      </c>
      <c r="D980" s="18" t="n">
        <v>223</v>
      </c>
      <c r="E980" s="18" t="inlineStr">
        <is>
          <t>총어</t>
        </is>
      </c>
      <c r="F980" s="18" t="inlineStr">
        <is>
          <t>remoraid</t>
        </is>
      </c>
      <c r="G980" s="18" t="inlineStr">
        <is>
          <t>remoraid</t>
        </is>
      </c>
      <c r="H980" s="18" t="inlineStr"/>
      <c r="I980" s="18" t="n">
        <v>2</v>
      </c>
      <c r="J980" s="18" t="n"/>
      <c r="K980" s="18" t="n">
        <v>2</v>
      </c>
      <c r="L980" s="18" t="inlineStr">
        <is>
          <t>cobbleventure:generation_2</t>
        </is>
      </c>
      <c r="M980" s="19" t="inlineStr">
        <is>
          <t>cobbleventure:generation_2</t>
        </is>
      </c>
      <c r="N980" s="18" t="inlineStr">
        <is>
          <t>region_01; region_02</t>
        </is>
      </c>
      <c r="O980" s="19" t="inlineStr"/>
      <c r="P980" s="18" t="inlineStr">
        <is>
          <t>#cobblemon:is_overworld</t>
        </is>
      </c>
      <c r="Q980" s="19" t="inlineStr"/>
      <c r="R980" s="18">
        <f>IF(Q980="",P980,Q980)</f>
        <v/>
      </c>
      <c r="S980" s="18" t="inlineStr"/>
      <c r="T980" s="18" t="inlineStr">
        <is>
          <t>common</t>
        </is>
      </c>
      <c r="U980" s="20" t="n">
        <v>8</v>
      </c>
      <c r="V980" s="21" t="n">
        <v>1</v>
      </c>
      <c r="W980" s="20">
        <f>IF(OR(U980="",V980=""),U980,U980*V980)</f>
        <v/>
      </c>
      <c r="X980" s="18" t="inlineStr">
        <is>
          <t>5-30</t>
        </is>
      </c>
      <c r="Y980" s="19" t="inlineStr"/>
      <c r="Z980" s="18">
        <f>IF(Y980="",X980,Y980)</f>
        <v/>
      </c>
      <c r="AA980" s="18" t="inlineStr">
        <is>
          <t>submerged</t>
        </is>
      </c>
      <c r="AB980" s="18" t="inlineStr"/>
      <c r="AC980" s="18" t="inlineStr"/>
      <c r="AD980" s="18" t="inlineStr">
        <is>
          <t>minY=-60, maxY=13</t>
        </is>
      </c>
      <c r="AE980" s="18" t="inlineStr"/>
      <c r="AF980" s="18" t="inlineStr">
        <is>
          <t>False</t>
        </is>
      </c>
      <c r="AG980" s="18" t="inlineStr">
        <is>
          <t>cobblemon:shipwreck_coves/submerged_shipwreck_cove</t>
        </is>
      </c>
      <c r="AH980" s="18" t="inlineStr"/>
      <c r="AI980" s="18" t="inlineStr"/>
      <c r="AJ980" s="18" t="inlineStr">
        <is>
          <t>COBBLEVERSE 수정</t>
        </is>
      </c>
      <c r="AK980" s="18" t="inlineStr">
        <is>
          <t>사용</t>
        </is>
      </c>
      <c r="AL980" s="18" t="inlineStr">
        <is>
          <t>COBBLEVERSE 1.7.42 / DP v31</t>
        </is>
      </c>
      <c r="AM980" s="18" t="inlineStr">
        <is>
          <t>data/cobblemon/spawn_pool_world/0223_remoraid.json</t>
        </is>
      </c>
      <c r="AN980" s="18" t="inlineStr">
        <is>
          <t>remoraid-5</t>
        </is>
      </c>
      <c r="AO980" s="18" t="inlineStr">
        <is>
          <t>pokemon</t>
        </is>
      </c>
      <c r="AP980" s="18" t="inlineStr">
        <is>
          <t>water</t>
        </is>
      </c>
      <c r="AQ980" s="18" t="inlineStr">
        <is>
          <t>{"biomes":["#cobblemon:is_overworld"],"canSeeSky":false,"maxY":13,"minY":-60,"structures":["cobblemon:shipwreck_coves/submerged_shipwreck_cove"]}</t>
        </is>
      </c>
      <c r="AR980" s="18" t="inlineStr"/>
      <c r="AS980" s="18" t="inlineStr"/>
      <c r="AT980" s="19" t="inlineStr"/>
    </row>
    <row r="981" ht="32" customHeight="1">
      <c r="A981" s="18" t="inlineStr">
        <is>
          <t>0223_remoraid.json::remoraid-6::006</t>
        </is>
      </c>
      <c r="B981" s="19" t="inlineStr">
        <is>
          <t>사용</t>
        </is>
      </c>
      <c r="C981" s="18">
        <f>IF(OR(B981&lt;&gt;AK981,M981&lt;&gt;L981,O981&lt;&gt;"",Q981&lt;&gt;"",V981&lt;&gt;1,Y981&lt;&gt;"",AT981&lt;&gt;""),"수정","원본")</f>
        <v/>
      </c>
      <c r="D981" s="18" t="n">
        <v>223</v>
      </c>
      <c r="E981" s="18" t="inlineStr">
        <is>
          <t>총어</t>
        </is>
      </c>
      <c r="F981" s="18" t="inlineStr">
        <is>
          <t>remoraid</t>
        </is>
      </c>
      <c r="G981" s="18" t="inlineStr">
        <is>
          <t>remoraid</t>
        </is>
      </c>
      <c r="H981" s="18" t="inlineStr"/>
      <c r="I981" s="18" t="n">
        <v>2</v>
      </c>
      <c r="J981" s="18" t="n"/>
      <c r="K981" s="18" t="n">
        <v>2</v>
      </c>
      <c r="L981" s="18" t="inlineStr">
        <is>
          <t>cobbleventure:generation_2</t>
        </is>
      </c>
      <c r="M981" s="19" t="inlineStr">
        <is>
          <t>cobbleventure:generation_2</t>
        </is>
      </c>
      <c r="N981" s="18" t="inlineStr">
        <is>
          <t>region_01; region_02</t>
        </is>
      </c>
      <c r="O981" s="19" t="inlineStr"/>
      <c r="P981" s="18" t="inlineStr">
        <is>
          <t>#cobblemon:is_overworld</t>
        </is>
      </c>
      <c r="Q981" s="19" t="inlineStr"/>
      <c r="R981" s="18">
        <f>IF(Q981="",P981,Q981)</f>
        <v/>
      </c>
      <c r="S981" s="18" t="inlineStr"/>
      <c r="T981" s="18" t="inlineStr">
        <is>
          <t>common</t>
        </is>
      </c>
      <c r="U981" s="20" t="n">
        <v>8</v>
      </c>
      <c r="V981" s="21" t="n">
        <v>1</v>
      </c>
      <c r="W981" s="20">
        <f>IF(OR(U981="",V981=""),U981,U981*V981)</f>
        <v/>
      </c>
      <c r="X981" s="18" t="inlineStr">
        <is>
          <t>5-30</t>
        </is>
      </c>
      <c r="Y981" s="19" t="inlineStr"/>
      <c r="Z981" s="18">
        <f>IF(Y981="",X981,Y981)</f>
        <v/>
      </c>
      <c r="AA981" s="18" t="inlineStr">
        <is>
          <t>fishing</t>
        </is>
      </c>
      <c r="AB981" s="18" t="inlineStr"/>
      <c r="AC981" s="18" t="inlineStr"/>
      <c r="AD981" s="18" t="inlineStr">
        <is>
          <t>minY=-60, maxY=13</t>
        </is>
      </c>
      <c r="AE981" s="18" t="inlineStr"/>
      <c r="AF981" s="18" t="inlineStr">
        <is>
          <t>False</t>
        </is>
      </c>
      <c r="AG981" s="18" t="inlineStr">
        <is>
          <t>cobblemon:shipwreck_coves/submerged_shipwreck_cove</t>
        </is>
      </c>
      <c r="AH981" s="18" t="inlineStr"/>
      <c r="AI981" s="18" t="inlineStr"/>
      <c r="AJ981" s="18" t="inlineStr">
        <is>
          <t>COBBLEVERSE 수정</t>
        </is>
      </c>
      <c r="AK981" s="18" t="inlineStr">
        <is>
          <t>사용</t>
        </is>
      </c>
      <c r="AL981" s="18" t="inlineStr">
        <is>
          <t>COBBLEVERSE 1.7.42 / DP v31</t>
        </is>
      </c>
      <c r="AM981" s="18" t="inlineStr">
        <is>
          <t>data/cobblemon/spawn_pool_world/0223_remoraid.json</t>
        </is>
      </c>
      <c r="AN981" s="18" t="inlineStr">
        <is>
          <t>remoraid-6</t>
        </is>
      </c>
      <c r="AO981" s="18" t="inlineStr">
        <is>
          <t>pokemon</t>
        </is>
      </c>
      <c r="AP981" s="18" t="inlineStr"/>
      <c r="AQ981" s="18" t="inlineStr">
        <is>
          <t>{"biomes":["#cobblemon:is_overworld"],"canSeeSky":false,"maxY":13,"minY":-60,"structures":["cobblemon:shipwreck_coves/submerged_shipwreck_cove"]}</t>
        </is>
      </c>
      <c r="AR981" s="18" t="inlineStr"/>
      <c r="AS981" s="18" t="inlineStr"/>
      <c r="AT981" s="19" t="inlineStr"/>
    </row>
    <row r="982" ht="32" customHeight="1">
      <c r="A982" s="18" t="inlineStr">
        <is>
          <t>0224_octillery.json::octillery-1::001</t>
        </is>
      </c>
      <c r="B982" s="19" t="inlineStr">
        <is>
          <t>사용</t>
        </is>
      </c>
      <c r="C982" s="18">
        <f>IF(OR(B982&lt;&gt;AK982,M982&lt;&gt;L982,O982&lt;&gt;"",Q982&lt;&gt;"",V982&lt;&gt;1,Y982&lt;&gt;"",AT982&lt;&gt;""),"수정","원본")</f>
        <v/>
      </c>
      <c r="D982" s="18" t="n">
        <v>224</v>
      </c>
      <c r="E982" s="18" t="inlineStr">
        <is>
          <t>대포무노</t>
        </is>
      </c>
      <c r="F982" s="18" t="inlineStr">
        <is>
          <t>octillery</t>
        </is>
      </c>
      <c r="G982" s="18" t="inlineStr">
        <is>
          <t>octillery</t>
        </is>
      </c>
      <c r="H982" s="18" t="inlineStr"/>
      <c r="I982" s="18" t="n">
        <v>2</v>
      </c>
      <c r="J982" s="18" t="n"/>
      <c r="K982" s="18" t="n">
        <v>2</v>
      </c>
      <c r="L982" s="18" t="inlineStr">
        <is>
          <t>cobbleventure:generation_2</t>
        </is>
      </c>
      <c r="M982" s="19" t="inlineStr">
        <is>
          <t>cobbleventure:generation_2</t>
        </is>
      </c>
      <c r="N982" s="18" t="inlineStr"/>
      <c r="O982" s="19" t="inlineStr"/>
      <c r="P982" s="18" t="inlineStr">
        <is>
          <t>#cobblemon:is_ocean</t>
        </is>
      </c>
      <c r="Q982" s="19" t="inlineStr"/>
      <c r="R982" s="18">
        <f>IF(Q982="",P982,Q982)</f>
        <v/>
      </c>
      <c r="S982" s="18" t="inlineStr"/>
      <c r="T982" s="18" t="inlineStr">
        <is>
          <t>common</t>
        </is>
      </c>
      <c r="U982" s="20" t="n">
        <v>1</v>
      </c>
      <c r="V982" s="21" t="n">
        <v>1</v>
      </c>
      <c r="W982" s="20">
        <f>IF(OR(U982="",V982=""),U982,U982*V982)</f>
        <v/>
      </c>
      <c r="X982" s="18" t="inlineStr">
        <is>
          <t>25-48</t>
        </is>
      </c>
      <c r="Y982" s="19" t="inlineStr"/>
      <c r="Z982" s="18">
        <f>IF(Y982="",X982,Y982)</f>
        <v/>
      </c>
      <c r="AA982" s="18" t="inlineStr">
        <is>
          <t>seafloor</t>
        </is>
      </c>
      <c r="AB982" s="18" t="inlineStr"/>
      <c r="AC982" s="18" t="inlineStr"/>
      <c r="AD982" s="18" t="inlineStr"/>
      <c r="AE982" s="18" t="inlineStr"/>
      <c r="AF982" s="18" t="inlineStr">
        <is>
          <t>True</t>
        </is>
      </c>
      <c r="AG982" s="18" t="inlineStr"/>
      <c r="AH982" s="18" t="inlineStr"/>
      <c r="AI982" s="18" t="inlineStr"/>
      <c r="AJ982" s="18" t="inlineStr">
        <is>
          <t>Cobblemon 동일</t>
        </is>
      </c>
      <c r="AK982" s="18" t="inlineStr">
        <is>
          <t>사용</t>
        </is>
      </c>
      <c r="AL982" s="18" t="inlineStr">
        <is>
          <t>COBBLEVERSE 1.7.42 / DP v31</t>
        </is>
      </c>
      <c r="AM982" s="18" t="inlineStr">
        <is>
          <t>data/cobblemon/spawn_pool_world/0224_octillery.json</t>
        </is>
      </c>
      <c r="AN982" s="18" t="inlineStr">
        <is>
          <t>octillery-1</t>
        </is>
      </c>
      <c r="AO982" s="18" t="inlineStr">
        <is>
          <t>pokemon</t>
        </is>
      </c>
      <c r="AP982" s="18" t="inlineStr">
        <is>
          <t>water</t>
        </is>
      </c>
      <c r="AQ982" s="18" t="inlineStr">
        <is>
          <t>{"biomes":["#cobblemon:is_ocean"],"canSeeSky":true}</t>
        </is>
      </c>
      <c r="AR982" s="18" t="inlineStr"/>
      <c r="AS982" s="18" t="inlineStr"/>
      <c r="AT982" s="19" t="inlineStr"/>
    </row>
    <row r="983" ht="32" customHeight="1">
      <c r="A983" s="18" t="inlineStr">
        <is>
          <t>0224_octillery.json::octillery-2::002</t>
        </is>
      </c>
      <c r="B983" s="19" t="inlineStr">
        <is>
          <t>사용</t>
        </is>
      </c>
      <c r="C983" s="18">
        <f>IF(OR(B983&lt;&gt;AK983,M983&lt;&gt;L983,O983&lt;&gt;"",Q983&lt;&gt;"",V983&lt;&gt;1,Y983&lt;&gt;"",AT983&lt;&gt;""),"수정","원본")</f>
        <v/>
      </c>
      <c r="D983" s="18" t="n">
        <v>224</v>
      </c>
      <c r="E983" s="18" t="inlineStr">
        <is>
          <t>대포무노</t>
        </is>
      </c>
      <c r="F983" s="18" t="inlineStr">
        <is>
          <t>octillery</t>
        </is>
      </c>
      <c r="G983" s="18" t="inlineStr">
        <is>
          <t>octillery</t>
        </is>
      </c>
      <c r="H983" s="18" t="inlineStr"/>
      <c r="I983" s="18" t="n">
        <v>2</v>
      </c>
      <c r="J983" s="18" t="n"/>
      <c r="K983" s="18" t="n">
        <v>2</v>
      </c>
      <c r="L983" s="18" t="inlineStr">
        <is>
          <t>cobbleventure:generation_2</t>
        </is>
      </c>
      <c r="M983" s="19" t="inlineStr">
        <is>
          <t>cobbleventure:generation_2</t>
        </is>
      </c>
      <c r="N983" s="18" t="inlineStr"/>
      <c r="O983" s="19" t="inlineStr"/>
      <c r="P983" s="18" t="inlineStr">
        <is>
          <t>#cobblemon:is_ocean</t>
        </is>
      </c>
      <c r="Q983" s="19" t="inlineStr"/>
      <c r="R983" s="18">
        <f>IF(Q983="",P983,Q983)</f>
        <v/>
      </c>
      <c r="S983" s="18" t="inlineStr"/>
      <c r="T983" s="18" t="inlineStr">
        <is>
          <t>common</t>
        </is>
      </c>
      <c r="U983" s="20" t="n">
        <v>1</v>
      </c>
      <c r="V983" s="21" t="n">
        <v>1</v>
      </c>
      <c r="W983" s="20">
        <f>IF(OR(U983="",V983=""),U983,U983*V983)</f>
        <v/>
      </c>
      <c r="X983" s="18" t="inlineStr">
        <is>
          <t>25-48</t>
        </is>
      </c>
      <c r="Y983" s="19" t="inlineStr"/>
      <c r="Z983" s="18">
        <f>IF(Y983="",X983,Y983)</f>
        <v/>
      </c>
      <c r="AA983" s="18" t="inlineStr">
        <is>
          <t>fishing</t>
        </is>
      </c>
      <c r="AB983" s="18" t="inlineStr"/>
      <c r="AC983" s="18" t="inlineStr"/>
      <c r="AD983" s="18" t="inlineStr"/>
      <c r="AE983" s="18" t="inlineStr"/>
      <c r="AF983" s="18" t="inlineStr">
        <is>
          <t>True</t>
        </is>
      </c>
      <c r="AG983" s="18" t="inlineStr"/>
      <c r="AH983" s="18" t="inlineStr"/>
      <c r="AI983" s="18" t="inlineStr"/>
      <c r="AJ983" s="18" t="inlineStr">
        <is>
          <t>Cobblemon 동일</t>
        </is>
      </c>
      <c r="AK983" s="18" t="inlineStr">
        <is>
          <t>사용</t>
        </is>
      </c>
      <c r="AL983" s="18" t="inlineStr">
        <is>
          <t>COBBLEVERSE 1.7.42 / DP v31</t>
        </is>
      </c>
      <c r="AM983" s="18" t="inlineStr">
        <is>
          <t>data/cobblemon/spawn_pool_world/0224_octillery.json</t>
        </is>
      </c>
      <c r="AN983" s="18" t="inlineStr">
        <is>
          <t>octillery-2</t>
        </is>
      </c>
      <c r="AO983" s="18" t="inlineStr">
        <is>
          <t>pokemon</t>
        </is>
      </c>
      <c r="AP983" s="18" t="inlineStr"/>
      <c r="AQ983" s="18" t="inlineStr">
        <is>
          <t>{"biomes":["#cobblemon:is_ocean"],"canSeeSky":true}</t>
        </is>
      </c>
      <c r="AR983" s="18" t="inlineStr"/>
      <c r="AS983" s="18" t="inlineStr"/>
      <c r="AT983" s="19" t="inlineStr"/>
    </row>
    <row r="984" ht="32" customHeight="1">
      <c r="A984" s="18" t="inlineStr">
        <is>
          <t>0224_octillery.json::octillery-3::003</t>
        </is>
      </c>
      <c r="B984" s="19" t="inlineStr">
        <is>
          <t>사용</t>
        </is>
      </c>
      <c r="C984" s="18">
        <f>IF(OR(B984&lt;&gt;AK984,M984&lt;&gt;L984,O984&lt;&gt;"",Q984&lt;&gt;"",V984&lt;&gt;1,Y984&lt;&gt;"",AT984&lt;&gt;""),"수정","원본")</f>
        <v/>
      </c>
      <c r="D984" s="18" t="n">
        <v>224</v>
      </c>
      <c r="E984" s="18" t="inlineStr">
        <is>
          <t>대포무노</t>
        </is>
      </c>
      <c r="F984" s="18" t="inlineStr">
        <is>
          <t>octillery</t>
        </is>
      </c>
      <c r="G984" s="18" t="inlineStr">
        <is>
          <t>octillery</t>
        </is>
      </c>
      <c r="H984" s="18" t="inlineStr"/>
      <c r="I984" s="18" t="n">
        <v>2</v>
      </c>
      <c r="J984" s="18" t="n"/>
      <c r="K984" s="18" t="n">
        <v>2</v>
      </c>
      <c r="L984" s="18" t="inlineStr">
        <is>
          <t>cobbleventure:generation_2</t>
        </is>
      </c>
      <c r="M984" s="19" t="inlineStr">
        <is>
          <t>cobbleventure:generation_2</t>
        </is>
      </c>
      <c r="N984" s="18" t="inlineStr"/>
      <c r="O984" s="19" t="inlineStr"/>
      <c r="P984" s="18" t="inlineStr">
        <is>
          <t>#cobblemon:is_ocean</t>
        </is>
      </c>
      <c r="Q984" s="19" t="inlineStr"/>
      <c r="R984" s="18">
        <f>IF(Q984="",P984,Q984)</f>
        <v/>
      </c>
      <c r="S984" s="18" t="inlineStr"/>
      <c r="T984" s="18" t="inlineStr">
        <is>
          <t>common</t>
        </is>
      </c>
      <c r="U984" s="20" t="n">
        <v>1</v>
      </c>
      <c r="V984" s="21" t="n">
        <v>1</v>
      </c>
      <c r="W984" s="20">
        <f>IF(OR(U984="",V984=""),U984,U984*V984)</f>
        <v/>
      </c>
      <c r="X984" s="18" t="inlineStr">
        <is>
          <t>25-48</t>
        </is>
      </c>
      <c r="Y984" s="19" t="inlineStr"/>
      <c r="Z984" s="18">
        <f>IF(Y984="",X984,Y984)</f>
        <v/>
      </c>
      <c r="AA984" s="18" t="inlineStr">
        <is>
          <t>fishing</t>
        </is>
      </c>
      <c r="AB984" s="18" t="inlineStr"/>
      <c r="AC984" s="18" t="inlineStr"/>
      <c r="AD984" s="18" t="inlineStr"/>
      <c r="AE984" s="18" t="inlineStr">
        <is>
          <t>sky 8-15</t>
        </is>
      </c>
      <c r="AF984" s="18" t="inlineStr">
        <is>
          <t>False</t>
        </is>
      </c>
      <c r="AG984" s="18" t="inlineStr"/>
      <c r="AH984" s="18" t="inlineStr"/>
      <c r="AI984" s="18" t="inlineStr"/>
      <c r="AJ984" s="18" t="inlineStr">
        <is>
          <t>Cobblemon 동일</t>
        </is>
      </c>
      <c r="AK984" s="18" t="inlineStr">
        <is>
          <t>사용</t>
        </is>
      </c>
      <c r="AL984" s="18" t="inlineStr">
        <is>
          <t>COBBLEVERSE 1.7.42 / DP v31</t>
        </is>
      </c>
      <c r="AM984" s="18" t="inlineStr">
        <is>
          <t>data/cobblemon/spawn_pool_world/0224_octillery.json</t>
        </is>
      </c>
      <c r="AN984" s="18" t="inlineStr">
        <is>
          <t>octillery-3</t>
        </is>
      </c>
      <c r="AO984" s="18" t="inlineStr">
        <is>
          <t>pokemon</t>
        </is>
      </c>
      <c r="AP984" s="18" t="inlineStr"/>
      <c r="AQ984" s="18" t="inlineStr">
        <is>
          <t>{"biomes":["#cobblemon:is_ocean"],"canSeeSky":false,"maxSkyLight":15,"minSkyLight":8}</t>
        </is>
      </c>
      <c r="AR984" s="18" t="inlineStr"/>
      <c r="AS984" s="18" t="inlineStr"/>
      <c r="AT984" s="19" t="inlineStr"/>
    </row>
    <row r="985" ht="32" customHeight="1">
      <c r="A985" s="18" t="inlineStr">
        <is>
          <t>0224_octillery.json::octillery-4::004</t>
        </is>
      </c>
      <c r="B985" s="19" t="inlineStr">
        <is>
          <t>사용</t>
        </is>
      </c>
      <c r="C985" s="18">
        <f>IF(OR(B985&lt;&gt;AK985,M985&lt;&gt;L985,O985&lt;&gt;"",Q985&lt;&gt;"",V985&lt;&gt;1,Y985&lt;&gt;"",AT985&lt;&gt;""),"수정","원본")</f>
        <v/>
      </c>
      <c r="D985" s="18" t="n">
        <v>224</v>
      </c>
      <c r="E985" s="18" t="inlineStr">
        <is>
          <t>대포무노</t>
        </is>
      </c>
      <c r="F985" s="18" t="inlineStr">
        <is>
          <t>octillery</t>
        </is>
      </c>
      <c r="G985" s="18" t="inlineStr">
        <is>
          <t>octillery</t>
        </is>
      </c>
      <c r="H985" s="18" t="inlineStr"/>
      <c r="I985" s="18" t="n">
        <v>2</v>
      </c>
      <c r="J985" s="18" t="n"/>
      <c r="K985" s="18" t="n">
        <v>2</v>
      </c>
      <c r="L985" s="18" t="inlineStr">
        <is>
          <t>cobbleventure:generation_2</t>
        </is>
      </c>
      <c r="M985" s="19" t="inlineStr">
        <is>
          <t>cobbleventure:generation_2</t>
        </is>
      </c>
      <c r="N985" s="18" t="inlineStr">
        <is>
          <t>region_01; region_02</t>
        </is>
      </c>
      <c r="O985" s="19" t="inlineStr"/>
      <c r="P985" s="18" t="inlineStr">
        <is>
          <t>#cobblemon:is_overworld</t>
        </is>
      </c>
      <c r="Q985" s="19" t="inlineStr"/>
      <c r="R985" s="18">
        <f>IF(Q985="",P985,Q985)</f>
        <v/>
      </c>
      <c r="S985" s="18" t="inlineStr"/>
      <c r="T985" s="18" t="inlineStr">
        <is>
          <t>common</t>
        </is>
      </c>
      <c r="U985" s="20" t="n">
        <v>1</v>
      </c>
      <c r="V985" s="21" t="n">
        <v>1</v>
      </c>
      <c r="W985" s="20">
        <f>IF(OR(U985="",V985=""),U985,U985*V985)</f>
        <v/>
      </c>
      <c r="X985" s="18" t="inlineStr">
        <is>
          <t>25-48</t>
        </is>
      </c>
      <c r="Y985" s="19" t="inlineStr"/>
      <c r="Z985" s="18">
        <f>IF(Y985="",X985,Y985)</f>
        <v/>
      </c>
      <c r="AA985" s="18" t="inlineStr">
        <is>
          <t>seafloor</t>
        </is>
      </c>
      <c r="AB985" s="18" t="inlineStr"/>
      <c r="AC985" s="18" t="inlineStr"/>
      <c r="AD985" s="18" t="inlineStr">
        <is>
          <t>minY=-60, maxY=13</t>
        </is>
      </c>
      <c r="AE985" s="18" t="inlineStr"/>
      <c r="AF985" s="18" t="inlineStr">
        <is>
          <t>False</t>
        </is>
      </c>
      <c r="AG985" s="18" t="inlineStr">
        <is>
          <t>cobblemon:shipwreck_coves/submerged_shipwreck_cove</t>
        </is>
      </c>
      <c r="AH985" s="18" t="inlineStr"/>
      <c r="AI985" s="18" t="inlineStr"/>
      <c r="AJ985" s="18" t="inlineStr">
        <is>
          <t>Cobblemon 동일</t>
        </is>
      </c>
      <c r="AK985" s="18" t="inlineStr">
        <is>
          <t>사용</t>
        </is>
      </c>
      <c r="AL985" s="18" t="inlineStr">
        <is>
          <t>COBBLEVERSE 1.7.42 / DP v31</t>
        </is>
      </c>
      <c r="AM985" s="18" t="inlineStr">
        <is>
          <t>data/cobblemon/spawn_pool_world/0224_octillery.json</t>
        </is>
      </c>
      <c r="AN985" s="18" t="inlineStr">
        <is>
          <t>octillery-4</t>
        </is>
      </c>
      <c r="AO985" s="18" t="inlineStr">
        <is>
          <t>pokemon</t>
        </is>
      </c>
      <c r="AP985" s="18" t="inlineStr">
        <is>
          <t>water</t>
        </is>
      </c>
      <c r="AQ985" s="18" t="inlineStr">
        <is>
          <t>{"biomes":["#cobblemon:is_overworld"],"canSeeSky":false,"maxY":13,"minY":-60,"structures":["cobblemon:shipwreck_coves/submerged_shipwreck_cove"]}</t>
        </is>
      </c>
      <c r="AR985" s="18" t="inlineStr"/>
      <c r="AS985" s="18" t="inlineStr"/>
      <c r="AT985" s="19" t="inlineStr"/>
    </row>
    <row r="986" ht="32" customHeight="1">
      <c r="A986" s="18" t="inlineStr">
        <is>
          <t>0224_octillery.json::octillery-5::005</t>
        </is>
      </c>
      <c r="B986" s="19" t="inlineStr">
        <is>
          <t>사용</t>
        </is>
      </c>
      <c r="C986" s="18">
        <f>IF(OR(B986&lt;&gt;AK986,M986&lt;&gt;L986,O986&lt;&gt;"",Q986&lt;&gt;"",V986&lt;&gt;1,Y986&lt;&gt;"",AT986&lt;&gt;""),"수정","원본")</f>
        <v/>
      </c>
      <c r="D986" s="18" t="n">
        <v>224</v>
      </c>
      <c r="E986" s="18" t="inlineStr">
        <is>
          <t>대포무노</t>
        </is>
      </c>
      <c r="F986" s="18" t="inlineStr">
        <is>
          <t>octillery</t>
        </is>
      </c>
      <c r="G986" s="18" t="inlineStr">
        <is>
          <t>octillery</t>
        </is>
      </c>
      <c r="H986" s="18" t="inlineStr"/>
      <c r="I986" s="18" t="n">
        <v>2</v>
      </c>
      <c r="J986" s="18" t="n"/>
      <c r="K986" s="18" t="n">
        <v>2</v>
      </c>
      <c r="L986" s="18" t="inlineStr">
        <is>
          <t>cobbleventure:generation_2</t>
        </is>
      </c>
      <c r="M986" s="19" t="inlineStr">
        <is>
          <t>cobbleventure:generation_2</t>
        </is>
      </c>
      <c r="N986" s="18" t="inlineStr">
        <is>
          <t>region_01; region_02</t>
        </is>
      </c>
      <c r="O986" s="19" t="inlineStr"/>
      <c r="P986" s="18" t="inlineStr">
        <is>
          <t>#cobblemon:is_overworld</t>
        </is>
      </c>
      <c r="Q986" s="19" t="inlineStr"/>
      <c r="R986" s="18">
        <f>IF(Q986="",P986,Q986)</f>
        <v/>
      </c>
      <c r="S986" s="18" t="inlineStr"/>
      <c r="T986" s="18" t="inlineStr">
        <is>
          <t>common</t>
        </is>
      </c>
      <c r="U986" s="20" t="n">
        <v>1</v>
      </c>
      <c r="V986" s="21" t="n">
        <v>1</v>
      </c>
      <c r="W986" s="20">
        <f>IF(OR(U986="",V986=""),U986,U986*V986)</f>
        <v/>
      </c>
      <c r="X986" s="18" t="inlineStr">
        <is>
          <t>25-48</t>
        </is>
      </c>
      <c r="Y986" s="19" t="inlineStr"/>
      <c r="Z986" s="18">
        <f>IF(Y986="",X986,Y986)</f>
        <v/>
      </c>
      <c r="AA986" s="18" t="inlineStr">
        <is>
          <t>fishing</t>
        </is>
      </c>
      <c r="AB986" s="18" t="inlineStr"/>
      <c r="AC986" s="18" t="inlineStr"/>
      <c r="AD986" s="18" t="inlineStr">
        <is>
          <t>minY=-60, maxY=13</t>
        </is>
      </c>
      <c r="AE986" s="18" t="inlineStr"/>
      <c r="AF986" s="18" t="inlineStr">
        <is>
          <t>False</t>
        </is>
      </c>
      <c r="AG986" s="18" t="inlineStr">
        <is>
          <t>cobblemon:shipwreck_coves/submerged_shipwreck_cove</t>
        </is>
      </c>
      <c r="AH986" s="18" t="inlineStr"/>
      <c r="AI986" s="18" t="inlineStr"/>
      <c r="AJ986" s="18" t="inlineStr">
        <is>
          <t>Cobblemon 동일</t>
        </is>
      </c>
      <c r="AK986" s="18" t="inlineStr">
        <is>
          <t>사용</t>
        </is>
      </c>
      <c r="AL986" s="18" t="inlineStr">
        <is>
          <t>COBBLEVERSE 1.7.42 / DP v31</t>
        </is>
      </c>
      <c r="AM986" s="18" t="inlineStr">
        <is>
          <t>data/cobblemon/spawn_pool_world/0224_octillery.json</t>
        </is>
      </c>
      <c r="AN986" s="18" t="inlineStr">
        <is>
          <t>octillery-5</t>
        </is>
      </c>
      <c r="AO986" s="18" t="inlineStr">
        <is>
          <t>pokemon</t>
        </is>
      </c>
      <c r="AP986" s="18" t="inlineStr"/>
      <c r="AQ986" s="18" t="inlineStr">
        <is>
          <t>{"biomes":["#cobblemon:is_overworld"],"canSeeSky":false,"maxY":13,"minY":-60,"structures":["cobblemon:shipwreck_coves/submerged_shipwreck_cove"]}</t>
        </is>
      </c>
      <c r="AR986" s="18" t="inlineStr"/>
      <c r="AS986" s="18" t="inlineStr"/>
      <c r="AT986" s="19" t="inlineStr"/>
    </row>
    <row r="987" ht="32" customHeight="1">
      <c r="A987" s="18" t="inlineStr">
        <is>
          <t>0225_delibird.json::delibird-1::001</t>
        </is>
      </c>
      <c r="B987" s="19" t="inlineStr">
        <is>
          <t>사용</t>
        </is>
      </c>
      <c r="C987" s="18">
        <f>IF(OR(B987&lt;&gt;AK987,M987&lt;&gt;L987,O987&lt;&gt;"",Q987&lt;&gt;"",V987&lt;&gt;1,Y987&lt;&gt;"",AT987&lt;&gt;""),"수정","원본")</f>
        <v/>
      </c>
      <c r="D987" s="18" t="n">
        <v>225</v>
      </c>
      <c r="E987" s="18" t="inlineStr">
        <is>
          <t>딜리버드</t>
        </is>
      </c>
      <c r="F987" s="18" t="inlineStr">
        <is>
          <t>delibird</t>
        </is>
      </c>
      <c r="G987" s="18" t="inlineStr">
        <is>
          <t>delibird</t>
        </is>
      </c>
      <c r="H987" s="18" t="inlineStr"/>
      <c r="I987" s="18" t="n">
        <v>2</v>
      </c>
      <c r="J987" s="18" t="n"/>
      <c r="K987" s="18" t="n">
        <v>2</v>
      </c>
      <c r="L987" s="18" t="inlineStr">
        <is>
          <t>cobbleventure:generation_2</t>
        </is>
      </c>
      <c r="M987" s="19" t="inlineStr">
        <is>
          <t>cobbleventure:generation_2</t>
        </is>
      </c>
      <c r="N987" s="18" t="inlineStr"/>
      <c r="O987" s="19" t="inlineStr"/>
      <c r="P987" s="18" t="inlineStr">
        <is>
          <t>#cobblemon:is_peak</t>
        </is>
      </c>
      <c r="Q987" s="19" t="inlineStr"/>
      <c r="R987" s="18">
        <f>IF(Q987="",P987,Q987)</f>
        <v/>
      </c>
      <c r="S987" s="18" t="inlineStr">
        <is>
          <t>#cobblemon:is_volcanic</t>
        </is>
      </c>
      <c r="T987" s="18" t="inlineStr">
        <is>
          <t>uncommon</t>
        </is>
      </c>
      <c r="U987" s="20" t="n">
        <v>10</v>
      </c>
      <c r="V987" s="21" t="n">
        <v>1</v>
      </c>
      <c r="W987" s="20">
        <f>IF(OR(U987="",V987=""),U987,U987*V987)</f>
        <v/>
      </c>
      <c r="X987" s="18" t="inlineStr">
        <is>
          <t>8-33</t>
        </is>
      </c>
      <c r="Y987" s="19" t="inlineStr"/>
      <c r="Z987" s="18">
        <f>IF(Y987="",X987,Y987)</f>
        <v/>
      </c>
      <c r="AA987" s="18" t="inlineStr">
        <is>
          <t>grounded</t>
        </is>
      </c>
      <c r="AB987" s="18" t="inlineStr"/>
      <c r="AC987" s="18" t="inlineStr"/>
      <c r="AD987" s="18" t="inlineStr"/>
      <c r="AE987" s="18" t="inlineStr"/>
      <c r="AF987" s="18" t="inlineStr"/>
      <c r="AG987" s="18" t="inlineStr"/>
      <c r="AH987" s="18" t="inlineStr"/>
      <c r="AI987" s="18" t="inlineStr"/>
      <c r="AJ987" s="18" t="inlineStr">
        <is>
          <t>COBBLEVERSE 수정</t>
        </is>
      </c>
      <c r="AK987" s="18" t="inlineStr">
        <is>
          <t>사용</t>
        </is>
      </c>
      <c r="AL987" s="18" t="inlineStr">
        <is>
          <t>COBBLEVERSE 1.7.42 / DP v31</t>
        </is>
      </c>
      <c r="AM987" s="18" t="inlineStr">
        <is>
          <t>data/cobblemon/spawn_pool_world/0225_delibird.json</t>
        </is>
      </c>
      <c r="AN987" s="18" t="inlineStr">
        <is>
          <t>delibird-1</t>
        </is>
      </c>
      <c r="AO987" s="18" t="inlineStr">
        <is>
          <t>pokemon</t>
        </is>
      </c>
      <c r="AP987" s="18" t="inlineStr">
        <is>
          <t>natural</t>
        </is>
      </c>
      <c r="AQ987" s="18" t="inlineStr">
        <is>
          <t>{"biomes":["#cobblemon:is_peak"]}</t>
        </is>
      </c>
      <c r="AR987" s="18" t="inlineStr">
        <is>
          <t>{"biomes":["#cobblemon:is_volcanic"]}</t>
        </is>
      </c>
      <c r="AS987" s="18" t="inlineStr">
        <is>
          <t>{"weightMultiplier":{"condition":{"timeRange":"night"},"multiplier":0.25}}</t>
        </is>
      </c>
      <c r="AT987" s="19" t="inlineStr"/>
    </row>
    <row r="988" ht="32" customHeight="1">
      <c r="A988" s="18" t="inlineStr">
        <is>
          <t>0225_delibird.json::delibird-2::002</t>
        </is>
      </c>
      <c r="B988" s="19" t="inlineStr">
        <is>
          <t>사용</t>
        </is>
      </c>
      <c r="C988" s="18">
        <f>IF(OR(B988&lt;&gt;AK988,M988&lt;&gt;L988,O988&lt;&gt;"",Q988&lt;&gt;"",V988&lt;&gt;1,Y988&lt;&gt;"",AT988&lt;&gt;""),"수정","원본")</f>
        <v/>
      </c>
      <c r="D988" s="18" t="n">
        <v>225</v>
      </c>
      <c r="E988" s="18" t="inlineStr">
        <is>
          <t>딜리버드</t>
        </is>
      </c>
      <c r="F988" s="18" t="inlineStr">
        <is>
          <t>delibird</t>
        </is>
      </c>
      <c r="G988" s="18" t="inlineStr">
        <is>
          <t>delibird</t>
        </is>
      </c>
      <c r="H988" s="18" t="inlineStr"/>
      <c r="I988" s="18" t="n">
        <v>2</v>
      </c>
      <c r="J988" s="18" t="n"/>
      <c r="K988" s="18" t="n">
        <v>2</v>
      </c>
      <c r="L988" s="18" t="inlineStr">
        <is>
          <t>cobbleventure:generation_2</t>
        </is>
      </c>
      <c r="M988" s="19" t="inlineStr">
        <is>
          <t>cobbleventure:generation_2</t>
        </is>
      </c>
      <c r="N988" s="18" t="inlineStr"/>
      <c r="O988" s="19" t="inlineStr"/>
      <c r="P988" s="18" t="inlineStr">
        <is>
          <t>#aether:is_aether</t>
        </is>
      </c>
      <c r="Q988" s="19" t="inlineStr"/>
      <c r="R988" s="18">
        <f>IF(Q988="",P988,Q988)</f>
        <v/>
      </c>
      <c r="S988" s="18" t="inlineStr"/>
      <c r="T988" s="18" t="inlineStr">
        <is>
          <t>common</t>
        </is>
      </c>
      <c r="U988" s="20" t="n">
        <v>100</v>
      </c>
      <c r="V988" s="21" t="n">
        <v>1</v>
      </c>
      <c r="W988" s="20">
        <f>IF(OR(U988="",V988=""),U988,U988*V988)</f>
        <v/>
      </c>
      <c r="X988" s="18" t="inlineStr">
        <is>
          <t>8-33</t>
        </is>
      </c>
      <c r="Y988" s="19" t="inlineStr"/>
      <c r="Z988" s="18">
        <f>IF(Y988="",X988,Y988)</f>
        <v/>
      </c>
      <c r="AA988" s="18" t="inlineStr">
        <is>
          <t>grounded</t>
        </is>
      </c>
      <c r="AB988" s="18" t="inlineStr"/>
      <c r="AC988" s="18" t="inlineStr"/>
      <c r="AD988" s="18" t="inlineStr"/>
      <c r="AE988" s="18" t="inlineStr">
        <is>
          <t>sky 8-15</t>
        </is>
      </c>
      <c r="AF988" s="18" t="inlineStr"/>
      <c r="AG988" s="18" t="inlineStr"/>
      <c r="AH988" s="18" t="inlineStr">
        <is>
          <t>주변=aether:present</t>
        </is>
      </c>
      <c r="AI988" s="18" t="inlineStr"/>
      <c r="AJ988" s="18" t="inlineStr">
        <is>
          <t>COBBLEVERSE 수정</t>
        </is>
      </c>
      <c r="AK988" s="18" t="inlineStr">
        <is>
          <t>사용</t>
        </is>
      </c>
      <c r="AL988" s="18" t="inlineStr">
        <is>
          <t>COBBLEVERSE 1.7.42 / DP v31</t>
        </is>
      </c>
      <c r="AM988" s="18" t="inlineStr">
        <is>
          <t>data/cobblemon/spawn_pool_world/0225_delibird.json</t>
        </is>
      </c>
      <c r="AN988" s="18" t="inlineStr">
        <is>
          <t>delibird-2</t>
        </is>
      </c>
      <c r="AO988" s="18" t="inlineStr">
        <is>
          <t>pokemon</t>
        </is>
      </c>
      <c r="AP988" s="18" t="inlineStr">
        <is>
          <t>natural</t>
        </is>
      </c>
      <c r="AQ988" s="18" t="inlineStr">
        <is>
          <t>{"biomes":["#aether:is_aether"],"maxSkyLight":15,"minSkyLight":8,"neededNearbyBlocks":["aether:present"]}</t>
        </is>
      </c>
      <c r="AR988" s="18" t="inlineStr"/>
      <c r="AS988" s="18" t="inlineStr"/>
      <c r="AT988" s="19" t="inlineStr"/>
    </row>
    <row r="989" ht="32" customHeight="1">
      <c r="A989" s="18" t="inlineStr">
        <is>
          <t>0226_mantine.json::mantine-1::001</t>
        </is>
      </c>
      <c r="B989" s="19" t="inlineStr">
        <is>
          <t>사용</t>
        </is>
      </c>
      <c r="C989" s="18">
        <f>IF(OR(B989&lt;&gt;AK989,M989&lt;&gt;L989,O989&lt;&gt;"",Q989&lt;&gt;"",V989&lt;&gt;1,Y989&lt;&gt;"",AT989&lt;&gt;""),"수정","원본")</f>
        <v/>
      </c>
      <c r="D989" s="18" t="n">
        <v>226</v>
      </c>
      <c r="E989" s="18" t="inlineStr">
        <is>
          <t>만타인</t>
        </is>
      </c>
      <c r="F989" s="18" t="inlineStr">
        <is>
          <t>mantine</t>
        </is>
      </c>
      <c r="G989" s="18" t="inlineStr">
        <is>
          <t>mantine</t>
        </is>
      </c>
      <c r="H989" s="18" t="inlineStr"/>
      <c r="I989" s="18" t="n">
        <v>2</v>
      </c>
      <c r="J989" s="18" t="n"/>
      <c r="K989" s="18" t="n">
        <v>2</v>
      </c>
      <c r="L989" s="18" t="inlineStr">
        <is>
          <t>cobbleventure:generation_2</t>
        </is>
      </c>
      <c r="M989" s="19" t="inlineStr">
        <is>
          <t>cobbleventure:generation_2</t>
        </is>
      </c>
      <c r="N989" s="18" t="inlineStr"/>
      <c r="O989" s="19" t="inlineStr"/>
      <c r="P989" s="18" t="inlineStr">
        <is>
          <t>#cobblemon:is_lukewarm_ocean; #cobblemon:is_warm_ocean</t>
        </is>
      </c>
      <c r="Q989" s="19" t="inlineStr"/>
      <c r="R989" s="18">
        <f>IF(Q989="",P989,Q989)</f>
        <v/>
      </c>
      <c r="S989" s="18" t="inlineStr"/>
      <c r="T989" s="18" t="inlineStr">
        <is>
          <t>uncommon</t>
        </is>
      </c>
      <c r="U989" s="20" t="n">
        <v>1.6</v>
      </c>
      <c r="V989" s="21" t="n">
        <v>1</v>
      </c>
      <c r="W989" s="20">
        <f>IF(OR(U989="",V989=""),U989,U989*V989)</f>
        <v/>
      </c>
      <c r="X989" s="18" t="inlineStr">
        <is>
          <t>30-49</t>
        </is>
      </c>
      <c r="Y989" s="19" t="inlineStr"/>
      <c r="Z989" s="18">
        <f>IF(Y989="",X989,Y989)</f>
        <v/>
      </c>
      <c r="AA989" s="18" t="inlineStr">
        <is>
          <t>submerged</t>
        </is>
      </c>
      <c r="AB989" s="18" t="inlineStr"/>
      <c r="AC989" s="18" t="inlineStr"/>
      <c r="AD989" s="18" t="inlineStr">
        <is>
          <t>minY=48</t>
        </is>
      </c>
      <c r="AE989" s="18" t="inlineStr"/>
      <c r="AF989" s="18" t="inlineStr">
        <is>
          <t>True</t>
        </is>
      </c>
      <c r="AG989" s="18" t="inlineStr"/>
      <c r="AH989" s="18" t="inlineStr"/>
      <c r="AI989" s="18" t="inlineStr"/>
      <c r="AJ989" s="18" t="inlineStr">
        <is>
          <t>Cobblemon 동일</t>
        </is>
      </c>
      <c r="AK989" s="18" t="inlineStr">
        <is>
          <t>사용</t>
        </is>
      </c>
      <c r="AL989" s="18" t="inlineStr">
        <is>
          <t>COBBLEVERSE 1.7.42 / DP v31</t>
        </is>
      </c>
      <c r="AM989" s="18" t="inlineStr">
        <is>
          <t>data/cobblemon/spawn_pool_world/0226_mantine.json</t>
        </is>
      </c>
      <c r="AN989" s="18" t="inlineStr">
        <is>
          <t>mantine-1</t>
        </is>
      </c>
      <c r="AO989" s="18" t="inlineStr">
        <is>
          <t>pokemon</t>
        </is>
      </c>
      <c r="AP989" s="18" t="inlineStr">
        <is>
          <t>water</t>
        </is>
      </c>
      <c r="AQ989" s="18" t="inlineStr">
        <is>
          <t>{"biomes":["#cobblemon:is_lukewarm_ocean","#cobblemon:is_warm_ocean"],"canSeeSky":true,"minY":48}</t>
        </is>
      </c>
      <c r="AR989" s="18" t="inlineStr"/>
      <c r="AS989" s="18" t="inlineStr"/>
      <c r="AT989" s="19" t="inlineStr"/>
    </row>
    <row r="990" ht="32" customHeight="1">
      <c r="A990" s="18" t="inlineStr">
        <is>
          <t>0226_mantine.json::mantine-2::002</t>
        </is>
      </c>
      <c r="B990" s="19" t="inlineStr">
        <is>
          <t>사용</t>
        </is>
      </c>
      <c r="C990" s="18">
        <f>IF(OR(B990&lt;&gt;AK990,M990&lt;&gt;L990,O990&lt;&gt;"",Q990&lt;&gt;"",V990&lt;&gt;1,Y990&lt;&gt;"",AT990&lt;&gt;""),"수정","원본")</f>
        <v/>
      </c>
      <c r="D990" s="18" t="n">
        <v>226</v>
      </c>
      <c r="E990" s="18" t="inlineStr">
        <is>
          <t>만타인</t>
        </is>
      </c>
      <c r="F990" s="18" t="inlineStr">
        <is>
          <t>mantine</t>
        </is>
      </c>
      <c r="G990" s="18" t="inlineStr">
        <is>
          <t>mantine</t>
        </is>
      </c>
      <c r="H990" s="18" t="inlineStr"/>
      <c r="I990" s="18" t="n">
        <v>2</v>
      </c>
      <c r="J990" s="18" t="n"/>
      <c r="K990" s="18" t="n">
        <v>2</v>
      </c>
      <c r="L990" s="18" t="inlineStr">
        <is>
          <t>cobbleventure:generation_2</t>
        </is>
      </c>
      <c r="M990" s="19" t="inlineStr">
        <is>
          <t>cobbleventure:generation_2</t>
        </is>
      </c>
      <c r="N990" s="18" t="inlineStr"/>
      <c r="O990" s="19" t="inlineStr"/>
      <c r="P990" s="18" t="inlineStr">
        <is>
          <t>#cobblemon:is_ocean</t>
        </is>
      </c>
      <c r="Q990" s="19" t="inlineStr"/>
      <c r="R990" s="18">
        <f>IF(Q990="",P990,Q990)</f>
        <v/>
      </c>
      <c r="S990" s="18" t="inlineStr">
        <is>
          <t>#cobblemon:is_cold_ocean; #cobblemon:is_frozen_ocean</t>
        </is>
      </c>
      <c r="T990" s="18" t="inlineStr">
        <is>
          <t>uncommon</t>
        </is>
      </c>
      <c r="U990" s="20" t="n">
        <v>1.6</v>
      </c>
      <c r="V990" s="21" t="n">
        <v>1</v>
      </c>
      <c r="W990" s="20">
        <f>IF(OR(U990="",V990=""),U990,U990*V990)</f>
        <v/>
      </c>
      <c r="X990" s="18" t="inlineStr">
        <is>
          <t>30-49</t>
        </is>
      </c>
      <c r="Y990" s="19" t="inlineStr"/>
      <c r="Z990" s="18">
        <f>IF(Y990="",X990,Y990)</f>
        <v/>
      </c>
      <c r="AA990" s="18" t="inlineStr">
        <is>
          <t>fishing</t>
        </is>
      </c>
      <c r="AB990" s="18" t="inlineStr"/>
      <c r="AC990" s="18" t="inlineStr"/>
      <c r="AD990" s="18" t="inlineStr"/>
      <c r="AE990" s="18" t="inlineStr"/>
      <c r="AF990" s="18" t="inlineStr">
        <is>
          <t>True</t>
        </is>
      </c>
      <c r="AG990" s="18" t="inlineStr"/>
      <c r="AH990" s="18" t="inlineStr"/>
      <c r="AI990" s="18" t="inlineStr"/>
      <c r="AJ990" s="18" t="inlineStr">
        <is>
          <t>Cobblemon 동일</t>
        </is>
      </c>
      <c r="AK990" s="18" t="inlineStr">
        <is>
          <t>사용</t>
        </is>
      </c>
      <c r="AL990" s="18" t="inlineStr">
        <is>
          <t>COBBLEVERSE 1.7.42 / DP v31</t>
        </is>
      </c>
      <c r="AM990" s="18" t="inlineStr">
        <is>
          <t>data/cobblemon/spawn_pool_world/0226_mantine.json</t>
        </is>
      </c>
      <c r="AN990" s="18" t="inlineStr">
        <is>
          <t>mantine-2</t>
        </is>
      </c>
      <c r="AO990" s="18" t="inlineStr">
        <is>
          <t>pokemon</t>
        </is>
      </c>
      <c r="AP990" s="18" t="inlineStr"/>
      <c r="AQ990" s="18" t="inlineStr">
        <is>
          <t>{"biomes":["#cobblemon:is_ocean"],"canSeeSky":true}</t>
        </is>
      </c>
      <c r="AR990" s="18" t="inlineStr">
        <is>
          <t>{"biomes":["#cobblemon:is_cold_ocean","#cobblemon:is_frozen_ocean"],"minLureLevel":1}</t>
        </is>
      </c>
      <c r="AS990" s="18" t="inlineStr"/>
      <c r="AT990" s="19" t="inlineStr"/>
    </row>
    <row r="991" ht="32" customHeight="1">
      <c r="A991" s="18" t="inlineStr">
        <is>
          <t>0226_mantine.json::mantine-3::003</t>
        </is>
      </c>
      <c r="B991" s="19" t="inlineStr">
        <is>
          <t>사용</t>
        </is>
      </c>
      <c r="C991" s="18">
        <f>IF(OR(B991&lt;&gt;AK991,M991&lt;&gt;L991,O991&lt;&gt;"",Q991&lt;&gt;"",V991&lt;&gt;1,Y991&lt;&gt;"",AT991&lt;&gt;""),"수정","원본")</f>
        <v/>
      </c>
      <c r="D991" s="18" t="n">
        <v>226</v>
      </c>
      <c r="E991" s="18" t="inlineStr">
        <is>
          <t>만타인</t>
        </is>
      </c>
      <c r="F991" s="18" t="inlineStr">
        <is>
          <t>mantine</t>
        </is>
      </c>
      <c r="G991" s="18" t="inlineStr">
        <is>
          <t>mantine</t>
        </is>
      </c>
      <c r="H991" s="18" t="inlineStr"/>
      <c r="I991" s="18" t="n">
        <v>2</v>
      </c>
      <c r="J991" s="18" t="n"/>
      <c r="K991" s="18" t="n">
        <v>2</v>
      </c>
      <c r="L991" s="18" t="inlineStr">
        <is>
          <t>cobbleventure:generation_2</t>
        </is>
      </c>
      <c r="M991" s="19" t="inlineStr">
        <is>
          <t>cobbleventure:generation_2</t>
        </is>
      </c>
      <c r="N991" s="18" t="inlineStr"/>
      <c r="O991" s="19" t="inlineStr"/>
      <c r="P991" s="18" t="inlineStr">
        <is>
          <t>#cobblemon:is_ocean</t>
        </is>
      </c>
      <c r="Q991" s="19" t="inlineStr"/>
      <c r="R991" s="18">
        <f>IF(Q991="",P991,Q991)</f>
        <v/>
      </c>
      <c r="S991" s="18" t="inlineStr">
        <is>
          <t>#cobblemon:is_cold_ocean; #cobblemon:is_frozen_ocean</t>
        </is>
      </c>
      <c r="T991" s="18" t="inlineStr">
        <is>
          <t>common</t>
        </is>
      </c>
      <c r="U991" s="20" t="n">
        <v>1</v>
      </c>
      <c r="V991" s="21" t="n">
        <v>1</v>
      </c>
      <c r="W991" s="20">
        <f>IF(OR(U991="",V991=""),U991,U991*V991)</f>
        <v/>
      </c>
      <c r="X991" s="18" t="inlineStr">
        <is>
          <t>30-49</t>
        </is>
      </c>
      <c r="Y991" s="19" t="inlineStr"/>
      <c r="Z991" s="18">
        <f>IF(Y991="",X991,Y991)</f>
        <v/>
      </c>
      <c r="AA991" s="18" t="inlineStr">
        <is>
          <t>fishing</t>
        </is>
      </c>
      <c r="AB991" s="18" t="inlineStr"/>
      <c r="AC991" s="18" t="inlineStr"/>
      <c r="AD991" s="18" t="inlineStr"/>
      <c r="AE991" s="18" t="inlineStr"/>
      <c r="AF991" s="18" t="inlineStr">
        <is>
          <t>True</t>
        </is>
      </c>
      <c r="AG991" s="18" t="inlineStr"/>
      <c r="AH991" s="18" t="inlineStr"/>
      <c r="AI991" s="18" t="inlineStr">
        <is>
          <t>{"fishing":{"minLureLevel":1}}</t>
        </is>
      </c>
      <c r="AJ991" s="18" t="inlineStr">
        <is>
          <t>Cobblemon 동일</t>
        </is>
      </c>
      <c r="AK991" s="18" t="inlineStr">
        <is>
          <t>사용</t>
        </is>
      </c>
      <c r="AL991" s="18" t="inlineStr">
        <is>
          <t>COBBLEVERSE 1.7.42 / DP v31</t>
        </is>
      </c>
      <c r="AM991" s="18" t="inlineStr">
        <is>
          <t>data/cobblemon/spawn_pool_world/0226_mantine.json</t>
        </is>
      </c>
      <c r="AN991" s="18" t="inlineStr">
        <is>
          <t>mantine-3</t>
        </is>
      </c>
      <c r="AO991" s="18" t="inlineStr">
        <is>
          <t>pokemon</t>
        </is>
      </c>
      <c r="AP991" s="18" t="inlineStr"/>
      <c r="AQ991" s="18" t="inlineStr">
        <is>
          <t>{"biomes":["#cobblemon:is_ocean"],"canSeeSky":true,"minLureLevel":1}</t>
        </is>
      </c>
      <c r="AR991" s="18" t="inlineStr">
        <is>
          <t>{"biomes":["#cobblemon:is_cold_ocean","#cobblemon:is_frozen_ocean"]}</t>
        </is>
      </c>
      <c r="AS991" s="18" t="inlineStr">
        <is>
          <t>{"weightMultiplier":{"condition":{"maxLureLevel":2,"minLureLevel":1},"multiplier":0.6}}</t>
        </is>
      </c>
      <c r="AT991" s="19" t="inlineStr"/>
    </row>
    <row r="992" ht="32" customHeight="1">
      <c r="A992" s="18" t="inlineStr">
        <is>
          <t>0226_mantine.json::mantine-4::004</t>
        </is>
      </c>
      <c r="B992" s="19" t="inlineStr">
        <is>
          <t>사용</t>
        </is>
      </c>
      <c r="C992" s="18">
        <f>IF(OR(B992&lt;&gt;AK992,M992&lt;&gt;L992,O992&lt;&gt;"",Q992&lt;&gt;"",V992&lt;&gt;1,Y992&lt;&gt;"",AT992&lt;&gt;""),"수정","원본")</f>
        <v/>
      </c>
      <c r="D992" s="18" t="n">
        <v>226</v>
      </c>
      <c r="E992" s="18" t="inlineStr">
        <is>
          <t>만타인</t>
        </is>
      </c>
      <c r="F992" s="18" t="inlineStr">
        <is>
          <t>mantine</t>
        </is>
      </c>
      <c r="G992" s="18" t="inlineStr">
        <is>
          <t>mantine</t>
        </is>
      </c>
      <c r="H992" s="18" t="inlineStr"/>
      <c r="I992" s="18" t="n">
        <v>2</v>
      </c>
      <c r="J992" s="18" t="n"/>
      <c r="K992" s="18" t="n">
        <v>2</v>
      </c>
      <c r="L992" s="18" t="inlineStr">
        <is>
          <t>cobbleventure:generation_2</t>
        </is>
      </c>
      <c r="M992" s="19" t="inlineStr">
        <is>
          <t>cobbleventure:generation_2</t>
        </is>
      </c>
      <c r="N992" s="18" t="inlineStr"/>
      <c r="O992" s="19" t="inlineStr"/>
      <c r="P992" s="18" t="inlineStr">
        <is>
          <t>#cobblemon:is_lukewarm_ocean; #cobblemon:is_warm_ocean</t>
        </is>
      </c>
      <c r="Q992" s="19" t="inlineStr"/>
      <c r="R992" s="18">
        <f>IF(Q992="",P992,Q992)</f>
        <v/>
      </c>
      <c r="S992" s="18" t="inlineStr"/>
      <c r="T992" s="18" t="inlineStr">
        <is>
          <t>uncommon</t>
        </is>
      </c>
      <c r="U992" s="20" t="n">
        <v>1.6</v>
      </c>
      <c r="V992" s="21" t="n">
        <v>1</v>
      </c>
      <c r="W992" s="20">
        <f>IF(OR(U992="",V992=""),U992,U992*V992)</f>
        <v/>
      </c>
      <c r="X992" s="18" t="inlineStr">
        <is>
          <t>30-49</t>
        </is>
      </c>
      <c r="Y992" s="19" t="inlineStr"/>
      <c r="Z992" s="18">
        <f>IF(Y992="",X992,Y992)</f>
        <v/>
      </c>
      <c r="AA992" s="18" t="inlineStr">
        <is>
          <t>submerged</t>
        </is>
      </c>
      <c r="AB992" s="18" t="inlineStr"/>
      <c r="AC992" s="18" t="inlineStr"/>
      <c r="AD992" s="18" t="inlineStr">
        <is>
          <t>minY=48</t>
        </is>
      </c>
      <c r="AE992" s="18" t="inlineStr">
        <is>
          <t>sky 8-15</t>
        </is>
      </c>
      <c r="AF992" s="18" t="inlineStr">
        <is>
          <t>False</t>
        </is>
      </c>
      <c r="AG992" s="18" t="inlineStr"/>
      <c r="AH992" s="18" t="inlineStr"/>
      <c r="AI992" s="18" t="inlineStr"/>
      <c r="AJ992" s="18" t="inlineStr">
        <is>
          <t>Cobblemon 동일</t>
        </is>
      </c>
      <c r="AK992" s="18" t="inlineStr">
        <is>
          <t>사용</t>
        </is>
      </c>
      <c r="AL992" s="18" t="inlineStr">
        <is>
          <t>COBBLEVERSE 1.7.42 / DP v31</t>
        </is>
      </c>
      <c r="AM992" s="18" t="inlineStr">
        <is>
          <t>data/cobblemon/spawn_pool_world/0226_mantine.json</t>
        </is>
      </c>
      <c r="AN992" s="18" t="inlineStr">
        <is>
          <t>mantine-4</t>
        </is>
      </c>
      <c r="AO992" s="18" t="inlineStr">
        <is>
          <t>pokemon</t>
        </is>
      </c>
      <c r="AP992" s="18" t="inlineStr">
        <is>
          <t>water</t>
        </is>
      </c>
      <c r="AQ992" s="18" t="inlineStr">
        <is>
          <t>{"biomes":["#cobblemon:is_lukewarm_ocean","#cobblemon:is_warm_ocean"],"canSeeSky":false,"maxSkyLight":15,"minSkyLight":8,"minY":48}</t>
        </is>
      </c>
      <c r="AR992" s="18" t="inlineStr"/>
      <c r="AS992" s="18" t="inlineStr"/>
      <c r="AT992" s="19" t="inlineStr"/>
    </row>
    <row r="993" ht="32" customHeight="1">
      <c r="A993" s="18" t="inlineStr">
        <is>
          <t>0226_mantine.json::mantine-5::005</t>
        </is>
      </c>
      <c r="B993" s="19" t="inlineStr">
        <is>
          <t>사용</t>
        </is>
      </c>
      <c r="C993" s="18">
        <f>IF(OR(B993&lt;&gt;AK993,M993&lt;&gt;L993,O993&lt;&gt;"",Q993&lt;&gt;"",V993&lt;&gt;1,Y993&lt;&gt;"",AT993&lt;&gt;""),"수정","원본")</f>
        <v/>
      </c>
      <c r="D993" s="18" t="n">
        <v>226</v>
      </c>
      <c r="E993" s="18" t="inlineStr">
        <is>
          <t>만타인</t>
        </is>
      </c>
      <c r="F993" s="18" t="inlineStr">
        <is>
          <t>mantine</t>
        </is>
      </c>
      <c r="G993" s="18" t="inlineStr">
        <is>
          <t>mantine</t>
        </is>
      </c>
      <c r="H993" s="18" t="inlineStr"/>
      <c r="I993" s="18" t="n">
        <v>2</v>
      </c>
      <c r="J993" s="18" t="n"/>
      <c r="K993" s="18" t="n">
        <v>2</v>
      </c>
      <c r="L993" s="18" t="inlineStr">
        <is>
          <t>cobbleventure:generation_2</t>
        </is>
      </c>
      <c r="M993" s="19" t="inlineStr">
        <is>
          <t>cobbleventure:generation_2</t>
        </is>
      </c>
      <c r="N993" s="18" t="inlineStr"/>
      <c r="O993" s="19" t="inlineStr"/>
      <c r="P993" s="18" t="inlineStr">
        <is>
          <t>#cobblemon:is_ocean</t>
        </is>
      </c>
      <c r="Q993" s="19" t="inlineStr"/>
      <c r="R993" s="18">
        <f>IF(Q993="",P993,Q993)</f>
        <v/>
      </c>
      <c r="S993" s="18" t="inlineStr">
        <is>
          <t>#cobblemon:is_cold_ocean; #cobblemon:is_frozen_ocean</t>
        </is>
      </c>
      <c r="T993" s="18" t="inlineStr">
        <is>
          <t>uncommon</t>
        </is>
      </c>
      <c r="U993" s="20" t="n">
        <v>1.6</v>
      </c>
      <c r="V993" s="21" t="n">
        <v>1</v>
      </c>
      <c r="W993" s="20">
        <f>IF(OR(U993="",V993=""),U993,U993*V993)</f>
        <v/>
      </c>
      <c r="X993" s="18" t="inlineStr">
        <is>
          <t>30-49</t>
        </is>
      </c>
      <c r="Y993" s="19" t="inlineStr"/>
      <c r="Z993" s="18">
        <f>IF(Y993="",X993,Y993)</f>
        <v/>
      </c>
      <c r="AA993" s="18" t="inlineStr">
        <is>
          <t>fishing</t>
        </is>
      </c>
      <c r="AB993" s="18" t="inlineStr"/>
      <c r="AC993" s="18" t="inlineStr"/>
      <c r="AD993" s="18" t="inlineStr"/>
      <c r="AE993" s="18" t="inlineStr">
        <is>
          <t>sky 8-15</t>
        </is>
      </c>
      <c r="AF993" s="18" t="inlineStr">
        <is>
          <t>False</t>
        </is>
      </c>
      <c r="AG993" s="18" t="inlineStr"/>
      <c r="AH993" s="18" t="inlineStr"/>
      <c r="AI993" s="18" t="inlineStr"/>
      <c r="AJ993" s="18" t="inlineStr">
        <is>
          <t>Cobblemon 동일</t>
        </is>
      </c>
      <c r="AK993" s="18" t="inlineStr">
        <is>
          <t>사용</t>
        </is>
      </c>
      <c r="AL993" s="18" t="inlineStr">
        <is>
          <t>COBBLEVERSE 1.7.42 / DP v31</t>
        </is>
      </c>
      <c r="AM993" s="18" t="inlineStr">
        <is>
          <t>data/cobblemon/spawn_pool_world/0226_mantine.json</t>
        </is>
      </c>
      <c r="AN993" s="18" t="inlineStr">
        <is>
          <t>mantine-5</t>
        </is>
      </c>
      <c r="AO993" s="18" t="inlineStr">
        <is>
          <t>pokemon</t>
        </is>
      </c>
      <c r="AP993" s="18" t="inlineStr"/>
      <c r="AQ993" s="18" t="inlineStr">
        <is>
          <t>{"biomes":["#cobblemon:is_ocean"],"canSeeSky":false,"maxSkyLight":15,"minSkyLight":8}</t>
        </is>
      </c>
      <c r="AR993" s="18" t="inlineStr">
        <is>
          <t>{"biomes":["#cobblemon:is_cold_ocean","#cobblemon:is_frozen_ocean"],"minLureLevel":1}</t>
        </is>
      </c>
      <c r="AS993" s="18" t="inlineStr"/>
      <c r="AT993" s="19" t="inlineStr"/>
    </row>
    <row r="994" ht="32" customHeight="1">
      <c r="A994" s="18" t="inlineStr">
        <is>
          <t>0226_mantine.json::mantine-6::006</t>
        </is>
      </c>
      <c r="B994" s="19" t="inlineStr">
        <is>
          <t>사용</t>
        </is>
      </c>
      <c r="C994" s="18">
        <f>IF(OR(B994&lt;&gt;AK994,M994&lt;&gt;L994,O994&lt;&gt;"",Q994&lt;&gt;"",V994&lt;&gt;1,Y994&lt;&gt;"",AT994&lt;&gt;""),"수정","원본")</f>
        <v/>
      </c>
      <c r="D994" s="18" t="n">
        <v>226</v>
      </c>
      <c r="E994" s="18" t="inlineStr">
        <is>
          <t>만타인</t>
        </is>
      </c>
      <c r="F994" s="18" t="inlineStr">
        <is>
          <t>mantine</t>
        </is>
      </c>
      <c r="G994" s="18" t="inlineStr">
        <is>
          <t>mantine</t>
        </is>
      </c>
      <c r="H994" s="18" t="inlineStr"/>
      <c r="I994" s="18" t="n">
        <v>2</v>
      </c>
      <c r="J994" s="18" t="n"/>
      <c r="K994" s="18" t="n">
        <v>2</v>
      </c>
      <c r="L994" s="18" t="inlineStr">
        <is>
          <t>cobbleventure:generation_2</t>
        </is>
      </c>
      <c r="M994" s="19" t="inlineStr">
        <is>
          <t>cobbleventure:generation_2</t>
        </is>
      </c>
      <c r="N994" s="18" t="inlineStr"/>
      <c r="O994" s="19" t="inlineStr"/>
      <c r="P994" s="18" t="inlineStr">
        <is>
          <t>#cobblemon:is_ocean</t>
        </is>
      </c>
      <c r="Q994" s="19" t="inlineStr"/>
      <c r="R994" s="18">
        <f>IF(Q994="",P994,Q994)</f>
        <v/>
      </c>
      <c r="S994" s="18" t="inlineStr">
        <is>
          <t>#cobblemon:is_cold_ocean; #cobblemon:is_frozen_ocean</t>
        </is>
      </c>
      <c r="T994" s="18" t="inlineStr">
        <is>
          <t>common</t>
        </is>
      </c>
      <c r="U994" s="20" t="n">
        <v>1</v>
      </c>
      <c r="V994" s="21" t="n">
        <v>1</v>
      </c>
      <c r="W994" s="20">
        <f>IF(OR(U994="",V994=""),U994,U994*V994)</f>
        <v/>
      </c>
      <c r="X994" s="18" t="inlineStr">
        <is>
          <t>30-49</t>
        </is>
      </c>
      <c r="Y994" s="19" t="inlineStr"/>
      <c r="Z994" s="18">
        <f>IF(Y994="",X994,Y994)</f>
        <v/>
      </c>
      <c r="AA994" s="18" t="inlineStr">
        <is>
          <t>fishing</t>
        </is>
      </c>
      <c r="AB994" s="18" t="inlineStr"/>
      <c r="AC994" s="18" t="inlineStr"/>
      <c r="AD994" s="18" t="inlineStr"/>
      <c r="AE994" s="18" t="inlineStr">
        <is>
          <t>sky 8-15</t>
        </is>
      </c>
      <c r="AF994" s="18" t="inlineStr">
        <is>
          <t>False</t>
        </is>
      </c>
      <c r="AG994" s="18" t="inlineStr"/>
      <c r="AH994" s="18" t="inlineStr"/>
      <c r="AI994" s="18" t="inlineStr">
        <is>
          <t>{"fishing":{"minLureLevel":1}}</t>
        </is>
      </c>
      <c r="AJ994" s="18" t="inlineStr">
        <is>
          <t>Cobblemon 동일</t>
        </is>
      </c>
      <c r="AK994" s="18" t="inlineStr">
        <is>
          <t>사용</t>
        </is>
      </c>
      <c r="AL994" s="18" t="inlineStr">
        <is>
          <t>COBBLEVERSE 1.7.42 / DP v31</t>
        </is>
      </c>
      <c r="AM994" s="18" t="inlineStr">
        <is>
          <t>data/cobblemon/spawn_pool_world/0226_mantine.json</t>
        </is>
      </c>
      <c r="AN994" s="18" t="inlineStr">
        <is>
          <t>mantine-6</t>
        </is>
      </c>
      <c r="AO994" s="18" t="inlineStr">
        <is>
          <t>pokemon</t>
        </is>
      </c>
      <c r="AP994" s="18" t="inlineStr"/>
      <c r="AQ994" s="18" t="inlineStr">
        <is>
          <t>{"biomes":["#cobblemon:is_ocean"],"canSeeSky":false,"maxSkyLight":15,"minLureLevel":1,"minSkyLight":8}</t>
        </is>
      </c>
      <c r="AR994" s="18" t="inlineStr">
        <is>
          <t>{"biomes":["#cobblemon:is_cold_ocean","#cobblemon:is_frozen_ocean"]}</t>
        </is>
      </c>
      <c r="AS994" s="18" t="inlineStr">
        <is>
          <t>{"weightMultiplier":{"condition":{"maxLureLevel":2,"minLureLevel":1},"multiplier":0.6}}</t>
        </is>
      </c>
      <c r="AT994" s="19" t="inlineStr"/>
    </row>
    <row r="995" ht="32" customHeight="1">
      <c r="A995" s="18" t="inlineStr">
        <is>
          <t>0227_skarmory.json::skarmory-1::001</t>
        </is>
      </c>
      <c r="B995" s="19" t="inlineStr">
        <is>
          <t>사용</t>
        </is>
      </c>
      <c r="C995" s="18">
        <f>IF(OR(B995&lt;&gt;AK995,M995&lt;&gt;L995,O995&lt;&gt;"",Q995&lt;&gt;"",V995&lt;&gt;1,Y995&lt;&gt;"",AT995&lt;&gt;""),"수정","원본")</f>
        <v/>
      </c>
      <c r="D995" s="18" t="n">
        <v>227</v>
      </c>
      <c r="E995" s="18" t="inlineStr">
        <is>
          <t>무장조</t>
        </is>
      </c>
      <c r="F995" s="18" t="inlineStr">
        <is>
          <t>skarmory</t>
        </is>
      </c>
      <c r="G995" s="18" t="inlineStr">
        <is>
          <t>skarmory</t>
        </is>
      </c>
      <c r="H995" s="18" t="inlineStr"/>
      <c r="I995" s="18" t="n">
        <v>2</v>
      </c>
      <c r="J995" s="18" t="n"/>
      <c r="K995" s="18" t="n">
        <v>2</v>
      </c>
      <c r="L995" s="18" t="inlineStr">
        <is>
          <t>cobbleventure:generation_2</t>
        </is>
      </c>
      <c r="M995" s="19" t="inlineStr">
        <is>
          <t>cobbleventure:generation_2</t>
        </is>
      </c>
      <c r="N995" s="18" t="inlineStr">
        <is>
          <t>region_02</t>
        </is>
      </c>
      <c r="O995" s="19" t="inlineStr"/>
      <c r="P995" s="18" t="inlineStr">
        <is>
          <t>#cobblemon:is_badlands; #cobblemon:is_desert; #cobblemon:is_sky</t>
        </is>
      </c>
      <c r="Q995" s="19" t="inlineStr"/>
      <c r="R995" s="18">
        <f>IF(Q995="",P995,Q995)</f>
        <v/>
      </c>
      <c r="S995" s="18" t="inlineStr"/>
      <c r="T995" s="18" t="inlineStr">
        <is>
          <t>rare</t>
        </is>
      </c>
      <c r="U995" s="20" t="n">
        <v>10</v>
      </c>
      <c r="V995" s="21" t="n">
        <v>1</v>
      </c>
      <c r="W995" s="20">
        <f>IF(OR(U995="",V995=""),U995,U995*V995)</f>
        <v/>
      </c>
      <c r="X995" s="18" t="inlineStr">
        <is>
          <t>22-47</t>
        </is>
      </c>
      <c r="Y995" s="19" t="inlineStr"/>
      <c r="Z995" s="18">
        <f>IF(Y995="",X995,Y995)</f>
        <v/>
      </c>
      <c r="AA995" s="18" t="inlineStr">
        <is>
          <t>grounded</t>
        </is>
      </c>
      <c r="AB995" s="18" t="inlineStr">
        <is>
          <t>day</t>
        </is>
      </c>
      <c r="AC995" s="18" t="inlineStr"/>
      <c r="AD995" s="18" t="inlineStr"/>
      <c r="AE995" s="18" t="inlineStr">
        <is>
          <t>sky 8-15</t>
        </is>
      </c>
      <c r="AF995" s="18" t="inlineStr"/>
      <c r="AG995" s="18" t="inlineStr"/>
      <c r="AH995" s="18" t="inlineStr"/>
      <c r="AI995" s="18" t="inlineStr"/>
      <c r="AJ995" s="18" t="inlineStr">
        <is>
          <t>Cobblemon 동일</t>
        </is>
      </c>
      <c r="AK995" s="18" t="inlineStr">
        <is>
          <t>사용</t>
        </is>
      </c>
      <c r="AL995" s="18" t="inlineStr">
        <is>
          <t>COBBLEVERSE 1.7.42 / DP v31</t>
        </is>
      </c>
      <c r="AM995" s="18" t="inlineStr">
        <is>
          <t>data/cobblemon/spawn_pool_world/0227_skarmory.json</t>
        </is>
      </c>
      <c r="AN995" s="18" t="inlineStr">
        <is>
          <t>skarmory-1</t>
        </is>
      </c>
      <c r="AO995" s="18" t="inlineStr">
        <is>
          <t>pokemon</t>
        </is>
      </c>
      <c r="AP995" s="18" t="inlineStr">
        <is>
          <t>natural; wild</t>
        </is>
      </c>
      <c r="AQ995" s="18" t="inlineStr">
        <is>
          <t>{"biomes":["#cobblemon:is_badlands","#cobblemon:is_desert","#cobblemon:is_sky"],"maxSkyLight":15,"minSkyLight":8,"timeRange":"day"}</t>
        </is>
      </c>
      <c r="AR995" s="18" t="inlineStr"/>
      <c r="AS995" s="18" t="inlineStr"/>
      <c r="AT995" s="19" t="inlineStr"/>
    </row>
    <row r="996" ht="32" customHeight="1">
      <c r="A996" s="18" t="inlineStr">
        <is>
          <t>0228_houndour.json::houndour-1::001</t>
        </is>
      </c>
      <c r="B996" s="19" t="inlineStr">
        <is>
          <t>사용</t>
        </is>
      </c>
      <c r="C996" s="18">
        <f>IF(OR(B996&lt;&gt;AK996,M996&lt;&gt;L996,O996&lt;&gt;"",Q996&lt;&gt;"",V996&lt;&gt;1,Y996&lt;&gt;"",AT996&lt;&gt;""),"수정","원본")</f>
        <v/>
      </c>
      <c r="D996" s="18" t="n">
        <v>228</v>
      </c>
      <c r="E996" s="18" t="inlineStr">
        <is>
          <t>델빌</t>
        </is>
      </c>
      <c r="F996" s="18" t="inlineStr">
        <is>
          <t>houndour</t>
        </is>
      </c>
      <c r="G996" s="18" t="inlineStr">
        <is>
          <t>houndour</t>
        </is>
      </c>
      <c r="H996" s="18" t="inlineStr"/>
      <c r="I996" s="18" t="n">
        <v>2</v>
      </c>
      <c r="J996" s="18" t="n"/>
      <c r="K996" s="18" t="n">
        <v>2</v>
      </c>
      <c r="L996" s="18" t="inlineStr">
        <is>
          <t>cobbleventure:generation_2</t>
        </is>
      </c>
      <c r="M996" s="19" t="inlineStr">
        <is>
          <t>cobbleventure:generation_2</t>
        </is>
      </c>
      <c r="N996" s="18" t="inlineStr"/>
      <c r="O996" s="19" t="inlineStr"/>
      <c r="P996" s="18" t="inlineStr">
        <is>
          <t>#cobblemon:is_badlands</t>
        </is>
      </c>
      <c r="Q996" s="19" t="inlineStr"/>
      <c r="R996" s="18">
        <f>IF(Q996="",P996,Q996)</f>
        <v/>
      </c>
      <c r="S996" s="18" t="inlineStr"/>
      <c r="T996" s="18" t="inlineStr">
        <is>
          <t>uncommon</t>
        </is>
      </c>
      <c r="U996" s="20" t="n">
        <v>5.04</v>
      </c>
      <c r="V996" s="21" t="n">
        <v>1</v>
      </c>
      <c r="W996" s="20">
        <f>IF(OR(U996="",V996=""),U996,U996*V996)</f>
        <v/>
      </c>
      <c r="X996" s="18" t="inlineStr">
        <is>
          <t>8-33</t>
        </is>
      </c>
      <c r="Y996" s="19" t="inlineStr"/>
      <c r="Z996" s="18">
        <f>IF(Y996="",X996,Y996)</f>
        <v/>
      </c>
      <c r="AA996" s="18" t="inlineStr">
        <is>
          <t>grounded</t>
        </is>
      </c>
      <c r="AB996" s="18" t="inlineStr"/>
      <c r="AC996" s="18" t="inlineStr"/>
      <c r="AD996" s="18" t="inlineStr"/>
      <c r="AE996" s="18" t="inlineStr">
        <is>
          <t>sky 8-15</t>
        </is>
      </c>
      <c r="AF996" s="18" t="inlineStr"/>
      <c r="AG996" s="18" t="inlineStr"/>
      <c r="AH996" s="18" t="inlineStr"/>
      <c r="AI996" s="18" t="inlineStr"/>
      <c r="AJ996" s="18" t="inlineStr">
        <is>
          <t>Cobblemon 동일</t>
        </is>
      </c>
      <c r="AK996" s="18" t="inlineStr">
        <is>
          <t>사용</t>
        </is>
      </c>
      <c r="AL996" s="18" t="inlineStr">
        <is>
          <t>COBBLEVERSE 1.7.42 / DP v31</t>
        </is>
      </c>
      <c r="AM996" s="18" t="inlineStr">
        <is>
          <t>data/cobblemon/spawn_pool_world/0228_houndour.json</t>
        </is>
      </c>
      <c r="AN996" s="18" t="inlineStr">
        <is>
          <t>houndour-1</t>
        </is>
      </c>
      <c r="AO996" s="18" t="inlineStr">
        <is>
          <t>pokemon</t>
        </is>
      </c>
      <c r="AP996" s="18" t="inlineStr">
        <is>
          <t>natural; wild</t>
        </is>
      </c>
      <c r="AQ996" s="18" t="inlineStr">
        <is>
          <t>{"biomes":["#cobblemon:is_badlands"],"maxSkyLight":15,"minSkyLight":8}</t>
        </is>
      </c>
      <c r="AR996" s="18" t="inlineStr"/>
      <c r="AS996" s="18" t="inlineStr">
        <is>
          <t>{"weightMultiplier":{"condition":{"timeRange":"night"},"multiplier":1.5}}</t>
        </is>
      </c>
      <c r="AT996" s="19" t="inlineStr"/>
    </row>
    <row r="997" ht="32" customHeight="1">
      <c r="A997" s="18" t="inlineStr">
        <is>
          <t>0228_houndour.json::houndour-2::002</t>
        </is>
      </c>
      <c r="B997" s="19" t="inlineStr">
        <is>
          <t>사용</t>
        </is>
      </c>
      <c r="C997" s="18">
        <f>IF(OR(B997&lt;&gt;AK997,M997&lt;&gt;L997,O997&lt;&gt;"",Q997&lt;&gt;"",V997&lt;&gt;1,Y997&lt;&gt;"",AT997&lt;&gt;""),"수정","원본")</f>
        <v/>
      </c>
      <c r="D997" s="18" t="n">
        <v>228</v>
      </c>
      <c r="E997" s="18" t="inlineStr">
        <is>
          <t>델빌</t>
        </is>
      </c>
      <c r="F997" s="18" t="inlineStr">
        <is>
          <t>houndour</t>
        </is>
      </c>
      <c r="G997" s="18" t="inlineStr">
        <is>
          <t>houndour</t>
        </is>
      </c>
      <c r="H997" s="18" t="inlineStr"/>
      <c r="I997" s="18" t="n">
        <v>2</v>
      </c>
      <c r="J997" s="18" t="n"/>
      <c r="K997" s="18" t="n">
        <v>2</v>
      </c>
      <c r="L997" s="18" t="inlineStr">
        <is>
          <t>cobbleventure:generation_2</t>
        </is>
      </c>
      <c r="M997" s="19" t="inlineStr">
        <is>
          <t>cobbleventure:generation_2</t>
        </is>
      </c>
      <c r="N997" s="18" t="inlineStr"/>
      <c r="O997" s="19" t="inlineStr"/>
      <c r="P997" s="18" t="inlineStr">
        <is>
          <t>#minecraft:is_nether</t>
        </is>
      </c>
      <c r="Q997" s="19" t="inlineStr"/>
      <c r="R997" s="18">
        <f>IF(Q997="",P997,Q997)</f>
        <v/>
      </c>
      <c r="S997" s="18" t="inlineStr"/>
      <c r="T997" s="18" t="inlineStr">
        <is>
          <t>common</t>
        </is>
      </c>
      <c r="U997" s="20" t="n">
        <v>5.4</v>
      </c>
      <c r="V997" s="21" t="n">
        <v>1</v>
      </c>
      <c r="W997" s="20">
        <f>IF(OR(U997="",V997=""),U997,U997*V997)</f>
        <v/>
      </c>
      <c r="X997" s="18" t="inlineStr">
        <is>
          <t>8-33</t>
        </is>
      </c>
      <c r="Y997" s="19" t="inlineStr"/>
      <c r="Z997" s="18">
        <f>IF(Y997="",X997,Y997)</f>
        <v/>
      </c>
      <c r="AA997" s="18" t="inlineStr">
        <is>
          <t>grounded</t>
        </is>
      </c>
      <c r="AB997" s="18" t="inlineStr"/>
      <c r="AC997" s="18" t="inlineStr"/>
      <c r="AD997" s="18" t="inlineStr"/>
      <c r="AE997" s="18" t="inlineStr"/>
      <c r="AF997" s="18" t="inlineStr"/>
      <c r="AG997" s="18" t="inlineStr"/>
      <c r="AH997" s="18" t="inlineStr"/>
      <c r="AI997" s="18" t="inlineStr">
        <is>
          <t>{"spawn":{"drops":{"amount":4,"entries":[{"item":"minecraft:bone","quantityRange":"0-1"},{"item":"minecraft:rotten_flesh","quantityRange":"0-1"},{"item":"minecraft:blaze_powder","percentage":5.0},{"item":"cobblemon:rawst_berry","percentage":2.5}]}}}</t>
        </is>
      </c>
      <c r="AJ997" s="18" t="inlineStr">
        <is>
          <t>Cobblemon 동일</t>
        </is>
      </c>
      <c r="AK997" s="18" t="inlineStr">
        <is>
          <t>사용</t>
        </is>
      </c>
      <c r="AL997" s="18" t="inlineStr">
        <is>
          <t>COBBLEVERSE 1.7.42 / DP v31</t>
        </is>
      </c>
      <c r="AM997" s="18" t="inlineStr">
        <is>
          <t>data/cobblemon/spawn_pool_world/0228_houndour.json</t>
        </is>
      </c>
      <c r="AN997" s="18" t="inlineStr">
        <is>
          <t>houndour-2</t>
        </is>
      </c>
      <c r="AO997" s="18" t="inlineStr">
        <is>
          <t>pokemon</t>
        </is>
      </c>
      <c r="AP997" s="18" t="inlineStr">
        <is>
          <t>natural</t>
        </is>
      </c>
      <c r="AQ997" s="18" t="inlineStr">
        <is>
          <t>{"biomes":["#minecraft:is_nether"]}</t>
        </is>
      </c>
      <c r="AR997" s="18" t="inlineStr"/>
      <c r="AS997" s="18" t="inlineStr"/>
      <c r="AT997" s="19" t="inlineStr"/>
    </row>
    <row r="998" ht="32" customHeight="1">
      <c r="A998" s="18" t="inlineStr">
        <is>
          <t>0228_houndour.json::houndour-3::003</t>
        </is>
      </c>
      <c r="B998" s="19" t="inlineStr">
        <is>
          <t>사용</t>
        </is>
      </c>
      <c r="C998" s="18">
        <f>IF(OR(B998&lt;&gt;AK998,M998&lt;&gt;L998,O998&lt;&gt;"",Q998&lt;&gt;"",V998&lt;&gt;1,Y998&lt;&gt;"",AT998&lt;&gt;""),"수정","원본")</f>
        <v/>
      </c>
      <c r="D998" s="18" t="n">
        <v>228</v>
      </c>
      <c r="E998" s="18" t="inlineStr">
        <is>
          <t>델빌</t>
        </is>
      </c>
      <c r="F998" s="18" t="inlineStr">
        <is>
          <t>houndour</t>
        </is>
      </c>
      <c r="G998" s="18" t="inlineStr">
        <is>
          <t>houndour</t>
        </is>
      </c>
      <c r="H998" s="18" t="inlineStr"/>
      <c r="I998" s="18" t="n">
        <v>2</v>
      </c>
      <c r="J998" s="18" t="n"/>
      <c r="K998" s="18" t="n">
        <v>2</v>
      </c>
      <c r="L998" s="18" t="inlineStr">
        <is>
          <t>cobbleventure:generation_2</t>
        </is>
      </c>
      <c r="M998" s="19" t="inlineStr">
        <is>
          <t>cobbleventure:generation_2</t>
        </is>
      </c>
      <c r="N998" s="18" t="inlineStr">
        <is>
          <t>region_01; region_02</t>
        </is>
      </c>
      <c r="O998" s="19" t="inlineStr"/>
      <c r="P998" s="18" t="inlineStr">
        <is>
          <t>#cobblemon:is_overworld</t>
        </is>
      </c>
      <c r="Q998" s="19" t="inlineStr"/>
      <c r="R998" s="18">
        <f>IF(Q998="",P998,Q998)</f>
        <v/>
      </c>
      <c r="S998" s="18" t="inlineStr"/>
      <c r="T998" s="18" t="inlineStr">
        <is>
          <t>uncommon</t>
        </is>
      </c>
      <c r="U998" s="20" t="n">
        <v>84</v>
      </c>
      <c r="V998" s="21" t="n">
        <v>1</v>
      </c>
      <c r="W998" s="20">
        <f>IF(OR(U998="",V998=""),U998,U998*V998)</f>
        <v/>
      </c>
      <c r="X998" s="18" t="inlineStr">
        <is>
          <t>8-33</t>
        </is>
      </c>
      <c r="Y998" s="19" t="inlineStr"/>
      <c r="Z998" s="18">
        <f>IF(Y998="",X998,Y998)</f>
        <v/>
      </c>
      <c r="AA998" s="18" t="inlineStr">
        <is>
          <t>grounded</t>
        </is>
      </c>
      <c r="AB998" s="18" t="inlineStr"/>
      <c r="AC998" s="18" t="inlineStr"/>
      <c r="AD998" s="18" t="inlineStr"/>
      <c r="AE998" s="18" t="inlineStr"/>
      <c r="AF998" s="18" t="inlineStr"/>
      <c r="AG998" s="18" t="inlineStr"/>
      <c r="AH998" s="18" t="inlineStr"/>
      <c r="AI998" s="18" t="inlineStr"/>
      <c r="AJ998" s="18" t="inlineStr">
        <is>
          <t>Cobblemon 동일</t>
        </is>
      </c>
      <c r="AK998" s="18" t="inlineStr">
        <is>
          <t>사용</t>
        </is>
      </c>
      <c r="AL998" s="18" t="inlineStr">
        <is>
          <t>COBBLEVERSE 1.7.42 / DP v31</t>
        </is>
      </c>
      <c r="AM998" s="18" t="inlineStr">
        <is>
          <t>data/cobblemon/spawn_pool_world/0228_houndour.json</t>
        </is>
      </c>
      <c r="AN998" s="18" t="inlineStr">
        <is>
          <t>houndour-3</t>
        </is>
      </c>
      <c r="AO998" s="18" t="inlineStr">
        <is>
          <t>pokemon</t>
        </is>
      </c>
      <c r="AP998" s="18" t="inlineStr">
        <is>
          <t>ruined_portal</t>
        </is>
      </c>
      <c r="AQ998" s="18" t="inlineStr">
        <is>
          <t>{"biomes":["#cobblemon:is_overworld"]}</t>
        </is>
      </c>
      <c r="AR998" s="18" t="inlineStr"/>
      <c r="AS998" s="18" t="inlineStr">
        <is>
          <t>{"weightMultiplier":{"condition":{"timeRange":"night"},"multiplier":1.5}}</t>
        </is>
      </c>
      <c r="AT998" s="19" t="inlineStr"/>
    </row>
    <row r="999" ht="32" customHeight="1">
      <c r="A999" s="18" t="inlineStr">
        <is>
          <t>0229_houndoom.json::houndoom-1::001</t>
        </is>
      </c>
      <c r="B999" s="19" t="inlineStr">
        <is>
          <t>사용</t>
        </is>
      </c>
      <c r="C999" s="18">
        <f>IF(OR(B999&lt;&gt;AK999,M999&lt;&gt;L999,O999&lt;&gt;"",Q999&lt;&gt;"",V999&lt;&gt;1,Y999&lt;&gt;"",AT999&lt;&gt;""),"수정","원본")</f>
        <v/>
      </c>
      <c r="D999" s="18" t="n">
        <v>229</v>
      </c>
      <c r="E999" s="18" t="inlineStr">
        <is>
          <t>헬가</t>
        </is>
      </c>
      <c r="F999" s="18" t="inlineStr">
        <is>
          <t>houndoom</t>
        </is>
      </c>
      <c r="G999" s="18" t="inlineStr">
        <is>
          <t>houndoom</t>
        </is>
      </c>
      <c r="H999" s="18" t="inlineStr"/>
      <c r="I999" s="18" t="n">
        <v>2</v>
      </c>
      <c r="J999" s="18" t="n"/>
      <c r="K999" s="18" t="n">
        <v>2</v>
      </c>
      <c r="L999" s="18" t="inlineStr">
        <is>
          <t>cobbleventure:generation_2</t>
        </is>
      </c>
      <c r="M999" s="19" t="inlineStr">
        <is>
          <t>cobbleventure:generation_2</t>
        </is>
      </c>
      <c r="N999" s="18" t="inlineStr"/>
      <c r="O999" s="19" t="inlineStr"/>
      <c r="P999" s="18" t="inlineStr">
        <is>
          <t>#cobblemon:is_badlands</t>
        </is>
      </c>
      <c r="Q999" s="19" t="inlineStr"/>
      <c r="R999" s="18">
        <f>IF(Q999="",P999,Q999)</f>
        <v/>
      </c>
      <c r="S999" s="18" t="inlineStr"/>
      <c r="T999" s="18" t="inlineStr">
        <is>
          <t>uncommon</t>
        </is>
      </c>
      <c r="U999" s="20" t="n">
        <v>0.96</v>
      </c>
      <c r="V999" s="21" t="n">
        <v>1</v>
      </c>
      <c r="W999" s="20">
        <f>IF(OR(U999="",V999=""),U999,U999*V999)</f>
        <v/>
      </c>
      <c r="X999" s="18" t="inlineStr">
        <is>
          <t>24-50</t>
        </is>
      </c>
      <c r="Y999" s="19" t="inlineStr"/>
      <c r="Z999" s="18">
        <f>IF(Y999="",X999,Y999)</f>
        <v/>
      </c>
      <c r="AA999" s="18" t="inlineStr">
        <is>
          <t>grounded</t>
        </is>
      </c>
      <c r="AB999" s="18" t="inlineStr"/>
      <c r="AC999" s="18" t="inlineStr"/>
      <c r="AD999" s="18" t="inlineStr"/>
      <c r="AE999" s="18" t="inlineStr">
        <is>
          <t>sky 8-15</t>
        </is>
      </c>
      <c r="AF999" s="18" t="inlineStr"/>
      <c r="AG999" s="18" t="inlineStr"/>
      <c r="AH999" s="18" t="inlineStr"/>
      <c r="AI999" s="18" t="inlineStr"/>
      <c r="AJ999" s="18" t="inlineStr">
        <is>
          <t>Cobblemon 동일</t>
        </is>
      </c>
      <c r="AK999" s="18" t="inlineStr">
        <is>
          <t>사용</t>
        </is>
      </c>
      <c r="AL999" s="18" t="inlineStr">
        <is>
          <t>COBBLEVERSE 1.7.42 / DP v31</t>
        </is>
      </c>
      <c r="AM999" s="18" t="inlineStr">
        <is>
          <t>data/cobblemon/spawn_pool_world/0229_houndoom.json</t>
        </is>
      </c>
      <c r="AN999" s="18" t="inlineStr">
        <is>
          <t>houndoom-1</t>
        </is>
      </c>
      <c r="AO999" s="18" t="inlineStr">
        <is>
          <t>pokemon</t>
        </is>
      </c>
      <c r="AP999" s="18" t="inlineStr">
        <is>
          <t>natural; wild</t>
        </is>
      </c>
      <c r="AQ999" s="18" t="inlineStr">
        <is>
          <t>{"biomes":["#cobblemon:is_badlands"],"maxSkyLight":15,"minSkyLight":8}</t>
        </is>
      </c>
      <c r="AR999" s="18" t="inlineStr"/>
      <c r="AS999" s="18" t="inlineStr">
        <is>
          <t>{"weightMultiplier":{"condition":{"timeRange":"night"},"multiplier":1.5}}</t>
        </is>
      </c>
      <c r="AT999" s="19" t="inlineStr"/>
    </row>
    <row r="1000" ht="32" customHeight="1">
      <c r="A1000" s="18" t="inlineStr">
        <is>
          <t>0229_houndoom.json::houndoom-2::002</t>
        </is>
      </c>
      <c r="B1000" s="19" t="inlineStr">
        <is>
          <t>사용</t>
        </is>
      </c>
      <c r="C1000" s="18">
        <f>IF(OR(B1000&lt;&gt;AK1000,M1000&lt;&gt;L1000,O1000&lt;&gt;"",Q1000&lt;&gt;"",V1000&lt;&gt;1,Y1000&lt;&gt;"",AT1000&lt;&gt;""),"수정","원본")</f>
        <v/>
      </c>
      <c r="D1000" s="18" t="n">
        <v>229</v>
      </c>
      <c r="E1000" s="18" t="inlineStr">
        <is>
          <t>헬가</t>
        </is>
      </c>
      <c r="F1000" s="18" t="inlineStr">
        <is>
          <t>houndoom</t>
        </is>
      </c>
      <c r="G1000" s="18" t="inlineStr">
        <is>
          <t>houndoom</t>
        </is>
      </c>
      <c r="H1000" s="18" t="inlineStr"/>
      <c r="I1000" s="18" t="n">
        <v>2</v>
      </c>
      <c r="J1000" s="18" t="n"/>
      <c r="K1000" s="18" t="n">
        <v>2</v>
      </c>
      <c r="L1000" s="18" t="inlineStr">
        <is>
          <t>cobbleventure:generation_2</t>
        </is>
      </c>
      <c r="M1000" s="19" t="inlineStr">
        <is>
          <t>cobbleventure:generation_2</t>
        </is>
      </c>
      <c r="N1000" s="18" t="inlineStr"/>
      <c r="O1000" s="19" t="inlineStr"/>
      <c r="P1000" s="18" t="inlineStr">
        <is>
          <t>#minecraft:is_nether</t>
        </is>
      </c>
      <c r="Q1000" s="19" t="inlineStr"/>
      <c r="R1000" s="18">
        <f>IF(Q1000="",P1000,Q1000)</f>
        <v/>
      </c>
      <c r="S1000" s="18" t="inlineStr"/>
      <c r="T1000" s="18" t="inlineStr">
        <is>
          <t>common</t>
        </is>
      </c>
      <c r="U1000" s="20" t="n">
        <v>0.6</v>
      </c>
      <c r="V1000" s="21" t="n">
        <v>1</v>
      </c>
      <c r="W1000" s="20">
        <f>IF(OR(U1000="",V1000=""),U1000,U1000*V1000)</f>
        <v/>
      </c>
      <c r="X1000" s="18" t="inlineStr">
        <is>
          <t>24-50</t>
        </is>
      </c>
      <c r="Y1000" s="19" t="inlineStr"/>
      <c r="Z1000" s="18">
        <f>IF(Y1000="",X1000,Y1000)</f>
        <v/>
      </c>
      <c r="AA1000" s="18" t="inlineStr">
        <is>
          <t>grounded</t>
        </is>
      </c>
      <c r="AB1000" s="18" t="inlineStr"/>
      <c r="AC1000" s="18" t="inlineStr"/>
      <c r="AD1000" s="18" t="inlineStr"/>
      <c r="AE1000" s="18" t="inlineStr"/>
      <c r="AF1000" s="18" t="inlineStr"/>
      <c r="AG1000" s="18" t="inlineStr"/>
      <c r="AH1000" s="18" t="inlineStr"/>
      <c r="AI1000" s="18" t="inlineStr">
        <is>
          <t>{"spawn":{"drops":{"amount":6,"entries":[{"item":"minecraft:bone","quantityRange":"0-2"},{"item":"minecraft:rotten_flesh","quantityRange":"0-2"},{"item":"minecraft:blaze_powder","percentage":10.0},{"item":"cobblemon:rawst_berry","percentage":5.0}]}}}</t>
        </is>
      </c>
      <c r="AJ1000" s="18" t="inlineStr">
        <is>
          <t>Cobblemon 동일</t>
        </is>
      </c>
      <c r="AK1000" s="18" t="inlineStr">
        <is>
          <t>사용</t>
        </is>
      </c>
      <c r="AL1000" s="18" t="inlineStr">
        <is>
          <t>COBBLEVERSE 1.7.42 / DP v31</t>
        </is>
      </c>
      <c r="AM1000" s="18" t="inlineStr">
        <is>
          <t>data/cobblemon/spawn_pool_world/0229_houndoom.json</t>
        </is>
      </c>
      <c r="AN1000" s="18" t="inlineStr">
        <is>
          <t>houndoom-2</t>
        </is>
      </c>
      <c r="AO1000" s="18" t="inlineStr">
        <is>
          <t>pokemon</t>
        </is>
      </c>
      <c r="AP1000" s="18" t="inlineStr">
        <is>
          <t>natural</t>
        </is>
      </c>
      <c r="AQ1000" s="18" t="inlineStr">
        <is>
          <t>{"biomes":["#minecraft:is_nether"]}</t>
        </is>
      </c>
      <c r="AR1000" s="18" t="inlineStr"/>
      <c r="AS1000" s="18" t="inlineStr"/>
      <c r="AT1000" s="19" t="inlineStr"/>
    </row>
    <row r="1001" ht="32" customHeight="1">
      <c r="A1001" s="18" t="inlineStr">
        <is>
          <t>0229_houndoom.json::houndoom-3::003</t>
        </is>
      </c>
      <c r="B1001" s="19" t="inlineStr">
        <is>
          <t>사용</t>
        </is>
      </c>
      <c r="C1001" s="18">
        <f>IF(OR(B1001&lt;&gt;AK1001,M1001&lt;&gt;L1001,O1001&lt;&gt;"",Q1001&lt;&gt;"",V1001&lt;&gt;1,Y1001&lt;&gt;"",AT1001&lt;&gt;""),"수정","원본")</f>
        <v/>
      </c>
      <c r="D1001" s="18" t="n">
        <v>229</v>
      </c>
      <c r="E1001" s="18" t="inlineStr">
        <is>
          <t>헬가</t>
        </is>
      </c>
      <c r="F1001" s="18" t="inlineStr">
        <is>
          <t>houndoom</t>
        </is>
      </c>
      <c r="G1001" s="18" t="inlineStr">
        <is>
          <t>houndoom</t>
        </is>
      </c>
      <c r="H1001" s="18" t="inlineStr"/>
      <c r="I1001" s="18" t="n">
        <v>2</v>
      </c>
      <c r="J1001" s="18" t="n"/>
      <c r="K1001" s="18" t="n">
        <v>2</v>
      </c>
      <c r="L1001" s="18" t="inlineStr">
        <is>
          <t>cobbleventure:generation_2</t>
        </is>
      </c>
      <c r="M1001" s="19" t="inlineStr">
        <is>
          <t>cobbleventure:generation_2</t>
        </is>
      </c>
      <c r="N1001" s="18" t="inlineStr">
        <is>
          <t>region_01; region_02</t>
        </is>
      </c>
      <c r="O1001" s="19" t="inlineStr"/>
      <c r="P1001" s="18" t="inlineStr">
        <is>
          <t>#cobblemon:is_overworld</t>
        </is>
      </c>
      <c r="Q1001" s="19" t="inlineStr"/>
      <c r="R1001" s="18">
        <f>IF(Q1001="",P1001,Q1001)</f>
        <v/>
      </c>
      <c r="S1001" s="18" t="inlineStr"/>
      <c r="T1001" s="18" t="inlineStr">
        <is>
          <t>uncommon</t>
        </is>
      </c>
      <c r="U1001" s="20" t="n">
        <v>16</v>
      </c>
      <c r="V1001" s="21" t="n">
        <v>1</v>
      </c>
      <c r="W1001" s="20">
        <f>IF(OR(U1001="",V1001=""),U1001,U1001*V1001)</f>
        <v/>
      </c>
      <c r="X1001" s="18" t="inlineStr">
        <is>
          <t>24-50</t>
        </is>
      </c>
      <c r="Y1001" s="19" t="inlineStr"/>
      <c r="Z1001" s="18">
        <f>IF(Y1001="",X1001,Y1001)</f>
        <v/>
      </c>
      <c r="AA1001" s="18" t="inlineStr">
        <is>
          <t>grounded</t>
        </is>
      </c>
      <c r="AB1001" s="18" t="inlineStr"/>
      <c r="AC1001" s="18" t="inlineStr"/>
      <c r="AD1001" s="18" t="inlineStr"/>
      <c r="AE1001" s="18" t="inlineStr"/>
      <c r="AF1001" s="18" t="inlineStr"/>
      <c r="AG1001" s="18" t="inlineStr"/>
      <c r="AH1001" s="18" t="inlineStr"/>
      <c r="AI1001" s="18" t="inlineStr"/>
      <c r="AJ1001" s="18" t="inlineStr">
        <is>
          <t>Cobblemon 동일</t>
        </is>
      </c>
      <c r="AK1001" s="18" t="inlineStr">
        <is>
          <t>사용</t>
        </is>
      </c>
      <c r="AL1001" s="18" t="inlineStr">
        <is>
          <t>COBBLEVERSE 1.7.42 / DP v31</t>
        </is>
      </c>
      <c r="AM1001" s="18" t="inlineStr">
        <is>
          <t>data/cobblemon/spawn_pool_world/0229_houndoom.json</t>
        </is>
      </c>
      <c r="AN1001" s="18" t="inlineStr">
        <is>
          <t>houndoom-3</t>
        </is>
      </c>
      <c r="AO1001" s="18" t="inlineStr">
        <is>
          <t>pokemon</t>
        </is>
      </c>
      <c r="AP1001" s="18" t="inlineStr">
        <is>
          <t>ruined_portal</t>
        </is>
      </c>
      <c r="AQ1001" s="18" t="inlineStr">
        <is>
          <t>{"biomes":["#cobblemon:is_overworld"]}</t>
        </is>
      </c>
      <c r="AR1001" s="18" t="inlineStr"/>
      <c r="AS1001" s="18" t="inlineStr">
        <is>
          <t>{"weightMultiplier":{"condition":{"timeRange":"night"},"multiplier":1.5}}</t>
        </is>
      </c>
      <c r="AT1001" s="19" t="inlineStr"/>
    </row>
    <row r="1002" ht="32" customHeight="1">
      <c r="A1002" s="18" t="inlineStr">
        <is>
          <t>0230_kingdra.json::kingdra-1::001</t>
        </is>
      </c>
      <c r="B1002" s="19" t="inlineStr">
        <is>
          <t>사용</t>
        </is>
      </c>
      <c r="C1002" s="18">
        <f>IF(OR(B1002&lt;&gt;AK1002,M1002&lt;&gt;L1002,O1002&lt;&gt;"",Q1002&lt;&gt;"",V1002&lt;&gt;1,Y1002&lt;&gt;"",AT1002&lt;&gt;""),"수정","원본")</f>
        <v/>
      </c>
      <c r="D1002" s="18" t="n">
        <v>230</v>
      </c>
      <c r="E1002" s="18" t="inlineStr">
        <is>
          <t>킹드라</t>
        </is>
      </c>
      <c r="F1002" s="18" t="inlineStr">
        <is>
          <t>kingdra</t>
        </is>
      </c>
      <c r="G1002" s="18" t="inlineStr">
        <is>
          <t>kingdra</t>
        </is>
      </c>
      <c r="H1002" s="18" t="inlineStr"/>
      <c r="I1002" s="18" t="n">
        <v>2</v>
      </c>
      <c r="J1002" s="18" t="n"/>
      <c r="K1002" s="18" t="n">
        <v>2</v>
      </c>
      <c r="L1002" s="18" t="inlineStr">
        <is>
          <t>cobbleventure:generation_2</t>
        </is>
      </c>
      <c r="M1002" s="19" t="inlineStr">
        <is>
          <t>cobbleventure:generation_2</t>
        </is>
      </c>
      <c r="N1002" s="18" t="inlineStr"/>
      <c r="O1002" s="19" t="inlineStr"/>
      <c r="P1002" s="18" t="inlineStr">
        <is>
          <t>#cobblemon:is_lukewarm_ocean; #cobblemon:is_warm_ocean</t>
        </is>
      </c>
      <c r="Q1002" s="19" t="inlineStr"/>
      <c r="R1002" s="18">
        <f>IF(Q1002="",P1002,Q1002)</f>
        <v/>
      </c>
      <c r="S1002" s="18" t="inlineStr"/>
      <c r="T1002" s="18" t="inlineStr">
        <is>
          <t>common</t>
        </is>
      </c>
      <c r="U1002" s="20" t="n">
        <v>0.01</v>
      </c>
      <c r="V1002" s="21" t="n">
        <v>1</v>
      </c>
      <c r="W1002" s="20">
        <f>IF(OR(U1002="",V1002=""),U1002,U1002*V1002)</f>
        <v/>
      </c>
      <c r="X1002" s="18" t="inlineStr">
        <is>
          <t>39-54</t>
        </is>
      </c>
      <c r="Y1002" s="19" t="inlineStr"/>
      <c r="Z1002" s="18">
        <f>IF(Y1002="",X1002,Y1002)</f>
        <v/>
      </c>
      <c r="AA1002" s="18" t="inlineStr">
        <is>
          <t>submerged</t>
        </is>
      </c>
      <c r="AB1002" s="18" t="inlineStr"/>
      <c r="AC1002" s="18" t="inlineStr"/>
      <c r="AD1002" s="18" t="inlineStr"/>
      <c r="AE1002" s="18" t="inlineStr"/>
      <c r="AF1002" s="18" t="inlineStr">
        <is>
          <t>True</t>
        </is>
      </c>
      <c r="AG1002" s="18" t="inlineStr"/>
      <c r="AH1002" s="18" t="inlineStr"/>
      <c r="AI1002" s="18" t="inlineStr"/>
      <c r="AJ1002" s="18" t="inlineStr">
        <is>
          <t>Cobblemon 동일</t>
        </is>
      </c>
      <c r="AK1002" s="18" t="inlineStr">
        <is>
          <t>사용</t>
        </is>
      </c>
      <c r="AL1002" s="18" t="inlineStr">
        <is>
          <t>COBBLEVERSE 1.7.42 / DP v31</t>
        </is>
      </c>
      <c r="AM1002" s="18" t="inlineStr">
        <is>
          <t>data/cobblemon/spawn_pool_world/0230_kingdra.json</t>
        </is>
      </c>
      <c r="AN1002" s="18" t="inlineStr">
        <is>
          <t>kingdra-1</t>
        </is>
      </c>
      <c r="AO1002" s="18" t="inlineStr">
        <is>
          <t>pokemon</t>
        </is>
      </c>
      <c r="AP1002" s="18" t="inlineStr">
        <is>
          <t>water</t>
        </is>
      </c>
      <c r="AQ1002" s="18" t="inlineStr">
        <is>
          <t>{"biomes":["#cobblemon:is_lukewarm_ocean","#cobblemon:is_warm_ocean"],"canSeeSky":true}</t>
        </is>
      </c>
      <c r="AR1002" s="18" t="inlineStr"/>
      <c r="AS1002" s="18" t="inlineStr"/>
      <c r="AT1002" s="19" t="inlineStr"/>
    </row>
    <row r="1003" ht="32" customHeight="1">
      <c r="A1003" s="18" t="inlineStr">
        <is>
          <t>0230_kingdra.json::kingdra-2::002</t>
        </is>
      </c>
      <c r="B1003" s="19" t="inlineStr">
        <is>
          <t>사용</t>
        </is>
      </c>
      <c r="C1003" s="18">
        <f>IF(OR(B1003&lt;&gt;AK1003,M1003&lt;&gt;L1003,O1003&lt;&gt;"",Q1003&lt;&gt;"",V1003&lt;&gt;1,Y1003&lt;&gt;"",AT1003&lt;&gt;""),"수정","원본")</f>
        <v/>
      </c>
      <c r="D1003" s="18" t="n">
        <v>230</v>
      </c>
      <c r="E1003" s="18" t="inlineStr">
        <is>
          <t>킹드라</t>
        </is>
      </c>
      <c r="F1003" s="18" t="inlineStr">
        <is>
          <t>kingdra</t>
        </is>
      </c>
      <c r="G1003" s="18" t="inlineStr">
        <is>
          <t>kingdra</t>
        </is>
      </c>
      <c r="H1003" s="18" t="inlineStr"/>
      <c r="I1003" s="18" t="n">
        <v>2</v>
      </c>
      <c r="J1003" s="18" t="n"/>
      <c r="K1003" s="18" t="n">
        <v>2</v>
      </c>
      <c r="L1003" s="18" t="inlineStr">
        <is>
          <t>cobbleventure:generation_2</t>
        </is>
      </c>
      <c r="M1003" s="19" t="inlineStr">
        <is>
          <t>cobbleventure:generation_2</t>
        </is>
      </c>
      <c r="N1003" s="18" t="inlineStr"/>
      <c r="O1003" s="19" t="inlineStr"/>
      <c r="P1003" s="18" t="inlineStr">
        <is>
          <t>#cobblemon:is_ocean</t>
        </is>
      </c>
      <c r="Q1003" s="19" t="inlineStr"/>
      <c r="R1003" s="18">
        <f>IF(Q1003="",P1003,Q1003)</f>
        <v/>
      </c>
      <c r="S1003" s="18" t="inlineStr">
        <is>
          <t>#cobblemon:is_cold_ocean; #cobblemon:is_frozen_ocean</t>
        </is>
      </c>
      <c r="T1003" s="18" t="inlineStr">
        <is>
          <t>common</t>
        </is>
      </c>
      <c r="U1003" s="20" t="n">
        <v>0.01</v>
      </c>
      <c r="V1003" s="21" t="n">
        <v>1</v>
      </c>
      <c r="W1003" s="20">
        <f>IF(OR(U1003="",V1003=""),U1003,U1003*V1003)</f>
        <v/>
      </c>
      <c r="X1003" s="18" t="inlineStr">
        <is>
          <t>39-54</t>
        </is>
      </c>
      <c r="Y1003" s="19" t="inlineStr"/>
      <c r="Z1003" s="18">
        <f>IF(Y1003="",X1003,Y1003)</f>
        <v/>
      </c>
      <c r="AA1003" s="18" t="inlineStr">
        <is>
          <t>fishing</t>
        </is>
      </c>
      <c r="AB1003" s="18" t="inlineStr"/>
      <c r="AC1003" s="18" t="inlineStr"/>
      <c r="AD1003" s="18" t="inlineStr"/>
      <c r="AE1003" s="18" t="inlineStr"/>
      <c r="AF1003" s="18" t="inlineStr">
        <is>
          <t>True</t>
        </is>
      </c>
      <c r="AG1003" s="18" t="inlineStr"/>
      <c r="AH1003" s="18" t="inlineStr"/>
      <c r="AI1003" s="18" t="inlineStr"/>
      <c r="AJ1003" s="18" t="inlineStr">
        <is>
          <t>Cobblemon 동일</t>
        </is>
      </c>
      <c r="AK1003" s="18" t="inlineStr">
        <is>
          <t>사용</t>
        </is>
      </c>
      <c r="AL1003" s="18" t="inlineStr">
        <is>
          <t>COBBLEVERSE 1.7.42 / DP v31</t>
        </is>
      </c>
      <c r="AM1003" s="18" t="inlineStr">
        <is>
          <t>data/cobblemon/spawn_pool_world/0230_kingdra.json</t>
        </is>
      </c>
      <c r="AN1003" s="18" t="inlineStr">
        <is>
          <t>kingdra-2</t>
        </is>
      </c>
      <c r="AO1003" s="18" t="inlineStr">
        <is>
          <t>pokemon</t>
        </is>
      </c>
      <c r="AP1003" s="18" t="inlineStr"/>
      <c r="AQ1003" s="18" t="inlineStr">
        <is>
          <t>{"biomes":["#cobblemon:is_ocean"],"canSeeSky":true}</t>
        </is>
      </c>
      <c r="AR1003" s="18" t="inlineStr">
        <is>
          <t>{"biomes":["#cobblemon:is_cold_ocean","#cobblemon:is_frozen_ocean"]}</t>
        </is>
      </c>
      <c r="AS1003" s="18" t="inlineStr">
        <is>
          <t>{"weightMultipliers":[{"condition":{"maxLureLevel":2,"minLureLevel":2},"multiplier":3.0},{"condition":{"minLureLevel":3},"multiplier":5.0}]}</t>
        </is>
      </c>
      <c r="AT1003" s="19" t="inlineStr"/>
    </row>
    <row r="1004" ht="32" customHeight="1">
      <c r="A1004" s="18" t="inlineStr">
        <is>
          <t>0230_kingdra.json::kingdra-3::003</t>
        </is>
      </c>
      <c r="B1004" s="19" t="inlineStr">
        <is>
          <t>사용</t>
        </is>
      </c>
      <c r="C1004" s="18">
        <f>IF(OR(B1004&lt;&gt;AK1004,M1004&lt;&gt;L1004,O1004&lt;&gt;"",Q1004&lt;&gt;"",V1004&lt;&gt;1,Y1004&lt;&gt;"",AT1004&lt;&gt;""),"수정","원본")</f>
        <v/>
      </c>
      <c r="D1004" s="18" t="n">
        <v>230</v>
      </c>
      <c r="E1004" s="18" t="inlineStr">
        <is>
          <t>킹드라</t>
        </is>
      </c>
      <c r="F1004" s="18" t="inlineStr">
        <is>
          <t>kingdra</t>
        </is>
      </c>
      <c r="G1004" s="18" t="inlineStr">
        <is>
          <t>kingdra</t>
        </is>
      </c>
      <c r="H1004" s="18" t="inlineStr"/>
      <c r="I1004" s="18" t="n">
        <v>2</v>
      </c>
      <c r="J1004" s="18" t="n"/>
      <c r="K1004" s="18" t="n">
        <v>2</v>
      </c>
      <c r="L1004" s="18" t="inlineStr">
        <is>
          <t>cobbleventure:generation_2</t>
        </is>
      </c>
      <c r="M1004" s="19" t="inlineStr">
        <is>
          <t>cobbleventure:generation_2</t>
        </is>
      </c>
      <c r="N1004" s="18" t="inlineStr"/>
      <c r="O1004" s="19" t="inlineStr"/>
      <c r="P1004" s="18" t="inlineStr">
        <is>
          <t>#cobblemon:is_lukewarm_ocean; #cobblemon:is_warm_ocean</t>
        </is>
      </c>
      <c r="Q1004" s="19" t="inlineStr"/>
      <c r="R1004" s="18">
        <f>IF(Q1004="",P1004,Q1004)</f>
        <v/>
      </c>
      <c r="S1004" s="18" t="inlineStr"/>
      <c r="T1004" s="18" t="inlineStr">
        <is>
          <t>common</t>
        </is>
      </c>
      <c r="U1004" s="20" t="n">
        <v>0.01</v>
      </c>
      <c r="V1004" s="21" t="n">
        <v>1</v>
      </c>
      <c r="W1004" s="20">
        <f>IF(OR(U1004="",V1004=""),U1004,U1004*V1004)</f>
        <v/>
      </c>
      <c r="X1004" s="18" t="inlineStr">
        <is>
          <t>39-54</t>
        </is>
      </c>
      <c r="Y1004" s="19" t="inlineStr"/>
      <c r="Z1004" s="18">
        <f>IF(Y1004="",X1004,Y1004)</f>
        <v/>
      </c>
      <c r="AA1004" s="18" t="inlineStr">
        <is>
          <t>submerged</t>
        </is>
      </c>
      <c r="AB1004" s="18" t="inlineStr"/>
      <c r="AC1004" s="18" t="inlineStr"/>
      <c r="AD1004" s="18" t="inlineStr"/>
      <c r="AE1004" s="18" t="inlineStr">
        <is>
          <t>sky 8-15</t>
        </is>
      </c>
      <c r="AF1004" s="18" t="inlineStr">
        <is>
          <t>False</t>
        </is>
      </c>
      <c r="AG1004" s="18" t="inlineStr"/>
      <c r="AH1004" s="18" t="inlineStr"/>
      <c r="AI1004" s="18" t="inlineStr"/>
      <c r="AJ1004" s="18" t="inlineStr">
        <is>
          <t>Cobblemon 동일</t>
        </is>
      </c>
      <c r="AK1004" s="18" t="inlineStr">
        <is>
          <t>사용</t>
        </is>
      </c>
      <c r="AL1004" s="18" t="inlineStr">
        <is>
          <t>COBBLEVERSE 1.7.42 / DP v31</t>
        </is>
      </c>
      <c r="AM1004" s="18" t="inlineStr">
        <is>
          <t>data/cobblemon/spawn_pool_world/0230_kingdra.json</t>
        </is>
      </c>
      <c r="AN1004" s="18" t="inlineStr">
        <is>
          <t>kingdra-3</t>
        </is>
      </c>
      <c r="AO1004" s="18" t="inlineStr">
        <is>
          <t>pokemon</t>
        </is>
      </c>
      <c r="AP1004" s="18" t="inlineStr">
        <is>
          <t>water</t>
        </is>
      </c>
      <c r="AQ1004" s="18" t="inlineStr">
        <is>
          <t>{"biomes":["#cobblemon:is_lukewarm_ocean","#cobblemon:is_warm_ocean"],"canSeeSky":false,"maxSkyLight":15,"minSkyLight":8}</t>
        </is>
      </c>
      <c r="AR1004" s="18" t="inlineStr"/>
      <c r="AS1004" s="18" t="inlineStr"/>
      <c r="AT1004" s="19" t="inlineStr"/>
    </row>
    <row r="1005" ht="32" customHeight="1">
      <c r="A1005" s="18" t="inlineStr">
        <is>
          <t>0230_kingdra.json::kingdra-4::004</t>
        </is>
      </c>
      <c r="B1005" s="19" t="inlineStr">
        <is>
          <t>사용</t>
        </is>
      </c>
      <c r="C1005" s="18">
        <f>IF(OR(B1005&lt;&gt;AK1005,M1005&lt;&gt;L1005,O1005&lt;&gt;"",Q1005&lt;&gt;"",V1005&lt;&gt;1,Y1005&lt;&gt;"",AT1005&lt;&gt;""),"수정","원본")</f>
        <v/>
      </c>
      <c r="D1005" s="18" t="n">
        <v>230</v>
      </c>
      <c r="E1005" s="18" t="inlineStr">
        <is>
          <t>킹드라</t>
        </is>
      </c>
      <c r="F1005" s="18" t="inlineStr">
        <is>
          <t>kingdra</t>
        </is>
      </c>
      <c r="G1005" s="18" t="inlineStr">
        <is>
          <t>kingdra</t>
        </is>
      </c>
      <c r="H1005" s="18" t="inlineStr"/>
      <c r="I1005" s="18" t="n">
        <v>2</v>
      </c>
      <c r="J1005" s="18" t="n"/>
      <c r="K1005" s="18" t="n">
        <v>2</v>
      </c>
      <c r="L1005" s="18" t="inlineStr">
        <is>
          <t>cobbleventure:generation_2</t>
        </is>
      </c>
      <c r="M1005" s="19" t="inlineStr">
        <is>
          <t>cobbleventure:generation_2</t>
        </is>
      </c>
      <c r="N1005" s="18" t="inlineStr"/>
      <c r="O1005" s="19" t="inlineStr"/>
      <c r="P1005" s="18" t="inlineStr">
        <is>
          <t>#cobblemon:is_ocean</t>
        </is>
      </c>
      <c r="Q1005" s="19" t="inlineStr"/>
      <c r="R1005" s="18">
        <f>IF(Q1005="",P1005,Q1005)</f>
        <v/>
      </c>
      <c r="S1005" s="18" t="inlineStr">
        <is>
          <t>#cobblemon:is_cold_ocean; #cobblemon:is_frozen_ocean</t>
        </is>
      </c>
      <c r="T1005" s="18" t="inlineStr">
        <is>
          <t>common</t>
        </is>
      </c>
      <c r="U1005" s="20" t="n">
        <v>0.01</v>
      </c>
      <c r="V1005" s="21" t="n">
        <v>1</v>
      </c>
      <c r="W1005" s="20">
        <f>IF(OR(U1005="",V1005=""),U1005,U1005*V1005)</f>
        <v/>
      </c>
      <c r="X1005" s="18" t="inlineStr">
        <is>
          <t>39-54</t>
        </is>
      </c>
      <c r="Y1005" s="19" t="inlineStr"/>
      <c r="Z1005" s="18">
        <f>IF(Y1005="",X1005,Y1005)</f>
        <v/>
      </c>
      <c r="AA1005" s="18" t="inlineStr">
        <is>
          <t>fishing</t>
        </is>
      </c>
      <c r="AB1005" s="18" t="inlineStr"/>
      <c r="AC1005" s="18" t="inlineStr"/>
      <c r="AD1005" s="18" t="inlineStr"/>
      <c r="AE1005" s="18" t="inlineStr">
        <is>
          <t>sky 8-15</t>
        </is>
      </c>
      <c r="AF1005" s="18" t="inlineStr">
        <is>
          <t>False</t>
        </is>
      </c>
      <c r="AG1005" s="18" t="inlineStr"/>
      <c r="AH1005" s="18" t="inlineStr"/>
      <c r="AI1005" s="18" t="inlineStr"/>
      <c r="AJ1005" s="18" t="inlineStr">
        <is>
          <t>Cobblemon 동일</t>
        </is>
      </c>
      <c r="AK1005" s="18" t="inlineStr">
        <is>
          <t>사용</t>
        </is>
      </c>
      <c r="AL1005" s="18" t="inlineStr">
        <is>
          <t>COBBLEVERSE 1.7.42 / DP v31</t>
        </is>
      </c>
      <c r="AM1005" s="18" t="inlineStr">
        <is>
          <t>data/cobblemon/spawn_pool_world/0230_kingdra.json</t>
        </is>
      </c>
      <c r="AN1005" s="18" t="inlineStr">
        <is>
          <t>kingdra-4</t>
        </is>
      </c>
      <c r="AO1005" s="18" t="inlineStr">
        <is>
          <t>pokemon</t>
        </is>
      </c>
      <c r="AP1005" s="18" t="inlineStr"/>
      <c r="AQ1005" s="18" t="inlineStr">
        <is>
          <t>{"biomes":["#cobblemon:is_ocean"],"canSeeSky":false,"maxSkyLight":15,"minSkyLight":8}</t>
        </is>
      </c>
      <c r="AR1005" s="18" t="inlineStr">
        <is>
          <t>{"biomes":["#cobblemon:is_cold_ocean","#cobblemon:is_frozen_ocean"]}</t>
        </is>
      </c>
      <c r="AS1005" s="18" t="inlineStr">
        <is>
          <t>{"weightMultipliers":[{"condition":{"maxLureLevel":2,"minLureLevel":2},"multiplier":3.0},{"condition":{"minLureLevel":3},"multiplier":5.0}]}</t>
        </is>
      </c>
      <c r="AT1005" s="19" t="inlineStr"/>
    </row>
    <row r="1006" ht="32" customHeight="1">
      <c r="A1006" s="18" t="inlineStr">
        <is>
          <t>0230_kingdra.json::kingdra-5::005</t>
        </is>
      </c>
      <c r="B1006" s="19" t="inlineStr">
        <is>
          <t>사용</t>
        </is>
      </c>
      <c r="C1006" s="18">
        <f>IF(OR(B1006&lt;&gt;AK1006,M1006&lt;&gt;L1006,O1006&lt;&gt;"",Q1006&lt;&gt;"",V1006&lt;&gt;1,Y1006&lt;&gt;"",AT1006&lt;&gt;""),"수정","원본")</f>
        <v/>
      </c>
      <c r="D1006" s="18" t="n">
        <v>230</v>
      </c>
      <c r="E1006" s="18" t="inlineStr">
        <is>
          <t>킹드라</t>
        </is>
      </c>
      <c r="F1006" s="18" t="inlineStr">
        <is>
          <t>kingdra</t>
        </is>
      </c>
      <c r="G1006" s="18" t="inlineStr">
        <is>
          <t>kingdra</t>
        </is>
      </c>
      <c r="H1006" s="18" t="inlineStr"/>
      <c r="I1006" s="18" t="n">
        <v>2</v>
      </c>
      <c r="J1006" s="18" t="n"/>
      <c r="K1006" s="18" t="n">
        <v>2</v>
      </c>
      <c r="L1006" s="18" t="inlineStr">
        <is>
          <t>cobbleventure:generation_2</t>
        </is>
      </c>
      <c r="M1006" s="19" t="inlineStr">
        <is>
          <t>cobbleventure:generation_2</t>
        </is>
      </c>
      <c r="N1006" s="18" t="inlineStr">
        <is>
          <t>region_01; region_02</t>
        </is>
      </c>
      <c r="O1006" s="19" t="inlineStr"/>
      <c r="P1006" s="18" t="inlineStr">
        <is>
          <t>#cobblemon:is_overworld</t>
        </is>
      </c>
      <c r="Q1006" s="19" t="inlineStr"/>
      <c r="R1006" s="18">
        <f>IF(Q1006="",P1006,Q1006)</f>
        <v/>
      </c>
      <c r="S1006" s="18" t="inlineStr"/>
      <c r="T1006" s="18" t="inlineStr">
        <is>
          <t>common</t>
        </is>
      </c>
      <c r="U1006" s="20" t="n">
        <v>0.01</v>
      </c>
      <c r="V1006" s="21" t="n">
        <v>1</v>
      </c>
      <c r="W1006" s="20">
        <f>IF(OR(U1006="",V1006=""),U1006,U1006*V1006)</f>
        <v/>
      </c>
      <c r="X1006" s="18" t="inlineStr">
        <is>
          <t>39-54</t>
        </is>
      </c>
      <c r="Y1006" s="19" t="inlineStr"/>
      <c r="Z1006" s="18">
        <f>IF(Y1006="",X1006,Y1006)</f>
        <v/>
      </c>
      <c r="AA1006" s="18" t="inlineStr">
        <is>
          <t>submerged</t>
        </is>
      </c>
      <c r="AB1006" s="18" t="inlineStr"/>
      <c r="AC1006" s="18" t="inlineStr"/>
      <c r="AD1006" s="18" t="inlineStr">
        <is>
          <t>minY=-60, maxY=13</t>
        </is>
      </c>
      <c r="AE1006" s="18" t="inlineStr"/>
      <c r="AF1006" s="18" t="inlineStr">
        <is>
          <t>False</t>
        </is>
      </c>
      <c r="AG1006" s="18" t="inlineStr">
        <is>
          <t>cobblemon:shipwreck_coves/submerged_shipwreck_cove</t>
        </is>
      </c>
      <c r="AH1006" s="18" t="inlineStr"/>
      <c r="AI1006" s="18" t="inlineStr"/>
      <c r="AJ1006" s="18" t="inlineStr">
        <is>
          <t>Cobblemon 동일</t>
        </is>
      </c>
      <c r="AK1006" s="18" t="inlineStr">
        <is>
          <t>사용</t>
        </is>
      </c>
      <c r="AL1006" s="18" t="inlineStr">
        <is>
          <t>COBBLEVERSE 1.7.42 / DP v31</t>
        </is>
      </c>
      <c r="AM1006" s="18" t="inlineStr">
        <is>
          <t>data/cobblemon/spawn_pool_world/0230_kingdra.json</t>
        </is>
      </c>
      <c r="AN1006" s="18" t="inlineStr">
        <is>
          <t>kingdra-5</t>
        </is>
      </c>
      <c r="AO1006" s="18" t="inlineStr">
        <is>
          <t>pokemon</t>
        </is>
      </c>
      <c r="AP1006" s="18" t="inlineStr">
        <is>
          <t>water</t>
        </is>
      </c>
      <c r="AQ1006" s="18" t="inlineStr">
        <is>
          <t>{"biomes":["#cobblemon:is_overworld"],"canSeeSky":false,"maxY":13,"minY":-60,"structures":["cobblemon:shipwreck_coves/submerged_shipwreck_cove"]}</t>
        </is>
      </c>
      <c r="AR1006" s="18" t="inlineStr"/>
      <c r="AS1006" s="18" t="inlineStr"/>
      <c r="AT1006" s="19" t="inlineStr"/>
    </row>
    <row r="1007" ht="32" customHeight="1">
      <c r="A1007" s="18" t="inlineStr">
        <is>
          <t>0230_kingdra.json::kingdra-6::006</t>
        </is>
      </c>
      <c r="B1007" s="19" t="inlineStr">
        <is>
          <t>사용</t>
        </is>
      </c>
      <c r="C1007" s="18">
        <f>IF(OR(B1007&lt;&gt;AK1007,M1007&lt;&gt;L1007,O1007&lt;&gt;"",Q1007&lt;&gt;"",V1007&lt;&gt;1,Y1007&lt;&gt;"",AT1007&lt;&gt;""),"수정","원본")</f>
        <v/>
      </c>
      <c r="D1007" s="18" t="n">
        <v>230</v>
      </c>
      <c r="E1007" s="18" t="inlineStr">
        <is>
          <t>킹드라</t>
        </is>
      </c>
      <c r="F1007" s="18" t="inlineStr">
        <is>
          <t>kingdra</t>
        </is>
      </c>
      <c r="G1007" s="18" t="inlineStr">
        <is>
          <t>kingdra</t>
        </is>
      </c>
      <c r="H1007" s="18" t="inlineStr"/>
      <c r="I1007" s="18" t="n">
        <v>2</v>
      </c>
      <c r="J1007" s="18" t="n"/>
      <c r="K1007" s="18" t="n">
        <v>2</v>
      </c>
      <c r="L1007" s="18" t="inlineStr">
        <is>
          <t>cobbleventure:generation_2</t>
        </is>
      </c>
      <c r="M1007" s="19" t="inlineStr">
        <is>
          <t>cobbleventure:generation_2</t>
        </is>
      </c>
      <c r="N1007" s="18" t="inlineStr">
        <is>
          <t>region_01; region_02</t>
        </is>
      </c>
      <c r="O1007" s="19" t="inlineStr"/>
      <c r="P1007" s="18" t="inlineStr">
        <is>
          <t>#cobblemon:is_overworld</t>
        </is>
      </c>
      <c r="Q1007" s="19" t="inlineStr"/>
      <c r="R1007" s="18">
        <f>IF(Q1007="",P1007,Q1007)</f>
        <v/>
      </c>
      <c r="S1007" s="18" t="inlineStr"/>
      <c r="T1007" s="18" t="inlineStr">
        <is>
          <t>common</t>
        </is>
      </c>
      <c r="U1007" s="20" t="n">
        <v>0.01</v>
      </c>
      <c r="V1007" s="21" t="n">
        <v>1</v>
      </c>
      <c r="W1007" s="20">
        <f>IF(OR(U1007="",V1007=""),U1007,U1007*V1007)</f>
        <v/>
      </c>
      <c r="X1007" s="18" t="inlineStr">
        <is>
          <t>39-54</t>
        </is>
      </c>
      <c r="Y1007" s="19" t="inlineStr"/>
      <c r="Z1007" s="18">
        <f>IF(Y1007="",X1007,Y1007)</f>
        <v/>
      </c>
      <c r="AA1007" s="18" t="inlineStr">
        <is>
          <t>fishing</t>
        </is>
      </c>
      <c r="AB1007" s="18" t="inlineStr"/>
      <c r="AC1007" s="18" t="inlineStr"/>
      <c r="AD1007" s="18" t="inlineStr">
        <is>
          <t>minY=-60, maxY=13</t>
        </is>
      </c>
      <c r="AE1007" s="18" t="inlineStr"/>
      <c r="AF1007" s="18" t="inlineStr">
        <is>
          <t>False</t>
        </is>
      </c>
      <c r="AG1007" s="18" t="inlineStr">
        <is>
          <t>cobblemon:shipwreck_coves/submerged_shipwreck_cove</t>
        </is>
      </c>
      <c r="AH1007" s="18" t="inlineStr"/>
      <c r="AI1007" s="18" t="inlineStr"/>
      <c r="AJ1007" s="18" t="inlineStr">
        <is>
          <t>Cobblemon 동일</t>
        </is>
      </c>
      <c r="AK1007" s="18" t="inlineStr">
        <is>
          <t>사용</t>
        </is>
      </c>
      <c r="AL1007" s="18" t="inlineStr">
        <is>
          <t>COBBLEVERSE 1.7.42 / DP v31</t>
        </is>
      </c>
      <c r="AM1007" s="18" t="inlineStr">
        <is>
          <t>data/cobblemon/spawn_pool_world/0230_kingdra.json</t>
        </is>
      </c>
      <c r="AN1007" s="18" t="inlineStr">
        <is>
          <t>kingdra-6</t>
        </is>
      </c>
      <c r="AO1007" s="18" t="inlineStr">
        <is>
          <t>pokemon</t>
        </is>
      </c>
      <c r="AP1007" s="18" t="inlineStr"/>
      <c r="AQ1007" s="18" t="inlineStr">
        <is>
          <t>{"biomes":["#cobblemon:is_overworld"],"canSeeSky":false,"maxY":13,"minY":-60,"structures":["cobblemon:shipwreck_coves/submerged_shipwreck_cove"]}</t>
        </is>
      </c>
      <c r="AR1007" s="18" t="inlineStr"/>
      <c r="AS1007" s="18" t="inlineStr">
        <is>
          <t>{"weightMultipliers":[{"condition":{"maxLureLevel":2,"minLureLevel":2},"multiplier":3.0},{"condition":{"minLureLevel":3},"multiplier":5.0}]}</t>
        </is>
      </c>
      <c r="AT1007" s="19" t="inlineStr"/>
    </row>
    <row r="1008" ht="32" customHeight="1">
      <c r="A1008" s="18" t="inlineStr">
        <is>
          <t>0231_phanpy.json::phanpy-1::001</t>
        </is>
      </c>
      <c r="B1008" s="19" t="inlineStr">
        <is>
          <t>사용</t>
        </is>
      </c>
      <c r="C1008" s="18">
        <f>IF(OR(B1008&lt;&gt;AK1008,M1008&lt;&gt;L1008,O1008&lt;&gt;"",Q1008&lt;&gt;"",V1008&lt;&gt;1,Y1008&lt;&gt;"",AT1008&lt;&gt;""),"수정","원본")</f>
        <v/>
      </c>
      <c r="D1008" s="18" t="n">
        <v>231</v>
      </c>
      <c r="E1008" s="18" t="inlineStr">
        <is>
          <t>코코리</t>
        </is>
      </c>
      <c r="F1008" s="18" t="inlineStr">
        <is>
          <t>phanpy</t>
        </is>
      </c>
      <c r="G1008" s="18" t="inlineStr">
        <is>
          <t>phanpy</t>
        </is>
      </c>
      <c r="H1008" s="18" t="inlineStr"/>
      <c r="I1008" s="18" t="n">
        <v>2</v>
      </c>
      <c r="J1008" s="18" t="n"/>
      <c r="K1008" s="18" t="n">
        <v>2</v>
      </c>
      <c r="L1008" s="18" t="inlineStr">
        <is>
          <t>cobbleventure:generation_2</t>
        </is>
      </c>
      <c r="M1008" s="19" t="inlineStr">
        <is>
          <t>cobbleventure:generation_2</t>
        </is>
      </c>
      <c r="N1008" s="18" t="inlineStr"/>
      <c r="O1008" s="19" t="inlineStr"/>
      <c r="P1008" s="18" t="inlineStr">
        <is>
          <t>#cobblemon:is_badlands</t>
        </is>
      </c>
      <c r="Q1008" s="19" t="inlineStr"/>
      <c r="R1008" s="18">
        <f>IF(Q1008="",P1008,Q1008)</f>
        <v/>
      </c>
      <c r="S1008" s="18" t="inlineStr"/>
      <c r="T1008" s="18" t="inlineStr">
        <is>
          <t>common</t>
        </is>
      </c>
      <c r="U1008" s="20" t="n">
        <v>1.8</v>
      </c>
      <c r="V1008" s="21" t="n">
        <v>1</v>
      </c>
      <c r="W1008" s="20">
        <f>IF(OR(U1008="",V1008=""),U1008,U1008*V1008)</f>
        <v/>
      </c>
      <c r="X1008" s="18" t="inlineStr">
        <is>
          <t>8-33</t>
        </is>
      </c>
      <c r="Y1008" s="19" t="inlineStr"/>
      <c r="Z1008" s="18">
        <f>IF(Y1008="",X1008,Y1008)</f>
        <v/>
      </c>
      <c r="AA1008" s="18" t="inlineStr">
        <is>
          <t>grounded</t>
        </is>
      </c>
      <c r="AB1008" s="18" t="inlineStr"/>
      <c r="AC1008" s="18" t="inlineStr"/>
      <c r="AD1008" s="18" t="inlineStr"/>
      <c r="AE1008" s="18" t="inlineStr"/>
      <c r="AF1008" s="18" t="inlineStr"/>
      <c r="AG1008" s="18" t="inlineStr"/>
      <c r="AH1008" s="18" t="inlineStr"/>
      <c r="AI1008" s="18" t="inlineStr"/>
      <c r="AJ1008" s="18" t="inlineStr">
        <is>
          <t>COBBLEVERSE 수정</t>
        </is>
      </c>
      <c r="AK1008" s="18" t="inlineStr">
        <is>
          <t>사용</t>
        </is>
      </c>
      <c r="AL1008" s="18" t="inlineStr">
        <is>
          <t>COBBLEVERSE 1.7.42 / DP v31</t>
        </is>
      </c>
      <c r="AM1008" s="18" t="inlineStr">
        <is>
          <t>data/cobblemon/spawn_pool_world/0231_phanpy.json</t>
        </is>
      </c>
      <c r="AN1008" s="18" t="inlineStr">
        <is>
          <t>phanpy-1</t>
        </is>
      </c>
      <c r="AO1008" s="18" t="inlineStr">
        <is>
          <t>pokemon</t>
        </is>
      </c>
      <c r="AP1008" s="18" t="inlineStr">
        <is>
          <t>natural; wild</t>
        </is>
      </c>
      <c r="AQ1008" s="18" t="inlineStr">
        <is>
          <t>{"biomes":["#cobblemon:is_badlands"]}</t>
        </is>
      </c>
      <c r="AR1008" s="18" t="inlineStr"/>
      <c r="AS1008" s="18" t="inlineStr">
        <is>
          <t>{"weightMultiplier":{"condition":{"timeRange":"night"},"multiplier":0.25}}</t>
        </is>
      </c>
      <c r="AT1008" s="19" t="inlineStr"/>
    </row>
    <row r="1009" ht="32" customHeight="1">
      <c r="A1009" s="18" t="inlineStr">
        <is>
          <t>0231_phanpy.json::phanpy-2::002</t>
        </is>
      </c>
      <c r="B1009" s="19" t="inlineStr">
        <is>
          <t>사용</t>
        </is>
      </c>
      <c r="C1009" s="18">
        <f>IF(OR(B1009&lt;&gt;AK1009,M1009&lt;&gt;L1009,O1009&lt;&gt;"",Q1009&lt;&gt;"",V1009&lt;&gt;1,Y1009&lt;&gt;"",AT1009&lt;&gt;""),"수정","원본")</f>
        <v/>
      </c>
      <c r="D1009" s="18" t="n">
        <v>231</v>
      </c>
      <c r="E1009" s="18" t="inlineStr">
        <is>
          <t>코코리</t>
        </is>
      </c>
      <c r="F1009" s="18" t="inlineStr">
        <is>
          <t>phanpy</t>
        </is>
      </c>
      <c r="G1009" s="18" t="inlineStr">
        <is>
          <t>phanpy</t>
        </is>
      </c>
      <c r="H1009" s="18" t="inlineStr"/>
      <c r="I1009" s="18" t="n">
        <v>2</v>
      </c>
      <c r="J1009" s="18" t="n"/>
      <c r="K1009" s="18" t="n">
        <v>2</v>
      </c>
      <c r="L1009" s="18" t="inlineStr">
        <is>
          <t>cobbleventure:generation_2</t>
        </is>
      </c>
      <c r="M1009" s="19" t="inlineStr">
        <is>
          <t>cobbleventure:generation_2</t>
        </is>
      </c>
      <c r="N1009" s="18" t="inlineStr"/>
      <c r="O1009" s="19" t="inlineStr"/>
      <c r="P1009" s="18" t="inlineStr">
        <is>
          <t>#cobblemon:is_savanna</t>
        </is>
      </c>
      <c r="Q1009" s="19" t="inlineStr"/>
      <c r="R1009" s="18">
        <f>IF(Q1009="",P1009,Q1009)</f>
        <v/>
      </c>
      <c r="S1009" s="18" t="inlineStr"/>
      <c r="T1009" s="18" t="inlineStr">
        <is>
          <t>common</t>
        </is>
      </c>
      <c r="U1009" s="20" t="n">
        <v>5.4</v>
      </c>
      <c r="V1009" s="21" t="n">
        <v>1</v>
      </c>
      <c r="W1009" s="20">
        <f>IF(OR(U1009="",V1009=""),U1009,U1009*V1009)</f>
        <v/>
      </c>
      <c r="X1009" s="18" t="inlineStr">
        <is>
          <t>8-33</t>
        </is>
      </c>
      <c r="Y1009" s="19" t="inlineStr"/>
      <c r="Z1009" s="18">
        <f>IF(Y1009="",X1009,Y1009)</f>
        <v/>
      </c>
      <c r="AA1009" s="18" t="inlineStr">
        <is>
          <t>grounded</t>
        </is>
      </c>
      <c r="AB1009" s="18" t="inlineStr"/>
      <c r="AC1009" s="18" t="inlineStr"/>
      <c r="AD1009" s="18" t="inlineStr"/>
      <c r="AE1009" s="18" t="inlineStr"/>
      <c r="AF1009" s="18" t="inlineStr"/>
      <c r="AG1009" s="18" t="inlineStr"/>
      <c r="AH1009" s="18" t="inlineStr"/>
      <c r="AI1009" s="18" t="inlineStr"/>
      <c r="AJ1009" s="18" t="inlineStr">
        <is>
          <t>COBBLEVERSE 수정</t>
        </is>
      </c>
      <c r="AK1009" s="18" t="inlineStr">
        <is>
          <t>사용</t>
        </is>
      </c>
      <c r="AL1009" s="18" t="inlineStr">
        <is>
          <t>COBBLEVERSE 1.7.42 / DP v31</t>
        </is>
      </c>
      <c r="AM1009" s="18" t="inlineStr">
        <is>
          <t>data/cobblemon/spawn_pool_world/0231_phanpy.json</t>
        </is>
      </c>
      <c r="AN1009" s="18" t="inlineStr">
        <is>
          <t>phanpy-2</t>
        </is>
      </c>
      <c r="AO1009" s="18" t="inlineStr">
        <is>
          <t>pokemon</t>
        </is>
      </c>
      <c r="AP1009" s="18" t="inlineStr">
        <is>
          <t>natural; wild</t>
        </is>
      </c>
      <c r="AQ1009" s="18" t="inlineStr">
        <is>
          <t>{"biomes":["#cobblemon:is_savanna"]}</t>
        </is>
      </c>
      <c r="AR1009" s="18" t="inlineStr"/>
      <c r="AS1009" s="18" t="inlineStr">
        <is>
          <t>{"weightMultiplier":{"condition":{"timeRange":"night"},"multiplier":0.25}}</t>
        </is>
      </c>
      <c r="AT1009" s="19" t="inlineStr"/>
    </row>
    <row r="1010" ht="32" customHeight="1">
      <c r="A1010" s="18" t="inlineStr">
        <is>
          <t>0232_donphan.json::donphan-1::001</t>
        </is>
      </c>
      <c r="B1010" s="19" t="inlineStr">
        <is>
          <t>사용</t>
        </is>
      </c>
      <c r="C1010" s="18">
        <f>IF(OR(B1010&lt;&gt;AK1010,M1010&lt;&gt;L1010,O1010&lt;&gt;"",Q1010&lt;&gt;"",V1010&lt;&gt;1,Y1010&lt;&gt;"",AT1010&lt;&gt;""),"수정","원본")</f>
        <v/>
      </c>
      <c r="D1010" s="18" t="n">
        <v>232</v>
      </c>
      <c r="E1010" s="18" t="inlineStr">
        <is>
          <t>코리갑</t>
        </is>
      </c>
      <c r="F1010" s="18" t="inlineStr">
        <is>
          <t>donphan</t>
        </is>
      </c>
      <c r="G1010" s="18" t="inlineStr">
        <is>
          <t>donphan</t>
        </is>
      </c>
      <c r="H1010" s="18" t="inlineStr"/>
      <c r="I1010" s="18" t="n">
        <v>2</v>
      </c>
      <c r="J1010" s="18" t="n"/>
      <c r="K1010" s="18" t="n">
        <v>2</v>
      </c>
      <c r="L1010" s="18" t="inlineStr">
        <is>
          <t>cobbleventure:generation_2</t>
        </is>
      </c>
      <c r="M1010" s="19" t="inlineStr">
        <is>
          <t>cobbleventure:generation_2</t>
        </is>
      </c>
      <c r="N1010" s="18" t="inlineStr"/>
      <c r="O1010" s="19" t="inlineStr"/>
      <c r="P1010" s="18" t="inlineStr">
        <is>
          <t>#cobblemon:is_badlands</t>
        </is>
      </c>
      <c r="Q1010" s="19" t="inlineStr"/>
      <c r="R1010" s="18">
        <f>IF(Q1010="",P1010,Q1010)</f>
        <v/>
      </c>
      <c r="S1010" s="18" t="inlineStr"/>
      <c r="T1010" s="18" t="inlineStr">
        <is>
          <t>common</t>
        </is>
      </c>
      <c r="U1010" s="20" t="n">
        <v>0.2</v>
      </c>
      <c r="V1010" s="21" t="n">
        <v>1</v>
      </c>
      <c r="W1010" s="20">
        <f>IF(OR(U1010="",V1010=""),U1010,U1010*V1010)</f>
        <v/>
      </c>
      <c r="X1010" s="18" t="inlineStr">
        <is>
          <t>25-50</t>
        </is>
      </c>
      <c r="Y1010" s="19" t="inlineStr"/>
      <c r="Z1010" s="18">
        <f>IF(Y1010="",X1010,Y1010)</f>
        <v/>
      </c>
      <c r="AA1010" s="18" t="inlineStr">
        <is>
          <t>grounded</t>
        </is>
      </c>
      <c r="AB1010" s="18" t="inlineStr"/>
      <c r="AC1010" s="18" t="inlineStr"/>
      <c r="AD1010" s="18" t="inlineStr"/>
      <c r="AE1010" s="18" t="inlineStr">
        <is>
          <t>sky 8-15</t>
        </is>
      </c>
      <c r="AF1010" s="18" t="inlineStr"/>
      <c r="AG1010" s="18" t="inlineStr"/>
      <c r="AH1010" s="18" t="inlineStr"/>
      <c r="AI1010" s="18" t="inlineStr"/>
      <c r="AJ1010" s="18" t="inlineStr">
        <is>
          <t>Cobblemon 동일</t>
        </is>
      </c>
      <c r="AK1010" s="18" t="inlineStr">
        <is>
          <t>사용</t>
        </is>
      </c>
      <c r="AL1010" s="18" t="inlineStr">
        <is>
          <t>COBBLEVERSE 1.7.42 / DP v31</t>
        </is>
      </c>
      <c r="AM1010" s="18" t="inlineStr">
        <is>
          <t>data/cobblemon/spawn_pool_world/0232_donphan.json</t>
        </is>
      </c>
      <c r="AN1010" s="18" t="inlineStr">
        <is>
          <t>donphan-1</t>
        </is>
      </c>
      <c r="AO1010" s="18" t="inlineStr">
        <is>
          <t>pokemon</t>
        </is>
      </c>
      <c r="AP1010" s="18" t="inlineStr">
        <is>
          <t>natural; wild</t>
        </is>
      </c>
      <c r="AQ1010" s="18" t="inlineStr">
        <is>
          <t>{"biomes":["#cobblemon:is_badlands"],"maxSkyLight":15,"minSkyLight":8}</t>
        </is>
      </c>
      <c r="AR1010" s="18" t="inlineStr"/>
      <c r="AS1010" s="18" t="inlineStr">
        <is>
          <t>{"weightMultiplier":{"condition":{"timeRange":"night"},"multiplier":0.25}}</t>
        </is>
      </c>
      <c r="AT1010" s="19" t="inlineStr"/>
    </row>
    <row r="1011" ht="32" customHeight="1">
      <c r="A1011" s="18" t="inlineStr">
        <is>
          <t>0232_donphan.json::donphan-2::002</t>
        </is>
      </c>
      <c r="B1011" s="19" t="inlineStr">
        <is>
          <t>사용</t>
        </is>
      </c>
      <c r="C1011" s="18">
        <f>IF(OR(B1011&lt;&gt;AK1011,M1011&lt;&gt;L1011,O1011&lt;&gt;"",Q1011&lt;&gt;"",V1011&lt;&gt;1,Y1011&lt;&gt;"",AT1011&lt;&gt;""),"수정","원본")</f>
        <v/>
      </c>
      <c r="D1011" s="18" t="n">
        <v>232</v>
      </c>
      <c r="E1011" s="18" t="inlineStr">
        <is>
          <t>코리갑</t>
        </is>
      </c>
      <c r="F1011" s="18" t="inlineStr">
        <is>
          <t>donphan</t>
        </is>
      </c>
      <c r="G1011" s="18" t="inlineStr">
        <is>
          <t>donphan</t>
        </is>
      </c>
      <c r="H1011" s="18" t="inlineStr"/>
      <c r="I1011" s="18" t="n">
        <v>2</v>
      </c>
      <c r="J1011" s="18" t="n"/>
      <c r="K1011" s="18" t="n">
        <v>2</v>
      </c>
      <c r="L1011" s="18" t="inlineStr">
        <is>
          <t>cobbleventure:generation_2</t>
        </is>
      </c>
      <c r="M1011" s="19" t="inlineStr">
        <is>
          <t>cobbleventure:generation_2</t>
        </is>
      </c>
      <c r="N1011" s="18" t="inlineStr"/>
      <c r="O1011" s="19" t="inlineStr"/>
      <c r="P1011" s="18" t="inlineStr">
        <is>
          <t>#cobblemon:is_savanna</t>
        </is>
      </c>
      <c r="Q1011" s="19" t="inlineStr"/>
      <c r="R1011" s="18">
        <f>IF(Q1011="",P1011,Q1011)</f>
        <v/>
      </c>
      <c r="S1011" s="18" t="inlineStr"/>
      <c r="T1011" s="18" t="inlineStr">
        <is>
          <t>common</t>
        </is>
      </c>
      <c r="U1011" s="20" t="n">
        <v>0.6</v>
      </c>
      <c r="V1011" s="21" t="n">
        <v>1</v>
      </c>
      <c r="W1011" s="20">
        <f>IF(OR(U1011="",V1011=""),U1011,U1011*V1011)</f>
        <v/>
      </c>
      <c r="X1011" s="18" t="inlineStr">
        <is>
          <t>25-50</t>
        </is>
      </c>
      <c r="Y1011" s="19" t="inlineStr"/>
      <c r="Z1011" s="18">
        <f>IF(Y1011="",X1011,Y1011)</f>
        <v/>
      </c>
      <c r="AA1011" s="18" t="inlineStr">
        <is>
          <t>grounded</t>
        </is>
      </c>
      <c r="AB1011" s="18" t="inlineStr"/>
      <c r="AC1011" s="18" t="inlineStr"/>
      <c r="AD1011" s="18" t="inlineStr"/>
      <c r="AE1011" s="18" t="inlineStr">
        <is>
          <t>sky 8-15</t>
        </is>
      </c>
      <c r="AF1011" s="18" t="inlineStr"/>
      <c r="AG1011" s="18" t="inlineStr"/>
      <c r="AH1011" s="18" t="inlineStr"/>
      <c r="AI1011" s="18" t="inlineStr"/>
      <c r="AJ1011" s="18" t="inlineStr">
        <is>
          <t>Cobblemon 동일</t>
        </is>
      </c>
      <c r="AK1011" s="18" t="inlineStr">
        <is>
          <t>사용</t>
        </is>
      </c>
      <c r="AL1011" s="18" t="inlineStr">
        <is>
          <t>COBBLEVERSE 1.7.42 / DP v31</t>
        </is>
      </c>
      <c r="AM1011" s="18" t="inlineStr">
        <is>
          <t>data/cobblemon/spawn_pool_world/0232_donphan.json</t>
        </is>
      </c>
      <c r="AN1011" s="18" t="inlineStr">
        <is>
          <t>donphan-2</t>
        </is>
      </c>
      <c r="AO1011" s="18" t="inlineStr">
        <is>
          <t>pokemon</t>
        </is>
      </c>
      <c r="AP1011" s="18" t="inlineStr">
        <is>
          <t>natural; wild</t>
        </is>
      </c>
      <c r="AQ1011" s="18" t="inlineStr">
        <is>
          <t>{"biomes":["#cobblemon:is_savanna"],"maxSkyLight":15,"minSkyLight":8}</t>
        </is>
      </c>
      <c r="AR1011" s="18" t="inlineStr"/>
      <c r="AS1011" s="18" t="inlineStr">
        <is>
          <t>{"weightMultiplier":{"condition":{"timeRange":"night"},"multiplier":0.25}}</t>
        </is>
      </c>
      <c r="AT1011" s="19" t="inlineStr"/>
    </row>
    <row r="1012" ht="32" customHeight="1">
      <c r="A1012" s="18" t="inlineStr">
        <is>
          <t>0233_porygon2.json::porygon2-1::001</t>
        </is>
      </c>
      <c r="B1012" s="19" t="inlineStr">
        <is>
          <t>사용</t>
        </is>
      </c>
      <c r="C1012" s="18">
        <f>IF(OR(B1012&lt;&gt;AK1012,M1012&lt;&gt;L1012,O1012&lt;&gt;"",Q1012&lt;&gt;"",V1012&lt;&gt;1,Y1012&lt;&gt;"",AT1012&lt;&gt;""),"수정","원본")</f>
        <v/>
      </c>
      <c r="D1012" s="18" t="n">
        <v>233</v>
      </c>
      <c r="E1012" s="18" t="inlineStr">
        <is>
          <t>폴리곤2</t>
        </is>
      </c>
      <c r="F1012" s="18" t="inlineStr">
        <is>
          <t>porygon2</t>
        </is>
      </c>
      <c r="G1012" s="18" t="inlineStr">
        <is>
          <t>porygon2</t>
        </is>
      </c>
      <c r="H1012" s="18" t="inlineStr"/>
      <c r="I1012" s="18" t="n">
        <v>2</v>
      </c>
      <c r="J1012" s="18" t="n"/>
      <c r="K1012" s="18" t="n">
        <v>2</v>
      </c>
      <c r="L1012" s="18" t="inlineStr">
        <is>
          <t>cobbleventure:generation_2</t>
        </is>
      </c>
      <c r="M1012" s="19" t="inlineStr">
        <is>
          <t>cobbleventure:generation_2</t>
        </is>
      </c>
      <c r="N1012" s="18" t="inlineStr"/>
      <c r="O1012" s="19" t="inlineStr"/>
      <c r="P1012" s="18" t="inlineStr">
        <is>
          <t>#cobblemon:end</t>
        </is>
      </c>
      <c r="Q1012" s="19" t="inlineStr"/>
      <c r="R1012" s="18">
        <f>IF(Q1012="",P1012,Q1012)</f>
        <v/>
      </c>
      <c r="S1012" s="18" t="inlineStr"/>
      <c r="T1012" s="18" t="inlineStr">
        <is>
          <t>uncommon</t>
        </is>
      </c>
      <c r="U1012" s="20" t="n">
        <v>0.72</v>
      </c>
      <c r="V1012" s="21" t="n">
        <v>1</v>
      </c>
      <c r="W1012" s="20">
        <f>IF(OR(U1012="",V1012=""),U1012,U1012*V1012)</f>
        <v/>
      </c>
      <c r="X1012" s="18" t="inlineStr">
        <is>
          <t>35-52</t>
        </is>
      </c>
      <c r="Y1012" s="19" t="inlineStr"/>
      <c r="Z1012" s="18">
        <f>IF(Y1012="",X1012,Y1012)</f>
        <v/>
      </c>
      <c r="AA1012" s="18" t="inlineStr">
        <is>
          <t>grounded</t>
        </is>
      </c>
      <c r="AB1012" s="18" t="inlineStr"/>
      <c r="AC1012" s="18" t="inlineStr"/>
      <c r="AD1012" s="18" t="inlineStr"/>
      <c r="AE1012" s="18" t="inlineStr"/>
      <c r="AF1012" s="18" t="inlineStr"/>
      <c r="AG1012" s="18" t="inlineStr"/>
      <c r="AH1012" s="18" t="inlineStr"/>
      <c r="AI1012" s="18" t="inlineStr"/>
      <c r="AJ1012" s="18" t="inlineStr">
        <is>
          <t>COBBLEVERSE 수정</t>
        </is>
      </c>
      <c r="AK1012" s="18" t="inlineStr">
        <is>
          <t>사용</t>
        </is>
      </c>
      <c r="AL1012" s="18" t="inlineStr">
        <is>
          <t>COBBLEVERSE 1.7.42 / DP v31</t>
        </is>
      </c>
      <c r="AM1012" s="18" t="inlineStr">
        <is>
          <t>data/cobblemon/spawn_pool_world/0233_porygon2.json</t>
        </is>
      </c>
      <c r="AN1012" s="18" t="inlineStr">
        <is>
          <t>porygon2-1</t>
        </is>
      </c>
      <c r="AO1012" s="18" t="inlineStr">
        <is>
          <t>pokemon</t>
        </is>
      </c>
      <c r="AP1012" s="18" t="inlineStr"/>
      <c r="AQ1012" s="18" t="inlineStr">
        <is>
          <t>{"biomes":["#cobblemon:end"]}</t>
        </is>
      </c>
      <c r="AR1012" s="18" t="inlineStr"/>
      <c r="AS1012" s="18" t="inlineStr"/>
      <c r="AT1012" s="19" t="inlineStr"/>
    </row>
    <row r="1013" ht="32" customHeight="1">
      <c r="A1013" s="18" t="inlineStr">
        <is>
          <t>0234_stantler.json::stantler-1::001</t>
        </is>
      </c>
      <c r="B1013" s="19" t="inlineStr">
        <is>
          <t>사용</t>
        </is>
      </c>
      <c r="C1013" s="18">
        <f>IF(OR(B1013&lt;&gt;AK1013,M1013&lt;&gt;L1013,O1013&lt;&gt;"",Q1013&lt;&gt;"",V1013&lt;&gt;1,Y1013&lt;&gt;"",AT1013&lt;&gt;""),"수정","원본")</f>
        <v/>
      </c>
      <c r="D1013" s="18" t="n">
        <v>234</v>
      </c>
      <c r="E1013" s="18" t="inlineStr">
        <is>
          <t>노라키</t>
        </is>
      </c>
      <c r="F1013" s="18" t="inlineStr">
        <is>
          <t>stantler</t>
        </is>
      </c>
      <c r="G1013" s="18" t="inlineStr">
        <is>
          <t>stantler</t>
        </is>
      </c>
      <c r="H1013" s="18" t="inlineStr"/>
      <c r="I1013" s="18" t="n">
        <v>2</v>
      </c>
      <c r="J1013" s="18" t="n"/>
      <c r="K1013" s="18" t="n">
        <v>2</v>
      </c>
      <c r="L1013" s="18" t="inlineStr">
        <is>
          <t>cobbleventure:generation_2</t>
        </is>
      </c>
      <c r="M1013" s="19" t="inlineStr">
        <is>
          <t>cobbleventure:generation_2</t>
        </is>
      </c>
      <c r="N1013" s="18" t="inlineStr"/>
      <c r="O1013" s="19" t="inlineStr"/>
      <c r="P1013" s="18" t="inlineStr">
        <is>
          <t>#cobblemon:is_snowy_forest; #cobblemon:is_snowy_taiga; #cobblemon:is_tundra</t>
        </is>
      </c>
      <c r="Q1013" s="19" t="inlineStr"/>
      <c r="R1013" s="18">
        <f>IF(Q1013="",P1013,Q1013)</f>
        <v/>
      </c>
      <c r="S1013" s="18" t="inlineStr"/>
      <c r="T1013" s="18" t="inlineStr">
        <is>
          <t>common</t>
        </is>
      </c>
      <c r="U1013" s="20" t="n">
        <v>5.4</v>
      </c>
      <c r="V1013" s="21" t="n">
        <v>1</v>
      </c>
      <c r="W1013" s="20">
        <f>IF(OR(U1013="",V1013=""),U1013,U1013*V1013)</f>
        <v/>
      </c>
      <c r="X1013" s="18" t="inlineStr">
        <is>
          <t>22-47</t>
        </is>
      </c>
      <c r="Y1013" s="19" t="inlineStr"/>
      <c r="Z1013" s="18">
        <f>IF(Y1013="",X1013,Y1013)</f>
        <v/>
      </c>
      <c r="AA1013" s="18" t="inlineStr">
        <is>
          <t>grounded</t>
        </is>
      </c>
      <c r="AB1013" s="18" t="inlineStr"/>
      <c r="AC1013" s="18" t="inlineStr"/>
      <c r="AD1013" s="18" t="inlineStr"/>
      <c r="AE1013" s="18" t="inlineStr">
        <is>
          <t>sky 8-15</t>
        </is>
      </c>
      <c r="AF1013" s="18" t="inlineStr"/>
      <c r="AG1013" s="18" t="inlineStr"/>
      <c r="AH1013" s="18" t="inlineStr"/>
      <c r="AI1013" s="18" t="inlineStr"/>
      <c r="AJ1013" s="18" t="inlineStr">
        <is>
          <t>Cobblemon 동일</t>
        </is>
      </c>
      <c r="AK1013" s="18" t="inlineStr">
        <is>
          <t>사용</t>
        </is>
      </c>
      <c r="AL1013" s="18" t="inlineStr">
        <is>
          <t>COBBLEVERSE 1.7.42 / DP v31</t>
        </is>
      </c>
      <c r="AM1013" s="18" t="inlineStr">
        <is>
          <t>data/cobblemon/spawn_pool_world/0234_stantler.json</t>
        </is>
      </c>
      <c r="AN1013" s="18" t="inlineStr">
        <is>
          <t>stantler-1</t>
        </is>
      </c>
      <c r="AO1013" s="18" t="inlineStr">
        <is>
          <t>pokemon</t>
        </is>
      </c>
      <c r="AP1013" s="18" t="inlineStr">
        <is>
          <t>natural; wild</t>
        </is>
      </c>
      <c r="AQ1013" s="18" t="inlineStr">
        <is>
          <t>{"biomes":["#cobblemon:is_snowy_forest","#cobblemon:is_snowy_taiga","#cobblemon:is_tundra"],"maxSkyLight":15,"minSkyLight":8}</t>
        </is>
      </c>
      <c r="AR1013" s="18" t="inlineStr"/>
      <c r="AS1013" s="18" t="inlineStr">
        <is>
          <t>{"weightMultiplier":{"condition":{"timeRange":"night"},"multiplier":0.25}}</t>
        </is>
      </c>
      <c r="AT1013" s="19" t="inlineStr"/>
    </row>
    <row r="1014" ht="32" customHeight="1">
      <c r="A1014" s="18" t="inlineStr">
        <is>
          <t>0234_stantler.json::stantler-2::002</t>
        </is>
      </c>
      <c r="B1014" s="19" t="inlineStr">
        <is>
          <t>사용</t>
        </is>
      </c>
      <c r="C1014" s="18">
        <f>IF(OR(B1014&lt;&gt;AK1014,M1014&lt;&gt;L1014,O1014&lt;&gt;"",Q1014&lt;&gt;"",V1014&lt;&gt;1,Y1014&lt;&gt;"",AT1014&lt;&gt;""),"수정","원본")</f>
        <v/>
      </c>
      <c r="D1014" s="18" t="n">
        <v>234</v>
      </c>
      <c r="E1014" s="18" t="inlineStr">
        <is>
          <t>노라키</t>
        </is>
      </c>
      <c r="F1014" s="18" t="inlineStr">
        <is>
          <t>stantler</t>
        </is>
      </c>
      <c r="G1014" s="18" t="inlineStr">
        <is>
          <t>stantler</t>
        </is>
      </c>
      <c r="H1014" s="18" t="inlineStr"/>
      <c r="I1014" s="18" t="n">
        <v>2</v>
      </c>
      <c r="J1014" s="18" t="n"/>
      <c r="K1014" s="18" t="n">
        <v>2</v>
      </c>
      <c r="L1014" s="18" t="inlineStr">
        <is>
          <t>cobbleventure:generation_2</t>
        </is>
      </c>
      <c r="M1014" s="19" t="inlineStr">
        <is>
          <t>cobbleventure:generation_2</t>
        </is>
      </c>
      <c r="N1014" s="18" t="inlineStr"/>
      <c r="O1014" s="19" t="inlineStr"/>
      <c r="P1014" s="18" t="inlineStr">
        <is>
          <t>#aether:is_aether</t>
        </is>
      </c>
      <c r="Q1014" s="19" t="inlineStr"/>
      <c r="R1014" s="18">
        <f>IF(Q1014="",P1014,Q1014)</f>
        <v/>
      </c>
      <c r="S1014" s="18" t="inlineStr"/>
      <c r="T1014" s="18" t="inlineStr">
        <is>
          <t>common</t>
        </is>
      </c>
      <c r="U1014" s="20" t="n">
        <v>100</v>
      </c>
      <c r="V1014" s="21" t="n">
        <v>1</v>
      </c>
      <c r="W1014" s="20">
        <f>IF(OR(U1014="",V1014=""),U1014,U1014*V1014)</f>
        <v/>
      </c>
      <c r="X1014" s="18" t="inlineStr">
        <is>
          <t>22-47</t>
        </is>
      </c>
      <c r="Y1014" s="19" t="inlineStr"/>
      <c r="Z1014" s="18">
        <f>IF(Y1014="",X1014,Y1014)</f>
        <v/>
      </c>
      <c r="AA1014" s="18" t="inlineStr">
        <is>
          <t>grounded</t>
        </is>
      </c>
      <c r="AB1014" s="18" t="inlineStr"/>
      <c r="AC1014" s="18" t="inlineStr"/>
      <c r="AD1014" s="18" t="inlineStr"/>
      <c r="AE1014" s="18" t="inlineStr">
        <is>
          <t>sky 8-15</t>
        </is>
      </c>
      <c r="AF1014" s="18" t="inlineStr"/>
      <c r="AG1014" s="18" t="inlineStr"/>
      <c r="AH1014" s="18" t="inlineStr">
        <is>
          <t>주변=aether:holiday_leaves; aether:decorated_holiday_leaves</t>
        </is>
      </c>
      <c r="AI1014" s="18" t="inlineStr"/>
      <c r="AJ1014" s="18" t="inlineStr">
        <is>
          <t>Cobblemon 동일</t>
        </is>
      </c>
      <c r="AK1014" s="18" t="inlineStr">
        <is>
          <t>사용</t>
        </is>
      </c>
      <c r="AL1014" s="18" t="inlineStr">
        <is>
          <t>COBBLEVERSE 1.7.42 / DP v31</t>
        </is>
      </c>
      <c r="AM1014" s="18" t="inlineStr">
        <is>
          <t>data/cobblemon/spawn_pool_world/0234_stantler.json</t>
        </is>
      </c>
      <c r="AN1014" s="18" t="inlineStr">
        <is>
          <t>stantler-2</t>
        </is>
      </c>
      <c r="AO1014" s="18" t="inlineStr">
        <is>
          <t>pokemon</t>
        </is>
      </c>
      <c r="AP1014" s="18" t="inlineStr">
        <is>
          <t>natural</t>
        </is>
      </c>
      <c r="AQ1014" s="18" t="inlineStr">
        <is>
          <t>{"biomes":["#aether:is_aether"],"maxSkyLight":15,"minSkyLight":8,"neededNearbyBlocks":["aether:holiday_leaves","aether:decorated_holiday_leaves"]}</t>
        </is>
      </c>
      <c r="AR1014" s="18" t="inlineStr"/>
      <c r="AS1014" s="18" t="inlineStr"/>
      <c r="AT1014" s="19" t="inlineStr"/>
    </row>
    <row r="1015" ht="32" customHeight="1">
      <c r="A1015" s="18" t="inlineStr">
        <is>
          <t>0235_smeargle.json::smeargle-1::001</t>
        </is>
      </c>
      <c r="B1015" s="19" t="inlineStr">
        <is>
          <t>사용</t>
        </is>
      </c>
      <c r="C1015" s="18">
        <f>IF(OR(B1015&lt;&gt;AK1015,M1015&lt;&gt;L1015,O1015&lt;&gt;"",Q1015&lt;&gt;"",V1015&lt;&gt;1,Y1015&lt;&gt;"",AT1015&lt;&gt;""),"수정","원본")</f>
        <v/>
      </c>
      <c r="D1015" s="18" t="n">
        <v>235</v>
      </c>
      <c r="E1015" s="18" t="inlineStr">
        <is>
          <t>루브도</t>
        </is>
      </c>
      <c r="F1015" s="18" t="inlineStr">
        <is>
          <t>smeargle</t>
        </is>
      </c>
      <c r="G1015" s="18" t="inlineStr">
        <is>
          <t>smeargle</t>
        </is>
      </c>
      <c r="H1015" s="18" t="inlineStr"/>
      <c r="I1015" s="18" t="n">
        <v>2</v>
      </c>
      <c r="J1015" s="18" t="n"/>
      <c r="K1015" s="18" t="n">
        <v>2</v>
      </c>
      <c r="L1015" s="18" t="inlineStr">
        <is>
          <t>cobbleventure:generation_2</t>
        </is>
      </c>
      <c r="M1015" s="19" t="inlineStr">
        <is>
          <t>cobbleventure:generation_2</t>
        </is>
      </c>
      <c r="N1015" s="18" t="inlineStr">
        <is>
          <t>region_01; region_02</t>
        </is>
      </c>
      <c r="O1015" s="19" t="inlineStr"/>
      <c r="P1015" s="18" t="inlineStr">
        <is>
          <t>#cobblemon:is_overworld</t>
        </is>
      </c>
      <c r="Q1015" s="19" t="inlineStr"/>
      <c r="R1015" s="18">
        <f>IF(Q1015="",P1015,Q1015)</f>
        <v/>
      </c>
      <c r="S1015" s="18" t="inlineStr"/>
      <c r="T1015" s="18" t="inlineStr">
        <is>
          <t>rare</t>
        </is>
      </c>
      <c r="U1015" s="20" t="n">
        <v>10</v>
      </c>
      <c r="V1015" s="21" t="n">
        <v>1</v>
      </c>
      <c r="W1015" s="20">
        <f>IF(OR(U1015="",V1015=""),U1015,U1015*V1015)</f>
        <v/>
      </c>
      <c r="X1015" s="18" t="inlineStr">
        <is>
          <t>1-25</t>
        </is>
      </c>
      <c r="Y1015" s="19" t="inlineStr"/>
      <c r="Z1015" s="18">
        <f>IF(Y1015="",X1015,Y1015)</f>
        <v/>
      </c>
      <c r="AA1015" s="18" t="inlineStr">
        <is>
          <t>grounded</t>
        </is>
      </c>
      <c r="AB1015" s="18" t="inlineStr"/>
      <c r="AC1015" s="18" t="inlineStr"/>
      <c r="AD1015" s="18" t="inlineStr"/>
      <c r="AE1015" s="18" t="inlineStr">
        <is>
          <t>sky 8-15</t>
        </is>
      </c>
      <c r="AF1015" s="18" t="inlineStr"/>
      <c r="AG1015" s="18" t="inlineStr"/>
      <c r="AH1015" s="18" t="inlineStr"/>
      <c r="AI1015" s="18" t="inlineStr"/>
      <c r="AJ1015" s="18" t="inlineStr">
        <is>
          <t>COBBLEVERSE 수정</t>
        </is>
      </c>
      <c r="AK1015" s="18" t="inlineStr">
        <is>
          <t>사용</t>
        </is>
      </c>
      <c r="AL1015" s="18" t="inlineStr">
        <is>
          <t>COBBLEVERSE 1.7.42 / DP v31</t>
        </is>
      </c>
      <c r="AM1015" s="18" t="inlineStr">
        <is>
          <t>data/cobblemon/spawn_pool_world/0235_smeargle.json</t>
        </is>
      </c>
      <c r="AN1015" s="18" t="inlineStr">
        <is>
          <t>smeargle-1</t>
        </is>
      </c>
      <c r="AO1015" s="18" t="inlineStr">
        <is>
          <t>pokemon</t>
        </is>
      </c>
      <c r="AP1015" s="18" t="inlineStr">
        <is>
          <t>natural</t>
        </is>
      </c>
      <c r="AQ1015" s="18" t="inlineStr">
        <is>
          <t>{"biomes":["#cobblemon:is_overworld"],"maxSkyLight":15,"minSkyLight":8}</t>
        </is>
      </c>
      <c r="AR1015" s="18" t="inlineStr"/>
      <c r="AS1015" s="18" t="inlineStr">
        <is>
          <t>{"weightMultiplier":{"condition":{"timeRange":"night"},"multiplier":0.25}}</t>
        </is>
      </c>
      <c r="AT1015" s="19" t="inlineStr"/>
    </row>
    <row r="1016" ht="32" customHeight="1">
      <c r="A1016" s="18" t="inlineStr">
        <is>
          <t>0235_smeargle.json::smeargle-2::002</t>
        </is>
      </c>
      <c r="B1016" s="19" t="inlineStr">
        <is>
          <t>사용</t>
        </is>
      </c>
      <c r="C1016" s="18">
        <f>IF(OR(B1016&lt;&gt;AK1016,M1016&lt;&gt;L1016,O1016&lt;&gt;"",Q1016&lt;&gt;"",V1016&lt;&gt;1,Y1016&lt;&gt;"",AT1016&lt;&gt;""),"수정","원본")</f>
        <v/>
      </c>
      <c r="D1016" s="18" t="n">
        <v>235</v>
      </c>
      <c r="E1016" s="18" t="inlineStr">
        <is>
          <t>루브도</t>
        </is>
      </c>
      <c r="F1016" s="18" t="inlineStr">
        <is>
          <t>smeargle</t>
        </is>
      </c>
      <c r="G1016" s="18" t="inlineStr">
        <is>
          <t>smeargle</t>
        </is>
      </c>
      <c r="H1016" s="18" t="inlineStr"/>
      <c r="I1016" s="18" t="n">
        <v>2</v>
      </c>
      <c r="J1016" s="18" t="n"/>
      <c r="K1016" s="18" t="n">
        <v>2</v>
      </c>
      <c r="L1016" s="18" t="inlineStr">
        <is>
          <t>cobbleventure:generation_2</t>
        </is>
      </c>
      <c r="M1016" s="19" t="inlineStr">
        <is>
          <t>cobbleventure:generation_2</t>
        </is>
      </c>
      <c r="N1016" s="18" t="inlineStr">
        <is>
          <t>region_01; region_02</t>
        </is>
      </c>
      <c r="O1016" s="19" t="inlineStr"/>
      <c r="P1016" s="18" t="inlineStr">
        <is>
          <t>#cobblemon:is_overworld</t>
        </is>
      </c>
      <c r="Q1016" s="19" t="inlineStr"/>
      <c r="R1016" s="18">
        <f>IF(Q1016="",P1016,Q1016)</f>
        <v/>
      </c>
      <c r="S1016" s="18" t="inlineStr"/>
      <c r="T1016" s="18" t="inlineStr">
        <is>
          <t>rare</t>
        </is>
      </c>
      <c r="U1016" s="20" t="n">
        <v>10</v>
      </c>
      <c r="V1016" s="21" t="n">
        <v>1</v>
      </c>
      <c r="W1016" s="20">
        <f>IF(OR(U1016="",V1016=""),U1016,U1016*V1016)</f>
        <v/>
      </c>
      <c r="X1016" s="18" t="inlineStr">
        <is>
          <t>1-25</t>
        </is>
      </c>
      <c r="Y1016" s="19" t="inlineStr"/>
      <c r="Z1016" s="18">
        <f>IF(Y1016="",X1016,Y1016)</f>
        <v/>
      </c>
      <c r="AA1016" s="18" t="inlineStr">
        <is>
          <t>grounded</t>
        </is>
      </c>
      <c r="AB1016" s="18" t="inlineStr"/>
      <c r="AC1016" s="18" t="inlineStr"/>
      <c r="AD1016" s="18" t="inlineStr"/>
      <c r="AE1016" s="18" t="inlineStr">
        <is>
          <t>sky 8-15</t>
        </is>
      </c>
      <c r="AF1016" s="18" t="inlineStr"/>
      <c r="AG1016" s="18" t="inlineStr">
        <is>
          <t>#minecraft:village</t>
        </is>
      </c>
      <c r="AH1016" s="18" t="inlineStr"/>
      <c r="AI1016" s="18" t="inlineStr"/>
      <c r="AJ1016" s="18" t="inlineStr">
        <is>
          <t>COBBLEVERSE 수정</t>
        </is>
      </c>
      <c r="AK1016" s="18" t="inlineStr">
        <is>
          <t>사용</t>
        </is>
      </c>
      <c r="AL1016" s="18" t="inlineStr">
        <is>
          <t>COBBLEVERSE 1.7.42 / DP v31</t>
        </is>
      </c>
      <c r="AM1016" s="18" t="inlineStr">
        <is>
          <t>data/cobblemon/spawn_pool_world/0235_smeargle.json</t>
        </is>
      </c>
      <c r="AN1016" s="18" t="inlineStr">
        <is>
          <t>smeargle-2</t>
        </is>
      </c>
      <c r="AO1016" s="18" t="inlineStr">
        <is>
          <t>pokemon</t>
        </is>
      </c>
      <c r="AP1016" s="18" t="inlineStr">
        <is>
          <t>natural</t>
        </is>
      </c>
      <c r="AQ1016" s="18" t="inlineStr">
        <is>
          <t>{"biomes":["#cobblemon:is_overworld"],"maxSkyLight":15,"minSkyLight":8,"structures":["#minecraft:village"]}</t>
        </is>
      </c>
      <c r="AR1016" s="18" t="inlineStr"/>
      <c r="AS1016" s="18" t="inlineStr">
        <is>
          <t>{"weightMultiplier":{"condition":{"timeRange":"night"},"multiplier":0.25}}</t>
        </is>
      </c>
      <c r="AT1016" s="19" t="inlineStr"/>
    </row>
    <row r="1017" ht="32" customHeight="1">
      <c r="A1017" s="18" t="inlineStr">
        <is>
          <t>0235_smeargle.json::smeargle-3::003</t>
        </is>
      </c>
      <c r="B1017" s="19" t="inlineStr">
        <is>
          <t>사용</t>
        </is>
      </c>
      <c r="C1017" s="18">
        <f>IF(OR(B1017&lt;&gt;AK1017,M1017&lt;&gt;L1017,O1017&lt;&gt;"",Q1017&lt;&gt;"",V1017&lt;&gt;1,Y1017&lt;&gt;"",AT1017&lt;&gt;""),"수정","원본")</f>
        <v/>
      </c>
      <c r="D1017" s="18" t="n">
        <v>235</v>
      </c>
      <c r="E1017" s="18" t="inlineStr">
        <is>
          <t>루브도</t>
        </is>
      </c>
      <c r="F1017" s="18" t="inlineStr">
        <is>
          <t>smeargle</t>
        </is>
      </c>
      <c r="G1017" s="18" t="inlineStr">
        <is>
          <t>smeargle</t>
        </is>
      </c>
      <c r="H1017" s="18" t="inlineStr"/>
      <c r="I1017" s="18" t="n">
        <v>2</v>
      </c>
      <c r="J1017" s="18" t="n"/>
      <c r="K1017" s="18" t="n">
        <v>2</v>
      </c>
      <c r="L1017" s="18" t="inlineStr">
        <is>
          <t>cobbleventure:generation_2</t>
        </is>
      </c>
      <c r="M1017" s="19" t="inlineStr">
        <is>
          <t>cobbleventure:generation_2</t>
        </is>
      </c>
      <c r="N1017" s="18" t="inlineStr">
        <is>
          <t>region_01; region_02</t>
        </is>
      </c>
      <c r="O1017" s="19" t="inlineStr"/>
      <c r="P1017" s="18" t="inlineStr">
        <is>
          <t>#cobblemon:is_overworld</t>
        </is>
      </c>
      <c r="Q1017" s="19" t="inlineStr"/>
      <c r="R1017" s="18">
        <f>IF(Q1017="",P1017,Q1017)</f>
        <v/>
      </c>
      <c r="S1017" s="18" t="inlineStr"/>
      <c r="T1017" s="18" t="inlineStr">
        <is>
          <t>common</t>
        </is>
      </c>
      <c r="U1017" s="20" t="n">
        <v>2</v>
      </c>
      <c r="V1017" s="21" t="n">
        <v>1</v>
      </c>
      <c r="W1017" s="20">
        <f>IF(OR(U1017="",V1017=""),U1017,U1017*V1017)</f>
        <v/>
      </c>
      <c r="X1017" s="18" t="inlineStr">
        <is>
          <t>1-25</t>
        </is>
      </c>
      <c r="Y1017" s="19" t="inlineStr"/>
      <c r="Z1017" s="18">
        <f>IF(Y1017="",X1017,Y1017)</f>
        <v/>
      </c>
      <c r="AA1017" s="18" t="inlineStr">
        <is>
          <t>grounded</t>
        </is>
      </c>
      <c r="AB1017" s="18" t="inlineStr"/>
      <c r="AC1017" s="18" t="inlineStr"/>
      <c r="AD1017" s="18" t="inlineStr"/>
      <c r="AE1017" s="18" t="inlineStr"/>
      <c r="AF1017" s="18" t="inlineStr">
        <is>
          <t>False</t>
        </is>
      </c>
      <c r="AG1017" s="18" t="inlineStr"/>
      <c r="AH1017" s="18" t="inlineStr">
        <is>
          <t>주변=minecraft:light_blue_wool; minecraft:blue_wool; minecraft:cyan_wool; minecraft:light_gray_wool; minecraft:gray_wool; minecraft:green_wool; minecraft:black_wool; minecraft:lime_wool; minecraft:orange_wool; minecraft:yellow_wool; minecraft:brown_wool; minecraft:yellow_carpet; minecraft:lime_carpet</t>
        </is>
      </c>
      <c r="AI1017" s="18" t="inlineStr"/>
      <c r="AJ1017" s="18" t="inlineStr">
        <is>
          <t>COBBLEVERSE 수정</t>
        </is>
      </c>
      <c r="AK1017" s="18" t="inlineStr">
        <is>
          <t>사용</t>
        </is>
      </c>
      <c r="AL1017" s="18" t="inlineStr">
        <is>
          <t>COBBLEVERSE 1.7.42 / DP v31</t>
        </is>
      </c>
      <c r="AM1017" s="18" t="inlineStr">
        <is>
          <t>data/cobblemon/spawn_pool_world/0235_smeargle.json</t>
        </is>
      </c>
      <c r="AN1017" s="18" t="inlineStr">
        <is>
          <t>smeargle-3</t>
        </is>
      </c>
      <c r="AO1017" s="18" t="inlineStr">
        <is>
          <t>pokemon</t>
        </is>
      </c>
      <c r="AP1017" s="18" t="inlineStr">
        <is>
          <t>mansion</t>
        </is>
      </c>
      <c r="AQ1017" s="18" t="inlineStr">
        <is>
          <t>{"biomes":["#cobblemon:is_overworld"],"canSeeSky":false,"neededNearbyBlocks":["minecraft:light_blue_wool","minecraft:blue_wool","minecraft:cyan_wool","minecraft:light_gray_wool","minecraft:gray_wool","minecraft:green_wool","minecraft:black_wool","minecraft:lime_wool","minecraft:orange_wool","minecraft:yellow_wool","minecraft:brown_wool","minecraft:yellow_carpet","minecraft:lime_carpet"]}</t>
        </is>
      </c>
      <c r="AR1017" s="18" t="inlineStr"/>
      <c r="AS1017" s="18" t="inlineStr"/>
      <c r="AT1017" s="19" t="inlineStr"/>
    </row>
    <row r="1018" ht="32" customHeight="1">
      <c r="A1018" s="18" t="inlineStr">
        <is>
          <t>0236_tyrogue.json::tyrogue-1::001</t>
        </is>
      </c>
      <c r="B1018" s="19" t="inlineStr">
        <is>
          <t>사용</t>
        </is>
      </c>
      <c r="C1018" s="18">
        <f>IF(OR(B1018&lt;&gt;AK1018,M1018&lt;&gt;L1018,O1018&lt;&gt;"",Q1018&lt;&gt;"",V1018&lt;&gt;1,Y1018&lt;&gt;"",AT1018&lt;&gt;""),"수정","원본")</f>
        <v/>
      </c>
      <c r="D1018" s="18" t="n">
        <v>236</v>
      </c>
      <c r="E1018" s="18" t="inlineStr">
        <is>
          <t>배루키</t>
        </is>
      </c>
      <c r="F1018" s="18" t="inlineStr">
        <is>
          <t>tyrogue</t>
        </is>
      </c>
      <c r="G1018" s="18" t="inlineStr">
        <is>
          <t>tyrogue</t>
        </is>
      </c>
      <c r="H1018" s="18" t="inlineStr"/>
      <c r="I1018" s="18" t="n">
        <v>2</v>
      </c>
      <c r="J1018" s="18" t="n"/>
      <c r="K1018" s="18" t="n">
        <v>2</v>
      </c>
      <c r="L1018" s="18" t="inlineStr">
        <is>
          <t>cobbleventure:generation_2</t>
        </is>
      </c>
      <c r="M1018" s="19" t="inlineStr">
        <is>
          <t>cobbleventure:generation_2</t>
        </is>
      </c>
      <c r="N1018" s="18" t="inlineStr"/>
      <c r="O1018" s="19" t="inlineStr"/>
      <c r="P1018" s="18" t="inlineStr">
        <is>
          <t>#cobblemon:is_hills</t>
        </is>
      </c>
      <c r="Q1018" s="19" t="inlineStr"/>
      <c r="R1018" s="18">
        <f>IF(Q1018="",P1018,Q1018)</f>
        <v/>
      </c>
      <c r="S1018" s="18" t="inlineStr"/>
      <c r="T1018" s="18" t="inlineStr">
        <is>
          <t>uncommon</t>
        </is>
      </c>
      <c r="U1018" s="20" t="n">
        <v>5.04</v>
      </c>
      <c r="V1018" s="21" t="n">
        <v>1</v>
      </c>
      <c r="W1018" s="20">
        <f>IF(OR(U1018="",V1018=""),U1018,U1018*V1018)</f>
        <v/>
      </c>
      <c r="X1018" s="18" t="inlineStr">
        <is>
          <t>1-21</t>
        </is>
      </c>
      <c r="Y1018" s="19" t="inlineStr"/>
      <c r="Z1018" s="18">
        <f>IF(Y1018="",X1018,Y1018)</f>
        <v/>
      </c>
      <c r="AA1018" s="18" t="inlineStr">
        <is>
          <t>grounded</t>
        </is>
      </c>
      <c r="AB1018" s="18" t="inlineStr"/>
      <c r="AC1018" s="18" t="inlineStr"/>
      <c r="AD1018" s="18" t="inlineStr"/>
      <c r="AE1018" s="18" t="inlineStr">
        <is>
          <t>sky 8-15</t>
        </is>
      </c>
      <c r="AF1018" s="18" t="inlineStr"/>
      <c r="AG1018" s="18" t="inlineStr"/>
      <c r="AH1018" s="18" t="inlineStr"/>
      <c r="AI1018" s="18" t="inlineStr"/>
      <c r="AJ1018" s="18" t="inlineStr">
        <is>
          <t>Cobblemon 동일</t>
        </is>
      </c>
      <c r="AK1018" s="18" t="inlineStr">
        <is>
          <t>사용</t>
        </is>
      </c>
      <c r="AL1018" s="18" t="inlineStr">
        <is>
          <t>COBBLEVERSE 1.7.42 / DP v31</t>
        </is>
      </c>
      <c r="AM1018" s="18" t="inlineStr">
        <is>
          <t>data/cobblemon/spawn_pool_world/0236_tyrogue.json</t>
        </is>
      </c>
      <c r="AN1018" s="18" t="inlineStr">
        <is>
          <t>tyrogue-1</t>
        </is>
      </c>
      <c r="AO1018" s="18" t="inlineStr">
        <is>
          <t>pokemon</t>
        </is>
      </c>
      <c r="AP1018" s="18" t="inlineStr">
        <is>
          <t>natural</t>
        </is>
      </c>
      <c r="AQ1018" s="18" t="inlineStr">
        <is>
          <t>{"biomes":["#cobblemon:is_hills"],"maxSkyLight":15,"minSkyLight":8}</t>
        </is>
      </c>
      <c r="AR1018" s="18" t="inlineStr"/>
      <c r="AS1018" s="18" t="inlineStr">
        <is>
          <t>{"weightMultiplier":{"condition":{"timeRange":"night"},"multiplier":0.25}}</t>
        </is>
      </c>
      <c r="AT1018" s="19" t="inlineStr"/>
    </row>
    <row r="1019" ht="32" customHeight="1">
      <c r="A1019" s="18" t="inlineStr">
        <is>
          <t>0237_hitmontop.json::hitmontop-1::001</t>
        </is>
      </c>
      <c r="B1019" s="19" t="inlineStr">
        <is>
          <t>사용</t>
        </is>
      </c>
      <c r="C1019" s="18">
        <f>IF(OR(B1019&lt;&gt;AK1019,M1019&lt;&gt;L1019,O1019&lt;&gt;"",Q1019&lt;&gt;"",V1019&lt;&gt;1,Y1019&lt;&gt;"",AT1019&lt;&gt;""),"수정","원본")</f>
        <v/>
      </c>
      <c r="D1019" s="18" t="n">
        <v>237</v>
      </c>
      <c r="E1019" s="18" t="inlineStr">
        <is>
          <t>카포에라</t>
        </is>
      </c>
      <c r="F1019" s="18" t="inlineStr">
        <is>
          <t>hitmontop</t>
        </is>
      </c>
      <c r="G1019" s="18" t="inlineStr">
        <is>
          <t>hitmontop</t>
        </is>
      </c>
      <c r="H1019" s="18" t="inlineStr"/>
      <c r="I1019" s="18" t="n">
        <v>2</v>
      </c>
      <c r="J1019" s="18" t="n"/>
      <c r="K1019" s="18" t="n">
        <v>2</v>
      </c>
      <c r="L1019" s="18" t="inlineStr">
        <is>
          <t>cobbleventure:generation_2</t>
        </is>
      </c>
      <c r="M1019" s="19" t="inlineStr">
        <is>
          <t>cobbleventure:generation_2</t>
        </is>
      </c>
      <c r="N1019" s="18" t="inlineStr"/>
      <c r="O1019" s="19" t="inlineStr"/>
      <c r="P1019" s="18" t="inlineStr">
        <is>
          <t>#cobblemon:is_hills</t>
        </is>
      </c>
      <c r="Q1019" s="19" t="inlineStr"/>
      <c r="R1019" s="18">
        <f>IF(Q1019="",P1019,Q1019)</f>
        <v/>
      </c>
      <c r="S1019" s="18" t="inlineStr"/>
      <c r="T1019" s="18" t="inlineStr">
        <is>
          <t>uncommon</t>
        </is>
      </c>
      <c r="U1019" s="20" t="n">
        <v>0.32</v>
      </c>
      <c r="V1019" s="21" t="n">
        <v>1</v>
      </c>
      <c r="W1019" s="20">
        <f>IF(OR(U1019="",V1019=""),U1019,U1019*V1019)</f>
        <v/>
      </c>
      <c r="X1019" s="18" t="inlineStr">
        <is>
          <t>20-46</t>
        </is>
      </c>
      <c r="Y1019" s="19" t="inlineStr"/>
      <c r="Z1019" s="18">
        <f>IF(Y1019="",X1019,Y1019)</f>
        <v/>
      </c>
      <c r="AA1019" s="18" t="inlineStr">
        <is>
          <t>grounded</t>
        </is>
      </c>
      <c r="AB1019" s="18" t="inlineStr"/>
      <c r="AC1019" s="18" t="inlineStr"/>
      <c r="AD1019" s="18" t="inlineStr"/>
      <c r="AE1019" s="18" t="inlineStr">
        <is>
          <t>sky 8-15</t>
        </is>
      </c>
      <c r="AF1019" s="18" t="inlineStr"/>
      <c r="AG1019" s="18" t="inlineStr"/>
      <c r="AH1019" s="18" t="inlineStr"/>
      <c r="AI1019" s="18" t="inlineStr"/>
      <c r="AJ1019" s="18" t="inlineStr">
        <is>
          <t>Cobblemon 동일</t>
        </is>
      </c>
      <c r="AK1019" s="18" t="inlineStr">
        <is>
          <t>사용</t>
        </is>
      </c>
      <c r="AL1019" s="18" t="inlineStr">
        <is>
          <t>COBBLEVERSE 1.7.42 / DP v31</t>
        </is>
      </c>
      <c r="AM1019" s="18" t="inlineStr">
        <is>
          <t>data/cobblemon/spawn_pool_world/0237_hitmontop.json</t>
        </is>
      </c>
      <c r="AN1019" s="18" t="inlineStr">
        <is>
          <t>hitmontop-1</t>
        </is>
      </c>
      <c r="AO1019" s="18" t="inlineStr">
        <is>
          <t>pokemon</t>
        </is>
      </c>
      <c r="AP1019" s="18" t="inlineStr">
        <is>
          <t>natural</t>
        </is>
      </c>
      <c r="AQ1019" s="18" t="inlineStr">
        <is>
          <t>{"biomes":["#cobblemon:is_hills"],"maxSkyLight":15,"minSkyLight":8}</t>
        </is>
      </c>
      <c r="AR1019" s="18" t="inlineStr"/>
      <c r="AS1019" s="18" t="inlineStr">
        <is>
          <t>{"weightMultiplier":{"condition":{"timeRange":"night"},"multiplier":0.25}}</t>
        </is>
      </c>
      <c r="AT1019" s="19" t="inlineStr"/>
    </row>
    <row r="1020" ht="32" customHeight="1">
      <c r="A1020" s="18" t="inlineStr">
        <is>
          <t>0238_smoochum.json::smoochum-1::001</t>
        </is>
      </c>
      <c r="B1020" s="19" t="inlineStr">
        <is>
          <t>사용</t>
        </is>
      </c>
      <c r="C1020" s="18">
        <f>IF(OR(B1020&lt;&gt;AK1020,M1020&lt;&gt;L1020,O1020&lt;&gt;"",Q1020&lt;&gt;"",V1020&lt;&gt;1,Y1020&lt;&gt;"",AT1020&lt;&gt;""),"수정","원본")</f>
        <v/>
      </c>
      <c r="D1020" s="18" t="n">
        <v>238</v>
      </c>
      <c r="E1020" s="18" t="inlineStr">
        <is>
          <t>뽀뽀라</t>
        </is>
      </c>
      <c r="F1020" s="18" t="inlineStr">
        <is>
          <t>smoochum</t>
        </is>
      </c>
      <c r="G1020" s="18" t="inlineStr">
        <is>
          <t>smoochum</t>
        </is>
      </c>
      <c r="H1020" s="18" t="inlineStr"/>
      <c r="I1020" s="18" t="n">
        <v>2</v>
      </c>
      <c r="J1020" s="18" t="n"/>
      <c r="K1020" s="18" t="n">
        <v>2</v>
      </c>
      <c r="L1020" s="18" t="inlineStr">
        <is>
          <t>cobbleventure:generation_2</t>
        </is>
      </c>
      <c r="M1020" s="19" t="inlineStr">
        <is>
          <t>cobbleventure:generation_2</t>
        </is>
      </c>
      <c r="N1020" s="18" t="inlineStr"/>
      <c r="O1020" s="19" t="inlineStr"/>
      <c r="P1020" s="18" t="inlineStr">
        <is>
          <t>#cobblemon:is_freezing</t>
        </is>
      </c>
      <c r="Q1020" s="19" t="inlineStr"/>
      <c r="R1020" s="18">
        <f>IF(Q1020="",P1020,Q1020)</f>
        <v/>
      </c>
      <c r="S1020" s="18" t="inlineStr"/>
      <c r="T1020" s="18" t="inlineStr">
        <is>
          <t>uncommon</t>
        </is>
      </c>
      <c r="U1020" s="20" t="n">
        <v>1.68</v>
      </c>
      <c r="V1020" s="21" t="n">
        <v>1</v>
      </c>
      <c r="W1020" s="20">
        <f>IF(OR(U1020="",V1020=""),U1020,U1020*V1020)</f>
        <v/>
      </c>
      <c r="X1020" s="18" t="inlineStr">
        <is>
          <t>6-31</t>
        </is>
      </c>
      <c r="Y1020" s="19" t="inlineStr"/>
      <c r="Z1020" s="18">
        <f>IF(Y1020="",X1020,Y1020)</f>
        <v/>
      </c>
      <c r="AA1020" s="18" t="inlineStr">
        <is>
          <t>grounded</t>
        </is>
      </c>
      <c r="AB1020" s="18" t="inlineStr"/>
      <c r="AC1020" s="18" t="inlineStr"/>
      <c r="AD1020" s="18" t="inlineStr"/>
      <c r="AE1020" s="18" t="inlineStr">
        <is>
          <t>sky 8-15</t>
        </is>
      </c>
      <c r="AF1020" s="18" t="inlineStr"/>
      <c r="AG1020" s="18" t="inlineStr"/>
      <c r="AH1020" s="18" t="inlineStr"/>
      <c r="AI1020" s="18" t="inlineStr"/>
      <c r="AJ1020" s="18" t="inlineStr">
        <is>
          <t>COBBLEVERSE 수정</t>
        </is>
      </c>
      <c r="AK1020" s="18" t="inlineStr">
        <is>
          <t>사용</t>
        </is>
      </c>
      <c r="AL1020" s="18" t="inlineStr">
        <is>
          <t>COBBLEVERSE 1.7.42 / DP v31</t>
        </is>
      </c>
      <c r="AM1020" s="18" t="inlineStr">
        <is>
          <t>data/cobblemon/spawn_pool_world/0238_smoochum.json</t>
        </is>
      </c>
      <c r="AN1020" s="18" t="inlineStr">
        <is>
          <t>smoochum-1</t>
        </is>
      </c>
      <c r="AO1020" s="18" t="inlineStr">
        <is>
          <t>pokemon</t>
        </is>
      </c>
      <c r="AP1020" s="18" t="inlineStr">
        <is>
          <t>natural</t>
        </is>
      </c>
      <c r="AQ1020" s="18" t="inlineStr">
        <is>
          <t>{"biomes":["#cobblemon:is_freezing"],"maxSkyLight":15,"minSkyLight":8}</t>
        </is>
      </c>
      <c r="AR1020" s="18" t="inlineStr"/>
      <c r="AS1020" s="18" t="inlineStr">
        <is>
          <t>{"weightMultiplier":{"condition":{"timeRange":"night"},"multiplier":0.25}}</t>
        </is>
      </c>
      <c r="AT1020" s="19" t="inlineStr"/>
    </row>
    <row r="1021" ht="32" customHeight="1">
      <c r="A1021" s="18" t="inlineStr">
        <is>
          <t>0238_smoochum.json::smoochum-2::002</t>
        </is>
      </c>
      <c r="B1021" s="19" t="inlineStr">
        <is>
          <t>사용</t>
        </is>
      </c>
      <c r="C1021" s="18">
        <f>IF(OR(B1021&lt;&gt;AK1021,M1021&lt;&gt;L1021,O1021&lt;&gt;"",Q1021&lt;&gt;"",V1021&lt;&gt;1,Y1021&lt;&gt;"",AT1021&lt;&gt;""),"수정","원본")</f>
        <v/>
      </c>
      <c r="D1021" s="18" t="n">
        <v>238</v>
      </c>
      <c r="E1021" s="18" t="inlineStr">
        <is>
          <t>뽀뽀라</t>
        </is>
      </c>
      <c r="F1021" s="18" t="inlineStr">
        <is>
          <t>smoochum</t>
        </is>
      </c>
      <c r="G1021" s="18" t="inlineStr">
        <is>
          <t>smoochum</t>
        </is>
      </c>
      <c r="H1021" s="18" t="inlineStr"/>
      <c r="I1021" s="18" t="n">
        <v>2</v>
      </c>
      <c r="J1021" s="18" t="n"/>
      <c r="K1021" s="18" t="n">
        <v>2</v>
      </c>
      <c r="L1021" s="18" t="inlineStr">
        <is>
          <t>cobbleventure:generation_2</t>
        </is>
      </c>
      <c r="M1021" s="19" t="inlineStr">
        <is>
          <t>cobbleventure:generation_2</t>
        </is>
      </c>
      <c r="N1021" s="18" t="inlineStr"/>
      <c r="O1021" s="19" t="inlineStr"/>
      <c r="P1021" s="18" t="inlineStr">
        <is>
          <t>#cobblemon:is_freezing</t>
        </is>
      </c>
      <c r="Q1021" s="19" t="inlineStr"/>
      <c r="R1021" s="18">
        <f>IF(Q1021="",P1021,Q1021)</f>
        <v/>
      </c>
      <c r="S1021" s="18" t="inlineStr"/>
      <c r="T1021" s="18" t="inlineStr">
        <is>
          <t>uncommon</t>
        </is>
      </c>
      <c r="U1021" s="20" t="n">
        <v>1.68</v>
      </c>
      <c r="V1021" s="21" t="n">
        <v>1</v>
      </c>
      <c r="W1021" s="20">
        <f>IF(OR(U1021="",V1021=""),U1021,U1021*V1021)</f>
        <v/>
      </c>
      <c r="X1021" s="18" t="inlineStr">
        <is>
          <t>6-31</t>
        </is>
      </c>
      <c r="Y1021" s="19" t="inlineStr"/>
      <c r="Z1021" s="18">
        <f>IF(Y1021="",X1021,Y1021)</f>
        <v/>
      </c>
      <c r="AA1021" s="18" t="inlineStr">
        <is>
          <t>grounded</t>
        </is>
      </c>
      <c r="AB1021" s="18" t="inlineStr"/>
      <c r="AC1021" s="18" t="inlineStr"/>
      <c r="AD1021" s="18" t="inlineStr"/>
      <c r="AE1021" s="18" t="inlineStr">
        <is>
          <t>sky 8-15</t>
        </is>
      </c>
      <c r="AF1021" s="18" t="inlineStr"/>
      <c r="AG1021" s="18" t="inlineStr">
        <is>
          <t>#minecraft:village</t>
        </is>
      </c>
      <c r="AH1021" s="18" t="inlineStr"/>
      <c r="AI1021" s="18" t="inlineStr"/>
      <c r="AJ1021" s="18" t="inlineStr">
        <is>
          <t>COBBLEVERSE 수정</t>
        </is>
      </c>
      <c r="AK1021" s="18" t="inlineStr">
        <is>
          <t>사용</t>
        </is>
      </c>
      <c r="AL1021" s="18" t="inlineStr">
        <is>
          <t>COBBLEVERSE 1.7.42 / DP v31</t>
        </is>
      </c>
      <c r="AM1021" s="18" t="inlineStr">
        <is>
          <t>data/cobblemon/spawn_pool_world/0238_smoochum.json</t>
        </is>
      </c>
      <c r="AN1021" s="18" t="inlineStr">
        <is>
          <t>smoochum-2</t>
        </is>
      </c>
      <c r="AO1021" s="18" t="inlineStr">
        <is>
          <t>pokemon</t>
        </is>
      </c>
      <c r="AP1021" s="18" t="inlineStr">
        <is>
          <t>natural</t>
        </is>
      </c>
      <c r="AQ1021" s="18" t="inlineStr">
        <is>
          <t>{"biomes":["#cobblemon:is_freezing"],"maxSkyLight":15,"minSkyLight":8,"structures":["#minecraft:village"]}</t>
        </is>
      </c>
      <c r="AR1021" s="18" t="inlineStr"/>
      <c r="AS1021" s="18" t="inlineStr">
        <is>
          <t>{"weightMultiplier":{"condition":{"timeRange":"night"},"multiplier":0.25}}</t>
        </is>
      </c>
      <c r="AT1021" s="19" t="inlineStr"/>
    </row>
    <row r="1022" ht="32" customHeight="1">
      <c r="A1022" s="18" t="inlineStr">
        <is>
          <t>0239_elekid.json::elekid-1::001</t>
        </is>
      </c>
      <c r="B1022" s="19" t="inlineStr">
        <is>
          <t>사용</t>
        </is>
      </c>
      <c r="C1022" s="18">
        <f>IF(OR(B1022&lt;&gt;AK1022,M1022&lt;&gt;L1022,O1022&lt;&gt;"",Q1022&lt;&gt;"",V1022&lt;&gt;1,Y1022&lt;&gt;"",AT1022&lt;&gt;""),"수정","원본")</f>
        <v/>
      </c>
      <c r="D1022" s="18" t="n">
        <v>239</v>
      </c>
      <c r="E1022" s="18" t="inlineStr">
        <is>
          <t>에레키드</t>
        </is>
      </c>
      <c r="F1022" s="18" t="inlineStr">
        <is>
          <t>elekid</t>
        </is>
      </c>
      <c r="G1022" s="18" t="inlineStr">
        <is>
          <t>elekid</t>
        </is>
      </c>
      <c r="H1022" s="18" t="inlineStr"/>
      <c r="I1022" s="18" t="n">
        <v>2</v>
      </c>
      <c r="J1022" s="18" t="n"/>
      <c r="K1022" s="18" t="n">
        <v>2</v>
      </c>
      <c r="L1022" s="18" t="inlineStr">
        <is>
          <t>cobbleventure:generation_2</t>
        </is>
      </c>
      <c r="M1022" s="19" t="inlineStr">
        <is>
          <t>cobbleventure:generation_2</t>
        </is>
      </c>
      <c r="N1022" s="18" t="inlineStr">
        <is>
          <t>region_01</t>
        </is>
      </c>
      <c r="O1022" s="19" t="inlineStr"/>
      <c r="P1022" s="18" t="inlineStr">
        <is>
          <t>#cobblemon:is_hills; #cobblemon:is_plains</t>
        </is>
      </c>
      <c r="Q1022" s="19" t="inlineStr"/>
      <c r="R1022" s="18">
        <f>IF(Q1022="",P1022,Q1022)</f>
        <v/>
      </c>
      <c r="S1022" s="18" t="inlineStr"/>
      <c r="T1022" s="18" t="inlineStr">
        <is>
          <t>uncommon</t>
        </is>
      </c>
      <c r="U1022" s="20" t="n">
        <v>1.68</v>
      </c>
      <c r="V1022" s="21" t="n">
        <v>1</v>
      </c>
      <c r="W1022" s="20">
        <f>IF(OR(U1022="",V1022=""),U1022,U1022*V1022)</f>
        <v/>
      </c>
      <c r="X1022" s="18" t="inlineStr">
        <is>
          <t>11-36</t>
        </is>
      </c>
      <c r="Y1022" s="19" t="inlineStr"/>
      <c r="Z1022" s="18">
        <f>IF(Y1022="",X1022,Y1022)</f>
        <v/>
      </c>
      <c r="AA1022" s="18" t="inlineStr">
        <is>
          <t>grounded</t>
        </is>
      </c>
      <c r="AB1022" s="18" t="inlineStr"/>
      <c r="AC1022" s="18" t="inlineStr"/>
      <c r="AD1022" s="18" t="inlineStr"/>
      <c r="AE1022" s="18" t="inlineStr">
        <is>
          <t>sky 8-15</t>
        </is>
      </c>
      <c r="AF1022" s="18" t="inlineStr"/>
      <c r="AG1022" s="18" t="inlineStr"/>
      <c r="AH1022" s="18" t="inlineStr"/>
      <c r="AI1022" s="18" t="inlineStr"/>
      <c r="AJ1022" s="18" t="inlineStr">
        <is>
          <t>Cobblemon 동일</t>
        </is>
      </c>
      <c r="AK1022" s="18" t="inlineStr">
        <is>
          <t>사용</t>
        </is>
      </c>
      <c r="AL1022" s="18" t="inlineStr">
        <is>
          <t>COBBLEVERSE 1.7.42 / DP v31</t>
        </is>
      </c>
      <c r="AM1022" s="18" t="inlineStr">
        <is>
          <t>data/cobblemon/spawn_pool_world/0239_elekid.json</t>
        </is>
      </c>
      <c r="AN1022" s="18" t="inlineStr">
        <is>
          <t>elekid-1</t>
        </is>
      </c>
      <c r="AO1022" s="18" t="inlineStr">
        <is>
          <t>pokemon</t>
        </is>
      </c>
      <c r="AP1022" s="18" t="inlineStr">
        <is>
          <t>natural</t>
        </is>
      </c>
      <c r="AQ1022" s="18" t="inlineStr">
        <is>
          <t>{"biomes":["#cobblemon:is_hills","#cobblemon:is_plains"],"maxSkyLight":15,"minSkyLight":8}</t>
        </is>
      </c>
      <c r="AR1022" s="18" t="inlineStr"/>
      <c r="AS1022" s="18" t="inlineStr">
        <is>
          <t>{"weightMultiplier":{"condition":{"isThundering":true},"multiplier":5.0}}</t>
        </is>
      </c>
      <c r="AT1022" s="19" t="inlineStr"/>
    </row>
    <row r="1023" ht="32" customHeight="1">
      <c r="A1023" s="18" t="inlineStr">
        <is>
          <t>0240_magby.json::magby-1::001</t>
        </is>
      </c>
      <c r="B1023" s="19" t="inlineStr">
        <is>
          <t>사용</t>
        </is>
      </c>
      <c r="C1023" s="18">
        <f>IF(OR(B1023&lt;&gt;AK1023,M1023&lt;&gt;L1023,O1023&lt;&gt;"",Q1023&lt;&gt;"",V1023&lt;&gt;1,Y1023&lt;&gt;"",AT1023&lt;&gt;""),"수정","원본")</f>
        <v/>
      </c>
      <c r="D1023" s="18" t="n">
        <v>240</v>
      </c>
      <c r="E1023" s="18" t="inlineStr">
        <is>
          <t>마그비</t>
        </is>
      </c>
      <c r="F1023" s="18" t="inlineStr">
        <is>
          <t>magby</t>
        </is>
      </c>
      <c r="G1023" s="18" t="inlineStr">
        <is>
          <t>magby</t>
        </is>
      </c>
      <c r="H1023" s="18" t="inlineStr"/>
      <c r="I1023" s="18" t="n">
        <v>2</v>
      </c>
      <c r="J1023" s="18" t="n"/>
      <c r="K1023" s="18" t="n">
        <v>2</v>
      </c>
      <c r="L1023" s="18" t="inlineStr">
        <is>
          <t>cobbleventure:generation_2</t>
        </is>
      </c>
      <c r="M1023" s="19" t="inlineStr">
        <is>
          <t>cobbleventure:generation_2</t>
        </is>
      </c>
      <c r="N1023" s="18" t="inlineStr"/>
      <c r="O1023" s="19" t="inlineStr"/>
      <c r="P1023" s="18" t="inlineStr">
        <is>
          <t>#cobblemon:is_hills</t>
        </is>
      </c>
      <c r="Q1023" s="19" t="inlineStr"/>
      <c r="R1023" s="18">
        <f>IF(Q1023="",P1023,Q1023)</f>
        <v/>
      </c>
      <c r="S1023" s="18" t="inlineStr">
        <is>
          <t>#cobblemon:is_volcanic</t>
        </is>
      </c>
      <c r="T1023" s="18" t="inlineStr">
        <is>
          <t>common</t>
        </is>
      </c>
      <c r="U1023" s="20" t="n">
        <v>9</v>
      </c>
      <c r="V1023" s="21" t="n">
        <v>1</v>
      </c>
      <c r="W1023" s="20">
        <f>IF(OR(U1023="",V1023=""),U1023,U1023*V1023)</f>
        <v/>
      </c>
      <c r="X1023" s="18" t="inlineStr">
        <is>
          <t>11-36</t>
        </is>
      </c>
      <c r="Y1023" s="19" t="inlineStr"/>
      <c r="Z1023" s="18">
        <f>IF(Y1023="",X1023,Y1023)</f>
        <v/>
      </c>
      <c r="AA1023" s="18" t="inlineStr">
        <is>
          <t>grounded</t>
        </is>
      </c>
      <c r="AB1023" s="18" t="inlineStr"/>
      <c r="AC1023" s="18" t="inlineStr">
        <is>
          <t>비=False</t>
        </is>
      </c>
      <c r="AD1023" s="18" t="inlineStr"/>
      <c r="AE1023" s="18" t="inlineStr">
        <is>
          <t>sky 8-15</t>
        </is>
      </c>
      <c r="AF1023" s="18" t="inlineStr"/>
      <c r="AG1023" s="18" t="inlineStr"/>
      <c r="AH1023" s="18" t="inlineStr">
        <is>
          <t>주변=minecraft:lava; minecraft:magma_block</t>
        </is>
      </c>
      <c r="AI1023" s="18" t="inlineStr"/>
      <c r="AJ1023" s="18" t="inlineStr">
        <is>
          <t>Cobblemon 동일</t>
        </is>
      </c>
      <c r="AK1023" s="18" t="inlineStr">
        <is>
          <t>사용</t>
        </is>
      </c>
      <c r="AL1023" s="18" t="inlineStr">
        <is>
          <t>COBBLEVERSE 1.7.42 / DP v31</t>
        </is>
      </c>
      <c r="AM1023" s="18" t="inlineStr">
        <is>
          <t>data/cobblemon/spawn_pool_world/0240_magby.json</t>
        </is>
      </c>
      <c r="AN1023" s="18" t="inlineStr">
        <is>
          <t>magby-1</t>
        </is>
      </c>
      <c r="AO1023" s="18" t="inlineStr">
        <is>
          <t>pokemon</t>
        </is>
      </c>
      <c r="AP1023" s="18" t="inlineStr">
        <is>
          <t>natural</t>
        </is>
      </c>
      <c r="AQ1023" s="18" t="inlineStr">
        <is>
          <t>{"biomes":["#cobblemon:is_hills"],"isRaining":false,"maxSkyLight":15,"minSkyLight":8,"neededNearbyBlocks":["minecraft:lava","minecraft:magma_block"]}</t>
        </is>
      </c>
      <c r="AR1023" s="18" t="inlineStr">
        <is>
          <t>{"biomes":["#cobblemon:is_volcanic"]}</t>
        </is>
      </c>
      <c r="AS1023" s="18" t="inlineStr"/>
      <c r="AT1023" s="19" t="inlineStr"/>
    </row>
    <row r="1024" ht="32" customHeight="1">
      <c r="A1024" s="18" t="inlineStr">
        <is>
          <t>0240_magby.json::magby-2::002</t>
        </is>
      </c>
      <c r="B1024" s="19" t="inlineStr">
        <is>
          <t>사용</t>
        </is>
      </c>
      <c r="C1024" s="18">
        <f>IF(OR(B1024&lt;&gt;AK1024,M1024&lt;&gt;L1024,O1024&lt;&gt;"",Q1024&lt;&gt;"",V1024&lt;&gt;1,Y1024&lt;&gt;"",AT1024&lt;&gt;""),"수정","원본")</f>
        <v/>
      </c>
      <c r="D1024" s="18" t="n">
        <v>240</v>
      </c>
      <c r="E1024" s="18" t="inlineStr">
        <is>
          <t>마그비</t>
        </is>
      </c>
      <c r="F1024" s="18" t="inlineStr">
        <is>
          <t>magby</t>
        </is>
      </c>
      <c r="G1024" s="18" t="inlineStr">
        <is>
          <t>magby</t>
        </is>
      </c>
      <c r="H1024" s="18" t="inlineStr"/>
      <c r="I1024" s="18" t="n">
        <v>2</v>
      </c>
      <c r="J1024" s="18" t="n"/>
      <c r="K1024" s="18" t="n">
        <v>2</v>
      </c>
      <c r="L1024" s="18" t="inlineStr">
        <is>
          <t>cobbleventure:generation_2</t>
        </is>
      </c>
      <c r="M1024" s="19" t="inlineStr">
        <is>
          <t>cobbleventure:generation_2</t>
        </is>
      </c>
      <c r="N1024" s="18" t="inlineStr"/>
      <c r="O1024" s="19" t="inlineStr"/>
      <c r="P1024" s="18" t="inlineStr">
        <is>
          <t>#cobblemon:is_volcanic</t>
        </is>
      </c>
      <c r="Q1024" s="19" t="inlineStr"/>
      <c r="R1024" s="18">
        <f>IF(Q1024="",P1024,Q1024)</f>
        <v/>
      </c>
      <c r="S1024" s="18" t="inlineStr"/>
      <c r="T1024" s="18" t="inlineStr">
        <is>
          <t>common</t>
        </is>
      </c>
      <c r="U1024" s="20" t="n">
        <v>9</v>
      </c>
      <c r="V1024" s="21" t="n">
        <v>1</v>
      </c>
      <c r="W1024" s="20">
        <f>IF(OR(U1024="",V1024=""),U1024,U1024*V1024)</f>
        <v/>
      </c>
      <c r="X1024" s="18" t="inlineStr">
        <is>
          <t>11-36</t>
        </is>
      </c>
      <c r="Y1024" s="19" t="inlineStr"/>
      <c r="Z1024" s="18">
        <f>IF(Y1024="",X1024,Y1024)</f>
        <v/>
      </c>
      <c r="AA1024" s="18" t="inlineStr">
        <is>
          <t>grounded</t>
        </is>
      </c>
      <c r="AB1024" s="18" t="inlineStr"/>
      <c r="AC1024" s="18" t="inlineStr">
        <is>
          <t>비=False</t>
        </is>
      </c>
      <c r="AD1024" s="18" t="inlineStr"/>
      <c r="AE1024" s="18" t="inlineStr">
        <is>
          <t>sky 8-15</t>
        </is>
      </c>
      <c r="AF1024" s="18" t="inlineStr"/>
      <c r="AG1024" s="18" t="inlineStr"/>
      <c r="AH1024" s="18" t="inlineStr"/>
      <c r="AI1024" s="18" t="inlineStr"/>
      <c r="AJ1024" s="18" t="inlineStr">
        <is>
          <t>Cobblemon 동일</t>
        </is>
      </c>
      <c r="AK1024" s="18" t="inlineStr">
        <is>
          <t>사용</t>
        </is>
      </c>
      <c r="AL1024" s="18" t="inlineStr">
        <is>
          <t>COBBLEVERSE 1.7.42 / DP v31</t>
        </is>
      </c>
      <c r="AM1024" s="18" t="inlineStr">
        <is>
          <t>data/cobblemon/spawn_pool_world/0240_magby.json</t>
        </is>
      </c>
      <c r="AN1024" s="18" t="inlineStr">
        <is>
          <t>magby-2</t>
        </is>
      </c>
      <c r="AO1024" s="18" t="inlineStr">
        <is>
          <t>pokemon</t>
        </is>
      </c>
      <c r="AP1024" s="18" t="inlineStr">
        <is>
          <t>natural</t>
        </is>
      </c>
      <c r="AQ1024" s="18" t="inlineStr">
        <is>
          <t>{"biomes":["#cobblemon:is_volcanic"],"isRaining":false,"maxSkyLight":15,"minSkyLight":8}</t>
        </is>
      </c>
      <c r="AR1024" s="18" t="inlineStr"/>
      <c r="AS1024" s="18" t="inlineStr"/>
      <c r="AT1024" s="19" t="inlineStr"/>
    </row>
    <row r="1025" ht="32" customHeight="1">
      <c r="A1025" s="18" t="inlineStr">
        <is>
          <t>0240_magby.json::magby-3::003</t>
        </is>
      </c>
      <c r="B1025" s="19" t="inlineStr">
        <is>
          <t>사용</t>
        </is>
      </c>
      <c r="C1025" s="18">
        <f>IF(OR(B1025&lt;&gt;AK1025,M1025&lt;&gt;L1025,O1025&lt;&gt;"",Q1025&lt;&gt;"",V1025&lt;&gt;1,Y1025&lt;&gt;"",AT1025&lt;&gt;""),"수정","원본")</f>
        <v/>
      </c>
      <c r="D1025" s="18" t="n">
        <v>240</v>
      </c>
      <c r="E1025" s="18" t="inlineStr">
        <is>
          <t>마그비</t>
        </is>
      </c>
      <c r="F1025" s="18" t="inlineStr">
        <is>
          <t>magby</t>
        </is>
      </c>
      <c r="G1025" s="18" t="inlineStr">
        <is>
          <t>magby</t>
        </is>
      </c>
      <c r="H1025" s="18" t="inlineStr"/>
      <c r="I1025" s="18" t="n">
        <v>2</v>
      </c>
      <c r="J1025" s="18" t="n"/>
      <c r="K1025" s="18" t="n">
        <v>2</v>
      </c>
      <c r="L1025" s="18" t="inlineStr">
        <is>
          <t>cobbleventure:generation_2</t>
        </is>
      </c>
      <c r="M1025" s="19" t="inlineStr">
        <is>
          <t>cobbleventure:generation_2</t>
        </is>
      </c>
      <c r="N1025" s="18" t="inlineStr"/>
      <c r="O1025" s="19" t="inlineStr"/>
      <c r="P1025" s="18" t="inlineStr">
        <is>
          <t>#cobblemon:nether/is_basalt; #cobblemon:nether/is_wasteland</t>
        </is>
      </c>
      <c r="Q1025" s="19" t="inlineStr"/>
      <c r="R1025" s="18">
        <f>IF(Q1025="",P1025,Q1025)</f>
        <v/>
      </c>
      <c r="S1025" s="18" t="inlineStr"/>
      <c r="T1025" s="18" t="inlineStr">
        <is>
          <t>common</t>
        </is>
      </c>
      <c r="U1025" s="20" t="n">
        <v>9</v>
      </c>
      <c r="V1025" s="21" t="n">
        <v>1</v>
      </c>
      <c r="W1025" s="20">
        <f>IF(OR(U1025="",V1025=""),U1025,U1025*V1025)</f>
        <v/>
      </c>
      <c r="X1025" s="18" t="inlineStr">
        <is>
          <t>11-36</t>
        </is>
      </c>
      <c r="Y1025" s="19" t="inlineStr"/>
      <c r="Z1025" s="18">
        <f>IF(Y1025="",X1025,Y1025)</f>
        <v/>
      </c>
      <c r="AA1025" s="18" t="inlineStr">
        <is>
          <t>grounded</t>
        </is>
      </c>
      <c r="AB1025" s="18" t="inlineStr"/>
      <c r="AC1025" s="18" t="inlineStr"/>
      <c r="AD1025" s="18" t="inlineStr"/>
      <c r="AE1025" s="18" t="inlineStr"/>
      <c r="AF1025" s="18" t="inlineStr"/>
      <c r="AG1025" s="18" t="inlineStr"/>
      <c r="AH1025" s="18" t="inlineStr"/>
      <c r="AI1025" s="18" t="inlineStr">
        <is>
          <t>{"spawn":{"drops":{"amount":3,"entries":[{"item":"minecraft:blaze_powder","percentage":5.0},{"item":"cobblemon:magmarizer","percentage":2.5},{"item":"cobblemon:rawst_berry","percentage":2.5}]}}}</t>
        </is>
      </c>
      <c r="AJ1025" s="18" t="inlineStr">
        <is>
          <t>Cobblemon 동일</t>
        </is>
      </c>
      <c r="AK1025" s="18" t="inlineStr">
        <is>
          <t>사용</t>
        </is>
      </c>
      <c r="AL1025" s="18" t="inlineStr">
        <is>
          <t>COBBLEVERSE 1.7.42 / DP v31</t>
        </is>
      </c>
      <c r="AM1025" s="18" t="inlineStr">
        <is>
          <t>data/cobblemon/spawn_pool_world/0240_magby.json</t>
        </is>
      </c>
      <c r="AN1025" s="18" t="inlineStr">
        <is>
          <t>magby-3</t>
        </is>
      </c>
      <c r="AO1025" s="18" t="inlineStr">
        <is>
          <t>pokemon</t>
        </is>
      </c>
      <c r="AP1025" s="18" t="inlineStr">
        <is>
          <t>natural</t>
        </is>
      </c>
      <c r="AQ1025" s="18" t="inlineStr">
        <is>
          <t>{"biomes":["#cobblemon:nether/is_basalt","#cobblemon:nether/is_wasteland"]}</t>
        </is>
      </c>
      <c r="AR1025" s="18" t="inlineStr"/>
      <c r="AS1025" s="18" t="inlineStr"/>
      <c r="AT1025" s="19" t="inlineStr"/>
    </row>
    <row r="1026" ht="32" customHeight="1">
      <c r="A1026" s="18" t="inlineStr">
        <is>
          <t>0241_miltank.json::miltank-1::001</t>
        </is>
      </c>
      <c r="B1026" s="19" t="inlineStr">
        <is>
          <t>사용</t>
        </is>
      </c>
      <c r="C1026" s="18">
        <f>IF(OR(B1026&lt;&gt;AK1026,M1026&lt;&gt;L1026,O1026&lt;&gt;"",Q1026&lt;&gt;"",V1026&lt;&gt;1,Y1026&lt;&gt;"",AT1026&lt;&gt;""),"수정","원본")</f>
        <v/>
      </c>
      <c r="D1026" s="18" t="n">
        <v>241</v>
      </c>
      <c r="E1026" s="18" t="inlineStr">
        <is>
          <t>밀탱크</t>
        </is>
      </c>
      <c r="F1026" s="18" t="inlineStr">
        <is>
          <t>miltank</t>
        </is>
      </c>
      <c r="G1026" s="18" t="inlineStr">
        <is>
          <t>miltank</t>
        </is>
      </c>
      <c r="H1026" s="18" t="inlineStr"/>
      <c r="I1026" s="18" t="n">
        <v>2</v>
      </c>
      <c r="J1026" s="18" t="n"/>
      <c r="K1026" s="18" t="n">
        <v>2</v>
      </c>
      <c r="L1026" s="18" t="inlineStr">
        <is>
          <t>cobbleventure:generation_2</t>
        </is>
      </c>
      <c r="M1026" s="19" t="inlineStr">
        <is>
          <t>cobbleventure:generation_2</t>
        </is>
      </c>
      <c r="N1026" s="18" t="inlineStr">
        <is>
          <t>region_01</t>
        </is>
      </c>
      <c r="O1026" s="19" t="inlineStr"/>
      <c r="P1026" s="18" t="inlineStr">
        <is>
          <t>#cobblemon:is_grassland</t>
        </is>
      </c>
      <c r="Q1026" s="19" t="inlineStr"/>
      <c r="R1026" s="18">
        <f>IF(Q1026="",P1026,Q1026)</f>
        <v/>
      </c>
      <c r="S1026" s="18" t="inlineStr"/>
      <c r="T1026" s="18" t="inlineStr">
        <is>
          <t>common</t>
        </is>
      </c>
      <c r="U1026" s="20" t="n">
        <v>6</v>
      </c>
      <c r="V1026" s="21" t="n">
        <v>1</v>
      </c>
      <c r="W1026" s="20">
        <f>IF(OR(U1026="",V1026=""),U1026,U1026*V1026)</f>
        <v/>
      </c>
      <c r="X1026" s="18" t="inlineStr">
        <is>
          <t>24-49</t>
        </is>
      </c>
      <c r="Y1026" s="19" t="inlineStr"/>
      <c r="Z1026" s="18">
        <f>IF(Y1026="",X1026,Y1026)</f>
        <v/>
      </c>
      <c r="AA1026" s="18" t="inlineStr">
        <is>
          <t>grounded</t>
        </is>
      </c>
      <c r="AB1026" s="18" t="inlineStr"/>
      <c r="AC1026" s="18" t="inlineStr"/>
      <c r="AD1026" s="18" t="inlineStr"/>
      <c r="AE1026" s="18" t="inlineStr">
        <is>
          <t>sky 8-15</t>
        </is>
      </c>
      <c r="AF1026" s="18" t="inlineStr"/>
      <c r="AG1026" s="18" t="inlineStr"/>
      <c r="AH1026" s="18" t="inlineStr"/>
      <c r="AI1026" s="18" t="inlineStr"/>
      <c r="AJ1026" s="18" t="inlineStr">
        <is>
          <t>Cobblemon 동일</t>
        </is>
      </c>
      <c r="AK1026" s="18" t="inlineStr">
        <is>
          <t>사용</t>
        </is>
      </c>
      <c r="AL1026" s="18" t="inlineStr">
        <is>
          <t>COBBLEVERSE 1.7.42 / DP v31</t>
        </is>
      </c>
      <c r="AM1026" s="18" t="inlineStr">
        <is>
          <t>data/cobblemon/spawn_pool_world/0241_miltank.json</t>
        </is>
      </c>
      <c r="AN1026" s="18" t="inlineStr">
        <is>
          <t>miltank-1</t>
        </is>
      </c>
      <c r="AO1026" s="18" t="inlineStr">
        <is>
          <t>pokemon</t>
        </is>
      </c>
      <c r="AP1026" s="18" t="inlineStr">
        <is>
          <t>natural</t>
        </is>
      </c>
      <c r="AQ1026" s="18" t="inlineStr">
        <is>
          <t>{"biomes":["#cobblemon:is_grassland"],"maxSkyLight":15,"minSkyLight":8}</t>
        </is>
      </c>
      <c r="AR1026" s="18" t="inlineStr"/>
      <c r="AS1026" s="18" t="inlineStr">
        <is>
          <t>{"weightMultiplier":{"condition":{"timeRange":"night"},"multiplier":0.25}}</t>
        </is>
      </c>
      <c r="AT1026" s="19" t="inlineStr"/>
    </row>
    <row r="1027" ht="32" customHeight="1">
      <c r="A1027" s="18" t="inlineStr">
        <is>
          <t>0241_miltank.json::miltank-red-2::002</t>
        </is>
      </c>
      <c r="B1027" s="19" t="inlineStr">
        <is>
          <t>사용</t>
        </is>
      </c>
      <c r="C1027" s="18">
        <f>IF(OR(B1027&lt;&gt;AK1027,M1027&lt;&gt;L1027,O1027&lt;&gt;"",Q1027&lt;&gt;"",V1027&lt;&gt;1,Y1027&lt;&gt;"",AT1027&lt;&gt;""),"수정","원본")</f>
        <v/>
      </c>
      <c r="D1027" s="18" t="n">
        <v>241</v>
      </c>
      <c r="E1027" s="18" t="inlineStr">
        <is>
          <t>밀탱크</t>
        </is>
      </c>
      <c r="F1027" s="18" t="inlineStr">
        <is>
          <t>miltank</t>
        </is>
      </c>
      <c r="G1027" s="18" t="inlineStr">
        <is>
          <t>miltank mooshtank=red</t>
        </is>
      </c>
      <c r="H1027" s="18" t="inlineStr">
        <is>
          <t>mooshtank=red</t>
        </is>
      </c>
      <c r="I1027" s="18" t="n">
        <v>2</v>
      </c>
      <c r="J1027" s="18" t="n"/>
      <c r="K1027" s="18" t="n">
        <v>2</v>
      </c>
      <c r="L1027" s="18" t="inlineStr">
        <is>
          <t>cobbleventure:generation_2</t>
        </is>
      </c>
      <c r="M1027" s="19" t="inlineStr">
        <is>
          <t>cobbleventure:generation_2</t>
        </is>
      </c>
      <c r="N1027" s="18" t="inlineStr"/>
      <c r="O1027" s="19" t="inlineStr"/>
      <c r="P1027" s="18" t="inlineStr">
        <is>
          <t>minecraft:mushroom_fields</t>
        </is>
      </c>
      <c r="Q1027" s="19" t="inlineStr"/>
      <c r="R1027" s="18">
        <f>IF(Q1027="",P1027,Q1027)</f>
        <v/>
      </c>
      <c r="S1027" s="18" t="inlineStr"/>
      <c r="T1027" s="18" t="inlineStr">
        <is>
          <t>common</t>
        </is>
      </c>
      <c r="U1027" s="20" t="n">
        <v>9.9</v>
      </c>
      <c r="V1027" s="21" t="n">
        <v>1</v>
      </c>
      <c r="W1027" s="20">
        <f>IF(OR(U1027="",V1027=""),U1027,U1027*V1027)</f>
        <v/>
      </c>
      <c r="X1027" s="18" t="inlineStr">
        <is>
          <t>24-49</t>
        </is>
      </c>
      <c r="Y1027" s="19" t="inlineStr"/>
      <c r="Z1027" s="18">
        <f>IF(Y1027="",X1027,Y1027)</f>
        <v/>
      </c>
      <c r="AA1027" s="18" t="inlineStr">
        <is>
          <t>grounded</t>
        </is>
      </c>
      <c r="AB1027" s="18" t="inlineStr"/>
      <c r="AC1027" s="18" t="inlineStr"/>
      <c r="AD1027" s="18" t="inlineStr"/>
      <c r="AE1027" s="18" t="inlineStr">
        <is>
          <t>sky 8-15</t>
        </is>
      </c>
      <c r="AF1027" s="18" t="inlineStr"/>
      <c r="AG1027" s="18" t="inlineStr"/>
      <c r="AH1027" s="18" t="inlineStr"/>
      <c r="AI1027" s="18" t="inlineStr"/>
      <c r="AJ1027" s="18" t="inlineStr">
        <is>
          <t>Cobblemon 동일</t>
        </is>
      </c>
      <c r="AK1027" s="18" t="inlineStr">
        <is>
          <t>사용</t>
        </is>
      </c>
      <c r="AL1027" s="18" t="inlineStr">
        <is>
          <t>COBBLEVERSE 1.7.42 / DP v31</t>
        </is>
      </c>
      <c r="AM1027" s="18" t="inlineStr">
        <is>
          <t>data/cobblemon/spawn_pool_world/0241_miltank.json</t>
        </is>
      </c>
      <c r="AN1027" s="18" t="inlineStr">
        <is>
          <t>miltank-red-2</t>
        </is>
      </c>
      <c r="AO1027" s="18" t="inlineStr">
        <is>
          <t>pokemon</t>
        </is>
      </c>
      <c r="AP1027" s="18" t="inlineStr">
        <is>
          <t>natural</t>
        </is>
      </c>
      <c r="AQ1027" s="18" t="inlineStr">
        <is>
          <t>{"biomes":["minecraft:mushroom_fields"],"maxSkyLight":15,"minSkyLight":8}</t>
        </is>
      </c>
      <c r="AR1027" s="18" t="inlineStr"/>
      <c r="AS1027" s="18" t="inlineStr">
        <is>
          <t>{"weightMultiplier":{"condition":{"timeRange":"night"},"multiplier":0.25}}</t>
        </is>
      </c>
      <c r="AT1027" s="19" t="inlineStr"/>
    </row>
    <row r="1028" ht="32" customHeight="1">
      <c r="A1028" s="18" t="inlineStr">
        <is>
          <t>0241_miltank.json::miltank-brown-3::003</t>
        </is>
      </c>
      <c r="B1028" s="19" t="inlineStr">
        <is>
          <t>사용</t>
        </is>
      </c>
      <c r="C1028" s="18">
        <f>IF(OR(B1028&lt;&gt;AK1028,M1028&lt;&gt;L1028,O1028&lt;&gt;"",Q1028&lt;&gt;"",V1028&lt;&gt;1,Y1028&lt;&gt;"",AT1028&lt;&gt;""),"수정","원본")</f>
        <v/>
      </c>
      <c r="D1028" s="18" t="n">
        <v>241</v>
      </c>
      <c r="E1028" s="18" t="inlineStr">
        <is>
          <t>밀탱크</t>
        </is>
      </c>
      <c r="F1028" s="18" t="inlineStr">
        <is>
          <t>miltank</t>
        </is>
      </c>
      <c r="G1028" s="18" t="inlineStr">
        <is>
          <t>miltank mooshtank=brown</t>
        </is>
      </c>
      <c r="H1028" s="18" t="inlineStr">
        <is>
          <t>mooshtank=brown</t>
        </is>
      </c>
      <c r="I1028" s="18" t="n">
        <v>2</v>
      </c>
      <c r="J1028" s="18" t="n"/>
      <c r="K1028" s="18" t="n">
        <v>2</v>
      </c>
      <c r="L1028" s="18" t="inlineStr">
        <is>
          <t>cobbleventure:generation_2</t>
        </is>
      </c>
      <c r="M1028" s="19" t="inlineStr">
        <is>
          <t>cobbleventure:generation_2</t>
        </is>
      </c>
      <c r="N1028" s="18" t="inlineStr"/>
      <c r="O1028" s="19" t="inlineStr"/>
      <c r="P1028" s="18" t="inlineStr">
        <is>
          <t>minecraft:mushroom_fields</t>
        </is>
      </c>
      <c r="Q1028" s="19" t="inlineStr"/>
      <c r="R1028" s="18">
        <f>IF(Q1028="",P1028,Q1028)</f>
        <v/>
      </c>
      <c r="S1028" s="18" t="inlineStr"/>
      <c r="T1028" s="18" t="inlineStr">
        <is>
          <t>common</t>
        </is>
      </c>
      <c r="U1028" s="20" t="n">
        <v>0.1</v>
      </c>
      <c r="V1028" s="21" t="n">
        <v>1</v>
      </c>
      <c r="W1028" s="20">
        <f>IF(OR(U1028="",V1028=""),U1028,U1028*V1028)</f>
        <v/>
      </c>
      <c r="X1028" s="18" t="inlineStr">
        <is>
          <t>24-49</t>
        </is>
      </c>
      <c r="Y1028" s="19" t="inlineStr"/>
      <c r="Z1028" s="18">
        <f>IF(Y1028="",X1028,Y1028)</f>
        <v/>
      </c>
      <c r="AA1028" s="18" t="inlineStr">
        <is>
          <t>grounded</t>
        </is>
      </c>
      <c r="AB1028" s="18" t="inlineStr"/>
      <c r="AC1028" s="18" t="inlineStr"/>
      <c r="AD1028" s="18" t="inlineStr"/>
      <c r="AE1028" s="18" t="inlineStr">
        <is>
          <t>sky 8-15</t>
        </is>
      </c>
      <c r="AF1028" s="18" t="inlineStr"/>
      <c r="AG1028" s="18" t="inlineStr"/>
      <c r="AH1028" s="18" t="inlineStr"/>
      <c r="AI1028" s="18" t="inlineStr"/>
      <c r="AJ1028" s="18" t="inlineStr">
        <is>
          <t>Cobblemon 동일</t>
        </is>
      </c>
      <c r="AK1028" s="18" t="inlineStr">
        <is>
          <t>사용</t>
        </is>
      </c>
      <c r="AL1028" s="18" t="inlineStr">
        <is>
          <t>COBBLEVERSE 1.7.42 / DP v31</t>
        </is>
      </c>
      <c r="AM1028" s="18" t="inlineStr">
        <is>
          <t>data/cobblemon/spawn_pool_world/0241_miltank.json</t>
        </is>
      </c>
      <c r="AN1028" s="18" t="inlineStr">
        <is>
          <t>miltank-brown-3</t>
        </is>
      </c>
      <c r="AO1028" s="18" t="inlineStr">
        <is>
          <t>pokemon</t>
        </is>
      </c>
      <c r="AP1028" s="18" t="inlineStr">
        <is>
          <t>natural</t>
        </is>
      </c>
      <c r="AQ1028" s="18" t="inlineStr">
        <is>
          <t>{"biomes":["minecraft:mushroom_fields"],"maxSkyLight":15,"minSkyLight":8}</t>
        </is>
      </c>
      <c r="AR1028" s="18" t="inlineStr"/>
      <c r="AS1028" s="18" t="inlineStr">
        <is>
          <t>{"weightMultiplier":{"condition":{"timeRange":"night"},"multiplier":0.25}}</t>
        </is>
      </c>
      <c r="AT1028" s="19" t="inlineStr"/>
    </row>
    <row r="1029" ht="32" customHeight="1">
      <c r="A1029" s="18" t="inlineStr">
        <is>
          <t>0242_blissey.json::blissey-1::001</t>
        </is>
      </c>
      <c r="B1029" s="19" t="inlineStr">
        <is>
          <t>사용</t>
        </is>
      </c>
      <c r="C1029" s="18">
        <f>IF(OR(B1029&lt;&gt;AK1029,M1029&lt;&gt;L1029,O1029&lt;&gt;"",Q1029&lt;&gt;"",V1029&lt;&gt;1,Y1029&lt;&gt;"",AT1029&lt;&gt;""),"수정","원본")</f>
        <v/>
      </c>
      <c r="D1029" s="18" t="n">
        <v>242</v>
      </c>
      <c r="E1029" s="18" t="inlineStr">
        <is>
          <t>해피너스</t>
        </is>
      </c>
      <c r="F1029" s="18" t="inlineStr">
        <is>
          <t>blissey</t>
        </is>
      </c>
      <c r="G1029" s="18" t="inlineStr">
        <is>
          <t>blissey</t>
        </is>
      </c>
      <c r="H1029" s="18" t="inlineStr"/>
      <c r="I1029" s="18" t="n">
        <v>2</v>
      </c>
      <c r="J1029" s="18" t="n"/>
      <c r="K1029" s="18" t="n">
        <v>2</v>
      </c>
      <c r="L1029" s="18" t="inlineStr">
        <is>
          <t>cobbleventure:generation_2</t>
        </is>
      </c>
      <c r="M1029" s="19" t="inlineStr">
        <is>
          <t>cobbleventure:generation_2</t>
        </is>
      </c>
      <c r="N1029" s="18" t="inlineStr">
        <is>
          <t>region_01; region_02</t>
        </is>
      </c>
      <c r="O1029" s="19" t="inlineStr"/>
      <c r="P1029" s="18" t="inlineStr">
        <is>
          <t>#cobblemon:is_overworld</t>
        </is>
      </c>
      <c r="Q1029" s="19" t="inlineStr"/>
      <c r="R1029" s="18">
        <f>IF(Q1029="",P1029,Q1029)</f>
        <v/>
      </c>
      <c r="S1029" s="18" t="inlineStr"/>
      <c r="T1029" s="18" t="inlineStr">
        <is>
          <t>rare</t>
        </is>
      </c>
      <c r="U1029" s="20" t="n">
        <v>0.125</v>
      </c>
      <c r="V1029" s="21" t="n">
        <v>1</v>
      </c>
      <c r="W1029" s="20">
        <f>IF(OR(U1029="",V1029=""),U1029,U1029*V1029)</f>
        <v/>
      </c>
      <c r="X1029" s="18" t="inlineStr">
        <is>
          <t>40-54</t>
        </is>
      </c>
      <c r="Y1029" s="19" t="inlineStr"/>
      <c r="Z1029" s="18">
        <f>IF(Y1029="",X1029,Y1029)</f>
        <v/>
      </c>
      <c r="AA1029" s="18" t="inlineStr">
        <is>
          <t>grounded</t>
        </is>
      </c>
      <c r="AB1029" s="18" t="inlineStr"/>
      <c r="AC1029" s="18" t="inlineStr"/>
      <c r="AD1029" s="18" t="inlineStr"/>
      <c r="AE1029" s="18" t="inlineStr">
        <is>
          <t>sky 8-15</t>
        </is>
      </c>
      <c r="AF1029" s="18" t="inlineStr"/>
      <c r="AG1029" s="18" t="inlineStr"/>
      <c r="AH1029" s="18" t="inlineStr"/>
      <c r="AI1029" s="18" t="inlineStr"/>
      <c r="AJ1029" s="18" t="inlineStr">
        <is>
          <t>COBBLEVERSE 수정</t>
        </is>
      </c>
      <c r="AK1029" s="18" t="inlineStr">
        <is>
          <t>사용</t>
        </is>
      </c>
      <c r="AL1029" s="18" t="inlineStr">
        <is>
          <t>COBBLEVERSE 1.7.42 / DP v31</t>
        </is>
      </c>
      <c r="AM1029" s="18" t="inlineStr">
        <is>
          <t>data/cobblemon/spawn_pool_world/0242_blissey.json</t>
        </is>
      </c>
      <c r="AN1029" s="18" t="inlineStr">
        <is>
          <t>blissey-1</t>
        </is>
      </c>
      <c r="AO1029" s="18" t="inlineStr">
        <is>
          <t>pokemon</t>
        </is>
      </c>
      <c r="AP1029" s="18" t="inlineStr">
        <is>
          <t>natural</t>
        </is>
      </c>
      <c r="AQ1029" s="18" t="inlineStr">
        <is>
          <t>{"biomes":["#cobblemon:is_overworld"],"maxSkyLight":15,"minSkyLight":8}</t>
        </is>
      </c>
      <c r="AR1029" s="18" t="inlineStr"/>
      <c r="AS1029" s="18" t="inlineStr">
        <is>
          <t>{"weightMultiplier":{"condition":{"timeRange":"night"},"multiplier":0.25}}</t>
        </is>
      </c>
      <c r="AT1029" s="19" t="inlineStr"/>
    </row>
    <row r="1030" ht="32" customHeight="1">
      <c r="A1030" s="18" t="inlineStr">
        <is>
          <t>0242_blissey.json::blissey-2::002</t>
        </is>
      </c>
      <c r="B1030" s="19" t="inlineStr">
        <is>
          <t>사용</t>
        </is>
      </c>
      <c r="C1030" s="18">
        <f>IF(OR(B1030&lt;&gt;AK1030,M1030&lt;&gt;L1030,O1030&lt;&gt;"",Q1030&lt;&gt;"",V1030&lt;&gt;1,Y1030&lt;&gt;"",AT1030&lt;&gt;""),"수정","원본")</f>
        <v/>
      </c>
      <c r="D1030" s="18" t="n">
        <v>242</v>
      </c>
      <c r="E1030" s="18" t="inlineStr">
        <is>
          <t>해피너스</t>
        </is>
      </c>
      <c r="F1030" s="18" t="inlineStr">
        <is>
          <t>blissey</t>
        </is>
      </c>
      <c r="G1030" s="18" t="inlineStr">
        <is>
          <t>blissey</t>
        </is>
      </c>
      <c r="H1030" s="18" t="inlineStr"/>
      <c r="I1030" s="18" t="n">
        <v>2</v>
      </c>
      <c r="J1030" s="18" t="n"/>
      <c r="K1030" s="18" t="n">
        <v>2</v>
      </c>
      <c r="L1030" s="18" t="inlineStr">
        <is>
          <t>cobbleventure:generation_2</t>
        </is>
      </c>
      <c r="M1030" s="19" t="inlineStr">
        <is>
          <t>cobbleventure:generation_2</t>
        </is>
      </c>
      <c r="N1030" s="18" t="inlineStr">
        <is>
          <t>region_01; region_02</t>
        </is>
      </c>
      <c r="O1030" s="19" t="inlineStr"/>
      <c r="P1030" s="18" t="inlineStr">
        <is>
          <t>#cobblemon:is_overworld</t>
        </is>
      </c>
      <c r="Q1030" s="19" t="inlineStr"/>
      <c r="R1030" s="18">
        <f>IF(Q1030="",P1030,Q1030)</f>
        <v/>
      </c>
      <c r="S1030" s="18" t="inlineStr"/>
      <c r="T1030" s="18" t="inlineStr">
        <is>
          <t>rare</t>
        </is>
      </c>
      <c r="U1030" s="20" t="n">
        <v>0.125</v>
      </c>
      <c r="V1030" s="21" t="n">
        <v>1</v>
      </c>
      <c r="W1030" s="20">
        <f>IF(OR(U1030="",V1030=""),U1030,U1030*V1030)</f>
        <v/>
      </c>
      <c r="X1030" s="18" t="inlineStr">
        <is>
          <t>40-54</t>
        </is>
      </c>
      <c r="Y1030" s="19" t="inlineStr"/>
      <c r="Z1030" s="18">
        <f>IF(Y1030="",X1030,Y1030)</f>
        <v/>
      </c>
      <c r="AA1030" s="18" t="inlineStr">
        <is>
          <t>grounded</t>
        </is>
      </c>
      <c r="AB1030" s="18" t="inlineStr"/>
      <c r="AC1030" s="18" t="inlineStr"/>
      <c r="AD1030" s="18" t="inlineStr"/>
      <c r="AE1030" s="18" t="inlineStr">
        <is>
          <t>sky 8-15</t>
        </is>
      </c>
      <c r="AF1030" s="18" t="inlineStr"/>
      <c r="AG1030" s="18" t="inlineStr">
        <is>
          <t>#minecraft:village</t>
        </is>
      </c>
      <c r="AH1030" s="18" t="inlineStr"/>
      <c r="AI1030" s="18" t="inlineStr"/>
      <c r="AJ1030" s="18" t="inlineStr">
        <is>
          <t>COBBLEVERSE 수정</t>
        </is>
      </c>
      <c r="AK1030" s="18" t="inlineStr">
        <is>
          <t>사용</t>
        </is>
      </c>
      <c r="AL1030" s="18" t="inlineStr">
        <is>
          <t>COBBLEVERSE 1.7.42 / DP v31</t>
        </is>
      </c>
      <c r="AM1030" s="18" t="inlineStr">
        <is>
          <t>data/cobblemon/spawn_pool_world/0242_blissey.json</t>
        </is>
      </c>
      <c r="AN1030" s="18" t="inlineStr">
        <is>
          <t>blissey-2</t>
        </is>
      </c>
      <c r="AO1030" s="18" t="inlineStr">
        <is>
          <t>pokemon</t>
        </is>
      </c>
      <c r="AP1030" s="18" t="inlineStr">
        <is>
          <t>natural</t>
        </is>
      </c>
      <c r="AQ1030" s="18" t="inlineStr">
        <is>
          <t>{"biomes":["#cobblemon:is_overworld"],"maxSkyLight":15,"minSkyLight":8,"structures":["#minecraft:village"]}</t>
        </is>
      </c>
      <c r="AR1030" s="18" t="inlineStr"/>
      <c r="AS1030" s="18" t="inlineStr">
        <is>
          <t>{"weightMultiplier":{"condition":{"timeRange":"night"},"multiplier":0.25}}</t>
        </is>
      </c>
      <c r="AT1030" s="19" t="inlineStr"/>
    </row>
    <row r="1031" ht="32" customHeight="1">
      <c r="A1031" s="18" t="inlineStr">
        <is>
          <t>0242_blissey.json::blissey-3::003</t>
        </is>
      </c>
      <c r="B1031" s="19" t="inlineStr">
        <is>
          <t>사용</t>
        </is>
      </c>
      <c r="C1031" s="18">
        <f>IF(OR(B1031&lt;&gt;AK1031,M1031&lt;&gt;L1031,O1031&lt;&gt;"",Q1031&lt;&gt;"",V1031&lt;&gt;1,Y1031&lt;&gt;"",AT1031&lt;&gt;""),"수정","원본")</f>
        <v/>
      </c>
      <c r="D1031" s="18" t="n">
        <v>242</v>
      </c>
      <c r="E1031" s="18" t="inlineStr">
        <is>
          <t>해피너스</t>
        </is>
      </c>
      <c r="F1031" s="18" t="inlineStr">
        <is>
          <t>blissey</t>
        </is>
      </c>
      <c r="G1031" s="18" t="inlineStr">
        <is>
          <t>blissey</t>
        </is>
      </c>
      <c r="H1031" s="18" t="inlineStr"/>
      <c r="I1031" s="18" t="n">
        <v>2</v>
      </c>
      <c r="J1031" s="18" t="n"/>
      <c r="K1031" s="18" t="n">
        <v>2</v>
      </c>
      <c r="L1031" s="18" t="inlineStr">
        <is>
          <t>cobbleventure:generation_2</t>
        </is>
      </c>
      <c r="M1031" s="19" t="inlineStr">
        <is>
          <t>cobbleventure:generation_2</t>
        </is>
      </c>
      <c r="N1031" s="18" t="inlineStr"/>
      <c r="O1031" s="19" t="inlineStr"/>
      <c r="P1031" s="18" t="inlineStr">
        <is>
          <t>#aether:is_aether</t>
        </is>
      </c>
      <c r="Q1031" s="19" t="inlineStr"/>
      <c r="R1031" s="18">
        <f>IF(Q1031="",P1031,Q1031)</f>
        <v/>
      </c>
      <c r="S1031" s="18" t="inlineStr"/>
      <c r="T1031" s="18" t="inlineStr">
        <is>
          <t>rare</t>
        </is>
      </c>
      <c r="U1031" s="20" t="n">
        <v>0.125</v>
      </c>
      <c r="V1031" s="21" t="n">
        <v>1</v>
      </c>
      <c r="W1031" s="20">
        <f>IF(OR(U1031="",V1031=""),U1031,U1031*V1031)</f>
        <v/>
      </c>
      <c r="X1031" s="18" t="inlineStr">
        <is>
          <t>40-54</t>
        </is>
      </c>
      <c r="Y1031" s="19" t="inlineStr"/>
      <c r="Z1031" s="18">
        <f>IF(Y1031="",X1031,Y1031)</f>
        <v/>
      </c>
      <c r="AA1031" s="18" t="inlineStr">
        <is>
          <t>grounded</t>
        </is>
      </c>
      <c r="AB1031" s="18" t="inlineStr"/>
      <c r="AC1031" s="18" t="inlineStr"/>
      <c r="AD1031" s="18" t="inlineStr"/>
      <c r="AE1031" s="18" t="inlineStr">
        <is>
          <t>sky 8-15</t>
        </is>
      </c>
      <c r="AF1031" s="18" t="inlineStr"/>
      <c r="AG1031" s="18" t="inlineStr"/>
      <c r="AH1031" s="18" t="inlineStr"/>
      <c r="AI1031" s="18" t="inlineStr"/>
      <c r="AJ1031" s="18" t="inlineStr">
        <is>
          <t>COBBLEVERSE 수정</t>
        </is>
      </c>
      <c r="AK1031" s="18" t="inlineStr">
        <is>
          <t>사용</t>
        </is>
      </c>
      <c r="AL1031" s="18" t="inlineStr">
        <is>
          <t>COBBLEVERSE 1.7.42 / DP v31</t>
        </is>
      </c>
      <c r="AM1031" s="18" t="inlineStr">
        <is>
          <t>data/cobblemon/spawn_pool_world/0242_blissey.json</t>
        </is>
      </c>
      <c r="AN1031" s="18" t="inlineStr">
        <is>
          <t>blissey-3</t>
        </is>
      </c>
      <c r="AO1031" s="18" t="inlineStr">
        <is>
          <t>pokemon</t>
        </is>
      </c>
      <c r="AP1031" s="18" t="inlineStr">
        <is>
          <t>natural</t>
        </is>
      </c>
      <c r="AQ1031" s="18" t="inlineStr">
        <is>
          <t>{"biomes":["#aether:is_aether"],"maxSkyLight":15,"minSkyLight":8}</t>
        </is>
      </c>
      <c r="AR1031" s="18" t="inlineStr"/>
      <c r="AS1031" s="18" t="inlineStr"/>
      <c r="AT1031" s="19" t="inlineStr"/>
    </row>
    <row r="1032" ht="32" customHeight="1">
      <c r="A1032" s="18" t="inlineStr">
        <is>
          <t>0243_raikou.json::raikou-1::001</t>
        </is>
      </c>
      <c r="B1032" s="19" t="inlineStr">
        <is>
          <t>사용</t>
        </is>
      </c>
      <c r="C1032" s="18">
        <f>IF(OR(B1032&lt;&gt;AK1032,M1032&lt;&gt;L1032,O1032&lt;&gt;"",Q1032&lt;&gt;"",V1032&lt;&gt;1,Y1032&lt;&gt;"",AT1032&lt;&gt;""),"수정","원본")</f>
        <v/>
      </c>
      <c r="D1032" s="18" t="n">
        <v>243</v>
      </c>
      <c r="E1032" s="18" t="inlineStr">
        <is>
          <t>라이코</t>
        </is>
      </c>
      <c r="F1032" s="18" t="inlineStr">
        <is>
          <t>raikou</t>
        </is>
      </c>
      <c r="G1032" s="18" t="inlineStr">
        <is>
          <t>raikou</t>
        </is>
      </c>
      <c r="H1032" s="18" t="inlineStr"/>
      <c r="I1032" s="18" t="n">
        <v>2</v>
      </c>
      <c r="J1032" s="18" t="n"/>
      <c r="K1032" s="18" t="n">
        <v>2</v>
      </c>
      <c r="L1032" s="18" t="inlineStr">
        <is>
          <t>cobbleventure:generation_2</t>
        </is>
      </c>
      <c r="M1032" s="19" t="inlineStr">
        <is>
          <t>cobbleventure:generation_2</t>
        </is>
      </c>
      <c r="N1032" s="18" t="inlineStr">
        <is>
          <t>region_01; region_02</t>
        </is>
      </c>
      <c r="O1032" s="19" t="inlineStr"/>
      <c r="P1032" s="18" t="inlineStr"/>
      <c r="Q1032" s="19" t="inlineStr"/>
      <c r="R1032" s="18">
        <f>IF(Q1032="",P1032,Q1032)</f>
        <v/>
      </c>
      <c r="S1032" s="18" t="inlineStr"/>
      <c r="T1032" s="18" t="inlineStr">
        <is>
          <t>ultra-rare</t>
        </is>
      </c>
      <c r="U1032" s="20" t="n">
        <v>33.33</v>
      </c>
      <c r="V1032" s="21" t="n">
        <v>1</v>
      </c>
      <c r="W1032" s="20">
        <f>IF(OR(U1032="",V1032=""),U1032,U1032*V1032)</f>
        <v/>
      </c>
      <c r="X1032" s="18" t="inlineStr">
        <is>
          <t>60</t>
        </is>
      </c>
      <c r="Y1032" s="19" t="inlineStr"/>
      <c r="Z1032" s="18">
        <f>IF(Y1032="",X1032,Y1032)</f>
        <v/>
      </c>
      <c r="AA1032" s="18" t="inlineStr">
        <is>
          <t>grounded</t>
        </is>
      </c>
      <c r="AB1032" s="18" t="inlineStr"/>
      <c r="AC1032" s="18" t="inlineStr"/>
      <c r="AD1032" s="18" t="inlineStr"/>
      <c r="AE1032" s="18" t="inlineStr"/>
      <c r="AF1032" s="18" t="inlineStr"/>
      <c r="AG1032" s="18" t="inlineStr">
        <is>
          <t>cobbleverse:burned_tower</t>
        </is>
      </c>
      <c r="AH1032" s="18" t="inlineStr"/>
      <c r="AI1032" s="18" t="inlineStr"/>
      <c r="AJ1032" s="18" t="inlineStr">
        <is>
          <t>COBBLEVERSE 추가</t>
        </is>
      </c>
      <c r="AK1032" s="18" t="inlineStr">
        <is>
          <t>사용</t>
        </is>
      </c>
      <c r="AL1032" s="18" t="inlineStr">
        <is>
          <t>COBBLEVERSE 1.7.42 / DP v31</t>
        </is>
      </c>
      <c r="AM1032" s="18" t="inlineStr">
        <is>
          <t>data/cobblemon/spawn_pool_world/0243_raikou.json</t>
        </is>
      </c>
      <c r="AN1032" s="18" t="inlineStr">
        <is>
          <t>raikou-1</t>
        </is>
      </c>
      <c r="AO1032" s="18" t="inlineStr">
        <is>
          <t>pokemon</t>
        </is>
      </c>
      <c r="AP1032" s="18" t="inlineStr">
        <is>
          <t>natural</t>
        </is>
      </c>
      <c r="AQ1032" s="18" t="inlineStr">
        <is>
          <t>{"structures":["cobbleverse:burned_tower"]}</t>
        </is>
      </c>
      <c r="AR1032" s="18" t="inlineStr"/>
      <c r="AS1032" s="18" t="inlineStr">
        <is>
          <t>{"weightMultipliers":[{"condition":{"isThundering":true},"multiplier":3.0}]}</t>
        </is>
      </c>
      <c r="AT1032" s="19" t="inlineStr"/>
    </row>
    <row r="1033" ht="32" customHeight="1">
      <c r="A1033" s="18" t="inlineStr">
        <is>
          <t>0244_entei.json::entei-1::001</t>
        </is>
      </c>
      <c r="B1033" s="19" t="inlineStr">
        <is>
          <t>사용</t>
        </is>
      </c>
      <c r="C1033" s="18">
        <f>IF(OR(B1033&lt;&gt;AK1033,M1033&lt;&gt;L1033,O1033&lt;&gt;"",Q1033&lt;&gt;"",V1033&lt;&gt;1,Y1033&lt;&gt;"",AT1033&lt;&gt;""),"수정","원본")</f>
        <v/>
      </c>
      <c r="D1033" s="18" t="n">
        <v>244</v>
      </c>
      <c r="E1033" s="18" t="inlineStr">
        <is>
          <t>앤테이</t>
        </is>
      </c>
      <c r="F1033" s="18" t="inlineStr">
        <is>
          <t>entei</t>
        </is>
      </c>
      <c r="G1033" s="18" t="inlineStr">
        <is>
          <t>entei</t>
        </is>
      </c>
      <c r="H1033" s="18" t="inlineStr"/>
      <c r="I1033" s="18" t="n">
        <v>2</v>
      </c>
      <c r="J1033" s="18" t="n"/>
      <c r="K1033" s="18" t="n">
        <v>2</v>
      </c>
      <c r="L1033" s="18" t="inlineStr">
        <is>
          <t>cobbleventure:generation_2</t>
        </is>
      </c>
      <c r="M1033" s="19" t="inlineStr">
        <is>
          <t>cobbleventure:generation_2</t>
        </is>
      </c>
      <c r="N1033" s="18" t="inlineStr">
        <is>
          <t>region_01; region_02</t>
        </is>
      </c>
      <c r="O1033" s="19" t="inlineStr"/>
      <c r="P1033" s="18" t="inlineStr"/>
      <c r="Q1033" s="19" t="inlineStr"/>
      <c r="R1033" s="18">
        <f>IF(Q1033="",P1033,Q1033)</f>
        <v/>
      </c>
      <c r="S1033" s="18" t="inlineStr"/>
      <c r="T1033" s="18" t="inlineStr">
        <is>
          <t>ultra-rare</t>
        </is>
      </c>
      <c r="U1033" s="20" t="n">
        <v>33.33</v>
      </c>
      <c r="V1033" s="21" t="n">
        <v>1</v>
      </c>
      <c r="W1033" s="20">
        <f>IF(OR(U1033="",V1033=""),U1033,U1033*V1033)</f>
        <v/>
      </c>
      <c r="X1033" s="18" t="inlineStr">
        <is>
          <t>60</t>
        </is>
      </c>
      <c r="Y1033" s="19" t="inlineStr"/>
      <c r="Z1033" s="18">
        <f>IF(Y1033="",X1033,Y1033)</f>
        <v/>
      </c>
      <c r="AA1033" s="18" t="inlineStr">
        <is>
          <t>grounded</t>
        </is>
      </c>
      <c r="AB1033" s="18" t="inlineStr"/>
      <c r="AC1033" s="18" t="inlineStr"/>
      <c r="AD1033" s="18" t="inlineStr"/>
      <c r="AE1033" s="18" t="inlineStr"/>
      <c r="AF1033" s="18" t="inlineStr"/>
      <c r="AG1033" s="18" t="inlineStr">
        <is>
          <t>cobbleverse:burned_tower</t>
        </is>
      </c>
      <c r="AH1033" s="18" t="inlineStr"/>
      <c r="AI1033" s="18" t="inlineStr"/>
      <c r="AJ1033" s="18" t="inlineStr">
        <is>
          <t>COBBLEVERSE 추가</t>
        </is>
      </c>
      <c r="AK1033" s="18" t="inlineStr">
        <is>
          <t>사용</t>
        </is>
      </c>
      <c r="AL1033" s="18" t="inlineStr">
        <is>
          <t>COBBLEVERSE 1.7.42 / DP v31</t>
        </is>
      </c>
      <c r="AM1033" s="18" t="inlineStr">
        <is>
          <t>data/cobblemon/spawn_pool_world/0244_entei.json</t>
        </is>
      </c>
      <c r="AN1033" s="18" t="inlineStr">
        <is>
          <t>entei-1</t>
        </is>
      </c>
      <c r="AO1033" s="18" t="inlineStr">
        <is>
          <t>pokemon</t>
        </is>
      </c>
      <c r="AP1033" s="18" t="inlineStr">
        <is>
          <t>natural</t>
        </is>
      </c>
      <c r="AQ1033" s="18" t="inlineStr">
        <is>
          <t>{"structures":["cobbleverse:burned_tower"]}</t>
        </is>
      </c>
      <c r="AR1033" s="18" t="inlineStr"/>
      <c r="AS1033" s="18" t="inlineStr">
        <is>
          <t>{"weightMultipliers":[{"condition":{"timeRange":"day"},"multiplier":3.0}]}</t>
        </is>
      </c>
      <c r="AT1033" s="19" t="inlineStr"/>
    </row>
    <row r="1034" ht="32" customHeight="1">
      <c r="A1034" s="18" t="inlineStr">
        <is>
          <t>0245_suicune.json::suicune-1::001</t>
        </is>
      </c>
      <c r="B1034" s="19" t="inlineStr">
        <is>
          <t>사용</t>
        </is>
      </c>
      <c r="C1034" s="18">
        <f>IF(OR(B1034&lt;&gt;AK1034,M1034&lt;&gt;L1034,O1034&lt;&gt;"",Q1034&lt;&gt;"",V1034&lt;&gt;1,Y1034&lt;&gt;"",AT1034&lt;&gt;""),"수정","원본")</f>
        <v/>
      </c>
      <c r="D1034" s="18" t="n">
        <v>245</v>
      </c>
      <c r="E1034" s="18" t="inlineStr">
        <is>
          <t>스이쿤</t>
        </is>
      </c>
      <c r="F1034" s="18" t="inlineStr">
        <is>
          <t>suicune</t>
        </is>
      </c>
      <c r="G1034" s="18" t="inlineStr">
        <is>
          <t>suicune</t>
        </is>
      </c>
      <c r="H1034" s="18" t="inlineStr"/>
      <c r="I1034" s="18" t="n">
        <v>2</v>
      </c>
      <c r="J1034" s="18" t="n"/>
      <c r="K1034" s="18" t="n">
        <v>2</v>
      </c>
      <c r="L1034" s="18" t="inlineStr">
        <is>
          <t>cobbleventure:generation_2</t>
        </is>
      </c>
      <c r="M1034" s="19" t="inlineStr">
        <is>
          <t>cobbleventure:generation_2</t>
        </is>
      </c>
      <c r="N1034" s="18" t="inlineStr">
        <is>
          <t>region_01; region_02</t>
        </is>
      </c>
      <c r="O1034" s="19" t="inlineStr"/>
      <c r="P1034" s="18" t="inlineStr"/>
      <c r="Q1034" s="19" t="inlineStr"/>
      <c r="R1034" s="18">
        <f>IF(Q1034="",P1034,Q1034)</f>
        <v/>
      </c>
      <c r="S1034" s="18" t="inlineStr"/>
      <c r="T1034" s="18" t="inlineStr">
        <is>
          <t>ultra-rare</t>
        </is>
      </c>
      <c r="U1034" s="20" t="n">
        <v>33.33</v>
      </c>
      <c r="V1034" s="21" t="n">
        <v>1</v>
      </c>
      <c r="W1034" s="20">
        <f>IF(OR(U1034="",V1034=""),U1034,U1034*V1034)</f>
        <v/>
      </c>
      <c r="X1034" s="18" t="inlineStr">
        <is>
          <t>60</t>
        </is>
      </c>
      <c r="Y1034" s="19" t="inlineStr"/>
      <c r="Z1034" s="18">
        <f>IF(Y1034="",X1034,Y1034)</f>
        <v/>
      </c>
      <c r="AA1034" s="18" t="inlineStr">
        <is>
          <t>grounded</t>
        </is>
      </c>
      <c r="AB1034" s="18" t="inlineStr"/>
      <c r="AC1034" s="18" t="inlineStr"/>
      <c r="AD1034" s="18" t="inlineStr"/>
      <c r="AE1034" s="18" t="inlineStr"/>
      <c r="AF1034" s="18" t="inlineStr"/>
      <c r="AG1034" s="18" t="inlineStr">
        <is>
          <t>cobbleverse:burned_tower</t>
        </is>
      </c>
      <c r="AH1034" s="18" t="inlineStr"/>
      <c r="AI1034" s="18" t="inlineStr"/>
      <c r="AJ1034" s="18" t="inlineStr">
        <is>
          <t>COBBLEVERSE 추가</t>
        </is>
      </c>
      <c r="AK1034" s="18" t="inlineStr">
        <is>
          <t>사용</t>
        </is>
      </c>
      <c r="AL1034" s="18" t="inlineStr">
        <is>
          <t>COBBLEVERSE 1.7.42 / DP v31</t>
        </is>
      </c>
      <c r="AM1034" s="18" t="inlineStr">
        <is>
          <t>data/cobblemon/spawn_pool_world/0245_suicune.json</t>
        </is>
      </c>
      <c r="AN1034" s="18" t="inlineStr">
        <is>
          <t>suicune-1</t>
        </is>
      </c>
      <c r="AO1034" s="18" t="inlineStr">
        <is>
          <t>pokemon</t>
        </is>
      </c>
      <c r="AP1034" s="18" t="inlineStr">
        <is>
          <t>natural</t>
        </is>
      </c>
      <c r="AQ1034" s="18" t="inlineStr">
        <is>
          <t>{"structures":["cobbleverse:burned_tower"]}</t>
        </is>
      </c>
      <c r="AR1034" s="18" t="inlineStr"/>
      <c r="AS1034" s="18" t="inlineStr">
        <is>
          <t>{"weightMultipliers":[{"condition":{"isRaining":true},"multiplier":3.0}]}</t>
        </is>
      </c>
      <c r="AT1034" s="19" t="inlineStr"/>
    </row>
    <row r="1035" ht="32" customHeight="1">
      <c r="A1035" s="18" t="inlineStr">
        <is>
          <t>0246_larvitar.json::larvitar-1::001</t>
        </is>
      </c>
      <c r="B1035" s="19" t="inlineStr">
        <is>
          <t>사용</t>
        </is>
      </c>
      <c r="C1035" s="18">
        <f>IF(OR(B1035&lt;&gt;AK1035,M1035&lt;&gt;L1035,O1035&lt;&gt;"",Q1035&lt;&gt;"",V1035&lt;&gt;1,Y1035&lt;&gt;"",AT1035&lt;&gt;""),"수정","원본")</f>
        <v/>
      </c>
      <c r="D1035" s="18" t="n">
        <v>246</v>
      </c>
      <c r="E1035" s="18" t="inlineStr">
        <is>
          <t>애버라스</t>
        </is>
      </c>
      <c r="F1035" s="18" t="inlineStr">
        <is>
          <t>larvitar</t>
        </is>
      </c>
      <c r="G1035" s="18" t="inlineStr">
        <is>
          <t>larvitar</t>
        </is>
      </c>
      <c r="H1035" s="18" t="inlineStr"/>
      <c r="I1035" s="18" t="n">
        <v>2</v>
      </c>
      <c r="J1035" s="18" t="n"/>
      <c r="K1035" s="18" t="n">
        <v>2</v>
      </c>
      <c r="L1035" s="18" t="inlineStr">
        <is>
          <t>cobbleventure:generation_2</t>
        </is>
      </c>
      <c r="M1035" s="19" t="inlineStr">
        <is>
          <t>cobbleventure:generation_2</t>
        </is>
      </c>
      <c r="N1035" s="18" t="inlineStr"/>
      <c r="O1035" s="19" t="inlineStr"/>
      <c r="P1035" s="18" t="inlineStr">
        <is>
          <t>#cobblemon:is_mountain</t>
        </is>
      </c>
      <c r="Q1035" s="19" t="inlineStr"/>
      <c r="R1035" s="18">
        <f>IF(Q1035="",P1035,Q1035)</f>
        <v/>
      </c>
      <c r="S1035" s="18" t="inlineStr">
        <is>
          <t>#cobblemon:is_freezing</t>
        </is>
      </c>
      <c r="T1035" s="18" t="inlineStr">
        <is>
          <t>ultra-rare</t>
        </is>
      </c>
      <c r="U1035" s="20" t="n">
        <v>6</v>
      </c>
      <c r="V1035" s="21" t="n">
        <v>1</v>
      </c>
      <c r="W1035" s="20">
        <f>IF(OR(U1035="",V1035=""),U1035,U1035*V1035)</f>
        <v/>
      </c>
      <c r="X1035" s="18" t="inlineStr">
        <is>
          <t>5-30</t>
        </is>
      </c>
      <c r="Y1035" s="19" t="inlineStr"/>
      <c r="Z1035" s="18">
        <f>IF(Y1035="",X1035,Y1035)</f>
        <v/>
      </c>
      <c r="AA1035" s="18" t="inlineStr">
        <is>
          <t>grounded</t>
        </is>
      </c>
      <c r="AB1035" s="18" t="inlineStr"/>
      <c r="AC1035" s="18" t="inlineStr"/>
      <c r="AD1035" s="18" t="inlineStr"/>
      <c r="AE1035" s="18" t="inlineStr">
        <is>
          <t>sky 8-15</t>
        </is>
      </c>
      <c r="AF1035" s="18" t="inlineStr"/>
      <c r="AG1035" s="18" t="inlineStr"/>
      <c r="AH1035" s="18" t="inlineStr"/>
      <c r="AI1035" s="18" t="inlineStr"/>
      <c r="AJ1035" s="18" t="inlineStr">
        <is>
          <t>Cobblemon 동일</t>
        </is>
      </c>
      <c r="AK1035" s="18" t="inlineStr">
        <is>
          <t>사용</t>
        </is>
      </c>
      <c r="AL1035" s="18" t="inlineStr">
        <is>
          <t>COBBLEVERSE 1.7.42 / DP v31</t>
        </is>
      </c>
      <c r="AM1035" s="18" t="inlineStr">
        <is>
          <t>data/cobblemon/spawn_pool_world/0246_larvitar.json</t>
        </is>
      </c>
      <c r="AN1035" s="18" t="inlineStr">
        <is>
          <t>larvitar-1</t>
        </is>
      </c>
      <c r="AO1035" s="18" t="inlineStr">
        <is>
          <t>pokemon</t>
        </is>
      </c>
      <c r="AP1035" s="18" t="inlineStr">
        <is>
          <t>natural; wild</t>
        </is>
      </c>
      <c r="AQ1035" s="18" t="inlineStr">
        <is>
          <t>{"biomes":["#cobblemon:is_mountain"],"maxSkyLight":15,"minSkyLight":8}</t>
        </is>
      </c>
      <c r="AR1035" s="18" t="inlineStr">
        <is>
          <t>{"biomes":["#cobblemon:is_freezing"]}</t>
        </is>
      </c>
      <c r="AS1035" s="18" t="inlineStr"/>
      <c r="AT1035" s="19" t="inlineStr"/>
    </row>
    <row r="1036" ht="32" customHeight="1">
      <c r="A1036" s="18" t="inlineStr">
        <is>
          <t>0246_larvitar.json::larvitar-2::002</t>
        </is>
      </c>
      <c r="B1036" s="19" t="inlineStr">
        <is>
          <t>사용</t>
        </is>
      </c>
      <c r="C1036" s="18">
        <f>IF(OR(B1036&lt;&gt;AK1036,M1036&lt;&gt;L1036,O1036&lt;&gt;"",Q1036&lt;&gt;"",V1036&lt;&gt;1,Y1036&lt;&gt;"",AT1036&lt;&gt;""),"수정","원본")</f>
        <v/>
      </c>
      <c r="D1036" s="18" t="n">
        <v>246</v>
      </c>
      <c r="E1036" s="18" t="inlineStr">
        <is>
          <t>애버라스</t>
        </is>
      </c>
      <c r="F1036" s="18" t="inlineStr">
        <is>
          <t>larvitar</t>
        </is>
      </c>
      <c r="G1036" s="18" t="inlineStr">
        <is>
          <t>larvitar</t>
        </is>
      </c>
      <c r="H1036" s="18" t="inlineStr"/>
      <c r="I1036" s="18" t="n">
        <v>2</v>
      </c>
      <c r="J1036" s="18" t="n"/>
      <c r="K1036" s="18" t="n">
        <v>2</v>
      </c>
      <c r="L1036" s="18" t="inlineStr">
        <is>
          <t>cobbleventure:generation_2</t>
        </is>
      </c>
      <c r="M1036" s="19" t="inlineStr">
        <is>
          <t>cobbleventure:generation_2</t>
        </is>
      </c>
      <c r="N1036" s="18" t="inlineStr"/>
      <c r="O1036" s="19" t="inlineStr"/>
      <c r="P1036" s="18" t="inlineStr">
        <is>
          <t>#cobblemon:is_mountain</t>
        </is>
      </c>
      <c r="Q1036" s="19" t="inlineStr"/>
      <c r="R1036" s="18">
        <f>IF(Q1036="",P1036,Q1036)</f>
        <v/>
      </c>
      <c r="S1036" s="18" t="inlineStr"/>
      <c r="T1036" s="18" t="inlineStr">
        <is>
          <t>rare</t>
        </is>
      </c>
      <c r="U1036" s="20" t="n">
        <v>7.5</v>
      </c>
      <c r="V1036" s="21" t="n">
        <v>1</v>
      </c>
      <c r="W1036" s="20">
        <f>IF(OR(U1036="",V1036=""),U1036,U1036*V1036)</f>
        <v/>
      </c>
      <c r="X1036" s="18" t="inlineStr">
        <is>
          <t>5-30</t>
        </is>
      </c>
      <c r="Y1036" s="19" t="inlineStr"/>
      <c r="Z1036" s="18">
        <f>IF(Y1036="",X1036,Y1036)</f>
        <v/>
      </c>
      <c r="AA1036" s="18" t="inlineStr">
        <is>
          <t>grounded</t>
        </is>
      </c>
      <c r="AB1036" s="18" t="inlineStr"/>
      <c r="AC1036" s="18" t="inlineStr"/>
      <c r="AD1036" s="18" t="inlineStr"/>
      <c r="AE1036" s="18" t="inlineStr">
        <is>
          <t>sky 0-7</t>
        </is>
      </c>
      <c r="AF1036" s="18" t="inlineStr"/>
      <c r="AG1036" s="18" t="inlineStr"/>
      <c r="AH1036" s="18" t="inlineStr"/>
      <c r="AI1036" s="18" t="inlineStr"/>
      <c r="AJ1036" s="18" t="inlineStr">
        <is>
          <t>Cobblemon 동일</t>
        </is>
      </c>
      <c r="AK1036" s="18" t="inlineStr">
        <is>
          <t>사용</t>
        </is>
      </c>
      <c r="AL1036" s="18" t="inlineStr">
        <is>
          <t>COBBLEVERSE 1.7.42 / DP v31</t>
        </is>
      </c>
      <c r="AM1036" s="18" t="inlineStr">
        <is>
          <t>data/cobblemon/spawn_pool_world/0246_larvitar.json</t>
        </is>
      </c>
      <c r="AN1036" s="18" t="inlineStr">
        <is>
          <t>larvitar-2</t>
        </is>
      </c>
      <c r="AO1036" s="18" t="inlineStr">
        <is>
          <t>pokemon</t>
        </is>
      </c>
      <c r="AP1036" s="18" t="inlineStr">
        <is>
          <t>natural</t>
        </is>
      </c>
      <c r="AQ1036" s="18" t="inlineStr">
        <is>
          <t>{"biomes":["#cobblemon:is_mountain"],"maxSkyLight":7,"minSkyLight":0}</t>
        </is>
      </c>
      <c r="AR1036" s="18" t="inlineStr"/>
      <c r="AS1036" s="18" t="inlineStr"/>
      <c r="AT1036" s="19" t="inlineStr"/>
    </row>
    <row r="1037" ht="32" customHeight="1">
      <c r="A1037" s="18" t="inlineStr">
        <is>
          <t>0247_pupitar.json::pupitar-1::001</t>
        </is>
      </c>
      <c r="B1037" s="19" t="inlineStr">
        <is>
          <t>사용</t>
        </is>
      </c>
      <c r="C1037" s="18">
        <f>IF(OR(B1037&lt;&gt;AK1037,M1037&lt;&gt;L1037,O1037&lt;&gt;"",Q1037&lt;&gt;"",V1037&lt;&gt;1,Y1037&lt;&gt;"",AT1037&lt;&gt;""),"수정","원본")</f>
        <v/>
      </c>
      <c r="D1037" s="18" t="n">
        <v>247</v>
      </c>
      <c r="E1037" s="18" t="inlineStr">
        <is>
          <t>데기라스</t>
        </is>
      </c>
      <c r="F1037" s="18" t="inlineStr">
        <is>
          <t>pupitar</t>
        </is>
      </c>
      <c r="G1037" s="18" t="inlineStr">
        <is>
          <t>pupitar</t>
        </is>
      </c>
      <c r="H1037" s="18" t="inlineStr"/>
      <c r="I1037" s="18" t="n">
        <v>2</v>
      </c>
      <c r="J1037" s="18" t="n"/>
      <c r="K1037" s="18" t="n">
        <v>2</v>
      </c>
      <c r="L1037" s="18" t="inlineStr">
        <is>
          <t>cobbleventure:generation_2</t>
        </is>
      </c>
      <c r="M1037" s="19" t="inlineStr">
        <is>
          <t>cobbleventure:generation_2</t>
        </is>
      </c>
      <c r="N1037" s="18" t="inlineStr"/>
      <c r="O1037" s="19" t="inlineStr"/>
      <c r="P1037" s="18" t="inlineStr">
        <is>
          <t>#cobblemon:is_mountain</t>
        </is>
      </c>
      <c r="Q1037" s="19" t="inlineStr"/>
      <c r="R1037" s="18">
        <f>IF(Q1037="",P1037,Q1037)</f>
        <v/>
      </c>
      <c r="S1037" s="18" t="inlineStr">
        <is>
          <t>#cobblemon:is_freezing</t>
        </is>
      </c>
      <c r="T1037" s="18" t="inlineStr">
        <is>
          <t>ultra-rare</t>
        </is>
      </c>
      <c r="U1037" s="20" t="n">
        <v>3.6</v>
      </c>
      <c r="V1037" s="21" t="n">
        <v>1</v>
      </c>
      <c r="W1037" s="20">
        <f>IF(OR(U1037="",V1037=""),U1037,U1037*V1037)</f>
        <v/>
      </c>
      <c r="X1037" s="18" t="inlineStr">
        <is>
          <t>30-54</t>
        </is>
      </c>
      <c r="Y1037" s="19" t="inlineStr"/>
      <c r="Z1037" s="18">
        <f>IF(Y1037="",X1037,Y1037)</f>
        <v/>
      </c>
      <c r="AA1037" s="18" t="inlineStr">
        <is>
          <t>grounded</t>
        </is>
      </c>
      <c r="AB1037" s="18" t="inlineStr"/>
      <c r="AC1037" s="18" t="inlineStr"/>
      <c r="AD1037" s="18" t="inlineStr"/>
      <c r="AE1037" s="18" t="inlineStr">
        <is>
          <t>sky 8-15</t>
        </is>
      </c>
      <c r="AF1037" s="18" t="inlineStr"/>
      <c r="AG1037" s="18" t="inlineStr"/>
      <c r="AH1037" s="18" t="inlineStr"/>
      <c r="AI1037" s="18" t="inlineStr"/>
      <c r="AJ1037" s="18" t="inlineStr">
        <is>
          <t>Cobblemon 동일</t>
        </is>
      </c>
      <c r="AK1037" s="18" t="inlineStr">
        <is>
          <t>사용</t>
        </is>
      </c>
      <c r="AL1037" s="18" t="inlineStr">
        <is>
          <t>COBBLEVERSE 1.7.42 / DP v31</t>
        </is>
      </c>
      <c r="AM1037" s="18" t="inlineStr">
        <is>
          <t>data/cobblemon/spawn_pool_world/0247_pupitar.json</t>
        </is>
      </c>
      <c r="AN1037" s="18" t="inlineStr">
        <is>
          <t>pupitar-1</t>
        </is>
      </c>
      <c r="AO1037" s="18" t="inlineStr">
        <is>
          <t>pokemon</t>
        </is>
      </c>
      <c r="AP1037" s="18" t="inlineStr">
        <is>
          <t>natural; wild</t>
        </is>
      </c>
      <c r="AQ1037" s="18" t="inlineStr">
        <is>
          <t>{"biomes":["#cobblemon:is_mountain"],"maxSkyLight":15,"minSkyLight":8}</t>
        </is>
      </c>
      <c r="AR1037" s="18" t="inlineStr">
        <is>
          <t>{"biomes":["#cobblemon:is_freezing"]}</t>
        </is>
      </c>
      <c r="AS1037" s="18" t="inlineStr"/>
      <c r="AT1037" s="19" t="inlineStr"/>
    </row>
    <row r="1038" ht="32" customHeight="1">
      <c r="A1038" s="18" t="inlineStr">
        <is>
          <t>0247_pupitar.json::pupitar-2::002</t>
        </is>
      </c>
      <c r="B1038" s="19" t="inlineStr">
        <is>
          <t>사용</t>
        </is>
      </c>
      <c r="C1038" s="18">
        <f>IF(OR(B1038&lt;&gt;AK1038,M1038&lt;&gt;L1038,O1038&lt;&gt;"",Q1038&lt;&gt;"",V1038&lt;&gt;1,Y1038&lt;&gt;"",AT1038&lt;&gt;""),"수정","원본")</f>
        <v/>
      </c>
      <c r="D1038" s="18" t="n">
        <v>247</v>
      </c>
      <c r="E1038" s="18" t="inlineStr">
        <is>
          <t>데기라스</t>
        </is>
      </c>
      <c r="F1038" s="18" t="inlineStr">
        <is>
          <t>pupitar</t>
        </is>
      </c>
      <c r="G1038" s="18" t="inlineStr">
        <is>
          <t>pupitar</t>
        </is>
      </c>
      <c r="H1038" s="18" t="inlineStr"/>
      <c r="I1038" s="18" t="n">
        <v>2</v>
      </c>
      <c r="J1038" s="18" t="n"/>
      <c r="K1038" s="18" t="n">
        <v>2</v>
      </c>
      <c r="L1038" s="18" t="inlineStr">
        <is>
          <t>cobbleventure:generation_2</t>
        </is>
      </c>
      <c r="M1038" s="19" t="inlineStr">
        <is>
          <t>cobbleventure:generation_2</t>
        </is>
      </c>
      <c r="N1038" s="18" t="inlineStr"/>
      <c r="O1038" s="19" t="inlineStr"/>
      <c r="P1038" s="18" t="inlineStr">
        <is>
          <t>#cobblemon:is_mountain</t>
        </is>
      </c>
      <c r="Q1038" s="19" t="inlineStr"/>
      <c r="R1038" s="18">
        <f>IF(Q1038="",P1038,Q1038)</f>
        <v/>
      </c>
      <c r="S1038" s="18" t="inlineStr"/>
      <c r="T1038" s="18" t="inlineStr">
        <is>
          <t>rare</t>
        </is>
      </c>
      <c r="U1038" s="20" t="n">
        <v>2.25</v>
      </c>
      <c r="V1038" s="21" t="n">
        <v>1</v>
      </c>
      <c r="W1038" s="20">
        <f>IF(OR(U1038="",V1038=""),U1038,U1038*V1038)</f>
        <v/>
      </c>
      <c r="X1038" s="18" t="inlineStr">
        <is>
          <t>30-54</t>
        </is>
      </c>
      <c r="Y1038" s="19" t="inlineStr"/>
      <c r="Z1038" s="18">
        <f>IF(Y1038="",X1038,Y1038)</f>
        <v/>
      </c>
      <c r="AA1038" s="18" t="inlineStr">
        <is>
          <t>grounded</t>
        </is>
      </c>
      <c r="AB1038" s="18" t="inlineStr"/>
      <c r="AC1038" s="18" t="inlineStr"/>
      <c r="AD1038" s="18" t="inlineStr"/>
      <c r="AE1038" s="18" t="inlineStr">
        <is>
          <t>sky 0-7</t>
        </is>
      </c>
      <c r="AF1038" s="18" t="inlineStr"/>
      <c r="AG1038" s="18" t="inlineStr"/>
      <c r="AH1038" s="18" t="inlineStr"/>
      <c r="AI1038" s="18" t="inlineStr"/>
      <c r="AJ1038" s="18" t="inlineStr">
        <is>
          <t>Cobblemon 동일</t>
        </is>
      </c>
      <c r="AK1038" s="18" t="inlineStr">
        <is>
          <t>사용</t>
        </is>
      </c>
      <c r="AL1038" s="18" t="inlineStr">
        <is>
          <t>COBBLEVERSE 1.7.42 / DP v31</t>
        </is>
      </c>
      <c r="AM1038" s="18" t="inlineStr">
        <is>
          <t>data/cobblemon/spawn_pool_world/0247_pupitar.json</t>
        </is>
      </c>
      <c r="AN1038" s="18" t="inlineStr">
        <is>
          <t>pupitar-2</t>
        </is>
      </c>
      <c r="AO1038" s="18" t="inlineStr">
        <is>
          <t>pokemon</t>
        </is>
      </c>
      <c r="AP1038" s="18" t="inlineStr">
        <is>
          <t>natural</t>
        </is>
      </c>
      <c r="AQ1038" s="18" t="inlineStr">
        <is>
          <t>{"biomes":["#cobblemon:is_mountain"],"maxSkyLight":7,"minSkyLight":0}</t>
        </is>
      </c>
      <c r="AR1038" s="18" t="inlineStr"/>
      <c r="AS1038" s="18" t="inlineStr"/>
      <c r="AT1038" s="19" t="inlineStr"/>
    </row>
    <row r="1039" ht="32" customHeight="1">
      <c r="A1039" s="18" t="inlineStr">
        <is>
          <t>0248_tyranitar.json::tyranitar-1::001</t>
        </is>
      </c>
      <c r="B1039" s="19" t="inlineStr">
        <is>
          <t>사용</t>
        </is>
      </c>
      <c r="C1039" s="18">
        <f>IF(OR(B1039&lt;&gt;AK1039,M1039&lt;&gt;L1039,O1039&lt;&gt;"",Q1039&lt;&gt;"",V1039&lt;&gt;1,Y1039&lt;&gt;"",AT1039&lt;&gt;""),"수정","원본")</f>
        <v/>
      </c>
      <c r="D1039" s="18" t="n">
        <v>248</v>
      </c>
      <c r="E1039" s="18" t="inlineStr">
        <is>
          <t>마기라스</t>
        </is>
      </c>
      <c r="F1039" s="18" t="inlineStr">
        <is>
          <t>tyranitar</t>
        </is>
      </c>
      <c r="G1039" s="18" t="inlineStr">
        <is>
          <t>tyranitar</t>
        </is>
      </c>
      <c r="H1039" s="18" t="inlineStr"/>
      <c r="I1039" s="18" t="n">
        <v>2</v>
      </c>
      <c r="J1039" s="18" t="n"/>
      <c r="K1039" s="18" t="n">
        <v>2</v>
      </c>
      <c r="L1039" s="18" t="inlineStr">
        <is>
          <t>cobbleventure:generation_2</t>
        </is>
      </c>
      <c r="M1039" s="19" t="inlineStr">
        <is>
          <t>cobbleventure:generation_2</t>
        </is>
      </c>
      <c r="N1039" s="18" t="inlineStr"/>
      <c r="O1039" s="19" t="inlineStr"/>
      <c r="P1039" s="18" t="inlineStr">
        <is>
          <t>#cobblemon:is_mountain</t>
        </is>
      </c>
      <c r="Q1039" s="19" t="inlineStr"/>
      <c r="R1039" s="18">
        <f>IF(Q1039="",P1039,Q1039)</f>
        <v/>
      </c>
      <c r="S1039" s="18" t="inlineStr">
        <is>
          <t>#cobblemon:is_freezing</t>
        </is>
      </c>
      <c r="T1039" s="18" t="inlineStr">
        <is>
          <t>ultra-rare</t>
        </is>
      </c>
      <c r="U1039" s="20" t="n">
        <v>0.4</v>
      </c>
      <c r="V1039" s="21" t="n">
        <v>1</v>
      </c>
      <c r="W1039" s="20">
        <f>IF(OR(U1039="",V1039=""),U1039,U1039*V1039)</f>
        <v/>
      </c>
      <c r="X1039" s="18" t="inlineStr">
        <is>
          <t>55-60</t>
        </is>
      </c>
      <c r="Y1039" s="19" t="inlineStr"/>
      <c r="Z1039" s="18">
        <f>IF(Y1039="",X1039,Y1039)</f>
        <v/>
      </c>
      <c r="AA1039" s="18" t="inlineStr">
        <is>
          <t>grounded</t>
        </is>
      </c>
      <c r="AB1039" s="18" t="inlineStr"/>
      <c r="AC1039" s="18" t="inlineStr"/>
      <c r="AD1039" s="18" t="inlineStr"/>
      <c r="AE1039" s="18" t="inlineStr">
        <is>
          <t>sky 8-15</t>
        </is>
      </c>
      <c r="AF1039" s="18" t="inlineStr"/>
      <c r="AG1039" s="18" t="inlineStr"/>
      <c r="AH1039" s="18" t="inlineStr"/>
      <c r="AI1039" s="18" t="inlineStr"/>
      <c r="AJ1039" s="18" t="inlineStr">
        <is>
          <t>Cobblemon 동일</t>
        </is>
      </c>
      <c r="AK1039" s="18" t="inlineStr">
        <is>
          <t>사용</t>
        </is>
      </c>
      <c r="AL1039" s="18" t="inlineStr">
        <is>
          <t>COBBLEVERSE 1.7.42 / DP v31</t>
        </is>
      </c>
      <c r="AM1039" s="18" t="inlineStr">
        <is>
          <t>data/cobblemon/spawn_pool_world/0248_tyranitar.json</t>
        </is>
      </c>
      <c r="AN1039" s="18" t="inlineStr">
        <is>
          <t>tyranitar-1</t>
        </is>
      </c>
      <c r="AO1039" s="18" t="inlineStr">
        <is>
          <t>pokemon</t>
        </is>
      </c>
      <c r="AP1039" s="18" t="inlineStr">
        <is>
          <t>natural; wild</t>
        </is>
      </c>
      <c r="AQ1039" s="18" t="inlineStr">
        <is>
          <t>{"biomes":["#cobblemon:is_mountain"],"maxSkyLight":15,"minSkyLight":8}</t>
        </is>
      </c>
      <c r="AR1039" s="18" t="inlineStr">
        <is>
          <t>{"biomes":["#cobblemon:is_freezing"]}</t>
        </is>
      </c>
      <c r="AS1039" s="18" t="inlineStr"/>
      <c r="AT1039" s="19" t="inlineStr"/>
    </row>
    <row r="1040" ht="32" customHeight="1">
      <c r="A1040" s="18" t="inlineStr">
        <is>
          <t>0248_tyranitar.json::tyranitar-2::002</t>
        </is>
      </c>
      <c r="B1040" s="19" t="inlineStr">
        <is>
          <t>사용</t>
        </is>
      </c>
      <c r="C1040" s="18">
        <f>IF(OR(B1040&lt;&gt;AK1040,M1040&lt;&gt;L1040,O1040&lt;&gt;"",Q1040&lt;&gt;"",V1040&lt;&gt;1,Y1040&lt;&gt;"",AT1040&lt;&gt;""),"수정","원본")</f>
        <v/>
      </c>
      <c r="D1040" s="18" t="n">
        <v>248</v>
      </c>
      <c r="E1040" s="18" t="inlineStr">
        <is>
          <t>마기라스</t>
        </is>
      </c>
      <c r="F1040" s="18" t="inlineStr">
        <is>
          <t>tyranitar</t>
        </is>
      </c>
      <c r="G1040" s="18" t="inlineStr">
        <is>
          <t>tyranitar</t>
        </is>
      </c>
      <c r="H1040" s="18" t="inlineStr"/>
      <c r="I1040" s="18" t="n">
        <v>2</v>
      </c>
      <c r="J1040" s="18" t="n"/>
      <c r="K1040" s="18" t="n">
        <v>2</v>
      </c>
      <c r="L1040" s="18" t="inlineStr">
        <is>
          <t>cobbleventure:generation_2</t>
        </is>
      </c>
      <c r="M1040" s="19" t="inlineStr">
        <is>
          <t>cobbleventure:generation_2</t>
        </is>
      </c>
      <c r="N1040" s="18" t="inlineStr"/>
      <c r="O1040" s="19" t="inlineStr"/>
      <c r="P1040" s="18" t="inlineStr">
        <is>
          <t>#cobblemon:is_mountain</t>
        </is>
      </c>
      <c r="Q1040" s="19" t="inlineStr"/>
      <c r="R1040" s="18">
        <f>IF(Q1040="",P1040,Q1040)</f>
        <v/>
      </c>
      <c r="S1040" s="18" t="inlineStr"/>
      <c r="T1040" s="18" t="inlineStr">
        <is>
          <t>rare</t>
        </is>
      </c>
      <c r="U1040" s="20" t="n">
        <v>0.25</v>
      </c>
      <c r="V1040" s="21" t="n">
        <v>1</v>
      </c>
      <c r="W1040" s="20">
        <f>IF(OR(U1040="",V1040=""),U1040,U1040*V1040)</f>
        <v/>
      </c>
      <c r="X1040" s="18" t="inlineStr">
        <is>
          <t>55-60</t>
        </is>
      </c>
      <c r="Y1040" s="19" t="inlineStr"/>
      <c r="Z1040" s="18">
        <f>IF(Y1040="",X1040,Y1040)</f>
        <v/>
      </c>
      <c r="AA1040" s="18" t="inlineStr">
        <is>
          <t>grounded</t>
        </is>
      </c>
      <c r="AB1040" s="18" t="inlineStr"/>
      <c r="AC1040" s="18" t="inlineStr"/>
      <c r="AD1040" s="18" t="inlineStr"/>
      <c r="AE1040" s="18" t="inlineStr">
        <is>
          <t>sky 0-7</t>
        </is>
      </c>
      <c r="AF1040" s="18" t="inlineStr"/>
      <c r="AG1040" s="18" t="inlineStr"/>
      <c r="AH1040" s="18" t="inlineStr"/>
      <c r="AI1040" s="18" t="inlineStr"/>
      <c r="AJ1040" s="18" t="inlineStr">
        <is>
          <t>Cobblemon 동일</t>
        </is>
      </c>
      <c r="AK1040" s="18" t="inlineStr">
        <is>
          <t>사용</t>
        </is>
      </c>
      <c r="AL1040" s="18" t="inlineStr">
        <is>
          <t>COBBLEVERSE 1.7.42 / DP v31</t>
        </is>
      </c>
      <c r="AM1040" s="18" t="inlineStr">
        <is>
          <t>data/cobblemon/spawn_pool_world/0248_tyranitar.json</t>
        </is>
      </c>
      <c r="AN1040" s="18" t="inlineStr">
        <is>
          <t>tyranitar-2</t>
        </is>
      </c>
      <c r="AO1040" s="18" t="inlineStr">
        <is>
          <t>pokemon</t>
        </is>
      </c>
      <c r="AP1040" s="18" t="inlineStr">
        <is>
          <t>natural</t>
        </is>
      </c>
      <c r="AQ1040" s="18" t="inlineStr">
        <is>
          <t>{"biomes":["#cobblemon:is_mountain"],"maxSkyLight":7,"minSkyLight":0}</t>
        </is>
      </c>
      <c r="AR1040" s="18" t="inlineStr"/>
      <c r="AS1040" s="18" t="inlineStr"/>
      <c r="AT1040" s="19" t="inlineStr"/>
    </row>
    <row r="1041" ht="32" customHeight="1">
      <c r="A1041" s="18" t="inlineStr">
        <is>
          <t>0249_lugia.json::lugia-1::001</t>
        </is>
      </c>
      <c r="B1041" s="19" t="inlineStr">
        <is>
          <t>사용</t>
        </is>
      </c>
      <c r="C1041" s="18">
        <f>IF(OR(B1041&lt;&gt;AK1041,M1041&lt;&gt;L1041,O1041&lt;&gt;"",Q1041&lt;&gt;"",V1041&lt;&gt;1,Y1041&lt;&gt;"",AT1041&lt;&gt;""),"수정","원본")</f>
        <v/>
      </c>
      <c r="D1041" s="18" t="n">
        <v>249</v>
      </c>
      <c r="E1041" s="18" t="inlineStr">
        <is>
          <t>루기아</t>
        </is>
      </c>
      <c r="F1041" s="18" t="inlineStr">
        <is>
          <t>lugia</t>
        </is>
      </c>
      <c r="G1041" s="18" t="inlineStr">
        <is>
          <t>lugia</t>
        </is>
      </c>
      <c r="H1041" s="18" t="inlineStr"/>
      <c r="I1041" s="18" t="n">
        <v>2</v>
      </c>
      <c r="J1041" s="18" t="n"/>
      <c r="K1041" s="18" t="n">
        <v>2</v>
      </c>
      <c r="L1041" s="18" t="inlineStr">
        <is>
          <t>cobbleventure:generation_2</t>
        </is>
      </c>
      <c r="M1041" s="19" t="inlineStr">
        <is>
          <t>cobbleventure:generation_2</t>
        </is>
      </c>
      <c r="N1041" s="18" t="inlineStr"/>
      <c r="O1041" s="19" t="inlineStr"/>
      <c r="P1041" s="18" t="inlineStr">
        <is>
          <t>cobbleverse:custom_spawn/whirl_island</t>
        </is>
      </c>
      <c r="Q1041" s="19" t="inlineStr"/>
      <c r="R1041" s="18">
        <f>IF(Q1041="",P1041,Q1041)</f>
        <v/>
      </c>
      <c r="S1041" s="18" t="inlineStr"/>
      <c r="T1041" s="18" t="inlineStr">
        <is>
          <t>ultra-rare</t>
        </is>
      </c>
      <c r="U1041" s="20" t="n">
        <v>0</v>
      </c>
      <c r="V1041" s="21" t="n">
        <v>1</v>
      </c>
      <c r="W1041" s="20">
        <f>IF(OR(U1041="",V1041=""),U1041,U1041*V1041)</f>
        <v/>
      </c>
      <c r="X1041" s="18" t="inlineStr">
        <is>
          <t>60-70</t>
        </is>
      </c>
      <c r="Y1041" s="19" t="inlineStr"/>
      <c r="Z1041" s="18">
        <f>IF(Y1041="",X1041,Y1041)</f>
        <v/>
      </c>
      <c r="AA1041" s="18" t="inlineStr">
        <is>
          <t>grounded</t>
        </is>
      </c>
      <c r="AB1041" s="18" t="inlineStr"/>
      <c r="AC1041" s="18" t="inlineStr"/>
      <c r="AD1041" s="18" t="inlineStr"/>
      <c r="AE1041" s="18" t="inlineStr"/>
      <c r="AF1041" s="18" t="inlineStr"/>
      <c r="AG1041" s="18" t="inlineStr"/>
      <c r="AH1041" s="18" t="inlineStr"/>
      <c r="AI1041" s="18" t="inlineStr"/>
      <c r="AJ1041" s="18" t="inlineStr">
        <is>
          <t>COBBLEVERSE 추가</t>
        </is>
      </c>
      <c r="AK1041" s="18" t="inlineStr">
        <is>
          <t>사용</t>
        </is>
      </c>
      <c r="AL1041" s="18" t="inlineStr">
        <is>
          <t>COBBLEVERSE 1.7.42 / DP v31</t>
        </is>
      </c>
      <c r="AM1041" s="18" t="inlineStr">
        <is>
          <t>data/cobblemon/spawn_pool_world/0249_lugia.json</t>
        </is>
      </c>
      <c r="AN1041" s="18" t="inlineStr">
        <is>
          <t>lugia-1</t>
        </is>
      </c>
      <c r="AO1041" s="18" t="inlineStr">
        <is>
          <t>pokemon</t>
        </is>
      </c>
      <c r="AP1041" s="18" t="inlineStr"/>
      <c r="AQ1041" s="18" t="inlineStr">
        <is>
          <t>{"biomes":["cobbleverse:custom_spawn/whirl_island"]}</t>
        </is>
      </c>
      <c r="AR1041" s="18" t="inlineStr"/>
      <c r="AS1041" s="18" t="inlineStr"/>
      <c r="AT1041" s="19" t="inlineStr"/>
    </row>
    <row r="1042" ht="32" customHeight="1">
      <c r="A1042" s="18" t="inlineStr">
        <is>
          <t>0250_hooh.json::hooh-1::001</t>
        </is>
      </c>
      <c r="B1042" s="19" t="inlineStr">
        <is>
          <t>사용</t>
        </is>
      </c>
      <c r="C1042" s="18">
        <f>IF(OR(B1042&lt;&gt;AK1042,M1042&lt;&gt;L1042,O1042&lt;&gt;"",Q1042&lt;&gt;"",V1042&lt;&gt;1,Y1042&lt;&gt;"",AT1042&lt;&gt;""),"수정","원본")</f>
        <v/>
      </c>
      <c r="D1042" s="18" t="n">
        <v>250</v>
      </c>
      <c r="E1042" s="18" t="inlineStr">
        <is>
          <t>칠색조</t>
        </is>
      </c>
      <c r="F1042" s="18" t="inlineStr">
        <is>
          <t>hooh</t>
        </is>
      </c>
      <c r="G1042" s="18" t="inlineStr">
        <is>
          <t>hooh</t>
        </is>
      </c>
      <c r="H1042" s="18" t="inlineStr"/>
      <c r="I1042" s="18" t="n">
        <v>2</v>
      </c>
      <c r="J1042" s="18" t="n"/>
      <c r="K1042" s="18" t="n">
        <v>2</v>
      </c>
      <c r="L1042" s="18" t="inlineStr">
        <is>
          <t>cobbleventure:generation_2</t>
        </is>
      </c>
      <c r="M1042" s="19" t="inlineStr">
        <is>
          <t>cobbleventure:generation_2</t>
        </is>
      </c>
      <c r="N1042" s="18" t="inlineStr"/>
      <c r="O1042" s="19" t="inlineStr"/>
      <c r="P1042" s="18" t="inlineStr">
        <is>
          <t>cobbleverse:custom_spawn/bell_tower</t>
        </is>
      </c>
      <c r="Q1042" s="19" t="inlineStr"/>
      <c r="R1042" s="18">
        <f>IF(Q1042="",P1042,Q1042)</f>
        <v/>
      </c>
      <c r="S1042" s="18" t="inlineStr"/>
      <c r="T1042" s="18" t="inlineStr">
        <is>
          <t>ultra-rare</t>
        </is>
      </c>
      <c r="U1042" s="20" t="n">
        <v>0</v>
      </c>
      <c r="V1042" s="21" t="n">
        <v>1</v>
      </c>
      <c r="W1042" s="20">
        <f>IF(OR(U1042="",V1042=""),U1042,U1042*V1042)</f>
        <v/>
      </c>
      <c r="X1042" s="18" t="inlineStr">
        <is>
          <t>60-70</t>
        </is>
      </c>
      <c r="Y1042" s="19" t="inlineStr"/>
      <c r="Z1042" s="18">
        <f>IF(Y1042="",X1042,Y1042)</f>
        <v/>
      </c>
      <c r="AA1042" s="18" t="inlineStr">
        <is>
          <t>grounded</t>
        </is>
      </c>
      <c r="AB1042" s="18" t="inlineStr"/>
      <c r="AC1042" s="18" t="inlineStr"/>
      <c r="AD1042" s="18" t="inlineStr"/>
      <c r="AE1042" s="18" t="inlineStr"/>
      <c r="AF1042" s="18" t="inlineStr"/>
      <c r="AG1042" s="18" t="inlineStr"/>
      <c r="AH1042" s="18" t="inlineStr"/>
      <c r="AI1042" s="18" t="inlineStr"/>
      <c r="AJ1042" s="18" t="inlineStr">
        <is>
          <t>COBBLEVERSE 추가</t>
        </is>
      </c>
      <c r="AK1042" s="18" t="inlineStr">
        <is>
          <t>사용</t>
        </is>
      </c>
      <c r="AL1042" s="18" t="inlineStr">
        <is>
          <t>COBBLEVERSE 1.7.42 / DP v31</t>
        </is>
      </c>
      <c r="AM1042" s="18" t="inlineStr">
        <is>
          <t>data/cobblemon/spawn_pool_world/0250_hooh.json</t>
        </is>
      </c>
      <c r="AN1042" s="18" t="inlineStr">
        <is>
          <t>hooh-1</t>
        </is>
      </c>
      <c r="AO1042" s="18" t="inlineStr">
        <is>
          <t>pokemon</t>
        </is>
      </c>
      <c r="AP1042" s="18" t="inlineStr"/>
      <c r="AQ1042" s="18" t="inlineStr">
        <is>
          <t>{"biomes":["cobbleverse:custom_spawn/bell_tower"]}</t>
        </is>
      </c>
      <c r="AR1042" s="18" t="inlineStr"/>
      <c r="AS1042" s="18" t="inlineStr"/>
      <c r="AT1042" s="19" t="inlineStr"/>
    </row>
    <row r="1043" ht="32" customHeight="1">
      <c r="A1043" s="18" t="inlineStr">
        <is>
          <t>0251_celebi.json::celebi-1::001</t>
        </is>
      </c>
      <c r="B1043" s="19" t="inlineStr">
        <is>
          <t>사용</t>
        </is>
      </c>
      <c r="C1043" s="18">
        <f>IF(OR(B1043&lt;&gt;AK1043,M1043&lt;&gt;L1043,O1043&lt;&gt;"",Q1043&lt;&gt;"",V1043&lt;&gt;1,Y1043&lt;&gt;"",AT1043&lt;&gt;""),"수정","원본")</f>
        <v/>
      </c>
      <c r="D1043" s="18" t="n">
        <v>251</v>
      </c>
      <c r="E1043" s="18" t="inlineStr">
        <is>
          <t>세레비</t>
        </is>
      </c>
      <c r="F1043" s="18" t="inlineStr">
        <is>
          <t>celebi</t>
        </is>
      </c>
      <c r="G1043" s="18" t="inlineStr">
        <is>
          <t>celebi</t>
        </is>
      </c>
      <c r="H1043" s="18" t="inlineStr"/>
      <c r="I1043" s="18" t="n">
        <v>2</v>
      </c>
      <c r="J1043" s="18" t="n"/>
      <c r="K1043" s="18" t="n">
        <v>2</v>
      </c>
      <c r="L1043" s="18" t="inlineStr">
        <is>
          <t>cobbleventure:generation_2</t>
        </is>
      </c>
      <c r="M1043" s="19" t="inlineStr">
        <is>
          <t>cobbleventure:generation_2</t>
        </is>
      </c>
      <c r="N1043" s="18" t="inlineStr"/>
      <c r="O1043" s="19" t="inlineStr"/>
      <c r="P1043" s="18" t="inlineStr">
        <is>
          <t>cobbleverse:custom_spawn/ilex_shrine</t>
        </is>
      </c>
      <c r="Q1043" s="19" t="inlineStr"/>
      <c r="R1043" s="18">
        <f>IF(Q1043="",P1043,Q1043)</f>
        <v/>
      </c>
      <c r="S1043" s="18" t="inlineStr"/>
      <c r="T1043" s="18" t="inlineStr">
        <is>
          <t>ultra-rare</t>
        </is>
      </c>
      <c r="U1043" s="20" t="n">
        <v>0</v>
      </c>
      <c r="V1043" s="21" t="n">
        <v>1</v>
      </c>
      <c r="W1043" s="20">
        <f>IF(OR(U1043="",V1043=""),U1043,U1043*V1043)</f>
        <v/>
      </c>
      <c r="X1043" s="18" t="inlineStr">
        <is>
          <t>75-80</t>
        </is>
      </c>
      <c r="Y1043" s="19" t="inlineStr"/>
      <c r="Z1043" s="18">
        <f>IF(Y1043="",X1043,Y1043)</f>
        <v/>
      </c>
      <c r="AA1043" s="18" t="inlineStr">
        <is>
          <t>grounded</t>
        </is>
      </c>
      <c r="AB1043" s="18" t="inlineStr"/>
      <c r="AC1043" s="18" t="inlineStr"/>
      <c r="AD1043" s="18" t="inlineStr"/>
      <c r="AE1043" s="18" t="inlineStr"/>
      <c r="AF1043" s="18" t="inlineStr"/>
      <c r="AG1043" s="18" t="inlineStr"/>
      <c r="AH1043" s="18" t="inlineStr"/>
      <c r="AI1043" s="18" t="inlineStr"/>
      <c r="AJ1043" s="18" t="inlineStr">
        <is>
          <t>COBBLEVERSE 추가</t>
        </is>
      </c>
      <c r="AK1043" s="18" t="inlineStr">
        <is>
          <t>사용</t>
        </is>
      </c>
      <c r="AL1043" s="18" t="inlineStr">
        <is>
          <t>COBBLEVERSE 1.7.42 / DP v31</t>
        </is>
      </c>
      <c r="AM1043" s="18" t="inlineStr">
        <is>
          <t>data/cobblemon/spawn_pool_world/0251_celebi.json</t>
        </is>
      </c>
      <c r="AN1043" s="18" t="inlineStr">
        <is>
          <t>celebi-1</t>
        </is>
      </c>
      <c r="AO1043" s="18" t="inlineStr">
        <is>
          <t>pokemon</t>
        </is>
      </c>
      <c r="AP1043" s="18" t="inlineStr"/>
      <c r="AQ1043" s="18" t="inlineStr">
        <is>
          <t>{"biomes":["cobbleverse:custom_spawn/ilex_shrine"]}</t>
        </is>
      </c>
      <c r="AR1043" s="18" t="inlineStr"/>
      <c r="AS1043" s="18" t="inlineStr"/>
      <c r="AT1043" s="19" t="inlineStr"/>
    </row>
    <row r="1044" ht="32" customHeight="1">
      <c r="A1044" s="18" t="inlineStr">
        <is>
          <t>0252_treecko.json::treecko-1::001</t>
        </is>
      </c>
      <c r="B1044" s="19" t="inlineStr">
        <is>
          <t>사용</t>
        </is>
      </c>
      <c r="C1044" s="18">
        <f>IF(OR(B1044&lt;&gt;AK1044,M1044&lt;&gt;L1044,O1044&lt;&gt;"",Q1044&lt;&gt;"",V1044&lt;&gt;1,Y1044&lt;&gt;"",AT1044&lt;&gt;""),"수정","원본")</f>
        <v/>
      </c>
      <c r="D1044" s="18" t="n">
        <v>252</v>
      </c>
      <c r="E1044" s="18" t="inlineStr">
        <is>
          <t>나무지기</t>
        </is>
      </c>
      <c r="F1044" s="18" t="inlineStr">
        <is>
          <t>treecko</t>
        </is>
      </c>
      <c r="G1044" s="18" t="inlineStr">
        <is>
          <t>treecko</t>
        </is>
      </c>
      <c r="H1044" s="18" t="inlineStr"/>
      <c r="I1044" s="18" t="n">
        <v>3</v>
      </c>
      <c r="J1044" s="18" t="n"/>
      <c r="K1044" s="18" t="n">
        <v>3</v>
      </c>
      <c r="L1044" s="18" t="inlineStr">
        <is>
          <t>cobbleventure:generation_3</t>
        </is>
      </c>
      <c r="M1044" s="19" t="inlineStr">
        <is>
          <t>cobbleventure:generation_3</t>
        </is>
      </c>
      <c r="N1044" s="18" t="inlineStr"/>
      <c r="O1044" s="19" t="inlineStr"/>
      <c r="P1044" s="18" t="inlineStr">
        <is>
          <t>#cobblemon:is_jungle; aether:skyroot_forest; aether:skyroot_woodland</t>
        </is>
      </c>
      <c r="Q1044" s="19" t="inlineStr"/>
      <c r="R1044" s="18">
        <f>IF(Q1044="",P1044,Q1044)</f>
        <v/>
      </c>
      <c r="S1044" s="18" t="inlineStr"/>
      <c r="T1044" s="18" t="inlineStr">
        <is>
          <t>ultra-rare</t>
        </is>
      </c>
      <c r="U1044" s="20" t="n">
        <v>6</v>
      </c>
      <c r="V1044" s="21" t="n">
        <v>1</v>
      </c>
      <c r="W1044" s="20">
        <f>IF(OR(U1044="",V1044=""),U1044,U1044*V1044)</f>
        <v/>
      </c>
      <c r="X1044" s="18" t="inlineStr">
        <is>
          <t>5-31</t>
        </is>
      </c>
      <c r="Y1044" s="19" t="inlineStr"/>
      <c r="Z1044" s="18">
        <f>IF(Y1044="",X1044,Y1044)</f>
        <v/>
      </c>
      <c r="AA1044" s="18" t="inlineStr">
        <is>
          <t>grounded</t>
        </is>
      </c>
      <c r="AB1044" s="18" t="inlineStr"/>
      <c r="AC1044" s="18" t="inlineStr"/>
      <c r="AD1044" s="18" t="inlineStr"/>
      <c r="AE1044" s="18" t="inlineStr">
        <is>
          <t>sky 8-15</t>
        </is>
      </c>
      <c r="AF1044" s="18" t="inlineStr"/>
      <c r="AG1044" s="18" t="inlineStr"/>
      <c r="AH1044" s="18" t="inlineStr"/>
      <c r="AI1044" s="18" t="inlineStr"/>
      <c r="AJ1044" s="18" t="inlineStr">
        <is>
          <t>Cobblemon 동일</t>
        </is>
      </c>
      <c r="AK1044" s="18" t="inlineStr">
        <is>
          <t>사용</t>
        </is>
      </c>
      <c r="AL1044" s="18" t="inlineStr">
        <is>
          <t>COBBLEVERSE 1.7.42 / DP v31</t>
        </is>
      </c>
      <c r="AM1044" s="18" t="inlineStr">
        <is>
          <t>data/cobblemon/spawn_pool_world/0252_treecko.json</t>
        </is>
      </c>
      <c r="AN1044" s="18" t="inlineStr">
        <is>
          <t>treecko-1</t>
        </is>
      </c>
      <c r="AO1044" s="18" t="inlineStr">
        <is>
          <t>pokemon</t>
        </is>
      </c>
      <c r="AP1044" s="18" t="inlineStr">
        <is>
          <t>natural; treetop</t>
        </is>
      </c>
      <c r="AQ1044" s="18" t="inlineStr">
        <is>
          <t>{"biomes":["#cobblemon:is_jungle","aether:skyroot_forest","aether:skyroot_woodland"],"maxSkyLight":15,"minSkyLight":8}</t>
        </is>
      </c>
      <c r="AR1044" s="18" t="inlineStr"/>
      <c r="AS1044" s="18" t="inlineStr"/>
      <c r="AT1044" s="19" t="inlineStr"/>
    </row>
    <row r="1045" ht="32" customHeight="1">
      <c r="A1045" s="18" t="inlineStr">
        <is>
          <t>0253_grovyle.json::grovyle-1::001</t>
        </is>
      </c>
      <c r="B1045" s="19" t="inlineStr">
        <is>
          <t>사용</t>
        </is>
      </c>
      <c r="C1045" s="18">
        <f>IF(OR(B1045&lt;&gt;AK1045,M1045&lt;&gt;L1045,O1045&lt;&gt;"",Q1045&lt;&gt;"",V1045&lt;&gt;1,Y1045&lt;&gt;"",AT1045&lt;&gt;""),"수정","원본")</f>
        <v/>
      </c>
      <c r="D1045" s="18" t="n">
        <v>253</v>
      </c>
      <c r="E1045" s="18" t="inlineStr">
        <is>
          <t>나무돌이</t>
        </is>
      </c>
      <c r="F1045" s="18" t="inlineStr">
        <is>
          <t>grovyle</t>
        </is>
      </c>
      <c r="G1045" s="18" t="inlineStr">
        <is>
          <t>grovyle</t>
        </is>
      </c>
      <c r="H1045" s="18" t="inlineStr"/>
      <c r="I1045" s="18" t="n">
        <v>3</v>
      </c>
      <c r="J1045" s="18" t="n"/>
      <c r="K1045" s="18" t="n">
        <v>3</v>
      </c>
      <c r="L1045" s="18" t="inlineStr">
        <is>
          <t>cobbleventure:generation_3</t>
        </is>
      </c>
      <c r="M1045" s="19" t="inlineStr">
        <is>
          <t>cobbleventure:generation_3</t>
        </is>
      </c>
      <c r="N1045" s="18" t="inlineStr"/>
      <c r="O1045" s="19" t="inlineStr"/>
      <c r="P1045" s="18" t="inlineStr">
        <is>
          <t>#cobblemon:is_jungle; aether:skyroot_forest; aether:skyroot_woodland</t>
        </is>
      </c>
      <c r="Q1045" s="19" t="inlineStr"/>
      <c r="R1045" s="18">
        <f>IF(Q1045="",P1045,Q1045)</f>
        <v/>
      </c>
      <c r="S1045" s="18" t="inlineStr"/>
      <c r="T1045" s="18" t="inlineStr">
        <is>
          <t>ultra-rare</t>
        </is>
      </c>
      <c r="U1045" s="20" t="n">
        <v>3.6</v>
      </c>
      <c r="V1045" s="21" t="n">
        <v>1</v>
      </c>
      <c r="W1045" s="20">
        <f>IF(OR(U1045="",V1045=""),U1045,U1045*V1045)</f>
        <v/>
      </c>
      <c r="X1045" s="18" t="inlineStr">
        <is>
          <t>16-41</t>
        </is>
      </c>
      <c r="Y1045" s="19" t="inlineStr"/>
      <c r="Z1045" s="18">
        <f>IF(Y1045="",X1045,Y1045)</f>
        <v/>
      </c>
      <c r="AA1045" s="18" t="inlineStr">
        <is>
          <t>grounded</t>
        </is>
      </c>
      <c r="AB1045" s="18" t="inlineStr"/>
      <c r="AC1045" s="18" t="inlineStr"/>
      <c r="AD1045" s="18" t="inlineStr"/>
      <c r="AE1045" s="18" t="inlineStr">
        <is>
          <t>sky 8-15</t>
        </is>
      </c>
      <c r="AF1045" s="18" t="inlineStr"/>
      <c r="AG1045" s="18" t="inlineStr"/>
      <c r="AH1045" s="18" t="inlineStr"/>
      <c r="AI1045" s="18" t="inlineStr"/>
      <c r="AJ1045" s="18" t="inlineStr">
        <is>
          <t>Cobblemon 동일</t>
        </is>
      </c>
      <c r="AK1045" s="18" t="inlineStr">
        <is>
          <t>사용</t>
        </is>
      </c>
      <c r="AL1045" s="18" t="inlineStr">
        <is>
          <t>COBBLEVERSE 1.7.42 / DP v31</t>
        </is>
      </c>
      <c r="AM1045" s="18" t="inlineStr">
        <is>
          <t>data/cobblemon/spawn_pool_world/0253_grovyle.json</t>
        </is>
      </c>
      <c r="AN1045" s="18" t="inlineStr">
        <is>
          <t>grovyle-1</t>
        </is>
      </c>
      <c r="AO1045" s="18" t="inlineStr">
        <is>
          <t>pokemon</t>
        </is>
      </c>
      <c r="AP1045" s="18" t="inlineStr">
        <is>
          <t>natural; treetop</t>
        </is>
      </c>
      <c r="AQ1045" s="18" t="inlineStr">
        <is>
          <t>{"biomes":["#cobblemon:is_jungle","aether:skyroot_forest","aether:skyroot_woodland"],"maxSkyLight":15,"minSkyLight":8}</t>
        </is>
      </c>
      <c r="AR1045" s="18" t="inlineStr"/>
      <c r="AS1045" s="18" t="inlineStr"/>
      <c r="AT1045" s="19" t="inlineStr"/>
    </row>
    <row r="1046" ht="32" customHeight="1">
      <c r="A1046" s="18" t="inlineStr">
        <is>
          <t>0254_sceptile.json::sceptile-1::001</t>
        </is>
      </c>
      <c r="B1046" s="19" t="inlineStr">
        <is>
          <t>사용</t>
        </is>
      </c>
      <c r="C1046" s="18">
        <f>IF(OR(B1046&lt;&gt;AK1046,M1046&lt;&gt;L1046,O1046&lt;&gt;"",Q1046&lt;&gt;"",V1046&lt;&gt;1,Y1046&lt;&gt;"",AT1046&lt;&gt;""),"수정","원본")</f>
        <v/>
      </c>
      <c r="D1046" s="18" t="n">
        <v>254</v>
      </c>
      <c r="E1046" s="18" t="inlineStr">
        <is>
          <t>나무킹</t>
        </is>
      </c>
      <c r="F1046" s="18" t="inlineStr">
        <is>
          <t>sceptile</t>
        </is>
      </c>
      <c r="G1046" s="18" t="inlineStr">
        <is>
          <t>sceptile</t>
        </is>
      </c>
      <c r="H1046" s="18" t="inlineStr"/>
      <c r="I1046" s="18" t="n">
        <v>3</v>
      </c>
      <c r="J1046" s="18" t="n"/>
      <c r="K1046" s="18" t="n">
        <v>3</v>
      </c>
      <c r="L1046" s="18" t="inlineStr">
        <is>
          <t>cobbleventure:generation_3</t>
        </is>
      </c>
      <c r="M1046" s="19" t="inlineStr">
        <is>
          <t>cobbleventure:generation_3</t>
        </is>
      </c>
      <c r="N1046" s="18" t="inlineStr"/>
      <c r="O1046" s="19" t="inlineStr"/>
      <c r="P1046" s="18" t="inlineStr">
        <is>
          <t>#cobblemon:is_jungle; aether:skyroot_forest; aether:skyroot_woodland</t>
        </is>
      </c>
      <c r="Q1046" s="19" t="inlineStr"/>
      <c r="R1046" s="18">
        <f>IF(Q1046="",P1046,Q1046)</f>
        <v/>
      </c>
      <c r="S1046" s="18" t="inlineStr"/>
      <c r="T1046" s="18" t="inlineStr">
        <is>
          <t>ultra-rare</t>
        </is>
      </c>
      <c r="U1046" s="20" t="n">
        <v>0.4</v>
      </c>
      <c r="V1046" s="21" t="n">
        <v>1</v>
      </c>
      <c r="W1046" s="20">
        <f>IF(OR(U1046="",V1046=""),U1046,U1046*V1046)</f>
        <v/>
      </c>
      <c r="X1046" s="18" t="inlineStr">
        <is>
          <t>36-53</t>
        </is>
      </c>
      <c r="Y1046" s="19" t="inlineStr"/>
      <c r="Z1046" s="18">
        <f>IF(Y1046="",X1046,Y1046)</f>
        <v/>
      </c>
      <c r="AA1046" s="18" t="inlineStr">
        <is>
          <t>grounded</t>
        </is>
      </c>
      <c r="AB1046" s="18" t="inlineStr"/>
      <c r="AC1046" s="18" t="inlineStr"/>
      <c r="AD1046" s="18" t="inlineStr"/>
      <c r="AE1046" s="18" t="inlineStr">
        <is>
          <t>sky 8-15</t>
        </is>
      </c>
      <c r="AF1046" s="18" t="inlineStr"/>
      <c r="AG1046" s="18" t="inlineStr"/>
      <c r="AH1046" s="18" t="inlineStr"/>
      <c r="AI1046" s="18" t="inlineStr"/>
      <c r="AJ1046" s="18" t="inlineStr">
        <is>
          <t>Cobblemon 동일</t>
        </is>
      </c>
      <c r="AK1046" s="18" t="inlineStr">
        <is>
          <t>사용</t>
        </is>
      </c>
      <c r="AL1046" s="18" t="inlineStr">
        <is>
          <t>COBBLEVERSE 1.7.42 / DP v31</t>
        </is>
      </c>
      <c r="AM1046" s="18" t="inlineStr">
        <is>
          <t>data/cobblemon/spawn_pool_world/0254_sceptile.json</t>
        </is>
      </c>
      <c r="AN1046" s="18" t="inlineStr">
        <is>
          <t>sceptile-1</t>
        </is>
      </c>
      <c r="AO1046" s="18" t="inlineStr">
        <is>
          <t>pokemon</t>
        </is>
      </c>
      <c r="AP1046" s="18" t="inlineStr">
        <is>
          <t>natural; treetop</t>
        </is>
      </c>
      <c r="AQ1046" s="18" t="inlineStr">
        <is>
          <t>{"biomes":["#cobblemon:is_jungle","aether:skyroot_forest","aether:skyroot_woodland"],"maxSkyLight":15,"minSkyLight":8}</t>
        </is>
      </c>
      <c r="AR1046" s="18" t="inlineStr"/>
      <c r="AS1046" s="18" t="inlineStr"/>
      <c r="AT1046" s="19" t="inlineStr"/>
    </row>
    <row r="1047" ht="32" customHeight="1">
      <c r="A1047" s="18" t="inlineStr">
        <is>
          <t>0255_torchic.json::torchic-1::001</t>
        </is>
      </c>
      <c r="B1047" s="19" t="inlineStr">
        <is>
          <t>사용</t>
        </is>
      </c>
      <c r="C1047" s="18">
        <f>IF(OR(B1047&lt;&gt;AK1047,M1047&lt;&gt;L1047,O1047&lt;&gt;"",Q1047&lt;&gt;"",V1047&lt;&gt;1,Y1047&lt;&gt;"",AT1047&lt;&gt;""),"수정","원본")</f>
        <v/>
      </c>
      <c r="D1047" s="18" t="n">
        <v>255</v>
      </c>
      <c r="E1047" s="18" t="inlineStr">
        <is>
          <t>아차모</t>
        </is>
      </c>
      <c r="F1047" s="18" t="inlineStr">
        <is>
          <t>torchic</t>
        </is>
      </c>
      <c r="G1047" s="18" t="inlineStr">
        <is>
          <t>torchic</t>
        </is>
      </c>
      <c r="H1047" s="18" t="inlineStr"/>
      <c r="I1047" s="18" t="n">
        <v>3</v>
      </c>
      <c r="J1047" s="18" t="n"/>
      <c r="K1047" s="18" t="n">
        <v>3</v>
      </c>
      <c r="L1047" s="18" t="inlineStr">
        <is>
          <t>cobbleventure:generation_3</t>
        </is>
      </c>
      <c r="M1047" s="19" t="inlineStr">
        <is>
          <t>cobbleventure:generation_3</t>
        </is>
      </c>
      <c r="N1047" s="18" t="inlineStr">
        <is>
          <t>region_01</t>
        </is>
      </c>
      <c r="O1047" s="19" t="inlineStr"/>
      <c r="P1047" s="18" t="inlineStr">
        <is>
          <t>#cobblemon:is_plains; aether:skyroot_grove; aether:skyroot_meadow</t>
        </is>
      </c>
      <c r="Q1047" s="19" t="inlineStr"/>
      <c r="R1047" s="18">
        <f>IF(Q1047="",P1047,Q1047)</f>
        <v/>
      </c>
      <c r="S1047" s="18" t="inlineStr"/>
      <c r="T1047" s="18" t="inlineStr">
        <is>
          <t>ultra-rare</t>
        </is>
      </c>
      <c r="U1047" s="20" t="n">
        <v>6</v>
      </c>
      <c r="V1047" s="21" t="n">
        <v>1</v>
      </c>
      <c r="W1047" s="20">
        <f>IF(OR(U1047="",V1047=""),U1047,U1047*V1047)</f>
        <v/>
      </c>
      <c r="X1047" s="18" t="inlineStr">
        <is>
          <t>5-31</t>
        </is>
      </c>
      <c r="Y1047" s="19" t="inlineStr"/>
      <c r="Z1047" s="18">
        <f>IF(Y1047="",X1047,Y1047)</f>
        <v/>
      </c>
      <c r="AA1047" s="18" t="inlineStr">
        <is>
          <t>grounded</t>
        </is>
      </c>
      <c r="AB1047" s="18" t="inlineStr"/>
      <c r="AC1047" s="18" t="inlineStr"/>
      <c r="AD1047" s="18" t="inlineStr"/>
      <c r="AE1047" s="18" t="inlineStr">
        <is>
          <t>sky 8-15</t>
        </is>
      </c>
      <c r="AF1047" s="18" t="inlineStr"/>
      <c r="AG1047" s="18" t="inlineStr"/>
      <c r="AH1047" s="18" t="inlineStr"/>
      <c r="AI1047" s="18" t="inlineStr"/>
      <c r="AJ1047" s="18" t="inlineStr">
        <is>
          <t>Cobblemon 동일</t>
        </is>
      </c>
      <c r="AK1047" s="18" t="inlineStr">
        <is>
          <t>사용</t>
        </is>
      </c>
      <c r="AL1047" s="18" t="inlineStr">
        <is>
          <t>COBBLEVERSE 1.7.42 / DP v31</t>
        </is>
      </c>
      <c r="AM1047" s="18" t="inlineStr">
        <is>
          <t>data/cobblemon/spawn_pool_world/0255_torchic.json</t>
        </is>
      </c>
      <c r="AN1047" s="18" t="inlineStr">
        <is>
          <t>torchic-1</t>
        </is>
      </c>
      <c r="AO1047" s="18" t="inlineStr">
        <is>
          <t>pokemon</t>
        </is>
      </c>
      <c r="AP1047" s="18" t="inlineStr">
        <is>
          <t>natural</t>
        </is>
      </c>
      <c r="AQ1047" s="18" t="inlineStr">
        <is>
          <t>{"biomes":["#cobblemon:is_plains","aether:skyroot_grove","aether:skyroot_meadow"],"maxSkyLight":15,"minSkyLight":8}</t>
        </is>
      </c>
      <c r="AR1047" s="18" t="inlineStr"/>
      <c r="AS1047" s="18" t="inlineStr"/>
      <c r="AT1047" s="19" t="inlineStr"/>
    </row>
    <row r="1048" ht="32" customHeight="1">
      <c r="A1048" s="18" t="inlineStr">
        <is>
          <t>0256_combusken.json::combusken-1::001</t>
        </is>
      </c>
      <c r="B1048" s="19" t="inlineStr">
        <is>
          <t>사용</t>
        </is>
      </c>
      <c r="C1048" s="18">
        <f>IF(OR(B1048&lt;&gt;AK1048,M1048&lt;&gt;L1048,O1048&lt;&gt;"",Q1048&lt;&gt;"",V1048&lt;&gt;1,Y1048&lt;&gt;"",AT1048&lt;&gt;""),"수정","원본")</f>
        <v/>
      </c>
      <c r="D1048" s="18" t="n">
        <v>256</v>
      </c>
      <c r="E1048" s="18" t="inlineStr">
        <is>
          <t>영치코</t>
        </is>
      </c>
      <c r="F1048" s="18" t="inlineStr">
        <is>
          <t>combusken</t>
        </is>
      </c>
      <c r="G1048" s="18" t="inlineStr">
        <is>
          <t>combusken</t>
        </is>
      </c>
      <c r="H1048" s="18" t="inlineStr"/>
      <c r="I1048" s="18" t="n">
        <v>3</v>
      </c>
      <c r="J1048" s="18" t="n"/>
      <c r="K1048" s="18" t="n">
        <v>3</v>
      </c>
      <c r="L1048" s="18" t="inlineStr">
        <is>
          <t>cobbleventure:generation_3</t>
        </is>
      </c>
      <c r="M1048" s="19" t="inlineStr">
        <is>
          <t>cobbleventure:generation_3</t>
        </is>
      </c>
      <c r="N1048" s="18" t="inlineStr">
        <is>
          <t>region_01</t>
        </is>
      </c>
      <c r="O1048" s="19" t="inlineStr"/>
      <c r="P1048" s="18" t="inlineStr">
        <is>
          <t>#cobblemon:is_plains; aether:skyroot_grove; aether:skyroot_meadow</t>
        </is>
      </c>
      <c r="Q1048" s="19" t="inlineStr"/>
      <c r="R1048" s="18">
        <f>IF(Q1048="",P1048,Q1048)</f>
        <v/>
      </c>
      <c r="S1048" s="18" t="inlineStr"/>
      <c r="T1048" s="18" t="inlineStr">
        <is>
          <t>ultra-rare</t>
        </is>
      </c>
      <c r="U1048" s="20" t="n">
        <v>3.6</v>
      </c>
      <c r="V1048" s="21" t="n">
        <v>1</v>
      </c>
      <c r="W1048" s="20">
        <f>IF(OR(U1048="",V1048=""),U1048,U1048*V1048)</f>
        <v/>
      </c>
      <c r="X1048" s="18" t="inlineStr">
        <is>
          <t>16-41</t>
        </is>
      </c>
      <c r="Y1048" s="19" t="inlineStr"/>
      <c r="Z1048" s="18">
        <f>IF(Y1048="",X1048,Y1048)</f>
        <v/>
      </c>
      <c r="AA1048" s="18" t="inlineStr">
        <is>
          <t>grounded</t>
        </is>
      </c>
      <c r="AB1048" s="18" t="inlineStr"/>
      <c r="AC1048" s="18" t="inlineStr"/>
      <c r="AD1048" s="18" t="inlineStr"/>
      <c r="AE1048" s="18" t="inlineStr">
        <is>
          <t>sky 8-15</t>
        </is>
      </c>
      <c r="AF1048" s="18" t="inlineStr"/>
      <c r="AG1048" s="18" t="inlineStr"/>
      <c r="AH1048" s="18" t="inlineStr"/>
      <c r="AI1048" s="18" t="inlineStr"/>
      <c r="AJ1048" s="18" t="inlineStr">
        <is>
          <t>Cobblemon 동일</t>
        </is>
      </c>
      <c r="AK1048" s="18" t="inlineStr">
        <is>
          <t>사용</t>
        </is>
      </c>
      <c r="AL1048" s="18" t="inlineStr">
        <is>
          <t>COBBLEVERSE 1.7.42 / DP v31</t>
        </is>
      </c>
      <c r="AM1048" s="18" t="inlineStr">
        <is>
          <t>data/cobblemon/spawn_pool_world/0256_combusken.json</t>
        </is>
      </c>
      <c r="AN1048" s="18" t="inlineStr">
        <is>
          <t>combusken-1</t>
        </is>
      </c>
      <c r="AO1048" s="18" t="inlineStr">
        <is>
          <t>pokemon</t>
        </is>
      </c>
      <c r="AP1048" s="18" t="inlineStr">
        <is>
          <t>natural</t>
        </is>
      </c>
      <c r="AQ1048" s="18" t="inlineStr">
        <is>
          <t>{"biomes":["#cobblemon:is_plains","aether:skyroot_grove","aether:skyroot_meadow"],"maxSkyLight":15,"minSkyLight":8}</t>
        </is>
      </c>
      <c r="AR1048" s="18" t="inlineStr"/>
      <c r="AS1048" s="18" t="inlineStr"/>
      <c r="AT1048" s="19" t="inlineStr"/>
    </row>
    <row r="1049" ht="32" customHeight="1">
      <c r="A1049" s="18" t="inlineStr">
        <is>
          <t>0257_blaziken.json::blaziken-1::001</t>
        </is>
      </c>
      <c r="B1049" s="19" t="inlineStr">
        <is>
          <t>사용</t>
        </is>
      </c>
      <c r="C1049" s="18">
        <f>IF(OR(B1049&lt;&gt;AK1049,M1049&lt;&gt;L1049,O1049&lt;&gt;"",Q1049&lt;&gt;"",V1049&lt;&gt;1,Y1049&lt;&gt;"",AT1049&lt;&gt;""),"수정","원본")</f>
        <v/>
      </c>
      <c r="D1049" s="18" t="n">
        <v>257</v>
      </c>
      <c r="E1049" s="18" t="inlineStr">
        <is>
          <t>번치코</t>
        </is>
      </c>
      <c r="F1049" s="18" t="inlineStr">
        <is>
          <t>blaziken</t>
        </is>
      </c>
      <c r="G1049" s="18" t="inlineStr">
        <is>
          <t>blaziken</t>
        </is>
      </c>
      <c r="H1049" s="18" t="inlineStr"/>
      <c r="I1049" s="18" t="n">
        <v>3</v>
      </c>
      <c r="J1049" s="18" t="n"/>
      <c r="K1049" s="18" t="n">
        <v>3</v>
      </c>
      <c r="L1049" s="18" t="inlineStr">
        <is>
          <t>cobbleventure:generation_3</t>
        </is>
      </c>
      <c r="M1049" s="19" t="inlineStr">
        <is>
          <t>cobbleventure:generation_3</t>
        </is>
      </c>
      <c r="N1049" s="18" t="inlineStr">
        <is>
          <t>region_01</t>
        </is>
      </c>
      <c r="O1049" s="19" t="inlineStr"/>
      <c r="P1049" s="18" t="inlineStr">
        <is>
          <t>#cobblemon:is_plains; aether:skyroot_grove; aether:skyroot_meadow</t>
        </is>
      </c>
      <c r="Q1049" s="19" t="inlineStr"/>
      <c r="R1049" s="18">
        <f>IF(Q1049="",P1049,Q1049)</f>
        <v/>
      </c>
      <c r="S1049" s="18" t="inlineStr"/>
      <c r="T1049" s="18" t="inlineStr">
        <is>
          <t>ultra-rare</t>
        </is>
      </c>
      <c r="U1049" s="20" t="n">
        <v>0.4</v>
      </c>
      <c r="V1049" s="21" t="n">
        <v>1</v>
      </c>
      <c r="W1049" s="20">
        <f>IF(OR(U1049="",V1049=""),U1049,U1049*V1049)</f>
        <v/>
      </c>
      <c r="X1049" s="18" t="inlineStr">
        <is>
          <t>36-53</t>
        </is>
      </c>
      <c r="Y1049" s="19" t="inlineStr"/>
      <c r="Z1049" s="18">
        <f>IF(Y1049="",X1049,Y1049)</f>
        <v/>
      </c>
      <c r="AA1049" s="18" t="inlineStr">
        <is>
          <t>grounded</t>
        </is>
      </c>
      <c r="AB1049" s="18" t="inlineStr"/>
      <c r="AC1049" s="18" t="inlineStr"/>
      <c r="AD1049" s="18" t="inlineStr"/>
      <c r="AE1049" s="18" t="inlineStr">
        <is>
          <t>sky 8-15</t>
        </is>
      </c>
      <c r="AF1049" s="18" t="inlineStr"/>
      <c r="AG1049" s="18" t="inlineStr"/>
      <c r="AH1049" s="18" t="inlineStr"/>
      <c r="AI1049" s="18" t="inlineStr"/>
      <c r="AJ1049" s="18" t="inlineStr">
        <is>
          <t>Cobblemon 동일</t>
        </is>
      </c>
      <c r="AK1049" s="18" t="inlineStr">
        <is>
          <t>사용</t>
        </is>
      </c>
      <c r="AL1049" s="18" t="inlineStr">
        <is>
          <t>COBBLEVERSE 1.7.42 / DP v31</t>
        </is>
      </c>
      <c r="AM1049" s="18" t="inlineStr">
        <is>
          <t>data/cobblemon/spawn_pool_world/0257_blaziken.json</t>
        </is>
      </c>
      <c r="AN1049" s="18" t="inlineStr">
        <is>
          <t>blaziken-1</t>
        </is>
      </c>
      <c r="AO1049" s="18" t="inlineStr">
        <is>
          <t>pokemon</t>
        </is>
      </c>
      <c r="AP1049" s="18" t="inlineStr">
        <is>
          <t>natural</t>
        </is>
      </c>
      <c r="AQ1049" s="18" t="inlineStr">
        <is>
          <t>{"biomes":["#cobblemon:is_plains","aether:skyroot_grove","aether:skyroot_meadow"],"maxSkyLight":15,"minSkyLight":8}</t>
        </is>
      </c>
      <c r="AR1049" s="18" t="inlineStr"/>
      <c r="AS1049" s="18" t="inlineStr"/>
      <c r="AT1049" s="19" t="inlineStr"/>
    </row>
    <row r="1050" ht="32" customHeight="1">
      <c r="A1050" s="18" t="inlineStr">
        <is>
          <t>0258_mudkip.json::mudkip-1::001</t>
        </is>
      </c>
      <c r="B1050" s="19" t="inlineStr">
        <is>
          <t>사용</t>
        </is>
      </c>
      <c r="C1050" s="18">
        <f>IF(OR(B1050&lt;&gt;AK1050,M1050&lt;&gt;L1050,O1050&lt;&gt;"",Q1050&lt;&gt;"",V1050&lt;&gt;1,Y1050&lt;&gt;"",AT1050&lt;&gt;""),"수정","원본")</f>
        <v/>
      </c>
      <c r="D1050" s="18" t="n">
        <v>258</v>
      </c>
      <c r="E1050" s="18" t="inlineStr">
        <is>
          <t>물짱이</t>
        </is>
      </c>
      <c r="F1050" s="18" t="inlineStr">
        <is>
          <t>mudkip</t>
        </is>
      </c>
      <c r="G1050" s="18" t="inlineStr">
        <is>
          <t>mudkip</t>
        </is>
      </c>
      <c r="H1050" s="18" t="inlineStr"/>
      <c r="I1050" s="18" t="n">
        <v>3</v>
      </c>
      <c r="J1050" s="18" t="n"/>
      <c r="K1050" s="18" t="n">
        <v>3</v>
      </c>
      <c r="L1050" s="18" t="inlineStr">
        <is>
          <t>cobbleventure:generation_3</t>
        </is>
      </c>
      <c r="M1050" s="19" t="inlineStr">
        <is>
          <t>cobbleventure:generation_3</t>
        </is>
      </c>
      <c r="N1050" s="18" t="inlineStr">
        <is>
          <t>region_02</t>
        </is>
      </c>
      <c r="O1050" s="19" t="inlineStr"/>
      <c r="P1050" s="18" t="inlineStr">
        <is>
          <t>#cobblemon:is_swamp</t>
        </is>
      </c>
      <c r="Q1050" s="19" t="inlineStr"/>
      <c r="R1050" s="18">
        <f>IF(Q1050="",P1050,Q1050)</f>
        <v/>
      </c>
      <c r="S1050" s="18" t="inlineStr"/>
      <c r="T1050" s="18" t="inlineStr">
        <is>
          <t>ultra-rare</t>
        </is>
      </c>
      <c r="U1050" s="20" t="n">
        <v>6</v>
      </c>
      <c r="V1050" s="21" t="n">
        <v>1</v>
      </c>
      <c r="W1050" s="20">
        <f>IF(OR(U1050="",V1050=""),U1050,U1050*V1050)</f>
        <v/>
      </c>
      <c r="X1050" s="18" t="inlineStr">
        <is>
          <t>5-31</t>
        </is>
      </c>
      <c r="Y1050" s="19" t="inlineStr"/>
      <c r="Z1050" s="18">
        <f>IF(Y1050="",X1050,Y1050)</f>
        <v/>
      </c>
      <c r="AA1050" s="18" t="inlineStr">
        <is>
          <t>grounded</t>
        </is>
      </c>
      <c r="AB1050" s="18" t="inlineStr"/>
      <c r="AC1050" s="18" t="inlineStr"/>
      <c r="AD1050" s="18" t="inlineStr"/>
      <c r="AE1050" s="18" t="inlineStr">
        <is>
          <t>sky 8-15</t>
        </is>
      </c>
      <c r="AF1050" s="18" t="inlineStr"/>
      <c r="AG1050" s="18" t="inlineStr"/>
      <c r="AH1050" s="18" t="inlineStr"/>
      <c r="AI1050" s="18" t="inlineStr"/>
      <c r="AJ1050" s="18" t="inlineStr">
        <is>
          <t>Cobblemon 동일</t>
        </is>
      </c>
      <c r="AK1050" s="18" t="inlineStr">
        <is>
          <t>사용</t>
        </is>
      </c>
      <c r="AL1050" s="18" t="inlineStr">
        <is>
          <t>COBBLEVERSE 1.7.42 / DP v31</t>
        </is>
      </c>
      <c r="AM1050" s="18" t="inlineStr">
        <is>
          <t>data/cobblemon/spawn_pool_world/0258_mudkip.json</t>
        </is>
      </c>
      <c r="AN1050" s="18" t="inlineStr">
        <is>
          <t>mudkip-1</t>
        </is>
      </c>
      <c r="AO1050" s="18" t="inlineStr">
        <is>
          <t>pokemon</t>
        </is>
      </c>
      <c r="AP1050" s="18" t="inlineStr">
        <is>
          <t>natural</t>
        </is>
      </c>
      <c r="AQ1050" s="18" t="inlineStr">
        <is>
          <t>{"biomes":["#cobblemon:is_swamp"],"maxSkyLight":15,"minSkyLight":8}</t>
        </is>
      </c>
      <c r="AR1050" s="18" t="inlineStr"/>
      <c r="AS1050" s="18" t="inlineStr">
        <is>
          <t>{"weightMultiplier":{"condition":{"isRaining":true},"multiplier":1.5}}</t>
        </is>
      </c>
      <c r="AT1050" s="19" t="inlineStr"/>
    </row>
    <row r="1051" ht="32" customHeight="1">
      <c r="A1051" s="18" t="inlineStr">
        <is>
          <t>0258_mudkip.json::mudkip-2::002</t>
        </is>
      </c>
      <c r="B1051" s="19" t="inlineStr">
        <is>
          <t>사용</t>
        </is>
      </c>
      <c r="C1051" s="18">
        <f>IF(OR(B1051&lt;&gt;AK1051,M1051&lt;&gt;L1051,O1051&lt;&gt;"",Q1051&lt;&gt;"",V1051&lt;&gt;1,Y1051&lt;&gt;"",AT1051&lt;&gt;""),"수정","원본")</f>
        <v/>
      </c>
      <c r="D1051" s="18" t="n">
        <v>258</v>
      </c>
      <c r="E1051" s="18" t="inlineStr">
        <is>
          <t>물짱이</t>
        </is>
      </c>
      <c r="F1051" s="18" t="inlineStr">
        <is>
          <t>mudkip</t>
        </is>
      </c>
      <c r="G1051" s="18" t="inlineStr">
        <is>
          <t>mudkip</t>
        </is>
      </c>
      <c r="H1051" s="18" t="inlineStr"/>
      <c r="I1051" s="18" t="n">
        <v>3</v>
      </c>
      <c r="J1051" s="18" t="n"/>
      <c r="K1051" s="18" t="n">
        <v>3</v>
      </c>
      <c r="L1051" s="18" t="inlineStr">
        <is>
          <t>cobbleventure:generation_3</t>
        </is>
      </c>
      <c r="M1051" s="19" t="inlineStr">
        <is>
          <t>cobbleventure:generation_3</t>
        </is>
      </c>
      <c r="N1051" s="18" t="inlineStr">
        <is>
          <t>region_02</t>
        </is>
      </c>
      <c r="O1051" s="19" t="inlineStr"/>
      <c r="P1051" s="18" t="inlineStr">
        <is>
          <t>#cobblemon:is_swamp</t>
        </is>
      </c>
      <c r="Q1051" s="19" t="inlineStr"/>
      <c r="R1051" s="18">
        <f>IF(Q1051="",P1051,Q1051)</f>
        <v/>
      </c>
      <c r="S1051" s="18" t="inlineStr"/>
      <c r="T1051" s="18" t="inlineStr">
        <is>
          <t>ultra-rare</t>
        </is>
      </c>
      <c r="U1051" s="20" t="n">
        <v>6</v>
      </c>
      <c r="V1051" s="21" t="n">
        <v>1</v>
      </c>
      <c r="W1051" s="20">
        <f>IF(OR(U1051="",V1051=""),U1051,U1051*V1051)</f>
        <v/>
      </c>
      <c r="X1051" s="18" t="inlineStr">
        <is>
          <t>5-31</t>
        </is>
      </c>
      <c r="Y1051" s="19" t="inlineStr"/>
      <c r="Z1051" s="18">
        <f>IF(Y1051="",X1051,Y1051)</f>
        <v/>
      </c>
      <c r="AA1051" s="18" t="inlineStr">
        <is>
          <t>submerged</t>
        </is>
      </c>
      <c r="AB1051" s="18" t="inlineStr"/>
      <c r="AC1051" s="18" t="inlineStr"/>
      <c r="AD1051" s="18" t="inlineStr"/>
      <c r="AE1051" s="18" t="inlineStr"/>
      <c r="AF1051" s="18" t="inlineStr">
        <is>
          <t>True</t>
        </is>
      </c>
      <c r="AG1051" s="18" t="inlineStr"/>
      <c r="AH1051" s="18" t="inlineStr"/>
      <c r="AI1051" s="18" t="inlineStr"/>
      <c r="AJ1051" s="18" t="inlineStr">
        <is>
          <t>Cobblemon 동일</t>
        </is>
      </c>
      <c r="AK1051" s="18" t="inlineStr">
        <is>
          <t>사용</t>
        </is>
      </c>
      <c r="AL1051" s="18" t="inlineStr">
        <is>
          <t>COBBLEVERSE 1.7.42 / DP v31</t>
        </is>
      </c>
      <c r="AM1051" s="18" t="inlineStr">
        <is>
          <t>data/cobblemon/spawn_pool_world/0258_mudkip.json</t>
        </is>
      </c>
      <c r="AN1051" s="18" t="inlineStr">
        <is>
          <t>mudkip-2</t>
        </is>
      </c>
      <c r="AO1051" s="18" t="inlineStr">
        <is>
          <t>pokemon</t>
        </is>
      </c>
      <c r="AP1051" s="18" t="inlineStr">
        <is>
          <t>water</t>
        </is>
      </c>
      <c r="AQ1051" s="18" t="inlineStr">
        <is>
          <t>{"biomes":["#cobblemon:is_swamp"],"canSeeSky":true}</t>
        </is>
      </c>
      <c r="AR1051" s="18" t="inlineStr"/>
      <c r="AS1051" s="18" t="inlineStr"/>
      <c r="AT1051" s="19" t="inlineStr"/>
    </row>
    <row r="1052" ht="32" customHeight="1">
      <c r="A1052" s="18" t="inlineStr">
        <is>
          <t>0258_mudkip.json::mudkip-3::003</t>
        </is>
      </c>
      <c r="B1052" s="19" t="inlineStr">
        <is>
          <t>사용</t>
        </is>
      </c>
      <c r="C1052" s="18">
        <f>IF(OR(B1052&lt;&gt;AK1052,M1052&lt;&gt;L1052,O1052&lt;&gt;"",Q1052&lt;&gt;"",V1052&lt;&gt;1,Y1052&lt;&gt;"",AT1052&lt;&gt;""),"수정","원본")</f>
        <v/>
      </c>
      <c r="D1052" s="18" t="n">
        <v>258</v>
      </c>
      <c r="E1052" s="18" t="inlineStr">
        <is>
          <t>물짱이</t>
        </is>
      </c>
      <c r="F1052" s="18" t="inlineStr">
        <is>
          <t>mudkip</t>
        </is>
      </c>
      <c r="G1052" s="18" t="inlineStr">
        <is>
          <t>mudkip</t>
        </is>
      </c>
      <c r="H1052" s="18" t="inlineStr"/>
      <c r="I1052" s="18" t="n">
        <v>3</v>
      </c>
      <c r="J1052" s="18" t="n"/>
      <c r="K1052" s="18" t="n">
        <v>3</v>
      </c>
      <c r="L1052" s="18" t="inlineStr">
        <is>
          <t>cobbleventure:generation_3</t>
        </is>
      </c>
      <c r="M1052" s="19" t="inlineStr">
        <is>
          <t>cobbleventure:generation_3</t>
        </is>
      </c>
      <c r="N1052" s="18" t="inlineStr"/>
      <c r="O1052" s="19" t="inlineStr"/>
      <c r="P1052" s="18" t="inlineStr">
        <is>
          <t>#cobblemon:is_lush</t>
        </is>
      </c>
      <c r="Q1052" s="19" t="inlineStr"/>
      <c r="R1052" s="18">
        <f>IF(Q1052="",P1052,Q1052)</f>
        <v/>
      </c>
      <c r="S1052" s="18" t="inlineStr"/>
      <c r="T1052" s="18" t="inlineStr">
        <is>
          <t>ultra-rare</t>
        </is>
      </c>
      <c r="U1052" s="20" t="n">
        <v>6</v>
      </c>
      <c r="V1052" s="21" t="n">
        <v>1</v>
      </c>
      <c r="W1052" s="20">
        <f>IF(OR(U1052="",V1052=""),U1052,U1052*V1052)</f>
        <v/>
      </c>
      <c r="X1052" s="18" t="inlineStr">
        <is>
          <t>5-31</t>
        </is>
      </c>
      <c r="Y1052" s="19" t="inlineStr"/>
      <c r="Z1052" s="18">
        <f>IF(Y1052="",X1052,Y1052)</f>
        <v/>
      </c>
      <c r="AA1052" s="18" t="inlineStr">
        <is>
          <t>grounded</t>
        </is>
      </c>
      <c r="AB1052" s="18" t="inlineStr"/>
      <c r="AC1052" s="18" t="inlineStr"/>
      <c r="AD1052" s="18" t="inlineStr"/>
      <c r="AE1052" s="18" t="inlineStr">
        <is>
          <t>sky 0-7</t>
        </is>
      </c>
      <c r="AF1052" s="18" t="inlineStr"/>
      <c r="AG1052" s="18" t="inlineStr"/>
      <c r="AH1052" s="18" t="inlineStr"/>
      <c r="AI1052" s="18" t="inlineStr"/>
      <c r="AJ1052" s="18" t="inlineStr">
        <is>
          <t>Cobblemon 동일</t>
        </is>
      </c>
      <c r="AK1052" s="18" t="inlineStr">
        <is>
          <t>사용</t>
        </is>
      </c>
      <c r="AL1052" s="18" t="inlineStr">
        <is>
          <t>COBBLEVERSE 1.7.42 / DP v31</t>
        </is>
      </c>
      <c r="AM1052" s="18" t="inlineStr">
        <is>
          <t>data/cobblemon/spawn_pool_world/0258_mudkip.json</t>
        </is>
      </c>
      <c r="AN1052" s="18" t="inlineStr">
        <is>
          <t>mudkip-3</t>
        </is>
      </c>
      <c r="AO1052" s="18" t="inlineStr">
        <is>
          <t>pokemon</t>
        </is>
      </c>
      <c r="AP1052" s="18" t="inlineStr">
        <is>
          <t>natural</t>
        </is>
      </c>
      <c r="AQ1052" s="18" t="inlineStr">
        <is>
          <t>{"biomes":["#cobblemon:is_lush"],"maxSkyLight":7,"minSkyLight":0}</t>
        </is>
      </c>
      <c r="AR1052" s="18" t="inlineStr">
        <is>
          <t>{"maxY":9,"minY":-41,"structures":["cobblemon:shipwreck_coves/lush_shipwreck_cove"]}</t>
        </is>
      </c>
      <c r="AS1052" s="18" t="inlineStr"/>
      <c r="AT1052" s="19" t="inlineStr"/>
    </row>
    <row r="1053" ht="32" customHeight="1">
      <c r="A1053" s="18" t="inlineStr">
        <is>
          <t>0258_mudkip.json::mudkip-4::004</t>
        </is>
      </c>
      <c r="B1053" s="19" t="inlineStr">
        <is>
          <t>사용</t>
        </is>
      </c>
      <c r="C1053" s="18">
        <f>IF(OR(B1053&lt;&gt;AK1053,M1053&lt;&gt;L1053,O1053&lt;&gt;"",Q1053&lt;&gt;"",V1053&lt;&gt;1,Y1053&lt;&gt;"",AT1053&lt;&gt;""),"수정","원본")</f>
        <v/>
      </c>
      <c r="D1053" s="18" t="n">
        <v>258</v>
      </c>
      <c r="E1053" s="18" t="inlineStr">
        <is>
          <t>물짱이</t>
        </is>
      </c>
      <c r="F1053" s="18" t="inlineStr">
        <is>
          <t>mudkip</t>
        </is>
      </c>
      <c r="G1053" s="18" t="inlineStr">
        <is>
          <t>mudkip</t>
        </is>
      </c>
      <c r="H1053" s="18" t="inlineStr"/>
      <c r="I1053" s="18" t="n">
        <v>3</v>
      </c>
      <c r="J1053" s="18" t="n"/>
      <c r="K1053" s="18" t="n">
        <v>3</v>
      </c>
      <c r="L1053" s="18" t="inlineStr">
        <is>
          <t>cobbleventure:generation_3</t>
        </is>
      </c>
      <c r="M1053" s="19" t="inlineStr">
        <is>
          <t>cobbleventure:generation_3</t>
        </is>
      </c>
      <c r="N1053" s="18" t="inlineStr"/>
      <c r="O1053" s="19" t="inlineStr"/>
      <c r="P1053" s="18" t="inlineStr">
        <is>
          <t>#cobblemon:is_lush</t>
        </is>
      </c>
      <c r="Q1053" s="19" t="inlineStr"/>
      <c r="R1053" s="18">
        <f>IF(Q1053="",P1053,Q1053)</f>
        <v/>
      </c>
      <c r="S1053" s="18" t="inlineStr"/>
      <c r="T1053" s="18" t="inlineStr">
        <is>
          <t>ultra-rare</t>
        </is>
      </c>
      <c r="U1053" s="20" t="n">
        <v>6</v>
      </c>
      <c r="V1053" s="21" t="n">
        <v>1</v>
      </c>
      <c r="W1053" s="20">
        <f>IF(OR(U1053="",V1053=""),U1053,U1053*V1053)</f>
        <v/>
      </c>
      <c r="X1053" s="18" t="inlineStr">
        <is>
          <t>5-31</t>
        </is>
      </c>
      <c r="Y1053" s="19" t="inlineStr"/>
      <c r="Z1053" s="18">
        <f>IF(Y1053="",X1053,Y1053)</f>
        <v/>
      </c>
      <c r="AA1053" s="18" t="inlineStr">
        <is>
          <t>submerged</t>
        </is>
      </c>
      <c r="AB1053" s="18" t="inlineStr"/>
      <c r="AC1053" s="18" t="inlineStr"/>
      <c r="AD1053" s="18" t="inlineStr"/>
      <c r="AE1053" s="18" t="inlineStr">
        <is>
          <t>sky 0-7</t>
        </is>
      </c>
      <c r="AF1053" s="18" t="inlineStr"/>
      <c r="AG1053" s="18" t="inlineStr"/>
      <c r="AH1053" s="18" t="inlineStr"/>
      <c r="AI1053" s="18" t="inlineStr"/>
      <c r="AJ1053" s="18" t="inlineStr">
        <is>
          <t>Cobblemon 동일</t>
        </is>
      </c>
      <c r="AK1053" s="18" t="inlineStr">
        <is>
          <t>사용</t>
        </is>
      </c>
      <c r="AL1053" s="18" t="inlineStr">
        <is>
          <t>COBBLEVERSE 1.7.42 / DP v31</t>
        </is>
      </c>
      <c r="AM1053" s="18" t="inlineStr">
        <is>
          <t>data/cobblemon/spawn_pool_world/0258_mudkip.json</t>
        </is>
      </c>
      <c r="AN1053" s="18" t="inlineStr">
        <is>
          <t>mudkip-4</t>
        </is>
      </c>
      <c r="AO1053" s="18" t="inlineStr">
        <is>
          <t>pokemon</t>
        </is>
      </c>
      <c r="AP1053" s="18" t="inlineStr">
        <is>
          <t>water</t>
        </is>
      </c>
      <c r="AQ1053" s="18" t="inlineStr">
        <is>
          <t>{"biomes":["#cobblemon:is_lush"],"maxSkyLight":7,"minSkyLight":0}</t>
        </is>
      </c>
      <c r="AR1053" s="18" t="inlineStr">
        <is>
          <t>{"maxY":9,"minY":-41,"structures":["cobblemon:shipwreck_coves/lush_shipwreck_cove"]}</t>
        </is>
      </c>
      <c r="AS1053" s="18" t="inlineStr"/>
      <c r="AT1053" s="19" t="inlineStr"/>
    </row>
    <row r="1054" ht="32" customHeight="1">
      <c r="A1054" s="18" t="inlineStr">
        <is>
          <t>0258_mudkip.json::mudkip-5::005</t>
        </is>
      </c>
      <c r="B1054" s="19" t="inlineStr">
        <is>
          <t>사용</t>
        </is>
      </c>
      <c r="C1054" s="18">
        <f>IF(OR(B1054&lt;&gt;AK1054,M1054&lt;&gt;L1054,O1054&lt;&gt;"",Q1054&lt;&gt;"",V1054&lt;&gt;1,Y1054&lt;&gt;"",AT1054&lt;&gt;""),"수정","원본")</f>
        <v/>
      </c>
      <c r="D1054" s="18" t="n">
        <v>258</v>
      </c>
      <c r="E1054" s="18" t="inlineStr">
        <is>
          <t>물짱이</t>
        </is>
      </c>
      <c r="F1054" s="18" t="inlineStr">
        <is>
          <t>mudkip</t>
        </is>
      </c>
      <c r="G1054" s="18" t="inlineStr">
        <is>
          <t>mudkip</t>
        </is>
      </c>
      <c r="H1054" s="18" t="inlineStr"/>
      <c r="I1054" s="18" t="n">
        <v>3</v>
      </c>
      <c r="J1054" s="18" t="n"/>
      <c r="K1054" s="18" t="n">
        <v>3</v>
      </c>
      <c r="L1054" s="18" t="inlineStr">
        <is>
          <t>cobbleventure:generation_3</t>
        </is>
      </c>
      <c r="M1054" s="19" t="inlineStr">
        <is>
          <t>cobbleventure:generation_3</t>
        </is>
      </c>
      <c r="N1054" s="18" t="inlineStr">
        <is>
          <t>region_01; region_02</t>
        </is>
      </c>
      <c r="O1054" s="19" t="inlineStr"/>
      <c r="P1054" s="18" t="inlineStr">
        <is>
          <t>#cobblemon:is_badlands; #cobblemon:is_forest; #cobblemon:is_jungle; #cobblemon:is_mushroom; #cobblemon:is_savanna; #cobblemon:is_swamp</t>
        </is>
      </c>
      <c r="Q1054" s="19" t="inlineStr"/>
      <c r="R1054" s="18">
        <f>IF(Q1054="",P1054,Q1054)</f>
        <v/>
      </c>
      <c r="S1054" s="18" t="inlineStr"/>
      <c r="T1054" s="18" t="inlineStr">
        <is>
          <t>ultra-rare</t>
        </is>
      </c>
      <c r="U1054" s="20" t="n">
        <v>6</v>
      </c>
      <c r="V1054" s="21" t="n">
        <v>1</v>
      </c>
      <c r="W1054" s="20">
        <f>IF(OR(U1054="",V1054=""),U1054,U1054*V1054)</f>
        <v/>
      </c>
      <c r="X1054" s="18" t="inlineStr">
        <is>
          <t>5-31</t>
        </is>
      </c>
      <c r="Y1054" s="19" t="inlineStr"/>
      <c r="Z1054" s="18">
        <f>IF(Y1054="",X1054,Y1054)</f>
        <v/>
      </c>
      <c r="AA1054" s="18" t="inlineStr">
        <is>
          <t>fishing</t>
        </is>
      </c>
      <c r="AB1054" s="18" t="inlineStr"/>
      <c r="AC1054" s="18" t="inlineStr"/>
      <c r="AD1054" s="18" t="inlineStr"/>
      <c r="AE1054" s="18" t="inlineStr"/>
      <c r="AF1054" s="18" t="inlineStr">
        <is>
          <t>True</t>
        </is>
      </c>
      <c r="AG1054" s="18" t="inlineStr"/>
      <c r="AH1054" s="18" t="inlineStr"/>
      <c r="AI1054" s="18" t="inlineStr"/>
      <c r="AJ1054" s="18" t="inlineStr">
        <is>
          <t>Cobblemon 동일</t>
        </is>
      </c>
      <c r="AK1054" s="18" t="inlineStr">
        <is>
          <t>사용</t>
        </is>
      </c>
      <c r="AL1054" s="18" t="inlineStr">
        <is>
          <t>COBBLEVERSE 1.7.42 / DP v31</t>
        </is>
      </c>
      <c r="AM1054" s="18" t="inlineStr">
        <is>
          <t>data/cobblemon/spawn_pool_world/0258_mudkip.json</t>
        </is>
      </c>
      <c r="AN1054" s="18" t="inlineStr">
        <is>
          <t>mudkip-5</t>
        </is>
      </c>
      <c r="AO1054" s="18" t="inlineStr">
        <is>
          <t>pokemon</t>
        </is>
      </c>
      <c r="AP1054" s="18" t="inlineStr"/>
      <c r="AQ1054" s="18" t="inlineStr">
        <is>
          <t>{"biomes":["#cobblemon:is_badlands","#cobblemon:is_forest","#cobblemon:is_jungle","#cobblemon:is_mushroom","#cobblemon:is_savanna","#cobblemon:is_swamp"],"canSeeSky":true}</t>
        </is>
      </c>
      <c r="AR1054" s="18" t="inlineStr"/>
      <c r="AS1054" s="18" t="inlineStr"/>
      <c r="AT1054" s="19" t="inlineStr"/>
    </row>
    <row r="1055" ht="32" customHeight="1">
      <c r="A1055" s="18" t="inlineStr">
        <is>
          <t>0258_mudkip.json::mudkip-6::006</t>
        </is>
      </c>
      <c r="B1055" s="19" t="inlineStr">
        <is>
          <t>사용</t>
        </is>
      </c>
      <c r="C1055" s="18">
        <f>IF(OR(B1055&lt;&gt;AK1055,M1055&lt;&gt;L1055,O1055&lt;&gt;"",Q1055&lt;&gt;"",V1055&lt;&gt;1,Y1055&lt;&gt;"",AT1055&lt;&gt;""),"수정","원본")</f>
        <v/>
      </c>
      <c r="D1055" s="18" t="n">
        <v>258</v>
      </c>
      <c r="E1055" s="18" t="inlineStr">
        <is>
          <t>물짱이</t>
        </is>
      </c>
      <c r="F1055" s="18" t="inlineStr">
        <is>
          <t>mudkip</t>
        </is>
      </c>
      <c r="G1055" s="18" t="inlineStr">
        <is>
          <t>mudkip</t>
        </is>
      </c>
      <c r="H1055" s="18" t="inlineStr"/>
      <c r="I1055" s="18" t="n">
        <v>3</v>
      </c>
      <c r="J1055" s="18" t="n"/>
      <c r="K1055" s="18" t="n">
        <v>3</v>
      </c>
      <c r="L1055" s="18" t="inlineStr">
        <is>
          <t>cobbleventure:generation_3</t>
        </is>
      </c>
      <c r="M1055" s="19" t="inlineStr">
        <is>
          <t>cobbleventure:generation_3</t>
        </is>
      </c>
      <c r="N1055" s="18" t="inlineStr"/>
      <c r="O1055" s="19" t="inlineStr"/>
      <c r="P1055" s="18" t="inlineStr">
        <is>
          <t>#cobblemon:is_lush</t>
        </is>
      </c>
      <c r="Q1055" s="19" t="inlineStr"/>
      <c r="R1055" s="18">
        <f>IF(Q1055="",P1055,Q1055)</f>
        <v/>
      </c>
      <c r="S1055" s="18" t="inlineStr"/>
      <c r="T1055" s="18" t="inlineStr">
        <is>
          <t>ultra-rare</t>
        </is>
      </c>
      <c r="U1055" s="20" t="n">
        <v>6</v>
      </c>
      <c r="V1055" s="21" t="n">
        <v>1</v>
      </c>
      <c r="W1055" s="20">
        <f>IF(OR(U1055="",V1055=""),U1055,U1055*V1055)</f>
        <v/>
      </c>
      <c r="X1055" s="18" t="inlineStr">
        <is>
          <t>5-31</t>
        </is>
      </c>
      <c r="Y1055" s="19" t="inlineStr"/>
      <c r="Z1055" s="18">
        <f>IF(Y1055="",X1055,Y1055)</f>
        <v/>
      </c>
      <c r="AA1055" s="18" t="inlineStr">
        <is>
          <t>fishing</t>
        </is>
      </c>
      <c r="AB1055" s="18" t="inlineStr"/>
      <c r="AC1055" s="18" t="inlineStr"/>
      <c r="AD1055" s="18" t="inlineStr"/>
      <c r="AE1055" s="18" t="inlineStr">
        <is>
          <t>sky 0-7</t>
        </is>
      </c>
      <c r="AF1055" s="18" t="inlineStr"/>
      <c r="AG1055" s="18" t="inlineStr"/>
      <c r="AH1055" s="18" t="inlineStr"/>
      <c r="AI1055" s="18" t="inlineStr"/>
      <c r="AJ1055" s="18" t="inlineStr">
        <is>
          <t>Cobblemon 동일</t>
        </is>
      </c>
      <c r="AK1055" s="18" t="inlineStr">
        <is>
          <t>사용</t>
        </is>
      </c>
      <c r="AL1055" s="18" t="inlineStr">
        <is>
          <t>COBBLEVERSE 1.7.42 / DP v31</t>
        </is>
      </c>
      <c r="AM1055" s="18" t="inlineStr">
        <is>
          <t>data/cobblemon/spawn_pool_world/0258_mudkip.json</t>
        </is>
      </c>
      <c r="AN1055" s="18" t="inlineStr">
        <is>
          <t>mudkip-6</t>
        </is>
      </c>
      <c r="AO1055" s="18" t="inlineStr">
        <is>
          <t>pokemon</t>
        </is>
      </c>
      <c r="AP1055" s="18" t="inlineStr"/>
      <c r="AQ1055" s="18" t="inlineStr">
        <is>
          <t>{"biomes":["#cobblemon:is_lush"],"maxSkyLight":7,"minSkyLight":0}</t>
        </is>
      </c>
      <c r="AR1055" s="18" t="inlineStr">
        <is>
          <t>{"maxY":9,"minY":-41,"structures":["cobblemon:shipwreck_coves/lush_shipwreck_cove"]}</t>
        </is>
      </c>
      <c r="AS1055" s="18" t="inlineStr"/>
      <c r="AT1055" s="19" t="inlineStr"/>
    </row>
    <row r="1056" ht="32" customHeight="1">
      <c r="A1056" s="18" t="inlineStr">
        <is>
          <t>0258_mudkip.json::mudkip-7::007</t>
        </is>
      </c>
      <c r="B1056" s="19" t="inlineStr">
        <is>
          <t>사용</t>
        </is>
      </c>
      <c r="C1056" s="18">
        <f>IF(OR(B1056&lt;&gt;AK1056,M1056&lt;&gt;L1056,O1056&lt;&gt;"",Q1056&lt;&gt;"",V1056&lt;&gt;1,Y1056&lt;&gt;"",AT1056&lt;&gt;""),"수정","원본")</f>
        <v/>
      </c>
      <c r="D1056" s="18" t="n">
        <v>258</v>
      </c>
      <c r="E1056" s="18" t="inlineStr">
        <is>
          <t>물짱이</t>
        </is>
      </c>
      <c r="F1056" s="18" t="inlineStr">
        <is>
          <t>mudkip</t>
        </is>
      </c>
      <c r="G1056" s="18" t="inlineStr">
        <is>
          <t>mudkip</t>
        </is>
      </c>
      <c r="H1056" s="18" t="inlineStr"/>
      <c r="I1056" s="18" t="n">
        <v>3</v>
      </c>
      <c r="J1056" s="18" t="n"/>
      <c r="K1056" s="18" t="n">
        <v>3</v>
      </c>
      <c r="L1056" s="18" t="inlineStr">
        <is>
          <t>cobbleventure:generation_3</t>
        </is>
      </c>
      <c r="M1056" s="19" t="inlineStr">
        <is>
          <t>cobbleventure:generation_3</t>
        </is>
      </c>
      <c r="N1056" s="18" t="inlineStr">
        <is>
          <t>region_02</t>
        </is>
      </c>
      <c r="O1056" s="19" t="inlineStr"/>
      <c r="P1056" s="18" t="inlineStr">
        <is>
          <t>#cobblemon:is_swamp</t>
        </is>
      </c>
      <c r="Q1056" s="19" t="inlineStr"/>
      <c r="R1056" s="18">
        <f>IF(Q1056="",P1056,Q1056)</f>
        <v/>
      </c>
      <c r="S1056" s="18" t="inlineStr"/>
      <c r="T1056" s="18" t="inlineStr">
        <is>
          <t>ultra-rare</t>
        </is>
      </c>
      <c r="U1056" s="20" t="n">
        <v>6</v>
      </c>
      <c r="V1056" s="21" t="n">
        <v>1</v>
      </c>
      <c r="W1056" s="20">
        <f>IF(OR(U1056="",V1056=""),U1056,U1056*V1056)</f>
        <v/>
      </c>
      <c r="X1056" s="18" t="inlineStr">
        <is>
          <t>5-31</t>
        </is>
      </c>
      <c r="Y1056" s="19" t="inlineStr"/>
      <c r="Z1056" s="18">
        <f>IF(Y1056="",X1056,Y1056)</f>
        <v/>
      </c>
      <c r="AA1056" s="18" t="inlineStr">
        <is>
          <t>submerged</t>
        </is>
      </c>
      <c r="AB1056" s="18" t="inlineStr"/>
      <c r="AC1056" s="18" t="inlineStr"/>
      <c r="AD1056" s="18" t="inlineStr"/>
      <c r="AE1056" s="18" t="inlineStr">
        <is>
          <t>sky 8-15</t>
        </is>
      </c>
      <c r="AF1056" s="18" t="inlineStr">
        <is>
          <t>False</t>
        </is>
      </c>
      <c r="AG1056" s="18" t="inlineStr"/>
      <c r="AH1056" s="18" t="inlineStr"/>
      <c r="AI1056" s="18" t="inlineStr"/>
      <c r="AJ1056" s="18" t="inlineStr">
        <is>
          <t>Cobblemon 동일</t>
        </is>
      </c>
      <c r="AK1056" s="18" t="inlineStr">
        <is>
          <t>사용</t>
        </is>
      </c>
      <c r="AL1056" s="18" t="inlineStr">
        <is>
          <t>COBBLEVERSE 1.7.42 / DP v31</t>
        </is>
      </c>
      <c r="AM1056" s="18" t="inlineStr">
        <is>
          <t>data/cobblemon/spawn_pool_world/0258_mudkip.json</t>
        </is>
      </c>
      <c r="AN1056" s="18" t="inlineStr">
        <is>
          <t>mudkip-7</t>
        </is>
      </c>
      <c r="AO1056" s="18" t="inlineStr">
        <is>
          <t>pokemon</t>
        </is>
      </c>
      <c r="AP1056" s="18" t="inlineStr">
        <is>
          <t>water</t>
        </is>
      </c>
      <c r="AQ1056" s="18" t="inlineStr">
        <is>
          <t>{"biomes":["#cobblemon:is_swamp"],"canSeeSky":false,"maxSkyLight":15,"minSkyLight":8}</t>
        </is>
      </c>
      <c r="AR1056" s="18" t="inlineStr"/>
      <c r="AS1056" s="18" t="inlineStr"/>
      <c r="AT1056" s="19" t="inlineStr"/>
    </row>
    <row r="1057" ht="32" customHeight="1">
      <c r="A1057" s="18" t="inlineStr">
        <is>
          <t>0258_mudkip.json::mudkip-8::008</t>
        </is>
      </c>
      <c r="B1057" s="19" t="inlineStr">
        <is>
          <t>사용</t>
        </is>
      </c>
      <c r="C1057" s="18">
        <f>IF(OR(B1057&lt;&gt;AK1057,M1057&lt;&gt;L1057,O1057&lt;&gt;"",Q1057&lt;&gt;"",V1057&lt;&gt;1,Y1057&lt;&gt;"",AT1057&lt;&gt;""),"수정","원본")</f>
        <v/>
      </c>
      <c r="D1057" s="18" t="n">
        <v>258</v>
      </c>
      <c r="E1057" s="18" t="inlineStr">
        <is>
          <t>물짱이</t>
        </is>
      </c>
      <c r="F1057" s="18" t="inlineStr">
        <is>
          <t>mudkip</t>
        </is>
      </c>
      <c r="G1057" s="18" t="inlineStr">
        <is>
          <t>mudkip</t>
        </is>
      </c>
      <c r="H1057" s="18" t="inlineStr"/>
      <c r="I1057" s="18" t="n">
        <v>3</v>
      </c>
      <c r="J1057" s="18" t="n"/>
      <c r="K1057" s="18" t="n">
        <v>3</v>
      </c>
      <c r="L1057" s="18" t="inlineStr">
        <is>
          <t>cobbleventure:generation_3</t>
        </is>
      </c>
      <c r="M1057" s="19" t="inlineStr">
        <is>
          <t>cobbleventure:generation_3</t>
        </is>
      </c>
      <c r="N1057" s="18" t="inlineStr">
        <is>
          <t>region_01; region_02</t>
        </is>
      </c>
      <c r="O1057" s="19" t="inlineStr"/>
      <c r="P1057" s="18" t="inlineStr">
        <is>
          <t>#cobblemon:is_badlands; #cobblemon:is_forest; #cobblemon:is_jungle; #cobblemon:is_mushroom; #cobblemon:is_savanna; #cobblemon:is_swamp</t>
        </is>
      </c>
      <c r="Q1057" s="19" t="inlineStr"/>
      <c r="R1057" s="18">
        <f>IF(Q1057="",P1057,Q1057)</f>
        <v/>
      </c>
      <c r="S1057" s="18" t="inlineStr"/>
      <c r="T1057" s="18" t="inlineStr">
        <is>
          <t>ultra-rare</t>
        </is>
      </c>
      <c r="U1057" s="20" t="n">
        <v>6</v>
      </c>
      <c r="V1057" s="21" t="n">
        <v>1</v>
      </c>
      <c r="W1057" s="20">
        <f>IF(OR(U1057="",V1057=""),U1057,U1057*V1057)</f>
        <v/>
      </c>
      <c r="X1057" s="18" t="inlineStr">
        <is>
          <t>5-31</t>
        </is>
      </c>
      <c r="Y1057" s="19" t="inlineStr"/>
      <c r="Z1057" s="18">
        <f>IF(Y1057="",X1057,Y1057)</f>
        <v/>
      </c>
      <c r="AA1057" s="18" t="inlineStr">
        <is>
          <t>fishing</t>
        </is>
      </c>
      <c r="AB1057" s="18" t="inlineStr"/>
      <c r="AC1057" s="18" t="inlineStr"/>
      <c r="AD1057" s="18" t="inlineStr"/>
      <c r="AE1057" s="18" t="inlineStr">
        <is>
          <t>sky 8-15</t>
        </is>
      </c>
      <c r="AF1057" s="18" t="inlineStr">
        <is>
          <t>False</t>
        </is>
      </c>
      <c r="AG1057" s="18" t="inlineStr"/>
      <c r="AH1057" s="18" t="inlineStr"/>
      <c r="AI1057" s="18" t="inlineStr"/>
      <c r="AJ1057" s="18" t="inlineStr">
        <is>
          <t>Cobblemon 동일</t>
        </is>
      </c>
      <c r="AK1057" s="18" t="inlineStr">
        <is>
          <t>사용</t>
        </is>
      </c>
      <c r="AL1057" s="18" t="inlineStr">
        <is>
          <t>COBBLEVERSE 1.7.42 / DP v31</t>
        </is>
      </c>
      <c r="AM1057" s="18" t="inlineStr">
        <is>
          <t>data/cobblemon/spawn_pool_world/0258_mudkip.json</t>
        </is>
      </c>
      <c r="AN1057" s="18" t="inlineStr">
        <is>
          <t>mudkip-8</t>
        </is>
      </c>
      <c r="AO1057" s="18" t="inlineStr">
        <is>
          <t>pokemon</t>
        </is>
      </c>
      <c r="AP1057" s="18" t="inlineStr"/>
      <c r="AQ1057" s="18" t="inlineStr">
        <is>
          <t>{"biomes":["#cobblemon:is_badlands","#cobblemon:is_forest","#cobblemon:is_jungle","#cobblemon:is_mushroom","#cobblemon:is_savanna","#cobblemon:is_swamp"],"canSeeSky":false,"maxSkyLight":15,"minSkyLight":8}</t>
        </is>
      </c>
      <c r="AR1057" s="18" t="inlineStr"/>
      <c r="AS1057" s="18" t="inlineStr"/>
      <c r="AT1057" s="19" t="inlineStr"/>
    </row>
    <row r="1058" ht="32" customHeight="1">
      <c r="A1058" s="18" t="inlineStr">
        <is>
          <t>0258_mudkip.json::mudkip-9::009</t>
        </is>
      </c>
      <c r="B1058" s="19" t="inlineStr">
        <is>
          <t>사용</t>
        </is>
      </c>
      <c r="C1058" s="18">
        <f>IF(OR(B1058&lt;&gt;AK1058,M1058&lt;&gt;L1058,O1058&lt;&gt;"",Q1058&lt;&gt;"",V1058&lt;&gt;1,Y1058&lt;&gt;"",AT1058&lt;&gt;""),"수정","원본")</f>
        <v/>
      </c>
      <c r="D1058" s="18" t="n">
        <v>258</v>
      </c>
      <c r="E1058" s="18" t="inlineStr">
        <is>
          <t>물짱이</t>
        </is>
      </c>
      <c r="F1058" s="18" t="inlineStr">
        <is>
          <t>mudkip</t>
        </is>
      </c>
      <c r="G1058" s="18" t="inlineStr">
        <is>
          <t>mudkip</t>
        </is>
      </c>
      <c r="H1058" s="18" t="inlineStr"/>
      <c r="I1058" s="18" t="n">
        <v>3</v>
      </c>
      <c r="J1058" s="18" t="n"/>
      <c r="K1058" s="18" t="n">
        <v>3</v>
      </c>
      <c r="L1058" s="18" t="inlineStr">
        <is>
          <t>cobbleventure:generation_3</t>
        </is>
      </c>
      <c r="M1058" s="19" t="inlineStr">
        <is>
          <t>cobbleventure:generation_3</t>
        </is>
      </c>
      <c r="N1058" s="18" t="inlineStr">
        <is>
          <t>region_01; region_02</t>
        </is>
      </c>
      <c r="O1058" s="19" t="inlineStr"/>
      <c r="P1058" s="18" t="inlineStr">
        <is>
          <t>#cobblemon:is_overworld</t>
        </is>
      </c>
      <c r="Q1058" s="19" t="inlineStr"/>
      <c r="R1058" s="18">
        <f>IF(Q1058="",P1058,Q1058)</f>
        <v/>
      </c>
      <c r="S1058" s="18" t="inlineStr">
        <is>
          <t>#cobblemon:is_lush</t>
        </is>
      </c>
      <c r="T1058" s="18" t="inlineStr">
        <is>
          <t>ultra-rare</t>
        </is>
      </c>
      <c r="U1058" s="20" t="n">
        <v>6</v>
      </c>
      <c r="V1058" s="21" t="n">
        <v>1</v>
      </c>
      <c r="W1058" s="20">
        <f>IF(OR(U1058="",V1058=""),U1058,U1058*V1058)</f>
        <v/>
      </c>
      <c r="X1058" s="18" t="inlineStr">
        <is>
          <t>5-31</t>
        </is>
      </c>
      <c r="Y1058" s="19" t="inlineStr"/>
      <c r="Z1058" s="18">
        <f>IF(Y1058="",X1058,Y1058)</f>
        <v/>
      </c>
      <c r="AA1058" s="18" t="inlineStr">
        <is>
          <t>grounded</t>
        </is>
      </c>
      <c r="AB1058" s="18" t="inlineStr"/>
      <c r="AC1058" s="18" t="inlineStr"/>
      <c r="AD1058" s="18" t="inlineStr">
        <is>
          <t>minY=-41, maxY=9</t>
        </is>
      </c>
      <c r="AE1058" s="18" t="inlineStr">
        <is>
          <t>sky 0-7</t>
        </is>
      </c>
      <c r="AF1058" s="18" t="inlineStr"/>
      <c r="AG1058" s="18" t="inlineStr">
        <is>
          <t>cobblemon:shipwreck_coves/lush_shipwreck_cove</t>
        </is>
      </c>
      <c r="AH1058" s="18" t="inlineStr"/>
      <c r="AI1058" s="18" t="inlineStr"/>
      <c r="AJ1058" s="18" t="inlineStr">
        <is>
          <t>Cobblemon 동일</t>
        </is>
      </c>
      <c r="AK1058" s="18" t="inlineStr">
        <is>
          <t>사용</t>
        </is>
      </c>
      <c r="AL1058" s="18" t="inlineStr">
        <is>
          <t>COBBLEVERSE 1.7.42 / DP v31</t>
        </is>
      </c>
      <c r="AM1058" s="18" t="inlineStr">
        <is>
          <t>data/cobblemon/spawn_pool_world/0258_mudkip.json</t>
        </is>
      </c>
      <c r="AN1058" s="18" t="inlineStr">
        <is>
          <t>mudkip-9</t>
        </is>
      </c>
      <c r="AO1058" s="18" t="inlineStr">
        <is>
          <t>pokemon</t>
        </is>
      </c>
      <c r="AP1058" s="18" t="inlineStr">
        <is>
          <t>natural</t>
        </is>
      </c>
      <c r="AQ1058" s="18" t="inlineStr">
        <is>
          <t>{"biomes":["#cobblemon:is_overworld"],"maxSkyLight":7,"maxY":9,"minSkyLight":0,"minY":-41,"structures":["cobblemon:shipwreck_coves/lush_shipwreck_cove"]}</t>
        </is>
      </c>
      <c r="AR1058" s="18" t="inlineStr">
        <is>
          <t>{"biomes":["#cobblemon:is_lush"]}</t>
        </is>
      </c>
      <c r="AS1058" s="18" t="inlineStr"/>
      <c r="AT1058" s="19" t="inlineStr"/>
    </row>
    <row r="1059" ht="32" customHeight="1">
      <c r="A1059" s="18" t="inlineStr">
        <is>
          <t>0258_mudkip.json::mudkip-10::010</t>
        </is>
      </c>
      <c r="B1059" s="19" t="inlineStr">
        <is>
          <t>사용</t>
        </is>
      </c>
      <c r="C1059" s="18">
        <f>IF(OR(B1059&lt;&gt;AK1059,M1059&lt;&gt;L1059,O1059&lt;&gt;"",Q1059&lt;&gt;"",V1059&lt;&gt;1,Y1059&lt;&gt;"",AT1059&lt;&gt;""),"수정","원본")</f>
        <v/>
      </c>
      <c r="D1059" s="18" t="n">
        <v>258</v>
      </c>
      <c r="E1059" s="18" t="inlineStr">
        <is>
          <t>물짱이</t>
        </is>
      </c>
      <c r="F1059" s="18" t="inlineStr">
        <is>
          <t>mudkip</t>
        </is>
      </c>
      <c r="G1059" s="18" t="inlineStr">
        <is>
          <t>mudkip</t>
        </is>
      </c>
      <c r="H1059" s="18" t="inlineStr"/>
      <c r="I1059" s="18" t="n">
        <v>3</v>
      </c>
      <c r="J1059" s="18" t="n"/>
      <c r="K1059" s="18" t="n">
        <v>3</v>
      </c>
      <c r="L1059" s="18" t="inlineStr">
        <is>
          <t>cobbleventure:generation_3</t>
        </is>
      </c>
      <c r="M1059" s="19" t="inlineStr">
        <is>
          <t>cobbleventure:generation_3</t>
        </is>
      </c>
      <c r="N1059" s="18" t="inlineStr">
        <is>
          <t>region_01; region_02</t>
        </is>
      </c>
      <c r="O1059" s="19" t="inlineStr"/>
      <c r="P1059" s="18" t="inlineStr">
        <is>
          <t>#cobblemon:is_overworld</t>
        </is>
      </c>
      <c r="Q1059" s="19" t="inlineStr"/>
      <c r="R1059" s="18">
        <f>IF(Q1059="",P1059,Q1059)</f>
        <v/>
      </c>
      <c r="S1059" s="18" t="inlineStr">
        <is>
          <t>#cobblemon:is_lush</t>
        </is>
      </c>
      <c r="T1059" s="18" t="inlineStr">
        <is>
          <t>ultra-rare</t>
        </is>
      </c>
      <c r="U1059" s="20" t="n">
        <v>6</v>
      </c>
      <c r="V1059" s="21" t="n">
        <v>1</v>
      </c>
      <c r="W1059" s="20">
        <f>IF(OR(U1059="",V1059=""),U1059,U1059*V1059)</f>
        <v/>
      </c>
      <c r="X1059" s="18" t="inlineStr">
        <is>
          <t>5-31</t>
        </is>
      </c>
      <c r="Y1059" s="19" t="inlineStr"/>
      <c r="Z1059" s="18">
        <f>IF(Y1059="",X1059,Y1059)</f>
        <v/>
      </c>
      <c r="AA1059" s="18" t="inlineStr">
        <is>
          <t>submerged</t>
        </is>
      </c>
      <c r="AB1059" s="18" t="inlineStr"/>
      <c r="AC1059" s="18" t="inlineStr"/>
      <c r="AD1059" s="18" t="inlineStr">
        <is>
          <t>minY=-41, maxY=9</t>
        </is>
      </c>
      <c r="AE1059" s="18" t="inlineStr">
        <is>
          <t>sky 0-7</t>
        </is>
      </c>
      <c r="AF1059" s="18" t="inlineStr"/>
      <c r="AG1059" s="18" t="inlineStr">
        <is>
          <t>cobblemon:shipwreck_coves/lush_shipwreck_cove</t>
        </is>
      </c>
      <c r="AH1059" s="18" t="inlineStr"/>
      <c r="AI1059" s="18" t="inlineStr"/>
      <c r="AJ1059" s="18" t="inlineStr">
        <is>
          <t>Cobblemon 동일</t>
        </is>
      </c>
      <c r="AK1059" s="18" t="inlineStr">
        <is>
          <t>사용</t>
        </is>
      </c>
      <c r="AL1059" s="18" t="inlineStr">
        <is>
          <t>COBBLEVERSE 1.7.42 / DP v31</t>
        </is>
      </c>
      <c r="AM1059" s="18" t="inlineStr">
        <is>
          <t>data/cobblemon/spawn_pool_world/0258_mudkip.json</t>
        </is>
      </c>
      <c r="AN1059" s="18" t="inlineStr">
        <is>
          <t>mudkip-10</t>
        </is>
      </c>
      <c r="AO1059" s="18" t="inlineStr">
        <is>
          <t>pokemon</t>
        </is>
      </c>
      <c r="AP1059" s="18" t="inlineStr">
        <is>
          <t>water</t>
        </is>
      </c>
      <c r="AQ1059" s="18" t="inlineStr">
        <is>
          <t>{"biomes":["#cobblemon:is_overworld"],"maxSkyLight":7,"maxY":9,"minSkyLight":0,"minY":-41,"structures":["cobblemon:shipwreck_coves/lush_shipwreck_cove"]}</t>
        </is>
      </c>
      <c r="AR1059" s="18" t="inlineStr">
        <is>
          <t>{"biomes":["#cobblemon:is_lush"]}</t>
        </is>
      </c>
      <c r="AS1059" s="18" t="inlineStr"/>
      <c r="AT1059" s="19" t="inlineStr"/>
    </row>
    <row r="1060" ht="32" customHeight="1">
      <c r="A1060" s="18" t="inlineStr">
        <is>
          <t>0258_mudkip.json::mudkip-11::011</t>
        </is>
      </c>
      <c r="B1060" s="19" t="inlineStr">
        <is>
          <t>사용</t>
        </is>
      </c>
      <c r="C1060" s="18">
        <f>IF(OR(B1060&lt;&gt;AK1060,M1060&lt;&gt;L1060,O1060&lt;&gt;"",Q1060&lt;&gt;"",V1060&lt;&gt;1,Y1060&lt;&gt;"",AT1060&lt;&gt;""),"수정","원본")</f>
        <v/>
      </c>
      <c r="D1060" s="18" t="n">
        <v>258</v>
      </c>
      <c r="E1060" s="18" t="inlineStr">
        <is>
          <t>물짱이</t>
        </is>
      </c>
      <c r="F1060" s="18" t="inlineStr">
        <is>
          <t>mudkip</t>
        </is>
      </c>
      <c r="G1060" s="18" t="inlineStr">
        <is>
          <t>mudkip</t>
        </is>
      </c>
      <c r="H1060" s="18" t="inlineStr"/>
      <c r="I1060" s="18" t="n">
        <v>3</v>
      </c>
      <c r="J1060" s="18" t="n"/>
      <c r="K1060" s="18" t="n">
        <v>3</v>
      </c>
      <c r="L1060" s="18" t="inlineStr">
        <is>
          <t>cobbleventure:generation_3</t>
        </is>
      </c>
      <c r="M1060" s="19" t="inlineStr">
        <is>
          <t>cobbleventure:generation_3</t>
        </is>
      </c>
      <c r="N1060" s="18" t="inlineStr">
        <is>
          <t>region_01; region_02</t>
        </is>
      </c>
      <c r="O1060" s="19" t="inlineStr"/>
      <c r="P1060" s="18" t="inlineStr">
        <is>
          <t>#cobblemon:is_overworld</t>
        </is>
      </c>
      <c r="Q1060" s="19" t="inlineStr"/>
      <c r="R1060" s="18">
        <f>IF(Q1060="",P1060,Q1060)</f>
        <v/>
      </c>
      <c r="S1060" s="18" t="inlineStr">
        <is>
          <t>#cobblemon:is_lush</t>
        </is>
      </c>
      <c r="T1060" s="18" t="inlineStr">
        <is>
          <t>ultra-rare</t>
        </is>
      </c>
      <c r="U1060" s="20" t="n">
        <v>6</v>
      </c>
      <c r="V1060" s="21" t="n">
        <v>1</v>
      </c>
      <c r="W1060" s="20">
        <f>IF(OR(U1060="",V1060=""),U1060,U1060*V1060)</f>
        <v/>
      </c>
      <c r="X1060" s="18" t="inlineStr">
        <is>
          <t>5-31</t>
        </is>
      </c>
      <c r="Y1060" s="19" t="inlineStr"/>
      <c r="Z1060" s="18">
        <f>IF(Y1060="",X1060,Y1060)</f>
        <v/>
      </c>
      <c r="AA1060" s="18" t="inlineStr">
        <is>
          <t>fishing</t>
        </is>
      </c>
      <c r="AB1060" s="18" t="inlineStr"/>
      <c r="AC1060" s="18" t="inlineStr"/>
      <c r="AD1060" s="18" t="inlineStr">
        <is>
          <t>minY=-41, maxY=9</t>
        </is>
      </c>
      <c r="AE1060" s="18" t="inlineStr">
        <is>
          <t>sky 0-7</t>
        </is>
      </c>
      <c r="AF1060" s="18" t="inlineStr"/>
      <c r="AG1060" s="18" t="inlineStr">
        <is>
          <t>cobblemon:shipwreck_coves/lush_shipwreck_cove</t>
        </is>
      </c>
      <c r="AH1060" s="18" t="inlineStr"/>
      <c r="AI1060" s="18" t="inlineStr"/>
      <c r="AJ1060" s="18" t="inlineStr">
        <is>
          <t>Cobblemon 동일</t>
        </is>
      </c>
      <c r="AK1060" s="18" t="inlineStr">
        <is>
          <t>사용</t>
        </is>
      </c>
      <c r="AL1060" s="18" t="inlineStr">
        <is>
          <t>COBBLEVERSE 1.7.42 / DP v31</t>
        </is>
      </c>
      <c r="AM1060" s="18" t="inlineStr">
        <is>
          <t>data/cobblemon/spawn_pool_world/0258_mudkip.json</t>
        </is>
      </c>
      <c r="AN1060" s="18" t="inlineStr">
        <is>
          <t>mudkip-11</t>
        </is>
      </c>
      <c r="AO1060" s="18" t="inlineStr">
        <is>
          <t>pokemon</t>
        </is>
      </c>
      <c r="AP1060" s="18" t="inlineStr"/>
      <c r="AQ1060" s="18" t="inlineStr">
        <is>
          <t>{"biomes":["#cobblemon:is_overworld"],"maxSkyLight":7,"maxY":9,"minSkyLight":0,"minY":-41,"structures":["cobblemon:shipwreck_coves/lush_shipwreck_cove"]}</t>
        </is>
      </c>
      <c r="AR1060" s="18" t="inlineStr">
        <is>
          <t>{"biomes":["#cobblemon:is_lush"]}</t>
        </is>
      </c>
      <c r="AS1060" s="18" t="inlineStr"/>
      <c r="AT1060" s="19" t="inlineStr"/>
    </row>
    <row r="1061" ht="32" customHeight="1">
      <c r="A1061" s="18" t="inlineStr">
        <is>
          <t>0259_marshtomp.json::marshtomp-1::001</t>
        </is>
      </c>
      <c r="B1061" s="19" t="inlineStr">
        <is>
          <t>사용</t>
        </is>
      </c>
      <c r="C1061" s="18">
        <f>IF(OR(B1061&lt;&gt;AK1061,M1061&lt;&gt;L1061,O1061&lt;&gt;"",Q1061&lt;&gt;"",V1061&lt;&gt;1,Y1061&lt;&gt;"",AT1061&lt;&gt;""),"수정","원본")</f>
        <v/>
      </c>
      <c r="D1061" s="18" t="n">
        <v>259</v>
      </c>
      <c r="E1061" s="18" t="inlineStr">
        <is>
          <t>늪짱이</t>
        </is>
      </c>
      <c r="F1061" s="18" t="inlineStr">
        <is>
          <t>marshtomp</t>
        </is>
      </c>
      <c r="G1061" s="18" t="inlineStr">
        <is>
          <t>marshtomp</t>
        </is>
      </c>
      <c r="H1061" s="18" t="inlineStr"/>
      <c r="I1061" s="18" t="n">
        <v>3</v>
      </c>
      <c r="J1061" s="18" t="n"/>
      <c r="K1061" s="18" t="n">
        <v>3</v>
      </c>
      <c r="L1061" s="18" t="inlineStr">
        <is>
          <t>cobbleventure:generation_3</t>
        </is>
      </c>
      <c r="M1061" s="19" t="inlineStr">
        <is>
          <t>cobbleventure:generation_3</t>
        </is>
      </c>
      <c r="N1061" s="18" t="inlineStr">
        <is>
          <t>region_02</t>
        </is>
      </c>
      <c r="O1061" s="19" t="inlineStr"/>
      <c r="P1061" s="18" t="inlineStr">
        <is>
          <t>#cobblemon:is_swamp</t>
        </is>
      </c>
      <c r="Q1061" s="19" t="inlineStr"/>
      <c r="R1061" s="18">
        <f>IF(Q1061="",P1061,Q1061)</f>
        <v/>
      </c>
      <c r="S1061" s="18" t="inlineStr"/>
      <c r="T1061" s="18" t="inlineStr">
        <is>
          <t>ultra-rare</t>
        </is>
      </c>
      <c r="U1061" s="20" t="n">
        <v>3.6</v>
      </c>
      <c r="V1061" s="21" t="n">
        <v>1</v>
      </c>
      <c r="W1061" s="20">
        <f>IF(OR(U1061="",V1061=""),U1061,U1061*V1061)</f>
        <v/>
      </c>
      <c r="X1061" s="18" t="inlineStr">
        <is>
          <t>16-41</t>
        </is>
      </c>
      <c r="Y1061" s="19" t="inlineStr"/>
      <c r="Z1061" s="18">
        <f>IF(Y1061="",X1061,Y1061)</f>
        <v/>
      </c>
      <c r="AA1061" s="18" t="inlineStr">
        <is>
          <t>grounded</t>
        </is>
      </c>
      <c r="AB1061" s="18" t="inlineStr"/>
      <c r="AC1061" s="18" t="inlineStr"/>
      <c r="AD1061" s="18" t="inlineStr"/>
      <c r="AE1061" s="18" t="inlineStr">
        <is>
          <t>sky 8-15</t>
        </is>
      </c>
      <c r="AF1061" s="18" t="inlineStr"/>
      <c r="AG1061" s="18" t="inlineStr"/>
      <c r="AH1061" s="18" t="inlineStr"/>
      <c r="AI1061" s="18" t="inlineStr"/>
      <c r="AJ1061" s="18" t="inlineStr">
        <is>
          <t>Cobblemon 동일</t>
        </is>
      </c>
      <c r="AK1061" s="18" t="inlineStr">
        <is>
          <t>사용</t>
        </is>
      </c>
      <c r="AL1061" s="18" t="inlineStr">
        <is>
          <t>COBBLEVERSE 1.7.42 / DP v31</t>
        </is>
      </c>
      <c r="AM1061" s="18" t="inlineStr">
        <is>
          <t>data/cobblemon/spawn_pool_world/0259_marshtomp.json</t>
        </is>
      </c>
      <c r="AN1061" s="18" t="inlineStr">
        <is>
          <t>marshtomp-1</t>
        </is>
      </c>
      <c r="AO1061" s="18" t="inlineStr">
        <is>
          <t>pokemon</t>
        </is>
      </c>
      <c r="AP1061" s="18" t="inlineStr">
        <is>
          <t>natural</t>
        </is>
      </c>
      <c r="AQ1061" s="18" t="inlineStr">
        <is>
          <t>{"biomes":["#cobblemon:is_swamp"],"maxSkyLight":15,"minSkyLight":8}</t>
        </is>
      </c>
      <c r="AR1061" s="18" t="inlineStr"/>
      <c r="AS1061" s="18" t="inlineStr">
        <is>
          <t>{"weightMultiplier":{"condition":{"isRaining":true},"multiplier":1.5}}</t>
        </is>
      </c>
      <c r="AT1061" s="19" t="inlineStr"/>
    </row>
    <row r="1062" ht="32" customHeight="1">
      <c r="A1062" s="18" t="inlineStr">
        <is>
          <t>0259_marshtomp.json::marshtomp-2::002</t>
        </is>
      </c>
      <c r="B1062" s="19" t="inlineStr">
        <is>
          <t>사용</t>
        </is>
      </c>
      <c r="C1062" s="18">
        <f>IF(OR(B1062&lt;&gt;AK1062,M1062&lt;&gt;L1062,O1062&lt;&gt;"",Q1062&lt;&gt;"",V1062&lt;&gt;1,Y1062&lt;&gt;"",AT1062&lt;&gt;""),"수정","원본")</f>
        <v/>
      </c>
      <c r="D1062" s="18" t="n">
        <v>259</v>
      </c>
      <c r="E1062" s="18" t="inlineStr">
        <is>
          <t>늪짱이</t>
        </is>
      </c>
      <c r="F1062" s="18" t="inlineStr">
        <is>
          <t>marshtomp</t>
        </is>
      </c>
      <c r="G1062" s="18" t="inlineStr">
        <is>
          <t>marshtomp</t>
        </is>
      </c>
      <c r="H1062" s="18" t="inlineStr"/>
      <c r="I1062" s="18" t="n">
        <v>3</v>
      </c>
      <c r="J1062" s="18" t="n"/>
      <c r="K1062" s="18" t="n">
        <v>3</v>
      </c>
      <c r="L1062" s="18" t="inlineStr">
        <is>
          <t>cobbleventure:generation_3</t>
        </is>
      </c>
      <c r="M1062" s="19" t="inlineStr">
        <is>
          <t>cobbleventure:generation_3</t>
        </is>
      </c>
      <c r="N1062" s="18" t="inlineStr">
        <is>
          <t>region_02</t>
        </is>
      </c>
      <c r="O1062" s="19" t="inlineStr"/>
      <c r="P1062" s="18" t="inlineStr">
        <is>
          <t>#cobblemon:is_swamp</t>
        </is>
      </c>
      <c r="Q1062" s="19" t="inlineStr"/>
      <c r="R1062" s="18">
        <f>IF(Q1062="",P1062,Q1062)</f>
        <v/>
      </c>
      <c r="S1062" s="18" t="inlineStr"/>
      <c r="T1062" s="18" t="inlineStr">
        <is>
          <t>ultra-rare</t>
        </is>
      </c>
      <c r="U1062" s="20" t="n">
        <v>3.6</v>
      </c>
      <c r="V1062" s="21" t="n">
        <v>1</v>
      </c>
      <c r="W1062" s="20">
        <f>IF(OR(U1062="",V1062=""),U1062,U1062*V1062)</f>
        <v/>
      </c>
      <c r="X1062" s="18" t="inlineStr">
        <is>
          <t>16-41</t>
        </is>
      </c>
      <c r="Y1062" s="19" t="inlineStr"/>
      <c r="Z1062" s="18">
        <f>IF(Y1062="",X1062,Y1062)</f>
        <v/>
      </c>
      <c r="AA1062" s="18" t="inlineStr">
        <is>
          <t>submerged</t>
        </is>
      </c>
      <c r="AB1062" s="18" t="inlineStr"/>
      <c r="AC1062" s="18" t="inlineStr"/>
      <c r="AD1062" s="18" t="inlineStr"/>
      <c r="AE1062" s="18" t="inlineStr"/>
      <c r="AF1062" s="18" t="inlineStr">
        <is>
          <t>True</t>
        </is>
      </c>
      <c r="AG1062" s="18" t="inlineStr"/>
      <c r="AH1062" s="18" t="inlineStr"/>
      <c r="AI1062" s="18" t="inlineStr"/>
      <c r="AJ1062" s="18" t="inlineStr">
        <is>
          <t>Cobblemon 동일</t>
        </is>
      </c>
      <c r="AK1062" s="18" t="inlineStr">
        <is>
          <t>사용</t>
        </is>
      </c>
      <c r="AL1062" s="18" t="inlineStr">
        <is>
          <t>COBBLEVERSE 1.7.42 / DP v31</t>
        </is>
      </c>
      <c r="AM1062" s="18" t="inlineStr">
        <is>
          <t>data/cobblemon/spawn_pool_world/0259_marshtomp.json</t>
        </is>
      </c>
      <c r="AN1062" s="18" t="inlineStr">
        <is>
          <t>marshtomp-2</t>
        </is>
      </c>
      <c r="AO1062" s="18" t="inlineStr">
        <is>
          <t>pokemon</t>
        </is>
      </c>
      <c r="AP1062" s="18" t="inlineStr">
        <is>
          <t>water</t>
        </is>
      </c>
      <c r="AQ1062" s="18" t="inlineStr">
        <is>
          <t>{"biomes":["#cobblemon:is_swamp"],"canSeeSky":true}</t>
        </is>
      </c>
      <c r="AR1062" s="18" t="inlineStr"/>
      <c r="AS1062" s="18" t="inlineStr"/>
      <c r="AT1062" s="19" t="inlineStr"/>
    </row>
    <row r="1063" ht="32" customHeight="1">
      <c r="A1063" s="18" t="inlineStr">
        <is>
          <t>0259_marshtomp.json::marshtomp-3::003</t>
        </is>
      </c>
      <c r="B1063" s="19" t="inlineStr">
        <is>
          <t>사용</t>
        </is>
      </c>
      <c r="C1063" s="18">
        <f>IF(OR(B1063&lt;&gt;AK1063,M1063&lt;&gt;L1063,O1063&lt;&gt;"",Q1063&lt;&gt;"",V1063&lt;&gt;1,Y1063&lt;&gt;"",AT1063&lt;&gt;""),"수정","원본")</f>
        <v/>
      </c>
      <c r="D1063" s="18" t="n">
        <v>259</v>
      </c>
      <c r="E1063" s="18" t="inlineStr">
        <is>
          <t>늪짱이</t>
        </is>
      </c>
      <c r="F1063" s="18" t="inlineStr">
        <is>
          <t>marshtomp</t>
        </is>
      </c>
      <c r="G1063" s="18" t="inlineStr">
        <is>
          <t>marshtomp</t>
        </is>
      </c>
      <c r="H1063" s="18" t="inlineStr"/>
      <c r="I1063" s="18" t="n">
        <v>3</v>
      </c>
      <c r="J1063" s="18" t="n"/>
      <c r="K1063" s="18" t="n">
        <v>3</v>
      </c>
      <c r="L1063" s="18" t="inlineStr">
        <is>
          <t>cobbleventure:generation_3</t>
        </is>
      </c>
      <c r="M1063" s="19" t="inlineStr">
        <is>
          <t>cobbleventure:generation_3</t>
        </is>
      </c>
      <c r="N1063" s="18" t="inlineStr"/>
      <c r="O1063" s="19" t="inlineStr"/>
      <c r="P1063" s="18" t="inlineStr">
        <is>
          <t>#cobblemon:is_lush</t>
        </is>
      </c>
      <c r="Q1063" s="19" t="inlineStr"/>
      <c r="R1063" s="18">
        <f>IF(Q1063="",P1063,Q1063)</f>
        <v/>
      </c>
      <c r="S1063" s="18" t="inlineStr"/>
      <c r="T1063" s="18" t="inlineStr">
        <is>
          <t>ultra-rare</t>
        </is>
      </c>
      <c r="U1063" s="20" t="n">
        <v>3.6</v>
      </c>
      <c r="V1063" s="21" t="n">
        <v>1</v>
      </c>
      <c r="W1063" s="20">
        <f>IF(OR(U1063="",V1063=""),U1063,U1063*V1063)</f>
        <v/>
      </c>
      <c r="X1063" s="18" t="inlineStr">
        <is>
          <t>16-41</t>
        </is>
      </c>
      <c r="Y1063" s="19" t="inlineStr"/>
      <c r="Z1063" s="18">
        <f>IF(Y1063="",X1063,Y1063)</f>
        <v/>
      </c>
      <c r="AA1063" s="18" t="inlineStr">
        <is>
          <t>grounded</t>
        </is>
      </c>
      <c r="AB1063" s="18" t="inlineStr"/>
      <c r="AC1063" s="18" t="inlineStr"/>
      <c r="AD1063" s="18" t="inlineStr"/>
      <c r="AE1063" s="18" t="inlineStr">
        <is>
          <t>sky 0-7</t>
        </is>
      </c>
      <c r="AF1063" s="18" t="inlineStr"/>
      <c r="AG1063" s="18" t="inlineStr"/>
      <c r="AH1063" s="18" t="inlineStr"/>
      <c r="AI1063" s="18" t="inlineStr"/>
      <c r="AJ1063" s="18" t="inlineStr">
        <is>
          <t>Cobblemon 동일</t>
        </is>
      </c>
      <c r="AK1063" s="18" t="inlineStr">
        <is>
          <t>사용</t>
        </is>
      </c>
      <c r="AL1063" s="18" t="inlineStr">
        <is>
          <t>COBBLEVERSE 1.7.42 / DP v31</t>
        </is>
      </c>
      <c r="AM1063" s="18" t="inlineStr">
        <is>
          <t>data/cobblemon/spawn_pool_world/0259_marshtomp.json</t>
        </is>
      </c>
      <c r="AN1063" s="18" t="inlineStr">
        <is>
          <t>marshtomp-3</t>
        </is>
      </c>
      <c r="AO1063" s="18" t="inlineStr">
        <is>
          <t>pokemon</t>
        </is>
      </c>
      <c r="AP1063" s="18" t="inlineStr">
        <is>
          <t>natural</t>
        </is>
      </c>
      <c r="AQ1063" s="18" t="inlineStr">
        <is>
          <t>{"biomes":["#cobblemon:is_lush"],"maxSkyLight":7,"minSkyLight":0}</t>
        </is>
      </c>
      <c r="AR1063" s="18" t="inlineStr">
        <is>
          <t>{"maxY":9,"minY":-41,"structures":["cobblemon:shipwreck_coves/lush_shipwreck_cove"]}</t>
        </is>
      </c>
      <c r="AS1063" s="18" t="inlineStr"/>
      <c r="AT1063" s="19" t="inlineStr"/>
    </row>
    <row r="1064" ht="32" customHeight="1">
      <c r="A1064" s="18" t="inlineStr">
        <is>
          <t>0259_marshtomp.json::marshtomp-4::004</t>
        </is>
      </c>
      <c r="B1064" s="19" t="inlineStr">
        <is>
          <t>사용</t>
        </is>
      </c>
      <c r="C1064" s="18">
        <f>IF(OR(B1064&lt;&gt;AK1064,M1064&lt;&gt;L1064,O1064&lt;&gt;"",Q1064&lt;&gt;"",V1064&lt;&gt;1,Y1064&lt;&gt;"",AT1064&lt;&gt;""),"수정","원본")</f>
        <v/>
      </c>
      <c r="D1064" s="18" t="n">
        <v>259</v>
      </c>
      <c r="E1064" s="18" t="inlineStr">
        <is>
          <t>늪짱이</t>
        </is>
      </c>
      <c r="F1064" s="18" t="inlineStr">
        <is>
          <t>marshtomp</t>
        </is>
      </c>
      <c r="G1064" s="18" t="inlineStr">
        <is>
          <t>marshtomp</t>
        </is>
      </c>
      <c r="H1064" s="18" t="inlineStr"/>
      <c r="I1064" s="18" t="n">
        <v>3</v>
      </c>
      <c r="J1064" s="18" t="n"/>
      <c r="K1064" s="18" t="n">
        <v>3</v>
      </c>
      <c r="L1064" s="18" t="inlineStr">
        <is>
          <t>cobbleventure:generation_3</t>
        </is>
      </c>
      <c r="M1064" s="19" t="inlineStr">
        <is>
          <t>cobbleventure:generation_3</t>
        </is>
      </c>
      <c r="N1064" s="18" t="inlineStr"/>
      <c r="O1064" s="19" t="inlineStr"/>
      <c r="P1064" s="18" t="inlineStr">
        <is>
          <t>#cobblemon:is_lush</t>
        </is>
      </c>
      <c r="Q1064" s="19" t="inlineStr"/>
      <c r="R1064" s="18">
        <f>IF(Q1064="",P1064,Q1064)</f>
        <v/>
      </c>
      <c r="S1064" s="18" t="inlineStr"/>
      <c r="T1064" s="18" t="inlineStr">
        <is>
          <t>ultra-rare</t>
        </is>
      </c>
      <c r="U1064" s="20" t="n">
        <v>3.6</v>
      </c>
      <c r="V1064" s="21" t="n">
        <v>1</v>
      </c>
      <c r="W1064" s="20">
        <f>IF(OR(U1064="",V1064=""),U1064,U1064*V1064)</f>
        <v/>
      </c>
      <c r="X1064" s="18" t="inlineStr">
        <is>
          <t>16-41</t>
        </is>
      </c>
      <c r="Y1064" s="19" t="inlineStr"/>
      <c r="Z1064" s="18">
        <f>IF(Y1064="",X1064,Y1064)</f>
        <v/>
      </c>
      <c r="AA1064" s="18" t="inlineStr">
        <is>
          <t>submerged</t>
        </is>
      </c>
      <c r="AB1064" s="18" t="inlineStr"/>
      <c r="AC1064" s="18" t="inlineStr"/>
      <c r="AD1064" s="18" t="inlineStr"/>
      <c r="AE1064" s="18" t="inlineStr">
        <is>
          <t>sky 0-7</t>
        </is>
      </c>
      <c r="AF1064" s="18" t="inlineStr"/>
      <c r="AG1064" s="18" t="inlineStr"/>
      <c r="AH1064" s="18" t="inlineStr"/>
      <c r="AI1064" s="18" t="inlineStr"/>
      <c r="AJ1064" s="18" t="inlineStr">
        <is>
          <t>Cobblemon 동일</t>
        </is>
      </c>
      <c r="AK1064" s="18" t="inlineStr">
        <is>
          <t>사용</t>
        </is>
      </c>
      <c r="AL1064" s="18" t="inlineStr">
        <is>
          <t>COBBLEVERSE 1.7.42 / DP v31</t>
        </is>
      </c>
      <c r="AM1064" s="18" t="inlineStr">
        <is>
          <t>data/cobblemon/spawn_pool_world/0259_marshtomp.json</t>
        </is>
      </c>
      <c r="AN1064" s="18" t="inlineStr">
        <is>
          <t>marshtomp-4</t>
        </is>
      </c>
      <c r="AO1064" s="18" t="inlineStr">
        <is>
          <t>pokemon</t>
        </is>
      </c>
      <c r="AP1064" s="18" t="inlineStr">
        <is>
          <t>water</t>
        </is>
      </c>
      <c r="AQ1064" s="18" t="inlineStr">
        <is>
          <t>{"biomes":["#cobblemon:is_lush"],"maxSkyLight":7,"minSkyLight":0}</t>
        </is>
      </c>
      <c r="AR1064" s="18" t="inlineStr">
        <is>
          <t>{"maxY":9,"minY":-41,"structures":["cobblemon:shipwreck_coves/lush_shipwreck_cove"]}</t>
        </is>
      </c>
      <c r="AS1064" s="18" t="inlineStr"/>
      <c r="AT1064" s="19" t="inlineStr"/>
    </row>
    <row r="1065" ht="32" customHeight="1">
      <c r="A1065" s="18" t="inlineStr">
        <is>
          <t>0259_marshtomp.json::marshtomp-5::005</t>
        </is>
      </c>
      <c r="B1065" s="19" t="inlineStr">
        <is>
          <t>사용</t>
        </is>
      </c>
      <c r="C1065" s="18">
        <f>IF(OR(B1065&lt;&gt;AK1065,M1065&lt;&gt;L1065,O1065&lt;&gt;"",Q1065&lt;&gt;"",V1065&lt;&gt;1,Y1065&lt;&gt;"",AT1065&lt;&gt;""),"수정","원본")</f>
        <v/>
      </c>
      <c r="D1065" s="18" t="n">
        <v>259</v>
      </c>
      <c r="E1065" s="18" t="inlineStr">
        <is>
          <t>늪짱이</t>
        </is>
      </c>
      <c r="F1065" s="18" t="inlineStr">
        <is>
          <t>marshtomp</t>
        </is>
      </c>
      <c r="G1065" s="18" t="inlineStr">
        <is>
          <t>marshtomp</t>
        </is>
      </c>
      <c r="H1065" s="18" t="inlineStr"/>
      <c r="I1065" s="18" t="n">
        <v>3</v>
      </c>
      <c r="J1065" s="18" t="n"/>
      <c r="K1065" s="18" t="n">
        <v>3</v>
      </c>
      <c r="L1065" s="18" t="inlineStr">
        <is>
          <t>cobbleventure:generation_3</t>
        </is>
      </c>
      <c r="M1065" s="19" t="inlineStr">
        <is>
          <t>cobbleventure:generation_3</t>
        </is>
      </c>
      <c r="N1065" s="18" t="inlineStr">
        <is>
          <t>region_01; region_02</t>
        </is>
      </c>
      <c r="O1065" s="19" t="inlineStr"/>
      <c r="P1065" s="18" t="inlineStr">
        <is>
          <t>#cobblemon:is_badlands; #cobblemon:is_forest; #cobblemon:is_jungle; #cobblemon:is_mushroom; #cobblemon:is_savanna; #cobblemon:is_swamp</t>
        </is>
      </c>
      <c r="Q1065" s="19" t="inlineStr"/>
      <c r="R1065" s="18">
        <f>IF(Q1065="",P1065,Q1065)</f>
        <v/>
      </c>
      <c r="S1065" s="18" t="inlineStr"/>
      <c r="T1065" s="18" t="inlineStr">
        <is>
          <t>ultra-rare</t>
        </is>
      </c>
      <c r="U1065" s="20" t="n">
        <v>3.6</v>
      </c>
      <c r="V1065" s="21" t="n">
        <v>1</v>
      </c>
      <c r="W1065" s="20">
        <f>IF(OR(U1065="",V1065=""),U1065,U1065*V1065)</f>
        <v/>
      </c>
      <c r="X1065" s="18" t="inlineStr">
        <is>
          <t>16-41</t>
        </is>
      </c>
      <c r="Y1065" s="19" t="inlineStr"/>
      <c r="Z1065" s="18">
        <f>IF(Y1065="",X1065,Y1065)</f>
        <v/>
      </c>
      <c r="AA1065" s="18" t="inlineStr">
        <is>
          <t>fishing</t>
        </is>
      </c>
      <c r="AB1065" s="18" t="inlineStr"/>
      <c r="AC1065" s="18" t="inlineStr"/>
      <c r="AD1065" s="18" t="inlineStr"/>
      <c r="AE1065" s="18" t="inlineStr"/>
      <c r="AF1065" s="18" t="inlineStr">
        <is>
          <t>True</t>
        </is>
      </c>
      <c r="AG1065" s="18" t="inlineStr"/>
      <c r="AH1065" s="18" t="inlineStr"/>
      <c r="AI1065" s="18" t="inlineStr"/>
      <c r="AJ1065" s="18" t="inlineStr">
        <is>
          <t>Cobblemon 동일</t>
        </is>
      </c>
      <c r="AK1065" s="18" t="inlineStr">
        <is>
          <t>사용</t>
        </is>
      </c>
      <c r="AL1065" s="18" t="inlineStr">
        <is>
          <t>COBBLEVERSE 1.7.42 / DP v31</t>
        </is>
      </c>
      <c r="AM1065" s="18" t="inlineStr">
        <is>
          <t>data/cobblemon/spawn_pool_world/0259_marshtomp.json</t>
        </is>
      </c>
      <c r="AN1065" s="18" t="inlineStr">
        <is>
          <t>marshtomp-5</t>
        </is>
      </c>
      <c r="AO1065" s="18" t="inlineStr">
        <is>
          <t>pokemon</t>
        </is>
      </c>
      <c r="AP1065" s="18" t="inlineStr"/>
      <c r="AQ1065" s="18" t="inlineStr">
        <is>
          <t>{"biomes":["#cobblemon:is_badlands","#cobblemon:is_forest","#cobblemon:is_jungle","#cobblemon:is_mushroom","#cobblemon:is_savanna","#cobblemon:is_swamp"],"canSeeSky":true}</t>
        </is>
      </c>
      <c r="AR1065" s="18" t="inlineStr"/>
      <c r="AS1065" s="18" t="inlineStr"/>
      <c r="AT1065" s="19" t="inlineStr"/>
    </row>
    <row r="1066" ht="32" customHeight="1">
      <c r="A1066" s="18" t="inlineStr">
        <is>
          <t>0259_marshtomp.json::marshtomp-6::006</t>
        </is>
      </c>
      <c r="B1066" s="19" t="inlineStr">
        <is>
          <t>사용</t>
        </is>
      </c>
      <c r="C1066" s="18">
        <f>IF(OR(B1066&lt;&gt;AK1066,M1066&lt;&gt;L1066,O1066&lt;&gt;"",Q1066&lt;&gt;"",V1066&lt;&gt;1,Y1066&lt;&gt;"",AT1066&lt;&gt;""),"수정","원본")</f>
        <v/>
      </c>
      <c r="D1066" s="18" t="n">
        <v>259</v>
      </c>
      <c r="E1066" s="18" t="inlineStr">
        <is>
          <t>늪짱이</t>
        </is>
      </c>
      <c r="F1066" s="18" t="inlineStr">
        <is>
          <t>marshtomp</t>
        </is>
      </c>
      <c r="G1066" s="18" t="inlineStr">
        <is>
          <t>marshtomp</t>
        </is>
      </c>
      <c r="H1066" s="18" t="inlineStr"/>
      <c r="I1066" s="18" t="n">
        <v>3</v>
      </c>
      <c r="J1066" s="18" t="n"/>
      <c r="K1066" s="18" t="n">
        <v>3</v>
      </c>
      <c r="L1066" s="18" t="inlineStr">
        <is>
          <t>cobbleventure:generation_3</t>
        </is>
      </c>
      <c r="M1066" s="19" t="inlineStr">
        <is>
          <t>cobbleventure:generation_3</t>
        </is>
      </c>
      <c r="N1066" s="18" t="inlineStr"/>
      <c r="O1066" s="19" t="inlineStr"/>
      <c r="P1066" s="18" t="inlineStr">
        <is>
          <t>#cobblemon:is_lush</t>
        </is>
      </c>
      <c r="Q1066" s="19" t="inlineStr"/>
      <c r="R1066" s="18">
        <f>IF(Q1066="",P1066,Q1066)</f>
        <v/>
      </c>
      <c r="S1066" s="18" t="inlineStr"/>
      <c r="T1066" s="18" t="inlineStr">
        <is>
          <t>ultra-rare</t>
        </is>
      </c>
      <c r="U1066" s="20" t="n">
        <v>3.6</v>
      </c>
      <c r="V1066" s="21" t="n">
        <v>1</v>
      </c>
      <c r="W1066" s="20">
        <f>IF(OR(U1066="",V1066=""),U1066,U1066*V1066)</f>
        <v/>
      </c>
      <c r="X1066" s="18" t="inlineStr">
        <is>
          <t>16-41</t>
        </is>
      </c>
      <c r="Y1066" s="19" t="inlineStr"/>
      <c r="Z1066" s="18">
        <f>IF(Y1066="",X1066,Y1066)</f>
        <v/>
      </c>
      <c r="AA1066" s="18" t="inlineStr">
        <is>
          <t>fishing</t>
        </is>
      </c>
      <c r="AB1066" s="18" t="inlineStr"/>
      <c r="AC1066" s="18" t="inlineStr"/>
      <c r="AD1066" s="18" t="inlineStr"/>
      <c r="AE1066" s="18" t="inlineStr">
        <is>
          <t>sky 0-7</t>
        </is>
      </c>
      <c r="AF1066" s="18" t="inlineStr"/>
      <c r="AG1066" s="18" t="inlineStr"/>
      <c r="AH1066" s="18" t="inlineStr"/>
      <c r="AI1066" s="18" t="inlineStr"/>
      <c r="AJ1066" s="18" t="inlineStr">
        <is>
          <t>Cobblemon 동일</t>
        </is>
      </c>
      <c r="AK1066" s="18" t="inlineStr">
        <is>
          <t>사용</t>
        </is>
      </c>
      <c r="AL1066" s="18" t="inlineStr">
        <is>
          <t>COBBLEVERSE 1.7.42 / DP v31</t>
        </is>
      </c>
      <c r="AM1066" s="18" t="inlineStr">
        <is>
          <t>data/cobblemon/spawn_pool_world/0259_marshtomp.json</t>
        </is>
      </c>
      <c r="AN1066" s="18" t="inlineStr">
        <is>
          <t>marshtomp-6</t>
        </is>
      </c>
      <c r="AO1066" s="18" t="inlineStr">
        <is>
          <t>pokemon</t>
        </is>
      </c>
      <c r="AP1066" s="18" t="inlineStr"/>
      <c r="AQ1066" s="18" t="inlineStr">
        <is>
          <t>{"biomes":["#cobblemon:is_lush"],"maxSkyLight":7,"minSkyLight":0}</t>
        </is>
      </c>
      <c r="AR1066" s="18" t="inlineStr">
        <is>
          <t>{"maxY":9,"minY":-41,"structures":["cobblemon:shipwreck_coves/lush_shipwreck_cove"]}</t>
        </is>
      </c>
      <c r="AS1066" s="18" t="inlineStr"/>
      <c r="AT1066" s="19" t="inlineStr"/>
    </row>
    <row r="1067" ht="32" customHeight="1">
      <c r="A1067" s="18" t="inlineStr">
        <is>
          <t>0259_marshtomp.json::marshtomp-7::007</t>
        </is>
      </c>
      <c r="B1067" s="19" t="inlineStr">
        <is>
          <t>사용</t>
        </is>
      </c>
      <c r="C1067" s="18">
        <f>IF(OR(B1067&lt;&gt;AK1067,M1067&lt;&gt;L1067,O1067&lt;&gt;"",Q1067&lt;&gt;"",V1067&lt;&gt;1,Y1067&lt;&gt;"",AT1067&lt;&gt;""),"수정","원본")</f>
        <v/>
      </c>
      <c r="D1067" s="18" t="n">
        <v>259</v>
      </c>
      <c r="E1067" s="18" t="inlineStr">
        <is>
          <t>늪짱이</t>
        </is>
      </c>
      <c r="F1067" s="18" t="inlineStr">
        <is>
          <t>marshtomp</t>
        </is>
      </c>
      <c r="G1067" s="18" t="inlineStr">
        <is>
          <t>marshtomp</t>
        </is>
      </c>
      <c r="H1067" s="18" t="inlineStr"/>
      <c r="I1067" s="18" t="n">
        <v>3</v>
      </c>
      <c r="J1067" s="18" t="n"/>
      <c r="K1067" s="18" t="n">
        <v>3</v>
      </c>
      <c r="L1067" s="18" t="inlineStr">
        <is>
          <t>cobbleventure:generation_3</t>
        </is>
      </c>
      <c r="M1067" s="19" t="inlineStr">
        <is>
          <t>cobbleventure:generation_3</t>
        </is>
      </c>
      <c r="N1067" s="18" t="inlineStr">
        <is>
          <t>region_02</t>
        </is>
      </c>
      <c r="O1067" s="19" t="inlineStr"/>
      <c r="P1067" s="18" t="inlineStr">
        <is>
          <t>#cobblemon:is_swamp</t>
        </is>
      </c>
      <c r="Q1067" s="19" t="inlineStr"/>
      <c r="R1067" s="18">
        <f>IF(Q1067="",P1067,Q1067)</f>
        <v/>
      </c>
      <c r="S1067" s="18" t="inlineStr"/>
      <c r="T1067" s="18" t="inlineStr">
        <is>
          <t>ultra-rare</t>
        </is>
      </c>
      <c r="U1067" s="20" t="n">
        <v>3.6</v>
      </c>
      <c r="V1067" s="21" t="n">
        <v>1</v>
      </c>
      <c r="W1067" s="20">
        <f>IF(OR(U1067="",V1067=""),U1067,U1067*V1067)</f>
        <v/>
      </c>
      <c r="X1067" s="18" t="inlineStr">
        <is>
          <t>16-41</t>
        </is>
      </c>
      <c r="Y1067" s="19" t="inlineStr"/>
      <c r="Z1067" s="18">
        <f>IF(Y1067="",X1067,Y1067)</f>
        <v/>
      </c>
      <c r="AA1067" s="18" t="inlineStr">
        <is>
          <t>submerged</t>
        </is>
      </c>
      <c r="AB1067" s="18" t="inlineStr"/>
      <c r="AC1067" s="18" t="inlineStr"/>
      <c r="AD1067" s="18" t="inlineStr"/>
      <c r="AE1067" s="18" t="inlineStr">
        <is>
          <t>sky 8-15</t>
        </is>
      </c>
      <c r="AF1067" s="18" t="inlineStr">
        <is>
          <t>False</t>
        </is>
      </c>
      <c r="AG1067" s="18" t="inlineStr"/>
      <c r="AH1067" s="18" t="inlineStr"/>
      <c r="AI1067" s="18" t="inlineStr"/>
      <c r="AJ1067" s="18" t="inlineStr">
        <is>
          <t>Cobblemon 동일</t>
        </is>
      </c>
      <c r="AK1067" s="18" t="inlineStr">
        <is>
          <t>사용</t>
        </is>
      </c>
      <c r="AL1067" s="18" t="inlineStr">
        <is>
          <t>COBBLEVERSE 1.7.42 / DP v31</t>
        </is>
      </c>
      <c r="AM1067" s="18" t="inlineStr">
        <is>
          <t>data/cobblemon/spawn_pool_world/0259_marshtomp.json</t>
        </is>
      </c>
      <c r="AN1067" s="18" t="inlineStr">
        <is>
          <t>marshtomp-7</t>
        </is>
      </c>
      <c r="AO1067" s="18" t="inlineStr">
        <is>
          <t>pokemon</t>
        </is>
      </c>
      <c r="AP1067" s="18" t="inlineStr">
        <is>
          <t>water</t>
        </is>
      </c>
      <c r="AQ1067" s="18" t="inlineStr">
        <is>
          <t>{"biomes":["#cobblemon:is_swamp"],"canSeeSky":false,"maxSkyLight":15,"minSkyLight":8}</t>
        </is>
      </c>
      <c r="AR1067" s="18" t="inlineStr"/>
      <c r="AS1067" s="18" t="inlineStr"/>
      <c r="AT1067" s="19" t="inlineStr"/>
    </row>
    <row r="1068" ht="32" customHeight="1">
      <c r="A1068" s="18" t="inlineStr">
        <is>
          <t>0259_marshtomp.json::marshtomp-8::008</t>
        </is>
      </c>
      <c r="B1068" s="19" t="inlineStr">
        <is>
          <t>사용</t>
        </is>
      </c>
      <c r="C1068" s="18">
        <f>IF(OR(B1068&lt;&gt;AK1068,M1068&lt;&gt;L1068,O1068&lt;&gt;"",Q1068&lt;&gt;"",V1068&lt;&gt;1,Y1068&lt;&gt;"",AT1068&lt;&gt;""),"수정","원본")</f>
        <v/>
      </c>
      <c r="D1068" s="18" t="n">
        <v>259</v>
      </c>
      <c r="E1068" s="18" t="inlineStr">
        <is>
          <t>늪짱이</t>
        </is>
      </c>
      <c r="F1068" s="18" t="inlineStr">
        <is>
          <t>marshtomp</t>
        </is>
      </c>
      <c r="G1068" s="18" t="inlineStr">
        <is>
          <t>marshtomp</t>
        </is>
      </c>
      <c r="H1068" s="18" t="inlineStr"/>
      <c r="I1068" s="18" t="n">
        <v>3</v>
      </c>
      <c r="J1068" s="18" t="n"/>
      <c r="K1068" s="18" t="n">
        <v>3</v>
      </c>
      <c r="L1068" s="18" t="inlineStr">
        <is>
          <t>cobbleventure:generation_3</t>
        </is>
      </c>
      <c r="M1068" s="19" t="inlineStr">
        <is>
          <t>cobbleventure:generation_3</t>
        </is>
      </c>
      <c r="N1068" s="18" t="inlineStr">
        <is>
          <t>region_01; region_02</t>
        </is>
      </c>
      <c r="O1068" s="19" t="inlineStr"/>
      <c r="P1068" s="18" t="inlineStr">
        <is>
          <t>#cobblemon:is_badlands; #cobblemon:is_forest; #cobblemon:is_jungle; #cobblemon:is_mushroom; #cobblemon:is_savanna; #cobblemon:is_swamp</t>
        </is>
      </c>
      <c r="Q1068" s="19" t="inlineStr"/>
      <c r="R1068" s="18">
        <f>IF(Q1068="",P1068,Q1068)</f>
        <v/>
      </c>
      <c r="S1068" s="18" t="inlineStr"/>
      <c r="T1068" s="18" t="inlineStr">
        <is>
          <t>ultra-rare</t>
        </is>
      </c>
      <c r="U1068" s="20" t="n">
        <v>3.6</v>
      </c>
      <c r="V1068" s="21" t="n">
        <v>1</v>
      </c>
      <c r="W1068" s="20">
        <f>IF(OR(U1068="",V1068=""),U1068,U1068*V1068)</f>
        <v/>
      </c>
      <c r="X1068" s="18" t="inlineStr">
        <is>
          <t>16-41</t>
        </is>
      </c>
      <c r="Y1068" s="19" t="inlineStr"/>
      <c r="Z1068" s="18">
        <f>IF(Y1068="",X1068,Y1068)</f>
        <v/>
      </c>
      <c r="AA1068" s="18" t="inlineStr">
        <is>
          <t>fishing</t>
        </is>
      </c>
      <c r="AB1068" s="18" t="inlineStr"/>
      <c r="AC1068" s="18" t="inlineStr"/>
      <c r="AD1068" s="18" t="inlineStr"/>
      <c r="AE1068" s="18" t="inlineStr">
        <is>
          <t>sky 8-15</t>
        </is>
      </c>
      <c r="AF1068" s="18" t="inlineStr">
        <is>
          <t>False</t>
        </is>
      </c>
      <c r="AG1068" s="18" t="inlineStr"/>
      <c r="AH1068" s="18" t="inlineStr"/>
      <c r="AI1068" s="18" t="inlineStr"/>
      <c r="AJ1068" s="18" t="inlineStr">
        <is>
          <t>Cobblemon 동일</t>
        </is>
      </c>
      <c r="AK1068" s="18" t="inlineStr">
        <is>
          <t>사용</t>
        </is>
      </c>
      <c r="AL1068" s="18" t="inlineStr">
        <is>
          <t>COBBLEVERSE 1.7.42 / DP v31</t>
        </is>
      </c>
      <c r="AM1068" s="18" t="inlineStr">
        <is>
          <t>data/cobblemon/spawn_pool_world/0259_marshtomp.json</t>
        </is>
      </c>
      <c r="AN1068" s="18" t="inlineStr">
        <is>
          <t>marshtomp-8</t>
        </is>
      </c>
      <c r="AO1068" s="18" t="inlineStr">
        <is>
          <t>pokemon</t>
        </is>
      </c>
      <c r="AP1068" s="18" t="inlineStr"/>
      <c r="AQ1068" s="18" t="inlineStr">
        <is>
          <t>{"biomes":["#cobblemon:is_badlands","#cobblemon:is_forest","#cobblemon:is_jungle","#cobblemon:is_mushroom","#cobblemon:is_savanna","#cobblemon:is_swamp"],"canSeeSky":false,"maxSkyLight":15,"minSkyLight":8}</t>
        </is>
      </c>
      <c r="AR1068" s="18" t="inlineStr"/>
      <c r="AS1068" s="18" t="inlineStr"/>
      <c r="AT1068" s="19" t="inlineStr"/>
    </row>
    <row r="1069" ht="32" customHeight="1">
      <c r="A1069" s="18" t="inlineStr">
        <is>
          <t>0259_marshtomp.json::marshtomp-9::009</t>
        </is>
      </c>
      <c r="B1069" s="19" t="inlineStr">
        <is>
          <t>사용</t>
        </is>
      </c>
      <c r="C1069" s="18">
        <f>IF(OR(B1069&lt;&gt;AK1069,M1069&lt;&gt;L1069,O1069&lt;&gt;"",Q1069&lt;&gt;"",V1069&lt;&gt;1,Y1069&lt;&gt;"",AT1069&lt;&gt;""),"수정","원본")</f>
        <v/>
      </c>
      <c r="D1069" s="18" t="n">
        <v>259</v>
      </c>
      <c r="E1069" s="18" t="inlineStr">
        <is>
          <t>늪짱이</t>
        </is>
      </c>
      <c r="F1069" s="18" t="inlineStr">
        <is>
          <t>marshtomp</t>
        </is>
      </c>
      <c r="G1069" s="18" t="inlineStr">
        <is>
          <t>marshtomp</t>
        </is>
      </c>
      <c r="H1069" s="18" t="inlineStr"/>
      <c r="I1069" s="18" t="n">
        <v>3</v>
      </c>
      <c r="J1069" s="18" t="n"/>
      <c r="K1069" s="18" t="n">
        <v>3</v>
      </c>
      <c r="L1069" s="18" t="inlineStr">
        <is>
          <t>cobbleventure:generation_3</t>
        </is>
      </c>
      <c r="M1069" s="19" t="inlineStr">
        <is>
          <t>cobbleventure:generation_3</t>
        </is>
      </c>
      <c r="N1069" s="18" t="inlineStr">
        <is>
          <t>region_01; region_02</t>
        </is>
      </c>
      <c r="O1069" s="19" t="inlineStr"/>
      <c r="P1069" s="18" t="inlineStr">
        <is>
          <t>#cobblemon:is_overworld</t>
        </is>
      </c>
      <c r="Q1069" s="19" t="inlineStr"/>
      <c r="R1069" s="18">
        <f>IF(Q1069="",P1069,Q1069)</f>
        <v/>
      </c>
      <c r="S1069" s="18" t="inlineStr">
        <is>
          <t>#cobblemon:is_lush</t>
        </is>
      </c>
      <c r="T1069" s="18" t="inlineStr">
        <is>
          <t>ultra-rare</t>
        </is>
      </c>
      <c r="U1069" s="20" t="n">
        <v>3.6</v>
      </c>
      <c r="V1069" s="21" t="n">
        <v>1</v>
      </c>
      <c r="W1069" s="20">
        <f>IF(OR(U1069="",V1069=""),U1069,U1069*V1069)</f>
        <v/>
      </c>
      <c r="X1069" s="18" t="inlineStr">
        <is>
          <t>16-41</t>
        </is>
      </c>
      <c r="Y1069" s="19" t="inlineStr"/>
      <c r="Z1069" s="18">
        <f>IF(Y1069="",X1069,Y1069)</f>
        <v/>
      </c>
      <c r="AA1069" s="18" t="inlineStr">
        <is>
          <t>grounded</t>
        </is>
      </c>
      <c r="AB1069" s="18" t="inlineStr"/>
      <c r="AC1069" s="18" t="inlineStr"/>
      <c r="AD1069" s="18" t="inlineStr">
        <is>
          <t>minY=-41, maxY=9</t>
        </is>
      </c>
      <c r="AE1069" s="18" t="inlineStr">
        <is>
          <t>sky 0-7</t>
        </is>
      </c>
      <c r="AF1069" s="18" t="inlineStr"/>
      <c r="AG1069" s="18" t="inlineStr">
        <is>
          <t>cobblemon:shipwreck_coves/lush_shipwreck_cove</t>
        </is>
      </c>
      <c r="AH1069" s="18" t="inlineStr"/>
      <c r="AI1069" s="18" t="inlineStr"/>
      <c r="AJ1069" s="18" t="inlineStr">
        <is>
          <t>Cobblemon 동일</t>
        </is>
      </c>
      <c r="AK1069" s="18" t="inlineStr">
        <is>
          <t>사용</t>
        </is>
      </c>
      <c r="AL1069" s="18" t="inlineStr">
        <is>
          <t>COBBLEVERSE 1.7.42 / DP v31</t>
        </is>
      </c>
      <c r="AM1069" s="18" t="inlineStr">
        <is>
          <t>data/cobblemon/spawn_pool_world/0259_marshtomp.json</t>
        </is>
      </c>
      <c r="AN1069" s="18" t="inlineStr">
        <is>
          <t>marshtomp-9</t>
        </is>
      </c>
      <c r="AO1069" s="18" t="inlineStr">
        <is>
          <t>pokemon</t>
        </is>
      </c>
      <c r="AP1069" s="18" t="inlineStr">
        <is>
          <t>natural</t>
        </is>
      </c>
      <c r="AQ1069" s="18" t="inlineStr">
        <is>
          <t>{"biomes":["#cobblemon:is_overworld"],"maxSkyLight":7,"maxY":9,"minSkyLight":0,"minY":-41,"structures":["cobblemon:shipwreck_coves/lush_shipwreck_cove"]}</t>
        </is>
      </c>
      <c r="AR1069" s="18" t="inlineStr">
        <is>
          <t>{"biomes":["#cobblemon:is_lush"]}</t>
        </is>
      </c>
      <c r="AS1069" s="18" t="inlineStr"/>
      <c r="AT1069" s="19" t="inlineStr"/>
    </row>
    <row r="1070" ht="32" customHeight="1">
      <c r="A1070" s="18" t="inlineStr">
        <is>
          <t>0259_marshtomp.json::marshtomp-10::010</t>
        </is>
      </c>
      <c r="B1070" s="19" t="inlineStr">
        <is>
          <t>사용</t>
        </is>
      </c>
      <c r="C1070" s="18">
        <f>IF(OR(B1070&lt;&gt;AK1070,M1070&lt;&gt;L1070,O1070&lt;&gt;"",Q1070&lt;&gt;"",V1070&lt;&gt;1,Y1070&lt;&gt;"",AT1070&lt;&gt;""),"수정","원본")</f>
        <v/>
      </c>
      <c r="D1070" s="18" t="n">
        <v>259</v>
      </c>
      <c r="E1070" s="18" t="inlineStr">
        <is>
          <t>늪짱이</t>
        </is>
      </c>
      <c r="F1070" s="18" t="inlineStr">
        <is>
          <t>marshtomp</t>
        </is>
      </c>
      <c r="G1070" s="18" t="inlineStr">
        <is>
          <t>marshtomp</t>
        </is>
      </c>
      <c r="H1070" s="18" t="inlineStr"/>
      <c r="I1070" s="18" t="n">
        <v>3</v>
      </c>
      <c r="J1070" s="18" t="n"/>
      <c r="K1070" s="18" t="n">
        <v>3</v>
      </c>
      <c r="L1070" s="18" t="inlineStr">
        <is>
          <t>cobbleventure:generation_3</t>
        </is>
      </c>
      <c r="M1070" s="19" t="inlineStr">
        <is>
          <t>cobbleventure:generation_3</t>
        </is>
      </c>
      <c r="N1070" s="18" t="inlineStr">
        <is>
          <t>region_01; region_02</t>
        </is>
      </c>
      <c r="O1070" s="19" t="inlineStr"/>
      <c r="P1070" s="18" t="inlineStr">
        <is>
          <t>#cobblemon:is_overworld</t>
        </is>
      </c>
      <c r="Q1070" s="19" t="inlineStr"/>
      <c r="R1070" s="18">
        <f>IF(Q1070="",P1070,Q1070)</f>
        <v/>
      </c>
      <c r="S1070" s="18" t="inlineStr">
        <is>
          <t>#cobblemon:is_lush</t>
        </is>
      </c>
      <c r="T1070" s="18" t="inlineStr">
        <is>
          <t>ultra-rare</t>
        </is>
      </c>
      <c r="U1070" s="20" t="n">
        <v>3.6</v>
      </c>
      <c r="V1070" s="21" t="n">
        <v>1</v>
      </c>
      <c r="W1070" s="20">
        <f>IF(OR(U1070="",V1070=""),U1070,U1070*V1070)</f>
        <v/>
      </c>
      <c r="X1070" s="18" t="inlineStr">
        <is>
          <t>16-41</t>
        </is>
      </c>
      <c r="Y1070" s="19" t="inlineStr"/>
      <c r="Z1070" s="18">
        <f>IF(Y1070="",X1070,Y1070)</f>
        <v/>
      </c>
      <c r="AA1070" s="18" t="inlineStr">
        <is>
          <t>submerged</t>
        </is>
      </c>
      <c r="AB1070" s="18" t="inlineStr"/>
      <c r="AC1070" s="18" t="inlineStr"/>
      <c r="AD1070" s="18" t="inlineStr">
        <is>
          <t>minY=-41, maxY=9</t>
        </is>
      </c>
      <c r="AE1070" s="18" t="inlineStr">
        <is>
          <t>sky 0-7</t>
        </is>
      </c>
      <c r="AF1070" s="18" t="inlineStr"/>
      <c r="AG1070" s="18" t="inlineStr">
        <is>
          <t>cobblemon:shipwreck_coves/lush_shipwreck_cove</t>
        </is>
      </c>
      <c r="AH1070" s="18" t="inlineStr"/>
      <c r="AI1070" s="18" t="inlineStr"/>
      <c r="AJ1070" s="18" t="inlineStr">
        <is>
          <t>Cobblemon 동일</t>
        </is>
      </c>
      <c r="AK1070" s="18" t="inlineStr">
        <is>
          <t>사용</t>
        </is>
      </c>
      <c r="AL1070" s="18" t="inlineStr">
        <is>
          <t>COBBLEVERSE 1.7.42 / DP v31</t>
        </is>
      </c>
      <c r="AM1070" s="18" t="inlineStr">
        <is>
          <t>data/cobblemon/spawn_pool_world/0259_marshtomp.json</t>
        </is>
      </c>
      <c r="AN1070" s="18" t="inlineStr">
        <is>
          <t>marshtomp-10</t>
        </is>
      </c>
      <c r="AO1070" s="18" t="inlineStr">
        <is>
          <t>pokemon</t>
        </is>
      </c>
      <c r="AP1070" s="18" t="inlineStr">
        <is>
          <t>water</t>
        </is>
      </c>
      <c r="AQ1070" s="18" t="inlineStr">
        <is>
          <t>{"biomes":["#cobblemon:is_overworld"],"maxSkyLight":7,"maxY":9,"minSkyLight":0,"minY":-41,"structures":["cobblemon:shipwreck_coves/lush_shipwreck_cove"]}</t>
        </is>
      </c>
      <c r="AR1070" s="18" t="inlineStr">
        <is>
          <t>{"biomes":["#cobblemon:is_lush"]}</t>
        </is>
      </c>
      <c r="AS1070" s="18" t="inlineStr"/>
      <c r="AT1070" s="19" t="inlineStr"/>
    </row>
    <row r="1071" ht="32" customHeight="1">
      <c r="A1071" s="18" t="inlineStr">
        <is>
          <t>0259_marshtomp.json::marshtomp-11::011</t>
        </is>
      </c>
      <c r="B1071" s="19" t="inlineStr">
        <is>
          <t>사용</t>
        </is>
      </c>
      <c r="C1071" s="18">
        <f>IF(OR(B1071&lt;&gt;AK1071,M1071&lt;&gt;L1071,O1071&lt;&gt;"",Q1071&lt;&gt;"",V1071&lt;&gt;1,Y1071&lt;&gt;"",AT1071&lt;&gt;""),"수정","원본")</f>
        <v/>
      </c>
      <c r="D1071" s="18" t="n">
        <v>259</v>
      </c>
      <c r="E1071" s="18" t="inlineStr">
        <is>
          <t>늪짱이</t>
        </is>
      </c>
      <c r="F1071" s="18" t="inlineStr">
        <is>
          <t>marshtomp</t>
        </is>
      </c>
      <c r="G1071" s="18" t="inlineStr">
        <is>
          <t>marshtomp</t>
        </is>
      </c>
      <c r="H1071" s="18" t="inlineStr"/>
      <c r="I1071" s="18" t="n">
        <v>3</v>
      </c>
      <c r="J1071" s="18" t="n"/>
      <c r="K1071" s="18" t="n">
        <v>3</v>
      </c>
      <c r="L1071" s="18" t="inlineStr">
        <is>
          <t>cobbleventure:generation_3</t>
        </is>
      </c>
      <c r="M1071" s="19" t="inlineStr">
        <is>
          <t>cobbleventure:generation_3</t>
        </is>
      </c>
      <c r="N1071" s="18" t="inlineStr">
        <is>
          <t>region_01; region_02</t>
        </is>
      </c>
      <c r="O1071" s="19" t="inlineStr"/>
      <c r="P1071" s="18" t="inlineStr">
        <is>
          <t>#cobblemon:is_overworld</t>
        </is>
      </c>
      <c r="Q1071" s="19" t="inlineStr"/>
      <c r="R1071" s="18">
        <f>IF(Q1071="",P1071,Q1071)</f>
        <v/>
      </c>
      <c r="S1071" s="18" t="inlineStr">
        <is>
          <t>#cobblemon:is_lush</t>
        </is>
      </c>
      <c r="T1071" s="18" t="inlineStr">
        <is>
          <t>ultra-rare</t>
        </is>
      </c>
      <c r="U1071" s="20" t="n">
        <v>3.6</v>
      </c>
      <c r="V1071" s="21" t="n">
        <v>1</v>
      </c>
      <c r="W1071" s="20">
        <f>IF(OR(U1071="",V1071=""),U1071,U1071*V1071)</f>
        <v/>
      </c>
      <c r="X1071" s="18" t="inlineStr">
        <is>
          <t>16-41</t>
        </is>
      </c>
      <c r="Y1071" s="19" t="inlineStr"/>
      <c r="Z1071" s="18">
        <f>IF(Y1071="",X1071,Y1071)</f>
        <v/>
      </c>
      <c r="AA1071" s="18" t="inlineStr">
        <is>
          <t>fishing</t>
        </is>
      </c>
      <c r="AB1071" s="18" t="inlineStr"/>
      <c r="AC1071" s="18" t="inlineStr"/>
      <c r="AD1071" s="18" t="inlineStr">
        <is>
          <t>minY=-41, maxY=9</t>
        </is>
      </c>
      <c r="AE1071" s="18" t="inlineStr">
        <is>
          <t>sky 0-7</t>
        </is>
      </c>
      <c r="AF1071" s="18" t="inlineStr"/>
      <c r="AG1071" s="18" t="inlineStr">
        <is>
          <t>cobblemon:shipwreck_coves/lush_shipwreck_cove</t>
        </is>
      </c>
      <c r="AH1071" s="18" t="inlineStr"/>
      <c r="AI1071" s="18" t="inlineStr"/>
      <c r="AJ1071" s="18" t="inlineStr">
        <is>
          <t>Cobblemon 동일</t>
        </is>
      </c>
      <c r="AK1071" s="18" t="inlineStr">
        <is>
          <t>사용</t>
        </is>
      </c>
      <c r="AL1071" s="18" t="inlineStr">
        <is>
          <t>COBBLEVERSE 1.7.42 / DP v31</t>
        </is>
      </c>
      <c r="AM1071" s="18" t="inlineStr">
        <is>
          <t>data/cobblemon/spawn_pool_world/0259_marshtomp.json</t>
        </is>
      </c>
      <c r="AN1071" s="18" t="inlineStr">
        <is>
          <t>marshtomp-11</t>
        </is>
      </c>
      <c r="AO1071" s="18" t="inlineStr">
        <is>
          <t>pokemon</t>
        </is>
      </c>
      <c r="AP1071" s="18" t="inlineStr"/>
      <c r="AQ1071" s="18" t="inlineStr">
        <is>
          <t>{"biomes":["#cobblemon:is_overworld"],"maxSkyLight":7,"maxY":9,"minSkyLight":0,"minY":-41,"structures":["cobblemon:shipwreck_coves/lush_shipwreck_cove"]}</t>
        </is>
      </c>
      <c r="AR1071" s="18" t="inlineStr">
        <is>
          <t>{"biomes":["#cobblemon:is_lush"]}</t>
        </is>
      </c>
      <c r="AS1071" s="18" t="inlineStr"/>
      <c r="AT1071" s="19" t="inlineStr"/>
    </row>
    <row r="1072" ht="32" customHeight="1">
      <c r="A1072" s="18" t="inlineStr">
        <is>
          <t>0260_swampert.json::swampert-1::001</t>
        </is>
      </c>
      <c r="B1072" s="19" t="inlineStr">
        <is>
          <t>사용</t>
        </is>
      </c>
      <c r="C1072" s="18">
        <f>IF(OR(B1072&lt;&gt;AK1072,M1072&lt;&gt;L1072,O1072&lt;&gt;"",Q1072&lt;&gt;"",V1072&lt;&gt;1,Y1072&lt;&gt;"",AT1072&lt;&gt;""),"수정","원본")</f>
        <v/>
      </c>
      <c r="D1072" s="18" t="n">
        <v>260</v>
      </c>
      <c r="E1072" s="18" t="inlineStr">
        <is>
          <t>대짱이</t>
        </is>
      </c>
      <c r="F1072" s="18" t="inlineStr">
        <is>
          <t>swampert</t>
        </is>
      </c>
      <c r="G1072" s="18" t="inlineStr">
        <is>
          <t>swampert</t>
        </is>
      </c>
      <c r="H1072" s="18" t="inlineStr"/>
      <c r="I1072" s="18" t="n">
        <v>3</v>
      </c>
      <c r="J1072" s="18" t="n"/>
      <c r="K1072" s="18" t="n">
        <v>3</v>
      </c>
      <c r="L1072" s="18" t="inlineStr">
        <is>
          <t>cobbleventure:generation_3</t>
        </is>
      </c>
      <c r="M1072" s="19" t="inlineStr">
        <is>
          <t>cobbleventure:generation_3</t>
        </is>
      </c>
      <c r="N1072" s="18" t="inlineStr">
        <is>
          <t>region_02</t>
        </is>
      </c>
      <c r="O1072" s="19" t="inlineStr"/>
      <c r="P1072" s="18" t="inlineStr">
        <is>
          <t>#cobblemon:is_swamp</t>
        </is>
      </c>
      <c r="Q1072" s="19" t="inlineStr"/>
      <c r="R1072" s="18">
        <f>IF(Q1072="",P1072,Q1072)</f>
        <v/>
      </c>
      <c r="S1072" s="18" t="inlineStr"/>
      <c r="T1072" s="18" t="inlineStr">
        <is>
          <t>ultra-rare</t>
        </is>
      </c>
      <c r="U1072" s="20" t="n">
        <v>0.4</v>
      </c>
      <c r="V1072" s="21" t="n">
        <v>1</v>
      </c>
      <c r="W1072" s="20">
        <f>IF(OR(U1072="",V1072=""),U1072,U1072*V1072)</f>
        <v/>
      </c>
      <c r="X1072" s="18" t="inlineStr">
        <is>
          <t>36-53</t>
        </is>
      </c>
      <c r="Y1072" s="19" t="inlineStr"/>
      <c r="Z1072" s="18">
        <f>IF(Y1072="",X1072,Y1072)</f>
        <v/>
      </c>
      <c r="AA1072" s="18" t="inlineStr">
        <is>
          <t>grounded</t>
        </is>
      </c>
      <c r="AB1072" s="18" t="inlineStr"/>
      <c r="AC1072" s="18" t="inlineStr"/>
      <c r="AD1072" s="18" t="inlineStr"/>
      <c r="AE1072" s="18" t="inlineStr">
        <is>
          <t>sky 8-15</t>
        </is>
      </c>
      <c r="AF1072" s="18" t="inlineStr"/>
      <c r="AG1072" s="18" t="inlineStr"/>
      <c r="AH1072" s="18" t="inlineStr"/>
      <c r="AI1072" s="18" t="inlineStr"/>
      <c r="AJ1072" s="18" t="inlineStr">
        <is>
          <t>Cobblemon 동일</t>
        </is>
      </c>
      <c r="AK1072" s="18" t="inlineStr">
        <is>
          <t>사용</t>
        </is>
      </c>
      <c r="AL1072" s="18" t="inlineStr">
        <is>
          <t>COBBLEVERSE 1.7.42 / DP v31</t>
        </is>
      </c>
      <c r="AM1072" s="18" t="inlineStr">
        <is>
          <t>data/cobblemon/spawn_pool_world/0260_swampert.json</t>
        </is>
      </c>
      <c r="AN1072" s="18" t="inlineStr">
        <is>
          <t>swampert-1</t>
        </is>
      </c>
      <c r="AO1072" s="18" t="inlineStr">
        <is>
          <t>pokemon</t>
        </is>
      </c>
      <c r="AP1072" s="18" t="inlineStr">
        <is>
          <t>natural</t>
        </is>
      </c>
      <c r="AQ1072" s="18" t="inlineStr">
        <is>
          <t>{"biomes":["#cobblemon:is_swamp"],"maxSkyLight":15,"minSkyLight":8}</t>
        </is>
      </c>
      <c r="AR1072" s="18" t="inlineStr"/>
      <c r="AS1072" s="18" t="inlineStr">
        <is>
          <t>{"weightMultiplier":{"condition":{"isRaining":true},"multiplier":1.5}}</t>
        </is>
      </c>
      <c r="AT1072" s="19" t="inlineStr"/>
    </row>
    <row r="1073" ht="32" customHeight="1">
      <c r="A1073" s="18" t="inlineStr">
        <is>
          <t>0260_swampert.json::swampert-2::002</t>
        </is>
      </c>
      <c r="B1073" s="19" t="inlineStr">
        <is>
          <t>사용</t>
        </is>
      </c>
      <c r="C1073" s="18">
        <f>IF(OR(B1073&lt;&gt;AK1073,M1073&lt;&gt;L1073,O1073&lt;&gt;"",Q1073&lt;&gt;"",V1073&lt;&gt;1,Y1073&lt;&gt;"",AT1073&lt;&gt;""),"수정","원본")</f>
        <v/>
      </c>
      <c r="D1073" s="18" t="n">
        <v>260</v>
      </c>
      <c r="E1073" s="18" t="inlineStr">
        <is>
          <t>대짱이</t>
        </is>
      </c>
      <c r="F1073" s="18" t="inlineStr">
        <is>
          <t>swampert</t>
        </is>
      </c>
      <c r="G1073" s="18" t="inlineStr">
        <is>
          <t>swampert</t>
        </is>
      </c>
      <c r="H1073" s="18" t="inlineStr"/>
      <c r="I1073" s="18" t="n">
        <v>3</v>
      </c>
      <c r="J1073" s="18" t="n"/>
      <c r="K1073" s="18" t="n">
        <v>3</v>
      </c>
      <c r="L1073" s="18" t="inlineStr">
        <is>
          <t>cobbleventure:generation_3</t>
        </is>
      </c>
      <c r="M1073" s="19" t="inlineStr">
        <is>
          <t>cobbleventure:generation_3</t>
        </is>
      </c>
      <c r="N1073" s="18" t="inlineStr">
        <is>
          <t>region_02</t>
        </is>
      </c>
      <c r="O1073" s="19" t="inlineStr"/>
      <c r="P1073" s="18" t="inlineStr">
        <is>
          <t>#cobblemon:is_swamp</t>
        </is>
      </c>
      <c r="Q1073" s="19" t="inlineStr"/>
      <c r="R1073" s="18">
        <f>IF(Q1073="",P1073,Q1073)</f>
        <v/>
      </c>
      <c r="S1073" s="18" t="inlineStr"/>
      <c r="T1073" s="18" t="inlineStr">
        <is>
          <t>ultra-rare</t>
        </is>
      </c>
      <c r="U1073" s="20" t="n">
        <v>0.4</v>
      </c>
      <c r="V1073" s="21" t="n">
        <v>1</v>
      </c>
      <c r="W1073" s="20">
        <f>IF(OR(U1073="",V1073=""),U1073,U1073*V1073)</f>
        <v/>
      </c>
      <c r="X1073" s="18" t="inlineStr">
        <is>
          <t>36-53</t>
        </is>
      </c>
      <c r="Y1073" s="19" t="inlineStr"/>
      <c r="Z1073" s="18">
        <f>IF(Y1073="",X1073,Y1073)</f>
        <v/>
      </c>
      <c r="AA1073" s="18" t="inlineStr">
        <is>
          <t>submerged</t>
        </is>
      </c>
      <c r="AB1073" s="18" t="inlineStr"/>
      <c r="AC1073" s="18" t="inlineStr"/>
      <c r="AD1073" s="18" t="inlineStr"/>
      <c r="AE1073" s="18" t="inlineStr"/>
      <c r="AF1073" s="18" t="inlineStr">
        <is>
          <t>True</t>
        </is>
      </c>
      <c r="AG1073" s="18" t="inlineStr"/>
      <c r="AH1073" s="18" t="inlineStr"/>
      <c r="AI1073" s="18" t="inlineStr"/>
      <c r="AJ1073" s="18" t="inlineStr">
        <is>
          <t>Cobblemon 동일</t>
        </is>
      </c>
      <c r="AK1073" s="18" t="inlineStr">
        <is>
          <t>사용</t>
        </is>
      </c>
      <c r="AL1073" s="18" t="inlineStr">
        <is>
          <t>COBBLEVERSE 1.7.42 / DP v31</t>
        </is>
      </c>
      <c r="AM1073" s="18" t="inlineStr">
        <is>
          <t>data/cobblemon/spawn_pool_world/0260_swampert.json</t>
        </is>
      </c>
      <c r="AN1073" s="18" t="inlineStr">
        <is>
          <t>swampert-2</t>
        </is>
      </c>
      <c r="AO1073" s="18" t="inlineStr">
        <is>
          <t>pokemon</t>
        </is>
      </c>
      <c r="AP1073" s="18" t="inlineStr">
        <is>
          <t>water</t>
        </is>
      </c>
      <c r="AQ1073" s="18" t="inlineStr">
        <is>
          <t>{"biomes":["#cobblemon:is_swamp"],"canSeeSky":true}</t>
        </is>
      </c>
      <c r="AR1073" s="18" t="inlineStr"/>
      <c r="AS1073" s="18" t="inlineStr"/>
      <c r="AT1073" s="19" t="inlineStr"/>
    </row>
    <row r="1074" ht="32" customHeight="1">
      <c r="A1074" s="18" t="inlineStr">
        <is>
          <t>0260_swampert.json::swampert-3::003</t>
        </is>
      </c>
      <c r="B1074" s="19" t="inlineStr">
        <is>
          <t>사용</t>
        </is>
      </c>
      <c r="C1074" s="18">
        <f>IF(OR(B1074&lt;&gt;AK1074,M1074&lt;&gt;L1074,O1074&lt;&gt;"",Q1074&lt;&gt;"",V1074&lt;&gt;1,Y1074&lt;&gt;"",AT1074&lt;&gt;""),"수정","원본")</f>
        <v/>
      </c>
      <c r="D1074" s="18" t="n">
        <v>260</v>
      </c>
      <c r="E1074" s="18" t="inlineStr">
        <is>
          <t>대짱이</t>
        </is>
      </c>
      <c r="F1074" s="18" t="inlineStr">
        <is>
          <t>swampert</t>
        </is>
      </c>
      <c r="G1074" s="18" t="inlineStr">
        <is>
          <t>swampert</t>
        </is>
      </c>
      <c r="H1074" s="18" t="inlineStr"/>
      <c r="I1074" s="18" t="n">
        <v>3</v>
      </c>
      <c r="J1074" s="18" t="n"/>
      <c r="K1074" s="18" t="n">
        <v>3</v>
      </c>
      <c r="L1074" s="18" t="inlineStr">
        <is>
          <t>cobbleventure:generation_3</t>
        </is>
      </c>
      <c r="M1074" s="19" t="inlineStr">
        <is>
          <t>cobbleventure:generation_3</t>
        </is>
      </c>
      <c r="N1074" s="18" t="inlineStr"/>
      <c r="O1074" s="19" t="inlineStr"/>
      <c r="P1074" s="18" t="inlineStr">
        <is>
          <t>#cobblemon:is_lush</t>
        </is>
      </c>
      <c r="Q1074" s="19" t="inlineStr"/>
      <c r="R1074" s="18">
        <f>IF(Q1074="",P1074,Q1074)</f>
        <v/>
      </c>
      <c r="S1074" s="18" t="inlineStr"/>
      <c r="T1074" s="18" t="inlineStr">
        <is>
          <t>ultra-rare</t>
        </is>
      </c>
      <c r="U1074" s="20" t="n">
        <v>0.4</v>
      </c>
      <c r="V1074" s="21" t="n">
        <v>1</v>
      </c>
      <c r="W1074" s="20">
        <f>IF(OR(U1074="",V1074=""),U1074,U1074*V1074)</f>
        <v/>
      </c>
      <c r="X1074" s="18" t="inlineStr">
        <is>
          <t>36-53</t>
        </is>
      </c>
      <c r="Y1074" s="19" t="inlineStr"/>
      <c r="Z1074" s="18">
        <f>IF(Y1074="",X1074,Y1074)</f>
        <v/>
      </c>
      <c r="AA1074" s="18" t="inlineStr">
        <is>
          <t>grounded</t>
        </is>
      </c>
      <c r="AB1074" s="18" t="inlineStr"/>
      <c r="AC1074" s="18" t="inlineStr"/>
      <c r="AD1074" s="18" t="inlineStr"/>
      <c r="AE1074" s="18" t="inlineStr">
        <is>
          <t>sky 0-7</t>
        </is>
      </c>
      <c r="AF1074" s="18" t="inlineStr"/>
      <c r="AG1074" s="18" t="inlineStr"/>
      <c r="AH1074" s="18" t="inlineStr"/>
      <c r="AI1074" s="18" t="inlineStr"/>
      <c r="AJ1074" s="18" t="inlineStr">
        <is>
          <t>Cobblemon 동일</t>
        </is>
      </c>
      <c r="AK1074" s="18" t="inlineStr">
        <is>
          <t>사용</t>
        </is>
      </c>
      <c r="AL1074" s="18" t="inlineStr">
        <is>
          <t>COBBLEVERSE 1.7.42 / DP v31</t>
        </is>
      </c>
      <c r="AM1074" s="18" t="inlineStr">
        <is>
          <t>data/cobblemon/spawn_pool_world/0260_swampert.json</t>
        </is>
      </c>
      <c r="AN1074" s="18" t="inlineStr">
        <is>
          <t>swampert-3</t>
        </is>
      </c>
      <c r="AO1074" s="18" t="inlineStr">
        <is>
          <t>pokemon</t>
        </is>
      </c>
      <c r="AP1074" s="18" t="inlineStr">
        <is>
          <t>natural</t>
        </is>
      </c>
      <c r="AQ1074" s="18" t="inlineStr">
        <is>
          <t>{"biomes":["#cobblemon:is_lush"],"maxSkyLight":7,"minSkyLight":0}</t>
        </is>
      </c>
      <c r="AR1074" s="18" t="inlineStr">
        <is>
          <t>{"maxY":9,"minY":-41,"structures":["cobblemon:shipwreck_coves/lush_shipwreck_cove"]}</t>
        </is>
      </c>
      <c r="AS1074" s="18" t="inlineStr"/>
      <c r="AT1074" s="19" t="inlineStr"/>
    </row>
    <row r="1075" ht="32" customHeight="1">
      <c r="A1075" s="18" t="inlineStr">
        <is>
          <t>0260_swampert.json::swampert-4::004</t>
        </is>
      </c>
      <c r="B1075" s="19" t="inlineStr">
        <is>
          <t>사용</t>
        </is>
      </c>
      <c r="C1075" s="18">
        <f>IF(OR(B1075&lt;&gt;AK1075,M1075&lt;&gt;L1075,O1075&lt;&gt;"",Q1075&lt;&gt;"",V1075&lt;&gt;1,Y1075&lt;&gt;"",AT1075&lt;&gt;""),"수정","원본")</f>
        <v/>
      </c>
      <c r="D1075" s="18" t="n">
        <v>260</v>
      </c>
      <c r="E1075" s="18" t="inlineStr">
        <is>
          <t>대짱이</t>
        </is>
      </c>
      <c r="F1075" s="18" t="inlineStr">
        <is>
          <t>swampert</t>
        </is>
      </c>
      <c r="G1075" s="18" t="inlineStr">
        <is>
          <t>swampert</t>
        </is>
      </c>
      <c r="H1075" s="18" t="inlineStr"/>
      <c r="I1075" s="18" t="n">
        <v>3</v>
      </c>
      <c r="J1075" s="18" t="n"/>
      <c r="K1075" s="18" t="n">
        <v>3</v>
      </c>
      <c r="L1075" s="18" t="inlineStr">
        <is>
          <t>cobbleventure:generation_3</t>
        </is>
      </c>
      <c r="M1075" s="19" t="inlineStr">
        <is>
          <t>cobbleventure:generation_3</t>
        </is>
      </c>
      <c r="N1075" s="18" t="inlineStr"/>
      <c r="O1075" s="19" t="inlineStr"/>
      <c r="P1075" s="18" t="inlineStr">
        <is>
          <t>#cobblemon:is_lush</t>
        </is>
      </c>
      <c r="Q1075" s="19" t="inlineStr"/>
      <c r="R1075" s="18">
        <f>IF(Q1075="",P1075,Q1075)</f>
        <v/>
      </c>
      <c r="S1075" s="18" t="inlineStr"/>
      <c r="T1075" s="18" t="inlineStr">
        <is>
          <t>ultra-rare</t>
        </is>
      </c>
      <c r="U1075" s="20" t="n">
        <v>0.4</v>
      </c>
      <c r="V1075" s="21" t="n">
        <v>1</v>
      </c>
      <c r="W1075" s="20">
        <f>IF(OR(U1075="",V1075=""),U1075,U1075*V1075)</f>
        <v/>
      </c>
      <c r="X1075" s="18" t="inlineStr">
        <is>
          <t>36-53</t>
        </is>
      </c>
      <c r="Y1075" s="19" t="inlineStr"/>
      <c r="Z1075" s="18">
        <f>IF(Y1075="",X1075,Y1075)</f>
        <v/>
      </c>
      <c r="AA1075" s="18" t="inlineStr">
        <is>
          <t>submerged</t>
        </is>
      </c>
      <c r="AB1075" s="18" t="inlineStr"/>
      <c r="AC1075" s="18" t="inlineStr"/>
      <c r="AD1075" s="18" t="inlineStr"/>
      <c r="AE1075" s="18" t="inlineStr">
        <is>
          <t>sky 0-7</t>
        </is>
      </c>
      <c r="AF1075" s="18" t="inlineStr"/>
      <c r="AG1075" s="18" t="inlineStr"/>
      <c r="AH1075" s="18" t="inlineStr"/>
      <c r="AI1075" s="18" t="inlineStr"/>
      <c r="AJ1075" s="18" t="inlineStr">
        <is>
          <t>Cobblemon 동일</t>
        </is>
      </c>
      <c r="AK1075" s="18" t="inlineStr">
        <is>
          <t>사용</t>
        </is>
      </c>
      <c r="AL1075" s="18" t="inlineStr">
        <is>
          <t>COBBLEVERSE 1.7.42 / DP v31</t>
        </is>
      </c>
      <c r="AM1075" s="18" t="inlineStr">
        <is>
          <t>data/cobblemon/spawn_pool_world/0260_swampert.json</t>
        </is>
      </c>
      <c r="AN1075" s="18" t="inlineStr">
        <is>
          <t>swampert-4</t>
        </is>
      </c>
      <c r="AO1075" s="18" t="inlineStr">
        <is>
          <t>pokemon</t>
        </is>
      </c>
      <c r="AP1075" s="18" t="inlineStr">
        <is>
          <t>water</t>
        </is>
      </c>
      <c r="AQ1075" s="18" t="inlineStr">
        <is>
          <t>{"biomes":["#cobblemon:is_lush"],"maxSkyLight":7,"minSkyLight":0}</t>
        </is>
      </c>
      <c r="AR1075" s="18" t="inlineStr">
        <is>
          <t>{"maxY":9,"minY":-41,"structures":["cobblemon:shipwreck_coves/lush_shipwreck_cove"]}</t>
        </is>
      </c>
      <c r="AS1075" s="18" t="inlineStr"/>
      <c r="AT1075" s="19" t="inlineStr"/>
    </row>
    <row r="1076" ht="32" customHeight="1">
      <c r="A1076" s="18" t="inlineStr">
        <is>
          <t>0260_swampert.json::swampert-5::005</t>
        </is>
      </c>
      <c r="B1076" s="19" t="inlineStr">
        <is>
          <t>사용</t>
        </is>
      </c>
      <c r="C1076" s="18">
        <f>IF(OR(B1076&lt;&gt;AK1076,M1076&lt;&gt;L1076,O1076&lt;&gt;"",Q1076&lt;&gt;"",V1076&lt;&gt;1,Y1076&lt;&gt;"",AT1076&lt;&gt;""),"수정","원본")</f>
        <v/>
      </c>
      <c r="D1076" s="18" t="n">
        <v>260</v>
      </c>
      <c r="E1076" s="18" t="inlineStr">
        <is>
          <t>대짱이</t>
        </is>
      </c>
      <c r="F1076" s="18" t="inlineStr">
        <is>
          <t>swampert</t>
        </is>
      </c>
      <c r="G1076" s="18" t="inlineStr">
        <is>
          <t>swampert</t>
        </is>
      </c>
      <c r="H1076" s="18" t="inlineStr"/>
      <c r="I1076" s="18" t="n">
        <v>3</v>
      </c>
      <c r="J1076" s="18" t="n"/>
      <c r="K1076" s="18" t="n">
        <v>3</v>
      </c>
      <c r="L1076" s="18" t="inlineStr">
        <is>
          <t>cobbleventure:generation_3</t>
        </is>
      </c>
      <c r="M1076" s="19" t="inlineStr">
        <is>
          <t>cobbleventure:generation_3</t>
        </is>
      </c>
      <c r="N1076" s="18" t="inlineStr">
        <is>
          <t>region_01; region_02</t>
        </is>
      </c>
      <c r="O1076" s="19" t="inlineStr"/>
      <c r="P1076" s="18" t="inlineStr">
        <is>
          <t>#cobblemon:is_badlands; #cobblemon:is_forest; #cobblemon:is_jungle; #cobblemon:is_mushroom; #cobblemon:is_savanna; #cobblemon:is_swamp</t>
        </is>
      </c>
      <c r="Q1076" s="19" t="inlineStr"/>
      <c r="R1076" s="18">
        <f>IF(Q1076="",P1076,Q1076)</f>
        <v/>
      </c>
      <c r="S1076" s="18" t="inlineStr"/>
      <c r="T1076" s="18" t="inlineStr">
        <is>
          <t>ultra-rare</t>
        </is>
      </c>
      <c r="U1076" s="20" t="n">
        <v>6</v>
      </c>
      <c r="V1076" s="21" t="n">
        <v>1</v>
      </c>
      <c r="W1076" s="20">
        <f>IF(OR(U1076="",V1076=""),U1076,U1076*V1076)</f>
        <v/>
      </c>
      <c r="X1076" s="18" t="inlineStr">
        <is>
          <t>36-53</t>
        </is>
      </c>
      <c r="Y1076" s="19" t="inlineStr"/>
      <c r="Z1076" s="18">
        <f>IF(Y1076="",X1076,Y1076)</f>
        <v/>
      </c>
      <c r="AA1076" s="18" t="inlineStr">
        <is>
          <t>fishing</t>
        </is>
      </c>
      <c r="AB1076" s="18" t="inlineStr"/>
      <c r="AC1076" s="18" t="inlineStr"/>
      <c r="AD1076" s="18" t="inlineStr"/>
      <c r="AE1076" s="18" t="inlineStr"/>
      <c r="AF1076" s="18" t="inlineStr">
        <is>
          <t>True</t>
        </is>
      </c>
      <c r="AG1076" s="18" t="inlineStr"/>
      <c r="AH1076" s="18" t="inlineStr"/>
      <c r="AI1076" s="18" t="inlineStr"/>
      <c r="AJ1076" s="18" t="inlineStr">
        <is>
          <t>Cobblemon 동일</t>
        </is>
      </c>
      <c r="AK1076" s="18" t="inlineStr">
        <is>
          <t>사용</t>
        </is>
      </c>
      <c r="AL1076" s="18" t="inlineStr">
        <is>
          <t>COBBLEVERSE 1.7.42 / DP v31</t>
        </is>
      </c>
      <c r="AM1076" s="18" t="inlineStr">
        <is>
          <t>data/cobblemon/spawn_pool_world/0260_swampert.json</t>
        </is>
      </c>
      <c r="AN1076" s="18" t="inlineStr">
        <is>
          <t>swampert-5</t>
        </is>
      </c>
      <c r="AO1076" s="18" t="inlineStr">
        <is>
          <t>pokemon</t>
        </is>
      </c>
      <c r="AP1076" s="18" t="inlineStr"/>
      <c r="AQ1076" s="18" t="inlineStr">
        <is>
          <t>{"biomes":["#cobblemon:is_badlands","#cobblemon:is_forest","#cobblemon:is_jungle","#cobblemon:is_mushroom","#cobblemon:is_savanna","#cobblemon:is_swamp"],"canSeeSky":true}</t>
        </is>
      </c>
      <c r="AR1076" s="18" t="inlineStr"/>
      <c r="AS1076" s="18" t="inlineStr"/>
      <c r="AT1076" s="19" t="inlineStr"/>
    </row>
    <row r="1077" ht="32" customHeight="1">
      <c r="A1077" s="18" t="inlineStr">
        <is>
          <t>0260_swampert.json::swampert-6::006</t>
        </is>
      </c>
      <c r="B1077" s="19" t="inlineStr">
        <is>
          <t>사용</t>
        </is>
      </c>
      <c r="C1077" s="18">
        <f>IF(OR(B1077&lt;&gt;AK1077,M1077&lt;&gt;L1077,O1077&lt;&gt;"",Q1077&lt;&gt;"",V1077&lt;&gt;1,Y1077&lt;&gt;"",AT1077&lt;&gt;""),"수정","원본")</f>
        <v/>
      </c>
      <c r="D1077" s="18" t="n">
        <v>260</v>
      </c>
      <c r="E1077" s="18" t="inlineStr">
        <is>
          <t>대짱이</t>
        </is>
      </c>
      <c r="F1077" s="18" t="inlineStr">
        <is>
          <t>swampert</t>
        </is>
      </c>
      <c r="G1077" s="18" t="inlineStr">
        <is>
          <t>swampert</t>
        </is>
      </c>
      <c r="H1077" s="18" t="inlineStr"/>
      <c r="I1077" s="18" t="n">
        <v>3</v>
      </c>
      <c r="J1077" s="18" t="n"/>
      <c r="K1077" s="18" t="n">
        <v>3</v>
      </c>
      <c r="L1077" s="18" t="inlineStr">
        <is>
          <t>cobbleventure:generation_3</t>
        </is>
      </c>
      <c r="M1077" s="19" t="inlineStr">
        <is>
          <t>cobbleventure:generation_3</t>
        </is>
      </c>
      <c r="N1077" s="18" t="inlineStr"/>
      <c r="O1077" s="19" t="inlineStr"/>
      <c r="P1077" s="18" t="inlineStr">
        <is>
          <t>#cobblemon:is_lush</t>
        </is>
      </c>
      <c r="Q1077" s="19" t="inlineStr"/>
      <c r="R1077" s="18">
        <f>IF(Q1077="",P1077,Q1077)</f>
        <v/>
      </c>
      <c r="S1077" s="18" t="inlineStr"/>
      <c r="T1077" s="18" t="inlineStr">
        <is>
          <t>ultra-rare</t>
        </is>
      </c>
      <c r="U1077" s="20" t="n">
        <v>0.4</v>
      </c>
      <c r="V1077" s="21" t="n">
        <v>1</v>
      </c>
      <c r="W1077" s="20">
        <f>IF(OR(U1077="",V1077=""),U1077,U1077*V1077)</f>
        <v/>
      </c>
      <c r="X1077" s="18" t="inlineStr">
        <is>
          <t>36-53</t>
        </is>
      </c>
      <c r="Y1077" s="19" t="inlineStr"/>
      <c r="Z1077" s="18">
        <f>IF(Y1077="",X1077,Y1077)</f>
        <v/>
      </c>
      <c r="AA1077" s="18" t="inlineStr">
        <is>
          <t>fishing</t>
        </is>
      </c>
      <c r="AB1077" s="18" t="inlineStr"/>
      <c r="AC1077" s="18" t="inlineStr"/>
      <c r="AD1077" s="18" t="inlineStr"/>
      <c r="AE1077" s="18" t="inlineStr">
        <is>
          <t>sky 0-7</t>
        </is>
      </c>
      <c r="AF1077" s="18" t="inlineStr"/>
      <c r="AG1077" s="18" t="inlineStr"/>
      <c r="AH1077" s="18" t="inlineStr"/>
      <c r="AI1077" s="18" t="inlineStr"/>
      <c r="AJ1077" s="18" t="inlineStr">
        <is>
          <t>Cobblemon 동일</t>
        </is>
      </c>
      <c r="AK1077" s="18" t="inlineStr">
        <is>
          <t>사용</t>
        </is>
      </c>
      <c r="AL1077" s="18" t="inlineStr">
        <is>
          <t>COBBLEVERSE 1.7.42 / DP v31</t>
        </is>
      </c>
      <c r="AM1077" s="18" t="inlineStr">
        <is>
          <t>data/cobblemon/spawn_pool_world/0260_swampert.json</t>
        </is>
      </c>
      <c r="AN1077" s="18" t="inlineStr">
        <is>
          <t>swampert-6</t>
        </is>
      </c>
      <c r="AO1077" s="18" t="inlineStr">
        <is>
          <t>pokemon</t>
        </is>
      </c>
      <c r="AP1077" s="18" t="inlineStr"/>
      <c r="AQ1077" s="18" t="inlineStr">
        <is>
          <t>{"biomes":["#cobblemon:is_lush"],"maxSkyLight":7,"minSkyLight":0}</t>
        </is>
      </c>
      <c r="AR1077" s="18" t="inlineStr">
        <is>
          <t>{"maxY":9,"minY":-41,"structures":["cobblemon:shipwreck_coves/lush_shipwreck_cove"]}</t>
        </is>
      </c>
      <c r="AS1077" s="18" t="inlineStr"/>
      <c r="AT1077" s="19" t="inlineStr"/>
    </row>
    <row r="1078" ht="32" customHeight="1">
      <c r="A1078" s="18" t="inlineStr">
        <is>
          <t>0260_swampert.json::swampert-7::007</t>
        </is>
      </c>
      <c r="B1078" s="19" t="inlineStr">
        <is>
          <t>사용</t>
        </is>
      </c>
      <c r="C1078" s="18">
        <f>IF(OR(B1078&lt;&gt;AK1078,M1078&lt;&gt;L1078,O1078&lt;&gt;"",Q1078&lt;&gt;"",V1078&lt;&gt;1,Y1078&lt;&gt;"",AT1078&lt;&gt;""),"수정","원본")</f>
        <v/>
      </c>
      <c r="D1078" s="18" t="n">
        <v>260</v>
      </c>
      <c r="E1078" s="18" t="inlineStr">
        <is>
          <t>대짱이</t>
        </is>
      </c>
      <c r="F1078" s="18" t="inlineStr">
        <is>
          <t>swampert</t>
        </is>
      </c>
      <c r="G1078" s="18" t="inlineStr">
        <is>
          <t>swampert</t>
        </is>
      </c>
      <c r="H1078" s="18" t="inlineStr"/>
      <c r="I1078" s="18" t="n">
        <v>3</v>
      </c>
      <c r="J1078" s="18" t="n"/>
      <c r="K1078" s="18" t="n">
        <v>3</v>
      </c>
      <c r="L1078" s="18" t="inlineStr">
        <is>
          <t>cobbleventure:generation_3</t>
        </is>
      </c>
      <c r="M1078" s="19" t="inlineStr">
        <is>
          <t>cobbleventure:generation_3</t>
        </is>
      </c>
      <c r="N1078" s="18" t="inlineStr">
        <is>
          <t>region_02</t>
        </is>
      </c>
      <c r="O1078" s="19" t="inlineStr"/>
      <c r="P1078" s="18" t="inlineStr">
        <is>
          <t>#cobblemon:is_swamp</t>
        </is>
      </c>
      <c r="Q1078" s="19" t="inlineStr"/>
      <c r="R1078" s="18">
        <f>IF(Q1078="",P1078,Q1078)</f>
        <v/>
      </c>
      <c r="S1078" s="18" t="inlineStr"/>
      <c r="T1078" s="18" t="inlineStr">
        <is>
          <t>ultra-rare</t>
        </is>
      </c>
      <c r="U1078" s="20" t="n">
        <v>0.4</v>
      </c>
      <c r="V1078" s="21" t="n">
        <v>1</v>
      </c>
      <c r="W1078" s="20">
        <f>IF(OR(U1078="",V1078=""),U1078,U1078*V1078)</f>
        <v/>
      </c>
      <c r="X1078" s="18" t="inlineStr">
        <is>
          <t>36-53</t>
        </is>
      </c>
      <c r="Y1078" s="19" t="inlineStr"/>
      <c r="Z1078" s="18">
        <f>IF(Y1078="",X1078,Y1078)</f>
        <v/>
      </c>
      <c r="AA1078" s="18" t="inlineStr">
        <is>
          <t>submerged</t>
        </is>
      </c>
      <c r="AB1078" s="18" t="inlineStr"/>
      <c r="AC1078" s="18" t="inlineStr"/>
      <c r="AD1078" s="18" t="inlineStr"/>
      <c r="AE1078" s="18" t="inlineStr">
        <is>
          <t>sky 8-15</t>
        </is>
      </c>
      <c r="AF1078" s="18" t="inlineStr">
        <is>
          <t>False</t>
        </is>
      </c>
      <c r="AG1078" s="18" t="inlineStr"/>
      <c r="AH1078" s="18" t="inlineStr"/>
      <c r="AI1078" s="18" t="inlineStr"/>
      <c r="AJ1078" s="18" t="inlineStr">
        <is>
          <t>Cobblemon 동일</t>
        </is>
      </c>
      <c r="AK1078" s="18" t="inlineStr">
        <is>
          <t>사용</t>
        </is>
      </c>
      <c r="AL1078" s="18" t="inlineStr">
        <is>
          <t>COBBLEVERSE 1.7.42 / DP v31</t>
        </is>
      </c>
      <c r="AM1078" s="18" t="inlineStr">
        <is>
          <t>data/cobblemon/spawn_pool_world/0260_swampert.json</t>
        </is>
      </c>
      <c r="AN1078" s="18" t="inlineStr">
        <is>
          <t>swampert-7</t>
        </is>
      </c>
      <c r="AO1078" s="18" t="inlineStr">
        <is>
          <t>pokemon</t>
        </is>
      </c>
      <c r="AP1078" s="18" t="inlineStr">
        <is>
          <t>water</t>
        </is>
      </c>
      <c r="AQ1078" s="18" t="inlineStr">
        <is>
          <t>{"biomes":["#cobblemon:is_swamp"],"canSeeSky":false,"maxSkyLight":15,"minSkyLight":8}</t>
        </is>
      </c>
      <c r="AR1078" s="18" t="inlineStr"/>
      <c r="AS1078" s="18" t="inlineStr"/>
      <c r="AT1078" s="19" t="inlineStr"/>
    </row>
    <row r="1079" ht="32" customHeight="1">
      <c r="A1079" s="18" t="inlineStr">
        <is>
          <t>0260_swampert.json::swampert-8::008</t>
        </is>
      </c>
      <c r="B1079" s="19" t="inlineStr">
        <is>
          <t>사용</t>
        </is>
      </c>
      <c r="C1079" s="18">
        <f>IF(OR(B1079&lt;&gt;AK1079,M1079&lt;&gt;L1079,O1079&lt;&gt;"",Q1079&lt;&gt;"",V1079&lt;&gt;1,Y1079&lt;&gt;"",AT1079&lt;&gt;""),"수정","원본")</f>
        <v/>
      </c>
      <c r="D1079" s="18" t="n">
        <v>260</v>
      </c>
      <c r="E1079" s="18" t="inlineStr">
        <is>
          <t>대짱이</t>
        </is>
      </c>
      <c r="F1079" s="18" t="inlineStr">
        <is>
          <t>swampert</t>
        </is>
      </c>
      <c r="G1079" s="18" t="inlineStr">
        <is>
          <t>swampert</t>
        </is>
      </c>
      <c r="H1079" s="18" t="inlineStr"/>
      <c r="I1079" s="18" t="n">
        <v>3</v>
      </c>
      <c r="J1079" s="18" t="n"/>
      <c r="K1079" s="18" t="n">
        <v>3</v>
      </c>
      <c r="L1079" s="18" t="inlineStr">
        <is>
          <t>cobbleventure:generation_3</t>
        </is>
      </c>
      <c r="M1079" s="19" t="inlineStr">
        <is>
          <t>cobbleventure:generation_3</t>
        </is>
      </c>
      <c r="N1079" s="18" t="inlineStr">
        <is>
          <t>region_01; region_02</t>
        </is>
      </c>
      <c r="O1079" s="19" t="inlineStr"/>
      <c r="P1079" s="18" t="inlineStr">
        <is>
          <t>#cobblemon:is_badlands; #cobblemon:is_forest; #cobblemon:is_jungle; #cobblemon:is_mushroom; #cobblemon:is_savanna; #cobblemon:is_swamp</t>
        </is>
      </c>
      <c r="Q1079" s="19" t="inlineStr"/>
      <c r="R1079" s="18">
        <f>IF(Q1079="",P1079,Q1079)</f>
        <v/>
      </c>
      <c r="S1079" s="18" t="inlineStr"/>
      <c r="T1079" s="18" t="inlineStr">
        <is>
          <t>ultra-rare</t>
        </is>
      </c>
      <c r="U1079" s="20" t="n">
        <v>6</v>
      </c>
      <c r="V1079" s="21" t="n">
        <v>1</v>
      </c>
      <c r="W1079" s="20">
        <f>IF(OR(U1079="",V1079=""),U1079,U1079*V1079)</f>
        <v/>
      </c>
      <c r="X1079" s="18" t="inlineStr">
        <is>
          <t>36-53</t>
        </is>
      </c>
      <c r="Y1079" s="19" t="inlineStr"/>
      <c r="Z1079" s="18">
        <f>IF(Y1079="",X1079,Y1079)</f>
        <v/>
      </c>
      <c r="AA1079" s="18" t="inlineStr">
        <is>
          <t>fishing</t>
        </is>
      </c>
      <c r="AB1079" s="18" t="inlineStr"/>
      <c r="AC1079" s="18" t="inlineStr"/>
      <c r="AD1079" s="18" t="inlineStr"/>
      <c r="AE1079" s="18" t="inlineStr">
        <is>
          <t>sky 8-15</t>
        </is>
      </c>
      <c r="AF1079" s="18" t="inlineStr">
        <is>
          <t>False</t>
        </is>
      </c>
      <c r="AG1079" s="18" t="inlineStr"/>
      <c r="AH1079" s="18" t="inlineStr"/>
      <c r="AI1079" s="18" t="inlineStr"/>
      <c r="AJ1079" s="18" t="inlineStr">
        <is>
          <t>Cobblemon 동일</t>
        </is>
      </c>
      <c r="AK1079" s="18" t="inlineStr">
        <is>
          <t>사용</t>
        </is>
      </c>
      <c r="AL1079" s="18" t="inlineStr">
        <is>
          <t>COBBLEVERSE 1.7.42 / DP v31</t>
        </is>
      </c>
      <c r="AM1079" s="18" t="inlineStr">
        <is>
          <t>data/cobblemon/spawn_pool_world/0260_swampert.json</t>
        </is>
      </c>
      <c r="AN1079" s="18" t="inlineStr">
        <is>
          <t>swampert-8</t>
        </is>
      </c>
      <c r="AO1079" s="18" t="inlineStr">
        <is>
          <t>pokemon</t>
        </is>
      </c>
      <c r="AP1079" s="18" t="inlineStr"/>
      <c r="AQ1079" s="18" t="inlineStr">
        <is>
          <t>{"biomes":["#cobblemon:is_badlands","#cobblemon:is_forest","#cobblemon:is_jungle","#cobblemon:is_mushroom","#cobblemon:is_savanna","#cobblemon:is_swamp"],"canSeeSky":false,"maxSkyLight":15,"minSkyLight":8}</t>
        </is>
      </c>
      <c r="AR1079" s="18" t="inlineStr"/>
      <c r="AS1079" s="18" t="inlineStr"/>
      <c r="AT1079" s="19" t="inlineStr"/>
    </row>
    <row r="1080" ht="32" customHeight="1">
      <c r="A1080" s="18" t="inlineStr">
        <is>
          <t>0260_swampert.json::swampert-9::009</t>
        </is>
      </c>
      <c r="B1080" s="19" t="inlineStr">
        <is>
          <t>사용</t>
        </is>
      </c>
      <c r="C1080" s="18">
        <f>IF(OR(B1080&lt;&gt;AK1080,M1080&lt;&gt;L1080,O1080&lt;&gt;"",Q1080&lt;&gt;"",V1080&lt;&gt;1,Y1080&lt;&gt;"",AT1080&lt;&gt;""),"수정","원본")</f>
        <v/>
      </c>
      <c r="D1080" s="18" t="n">
        <v>260</v>
      </c>
      <c r="E1080" s="18" t="inlineStr">
        <is>
          <t>대짱이</t>
        </is>
      </c>
      <c r="F1080" s="18" t="inlineStr">
        <is>
          <t>swampert</t>
        </is>
      </c>
      <c r="G1080" s="18" t="inlineStr">
        <is>
          <t>swampert</t>
        </is>
      </c>
      <c r="H1080" s="18" t="inlineStr"/>
      <c r="I1080" s="18" t="n">
        <v>3</v>
      </c>
      <c r="J1080" s="18" t="n"/>
      <c r="K1080" s="18" t="n">
        <v>3</v>
      </c>
      <c r="L1080" s="18" t="inlineStr">
        <is>
          <t>cobbleventure:generation_3</t>
        </is>
      </c>
      <c r="M1080" s="19" t="inlineStr">
        <is>
          <t>cobbleventure:generation_3</t>
        </is>
      </c>
      <c r="N1080" s="18" t="inlineStr">
        <is>
          <t>region_01; region_02</t>
        </is>
      </c>
      <c r="O1080" s="19" t="inlineStr"/>
      <c r="P1080" s="18" t="inlineStr">
        <is>
          <t>#cobblemon:is_overworld</t>
        </is>
      </c>
      <c r="Q1080" s="19" t="inlineStr"/>
      <c r="R1080" s="18">
        <f>IF(Q1080="",P1080,Q1080)</f>
        <v/>
      </c>
      <c r="S1080" s="18" t="inlineStr">
        <is>
          <t>#cobblemon:is_lush</t>
        </is>
      </c>
      <c r="T1080" s="18" t="inlineStr">
        <is>
          <t>ultra-rare</t>
        </is>
      </c>
      <c r="U1080" s="20" t="n">
        <v>0.4</v>
      </c>
      <c r="V1080" s="21" t="n">
        <v>1</v>
      </c>
      <c r="W1080" s="20">
        <f>IF(OR(U1080="",V1080=""),U1080,U1080*V1080)</f>
        <v/>
      </c>
      <c r="X1080" s="18" t="inlineStr">
        <is>
          <t>36-53</t>
        </is>
      </c>
      <c r="Y1080" s="19" t="inlineStr"/>
      <c r="Z1080" s="18">
        <f>IF(Y1080="",X1080,Y1080)</f>
        <v/>
      </c>
      <c r="AA1080" s="18" t="inlineStr">
        <is>
          <t>grounded</t>
        </is>
      </c>
      <c r="AB1080" s="18" t="inlineStr"/>
      <c r="AC1080" s="18" t="inlineStr"/>
      <c r="AD1080" s="18" t="inlineStr">
        <is>
          <t>minY=-41, maxY=9</t>
        </is>
      </c>
      <c r="AE1080" s="18" t="inlineStr">
        <is>
          <t>sky 0-7</t>
        </is>
      </c>
      <c r="AF1080" s="18" t="inlineStr"/>
      <c r="AG1080" s="18" t="inlineStr">
        <is>
          <t>cobblemon:shipwreck_coves/lush_shipwreck_cove</t>
        </is>
      </c>
      <c r="AH1080" s="18" t="inlineStr"/>
      <c r="AI1080" s="18" t="inlineStr"/>
      <c r="AJ1080" s="18" t="inlineStr">
        <is>
          <t>Cobblemon 동일</t>
        </is>
      </c>
      <c r="AK1080" s="18" t="inlineStr">
        <is>
          <t>사용</t>
        </is>
      </c>
      <c r="AL1080" s="18" t="inlineStr">
        <is>
          <t>COBBLEVERSE 1.7.42 / DP v31</t>
        </is>
      </c>
      <c r="AM1080" s="18" t="inlineStr">
        <is>
          <t>data/cobblemon/spawn_pool_world/0260_swampert.json</t>
        </is>
      </c>
      <c r="AN1080" s="18" t="inlineStr">
        <is>
          <t>swampert-9</t>
        </is>
      </c>
      <c r="AO1080" s="18" t="inlineStr">
        <is>
          <t>pokemon</t>
        </is>
      </c>
      <c r="AP1080" s="18" t="inlineStr">
        <is>
          <t>natural</t>
        </is>
      </c>
      <c r="AQ1080" s="18" t="inlineStr">
        <is>
          <t>{"biomes":["#cobblemon:is_overworld"],"maxSkyLight":7,"maxY":9,"minSkyLight":0,"minY":-41,"structures":["cobblemon:shipwreck_coves/lush_shipwreck_cove"]}</t>
        </is>
      </c>
      <c r="AR1080" s="18" t="inlineStr">
        <is>
          <t>{"biomes":["#cobblemon:is_lush"]}</t>
        </is>
      </c>
      <c r="AS1080" s="18" t="inlineStr"/>
      <c r="AT1080" s="19" t="inlineStr"/>
    </row>
    <row r="1081" ht="32" customHeight="1">
      <c r="A1081" s="18" t="inlineStr">
        <is>
          <t>0260_swampert.json::swampert-10::010</t>
        </is>
      </c>
      <c r="B1081" s="19" t="inlineStr">
        <is>
          <t>사용</t>
        </is>
      </c>
      <c r="C1081" s="18">
        <f>IF(OR(B1081&lt;&gt;AK1081,M1081&lt;&gt;L1081,O1081&lt;&gt;"",Q1081&lt;&gt;"",V1081&lt;&gt;1,Y1081&lt;&gt;"",AT1081&lt;&gt;""),"수정","원본")</f>
        <v/>
      </c>
      <c r="D1081" s="18" t="n">
        <v>260</v>
      </c>
      <c r="E1081" s="18" t="inlineStr">
        <is>
          <t>대짱이</t>
        </is>
      </c>
      <c r="F1081" s="18" t="inlineStr">
        <is>
          <t>swampert</t>
        </is>
      </c>
      <c r="G1081" s="18" t="inlineStr">
        <is>
          <t>swampert</t>
        </is>
      </c>
      <c r="H1081" s="18" t="inlineStr"/>
      <c r="I1081" s="18" t="n">
        <v>3</v>
      </c>
      <c r="J1081" s="18" t="n"/>
      <c r="K1081" s="18" t="n">
        <v>3</v>
      </c>
      <c r="L1081" s="18" t="inlineStr">
        <is>
          <t>cobbleventure:generation_3</t>
        </is>
      </c>
      <c r="M1081" s="19" t="inlineStr">
        <is>
          <t>cobbleventure:generation_3</t>
        </is>
      </c>
      <c r="N1081" s="18" t="inlineStr">
        <is>
          <t>region_01; region_02</t>
        </is>
      </c>
      <c r="O1081" s="19" t="inlineStr"/>
      <c r="P1081" s="18" t="inlineStr">
        <is>
          <t>#cobblemon:is_overworld</t>
        </is>
      </c>
      <c r="Q1081" s="19" t="inlineStr"/>
      <c r="R1081" s="18">
        <f>IF(Q1081="",P1081,Q1081)</f>
        <v/>
      </c>
      <c r="S1081" s="18" t="inlineStr">
        <is>
          <t>#cobblemon:is_lush</t>
        </is>
      </c>
      <c r="T1081" s="18" t="inlineStr">
        <is>
          <t>ultra-rare</t>
        </is>
      </c>
      <c r="U1081" s="20" t="n">
        <v>0.4</v>
      </c>
      <c r="V1081" s="21" t="n">
        <v>1</v>
      </c>
      <c r="W1081" s="20">
        <f>IF(OR(U1081="",V1081=""),U1081,U1081*V1081)</f>
        <v/>
      </c>
      <c r="X1081" s="18" t="inlineStr">
        <is>
          <t>36-53</t>
        </is>
      </c>
      <c r="Y1081" s="19" t="inlineStr"/>
      <c r="Z1081" s="18">
        <f>IF(Y1081="",X1081,Y1081)</f>
        <v/>
      </c>
      <c r="AA1081" s="18" t="inlineStr">
        <is>
          <t>submerged</t>
        </is>
      </c>
      <c r="AB1081" s="18" t="inlineStr"/>
      <c r="AC1081" s="18" t="inlineStr"/>
      <c r="AD1081" s="18" t="inlineStr">
        <is>
          <t>minY=-41, maxY=9</t>
        </is>
      </c>
      <c r="AE1081" s="18" t="inlineStr">
        <is>
          <t>sky 0-7</t>
        </is>
      </c>
      <c r="AF1081" s="18" t="inlineStr"/>
      <c r="AG1081" s="18" t="inlineStr">
        <is>
          <t>cobblemon:shipwreck_coves/lush_shipwreck_cove</t>
        </is>
      </c>
      <c r="AH1081" s="18" t="inlineStr"/>
      <c r="AI1081" s="18" t="inlineStr"/>
      <c r="AJ1081" s="18" t="inlineStr">
        <is>
          <t>Cobblemon 동일</t>
        </is>
      </c>
      <c r="AK1081" s="18" t="inlineStr">
        <is>
          <t>사용</t>
        </is>
      </c>
      <c r="AL1081" s="18" t="inlineStr">
        <is>
          <t>COBBLEVERSE 1.7.42 / DP v31</t>
        </is>
      </c>
      <c r="AM1081" s="18" t="inlineStr">
        <is>
          <t>data/cobblemon/spawn_pool_world/0260_swampert.json</t>
        </is>
      </c>
      <c r="AN1081" s="18" t="inlineStr">
        <is>
          <t>swampert-10</t>
        </is>
      </c>
      <c r="AO1081" s="18" t="inlineStr">
        <is>
          <t>pokemon</t>
        </is>
      </c>
      <c r="AP1081" s="18" t="inlineStr">
        <is>
          <t>water</t>
        </is>
      </c>
      <c r="AQ1081" s="18" t="inlineStr">
        <is>
          <t>{"biomes":["#cobblemon:is_overworld"],"maxSkyLight":7,"maxY":9,"minSkyLight":0,"minY":-41,"structures":["cobblemon:shipwreck_coves/lush_shipwreck_cove"]}</t>
        </is>
      </c>
      <c r="AR1081" s="18" t="inlineStr">
        <is>
          <t>{"biomes":["#cobblemon:is_lush"]}</t>
        </is>
      </c>
      <c r="AS1081" s="18" t="inlineStr"/>
      <c r="AT1081" s="19" t="inlineStr"/>
    </row>
    <row r="1082" ht="32" customHeight="1">
      <c r="A1082" s="18" t="inlineStr">
        <is>
          <t>0260_swampert.json::swampert-11::011</t>
        </is>
      </c>
      <c r="B1082" s="19" t="inlineStr">
        <is>
          <t>사용</t>
        </is>
      </c>
      <c r="C1082" s="18">
        <f>IF(OR(B1082&lt;&gt;AK1082,M1082&lt;&gt;L1082,O1082&lt;&gt;"",Q1082&lt;&gt;"",V1082&lt;&gt;1,Y1082&lt;&gt;"",AT1082&lt;&gt;""),"수정","원본")</f>
        <v/>
      </c>
      <c r="D1082" s="18" t="n">
        <v>260</v>
      </c>
      <c r="E1082" s="18" t="inlineStr">
        <is>
          <t>대짱이</t>
        </is>
      </c>
      <c r="F1082" s="18" t="inlineStr">
        <is>
          <t>swampert</t>
        </is>
      </c>
      <c r="G1082" s="18" t="inlineStr">
        <is>
          <t>swampert</t>
        </is>
      </c>
      <c r="H1082" s="18" t="inlineStr"/>
      <c r="I1082" s="18" t="n">
        <v>3</v>
      </c>
      <c r="J1082" s="18" t="n"/>
      <c r="K1082" s="18" t="n">
        <v>3</v>
      </c>
      <c r="L1082" s="18" t="inlineStr">
        <is>
          <t>cobbleventure:generation_3</t>
        </is>
      </c>
      <c r="M1082" s="19" t="inlineStr">
        <is>
          <t>cobbleventure:generation_3</t>
        </is>
      </c>
      <c r="N1082" s="18" t="inlineStr">
        <is>
          <t>region_01; region_02</t>
        </is>
      </c>
      <c r="O1082" s="19" t="inlineStr"/>
      <c r="P1082" s="18" t="inlineStr">
        <is>
          <t>#cobblemon:is_overworld</t>
        </is>
      </c>
      <c r="Q1082" s="19" t="inlineStr"/>
      <c r="R1082" s="18">
        <f>IF(Q1082="",P1082,Q1082)</f>
        <v/>
      </c>
      <c r="S1082" s="18" t="inlineStr">
        <is>
          <t>#cobblemon:is_lush</t>
        </is>
      </c>
      <c r="T1082" s="18" t="inlineStr">
        <is>
          <t>ultra-rare</t>
        </is>
      </c>
      <c r="U1082" s="20" t="n">
        <v>0.4</v>
      </c>
      <c r="V1082" s="21" t="n">
        <v>1</v>
      </c>
      <c r="W1082" s="20">
        <f>IF(OR(U1082="",V1082=""),U1082,U1082*V1082)</f>
        <v/>
      </c>
      <c r="X1082" s="18" t="inlineStr">
        <is>
          <t>36-53</t>
        </is>
      </c>
      <c r="Y1082" s="19" t="inlineStr"/>
      <c r="Z1082" s="18">
        <f>IF(Y1082="",X1082,Y1082)</f>
        <v/>
      </c>
      <c r="AA1082" s="18" t="inlineStr">
        <is>
          <t>fishing</t>
        </is>
      </c>
      <c r="AB1082" s="18" t="inlineStr"/>
      <c r="AC1082" s="18" t="inlineStr"/>
      <c r="AD1082" s="18" t="inlineStr">
        <is>
          <t>minY=-41, maxY=9</t>
        </is>
      </c>
      <c r="AE1082" s="18" t="inlineStr">
        <is>
          <t>sky 0-7</t>
        </is>
      </c>
      <c r="AF1082" s="18" t="inlineStr"/>
      <c r="AG1082" s="18" t="inlineStr">
        <is>
          <t>cobblemon:shipwreck_coves/lush_shipwreck_cove</t>
        </is>
      </c>
      <c r="AH1082" s="18" t="inlineStr"/>
      <c r="AI1082" s="18" t="inlineStr"/>
      <c r="AJ1082" s="18" t="inlineStr">
        <is>
          <t>Cobblemon 동일</t>
        </is>
      </c>
      <c r="AK1082" s="18" t="inlineStr">
        <is>
          <t>사용</t>
        </is>
      </c>
      <c r="AL1082" s="18" t="inlineStr">
        <is>
          <t>COBBLEVERSE 1.7.42 / DP v31</t>
        </is>
      </c>
      <c r="AM1082" s="18" t="inlineStr">
        <is>
          <t>data/cobblemon/spawn_pool_world/0260_swampert.json</t>
        </is>
      </c>
      <c r="AN1082" s="18" t="inlineStr">
        <is>
          <t>swampert-11</t>
        </is>
      </c>
      <c r="AO1082" s="18" t="inlineStr">
        <is>
          <t>pokemon</t>
        </is>
      </c>
      <c r="AP1082" s="18" t="inlineStr"/>
      <c r="AQ1082" s="18" t="inlineStr">
        <is>
          <t>{"biomes":["#cobblemon:is_overworld"],"maxSkyLight":7,"maxY":9,"minSkyLight":0,"minY":-41,"structures":["cobblemon:shipwreck_coves/lush_shipwreck_cove"]}</t>
        </is>
      </c>
      <c r="AR1082" s="18" t="inlineStr">
        <is>
          <t>{"biomes":["#cobblemon:is_lush"]}</t>
        </is>
      </c>
      <c r="AS1082" s="18" t="inlineStr"/>
      <c r="AT1082" s="19" t="inlineStr"/>
    </row>
    <row r="1083" ht="32" customHeight="1">
      <c r="A1083" s="18" t="inlineStr">
        <is>
          <t>0261_poochyena.json::poochyena-1::001</t>
        </is>
      </c>
      <c r="B1083" s="19" t="inlineStr">
        <is>
          <t>사용</t>
        </is>
      </c>
      <c r="C1083" s="18">
        <f>IF(OR(B1083&lt;&gt;AK1083,M1083&lt;&gt;L1083,O1083&lt;&gt;"",Q1083&lt;&gt;"",V1083&lt;&gt;1,Y1083&lt;&gt;"",AT1083&lt;&gt;""),"수정","원본")</f>
        <v/>
      </c>
      <c r="D1083" s="18" t="n">
        <v>261</v>
      </c>
      <c r="E1083" s="18" t="inlineStr">
        <is>
          <t>포챠나</t>
        </is>
      </c>
      <c r="F1083" s="18" t="inlineStr">
        <is>
          <t>poochyena</t>
        </is>
      </c>
      <c r="G1083" s="18" t="inlineStr">
        <is>
          <t>poochyena</t>
        </is>
      </c>
      <c r="H1083" s="18" t="inlineStr"/>
      <c r="I1083" s="18" t="n">
        <v>3</v>
      </c>
      <c r="J1083" s="18" t="n"/>
      <c r="K1083" s="18" t="n">
        <v>3</v>
      </c>
      <c r="L1083" s="18" t="inlineStr">
        <is>
          <t>cobbleventure:generation_3</t>
        </is>
      </c>
      <c r="M1083" s="19" t="inlineStr">
        <is>
          <t>cobbleventure:generation_3</t>
        </is>
      </c>
      <c r="N1083" s="18" t="inlineStr"/>
      <c r="O1083" s="19" t="inlineStr"/>
      <c r="P1083" s="18" t="inlineStr">
        <is>
          <t>#cobblemon:is_badlands; #cobblemon:is_savanna</t>
        </is>
      </c>
      <c r="Q1083" s="19" t="inlineStr"/>
      <c r="R1083" s="18">
        <f>IF(Q1083="",P1083,Q1083)</f>
        <v/>
      </c>
      <c r="S1083" s="18" t="inlineStr"/>
      <c r="T1083" s="18" t="inlineStr">
        <is>
          <t>common</t>
        </is>
      </c>
      <c r="U1083" s="20" t="n">
        <v>5.4</v>
      </c>
      <c r="V1083" s="21" t="n">
        <v>1</v>
      </c>
      <c r="W1083" s="20">
        <f>IF(OR(U1083="",V1083=""),U1083,U1083*V1083)</f>
        <v/>
      </c>
      <c r="X1083" s="18" t="inlineStr">
        <is>
          <t>1-22</t>
        </is>
      </c>
      <c r="Y1083" s="19" t="inlineStr"/>
      <c r="Z1083" s="18">
        <f>IF(Y1083="",X1083,Y1083)</f>
        <v/>
      </c>
      <c r="AA1083" s="18" t="inlineStr">
        <is>
          <t>grounded</t>
        </is>
      </c>
      <c r="AB1083" s="18" t="inlineStr">
        <is>
          <t>night</t>
        </is>
      </c>
      <c r="AC1083" s="18" t="inlineStr"/>
      <c r="AD1083" s="18" t="inlineStr"/>
      <c r="AE1083" s="18" t="inlineStr"/>
      <c r="AF1083" s="18" t="inlineStr"/>
      <c r="AG1083" s="18" t="inlineStr"/>
      <c r="AH1083" s="18" t="inlineStr"/>
      <c r="AI1083" s="18" t="inlineStr"/>
      <c r="AJ1083" s="18" t="inlineStr">
        <is>
          <t>COBBLEVERSE 수정</t>
        </is>
      </c>
      <c r="AK1083" s="18" t="inlineStr">
        <is>
          <t>사용</t>
        </is>
      </c>
      <c r="AL1083" s="18" t="inlineStr">
        <is>
          <t>COBBLEVERSE 1.7.42 / DP v31</t>
        </is>
      </c>
      <c r="AM1083" s="18" t="inlineStr">
        <is>
          <t>data/cobblemon/spawn_pool_world/0261_poochyena.json</t>
        </is>
      </c>
      <c r="AN1083" s="18" t="inlineStr">
        <is>
          <t>poochyena-1</t>
        </is>
      </c>
      <c r="AO1083" s="18" t="inlineStr">
        <is>
          <t>pokemon</t>
        </is>
      </c>
      <c r="AP1083" s="18" t="inlineStr">
        <is>
          <t>natural</t>
        </is>
      </c>
      <c r="AQ1083" s="18" t="inlineStr">
        <is>
          <t>{"biomes":["#cobblemon:is_badlands","#cobblemon:is_savanna"],"timeRange":"night"}</t>
        </is>
      </c>
      <c r="AR1083" s="18" t="inlineStr"/>
      <c r="AS1083" s="18" t="inlineStr"/>
      <c r="AT1083" s="19" t="inlineStr"/>
    </row>
    <row r="1084" ht="32" customHeight="1">
      <c r="A1084" s="18" t="inlineStr">
        <is>
          <t>0261_poochyena.json::poochyena-2::002</t>
        </is>
      </c>
      <c r="B1084" s="19" t="inlineStr">
        <is>
          <t>사용</t>
        </is>
      </c>
      <c r="C1084" s="18">
        <f>IF(OR(B1084&lt;&gt;AK1084,M1084&lt;&gt;L1084,O1084&lt;&gt;"",Q1084&lt;&gt;"",V1084&lt;&gt;1,Y1084&lt;&gt;"",AT1084&lt;&gt;""),"수정","원본")</f>
        <v/>
      </c>
      <c r="D1084" s="18" t="n">
        <v>261</v>
      </c>
      <c r="E1084" s="18" t="inlineStr">
        <is>
          <t>포챠나</t>
        </is>
      </c>
      <c r="F1084" s="18" t="inlineStr">
        <is>
          <t>poochyena</t>
        </is>
      </c>
      <c r="G1084" s="18" t="inlineStr">
        <is>
          <t>poochyena</t>
        </is>
      </c>
      <c r="H1084" s="18" t="inlineStr"/>
      <c r="I1084" s="18" t="n">
        <v>3</v>
      </c>
      <c r="J1084" s="18" t="n"/>
      <c r="K1084" s="18" t="n">
        <v>3</v>
      </c>
      <c r="L1084" s="18" t="inlineStr">
        <is>
          <t>cobbleventure:generation_3</t>
        </is>
      </c>
      <c r="M1084" s="19" t="inlineStr">
        <is>
          <t>cobbleventure:generation_3</t>
        </is>
      </c>
      <c r="N1084" s="18" t="inlineStr">
        <is>
          <t>region_01; region_02</t>
        </is>
      </c>
      <c r="O1084" s="19" t="inlineStr"/>
      <c r="P1084" s="18" t="inlineStr">
        <is>
          <t>#cobblemon:is_overworld</t>
        </is>
      </c>
      <c r="Q1084" s="19" t="inlineStr"/>
      <c r="R1084" s="18">
        <f>IF(Q1084="",P1084,Q1084)</f>
        <v/>
      </c>
      <c r="S1084" s="18" t="inlineStr"/>
      <c r="T1084" s="18" t="inlineStr">
        <is>
          <t>common</t>
        </is>
      </c>
      <c r="U1084" s="20" t="n">
        <v>90</v>
      </c>
      <c r="V1084" s="21" t="n">
        <v>1</v>
      </c>
      <c r="W1084" s="20">
        <f>IF(OR(U1084="",V1084=""),U1084,U1084*V1084)</f>
        <v/>
      </c>
      <c r="X1084" s="18" t="inlineStr">
        <is>
          <t>1-22</t>
        </is>
      </c>
      <c r="Y1084" s="19" t="inlineStr"/>
      <c r="Z1084" s="18">
        <f>IF(Y1084="",X1084,Y1084)</f>
        <v/>
      </c>
      <c r="AA1084" s="18" t="inlineStr">
        <is>
          <t>grounded</t>
        </is>
      </c>
      <c r="AB1084" s="18" t="inlineStr"/>
      <c r="AC1084" s="18" t="inlineStr"/>
      <c r="AD1084" s="18" t="inlineStr"/>
      <c r="AE1084" s="18" t="inlineStr"/>
      <c r="AF1084" s="18" t="inlineStr"/>
      <c r="AG1084" s="18" t="inlineStr"/>
      <c r="AH1084" s="18" t="inlineStr"/>
      <c r="AI1084" s="18" t="inlineStr"/>
      <c r="AJ1084" s="18" t="inlineStr">
        <is>
          <t>COBBLEVERSE 수정</t>
        </is>
      </c>
      <c r="AK1084" s="18" t="inlineStr">
        <is>
          <t>사용</t>
        </is>
      </c>
      <c r="AL1084" s="18" t="inlineStr">
        <is>
          <t>COBBLEVERSE 1.7.42 / DP v31</t>
        </is>
      </c>
      <c r="AM1084" s="18" t="inlineStr">
        <is>
          <t>data/cobblemon/spawn_pool_world/0261_poochyena.json</t>
        </is>
      </c>
      <c r="AN1084" s="18" t="inlineStr">
        <is>
          <t>poochyena-2</t>
        </is>
      </c>
      <c r="AO1084" s="18" t="inlineStr">
        <is>
          <t>pokemon</t>
        </is>
      </c>
      <c r="AP1084" s="18" t="inlineStr">
        <is>
          <t>natural; pillager_outpost</t>
        </is>
      </c>
      <c r="AQ1084" s="18" t="inlineStr">
        <is>
          <t>{"biomes":["#cobblemon:is_overworld"]}</t>
        </is>
      </c>
      <c r="AR1084" s="18" t="inlineStr"/>
      <c r="AS1084" s="18" t="inlineStr"/>
      <c r="AT1084" s="19" t="inlineStr"/>
    </row>
    <row r="1085" ht="32" customHeight="1">
      <c r="A1085" s="18" t="inlineStr">
        <is>
          <t>0262_mightyena.json::mightyena-1::001</t>
        </is>
      </c>
      <c r="B1085" s="19" t="inlineStr">
        <is>
          <t>사용</t>
        </is>
      </c>
      <c r="C1085" s="18">
        <f>IF(OR(B1085&lt;&gt;AK1085,M1085&lt;&gt;L1085,O1085&lt;&gt;"",Q1085&lt;&gt;"",V1085&lt;&gt;1,Y1085&lt;&gt;"",AT1085&lt;&gt;""),"수정","원본")</f>
        <v/>
      </c>
      <c r="D1085" s="18" t="n">
        <v>262</v>
      </c>
      <c r="E1085" s="18" t="inlineStr">
        <is>
          <t>그라에나</t>
        </is>
      </c>
      <c r="F1085" s="18" t="inlineStr">
        <is>
          <t>mightyena</t>
        </is>
      </c>
      <c r="G1085" s="18" t="inlineStr">
        <is>
          <t>mightyena</t>
        </is>
      </c>
      <c r="H1085" s="18" t="inlineStr"/>
      <c r="I1085" s="18" t="n">
        <v>3</v>
      </c>
      <c r="J1085" s="18" t="n"/>
      <c r="K1085" s="18" t="n">
        <v>3</v>
      </c>
      <c r="L1085" s="18" t="inlineStr">
        <is>
          <t>cobbleventure:generation_3</t>
        </is>
      </c>
      <c r="M1085" s="19" t="inlineStr">
        <is>
          <t>cobbleventure:generation_3</t>
        </is>
      </c>
      <c r="N1085" s="18" t="inlineStr"/>
      <c r="O1085" s="19" t="inlineStr"/>
      <c r="P1085" s="18" t="inlineStr">
        <is>
          <t>#cobblemon:is_badlands; #cobblemon:is_savanna</t>
        </is>
      </c>
      <c r="Q1085" s="19" t="inlineStr"/>
      <c r="R1085" s="18">
        <f>IF(Q1085="",P1085,Q1085)</f>
        <v/>
      </c>
      <c r="S1085" s="18" t="inlineStr"/>
      <c r="T1085" s="18" t="inlineStr">
        <is>
          <t>common</t>
        </is>
      </c>
      <c r="U1085" s="20" t="n">
        <v>0.6</v>
      </c>
      <c r="V1085" s="21" t="n">
        <v>1</v>
      </c>
      <c r="W1085" s="20">
        <f>IF(OR(U1085="",V1085=""),U1085,U1085*V1085)</f>
        <v/>
      </c>
      <c r="X1085" s="18" t="inlineStr">
        <is>
          <t>18-42</t>
        </is>
      </c>
      <c r="Y1085" s="19" t="inlineStr"/>
      <c r="Z1085" s="18">
        <f>IF(Y1085="",X1085,Y1085)</f>
        <v/>
      </c>
      <c r="AA1085" s="18" t="inlineStr">
        <is>
          <t>grounded</t>
        </is>
      </c>
      <c r="AB1085" s="18" t="inlineStr">
        <is>
          <t>night</t>
        </is>
      </c>
      <c r="AC1085" s="18" t="inlineStr"/>
      <c r="AD1085" s="18" t="inlineStr"/>
      <c r="AE1085" s="18" t="inlineStr"/>
      <c r="AF1085" s="18" t="inlineStr"/>
      <c r="AG1085" s="18" t="inlineStr"/>
      <c r="AH1085" s="18" t="inlineStr"/>
      <c r="AI1085" s="18" t="inlineStr"/>
      <c r="AJ1085" s="18" t="inlineStr">
        <is>
          <t>COBBLEVERSE 수정</t>
        </is>
      </c>
      <c r="AK1085" s="18" t="inlineStr">
        <is>
          <t>사용</t>
        </is>
      </c>
      <c r="AL1085" s="18" t="inlineStr">
        <is>
          <t>COBBLEVERSE 1.7.42 / DP v31</t>
        </is>
      </c>
      <c r="AM1085" s="18" t="inlineStr">
        <is>
          <t>data/cobblemon/spawn_pool_world/0262_mightyena.json</t>
        </is>
      </c>
      <c r="AN1085" s="18" t="inlineStr">
        <is>
          <t>mightyena-1</t>
        </is>
      </c>
      <c r="AO1085" s="18" t="inlineStr">
        <is>
          <t>pokemon</t>
        </is>
      </c>
      <c r="AP1085" s="18" t="inlineStr">
        <is>
          <t>natural</t>
        </is>
      </c>
      <c r="AQ1085" s="18" t="inlineStr">
        <is>
          <t>{"biomes":["#cobblemon:is_badlands","#cobblemon:is_savanna"],"timeRange":"night"}</t>
        </is>
      </c>
      <c r="AR1085" s="18" t="inlineStr"/>
      <c r="AS1085" s="18" t="inlineStr"/>
      <c r="AT1085" s="19" t="inlineStr"/>
    </row>
    <row r="1086" ht="32" customHeight="1">
      <c r="A1086" s="18" t="inlineStr">
        <is>
          <t>0262_mightyena.json::mightyena-2::002</t>
        </is>
      </c>
      <c r="B1086" s="19" t="inlineStr">
        <is>
          <t>사용</t>
        </is>
      </c>
      <c r="C1086" s="18">
        <f>IF(OR(B1086&lt;&gt;AK1086,M1086&lt;&gt;L1086,O1086&lt;&gt;"",Q1086&lt;&gt;"",V1086&lt;&gt;1,Y1086&lt;&gt;"",AT1086&lt;&gt;""),"수정","원본")</f>
        <v/>
      </c>
      <c r="D1086" s="18" t="n">
        <v>262</v>
      </c>
      <c r="E1086" s="18" t="inlineStr">
        <is>
          <t>그라에나</t>
        </is>
      </c>
      <c r="F1086" s="18" t="inlineStr">
        <is>
          <t>mightyena</t>
        </is>
      </c>
      <c r="G1086" s="18" t="inlineStr">
        <is>
          <t>mightyena</t>
        </is>
      </c>
      <c r="H1086" s="18" t="inlineStr"/>
      <c r="I1086" s="18" t="n">
        <v>3</v>
      </c>
      <c r="J1086" s="18" t="n"/>
      <c r="K1086" s="18" t="n">
        <v>3</v>
      </c>
      <c r="L1086" s="18" t="inlineStr">
        <is>
          <t>cobbleventure:generation_3</t>
        </is>
      </c>
      <c r="M1086" s="19" t="inlineStr">
        <is>
          <t>cobbleventure:generation_3</t>
        </is>
      </c>
      <c r="N1086" s="18" t="inlineStr">
        <is>
          <t>region_01; region_02</t>
        </is>
      </c>
      <c r="O1086" s="19" t="inlineStr"/>
      <c r="P1086" s="18" t="inlineStr">
        <is>
          <t>#cobblemon:is_overworld</t>
        </is>
      </c>
      <c r="Q1086" s="19" t="inlineStr"/>
      <c r="R1086" s="18">
        <f>IF(Q1086="",P1086,Q1086)</f>
        <v/>
      </c>
      <c r="S1086" s="18" t="inlineStr"/>
      <c r="T1086" s="18" t="inlineStr">
        <is>
          <t>common</t>
        </is>
      </c>
      <c r="U1086" s="20" t="n">
        <v>10</v>
      </c>
      <c r="V1086" s="21" t="n">
        <v>1</v>
      </c>
      <c r="W1086" s="20">
        <f>IF(OR(U1086="",V1086=""),U1086,U1086*V1086)</f>
        <v/>
      </c>
      <c r="X1086" s="18" t="inlineStr">
        <is>
          <t>18-42</t>
        </is>
      </c>
      <c r="Y1086" s="19" t="inlineStr"/>
      <c r="Z1086" s="18">
        <f>IF(Y1086="",X1086,Y1086)</f>
        <v/>
      </c>
      <c r="AA1086" s="18" t="inlineStr">
        <is>
          <t>grounded</t>
        </is>
      </c>
      <c r="AB1086" s="18" t="inlineStr"/>
      <c r="AC1086" s="18" t="inlineStr"/>
      <c r="AD1086" s="18" t="inlineStr"/>
      <c r="AE1086" s="18" t="inlineStr">
        <is>
          <t>sky 8-15</t>
        </is>
      </c>
      <c r="AF1086" s="18" t="inlineStr"/>
      <c r="AG1086" s="18" t="inlineStr"/>
      <c r="AH1086" s="18" t="inlineStr"/>
      <c r="AI1086" s="18" t="inlineStr"/>
      <c r="AJ1086" s="18" t="inlineStr">
        <is>
          <t>COBBLEVERSE 수정</t>
        </is>
      </c>
      <c r="AK1086" s="18" t="inlineStr">
        <is>
          <t>사용</t>
        </is>
      </c>
      <c r="AL1086" s="18" t="inlineStr">
        <is>
          <t>COBBLEVERSE 1.7.42 / DP v31</t>
        </is>
      </c>
      <c r="AM1086" s="18" t="inlineStr">
        <is>
          <t>data/cobblemon/spawn_pool_world/0262_mightyena.json</t>
        </is>
      </c>
      <c r="AN1086" s="18" t="inlineStr">
        <is>
          <t>mightyena-2</t>
        </is>
      </c>
      <c r="AO1086" s="18" t="inlineStr">
        <is>
          <t>pokemon</t>
        </is>
      </c>
      <c r="AP1086" s="18" t="inlineStr">
        <is>
          <t>natural; pillager_outpost</t>
        </is>
      </c>
      <c r="AQ1086" s="18" t="inlineStr">
        <is>
          <t>{"biomes":["#cobblemon:is_overworld"],"maxSkyLight":15,"minSkyLight":8}</t>
        </is>
      </c>
      <c r="AR1086" s="18" t="inlineStr"/>
      <c r="AS1086" s="18" t="inlineStr"/>
      <c r="AT1086" s="19" t="inlineStr"/>
    </row>
    <row r="1087" ht="32" customHeight="1">
      <c r="A1087" s="18" t="inlineStr">
        <is>
          <t>0263_zigzagoon.json::zigzagoon-1::001</t>
        </is>
      </c>
      <c r="B1087" s="19" t="inlineStr">
        <is>
          <t>사용</t>
        </is>
      </c>
      <c r="C1087" s="18">
        <f>IF(OR(B1087&lt;&gt;AK1087,M1087&lt;&gt;L1087,O1087&lt;&gt;"",Q1087&lt;&gt;"",V1087&lt;&gt;1,Y1087&lt;&gt;"",AT1087&lt;&gt;""),"수정","원본")</f>
        <v/>
      </c>
      <c r="D1087" s="18" t="n">
        <v>263</v>
      </c>
      <c r="E1087" s="18" t="inlineStr">
        <is>
          <t>지그제구리</t>
        </is>
      </c>
      <c r="F1087" s="18" t="inlineStr">
        <is>
          <t>zigzagoon</t>
        </is>
      </c>
      <c r="G1087" s="18" t="inlineStr">
        <is>
          <t>zigzagoon</t>
        </is>
      </c>
      <c r="H1087" s="18" t="inlineStr"/>
      <c r="I1087" s="18" t="n">
        <v>3</v>
      </c>
      <c r="J1087" s="18" t="n"/>
      <c r="K1087" s="18" t="n">
        <v>3</v>
      </c>
      <c r="L1087" s="18" t="inlineStr">
        <is>
          <t>cobbleventure:generation_3</t>
        </is>
      </c>
      <c r="M1087" s="19" t="inlineStr">
        <is>
          <t>cobbleventure:generation_3</t>
        </is>
      </c>
      <c r="N1087" s="18" t="inlineStr">
        <is>
          <t>region_01</t>
        </is>
      </c>
      <c r="O1087" s="19" t="inlineStr"/>
      <c r="P1087" s="18" t="inlineStr">
        <is>
          <t>#cobblemon:is_temperate</t>
        </is>
      </c>
      <c r="Q1087" s="19" t="inlineStr"/>
      <c r="R1087" s="18">
        <f>IF(Q1087="",P1087,Q1087)</f>
        <v/>
      </c>
      <c r="S1087" s="18" t="inlineStr"/>
      <c r="T1087" s="18" t="inlineStr">
        <is>
          <t>common</t>
        </is>
      </c>
      <c r="U1087" s="20" t="n">
        <v>9</v>
      </c>
      <c r="V1087" s="21" t="n">
        <v>1</v>
      </c>
      <c r="W1087" s="20">
        <f>IF(OR(U1087="",V1087=""),U1087,U1087*V1087)</f>
        <v/>
      </c>
      <c r="X1087" s="18" t="inlineStr">
        <is>
          <t>1-24</t>
        </is>
      </c>
      <c r="Y1087" s="19" t="inlineStr"/>
      <c r="Z1087" s="18">
        <f>IF(Y1087="",X1087,Y1087)</f>
        <v/>
      </c>
      <c r="AA1087" s="18" t="inlineStr">
        <is>
          <t>grounded</t>
        </is>
      </c>
      <c r="AB1087" s="18" t="inlineStr"/>
      <c r="AC1087" s="18" t="inlineStr"/>
      <c r="AD1087" s="18" t="inlineStr"/>
      <c r="AE1087" s="18" t="inlineStr">
        <is>
          <t>sky 8-15</t>
        </is>
      </c>
      <c r="AF1087" s="18" t="inlineStr"/>
      <c r="AG1087" s="18" t="inlineStr"/>
      <c r="AH1087" s="18" t="inlineStr"/>
      <c r="AI1087" s="18" t="inlineStr"/>
      <c r="AJ1087" s="18" t="inlineStr">
        <is>
          <t>Cobblemon 동일</t>
        </is>
      </c>
      <c r="AK1087" s="18" t="inlineStr">
        <is>
          <t>사용</t>
        </is>
      </c>
      <c r="AL1087" s="18" t="inlineStr">
        <is>
          <t>COBBLEVERSE 1.7.42 / DP v31</t>
        </is>
      </c>
      <c r="AM1087" s="18" t="inlineStr">
        <is>
          <t>data/cobblemon/spawn_pool_world/0263_zigzagoon.json</t>
        </is>
      </c>
      <c r="AN1087" s="18" t="inlineStr">
        <is>
          <t>zigzagoon-1</t>
        </is>
      </c>
      <c r="AO1087" s="18" t="inlineStr">
        <is>
          <t>pokemon</t>
        </is>
      </c>
      <c r="AP1087" s="18" t="inlineStr">
        <is>
          <t>natural</t>
        </is>
      </c>
      <c r="AQ1087" s="18" t="inlineStr">
        <is>
          <t>{"biomes":["#cobblemon:is_temperate"],"maxSkyLight":15,"minSkyLight":8}</t>
        </is>
      </c>
      <c r="AR1087" s="18" t="inlineStr"/>
      <c r="AS1087" s="18" t="inlineStr">
        <is>
          <t>{"weightMultiplier":{"condition":{"timeRange":"night"},"multiplier":1.5}}</t>
        </is>
      </c>
      <c r="AT1087" s="19" t="inlineStr"/>
    </row>
    <row r="1088" ht="32" customHeight="1">
      <c r="A1088" s="18" t="inlineStr">
        <is>
          <t>0263_zigzagoon.json::zigzagoon-2::002</t>
        </is>
      </c>
      <c r="B1088" s="19" t="inlineStr">
        <is>
          <t>사용</t>
        </is>
      </c>
      <c r="C1088" s="18">
        <f>IF(OR(B1088&lt;&gt;AK1088,M1088&lt;&gt;L1088,O1088&lt;&gt;"",Q1088&lt;&gt;"",V1088&lt;&gt;1,Y1088&lt;&gt;"",AT1088&lt;&gt;""),"수정","원본")</f>
        <v/>
      </c>
      <c r="D1088" s="18" t="n">
        <v>263</v>
      </c>
      <c r="E1088" s="18" t="inlineStr">
        <is>
          <t>지그제구리</t>
        </is>
      </c>
      <c r="F1088" s="18" t="inlineStr">
        <is>
          <t>zigzagoon</t>
        </is>
      </c>
      <c r="G1088" s="18" t="inlineStr">
        <is>
          <t>zigzagoon</t>
        </is>
      </c>
      <c r="H1088" s="18" t="inlineStr"/>
      <c r="I1088" s="18" t="n">
        <v>3</v>
      </c>
      <c r="J1088" s="18" t="n"/>
      <c r="K1088" s="18" t="n">
        <v>3</v>
      </c>
      <c r="L1088" s="18" t="inlineStr">
        <is>
          <t>cobbleventure:generation_3</t>
        </is>
      </c>
      <c r="M1088" s="19" t="inlineStr">
        <is>
          <t>cobbleventure:generation_3</t>
        </is>
      </c>
      <c r="N1088" s="18" t="inlineStr"/>
      <c r="O1088" s="19" t="inlineStr"/>
      <c r="P1088" s="18" t="inlineStr">
        <is>
          <t>aether:skyroot_forest; aether:skyroot_woodland</t>
        </is>
      </c>
      <c r="Q1088" s="19" t="inlineStr"/>
      <c r="R1088" s="18">
        <f>IF(Q1088="",P1088,Q1088)</f>
        <v/>
      </c>
      <c r="S1088" s="18" t="inlineStr"/>
      <c r="T1088" s="18" t="inlineStr">
        <is>
          <t>common</t>
        </is>
      </c>
      <c r="U1088" s="20" t="n">
        <v>9</v>
      </c>
      <c r="V1088" s="21" t="n">
        <v>1</v>
      </c>
      <c r="W1088" s="20">
        <f>IF(OR(U1088="",V1088=""),U1088,U1088*V1088)</f>
        <v/>
      </c>
      <c r="X1088" s="18" t="inlineStr">
        <is>
          <t>1-24</t>
        </is>
      </c>
      <c r="Y1088" s="19" t="inlineStr"/>
      <c r="Z1088" s="18">
        <f>IF(Y1088="",X1088,Y1088)</f>
        <v/>
      </c>
      <c r="AA1088" s="18" t="inlineStr">
        <is>
          <t>grounded</t>
        </is>
      </c>
      <c r="AB1088" s="18" t="inlineStr"/>
      <c r="AC1088" s="18" t="inlineStr"/>
      <c r="AD1088" s="18" t="inlineStr"/>
      <c r="AE1088" s="18" t="inlineStr">
        <is>
          <t>sky 8-15</t>
        </is>
      </c>
      <c r="AF1088" s="18" t="inlineStr"/>
      <c r="AG1088" s="18" t="inlineStr"/>
      <c r="AH1088" s="18" t="inlineStr"/>
      <c r="AI1088" s="18" t="inlineStr"/>
      <c r="AJ1088" s="18" t="inlineStr">
        <is>
          <t>Cobblemon 동일</t>
        </is>
      </c>
      <c r="AK1088" s="18" t="inlineStr">
        <is>
          <t>사용</t>
        </is>
      </c>
      <c r="AL1088" s="18" t="inlineStr">
        <is>
          <t>COBBLEVERSE 1.7.42 / DP v31</t>
        </is>
      </c>
      <c r="AM1088" s="18" t="inlineStr">
        <is>
          <t>data/cobblemon/spawn_pool_world/0263_zigzagoon.json</t>
        </is>
      </c>
      <c r="AN1088" s="18" t="inlineStr">
        <is>
          <t>zigzagoon-2</t>
        </is>
      </c>
      <c r="AO1088" s="18" t="inlineStr">
        <is>
          <t>pokemon</t>
        </is>
      </c>
      <c r="AP1088" s="18" t="inlineStr">
        <is>
          <t>natural</t>
        </is>
      </c>
      <c r="AQ1088" s="18" t="inlineStr">
        <is>
          <t>{"biomes":["aether:skyroot_forest","aether:skyroot_woodland"],"maxSkyLight":15,"minSkyLight":8}</t>
        </is>
      </c>
      <c r="AR1088" s="18" t="inlineStr"/>
      <c r="AS1088" s="18" t="inlineStr"/>
      <c r="AT1088" s="19" t="inlineStr"/>
    </row>
    <row r="1089" ht="32" customHeight="1">
      <c r="A1089" s="18" t="inlineStr">
        <is>
          <t>0263_zigzagoon.json::zigzagoon-galarian-3::003</t>
        </is>
      </c>
      <c r="B1089" s="19" t="inlineStr">
        <is>
          <t>사용</t>
        </is>
      </c>
      <c r="C1089" s="18">
        <f>IF(OR(B1089&lt;&gt;AK1089,M1089&lt;&gt;L1089,O1089&lt;&gt;"",Q1089&lt;&gt;"",V1089&lt;&gt;1,Y1089&lt;&gt;"",AT1089&lt;&gt;""),"수정","원본")</f>
        <v/>
      </c>
      <c r="D1089" s="18" t="n">
        <v>263</v>
      </c>
      <c r="E1089" s="18" t="inlineStr">
        <is>
          <t>지그제구리</t>
        </is>
      </c>
      <c r="F1089" s="18" t="inlineStr">
        <is>
          <t>zigzagoon</t>
        </is>
      </c>
      <c r="G1089" s="18" t="inlineStr">
        <is>
          <t>zigzagoon galarian</t>
        </is>
      </c>
      <c r="H1089" s="18" t="inlineStr">
        <is>
          <t>galarian</t>
        </is>
      </c>
      <c r="I1089" s="18" t="n">
        <v>3</v>
      </c>
      <c r="J1089" s="18" t="n">
        <v>8</v>
      </c>
      <c r="K1089" s="18" t="n">
        <v>8</v>
      </c>
      <c r="L1089" s="18" t="inlineStr">
        <is>
          <t>cobbleventure:generation_8</t>
        </is>
      </c>
      <c r="M1089" s="19" t="inlineStr">
        <is>
          <t>cobbleventure:generation_8</t>
        </is>
      </c>
      <c r="N1089" s="18" t="inlineStr"/>
      <c r="O1089" s="19" t="inlineStr"/>
      <c r="P1089" s="18" t="inlineStr">
        <is>
          <t>#cobblemon:is_taiga</t>
        </is>
      </c>
      <c r="Q1089" s="19" t="inlineStr"/>
      <c r="R1089" s="18">
        <f>IF(Q1089="",P1089,Q1089)</f>
        <v/>
      </c>
      <c r="S1089" s="18" t="inlineStr"/>
      <c r="T1089" s="18" t="inlineStr">
        <is>
          <t>common</t>
        </is>
      </c>
      <c r="U1089" s="20" t="n">
        <v>9</v>
      </c>
      <c r="V1089" s="21" t="n">
        <v>1</v>
      </c>
      <c r="W1089" s="20">
        <f>IF(OR(U1089="",V1089=""),U1089,U1089*V1089)</f>
        <v/>
      </c>
      <c r="X1089" s="18" t="inlineStr">
        <is>
          <t>1-24</t>
        </is>
      </c>
      <c r="Y1089" s="19" t="inlineStr"/>
      <c r="Z1089" s="18">
        <f>IF(Y1089="",X1089,Y1089)</f>
        <v/>
      </c>
      <c r="AA1089" s="18" t="inlineStr">
        <is>
          <t>grounded</t>
        </is>
      </c>
      <c r="AB1089" s="18" t="inlineStr"/>
      <c r="AC1089" s="18" t="inlineStr"/>
      <c r="AD1089" s="18" t="inlineStr"/>
      <c r="AE1089" s="18" t="inlineStr">
        <is>
          <t>sky 8-15</t>
        </is>
      </c>
      <c r="AF1089" s="18" t="inlineStr"/>
      <c r="AG1089" s="18" t="inlineStr"/>
      <c r="AH1089" s="18" t="inlineStr"/>
      <c r="AI1089" s="18" t="inlineStr"/>
      <c r="AJ1089" s="18" t="inlineStr">
        <is>
          <t>Cobblemon 동일</t>
        </is>
      </c>
      <c r="AK1089" s="18" t="inlineStr">
        <is>
          <t>사용</t>
        </is>
      </c>
      <c r="AL1089" s="18" t="inlineStr">
        <is>
          <t>COBBLEVERSE 1.7.42 / DP v31</t>
        </is>
      </c>
      <c r="AM1089" s="18" t="inlineStr">
        <is>
          <t>data/cobblemon/spawn_pool_world/0263_zigzagoon.json</t>
        </is>
      </c>
      <c r="AN1089" s="18" t="inlineStr">
        <is>
          <t>zigzagoon-galarian-3</t>
        </is>
      </c>
      <c r="AO1089" s="18" t="inlineStr">
        <is>
          <t>pokemon</t>
        </is>
      </c>
      <c r="AP1089" s="18" t="inlineStr">
        <is>
          <t>natural; wild</t>
        </is>
      </c>
      <c r="AQ1089" s="18" t="inlineStr">
        <is>
          <t>{"biomes":["#cobblemon:is_taiga"],"maxSkyLight":15,"minSkyLight":8}</t>
        </is>
      </c>
      <c r="AR1089" s="18" t="inlineStr"/>
      <c r="AS1089" s="18" t="inlineStr">
        <is>
          <t>{"weightMultiplier":{"condition":{"timeRange":"night"},"multiplier":1.5}}</t>
        </is>
      </c>
      <c r="AT1089" s="19" t="inlineStr"/>
    </row>
    <row r="1090" ht="32" customHeight="1">
      <c r="A1090" s="18" t="inlineStr">
        <is>
          <t>0264_linoone.json::linoone-1::001</t>
        </is>
      </c>
      <c r="B1090" s="19" t="inlineStr">
        <is>
          <t>사용</t>
        </is>
      </c>
      <c r="C1090" s="18">
        <f>IF(OR(B1090&lt;&gt;AK1090,M1090&lt;&gt;L1090,O1090&lt;&gt;"",Q1090&lt;&gt;"",V1090&lt;&gt;1,Y1090&lt;&gt;"",AT1090&lt;&gt;""),"수정","원본")</f>
        <v/>
      </c>
      <c r="D1090" s="18" t="n">
        <v>264</v>
      </c>
      <c r="E1090" s="18" t="inlineStr">
        <is>
          <t>직구리</t>
        </is>
      </c>
      <c r="F1090" s="18" t="inlineStr">
        <is>
          <t>linoone</t>
        </is>
      </c>
      <c r="G1090" s="18" t="inlineStr">
        <is>
          <t>linoone</t>
        </is>
      </c>
      <c r="H1090" s="18" t="inlineStr"/>
      <c r="I1090" s="18" t="n">
        <v>3</v>
      </c>
      <c r="J1090" s="18" t="n"/>
      <c r="K1090" s="18" t="n">
        <v>3</v>
      </c>
      <c r="L1090" s="18" t="inlineStr">
        <is>
          <t>cobbleventure:generation_3</t>
        </is>
      </c>
      <c r="M1090" s="19" t="inlineStr">
        <is>
          <t>cobbleventure:generation_3</t>
        </is>
      </c>
      <c r="N1090" s="18" t="inlineStr">
        <is>
          <t>region_01</t>
        </is>
      </c>
      <c r="O1090" s="19" t="inlineStr"/>
      <c r="P1090" s="18" t="inlineStr">
        <is>
          <t>#cobblemon:is_temperate</t>
        </is>
      </c>
      <c r="Q1090" s="19" t="inlineStr"/>
      <c r="R1090" s="18">
        <f>IF(Q1090="",P1090,Q1090)</f>
        <v/>
      </c>
      <c r="S1090" s="18" t="inlineStr"/>
      <c r="T1090" s="18" t="inlineStr">
        <is>
          <t>common</t>
        </is>
      </c>
      <c r="U1090" s="20" t="n">
        <v>1</v>
      </c>
      <c r="V1090" s="21" t="n">
        <v>1</v>
      </c>
      <c r="W1090" s="20">
        <f>IF(OR(U1090="",V1090=""),U1090,U1090*V1090)</f>
        <v/>
      </c>
      <c r="X1090" s="18" t="inlineStr">
        <is>
          <t>20-42</t>
        </is>
      </c>
      <c r="Y1090" s="19" t="inlineStr"/>
      <c r="Z1090" s="18">
        <f>IF(Y1090="",X1090,Y1090)</f>
        <v/>
      </c>
      <c r="AA1090" s="18" t="inlineStr">
        <is>
          <t>grounded</t>
        </is>
      </c>
      <c r="AB1090" s="18" t="inlineStr"/>
      <c r="AC1090" s="18" t="inlineStr"/>
      <c r="AD1090" s="18" t="inlineStr"/>
      <c r="AE1090" s="18" t="inlineStr">
        <is>
          <t>sky 8-15</t>
        </is>
      </c>
      <c r="AF1090" s="18" t="inlineStr"/>
      <c r="AG1090" s="18" t="inlineStr"/>
      <c r="AH1090" s="18" t="inlineStr"/>
      <c r="AI1090" s="18" t="inlineStr"/>
      <c r="AJ1090" s="18" t="inlineStr">
        <is>
          <t>Cobblemon 동일</t>
        </is>
      </c>
      <c r="AK1090" s="18" t="inlineStr">
        <is>
          <t>사용</t>
        </is>
      </c>
      <c r="AL1090" s="18" t="inlineStr">
        <is>
          <t>COBBLEVERSE 1.7.42 / DP v31</t>
        </is>
      </c>
      <c r="AM1090" s="18" t="inlineStr">
        <is>
          <t>data/cobblemon/spawn_pool_world/0264_linoone.json</t>
        </is>
      </c>
      <c r="AN1090" s="18" t="inlineStr">
        <is>
          <t>linoone-1</t>
        </is>
      </c>
      <c r="AO1090" s="18" t="inlineStr">
        <is>
          <t>pokemon</t>
        </is>
      </c>
      <c r="AP1090" s="18" t="inlineStr">
        <is>
          <t>natural</t>
        </is>
      </c>
      <c r="AQ1090" s="18" t="inlineStr">
        <is>
          <t>{"biomes":["#cobblemon:is_temperate"],"maxSkyLight":15,"minSkyLight":8}</t>
        </is>
      </c>
      <c r="AR1090" s="18" t="inlineStr"/>
      <c r="AS1090" s="18" t="inlineStr">
        <is>
          <t>{"weightMultiplier":{"condition":{"timeRange":"night"},"multiplier":1.5}}</t>
        </is>
      </c>
      <c r="AT1090" s="19" t="inlineStr"/>
    </row>
    <row r="1091" ht="32" customHeight="1">
      <c r="A1091" s="18" t="inlineStr">
        <is>
          <t>0264_linoone.json::linoone-2::002</t>
        </is>
      </c>
      <c r="B1091" s="19" t="inlineStr">
        <is>
          <t>사용</t>
        </is>
      </c>
      <c r="C1091" s="18">
        <f>IF(OR(B1091&lt;&gt;AK1091,M1091&lt;&gt;L1091,O1091&lt;&gt;"",Q1091&lt;&gt;"",V1091&lt;&gt;1,Y1091&lt;&gt;"",AT1091&lt;&gt;""),"수정","원본")</f>
        <v/>
      </c>
      <c r="D1091" s="18" t="n">
        <v>264</v>
      </c>
      <c r="E1091" s="18" t="inlineStr">
        <is>
          <t>직구리</t>
        </is>
      </c>
      <c r="F1091" s="18" t="inlineStr">
        <is>
          <t>linoone</t>
        </is>
      </c>
      <c r="G1091" s="18" t="inlineStr">
        <is>
          <t>linoone</t>
        </is>
      </c>
      <c r="H1091" s="18" t="inlineStr"/>
      <c r="I1091" s="18" t="n">
        <v>3</v>
      </c>
      <c r="J1091" s="18" t="n"/>
      <c r="K1091" s="18" t="n">
        <v>3</v>
      </c>
      <c r="L1091" s="18" t="inlineStr">
        <is>
          <t>cobbleventure:generation_3</t>
        </is>
      </c>
      <c r="M1091" s="19" t="inlineStr">
        <is>
          <t>cobbleventure:generation_3</t>
        </is>
      </c>
      <c r="N1091" s="18" t="inlineStr"/>
      <c r="O1091" s="19" t="inlineStr"/>
      <c r="P1091" s="18" t="inlineStr">
        <is>
          <t>aether:skyroot_forest; aether:skyroot_woodland</t>
        </is>
      </c>
      <c r="Q1091" s="19" t="inlineStr"/>
      <c r="R1091" s="18">
        <f>IF(Q1091="",P1091,Q1091)</f>
        <v/>
      </c>
      <c r="S1091" s="18" t="inlineStr"/>
      <c r="T1091" s="18" t="inlineStr">
        <is>
          <t>common</t>
        </is>
      </c>
      <c r="U1091" s="20" t="n">
        <v>1</v>
      </c>
      <c r="V1091" s="21" t="n">
        <v>1</v>
      </c>
      <c r="W1091" s="20">
        <f>IF(OR(U1091="",V1091=""),U1091,U1091*V1091)</f>
        <v/>
      </c>
      <c r="X1091" s="18" t="inlineStr">
        <is>
          <t>20-42</t>
        </is>
      </c>
      <c r="Y1091" s="19" t="inlineStr"/>
      <c r="Z1091" s="18">
        <f>IF(Y1091="",X1091,Y1091)</f>
        <v/>
      </c>
      <c r="AA1091" s="18" t="inlineStr">
        <is>
          <t>grounded</t>
        </is>
      </c>
      <c r="AB1091" s="18" t="inlineStr"/>
      <c r="AC1091" s="18" t="inlineStr"/>
      <c r="AD1091" s="18" t="inlineStr"/>
      <c r="AE1091" s="18" t="inlineStr">
        <is>
          <t>sky 8-15</t>
        </is>
      </c>
      <c r="AF1091" s="18" t="inlineStr"/>
      <c r="AG1091" s="18" t="inlineStr"/>
      <c r="AH1091" s="18" t="inlineStr"/>
      <c r="AI1091" s="18" t="inlineStr"/>
      <c r="AJ1091" s="18" t="inlineStr">
        <is>
          <t>Cobblemon 동일</t>
        </is>
      </c>
      <c r="AK1091" s="18" t="inlineStr">
        <is>
          <t>사용</t>
        </is>
      </c>
      <c r="AL1091" s="18" t="inlineStr">
        <is>
          <t>COBBLEVERSE 1.7.42 / DP v31</t>
        </is>
      </c>
      <c r="AM1091" s="18" t="inlineStr">
        <is>
          <t>data/cobblemon/spawn_pool_world/0264_linoone.json</t>
        </is>
      </c>
      <c r="AN1091" s="18" t="inlineStr">
        <is>
          <t>linoone-2</t>
        </is>
      </c>
      <c r="AO1091" s="18" t="inlineStr">
        <is>
          <t>pokemon</t>
        </is>
      </c>
      <c r="AP1091" s="18" t="inlineStr">
        <is>
          <t>natural</t>
        </is>
      </c>
      <c r="AQ1091" s="18" t="inlineStr">
        <is>
          <t>{"biomes":["aether:skyroot_forest","aether:skyroot_woodland"],"maxSkyLight":15,"minSkyLight":8}</t>
        </is>
      </c>
      <c r="AR1091" s="18" t="inlineStr"/>
      <c r="AS1091" s="18" t="inlineStr"/>
      <c r="AT1091" s="19" t="inlineStr"/>
    </row>
    <row r="1092" ht="32" customHeight="1">
      <c r="A1092" s="18" t="inlineStr">
        <is>
          <t>0264_linoone.json::linoone-galarian-3::003</t>
        </is>
      </c>
      <c r="B1092" s="19" t="inlineStr">
        <is>
          <t>사용</t>
        </is>
      </c>
      <c r="C1092" s="18">
        <f>IF(OR(B1092&lt;&gt;AK1092,M1092&lt;&gt;L1092,O1092&lt;&gt;"",Q1092&lt;&gt;"",V1092&lt;&gt;1,Y1092&lt;&gt;"",AT1092&lt;&gt;""),"수정","원본")</f>
        <v/>
      </c>
      <c r="D1092" s="18" t="n">
        <v>264</v>
      </c>
      <c r="E1092" s="18" t="inlineStr">
        <is>
          <t>직구리</t>
        </is>
      </c>
      <c r="F1092" s="18" t="inlineStr">
        <is>
          <t>linoone</t>
        </is>
      </c>
      <c r="G1092" s="18" t="inlineStr">
        <is>
          <t>linoone galarian</t>
        </is>
      </c>
      <c r="H1092" s="18" t="inlineStr">
        <is>
          <t>galarian</t>
        </is>
      </c>
      <c r="I1092" s="18" t="n">
        <v>3</v>
      </c>
      <c r="J1092" s="18" t="n">
        <v>8</v>
      </c>
      <c r="K1092" s="18" t="n">
        <v>8</v>
      </c>
      <c r="L1092" s="18" t="inlineStr">
        <is>
          <t>cobbleventure:generation_8</t>
        </is>
      </c>
      <c r="M1092" s="19" t="inlineStr">
        <is>
          <t>cobbleventure:generation_8</t>
        </is>
      </c>
      <c r="N1092" s="18" t="inlineStr"/>
      <c r="O1092" s="19" t="inlineStr"/>
      <c r="P1092" s="18" t="inlineStr">
        <is>
          <t>#cobblemon:is_taiga</t>
        </is>
      </c>
      <c r="Q1092" s="19" t="inlineStr"/>
      <c r="R1092" s="18">
        <f>IF(Q1092="",P1092,Q1092)</f>
        <v/>
      </c>
      <c r="S1092" s="18" t="inlineStr"/>
      <c r="T1092" s="18" t="inlineStr">
        <is>
          <t>common</t>
        </is>
      </c>
      <c r="U1092" s="20" t="n">
        <v>0.9</v>
      </c>
      <c r="V1092" s="21" t="n">
        <v>1</v>
      </c>
      <c r="W1092" s="20">
        <f>IF(OR(U1092="",V1092=""),U1092,U1092*V1092)</f>
        <v/>
      </c>
      <c r="X1092" s="18" t="inlineStr">
        <is>
          <t>20-42</t>
        </is>
      </c>
      <c r="Y1092" s="19" t="inlineStr"/>
      <c r="Z1092" s="18">
        <f>IF(Y1092="",X1092,Y1092)</f>
        <v/>
      </c>
      <c r="AA1092" s="18" t="inlineStr">
        <is>
          <t>grounded</t>
        </is>
      </c>
      <c r="AB1092" s="18" t="inlineStr"/>
      <c r="AC1092" s="18" t="inlineStr"/>
      <c r="AD1092" s="18" t="inlineStr"/>
      <c r="AE1092" s="18" t="inlineStr">
        <is>
          <t>sky 8-15</t>
        </is>
      </c>
      <c r="AF1092" s="18" t="inlineStr"/>
      <c r="AG1092" s="18" t="inlineStr"/>
      <c r="AH1092" s="18" t="inlineStr"/>
      <c r="AI1092" s="18" t="inlineStr"/>
      <c r="AJ1092" s="18" t="inlineStr">
        <is>
          <t>Cobblemon 동일</t>
        </is>
      </c>
      <c r="AK1092" s="18" t="inlineStr">
        <is>
          <t>사용</t>
        </is>
      </c>
      <c r="AL1092" s="18" t="inlineStr">
        <is>
          <t>COBBLEVERSE 1.7.42 / DP v31</t>
        </is>
      </c>
      <c r="AM1092" s="18" t="inlineStr">
        <is>
          <t>data/cobblemon/spawn_pool_world/0264_linoone.json</t>
        </is>
      </c>
      <c r="AN1092" s="18" t="inlineStr">
        <is>
          <t>linoone-galarian-3</t>
        </is>
      </c>
      <c r="AO1092" s="18" t="inlineStr">
        <is>
          <t>pokemon</t>
        </is>
      </c>
      <c r="AP1092" s="18" t="inlineStr">
        <is>
          <t>natural; wild</t>
        </is>
      </c>
      <c r="AQ1092" s="18" t="inlineStr">
        <is>
          <t>{"biomes":["#cobblemon:is_taiga"],"maxSkyLight":15,"minSkyLight":8}</t>
        </is>
      </c>
      <c r="AR1092" s="18" t="inlineStr"/>
      <c r="AS1092" s="18" t="inlineStr">
        <is>
          <t>{"weightMultiplier":{"condition":{"timeRange":"night"},"multiplier":1.5}}</t>
        </is>
      </c>
      <c r="AT1092" s="19" t="inlineStr"/>
    </row>
    <row r="1093" ht="32" customHeight="1">
      <c r="A1093" s="18" t="inlineStr">
        <is>
          <t>0265_wurmple.json::wurmple-1::001</t>
        </is>
      </c>
      <c r="B1093" s="19" t="inlineStr">
        <is>
          <t>사용</t>
        </is>
      </c>
      <c r="C1093" s="18">
        <f>IF(OR(B1093&lt;&gt;AK1093,M1093&lt;&gt;L1093,O1093&lt;&gt;"",Q1093&lt;&gt;"",V1093&lt;&gt;1,Y1093&lt;&gt;"",AT1093&lt;&gt;""),"수정","원본")</f>
        <v/>
      </c>
      <c r="D1093" s="18" t="n">
        <v>265</v>
      </c>
      <c r="E1093" s="18" t="inlineStr">
        <is>
          <t>개무소</t>
        </is>
      </c>
      <c r="F1093" s="18" t="inlineStr">
        <is>
          <t>wurmple</t>
        </is>
      </c>
      <c r="G1093" s="18" t="inlineStr">
        <is>
          <t>wurmple</t>
        </is>
      </c>
      <c r="H1093" s="18" t="inlineStr"/>
      <c r="I1093" s="18" t="n">
        <v>3</v>
      </c>
      <c r="J1093" s="18" t="n"/>
      <c r="K1093" s="18" t="n">
        <v>3</v>
      </c>
      <c r="L1093" s="18" t="inlineStr">
        <is>
          <t>cobbleventure:generation_3</t>
        </is>
      </c>
      <c r="M1093" s="19" t="inlineStr">
        <is>
          <t>cobbleventure:generation_3</t>
        </is>
      </c>
      <c r="N1093" s="18" t="inlineStr">
        <is>
          <t>region_01</t>
        </is>
      </c>
      <c r="O1093" s="19" t="inlineStr"/>
      <c r="P1093" s="18" t="inlineStr">
        <is>
          <t>#cobblemon:is_forest; #cobblemon:is_jungle</t>
        </is>
      </c>
      <c r="Q1093" s="19" t="inlineStr"/>
      <c r="R1093" s="18">
        <f>IF(Q1093="",P1093,Q1093)</f>
        <v/>
      </c>
      <c r="S1093" s="18" t="inlineStr">
        <is>
          <t>#cobblemon:is_freezing; #cobblemon:is_spooky</t>
        </is>
      </c>
      <c r="T1093" s="18" t="inlineStr">
        <is>
          <t>common</t>
        </is>
      </c>
      <c r="U1093" s="20" t="n">
        <v>4</v>
      </c>
      <c r="V1093" s="21" t="n">
        <v>1</v>
      </c>
      <c r="W1093" s="20">
        <f>IF(OR(U1093="",V1093=""),U1093,U1093*V1093)</f>
        <v/>
      </c>
      <c r="X1093" s="18" t="inlineStr">
        <is>
          <t>2-6</t>
        </is>
      </c>
      <c r="Y1093" s="19" t="inlineStr"/>
      <c r="Z1093" s="18">
        <f>IF(Y1093="",X1093,Y1093)</f>
        <v/>
      </c>
      <c r="AA1093" s="18" t="inlineStr">
        <is>
          <t>grounded</t>
        </is>
      </c>
      <c r="AB1093" s="18" t="inlineStr"/>
      <c r="AC1093" s="18" t="inlineStr"/>
      <c r="AD1093" s="18" t="inlineStr"/>
      <c r="AE1093" s="18" t="inlineStr">
        <is>
          <t>sky 8-15</t>
        </is>
      </c>
      <c r="AF1093" s="18" t="inlineStr"/>
      <c r="AG1093" s="18" t="inlineStr"/>
      <c r="AH1093" s="18" t="inlineStr"/>
      <c r="AI1093" s="18" t="inlineStr"/>
      <c r="AJ1093" s="18" t="inlineStr">
        <is>
          <t>COBBLEVERSE 추가</t>
        </is>
      </c>
      <c r="AK1093" s="18" t="inlineStr">
        <is>
          <t>사용</t>
        </is>
      </c>
      <c r="AL1093" s="18" t="inlineStr">
        <is>
          <t>COBBLEVERSE 1.7.42 / DP v31</t>
        </is>
      </c>
      <c r="AM1093" s="18" t="inlineStr">
        <is>
          <t>data/cobblemon/spawn_pool_world/0265_wurmple.json</t>
        </is>
      </c>
      <c r="AN1093" s="18" t="inlineStr">
        <is>
          <t>wurmple-1</t>
        </is>
      </c>
      <c r="AO1093" s="18" t="inlineStr">
        <is>
          <t>pokemon</t>
        </is>
      </c>
      <c r="AP1093" s="18" t="inlineStr">
        <is>
          <t>natural; foliage; treetop</t>
        </is>
      </c>
      <c r="AQ1093" s="18" t="inlineStr">
        <is>
          <t>{"biomes":["#cobblemon:is_forest","#cobblemon:is_jungle"],"maxSkyLight":15,"minSkyLight":8}</t>
        </is>
      </c>
      <c r="AR1093" s="18" t="inlineStr">
        <is>
          <t>{"biomes":["#cobblemon:is_freezing","#cobblemon:is_spooky"]}</t>
        </is>
      </c>
      <c r="AS1093" s="18" t="inlineStr"/>
      <c r="AT1093" s="19" t="inlineStr"/>
    </row>
    <row r="1094" ht="32" customHeight="1">
      <c r="A1094" s="18" t="inlineStr">
        <is>
          <t>0266_silcoon.json::silcoon-1::001</t>
        </is>
      </c>
      <c r="B1094" s="19" t="inlineStr">
        <is>
          <t>사용</t>
        </is>
      </c>
      <c r="C1094" s="18">
        <f>IF(OR(B1094&lt;&gt;AK1094,M1094&lt;&gt;L1094,O1094&lt;&gt;"",Q1094&lt;&gt;"",V1094&lt;&gt;1,Y1094&lt;&gt;"",AT1094&lt;&gt;""),"수정","원본")</f>
        <v/>
      </c>
      <c r="D1094" s="18" t="n">
        <v>266</v>
      </c>
      <c r="E1094" s="18" t="inlineStr">
        <is>
          <t>실쿤</t>
        </is>
      </c>
      <c r="F1094" s="18" t="inlineStr">
        <is>
          <t>silcoon</t>
        </is>
      </c>
      <c r="G1094" s="18" t="inlineStr">
        <is>
          <t>silcoon</t>
        </is>
      </c>
      <c r="H1094" s="18" t="inlineStr"/>
      <c r="I1094" s="18" t="n">
        <v>3</v>
      </c>
      <c r="J1094" s="18" t="n"/>
      <c r="K1094" s="18" t="n">
        <v>3</v>
      </c>
      <c r="L1094" s="18" t="inlineStr">
        <is>
          <t>cobbleventure:generation_3</t>
        </is>
      </c>
      <c r="M1094" s="19" t="inlineStr">
        <is>
          <t>cobbleventure:generation_3</t>
        </is>
      </c>
      <c r="N1094" s="18" t="inlineStr">
        <is>
          <t>region_01</t>
        </is>
      </c>
      <c r="O1094" s="19" t="inlineStr"/>
      <c r="P1094" s="18" t="inlineStr">
        <is>
          <t>#cobblemon:is_forest; #cobblemon:is_jungle</t>
        </is>
      </c>
      <c r="Q1094" s="19" t="inlineStr"/>
      <c r="R1094" s="18">
        <f>IF(Q1094="",P1094,Q1094)</f>
        <v/>
      </c>
      <c r="S1094" s="18" t="inlineStr">
        <is>
          <t>#cobblemon:is_freezing; #cobblemon:is_spooky</t>
        </is>
      </c>
      <c r="T1094" s="18" t="inlineStr">
        <is>
          <t>uncommon</t>
        </is>
      </c>
      <c r="U1094" s="20" t="n">
        <v>2</v>
      </c>
      <c r="V1094" s="21" t="n">
        <v>1</v>
      </c>
      <c r="W1094" s="20">
        <f>IF(OR(U1094="",V1094=""),U1094,U1094*V1094)</f>
        <v/>
      </c>
      <c r="X1094" s="18" t="inlineStr">
        <is>
          <t>7-9</t>
        </is>
      </c>
      <c r="Y1094" s="19" t="inlineStr"/>
      <c r="Z1094" s="18">
        <f>IF(Y1094="",X1094,Y1094)</f>
        <v/>
      </c>
      <c r="AA1094" s="18" t="inlineStr">
        <is>
          <t>grounded</t>
        </is>
      </c>
      <c r="AB1094" s="18" t="inlineStr"/>
      <c r="AC1094" s="18" t="inlineStr"/>
      <c r="AD1094" s="18" t="inlineStr"/>
      <c r="AE1094" s="18" t="inlineStr">
        <is>
          <t>sky 8-15</t>
        </is>
      </c>
      <c r="AF1094" s="18" t="inlineStr"/>
      <c r="AG1094" s="18" t="inlineStr"/>
      <c r="AH1094" s="18" t="inlineStr"/>
      <c r="AI1094" s="18" t="inlineStr"/>
      <c r="AJ1094" s="18" t="inlineStr">
        <is>
          <t>COBBLEVERSE 추가</t>
        </is>
      </c>
      <c r="AK1094" s="18" t="inlineStr">
        <is>
          <t>사용</t>
        </is>
      </c>
      <c r="AL1094" s="18" t="inlineStr">
        <is>
          <t>COBBLEVERSE 1.7.42 / DP v31</t>
        </is>
      </c>
      <c r="AM1094" s="18" t="inlineStr">
        <is>
          <t>data/cobblemon/spawn_pool_world/0266_silcoon.json</t>
        </is>
      </c>
      <c r="AN1094" s="18" t="inlineStr">
        <is>
          <t>silcoon-1</t>
        </is>
      </c>
      <c r="AO1094" s="18" t="inlineStr">
        <is>
          <t>pokemon</t>
        </is>
      </c>
      <c r="AP1094" s="18" t="inlineStr">
        <is>
          <t>natural; foliage; treetop</t>
        </is>
      </c>
      <c r="AQ1094" s="18" t="inlineStr">
        <is>
          <t>{"biomes":["#cobblemon:is_forest","#cobblemon:is_jungle"],"maxSkyLight":15,"minSkyLight":8}</t>
        </is>
      </c>
      <c r="AR1094" s="18" t="inlineStr">
        <is>
          <t>{"biomes":["#cobblemon:is_freezing","#cobblemon:is_spooky"]}</t>
        </is>
      </c>
      <c r="AS1094" s="18" t="inlineStr"/>
      <c r="AT1094" s="19" t="inlineStr"/>
    </row>
    <row r="1095" ht="32" customHeight="1">
      <c r="A1095" s="18" t="inlineStr">
        <is>
          <t>0267_beautifly.json::beautifly-1::001</t>
        </is>
      </c>
      <c r="B1095" s="19" t="inlineStr">
        <is>
          <t>사용</t>
        </is>
      </c>
      <c r="C1095" s="18">
        <f>IF(OR(B1095&lt;&gt;AK1095,M1095&lt;&gt;L1095,O1095&lt;&gt;"",Q1095&lt;&gt;"",V1095&lt;&gt;1,Y1095&lt;&gt;"",AT1095&lt;&gt;""),"수정","원본")</f>
        <v/>
      </c>
      <c r="D1095" s="18" t="n">
        <v>267</v>
      </c>
      <c r="E1095" s="18" t="inlineStr">
        <is>
          <t>뷰티플라이</t>
        </is>
      </c>
      <c r="F1095" s="18" t="inlineStr">
        <is>
          <t>beautifly</t>
        </is>
      </c>
      <c r="G1095" s="18" t="inlineStr">
        <is>
          <t>beautifly</t>
        </is>
      </c>
      <c r="H1095" s="18" t="inlineStr"/>
      <c r="I1095" s="18" t="n">
        <v>3</v>
      </c>
      <c r="J1095" s="18" t="n"/>
      <c r="K1095" s="18" t="n">
        <v>3</v>
      </c>
      <c r="L1095" s="18" t="inlineStr">
        <is>
          <t>cobbleventure:generation_3</t>
        </is>
      </c>
      <c r="M1095" s="19" t="inlineStr">
        <is>
          <t>cobbleventure:generation_3</t>
        </is>
      </c>
      <c r="N1095" s="18" t="inlineStr">
        <is>
          <t>region_01</t>
        </is>
      </c>
      <c r="O1095" s="19" t="inlineStr"/>
      <c r="P1095" s="18" t="inlineStr">
        <is>
          <t>#cobblemon:is_forest; #cobblemon:is_jungle</t>
        </is>
      </c>
      <c r="Q1095" s="19" t="inlineStr"/>
      <c r="R1095" s="18">
        <f>IF(Q1095="",P1095,Q1095)</f>
        <v/>
      </c>
      <c r="S1095" s="18" t="inlineStr">
        <is>
          <t>#cobblemon:is_freezing; #cobblemon:is_spooky</t>
        </is>
      </c>
      <c r="T1095" s="18" t="inlineStr">
        <is>
          <t>uncommon</t>
        </is>
      </c>
      <c r="U1095" s="20" t="n">
        <v>1</v>
      </c>
      <c r="V1095" s="21" t="n">
        <v>1</v>
      </c>
      <c r="W1095" s="20">
        <f>IF(OR(U1095="",V1095=""),U1095,U1095*V1095)</f>
        <v/>
      </c>
      <c r="X1095" s="18" t="inlineStr">
        <is>
          <t>10-32</t>
        </is>
      </c>
      <c r="Y1095" s="19" t="inlineStr"/>
      <c r="Z1095" s="18">
        <f>IF(Y1095="",X1095,Y1095)</f>
        <v/>
      </c>
      <c r="AA1095" s="18" t="inlineStr">
        <is>
          <t>grounded</t>
        </is>
      </c>
      <c r="AB1095" s="18" t="inlineStr">
        <is>
          <t>day</t>
        </is>
      </c>
      <c r="AC1095" s="18" t="inlineStr">
        <is>
          <t>비=False</t>
        </is>
      </c>
      <c r="AD1095" s="18" t="inlineStr"/>
      <c r="AE1095" s="18" t="inlineStr">
        <is>
          <t>sky 8-15</t>
        </is>
      </c>
      <c r="AF1095" s="18" t="inlineStr"/>
      <c r="AG1095" s="18" t="inlineStr"/>
      <c r="AH1095" s="18" t="inlineStr"/>
      <c r="AI1095" s="18" t="inlineStr"/>
      <c r="AJ1095" s="18" t="inlineStr">
        <is>
          <t>COBBLEVERSE 추가</t>
        </is>
      </c>
      <c r="AK1095" s="18" t="inlineStr">
        <is>
          <t>사용</t>
        </is>
      </c>
      <c r="AL1095" s="18" t="inlineStr">
        <is>
          <t>COBBLEVERSE 1.7.42 / DP v31</t>
        </is>
      </c>
      <c r="AM1095" s="18" t="inlineStr">
        <is>
          <t>data/cobblemon/spawn_pool_world/0267_beautifly.json</t>
        </is>
      </c>
      <c r="AN1095" s="18" t="inlineStr">
        <is>
          <t>beautifly-1</t>
        </is>
      </c>
      <c r="AO1095" s="18" t="inlineStr">
        <is>
          <t>pokemon</t>
        </is>
      </c>
      <c r="AP1095" s="18" t="inlineStr">
        <is>
          <t>natural</t>
        </is>
      </c>
      <c r="AQ1095" s="18" t="inlineStr">
        <is>
          <t>{"biomes":["#cobblemon:is_forest","#cobblemon:is_jungle"],"isRaining":false,"maxSkyLight":15,"minSkyLight":8,"timeRange":"day"}</t>
        </is>
      </c>
      <c r="AR1095" s="18" t="inlineStr">
        <is>
          <t>{"biomes":["#cobblemon:is_freezing","#cobblemon:is_spooky"]}</t>
        </is>
      </c>
      <c r="AS1095" s="18" t="inlineStr"/>
      <c r="AT1095" s="19" t="inlineStr"/>
    </row>
    <row r="1096" ht="32" customHeight="1">
      <c r="A1096" s="18" t="inlineStr">
        <is>
          <t>0267_beautifly.json::beautifly-2::002</t>
        </is>
      </c>
      <c r="B1096" s="19" t="inlineStr">
        <is>
          <t>사용</t>
        </is>
      </c>
      <c r="C1096" s="18">
        <f>IF(OR(B1096&lt;&gt;AK1096,M1096&lt;&gt;L1096,O1096&lt;&gt;"",Q1096&lt;&gt;"",V1096&lt;&gt;1,Y1096&lt;&gt;"",AT1096&lt;&gt;""),"수정","원본")</f>
        <v/>
      </c>
      <c r="D1096" s="18" t="n">
        <v>267</v>
      </c>
      <c r="E1096" s="18" t="inlineStr">
        <is>
          <t>뷰티플라이</t>
        </is>
      </c>
      <c r="F1096" s="18" t="inlineStr">
        <is>
          <t>beautifly</t>
        </is>
      </c>
      <c r="G1096" s="18" t="inlineStr">
        <is>
          <t>beautifly</t>
        </is>
      </c>
      <c r="H1096" s="18" t="inlineStr"/>
      <c r="I1096" s="18" t="n">
        <v>3</v>
      </c>
      <c r="J1096" s="18" t="n"/>
      <c r="K1096" s="18" t="n">
        <v>3</v>
      </c>
      <c r="L1096" s="18" t="inlineStr">
        <is>
          <t>cobbleventure:generation_3</t>
        </is>
      </c>
      <c r="M1096" s="19" t="inlineStr">
        <is>
          <t>cobbleventure:generation_3</t>
        </is>
      </c>
      <c r="N1096" s="18" t="inlineStr"/>
      <c r="O1096" s="19" t="inlineStr"/>
      <c r="P1096" s="18" t="inlineStr">
        <is>
          <t>#cobblemon:is_floral</t>
        </is>
      </c>
      <c r="Q1096" s="19" t="inlineStr"/>
      <c r="R1096" s="18">
        <f>IF(Q1096="",P1096,Q1096)</f>
        <v/>
      </c>
      <c r="S1096" s="18" t="inlineStr"/>
      <c r="T1096" s="18" t="inlineStr">
        <is>
          <t>uncommon</t>
        </is>
      </c>
      <c r="U1096" s="20" t="n">
        <v>5</v>
      </c>
      <c r="V1096" s="21" t="n">
        <v>1</v>
      </c>
      <c r="W1096" s="20">
        <f>IF(OR(U1096="",V1096=""),U1096,U1096*V1096)</f>
        <v/>
      </c>
      <c r="X1096" s="18" t="inlineStr">
        <is>
          <t>10-40</t>
        </is>
      </c>
      <c r="Y1096" s="19" t="inlineStr"/>
      <c r="Z1096" s="18">
        <f>IF(Y1096="",X1096,Y1096)</f>
        <v/>
      </c>
      <c r="AA1096" s="18" t="inlineStr"/>
      <c r="AB1096" s="18" t="inlineStr">
        <is>
          <t>day</t>
        </is>
      </c>
      <c r="AC1096" s="18" t="inlineStr">
        <is>
          <t>비=False</t>
        </is>
      </c>
      <c r="AD1096" s="18" t="inlineStr"/>
      <c r="AE1096" s="18" t="inlineStr">
        <is>
          <t>sky 8-15</t>
        </is>
      </c>
      <c r="AF1096" s="18" t="inlineStr"/>
      <c r="AG1096" s="18" t="inlineStr"/>
      <c r="AH1096" s="18" t="inlineStr"/>
      <c r="AI1096" s="18" t="inlineStr">
        <is>
          <t>{"spawn":{"context":"grounded"}}</t>
        </is>
      </c>
      <c r="AJ1096" s="18" t="inlineStr">
        <is>
          <t>COBBLEVERSE 추가</t>
        </is>
      </c>
      <c r="AK1096" s="18" t="inlineStr">
        <is>
          <t>사용</t>
        </is>
      </c>
      <c r="AL1096" s="18" t="inlineStr">
        <is>
          <t>COBBLEVERSE 1.7.42 / DP v31</t>
        </is>
      </c>
      <c r="AM1096" s="18" t="inlineStr">
        <is>
          <t>data/cobblemon/spawn_pool_world/0267_beautifly.json</t>
        </is>
      </c>
      <c r="AN1096" s="18" t="inlineStr">
        <is>
          <t>beautifly-2</t>
        </is>
      </c>
      <c r="AO1096" s="18" t="inlineStr">
        <is>
          <t>pokemon</t>
        </is>
      </c>
      <c r="AP1096" s="18" t="inlineStr">
        <is>
          <t>natural</t>
        </is>
      </c>
      <c r="AQ1096" s="18" t="inlineStr">
        <is>
          <t>{"biomes":["#cobblemon:is_floral"],"isRaining":false,"maxSkyLight":15,"minSkyLight":8,"timeRange":"day"}</t>
        </is>
      </c>
      <c r="AR1096" s="18" t="inlineStr"/>
      <c r="AS1096" s="18" t="inlineStr"/>
      <c r="AT1096" s="19" t="inlineStr"/>
    </row>
    <row r="1097" ht="32" customHeight="1">
      <c r="A1097" s="18" t="inlineStr">
        <is>
          <t>0268_cascoon.json::cascoon-1::001</t>
        </is>
      </c>
      <c r="B1097" s="19" t="inlineStr">
        <is>
          <t>사용</t>
        </is>
      </c>
      <c r="C1097" s="18">
        <f>IF(OR(B1097&lt;&gt;AK1097,M1097&lt;&gt;L1097,O1097&lt;&gt;"",Q1097&lt;&gt;"",V1097&lt;&gt;1,Y1097&lt;&gt;"",AT1097&lt;&gt;""),"수정","원본")</f>
        <v/>
      </c>
      <c r="D1097" s="18" t="n">
        <v>268</v>
      </c>
      <c r="E1097" s="18" t="inlineStr">
        <is>
          <t>카스쿤</t>
        </is>
      </c>
      <c r="F1097" s="18" t="inlineStr">
        <is>
          <t>cascoon</t>
        </is>
      </c>
      <c r="G1097" s="18" t="inlineStr">
        <is>
          <t>cascoon</t>
        </is>
      </c>
      <c r="H1097" s="18" t="inlineStr"/>
      <c r="I1097" s="18" t="n">
        <v>3</v>
      </c>
      <c r="J1097" s="18" t="n"/>
      <c r="K1097" s="18" t="n">
        <v>3</v>
      </c>
      <c r="L1097" s="18" t="inlineStr">
        <is>
          <t>cobbleventure:generation_3</t>
        </is>
      </c>
      <c r="M1097" s="19" t="inlineStr">
        <is>
          <t>cobbleventure:generation_3</t>
        </is>
      </c>
      <c r="N1097" s="18" t="inlineStr">
        <is>
          <t>region_01</t>
        </is>
      </c>
      <c r="O1097" s="19" t="inlineStr"/>
      <c r="P1097" s="18" t="inlineStr">
        <is>
          <t>#cobblemon:is_forest; #cobblemon:is_jungle</t>
        </is>
      </c>
      <c r="Q1097" s="19" t="inlineStr"/>
      <c r="R1097" s="18">
        <f>IF(Q1097="",P1097,Q1097)</f>
        <v/>
      </c>
      <c r="S1097" s="18" t="inlineStr">
        <is>
          <t>#cobblemon:is_freezing; #cobblemon:is_spooky</t>
        </is>
      </c>
      <c r="T1097" s="18" t="inlineStr">
        <is>
          <t>uncommon</t>
        </is>
      </c>
      <c r="U1097" s="20" t="n">
        <v>2</v>
      </c>
      <c r="V1097" s="21" t="n">
        <v>1</v>
      </c>
      <c r="W1097" s="20">
        <f>IF(OR(U1097="",V1097=""),U1097,U1097*V1097)</f>
        <v/>
      </c>
      <c r="X1097" s="18" t="inlineStr">
        <is>
          <t>7-9</t>
        </is>
      </c>
      <c r="Y1097" s="19" t="inlineStr"/>
      <c r="Z1097" s="18">
        <f>IF(Y1097="",X1097,Y1097)</f>
        <v/>
      </c>
      <c r="AA1097" s="18" t="inlineStr"/>
      <c r="AB1097" s="18" t="inlineStr"/>
      <c r="AC1097" s="18" t="inlineStr"/>
      <c r="AD1097" s="18" t="inlineStr"/>
      <c r="AE1097" s="18" t="inlineStr">
        <is>
          <t>sky 8-15</t>
        </is>
      </c>
      <c r="AF1097" s="18" t="inlineStr"/>
      <c r="AG1097" s="18" t="inlineStr"/>
      <c r="AH1097" s="18" t="inlineStr"/>
      <c r="AI1097" s="18" t="inlineStr">
        <is>
          <t>{"spawn":{"context":"grounded"}}</t>
        </is>
      </c>
      <c r="AJ1097" s="18" t="inlineStr">
        <is>
          <t>COBBLEVERSE 추가</t>
        </is>
      </c>
      <c r="AK1097" s="18" t="inlineStr">
        <is>
          <t>사용</t>
        </is>
      </c>
      <c r="AL1097" s="18" t="inlineStr">
        <is>
          <t>COBBLEVERSE 1.7.42 / DP v31</t>
        </is>
      </c>
      <c r="AM1097" s="18" t="inlineStr">
        <is>
          <t>data/cobblemon/spawn_pool_world/0268_cascoon.json</t>
        </is>
      </c>
      <c r="AN1097" s="18" t="inlineStr">
        <is>
          <t>cascoon-1</t>
        </is>
      </c>
      <c r="AO1097" s="18" t="inlineStr">
        <is>
          <t>pokemon</t>
        </is>
      </c>
      <c r="AP1097" s="18" t="inlineStr">
        <is>
          <t>natural; foliage; treetop</t>
        </is>
      </c>
      <c r="AQ1097" s="18" t="inlineStr">
        <is>
          <t>{"biomes":["#cobblemon:is_forest","#cobblemon:is_jungle"],"maxSkyLight":15,"minSkyLight":8}</t>
        </is>
      </c>
      <c r="AR1097" s="18" t="inlineStr">
        <is>
          <t>{"biomes":["#cobblemon:is_freezing","#cobblemon:is_spooky"]}</t>
        </is>
      </c>
      <c r="AS1097" s="18" t="inlineStr"/>
      <c r="AT1097" s="19" t="inlineStr"/>
    </row>
    <row r="1098" ht="32" customHeight="1">
      <c r="A1098" s="18" t="inlineStr">
        <is>
          <t>0269_dustox.json::dustox-1::001</t>
        </is>
      </c>
      <c r="B1098" s="19" t="inlineStr">
        <is>
          <t>사용</t>
        </is>
      </c>
      <c r="C1098" s="18">
        <f>IF(OR(B1098&lt;&gt;AK1098,M1098&lt;&gt;L1098,O1098&lt;&gt;"",Q1098&lt;&gt;"",V1098&lt;&gt;1,Y1098&lt;&gt;"",AT1098&lt;&gt;""),"수정","원본")</f>
        <v/>
      </c>
      <c r="D1098" s="18" t="n">
        <v>269</v>
      </c>
      <c r="E1098" s="18" t="inlineStr">
        <is>
          <t>독케일</t>
        </is>
      </c>
      <c r="F1098" s="18" t="inlineStr">
        <is>
          <t>dustox</t>
        </is>
      </c>
      <c r="G1098" s="18" t="inlineStr">
        <is>
          <t>dustox</t>
        </is>
      </c>
      <c r="H1098" s="18" t="inlineStr"/>
      <c r="I1098" s="18" t="n">
        <v>3</v>
      </c>
      <c r="J1098" s="18" t="n"/>
      <c r="K1098" s="18" t="n">
        <v>3</v>
      </c>
      <c r="L1098" s="18" t="inlineStr">
        <is>
          <t>cobbleventure:generation_3</t>
        </is>
      </c>
      <c r="M1098" s="19" t="inlineStr">
        <is>
          <t>cobbleventure:generation_3</t>
        </is>
      </c>
      <c r="N1098" s="18" t="inlineStr">
        <is>
          <t>region_01</t>
        </is>
      </c>
      <c r="O1098" s="19" t="inlineStr"/>
      <c r="P1098" s="18" t="inlineStr">
        <is>
          <t>#cobblemon:is_forest; #cobblemon:is_jungle</t>
        </is>
      </c>
      <c r="Q1098" s="19" t="inlineStr"/>
      <c r="R1098" s="18">
        <f>IF(Q1098="",P1098,Q1098)</f>
        <v/>
      </c>
      <c r="S1098" s="18" t="inlineStr">
        <is>
          <t>#cobblemon:is_floral; #cobblemon:is_freezing; #cobblemon:is_swamp</t>
        </is>
      </c>
      <c r="T1098" s="18" t="inlineStr">
        <is>
          <t>uncommon</t>
        </is>
      </c>
      <c r="U1098" s="20" t="n">
        <v>1</v>
      </c>
      <c r="V1098" s="21" t="n">
        <v>1</v>
      </c>
      <c r="W1098" s="20">
        <f>IF(OR(U1098="",V1098=""),U1098,U1098*V1098)</f>
        <v/>
      </c>
      <c r="X1098" s="18" t="inlineStr">
        <is>
          <t>10-32</t>
        </is>
      </c>
      <c r="Y1098" s="19" t="inlineStr"/>
      <c r="Z1098" s="18">
        <f>IF(Y1098="",X1098,Y1098)</f>
        <v/>
      </c>
      <c r="AA1098" s="18" t="inlineStr">
        <is>
          <t>grounded</t>
        </is>
      </c>
      <c r="AB1098" s="18" t="inlineStr"/>
      <c r="AC1098" s="18" t="inlineStr"/>
      <c r="AD1098" s="18" t="inlineStr"/>
      <c r="AE1098" s="18" t="inlineStr">
        <is>
          <t>sky 8-15</t>
        </is>
      </c>
      <c r="AF1098" s="18" t="inlineStr"/>
      <c r="AG1098" s="18" t="inlineStr"/>
      <c r="AH1098" s="18" t="inlineStr"/>
      <c r="AI1098" s="18" t="inlineStr"/>
      <c r="AJ1098" s="18" t="inlineStr">
        <is>
          <t>COBBLEVERSE 추가</t>
        </is>
      </c>
      <c r="AK1098" s="18" t="inlineStr">
        <is>
          <t>사용</t>
        </is>
      </c>
      <c r="AL1098" s="18" t="inlineStr">
        <is>
          <t>COBBLEVERSE 1.7.42 / DP v31</t>
        </is>
      </c>
      <c r="AM1098" s="18" t="inlineStr">
        <is>
          <t>data/cobblemon/spawn_pool_world/0269_dustox.json</t>
        </is>
      </c>
      <c r="AN1098" s="18" t="inlineStr">
        <is>
          <t>dustox-1</t>
        </is>
      </c>
      <c r="AO1098" s="18" t="inlineStr">
        <is>
          <t>pokemon</t>
        </is>
      </c>
      <c r="AP1098" s="18" t="inlineStr">
        <is>
          <t>natural</t>
        </is>
      </c>
      <c r="AQ1098" s="18" t="inlineStr">
        <is>
          <t>{"biomes":["#cobblemon:is_forest","#cobblemon:is_jungle"],"maxSkyLight":15,"minSkyLight":8}</t>
        </is>
      </c>
      <c r="AR1098" s="18" t="inlineStr">
        <is>
          <t>{"biomes":["#cobblemon:is_floral","#cobblemon:is_freezing","#cobblemon:is_swamp"]}</t>
        </is>
      </c>
      <c r="AS1098" s="18" t="inlineStr"/>
      <c r="AT1098" s="19" t="inlineStr"/>
    </row>
    <row r="1099" ht="32" customHeight="1">
      <c r="A1099" s="18" t="inlineStr">
        <is>
          <t>0269_dustox.json::dustox-2::002</t>
        </is>
      </c>
      <c r="B1099" s="19" t="inlineStr">
        <is>
          <t>사용</t>
        </is>
      </c>
      <c r="C1099" s="18">
        <f>IF(OR(B1099&lt;&gt;AK1099,M1099&lt;&gt;L1099,O1099&lt;&gt;"",Q1099&lt;&gt;"",V1099&lt;&gt;1,Y1099&lt;&gt;"",AT1099&lt;&gt;""),"수정","원본")</f>
        <v/>
      </c>
      <c r="D1099" s="18" t="n">
        <v>269</v>
      </c>
      <c r="E1099" s="18" t="inlineStr">
        <is>
          <t>독케일</t>
        </is>
      </c>
      <c r="F1099" s="18" t="inlineStr">
        <is>
          <t>dustox</t>
        </is>
      </c>
      <c r="G1099" s="18" t="inlineStr">
        <is>
          <t>dustox</t>
        </is>
      </c>
      <c r="H1099" s="18" t="inlineStr"/>
      <c r="I1099" s="18" t="n">
        <v>3</v>
      </c>
      <c r="J1099" s="18" t="n"/>
      <c r="K1099" s="18" t="n">
        <v>3</v>
      </c>
      <c r="L1099" s="18" t="inlineStr">
        <is>
          <t>cobbleventure:generation_3</t>
        </is>
      </c>
      <c r="M1099" s="19" t="inlineStr">
        <is>
          <t>cobbleventure:generation_3</t>
        </is>
      </c>
      <c r="N1099" s="18" t="inlineStr">
        <is>
          <t>region_01</t>
        </is>
      </c>
      <c r="O1099" s="19" t="inlineStr"/>
      <c r="P1099" s="18" t="inlineStr">
        <is>
          <t>#cobblemon:is_forest</t>
        </is>
      </c>
      <c r="Q1099" s="19" t="inlineStr"/>
      <c r="R1099" s="18">
        <f>IF(Q1099="",P1099,Q1099)</f>
        <v/>
      </c>
      <c r="S1099" s="18" t="inlineStr"/>
      <c r="T1099" s="18" t="inlineStr">
        <is>
          <t>uncommon</t>
        </is>
      </c>
      <c r="U1099" s="20" t="n">
        <v>5</v>
      </c>
      <c r="V1099" s="21" t="n">
        <v>1</v>
      </c>
      <c r="W1099" s="20">
        <f>IF(OR(U1099="",V1099=""),U1099,U1099*V1099)</f>
        <v/>
      </c>
      <c r="X1099" s="18" t="inlineStr">
        <is>
          <t>10-40</t>
        </is>
      </c>
      <c r="Y1099" s="19" t="inlineStr"/>
      <c r="Z1099" s="18">
        <f>IF(Y1099="",X1099,Y1099)</f>
        <v/>
      </c>
      <c r="AA1099" s="18" t="inlineStr">
        <is>
          <t>grounded</t>
        </is>
      </c>
      <c r="AB1099" s="18" t="inlineStr"/>
      <c r="AC1099" s="18" t="inlineStr"/>
      <c r="AD1099" s="18" t="inlineStr"/>
      <c r="AE1099" s="18" t="inlineStr">
        <is>
          <t>sky 8-15</t>
        </is>
      </c>
      <c r="AF1099" s="18" t="inlineStr"/>
      <c r="AG1099" s="18" t="inlineStr"/>
      <c r="AH1099" s="18" t="inlineStr"/>
      <c r="AI1099" s="18" t="inlineStr"/>
      <c r="AJ1099" s="18" t="inlineStr">
        <is>
          <t>COBBLEVERSE 추가</t>
        </is>
      </c>
      <c r="AK1099" s="18" t="inlineStr">
        <is>
          <t>사용</t>
        </is>
      </c>
      <c r="AL1099" s="18" t="inlineStr">
        <is>
          <t>COBBLEVERSE 1.7.42 / DP v31</t>
        </is>
      </c>
      <c r="AM1099" s="18" t="inlineStr">
        <is>
          <t>data/cobblemon/spawn_pool_world/0269_dustox.json</t>
        </is>
      </c>
      <c r="AN1099" s="18" t="inlineStr">
        <is>
          <t>dustox-2</t>
        </is>
      </c>
      <c r="AO1099" s="18" t="inlineStr">
        <is>
          <t>pokemon</t>
        </is>
      </c>
      <c r="AP1099" s="18" t="inlineStr">
        <is>
          <t>natural</t>
        </is>
      </c>
      <c r="AQ1099" s="18" t="inlineStr">
        <is>
          <t>{"biomes":["#cobblemon:is_forest"],"maxSkyLight":15,"minSkyLight":8}</t>
        </is>
      </c>
      <c r="AR1099" s="18" t="inlineStr"/>
      <c r="AS1099" s="18" t="inlineStr"/>
      <c r="AT1099" s="19" t="inlineStr"/>
    </row>
    <row r="1100" ht="32" customHeight="1">
      <c r="A1100" s="18" t="inlineStr">
        <is>
          <t>0270_lotad.json::lotad-1::001</t>
        </is>
      </c>
      <c r="B1100" s="19" t="inlineStr">
        <is>
          <t>사용</t>
        </is>
      </c>
      <c r="C1100" s="18">
        <f>IF(OR(B1100&lt;&gt;AK1100,M1100&lt;&gt;L1100,O1100&lt;&gt;"",Q1100&lt;&gt;"",V1100&lt;&gt;1,Y1100&lt;&gt;"",AT1100&lt;&gt;""),"수정","원본")</f>
        <v/>
      </c>
      <c r="D1100" s="18" t="n">
        <v>270</v>
      </c>
      <c r="E1100" s="18" t="inlineStr">
        <is>
          <t>연꽃몬</t>
        </is>
      </c>
      <c r="F1100" s="18" t="inlineStr">
        <is>
          <t>lotad</t>
        </is>
      </c>
      <c r="G1100" s="18" t="inlineStr">
        <is>
          <t>lotad</t>
        </is>
      </c>
      <c r="H1100" s="18" t="inlineStr"/>
      <c r="I1100" s="18" t="n">
        <v>3</v>
      </c>
      <c r="J1100" s="18" t="n"/>
      <c r="K1100" s="18" t="n">
        <v>3</v>
      </c>
      <c r="L1100" s="18" t="inlineStr">
        <is>
          <t>cobbleventure:generation_3</t>
        </is>
      </c>
      <c r="M1100" s="19" t="inlineStr">
        <is>
          <t>cobbleventure:generation_3</t>
        </is>
      </c>
      <c r="N1100" s="18" t="inlineStr">
        <is>
          <t>region_02</t>
        </is>
      </c>
      <c r="O1100" s="19" t="inlineStr"/>
      <c r="P1100" s="18" t="inlineStr">
        <is>
          <t>#cobblemon:is_swamp</t>
        </is>
      </c>
      <c r="Q1100" s="19" t="inlineStr"/>
      <c r="R1100" s="18">
        <f>IF(Q1100="",P1100,Q1100)</f>
        <v/>
      </c>
      <c r="S1100" s="18" t="inlineStr"/>
      <c r="T1100" s="18" t="inlineStr">
        <is>
          <t>common</t>
        </is>
      </c>
      <c r="U1100" s="20" t="n">
        <v>1.8</v>
      </c>
      <c r="V1100" s="21" t="n">
        <v>1</v>
      </c>
      <c r="W1100" s="20">
        <f>IF(OR(U1100="",V1100=""),U1100,U1100*V1100)</f>
        <v/>
      </c>
      <c r="X1100" s="18" t="inlineStr">
        <is>
          <t>1-22</t>
        </is>
      </c>
      <c r="Y1100" s="19" t="inlineStr"/>
      <c r="Z1100" s="18">
        <f>IF(Y1100="",X1100,Y1100)</f>
        <v/>
      </c>
      <c r="AA1100" s="18" t="inlineStr">
        <is>
          <t>grounded</t>
        </is>
      </c>
      <c r="AB1100" s="18" t="inlineStr"/>
      <c r="AC1100" s="18" t="inlineStr">
        <is>
          <t>비=True</t>
        </is>
      </c>
      <c r="AD1100" s="18" t="inlineStr"/>
      <c r="AE1100" s="18" t="inlineStr">
        <is>
          <t>sky 8-15</t>
        </is>
      </c>
      <c r="AF1100" s="18" t="inlineStr"/>
      <c r="AG1100" s="18" t="inlineStr"/>
      <c r="AH1100" s="18" t="inlineStr"/>
      <c r="AI1100" s="18" t="inlineStr"/>
      <c r="AJ1100" s="18" t="inlineStr">
        <is>
          <t>Cobblemon 동일</t>
        </is>
      </c>
      <c r="AK1100" s="18" t="inlineStr">
        <is>
          <t>사용</t>
        </is>
      </c>
      <c r="AL1100" s="18" t="inlineStr">
        <is>
          <t>COBBLEVERSE 1.7.42 / DP v31</t>
        </is>
      </c>
      <c r="AM1100" s="18" t="inlineStr">
        <is>
          <t>data/cobblemon/spawn_pool_world/0270_lotad.json</t>
        </is>
      </c>
      <c r="AN1100" s="18" t="inlineStr">
        <is>
          <t>lotad-1</t>
        </is>
      </c>
      <c r="AO1100" s="18" t="inlineStr">
        <is>
          <t>pokemon</t>
        </is>
      </c>
      <c r="AP1100" s="18" t="inlineStr">
        <is>
          <t>natural</t>
        </is>
      </c>
      <c r="AQ1100" s="18" t="inlineStr">
        <is>
          <t>{"biomes":["#cobblemon:is_swamp"],"isRaining":true,"maxSkyLight":15,"minSkyLight":8}</t>
        </is>
      </c>
      <c r="AR1100" s="18" t="inlineStr"/>
      <c r="AS1100" s="18" t="inlineStr">
        <is>
          <t>{"weightMultiplier":{"condition":{"timeRange":"night"},"multiplier":1.5}}</t>
        </is>
      </c>
      <c r="AT1100" s="19" t="inlineStr"/>
    </row>
    <row r="1101" ht="32" customHeight="1">
      <c r="A1101" s="18" t="inlineStr">
        <is>
          <t>0270_lotad.json::lotad-2::002</t>
        </is>
      </c>
      <c r="B1101" s="19" t="inlineStr">
        <is>
          <t>사용</t>
        </is>
      </c>
      <c r="C1101" s="18">
        <f>IF(OR(B1101&lt;&gt;AK1101,M1101&lt;&gt;L1101,O1101&lt;&gt;"",Q1101&lt;&gt;"",V1101&lt;&gt;1,Y1101&lt;&gt;"",AT1101&lt;&gt;""),"수정","원본")</f>
        <v/>
      </c>
      <c r="D1101" s="18" t="n">
        <v>270</v>
      </c>
      <c r="E1101" s="18" t="inlineStr">
        <is>
          <t>연꽃몬</t>
        </is>
      </c>
      <c r="F1101" s="18" t="inlineStr">
        <is>
          <t>lotad</t>
        </is>
      </c>
      <c r="G1101" s="18" t="inlineStr">
        <is>
          <t>lotad</t>
        </is>
      </c>
      <c r="H1101" s="18" t="inlineStr"/>
      <c r="I1101" s="18" t="n">
        <v>3</v>
      </c>
      <c r="J1101" s="18" t="n"/>
      <c r="K1101" s="18" t="n">
        <v>3</v>
      </c>
      <c r="L1101" s="18" t="inlineStr">
        <is>
          <t>cobbleventure:generation_3</t>
        </is>
      </c>
      <c r="M1101" s="19" t="inlineStr">
        <is>
          <t>cobbleventure:generation_3</t>
        </is>
      </c>
      <c r="N1101" s="18" t="inlineStr">
        <is>
          <t>region_02</t>
        </is>
      </c>
      <c r="O1101" s="19" t="inlineStr"/>
      <c r="P1101" s="18" t="inlineStr">
        <is>
          <t>#cobblemon:is_swamp</t>
        </is>
      </c>
      <c r="Q1101" s="19" t="inlineStr"/>
      <c r="R1101" s="18">
        <f>IF(Q1101="",P1101,Q1101)</f>
        <v/>
      </c>
      <c r="S1101" s="18" t="inlineStr"/>
      <c r="T1101" s="18" t="inlineStr">
        <is>
          <t>common</t>
        </is>
      </c>
      <c r="U1101" s="20" t="n">
        <v>5.4</v>
      </c>
      <c r="V1101" s="21" t="n">
        <v>1</v>
      </c>
      <c r="W1101" s="20">
        <f>IF(OR(U1101="",V1101=""),U1101,U1101*V1101)</f>
        <v/>
      </c>
      <c r="X1101" s="18" t="inlineStr">
        <is>
          <t>1-22</t>
        </is>
      </c>
      <c r="Y1101" s="19" t="inlineStr"/>
      <c r="Z1101" s="18">
        <f>IF(Y1101="",X1101,Y1101)</f>
        <v/>
      </c>
      <c r="AA1101" s="18" t="inlineStr">
        <is>
          <t>surface</t>
        </is>
      </c>
      <c r="AB1101" s="18" t="inlineStr"/>
      <c r="AC1101" s="18" t="inlineStr"/>
      <c r="AD1101" s="18" t="inlineStr"/>
      <c r="AE1101" s="18" t="inlineStr">
        <is>
          <t>sky 8-15</t>
        </is>
      </c>
      <c r="AF1101" s="18" t="inlineStr"/>
      <c r="AG1101" s="18" t="inlineStr"/>
      <c r="AH1101" s="18" t="inlineStr"/>
      <c r="AI1101" s="18" t="inlineStr"/>
      <c r="AJ1101" s="18" t="inlineStr">
        <is>
          <t>Cobblemon 동일</t>
        </is>
      </c>
      <c r="AK1101" s="18" t="inlineStr">
        <is>
          <t>사용</t>
        </is>
      </c>
      <c r="AL1101" s="18" t="inlineStr">
        <is>
          <t>COBBLEVERSE 1.7.42 / DP v31</t>
        </is>
      </c>
      <c r="AM1101" s="18" t="inlineStr">
        <is>
          <t>data/cobblemon/spawn_pool_world/0270_lotad.json</t>
        </is>
      </c>
      <c r="AN1101" s="18" t="inlineStr">
        <is>
          <t>lotad-2</t>
        </is>
      </c>
      <c r="AO1101" s="18" t="inlineStr">
        <is>
          <t>pokemon</t>
        </is>
      </c>
      <c r="AP1101" s="18" t="inlineStr">
        <is>
          <t>water</t>
        </is>
      </c>
      <c r="AQ1101" s="18" t="inlineStr">
        <is>
          <t>{"biomes":["#cobblemon:is_swamp"],"maxSkyLight":15,"minSkyLight":8}</t>
        </is>
      </c>
      <c r="AR1101" s="18" t="inlineStr"/>
      <c r="AS1101" s="18" t="inlineStr"/>
      <c r="AT1101" s="19" t="inlineStr"/>
    </row>
    <row r="1102" ht="32" customHeight="1">
      <c r="A1102" s="18" t="inlineStr">
        <is>
          <t>0270_lotad.json::lotad-3::003</t>
        </is>
      </c>
      <c r="B1102" s="19" t="inlineStr">
        <is>
          <t>사용</t>
        </is>
      </c>
      <c r="C1102" s="18">
        <f>IF(OR(B1102&lt;&gt;AK1102,M1102&lt;&gt;L1102,O1102&lt;&gt;"",Q1102&lt;&gt;"",V1102&lt;&gt;1,Y1102&lt;&gt;"",AT1102&lt;&gt;""),"수정","원본")</f>
        <v/>
      </c>
      <c r="D1102" s="18" t="n">
        <v>270</v>
      </c>
      <c r="E1102" s="18" t="inlineStr">
        <is>
          <t>연꽃몬</t>
        </is>
      </c>
      <c r="F1102" s="18" t="inlineStr">
        <is>
          <t>lotad</t>
        </is>
      </c>
      <c r="G1102" s="18" t="inlineStr">
        <is>
          <t>lotad</t>
        </is>
      </c>
      <c r="H1102" s="18" t="inlineStr"/>
      <c r="I1102" s="18" t="n">
        <v>3</v>
      </c>
      <c r="J1102" s="18" t="n"/>
      <c r="K1102" s="18" t="n">
        <v>3</v>
      </c>
      <c r="L1102" s="18" t="inlineStr">
        <is>
          <t>cobbleventure:generation_3</t>
        </is>
      </c>
      <c r="M1102" s="19" t="inlineStr">
        <is>
          <t>cobbleventure:generation_3</t>
        </is>
      </c>
      <c r="N1102" s="18" t="inlineStr">
        <is>
          <t>region_01; region_02</t>
        </is>
      </c>
      <c r="O1102" s="19" t="inlineStr"/>
      <c r="P1102" s="18" t="inlineStr">
        <is>
          <t>#cobblemon:is_forest; #cobblemon:is_jungle; #cobblemon:is_swamp</t>
        </is>
      </c>
      <c r="Q1102" s="19" t="inlineStr"/>
      <c r="R1102" s="18">
        <f>IF(Q1102="",P1102,Q1102)</f>
        <v/>
      </c>
      <c r="S1102" s="18" t="inlineStr"/>
      <c r="T1102" s="18" t="inlineStr">
        <is>
          <t>common</t>
        </is>
      </c>
      <c r="U1102" s="20" t="n">
        <v>9</v>
      </c>
      <c r="V1102" s="21" t="n">
        <v>1</v>
      </c>
      <c r="W1102" s="20">
        <f>IF(OR(U1102="",V1102=""),U1102,U1102*V1102)</f>
        <v/>
      </c>
      <c r="X1102" s="18" t="inlineStr">
        <is>
          <t>1-22</t>
        </is>
      </c>
      <c r="Y1102" s="19" t="inlineStr"/>
      <c r="Z1102" s="18">
        <f>IF(Y1102="",X1102,Y1102)</f>
        <v/>
      </c>
      <c r="AA1102" s="18" t="inlineStr">
        <is>
          <t>fishing</t>
        </is>
      </c>
      <c r="AB1102" s="18" t="inlineStr"/>
      <c r="AC1102" s="18" t="inlineStr">
        <is>
          <t>비=True</t>
        </is>
      </c>
      <c r="AD1102" s="18" t="inlineStr"/>
      <c r="AE1102" s="18" t="inlineStr"/>
      <c r="AF1102" s="18" t="inlineStr">
        <is>
          <t>True</t>
        </is>
      </c>
      <c r="AG1102" s="18" t="inlineStr"/>
      <c r="AH1102" s="18" t="inlineStr"/>
      <c r="AI1102" s="18" t="inlineStr"/>
      <c r="AJ1102" s="18" t="inlineStr">
        <is>
          <t>Cobblemon 동일</t>
        </is>
      </c>
      <c r="AK1102" s="18" t="inlineStr">
        <is>
          <t>사용</t>
        </is>
      </c>
      <c r="AL1102" s="18" t="inlineStr">
        <is>
          <t>COBBLEVERSE 1.7.42 / DP v31</t>
        </is>
      </c>
      <c r="AM1102" s="18" t="inlineStr">
        <is>
          <t>data/cobblemon/spawn_pool_world/0270_lotad.json</t>
        </is>
      </c>
      <c r="AN1102" s="18" t="inlineStr">
        <is>
          <t>lotad-3</t>
        </is>
      </c>
      <c r="AO1102" s="18" t="inlineStr">
        <is>
          <t>pokemon</t>
        </is>
      </c>
      <c r="AP1102" s="18" t="inlineStr"/>
      <c r="AQ1102" s="18" t="inlineStr">
        <is>
          <t>{"biomes":["#cobblemon:is_forest","#cobblemon:is_jungle","#cobblemon:is_swamp"],"canSeeSky":true,"isRaining":true}</t>
        </is>
      </c>
      <c r="AR1102" s="18" t="inlineStr"/>
      <c r="AS1102" s="18" t="inlineStr">
        <is>
          <t>{"weightMultiplier":{"condition":{"maxLureLevel":1,"minLureLevel":0},"multiplier":0.6}}</t>
        </is>
      </c>
      <c r="AT1102" s="19" t="inlineStr"/>
    </row>
    <row r="1103" ht="32" customHeight="1">
      <c r="A1103" s="18" t="inlineStr">
        <is>
          <t>0270_lotad.json::lotad-4::004</t>
        </is>
      </c>
      <c r="B1103" s="19" t="inlineStr">
        <is>
          <t>사용</t>
        </is>
      </c>
      <c r="C1103" s="18">
        <f>IF(OR(B1103&lt;&gt;AK1103,M1103&lt;&gt;L1103,O1103&lt;&gt;"",Q1103&lt;&gt;"",V1103&lt;&gt;1,Y1103&lt;&gt;"",AT1103&lt;&gt;""),"수정","원본")</f>
        <v/>
      </c>
      <c r="D1103" s="18" t="n">
        <v>270</v>
      </c>
      <c r="E1103" s="18" t="inlineStr">
        <is>
          <t>연꽃몬</t>
        </is>
      </c>
      <c r="F1103" s="18" t="inlineStr">
        <is>
          <t>lotad</t>
        </is>
      </c>
      <c r="G1103" s="18" t="inlineStr">
        <is>
          <t>lotad</t>
        </is>
      </c>
      <c r="H1103" s="18" t="inlineStr"/>
      <c r="I1103" s="18" t="n">
        <v>3</v>
      </c>
      <c r="J1103" s="18" t="n"/>
      <c r="K1103" s="18" t="n">
        <v>3</v>
      </c>
      <c r="L1103" s="18" t="inlineStr">
        <is>
          <t>cobbleventure:generation_3</t>
        </is>
      </c>
      <c r="M1103" s="19" t="inlineStr">
        <is>
          <t>cobbleventure:generation_3</t>
        </is>
      </c>
      <c r="N1103" s="18" t="inlineStr">
        <is>
          <t>region_01; region_02</t>
        </is>
      </c>
      <c r="O1103" s="19" t="inlineStr"/>
      <c r="P1103" s="18" t="inlineStr">
        <is>
          <t>#cobblemon:is_forest; #cobblemon:is_jungle; #cobblemon:is_swamp</t>
        </is>
      </c>
      <c r="Q1103" s="19" t="inlineStr"/>
      <c r="R1103" s="18">
        <f>IF(Q1103="",P1103,Q1103)</f>
        <v/>
      </c>
      <c r="S1103" s="18" t="inlineStr"/>
      <c r="T1103" s="18" t="inlineStr">
        <is>
          <t>common</t>
        </is>
      </c>
      <c r="U1103" s="20" t="n">
        <v>9</v>
      </c>
      <c r="V1103" s="21" t="n">
        <v>1</v>
      </c>
      <c r="W1103" s="20">
        <f>IF(OR(U1103="",V1103=""),U1103,U1103*V1103)</f>
        <v/>
      </c>
      <c r="X1103" s="18" t="inlineStr">
        <is>
          <t>1-22</t>
        </is>
      </c>
      <c r="Y1103" s="19" t="inlineStr"/>
      <c r="Z1103" s="18">
        <f>IF(Y1103="",X1103,Y1103)</f>
        <v/>
      </c>
      <c r="AA1103" s="18" t="inlineStr">
        <is>
          <t>fishing</t>
        </is>
      </c>
      <c r="AB1103" s="18" t="inlineStr"/>
      <c r="AC1103" s="18" t="inlineStr">
        <is>
          <t>비=True</t>
        </is>
      </c>
      <c r="AD1103" s="18" t="inlineStr"/>
      <c r="AE1103" s="18" t="inlineStr">
        <is>
          <t>sky 8-15</t>
        </is>
      </c>
      <c r="AF1103" s="18" t="inlineStr">
        <is>
          <t>False</t>
        </is>
      </c>
      <c r="AG1103" s="18" t="inlineStr"/>
      <c r="AH1103" s="18" t="inlineStr"/>
      <c r="AI1103" s="18" t="inlineStr"/>
      <c r="AJ1103" s="18" t="inlineStr">
        <is>
          <t>Cobblemon 동일</t>
        </is>
      </c>
      <c r="AK1103" s="18" t="inlineStr">
        <is>
          <t>사용</t>
        </is>
      </c>
      <c r="AL1103" s="18" t="inlineStr">
        <is>
          <t>COBBLEVERSE 1.7.42 / DP v31</t>
        </is>
      </c>
      <c r="AM1103" s="18" t="inlineStr">
        <is>
          <t>data/cobblemon/spawn_pool_world/0270_lotad.json</t>
        </is>
      </c>
      <c r="AN1103" s="18" t="inlineStr">
        <is>
          <t>lotad-4</t>
        </is>
      </c>
      <c r="AO1103" s="18" t="inlineStr">
        <is>
          <t>pokemon</t>
        </is>
      </c>
      <c r="AP1103" s="18" t="inlineStr"/>
      <c r="AQ1103" s="18" t="inlineStr">
        <is>
          <t>{"biomes":["#cobblemon:is_forest","#cobblemon:is_jungle","#cobblemon:is_swamp"],"canSeeSky":false,"isRaining":true,"maxSkyLight":15,"minSkyLight":8}</t>
        </is>
      </c>
      <c r="AR1103" s="18" t="inlineStr"/>
      <c r="AS1103" s="18" t="inlineStr">
        <is>
          <t>{"weightMultiplier":{"condition":{"maxLureLevel":1,"minLureLevel":0},"multiplier":0.6}}</t>
        </is>
      </c>
      <c r="AT1103" s="19" t="inlineStr"/>
    </row>
    <row r="1104" ht="32" customHeight="1">
      <c r="A1104" s="18" t="inlineStr">
        <is>
          <t>0271_lombre.json::lombre-1::001</t>
        </is>
      </c>
      <c r="B1104" s="19" t="inlineStr">
        <is>
          <t>사용</t>
        </is>
      </c>
      <c r="C1104" s="18">
        <f>IF(OR(B1104&lt;&gt;AK1104,M1104&lt;&gt;L1104,O1104&lt;&gt;"",Q1104&lt;&gt;"",V1104&lt;&gt;1,Y1104&lt;&gt;"",AT1104&lt;&gt;""),"수정","원본")</f>
        <v/>
      </c>
      <c r="D1104" s="18" t="n">
        <v>271</v>
      </c>
      <c r="E1104" s="18" t="inlineStr">
        <is>
          <t>로토스</t>
        </is>
      </c>
      <c r="F1104" s="18" t="inlineStr">
        <is>
          <t>lombre</t>
        </is>
      </c>
      <c r="G1104" s="18" t="inlineStr">
        <is>
          <t>lombre</t>
        </is>
      </c>
      <c r="H1104" s="18" t="inlineStr"/>
      <c r="I1104" s="18" t="n">
        <v>3</v>
      </c>
      <c r="J1104" s="18" t="n"/>
      <c r="K1104" s="18" t="n">
        <v>3</v>
      </c>
      <c r="L1104" s="18" t="inlineStr">
        <is>
          <t>cobbleventure:generation_3</t>
        </is>
      </c>
      <c r="M1104" s="19" t="inlineStr">
        <is>
          <t>cobbleventure:generation_3</t>
        </is>
      </c>
      <c r="N1104" s="18" t="inlineStr">
        <is>
          <t>region_02</t>
        </is>
      </c>
      <c r="O1104" s="19" t="inlineStr"/>
      <c r="P1104" s="18" t="inlineStr">
        <is>
          <t>#cobblemon:is_swamp</t>
        </is>
      </c>
      <c r="Q1104" s="19" t="inlineStr"/>
      <c r="R1104" s="18">
        <f>IF(Q1104="",P1104,Q1104)</f>
        <v/>
      </c>
      <c r="S1104" s="18" t="inlineStr"/>
      <c r="T1104" s="18" t="inlineStr">
        <is>
          <t>common</t>
        </is>
      </c>
      <c r="U1104" s="20" t="n">
        <v>0.19</v>
      </c>
      <c r="V1104" s="21" t="n">
        <v>1</v>
      </c>
      <c r="W1104" s="20">
        <f>IF(OR(U1104="",V1104=""),U1104,U1104*V1104)</f>
        <v/>
      </c>
      <c r="X1104" s="18" t="inlineStr">
        <is>
          <t>14-34</t>
        </is>
      </c>
      <c r="Y1104" s="19" t="inlineStr"/>
      <c r="Z1104" s="18">
        <f>IF(Y1104="",X1104,Y1104)</f>
        <v/>
      </c>
      <c r="AA1104" s="18" t="inlineStr">
        <is>
          <t>grounded</t>
        </is>
      </c>
      <c r="AB1104" s="18" t="inlineStr"/>
      <c r="AC1104" s="18" t="inlineStr">
        <is>
          <t>비=True</t>
        </is>
      </c>
      <c r="AD1104" s="18" t="inlineStr"/>
      <c r="AE1104" s="18" t="inlineStr">
        <is>
          <t>sky 8-15</t>
        </is>
      </c>
      <c r="AF1104" s="18" t="inlineStr"/>
      <c r="AG1104" s="18" t="inlineStr"/>
      <c r="AH1104" s="18" t="inlineStr"/>
      <c r="AI1104" s="18" t="inlineStr"/>
      <c r="AJ1104" s="18" t="inlineStr">
        <is>
          <t>Cobblemon 동일</t>
        </is>
      </c>
      <c r="AK1104" s="18" t="inlineStr">
        <is>
          <t>사용</t>
        </is>
      </c>
      <c r="AL1104" s="18" t="inlineStr">
        <is>
          <t>COBBLEVERSE 1.7.42 / DP v31</t>
        </is>
      </c>
      <c r="AM1104" s="18" t="inlineStr">
        <is>
          <t>data/cobblemon/spawn_pool_world/0271_lombre.json</t>
        </is>
      </c>
      <c r="AN1104" s="18" t="inlineStr">
        <is>
          <t>lombre-1</t>
        </is>
      </c>
      <c r="AO1104" s="18" t="inlineStr">
        <is>
          <t>pokemon</t>
        </is>
      </c>
      <c r="AP1104" s="18" t="inlineStr">
        <is>
          <t>natural</t>
        </is>
      </c>
      <c r="AQ1104" s="18" t="inlineStr">
        <is>
          <t>{"biomes":["#cobblemon:is_swamp"],"isRaining":true,"maxSkyLight":15,"minSkyLight":8}</t>
        </is>
      </c>
      <c r="AR1104" s="18" t="inlineStr"/>
      <c r="AS1104" s="18" t="inlineStr">
        <is>
          <t>{"weightMultiplier":{"condition":{"timeRange":"night"},"multiplier":1.5}}</t>
        </is>
      </c>
      <c r="AT1104" s="19" t="inlineStr"/>
    </row>
    <row r="1105" ht="32" customHeight="1">
      <c r="A1105" s="18" t="inlineStr">
        <is>
          <t>0271_lombre.json::lombre-2::002</t>
        </is>
      </c>
      <c r="B1105" s="19" t="inlineStr">
        <is>
          <t>사용</t>
        </is>
      </c>
      <c r="C1105" s="18">
        <f>IF(OR(B1105&lt;&gt;AK1105,M1105&lt;&gt;L1105,O1105&lt;&gt;"",Q1105&lt;&gt;"",V1105&lt;&gt;1,Y1105&lt;&gt;"",AT1105&lt;&gt;""),"수정","원본")</f>
        <v/>
      </c>
      <c r="D1105" s="18" t="n">
        <v>271</v>
      </c>
      <c r="E1105" s="18" t="inlineStr">
        <is>
          <t>로토스</t>
        </is>
      </c>
      <c r="F1105" s="18" t="inlineStr">
        <is>
          <t>lombre</t>
        </is>
      </c>
      <c r="G1105" s="18" t="inlineStr">
        <is>
          <t>lombre</t>
        </is>
      </c>
      <c r="H1105" s="18" t="inlineStr"/>
      <c r="I1105" s="18" t="n">
        <v>3</v>
      </c>
      <c r="J1105" s="18" t="n"/>
      <c r="K1105" s="18" t="n">
        <v>3</v>
      </c>
      <c r="L1105" s="18" t="inlineStr">
        <is>
          <t>cobbleventure:generation_3</t>
        </is>
      </c>
      <c r="M1105" s="19" t="inlineStr">
        <is>
          <t>cobbleventure:generation_3</t>
        </is>
      </c>
      <c r="N1105" s="18" t="inlineStr">
        <is>
          <t>region_02</t>
        </is>
      </c>
      <c r="O1105" s="19" t="inlineStr"/>
      <c r="P1105" s="18" t="inlineStr">
        <is>
          <t>#cobblemon:is_swamp</t>
        </is>
      </c>
      <c r="Q1105" s="19" t="inlineStr"/>
      <c r="R1105" s="18">
        <f>IF(Q1105="",P1105,Q1105)</f>
        <v/>
      </c>
      <c r="S1105" s="18" t="inlineStr"/>
      <c r="T1105" s="18" t="inlineStr">
        <is>
          <t>common</t>
        </is>
      </c>
      <c r="U1105" s="20" t="n">
        <v>0.57</v>
      </c>
      <c r="V1105" s="21" t="n">
        <v>1</v>
      </c>
      <c r="W1105" s="20">
        <f>IF(OR(U1105="",V1105=""),U1105,U1105*V1105)</f>
        <v/>
      </c>
      <c r="X1105" s="18" t="inlineStr">
        <is>
          <t>14-34</t>
        </is>
      </c>
      <c r="Y1105" s="19" t="inlineStr"/>
      <c r="Z1105" s="18">
        <f>IF(Y1105="",X1105,Y1105)</f>
        <v/>
      </c>
      <c r="AA1105" s="18" t="inlineStr">
        <is>
          <t>surface</t>
        </is>
      </c>
      <c r="AB1105" s="18" t="inlineStr"/>
      <c r="AC1105" s="18" t="inlineStr"/>
      <c r="AD1105" s="18" t="inlineStr"/>
      <c r="AE1105" s="18" t="inlineStr">
        <is>
          <t>sky 8-15</t>
        </is>
      </c>
      <c r="AF1105" s="18" t="inlineStr"/>
      <c r="AG1105" s="18" t="inlineStr"/>
      <c r="AH1105" s="18" t="inlineStr"/>
      <c r="AI1105" s="18" t="inlineStr"/>
      <c r="AJ1105" s="18" t="inlineStr">
        <is>
          <t>Cobblemon 동일</t>
        </is>
      </c>
      <c r="AK1105" s="18" t="inlineStr">
        <is>
          <t>사용</t>
        </is>
      </c>
      <c r="AL1105" s="18" t="inlineStr">
        <is>
          <t>COBBLEVERSE 1.7.42 / DP v31</t>
        </is>
      </c>
      <c r="AM1105" s="18" t="inlineStr">
        <is>
          <t>data/cobblemon/spawn_pool_world/0271_lombre.json</t>
        </is>
      </c>
      <c r="AN1105" s="18" t="inlineStr">
        <is>
          <t>lombre-2</t>
        </is>
      </c>
      <c r="AO1105" s="18" t="inlineStr">
        <is>
          <t>pokemon</t>
        </is>
      </c>
      <c r="AP1105" s="18" t="inlineStr">
        <is>
          <t>water</t>
        </is>
      </c>
      <c r="AQ1105" s="18" t="inlineStr">
        <is>
          <t>{"biomes":["#cobblemon:is_swamp"],"maxSkyLight":15,"minSkyLight":8}</t>
        </is>
      </c>
      <c r="AR1105" s="18" t="inlineStr"/>
      <c r="AS1105" s="18" t="inlineStr"/>
      <c r="AT1105" s="19" t="inlineStr"/>
    </row>
    <row r="1106" ht="32" customHeight="1">
      <c r="A1106" s="18" t="inlineStr">
        <is>
          <t>0271_lombre.json::lombre-3::003</t>
        </is>
      </c>
      <c r="B1106" s="19" t="inlineStr">
        <is>
          <t>사용</t>
        </is>
      </c>
      <c r="C1106" s="18">
        <f>IF(OR(B1106&lt;&gt;AK1106,M1106&lt;&gt;L1106,O1106&lt;&gt;"",Q1106&lt;&gt;"",V1106&lt;&gt;1,Y1106&lt;&gt;"",AT1106&lt;&gt;""),"수정","원본")</f>
        <v/>
      </c>
      <c r="D1106" s="18" t="n">
        <v>271</v>
      </c>
      <c r="E1106" s="18" t="inlineStr">
        <is>
          <t>로토스</t>
        </is>
      </c>
      <c r="F1106" s="18" t="inlineStr">
        <is>
          <t>lombre</t>
        </is>
      </c>
      <c r="G1106" s="18" t="inlineStr">
        <is>
          <t>lombre</t>
        </is>
      </c>
      <c r="H1106" s="18" t="inlineStr"/>
      <c r="I1106" s="18" t="n">
        <v>3</v>
      </c>
      <c r="J1106" s="18" t="n"/>
      <c r="K1106" s="18" t="n">
        <v>3</v>
      </c>
      <c r="L1106" s="18" t="inlineStr">
        <is>
          <t>cobbleventure:generation_3</t>
        </is>
      </c>
      <c r="M1106" s="19" t="inlineStr">
        <is>
          <t>cobbleventure:generation_3</t>
        </is>
      </c>
      <c r="N1106" s="18" t="inlineStr">
        <is>
          <t>region_01; region_02</t>
        </is>
      </c>
      <c r="O1106" s="19" t="inlineStr"/>
      <c r="P1106" s="18" t="inlineStr">
        <is>
          <t>#cobblemon:is_forest; #cobblemon:is_jungle; #cobblemon:is_swamp</t>
        </is>
      </c>
      <c r="Q1106" s="19" t="inlineStr"/>
      <c r="R1106" s="18">
        <f>IF(Q1106="",P1106,Q1106)</f>
        <v/>
      </c>
      <c r="S1106" s="18" t="inlineStr"/>
      <c r="T1106" s="18" t="inlineStr">
        <is>
          <t>common</t>
        </is>
      </c>
      <c r="U1106" s="20" t="n">
        <v>0.95</v>
      </c>
      <c r="V1106" s="21" t="n">
        <v>1</v>
      </c>
      <c r="W1106" s="20">
        <f>IF(OR(U1106="",V1106=""),U1106,U1106*V1106)</f>
        <v/>
      </c>
      <c r="X1106" s="18" t="inlineStr">
        <is>
          <t>14-34</t>
        </is>
      </c>
      <c r="Y1106" s="19" t="inlineStr"/>
      <c r="Z1106" s="18">
        <f>IF(Y1106="",X1106,Y1106)</f>
        <v/>
      </c>
      <c r="AA1106" s="18" t="inlineStr">
        <is>
          <t>fishing</t>
        </is>
      </c>
      <c r="AB1106" s="18" t="inlineStr"/>
      <c r="AC1106" s="18" t="inlineStr">
        <is>
          <t>비=True</t>
        </is>
      </c>
      <c r="AD1106" s="18" t="inlineStr"/>
      <c r="AE1106" s="18" t="inlineStr"/>
      <c r="AF1106" s="18" t="inlineStr">
        <is>
          <t>True</t>
        </is>
      </c>
      <c r="AG1106" s="18" t="inlineStr"/>
      <c r="AH1106" s="18" t="inlineStr"/>
      <c r="AI1106" s="18" t="inlineStr"/>
      <c r="AJ1106" s="18" t="inlineStr">
        <is>
          <t>Cobblemon 동일</t>
        </is>
      </c>
      <c r="AK1106" s="18" t="inlineStr">
        <is>
          <t>사용</t>
        </is>
      </c>
      <c r="AL1106" s="18" t="inlineStr">
        <is>
          <t>COBBLEVERSE 1.7.42 / DP v31</t>
        </is>
      </c>
      <c r="AM1106" s="18" t="inlineStr">
        <is>
          <t>data/cobblemon/spawn_pool_world/0271_lombre.json</t>
        </is>
      </c>
      <c r="AN1106" s="18" t="inlineStr">
        <is>
          <t>lombre-3</t>
        </is>
      </c>
      <c r="AO1106" s="18" t="inlineStr">
        <is>
          <t>pokemon</t>
        </is>
      </c>
      <c r="AP1106" s="18" t="inlineStr"/>
      <c r="AQ1106" s="18" t="inlineStr">
        <is>
          <t>{"biomes":["#cobblemon:is_forest","#cobblemon:is_jungle","#cobblemon:is_swamp"],"canSeeSky":true,"isRaining":true}</t>
        </is>
      </c>
      <c r="AR1106" s="18" t="inlineStr"/>
      <c r="AS1106" s="18" t="inlineStr">
        <is>
          <t>{"weightMultiplier":{"condition":{"maxLureLevel":1,"minLureLevel":0},"multiplier":0.6}}</t>
        </is>
      </c>
      <c r="AT1106" s="19" t="inlineStr"/>
    </row>
    <row r="1107" ht="32" customHeight="1">
      <c r="A1107" s="18" t="inlineStr">
        <is>
          <t>0271_lombre.json::lombre-4::004</t>
        </is>
      </c>
      <c r="B1107" s="19" t="inlineStr">
        <is>
          <t>사용</t>
        </is>
      </c>
      <c r="C1107" s="18">
        <f>IF(OR(B1107&lt;&gt;AK1107,M1107&lt;&gt;L1107,O1107&lt;&gt;"",Q1107&lt;&gt;"",V1107&lt;&gt;1,Y1107&lt;&gt;"",AT1107&lt;&gt;""),"수정","원본")</f>
        <v/>
      </c>
      <c r="D1107" s="18" t="n">
        <v>271</v>
      </c>
      <c r="E1107" s="18" t="inlineStr">
        <is>
          <t>로토스</t>
        </is>
      </c>
      <c r="F1107" s="18" t="inlineStr">
        <is>
          <t>lombre</t>
        </is>
      </c>
      <c r="G1107" s="18" t="inlineStr">
        <is>
          <t>lombre</t>
        </is>
      </c>
      <c r="H1107" s="18" t="inlineStr"/>
      <c r="I1107" s="18" t="n">
        <v>3</v>
      </c>
      <c r="J1107" s="18" t="n"/>
      <c r="K1107" s="18" t="n">
        <v>3</v>
      </c>
      <c r="L1107" s="18" t="inlineStr">
        <is>
          <t>cobbleventure:generation_3</t>
        </is>
      </c>
      <c r="M1107" s="19" t="inlineStr">
        <is>
          <t>cobbleventure:generation_3</t>
        </is>
      </c>
      <c r="N1107" s="18" t="inlineStr">
        <is>
          <t>region_01; region_02</t>
        </is>
      </c>
      <c r="O1107" s="19" t="inlineStr"/>
      <c r="P1107" s="18" t="inlineStr">
        <is>
          <t>#cobblemon:is_forest; #cobblemon:is_jungle; #cobblemon:is_swamp</t>
        </is>
      </c>
      <c r="Q1107" s="19" t="inlineStr"/>
      <c r="R1107" s="18">
        <f>IF(Q1107="",P1107,Q1107)</f>
        <v/>
      </c>
      <c r="S1107" s="18" t="inlineStr"/>
      <c r="T1107" s="18" t="inlineStr">
        <is>
          <t>common</t>
        </is>
      </c>
      <c r="U1107" s="20" t="n">
        <v>0.95</v>
      </c>
      <c r="V1107" s="21" t="n">
        <v>1</v>
      </c>
      <c r="W1107" s="20">
        <f>IF(OR(U1107="",V1107=""),U1107,U1107*V1107)</f>
        <v/>
      </c>
      <c r="X1107" s="18" t="inlineStr">
        <is>
          <t>14-34</t>
        </is>
      </c>
      <c r="Y1107" s="19" t="inlineStr"/>
      <c r="Z1107" s="18">
        <f>IF(Y1107="",X1107,Y1107)</f>
        <v/>
      </c>
      <c r="AA1107" s="18" t="inlineStr">
        <is>
          <t>fishing</t>
        </is>
      </c>
      <c r="AB1107" s="18" t="inlineStr"/>
      <c r="AC1107" s="18" t="inlineStr">
        <is>
          <t>비=True</t>
        </is>
      </c>
      <c r="AD1107" s="18" t="inlineStr"/>
      <c r="AE1107" s="18" t="inlineStr">
        <is>
          <t>sky 8-15</t>
        </is>
      </c>
      <c r="AF1107" s="18" t="inlineStr">
        <is>
          <t>False</t>
        </is>
      </c>
      <c r="AG1107" s="18" t="inlineStr"/>
      <c r="AH1107" s="18" t="inlineStr"/>
      <c r="AI1107" s="18" t="inlineStr"/>
      <c r="AJ1107" s="18" t="inlineStr">
        <is>
          <t>Cobblemon 동일</t>
        </is>
      </c>
      <c r="AK1107" s="18" t="inlineStr">
        <is>
          <t>사용</t>
        </is>
      </c>
      <c r="AL1107" s="18" t="inlineStr">
        <is>
          <t>COBBLEVERSE 1.7.42 / DP v31</t>
        </is>
      </c>
      <c r="AM1107" s="18" t="inlineStr">
        <is>
          <t>data/cobblemon/spawn_pool_world/0271_lombre.json</t>
        </is>
      </c>
      <c r="AN1107" s="18" t="inlineStr">
        <is>
          <t>lombre-4</t>
        </is>
      </c>
      <c r="AO1107" s="18" t="inlineStr">
        <is>
          <t>pokemon</t>
        </is>
      </c>
      <c r="AP1107" s="18" t="inlineStr"/>
      <c r="AQ1107" s="18" t="inlineStr">
        <is>
          <t>{"biomes":["#cobblemon:is_forest","#cobblemon:is_jungle","#cobblemon:is_swamp"],"canSeeSky":false,"isRaining":true,"maxSkyLight":15,"minSkyLight":8}</t>
        </is>
      </c>
      <c r="AR1107" s="18" t="inlineStr"/>
      <c r="AS1107" s="18" t="inlineStr">
        <is>
          <t>{"weightMultiplier":{"condition":{"maxLureLevel":1,"minLureLevel":0},"multiplier":0.6}}</t>
        </is>
      </c>
      <c r="AT1107" s="19" t="inlineStr"/>
    </row>
    <row r="1108" ht="32" customHeight="1">
      <c r="A1108" s="18" t="inlineStr">
        <is>
          <t>0272_ludicolo.json::ludicolo-1::001</t>
        </is>
      </c>
      <c r="B1108" s="19" t="inlineStr">
        <is>
          <t>사용</t>
        </is>
      </c>
      <c r="C1108" s="18">
        <f>IF(OR(B1108&lt;&gt;AK1108,M1108&lt;&gt;L1108,O1108&lt;&gt;"",Q1108&lt;&gt;"",V1108&lt;&gt;1,Y1108&lt;&gt;"",AT1108&lt;&gt;""),"수정","원본")</f>
        <v/>
      </c>
      <c r="D1108" s="18" t="n">
        <v>272</v>
      </c>
      <c r="E1108" s="18" t="inlineStr">
        <is>
          <t>로파파</t>
        </is>
      </c>
      <c r="F1108" s="18" t="inlineStr">
        <is>
          <t>ludicolo</t>
        </is>
      </c>
      <c r="G1108" s="18" t="inlineStr">
        <is>
          <t>ludicolo</t>
        </is>
      </c>
      <c r="H1108" s="18" t="inlineStr"/>
      <c r="I1108" s="18" t="n">
        <v>3</v>
      </c>
      <c r="J1108" s="18" t="n"/>
      <c r="K1108" s="18" t="n">
        <v>3</v>
      </c>
      <c r="L1108" s="18" t="inlineStr">
        <is>
          <t>cobbleventure:generation_3</t>
        </is>
      </c>
      <c r="M1108" s="19" t="inlineStr">
        <is>
          <t>cobbleventure:generation_3</t>
        </is>
      </c>
      <c r="N1108" s="18" t="inlineStr">
        <is>
          <t>region_02</t>
        </is>
      </c>
      <c r="O1108" s="19" t="inlineStr"/>
      <c r="P1108" s="18" t="inlineStr">
        <is>
          <t>#cobblemon:is_swamp</t>
        </is>
      </c>
      <c r="Q1108" s="19" t="inlineStr"/>
      <c r="R1108" s="18">
        <f>IF(Q1108="",P1108,Q1108)</f>
        <v/>
      </c>
      <c r="S1108" s="18" t="inlineStr"/>
      <c r="T1108" s="18" t="inlineStr">
        <is>
          <t>common</t>
        </is>
      </c>
      <c r="U1108" s="20" t="n">
        <v>0.01</v>
      </c>
      <c r="V1108" s="21" t="n">
        <v>1</v>
      </c>
      <c r="W1108" s="20">
        <f>IF(OR(U1108="",V1108=""),U1108,U1108*V1108)</f>
        <v/>
      </c>
      <c r="X1108" s="18" t="inlineStr">
        <is>
          <t>29-48</t>
        </is>
      </c>
      <c r="Y1108" s="19" t="inlineStr"/>
      <c r="Z1108" s="18">
        <f>IF(Y1108="",X1108,Y1108)</f>
        <v/>
      </c>
      <c r="AA1108" s="18" t="inlineStr">
        <is>
          <t>grounded</t>
        </is>
      </c>
      <c r="AB1108" s="18" t="inlineStr"/>
      <c r="AC1108" s="18" t="inlineStr">
        <is>
          <t>비=True</t>
        </is>
      </c>
      <c r="AD1108" s="18" t="inlineStr"/>
      <c r="AE1108" s="18" t="inlineStr">
        <is>
          <t>sky 8-15</t>
        </is>
      </c>
      <c r="AF1108" s="18" t="inlineStr"/>
      <c r="AG1108" s="18" t="inlineStr"/>
      <c r="AH1108" s="18" t="inlineStr"/>
      <c r="AI1108" s="18" t="inlineStr"/>
      <c r="AJ1108" s="18" t="inlineStr">
        <is>
          <t>Cobblemon 동일</t>
        </is>
      </c>
      <c r="AK1108" s="18" t="inlineStr">
        <is>
          <t>사용</t>
        </is>
      </c>
      <c r="AL1108" s="18" t="inlineStr">
        <is>
          <t>COBBLEVERSE 1.7.42 / DP v31</t>
        </is>
      </c>
      <c r="AM1108" s="18" t="inlineStr">
        <is>
          <t>data/cobblemon/spawn_pool_world/0272_ludicolo.json</t>
        </is>
      </c>
      <c r="AN1108" s="18" t="inlineStr">
        <is>
          <t>ludicolo-1</t>
        </is>
      </c>
      <c r="AO1108" s="18" t="inlineStr">
        <is>
          <t>pokemon</t>
        </is>
      </c>
      <c r="AP1108" s="18" t="inlineStr">
        <is>
          <t>natural</t>
        </is>
      </c>
      <c r="AQ1108" s="18" t="inlineStr">
        <is>
          <t>{"biomes":["#cobblemon:is_swamp"],"isRaining":true,"maxSkyLight":15,"minSkyLight":8}</t>
        </is>
      </c>
      <c r="AR1108" s="18" t="inlineStr"/>
      <c r="AS1108" s="18" t="inlineStr">
        <is>
          <t>{"weightMultiplier":{"condition":{"timeRange":"night"},"multiplier":1.5}}</t>
        </is>
      </c>
      <c r="AT1108" s="19" t="inlineStr"/>
    </row>
    <row r="1109" ht="32" customHeight="1">
      <c r="A1109" s="18" t="inlineStr">
        <is>
          <t>0272_ludicolo.json::ludicolo-2::002</t>
        </is>
      </c>
      <c r="B1109" s="19" t="inlineStr">
        <is>
          <t>사용</t>
        </is>
      </c>
      <c r="C1109" s="18">
        <f>IF(OR(B1109&lt;&gt;AK1109,M1109&lt;&gt;L1109,O1109&lt;&gt;"",Q1109&lt;&gt;"",V1109&lt;&gt;1,Y1109&lt;&gt;"",AT1109&lt;&gt;""),"수정","원본")</f>
        <v/>
      </c>
      <c r="D1109" s="18" t="n">
        <v>272</v>
      </c>
      <c r="E1109" s="18" t="inlineStr">
        <is>
          <t>로파파</t>
        </is>
      </c>
      <c r="F1109" s="18" t="inlineStr">
        <is>
          <t>ludicolo</t>
        </is>
      </c>
      <c r="G1109" s="18" t="inlineStr">
        <is>
          <t>ludicolo</t>
        </is>
      </c>
      <c r="H1109" s="18" t="inlineStr"/>
      <c r="I1109" s="18" t="n">
        <v>3</v>
      </c>
      <c r="J1109" s="18" t="n"/>
      <c r="K1109" s="18" t="n">
        <v>3</v>
      </c>
      <c r="L1109" s="18" t="inlineStr">
        <is>
          <t>cobbleventure:generation_3</t>
        </is>
      </c>
      <c r="M1109" s="19" t="inlineStr">
        <is>
          <t>cobbleventure:generation_3</t>
        </is>
      </c>
      <c r="N1109" s="18" t="inlineStr">
        <is>
          <t>region_02</t>
        </is>
      </c>
      <c r="O1109" s="19" t="inlineStr"/>
      <c r="P1109" s="18" t="inlineStr">
        <is>
          <t>#cobblemon:is_swamp</t>
        </is>
      </c>
      <c r="Q1109" s="19" t="inlineStr"/>
      <c r="R1109" s="18">
        <f>IF(Q1109="",P1109,Q1109)</f>
        <v/>
      </c>
      <c r="S1109" s="18" t="inlineStr"/>
      <c r="T1109" s="18" t="inlineStr">
        <is>
          <t>common</t>
        </is>
      </c>
      <c r="U1109" s="20" t="n">
        <v>0.03</v>
      </c>
      <c r="V1109" s="21" t="n">
        <v>1</v>
      </c>
      <c r="W1109" s="20">
        <f>IF(OR(U1109="",V1109=""),U1109,U1109*V1109)</f>
        <v/>
      </c>
      <c r="X1109" s="18" t="inlineStr">
        <is>
          <t>29-48</t>
        </is>
      </c>
      <c r="Y1109" s="19" t="inlineStr"/>
      <c r="Z1109" s="18">
        <f>IF(Y1109="",X1109,Y1109)</f>
        <v/>
      </c>
      <c r="AA1109" s="18" t="inlineStr">
        <is>
          <t>surface</t>
        </is>
      </c>
      <c r="AB1109" s="18" t="inlineStr"/>
      <c r="AC1109" s="18" t="inlineStr"/>
      <c r="AD1109" s="18" t="inlineStr"/>
      <c r="AE1109" s="18" t="inlineStr">
        <is>
          <t>sky 8-15</t>
        </is>
      </c>
      <c r="AF1109" s="18" t="inlineStr"/>
      <c r="AG1109" s="18" t="inlineStr"/>
      <c r="AH1109" s="18" t="inlineStr"/>
      <c r="AI1109" s="18" t="inlineStr"/>
      <c r="AJ1109" s="18" t="inlineStr">
        <is>
          <t>Cobblemon 동일</t>
        </is>
      </c>
      <c r="AK1109" s="18" t="inlineStr">
        <is>
          <t>사용</t>
        </is>
      </c>
      <c r="AL1109" s="18" t="inlineStr">
        <is>
          <t>COBBLEVERSE 1.7.42 / DP v31</t>
        </is>
      </c>
      <c r="AM1109" s="18" t="inlineStr">
        <is>
          <t>data/cobblemon/spawn_pool_world/0272_ludicolo.json</t>
        </is>
      </c>
      <c r="AN1109" s="18" t="inlineStr">
        <is>
          <t>ludicolo-2</t>
        </is>
      </c>
      <c r="AO1109" s="18" t="inlineStr">
        <is>
          <t>pokemon</t>
        </is>
      </c>
      <c r="AP1109" s="18" t="inlineStr">
        <is>
          <t>water</t>
        </is>
      </c>
      <c r="AQ1109" s="18" t="inlineStr">
        <is>
          <t>{"biomes":["#cobblemon:is_swamp"],"maxSkyLight":15,"minSkyLight":8}</t>
        </is>
      </c>
      <c r="AR1109" s="18" t="inlineStr"/>
      <c r="AS1109" s="18" t="inlineStr"/>
      <c r="AT1109" s="19" t="inlineStr"/>
    </row>
    <row r="1110" ht="32" customHeight="1">
      <c r="A1110" s="18" t="inlineStr">
        <is>
          <t>0272_ludicolo.json::ludicolo-3::003</t>
        </is>
      </c>
      <c r="B1110" s="19" t="inlineStr">
        <is>
          <t>사용</t>
        </is>
      </c>
      <c r="C1110" s="18">
        <f>IF(OR(B1110&lt;&gt;AK1110,M1110&lt;&gt;L1110,O1110&lt;&gt;"",Q1110&lt;&gt;"",V1110&lt;&gt;1,Y1110&lt;&gt;"",AT1110&lt;&gt;""),"수정","원본")</f>
        <v/>
      </c>
      <c r="D1110" s="18" t="n">
        <v>272</v>
      </c>
      <c r="E1110" s="18" t="inlineStr">
        <is>
          <t>로파파</t>
        </is>
      </c>
      <c r="F1110" s="18" t="inlineStr">
        <is>
          <t>ludicolo</t>
        </is>
      </c>
      <c r="G1110" s="18" t="inlineStr">
        <is>
          <t>ludicolo</t>
        </is>
      </c>
      <c r="H1110" s="18" t="inlineStr"/>
      <c r="I1110" s="18" t="n">
        <v>3</v>
      </c>
      <c r="J1110" s="18" t="n"/>
      <c r="K1110" s="18" t="n">
        <v>3</v>
      </c>
      <c r="L1110" s="18" t="inlineStr">
        <is>
          <t>cobbleventure:generation_3</t>
        </is>
      </c>
      <c r="M1110" s="19" t="inlineStr">
        <is>
          <t>cobbleventure:generation_3</t>
        </is>
      </c>
      <c r="N1110" s="18" t="inlineStr">
        <is>
          <t>region_01; region_02</t>
        </is>
      </c>
      <c r="O1110" s="19" t="inlineStr"/>
      <c r="P1110" s="18" t="inlineStr">
        <is>
          <t>#cobblemon:is_forest; #cobblemon:is_jungle; #cobblemon:is_swamp</t>
        </is>
      </c>
      <c r="Q1110" s="19" t="inlineStr"/>
      <c r="R1110" s="18">
        <f>IF(Q1110="",P1110,Q1110)</f>
        <v/>
      </c>
      <c r="S1110" s="18" t="inlineStr"/>
      <c r="T1110" s="18" t="inlineStr">
        <is>
          <t>common</t>
        </is>
      </c>
      <c r="U1110" s="20" t="n">
        <v>0.05</v>
      </c>
      <c r="V1110" s="21" t="n">
        <v>1</v>
      </c>
      <c r="W1110" s="20">
        <f>IF(OR(U1110="",V1110=""),U1110,U1110*V1110)</f>
        <v/>
      </c>
      <c r="X1110" s="18" t="inlineStr">
        <is>
          <t>29-48</t>
        </is>
      </c>
      <c r="Y1110" s="19" t="inlineStr"/>
      <c r="Z1110" s="18">
        <f>IF(Y1110="",X1110,Y1110)</f>
        <v/>
      </c>
      <c r="AA1110" s="18" t="inlineStr">
        <is>
          <t>fishing</t>
        </is>
      </c>
      <c r="AB1110" s="18" t="inlineStr"/>
      <c r="AC1110" s="18" t="inlineStr">
        <is>
          <t>비=True</t>
        </is>
      </c>
      <c r="AD1110" s="18" t="inlineStr"/>
      <c r="AE1110" s="18" t="inlineStr"/>
      <c r="AF1110" s="18" t="inlineStr">
        <is>
          <t>True</t>
        </is>
      </c>
      <c r="AG1110" s="18" t="inlineStr"/>
      <c r="AH1110" s="18" t="inlineStr"/>
      <c r="AI1110" s="18" t="inlineStr"/>
      <c r="AJ1110" s="18" t="inlineStr">
        <is>
          <t>Cobblemon 동일</t>
        </is>
      </c>
      <c r="AK1110" s="18" t="inlineStr">
        <is>
          <t>사용</t>
        </is>
      </c>
      <c r="AL1110" s="18" t="inlineStr">
        <is>
          <t>COBBLEVERSE 1.7.42 / DP v31</t>
        </is>
      </c>
      <c r="AM1110" s="18" t="inlineStr">
        <is>
          <t>data/cobblemon/spawn_pool_world/0272_ludicolo.json</t>
        </is>
      </c>
      <c r="AN1110" s="18" t="inlineStr">
        <is>
          <t>ludicolo-3</t>
        </is>
      </c>
      <c r="AO1110" s="18" t="inlineStr">
        <is>
          <t>pokemon</t>
        </is>
      </c>
      <c r="AP1110" s="18" t="inlineStr"/>
      <c r="AQ1110" s="18" t="inlineStr">
        <is>
          <t>{"biomes":["#cobblemon:is_forest","#cobblemon:is_jungle","#cobblemon:is_swamp"],"canSeeSky":true,"isRaining":true}</t>
        </is>
      </c>
      <c r="AR1110" s="18" t="inlineStr"/>
      <c r="AS1110" s="18" t="inlineStr">
        <is>
          <t>{"weightMultiplier":{"condition":{"maxLureLevel":1,"minLureLevel":0},"multiplier":0.6}}</t>
        </is>
      </c>
      <c r="AT1110" s="19" t="inlineStr"/>
    </row>
    <row r="1111" ht="32" customHeight="1">
      <c r="A1111" s="18" t="inlineStr">
        <is>
          <t>0272_ludicolo.json::ludicolo-4::004</t>
        </is>
      </c>
      <c r="B1111" s="19" t="inlineStr">
        <is>
          <t>사용</t>
        </is>
      </c>
      <c r="C1111" s="18">
        <f>IF(OR(B1111&lt;&gt;AK1111,M1111&lt;&gt;L1111,O1111&lt;&gt;"",Q1111&lt;&gt;"",V1111&lt;&gt;1,Y1111&lt;&gt;"",AT1111&lt;&gt;""),"수정","원본")</f>
        <v/>
      </c>
      <c r="D1111" s="18" t="n">
        <v>272</v>
      </c>
      <c r="E1111" s="18" t="inlineStr">
        <is>
          <t>로파파</t>
        </is>
      </c>
      <c r="F1111" s="18" t="inlineStr">
        <is>
          <t>ludicolo</t>
        </is>
      </c>
      <c r="G1111" s="18" t="inlineStr">
        <is>
          <t>ludicolo</t>
        </is>
      </c>
      <c r="H1111" s="18" t="inlineStr"/>
      <c r="I1111" s="18" t="n">
        <v>3</v>
      </c>
      <c r="J1111" s="18" t="n"/>
      <c r="K1111" s="18" t="n">
        <v>3</v>
      </c>
      <c r="L1111" s="18" t="inlineStr">
        <is>
          <t>cobbleventure:generation_3</t>
        </is>
      </c>
      <c r="M1111" s="19" t="inlineStr">
        <is>
          <t>cobbleventure:generation_3</t>
        </is>
      </c>
      <c r="N1111" s="18" t="inlineStr">
        <is>
          <t>region_01; region_02</t>
        </is>
      </c>
      <c r="O1111" s="19" t="inlineStr"/>
      <c r="P1111" s="18" t="inlineStr">
        <is>
          <t>#cobblemon:is_forest; #cobblemon:is_jungle; #cobblemon:is_swamp</t>
        </is>
      </c>
      <c r="Q1111" s="19" t="inlineStr"/>
      <c r="R1111" s="18">
        <f>IF(Q1111="",P1111,Q1111)</f>
        <v/>
      </c>
      <c r="S1111" s="18" t="inlineStr"/>
      <c r="T1111" s="18" t="inlineStr">
        <is>
          <t>common</t>
        </is>
      </c>
      <c r="U1111" s="20" t="n">
        <v>0.05</v>
      </c>
      <c r="V1111" s="21" t="n">
        <v>1</v>
      </c>
      <c r="W1111" s="20">
        <f>IF(OR(U1111="",V1111=""),U1111,U1111*V1111)</f>
        <v/>
      </c>
      <c r="X1111" s="18" t="inlineStr">
        <is>
          <t>29-48</t>
        </is>
      </c>
      <c r="Y1111" s="19" t="inlineStr"/>
      <c r="Z1111" s="18">
        <f>IF(Y1111="",X1111,Y1111)</f>
        <v/>
      </c>
      <c r="AA1111" s="18" t="inlineStr">
        <is>
          <t>fishing</t>
        </is>
      </c>
      <c r="AB1111" s="18" t="inlineStr"/>
      <c r="AC1111" s="18" t="inlineStr">
        <is>
          <t>비=True</t>
        </is>
      </c>
      <c r="AD1111" s="18" t="inlineStr"/>
      <c r="AE1111" s="18" t="inlineStr">
        <is>
          <t>sky 8-15</t>
        </is>
      </c>
      <c r="AF1111" s="18" t="inlineStr">
        <is>
          <t>False</t>
        </is>
      </c>
      <c r="AG1111" s="18" t="inlineStr"/>
      <c r="AH1111" s="18" t="inlineStr"/>
      <c r="AI1111" s="18" t="inlineStr"/>
      <c r="AJ1111" s="18" t="inlineStr">
        <is>
          <t>Cobblemon 동일</t>
        </is>
      </c>
      <c r="AK1111" s="18" t="inlineStr">
        <is>
          <t>사용</t>
        </is>
      </c>
      <c r="AL1111" s="18" t="inlineStr">
        <is>
          <t>COBBLEVERSE 1.7.42 / DP v31</t>
        </is>
      </c>
      <c r="AM1111" s="18" t="inlineStr">
        <is>
          <t>data/cobblemon/spawn_pool_world/0272_ludicolo.json</t>
        </is>
      </c>
      <c r="AN1111" s="18" t="inlineStr">
        <is>
          <t>ludicolo-4</t>
        </is>
      </c>
      <c r="AO1111" s="18" t="inlineStr">
        <is>
          <t>pokemon</t>
        </is>
      </c>
      <c r="AP1111" s="18" t="inlineStr"/>
      <c r="AQ1111" s="18" t="inlineStr">
        <is>
          <t>{"biomes":["#cobblemon:is_forest","#cobblemon:is_jungle","#cobblemon:is_swamp"],"canSeeSky":false,"isRaining":true,"maxSkyLight":15,"minSkyLight":8}</t>
        </is>
      </c>
      <c r="AR1111" s="18" t="inlineStr"/>
      <c r="AS1111" s="18" t="inlineStr">
        <is>
          <t>{"weightMultiplier":{"condition":{"maxLureLevel":1,"minLureLevel":0},"multiplier":0.6}}</t>
        </is>
      </c>
      <c r="AT1111" s="19" t="inlineStr"/>
    </row>
    <row r="1112" ht="32" customHeight="1">
      <c r="A1112" s="18" t="inlineStr">
        <is>
          <t>0273_seedot.json::seedot-1::001</t>
        </is>
      </c>
      <c r="B1112" s="19" t="inlineStr">
        <is>
          <t>사용</t>
        </is>
      </c>
      <c r="C1112" s="18">
        <f>IF(OR(B1112&lt;&gt;AK1112,M1112&lt;&gt;L1112,O1112&lt;&gt;"",Q1112&lt;&gt;"",V1112&lt;&gt;1,Y1112&lt;&gt;"",AT1112&lt;&gt;""),"수정","원본")</f>
        <v/>
      </c>
      <c r="D1112" s="18" t="n">
        <v>273</v>
      </c>
      <c r="E1112" s="18" t="inlineStr">
        <is>
          <t>도토링</t>
        </is>
      </c>
      <c r="F1112" s="18" t="inlineStr">
        <is>
          <t>seedot</t>
        </is>
      </c>
      <c r="G1112" s="18" t="inlineStr">
        <is>
          <t>seedot</t>
        </is>
      </c>
      <c r="H1112" s="18" t="inlineStr"/>
      <c r="I1112" s="18" t="n">
        <v>3</v>
      </c>
      <c r="J1112" s="18" t="n"/>
      <c r="K1112" s="18" t="n">
        <v>3</v>
      </c>
      <c r="L1112" s="18" t="inlineStr">
        <is>
          <t>cobbleventure:generation_3</t>
        </is>
      </c>
      <c r="M1112" s="19" t="inlineStr">
        <is>
          <t>cobbleventure:generation_3</t>
        </is>
      </c>
      <c r="N1112" s="18" t="inlineStr">
        <is>
          <t>region_01</t>
        </is>
      </c>
      <c r="O1112" s="19" t="inlineStr"/>
      <c r="P1112" s="18" t="inlineStr">
        <is>
          <t>#cobblemon:is_forest; aether:skyroot_forest; aether:skyroot_woodland</t>
        </is>
      </c>
      <c r="Q1112" s="19" t="inlineStr"/>
      <c r="R1112" s="18">
        <f>IF(Q1112="",P1112,Q1112)</f>
        <v/>
      </c>
      <c r="S1112" s="18" t="inlineStr"/>
      <c r="T1112" s="18" t="inlineStr">
        <is>
          <t>common</t>
        </is>
      </c>
      <c r="U1112" s="20" t="n">
        <v>5.4</v>
      </c>
      <c r="V1112" s="21" t="n">
        <v>1</v>
      </c>
      <c r="W1112" s="20">
        <f>IF(OR(U1112="",V1112=""),U1112,U1112*V1112)</f>
        <v/>
      </c>
      <c r="X1112" s="18" t="inlineStr">
        <is>
          <t>1-22</t>
        </is>
      </c>
      <c r="Y1112" s="19" t="inlineStr"/>
      <c r="Z1112" s="18">
        <f>IF(Y1112="",X1112,Y1112)</f>
        <v/>
      </c>
      <c r="AA1112" s="18" t="inlineStr">
        <is>
          <t>grounded</t>
        </is>
      </c>
      <c r="AB1112" s="18" t="inlineStr"/>
      <c r="AC1112" s="18" t="inlineStr"/>
      <c r="AD1112" s="18" t="inlineStr"/>
      <c r="AE1112" s="18" t="inlineStr">
        <is>
          <t>sky 8-15</t>
        </is>
      </c>
      <c r="AF1112" s="18" t="inlineStr"/>
      <c r="AG1112" s="18" t="inlineStr"/>
      <c r="AH1112" s="18" t="inlineStr"/>
      <c r="AI1112" s="18" t="inlineStr"/>
      <c r="AJ1112" s="18" t="inlineStr">
        <is>
          <t>Cobblemon 동일</t>
        </is>
      </c>
      <c r="AK1112" s="18" t="inlineStr">
        <is>
          <t>사용</t>
        </is>
      </c>
      <c r="AL1112" s="18" t="inlineStr">
        <is>
          <t>COBBLEVERSE 1.7.42 / DP v31</t>
        </is>
      </c>
      <c r="AM1112" s="18" t="inlineStr">
        <is>
          <t>data/cobblemon/spawn_pool_world/0273_seedot.json</t>
        </is>
      </c>
      <c r="AN1112" s="18" t="inlineStr">
        <is>
          <t>seedot-1</t>
        </is>
      </c>
      <c r="AO1112" s="18" t="inlineStr">
        <is>
          <t>pokemon</t>
        </is>
      </c>
      <c r="AP1112" s="18" t="inlineStr">
        <is>
          <t>natural; treetop</t>
        </is>
      </c>
      <c r="AQ1112" s="18" t="inlineStr">
        <is>
          <t>{"biomes":["#cobblemon:is_forest","aether:skyroot_forest","aether:skyroot_woodland"],"maxSkyLight":15,"minSkyLight":8}</t>
        </is>
      </c>
      <c r="AR1112" s="18" t="inlineStr"/>
      <c r="AS1112" s="18" t="inlineStr"/>
      <c r="AT1112" s="19" t="inlineStr"/>
    </row>
    <row r="1113" ht="32" customHeight="1">
      <c r="A1113" s="18" t="inlineStr">
        <is>
          <t>0274_nuzleaf.json::nuzleaf-1::001</t>
        </is>
      </c>
      <c r="B1113" s="19" t="inlineStr">
        <is>
          <t>사용</t>
        </is>
      </c>
      <c r="C1113" s="18">
        <f>IF(OR(B1113&lt;&gt;AK1113,M1113&lt;&gt;L1113,O1113&lt;&gt;"",Q1113&lt;&gt;"",V1113&lt;&gt;1,Y1113&lt;&gt;"",AT1113&lt;&gt;""),"수정","원본")</f>
        <v/>
      </c>
      <c r="D1113" s="18" t="n">
        <v>274</v>
      </c>
      <c r="E1113" s="18" t="inlineStr">
        <is>
          <t>잎새코</t>
        </is>
      </c>
      <c r="F1113" s="18" t="inlineStr">
        <is>
          <t>nuzleaf</t>
        </is>
      </c>
      <c r="G1113" s="18" t="inlineStr">
        <is>
          <t>nuzleaf</t>
        </is>
      </c>
      <c r="H1113" s="18" t="inlineStr"/>
      <c r="I1113" s="18" t="n">
        <v>3</v>
      </c>
      <c r="J1113" s="18" t="n"/>
      <c r="K1113" s="18" t="n">
        <v>3</v>
      </c>
      <c r="L1113" s="18" t="inlineStr">
        <is>
          <t>cobbleventure:generation_3</t>
        </is>
      </c>
      <c r="M1113" s="19" t="inlineStr">
        <is>
          <t>cobbleventure:generation_3</t>
        </is>
      </c>
      <c r="N1113" s="18" t="inlineStr">
        <is>
          <t>region_01</t>
        </is>
      </c>
      <c r="O1113" s="19" t="inlineStr"/>
      <c r="P1113" s="18" t="inlineStr">
        <is>
          <t>#cobblemon:is_forest; aether:skyroot_forest; aether:skyroot_woodland</t>
        </is>
      </c>
      <c r="Q1113" s="19" t="inlineStr"/>
      <c r="R1113" s="18">
        <f>IF(Q1113="",P1113,Q1113)</f>
        <v/>
      </c>
      <c r="S1113" s="18" t="inlineStr"/>
      <c r="T1113" s="18" t="inlineStr">
        <is>
          <t>common</t>
        </is>
      </c>
      <c r="U1113" s="20" t="n">
        <v>0.57</v>
      </c>
      <c r="V1113" s="21" t="n">
        <v>1</v>
      </c>
      <c r="W1113" s="20">
        <f>IF(OR(U1113="",V1113=""),U1113,U1113*V1113)</f>
        <v/>
      </c>
      <c r="X1113" s="18" t="inlineStr">
        <is>
          <t>14-34</t>
        </is>
      </c>
      <c r="Y1113" s="19" t="inlineStr"/>
      <c r="Z1113" s="18">
        <f>IF(Y1113="",X1113,Y1113)</f>
        <v/>
      </c>
      <c r="AA1113" s="18" t="inlineStr">
        <is>
          <t>grounded</t>
        </is>
      </c>
      <c r="AB1113" s="18" t="inlineStr"/>
      <c r="AC1113" s="18" t="inlineStr"/>
      <c r="AD1113" s="18" t="inlineStr"/>
      <c r="AE1113" s="18" t="inlineStr">
        <is>
          <t>sky 8-15</t>
        </is>
      </c>
      <c r="AF1113" s="18" t="inlineStr"/>
      <c r="AG1113" s="18" t="inlineStr"/>
      <c r="AH1113" s="18" t="inlineStr"/>
      <c r="AI1113" s="18" t="inlineStr"/>
      <c r="AJ1113" s="18" t="inlineStr">
        <is>
          <t>Cobblemon 동일</t>
        </is>
      </c>
      <c r="AK1113" s="18" t="inlineStr">
        <is>
          <t>사용</t>
        </is>
      </c>
      <c r="AL1113" s="18" t="inlineStr">
        <is>
          <t>COBBLEVERSE 1.7.42 / DP v31</t>
        </is>
      </c>
      <c r="AM1113" s="18" t="inlineStr">
        <is>
          <t>data/cobblemon/spawn_pool_world/0274_nuzleaf.json</t>
        </is>
      </c>
      <c r="AN1113" s="18" t="inlineStr">
        <is>
          <t>nuzleaf-1</t>
        </is>
      </c>
      <c r="AO1113" s="18" t="inlineStr">
        <is>
          <t>pokemon</t>
        </is>
      </c>
      <c r="AP1113" s="18" t="inlineStr">
        <is>
          <t>natural; treetop</t>
        </is>
      </c>
      <c r="AQ1113" s="18" t="inlineStr">
        <is>
          <t>{"biomes":["#cobblemon:is_forest","aether:skyroot_forest","aether:skyroot_woodland"],"maxSkyLight":15,"minSkyLight":8}</t>
        </is>
      </c>
      <c r="AR1113" s="18" t="inlineStr"/>
      <c r="AS1113" s="18" t="inlineStr"/>
      <c r="AT1113" s="19" t="inlineStr"/>
    </row>
    <row r="1114" ht="32" customHeight="1">
      <c r="A1114" s="18" t="inlineStr">
        <is>
          <t>0275_shiftry.json::shiftry-1::001</t>
        </is>
      </c>
      <c r="B1114" s="19" t="inlineStr">
        <is>
          <t>사용</t>
        </is>
      </c>
      <c r="C1114" s="18">
        <f>IF(OR(B1114&lt;&gt;AK1114,M1114&lt;&gt;L1114,O1114&lt;&gt;"",Q1114&lt;&gt;"",V1114&lt;&gt;1,Y1114&lt;&gt;"",AT1114&lt;&gt;""),"수정","원본")</f>
        <v/>
      </c>
      <c r="D1114" s="18" t="n">
        <v>275</v>
      </c>
      <c r="E1114" s="18" t="inlineStr">
        <is>
          <t>다탱구</t>
        </is>
      </c>
      <c r="F1114" s="18" t="inlineStr">
        <is>
          <t>shiftry</t>
        </is>
      </c>
      <c r="G1114" s="18" t="inlineStr">
        <is>
          <t>shiftry</t>
        </is>
      </c>
      <c r="H1114" s="18" t="inlineStr"/>
      <c r="I1114" s="18" t="n">
        <v>3</v>
      </c>
      <c r="J1114" s="18" t="n"/>
      <c r="K1114" s="18" t="n">
        <v>3</v>
      </c>
      <c r="L1114" s="18" t="inlineStr">
        <is>
          <t>cobbleventure:generation_3</t>
        </is>
      </c>
      <c r="M1114" s="19" t="inlineStr">
        <is>
          <t>cobbleventure:generation_3</t>
        </is>
      </c>
      <c r="N1114" s="18" t="inlineStr">
        <is>
          <t>region_01</t>
        </is>
      </c>
      <c r="O1114" s="19" t="inlineStr"/>
      <c r="P1114" s="18" t="inlineStr">
        <is>
          <t>#cobblemon:is_forest; aether:skyroot_forest; aether:skyroot_woodland</t>
        </is>
      </c>
      <c r="Q1114" s="19" t="inlineStr"/>
      <c r="R1114" s="18">
        <f>IF(Q1114="",P1114,Q1114)</f>
        <v/>
      </c>
      <c r="S1114" s="18" t="inlineStr"/>
      <c r="T1114" s="18" t="inlineStr">
        <is>
          <t>common</t>
        </is>
      </c>
      <c r="U1114" s="20" t="n">
        <v>0.03</v>
      </c>
      <c r="V1114" s="21" t="n">
        <v>1</v>
      </c>
      <c r="W1114" s="20">
        <f>IF(OR(U1114="",V1114=""),U1114,U1114*V1114)</f>
        <v/>
      </c>
      <c r="X1114" s="18" t="inlineStr">
        <is>
          <t>29-48</t>
        </is>
      </c>
      <c r="Y1114" s="19" t="inlineStr"/>
      <c r="Z1114" s="18">
        <f>IF(Y1114="",X1114,Y1114)</f>
        <v/>
      </c>
      <c r="AA1114" s="18" t="inlineStr">
        <is>
          <t>grounded</t>
        </is>
      </c>
      <c r="AB1114" s="18" t="inlineStr"/>
      <c r="AC1114" s="18" t="inlineStr"/>
      <c r="AD1114" s="18" t="inlineStr"/>
      <c r="AE1114" s="18" t="inlineStr">
        <is>
          <t>sky 8-15</t>
        </is>
      </c>
      <c r="AF1114" s="18" t="inlineStr"/>
      <c r="AG1114" s="18" t="inlineStr"/>
      <c r="AH1114" s="18" t="inlineStr"/>
      <c r="AI1114" s="18" t="inlineStr"/>
      <c r="AJ1114" s="18" t="inlineStr">
        <is>
          <t>Cobblemon 동일</t>
        </is>
      </c>
      <c r="AK1114" s="18" t="inlineStr">
        <is>
          <t>사용</t>
        </is>
      </c>
      <c r="AL1114" s="18" t="inlineStr">
        <is>
          <t>COBBLEVERSE 1.7.42 / DP v31</t>
        </is>
      </c>
      <c r="AM1114" s="18" t="inlineStr">
        <is>
          <t>data/cobblemon/spawn_pool_world/0275_shiftry.json</t>
        </is>
      </c>
      <c r="AN1114" s="18" t="inlineStr">
        <is>
          <t>shiftry-1</t>
        </is>
      </c>
      <c r="AO1114" s="18" t="inlineStr">
        <is>
          <t>pokemon</t>
        </is>
      </c>
      <c r="AP1114" s="18" t="inlineStr">
        <is>
          <t>natural; treetop</t>
        </is>
      </c>
      <c r="AQ1114" s="18" t="inlineStr">
        <is>
          <t>{"biomes":["#cobblemon:is_forest","aether:skyroot_forest","aether:skyroot_woodland"],"maxSkyLight":15,"minSkyLight":8}</t>
        </is>
      </c>
      <c r="AR1114" s="18" t="inlineStr"/>
      <c r="AS1114" s="18" t="inlineStr"/>
      <c r="AT1114" s="19" t="inlineStr"/>
    </row>
    <row r="1115" ht="32" customHeight="1">
      <c r="A1115" s="18" t="inlineStr">
        <is>
          <t>0276_taillow.json::taillow-1::001</t>
        </is>
      </c>
      <c r="B1115" s="19" t="inlineStr">
        <is>
          <t>사용</t>
        </is>
      </c>
      <c r="C1115" s="18">
        <f>IF(OR(B1115&lt;&gt;AK1115,M1115&lt;&gt;L1115,O1115&lt;&gt;"",Q1115&lt;&gt;"",V1115&lt;&gt;1,Y1115&lt;&gt;"",AT1115&lt;&gt;""),"수정","원본")</f>
        <v/>
      </c>
      <c r="D1115" s="18" t="n">
        <v>276</v>
      </c>
      <c r="E1115" s="18" t="inlineStr">
        <is>
          <t>테일로</t>
        </is>
      </c>
      <c r="F1115" s="18" t="inlineStr">
        <is>
          <t>taillow</t>
        </is>
      </c>
      <c r="G1115" s="18" t="inlineStr">
        <is>
          <t>taillow</t>
        </is>
      </c>
      <c r="H1115" s="18" t="inlineStr"/>
      <c r="I1115" s="18" t="n">
        <v>3</v>
      </c>
      <c r="J1115" s="18" t="n"/>
      <c r="K1115" s="18" t="n">
        <v>3</v>
      </c>
      <c r="L1115" s="18" t="inlineStr">
        <is>
          <t>cobbleventure:generation_3</t>
        </is>
      </c>
      <c r="M1115" s="19" t="inlineStr">
        <is>
          <t>cobbleventure:generation_3</t>
        </is>
      </c>
      <c r="N1115" s="18" t="inlineStr">
        <is>
          <t>region_01</t>
        </is>
      </c>
      <c r="O1115" s="19" t="inlineStr"/>
      <c r="P1115" s="18" t="inlineStr">
        <is>
          <t>#cobblemon:is_sky; #cobblemon:is_temperate</t>
        </is>
      </c>
      <c r="Q1115" s="19" t="inlineStr"/>
      <c r="R1115" s="18">
        <f>IF(Q1115="",P1115,Q1115)</f>
        <v/>
      </c>
      <c r="S1115" s="18" t="inlineStr">
        <is>
          <t>#cobblemon:is_spooky</t>
        </is>
      </c>
      <c r="T1115" s="18" t="inlineStr">
        <is>
          <t>common</t>
        </is>
      </c>
      <c r="U1115" s="20" t="n">
        <v>9</v>
      </c>
      <c r="V1115" s="21" t="n">
        <v>1</v>
      </c>
      <c r="W1115" s="20">
        <f>IF(OR(U1115="",V1115=""),U1115,U1115*V1115)</f>
        <v/>
      </c>
      <c r="X1115" s="18" t="inlineStr">
        <is>
          <t>2-27</t>
        </is>
      </c>
      <c r="Y1115" s="19" t="inlineStr"/>
      <c r="Z1115" s="18">
        <f>IF(Y1115="",X1115,Y1115)</f>
        <v/>
      </c>
      <c r="AA1115" s="18" t="inlineStr">
        <is>
          <t>grounded</t>
        </is>
      </c>
      <c r="AB1115" s="18" t="inlineStr">
        <is>
          <t>day</t>
        </is>
      </c>
      <c r="AC1115" s="18" t="inlineStr"/>
      <c r="AD1115" s="18" t="inlineStr"/>
      <c r="AE1115" s="18" t="inlineStr">
        <is>
          <t>sky 8-15</t>
        </is>
      </c>
      <c r="AF1115" s="18" t="inlineStr"/>
      <c r="AG1115" s="18" t="inlineStr"/>
      <c r="AH1115" s="18" t="inlineStr"/>
      <c r="AI1115" s="18" t="inlineStr"/>
      <c r="AJ1115" s="18" t="inlineStr">
        <is>
          <t>Cobblemon 동일</t>
        </is>
      </c>
      <c r="AK1115" s="18" t="inlineStr">
        <is>
          <t>사용</t>
        </is>
      </c>
      <c r="AL1115" s="18" t="inlineStr">
        <is>
          <t>COBBLEVERSE 1.7.42 / DP v31</t>
        </is>
      </c>
      <c r="AM1115" s="18" t="inlineStr">
        <is>
          <t>data/cobblemon/spawn_pool_world/0276_taillow.json</t>
        </is>
      </c>
      <c r="AN1115" s="18" t="inlineStr">
        <is>
          <t>taillow-1</t>
        </is>
      </c>
      <c r="AO1115" s="18" t="inlineStr">
        <is>
          <t>pokemon</t>
        </is>
      </c>
      <c r="AP1115" s="18" t="inlineStr">
        <is>
          <t>natural; treetop</t>
        </is>
      </c>
      <c r="AQ1115" s="18" t="inlineStr">
        <is>
          <t>{"biomes":["#cobblemon:is_sky","#cobblemon:is_temperate"],"maxSkyLight":15,"minSkyLight":8,"timeRange":"day"}</t>
        </is>
      </c>
      <c r="AR1115" s="18" t="inlineStr">
        <is>
          <t>{"biomes":["#cobblemon:is_spooky"]}</t>
        </is>
      </c>
      <c r="AS1115" s="18" t="inlineStr"/>
      <c r="AT1115" s="19" t="inlineStr"/>
    </row>
    <row r="1116" ht="32" customHeight="1">
      <c r="A1116" s="18" t="inlineStr">
        <is>
          <t>0276_taillow.json::taillow-3::002</t>
        </is>
      </c>
      <c r="B1116" s="19" t="inlineStr">
        <is>
          <t>사용</t>
        </is>
      </c>
      <c r="C1116" s="18">
        <f>IF(OR(B1116&lt;&gt;AK1116,M1116&lt;&gt;L1116,O1116&lt;&gt;"",Q1116&lt;&gt;"",V1116&lt;&gt;1,Y1116&lt;&gt;"",AT1116&lt;&gt;""),"수정","원본")</f>
        <v/>
      </c>
      <c r="D1116" s="18" t="n">
        <v>276</v>
      </c>
      <c r="E1116" s="18" t="inlineStr">
        <is>
          <t>테일로</t>
        </is>
      </c>
      <c r="F1116" s="18" t="inlineStr">
        <is>
          <t>taillow</t>
        </is>
      </c>
      <c r="G1116" s="18" t="inlineStr">
        <is>
          <t>taillow</t>
        </is>
      </c>
      <c r="H1116" s="18" t="inlineStr"/>
      <c r="I1116" s="18" t="n">
        <v>3</v>
      </c>
      <c r="J1116" s="18" t="n"/>
      <c r="K1116" s="18" t="n">
        <v>3</v>
      </c>
      <c r="L1116" s="18" t="inlineStr">
        <is>
          <t>cobbleventure:generation_3</t>
        </is>
      </c>
      <c r="M1116" s="19" t="inlineStr">
        <is>
          <t>cobbleventure:generation_3</t>
        </is>
      </c>
      <c r="N1116" s="18" t="inlineStr"/>
      <c r="O1116" s="19" t="inlineStr"/>
      <c r="P1116" s="18" t="inlineStr">
        <is>
          <t>#aether:is_aether</t>
        </is>
      </c>
      <c r="Q1116" s="19" t="inlineStr"/>
      <c r="R1116" s="18">
        <f>IF(Q1116="",P1116,Q1116)</f>
        <v/>
      </c>
      <c r="S1116" s="18" t="inlineStr"/>
      <c r="T1116" s="18" t="inlineStr">
        <is>
          <t>common</t>
        </is>
      </c>
      <c r="U1116" s="20" t="n">
        <v>9</v>
      </c>
      <c r="V1116" s="21" t="n">
        <v>1</v>
      </c>
      <c r="W1116" s="20">
        <f>IF(OR(U1116="",V1116=""),U1116,U1116*V1116)</f>
        <v/>
      </c>
      <c r="X1116" s="18" t="inlineStr">
        <is>
          <t>2-27</t>
        </is>
      </c>
      <c r="Y1116" s="19" t="inlineStr"/>
      <c r="Z1116" s="18">
        <f>IF(Y1116="",X1116,Y1116)</f>
        <v/>
      </c>
      <c r="AA1116" s="18" t="inlineStr">
        <is>
          <t>grounded</t>
        </is>
      </c>
      <c r="AB1116" s="18" t="inlineStr"/>
      <c r="AC1116" s="18" t="inlineStr"/>
      <c r="AD1116" s="18" t="inlineStr"/>
      <c r="AE1116" s="18" t="inlineStr">
        <is>
          <t>sky 8-15</t>
        </is>
      </c>
      <c r="AF1116" s="18" t="inlineStr"/>
      <c r="AG1116" s="18" t="inlineStr"/>
      <c r="AH1116" s="18" t="inlineStr"/>
      <c r="AI1116" s="18" t="inlineStr"/>
      <c r="AJ1116" s="18" t="inlineStr">
        <is>
          <t>Cobblemon 동일</t>
        </is>
      </c>
      <c r="AK1116" s="18" t="inlineStr">
        <is>
          <t>사용</t>
        </is>
      </c>
      <c r="AL1116" s="18" t="inlineStr">
        <is>
          <t>COBBLEVERSE 1.7.42 / DP v31</t>
        </is>
      </c>
      <c r="AM1116" s="18" t="inlineStr">
        <is>
          <t>data/cobblemon/spawn_pool_world/0276_taillow.json</t>
        </is>
      </c>
      <c r="AN1116" s="18" t="inlineStr">
        <is>
          <t>taillow-3</t>
        </is>
      </c>
      <c r="AO1116" s="18" t="inlineStr">
        <is>
          <t>pokemon</t>
        </is>
      </c>
      <c r="AP1116" s="18" t="inlineStr">
        <is>
          <t>natural; treetop</t>
        </is>
      </c>
      <c r="AQ1116" s="18" t="inlineStr">
        <is>
          <t>{"biomes":["#aether:is_aether"],"maxSkyLight":15,"minSkyLight":8}</t>
        </is>
      </c>
      <c r="AR1116" s="18" t="inlineStr"/>
      <c r="AS1116" s="18" t="inlineStr"/>
      <c r="AT1116" s="19" t="inlineStr"/>
    </row>
    <row r="1117" ht="32" customHeight="1">
      <c r="A1117" s="18" t="inlineStr">
        <is>
          <t>0277_swellow.json::swellow-1::001</t>
        </is>
      </c>
      <c r="B1117" s="19" t="inlineStr">
        <is>
          <t>사용</t>
        </is>
      </c>
      <c r="C1117" s="18">
        <f>IF(OR(B1117&lt;&gt;AK1117,M1117&lt;&gt;L1117,O1117&lt;&gt;"",Q1117&lt;&gt;"",V1117&lt;&gt;1,Y1117&lt;&gt;"",AT1117&lt;&gt;""),"수정","원본")</f>
        <v/>
      </c>
      <c r="D1117" s="18" t="n">
        <v>277</v>
      </c>
      <c r="E1117" s="18" t="inlineStr">
        <is>
          <t>스왈로</t>
        </is>
      </c>
      <c r="F1117" s="18" t="inlineStr">
        <is>
          <t>swellow</t>
        </is>
      </c>
      <c r="G1117" s="18" t="inlineStr">
        <is>
          <t>swellow</t>
        </is>
      </c>
      <c r="H1117" s="18" t="inlineStr"/>
      <c r="I1117" s="18" t="n">
        <v>3</v>
      </c>
      <c r="J1117" s="18" t="n"/>
      <c r="K1117" s="18" t="n">
        <v>3</v>
      </c>
      <c r="L1117" s="18" t="inlineStr">
        <is>
          <t>cobbleventure:generation_3</t>
        </is>
      </c>
      <c r="M1117" s="19" t="inlineStr">
        <is>
          <t>cobbleventure:generation_3</t>
        </is>
      </c>
      <c r="N1117" s="18" t="inlineStr">
        <is>
          <t>region_01</t>
        </is>
      </c>
      <c r="O1117" s="19" t="inlineStr"/>
      <c r="P1117" s="18" t="inlineStr">
        <is>
          <t>#cobblemon:is_sky; #cobblemon:is_temperate</t>
        </is>
      </c>
      <c r="Q1117" s="19" t="inlineStr"/>
      <c r="R1117" s="18">
        <f>IF(Q1117="",P1117,Q1117)</f>
        <v/>
      </c>
      <c r="S1117" s="18" t="inlineStr">
        <is>
          <t>#cobblemon:is_spooky</t>
        </is>
      </c>
      <c r="T1117" s="18" t="inlineStr">
        <is>
          <t>common</t>
        </is>
      </c>
      <c r="U1117" s="20" t="n">
        <v>1</v>
      </c>
      <c r="V1117" s="21" t="n">
        <v>1</v>
      </c>
      <c r="W1117" s="20">
        <f>IF(OR(U1117="",V1117=""),U1117,U1117*V1117)</f>
        <v/>
      </c>
      <c r="X1117" s="18" t="inlineStr">
        <is>
          <t>22-46</t>
        </is>
      </c>
      <c r="Y1117" s="19" t="inlineStr"/>
      <c r="Z1117" s="18">
        <f>IF(Y1117="",X1117,Y1117)</f>
        <v/>
      </c>
      <c r="AA1117" s="18" t="inlineStr">
        <is>
          <t>grounded</t>
        </is>
      </c>
      <c r="AB1117" s="18" t="inlineStr">
        <is>
          <t>day</t>
        </is>
      </c>
      <c r="AC1117" s="18" t="inlineStr"/>
      <c r="AD1117" s="18" t="inlineStr"/>
      <c r="AE1117" s="18" t="inlineStr">
        <is>
          <t>sky 8-15</t>
        </is>
      </c>
      <c r="AF1117" s="18" t="inlineStr"/>
      <c r="AG1117" s="18" t="inlineStr"/>
      <c r="AH1117" s="18" t="inlineStr"/>
      <c r="AI1117" s="18" t="inlineStr"/>
      <c r="AJ1117" s="18" t="inlineStr">
        <is>
          <t>Cobblemon 동일</t>
        </is>
      </c>
      <c r="AK1117" s="18" t="inlineStr">
        <is>
          <t>사용</t>
        </is>
      </c>
      <c r="AL1117" s="18" t="inlineStr">
        <is>
          <t>COBBLEVERSE 1.7.42 / DP v31</t>
        </is>
      </c>
      <c r="AM1117" s="18" t="inlineStr">
        <is>
          <t>data/cobblemon/spawn_pool_world/0277_swellow.json</t>
        </is>
      </c>
      <c r="AN1117" s="18" t="inlineStr">
        <is>
          <t>swellow-1</t>
        </is>
      </c>
      <c r="AO1117" s="18" t="inlineStr">
        <is>
          <t>pokemon</t>
        </is>
      </c>
      <c r="AP1117" s="18" t="inlineStr">
        <is>
          <t>natural; treetop</t>
        </is>
      </c>
      <c r="AQ1117" s="18" t="inlineStr">
        <is>
          <t>{"biomes":["#cobblemon:is_sky","#cobblemon:is_temperate"],"maxSkyLight":15,"minSkyLight":8,"timeRange":"day"}</t>
        </is>
      </c>
      <c r="AR1117" s="18" t="inlineStr">
        <is>
          <t>{"biomes":["#cobblemon:is_spooky"]}</t>
        </is>
      </c>
      <c r="AS1117" s="18" t="inlineStr"/>
      <c r="AT1117" s="19" t="inlineStr"/>
    </row>
    <row r="1118" ht="32" customHeight="1">
      <c r="A1118" s="18" t="inlineStr">
        <is>
          <t>0277_swellow.json::swellow-3::002</t>
        </is>
      </c>
      <c r="B1118" s="19" t="inlineStr">
        <is>
          <t>사용</t>
        </is>
      </c>
      <c r="C1118" s="18">
        <f>IF(OR(B1118&lt;&gt;AK1118,M1118&lt;&gt;L1118,O1118&lt;&gt;"",Q1118&lt;&gt;"",V1118&lt;&gt;1,Y1118&lt;&gt;"",AT1118&lt;&gt;""),"수정","원본")</f>
        <v/>
      </c>
      <c r="D1118" s="18" t="n">
        <v>277</v>
      </c>
      <c r="E1118" s="18" t="inlineStr">
        <is>
          <t>스왈로</t>
        </is>
      </c>
      <c r="F1118" s="18" t="inlineStr">
        <is>
          <t>swellow</t>
        </is>
      </c>
      <c r="G1118" s="18" t="inlineStr">
        <is>
          <t>swellow</t>
        </is>
      </c>
      <c r="H1118" s="18" t="inlineStr"/>
      <c r="I1118" s="18" t="n">
        <v>3</v>
      </c>
      <c r="J1118" s="18" t="n"/>
      <c r="K1118" s="18" t="n">
        <v>3</v>
      </c>
      <c r="L1118" s="18" t="inlineStr">
        <is>
          <t>cobbleventure:generation_3</t>
        </is>
      </c>
      <c r="M1118" s="19" t="inlineStr">
        <is>
          <t>cobbleventure:generation_3</t>
        </is>
      </c>
      <c r="N1118" s="18" t="inlineStr"/>
      <c r="O1118" s="19" t="inlineStr"/>
      <c r="P1118" s="18" t="inlineStr">
        <is>
          <t>#aether:is_aether</t>
        </is>
      </c>
      <c r="Q1118" s="19" t="inlineStr"/>
      <c r="R1118" s="18">
        <f>IF(Q1118="",P1118,Q1118)</f>
        <v/>
      </c>
      <c r="S1118" s="18" t="inlineStr"/>
      <c r="T1118" s="18" t="inlineStr">
        <is>
          <t>common</t>
        </is>
      </c>
      <c r="U1118" s="20" t="n">
        <v>1</v>
      </c>
      <c r="V1118" s="21" t="n">
        <v>1</v>
      </c>
      <c r="W1118" s="20">
        <f>IF(OR(U1118="",V1118=""),U1118,U1118*V1118)</f>
        <v/>
      </c>
      <c r="X1118" s="18" t="inlineStr">
        <is>
          <t>22-46</t>
        </is>
      </c>
      <c r="Y1118" s="19" t="inlineStr"/>
      <c r="Z1118" s="18">
        <f>IF(Y1118="",X1118,Y1118)</f>
        <v/>
      </c>
      <c r="AA1118" s="18" t="inlineStr">
        <is>
          <t>grounded</t>
        </is>
      </c>
      <c r="AB1118" s="18" t="inlineStr"/>
      <c r="AC1118" s="18" t="inlineStr"/>
      <c r="AD1118" s="18" t="inlineStr"/>
      <c r="AE1118" s="18" t="inlineStr">
        <is>
          <t>sky 8-15</t>
        </is>
      </c>
      <c r="AF1118" s="18" t="inlineStr"/>
      <c r="AG1118" s="18" t="inlineStr"/>
      <c r="AH1118" s="18" t="inlineStr"/>
      <c r="AI1118" s="18" t="inlineStr"/>
      <c r="AJ1118" s="18" t="inlineStr">
        <is>
          <t>Cobblemon 동일</t>
        </is>
      </c>
      <c r="AK1118" s="18" t="inlineStr">
        <is>
          <t>사용</t>
        </is>
      </c>
      <c r="AL1118" s="18" t="inlineStr">
        <is>
          <t>COBBLEVERSE 1.7.42 / DP v31</t>
        </is>
      </c>
      <c r="AM1118" s="18" t="inlineStr">
        <is>
          <t>data/cobblemon/spawn_pool_world/0277_swellow.json</t>
        </is>
      </c>
      <c r="AN1118" s="18" t="inlineStr">
        <is>
          <t>swellow-3</t>
        </is>
      </c>
      <c r="AO1118" s="18" t="inlineStr">
        <is>
          <t>pokemon</t>
        </is>
      </c>
      <c r="AP1118" s="18" t="inlineStr">
        <is>
          <t>natural; treetop</t>
        </is>
      </c>
      <c r="AQ1118" s="18" t="inlineStr">
        <is>
          <t>{"biomes":["#aether:is_aether"],"maxSkyLight":15,"minSkyLight":8}</t>
        </is>
      </c>
      <c r="AR1118" s="18" t="inlineStr"/>
      <c r="AS1118" s="18" t="inlineStr"/>
      <c r="AT1118" s="19" t="inlineStr"/>
    </row>
    <row r="1119" ht="32" customHeight="1">
      <c r="A1119" s="18" t="inlineStr">
        <is>
          <t>0278_wingull.json::wingull-1::001</t>
        </is>
      </c>
      <c r="B1119" s="19" t="inlineStr">
        <is>
          <t>사용</t>
        </is>
      </c>
      <c r="C1119" s="18">
        <f>IF(OR(B1119&lt;&gt;AK1119,M1119&lt;&gt;L1119,O1119&lt;&gt;"",Q1119&lt;&gt;"",V1119&lt;&gt;1,Y1119&lt;&gt;"",AT1119&lt;&gt;""),"수정","원본")</f>
        <v/>
      </c>
      <c r="D1119" s="18" t="n">
        <v>278</v>
      </c>
      <c r="E1119" s="18" t="inlineStr">
        <is>
          <t>갈모매</t>
        </is>
      </c>
      <c r="F1119" s="18" t="inlineStr">
        <is>
          <t>wingull</t>
        </is>
      </c>
      <c r="G1119" s="18" t="inlineStr">
        <is>
          <t>wingull</t>
        </is>
      </c>
      <c r="H1119" s="18" t="inlineStr"/>
      <c r="I1119" s="18" t="n">
        <v>3</v>
      </c>
      <c r="J1119" s="18" t="n"/>
      <c r="K1119" s="18" t="n">
        <v>3</v>
      </c>
      <c r="L1119" s="18" t="inlineStr">
        <is>
          <t>cobbleventure:generation_3</t>
        </is>
      </c>
      <c r="M1119" s="19" t="inlineStr">
        <is>
          <t>cobbleventure:generation_3</t>
        </is>
      </c>
      <c r="N1119" s="18" t="inlineStr"/>
      <c r="O1119" s="19" t="inlineStr"/>
      <c r="P1119" s="18" t="inlineStr">
        <is>
          <t>#cobblemon:is_coast; #cobblemon:is_ocean; #cobblemon:is_sky; #cobblemon:is_tropical_island</t>
        </is>
      </c>
      <c r="Q1119" s="19" t="inlineStr"/>
      <c r="R1119" s="18">
        <f>IF(Q1119="",P1119,Q1119)</f>
        <v/>
      </c>
      <c r="S1119" s="18" t="inlineStr">
        <is>
          <t>#cobblemon:is_freezing</t>
        </is>
      </c>
      <c r="T1119" s="18" t="inlineStr">
        <is>
          <t>common</t>
        </is>
      </c>
      <c r="U1119" s="20" t="n">
        <v>9</v>
      </c>
      <c r="V1119" s="21" t="n">
        <v>1</v>
      </c>
      <c r="W1119" s="20">
        <f>IF(OR(U1119="",V1119=""),U1119,U1119*V1119)</f>
        <v/>
      </c>
      <c r="X1119" s="18" t="inlineStr">
        <is>
          <t>2-27</t>
        </is>
      </c>
      <c r="Y1119" s="19" t="inlineStr"/>
      <c r="Z1119" s="18">
        <f>IF(Y1119="",X1119,Y1119)</f>
        <v/>
      </c>
      <c r="AA1119" s="18" t="inlineStr">
        <is>
          <t>grounded</t>
        </is>
      </c>
      <c r="AB1119" s="18" t="inlineStr">
        <is>
          <t>day</t>
        </is>
      </c>
      <c r="AC1119" s="18" t="inlineStr"/>
      <c r="AD1119" s="18" t="inlineStr"/>
      <c r="AE1119" s="18" t="inlineStr">
        <is>
          <t>sky 8-15</t>
        </is>
      </c>
      <c r="AF1119" s="18" t="inlineStr"/>
      <c r="AG1119" s="18" t="inlineStr"/>
      <c r="AH1119" s="18" t="inlineStr"/>
      <c r="AI1119" s="18" t="inlineStr"/>
      <c r="AJ1119" s="18" t="inlineStr">
        <is>
          <t>COBBLEVERSE 수정</t>
        </is>
      </c>
      <c r="AK1119" s="18" t="inlineStr">
        <is>
          <t>사용</t>
        </is>
      </c>
      <c r="AL1119" s="18" t="inlineStr">
        <is>
          <t>COBBLEVERSE 1.7.42 / DP v31</t>
        </is>
      </c>
      <c r="AM1119" s="18" t="inlineStr">
        <is>
          <t>data/cobblemon/spawn_pool_world/0278_wingull.json</t>
        </is>
      </c>
      <c r="AN1119" s="18" t="inlineStr">
        <is>
          <t>wingull-1</t>
        </is>
      </c>
      <c r="AO1119" s="18" t="inlineStr">
        <is>
          <t>pokemon</t>
        </is>
      </c>
      <c r="AP1119" s="18" t="inlineStr">
        <is>
          <t>natural; treetop</t>
        </is>
      </c>
      <c r="AQ1119" s="18" t="inlineStr">
        <is>
          <t>{"biomes":["#cobblemon:is_coast","#cobblemon:is_ocean","#cobblemon:is_sky","#cobblemon:is_tropical_island"],"maxSkyLight":15,"minSkyLight":8,"timeRange":"day"}</t>
        </is>
      </c>
      <c r="AR1119" s="18" t="inlineStr">
        <is>
          <t>{"biomes":["#cobblemon:is_freezing"]}</t>
        </is>
      </c>
      <c r="AS1119" s="18" t="inlineStr"/>
      <c r="AT1119" s="19" t="inlineStr"/>
    </row>
    <row r="1120" ht="32" customHeight="1">
      <c r="A1120" s="18" t="inlineStr">
        <is>
          <t>0279_pelipper.json::pelipper-1::001</t>
        </is>
      </c>
      <c r="B1120" s="19" t="inlineStr">
        <is>
          <t>사용</t>
        </is>
      </c>
      <c r="C1120" s="18">
        <f>IF(OR(B1120&lt;&gt;AK1120,M1120&lt;&gt;L1120,O1120&lt;&gt;"",Q1120&lt;&gt;"",V1120&lt;&gt;1,Y1120&lt;&gt;"",AT1120&lt;&gt;""),"수정","원본")</f>
        <v/>
      </c>
      <c r="D1120" s="18" t="n">
        <v>279</v>
      </c>
      <c r="E1120" s="18" t="inlineStr">
        <is>
          <t>패리퍼</t>
        </is>
      </c>
      <c r="F1120" s="18" t="inlineStr">
        <is>
          <t>pelipper</t>
        </is>
      </c>
      <c r="G1120" s="18" t="inlineStr">
        <is>
          <t>pelipper</t>
        </is>
      </c>
      <c r="H1120" s="18" t="inlineStr"/>
      <c r="I1120" s="18" t="n">
        <v>3</v>
      </c>
      <c r="J1120" s="18" t="n"/>
      <c r="K1120" s="18" t="n">
        <v>3</v>
      </c>
      <c r="L1120" s="18" t="inlineStr">
        <is>
          <t>cobbleventure:generation_3</t>
        </is>
      </c>
      <c r="M1120" s="19" t="inlineStr">
        <is>
          <t>cobbleventure:generation_3</t>
        </is>
      </c>
      <c r="N1120" s="18" t="inlineStr"/>
      <c r="O1120" s="19" t="inlineStr"/>
      <c r="P1120" s="18" t="inlineStr">
        <is>
          <t>#cobblemon:is_coast; #cobblemon:is_ocean; #cobblemon:is_sky; #cobblemon:is_tropical_island</t>
        </is>
      </c>
      <c r="Q1120" s="19" t="inlineStr"/>
      <c r="R1120" s="18">
        <f>IF(Q1120="",P1120,Q1120)</f>
        <v/>
      </c>
      <c r="S1120" s="18" t="inlineStr">
        <is>
          <t>#cobblemon:is_freezing</t>
        </is>
      </c>
      <c r="T1120" s="18" t="inlineStr">
        <is>
          <t>common</t>
        </is>
      </c>
      <c r="U1120" s="20" t="n">
        <v>1</v>
      </c>
      <c r="V1120" s="21" t="n">
        <v>1</v>
      </c>
      <c r="W1120" s="20">
        <f>IF(OR(U1120="",V1120=""),U1120,U1120*V1120)</f>
        <v/>
      </c>
      <c r="X1120" s="18" t="inlineStr">
        <is>
          <t>25-44</t>
        </is>
      </c>
      <c r="Y1120" s="19" t="inlineStr"/>
      <c r="Z1120" s="18">
        <f>IF(Y1120="",X1120,Y1120)</f>
        <v/>
      </c>
      <c r="AA1120" s="18" t="inlineStr">
        <is>
          <t>grounded</t>
        </is>
      </c>
      <c r="AB1120" s="18" t="inlineStr">
        <is>
          <t>day</t>
        </is>
      </c>
      <c r="AC1120" s="18" t="inlineStr"/>
      <c r="AD1120" s="18" t="inlineStr"/>
      <c r="AE1120" s="18" t="inlineStr">
        <is>
          <t>sky 8-15</t>
        </is>
      </c>
      <c r="AF1120" s="18" t="inlineStr"/>
      <c r="AG1120" s="18" t="inlineStr"/>
      <c r="AH1120" s="18" t="inlineStr"/>
      <c r="AI1120" s="18" t="inlineStr"/>
      <c r="AJ1120" s="18" t="inlineStr">
        <is>
          <t>COBBLEVERSE 수정</t>
        </is>
      </c>
      <c r="AK1120" s="18" t="inlineStr">
        <is>
          <t>사용</t>
        </is>
      </c>
      <c r="AL1120" s="18" t="inlineStr">
        <is>
          <t>COBBLEVERSE 1.7.42 / DP v31</t>
        </is>
      </c>
      <c r="AM1120" s="18" t="inlineStr">
        <is>
          <t>data/cobblemon/spawn_pool_world/0279_pelipper.json</t>
        </is>
      </c>
      <c r="AN1120" s="18" t="inlineStr">
        <is>
          <t>pelipper-1</t>
        </is>
      </c>
      <c r="AO1120" s="18" t="inlineStr">
        <is>
          <t>pokemon</t>
        </is>
      </c>
      <c r="AP1120" s="18" t="inlineStr">
        <is>
          <t>natural; treetop</t>
        </is>
      </c>
      <c r="AQ1120" s="18" t="inlineStr">
        <is>
          <t>{"biomes":["#cobblemon:is_coast","#cobblemon:is_ocean","#cobblemon:is_sky","#cobblemon:is_tropical_island"],"maxSkyLight":15,"minSkyLight":8,"timeRange":"day"}</t>
        </is>
      </c>
      <c r="AR1120" s="18" t="inlineStr">
        <is>
          <t>{"biomes":["#cobblemon:is_freezing"]}</t>
        </is>
      </c>
      <c r="AS1120" s="18" t="inlineStr"/>
      <c r="AT1120" s="19" t="inlineStr"/>
    </row>
    <row r="1121" ht="32" customHeight="1">
      <c r="A1121" s="18" t="inlineStr">
        <is>
          <t>0280_ralts.json::ralts-1::001</t>
        </is>
      </c>
      <c r="B1121" s="19" t="inlineStr">
        <is>
          <t>사용</t>
        </is>
      </c>
      <c r="C1121" s="18">
        <f>IF(OR(B1121&lt;&gt;AK1121,M1121&lt;&gt;L1121,O1121&lt;&gt;"",Q1121&lt;&gt;"",V1121&lt;&gt;1,Y1121&lt;&gt;"",AT1121&lt;&gt;""),"수정","원본")</f>
        <v/>
      </c>
      <c r="D1121" s="18" t="n">
        <v>280</v>
      </c>
      <c r="E1121" s="18" t="inlineStr">
        <is>
          <t>랄토스</t>
        </is>
      </c>
      <c r="F1121" s="18" t="inlineStr">
        <is>
          <t>ralts</t>
        </is>
      </c>
      <c r="G1121" s="18" t="inlineStr">
        <is>
          <t>ralts</t>
        </is>
      </c>
      <c r="H1121" s="18" t="inlineStr"/>
      <c r="I1121" s="18" t="n">
        <v>3</v>
      </c>
      <c r="J1121" s="18" t="n"/>
      <c r="K1121" s="18" t="n">
        <v>3</v>
      </c>
      <c r="L1121" s="18" t="inlineStr">
        <is>
          <t>cobbleventure:generation_3</t>
        </is>
      </c>
      <c r="M1121" s="19" t="inlineStr">
        <is>
          <t>cobbleventure:generation_3</t>
        </is>
      </c>
      <c r="N1121" s="18" t="inlineStr"/>
      <c r="O1121" s="19" t="inlineStr"/>
      <c r="P1121" s="18" t="inlineStr">
        <is>
          <t>#cobblemon:is_floral; #cobblemon:is_magical; aether:skyroot_grove; aether:skyroot_meadow; #cobblemon:is_snowy_forest</t>
        </is>
      </c>
      <c r="Q1121" s="19" t="inlineStr"/>
      <c r="R1121" s="18">
        <f>IF(Q1121="",P1121,Q1121)</f>
        <v/>
      </c>
      <c r="S1121" s="18" t="inlineStr"/>
      <c r="T1121" s="18" t="inlineStr">
        <is>
          <t>rare</t>
        </is>
      </c>
      <c r="U1121" s="20" t="n">
        <v>7.5</v>
      </c>
      <c r="V1121" s="21" t="n">
        <v>1</v>
      </c>
      <c r="W1121" s="20">
        <f>IF(OR(U1121="",V1121=""),U1121,U1121*V1121)</f>
        <v/>
      </c>
      <c r="X1121" s="18" t="inlineStr">
        <is>
          <t>1-20</t>
        </is>
      </c>
      <c r="Y1121" s="19" t="inlineStr"/>
      <c r="Z1121" s="18">
        <f>IF(Y1121="",X1121,Y1121)</f>
        <v/>
      </c>
      <c r="AA1121" s="18" t="inlineStr">
        <is>
          <t>grounded</t>
        </is>
      </c>
      <c r="AB1121" s="18" t="inlineStr"/>
      <c r="AC1121" s="18" t="inlineStr"/>
      <c r="AD1121" s="18" t="inlineStr"/>
      <c r="AE1121" s="18" t="inlineStr">
        <is>
          <t>sky 8-15</t>
        </is>
      </c>
      <c r="AF1121" s="18" t="inlineStr"/>
      <c r="AG1121" s="18" t="inlineStr"/>
      <c r="AH1121" s="18" t="inlineStr"/>
      <c r="AI1121" s="18" t="inlineStr"/>
      <c r="AJ1121" s="18" t="inlineStr">
        <is>
          <t>COBBLEVERSE 수정</t>
        </is>
      </c>
      <c r="AK1121" s="18" t="inlineStr">
        <is>
          <t>사용</t>
        </is>
      </c>
      <c r="AL1121" s="18" t="inlineStr">
        <is>
          <t>COBBLEVERSE 1.7.42 / DP v31</t>
        </is>
      </c>
      <c r="AM1121" s="18" t="inlineStr">
        <is>
          <t>data/cobblemon/spawn_pool_world/0280_ralts.json</t>
        </is>
      </c>
      <c r="AN1121" s="18" t="inlineStr">
        <is>
          <t>ralts-1</t>
        </is>
      </c>
      <c r="AO1121" s="18" t="inlineStr">
        <is>
          <t>pokemon</t>
        </is>
      </c>
      <c r="AP1121" s="18" t="inlineStr">
        <is>
          <t>natural</t>
        </is>
      </c>
      <c r="AQ1121" s="18" t="inlineStr">
        <is>
          <t>{"biomes":["#cobblemon:is_floral","#cobblemon:is_magical","aether:skyroot_grove","aether:skyroot_meadow","#cobblemon:is_snowy_forest"],"maxSkyLight":15,"minSkyLight":8}</t>
        </is>
      </c>
      <c r="AR1121" s="18" t="inlineStr"/>
      <c r="AS1121" s="18" t="inlineStr"/>
      <c r="AT1121" s="19" t="inlineStr"/>
    </row>
    <row r="1122" ht="32" customHeight="1">
      <c r="A1122" s="18" t="inlineStr">
        <is>
          <t>0280_ralts.json::ralts-3::002</t>
        </is>
      </c>
      <c r="B1122" s="19" t="inlineStr">
        <is>
          <t>사용</t>
        </is>
      </c>
      <c r="C1122" s="18">
        <f>IF(OR(B1122&lt;&gt;AK1122,M1122&lt;&gt;L1122,O1122&lt;&gt;"",Q1122&lt;&gt;"",V1122&lt;&gt;1,Y1122&lt;&gt;"",AT1122&lt;&gt;""),"수정","원본")</f>
        <v/>
      </c>
      <c r="D1122" s="18" t="n">
        <v>280</v>
      </c>
      <c r="E1122" s="18" t="inlineStr">
        <is>
          <t>랄토스</t>
        </is>
      </c>
      <c r="F1122" s="18" t="inlineStr">
        <is>
          <t>ralts</t>
        </is>
      </c>
      <c r="G1122" s="18" t="inlineStr">
        <is>
          <t>ralts</t>
        </is>
      </c>
      <c r="H1122" s="18" t="inlineStr"/>
      <c r="I1122" s="18" t="n">
        <v>3</v>
      </c>
      <c r="J1122" s="18" t="n"/>
      <c r="K1122" s="18" t="n">
        <v>3</v>
      </c>
      <c r="L1122" s="18" t="inlineStr">
        <is>
          <t>cobbleventure:generation_3</t>
        </is>
      </c>
      <c r="M1122" s="19" t="inlineStr">
        <is>
          <t>cobbleventure:generation_3</t>
        </is>
      </c>
      <c r="N1122" s="18" t="inlineStr">
        <is>
          <t>region_01; region_02</t>
        </is>
      </c>
      <c r="O1122" s="19" t="inlineStr"/>
      <c r="P1122" s="18" t="inlineStr">
        <is>
          <t>#cobblemon:is_overworld</t>
        </is>
      </c>
      <c r="Q1122" s="19" t="inlineStr"/>
      <c r="R1122" s="18">
        <f>IF(Q1122="",P1122,Q1122)</f>
        <v/>
      </c>
      <c r="S1122" s="18" t="inlineStr"/>
      <c r="T1122" s="18" t="inlineStr">
        <is>
          <t>rare</t>
        </is>
      </c>
      <c r="U1122" s="20" t="n">
        <v>1.5</v>
      </c>
      <c r="V1122" s="21" t="n">
        <v>1</v>
      </c>
      <c r="W1122" s="20">
        <f>IF(OR(U1122="",V1122=""),U1122,U1122*V1122)</f>
        <v/>
      </c>
      <c r="X1122" s="18" t="inlineStr">
        <is>
          <t>1-20</t>
        </is>
      </c>
      <c r="Y1122" s="19" t="inlineStr"/>
      <c r="Z1122" s="18">
        <f>IF(Y1122="",X1122,Y1122)</f>
        <v/>
      </c>
      <c r="AA1122" s="18" t="inlineStr">
        <is>
          <t>grounded</t>
        </is>
      </c>
      <c r="AB1122" s="18" t="inlineStr"/>
      <c r="AC1122" s="18" t="inlineStr"/>
      <c r="AD1122" s="18" t="inlineStr"/>
      <c r="AE1122" s="18" t="inlineStr">
        <is>
          <t>sky 8-15</t>
        </is>
      </c>
      <c r="AF1122" s="18" t="inlineStr"/>
      <c r="AG1122" s="18" t="inlineStr">
        <is>
          <t>#minecraft:village</t>
        </is>
      </c>
      <c r="AH1122" s="18" t="inlineStr"/>
      <c r="AI1122" s="18" t="inlineStr"/>
      <c r="AJ1122" s="18" t="inlineStr">
        <is>
          <t>COBBLEVERSE 수정</t>
        </is>
      </c>
      <c r="AK1122" s="18" t="inlineStr">
        <is>
          <t>사용</t>
        </is>
      </c>
      <c r="AL1122" s="18" t="inlineStr">
        <is>
          <t>COBBLEVERSE 1.7.42 / DP v31</t>
        </is>
      </c>
      <c r="AM1122" s="18" t="inlineStr">
        <is>
          <t>data/cobblemon/spawn_pool_world/0280_ralts.json</t>
        </is>
      </c>
      <c r="AN1122" s="18" t="inlineStr">
        <is>
          <t>ralts-3</t>
        </is>
      </c>
      <c r="AO1122" s="18" t="inlineStr">
        <is>
          <t>pokemon</t>
        </is>
      </c>
      <c r="AP1122" s="18" t="inlineStr">
        <is>
          <t>natural</t>
        </is>
      </c>
      <c r="AQ1122" s="18" t="inlineStr">
        <is>
          <t>{"biomes":["#cobblemon:is_overworld"],"maxSkyLight":15,"minSkyLight":8,"structures":["#minecraft:village"]}</t>
        </is>
      </c>
      <c r="AR1122" s="18" t="inlineStr"/>
      <c r="AS1122" s="18" t="inlineStr"/>
      <c r="AT1122" s="19" t="inlineStr"/>
    </row>
    <row r="1123" ht="32" customHeight="1">
      <c r="A1123" s="18" t="inlineStr">
        <is>
          <t>0280_ralts.json::ralts-4::003</t>
        </is>
      </c>
      <c r="B1123" s="19" t="inlineStr">
        <is>
          <t>사용</t>
        </is>
      </c>
      <c r="C1123" s="18">
        <f>IF(OR(B1123&lt;&gt;AK1123,M1123&lt;&gt;L1123,O1123&lt;&gt;"",Q1123&lt;&gt;"",V1123&lt;&gt;1,Y1123&lt;&gt;"",AT1123&lt;&gt;""),"수정","원본")</f>
        <v/>
      </c>
      <c r="D1123" s="18" t="n">
        <v>280</v>
      </c>
      <c r="E1123" s="18" t="inlineStr">
        <is>
          <t>랄토스</t>
        </is>
      </c>
      <c r="F1123" s="18" t="inlineStr">
        <is>
          <t>ralts</t>
        </is>
      </c>
      <c r="G1123" s="18" t="inlineStr">
        <is>
          <t>ralts</t>
        </is>
      </c>
      <c r="H1123" s="18" t="inlineStr"/>
      <c r="I1123" s="18" t="n">
        <v>3</v>
      </c>
      <c r="J1123" s="18" t="n"/>
      <c r="K1123" s="18" t="n">
        <v>3</v>
      </c>
      <c r="L1123" s="18" t="inlineStr">
        <is>
          <t>cobbleventure:generation_3</t>
        </is>
      </c>
      <c r="M1123" s="19" t="inlineStr">
        <is>
          <t>cobbleventure:generation_3</t>
        </is>
      </c>
      <c r="N1123" s="18" t="inlineStr">
        <is>
          <t>region_01; region_02</t>
        </is>
      </c>
      <c r="O1123" s="19" t="inlineStr"/>
      <c r="P1123" s="18" t="inlineStr">
        <is>
          <t>#cobblemon:is_overworld</t>
        </is>
      </c>
      <c r="Q1123" s="19" t="inlineStr"/>
      <c r="R1123" s="18">
        <f>IF(Q1123="",P1123,Q1123)</f>
        <v/>
      </c>
      <c r="S1123" s="18" t="inlineStr"/>
      <c r="T1123" s="18" t="inlineStr">
        <is>
          <t>common</t>
        </is>
      </c>
      <c r="U1123" s="20" t="n">
        <v>1.8</v>
      </c>
      <c r="V1123" s="21" t="n">
        <v>1</v>
      </c>
      <c r="W1123" s="20">
        <f>IF(OR(U1123="",V1123=""),U1123,U1123*V1123)</f>
        <v/>
      </c>
      <c r="X1123" s="18" t="inlineStr">
        <is>
          <t>1-20</t>
        </is>
      </c>
      <c r="Y1123" s="19" t="inlineStr"/>
      <c r="Z1123" s="18">
        <f>IF(Y1123="",X1123,Y1123)</f>
        <v/>
      </c>
      <c r="AA1123" s="18" t="inlineStr">
        <is>
          <t>grounded</t>
        </is>
      </c>
      <c r="AB1123" s="18" t="inlineStr"/>
      <c r="AC1123" s="18" t="inlineStr"/>
      <c r="AD1123" s="18" t="inlineStr"/>
      <c r="AE1123" s="18" t="inlineStr"/>
      <c r="AF1123" s="18" t="inlineStr">
        <is>
          <t>False</t>
        </is>
      </c>
      <c r="AG1123" s="18" t="inlineStr"/>
      <c r="AH1123" s="18" t="inlineStr"/>
      <c r="AI1123" s="18" t="inlineStr"/>
      <c r="AJ1123" s="18" t="inlineStr">
        <is>
          <t>COBBLEVERSE 수정</t>
        </is>
      </c>
      <c r="AK1123" s="18" t="inlineStr">
        <is>
          <t>사용</t>
        </is>
      </c>
      <c r="AL1123" s="18" t="inlineStr">
        <is>
          <t>COBBLEVERSE 1.7.42 / DP v31</t>
        </is>
      </c>
      <c r="AM1123" s="18" t="inlineStr">
        <is>
          <t>data/cobblemon/spawn_pool_world/0280_ralts.json</t>
        </is>
      </c>
      <c r="AN1123" s="18" t="inlineStr">
        <is>
          <t>ralts-4</t>
        </is>
      </c>
      <c r="AO1123" s="18" t="inlineStr">
        <is>
          <t>pokemon</t>
        </is>
      </c>
      <c r="AP1123" s="18" t="inlineStr">
        <is>
          <t>mansion</t>
        </is>
      </c>
      <c r="AQ1123" s="18" t="inlineStr">
        <is>
          <t>{"biomes":["#cobblemon:is_overworld"],"canSeeSky":false}</t>
        </is>
      </c>
      <c r="AR1123" s="18" t="inlineStr"/>
      <c r="AS1123" s="18" t="inlineStr"/>
      <c r="AT1123" s="19" t="inlineStr"/>
    </row>
    <row r="1124" ht="32" customHeight="1">
      <c r="A1124" s="18" t="inlineStr">
        <is>
          <t>0281_kirlia.json::kirlia-1::001</t>
        </is>
      </c>
      <c r="B1124" s="19" t="inlineStr">
        <is>
          <t>사용</t>
        </is>
      </c>
      <c r="C1124" s="18">
        <f>IF(OR(B1124&lt;&gt;AK1124,M1124&lt;&gt;L1124,O1124&lt;&gt;"",Q1124&lt;&gt;"",V1124&lt;&gt;1,Y1124&lt;&gt;"",AT1124&lt;&gt;""),"수정","원본")</f>
        <v/>
      </c>
      <c r="D1124" s="18" t="n">
        <v>281</v>
      </c>
      <c r="E1124" s="18" t="inlineStr">
        <is>
          <t>킬리아</t>
        </is>
      </c>
      <c r="F1124" s="18" t="inlineStr">
        <is>
          <t>kirlia</t>
        </is>
      </c>
      <c r="G1124" s="18" t="inlineStr">
        <is>
          <t>kirlia</t>
        </is>
      </c>
      <c r="H1124" s="18" t="inlineStr"/>
      <c r="I1124" s="18" t="n">
        <v>3</v>
      </c>
      <c r="J1124" s="18" t="n"/>
      <c r="K1124" s="18" t="n">
        <v>3</v>
      </c>
      <c r="L1124" s="18" t="inlineStr">
        <is>
          <t>cobbleventure:generation_3</t>
        </is>
      </c>
      <c r="M1124" s="19" t="inlineStr">
        <is>
          <t>cobbleventure:generation_3</t>
        </is>
      </c>
      <c r="N1124" s="18" t="inlineStr"/>
      <c r="O1124" s="19" t="inlineStr"/>
      <c r="P1124" s="18" t="inlineStr">
        <is>
          <t>#cobblemon:is_floral; #cobblemon:is_magical; aether:skyroot_grove; aether:skyroot_meadow; #cobblemon:is_snowy_forest</t>
        </is>
      </c>
      <c r="Q1124" s="19" t="inlineStr"/>
      <c r="R1124" s="18">
        <f>IF(Q1124="",P1124,Q1124)</f>
        <v/>
      </c>
      <c r="S1124" s="18" t="inlineStr"/>
      <c r="T1124" s="18" t="inlineStr">
        <is>
          <t>rare</t>
        </is>
      </c>
      <c r="U1124" s="20" t="n">
        <v>2.25</v>
      </c>
      <c r="V1124" s="21" t="n">
        <v>1</v>
      </c>
      <c r="W1124" s="20">
        <f>IF(OR(U1124="",V1124=""),U1124,U1124*V1124)</f>
        <v/>
      </c>
      <c r="X1124" s="18" t="inlineStr">
        <is>
          <t>20-29</t>
        </is>
      </c>
      <c r="Y1124" s="19" t="inlineStr"/>
      <c r="Z1124" s="18">
        <f>IF(Y1124="",X1124,Y1124)</f>
        <v/>
      </c>
      <c r="AA1124" s="18" t="inlineStr">
        <is>
          <t>grounded</t>
        </is>
      </c>
      <c r="AB1124" s="18" t="inlineStr"/>
      <c r="AC1124" s="18" t="inlineStr"/>
      <c r="AD1124" s="18" t="inlineStr"/>
      <c r="AE1124" s="18" t="inlineStr">
        <is>
          <t>sky 8-15</t>
        </is>
      </c>
      <c r="AF1124" s="18" t="inlineStr"/>
      <c r="AG1124" s="18" t="inlineStr"/>
      <c r="AH1124" s="18" t="inlineStr"/>
      <c r="AI1124" s="18" t="inlineStr"/>
      <c r="AJ1124" s="18" t="inlineStr">
        <is>
          <t>COBBLEVERSE 수정</t>
        </is>
      </c>
      <c r="AK1124" s="18" t="inlineStr">
        <is>
          <t>사용</t>
        </is>
      </c>
      <c r="AL1124" s="18" t="inlineStr">
        <is>
          <t>COBBLEVERSE 1.7.42 / DP v31</t>
        </is>
      </c>
      <c r="AM1124" s="18" t="inlineStr">
        <is>
          <t>data/cobblemon/spawn_pool_world/0281_kirlia.json</t>
        </is>
      </c>
      <c r="AN1124" s="18" t="inlineStr">
        <is>
          <t>kirlia-1</t>
        </is>
      </c>
      <c r="AO1124" s="18" t="inlineStr">
        <is>
          <t>pokemon</t>
        </is>
      </c>
      <c r="AP1124" s="18" t="inlineStr">
        <is>
          <t>natural</t>
        </is>
      </c>
      <c r="AQ1124" s="18" t="inlineStr">
        <is>
          <t>{"biomes":["#cobblemon:is_floral","#cobblemon:is_magical","aether:skyroot_grove","aether:skyroot_meadow","#cobblemon:is_snowy_forest"],"maxSkyLight":15,"minSkyLight":8}</t>
        </is>
      </c>
      <c r="AR1124" s="18" t="inlineStr"/>
      <c r="AS1124" s="18" t="inlineStr"/>
      <c r="AT1124" s="19" t="inlineStr"/>
    </row>
    <row r="1125" ht="32" customHeight="1">
      <c r="A1125" s="18" t="inlineStr">
        <is>
          <t>0281_kirlia.json::kirlia-3::002</t>
        </is>
      </c>
      <c r="B1125" s="19" t="inlineStr">
        <is>
          <t>사용</t>
        </is>
      </c>
      <c r="C1125" s="18">
        <f>IF(OR(B1125&lt;&gt;AK1125,M1125&lt;&gt;L1125,O1125&lt;&gt;"",Q1125&lt;&gt;"",V1125&lt;&gt;1,Y1125&lt;&gt;"",AT1125&lt;&gt;""),"수정","원본")</f>
        <v/>
      </c>
      <c r="D1125" s="18" t="n">
        <v>281</v>
      </c>
      <c r="E1125" s="18" t="inlineStr">
        <is>
          <t>킬리아</t>
        </is>
      </c>
      <c r="F1125" s="18" t="inlineStr">
        <is>
          <t>kirlia</t>
        </is>
      </c>
      <c r="G1125" s="18" t="inlineStr">
        <is>
          <t>kirlia</t>
        </is>
      </c>
      <c r="H1125" s="18" t="inlineStr"/>
      <c r="I1125" s="18" t="n">
        <v>3</v>
      </c>
      <c r="J1125" s="18" t="n"/>
      <c r="K1125" s="18" t="n">
        <v>3</v>
      </c>
      <c r="L1125" s="18" t="inlineStr">
        <is>
          <t>cobbleventure:generation_3</t>
        </is>
      </c>
      <c r="M1125" s="19" t="inlineStr">
        <is>
          <t>cobbleventure:generation_3</t>
        </is>
      </c>
      <c r="N1125" s="18" t="inlineStr">
        <is>
          <t>region_01; region_02</t>
        </is>
      </c>
      <c r="O1125" s="19" t="inlineStr"/>
      <c r="P1125" s="18" t="inlineStr">
        <is>
          <t>#cobblemon:is_overworld</t>
        </is>
      </c>
      <c r="Q1125" s="19" t="inlineStr"/>
      <c r="R1125" s="18">
        <f>IF(Q1125="",P1125,Q1125)</f>
        <v/>
      </c>
      <c r="S1125" s="18" t="inlineStr"/>
      <c r="T1125" s="18" t="inlineStr">
        <is>
          <t>rare</t>
        </is>
      </c>
      <c r="U1125" s="20" t="n">
        <v>0.45</v>
      </c>
      <c r="V1125" s="21" t="n">
        <v>1</v>
      </c>
      <c r="W1125" s="20">
        <f>IF(OR(U1125="",V1125=""),U1125,U1125*V1125)</f>
        <v/>
      </c>
      <c r="X1125" s="18" t="inlineStr">
        <is>
          <t>20-29</t>
        </is>
      </c>
      <c r="Y1125" s="19" t="inlineStr"/>
      <c r="Z1125" s="18">
        <f>IF(Y1125="",X1125,Y1125)</f>
        <v/>
      </c>
      <c r="AA1125" s="18" t="inlineStr">
        <is>
          <t>grounded</t>
        </is>
      </c>
      <c r="AB1125" s="18" t="inlineStr"/>
      <c r="AC1125" s="18" t="inlineStr"/>
      <c r="AD1125" s="18" t="inlineStr"/>
      <c r="AE1125" s="18" t="inlineStr">
        <is>
          <t>sky 8-15</t>
        </is>
      </c>
      <c r="AF1125" s="18" t="inlineStr"/>
      <c r="AG1125" s="18" t="inlineStr">
        <is>
          <t>#minecraft:village</t>
        </is>
      </c>
      <c r="AH1125" s="18" t="inlineStr"/>
      <c r="AI1125" s="18" t="inlineStr"/>
      <c r="AJ1125" s="18" t="inlineStr">
        <is>
          <t>COBBLEVERSE 수정</t>
        </is>
      </c>
      <c r="AK1125" s="18" t="inlineStr">
        <is>
          <t>사용</t>
        </is>
      </c>
      <c r="AL1125" s="18" t="inlineStr">
        <is>
          <t>COBBLEVERSE 1.7.42 / DP v31</t>
        </is>
      </c>
      <c r="AM1125" s="18" t="inlineStr">
        <is>
          <t>data/cobblemon/spawn_pool_world/0281_kirlia.json</t>
        </is>
      </c>
      <c r="AN1125" s="18" t="inlineStr">
        <is>
          <t>kirlia-3</t>
        </is>
      </c>
      <c r="AO1125" s="18" t="inlineStr">
        <is>
          <t>pokemon</t>
        </is>
      </c>
      <c r="AP1125" s="18" t="inlineStr">
        <is>
          <t>natural</t>
        </is>
      </c>
      <c r="AQ1125" s="18" t="inlineStr">
        <is>
          <t>{"biomes":["#cobblemon:is_overworld"],"maxSkyLight":15,"minSkyLight":8,"structures":["#minecraft:village"]}</t>
        </is>
      </c>
      <c r="AR1125" s="18" t="inlineStr"/>
      <c r="AS1125" s="18" t="inlineStr"/>
      <c r="AT1125" s="19" t="inlineStr"/>
    </row>
    <row r="1126" ht="32" customHeight="1">
      <c r="A1126" s="18" t="inlineStr">
        <is>
          <t>0281_kirlia.json::kirlia-4::003</t>
        </is>
      </c>
      <c r="B1126" s="19" t="inlineStr">
        <is>
          <t>사용</t>
        </is>
      </c>
      <c r="C1126" s="18">
        <f>IF(OR(B1126&lt;&gt;AK1126,M1126&lt;&gt;L1126,O1126&lt;&gt;"",Q1126&lt;&gt;"",V1126&lt;&gt;1,Y1126&lt;&gt;"",AT1126&lt;&gt;""),"수정","원본")</f>
        <v/>
      </c>
      <c r="D1126" s="18" t="n">
        <v>281</v>
      </c>
      <c r="E1126" s="18" t="inlineStr">
        <is>
          <t>킬리아</t>
        </is>
      </c>
      <c r="F1126" s="18" t="inlineStr">
        <is>
          <t>kirlia</t>
        </is>
      </c>
      <c r="G1126" s="18" t="inlineStr">
        <is>
          <t>kirlia</t>
        </is>
      </c>
      <c r="H1126" s="18" t="inlineStr"/>
      <c r="I1126" s="18" t="n">
        <v>3</v>
      </c>
      <c r="J1126" s="18" t="n"/>
      <c r="K1126" s="18" t="n">
        <v>3</v>
      </c>
      <c r="L1126" s="18" t="inlineStr">
        <is>
          <t>cobbleventure:generation_3</t>
        </is>
      </c>
      <c r="M1126" s="19" t="inlineStr">
        <is>
          <t>cobbleventure:generation_3</t>
        </is>
      </c>
      <c r="N1126" s="18" t="inlineStr">
        <is>
          <t>region_01; region_02</t>
        </is>
      </c>
      <c r="O1126" s="19" t="inlineStr"/>
      <c r="P1126" s="18" t="inlineStr">
        <is>
          <t>#cobblemon:is_overworld</t>
        </is>
      </c>
      <c r="Q1126" s="19" t="inlineStr"/>
      <c r="R1126" s="18">
        <f>IF(Q1126="",P1126,Q1126)</f>
        <v/>
      </c>
      <c r="S1126" s="18" t="inlineStr"/>
      <c r="T1126" s="18" t="inlineStr">
        <is>
          <t>common</t>
        </is>
      </c>
      <c r="U1126" s="20" t="n">
        <v>0.19</v>
      </c>
      <c r="V1126" s="21" t="n">
        <v>1</v>
      </c>
      <c r="W1126" s="20">
        <f>IF(OR(U1126="",V1126=""),U1126,U1126*V1126)</f>
        <v/>
      </c>
      <c r="X1126" s="18" t="inlineStr">
        <is>
          <t>20-29</t>
        </is>
      </c>
      <c r="Y1126" s="19" t="inlineStr"/>
      <c r="Z1126" s="18">
        <f>IF(Y1126="",X1126,Y1126)</f>
        <v/>
      </c>
      <c r="AA1126" s="18" t="inlineStr">
        <is>
          <t>grounded</t>
        </is>
      </c>
      <c r="AB1126" s="18" t="inlineStr"/>
      <c r="AC1126" s="18" t="inlineStr"/>
      <c r="AD1126" s="18" t="inlineStr"/>
      <c r="AE1126" s="18" t="inlineStr"/>
      <c r="AF1126" s="18" t="inlineStr">
        <is>
          <t>False</t>
        </is>
      </c>
      <c r="AG1126" s="18" t="inlineStr"/>
      <c r="AH1126" s="18" t="inlineStr"/>
      <c r="AI1126" s="18" t="inlineStr"/>
      <c r="AJ1126" s="18" t="inlineStr">
        <is>
          <t>COBBLEVERSE 수정</t>
        </is>
      </c>
      <c r="AK1126" s="18" t="inlineStr">
        <is>
          <t>사용</t>
        </is>
      </c>
      <c r="AL1126" s="18" t="inlineStr">
        <is>
          <t>COBBLEVERSE 1.7.42 / DP v31</t>
        </is>
      </c>
      <c r="AM1126" s="18" t="inlineStr">
        <is>
          <t>data/cobblemon/spawn_pool_world/0281_kirlia.json</t>
        </is>
      </c>
      <c r="AN1126" s="18" t="inlineStr">
        <is>
          <t>kirlia-4</t>
        </is>
      </c>
      <c r="AO1126" s="18" t="inlineStr">
        <is>
          <t>pokemon</t>
        </is>
      </c>
      <c r="AP1126" s="18" t="inlineStr">
        <is>
          <t>mansion</t>
        </is>
      </c>
      <c r="AQ1126" s="18" t="inlineStr">
        <is>
          <t>{"biomes":["#cobblemon:is_overworld"],"canSeeSky":false}</t>
        </is>
      </c>
      <c r="AR1126" s="18" t="inlineStr"/>
      <c r="AS1126" s="18" t="inlineStr"/>
      <c r="AT1126" s="19" t="inlineStr"/>
    </row>
    <row r="1127" ht="32" customHeight="1">
      <c r="A1127" s="18" t="inlineStr">
        <is>
          <t>0282_gardevoir.json::gardevoir-1::001</t>
        </is>
      </c>
      <c r="B1127" s="19" t="inlineStr">
        <is>
          <t>사용</t>
        </is>
      </c>
      <c r="C1127" s="18">
        <f>IF(OR(B1127&lt;&gt;AK1127,M1127&lt;&gt;L1127,O1127&lt;&gt;"",Q1127&lt;&gt;"",V1127&lt;&gt;1,Y1127&lt;&gt;"",AT1127&lt;&gt;""),"수정","원본")</f>
        <v/>
      </c>
      <c r="D1127" s="18" t="n">
        <v>282</v>
      </c>
      <c r="E1127" s="18" t="inlineStr">
        <is>
          <t>가디안</t>
        </is>
      </c>
      <c r="F1127" s="18" t="inlineStr">
        <is>
          <t>gardevoir</t>
        </is>
      </c>
      <c r="G1127" s="18" t="inlineStr">
        <is>
          <t>gardevoir</t>
        </is>
      </c>
      <c r="H1127" s="18" t="inlineStr"/>
      <c r="I1127" s="18" t="n">
        <v>3</v>
      </c>
      <c r="J1127" s="18" t="n"/>
      <c r="K1127" s="18" t="n">
        <v>3</v>
      </c>
      <c r="L1127" s="18" t="inlineStr">
        <is>
          <t>cobbleventure:generation_3</t>
        </is>
      </c>
      <c r="M1127" s="19" t="inlineStr">
        <is>
          <t>cobbleventure:generation_3</t>
        </is>
      </c>
      <c r="N1127" s="18" t="inlineStr"/>
      <c r="O1127" s="19" t="inlineStr"/>
      <c r="P1127" s="18" t="inlineStr">
        <is>
          <t>#cobblemon:is_floral; #cobblemon:is_magical; aether:skyroot_grove; aether:skyroot_meadow; #cobblemon:is_snowy_forest</t>
        </is>
      </c>
      <c r="Q1127" s="19" t="inlineStr"/>
      <c r="R1127" s="18">
        <f>IF(Q1127="",P1127,Q1127)</f>
        <v/>
      </c>
      <c r="S1127" s="18" t="inlineStr"/>
      <c r="T1127" s="18" t="inlineStr">
        <is>
          <t>rare</t>
        </is>
      </c>
      <c r="U1127" s="20" t="n">
        <v>0.1875</v>
      </c>
      <c r="V1127" s="21" t="n">
        <v>1</v>
      </c>
      <c r="W1127" s="20">
        <f>IF(OR(U1127="",V1127=""),U1127,U1127*V1127)</f>
        <v/>
      </c>
      <c r="X1127" s="18" t="inlineStr">
        <is>
          <t>30-52</t>
        </is>
      </c>
      <c r="Y1127" s="19" t="inlineStr"/>
      <c r="Z1127" s="18">
        <f>IF(Y1127="",X1127,Y1127)</f>
        <v/>
      </c>
      <c r="AA1127" s="18" t="inlineStr">
        <is>
          <t>grounded</t>
        </is>
      </c>
      <c r="AB1127" s="18" t="inlineStr"/>
      <c r="AC1127" s="18" t="inlineStr"/>
      <c r="AD1127" s="18" t="inlineStr"/>
      <c r="AE1127" s="18" t="inlineStr">
        <is>
          <t>sky 8-15</t>
        </is>
      </c>
      <c r="AF1127" s="18" t="inlineStr"/>
      <c r="AG1127" s="18" t="inlineStr"/>
      <c r="AH1127" s="18" t="inlineStr"/>
      <c r="AI1127" s="18" t="inlineStr"/>
      <c r="AJ1127" s="18" t="inlineStr">
        <is>
          <t>COBBLEVERSE 수정</t>
        </is>
      </c>
      <c r="AK1127" s="18" t="inlineStr">
        <is>
          <t>사용</t>
        </is>
      </c>
      <c r="AL1127" s="18" t="inlineStr">
        <is>
          <t>COBBLEVERSE 1.7.42 / DP v31</t>
        </is>
      </c>
      <c r="AM1127" s="18" t="inlineStr">
        <is>
          <t>data/cobblemon/spawn_pool_world/0282_gardevoir.json</t>
        </is>
      </c>
      <c r="AN1127" s="18" t="inlineStr">
        <is>
          <t>gardevoir-1</t>
        </is>
      </c>
      <c r="AO1127" s="18" t="inlineStr">
        <is>
          <t>pokemon</t>
        </is>
      </c>
      <c r="AP1127" s="18" t="inlineStr">
        <is>
          <t>natural</t>
        </is>
      </c>
      <c r="AQ1127" s="18" t="inlineStr">
        <is>
          <t>{"biomes":["#cobblemon:is_floral","#cobblemon:is_magical","aether:skyroot_grove","aether:skyroot_meadow","#cobblemon:is_snowy_forest"],"maxSkyLight":15,"minSkyLight":8}</t>
        </is>
      </c>
      <c r="AR1127" s="18" t="inlineStr"/>
      <c r="AS1127" s="18" t="inlineStr"/>
      <c r="AT1127" s="19" t="inlineStr"/>
    </row>
    <row r="1128" ht="32" customHeight="1">
      <c r="A1128" s="18" t="inlineStr">
        <is>
          <t>0282_gardevoir.json::gardevoir-3::002</t>
        </is>
      </c>
      <c r="B1128" s="19" t="inlineStr">
        <is>
          <t>사용</t>
        </is>
      </c>
      <c r="C1128" s="18">
        <f>IF(OR(B1128&lt;&gt;AK1128,M1128&lt;&gt;L1128,O1128&lt;&gt;"",Q1128&lt;&gt;"",V1128&lt;&gt;1,Y1128&lt;&gt;"",AT1128&lt;&gt;""),"수정","원본")</f>
        <v/>
      </c>
      <c r="D1128" s="18" t="n">
        <v>282</v>
      </c>
      <c r="E1128" s="18" t="inlineStr">
        <is>
          <t>가디안</t>
        </is>
      </c>
      <c r="F1128" s="18" t="inlineStr">
        <is>
          <t>gardevoir</t>
        </is>
      </c>
      <c r="G1128" s="18" t="inlineStr">
        <is>
          <t>gardevoir</t>
        </is>
      </c>
      <c r="H1128" s="18" t="inlineStr"/>
      <c r="I1128" s="18" t="n">
        <v>3</v>
      </c>
      <c r="J1128" s="18" t="n"/>
      <c r="K1128" s="18" t="n">
        <v>3</v>
      </c>
      <c r="L1128" s="18" t="inlineStr">
        <is>
          <t>cobbleventure:generation_3</t>
        </is>
      </c>
      <c r="M1128" s="19" t="inlineStr">
        <is>
          <t>cobbleventure:generation_3</t>
        </is>
      </c>
      <c r="N1128" s="18" t="inlineStr">
        <is>
          <t>region_01; region_02</t>
        </is>
      </c>
      <c r="O1128" s="19" t="inlineStr"/>
      <c r="P1128" s="18" t="inlineStr">
        <is>
          <t>#cobblemon:is_overworld</t>
        </is>
      </c>
      <c r="Q1128" s="19" t="inlineStr"/>
      <c r="R1128" s="18">
        <f>IF(Q1128="",P1128,Q1128)</f>
        <v/>
      </c>
      <c r="S1128" s="18" t="inlineStr"/>
      <c r="T1128" s="18" t="inlineStr">
        <is>
          <t>rare</t>
        </is>
      </c>
      <c r="U1128" s="20" t="n">
        <v>0.0375</v>
      </c>
      <c r="V1128" s="21" t="n">
        <v>1</v>
      </c>
      <c r="W1128" s="20">
        <f>IF(OR(U1128="",V1128=""),U1128,U1128*V1128)</f>
        <v/>
      </c>
      <c r="X1128" s="18" t="inlineStr">
        <is>
          <t>30-52</t>
        </is>
      </c>
      <c r="Y1128" s="19" t="inlineStr"/>
      <c r="Z1128" s="18">
        <f>IF(Y1128="",X1128,Y1128)</f>
        <v/>
      </c>
      <c r="AA1128" s="18" t="inlineStr">
        <is>
          <t>grounded</t>
        </is>
      </c>
      <c r="AB1128" s="18" t="inlineStr"/>
      <c r="AC1128" s="18" t="inlineStr"/>
      <c r="AD1128" s="18" t="inlineStr"/>
      <c r="AE1128" s="18" t="inlineStr">
        <is>
          <t>sky 8-15</t>
        </is>
      </c>
      <c r="AF1128" s="18" t="inlineStr"/>
      <c r="AG1128" s="18" t="inlineStr">
        <is>
          <t>#minecraft:village</t>
        </is>
      </c>
      <c r="AH1128" s="18" t="inlineStr"/>
      <c r="AI1128" s="18" t="inlineStr"/>
      <c r="AJ1128" s="18" t="inlineStr">
        <is>
          <t>COBBLEVERSE 수정</t>
        </is>
      </c>
      <c r="AK1128" s="18" t="inlineStr">
        <is>
          <t>사용</t>
        </is>
      </c>
      <c r="AL1128" s="18" t="inlineStr">
        <is>
          <t>COBBLEVERSE 1.7.42 / DP v31</t>
        </is>
      </c>
      <c r="AM1128" s="18" t="inlineStr">
        <is>
          <t>data/cobblemon/spawn_pool_world/0282_gardevoir.json</t>
        </is>
      </c>
      <c r="AN1128" s="18" t="inlineStr">
        <is>
          <t>gardevoir-3</t>
        </is>
      </c>
      <c r="AO1128" s="18" t="inlineStr">
        <is>
          <t>pokemon</t>
        </is>
      </c>
      <c r="AP1128" s="18" t="inlineStr">
        <is>
          <t>natural</t>
        </is>
      </c>
      <c r="AQ1128" s="18" t="inlineStr">
        <is>
          <t>{"biomes":["#cobblemon:is_overworld"],"maxSkyLight":15,"minSkyLight":8,"structures":["#minecraft:village"]}</t>
        </is>
      </c>
      <c r="AR1128" s="18" t="inlineStr"/>
      <c r="AS1128" s="18" t="inlineStr"/>
      <c r="AT1128" s="19" t="inlineStr"/>
    </row>
    <row r="1129" ht="32" customHeight="1">
      <c r="A1129" s="18" t="inlineStr">
        <is>
          <t>0282_gardevoir.json::gardevoir-4::003</t>
        </is>
      </c>
      <c r="B1129" s="19" t="inlineStr">
        <is>
          <t>사용</t>
        </is>
      </c>
      <c r="C1129" s="18">
        <f>IF(OR(B1129&lt;&gt;AK1129,M1129&lt;&gt;L1129,O1129&lt;&gt;"",Q1129&lt;&gt;"",V1129&lt;&gt;1,Y1129&lt;&gt;"",AT1129&lt;&gt;""),"수정","원본")</f>
        <v/>
      </c>
      <c r="D1129" s="18" t="n">
        <v>282</v>
      </c>
      <c r="E1129" s="18" t="inlineStr">
        <is>
          <t>가디안</t>
        </is>
      </c>
      <c r="F1129" s="18" t="inlineStr">
        <is>
          <t>gardevoir</t>
        </is>
      </c>
      <c r="G1129" s="18" t="inlineStr">
        <is>
          <t>gardevoir</t>
        </is>
      </c>
      <c r="H1129" s="18" t="inlineStr"/>
      <c r="I1129" s="18" t="n">
        <v>3</v>
      </c>
      <c r="J1129" s="18" t="n"/>
      <c r="K1129" s="18" t="n">
        <v>3</v>
      </c>
      <c r="L1129" s="18" t="inlineStr">
        <is>
          <t>cobbleventure:generation_3</t>
        </is>
      </c>
      <c r="M1129" s="19" t="inlineStr">
        <is>
          <t>cobbleventure:generation_3</t>
        </is>
      </c>
      <c r="N1129" s="18" t="inlineStr">
        <is>
          <t>region_01; region_02</t>
        </is>
      </c>
      <c r="O1129" s="19" t="inlineStr"/>
      <c r="P1129" s="18" t="inlineStr">
        <is>
          <t>#cobblemon:is_overworld</t>
        </is>
      </c>
      <c r="Q1129" s="19" t="inlineStr"/>
      <c r="R1129" s="18">
        <f>IF(Q1129="",P1129,Q1129)</f>
        <v/>
      </c>
      <c r="S1129" s="18" t="inlineStr"/>
      <c r="T1129" s="18" t="inlineStr">
        <is>
          <t>common</t>
        </is>
      </c>
      <c r="U1129" s="20" t="n">
        <v>0.0075</v>
      </c>
      <c r="V1129" s="21" t="n">
        <v>1</v>
      </c>
      <c r="W1129" s="20">
        <f>IF(OR(U1129="",V1129=""),U1129,U1129*V1129)</f>
        <v/>
      </c>
      <c r="X1129" s="18" t="inlineStr">
        <is>
          <t>30-52</t>
        </is>
      </c>
      <c r="Y1129" s="19" t="inlineStr"/>
      <c r="Z1129" s="18">
        <f>IF(Y1129="",X1129,Y1129)</f>
        <v/>
      </c>
      <c r="AA1129" s="18" t="inlineStr">
        <is>
          <t>grounded</t>
        </is>
      </c>
      <c r="AB1129" s="18" t="inlineStr"/>
      <c r="AC1129" s="18" t="inlineStr"/>
      <c r="AD1129" s="18" t="inlineStr"/>
      <c r="AE1129" s="18" t="inlineStr"/>
      <c r="AF1129" s="18" t="inlineStr">
        <is>
          <t>False</t>
        </is>
      </c>
      <c r="AG1129" s="18" t="inlineStr"/>
      <c r="AH1129" s="18" t="inlineStr"/>
      <c r="AI1129" s="18" t="inlineStr"/>
      <c r="AJ1129" s="18" t="inlineStr">
        <is>
          <t>COBBLEVERSE 수정</t>
        </is>
      </c>
      <c r="AK1129" s="18" t="inlineStr">
        <is>
          <t>사용</t>
        </is>
      </c>
      <c r="AL1129" s="18" t="inlineStr">
        <is>
          <t>COBBLEVERSE 1.7.42 / DP v31</t>
        </is>
      </c>
      <c r="AM1129" s="18" t="inlineStr">
        <is>
          <t>data/cobblemon/spawn_pool_world/0282_gardevoir.json</t>
        </is>
      </c>
      <c r="AN1129" s="18" t="inlineStr">
        <is>
          <t>gardevoir-4</t>
        </is>
      </c>
      <c r="AO1129" s="18" t="inlineStr">
        <is>
          <t>pokemon</t>
        </is>
      </c>
      <c r="AP1129" s="18" t="inlineStr">
        <is>
          <t>mansion</t>
        </is>
      </c>
      <c r="AQ1129" s="18" t="inlineStr">
        <is>
          <t>{"biomes":["#cobblemon:is_overworld"],"canSeeSky":false}</t>
        </is>
      </c>
      <c r="AR1129" s="18" t="inlineStr"/>
      <c r="AS1129" s="18" t="inlineStr"/>
      <c r="AT1129" s="19" t="inlineStr"/>
    </row>
    <row r="1130" ht="32" customHeight="1">
      <c r="A1130" s="18" t="inlineStr">
        <is>
          <t>0283_surskit.json::surskit-1::001</t>
        </is>
      </c>
      <c r="B1130" s="19" t="inlineStr">
        <is>
          <t>사용</t>
        </is>
      </c>
      <c r="C1130" s="18">
        <f>IF(OR(B1130&lt;&gt;AK1130,M1130&lt;&gt;L1130,O1130&lt;&gt;"",Q1130&lt;&gt;"",V1130&lt;&gt;1,Y1130&lt;&gt;"",AT1130&lt;&gt;""),"수정","원본")</f>
        <v/>
      </c>
      <c r="D1130" s="18" t="n">
        <v>283</v>
      </c>
      <c r="E1130" s="18" t="inlineStr">
        <is>
          <t>비구술</t>
        </is>
      </c>
      <c r="F1130" s="18" t="inlineStr">
        <is>
          <t>surskit</t>
        </is>
      </c>
      <c r="G1130" s="18" t="inlineStr">
        <is>
          <t>surskit</t>
        </is>
      </c>
      <c r="H1130" s="18" t="inlineStr"/>
      <c r="I1130" s="18" t="n">
        <v>3</v>
      </c>
      <c r="J1130" s="18" t="n"/>
      <c r="K1130" s="18" t="n">
        <v>3</v>
      </c>
      <c r="L1130" s="18" t="inlineStr">
        <is>
          <t>cobbleventure:generation_3</t>
        </is>
      </c>
      <c r="M1130" s="19" t="inlineStr">
        <is>
          <t>cobbleventure:generation_3</t>
        </is>
      </c>
      <c r="N1130" s="18" t="inlineStr">
        <is>
          <t>region_02</t>
        </is>
      </c>
      <c r="O1130" s="19" t="inlineStr"/>
      <c r="P1130" s="18" t="inlineStr">
        <is>
          <t>#cobblemon:is_freshwater</t>
        </is>
      </c>
      <c r="Q1130" s="19" t="inlineStr"/>
      <c r="R1130" s="18">
        <f>IF(Q1130="",P1130,Q1130)</f>
        <v/>
      </c>
      <c r="S1130" s="18" t="inlineStr">
        <is>
          <t>#cobblemon:is_freezing</t>
        </is>
      </c>
      <c r="T1130" s="18" t="inlineStr">
        <is>
          <t>uncommon</t>
        </is>
      </c>
      <c r="U1130" s="20" t="n">
        <v>5.04</v>
      </c>
      <c r="V1130" s="21" t="n">
        <v>1</v>
      </c>
      <c r="W1130" s="20">
        <f>IF(OR(U1130="",V1130=""),U1130,U1130*V1130)</f>
        <v/>
      </c>
      <c r="X1130" s="18" t="inlineStr">
        <is>
          <t>2-27</t>
        </is>
      </c>
      <c r="Y1130" s="19" t="inlineStr"/>
      <c r="Z1130" s="18">
        <f>IF(Y1130="",X1130,Y1130)</f>
        <v/>
      </c>
      <c r="AA1130" s="18" t="inlineStr">
        <is>
          <t>surface</t>
        </is>
      </c>
      <c r="AB1130" s="18" t="inlineStr"/>
      <c r="AC1130" s="18" t="inlineStr">
        <is>
          <t>비=False</t>
        </is>
      </c>
      <c r="AD1130" s="18" t="inlineStr"/>
      <c r="AE1130" s="18" t="inlineStr">
        <is>
          <t>sky 8-15</t>
        </is>
      </c>
      <c r="AF1130" s="18" t="inlineStr"/>
      <c r="AG1130" s="18" t="inlineStr"/>
      <c r="AH1130" s="18" t="inlineStr"/>
      <c r="AI1130" s="18" t="inlineStr"/>
      <c r="AJ1130" s="18" t="inlineStr">
        <is>
          <t>Cobblemon 동일</t>
        </is>
      </c>
      <c r="AK1130" s="18" t="inlineStr">
        <is>
          <t>사용</t>
        </is>
      </c>
      <c r="AL1130" s="18" t="inlineStr">
        <is>
          <t>COBBLEVERSE 1.7.42 / DP v31</t>
        </is>
      </c>
      <c r="AM1130" s="18" t="inlineStr">
        <is>
          <t>data/cobblemon/spawn_pool_world/0283_surskit.json</t>
        </is>
      </c>
      <c r="AN1130" s="18" t="inlineStr">
        <is>
          <t>surskit-1</t>
        </is>
      </c>
      <c r="AO1130" s="18" t="inlineStr">
        <is>
          <t>pokemon</t>
        </is>
      </c>
      <c r="AP1130" s="18" t="inlineStr">
        <is>
          <t>water</t>
        </is>
      </c>
      <c r="AQ1130" s="18" t="inlineStr">
        <is>
          <t>{"biomes":["#cobblemon:is_freshwater"],"isRaining":false,"maxSkyLight":15,"minSkyLight":8}</t>
        </is>
      </c>
      <c r="AR1130" s="18" t="inlineStr">
        <is>
          <t>{"biomes":["#cobblemon:is_freezing"]}</t>
        </is>
      </c>
      <c r="AS1130" s="18" t="inlineStr"/>
      <c r="AT1130" s="19" t="inlineStr"/>
    </row>
    <row r="1131" ht="32" customHeight="1">
      <c r="A1131" s="18" t="inlineStr">
        <is>
          <t>0283_surskit.json::surskit-2::002</t>
        </is>
      </c>
      <c r="B1131" s="19" t="inlineStr">
        <is>
          <t>사용</t>
        </is>
      </c>
      <c r="C1131" s="18">
        <f>IF(OR(B1131&lt;&gt;AK1131,M1131&lt;&gt;L1131,O1131&lt;&gt;"",Q1131&lt;&gt;"",V1131&lt;&gt;1,Y1131&lt;&gt;"",AT1131&lt;&gt;""),"수정","원본")</f>
        <v/>
      </c>
      <c r="D1131" s="18" t="n">
        <v>283</v>
      </c>
      <c r="E1131" s="18" t="inlineStr">
        <is>
          <t>비구술</t>
        </is>
      </c>
      <c r="F1131" s="18" t="inlineStr">
        <is>
          <t>surskit</t>
        </is>
      </c>
      <c r="G1131" s="18" t="inlineStr">
        <is>
          <t>surskit</t>
        </is>
      </c>
      <c r="H1131" s="18" t="inlineStr"/>
      <c r="I1131" s="18" t="n">
        <v>3</v>
      </c>
      <c r="J1131" s="18" t="n"/>
      <c r="K1131" s="18" t="n">
        <v>3</v>
      </c>
      <c r="L1131" s="18" t="inlineStr">
        <is>
          <t>cobbleventure:generation_3</t>
        </is>
      </c>
      <c r="M1131" s="19" t="inlineStr">
        <is>
          <t>cobbleventure:generation_3</t>
        </is>
      </c>
      <c r="N1131" s="18" t="inlineStr"/>
      <c r="O1131" s="19" t="inlineStr"/>
      <c r="P1131" s="18" t="inlineStr">
        <is>
          <t>#the_bumblezone:the_bumblezone</t>
        </is>
      </c>
      <c r="Q1131" s="19" t="inlineStr"/>
      <c r="R1131" s="18">
        <f>IF(Q1131="",P1131,Q1131)</f>
        <v/>
      </c>
      <c r="S1131" s="18" t="inlineStr"/>
      <c r="T1131" s="18" t="inlineStr">
        <is>
          <t>uncommon</t>
        </is>
      </c>
      <c r="U1131" s="20" t="n">
        <v>8.4</v>
      </c>
      <c r="V1131" s="21" t="n">
        <v>1</v>
      </c>
      <c r="W1131" s="20">
        <f>IF(OR(U1131="",V1131=""),U1131,U1131*V1131)</f>
        <v/>
      </c>
      <c r="X1131" s="18" t="inlineStr">
        <is>
          <t>2-27</t>
        </is>
      </c>
      <c r="Y1131" s="19" t="inlineStr"/>
      <c r="Z1131" s="18">
        <f>IF(Y1131="",X1131,Y1131)</f>
        <v/>
      </c>
      <c r="AA1131" s="18" t="inlineStr">
        <is>
          <t>surface</t>
        </is>
      </c>
      <c r="AB1131" s="18" t="inlineStr"/>
      <c r="AC1131" s="18" t="inlineStr"/>
      <c r="AD1131" s="18" t="inlineStr"/>
      <c r="AE1131" s="18" t="inlineStr"/>
      <c r="AF1131" s="18" t="inlineStr"/>
      <c r="AG1131" s="18" t="inlineStr"/>
      <c r="AH1131" s="18" t="inlineStr"/>
      <c r="AI1131" s="18" t="inlineStr"/>
      <c r="AJ1131" s="18" t="inlineStr">
        <is>
          <t>Cobblemon 동일</t>
        </is>
      </c>
      <c r="AK1131" s="18" t="inlineStr">
        <is>
          <t>사용</t>
        </is>
      </c>
      <c r="AL1131" s="18" t="inlineStr">
        <is>
          <t>COBBLEVERSE 1.7.42 / DP v31</t>
        </is>
      </c>
      <c r="AM1131" s="18" t="inlineStr">
        <is>
          <t>data/cobblemon/spawn_pool_world/0283_surskit.json</t>
        </is>
      </c>
      <c r="AN1131" s="18" t="inlineStr">
        <is>
          <t>surskit-2</t>
        </is>
      </c>
      <c r="AO1131" s="18" t="inlineStr">
        <is>
          <t>pokemon</t>
        </is>
      </c>
      <c r="AP1131" s="18" t="inlineStr">
        <is>
          <t>water</t>
        </is>
      </c>
      <c r="AQ1131" s="18" t="inlineStr">
        <is>
          <t>{"biomes":["#the_bumblezone:the_bumblezone"]}</t>
        </is>
      </c>
      <c r="AR1131" s="18" t="inlineStr">
        <is>
          <t>{"structures":["#the_bumblezone:sempiternal_sanctums"]}</t>
        </is>
      </c>
      <c r="AS1131" s="18" t="inlineStr"/>
      <c r="AT1131" s="19" t="inlineStr"/>
    </row>
    <row r="1132" ht="32" customHeight="1">
      <c r="A1132" s="18" t="inlineStr">
        <is>
          <t>0284_masquerain.json::masquerain-1::001</t>
        </is>
      </c>
      <c r="B1132" s="19" t="inlineStr">
        <is>
          <t>사용</t>
        </is>
      </c>
      <c r="C1132" s="18">
        <f>IF(OR(B1132&lt;&gt;AK1132,M1132&lt;&gt;L1132,O1132&lt;&gt;"",Q1132&lt;&gt;"",V1132&lt;&gt;1,Y1132&lt;&gt;"",AT1132&lt;&gt;""),"수정","원본")</f>
        <v/>
      </c>
      <c r="D1132" s="18" t="n">
        <v>284</v>
      </c>
      <c r="E1132" s="18" t="inlineStr">
        <is>
          <t>비나방</t>
        </is>
      </c>
      <c r="F1132" s="18" t="inlineStr">
        <is>
          <t>masquerain</t>
        </is>
      </c>
      <c r="G1132" s="18" t="inlineStr">
        <is>
          <t>masquerain</t>
        </is>
      </c>
      <c r="H1132" s="18" t="inlineStr"/>
      <c r="I1132" s="18" t="n">
        <v>3</v>
      </c>
      <c r="J1132" s="18" t="n"/>
      <c r="K1132" s="18" t="n">
        <v>3</v>
      </c>
      <c r="L1132" s="18" t="inlineStr">
        <is>
          <t>cobbleventure:generation_3</t>
        </is>
      </c>
      <c r="M1132" s="19" t="inlineStr">
        <is>
          <t>cobbleventure:generation_3</t>
        </is>
      </c>
      <c r="N1132" s="18" t="inlineStr">
        <is>
          <t>region_02</t>
        </is>
      </c>
      <c r="O1132" s="19" t="inlineStr"/>
      <c r="P1132" s="18" t="inlineStr">
        <is>
          <t>#cobblemon:is_freshwater</t>
        </is>
      </c>
      <c r="Q1132" s="19" t="inlineStr"/>
      <c r="R1132" s="18">
        <f>IF(Q1132="",P1132,Q1132)</f>
        <v/>
      </c>
      <c r="S1132" s="18" t="inlineStr">
        <is>
          <t>#cobblemon:is_freezing</t>
        </is>
      </c>
      <c r="T1132" s="18" t="inlineStr">
        <is>
          <t>uncommon</t>
        </is>
      </c>
      <c r="U1132" s="20" t="n">
        <v>0.96</v>
      </c>
      <c r="V1132" s="21" t="n">
        <v>1</v>
      </c>
      <c r="W1132" s="20">
        <f>IF(OR(U1132="",V1132=""),U1132,U1132*V1132)</f>
        <v/>
      </c>
      <c r="X1132" s="18" t="inlineStr">
        <is>
          <t>22-45</t>
        </is>
      </c>
      <c r="Y1132" s="19" t="inlineStr"/>
      <c r="Z1132" s="18">
        <f>IF(Y1132="",X1132,Y1132)</f>
        <v/>
      </c>
      <c r="AA1132" s="18" t="inlineStr">
        <is>
          <t>surface</t>
        </is>
      </c>
      <c r="AB1132" s="18" t="inlineStr"/>
      <c r="AC1132" s="18" t="inlineStr">
        <is>
          <t>비=False</t>
        </is>
      </c>
      <c r="AD1132" s="18" t="inlineStr"/>
      <c r="AE1132" s="18" t="inlineStr">
        <is>
          <t>sky 8-15</t>
        </is>
      </c>
      <c r="AF1132" s="18" t="inlineStr"/>
      <c r="AG1132" s="18" t="inlineStr"/>
      <c r="AH1132" s="18" t="inlineStr"/>
      <c r="AI1132" s="18" t="inlineStr"/>
      <c r="AJ1132" s="18" t="inlineStr">
        <is>
          <t>Cobblemon 동일</t>
        </is>
      </c>
      <c r="AK1132" s="18" t="inlineStr">
        <is>
          <t>사용</t>
        </is>
      </c>
      <c r="AL1132" s="18" t="inlineStr">
        <is>
          <t>COBBLEVERSE 1.7.42 / DP v31</t>
        </is>
      </c>
      <c r="AM1132" s="18" t="inlineStr">
        <is>
          <t>data/cobblemon/spawn_pool_world/0284_masquerain.json</t>
        </is>
      </c>
      <c r="AN1132" s="18" t="inlineStr">
        <is>
          <t>masquerain-1</t>
        </is>
      </c>
      <c r="AO1132" s="18" t="inlineStr">
        <is>
          <t>pokemon</t>
        </is>
      </c>
      <c r="AP1132" s="18" t="inlineStr">
        <is>
          <t>water</t>
        </is>
      </c>
      <c r="AQ1132" s="18" t="inlineStr">
        <is>
          <t>{"biomes":["#cobblemon:is_freshwater"],"isRaining":false,"maxSkyLight":15,"minSkyLight":8}</t>
        </is>
      </c>
      <c r="AR1132" s="18" t="inlineStr">
        <is>
          <t>{"biomes":["#cobblemon:is_freezing"]}</t>
        </is>
      </c>
      <c r="AS1132" s="18" t="inlineStr"/>
      <c r="AT1132" s="19" t="inlineStr"/>
    </row>
    <row r="1133" ht="32" customHeight="1">
      <c r="A1133" s="18" t="inlineStr">
        <is>
          <t>0284_masquerain.json::masquerain-2::002</t>
        </is>
      </c>
      <c r="B1133" s="19" t="inlineStr">
        <is>
          <t>사용</t>
        </is>
      </c>
      <c r="C1133" s="18">
        <f>IF(OR(B1133&lt;&gt;AK1133,M1133&lt;&gt;L1133,O1133&lt;&gt;"",Q1133&lt;&gt;"",V1133&lt;&gt;1,Y1133&lt;&gt;"",AT1133&lt;&gt;""),"수정","원본")</f>
        <v/>
      </c>
      <c r="D1133" s="18" t="n">
        <v>284</v>
      </c>
      <c r="E1133" s="18" t="inlineStr">
        <is>
          <t>비나방</t>
        </is>
      </c>
      <c r="F1133" s="18" t="inlineStr">
        <is>
          <t>masquerain</t>
        </is>
      </c>
      <c r="G1133" s="18" t="inlineStr">
        <is>
          <t>masquerain</t>
        </is>
      </c>
      <c r="H1133" s="18" t="inlineStr"/>
      <c r="I1133" s="18" t="n">
        <v>3</v>
      </c>
      <c r="J1133" s="18" t="n"/>
      <c r="K1133" s="18" t="n">
        <v>3</v>
      </c>
      <c r="L1133" s="18" t="inlineStr">
        <is>
          <t>cobbleventure:generation_3</t>
        </is>
      </c>
      <c r="M1133" s="19" t="inlineStr">
        <is>
          <t>cobbleventure:generation_3</t>
        </is>
      </c>
      <c r="N1133" s="18" t="inlineStr"/>
      <c r="O1133" s="19" t="inlineStr"/>
      <c r="P1133" s="18" t="inlineStr">
        <is>
          <t>#the_bumblezone:the_bumblezone</t>
        </is>
      </c>
      <c r="Q1133" s="19" t="inlineStr"/>
      <c r="R1133" s="18">
        <f>IF(Q1133="",P1133,Q1133)</f>
        <v/>
      </c>
      <c r="S1133" s="18" t="inlineStr"/>
      <c r="T1133" s="18" t="inlineStr">
        <is>
          <t>uncommon</t>
        </is>
      </c>
      <c r="U1133" s="20" t="n">
        <v>1.6</v>
      </c>
      <c r="V1133" s="21" t="n">
        <v>1</v>
      </c>
      <c r="W1133" s="20">
        <f>IF(OR(U1133="",V1133=""),U1133,U1133*V1133)</f>
        <v/>
      </c>
      <c r="X1133" s="18" t="inlineStr">
        <is>
          <t>22-45</t>
        </is>
      </c>
      <c r="Y1133" s="19" t="inlineStr"/>
      <c r="Z1133" s="18">
        <f>IF(Y1133="",X1133,Y1133)</f>
        <v/>
      </c>
      <c r="AA1133" s="18" t="inlineStr">
        <is>
          <t>surface</t>
        </is>
      </c>
      <c r="AB1133" s="18" t="inlineStr"/>
      <c r="AC1133" s="18" t="inlineStr"/>
      <c r="AD1133" s="18" t="inlineStr"/>
      <c r="AE1133" s="18" t="inlineStr"/>
      <c r="AF1133" s="18" t="inlineStr"/>
      <c r="AG1133" s="18" t="inlineStr"/>
      <c r="AH1133" s="18" t="inlineStr"/>
      <c r="AI1133" s="18" t="inlineStr"/>
      <c r="AJ1133" s="18" t="inlineStr">
        <is>
          <t>Cobblemon 동일</t>
        </is>
      </c>
      <c r="AK1133" s="18" t="inlineStr">
        <is>
          <t>사용</t>
        </is>
      </c>
      <c r="AL1133" s="18" t="inlineStr">
        <is>
          <t>COBBLEVERSE 1.7.42 / DP v31</t>
        </is>
      </c>
      <c r="AM1133" s="18" t="inlineStr">
        <is>
          <t>data/cobblemon/spawn_pool_world/0284_masquerain.json</t>
        </is>
      </c>
      <c r="AN1133" s="18" t="inlineStr">
        <is>
          <t>masquerain-2</t>
        </is>
      </c>
      <c r="AO1133" s="18" t="inlineStr">
        <is>
          <t>pokemon</t>
        </is>
      </c>
      <c r="AP1133" s="18" t="inlineStr">
        <is>
          <t>water</t>
        </is>
      </c>
      <c r="AQ1133" s="18" t="inlineStr">
        <is>
          <t>{"biomes":["#the_bumblezone:the_bumblezone"]}</t>
        </is>
      </c>
      <c r="AR1133" s="18" t="inlineStr">
        <is>
          <t>{"structures":["#the_bumblezone:sempiternal_sanctums"]}</t>
        </is>
      </c>
      <c r="AS1133" s="18" t="inlineStr"/>
      <c r="AT1133" s="19" t="inlineStr"/>
    </row>
    <row r="1134" ht="32" customHeight="1">
      <c r="A1134" s="18" t="inlineStr">
        <is>
          <t>0285_shroomish.json::shroomish-1::001</t>
        </is>
      </c>
      <c r="B1134" s="19" t="inlineStr">
        <is>
          <t>사용</t>
        </is>
      </c>
      <c r="C1134" s="18">
        <f>IF(OR(B1134&lt;&gt;AK1134,M1134&lt;&gt;L1134,O1134&lt;&gt;"",Q1134&lt;&gt;"",V1134&lt;&gt;1,Y1134&lt;&gt;"",AT1134&lt;&gt;""),"수정","원본")</f>
        <v/>
      </c>
      <c r="D1134" s="18" t="n">
        <v>285</v>
      </c>
      <c r="E1134" s="18" t="inlineStr">
        <is>
          <t>버섯꼬</t>
        </is>
      </c>
      <c r="F1134" s="18" t="inlineStr">
        <is>
          <t>shroomish</t>
        </is>
      </c>
      <c r="G1134" s="18" t="inlineStr">
        <is>
          <t>shroomish</t>
        </is>
      </c>
      <c r="H1134" s="18" t="inlineStr"/>
      <c r="I1134" s="18" t="n">
        <v>3</v>
      </c>
      <c r="J1134" s="18" t="n"/>
      <c r="K1134" s="18" t="n">
        <v>3</v>
      </c>
      <c r="L1134" s="18" t="inlineStr">
        <is>
          <t>cobbleventure:generation_3</t>
        </is>
      </c>
      <c r="M1134" s="19" t="inlineStr">
        <is>
          <t>cobbleventure:generation_3</t>
        </is>
      </c>
      <c r="N1134" s="18" t="inlineStr">
        <is>
          <t>region_01</t>
        </is>
      </c>
      <c r="O1134" s="19" t="inlineStr"/>
      <c r="P1134" s="18" t="inlineStr">
        <is>
          <t>#cobblemon:is_forest; aether:skyroot_forest; aether:skyroot_woodland</t>
        </is>
      </c>
      <c r="Q1134" s="19" t="inlineStr"/>
      <c r="R1134" s="18">
        <f>IF(Q1134="",P1134,Q1134)</f>
        <v/>
      </c>
      <c r="S1134" s="18" t="inlineStr">
        <is>
          <t>#cobblemon:is_freezing</t>
        </is>
      </c>
      <c r="T1134" s="18" t="inlineStr">
        <is>
          <t>common</t>
        </is>
      </c>
      <c r="U1134" s="20" t="n">
        <v>1.8</v>
      </c>
      <c r="V1134" s="21" t="n">
        <v>1</v>
      </c>
      <c r="W1134" s="20">
        <f>IF(OR(U1134="",V1134=""),U1134,U1134*V1134)</f>
        <v/>
      </c>
      <c r="X1134" s="18" t="inlineStr">
        <is>
          <t>5-30</t>
        </is>
      </c>
      <c r="Y1134" s="19" t="inlineStr"/>
      <c r="Z1134" s="18">
        <f>IF(Y1134="",X1134,Y1134)</f>
        <v/>
      </c>
      <c r="AA1134" s="18" t="inlineStr">
        <is>
          <t>grounded</t>
        </is>
      </c>
      <c r="AB1134" s="18" t="inlineStr"/>
      <c r="AC1134" s="18" t="inlineStr"/>
      <c r="AD1134" s="18" t="inlineStr"/>
      <c r="AE1134" s="18" t="inlineStr">
        <is>
          <t>sky 8-15</t>
        </is>
      </c>
      <c r="AF1134" s="18" t="inlineStr"/>
      <c r="AG1134" s="18" t="inlineStr"/>
      <c r="AH1134" s="18" t="inlineStr"/>
      <c r="AI1134" s="18" t="inlineStr"/>
      <c r="AJ1134" s="18" t="inlineStr">
        <is>
          <t>Cobblemon 동일</t>
        </is>
      </c>
      <c r="AK1134" s="18" t="inlineStr">
        <is>
          <t>사용</t>
        </is>
      </c>
      <c r="AL1134" s="18" t="inlineStr">
        <is>
          <t>COBBLEVERSE 1.7.42 / DP v31</t>
        </is>
      </c>
      <c r="AM1134" s="18" t="inlineStr">
        <is>
          <t>data/cobblemon/spawn_pool_world/0285_shroomish.json</t>
        </is>
      </c>
      <c r="AN1134" s="18" t="inlineStr">
        <is>
          <t>shroomish-1</t>
        </is>
      </c>
      <c r="AO1134" s="18" t="inlineStr">
        <is>
          <t>pokemon</t>
        </is>
      </c>
      <c r="AP1134" s="18" t="inlineStr">
        <is>
          <t>natural</t>
        </is>
      </c>
      <c r="AQ1134" s="18" t="inlineStr">
        <is>
          <t>{"biomes":["#cobblemon:is_forest","aether:skyroot_forest","aether:skyroot_woodland"],"maxSkyLight":15,"minSkyLight":8}</t>
        </is>
      </c>
      <c r="AR1134" s="18" t="inlineStr">
        <is>
          <t>{"biomes":["#cobblemon:is_freezing"]}</t>
        </is>
      </c>
      <c r="AS1134" s="18" t="inlineStr"/>
      <c r="AT1134" s="19" t="inlineStr"/>
    </row>
    <row r="1135" ht="32" customHeight="1">
      <c r="A1135" s="18" t="inlineStr">
        <is>
          <t>0285_shroomish.json::shroomish-2::002</t>
        </is>
      </c>
      <c r="B1135" s="19" t="inlineStr">
        <is>
          <t>사용</t>
        </is>
      </c>
      <c r="C1135" s="18">
        <f>IF(OR(B1135&lt;&gt;AK1135,M1135&lt;&gt;L1135,O1135&lt;&gt;"",Q1135&lt;&gt;"",V1135&lt;&gt;1,Y1135&lt;&gt;"",AT1135&lt;&gt;""),"수정","원본")</f>
        <v/>
      </c>
      <c r="D1135" s="18" t="n">
        <v>285</v>
      </c>
      <c r="E1135" s="18" t="inlineStr">
        <is>
          <t>버섯꼬</t>
        </is>
      </c>
      <c r="F1135" s="18" t="inlineStr">
        <is>
          <t>shroomish</t>
        </is>
      </c>
      <c r="G1135" s="18" t="inlineStr">
        <is>
          <t>shroomish</t>
        </is>
      </c>
      <c r="H1135" s="18" t="inlineStr"/>
      <c r="I1135" s="18" t="n">
        <v>3</v>
      </c>
      <c r="J1135" s="18" t="n"/>
      <c r="K1135" s="18" t="n">
        <v>3</v>
      </c>
      <c r="L1135" s="18" t="inlineStr">
        <is>
          <t>cobbleventure:generation_3</t>
        </is>
      </c>
      <c r="M1135" s="19" t="inlineStr">
        <is>
          <t>cobbleventure:generation_3</t>
        </is>
      </c>
      <c r="N1135" s="18" t="inlineStr"/>
      <c r="O1135" s="19" t="inlineStr"/>
      <c r="P1135" s="18" t="inlineStr">
        <is>
          <t>#cobblemon:is_mushroom</t>
        </is>
      </c>
      <c r="Q1135" s="19" t="inlineStr"/>
      <c r="R1135" s="18">
        <f>IF(Q1135="",P1135,Q1135)</f>
        <v/>
      </c>
      <c r="S1135" s="18" t="inlineStr"/>
      <c r="T1135" s="18" t="inlineStr">
        <is>
          <t>common</t>
        </is>
      </c>
      <c r="U1135" s="20" t="n">
        <v>9</v>
      </c>
      <c r="V1135" s="21" t="n">
        <v>1</v>
      </c>
      <c r="W1135" s="20">
        <f>IF(OR(U1135="",V1135=""),U1135,U1135*V1135)</f>
        <v/>
      </c>
      <c r="X1135" s="18" t="inlineStr">
        <is>
          <t>5-30</t>
        </is>
      </c>
      <c r="Y1135" s="19" t="inlineStr"/>
      <c r="Z1135" s="18">
        <f>IF(Y1135="",X1135,Y1135)</f>
        <v/>
      </c>
      <c r="AA1135" s="18" t="inlineStr">
        <is>
          <t>grounded</t>
        </is>
      </c>
      <c r="AB1135" s="18" t="inlineStr"/>
      <c r="AC1135" s="18" t="inlineStr"/>
      <c r="AD1135" s="18" t="inlineStr"/>
      <c r="AE1135" s="18" t="inlineStr">
        <is>
          <t>sky 8-15</t>
        </is>
      </c>
      <c r="AF1135" s="18" t="inlineStr"/>
      <c r="AG1135" s="18" t="inlineStr"/>
      <c r="AH1135" s="18" t="inlineStr"/>
      <c r="AI1135" s="18" t="inlineStr"/>
      <c r="AJ1135" s="18" t="inlineStr">
        <is>
          <t>Cobblemon 동일</t>
        </is>
      </c>
      <c r="AK1135" s="18" t="inlineStr">
        <is>
          <t>사용</t>
        </is>
      </c>
      <c r="AL1135" s="18" t="inlineStr">
        <is>
          <t>COBBLEVERSE 1.7.42 / DP v31</t>
        </is>
      </c>
      <c r="AM1135" s="18" t="inlineStr">
        <is>
          <t>data/cobblemon/spawn_pool_world/0285_shroomish.json</t>
        </is>
      </c>
      <c r="AN1135" s="18" t="inlineStr">
        <is>
          <t>shroomish-2</t>
        </is>
      </c>
      <c r="AO1135" s="18" t="inlineStr">
        <is>
          <t>pokemon</t>
        </is>
      </c>
      <c r="AP1135" s="18" t="inlineStr">
        <is>
          <t>natural</t>
        </is>
      </c>
      <c r="AQ1135" s="18" t="inlineStr">
        <is>
          <t>{"biomes":["#cobblemon:is_mushroom"],"maxSkyLight":15,"minSkyLight":8}</t>
        </is>
      </c>
      <c r="AR1135" s="18" t="inlineStr"/>
      <c r="AS1135" s="18" t="inlineStr"/>
      <c r="AT1135" s="19" t="inlineStr"/>
    </row>
    <row r="1136" ht="32" customHeight="1">
      <c r="A1136" s="18" t="inlineStr">
        <is>
          <t>0286_breloom.json::breloom-1::001</t>
        </is>
      </c>
      <c r="B1136" s="19" t="inlineStr">
        <is>
          <t>사용</t>
        </is>
      </c>
      <c r="C1136" s="18">
        <f>IF(OR(B1136&lt;&gt;AK1136,M1136&lt;&gt;L1136,O1136&lt;&gt;"",Q1136&lt;&gt;"",V1136&lt;&gt;1,Y1136&lt;&gt;"",AT1136&lt;&gt;""),"수정","원본")</f>
        <v/>
      </c>
      <c r="D1136" s="18" t="n">
        <v>286</v>
      </c>
      <c r="E1136" s="18" t="inlineStr">
        <is>
          <t>버섯모</t>
        </is>
      </c>
      <c r="F1136" s="18" t="inlineStr">
        <is>
          <t>breloom</t>
        </is>
      </c>
      <c r="G1136" s="18" t="inlineStr">
        <is>
          <t>breloom</t>
        </is>
      </c>
      <c r="H1136" s="18" t="inlineStr"/>
      <c r="I1136" s="18" t="n">
        <v>3</v>
      </c>
      <c r="J1136" s="18" t="n"/>
      <c r="K1136" s="18" t="n">
        <v>3</v>
      </c>
      <c r="L1136" s="18" t="inlineStr">
        <is>
          <t>cobbleventure:generation_3</t>
        </is>
      </c>
      <c r="M1136" s="19" t="inlineStr">
        <is>
          <t>cobbleventure:generation_3</t>
        </is>
      </c>
      <c r="N1136" s="18" t="inlineStr">
        <is>
          <t>region_01</t>
        </is>
      </c>
      <c r="O1136" s="19" t="inlineStr"/>
      <c r="P1136" s="18" t="inlineStr">
        <is>
          <t>#cobblemon:is_forest; aether:skyroot_forest; aether:skyroot_woodland</t>
        </is>
      </c>
      <c r="Q1136" s="19" t="inlineStr"/>
      <c r="R1136" s="18">
        <f>IF(Q1136="",P1136,Q1136)</f>
        <v/>
      </c>
      <c r="S1136" s="18" t="inlineStr">
        <is>
          <t>#cobblemon:is_freezing</t>
        </is>
      </c>
      <c r="T1136" s="18" t="inlineStr">
        <is>
          <t>common</t>
        </is>
      </c>
      <c r="U1136" s="20" t="n">
        <v>0.2</v>
      </c>
      <c r="V1136" s="21" t="n">
        <v>1</v>
      </c>
      <c r="W1136" s="20">
        <f>IF(OR(U1136="",V1136=""),U1136,U1136*V1136)</f>
        <v/>
      </c>
      <c r="X1136" s="18" t="inlineStr">
        <is>
          <t>23-46</t>
        </is>
      </c>
      <c r="Y1136" s="19" t="inlineStr"/>
      <c r="Z1136" s="18">
        <f>IF(Y1136="",X1136,Y1136)</f>
        <v/>
      </c>
      <c r="AA1136" s="18" t="inlineStr">
        <is>
          <t>grounded</t>
        </is>
      </c>
      <c r="AB1136" s="18" t="inlineStr"/>
      <c r="AC1136" s="18" t="inlineStr"/>
      <c r="AD1136" s="18" t="inlineStr"/>
      <c r="AE1136" s="18" t="inlineStr">
        <is>
          <t>sky 8-15</t>
        </is>
      </c>
      <c r="AF1136" s="18" t="inlineStr"/>
      <c r="AG1136" s="18" t="inlineStr"/>
      <c r="AH1136" s="18" t="inlineStr"/>
      <c r="AI1136" s="18" t="inlineStr"/>
      <c r="AJ1136" s="18" t="inlineStr">
        <is>
          <t>Cobblemon 동일</t>
        </is>
      </c>
      <c r="AK1136" s="18" t="inlineStr">
        <is>
          <t>사용</t>
        </is>
      </c>
      <c r="AL1136" s="18" t="inlineStr">
        <is>
          <t>COBBLEVERSE 1.7.42 / DP v31</t>
        </is>
      </c>
      <c r="AM1136" s="18" t="inlineStr">
        <is>
          <t>data/cobblemon/spawn_pool_world/0286_breloom.json</t>
        </is>
      </c>
      <c r="AN1136" s="18" t="inlineStr">
        <is>
          <t>breloom-1</t>
        </is>
      </c>
      <c r="AO1136" s="18" t="inlineStr">
        <is>
          <t>pokemon</t>
        </is>
      </c>
      <c r="AP1136" s="18" t="inlineStr">
        <is>
          <t>natural</t>
        </is>
      </c>
      <c r="AQ1136" s="18" t="inlineStr">
        <is>
          <t>{"biomes":["#cobblemon:is_forest","aether:skyroot_forest","aether:skyroot_woodland"],"maxSkyLight":15,"minSkyLight":8}</t>
        </is>
      </c>
      <c r="AR1136" s="18" t="inlineStr">
        <is>
          <t>{"biomes":["#cobblemon:is_freezing"]}</t>
        </is>
      </c>
      <c r="AS1136" s="18" t="inlineStr"/>
      <c r="AT1136" s="19" t="inlineStr"/>
    </row>
    <row r="1137" ht="32" customHeight="1">
      <c r="A1137" s="18" t="inlineStr">
        <is>
          <t>0286_breloom.json::breloom-2::002</t>
        </is>
      </c>
      <c r="B1137" s="19" t="inlineStr">
        <is>
          <t>사용</t>
        </is>
      </c>
      <c r="C1137" s="18">
        <f>IF(OR(B1137&lt;&gt;AK1137,M1137&lt;&gt;L1137,O1137&lt;&gt;"",Q1137&lt;&gt;"",V1137&lt;&gt;1,Y1137&lt;&gt;"",AT1137&lt;&gt;""),"수정","원본")</f>
        <v/>
      </c>
      <c r="D1137" s="18" t="n">
        <v>286</v>
      </c>
      <c r="E1137" s="18" t="inlineStr">
        <is>
          <t>버섯모</t>
        </is>
      </c>
      <c r="F1137" s="18" t="inlineStr">
        <is>
          <t>breloom</t>
        </is>
      </c>
      <c r="G1137" s="18" t="inlineStr">
        <is>
          <t>breloom</t>
        </is>
      </c>
      <c r="H1137" s="18" t="inlineStr"/>
      <c r="I1137" s="18" t="n">
        <v>3</v>
      </c>
      <c r="J1137" s="18" t="n"/>
      <c r="K1137" s="18" t="n">
        <v>3</v>
      </c>
      <c r="L1137" s="18" t="inlineStr">
        <is>
          <t>cobbleventure:generation_3</t>
        </is>
      </c>
      <c r="M1137" s="19" t="inlineStr">
        <is>
          <t>cobbleventure:generation_3</t>
        </is>
      </c>
      <c r="N1137" s="18" t="inlineStr"/>
      <c r="O1137" s="19" t="inlineStr"/>
      <c r="P1137" s="18" t="inlineStr">
        <is>
          <t>#cobblemon:is_mushroom</t>
        </is>
      </c>
      <c r="Q1137" s="19" t="inlineStr"/>
      <c r="R1137" s="18">
        <f>IF(Q1137="",P1137,Q1137)</f>
        <v/>
      </c>
      <c r="S1137" s="18" t="inlineStr"/>
      <c r="T1137" s="18" t="inlineStr">
        <is>
          <t>common</t>
        </is>
      </c>
      <c r="U1137" s="20" t="n">
        <v>1</v>
      </c>
      <c r="V1137" s="21" t="n">
        <v>1</v>
      </c>
      <c r="W1137" s="20">
        <f>IF(OR(U1137="",V1137=""),U1137,U1137*V1137)</f>
        <v/>
      </c>
      <c r="X1137" s="18" t="inlineStr">
        <is>
          <t>23-46</t>
        </is>
      </c>
      <c r="Y1137" s="19" t="inlineStr"/>
      <c r="Z1137" s="18">
        <f>IF(Y1137="",X1137,Y1137)</f>
        <v/>
      </c>
      <c r="AA1137" s="18" t="inlineStr">
        <is>
          <t>grounded</t>
        </is>
      </c>
      <c r="AB1137" s="18" t="inlineStr"/>
      <c r="AC1137" s="18" t="inlineStr"/>
      <c r="AD1137" s="18" t="inlineStr"/>
      <c r="AE1137" s="18" t="inlineStr">
        <is>
          <t>sky 8-15</t>
        </is>
      </c>
      <c r="AF1137" s="18" t="inlineStr"/>
      <c r="AG1137" s="18" t="inlineStr"/>
      <c r="AH1137" s="18" t="inlineStr"/>
      <c r="AI1137" s="18" t="inlineStr"/>
      <c r="AJ1137" s="18" t="inlineStr">
        <is>
          <t>Cobblemon 동일</t>
        </is>
      </c>
      <c r="AK1137" s="18" t="inlineStr">
        <is>
          <t>사용</t>
        </is>
      </c>
      <c r="AL1137" s="18" t="inlineStr">
        <is>
          <t>COBBLEVERSE 1.7.42 / DP v31</t>
        </is>
      </c>
      <c r="AM1137" s="18" t="inlineStr">
        <is>
          <t>data/cobblemon/spawn_pool_world/0286_breloom.json</t>
        </is>
      </c>
      <c r="AN1137" s="18" t="inlineStr">
        <is>
          <t>breloom-2</t>
        </is>
      </c>
      <c r="AO1137" s="18" t="inlineStr">
        <is>
          <t>pokemon</t>
        </is>
      </c>
      <c r="AP1137" s="18" t="inlineStr">
        <is>
          <t>natural</t>
        </is>
      </c>
      <c r="AQ1137" s="18" t="inlineStr">
        <is>
          <t>{"biomes":["#cobblemon:is_mushroom"],"maxSkyLight":15,"minSkyLight":8}</t>
        </is>
      </c>
      <c r="AR1137" s="18" t="inlineStr"/>
      <c r="AS1137" s="18" t="inlineStr"/>
      <c r="AT1137" s="19" t="inlineStr"/>
    </row>
    <row r="1138" ht="32" customHeight="1">
      <c r="A1138" s="18" t="inlineStr">
        <is>
          <t>0287_slakoth.json::slakoth-1::001</t>
        </is>
      </c>
      <c r="B1138" s="19" t="inlineStr">
        <is>
          <t>사용</t>
        </is>
      </c>
      <c r="C1138" s="18">
        <f>IF(OR(B1138&lt;&gt;AK1138,M1138&lt;&gt;L1138,O1138&lt;&gt;"",Q1138&lt;&gt;"",V1138&lt;&gt;1,Y1138&lt;&gt;"",AT1138&lt;&gt;""),"수정","원본")</f>
        <v/>
      </c>
      <c r="D1138" s="18" t="n">
        <v>287</v>
      </c>
      <c r="E1138" s="18" t="inlineStr">
        <is>
          <t>게을로</t>
        </is>
      </c>
      <c r="F1138" s="18" t="inlineStr">
        <is>
          <t>slakoth</t>
        </is>
      </c>
      <c r="G1138" s="18" t="inlineStr">
        <is>
          <t>slakoth</t>
        </is>
      </c>
      <c r="H1138" s="18" t="inlineStr"/>
      <c r="I1138" s="18" t="n">
        <v>3</v>
      </c>
      <c r="J1138" s="18" t="n"/>
      <c r="K1138" s="18" t="n">
        <v>3</v>
      </c>
      <c r="L1138" s="18" t="inlineStr">
        <is>
          <t>cobbleventure:generation_3</t>
        </is>
      </c>
      <c r="M1138" s="19" t="inlineStr">
        <is>
          <t>cobbleventure:generation_3</t>
        </is>
      </c>
      <c r="N1138" s="18" t="inlineStr"/>
      <c r="O1138" s="19" t="inlineStr"/>
      <c r="P1138" s="18" t="inlineStr">
        <is>
          <t>#cobblemon:is_jungle</t>
        </is>
      </c>
      <c r="Q1138" s="19" t="inlineStr"/>
      <c r="R1138" s="18">
        <f>IF(Q1138="",P1138,Q1138)</f>
        <v/>
      </c>
      <c r="S1138" s="18" t="inlineStr"/>
      <c r="T1138" s="18" t="inlineStr">
        <is>
          <t>common</t>
        </is>
      </c>
      <c r="U1138" s="20" t="n">
        <v>1.8</v>
      </c>
      <c r="V1138" s="21" t="n">
        <v>1</v>
      </c>
      <c r="W1138" s="20">
        <f>IF(OR(U1138="",V1138=""),U1138,U1138*V1138)</f>
        <v/>
      </c>
      <c r="X1138" s="18" t="inlineStr">
        <is>
          <t>3-28</t>
        </is>
      </c>
      <c r="Y1138" s="19" t="inlineStr"/>
      <c r="Z1138" s="18">
        <f>IF(Y1138="",X1138,Y1138)</f>
        <v/>
      </c>
      <c r="AA1138" s="18" t="inlineStr">
        <is>
          <t>grounded</t>
        </is>
      </c>
      <c r="AB1138" s="18" t="inlineStr"/>
      <c r="AC1138" s="18" t="inlineStr"/>
      <c r="AD1138" s="18" t="inlineStr"/>
      <c r="AE1138" s="18" t="inlineStr">
        <is>
          <t>sky 8-15</t>
        </is>
      </c>
      <c r="AF1138" s="18" t="inlineStr"/>
      <c r="AG1138" s="18" t="inlineStr"/>
      <c r="AH1138" s="18" t="inlineStr"/>
      <c r="AI1138" s="18" t="inlineStr"/>
      <c r="AJ1138" s="18" t="inlineStr">
        <is>
          <t>Cobblemon 동일</t>
        </is>
      </c>
      <c r="AK1138" s="18" t="inlineStr">
        <is>
          <t>사용</t>
        </is>
      </c>
      <c r="AL1138" s="18" t="inlineStr">
        <is>
          <t>COBBLEVERSE 1.7.42 / DP v31</t>
        </is>
      </c>
      <c r="AM1138" s="18" t="inlineStr">
        <is>
          <t>data/cobblemon/spawn_pool_world/0287_slakoth.json</t>
        </is>
      </c>
      <c r="AN1138" s="18" t="inlineStr">
        <is>
          <t>slakoth-1</t>
        </is>
      </c>
      <c r="AO1138" s="18" t="inlineStr">
        <is>
          <t>pokemon</t>
        </is>
      </c>
      <c r="AP1138" s="18" t="inlineStr">
        <is>
          <t>natural; treetop; wild</t>
        </is>
      </c>
      <c r="AQ1138" s="18" t="inlineStr">
        <is>
          <t>{"biomes":["#cobblemon:is_jungle"],"maxSkyLight":15,"minSkyLight":8}</t>
        </is>
      </c>
      <c r="AR1138" s="18" t="inlineStr"/>
      <c r="AS1138" s="18" t="inlineStr"/>
      <c r="AT1138" s="19" t="inlineStr"/>
    </row>
    <row r="1139" ht="32" customHeight="1">
      <c r="A1139" s="18" t="inlineStr">
        <is>
          <t>0288_vigoroth.json::vigoroth-1::001</t>
        </is>
      </c>
      <c r="B1139" s="19" t="inlineStr">
        <is>
          <t>사용</t>
        </is>
      </c>
      <c r="C1139" s="18">
        <f>IF(OR(B1139&lt;&gt;AK1139,M1139&lt;&gt;L1139,O1139&lt;&gt;"",Q1139&lt;&gt;"",V1139&lt;&gt;1,Y1139&lt;&gt;"",AT1139&lt;&gt;""),"수정","원본")</f>
        <v/>
      </c>
      <c r="D1139" s="18" t="n">
        <v>288</v>
      </c>
      <c r="E1139" s="18" t="inlineStr">
        <is>
          <t>발바로</t>
        </is>
      </c>
      <c r="F1139" s="18" t="inlineStr">
        <is>
          <t>vigoroth</t>
        </is>
      </c>
      <c r="G1139" s="18" t="inlineStr">
        <is>
          <t>vigoroth</t>
        </is>
      </c>
      <c r="H1139" s="18" t="inlineStr"/>
      <c r="I1139" s="18" t="n">
        <v>3</v>
      </c>
      <c r="J1139" s="18" t="n"/>
      <c r="K1139" s="18" t="n">
        <v>3</v>
      </c>
      <c r="L1139" s="18" t="inlineStr">
        <is>
          <t>cobbleventure:generation_3</t>
        </is>
      </c>
      <c r="M1139" s="19" t="inlineStr">
        <is>
          <t>cobbleventure:generation_3</t>
        </is>
      </c>
      <c r="N1139" s="18" t="inlineStr"/>
      <c r="O1139" s="19" t="inlineStr"/>
      <c r="P1139" s="18" t="inlineStr">
        <is>
          <t>#cobblemon:is_jungle</t>
        </is>
      </c>
      <c r="Q1139" s="19" t="inlineStr"/>
      <c r="R1139" s="18">
        <f>IF(Q1139="",P1139,Q1139)</f>
        <v/>
      </c>
      <c r="S1139" s="18" t="inlineStr"/>
      <c r="T1139" s="18" t="inlineStr">
        <is>
          <t>common</t>
        </is>
      </c>
      <c r="U1139" s="20" t="n">
        <v>0.18</v>
      </c>
      <c r="V1139" s="21" t="n">
        <v>1</v>
      </c>
      <c r="W1139" s="20">
        <f>IF(OR(U1139="",V1139=""),U1139,U1139*V1139)</f>
        <v/>
      </c>
      <c r="X1139" s="18" t="inlineStr">
        <is>
          <t>18-44</t>
        </is>
      </c>
      <c r="Y1139" s="19" t="inlineStr"/>
      <c r="Z1139" s="18">
        <f>IF(Y1139="",X1139,Y1139)</f>
        <v/>
      </c>
      <c r="AA1139" s="18" t="inlineStr">
        <is>
          <t>grounded</t>
        </is>
      </c>
      <c r="AB1139" s="18" t="inlineStr"/>
      <c r="AC1139" s="18" t="inlineStr"/>
      <c r="AD1139" s="18" t="inlineStr"/>
      <c r="AE1139" s="18" t="inlineStr">
        <is>
          <t>sky 8-15</t>
        </is>
      </c>
      <c r="AF1139" s="18" t="inlineStr"/>
      <c r="AG1139" s="18" t="inlineStr"/>
      <c r="AH1139" s="18" t="inlineStr"/>
      <c r="AI1139" s="18" t="inlineStr"/>
      <c r="AJ1139" s="18" t="inlineStr">
        <is>
          <t>Cobblemon 동일</t>
        </is>
      </c>
      <c r="AK1139" s="18" t="inlineStr">
        <is>
          <t>사용</t>
        </is>
      </c>
      <c r="AL1139" s="18" t="inlineStr">
        <is>
          <t>COBBLEVERSE 1.7.42 / DP v31</t>
        </is>
      </c>
      <c r="AM1139" s="18" t="inlineStr">
        <is>
          <t>data/cobblemon/spawn_pool_world/0288_vigoroth.json</t>
        </is>
      </c>
      <c r="AN1139" s="18" t="inlineStr">
        <is>
          <t>vigoroth-1</t>
        </is>
      </c>
      <c r="AO1139" s="18" t="inlineStr">
        <is>
          <t>pokemon</t>
        </is>
      </c>
      <c r="AP1139" s="18" t="inlineStr">
        <is>
          <t>natural; treetop; wild</t>
        </is>
      </c>
      <c r="AQ1139" s="18" t="inlineStr">
        <is>
          <t>{"biomes":["#cobblemon:is_jungle"],"maxSkyLight":15,"minSkyLight":8}</t>
        </is>
      </c>
      <c r="AR1139" s="18" t="inlineStr"/>
      <c r="AS1139" s="18" t="inlineStr"/>
      <c r="AT1139" s="19" t="inlineStr"/>
    </row>
    <row r="1140" ht="32" customHeight="1">
      <c r="A1140" s="18" t="inlineStr">
        <is>
          <t>0289_slaking.json::slaking-1::001</t>
        </is>
      </c>
      <c r="B1140" s="19" t="inlineStr">
        <is>
          <t>사용</t>
        </is>
      </c>
      <c r="C1140" s="18">
        <f>IF(OR(B1140&lt;&gt;AK1140,M1140&lt;&gt;L1140,O1140&lt;&gt;"",Q1140&lt;&gt;"",V1140&lt;&gt;1,Y1140&lt;&gt;"",AT1140&lt;&gt;""),"수정","원본")</f>
        <v/>
      </c>
      <c r="D1140" s="18" t="n">
        <v>289</v>
      </c>
      <c r="E1140" s="18" t="inlineStr">
        <is>
          <t>게을킹</t>
        </is>
      </c>
      <c r="F1140" s="18" t="inlineStr">
        <is>
          <t>slaking</t>
        </is>
      </c>
      <c r="G1140" s="18" t="inlineStr">
        <is>
          <t>slaking</t>
        </is>
      </c>
      <c r="H1140" s="18" t="inlineStr"/>
      <c r="I1140" s="18" t="n">
        <v>3</v>
      </c>
      <c r="J1140" s="18" t="n"/>
      <c r="K1140" s="18" t="n">
        <v>3</v>
      </c>
      <c r="L1140" s="18" t="inlineStr">
        <is>
          <t>cobbleventure:generation_3</t>
        </is>
      </c>
      <c r="M1140" s="19" t="inlineStr">
        <is>
          <t>cobbleventure:generation_3</t>
        </is>
      </c>
      <c r="N1140" s="18" t="inlineStr"/>
      <c r="O1140" s="19" t="inlineStr"/>
      <c r="P1140" s="18" t="inlineStr">
        <is>
          <t>#cobblemon:is_jungle</t>
        </is>
      </c>
      <c r="Q1140" s="19" t="inlineStr"/>
      <c r="R1140" s="18">
        <f>IF(Q1140="",P1140,Q1140)</f>
        <v/>
      </c>
      <c r="S1140" s="18" t="inlineStr"/>
      <c r="T1140" s="18" t="inlineStr">
        <is>
          <t>common</t>
        </is>
      </c>
      <c r="U1140" s="20" t="n">
        <v>0.02</v>
      </c>
      <c r="V1140" s="21" t="n">
        <v>1</v>
      </c>
      <c r="W1140" s="20">
        <f>IF(OR(U1140="",V1140=""),U1140,U1140*V1140)</f>
        <v/>
      </c>
      <c r="X1140" s="18" t="inlineStr">
        <is>
          <t>36-67</t>
        </is>
      </c>
      <c r="Y1140" s="19" t="inlineStr"/>
      <c r="Z1140" s="18">
        <f>IF(Y1140="",X1140,Y1140)</f>
        <v/>
      </c>
      <c r="AA1140" s="18" t="inlineStr">
        <is>
          <t>grounded</t>
        </is>
      </c>
      <c r="AB1140" s="18" t="inlineStr"/>
      <c r="AC1140" s="18" t="inlineStr"/>
      <c r="AD1140" s="18" t="inlineStr"/>
      <c r="AE1140" s="18" t="inlineStr">
        <is>
          <t>sky 8-15</t>
        </is>
      </c>
      <c r="AF1140" s="18" t="inlineStr"/>
      <c r="AG1140" s="18" t="inlineStr"/>
      <c r="AH1140" s="18" t="inlineStr"/>
      <c r="AI1140" s="18" t="inlineStr"/>
      <c r="AJ1140" s="18" t="inlineStr">
        <is>
          <t>Cobblemon 동일</t>
        </is>
      </c>
      <c r="AK1140" s="18" t="inlineStr">
        <is>
          <t>사용</t>
        </is>
      </c>
      <c r="AL1140" s="18" t="inlineStr">
        <is>
          <t>COBBLEVERSE 1.7.42 / DP v31</t>
        </is>
      </c>
      <c r="AM1140" s="18" t="inlineStr">
        <is>
          <t>data/cobblemon/spawn_pool_world/0289_slaking.json</t>
        </is>
      </c>
      <c r="AN1140" s="18" t="inlineStr">
        <is>
          <t>slaking-1</t>
        </is>
      </c>
      <c r="AO1140" s="18" t="inlineStr">
        <is>
          <t>pokemon</t>
        </is>
      </c>
      <c r="AP1140" s="18" t="inlineStr">
        <is>
          <t>natural; wild</t>
        </is>
      </c>
      <c r="AQ1140" s="18" t="inlineStr">
        <is>
          <t>{"biomes":["#cobblemon:is_jungle"],"maxSkyLight":15,"minSkyLight":8}</t>
        </is>
      </c>
      <c r="AR1140" s="18" t="inlineStr"/>
      <c r="AS1140" s="18" t="inlineStr"/>
      <c r="AT1140" s="19" t="inlineStr"/>
    </row>
    <row r="1141" ht="32" customHeight="1">
      <c r="A1141" s="18" t="inlineStr">
        <is>
          <t>0290_nincada.json::nincada-1::001</t>
        </is>
      </c>
      <c r="B1141" s="19" t="inlineStr">
        <is>
          <t>사용</t>
        </is>
      </c>
      <c r="C1141" s="18">
        <f>IF(OR(B1141&lt;&gt;AK1141,M1141&lt;&gt;L1141,O1141&lt;&gt;"",Q1141&lt;&gt;"",V1141&lt;&gt;1,Y1141&lt;&gt;"",AT1141&lt;&gt;""),"수정","원본")</f>
        <v/>
      </c>
      <c r="D1141" s="18" t="n">
        <v>290</v>
      </c>
      <c r="E1141" s="18" t="inlineStr">
        <is>
          <t>토중몬</t>
        </is>
      </c>
      <c r="F1141" s="18" t="inlineStr">
        <is>
          <t>nincada</t>
        </is>
      </c>
      <c r="G1141" s="18" t="inlineStr">
        <is>
          <t>nincada</t>
        </is>
      </c>
      <c r="H1141" s="18" t="inlineStr"/>
      <c r="I1141" s="18" t="n">
        <v>3</v>
      </c>
      <c r="J1141" s="18" t="n"/>
      <c r="K1141" s="18" t="n">
        <v>3</v>
      </c>
      <c r="L1141" s="18" t="inlineStr">
        <is>
          <t>cobbleventure:generation_3</t>
        </is>
      </c>
      <c r="M1141" s="19" t="inlineStr">
        <is>
          <t>cobbleventure:generation_3</t>
        </is>
      </c>
      <c r="N1141" s="18" t="inlineStr">
        <is>
          <t>region_01</t>
        </is>
      </c>
      <c r="O1141" s="19" t="inlineStr"/>
      <c r="P1141" s="18" t="inlineStr">
        <is>
          <t>#cobblemon:is_forest; #cobblemon:is_jungle</t>
        </is>
      </c>
      <c r="Q1141" s="19" t="inlineStr"/>
      <c r="R1141" s="18">
        <f>IF(Q1141="",P1141,Q1141)</f>
        <v/>
      </c>
      <c r="S1141" s="18" t="inlineStr">
        <is>
          <t>#cobblemon:is_deep_dark</t>
        </is>
      </c>
      <c r="T1141" s="18" t="inlineStr">
        <is>
          <t>common</t>
        </is>
      </c>
      <c r="U1141" s="20" t="n">
        <v>10</v>
      </c>
      <c r="V1141" s="21" t="n">
        <v>1</v>
      </c>
      <c r="W1141" s="20">
        <f>IF(OR(U1141="",V1141=""),U1141,U1141*V1141)</f>
        <v/>
      </c>
      <c r="X1141" s="18" t="inlineStr">
        <is>
          <t>2-27</t>
        </is>
      </c>
      <c r="Y1141" s="19" t="inlineStr"/>
      <c r="Z1141" s="18">
        <f>IF(Y1141="",X1141,Y1141)</f>
        <v/>
      </c>
      <c r="AA1141" s="18" t="inlineStr">
        <is>
          <t>grounded</t>
        </is>
      </c>
      <c r="AB1141" s="18" t="inlineStr"/>
      <c r="AC1141" s="18" t="inlineStr"/>
      <c r="AD1141" s="18" t="inlineStr">
        <is>
          <t>minY=32, maxY=62</t>
        </is>
      </c>
      <c r="AE1141" s="18" t="inlineStr">
        <is>
          <t>sky 0-7</t>
        </is>
      </c>
      <c r="AF1141" s="18" t="inlineStr"/>
      <c r="AG1141" s="18" t="inlineStr"/>
      <c r="AH1141" s="18" t="inlineStr"/>
      <c r="AI1141" s="18" t="inlineStr"/>
      <c r="AJ1141" s="18" t="inlineStr">
        <is>
          <t>Cobblemon 동일</t>
        </is>
      </c>
      <c r="AK1141" s="18" t="inlineStr">
        <is>
          <t>사용</t>
        </is>
      </c>
      <c r="AL1141" s="18" t="inlineStr">
        <is>
          <t>COBBLEVERSE 1.7.42 / DP v31</t>
        </is>
      </c>
      <c r="AM1141" s="18" t="inlineStr">
        <is>
          <t>data/cobblemon/spawn_pool_world/0290_nincada.json</t>
        </is>
      </c>
      <c r="AN1141" s="18" t="inlineStr">
        <is>
          <t>nincada-1</t>
        </is>
      </c>
      <c r="AO1141" s="18" t="inlineStr">
        <is>
          <t>pokemon</t>
        </is>
      </c>
      <c r="AP1141" s="18" t="inlineStr">
        <is>
          <t>natural</t>
        </is>
      </c>
      <c r="AQ1141" s="18" t="inlineStr">
        <is>
          <t>{"biomes":["#cobblemon:is_forest","#cobblemon:is_jungle"],"maxSkyLight":7,"maxY":62,"minSkyLight":0,"minY":32}</t>
        </is>
      </c>
      <c r="AR1141" s="18" t="inlineStr">
        <is>
          <t>{"biomes":["#cobblemon:is_deep_dark"]}</t>
        </is>
      </c>
      <c r="AS1141" s="18" t="inlineStr"/>
      <c r="AT1141" s="19" t="inlineStr"/>
    </row>
    <row r="1142" ht="32" customHeight="1">
      <c r="A1142" s="18" t="inlineStr">
        <is>
          <t>0290_nincada.json::nincada-2::002</t>
        </is>
      </c>
      <c r="B1142" s="19" t="inlineStr">
        <is>
          <t>사용</t>
        </is>
      </c>
      <c r="C1142" s="18">
        <f>IF(OR(B1142&lt;&gt;AK1142,M1142&lt;&gt;L1142,O1142&lt;&gt;"",Q1142&lt;&gt;"",V1142&lt;&gt;1,Y1142&lt;&gt;"",AT1142&lt;&gt;""),"수정","원본")</f>
        <v/>
      </c>
      <c r="D1142" s="18" t="n">
        <v>290</v>
      </c>
      <c r="E1142" s="18" t="inlineStr">
        <is>
          <t>토중몬</t>
        </is>
      </c>
      <c r="F1142" s="18" t="inlineStr">
        <is>
          <t>nincada</t>
        </is>
      </c>
      <c r="G1142" s="18" t="inlineStr">
        <is>
          <t>nincada</t>
        </is>
      </c>
      <c r="H1142" s="18" t="inlineStr"/>
      <c r="I1142" s="18" t="n">
        <v>3</v>
      </c>
      <c r="J1142" s="18" t="n"/>
      <c r="K1142" s="18" t="n">
        <v>3</v>
      </c>
      <c r="L1142" s="18" t="inlineStr">
        <is>
          <t>cobbleventure:generation_3</t>
        </is>
      </c>
      <c r="M1142" s="19" t="inlineStr">
        <is>
          <t>cobbleventure:generation_3</t>
        </is>
      </c>
      <c r="N1142" s="18" t="inlineStr"/>
      <c r="O1142" s="19" t="inlineStr"/>
      <c r="P1142" s="18" t="inlineStr">
        <is>
          <t>aether:skyroot_forest; aether:skyroot_woodland</t>
        </is>
      </c>
      <c r="Q1142" s="19" t="inlineStr"/>
      <c r="R1142" s="18">
        <f>IF(Q1142="",P1142,Q1142)</f>
        <v/>
      </c>
      <c r="S1142" s="18" t="inlineStr"/>
      <c r="T1142" s="18" t="inlineStr">
        <is>
          <t>common</t>
        </is>
      </c>
      <c r="U1142" s="20" t="n">
        <v>5.97</v>
      </c>
      <c r="V1142" s="21" t="n">
        <v>1</v>
      </c>
      <c r="W1142" s="20">
        <f>IF(OR(U1142="",V1142=""),U1142,U1142*V1142)</f>
        <v/>
      </c>
      <c r="X1142" s="18" t="inlineStr">
        <is>
          <t>2-27</t>
        </is>
      </c>
      <c r="Y1142" s="19" t="inlineStr"/>
      <c r="Z1142" s="18">
        <f>IF(Y1142="",X1142,Y1142)</f>
        <v/>
      </c>
      <c r="AA1142" s="18" t="inlineStr">
        <is>
          <t>grounded</t>
        </is>
      </c>
      <c r="AB1142" s="18" t="inlineStr"/>
      <c r="AC1142" s="18" t="inlineStr"/>
      <c r="AD1142" s="18" t="inlineStr"/>
      <c r="AE1142" s="18" t="inlineStr">
        <is>
          <t>sky 0-7</t>
        </is>
      </c>
      <c r="AF1142" s="18" t="inlineStr"/>
      <c r="AG1142" s="18" t="inlineStr"/>
      <c r="AH1142" s="18" t="inlineStr"/>
      <c r="AI1142" s="18" t="inlineStr"/>
      <c r="AJ1142" s="18" t="inlineStr">
        <is>
          <t>Cobblemon 동일</t>
        </is>
      </c>
      <c r="AK1142" s="18" t="inlineStr">
        <is>
          <t>사용</t>
        </is>
      </c>
      <c r="AL1142" s="18" t="inlineStr">
        <is>
          <t>COBBLEVERSE 1.7.42 / DP v31</t>
        </is>
      </c>
      <c r="AM1142" s="18" t="inlineStr">
        <is>
          <t>data/cobblemon/spawn_pool_world/0290_nincada.json</t>
        </is>
      </c>
      <c r="AN1142" s="18" t="inlineStr">
        <is>
          <t>nincada-2</t>
        </is>
      </c>
      <c r="AO1142" s="18" t="inlineStr">
        <is>
          <t>pokemon</t>
        </is>
      </c>
      <c r="AP1142" s="18" t="inlineStr">
        <is>
          <t>natural</t>
        </is>
      </c>
      <c r="AQ1142" s="18" t="inlineStr">
        <is>
          <t>{"biomes":["aether:skyroot_forest","aether:skyroot_woodland"],"maxSkyLight":7,"minSkyLight":0}</t>
        </is>
      </c>
      <c r="AR1142" s="18" t="inlineStr"/>
      <c r="AS1142" s="18" t="inlineStr"/>
      <c r="AT1142" s="19" t="inlineStr"/>
    </row>
    <row r="1143" ht="32" customHeight="1">
      <c r="A1143" s="18" t="inlineStr">
        <is>
          <t>0291_ninjask.json::ninjask-1::001</t>
        </is>
      </c>
      <c r="B1143" s="19" t="inlineStr">
        <is>
          <t>사용</t>
        </is>
      </c>
      <c r="C1143" s="18">
        <f>IF(OR(B1143&lt;&gt;AK1143,M1143&lt;&gt;L1143,O1143&lt;&gt;"",Q1143&lt;&gt;"",V1143&lt;&gt;1,Y1143&lt;&gt;"",AT1143&lt;&gt;""),"수정","원본")</f>
        <v/>
      </c>
      <c r="D1143" s="18" t="n">
        <v>291</v>
      </c>
      <c r="E1143" s="18" t="inlineStr">
        <is>
          <t>아이스크</t>
        </is>
      </c>
      <c r="F1143" s="18" t="inlineStr">
        <is>
          <t>ninjask</t>
        </is>
      </c>
      <c r="G1143" s="18" t="inlineStr">
        <is>
          <t>ninjask</t>
        </is>
      </c>
      <c r="H1143" s="18" t="inlineStr"/>
      <c r="I1143" s="18" t="n">
        <v>3</v>
      </c>
      <c r="J1143" s="18" t="n"/>
      <c r="K1143" s="18" t="n">
        <v>3</v>
      </c>
      <c r="L1143" s="18" t="inlineStr">
        <is>
          <t>cobbleventure:generation_3</t>
        </is>
      </c>
      <c r="M1143" s="19" t="inlineStr">
        <is>
          <t>cobbleventure:generation_3</t>
        </is>
      </c>
      <c r="N1143" s="18" t="inlineStr">
        <is>
          <t>region_01</t>
        </is>
      </c>
      <c r="O1143" s="19" t="inlineStr"/>
      <c r="P1143" s="18" t="inlineStr">
        <is>
          <t>#cobblemon:is_forest; #cobblemon:is_jungle</t>
        </is>
      </c>
      <c r="Q1143" s="19" t="inlineStr"/>
      <c r="R1143" s="18">
        <f>IF(Q1143="",P1143,Q1143)</f>
        <v/>
      </c>
      <c r="S1143" s="18" t="inlineStr">
        <is>
          <t>#cobblemon:is_freezing</t>
        </is>
      </c>
      <c r="T1143" s="18" t="inlineStr">
        <is>
          <t>common</t>
        </is>
      </c>
      <c r="U1143" s="20" t="n">
        <v>2</v>
      </c>
      <c r="V1143" s="21" t="n">
        <v>1</v>
      </c>
      <c r="W1143" s="20">
        <f>IF(OR(U1143="",V1143=""),U1143,U1143*V1143)</f>
        <v/>
      </c>
      <c r="X1143" s="18" t="inlineStr">
        <is>
          <t>20-46</t>
        </is>
      </c>
      <c r="Y1143" s="19" t="inlineStr"/>
      <c r="Z1143" s="18">
        <f>IF(Y1143="",X1143,Y1143)</f>
        <v/>
      </c>
      <c r="AA1143" s="18" t="inlineStr">
        <is>
          <t>grounded</t>
        </is>
      </c>
      <c r="AB1143" s="18" t="inlineStr">
        <is>
          <t>day</t>
        </is>
      </c>
      <c r="AC1143" s="18" t="inlineStr">
        <is>
          <t>비=False</t>
        </is>
      </c>
      <c r="AD1143" s="18" t="inlineStr"/>
      <c r="AE1143" s="18" t="inlineStr">
        <is>
          <t>sky 8-15</t>
        </is>
      </c>
      <c r="AF1143" s="18" t="inlineStr"/>
      <c r="AG1143" s="18" t="inlineStr"/>
      <c r="AH1143" s="18" t="inlineStr"/>
      <c r="AI1143" s="18" t="inlineStr"/>
      <c r="AJ1143" s="18" t="inlineStr">
        <is>
          <t>Cobblemon 동일</t>
        </is>
      </c>
      <c r="AK1143" s="18" t="inlineStr">
        <is>
          <t>사용</t>
        </is>
      </c>
      <c r="AL1143" s="18" t="inlineStr">
        <is>
          <t>COBBLEVERSE 1.7.42 / DP v31</t>
        </is>
      </c>
      <c r="AM1143" s="18" t="inlineStr">
        <is>
          <t>data/cobblemon/spawn_pool_world/0291_ninjask.json</t>
        </is>
      </c>
      <c r="AN1143" s="18" t="inlineStr">
        <is>
          <t>ninjask-1</t>
        </is>
      </c>
      <c r="AO1143" s="18" t="inlineStr">
        <is>
          <t>pokemon</t>
        </is>
      </c>
      <c r="AP1143" s="18" t="inlineStr">
        <is>
          <t>natural</t>
        </is>
      </c>
      <c r="AQ1143" s="18" t="inlineStr">
        <is>
          <t>{"biomes":["#cobblemon:is_forest","#cobblemon:is_jungle"],"isRaining":false,"maxSkyLight":15,"minSkyLight":8,"timeRange":"day"}</t>
        </is>
      </c>
      <c r="AR1143" s="18" t="inlineStr">
        <is>
          <t>{"biomes":["#cobblemon:is_freezing"]}</t>
        </is>
      </c>
      <c r="AS1143" s="18" t="inlineStr"/>
      <c r="AT1143" s="19" t="inlineStr"/>
    </row>
    <row r="1144" ht="32" customHeight="1">
      <c r="A1144" s="18" t="inlineStr">
        <is>
          <t>0291_ninjask.json::ninjask-2::002</t>
        </is>
      </c>
      <c r="B1144" s="19" t="inlineStr">
        <is>
          <t>사용</t>
        </is>
      </c>
      <c r="C1144" s="18">
        <f>IF(OR(B1144&lt;&gt;AK1144,M1144&lt;&gt;L1144,O1144&lt;&gt;"",Q1144&lt;&gt;"",V1144&lt;&gt;1,Y1144&lt;&gt;"",AT1144&lt;&gt;""),"수정","원본")</f>
        <v/>
      </c>
      <c r="D1144" s="18" t="n">
        <v>291</v>
      </c>
      <c r="E1144" s="18" t="inlineStr">
        <is>
          <t>아이스크</t>
        </is>
      </c>
      <c r="F1144" s="18" t="inlineStr">
        <is>
          <t>ninjask</t>
        </is>
      </c>
      <c r="G1144" s="18" t="inlineStr">
        <is>
          <t>ninjask</t>
        </is>
      </c>
      <c r="H1144" s="18" t="inlineStr"/>
      <c r="I1144" s="18" t="n">
        <v>3</v>
      </c>
      <c r="J1144" s="18" t="n"/>
      <c r="K1144" s="18" t="n">
        <v>3</v>
      </c>
      <c r="L1144" s="18" t="inlineStr">
        <is>
          <t>cobbleventure:generation_3</t>
        </is>
      </c>
      <c r="M1144" s="19" t="inlineStr">
        <is>
          <t>cobbleventure:generation_3</t>
        </is>
      </c>
      <c r="N1144" s="18" t="inlineStr"/>
      <c r="O1144" s="19" t="inlineStr"/>
      <c r="P1144" s="18" t="inlineStr">
        <is>
          <t>aether:skyroot_forest; aether:skyroot_woodland</t>
        </is>
      </c>
      <c r="Q1144" s="19" t="inlineStr"/>
      <c r="R1144" s="18">
        <f>IF(Q1144="",P1144,Q1144)</f>
        <v/>
      </c>
      <c r="S1144" s="18" t="inlineStr"/>
      <c r="T1144" s="18" t="inlineStr">
        <is>
          <t>common</t>
        </is>
      </c>
      <c r="U1144" s="20" t="n">
        <v>2</v>
      </c>
      <c r="V1144" s="21" t="n">
        <v>1</v>
      </c>
      <c r="W1144" s="20">
        <f>IF(OR(U1144="",V1144=""),U1144,U1144*V1144)</f>
        <v/>
      </c>
      <c r="X1144" s="18" t="inlineStr">
        <is>
          <t>20-46</t>
        </is>
      </c>
      <c r="Y1144" s="19" t="inlineStr"/>
      <c r="Z1144" s="18">
        <f>IF(Y1144="",X1144,Y1144)</f>
        <v/>
      </c>
      <c r="AA1144" s="18" t="inlineStr">
        <is>
          <t>grounded</t>
        </is>
      </c>
      <c r="AB1144" s="18" t="inlineStr"/>
      <c r="AC1144" s="18" t="inlineStr"/>
      <c r="AD1144" s="18" t="inlineStr"/>
      <c r="AE1144" s="18" t="inlineStr">
        <is>
          <t>sky 8-15</t>
        </is>
      </c>
      <c r="AF1144" s="18" t="inlineStr"/>
      <c r="AG1144" s="18" t="inlineStr"/>
      <c r="AH1144" s="18" t="inlineStr"/>
      <c r="AI1144" s="18" t="inlineStr"/>
      <c r="AJ1144" s="18" t="inlineStr">
        <is>
          <t>Cobblemon 동일</t>
        </is>
      </c>
      <c r="AK1144" s="18" t="inlineStr">
        <is>
          <t>사용</t>
        </is>
      </c>
      <c r="AL1144" s="18" t="inlineStr">
        <is>
          <t>COBBLEVERSE 1.7.42 / DP v31</t>
        </is>
      </c>
      <c r="AM1144" s="18" t="inlineStr">
        <is>
          <t>data/cobblemon/spawn_pool_world/0291_ninjask.json</t>
        </is>
      </c>
      <c r="AN1144" s="18" t="inlineStr">
        <is>
          <t>ninjask-2</t>
        </is>
      </c>
      <c r="AO1144" s="18" t="inlineStr">
        <is>
          <t>pokemon</t>
        </is>
      </c>
      <c r="AP1144" s="18" t="inlineStr">
        <is>
          <t>natural</t>
        </is>
      </c>
      <c r="AQ1144" s="18" t="inlineStr">
        <is>
          <t>{"biomes":["aether:skyroot_forest","aether:skyroot_woodland"],"maxSkyLight":15,"minSkyLight":8}</t>
        </is>
      </c>
      <c r="AR1144" s="18" t="inlineStr"/>
      <c r="AS1144" s="18" t="inlineStr"/>
      <c r="AT1144" s="19" t="inlineStr"/>
    </row>
    <row r="1145" ht="32" customHeight="1">
      <c r="A1145" s="18" t="inlineStr">
        <is>
          <t>0292_shedinja.json::shedinja-1::001</t>
        </is>
      </c>
      <c r="B1145" s="19" t="inlineStr">
        <is>
          <t>사용</t>
        </is>
      </c>
      <c r="C1145" s="18">
        <f>IF(OR(B1145&lt;&gt;AK1145,M1145&lt;&gt;L1145,O1145&lt;&gt;"",Q1145&lt;&gt;"",V1145&lt;&gt;1,Y1145&lt;&gt;"",AT1145&lt;&gt;""),"수정","원본")</f>
        <v/>
      </c>
      <c r="D1145" s="18" t="n">
        <v>292</v>
      </c>
      <c r="E1145" s="18" t="inlineStr">
        <is>
          <t>껍질몬</t>
        </is>
      </c>
      <c r="F1145" s="18" t="inlineStr">
        <is>
          <t>shedinja</t>
        </is>
      </c>
      <c r="G1145" s="18" t="inlineStr">
        <is>
          <t>shedinja</t>
        </is>
      </c>
      <c r="H1145" s="18" t="inlineStr"/>
      <c r="I1145" s="18" t="n">
        <v>3</v>
      </c>
      <c r="J1145" s="18" t="n"/>
      <c r="K1145" s="18" t="n">
        <v>3</v>
      </c>
      <c r="L1145" s="18" t="inlineStr">
        <is>
          <t>cobbleventure:generation_3</t>
        </is>
      </c>
      <c r="M1145" s="19" t="inlineStr">
        <is>
          <t>cobbleventure:generation_3</t>
        </is>
      </c>
      <c r="N1145" s="18" t="inlineStr">
        <is>
          <t>region_01</t>
        </is>
      </c>
      <c r="O1145" s="19" t="inlineStr"/>
      <c r="P1145" s="18" t="inlineStr">
        <is>
          <t>#cobblemon:is_forest; #cobblemon:is_jungle</t>
        </is>
      </c>
      <c r="Q1145" s="19" t="inlineStr"/>
      <c r="R1145" s="18">
        <f>IF(Q1145="",P1145,Q1145)</f>
        <v/>
      </c>
      <c r="S1145" s="18" t="inlineStr">
        <is>
          <t>#cobblemon:is_freezing</t>
        </is>
      </c>
      <c r="T1145" s="18" t="inlineStr">
        <is>
          <t>uncommon</t>
        </is>
      </c>
      <c r="U1145" s="20" t="n">
        <v>2</v>
      </c>
      <c r="V1145" s="21" t="n">
        <v>1</v>
      </c>
      <c r="W1145" s="20">
        <f>IF(OR(U1145="",V1145=""),U1145,U1145*V1145)</f>
        <v/>
      </c>
      <c r="X1145" s="18" t="inlineStr">
        <is>
          <t>20-24</t>
        </is>
      </c>
      <c r="Y1145" s="19" t="inlineStr"/>
      <c r="Z1145" s="18">
        <f>IF(Y1145="",X1145,Y1145)</f>
        <v/>
      </c>
      <c r="AA1145" s="18" t="inlineStr">
        <is>
          <t>grounded</t>
        </is>
      </c>
      <c r="AB1145" s="18" t="inlineStr">
        <is>
          <t>night</t>
        </is>
      </c>
      <c r="AC1145" s="18" t="inlineStr">
        <is>
          <t>비=False</t>
        </is>
      </c>
      <c r="AD1145" s="18" t="inlineStr"/>
      <c r="AE1145" s="18" t="inlineStr"/>
      <c r="AF1145" s="18" t="inlineStr"/>
      <c r="AG1145" s="18" t="inlineStr"/>
      <c r="AH1145" s="18" t="inlineStr"/>
      <c r="AI1145" s="18" t="inlineStr"/>
      <c r="AJ1145" s="18" t="inlineStr">
        <is>
          <t>COBBLEVERSE 수정</t>
        </is>
      </c>
      <c r="AK1145" s="18" t="inlineStr">
        <is>
          <t>사용</t>
        </is>
      </c>
      <c r="AL1145" s="18" t="inlineStr">
        <is>
          <t>COBBLEVERSE 1.7.42 / DP v31</t>
        </is>
      </c>
      <c r="AM1145" s="18" t="inlineStr">
        <is>
          <t>data/cobblemon/spawn_pool_world/0292_shedinja.json</t>
        </is>
      </c>
      <c r="AN1145" s="18" t="inlineStr">
        <is>
          <t>shedinja-1</t>
        </is>
      </c>
      <c r="AO1145" s="18" t="inlineStr">
        <is>
          <t>pokemon</t>
        </is>
      </c>
      <c r="AP1145" s="18" t="inlineStr">
        <is>
          <t>natural</t>
        </is>
      </c>
      <c r="AQ1145" s="18" t="inlineStr">
        <is>
          <t>{"biomes":["#cobblemon:is_forest","#cobblemon:is_jungle"],"isRaining":false,"timeRange":"night"}</t>
        </is>
      </c>
      <c r="AR1145" s="18" t="inlineStr">
        <is>
          <t>{"biomes":["#cobblemon:is_freezing"]}</t>
        </is>
      </c>
      <c r="AS1145" s="18" t="inlineStr"/>
      <c r="AT1145" s="19" t="inlineStr"/>
    </row>
    <row r="1146" ht="32" customHeight="1">
      <c r="A1146" s="18" t="inlineStr">
        <is>
          <t>0292_shedinja.json::shedinja-2::002</t>
        </is>
      </c>
      <c r="B1146" s="19" t="inlineStr">
        <is>
          <t>사용</t>
        </is>
      </c>
      <c r="C1146" s="18">
        <f>IF(OR(B1146&lt;&gt;AK1146,M1146&lt;&gt;L1146,O1146&lt;&gt;"",Q1146&lt;&gt;"",V1146&lt;&gt;1,Y1146&lt;&gt;"",AT1146&lt;&gt;""),"수정","원본")</f>
        <v/>
      </c>
      <c r="D1146" s="18" t="n">
        <v>292</v>
      </c>
      <c r="E1146" s="18" t="inlineStr">
        <is>
          <t>껍질몬</t>
        </is>
      </c>
      <c r="F1146" s="18" t="inlineStr">
        <is>
          <t>shedinja</t>
        </is>
      </c>
      <c r="G1146" s="18" t="inlineStr">
        <is>
          <t>shedinja</t>
        </is>
      </c>
      <c r="H1146" s="18" t="inlineStr"/>
      <c r="I1146" s="18" t="n">
        <v>3</v>
      </c>
      <c r="J1146" s="18" t="n"/>
      <c r="K1146" s="18" t="n">
        <v>3</v>
      </c>
      <c r="L1146" s="18" t="inlineStr">
        <is>
          <t>cobbleventure:generation_3</t>
        </is>
      </c>
      <c r="M1146" s="19" t="inlineStr">
        <is>
          <t>cobbleventure:generation_3</t>
        </is>
      </c>
      <c r="N1146" s="18" t="inlineStr"/>
      <c r="O1146" s="19" t="inlineStr"/>
      <c r="P1146" s="18" t="inlineStr">
        <is>
          <t>aether:skyroot_forest; aether:skyroot_woodland</t>
        </is>
      </c>
      <c r="Q1146" s="19" t="inlineStr"/>
      <c r="R1146" s="18">
        <f>IF(Q1146="",P1146,Q1146)</f>
        <v/>
      </c>
      <c r="S1146" s="18" t="inlineStr"/>
      <c r="T1146" s="18" t="inlineStr">
        <is>
          <t>common</t>
        </is>
      </c>
      <c r="U1146" s="20" t="n">
        <v>0.03</v>
      </c>
      <c r="V1146" s="21" t="n">
        <v>1</v>
      </c>
      <c r="W1146" s="20">
        <f>IF(OR(U1146="",V1146=""),U1146,U1146*V1146)</f>
        <v/>
      </c>
      <c r="X1146" s="18" t="inlineStr">
        <is>
          <t>20-24</t>
        </is>
      </c>
      <c r="Y1146" s="19" t="inlineStr"/>
      <c r="Z1146" s="18">
        <f>IF(Y1146="",X1146,Y1146)</f>
        <v/>
      </c>
      <c r="AA1146" s="18" t="inlineStr">
        <is>
          <t>grounded</t>
        </is>
      </c>
      <c r="AB1146" s="18" t="inlineStr"/>
      <c r="AC1146" s="18" t="inlineStr"/>
      <c r="AD1146" s="18" t="inlineStr"/>
      <c r="AE1146" s="18" t="inlineStr">
        <is>
          <t>sky 0-7</t>
        </is>
      </c>
      <c r="AF1146" s="18" t="inlineStr"/>
      <c r="AG1146" s="18" t="inlineStr"/>
      <c r="AH1146" s="18" t="inlineStr"/>
      <c r="AI1146" s="18" t="inlineStr"/>
      <c r="AJ1146" s="18" t="inlineStr">
        <is>
          <t>COBBLEVERSE 수정</t>
        </is>
      </c>
      <c r="AK1146" s="18" t="inlineStr">
        <is>
          <t>사용</t>
        </is>
      </c>
      <c r="AL1146" s="18" t="inlineStr">
        <is>
          <t>COBBLEVERSE 1.7.42 / DP v31</t>
        </is>
      </c>
      <c r="AM1146" s="18" t="inlineStr">
        <is>
          <t>data/cobblemon/spawn_pool_world/0292_shedinja.json</t>
        </is>
      </c>
      <c r="AN1146" s="18" t="inlineStr">
        <is>
          <t>shedinja-2</t>
        </is>
      </c>
      <c r="AO1146" s="18" t="inlineStr">
        <is>
          <t>pokemon</t>
        </is>
      </c>
      <c r="AP1146" s="18" t="inlineStr">
        <is>
          <t>natural</t>
        </is>
      </c>
      <c r="AQ1146" s="18" t="inlineStr">
        <is>
          <t>{"biomes":["aether:skyroot_forest","aether:skyroot_woodland"],"maxSkyLight":7,"minSkyLight":0}</t>
        </is>
      </c>
      <c r="AR1146" s="18" t="inlineStr"/>
      <c r="AS1146" s="18" t="inlineStr"/>
      <c r="AT1146" s="19" t="inlineStr"/>
    </row>
    <row r="1147" ht="32" customHeight="1">
      <c r="A1147" s="18" t="inlineStr">
        <is>
          <t>0293_whismur.json::whismur-1::001</t>
        </is>
      </c>
      <c r="B1147" s="19" t="inlineStr">
        <is>
          <t>사용</t>
        </is>
      </c>
      <c r="C1147" s="18">
        <f>IF(OR(B1147&lt;&gt;AK1147,M1147&lt;&gt;L1147,O1147&lt;&gt;"",Q1147&lt;&gt;"",V1147&lt;&gt;1,Y1147&lt;&gt;"",AT1147&lt;&gt;""),"수정","원본")</f>
        <v/>
      </c>
      <c r="D1147" s="18" t="n">
        <v>293</v>
      </c>
      <c r="E1147" s="18" t="inlineStr">
        <is>
          <t>소곤룡</t>
        </is>
      </c>
      <c r="F1147" s="18" t="inlineStr">
        <is>
          <t>whismur</t>
        </is>
      </c>
      <c r="G1147" s="18" t="inlineStr">
        <is>
          <t>whismur</t>
        </is>
      </c>
      <c r="H1147" s="18" t="inlineStr"/>
      <c r="I1147" s="18" t="n">
        <v>3</v>
      </c>
      <c r="J1147" s="18" t="n"/>
      <c r="K1147" s="18" t="n">
        <v>3</v>
      </c>
      <c r="L1147" s="18" t="inlineStr">
        <is>
          <t>cobbleventure:generation_3</t>
        </is>
      </c>
      <c r="M1147" s="19" t="inlineStr">
        <is>
          <t>cobbleventure:generation_3</t>
        </is>
      </c>
      <c r="N1147" s="18" t="inlineStr"/>
      <c r="O1147" s="19" t="inlineStr"/>
      <c r="P1147" s="18" t="inlineStr">
        <is>
          <t>#cobblemon:is_deep_dark</t>
        </is>
      </c>
      <c r="Q1147" s="19" t="inlineStr"/>
      <c r="R1147" s="18">
        <f>IF(Q1147="",P1147,Q1147)</f>
        <v/>
      </c>
      <c r="S1147" s="18" t="inlineStr"/>
      <c r="T1147" s="18" t="inlineStr">
        <is>
          <t>uncommon</t>
        </is>
      </c>
      <c r="U1147" s="20" t="n">
        <v>8.4</v>
      </c>
      <c r="V1147" s="21" t="n">
        <v>1</v>
      </c>
      <c r="W1147" s="20">
        <f>IF(OR(U1147="",V1147=""),U1147,U1147*V1147)</f>
        <v/>
      </c>
      <c r="X1147" s="18" t="inlineStr">
        <is>
          <t>1-24</t>
        </is>
      </c>
      <c r="Y1147" s="19" t="inlineStr"/>
      <c r="Z1147" s="18">
        <f>IF(Y1147="",X1147,Y1147)</f>
        <v/>
      </c>
      <c r="AA1147" s="18" t="inlineStr">
        <is>
          <t>grounded</t>
        </is>
      </c>
      <c r="AB1147" s="18" t="inlineStr"/>
      <c r="AC1147" s="18" t="inlineStr"/>
      <c r="AD1147" s="18" t="inlineStr"/>
      <c r="AE1147" s="18" t="inlineStr">
        <is>
          <t>sky 0-7</t>
        </is>
      </c>
      <c r="AF1147" s="18" t="inlineStr"/>
      <c r="AG1147" s="18" t="inlineStr"/>
      <c r="AH1147" s="18" t="inlineStr"/>
      <c r="AI1147" s="18" t="inlineStr"/>
      <c r="AJ1147" s="18" t="inlineStr">
        <is>
          <t>Cobblemon 동일</t>
        </is>
      </c>
      <c r="AK1147" s="18" t="inlineStr">
        <is>
          <t>사용</t>
        </is>
      </c>
      <c r="AL1147" s="18" t="inlineStr">
        <is>
          <t>COBBLEVERSE 1.7.42 / DP v31</t>
        </is>
      </c>
      <c r="AM1147" s="18" t="inlineStr">
        <is>
          <t>data/cobblemon/spawn_pool_world/0293_whismur.json</t>
        </is>
      </c>
      <c r="AN1147" s="18" t="inlineStr">
        <is>
          <t>whismur-1</t>
        </is>
      </c>
      <c r="AO1147" s="18" t="inlineStr">
        <is>
          <t>pokemon</t>
        </is>
      </c>
      <c r="AP1147" s="18" t="inlineStr">
        <is>
          <t>natural</t>
        </is>
      </c>
      <c r="AQ1147" s="18" t="inlineStr">
        <is>
          <t>{"biomes":["#cobblemon:is_deep_dark"],"maxSkyLight":7,"minSkyLight":0}</t>
        </is>
      </c>
      <c r="AR1147" s="18" t="inlineStr"/>
      <c r="AS1147" s="18" t="inlineStr"/>
      <c r="AT1147" s="19" t="inlineStr"/>
    </row>
    <row r="1148" ht="32" customHeight="1">
      <c r="A1148" s="18" t="inlineStr">
        <is>
          <t>0293_whismur.json::whismur-2::002</t>
        </is>
      </c>
      <c r="B1148" s="19" t="inlineStr">
        <is>
          <t>사용</t>
        </is>
      </c>
      <c r="C1148" s="18">
        <f>IF(OR(B1148&lt;&gt;AK1148,M1148&lt;&gt;L1148,O1148&lt;&gt;"",Q1148&lt;&gt;"",V1148&lt;&gt;1,Y1148&lt;&gt;"",AT1148&lt;&gt;""),"수정","원본")</f>
        <v/>
      </c>
      <c r="D1148" s="18" t="n">
        <v>293</v>
      </c>
      <c r="E1148" s="18" t="inlineStr">
        <is>
          <t>소곤룡</t>
        </is>
      </c>
      <c r="F1148" s="18" t="inlineStr">
        <is>
          <t>whismur</t>
        </is>
      </c>
      <c r="G1148" s="18" t="inlineStr">
        <is>
          <t>whismur</t>
        </is>
      </c>
      <c r="H1148" s="18" t="inlineStr"/>
      <c r="I1148" s="18" t="n">
        <v>3</v>
      </c>
      <c r="J1148" s="18" t="n"/>
      <c r="K1148" s="18" t="n">
        <v>3</v>
      </c>
      <c r="L1148" s="18" t="inlineStr">
        <is>
          <t>cobbleventure:generation_3</t>
        </is>
      </c>
      <c r="M1148" s="19" t="inlineStr">
        <is>
          <t>cobbleventure:generation_3</t>
        </is>
      </c>
      <c r="N1148" s="18" t="inlineStr">
        <is>
          <t>region_01; region_02</t>
        </is>
      </c>
      <c r="O1148" s="19" t="inlineStr"/>
      <c r="P1148" s="18" t="inlineStr">
        <is>
          <t>#cobblemon:is_overworld</t>
        </is>
      </c>
      <c r="Q1148" s="19" t="inlineStr"/>
      <c r="R1148" s="18">
        <f>IF(Q1148="",P1148,Q1148)</f>
        <v/>
      </c>
      <c r="S1148" s="18" t="inlineStr">
        <is>
          <t>#cobblemon:is_deep_dark</t>
        </is>
      </c>
      <c r="T1148" s="18" t="inlineStr">
        <is>
          <t>common</t>
        </is>
      </c>
      <c r="U1148" s="20" t="n">
        <v>1.8</v>
      </c>
      <c r="V1148" s="21" t="n">
        <v>1</v>
      </c>
      <c r="W1148" s="20">
        <f>IF(OR(U1148="",V1148=""),U1148,U1148*V1148)</f>
        <v/>
      </c>
      <c r="X1148" s="18" t="inlineStr">
        <is>
          <t>1-24</t>
        </is>
      </c>
      <c r="Y1148" s="19" t="inlineStr"/>
      <c r="Z1148" s="18">
        <f>IF(Y1148="",X1148,Y1148)</f>
        <v/>
      </c>
      <c r="AA1148" s="18" t="inlineStr">
        <is>
          <t>grounded</t>
        </is>
      </c>
      <c r="AB1148" s="18" t="inlineStr"/>
      <c r="AC1148" s="18" t="inlineStr"/>
      <c r="AD1148" s="18" t="inlineStr">
        <is>
          <t>maxY=0</t>
        </is>
      </c>
      <c r="AE1148" s="18" t="inlineStr">
        <is>
          <t>sky 0-7</t>
        </is>
      </c>
      <c r="AF1148" s="18" t="inlineStr"/>
      <c r="AG1148" s="18" t="inlineStr"/>
      <c r="AH1148" s="18" t="inlineStr"/>
      <c r="AI1148" s="18" t="inlineStr"/>
      <c r="AJ1148" s="18" t="inlineStr">
        <is>
          <t>Cobblemon 동일</t>
        </is>
      </c>
      <c r="AK1148" s="18" t="inlineStr">
        <is>
          <t>사용</t>
        </is>
      </c>
      <c r="AL1148" s="18" t="inlineStr">
        <is>
          <t>COBBLEVERSE 1.7.42 / DP v31</t>
        </is>
      </c>
      <c r="AM1148" s="18" t="inlineStr">
        <is>
          <t>data/cobblemon/spawn_pool_world/0293_whismur.json</t>
        </is>
      </c>
      <c r="AN1148" s="18" t="inlineStr">
        <is>
          <t>whismur-2</t>
        </is>
      </c>
      <c r="AO1148" s="18" t="inlineStr">
        <is>
          <t>pokemon</t>
        </is>
      </c>
      <c r="AP1148" s="18" t="inlineStr">
        <is>
          <t>natural</t>
        </is>
      </c>
      <c r="AQ1148" s="18" t="inlineStr">
        <is>
          <t>{"biomes":["#cobblemon:is_overworld"],"maxSkyLight":7,"maxY":0,"minSkyLight":0}</t>
        </is>
      </c>
      <c r="AR1148" s="18" t="inlineStr">
        <is>
          <t>{"biomes":["#cobblemon:is_deep_dark"]}</t>
        </is>
      </c>
      <c r="AS1148" s="18" t="inlineStr"/>
      <c r="AT1148" s="19" t="inlineStr"/>
    </row>
    <row r="1149" ht="32" customHeight="1">
      <c r="A1149" s="18" t="inlineStr">
        <is>
          <t>0294_loudred.json::loudred-1::001</t>
        </is>
      </c>
      <c r="B1149" s="19" t="inlineStr">
        <is>
          <t>사용</t>
        </is>
      </c>
      <c r="C1149" s="18">
        <f>IF(OR(B1149&lt;&gt;AK1149,M1149&lt;&gt;L1149,O1149&lt;&gt;"",Q1149&lt;&gt;"",V1149&lt;&gt;1,Y1149&lt;&gt;"",AT1149&lt;&gt;""),"수정","원본")</f>
        <v/>
      </c>
      <c r="D1149" s="18" t="n">
        <v>294</v>
      </c>
      <c r="E1149" s="18" t="inlineStr">
        <is>
          <t>노공룡</t>
        </is>
      </c>
      <c r="F1149" s="18" t="inlineStr">
        <is>
          <t>loudred</t>
        </is>
      </c>
      <c r="G1149" s="18" t="inlineStr">
        <is>
          <t>loudred</t>
        </is>
      </c>
      <c r="H1149" s="18" t="inlineStr"/>
      <c r="I1149" s="18" t="n">
        <v>3</v>
      </c>
      <c r="J1149" s="18" t="n"/>
      <c r="K1149" s="18" t="n">
        <v>3</v>
      </c>
      <c r="L1149" s="18" t="inlineStr">
        <is>
          <t>cobbleventure:generation_3</t>
        </is>
      </c>
      <c r="M1149" s="19" t="inlineStr">
        <is>
          <t>cobbleventure:generation_3</t>
        </is>
      </c>
      <c r="N1149" s="18" t="inlineStr"/>
      <c r="O1149" s="19" t="inlineStr"/>
      <c r="P1149" s="18" t="inlineStr">
        <is>
          <t>#cobblemon:is_deep_dark</t>
        </is>
      </c>
      <c r="Q1149" s="19" t="inlineStr"/>
      <c r="R1149" s="18">
        <f>IF(Q1149="",P1149,Q1149)</f>
        <v/>
      </c>
      <c r="S1149" s="18" t="inlineStr"/>
      <c r="T1149" s="18" t="inlineStr">
        <is>
          <t>uncommon</t>
        </is>
      </c>
      <c r="U1149" s="20" t="n">
        <v>1.44</v>
      </c>
      <c r="V1149" s="21" t="n">
        <v>1</v>
      </c>
      <c r="W1149" s="20">
        <f>IF(OR(U1149="",V1149=""),U1149,U1149*V1149)</f>
        <v/>
      </c>
      <c r="X1149" s="18" t="inlineStr">
        <is>
          <t>20-39</t>
        </is>
      </c>
      <c r="Y1149" s="19" t="inlineStr"/>
      <c r="Z1149" s="18">
        <f>IF(Y1149="",X1149,Y1149)</f>
        <v/>
      </c>
      <c r="AA1149" s="18" t="inlineStr">
        <is>
          <t>grounded</t>
        </is>
      </c>
      <c r="AB1149" s="18" t="inlineStr"/>
      <c r="AC1149" s="18" t="inlineStr"/>
      <c r="AD1149" s="18" t="inlineStr"/>
      <c r="AE1149" s="18" t="inlineStr">
        <is>
          <t>sky 0-7</t>
        </is>
      </c>
      <c r="AF1149" s="18" t="inlineStr"/>
      <c r="AG1149" s="18" t="inlineStr"/>
      <c r="AH1149" s="18" t="inlineStr"/>
      <c r="AI1149" s="18" t="inlineStr"/>
      <c r="AJ1149" s="18" t="inlineStr">
        <is>
          <t>Cobblemon 동일</t>
        </is>
      </c>
      <c r="AK1149" s="18" t="inlineStr">
        <is>
          <t>사용</t>
        </is>
      </c>
      <c r="AL1149" s="18" t="inlineStr">
        <is>
          <t>COBBLEVERSE 1.7.42 / DP v31</t>
        </is>
      </c>
      <c r="AM1149" s="18" t="inlineStr">
        <is>
          <t>data/cobblemon/spawn_pool_world/0294_loudred.json</t>
        </is>
      </c>
      <c r="AN1149" s="18" t="inlineStr">
        <is>
          <t>loudred-1</t>
        </is>
      </c>
      <c r="AO1149" s="18" t="inlineStr">
        <is>
          <t>pokemon</t>
        </is>
      </c>
      <c r="AP1149" s="18" t="inlineStr">
        <is>
          <t>natural</t>
        </is>
      </c>
      <c r="AQ1149" s="18" t="inlineStr">
        <is>
          <t>{"biomes":["#cobblemon:is_deep_dark"],"maxSkyLight":7,"minSkyLight":0}</t>
        </is>
      </c>
      <c r="AR1149" s="18" t="inlineStr"/>
      <c r="AS1149" s="18" t="inlineStr"/>
      <c r="AT1149" s="19" t="inlineStr"/>
    </row>
    <row r="1150" ht="32" customHeight="1">
      <c r="A1150" s="18" t="inlineStr">
        <is>
          <t>0294_loudred.json::loudred-2::002</t>
        </is>
      </c>
      <c r="B1150" s="19" t="inlineStr">
        <is>
          <t>사용</t>
        </is>
      </c>
      <c r="C1150" s="18">
        <f>IF(OR(B1150&lt;&gt;AK1150,M1150&lt;&gt;L1150,O1150&lt;&gt;"",Q1150&lt;&gt;"",V1150&lt;&gt;1,Y1150&lt;&gt;"",AT1150&lt;&gt;""),"수정","원본")</f>
        <v/>
      </c>
      <c r="D1150" s="18" t="n">
        <v>294</v>
      </c>
      <c r="E1150" s="18" t="inlineStr">
        <is>
          <t>노공룡</t>
        </is>
      </c>
      <c r="F1150" s="18" t="inlineStr">
        <is>
          <t>loudred</t>
        </is>
      </c>
      <c r="G1150" s="18" t="inlineStr">
        <is>
          <t>loudred</t>
        </is>
      </c>
      <c r="H1150" s="18" t="inlineStr"/>
      <c r="I1150" s="18" t="n">
        <v>3</v>
      </c>
      <c r="J1150" s="18" t="n"/>
      <c r="K1150" s="18" t="n">
        <v>3</v>
      </c>
      <c r="L1150" s="18" t="inlineStr">
        <is>
          <t>cobbleventure:generation_3</t>
        </is>
      </c>
      <c r="M1150" s="19" t="inlineStr">
        <is>
          <t>cobbleventure:generation_3</t>
        </is>
      </c>
      <c r="N1150" s="18" t="inlineStr">
        <is>
          <t>region_01; region_02</t>
        </is>
      </c>
      <c r="O1150" s="19" t="inlineStr"/>
      <c r="P1150" s="18" t="inlineStr">
        <is>
          <t>#cobblemon:is_overworld</t>
        </is>
      </c>
      <c r="Q1150" s="19" t="inlineStr"/>
      <c r="R1150" s="18">
        <f>IF(Q1150="",P1150,Q1150)</f>
        <v/>
      </c>
      <c r="S1150" s="18" t="inlineStr">
        <is>
          <t>#cobblemon:is_deep_dark</t>
        </is>
      </c>
      <c r="T1150" s="18" t="inlineStr">
        <is>
          <t>common</t>
        </is>
      </c>
      <c r="U1150" s="20" t="n">
        <v>0.18</v>
      </c>
      <c r="V1150" s="21" t="n">
        <v>1</v>
      </c>
      <c r="W1150" s="20">
        <f>IF(OR(U1150="",V1150=""),U1150,U1150*V1150)</f>
        <v/>
      </c>
      <c r="X1150" s="18" t="inlineStr">
        <is>
          <t>20-39</t>
        </is>
      </c>
      <c r="Y1150" s="19" t="inlineStr"/>
      <c r="Z1150" s="18">
        <f>IF(Y1150="",X1150,Y1150)</f>
        <v/>
      </c>
      <c r="AA1150" s="18" t="inlineStr">
        <is>
          <t>grounded</t>
        </is>
      </c>
      <c r="AB1150" s="18" t="inlineStr"/>
      <c r="AC1150" s="18" t="inlineStr"/>
      <c r="AD1150" s="18" t="inlineStr">
        <is>
          <t>maxY=0</t>
        </is>
      </c>
      <c r="AE1150" s="18" t="inlineStr">
        <is>
          <t>sky 0-7</t>
        </is>
      </c>
      <c r="AF1150" s="18" t="inlineStr"/>
      <c r="AG1150" s="18" t="inlineStr"/>
      <c r="AH1150" s="18" t="inlineStr"/>
      <c r="AI1150" s="18" t="inlineStr"/>
      <c r="AJ1150" s="18" t="inlineStr">
        <is>
          <t>Cobblemon 동일</t>
        </is>
      </c>
      <c r="AK1150" s="18" t="inlineStr">
        <is>
          <t>사용</t>
        </is>
      </c>
      <c r="AL1150" s="18" t="inlineStr">
        <is>
          <t>COBBLEVERSE 1.7.42 / DP v31</t>
        </is>
      </c>
      <c r="AM1150" s="18" t="inlineStr">
        <is>
          <t>data/cobblemon/spawn_pool_world/0294_loudred.json</t>
        </is>
      </c>
      <c r="AN1150" s="18" t="inlineStr">
        <is>
          <t>loudred-2</t>
        </is>
      </c>
      <c r="AO1150" s="18" t="inlineStr">
        <is>
          <t>pokemon</t>
        </is>
      </c>
      <c r="AP1150" s="18" t="inlineStr">
        <is>
          <t>natural</t>
        </is>
      </c>
      <c r="AQ1150" s="18" t="inlineStr">
        <is>
          <t>{"biomes":["#cobblemon:is_overworld"],"maxSkyLight":7,"maxY":0,"minSkyLight":0}</t>
        </is>
      </c>
      <c r="AR1150" s="18" t="inlineStr">
        <is>
          <t>{"biomes":["#cobblemon:is_deep_dark"]}</t>
        </is>
      </c>
      <c r="AS1150" s="18" t="inlineStr"/>
      <c r="AT1150" s="19" t="inlineStr"/>
    </row>
    <row r="1151" ht="32" customHeight="1">
      <c r="A1151" s="18" t="inlineStr">
        <is>
          <t>0295_exploud.json::exploud-1::001</t>
        </is>
      </c>
      <c r="B1151" s="19" t="inlineStr">
        <is>
          <t>사용</t>
        </is>
      </c>
      <c r="C1151" s="18">
        <f>IF(OR(B1151&lt;&gt;AK1151,M1151&lt;&gt;L1151,O1151&lt;&gt;"",Q1151&lt;&gt;"",V1151&lt;&gt;1,Y1151&lt;&gt;"",AT1151&lt;&gt;""),"수정","원본")</f>
        <v/>
      </c>
      <c r="D1151" s="18" t="n">
        <v>295</v>
      </c>
      <c r="E1151" s="18" t="inlineStr">
        <is>
          <t>폭음룡</t>
        </is>
      </c>
      <c r="F1151" s="18" t="inlineStr">
        <is>
          <t>exploud</t>
        </is>
      </c>
      <c r="G1151" s="18" t="inlineStr">
        <is>
          <t>exploud</t>
        </is>
      </c>
      <c r="H1151" s="18" t="inlineStr"/>
      <c r="I1151" s="18" t="n">
        <v>3</v>
      </c>
      <c r="J1151" s="18" t="n"/>
      <c r="K1151" s="18" t="n">
        <v>3</v>
      </c>
      <c r="L1151" s="18" t="inlineStr">
        <is>
          <t>cobbleventure:generation_3</t>
        </is>
      </c>
      <c r="M1151" s="19" t="inlineStr">
        <is>
          <t>cobbleventure:generation_3</t>
        </is>
      </c>
      <c r="N1151" s="18" t="inlineStr"/>
      <c r="O1151" s="19" t="inlineStr"/>
      <c r="P1151" s="18" t="inlineStr">
        <is>
          <t>#cobblemon:is_deep_dark</t>
        </is>
      </c>
      <c r="Q1151" s="19" t="inlineStr"/>
      <c r="R1151" s="18">
        <f>IF(Q1151="",P1151,Q1151)</f>
        <v/>
      </c>
      <c r="S1151" s="18" t="inlineStr"/>
      <c r="T1151" s="18" t="inlineStr">
        <is>
          <t>uncommon</t>
        </is>
      </c>
      <c r="U1151" s="20" t="n">
        <v>0.16</v>
      </c>
      <c r="V1151" s="21" t="n">
        <v>1</v>
      </c>
      <c r="W1151" s="20">
        <f>IF(OR(U1151="",V1151=""),U1151,U1151*V1151)</f>
        <v/>
      </c>
      <c r="X1151" s="18" t="inlineStr">
        <is>
          <t>40-49</t>
        </is>
      </c>
      <c r="Y1151" s="19" t="inlineStr"/>
      <c r="Z1151" s="18">
        <f>IF(Y1151="",X1151,Y1151)</f>
        <v/>
      </c>
      <c r="AA1151" s="18" t="inlineStr">
        <is>
          <t>grounded</t>
        </is>
      </c>
      <c r="AB1151" s="18" t="inlineStr"/>
      <c r="AC1151" s="18" t="inlineStr"/>
      <c r="AD1151" s="18" t="inlineStr"/>
      <c r="AE1151" s="18" t="inlineStr">
        <is>
          <t>sky 0-7</t>
        </is>
      </c>
      <c r="AF1151" s="18" t="inlineStr"/>
      <c r="AG1151" s="18" t="inlineStr"/>
      <c r="AH1151" s="18" t="inlineStr"/>
      <c r="AI1151" s="18" t="inlineStr"/>
      <c r="AJ1151" s="18" t="inlineStr">
        <is>
          <t>Cobblemon 동일</t>
        </is>
      </c>
      <c r="AK1151" s="18" t="inlineStr">
        <is>
          <t>사용</t>
        </is>
      </c>
      <c r="AL1151" s="18" t="inlineStr">
        <is>
          <t>COBBLEVERSE 1.7.42 / DP v31</t>
        </is>
      </c>
      <c r="AM1151" s="18" t="inlineStr">
        <is>
          <t>data/cobblemon/spawn_pool_world/0295_exploud.json</t>
        </is>
      </c>
      <c r="AN1151" s="18" t="inlineStr">
        <is>
          <t>exploud-1</t>
        </is>
      </c>
      <c r="AO1151" s="18" t="inlineStr">
        <is>
          <t>pokemon</t>
        </is>
      </c>
      <c r="AP1151" s="18" t="inlineStr">
        <is>
          <t>natural</t>
        </is>
      </c>
      <c r="AQ1151" s="18" t="inlineStr">
        <is>
          <t>{"biomes":["#cobblemon:is_deep_dark"],"maxSkyLight":7,"minSkyLight":0}</t>
        </is>
      </c>
      <c r="AR1151" s="18" t="inlineStr"/>
      <c r="AS1151" s="18" t="inlineStr"/>
      <c r="AT1151" s="19" t="inlineStr"/>
    </row>
    <row r="1152" ht="32" customHeight="1">
      <c r="A1152" s="18" t="inlineStr">
        <is>
          <t>0295_exploud.json::exploud-2::002</t>
        </is>
      </c>
      <c r="B1152" s="19" t="inlineStr">
        <is>
          <t>사용</t>
        </is>
      </c>
      <c r="C1152" s="18">
        <f>IF(OR(B1152&lt;&gt;AK1152,M1152&lt;&gt;L1152,O1152&lt;&gt;"",Q1152&lt;&gt;"",V1152&lt;&gt;1,Y1152&lt;&gt;"",AT1152&lt;&gt;""),"수정","원본")</f>
        <v/>
      </c>
      <c r="D1152" s="18" t="n">
        <v>295</v>
      </c>
      <c r="E1152" s="18" t="inlineStr">
        <is>
          <t>폭음룡</t>
        </is>
      </c>
      <c r="F1152" s="18" t="inlineStr">
        <is>
          <t>exploud</t>
        </is>
      </c>
      <c r="G1152" s="18" t="inlineStr">
        <is>
          <t>exploud</t>
        </is>
      </c>
      <c r="H1152" s="18" t="inlineStr"/>
      <c r="I1152" s="18" t="n">
        <v>3</v>
      </c>
      <c r="J1152" s="18" t="n"/>
      <c r="K1152" s="18" t="n">
        <v>3</v>
      </c>
      <c r="L1152" s="18" t="inlineStr">
        <is>
          <t>cobbleventure:generation_3</t>
        </is>
      </c>
      <c r="M1152" s="19" t="inlineStr">
        <is>
          <t>cobbleventure:generation_3</t>
        </is>
      </c>
      <c r="N1152" s="18" t="inlineStr">
        <is>
          <t>region_01; region_02</t>
        </is>
      </c>
      <c r="O1152" s="19" t="inlineStr"/>
      <c r="P1152" s="18" t="inlineStr">
        <is>
          <t>#cobblemon:is_overworld</t>
        </is>
      </c>
      <c r="Q1152" s="19" t="inlineStr"/>
      <c r="R1152" s="18">
        <f>IF(Q1152="",P1152,Q1152)</f>
        <v/>
      </c>
      <c r="S1152" s="18" t="inlineStr">
        <is>
          <t>#cobblemon:is_deep_dark</t>
        </is>
      </c>
      <c r="T1152" s="18" t="inlineStr">
        <is>
          <t>common</t>
        </is>
      </c>
      <c r="U1152" s="20" t="n">
        <v>0.02</v>
      </c>
      <c r="V1152" s="21" t="n">
        <v>1</v>
      </c>
      <c r="W1152" s="20">
        <f>IF(OR(U1152="",V1152=""),U1152,U1152*V1152)</f>
        <v/>
      </c>
      <c r="X1152" s="18" t="inlineStr">
        <is>
          <t>40-49</t>
        </is>
      </c>
      <c r="Y1152" s="19" t="inlineStr"/>
      <c r="Z1152" s="18">
        <f>IF(Y1152="",X1152,Y1152)</f>
        <v/>
      </c>
      <c r="AA1152" s="18" t="inlineStr">
        <is>
          <t>grounded</t>
        </is>
      </c>
      <c r="AB1152" s="18" t="inlineStr"/>
      <c r="AC1152" s="18" t="inlineStr"/>
      <c r="AD1152" s="18" t="inlineStr">
        <is>
          <t>maxY=0</t>
        </is>
      </c>
      <c r="AE1152" s="18" t="inlineStr">
        <is>
          <t>sky 0-7</t>
        </is>
      </c>
      <c r="AF1152" s="18" t="inlineStr"/>
      <c r="AG1152" s="18" t="inlineStr"/>
      <c r="AH1152" s="18" t="inlineStr"/>
      <c r="AI1152" s="18" t="inlineStr"/>
      <c r="AJ1152" s="18" t="inlineStr">
        <is>
          <t>Cobblemon 동일</t>
        </is>
      </c>
      <c r="AK1152" s="18" t="inlineStr">
        <is>
          <t>사용</t>
        </is>
      </c>
      <c r="AL1152" s="18" t="inlineStr">
        <is>
          <t>COBBLEVERSE 1.7.42 / DP v31</t>
        </is>
      </c>
      <c r="AM1152" s="18" t="inlineStr">
        <is>
          <t>data/cobblemon/spawn_pool_world/0295_exploud.json</t>
        </is>
      </c>
      <c r="AN1152" s="18" t="inlineStr">
        <is>
          <t>exploud-2</t>
        </is>
      </c>
      <c r="AO1152" s="18" t="inlineStr">
        <is>
          <t>pokemon</t>
        </is>
      </c>
      <c r="AP1152" s="18" t="inlineStr">
        <is>
          <t>natural</t>
        </is>
      </c>
      <c r="AQ1152" s="18" t="inlineStr">
        <is>
          <t>{"biomes":["#cobblemon:is_overworld"],"maxSkyLight":7,"maxY":0,"minSkyLight":0}</t>
        </is>
      </c>
      <c r="AR1152" s="18" t="inlineStr">
        <is>
          <t>{"biomes":["#cobblemon:is_deep_dark"]}</t>
        </is>
      </c>
      <c r="AS1152" s="18" t="inlineStr"/>
      <c r="AT1152" s="19" t="inlineStr"/>
    </row>
    <row r="1153" ht="32" customHeight="1">
      <c r="A1153" s="18" t="inlineStr">
        <is>
          <t>0296_makuhita.json::makuhita-1::001</t>
        </is>
      </c>
      <c r="B1153" s="19" t="inlineStr">
        <is>
          <t>사용</t>
        </is>
      </c>
      <c r="C1153" s="18">
        <f>IF(OR(B1153&lt;&gt;AK1153,M1153&lt;&gt;L1153,O1153&lt;&gt;"",Q1153&lt;&gt;"",V1153&lt;&gt;1,Y1153&lt;&gt;"",AT1153&lt;&gt;""),"수정","원본")</f>
        <v/>
      </c>
      <c r="D1153" s="18" t="n">
        <v>296</v>
      </c>
      <c r="E1153" s="18" t="inlineStr">
        <is>
          <t>마크탕</t>
        </is>
      </c>
      <c r="F1153" s="18" t="inlineStr">
        <is>
          <t>makuhita</t>
        </is>
      </c>
      <c r="G1153" s="18" t="inlineStr">
        <is>
          <t>makuhita</t>
        </is>
      </c>
      <c r="H1153" s="18" t="inlineStr"/>
      <c r="I1153" s="18" t="n">
        <v>3</v>
      </c>
      <c r="J1153" s="18" t="n"/>
      <c r="K1153" s="18" t="n">
        <v>3</v>
      </c>
      <c r="L1153" s="18" t="inlineStr">
        <is>
          <t>cobbleventure:generation_3</t>
        </is>
      </c>
      <c r="M1153" s="19" t="inlineStr">
        <is>
          <t>cobbleventure:generation_3</t>
        </is>
      </c>
      <c r="N1153" s="18" t="inlineStr"/>
      <c r="O1153" s="19" t="inlineStr"/>
      <c r="P1153" s="18" t="inlineStr">
        <is>
          <t>#cobblemon:is_mountain</t>
        </is>
      </c>
      <c r="Q1153" s="19" t="inlineStr"/>
      <c r="R1153" s="18">
        <f>IF(Q1153="",P1153,Q1153)</f>
        <v/>
      </c>
      <c r="S1153" s="18" t="inlineStr"/>
      <c r="T1153" s="18" t="inlineStr">
        <is>
          <t>common</t>
        </is>
      </c>
      <c r="U1153" s="20" t="n">
        <v>1.8</v>
      </c>
      <c r="V1153" s="21" t="n">
        <v>1</v>
      </c>
      <c r="W1153" s="20">
        <f>IF(OR(U1153="",V1153=""),U1153,U1153*V1153)</f>
        <v/>
      </c>
      <c r="X1153" s="18" t="inlineStr">
        <is>
          <t>1-24</t>
        </is>
      </c>
      <c r="Y1153" s="19" t="inlineStr"/>
      <c r="Z1153" s="18">
        <f>IF(Y1153="",X1153,Y1153)</f>
        <v/>
      </c>
      <c r="AA1153" s="18" t="inlineStr">
        <is>
          <t>grounded</t>
        </is>
      </c>
      <c r="AB1153" s="18" t="inlineStr"/>
      <c r="AC1153" s="18" t="inlineStr"/>
      <c r="AD1153" s="18" t="inlineStr"/>
      <c r="AE1153" s="18" t="inlineStr">
        <is>
          <t>sky 8-15</t>
        </is>
      </c>
      <c r="AF1153" s="18" t="inlineStr"/>
      <c r="AG1153" s="18" t="inlineStr"/>
      <c r="AH1153" s="18" t="inlineStr"/>
      <c r="AI1153" s="18" t="inlineStr"/>
      <c r="AJ1153" s="18" t="inlineStr">
        <is>
          <t>Cobblemon 동일</t>
        </is>
      </c>
      <c r="AK1153" s="18" t="inlineStr">
        <is>
          <t>사용</t>
        </is>
      </c>
      <c r="AL1153" s="18" t="inlineStr">
        <is>
          <t>COBBLEVERSE 1.7.42 / DP v31</t>
        </is>
      </c>
      <c r="AM1153" s="18" t="inlineStr">
        <is>
          <t>data/cobblemon/spawn_pool_world/0296_makuhita.json</t>
        </is>
      </c>
      <c r="AN1153" s="18" t="inlineStr">
        <is>
          <t>makuhita-1</t>
        </is>
      </c>
      <c r="AO1153" s="18" t="inlineStr">
        <is>
          <t>pokemon</t>
        </is>
      </c>
      <c r="AP1153" s="18" t="inlineStr">
        <is>
          <t>natural</t>
        </is>
      </c>
      <c r="AQ1153" s="18" t="inlineStr">
        <is>
          <t>{"biomes":["#cobblemon:is_mountain"],"maxSkyLight":15,"minSkyLight":8}</t>
        </is>
      </c>
      <c r="AR1153" s="18" t="inlineStr"/>
      <c r="AS1153" s="18" t="inlineStr">
        <is>
          <t>{"weightMultiplier":{"condition":{"timeRange":"night"},"multiplier":0.25}}</t>
        </is>
      </c>
      <c r="AT1153" s="19" t="inlineStr"/>
    </row>
    <row r="1154" ht="32" customHeight="1">
      <c r="A1154" s="18" t="inlineStr">
        <is>
          <t>0297_hariyama.json::hariyama-1::001</t>
        </is>
      </c>
      <c r="B1154" s="19" t="inlineStr">
        <is>
          <t>사용</t>
        </is>
      </c>
      <c r="C1154" s="18">
        <f>IF(OR(B1154&lt;&gt;AK1154,M1154&lt;&gt;L1154,O1154&lt;&gt;"",Q1154&lt;&gt;"",V1154&lt;&gt;1,Y1154&lt;&gt;"",AT1154&lt;&gt;""),"수정","원본")</f>
        <v/>
      </c>
      <c r="D1154" s="18" t="n">
        <v>297</v>
      </c>
      <c r="E1154" s="18" t="inlineStr">
        <is>
          <t>하리뭉</t>
        </is>
      </c>
      <c r="F1154" s="18" t="inlineStr">
        <is>
          <t>hariyama</t>
        </is>
      </c>
      <c r="G1154" s="18" t="inlineStr">
        <is>
          <t>hariyama</t>
        </is>
      </c>
      <c r="H1154" s="18" t="inlineStr"/>
      <c r="I1154" s="18" t="n">
        <v>3</v>
      </c>
      <c r="J1154" s="18" t="n"/>
      <c r="K1154" s="18" t="n">
        <v>3</v>
      </c>
      <c r="L1154" s="18" t="inlineStr">
        <is>
          <t>cobbleventure:generation_3</t>
        </is>
      </c>
      <c r="M1154" s="19" t="inlineStr">
        <is>
          <t>cobbleventure:generation_3</t>
        </is>
      </c>
      <c r="N1154" s="18" t="inlineStr"/>
      <c r="O1154" s="19" t="inlineStr"/>
      <c r="P1154" s="18" t="inlineStr">
        <is>
          <t>#cobblemon:is_mountain</t>
        </is>
      </c>
      <c r="Q1154" s="19" t="inlineStr"/>
      <c r="R1154" s="18">
        <f>IF(Q1154="",P1154,Q1154)</f>
        <v/>
      </c>
      <c r="S1154" s="18" t="inlineStr"/>
      <c r="T1154" s="18" t="inlineStr">
        <is>
          <t>common</t>
        </is>
      </c>
      <c r="U1154" s="20" t="n">
        <v>0.2</v>
      </c>
      <c r="V1154" s="21" t="n">
        <v>1</v>
      </c>
      <c r="W1154" s="20">
        <f>IF(OR(U1154="",V1154=""),U1154,U1154*V1154)</f>
        <v/>
      </c>
      <c r="X1154" s="18" t="inlineStr">
        <is>
          <t>24-47</t>
        </is>
      </c>
      <c r="Y1154" s="19" t="inlineStr"/>
      <c r="Z1154" s="18">
        <f>IF(Y1154="",X1154,Y1154)</f>
        <v/>
      </c>
      <c r="AA1154" s="18" t="inlineStr">
        <is>
          <t>grounded</t>
        </is>
      </c>
      <c r="AB1154" s="18" t="inlineStr"/>
      <c r="AC1154" s="18" t="inlineStr"/>
      <c r="AD1154" s="18" t="inlineStr"/>
      <c r="AE1154" s="18" t="inlineStr">
        <is>
          <t>sky 8-15</t>
        </is>
      </c>
      <c r="AF1154" s="18" t="inlineStr"/>
      <c r="AG1154" s="18" t="inlineStr"/>
      <c r="AH1154" s="18" t="inlineStr"/>
      <c r="AI1154" s="18" t="inlineStr"/>
      <c r="AJ1154" s="18" t="inlineStr">
        <is>
          <t>Cobblemon 동일</t>
        </is>
      </c>
      <c r="AK1154" s="18" t="inlineStr">
        <is>
          <t>사용</t>
        </is>
      </c>
      <c r="AL1154" s="18" t="inlineStr">
        <is>
          <t>COBBLEVERSE 1.7.42 / DP v31</t>
        </is>
      </c>
      <c r="AM1154" s="18" t="inlineStr">
        <is>
          <t>data/cobblemon/spawn_pool_world/0297_hariyama.json</t>
        </is>
      </c>
      <c r="AN1154" s="18" t="inlineStr">
        <is>
          <t>hariyama-1</t>
        </is>
      </c>
      <c r="AO1154" s="18" t="inlineStr">
        <is>
          <t>pokemon</t>
        </is>
      </c>
      <c r="AP1154" s="18" t="inlineStr">
        <is>
          <t>natural</t>
        </is>
      </c>
      <c r="AQ1154" s="18" t="inlineStr">
        <is>
          <t>{"biomes":["#cobblemon:is_mountain"],"maxSkyLight":15,"minSkyLight":8}</t>
        </is>
      </c>
      <c r="AR1154" s="18" t="inlineStr"/>
      <c r="AS1154" s="18" t="inlineStr">
        <is>
          <t>{"weightMultiplier":{"condition":{"timeRange":"night"},"multiplier":0.25}}</t>
        </is>
      </c>
      <c r="AT1154" s="19" t="inlineStr"/>
    </row>
    <row r="1155" ht="32" customHeight="1">
      <c r="A1155" s="18" t="inlineStr">
        <is>
          <t>0298_azurill.json::azurill-1::001</t>
        </is>
      </c>
      <c r="B1155" s="19" t="inlineStr">
        <is>
          <t>사용</t>
        </is>
      </c>
      <c r="C1155" s="18">
        <f>IF(OR(B1155&lt;&gt;AK1155,M1155&lt;&gt;L1155,O1155&lt;&gt;"",Q1155&lt;&gt;"",V1155&lt;&gt;1,Y1155&lt;&gt;"",AT1155&lt;&gt;""),"수정","원본")</f>
        <v/>
      </c>
      <c r="D1155" s="18" t="n">
        <v>298</v>
      </c>
      <c r="E1155" s="18" t="inlineStr">
        <is>
          <t>루리리</t>
        </is>
      </c>
      <c r="F1155" s="18" t="inlineStr">
        <is>
          <t>azurill</t>
        </is>
      </c>
      <c r="G1155" s="18" t="inlineStr">
        <is>
          <t>azurill</t>
        </is>
      </c>
      <c r="H1155" s="18" t="inlineStr"/>
      <c r="I1155" s="18" t="n">
        <v>3</v>
      </c>
      <c r="J1155" s="18" t="n"/>
      <c r="K1155" s="18" t="n">
        <v>3</v>
      </c>
      <c r="L1155" s="18" t="inlineStr">
        <is>
          <t>cobbleventure:generation_3</t>
        </is>
      </c>
      <c r="M1155" s="19" t="inlineStr">
        <is>
          <t>cobbleventure:generation_3</t>
        </is>
      </c>
      <c r="N1155" s="18" t="inlineStr">
        <is>
          <t>region_01</t>
        </is>
      </c>
      <c r="O1155" s="19" t="inlineStr"/>
      <c r="P1155" s="18" t="inlineStr">
        <is>
          <t>#cobblemon:is_floral; #cobblemon:is_hills; #cobblemon:is_magical; #cobblemon:is_river; #cobblemon:is_snowy_forest; #cobblemon:is_taiga; #cobblemon:is_temperate</t>
        </is>
      </c>
      <c r="Q1155" s="19" t="inlineStr"/>
      <c r="R1155" s="18">
        <f>IF(Q1155="",P1155,Q1155)</f>
        <v/>
      </c>
      <c r="S1155" s="18" t="inlineStr"/>
      <c r="T1155" s="18" t="inlineStr">
        <is>
          <t>common</t>
        </is>
      </c>
      <c r="U1155" s="20" t="n">
        <v>9</v>
      </c>
      <c r="V1155" s="21" t="n">
        <v>1</v>
      </c>
      <c r="W1155" s="20">
        <f>IF(OR(U1155="",V1155=""),U1155,U1155*V1155)</f>
        <v/>
      </c>
      <c r="X1155" s="18" t="inlineStr">
        <is>
          <t>1-19</t>
        </is>
      </c>
      <c r="Y1155" s="19" t="inlineStr"/>
      <c r="Z1155" s="18">
        <f>IF(Y1155="",X1155,Y1155)</f>
        <v/>
      </c>
      <c r="AA1155" s="18" t="inlineStr">
        <is>
          <t>fishing</t>
        </is>
      </c>
      <c r="AB1155" s="18" t="inlineStr"/>
      <c r="AC1155" s="18" t="inlineStr"/>
      <c r="AD1155" s="18" t="inlineStr"/>
      <c r="AE1155" s="18" t="inlineStr"/>
      <c r="AF1155" s="18" t="inlineStr">
        <is>
          <t>True</t>
        </is>
      </c>
      <c r="AG1155" s="18" t="inlineStr"/>
      <c r="AH1155" s="18" t="inlineStr"/>
      <c r="AI1155" s="18" t="inlineStr"/>
      <c r="AJ1155" s="18" t="inlineStr">
        <is>
          <t>Cobblemon 동일</t>
        </is>
      </c>
      <c r="AK1155" s="18" t="inlineStr">
        <is>
          <t>사용</t>
        </is>
      </c>
      <c r="AL1155" s="18" t="inlineStr">
        <is>
          <t>COBBLEVERSE 1.7.42 / DP v31</t>
        </is>
      </c>
      <c r="AM1155" s="18" t="inlineStr">
        <is>
          <t>data/cobblemon/spawn_pool_world/0298_azurill.json</t>
        </is>
      </c>
      <c r="AN1155" s="18" t="inlineStr">
        <is>
          <t>azurill-1</t>
        </is>
      </c>
      <c r="AO1155" s="18" t="inlineStr">
        <is>
          <t>pokemon</t>
        </is>
      </c>
      <c r="AP1155" s="18" t="inlineStr"/>
      <c r="AQ1155" s="18" t="inlineStr">
        <is>
          <t>{"biomes":["#cobblemon:is_floral","#cobblemon:is_hills","#cobblemon:is_magical","#cobblemon:is_river","#cobblemon:is_snowy_forest","#cobblemon:is_taiga","#cobblemon:is_temperate"],"canSeeSky":true}</t>
        </is>
      </c>
      <c r="AR1155" s="18" t="inlineStr"/>
      <c r="AS1155" s="18" t="inlineStr">
        <is>
          <t>{"weightMultiplier":{"condition":{"maxLureLevel":1,"minLureLevel":0},"multiplier":0.6}}</t>
        </is>
      </c>
      <c r="AT1155" s="19" t="inlineStr"/>
    </row>
    <row r="1156" ht="32" customHeight="1">
      <c r="A1156" s="18" t="inlineStr">
        <is>
          <t>0298_azurill.json::azurill-2::002</t>
        </is>
      </c>
      <c r="B1156" s="19" t="inlineStr">
        <is>
          <t>사용</t>
        </is>
      </c>
      <c r="C1156" s="18">
        <f>IF(OR(B1156&lt;&gt;AK1156,M1156&lt;&gt;L1156,O1156&lt;&gt;"",Q1156&lt;&gt;"",V1156&lt;&gt;1,Y1156&lt;&gt;"",AT1156&lt;&gt;""),"수정","원본")</f>
        <v/>
      </c>
      <c r="D1156" s="18" t="n">
        <v>298</v>
      </c>
      <c r="E1156" s="18" t="inlineStr">
        <is>
          <t>루리리</t>
        </is>
      </c>
      <c r="F1156" s="18" t="inlineStr">
        <is>
          <t>azurill</t>
        </is>
      </c>
      <c r="G1156" s="18" t="inlineStr">
        <is>
          <t>azurill</t>
        </is>
      </c>
      <c r="H1156" s="18" t="inlineStr"/>
      <c r="I1156" s="18" t="n">
        <v>3</v>
      </c>
      <c r="J1156" s="18" t="n"/>
      <c r="K1156" s="18" t="n">
        <v>3</v>
      </c>
      <c r="L1156" s="18" t="inlineStr">
        <is>
          <t>cobbleventure:generation_3</t>
        </is>
      </c>
      <c r="M1156" s="19" t="inlineStr">
        <is>
          <t>cobbleventure:generation_3</t>
        </is>
      </c>
      <c r="N1156" s="18" t="inlineStr">
        <is>
          <t>region_01</t>
        </is>
      </c>
      <c r="O1156" s="19" t="inlineStr"/>
      <c r="P1156" s="18" t="inlineStr">
        <is>
          <t>#cobblemon:is_floral; #cobblemon:is_hills; #cobblemon:is_magical; #cobblemon:is_river; #cobblemon:is_snowy_forest; #cobblemon:is_taiga; #cobblemon:is_temperate</t>
        </is>
      </c>
      <c r="Q1156" s="19" t="inlineStr"/>
      <c r="R1156" s="18">
        <f>IF(Q1156="",P1156,Q1156)</f>
        <v/>
      </c>
      <c r="S1156" s="18" t="inlineStr"/>
      <c r="T1156" s="18" t="inlineStr">
        <is>
          <t>common</t>
        </is>
      </c>
      <c r="U1156" s="20" t="n">
        <v>9</v>
      </c>
      <c r="V1156" s="21" t="n">
        <v>1</v>
      </c>
      <c r="W1156" s="20">
        <f>IF(OR(U1156="",V1156=""),U1156,U1156*V1156)</f>
        <v/>
      </c>
      <c r="X1156" s="18" t="inlineStr">
        <is>
          <t>1-19</t>
        </is>
      </c>
      <c r="Y1156" s="19" t="inlineStr"/>
      <c r="Z1156" s="18">
        <f>IF(Y1156="",X1156,Y1156)</f>
        <v/>
      </c>
      <c r="AA1156" s="18" t="inlineStr">
        <is>
          <t>fishing</t>
        </is>
      </c>
      <c r="AB1156" s="18" t="inlineStr"/>
      <c r="AC1156" s="18" t="inlineStr"/>
      <c r="AD1156" s="18" t="inlineStr"/>
      <c r="AE1156" s="18" t="inlineStr">
        <is>
          <t>sky 8-15</t>
        </is>
      </c>
      <c r="AF1156" s="18" t="inlineStr">
        <is>
          <t>False</t>
        </is>
      </c>
      <c r="AG1156" s="18" t="inlineStr"/>
      <c r="AH1156" s="18" t="inlineStr"/>
      <c r="AI1156" s="18" t="inlineStr"/>
      <c r="AJ1156" s="18" t="inlineStr">
        <is>
          <t>Cobblemon 동일</t>
        </is>
      </c>
      <c r="AK1156" s="18" t="inlineStr">
        <is>
          <t>사용</t>
        </is>
      </c>
      <c r="AL1156" s="18" t="inlineStr">
        <is>
          <t>COBBLEVERSE 1.7.42 / DP v31</t>
        </is>
      </c>
      <c r="AM1156" s="18" t="inlineStr">
        <is>
          <t>data/cobblemon/spawn_pool_world/0298_azurill.json</t>
        </is>
      </c>
      <c r="AN1156" s="18" t="inlineStr">
        <is>
          <t>azurill-2</t>
        </is>
      </c>
      <c r="AO1156" s="18" t="inlineStr">
        <is>
          <t>pokemon</t>
        </is>
      </c>
      <c r="AP1156" s="18" t="inlineStr"/>
      <c r="AQ1156" s="18" t="inlineStr">
        <is>
          <t>{"biomes":["#cobblemon:is_floral","#cobblemon:is_hills","#cobblemon:is_magical","#cobblemon:is_river","#cobblemon:is_snowy_forest","#cobblemon:is_taiga","#cobblemon:is_temperate"],"canSeeSky":false,"maxSkyLight":15,"minSkyLight":8}</t>
        </is>
      </c>
      <c r="AR1156" s="18" t="inlineStr"/>
      <c r="AS1156" s="18" t="inlineStr">
        <is>
          <t>{"weightMultiplier":{"condition":{"maxLureLevel":1,"minLureLevel":0},"multiplier":0.6}}</t>
        </is>
      </c>
      <c r="AT1156" s="19" t="inlineStr"/>
    </row>
    <row r="1157" ht="32" customHeight="1">
      <c r="A1157" s="18" t="inlineStr">
        <is>
          <t>0298_azurill.json::azurill-3::003</t>
        </is>
      </c>
      <c r="B1157" s="19" t="inlineStr">
        <is>
          <t>사용</t>
        </is>
      </c>
      <c r="C1157" s="18">
        <f>IF(OR(B1157&lt;&gt;AK1157,M1157&lt;&gt;L1157,O1157&lt;&gt;"",Q1157&lt;&gt;"",V1157&lt;&gt;1,Y1157&lt;&gt;"",AT1157&lt;&gt;""),"수정","원본")</f>
        <v/>
      </c>
      <c r="D1157" s="18" t="n">
        <v>298</v>
      </c>
      <c r="E1157" s="18" t="inlineStr">
        <is>
          <t>루리리</t>
        </is>
      </c>
      <c r="F1157" s="18" t="inlineStr">
        <is>
          <t>azurill</t>
        </is>
      </c>
      <c r="G1157" s="18" t="inlineStr">
        <is>
          <t>azurill</t>
        </is>
      </c>
      <c r="H1157" s="18" t="inlineStr"/>
      <c r="I1157" s="18" t="n">
        <v>3</v>
      </c>
      <c r="J1157" s="18" t="n"/>
      <c r="K1157" s="18" t="n">
        <v>3</v>
      </c>
      <c r="L1157" s="18" t="inlineStr">
        <is>
          <t>cobbleventure:generation_3</t>
        </is>
      </c>
      <c r="M1157" s="19" t="inlineStr">
        <is>
          <t>cobbleventure:generation_3</t>
        </is>
      </c>
      <c r="N1157" s="18" t="inlineStr"/>
      <c r="O1157" s="19" t="inlineStr"/>
      <c r="P1157" s="18" t="inlineStr">
        <is>
          <t>#cobblemon:is_river</t>
        </is>
      </c>
      <c r="Q1157" s="19" t="inlineStr"/>
      <c r="R1157" s="18">
        <f>IF(Q1157="",P1157,Q1157)</f>
        <v/>
      </c>
      <c r="S1157" s="18" t="inlineStr">
        <is>
          <t>#cobblemon:is_freezing</t>
        </is>
      </c>
      <c r="T1157" s="18" t="inlineStr">
        <is>
          <t>common</t>
        </is>
      </c>
      <c r="U1157" s="20" t="n">
        <v>9</v>
      </c>
      <c r="V1157" s="21" t="n">
        <v>1</v>
      </c>
      <c r="W1157" s="20">
        <f>IF(OR(U1157="",V1157=""),U1157,U1157*V1157)</f>
        <v/>
      </c>
      <c r="X1157" s="18" t="inlineStr">
        <is>
          <t>1-19</t>
        </is>
      </c>
      <c r="Y1157" s="19" t="inlineStr"/>
      <c r="Z1157" s="18">
        <f>IF(Y1157="",X1157,Y1157)</f>
        <v/>
      </c>
      <c r="AA1157" s="18" t="inlineStr">
        <is>
          <t>grounded</t>
        </is>
      </c>
      <c r="AB1157" s="18" t="inlineStr"/>
      <c r="AC1157" s="18" t="inlineStr"/>
      <c r="AD1157" s="18" t="inlineStr"/>
      <c r="AE1157" s="18" t="inlineStr">
        <is>
          <t>sky 8-15</t>
        </is>
      </c>
      <c r="AF1157" s="18" t="inlineStr"/>
      <c r="AG1157" s="18" t="inlineStr"/>
      <c r="AH1157" s="18" t="inlineStr"/>
      <c r="AI1157" s="18" t="inlineStr"/>
      <c r="AJ1157" s="18" t="inlineStr">
        <is>
          <t>Cobblemon 동일</t>
        </is>
      </c>
      <c r="AK1157" s="18" t="inlineStr">
        <is>
          <t>사용</t>
        </is>
      </c>
      <c r="AL1157" s="18" t="inlineStr">
        <is>
          <t>COBBLEVERSE 1.7.42 / DP v31</t>
        </is>
      </c>
      <c r="AM1157" s="18" t="inlineStr">
        <is>
          <t>data/cobblemon/spawn_pool_world/0298_azurill.json</t>
        </is>
      </c>
      <c r="AN1157" s="18" t="inlineStr">
        <is>
          <t>azurill-3</t>
        </is>
      </c>
      <c r="AO1157" s="18" t="inlineStr">
        <is>
          <t>pokemon</t>
        </is>
      </c>
      <c r="AP1157" s="18" t="inlineStr">
        <is>
          <t>natural</t>
        </is>
      </c>
      <c r="AQ1157" s="18" t="inlineStr">
        <is>
          <t>{"biomes":["#cobblemon:is_river"],"maxSkyLight":15,"minSkyLight":8}</t>
        </is>
      </c>
      <c r="AR1157" s="18" t="inlineStr">
        <is>
          <t>{"biomes":["#cobblemon:is_freezing"]}</t>
        </is>
      </c>
      <c r="AS1157" s="18" t="inlineStr"/>
      <c r="AT1157" s="19" t="inlineStr"/>
    </row>
    <row r="1158" ht="32" customHeight="1">
      <c r="A1158" s="18" t="inlineStr">
        <is>
          <t>0298_azurill.json::azurill-4::004</t>
        </is>
      </c>
      <c r="B1158" s="19" t="inlineStr">
        <is>
          <t>사용</t>
        </is>
      </c>
      <c r="C1158" s="18">
        <f>IF(OR(B1158&lt;&gt;AK1158,M1158&lt;&gt;L1158,O1158&lt;&gt;"",Q1158&lt;&gt;"",V1158&lt;&gt;1,Y1158&lt;&gt;"",AT1158&lt;&gt;""),"수정","원본")</f>
        <v/>
      </c>
      <c r="D1158" s="18" t="n">
        <v>298</v>
      </c>
      <c r="E1158" s="18" t="inlineStr">
        <is>
          <t>루리리</t>
        </is>
      </c>
      <c r="F1158" s="18" t="inlineStr">
        <is>
          <t>azurill</t>
        </is>
      </c>
      <c r="G1158" s="18" t="inlineStr">
        <is>
          <t>azurill</t>
        </is>
      </c>
      <c r="H1158" s="18" t="inlineStr"/>
      <c r="I1158" s="18" t="n">
        <v>3</v>
      </c>
      <c r="J1158" s="18" t="n"/>
      <c r="K1158" s="18" t="n">
        <v>3</v>
      </c>
      <c r="L1158" s="18" t="inlineStr">
        <is>
          <t>cobbleventure:generation_3</t>
        </is>
      </c>
      <c r="M1158" s="19" t="inlineStr">
        <is>
          <t>cobbleventure:generation_3</t>
        </is>
      </c>
      <c r="N1158" s="18" t="inlineStr"/>
      <c r="O1158" s="19" t="inlineStr"/>
      <c r="P1158" s="18" t="inlineStr">
        <is>
          <t>#cobblemon:is_river</t>
        </is>
      </c>
      <c r="Q1158" s="19" t="inlineStr"/>
      <c r="R1158" s="18">
        <f>IF(Q1158="",P1158,Q1158)</f>
        <v/>
      </c>
      <c r="S1158" s="18" t="inlineStr"/>
      <c r="T1158" s="18" t="inlineStr">
        <is>
          <t>uncommon</t>
        </is>
      </c>
      <c r="U1158" s="20" t="n">
        <v>5.04</v>
      </c>
      <c r="V1158" s="21" t="n">
        <v>1</v>
      </c>
      <c r="W1158" s="20">
        <f>IF(OR(U1158="",V1158=""),U1158,U1158*V1158)</f>
        <v/>
      </c>
      <c r="X1158" s="18" t="inlineStr">
        <is>
          <t>1-19</t>
        </is>
      </c>
      <c r="Y1158" s="19" t="inlineStr"/>
      <c r="Z1158" s="18">
        <f>IF(Y1158="",X1158,Y1158)</f>
        <v/>
      </c>
      <c r="AA1158" s="18" t="inlineStr">
        <is>
          <t>surface</t>
        </is>
      </c>
      <c r="AB1158" s="18" t="inlineStr"/>
      <c r="AC1158" s="18" t="inlineStr"/>
      <c r="AD1158" s="18" t="inlineStr"/>
      <c r="AE1158" s="18" t="inlineStr">
        <is>
          <t>sky 8-15</t>
        </is>
      </c>
      <c r="AF1158" s="18" t="inlineStr"/>
      <c r="AG1158" s="18" t="inlineStr"/>
      <c r="AH1158" s="18" t="inlineStr"/>
      <c r="AI1158" s="18" t="inlineStr"/>
      <c r="AJ1158" s="18" t="inlineStr">
        <is>
          <t>Cobblemon 동일</t>
        </is>
      </c>
      <c r="AK1158" s="18" t="inlineStr">
        <is>
          <t>사용</t>
        </is>
      </c>
      <c r="AL1158" s="18" t="inlineStr">
        <is>
          <t>COBBLEVERSE 1.7.42 / DP v31</t>
        </is>
      </c>
      <c r="AM1158" s="18" t="inlineStr">
        <is>
          <t>data/cobblemon/spawn_pool_world/0298_azurill.json</t>
        </is>
      </c>
      <c r="AN1158" s="18" t="inlineStr">
        <is>
          <t>azurill-4</t>
        </is>
      </c>
      <c r="AO1158" s="18" t="inlineStr">
        <is>
          <t>pokemon</t>
        </is>
      </c>
      <c r="AP1158" s="18" t="inlineStr">
        <is>
          <t>water</t>
        </is>
      </c>
      <c r="AQ1158" s="18" t="inlineStr">
        <is>
          <t>{"biomes":["#cobblemon:is_river"],"maxSkyLight":15,"minSkyLight":8}</t>
        </is>
      </c>
      <c r="AR1158" s="18" t="inlineStr"/>
      <c r="AS1158" s="18" t="inlineStr"/>
      <c r="AT1158" s="19" t="inlineStr"/>
    </row>
    <row r="1159" ht="32" customHeight="1">
      <c r="A1159" s="18" t="inlineStr">
        <is>
          <t>0299_nosepass.json::nosepass-1::001</t>
        </is>
      </c>
      <c r="B1159" s="19" t="inlineStr">
        <is>
          <t>사용</t>
        </is>
      </c>
      <c r="C1159" s="18">
        <f>IF(OR(B1159&lt;&gt;AK1159,M1159&lt;&gt;L1159,O1159&lt;&gt;"",Q1159&lt;&gt;"",V1159&lt;&gt;1,Y1159&lt;&gt;"",AT1159&lt;&gt;""),"수정","원본")</f>
        <v/>
      </c>
      <c r="D1159" s="18" t="n">
        <v>299</v>
      </c>
      <c r="E1159" s="18" t="inlineStr">
        <is>
          <t>코코파스</t>
        </is>
      </c>
      <c r="F1159" s="18" t="inlineStr">
        <is>
          <t>nosepass</t>
        </is>
      </c>
      <c r="G1159" s="18" t="inlineStr">
        <is>
          <t>nosepass</t>
        </is>
      </c>
      <c r="H1159" s="18" t="inlineStr"/>
      <c r="I1159" s="18" t="n">
        <v>3</v>
      </c>
      <c r="J1159" s="18" t="n"/>
      <c r="K1159" s="18" t="n">
        <v>3</v>
      </c>
      <c r="L1159" s="18" t="inlineStr">
        <is>
          <t>cobbleventure:generation_3</t>
        </is>
      </c>
      <c r="M1159" s="19" t="inlineStr">
        <is>
          <t>cobbleventure:generation_3</t>
        </is>
      </c>
      <c r="N1159" s="18" t="inlineStr">
        <is>
          <t>region_01; region_02</t>
        </is>
      </c>
      <c r="O1159" s="19" t="inlineStr"/>
      <c r="P1159" s="18" t="inlineStr">
        <is>
          <t>#cobblemon:is_overworld</t>
        </is>
      </c>
      <c r="Q1159" s="19" t="inlineStr"/>
      <c r="R1159" s="18">
        <f>IF(Q1159="",P1159,Q1159)</f>
        <v/>
      </c>
      <c r="S1159" s="18" t="inlineStr">
        <is>
          <t>#cobblemon:is_deep_dark</t>
        </is>
      </c>
      <c r="T1159" s="18" t="inlineStr">
        <is>
          <t>uncommon</t>
        </is>
      </c>
      <c r="U1159" s="20" t="n">
        <v>5.52</v>
      </c>
      <c r="V1159" s="21" t="n">
        <v>1</v>
      </c>
      <c r="W1159" s="20">
        <f>IF(OR(U1159="",V1159=""),U1159,U1159*V1159)</f>
        <v/>
      </c>
      <c r="X1159" s="18" t="inlineStr">
        <is>
          <t>13-38</t>
        </is>
      </c>
      <c r="Y1159" s="19" t="inlineStr"/>
      <c r="Z1159" s="18">
        <f>IF(Y1159="",X1159,Y1159)</f>
        <v/>
      </c>
      <c r="AA1159" s="18" t="inlineStr">
        <is>
          <t>grounded</t>
        </is>
      </c>
      <c r="AB1159" s="18" t="inlineStr"/>
      <c r="AC1159" s="18" t="inlineStr"/>
      <c r="AD1159" s="18" t="inlineStr"/>
      <c r="AE1159" s="18" t="inlineStr">
        <is>
          <t>sky 0-7</t>
        </is>
      </c>
      <c r="AF1159" s="18" t="inlineStr"/>
      <c r="AG1159" s="18" t="inlineStr"/>
      <c r="AH1159" s="18" t="inlineStr"/>
      <c r="AI1159" s="18" t="inlineStr"/>
      <c r="AJ1159" s="18" t="inlineStr">
        <is>
          <t>Cobblemon 동일</t>
        </is>
      </c>
      <c r="AK1159" s="18" t="inlineStr">
        <is>
          <t>사용</t>
        </is>
      </c>
      <c r="AL1159" s="18" t="inlineStr">
        <is>
          <t>COBBLEVERSE 1.7.42 / DP v31</t>
        </is>
      </c>
      <c r="AM1159" s="18" t="inlineStr">
        <is>
          <t>data/cobblemon/spawn_pool_world/0299_nosepass.json</t>
        </is>
      </c>
      <c r="AN1159" s="18" t="inlineStr">
        <is>
          <t>nosepass-1</t>
        </is>
      </c>
      <c r="AO1159" s="18" t="inlineStr">
        <is>
          <t>pokemon</t>
        </is>
      </c>
      <c r="AP1159" s="18" t="inlineStr">
        <is>
          <t>natural</t>
        </is>
      </c>
      <c r="AQ1159" s="18" t="inlineStr">
        <is>
          <t>{"biomes":["#cobblemon:is_overworld"],"maxSkyLight":7,"minSkyLight":0}</t>
        </is>
      </c>
      <c r="AR1159" s="18" t="inlineStr">
        <is>
          <t>{"biomes":["#cobblemon:is_deep_dark"]}</t>
        </is>
      </c>
      <c r="AS1159" s="18" t="inlineStr"/>
      <c r="AT1159" s="19" t="inlineStr"/>
    </row>
    <row r="1160" ht="32" customHeight="1">
      <c r="A1160" s="18" t="inlineStr">
        <is>
          <t>0300_skitty.json::skitty-1::001</t>
        </is>
      </c>
      <c r="B1160" s="19" t="inlineStr">
        <is>
          <t>사용</t>
        </is>
      </c>
      <c r="C1160" s="18">
        <f>IF(OR(B1160&lt;&gt;AK1160,M1160&lt;&gt;L1160,O1160&lt;&gt;"",Q1160&lt;&gt;"",V1160&lt;&gt;1,Y1160&lt;&gt;"",AT1160&lt;&gt;""),"수정","원본")</f>
        <v/>
      </c>
      <c r="D1160" s="18" t="n">
        <v>300</v>
      </c>
      <c r="E1160" s="18" t="inlineStr">
        <is>
          <t>에나비</t>
        </is>
      </c>
      <c r="F1160" s="18" t="inlineStr">
        <is>
          <t>skitty</t>
        </is>
      </c>
      <c r="G1160" s="18" t="inlineStr">
        <is>
          <t>skitty</t>
        </is>
      </c>
      <c r="H1160" s="18" t="inlineStr"/>
      <c r="I1160" s="18" t="n">
        <v>3</v>
      </c>
      <c r="J1160" s="18" t="n"/>
      <c r="K1160" s="18" t="n">
        <v>3</v>
      </c>
      <c r="L1160" s="18" t="inlineStr">
        <is>
          <t>cobbleventure:generation_3</t>
        </is>
      </c>
      <c r="M1160" s="19" t="inlineStr">
        <is>
          <t>cobbleventure:generation_3</t>
        </is>
      </c>
      <c r="N1160" s="18" t="inlineStr">
        <is>
          <t>region_01</t>
        </is>
      </c>
      <c r="O1160" s="19" t="inlineStr"/>
      <c r="P1160" s="18" t="inlineStr">
        <is>
          <t>#cobblemon:is_overworld</t>
        </is>
      </c>
      <c r="Q1160" s="19" t="inlineStr"/>
      <c r="R1160" s="18">
        <f>IF(Q1160="",P1160,Q1160)</f>
        <v/>
      </c>
      <c r="S1160" s="18" t="inlineStr">
        <is>
          <t>#cobblemon:is_arid; #cobblemon:is_freezing</t>
        </is>
      </c>
      <c r="T1160" s="18" t="inlineStr">
        <is>
          <t>common</t>
        </is>
      </c>
      <c r="U1160" s="20" t="n">
        <v>5</v>
      </c>
      <c r="V1160" s="21" t="n">
        <v>1</v>
      </c>
      <c r="W1160" s="20">
        <f>IF(OR(U1160="",V1160=""),U1160,U1160*V1160)</f>
        <v/>
      </c>
      <c r="X1160" s="18" t="inlineStr">
        <is>
          <t>1-35</t>
        </is>
      </c>
      <c r="Y1160" s="19" t="inlineStr"/>
      <c r="Z1160" s="18">
        <f>IF(Y1160="",X1160,Y1160)</f>
        <v/>
      </c>
      <c r="AA1160" s="18" t="inlineStr">
        <is>
          <t>grounded</t>
        </is>
      </c>
      <c r="AB1160" s="18" t="inlineStr"/>
      <c r="AC1160" s="18" t="inlineStr">
        <is>
          <t>비=False</t>
        </is>
      </c>
      <c r="AD1160" s="18" t="inlineStr"/>
      <c r="AE1160" s="18" t="inlineStr"/>
      <c r="AF1160" s="18" t="inlineStr">
        <is>
          <t>True</t>
        </is>
      </c>
      <c r="AG1160" s="18" t="inlineStr"/>
      <c r="AH1160" s="18" t="inlineStr"/>
      <c r="AI1160" s="18" t="inlineStr"/>
      <c r="AJ1160" s="18" t="inlineStr">
        <is>
          <t>COBBLEVERSE 추가</t>
        </is>
      </c>
      <c r="AK1160" s="18" t="inlineStr">
        <is>
          <t>사용</t>
        </is>
      </c>
      <c r="AL1160" s="18" t="inlineStr">
        <is>
          <t>COBBLEVERSE 1.7.42 / DP v31</t>
        </is>
      </c>
      <c r="AM1160" s="18" t="inlineStr">
        <is>
          <t>data/cobblemon/spawn_pool_world/0300_skitty.json</t>
        </is>
      </c>
      <c r="AN1160" s="18" t="inlineStr">
        <is>
          <t>skitty-1</t>
        </is>
      </c>
      <c r="AO1160" s="18" t="inlineStr">
        <is>
          <t>pokemon</t>
        </is>
      </c>
      <c r="AP1160" s="18" t="inlineStr">
        <is>
          <t>natural</t>
        </is>
      </c>
      <c r="AQ1160" s="18" t="inlineStr">
        <is>
          <t>{"biomes":["#cobblemon:is_overworld"],"canSeeSky":true,"isRaining":false}</t>
        </is>
      </c>
      <c r="AR1160" s="18" t="inlineStr">
        <is>
          <t>{"biomes":["#cobblemon:is_arid","#cobblemon:is_freezing"]}</t>
        </is>
      </c>
      <c r="AS1160" s="18" t="inlineStr">
        <is>
          <t>{"weightMultiplier":{"condition":{"timeRange":"night"},"multiplier":1.5}}</t>
        </is>
      </c>
      <c r="AT1160" s="19" t="inlineStr"/>
    </row>
    <row r="1161" ht="32" customHeight="1">
      <c r="A1161" s="18" t="inlineStr">
        <is>
          <t>0300_skitty.json::skitty-2::002</t>
        </is>
      </c>
      <c r="B1161" s="19" t="inlineStr">
        <is>
          <t>사용</t>
        </is>
      </c>
      <c r="C1161" s="18">
        <f>IF(OR(B1161&lt;&gt;AK1161,M1161&lt;&gt;L1161,O1161&lt;&gt;"",Q1161&lt;&gt;"",V1161&lt;&gt;1,Y1161&lt;&gt;"",AT1161&lt;&gt;""),"수정","원본")</f>
        <v/>
      </c>
      <c r="D1161" s="18" t="n">
        <v>300</v>
      </c>
      <c r="E1161" s="18" t="inlineStr">
        <is>
          <t>에나비</t>
        </is>
      </c>
      <c r="F1161" s="18" t="inlineStr">
        <is>
          <t>skitty</t>
        </is>
      </c>
      <c r="G1161" s="18" t="inlineStr">
        <is>
          <t>skitty</t>
        </is>
      </c>
      <c r="H1161" s="18" t="inlineStr"/>
      <c r="I1161" s="18" t="n">
        <v>3</v>
      </c>
      <c r="J1161" s="18" t="n"/>
      <c r="K1161" s="18" t="n">
        <v>3</v>
      </c>
      <c r="L1161" s="18" t="inlineStr">
        <is>
          <t>cobbleventure:generation_3</t>
        </is>
      </c>
      <c r="M1161" s="19" t="inlineStr">
        <is>
          <t>cobbleventure:generation_3</t>
        </is>
      </c>
      <c r="N1161" s="18" t="inlineStr">
        <is>
          <t>region_02</t>
        </is>
      </c>
      <c r="O1161" s="19" t="inlineStr"/>
      <c r="P1161" s="18" t="inlineStr">
        <is>
          <t>#cobblemon:is_arid</t>
        </is>
      </c>
      <c r="Q1161" s="19" t="inlineStr"/>
      <c r="R1161" s="18">
        <f>IF(Q1161="",P1161,Q1161)</f>
        <v/>
      </c>
      <c r="S1161" s="18" t="inlineStr"/>
      <c r="T1161" s="18" t="inlineStr">
        <is>
          <t>common</t>
        </is>
      </c>
      <c r="U1161" s="20" t="n">
        <v>5</v>
      </c>
      <c r="V1161" s="21" t="n">
        <v>1</v>
      </c>
      <c r="W1161" s="20">
        <f>IF(OR(U1161="",V1161=""),U1161,U1161*V1161)</f>
        <v/>
      </c>
      <c r="X1161" s="18" t="inlineStr">
        <is>
          <t>4-29</t>
        </is>
      </c>
      <c r="Y1161" s="19" t="inlineStr"/>
      <c r="Z1161" s="18">
        <f>IF(Y1161="",X1161,Y1161)</f>
        <v/>
      </c>
      <c r="AA1161" s="18" t="inlineStr">
        <is>
          <t>grounded</t>
        </is>
      </c>
      <c r="AB1161" s="18" t="inlineStr"/>
      <c r="AC1161" s="18" t="inlineStr"/>
      <c r="AD1161" s="18" t="inlineStr"/>
      <c r="AE1161" s="18" t="inlineStr"/>
      <c r="AF1161" s="18" t="inlineStr">
        <is>
          <t>True</t>
        </is>
      </c>
      <c r="AG1161" s="18" t="inlineStr"/>
      <c r="AH1161" s="18" t="inlineStr"/>
      <c r="AI1161" s="18" t="inlineStr"/>
      <c r="AJ1161" s="18" t="inlineStr">
        <is>
          <t>COBBLEVERSE 추가</t>
        </is>
      </c>
      <c r="AK1161" s="18" t="inlineStr">
        <is>
          <t>사용</t>
        </is>
      </c>
      <c r="AL1161" s="18" t="inlineStr">
        <is>
          <t>COBBLEVERSE 1.7.42 / DP v31</t>
        </is>
      </c>
      <c r="AM1161" s="18" t="inlineStr">
        <is>
          <t>data/cobblemon/spawn_pool_world/0300_skitty.json</t>
        </is>
      </c>
      <c r="AN1161" s="18" t="inlineStr">
        <is>
          <t>skitty-2</t>
        </is>
      </c>
      <c r="AO1161" s="18" t="inlineStr">
        <is>
          <t>pokemon</t>
        </is>
      </c>
      <c r="AP1161" s="18" t="inlineStr">
        <is>
          <t>natural</t>
        </is>
      </c>
      <c r="AQ1161" s="18" t="inlineStr">
        <is>
          <t>{"biomes":["#cobblemon:is_arid"],"canSeeSky":true}</t>
        </is>
      </c>
      <c r="AR1161" s="18" t="inlineStr">
        <is>
          <t>{"structures":["#minecraft:village"]}</t>
        </is>
      </c>
      <c r="AS1161" s="18" t="inlineStr">
        <is>
          <t>{"weightMultiplier":{"condition":{"timeRange":"night"},"multiplier":1.5}}</t>
        </is>
      </c>
      <c r="AT1161" s="19" t="inlineStr"/>
    </row>
    <row r="1162" ht="32" customHeight="1">
      <c r="A1162" s="18" t="inlineStr">
        <is>
          <t>0300_skitty.json::skitty-3::003</t>
        </is>
      </c>
      <c r="B1162" s="19" t="inlineStr">
        <is>
          <t>사용</t>
        </is>
      </c>
      <c r="C1162" s="18">
        <f>IF(OR(B1162&lt;&gt;AK1162,M1162&lt;&gt;L1162,O1162&lt;&gt;"",Q1162&lt;&gt;"",V1162&lt;&gt;1,Y1162&lt;&gt;"",AT1162&lt;&gt;""),"수정","원본")</f>
        <v/>
      </c>
      <c r="D1162" s="18" t="n">
        <v>300</v>
      </c>
      <c r="E1162" s="18" t="inlineStr">
        <is>
          <t>에나비</t>
        </is>
      </c>
      <c r="F1162" s="18" t="inlineStr">
        <is>
          <t>skitty</t>
        </is>
      </c>
      <c r="G1162" s="18" t="inlineStr">
        <is>
          <t>skitty</t>
        </is>
      </c>
      <c r="H1162" s="18" t="inlineStr"/>
      <c r="I1162" s="18" t="n">
        <v>3</v>
      </c>
      <c r="J1162" s="18" t="n"/>
      <c r="K1162" s="18" t="n">
        <v>3</v>
      </c>
      <c r="L1162" s="18" t="inlineStr">
        <is>
          <t>cobbleventure:generation_3</t>
        </is>
      </c>
      <c r="M1162" s="19" t="inlineStr">
        <is>
          <t>cobbleventure:generation_3</t>
        </is>
      </c>
      <c r="N1162" s="18" t="inlineStr"/>
      <c r="O1162" s="19" t="inlineStr"/>
      <c r="P1162" s="18" t="inlineStr">
        <is>
          <t>minecraft:cherry_grove</t>
        </is>
      </c>
      <c r="Q1162" s="19" t="inlineStr"/>
      <c r="R1162" s="18">
        <f>IF(Q1162="",P1162,Q1162)</f>
        <v/>
      </c>
      <c r="S1162" s="18" t="inlineStr"/>
      <c r="T1162" s="18" t="inlineStr">
        <is>
          <t>common</t>
        </is>
      </c>
      <c r="U1162" s="20" t="n">
        <v>1</v>
      </c>
      <c r="V1162" s="21" t="n">
        <v>1</v>
      </c>
      <c r="W1162" s="20">
        <f>IF(OR(U1162="",V1162=""),U1162,U1162*V1162)</f>
        <v/>
      </c>
      <c r="X1162" s="18" t="inlineStr">
        <is>
          <t>4-29</t>
        </is>
      </c>
      <c r="Y1162" s="19" t="inlineStr"/>
      <c r="Z1162" s="18">
        <f>IF(Y1162="",X1162,Y1162)</f>
        <v/>
      </c>
      <c r="AA1162" s="18" t="inlineStr">
        <is>
          <t>grounded</t>
        </is>
      </c>
      <c r="AB1162" s="18" t="inlineStr"/>
      <c r="AC1162" s="18" t="inlineStr"/>
      <c r="AD1162" s="18" t="inlineStr"/>
      <c r="AE1162" s="18" t="inlineStr"/>
      <c r="AF1162" s="18" t="inlineStr">
        <is>
          <t>True</t>
        </is>
      </c>
      <c r="AG1162" s="18" t="inlineStr"/>
      <c r="AH1162" s="18" t="inlineStr"/>
      <c r="AI1162" s="18" t="inlineStr"/>
      <c r="AJ1162" s="18" t="inlineStr">
        <is>
          <t>COBBLEVERSE 추가</t>
        </is>
      </c>
      <c r="AK1162" s="18" t="inlineStr">
        <is>
          <t>사용</t>
        </is>
      </c>
      <c r="AL1162" s="18" t="inlineStr">
        <is>
          <t>COBBLEVERSE 1.7.42 / DP v31</t>
        </is>
      </c>
      <c r="AM1162" s="18" t="inlineStr">
        <is>
          <t>data/cobblemon/spawn_pool_world/0300_skitty.json</t>
        </is>
      </c>
      <c r="AN1162" s="18" t="inlineStr">
        <is>
          <t>skitty-3</t>
        </is>
      </c>
      <c r="AO1162" s="18" t="inlineStr">
        <is>
          <t>pokemon</t>
        </is>
      </c>
      <c r="AP1162" s="18" t="inlineStr">
        <is>
          <t>natural</t>
        </is>
      </c>
      <c r="AQ1162" s="18" t="inlineStr">
        <is>
          <t>{"biomes":["minecraft:cherry_grove"],"canSeeSky":true}</t>
        </is>
      </c>
      <c r="AR1162" s="18" t="inlineStr"/>
      <c r="AS1162" s="18" t="inlineStr"/>
      <c r="AT1162" s="19" t="inlineStr"/>
    </row>
    <row r="1163" ht="32" customHeight="1">
      <c r="A1163" s="18" t="inlineStr">
        <is>
          <t>0301_delcatty.json::delcatty-1::001</t>
        </is>
      </c>
      <c r="B1163" s="19" t="inlineStr">
        <is>
          <t>사용</t>
        </is>
      </c>
      <c r="C1163" s="18">
        <f>IF(OR(B1163&lt;&gt;AK1163,M1163&lt;&gt;L1163,O1163&lt;&gt;"",Q1163&lt;&gt;"",V1163&lt;&gt;1,Y1163&lt;&gt;"",AT1163&lt;&gt;""),"수정","원본")</f>
        <v/>
      </c>
      <c r="D1163" s="18" t="n">
        <v>301</v>
      </c>
      <c r="E1163" s="18" t="inlineStr">
        <is>
          <t>델케티</t>
        </is>
      </c>
      <c r="F1163" s="18" t="inlineStr">
        <is>
          <t>delcatty</t>
        </is>
      </c>
      <c r="G1163" s="18" t="inlineStr">
        <is>
          <t>delcatty</t>
        </is>
      </c>
      <c r="H1163" s="18" t="inlineStr"/>
      <c r="I1163" s="18" t="n">
        <v>3</v>
      </c>
      <c r="J1163" s="18" t="n"/>
      <c r="K1163" s="18" t="n">
        <v>3</v>
      </c>
      <c r="L1163" s="18" t="inlineStr">
        <is>
          <t>cobbleventure:generation_3</t>
        </is>
      </c>
      <c r="M1163" s="19" t="inlineStr">
        <is>
          <t>cobbleventure:generation_3</t>
        </is>
      </c>
      <c r="N1163" s="18" t="inlineStr">
        <is>
          <t>region_01</t>
        </is>
      </c>
      <c r="O1163" s="19" t="inlineStr"/>
      <c r="P1163" s="18" t="inlineStr">
        <is>
          <t>#cobblemon:is_overworld</t>
        </is>
      </c>
      <c r="Q1163" s="19" t="inlineStr"/>
      <c r="R1163" s="18">
        <f>IF(Q1163="",P1163,Q1163)</f>
        <v/>
      </c>
      <c r="S1163" s="18" t="inlineStr">
        <is>
          <t>#cobblemon:is_arid; #cobblemon:is_freezing</t>
        </is>
      </c>
      <c r="T1163" s="18" t="inlineStr">
        <is>
          <t>uncommon</t>
        </is>
      </c>
      <c r="U1163" s="20" t="n">
        <v>3</v>
      </c>
      <c r="V1163" s="21" t="n">
        <v>1</v>
      </c>
      <c r="W1163" s="20">
        <f>IF(OR(U1163="",V1163=""),U1163,U1163*V1163)</f>
        <v/>
      </c>
      <c r="X1163" s="18" t="inlineStr">
        <is>
          <t>15-55</t>
        </is>
      </c>
      <c r="Y1163" s="19" t="inlineStr"/>
      <c r="Z1163" s="18">
        <f>IF(Y1163="",X1163,Y1163)</f>
        <v/>
      </c>
      <c r="AA1163" s="18" t="inlineStr">
        <is>
          <t>grounded</t>
        </is>
      </c>
      <c r="AB1163" s="18" t="inlineStr"/>
      <c r="AC1163" s="18" t="inlineStr">
        <is>
          <t>비=False</t>
        </is>
      </c>
      <c r="AD1163" s="18" t="inlineStr"/>
      <c r="AE1163" s="18" t="inlineStr"/>
      <c r="AF1163" s="18" t="inlineStr">
        <is>
          <t>True</t>
        </is>
      </c>
      <c r="AG1163" s="18" t="inlineStr"/>
      <c r="AH1163" s="18" t="inlineStr"/>
      <c r="AI1163" s="18" t="inlineStr"/>
      <c r="AJ1163" s="18" t="inlineStr">
        <is>
          <t>COBBLEVERSE 추가</t>
        </is>
      </c>
      <c r="AK1163" s="18" t="inlineStr">
        <is>
          <t>사용</t>
        </is>
      </c>
      <c r="AL1163" s="18" t="inlineStr">
        <is>
          <t>COBBLEVERSE 1.7.42 / DP v31</t>
        </is>
      </c>
      <c r="AM1163" s="18" t="inlineStr">
        <is>
          <t>data/cobblemon/spawn_pool_world/0301_delcatty.json</t>
        </is>
      </c>
      <c r="AN1163" s="18" t="inlineStr">
        <is>
          <t>delcatty-1</t>
        </is>
      </c>
      <c r="AO1163" s="18" t="inlineStr">
        <is>
          <t>pokemon</t>
        </is>
      </c>
      <c r="AP1163" s="18" t="inlineStr">
        <is>
          <t>natural</t>
        </is>
      </c>
      <c r="AQ1163" s="18" t="inlineStr">
        <is>
          <t>{"biomes":["#cobblemon:is_overworld"],"canSeeSky":true,"isRaining":false}</t>
        </is>
      </c>
      <c r="AR1163" s="18" t="inlineStr">
        <is>
          <t>{"biomes":["#cobblemon:is_arid","#cobblemon:is_freezing"]}</t>
        </is>
      </c>
      <c r="AS1163" s="18" t="inlineStr">
        <is>
          <t>{"weightMultiplier":{"condition":{"timeRange":"night"},"multiplier":1.5}}</t>
        </is>
      </c>
      <c r="AT1163" s="19" t="inlineStr"/>
    </row>
    <row r="1164" ht="32" customHeight="1">
      <c r="A1164" s="18" t="inlineStr">
        <is>
          <t>0301_delcatty.json::delcatty-2::002</t>
        </is>
      </c>
      <c r="B1164" s="19" t="inlineStr">
        <is>
          <t>사용</t>
        </is>
      </c>
      <c r="C1164" s="18">
        <f>IF(OR(B1164&lt;&gt;AK1164,M1164&lt;&gt;L1164,O1164&lt;&gt;"",Q1164&lt;&gt;"",V1164&lt;&gt;1,Y1164&lt;&gt;"",AT1164&lt;&gt;""),"수정","원본")</f>
        <v/>
      </c>
      <c r="D1164" s="18" t="n">
        <v>301</v>
      </c>
      <c r="E1164" s="18" t="inlineStr">
        <is>
          <t>델케티</t>
        </is>
      </c>
      <c r="F1164" s="18" t="inlineStr">
        <is>
          <t>delcatty</t>
        </is>
      </c>
      <c r="G1164" s="18" t="inlineStr">
        <is>
          <t>delcatty</t>
        </is>
      </c>
      <c r="H1164" s="18" t="inlineStr"/>
      <c r="I1164" s="18" t="n">
        <v>3</v>
      </c>
      <c r="J1164" s="18" t="n"/>
      <c r="K1164" s="18" t="n">
        <v>3</v>
      </c>
      <c r="L1164" s="18" t="inlineStr">
        <is>
          <t>cobbleventure:generation_3</t>
        </is>
      </c>
      <c r="M1164" s="19" t="inlineStr">
        <is>
          <t>cobbleventure:generation_3</t>
        </is>
      </c>
      <c r="N1164" s="18" t="inlineStr">
        <is>
          <t>region_02</t>
        </is>
      </c>
      <c r="O1164" s="19" t="inlineStr"/>
      <c r="P1164" s="18" t="inlineStr">
        <is>
          <t>#cobblemon:is_arid</t>
        </is>
      </c>
      <c r="Q1164" s="19" t="inlineStr"/>
      <c r="R1164" s="18">
        <f>IF(Q1164="",P1164,Q1164)</f>
        <v/>
      </c>
      <c r="S1164" s="18" t="inlineStr"/>
      <c r="T1164" s="18" t="inlineStr">
        <is>
          <t>uncommon</t>
        </is>
      </c>
      <c r="U1164" s="20" t="n">
        <v>3</v>
      </c>
      <c r="V1164" s="21" t="n">
        <v>1</v>
      </c>
      <c r="W1164" s="20">
        <f>IF(OR(U1164="",V1164=""),U1164,U1164*V1164)</f>
        <v/>
      </c>
      <c r="X1164" s="18" t="inlineStr">
        <is>
          <t>15-55</t>
        </is>
      </c>
      <c r="Y1164" s="19" t="inlineStr"/>
      <c r="Z1164" s="18">
        <f>IF(Y1164="",X1164,Y1164)</f>
        <v/>
      </c>
      <c r="AA1164" s="18" t="inlineStr">
        <is>
          <t>grounded</t>
        </is>
      </c>
      <c r="AB1164" s="18" t="inlineStr"/>
      <c r="AC1164" s="18" t="inlineStr"/>
      <c r="AD1164" s="18" t="inlineStr"/>
      <c r="AE1164" s="18" t="inlineStr"/>
      <c r="AF1164" s="18" t="inlineStr">
        <is>
          <t>True</t>
        </is>
      </c>
      <c r="AG1164" s="18" t="inlineStr"/>
      <c r="AH1164" s="18" t="inlineStr"/>
      <c r="AI1164" s="18" t="inlineStr"/>
      <c r="AJ1164" s="18" t="inlineStr">
        <is>
          <t>COBBLEVERSE 추가</t>
        </is>
      </c>
      <c r="AK1164" s="18" t="inlineStr">
        <is>
          <t>사용</t>
        </is>
      </c>
      <c r="AL1164" s="18" t="inlineStr">
        <is>
          <t>COBBLEVERSE 1.7.42 / DP v31</t>
        </is>
      </c>
      <c r="AM1164" s="18" t="inlineStr">
        <is>
          <t>data/cobblemon/spawn_pool_world/0301_delcatty.json</t>
        </is>
      </c>
      <c r="AN1164" s="18" t="inlineStr">
        <is>
          <t>delcatty-2</t>
        </is>
      </c>
      <c r="AO1164" s="18" t="inlineStr">
        <is>
          <t>pokemon</t>
        </is>
      </c>
      <c r="AP1164" s="18" t="inlineStr">
        <is>
          <t>natural</t>
        </is>
      </c>
      <c r="AQ1164" s="18" t="inlineStr">
        <is>
          <t>{"biomes":["#cobblemon:is_arid"],"canSeeSky":true}</t>
        </is>
      </c>
      <c r="AR1164" s="18" t="inlineStr">
        <is>
          <t>{"structures":["#minecraft:village"]}</t>
        </is>
      </c>
      <c r="AS1164" s="18" t="inlineStr">
        <is>
          <t>{"weightMultiplier":{"condition":{"timeRange":"night"},"multiplier":1.5}}</t>
        </is>
      </c>
      <c r="AT1164" s="19" t="inlineStr"/>
    </row>
    <row r="1165" ht="32" customHeight="1">
      <c r="A1165" s="18" t="inlineStr">
        <is>
          <t>0301_delcatty.json::delcatty-3::003</t>
        </is>
      </c>
      <c r="B1165" s="19" t="inlineStr">
        <is>
          <t>사용</t>
        </is>
      </c>
      <c r="C1165" s="18">
        <f>IF(OR(B1165&lt;&gt;AK1165,M1165&lt;&gt;L1165,O1165&lt;&gt;"",Q1165&lt;&gt;"",V1165&lt;&gt;1,Y1165&lt;&gt;"",AT1165&lt;&gt;""),"수정","원본")</f>
        <v/>
      </c>
      <c r="D1165" s="18" t="n">
        <v>301</v>
      </c>
      <c r="E1165" s="18" t="inlineStr">
        <is>
          <t>델케티</t>
        </is>
      </c>
      <c r="F1165" s="18" t="inlineStr">
        <is>
          <t>delcatty</t>
        </is>
      </c>
      <c r="G1165" s="18" t="inlineStr">
        <is>
          <t>delcatty</t>
        </is>
      </c>
      <c r="H1165" s="18" t="inlineStr"/>
      <c r="I1165" s="18" t="n">
        <v>3</v>
      </c>
      <c r="J1165" s="18" t="n"/>
      <c r="K1165" s="18" t="n">
        <v>3</v>
      </c>
      <c r="L1165" s="18" t="inlineStr">
        <is>
          <t>cobbleventure:generation_3</t>
        </is>
      </c>
      <c r="M1165" s="19" t="inlineStr">
        <is>
          <t>cobbleventure:generation_3</t>
        </is>
      </c>
      <c r="N1165" s="18" t="inlineStr"/>
      <c r="O1165" s="19" t="inlineStr"/>
      <c r="P1165" s="18" t="inlineStr">
        <is>
          <t>minecraft:cherry_grove</t>
        </is>
      </c>
      <c r="Q1165" s="19" t="inlineStr"/>
      <c r="R1165" s="18">
        <f>IF(Q1165="",P1165,Q1165)</f>
        <v/>
      </c>
      <c r="S1165" s="18" t="inlineStr"/>
      <c r="T1165" s="18" t="inlineStr">
        <is>
          <t>uncommon</t>
        </is>
      </c>
      <c r="U1165" s="20" t="n">
        <v>4</v>
      </c>
      <c r="V1165" s="21" t="n">
        <v>1</v>
      </c>
      <c r="W1165" s="20">
        <f>IF(OR(U1165="",V1165=""),U1165,U1165*V1165)</f>
        <v/>
      </c>
      <c r="X1165" s="18" t="inlineStr">
        <is>
          <t>15-55</t>
        </is>
      </c>
      <c r="Y1165" s="19" t="inlineStr"/>
      <c r="Z1165" s="18">
        <f>IF(Y1165="",X1165,Y1165)</f>
        <v/>
      </c>
      <c r="AA1165" s="18" t="inlineStr">
        <is>
          <t>grounded</t>
        </is>
      </c>
      <c r="AB1165" s="18" t="inlineStr"/>
      <c r="AC1165" s="18" t="inlineStr"/>
      <c r="AD1165" s="18" t="inlineStr"/>
      <c r="AE1165" s="18" t="inlineStr"/>
      <c r="AF1165" s="18" t="inlineStr">
        <is>
          <t>True</t>
        </is>
      </c>
      <c r="AG1165" s="18" t="inlineStr"/>
      <c r="AH1165" s="18" t="inlineStr"/>
      <c r="AI1165" s="18" t="inlineStr"/>
      <c r="AJ1165" s="18" t="inlineStr">
        <is>
          <t>COBBLEVERSE 추가</t>
        </is>
      </c>
      <c r="AK1165" s="18" t="inlineStr">
        <is>
          <t>사용</t>
        </is>
      </c>
      <c r="AL1165" s="18" t="inlineStr">
        <is>
          <t>COBBLEVERSE 1.7.42 / DP v31</t>
        </is>
      </c>
      <c r="AM1165" s="18" t="inlineStr">
        <is>
          <t>data/cobblemon/spawn_pool_world/0301_delcatty.json</t>
        </is>
      </c>
      <c r="AN1165" s="18" t="inlineStr">
        <is>
          <t>delcatty-3</t>
        </is>
      </c>
      <c r="AO1165" s="18" t="inlineStr">
        <is>
          <t>pokemon</t>
        </is>
      </c>
      <c r="AP1165" s="18" t="inlineStr">
        <is>
          <t>natural</t>
        </is>
      </c>
      <c r="AQ1165" s="18" t="inlineStr">
        <is>
          <t>{"biomes":["minecraft:cherry_grove"],"canSeeSky":true}</t>
        </is>
      </c>
      <c r="AR1165" s="18" t="inlineStr"/>
      <c r="AS1165" s="18" t="inlineStr">
        <is>
          <t>{"weightMultiplier":{"condition":{"timeRange":"night"},"multiplier":1.5}}</t>
        </is>
      </c>
      <c r="AT1165" s="19" t="inlineStr"/>
    </row>
    <row r="1166" ht="32" customHeight="1">
      <c r="A1166" s="18" t="inlineStr">
        <is>
          <t>0302_sableye.json::sableye-1::001</t>
        </is>
      </c>
      <c r="B1166" s="19" t="inlineStr">
        <is>
          <t>사용</t>
        </is>
      </c>
      <c r="C1166" s="18">
        <f>IF(OR(B1166&lt;&gt;AK1166,M1166&lt;&gt;L1166,O1166&lt;&gt;"",Q1166&lt;&gt;"",V1166&lt;&gt;1,Y1166&lt;&gt;"",AT1166&lt;&gt;""),"수정","원본")</f>
        <v/>
      </c>
      <c r="D1166" s="18" t="n">
        <v>302</v>
      </c>
      <c r="E1166" s="18" t="inlineStr">
        <is>
          <t>깜까미</t>
        </is>
      </c>
      <c r="F1166" s="18" t="inlineStr">
        <is>
          <t>sableye</t>
        </is>
      </c>
      <c r="G1166" s="18" t="inlineStr">
        <is>
          <t>sableye</t>
        </is>
      </c>
      <c r="H1166" s="18" t="inlineStr"/>
      <c r="I1166" s="18" t="n">
        <v>3</v>
      </c>
      <c r="J1166" s="18" t="n"/>
      <c r="K1166" s="18" t="n">
        <v>3</v>
      </c>
      <c r="L1166" s="18" t="inlineStr">
        <is>
          <t>cobbleventure:generation_3</t>
        </is>
      </c>
      <c r="M1166" s="19" t="inlineStr">
        <is>
          <t>cobbleventure:generation_3</t>
        </is>
      </c>
      <c r="N1166" s="18" t="inlineStr">
        <is>
          <t>region_01; region_02</t>
        </is>
      </c>
      <c r="O1166" s="19" t="inlineStr"/>
      <c r="P1166" s="18" t="inlineStr">
        <is>
          <t>#cobblemon:is_overworld</t>
        </is>
      </c>
      <c r="Q1166" s="19" t="inlineStr"/>
      <c r="R1166" s="18">
        <f>IF(Q1166="",P1166,Q1166)</f>
        <v/>
      </c>
      <c r="S1166" s="18" t="inlineStr"/>
      <c r="T1166" s="18" t="inlineStr">
        <is>
          <t>common</t>
        </is>
      </c>
      <c r="U1166" s="20" t="n">
        <v>10</v>
      </c>
      <c r="V1166" s="21" t="n">
        <v>1</v>
      </c>
      <c r="W1166" s="20">
        <f>IF(OR(U1166="",V1166=""),U1166,U1166*V1166)</f>
        <v/>
      </c>
      <c r="X1166" s="18" t="inlineStr">
        <is>
          <t>13-38</t>
        </is>
      </c>
      <c r="Y1166" s="19" t="inlineStr"/>
      <c r="Z1166" s="18">
        <f>IF(Y1166="",X1166,Y1166)</f>
        <v/>
      </c>
      <c r="AA1166" s="18" t="inlineStr">
        <is>
          <t>grounded</t>
        </is>
      </c>
      <c r="AB1166" s="18" t="inlineStr"/>
      <c r="AC1166" s="18" t="inlineStr"/>
      <c r="AD1166" s="18" t="inlineStr"/>
      <c r="AE1166" s="18" t="inlineStr">
        <is>
          <t>sky 0-7</t>
        </is>
      </c>
      <c r="AF1166" s="18" t="inlineStr"/>
      <c r="AG1166" s="18" t="inlineStr"/>
      <c r="AH1166" s="18" t="inlineStr">
        <is>
          <t>주변=#cobblemon:gemstones</t>
        </is>
      </c>
      <c r="AI1166" s="18" t="inlineStr"/>
      <c r="AJ1166" s="18" t="inlineStr">
        <is>
          <t>COBBLEVERSE 수정</t>
        </is>
      </c>
      <c r="AK1166" s="18" t="inlineStr">
        <is>
          <t>사용</t>
        </is>
      </c>
      <c r="AL1166" s="18" t="inlineStr">
        <is>
          <t>COBBLEVERSE 1.7.42 / DP v31</t>
        </is>
      </c>
      <c r="AM1166" s="18" t="inlineStr">
        <is>
          <t>data/cobblemon/spawn_pool_world/0302_sableye.json</t>
        </is>
      </c>
      <c r="AN1166" s="18" t="inlineStr">
        <is>
          <t>sableye-1</t>
        </is>
      </c>
      <c r="AO1166" s="18" t="inlineStr">
        <is>
          <t>pokemon</t>
        </is>
      </c>
      <c r="AP1166" s="18" t="inlineStr">
        <is>
          <t>natural</t>
        </is>
      </c>
      <c r="AQ1166" s="18" t="inlineStr">
        <is>
          <t>{"biomes":["#cobblemon:is_overworld"],"maxSkyLight":7,"minSkyLight":0,"neededNearbyBlocks":["#cobblemon:gemstones"]}</t>
        </is>
      </c>
      <c r="AR1166" s="18" t="inlineStr"/>
      <c r="AS1166" s="18" t="inlineStr"/>
      <c r="AT1166" s="19" t="inlineStr"/>
    </row>
    <row r="1167" ht="32" customHeight="1">
      <c r="A1167" s="18" t="inlineStr">
        <is>
          <t>0302_sableye.json::sableye-2::002</t>
        </is>
      </c>
      <c r="B1167" s="19" t="inlineStr">
        <is>
          <t>사용</t>
        </is>
      </c>
      <c r="C1167" s="18">
        <f>IF(OR(B1167&lt;&gt;AK1167,M1167&lt;&gt;L1167,O1167&lt;&gt;"",Q1167&lt;&gt;"",V1167&lt;&gt;1,Y1167&lt;&gt;"",AT1167&lt;&gt;""),"수정","원본")</f>
        <v/>
      </c>
      <c r="D1167" s="18" t="n">
        <v>302</v>
      </c>
      <c r="E1167" s="18" t="inlineStr">
        <is>
          <t>깜까미</t>
        </is>
      </c>
      <c r="F1167" s="18" t="inlineStr">
        <is>
          <t>sableye</t>
        </is>
      </c>
      <c r="G1167" s="18" t="inlineStr">
        <is>
          <t>sableye</t>
        </is>
      </c>
      <c r="H1167" s="18" t="inlineStr"/>
      <c r="I1167" s="18" t="n">
        <v>3</v>
      </c>
      <c r="J1167" s="18" t="n"/>
      <c r="K1167" s="18" t="n">
        <v>3</v>
      </c>
      <c r="L1167" s="18" t="inlineStr">
        <is>
          <t>cobbleventure:generation_3</t>
        </is>
      </c>
      <c r="M1167" s="19" t="inlineStr">
        <is>
          <t>cobbleventure:generation_3</t>
        </is>
      </c>
      <c r="N1167" s="18" t="inlineStr"/>
      <c r="O1167" s="19" t="inlineStr"/>
      <c r="P1167" s="18" t="inlineStr">
        <is>
          <t>#cobblemon:is_deep_dark</t>
        </is>
      </c>
      <c r="Q1167" s="19" t="inlineStr"/>
      <c r="R1167" s="18">
        <f>IF(Q1167="",P1167,Q1167)</f>
        <v/>
      </c>
      <c r="S1167" s="18" t="inlineStr"/>
      <c r="T1167" s="18" t="inlineStr">
        <is>
          <t>rare</t>
        </is>
      </c>
      <c r="U1167" s="20" t="n">
        <v>10</v>
      </c>
      <c r="V1167" s="21" t="n">
        <v>1</v>
      </c>
      <c r="W1167" s="20">
        <f>IF(OR(U1167="",V1167=""),U1167,U1167*V1167)</f>
        <v/>
      </c>
      <c r="X1167" s="18" t="inlineStr">
        <is>
          <t>13-38</t>
        </is>
      </c>
      <c r="Y1167" s="19" t="inlineStr"/>
      <c r="Z1167" s="18">
        <f>IF(Y1167="",X1167,Y1167)</f>
        <v/>
      </c>
      <c r="AA1167" s="18" t="inlineStr">
        <is>
          <t>grounded</t>
        </is>
      </c>
      <c r="AB1167" s="18" t="inlineStr"/>
      <c r="AC1167" s="18" t="inlineStr"/>
      <c r="AD1167" s="18" t="inlineStr"/>
      <c r="AE1167" s="18" t="inlineStr">
        <is>
          <t>sky 0-7</t>
        </is>
      </c>
      <c r="AF1167" s="18" t="inlineStr"/>
      <c r="AG1167" s="18" t="inlineStr"/>
      <c r="AH1167" s="18" t="inlineStr"/>
      <c r="AI1167" s="18" t="inlineStr"/>
      <c r="AJ1167" s="18" t="inlineStr">
        <is>
          <t>COBBLEVERSE 수정</t>
        </is>
      </c>
      <c r="AK1167" s="18" t="inlineStr">
        <is>
          <t>사용</t>
        </is>
      </c>
      <c r="AL1167" s="18" t="inlineStr">
        <is>
          <t>COBBLEVERSE 1.7.42 / DP v31</t>
        </is>
      </c>
      <c r="AM1167" s="18" t="inlineStr">
        <is>
          <t>data/cobblemon/spawn_pool_world/0302_sableye.json</t>
        </is>
      </c>
      <c r="AN1167" s="18" t="inlineStr">
        <is>
          <t>sableye-2</t>
        </is>
      </c>
      <c r="AO1167" s="18" t="inlineStr">
        <is>
          <t>pokemon</t>
        </is>
      </c>
      <c r="AP1167" s="18" t="inlineStr">
        <is>
          <t>natural</t>
        </is>
      </c>
      <c r="AQ1167" s="18" t="inlineStr">
        <is>
          <t>{"biomes":["#cobblemon:is_deep_dark"],"maxSkyLight":7,"minSkyLight":0}</t>
        </is>
      </c>
      <c r="AR1167" s="18" t="inlineStr"/>
      <c r="AS1167" s="18" t="inlineStr"/>
      <c r="AT1167" s="19" t="inlineStr"/>
    </row>
    <row r="1168" ht="32" customHeight="1">
      <c r="A1168" s="18" t="inlineStr">
        <is>
          <t>0303_mawile.json::mawile-1::001</t>
        </is>
      </c>
      <c r="B1168" s="19" t="inlineStr">
        <is>
          <t>사용</t>
        </is>
      </c>
      <c r="C1168" s="18">
        <f>IF(OR(B1168&lt;&gt;AK1168,M1168&lt;&gt;L1168,O1168&lt;&gt;"",Q1168&lt;&gt;"",V1168&lt;&gt;1,Y1168&lt;&gt;"",AT1168&lt;&gt;""),"수정","원본")</f>
        <v/>
      </c>
      <c r="D1168" s="18" t="n">
        <v>303</v>
      </c>
      <c r="E1168" s="18" t="inlineStr">
        <is>
          <t>입치트</t>
        </is>
      </c>
      <c r="F1168" s="18" t="inlineStr">
        <is>
          <t>mawile</t>
        </is>
      </c>
      <c r="G1168" s="18" t="inlineStr">
        <is>
          <t>mawile</t>
        </is>
      </c>
      <c r="H1168" s="18" t="inlineStr"/>
      <c r="I1168" s="18" t="n">
        <v>3</v>
      </c>
      <c r="J1168" s="18" t="n"/>
      <c r="K1168" s="18" t="n">
        <v>3</v>
      </c>
      <c r="L1168" s="18" t="inlineStr">
        <is>
          <t>cobbleventure:generation_3</t>
        </is>
      </c>
      <c r="M1168" s="19" t="inlineStr">
        <is>
          <t>cobbleventure:generation_3</t>
        </is>
      </c>
      <c r="N1168" s="18" t="inlineStr"/>
      <c r="O1168" s="19" t="inlineStr"/>
      <c r="P1168" s="18" t="inlineStr">
        <is>
          <t>#cobblemon:is_deep_dark</t>
        </is>
      </c>
      <c r="Q1168" s="19" t="inlineStr"/>
      <c r="R1168" s="18">
        <f>IF(Q1168="",P1168,Q1168)</f>
        <v/>
      </c>
      <c r="S1168" s="18" t="inlineStr"/>
      <c r="T1168" s="18" t="inlineStr">
        <is>
          <t>uncommon</t>
        </is>
      </c>
      <c r="U1168" s="20" t="n">
        <v>6</v>
      </c>
      <c r="V1168" s="21" t="n">
        <v>1</v>
      </c>
      <c r="W1168" s="20">
        <f>IF(OR(U1168="",V1168=""),U1168,U1168*V1168)</f>
        <v/>
      </c>
      <c r="X1168" s="18" t="inlineStr">
        <is>
          <t>13-38</t>
        </is>
      </c>
      <c r="Y1168" s="19" t="inlineStr"/>
      <c r="Z1168" s="18">
        <f>IF(Y1168="",X1168,Y1168)</f>
        <v/>
      </c>
      <c r="AA1168" s="18" t="inlineStr">
        <is>
          <t>grounded</t>
        </is>
      </c>
      <c r="AB1168" s="18" t="inlineStr"/>
      <c r="AC1168" s="18" t="inlineStr"/>
      <c r="AD1168" s="18" t="inlineStr"/>
      <c r="AE1168" s="18" t="inlineStr">
        <is>
          <t>sky 0-7</t>
        </is>
      </c>
      <c r="AF1168" s="18" t="inlineStr"/>
      <c r="AG1168" s="18" t="inlineStr"/>
      <c r="AH1168" s="18" t="inlineStr"/>
      <c r="AI1168" s="18" t="inlineStr"/>
      <c r="AJ1168" s="18" t="inlineStr">
        <is>
          <t>Cobblemon 동일</t>
        </is>
      </c>
      <c r="AK1168" s="18" t="inlineStr">
        <is>
          <t>사용</t>
        </is>
      </c>
      <c r="AL1168" s="18" t="inlineStr">
        <is>
          <t>COBBLEVERSE 1.7.42 / DP v31</t>
        </is>
      </c>
      <c r="AM1168" s="18" t="inlineStr">
        <is>
          <t>data/cobblemon/spawn_pool_world/0303_mawile.json</t>
        </is>
      </c>
      <c r="AN1168" s="18" t="inlineStr">
        <is>
          <t>mawile-1</t>
        </is>
      </c>
      <c r="AO1168" s="18" t="inlineStr">
        <is>
          <t>pokemon</t>
        </is>
      </c>
      <c r="AP1168" s="18" t="inlineStr">
        <is>
          <t>natural</t>
        </is>
      </c>
      <c r="AQ1168" s="18" t="inlineStr">
        <is>
          <t>{"biomes":["#cobblemon:is_deep_dark"],"maxSkyLight":7,"minSkyLight":0}</t>
        </is>
      </c>
      <c r="AR1168" s="18" t="inlineStr"/>
      <c r="AS1168" s="18" t="inlineStr"/>
      <c r="AT1168" s="19" t="inlineStr"/>
    </row>
    <row r="1169" ht="32" customHeight="1">
      <c r="A1169" s="18" t="inlineStr">
        <is>
          <t>0303_mawile.json::mawile-2::002</t>
        </is>
      </c>
      <c r="B1169" s="19" t="inlineStr">
        <is>
          <t>사용</t>
        </is>
      </c>
      <c r="C1169" s="18">
        <f>IF(OR(B1169&lt;&gt;AK1169,M1169&lt;&gt;L1169,O1169&lt;&gt;"",Q1169&lt;&gt;"",V1169&lt;&gt;1,Y1169&lt;&gt;"",AT1169&lt;&gt;""),"수정","원본")</f>
        <v/>
      </c>
      <c r="D1169" s="18" t="n">
        <v>303</v>
      </c>
      <c r="E1169" s="18" t="inlineStr">
        <is>
          <t>입치트</t>
        </is>
      </c>
      <c r="F1169" s="18" t="inlineStr">
        <is>
          <t>mawile</t>
        </is>
      </c>
      <c r="G1169" s="18" t="inlineStr">
        <is>
          <t>mawile</t>
        </is>
      </c>
      <c r="H1169" s="18" t="inlineStr"/>
      <c r="I1169" s="18" t="n">
        <v>3</v>
      </c>
      <c r="J1169" s="18" t="n"/>
      <c r="K1169" s="18" t="n">
        <v>3</v>
      </c>
      <c r="L1169" s="18" t="inlineStr">
        <is>
          <t>cobbleventure:generation_3</t>
        </is>
      </c>
      <c r="M1169" s="19" t="inlineStr">
        <is>
          <t>cobbleventure:generation_3</t>
        </is>
      </c>
      <c r="N1169" s="18" t="inlineStr">
        <is>
          <t>region_01; region_02</t>
        </is>
      </c>
      <c r="O1169" s="19" t="inlineStr"/>
      <c r="P1169" s="18" t="inlineStr">
        <is>
          <t>#cobblemon:is_overworld</t>
        </is>
      </c>
      <c r="Q1169" s="19" t="inlineStr"/>
      <c r="R1169" s="18">
        <f>IF(Q1169="",P1169,Q1169)</f>
        <v/>
      </c>
      <c r="S1169" s="18" t="inlineStr">
        <is>
          <t>#cobblemon:is_deep_dark</t>
        </is>
      </c>
      <c r="T1169" s="18" t="inlineStr">
        <is>
          <t>rare</t>
        </is>
      </c>
      <c r="U1169" s="20" t="n">
        <v>6</v>
      </c>
      <c r="V1169" s="21" t="n">
        <v>1</v>
      </c>
      <c r="W1169" s="20">
        <f>IF(OR(U1169="",V1169=""),U1169,U1169*V1169)</f>
        <v/>
      </c>
      <c r="X1169" s="18" t="inlineStr">
        <is>
          <t>13-38</t>
        </is>
      </c>
      <c r="Y1169" s="19" t="inlineStr"/>
      <c r="Z1169" s="18">
        <f>IF(Y1169="",X1169,Y1169)</f>
        <v/>
      </c>
      <c r="AA1169" s="18" t="inlineStr">
        <is>
          <t>grounded</t>
        </is>
      </c>
      <c r="AB1169" s="18" t="inlineStr"/>
      <c r="AC1169" s="18" t="inlineStr"/>
      <c r="AD1169" s="18" t="inlineStr"/>
      <c r="AE1169" s="18" t="inlineStr">
        <is>
          <t>sky 0-7</t>
        </is>
      </c>
      <c r="AF1169" s="18" t="inlineStr"/>
      <c r="AG1169" s="18" t="inlineStr"/>
      <c r="AH1169" s="18" t="inlineStr"/>
      <c r="AI1169" s="18" t="inlineStr"/>
      <c r="AJ1169" s="18" t="inlineStr">
        <is>
          <t>Cobblemon 동일</t>
        </is>
      </c>
      <c r="AK1169" s="18" t="inlineStr">
        <is>
          <t>사용</t>
        </is>
      </c>
      <c r="AL1169" s="18" t="inlineStr">
        <is>
          <t>COBBLEVERSE 1.7.42 / DP v31</t>
        </is>
      </c>
      <c r="AM1169" s="18" t="inlineStr">
        <is>
          <t>data/cobblemon/spawn_pool_world/0303_mawile.json</t>
        </is>
      </c>
      <c r="AN1169" s="18" t="inlineStr">
        <is>
          <t>mawile-2</t>
        </is>
      </c>
      <c r="AO1169" s="18" t="inlineStr">
        <is>
          <t>pokemon</t>
        </is>
      </c>
      <c r="AP1169" s="18" t="inlineStr">
        <is>
          <t>natural</t>
        </is>
      </c>
      <c r="AQ1169" s="18" t="inlineStr">
        <is>
          <t>{"biomes":["#cobblemon:is_overworld"],"maxSkyLight":7,"minSkyLight":0}</t>
        </is>
      </c>
      <c r="AR1169" s="18" t="inlineStr">
        <is>
          <t>{"biomes":["#cobblemon:is_deep_dark"]}</t>
        </is>
      </c>
      <c r="AS1169" s="18" t="inlineStr"/>
      <c r="AT1169" s="19" t="inlineStr"/>
    </row>
    <row r="1170" ht="32" customHeight="1">
      <c r="A1170" s="18" t="inlineStr">
        <is>
          <t>0304_aron.json::aron-1::001</t>
        </is>
      </c>
      <c r="B1170" s="19" t="inlineStr">
        <is>
          <t>사용</t>
        </is>
      </c>
      <c r="C1170" s="18">
        <f>IF(OR(B1170&lt;&gt;AK1170,M1170&lt;&gt;L1170,O1170&lt;&gt;"",Q1170&lt;&gt;"",V1170&lt;&gt;1,Y1170&lt;&gt;"",AT1170&lt;&gt;""),"수정","원본")</f>
        <v/>
      </c>
      <c r="D1170" s="18" t="n">
        <v>304</v>
      </c>
      <c r="E1170" s="18" t="inlineStr">
        <is>
          <t>가보리</t>
        </is>
      </c>
      <c r="F1170" s="18" t="inlineStr">
        <is>
          <t>aron</t>
        </is>
      </c>
      <c r="G1170" s="18" t="inlineStr">
        <is>
          <t>aron</t>
        </is>
      </c>
      <c r="H1170" s="18" t="inlineStr"/>
      <c r="I1170" s="18" t="n">
        <v>3</v>
      </c>
      <c r="J1170" s="18" t="n"/>
      <c r="K1170" s="18" t="n">
        <v>3</v>
      </c>
      <c r="L1170" s="18" t="inlineStr">
        <is>
          <t>cobbleventure:generation_3</t>
        </is>
      </c>
      <c r="M1170" s="19" t="inlineStr">
        <is>
          <t>cobbleventure:generation_3</t>
        </is>
      </c>
      <c r="N1170" s="18" t="inlineStr"/>
      <c r="O1170" s="19" t="inlineStr"/>
      <c r="P1170" s="18" t="inlineStr">
        <is>
          <t>#cobblemon:is_mountain</t>
        </is>
      </c>
      <c r="Q1170" s="19" t="inlineStr"/>
      <c r="R1170" s="18">
        <f>IF(Q1170="",P1170,Q1170)</f>
        <v/>
      </c>
      <c r="S1170" s="18" t="inlineStr">
        <is>
          <t>#cobblemon:is_deep_dark</t>
        </is>
      </c>
      <c r="T1170" s="18" t="inlineStr">
        <is>
          <t>common</t>
        </is>
      </c>
      <c r="U1170" s="20" t="n">
        <v>9</v>
      </c>
      <c r="V1170" s="21" t="n">
        <v>1</v>
      </c>
      <c r="W1170" s="20">
        <f>IF(OR(U1170="",V1170=""),U1170,U1170*V1170)</f>
        <v/>
      </c>
      <c r="X1170" s="18" t="inlineStr">
        <is>
          <t>8-33</t>
        </is>
      </c>
      <c r="Y1170" s="19" t="inlineStr"/>
      <c r="Z1170" s="18">
        <f>IF(Y1170="",X1170,Y1170)</f>
        <v/>
      </c>
      <c r="AA1170" s="18" t="inlineStr">
        <is>
          <t>grounded</t>
        </is>
      </c>
      <c r="AB1170" s="18" t="inlineStr"/>
      <c r="AC1170" s="18" t="inlineStr"/>
      <c r="AD1170" s="18" t="inlineStr"/>
      <c r="AE1170" s="18" t="inlineStr"/>
      <c r="AF1170" s="18" t="inlineStr"/>
      <c r="AG1170" s="18" t="inlineStr"/>
      <c r="AH1170" s="18" t="inlineStr"/>
      <c r="AI1170" s="18" t="inlineStr"/>
      <c r="AJ1170" s="18" t="inlineStr">
        <is>
          <t>COBBLEVERSE 수정</t>
        </is>
      </c>
      <c r="AK1170" s="18" t="inlineStr">
        <is>
          <t>사용</t>
        </is>
      </c>
      <c r="AL1170" s="18" t="inlineStr">
        <is>
          <t>COBBLEVERSE 1.7.42 / DP v31</t>
        </is>
      </c>
      <c r="AM1170" s="18" t="inlineStr">
        <is>
          <t>data/cobblemon/spawn_pool_world/0304_aron.json</t>
        </is>
      </c>
      <c r="AN1170" s="18" t="inlineStr">
        <is>
          <t>aron-1</t>
        </is>
      </c>
      <c r="AO1170" s="18" t="inlineStr">
        <is>
          <t>pokemon</t>
        </is>
      </c>
      <c r="AP1170" s="18" t="inlineStr">
        <is>
          <t>natural; wild</t>
        </is>
      </c>
      <c r="AQ1170" s="18" t="inlineStr">
        <is>
          <t>{"biomes":["#cobblemon:is_mountain"]}</t>
        </is>
      </c>
      <c r="AR1170" s="18" t="inlineStr">
        <is>
          <t>{"biomes":["#cobblemon:is_deep_dark"]}</t>
        </is>
      </c>
      <c r="AS1170" s="18" t="inlineStr"/>
      <c r="AT1170" s="19" t="inlineStr"/>
    </row>
    <row r="1171" ht="32" customHeight="1">
      <c r="A1171" s="18" t="inlineStr">
        <is>
          <t>0304_aron.json::aron-2::002</t>
        </is>
      </c>
      <c r="B1171" s="19" t="inlineStr">
        <is>
          <t>사용</t>
        </is>
      </c>
      <c r="C1171" s="18">
        <f>IF(OR(B1171&lt;&gt;AK1171,M1171&lt;&gt;L1171,O1171&lt;&gt;"",Q1171&lt;&gt;"",V1171&lt;&gt;1,Y1171&lt;&gt;"",AT1171&lt;&gt;""),"수정","원본")</f>
        <v/>
      </c>
      <c r="D1171" s="18" t="n">
        <v>304</v>
      </c>
      <c r="E1171" s="18" t="inlineStr">
        <is>
          <t>가보리</t>
        </is>
      </c>
      <c r="F1171" s="18" t="inlineStr">
        <is>
          <t>aron</t>
        </is>
      </c>
      <c r="G1171" s="18" t="inlineStr">
        <is>
          <t>aron</t>
        </is>
      </c>
      <c r="H1171" s="18" t="inlineStr"/>
      <c r="I1171" s="18" t="n">
        <v>3</v>
      </c>
      <c r="J1171" s="18" t="n"/>
      <c r="K1171" s="18" t="n">
        <v>3</v>
      </c>
      <c r="L1171" s="18" t="inlineStr">
        <is>
          <t>cobbleventure:generation_3</t>
        </is>
      </c>
      <c r="M1171" s="19" t="inlineStr">
        <is>
          <t>cobbleventure:generation_3</t>
        </is>
      </c>
      <c r="N1171" s="18" t="inlineStr">
        <is>
          <t>region_01; region_02</t>
        </is>
      </c>
      <c r="O1171" s="19" t="inlineStr"/>
      <c r="P1171" s="18" t="inlineStr">
        <is>
          <t>#cobblemon:is_overworld</t>
        </is>
      </c>
      <c r="Q1171" s="19" t="inlineStr"/>
      <c r="R1171" s="18">
        <f>IF(Q1171="",P1171,Q1171)</f>
        <v/>
      </c>
      <c r="S1171" s="18" t="inlineStr">
        <is>
          <t>#cobblemon:is_deep_dark</t>
        </is>
      </c>
      <c r="T1171" s="18" t="inlineStr">
        <is>
          <t>common</t>
        </is>
      </c>
      <c r="U1171" s="20" t="n">
        <v>9</v>
      </c>
      <c r="V1171" s="21" t="n">
        <v>1</v>
      </c>
      <c r="W1171" s="20">
        <f>IF(OR(U1171="",V1171=""),U1171,U1171*V1171)</f>
        <v/>
      </c>
      <c r="X1171" s="18" t="inlineStr">
        <is>
          <t>8-33</t>
        </is>
      </c>
      <c r="Y1171" s="19" t="inlineStr"/>
      <c r="Z1171" s="18">
        <f>IF(Y1171="",X1171,Y1171)</f>
        <v/>
      </c>
      <c r="AA1171" s="18" t="inlineStr">
        <is>
          <t>grounded</t>
        </is>
      </c>
      <c r="AB1171" s="18" t="inlineStr"/>
      <c r="AC1171" s="18" t="inlineStr"/>
      <c r="AD1171" s="18" t="inlineStr"/>
      <c r="AE1171" s="18" t="inlineStr">
        <is>
          <t>sky 0-7</t>
        </is>
      </c>
      <c r="AF1171" s="18" t="inlineStr"/>
      <c r="AG1171" s="18" t="inlineStr"/>
      <c r="AH1171" s="18" t="inlineStr">
        <is>
          <t>주변=#minecraft:iron_ores</t>
        </is>
      </c>
      <c r="AI1171" s="18" t="inlineStr"/>
      <c r="AJ1171" s="18" t="inlineStr">
        <is>
          <t>COBBLEVERSE 수정</t>
        </is>
      </c>
      <c r="AK1171" s="18" t="inlineStr">
        <is>
          <t>사용</t>
        </is>
      </c>
      <c r="AL1171" s="18" t="inlineStr">
        <is>
          <t>COBBLEVERSE 1.7.42 / DP v31</t>
        </is>
      </c>
      <c r="AM1171" s="18" t="inlineStr">
        <is>
          <t>data/cobblemon/spawn_pool_world/0304_aron.json</t>
        </is>
      </c>
      <c r="AN1171" s="18" t="inlineStr">
        <is>
          <t>aron-2</t>
        </is>
      </c>
      <c r="AO1171" s="18" t="inlineStr">
        <is>
          <t>pokemon</t>
        </is>
      </c>
      <c r="AP1171" s="18" t="inlineStr">
        <is>
          <t>natural</t>
        </is>
      </c>
      <c r="AQ1171" s="18" t="inlineStr">
        <is>
          <t>{"biomes":["#cobblemon:is_overworld"],"maxSkyLight":7,"minSkyLight":0,"neededNearbyBlocks":["#minecraft:iron_ores"]}</t>
        </is>
      </c>
      <c r="AR1171" s="18" t="inlineStr">
        <is>
          <t>{"biomes":["#cobblemon:is_deep_dark"]}</t>
        </is>
      </c>
      <c r="AS1171" s="18" t="inlineStr"/>
      <c r="AT1171" s="19" t="inlineStr"/>
    </row>
    <row r="1172" ht="32" customHeight="1">
      <c r="A1172" s="18" t="inlineStr">
        <is>
          <t>0305_lairon.json::lairon-1::001</t>
        </is>
      </c>
      <c r="B1172" s="19" t="inlineStr">
        <is>
          <t>사용</t>
        </is>
      </c>
      <c r="C1172" s="18">
        <f>IF(OR(B1172&lt;&gt;AK1172,M1172&lt;&gt;L1172,O1172&lt;&gt;"",Q1172&lt;&gt;"",V1172&lt;&gt;1,Y1172&lt;&gt;"",AT1172&lt;&gt;""),"수정","원본")</f>
        <v/>
      </c>
      <c r="D1172" s="18" t="n">
        <v>305</v>
      </c>
      <c r="E1172" s="18" t="inlineStr">
        <is>
          <t>갱도라</t>
        </is>
      </c>
      <c r="F1172" s="18" t="inlineStr">
        <is>
          <t>lairon</t>
        </is>
      </c>
      <c r="G1172" s="18" t="inlineStr">
        <is>
          <t>lairon</t>
        </is>
      </c>
      <c r="H1172" s="18" t="inlineStr"/>
      <c r="I1172" s="18" t="n">
        <v>3</v>
      </c>
      <c r="J1172" s="18" t="n"/>
      <c r="K1172" s="18" t="n">
        <v>3</v>
      </c>
      <c r="L1172" s="18" t="inlineStr">
        <is>
          <t>cobbleventure:generation_3</t>
        </is>
      </c>
      <c r="M1172" s="19" t="inlineStr">
        <is>
          <t>cobbleventure:generation_3</t>
        </is>
      </c>
      <c r="N1172" s="18" t="inlineStr"/>
      <c r="O1172" s="19" t="inlineStr"/>
      <c r="P1172" s="18" t="inlineStr">
        <is>
          <t>#cobblemon:is_mountain</t>
        </is>
      </c>
      <c r="Q1172" s="19" t="inlineStr"/>
      <c r="R1172" s="18">
        <f>IF(Q1172="",P1172,Q1172)</f>
        <v/>
      </c>
      <c r="S1172" s="18" t="inlineStr">
        <is>
          <t>#cobblemon:is_deep_dark</t>
        </is>
      </c>
      <c r="T1172" s="18" t="inlineStr">
        <is>
          <t>common</t>
        </is>
      </c>
      <c r="U1172" s="20" t="n">
        <v>0.9</v>
      </c>
      <c r="V1172" s="21" t="n">
        <v>1</v>
      </c>
      <c r="W1172" s="20">
        <f>IF(OR(U1172="",V1172=""),U1172,U1172*V1172)</f>
        <v/>
      </c>
      <c r="X1172" s="18" t="inlineStr">
        <is>
          <t>32-43</t>
        </is>
      </c>
      <c r="Y1172" s="19" t="inlineStr"/>
      <c r="Z1172" s="18">
        <f>IF(Y1172="",X1172,Y1172)</f>
        <v/>
      </c>
      <c r="AA1172" s="18" t="inlineStr">
        <is>
          <t>grounded</t>
        </is>
      </c>
      <c r="AB1172" s="18" t="inlineStr"/>
      <c r="AC1172" s="18" t="inlineStr"/>
      <c r="AD1172" s="18" t="inlineStr"/>
      <c r="AE1172" s="18" t="inlineStr"/>
      <c r="AF1172" s="18" t="inlineStr"/>
      <c r="AG1172" s="18" t="inlineStr"/>
      <c r="AH1172" s="18" t="inlineStr"/>
      <c r="AI1172" s="18" t="inlineStr"/>
      <c r="AJ1172" s="18" t="inlineStr">
        <is>
          <t>COBBLEVERSE 수정</t>
        </is>
      </c>
      <c r="AK1172" s="18" t="inlineStr">
        <is>
          <t>사용</t>
        </is>
      </c>
      <c r="AL1172" s="18" t="inlineStr">
        <is>
          <t>COBBLEVERSE 1.7.42 / DP v31</t>
        </is>
      </c>
      <c r="AM1172" s="18" t="inlineStr">
        <is>
          <t>data/cobblemon/spawn_pool_world/0305_lairon.json</t>
        </is>
      </c>
      <c r="AN1172" s="18" t="inlineStr">
        <is>
          <t>lairon-1</t>
        </is>
      </c>
      <c r="AO1172" s="18" t="inlineStr">
        <is>
          <t>pokemon</t>
        </is>
      </c>
      <c r="AP1172" s="18" t="inlineStr">
        <is>
          <t>natural; wild</t>
        </is>
      </c>
      <c r="AQ1172" s="18" t="inlineStr">
        <is>
          <t>{"biomes":["#cobblemon:is_mountain"]}</t>
        </is>
      </c>
      <c r="AR1172" s="18" t="inlineStr">
        <is>
          <t>{"biomes":["#cobblemon:is_deep_dark"]}</t>
        </is>
      </c>
      <c r="AS1172" s="18" t="inlineStr"/>
      <c r="AT1172" s="19" t="inlineStr"/>
    </row>
    <row r="1173" ht="32" customHeight="1">
      <c r="A1173" s="18" t="inlineStr">
        <is>
          <t>0305_lairon.json::lairon-2::002</t>
        </is>
      </c>
      <c r="B1173" s="19" t="inlineStr">
        <is>
          <t>사용</t>
        </is>
      </c>
      <c r="C1173" s="18">
        <f>IF(OR(B1173&lt;&gt;AK1173,M1173&lt;&gt;L1173,O1173&lt;&gt;"",Q1173&lt;&gt;"",V1173&lt;&gt;1,Y1173&lt;&gt;"",AT1173&lt;&gt;""),"수정","원본")</f>
        <v/>
      </c>
      <c r="D1173" s="18" t="n">
        <v>305</v>
      </c>
      <c r="E1173" s="18" t="inlineStr">
        <is>
          <t>갱도라</t>
        </is>
      </c>
      <c r="F1173" s="18" t="inlineStr">
        <is>
          <t>lairon</t>
        </is>
      </c>
      <c r="G1173" s="18" t="inlineStr">
        <is>
          <t>lairon</t>
        </is>
      </c>
      <c r="H1173" s="18" t="inlineStr"/>
      <c r="I1173" s="18" t="n">
        <v>3</v>
      </c>
      <c r="J1173" s="18" t="n"/>
      <c r="K1173" s="18" t="n">
        <v>3</v>
      </c>
      <c r="L1173" s="18" t="inlineStr">
        <is>
          <t>cobbleventure:generation_3</t>
        </is>
      </c>
      <c r="M1173" s="19" t="inlineStr">
        <is>
          <t>cobbleventure:generation_3</t>
        </is>
      </c>
      <c r="N1173" s="18" t="inlineStr">
        <is>
          <t>region_01; region_02</t>
        </is>
      </c>
      <c r="O1173" s="19" t="inlineStr"/>
      <c r="P1173" s="18" t="inlineStr">
        <is>
          <t>#cobblemon:is_overworld</t>
        </is>
      </c>
      <c r="Q1173" s="19" t="inlineStr"/>
      <c r="R1173" s="18">
        <f>IF(Q1173="",P1173,Q1173)</f>
        <v/>
      </c>
      <c r="S1173" s="18" t="inlineStr">
        <is>
          <t>#cobblemon:is_deep_dark</t>
        </is>
      </c>
      <c r="T1173" s="18" t="inlineStr">
        <is>
          <t>common</t>
        </is>
      </c>
      <c r="U1173" s="20" t="n">
        <v>0.9</v>
      </c>
      <c r="V1173" s="21" t="n">
        <v>1</v>
      </c>
      <c r="W1173" s="20">
        <f>IF(OR(U1173="",V1173=""),U1173,U1173*V1173)</f>
        <v/>
      </c>
      <c r="X1173" s="18" t="inlineStr">
        <is>
          <t>32-43</t>
        </is>
      </c>
      <c r="Y1173" s="19" t="inlineStr"/>
      <c r="Z1173" s="18">
        <f>IF(Y1173="",X1173,Y1173)</f>
        <v/>
      </c>
      <c r="AA1173" s="18" t="inlineStr">
        <is>
          <t>grounded</t>
        </is>
      </c>
      <c r="AB1173" s="18" t="inlineStr"/>
      <c r="AC1173" s="18" t="inlineStr"/>
      <c r="AD1173" s="18" t="inlineStr"/>
      <c r="AE1173" s="18" t="inlineStr">
        <is>
          <t>sky 0-7</t>
        </is>
      </c>
      <c r="AF1173" s="18" t="inlineStr"/>
      <c r="AG1173" s="18" t="inlineStr"/>
      <c r="AH1173" s="18" t="inlineStr">
        <is>
          <t>주변=#minecraft:iron_ores</t>
        </is>
      </c>
      <c r="AI1173" s="18" t="inlineStr"/>
      <c r="AJ1173" s="18" t="inlineStr">
        <is>
          <t>COBBLEVERSE 수정</t>
        </is>
      </c>
      <c r="AK1173" s="18" t="inlineStr">
        <is>
          <t>사용</t>
        </is>
      </c>
      <c r="AL1173" s="18" t="inlineStr">
        <is>
          <t>COBBLEVERSE 1.7.42 / DP v31</t>
        </is>
      </c>
      <c r="AM1173" s="18" t="inlineStr">
        <is>
          <t>data/cobblemon/spawn_pool_world/0305_lairon.json</t>
        </is>
      </c>
      <c r="AN1173" s="18" t="inlineStr">
        <is>
          <t>lairon-2</t>
        </is>
      </c>
      <c r="AO1173" s="18" t="inlineStr">
        <is>
          <t>pokemon</t>
        </is>
      </c>
      <c r="AP1173" s="18" t="inlineStr">
        <is>
          <t>natural</t>
        </is>
      </c>
      <c r="AQ1173" s="18" t="inlineStr">
        <is>
          <t>{"biomes":["#cobblemon:is_overworld"],"maxSkyLight":7,"minSkyLight":0,"neededNearbyBlocks":["#minecraft:iron_ores"]}</t>
        </is>
      </c>
      <c r="AR1173" s="18" t="inlineStr">
        <is>
          <t>{"biomes":["#cobblemon:is_deep_dark"]}</t>
        </is>
      </c>
      <c r="AS1173" s="18" t="inlineStr"/>
      <c r="AT1173" s="19" t="inlineStr"/>
    </row>
    <row r="1174" ht="32" customHeight="1">
      <c r="A1174" s="18" t="inlineStr">
        <is>
          <t>0306_aggron.json::aggron-1::001</t>
        </is>
      </c>
      <c r="B1174" s="19" t="inlineStr">
        <is>
          <t>사용</t>
        </is>
      </c>
      <c r="C1174" s="18">
        <f>IF(OR(B1174&lt;&gt;AK1174,M1174&lt;&gt;L1174,O1174&lt;&gt;"",Q1174&lt;&gt;"",V1174&lt;&gt;1,Y1174&lt;&gt;"",AT1174&lt;&gt;""),"수정","원본")</f>
        <v/>
      </c>
      <c r="D1174" s="18" t="n">
        <v>306</v>
      </c>
      <c r="E1174" s="18" t="inlineStr">
        <is>
          <t>보스로라</t>
        </is>
      </c>
      <c r="F1174" s="18" t="inlineStr">
        <is>
          <t>aggron</t>
        </is>
      </c>
      <c r="G1174" s="18" t="inlineStr">
        <is>
          <t>aggron</t>
        </is>
      </c>
      <c r="H1174" s="18" t="inlineStr"/>
      <c r="I1174" s="18" t="n">
        <v>3</v>
      </c>
      <c r="J1174" s="18" t="n"/>
      <c r="K1174" s="18" t="n">
        <v>3</v>
      </c>
      <c r="L1174" s="18" t="inlineStr">
        <is>
          <t>cobbleventure:generation_3</t>
        </is>
      </c>
      <c r="M1174" s="19" t="inlineStr">
        <is>
          <t>cobbleventure:generation_3</t>
        </is>
      </c>
      <c r="N1174" s="18" t="inlineStr"/>
      <c r="O1174" s="19" t="inlineStr"/>
      <c r="P1174" s="18" t="inlineStr">
        <is>
          <t>#cobblemon:is_mountain</t>
        </is>
      </c>
      <c r="Q1174" s="19" t="inlineStr"/>
      <c r="R1174" s="18">
        <f>IF(Q1174="",P1174,Q1174)</f>
        <v/>
      </c>
      <c r="S1174" s="18" t="inlineStr">
        <is>
          <t>#cobblemon:is_deep_dark</t>
        </is>
      </c>
      <c r="T1174" s="18" t="inlineStr">
        <is>
          <t>common</t>
        </is>
      </c>
      <c r="U1174" s="20" t="n">
        <v>0.1</v>
      </c>
      <c r="V1174" s="21" t="n">
        <v>1</v>
      </c>
      <c r="W1174" s="20">
        <f>IF(OR(U1174="",V1174=""),U1174,U1174*V1174)</f>
        <v/>
      </c>
      <c r="X1174" s="18" t="inlineStr">
        <is>
          <t>42-53</t>
        </is>
      </c>
      <c r="Y1174" s="19" t="inlineStr"/>
      <c r="Z1174" s="18">
        <f>IF(Y1174="",X1174,Y1174)</f>
        <v/>
      </c>
      <c r="AA1174" s="18" t="inlineStr">
        <is>
          <t>grounded</t>
        </is>
      </c>
      <c r="AB1174" s="18" t="inlineStr"/>
      <c r="AC1174" s="18" t="inlineStr"/>
      <c r="AD1174" s="18" t="inlineStr"/>
      <c r="AE1174" s="18" t="inlineStr"/>
      <c r="AF1174" s="18" t="inlineStr"/>
      <c r="AG1174" s="18" t="inlineStr"/>
      <c r="AH1174" s="18" t="inlineStr"/>
      <c r="AI1174" s="18" t="inlineStr"/>
      <c r="AJ1174" s="18" t="inlineStr">
        <is>
          <t>COBBLEVERSE 수정</t>
        </is>
      </c>
      <c r="AK1174" s="18" t="inlineStr">
        <is>
          <t>사용</t>
        </is>
      </c>
      <c r="AL1174" s="18" t="inlineStr">
        <is>
          <t>COBBLEVERSE 1.7.42 / DP v31</t>
        </is>
      </c>
      <c r="AM1174" s="18" t="inlineStr">
        <is>
          <t>data/cobblemon/spawn_pool_world/0306_aggron.json</t>
        </is>
      </c>
      <c r="AN1174" s="18" t="inlineStr">
        <is>
          <t>aggron-1</t>
        </is>
      </c>
      <c r="AO1174" s="18" t="inlineStr">
        <is>
          <t>pokemon</t>
        </is>
      </c>
      <c r="AP1174" s="18" t="inlineStr">
        <is>
          <t>natural; wild</t>
        </is>
      </c>
      <c r="AQ1174" s="18" t="inlineStr">
        <is>
          <t>{"biomes":["#cobblemon:is_mountain"]}</t>
        </is>
      </c>
      <c r="AR1174" s="18" t="inlineStr">
        <is>
          <t>{"biomes":["#cobblemon:is_deep_dark"]}</t>
        </is>
      </c>
      <c r="AS1174" s="18" t="inlineStr"/>
      <c r="AT1174" s="19" t="inlineStr"/>
    </row>
    <row r="1175" ht="32" customHeight="1">
      <c r="A1175" s="18" t="inlineStr">
        <is>
          <t>0306_aggron.json::aggron-2::002</t>
        </is>
      </c>
      <c r="B1175" s="19" t="inlineStr">
        <is>
          <t>사용</t>
        </is>
      </c>
      <c r="C1175" s="18">
        <f>IF(OR(B1175&lt;&gt;AK1175,M1175&lt;&gt;L1175,O1175&lt;&gt;"",Q1175&lt;&gt;"",V1175&lt;&gt;1,Y1175&lt;&gt;"",AT1175&lt;&gt;""),"수정","원본")</f>
        <v/>
      </c>
      <c r="D1175" s="18" t="n">
        <v>306</v>
      </c>
      <c r="E1175" s="18" t="inlineStr">
        <is>
          <t>보스로라</t>
        </is>
      </c>
      <c r="F1175" s="18" t="inlineStr">
        <is>
          <t>aggron</t>
        </is>
      </c>
      <c r="G1175" s="18" t="inlineStr">
        <is>
          <t>aggron</t>
        </is>
      </c>
      <c r="H1175" s="18" t="inlineStr"/>
      <c r="I1175" s="18" t="n">
        <v>3</v>
      </c>
      <c r="J1175" s="18" t="n"/>
      <c r="K1175" s="18" t="n">
        <v>3</v>
      </c>
      <c r="L1175" s="18" t="inlineStr">
        <is>
          <t>cobbleventure:generation_3</t>
        </is>
      </c>
      <c r="M1175" s="19" t="inlineStr">
        <is>
          <t>cobbleventure:generation_3</t>
        </is>
      </c>
      <c r="N1175" s="18" t="inlineStr">
        <is>
          <t>region_01; region_02</t>
        </is>
      </c>
      <c r="O1175" s="19" t="inlineStr"/>
      <c r="P1175" s="18" t="inlineStr">
        <is>
          <t>#cobblemon:is_overworld</t>
        </is>
      </c>
      <c r="Q1175" s="19" t="inlineStr"/>
      <c r="R1175" s="18">
        <f>IF(Q1175="",P1175,Q1175)</f>
        <v/>
      </c>
      <c r="S1175" s="18" t="inlineStr">
        <is>
          <t>#cobblemon:is_deep_dark</t>
        </is>
      </c>
      <c r="T1175" s="18" t="inlineStr">
        <is>
          <t>common</t>
        </is>
      </c>
      <c r="U1175" s="20" t="n">
        <v>0.1</v>
      </c>
      <c r="V1175" s="21" t="n">
        <v>1</v>
      </c>
      <c r="W1175" s="20">
        <f>IF(OR(U1175="",V1175=""),U1175,U1175*V1175)</f>
        <v/>
      </c>
      <c r="X1175" s="18" t="inlineStr">
        <is>
          <t>42-53</t>
        </is>
      </c>
      <c r="Y1175" s="19" t="inlineStr"/>
      <c r="Z1175" s="18">
        <f>IF(Y1175="",X1175,Y1175)</f>
        <v/>
      </c>
      <c r="AA1175" s="18" t="inlineStr">
        <is>
          <t>grounded</t>
        </is>
      </c>
      <c r="AB1175" s="18" t="inlineStr"/>
      <c r="AC1175" s="18" t="inlineStr"/>
      <c r="AD1175" s="18" t="inlineStr"/>
      <c r="AE1175" s="18" t="inlineStr">
        <is>
          <t>sky 0-7</t>
        </is>
      </c>
      <c r="AF1175" s="18" t="inlineStr"/>
      <c r="AG1175" s="18" t="inlineStr"/>
      <c r="AH1175" s="18" t="inlineStr">
        <is>
          <t>주변=#minecraft:iron_ores</t>
        </is>
      </c>
      <c r="AI1175" s="18" t="inlineStr"/>
      <c r="AJ1175" s="18" t="inlineStr">
        <is>
          <t>COBBLEVERSE 수정</t>
        </is>
      </c>
      <c r="AK1175" s="18" t="inlineStr">
        <is>
          <t>사용</t>
        </is>
      </c>
      <c r="AL1175" s="18" t="inlineStr">
        <is>
          <t>COBBLEVERSE 1.7.42 / DP v31</t>
        </is>
      </c>
      <c r="AM1175" s="18" t="inlineStr">
        <is>
          <t>data/cobblemon/spawn_pool_world/0306_aggron.json</t>
        </is>
      </c>
      <c r="AN1175" s="18" t="inlineStr">
        <is>
          <t>aggron-2</t>
        </is>
      </c>
      <c r="AO1175" s="18" t="inlineStr">
        <is>
          <t>pokemon</t>
        </is>
      </c>
      <c r="AP1175" s="18" t="inlineStr">
        <is>
          <t>natural</t>
        </is>
      </c>
      <c r="AQ1175" s="18" t="inlineStr">
        <is>
          <t>{"biomes":["#cobblemon:is_overworld"],"maxSkyLight":7,"minSkyLight":0,"neededNearbyBlocks":["#minecraft:iron_ores"]}</t>
        </is>
      </c>
      <c r="AR1175" s="18" t="inlineStr">
        <is>
          <t>{"biomes":["#cobblemon:is_deep_dark"]}</t>
        </is>
      </c>
      <c r="AS1175" s="18" t="inlineStr"/>
      <c r="AT1175" s="19" t="inlineStr"/>
    </row>
    <row r="1176" ht="32" customHeight="1">
      <c r="A1176" s="18" t="inlineStr">
        <is>
          <t>0307_meditite.json::meditite-1::001</t>
        </is>
      </c>
      <c r="B1176" s="19" t="inlineStr">
        <is>
          <t>사용</t>
        </is>
      </c>
      <c r="C1176" s="18">
        <f>IF(OR(B1176&lt;&gt;AK1176,M1176&lt;&gt;L1176,O1176&lt;&gt;"",Q1176&lt;&gt;"",V1176&lt;&gt;1,Y1176&lt;&gt;"",AT1176&lt;&gt;""),"수정","원본")</f>
        <v/>
      </c>
      <c r="D1176" s="18" t="n">
        <v>307</v>
      </c>
      <c r="E1176" s="18" t="inlineStr">
        <is>
          <t>요가랑</t>
        </is>
      </c>
      <c r="F1176" s="18" t="inlineStr">
        <is>
          <t>meditite</t>
        </is>
      </c>
      <c r="G1176" s="18" t="inlineStr">
        <is>
          <t>meditite</t>
        </is>
      </c>
      <c r="H1176" s="18" t="inlineStr"/>
      <c r="I1176" s="18" t="n">
        <v>3</v>
      </c>
      <c r="J1176" s="18" t="n"/>
      <c r="K1176" s="18" t="n">
        <v>3</v>
      </c>
      <c r="L1176" s="18" t="inlineStr">
        <is>
          <t>cobbleventure:generation_3</t>
        </is>
      </c>
      <c r="M1176" s="19" t="inlineStr">
        <is>
          <t>cobbleventure:generation_3</t>
        </is>
      </c>
      <c r="N1176" s="18" t="inlineStr"/>
      <c r="O1176" s="19" t="inlineStr"/>
      <c r="P1176" s="18" t="inlineStr">
        <is>
          <t>#cobblemon:is_peak</t>
        </is>
      </c>
      <c r="Q1176" s="19" t="inlineStr"/>
      <c r="R1176" s="18">
        <f>IF(Q1176="",P1176,Q1176)</f>
        <v/>
      </c>
      <c r="S1176" s="18" t="inlineStr"/>
      <c r="T1176" s="18" t="inlineStr">
        <is>
          <t>common</t>
        </is>
      </c>
      <c r="U1176" s="20" t="n">
        <v>1.8</v>
      </c>
      <c r="V1176" s="21" t="n">
        <v>1</v>
      </c>
      <c r="W1176" s="20">
        <f>IF(OR(U1176="",V1176=""),U1176,U1176*V1176)</f>
        <v/>
      </c>
      <c r="X1176" s="18" t="inlineStr">
        <is>
          <t>3-28</t>
        </is>
      </c>
      <c r="Y1176" s="19" t="inlineStr"/>
      <c r="Z1176" s="18">
        <f>IF(Y1176="",X1176,Y1176)</f>
        <v/>
      </c>
      <c r="AA1176" s="18" t="inlineStr">
        <is>
          <t>grounded</t>
        </is>
      </c>
      <c r="AB1176" s="18" t="inlineStr"/>
      <c r="AC1176" s="18" t="inlineStr"/>
      <c r="AD1176" s="18" t="inlineStr"/>
      <c r="AE1176" s="18" t="inlineStr">
        <is>
          <t>sky 8-15</t>
        </is>
      </c>
      <c r="AF1176" s="18" t="inlineStr"/>
      <c r="AG1176" s="18" t="inlineStr"/>
      <c r="AH1176" s="18" t="inlineStr"/>
      <c r="AI1176" s="18" t="inlineStr"/>
      <c r="AJ1176" s="18" t="inlineStr">
        <is>
          <t>COBBLEVERSE 수정</t>
        </is>
      </c>
      <c r="AK1176" s="18" t="inlineStr">
        <is>
          <t>사용</t>
        </is>
      </c>
      <c r="AL1176" s="18" t="inlineStr">
        <is>
          <t>COBBLEVERSE 1.7.42 / DP v31</t>
        </is>
      </c>
      <c r="AM1176" s="18" t="inlineStr">
        <is>
          <t>data/cobblemon/spawn_pool_world/0307_meditite.json</t>
        </is>
      </c>
      <c r="AN1176" s="18" t="inlineStr">
        <is>
          <t>meditite-1</t>
        </is>
      </c>
      <c r="AO1176" s="18" t="inlineStr">
        <is>
          <t>pokemon</t>
        </is>
      </c>
      <c r="AP1176" s="18" t="inlineStr">
        <is>
          <t>natural</t>
        </is>
      </c>
      <c r="AQ1176" s="18" t="inlineStr">
        <is>
          <t>{"biomes":["#cobblemon:is_peak"],"maxSkyLight":15,"minSkyLight":8}</t>
        </is>
      </c>
      <c r="AR1176" s="18" t="inlineStr"/>
      <c r="AS1176" s="18" t="inlineStr">
        <is>
          <t>{"weightMultiplier":{"condition":{"timeRange":"night"},"multiplier":0.25}}</t>
        </is>
      </c>
      <c r="AT1176" s="19" t="inlineStr"/>
    </row>
    <row r="1177" ht="32" customHeight="1">
      <c r="A1177" s="18" t="inlineStr">
        <is>
          <t>0308_medicham.json::medicham-1::001</t>
        </is>
      </c>
      <c r="B1177" s="19" t="inlineStr">
        <is>
          <t>사용</t>
        </is>
      </c>
      <c r="C1177" s="18">
        <f>IF(OR(B1177&lt;&gt;AK1177,M1177&lt;&gt;L1177,O1177&lt;&gt;"",Q1177&lt;&gt;"",V1177&lt;&gt;1,Y1177&lt;&gt;"",AT1177&lt;&gt;""),"수정","원본")</f>
        <v/>
      </c>
      <c r="D1177" s="18" t="n">
        <v>308</v>
      </c>
      <c r="E1177" s="18" t="inlineStr">
        <is>
          <t>요가램</t>
        </is>
      </c>
      <c r="F1177" s="18" t="inlineStr">
        <is>
          <t>medicham</t>
        </is>
      </c>
      <c r="G1177" s="18" t="inlineStr">
        <is>
          <t>medicham</t>
        </is>
      </c>
      <c r="H1177" s="18" t="inlineStr"/>
      <c r="I1177" s="18" t="n">
        <v>3</v>
      </c>
      <c r="J1177" s="18" t="n"/>
      <c r="K1177" s="18" t="n">
        <v>3</v>
      </c>
      <c r="L1177" s="18" t="inlineStr">
        <is>
          <t>cobbleventure:generation_3</t>
        </is>
      </c>
      <c r="M1177" s="19" t="inlineStr">
        <is>
          <t>cobbleventure:generation_3</t>
        </is>
      </c>
      <c r="N1177" s="18" t="inlineStr"/>
      <c r="O1177" s="19" t="inlineStr"/>
      <c r="P1177" s="18" t="inlineStr">
        <is>
          <t>#cobblemon:is_peak</t>
        </is>
      </c>
      <c r="Q1177" s="19" t="inlineStr"/>
      <c r="R1177" s="18">
        <f>IF(Q1177="",P1177,Q1177)</f>
        <v/>
      </c>
      <c r="S1177" s="18" t="inlineStr"/>
      <c r="T1177" s="18" t="inlineStr">
        <is>
          <t>common</t>
        </is>
      </c>
      <c r="U1177" s="20" t="n">
        <v>0.2</v>
      </c>
      <c r="V1177" s="21" t="n">
        <v>1</v>
      </c>
      <c r="W1177" s="20">
        <f>IF(OR(U1177="",V1177=""),U1177,U1177*V1177)</f>
        <v/>
      </c>
      <c r="X1177" s="18" t="inlineStr">
        <is>
          <t>37-41</t>
        </is>
      </c>
      <c r="Y1177" s="19" t="inlineStr"/>
      <c r="Z1177" s="18">
        <f>IF(Y1177="",X1177,Y1177)</f>
        <v/>
      </c>
      <c r="AA1177" s="18" t="inlineStr">
        <is>
          <t>grounded</t>
        </is>
      </c>
      <c r="AB1177" s="18" t="inlineStr"/>
      <c r="AC1177" s="18" t="inlineStr"/>
      <c r="AD1177" s="18" t="inlineStr"/>
      <c r="AE1177" s="18" t="inlineStr">
        <is>
          <t>sky 8-15</t>
        </is>
      </c>
      <c r="AF1177" s="18" t="inlineStr"/>
      <c r="AG1177" s="18" t="inlineStr"/>
      <c r="AH1177" s="18" t="inlineStr"/>
      <c r="AI1177" s="18" t="inlineStr"/>
      <c r="AJ1177" s="18" t="inlineStr">
        <is>
          <t>COBBLEVERSE 수정</t>
        </is>
      </c>
      <c r="AK1177" s="18" t="inlineStr">
        <is>
          <t>사용</t>
        </is>
      </c>
      <c r="AL1177" s="18" t="inlineStr">
        <is>
          <t>COBBLEVERSE 1.7.42 / DP v31</t>
        </is>
      </c>
      <c r="AM1177" s="18" t="inlineStr">
        <is>
          <t>data/cobblemon/spawn_pool_world/0308_medicham.json</t>
        </is>
      </c>
      <c r="AN1177" s="18" t="inlineStr">
        <is>
          <t>medicham-1</t>
        </is>
      </c>
      <c r="AO1177" s="18" t="inlineStr">
        <is>
          <t>pokemon</t>
        </is>
      </c>
      <c r="AP1177" s="18" t="inlineStr">
        <is>
          <t>natural</t>
        </is>
      </c>
      <c r="AQ1177" s="18" t="inlineStr">
        <is>
          <t>{"biomes":["#cobblemon:is_peak"],"maxSkyLight":15,"minSkyLight":8}</t>
        </is>
      </c>
      <c r="AR1177" s="18" t="inlineStr"/>
      <c r="AS1177" s="18" t="inlineStr">
        <is>
          <t>{"weightMultiplier":{"condition":{"timeRange":"night"},"multiplier":0.25}}</t>
        </is>
      </c>
      <c r="AT1177" s="19" t="inlineStr"/>
    </row>
    <row r="1178" ht="32" customHeight="1">
      <c r="A1178" s="18" t="inlineStr">
        <is>
          <t>0308_medicham.json::medicham-2::002</t>
        </is>
      </c>
      <c r="B1178" s="19" t="inlineStr">
        <is>
          <t>사용</t>
        </is>
      </c>
      <c r="C1178" s="18">
        <f>IF(OR(B1178&lt;&gt;AK1178,M1178&lt;&gt;L1178,O1178&lt;&gt;"",Q1178&lt;&gt;"",V1178&lt;&gt;1,Y1178&lt;&gt;"",AT1178&lt;&gt;""),"수정","원본")</f>
        <v/>
      </c>
      <c r="D1178" s="18" t="n">
        <v>308</v>
      </c>
      <c r="E1178" s="18" t="inlineStr">
        <is>
          <t>요가램</t>
        </is>
      </c>
      <c r="F1178" s="18" t="inlineStr">
        <is>
          <t>medicham</t>
        </is>
      </c>
      <c r="G1178" s="18" t="inlineStr">
        <is>
          <t>medicham</t>
        </is>
      </c>
      <c r="H1178" s="18" t="inlineStr"/>
      <c r="I1178" s="18" t="n">
        <v>3</v>
      </c>
      <c r="J1178" s="18" t="n"/>
      <c r="K1178" s="18" t="n">
        <v>3</v>
      </c>
      <c r="L1178" s="18" t="inlineStr">
        <is>
          <t>cobbleventure:generation_3</t>
        </is>
      </c>
      <c r="M1178" s="19" t="inlineStr">
        <is>
          <t>cobbleventure:generation_3</t>
        </is>
      </c>
      <c r="N1178" s="18" t="inlineStr">
        <is>
          <t>region_01; region_02</t>
        </is>
      </c>
      <c r="O1178" s="19" t="inlineStr"/>
      <c r="P1178" s="18" t="inlineStr">
        <is>
          <t>#cobblemon:is_overworld</t>
        </is>
      </c>
      <c r="Q1178" s="19" t="inlineStr"/>
      <c r="R1178" s="18">
        <f>IF(Q1178="",P1178,Q1178)</f>
        <v/>
      </c>
      <c r="S1178" s="18" t="inlineStr"/>
      <c r="T1178" s="18" t="inlineStr">
        <is>
          <t>common</t>
        </is>
      </c>
      <c r="U1178" s="20" t="n">
        <v>6</v>
      </c>
      <c r="V1178" s="21" t="n">
        <v>1</v>
      </c>
      <c r="W1178" s="20">
        <f>IF(OR(U1178="",V1178=""),U1178,U1178*V1178)</f>
        <v/>
      </c>
      <c r="X1178" s="18" t="inlineStr">
        <is>
          <t>37-41</t>
        </is>
      </c>
      <c r="Y1178" s="19" t="inlineStr"/>
      <c r="Z1178" s="18">
        <f>IF(Y1178="",X1178,Y1178)</f>
        <v/>
      </c>
      <c r="AA1178" s="18" t="inlineStr">
        <is>
          <t>grounded</t>
        </is>
      </c>
      <c r="AB1178" s="18" t="inlineStr"/>
      <c r="AC1178" s="18" t="inlineStr"/>
      <c r="AD1178" s="18" t="inlineStr">
        <is>
          <t>minY=48</t>
        </is>
      </c>
      <c r="AE1178" s="18" t="inlineStr"/>
      <c r="AF1178" s="18" t="inlineStr"/>
      <c r="AG1178" s="18" t="inlineStr"/>
      <c r="AH1178" s="18" t="inlineStr"/>
      <c r="AI1178" s="18" t="inlineStr"/>
      <c r="AJ1178" s="18" t="inlineStr">
        <is>
          <t>COBBLEVERSE 수정</t>
        </is>
      </c>
      <c r="AK1178" s="18" t="inlineStr">
        <is>
          <t>사용</t>
        </is>
      </c>
      <c r="AL1178" s="18" t="inlineStr">
        <is>
          <t>COBBLEVERSE 1.7.42 / DP v31</t>
        </is>
      </c>
      <c r="AM1178" s="18" t="inlineStr">
        <is>
          <t>data/cobblemon/spawn_pool_world/0308_medicham.json</t>
        </is>
      </c>
      <c r="AN1178" s="18" t="inlineStr">
        <is>
          <t>medicham-2</t>
        </is>
      </c>
      <c r="AO1178" s="18" t="inlineStr">
        <is>
          <t>pokemon</t>
        </is>
      </c>
      <c r="AP1178" s="18" t="inlineStr">
        <is>
          <t>natural</t>
        </is>
      </c>
      <c r="AQ1178" s="18" t="inlineStr">
        <is>
          <t>{"biomes":["#cobblemon:is_overworld"],"minY":48}</t>
        </is>
      </c>
      <c r="AR1178" s="18" t="inlineStr"/>
      <c r="AS1178" s="18" t="inlineStr">
        <is>
          <t>{"weightMultiplier":{"condition":{"timeRange":"night"},"multiplier":0.25}}</t>
        </is>
      </c>
      <c r="AT1178" s="19" t="inlineStr"/>
    </row>
    <row r="1179" ht="32" customHeight="1">
      <c r="A1179" s="18" t="inlineStr">
        <is>
          <t>0309_electrike.json::electrike-1::001</t>
        </is>
      </c>
      <c r="B1179" s="19" t="inlineStr">
        <is>
          <t>사용</t>
        </is>
      </c>
      <c r="C1179" s="18">
        <f>IF(OR(B1179&lt;&gt;AK1179,M1179&lt;&gt;L1179,O1179&lt;&gt;"",Q1179&lt;&gt;"",V1179&lt;&gt;1,Y1179&lt;&gt;"",AT1179&lt;&gt;""),"수정","원본")</f>
        <v/>
      </c>
      <c r="D1179" s="18" t="n">
        <v>309</v>
      </c>
      <c r="E1179" s="18" t="inlineStr">
        <is>
          <t>썬더라이</t>
        </is>
      </c>
      <c r="F1179" s="18" t="inlineStr">
        <is>
          <t>electrike</t>
        </is>
      </c>
      <c r="G1179" s="18" t="inlineStr">
        <is>
          <t>electrike</t>
        </is>
      </c>
      <c r="H1179" s="18" t="inlineStr"/>
      <c r="I1179" s="18" t="n">
        <v>3</v>
      </c>
      <c r="J1179" s="18" t="n"/>
      <c r="K1179" s="18" t="n">
        <v>3</v>
      </c>
      <c r="L1179" s="18" t="inlineStr">
        <is>
          <t>cobbleventure:generation_3</t>
        </is>
      </c>
      <c r="M1179" s="19" t="inlineStr">
        <is>
          <t>cobbleventure:generation_3</t>
        </is>
      </c>
      <c r="N1179" s="18" t="inlineStr">
        <is>
          <t>region_01</t>
        </is>
      </c>
      <c r="O1179" s="19" t="inlineStr"/>
      <c r="P1179" s="18" t="inlineStr">
        <is>
          <t>#cobblemon:is_grassland; #cobblemon:is_hills</t>
        </is>
      </c>
      <c r="Q1179" s="19" t="inlineStr"/>
      <c r="R1179" s="18">
        <f>IF(Q1179="",P1179,Q1179)</f>
        <v/>
      </c>
      <c r="S1179" s="18" t="inlineStr"/>
      <c r="T1179" s="18" t="inlineStr">
        <is>
          <t>common</t>
        </is>
      </c>
      <c r="U1179" s="20" t="n">
        <v>1.8</v>
      </c>
      <c r="V1179" s="21" t="n">
        <v>1</v>
      </c>
      <c r="W1179" s="20">
        <f>IF(OR(U1179="",V1179=""),U1179,U1179*V1179)</f>
        <v/>
      </c>
      <c r="X1179" s="18" t="inlineStr">
        <is>
          <t>5-30</t>
        </is>
      </c>
      <c r="Y1179" s="19" t="inlineStr"/>
      <c r="Z1179" s="18">
        <f>IF(Y1179="",X1179,Y1179)</f>
        <v/>
      </c>
      <c r="AA1179" s="18" t="inlineStr">
        <is>
          <t>grounded</t>
        </is>
      </c>
      <c r="AB1179" s="18" t="inlineStr"/>
      <c r="AC1179" s="18" t="inlineStr"/>
      <c r="AD1179" s="18" t="inlineStr"/>
      <c r="AE1179" s="18" t="inlineStr">
        <is>
          <t>sky 8-15</t>
        </is>
      </c>
      <c r="AF1179" s="18" t="inlineStr"/>
      <c r="AG1179" s="18" t="inlineStr"/>
      <c r="AH1179" s="18" t="inlineStr"/>
      <c r="AI1179" s="18" t="inlineStr"/>
      <c r="AJ1179" s="18" t="inlineStr">
        <is>
          <t>Cobblemon 동일</t>
        </is>
      </c>
      <c r="AK1179" s="18" t="inlineStr">
        <is>
          <t>사용</t>
        </is>
      </c>
      <c r="AL1179" s="18" t="inlineStr">
        <is>
          <t>COBBLEVERSE 1.7.42 / DP v31</t>
        </is>
      </c>
      <c r="AM1179" s="18" t="inlineStr">
        <is>
          <t>data/cobblemon/spawn_pool_world/0309_electrike.json</t>
        </is>
      </c>
      <c r="AN1179" s="18" t="inlineStr">
        <is>
          <t>electrike-1</t>
        </is>
      </c>
      <c r="AO1179" s="18" t="inlineStr">
        <is>
          <t>pokemon</t>
        </is>
      </c>
      <c r="AP1179" s="18" t="inlineStr">
        <is>
          <t>natural</t>
        </is>
      </c>
      <c r="AQ1179" s="18" t="inlineStr">
        <is>
          <t>{"biomes":["#cobblemon:is_grassland","#cobblemon:is_hills"],"maxSkyLight":15,"minSkyLight":8}</t>
        </is>
      </c>
      <c r="AR1179" s="18" t="inlineStr"/>
      <c r="AS1179" s="18" t="inlineStr">
        <is>
          <t>{"weightMultiplier":{"condition":{"isThundering":true},"multiplier":5.0}}</t>
        </is>
      </c>
      <c r="AT1179" s="19" t="inlineStr"/>
    </row>
    <row r="1180" ht="32" customHeight="1">
      <c r="A1180" s="18" t="inlineStr">
        <is>
          <t>0310_manectric.json::manectric-1::001</t>
        </is>
      </c>
      <c r="B1180" s="19" t="inlineStr">
        <is>
          <t>사용</t>
        </is>
      </c>
      <c r="C1180" s="18">
        <f>IF(OR(B1180&lt;&gt;AK1180,M1180&lt;&gt;L1180,O1180&lt;&gt;"",Q1180&lt;&gt;"",V1180&lt;&gt;1,Y1180&lt;&gt;"",AT1180&lt;&gt;""),"수정","원본")</f>
        <v/>
      </c>
      <c r="D1180" s="18" t="n">
        <v>310</v>
      </c>
      <c r="E1180" s="18" t="inlineStr">
        <is>
          <t>썬더볼트</t>
        </is>
      </c>
      <c r="F1180" s="18" t="inlineStr">
        <is>
          <t>manectric</t>
        </is>
      </c>
      <c r="G1180" s="18" t="inlineStr">
        <is>
          <t>manectric</t>
        </is>
      </c>
      <c r="H1180" s="18" t="inlineStr"/>
      <c r="I1180" s="18" t="n">
        <v>3</v>
      </c>
      <c r="J1180" s="18" t="n"/>
      <c r="K1180" s="18" t="n">
        <v>3</v>
      </c>
      <c r="L1180" s="18" t="inlineStr">
        <is>
          <t>cobbleventure:generation_3</t>
        </is>
      </c>
      <c r="M1180" s="19" t="inlineStr">
        <is>
          <t>cobbleventure:generation_3</t>
        </is>
      </c>
      <c r="N1180" s="18" t="inlineStr">
        <is>
          <t>region_01</t>
        </is>
      </c>
      <c r="O1180" s="19" t="inlineStr"/>
      <c r="P1180" s="18" t="inlineStr">
        <is>
          <t>#cobblemon:is_grassland; #cobblemon:is_hills</t>
        </is>
      </c>
      <c r="Q1180" s="19" t="inlineStr"/>
      <c r="R1180" s="18">
        <f>IF(Q1180="",P1180,Q1180)</f>
        <v/>
      </c>
      <c r="S1180" s="18" t="inlineStr"/>
      <c r="T1180" s="18" t="inlineStr">
        <is>
          <t>common</t>
        </is>
      </c>
      <c r="U1180" s="20" t="n">
        <v>0.2</v>
      </c>
      <c r="V1180" s="21" t="n">
        <v>1</v>
      </c>
      <c r="W1180" s="20">
        <f>IF(OR(U1180="",V1180=""),U1180,U1180*V1180)</f>
        <v/>
      </c>
      <c r="X1180" s="18" t="inlineStr">
        <is>
          <t>26-48</t>
        </is>
      </c>
      <c r="Y1180" s="19" t="inlineStr"/>
      <c r="Z1180" s="18">
        <f>IF(Y1180="",X1180,Y1180)</f>
        <v/>
      </c>
      <c r="AA1180" s="18" t="inlineStr">
        <is>
          <t>grounded</t>
        </is>
      </c>
      <c r="AB1180" s="18" t="inlineStr"/>
      <c r="AC1180" s="18" t="inlineStr"/>
      <c r="AD1180" s="18" t="inlineStr"/>
      <c r="AE1180" s="18" t="inlineStr">
        <is>
          <t>sky 8-15</t>
        </is>
      </c>
      <c r="AF1180" s="18" t="inlineStr"/>
      <c r="AG1180" s="18" t="inlineStr"/>
      <c r="AH1180" s="18" t="inlineStr"/>
      <c r="AI1180" s="18" t="inlineStr"/>
      <c r="AJ1180" s="18" t="inlineStr">
        <is>
          <t>Cobblemon 동일</t>
        </is>
      </c>
      <c r="AK1180" s="18" t="inlineStr">
        <is>
          <t>사용</t>
        </is>
      </c>
      <c r="AL1180" s="18" t="inlineStr">
        <is>
          <t>COBBLEVERSE 1.7.42 / DP v31</t>
        </is>
      </c>
      <c r="AM1180" s="18" t="inlineStr">
        <is>
          <t>data/cobblemon/spawn_pool_world/0310_manectric.json</t>
        </is>
      </c>
      <c r="AN1180" s="18" t="inlineStr">
        <is>
          <t>manectric-1</t>
        </is>
      </c>
      <c r="AO1180" s="18" t="inlineStr">
        <is>
          <t>pokemon</t>
        </is>
      </c>
      <c r="AP1180" s="18" t="inlineStr">
        <is>
          <t>natural</t>
        </is>
      </c>
      <c r="AQ1180" s="18" t="inlineStr">
        <is>
          <t>{"biomes":["#cobblemon:is_grassland","#cobblemon:is_hills"],"maxSkyLight":15,"minSkyLight":8}</t>
        </is>
      </c>
      <c r="AR1180" s="18" t="inlineStr"/>
      <c r="AS1180" s="18" t="inlineStr">
        <is>
          <t>{"weightMultiplier":{"condition":{"isThundering":true},"multiplier":5.0}}</t>
        </is>
      </c>
      <c r="AT1180" s="19" t="inlineStr"/>
    </row>
    <row r="1181" ht="32" customHeight="1">
      <c r="A1181" s="18" t="inlineStr">
        <is>
          <t>0311_plusle.json::plusle-1::001</t>
        </is>
      </c>
      <c r="B1181" s="19" t="inlineStr">
        <is>
          <t>사용</t>
        </is>
      </c>
      <c r="C1181" s="18">
        <f>IF(OR(B1181&lt;&gt;AK1181,M1181&lt;&gt;L1181,O1181&lt;&gt;"",Q1181&lt;&gt;"",V1181&lt;&gt;1,Y1181&lt;&gt;"",AT1181&lt;&gt;""),"수정","원본")</f>
        <v/>
      </c>
      <c r="D1181" s="18" t="n">
        <v>311</v>
      </c>
      <c r="E1181" s="18" t="inlineStr">
        <is>
          <t>플러시</t>
        </is>
      </c>
      <c r="F1181" s="18" t="inlineStr">
        <is>
          <t>plusle</t>
        </is>
      </c>
      <c r="G1181" s="18" t="inlineStr">
        <is>
          <t>plusle</t>
        </is>
      </c>
      <c r="H1181" s="18" t="inlineStr"/>
      <c r="I1181" s="18" t="n">
        <v>3</v>
      </c>
      <c r="J1181" s="18" t="n"/>
      <c r="K1181" s="18" t="n">
        <v>3</v>
      </c>
      <c r="L1181" s="18" t="inlineStr">
        <is>
          <t>cobbleventure:generation_3</t>
        </is>
      </c>
      <c r="M1181" s="19" t="inlineStr">
        <is>
          <t>cobbleventure:generation_3</t>
        </is>
      </c>
      <c r="N1181" s="18" t="inlineStr">
        <is>
          <t>region_01</t>
        </is>
      </c>
      <c r="O1181" s="19" t="inlineStr"/>
      <c r="P1181" s="18" t="inlineStr">
        <is>
          <t>#cobblemon:is_plains</t>
        </is>
      </c>
      <c r="Q1181" s="19" t="inlineStr"/>
      <c r="R1181" s="18">
        <f>IF(Q1181="",P1181,Q1181)</f>
        <v/>
      </c>
      <c r="S1181" s="18" t="inlineStr"/>
      <c r="T1181" s="18" t="inlineStr">
        <is>
          <t>uncommon</t>
        </is>
      </c>
      <c r="U1181" s="20" t="n">
        <v>1</v>
      </c>
      <c r="V1181" s="21" t="n">
        <v>1</v>
      </c>
      <c r="W1181" s="20">
        <f>IF(OR(U1181="",V1181=""),U1181,U1181*V1181)</f>
        <v/>
      </c>
      <c r="X1181" s="18" t="inlineStr">
        <is>
          <t>16-41</t>
        </is>
      </c>
      <c r="Y1181" s="19" t="inlineStr"/>
      <c r="Z1181" s="18">
        <f>IF(Y1181="",X1181,Y1181)</f>
        <v/>
      </c>
      <c r="AA1181" s="18" t="inlineStr">
        <is>
          <t>grounded</t>
        </is>
      </c>
      <c r="AB1181" s="18" t="inlineStr"/>
      <c r="AC1181" s="18" t="inlineStr"/>
      <c r="AD1181" s="18" t="inlineStr"/>
      <c r="AE1181" s="18" t="inlineStr">
        <is>
          <t>sky 8-15</t>
        </is>
      </c>
      <c r="AF1181" s="18" t="inlineStr"/>
      <c r="AG1181" s="18" t="inlineStr"/>
      <c r="AH1181" s="18" t="inlineStr"/>
      <c r="AI1181" s="18" t="inlineStr"/>
      <c r="AJ1181" s="18" t="inlineStr">
        <is>
          <t>COBBLEVERSE 수정</t>
        </is>
      </c>
      <c r="AK1181" s="18" t="inlineStr">
        <is>
          <t>사용</t>
        </is>
      </c>
      <c r="AL1181" s="18" t="inlineStr">
        <is>
          <t>COBBLEVERSE 1.7.42 / DP v31</t>
        </is>
      </c>
      <c r="AM1181" s="18" t="inlineStr">
        <is>
          <t>data/cobblemon/spawn_pool_world/0311_plusle.json</t>
        </is>
      </c>
      <c r="AN1181" s="18" t="inlineStr">
        <is>
          <t>plusle-1</t>
        </is>
      </c>
      <c r="AO1181" s="18" t="inlineStr">
        <is>
          <t>pokemon</t>
        </is>
      </c>
      <c r="AP1181" s="18" t="inlineStr">
        <is>
          <t>natural</t>
        </is>
      </c>
      <c r="AQ1181" s="18" t="inlineStr">
        <is>
          <t>{"biomes":["#cobblemon:is_plains"],"maxSkyLight":15,"minSkyLight":8}</t>
        </is>
      </c>
      <c r="AR1181" s="18" t="inlineStr"/>
      <c r="AS1181" s="18" t="inlineStr">
        <is>
          <t>{"weightMultiplier":{"condition":{"isThundering":true},"multiplier":5.0}}</t>
        </is>
      </c>
      <c r="AT1181" s="19" t="inlineStr"/>
    </row>
    <row r="1182" ht="32" customHeight="1">
      <c r="A1182" s="18" t="inlineStr">
        <is>
          <t>0312_minun.json::minun-1::001</t>
        </is>
      </c>
      <c r="B1182" s="19" t="inlineStr">
        <is>
          <t>사용</t>
        </is>
      </c>
      <c r="C1182" s="18">
        <f>IF(OR(B1182&lt;&gt;AK1182,M1182&lt;&gt;L1182,O1182&lt;&gt;"",Q1182&lt;&gt;"",V1182&lt;&gt;1,Y1182&lt;&gt;"",AT1182&lt;&gt;""),"수정","원본")</f>
        <v/>
      </c>
      <c r="D1182" s="18" t="n">
        <v>312</v>
      </c>
      <c r="E1182" s="18" t="inlineStr">
        <is>
          <t>마이농</t>
        </is>
      </c>
      <c r="F1182" s="18" t="inlineStr">
        <is>
          <t>minun</t>
        </is>
      </c>
      <c r="G1182" s="18" t="inlineStr">
        <is>
          <t>minun</t>
        </is>
      </c>
      <c r="H1182" s="18" t="inlineStr"/>
      <c r="I1182" s="18" t="n">
        <v>3</v>
      </c>
      <c r="J1182" s="18" t="n"/>
      <c r="K1182" s="18" t="n">
        <v>3</v>
      </c>
      <c r="L1182" s="18" t="inlineStr">
        <is>
          <t>cobbleventure:generation_3</t>
        </is>
      </c>
      <c r="M1182" s="19" t="inlineStr">
        <is>
          <t>cobbleventure:generation_3</t>
        </is>
      </c>
      <c r="N1182" s="18" t="inlineStr">
        <is>
          <t>region_01</t>
        </is>
      </c>
      <c r="O1182" s="19" t="inlineStr"/>
      <c r="P1182" s="18" t="inlineStr">
        <is>
          <t>#cobblemon:is_plains</t>
        </is>
      </c>
      <c r="Q1182" s="19" t="inlineStr"/>
      <c r="R1182" s="18">
        <f>IF(Q1182="",P1182,Q1182)</f>
        <v/>
      </c>
      <c r="S1182" s="18" t="inlineStr"/>
      <c r="T1182" s="18" t="inlineStr">
        <is>
          <t>uncommon</t>
        </is>
      </c>
      <c r="U1182" s="20" t="n">
        <v>1</v>
      </c>
      <c r="V1182" s="21" t="n">
        <v>1</v>
      </c>
      <c r="W1182" s="20">
        <f>IF(OR(U1182="",V1182=""),U1182,U1182*V1182)</f>
        <v/>
      </c>
      <c r="X1182" s="18" t="inlineStr">
        <is>
          <t>16-41</t>
        </is>
      </c>
      <c r="Y1182" s="19" t="inlineStr"/>
      <c r="Z1182" s="18">
        <f>IF(Y1182="",X1182,Y1182)</f>
        <v/>
      </c>
      <c r="AA1182" s="18" t="inlineStr">
        <is>
          <t>grounded</t>
        </is>
      </c>
      <c r="AB1182" s="18" t="inlineStr"/>
      <c r="AC1182" s="18" t="inlineStr"/>
      <c r="AD1182" s="18" t="inlineStr"/>
      <c r="AE1182" s="18" t="inlineStr">
        <is>
          <t>sky 8-15</t>
        </is>
      </c>
      <c r="AF1182" s="18" t="inlineStr"/>
      <c r="AG1182" s="18" t="inlineStr"/>
      <c r="AH1182" s="18" t="inlineStr"/>
      <c r="AI1182" s="18" t="inlineStr"/>
      <c r="AJ1182" s="18" t="inlineStr">
        <is>
          <t>COBBLEVERSE 수정</t>
        </is>
      </c>
      <c r="AK1182" s="18" t="inlineStr">
        <is>
          <t>사용</t>
        </is>
      </c>
      <c r="AL1182" s="18" t="inlineStr">
        <is>
          <t>COBBLEVERSE 1.7.42 / DP v31</t>
        </is>
      </c>
      <c r="AM1182" s="18" t="inlineStr">
        <is>
          <t>data/cobblemon/spawn_pool_world/0312_minun.json</t>
        </is>
      </c>
      <c r="AN1182" s="18" t="inlineStr">
        <is>
          <t>minun-1</t>
        </is>
      </c>
      <c r="AO1182" s="18" t="inlineStr">
        <is>
          <t>pokemon</t>
        </is>
      </c>
      <c r="AP1182" s="18" t="inlineStr">
        <is>
          <t>natural</t>
        </is>
      </c>
      <c r="AQ1182" s="18" t="inlineStr">
        <is>
          <t>{"biomes":["#cobblemon:is_plains"],"maxSkyLight":15,"minSkyLight":8}</t>
        </is>
      </c>
      <c r="AR1182" s="18" t="inlineStr"/>
      <c r="AS1182" s="18" t="inlineStr">
        <is>
          <t>{"weightMultiplier":{"condition":{"isThundering":true},"multiplier":5.0}}</t>
        </is>
      </c>
      <c r="AT1182" s="19" t="inlineStr"/>
    </row>
    <row r="1183" ht="32" customHeight="1">
      <c r="A1183" s="18" t="inlineStr">
        <is>
          <t>0313_volbeat.json::volbeat-1::001</t>
        </is>
      </c>
      <c r="B1183" s="19" t="inlineStr">
        <is>
          <t>사용</t>
        </is>
      </c>
      <c r="C1183" s="18">
        <f>IF(OR(B1183&lt;&gt;AK1183,M1183&lt;&gt;L1183,O1183&lt;&gt;"",Q1183&lt;&gt;"",V1183&lt;&gt;1,Y1183&lt;&gt;"",AT1183&lt;&gt;""),"수정","원본")</f>
        <v/>
      </c>
      <c r="D1183" s="18" t="n">
        <v>313</v>
      </c>
      <c r="E1183" s="18" t="inlineStr">
        <is>
          <t>볼비트</t>
        </is>
      </c>
      <c r="F1183" s="18" t="inlineStr">
        <is>
          <t>volbeat</t>
        </is>
      </c>
      <c r="G1183" s="18" t="inlineStr">
        <is>
          <t>volbeat</t>
        </is>
      </c>
      <c r="H1183" s="18" t="inlineStr"/>
      <c r="I1183" s="18" t="n">
        <v>3</v>
      </c>
      <c r="J1183" s="18" t="n"/>
      <c r="K1183" s="18" t="n">
        <v>3</v>
      </c>
      <c r="L1183" s="18" t="inlineStr">
        <is>
          <t>cobbleventure:generation_3</t>
        </is>
      </c>
      <c r="M1183" s="19" t="inlineStr">
        <is>
          <t>cobbleventure:generation_3</t>
        </is>
      </c>
      <c r="N1183" s="18" t="inlineStr">
        <is>
          <t>region_02</t>
        </is>
      </c>
      <c r="O1183" s="19" t="inlineStr"/>
      <c r="P1183" s="18" t="inlineStr">
        <is>
          <t>#cobblemon:is_freshwater</t>
        </is>
      </c>
      <c r="Q1183" s="19" t="inlineStr"/>
      <c r="R1183" s="18">
        <f>IF(Q1183="",P1183,Q1183)</f>
        <v/>
      </c>
      <c r="S1183" s="18" t="inlineStr">
        <is>
          <t>#cobblemon:is_freezing</t>
        </is>
      </c>
      <c r="T1183" s="18" t="inlineStr">
        <is>
          <t>common</t>
        </is>
      </c>
      <c r="U1183" s="20" t="n">
        <v>5</v>
      </c>
      <c r="V1183" s="21" t="n">
        <v>1</v>
      </c>
      <c r="W1183" s="20">
        <f>IF(OR(U1183="",V1183=""),U1183,U1183*V1183)</f>
        <v/>
      </c>
      <c r="X1183" s="18" t="inlineStr">
        <is>
          <t>18-43</t>
        </is>
      </c>
      <c r="Y1183" s="19" t="inlineStr"/>
      <c r="Z1183" s="18">
        <f>IF(Y1183="",X1183,Y1183)</f>
        <v/>
      </c>
      <c r="AA1183" s="18" t="inlineStr">
        <is>
          <t>grounded</t>
        </is>
      </c>
      <c r="AB1183" s="18" t="inlineStr">
        <is>
          <t>night</t>
        </is>
      </c>
      <c r="AC1183" s="18" t="inlineStr">
        <is>
          <t>비=False</t>
        </is>
      </c>
      <c r="AD1183" s="18" t="inlineStr"/>
      <c r="AE1183" s="18" t="inlineStr">
        <is>
          <t>sky 8-15</t>
        </is>
      </c>
      <c r="AF1183" s="18" t="inlineStr"/>
      <c r="AG1183" s="18" t="inlineStr"/>
      <c r="AH1183" s="18" t="inlineStr"/>
      <c r="AI1183" s="18" t="inlineStr"/>
      <c r="AJ1183" s="18" t="inlineStr">
        <is>
          <t>Cobblemon 동일</t>
        </is>
      </c>
      <c r="AK1183" s="18" t="inlineStr">
        <is>
          <t>사용</t>
        </is>
      </c>
      <c r="AL1183" s="18" t="inlineStr">
        <is>
          <t>COBBLEVERSE 1.7.42 / DP v31</t>
        </is>
      </c>
      <c r="AM1183" s="18" t="inlineStr">
        <is>
          <t>data/cobblemon/spawn_pool_world/0313_volbeat.json</t>
        </is>
      </c>
      <c r="AN1183" s="18" t="inlineStr">
        <is>
          <t>volbeat-1</t>
        </is>
      </c>
      <c r="AO1183" s="18" t="inlineStr">
        <is>
          <t>pokemon</t>
        </is>
      </c>
      <c r="AP1183" s="18" t="inlineStr">
        <is>
          <t>natural; treetop</t>
        </is>
      </c>
      <c r="AQ1183" s="18" t="inlineStr">
        <is>
          <t>{"biomes":["#cobblemon:is_freshwater"],"isRaining":false,"maxSkyLight":15,"minSkyLight":8,"timeRange":"night"}</t>
        </is>
      </c>
      <c r="AR1183" s="18" t="inlineStr">
        <is>
          <t>{"biomes":["#cobblemon:is_freezing"]}</t>
        </is>
      </c>
      <c r="AS1183" s="18" t="inlineStr"/>
      <c r="AT1183" s="19" t="inlineStr"/>
    </row>
    <row r="1184" ht="32" customHeight="1">
      <c r="A1184" s="18" t="inlineStr">
        <is>
          <t>0313_volbeat.json::volbeat-2::002</t>
        </is>
      </c>
      <c r="B1184" s="19" t="inlineStr">
        <is>
          <t>사용</t>
        </is>
      </c>
      <c r="C1184" s="18">
        <f>IF(OR(B1184&lt;&gt;AK1184,M1184&lt;&gt;L1184,O1184&lt;&gt;"",Q1184&lt;&gt;"",V1184&lt;&gt;1,Y1184&lt;&gt;"",AT1184&lt;&gt;""),"수정","원본")</f>
        <v/>
      </c>
      <c r="D1184" s="18" t="n">
        <v>313</v>
      </c>
      <c r="E1184" s="18" t="inlineStr">
        <is>
          <t>볼비트</t>
        </is>
      </c>
      <c r="F1184" s="18" t="inlineStr">
        <is>
          <t>volbeat</t>
        </is>
      </c>
      <c r="G1184" s="18" t="inlineStr">
        <is>
          <t>volbeat</t>
        </is>
      </c>
      <c r="H1184" s="18" t="inlineStr"/>
      <c r="I1184" s="18" t="n">
        <v>3</v>
      </c>
      <c r="J1184" s="18" t="n"/>
      <c r="K1184" s="18" t="n">
        <v>3</v>
      </c>
      <c r="L1184" s="18" t="inlineStr">
        <is>
          <t>cobbleventure:generation_3</t>
        </is>
      </c>
      <c r="M1184" s="19" t="inlineStr">
        <is>
          <t>cobbleventure:generation_3</t>
        </is>
      </c>
      <c r="N1184" s="18" t="inlineStr">
        <is>
          <t>region_02</t>
        </is>
      </c>
      <c r="O1184" s="19" t="inlineStr"/>
      <c r="P1184" s="18" t="inlineStr">
        <is>
          <t>#cobblemon:is_freshwater</t>
        </is>
      </c>
      <c r="Q1184" s="19" t="inlineStr"/>
      <c r="R1184" s="18">
        <f>IF(Q1184="",P1184,Q1184)</f>
        <v/>
      </c>
      <c r="S1184" s="18" t="inlineStr">
        <is>
          <t>#cobblemon:is_freezing</t>
        </is>
      </c>
      <c r="T1184" s="18" t="inlineStr">
        <is>
          <t>uncommon</t>
        </is>
      </c>
      <c r="U1184" s="20" t="n">
        <v>5</v>
      </c>
      <c r="V1184" s="21" t="n">
        <v>1</v>
      </c>
      <c r="W1184" s="20">
        <f>IF(OR(U1184="",V1184=""),U1184,U1184*V1184)</f>
        <v/>
      </c>
      <c r="X1184" s="18" t="inlineStr">
        <is>
          <t>18-43</t>
        </is>
      </c>
      <c r="Y1184" s="19" t="inlineStr"/>
      <c r="Z1184" s="18">
        <f>IF(Y1184="",X1184,Y1184)</f>
        <v/>
      </c>
      <c r="AA1184" s="18" t="inlineStr">
        <is>
          <t>surface</t>
        </is>
      </c>
      <c r="AB1184" s="18" t="inlineStr">
        <is>
          <t>night</t>
        </is>
      </c>
      <c r="AC1184" s="18" t="inlineStr">
        <is>
          <t>비=False</t>
        </is>
      </c>
      <c r="AD1184" s="18" t="inlineStr"/>
      <c r="AE1184" s="18" t="inlineStr">
        <is>
          <t>sky 8-15</t>
        </is>
      </c>
      <c r="AF1184" s="18" t="inlineStr"/>
      <c r="AG1184" s="18" t="inlineStr"/>
      <c r="AH1184" s="18" t="inlineStr"/>
      <c r="AI1184" s="18" t="inlineStr"/>
      <c r="AJ1184" s="18" t="inlineStr">
        <is>
          <t>Cobblemon 동일</t>
        </is>
      </c>
      <c r="AK1184" s="18" t="inlineStr">
        <is>
          <t>사용</t>
        </is>
      </c>
      <c r="AL1184" s="18" t="inlineStr">
        <is>
          <t>COBBLEVERSE 1.7.42 / DP v31</t>
        </is>
      </c>
      <c r="AM1184" s="18" t="inlineStr">
        <is>
          <t>data/cobblemon/spawn_pool_world/0313_volbeat.json</t>
        </is>
      </c>
      <c r="AN1184" s="18" t="inlineStr">
        <is>
          <t>volbeat-2</t>
        </is>
      </c>
      <c r="AO1184" s="18" t="inlineStr">
        <is>
          <t>pokemon</t>
        </is>
      </c>
      <c r="AP1184" s="18" t="inlineStr">
        <is>
          <t>water</t>
        </is>
      </c>
      <c r="AQ1184" s="18" t="inlineStr">
        <is>
          <t>{"biomes":["#cobblemon:is_freshwater"],"isRaining":false,"maxSkyLight":15,"minSkyLight":8,"timeRange":"night"}</t>
        </is>
      </c>
      <c r="AR1184" s="18" t="inlineStr">
        <is>
          <t>{"biomes":["#cobblemon:is_freezing"]}</t>
        </is>
      </c>
      <c r="AS1184" s="18" t="inlineStr"/>
      <c r="AT1184" s="19" t="inlineStr"/>
    </row>
    <row r="1185" ht="32" customHeight="1">
      <c r="A1185" s="18" t="inlineStr">
        <is>
          <t>0313_volbeat.json::volbeat-3::003</t>
        </is>
      </c>
      <c r="B1185" s="19" t="inlineStr">
        <is>
          <t>사용</t>
        </is>
      </c>
      <c r="C1185" s="18">
        <f>IF(OR(B1185&lt;&gt;AK1185,M1185&lt;&gt;L1185,O1185&lt;&gt;"",Q1185&lt;&gt;"",V1185&lt;&gt;1,Y1185&lt;&gt;"",AT1185&lt;&gt;""),"수정","원본")</f>
        <v/>
      </c>
      <c r="D1185" s="18" t="n">
        <v>313</v>
      </c>
      <c r="E1185" s="18" t="inlineStr">
        <is>
          <t>볼비트</t>
        </is>
      </c>
      <c r="F1185" s="18" t="inlineStr">
        <is>
          <t>volbeat</t>
        </is>
      </c>
      <c r="G1185" s="18" t="inlineStr">
        <is>
          <t>volbeat</t>
        </is>
      </c>
      <c r="H1185" s="18" t="inlineStr"/>
      <c r="I1185" s="18" t="n">
        <v>3</v>
      </c>
      <c r="J1185" s="18" t="n"/>
      <c r="K1185" s="18" t="n">
        <v>3</v>
      </c>
      <c r="L1185" s="18" t="inlineStr">
        <is>
          <t>cobbleventure:generation_3</t>
        </is>
      </c>
      <c r="M1185" s="19" t="inlineStr">
        <is>
          <t>cobbleventure:generation_3</t>
        </is>
      </c>
      <c r="N1185" s="18" t="inlineStr"/>
      <c r="O1185" s="19" t="inlineStr"/>
      <c r="P1185" s="18" t="inlineStr">
        <is>
          <t>the_bumblezone:floral_meadow</t>
        </is>
      </c>
      <c r="Q1185" s="19" t="inlineStr"/>
      <c r="R1185" s="18">
        <f>IF(Q1185="",P1185,Q1185)</f>
        <v/>
      </c>
      <c r="S1185" s="18" t="inlineStr"/>
      <c r="T1185" s="18" t="inlineStr">
        <is>
          <t>common</t>
        </is>
      </c>
      <c r="U1185" s="20" t="n">
        <v>3</v>
      </c>
      <c r="V1185" s="21" t="n">
        <v>1</v>
      </c>
      <c r="W1185" s="20">
        <f>IF(OR(U1185="",V1185=""),U1185,U1185*V1185)</f>
        <v/>
      </c>
      <c r="X1185" s="18" t="inlineStr">
        <is>
          <t>18-43</t>
        </is>
      </c>
      <c r="Y1185" s="19" t="inlineStr"/>
      <c r="Z1185" s="18">
        <f>IF(Y1185="",X1185,Y1185)</f>
        <v/>
      </c>
      <c r="AA1185" s="18" t="inlineStr">
        <is>
          <t>grounded</t>
        </is>
      </c>
      <c r="AB1185" s="18" t="inlineStr"/>
      <c r="AC1185" s="18" t="inlineStr"/>
      <c r="AD1185" s="18" t="inlineStr"/>
      <c r="AE1185" s="18" t="inlineStr"/>
      <c r="AF1185" s="18" t="inlineStr"/>
      <c r="AG1185" s="18" t="inlineStr"/>
      <c r="AH1185" s="18" t="inlineStr"/>
      <c r="AI1185" s="18" t="inlineStr"/>
      <c r="AJ1185" s="18" t="inlineStr">
        <is>
          <t>Cobblemon 동일</t>
        </is>
      </c>
      <c r="AK1185" s="18" t="inlineStr">
        <is>
          <t>사용</t>
        </is>
      </c>
      <c r="AL1185" s="18" t="inlineStr">
        <is>
          <t>COBBLEVERSE 1.7.42 / DP v31</t>
        </is>
      </c>
      <c r="AM1185" s="18" t="inlineStr">
        <is>
          <t>data/cobblemon/spawn_pool_world/0313_volbeat.json</t>
        </is>
      </c>
      <c r="AN1185" s="18" t="inlineStr">
        <is>
          <t>volbeat-3</t>
        </is>
      </c>
      <c r="AO1185" s="18" t="inlineStr">
        <is>
          <t>pokemon</t>
        </is>
      </c>
      <c r="AP1185" s="18" t="inlineStr"/>
      <c r="AQ1185" s="18" t="inlineStr">
        <is>
          <t>{"biomes":["the_bumblezone:floral_meadow"]}</t>
        </is>
      </c>
      <c r="AR1185" s="18" t="inlineStr">
        <is>
          <t>{"structures":["#the_bumblezone:sempiternal_sanctums"]}</t>
        </is>
      </c>
      <c r="AS1185" s="18" t="inlineStr"/>
      <c r="AT1185" s="19" t="inlineStr"/>
    </row>
    <row r="1186" ht="32" customHeight="1">
      <c r="A1186" s="18" t="inlineStr">
        <is>
          <t>0313_volbeat.json::volbeat-4::004</t>
        </is>
      </c>
      <c r="B1186" s="19" t="inlineStr">
        <is>
          <t>사용</t>
        </is>
      </c>
      <c r="C1186" s="18">
        <f>IF(OR(B1186&lt;&gt;AK1186,M1186&lt;&gt;L1186,O1186&lt;&gt;"",Q1186&lt;&gt;"",V1186&lt;&gt;1,Y1186&lt;&gt;"",AT1186&lt;&gt;""),"수정","원본")</f>
        <v/>
      </c>
      <c r="D1186" s="18" t="n">
        <v>313</v>
      </c>
      <c r="E1186" s="18" t="inlineStr">
        <is>
          <t>볼비트</t>
        </is>
      </c>
      <c r="F1186" s="18" t="inlineStr">
        <is>
          <t>volbeat</t>
        </is>
      </c>
      <c r="G1186" s="18" t="inlineStr">
        <is>
          <t>volbeat</t>
        </is>
      </c>
      <c r="H1186" s="18" t="inlineStr"/>
      <c r="I1186" s="18" t="n">
        <v>3</v>
      </c>
      <c r="J1186" s="18" t="n"/>
      <c r="K1186" s="18" t="n">
        <v>3</v>
      </c>
      <c r="L1186" s="18" t="inlineStr">
        <is>
          <t>cobbleventure:generation_3</t>
        </is>
      </c>
      <c r="M1186" s="19" t="inlineStr">
        <is>
          <t>cobbleventure:generation_3</t>
        </is>
      </c>
      <c r="N1186" s="18" t="inlineStr"/>
      <c r="O1186" s="19" t="inlineStr"/>
      <c r="P1186" s="18" t="inlineStr">
        <is>
          <t>#the_bumblezone:the_bumblezone</t>
        </is>
      </c>
      <c r="Q1186" s="19" t="inlineStr"/>
      <c r="R1186" s="18">
        <f>IF(Q1186="",P1186,Q1186)</f>
        <v/>
      </c>
      <c r="S1186" s="18" t="inlineStr"/>
      <c r="T1186" s="18" t="inlineStr">
        <is>
          <t>uncommon</t>
        </is>
      </c>
      <c r="U1186" s="20" t="n">
        <v>3</v>
      </c>
      <c r="V1186" s="21" t="n">
        <v>1</v>
      </c>
      <c r="W1186" s="20">
        <f>IF(OR(U1186="",V1186=""),U1186,U1186*V1186)</f>
        <v/>
      </c>
      <c r="X1186" s="18" t="inlineStr">
        <is>
          <t>18-43</t>
        </is>
      </c>
      <c r="Y1186" s="19" t="inlineStr"/>
      <c r="Z1186" s="18">
        <f>IF(Y1186="",X1186,Y1186)</f>
        <v/>
      </c>
      <c r="AA1186" s="18" t="inlineStr">
        <is>
          <t>surface</t>
        </is>
      </c>
      <c r="AB1186" s="18" t="inlineStr"/>
      <c r="AC1186" s="18" t="inlineStr"/>
      <c r="AD1186" s="18" t="inlineStr"/>
      <c r="AE1186" s="18" t="inlineStr"/>
      <c r="AF1186" s="18" t="inlineStr"/>
      <c r="AG1186" s="18" t="inlineStr"/>
      <c r="AH1186" s="18" t="inlineStr"/>
      <c r="AI1186" s="18" t="inlineStr"/>
      <c r="AJ1186" s="18" t="inlineStr">
        <is>
          <t>Cobblemon 동일</t>
        </is>
      </c>
      <c r="AK1186" s="18" t="inlineStr">
        <is>
          <t>사용</t>
        </is>
      </c>
      <c r="AL1186" s="18" t="inlineStr">
        <is>
          <t>COBBLEVERSE 1.7.42 / DP v31</t>
        </is>
      </c>
      <c r="AM1186" s="18" t="inlineStr">
        <is>
          <t>data/cobblemon/spawn_pool_world/0313_volbeat.json</t>
        </is>
      </c>
      <c r="AN1186" s="18" t="inlineStr">
        <is>
          <t>volbeat-4</t>
        </is>
      </c>
      <c r="AO1186" s="18" t="inlineStr">
        <is>
          <t>pokemon</t>
        </is>
      </c>
      <c r="AP1186" s="18" t="inlineStr">
        <is>
          <t>water</t>
        </is>
      </c>
      <c r="AQ1186" s="18" t="inlineStr">
        <is>
          <t>{"biomes":["#the_bumblezone:the_bumblezone"]}</t>
        </is>
      </c>
      <c r="AR1186" s="18" t="inlineStr">
        <is>
          <t>{"structures":["#the_bumblezone:sempiternal_sanctums"]}</t>
        </is>
      </c>
      <c r="AS1186" s="18" t="inlineStr"/>
      <c r="AT1186" s="19" t="inlineStr"/>
    </row>
    <row r="1187" ht="32" customHeight="1">
      <c r="A1187" s="18" t="inlineStr">
        <is>
          <t>0314_illumise.json::illumise-1::001</t>
        </is>
      </c>
      <c r="B1187" s="19" t="inlineStr">
        <is>
          <t>사용</t>
        </is>
      </c>
      <c r="C1187" s="18">
        <f>IF(OR(B1187&lt;&gt;AK1187,M1187&lt;&gt;L1187,O1187&lt;&gt;"",Q1187&lt;&gt;"",V1187&lt;&gt;1,Y1187&lt;&gt;"",AT1187&lt;&gt;""),"수정","원본")</f>
        <v/>
      </c>
      <c r="D1187" s="18" t="n">
        <v>314</v>
      </c>
      <c r="E1187" s="18" t="inlineStr">
        <is>
          <t>네오비트</t>
        </is>
      </c>
      <c r="F1187" s="18" t="inlineStr">
        <is>
          <t>illumise</t>
        </is>
      </c>
      <c r="G1187" s="18" t="inlineStr">
        <is>
          <t>illumise</t>
        </is>
      </c>
      <c r="H1187" s="18" t="inlineStr"/>
      <c r="I1187" s="18" t="n">
        <v>3</v>
      </c>
      <c r="J1187" s="18" t="n"/>
      <c r="K1187" s="18" t="n">
        <v>3</v>
      </c>
      <c r="L1187" s="18" t="inlineStr">
        <is>
          <t>cobbleventure:generation_3</t>
        </is>
      </c>
      <c r="M1187" s="19" t="inlineStr">
        <is>
          <t>cobbleventure:generation_3</t>
        </is>
      </c>
      <c r="N1187" s="18" t="inlineStr">
        <is>
          <t>region_02</t>
        </is>
      </c>
      <c r="O1187" s="19" t="inlineStr"/>
      <c r="P1187" s="18" t="inlineStr">
        <is>
          <t>#cobblemon:is_freshwater</t>
        </is>
      </c>
      <c r="Q1187" s="19" t="inlineStr"/>
      <c r="R1187" s="18">
        <f>IF(Q1187="",P1187,Q1187)</f>
        <v/>
      </c>
      <c r="S1187" s="18" t="inlineStr">
        <is>
          <t>#cobblemon:is_freezing</t>
        </is>
      </c>
      <c r="T1187" s="18" t="inlineStr">
        <is>
          <t>common</t>
        </is>
      </c>
      <c r="U1187" s="20" t="n">
        <v>5</v>
      </c>
      <c r="V1187" s="21" t="n">
        <v>1</v>
      </c>
      <c r="W1187" s="20">
        <f>IF(OR(U1187="",V1187=""),U1187,U1187*V1187)</f>
        <v/>
      </c>
      <c r="X1187" s="18" t="inlineStr">
        <is>
          <t>18-43</t>
        </is>
      </c>
      <c r="Y1187" s="19" t="inlineStr"/>
      <c r="Z1187" s="18">
        <f>IF(Y1187="",X1187,Y1187)</f>
        <v/>
      </c>
      <c r="AA1187" s="18" t="inlineStr">
        <is>
          <t>grounded</t>
        </is>
      </c>
      <c r="AB1187" s="18" t="inlineStr">
        <is>
          <t>night</t>
        </is>
      </c>
      <c r="AC1187" s="18" t="inlineStr">
        <is>
          <t>비=False</t>
        </is>
      </c>
      <c r="AD1187" s="18" t="inlineStr"/>
      <c r="AE1187" s="18" t="inlineStr">
        <is>
          <t>sky 8-15</t>
        </is>
      </c>
      <c r="AF1187" s="18" t="inlineStr"/>
      <c r="AG1187" s="18" t="inlineStr"/>
      <c r="AH1187" s="18" t="inlineStr"/>
      <c r="AI1187" s="18" t="inlineStr"/>
      <c r="AJ1187" s="18" t="inlineStr">
        <is>
          <t>Cobblemon 동일</t>
        </is>
      </c>
      <c r="AK1187" s="18" t="inlineStr">
        <is>
          <t>사용</t>
        </is>
      </c>
      <c r="AL1187" s="18" t="inlineStr">
        <is>
          <t>COBBLEVERSE 1.7.42 / DP v31</t>
        </is>
      </c>
      <c r="AM1187" s="18" t="inlineStr">
        <is>
          <t>data/cobblemon/spawn_pool_world/0314_illumise.json</t>
        </is>
      </c>
      <c r="AN1187" s="18" t="inlineStr">
        <is>
          <t>illumise-1</t>
        </is>
      </c>
      <c r="AO1187" s="18" t="inlineStr">
        <is>
          <t>pokemon</t>
        </is>
      </c>
      <c r="AP1187" s="18" t="inlineStr">
        <is>
          <t>natural; treetop</t>
        </is>
      </c>
      <c r="AQ1187" s="18" t="inlineStr">
        <is>
          <t>{"biomes":["#cobblemon:is_freshwater"],"isRaining":false,"maxSkyLight":15,"minSkyLight":8,"timeRange":"night"}</t>
        </is>
      </c>
      <c r="AR1187" s="18" t="inlineStr">
        <is>
          <t>{"biomes":["#cobblemon:is_freezing"]}</t>
        </is>
      </c>
      <c r="AS1187" s="18" t="inlineStr"/>
      <c r="AT1187" s="19" t="inlineStr"/>
    </row>
    <row r="1188" ht="32" customHeight="1">
      <c r="A1188" s="18" t="inlineStr">
        <is>
          <t>0314_illumise.json::illumise-2::002</t>
        </is>
      </c>
      <c r="B1188" s="19" t="inlineStr">
        <is>
          <t>사용</t>
        </is>
      </c>
      <c r="C1188" s="18">
        <f>IF(OR(B1188&lt;&gt;AK1188,M1188&lt;&gt;L1188,O1188&lt;&gt;"",Q1188&lt;&gt;"",V1188&lt;&gt;1,Y1188&lt;&gt;"",AT1188&lt;&gt;""),"수정","원본")</f>
        <v/>
      </c>
      <c r="D1188" s="18" t="n">
        <v>314</v>
      </c>
      <c r="E1188" s="18" t="inlineStr">
        <is>
          <t>네오비트</t>
        </is>
      </c>
      <c r="F1188" s="18" t="inlineStr">
        <is>
          <t>illumise</t>
        </is>
      </c>
      <c r="G1188" s="18" t="inlineStr">
        <is>
          <t>illumise</t>
        </is>
      </c>
      <c r="H1188" s="18" t="inlineStr"/>
      <c r="I1188" s="18" t="n">
        <v>3</v>
      </c>
      <c r="J1188" s="18" t="n"/>
      <c r="K1188" s="18" t="n">
        <v>3</v>
      </c>
      <c r="L1188" s="18" t="inlineStr">
        <is>
          <t>cobbleventure:generation_3</t>
        </is>
      </c>
      <c r="M1188" s="19" t="inlineStr">
        <is>
          <t>cobbleventure:generation_3</t>
        </is>
      </c>
      <c r="N1188" s="18" t="inlineStr">
        <is>
          <t>region_02</t>
        </is>
      </c>
      <c r="O1188" s="19" t="inlineStr"/>
      <c r="P1188" s="18" t="inlineStr">
        <is>
          <t>#cobblemon:is_freshwater</t>
        </is>
      </c>
      <c r="Q1188" s="19" t="inlineStr"/>
      <c r="R1188" s="18">
        <f>IF(Q1188="",P1188,Q1188)</f>
        <v/>
      </c>
      <c r="S1188" s="18" t="inlineStr">
        <is>
          <t>#cobblemon:is_freezing</t>
        </is>
      </c>
      <c r="T1188" s="18" t="inlineStr">
        <is>
          <t>uncommon</t>
        </is>
      </c>
      <c r="U1188" s="20" t="n">
        <v>5</v>
      </c>
      <c r="V1188" s="21" t="n">
        <v>1</v>
      </c>
      <c r="W1188" s="20">
        <f>IF(OR(U1188="",V1188=""),U1188,U1188*V1188)</f>
        <v/>
      </c>
      <c r="X1188" s="18" t="inlineStr">
        <is>
          <t>18-43</t>
        </is>
      </c>
      <c r="Y1188" s="19" t="inlineStr"/>
      <c r="Z1188" s="18">
        <f>IF(Y1188="",X1188,Y1188)</f>
        <v/>
      </c>
      <c r="AA1188" s="18" t="inlineStr">
        <is>
          <t>surface</t>
        </is>
      </c>
      <c r="AB1188" s="18" t="inlineStr">
        <is>
          <t>night</t>
        </is>
      </c>
      <c r="AC1188" s="18" t="inlineStr">
        <is>
          <t>비=False</t>
        </is>
      </c>
      <c r="AD1188" s="18" t="inlineStr"/>
      <c r="AE1188" s="18" t="inlineStr">
        <is>
          <t>sky 8-15</t>
        </is>
      </c>
      <c r="AF1188" s="18" t="inlineStr"/>
      <c r="AG1188" s="18" t="inlineStr"/>
      <c r="AH1188" s="18" t="inlineStr"/>
      <c r="AI1188" s="18" t="inlineStr"/>
      <c r="AJ1188" s="18" t="inlineStr">
        <is>
          <t>Cobblemon 동일</t>
        </is>
      </c>
      <c r="AK1188" s="18" t="inlineStr">
        <is>
          <t>사용</t>
        </is>
      </c>
      <c r="AL1188" s="18" t="inlineStr">
        <is>
          <t>COBBLEVERSE 1.7.42 / DP v31</t>
        </is>
      </c>
      <c r="AM1188" s="18" t="inlineStr">
        <is>
          <t>data/cobblemon/spawn_pool_world/0314_illumise.json</t>
        </is>
      </c>
      <c r="AN1188" s="18" t="inlineStr">
        <is>
          <t>illumise-2</t>
        </is>
      </c>
      <c r="AO1188" s="18" t="inlineStr">
        <is>
          <t>pokemon</t>
        </is>
      </c>
      <c r="AP1188" s="18" t="inlineStr">
        <is>
          <t>water</t>
        </is>
      </c>
      <c r="AQ1188" s="18" t="inlineStr">
        <is>
          <t>{"biomes":["#cobblemon:is_freshwater"],"isRaining":false,"maxSkyLight":15,"minSkyLight":8,"timeRange":"night"}</t>
        </is>
      </c>
      <c r="AR1188" s="18" t="inlineStr">
        <is>
          <t>{"biomes":["#cobblemon:is_freezing"]}</t>
        </is>
      </c>
      <c r="AS1188" s="18" t="inlineStr"/>
      <c r="AT1188" s="19" t="inlineStr"/>
    </row>
    <row r="1189" ht="32" customHeight="1">
      <c r="A1189" s="18" t="inlineStr">
        <is>
          <t>0314_illumise.json::illumise-3::003</t>
        </is>
      </c>
      <c r="B1189" s="19" t="inlineStr">
        <is>
          <t>사용</t>
        </is>
      </c>
      <c r="C1189" s="18">
        <f>IF(OR(B1189&lt;&gt;AK1189,M1189&lt;&gt;L1189,O1189&lt;&gt;"",Q1189&lt;&gt;"",V1189&lt;&gt;1,Y1189&lt;&gt;"",AT1189&lt;&gt;""),"수정","원본")</f>
        <v/>
      </c>
      <c r="D1189" s="18" t="n">
        <v>314</v>
      </c>
      <c r="E1189" s="18" t="inlineStr">
        <is>
          <t>네오비트</t>
        </is>
      </c>
      <c r="F1189" s="18" t="inlineStr">
        <is>
          <t>illumise</t>
        </is>
      </c>
      <c r="G1189" s="18" t="inlineStr">
        <is>
          <t>illumise</t>
        </is>
      </c>
      <c r="H1189" s="18" t="inlineStr"/>
      <c r="I1189" s="18" t="n">
        <v>3</v>
      </c>
      <c r="J1189" s="18" t="n"/>
      <c r="K1189" s="18" t="n">
        <v>3</v>
      </c>
      <c r="L1189" s="18" t="inlineStr">
        <is>
          <t>cobbleventure:generation_3</t>
        </is>
      </c>
      <c r="M1189" s="19" t="inlineStr">
        <is>
          <t>cobbleventure:generation_3</t>
        </is>
      </c>
      <c r="N1189" s="18" t="inlineStr"/>
      <c r="O1189" s="19" t="inlineStr"/>
      <c r="P1189" s="18" t="inlineStr">
        <is>
          <t>the_bumblezone:floral_meadow</t>
        </is>
      </c>
      <c r="Q1189" s="19" t="inlineStr"/>
      <c r="R1189" s="18">
        <f>IF(Q1189="",P1189,Q1189)</f>
        <v/>
      </c>
      <c r="S1189" s="18" t="inlineStr"/>
      <c r="T1189" s="18" t="inlineStr">
        <is>
          <t>common</t>
        </is>
      </c>
      <c r="U1189" s="20" t="n">
        <v>3</v>
      </c>
      <c r="V1189" s="21" t="n">
        <v>1</v>
      </c>
      <c r="W1189" s="20">
        <f>IF(OR(U1189="",V1189=""),U1189,U1189*V1189)</f>
        <v/>
      </c>
      <c r="X1189" s="18" t="inlineStr">
        <is>
          <t>18-43</t>
        </is>
      </c>
      <c r="Y1189" s="19" t="inlineStr"/>
      <c r="Z1189" s="18">
        <f>IF(Y1189="",X1189,Y1189)</f>
        <v/>
      </c>
      <c r="AA1189" s="18" t="inlineStr">
        <is>
          <t>grounded</t>
        </is>
      </c>
      <c r="AB1189" s="18" t="inlineStr"/>
      <c r="AC1189" s="18" t="inlineStr"/>
      <c r="AD1189" s="18" t="inlineStr"/>
      <c r="AE1189" s="18" t="inlineStr"/>
      <c r="AF1189" s="18" t="inlineStr"/>
      <c r="AG1189" s="18" t="inlineStr"/>
      <c r="AH1189" s="18" t="inlineStr"/>
      <c r="AI1189" s="18" t="inlineStr"/>
      <c r="AJ1189" s="18" t="inlineStr">
        <is>
          <t>Cobblemon 동일</t>
        </is>
      </c>
      <c r="AK1189" s="18" t="inlineStr">
        <is>
          <t>사용</t>
        </is>
      </c>
      <c r="AL1189" s="18" t="inlineStr">
        <is>
          <t>COBBLEVERSE 1.7.42 / DP v31</t>
        </is>
      </c>
      <c r="AM1189" s="18" t="inlineStr">
        <is>
          <t>data/cobblemon/spawn_pool_world/0314_illumise.json</t>
        </is>
      </c>
      <c r="AN1189" s="18" t="inlineStr">
        <is>
          <t>illumise-3</t>
        </is>
      </c>
      <c r="AO1189" s="18" t="inlineStr">
        <is>
          <t>pokemon</t>
        </is>
      </c>
      <c r="AP1189" s="18" t="inlineStr"/>
      <c r="AQ1189" s="18" t="inlineStr">
        <is>
          <t>{"biomes":["the_bumblezone:floral_meadow"]}</t>
        </is>
      </c>
      <c r="AR1189" s="18" t="inlineStr">
        <is>
          <t>{"structures":["#the_bumblezone:sempiternal_sanctums"]}</t>
        </is>
      </c>
      <c r="AS1189" s="18" t="inlineStr"/>
      <c r="AT1189" s="19" t="inlineStr"/>
    </row>
    <row r="1190" ht="32" customHeight="1">
      <c r="A1190" s="18" t="inlineStr">
        <is>
          <t>0314_illumise.json::illumise-4::004</t>
        </is>
      </c>
      <c r="B1190" s="19" t="inlineStr">
        <is>
          <t>사용</t>
        </is>
      </c>
      <c r="C1190" s="18">
        <f>IF(OR(B1190&lt;&gt;AK1190,M1190&lt;&gt;L1190,O1190&lt;&gt;"",Q1190&lt;&gt;"",V1190&lt;&gt;1,Y1190&lt;&gt;"",AT1190&lt;&gt;""),"수정","원본")</f>
        <v/>
      </c>
      <c r="D1190" s="18" t="n">
        <v>314</v>
      </c>
      <c r="E1190" s="18" t="inlineStr">
        <is>
          <t>네오비트</t>
        </is>
      </c>
      <c r="F1190" s="18" t="inlineStr">
        <is>
          <t>illumise</t>
        </is>
      </c>
      <c r="G1190" s="18" t="inlineStr">
        <is>
          <t>illumise</t>
        </is>
      </c>
      <c r="H1190" s="18" t="inlineStr"/>
      <c r="I1190" s="18" t="n">
        <v>3</v>
      </c>
      <c r="J1190" s="18" t="n"/>
      <c r="K1190" s="18" t="n">
        <v>3</v>
      </c>
      <c r="L1190" s="18" t="inlineStr">
        <is>
          <t>cobbleventure:generation_3</t>
        </is>
      </c>
      <c r="M1190" s="19" t="inlineStr">
        <is>
          <t>cobbleventure:generation_3</t>
        </is>
      </c>
      <c r="N1190" s="18" t="inlineStr"/>
      <c r="O1190" s="19" t="inlineStr"/>
      <c r="P1190" s="18" t="inlineStr">
        <is>
          <t>#the_bumblezone:the_bumblezone</t>
        </is>
      </c>
      <c r="Q1190" s="19" t="inlineStr"/>
      <c r="R1190" s="18">
        <f>IF(Q1190="",P1190,Q1190)</f>
        <v/>
      </c>
      <c r="S1190" s="18" t="inlineStr"/>
      <c r="T1190" s="18" t="inlineStr">
        <is>
          <t>uncommon</t>
        </is>
      </c>
      <c r="U1190" s="20" t="n">
        <v>3</v>
      </c>
      <c r="V1190" s="21" t="n">
        <v>1</v>
      </c>
      <c r="W1190" s="20">
        <f>IF(OR(U1190="",V1190=""),U1190,U1190*V1190)</f>
        <v/>
      </c>
      <c r="X1190" s="18" t="inlineStr">
        <is>
          <t>18-43</t>
        </is>
      </c>
      <c r="Y1190" s="19" t="inlineStr"/>
      <c r="Z1190" s="18">
        <f>IF(Y1190="",X1190,Y1190)</f>
        <v/>
      </c>
      <c r="AA1190" s="18" t="inlineStr">
        <is>
          <t>surface</t>
        </is>
      </c>
      <c r="AB1190" s="18" t="inlineStr"/>
      <c r="AC1190" s="18" t="inlineStr"/>
      <c r="AD1190" s="18" t="inlineStr"/>
      <c r="AE1190" s="18" t="inlineStr"/>
      <c r="AF1190" s="18" t="inlineStr"/>
      <c r="AG1190" s="18" t="inlineStr"/>
      <c r="AH1190" s="18" t="inlineStr"/>
      <c r="AI1190" s="18" t="inlineStr"/>
      <c r="AJ1190" s="18" t="inlineStr">
        <is>
          <t>Cobblemon 동일</t>
        </is>
      </c>
      <c r="AK1190" s="18" t="inlineStr">
        <is>
          <t>사용</t>
        </is>
      </c>
      <c r="AL1190" s="18" t="inlineStr">
        <is>
          <t>COBBLEVERSE 1.7.42 / DP v31</t>
        </is>
      </c>
      <c r="AM1190" s="18" t="inlineStr">
        <is>
          <t>data/cobblemon/spawn_pool_world/0314_illumise.json</t>
        </is>
      </c>
      <c r="AN1190" s="18" t="inlineStr">
        <is>
          <t>illumise-4</t>
        </is>
      </c>
      <c r="AO1190" s="18" t="inlineStr">
        <is>
          <t>pokemon</t>
        </is>
      </c>
      <c r="AP1190" s="18" t="inlineStr">
        <is>
          <t>water</t>
        </is>
      </c>
      <c r="AQ1190" s="18" t="inlineStr">
        <is>
          <t>{"biomes":["#the_bumblezone:the_bumblezone"]}</t>
        </is>
      </c>
      <c r="AR1190" s="18" t="inlineStr">
        <is>
          <t>{"structures":["#the_bumblezone:sempiternal_sanctums"]}</t>
        </is>
      </c>
      <c r="AS1190" s="18" t="inlineStr"/>
      <c r="AT1190" s="19" t="inlineStr"/>
    </row>
    <row r="1191" ht="32" customHeight="1">
      <c r="A1191" s="18" t="inlineStr">
        <is>
          <t>0315_roselia.json::roselia-1::001</t>
        </is>
      </c>
      <c r="B1191" s="19" t="inlineStr">
        <is>
          <t>사용</t>
        </is>
      </c>
      <c r="C1191" s="18">
        <f>IF(OR(B1191&lt;&gt;AK1191,M1191&lt;&gt;L1191,O1191&lt;&gt;"",Q1191&lt;&gt;"",V1191&lt;&gt;1,Y1191&lt;&gt;"",AT1191&lt;&gt;""),"수정","원본")</f>
        <v/>
      </c>
      <c r="D1191" s="18" t="n">
        <v>315</v>
      </c>
      <c r="E1191" s="18" t="inlineStr">
        <is>
          <t>로젤리아</t>
        </is>
      </c>
      <c r="F1191" s="18" t="inlineStr">
        <is>
          <t>roselia</t>
        </is>
      </c>
      <c r="G1191" s="18" t="inlineStr">
        <is>
          <t>roselia</t>
        </is>
      </c>
      <c r="H1191" s="18" t="inlineStr"/>
      <c r="I1191" s="18" t="n">
        <v>3</v>
      </c>
      <c r="J1191" s="18" t="n"/>
      <c r="K1191" s="18" t="n">
        <v>3</v>
      </c>
      <c r="L1191" s="18" t="inlineStr">
        <is>
          <t>cobbleventure:generation_3</t>
        </is>
      </c>
      <c r="M1191" s="19" t="inlineStr">
        <is>
          <t>cobbleventure:generation_3</t>
        </is>
      </c>
      <c r="N1191" s="18" t="inlineStr"/>
      <c r="O1191" s="19" t="inlineStr"/>
      <c r="P1191" s="18" t="inlineStr">
        <is>
          <t>#aether:is_aether; #cobblemon:is_floral</t>
        </is>
      </c>
      <c r="Q1191" s="19" t="inlineStr"/>
      <c r="R1191" s="18">
        <f>IF(Q1191="",P1191,Q1191)</f>
        <v/>
      </c>
      <c r="S1191" s="18" t="inlineStr"/>
      <c r="T1191" s="18" t="inlineStr">
        <is>
          <t>common</t>
        </is>
      </c>
      <c r="U1191" s="20" t="n">
        <v>0.95</v>
      </c>
      <c r="V1191" s="21" t="n">
        <v>1</v>
      </c>
      <c r="W1191" s="20">
        <f>IF(OR(U1191="",V1191=""),U1191,U1191*V1191)</f>
        <v/>
      </c>
      <c r="X1191" s="18" t="inlineStr">
        <is>
          <t>23-40</t>
        </is>
      </c>
      <c r="Y1191" s="19" t="inlineStr"/>
      <c r="Z1191" s="18">
        <f>IF(Y1191="",X1191,Y1191)</f>
        <v/>
      </c>
      <c r="AA1191" s="18" t="inlineStr">
        <is>
          <t>grounded</t>
        </is>
      </c>
      <c r="AB1191" s="18" t="inlineStr"/>
      <c r="AC1191" s="18" t="inlineStr"/>
      <c r="AD1191" s="18" t="inlineStr"/>
      <c r="AE1191" s="18" t="inlineStr">
        <is>
          <t>sky 8-15</t>
        </is>
      </c>
      <c r="AF1191" s="18" t="inlineStr"/>
      <c r="AG1191" s="18" t="inlineStr"/>
      <c r="AH1191" s="18" t="inlineStr"/>
      <c r="AI1191" s="18" t="inlineStr"/>
      <c r="AJ1191" s="18" t="inlineStr">
        <is>
          <t>COBBLEVERSE 수정</t>
        </is>
      </c>
      <c r="AK1191" s="18" t="inlineStr">
        <is>
          <t>사용</t>
        </is>
      </c>
      <c r="AL1191" s="18" t="inlineStr">
        <is>
          <t>COBBLEVERSE 1.7.42 / DP v31</t>
        </is>
      </c>
      <c r="AM1191" s="18" t="inlineStr">
        <is>
          <t>data/cobblemon/spawn_pool_world/0315_roselia.json</t>
        </is>
      </c>
      <c r="AN1191" s="18" t="inlineStr">
        <is>
          <t>roselia-1</t>
        </is>
      </c>
      <c r="AO1191" s="18" t="inlineStr">
        <is>
          <t>pokemon</t>
        </is>
      </c>
      <c r="AP1191" s="18" t="inlineStr">
        <is>
          <t>natural</t>
        </is>
      </c>
      <c r="AQ1191" s="18" t="inlineStr">
        <is>
          <t>{"biomes":["#aether:is_aether","#cobblemon:is_floral"],"maxSkyLight":15,"minSkyLight":8}</t>
        </is>
      </c>
      <c r="AR1191" s="18" t="inlineStr"/>
      <c r="AS1191" s="18" t="inlineStr"/>
      <c r="AT1191" s="19" t="inlineStr"/>
    </row>
    <row r="1192" ht="32" customHeight="1">
      <c r="A1192" s="18" t="inlineStr">
        <is>
          <t>0316_gulpin.json::gulpin-1::001</t>
        </is>
      </c>
      <c r="B1192" s="19" t="inlineStr">
        <is>
          <t>사용</t>
        </is>
      </c>
      <c r="C1192" s="18">
        <f>IF(OR(B1192&lt;&gt;AK1192,M1192&lt;&gt;L1192,O1192&lt;&gt;"",Q1192&lt;&gt;"",V1192&lt;&gt;1,Y1192&lt;&gt;"",AT1192&lt;&gt;""),"수정","원본")</f>
        <v/>
      </c>
      <c r="D1192" s="18" t="n">
        <v>316</v>
      </c>
      <c r="E1192" s="18" t="inlineStr">
        <is>
          <t>꼴깍몬</t>
        </is>
      </c>
      <c r="F1192" s="18" t="inlineStr">
        <is>
          <t>gulpin</t>
        </is>
      </c>
      <c r="G1192" s="18" t="inlineStr">
        <is>
          <t>gulpin</t>
        </is>
      </c>
      <c r="H1192" s="18" t="inlineStr"/>
      <c r="I1192" s="18" t="n">
        <v>3</v>
      </c>
      <c r="J1192" s="18" t="n"/>
      <c r="K1192" s="18" t="n">
        <v>3</v>
      </c>
      <c r="L1192" s="18" t="inlineStr">
        <is>
          <t>cobbleventure:generation_3</t>
        </is>
      </c>
      <c r="M1192" s="19" t="inlineStr">
        <is>
          <t>cobbleventure:generation_3</t>
        </is>
      </c>
      <c r="N1192" s="18" t="inlineStr">
        <is>
          <t>region_02</t>
        </is>
      </c>
      <c r="O1192" s="19" t="inlineStr"/>
      <c r="P1192" s="18" t="inlineStr">
        <is>
          <t>#cobblemon:is_swamp</t>
        </is>
      </c>
      <c r="Q1192" s="19" t="inlineStr"/>
      <c r="R1192" s="18">
        <f>IF(Q1192="",P1192,Q1192)</f>
        <v/>
      </c>
      <c r="S1192" s="18" t="inlineStr"/>
      <c r="T1192" s="18" t="inlineStr">
        <is>
          <t>common</t>
        </is>
      </c>
      <c r="U1192" s="20" t="n">
        <v>7</v>
      </c>
      <c r="V1192" s="21" t="n">
        <v>1</v>
      </c>
      <c r="W1192" s="20">
        <f>IF(OR(U1192="",V1192=""),U1192,U1192*V1192)</f>
        <v/>
      </c>
      <c r="X1192" s="18" t="inlineStr">
        <is>
          <t>8-25</t>
        </is>
      </c>
      <c r="Y1192" s="19" t="inlineStr"/>
      <c r="Z1192" s="18">
        <f>IF(Y1192="",X1192,Y1192)</f>
        <v/>
      </c>
      <c r="AA1192" s="18" t="inlineStr">
        <is>
          <t>grounded</t>
        </is>
      </c>
      <c r="AB1192" s="18" t="inlineStr"/>
      <c r="AC1192" s="18" t="inlineStr"/>
      <c r="AD1192" s="18" t="inlineStr"/>
      <c r="AE1192" s="18" t="inlineStr"/>
      <c r="AF1192" s="18" t="inlineStr"/>
      <c r="AG1192" s="18" t="inlineStr"/>
      <c r="AH1192" s="18" t="inlineStr"/>
      <c r="AI1192" s="18" t="inlineStr"/>
      <c r="AJ1192" s="18" t="inlineStr">
        <is>
          <t>COBBLEVERSE 추가</t>
        </is>
      </c>
      <c r="AK1192" s="18" t="inlineStr">
        <is>
          <t>사용</t>
        </is>
      </c>
      <c r="AL1192" s="18" t="inlineStr">
        <is>
          <t>COBBLEVERSE 1.7.42 / DP v31</t>
        </is>
      </c>
      <c r="AM1192" s="18" t="inlineStr">
        <is>
          <t>data/cobblemon/spawn_pool_world/0316_gulpin.json</t>
        </is>
      </c>
      <c r="AN1192" s="18" t="inlineStr">
        <is>
          <t>gulpin-1</t>
        </is>
      </c>
      <c r="AO1192" s="18" t="inlineStr">
        <is>
          <t>pokemon</t>
        </is>
      </c>
      <c r="AP1192" s="18" t="inlineStr">
        <is>
          <t>natural</t>
        </is>
      </c>
      <c r="AQ1192" s="18" t="inlineStr">
        <is>
          <t>{"biomes":["#cobblemon:is_swamp"]}</t>
        </is>
      </c>
      <c r="AR1192" s="18" t="inlineStr"/>
      <c r="AS1192" s="18" t="inlineStr"/>
      <c r="AT1192" s="19" t="inlineStr"/>
    </row>
    <row r="1193" ht="32" customHeight="1">
      <c r="A1193" s="18" t="inlineStr">
        <is>
          <t>0317_swalot.json::swalot-1::001</t>
        </is>
      </c>
      <c r="B1193" s="19" t="inlineStr">
        <is>
          <t>사용</t>
        </is>
      </c>
      <c r="C1193" s="18">
        <f>IF(OR(B1193&lt;&gt;AK1193,M1193&lt;&gt;L1193,O1193&lt;&gt;"",Q1193&lt;&gt;"",V1193&lt;&gt;1,Y1193&lt;&gt;"",AT1193&lt;&gt;""),"수정","원본")</f>
        <v/>
      </c>
      <c r="D1193" s="18" t="n">
        <v>317</v>
      </c>
      <c r="E1193" s="18" t="inlineStr">
        <is>
          <t>꿀꺽몬</t>
        </is>
      </c>
      <c r="F1193" s="18" t="inlineStr">
        <is>
          <t>swalot</t>
        </is>
      </c>
      <c r="G1193" s="18" t="inlineStr">
        <is>
          <t>swalot</t>
        </is>
      </c>
      <c r="H1193" s="18" t="inlineStr"/>
      <c r="I1193" s="18" t="n">
        <v>3</v>
      </c>
      <c r="J1193" s="18" t="n"/>
      <c r="K1193" s="18" t="n">
        <v>3</v>
      </c>
      <c r="L1193" s="18" t="inlineStr">
        <is>
          <t>cobbleventure:generation_3</t>
        </is>
      </c>
      <c r="M1193" s="19" t="inlineStr">
        <is>
          <t>cobbleventure:generation_3</t>
        </is>
      </c>
      <c r="N1193" s="18" t="inlineStr">
        <is>
          <t>region_02</t>
        </is>
      </c>
      <c r="O1193" s="19" t="inlineStr"/>
      <c r="P1193" s="18" t="inlineStr">
        <is>
          <t>#cobblemon:is_swamp</t>
        </is>
      </c>
      <c r="Q1193" s="19" t="inlineStr"/>
      <c r="R1193" s="18">
        <f>IF(Q1193="",P1193,Q1193)</f>
        <v/>
      </c>
      <c r="S1193" s="18" t="inlineStr"/>
      <c r="T1193" s="18" t="inlineStr">
        <is>
          <t>uncommon</t>
        </is>
      </c>
      <c r="U1193" s="20" t="n">
        <v>5</v>
      </c>
      <c r="V1193" s="21" t="n">
        <v>1</v>
      </c>
      <c r="W1193" s="20">
        <f>IF(OR(U1193="",V1193=""),U1193,U1193*V1193)</f>
        <v/>
      </c>
      <c r="X1193" s="18" t="inlineStr">
        <is>
          <t>25-48</t>
        </is>
      </c>
      <c r="Y1193" s="19" t="inlineStr"/>
      <c r="Z1193" s="18">
        <f>IF(Y1193="",X1193,Y1193)</f>
        <v/>
      </c>
      <c r="AA1193" s="18" t="inlineStr">
        <is>
          <t>grounded</t>
        </is>
      </c>
      <c r="AB1193" s="18" t="inlineStr"/>
      <c r="AC1193" s="18" t="inlineStr"/>
      <c r="AD1193" s="18" t="inlineStr"/>
      <c r="AE1193" s="18" t="inlineStr"/>
      <c r="AF1193" s="18" t="inlineStr"/>
      <c r="AG1193" s="18" t="inlineStr"/>
      <c r="AH1193" s="18" t="inlineStr"/>
      <c r="AI1193" s="18" t="inlineStr"/>
      <c r="AJ1193" s="18" t="inlineStr">
        <is>
          <t>COBBLEVERSE 추가</t>
        </is>
      </c>
      <c r="AK1193" s="18" t="inlineStr">
        <is>
          <t>사용</t>
        </is>
      </c>
      <c r="AL1193" s="18" t="inlineStr">
        <is>
          <t>COBBLEVERSE 1.7.42 / DP v31</t>
        </is>
      </c>
      <c r="AM1193" s="18" t="inlineStr">
        <is>
          <t>data/cobblemon/spawn_pool_world/0317_swalot.json</t>
        </is>
      </c>
      <c r="AN1193" s="18" t="inlineStr">
        <is>
          <t>swalot-1</t>
        </is>
      </c>
      <c r="AO1193" s="18" t="inlineStr">
        <is>
          <t>pokemon</t>
        </is>
      </c>
      <c r="AP1193" s="18" t="inlineStr">
        <is>
          <t>natural</t>
        </is>
      </c>
      <c r="AQ1193" s="18" t="inlineStr">
        <is>
          <t>{"biomes":["#cobblemon:is_swamp"]}</t>
        </is>
      </c>
      <c r="AR1193" s="18" t="inlineStr"/>
      <c r="AS1193" s="18" t="inlineStr"/>
      <c r="AT1193" s="19" t="inlineStr"/>
    </row>
    <row r="1194" ht="32" customHeight="1">
      <c r="A1194" s="18" t="inlineStr">
        <is>
          <t>0318_carvanha.json::carvanha-1::001</t>
        </is>
      </c>
      <c r="B1194" s="19" t="inlineStr">
        <is>
          <t>사용</t>
        </is>
      </c>
      <c r="C1194" s="18">
        <f>IF(OR(B1194&lt;&gt;AK1194,M1194&lt;&gt;L1194,O1194&lt;&gt;"",Q1194&lt;&gt;"",V1194&lt;&gt;1,Y1194&lt;&gt;"",AT1194&lt;&gt;""),"수정","원본")</f>
        <v/>
      </c>
      <c r="D1194" s="18" t="n">
        <v>318</v>
      </c>
      <c r="E1194" s="18" t="inlineStr">
        <is>
          <t>샤프니아</t>
        </is>
      </c>
      <c r="F1194" s="18" t="inlineStr">
        <is>
          <t>carvanha</t>
        </is>
      </c>
      <c r="G1194" s="18" t="inlineStr">
        <is>
          <t>carvanha</t>
        </is>
      </c>
      <c r="H1194" s="18" t="inlineStr"/>
      <c r="I1194" s="18" t="n">
        <v>3</v>
      </c>
      <c r="J1194" s="18" t="n"/>
      <c r="K1194" s="18" t="n">
        <v>3</v>
      </c>
      <c r="L1194" s="18" t="inlineStr">
        <is>
          <t>cobbleventure:generation_3</t>
        </is>
      </c>
      <c r="M1194" s="19" t="inlineStr">
        <is>
          <t>cobbleventure:generation_3</t>
        </is>
      </c>
      <c r="N1194" s="18" t="inlineStr">
        <is>
          <t>region_02</t>
        </is>
      </c>
      <c r="O1194" s="19" t="inlineStr"/>
      <c r="P1194" s="18" t="inlineStr">
        <is>
          <t>#cobblemon:is_ocean; #cobblemon:is_swamp</t>
        </is>
      </c>
      <c r="Q1194" s="19" t="inlineStr"/>
      <c r="R1194" s="18">
        <f>IF(Q1194="",P1194,Q1194)</f>
        <v/>
      </c>
      <c r="S1194" s="18" t="inlineStr"/>
      <c r="T1194" s="18" t="inlineStr">
        <is>
          <t>common</t>
        </is>
      </c>
      <c r="U1194" s="20" t="n">
        <v>1.8</v>
      </c>
      <c r="V1194" s="21" t="n">
        <v>1</v>
      </c>
      <c r="W1194" s="20">
        <f>IF(OR(U1194="",V1194=""),U1194,U1194*V1194)</f>
        <v/>
      </c>
      <c r="X1194" s="18" t="inlineStr">
        <is>
          <t>6-31</t>
        </is>
      </c>
      <c r="Y1194" s="19" t="inlineStr"/>
      <c r="Z1194" s="18">
        <f>IF(Y1194="",X1194,Y1194)</f>
        <v/>
      </c>
      <c r="AA1194" s="18" t="inlineStr">
        <is>
          <t>submerged</t>
        </is>
      </c>
      <c r="AB1194" s="18" t="inlineStr"/>
      <c r="AC1194" s="18" t="inlineStr"/>
      <c r="AD1194" s="18" t="inlineStr"/>
      <c r="AE1194" s="18" t="inlineStr"/>
      <c r="AF1194" s="18" t="inlineStr">
        <is>
          <t>True</t>
        </is>
      </c>
      <c r="AG1194" s="18" t="inlineStr"/>
      <c r="AH1194" s="18" t="inlineStr"/>
      <c r="AI1194" s="18" t="inlineStr"/>
      <c r="AJ1194" s="18" t="inlineStr">
        <is>
          <t>Cobblemon 동일</t>
        </is>
      </c>
      <c r="AK1194" s="18" t="inlineStr">
        <is>
          <t>사용</t>
        </is>
      </c>
      <c r="AL1194" s="18" t="inlineStr">
        <is>
          <t>COBBLEVERSE 1.7.42 / DP v31</t>
        </is>
      </c>
      <c r="AM1194" s="18" t="inlineStr">
        <is>
          <t>data/cobblemon/spawn_pool_world/0318_carvanha.json</t>
        </is>
      </c>
      <c r="AN1194" s="18" t="inlineStr">
        <is>
          <t>carvanha-1</t>
        </is>
      </c>
      <c r="AO1194" s="18" t="inlineStr">
        <is>
          <t>pokemon</t>
        </is>
      </c>
      <c r="AP1194" s="18" t="inlineStr">
        <is>
          <t>water</t>
        </is>
      </c>
      <c r="AQ1194" s="18" t="inlineStr">
        <is>
          <t>{"biomes":["#cobblemon:is_ocean","#cobblemon:is_swamp"],"canSeeSky":true}</t>
        </is>
      </c>
      <c r="AR1194" s="18" t="inlineStr"/>
      <c r="AS1194" s="18" t="inlineStr"/>
      <c r="AT1194" s="19" t="inlineStr"/>
    </row>
    <row r="1195" ht="32" customHeight="1">
      <c r="A1195" s="18" t="inlineStr">
        <is>
          <t>0318_carvanha.json::carvanha-2::002</t>
        </is>
      </c>
      <c r="B1195" s="19" t="inlineStr">
        <is>
          <t>사용</t>
        </is>
      </c>
      <c r="C1195" s="18">
        <f>IF(OR(B1195&lt;&gt;AK1195,M1195&lt;&gt;L1195,O1195&lt;&gt;"",Q1195&lt;&gt;"",V1195&lt;&gt;1,Y1195&lt;&gt;"",AT1195&lt;&gt;""),"수정","원본")</f>
        <v/>
      </c>
      <c r="D1195" s="18" t="n">
        <v>318</v>
      </c>
      <c r="E1195" s="18" t="inlineStr">
        <is>
          <t>샤프니아</t>
        </is>
      </c>
      <c r="F1195" s="18" t="inlineStr">
        <is>
          <t>carvanha</t>
        </is>
      </c>
      <c r="G1195" s="18" t="inlineStr">
        <is>
          <t>carvanha</t>
        </is>
      </c>
      <c r="H1195" s="18" t="inlineStr"/>
      <c r="I1195" s="18" t="n">
        <v>3</v>
      </c>
      <c r="J1195" s="18" t="n"/>
      <c r="K1195" s="18" t="n">
        <v>3</v>
      </c>
      <c r="L1195" s="18" t="inlineStr">
        <is>
          <t>cobbleventure:generation_3</t>
        </is>
      </c>
      <c r="M1195" s="19" t="inlineStr">
        <is>
          <t>cobbleventure:generation_3</t>
        </is>
      </c>
      <c r="N1195" s="18" t="inlineStr"/>
      <c r="O1195" s="19" t="inlineStr"/>
      <c r="P1195" s="18" t="inlineStr">
        <is>
          <t>#cobblemon:is_ocean</t>
        </is>
      </c>
      <c r="Q1195" s="19" t="inlineStr"/>
      <c r="R1195" s="18">
        <f>IF(Q1195="",P1195,Q1195)</f>
        <v/>
      </c>
      <c r="S1195" s="18" t="inlineStr"/>
      <c r="T1195" s="18" t="inlineStr">
        <is>
          <t>common</t>
        </is>
      </c>
      <c r="U1195" s="20" t="n">
        <v>1.8</v>
      </c>
      <c r="V1195" s="21" t="n">
        <v>1</v>
      </c>
      <c r="W1195" s="20">
        <f>IF(OR(U1195="",V1195=""),U1195,U1195*V1195)</f>
        <v/>
      </c>
      <c r="X1195" s="18" t="inlineStr">
        <is>
          <t>6-31</t>
        </is>
      </c>
      <c r="Y1195" s="19" t="inlineStr"/>
      <c r="Z1195" s="18">
        <f>IF(Y1195="",X1195,Y1195)</f>
        <v/>
      </c>
      <c r="AA1195" s="18" t="inlineStr">
        <is>
          <t>fishing</t>
        </is>
      </c>
      <c r="AB1195" s="18" t="inlineStr"/>
      <c r="AC1195" s="18" t="inlineStr"/>
      <c r="AD1195" s="18" t="inlineStr"/>
      <c r="AE1195" s="18" t="inlineStr"/>
      <c r="AF1195" s="18" t="inlineStr">
        <is>
          <t>True</t>
        </is>
      </c>
      <c r="AG1195" s="18" t="inlineStr"/>
      <c r="AH1195" s="18" t="inlineStr"/>
      <c r="AI1195" s="18" t="inlineStr"/>
      <c r="AJ1195" s="18" t="inlineStr">
        <is>
          <t>Cobblemon 동일</t>
        </is>
      </c>
      <c r="AK1195" s="18" t="inlineStr">
        <is>
          <t>사용</t>
        </is>
      </c>
      <c r="AL1195" s="18" t="inlineStr">
        <is>
          <t>COBBLEVERSE 1.7.42 / DP v31</t>
        </is>
      </c>
      <c r="AM1195" s="18" t="inlineStr">
        <is>
          <t>data/cobblemon/spawn_pool_world/0318_carvanha.json</t>
        </is>
      </c>
      <c r="AN1195" s="18" t="inlineStr">
        <is>
          <t>carvanha-2</t>
        </is>
      </c>
      <c r="AO1195" s="18" t="inlineStr">
        <is>
          <t>pokemon</t>
        </is>
      </c>
      <c r="AP1195" s="18" t="inlineStr"/>
      <c r="AQ1195" s="18" t="inlineStr">
        <is>
          <t>{"biomes":["#cobblemon:is_ocean"],"canSeeSky":true}</t>
        </is>
      </c>
      <c r="AR1195" s="18" t="inlineStr"/>
      <c r="AS1195" s="18" t="inlineStr">
        <is>
          <t>{"weightMultipliers":[{"condition":{"maxLureLevel":2,"minLureLevel":2},"multiplier":3.0},{"condition":{"minLureLevel":3},"multiplier":5.0}]}</t>
        </is>
      </c>
      <c r="AT1195" s="19" t="inlineStr"/>
    </row>
    <row r="1196" ht="32" customHeight="1">
      <c r="A1196" s="18" t="inlineStr">
        <is>
          <t>0318_carvanha.json::carvanha-3::003</t>
        </is>
      </c>
      <c r="B1196" s="19" t="inlineStr">
        <is>
          <t>사용</t>
        </is>
      </c>
      <c r="C1196" s="18">
        <f>IF(OR(B1196&lt;&gt;AK1196,M1196&lt;&gt;L1196,O1196&lt;&gt;"",Q1196&lt;&gt;"",V1196&lt;&gt;1,Y1196&lt;&gt;"",AT1196&lt;&gt;""),"수정","원본")</f>
        <v/>
      </c>
      <c r="D1196" s="18" t="n">
        <v>318</v>
      </c>
      <c r="E1196" s="18" t="inlineStr">
        <is>
          <t>샤프니아</t>
        </is>
      </c>
      <c r="F1196" s="18" t="inlineStr">
        <is>
          <t>carvanha</t>
        </is>
      </c>
      <c r="G1196" s="18" t="inlineStr">
        <is>
          <t>carvanha</t>
        </is>
      </c>
      <c r="H1196" s="18" t="inlineStr"/>
      <c r="I1196" s="18" t="n">
        <v>3</v>
      </c>
      <c r="J1196" s="18" t="n"/>
      <c r="K1196" s="18" t="n">
        <v>3</v>
      </c>
      <c r="L1196" s="18" t="inlineStr">
        <is>
          <t>cobbleventure:generation_3</t>
        </is>
      </c>
      <c r="M1196" s="19" t="inlineStr">
        <is>
          <t>cobbleventure:generation_3</t>
        </is>
      </c>
      <c r="N1196" s="18" t="inlineStr">
        <is>
          <t>region_02</t>
        </is>
      </c>
      <c r="O1196" s="19" t="inlineStr"/>
      <c r="P1196" s="18" t="inlineStr">
        <is>
          <t>#cobblemon:is_jungle; #cobblemon:is_swamp</t>
        </is>
      </c>
      <c r="Q1196" s="19" t="inlineStr"/>
      <c r="R1196" s="18">
        <f>IF(Q1196="",P1196,Q1196)</f>
        <v/>
      </c>
      <c r="S1196" s="18" t="inlineStr"/>
      <c r="T1196" s="18" t="inlineStr">
        <is>
          <t>common</t>
        </is>
      </c>
      <c r="U1196" s="20" t="n">
        <v>2</v>
      </c>
      <c r="V1196" s="21" t="n">
        <v>1</v>
      </c>
      <c r="W1196" s="20">
        <f>IF(OR(U1196="",V1196=""),U1196,U1196*V1196)</f>
        <v/>
      </c>
      <c r="X1196" s="18" t="inlineStr">
        <is>
          <t>6-31</t>
        </is>
      </c>
      <c r="Y1196" s="19" t="inlineStr"/>
      <c r="Z1196" s="18">
        <f>IF(Y1196="",X1196,Y1196)</f>
        <v/>
      </c>
      <c r="AA1196" s="18" t="inlineStr">
        <is>
          <t>fishing</t>
        </is>
      </c>
      <c r="AB1196" s="18" t="inlineStr"/>
      <c r="AC1196" s="18" t="inlineStr"/>
      <c r="AD1196" s="18" t="inlineStr"/>
      <c r="AE1196" s="18" t="inlineStr"/>
      <c r="AF1196" s="18" t="inlineStr">
        <is>
          <t>True</t>
        </is>
      </c>
      <c r="AG1196" s="18" t="inlineStr"/>
      <c r="AH1196" s="18" t="inlineStr"/>
      <c r="AI1196" s="18" t="inlineStr"/>
      <c r="AJ1196" s="18" t="inlineStr">
        <is>
          <t>Cobblemon 동일</t>
        </is>
      </c>
      <c r="AK1196" s="18" t="inlineStr">
        <is>
          <t>사용</t>
        </is>
      </c>
      <c r="AL1196" s="18" t="inlineStr">
        <is>
          <t>COBBLEVERSE 1.7.42 / DP v31</t>
        </is>
      </c>
      <c r="AM1196" s="18" t="inlineStr">
        <is>
          <t>data/cobblemon/spawn_pool_world/0318_carvanha.json</t>
        </is>
      </c>
      <c r="AN1196" s="18" t="inlineStr">
        <is>
          <t>carvanha-3</t>
        </is>
      </c>
      <c r="AO1196" s="18" t="inlineStr">
        <is>
          <t>pokemon</t>
        </is>
      </c>
      <c r="AP1196" s="18" t="inlineStr"/>
      <c r="AQ1196" s="18" t="inlineStr">
        <is>
          <t>{"biomes":["#cobblemon:is_jungle","#cobblemon:is_swamp"],"canSeeSky":true}</t>
        </is>
      </c>
      <c r="AR1196" s="18" t="inlineStr"/>
      <c r="AS1196" s="18" t="inlineStr">
        <is>
          <t>{"weightMultipliers":[{"condition":{"maxLureLevel":2,"minLureLevel":2},"multiplier":3.0},{"condition":{"minLureLevel":3},"multiplier":5.0}]}</t>
        </is>
      </c>
      <c r="AT1196" s="19" t="inlineStr"/>
    </row>
    <row r="1197" ht="32" customHeight="1">
      <c r="A1197" s="18" t="inlineStr">
        <is>
          <t>0318_carvanha.json::carvanha-4::004</t>
        </is>
      </c>
      <c r="B1197" s="19" t="inlineStr">
        <is>
          <t>사용</t>
        </is>
      </c>
      <c r="C1197" s="18">
        <f>IF(OR(B1197&lt;&gt;AK1197,M1197&lt;&gt;L1197,O1197&lt;&gt;"",Q1197&lt;&gt;"",V1197&lt;&gt;1,Y1197&lt;&gt;"",AT1197&lt;&gt;""),"수정","원본")</f>
        <v/>
      </c>
      <c r="D1197" s="18" t="n">
        <v>318</v>
      </c>
      <c r="E1197" s="18" t="inlineStr">
        <is>
          <t>샤프니아</t>
        </is>
      </c>
      <c r="F1197" s="18" t="inlineStr">
        <is>
          <t>carvanha</t>
        </is>
      </c>
      <c r="G1197" s="18" t="inlineStr">
        <is>
          <t>carvanha</t>
        </is>
      </c>
      <c r="H1197" s="18" t="inlineStr"/>
      <c r="I1197" s="18" t="n">
        <v>3</v>
      </c>
      <c r="J1197" s="18" t="n"/>
      <c r="K1197" s="18" t="n">
        <v>3</v>
      </c>
      <c r="L1197" s="18" t="inlineStr">
        <is>
          <t>cobbleventure:generation_3</t>
        </is>
      </c>
      <c r="M1197" s="19" t="inlineStr">
        <is>
          <t>cobbleventure:generation_3</t>
        </is>
      </c>
      <c r="N1197" s="18" t="inlineStr">
        <is>
          <t>region_02</t>
        </is>
      </c>
      <c r="O1197" s="19" t="inlineStr"/>
      <c r="P1197" s="18" t="inlineStr">
        <is>
          <t>#cobblemon:is_ocean; #cobblemon:is_swamp</t>
        </is>
      </c>
      <c r="Q1197" s="19" t="inlineStr"/>
      <c r="R1197" s="18">
        <f>IF(Q1197="",P1197,Q1197)</f>
        <v/>
      </c>
      <c r="S1197" s="18" t="inlineStr"/>
      <c r="T1197" s="18" t="inlineStr">
        <is>
          <t>common</t>
        </is>
      </c>
      <c r="U1197" s="20" t="n">
        <v>1.8</v>
      </c>
      <c r="V1197" s="21" t="n">
        <v>1</v>
      </c>
      <c r="W1197" s="20">
        <f>IF(OR(U1197="",V1197=""),U1197,U1197*V1197)</f>
        <v/>
      </c>
      <c r="X1197" s="18" t="inlineStr">
        <is>
          <t>6-31</t>
        </is>
      </c>
      <c r="Y1197" s="19" t="inlineStr"/>
      <c r="Z1197" s="18">
        <f>IF(Y1197="",X1197,Y1197)</f>
        <v/>
      </c>
      <c r="AA1197" s="18" t="inlineStr">
        <is>
          <t>submerged</t>
        </is>
      </c>
      <c r="AB1197" s="18" t="inlineStr"/>
      <c r="AC1197" s="18" t="inlineStr"/>
      <c r="AD1197" s="18" t="inlineStr"/>
      <c r="AE1197" s="18" t="inlineStr">
        <is>
          <t>sky 8-15</t>
        </is>
      </c>
      <c r="AF1197" s="18" t="inlineStr">
        <is>
          <t>False</t>
        </is>
      </c>
      <c r="AG1197" s="18" t="inlineStr"/>
      <c r="AH1197" s="18" t="inlineStr"/>
      <c r="AI1197" s="18" t="inlineStr"/>
      <c r="AJ1197" s="18" t="inlineStr">
        <is>
          <t>Cobblemon 동일</t>
        </is>
      </c>
      <c r="AK1197" s="18" t="inlineStr">
        <is>
          <t>사용</t>
        </is>
      </c>
      <c r="AL1197" s="18" t="inlineStr">
        <is>
          <t>COBBLEVERSE 1.7.42 / DP v31</t>
        </is>
      </c>
      <c r="AM1197" s="18" t="inlineStr">
        <is>
          <t>data/cobblemon/spawn_pool_world/0318_carvanha.json</t>
        </is>
      </c>
      <c r="AN1197" s="18" t="inlineStr">
        <is>
          <t>carvanha-4</t>
        </is>
      </c>
      <c r="AO1197" s="18" t="inlineStr">
        <is>
          <t>pokemon</t>
        </is>
      </c>
      <c r="AP1197" s="18" t="inlineStr">
        <is>
          <t>water</t>
        </is>
      </c>
      <c r="AQ1197" s="18" t="inlineStr">
        <is>
          <t>{"biomes":["#cobblemon:is_ocean","#cobblemon:is_swamp"],"canSeeSky":false,"maxSkyLight":15,"minSkyLight":8}</t>
        </is>
      </c>
      <c r="AR1197" s="18" t="inlineStr"/>
      <c r="AS1197" s="18" t="inlineStr"/>
      <c r="AT1197" s="19" t="inlineStr"/>
    </row>
    <row r="1198" ht="32" customHeight="1">
      <c r="A1198" s="18" t="inlineStr">
        <is>
          <t>0318_carvanha.json::carvanha-5::005</t>
        </is>
      </c>
      <c r="B1198" s="19" t="inlineStr">
        <is>
          <t>사용</t>
        </is>
      </c>
      <c r="C1198" s="18">
        <f>IF(OR(B1198&lt;&gt;AK1198,M1198&lt;&gt;L1198,O1198&lt;&gt;"",Q1198&lt;&gt;"",V1198&lt;&gt;1,Y1198&lt;&gt;"",AT1198&lt;&gt;""),"수정","원본")</f>
        <v/>
      </c>
      <c r="D1198" s="18" t="n">
        <v>318</v>
      </c>
      <c r="E1198" s="18" t="inlineStr">
        <is>
          <t>샤프니아</t>
        </is>
      </c>
      <c r="F1198" s="18" t="inlineStr">
        <is>
          <t>carvanha</t>
        </is>
      </c>
      <c r="G1198" s="18" t="inlineStr">
        <is>
          <t>carvanha</t>
        </is>
      </c>
      <c r="H1198" s="18" t="inlineStr"/>
      <c r="I1198" s="18" t="n">
        <v>3</v>
      </c>
      <c r="J1198" s="18" t="n"/>
      <c r="K1198" s="18" t="n">
        <v>3</v>
      </c>
      <c r="L1198" s="18" t="inlineStr">
        <is>
          <t>cobbleventure:generation_3</t>
        </is>
      </c>
      <c r="M1198" s="19" t="inlineStr">
        <is>
          <t>cobbleventure:generation_3</t>
        </is>
      </c>
      <c r="N1198" s="18" t="inlineStr"/>
      <c r="O1198" s="19" t="inlineStr"/>
      <c r="P1198" s="18" t="inlineStr">
        <is>
          <t>#cobblemon:is_ocean</t>
        </is>
      </c>
      <c r="Q1198" s="19" t="inlineStr"/>
      <c r="R1198" s="18">
        <f>IF(Q1198="",P1198,Q1198)</f>
        <v/>
      </c>
      <c r="S1198" s="18" t="inlineStr"/>
      <c r="T1198" s="18" t="inlineStr">
        <is>
          <t>common</t>
        </is>
      </c>
      <c r="U1198" s="20" t="n">
        <v>1.8</v>
      </c>
      <c r="V1198" s="21" t="n">
        <v>1</v>
      </c>
      <c r="W1198" s="20">
        <f>IF(OR(U1198="",V1198=""),U1198,U1198*V1198)</f>
        <v/>
      </c>
      <c r="X1198" s="18" t="inlineStr">
        <is>
          <t>6-31</t>
        </is>
      </c>
      <c r="Y1198" s="19" t="inlineStr"/>
      <c r="Z1198" s="18">
        <f>IF(Y1198="",X1198,Y1198)</f>
        <v/>
      </c>
      <c r="AA1198" s="18" t="inlineStr">
        <is>
          <t>fishing</t>
        </is>
      </c>
      <c r="AB1198" s="18" t="inlineStr"/>
      <c r="AC1198" s="18" t="inlineStr"/>
      <c r="AD1198" s="18" t="inlineStr"/>
      <c r="AE1198" s="18" t="inlineStr">
        <is>
          <t>sky 8-15</t>
        </is>
      </c>
      <c r="AF1198" s="18" t="inlineStr">
        <is>
          <t>False</t>
        </is>
      </c>
      <c r="AG1198" s="18" t="inlineStr"/>
      <c r="AH1198" s="18" t="inlineStr"/>
      <c r="AI1198" s="18" t="inlineStr"/>
      <c r="AJ1198" s="18" t="inlineStr">
        <is>
          <t>Cobblemon 동일</t>
        </is>
      </c>
      <c r="AK1198" s="18" t="inlineStr">
        <is>
          <t>사용</t>
        </is>
      </c>
      <c r="AL1198" s="18" t="inlineStr">
        <is>
          <t>COBBLEVERSE 1.7.42 / DP v31</t>
        </is>
      </c>
      <c r="AM1198" s="18" t="inlineStr">
        <is>
          <t>data/cobblemon/spawn_pool_world/0318_carvanha.json</t>
        </is>
      </c>
      <c r="AN1198" s="18" t="inlineStr">
        <is>
          <t>carvanha-5</t>
        </is>
      </c>
      <c r="AO1198" s="18" t="inlineStr">
        <is>
          <t>pokemon</t>
        </is>
      </c>
      <c r="AP1198" s="18" t="inlineStr"/>
      <c r="AQ1198" s="18" t="inlineStr">
        <is>
          <t>{"biomes":["#cobblemon:is_ocean"],"canSeeSky":false,"maxSkyLight":15,"minSkyLight":8}</t>
        </is>
      </c>
      <c r="AR1198" s="18" t="inlineStr"/>
      <c r="AS1198" s="18" t="inlineStr">
        <is>
          <t>{"weightMultipliers":[{"condition":{"maxLureLevel":2,"minLureLevel":2},"multiplier":3.0},{"condition":{"minLureLevel":3},"multiplier":5.0}]}</t>
        </is>
      </c>
      <c r="AT1198" s="19" t="inlineStr"/>
    </row>
    <row r="1199" ht="32" customHeight="1">
      <c r="A1199" s="18" t="inlineStr">
        <is>
          <t>0318_carvanha.json::carvanha-6::006</t>
        </is>
      </c>
      <c r="B1199" s="19" t="inlineStr">
        <is>
          <t>사용</t>
        </is>
      </c>
      <c r="C1199" s="18">
        <f>IF(OR(B1199&lt;&gt;AK1199,M1199&lt;&gt;L1199,O1199&lt;&gt;"",Q1199&lt;&gt;"",V1199&lt;&gt;1,Y1199&lt;&gt;"",AT1199&lt;&gt;""),"수정","원본")</f>
        <v/>
      </c>
      <c r="D1199" s="18" t="n">
        <v>318</v>
      </c>
      <c r="E1199" s="18" t="inlineStr">
        <is>
          <t>샤프니아</t>
        </is>
      </c>
      <c r="F1199" s="18" t="inlineStr">
        <is>
          <t>carvanha</t>
        </is>
      </c>
      <c r="G1199" s="18" t="inlineStr">
        <is>
          <t>carvanha</t>
        </is>
      </c>
      <c r="H1199" s="18" t="inlineStr"/>
      <c r="I1199" s="18" t="n">
        <v>3</v>
      </c>
      <c r="J1199" s="18" t="n"/>
      <c r="K1199" s="18" t="n">
        <v>3</v>
      </c>
      <c r="L1199" s="18" t="inlineStr">
        <is>
          <t>cobbleventure:generation_3</t>
        </is>
      </c>
      <c r="M1199" s="19" t="inlineStr">
        <is>
          <t>cobbleventure:generation_3</t>
        </is>
      </c>
      <c r="N1199" s="18" t="inlineStr">
        <is>
          <t>region_02</t>
        </is>
      </c>
      <c r="O1199" s="19" t="inlineStr"/>
      <c r="P1199" s="18" t="inlineStr">
        <is>
          <t>#cobblemon:is_jungle; #cobblemon:is_swamp</t>
        </is>
      </c>
      <c r="Q1199" s="19" t="inlineStr"/>
      <c r="R1199" s="18">
        <f>IF(Q1199="",P1199,Q1199)</f>
        <v/>
      </c>
      <c r="S1199" s="18" t="inlineStr"/>
      <c r="T1199" s="18" t="inlineStr">
        <is>
          <t>common</t>
        </is>
      </c>
      <c r="U1199" s="20" t="n">
        <v>2</v>
      </c>
      <c r="V1199" s="21" t="n">
        <v>1</v>
      </c>
      <c r="W1199" s="20">
        <f>IF(OR(U1199="",V1199=""),U1199,U1199*V1199)</f>
        <v/>
      </c>
      <c r="X1199" s="18" t="inlineStr">
        <is>
          <t>6-31</t>
        </is>
      </c>
      <c r="Y1199" s="19" t="inlineStr"/>
      <c r="Z1199" s="18">
        <f>IF(Y1199="",X1199,Y1199)</f>
        <v/>
      </c>
      <c r="AA1199" s="18" t="inlineStr">
        <is>
          <t>fishing</t>
        </is>
      </c>
      <c r="AB1199" s="18" t="inlineStr"/>
      <c r="AC1199" s="18" t="inlineStr"/>
      <c r="AD1199" s="18" t="inlineStr"/>
      <c r="AE1199" s="18" t="inlineStr">
        <is>
          <t>sky 8-15</t>
        </is>
      </c>
      <c r="AF1199" s="18" t="inlineStr">
        <is>
          <t>False</t>
        </is>
      </c>
      <c r="AG1199" s="18" t="inlineStr"/>
      <c r="AH1199" s="18" t="inlineStr"/>
      <c r="AI1199" s="18" t="inlineStr"/>
      <c r="AJ1199" s="18" t="inlineStr">
        <is>
          <t>Cobblemon 동일</t>
        </is>
      </c>
      <c r="AK1199" s="18" t="inlineStr">
        <is>
          <t>사용</t>
        </is>
      </c>
      <c r="AL1199" s="18" t="inlineStr">
        <is>
          <t>COBBLEVERSE 1.7.42 / DP v31</t>
        </is>
      </c>
      <c r="AM1199" s="18" t="inlineStr">
        <is>
          <t>data/cobblemon/spawn_pool_world/0318_carvanha.json</t>
        </is>
      </c>
      <c r="AN1199" s="18" t="inlineStr">
        <is>
          <t>carvanha-6</t>
        </is>
      </c>
      <c r="AO1199" s="18" t="inlineStr">
        <is>
          <t>pokemon</t>
        </is>
      </c>
      <c r="AP1199" s="18" t="inlineStr"/>
      <c r="AQ1199" s="18" t="inlineStr">
        <is>
          <t>{"biomes":["#cobblemon:is_jungle","#cobblemon:is_swamp"],"canSeeSky":false,"maxSkyLight":15,"minSkyLight":8}</t>
        </is>
      </c>
      <c r="AR1199" s="18" t="inlineStr"/>
      <c r="AS1199" s="18" t="inlineStr">
        <is>
          <t>{"weightMultipliers":[{"condition":{"maxLureLevel":2,"minLureLevel":2},"multiplier":3.0},{"condition":{"minLureLevel":3},"multiplier":5.0}]}</t>
        </is>
      </c>
      <c r="AT1199" s="19" t="inlineStr"/>
    </row>
    <row r="1200" ht="32" customHeight="1">
      <c r="A1200" s="18" t="inlineStr">
        <is>
          <t>0318_carvanha.json::carvanha-7::007</t>
        </is>
      </c>
      <c r="B1200" s="19" t="inlineStr">
        <is>
          <t>사용</t>
        </is>
      </c>
      <c r="C1200" s="18">
        <f>IF(OR(B1200&lt;&gt;AK1200,M1200&lt;&gt;L1200,O1200&lt;&gt;"",Q1200&lt;&gt;"",V1200&lt;&gt;1,Y1200&lt;&gt;"",AT1200&lt;&gt;""),"수정","원본")</f>
        <v/>
      </c>
      <c r="D1200" s="18" t="n">
        <v>318</v>
      </c>
      <c r="E1200" s="18" t="inlineStr">
        <is>
          <t>샤프니아</t>
        </is>
      </c>
      <c r="F1200" s="18" t="inlineStr">
        <is>
          <t>carvanha</t>
        </is>
      </c>
      <c r="G1200" s="18" t="inlineStr">
        <is>
          <t>carvanha</t>
        </is>
      </c>
      <c r="H1200" s="18" t="inlineStr"/>
      <c r="I1200" s="18" t="n">
        <v>3</v>
      </c>
      <c r="J1200" s="18" t="n"/>
      <c r="K1200" s="18" t="n">
        <v>3</v>
      </c>
      <c r="L1200" s="18" t="inlineStr">
        <is>
          <t>cobbleventure:generation_3</t>
        </is>
      </c>
      <c r="M1200" s="19" t="inlineStr">
        <is>
          <t>cobbleventure:generation_3</t>
        </is>
      </c>
      <c r="N1200" s="18" t="inlineStr">
        <is>
          <t>region_01; region_02</t>
        </is>
      </c>
      <c r="O1200" s="19" t="inlineStr"/>
      <c r="P1200" s="18" t="inlineStr">
        <is>
          <t>#cobblemon:is_overworld</t>
        </is>
      </c>
      <c r="Q1200" s="19" t="inlineStr"/>
      <c r="R1200" s="18">
        <f>IF(Q1200="",P1200,Q1200)</f>
        <v/>
      </c>
      <c r="S1200" s="18" t="inlineStr"/>
      <c r="T1200" s="18" t="inlineStr">
        <is>
          <t>common</t>
        </is>
      </c>
      <c r="U1200" s="20" t="n">
        <v>1.8</v>
      </c>
      <c r="V1200" s="21" t="n">
        <v>1</v>
      </c>
      <c r="W1200" s="20">
        <f>IF(OR(U1200="",V1200=""),U1200,U1200*V1200)</f>
        <v/>
      </c>
      <c r="X1200" s="18" t="inlineStr">
        <is>
          <t>6-31</t>
        </is>
      </c>
      <c r="Y1200" s="19" t="inlineStr"/>
      <c r="Z1200" s="18">
        <f>IF(Y1200="",X1200,Y1200)</f>
        <v/>
      </c>
      <c r="AA1200" s="18" t="inlineStr">
        <is>
          <t>submerged</t>
        </is>
      </c>
      <c r="AB1200" s="18" t="inlineStr"/>
      <c r="AC1200" s="18" t="inlineStr"/>
      <c r="AD1200" s="18" t="inlineStr">
        <is>
          <t>minY=-60, maxY=13</t>
        </is>
      </c>
      <c r="AE1200" s="18" t="inlineStr"/>
      <c r="AF1200" s="18" t="inlineStr">
        <is>
          <t>False</t>
        </is>
      </c>
      <c r="AG1200" s="18" t="inlineStr">
        <is>
          <t>cobblemon:shipwreck_coves/submerged_shipwreck_cove</t>
        </is>
      </c>
      <c r="AH1200" s="18" t="inlineStr"/>
      <c r="AI1200" s="18" t="inlineStr"/>
      <c r="AJ1200" s="18" t="inlineStr">
        <is>
          <t>Cobblemon 동일</t>
        </is>
      </c>
      <c r="AK1200" s="18" t="inlineStr">
        <is>
          <t>사용</t>
        </is>
      </c>
      <c r="AL1200" s="18" t="inlineStr">
        <is>
          <t>COBBLEVERSE 1.7.42 / DP v31</t>
        </is>
      </c>
      <c r="AM1200" s="18" t="inlineStr">
        <is>
          <t>data/cobblemon/spawn_pool_world/0318_carvanha.json</t>
        </is>
      </c>
      <c r="AN1200" s="18" t="inlineStr">
        <is>
          <t>carvanha-7</t>
        </is>
      </c>
      <c r="AO1200" s="18" t="inlineStr">
        <is>
          <t>pokemon</t>
        </is>
      </c>
      <c r="AP1200" s="18" t="inlineStr">
        <is>
          <t>water</t>
        </is>
      </c>
      <c r="AQ1200" s="18" t="inlineStr">
        <is>
          <t>{"biomes":["#cobblemon:is_overworld"],"canSeeSky":false,"maxY":13,"minY":-60,"structures":["cobblemon:shipwreck_coves/submerged_shipwreck_cove"]}</t>
        </is>
      </c>
      <c r="AR1200" s="18" t="inlineStr"/>
      <c r="AS1200" s="18" t="inlineStr"/>
      <c r="AT1200" s="19" t="inlineStr"/>
    </row>
    <row r="1201" ht="32" customHeight="1">
      <c r="A1201" s="18" t="inlineStr">
        <is>
          <t>0318_carvanha.json::carvanha-8::008</t>
        </is>
      </c>
      <c r="B1201" s="19" t="inlineStr">
        <is>
          <t>사용</t>
        </is>
      </c>
      <c r="C1201" s="18">
        <f>IF(OR(B1201&lt;&gt;AK1201,M1201&lt;&gt;L1201,O1201&lt;&gt;"",Q1201&lt;&gt;"",V1201&lt;&gt;1,Y1201&lt;&gt;"",AT1201&lt;&gt;""),"수정","원본")</f>
        <v/>
      </c>
      <c r="D1201" s="18" t="n">
        <v>318</v>
      </c>
      <c r="E1201" s="18" t="inlineStr">
        <is>
          <t>샤프니아</t>
        </is>
      </c>
      <c r="F1201" s="18" t="inlineStr">
        <is>
          <t>carvanha</t>
        </is>
      </c>
      <c r="G1201" s="18" t="inlineStr">
        <is>
          <t>carvanha</t>
        </is>
      </c>
      <c r="H1201" s="18" t="inlineStr"/>
      <c r="I1201" s="18" t="n">
        <v>3</v>
      </c>
      <c r="J1201" s="18" t="n"/>
      <c r="K1201" s="18" t="n">
        <v>3</v>
      </c>
      <c r="L1201" s="18" t="inlineStr">
        <is>
          <t>cobbleventure:generation_3</t>
        </is>
      </c>
      <c r="M1201" s="19" t="inlineStr">
        <is>
          <t>cobbleventure:generation_3</t>
        </is>
      </c>
      <c r="N1201" s="18" t="inlineStr">
        <is>
          <t>region_01; region_02</t>
        </is>
      </c>
      <c r="O1201" s="19" t="inlineStr"/>
      <c r="P1201" s="18" t="inlineStr">
        <is>
          <t>#cobblemon:is_overworld</t>
        </is>
      </c>
      <c r="Q1201" s="19" t="inlineStr"/>
      <c r="R1201" s="18">
        <f>IF(Q1201="",P1201,Q1201)</f>
        <v/>
      </c>
      <c r="S1201" s="18" t="inlineStr"/>
      <c r="T1201" s="18" t="inlineStr">
        <is>
          <t>common</t>
        </is>
      </c>
      <c r="U1201" s="20" t="n">
        <v>1.8</v>
      </c>
      <c r="V1201" s="21" t="n">
        <v>1</v>
      </c>
      <c r="W1201" s="20">
        <f>IF(OR(U1201="",V1201=""),U1201,U1201*V1201)</f>
        <v/>
      </c>
      <c r="X1201" s="18" t="inlineStr">
        <is>
          <t>6-31</t>
        </is>
      </c>
      <c r="Y1201" s="19" t="inlineStr"/>
      <c r="Z1201" s="18">
        <f>IF(Y1201="",X1201,Y1201)</f>
        <v/>
      </c>
      <c r="AA1201" s="18" t="inlineStr">
        <is>
          <t>fishing</t>
        </is>
      </c>
      <c r="AB1201" s="18" t="inlineStr"/>
      <c r="AC1201" s="18" t="inlineStr"/>
      <c r="AD1201" s="18" t="inlineStr">
        <is>
          <t>minY=-60, maxY=13</t>
        </is>
      </c>
      <c r="AE1201" s="18" t="inlineStr"/>
      <c r="AF1201" s="18" t="inlineStr">
        <is>
          <t>False</t>
        </is>
      </c>
      <c r="AG1201" s="18" t="inlineStr">
        <is>
          <t>cobblemon:shipwreck_coves/submerged_shipwreck_cove</t>
        </is>
      </c>
      <c r="AH1201" s="18" t="inlineStr"/>
      <c r="AI1201" s="18" t="inlineStr"/>
      <c r="AJ1201" s="18" t="inlineStr">
        <is>
          <t>Cobblemon 동일</t>
        </is>
      </c>
      <c r="AK1201" s="18" t="inlineStr">
        <is>
          <t>사용</t>
        </is>
      </c>
      <c r="AL1201" s="18" t="inlineStr">
        <is>
          <t>COBBLEVERSE 1.7.42 / DP v31</t>
        </is>
      </c>
      <c r="AM1201" s="18" t="inlineStr">
        <is>
          <t>data/cobblemon/spawn_pool_world/0318_carvanha.json</t>
        </is>
      </c>
      <c r="AN1201" s="18" t="inlineStr">
        <is>
          <t>carvanha-8</t>
        </is>
      </c>
      <c r="AO1201" s="18" t="inlineStr">
        <is>
          <t>pokemon</t>
        </is>
      </c>
      <c r="AP1201" s="18" t="inlineStr"/>
      <c r="AQ1201" s="18" t="inlineStr">
        <is>
          <t>{"biomes":["#cobblemon:is_overworld"],"canSeeSky":false,"maxY":13,"minY":-60,"structures":["cobblemon:shipwreck_coves/submerged_shipwreck_cove"]}</t>
        </is>
      </c>
      <c r="AR1201" s="18" t="inlineStr"/>
      <c r="AS1201" s="18" t="inlineStr">
        <is>
          <t>{"weightMultipliers":[{"condition":{"maxLureLevel":2,"minLureLevel":2},"multiplier":3.0},{"condition":{"minLureLevel":3},"multiplier":5.0}]}</t>
        </is>
      </c>
      <c r="AT1201" s="19" t="inlineStr"/>
    </row>
    <row r="1202" ht="32" customHeight="1">
      <c r="A1202" s="18" t="inlineStr">
        <is>
          <t>0319_sharpedo.json::sharpedo-1::001</t>
        </is>
      </c>
      <c r="B1202" s="19" t="inlineStr">
        <is>
          <t>사용</t>
        </is>
      </c>
      <c r="C1202" s="18">
        <f>IF(OR(B1202&lt;&gt;AK1202,M1202&lt;&gt;L1202,O1202&lt;&gt;"",Q1202&lt;&gt;"",V1202&lt;&gt;1,Y1202&lt;&gt;"",AT1202&lt;&gt;""),"수정","원본")</f>
        <v/>
      </c>
      <c r="D1202" s="18" t="n">
        <v>319</v>
      </c>
      <c r="E1202" s="18" t="inlineStr">
        <is>
          <t>샤크니아</t>
        </is>
      </c>
      <c r="F1202" s="18" t="inlineStr">
        <is>
          <t>sharpedo</t>
        </is>
      </c>
      <c r="G1202" s="18" t="inlineStr">
        <is>
          <t>sharpedo</t>
        </is>
      </c>
      <c r="H1202" s="18" t="inlineStr"/>
      <c r="I1202" s="18" t="n">
        <v>3</v>
      </c>
      <c r="J1202" s="18" t="n"/>
      <c r="K1202" s="18" t="n">
        <v>3</v>
      </c>
      <c r="L1202" s="18" t="inlineStr">
        <is>
          <t>cobbleventure:generation_3</t>
        </is>
      </c>
      <c r="M1202" s="19" t="inlineStr">
        <is>
          <t>cobbleventure:generation_3</t>
        </is>
      </c>
      <c r="N1202" s="18" t="inlineStr"/>
      <c r="O1202" s="19" t="inlineStr"/>
      <c r="P1202" s="18" t="inlineStr">
        <is>
          <t>#cobblemon:is_ocean</t>
        </is>
      </c>
      <c r="Q1202" s="19" t="inlineStr"/>
      <c r="R1202" s="18">
        <f>IF(Q1202="",P1202,Q1202)</f>
        <v/>
      </c>
      <c r="S1202" s="18" t="inlineStr"/>
      <c r="T1202" s="18" t="inlineStr">
        <is>
          <t>common</t>
        </is>
      </c>
      <c r="U1202" s="20" t="n">
        <v>0.2</v>
      </c>
      <c r="V1202" s="21" t="n">
        <v>1</v>
      </c>
      <c r="W1202" s="20">
        <f>IF(OR(U1202="",V1202=""),U1202,U1202*V1202)</f>
        <v/>
      </c>
      <c r="X1202" s="18" t="inlineStr">
        <is>
          <t>30-46</t>
        </is>
      </c>
      <c r="Y1202" s="19" t="inlineStr"/>
      <c r="Z1202" s="18">
        <f>IF(Y1202="",X1202,Y1202)</f>
        <v/>
      </c>
      <c r="AA1202" s="18" t="inlineStr">
        <is>
          <t>submerged</t>
        </is>
      </c>
      <c r="AB1202" s="18" t="inlineStr"/>
      <c r="AC1202" s="18" t="inlineStr"/>
      <c r="AD1202" s="18" t="inlineStr"/>
      <c r="AE1202" s="18" t="inlineStr"/>
      <c r="AF1202" s="18" t="inlineStr">
        <is>
          <t>True</t>
        </is>
      </c>
      <c r="AG1202" s="18" t="inlineStr"/>
      <c r="AH1202" s="18" t="inlineStr"/>
      <c r="AI1202" s="18" t="inlineStr"/>
      <c r="AJ1202" s="18" t="inlineStr">
        <is>
          <t>Cobblemon 동일</t>
        </is>
      </c>
      <c r="AK1202" s="18" t="inlineStr">
        <is>
          <t>사용</t>
        </is>
      </c>
      <c r="AL1202" s="18" t="inlineStr">
        <is>
          <t>COBBLEVERSE 1.7.42 / DP v31</t>
        </is>
      </c>
      <c r="AM1202" s="18" t="inlineStr">
        <is>
          <t>data/cobblemon/spawn_pool_world/0319_sharpedo.json</t>
        </is>
      </c>
      <c r="AN1202" s="18" t="inlineStr">
        <is>
          <t>sharpedo-1</t>
        </is>
      </c>
      <c r="AO1202" s="18" t="inlineStr">
        <is>
          <t>pokemon</t>
        </is>
      </c>
      <c r="AP1202" s="18" t="inlineStr">
        <is>
          <t>water</t>
        </is>
      </c>
      <c r="AQ1202" s="18" t="inlineStr">
        <is>
          <t>{"biomes":["#cobblemon:is_ocean"],"canSeeSky":true}</t>
        </is>
      </c>
      <c r="AR1202" s="18" t="inlineStr"/>
      <c r="AS1202" s="18" t="inlineStr"/>
      <c r="AT1202" s="19" t="inlineStr"/>
    </row>
    <row r="1203" ht="32" customHeight="1">
      <c r="A1203" s="18" t="inlineStr">
        <is>
          <t>0319_sharpedo.json::sharpedo-2::002</t>
        </is>
      </c>
      <c r="B1203" s="19" t="inlineStr">
        <is>
          <t>사용</t>
        </is>
      </c>
      <c r="C1203" s="18">
        <f>IF(OR(B1203&lt;&gt;AK1203,M1203&lt;&gt;L1203,O1203&lt;&gt;"",Q1203&lt;&gt;"",V1203&lt;&gt;1,Y1203&lt;&gt;"",AT1203&lt;&gt;""),"수정","원본")</f>
        <v/>
      </c>
      <c r="D1203" s="18" t="n">
        <v>319</v>
      </c>
      <c r="E1203" s="18" t="inlineStr">
        <is>
          <t>샤크니아</t>
        </is>
      </c>
      <c r="F1203" s="18" t="inlineStr">
        <is>
          <t>sharpedo</t>
        </is>
      </c>
      <c r="G1203" s="18" t="inlineStr">
        <is>
          <t>sharpedo</t>
        </is>
      </c>
      <c r="H1203" s="18" t="inlineStr"/>
      <c r="I1203" s="18" t="n">
        <v>3</v>
      </c>
      <c r="J1203" s="18" t="n"/>
      <c r="K1203" s="18" t="n">
        <v>3</v>
      </c>
      <c r="L1203" s="18" t="inlineStr">
        <is>
          <t>cobbleventure:generation_3</t>
        </is>
      </c>
      <c r="M1203" s="19" t="inlineStr">
        <is>
          <t>cobbleventure:generation_3</t>
        </is>
      </c>
      <c r="N1203" s="18" t="inlineStr"/>
      <c r="O1203" s="19" t="inlineStr"/>
      <c r="P1203" s="18" t="inlineStr">
        <is>
          <t>#cobblemon:is_ocean</t>
        </is>
      </c>
      <c r="Q1203" s="19" t="inlineStr"/>
      <c r="R1203" s="18">
        <f>IF(Q1203="",P1203,Q1203)</f>
        <v/>
      </c>
      <c r="S1203" s="18" t="inlineStr"/>
      <c r="T1203" s="18" t="inlineStr">
        <is>
          <t>common</t>
        </is>
      </c>
      <c r="U1203" s="20" t="n">
        <v>0.2</v>
      </c>
      <c r="V1203" s="21" t="n">
        <v>1</v>
      </c>
      <c r="W1203" s="20">
        <f>IF(OR(U1203="",V1203=""),U1203,U1203*V1203)</f>
        <v/>
      </c>
      <c r="X1203" s="18" t="inlineStr">
        <is>
          <t>30-46</t>
        </is>
      </c>
      <c r="Y1203" s="19" t="inlineStr"/>
      <c r="Z1203" s="18">
        <f>IF(Y1203="",X1203,Y1203)</f>
        <v/>
      </c>
      <c r="AA1203" s="18" t="inlineStr">
        <is>
          <t>fishing</t>
        </is>
      </c>
      <c r="AB1203" s="18" t="inlineStr"/>
      <c r="AC1203" s="18" t="inlineStr"/>
      <c r="AD1203" s="18" t="inlineStr"/>
      <c r="AE1203" s="18" t="inlineStr"/>
      <c r="AF1203" s="18" t="inlineStr">
        <is>
          <t>True</t>
        </is>
      </c>
      <c r="AG1203" s="18" t="inlineStr"/>
      <c r="AH1203" s="18" t="inlineStr"/>
      <c r="AI1203" s="18" t="inlineStr"/>
      <c r="AJ1203" s="18" t="inlineStr">
        <is>
          <t>Cobblemon 동일</t>
        </is>
      </c>
      <c r="AK1203" s="18" t="inlineStr">
        <is>
          <t>사용</t>
        </is>
      </c>
      <c r="AL1203" s="18" t="inlineStr">
        <is>
          <t>COBBLEVERSE 1.7.42 / DP v31</t>
        </is>
      </c>
      <c r="AM1203" s="18" t="inlineStr">
        <is>
          <t>data/cobblemon/spawn_pool_world/0319_sharpedo.json</t>
        </is>
      </c>
      <c r="AN1203" s="18" t="inlineStr">
        <is>
          <t>sharpedo-2</t>
        </is>
      </c>
      <c r="AO1203" s="18" t="inlineStr">
        <is>
          <t>pokemon</t>
        </is>
      </c>
      <c r="AP1203" s="18" t="inlineStr"/>
      <c r="AQ1203" s="18" t="inlineStr">
        <is>
          <t>{"biomes":["#cobblemon:is_ocean"],"canSeeSky":true}</t>
        </is>
      </c>
      <c r="AR1203" s="18" t="inlineStr"/>
      <c r="AS1203" s="18" t="inlineStr">
        <is>
          <t>{"weightMultipliers":[{"condition":{"maxLureLevel":2,"minLureLevel":2},"multiplier":3.0},{"condition":{"minLureLevel":3},"multiplier":5.0}]}</t>
        </is>
      </c>
      <c r="AT1203" s="19" t="inlineStr"/>
    </row>
    <row r="1204" ht="32" customHeight="1">
      <c r="A1204" s="18" t="inlineStr">
        <is>
          <t>0319_sharpedo.json::sharpedo-3::003</t>
        </is>
      </c>
      <c r="B1204" s="19" t="inlineStr">
        <is>
          <t>사용</t>
        </is>
      </c>
      <c r="C1204" s="18">
        <f>IF(OR(B1204&lt;&gt;AK1204,M1204&lt;&gt;L1204,O1204&lt;&gt;"",Q1204&lt;&gt;"",V1204&lt;&gt;1,Y1204&lt;&gt;"",AT1204&lt;&gt;""),"수정","원본")</f>
        <v/>
      </c>
      <c r="D1204" s="18" t="n">
        <v>319</v>
      </c>
      <c r="E1204" s="18" t="inlineStr">
        <is>
          <t>샤크니아</t>
        </is>
      </c>
      <c r="F1204" s="18" t="inlineStr">
        <is>
          <t>sharpedo</t>
        </is>
      </c>
      <c r="G1204" s="18" t="inlineStr">
        <is>
          <t>sharpedo</t>
        </is>
      </c>
      <c r="H1204" s="18" t="inlineStr"/>
      <c r="I1204" s="18" t="n">
        <v>3</v>
      </c>
      <c r="J1204" s="18" t="n"/>
      <c r="K1204" s="18" t="n">
        <v>3</v>
      </c>
      <c r="L1204" s="18" t="inlineStr">
        <is>
          <t>cobbleventure:generation_3</t>
        </is>
      </c>
      <c r="M1204" s="19" t="inlineStr">
        <is>
          <t>cobbleventure:generation_3</t>
        </is>
      </c>
      <c r="N1204" s="18" t="inlineStr"/>
      <c r="O1204" s="19" t="inlineStr"/>
      <c r="P1204" s="18" t="inlineStr">
        <is>
          <t>#cobblemon:is_ocean</t>
        </is>
      </c>
      <c r="Q1204" s="19" t="inlineStr"/>
      <c r="R1204" s="18">
        <f>IF(Q1204="",P1204,Q1204)</f>
        <v/>
      </c>
      <c r="S1204" s="18" t="inlineStr"/>
      <c r="T1204" s="18" t="inlineStr">
        <is>
          <t>common</t>
        </is>
      </c>
      <c r="U1204" s="20" t="n">
        <v>0.2</v>
      </c>
      <c r="V1204" s="21" t="n">
        <v>1</v>
      </c>
      <c r="W1204" s="20">
        <f>IF(OR(U1204="",V1204=""),U1204,U1204*V1204)</f>
        <v/>
      </c>
      <c r="X1204" s="18" t="inlineStr">
        <is>
          <t>30-46</t>
        </is>
      </c>
      <c r="Y1204" s="19" t="inlineStr"/>
      <c r="Z1204" s="18">
        <f>IF(Y1204="",X1204,Y1204)</f>
        <v/>
      </c>
      <c r="AA1204" s="18" t="inlineStr">
        <is>
          <t>submerged</t>
        </is>
      </c>
      <c r="AB1204" s="18" t="inlineStr"/>
      <c r="AC1204" s="18" t="inlineStr"/>
      <c r="AD1204" s="18" t="inlineStr"/>
      <c r="AE1204" s="18" t="inlineStr">
        <is>
          <t>sky 8-15</t>
        </is>
      </c>
      <c r="AF1204" s="18" t="inlineStr">
        <is>
          <t>False</t>
        </is>
      </c>
      <c r="AG1204" s="18" t="inlineStr"/>
      <c r="AH1204" s="18" t="inlineStr"/>
      <c r="AI1204" s="18" t="inlineStr"/>
      <c r="AJ1204" s="18" t="inlineStr">
        <is>
          <t>Cobblemon 동일</t>
        </is>
      </c>
      <c r="AK1204" s="18" t="inlineStr">
        <is>
          <t>사용</t>
        </is>
      </c>
      <c r="AL1204" s="18" t="inlineStr">
        <is>
          <t>COBBLEVERSE 1.7.42 / DP v31</t>
        </is>
      </c>
      <c r="AM1204" s="18" t="inlineStr">
        <is>
          <t>data/cobblemon/spawn_pool_world/0319_sharpedo.json</t>
        </is>
      </c>
      <c r="AN1204" s="18" t="inlineStr">
        <is>
          <t>sharpedo-3</t>
        </is>
      </c>
      <c r="AO1204" s="18" t="inlineStr">
        <is>
          <t>pokemon</t>
        </is>
      </c>
      <c r="AP1204" s="18" t="inlineStr">
        <is>
          <t>water</t>
        </is>
      </c>
      <c r="AQ1204" s="18" t="inlineStr">
        <is>
          <t>{"biomes":["#cobblemon:is_ocean"],"canSeeSky":false,"maxSkyLight":15,"minSkyLight":8}</t>
        </is>
      </c>
      <c r="AR1204" s="18" t="inlineStr"/>
      <c r="AS1204" s="18" t="inlineStr"/>
      <c r="AT1204" s="19" t="inlineStr"/>
    </row>
    <row r="1205" ht="32" customHeight="1">
      <c r="A1205" s="18" t="inlineStr">
        <is>
          <t>0319_sharpedo.json::sharpedo-4::004</t>
        </is>
      </c>
      <c r="B1205" s="19" t="inlineStr">
        <is>
          <t>사용</t>
        </is>
      </c>
      <c r="C1205" s="18">
        <f>IF(OR(B1205&lt;&gt;AK1205,M1205&lt;&gt;L1205,O1205&lt;&gt;"",Q1205&lt;&gt;"",V1205&lt;&gt;1,Y1205&lt;&gt;"",AT1205&lt;&gt;""),"수정","원본")</f>
        <v/>
      </c>
      <c r="D1205" s="18" t="n">
        <v>319</v>
      </c>
      <c r="E1205" s="18" t="inlineStr">
        <is>
          <t>샤크니아</t>
        </is>
      </c>
      <c r="F1205" s="18" t="inlineStr">
        <is>
          <t>sharpedo</t>
        </is>
      </c>
      <c r="G1205" s="18" t="inlineStr">
        <is>
          <t>sharpedo</t>
        </is>
      </c>
      <c r="H1205" s="18" t="inlineStr"/>
      <c r="I1205" s="18" t="n">
        <v>3</v>
      </c>
      <c r="J1205" s="18" t="n"/>
      <c r="K1205" s="18" t="n">
        <v>3</v>
      </c>
      <c r="L1205" s="18" t="inlineStr">
        <is>
          <t>cobbleventure:generation_3</t>
        </is>
      </c>
      <c r="M1205" s="19" t="inlineStr">
        <is>
          <t>cobbleventure:generation_3</t>
        </is>
      </c>
      <c r="N1205" s="18" t="inlineStr"/>
      <c r="O1205" s="19" t="inlineStr"/>
      <c r="P1205" s="18" t="inlineStr">
        <is>
          <t>#cobblemon:is_ocean</t>
        </is>
      </c>
      <c r="Q1205" s="19" t="inlineStr"/>
      <c r="R1205" s="18">
        <f>IF(Q1205="",P1205,Q1205)</f>
        <v/>
      </c>
      <c r="S1205" s="18" t="inlineStr"/>
      <c r="T1205" s="18" t="inlineStr">
        <is>
          <t>common</t>
        </is>
      </c>
      <c r="U1205" s="20" t="n">
        <v>0.2</v>
      </c>
      <c r="V1205" s="21" t="n">
        <v>1</v>
      </c>
      <c r="W1205" s="20">
        <f>IF(OR(U1205="",V1205=""),U1205,U1205*V1205)</f>
        <v/>
      </c>
      <c r="X1205" s="18" t="inlineStr">
        <is>
          <t>30-46</t>
        </is>
      </c>
      <c r="Y1205" s="19" t="inlineStr"/>
      <c r="Z1205" s="18">
        <f>IF(Y1205="",X1205,Y1205)</f>
        <v/>
      </c>
      <c r="AA1205" s="18" t="inlineStr">
        <is>
          <t>fishing</t>
        </is>
      </c>
      <c r="AB1205" s="18" t="inlineStr"/>
      <c r="AC1205" s="18" t="inlineStr"/>
      <c r="AD1205" s="18" t="inlineStr"/>
      <c r="AE1205" s="18" t="inlineStr">
        <is>
          <t>sky 8-15</t>
        </is>
      </c>
      <c r="AF1205" s="18" t="inlineStr">
        <is>
          <t>False</t>
        </is>
      </c>
      <c r="AG1205" s="18" t="inlineStr"/>
      <c r="AH1205" s="18" t="inlineStr"/>
      <c r="AI1205" s="18" t="inlineStr"/>
      <c r="AJ1205" s="18" t="inlineStr">
        <is>
          <t>Cobblemon 동일</t>
        </is>
      </c>
      <c r="AK1205" s="18" t="inlineStr">
        <is>
          <t>사용</t>
        </is>
      </c>
      <c r="AL1205" s="18" t="inlineStr">
        <is>
          <t>COBBLEVERSE 1.7.42 / DP v31</t>
        </is>
      </c>
      <c r="AM1205" s="18" t="inlineStr">
        <is>
          <t>data/cobblemon/spawn_pool_world/0319_sharpedo.json</t>
        </is>
      </c>
      <c r="AN1205" s="18" t="inlineStr">
        <is>
          <t>sharpedo-4</t>
        </is>
      </c>
      <c r="AO1205" s="18" t="inlineStr">
        <is>
          <t>pokemon</t>
        </is>
      </c>
      <c r="AP1205" s="18" t="inlineStr"/>
      <c r="AQ1205" s="18" t="inlineStr">
        <is>
          <t>{"biomes":["#cobblemon:is_ocean"],"canSeeSky":false,"maxSkyLight":15,"minSkyLight":8}</t>
        </is>
      </c>
      <c r="AR1205" s="18" t="inlineStr"/>
      <c r="AS1205" s="18" t="inlineStr">
        <is>
          <t>{"weightMultipliers":[{"condition":{"maxLureLevel":2,"minLureLevel":2},"multiplier":3.0},{"condition":{"minLureLevel":3},"multiplier":5.0}]}</t>
        </is>
      </c>
      <c r="AT1205" s="19" t="inlineStr"/>
    </row>
    <row r="1206" ht="32" customHeight="1">
      <c r="A1206" s="18" t="inlineStr">
        <is>
          <t>0319_sharpedo.json::sharpedo-5::005</t>
        </is>
      </c>
      <c r="B1206" s="19" t="inlineStr">
        <is>
          <t>사용</t>
        </is>
      </c>
      <c r="C1206" s="18">
        <f>IF(OR(B1206&lt;&gt;AK1206,M1206&lt;&gt;L1206,O1206&lt;&gt;"",Q1206&lt;&gt;"",V1206&lt;&gt;1,Y1206&lt;&gt;"",AT1206&lt;&gt;""),"수정","원본")</f>
        <v/>
      </c>
      <c r="D1206" s="18" t="n">
        <v>319</v>
      </c>
      <c r="E1206" s="18" t="inlineStr">
        <is>
          <t>샤크니아</t>
        </is>
      </c>
      <c r="F1206" s="18" t="inlineStr">
        <is>
          <t>sharpedo</t>
        </is>
      </c>
      <c r="G1206" s="18" t="inlineStr">
        <is>
          <t>sharpedo</t>
        </is>
      </c>
      <c r="H1206" s="18" t="inlineStr"/>
      <c r="I1206" s="18" t="n">
        <v>3</v>
      </c>
      <c r="J1206" s="18" t="n"/>
      <c r="K1206" s="18" t="n">
        <v>3</v>
      </c>
      <c r="L1206" s="18" t="inlineStr">
        <is>
          <t>cobbleventure:generation_3</t>
        </is>
      </c>
      <c r="M1206" s="19" t="inlineStr">
        <is>
          <t>cobbleventure:generation_3</t>
        </is>
      </c>
      <c r="N1206" s="18" t="inlineStr">
        <is>
          <t>region_01; region_02</t>
        </is>
      </c>
      <c r="O1206" s="19" t="inlineStr"/>
      <c r="P1206" s="18" t="inlineStr">
        <is>
          <t>#cobblemon:is_overworld</t>
        </is>
      </c>
      <c r="Q1206" s="19" t="inlineStr"/>
      <c r="R1206" s="18">
        <f>IF(Q1206="",P1206,Q1206)</f>
        <v/>
      </c>
      <c r="S1206" s="18" t="inlineStr"/>
      <c r="T1206" s="18" t="inlineStr">
        <is>
          <t>common</t>
        </is>
      </c>
      <c r="U1206" s="20" t="n">
        <v>0.2</v>
      </c>
      <c r="V1206" s="21" t="n">
        <v>1</v>
      </c>
      <c r="W1206" s="20">
        <f>IF(OR(U1206="",V1206=""),U1206,U1206*V1206)</f>
        <v/>
      </c>
      <c r="X1206" s="18" t="inlineStr">
        <is>
          <t>30-46</t>
        </is>
      </c>
      <c r="Y1206" s="19" t="inlineStr"/>
      <c r="Z1206" s="18">
        <f>IF(Y1206="",X1206,Y1206)</f>
        <v/>
      </c>
      <c r="AA1206" s="18" t="inlineStr">
        <is>
          <t>submerged</t>
        </is>
      </c>
      <c r="AB1206" s="18" t="inlineStr"/>
      <c r="AC1206" s="18" t="inlineStr"/>
      <c r="AD1206" s="18" t="inlineStr">
        <is>
          <t>minY=-60, maxY=13</t>
        </is>
      </c>
      <c r="AE1206" s="18" t="inlineStr"/>
      <c r="AF1206" s="18" t="inlineStr">
        <is>
          <t>False</t>
        </is>
      </c>
      <c r="AG1206" s="18" t="inlineStr">
        <is>
          <t>cobblemon:shipwreck_coves/submerged_shipwreck_cove</t>
        </is>
      </c>
      <c r="AH1206" s="18" t="inlineStr"/>
      <c r="AI1206" s="18" t="inlineStr"/>
      <c r="AJ1206" s="18" t="inlineStr">
        <is>
          <t>Cobblemon 동일</t>
        </is>
      </c>
      <c r="AK1206" s="18" t="inlineStr">
        <is>
          <t>사용</t>
        </is>
      </c>
      <c r="AL1206" s="18" t="inlineStr">
        <is>
          <t>COBBLEVERSE 1.7.42 / DP v31</t>
        </is>
      </c>
      <c r="AM1206" s="18" t="inlineStr">
        <is>
          <t>data/cobblemon/spawn_pool_world/0319_sharpedo.json</t>
        </is>
      </c>
      <c r="AN1206" s="18" t="inlineStr">
        <is>
          <t>sharpedo-5</t>
        </is>
      </c>
      <c r="AO1206" s="18" t="inlineStr">
        <is>
          <t>pokemon</t>
        </is>
      </c>
      <c r="AP1206" s="18" t="inlineStr">
        <is>
          <t>water</t>
        </is>
      </c>
      <c r="AQ1206" s="18" t="inlineStr">
        <is>
          <t>{"biomes":["#cobblemon:is_overworld"],"canSeeSky":false,"maxY":13,"minY":-60,"structures":["cobblemon:shipwreck_coves/submerged_shipwreck_cove"]}</t>
        </is>
      </c>
      <c r="AR1206" s="18" t="inlineStr"/>
      <c r="AS1206" s="18" t="inlineStr"/>
      <c r="AT1206" s="19" t="inlineStr"/>
    </row>
    <row r="1207" ht="32" customHeight="1">
      <c r="A1207" s="18" t="inlineStr">
        <is>
          <t>0319_sharpedo.json::sharpedo-6::006</t>
        </is>
      </c>
      <c r="B1207" s="19" t="inlineStr">
        <is>
          <t>사용</t>
        </is>
      </c>
      <c r="C1207" s="18">
        <f>IF(OR(B1207&lt;&gt;AK1207,M1207&lt;&gt;L1207,O1207&lt;&gt;"",Q1207&lt;&gt;"",V1207&lt;&gt;1,Y1207&lt;&gt;"",AT1207&lt;&gt;""),"수정","원본")</f>
        <v/>
      </c>
      <c r="D1207" s="18" t="n">
        <v>319</v>
      </c>
      <c r="E1207" s="18" t="inlineStr">
        <is>
          <t>샤크니아</t>
        </is>
      </c>
      <c r="F1207" s="18" t="inlineStr">
        <is>
          <t>sharpedo</t>
        </is>
      </c>
      <c r="G1207" s="18" t="inlineStr">
        <is>
          <t>sharpedo</t>
        </is>
      </c>
      <c r="H1207" s="18" t="inlineStr"/>
      <c r="I1207" s="18" t="n">
        <v>3</v>
      </c>
      <c r="J1207" s="18" t="n"/>
      <c r="K1207" s="18" t="n">
        <v>3</v>
      </c>
      <c r="L1207" s="18" t="inlineStr">
        <is>
          <t>cobbleventure:generation_3</t>
        </is>
      </c>
      <c r="M1207" s="19" t="inlineStr">
        <is>
          <t>cobbleventure:generation_3</t>
        </is>
      </c>
      <c r="N1207" s="18" t="inlineStr">
        <is>
          <t>region_01; region_02</t>
        </is>
      </c>
      <c r="O1207" s="19" t="inlineStr"/>
      <c r="P1207" s="18" t="inlineStr">
        <is>
          <t>#cobblemon:is_overworld</t>
        </is>
      </c>
      <c r="Q1207" s="19" t="inlineStr"/>
      <c r="R1207" s="18">
        <f>IF(Q1207="",P1207,Q1207)</f>
        <v/>
      </c>
      <c r="S1207" s="18" t="inlineStr"/>
      <c r="T1207" s="18" t="inlineStr">
        <is>
          <t>common</t>
        </is>
      </c>
      <c r="U1207" s="20" t="n">
        <v>0.2</v>
      </c>
      <c r="V1207" s="21" t="n">
        <v>1</v>
      </c>
      <c r="W1207" s="20">
        <f>IF(OR(U1207="",V1207=""),U1207,U1207*V1207)</f>
        <v/>
      </c>
      <c r="X1207" s="18" t="inlineStr">
        <is>
          <t>30-46</t>
        </is>
      </c>
      <c r="Y1207" s="19" t="inlineStr"/>
      <c r="Z1207" s="18">
        <f>IF(Y1207="",X1207,Y1207)</f>
        <v/>
      </c>
      <c r="AA1207" s="18" t="inlineStr">
        <is>
          <t>fishing</t>
        </is>
      </c>
      <c r="AB1207" s="18" t="inlineStr"/>
      <c r="AC1207" s="18" t="inlineStr"/>
      <c r="AD1207" s="18" t="inlineStr">
        <is>
          <t>minY=-60, maxY=13</t>
        </is>
      </c>
      <c r="AE1207" s="18" t="inlineStr"/>
      <c r="AF1207" s="18" t="inlineStr">
        <is>
          <t>False</t>
        </is>
      </c>
      <c r="AG1207" s="18" t="inlineStr">
        <is>
          <t>cobblemon:shipwreck_coves/submerged_shipwreck_cove</t>
        </is>
      </c>
      <c r="AH1207" s="18" t="inlineStr"/>
      <c r="AI1207" s="18" t="inlineStr"/>
      <c r="AJ1207" s="18" t="inlineStr">
        <is>
          <t>Cobblemon 동일</t>
        </is>
      </c>
      <c r="AK1207" s="18" t="inlineStr">
        <is>
          <t>사용</t>
        </is>
      </c>
      <c r="AL1207" s="18" t="inlineStr">
        <is>
          <t>COBBLEVERSE 1.7.42 / DP v31</t>
        </is>
      </c>
      <c r="AM1207" s="18" t="inlineStr">
        <is>
          <t>data/cobblemon/spawn_pool_world/0319_sharpedo.json</t>
        </is>
      </c>
      <c r="AN1207" s="18" t="inlineStr">
        <is>
          <t>sharpedo-6</t>
        </is>
      </c>
      <c r="AO1207" s="18" t="inlineStr">
        <is>
          <t>pokemon</t>
        </is>
      </c>
      <c r="AP1207" s="18" t="inlineStr"/>
      <c r="AQ1207" s="18" t="inlineStr">
        <is>
          <t>{"biomes":["#cobblemon:is_overworld"],"canSeeSky":false,"maxY":13,"minY":-60,"structures":["cobblemon:shipwreck_coves/submerged_shipwreck_cove"]}</t>
        </is>
      </c>
      <c r="AR1207" s="18" t="inlineStr"/>
      <c r="AS1207" s="18" t="inlineStr">
        <is>
          <t>{"weightMultipliers":[{"condition":{"maxLureLevel":2,"minLureLevel":2},"multiplier":3.0},{"condition":{"minLureLevel":3},"multiplier":5.0}]}</t>
        </is>
      </c>
      <c r="AT1207" s="19" t="inlineStr"/>
    </row>
    <row r="1208" ht="32" customHeight="1">
      <c r="A1208" s="18" t="inlineStr">
        <is>
          <t>0320_wailmer.json::wailmer-1::001</t>
        </is>
      </c>
      <c r="B1208" s="19" t="inlineStr">
        <is>
          <t>사용</t>
        </is>
      </c>
      <c r="C1208" s="18">
        <f>IF(OR(B1208&lt;&gt;AK1208,M1208&lt;&gt;L1208,O1208&lt;&gt;"",Q1208&lt;&gt;"",V1208&lt;&gt;1,Y1208&lt;&gt;"",AT1208&lt;&gt;""),"수정","원본")</f>
        <v/>
      </c>
      <c r="D1208" s="18" t="n">
        <v>320</v>
      </c>
      <c r="E1208" s="18" t="inlineStr">
        <is>
          <t>고래왕자</t>
        </is>
      </c>
      <c r="F1208" s="18" t="inlineStr">
        <is>
          <t>wailmer</t>
        </is>
      </c>
      <c r="G1208" s="18" t="inlineStr">
        <is>
          <t>wailmer</t>
        </is>
      </c>
      <c r="H1208" s="18" t="inlineStr"/>
      <c r="I1208" s="18" t="n">
        <v>3</v>
      </c>
      <c r="J1208" s="18" t="n"/>
      <c r="K1208" s="18" t="n">
        <v>3</v>
      </c>
      <c r="L1208" s="18" t="inlineStr">
        <is>
          <t>cobbleventure:generation_3</t>
        </is>
      </c>
      <c r="M1208" s="19" t="inlineStr">
        <is>
          <t>cobbleventure:generation_3</t>
        </is>
      </c>
      <c r="N1208" s="18" t="inlineStr"/>
      <c r="O1208" s="19" t="inlineStr"/>
      <c r="P1208" s="18" t="inlineStr">
        <is>
          <t>#cobblemon:is_deep_ocean</t>
        </is>
      </c>
      <c r="Q1208" s="19" t="inlineStr"/>
      <c r="R1208" s="18">
        <f>IF(Q1208="",P1208,Q1208)</f>
        <v/>
      </c>
      <c r="S1208" s="18" t="inlineStr"/>
      <c r="T1208" s="18" t="inlineStr">
        <is>
          <t>uncommon</t>
        </is>
      </c>
      <c r="U1208" s="20" t="n">
        <v>1.68</v>
      </c>
      <c r="V1208" s="21" t="n">
        <v>1</v>
      </c>
      <c r="W1208" s="20">
        <f>IF(OR(U1208="",V1208=""),U1208,U1208*V1208)</f>
        <v/>
      </c>
      <c r="X1208" s="18" t="inlineStr">
        <is>
          <t>15-40</t>
        </is>
      </c>
      <c r="Y1208" s="19" t="inlineStr"/>
      <c r="Z1208" s="18">
        <f>IF(Y1208="",X1208,Y1208)</f>
        <v/>
      </c>
      <c r="AA1208" s="18" t="inlineStr">
        <is>
          <t>submerged</t>
        </is>
      </c>
      <c r="AB1208" s="18" t="inlineStr"/>
      <c r="AC1208" s="18" t="inlineStr"/>
      <c r="AD1208" s="18" t="inlineStr"/>
      <c r="AE1208" s="18" t="inlineStr"/>
      <c r="AF1208" s="18" t="inlineStr">
        <is>
          <t>True</t>
        </is>
      </c>
      <c r="AG1208" s="18" t="inlineStr"/>
      <c r="AH1208" s="18" t="inlineStr"/>
      <c r="AI1208" s="18" t="inlineStr"/>
      <c r="AJ1208" s="18" t="inlineStr">
        <is>
          <t>Cobblemon 동일</t>
        </is>
      </c>
      <c r="AK1208" s="18" t="inlineStr">
        <is>
          <t>사용</t>
        </is>
      </c>
      <c r="AL1208" s="18" t="inlineStr">
        <is>
          <t>COBBLEVERSE 1.7.42 / DP v31</t>
        </is>
      </c>
      <c r="AM1208" s="18" t="inlineStr">
        <is>
          <t>data/cobblemon/spawn_pool_world/0320_wailmer.json</t>
        </is>
      </c>
      <c r="AN1208" s="18" t="inlineStr">
        <is>
          <t>wailmer-1</t>
        </is>
      </c>
      <c r="AO1208" s="18" t="inlineStr">
        <is>
          <t>pokemon</t>
        </is>
      </c>
      <c r="AP1208" s="18" t="inlineStr">
        <is>
          <t>water</t>
        </is>
      </c>
      <c r="AQ1208" s="18" t="inlineStr">
        <is>
          <t>{"biomes":["#cobblemon:is_deep_ocean"],"canSeeSky":true}</t>
        </is>
      </c>
      <c r="AR1208" s="18" t="inlineStr"/>
      <c r="AS1208" s="18" t="inlineStr"/>
      <c r="AT1208" s="19" t="inlineStr"/>
    </row>
    <row r="1209" ht="32" customHeight="1">
      <c r="A1209" s="18" t="inlineStr">
        <is>
          <t>0320_wailmer.json::wailmer-2::002</t>
        </is>
      </c>
      <c r="B1209" s="19" t="inlineStr">
        <is>
          <t>사용</t>
        </is>
      </c>
      <c r="C1209" s="18">
        <f>IF(OR(B1209&lt;&gt;AK1209,M1209&lt;&gt;L1209,O1209&lt;&gt;"",Q1209&lt;&gt;"",V1209&lt;&gt;1,Y1209&lt;&gt;"",AT1209&lt;&gt;""),"수정","원본")</f>
        <v/>
      </c>
      <c r="D1209" s="18" t="n">
        <v>320</v>
      </c>
      <c r="E1209" s="18" t="inlineStr">
        <is>
          <t>고래왕자</t>
        </is>
      </c>
      <c r="F1209" s="18" t="inlineStr">
        <is>
          <t>wailmer</t>
        </is>
      </c>
      <c r="G1209" s="18" t="inlineStr">
        <is>
          <t>wailmer</t>
        </is>
      </c>
      <c r="H1209" s="18" t="inlineStr"/>
      <c r="I1209" s="18" t="n">
        <v>3</v>
      </c>
      <c r="J1209" s="18" t="n"/>
      <c r="K1209" s="18" t="n">
        <v>3</v>
      </c>
      <c r="L1209" s="18" t="inlineStr">
        <is>
          <t>cobbleventure:generation_3</t>
        </is>
      </c>
      <c r="M1209" s="19" t="inlineStr">
        <is>
          <t>cobbleventure:generation_3</t>
        </is>
      </c>
      <c r="N1209" s="18" t="inlineStr"/>
      <c r="O1209" s="19" t="inlineStr"/>
      <c r="P1209" s="18" t="inlineStr">
        <is>
          <t>#cobblemon:is_ocean</t>
        </is>
      </c>
      <c r="Q1209" s="19" t="inlineStr"/>
      <c r="R1209" s="18">
        <f>IF(Q1209="",P1209,Q1209)</f>
        <v/>
      </c>
      <c r="S1209" s="18" t="inlineStr"/>
      <c r="T1209" s="18" t="inlineStr">
        <is>
          <t>uncommon</t>
        </is>
      </c>
      <c r="U1209" s="20" t="n">
        <v>1.68</v>
      </c>
      <c r="V1209" s="21" t="n">
        <v>1</v>
      </c>
      <c r="W1209" s="20">
        <f>IF(OR(U1209="",V1209=""),U1209,U1209*V1209)</f>
        <v/>
      </c>
      <c r="X1209" s="18" t="inlineStr">
        <is>
          <t>15-40</t>
        </is>
      </c>
      <c r="Y1209" s="19" t="inlineStr"/>
      <c r="Z1209" s="18">
        <f>IF(Y1209="",X1209,Y1209)</f>
        <v/>
      </c>
      <c r="AA1209" s="18" t="inlineStr">
        <is>
          <t>fishing</t>
        </is>
      </c>
      <c r="AB1209" s="18" t="inlineStr"/>
      <c r="AC1209" s="18" t="inlineStr"/>
      <c r="AD1209" s="18" t="inlineStr"/>
      <c r="AE1209" s="18" t="inlineStr"/>
      <c r="AF1209" s="18" t="inlineStr">
        <is>
          <t>True</t>
        </is>
      </c>
      <c r="AG1209" s="18" t="inlineStr"/>
      <c r="AH1209" s="18" t="inlineStr"/>
      <c r="AI1209" s="18" t="inlineStr"/>
      <c r="AJ1209" s="18" t="inlineStr">
        <is>
          <t>Cobblemon 동일</t>
        </is>
      </c>
      <c r="AK1209" s="18" t="inlineStr">
        <is>
          <t>사용</t>
        </is>
      </c>
      <c r="AL1209" s="18" t="inlineStr">
        <is>
          <t>COBBLEVERSE 1.7.42 / DP v31</t>
        </is>
      </c>
      <c r="AM1209" s="18" t="inlineStr">
        <is>
          <t>data/cobblemon/spawn_pool_world/0320_wailmer.json</t>
        </is>
      </c>
      <c r="AN1209" s="18" t="inlineStr">
        <is>
          <t>wailmer-2</t>
        </is>
      </c>
      <c r="AO1209" s="18" t="inlineStr">
        <is>
          <t>pokemon</t>
        </is>
      </c>
      <c r="AP1209" s="18" t="inlineStr"/>
      <c r="AQ1209" s="18" t="inlineStr">
        <is>
          <t>{"biomes":["#cobblemon:is_ocean"],"canSeeSky":true}</t>
        </is>
      </c>
      <c r="AR1209" s="18" t="inlineStr">
        <is>
          <t>{"minLureLevel":1}</t>
        </is>
      </c>
      <c r="AS1209" s="18" t="inlineStr"/>
      <c r="AT1209" s="19" t="inlineStr"/>
    </row>
    <row r="1210" ht="32" customHeight="1">
      <c r="A1210" s="18" t="inlineStr">
        <is>
          <t>0320_wailmer.json::wailmer-3::003</t>
        </is>
      </c>
      <c r="B1210" s="19" t="inlineStr">
        <is>
          <t>사용</t>
        </is>
      </c>
      <c r="C1210" s="18">
        <f>IF(OR(B1210&lt;&gt;AK1210,M1210&lt;&gt;L1210,O1210&lt;&gt;"",Q1210&lt;&gt;"",V1210&lt;&gt;1,Y1210&lt;&gt;"",AT1210&lt;&gt;""),"수정","원본")</f>
        <v/>
      </c>
      <c r="D1210" s="18" t="n">
        <v>320</v>
      </c>
      <c r="E1210" s="18" t="inlineStr">
        <is>
          <t>고래왕자</t>
        </is>
      </c>
      <c r="F1210" s="18" t="inlineStr">
        <is>
          <t>wailmer</t>
        </is>
      </c>
      <c r="G1210" s="18" t="inlineStr">
        <is>
          <t>wailmer</t>
        </is>
      </c>
      <c r="H1210" s="18" t="inlineStr"/>
      <c r="I1210" s="18" t="n">
        <v>3</v>
      </c>
      <c r="J1210" s="18" t="n"/>
      <c r="K1210" s="18" t="n">
        <v>3</v>
      </c>
      <c r="L1210" s="18" t="inlineStr">
        <is>
          <t>cobbleventure:generation_3</t>
        </is>
      </c>
      <c r="M1210" s="19" t="inlineStr">
        <is>
          <t>cobbleventure:generation_3</t>
        </is>
      </c>
      <c r="N1210" s="18" t="inlineStr"/>
      <c r="O1210" s="19" t="inlineStr"/>
      <c r="P1210" s="18" t="inlineStr">
        <is>
          <t>#cobblemon:is_ocean</t>
        </is>
      </c>
      <c r="Q1210" s="19" t="inlineStr"/>
      <c r="R1210" s="18">
        <f>IF(Q1210="",P1210,Q1210)</f>
        <v/>
      </c>
      <c r="S1210" s="18" t="inlineStr"/>
      <c r="T1210" s="18" t="inlineStr">
        <is>
          <t>common</t>
        </is>
      </c>
      <c r="U1210" s="20" t="n">
        <v>1.68</v>
      </c>
      <c r="V1210" s="21" t="n">
        <v>1</v>
      </c>
      <c r="W1210" s="20">
        <f>IF(OR(U1210="",V1210=""),U1210,U1210*V1210)</f>
        <v/>
      </c>
      <c r="X1210" s="18" t="inlineStr">
        <is>
          <t>15-40</t>
        </is>
      </c>
      <c r="Y1210" s="19" t="inlineStr"/>
      <c r="Z1210" s="18">
        <f>IF(Y1210="",X1210,Y1210)</f>
        <v/>
      </c>
      <c r="AA1210" s="18" t="inlineStr">
        <is>
          <t>fishing</t>
        </is>
      </c>
      <c r="AB1210" s="18" t="inlineStr"/>
      <c r="AC1210" s="18" t="inlineStr"/>
      <c r="AD1210" s="18" t="inlineStr"/>
      <c r="AE1210" s="18" t="inlineStr"/>
      <c r="AF1210" s="18" t="inlineStr">
        <is>
          <t>True</t>
        </is>
      </c>
      <c r="AG1210" s="18" t="inlineStr"/>
      <c r="AH1210" s="18" t="inlineStr"/>
      <c r="AI1210" s="18" t="inlineStr">
        <is>
          <t>{"fishing":{"minLureLevel":1}}</t>
        </is>
      </c>
      <c r="AJ1210" s="18" t="inlineStr">
        <is>
          <t>Cobblemon 동일</t>
        </is>
      </c>
      <c r="AK1210" s="18" t="inlineStr">
        <is>
          <t>사용</t>
        </is>
      </c>
      <c r="AL1210" s="18" t="inlineStr">
        <is>
          <t>COBBLEVERSE 1.7.42 / DP v31</t>
        </is>
      </c>
      <c r="AM1210" s="18" t="inlineStr">
        <is>
          <t>data/cobblemon/spawn_pool_world/0320_wailmer.json</t>
        </is>
      </c>
      <c r="AN1210" s="18" t="inlineStr">
        <is>
          <t>wailmer-3</t>
        </is>
      </c>
      <c r="AO1210" s="18" t="inlineStr">
        <is>
          <t>pokemon</t>
        </is>
      </c>
      <c r="AP1210" s="18" t="inlineStr"/>
      <c r="AQ1210" s="18" t="inlineStr">
        <is>
          <t>{"biomes":["#cobblemon:is_ocean"],"canSeeSky":true,"minLureLevel":1}</t>
        </is>
      </c>
      <c r="AR1210" s="18" t="inlineStr"/>
      <c r="AS1210" s="18" t="inlineStr">
        <is>
          <t>{"weightMultiplier":{"condition":{"minLureLevel":3},"multiplier":3.0}}</t>
        </is>
      </c>
      <c r="AT1210" s="19" t="inlineStr"/>
    </row>
    <row r="1211" ht="32" customHeight="1">
      <c r="A1211" s="18" t="inlineStr">
        <is>
          <t>0320_wailmer.json::wailmer-4::004</t>
        </is>
      </c>
      <c r="B1211" s="19" t="inlineStr">
        <is>
          <t>사용</t>
        </is>
      </c>
      <c r="C1211" s="18">
        <f>IF(OR(B1211&lt;&gt;AK1211,M1211&lt;&gt;L1211,O1211&lt;&gt;"",Q1211&lt;&gt;"",V1211&lt;&gt;1,Y1211&lt;&gt;"",AT1211&lt;&gt;""),"수정","원본")</f>
        <v/>
      </c>
      <c r="D1211" s="18" t="n">
        <v>320</v>
      </c>
      <c r="E1211" s="18" t="inlineStr">
        <is>
          <t>고래왕자</t>
        </is>
      </c>
      <c r="F1211" s="18" t="inlineStr">
        <is>
          <t>wailmer</t>
        </is>
      </c>
      <c r="G1211" s="18" t="inlineStr">
        <is>
          <t>wailmer</t>
        </is>
      </c>
      <c r="H1211" s="18" t="inlineStr"/>
      <c r="I1211" s="18" t="n">
        <v>3</v>
      </c>
      <c r="J1211" s="18" t="n"/>
      <c r="K1211" s="18" t="n">
        <v>3</v>
      </c>
      <c r="L1211" s="18" t="inlineStr">
        <is>
          <t>cobbleventure:generation_3</t>
        </is>
      </c>
      <c r="M1211" s="19" t="inlineStr">
        <is>
          <t>cobbleventure:generation_3</t>
        </is>
      </c>
      <c r="N1211" s="18" t="inlineStr"/>
      <c r="O1211" s="19" t="inlineStr"/>
      <c r="P1211" s="18" t="inlineStr">
        <is>
          <t>#cobblemon:is_deep_ocean</t>
        </is>
      </c>
      <c r="Q1211" s="19" t="inlineStr"/>
      <c r="R1211" s="18">
        <f>IF(Q1211="",P1211,Q1211)</f>
        <v/>
      </c>
      <c r="S1211" s="18" t="inlineStr"/>
      <c r="T1211" s="18" t="inlineStr">
        <is>
          <t>uncommon</t>
        </is>
      </c>
      <c r="U1211" s="20" t="n">
        <v>1.68</v>
      </c>
      <c r="V1211" s="21" t="n">
        <v>1</v>
      </c>
      <c r="W1211" s="20">
        <f>IF(OR(U1211="",V1211=""),U1211,U1211*V1211)</f>
        <v/>
      </c>
      <c r="X1211" s="18" t="inlineStr">
        <is>
          <t>15-40</t>
        </is>
      </c>
      <c r="Y1211" s="19" t="inlineStr"/>
      <c r="Z1211" s="18">
        <f>IF(Y1211="",X1211,Y1211)</f>
        <v/>
      </c>
      <c r="AA1211" s="18" t="inlineStr">
        <is>
          <t>submerged</t>
        </is>
      </c>
      <c r="AB1211" s="18" t="inlineStr"/>
      <c r="AC1211" s="18" t="inlineStr"/>
      <c r="AD1211" s="18" t="inlineStr"/>
      <c r="AE1211" s="18" t="inlineStr">
        <is>
          <t>sky 8-15</t>
        </is>
      </c>
      <c r="AF1211" s="18" t="inlineStr">
        <is>
          <t>False</t>
        </is>
      </c>
      <c r="AG1211" s="18" t="inlineStr"/>
      <c r="AH1211" s="18" t="inlineStr"/>
      <c r="AI1211" s="18" t="inlineStr"/>
      <c r="AJ1211" s="18" t="inlineStr">
        <is>
          <t>Cobblemon 동일</t>
        </is>
      </c>
      <c r="AK1211" s="18" t="inlineStr">
        <is>
          <t>사용</t>
        </is>
      </c>
      <c r="AL1211" s="18" t="inlineStr">
        <is>
          <t>COBBLEVERSE 1.7.42 / DP v31</t>
        </is>
      </c>
      <c r="AM1211" s="18" t="inlineStr">
        <is>
          <t>data/cobblemon/spawn_pool_world/0320_wailmer.json</t>
        </is>
      </c>
      <c r="AN1211" s="18" t="inlineStr">
        <is>
          <t>wailmer-4</t>
        </is>
      </c>
      <c r="AO1211" s="18" t="inlineStr">
        <is>
          <t>pokemon</t>
        </is>
      </c>
      <c r="AP1211" s="18" t="inlineStr">
        <is>
          <t>water</t>
        </is>
      </c>
      <c r="AQ1211" s="18" t="inlineStr">
        <is>
          <t>{"biomes":["#cobblemon:is_deep_ocean"],"canSeeSky":false,"maxSkyLight":15,"minSkyLight":8}</t>
        </is>
      </c>
      <c r="AR1211" s="18" t="inlineStr"/>
      <c r="AS1211" s="18" t="inlineStr"/>
      <c r="AT1211" s="19" t="inlineStr"/>
    </row>
    <row r="1212" ht="32" customHeight="1">
      <c r="A1212" s="18" t="inlineStr">
        <is>
          <t>0320_wailmer.json::wailmer-5::005</t>
        </is>
      </c>
      <c r="B1212" s="19" t="inlineStr">
        <is>
          <t>사용</t>
        </is>
      </c>
      <c r="C1212" s="18">
        <f>IF(OR(B1212&lt;&gt;AK1212,M1212&lt;&gt;L1212,O1212&lt;&gt;"",Q1212&lt;&gt;"",V1212&lt;&gt;1,Y1212&lt;&gt;"",AT1212&lt;&gt;""),"수정","원본")</f>
        <v/>
      </c>
      <c r="D1212" s="18" t="n">
        <v>320</v>
      </c>
      <c r="E1212" s="18" t="inlineStr">
        <is>
          <t>고래왕자</t>
        </is>
      </c>
      <c r="F1212" s="18" t="inlineStr">
        <is>
          <t>wailmer</t>
        </is>
      </c>
      <c r="G1212" s="18" t="inlineStr">
        <is>
          <t>wailmer</t>
        </is>
      </c>
      <c r="H1212" s="18" t="inlineStr"/>
      <c r="I1212" s="18" t="n">
        <v>3</v>
      </c>
      <c r="J1212" s="18" t="n"/>
      <c r="K1212" s="18" t="n">
        <v>3</v>
      </c>
      <c r="L1212" s="18" t="inlineStr">
        <is>
          <t>cobbleventure:generation_3</t>
        </is>
      </c>
      <c r="M1212" s="19" t="inlineStr">
        <is>
          <t>cobbleventure:generation_3</t>
        </is>
      </c>
      <c r="N1212" s="18" t="inlineStr"/>
      <c r="O1212" s="19" t="inlineStr"/>
      <c r="P1212" s="18" t="inlineStr">
        <is>
          <t>#cobblemon:is_ocean</t>
        </is>
      </c>
      <c r="Q1212" s="19" t="inlineStr"/>
      <c r="R1212" s="18">
        <f>IF(Q1212="",P1212,Q1212)</f>
        <v/>
      </c>
      <c r="S1212" s="18" t="inlineStr"/>
      <c r="T1212" s="18" t="inlineStr">
        <is>
          <t>uncommon</t>
        </is>
      </c>
      <c r="U1212" s="20" t="n">
        <v>1.68</v>
      </c>
      <c r="V1212" s="21" t="n">
        <v>1</v>
      </c>
      <c r="W1212" s="20">
        <f>IF(OR(U1212="",V1212=""),U1212,U1212*V1212)</f>
        <v/>
      </c>
      <c r="X1212" s="18" t="inlineStr">
        <is>
          <t>15-40</t>
        </is>
      </c>
      <c r="Y1212" s="19" t="inlineStr"/>
      <c r="Z1212" s="18">
        <f>IF(Y1212="",X1212,Y1212)</f>
        <v/>
      </c>
      <c r="AA1212" s="18" t="inlineStr">
        <is>
          <t>fishing</t>
        </is>
      </c>
      <c r="AB1212" s="18" t="inlineStr"/>
      <c r="AC1212" s="18" t="inlineStr"/>
      <c r="AD1212" s="18" t="inlineStr"/>
      <c r="AE1212" s="18" t="inlineStr">
        <is>
          <t>sky 8-15</t>
        </is>
      </c>
      <c r="AF1212" s="18" t="inlineStr">
        <is>
          <t>False</t>
        </is>
      </c>
      <c r="AG1212" s="18" t="inlineStr"/>
      <c r="AH1212" s="18" t="inlineStr"/>
      <c r="AI1212" s="18" t="inlineStr"/>
      <c r="AJ1212" s="18" t="inlineStr">
        <is>
          <t>Cobblemon 동일</t>
        </is>
      </c>
      <c r="AK1212" s="18" t="inlineStr">
        <is>
          <t>사용</t>
        </is>
      </c>
      <c r="AL1212" s="18" t="inlineStr">
        <is>
          <t>COBBLEVERSE 1.7.42 / DP v31</t>
        </is>
      </c>
      <c r="AM1212" s="18" t="inlineStr">
        <is>
          <t>data/cobblemon/spawn_pool_world/0320_wailmer.json</t>
        </is>
      </c>
      <c r="AN1212" s="18" t="inlineStr">
        <is>
          <t>wailmer-5</t>
        </is>
      </c>
      <c r="AO1212" s="18" t="inlineStr">
        <is>
          <t>pokemon</t>
        </is>
      </c>
      <c r="AP1212" s="18" t="inlineStr"/>
      <c r="AQ1212" s="18" t="inlineStr">
        <is>
          <t>{"biomes":["#cobblemon:is_ocean"],"canSeeSky":false,"maxSkyLight":15,"minSkyLight":8}</t>
        </is>
      </c>
      <c r="AR1212" s="18" t="inlineStr">
        <is>
          <t>{"minLureLevel":1}</t>
        </is>
      </c>
      <c r="AS1212" s="18" t="inlineStr"/>
      <c r="AT1212" s="19" t="inlineStr"/>
    </row>
    <row r="1213" ht="32" customHeight="1">
      <c r="A1213" s="18" t="inlineStr">
        <is>
          <t>0320_wailmer.json::wailmer-6::006</t>
        </is>
      </c>
      <c r="B1213" s="19" t="inlineStr">
        <is>
          <t>사용</t>
        </is>
      </c>
      <c r="C1213" s="18">
        <f>IF(OR(B1213&lt;&gt;AK1213,M1213&lt;&gt;L1213,O1213&lt;&gt;"",Q1213&lt;&gt;"",V1213&lt;&gt;1,Y1213&lt;&gt;"",AT1213&lt;&gt;""),"수정","원본")</f>
        <v/>
      </c>
      <c r="D1213" s="18" t="n">
        <v>320</v>
      </c>
      <c r="E1213" s="18" t="inlineStr">
        <is>
          <t>고래왕자</t>
        </is>
      </c>
      <c r="F1213" s="18" t="inlineStr">
        <is>
          <t>wailmer</t>
        </is>
      </c>
      <c r="G1213" s="18" t="inlineStr">
        <is>
          <t>wailmer</t>
        </is>
      </c>
      <c r="H1213" s="18" t="inlineStr"/>
      <c r="I1213" s="18" t="n">
        <v>3</v>
      </c>
      <c r="J1213" s="18" t="n"/>
      <c r="K1213" s="18" t="n">
        <v>3</v>
      </c>
      <c r="L1213" s="18" t="inlineStr">
        <is>
          <t>cobbleventure:generation_3</t>
        </is>
      </c>
      <c r="M1213" s="19" t="inlineStr">
        <is>
          <t>cobbleventure:generation_3</t>
        </is>
      </c>
      <c r="N1213" s="18" t="inlineStr"/>
      <c r="O1213" s="19" t="inlineStr"/>
      <c r="P1213" s="18" t="inlineStr">
        <is>
          <t>#cobblemon:is_ocean</t>
        </is>
      </c>
      <c r="Q1213" s="19" t="inlineStr"/>
      <c r="R1213" s="18">
        <f>IF(Q1213="",P1213,Q1213)</f>
        <v/>
      </c>
      <c r="S1213" s="18" t="inlineStr"/>
      <c r="T1213" s="18" t="inlineStr">
        <is>
          <t>common</t>
        </is>
      </c>
      <c r="U1213" s="20" t="n">
        <v>1.68</v>
      </c>
      <c r="V1213" s="21" t="n">
        <v>1</v>
      </c>
      <c r="W1213" s="20">
        <f>IF(OR(U1213="",V1213=""),U1213,U1213*V1213)</f>
        <v/>
      </c>
      <c r="X1213" s="18" t="inlineStr">
        <is>
          <t>15-40</t>
        </is>
      </c>
      <c r="Y1213" s="19" t="inlineStr"/>
      <c r="Z1213" s="18">
        <f>IF(Y1213="",X1213,Y1213)</f>
        <v/>
      </c>
      <c r="AA1213" s="18" t="inlineStr">
        <is>
          <t>fishing</t>
        </is>
      </c>
      <c r="AB1213" s="18" t="inlineStr"/>
      <c r="AC1213" s="18" t="inlineStr"/>
      <c r="AD1213" s="18" t="inlineStr"/>
      <c r="AE1213" s="18" t="inlineStr">
        <is>
          <t>sky 8-15</t>
        </is>
      </c>
      <c r="AF1213" s="18" t="inlineStr">
        <is>
          <t>False</t>
        </is>
      </c>
      <c r="AG1213" s="18" t="inlineStr"/>
      <c r="AH1213" s="18" t="inlineStr"/>
      <c r="AI1213" s="18" t="inlineStr">
        <is>
          <t>{"fishing":{"minLureLevel":1}}</t>
        </is>
      </c>
      <c r="AJ1213" s="18" t="inlineStr">
        <is>
          <t>Cobblemon 동일</t>
        </is>
      </c>
      <c r="AK1213" s="18" t="inlineStr">
        <is>
          <t>사용</t>
        </is>
      </c>
      <c r="AL1213" s="18" t="inlineStr">
        <is>
          <t>COBBLEVERSE 1.7.42 / DP v31</t>
        </is>
      </c>
      <c r="AM1213" s="18" t="inlineStr">
        <is>
          <t>data/cobblemon/spawn_pool_world/0320_wailmer.json</t>
        </is>
      </c>
      <c r="AN1213" s="18" t="inlineStr">
        <is>
          <t>wailmer-6</t>
        </is>
      </c>
      <c r="AO1213" s="18" t="inlineStr">
        <is>
          <t>pokemon</t>
        </is>
      </c>
      <c r="AP1213" s="18" t="inlineStr"/>
      <c r="AQ1213" s="18" t="inlineStr">
        <is>
          <t>{"biomes":["#cobblemon:is_ocean"],"canSeeSky":false,"maxSkyLight":15,"minLureLevel":1,"minSkyLight":8}</t>
        </is>
      </c>
      <c r="AR1213" s="18" t="inlineStr"/>
      <c r="AS1213" s="18" t="inlineStr">
        <is>
          <t>{"weightMultiplier":{"condition":{"minLureLevel":3},"multiplier":3.0}}</t>
        </is>
      </c>
      <c r="AT1213" s="19" t="inlineStr"/>
    </row>
    <row r="1214" ht="32" customHeight="1">
      <c r="A1214" s="18" t="inlineStr">
        <is>
          <t>0321_wailord.json::wailord-1::001</t>
        </is>
      </c>
      <c r="B1214" s="19" t="inlineStr">
        <is>
          <t>사용</t>
        </is>
      </c>
      <c r="C1214" s="18">
        <f>IF(OR(B1214&lt;&gt;AK1214,M1214&lt;&gt;L1214,O1214&lt;&gt;"",Q1214&lt;&gt;"",V1214&lt;&gt;1,Y1214&lt;&gt;"",AT1214&lt;&gt;""),"수정","원본")</f>
        <v/>
      </c>
      <c r="D1214" s="18" t="n">
        <v>321</v>
      </c>
      <c r="E1214" s="18" t="inlineStr">
        <is>
          <t>고래왕</t>
        </is>
      </c>
      <c r="F1214" s="18" t="inlineStr">
        <is>
          <t>wailord</t>
        </is>
      </c>
      <c r="G1214" s="18" t="inlineStr">
        <is>
          <t>wailord</t>
        </is>
      </c>
      <c r="H1214" s="18" t="inlineStr"/>
      <c r="I1214" s="18" t="n">
        <v>3</v>
      </c>
      <c r="J1214" s="18" t="n"/>
      <c r="K1214" s="18" t="n">
        <v>3</v>
      </c>
      <c r="L1214" s="18" t="inlineStr">
        <is>
          <t>cobbleventure:generation_3</t>
        </is>
      </c>
      <c r="M1214" s="19" t="inlineStr">
        <is>
          <t>cobbleventure:generation_3</t>
        </is>
      </c>
      <c r="N1214" s="18" t="inlineStr"/>
      <c r="O1214" s="19" t="inlineStr"/>
      <c r="P1214" s="18" t="inlineStr">
        <is>
          <t>#cobblemon:is_deep_ocean</t>
        </is>
      </c>
      <c r="Q1214" s="19" t="inlineStr"/>
      <c r="R1214" s="18">
        <f>IF(Q1214="",P1214,Q1214)</f>
        <v/>
      </c>
      <c r="S1214" s="18" t="inlineStr"/>
      <c r="T1214" s="18" t="inlineStr">
        <is>
          <t>uncommon</t>
        </is>
      </c>
      <c r="U1214" s="20" t="n">
        <v>0.32</v>
      </c>
      <c r="V1214" s="21" t="n">
        <v>1</v>
      </c>
      <c r="W1214" s="20">
        <f>IF(OR(U1214="",V1214=""),U1214,U1214*V1214)</f>
        <v/>
      </c>
      <c r="X1214" s="18" t="inlineStr">
        <is>
          <t>40-50</t>
        </is>
      </c>
      <c r="Y1214" s="19" t="inlineStr"/>
      <c r="Z1214" s="18">
        <f>IF(Y1214="",X1214,Y1214)</f>
        <v/>
      </c>
      <c r="AA1214" s="18" t="inlineStr">
        <is>
          <t>submerged</t>
        </is>
      </c>
      <c r="AB1214" s="18" t="inlineStr"/>
      <c r="AC1214" s="18" t="inlineStr"/>
      <c r="AD1214" s="18" t="inlineStr"/>
      <c r="AE1214" s="18" t="inlineStr"/>
      <c r="AF1214" s="18" t="inlineStr">
        <is>
          <t>True</t>
        </is>
      </c>
      <c r="AG1214" s="18" t="inlineStr"/>
      <c r="AH1214" s="18" t="inlineStr"/>
      <c r="AI1214" s="18" t="inlineStr"/>
      <c r="AJ1214" s="18" t="inlineStr">
        <is>
          <t>Cobblemon 동일</t>
        </is>
      </c>
      <c r="AK1214" s="18" t="inlineStr">
        <is>
          <t>사용</t>
        </is>
      </c>
      <c r="AL1214" s="18" t="inlineStr">
        <is>
          <t>COBBLEVERSE 1.7.42 / DP v31</t>
        </is>
      </c>
      <c r="AM1214" s="18" t="inlineStr">
        <is>
          <t>data/cobblemon/spawn_pool_world/0321_wailord.json</t>
        </is>
      </c>
      <c r="AN1214" s="18" t="inlineStr">
        <is>
          <t>wailord-1</t>
        </is>
      </c>
      <c r="AO1214" s="18" t="inlineStr">
        <is>
          <t>pokemon</t>
        </is>
      </c>
      <c r="AP1214" s="18" t="inlineStr">
        <is>
          <t>water</t>
        </is>
      </c>
      <c r="AQ1214" s="18" t="inlineStr">
        <is>
          <t>{"biomes":["#cobblemon:is_deep_ocean"],"canSeeSky":true}</t>
        </is>
      </c>
      <c r="AR1214" s="18" t="inlineStr"/>
      <c r="AS1214" s="18" t="inlineStr"/>
      <c r="AT1214" s="19" t="inlineStr"/>
    </row>
    <row r="1215" ht="32" customHeight="1">
      <c r="A1215" s="18" t="inlineStr">
        <is>
          <t>0321_wailord.json::wailord-2::002</t>
        </is>
      </c>
      <c r="B1215" s="19" t="inlineStr">
        <is>
          <t>사용</t>
        </is>
      </c>
      <c r="C1215" s="18">
        <f>IF(OR(B1215&lt;&gt;AK1215,M1215&lt;&gt;L1215,O1215&lt;&gt;"",Q1215&lt;&gt;"",V1215&lt;&gt;1,Y1215&lt;&gt;"",AT1215&lt;&gt;""),"수정","원본")</f>
        <v/>
      </c>
      <c r="D1215" s="18" t="n">
        <v>321</v>
      </c>
      <c r="E1215" s="18" t="inlineStr">
        <is>
          <t>고래왕</t>
        </is>
      </c>
      <c r="F1215" s="18" t="inlineStr">
        <is>
          <t>wailord</t>
        </is>
      </c>
      <c r="G1215" s="18" t="inlineStr">
        <is>
          <t>wailord</t>
        </is>
      </c>
      <c r="H1215" s="18" t="inlineStr"/>
      <c r="I1215" s="18" t="n">
        <v>3</v>
      </c>
      <c r="J1215" s="18" t="n"/>
      <c r="K1215" s="18" t="n">
        <v>3</v>
      </c>
      <c r="L1215" s="18" t="inlineStr">
        <is>
          <t>cobbleventure:generation_3</t>
        </is>
      </c>
      <c r="M1215" s="19" t="inlineStr">
        <is>
          <t>cobbleventure:generation_3</t>
        </is>
      </c>
      <c r="N1215" s="18" t="inlineStr"/>
      <c r="O1215" s="19" t="inlineStr"/>
      <c r="P1215" s="18" t="inlineStr">
        <is>
          <t>#cobblemon:is_ocean</t>
        </is>
      </c>
      <c r="Q1215" s="19" t="inlineStr"/>
      <c r="R1215" s="18">
        <f>IF(Q1215="",P1215,Q1215)</f>
        <v/>
      </c>
      <c r="S1215" s="18" t="inlineStr"/>
      <c r="T1215" s="18" t="inlineStr">
        <is>
          <t>uncommon</t>
        </is>
      </c>
      <c r="U1215" s="20" t="n">
        <v>0.32</v>
      </c>
      <c r="V1215" s="21" t="n">
        <v>1</v>
      </c>
      <c r="W1215" s="20">
        <f>IF(OR(U1215="",V1215=""),U1215,U1215*V1215)</f>
        <v/>
      </c>
      <c r="X1215" s="18" t="inlineStr">
        <is>
          <t>40-50</t>
        </is>
      </c>
      <c r="Y1215" s="19" t="inlineStr"/>
      <c r="Z1215" s="18">
        <f>IF(Y1215="",X1215,Y1215)</f>
        <v/>
      </c>
      <c r="AA1215" s="18" t="inlineStr">
        <is>
          <t>fishing</t>
        </is>
      </c>
      <c r="AB1215" s="18" t="inlineStr"/>
      <c r="AC1215" s="18" t="inlineStr"/>
      <c r="AD1215" s="18" t="inlineStr"/>
      <c r="AE1215" s="18" t="inlineStr"/>
      <c r="AF1215" s="18" t="inlineStr">
        <is>
          <t>True</t>
        </is>
      </c>
      <c r="AG1215" s="18" t="inlineStr"/>
      <c r="AH1215" s="18" t="inlineStr"/>
      <c r="AI1215" s="18" t="inlineStr"/>
      <c r="AJ1215" s="18" t="inlineStr">
        <is>
          <t>Cobblemon 동일</t>
        </is>
      </c>
      <c r="AK1215" s="18" t="inlineStr">
        <is>
          <t>사용</t>
        </is>
      </c>
      <c r="AL1215" s="18" t="inlineStr">
        <is>
          <t>COBBLEVERSE 1.7.42 / DP v31</t>
        </is>
      </c>
      <c r="AM1215" s="18" t="inlineStr">
        <is>
          <t>data/cobblemon/spawn_pool_world/0321_wailord.json</t>
        </is>
      </c>
      <c r="AN1215" s="18" t="inlineStr">
        <is>
          <t>wailord-2</t>
        </is>
      </c>
      <c r="AO1215" s="18" t="inlineStr">
        <is>
          <t>pokemon</t>
        </is>
      </c>
      <c r="AP1215" s="18" t="inlineStr"/>
      <c r="AQ1215" s="18" t="inlineStr">
        <is>
          <t>{"biomes":["#cobblemon:is_ocean"],"canSeeSky":true}</t>
        </is>
      </c>
      <c r="AR1215" s="18" t="inlineStr">
        <is>
          <t>{"minLureLevel":1}</t>
        </is>
      </c>
      <c r="AS1215" s="18" t="inlineStr"/>
      <c r="AT1215" s="19" t="inlineStr"/>
    </row>
    <row r="1216" ht="32" customHeight="1">
      <c r="A1216" s="18" t="inlineStr">
        <is>
          <t>0321_wailord.json::wailord-3::003</t>
        </is>
      </c>
      <c r="B1216" s="19" t="inlineStr">
        <is>
          <t>사용</t>
        </is>
      </c>
      <c r="C1216" s="18">
        <f>IF(OR(B1216&lt;&gt;AK1216,M1216&lt;&gt;L1216,O1216&lt;&gt;"",Q1216&lt;&gt;"",V1216&lt;&gt;1,Y1216&lt;&gt;"",AT1216&lt;&gt;""),"수정","원본")</f>
        <v/>
      </c>
      <c r="D1216" s="18" t="n">
        <v>321</v>
      </c>
      <c r="E1216" s="18" t="inlineStr">
        <is>
          <t>고래왕</t>
        </is>
      </c>
      <c r="F1216" s="18" t="inlineStr">
        <is>
          <t>wailord</t>
        </is>
      </c>
      <c r="G1216" s="18" t="inlineStr">
        <is>
          <t>wailord</t>
        </is>
      </c>
      <c r="H1216" s="18" t="inlineStr"/>
      <c r="I1216" s="18" t="n">
        <v>3</v>
      </c>
      <c r="J1216" s="18" t="n"/>
      <c r="K1216" s="18" t="n">
        <v>3</v>
      </c>
      <c r="L1216" s="18" t="inlineStr">
        <is>
          <t>cobbleventure:generation_3</t>
        </is>
      </c>
      <c r="M1216" s="19" t="inlineStr">
        <is>
          <t>cobbleventure:generation_3</t>
        </is>
      </c>
      <c r="N1216" s="18" t="inlineStr"/>
      <c r="O1216" s="19" t="inlineStr"/>
      <c r="P1216" s="18" t="inlineStr">
        <is>
          <t>#cobblemon:is_ocean</t>
        </is>
      </c>
      <c r="Q1216" s="19" t="inlineStr"/>
      <c r="R1216" s="18">
        <f>IF(Q1216="",P1216,Q1216)</f>
        <v/>
      </c>
      <c r="S1216" s="18" t="inlineStr"/>
      <c r="T1216" s="18" t="inlineStr">
        <is>
          <t>common</t>
        </is>
      </c>
      <c r="U1216" s="20" t="n">
        <v>0.32</v>
      </c>
      <c r="V1216" s="21" t="n">
        <v>1</v>
      </c>
      <c r="W1216" s="20">
        <f>IF(OR(U1216="",V1216=""),U1216,U1216*V1216)</f>
        <v/>
      </c>
      <c r="X1216" s="18" t="inlineStr">
        <is>
          <t>40-50</t>
        </is>
      </c>
      <c r="Y1216" s="19" t="inlineStr"/>
      <c r="Z1216" s="18">
        <f>IF(Y1216="",X1216,Y1216)</f>
        <v/>
      </c>
      <c r="AA1216" s="18" t="inlineStr">
        <is>
          <t>fishing</t>
        </is>
      </c>
      <c r="AB1216" s="18" t="inlineStr"/>
      <c r="AC1216" s="18" t="inlineStr"/>
      <c r="AD1216" s="18" t="inlineStr"/>
      <c r="AE1216" s="18" t="inlineStr"/>
      <c r="AF1216" s="18" t="inlineStr">
        <is>
          <t>True</t>
        </is>
      </c>
      <c r="AG1216" s="18" t="inlineStr"/>
      <c r="AH1216" s="18" t="inlineStr"/>
      <c r="AI1216" s="18" t="inlineStr">
        <is>
          <t>{"fishing":{"minLureLevel":1}}</t>
        </is>
      </c>
      <c r="AJ1216" s="18" t="inlineStr">
        <is>
          <t>Cobblemon 동일</t>
        </is>
      </c>
      <c r="AK1216" s="18" t="inlineStr">
        <is>
          <t>사용</t>
        </is>
      </c>
      <c r="AL1216" s="18" t="inlineStr">
        <is>
          <t>COBBLEVERSE 1.7.42 / DP v31</t>
        </is>
      </c>
      <c r="AM1216" s="18" t="inlineStr">
        <is>
          <t>data/cobblemon/spawn_pool_world/0321_wailord.json</t>
        </is>
      </c>
      <c r="AN1216" s="18" t="inlineStr">
        <is>
          <t>wailord-3</t>
        </is>
      </c>
      <c r="AO1216" s="18" t="inlineStr">
        <is>
          <t>pokemon</t>
        </is>
      </c>
      <c r="AP1216" s="18" t="inlineStr"/>
      <c r="AQ1216" s="18" t="inlineStr">
        <is>
          <t>{"biomes":["#cobblemon:is_ocean"],"canSeeSky":true,"minLureLevel":1}</t>
        </is>
      </c>
      <c r="AR1216" s="18" t="inlineStr"/>
      <c r="AS1216" s="18" t="inlineStr">
        <is>
          <t>{"weightMultiplier":{"condition":{"minLureLevel":3},"multiplier":3.0}}</t>
        </is>
      </c>
      <c r="AT1216" s="19" t="inlineStr"/>
    </row>
    <row r="1217" ht="32" customHeight="1">
      <c r="A1217" s="18" t="inlineStr">
        <is>
          <t>0321_wailord.json::wailord-4::004</t>
        </is>
      </c>
      <c r="B1217" s="19" t="inlineStr">
        <is>
          <t>사용</t>
        </is>
      </c>
      <c r="C1217" s="18">
        <f>IF(OR(B1217&lt;&gt;AK1217,M1217&lt;&gt;L1217,O1217&lt;&gt;"",Q1217&lt;&gt;"",V1217&lt;&gt;1,Y1217&lt;&gt;"",AT1217&lt;&gt;""),"수정","원본")</f>
        <v/>
      </c>
      <c r="D1217" s="18" t="n">
        <v>321</v>
      </c>
      <c r="E1217" s="18" t="inlineStr">
        <is>
          <t>고래왕</t>
        </is>
      </c>
      <c r="F1217" s="18" t="inlineStr">
        <is>
          <t>wailord</t>
        </is>
      </c>
      <c r="G1217" s="18" t="inlineStr">
        <is>
          <t>wailord</t>
        </is>
      </c>
      <c r="H1217" s="18" t="inlineStr"/>
      <c r="I1217" s="18" t="n">
        <v>3</v>
      </c>
      <c r="J1217" s="18" t="n"/>
      <c r="K1217" s="18" t="n">
        <v>3</v>
      </c>
      <c r="L1217" s="18" t="inlineStr">
        <is>
          <t>cobbleventure:generation_3</t>
        </is>
      </c>
      <c r="M1217" s="19" t="inlineStr">
        <is>
          <t>cobbleventure:generation_3</t>
        </is>
      </c>
      <c r="N1217" s="18" t="inlineStr"/>
      <c r="O1217" s="19" t="inlineStr"/>
      <c r="P1217" s="18" t="inlineStr">
        <is>
          <t>#cobblemon:is_deep_ocean</t>
        </is>
      </c>
      <c r="Q1217" s="19" t="inlineStr"/>
      <c r="R1217" s="18">
        <f>IF(Q1217="",P1217,Q1217)</f>
        <v/>
      </c>
      <c r="S1217" s="18" t="inlineStr"/>
      <c r="T1217" s="18" t="inlineStr">
        <is>
          <t>uncommon</t>
        </is>
      </c>
      <c r="U1217" s="20" t="n">
        <v>0.32</v>
      </c>
      <c r="V1217" s="21" t="n">
        <v>1</v>
      </c>
      <c r="W1217" s="20">
        <f>IF(OR(U1217="",V1217=""),U1217,U1217*V1217)</f>
        <v/>
      </c>
      <c r="X1217" s="18" t="inlineStr">
        <is>
          <t>40-50</t>
        </is>
      </c>
      <c r="Y1217" s="19" t="inlineStr"/>
      <c r="Z1217" s="18">
        <f>IF(Y1217="",X1217,Y1217)</f>
        <v/>
      </c>
      <c r="AA1217" s="18" t="inlineStr">
        <is>
          <t>submerged</t>
        </is>
      </c>
      <c r="AB1217" s="18" t="inlineStr"/>
      <c r="AC1217" s="18" t="inlineStr"/>
      <c r="AD1217" s="18" t="inlineStr"/>
      <c r="AE1217" s="18" t="inlineStr">
        <is>
          <t>sky 8-15</t>
        </is>
      </c>
      <c r="AF1217" s="18" t="inlineStr">
        <is>
          <t>False</t>
        </is>
      </c>
      <c r="AG1217" s="18" t="inlineStr"/>
      <c r="AH1217" s="18" t="inlineStr"/>
      <c r="AI1217" s="18" t="inlineStr"/>
      <c r="AJ1217" s="18" t="inlineStr">
        <is>
          <t>Cobblemon 동일</t>
        </is>
      </c>
      <c r="AK1217" s="18" t="inlineStr">
        <is>
          <t>사용</t>
        </is>
      </c>
      <c r="AL1217" s="18" t="inlineStr">
        <is>
          <t>COBBLEVERSE 1.7.42 / DP v31</t>
        </is>
      </c>
      <c r="AM1217" s="18" t="inlineStr">
        <is>
          <t>data/cobblemon/spawn_pool_world/0321_wailord.json</t>
        </is>
      </c>
      <c r="AN1217" s="18" t="inlineStr">
        <is>
          <t>wailord-4</t>
        </is>
      </c>
      <c r="AO1217" s="18" t="inlineStr">
        <is>
          <t>pokemon</t>
        </is>
      </c>
      <c r="AP1217" s="18" t="inlineStr">
        <is>
          <t>water</t>
        </is>
      </c>
      <c r="AQ1217" s="18" t="inlineStr">
        <is>
          <t>{"biomes":["#cobblemon:is_deep_ocean"],"canSeeSky":false,"maxSkyLight":15,"minSkyLight":8}</t>
        </is>
      </c>
      <c r="AR1217" s="18" t="inlineStr"/>
      <c r="AS1217" s="18" t="inlineStr"/>
      <c r="AT1217" s="19" t="inlineStr"/>
    </row>
    <row r="1218" ht="32" customHeight="1">
      <c r="A1218" s="18" t="inlineStr">
        <is>
          <t>0321_wailord.json::wailord-5::005</t>
        </is>
      </c>
      <c r="B1218" s="19" t="inlineStr">
        <is>
          <t>사용</t>
        </is>
      </c>
      <c r="C1218" s="18">
        <f>IF(OR(B1218&lt;&gt;AK1218,M1218&lt;&gt;L1218,O1218&lt;&gt;"",Q1218&lt;&gt;"",V1218&lt;&gt;1,Y1218&lt;&gt;"",AT1218&lt;&gt;""),"수정","원본")</f>
        <v/>
      </c>
      <c r="D1218" s="18" t="n">
        <v>321</v>
      </c>
      <c r="E1218" s="18" t="inlineStr">
        <is>
          <t>고래왕</t>
        </is>
      </c>
      <c r="F1218" s="18" t="inlineStr">
        <is>
          <t>wailord</t>
        </is>
      </c>
      <c r="G1218" s="18" t="inlineStr">
        <is>
          <t>wailord</t>
        </is>
      </c>
      <c r="H1218" s="18" t="inlineStr"/>
      <c r="I1218" s="18" t="n">
        <v>3</v>
      </c>
      <c r="J1218" s="18" t="n"/>
      <c r="K1218" s="18" t="n">
        <v>3</v>
      </c>
      <c r="L1218" s="18" t="inlineStr">
        <is>
          <t>cobbleventure:generation_3</t>
        </is>
      </c>
      <c r="M1218" s="19" t="inlineStr">
        <is>
          <t>cobbleventure:generation_3</t>
        </is>
      </c>
      <c r="N1218" s="18" t="inlineStr"/>
      <c r="O1218" s="19" t="inlineStr"/>
      <c r="P1218" s="18" t="inlineStr">
        <is>
          <t>#cobblemon:is_ocean</t>
        </is>
      </c>
      <c r="Q1218" s="19" t="inlineStr"/>
      <c r="R1218" s="18">
        <f>IF(Q1218="",P1218,Q1218)</f>
        <v/>
      </c>
      <c r="S1218" s="18" t="inlineStr"/>
      <c r="T1218" s="18" t="inlineStr">
        <is>
          <t>uncommon</t>
        </is>
      </c>
      <c r="U1218" s="20" t="n">
        <v>0.32</v>
      </c>
      <c r="V1218" s="21" t="n">
        <v>1</v>
      </c>
      <c r="W1218" s="20">
        <f>IF(OR(U1218="",V1218=""),U1218,U1218*V1218)</f>
        <v/>
      </c>
      <c r="X1218" s="18" t="inlineStr">
        <is>
          <t>40-50</t>
        </is>
      </c>
      <c r="Y1218" s="19" t="inlineStr"/>
      <c r="Z1218" s="18">
        <f>IF(Y1218="",X1218,Y1218)</f>
        <v/>
      </c>
      <c r="AA1218" s="18" t="inlineStr">
        <is>
          <t>fishing</t>
        </is>
      </c>
      <c r="AB1218" s="18" t="inlineStr"/>
      <c r="AC1218" s="18" t="inlineStr"/>
      <c r="AD1218" s="18" t="inlineStr"/>
      <c r="AE1218" s="18" t="inlineStr">
        <is>
          <t>sky 8-15</t>
        </is>
      </c>
      <c r="AF1218" s="18" t="inlineStr">
        <is>
          <t>False</t>
        </is>
      </c>
      <c r="AG1218" s="18" t="inlineStr"/>
      <c r="AH1218" s="18" t="inlineStr"/>
      <c r="AI1218" s="18" t="inlineStr"/>
      <c r="AJ1218" s="18" t="inlineStr">
        <is>
          <t>Cobblemon 동일</t>
        </is>
      </c>
      <c r="AK1218" s="18" t="inlineStr">
        <is>
          <t>사용</t>
        </is>
      </c>
      <c r="AL1218" s="18" t="inlineStr">
        <is>
          <t>COBBLEVERSE 1.7.42 / DP v31</t>
        </is>
      </c>
      <c r="AM1218" s="18" t="inlineStr">
        <is>
          <t>data/cobblemon/spawn_pool_world/0321_wailord.json</t>
        </is>
      </c>
      <c r="AN1218" s="18" t="inlineStr">
        <is>
          <t>wailord-5</t>
        </is>
      </c>
      <c r="AO1218" s="18" t="inlineStr">
        <is>
          <t>pokemon</t>
        </is>
      </c>
      <c r="AP1218" s="18" t="inlineStr"/>
      <c r="AQ1218" s="18" t="inlineStr">
        <is>
          <t>{"biomes":["#cobblemon:is_ocean"],"canSeeSky":false,"maxSkyLight":15,"minSkyLight":8}</t>
        </is>
      </c>
      <c r="AR1218" s="18" t="inlineStr">
        <is>
          <t>{"minLureLevel":1}</t>
        </is>
      </c>
      <c r="AS1218" s="18" t="inlineStr"/>
      <c r="AT1218" s="19" t="inlineStr"/>
    </row>
    <row r="1219" ht="32" customHeight="1">
      <c r="A1219" s="18" t="inlineStr">
        <is>
          <t>0321_wailord.json::wailord-6::006</t>
        </is>
      </c>
      <c r="B1219" s="19" t="inlineStr">
        <is>
          <t>사용</t>
        </is>
      </c>
      <c r="C1219" s="18">
        <f>IF(OR(B1219&lt;&gt;AK1219,M1219&lt;&gt;L1219,O1219&lt;&gt;"",Q1219&lt;&gt;"",V1219&lt;&gt;1,Y1219&lt;&gt;"",AT1219&lt;&gt;""),"수정","원본")</f>
        <v/>
      </c>
      <c r="D1219" s="18" t="n">
        <v>321</v>
      </c>
      <c r="E1219" s="18" t="inlineStr">
        <is>
          <t>고래왕</t>
        </is>
      </c>
      <c r="F1219" s="18" t="inlineStr">
        <is>
          <t>wailord</t>
        </is>
      </c>
      <c r="G1219" s="18" t="inlineStr">
        <is>
          <t>wailord</t>
        </is>
      </c>
      <c r="H1219" s="18" t="inlineStr"/>
      <c r="I1219" s="18" t="n">
        <v>3</v>
      </c>
      <c r="J1219" s="18" t="n"/>
      <c r="K1219" s="18" t="n">
        <v>3</v>
      </c>
      <c r="L1219" s="18" t="inlineStr">
        <is>
          <t>cobbleventure:generation_3</t>
        </is>
      </c>
      <c r="M1219" s="19" t="inlineStr">
        <is>
          <t>cobbleventure:generation_3</t>
        </is>
      </c>
      <c r="N1219" s="18" t="inlineStr"/>
      <c r="O1219" s="19" t="inlineStr"/>
      <c r="P1219" s="18" t="inlineStr">
        <is>
          <t>#cobblemon:is_ocean</t>
        </is>
      </c>
      <c r="Q1219" s="19" t="inlineStr"/>
      <c r="R1219" s="18">
        <f>IF(Q1219="",P1219,Q1219)</f>
        <v/>
      </c>
      <c r="S1219" s="18" t="inlineStr"/>
      <c r="T1219" s="18" t="inlineStr">
        <is>
          <t>common</t>
        </is>
      </c>
      <c r="U1219" s="20" t="n">
        <v>0.32</v>
      </c>
      <c r="V1219" s="21" t="n">
        <v>1</v>
      </c>
      <c r="W1219" s="20">
        <f>IF(OR(U1219="",V1219=""),U1219,U1219*V1219)</f>
        <v/>
      </c>
      <c r="X1219" s="18" t="inlineStr">
        <is>
          <t>40-50</t>
        </is>
      </c>
      <c r="Y1219" s="19" t="inlineStr"/>
      <c r="Z1219" s="18">
        <f>IF(Y1219="",X1219,Y1219)</f>
        <v/>
      </c>
      <c r="AA1219" s="18" t="inlineStr">
        <is>
          <t>fishing</t>
        </is>
      </c>
      <c r="AB1219" s="18" t="inlineStr"/>
      <c r="AC1219" s="18" t="inlineStr"/>
      <c r="AD1219" s="18" t="inlineStr"/>
      <c r="AE1219" s="18" t="inlineStr">
        <is>
          <t>sky 8-15</t>
        </is>
      </c>
      <c r="AF1219" s="18" t="inlineStr">
        <is>
          <t>False</t>
        </is>
      </c>
      <c r="AG1219" s="18" t="inlineStr"/>
      <c r="AH1219" s="18" t="inlineStr"/>
      <c r="AI1219" s="18" t="inlineStr">
        <is>
          <t>{"fishing":{"minLureLevel":1}}</t>
        </is>
      </c>
      <c r="AJ1219" s="18" t="inlineStr">
        <is>
          <t>Cobblemon 동일</t>
        </is>
      </c>
      <c r="AK1219" s="18" t="inlineStr">
        <is>
          <t>사용</t>
        </is>
      </c>
      <c r="AL1219" s="18" t="inlineStr">
        <is>
          <t>COBBLEVERSE 1.7.42 / DP v31</t>
        </is>
      </c>
      <c r="AM1219" s="18" t="inlineStr">
        <is>
          <t>data/cobblemon/spawn_pool_world/0321_wailord.json</t>
        </is>
      </c>
      <c r="AN1219" s="18" t="inlineStr">
        <is>
          <t>wailord-6</t>
        </is>
      </c>
      <c r="AO1219" s="18" t="inlineStr">
        <is>
          <t>pokemon</t>
        </is>
      </c>
      <c r="AP1219" s="18" t="inlineStr"/>
      <c r="AQ1219" s="18" t="inlineStr">
        <is>
          <t>{"biomes":["#cobblemon:is_ocean"],"canSeeSky":false,"maxSkyLight":15,"minLureLevel":1,"minSkyLight":8}</t>
        </is>
      </c>
      <c r="AR1219" s="18" t="inlineStr"/>
      <c r="AS1219" s="18" t="inlineStr">
        <is>
          <t>{"weightMultiplier":{"condition":{"minLureLevel":3},"multiplier":3.0}}</t>
        </is>
      </c>
      <c r="AT1219" s="19" t="inlineStr"/>
    </row>
    <row r="1220" ht="32" customHeight="1">
      <c r="A1220" s="18" t="inlineStr">
        <is>
          <t>0322_numel.json::numel-1::001</t>
        </is>
      </c>
      <c r="B1220" s="19" t="inlineStr">
        <is>
          <t>사용</t>
        </is>
      </c>
      <c r="C1220" s="18">
        <f>IF(OR(B1220&lt;&gt;AK1220,M1220&lt;&gt;L1220,O1220&lt;&gt;"",Q1220&lt;&gt;"",V1220&lt;&gt;1,Y1220&lt;&gt;"",AT1220&lt;&gt;""),"수정","원본")</f>
        <v/>
      </c>
      <c r="D1220" s="18" t="n">
        <v>322</v>
      </c>
      <c r="E1220" s="18" t="inlineStr">
        <is>
          <t>둔타</t>
        </is>
      </c>
      <c r="F1220" s="18" t="inlineStr">
        <is>
          <t>numel</t>
        </is>
      </c>
      <c r="G1220" s="18" t="inlineStr">
        <is>
          <t>numel</t>
        </is>
      </c>
      <c r="H1220" s="18" t="inlineStr"/>
      <c r="I1220" s="18" t="n">
        <v>3</v>
      </c>
      <c r="J1220" s="18" t="n"/>
      <c r="K1220" s="18" t="n">
        <v>3</v>
      </c>
      <c r="L1220" s="18" t="inlineStr">
        <is>
          <t>cobbleventure:generation_3</t>
        </is>
      </c>
      <c r="M1220" s="19" t="inlineStr">
        <is>
          <t>cobbleventure:generation_3</t>
        </is>
      </c>
      <c r="N1220" s="18" t="inlineStr"/>
      <c r="O1220" s="19" t="inlineStr"/>
      <c r="P1220" s="18" t="inlineStr">
        <is>
          <t>#cobblemon:is_badlands</t>
        </is>
      </c>
      <c r="Q1220" s="19" t="inlineStr"/>
      <c r="R1220" s="18">
        <f>IF(Q1220="",P1220,Q1220)</f>
        <v/>
      </c>
      <c r="S1220" s="18" t="inlineStr"/>
      <c r="T1220" s="18" t="inlineStr">
        <is>
          <t>common</t>
        </is>
      </c>
      <c r="U1220" s="20" t="n">
        <v>5.4</v>
      </c>
      <c r="V1220" s="21" t="n">
        <v>1</v>
      </c>
      <c r="W1220" s="20">
        <f>IF(OR(U1220="",V1220=""),U1220,U1220*V1220)</f>
        <v/>
      </c>
      <c r="X1220" s="18" t="inlineStr">
        <is>
          <t>6-31</t>
        </is>
      </c>
      <c r="Y1220" s="19" t="inlineStr"/>
      <c r="Z1220" s="18">
        <f>IF(Y1220="",X1220,Y1220)</f>
        <v/>
      </c>
      <c r="AA1220" s="18" t="inlineStr">
        <is>
          <t>grounded</t>
        </is>
      </c>
      <c r="AB1220" s="18" t="inlineStr"/>
      <c r="AC1220" s="18" t="inlineStr"/>
      <c r="AD1220" s="18" t="inlineStr"/>
      <c r="AE1220" s="18" t="inlineStr">
        <is>
          <t>sky 8-15</t>
        </is>
      </c>
      <c r="AF1220" s="18" t="inlineStr"/>
      <c r="AG1220" s="18" t="inlineStr"/>
      <c r="AH1220" s="18" t="inlineStr"/>
      <c r="AI1220" s="18" t="inlineStr"/>
      <c r="AJ1220" s="18" t="inlineStr">
        <is>
          <t>Cobblemon 동일</t>
        </is>
      </c>
      <c r="AK1220" s="18" t="inlineStr">
        <is>
          <t>사용</t>
        </is>
      </c>
      <c r="AL1220" s="18" t="inlineStr">
        <is>
          <t>COBBLEVERSE 1.7.42 / DP v31</t>
        </is>
      </c>
      <c r="AM1220" s="18" t="inlineStr">
        <is>
          <t>data/cobblemon/spawn_pool_world/0322_numel.json</t>
        </is>
      </c>
      <c r="AN1220" s="18" t="inlineStr">
        <is>
          <t>numel-1</t>
        </is>
      </c>
      <c r="AO1220" s="18" t="inlineStr">
        <is>
          <t>pokemon</t>
        </is>
      </c>
      <c r="AP1220" s="18" t="inlineStr">
        <is>
          <t>natural</t>
        </is>
      </c>
      <c r="AQ1220" s="18" t="inlineStr">
        <is>
          <t>{"biomes":["#cobblemon:is_badlands"],"maxSkyLight":15,"minSkyLight":8}</t>
        </is>
      </c>
      <c r="AR1220" s="18" t="inlineStr"/>
      <c r="AS1220" s="18" t="inlineStr">
        <is>
          <t>{"weightMultiplier":{"condition":{"timeRange":"night"},"multiplier":0.25}}</t>
        </is>
      </c>
      <c r="AT1220" s="19" t="inlineStr"/>
    </row>
    <row r="1221" ht="32" customHeight="1">
      <c r="A1221" s="18" t="inlineStr">
        <is>
          <t>0322_numel.json::numel-2::002</t>
        </is>
      </c>
      <c r="B1221" s="19" t="inlineStr">
        <is>
          <t>사용</t>
        </is>
      </c>
      <c r="C1221" s="18">
        <f>IF(OR(B1221&lt;&gt;AK1221,M1221&lt;&gt;L1221,O1221&lt;&gt;"",Q1221&lt;&gt;"",V1221&lt;&gt;1,Y1221&lt;&gt;"",AT1221&lt;&gt;""),"수정","원본")</f>
        <v/>
      </c>
      <c r="D1221" s="18" t="n">
        <v>322</v>
      </c>
      <c r="E1221" s="18" t="inlineStr">
        <is>
          <t>둔타</t>
        </is>
      </c>
      <c r="F1221" s="18" t="inlineStr">
        <is>
          <t>numel</t>
        </is>
      </c>
      <c r="G1221" s="18" t="inlineStr">
        <is>
          <t>numel</t>
        </is>
      </c>
      <c r="H1221" s="18" t="inlineStr"/>
      <c r="I1221" s="18" t="n">
        <v>3</v>
      </c>
      <c r="J1221" s="18" t="n"/>
      <c r="K1221" s="18" t="n">
        <v>3</v>
      </c>
      <c r="L1221" s="18" t="inlineStr">
        <is>
          <t>cobbleventure:generation_3</t>
        </is>
      </c>
      <c r="M1221" s="19" t="inlineStr">
        <is>
          <t>cobbleventure:generation_3</t>
        </is>
      </c>
      <c r="N1221" s="18" t="inlineStr"/>
      <c r="O1221" s="19" t="inlineStr"/>
      <c r="P1221" s="18" t="inlineStr">
        <is>
          <t>#cobblemon:is_volcanic</t>
        </is>
      </c>
      <c r="Q1221" s="19" t="inlineStr"/>
      <c r="R1221" s="18">
        <f>IF(Q1221="",P1221,Q1221)</f>
        <v/>
      </c>
      <c r="S1221" s="18" t="inlineStr"/>
      <c r="T1221" s="18" t="inlineStr">
        <is>
          <t>common</t>
        </is>
      </c>
      <c r="U1221" s="20" t="n">
        <v>9</v>
      </c>
      <c r="V1221" s="21" t="n">
        <v>1</v>
      </c>
      <c r="W1221" s="20">
        <f>IF(OR(U1221="",V1221=""),U1221,U1221*V1221)</f>
        <v/>
      </c>
      <c r="X1221" s="18" t="inlineStr">
        <is>
          <t>6-31</t>
        </is>
      </c>
      <c r="Y1221" s="19" t="inlineStr"/>
      <c r="Z1221" s="18">
        <f>IF(Y1221="",X1221,Y1221)</f>
        <v/>
      </c>
      <c r="AA1221" s="18" t="inlineStr">
        <is>
          <t>grounded</t>
        </is>
      </c>
      <c r="AB1221" s="18" t="inlineStr"/>
      <c r="AC1221" s="18" t="inlineStr"/>
      <c r="AD1221" s="18" t="inlineStr"/>
      <c r="AE1221" s="18" t="inlineStr">
        <is>
          <t>sky 8-15</t>
        </is>
      </c>
      <c r="AF1221" s="18" t="inlineStr"/>
      <c r="AG1221" s="18" t="inlineStr"/>
      <c r="AH1221" s="18" t="inlineStr"/>
      <c r="AI1221" s="18" t="inlineStr"/>
      <c r="AJ1221" s="18" t="inlineStr">
        <is>
          <t>Cobblemon 동일</t>
        </is>
      </c>
      <c r="AK1221" s="18" t="inlineStr">
        <is>
          <t>사용</t>
        </is>
      </c>
      <c r="AL1221" s="18" t="inlineStr">
        <is>
          <t>COBBLEVERSE 1.7.42 / DP v31</t>
        </is>
      </c>
      <c r="AM1221" s="18" t="inlineStr">
        <is>
          <t>data/cobblemon/spawn_pool_world/0322_numel.json</t>
        </is>
      </c>
      <c r="AN1221" s="18" t="inlineStr">
        <is>
          <t>numel-2</t>
        </is>
      </c>
      <c r="AO1221" s="18" t="inlineStr">
        <is>
          <t>pokemon</t>
        </is>
      </c>
      <c r="AP1221" s="18" t="inlineStr">
        <is>
          <t>natural</t>
        </is>
      </c>
      <c r="AQ1221" s="18" t="inlineStr">
        <is>
          <t>{"biomes":["#cobblemon:is_volcanic"],"maxSkyLight":15,"minSkyLight":8}</t>
        </is>
      </c>
      <c r="AR1221" s="18" t="inlineStr"/>
      <c r="AS1221" s="18" t="inlineStr">
        <is>
          <t>{"weightMultiplier":{"condition":{"timeRange":"night"},"multiplier":0.25}}</t>
        </is>
      </c>
      <c r="AT1221" s="19" t="inlineStr"/>
    </row>
    <row r="1222" ht="32" customHeight="1">
      <c r="A1222" s="18" t="inlineStr">
        <is>
          <t>0322_numel.json::numel-3::003</t>
        </is>
      </c>
      <c r="B1222" s="19" t="inlineStr">
        <is>
          <t>사용</t>
        </is>
      </c>
      <c r="C1222" s="18">
        <f>IF(OR(B1222&lt;&gt;AK1222,M1222&lt;&gt;L1222,O1222&lt;&gt;"",Q1222&lt;&gt;"",V1222&lt;&gt;1,Y1222&lt;&gt;"",AT1222&lt;&gt;""),"수정","원본")</f>
        <v/>
      </c>
      <c r="D1222" s="18" t="n">
        <v>322</v>
      </c>
      <c r="E1222" s="18" t="inlineStr">
        <is>
          <t>둔타</t>
        </is>
      </c>
      <c r="F1222" s="18" t="inlineStr">
        <is>
          <t>numel</t>
        </is>
      </c>
      <c r="G1222" s="18" t="inlineStr">
        <is>
          <t>numel</t>
        </is>
      </c>
      <c r="H1222" s="18" t="inlineStr"/>
      <c r="I1222" s="18" t="n">
        <v>3</v>
      </c>
      <c r="J1222" s="18" t="n"/>
      <c r="K1222" s="18" t="n">
        <v>3</v>
      </c>
      <c r="L1222" s="18" t="inlineStr">
        <is>
          <t>cobbleventure:generation_3</t>
        </is>
      </c>
      <c r="M1222" s="19" t="inlineStr">
        <is>
          <t>cobbleventure:generation_3</t>
        </is>
      </c>
      <c r="N1222" s="18" t="inlineStr"/>
      <c r="O1222" s="19" t="inlineStr"/>
      <c r="P1222" s="18" t="inlineStr">
        <is>
          <t>#cobblemon:nether/is_overgrowth; #cobblemon:nether/is_wasteland</t>
        </is>
      </c>
      <c r="Q1222" s="19" t="inlineStr"/>
      <c r="R1222" s="18">
        <f>IF(Q1222="",P1222,Q1222)</f>
        <v/>
      </c>
      <c r="S1222" s="18" t="inlineStr"/>
      <c r="T1222" s="18" t="inlineStr">
        <is>
          <t>common</t>
        </is>
      </c>
      <c r="U1222" s="20" t="n">
        <v>5.4</v>
      </c>
      <c r="V1222" s="21" t="n">
        <v>1</v>
      </c>
      <c r="W1222" s="20">
        <f>IF(OR(U1222="",V1222=""),U1222,U1222*V1222)</f>
        <v/>
      </c>
      <c r="X1222" s="18" t="inlineStr">
        <is>
          <t>6-31</t>
        </is>
      </c>
      <c r="Y1222" s="19" t="inlineStr"/>
      <c r="Z1222" s="18">
        <f>IF(Y1222="",X1222,Y1222)</f>
        <v/>
      </c>
      <c r="AA1222" s="18" t="inlineStr">
        <is>
          <t>grounded</t>
        </is>
      </c>
      <c r="AB1222" s="18" t="inlineStr"/>
      <c r="AC1222" s="18" t="inlineStr"/>
      <c r="AD1222" s="18" t="inlineStr"/>
      <c r="AE1222" s="18" t="inlineStr"/>
      <c r="AF1222" s="18" t="inlineStr"/>
      <c r="AG1222" s="18" t="inlineStr"/>
      <c r="AH1222" s="18" t="inlineStr"/>
      <c r="AI1222" s="18" t="inlineStr"/>
      <c r="AJ1222" s="18" t="inlineStr">
        <is>
          <t>Cobblemon 동일</t>
        </is>
      </c>
      <c r="AK1222" s="18" t="inlineStr">
        <is>
          <t>사용</t>
        </is>
      </c>
      <c r="AL1222" s="18" t="inlineStr">
        <is>
          <t>COBBLEVERSE 1.7.42 / DP v31</t>
        </is>
      </c>
      <c r="AM1222" s="18" t="inlineStr">
        <is>
          <t>data/cobblemon/spawn_pool_world/0322_numel.json</t>
        </is>
      </c>
      <c r="AN1222" s="18" t="inlineStr">
        <is>
          <t>numel-3</t>
        </is>
      </c>
      <c r="AO1222" s="18" t="inlineStr">
        <is>
          <t>pokemon</t>
        </is>
      </c>
      <c r="AP1222" s="18" t="inlineStr">
        <is>
          <t>natural</t>
        </is>
      </c>
      <c r="AQ1222" s="18" t="inlineStr">
        <is>
          <t>{"biomes":["#cobblemon:nether/is_overgrowth","#cobblemon:nether/is_wasteland"]}</t>
        </is>
      </c>
      <c r="AR1222" s="18" t="inlineStr"/>
      <c r="AS1222" s="18" t="inlineStr"/>
      <c r="AT1222" s="19" t="inlineStr"/>
    </row>
    <row r="1223" ht="32" customHeight="1">
      <c r="A1223" s="18" t="inlineStr">
        <is>
          <t>0323_camerupt.json::camerupt-1::001</t>
        </is>
      </c>
      <c r="B1223" s="19" t="inlineStr">
        <is>
          <t>사용</t>
        </is>
      </c>
      <c r="C1223" s="18">
        <f>IF(OR(B1223&lt;&gt;AK1223,M1223&lt;&gt;L1223,O1223&lt;&gt;"",Q1223&lt;&gt;"",V1223&lt;&gt;1,Y1223&lt;&gt;"",AT1223&lt;&gt;""),"수정","원본")</f>
        <v/>
      </c>
      <c r="D1223" s="18" t="n">
        <v>323</v>
      </c>
      <c r="E1223" s="18" t="inlineStr">
        <is>
          <t>폭타</t>
        </is>
      </c>
      <c r="F1223" s="18" t="inlineStr">
        <is>
          <t>camerupt</t>
        </is>
      </c>
      <c r="G1223" s="18" t="inlineStr">
        <is>
          <t>camerupt</t>
        </is>
      </c>
      <c r="H1223" s="18" t="inlineStr"/>
      <c r="I1223" s="18" t="n">
        <v>3</v>
      </c>
      <c r="J1223" s="18" t="n"/>
      <c r="K1223" s="18" t="n">
        <v>3</v>
      </c>
      <c r="L1223" s="18" t="inlineStr">
        <is>
          <t>cobbleventure:generation_3</t>
        </is>
      </c>
      <c r="M1223" s="19" t="inlineStr">
        <is>
          <t>cobbleventure:generation_3</t>
        </is>
      </c>
      <c r="N1223" s="18" t="inlineStr"/>
      <c r="O1223" s="19" t="inlineStr"/>
      <c r="P1223" s="18" t="inlineStr">
        <is>
          <t>#cobblemon:is_badlands</t>
        </is>
      </c>
      <c r="Q1223" s="19" t="inlineStr"/>
      <c r="R1223" s="18">
        <f>IF(Q1223="",P1223,Q1223)</f>
        <v/>
      </c>
      <c r="S1223" s="18" t="inlineStr"/>
      <c r="T1223" s="18" t="inlineStr">
        <is>
          <t>common</t>
        </is>
      </c>
      <c r="U1223" s="20" t="n">
        <v>0.6</v>
      </c>
      <c r="V1223" s="21" t="n">
        <v>1</v>
      </c>
      <c r="W1223" s="20">
        <f>IF(OR(U1223="",V1223=""),U1223,U1223*V1223)</f>
        <v/>
      </c>
      <c r="X1223" s="18" t="inlineStr">
        <is>
          <t>33-46</t>
        </is>
      </c>
      <c r="Y1223" s="19" t="inlineStr"/>
      <c r="Z1223" s="18">
        <f>IF(Y1223="",X1223,Y1223)</f>
        <v/>
      </c>
      <c r="AA1223" s="18" t="inlineStr">
        <is>
          <t>grounded</t>
        </is>
      </c>
      <c r="AB1223" s="18" t="inlineStr"/>
      <c r="AC1223" s="18" t="inlineStr"/>
      <c r="AD1223" s="18" t="inlineStr"/>
      <c r="AE1223" s="18" t="inlineStr">
        <is>
          <t>sky 8-15</t>
        </is>
      </c>
      <c r="AF1223" s="18" t="inlineStr"/>
      <c r="AG1223" s="18" t="inlineStr"/>
      <c r="AH1223" s="18" t="inlineStr"/>
      <c r="AI1223" s="18" t="inlineStr"/>
      <c r="AJ1223" s="18" t="inlineStr">
        <is>
          <t>Cobblemon 동일</t>
        </is>
      </c>
      <c r="AK1223" s="18" t="inlineStr">
        <is>
          <t>사용</t>
        </is>
      </c>
      <c r="AL1223" s="18" t="inlineStr">
        <is>
          <t>COBBLEVERSE 1.7.42 / DP v31</t>
        </is>
      </c>
      <c r="AM1223" s="18" t="inlineStr">
        <is>
          <t>data/cobblemon/spawn_pool_world/0323_camerupt.json</t>
        </is>
      </c>
      <c r="AN1223" s="18" t="inlineStr">
        <is>
          <t>camerupt-1</t>
        </is>
      </c>
      <c r="AO1223" s="18" t="inlineStr">
        <is>
          <t>pokemon</t>
        </is>
      </c>
      <c r="AP1223" s="18" t="inlineStr">
        <is>
          <t>natural</t>
        </is>
      </c>
      <c r="AQ1223" s="18" t="inlineStr">
        <is>
          <t>{"biomes":["#cobblemon:is_badlands"],"maxSkyLight":15,"minSkyLight":8}</t>
        </is>
      </c>
      <c r="AR1223" s="18" t="inlineStr"/>
      <c r="AS1223" s="18" t="inlineStr">
        <is>
          <t>{"weightMultiplier":{"condition":{"timeRange":"night"},"multiplier":0.25}}</t>
        </is>
      </c>
      <c r="AT1223" s="19" t="inlineStr"/>
    </row>
    <row r="1224" ht="32" customHeight="1">
      <c r="A1224" s="18" t="inlineStr">
        <is>
          <t>0323_camerupt.json::camerupt-2::002</t>
        </is>
      </c>
      <c r="B1224" s="19" t="inlineStr">
        <is>
          <t>사용</t>
        </is>
      </c>
      <c r="C1224" s="18">
        <f>IF(OR(B1224&lt;&gt;AK1224,M1224&lt;&gt;L1224,O1224&lt;&gt;"",Q1224&lt;&gt;"",V1224&lt;&gt;1,Y1224&lt;&gt;"",AT1224&lt;&gt;""),"수정","원본")</f>
        <v/>
      </c>
      <c r="D1224" s="18" t="n">
        <v>323</v>
      </c>
      <c r="E1224" s="18" t="inlineStr">
        <is>
          <t>폭타</t>
        </is>
      </c>
      <c r="F1224" s="18" t="inlineStr">
        <is>
          <t>camerupt</t>
        </is>
      </c>
      <c r="G1224" s="18" t="inlineStr">
        <is>
          <t>camerupt</t>
        </is>
      </c>
      <c r="H1224" s="18" t="inlineStr"/>
      <c r="I1224" s="18" t="n">
        <v>3</v>
      </c>
      <c r="J1224" s="18" t="n"/>
      <c r="K1224" s="18" t="n">
        <v>3</v>
      </c>
      <c r="L1224" s="18" t="inlineStr">
        <is>
          <t>cobbleventure:generation_3</t>
        </is>
      </c>
      <c r="M1224" s="19" t="inlineStr">
        <is>
          <t>cobbleventure:generation_3</t>
        </is>
      </c>
      <c r="N1224" s="18" t="inlineStr"/>
      <c r="O1224" s="19" t="inlineStr"/>
      <c r="P1224" s="18" t="inlineStr">
        <is>
          <t>#cobblemon:is_volcanic</t>
        </is>
      </c>
      <c r="Q1224" s="19" t="inlineStr"/>
      <c r="R1224" s="18">
        <f>IF(Q1224="",P1224,Q1224)</f>
        <v/>
      </c>
      <c r="S1224" s="18" t="inlineStr"/>
      <c r="T1224" s="18" t="inlineStr">
        <is>
          <t>common</t>
        </is>
      </c>
      <c r="U1224" s="20" t="n">
        <v>1</v>
      </c>
      <c r="V1224" s="21" t="n">
        <v>1</v>
      </c>
      <c r="W1224" s="20">
        <f>IF(OR(U1224="",V1224=""),U1224,U1224*V1224)</f>
        <v/>
      </c>
      <c r="X1224" s="18" t="inlineStr">
        <is>
          <t>33-46</t>
        </is>
      </c>
      <c r="Y1224" s="19" t="inlineStr"/>
      <c r="Z1224" s="18">
        <f>IF(Y1224="",X1224,Y1224)</f>
        <v/>
      </c>
      <c r="AA1224" s="18" t="inlineStr">
        <is>
          <t>grounded</t>
        </is>
      </c>
      <c r="AB1224" s="18" t="inlineStr"/>
      <c r="AC1224" s="18" t="inlineStr"/>
      <c r="AD1224" s="18" t="inlineStr"/>
      <c r="AE1224" s="18" t="inlineStr">
        <is>
          <t>sky 8-15</t>
        </is>
      </c>
      <c r="AF1224" s="18" t="inlineStr"/>
      <c r="AG1224" s="18" t="inlineStr"/>
      <c r="AH1224" s="18" t="inlineStr"/>
      <c r="AI1224" s="18" t="inlineStr"/>
      <c r="AJ1224" s="18" t="inlineStr">
        <is>
          <t>Cobblemon 동일</t>
        </is>
      </c>
      <c r="AK1224" s="18" t="inlineStr">
        <is>
          <t>사용</t>
        </is>
      </c>
      <c r="AL1224" s="18" t="inlineStr">
        <is>
          <t>COBBLEVERSE 1.7.42 / DP v31</t>
        </is>
      </c>
      <c r="AM1224" s="18" t="inlineStr">
        <is>
          <t>data/cobblemon/spawn_pool_world/0323_camerupt.json</t>
        </is>
      </c>
      <c r="AN1224" s="18" t="inlineStr">
        <is>
          <t>camerupt-2</t>
        </is>
      </c>
      <c r="AO1224" s="18" t="inlineStr">
        <is>
          <t>pokemon</t>
        </is>
      </c>
      <c r="AP1224" s="18" t="inlineStr">
        <is>
          <t>natural</t>
        </is>
      </c>
      <c r="AQ1224" s="18" t="inlineStr">
        <is>
          <t>{"biomes":["#cobblemon:is_volcanic"],"maxSkyLight":15,"minSkyLight":8}</t>
        </is>
      </c>
      <c r="AR1224" s="18" t="inlineStr"/>
      <c r="AS1224" s="18" t="inlineStr">
        <is>
          <t>{"weightMultiplier":{"condition":{"timeRange":"night"},"multiplier":0.25}}</t>
        </is>
      </c>
      <c r="AT1224" s="19" t="inlineStr"/>
    </row>
    <row r="1225" ht="32" customHeight="1">
      <c r="A1225" s="18" t="inlineStr">
        <is>
          <t>0323_camerupt.json::camerupt-3::003</t>
        </is>
      </c>
      <c r="B1225" s="19" t="inlineStr">
        <is>
          <t>사용</t>
        </is>
      </c>
      <c r="C1225" s="18">
        <f>IF(OR(B1225&lt;&gt;AK1225,M1225&lt;&gt;L1225,O1225&lt;&gt;"",Q1225&lt;&gt;"",V1225&lt;&gt;1,Y1225&lt;&gt;"",AT1225&lt;&gt;""),"수정","원본")</f>
        <v/>
      </c>
      <c r="D1225" s="18" t="n">
        <v>323</v>
      </c>
      <c r="E1225" s="18" t="inlineStr">
        <is>
          <t>폭타</t>
        </is>
      </c>
      <c r="F1225" s="18" t="inlineStr">
        <is>
          <t>camerupt</t>
        </is>
      </c>
      <c r="G1225" s="18" t="inlineStr">
        <is>
          <t>camerupt</t>
        </is>
      </c>
      <c r="H1225" s="18" t="inlineStr"/>
      <c r="I1225" s="18" t="n">
        <v>3</v>
      </c>
      <c r="J1225" s="18" t="n"/>
      <c r="K1225" s="18" t="n">
        <v>3</v>
      </c>
      <c r="L1225" s="18" t="inlineStr">
        <is>
          <t>cobbleventure:generation_3</t>
        </is>
      </c>
      <c r="M1225" s="19" t="inlineStr">
        <is>
          <t>cobbleventure:generation_3</t>
        </is>
      </c>
      <c r="N1225" s="18" t="inlineStr"/>
      <c r="O1225" s="19" t="inlineStr"/>
      <c r="P1225" s="18" t="inlineStr">
        <is>
          <t>#cobblemon:nether/is_overgrowth; #cobblemon:nether/is_wasteland</t>
        </is>
      </c>
      <c r="Q1225" s="19" t="inlineStr"/>
      <c r="R1225" s="18">
        <f>IF(Q1225="",P1225,Q1225)</f>
        <v/>
      </c>
      <c r="S1225" s="18" t="inlineStr"/>
      <c r="T1225" s="18" t="inlineStr">
        <is>
          <t>common</t>
        </is>
      </c>
      <c r="U1225" s="20" t="n">
        <v>0.6</v>
      </c>
      <c r="V1225" s="21" t="n">
        <v>1</v>
      </c>
      <c r="W1225" s="20">
        <f>IF(OR(U1225="",V1225=""),U1225,U1225*V1225)</f>
        <v/>
      </c>
      <c r="X1225" s="18" t="inlineStr">
        <is>
          <t>33-46</t>
        </is>
      </c>
      <c r="Y1225" s="19" t="inlineStr"/>
      <c r="Z1225" s="18">
        <f>IF(Y1225="",X1225,Y1225)</f>
        <v/>
      </c>
      <c r="AA1225" s="18" t="inlineStr">
        <is>
          <t>grounded</t>
        </is>
      </c>
      <c r="AB1225" s="18" t="inlineStr"/>
      <c r="AC1225" s="18" t="inlineStr"/>
      <c r="AD1225" s="18" t="inlineStr"/>
      <c r="AE1225" s="18" t="inlineStr"/>
      <c r="AF1225" s="18" t="inlineStr"/>
      <c r="AG1225" s="18" t="inlineStr"/>
      <c r="AH1225" s="18" t="inlineStr"/>
      <c r="AI1225" s="18" t="inlineStr"/>
      <c r="AJ1225" s="18" t="inlineStr">
        <is>
          <t>Cobblemon 동일</t>
        </is>
      </c>
      <c r="AK1225" s="18" t="inlineStr">
        <is>
          <t>사용</t>
        </is>
      </c>
      <c r="AL1225" s="18" t="inlineStr">
        <is>
          <t>COBBLEVERSE 1.7.42 / DP v31</t>
        </is>
      </c>
      <c r="AM1225" s="18" t="inlineStr">
        <is>
          <t>data/cobblemon/spawn_pool_world/0323_camerupt.json</t>
        </is>
      </c>
      <c r="AN1225" s="18" t="inlineStr">
        <is>
          <t>camerupt-3</t>
        </is>
      </c>
      <c r="AO1225" s="18" t="inlineStr">
        <is>
          <t>pokemon</t>
        </is>
      </c>
      <c r="AP1225" s="18" t="inlineStr">
        <is>
          <t>natural</t>
        </is>
      </c>
      <c r="AQ1225" s="18" t="inlineStr">
        <is>
          <t>{"biomes":["#cobblemon:nether/is_overgrowth","#cobblemon:nether/is_wasteland"]}</t>
        </is>
      </c>
      <c r="AR1225" s="18" t="inlineStr"/>
      <c r="AS1225" s="18" t="inlineStr"/>
      <c r="AT1225" s="19" t="inlineStr"/>
    </row>
    <row r="1226" ht="32" customHeight="1">
      <c r="A1226" s="18" t="inlineStr">
        <is>
          <t>0324_torkoal.json::torkoal-1::001</t>
        </is>
      </c>
      <c r="B1226" s="19" t="inlineStr">
        <is>
          <t>사용</t>
        </is>
      </c>
      <c r="C1226" s="18">
        <f>IF(OR(B1226&lt;&gt;AK1226,M1226&lt;&gt;L1226,O1226&lt;&gt;"",Q1226&lt;&gt;"",V1226&lt;&gt;1,Y1226&lt;&gt;"",AT1226&lt;&gt;""),"수정","원본")</f>
        <v/>
      </c>
      <c r="D1226" s="18" t="n">
        <v>324</v>
      </c>
      <c r="E1226" s="18" t="inlineStr">
        <is>
          <t>코터스</t>
        </is>
      </c>
      <c r="F1226" s="18" t="inlineStr">
        <is>
          <t>torkoal</t>
        </is>
      </c>
      <c r="G1226" s="18" t="inlineStr">
        <is>
          <t>torkoal</t>
        </is>
      </c>
      <c r="H1226" s="18" t="inlineStr"/>
      <c r="I1226" s="18" t="n">
        <v>3</v>
      </c>
      <c r="J1226" s="18" t="n"/>
      <c r="K1226" s="18" t="n">
        <v>3</v>
      </c>
      <c r="L1226" s="18" t="inlineStr">
        <is>
          <t>cobbleventure:generation_3</t>
        </is>
      </c>
      <c r="M1226" s="19" t="inlineStr">
        <is>
          <t>cobbleventure:generation_3</t>
        </is>
      </c>
      <c r="N1226" s="18" t="inlineStr"/>
      <c r="O1226" s="19" t="inlineStr"/>
      <c r="P1226" s="18" t="inlineStr">
        <is>
          <t>#cobblemon:is_mountain; #cobblemon:is_thermal</t>
        </is>
      </c>
      <c r="Q1226" s="19" t="inlineStr"/>
      <c r="R1226" s="18">
        <f>IF(Q1226="",P1226,Q1226)</f>
        <v/>
      </c>
      <c r="S1226" s="18" t="inlineStr"/>
      <c r="T1226" s="18" t="inlineStr">
        <is>
          <t>common</t>
        </is>
      </c>
      <c r="U1226" s="20" t="n">
        <v>9</v>
      </c>
      <c r="V1226" s="21" t="n">
        <v>1</v>
      </c>
      <c r="W1226" s="20">
        <f>IF(OR(U1226="",V1226=""),U1226,U1226*V1226)</f>
        <v/>
      </c>
      <c r="X1226" s="18" t="inlineStr">
        <is>
          <t>22-47</t>
        </is>
      </c>
      <c r="Y1226" s="19" t="inlineStr"/>
      <c r="Z1226" s="18">
        <f>IF(Y1226="",X1226,Y1226)</f>
        <v/>
      </c>
      <c r="AA1226" s="18" t="inlineStr">
        <is>
          <t>grounded</t>
        </is>
      </c>
      <c r="AB1226" s="18" t="inlineStr"/>
      <c r="AC1226" s="18" t="inlineStr"/>
      <c r="AD1226" s="18" t="inlineStr"/>
      <c r="AE1226" s="18" t="inlineStr"/>
      <c r="AF1226" s="18" t="inlineStr"/>
      <c r="AG1226" s="18" t="inlineStr"/>
      <c r="AH1226" s="18" t="inlineStr"/>
      <c r="AI1226" s="18" t="inlineStr"/>
      <c r="AJ1226" s="18" t="inlineStr">
        <is>
          <t>COBBLEVERSE 수정</t>
        </is>
      </c>
      <c r="AK1226" s="18" t="inlineStr">
        <is>
          <t>사용</t>
        </is>
      </c>
      <c r="AL1226" s="18" t="inlineStr">
        <is>
          <t>COBBLEVERSE 1.7.42 / DP v31</t>
        </is>
      </c>
      <c r="AM1226" s="18" t="inlineStr">
        <is>
          <t>data/cobblemon/spawn_pool_world/0324_torkoal.json</t>
        </is>
      </c>
      <c r="AN1226" s="18" t="inlineStr">
        <is>
          <t>torkoal-1</t>
        </is>
      </c>
      <c r="AO1226" s="18" t="inlineStr">
        <is>
          <t>pokemon</t>
        </is>
      </c>
      <c r="AP1226" s="18" t="inlineStr">
        <is>
          <t>natural</t>
        </is>
      </c>
      <c r="AQ1226" s="18" t="inlineStr">
        <is>
          <t>{"biomes":["#cobblemon:is_mountain","#cobblemon:is_thermal"]}</t>
        </is>
      </c>
      <c r="AR1226" s="18" t="inlineStr"/>
      <c r="AS1226" s="18" t="inlineStr"/>
      <c r="AT1226" s="19" t="inlineStr"/>
    </row>
    <row r="1227" ht="32" customHeight="1">
      <c r="A1227" s="18" t="inlineStr">
        <is>
          <t>0324_torkoal.json::torkoal-2::002</t>
        </is>
      </c>
      <c r="B1227" s="19" t="inlineStr">
        <is>
          <t>사용</t>
        </is>
      </c>
      <c r="C1227" s="18">
        <f>IF(OR(B1227&lt;&gt;AK1227,M1227&lt;&gt;L1227,O1227&lt;&gt;"",Q1227&lt;&gt;"",V1227&lt;&gt;1,Y1227&lt;&gt;"",AT1227&lt;&gt;""),"수정","원본")</f>
        <v/>
      </c>
      <c r="D1227" s="18" t="n">
        <v>324</v>
      </c>
      <c r="E1227" s="18" t="inlineStr">
        <is>
          <t>코터스</t>
        </is>
      </c>
      <c r="F1227" s="18" t="inlineStr">
        <is>
          <t>torkoal</t>
        </is>
      </c>
      <c r="G1227" s="18" t="inlineStr">
        <is>
          <t>torkoal</t>
        </is>
      </c>
      <c r="H1227" s="18" t="inlineStr"/>
      <c r="I1227" s="18" t="n">
        <v>3</v>
      </c>
      <c r="J1227" s="18" t="n"/>
      <c r="K1227" s="18" t="n">
        <v>3</v>
      </c>
      <c r="L1227" s="18" t="inlineStr">
        <is>
          <t>cobbleventure:generation_3</t>
        </is>
      </c>
      <c r="M1227" s="19" t="inlineStr">
        <is>
          <t>cobbleventure:generation_3</t>
        </is>
      </c>
      <c r="N1227" s="18" t="inlineStr">
        <is>
          <t>region_02</t>
        </is>
      </c>
      <c r="O1227" s="19" t="inlineStr"/>
      <c r="P1227" s="18" t="inlineStr">
        <is>
          <t>#cobblemon:is_overworld</t>
        </is>
      </c>
      <c r="Q1227" s="19" t="inlineStr"/>
      <c r="R1227" s="18">
        <f>IF(Q1227="",P1227,Q1227)</f>
        <v/>
      </c>
      <c r="S1227" s="18" t="inlineStr">
        <is>
          <t>#cobblemon:is_deep_dark; #cobblemon:is_mountain; #cobblemon:is_thermal; #cobblemon:is_plains; #cobblemon:is_forest</t>
        </is>
      </c>
      <c r="T1227" s="18" t="inlineStr">
        <is>
          <t>uncommon</t>
        </is>
      </c>
      <c r="U1227" s="20" t="n">
        <v>10</v>
      </c>
      <c r="V1227" s="21" t="n">
        <v>1</v>
      </c>
      <c r="W1227" s="20">
        <f>IF(OR(U1227="",V1227=""),U1227,U1227*V1227)</f>
        <v/>
      </c>
      <c r="X1227" s="18" t="inlineStr">
        <is>
          <t>22-47</t>
        </is>
      </c>
      <c r="Y1227" s="19" t="inlineStr"/>
      <c r="Z1227" s="18">
        <f>IF(Y1227="",X1227,Y1227)</f>
        <v/>
      </c>
      <c r="AA1227" s="18" t="inlineStr">
        <is>
          <t>grounded</t>
        </is>
      </c>
      <c r="AB1227" s="18" t="inlineStr"/>
      <c r="AC1227" s="18" t="inlineStr"/>
      <c r="AD1227" s="18" t="inlineStr"/>
      <c r="AE1227" s="18" t="inlineStr">
        <is>
          <t>sky 0-7</t>
        </is>
      </c>
      <c r="AF1227" s="18" t="inlineStr"/>
      <c r="AG1227" s="18" t="inlineStr"/>
      <c r="AH1227" s="18" t="inlineStr">
        <is>
          <t>주변=#minecraft:coal_ores</t>
        </is>
      </c>
      <c r="AI1227" s="18" t="inlineStr"/>
      <c r="AJ1227" s="18" t="inlineStr">
        <is>
          <t>COBBLEVERSE 수정</t>
        </is>
      </c>
      <c r="AK1227" s="18" t="inlineStr">
        <is>
          <t>사용</t>
        </is>
      </c>
      <c r="AL1227" s="18" t="inlineStr">
        <is>
          <t>COBBLEVERSE 1.7.42 / DP v31</t>
        </is>
      </c>
      <c r="AM1227" s="18" t="inlineStr">
        <is>
          <t>data/cobblemon/spawn_pool_world/0324_torkoal.json</t>
        </is>
      </c>
      <c r="AN1227" s="18" t="inlineStr">
        <is>
          <t>torkoal-2</t>
        </is>
      </c>
      <c r="AO1227" s="18" t="inlineStr">
        <is>
          <t>pokemon</t>
        </is>
      </c>
      <c r="AP1227" s="18" t="inlineStr">
        <is>
          <t>natural</t>
        </is>
      </c>
      <c r="AQ1227" s="18" t="inlineStr">
        <is>
          <t>{"biomes":["#cobblemon:is_overworld"],"maxSkyLight":7,"minSkyLight":0,"neededNearbyBlocks":["#minecraft:coal_ores"]}</t>
        </is>
      </c>
      <c r="AR1227" s="18" t="inlineStr">
        <is>
          <t>{"biomes":["#cobblemon:is_deep_dark","#cobblemon:is_mountain","#cobblemon:is_thermal","#cobblemon:is_plains","#cobblemon:is_forest"]}</t>
        </is>
      </c>
      <c r="AS1227" s="18" t="inlineStr"/>
      <c r="AT1227" s="19" t="inlineStr"/>
    </row>
    <row r="1228" ht="32" customHeight="1">
      <c r="A1228" s="18" t="inlineStr">
        <is>
          <t>0324_torkoal.json::torkoal-3::003</t>
        </is>
      </c>
      <c r="B1228" s="19" t="inlineStr">
        <is>
          <t>사용</t>
        </is>
      </c>
      <c r="C1228" s="18">
        <f>IF(OR(B1228&lt;&gt;AK1228,M1228&lt;&gt;L1228,O1228&lt;&gt;"",Q1228&lt;&gt;"",V1228&lt;&gt;1,Y1228&lt;&gt;"",AT1228&lt;&gt;""),"수정","원본")</f>
        <v/>
      </c>
      <c r="D1228" s="18" t="n">
        <v>324</v>
      </c>
      <c r="E1228" s="18" t="inlineStr">
        <is>
          <t>코터스</t>
        </is>
      </c>
      <c r="F1228" s="18" t="inlineStr">
        <is>
          <t>torkoal</t>
        </is>
      </c>
      <c r="G1228" s="18" t="inlineStr">
        <is>
          <t>torkoal</t>
        </is>
      </c>
      <c r="H1228" s="18" t="inlineStr"/>
      <c r="I1228" s="18" t="n">
        <v>3</v>
      </c>
      <c r="J1228" s="18" t="n"/>
      <c r="K1228" s="18" t="n">
        <v>3</v>
      </c>
      <c r="L1228" s="18" t="inlineStr">
        <is>
          <t>cobbleventure:generation_3</t>
        </is>
      </c>
      <c r="M1228" s="19" t="inlineStr">
        <is>
          <t>cobbleventure:generation_3</t>
        </is>
      </c>
      <c r="N1228" s="18" t="inlineStr"/>
      <c r="O1228" s="19" t="inlineStr"/>
      <c r="P1228" s="18" t="inlineStr">
        <is>
          <t>#cobblemon:nether/is_basalt</t>
        </is>
      </c>
      <c r="Q1228" s="19" t="inlineStr"/>
      <c r="R1228" s="18">
        <f>IF(Q1228="",P1228,Q1228)</f>
        <v/>
      </c>
      <c r="S1228" s="18" t="inlineStr"/>
      <c r="T1228" s="18" t="inlineStr">
        <is>
          <t>common</t>
        </is>
      </c>
      <c r="U1228" s="20" t="n">
        <v>2</v>
      </c>
      <c r="V1228" s="21" t="n">
        <v>1</v>
      </c>
      <c r="W1228" s="20">
        <f>IF(OR(U1228="",V1228=""),U1228,U1228*V1228)</f>
        <v/>
      </c>
      <c r="X1228" s="18" t="inlineStr">
        <is>
          <t>22-47</t>
        </is>
      </c>
      <c r="Y1228" s="19" t="inlineStr"/>
      <c r="Z1228" s="18">
        <f>IF(Y1228="",X1228,Y1228)</f>
        <v/>
      </c>
      <c r="AA1228" s="18" t="inlineStr">
        <is>
          <t>grounded</t>
        </is>
      </c>
      <c r="AB1228" s="18" t="inlineStr"/>
      <c r="AC1228" s="18" t="inlineStr"/>
      <c r="AD1228" s="18" t="inlineStr"/>
      <c r="AE1228" s="18" t="inlineStr"/>
      <c r="AF1228" s="18" t="inlineStr"/>
      <c r="AG1228" s="18" t="inlineStr"/>
      <c r="AH1228" s="18" t="inlineStr"/>
      <c r="AI1228" s="18" t="inlineStr"/>
      <c r="AJ1228" s="18" t="inlineStr">
        <is>
          <t>COBBLEVERSE 수정</t>
        </is>
      </c>
      <c r="AK1228" s="18" t="inlineStr">
        <is>
          <t>사용</t>
        </is>
      </c>
      <c r="AL1228" s="18" t="inlineStr">
        <is>
          <t>COBBLEVERSE 1.7.42 / DP v31</t>
        </is>
      </c>
      <c r="AM1228" s="18" t="inlineStr">
        <is>
          <t>data/cobblemon/spawn_pool_world/0324_torkoal.json</t>
        </is>
      </c>
      <c r="AN1228" s="18" t="inlineStr">
        <is>
          <t>torkoal-3</t>
        </is>
      </c>
      <c r="AO1228" s="18" t="inlineStr">
        <is>
          <t>pokemon</t>
        </is>
      </c>
      <c r="AP1228" s="18" t="inlineStr">
        <is>
          <t>natural</t>
        </is>
      </c>
      <c r="AQ1228" s="18" t="inlineStr">
        <is>
          <t>{"biomes":["#cobblemon:nether/is_basalt"]}</t>
        </is>
      </c>
      <c r="AR1228" s="18" t="inlineStr"/>
      <c r="AS1228" s="18" t="inlineStr"/>
      <c r="AT1228" s="19" t="inlineStr"/>
    </row>
    <row r="1229" ht="32" customHeight="1">
      <c r="A1229" s="18" t="inlineStr">
        <is>
          <t>0325_spoink.json::spoink-1::001</t>
        </is>
      </c>
      <c r="B1229" s="19" t="inlineStr">
        <is>
          <t>사용</t>
        </is>
      </c>
      <c r="C1229" s="18">
        <f>IF(OR(B1229&lt;&gt;AK1229,M1229&lt;&gt;L1229,O1229&lt;&gt;"",Q1229&lt;&gt;"",V1229&lt;&gt;1,Y1229&lt;&gt;"",AT1229&lt;&gt;""),"수정","원본")</f>
        <v/>
      </c>
      <c r="D1229" s="18" t="n">
        <v>325</v>
      </c>
      <c r="E1229" s="18" t="inlineStr">
        <is>
          <t>피그점프</t>
        </is>
      </c>
      <c r="F1229" s="18" t="inlineStr">
        <is>
          <t>spoink</t>
        </is>
      </c>
      <c r="G1229" s="18" t="inlineStr">
        <is>
          <t>spoink</t>
        </is>
      </c>
      <c r="H1229" s="18" t="inlineStr"/>
      <c r="I1229" s="18" t="n">
        <v>3</v>
      </c>
      <c r="J1229" s="18" t="n"/>
      <c r="K1229" s="18" t="n">
        <v>3</v>
      </c>
      <c r="L1229" s="18" t="inlineStr">
        <is>
          <t>cobbleventure:generation_3</t>
        </is>
      </c>
      <c r="M1229" s="19" t="inlineStr">
        <is>
          <t>cobbleventure:generation_3</t>
        </is>
      </c>
      <c r="N1229" s="18" t="inlineStr"/>
      <c r="O1229" s="19" t="inlineStr"/>
      <c r="P1229" s="18" t="inlineStr">
        <is>
          <t>#cobblemon:is_hills</t>
        </is>
      </c>
      <c r="Q1229" s="19" t="inlineStr"/>
      <c r="R1229" s="18">
        <f>IF(Q1229="",P1229,Q1229)</f>
        <v/>
      </c>
      <c r="S1229" s="18" t="inlineStr"/>
      <c r="T1229" s="18" t="inlineStr">
        <is>
          <t>common</t>
        </is>
      </c>
      <c r="U1229" s="20" t="n">
        <v>5.4</v>
      </c>
      <c r="V1229" s="21" t="n">
        <v>1</v>
      </c>
      <c r="W1229" s="20">
        <f>IF(OR(U1229="",V1229=""),U1229,U1229*V1229)</f>
        <v/>
      </c>
      <c r="X1229" s="18" t="inlineStr">
        <is>
          <t>8-33</t>
        </is>
      </c>
      <c r="Y1229" s="19" t="inlineStr"/>
      <c r="Z1229" s="18">
        <f>IF(Y1229="",X1229,Y1229)</f>
        <v/>
      </c>
      <c r="AA1229" s="18" t="inlineStr">
        <is>
          <t>grounded</t>
        </is>
      </c>
      <c r="AB1229" s="18" t="inlineStr"/>
      <c r="AC1229" s="18" t="inlineStr"/>
      <c r="AD1229" s="18" t="inlineStr"/>
      <c r="AE1229" s="18" t="inlineStr">
        <is>
          <t>sky 8-15</t>
        </is>
      </c>
      <c r="AF1229" s="18" t="inlineStr"/>
      <c r="AG1229" s="18" t="inlineStr"/>
      <c r="AH1229" s="18" t="inlineStr"/>
      <c r="AI1229" s="18" t="inlineStr"/>
      <c r="AJ1229" s="18" t="inlineStr">
        <is>
          <t>Cobblemon 동일</t>
        </is>
      </c>
      <c r="AK1229" s="18" t="inlineStr">
        <is>
          <t>사용</t>
        </is>
      </c>
      <c r="AL1229" s="18" t="inlineStr">
        <is>
          <t>COBBLEVERSE 1.7.42 / DP v31</t>
        </is>
      </c>
      <c r="AM1229" s="18" t="inlineStr">
        <is>
          <t>data/cobblemon/spawn_pool_world/0325_spoink.json</t>
        </is>
      </c>
      <c r="AN1229" s="18" t="inlineStr">
        <is>
          <t>spoink-1</t>
        </is>
      </c>
      <c r="AO1229" s="18" t="inlineStr">
        <is>
          <t>pokemon</t>
        </is>
      </c>
      <c r="AP1229" s="18" t="inlineStr">
        <is>
          <t>natural; wild</t>
        </is>
      </c>
      <c r="AQ1229" s="18" t="inlineStr">
        <is>
          <t>{"biomes":["#cobblemon:is_hills"],"maxSkyLight":15,"minSkyLight":8}</t>
        </is>
      </c>
      <c r="AR1229" s="18" t="inlineStr"/>
      <c r="AS1229" s="18" t="inlineStr"/>
      <c r="AT1229" s="19" t="inlineStr"/>
    </row>
    <row r="1230" ht="32" customHeight="1">
      <c r="A1230" s="18" t="inlineStr">
        <is>
          <t>0325_spoink.json::spoink-2::002</t>
        </is>
      </c>
      <c r="B1230" s="19" t="inlineStr">
        <is>
          <t>사용</t>
        </is>
      </c>
      <c r="C1230" s="18">
        <f>IF(OR(B1230&lt;&gt;AK1230,M1230&lt;&gt;L1230,O1230&lt;&gt;"",Q1230&lt;&gt;"",V1230&lt;&gt;1,Y1230&lt;&gt;"",AT1230&lt;&gt;""),"수정","원본")</f>
        <v/>
      </c>
      <c r="D1230" s="18" t="n">
        <v>325</v>
      </c>
      <c r="E1230" s="18" t="inlineStr">
        <is>
          <t>피그점프</t>
        </is>
      </c>
      <c r="F1230" s="18" t="inlineStr">
        <is>
          <t>spoink</t>
        </is>
      </c>
      <c r="G1230" s="18" t="inlineStr">
        <is>
          <t>spoink</t>
        </is>
      </c>
      <c r="H1230" s="18" t="inlineStr"/>
      <c r="I1230" s="18" t="n">
        <v>3</v>
      </c>
      <c r="J1230" s="18" t="n"/>
      <c r="K1230" s="18" t="n">
        <v>3</v>
      </c>
      <c r="L1230" s="18" t="inlineStr">
        <is>
          <t>cobbleventure:generation_3</t>
        </is>
      </c>
      <c r="M1230" s="19" t="inlineStr">
        <is>
          <t>cobbleventure:generation_3</t>
        </is>
      </c>
      <c r="N1230" s="18" t="inlineStr"/>
      <c r="O1230" s="19" t="inlineStr"/>
      <c r="P1230" s="18" t="inlineStr">
        <is>
          <t>#cobblemon:nether/is_fungus</t>
        </is>
      </c>
      <c r="Q1230" s="19" t="inlineStr"/>
      <c r="R1230" s="18">
        <f>IF(Q1230="",P1230,Q1230)</f>
        <v/>
      </c>
      <c r="S1230" s="18" t="inlineStr"/>
      <c r="T1230" s="18" t="inlineStr">
        <is>
          <t>common</t>
        </is>
      </c>
      <c r="U1230" s="20" t="n">
        <v>5.4</v>
      </c>
      <c r="V1230" s="21" t="n">
        <v>1</v>
      </c>
      <c r="W1230" s="20">
        <f>IF(OR(U1230="",V1230=""),U1230,U1230*V1230)</f>
        <v/>
      </c>
      <c r="X1230" s="18" t="inlineStr">
        <is>
          <t>8-33</t>
        </is>
      </c>
      <c r="Y1230" s="19" t="inlineStr"/>
      <c r="Z1230" s="18">
        <f>IF(Y1230="",X1230,Y1230)</f>
        <v/>
      </c>
      <c r="AA1230" s="18" t="inlineStr">
        <is>
          <t>grounded</t>
        </is>
      </c>
      <c r="AB1230" s="18" t="inlineStr"/>
      <c r="AC1230" s="18" t="inlineStr"/>
      <c r="AD1230" s="18" t="inlineStr"/>
      <c r="AE1230" s="18" t="inlineStr"/>
      <c r="AF1230" s="18" t="inlineStr"/>
      <c r="AG1230" s="18" t="inlineStr"/>
      <c r="AH1230" s="18" t="inlineStr"/>
      <c r="AI1230" s="18" t="inlineStr"/>
      <c r="AJ1230" s="18" t="inlineStr">
        <is>
          <t>Cobblemon 동일</t>
        </is>
      </c>
      <c r="AK1230" s="18" t="inlineStr">
        <is>
          <t>사용</t>
        </is>
      </c>
      <c r="AL1230" s="18" t="inlineStr">
        <is>
          <t>COBBLEVERSE 1.7.42 / DP v31</t>
        </is>
      </c>
      <c r="AM1230" s="18" t="inlineStr">
        <is>
          <t>data/cobblemon/spawn_pool_world/0325_spoink.json</t>
        </is>
      </c>
      <c r="AN1230" s="18" t="inlineStr">
        <is>
          <t>spoink-2</t>
        </is>
      </c>
      <c r="AO1230" s="18" t="inlineStr">
        <is>
          <t>pokemon</t>
        </is>
      </c>
      <c r="AP1230" s="18" t="inlineStr">
        <is>
          <t>natural; wild</t>
        </is>
      </c>
      <c r="AQ1230" s="18" t="inlineStr">
        <is>
          <t>{"biomes":["#cobblemon:nether/is_fungus"]}</t>
        </is>
      </c>
      <c r="AR1230" s="18" t="inlineStr"/>
      <c r="AS1230" s="18" t="inlineStr"/>
      <c r="AT1230" s="19" t="inlineStr"/>
    </row>
    <row r="1231" ht="32" customHeight="1">
      <c r="A1231" s="18" t="inlineStr">
        <is>
          <t>0326_grumpig.json::grumpig-1::001</t>
        </is>
      </c>
      <c r="B1231" s="19" t="inlineStr">
        <is>
          <t>사용</t>
        </is>
      </c>
      <c r="C1231" s="18">
        <f>IF(OR(B1231&lt;&gt;AK1231,M1231&lt;&gt;L1231,O1231&lt;&gt;"",Q1231&lt;&gt;"",V1231&lt;&gt;1,Y1231&lt;&gt;"",AT1231&lt;&gt;""),"수정","원본")</f>
        <v/>
      </c>
      <c r="D1231" s="18" t="n">
        <v>326</v>
      </c>
      <c r="E1231" s="18" t="inlineStr">
        <is>
          <t>피그킹</t>
        </is>
      </c>
      <c r="F1231" s="18" t="inlineStr">
        <is>
          <t>grumpig</t>
        </is>
      </c>
      <c r="G1231" s="18" t="inlineStr">
        <is>
          <t>grumpig</t>
        </is>
      </c>
      <c r="H1231" s="18" t="inlineStr"/>
      <c r="I1231" s="18" t="n">
        <v>3</v>
      </c>
      <c r="J1231" s="18" t="n"/>
      <c r="K1231" s="18" t="n">
        <v>3</v>
      </c>
      <c r="L1231" s="18" t="inlineStr">
        <is>
          <t>cobbleventure:generation_3</t>
        </is>
      </c>
      <c r="M1231" s="19" t="inlineStr">
        <is>
          <t>cobbleventure:generation_3</t>
        </is>
      </c>
      <c r="N1231" s="18" t="inlineStr"/>
      <c r="O1231" s="19" t="inlineStr"/>
      <c r="P1231" s="18" t="inlineStr">
        <is>
          <t>#cobblemon:is_hills</t>
        </is>
      </c>
      <c r="Q1231" s="19" t="inlineStr"/>
      <c r="R1231" s="18">
        <f>IF(Q1231="",P1231,Q1231)</f>
        <v/>
      </c>
      <c r="S1231" s="18" t="inlineStr"/>
      <c r="T1231" s="18" t="inlineStr">
        <is>
          <t>common</t>
        </is>
      </c>
      <c r="U1231" s="20" t="n">
        <v>0.6</v>
      </c>
      <c r="V1231" s="21" t="n">
        <v>1</v>
      </c>
      <c r="W1231" s="20">
        <f>IF(OR(U1231="",V1231=""),U1231,U1231*V1231)</f>
        <v/>
      </c>
      <c r="X1231" s="18" t="inlineStr">
        <is>
          <t>32-47</t>
        </is>
      </c>
      <c r="Y1231" s="19" t="inlineStr"/>
      <c r="Z1231" s="18">
        <f>IF(Y1231="",X1231,Y1231)</f>
        <v/>
      </c>
      <c r="AA1231" s="18" t="inlineStr">
        <is>
          <t>grounded</t>
        </is>
      </c>
      <c r="AB1231" s="18" t="inlineStr"/>
      <c r="AC1231" s="18" t="inlineStr"/>
      <c r="AD1231" s="18" t="inlineStr"/>
      <c r="AE1231" s="18" t="inlineStr">
        <is>
          <t>sky 8-15</t>
        </is>
      </c>
      <c r="AF1231" s="18" t="inlineStr"/>
      <c r="AG1231" s="18" t="inlineStr"/>
      <c r="AH1231" s="18" t="inlineStr"/>
      <c r="AI1231" s="18" t="inlineStr"/>
      <c r="AJ1231" s="18" t="inlineStr">
        <is>
          <t>Cobblemon 동일</t>
        </is>
      </c>
      <c r="AK1231" s="18" t="inlineStr">
        <is>
          <t>사용</t>
        </is>
      </c>
      <c r="AL1231" s="18" t="inlineStr">
        <is>
          <t>COBBLEVERSE 1.7.42 / DP v31</t>
        </is>
      </c>
      <c r="AM1231" s="18" t="inlineStr">
        <is>
          <t>data/cobblemon/spawn_pool_world/0326_grumpig.json</t>
        </is>
      </c>
      <c r="AN1231" s="18" t="inlineStr">
        <is>
          <t>grumpig-1</t>
        </is>
      </c>
      <c r="AO1231" s="18" t="inlineStr">
        <is>
          <t>pokemon</t>
        </is>
      </c>
      <c r="AP1231" s="18" t="inlineStr">
        <is>
          <t>natural; wild</t>
        </is>
      </c>
      <c r="AQ1231" s="18" t="inlineStr">
        <is>
          <t>{"biomes":["#cobblemon:is_hills"],"maxSkyLight":15,"minSkyLight":8}</t>
        </is>
      </c>
      <c r="AR1231" s="18" t="inlineStr"/>
      <c r="AS1231" s="18" t="inlineStr"/>
      <c r="AT1231" s="19" t="inlineStr"/>
    </row>
    <row r="1232" ht="32" customHeight="1">
      <c r="A1232" s="18" t="inlineStr">
        <is>
          <t>0326_grumpig.json::grumpig-2::002</t>
        </is>
      </c>
      <c r="B1232" s="19" t="inlineStr">
        <is>
          <t>사용</t>
        </is>
      </c>
      <c r="C1232" s="18">
        <f>IF(OR(B1232&lt;&gt;AK1232,M1232&lt;&gt;L1232,O1232&lt;&gt;"",Q1232&lt;&gt;"",V1232&lt;&gt;1,Y1232&lt;&gt;"",AT1232&lt;&gt;""),"수정","원본")</f>
        <v/>
      </c>
      <c r="D1232" s="18" t="n">
        <v>326</v>
      </c>
      <c r="E1232" s="18" t="inlineStr">
        <is>
          <t>피그킹</t>
        </is>
      </c>
      <c r="F1232" s="18" t="inlineStr">
        <is>
          <t>grumpig</t>
        </is>
      </c>
      <c r="G1232" s="18" t="inlineStr">
        <is>
          <t>grumpig</t>
        </is>
      </c>
      <c r="H1232" s="18" t="inlineStr"/>
      <c r="I1232" s="18" t="n">
        <v>3</v>
      </c>
      <c r="J1232" s="18" t="n"/>
      <c r="K1232" s="18" t="n">
        <v>3</v>
      </c>
      <c r="L1232" s="18" t="inlineStr">
        <is>
          <t>cobbleventure:generation_3</t>
        </is>
      </c>
      <c r="M1232" s="19" t="inlineStr">
        <is>
          <t>cobbleventure:generation_3</t>
        </is>
      </c>
      <c r="N1232" s="18" t="inlineStr"/>
      <c r="O1232" s="19" t="inlineStr"/>
      <c r="P1232" s="18" t="inlineStr">
        <is>
          <t>#cobblemon:nether/is_fungus</t>
        </is>
      </c>
      <c r="Q1232" s="19" t="inlineStr"/>
      <c r="R1232" s="18">
        <f>IF(Q1232="",P1232,Q1232)</f>
        <v/>
      </c>
      <c r="S1232" s="18" t="inlineStr"/>
      <c r="T1232" s="18" t="inlineStr">
        <is>
          <t>common</t>
        </is>
      </c>
      <c r="U1232" s="20" t="n">
        <v>0.6</v>
      </c>
      <c r="V1232" s="21" t="n">
        <v>1</v>
      </c>
      <c r="W1232" s="20">
        <f>IF(OR(U1232="",V1232=""),U1232,U1232*V1232)</f>
        <v/>
      </c>
      <c r="X1232" s="18" t="inlineStr">
        <is>
          <t>32-47</t>
        </is>
      </c>
      <c r="Y1232" s="19" t="inlineStr"/>
      <c r="Z1232" s="18">
        <f>IF(Y1232="",X1232,Y1232)</f>
        <v/>
      </c>
      <c r="AA1232" s="18" t="inlineStr">
        <is>
          <t>grounded</t>
        </is>
      </c>
      <c r="AB1232" s="18" t="inlineStr"/>
      <c r="AC1232" s="18" t="inlineStr"/>
      <c r="AD1232" s="18" t="inlineStr"/>
      <c r="AE1232" s="18" t="inlineStr"/>
      <c r="AF1232" s="18" t="inlineStr"/>
      <c r="AG1232" s="18" t="inlineStr"/>
      <c r="AH1232" s="18" t="inlineStr"/>
      <c r="AI1232" s="18" t="inlineStr"/>
      <c r="AJ1232" s="18" t="inlineStr">
        <is>
          <t>Cobblemon 동일</t>
        </is>
      </c>
      <c r="AK1232" s="18" t="inlineStr">
        <is>
          <t>사용</t>
        </is>
      </c>
      <c r="AL1232" s="18" t="inlineStr">
        <is>
          <t>COBBLEVERSE 1.7.42 / DP v31</t>
        </is>
      </c>
      <c r="AM1232" s="18" t="inlineStr">
        <is>
          <t>data/cobblemon/spawn_pool_world/0326_grumpig.json</t>
        </is>
      </c>
      <c r="AN1232" s="18" t="inlineStr">
        <is>
          <t>grumpig-2</t>
        </is>
      </c>
      <c r="AO1232" s="18" t="inlineStr">
        <is>
          <t>pokemon</t>
        </is>
      </c>
      <c r="AP1232" s="18" t="inlineStr">
        <is>
          <t>natural; wild</t>
        </is>
      </c>
      <c r="AQ1232" s="18" t="inlineStr">
        <is>
          <t>{"biomes":["#cobblemon:nether/is_fungus"]}</t>
        </is>
      </c>
      <c r="AR1232" s="18" t="inlineStr"/>
      <c r="AS1232" s="18" t="inlineStr"/>
      <c r="AT1232" s="19" t="inlineStr"/>
    </row>
    <row r="1233" ht="32" customHeight="1">
      <c r="A1233" s="18" t="inlineStr">
        <is>
          <t>0327_spinda.json::spinda-1::001</t>
        </is>
      </c>
      <c r="B1233" s="19" t="inlineStr">
        <is>
          <t>사용</t>
        </is>
      </c>
      <c r="C1233" s="18">
        <f>IF(OR(B1233&lt;&gt;AK1233,M1233&lt;&gt;L1233,O1233&lt;&gt;"",Q1233&lt;&gt;"",V1233&lt;&gt;1,Y1233&lt;&gt;"",AT1233&lt;&gt;""),"수정","원본")</f>
        <v/>
      </c>
      <c r="D1233" s="18" t="n">
        <v>327</v>
      </c>
      <c r="E1233" s="18" t="inlineStr">
        <is>
          <t>얼루기</t>
        </is>
      </c>
      <c r="F1233" s="18" t="inlineStr">
        <is>
          <t>spinda</t>
        </is>
      </c>
      <c r="G1233" s="18" t="inlineStr">
        <is>
          <t>spinda</t>
        </is>
      </c>
      <c r="H1233" s="18" t="inlineStr"/>
      <c r="I1233" s="18" t="n">
        <v>3</v>
      </c>
      <c r="J1233" s="18" t="n"/>
      <c r="K1233" s="18" t="n">
        <v>3</v>
      </c>
      <c r="L1233" s="18" t="inlineStr">
        <is>
          <t>cobbleventure:generation_3</t>
        </is>
      </c>
      <c r="M1233" s="19" t="inlineStr">
        <is>
          <t>cobbleventure:generation_3</t>
        </is>
      </c>
      <c r="N1233" s="18" t="inlineStr"/>
      <c r="O1233" s="19" t="inlineStr"/>
      <c r="P1233" s="18" t="inlineStr">
        <is>
          <t>#cobblemon:is_bamboo; #cobblemon:is_hills</t>
        </is>
      </c>
      <c r="Q1233" s="19" t="inlineStr"/>
      <c r="R1233" s="18">
        <f>IF(Q1233="",P1233,Q1233)</f>
        <v/>
      </c>
      <c r="S1233" s="18" t="inlineStr"/>
      <c r="T1233" s="18" t="inlineStr">
        <is>
          <t>uncommon</t>
        </is>
      </c>
      <c r="U1233" s="20" t="n">
        <v>9.9</v>
      </c>
      <c r="V1233" s="21" t="n">
        <v>1</v>
      </c>
      <c r="W1233" s="20">
        <f>IF(OR(U1233="",V1233=""),U1233,U1233*V1233)</f>
        <v/>
      </c>
      <c r="X1233" s="18" t="inlineStr">
        <is>
          <t>11-36</t>
        </is>
      </c>
      <c r="Y1233" s="19" t="inlineStr"/>
      <c r="Z1233" s="18">
        <f>IF(Y1233="",X1233,Y1233)</f>
        <v/>
      </c>
      <c r="AA1233" s="18" t="inlineStr">
        <is>
          <t>grounded</t>
        </is>
      </c>
      <c r="AB1233" s="18" t="inlineStr"/>
      <c r="AC1233" s="18" t="inlineStr"/>
      <c r="AD1233" s="18" t="inlineStr"/>
      <c r="AE1233" s="18" t="inlineStr">
        <is>
          <t>sky 8-15</t>
        </is>
      </c>
      <c r="AF1233" s="18" t="inlineStr"/>
      <c r="AG1233" s="18" t="inlineStr"/>
      <c r="AH1233" s="18" t="inlineStr"/>
      <c r="AI1233" s="18" t="inlineStr"/>
      <c r="AJ1233" s="18" t="inlineStr">
        <is>
          <t>Cobblemon 동일</t>
        </is>
      </c>
      <c r="AK1233" s="18" t="inlineStr">
        <is>
          <t>사용</t>
        </is>
      </c>
      <c r="AL1233" s="18" t="inlineStr">
        <is>
          <t>COBBLEVERSE 1.7.42 / DP v31</t>
        </is>
      </c>
      <c r="AM1233" s="18" t="inlineStr">
        <is>
          <t>data/cobblemon/spawn_pool_world/0327_spinda.json</t>
        </is>
      </c>
      <c r="AN1233" s="18" t="inlineStr">
        <is>
          <t>spinda-1</t>
        </is>
      </c>
      <c r="AO1233" s="18" t="inlineStr">
        <is>
          <t>pokemon</t>
        </is>
      </c>
      <c r="AP1233" s="18" t="inlineStr">
        <is>
          <t>natural; wild</t>
        </is>
      </c>
      <c r="AQ1233" s="18" t="inlineStr">
        <is>
          <t>{"biomes":["#cobblemon:is_bamboo","#cobblemon:is_hills"],"maxSkyLight":15,"minSkyLight":8}</t>
        </is>
      </c>
      <c r="AR1233" s="18" t="inlineStr"/>
      <c r="AS1233" s="18" t="inlineStr"/>
      <c r="AT1233" s="19" t="inlineStr"/>
    </row>
    <row r="1234" ht="32" customHeight="1">
      <c r="A1234" s="18" t="inlineStr">
        <is>
          <t>0327_spinda.json::spinda-1-2::002</t>
        </is>
      </c>
      <c r="B1234" s="19" t="inlineStr">
        <is>
          <t>사용</t>
        </is>
      </c>
      <c r="C1234" s="18">
        <f>IF(OR(B1234&lt;&gt;AK1234,M1234&lt;&gt;L1234,O1234&lt;&gt;"",Q1234&lt;&gt;"",V1234&lt;&gt;1,Y1234&lt;&gt;"",AT1234&lt;&gt;""),"수정","원본")</f>
        <v/>
      </c>
      <c r="D1234" s="18" t="n">
        <v>327</v>
      </c>
      <c r="E1234" s="18" t="inlineStr">
        <is>
          <t>얼루기</t>
        </is>
      </c>
      <c r="F1234" s="18" t="inlineStr">
        <is>
          <t>spinda</t>
        </is>
      </c>
      <c r="G1234" s="18" t="inlineStr">
        <is>
          <t>spinda special_spots=1 face_spots=none face_spots2=none</t>
        </is>
      </c>
      <c r="H1234" s="18" t="inlineStr">
        <is>
          <t>special_spots=1 face_spots=none face_spots2=none</t>
        </is>
      </c>
      <c r="I1234" s="18" t="n">
        <v>3</v>
      </c>
      <c r="J1234" s="18" t="n"/>
      <c r="K1234" s="18" t="n">
        <v>3</v>
      </c>
      <c r="L1234" s="18" t="inlineStr">
        <is>
          <t>cobbleventure:generation_3</t>
        </is>
      </c>
      <c r="M1234" s="19" t="inlineStr">
        <is>
          <t>cobbleventure:generation_3</t>
        </is>
      </c>
      <c r="N1234" s="18" t="inlineStr"/>
      <c r="O1234" s="19" t="inlineStr"/>
      <c r="P1234" s="18" t="inlineStr">
        <is>
          <t>#cobblemon:is_bamboo; #cobblemon:is_hills</t>
        </is>
      </c>
      <c r="Q1234" s="19" t="inlineStr"/>
      <c r="R1234" s="18">
        <f>IF(Q1234="",P1234,Q1234)</f>
        <v/>
      </c>
      <c r="S1234" s="18" t="inlineStr"/>
      <c r="T1234" s="18" t="inlineStr">
        <is>
          <t>uncommon</t>
        </is>
      </c>
      <c r="U1234" s="20" t="n">
        <v>0.025</v>
      </c>
      <c r="V1234" s="21" t="n">
        <v>1</v>
      </c>
      <c r="W1234" s="20">
        <f>IF(OR(U1234="",V1234=""),U1234,U1234*V1234)</f>
        <v/>
      </c>
      <c r="X1234" s="18" t="inlineStr">
        <is>
          <t>11-36</t>
        </is>
      </c>
      <c r="Y1234" s="19" t="inlineStr"/>
      <c r="Z1234" s="18">
        <f>IF(Y1234="",X1234,Y1234)</f>
        <v/>
      </c>
      <c r="AA1234" s="18" t="inlineStr">
        <is>
          <t>grounded</t>
        </is>
      </c>
      <c r="AB1234" s="18" t="inlineStr"/>
      <c r="AC1234" s="18" t="inlineStr"/>
      <c r="AD1234" s="18" t="inlineStr"/>
      <c r="AE1234" s="18" t="inlineStr">
        <is>
          <t>sky 8-15</t>
        </is>
      </c>
      <c r="AF1234" s="18" t="inlineStr"/>
      <c r="AG1234" s="18" t="inlineStr"/>
      <c r="AH1234" s="18" t="inlineStr"/>
      <c r="AI1234" s="18" t="inlineStr"/>
      <c r="AJ1234" s="18" t="inlineStr">
        <is>
          <t>Cobblemon 동일</t>
        </is>
      </c>
      <c r="AK1234" s="18" t="inlineStr">
        <is>
          <t>사용</t>
        </is>
      </c>
      <c r="AL1234" s="18" t="inlineStr">
        <is>
          <t>COBBLEVERSE 1.7.42 / DP v31</t>
        </is>
      </c>
      <c r="AM1234" s="18" t="inlineStr">
        <is>
          <t>data/cobblemon/spawn_pool_world/0327_spinda.json</t>
        </is>
      </c>
      <c r="AN1234" s="18" t="inlineStr">
        <is>
          <t>spinda-1-2</t>
        </is>
      </c>
      <c r="AO1234" s="18" t="inlineStr">
        <is>
          <t>pokemon</t>
        </is>
      </c>
      <c r="AP1234" s="18" t="inlineStr">
        <is>
          <t>natural; wild</t>
        </is>
      </c>
      <c r="AQ1234" s="18" t="inlineStr">
        <is>
          <t>{"biomes":["#cobblemon:is_bamboo","#cobblemon:is_hills"],"maxSkyLight":15,"minSkyLight":8}</t>
        </is>
      </c>
      <c r="AR1234" s="18" t="inlineStr"/>
      <c r="AS1234" s="18" t="inlineStr"/>
      <c r="AT1234" s="19" t="inlineStr"/>
    </row>
    <row r="1235" ht="32" customHeight="1">
      <c r="A1235" s="18" t="inlineStr">
        <is>
          <t>0327_spinda.json::spinda-2-3::003</t>
        </is>
      </c>
      <c r="B1235" s="19" t="inlineStr">
        <is>
          <t>사용</t>
        </is>
      </c>
      <c r="C1235" s="18">
        <f>IF(OR(B1235&lt;&gt;AK1235,M1235&lt;&gt;L1235,O1235&lt;&gt;"",Q1235&lt;&gt;"",V1235&lt;&gt;1,Y1235&lt;&gt;"",AT1235&lt;&gt;""),"수정","원본")</f>
        <v/>
      </c>
      <c r="D1235" s="18" t="n">
        <v>327</v>
      </c>
      <c r="E1235" s="18" t="inlineStr">
        <is>
          <t>얼루기</t>
        </is>
      </c>
      <c r="F1235" s="18" t="inlineStr">
        <is>
          <t>spinda</t>
        </is>
      </c>
      <c r="G1235" s="18" t="inlineStr">
        <is>
          <t>spinda special_spots=2 face_spots=none face_spots2=none</t>
        </is>
      </c>
      <c r="H1235" s="18" t="inlineStr">
        <is>
          <t>special_spots=2 face_spots=none face_spots2=none</t>
        </is>
      </c>
      <c r="I1235" s="18" t="n">
        <v>3</v>
      </c>
      <c r="J1235" s="18" t="n"/>
      <c r="K1235" s="18" t="n">
        <v>3</v>
      </c>
      <c r="L1235" s="18" t="inlineStr">
        <is>
          <t>cobbleventure:generation_3</t>
        </is>
      </c>
      <c r="M1235" s="19" t="inlineStr">
        <is>
          <t>cobbleventure:generation_3</t>
        </is>
      </c>
      <c r="N1235" s="18" t="inlineStr"/>
      <c r="O1235" s="19" t="inlineStr"/>
      <c r="P1235" s="18" t="inlineStr">
        <is>
          <t>#cobblemon:is_bamboo; #cobblemon:is_hills</t>
        </is>
      </c>
      <c r="Q1235" s="19" t="inlineStr"/>
      <c r="R1235" s="18">
        <f>IF(Q1235="",P1235,Q1235)</f>
        <v/>
      </c>
      <c r="S1235" s="18" t="inlineStr"/>
      <c r="T1235" s="18" t="inlineStr">
        <is>
          <t>uncommon</t>
        </is>
      </c>
      <c r="U1235" s="20" t="n">
        <v>0.025</v>
      </c>
      <c r="V1235" s="21" t="n">
        <v>1</v>
      </c>
      <c r="W1235" s="20">
        <f>IF(OR(U1235="",V1235=""),U1235,U1235*V1235)</f>
        <v/>
      </c>
      <c r="X1235" s="18" t="inlineStr">
        <is>
          <t>11-36</t>
        </is>
      </c>
      <c r="Y1235" s="19" t="inlineStr"/>
      <c r="Z1235" s="18">
        <f>IF(Y1235="",X1235,Y1235)</f>
        <v/>
      </c>
      <c r="AA1235" s="18" t="inlineStr">
        <is>
          <t>grounded</t>
        </is>
      </c>
      <c r="AB1235" s="18" t="inlineStr"/>
      <c r="AC1235" s="18" t="inlineStr"/>
      <c r="AD1235" s="18" t="inlineStr"/>
      <c r="AE1235" s="18" t="inlineStr">
        <is>
          <t>sky 8-15</t>
        </is>
      </c>
      <c r="AF1235" s="18" t="inlineStr"/>
      <c r="AG1235" s="18" t="inlineStr"/>
      <c r="AH1235" s="18" t="inlineStr"/>
      <c r="AI1235" s="18" t="inlineStr"/>
      <c r="AJ1235" s="18" t="inlineStr">
        <is>
          <t>Cobblemon 동일</t>
        </is>
      </c>
      <c r="AK1235" s="18" t="inlineStr">
        <is>
          <t>사용</t>
        </is>
      </c>
      <c r="AL1235" s="18" t="inlineStr">
        <is>
          <t>COBBLEVERSE 1.7.42 / DP v31</t>
        </is>
      </c>
      <c r="AM1235" s="18" t="inlineStr">
        <is>
          <t>data/cobblemon/spawn_pool_world/0327_spinda.json</t>
        </is>
      </c>
      <c r="AN1235" s="18" t="inlineStr">
        <is>
          <t>spinda-2-3</t>
        </is>
      </c>
      <c r="AO1235" s="18" t="inlineStr">
        <is>
          <t>pokemon</t>
        </is>
      </c>
      <c r="AP1235" s="18" t="inlineStr">
        <is>
          <t>natural; wild</t>
        </is>
      </c>
      <c r="AQ1235" s="18" t="inlineStr">
        <is>
          <t>{"biomes":["#cobblemon:is_bamboo","#cobblemon:is_hills"],"maxSkyLight":15,"minSkyLight":8}</t>
        </is>
      </c>
      <c r="AR1235" s="18" t="inlineStr"/>
      <c r="AS1235" s="18" t="inlineStr"/>
      <c r="AT1235" s="19" t="inlineStr"/>
    </row>
    <row r="1236" ht="32" customHeight="1">
      <c r="A1236" s="18" t="inlineStr">
        <is>
          <t>0327_spinda.json::spinda-3-4::004</t>
        </is>
      </c>
      <c r="B1236" s="19" t="inlineStr">
        <is>
          <t>사용</t>
        </is>
      </c>
      <c r="C1236" s="18">
        <f>IF(OR(B1236&lt;&gt;AK1236,M1236&lt;&gt;L1236,O1236&lt;&gt;"",Q1236&lt;&gt;"",V1236&lt;&gt;1,Y1236&lt;&gt;"",AT1236&lt;&gt;""),"수정","원본")</f>
        <v/>
      </c>
      <c r="D1236" s="18" t="n">
        <v>327</v>
      </c>
      <c r="E1236" s="18" t="inlineStr">
        <is>
          <t>얼루기</t>
        </is>
      </c>
      <c r="F1236" s="18" t="inlineStr">
        <is>
          <t>spinda</t>
        </is>
      </c>
      <c r="G1236" s="18" t="inlineStr">
        <is>
          <t>spinda special_spots=3 face_spots=none face_spots2=none</t>
        </is>
      </c>
      <c r="H1236" s="18" t="inlineStr">
        <is>
          <t>special_spots=3 face_spots=none face_spots2=none</t>
        </is>
      </c>
      <c r="I1236" s="18" t="n">
        <v>3</v>
      </c>
      <c r="J1236" s="18" t="n"/>
      <c r="K1236" s="18" t="n">
        <v>3</v>
      </c>
      <c r="L1236" s="18" t="inlineStr">
        <is>
          <t>cobbleventure:generation_3</t>
        </is>
      </c>
      <c r="M1236" s="19" t="inlineStr">
        <is>
          <t>cobbleventure:generation_3</t>
        </is>
      </c>
      <c r="N1236" s="18" t="inlineStr"/>
      <c r="O1236" s="19" t="inlineStr"/>
      <c r="P1236" s="18" t="inlineStr">
        <is>
          <t>#cobblemon:is_bamboo; #cobblemon:is_hills</t>
        </is>
      </c>
      <c r="Q1236" s="19" t="inlineStr"/>
      <c r="R1236" s="18">
        <f>IF(Q1236="",P1236,Q1236)</f>
        <v/>
      </c>
      <c r="S1236" s="18" t="inlineStr"/>
      <c r="T1236" s="18" t="inlineStr">
        <is>
          <t>uncommon</t>
        </is>
      </c>
      <c r="U1236" s="20" t="n">
        <v>0.025</v>
      </c>
      <c r="V1236" s="21" t="n">
        <v>1</v>
      </c>
      <c r="W1236" s="20">
        <f>IF(OR(U1236="",V1236=""),U1236,U1236*V1236)</f>
        <v/>
      </c>
      <c r="X1236" s="18" t="inlineStr">
        <is>
          <t>11-36</t>
        </is>
      </c>
      <c r="Y1236" s="19" t="inlineStr"/>
      <c r="Z1236" s="18">
        <f>IF(Y1236="",X1236,Y1236)</f>
        <v/>
      </c>
      <c r="AA1236" s="18" t="inlineStr">
        <is>
          <t>grounded</t>
        </is>
      </c>
      <c r="AB1236" s="18" t="inlineStr"/>
      <c r="AC1236" s="18" t="inlineStr"/>
      <c r="AD1236" s="18" t="inlineStr"/>
      <c r="AE1236" s="18" t="inlineStr">
        <is>
          <t>sky 8-15</t>
        </is>
      </c>
      <c r="AF1236" s="18" t="inlineStr"/>
      <c r="AG1236" s="18" t="inlineStr"/>
      <c r="AH1236" s="18" t="inlineStr"/>
      <c r="AI1236" s="18" t="inlineStr"/>
      <c r="AJ1236" s="18" t="inlineStr">
        <is>
          <t>Cobblemon 동일</t>
        </is>
      </c>
      <c r="AK1236" s="18" t="inlineStr">
        <is>
          <t>사용</t>
        </is>
      </c>
      <c r="AL1236" s="18" t="inlineStr">
        <is>
          <t>COBBLEVERSE 1.7.42 / DP v31</t>
        </is>
      </c>
      <c r="AM1236" s="18" t="inlineStr">
        <is>
          <t>data/cobblemon/spawn_pool_world/0327_spinda.json</t>
        </is>
      </c>
      <c r="AN1236" s="18" t="inlineStr">
        <is>
          <t>spinda-3-4</t>
        </is>
      </c>
      <c r="AO1236" s="18" t="inlineStr">
        <is>
          <t>pokemon</t>
        </is>
      </c>
      <c r="AP1236" s="18" t="inlineStr">
        <is>
          <t>natural; wild</t>
        </is>
      </c>
      <c r="AQ1236" s="18" t="inlineStr">
        <is>
          <t>{"biomes":["#cobblemon:is_bamboo","#cobblemon:is_hills"],"maxSkyLight":15,"minSkyLight":8}</t>
        </is>
      </c>
      <c r="AR1236" s="18" t="inlineStr"/>
      <c r="AS1236" s="18" t="inlineStr"/>
      <c r="AT1236" s="19" t="inlineStr"/>
    </row>
    <row r="1237" ht="32" customHeight="1">
      <c r="A1237" s="18" t="inlineStr">
        <is>
          <t>0327_spinda.json::spinda-4-5::005</t>
        </is>
      </c>
      <c r="B1237" s="19" t="inlineStr">
        <is>
          <t>사용</t>
        </is>
      </c>
      <c r="C1237" s="18">
        <f>IF(OR(B1237&lt;&gt;AK1237,M1237&lt;&gt;L1237,O1237&lt;&gt;"",Q1237&lt;&gt;"",V1237&lt;&gt;1,Y1237&lt;&gt;"",AT1237&lt;&gt;""),"수정","원본")</f>
        <v/>
      </c>
      <c r="D1237" s="18" t="n">
        <v>327</v>
      </c>
      <c r="E1237" s="18" t="inlineStr">
        <is>
          <t>얼루기</t>
        </is>
      </c>
      <c r="F1237" s="18" t="inlineStr">
        <is>
          <t>spinda</t>
        </is>
      </c>
      <c r="G1237" s="18" t="inlineStr">
        <is>
          <t>spinda special_spots=4 face_spots=none face_spots2=none</t>
        </is>
      </c>
      <c r="H1237" s="18" t="inlineStr">
        <is>
          <t>special_spots=4 face_spots=none face_spots2=none</t>
        </is>
      </c>
      <c r="I1237" s="18" t="n">
        <v>3</v>
      </c>
      <c r="J1237" s="18" t="n"/>
      <c r="K1237" s="18" t="n">
        <v>3</v>
      </c>
      <c r="L1237" s="18" t="inlineStr">
        <is>
          <t>cobbleventure:generation_3</t>
        </is>
      </c>
      <c r="M1237" s="19" t="inlineStr">
        <is>
          <t>cobbleventure:generation_3</t>
        </is>
      </c>
      <c r="N1237" s="18" t="inlineStr"/>
      <c r="O1237" s="19" t="inlineStr"/>
      <c r="P1237" s="18" t="inlineStr">
        <is>
          <t>#cobblemon:is_bamboo; #cobblemon:is_hills</t>
        </is>
      </c>
      <c r="Q1237" s="19" t="inlineStr"/>
      <c r="R1237" s="18">
        <f>IF(Q1237="",P1237,Q1237)</f>
        <v/>
      </c>
      <c r="S1237" s="18" t="inlineStr"/>
      <c r="T1237" s="18" t="inlineStr">
        <is>
          <t>uncommon</t>
        </is>
      </c>
      <c r="U1237" s="20" t="n">
        <v>0.025</v>
      </c>
      <c r="V1237" s="21" t="n">
        <v>1</v>
      </c>
      <c r="W1237" s="20">
        <f>IF(OR(U1237="",V1237=""),U1237,U1237*V1237)</f>
        <v/>
      </c>
      <c r="X1237" s="18" t="inlineStr">
        <is>
          <t>11-36</t>
        </is>
      </c>
      <c r="Y1237" s="19" t="inlineStr"/>
      <c r="Z1237" s="18">
        <f>IF(Y1237="",X1237,Y1237)</f>
        <v/>
      </c>
      <c r="AA1237" s="18" t="inlineStr">
        <is>
          <t>grounded</t>
        </is>
      </c>
      <c r="AB1237" s="18" t="inlineStr"/>
      <c r="AC1237" s="18" t="inlineStr"/>
      <c r="AD1237" s="18" t="inlineStr"/>
      <c r="AE1237" s="18" t="inlineStr">
        <is>
          <t>sky 8-15</t>
        </is>
      </c>
      <c r="AF1237" s="18" t="inlineStr"/>
      <c r="AG1237" s="18" t="inlineStr"/>
      <c r="AH1237" s="18" t="inlineStr"/>
      <c r="AI1237" s="18" t="inlineStr"/>
      <c r="AJ1237" s="18" t="inlineStr">
        <is>
          <t>Cobblemon 동일</t>
        </is>
      </c>
      <c r="AK1237" s="18" t="inlineStr">
        <is>
          <t>사용</t>
        </is>
      </c>
      <c r="AL1237" s="18" t="inlineStr">
        <is>
          <t>COBBLEVERSE 1.7.42 / DP v31</t>
        </is>
      </c>
      <c r="AM1237" s="18" t="inlineStr">
        <is>
          <t>data/cobblemon/spawn_pool_world/0327_spinda.json</t>
        </is>
      </c>
      <c r="AN1237" s="18" t="inlineStr">
        <is>
          <t>spinda-4-5</t>
        </is>
      </c>
      <c r="AO1237" s="18" t="inlineStr">
        <is>
          <t>pokemon</t>
        </is>
      </c>
      <c r="AP1237" s="18" t="inlineStr">
        <is>
          <t>natural; wild</t>
        </is>
      </c>
      <c r="AQ1237" s="18" t="inlineStr">
        <is>
          <t>{"biomes":["#cobblemon:is_bamboo","#cobblemon:is_hills"],"maxSkyLight":15,"minSkyLight":8}</t>
        </is>
      </c>
      <c r="AR1237" s="18" t="inlineStr"/>
      <c r="AS1237" s="18" t="inlineStr"/>
      <c r="AT1237" s="19" t="inlineStr"/>
    </row>
    <row r="1238" ht="32" customHeight="1">
      <c r="A1238" s="18" t="inlineStr">
        <is>
          <t>0328_trapinch.json::trapinch-1::001</t>
        </is>
      </c>
      <c r="B1238" s="19" t="inlineStr">
        <is>
          <t>사용</t>
        </is>
      </c>
      <c r="C1238" s="18">
        <f>IF(OR(B1238&lt;&gt;AK1238,M1238&lt;&gt;L1238,O1238&lt;&gt;"",Q1238&lt;&gt;"",V1238&lt;&gt;1,Y1238&lt;&gt;"",AT1238&lt;&gt;""),"수정","원본")</f>
        <v/>
      </c>
      <c r="D1238" s="18" t="n">
        <v>328</v>
      </c>
      <c r="E1238" s="18" t="inlineStr">
        <is>
          <t>톱치</t>
        </is>
      </c>
      <c r="F1238" s="18" t="inlineStr">
        <is>
          <t>trapinch</t>
        </is>
      </c>
      <c r="G1238" s="18" t="inlineStr">
        <is>
          <t>trapinch</t>
        </is>
      </c>
      <c r="H1238" s="18" t="inlineStr"/>
      <c r="I1238" s="18" t="n">
        <v>3</v>
      </c>
      <c r="J1238" s="18" t="n"/>
      <c r="K1238" s="18" t="n">
        <v>3</v>
      </c>
      <c r="L1238" s="18" t="inlineStr">
        <is>
          <t>cobbleventure:generation_3</t>
        </is>
      </c>
      <c r="M1238" s="19" t="inlineStr">
        <is>
          <t>cobbleventure:generation_3</t>
        </is>
      </c>
      <c r="N1238" s="18" t="inlineStr">
        <is>
          <t>region_02</t>
        </is>
      </c>
      <c r="O1238" s="19" t="inlineStr"/>
      <c r="P1238" s="18" t="inlineStr">
        <is>
          <t>#cobblemon:is_desert</t>
        </is>
      </c>
      <c r="Q1238" s="19" t="inlineStr"/>
      <c r="R1238" s="18">
        <f>IF(Q1238="",P1238,Q1238)</f>
        <v/>
      </c>
      <c r="S1238" s="18" t="inlineStr"/>
      <c r="T1238" s="18" t="inlineStr">
        <is>
          <t>rare</t>
        </is>
      </c>
      <c r="U1238" s="20" t="n">
        <v>7.5</v>
      </c>
      <c r="V1238" s="21" t="n">
        <v>1</v>
      </c>
      <c r="W1238" s="20">
        <f>IF(OR(U1238="",V1238=""),U1238,U1238*V1238)</f>
        <v/>
      </c>
      <c r="X1238" s="18" t="inlineStr">
        <is>
          <t>4-29</t>
        </is>
      </c>
      <c r="Y1238" s="19" t="inlineStr"/>
      <c r="Z1238" s="18">
        <f>IF(Y1238="",X1238,Y1238)</f>
        <v/>
      </c>
      <c r="AA1238" s="18" t="inlineStr">
        <is>
          <t>grounded</t>
        </is>
      </c>
      <c r="AB1238" s="18" t="inlineStr"/>
      <c r="AC1238" s="18" t="inlineStr"/>
      <c r="AD1238" s="18" t="inlineStr"/>
      <c r="AE1238" s="18" t="inlineStr">
        <is>
          <t>sky 8-15</t>
        </is>
      </c>
      <c r="AF1238" s="18" t="inlineStr"/>
      <c r="AG1238" s="18" t="inlineStr"/>
      <c r="AH1238" s="18" t="inlineStr"/>
      <c r="AI1238" s="18" t="inlineStr"/>
      <c r="AJ1238" s="18" t="inlineStr">
        <is>
          <t>Cobblemon 동일</t>
        </is>
      </c>
      <c r="AK1238" s="18" t="inlineStr">
        <is>
          <t>사용</t>
        </is>
      </c>
      <c r="AL1238" s="18" t="inlineStr">
        <is>
          <t>COBBLEVERSE 1.7.42 / DP v31</t>
        </is>
      </c>
      <c r="AM1238" s="18" t="inlineStr">
        <is>
          <t>data/cobblemon/spawn_pool_world/0328_trapinch.json</t>
        </is>
      </c>
      <c r="AN1238" s="18" t="inlineStr">
        <is>
          <t>trapinch-1</t>
        </is>
      </c>
      <c r="AO1238" s="18" t="inlineStr">
        <is>
          <t>pokemon</t>
        </is>
      </c>
      <c r="AP1238" s="18" t="inlineStr">
        <is>
          <t>natural; wild</t>
        </is>
      </c>
      <c r="AQ1238" s="18" t="inlineStr">
        <is>
          <t>{"biomes":["#cobblemon:is_desert"],"maxSkyLight":15,"minSkyLight":8}</t>
        </is>
      </c>
      <c r="AR1238" s="18" t="inlineStr"/>
      <c r="AS1238" s="18" t="inlineStr">
        <is>
          <t>{"weightMultiplier":{"condition":{"isRaining":true},"multiplier":1.5}}</t>
        </is>
      </c>
      <c r="AT1238" s="19" t="inlineStr"/>
    </row>
    <row r="1239" ht="32" customHeight="1">
      <c r="A1239" s="18" t="inlineStr">
        <is>
          <t>0328_trapinch.json::trapinch-2::002</t>
        </is>
      </c>
      <c r="B1239" s="19" t="inlineStr">
        <is>
          <t>사용</t>
        </is>
      </c>
      <c r="C1239" s="18">
        <f>IF(OR(B1239&lt;&gt;AK1239,M1239&lt;&gt;L1239,O1239&lt;&gt;"",Q1239&lt;&gt;"",V1239&lt;&gt;1,Y1239&lt;&gt;"",AT1239&lt;&gt;""),"수정","원본")</f>
        <v/>
      </c>
      <c r="D1239" s="18" t="n">
        <v>328</v>
      </c>
      <c r="E1239" s="18" t="inlineStr">
        <is>
          <t>톱치</t>
        </is>
      </c>
      <c r="F1239" s="18" t="inlineStr">
        <is>
          <t>trapinch</t>
        </is>
      </c>
      <c r="G1239" s="18" t="inlineStr">
        <is>
          <t>trapinch</t>
        </is>
      </c>
      <c r="H1239" s="18" t="inlineStr"/>
      <c r="I1239" s="18" t="n">
        <v>3</v>
      </c>
      <c r="J1239" s="18" t="n"/>
      <c r="K1239" s="18" t="n">
        <v>3</v>
      </c>
      <c r="L1239" s="18" t="inlineStr">
        <is>
          <t>cobbleventure:generation_3</t>
        </is>
      </c>
      <c r="M1239" s="19" t="inlineStr">
        <is>
          <t>cobbleventure:generation_3</t>
        </is>
      </c>
      <c r="N1239" s="18" t="inlineStr">
        <is>
          <t>region_02</t>
        </is>
      </c>
      <c r="O1239" s="19" t="inlineStr"/>
      <c r="P1239" s="18" t="inlineStr">
        <is>
          <t>#cobblemon:is_desert</t>
        </is>
      </c>
      <c r="Q1239" s="19" t="inlineStr"/>
      <c r="R1239" s="18">
        <f>IF(Q1239="",P1239,Q1239)</f>
        <v/>
      </c>
      <c r="S1239" s="18" t="inlineStr"/>
      <c r="T1239" s="18" t="inlineStr">
        <is>
          <t>uncommon</t>
        </is>
      </c>
      <c r="U1239" s="20" t="n">
        <v>10</v>
      </c>
      <c r="V1239" s="21" t="n">
        <v>1</v>
      </c>
      <c r="W1239" s="20">
        <f>IF(OR(U1239="",V1239=""),U1239,U1239*V1239)</f>
        <v/>
      </c>
      <c r="X1239" s="18" t="inlineStr">
        <is>
          <t>4-29</t>
        </is>
      </c>
      <c r="Y1239" s="19" t="inlineStr"/>
      <c r="Z1239" s="18">
        <f>IF(Y1239="",X1239,Y1239)</f>
        <v/>
      </c>
      <c r="AA1239" s="18" t="inlineStr">
        <is>
          <t>grounded</t>
        </is>
      </c>
      <c r="AB1239" s="18" t="inlineStr"/>
      <c r="AC1239" s="18" t="inlineStr"/>
      <c r="AD1239" s="18" t="inlineStr">
        <is>
          <t>minY=0</t>
        </is>
      </c>
      <c r="AE1239" s="18" t="inlineStr">
        <is>
          <t>sky 0-7</t>
        </is>
      </c>
      <c r="AF1239" s="18" t="inlineStr"/>
      <c r="AG1239" s="18" t="inlineStr"/>
      <c r="AH1239" s="18" t="inlineStr"/>
      <c r="AI1239" s="18" t="inlineStr"/>
      <c r="AJ1239" s="18" t="inlineStr">
        <is>
          <t>Cobblemon 동일</t>
        </is>
      </c>
      <c r="AK1239" s="18" t="inlineStr">
        <is>
          <t>사용</t>
        </is>
      </c>
      <c r="AL1239" s="18" t="inlineStr">
        <is>
          <t>COBBLEVERSE 1.7.42 / DP v31</t>
        </is>
      </c>
      <c r="AM1239" s="18" t="inlineStr">
        <is>
          <t>data/cobblemon/spawn_pool_world/0328_trapinch.json</t>
        </is>
      </c>
      <c r="AN1239" s="18" t="inlineStr">
        <is>
          <t>trapinch-2</t>
        </is>
      </c>
      <c r="AO1239" s="18" t="inlineStr">
        <is>
          <t>pokemon</t>
        </is>
      </c>
      <c r="AP1239" s="18" t="inlineStr">
        <is>
          <t>natural</t>
        </is>
      </c>
      <c r="AQ1239" s="18" t="inlineStr">
        <is>
          <t>{"biomes":["#cobblemon:is_desert"],"maxSkyLight":7,"minSkyLight":0,"minY":0}</t>
        </is>
      </c>
      <c r="AR1239" s="18" t="inlineStr"/>
      <c r="AS1239" s="18" t="inlineStr"/>
      <c r="AT1239" s="19" t="inlineStr"/>
    </row>
    <row r="1240" ht="32" customHeight="1">
      <c r="A1240" s="18" t="inlineStr">
        <is>
          <t>0329_vibrava.json::vibrava-1::001</t>
        </is>
      </c>
      <c r="B1240" s="19" t="inlineStr">
        <is>
          <t>사용</t>
        </is>
      </c>
      <c r="C1240" s="18">
        <f>IF(OR(B1240&lt;&gt;AK1240,M1240&lt;&gt;L1240,O1240&lt;&gt;"",Q1240&lt;&gt;"",V1240&lt;&gt;1,Y1240&lt;&gt;"",AT1240&lt;&gt;""),"수정","원본")</f>
        <v/>
      </c>
      <c r="D1240" s="18" t="n">
        <v>329</v>
      </c>
      <c r="E1240" s="18" t="inlineStr">
        <is>
          <t>비브라바</t>
        </is>
      </c>
      <c r="F1240" s="18" t="inlineStr">
        <is>
          <t>vibrava</t>
        </is>
      </c>
      <c r="G1240" s="18" t="inlineStr">
        <is>
          <t>vibrava</t>
        </is>
      </c>
      <c r="H1240" s="18" t="inlineStr"/>
      <c r="I1240" s="18" t="n">
        <v>3</v>
      </c>
      <c r="J1240" s="18" t="n"/>
      <c r="K1240" s="18" t="n">
        <v>3</v>
      </c>
      <c r="L1240" s="18" t="inlineStr">
        <is>
          <t>cobbleventure:generation_3</t>
        </is>
      </c>
      <c r="M1240" s="19" t="inlineStr">
        <is>
          <t>cobbleventure:generation_3</t>
        </is>
      </c>
      <c r="N1240" s="18" t="inlineStr">
        <is>
          <t>region_02</t>
        </is>
      </c>
      <c r="O1240" s="19" t="inlineStr"/>
      <c r="P1240" s="18" t="inlineStr">
        <is>
          <t>#cobblemon:is_desert</t>
        </is>
      </c>
      <c r="Q1240" s="19" t="inlineStr"/>
      <c r="R1240" s="18">
        <f>IF(Q1240="",P1240,Q1240)</f>
        <v/>
      </c>
      <c r="S1240" s="18" t="inlineStr"/>
      <c r="T1240" s="18" t="inlineStr">
        <is>
          <t>rare</t>
        </is>
      </c>
      <c r="U1240" s="20" t="n">
        <v>2.25</v>
      </c>
      <c r="V1240" s="21" t="n">
        <v>1</v>
      </c>
      <c r="W1240" s="20">
        <f>IF(OR(U1240="",V1240=""),U1240,U1240*V1240)</f>
        <v/>
      </c>
      <c r="X1240" s="18" t="inlineStr">
        <is>
          <t>35-40</t>
        </is>
      </c>
      <c r="Y1240" s="19" t="inlineStr"/>
      <c r="Z1240" s="18">
        <f>IF(Y1240="",X1240,Y1240)</f>
        <v/>
      </c>
      <c r="AA1240" s="18" t="inlineStr">
        <is>
          <t>grounded</t>
        </is>
      </c>
      <c r="AB1240" s="18" t="inlineStr"/>
      <c r="AC1240" s="18" t="inlineStr">
        <is>
          <t>비=True</t>
        </is>
      </c>
      <c r="AD1240" s="18" t="inlineStr"/>
      <c r="AE1240" s="18" t="inlineStr">
        <is>
          <t>sky 8-15</t>
        </is>
      </c>
      <c r="AF1240" s="18" t="inlineStr"/>
      <c r="AG1240" s="18" t="inlineStr"/>
      <c r="AH1240" s="18" t="inlineStr"/>
      <c r="AI1240" s="18" t="inlineStr"/>
      <c r="AJ1240" s="18" t="inlineStr">
        <is>
          <t>Cobblemon 동일</t>
        </is>
      </c>
      <c r="AK1240" s="18" t="inlineStr">
        <is>
          <t>사용</t>
        </is>
      </c>
      <c r="AL1240" s="18" t="inlineStr">
        <is>
          <t>COBBLEVERSE 1.7.42 / DP v31</t>
        </is>
      </c>
      <c r="AM1240" s="18" t="inlineStr">
        <is>
          <t>data/cobblemon/spawn_pool_world/0329_vibrava.json</t>
        </is>
      </c>
      <c r="AN1240" s="18" t="inlineStr">
        <is>
          <t>vibrava-1</t>
        </is>
      </c>
      <c r="AO1240" s="18" t="inlineStr">
        <is>
          <t>pokemon</t>
        </is>
      </c>
      <c r="AP1240" s="18" t="inlineStr">
        <is>
          <t>natural; wild</t>
        </is>
      </c>
      <c r="AQ1240" s="18" t="inlineStr">
        <is>
          <t>{"biomes":["#cobblemon:is_desert"],"isRaining":true,"maxSkyLight":15,"minSkyLight":8}</t>
        </is>
      </c>
      <c r="AR1240" s="18" t="inlineStr"/>
      <c r="AS1240" s="18" t="inlineStr">
        <is>
          <t>{"weightMultiplier":{"condition":{"isRaining":true},"multiplier":1.5}}</t>
        </is>
      </c>
      <c r="AT1240" s="19" t="inlineStr"/>
    </row>
    <row r="1241" ht="32" customHeight="1">
      <c r="A1241" s="18" t="inlineStr">
        <is>
          <t>0330_flygon.json::flygon-1::001</t>
        </is>
      </c>
      <c r="B1241" s="19" t="inlineStr">
        <is>
          <t>사용</t>
        </is>
      </c>
      <c r="C1241" s="18">
        <f>IF(OR(B1241&lt;&gt;AK1241,M1241&lt;&gt;L1241,O1241&lt;&gt;"",Q1241&lt;&gt;"",V1241&lt;&gt;1,Y1241&lt;&gt;"",AT1241&lt;&gt;""),"수정","원본")</f>
        <v/>
      </c>
      <c r="D1241" s="18" t="n">
        <v>330</v>
      </c>
      <c r="E1241" s="18" t="inlineStr">
        <is>
          <t>플라이곤</t>
        </is>
      </c>
      <c r="F1241" s="18" t="inlineStr">
        <is>
          <t>flygon</t>
        </is>
      </c>
      <c r="G1241" s="18" t="inlineStr">
        <is>
          <t>flygon</t>
        </is>
      </c>
      <c r="H1241" s="18" t="inlineStr"/>
      <c r="I1241" s="18" t="n">
        <v>3</v>
      </c>
      <c r="J1241" s="18" t="n"/>
      <c r="K1241" s="18" t="n">
        <v>3</v>
      </c>
      <c r="L1241" s="18" t="inlineStr">
        <is>
          <t>cobbleventure:generation_3</t>
        </is>
      </c>
      <c r="M1241" s="19" t="inlineStr">
        <is>
          <t>cobbleventure:generation_3</t>
        </is>
      </c>
      <c r="N1241" s="18" t="inlineStr">
        <is>
          <t>region_02</t>
        </is>
      </c>
      <c r="O1241" s="19" t="inlineStr"/>
      <c r="P1241" s="18" t="inlineStr">
        <is>
          <t>#cobblemon:is_desert</t>
        </is>
      </c>
      <c r="Q1241" s="19" t="inlineStr"/>
      <c r="R1241" s="18">
        <f>IF(Q1241="",P1241,Q1241)</f>
        <v/>
      </c>
      <c r="S1241" s="18" t="inlineStr"/>
      <c r="T1241" s="18" t="inlineStr">
        <is>
          <t>rare</t>
        </is>
      </c>
      <c r="U1241" s="20" t="n">
        <v>0.25</v>
      </c>
      <c r="V1241" s="21" t="n">
        <v>1</v>
      </c>
      <c r="W1241" s="20">
        <f>IF(OR(U1241="",V1241=""),U1241,U1241*V1241)</f>
        <v/>
      </c>
      <c r="X1241" s="18" t="inlineStr">
        <is>
          <t>45-52</t>
        </is>
      </c>
      <c r="Y1241" s="19" t="inlineStr"/>
      <c r="Z1241" s="18">
        <f>IF(Y1241="",X1241,Y1241)</f>
        <v/>
      </c>
      <c r="AA1241" s="18" t="inlineStr">
        <is>
          <t>grounded</t>
        </is>
      </c>
      <c r="AB1241" s="18" t="inlineStr"/>
      <c r="AC1241" s="18" t="inlineStr">
        <is>
          <t>비=True</t>
        </is>
      </c>
      <c r="AD1241" s="18" t="inlineStr"/>
      <c r="AE1241" s="18" t="inlineStr">
        <is>
          <t>sky 8-15</t>
        </is>
      </c>
      <c r="AF1241" s="18" t="inlineStr"/>
      <c r="AG1241" s="18" t="inlineStr"/>
      <c r="AH1241" s="18" t="inlineStr"/>
      <c r="AI1241" s="18" t="inlineStr"/>
      <c r="AJ1241" s="18" t="inlineStr">
        <is>
          <t>Cobblemon 동일</t>
        </is>
      </c>
      <c r="AK1241" s="18" t="inlineStr">
        <is>
          <t>사용</t>
        </is>
      </c>
      <c r="AL1241" s="18" t="inlineStr">
        <is>
          <t>COBBLEVERSE 1.7.42 / DP v31</t>
        </is>
      </c>
      <c r="AM1241" s="18" t="inlineStr">
        <is>
          <t>data/cobblemon/spawn_pool_world/0330_flygon.json</t>
        </is>
      </c>
      <c r="AN1241" s="18" t="inlineStr">
        <is>
          <t>flygon-1</t>
        </is>
      </c>
      <c r="AO1241" s="18" t="inlineStr">
        <is>
          <t>pokemon</t>
        </is>
      </c>
      <c r="AP1241" s="18" t="inlineStr">
        <is>
          <t>natural; wild</t>
        </is>
      </c>
      <c r="AQ1241" s="18" t="inlineStr">
        <is>
          <t>{"biomes":["#cobblemon:is_desert"],"isRaining":true,"maxSkyLight":15,"minSkyLight":8}</t>
        </is>
      </c>
      <c r="AR1241" s="18" t="inlineStr"/>
      <c r="AS1241" s="18" t="inlineStr">
        <is>
          <t>{"weightMultiplier":{"condition":{"isRaining":true},"multiplier":1.5}}</t>
        </is>
      </c>
      <c r="AT1241" s="19" t="inlineStr"/>
    </row>
    <row r="1242" ht="32" customHeight="1">
      <c r="A1242" s="18" t="inlineStr">
        <is>
          <t>0331_cacnea.json::cacnea-1::001</t>
        </is>
      </c>
      <c r="B1242" s="19" t="inlineStr">
        <is>
          <t>사용</t>
        </is>
      </c>
      <c r="C1242" s="18">
        <f>IF(OR(B1242&lt;&gt;AK1242,M1242&lt;&gt;L1242,O1242&lt;&gt;"",Q1242&lt;&gt;"",V1242&lt;&gt;1,Y1242&lt;&gt;"",AT1242&lt;&gt;""),"수정","원본")</f>
        <v/>
      </c>
      <c r="D1242" s="18" t="n">
        <v>331</v>
      </c>
      <c r="E1242" s="18" t="inlineStr">
        <is>
          <t>선인왕</t>
        </is>
      </c>
      <c r="F1242" s="18" t="inlineStr">
        <is>
          <t>cacnea</t>
        </is>
      </c>
      <c r="G1242" s="18" t="inlineStr">
        <is>
          <t>cacnea</t>
        </is>
      </c>
      <c r="H1242" s="18" t="inlineStr"/>
      <c r="I1242" s="18" t="n">
        <v>3</v>
      </c>
      <c r="J1242" s="18" t="n"/>
      <c r="K1242" s="18" t="n">
        <v>3</v>
      </c>
      <c r="L1242" s="18" t="inlineStr">
        <is>
          <t>cobbleventure:generation_3</t>
        </is>
      </c>
      <c r="M1242" s="19" t="inlineStr">
        <is>
          <t>cobbleventure:generation_3</t>
        </is>
      </c>
      <c r="N1242" s="18" t="inlineStr">
        <is>
          <t>region_02</t>
        </is>
      </c>
      <c r="O1242" s="19" t="inlineStr"/>
      <c r="P1242" s="18" t="inlineStr">
        <is>
          <t>#cobblemon:is_badlands; #cobblemon:is_desert</t>
        </is>
      </c>
      <c r="Q1242" s="19" t="inlineStr"/>
      <c r="R1242" s="18">
        <f>IF(Q1242="",P1242,Q1242)</f>
        <v/>
      </c>
      <c r="S1242" s="18" t="inlineStr"/>
      <c r="T1242" s="18" t="inlineStr">
        <is>
          <t>common</t>
        </is>
      </c>
      <c r="U1242" s="20" t="n">
        <v>9</v>
      </c>
      <c r="V1242" s="21" t="n">
        <v>1</v>
      </c>
      <c r="W1242" s="20">
        <f>IF(OR(U1242="",V1242=""),U1242,U1242*V1242)</f>
        <v/>
      </c>
      <c r="X1242" s="18" t="inlineStr">
        <is>
          <t>9-34</t>
        </is>
      </c>
      <c r="Y1242" s="19" t="inlineStr"/>
      <c r="Z1242" s="18">
        <f>IF(Y1242="",X1242,Y1242)</f>
        <v/>
      </c>
      <c r="AA1242" s="18" t="inlineStr">
        <is>
          <t>grounded</t>
        </is>
      </c>
      <c r="AB1242" s="18" t="inlineStr"/>
      <c r="AC1242" s="18" t="inlineStr"/>
      <c r="AD1242" s="18" t="inlineStr"/>
      <c r="AE1242" s="18" t="inlineStr">
        <is>
          <t>sky 8-15</t>
        </is>
      </c>
      <c r="AF1242" s="18" t="inlineStr"/>
      <c r="AG1242" s="18" t="inlineStr"/>
      <c r="AH1242" s="18" t="inlineStr"/>
      <c r="AI1242" s="18" t="inlineStr"/>
      <c r="AJ1242" s="18" t="inlineStr">
        <is>
          <t>Cobblemon 동일</t>
        </is>
      </c>
      <c r="AK1242" s="18" t="inlineStr">
        <is>
          <t>사용</t>
        </is>
      </c>
      <c r="AL1242" s="18" t="inlineStr">
        <is>
          <t>COBBLEVERSE 1.7.42 / DP v31</t>
        </is>
      </c>
      <c r="AM1242" s="18" t="inlineStr">
        <is>
          <t>data/cobblemon/spawn_pool_world/0331_cacnea.json</t>
        </is>
      </c>
      <c r="AN1242" s="18" t="inlineStr">
        <is>
          <t>cacnea-1</t>
        </is>
      </c>
      <c r="AO1242" s="18" t="inlineStr">
        <is>
          <t>pokemon</t>
        </is>
      </c>
      <c r="AP1242" s="18" t="inlineStr">
        <is>
          <t>natural</t>
        </is>
      </c>
      <c r="AQ1242" s="18" t="inlineStr">
        <is>
          <t>{"biomes":["#cobblemon:is_badlands","#cobblemon:is_desert"],"maxSkyLight":15,"minSkyLight":8}</t>
        </is>
      </c>
      <c r="AR1242" s="18" t="inlineStr"/>
      <c r="AS1242" s="18" t="inlineStr">
        <is>
          <t>{"weightMultiplier":{"condition":{"timeRange":"night"},"multiplier":1.5}}</t>
        </is>
      </c>
      <c r="AT1242" s="19" t="inlineStr"/>
    </row>
    <row r="1243" ht="32" customHeight="1">
      <c r="A1243" s="18" t="inlineStr">
        <is>
          <t>0332_cacturne.json::cacturne-1::001</t>
        </is>
      </c>
      <c r="B1243" s="19" t="inlineStr">
        <is>
          <t>사용</t>
        </is>
      </c>
      <c r="C1243" s="18">
        <f>IF(OR(B1243&lt;&gt;AK1243,M1243&lt;&gt;L1243,O1243&lt;&gt;"",Q1243&lt;&gt;"",V1243&lt;&gt;1,Y1243&lt;&gt;"",AT1243&lt;&gt;""),"수정","원본")</f>
        <v/>
      </c>
      <c r="D1243" s="18" t="n">
        <v>332</v>
      </c>
      <c r="E1243" s="18" t="inlineStr">
        <is>
          <t>밤선인</t>
        </is>
      </c>
      <c r="F1243" s="18" t="inlineStr">
        <is>
          <t>cacturne</t>
        </is>
      </c>
      <c r="G1243" s="18" t="inlineStr">
        <is>
          <t>cacturne</t>
        </is>
      </c>
      <c r="H1243" s="18" t="inlineStr"/>
      <c r="I1243" s="18" t="n">
        <v>3</v>
      </c>
      <c r="J1243" s="18" t="n"/>
      <c r="K1243" s="18" t="n">
        <v>3</v>
      </c>
      <c r="L1243" s="18" t="inlineStr">
        <is>
          <t>cobbleventure:generation_3</t>
        </is>
      </c>
      <c r="M1243" s="19" t="inlineStr">
        <is>
          <t>cobbleventure:generation_3</t>
        </is>
      </c>
      <c r="N1243" s="18" t="inlineStr">
        <is>
          <t>region_02</t>
        </is>
      </c>
      <c r="O1243" s="19" t="inlineStr"/>
      <c r="P1243" s="18" t="inlineStr">
        <is>
          <t>#cobblemon:is_badlands; #cobblemon:is_desert</t>
        </is>
      </c>
      <c r="Q1243" s="19" t="inlineStr"/>
      <c r="R1243" s="18">
        <f>IF(Q1243="",P1243,Q1243)</f>
        <v/>
      </c>
      <c r="S1243" s="18" t="inlineStr"/>
      <c r="T1243" s="18" t="inlineStr">
        <is>
          <t>common</t>
        </is>
      </c>
      <c r="U1243" s="20" t="n">
        <v>1</v>
      </c>
      <c r="V1243" s="21" t="n">
        <v>1</v>
      </c>
      <c r="W1243" s="20">
        <f>IF(OR(U1243="",V1243=""),U1243,U1243*V1243)</f>
        <v/>
      </c>
      <c r="X1243" s="18" t="inlineStr">
        <is>
          <t>32-48</t>
        </is>
      </c>
      <c r="Y1243" s="19" t="inlineStr"/>
      <c r="Z1243" s="18">
        <f>IF(Y1243="",X1243,Y1243)</f>
        <v/>
      </c>
      <c r="AA1243" s="18" t="inlineStr">
        <is>
          <t>grounded</t>
        </is>
      </c>
      <c r="AB1243" s="18" t="inlineStr"/>
      <c r="AC1243" s="18" t="inlineStr"/>
      <c r="AD1243" s="18" t="inlineStr"/>
      <c r="AE1243" s="18" t="inlineStr">
        <is>
          <t>sky 8-15</t>
        </is>
      </c>
      <c r="AF1243" s="18" t="inlineStr"/>
      <c r="AG1243" s="18" t="inlineStr"/>
      <c r="AH1243" s="18" t="inlineStr"/>
      <c r="AI1243" s="18" t="inlineStr"/>
      <c r="AJ1243" s="18" t="inlineStr">
        <is>
          <t>Cobblemon 동일</t>
        </is>
      </c>
      <c r="AK1243" s="18" t="inlineStr">
        <is>
          <t>사용</t>
        </is>
      </c>
      <c r="AL1243" s="18" t="inlineStr">
        <is>
          <t>COBBLEVERSE 1.7.42 / DP v31</t>
        </is>
      </c>
      <c r="AM1243" s="18" t="inlineStr">
        <is>
          <t>data/cobblemon/spawn_pool_world/0332_cacturne.json</t>
        </is>
      </c>
      <c r="AN1243" s="18" t="inlineStr">
        <is>
          <t>cacturne-1</t>
        </is>
      </c>
      <c r="AO1243" s="18" t="inlineStr">
        <is>
          <t>pokemon</t>
        </is>
      </c>
      <c r="AP1243" s="18" t="inlineStr">
        <is>
          <t>natural</t>
        </is>
      </c>
      <c r="AQ1243" s="18" t="inlineStr">
        <is>
          <t>{"biomes":["#cobblemon:is_badlands","#cobblemon:is_desert"],"maxSkyLight":15,"minSkyLight":8}</t>
        </is>
      </c>
      <c r="AR1243" s="18" t="inlineStr"/>
      <c r="AS1243" s="18" t="inlineStr">
        <is>
          <t>{"weightMultiplier":{"condition":{"timeRange":"night"},"multiplier":1.5}}</t>
        </is>
      </c>
      <c r="AT1243" s="19" t="inlineStr"/>
    </row>
    <row r="1244" ht="32" customHeight="1">
      <c r="A1244" s="18" t="inlineStr">
        <is>
          <t>0333_swablu.json::swablu-1::001</t>
        </is>
      </c>
      <c r="B1244" s="19" t="inlineStr">
        <is>
          <t>사용</t>
        </is>
      </c>
      <c r="C1244" s="18">
        <f>IF(OR(B1244&lt;&gt;AK1244,M1244&lt;&gt;L1244,O1244&lt;&gt;"",Q1244&lt;&gt;"",V1244&lt;&gt;1,Y1244&lt;&gt;"",AT1244&lt;&gt;""),"수정","원본")</f>
        <v/>
      </c>
      <c r="D1244" s="18" t="n">
        <v>333</v>
      </c>
      <c r="E1244" s="18" t="inlineStr">
        <is>
          <t>파비코</t>
        </is>
      </c>
      <c r="F1244" s="18" t="inlineStr">
        <is>
          <t>swablu</t>
        </is>
      </c>
      <c r="G1244" s="18" t="inlineStr">
        <is>
          <t>swablu</t>
        </is>
      </c>
      <c r="H1244" s="18" t="inlineStr"/>
      <c r="I1244" s="18" t="n">
        <v>3</v>
      </c>
      <c r="J1244" s="18" t="n"/>
      <c r="K1244" s="18" t="n">
        <v>3</v>
      </c>
      <c r="L1244" s="18" t="inlineStr">
        <is>
          <t>cobbleventure:generation_3</t>
        </is>
      </c>
      <c r="M1244" s="19" t="inlineStr">
        <is>
          <t>cobbleventure:generation_3</t>
        </is>
      </c>
      <c r="N1244" s="18" t="inlineStr">
        <is>
          <t>region_01; region_02</t>
        </is>
      </c>
      <c r="O1244" s="19" t="inlineStr"/>
      <c r="P1244" s="18" t="inlineStr">
        <is>
          <t>#cobblemon:is_overworld</t>
        </is>
      </c>
      <c r="Q1244" s="19" t="inlineStr"/>
      <c r="R1244" s="18">
        <f>IF(Q1244="",P1244,Q1244)</f>
        <v/>
      </c>
      <c r="S1244" s="18" t="inlineStr">
        <is>
          <t>#cobblemon:is_peak; #cobblemon:is_sky; #cobblemon:is_freezing</t>
        </is>
      </c>
      <c r="T1244" s="18" t="inlineStr">
        <is>
          <t>uncommon</t>
        </is>
      </c>
      <c r="U1244" s="20" t="n">
        <v>8.4</v>
      </c>
      <c r="V1244" s="21" t="n">
        <v>1</v>
      </c>
      <c r="W1244" s="20">
        <f>IF(OR(U1244="",V1244=""),U1244,U1244*V1244)</f>
        <v/>
      </c>
      <c r="X1244" s="18" t="inlineStr">
        <is>
          <t>6-31</t>
        </is>
      </c>
      <c r="Y1244" s="19" t="inlineStr"/>
      <c r="Z1244" s="18">
        <f>IF(Y1244="",X1244,Y1244)</f>
        <v/>
      </c>
      <c r="AA1244" s="18" t="inlineStr">
        <is>
          <t>grounded</t>
        </is>
      </c>
      <c r="AB1244" s="18" t="inlineStr"/>
      <c r="AC1244" s="18" t="inlineStr">
        <is>
          <t>비=False</t>
        </is>
      </c>
      <c r="AD1244" s="18" t="inlineStr">
        <is>
          <t>minY=190</t>
        </is>
      </c>
      <c r="AE1244" s="18" t="inlineStr">
        <is>
          <t>sky 8-15</t>
        </is>
      </c>
      <c r="AF1244" s="18" t="inlineStr"/>
      <c r="AG1244" s="18" t="inlineStr"/>
      <c r="AH1244" s="18" t="inlineStr"/>
      <c r="AI1244" s="18" t="inlineStr"/>
      <c r="AJ1244" s="18" t="inlineStr">
        <is>
          <t>Cobblemon 동일</t>
        </is>
      </c>
      <c r="AK1244" s="18" t="inlineStr">
        <is>
          <t>사용</t>
        </is>
      </c>
      <c r="AL1244" s="18" t="inlineStr">
        <is>
          <t>COBBLEVERSE 1.7.42 / DP v31</t>
        </is>
      </c>
      <c r="AM1244" s="18" t="inlineStr">
        <is>
          <t>data/cobblemon/spawn_pool_world/0333_swablu.json</t>
        </is>
      </c>
      <c r="AN1244" s="18" t="inlineStr">
        <is>
          <t>swablu-1</t>
        </is>
      </c>
      <c r="AO1244" s="18" t="inlineStr">
        <is>
          <t>pokemon</t>
        </is>
      </c>
      <c r="AP1244" s="18" t="inlineStr">
        <is>
          <t>natural; treetop</t>
        </is>
      </c>
      <c r="AQ1244" s="18" t="inlineStr">
        <is>
          <t>{"biomes":["#cobblemon:is_overworld"],"isRaining":false,"maxSkyLight":15,"minSkyLight":8,"minY":190}</t>
        </is>
      </c>
      <c r="AR1244" s="18" t="inlineStr">
        <is>
          <t>{"biomes":["#cobblemon:is_peak","#cobblemon:is_sky","#cobblemon:is_freezing"]}</t>
        </is>
      </c>
      <c r="AS1244" s="18" t="inlineStr">
        <is>
          <t>{"weightMultiplier":{"condition":{"timeRange":"night"},"multiplier":0.25}}</t>
        </is>
      </c>
      <c r="AT1244" s="19" t="inlineStr"/>
    </row>
    <row r="1245" ht="32" customHeight="1">
      <c r="A1245" s="18" t="inlineStr">
        <is>
          <t>0333_swablu.json::swablu-2::002</t>
        </is>
      </c>
      <c r="B1245" s="19" t="inlineStr">
        <is>
          <t>사용</t>
        </is>
      </c>
      <c r="C1245" s="18">
        <f>IF(OR(B1245&lt;&gt;AK1245,M1245&lt;&gt;L1245,O1245&lt;&gt;"",Q1245&lt;&gt;"",V1245&lt;&gt;1,Y1245&lt;&gt;"",AT1245&lt;&gt;""),"수정","원본")</f>
        <v/>
      </c>
      <c r="D1245" s="18" t="n">
        <v>333</v>
      </c>
      <c r="E1245" s="18" t="inlineStr">
        <is>
          <t>파비코</t>
        </is>
      </c>
      <c r="F1245" s="18" t="inlineStr">
        <is>
          <t>swablu</t>
        </is>
      </c>
      <c r="G1245" s="18" t="inlineStr">
        <is>
          <t>swablu</t>
        </is>
      </c>
      <c r="H1245" s="18" t="inlineStr"/>
      <c r="I1245" s="18" t="n">
        <v>3</v>
      </c>
      <c r="J1245" s="18" t="n"/>
      <c r="K1245" s="18" t="n">
        <v>3</v>
      </c>
      <c r="L1245" s="18" t="inlineStr">
        <is>
          <t>cobbleventure:generation_3</t>
        </is>
      </c>
      <c r="M1245" s="19" t="inlineStr">
        <is>
          <t>cobbleventure:generation_3</t>
        </is>
      </c>
      <c r="N1245" s="18" t="inlineStr"/>
      <c r="O1245" s="19" t="inlineStr"/>
      <c r="P1245" s="18" t="inlineStr">
        <is>
          <t>#cobblemon:is_peak; #cobblemon:is_sky</t>
        </is>
      </c>
      <c r="Q1245" s="19" t="inlineStr"/>
      <c r="R1245" s="18">
        <f>IF(Q1245="",P1245,Q1245)</f>
        <v/>
      </c>
      <c r="S1245" s="18" t="inlineStr">
        <is>
          <t>#cobblemon:is_freezing; #cobblemon:is_volcanic</t>
        </is>
      </c>
      <c r="T1245" s="18" t="inlineStr">
        <is>
          <t>uncommon</t>
        </is>
      </c>
      <c r="U1245" s="20" t="n">
        <v>8.4</v>
      </c>
      <c r="V1245" s="21" t="n">
        <v>1</v>
      </c>
      <c r="W1245" s="20">
        <f>IF(OR(U1245="",V1245=""),U1245,U1245*V1245)</f>
        <v/>
      </c>
      <c r="X1245" s="18" t="inlineStr">
        <is>
          <t>6-31</t>
        </is>
      </c>
      <c r="Y1245" s="19" t="inlineStr"/>
      <c r="Z1245" s="18">
        <f>IF(Y1245="",X1245,Y1245)</f>
        <v/>
      </c>
      <c r="AA1245" s="18" t="inlineStr">
        <is>
          <t>grounded</t>
        </is>
      </c>
      <c r="AB1245" s="18" t="inlineStr"/>
      <c r="AC1245" s="18" t="inlineStr">
        <is>
          <t>비=False</t>
        </is>
      </c>
      <c r="AD1245" s="18" t="inlineStr"/>
      <c r="AE1245" s="18" t="inlineStr">
        <is>
          <t>sky 8-15</t>
        </is>
      </c>
      <c r="AF1245" s="18" t="inlineStr"/>
      <c r="AG1245" s="18" t="inlineStr"/>
      <c r="AH1245" s="18" t="inlineStr"/>
      <c r="AI1245" s="18" t="inlineStr"/>
      <c r="AJ1245" s="18" t="inlineStr">
        <is>
          <t>Cobblemon 동일</t>
        </is>
      </c>
      <c r="AK1245" s="18" t="inlineStr">
        <is>
          <t>사용</t>
        </is>
      </c>
      <c r="AL1245" s="18" t="inlineStr">
        <is>
          <t>COBBLEVERSE 1.7.42 / DP v31</t>
        </is>
      </c>
      <c r="AM1245" s="18" t="inlineStr">
        <is>
          <t>data/cobblemon/spawn_pool_world/0333_swablu.json</t>
        </is>
      </c>
      <c r="AN1245" s="18" t="inlineStr">
        <is>
          <t>swablu-2</t>
        </is>
      </c>
      <c r="AO1245" s="18" t="inlineStr">
        <is>
          <t>pokemon</t>
        </is>
      </c>
      <c r="AP1245" s="18" t="inlineStr">
        <is>
          <t>natural; treetop</t>
        </is>
      </c>
      <c r="AQ1245" s="18" t="inlineStr">
        <is>
          <t>{"biomes":["#cobblemon:is_peak","#cobblemon:is_sky"],"isRaining":false,"maxSkyLight":15,"minSkyLight":8}</t>
        </is>
      </c>
      <c r="AR1245" s="18" t="inlineStr">
        <is>
          <t>{"biomes":["#cobblemon:is_freezing","#cobblemon:is_volcanic"]}</t>
        </is>
      </c>
      <c r="AS1245" s="18" t="inlineStr">
        <is>
          <t>{"weightMultiplier":{"condition":{"timeRange":"night"},"multiplier":0.25}}</t>
        </is>
      </c>
      <c r="AT1245" s="19" t="inlineStr"/>
    </row>
    <row r="1246" ht="32" customHeight="1">
      <c r="A1246" s="18" t="inlineStr">
        <is>
          <t>0333_swablu.json::swablu-4::003</t>
        </is>
      </c>
      <c r="B1246" s="19" t="inlineStr">
        <is>
          <t>사용</t>
        </is>
      </c>
      <c r="C1246" s="18">
        <f>IF(OR(B1246&lt;&gt;AK1246,M1246&lt;&gt;L1246,O1246&lt;&gt;"",Q1246&lt;&gt;"",V1246&lt;&gt;1,Y1246&lt;&gt;"",AT1246&lt;&gt;""),"수정","원본")</f>
        <v/>
      </c>
      <c r="D1246" s="18" t="n">
        <v>333</v>
      </c>
      <c r="E1246" s="18" t="inlineStr">
        <is>
          <t>파비코</t>
        </is>
      </c>
      <c r="F1246" s="18" t="inlineStr">
        <is>
          <t>swablu</t>
        </is>
      </c>
      <c r="G1246" s="18" t="inlineStr">
        <is>
          <t>swablu</t>
        </is>
      </c>
      <c r="H1246" s="18" t="inlineStr"/>
      <c r="I1246" s="18" t="n">
        <v>3</v>
      </c>
      <c r="J1246" s="18" t="n"/>
      <c r="K1246" s="18" t="n">
        <v>3</v>
      </c>
      <c r="L1246" s="18" t="inlineStr">
        <is>
          <t>cobbleventure:generation_3</t>
        </is>
      </c>
      <c r="M1246" s="19" t="inlineStr">
        <is>
          <t>cobbleventure:generation_3</t>
        </is>
      </c>
      <c r="N1246" s="18" t="inlineStr"/>
      <c r="O1246" s="19" t="inlineStr"/>
      <c r="P1246" s="18" t="inlineStr">
        <is>
          <t>aether:skyroot_grove; aether:skyroot_meadow</t>
        </is>
      </c>
      <c r="Q1246" s="19" t="inlineStr"/>
      <c r="R1246" s="18">
        <f>IF(Q1246="",P1246,Q1246)</f>
        <v/>
      </c>
      <c r="S1246" s="18" t="inlineStr"/>
      <c r="T1246" s="18" t="inlineStr">
        <is>
          <t>common</t>
        </is>
      </c>
      <c r="U1246" s="20" t="n">
        <v>9</v>
      </c>
      <c r="V1246" s="21" t="n">
        <v>1</v>
      </c>
      <c r="W1246" s="20">
        <f>IF(OR(U1246="",V1246=""),U1246,U1246*V1246)</f>
        <v/>
      </c>
      <c r="X1246" s="18" t="inlineStr">
        <is>
          <t>6-31</t>
        </is>
      </c>
      <c r="Y1246" s="19" t="inlineStr"/>
      <c r="Z1246" s="18">
        <f>IF(Y1246="",X1246,Y1246)</f>
        <v/>
      </c>
      <c r="AA1246" s="18" t="inlineStr">
        <is>
          <t>grounded</t>
        </is>
      </c>
      <c r="AB1246" s="18" t="inlineStr"/>
      <c r="AC1246" s="18" t="inlineStr"/>
      <c r="AD1246" s="18" t="inlineStr"/>
      <c r="AE1246" s="18" t="inlineStr">
        <is>
          <t>sky 8-15</t>
        </is>
      </c>
      <c r="AF1246" s="18" t="inlineStr"/>
      <c r="AG1246" s="18" t="inlineStr"/>
      <c r="AH1246" s="18" t="inlineStr"/>
      <c r="AI1246" s="18" t="inlineStr"/>
      <c r="AJ1246" s="18" t="inlineStr">
        <is>
          <t>Cobblemon 동일</t>
        </is>
      </c>
      <c r="AK1246" s="18" t="inlineStr">
        <is>
          <t>사용</t>
        </is>
      </c>
      <c r="AL1246" s="18" t="inlineStr">
        <is>
          <t>COBBLEVERSE 1.7.42 / DP v31</t>
        </is>
      </c>
      <c r="AM1246" s="18" t="inlineStr">
        <is>
          <t>data/cobblemon/spawn_pool_world/0333_swablu.json</t>
        </is>
      </c>
      <c r="AN1246" s="18" t="inlineStr">
        <is>
          <t>swablu-4</t>
        </is>
      </c>
      <c r="AO1246" s="18" t="inlineStr">
        <is>
          <t>pokemon</t>
        </is>
      </c>
      <c r="AP1246" s="18" t="inlineStr">
        <is>
          <t>natural; treetop</t>
        </is>
      </c>
      <c r="AQ1246" s="18" t="inlineStr">
        <is>
          <t>{"biomes":["aether:skyroot_grove","aether:skyroot_meadow"],"maxSkyLight":15,"minSkyLight":8}</t>
        </is>
      </c>
      <c r="AR1246" s="18" t="inlineStr"/>
      <c r="AS1246" s="18" t="inlineStr"/>
      <c r="AT1246" s="19" t="inlineStr"/>
    </row>
    <row r="1247" ht="32" customHeight="1">
      <c r="A1247" s="18" t="inlineStr">
        <is>
          <t>0334_altaria.json::altaria-1::001</t>
        </is>
      </c>
      <c r="B1247" s="19" t="inlineStr">
        <is>
          <t>사용</t>
        </is>
      </c>
      <c r="C1247" s="18">
        <f>IF(OR(B1247&lt;&gt;AK1247,M1247&lt;&gt;L1247,O1247&lt;&gt;"",Q1247&lt;&gt;"",V1247&lt;&gt;1,Y1247&lt;&gt;"",AT1247&lt;&gt;""),"수정","원본")</f>
        <v/>
      </c>
      <c r="D1247" s="18" t="n">
        <v>334</v>
      </c>
      <c r="E1247" s="18" t="inlineStr">
        <is>
          <t>파비코리</t>
        </is>
      </c>
      <c r="F1247" s="18" t="inlineStr">
        <is>
          <t>altaria</t>
        </is>
      </c>
      <c r="G1247" s="18" t="inlineStr">
        <is>
          <t>altaria</t>
        </is>
      </c>
      <c r="H1247" s="18" t="inlineStr"/>
      <c r="I1247" s="18" t="n">
        <v>3</v>
      </c>
      <c r="J1247" s="18" t="n"/>
      <c r="K1247" s="18" t="n">
        <v>3</v>
      </c>
      <c r="L1247" s="18" t="inlineStr">
        <is>
          <t>cobbleventure:generation_3</t>
        </is>
      </c>
      <c r="M1247" s="19" t="inlineStr">
        <is>
          <t>cobbleventure:generation_3</t>
        </is>
      </c>
      <c r="N1247" s="18" t="inlineStr">
        <is>
          <t>region_01; region_02</t>
        </is>
      </c>
      <c r="O1247" s="19" t="inlineStr"/>
      <c r="P1247" s="18" t="inlineStr">
        <is>
          <t>#cobblemon:is_overworld</t>
        </is>
      </c>
      <c r="Q1247" s="19" t="inlineStr"/>
      <c r="R1247" s="18">
        <f>IF(Q1247="",P1247,Q1247)</f>
        <v/>
      </c>
      <c r="S1247" s="18" t="inlineStr">
        <is>
          <t>#cobblemon:is_peak; #cobblemon:is_sky; #cobblemon:is_freezing</t>
        </is>
      </c>
      <c r="T1247" s="18" t="inlineStr">
        <is>
          <t>uncommon</t>
        </is>
      </c>
      <c r="U1247" s="20" t="n">
        <v>1.6</v>
      </c>
      <c r="V1247" s="21" t="n">
        <v>1</v>
      </c>
      <c r="W1247" s="20">
        <f>IF(OR(U1247="",V1247=""),U1247,U1247*V1247)</f>
        <v/>
      </c>
      <c r="X1247" s="18" t="inlineStr">
        <is>
          <t>35-49</t>
        </is>
      </c>
      <c r="Y1247" s="19" t="inlineStr"/>
      <c r="Z1247" s="18">
        <f>IF(Y1247="",X1247,Y1247)</f>
        <v/>
      </c>
      <c r="AA1247" s="18" t="inlineStr">
        <is>
          <t>grounded</t>
        </is>
      </c>
      <c r="AB1247" s="18" t="inlineStr"/>
      <c r="AC1247" s="18" t="inlineStr">
        <is>
          <t>비=False</t>
        </is>
      </c>
      <c r="AD1247" s="18" t="inlineStr">
        <is>
          <t>minY=190</t>
        </is>
      </c>
      <c r="AE1247" s="18" t="inlineStr">
        <is>
          <t>sky 8-15</t>
        </is>
      </c>
      <c r="AF1247" s="18" t="inlineStr"/>
      <c r="AG1247" s="18" t="inlineStr"/>
      <c r="AH1247" s="18" t="inlineStr"/>
      <c r="AI1247" s="18" t="inlineStr"/>
      <c r="AJ1247" s="18" t="inlineStr">
        <is>
          <t>Cobblemon 동일</t>
        </is>
      </c>
      <c r="AK1247" s="18" t="inlineStr">
        <is>
          <t>사용</t>
        </is>
      </c>
      <c r="AL1247" s="18" t="inlineStr">
        <is>
          <t>COBBLEVERSE 1.7.42 / DP v31</t>
        </is>
      </c>
      <c r="AM1247" s="18" t="inlineStr">
        <is>
          <t>data/cobblemon/spawn_pool_world/0334_altaria.json</t>
        </is>
      </c>
      <c r="AN1247" s="18" t="inlineStr">
        <is>
          <t>altaria-1</t>
        </is>
      </c>
      <c r="AO1247" s="18" t="inlineStr">
        <is>
          <t>pokemon</t>
        </is>
      </c>
      <c r="AP1247" s="18" t="inlineStr">
        <is>
          <t>natural; treetop</t>
        </is>
      </c>
      <c r="AQ1247" s="18" t="inlineStr">
        <is>
          <t>{"biomes":["#cobblemon:is_overworld"],"isRaining":false,"maxSkyLight":15,"minSkyLight":8,"minY":190}</t>
        </is>
      </c>
      <c r="AR1247" s="18" t="inlineStr">
        <is>
          <t>{"biomes":["#cobblemon:is_peak","#cobblemon:is_sky","#cobblemon:is_freezing"]}</t>
        </is>
      </c>
      <c r="AS1247" s="18" t="inlineStr">
        <is>
          <t>{"weightMultiplier":{"condition":{"timeRange":"night"},"multiplier":0.25}}</t>
        </is>
      </c>
      <c r="AT1247" s="19" t="inlineStr"/>
    </row>
    <row r="1248" ht="32" customHeight="1">
      <c r="A1248" s="18" t="inlineStr">
        <is>
          <t>0334_altaria.json::altaria-2::002</t>
        </is>
      </c>
      <c r="B1248" s="19" t="inlineStr">
        <is>
          <t>사용</t>
        </is>
      </c>
      <c r="C1248" s="18">
        <f>IF(OR(B1248&lt;&gt;AK1248,M1248&lt;&gt;L1248,O1248&lt;&gt;"",Q1248&lt;&gt;"",V1248&lt;&gt;1,Y1248&lt;&gt;"",AT1248&lt;&gt;""),"수정","원본")</f>
        <v/>
      </c>
      <c r="D1248" s="18" t="n">
        <v>334</v>
      </c>
      <c r="E1248" s="18" t="inlineStr">
        <is>
          <t>파비코리</t>
        </is>
      </c>
      <c r="F1248" s="18" t="inlineStr">
        <is>
          <t>altaria</t>
        </is>
      </c>
      <c r="G1248" s="18" t="inlineStr">
        <is>
          <t>altaria</t>
        </is>
      </c>
      <c r="H1248" s="18" t="inlineStr"/>
      <c r="I1248" s="18" t="n">
        <v>3</v>
      </c>
      <c r="J1248" s="18" t="n"/>
      <c r="K1248" s="18" t="n">
        <v>3</v>
      </c>
      <c r="L1248" s="18" t="inlineStr">
        <is>
          <t>cobbleventure:generation_3</t>
        </is>
      </c>
      <c r="M1248" s="19" t="inlineStr">
        <is>
          <t>cobbleventure:generation_3</t>
        </is>
      </c>
      <c r="N1248" s="18" t="inlineStr"/>
      <c r="O1248" s="19" t="inlineStr"/>
      <c r="P1248" s="18" t="inlineStr">
        <is>
          <t>#cobblemon:is_peak; #cobblemon:is_sky</t>
        </is>
      </c>
      <c r="Q1248" s="19" t="inlineStr"/>
      <c r="R1248" s="18">
        <f>IF(Q1248="",P1248,Q1248)</f>
        <v/>
      </c>
      <c r="S1248" s="18" t="inlineStr">
        <is>
          <t>#cobblemon:is_freezing; #cobblemon:is_volcanic</t>
        </is>
      </c>
      <c r="T1248" s="18" t="inlineStr">
        <is>
          <t>uncommon</t>
        </is>
      </c>
      <c r="U1248" s="20" t="n">
        <v>1.6</v>
      </c>
      <c r="V1248" s="21" t="n">
        <v>1</v>
      </c>
      <c r="W1248" s="20">
        <f>IF(OR(U1248="",V1248=""),U1248,U1248*V1248)</f>
        <v/>
      </c>
      <c r="X1248" s="18" t="inlineStr">
        <is>
          <t>35-49</t>
        </is>
      </c>
      <c r="Y1248" s="19" t="inlineStr"/>
      <c r="Z1248" s="18">
        <f>IF(Y1248="",X1248,Y1248)</f>
        <v/>
      </c>
      <c r="AA1248" s="18" t="inlineStr">
        <is>
          <t>grounded</t>
        </is>
      </c>
      <c r="AB1248" s="18" t="inlineStr"/>
      <c r="AC1248" s="18" t="inlineStr">
        <is>
          <t>비=False</t>
        </is>
      </c>
      <c r="AD1248" s="18" t="inlineStr"/>
      <c r="AE1248" s="18" t="inlineStr">
        <is>
          <t>sky 8-15</t>
        </is>
      </c>
      <c r="AF1248" s="18" t="inlineStr"/>
      <c r="AG1248" s="18" t="inlineStr"/>
      <c r="AH1248" s="18" t="inlineStr"/>
      <c r="AI1248" s="18" t="inlineStr"/>
      <c r="AJ1248" s="18" t="inlineStr">
        <is>
          <t>Cobblemon 동일</t>
        </is>
      </c>
      <c r="AK1248" s="18" t="inlineStr">
        <is>
          <t>사용</t>
        </is>
      </c>
      <c r="AL1248" s="18" t="inlineStr">
        <is>
          <t>COBBLEVERSE 1.7.42 / DP v31</t>
        </is>
      </c>
      <c r="AM1248" s="18" t="inlineStr">
        <is>
          <t>data/cobblemon/spawn_pool_world/0334_altaria.json</t>
        </is>
      </c>
      <c r="AN1248" s="18" t="inlineStr">
        <is>
          <t>altaria-2</t>
        </is>
      </c>
      <c r="AO1248" s="18" t="inlineStr">
        <is>
          <t>pokemon</t>
        </is>
      </c>
      <c r="AP1248" s="18" t="inlineStr">
        <is>
          <t>natural; treetop</t>
        </is>
      </c>
      <c r="AQ1248" s="18" t="inlineStr">
        <is>
          <t>{"biomes":["#cobblemon:is_peak","#cobblemon:is_sky"],"isRaining":false,"maxSkyLight":15,"minSkyLight":8}</t>
        </is>
      </c>
      <c r="AR1248" s="18" t="inlineStr">
        <is>
          <t>{"biomes":["#cobblemon:is_freezing","#cobblemon:is_volcanic"]}</t>
        </is>
      </c>
      <c r="AS1248" s="18" t="inlineStr">
        <is>
          <t>{"weightMultiplier":{"condition":{"timeRange":"night"},"multiplier":0.25}}</t>
        </is>
      </c>
      <c r="AT1248" s="19" t="inlineStr"/>
    </row>
    <row r="1249" ht="32" customHeight="1">
      <c r="A1249" s="18" t="inlineStr">
        <is>
          <t>0334_altaria.json::altaria-4::003</t>
        </is>
      </c>
      <c r="B1249" s="19" t="inlineStr">
        <is>
          <t>사용</t>
        </is>
      </c>
      <c r="C1249" s="18">
        <f>IF(OR(B1249&lt;&gt;AK1249,M1249&lt;&gt;L1249,O1249&lt;&gt;"",Q1249&lt;&gt;"",V1249&lt;&gt;1,Y1249&lt;&gt;"",AT1249&lt;&gt;""),"수정","원본")</f>
        <v/>
      </c>
      <c r="D1249" s="18" t="n">
        <v>334</v>
      </c>
      <c r="E1249" s="18" t="inlineStr">
        <is>
          <t>파비코리</t>
        </is>
      </c>
      <c r="F1249" s="18" t="inlineStr">
        <is>
          <t>altaria</t>
        </is>
      </c>
      <c r="G1249" s="18" t="inlineStr">
        <is>
          <t>altaria</t>
        </is>
      </c>
      <c r="H1249" s="18" t="inlineStr"/>
      <c r="I1249" s="18" t="n">
        <v>3</v>
      </c>
      <c r="J1249" s="18" t="n"/>
      <c r="K1249" s="18" t="n">
        <v>3</v>
      </c>
      <c r="L1249" s="18" t="inlineStr">
        <is>
          <t>cobbleventure:generation_3</t>
        </is>
      </c>
      <c r="M1249" s="19" t="inlineStr">
        <is>
          <t>cobbleventure:generation_3</t>
        </is>
      </c>
      <c r="N1249" s="18" t="inlineStr"/>
      <c r="O1249" s="19" t="inlineStr"/>
      <c r="P1249" s="18" t="inlineStr">
        <is>
          <t>aether:skyroot_grove; aether:skyroot_meadow</t>
        </is>
      </c>
      <c r="Q1249" s="19" t="inlineStr"/>
      <c r="R1249" s="18">
        <f>IF(Q1249="",P1249,Q1249)</f>
        <v/>
      </c>
      <c r="S1249" s="18" t="inlineStr"/>
      <c r="T1249" s="18" t="inlineStr">
        <is>
          <t>common</t>
        </is>
      </c>
      <c r="U1249" s="20" t="n">
        <v>1</v>
      </c>
      <c r="V1249" s="21" t="n">
        <v>1</v>
      </c>
      <c r="W1249" s="20">
        <f>IF(OR(U1249="",V1249=""),U1249,U1249*V1249)</f>
        <v/>
      </c>
      <c r="X1249" s="18" t="inlineStr">
        <is>
          <t>35-49</t>
        </is>
      </c>
      <c r="Y1249" s="19" t="inlineStr"/>
      <c r="Z1249" s="18">
        <f>IF(Y1249="",X1249,Y1249)</f>
        <v/>
      </c>
      <c r="AA1249" s="18" t="inlineStr">
        <is>
          <t>grounded</t>
        </is>
      </c>
      <c r="AB1249" s="18" t="inlineStr"/>
      <c r="AC1249" s="18" t="inlineStr"/>
      <c r="AD1249" s="18" t="inlineStr"/>
      <c r="AE1249" s="18" t="inlineStr">
        <is>
          <t>sky 8-15</t>
        </is>
      </c>
      <c r="AF1249" s="18" t="inlineStr"/>
      <c r="AG1249" s="18" t="inlineStr"/>
      <c r="AH1249" s="18" t="inlineStr"/>
      <c r="AI1249" s="18" t="inlineStr"/>
      <c r="AJ1249" s="18" t="inlineStr">
        <is>
          <t>Cobblemon 동일</t>
        </is>
      </c>
      <c r="AK1249" s="18" t="inlineStr">
        <is>
          <t>사용</t>
        </is>
      </c>
      <c r="AL1249" s="18" t="inlineStr">
        <is>
          <t>COBBLEVERSE 1.7.42 / DP v31</t>
        </is>
      </c>
      <c r="AM1249" s="18" t="inlineStr">
        <is>
          <t>data/cobblemon/spawn_pool_world/0334_altaria.json</t>
        </is>
      </c>
      <c r="AN1249" s="18" t="inlineStr">
        <is>
          <t>altaria-4</t>
        </is>
      </c>
      <c r="AO1249" s="18" t="inlineStr">
        <is>
          <t>pokemon</t>
        </is>
      </c>
      <c r="AP1249" s="18" t="inlineStr">
        <is>
          <t>natural; treetop</t>
        </is>
      </c>
      <c r="AQ1249" s="18" t="inlineStr">
        <is>
          <t>{"biomes":["aether:skyroot_grove","aether:skyroot_meadow"],"maxSkyLight":15,"minSkyLight":8}</t>
        </is>
      </c>
      <c r="AR1249" s="18" t="inlineStr"/>
      <c r="AS1249" s="18" t="inlineStr"/>
      <c r="AT1249" s="19" t="inlineStr"/>
    </row>
    <row r="1250" ht="32" customHeight="1">
      <c r="A1250" s="18" t="inlineStr">
        <is>
          <t>0335_zangoose.json::zangoose-1::001</t>
        </is>
      </c>
      <c r="B1250" s="19" t="inlineStr">
        <is>
          <t>사용</t>
        </is>
      </c>
      <c r="C1250" s="18">
        <f>IF(OR(B1250&lt;&gt;AK1250,M1250&lt;&gt;L1250,O1250&lt;&gt;"",Q1250&lt;&gt;"",V1250&lt;&gt;1,Y1250&lt;&gt;"",AT1250&lt;&gt;""),"수정","원본")</f>
        <v/>
      </c>
      <c r="D1250" s="18" t="n">
        <v>335</v>
      </c>
      <c r="E1250" s="18" t="inlineStr">
        <is>
          <t>쟝고</t>
        </is>
      </c>
      <c r="F1250" s="18" t="inlineStr">
        <is>
          <t>zangoose</t>
        </is>
      </c>
      <c r="G1250" s="18" t="inlineStr">
        <is>
          <t>zangoose</t>
        </is>
      </c>
      <c r="H1250" s="18" t="inlineStr"/>
      <c r="I1250" s="18" t="n">
        <v>3</v>
      </c>
      <c r="J1250" s="18" t="n"/>
      <c r="K1250" s="18" t="n">
        <v>3</v>
      </c>
      <c r="L1250" s="18" t="inlineStr">
        <is>
          <t>cobbleventure:generation_3</t>
        </is>
      </c>
      <c r="M1250" s="19" t="inlineStr">
        <is>
          <t>cobbleventure:generation_3</t>
        </is>
      </c>
      <c r="N1250" s="18" t="inlineStr">
        <is>
          <t>region_01</t>
        </is>
      </c>
      <c r="O1250" s="19" t="inlineStr"/>
      <c r="P1250" s="18" t="inlineStr">
        <is>
          <t>#cobblemon:is_plains</t>
        </is>
      </c>
      <c r="Q1250" s="19" t="inlineStr"/>
      <c r="R1250" s="18">
        <f>IF(Q1250="",P1250,Q1250)</f>
        <v/>
      </c>
      <c r="S1250" s="18" t="inlineStr"/>
      <c r="T1250" s="18" t="inlineStr">
        <is>
          <t>uncommon</t>
        </is>
      </c>
      <c r="U1250" s="20" t="n">
        <v>2</v>
      </c>
      <c r="V1250" s="21" t="n">
        <v>1</v>
      </c>
      <c r="W1250" s="20">
        <f>IF(OR(U1250="",V1250=""),U1250,U1250*V1250)</f>
        <v/>
      </c>
      <c r="X1250" s="18" t="inlineStr">
        <is>
          <t>25-58</t>
        </is>
      </c>
      <c r="Y1250" s="19" t="inlineStr"/>
      <c r="Z1250" s="18">
        <f>IF(Y1250="",X1250,Y1250)</f>
        <v/>
      </c>
      <c r="AA1250" s="18" t="inlineStr">
        <is>
          <t>grounded</t>
        </is>
      </c>
      <c r="AB1250" s="18" t="inlineStr"/>
      <c r="AC1250" s="18" t="inlineStr"/>
      <c r="AD1250" s="18" t="inlineStr"/>
      <c r="AE1250" s="18" t="inlineStr">
        <is>
          <t>sky 8-15</t>
        </is>
      </c>
      <c r="AF1250" s="18" t="inlineStr"/>
      <c r="AG1250" s="18" t="inlineStr"/>
      <c r="AH1250" s="18" t="inlineStr"/>
      <c r="AI1250" s="18" t="inlineStr"/>
      <c r="AJ1250" s="18" t="inlineStr">
        <is>
          <t>COBBLEVERSE 추가</t>
        </is>
      </c>
      <c r="AK1250" s="18" t="inlineStr">
        <is>
          <t>사용</t>
        </is>
      </c>
      <c r="AL1250" s="18" t="inlineStr">
        <is>
          <t>COBBLEVERSE 1.7.42 / DP v31</t>
        </is>
      </c>
      <c r="AM1250" s="18" t="inlineStr">
        <is>
          <t>data/cobblemon/spawn_pool_world/0335_zangoose.json</t>
        </is>
      </c>
      <c r="AN1250" s="18" t="inlineStr">
        <is>
          <t>zangoose-1</t>
        </is>
      </c>
      <c r="AO1250" s="18" t="inlineStr">
        <is>
          <t>pokemon</t>
        </is>
      </c>
      <c r="AP1250" s="18" t="inlineStr">
        <is>
          <t>natural</t>
        </is>
      </c>
      <c r="AQ1250" s="18" t="inlineStr">
        <is>
          <t>{"biomes":["#cobblemon:is_plains"],"maxSkyLight":15,"minSkyLight":8}</t>
        </is>
      </c>
      <c r="AR1250" s="18" t="inlineStr"/>
      <c r="AS1250" s="18" t="inlineStr"/>
      <c r="AT1250" s="19" t="inlineStr"/>
    </row>
    <row r="1251" ht="32" customHeight="1">
      <c r="A1251" s="18" t="inlineStr">
        <is>
          <t>0336_seviper.json::seviper-1::001</t>
        </is>
      </c>
      <c r="B1251" s="19" t="inlineStr">
        <is>
          <t>사용</t>
        </is>
      </c>
      <c r="C1251" s="18">
        <f>IF(OR(B1251&lt;&gt;AK1251,M1251&lt;&gt;L1251,O1251&lt;&gt;"",Q1251&lt;&gt;"",V1251&lt;&gt;1,Y1251&lt;&gt;"",AT1251&lt;&gt;""),"수정","원본")</f>
        <v/>
      </c>
      <c r="D1251" s="18" t="n">
        <v>336</v>
      </c>
      <c r="E1251" s="18" t="inlineStr">
        <is>
          <t>세비퍼</t>
        </is>
      </c>
      <c r="F1251" s="18" t="inlineStr">
        <is>
          <t>seviper</t>
        </is>
      </c>
      <c r="G1251" s="18" t="inlineStr">
        <is>
          <t>seviper</t>
        </is>
      </c>
      <c r="H1251" s="18" t="inlineStr"/>
      <c r="I1251" s="18" t="n">
        <v>3</v>
      </c>
      <c r="J1251" s="18" t="n"/>
      <c r="K1251" s="18" t="n">
        <v>3</v>
      </c>
      <c r="L1251" s="18" t="inlineStr">
        <is>
          <t>cobbleventure:generation_3</t>
        </is>
      </c>
      <c r="M1251" s="19" t="inlineStr">
        <is>
          <t>cobbleventure:generation_3</t>
        </is>
      </c>
      <c r="N1251" s="18" t="inlineStr">
        <is>
          <t>region_02</t>
        </is>
      </c>
      <c r="O1251" s="19" t="inlineStr"/>
      <c r="P1251" s="18" t="inlineStr">
        <is>
          <t>#cobblemon:is_desert</t>
        </is>
      </c>
      <c r="Q1251" s="19" t="inlineStr"/>
      <c r="R1251" s="18">
        <f>IF(Q1251="",P1251,Q1251)</f>
        <v/>
      </c>
      <c r="S1251" s="18" t="inlineStr"/>
      <c r="T1251" s="18" t="inlineStr">
        <is>
          <t>uncommon</t>
        </is>
      </c>
      <c r="U1251" s="20" t="n">
        <v>2</v>
      </c>
      <c r="V1251" s="21" t="n">
        <v>1</v>
      </c>
      <c r="W1251" s="20">
        <f>IF(OR(U1251="",V1251=""),U1251,U1251*V1251)</f>
        <v/>
      </c>
      <c r="X1251" s="18" t="inlineStr">
        <is>
          <t>25-58</t>
        </is>
      </c>
      <c r="Y1251" s="19" t="inlineStr"/>
      <c r="Z1251" s="18">
        <f>IF(Y1251="",X1251,Y1251)</f>
        <v/>
      </c>
      <c r="AA1251" s="18" t="inlineStr">
        <is>
          <t>grounded</t>
        </is>
      </c>
      <c r="AB1251" s="18" t="inlineStr"/>
      <c r="AC1251" s="18" t="inlineStr"/>
      <c r="AD1251" s="18" t="inlineStr"/>
      <c r="AE1251" s="18" t="inlineStr">
        <is>
          <t>sky 8-15</t>
        </is>
      </c>
      <c r="AF1251" s="18" t="inlineStr"/>
      <c r="AG1251" s="18" t="inlineStr"/>
      <c r="AH1251" s="18" t="inlineStr"/>
      <c r="AI1251" s="18" t="inlineStr"/>
      <c r="AJ1251" s="18" t="inlineStr">
        <is>
          <t>COBBLEVERSE 추가</t>
        </is>
      </c>
      <c r="AK1251" s="18" t="inlineStr">
        <is>
          <t>사용</t>
        </is>
      </c>
      <c r="AL1251" s="18" t="inlineStr">
        <is>
          <t>COBBLEVERSE 1.7.42 / DP v31</t>
        </is>
      </c>
      <c r="AM1251" s="18" t="inlineStr">
        <is>
          <t>data/cobblemon/spawn_pool_world/0336_seviper.json</t>
        </is>
      </c>
      <c r="AN1251" s="18" t="inlineStr">
        <is>
          <t>seviper-1</t>
        </is>
      </c>
      <c r="AO1251" s="18" t="inlineStr">
        <is>
          <t>pokemon</t>
        </is>
      </c>
      <c r="AP1251" s="18" t="inlineStr">
        <is>
          <t>natural</t>
        </is>
      </c>
      <c r="AQ1251" s="18" t="inlineStr">
        <is>
          <t>{"biomes":["#cobblemon:is_desert"],"maxSkyLight":15,"minSkyLight":8}</t>
        </is>
      </c>
      <c r="AR1251" s="18" t="inlineStr"/>
      <c r="AS1251" s="18" t="inlineStr"/>
      <c r="AT1251" s="19" t="inlineStr"/>
    </row>
    <row r="1252" ht="32" customHeight="1">
      <c r="A1252" s="18" t="inlineStr">
        <is>
          <t>0337_lunatone.json::lunatone-1::001</t>
        </is>
      </c>
      <c r="B1252" s="19" t="inlineStr">
        <is>
          <t>사용</t>
        </is>
      </c>
      <c r="C1252" s="18">
        <f>IF(OR(B1252&lt;&gt;AK1252,M1252&lt;&gt;L1252,O1252&lt;&gt;"",Q1252&lt;&gt;"",V1252&lt;&gt;1,Y1252&lt;&gt;"",AT1252&lt;&gt;""),"수정","원본")</f>
        <v/>
      </c>
      <c r="D1252" s="18" t="n">
        <v>337</v>
      </c>
      <c r="E1252" s="18" t="inlineStr">
        <is>
          <t>루나톤</t>
        </is>
      </c>
      <c r="F1252" s="18" t="inlineStr">
        <is>
          <t>lunatone</t>
        </is>
      </c>
      <c r="G1252" s="18" t="inlineStr">
        <is>
          <t>lunatone</t>
        </is>
      </c>
      <c r="H1252" s="18" t="inlineStr"/>
      <c r="I1252" s="18" t="n">
        <v>3</v>
      </c>
      <c r="J1252" s="18" t="n"/>
      <c r="K1252" s="18" t="n">
        <v>3</v>
      </c>
      <c r="L1252" s="18" t="inlineStr">
        <is>
          <t>cobbleventure:generation_3</t>
        </is>
      </c>
      <c r="M1252" s="19" t="inlineStr">
        <is>
          <t>cobbleventure:generation_3</t>
        </is>
      </c>
      <c r="N1252" s="18" t="inlineStr"/>
      <c r="O1252" s="19" t="inlineStr"/>
      <c r="P1252" s="18" t="inlineStr">
        <is>
          <t>#cobblemon:is_dripstone</t>
        </is>
      </c>
      <c r="Q1252" s="19" t="inlineStr"/>
      <c r="R1252" s="18">
        <f>IF(Q1252="",P1252,Q1252)</f>
        <v/>
      </c>
      <c r="S1252" s="18" t="inlineStr"/>
      <c r="T1252" s="18" t="inlineStr">
        <is>
          <t>uncommon</t>
        </is>
      </c>
      <c r="U1252" s="20" t="n">
        <v>10</v>
      </c>
      <c r="V1252" s="21" t="n">
        <v>1</v>
      </c>
      <c r="W1252" s="20">
        <f>IF(OR(U1252="",V1252=""),U1252,U1252*V1252)</f>
        <v/>
      </c>
      <c r="X1252" s="18" t="inlineStr">
        <is>
          <t>21-46</t>
        </is>
      </c>
      <c r="Y1252" s="19" t="inlineStr"/>
      <c r="Z1252" s="18">
        <f>IF(Y1252="",X1252,Y1252)</f>
        <v/>
      </c>
      <c r="AA1252" s="18" t="inlineStr">
        <is>
          <t>grounded</t>
        </is>
      </c>
      <c r="AB1252" s="18" t="inlineStr">
        <is>
          <t>night</t>
        </is>
      </c>
      <c r="AC1252" s="18" t="inlineStr"/>
      <c r="AD1252" s="18" t="inlineStr"/>
      <c r="AE1252" s="18" t="inlineStr">
        <is>
          <t>sky 8-15</t>
        </is>
      </c>
      <c r="AF1252" s="18" t="inlineStr"/>
      <c r="AG1252" s="18" t="inlineStr"/>
      <c r="AH1252" s="18" t="inlineStr"/>
      <c r="AI1252" s="18" t="inlineStr"/>
      <c r="AJ1252" s="18" t="inlineStr">
        <is>
          <t>Cobblemon 동일</t>
        </is>
      </c>
      <c r="AK1252" s="18" t="inlineStr">
        <is>
          <t>사용</t>
        </is>
      </c>
      <c r="AL1252" s="18" t="inlineStr">
        <is>
          <t>COBBLEVERSE 1.7.42 / DP v31</t>
        </is>
      </c>
      <c r="AM1252" s="18" t="inlineStr">
        <is>
          <t>data/cobblemon/spawn_pool_world/0337_lunatone.json</t>
        </is>
      </c>
      <c r="AN1252" s="18" t="inlineStr">
        <is>
          <t>lunatone-1</t>
        </is>
      </c>
      <c r="AO1252" s="18" t="inlineStr">
        <is>
          <t>pokemon</t>
        </is>
      </c>
      <c r="AP1252" s="18" t="inlineStr">
        <is>
          <t>natural</t>
        </is>
      </c>
      <c r="AQ1252" s="18" t="inlineStr">
        <is>
          <t>{"biomes":["#cobblemon:is_dripstone"],"maxSkyLight":15,"minSkyLight":8,"timeRange":"night"}</t>
        </is>
      </c>
      <c r="AR1252" s="18" t="inlineStr"/>
      <c r="AS1252" s="18" t="inlineStr">
        <is>
          <t>{"weightMultiplier":{"condition":{"moonPhase":0},"multiplier":5.0}}</t>
        </is>
      </c>
      <c r="AT1252" s="19" t="inlineStr"/>
    </row>
    <row r="1253" ht="32" customHeight="1">
      <c r="A1253" s="18" t="inlineStr">
        <is>
          <t>0337_lunatone.json::lunatone-2::002</t>
        </is>
      </c>
      <c r="B1253" s="19" t="inlineStr">
        <is>
          <t>사용</t>
        </is>
      </c>
      <c r="C1253" s="18">
        <f>IF(OR(B1253&lt;&gt;AK1253,M1253&lt;&gt;L1253,O1253&lt;&gt;"",Q1253&lt;&gt;"",V1253&lt;&gt;1,Y1253&lt;&gt;"",AT1253&lt;&gt;""),"수정","원본")</f>
        <v/>
      </c>
      <c r="D1253" s="18" t="n">
        <v>337</v>
      </c>
      <c r="E1253" s="18" t="inlineStr">
        <is>
          <t>루나톤</t>
        </is>
      </c>
      <c r="F1253" s="18" t="inlineStr">
        <is>
          <t>lunatone</t>
        </is>
      </c>
      <c r="G1253" s="18" t="inlineStr">
        <is>
          <t>lunatone</t>
        </is>
      </c>
      <c r="H1253" s="18" t="inlineStr"/>
      <c r="I1253" s="18" t="n">
        <v>3</v>
      </c>
      <c r="J1253" s="18" t="n"/>
      <c r="K1253" s="18" t="n">
        <v>3</v>
      </c>
      <c r="L1253" s="18" t="inlineStr">
        <is>
          <t>cobbleventure:generation_3</t>
        </is>
      </c>
      <c r="M1253" s="19" t="inlineStr">
        <is>
          <t>cobbleventure:generation_3</t>
        </is>
      </c>
      <c r="N1253" s="18" t="inlineStr"/>
      <c r="O1253" s="19" t="inlineStr"/>
      <c r="P1253" s="18" t="inlineStr">
        <is>
          <t>#cobblemon:is_dripstone</t>
        </is>
      </c>
      <c r="Q1253" s="19" t="inlineStr"/>
      <c r="R1253" s="18">
        <f>IF(Q1253="",P1253,Q1253)</f>
        <v/>
      </c>
      <c r="S1253" s="18" t="inlineStr"/>
      <c r="T1253" s="18" t="inlineStr">
        <is>
          <t>common</t>
        </is>
      </c>
      <c r="U1253" s="20" t="n">
        <v>10</v>
      </c>
      <c r="V1253" s="21" t="n">
        <v>1</v>
      </c>
      <c r="W1253" s="20">
        <f>IF(OR(U1253="",V1253=""),U1253,U1253*V1253)</f>
        <v/>
      </c>
      <c r="X1253" s="18" t="inlineStr">
        <is>
          <t>21-46</t>
        </is>
      </c>
      <c r="Y1253" s="19" t="inlineStr"/>
      <c r="Z1253" s="18">
        <f>IF(Y1253="",X1253,Y1253)</f>
        <v/>
      </c>
      <c r="AA1253" s="18" t="inlineStr">
        <is>
          <t>grounded</t>
        </is>
      </c>
      <c r="AB1253" s="18" t="inlineStr"/>
      <c r="AC1253" s="18" t="inlineStr"/>
      <c r="AD1253" s="18" t="inlineStr"/>
      <c r="AE1253" s="18" t="inlineStr">
        <is>
          <t>sky 0-7</t>
        </is>
      </c>
      <c r="AF1253" s="18" t="inlineStr"/>
      <c r="AG1253" s="18" t="inlineStr"/>
      <c r="AH1253" s="18" t="inlineStr"/>
      <c r="AI1253" s="18" t="inlineStr"/>
      <c r="AJ1253" s="18" t="inlineStr">
        <is>
          <t>Cobblemon 동일</t>
        </is>
      </c>
      <c r="AK1253" s="18" t="inlineStr">
        <is>
          <t>사용</t>
        </is>
      </c>
      <c r="AL1253" s="18" t="inlineStr">
        <is>
          <t>COBBLEVERSE 1.7.42 / DP v31</t>
        </is>
      </c>
      <c r="AM1253" s="18" t="inlineStr">
        <is>
          <t>data/cobblemon/spawn_pool_world/0337_lunatone.json</t>
        </is>
      </c>
      <c r="AN1253" s="18" t="inlineStr">
        <is>
          <t>lunatone-2</t>
        </is>
      </c>
      <c r="AO1253" s="18" t="inlineStr">
        <is>
          <t>pokemon</t>
        </is>
      </c>
      <c r="AP1253" s="18" t="inlineStr">
        <is>
          <t>natural</t>
        </is>
      </c>
      <c r="AQ1253" s="18" t="inlineStr">
        <is>
          <t>{"biomes":["#cobblemon:is_dripstone"],"maxSkyLight":7,"minSkyLight":0}</t>
        </is>
      </c>
      <c r="AR1253" s="18" t="inlineStr"/>
      <c r="AS1253" s="18" t="inlineStr">
        <is>
          <t>{"weightMultiplier":{"condition":{"timeRange":"night"},"multiplier":0.25}}</t>
        </is>
      </c>
      <c r="AT1253" s="19" t="inlineStr"/>
    </row>
    <row r="1254" ht="32" customHeight="1">
      <c r="A1254" s="18" t="inlineStr">
        <is>
          <t>0337_lunatone.json::lunatone-3::003</t>
        </is>
      </c>
      <c r="B1254" s="19" t="inlineStr">
        <is>
          <t>사용</t>
        </is>
      </c>
      <c r="C1254" s="18">
        <f>IF(OR(B1254&lt;&gt;AK1254,M1254&lt;&gt;L1254,O1254&lt;&gt;"",Q1254&lt;&gt;"",V1254&lt;&gt;1,Y1254&lt;&gt;"",AT1254&lt;&gt;""),"수정","원본")</f>
        <v/>
      </c>
      <c r="D1254" s="18" t="n">
        <v>337</v>
      </c>
      <c r="E1254" s="18" t="inlineStr">
        <is>
          <t>루나톤</t>
        </is>
      </c>
      <c r="F1254" s="18" t="inlineStr">
        <is>
          <t>lunatone</t>
        </is>
      </c>
      <c r="G1254" s="18" t="inlineStr">
        <is>
          <t>lunatone</t>
        </is>
      </c>
      <c r="H1254" s="18" t="inlineStr"/>
      <c r="I1254" s="18" t="n">
        <v>3</v>
      </c>
      <c r="J1254" s="18" t="n"/>
      <c r="K1254" s="18" t="n">
        <v>3</v>
      </c>
      <c r="L1254" s="18" t="inlineStr">
        <is>
          <t>cobbleventure:generation_3</t>
        </is>
      </c>
      <c r="M1254" s="19" t="inlineStr">
        <is>
          <t>cobbleventure:generation_3</t>
        </is>
      </c>
      <c r="N1254" s="18" t="inlineStr"/>
      <c r="O1254" s="19" t="inlineStr"/>
      <c r="P1254" s="18" t="inlineStr">
        <is>
          <t>#cobblemon:is_mountain</t>
        </is>
      </c>
      <c r="Q1254" s="19" t="inlineStr"/>
      <c r="R1254" s="18">
        <f>IF(Q1254="",P1254,Q1254)</f>
        <v/>
      </c>
      <c r="S1254" s="18" t="inlineStr"/>
      <c r="T1254" s="18" t="inlineStr">
        <is>
          <t>uncommon</t>
        </is>
      </c>
      <c r="U1254" s="20" t="n">
        <v>2</v>
      </c>
      <c r="V1254" s="21" t="n">
        <v>1</v>
      </c>
      <c r="W1254" s="20">
        <f>IF(OR(U1254="",V1254=""),U1254,U1254*V1254)</f>
        <v/>
      </c>
      <c r="X1254" s="18" t="inlineStr">
        <is>
          <t>21-46</t>
        </is>
      </c>
      <c r="Y1254" s="19" t="inlineStr"/>
      <c r="Z1254" s="18">
        <f>IF(Y1254="",X1254,Y1254)</f>
        <v/>
      </c>
      <c r="AA1254" s="18" t="inlineStr">
        <is>
          <t>grounded</t>
        </is>
      </c>
      <c r="AB1254" s="18" t="inlineStr">
        <is>
          <t>night</t>
        </is>
      </c>
      <c r="AC1254" s="18" t="inlineStr"/>
      <c r="AD1254" s="18" t="inlineStr"/>
      <c r="AE1254" s="18" t="inlineStr">
        <is>
          <t>sky 8-15</t>
        </is>
      </c>
      <c r="AF1254" s="18" t="inlineStr"/>
      <c r="AG1254" s="18" t="inlineStr"/>
      <c r="AH1254" s="18" t="inlineStr"/>
      <c r="AI1254" s="18" t="inlineStr"/>
      <c r="AJ1254" s="18" t="inlineStr">
        <is>
          <t>Cobblemon 동일</t>
        </is>
      </c>
      <c r="AK1254" s="18" t="inlineStr">
        <is>
          <t>사용</t>
        </is>
      </c>
      <c r="AL1254" s="18" t="inlineStr">
        <is>
          <t>COBBLEVERSE 1.7.42 / DP v31</t>
        </is>
      </c>
      <c r="AM1254" s="18" t="inlineStr">
        <is>
          <t>data/cobblemon/spawn_pool_world/0337_lunatone.json</t>
        </is>
      </c>
      <c r="AN1254" s="18" t="inlineStr">
        <is>
          <t>lunatone-3</t>
        </is>
      </c>
      <c r="AO1254" s="18" t="inlineStr">
        <is>
          <t>pokemon</t>
        </is>
      </c>
      <c r="AP1254" s="18" t="inlineStr">
        <is>
          <t>natural</t>
        </is>
      </c>
      <c r="AQ1254" s="18" t="inlineStr">
        <is>
          <t>{"biomes":["#cobblemon:is_mountain"],"maxSkyLight":15,"minSkyLight":8,"timeRange":"night"}</t>
        </is>
      </c>
      <c r="AR1254" s="18" t="inlineStr"/>
      <c r="AS1254" s="18" t="inlineStr">
        <is>
          <t>{"weightMultiplier":{"condition":{"moonPhase":0},"multiplier":5.0}}</t>
        </is>
      </c>
      <c r="AT1254" s="19" t="inlineStr"/>
    </row>
    <row r="1255" ht="32" customHeight="1">
      <c r="A1255" s="18" t="inlineStr">
        <is>
          <t>0337_lunatone.json::lunatone-4::004</t>
        </is>
      </c>
      <c r="B1255" s="19" t="inlineStr">
        <is>
          <t>사용</t>
        </is>
      </c>
      <c r="C1255" s="18">
        <f>IF(OR(B1255&lt;&gt;AK1255,M1255&lt;&gt;L1255,O1255&lt;&gt;"",Q1255&lt;&gt;"",V1255&lt;&gt;1,Y1255&lt;&gt;"",AT1255&lt;&gt;""),"수정","원본")</f>
        <v/>
      </c>
      <c r="D1255" s="18" t="n">
        <v>337</v>
      </c>
      <c r="E1255" s="18" t="inlineStr">
        <is>
          <t>루나톤</t>
        </is>
      </c>
      <c r="F1255" s="18" t="inlineStr">
        <is>
          <t>lunatone</t>
        </is>
      </c>
      <c r="G1255" s="18" t="inlineStr">
        <is>
          <t>lunatone</t>
        </is>
      </c>
      <c r="H1255" s="18" t="inlineStr"/>
      <c r="I1255" s="18" t="n">
        <v>3</v>
      </c>
      <c r="J1255" s="18" t="n"/>
      <c r="K1255" s="18" t="n">
        <v>3</v>
      </c>
      <c r="L1255" s="18" t="inlineStr">
        <is>
          <t>cobbleventure:generation_3</t>
        </is>
      </c>
      <c r="M1255" s="19" t="inlineStr">
        <is>
          <t>cobbleventure:generation_3</t>
        </is>
      </c>
      <c r="N1255" s="18" t="inlineStr">
        <is>
          <t>region_01; region_02</t>
        </is>
      </c>
      <c r="O1255" s="19" t="inlineStr"/>
      <c r="P1255" s="18" t="inlineStr">
        <is>
          <t>#cobblemon:is_overworld</t>
        </is>
      </c>
      <c r="Q1255" s="19" t="inlineStr"/>
      <c r="R1255" s="18">
        <f>IF(Q1255="",P1255,Q1255)</f>
        <v/>
      </c>
      <c r="S1255" s="18" t="inlineStr"/>
      <c r="T1255" s="18" t="inlineStr">
        <is>
          <t>common</t>
        </is>
      </c>
      <c r="U1255" s="20" t="n">
        <v>20</v>
      </c>
      <c r="V1255" s="21" t="n">
        <v>1</v>
      </c>
      <c r="W1255" s="20">
        <f>IF(OR(U1255="",V1255=""),U1255,U1255*V1255)</f>
        <v/>
      </c>
      <c r="X1255" s="18" t="inlineStr">
        <is>
          <t>21-46</t>
        </is>
      </c>
      <c r="Y1255" s="19" t="inlineStr"/>
      <c r="Z1255" s="18">
        <f>IF(Y1255="",X1255,Y1255)</f>
        <v/>
      </c>
      <c r="AA1255" s="18" t="inlineStr">
        <is>
          <t>grounded</t>
        </is>
      </c>
      <c r="AB1255" s="18" t="inlineStr"/>
      <c r="AC1255" s="18" t="inlineStr"/>
      <c r="AD1255" s="18" t="inlineStr"/>
      <c r="AE1255" s="18" t="inlineStr">
        <is>
          <t>sky 8-15</t>
        </is>
      </c>
      <c r="AF1255" s="18" t="inlineStr"/>
      <c r="AG1255" s="18" t="inlineStr">
        <is>
          <t>cobblemon:ruins/luna_henge_ruins</t>
        </is>
      </c>
      <c r="AH1255" s="18" t="inlineStr"/>
      <c r="AI1255" s="18" t="inlineStr"/>
      <c r="AJ1255" s="18" t="inlineStr">
        <is>
          <t>Cobblemon 동일</t>
        </is>
      </c>
      <c r="AK1255" s="18" t="inlineStr">
        <is>
          <t>사용</t>
        </is>
      </c>
      <c r="AL1255" s="18" t="inlineStr">
        <is>
          <t>COBBLEVERSE 1.7.42 / DP v31</t>
        </is>
      </c>
      <c r="AM1255" s="18" t="inlineStr">
        <is>
          <t>data/cobblemon/spawn_pool_world/0337_lunatone.json</t>
        </is>
      </c>
      <c r="AN1255" s="18" t="inlineStr">
        <is>
          <t>lunatone-4</t>
        </is>
      </c>
      <c r="AO1255" s="18" t="inlineStr">
        <is>
          <t>pokemon</t>
        </is>
      </c>
      <c r="AP1255" s="18" t="inlineStr">
        <is>
          <t>natural</t>
        </is>
      </c>
      <c r="AQ1255" s="18" t="inlineStr">
        <is>
          <t>{"biomes":["#cobblemon:is_overworld"],"maxSkyLight":15,"minSkyLight":8,"structures":["cobblemon:ruins/luna_henge_ruins"]}</t>
        </is>
      </c>
      <c r="AR1255" s="18" t="inlineStr"/>
      <c r="AS1255" s="18" t="inlineStr">
        <is>
          <t>{"weightMultiplier":{"condition":{"timeRange":"night"},"multiplier":5.0}}</t>
        </is>
      </c>
      <c r="AT1255" s="19" t="inlineStr"/>
    </row>
    <row r="1256" ht="32" customHeight="1">
      <c r="A1256" s="18" t="inlineStr">
        <is>
          <t>0338_solrock.json::solrock-1::001</t>
        </is>
      </c>
      <c r="B1256" s="19" t="inlineStr">
        <is>
          <t>사용</t>
        </is>
      </c>
      <c r="C1256" s="18">
        <f>IF(OR(B1256&lt;&gt;AK1256,M1256&lt;&gt;L1256,O1256&lt;&gt;"",Q1256&lt;&gt;"",V1256&lt;&gt;1,Y1256&lt;&gt;"",AT1256&lt;&gt;""),"수정","원본")</f>
        <v/>
      </c>
      <c r="D1256" s="18" t="n">
        <v>338</v>
      </c>
      <c r="E1256" s="18" t="inlineStr">
        <is>
          <t>솔록</t>
        </is>
      </c>
      <c r="F1256" s="18" t="inlineStr">
        <is>
          <t>solrock</t>
        </is>
      </c>
      <c r="G1256" s="18" t="inlineStr">
        <is>
          <t>solrock</t>
        </is>
      </c>
      <c r="H1256" s="18" t="inlineStr"/>
      <c r="I1256" s="18" t="n">
        <v>3</v>
      </c>
      <c r="J1256" s="18" t="n"/>
      <c r="K1256" s="18" t="n">
        <v>3</v>
      </c>
      <c r="L1256" s="18" t="inlineStr">
        <is>
          <t>cobbleventure:generation_3</t>
        </is>
      </c>
      <c r="M1256" s="19" t="inlineStr">
        <is>
          <t>cobbleventure:generation_3</t>
        </is>
      </c>
      <c r="N1256" s="18" t="inlineStr"/>
      <c r="O1256" s="19" t="inlineStr"/>
      <c r="P1256" s="18" t="inlineStr">
        <is>
          <t>#cobblemon:is_dripstone</t>
        </is>
      </c>
      <c r="Q1256" s="19" t="inlineStr"/>
      <c r="R1256" s="18">
        <f>IF(Q1256="",P1256,Q1256)</f>
        <v/>
      </c>
      <c r="S1256" s="18" t="inlineStr"/>
      <c r="T1256" s="18" t="inlineStr">
        <is>
          <t>uncommon</t>
        </is>
      </c>
      <c r="U1256" s="20" t="n">
        <v>10</v>
      </c>
      <c r="V1256" s="21" t="n">
        <v>1</v>
      </c>
      <c r="W1256" s="20">
        <f>IF(OR(U1256="",V1256=""),U1256,U1256*V1256)</f>
        <v/>
      </c>
      <c r="X1256" s="18" t="inlineStr">
        <is>
          <t>21-46</t>
        </is>
      </c>
      <c r="Y1256" s="19" t="inlineStr"/>
      <c r="Z1256" s="18">
        <f>IF(Y1256="",X1256,Y1256)</f>
        <v/>
      </c>
      <c r="AA1256" s="18" t="inlineStr">
        <is>
          <t>grounded</t>
        </is>
      </c>
      <c r="AB1256" s="18" t="inlineStr">
        <is>
          <t>day</t>
        </is>
      </c>
      <c r="AC1256" s="18" t="inlineStr"/>
      <c r="AD1256" s="18" t="inlineStr"/>
      <c r="AE1256" s="18" t="inlineStr">
        <is>
          <t>sky 8-15</t>
        </is>
      </c>
      <c r="AF1256" s="18" t="inlineStr"/>
      <c r="AG1256" s="18" t="inlineStr"/>
      <c r="AH1256" s="18" t="inlineStr"/>
      <c r="AI1256" s="18" t="inlineStr"/>
      <c r="AJ1256" s="18" t="inlineStr">
        <is>
          <t>Cobblemon 동일</t>
        </is>
      </c>
      <c r="AK1256" s="18" t="inlineStr">
        <is>
          <t>사용</t>
        </is>
      </c>
      <c r="AL1256" s="18" t="inlineStr">
        <is>
          <t>COBBLEVERSE 1.7.42 / DP v31</t>
        </is>
      </c>
      <c r="AM1256" s="18" t="inlineStr">
        <is>
          <t>data/cobblemon/spawn_pool_world/0338_solrock.json</t>
        </is>
      </c>
      <c r="AN1256" s="18" t="inlineStr">
        <is>
          <t>solrock-1</t>
        </is>
      </c>
      <c r="AO1256" s="18" t="inlineStr">
        <is>
          <t>pokemon</t>
        </is>
      </c>
      <c r="AP1256" s="18" t="inlineStr">
        <is>
          <t>natural</t>
        </is>
      </c>
      <c r="AQ1256" s="18" t="inlineStr">
        <is>
          <t>{"biomes":["#cobblemon:is_dripstone"],"maxSkyLight":15,"minSkyLight":8,"timeRange":"day"}</t>
        </is>
      </c>
      <c r="AR1256" s="18" t="inlineStr"/>
      <c r="AS1256" s="18" t="inlineStr"/>
      <c r="AT1256" s="19" t="inlineStr"/>
    </row>
    <row r="1257" ht="32" customHeight="1">
      <c r="A1257" s="18" t="inlineStr">
        <is>
          <t>0338_solrock.json::solrock-2::002</t>
        </is>
      </c>
      <c r="B1257" s="19" t="inlineStr">
        <is>
          <t>사용</t>
        </is>
      </c>
      <c r="C1257" s="18">
        <f>IF(OR(B1257&lt;&gt;AK1257,M1257&lt;&gt;L1257,O1257&lt;&gt;"",Q1257&lt;&gt;"",V1257&lt;&gt;1,Y1257&lt;&gt;"",AT1257&lt;&gt;""),"수정","원본")</f>
        <v/>
      </c>
      <c r="D1257" s="18" t="n">
        <v>338</v>
      </c>
      <c r="E1257" s="18" t="inlineStr">
        <is>
          <t>솔록</t>
        </is>
      </c>
      <c r="F1257" s="18" t="inlineStr">
        <is>
          <t>solrock</t>
        </is>
      </c>
      <c r="G1257" s="18" t="inlineStr">
        <is>
          <t>solrock</t>
        </is>
      </c>
      <c r="H1257" s="18" t="inlineStr"/>
      <c r="I1257" s="18" t="n">
        <v>3</v>
      </c>
      <c r="J1257" s="18" t="n"/>
      <c r="K1257" s="18" t="n">
        <v>3</v>
      </c>
      <c r="L1257" s="18" t="inlineStr">
        <is>
          <t>cobbleventure:generation_3</t>
        </is>
      </c>
      <c r="M1257" s="19" t="inlineStr">
        <is>
          <t>cobbleventure:generation_3</t>
        </is>
      </c>
      <c r="N1257" s="18" t="inlineStr"/>
      <c r="O1257" s="19" t="inlineStr"/>
      <c r="P1257" s="18" t="inlineStr">
        <is>
          <t>#cobblemon:is_dripstone</t>
        </is>
      </c>
      <c r="Q1257" s="19" t="inlineStr"/>
      <c r="R1257" s="18">
        <f>IF(Q1257="",P1257,Q1257)</f>
        <v/>
      </c>
      <c r="S1257" s="18" t="inlineStr"/>
      <c r="T1257" s="18" t="inlineStr">
        <is>
          <t>common</t>
        </is>
      </c>
      <c r="U1257" s="20" t="n">
        <v>10</v>
      </c>
      <c r="V1257" s="21" t="n">
        <v>1</v>
      </c>
      <c r="W1257" s="20">
        <f>IF(OR(U1257="",V1257=""),U1257,U1257*V1257)</f>
        <v/>
      </c>
      <c r="X1257" s="18" t="inlineStr">
        <is>
          <t>21-46</t>
        </is>
      </c>
      <c r="Y1257" s="19" t="inlineStr"/>
      <c r="Z1257" s="18">
        <f>IF(Y1257="",X1257,Y1257)</f>
        <v/>
      </c>
      <c r="AA1257" s="18" t="inlineStr">
        <is>
          <t>grounded</t>
        </is>
      </c>
      <c r="AB1257" s="18" t="inlineStr"/>
      <c r="AC1257" s="18" t="inlineStr"/>
      <c r="AD1257" s="18" t="inlineStr"/>
      <c r="AE1257" s="18" t="inlineStr">
        <is>
          <t>sky 0-7</t>
        </is>
      </c>
      <c r="AF1257" s="18" t="inlineStr"/>
      <c r="AG1257" s="18" t="inlineStr"/>
      <c r="AH1257" s="18" t="inlineStr"/>
      <c r="AI1257" s="18" t="inlineStr"/>
      <c r="AJ1257" s="18" t="inlineStr">
        <is>
          <t>Cobblemon 동일</t>
        </is>
      </c>
      <c r="AK1257" s="18" t="inlineStr">
        <is>
          <t>사용</t>
        </is>
      </c>
      <c r="AL1257" s="18" t="inlineStr">
        <is>
          <t>COBBLEVERSE 1.7.42 / DP v31</t>
        </is>
      </c>
      <c r="AM1257" s="18" t="inlineStr">
        <is>
          <t>data/cobblemon/spawn_pool_world/0338_solrock.json</t>
        </is>
      </c>
      <c r="AN1257" s="18" t="inlineStr">
        <is>
          <t>solrock-2</t>
        </is>
      </c>
      <c r="AO1257" s="18" t="inlineStr">
        <is>
          <t>pokemon</t>
        </is>
      </c>
      <c r="AP1257" s="18" t="inlineStr">
        <is>
          <t>natural</t>
        </is>
      </c>
      <c r="AQ1257" s="18" t="inlineStr">
        <is>
          <t>{"biomes":["#cobblemon:is_dripstone"],"maxSkyLight":7,"minSkyLight":0}</t>
        </is>
      </c>
      <c r="AR1257" s="18" t="inlineStr"/>
      <c r="AS1257" s="18" t="inlineStr">
        <is>
          <t>{"weightMultiplier":{"condition":{"timeRange":"day"},"multiplier":0.25}}</t>
        </is>
      </c>
      <c r="AT1257" s="19" t="inlineStr"/>
    </row>
    <row r="1258" ht="32" customHeight="1">
      <c r="A1258" s="18" t="inlineStr">
        <is>
          <t>0338_solrock.json::solrock-3::003</t>
        </is>
      </c>
      <c r="B1258" s="19" t="inlineStr">
        <is>
          <t>사용</t>
        </is>
      </c>
      <c r="C1258" s="18">
        <f>IF(OR(B1258&lt;&gt;AK1258,M1258&lt;&gt;L1258,O1258&lt;&gt;"",Q1258&lt;&gt;"",V1258&lt;&gt;1,Y1258&lt;&gt;"",AT1258&lt;&gt;""),"수정","원본")</f>
        <v/>
      </c>
      <c r="D1258" s="18" t="n">
        <v>338</v>
      </c>
      <c r="E1258" s="18" t="inlineStr">
        <is>
          <t>솔록</t>
        </is>
      </c>
      <c r="F1258" s="18" t="inlineStr">
        <is>
          <t>solrock</t>
        </is>
      </c>
      <c r="G1258" s="18" t="inlineStr">
        <is>
          <t>solrock</t>
        </is>
      </c>
      <c r="H1258" s="18" t="inlineStr"/>
      <c r="I1258" s="18" t="n">
        <v>3</v>
      </c>
      <c r="J1258" s="18" t="n"/>
      <c r="K1258" s="18" t="n">
        <v>3</v>
      </c>
      <c r="L1258" s="18" t="inlineStr">
        <is>
          <t>cobbleventure:generation_3</t>
        </is>
      </c>
      <c r="M1258" s="19" t="inlineStr">
        <is>
          <t>cobbleventure:generation_3</t>
        </is>
      </c>
      <c r="N1258" s="18" t="inlineStr"/>
      <c r="O1258" s="19" t="inlineStr"/>
      <c r="P1258" s="18" t="inlineStr">
        <is>
          <t>#cobblemon:is_mountain</t>
        </is>
      </c>
      <c r="Q1258" s="19" t="inlineStr"/>
      <c r="R1258" s="18">
        <f>IF(Q1258="",P1258,Q1258)</f>
        <v/>
      </c>
      <c r="S1258" s="18" t="inlineStr"/>
      <c r="T1258" s="18" t="inlineStr">
        <is>
          <t>uncommon</t>
        </is>
      </c>
      <c r="U1258" s="20" t="n">
        <v>2</v>
      </c>
      <c r="V1258" s="21" t="n">
        <v>1</v>
      </c>
      <c r="W1258" s="20">
        <f>IF(OR(U1258="",V1258=""),U1258,U1258*V1258)</f>
        <v/>
      </c>
      <c r="X1258" s="18" t="inlineStr">
        <is>
          <t>21-46</t>
        </is>
      </c>
      <c r="Y1258" s="19" t="inlineStr"/>
      <c r="Z1258" s="18">
        <f>IF(Y1258="",X1258,Y1258)</f>
        <v/>
      </c>
      <c r="AA1258" s="18" t="inlineStr">
        <is>
          <t>grounded</t>
        </is>
      </c>
      <c r="AB1258" s="18" t="inlineStr">
        <is>
          <t>day</t>
        </is>
      </c>
      <c r="AC1258" s="18" t="inlineStr"/>
      <c r="AD1258" s="18" t="inlineStr"/>
      <c r="AE1258" s="18" t="inlineStr">
        <is>
          <t>sky 8-15</t>
        </is>
      </c>
      <c r="AF1258" s="18" t="inlineStr"/>
      <c r="AG1258" s="18" t="inlineStr"/>
      <c r="AH1258" s="18" t="inlineStr"/>
      <c r="AI1258" s="18" t="inlineStr"/>
      <c r="AJ1258" s="18" t="inlineStr">
        <is>
          <t>Cobblemon 동일</t>
        </is>
      </c>
      <c r="AK1258" s="18" t="inlineStr">
        <is>
          <t>사용</t>
        </is>
      </c>
      <c r="AL1258" s="18" t="inlineStr">
        <is>
          <t>COBBLEVERSE 1.7.42 / DP v31</t>
        </is>
      </c>
      <c r="AM1258" s="18" t="inlineStr">
        <is>
          <t>data/cobblemon/spawn_pool_world/0338_solrock.json</t>
        </is>
      </c>
      <c r="AN1258" s="18" t="inlineStr">
        <is>
          <t>solrock-3</t>
        </is>
      </c>
      <c r="AO1258" s="18" t="inlineStr">
        <is>
          <t>pokemon</t>
        </is>
      </c>
      <c r="AP1258" s="18" t="inlineStr">
        <is>
          <t>natural</t>
        </is>
      </c>
      <c r="AQ1258" s="18" t="inlineStr">
        <is>
          <t>{"biomes":["#cobblemon:is_mountain"],"maxSkyLight":15,"minSkyLight":8,"timeRange":"day"}</t>
        </is>
      </c>
      <c r="AR1258" s="18" t="inlineStr"/>
      <c r="AS1258" s="18" t="inlineStr"/>
      <c r="AT1258" s="19" t="inlineStr"/>
    </row>
    <row r="1259" ht="32" customHeight="1">
      <c r="A1259" s="18" t="inlineStr">
        <is>
          <t>0338_solrock.json::solrock-4::004</t>
        </is>
      </c>
      <c r="B1259" s="19" t="inlineStr">
        <is>
          <t>사용</t>
        </is>
      </c>
      <c r="C1259" s="18">
        <f>IF(OR(B1259&lt;&gt;AK1259,M1259&lt;&gt;L1259,O1259&lt;&gt;"",Q1259&lt;&gt;"",V1259&lt;&gt;1,Y1259&lt;&gt;"",AT1259&lt;&gt;""),"수정","원본")</f>
        <v/>
      </c>
      <c r="D1259" s="18" t="n">
        <v>338</v>
      </c>
      <c r="E1259" s="18" t="inlineStr">
        <is>
          <t>솔록</t>
        </is>
      </c>
      <c r="F1259" s="18" t="inlineStr">
        <is>
          <t>solrock</t>
        </is>
      </c>
      <c r="G1259" s="18" t="inlineStr">
        <is>
          <t>solrock</t>
        </is>
      </c>
      <c r="H1259" s="18" t="inlineStr"/>
      <c r="I1259" s="18" t="n">
        <v>3</v>
      </c>
      <c r="J1259" s="18" t="n"/>
      <c r="K1259" s="18" t="n">
        <v>3</v>
      </c>
      <c r="L1259" s="18" t="inlineStr">
        <is>
          <t>cobbleventure:generation_3</t>
        </is>
      </c>
      <c r="M1259" s="19" t="inlineStr">
        <is>
          <t>cobbleventure:generation_3</t>
        </is>
      </c>
      <c r="N1259" s="18" t="inlineStr">
        <is>
          <t>region_01; region_02</t>
        </is>
      </c>
      <c r="O1259" s="19" t="inlineStr"/>
      <c r="P1259" s="18" t="inlineStr">
        <is>
          <t>#cobblemon:is_overworld</t>
        </is>
      </c>
      <c r="Q1259" s="19" t="inlineStr"/>
      <c r="R1259" s="18">
        <f>IF(Q1259="",P1259,Q1259)</f>
        <v/>
      </c>
      <c r="S1259" s="18" t="inlineStr"/>
      <c r="T1259" s="18" t="inlineStr">
        <is>
          <t>common</t>
        </is>
      </c>
      <c r="U1259" s="20" t="n">
        <v>20</v>
      </c>
      <c r="V1259" s="21" t="n">
        <v>1</v>
      </c>
      <c r="W1259" s="20">
        <f>IF(OR(U1259="",V1259=""),U1259,U1259*V1259)</f>
        <v/>
      </c>
      <c r="X1259" s="18" t="inlineStr">
        <is>
          <t>21-46</t>
        </is>
      </c>
      <c r="Y1259" s="19" t="inlineStr"/>
      <c r="Z1259" s="18">
        <f>IF(Y1259="",X1259,Y1259)</f>
        <v/>
      </c>
      <c r="AA1259" s="18" t="inlineStr">
        <is>
          <t>grounded</t>
        </is>
      </c>
      <c r="AB1259" s="18" t="inlineStr"/>
      <c r="AC1259" s="18" t="inlineStr"/>
      <c r="AD1259" s="18" t="inlineStr"/>
      <c r="AE1259" s="18" t="inlineStr">
        <is>
          <t>sky 8-15</t>
        </is>
      </c>
      <c r="AF1259" s="18" t="inlineStr"/>
      <c r="AG1259" s="18" t="inlineStr">
        <is>
          <t>cobblemon:ruins/sol_henge_ruins</t>
        </is>
      </c>
      <c r="AH1259" s="18" t="inlineStr"/>
      <c r="AI1259" s="18" t="inlineStr"/>
      <c r="AJ1259" s="18" t="inlineStr">
        <is>
          <t>Cobblemon 동일</t>
        </is>
      </c>
      <c r="AK1259" s="18" t="inlineStr">
        <is>
          <t>사용</t>
        </is>
      </c>
      <c r="AL1259" s="18" t="inlineStr">
        <is>
          <t>COBBLEVERSE 1.7.42 / DP v31</t>
        </is>
      </c>
      <c r="AM1259" s="18" t="inlineStr">
        <is>
          <t>data/cobblemon/spawn_pool_world/0338_solrock.json</t>
        </is>
      </c>
      <c r="AN1259" s="18" t="inlineStr">
        <is>
          <t>solrock-4</t>
        </is>
      </c>
      <c r="AO1259" s="18" t="inlineStr">
        <is>
          <t>pokemon</t>
        </is>
      </c>
      <c r="AP1259" s="18" t="inlineStr">
        <is>
          <t>natural</t>
        </is>
      </c>
      <c r="AQ1259" s="18" t="inlineStr">
        <is>
          <t>{"biomes":["#cobblemon:is_overworld"],"maxSkyLight":15,"minSkyLight":8,"structures":["cobblemon:ruins/sol_henge_ruins"]}</t>
        </is>
      </c>
      <c r="AR1259" s="18" t="inlineStr"/>
      <c r="AS1259" s="18" t="inlineStr">
        <is>
          <t>{"weightMultiplier":{"condition":{"timeRange":"day"},"multiplier":5.0}}</t>
        </is>
      </c>
      <c r="AT1259" s="19" t="inlineStr"/>
    </row>
    <row r="1260" ht="32" customHeight="1">
      <c r="A1260" s="18" t="inlineStr">
        <is>
          <t>0338_solrock.json::solrock-5::005</t>
        </is>
      </c>
      <c r="B1260" s="19" t="inlineStr">
        <is>
          <t>사용</t>
        </is>
      </c>
      <c r="C1260" s="18">
        <f>IF(OR(B1260&lt;&gt;AK1260,M1260&lt;&gt;L1260,O1260&lt;&gt;"",Q1260&lt;&gt;"",V1260&lt;&gt;1,Y1260&lt;&gt;"",AT1260&lt;&gt;""),"수정","원본")</f>
        <v/>
      </c>
      <c r="D1260" s="18" t="n">
        <v>338</v>
      </c>
      <c r="E1260" s="18" t="inlineStr">
        <is>
          <t>솔록</t>
        </is>
      </c>
      <c r="F1260" s="18" t="inlineStr">
        <is>
          <t>solrock</t>
        </is>
      </c>
      <c r="G1260" s="18" t="inlineStr">
        <is>
          <t>solrock</t>
        </is>
      </c>
      <c r="H1260" s="18" t="inlineStr"/>
      <c r="I1260" s="18" t="n">
        <v>3</v>
      </c>
      <c r="J1260" s="18" t="n"/>
      <c r="K1260" s="18" t="n">
        <v>3</v>
      </c>
      <c r="L1260" s="18" t="inlineStr">
        <is>
          <t>cobbleventure:generation_3</t>
        </is>
      </c>
      <c r="M1260" s="19" t="inlineStr">
        <is>
          <t>cobbleventure:generation_3</t>
        </is>
      </c>
      <c r="N1260" s="18" t="inlineStr"/>
      <c r="O1260" s="19" t="inlineStr"/>
      <c r="P1260" s="18" t="inlineStr">
        <is>
          <t>aether:skyroot_grove; aether:skyroot_meadow</t>
        </is>
      </c>
      <c r="Q1260" s="19" t="inlineStr"/>
      <c r="R1260" s="18">
        <f>IF(Q1260="",P1260,Q1260)</f>
        <v/>
      </c>
      <c r="S1260" s="18" t="inlineStr"/>
      <c r="T1260" s="18" t="inlineStr">
        <is>
          <t>uncommon</t>
        </is>
      </c>
      <c r="U1260" s="20" t="n">
        <v>6</v>
      </c>
      <c r="V1260" s="21" t="n">
        <v>1</v>
      </c>
      <c r="W1260" s="20">
        <f>IF(OR(U1260="",V1260=""),U1260,U1260*V1260)</f>
        <v/>
      </c>
      <c r="X1260" s="18" t="inlineStr">
        <is>
          <t>21-46</t>
        </is>
      </c>
      <c r="Y1260" s="19" t="inlineStr"/>
      <c r="Z1260" s="18">
        <f>IF(Y1260="",X1260,Y1260)</f>
        <v/>
      </c>
      <c r="AA1260" s="18" t="inlineStr">
        <is>
          <t>grounded</t>
        </is>
      </c>
      <c r="AB1260" s="18" t="inlineStr"/>
      <c r="AC1260" s="18" t="inlineStr"/>
      <c r="AD1260" s="18" t="inlineStr"/>
      <c r="AE1260" s="18" t="inlineStr"/>
      <c r="AF1260" s="18" t="inlineStr"/>
      <c r="AG1260" s="18" t="inlineStr"/>
      <c r="AH1260" s="18" t="inlineStr"/>
      <c r="AI1260" s="18" t="inlineStr"/>
      <c r="AJ1260" s="18" t="inlineStr">
        <is>
          <t>Cobblemon 동일</t>
        </is>
      </c>
      <c r="AK1260" s="18" t="inlineStr">
        <is>
          <t>사용</t>
        </is>
      </c>
      <c r="AL1260" s="18" t="inlineStr">
        <is>
          <t>COBBLEVERSE 1.7.42 / DP v31</t>
        </is>
      </c>
      <c r="AM1260" s="18" t="inlineStr">
        <is>
          <t>data/cobblemon/spawn_pool_world/0338_solrock.json</t>
        </is>
      </c>
      <c r="AN1260" s="18" t="inlineStr">
        <is>
          <t>solrock-5</t>
        </is>
      </c>
      <c r="AO1260" s="18" t="inlineStr">
        <is>
          <t>pokemon</t>
        </is>
      </c>
      <c r="AP1260" s="18" t="inlineStr">
        <is>
          <t>natural</t>
        </is>
      </c>
      <c r="AQ1260" s="18" t="inlineStr">
        <is>
          <t>{"biomes":["aether:skyroot_grove","aether:skyroot_meadow"]}</t>
        </is>
      </c>
      <c r="AR1260" s="18" t="inlineStr"/>
      <c r="AS1260" s="18" t="inlineStr"/>
      <c r="AT1260" s="19" t="inlineStr"/>
    </row>
    <row r="1261" ht="32" customHeight="1">
      <c r="A1261" s="18" t="inlineStr">
        <is>
          <t>0339_barboach.json::barboach-1::001</t>
        </is>
      </c>
      <c r="B1261" s="19" t="inlineStr">
        <is>
          <t>사용</t>
        </is>
      </c>
      <c r="C1261" s="18">
        <f>IF(OR(B1261&lt;&gt;AK1261,M1261&lt;&gt;L1261,O1261&lt;&gt;"",Q1261&lt;&gt;"",V1261&lt;&gt;1,Y1261&lt;&gt;"",AT1261&lt;&gt;""),"수정","원본")</f>
        <v/>
      </c>
      <c r="D1261" s="18" t="n">
        <v>339</v>
      </c>
      <c r="E1261" s="18" t="inlineStr">
        <is>
          <t>미꾸리</t>
        </is>
      </c>
      <c r="F1261" s="18" t="inlineStr">
        <is>
          <t>barboach</t>
        </is>
      </c>
      <c r="G1261" s="18" t="inlineStr">
        <is>
          <t>barboach</t>
        </is>
      </c>
      <c r="H1261" s="18" t="inlineStr"/>
      <c r="I1261" s="18" t="n">
        <v>3</v>
      </c>
      <c r="J1261" s="18" t="n"/>
      <c r="K1261" s="18" t="n">
        <v>3</v>
      </c>
      <c r="L1261" s="18" t="inlineStr">
        <is>
          <t>cobbleventure:generation_3</t>
        </is>
      </c>
      <c r="M1261" s="19" t="inlineStr">
        <is>
          <t>cobbleventure:generation_3</t>
        </is>
      </c>
      <c r="N1261" s="18" t="inlineStr">
        <is>
          <t>region_02</t>
        </is>
      </c>
      <c r="O1261" s="19" t="inlineStr"/>
      <c r="P1261" s="18" t="inlineStr">
        <is>
          <t>#cobblemon:is_swamp</t>
        </is>
      </c>
      <c r="Q1261" s="19" t="inlineStr"/>
      <c r="R1261" s="18">
        <f>IF(Q1261="",P1261,Q1261)</f>
        <v/>
      </c>
      <c r="S1261" s="18" t="inlineStr"/>
      <c r="T1261" s="18" t="inlineStr">
        <is>
          <t>common</t>
        </is>
      </c>
      <c r="U1261" s="20" t="n">
        <v>9</v>
      </c>
      <c r="V1261" s="21" t="n">
        <v>1</v>
      </c>
      <c r="W1261" s="20">
        <f>IF(OR(U1261="",V1261=""),U1261,U1261*V1261)</f>
        <v/>
      </c>
      <c r="X1261" s="18" t="inlineStr">
        <is>
          <t>4-29</t>
        </is>
      </c>
      <c r="Y1261" s="19" t="inlineStr"/>
      <c r="Z1261" s="18">
        <f>IF(Y1261="",X1261,Y1261)</f>
        <v/>
      </c>
      <c r="AA1261" s="18" t="inlineStr">
        <is>
          <t>submerged</t>
        </is>
      </c>
      <c r="AB1261" s="18" t="inlineStr"/>
      <c r="AC1261" s="18" t="inlineStr"/>
      <c r="AD1261" s="18" t="inlineStr"/>
      <c r="AE1261" s="18" t="inlineStr"/>
      <c r="AF1261" s="18" t="inlineStr">
        <is>
          <t>True</t>
        </is>
      </c>
      <c r="AG1261" s="18" t="inlineStr"/>
      <c r="AH1261" s="18" t="inlineStr"/>
      <c r="AI1261" s="18" t="inlineStr"/>
      <c r="AJ1261" s="18" t="inlineStr">
        <is>
          <t>Cobblemon 동일</t>
        </is>
      </c>
      <c r="AK1261" s="18" t="inlineStr">
        <is>
          <t>사용</t>
        </is>
      </c>
      <c r="AL1261" s="18" t="inlineStr">
        <is>
          <t>COBBLEVERSE 1.7.42 / DP v31</t>
        </is>
      </c>
      <c r="AM1261" s="18" t="inlineStr">
        <is>
          <t>data/cobblemon/spawn_pool_world/0339_barboach.json</t>
        </is>
      </c>
      <c r="AN1261" s="18" t="inlineStr">
        <is>
          <t>barboach-1</t>
        </is>
      </c>
      <c r="AO1261" s="18" t="inlineStr">
        <is>
          <t>pokemon</t>
        </is>
      </c>
      <c r="AP1261" s="18" t="inlineStr">
        <is>
          <t>water</t>
        </is>
      </c>
      <c r="AQ1261" s="18" t="inlineStr">
        <is>
          <t>{"biomes":["#cobblemon:is_swamp"],"canSeeSky":true}</t>
        </is>
      </c>
      <c r="AR1261" s="18" t="inlineStr"/>
      <c r="AS1261" s="18" t="inlineStr"/>
      <c r="AT1261" s="19" t="inlineStr"/>
    </row>
    <row r="1262" ht="32" customHeight="1">
      <c r="A1262" s="18" t="inlineStr">
        <is>
          <t>0339_barboach.json::barboach-2::002</t>
        </is>
      </c>
      <c r="B1262" s="19" t="inlineStr">
        <is>
          <t>사용</t>
        </is>
      </c>
      <c r="C1262" s="18">
        <f>IF(OR(B1262&lt;&gt;AK1262,M1262&lt;&gt;L1262,O1262&lt;&gt;"",Q1262&lt;&gt;"",V1262&lt;&gt;1,Y1262&lt;&gt;"",AT1262&lt;&gt;""),"수정","원본")</f>
        <v/>
      </c>
      <c r="D1262" s="18" t="n">
        <v>339</v>
      </c>
      <c r="E1262" s="18" t="inlineStr">
        <is>
          <t>미꾸리</t>
        </is>
      </c>
      <c r="F1262" s="18" t="inlineStr">
        <is>
          <t>barboach</t>
        </is>
      </c>
      <c r="G1262" s="18" t="inlineStr">
        <is>
          <t>barboach</t>
        </is>
      </c>
      <c r="H1262" s="18" t="inlineStr"/>
      <c r="I1262" s="18" t="n">
        <v>3</v>
      </c>
      <c r="J1262" s="18" t="n"/>
      <c r="K1262" s="18" t="n">
        <v>3</v>
      </c>
      <c r="L1262" s="18" t="inlineStr">
        <is>
          <t>cobbleventure:generation_3</t>
        </is>
      </c>
      <c r="M1262" s="19" t="inlineStr">
        <is>
          <t>cobbleventure:generation_3</t>
        </is>
      </c>
      <c r="N1262" s="18" t="inlineStr">
        <is>
          <t>region_01; region_02</t>
        </is>
      </c>
      <c r="O1262" s="19" t="inlineStr"/>
      <c r="P1262" s="18" t="inlineStr">
        <is>
          <t>#cobblemon:is_overworld</t>
        </is>
      </c>
      <c r="Q1262" s="19" t="inlineStr"/>
      <c r="R1262" s="18">
        <f>IF(Q1262="",P1262,Q1262)</f>
        <v/>
      </c>
      <c r="S1262" s="18" t="inlineStr"/>
      <c r="T1262" s="18" t="inlineStr">
        <is>
          <t>uncommon</t>
        </is>
      </c>
      <c r="U1262" s="20" t="n">
        <v>8.4</v>
      </c>
      <c r="V1262" s="21" t="n">
        <v>1</v>
      </c>
      <c r="W1262" s="20">
        <f>IF(OR(U1262="",V1262=""),U1262,U1262*V1262)</f>
        <v/>
      </c>
      <c r="X1262" s="18" t="inlineStr">
        <is>
          <t>4-29</t>
        </is>
      </c>
      <c r="Y1262" s="19" t="inlineStr"/>
      <c r="Z1262" s="18">
        <f>IF(Y1262="",X1262,Y1262)</f>
        <v/>
      </c>
      <c r="AA1262" s="18" t="inlineStr">
        <is>
          <t>submerged</t>
        </is>
      </c>
      <c r="AB1262" s="18" t="inlineStr"/>
      <c r="AC1262" s="18" t="inlineStr"/>
      <c r="AD1262" s="18" t="inlineStr"/>
      <c r="AE1262" s="18" t="inlineStr">
        <is>
          <t>sky 0-7</t>
        </is>
      </c>
      <c r="AF1262" s="18" t="inlineStr"/>
      <c r="AG1262" s="18" t="inlineStr"/>
      <c r="AH1262" s="18" t="inlineStr"/>
      <c r="AI1262" s="18" t="inlineStr"/>
      <c r="AJ1262" s="18" t="inlineStr">
        <is>
          <t>Cobblemon 동일</t>
        </is>
      </c>
      <c r="AK1262" s="18" t="inlineStr">
        <is>
          <t>사용</t>
        </is>
      </c>
      <c r="AL1262" s="18" t="inlineStr">
        <is>
          <t>COBBLEVERSE 1.7.42 / DP v31</t>
        </is>
      </c>
      <c r="AM1262" s="18" t="inlineStr">
        <is>
          <t>data/cobblemon/spawn_pool_world/0339_barboach.json</t>
        </is>
      </c>
      <c r="AN1262" s="18" t="inlineStr">
        <is>
          <t>barboach-2</t>
        </is>
      </c>
      <c r="AO1262" s="18" t="inlineStr">
        <is>
          <t>pokemon</t>
        </is>
      </c>
      <c r="AP1262" s="18" t="inlineStr">
        <is>
          <t>water</t>
        </is>
      </c>
      <c r="AQ1262" s="18" t="inlineStr">
        <is>
          <t>{"biomes":["#cobblemon:is_overworld"],"maxSkyLight":7,"minSkyLight":0}</t>
        </is>
      </c>
      <c r="AR1262" s="18" t="inlineStr"/>
      <c r="AS1262" s="18" t="inlineStr"/>
      <c r="AT1262" s="19" t="inlineStr"/>
    </row>
    <row r="1263" ht="32" customHeight="1">
      <c r="A1263" s="18" t="inlineStr">
        <is>
          <t>0339_barboach.json::barboach-3::003</t>
        </is>
      </c>
      <c r="B1263" s="19" t="inlineStr">
        <is>
          <t>사용</t>
        </is>
      </c>
      <c r="C1263" s="18">
        <f>IF(OR(B1263&lt;&gt;AK1263,M1263&lt;&gt;L1263,O1263&lt;&gt;"",Q1263&lt;&gt;"",V1263&lt;&gt;1,Y1263&lt;&gt;"",AT1263&lt;&gt;""),"수정","원본")</f>
        <v/>
      </c>
      <c r="D1263" s="18" t="n">
        <v>339</v>
      </c>
      <c r="E1263" s="18" t="inlineStr">
        <is>
          <t>미꾸리</t>
        </is>
      </c>
      <c r="F1263" s="18" t="inlineStr">
        <is>
          <t>barboach</t>
        </is>
      </c>
      <c r="G1263" s="18" t="inlineStr">
        <is>
          <t>barboach</t>
        </is>
      </c>
      <c r="H1263" s="18" t="inlineStr"/>
      <c r="I1263" s="18" t="n">
        <v>3</v>
      </c>
      <c r="J1263" s="18" t="n"/>
      <c r="K1263" s="18" t="n">
        <v>3</v>
      </c>
      <c r="L1263" s="18" t="inlineStr">
        <is>
          <t>cobbleventure:generation_3</t>
        </is>
      </c>
      <c r="M1263" s="19" t="inlineStr">
        <is>
          <t>cobbleventure:generation_3</t>
        </is>
      </c>
      <c r="N1263" s="18" t="inlineStr">
        <is>
          <t>region_01; region_02</t>
        </is>
      </c>
      <c r="O1263" s="19" t="inlineStr"/>
      <c r="P1263" s="18" t="inlineStr">
        <is>
          <t>#cobblemon:is_arid; #cobblemon:is_freshwater; #cobblemon:is_hills; #cobblemon:is_jungle; #cobblemon:is_mushroom; #cobblemon:is_temperate</t>
        </is>
      </c>
      <c r="Q1263" s="19" t="inlineStr"/>
      <c r="R1263" s="18">
        <f>IF(Q1263="",P1263,Q1263)</f>
        <v/>
      </c>
      <c r="S1263" s="18" t="inlineStr">
        <is>
          <t>#cobblemon:is_freezing</t>
        </is>
      </c>
      <c r="T1263" s="18" t="inlineStr">
        <is>
          <t>common</t>
        </is>
      </c>
      <c r="U1263" s="20" t="n">
        <v>9</v>
      </c>
      <c r="V1263" s="21" t="n">
        <v>1</v>
      </c>
      <c r="W1263" s="20">
        <f>IF(OR(U1263="",V1263=""),U1263,U1263*V1263)</f>
        <v/>
      </c>
      <c r="X1263" s="18" t="inlineStr">
        <is>
          <t>4-29</t>
        </is>
      </c>
      <c r="Y1263" s="19" t="inlineStr"/>
      <c r="Z1263" s="18">
        <f>IF(Y1263="",X1263,Y1263)</f>
        <v/>
      </c>
      <c r="AA1263" s="18" t="inlineStr">
        <is>
          <t>fishing</t>
        </is>
      </c>
      <c r="AB1263" s="18" t="inlineStr"/>
      <c r="AC1263" s="18" t="inlineStr"/>
      <c r="AD1263" s="18" t="inlineStr"/>
      <c r="AE1263" s="18" t="inlineStr"/>
      <c r="AF1263" s="18" t="inlineStr">
        <is>
          <t>True</t>
        </is>
      </c>
      <c r="AG1263" s="18" t="inlineStr"/>
      <c r="AH1263" s="18" t="inlineStr"/>
      <c r="AI1263" s="18" t="inlineStr"/>
      <c r="AJ1263" s="18" t="inlineStr">
        <is>
          <t>Cobblemon 동일</t>
        </is>
      </c>
      <c r="AK1263" s="18" t="inlineStr">
        <is>
          <t>사용</t>
        </is>
      </c>
      <c r="AL1263" s="18" t="inlineStr">
        <is>
          <t>COBBLEVERSE 1.7.42 / DP v31</t>
        </is>
      </c>
      <c r="AM1263" s="18" t="inlineStr">
        <is>
          <t>data/cobblemon/spawn_pool_world/0339_barboach.json</t>
        </is>
      </c>
      <c r="AN1263" s="18" t="inlineStr">
        <is>
          <t>barboach-3</t>
        </is>
      </c>
      <c r="AO1263" s="18" t="inlineStr">
        <is>
          <t>pokemon</t>
        </is>
      </c>
      <c r="AP1263" s="18" t="inlineStr"/>
      <c r="AQ1263" s="18" t="inlineStr">
        <is>
          <t>{"biomes":["#cobblemon:is_arid","#cobblemon:is_freshwater","#cobblemon:is_hills","#cobblemon:is_jungle","#cobblemon:is_mushroom","#cobblemon:is_temperate"],"canSeeSky":true}</t>
        </is>
      </c>
      <c r="AR1263" s="18" t="inlineStr">
        <is>
          <t>{"biomes":["#cobblemon:is_freezing"]}</t>
        </is>
      </c>
      <c r="AS1263" s="18" t="inlineStr"/>
      <c r="AT1263" s="19" t="inlineStr"/>
    </row>
    <row r="1264" ht="32" customHeight="1">
      <c r="A1264" s="18" t="inlineStr">
        <is>
          <t>0339_barboach.json::barboach-4::004</t>
        </is>
      </c>
      <c r="B1264" s="19" t="inlineStr">
        <is>
          <t>사용</t>
        </is>
      </c>
      <c r="C1264" s="18">
        <f>IF(OR(B1264&lt;&gt;AK1264,M1264&lt;&gt;L1264,O1264&lt;&gt;"",Q1264&lt;&gt;"",V1264&lt;&gt;1,Y1264&lt;&gt;"",AT1264&lt;&gt;""),"수정","원본")</f>
        <v/>
      </c>
      <c r="D1264" s="18" t="n">
        <v>339</v>
      </c>
      <c r="E1264" s="18" t="inlineStr">
        <is>
          <t>미꾸리</t>
        </is>
      </c>
      <c r="F1264" s="18" t="inlineStr">
        <is>
          <t>barboach</t>
        </is>
      </c>
      <c r="G1264" s="18" t="inlineStr">
        <is>
          <t>barboach</t>
        </is>
      </c>
      <c r="H1264" s="18" t="inlineStr"/>
      <c r="I1264" s="18" t="n">
        <v>3</v>
      </c>
      <c r="J1264" s="18" t="n"/>
      <c r="K1264" s="18" t="n">
        <v>3</v>
      </c>
      <c r="L1264" s="18" t="inlineStr">
        <is>
          <t>cobbleventure:generation_3</t>
        </is>
      </c>
      <c r="M1264" s="19" t="inlineStr">
        <is>
          <t>cobbleventure:generation_3</t>
        </is>
      </c>
      <c r="N1264" s="18" t="inlineStr">
        <is>
          <t>region_01; region_02</t>
        </is>
      </c>
      <c r="O1264" s="19" t="inlineStr"/>
      <c r="P1264" s="18" t="inlineStr">
        <is>
          <t>#cobblemon:is_overworld</t>
        </is>
      </c>
      <c r="Q1264" s="19" t="inlineStr"/>
      <c r="R1264" s="18">
        <f>IF(Q1264="",P1264,Q1264)</f>
        <v/>
      </c>
      <c r="S1264" s="18" t="inlineStr"/>
      <c r="T1264" s="18" t="inlineStr">
        <is>
          <t>common</t>
        </is>
      </c>
      <c r="U1264" s="20" t="n">
        <v>9</v>
      </c>
      <c r="V1264" s="21" t="n">
        <v>1</v>
      </c>
      <c r="W1264" s="20">
        <f>IF(OR(U1264="",V1264=""),U1264,U1264*V1264)</f>
        <v/>
      </c>
      <c r="X1264" s="18" t="inlineStr">
        <is>
          <t>4-29</t>
        </is>
      </c>
      <c r="Y1264" s="19" t="inlineStr"/>
      <c r="Z1264" s="18">
        <f>IF(Y1264="",X1264,Y1264)</f>
        <v/>
      </c>
      <c r="AA1264" s="18" t="inlineStr">
        <is>
          <t>fishing</t>
        </is>
      </c>
      <c r="AB1264" s="18" t="inlineStr"/>
      <c r="AC1264" s="18" t="inlineStr"/>
      <c r="AD1264" s="18" t="inlineStr"/>
      <c r="AE1264" s="18" t="inlineStr">
        <is>
          <t>sky 0-7</t>
        </is>
      </c>
      <c r="AF1264" s="18" t="inlineStr"/>
      <c r="AG1264" s="18" t="inlineStr"/>
      <c r="AH1264" s="18" t="inlineStr"/>
      <c r="AI1264" s="18" t="inlineStr"/>
      <c r="AJ1264" s="18" t="inlineStr">
        <is>
          <t>Cobblemon 동일</t>
        </is>
      </c>
      <c r="AK1264" s="18" t="inlineStr">
        <is>
          <t>사용</t>
        </is>
      </c>
      <c r="AL1264" s="18" t="inlineStr">
        <is>
          <t>COBBLEVERSE 1.7.42 / DP v31</t>
        </is>
      </c>
      <c r="AM1264" s="18" t="inlineStr">
        <is>
          <t>data/cobblemon/spawn_pool_world/0339_barboach.json</t>
        </is>
      </c>
      <c r="AN1264" s="18" t="inlineStr">
        <is>
          <t>barboach-4</t>
        </is>
      </c>
      <c r="AO1264" s="18" t="inlineStr">
        <is>
          <t>pokemon</t>
        </is>
      </c>
      <c r="AP1264" s="18" t="inlineStr"/>
      <c r="AQ1264" s="18" t="inlineStr">
        <is>
          <t>{"biomes":["#cobblemon:is_overworld"],"maxSkyLight":7,"minSkyLight":0}</t>
        </is>
      </c>
      <c r="AR1264" s="18" t="inlineStr"/>
      <c r="AS1264" s="18" t="inlineStr"/>
      <c r="AT1264" s="19" t="inlineStr"/>
    </row>
    <row r="1265" ht="32" customHeight="1">
      <c r="A1265" s="18" t="inlineStr">
        <is>
          <t>0339_barboach.json::barboach-5::005</t>
        </is>
      </c>
      <c r="B1265" s="19" t="inlineStr">
        <is>
          <t>사용</t>
        </is>
      </c>
      <c r="C1265" s="18">
        <f>IF(OR(B1265&lt;&gt;AK1265,M1265&lt;&gt;L1265,O1265&lt;&gt;"",Q1265&lt;&gt;"",V1265&lt;&gt;1,Y1265&lt;&gt;"",AT1265&lt;&gt;""),"수정","원본")</f>
        <v/>
      </c>
      <c r="D1265" s="18" t="n">
        <v>339</v>
      </c>
      <c r="E1265" s="18" t="inlineStr">
        <is>
          <t>미꾸리</t>
        </is>
      </c>
      <c r="F1265" s="18" t="inlineStr">
        <is>
          <t>barboach</t>
        </is>
      </c>
      <c r="G1265" s="18" t="inlineStr">
        <is>
          <t>barboach</t>
        </is>
      </c>
      <c r="H1265" s="18" t="inlineStr"/>
      <c r="I1265" s="18" t="n">
        <v>3</v>
      </c>
      <c r="J1265" s="18" t="n"/>
      <c r="K1265" s="18" t="n">
        <v>3</v>
      </c>
      <c r="L1265" s="18" t="inlineStr">
        <is>
          <t>cobbleventure:generation_3</t>
        </is>
      </c>
      <c r="M1265" s="19" t="inlineStr">
        <is>
          <t>cobbleventure:generation_3</t>
        </is>
      </c>
      <c r="N1265" s="18" t="inlineStr">
        <is>
          <t>region_02</t>
        </is>
      </c>
      <c r="O1265" s="19" t="inlineStr"/>
      <c r="P1265" s="18" t="inlineStr">
        <is>
          <t>#cobblemon:is_swamp</t>
        </is>
      </c>
      <c r="Q1265" s="19" t="inlineStr"/>
      <c r="R1265" s="18">
        <f>IF(Q1265="",P1265,Q1265)</f>
        <v/>
      </c>
      <c r="S1265" s="18" t="inlineStr"/>
      <c r="T1265" s="18" t="inlineStr">
        <is>
          <t>common</t>
        </is>
      </c>
      <c r="U1265" s="20" t="n">
        <v>9</v>
      </c>
      <c r="V1265" s="21" t="n">
        <v>1</v>
      </c>
      <c r="W1265" s="20">
        <f>IF(OR(U1265="",V1265=""),U1265,U1265*V1265)</f>
        <v/>
      </c>
      <c r="X1265" s="18" t="inlineStr">
        <is>
          <t>4-29</t>
        </is>
      </c>
      <c r="Y1265" s="19" t="inlineStr"/>
      <c r="Z1265" s="18">
        <f>IF(Y1265="",X1265,Y1265)</f>
        <v/>
      </c>
      <c r="AA1265" s="18" t="inlineStr">
        <is>
          <t>submerged</t>
        </is>
      </c>
      <c r="AB1265" s="18" t="inlineStr"/>
      <c r="AC1265" s="18" t="inlineStr"/>
      <c r="AD1265" s="18" t="inlineStr"/>
      <c r="AE1265" s="18" t="inlineStr">
        <is>
          <t>sky 8-15</t>
        </is>
      </c>
      <c r="AF1265" s="18" t="inlineStr">
        <is>
          <t>False</t>
        </is>
      </c>
      <c r="AG1265" s="18" t="inlineStr"/>
      <c r="AH1265" s="18" t="inlineStr"/>
      <c r="AI1265" s="18" t="inlineStr"/>
      <c r="AJ1265" s="18" t="inlineStr">
        <is>
          <t>Cobblemon 동일</t>
        </is>
      </c>
      <c r="AK1265" s="18" t="inlineStr">
        <is>
          <t>사용</t>
        </is>
      </c>
      <c r="AL1265" s="18" t="inlineStr">
        <is>
          <t>COBBLEVERSE 1.7.42 / DP v31</t>
        </is>
      </c>
      <c r="AM1265" s="18" t="inlineStr">
        <is>
          <t>data/cobblemon/spawn_pool_world/0339_barboach.json</t>
        </is>
      </c>
      <c r="AN1265" s="18" t="inlineStr">
        <is>
          <t>barboach-5</t>
        </is>
      </c>
      <c r="AO1265" s="18" t="inlineStr">
        <is>
          <t>pokemon</t>
        </is>
      </c>
      <c r="AP1265" s="18" t="inlineStr">
        <is>
          <t>water</t>
        </is>
      </c>
      <c r="AQ1265" s="18" t="inlineStr">
        <is>
          <t>{"biomes":["#cobblemon:is_swamp"],"canSeeSky":false,"maxSkyLight":15,"minSkyLight":8}</t>
        </is>
      </c>
      <c r="AR1265" s="18" t="inlineStr"/>
      <c r="AS1265" s="18" t="inlineStr"/>
      <c r="AT1265" s="19" t="inlineStr"/>
    </row>
    <row r="1266" ht="32" customHeight="1">
      <c r="A1266" s="18" t="inlineStr">
        <is>
          <t>0339_barboach.json::barboach-6::006</t>
        </is>
      </c>
      <c r="B1266" s="19" t="inlineStr">
        <is>
          <t>사용</t>
        </is>
      </c>
      <c r="C1266" s="18">
        <f>IF(OR(B1266&lt;&gt;AK1266,M1266&lt;&gt;L1266,O1266&lt;&gt;"",Q1266&lt;&gt;"",V1266&lt;&gt;1,Y1266&lt;&gt;"",AT1266&lt;&gt;""),"수정","원본")</f>
        <v/>
      </c>
      <c r="D1266" s="18" t="n">
        <v>339</v>
      </c>
      <c r="E1266" s="18" t="inlineStr">
        <is>
          <t>미꾸리</t>
        </is>
      </c>
      <c r="F1266" s="18" t="inlineStr">
        <is>
          <t>barboach</t>
        </is>
      </c>
      <c r="G1266" s="18" t="inlineStr">
        <is>
          <t>barboach</t>
        </is>
      </c>
      <c r="H1266" s="18" t="inlineStr"/>
      <c r="I1266" s="18" t="n">
        <v>3</v>
      </c>
      <c r="J1266" s="18" t="n"/>
      <c r="K1266" s="18" t="n">
        <v>3</v>
      </c>
      <c r="L1266" s="18" t="inlineStr">
        <is>
          <t>cobbleventure:generation_3</t>
        </is>
      </c>
      <c r="M1266" s="19" t="inlineStr">
        <is>
          <t>cobbleventure:generation_3</t>
        </is>
      </c>
      <c r="N1266" s="18" t="inlineStr">
        <is>
          <t>region_01; region_02</t>
        </is>
      </c>
      <c r="O1266" s="19" t="inlineStr"/>
      <c r="P1266" s="18" t="inlineStr">
        <is>
          <t>#cobblemon:is_arid; #cobblemon:is_freshwater; #cobblemon:is_hills; #cobblemon:is_jungle; #cobblemon:is_mushroom; #cobblemon:is_temperate</t>
        </is>
      </c>
      <c r="Q1266" s="19" t="inlineStr"/>
      <c r="R1266" s="18">
        <f>IF(Q1266="",P1266,Q1266)</f>
        <v/>
      </c>
      <c r="S1266" s="18" t="inlineStr">
        <is>
          <t>#cobblemon:is_freezing</t>
        </is>
      </c>
      <c r="T1266" s="18" t="inlineStr">
        <is>
          <t>common</t>
        </is>
      </c>
      <c r="U1266" s="20" t="n">
        <v>9</v>
      </c>
      <c r="V1266" s="21" t="n">
        <v>1</v>
      </c>
      <c r="W1266" s="20">
        <f>IF(OR(U1266="",V1266=""),U1266,U1266*V1266)</f>
        <v/>
      </c>
      <c r="X1266" s="18" t="inlineStr">
        <is>
          <t>4-29</t>
        </is>
      </c>
      <c r="Y1266" s="19" t="inlineStr"/>
      <c r="Z1266" s="18">
        <f>IF(Y1266="",X1266,Y1266)</f>
        <v/>
      </c>
      <c r="AA1266" s="18" t="inlineStr">
        <is>
          <t>fishing</t>
        </is>
      </c>
      <c r="AB1266" s="18" t="inlineStr"/>
      <c r="AC1266" s="18" t="inlineStr"/>
      <c r="AD1266" s="18" t="inlineStr"/>
      <c r="AE1266" s="18" t="inlineStr">
        <is>
          <t>sky 8-15</t>
        </is>
      </c>
      <c r="AF1266" s="18" t="inlineStr">
        <is>
          <t>False</t>
        </is>
      </c>
      <c r="AG1266" s="18" t="inlineStr"/>
      <c r="AH1266" s="18" t="inlineStr"/>
      <c r="AI1266" s="18" t="inlineStr"/>
      <c r="AJ1266" s="18" t="inlineStr">
        <is>
          <t>Cobblemon 동일</t>
        </is>
      </c>
      <c r="AK1266" s="18" t="inlineStr">
        <is>
          <t>사용</t>
        </is>
      </c>
      <c r="AL1266" s="18" t="inlineStr">
        <is>
          <t>COBBLEVERSE 1.7.42 / DP v31</t>
        </is>
      </c>
      <c r="AM1266" s="18" t="inlineStr">
        <is>
          <t>data/cobblemon/spawn_pool_world/0339_barboach.json</t>
        </is>
      </c>
      <c r="AN1266" s="18" t="inlineStr">
        <is>
          <t>barboach-6</t>
        </is>
      </c>
      <c r="AO1266" s="18" t="inlineStr">
        <is>
          <t>pokemon</t>
        </is>
      </c>
      <c r="AP1266" s="18" t="inlineStr"/>
      <c r="AQ1266" s="18" t="inlineStr">
        <is>
          <t>{"biomes":["#cobblemon:is_arid","#cobblemon:is_freshwater","#cobblemon:is_hills","#cobblemon:is_jungle","#cobblemon:is_mushroom","#cobblemon:is_temperate"],"canSeeSky":false,"maxSkyLight":15,"minSkyLight":8}</t>
        </is>
      </c>
      <c r="AR1266" s="18" t="inlineStr">
        <is>
          <t>{"biomes":["#cobblemon:is_freezing"]}</t>
        </is>
      </c>
      <c r="AS1266" s="18" t="inlineStr"/>
      <c r="AT1266" s="19" t="inlineStr"/>
    </row>
    <row r="1267" ht="32" customHeight="1">
      <c r="A1267" s="18" t="inlineStr">
        <is>
          <t>0340_whiscash.json::whiscash-1::001</t>
        </is>
      </c>
      <c r="B1267" s="19" t="inlineStr">
        <is>
          <t>사용</t>
        </is>
      </c>
      <c r="C1267" s="18">
        <f>IF(OR(B1267&lt;&gt;AK1267,M1267&lt;&gt;L1267,O1267&lt;&gt;"",Q1267&lt;&gt;"",V1267&lt;&gt;1,Y1267&lt;&gt;"",AT1267&lt;&gt;""),"수정","원본")</f>
        <v/>
      </c>
      <c r="D1267" s="18" t="n">
        <v>340</v>
      </c>
      <c r="E1267" s="18" t="inlineStr">
        <is>
          <t>메깅</t>
        </is>
      </c>
      <c r="F1267" s="18" t="inlineStr">
        <is>
          <t>whiscash</t>
        </is>
      </c>
      <c r="G1267" s="18" t="inlineStr">
        <is>
          <t>whiscash</t>
        </is>
      </c>
      <c r="H1267" s="18" t="inlineStr"/>
      <c r="I1267" s="18" t="n">
        <v>3</v>
      </c>
      <c r="J1267" s="18" t="n"/>
      <c r="K1267" s="18" t="n">
        <v>3</v>
      </c>
      <c r="L1267" s="18" t="inlineStr">
        <is>
          <t>cobbleventure:generation_3</t>
        </is>
      </c>
      <c r="M1267" s="19" t="inlineStr">
        <is>
          <t>cobbleventure:generation_3</t>
        </is>
      </c>
      <c r="N1267" s="18" t="inlineStr">
        <is>
          <t>region_02</t>
        </is>
      </c>
      <c r="O1267" s="19" t="inlineStr"/>
      <c r="P1267" s="18" t="inlineStr">
        <is>
          <t>#cobblemon:is_swamp</t>
        </is>
      </c>
      <c r="Q1267" s="19" t="inlineStr"/>
      <c r="R1267" s="18">
        <f>IF(Q1267="",P1267,Q1267)</f>
        <v/>
      </c>
      <c r="S1267" s="18" t="inlineStr"/>
      <c r="T1267" s="18" t="inlineStr">
        <is>
          <t>common</t>
        </is>
      </c>
      <c r="U1267" s="20" t="n">
        <v>1</v>
      </c>
      <c r="V1267" s="21" t="n">
        <v>1</v>
      </c>
      <c r="W1267" s="20">
        <f>IF(OR(U1267="",V1267=""),U1267,U1267*V1267)</f>
        <v/>
      </c>
      <c r="X1267" s="18" t="inlineStr">
        <is>
          <t>30-47</t>
        </is>
      </c>
      <c r="Y1267" s="19" t="inlineStr"/>
      <c r="Z1267" s="18">
        <f>IF(Y1267="",X1267,Y1267)</f>
        <v/>
      </c>
      <c r="AA1267" s="18" t="inlineStr">
        <is>
          <t>submerged</t>
        </is>
      </c>
      <c r="AB1267" s="18" t="inlineStr"/>
      <c r="AC1267" s="18" t="inlineStr"/>
      <c r="AD1267" s="18" t="inlineStr"/>
      <c r="AE1267" s="18" t="inlineStr"/>
      <c r="AF1267" s="18" t="inlineStr">
        <is>
          <t>True</t>
        </is>
      </c>
      <c r="AG1267" s="18" t="inlineStr"/>
      <c r="AH1267" s="18" t="inlineStr"/>
      <c r="AI1267" s="18" t="inlineStr"/>
      <c r="AJ1267" s="18" t="inlineStr">
        <is>
          <t>Cobblemon 동일</t>
        </is>
      </c>
      <c r="AK1267" s="18" t="inlineStr">
        <is>
          <t>사용</t>
        </is>
      </c>
      <c r="AL1267" s="18" t="inlineStr">
        <is>
          <t>COBBLEVERSE 1.7.42 / DP v31</t>
        </is>
      </c>
      <c r="AM1267" s="18" t="inlineStr">
        <is>
          <t>data/cobblemon/spawn_pool_world/0340_whiscash.json</t>
        </is>
      </c>
      <c r="AN1267" s="18" t="inlineStr">
        <is>
          <t>whiscash-1</t>
        </is>
      </c>
      <c r="AO1267" s="18" t="inlineStr">
        <is>
          <t>pokemon</t>
        </is>
      </c>
      <c r="AP1267" s="18" t="inlineStr">
        <is>
          <t>water</t>
        </is>
      </c>
      <c r="AQ1267" s="18" t="inlineStr">
        <is>
          <t>{"biomes":["#cobblemon:is_swamp"],"canSeeSky":true}</t>
        </is>
      </c>
      <c r="AR1267" s="18" t="inlineStr"/>
      <c r="AS1267" s="18" t="inlineStr"/>
      <c r="AT1267" s="19" t="inlineStr"/>
    </row>
    <row r="1268" ht="32" customHeight="1">
      <c r="A1268" s="18" t="inlineStr">
        <is>
          <t>0340_whiscash.json::whiscash-2::002</t>
        </is>
      </c>
      <c r="B1268" s="19" t="inlineStr">
        <is>
          <t>사용</t>
        </is>
      </c>
      <c r="C1268" s="18">
        <f>IF(OR(B1268&lt;&gt;AK1268,M1268&lt;&gt;L1268,O1268&lt;&gt;"",Q1268&lt;&gt;"",V1268&lt;&gt;1,Y1268&lt;&gt;"",AT1268&lt;&gt;""),"수정","원본")</f>
        <v/>
      </c>
      <c r="D1268" s="18" t="n">
        <v>340</v>
      </c>
      <c r="E1268" s="18" t="inlineStr">
        <is>
          <t>메깅</t>
        </is>
      </c>
      <c r="F1268" s="18" t="inlineStr">
        <is>
          <t>whiscash</t>
        </is>
      </c>
      <c r="G1268" s="18" t="inlineStr">
        <is>
          <t>whiscash</t>
        </is>
      </c>
      <c r="H1268" s="18" t="inlineStr"/>
      <c r="I1268" s="18" t="n">
        <v>3</v>
      </c>
      <c r="J1268" s="18" t="n"/>
      <c r="K1268" s="18" t="n">
        <v>3</v>
      </c>
      <c r="L1268" s="18" t="inlineStr">
        <is>
          <t>cobbleventure:generation_3</t>
        </is>
      </c>
      <c r="M1268" s="19" t="inlineStr">
        <is>
          <t>cobbleventure:generation_3</t>
        </is>
      </c>
      <c r="N1268" s="18" t="inlineStr">
        <is>
          <t>region_01; region_02</t>
        </is>
      </c>
      <c r="O1268" s="19" t="inlineStr"/>
      <c r="P1268" s="18" t="inlineStr">
        <is>
          <t>#cobblemon:is_overworld</t>
        </is>
      </c>
      <c r="Q1268" s="19" t="inlineStr"/>
      <c r="R1268" s="18">
        <f>IF(Q1268="",P1268,Q1268)</f>
        <v/>
      </c>
      <c r="S1268" s="18" t="inlineStr"/>
      <c r="T1268" s="18" t="inlineStr">
        <is>
          <t>uncommon</t>
        </is>
      </c>
      <c r="U1268" s="20" t="n">
        <v>1.6</v>
      </c>
      <c r="V1268" s="21" t="n">
        <v>1</v>
      </c>
      <c r="W1268" s="20">
        <f>IF(OR(U1268="",V1268=""),U1268,U1268*V1268)</f>
        <v/>
      </c>
      <c r="X1268" s="18" t="inlineStr">
        <is>
          <t>30-47</t>
        </is>
      </c>
      <c r="Y1268" s="19" t="inlineStr"/>
      <c r="Z1268" s="18">
        <f>IF(Y1268="",X1268,Y1268)</f>
        <v/>
      </c>
      <c r="AA1268" s="18" t="inlineStr">
        <is>
          <t>submerged</t>
        </is>
      </c>
      <c r="AB1268" s="18" t="inlineStr"/>
      <c r="AC1268" s="18" t="inlineStr"/>
      <c r="AD1268" s="18" t="inlineStr"/>
      <c r="AE1268" s="18" t="inlineStr">
        <is>
          <t>sky 0-7</t>
        </is>
      </c>
      <c r="AF1268" s="18" t="inlineStr"/>
      <c r="AG1268" s="18" t="inlineStr"/>
      <c r="AH1268" s="18" t="inlineStr"/>
      <c r="AI1268" s="18" t="inlineStr"/>
      <c r="AJ1268" s="18" t="inlineStr">
        <is>
          <t>Cobblemon 동일</t>
        </is>
      </c>
      <c r="AK1268" s="18" t="inlineStr">
        <is>
          <t>사용</t>
        </is>
      </c>
      <c r="AL1268" s="18" t="inlineStr">
        <is>
          <t>COBBLEVERSE 1.7.42 / DP v31</t>
        </is>
      </c>
      <c r="AM1268" s="18" t="inlineStr">
        <is>
          <t>data/cobblemon/spawn_pool_world/0340_whiscash.json</t>
        </is>
      </c>
      <c r="AN1268" s="18" t="inlineStr">
        <is>
          <t>whiscash-2</t>
        </is>
      </c>
      <c r="AO1268" s="18" t="inlineStr">
        <is>
          <t>pokemon</t>
        </is>
      </c>
      <c r="AP1268" s="18" t="inlineStr">
        <is>
          <t>water</t>
        </is>
      </c>
      <c r="AQ1268" s="18" t="inlineStr">
        <is>
          <t>{"biomes":["#cobblemon:is_overworld"],"maxSkyLight":7,"minSkyLight":0}</t>
        </is>
      </c>
      <c r="AR1268" s="18" t="inlineStr"/>
      <c r="AS1268" s="18" t="inlineStr"/>
      <c r="AT1268" s="19" t="inlineStr"/>
    </row>
    <row r="1269" ht="32" customHeight="1">
      <c r="A1269" s="18" t="inlineStr">
        <is>
          <t>0340_whiscash.json::whiscash-3::003</t>
        </is>
      </c>
      <c r="B1269" s="19" t="inlineStr">
        <is>
          <t>사용</t>
        </is>
      </c>
      <c r="C1269" s="18">
        <f>IF(OR(B1269&lt;&gt;AK1269,M1269&lt;&gt;L1269,O1269&lt;&gt;"",Q1269&lt;&gt;"",V1269&lt;&gt;1,Y1269&lt;&gt;"",AT1269&lt;&gt;""),"수정","원본")</f>
        <v/>
      </c>
      <c r="D1269" s="18" t="n">
        <v>340</v>
      </c>
      <c r="E1269" s="18" t="inlineStr">
        <is>
          <t>메깅</t>
        </is>
      </c>
      <c r="F1269" s="18" t="inlineStr">
        <is>
          <t>whiscash</t>
        </is>
      </c>
      <c r="G1269" s="18" t="inlineStr">
        <is>
          <t>whiscash</t>
        </is>
      </c>
      <c r="H1269" s="18" t="inlineStr"/>
      <c r="I1269" s="18" t="n">
        <v>3</v>
      </c>
      <c r="J1269" s="18" t="n"/>
      <c r="K1269" s="18" t="n">
        <v>3</v>
      </c>
      <c r="L1269" s="18" t="inlineStr">
        <is>
          <t>cobbleventure:generation_3</t>
        </is>
      </c>
      <c r="M1269" s="19" t="inlineStr">
        <is>
          <t>cobbleventure:generation_3</t>
        </is>
      </c>
      <c r="N1269" s="18" t="inlineStr">
        <is>
          <t>region_01; region_02</t>
        </is>
      </c>
      <c r="O1269" s="19" t="inlineStr"/>
      <c r="P1269" s="18" t="inlineStr">
        <is>
          <t>#cobblemon:is_arid; #cobblemon:is_freshwater; #cobblemon:is_hills; #cobblemon:is_jungle; #cobblemon:is_mushroom; #cobblemon:is_temperate</t>
        </is>
      </c>
      <c r="Q1269" s="19" t="inlineStr"/>
      <c r="R1269" s="18">
        <f>IF(Q1269="",P1269,Q1269)</f>
        <v/>
      </c>
      <c r="S1269" s="18" t="inlineStr">
        <is>
          <t>#cobblemon:is_freezing</t>
        </is>
      </c>
      <c r="T1269" s="18" t="inlineStr">
        <is>
          <t>common</t>
        </is>
      </c>
      <c r="U1269" s="20" t="n">
        <v>1</v>
      </c>
      <c r="V1269" s="21" t="n">
        <v>1</v>
      </c>
      <c r="W1269" s="20">
        <f>IF(OR(U1269="",V1269=""),U1269,U1269*V1269)</f>
        <v/>
      </c>
      <c r="X1269" s="18" t="inlineStr">
        <is>
          <t>30-47</t>
        </is>
      </c>
      <c r="Y1269" s="19" t="inlineStr"/>
      <c r="Z1269" s="18">
        <f>IF(Y1269="",X1269,Y1269)</f>
        <v/>
      </c>
      <c r="AA1269" s="18" t="inlineStr">
        <is>
          <t>fishing</t>
        </is>
      </c>
      <c r="AB1269" s="18" t="inlineStr"/>
      <c r="AC1269" s="18" t="inlineStr"/>
      <c r="AD1269" s="18" t="inlineStr"/>
      <c r="AE1269" s="18" t="inlineStr"/>
      <c r="AF1269" s="18" t="inlineStr">
        <is>
          <t>True</t>
        </is>
      </c>
      <c r="AG1269" s="18" t="inlineStr"/>
      <c r="AH1269" s="18" t="inlineStr"/>
      <c r="AI1269" s="18" t="inlineStr"/>
      <c r="AJ1269" s="18" t="inlineStr">
        <is>
          <t>Cobblemon 동일</t>
        </is>
      </c>
      <c r="AK1269" s="18" t="inlineStr">
        <is>
          <t>사용</t>
        </is>
      </c>
      <c r="AL1269" s="18" t="inlineStr">
        <is>
          <t>COBBLEVERSE 1.7.42 / DP v31</t>
        </is>
      </c>
      <c r="AM1269" s="18" t="inlineStr">
        <is>
          <t>data/cobblemon/spawn_pool_world/0340_whiscash.json</t>
        </is>
      </c>
      <c r="AN1269" s="18" t="inlineStr">
        <is>
          <t>whiscash-3</t>
        </is>
      </c>
      <c r="AO1269" s="18" t="inlineStr">
        <is>
          <t>pokemon</t>
        </is>
      </c>
      <c r="AP1269" s="18" t="inlineStr"/>
      <c r="AQ1269" s="18" t="inlineStr">
        <is>
          <t>{"biomes":["#cobblemon:is_arid","#cobblemon:is_freshwater","#cobblemon:is_hills","#cobblemon:is_jungle","#cobblemon:is_mushroom","#cobblemon:is_temperate"],"canSeeSky":true}</t>
        </is>
      </c>
      <c r="AR1269" s="18" t="inlineStr">
        <is>
          <t>{"biomes":["#cobblemon:is_freezing"]}</t>
        </is>
      </c>
      <c r="AS1269" s="18" t="inlineStr"/>
      <c r="AT1269" s="19" t="inlineStr"/>
    </row>
    <row r="1270" ht="32" customHeight="1">
      <c r="A1270" s="18" t="inlineStr">
        <is>
          <t>0340_whiscash.json::whiscash-4::004</t>
        </is>
      </c>
      <c r="B1270" s="19" t="inlineStr">
        <is>
          <t>사용</t>
        </is>
      </c>
      <c r="C1270" s="18">
        <f>IF(OR(B1270&lt;&gt;AK1270,M1270&lt;&gt;L1270,O1270&lt;&gt;"",Q1270&lt;&gt;"",V1270&lt;&gt;1,Y1270&lt;&gt;"",AT1270&lt;&gt;""),"수정","원본")</f>
        <v/>
      </c>
      <c r="D1270" s="18" t="n">
        <v>340</v>
      </c>
      <c r="E1270" s="18" t="inlineStr">
        <is>
          <t>메깅</t>
        </is>
      </c>
      <c r="F1270" s="18" t="inlineStr">
        <is>
          <t>whiscash</t>
        </is>
      </c>
      <c r="G1270" s="18" t="inlineStr">
        <is>
          <t>whiscash</t>
        </is>
      </c>
      <c r="H1270" s="18" t="inlineStr"/>
      <c r="I1270" s="18" t="n">
        <v>3</v>
      </c>
      <c r="J1270" s="18" t="n"/>
      <c r="K1270" s="18" t="n">
        <v>3</v>
      </c>
      <c r="L1270" s="18" t="inlineStr">
        <is>
          <t>cobbleventure:generation_3</t>
        </is>
      </c>
      <c r="M1270" s="19" t="inlineStr">
        <is>
          <t>cobbleventure:generation_3</t>
        </is>
      </c>
      <c r="N1270" s="18" t="inlineStr">
        <is>
          <t>region_01; region_02</t>
        </is>
      </c>
      <c r="O1270" s="19" t="inlineStr"/>
      <c r="P1270" s="18" t="inlineStr">
        <is>
          <t>#cobblemon:is_overworld</t>
        </is>
      </c>
      <c r="Q1270" s="19" t="inlineStr"/>
      <c r="R1270" s="18">
        <f>IF(Q1270="",P1270,Q1270)</f>
        <v/>
      </c>
      <c r="S1270" s="18" t="inlineStr"/>
      <c r="T1270" s="18" t="inlineStr">
        <is>
          <t>common</t>
        </is>
      </c>
      <c r="U1270" s="20" t="n">
        <v>1</v>
      </c>
      <c r="V1270" s="21" t="n">
        <v>1</v>
      </c>
      <c r="W1270" s="20">
        <f>IF(OR(U1270="",V1270=""),U1270,U1270*V1270)</f>
        <v/>
      </c>
      <c r="X1270" s="18" t="inlineStr">
        <is>
          <t>30-47</t>
        </is>
      </c>
      <c r="Y1270" s="19" t="inlineStr"/>
      <c r="Z1270" s="18">
        <f>IF(Y1270="",X1270,Y1270)</f>
        <v/>
      </c>
      <c r="AA1270" s="18" t="inlineStr">
        <is>
          <t>fishing</t>
        </is>
      </c>
      <c r="AB1270" s="18" t="inlineStr"/>
      <c r="AC1270" s="18" t="inlineStr"/>
      <c r="AD1270" s="18" t="inlineStr"/>
      <c r="AE1270" s="18" t="inlineStr">
        <is>
          <t>sky 0-7</t>
        </is>
      </c>
      <c r="AF1270" s="18" t="inlineStr"/>
      <c r="AG1270" s="18" t="inlineStr"/>
      <c r="AH1270" s="18" t="inlineStr"/>
      <c r="AI1270" s="18" t="inlineStr"/>
      <c r="AJ1270" s="18" t="inlineStr">
        <is>
          <t>Cobblemon 동일</t>
        </is>
      </c>
      <c r="AK1270" s="18" t="inlineStr">
        <is>
          <t>사용</t>
        </is>
      </c>
      <c r="AL1270" s="18" t="inlineStr">
        <is>
          <t>COBBLEVERSE 1.7.42 / DP v31</t>
        </is>
      </c>
      <c r="AM1270" s="18" t="inlineStr">
        <is>
          <t>data/cobblemon/spawn_pool_world/0340_whiscash.json</t>
        </is>
      </c>
      <c r="AN1270" s="18" t="inlineStr">
        <is>
          <t>whiscash-4</t>
        </is>
      </c>
      <c r="AO1270" s="18" t="inlineStr">
        <is>
          <t>pokemon</t>
        </is>
      </c>
      <c r="AP1270" s="18" t="inlineStr"/>
      <c r="AQ1270" s="18" t="inlineStr">
        <is>
          <t>{"biomes":["#cobblemon:is_overworld"],"maxSkyLight":7,"minSkyLight":0}</t>
        </is>
      </c>
      <c r="AR1270" s="18" t="inlineStr"/>
      <c r="AS1270" s="18" t="inlineStr"/>
      <c r="AT1270" s="19" t="inlineStr"/>
    </row>
    <row r="1271" ht="32" customHeight="1">
      <c r="A1271" s="18" t="inlineStr">
        <is>
          <t>0340_whiscash.json::whiscash-true-5::005</t>
        </is>
      </c>
      <c r="B1271" s="19" t="inlineStr">
        <is>
          <t>사용</t>
        </is>
      </c>
      <c r="C1271" s="18">
        <f>IF(OR(B1271&lt;&gt;AK1271,M1271&lt;&gt;L1271,O1271&lt;&gt;"",Q1271&lt;&gt;"",V1271&lt;&gt;1,Y1271&lt;&gt;"",AT1271&lt;&gt;""),"수정","원본")</f>
        <v/>
      </c>
      <c r="D1271" s="18" t="n">
        <v>340</v>
      </c>
      <c r="E1271" s="18" t="inlineStr">
        <is>
          <t>메깅</t>
        </is>
      </c>
      <c r="F1271" s="18" t="inlineStr">
        <is>
          <t>whiscash</t>
        </is>
      </c>
      <c r="G1271" s="18" t="inlineStr">
        <is>
          <t>whiscash whiscash_nero=true</t>
        </is>
      </c>
      <c r="H1271" s="18" t="inlineStr">
        <is>
          <t>whiscash_nero=true</t>
        </is>
      </c>
      <c r="I1271" s="18" t="n">
        <v>3</v>
      </c>
      <c r="J1271" s="18" t="n"/>
      <c r="K1271" s="18" t="n">
        <v>3</v>
      </c>
      <c r="L1271" s="18" t="inlineStr">
        <is>
          <t>cobbleventure:generation_3</t>
        </is>
      </c>
      <c r="M1271" s="19" t="inlineStr">
        <is>
          <t>cobbleventure:generation_3</t>
        </is>
      </c>
      <c r="N1271" s="18" t="inlineStr">
        <is>
          <t>region_01; region_02</t>
        </is>
      </c>
      <c r="O1271" s="19" t="inlineStr"/>
      <c r="P1271" s="18" t="inlineStr">
        <is>
          <t>#cobblemon:is_arid; #cobblemon:is_freshwater; #cobblemon:is_hills; #cobblemon:is_jungle; #cobblemon:is_mushroom; #cobblemon:is_temperate</t>
        </is>
      </c>
      <c r="Q1271" s="19" t="inlineStr"/>
      <c r="R1271" s="18">
        <f>IF(Q1271="",P1271,Q1271)</f>
        <v/>
      </c>
      <c r="S1271" s="18" t="inlineStr">
        <is>
          <t>#cobblemon:is_freezing</t>
        </is>
      </c>
      <c r="T1271" s="18" t="inlineStr">
        <is>
          <t>rare</t>
        </is>
      </c>
      <c r="U1271" s="20" t="n">
        <v>10</v>
      </c>
      <c r="V1271" s="21" t="n">
        <v>1</v>
      </c>
      <c r="W1271" s="20">
        <f>IF(OR(U1271="",V1271=""),U1271,U1271*V1271)</f>
        <v/>
      </c>
      <c r="X1271" s="18" t="inlineStr">
        <is>
          <t>30-47</t>
        </is>
      </c>
      <c r="Y1271" s="19" t="inlineStr"/>
      <c r="Z1271" s="18">
        <f>IF(Y1271="",X1271,Y1271)</f>
        <v/>
      </c>
      <c r="AA1271" s="18" t="inlineStr">
        <is>
          <t>fishing</t>
        </is>
      </c>
      <c r="AB1271" s="18" t="inlineStr"/>
      <c r="AC1271" s="18" t="inlineStr"/>
      <c r="AD1271" s="18" t="inlineStr"/>
      <c r="AE1271" s="18" t="inlineStr"/>
      <c r="AF1271" s="18" t="inlineStr">
        <is>
          <t>True</t>
        </is>
      </c>
      <c r="AG1271" s="18" t="inlineStr"/>
      <c r="AH1271" s="18" t="inlineStr"/>
      <c r="AI1271" s="18" t="inlineStr">
        <is>
          <t>{"fishing":{"rodType":"cobblemon:master_rod"}}</t>
        </is>
      </c>
      <c r="AJ1271" s="18" t="inlineStr">
        <is>
          <t>Cobblemon 동일</t>
        </is>
      </c>
      <c r="AK1271" s="18" t="inlineStr">
        <is>
          <t>사용</t>
        </is>
      </c>
      <c r="AL1271" s="18" t="inlineStr">
        <is>
          <t>COBBLEVERSE 1.7.42 / DP v31</t>
        </is>
      </c>
      <c r="AM1271" s="18" t="inlineStr">
        <is>
          <t>data/cobblemon/spawn_pool_world/0340_whiscash.json</t>
        </is>
      </c>
      <c r="AN1271" s="18" t="inlineStr">
        <is>
          <t>whiscash-true-5</t>
        </is>
      </c>
      <c r="AO1271" s="18" t="inlineStr">
        <is>
          <t>pokemon</t>
        </is>
      </c>
      <c r="AP1271" s="18" t="inlineStr"/>
      <c r="AQ1271" s="18" t="inlineStr">
        <is>
          <t>{"biomes":["#cobblemon:is_arid","#cobblemon:is_freshwater","#cobblemon:is_hills","#cobblemon:is_jungle","#cobblemon:is_mushroom","#cobblemon:is_temperate"],"canSeeSky":true,"rodType":"cobblemon:master_rod"}</t>
        </is>
      </c>
      <c r="AR1271" s="18" t="inlineStr">
        <is>
          <t>{"biomes":["#cobblemon:is_freezing"]}</t>
        </is>
      </c>
      <c r="AS1271" s="18" t="inlineStr"/>
      <c r="AT1271" s="19" t="inlineStr"/>
    </row>
    <row r="1272" ht="32" customHeight="1">
      <c r="A1272" s="18" t="inlineStr">
        <is>
          <t>0340_whiscash.json::whiscash-true-6::006</t>
        </is>
      </c>
      <c r="B1272" s="19" t="inlineStr">
        <is>
          <t>사용</t>
        </is>
      </c>
      <c r="C1272" s="18">
        <f>IF(OR(B1272&lt;&gt;AK1272,M1272&lt;&gt;L1272,O1272&lt;&gt;"",Q1272&lt;&gt;"",V1272&lt;&gt;1,Y1272&lt;&gt;"",AT1272&lt;&gt;""),"수정","원본")</f>
        <v/>
      </c>
      <c r="D1272" s="18" t="n">
        <v>340</v>
      </c>
      <c r="E1272" s="18" t="inlineStr">
        <is>
          <t>메깅</t>
        </is>
      </c>
      <c r="F1272" s="18" t="inlineStr">
        <is>
          <t>whiscash</t>
        </is>
      </c>
      <c r="G1272" s="18" t="inlineStr">
        <is>
          <t>whiscash whiscash_nero=true</t>
        </is>
      </c>
      <c r="H1272" s="18" t="inlineStr">
        <is>
          <t>whiscash_nero=true</t>
        </is>
      </c>
      <c r="I1272" s="18" t="n">
        <v>3</v>
      </c>
      <c r="J1272" s="18" t="n"/>
      <c r="K1272" s="18" t="n">
        <v>3</v>
      </c>
      <c r="L1272" s="18" t="inlineStr">
        <is>
          <t>cobbleventure:generation_3</t>
        </is>
      </c>
      <c r="M1272" s="19" t="inlineStr">
        <is>
          <t>cobbleventure:generation_3</t>
        </is>
      </c>
      <c r="N1272" s="18" t="inlineStr">
        <is>
          <t>region_01; region_02</t>
        </is>
      </c>
      <c r="O1272" s="19" t="inlineStr"/>
      <c r="P1272" s="18" t="inlineStr">
        <is>
          <t>#cobblemon:is_overworld</t>
        </is>
      </c>
      <c r="Q1272" s="19" t="inlineStr"/>
      <c r="R1272" s="18">
        <f>IF(Q1272="",P1272,Q1272)</f>
        <v/>
      </c>
      <c r="S1272" s="18" t="inlineStr"/>
      <c r="T1272" s="18" t="inlineStr">
        <is>
          <t>rare</t>
        </is>
      </c>
      <c r="U1272" s="20" t="n">
        <v>10</v>
      </c>
      <c r="V1272" s="21" t="n">
        <v>1</v>
      </c>
      <c r="W1272" s="20">
        <f>IF(OR(U1272="",V1272=""),U1272,U1272*V1272)</f>
        <v/>
      </c>
      <c r="X1272" s="18" t="inlineStr">
        <is>
          <t>30-47</t>
        </is>
      </c>
      <c r="Y1272" s="19" t="inlineStr"/>
      <c r="Z1272" s="18">
        <f>IF(Y1272="",X1272,Y1272)</f>
        <v/>
      </c>
      <c r="AA1272" s="18" t="inlineStr">
        <is>
          <t>fishing</t>
        </is>
      </c>
      <c r="AB1272" s="18" t="inlineStr"/>
      <c r="AC1272" s="18" t="inlineStr"/>
      <c r="AD1272" s="18" t="inlineStr"/>
      <c r="AE1272" s="18" t="inlineStr">
        <is>
          <t>sky 0-7</t>
        </is>
      </c>
      <c r="AF1272" s="18" t="inlineStr"/>
      <c r="AG1272" s="18" t="inlineStr"/>
      <c r="AH1272" s="18" t="inlineStr"/>
      <c r="AI1272" s="18" t="inlineStr">
        <is>
          <t>{"fishing":{"rodType":"cobblemon:master_rod"}}</t>
        </is>
      </c>
      <c r="AJ1272" s="18" t="inlineStr">
        <is>
          <t>Cobblemon 동일</t>
        </is>
      </c>
      <c r="AK1272" s="18" t="inlineStr">
        <is>
          <t>사용</t>
        </is>
      </c>
      <c r="AL1272" s="18" t="inlineStr">
        <is>
          <t>COBBLEVERSE 1.7.42 / DP v31</t>
        </is>
      </c>
      <c r="AM1272" s="18" t="inlineStr">
        <is>
          <t>data/cobblemon/spawn_pool_world/0340_whiscash.json</t>
        </is>
      </c>
      <c r="AN1272" s="18" t="inlineStr">
        <is>
          <t>whiscash-true-6</t>
        </is>
      </c>
      <c r="AO1272" s="18" t="inlineStr">
        <is>
          <t>pokemon</t>
        </is>
      </c>
      <c r="AP1272" s="18" t="inlineStr"/>
      <c r="AQ1272" s="18" t="inlineStr">
        <is>
          <t>{"biomes":["#cobblemon:is_overworld"],"maxSkyLight":7,"minSkyLight":0,"rodType":"cobblemon:master_rod"}</t>
        </is>
      </c>
      <c r="AR1272" s="18" t="inlineStr"/>
      <c r="AS1272" s="18" t="inlineStr"/>
      <c r="AT1272" s="19" t="inlineStr"/>
    </row>
    <row r="1273" ht="32" customHeight="1">
      <c r="A1273" s="18" t="inlineStr">
        <is>
          <t>0340_whiscash.json::whiscash-7::007</t>
        </is>
      </c>
      <c r="B1273" s="19" t="inlineStr">
        <is>
          <t>사용</t>
        </is>
      </c>
      <c r="C1273" s="18">
        <f>IF(OR(B1273&lt;&gt;AK1273,M1273&lt;&gt;L1273,O1273&lt;&gt;"",Q1273&lt;&gt;"",V1273&lt;&gt;1,Y1273&lt;&gt;"",AT1273&lt;&gt;""),"수정","원본")</f>
        <v/>
      </c>
      <c r="D1273" s="18" t="n">
        <v>340</v>
      </c>
      <c r="E1273" s="18" t="inlineStr">
        <is>
          <t>메깅</t>
        </is>
      </c>
      <c r="F1273" s="18" t="inlineStr">
        <is>
          <t>whiscash</t>
        </is>
      </c>
      <c r="G1273" s="18" t="inlineStr">
        <is>
          <t>whiscash</t>
        </is>
      </c>
      <c r="H1273" s="18" t="inlineStr"/>
      <c r="I1273" s="18" t="n">
        <v>3</v>
      </c>
      <c r="J1273" s="18" t="n"/>
      <c r="K1273" s="18" t="n">
        <v>3</v>
      </c>
      <c r="L1273" s="18" t="inlineStr">
        <is>
          <t>cobbleventure:generation_3</t>
        </is>
      </c>
      <c r="M1273" s="19" t="inlineStr">
        <is>
          <t>cobbleventure:generation_3</t>
        </is>
      </c>
      <c r="N1273" s="18" t="inlineStr">
        <is>
          <t>region_02</t>
        </is>
      </c>
      <c r="O1273" s="19" t="inlineStr"/>
      <c r="P1273" s="18" t="inlineStr">
        <is>
          <t>#cobblemon:is_swamp</t>
        </is>
      </c>
      <c r="Q1273" s="19" t="inlineStr"/>
      <c r="R1273" s="18">
        <f>IF(Q1273="",P1273,Q1273)</f>
        <v/>
      </c>
      <c r="S1273" s="18" t="inlineStr"/>
      <c r="T1273" s="18" t="inlineStr">
        <is>
          <t>common</t>
        </is>
      </c>
      <c r="U1273" s="20" t="n">
        <v>1</v>
      </c>
      <c r="V1273" s="21" t="n">
        <v>1</v>
      </c>
      <c r="W1273" s="20">
        <f>IF(OR(U1273="",V1273=""),U1273,U1273*V1273)</f>
        <v/>
      </c>
      <c r="X1273" s="18" t="inlineStr">
        <is>
          <t>30-47</t>
        </is>
      </c>
      <c r="Y1273" s="19" t="inlineStr"/>
      <c r="Z1273" s="18">
        <f>IF(Y1273="",X1273,Y1273)</f>
        <v/>
      </c>
      <c r="AA1273" s="18" t="inlineStr">
        <is>
          <t>submerged</t>
        </is>
      </c>
      <c r="AB1273" s="18" t="inlineStr"/>
      <c r="AC1273" s="18" t="inlineStr"/>
      <c r="AD1273" s="18" t="inlineStr"/>
      <c r="AE1273" s="18" t="inlineStr">
        <is>
          <t>sky 8-15</t>
        </is>
      </c>
      <c r="AF1273" s="18" t="inlineStr">
        <is>
          <t>False</t>
        </is>
      </c>
      <c r="AG1273" s="18" t="inlineStr"/>
      <c r="AH1273" s="18" t="inlineStr"/>
      <c r="AI1273" s="18" t="inlineStr"/>
      <c r="AJ1273" s="18" t="inlineStr">
        <is>
          <t>Cobblemon 동일</t>
        </is>
      </c>
      <c r="AK1273" s="18" t="inlineStr">
        <is>
          <t>사용</t>
        </is>
      </c>
      <c r="AL1273" s="18" t="inlineStr">
        <is>
          <t>COBBLEVERSE 1.7.42 / DP v31</t>
        </is>
      </c>
      <c r="AM1273" s="18" t="inlineStr">
        <is>
          <t>data/cobblemon/spawn_pool_world/0340_whiscash.json</t>
        </is>
      </c>
      <c r="AN1273" s="18" t="inlineStr">
        <is>
          <t>whiscash-7</t>
        </is>
      </c>
      <c r="AO1273" s="18" t="inlineStr">
        <is>
          <t>pokemon</t>
        </is>
      </c>
      <c r="AP1273" s="18" t="inlineStr">
        <is>
          <t>water</t>
        </is>
      </c>
      <c r="AQ1273" s="18" t="inlineStr">
        <is>
          <t>{"biomes":["#cobblemon:is_swamp"],"canSeeSky":false,"maxSkyLight":15,"minSkyLight":8}</t>
        </is>
      </c>
      <c r="AR1273" s="18" t="inlineStr"/>
      <c r="AS1273" s="18" t="inlineStr"/>
      <c r="AT1273" s="19" t="inlineStr"/>
    </row>
    <row r="1274" ht="32" customHeight="1">
      <c r="A1274" s="18" t="inlineStr">
        <is>
          <t>0340_whiscash.json::whiscash-8::008</t>
        </is>
      </c>
      <c r="B1274" s="19" t="inlineStr">
        <is>
          <t>사용</t>
        </is>
      </c>
      <c r="C1274" s="18">
        <f>IF(OR(B1274&lt;&gt;AK1274,M1274&lt;&gt;L1274,O1274&lt;&gt;"",Q1274&lt;&gt;"",V1274&lt;&gt;1,Y1274&lt;&gt;"",AT1274&lt;&gt;""),"수정","원본")</f>
        <v/>
      </c>
      <c r="D1274" s="18" t="n">
        <v>340</v>
      </c>
      <c r="E1274" s="18" t="inlineStr">
        <is>
          <t>메깅</t>
        </is>
      </c>
      <c r="F1274" s="18" t="inlineStr">
        <is>
          <t>whiscash</t>
        </is>
      </c>
      <c r="G1274" s="18" t="inlineStr">
        <is>
          <t>whiscash</t>
        </is>
      </c>
      <c r="H1274" s="18" t="inlineStr"/>
      <c r="I1274" s="18" t="n">
        <v>3</v>
      </c>
      <c r="J1274" s="18" t="n"/>
      <c r="K1274" s="18" t="n">
        <v>3</v>
      </c>
      <c r="L1274" s="18" t="inlineStr">
        <is>
          <t>cobbleventure:generation_3</t>
        </is>
      </c>
      <c r="M1274" s="19" t="inlineStr">
        <is>
          <t>cobbleventure:generation_3</t>
        </is>
      </c>
      <c r="N1274" s="18" t="inlineStr">
        <is>
          <t>region_01; region_02</t>
        </is>
      </c>
      <c r="O1274" s="19" t="inlineStr"/>
      <c r="P1274" s="18" t="inlineStr">
        <is>
          <t>#cobblemon:is_arid; #cobblemon:is_freshwater; #cobblemon:is_hills; #cobblemon:is_jungle; #cobblemon:is_mushroom; #cobblemon:is_temperate</t>
        </is>
      </c>
      <c r="Q1274" s="19" t="inlineStr"/>
      <c r="R1274" s="18">
        <f>IF(Q1274="",P1274,Q1274)</f>
        <v/>
      </c>
      <c r="S1274" s="18" t="inlineStr">
        <is>
          <t>#cobblemon:is_freezing</t>
        </is>
      </c>
      <c r="T1274" s="18" t="inlineStr">
        <is>
          <t>common</t>
        </is>
      </c>
      <c r="U1274" s="20" t="n">
        <v>1</v>
      </c>
      <c r="V1274" s="21" t="n">
        <v>1</v>
      </c>
      <c r="W1274" s="20">
        <f>IF(OR(U1274="",V1274=""),U1274,U1274*V1274)</f>
        <v/>
      </c>
      <c r="X1274" s="18" t="inlineStr">
        <is>
          <t>30-47</t>
        </is>
      </c>
      <c r="Y1274" s="19" t="inlineStr"/>
      <c r="Z1274" s="18">
        <f>IF(Y1274="",X1274,Y1274)</f>
        <v/>
      </c>
      <c r="AA1274" s="18" t="inlineStr">
        <is>
          <t>fishing</t>
        </is>
      </c>
      <c r="AB1274" s="18" t="inlineStr"/>
      <c r="AC1274" s="18" t="inlineStr"/>
      <c r="AD1274" s="18" t="inlineStr"/>
      <c r="AE1274" s="18" t="inlineStr">
        <is>
          <t>sky 8-15</t>
        </is>
      </c>
      <c r="AF1274" s="18" t="inlineStr">
        <is>
          <t>False</t>
        </is>
      </c>
      <c r="AG1274" s="18" t="inlineStr"/>
      <c r="AH1274" s="18" t="inlineStr"/>
      <c r="AI1274" s="18" t="inlineStr"/>
      <c r="AJ1274" s="18" t="inlineStr">
        <is>
          <t>Cobblemon 동일</t>
        </is>
      </c>
      <c r="AK1274" s="18" t="inlineStr">
        <is>
          <t>사용</t>
        </is>
      </c>
      <c r="AL1274" s="18" t="inlineStr">
        <is>
          <t>COBBLEVERSE 1.7.42 / DP v31</t>
        </is>
      </c>
      <c r="AM1274" s="18" t="inlineStr">
        <is>
          <t>data/cobblemon/spawn_pool_world/0340_whiscash.json</t>
        </is>
      </c>
      <c r="AN1274" s="18" t="inlineStr">
        <is>
          <t>whiscash-8</t>
        </is>
      </c>
      <c r="AO1274" s="18" t="inlineStr">
        <is>
          <t>pokemon</t>
        </is>
      </c>
      <c r="AP1274" s="18" t="inlineStr"/>
      <c r="AQ1274" s="18" t="inlineStr">
        <is>
          <t>{"biomes":["#cobblemon:is_arid","#cobblemon:is_freshwater","#cobblemon:is_hills","#cobblemon:is_jungle","#cobblemon:is_mushroom","#cobblemon:is_temperate"],"canSeeSky":false,"maxSkyLight":15,"minSkyLight":8}</t>
        </is>
      </c>
      <c r="AR1274" s="18" t="inlineStr">
        <is>
          <t>{"biomes":["#cobblemon:is_freezing"]}</t>
        </is>
      </c>
      <c r="AS1274" s="18" t="inlineStr"/>
      <c r="AT1274" s="19" t="inlineStr"/>
    </row>
    <row r="1275" ht="32" customHeight="1">
      <c r="A1275" s="18" t="inlineStr">
        <is>
          <t>0340_whiscash.json::whiscash-true-9::009</t>
        </is>
      </c>
      <c r="B1275" s="19" t="inlineStr">
        <is>
          <t>사용</t>
        </is>
      </c>
      <c r="C1275" s="18">
        <f>IF(OR(B1275&lt;&gt;AK1275,M1275&lt;&gt;L1275,O1275&lt;&gt;"",Q1275&lt;&gt;"",V1275&lt;&gt;1,Y1275&lt;&gt;"",AT1275&lt;&gt;""),"수정","원본")</f>
        <v/>
      </c>
      <c r="D1275" s="18" t="n">
        <v>340</v>
      </c>
      <c r="E1275" s="18" t="inlineStr">
        <is>
          <t>메깅</t>
        </is>
      </c>
      <c r="F1275" s="18" t="inlineStr">
        <is>
          <t>whiscash</t>
        </is>
      </c>
      <c r="G1275" s="18" t="inlineStr">
        <is>
          <t>whiscash whiscash_nero=true</t>
        </is>
      </c>
      <c r="H1275" s="18" t="inlineStr">
        <is>
          <t>whiscash_nero=true</t>
        </is>
      </c>
      <c r="I1275" s="18" t="n">
        <v>3</v>
      </c>
      <c r="J1275" s="18" t="n"/>
      <c r="K1275" s="18" t="n">
        <v>3</v>
      </c>
      <c r="L1275" s="18" t="inlineStr">
        <is>
          <t>cobbleventure:generation_3</t>
        </is>
      </c>
      <c r="M1275" s="19" t="inlineStr">
        <is>
          <t>cobbleventure:generation_3</t>
        </is>
      </c>
      <c r="N1275" s="18" t="inlineStr">
        <is>
          <t>region_01; region_02</t>
        </is>
      </c>
      <c r="O1275" s="19" t="inlineStr"/>
      <c r="P1275" s="18" t="inlineStr">
        <is>
          <t>#cobblemon:is_arid; #cobblemon:is_freshwater; #cobblemon:is_hills; #cobblemon:is_jungle; #cobblemon:is_mushroom; #cobblemon:is_temperate</t>
        </is>
      </c>
      <c r="Q1275" s="19" t="inlineStr"/>
      <c r="R1275" s="18">
        <f>IF(Q1275="",P1275,Q1275)</f>
        <v/>
      </c>
      <c r="S1275" s="18" t="inlineStr">
        <is>
          <t>#cobblemon:is_freezing</t>
        </is>
      </c>
      <c r="T1275" s="18" t="inlineStr">
        <is>
          <t>rare</t>
        </is>
      </c>
      <c r="U1275" s="20" t="n">
        <v>10</v>
      </c>
      <c r="V1275" s="21" t="n">
        <v>1</v>
      </c>
      <c r="W1275" s="20">
        <f>IF(OR(U1275="",V1275=""),U1275,U1275*V1275)</f>
        <v/>
      </c>
      <c r="X1275" s="18" t="inlineStr">
        <is>
          <t>30-47</t>
        </is>
      </c>
      <c r="Y1275" s="19" t="inlineStr"/>
      <c r="Z1275" s="18">
        <f>IF(Y1275="",X1275,Y1275)</f>
        <v/>
      </c>
      <c r="AA1275" s="18" t="inlineStr">
        <is>
          <t>fishing</t>
        </is>
      </c>
      <c r="AB1275" s="18" t="inlineStr"/>
      <c r="AC1275" s="18" t="inlineStr"/>
      <c r="AD1275" s="18" t="inlineStr"/>
      <c r="AE1275" s="18" t="inlineStr">
        <is>
          <t>sky 8-15</t>
        </is>
      </c>
      <c r="AF1275" s="18" t="inlineStr">
        <is>
          <t>False</t>
        </is>
      </c>
      <c r="AG1275" s="18" t="inlineStr"/>
      <c r="AH1275" s="18" t="inlineStr"/>
      <c r="AI1275" s="18" t="inlineStr">
        <is>
          <t>{"fishing":{"rodType":"cobblemon:master_rod"}}</t>
        </is>
      </c>
      <c r="AJ1275" s="18" t="inlineStr">
        <is>
          <t>Cobblemon 동일</t>
        </is>
      </c>
      <c r="AK1275" s="18" t="inlineStr">
        <is>
          <t>사용</t>
        </is>
      </c>
      <c r="AL1275" s="18" t="inlineStr">
        <is>
          <t>COBBLEVERSE 1.7.42 / DP v31</t>
        </is>
      </c>
      <c r="AM1275" s="18" t="inlineStr">
        <is>
          <t>data/cobblemon/spawn_pool_world/0340_whiscash.json</t>
        </is>
      </c>
      <c r="AN1275" s="18" t="inlineStr">
        <is>
          <t>whiscash-true-9</t>
        </is>
      </c>
      <c r="AO1275" s="18" t="inlineStr">
        <is>
          <t>pokemon</t>
        </is>
      </c>
      <c r="AP1275" s="18" t="inlineStr"/>
      <c r="AQ1275" s="18" t="inlineStr">
        <is>
          <t>{"biomes":["#cobblemon:is_arid","#cobblemon:is_freshwater","#cobblemon:is_hills","#cobblemon:is_jungle","#cobblemon:is_mushroom","#cobblemon:is_temperate"],"canSeeSky":false,"maxSkyLight":15,"minSkyLight":8,"rodType":"cobblemon:master_rod"}</t>
        </is>
      </c>
      <c r="AR1275" s="18" t="inlineStr">
        <is>
          <t>{"biomes":["#cobblemon:is_freezing"]}</t>
        </is>
      </c>
      <c r="AS1275" s="18" t="inlineStr"/>
      <c r="AT1275" s="19" t="inlineStr"/>
    </row>
    <row r="1276" ht="32" customHeight="1">
      <c r="A1276" s="18" t="inlineStr">
        <is>
          <t>0341_corphish.json::corphish-1::001</t>
        </is>
      </c>
      <c r="B1276" s="19" t="inlineStr">
        <is>
          <t>사용</t>
        </is>
      </c>
      <c r="C1276" s="18">
        <f>IF(OR(B1276&lt;&gt;AK1276,M1276&lt;&gt;L1276,O1276&lt;&gt;"",Q1276&lt;&gt;"",V1276&lt;&gt;1,Y1276&lt;&gt;"",AT1276&lt;&gt;""),"수정","원본")</f>
        <v/>
      </c>
      <c r="D1276" s="18" t="n">
        <v>341</v>
      </c>
      <c r="E1276" s="18" t="inlineStr">
        <is>
          <t>가재군</t>
        </is>
      </c>
      <c r="F1276" s="18" t="inlineStr">
        <is>
          <t>corphish</t>
        </is>
      </c>
      <c r="G1276" s="18" t="inlineStr">
        <is>
          <t>corphish</t>
        </is>
      </c>
      <c r="H1276" s="18" t="inlineStr"/>
      <c r="I1276" s="18" t="n">
        <v>3</v>
      </c>
      <c r="J1276" s="18" t="n"/>
      <c r="K1276" s="18" t="n">
        <v>3</v>
      </c>
      <c r="L1276" s="18" t="inlineStr">
        <is>
          <t>cobbleventure:generation_3</t>
        </is>
      </c>
      <c r="M1276" s="19" t="inlineStr">
        <is>
          <t>cobbleventure:generation_3</t>
        </is>
      </c>
      <c r="N1276" s="18" t="inlineStr">
        <is>
          <t>region_02</t>
        </is>
      </c>
      <c r="O1276" s="19" t="inlineStr"/>
      <c r="P1276" s="18" t="inlineStr">
        <is>
          <t>#cobblemon:is_freshwater</t>
        </is>
      </c>
      <c r="Q1276" s="19" t="inlineStr"/>
      <c r="R1276" s="18">
        <f>IF(Q1276="",P1276,Q1276)</f>
        <v/>
      </c>
      <c r="S1276" s="18" t="inlineStr">
        <is>
          <t>#cobblemon:is_freezing</t>
        </is>
      </c>
      <c r="T1276" s="18" t="inlineStr">
        <is>
          <t>common</t>
        </is>
      </c>
      <c r="U1276" s="20" t="n">
        <v>5.4</v>
      </c>
      <c r="V1276" s="21" t="n">
        <v>1</v>
      </c>
      <c r="W1276" s="20">
        <f>IF(OR(U1276="",V1276=""),U1276,U1276*V1276)</f>
        <v/>
      </c>
      <c r="X1276" s="18" t="inlineStr">
        <is>
          <t>6-31</t>
        </is>
      </c>
      <c r="Y1276" s="19" t="inlineStr"/>
      <c r="Z1276" s="18">
        <f>IF(Y1276="",X1276,Y1276)</f>
        <v/>
      </c>
      <c r="AA1276" s="18" t="inlineStr">
        <is>
          <t>grounded</t>
        </is>
      </c>
      <c r="AB1276" s="18" t="inlineStr"/>
      <c r="AC1276" s="18" t="inlineStr"/>
      <c r="AD1276" s="18" t="inlineStr"/>
      <c r="AE1276" s="18" t="inlineStr">
        <is>
          <t>sky 8-15</t>
        </is>
      </c>
      <c r="AF1276" s="18" t="inlineStr"/>
      <c r="AG1276" s="18" t="inlineStr"/>
      <c r="AH1276" s="18" t="inlineStr"/>
      <c r="AI1276" s="18" t="inlineStr"/>
      <c r="AJ1276" s="18" t="inlineStr">
        <is>
          <t>Cobblemon 동일</t>
        </is>
      </c>
      <c r="AK1276" s="18" t="inlineStr">
        <is>
          <t>사용</t>
        </is>
      </c>
      <c r="AL1276" s="18" t="inlineStr">
        <is>
          <t>COBBLEVERSE 1.7.42 / DP v31</t>
        </is>
      </c>
      <c r="AM1276" s="18" t="inlineStr">
        <is>
          <t>data/cobblemon/spawn_pool_world/0341_corphish.json</t>
        </is>
      </c>
      <c r="AN1276" s="18" t="inlineStr">
        <is>
          <t>corphish-1</t>
        </is>
      </c>
      <c r="AO1276" s="18" t="inlineStr">
        <is>
          <t>pokemon</t>
        </is>
      </c>
      <c r="AP1276" s="18" t="inlineStr">
        <is>
          <t>natural</t>
        </is>
      </c>
      <c r="AQ1276" s="18" t="inlineStr">
        <is>
          <t>{"biomes":["#cobblemon:is_freshwater"],"maxSkyLight":15,"minSkyLight":8}</t>
        </is>
      </c>
      <c r="AR1276" s="18" t="inlineStr">
        <is>
          <t>{"biomes":["#cobblemon:is_freezing"]}</t>
        </is>
      </c>
      <c r="AS1276" s="18" t="inlineStr"/>
      <c r="AT1276" s="19" t="inlineStr"/>
    </row>
    <row r="1277" ht="32" customHeight="1">
      <c r="A1277" s="18" t="inlineStr">
        <is>
          <t>0341_corphish.json::corphish-2::002</t>
        </is>
      </c>
      <c r="B1277" s="19" t="inlineStr">
        <is>
          <t>사용</t>
        </is>
      </c>
      <c r="C1277" s="18">
        <f>IF(OR(B1277&lt;&gt;AK1277,M1277&lt;&gt;L1277,O1277&lt;&gt;"",Q1277&lt;&gt;"",V1277&lt;&gt;1,Y1277&lt;&gt;"",AT1277&lt;&gt;""),"수정","원본")</f>
        <v/>
      </c>
      <c r="D1277" s="18" t="n">
        <v>341</v>
      </c>
      <c r="E1277" s="18" t="inlineStr">
        <is>
          <t>가재군</t>
        </is>
      </c>
      <c r="F1277" s="18" t="inlineStr">
        <is>
          <t>corphish</t>
        </is>
      </c>
      <c r="G1277" s="18" t="inlineStr">
        <is>
          <t>corphish</t>
        </is>
      </c>
      <c r="H1277" s="18" t="inlineStr"/>
      <c r="I1277" s="18" t="n">
        <v>3</v>
      </c>
      <c r="J1277" s="18" t="n"/>
      <c r="K1277" s="18" t="n">
        <v>3</v>
      </c>
      <c r="L1277" s="18" t="inlineStr">
        <is>
          <t>cobbleventure:generation_3</t>
        </is>
      </c>
      <c r="M1277" s="19" t="inlineStr">
        <is>
          <t>cobbleventure:generation_3</t>
        </is>
      </c>
      <c r="N1277" s="18" t="inlineStr">
        <is>
          <t>region_02</t>
        </is>
      </c>
      <c r="O1277" s="19" t="inlineStr"/>
      <c r="P1277" s="18" t="inlineStr">
        <is>
          <t>#cobblemon:is_freshwater</t>
        </is>
      </c>
      <c r="Q1277" s="19" t="inlineStr"/>
      <c r="R1277" s="18">
        <f>IF(Q1277="",P1277,Q1277)</f>
        <v/>
      </c>
      <c r="S1277" s="18" t="inlineStr">
        <is>
          <t>#cobblemon:is_freezing</t>
        </is>
      </c>
      <c r="T1277" s="18" t="inlineStr">
        <is>
          <t>common</t>
        </is>
      </c>
      <c r="U1277" s="20" t="n">
        <v>5.4</v>
      </c>
      <c r="V1277" s="21" t="n">
        <v>1</v>
      </c>
      <c r="W1277" s="20">
        <f>IF(OR(U1277="",V1277=""),U1277,U1277*V1277)</f>
        <v/>
      </c>
      <c r="X1277" s="18" t="inlineStr">
        <is>
          <t>6-31</t>
        </is>
      </c>
      <c r="Y1277" s="19" t="inlineStr"/>
      <c r="Z1277" s="18">
        <f>IF(Y1277="",X1277,Y1277)</f>
        <v/>
      </c>
      <c r="AA1277" s="18" t="inlineStr">
        <is>
          <t>seafloor</t>
        </is>
      </c>
      <c r="AB1277" s="18" t="inlineStr"/>
      <c r="AC1277" s="18" t="inlineStr"/>
      <c r="AD1277" s="18" t="inlineStr"/>
      <c r="AE1277" s="18" t="inlineStr"/>
      <c r="AF1277" s="18" t="inlineStr">
        <is>
          <t>True</t>
        </is>
      </c>
      <c r="AG1277" s="18" t="inlineStr"/>
      <c r="AH1277" s="18" t="inlineStr"/>
      <c r="AI1277" s="18" t="inlineStr"/>
      <c r="AJ1277" s="18" t="inlineStr">
        <is>
          <t>Cobblemon 동일</t>
        </is>
      </c>
      <c r="AK1277" s="18" t="inlineStr">
        <is>
          <t>사용</t>
        </is>
      </c>
      <c r="AL1277" s="18" t="inlineStr">
        <is>
          <t>COBBLEVERSE 1.7.42 / DP v31</t>
        </is>
      </c>
      <c r="AM1277" s="18" t="inlineStr">
        <is>
          <t>data/cobblemon/spawn_pool_world/0341_corphish.json</t>
        </is>
      </c>
      <c r="AN1277" s="18" t="inlineStr">
        <is>
          <t>corphish-2</t>
        </is>
      </c>
      <c r="AO1277" s="18" t="inlineStr">
        <is>
          <t>pokemon</t>
        </is>
      </c>
      <c r="AP1277" s="18" t="inlineStr">
        <is>
          <t>water</t>
        </is>
      </c>
      <c r="AQ1277" s="18" t="inlineStr">
        <is>
          <t>{"biomes":["#cobblemon:is_freshwater"],"canSeeSky":true}</t>
        </is>
      </c>
      <c r="AR1277" s="18" t="inlineStr">
        <is>
          <t>{"biomes":["#cobblemon:is_freezing"]}</t>
        </is>
      </c>
      <c r="AS1277" s="18" t="inlineStr"/>
      <c r="AT1277" s="19" t="inlineStr"/>
    </row>
    <row r="1278" ht="32" customHeight="1">
      <c r="A1278" s="18" t="inlineStr">
        <is>
          <t>0341_corphish.json::corphish-3::003</t>
        </is>
      </c>
      <c r="B1278" s="19" t="inlineStr">
        <is>
          <t>사용</t>
        </is>
      </c>
      <c r="C1278" s="18">
        <f>IF(OR(B1278&lt;&gt;AK1278,M1278&lt;&gt;L1278,O1278&lt;&gt;"",Q1278&lt;&gt;"",V1278&lt;&gt;1,Y1278&lt;&gt;"",AT1278&lt;&gt;""),"수정","원본")</f>
        <v/>
      </c>
      <c r="D1278" s="18" t="n">
        <v>341</v>
      </c>
      <c r="E1278" s="18" t="inlineStr">
        <is>
          <t>가재군</t>
        </is>
      </c>
      <c r="F1278" s="18" t="inlineStr">
        <is>
          <t>corphish</t>
        </is>
      </c>
      <c r="G1278" s="18" t="inlineStr">
        <is>
          <t>corphish</t>
        </is>
      </c>
      <c r="H1278" s="18" t="inlineStr"/>
      <c r="I1278" s="18" t="n">
        <v>3</v>
      </c>
      <c r="J1278" s="18" t="n"/>
      <c r="K1278" s="18" t="n">
        <v>3</v>
      </c>
      <c r="L1278" s="18" t="inlineStr">
        <is>
          <t>cobbleventure:generation_3</t>
        </is>
      </c>
      <c r="M1278" s="19" t="inlineStr">
        <is>
          <t>cobbleventure:generation_3</t>
        </is>
      </c>
      <c r="N1278" s="18" t="inlineStr">
        <is>
          <t>region_01; region_02</t>
        </is>
      </c>
      <c r="O1278" s="19" t="inlineStr"/>
      <c r="P1278" s="18" t="inlineStr">
        <is>
          <t>#cobblemon:is_arid; #cobblemon:is_freshwater; #cobblemon:is_hills; #cobblemon:is_jungle; #cobblemon:is_temperate</t>
        </is>
      </c>
      <c r="Q1278" s="19" t="inlineStr"/>
      <c r="R1278" s="18">
        <f>IF(Q1278="",P1278,Q1278)</f>
        <v/>
      </c>
      <c r="S1278" s="18" t="inlineStr">
        <is>
          <t>#cobblemon:is_freezing</t>
        </is>
      </c>
      <c r="T1278" s="18" t="inlineStr">
        <is>
          <t>common</t>
        </is>
      </c>
      <c r="U1278" s="20" t="n">
        <v>1.8</v>
      </c>
      <c r="V1278" s="21" t="n">
        <v>1</v>
      </c>
      <c r="W1278" s="20">
        <f>IF(OR(U1278="",V1278=""),U1278,U1278*V1278)</f>
        <v/>
      </c>
      <c r="X1278" s="18" t="inlineStr">
        <is>
          <t>6-31</t>
        </is>
      </c>
      <c r="Y1278" s="19" t="inlineStr"/>
      <c r="Z1278" s="18">
        <f>IF(Y1278="",X1278,Y1278)</f>
        <v/>
      </c>
      <c r="AA1278" s="18" t="inlineStr">
        <is>
          <t>fishing</t>
        </is>
      </c>
      <c r="AB1278" s="18" t="inlineStr"/>
      <c r="AC1278" s="18" t="inlineStr"/>
      <c r="AD1278" s="18" t="inlineStr"/>
      <c r="AE1278" s="18" t="inlineStr"/>
      <c r="AF1278" s="18" t="inlineStr">
        <is>
          <t>True</t>
        </is>
      </c>
      <c r="AG1278" s="18" t="inlineStr"/>
      <c r="AH1278" s="18" t="inlineStr"/>
      <c r="AI1278" s="18" t="inlineStr"/>
      <c r="AJ1278" s="18" t="inlineStr">
        <is>
          <t>Cobblemon 동일</t>
        </is>
      </c>
      <c r="AK1278" s="18" t="inlineStr">
        <is>
          <t>사용</t>
        </is>
      </c>
      <c r="AL1278" s="18" t="inlineStr">
        <is>
          <t>COBBLEVERSE 1.7.42 / DP v31</t>
        </is>
      </c>
      <c r="AM1278" s="18" t="inlineStr">
        <is>
          <t>data/cobblemon/spawn_pool_world/0341_corphish.json</t>
        </is>
      </c>
      <c r="AN1278" s="18" t="inlineStr">
        <is>
          <t>corphish-3</t>
        </is>
      </c>
      <c r="AO1278" s="18" t="inlineStr">
        <is>
          <t>pokemon</t>
        </is>
      </c>
      <c r="AP1278" s="18" t="inlineStr"/>
      <c r="AQ1278" s="18" t="inlineStr">
        <is>
          <t>{"biomes":["#cobblemon:is_arid","#cobblemon:is_freshwater","#cobblemon:is_hills","#cobblemon:is_jungle","#cobblemon:is_temperate"],"canSeeSky":true}</t>
        </is>
      </c>
      <c r="AR1278" s="18" t="inlineStr">
        <is>
          <t>{"biomes":["#cobblemon:is_freezing"]}</t>
        </is>
      </c>
      <c r="AS1278" s="18" t="inlineStr">
        <is>
          <t>{"weightMultipliers":[{"condition":{"maxLureLevel":2,"minLureLevel":2},"multiplier":3.0},{"condition":{"minLureLevel":3},"multiplier":5.0}]}</t>
        </is>
      </c>
      <c r="AT1278" s="19" t="inlineStr"/>
    </row>
    <row r="1279" ht="32" customHeight="1">
      <c r="A1279" s="18" t="inlineStr">
        <is>
          <t>0341_corphish.json::corphish-4::004</t>
        </is>
      </c>
      <c r="B1279" s="19" t="inlineStr">
        <is>
          <t>사용</t>
        </is>
      </c>
      <c r="C1279" s="18">
        <f>IF(OR(B1279&lt;&gt;AK1279,M1279&lt;&gt;L1279,O1279&lt;&gt;"",Q1279&lt;&gt;"",V1279&lt;&gt;1,Y1279&lt;&gt;"",AT1279&lt;&gt;""),"수정","원본")</f>
        <v/>
      </c>
      <c r="D1279" s="18" t="n">
        <v>341</v>
      </c>
      <c r="E1279" s="18" t="inlineStr">
        <is>
          <t>가재군</t>
        </is>
      </c>
      <c r="F1279" s="18" t="inlineStr">
        <is>
          <t>corphish</t>
        </is>
      </c>
      <c r="G1279" s="18" t="inlineStr">
        <is>
          <t>corphish</t>
        </is>
      </c>
      <c r="H1279" s="18" t="inlineStr"/>
      <c r="I1279" s="18" t="n">
        <v>3</v>
      </c>
      <c r="J1279" s="18" t="n"/>
      <c r="K1279" s="18" t="n">
        <v>3</v>
      </c>
      <c r="L1279" s="18" t="inlineStr">
        <is>
          <t>cobbleventure:generation_3</t>
        </is>
      </c>
      <c r="M1279" s="19" t="inlineStr">
        <is>
          <t>cobbleventure:generation_3</t>
        </is>
      </c>
      <c r="N1279" s="18" t="inlineStr">
        <is>
          <t>region_01; region_02</t>
        </is>
      </c>
      <c r="O1279" s="19" t="inlineStr"/>
      <c r="P1279" s="18" t="inlineStr">
        <is>
          <t>#cobblemon:is_arid; #cobblemon:is_freshwater; #cobblemon:is_hills; #cobblemon:is_jungle; #cobblemon:is_temperate</t>
        </is>
      </c>
      <c r="Q1279" s="19" t="inlineStr"/>
      <c r="R1279" s="18">
        <f>IF(Q1279="",P1279,Q1279)</f>
        <v/>
      </c>
      <c r="S1279" s="18" t="inlineStr">
        <is>
          <t>#cobblemon:is_freezing</t>
        </is>
      </c>
      <c r="T1279" s="18" t="inlineStr">
        <is>
          <t>common</t>
        </is>
      </c>
      <c r="U1279" s="20" t="n">
        <v>1.8</v>
      </c>
      <c r="V1279" s="21" t="n">
        <v>1</v>
      </c>
      <c r="W1279" s="20">
        <f>IF(OR(U1279="",V1279=""),U1279,U1279*V1279)</f>
        <v/>
      </c>
      <c r="X1279" s="18" t="inlineStr">
        <is>
          <t>6-31</t>
        </is>
      </c>
      <c r="Y1279" s="19" t="inlineStr"/>
      <c r="Z1279" s="18">
        <f>IF(Y1279="",X1279,Y1279)</f>
        <v/>
      </c>
      <c r="AA1279" s="18" t="inlineStr">
        <is>
          <t>fishing</t>
        </is>
      </c>
      <c r="AB1279" s="18" t="inlineStr"/>
      <c r="AC1279" s="18" t="inlineStr"/>
      <c r="AD1279" s="18" t="inlineStr"/>
      <c r="AE1279" s="18" t="inlineStr">
        <is>
          <t>sky 8-15</t>
        </is>
      </c>
      <c r="AF1279" s="18" t="inlineStr">
        <is>
          <t>False</t>
        </is>
      </c>
      <c r="AG1279" s="18" t="inlineStr"/>
      <c r="AH1279" s="18" t="inlineStr"/>
      <c r="AI1279" s="18" t="inlineStr"/>
      <c r="AJ1279" s="18" t="inlineStr">
        <is>
          <t>Cobblemon 동일</t>
        </is>
      </c>
      <c r="AK1279" s="18" t="inlineStr">
        <is>
          <t>사용</t>
        </is>
      </c>
      <c r="AL1279" s="18" t="inlineStr">
        <is>
          <t>COBBLEVERSE 1.7.42 / DP v31</t>
        </is>
      </c>
      <c r="AM1279" s="18" t="inlineStr">
        <is>
          <t>data/cobblemon/spawn_pool_world/0341_corphish.json</t>
        </is>
      </c>
      <c r="AN1279" s="18" t="inlineStr">
        <is>
          <t>corphish-4</t>
        </is>
      </c>
      <c r="AO1279" s="18" t="inlineStr">
        <is>
          <t>pokemon</t>
        </is>
      </c>
      <c r="AP1279" s="18" t="inlineStr"/>
      <c r="AQ1279" s="18" t="inlineStr">
        <is>
          <t>{"biomes":["#cobblemon:is_arid","#cobblemon:is_freshwater","#cobblemon:is_hills","#cobblemon:is_jungle","#cobblemon:is_temperate"],"canSeeSky":false,"maxSkyLight":15,"minSkyLight":8}</t>
        </is>
      </c>
      <c r="AR1279" s="18" t="inlineStr">
        <is>
          <t>{"biomes":["#cobblemon:is_freezing"]}</t>
        </is>
      </c>
      <c r="AS1279" s="18" t="inlineStr">
        <is>
          <t>{"weightMultipliers":[{"condition":{"maxLureLevel":2,"minLureLevel":2},"multiplier":3.0},{"condition":{"minLureLevel":3},"multiplier":5.0}]}</t>
        </is>
      </c>
      <c r="AT1279" s="19" t="inlineStr"/>
    </row>
    <row r="1280" ht="32" customHeight="1">
      <c r="A1280" s="18" t="inlineStr">
        <is>
          <t>0342_crawdaunt.json::crawdaunt-1::001</t>
        </is>
      </c>
      <c r="B1280" s="19" t="inlineStr">
        <is>
          <t>사용</t>
        </is>
      </c>
      <c r="C1280" s="18">
        <f>IF(OR(B1280&lt;&gt;AK1280,M1280&lt;&gt;L1280,O1280&lt;&gt;"",Q1280&lt;&gt;"",V1280&lt;&gt;1,Y1280&lt;&gt;"",AT1280&lt;&gt;""),"수정","원본")</f>
        <v/>
      </c>
      <c r="D1280" s="18" t="n">
        <v>342</v>
      </c>
      <c r="E1280" s="18" t="inlineStr">
        <is>
          <t>가재장군</t>
        </is>
      </c>
      <c r="F1280" s="18" t="inlineStr">
        <is>
          <t>crawdaunt</t>
        </is>
      </c>
      <c r="G1280" s="18" t="inlineStr">
        <is>
          <t>crawdaunt</t>
        </is>
      </c>
      <c r="H1280" s="18" t="inlineStr"/>
      <c r="I1280" s="18" t="n">
        <v>3</v>
      </c>
      <c r="J1280" s="18" t="n"/>
      <c r="K1280" s="18" t="n">
        <v>3</v>
      </c>
      <c r="L1280" s="18" t="inlineStr">
        <is>
          <t>cobbleventure:generation_3</t>
        </is>
      </c>
      <c r="M1280" s="19" t="inlineStr">
        <is>
          <t>cobbleventure:generation_3</t>
        </is>
      </c>
      <c r="N1280" s="18" t="inlineStr">
        <is>
          <t>region_02</t>
        </is>
      </c>
      <c r="O1280" s="19" t="inlineStr"/>
      <c r="P1280" s="18" t="inlineStr">
        <is>
          <t>#cobblemon:is_freshwater</t>
        </is>
      </c>
      <c r="Q1280" s="19" t="inlineStr"/>
      <c r="R1280" s="18">
        <f>IF(Q1280="",P1280,Q1280)</f>
        <v/>
      </c>
      <c r="S1280" s="18" t="inlineStr">
        <is>
          <t>#cobblemon:is_freezing</t>
        </is>
      </c>
      <c r="T1280" s="18" t="inlineStr">
        <is>
          <t>common</t>
        </is>
      </c>
      <c r="U1280" s="20" t="n">
        <v>0.6</v>
      </c>
      <c r="V1280" s="21" t="n">
        <v>1</v>
      </c>
      <c r="W1280" s="20">
        <f>IF(OR(U1280="",V1280=""),U1280,U1280*V1280)</f>
        <v/>
      </c>
      <c r="X1280" s="18" t="inlineStr">
        <is>
          <t>30-47</t>
        </is>
      </c>
      <c r="Y1280" s="19" t="inlineStr"/>
      <c r="Z1280" s="18">
        <f>IF(Y1280="",X1280,Y1280)</f>
        <v/>
      </c>
      <c r="AA1280" s="18" t="inlineStr">
        <is>
          <t>grounded</t>
        </is>
      </c>
      <c r="AB1280" s="18" t="inlineStr"/>
      <c r="AC1280" s="18" t="inlineStr"/>
      <c r="AD1280" s="18" t="inlineStr"/>
      <c r="AE1280" s="18" t="inlineStr">
        <is>
          <t>sky 8-15</t>
        </is>
      </c>
      <c r="AF1280" s="18" t="inlineStr"/>
      <c r="AG1280" s="18" t="inlineStr"/>
      <c r="AH1280" s="18" t="inlineStr"/>
      <c r="AI1280" s="18" t="inlineStr"/>
      <c r="AJ1280" s="18" t="inlineStr">
        <is>
          <t>Cobblemon 동일</t>
        </is>
      </c>
      <c r="AK1280" s="18" t="inlineStr">
        <is>
          <t>사용</t>
        </is>
      </c>
      <c r="AL1280" s="18" t="inlineStr">
        <is>
          <t>COBBLEVERSE 1.7.42 / DP v31</t>
        </is>
      </c>
      <c r="AM1280" s="18" t="inlineStr">
        <is>
          <t>data/cobblemon/spawn_pool_world/0342_crawdaunt.json</t>
        </is>
      </c>
      <c r="AN1280" s="18" t="inlineStr">
        <is>
          <t>crawdaunt-1</t>
        </is>
      </c>
      <c r="AO1280" s="18" t="inlineStr">
        <is>
          <t>pokemon</t>
        </is>
      </c>
      <c r="AP1280" s="18" t="inlineStr">
        <is>
          <t>natural</t>
        </is>
      </c>
      <c r="AQ1280" s="18" t="inlineStr">
        <is>
          <t>{"biomes":["#cobblemon:is_freshwater"],"maxSkyLight":15,"minSkyLight":8}</t>
        </is>
      </c>
      <c r="AR1280" s="18" t="inlineStr">
        <is>
          <t>{"biomes":["#cobblemon:is_freezing"]}</t>
        </is>
      </c>
      <c r="AS1280" s="18" t="inlineStr"/>
      <c r="AT1280" s="19" t="inlineStr"/>
    </row>
    <row r="1281" ht="32" customHeight="1">
      <c r="A1281" s="18" t="inlineStr">
        <is>
          <t>0342_crawdaunt.json::crawdaunt-2::002</t>
        </is>
      </c>
      <c r="B1281" s="19" t="inlineStr">
        <is>
          <t>사용</t>
        </is>
      </c>
      <c r="C1281" s="18">
        <f>IF(OR(B1281&lt;&gt;AK1281,M1281&lt;&gt;L1281,O1281&lt;&gt;"",Q1281&lt;&gt;"",V1281&lt;&gt;1,Y1281&lt;&gt;"",AT1281&lt;&gt;""),"수정","원본")</f>
        <v/>
      </c>
      <c r="D1281" s="18" t="n">
        <v>342</v>
      </c>
      <c r="E1281" s="18" t="inlineStr">
        <is>
          <t>가재장군</t>
        </is>
      </c>
      <c r="F1281" s="18" t="inlineStr">
        <is>
          <t>crawdaunt</t>
        </is>
      </c>
      <c r="G1281" s="18" t="inlineStr">
        <is>
          <t>crawdaunt</t>
        </is>
      </c>
      <c r="H1281" s="18" t="inlineStr"/>
      <c r="I1281" s="18" t="n">
        <v>3</v>
      </c>
      <c r="J1281" s="18" t="n"/>
      <c r="K1281" s="18" t="n">
        <v>3</v>
      </c>
      <c r="L1281" s="18" t="inlineStr">
        <is>
          <t>cobbleventure:generation_3</t>
        </is>
      </c>
      <c r="M1281" s="19" t="inlineStr">
        <is>
          <t>cobbleventure:generation_3</t>
        </is>
      </c>
      <c r="N1281" s="18" t="inlineStr">
        <is>
          <t>region_02</t>
        </is>
      </c>
      <c r="O1281" s="19" t="inlineStr"/>
      <c r="P1281" s="18" t="inlineStr">
        <is>
          <t>#cobblemon:is_freshwater</t>
        </is>
      </c>
      <c r="Q1281" s="19" t="inlineStr"/>
      <c r="R1281" s="18">
        <f>IF(Q1281="",P1281,Q1281)</f>
        <v/>
      </c>
      <c r="S1281" s="18" t="inlineStr">
        <is>
          <t>#cobblemon:is_freezing</t>
        </is>
      </c>
      <c r="T1281" s="18" t="inlineStr">
        <is>
          <t>common</t>
        </is>
      </c>
      <c r="U1281" s="20" t="n">
        <v>0.6</v>
      </c>
      <c r="V1281" s="21" t="n">
        <v>1</v>
      </c>
      <c r="W1281" s="20">
        <f>IF(OR(U1281="",V1281=""),U1281,U1281*V1281)</f>
        <v/>
      </c>
      <c r="X1281" s="18" t="inlineStr">
        <is>
          <t>30-47</t>
        </is>
      </c>
      <c r="Y1281" s="19" t="inlineStr"/>
      <c r="Z1281" s="18">
        <f>IF(Y1281="",X1281,Y1281)</f>
        <v/>
      </c>
      <c r="AA1281" s="18" t="inlineStr">
        <is>
          <t>seafloor</t>
        </is>
      </c>
      <c r="AB1281" s="18" t="inlineStr"/>
      <c r="AC1281" s="18" t="inlineStr"/>
      <c r="AD1281" s="18" t="inlineStr"/>
      <c r="AE1281" s="18" t="inlineStr"/>
      <c r="AF1281" s="18" t="inlineStr">
        <is>
          <t>True</t>
        </is>
      </c>
      <c r="AG1281" s="18" t="inlineStr"/>
      <c r="AH1281" s="18" t="inlineStr"/>
      <c r="AI1281" s="18" t="inlineStr"/>
      <c r="AJ1281" s="18" t="inlineStr">
        <is>
          <t>Cobblemon 동일</t>
        </is>
      </c>
      <c r="AK1281" s="18" t="inlineStr">
        <is>
          <t>사용</t>
        </is>
      </c>
      <c r="AL1281" s="18" t="inlineStr">
        <is>
          <t>COBBLEVERSE 1.7.42 / DP v31</t>
        </is>
      </c>
      <c r="AM1281" s="18" t="inlineStr">
        <is>
          <t>data/cobblemon/spawn_pool_world/0342_crawdaunt.json</t>
        </is>
      </c>
      <c r="AN1281" s="18" t="inlineStr">
        <is>
          <t>crawdaunt-2</t>
        </is>
      </c>
      <c r="AO1281" s="18" t="inlineStr">
        <is>
          <t>pokemon</t>
        </is>
      </c>
      <c r="AP1281" s="18" t="inlineStr">
        <is>
          <t>water</t>
        </is>
      </c>
      <c r="AQ1281" s="18" t="inlineStr">
        <is>
          <t>{"biomes":["#cobblemon:is_freshwater"],"canSeeSky":true}</t>
        </is>
      </c>
      <c r="AR1281" s="18" t="inlineStr">
        <is>
          <t>{"biomes":["#cobblemon:is_freezing"]}</t>
        </is>
      </c>
      <c r="AS1281" s="18" t="inlineStr"/>
      <c r="AT1281" s="19" t="inlineStr"/>
    </row>
    <row r="1282" ht="32" customHeight="1">
      <c r="A1282" s="18" t="inlineStr">
        <is>
          <t>0342_crawdaunt.json::crawdaunt-3::003</t>
        </is>
      </c>
      <c r="B1282" s="19" t="inlineStr">
        <is>
          <t>사용</t>
        </is>
      </c>
      <c r="C1282" s="18">
        <f>IF(OR(B1282&lt;&gt;AK1282,M1282&lt;&gt;L1282,O1282&lt;&gt;"",Q1282&lt;&gt;"",V1282&lt;&gt;1,Y1282&lt;&gt;"",AT1282&lt;&gt;""),"수정","원본")</f>
        <v/>
      </c>
      <c r="D1282" s="18" t="n">
        <v>342</v>
      </c>
      <c r="E1282" s="18" t="inlineStr">
        <is>
          <t>가재장군</t>
        </is>
      </c>
      <c r="F1282" s="18" t="inlineStr">
        <is>
          <t>crawdaunt</t>
        </is>
      </c>
      <c r="G1282" s="18" t="inlineStr">
        <is>
          <t>crawdaunt</t>
        </is>
      </c>
      <c r="H1282" s="18" t="inlineStr"/>
      <c r="I1282" s="18" t="n">
        <v>3</v>
      </c>
      <c r="J1282" s="18" t="n"/>
      <c r="K1282" s="18" t="n">
        <v>3</v>
      </c>
      <c r="L1282" s="18" t="inlineStr">
        <is>
          <t>cobbleventure:generation_3</t>
        </is>
      </c>
      <c r="M1282" s="19" t="inlineStr">
        <is>
          <t>cobbleventure:generation_3</t>
        </is>
      </c>
      <c r="N1282" s="18" t="inlineStr">
        <is>
          <t>region_01; region_02</t>
        </is>
      </c>
      <c r="O1282" s="19" t="inlineStr"/>
      <c r="P1282" s="18" t="inlineStr">
        <is>
          <t>#cobblemon:is_arid; #cobblemon:is_freshwater; #cobblemon:is_hills; #cobblemon:is_jungle; #cobblemon:is_temperate</t>
        </is>
      </c>
      <c r="Q1282" s="19" t="inlineStr"/>
      <c r="R1282" s="18">
        <f>IF(Q1282="",P1282,Q1282)</f>
        <v/>
      </c>
      <c r="S1282" s="18" t="inlineStr">
        <is>
          <t>#cobblemon:is_freezing</t>
        </is>
      </c>
      <c r="T1282" s="18" t="inlineStr">
        <is>
          <t>common</t>
        </is>
      </c>
      <c r="U1282" s="20" t="n">
        <v>0.2</v>
      </c>
      <c r="V1282" s="21" t="n">
        <v>1</v>
      </c>
      <c r="W1282" s="20">
        <f>IF(OR(U1282="",V1282=""),U1282,U1282*V1282)</f>
        <v/>
      </c>
      <c r="X1282" s="18" t="inlineStr">
        <is>
          <t>30-47</t>
        </is>
      </c>
      <c r="Y1282" s="19" t="inlineStr"/>
      <c r="Z1282" s="18">
        <f>IF(Y1282="",X1282,Y1282)</f>
        <v/>
      </c>
      <c r="AA1282" s="18" t="inlineStr">
        <is>
          <t>fishing</t>
        </is>
      </c>
      <c r="AB1282" s="18" t="inlineStr"/>
      <c r="AC1282" s="18" t="inlineStr"/>
      <c r="AD1282" s="18" t="inlineStr"/>
      <c r="AE1282" s="18" t="inlineStr"/>
      <c r="AF1282" s="18" t="inlineStr">
        <is>
          <t>True</t>
        </is>
      </c>
      <c r="AG1282" s="18" t="inlineStr"/>
      <c r="AH1282" s="18" t="inlineStr"/>
      <c r="AI1282" s="18" t="inlineStr"/>
      <c r="AJ1282" s="18" t="inlineStr">
        <is>
          <t>Cobblemon 동일</t>
        </is>
      </c>
      <c r="AK1282" s="18" t="inlineStr">
        <is>
          <t>사용</t>
        </is>
      </c>
      <c r="AL1282" s="18" t="inlineStr">
        <is>
          <t>COBBLEVERSE 1.7.42 / DP v31</t>
        </is>
      </c>
      <c r="AM1282" s="18" t="inlineStr">
        <is>
          <t>data/cobblemon/spawn_pool_world/0342_crawdaunt.json</t>
        </is>
      </c>
      <c r="AN1282" s="18" t="inlineStr">
        <is>
          <t>crawdaunt-3</t>
        </is>
      </c>
      <c r="AO1282" s="18" t="inlineStr">
        <is>
          <t>pokemon</t>
        </is>
      </c>
      <c r="AP1282" s="18" t="inlineStr"/>
      <c r="AQ1282" s="18" t="inlineStr">
        <is>
          <t>{"biomes":["#cobblemon:is_arid","#cobblemon:is_freshwater","#cobblemon:is_hills","#cobblemon:is_jungle","#cobblemon:is_temperate"],"canSeeSky":true}</t>
        </is>
      </c>
      <c r="AR1282" s="18" t="inlineStr">
        <is>
          <t>{"biomes":["#cobblemon:is_freezing"]}</t>
        </is>
      </c>
      <c r="AS1282" s="18" t="inlineStr">
        <is>
          <t>{"weightMultipliers":[{"condition":{"maxLureLevel":2,"minLureLevel":2},"multiplier":3.0},{"condition":{"minLureLevel":3},"multiplier":5.0}]}</t>
        </is>
      </c>
      <c r="AT1282" s="19" t="inlineStr"/>
    </row>
    <row r="1283" ht="32" customHeight="1">
      <c r="A1283" s="18" t="inlineStr">
        <is>
          <t>0342_crawdaunt.json::crawdaunt-4::004</t>
        </is>
      </c>
      <c r="B1283" s="19" t="inlineStr">
        <is>
          <t>사용</t>
        </is>
      </c>
      <c r="C1283" s="18">
        <f>IF(OR(B1283&lt;&gt;AK1283,M1283&lt;&gt;L1283,O1283&lt;&gt;"",Q1283&lt;&gt;"",V1283&lt;&gt;1,Y1283&lt;&gt;"",AT1283&lt;&gt;""),"수정","원본")</f>
        <v/>
      </c>
      <c r="D1283" s="18" t="n">
        <v>342</v>
      </c>
      <c r="E1283" s="18" t="inlineStr">
        <is>
          <t>가재장군</t>
        </is>
      </c>
      <c r="F1283" s="18" t="inlineStr">
        <is>
          <t>crawdaunt</t>
        </is>
      </c>
      <c r="G1283" s="18" t="inlineStr">
        <is>
          <t>crawdaunt</t>
        </is>
      </c>
      <c r="H1283" s="18" t="inlineStr"/>
      <c r="I1283" s="18" t="n">
        <v>3</v>
      </c>
      <c r="J1283" s="18" t="n"/>
      <c r="K1283" s="18" t="n">
        <v>3</v>
      </c>
      <c r="L1283" s="18" t="inlineStr">
        <is>
          <t>cobbleventure:generation_3</t>
        </is>
      </c>
      <c r="M1283" s="19" t="inlineStr">
        <is>
          <t>cobbleventure:generation_3</t>
        </is>
      </c>
      <c r="N1283" s="18" t="inlineStr">
        <is>
          <t>region_01; region_02</t>
        </is>
      </c>
      <c r="O1283" s="19" t="inlineStr"/>
      <c r="P1283" s="18" t="inlineStr">
        <is>
          <t>#cobblemon:is_arid; #cobblemon:is_freshwater; #cobblemon:is_hills; #cobblemon:is_jungle; #cobblemon:is_temperate</t>
        </is>
      </c>
      <c r="Q1283" s="19" t="inlineStr"/>
      <c r="R1283" s="18">
        <f>IF(Q1283="",P1283,Q1283)</f>
        <v/>
      </c>
      <c r="S1283" s="18" t="inlineStr">
        <is>
          <t>#cobblemon:is_freezing</t>
        </is>
      </c>
      <c r="T1283" s="18" t="inlineStr">
        <is>
          <t>common</t>
        </is>
      </c>
      <c r="U1283" s="20" t="n">
        <v>0.2</v>
      </c>
      <c r="V1283" s="21" t="n">
        <v>1</v>
      </c>
      <c r="W1283" s="20">
        <f>IF(OR(U1283="",V1283=""),U1283,U1283*V1283)</f>
        <v/>
      </c>
      <c r="X1283" s="18" t="inlineStr">
        <is>
          <t>30-47</t>
        </is>
      </c>
      <c r="Y1283" s="19" t="inlineStr"/>
      <c r="Z1283" s="18">
        <f>IF(Y1283="",X1283,Y1283)</f>
        <v/>
      </c>
      <c r="AA1283" s="18" t="inlineStr">
        <is>
          <t>fishing</t>
        </is>
      </c>
      <c r="AB1283" s="18" t="inlineStr"/>
      <c r="AC1283" s="18" t="inlineStr"/>
      <c r="AD1283" s="18" t="inlineStr"/>
      <c r="AE1283" s="18" t="inlineStr">
        <is>
          <t>sky 8-15</t>
        </is>
      </c>
      <c r="AF1283" s="18" t="inlineStr">
        <is>
          <t>False</t>
        </is>
      </c>
      <c r="AG1283" s="18" t="inlineStr"/>
      <c r="AH1283" s="18" t="inlineStr"/>
      <c r="AI1283" s="18" t="inlineStr"/>
      <c r="AJ1283" s="18" t="inlineStr">
        <is>
          <t>Cobblemon 동일</t>
        </is>
      </c>
      <c r="AK1283" s="18" t="inlineStr">
        <is>
          <t>사용</t>
        </is>
      </c>
      <c r="AL1283" s="18" t="inlineStr">
        <is>
          <t>COBBLEVERSE 1.7.42 / DP v31</t>
        </is>
      </c>
      <c r="AM1283" s="18" t="inlineStr">
        <is>
          <t>data/cobblemon/spawn_pool_world/0342_crawdaunt.json</t>
        </is>
      </c>
      <c r="AN1283" s="18" t="inlineStr">
        <is>
          <t>crawdaunt-4</t>
        </is>
      </c>
      <c r="AO1283" s="18" t="inlineStr">
        <is>
          <t>pokemon</t>
        </is>
      </c>
      <c r="AP1283" s="18" t="inlineStr"/>
      <c r="AQ1283" s="18" t="inlineStr">
        <is>
          <t>{"biomes":["#cobblemon:is_arid","#cobblemon:is_freshwater","#cobblemon:is_hills","#cobblemon:is_jungle","#cobblemon:is_temperate"],"canSeeSky":false,"maxSkyLight":15,"minSkyLight":8}</t>
        </is>
      </c>
      <c r="AR1283" s="18" t="inlineStr">
        <is>
          <t>{"biomes":["#cobblemon:is_freezing"]}</t>
        </is>
      </c>
      <c r="AS1283" s="18" t="inlineStr">
        <is>
          <t>{"weightMultipliers":[{"condition":{"maxLureLevel":2,"minLureLevel":2},"multiplier":3.0},{"condition":{"minLureLevel":3},"multiplier":5.0}]}</t>
        </is>
      </c>
      <c r="AT1283" s="19" t="inlineStr"/>
    </row>
    <row r="1284" ht="32" customHeight="1">
      <c r="A1284" s="18" t="inlineStr">
        <is>
          <t>0343_baltoy.json::baltoy-1::001</t>
        </is>
      </c>
      <c r="B1284" s="19" t="inlineStr">
        <is>
          <t>사용</t>
        </is>
      </c>
      <c r="C1284" s="18">
        <f>IF(OR(B1284&lt;&gt;AK1284,M1284&lt;&gt;L1284,O1284&lt;&gt;"",Q1284&lt;&gt;"",V1284&lt;&gt;1,Y1284&lt;&gt;"",AT1284&lt;&gt;""),"수정","원본")</f>
        <v/>
      </c>
      <c r="D1284" s="18" t="n">
        <v>343</v>
      </c>
      <c r="E1284" s="18" t="inlineStr">
        <is>
          <t>오뚝군</t>
        </is>
      </c>
      <c r="F1284" s="18" t="inlineStr">
        <is>
          <t>baltoy</t>
        </is>
      </c>
      <c r="G1284" s="18" t="inlineStr">
        <is>
          <t>baltoy</t>
        </is>
      </c>
      <c r="H1284" s="18" t="inlineStr"/>
      <c r="I1284" s="18" t="n">
        <v>3</v>
      </c>
      <c r="J1284" s="18" t="n"/>
      <c r="K1284" s="18" t="n">
        <v>3</v>
      </c>
      <c r="L1284" s="18" t="inlineStr">
        <is>
          <t>cobbleventure:generation_3</t>
        </is>
      </c>
      <c r="M1284" s="19" t="inlineStr">
        <is>
          <t>cobbleventure:generation_3</t>
        </is>
      </c>
      <c r="N1284" s="18" t="inlineStr">
        <is>
          <t>region_02</t>
        </is>
      </c>
      <c r="O1284" s="19" t="inlineStr"/>
      <c r="P1284" s="18" t="inlineStr">
        <is>
          <t>#cobblemon:is_badlands; #cobblemon:is_desert</t>
        </is>
      </c>
      <c r="Q1284" s="19" t="inlineStr"/>
      <c r="R1284" s="18">
        <f>IF(Q1284="",P1284,Q1284)</f>
        <v/>
      </c>
      <c r="S1284" s="18" t="inlineStr">
        <is>
          <t>#cobblemon:is_deep_dark</t>
        </is>
      </c>
      <c r="T1284" s="18" t="inlineStr">
        <is>
          <t>uncommon</t>
        </is>
      </c>
      <c r="U1284" s="20" t="n">
        <v>5</v>
      </c>
      <c r="V1284" s="21" t="n">
        <v>1</v>
      </c>
      <c r="W1284" s="20">
        <f>IF(OR(U1284="",V1284=""),U1284,U1284*V1284)</f>
        <v/>
      </c>
      <c r="X1284" s="18" t="inlineStr">
        <is>
          <t>5-30</t>
        </is>
      </c>
      <c r="Y1284" s="19" t="inlineStr"/>
      <c r="Z1284" s="18">
        <f>IF(Y1284="",X1284,Y1284)</f>
        <v/>
      </c>
      <c r="AA1284" s="18" t="inlineStr">
        <is>
          <t>grounded</t>
        </is>
      </c>
      <c r="AB1284" s="18" t="inlineStr"/>
      <c r="AC1284" s="18" t="inlineStr"/>
      <c r="AD1284" s="18" t="inlineStr">
        <is>
          <t>minY=0</t>
        </is>
      </c>
      <c r="AE1284" s="18" t="inlineStr">
        <is>
          <t>sky 0-7</t>
        </is>
      </c>
      <c r="AF1284" s="18" t="inlineStr"/>
      <c r="AG1284" s="18" t="inlineStr"/>
      <c r="AH1284" s="18" t="inlineStr"/>
      <c r="AI1284" s="18" t="inlineStr"/>
      <c r="AJ1284" s="18" t="inlineStr">
        <is>
          <t>COBBLEVERSE 수정</t>
        </is>
      </c>
      <c r="AK1284" s="18" t="inlineStr">
        <is>
          <t>사용</t>
        </is>
      </c>
      <c r="AL1284" s="18" t="inlineStr">
        <is>
          <t>COBBLEVERSE 1.7.42 / DP v31</t>
        </is>
      </c>
      <c r="AM1284" s="18" t="inlineStr">
        <is>
          <t>data/cobblemon/spawn_pool_world/0343_baltoy.json</t>
        </is>
      </c>
      <c r="AN1284" s="18" t="inlineStr">
        <is>
          <t>baltoy-1</t>
        </is>
      </c>
      <c r="AO1284" s="18" t="inlineStr">
        <is>
          <t>pokemon</t>
        </is>
      </c>
      <c r="AP1284" s="18" t="inlineStr">
        <is>
          <t>natural</t>
        </is>
      </c>
      <c r="AQ1284" s="18" t="inlineStr">
        <is>
          <t>{"biomes":["#cobblemon:is_badlands","#cobblemon:is_desert"],"maxSkyLight":7,"minSkyLight":0,"minY":0}</t>
        </is>
      </c>
      <c r="AR1284" s="18" t="inlineStr">
        <is>
          <t>{"biomes":["#cobblemon:is_deep_dark"]}</t>
        </is>
      </c>
      <c r="AS1284" s="18" t="inlineStr"/>
      <c r="AT1284" s="19" t="inlineStr"/>
    </row>
    <row r="1285" ht="32" customHeight="1">
      <c r="A1285" s="18" t="inlineStr">
        <is>
          <t>0344_claydol.json::claydol-1::001</t>
        </is>
      </c>
      <c r="B1285" s="19" t="inlineStr">
        <is>
          <t>사용</t>
        </is>
      </c>
      <c r="C1285" s="18">
        <f>IF(OR(B1285&lt;&gt;AK1285,M1285&lt;&gt;L1285,O1285&lt;&gt;"",Q1285&lt;&gt;"",V1285&lt;&gt;1,Y1285&lt;&gt;"",AT1285&lt;&gt;""),"수정","원본")</f>
        <v/>
      </c>
      <c r="D1285" s="18" t="n">
        <v>344</v>
      </c>
      <c r="E1285" s="18" t="inlineStr">
        <is>
          <t>점토도리</t>
        </is>
      </c>
      <c r="F1285" s="18" t="inlineStr">
        <is>
          <t>claydol</t>
        </is>
      </c>
      <c r="G1285" s="18" t="inlineStr">
        <is>
          <t>claydol</t>
        </is>
      </c>
      <c r="H1285" s="18" t="inlineStr"/>
      <c r="I1285" s="18" t="n">
        <v>3</v>
      </c>
      <c r="J1285" s="18" t="n"/>
      <c r="K1285" s="18" t="n">
        <v>3</v>
      </c>
      <c r="L1285" s="18" t="inlineStr">
        <is>
          <t>cobbleventure:generation_3</t>
        </is>
      </c>
      <c r="M1285" s="19" t="inlineStr">
        <is>
          <t>cobbleventure:generation_3</t>
        </is>
      </c>
      <c r="N1285" s="18" t="inlineStr">
        <is>
          <t>region_02</t>
        </is>
      </c>
      <c r="O1285" s="19" t="inlineStr"/>
      <c r="P1285" s="18" t="inlineStr">
        <is>
          <t>#cobblemon:is_badlands; #cobblemon:is_desert</t>
        </is>
      </c>
      <c r="Q1285" s="19" t="inlineStr"/>
      <c r="R1285" s="18">
        <f>IF(Q1285="",P1285,Q1285)</f>
        <v/>
      </c>
      <c r="S1285" s="18" t="inlineStr">
        <is>
          <t>#cobblemon:is_deep_dark</t>
        </is>
      </c>
      <c r="T1285" s="18" t="inlineStr">
        <is>
          <t>uncommon</t>
        </is>
      </c>
      <c r="U1285" s="20" t="n">
        <v>0.96</v>
      </c>
      <c r="V1285" s="21" t="n">
        <v>1</v>
      </c>
      <c r="W1285" s="20">
        <f>IF(OR(U1285="",V1285=""),U1285,U1285*V1285)</f>
        <v/>
      </c>
      <c r="X1285" s="18" t="inlineStr">
        <is>
          <t>36-50</t>
        </is>
      </c>
      <c r="Y1285" s="19" t="inlineStr"/>
      <c r="Z1285" s="18">
        <f>IF(Y1285="",X1285,Y1285)</f>
        <v/>
      </c>
      <c r="AA1285" s="18" t="inlineStr">
        <is>
          <t>grounded</t>
        </is>
      </c>
      <c r="AB1285" s="18" t="inlineStr"/>
      <c r="AC1285" s="18" t="inlineStr"/>
      <c r="AD1285" s="18" t="inlineStr">
        <is>
          <t>minY=0</t>
        </is>
      </c>
      <c r="AE1285" s="18" t="inlineStr">
        <is>
          <t>sky 0-7</t>
        </is>
      </c>
      <c r="AF1285" s="18" t="inlineStr"/>
      <c r="AG1285" s="18" t="inlineStr"/>
      <c r="AH1285" s="18" t="inlineStr"/>
      <c r="AI1285" s="18" t="inlineStr"/>
      <c r="AJ1285" s="18" t="inlineStr">
        <is>
          <t>COBBLEVERSE 수정</t>
        </is>
      </c>
      <c r="AK1285" s="18" t="inlineStr">
        <is>
          <t>사용</t>
        </is>
      </c>
      <c r="AL1285" s="18" t="inlineStr">
        <is>
          <t>COBBLEVERSE 1.7.42 / DP v31</t>
        </is>
      </c>
      <c r="AM1285" s="18" t="inlineStr">
        <is>
          <t>data/cobblemon/spawn_pool_world/0344_claydol.json</t>
        </is>
      </c>
      <c r="AN1285" s="18" t="inlineStr">
        <is>
          <t>claydol-1</t>
        </is>
      </c>
      <c r="AO1285" s="18" t="inlineStr">
        <is>
          <t>pokemon</t>
        </is>
      </c>
      <c r="AP1285" s="18" t="inlineStr">
        <is>
          <t>natural</t>
        </is>
      </c>
      <c r="AQ1285" s="18" t="inlineStr">
        <is>
          <t>{"biomes":["#cobblemon:is_badlands","#cobblemon:is_desert"],"maxSkyLight":7,"minSkyLight":0,"minY":0}</t>
        </is>
      </c>
      <c r="AR1285" s="18" t="inlineStr">
        <is>
          <t>{"biomes":["#cobblemon:is_deep_dark"]}</t>
        </is>
      </c>
      <c r="AS1285" s="18" t="inlineStr"/>
      <c r="AT1285" s="19" t="inlineStr"/>
    </row>
    <row r="1286" ht="32" customHeight="1">
      <c r="A1286" s="18" t="inlineStr">
        <is>
          <t>0344_claydol.json::claydol-2::002</t>
        </is>
      </c>
      <c r="B1286" s="19" t="inlineStr">
        <is>
          <t>사용</t>
        </is>
      </c>
      <c r="C1286" s="18">
        <f>IF(OR(B1286&lt;&gt;AK1286,M1286&lt;&gt;L1286,O1286&lt;&gt;"",Q1286&lt;&gt;"",V1286&lt;&gt;1,Y1286&lt;&gt;"",AT1286&lt;&gt;""),"수정","원본")</f>
        <v/>
      </c>
      <c r="D1286" s="18" t="n">
        <v>344</v>
      </c>
      <c r="E1286" s="18" t="inlineStr">
        <is>
          <t>점토도리</t>
        </is>
      </c>
      <c r="F1286" s="18" t="inlineStr">
        <is>
          <t>claydol</t>
        </is>
      </c>
      <c r="G1286" s="18" t="inlineStr">
        <is>
          <t>claydol</t>
        </is>
      </c>
      <c r="H1286" s="18" t="inlineStr"/>
      <c r="I1286" s="18" t="n">
        <v>3</v>
      </c>
      <c r="J1286" s="18" t="n"/>
      <c r="K1286" s="18" t="n">
        <v>3</v>
      </c>
      <c r="L1286" s="18" t="inlineStr">
        <is>
          <t>cobbleventure:generation_3</t>
        </is>
      </c>
      <c r="M1286" s="19" t="inlineStr">
        <is>
          <t>cobbleventure:generation_3</t>
        </is>
      </c>
      <c r="N1286" s="18" t="inlineStr">
        <is>
          <t>region_01; region_02</t>
        </is>
      </c>
      <c r="O1286" s="19" t="inlineStr"/>
      <c r="P1286" s="18" t="inlineStr">
        <is>
          <t>#cobblemon:is_overworld</t>
        </is>
      </c>
      <c r="Q1286" s="19" t="inlineStr"/>
      <c r="R1286" s="18">
        <f>IF(Q1286="",P1286,Q1286)</f>
        <v/>
      </c>
      <c r="S1286" s="18" t="inlineStr"/>
      <c r="T1286" s="18" t="inlineStr">
        <is>
          <t>common</t>
        </is>
      </c>
      <c r="U1286" s="20" t="n">
        <v>6</v>
      </c>
      <c r="V1286" s="21" t="n">
        <v>1</v>
      </c>
      <c r="W1286" s="20">
        <f>IF(OR(U1286="",V1286=""),U1286,U1286*V1286)</f>
        <v/>
      </c>
      <c r="X1286" s="18" t="inlineStr">
        <is>
          <t>36-50</t>
        </is>
      </c>
      <c r="Y1286" s="19" t="inlineStr"/>
      <c r="Z1286" s="18">
        <f>IF(Y1286="",X1286,Y1286)</f>
        <v/>
      </c>
      <c r="AA1286" s="18" t="inlineStr">
        <is>
          <t>grounded</t>
        </is>
      </c>
      <c r="AB1286" s="18" t="inlineStr"/>
      <c r="AC1286" s="18" t="inlineStr"/>
      <c r="AD1286" s="18" t="inlineStr">
        <is>
          <t>minY=48</t>
        </is>
      </c>
      <c r="AE1286" s="18" t="inlineStr"/>
      <c r="AF1286" s="18" t="inlineStr">
        <is>
          <t>False</t>
        </is>
      </c>
      <c r="AG1286" s="18" t="inlineStr"/>
      <c r="AH1286" s="18" t="inlineStr"/>
      <c r="AI1286" s="18" t="inlineStr"/>
      <c r="AJ1286" s="18" t="inlineStr">
        <is>
          <t>COBBLEVERSE 수정</t>
        </is>
      </c>
      <c r="AK1286" s="18" t="inlineStr">
        <is>
          <t>사용</t>
        </is>
      </c>
      <c r="AL1286" s="18" t="inlineStr">
        <is>
          <t>COBBLEVERSE 1.7.42 / DP v31</t>
        </is>
      </c>
      <c r="AM1286" s="18" t="inlineStr">
        <is>
          <t>data/cobblemon/spawn_pool_world/0344_claydol.json</t>
        </is>
      </c>
      <c r="AN1286" s="18" t="inlineStr">
        <is>
          <t>claydol-2</t>
        </is>
      </c>
      <c r="AO1286" s="18" t="inlineStr">
        <is>
          <t>pokemon</t>
        </is>
      </c>
      <c r="AP1286" s="18" t="inlineStr">
        <is>
          <t>natural</t>
        </is>
      </c>
      <c r="AQ1286" s="18" t="inlineStr">
        <is>
          <t>{"biomes":["#cobblemon:is_overworld"],"canSeeSky":false,"minY":48}</t>
        </is>
      </c>
      <c r="AR1286" s="18" t="inlineStr"/>
      <c r="AS1286" s="18" t="inlineStr"/>
      <c r="AT1286" s="19" t="inlineStr"/>
    </row>
    <row r="1287" ht="32" customHeight="1">
      <c r="A1287" s="18" t="inlineStr">
        <is>
          <t>0345_lileep.json::lileep-1::001</t>
        </is>
      </c>
      <c r="B1287" s="19" t="inlineStr">
        <is>
          <t>사용</t>
        </is>
      </c>
      <c r="C1287" s="18">
        <f>IF(OR(B1287&lt;&gt;AK1287,M1287&lt;&gt;L1287,O1287&lt;&gt;"",Q1287&lt;&gt;"",V1287&lt;&gt;1,Y1287&lt;&gt;"",AT1287&lt;&gt;""),"수정","원본")</f>
        <v/>
      </c>
      <c r="D1287" s="18" t="n">
        <v>345</v>
      </c>
      <c r="E1287" s="18" t="inlineStr">
        <is>
          <t>릴링</t>
        </is>
      </c>
      <c r="F1287" s="18" t="inlineStr">
        <is>
          <t>lileep</t>
        </is>
      </c>
      <c r="G1287" s="18" t="inlineStr">
        <is>
          <t>lileep</t>
        </is>
      </c>
      <c r="H1287" s="18" t="inlineStr"/>
      <c r="I1287" s="18" t="n">
        <v>3</v>
      </c>
      <c r="J1287" s="18" t="n"/>
      <c r="K1287" s="18" t="n">
        <v>3</v>
      </c>
      <c r="L1287" s="18" t="inlineStr">
        <is>
          <t>cobbleventure:generation_3</t>
        </is>
      </c>
      <c r="M1287" s="19" t="inlineStr">
        <is>
          <t>cobbleventure:generation_3</t>
        </is>
      </c>
      <c r="N1287" s="18" t="inlineStr"/>
      <c r="O1287" s="19" t="inlineStr"/>
      <c r="P1287" s="18" t="inlineStr">
        <is>
          <t>#cobblemon:is_lush</t>
        </is>
      </c>
      <c r="Q1287" s="19" t="inlineStr"/>
      <c r="R1287" s="18">
        <f>IF(Q1287="",P1287,Q1287)</f>
        <v/>
      </c>
      <c r="S1287" s="18" t="inlineStr"/>
      <c r="T1287" s="18" t="inlineStr">
        <is>
          <t>ultra-rare</t>
        </is>
      </c>
      <c r="U1287" s="20" t="n">
        <v>6</v>
      </c>
      <c r="V1287" s="21" t="n">
        <v>1</v>
      </c>
      <c r="W1287" s="20">
        <f>IF(OR(U1287="",V1287=""),U1287,U1287*V1287)</f>
        <v/>
      </c>
      <c r="X1287" s="18" t="inlineStr">
        <is>
          <t>11-36</t>
        </is>
      </c>
      <c r="Y1287" s="19" t="inlineStr"/>
      <c r="Z1287" s="18">
        <f>IF(Y1287="",X1287,Y1287)</f>
        <v/>
      </c>
      <c r="AA1287" s="18" t="inlineStr">
        <is>
          <t>seafloor</t>
        </is>
      </c>
      <c r="AB1287" s="18" t="inlineStr"/>
      <c r="AC1287" s="18" t="inlineStr"/>
      <c r="AD1287" s="18" t="inlineStr"/>
      <c r="AE1287" s="18" t="inlineStr">
        <is>
          <t>sky 0-7</t>
        </is>
      </c>
      <c r="AF1287" s="18" t="inlineStr"/>
      <c r="AG1287" s="18" t="inlineStr"/>
      <c r="AH1287" s="18" t="inlineStr"/>
      <c r="AI1287" s="18" t="inlineStr"/>
      <c r="AJ1287" s="18" t="inlineStr">
        <is>
          <t>Cobblemon 동일</t>
        </is>
      </c>
      <c r="AK1287" s="18" t="inlineStr">
        <is>
          <t>사용</t>
        </is>
      </c>
      <c r="AL1287" s="18" t="inlineStr">
        <is>
          <t>COBBLEVERSE 1.7.42 / DP v31</t>
        </is>
      </c>
      <c r="AM1287" s="18" t="inlineStr">
        <is>
          <t>data/cobblemon/spawn_pool_world/0345_lileep.json</t>
        </is>
      </c>
      <c r="AN1287" s="18" t="inlineStr">
        <is>
          <t>lileep-1</t>
        </is>
      </c>
      <c r="AO1287" s="18" t="inlineStr">
        <is>
          <t>pokemon</t>
        </is>
      </c>
      <c r="AP1287" s="18" t="inlineStr">
        <is>
          <t>water</t>
        </is>
      </c>
      <c r="AQ1287" s="18" t="inlineStr">
        <is>
          <t>{"biomes":["#cobblemon:is_lush"],"maxSkyLight":7,"minSkyLight":0}</t>
        </is>
      </c>
      <c r="AR1287" s="18" t="inlineStr"/>
      <c r="AS1287" s="18" t="inlineStr"/>
      <c r="AT1287" s="19" t="inlineStr"/>
    </row>
    <row r="1288" ht="32" customHeight="1">
      <c r="A1288" s="18" t="inlineStr">
        <is>
          <t>0346_cradily.json::cradily-1::001</t>
        </is>
      </c>
      <c r="B1288" s="19" t="inlineStr">
        <is>
          <t>사용</t>
        </is>
      </c>
      <c r="C1288" s="18">
        <f>IF(OR(B1288&lt;&gt;AK1288,M1288&lt;&gt;L1288,O1288&lt;&gt;"",Q1288&lt;&gt;"",V1288&lt;&gt;1,Y1288&lt;&gt;"",AT1288&lt;&gt;""),"수정","원본")</f>
        <v/>
      </c>
      <c r="D1288" s="18" t="n">
        <v>346</v>
      </c>
      <c r="E1288" s="18" t="inlineStr">
        <is>
          <t>릴리요</t>
        </is>
      </c>
      <c r="F1288" s="18" t="inlineStr">
        <is>
          <t>cradily</t>
        </is>
      </c>
      <c r="G1288" s="18" t="inlineStr">
        <is>
          <t>cradily</t>
        </is>
      </c>
      <c r="H1288" s="18" t="inlineStr"/>
      <c r="I1288" s="18" t="n">
        <v>3</v>
      </c>
      <c r="J1288" s="18" t="n"/>
      <c r="K1288" s="18" t="n">
        <v>3</v>
      </c>
      <c r="L1288" s="18" t="inlineStr">
        <is>
          <t>cobbleventure:generation_3</t>
        </is>
      </c>
      <c r="M1288" s="19" t="inlineStr">
        <is>
          <t>cobbleventure:generation_3</t>
        </is>
      </c>
      <c r="N1288" s="18" t="inlineStr"/>
      <c r="O1288" s="19" t="inlineStr"/>
      <c r="P1288" s="18" t="inlineStr">
        <is>
          <t>#cobblemon:is_lush</t>
        </is>
      </c>
      <c r="Q1288" s="19" t="inlineStr"/>
      <c r="R1288" s="18">
        <f>IF(Q1288="",P1288,Q1288)</f>
        <v/>
      </c>
      <c r="S1288" s="18" t="inlineStr"/>
      <c r="T1288" s="18" t="inlineStr">
        <is>
          <t>ultra-rare</t>
        </is>
      </c>
      <c r="U1288" s="20" t="n">
        <v>4</v>
      </c>
      <c r="V1288" s="21" t="n">
        <v>1</v>
      </c>
      <c r="W1288" s="20">
        <f>IF(OR(U1288="",V1288=""),U1288,U1288*V1288)</f>
        <v/>
      </c>
      <c r="X1288" s="18" t="inlineStr">
        <is>
          <t>40-50</t>
        </is>
      </c>
      <c r="Y1288" s="19" t="inlineStr"/>
      <c r="Z1288" s="18">
        <f>IF(Y1288="",X1288,Y1288)</f>
        <v/>
      </c>
      <c r="AA1288" s="18" t="inlineStr">
        <is>
          <t>seafloor</t>
        </is>
      </c>
      <c r="AB1288" s="18" t="inlineStr"/>
      <c r="AC1288" s="18" t="inlineStr"/>
      <c r="AD1288" s="18" t="inlineStr"/>
      <c r="AE1288" s="18" t="inlineStr">
        <is>
          <t>sky 0-7</t>
        </is>
      </c>
      <c r="AF1288" s="18" t="inlineStr"/>
      <c r="AG1288" s="18" t="inlineStr"/>
      <c r="AH1288" s="18" t="inlineStr"/>
      <c r="AI1288" s="18" t="inlineStr"/>
      <c r="AJ1288" s="18" t="inlineStr">
        <is>
          <t>Cobblemon 동일</t>
        </is>
      </c>
      <c r="AK1288" s="18" t="inlineStr">
        <is>
          <t>사용</t>
        </is>
      </c>
      <c r="AL1288" s="18" t="inlineStr">
        <is>
          <t>COBBLEVERSE 1.7.42 / DP v31</t>
        </is>
      </c>
      <c r="AM1288" s="18" t="inlineStr">
        <is>
          <t>data/cobblemon/spawn_pool_world/0346_cradily.json</t>
        </is>
      </c>
      <c r="AN1288" s="18" t="inlineStr">
        <is>
          <t>cradily-1</t>
        </is>
      </c>
      <c r="AO1288" s="18" t="inlineStr">
        <is>
          <t>pokemon</t>
        </is>
      </c>
      <c r="AP1288" s="18" t="inlineStr">
        <is>
          <t>water</t>
        </is>
      </c>
      <c r="AQ1288" s="18" t="inlineStr">
        <is>
          <t>{"biomes":["#cobblemon:is_lush"],"maxSkyLight":7,"minSkyLight":0}</t>
        </is>
      </c>
      <c r="AR1288" s="18" t="inlineStr"/>
      <c r="AS1288" s="18" t="inlineStr"/>
      <c r="AT1288" s="19" t="inlineStr"/>
    </row>
    <row r="1289" ht="32" customHeight="1">
      <c r="A1289" s="18" t="inlineStr">
        <is>
          <t>0347_anorith.json::anorith-1::001</t>
        </is>
      </c>
      <c r="B1289" s="19" t="inlineStr">
        <is>
          <t>사용</t>
        </is>
      </c>
      <c r="C1289" s="18">
        <f>IF(OR(B1289&lt;&gt;AK1289,M1289&lt;&gt;L1289,O1289&lt;&gt;"",Q1289&lt;&gt;"",V1289&lt;&gt;1,Y1289&lt;&gt;"",AT1289&lt;&gt;""),"수정","원본")</f>
        <v/>
      </c>
      <c r="D1289" s="18" t="n">
        <v>347</v>
      </c>
      <c r="E1289" s="18" t="inlineStr">
        <is>
          <t>아노딥스</t>
        </is>
      </c>
      <c r="F1289" s="18" t="inlineStr">
        <is>
          <t>anorith</t>
        </is>
      </c>
      <c r="G1289" s="18" t="inlineStr">
        <is>
          <t>anorith</t>
        </is>
      </c>
      <c r="H1289" s="18" t="inlineStr"/>
      <c r="I1289" s="18" t="n">
        <v>3</v>
      </c>
      <c r="J1289" s="18" t="n"/>
      <c r="K1289" s="18" t="n">
        <v>3</v>
      </c>
      <c r="L1289" s="18" t="inlineStr">
        <is>
          <t>cobbleventure:generation_3</t>
        </is>
      </c>
      <c r="M1289" s="19" t="inlineStr">
        <is>
          <t>cobbleventure:generation_3</t>
        </is>
      </c>
      <c r="N1289" s="18" t="inlineStr"/>
      <c r="O1289" s="19" t="inlineStr"/>
      <c r="P1289" s="18" t="inlineStr">
        <is>
          <t>#cobblemon:is_lush</t>
        </is>
      </c>
      <c r="Q1289" s="19" t="inlineStr"/>
      <c r="R1289" s="18">
        <f>IF(Q1289="",P1289,Q1289)</f>
        <v/>
      </c>
      <c r="S1289" s="18" t="inlineStr"/>
      <c r="T1289" s="18" t="inlineStr">
        <is>
          <t>ultra-rare</t>
        </is>
      </c>
      <c r="U1289" s="20" t="n">
        <v>6</v>
      </c>
      <c r="V1289" s="21" t="n">
        <v>1</v>
      </c>
      <c r="W1289" s="20">
        <f>IF(OR(U1289="",V1289=""),U1289,U1289*V1289)</f>
        <v/>
      </c>
      <c r="X1289" s="18" t="inlineStr">
        <is>
          <t>11-36</t>
        </is>
      </c>
      <c r="Y1289" s="19" t="inlineStr"/>
      <c r="Z1289" s="18">
        <f>IF(Y1289="",X1289,Y1289)</f>
        <v/>
      </c>
      <c r="AA1289" s="18" t="inlineStr">
        <is>
          <t>grounded</t>
        </is>
      </c>
      <c r="AB1289" s="18" t="inlineStr"/>
      <c r="AC1289" s="18" t="inlineStr"/>
      <c r="AD1289" s="18" t="inlineStr"/>
      <c r="AE1289" s="18" t="inlineStr">
        <is>
          <t>sky 0-7</t>
        </is>
      </c>
      <c r="AF1289" s="18" t="inlineStr"/>
      <c r="AG1289" s="18" t="inlineStr"/>
      <c r="AH1289" s="18" t="inlineStr"/>
      <c r="AI1289" s="18" t="inlineStr"/>
      <c r="AJ1289" s="18" t="inlineStr">
        <is>
          <t>Cobblemon 동일</t>
        </is>
      </c>
      <c r="AK1289" s="18" t="inlineStr">
        <is>
          <t>사용</t>
        </is>
      </c>
      <c r="AL1289" s="18" t="inlineStr">
        <is>
          <t>COBBLEVERSE 1.7.42 / DP v31</t>
        </is>
      </c>
      <c r="AM1289" s="18" t="inlineStr">
        <is>
          <t>data/cobblemon/spawn_pool_world/0347_anorith.json</t>
        </is>
      </c>
      <c r="AN1289" s="18" t="inlineStr">
        <is>
          <t>anorith-1</t>
        </is>
      </c>
      <c r="AO1289" s="18" t="inlineStr">
        <is>
          <t>pokemon</t>
        </is>
      </c>
      <c r="AP1289" s="18" t="inlineStr">
        <is>
          <t>natural</t>
        </is>
      </c>
      <c r="AQ1289" s="18" t="inlineStr">
        <is>
          <t>{"biomes":["#cobblemon:is_lush"],"maxSkyLight":7,"minSkyLight":0}</t>
        </is>
      </c>
      <c r="AR1289" s="18" t="inlineStr"/>
      <c r="AS1289" s="18" t="inlineStr"/>
      <c r="AT1289" s="19" t="inlineStr"/>
    </row>
    <row r="1290" ht="32" customHeight="1">
      <c r="A1290" s="18" t="inlineStr">
        <is>
          <t>0347_anorith.json::anorith-2::002</t>
        </is>
      </c>
      <c r="B1290" s="19" t="inlineStr">
        <is>
          <t>사용</t>
        </is>
      </c>
      <c r="C1290" s="18">
        <f>IF(OR(B1290&lt;&gt;AK1290,M1290&lt;&gt;L1290,O1290&lt;&gt;"",Q1290&lt;&gt;"",V1290&lt;&gt;1,Y1290&lt;&gt;"",AT1290&lt;&gt;""),"수정","원본")</f>
        <v/>
      </c>
      <c r="D1290" s="18" t="n">
        <v>347</v>
      </c>
      <c r="E1290" s="18" t="inlineStr">
        <is>
          <t>아노딥스</t>
        </is>
      </c>
      <c r="F1290" s="18" t="inlineStr">
        <is>
          <t>anorith</t>
        </is>
      </c>
      <c r="G1290" s="18" t="inlineStr">
        <is>
          <t>anorith</t>
        </is>
      </c>
      <c r="H1290" s="18" t="inlineStr"/>
      <c r="I1290" s="18" t="n">
        <v>3</v>
      </c>
      <c r="J1290" s="18" t="n"/>
      <c r="K1290" s="18" t="n">
        <v>3</v>
      </c>
      <c r="L1290" s="18" t="inlineStr">
        <is>
          <t>cobbleventure:generation_3</t>
        </is>
      </c>
      <c r="M1290" s="19" t="inlineStr">
        <is>
          <t>cobbleventure:generation_3</t>
        </is>
      </c>
      <c r="N1290" s="18" t="inlineStr"/>
      <c r="O1290" s="19" t="inlineStr"/>
      <c r="P1290" s="18" t="inlineStr">
        <is>
          <t>#cobblemon:is_lush</t>
        </is>
      </c>
      <c r="Q1290" s="19" t="inlineStr"/>
      <c r="R1290" s="18">
        <f>IF(Q1290="",P1290,Q1290)</f>
        <v/>
      </c>
      <c r="S1290" s="18" t="inlineStr"/>
      <c r="T1290" s="18" t="inlineStr">
        <is>
          <t>ultra-rare</t>
        </is>
      </c>
      <c r="U1290" s="20" t="n">
        <v>6</v>
      </c>
      <c r="V1290" s="21" t="n">
        <v>1</v>
      </c>
      <c r="W1290" s="20">
        <f>IF(OR(U1290="",V1290=""),U1290,U1290*V1290)</f>
        <v/>
      </c>
      <c r="X1290" s="18" t="inlineStr">
        <is>
          <t>11-36</t>
        </is>
      </c>
      <c r="Y1290" s="19" t="inlineStr"/>
      <c r="Z1290" s="18">
        <f>IF(Y1290="",X1290,Y1290)</f>
        <v/>
      </c>
      <c r="AA1290" s="18" t="inlineStr">
        <is>
          <t>submerged</t>
        </is>
      </c>
      <c r="AB1290" s="18" t="inlineStr"/>
      <c r="AC1290" s="18" t="inlineStr"/>
      <c r="AD1290" s="18" t="inlineStr"/>
      <c r="AE1290" s="18" t="inlineStr">
        <is>
          <t>sky 0-7</t>
        </is>
      </c>
      <c r="AF1290" s="18" t="inlineStr"/>
      <c r="AG1290" s="18" t="inlineStr"/>
      <c r="AH1290" s="18" t="inlineStr"/>
      <c r="AI1290" s="18" t="inlineStr"/>
      <c r="AJ1290" s="18" t="inlineStr">
        <is>
          <t>Cobblemon 동일</t>
        </is>
      </c>
      <c r="AK1290" s="18" t="inlineStr">
        <is>
          <t>사용</t>
        </is>
      </c>
      <c r="AL1290" s="18" t="inlineStr">
        <is>
          <t>COBBLEVERSE 1.7.42 / DP v31</t>
        </is>
      </c>
      <c r="AM1290" s="18" t="inlineStr">
        <is>
          <t>data/cobblemon/spawn_pool_world/0347_anorith.json</t>
        </is>
      </c>
      <c r="AN1290" s="18" t="inlineStr">
        <is>
          <t>anorith-2</t>
        </is>
      </c>
      <c r="AO1290" s="18" t="inlineStr">
        <is>
          <t>pokemon</t>
        </is>
      </c>
      <c r="AP1290" s="18" t="inlineStr">
        <is>
          <t>water</t>
        </is>
      </c>
      <c r="AQ1290" s="18" t="inlineStr">
        <is>
          <t>{"biomes":["#cobblemon:is_lush"],"maxSkyLight":7,"minSkyLight":0}</t>
        </is>
      </c>
      <c r="AR1290" s="18" t="inlineStr"/>
      <c r="AS1290" s="18" t="inlineStr"/>
      <c r="AT1290" s="19" t="inlineStr"/>
    </row>
    <row r="1291" ht="32" customHeight="1">
      <c r="A1291" s="18" t="inlineStr">
        <is>
          <t>0348_armaldo.json::armaldo-1::001</t>
        </is>
      </c>
      <c r="B1291" s="19" t="inlineStr">
        <is>
          <t>사용</t>
        </is>
      </c>
      <c r="C1291" s="18">
        <f>IF(OR(B1291&lt;&gt;AK1291,M1291&lt;&gt;L1291,O1291&lt;&gt;"",Q1291&lt;&gt;"",V1291&lt;&gt;1,Y1291&lt;&gt;"",AT1291&lt;&gt;""),"수정","원본")</f>
        <v/>
      </c>
      <c r="D1291" s="18" t="n">
        <v>348</v>
      </c>
      <c r="E1291" s="18" t="inlineStr">
        <is>
          <t>아말도</t>
        </is>
      </c>
      <c r="F1291" s="18" t="inlineStr">
        <is>
          <t>armaldo</t>
        </is>
      </c>
      <c r="G1291" s="18" t="inlineStr">
        <is>
          <t>armaldo</t>
        </is>
      </c>
      <c r="H1291" s="18" t="inlineStr"/>
      <c r="I1291" s="18" t="n">
        <v>3</v>
      </c>
      <c r="J1291" s="18" t="n"/>
      <c r="K1291" s="18" t="n">
        <v>3</v>
      </c>
      <c r="L1291" s="18" t="inlineStr">
        <is>
          <t>cobbleventure:generation_3</t>
        </is>
      </c>
      <c r="M1291" s="19" t="inlineStr">
        <is>
          <t>cobbleventure:generation_3</t>
        </is>
      </c>
      <c r="N1291" s="18" t="inlineStr"/>
      <c r="O1291" s="19" t="inlineStr"/>
      <c r="P1291" s="18" t="inlineStr">
        <is>
          <t>#cobblemon:is_lush</t>
        </is>
      </c>
      <c r="Q1291" s="19" t="inlineStr"/>
      <c r="R1291" s="18">
        <f>IF(Q1291="",P1291,Q1291)</f>
        <v/>
      </c>
      <c r="S1291" s="18" t="inlineStr"/>
      <c r="T1291" s="18" t="inlineStr">
        <is>
          <t>ultra-rare</t>
        </is>
      </c>
      <c r="U1291" s="20" t="n">
        <v>4</v>
      </c>
      <c r="V1291" s="21" t="n">
        <v>1</v>
      </c>
      <c r="W1291" s="20">
        <f>IF(OR(U1291="",V1291=""),U1291,U1291*V1291)</f>
        <v/>
      </c>
      <c r="X1291" s="18" t="inlineStr">
        <is>
          <t>40-50</t>
        </is>
      </c>
      <c r="Y1291" s="19" t="inlineStr"/>
      <c r="Z1291" s="18">
        <f>IF(Y1291="",X1291,Y1291)</f>
        <v/>
      </c>
      <c r="AA1291" s="18" t="inlineStr">
        <is>
          <t>grounded</t>
        </is>
      </c>
      <c r="AB1291" s="18" t="inlineStr"/>
      <c r="AC1291" s="18" t="inlineStr"/>
      <c r="AD1291" s="18" t="inlineStr"/>
      <c r="AE1291" s="18" t="inlineStr">
        <is>
          <t>sky 0-7</t>
        </is>
      </c>
      <c r="AF1291" s="18" t="inlineStr"/>
      <c r="AG1291" s="18" t="inlineStr"/>
      <c r="AH1291" s="18" t="inlineStr"/>
      <c r="AI1291" s="18" t="inlineStr"/>
      <c r="AJ1291" s="18" t="inlineStr">
        <is>
          <t>Cobblemon 동일</t>
        </is>
      </c>
      <c r="AK1291" s="18" t="inlineStr">
        <is>
          <t>사용</t>
        </is>
      </c>
      <c r="AL1291" s="18" t="inlineStr">
        <is>
          <t>COBBLEVERSE 1.7.42 / DP v31</t>
        </is>
      </c>
      <c r="AM1291" s="18" t="inlineStr">
        <is>
          <t>data/cobblemon/spawn_pool_world/0348_armaldo.json</t>
        </is>
      </c>
      <c r="AN1291" s="18" t="inlineStr">
        <is>
          <t>armaldo-1</t>
        </is>
      </c>
      <c r="AO1291" s="18" t="inlineStr">
        <is>
          <t>pokemon</t>
        </is>
      </c>
      <c r="AP1291" s="18" t="inlineStr">
        <is>
          <t>natural</t>
        </is>
      </c>
      <c r="AQ1291" s="18" t="inlineStr">
        <is>
          <t>{"biomes":["#cobblemon:is_lush"],"maxSkyLight":7,"minSkyLight":0}</t>
        </is>
      </c>
      <c r="AR1291" s="18" t="inlineStr"/>
      <c r="AS1291" s="18" t="inlineStr"/>
      <c r="AT1291" s="19" t="inlineStr"/>
    </row>
    <row r="1292" ht="32" customHeight="1">
      <c r="A1292" s="18" t="inlineStr">
        <is>
          <t>0348_armaldo.json::armaldo-2::002</t>
        </is>
      </c>
      <c r="B1292" s="19" t="inlineStr">
        <is>
          <t>사용</t>
        </is>
      </c>
      <c r="C1292" s="18">
        <f>IF(OR(B1292&lt;&gt;AK1292,M1292&lt;&gt;L1292,O1292&lt;&gt;"",Q1292&lt;&gt;"",V1292&lt;&gt;1,Y1292&lt;&gt;"",AT1292&lt;&gt;""),"수정","원본")</f>
        <v/>
      </c>
      <c r="D1292" s="18" t="n">
        <v>348</v>
      </c>
      <c r="E1292" s="18" t="inlineStr">
        <is>
          <t>아말도</t>
        </is>
      </c>
      <c r="F1292" s="18" t="inlineStr">
        <is>
          <t>armaldo</t>
        </is>
      </c>
      <c r="G1292" s="18" t="inlineStr">
        <is>
          <t>armaldo</t>
        </is>
      </c>
      <c r="H1292" s="18" t="inlineStr"/>
      <c r="I1292" s="18" t="n">
        <v>3</v>
      </c>
      <c r="J1292" s="18" t="n"/>
      <c r="K1292" s="18" t="n">
        <v>3</v>
      </c>
      <c r="L1292" s="18" t="inlineStr">
        <is>
          <t>cobbleventure:generation_3</t>
        </is>
      </c>
      <c r="M1292" s="19" t="inlineStr">
        <is>
          <t>cobbleventure:generation_3</t>
        </is>
      </c>
      <c r="N1292" s="18" t="inlineStr"/>
      <c r="O1292" s="19" t="inlineStr"/>
      <c r="P1292" s="18" t="inlineStr">
        <is>
          <t>#cobblemon:is_lush</t>
        </is>
      </c>
      <c r="Q1292" s="19" t="inlineStr"/>
      <c r="R1292" s="18">
        <f>IF(Q1292="",P1292,Q1292)</f>
        <v/>
      </c>
      <c r="S1292" s="18" t="inlineStr"/>
      <c r="T1292" s="18" t="inlineStr">
        <is>
          <t>ultra-rare</t>
        </is>
      </c>
      <c r="U1292" s="20" t="n">
        <v>4</v>
      </c>
      <c r="V1292" s="21" t="n">
        <v>1</v>
      </c>
      <c r="W1292" s="20">
        <f>IF(OR(U1292="",V1292=""),U1292,U1292*V1292)</f>
        <v/>
      </c>
      <c r="X1292" s="18" t="inlineStr">
        <is>
          <t>40-50</t>
        </is>
      </c>
      <c r="Y1292" s="19" t="inlineStr"/>
      <c r="Z1292" s="18">
        <f>IF(Y1292="",X1292,Y1292)</f>
        <v/>
      </c>
      <c r="AA1292" s="18" t="inlineStr">
        <is>
          <t>submerged</t>
        </is>
      </c>
      <c r="AB1292" s="18" t="inlineStr"/>
      <c r="AC1292" s="18" t="inlineStr"/>
      <c r="AD1292" s="18" t="inlineStr"/>
      <c r="AE1292" s="18" t="inlineStr">
        <is>
          <t>sky 0-7</t>
        </is>
      </c>
      <c r="AF1292" s="18" t="inlineStr"/>
      <c r="AG1292" s="18" t="inlineStr"/>
      <c r="AH1292" s="18" t="inlineStr"/>
      <c r="AI1292" s="18" t="inlineStr"/>
      <c r="AJ1292" s="18" t="inlineStr">
        <is>
          <t>Cobblemon 동일</t>
        </is>
      </c>
      <c r="AK1292" s="18" t="inlineStr">
        <is>
          <t>사용</t>
        </is>
      </c>
      <c r="AL1292" s="18" t="inlineStr">
        <is>
          <t>COBBLEVERSE 1.7.42 / DP v31</t>
        </is>
      </c>
      <c r="AM1292" s="18" t="inlineStr">
        <is>
          <t>data/cobblemon/spawn_pool_world/0348_armaldo.json</t>
        </is>
      </c>
      <c r="AN1292" s="18" t="inlineStr">
        <is>
          <t>armaldo-2</t>
        </is>
      </c>
      <c r="AO1292" s="18" t="inlineStr">
        <is>
          <t>pokemon</t>
        </is>
      </c>
      <c r="AP1292" s="18" t="inlineStr">
        <is>
          <t>water</t>
        </is>
      </c>
      <c r="AQ1292" s="18" t="inlineStr">
        <is>
          <t>{"biomes":["#cobblemon:is_lush"],"maxSkyLight":7,"minSkyLight":0}</t>
        </is>
      </c>
      <c r="AR1292" s="18" t="inlineStr"/>
      <c r="AS1292" s="18" t="inlineStr"/>
      <c r="AT1292" s="19" t="inlineStr"/>
    </row>
    <row r="1293" ht="32" customHeight="1">
      <c r="A1293" s="18" t="inlineStr">
        <is>
          <t>0349_feebas.json::feebas-1::001</t>
        </is>
      </c>
      <c r="B1293" s="19" t="inlineStr">
        <is>
          <t>사용</t>
        </is>
      </c>
      <c r="C1293" s="18">
        <f>IF(OR(B1293&lt;&gt;AK1293,M1293&lt;&gt;L1293,O1293&lt;&gt;"",Q1293&lt;&gt;"",V1293&lt;&gt;1,Y1293&lt;&gt;"",AT1293&lt;&gt;""),"수정","원본")</f>
        <v/>
      </c>
      <c r="D1293" s="18" t="n">
        <v>349</v>
      </c>
      <c r="E1293" s="18" t="inlineStr">
        <is>
          <t>빈티나</t>
        </is>
      </c>
      <c r="F1293" s="18" t="inlineStr">
        <is>
          <t>feebas</t>
        </is>
      </c>
      <c r="G1293" s="18" t="inlineStr">
        <is>
          <t>feebas</t>
        </is>
      </c>
      <c r="H1293" s="18" t="inlineStr"/>
      <c r="I1293" s="18" t="n">
        <v>3</v>
      </c>
      <c r="J1293" s="18" t="n"/>
      <c r="K1293" s="18" t="n">
        <v>3</v>
      </c>
      <c r="L1293" s="18" t="inlineStr">
        <is>
          <t>cobbleventure:generation_3</t>
        </is>
      </c>
      <c r="M1293" s="19" t="inlineStr">
        <is>
          <t>cobbleventure:generation_3</t>
        </is>
      </c>
      <c r="N1293" s="18" t="inlineStr">
        <is>
          <t>region_01; region_02</t>
        </is>
      </c>
      <c r="O1293" s="19" t="inlineStr"/>
      <c r="P1293" s="18" t="inlineStr">
        <is>
          <t>#cobblemon:is_overworld</t>
        </is>
      </c>
      <c r="Q1293" s="19" t="inlineStr"/>
      <c r="R1293" s="18">
        <f>IF(Q1293="",P1293,Q1293)</f>
        <v/>
      </c>
      <c r="S1293" s="18" t="inlineStr">
        <is>
          <t>#cobblemon:is_coast; #cobblemon:is_ocean</t>
        </is>
      </c>
      <c r="T1293" s="18" t="inlineStr">
        <is>
          <t>common</t>
        </is>
      </c>
      <c r="U1293" s="20" t="n">
        <v>5.7</v>
      </c>
      <c r="V1293" s="21" t="n">
        <v>1</v>
      </c>
      <c r="W1293" s="20">
        <f>IF(OR(U1293="",V1293=""),U1293,U1293*V1293)</f>
        <v/>
      </c>
      <c r="X1293" s="18" t="inlineStr">
        <is>
          <t>1-20</t>
        </is>
      </c>
      <c r="Y1293" s="19" t="inlineStr"/>
      <c r="Z1293" s="18">
        <f>IF(Y1293="",X1293,Y1293)</f>
        <v/>
      </c>
      <c r="AA1293" s="18" t="inlineStr">
        <is>
          <t>fishing</t>
        </is>
      </c>
      <c r="AB1293" s="18" t="inlineStr"/>
      <c r="AC1293" s="18" t="inlineStr"/>
      <c r="AD1293" s="18" t="inlineStr"/>
      <c r="AE1293" s="18" t="inlineStr"/>
      <c r="AF1293" s="18" t="inlineStr"/>
      <c r="AG1293" s="18" t="inlineStr"/>
      <c r="AH1293" s="18" t="inlineStr"/>
      <c r="AI1293" s="18" t="inlineStr">
        <is>
          <t>{"condition":{"isSlimeChunk":true}}</t>
        </is>
      </c>
      <c r="AJ1293" s="18" t="inlineStr">
        <is>
          <t>Cobblemon 동일</t>
        </is>
      </c>
      <c r="AK1293" s="18" t="inlineStr">
        <is>
          <t>사용</t>
        </is>
      </c>
      <c r="AL1293" s="18" t="inlineStr">
        <is>
          <t>COBBLEVERSE 1.7.42 / DP v31</t>
        </is>
      </c>
      <c r="AM1293" s="18" t="inlineStr">
        <is>
          <t>data/cobblemon/spawn_pool_world/0349_feebas.json</t>
        </is>
      </c>
      <c r="AN1293" s="18" t="inlineStr">
        <is>
          <t>feebas-1</t>
        </is>
      </c>
      <c r="AO1293" s="18" t="inlineStr">
        <is>
          <t>pokemon</t>
        </is>
      </c>
      <c r="AP1293" s="18" t="inlineStr"/>
      <c r="AQ1293" s="18" t="inlineStr">
        <is>
          <t>{"biomes":["#cobblemon:is_overworld"],"isSlimeChunk":true}</t>
        </is>
      </c>
      <c r="AR1293" s="18" t="inlineStr">
        <is>
          <t>{"biomes":["#cobblemon:is_coast","#cobblemon:is_ocean"],"minLureLevel":1}</t>
        </is>
      </c>
      <c r="AS1293" s="18" t="inlineStr"/>
      <c r="AT1293" s="19" t="inlineStr"/>
    </row>
    <row r="1294" ht="32" customHeight="1">
      <c r="A1294" s="18" t="inlineStr">
        <is>
          <t>0349_feebas.json::feebas-2::002</t>
        </is>
      </c>
      <c r="B1294" s="19" t="inlineStr">
        <is>
          <t>사용</t>
        </is>
      </c>
      <c r="C1294" s="18">
        <f>IF(OR(B1294&lt;&gt;AK1294,M1294&lt;&gt;L1294,O1294&lt;&gt;"",Q1294&lt;&gt;"",V1294&lt;&gt;1,Y1294&lt;&gt;"",AT1294&lt;&gt;""),"수정","원본")</f>
        <v/>
      </c>
      <c r="D1294" s="18" t="n">
        <v>349</v>
      </c>
      <c r="E1294" s="18" t="inlineStr">
        <is>
          <t>빈티나</t>
        </is>
      </c>
      <c r="F1294" s="18" t="inlineStr">
        <is>
          <t>feebas</t>
        </is>
      </c>
      <c r="G1294" s="18" t="inlineStr">
        <is>
          <t>feebas</t>
        </is>
      </c>
      <c r="H1294" s="18" t="inlineStr"/>
      <c r="I1294" s="18" t="n">
        <v>3</v>
      </c>
      <c r="J1294" s="18" t="n"/>
      <c r="K1294" s="18" t="n">
        <v>3</v>
      </c>
      <c r="L1294" s="18" t="inlineStr">
        <is>
          <t>cobbleventure:generation_3</t>
        </is>
      </c>
      <c r="M1294" s="19" t="inlineStr">
        <is>
          <t>cobbleventure:generation_3</t>
        </is>
      </c>
      <c r="N1294" s="18" t="inlineStr">
        <is>
          <t>region_01; region_02</t>
        </is>
      </c>
      <c r="O1294" s="19" t="inlineStr"/>
      <c r="P1294" s="18" t="inlineStr">
        <is>
          <t>#cobblemon:is_overworld</t>
        </is>
      </c>
      <c r="Q1294" s="19" t="inlineStr"/>
      <c r="R1294" s="18">
        <f>IF(Q1294="",P1294,Q1294)</f>
        <v/>
      </c>
      <c r="S1294" s="18" t="inlineStr">
        <is>
          <t>#cobblemon:is_coast; #cobblemon:is_ocean</t>
        </is>
      </c>
      <c r="T1294" s="18" t="inlineStr">
        <is>
          <t>common</t>
        </is>
      </c>
      <c r="U1294" s="20" t="n">
        <v>9.5</v>
      </c>
      <c r="V1294" s="21" t="n">
        <v>1</v>
      </c>
      <c r="W1294" s="20">
        <f>IF(OR(U1294="",V1294=""),U1294,U1294*V1294)</f>
        <v/>
      </c>
      <c r="X1294" s="18" t="inlineStr">
        <is>
          <t>1-20</t>
        </is>
      </c>
      <c r="Y1294" s="19" t="inlineStr"/>
      <c r="Z1294" s="18">
        <f>IF(Y1294="",X1294,Y1294)</f>
        <v/>
      </c>
      <c r="AA1294" s="18" t="inlineStr">
        <is>
          <t>fishing</t>
        </is>
      </c>
      <c r="AB1294" s="18" t="inlineStr"/>
      <c r="AC1294" s="18" t="inlineStr"/>
      <c r="AD1294" s="18" t="inlineStr"/>
      <c r="AE1294" s="18" t="inlineStr"/>
      <c r="AF1294" s="18" t="inlineStr"/>
      <c r="AG1294" s="18" t="inlineStr"/>
      <c r="AH1294" s="18" t="inlineStr"/>
      <c r="AI1294" s="18" t="inlineStr">
        <is>
          <t>{"condition":{"isSlimeChunk":true},"fishing":{"minLureLevel":1}}</t>
        </is>
      </c>
      <c r="AJ1294" s="18" t="inlineStr">
        <is>
          <t>Cobblemon 동일</t>
        </is>
      </c>
      <c r="AK1294" s="18" t="inlineStr">
        <is>
          <t>사용</t>
        </is>
      </c>
      <c r="AL1294" s="18" t="inlineStr">
        <is>
          <t>COBBLEVERSE 1.7.42 / DP v31</t>
        </is>
      </c>
      <c r="AM1294" s="18" t="inlineStr">
        <is>
          <t>data/cobblemon/spawn_pool_world/0349_feebas.json</t>
        </is>
      </c>
      <c r="AN1294" s="18" t="inlineStr">
        <is>
          <t>feebas-2</t>
        </is>
      </c>
      <c r="AO1294" s="18" t="inlineStr">
        <is>
          <t>pokemon</t>
        </is>
      </c>
      <c r="AP1294" s="18" t="inlineStr"/>
      <c r="AQ1294" s="18" t="inlineStr">
        <is>
          <t>{"biomes":["#cobblemon:is_overworld"],"isSlimeChunk":true,"minLureLevel":1}</t>
        </is>
      </c>
      <c r="AR1294" s="18" t="inlineStr">
        <is>
          <t>{"biomes":["#cobblemon:is_coast","#cobblemon:is_ocean"]}</t>
        </is>
      </c>
      <c r="AS1294" s="18" t="inlineStr">
        <is>
          <t>{"weightMultipliers":[{"condition":{"maxLureLevel":2,"minLureLevel":2},"multiplier":3.0},{"condition":{"minLureLevel":3},"multiplier":5.0}]}</t>
        </is>
      </c>
      <c r="AT1294" s="19" t="inlineStr"/>
    </row>
    <row r="1295" ht="32" customHeight="1">
      <c r="A1295" s="18" t="inlineStr">
        <is>
          <t>0350_milotic.json::milotic-1::001</t>
        </is>
      </c>
      <c r="B1295" s="19" t="inlineStr">
        <is>
          <t>사용</t>
        </is>
      </c>
      <c r="C1295" s="18">
        <f>IF(OR(B1295&lt;&gt;AK1295,M1295&lt;&gt;L1295,O1295&lt;&gt;"",Q1295&lt;&gt;"",V1295&lt;&gt;1,Y1295&lt;&gt;"",AT1295&lt;&gt;""),"수정","원본")</f>
        <v/>
      </c>
      <c r="D1295" s="18" t="n">
        <v>350</v>
      </c>
      <c r="E1295" s="18" t="inlineStr">
        <is>
          <t>밀로틱</t>
        </is>
      </c>
      <c r="F1295" s="18" t="inlineStr">
        <is>
          <t>milotic</t>
        </is>
      </c>
      <c r="G1295" s="18" t="inlineStr">
        <is>
          <t>milotic</t>
        </is>
      </c>
      <c r="H1295" s="18" t="inlineStr"/>
      <c r="I1295" s="18" t="n">
        <v>3</v>
      </c>
      <c r="J1295" s="18" t="n"/>
      <c r="K1295" s="18" t="n">
        <v>3</v>
      </c>
      <c r="L1295" s="18" t="inlineStr">
        <is>
          <t>cobbleventure:generation_3</t>
        </is>
      </c>
      <c r="M1295" s="19" t="inlineStr">
        <is>
          <t>cobbleventure:generation_3</t>
        </is>
      </c>
      <c r="N1295" s="18" t="inlineStr">
        <is>
          <t>region_01; region_02</t>
        </is>
      </c>
      <c r="O1295" s="19" t="inlineStr"/>
      <c r="P1295" s="18" t="inlineStr">
        <is>
          <t>#cobblemon:is_overworld</t>
        </is>
      </c>
      <c r="Q1295" s="19" t="inlineStr"/>
      <c r="R1295" s="18">
        <f>IF(Q1295="",P1295,Q1295)</f>
        <v/>
      </c>
      <c r="S1295" s="18" t="inlineStr">
        <is>
          <t>#cobblemon:is_coast; #cobblemon:is_ocean</t>
        </is>
      </c>
      <c r="T1295" s="18" t="inlineStr">
        <is>
          <t>common</t>
        </is>
      </c>
      <c r="U1295" s="20" t="n">
        <v>0.3</v>
      </c>
      <c r="V1295" s="21" t="n">
        <v>1</v>
      </c>
      <c r="W1295" s="20">
        <f>IF(OR(U1295="",V1295=""),U1295,U1295*V1295)</f>
        <v/>
      </c>
      <c r="X1295" s="18" t="inlineStr">
        <is>
          <t>15-54</t>
        </is>
      </c>
      <c r="Y1295" s="19" t="inlineStr"/>
      <c r="Z1295" s="18">
        <f>IF(Y1295="",X1295,Y1295)</f>
        <v/>
      </c>
      <c r="AA1295" s="18" t="inlineStr">
        <is>
          <t>fishing</t>
        </is>
      </c>
      <c r="AB1295" s="18" t="inlineStr"/>
      <c r="AC1295" s="18" t="inlineStr"/>
      <c r="AD1295" s="18" t="inlineStr"/>
      <c r="AE1295" s="18" t="inlineStr"/>
      <c r="AF1295" s="18" t="inlineStr"/>
      <c r="AG1295" s="18" t="inlineStr"/>
      <c r="AH1295" s="18" t="inlineStr"/>
      <c r="AI1295" s="18" t="inlineStr">
        <is>
          <t>{"condition":{"isSlimeChunk":true}}</t>
        </is>
      </c>
      <c r="AJ1295" s="18" t="inlineStr">
        <is>
          <t>Cobblemon 동일</t>
        </is>
      </c>
      <c r="AK1295" s="18" t="inlineStr">
        <is>
          <t>사용</t>
        </is>
      </c>
      <c r="AL1295" s="18" t="inlineStr">
        <is>
          <t>COBBLEVERSE 1.7.42 / DP v31</t>
        </is>
      </c>
      <c r="AM1295" s="18" t="inlineStr">
        <is>
          <t>data/cobblemon/spawn_pool_world/0350_milotic.json</t>
        </is>
      </c>
      <c r="AN1295" s="18" t="inlineStr">
        <is>
          <t>milotic-1</t>
        </is>
      </c>
      <c r="AO1295" s="18" t="inlineStr">
        <is>
          <t>pokemon</t>
        </is>
      </c>
      <c r="AP1295" s="18" t="inlineStr"/>
      <c r="AQ1295" s="18" t="inlineStr">
        <is>
          <t>{"biomes":["#cobblemon:is_overworld"],"isSlimeChunk":true}</t>
        </is>
      </c>
      <c r="AR1295" s="18" t="inlineStr">
        <is>
          <t>{"biomes":["#cobblemon:is_coast","#cobblemon:is_ocean"],"minLureLevel":1}</t>
        </is>
      </c>
      <c r="AS1295" s="18" t="inlineStr"/>
      <c r="AT1295" s="19" t="inlineStr"/>
    </row>
    <row r="1296" ht="32" customHeight="1">
      <c r="A1296" s="18" t="inlineStr">
        <is>
          <t>0350_milotic.json::milotic-2::002</t>
        </is>
      </c>
      <c r="B1296" s="19" t="inlineStr">
        <is>
          <t>사용</t>
        </is>
      </c>
      <c r="C1296" s="18">
        <f>IF(OR(B1296&lt;&gt;AK1296,M1296&lt;&gt;L1296,O1296&lt;&gt;"",Q1296&lt;&gt;"",V1296&lt;&gt;1,Y1296&lt;&gt;"",AT1296&lt;&gt;""),"수정","원본")</f>
        <v/>
      </c>
      <c r="D1296" s="18" t="n">
        <v>350</v>
      </c>
      <c r="E1296" s="18" t="inlineStr">
        <is>
          <t>밀로틱</t>
        </is>
      </c>
      <c r="F1296" s="18" t="inlineStr">
        <is>
          <t>milotic</t>
        </is>
      </c>
      <c r="G1296" s="18" t="inlineStr">
        <is>
          <t>milotic</t>
        </is>
      </c>
      <c r="H1296" s="18" t="inlineStr"/>
      <c r="I1296" s="18" t="n">
        <v>3</v>
      </c>
      <c r="J1296" s="18" t="n"/>
      <c r="K1296" s="18" t="n">
        <v>3</v>
      </c>
      <c r="L1296" s="18" t="inlineStr">
        <is>
          <t>cobbleventure:generation_3</t>
        </is>
      </c>
      <c r="M1296" s="19" t="inlineStr">
        <is>
          <t>cobbleventure:generation_3</t>
        </is>
      </c>
      <c r="N1296" s="18" t="inlineStr">
        <is>
          <t>region_01; region_02</t>
        </is>
      </c>
      <c r="O1296" s="19" t="inlineStr"/>
      <c r="P1296" s="18" t="inlineStr">
        <is>
          <t>#cobblemon:is_overworld</t>
        </is>
      </c>
      <c r="Q1296" s="19" t="inlineStr"/>
      <c r="R1296" s="18">
        <f>IF(Q1296="",P1296,Q1296)</f>
        <v/>
      </c>
      <c r="S1296" s="18" t="inlineStr">
        <is>
          <t>#cobblemon:is_coast; #cobblemon:is_ocean</t>
        </is>
      </c>
      <c r="T1296" s="18" t="inlineStr">
        <is>
          <t>common</t>
        </is>
      </c>
      <c r="U1296" s="20" t="n">
        <v>0.5</v>
      </c>
      <c r="V1296" s="21" t="n">
        <v>1</v>
      </c>
      <c r="W1296" s="20">
        <f>IF(OR(U1296="",V1296=""),U1296,U1296*V1296)</f>
        <v/>
      </c>
      <c r="X1296" s="18" t="inlineStr">
        <is>
          <t>15-54</t>
        </is>
      </c>
      <c r="Y1296" s="19" t="inlineStr"/>
      <c r="Z1296" s="18">
        <f>IF(Y1296="",X1296,Y1296)</f>
        <v/>
      </c>
      <c r="AA1296" s="18" t="inlineStr">
        <is>
          <t>fishing</t>
        </is>
      </c>
      <c r="AB1296" s="18" t="inlineStr"/>
      <c r="AC1296" s="18" t="inlineStr"/>
      <c r="AD1296" s="18" t="inlineStr"/>
      <c r="AE1296" s="18" t="inlineStr"/>
      <c r="AF1296" s="18" t="inlineStr"/>
      <c r="AG1296" s="18" t="inlineStr"/>
      <c r="AH1296" s="18" t="inlineStr"/>
      <c r="AI1296" s="18" t="inlineStr">
        <is>
          <t>{"condition":{"isSlimeChunk":true},"fishing":{"minLureLevel":1}}</t>
        </is>
      </c>
      <c r="AJ1296" s="18" t="inlineStr">
        <is>
          <t>Cobblemon 동일</t>
        </is>
      </c>
      <c r="AK1296" s="18" t="inlineStr">
        <is>
          <t>사용</t>
        </is>
      </c>
      <c r="AL1296" s="18" t="inlineStr">
        <is>
          <t>COBBLEVERSE 1.7.42 / DP v31</t>
        </is>
      </c>
      <c r="AM1296" s="18" t="inlineStr">
        <is>
          <t>data/cobblemon/spawn_pool_world/0350_milotic.json</t>
        </is>
      </c>
      <c r="AN1296" s="18" t="inlineStr">
        <is>
          <t>milotic-2</t>
        </is>
      </c>
      <c r="AO1296" s="18" t="inlineStr">
        <is>
          <t>pokemon</t>
        </is>
      </c>
      <c r="AP1296" s="18" t="inlineStr"/>
      <c r="AQ1296" s="18" t="inlineStr">
        <is>
          <t>{"biomes":["#cobblemon:is_overworld"],"isSlimeChunk":true,"minLureLevel":1}</t>
        </is>
      </c>
      <c r="AR1296" s="18" t="inlineStr">
        <is>
          <t>{"biomes":["#cobblemon:is_coast","#cobblemon:is_ocean"]}</t>
        </is>
      </c>
      <c r="AS1296" s="18" t="inlineStr">
        <is>
          <t>{"weightMultipliers":[{"condition":{"maxLureLevel":2,"minLureLevel":2},"multiplier":3.0},{"condition":{"minLureLevel":3},"multiplier":5.0}]}</t>
        </is>
      </c>
      <c r="AT1296" s="19" t="inlineStr"/>
    </row>
    <row r="1297" ht="32" customHeight="1">
      <c r="A1297" s="18" t="inlineStr">
        <is>
          <t>0351_castform.json::castform-1::001</t>
        </is>
      </c>
      <c r="B1297" s="19" t="inlineStr">
        <is>
          <t>사용</t>
        </is>
      </c>
      <c r="C1297" s="18">
        <f>IF(OR(B1297&lt;&gt;AK1297,M1297&lt;&gt;L1297,O1297&lt;&gt;"",Q1297&lt;&gt;"",V1297&lt;&gt;1,Y1297&lt;&gt;"",AT1297&lt;&gt;""),"수정","원본")</f>
        <v/>
      </c>
      <c r="D1297" s="18" t="n">
        <v>351</v>
      </c>
      <c r="E1297" s="18" t="inlineStr">
        <is>
          <t>캐스퐁</t>
        </is>
      </c>
      <c r="F1297" s="18" t="inlineStr">
        <is>
          <t>castform</t>
        </is>
      </c>
      <c r="G1297" s="18" t="inlineStr">
        <is>
          <t>castform forecast=rainy</t>
        </is>
      </c>
      <c r="H1297" s="18" t="inlineStr">
        <is>
          <t>forecast=rainy</t>
        </is>
      </c>
      <c r="I1297" s="18" t="n">
        <v>3</v>
      </c>
      <c r="J1297" s="18" t="n"/>
      <c r="K1297" s="18" t="n">
        <v>3</v>
      </c>
      <c r="L1297" s="18" t="inlineStr">
        <is>
          <t>cobbleventure:generation_3</t>
        </is>
      </c>
      <c r="M1297" s="19" t="inlineStr">
        <is>
          <t>cobbleventure:generation_3</t>
        </is>
      </c>
      <c r="N1297" s="18" t="inlineStr">
        <is>
          <t>region_01</t>
        </is>
      </c>
      <c r="O1297" s="19" t="inlineStr"/>
      <c r="P1297" s="18" t="inlineStr">
        <is>
          <t>#cobblemon:is_beach; #cobblemon:is_plains</t>
        </is>
      </c>
      <c r="Q1297" s="19" t="inlineStr"/>
      <c r="R1297" s="18">
        <f>IF(Q1297="",P1297,Q1297)</f>
        <v/>
      </c>
      <c r="S1297" s="18" t="inlineStr"/>
      <c r="T1297" s="18" t="inlineStr">
        <is>
          <t>uncommon</t>
        </is>
      </c>
      <c r="U1297" s="20" t="n">
        <v>2</v>
      </c>
      <c r="V1297" s="21" t="n">
        <v>1</v>
      </c>
      <c r="W1297" s="20">
        <f>IF(OR(U1297="",V1297=""),U1297,U1297*V1297)</f>
        <v/>
      </c>
      <c r="X1297" s="18" t="inlineStr">
        <is>
          <t>15-65</t>
        </is>
      </c>
      <c r="Y1297" s="19" t="inlineStr"/>
      <c r="Z1297" s="18">
        <f>IF(Y1297="",X1297,Y1297)</f>
        <v/>
      </c>
      <c r="AA1297" s="18" t="inlineStr">
        <is>
          <t>grounded</t>
        </is>
      </c>
      <c r="AB1297" s="18" t="inlineStr"/>
      <c r="AC1297" s="18" t="inlineStr">
        <is>
          <t>비=True</t>
        </is>
      </c>
      <c r="AD1297" s="18" t="inlineStr"/>
      <c r="AE1297" s="18" t="inlineStr"/>
      <c r="AF1297" s="18" t="inlineStr"/>
      <c r="AG1297" s="18" t="inlineStr"/>
      <c r="AH1297" s="18" t="inlineStr"/>
      <c r="AI1297" s="18" t="inlineStr"/>
      <c r="AJ1297" s="18" t="inlineStr">
        <is>
          <t>COBBLEVERSE 추가</t>
        </is>
      </c>
      <c r="AK1297" s="18" t="inlineStr">
        <is>
          <t>사용</t>
        </is>
      </c>
      <c r="AL1297" s="18" t="inlineStr">
        <is>
          <t>COBBLEVERSE 1.7.42 / DP v31</t>
        </is>
      </c>
      <c r="AM1297" s="18" t="inlineStr">
        <is>
          <t>data/cobblemon/spawn_pool_world/0351_castform.json</t>
        </is>
      </c>
      <c r="AN1297" s="18" t="inlineStr">
        <is>
          <t>castform-1</t>
        </is>
      </c>
      <c r="AO1297" s="18" t="inlineStr">
        <is>
          <t>pokemon</t>
        </is>
      </c>
      <c r="AP1297" s="18" t="inlineStr">
        <is>
          <t>natural; wild</t>
        </is>
      </c>
      <c r="AQ1297" s="18" t="inlineStr">
        <is>
          <t>{"biomes":["#cobblemon:is_beach","#cobblemon:is_plains"],"isRaining":true}</t>
        </is>
      </c>
      <c r="AR1297" s="18" t="inlineStr"/>
      <c r="AS1297" s="18" t="inlineStr"/>
      <c r="AT1297" s="19" t="inlineStr"/>
    </row>
    <row r="1298" ht="32" customHeight="1">
      <c r="A1298" s="18" t="inlineStr">
        <is>
          <t>0351_castform.json::castform-2::002</t>
        </is>
      </c>
      <c r="B1298" s="19" t="inlineStr">
        <is>
          <t>사용</t>
        </is>
      </c>
      <c r="C1298" s="18">
        <f>IF(OR(B1298&lt;&gt;AK1298,M1298&lt;&gt;L1298,O1298&lt;&gt;"",Q1298&lt;&gt;"",V1298&lt;&gt;1,Y1298&lt;&gt;"",AT1298&lt;&gt;""),"수정","원본")</f>
        <v/>
      </c>
      <c r="D1298" s="18" t="n">
        <v>351</v>
      </c>
      <c r="E1298" s="18" t="inlineStr">
        <is>
          <t>캐스퐁</t>
        </is>
      </c>
      <c r="F1298" s="18" t="inlineStr">
        <is>
          <t>castform</t>
        </is>
      </c>
      <c r="G1298" s="18" t="inlineStr">
        <is>
          <t>castform forecast=snowy</t>
        </is>
      </c>
      <c r="H1298" s="18" t="inlineStr">
        <is>
          <t>forecast=snowy</t>
        </is>
      </c>
      <c r="I1298" s="18" t="n">
        <v>3</v>
      </c>
      <c r="J1298" s="18" t="n"/>
      <c r="K1298" s="18" t="n">
        <v>3</v>
      </c>
      <c r="L1298" s="18" t="inlineStr">
        <is>
          <t>cobbleventure:generation_3</t>
        </is>
      </c>
      <c r="M1298" s="19" t="inlineStr">
        <is>
          <t>cobbleventure:generation_3</t>
        </is>
      </c>
      <c r="N1298" s="18" t="inlineStr"/>
      <c r="O1298" s="19" t="inlineStr"/>
      <c r="P1298" s="18" t="inlineStr">
        <is>
          <t>#cobblemon:is_freezing</t>
        </is>
      </c>
      <c r="Q1298" s="19" t="inlineStr"/>
      <c r="R1298" s="18">
        <f>IF(Q1298="",P1298,Q1298)</f>
        <v/>
      </c>
      <c r="S1298" s="18" t="inlineStr"/>
      <c r="T1298" s="18" t="inlineStr">
        <is>
          <t>uncommon</t>
        </is>
      </c>
      <c r="U1298" s="20" t="n">
        <v>2</v>
      </c>
      <c r="V1298" s="21" t="n">
        <v>1</v>
      </c>
      <c r="W1298" s="20">
        <f>IF(OR(U1298="",V1298=""),U1298,U1298*V1298)</f>
        <v/>
      </c>
      <c r="X1298" s="18" t="inlineStr">
        <is>
          <t>15-65</t>
        </is>
      </c>
      <c r="Y1298" s="19" t="inlineStr"/>
      <c r="Z1298" s="18">
        <f>IF(Y1298="",X1298,Y1298)</f>
        <v/>
      </c>
      <c r="AA1298" s="18" t="inlineStr">
        <is>
          <t>grounded</t>
        </is>
      </c>
      <c r="AB1298" s="18" t="inlineStr"/>
      <c r="AC1298" s="18" t="inlineStr">
        <is>
          <t>비=False</t>
        </is>
      </c>
      <c r="AD1298" s="18" t="inlineStr"/>
      <c r="AE1298" s="18" t="inlineStr"/>
      <c r="AF1298" s="18" t="inlineStr"/>
      <c r="AG1298" s="18" t="inlineStr"/>
      <c r="AH1298" s="18" t="inlineStr"/>
      <c r="AI1298" s="18" t="inlineStr"/>
      <c r="AJ1298" s="18" t="inlineStr">
        <is>
          <t>COBBLEVERSE 추가</t>
        </is>
      </c>
      <c r="AK1298" s="18" t="inlineStr">
        <is>
          <t>사용</t>
        </is>
      </c>
      <c r="AL1298" s="18" t="inlineStr">
        <is>
          <t>COBBLEVERSE 1.7.42 / DP v31</t>
        </is>
      </c>
      <c r="AM1298" s="18" t="inlineStr">
        <is>
          <t>data/cobblemon/spawn_pool_world/0351_castform.json</t>
        </is>
      </c>
      <c r="AN1298" s="18" t="inlineStr">
        <is>
          <t>castform-2</t>
        </is>
      </c>
      <c r="AO1298" s="18" t="inlineStr">
        <is>
          <t>pokemon</t>
        </is>
      </c>
      <c r="AP1298" s="18" t="inlineStr">
        <is>
          <t>natural; wild</t>
        </is>
      </c>
      <c r="AQ1298" s="18" t="inlineStr">
        <is>
          <t>{"biomes":["#cobblemon:is_freezing"],"isRaining":false}</t>
        </is>
      </c>
      <c r="AR1298" s="18" t="inlineStr"/>
      <c r="AS1298" s="18" t="inlineStr"/>
      <c r="AT1298" s="19" t="inlineStr"/>
    </row>
    <row r="1299" ht="32" customHeight="1">
      <c r="A1299" s="18" t="inlineStr">
        <is>
          <t>0351_castform.json::castform-3::003</t>
        </is>
      </c>
      <c r="B1299" s="19" t="inlineStr">
        <is>
          <t>사용</t>
        </is>
      </c>
      <c r="C1299" s="18">
        <f>IF(OR(B1299&lt;&gt;AK1299,M1299&lt;&gt;L1299,O1299&lt;&gt;"",Q1299&lt;&gt;"",V1299&lt;&gt;1,Y1299&lt;&gt;"",AT1299&lt;&gt;""),"수정","원본")</f>
        <v/>
      </c>
      <c r="D1299" s="18" t="n">
        <v>351</v>
      </c>
      <c r="E1299" s="18" t="inlineStr">
        <is>
          <t>캐스퐁</t>
        </is>
      </c>
      <c r="F1299" s="18" t="inlineStr">
        <is>
          <t>castform</t>
        </is>
      </c>
      <c r="G1299" s="18" t="inlineStr">
        <is>
          <t>castform forecast=sunny</t>
        </is>
      </c>
      <c r="H1299" s="18" t="inlineStr">
        <is>
          <t>forecast=sunny</t>
        </is>
      </c>
      <c r="I1299" s="18" t="n">
        <v>3</v>
      </c>
      <c r="J1299" s="18" t="n"/>
      <c r="K1299" s="18" t="n">
        <v>3</v>
      </c>
      <c r="L1299" s="18" t="inlineStr">
        <is>
          <t>cobbleventure:generation_3</t>
        </is>
      </c>
      <c r="M1299" s="19" t="inlineStr">
        <is>
          <t>cobbleventure:generation_3</t>
        </is>
      </c>
      <c r="N1299" s="18" t="inlineStr">
        <is>
          <t>region_02</t>
        </is>
      </c>
      <c r="O1299" s="19" t="inlineStr"/>
      <c r="P1299" s="18" t="inlineStr">
        <is>
          <t>#cobblemon:is_arid</t>
        </is>
      </c>
      <c r="Q1299" s="19" t="inlineStr"/>
      <c r="R1299" s="18">
        <f>IF(Q1299="",P1299,Q1299)</f>
        <v/>
      </c>
      <c r="S1299" s="18" t="inlineStr"/>
      <c r="T1299" s="18" t="inlineStr">
        <is>
          <t>uncommon</t>
        </is>
      </c>
      <c r="U1299" s="20" t="n">
        <v>2</v>
      </c>
      <c r="V1299" s="21" t="n">
        <v>1</v>
      </c>
      <c r="W1299" s="20">
        <f>IF(OR(U1299="",V1299=""),U1299,U1299*V1299)</f>
        <v/>
      </c>
      <c r="X1299" s="18" t="inlineStr">
        <is>
          <t>15-65</t>
        </is>
      </c>
      <c r="Y1299" s="19" t="inlineStr"/>
      <c r="Z1299" s="18">
        <f>IF(Y1299="",X1299,Y1299)</f>
        <v/>
      </c>
      <c r="AA1299" s="18" t="inlineStr">
        <is>
          <t>grounded</t>
        </is>
      </c>
      <c r="AB1299" s="18" t="inlineStr">
        <is>
          <t>day</t>
        </is>
      </c>
      <c r="AC1299" s="18" t="inlineStr"/>
      <c r="AD1299" s="18" t="inlineStr"/>
      <c r="AE1299" s="18" t="inlineStr"/>
      <c r="AF1299" s="18" t="inlineStr"/>
      <c r="AG1299" s="18" t="inlineStr"/>
      <c r="AH1299" s="18" t="inlineStr"/>
      <c r="AI1299" s="18" t="inlineStr"/>
      <c r="AJ1299" s="18" t="inlineStr">
        <is>
          <t>COBBLEVERSE 추가</t>
        </is>
      </c>
      <c r="AK1299" s="18" t="inlineStr">
        <is>
          <t>사용</t>
        </is>
      </c>
      <c r="AL1299" s="18" t="inlineStr">
        <is>
          <t>COBBLEVERSE 1.7.42 / DP v31</t>
        </is>
      </c>
      <c r="AM1299" s="18" t="inlineStr">
        <is>
          <t>data/cobblemon/spawn_pool_world/0351_castform.json</t>
        </is>
      </c>
      <c r="AN1299" s="18" t="inlineStr">
        <is>
          <t>castform-3</t>
        </is>
      </c>
      <c r="AO1299" s="18" t="inlineStr">
        <is>
          <t>pokemon</t>
        </is>
      </c>
      <c r="AP1299" s="18" t="inlineStr">
        <is>
          <t>natural; wild</t>
        </is>
      </c>
      <c r="AQ1299" s="18" t="inlineStr">
        <is>
          <t>{"biomes":["#cobblemon:is_arid"],"timeRange":"day"}</t>
        </is>
      </c>
      <c r="AR1299" s="18" t="inlineStr"/>
      <c r="AS1299" s="18" t="inlineStr"/>
      <c r="AT1299" s="19" t="inlineStr"/>
    </row>
    <row r="1300" ht="32" customHeight="1">
      <c r="A1300" s="18" t="inlineStr">
        <is>
          <t>0351_castform.json::castform-4::004</t>
        </is>
      </c>
      <c r="B1300" s="19" t="inlineStr">
        <is>
          <t>사용</t>
        </is>
      </c>
      <c r="C1300" s="18">
        <f>IF(OR(B1300&lt;&gt;AK1300,M1300&lt;&gt;L1300,O1300&lt;&gt;"",Q1300&lt;&gt;"",V1300&lt;&gt;1,Y1300&lt;&gt;"",AT1300&lt;&gt;""),"수정","원본")</f>
        <v/>
      </c>
      <c r="D1300" s="18" t="n">
        <v>351</v>
      </c>
      <c r="E1300" s="18" t="inlineStr">
        <is>
          <t>캐스퐁</t>
        </is>
      </c>
      <c r="F1300" s="18" t="inlineStr">
        <is>
          <t>castform</t>
        </is>
      </c>
      <c r="G1300" s="18" t="inlineStr">
        <is>
          <t>castform</t>
        </is>
      </c>
      <c r="H1300" s="18" t="inlineStr"/>
      <c r="I1300" s="18" t="n">
        <v>3</v>
      </c>
      <c r="J1300" s="18" t="n"/>
      <c r="K1300" s="18" t="n">
        <v>3</v>
      </c>
      <c r="L1300" s="18" t="inlineStr">
        <is>
          <t>cobbleventure:generation_3</t>
        </is>
      </c>
      <c r="M1300" s="19" t="inlineStr">
        <is>
          <t>cobbleventure:generation_3</t>
        </is>
      </c>
      <c r="N1300" s="18" t="inlineStr">
        <is>
          <t>region_01; region_02</t>
        </is>
      </c>
      <c r="O1300" s="19" t="inlineStr"/>
      <c r="P1300" s="18" t="inlineStr">
        <is>
          <t>#minecraft:is_overworld</t>
        </is>
      </c>
      <c r="Q1300" s="19" t="inlineStr"/>
      <c r="R1300" s="18">
        <f>IF(Q1300="",P1300,Q1300)</f>
        <v/>
      </c>
      <c r="S1300" s="18" t="inlineStr"/>
      <c r="T1300" s="18" t="inlineStr">
        <is>
          <t>uncommon</t>
        </is>
      </c>
      <c r="U1300" s="20" t="n">
        <v>2</v>
      </c>
      <c r="V1300" s="21" t="n">
        <v>1</v>
      </c>
      <c r="W1300" s="20">
        <f>IF(OR(U1300="",V1300=""),U1300,U1300*V1300)</f>
        <v/>
      </c>
      <c r="X1300" s="18" t="inlineStr">
        <is>
          <t>15-65</t>
        </is>
      </c>
      <c r="Y1300" s="19" t="inlineStr"/>
      <c r="Z1300" s="18">
        <f>IF(Y1300="",X1300,Y1300)</f>
        <v/>
      </c>
      <c r="AA1300" s="18" t="inlineStr">
        <is>
          <t>grounded</t>
        </is>
      </c>
      <c r="AB1300" s="18" t="inlineStr"/>
      <c r="AC1300" s="18" t="inlineStr"/>
      <c r="AD1300" s="18" t="inlineStr"/>
      <c r="AE1300" s="18" t="inlineStr"/>
      <c r="AF1300" s="18" t="inlineStr"/>
      <c r="AG1300" s="18" t="inlineStr"/>
      <c r="AH1300" s="18" t="inlineStr"/>
      <c r="AI1300" s="18" t="inlineStr"/>
      <c r="AJ1300" s="18" t="inlineStr">
        <is>
          <t>COBBLEVERSE 추가</t>
        </is>
      </c>
      <c r="AK1300" s="18" t="inlineStr">
        <is>
          <t>사용</t>
        </is>
      </c>
      <c r="AL1300" s="18" t="inlineStr">
        <is>
          <t>COBBLEVERSE 1.7.42 / DP v31</t>
        </is>
      </c>
      <c r="AM1300" s="18" t="inlineStr">
        <is>
          <t>data/cobblemon/spawn_pool_world/0351_castform.json</t>
        </is>
      </c>
      <c r="AN1300" s="18" t="inlineStr">
        <is>
          <t>castform-4</t>
        </is>
      </c>
      <c r="AO1300" s="18" t="inlineStr">
        <is>
          <t>pokemon</t>
        </is>
      </c>
      <c r="AP1300" s="18" t="inlineStr">
        <is>
          <t>natural</t>
        </is>
      </c>
      <c r="AQ1300" s="18" t="inlineStr">
        <is>
          <t>{"biomes":["#minecraft:is_overworld"]}</t>
        </is>
      </c>
      <c r="AR1300" s="18" t="inlineStr"/>
      <c r="AS1300" s="18" t="inlineStr"/>
      <c r="AT1300" s="19" t="inlineStr"/>
    </row>
    <row r="1301" ht="32" customHeight="1">
      <c r="A1301" s="18" t="inlineStr">
        <is>
          <t>0352_kecleon.json::kecleon-1::001</t>
        </is>
      </c>
      <c r="B1301" s="19" t="inlineStr">
        <is>
          <t>사용</t>
        </is>
      </c>
      <c r="C1301" s="18">
        <f>IF(OR(B1301&lt;&gt;AK1301,M1301&lt;&gt;L1301,O1301&lt;&gt;"",Q1301&lt;&gt;"",V1301&lt;&gt;1,Y1301&lt;&gt;"",AT1301&lt;&gt;""),"수정","원본")</f>
        <v/>
      </c>
      <c r="D1301" s="18" t="n">
        <v>352</v>
      </c>
      <c r="E1301" s="18" t="inlineStr">
        <is>
          <t>켈리몬</t>
        </is>
      </c>
      <c r="F1301" s="18" t="inlineStr">
        <is>
          <t>kecleon</t>
        </is>
      </c>
      <c r="G1301" s="18" t="inlineStr">
        <is>
          <t>kecleon</t>
        </is>
      </c>
      <c r="H1301" s="18" t="inlineStr"/>
      <c r="I1301" s="18" t="n">
        <v>3</v>
      </c>
      <c r="J1301" s="18" t="n"/>
      <c r="K1301" s="18" t="n">
        <v>3</v>
      </c>
      <c r="L1301" s="18" t="inlineStr">
        <is>
          <t>cobbleventure:generation_3</t>
        </is>
      </c>
      <c r="M1301" s="19" t="inlineStr">
        <is>
          <t>cobbleventure:generation_3</t>
        </is>
      </c>
      <c r="N1301" s="18" t="inlineStr"/>
      <c r="O1301" s="19" t="inlineStr"/>
      <c r="P1301" s="18" t="inlineStr">
        <is>
          <t>#cobblemon:is_jungle; #cobblemon:is_tropical_island</t>
        </is>
      </c>
      <c r="Q1301" s="19" t="inlineStr"/>
      <c r="R1301" s="18">
        <f>IF(Q1301="",P1301,Q1301)</f>
        <v/>
      </c>
      <c r="S1301" s="18" t="inlineStr"/>
      <c r="T1301" s="18" t="inlineStr">
        <is>
          <t>uncommon</t>
        </is>
      </c>
      <c r="U1301" s="20" t="n">
        <v>10</v>
      </c>
      <c r="V1301" s="21" t="n">
        <v>1</v>
      </c>
      <c r="W1301" s="20">
        <f>IF(OR(U1301="",V1301=""),U1301,U1301*V1301)</f>
        <v/>
      </c>
      <c r="X1301" s="18" t="inlineStr">
        <is>
          <t>19-44</t>
        </is>
      </c>
      <c r="Y1301" s="19" t="inlineStr"/>
      <c r="Z1301" s="18">
        <f>IF(Y1301="",X1301,Y1301)</f>
        <v/>
      </c>
      <c r="AA1301" s="18" t="inlineStr">
        <is>
          <t>grounded</t>
        </is>
      </c>
      <c r="AB1301" s="18" t="inlineStr"/>
      <c r="AC1301" s="18" t="inlineStr"/>
      <c r="AD1301" s="18" t="inlineStr"/>
      <c r="AE1301" s="18" t="inlineStr">
        <is>
          <t>sky 8-15</t>
        </is>
      </c>
      <c r="AF1301" s="18" t="inlineStr"/>
      <c r="AG1301" s="18" t="inlineStr"/>
      <c r="AH1301" s="18" t="inlineStr"/>
      <c r="AI1301" s="18" t="inlineStr"/>
      <c r="AJ1301" s="18" t="inlineStr">
        <is>
          <t>Cobblemon 동일</t>
        </is>
      </c>
      <c r="AK1301" s="18" t="inlineStr">
        <is>
          <t>사용</t>
        </is>
      </c>
      <c r="AL1301" s="18" t="inlineStr">
        <is>
          <t>COBBLEVERSE 1.7.42 / DP v31</t>
        </is>
      </c>
      <c r="AM1301" s="18" t="inlineStr">
        <is>
          <t>data/cobblemon/spawn_pool_world/0352_kecleon.json</t>
        </is>
      </c>
      <c r="AN1301" s="18" t="inlineStr">
        <is>
          <t>kecleon-1</t>
        </is>
      </c>
      <c r="AO1301" s="18" t="inlineStr">
        <is>
          <t>pokemon</t>
        </is>
      </c>
      <c r="AP1301" s="18" t="inlineStr">
        <is>
          <t>natural; wild</t>
        </is>
      </c>
      <c r="AQ1301" s="18" t="inlineStr">
        <is>
          <t>{"biomes":["#cobblemon:is_jungle","#cobblemon:is_tropical_island"],"maxSkyLight":15,"minSkyLight":8}</t>
        </is>
      </c>
      <c r="AR1301" s="18" t="inlineStr"/>
      <c r="AS1301" s="18" t="inlineStr"/>
      <c r="AT1301" s="19" t="inlineStr"/>
    </row>
    <row r="1302" ht="32" customHeight="1">
      <c r="A1302" s="18" t="inlineStr">
        <is>
          <t>0353_shuppet.json::shuppet-1::001</t>
        </is>
      </c>
      <c r="B1302" s="19" t="inlineStr">
        <is>
          <t>사용</t>
        </is>
      </c>
      <c r="C1302" s="18">
        <f>IF(OR(B1302&lt;&gt;AK1302,M1302&lt;&gt;L1302,O1302&lt;&gt;"",Q1302&lt;&gt;"",V1302&lt;&gt;1,Y1302&lt;&gt;"",AT1302&lt;&gt;""),"수정","원본")</f>
        <v/>
      </c>
      <c r="D1302" s="18" t="n">
        <v>353</v>
      </c>
      <c r="E1302" s="18" t="inlineStr">
        <is>
          <t>어둠대신</t>
        </is>
      </c>
      <c r="F1302" s="18" t="inlineStr">
        <is>
          <t>shuppet</t>
        </is>
      </c>
      <c r="G1302" s="18" t="inlineStr">
        <is>
          <t>shuppet</t>
        </is>
      </c>
      <c r="H1302" s="18" t="inlineStr"/>
      <c r="I1302" s="18" t="n">
        <v>3</v>
      </c>
      <c r="J1302" s="18" t="n"/>
      <c r="K1302" s="18" t="n">
        <v>3</v>
      </c>
      <c r="L1302" s="18" t="inlineStr">
        <is>
          <t>cobbleventure:generation_3</t>
        </is>
      </c>
      <c r="M1302" s="19" t="inlineStr">
        <is>
          <t>cobbleventure:generation_3</t>
        </is>
      </c>
      <c r="N1302" s="18" t="inlineStr"/>
      <c r="O1302" s="19" t="inlineStr"/>
      <c r="P1302" s="18" t="inlineStr">
        <is>
          <t>#cobblemon:is_spooky</t>
        </is>
      </c>
      <c r="Q1302" s="19" t="inlineStr"/>
      <c r="R1302" s="18">
        <f>IF(Q1302="",P1302,Q1302)</f>
        <v/>
      </c>
      <c r="S1302" s="18" t="inlineStr"/>
      <c r="T1302" s="18" t="inlineStr">
        <is>
          <t>common</t>
        </is>
      </c>
      <c r="U1302" s="20" t="n">
        <v>9</v>
      </c>
      <c r="V1302" s="21" t="n">
        <v>1</v>
      </c>
      <c r="W1302" s="20">
        <f>IF(OR(U1302="",V1302=""),U1302,U1302*V1302)</f>
        <v/>
      </c>
      <c r="X1302" s="18" t="inlineStr">
        <is>
          <t>5-30</t>
        </is>
      </c>
      <c r="Y1302" s="19" t="inlineStr"/>
      <c r="Z1302" s="18">
        <f>IF(Y1302="",X1302,Y1302)</f>
        <v/>
      </c>
      <c r="AA1302" s="18" t="inlineStr">
        <is>
          <t>grounded</t>
        </is>
      </c>
      <c r="AB1302" s="18" t="inlineStr">
        <is>
          <t>night</t>
        </is>
      </c>
      <c r="AC1302" s="18" t="inlineStr"/>
      <c r="AD1302" s="18" t="inlineStr"/>
      <c r="AE1302" s="18" t="inlineStr"/>
      <c r="AF1302" s="18" t="inlineStr"/>
      <c r="AG1302" s="18" t="inlineStr"/>
      <c r="AH1302" s="18" t="inlineStr"/>
      <c r="AI1302" s="18" t="inlineStr"/>
      <c r="AJ1302" s="18" t="inlineStr">
        <is>
          <t>COBBLEVERSE 수정</t>
        </is>
      </c>
      <c r="AK1302" s="18" t="inlineStr">
        <is>
          <t>사용</t>
        </is>
      </c>
      <c r="AL1302" s="18" t="inlineStr">
        <is>
          <t>COBBLEVERSE 1.7.42 / DP v31</t>
        </is>
      </c>
      <c r="AM1302" s="18" t="inlineStr">
        <is>
          <t>data/cobblemon/spawn_pool_world/0353_shuppet.json</t>
        </is>
      </c>
      <c r="AN1302" s="18" t="inlineStr">
        <is>
          <t>shuppet-1</t>
        </is>
      </c>
      <c r="AO1302" s="18" t="inlineStr">
        <is>
          <t>pokemon</t>
        </is>
      </c>
      <c r="AP1302" s="18" t="inlineStr">
        <is>
          <t>natural</t>
        </is>
      </c>
      <c r="AQ1302" s="18" t="inlineStr">
        <is>
          <t>{"biomes":["#cobblemon:is_spooky"],"timeRange":"night"}</t>
        </is>
      </c>
      <c r="AR1302" s="18" t="inlineStr"/>
      <c r="AS1302" s="18" t="inlineStr"/>
      <c r="AT1302" s="19" t="inlineStr"/>
    </row>
    <row r="1303" ht="32" customHeight="1">
      <c r="A1303" s="18" t="inlineStr">
        <is>
          <t>0353_shuppet.json::shuppet-2::002</t>
        </is>
      </c>
      <c r="B1303" s="19" t="inlineStr">
        <is>
          <t>사용</t>
        </is>
      </c>
      <c r="C1303" s="18">
        <f>IF(OR(B1303&lt;&gt;AK1303,M1303&lt;&gt;L1303,O1303&lt;&gt;"",Q1303&lt;&gt;"",V1303&lt;&gt;1,Y1303&lt;&gt;"",AT1303&lt;&gt;""),"수정","원본")</f>
        <v/>
      </c>
      <c r="D1303" s="18" t="n">
        <v>353</v>
      </c>
      <c r="E1303" s="18" t="inlineStr">
        <is>
          <t>어둠대신</t>
        </is>
      </c>
      <c r="F1303" s="18" t="inlineStr">
        <is>
          <t>shuppet</t>
        </is>
      </c>
      <c r="G1303" s="18" t="inlineStr">
        <is>
          <t>shuppet</t>
        </is>
      </c>
      <c r="H1303" s="18" t="inlineStr"/>
      <c r="I1303" s="18" t="n">
        <v>3</v>
      </c>
      <c r="J1303" s="18" t="n"/>
      <c r="K1303" s="18" t="n">
        <v>3</v>
      </c>
      <c r="L1303" s="18" t="inlineStr">
        <is>
          <t>cobbleventure:generation_3</t>
        </is>
      </c>
      <c r="M1303" s="19" t="inlineStr">
        <is>
          <t>cobbleventure:generation_3</t>
        </is>
      </c>
      <c r="N1303" s="18" t="inlineStr">
        <is>
          <t>region_01; region_02</t>
        </is>
      </c>
      <c r="O1303" s="19" t="inlineStr"/>
      <c r="P1303" s="18" t="inlineStr">
        <is>
          <t>#cobblemon:is_overworld</t>
        </is>
      </c>
      <c r="Q1303" s="19" t="inlineStr"/>
      <c r="R1303" s="18">
        <f>IF(Q1303="",P1303,Q1303)</f>
        <v/>
      </c>
      <c r="S1303" s="18" t="inlineStr"/>
      <c r="T1303" s="18" t="inlineStr">
        <is>
          <t>uncommon</t>
        </is>
      </c>
      <c r="U1303" s="20" t="n">
        <v>5.4</v>
      </c>
      <c r="V1303" s="21" t="n">
        <v>1</v>
      </c>
      <c r="W1303" s="20">
        <f>IF(OR(U1303="",V1303=""),U1303,U1303*V1303)</f>
        <v/>
      </c>
      <c r="X1303" s="18" t="inlineStr">
        <is>
          <t>5-30</t>
        </is>
      </c>
      <c r="Y1303" s="19" t="inlineStr"/>
      <c r="Z1303" s="18">
        <f>IF(Y1303="",X1303,Y1303)</f>
        <v/>
      </c>
      <c r="AA1303" s="18" t="inlineStr">
        <is>
          <t>grounded</t>
        </is>
      </c>
      <c r="AB1303" s="18" t="inlineStr">
        <is>
          <t>night</t>
        </is>
      </c>
      <c r="AC1303" s="18" t="inlineStr"/>
      <c r="AD1303" s="18" t="inlineStr"/>
      <c r="AE1303" s="18" t="inlineStr">
        <is>
          <t>sky 8-15</t>
        </is>
      </c>
      <c r="AF1303" s="18" t="inlineStr"/>
      <c r="AG1303" s="18" t="inlineStr"/>
      <c r="AH1303" s="18" t="inlineStr"/>
      <c r="AI1303" s="18" t="inlineStr"/>
      <c r="AJ1303" s="18" t="inlineStr">
        <is>
          <t>COBBLEVERSE 수정</t>
        </is>
      </c>
      <c r="AK1303" s="18" t="inlineStr">
        <is>
          <t>사용</t>
        </is>
      </c>
      <c r="AL1303" s="18" t="inlineStr">
        <is>
          <t>COBBLEVERSE 1.7.42 / DP v31</t>
        </is>
      </c>
      <c r="AM1303" s="18" t="inlineStr">
        <is>
          <t>data/cobblemon/spawn_pool_world/0353_shuppet.json</t>
        </is>
      </c>
      <c r="AN1303" s="18" t="inlineStr">
        <is>
          <t>shuppet-2</t>
        </is>
      </c>
      <c r="AO1303" s="18" t="inlineStr">
        <is>
          <t>pokemon</t>
        </is>
      </c>
      <c r="AP1303" s="18" t="inlineStr">
        <is>
          <t>natural</t>
        </is>
      </c>
      <c r="AQ1303" s="18" t="inlineStr">
        <is>
          <t>{"biomes":["#cobblemon:is_overworld"],"maxSkyLight":15,"minSkyLight":8,"timeRange":"night"}</t>
        </is>
      </c>
      <c r="AR1303" s="18" t="inlineStr"/>
      <c r="AS1303" s="18" t="inlineStr"/>
      <c r="AT1303" s="19" t="inlineStr"/>
    </row>
    <row r="1304" ht="32" customHeight="1">
      <c r="A1304" s="18" t="inlineStr">
        <is>
          <t>0353_shuppet.json::shuppet-3::003</t>
        </is>
      </c>
      <c r="B1304" s="19" t="inlineStr">
        <is>
          <t>사용</t>
        </is>
      </c>
      <c r="C1304" s="18">
        <f>IF(OR(B1304&lt;&gt;AK1304,M1304&lt;&gt;L1304,O1304&lt;&gt;"",Q1304&lt;&gt;"",V1304&lt;&gt;1,Y1304&lt;&gt;"",AT1304&lt;&gt;""),"수정","원본")</f>
        <v/>
      </c>
      <c r="D1304" s="18" t="n">
        <v>353</v>
      </c>
      <c r="E1304" s="18" t="inlineStr">
        <is>
          <t>어둠대신</t>
        </is>
      </c>
      <c r="F1304" s="18" t="inlineStr">
        <is>
          <t>shuppet</t>
        </is>
      </c>
      <c r="G1304" s="18" t="inlineStr">
        <is>
          <t>shuppet</t>
        </is>
      </c>
      <c r="H1304" s="18" t="inlineStr"/>
      <c r="I1304" s="18" t="n">
        <v>3</v>
      </c>
      <c r="J1304" s="18" t="n"/>
      <c r="K1304" s="18" t="n">
        <v>3</v>
      </c>
      <c r="L1304" s="18" t="inlineStr">
        <is>
          <t>cobbleventure:generation_3</t>
        </is>
      </c>
      <c r="M1304" s="19" t="inlineStr">
        <is>
          <t>cobbleventure:generation_3</t>
        </is>
      </c>
      <c r="N1304" s="18" t="inlineStr">
        <is>
          <t>region_01; region_02</t>
        </is>
      </c>
      <c r="O1304" s="19" t="inlineStr"/>
      <c r="P1304" s="18" t="inlineStr">
        <is>
          <t>#cobblemon:is_overworld</t>
        </is>
      </c>
      <c r="Q1304" s="19" t="inlineStr"/>
      <c r="R1304" s="18">
        <f>IF(Q1304="",P1304,Q1304)</f>
        <v/>
      </c>
      <c r="S1304" s="18" t="inlineStr"/>
      <c r="T1304" s="18" t="inlineStr">
        <is>
          <t>uncommon</t>
        </is>
      </c>
      <c r="U1304" s="20" t="n">
        <v>8.4</v>
      </c>
      <c r="V1304" s="21" t="n">
        <v>1</v>
      </c>
      <c r="W1304" s="20">
        <f>IF(OR(U1304="",V1304=""),U1304,U1304*V1304)</f>
        <v/>
      </c>
      <c r="X1304" s="18" t="inlineStr">
        <is>
          <t>5-30</t>
        </is>
      </c>
      <c r="Y1304" s="19" t="inlineStr"/>
      <c r="Z1304" s="18">
        <f>IF(Y1304="",X1304,Y1304)</f>
        <v/>
      </c>
      <c r="AA1304" s="18" t="inlineStr">
        <is>
          <t>grounded</t>
        </is>
      </c>
      <c r="AB1304" s="18" t="inlineStr">
        <is>
          <t>night</t>
        </is>
      </c>
      <c r="AC1304" s="18" t="inlineStr"/>
      <c r="AD1304" s="18" t="inlineStr"/>
      <c r="AE1304" s="18" t="inlineStr">
        <is>
          <t>sky 8-15</t>
        </is>
      </c>
      <c r="AF1304" s="18" t="inlineStr"/>
      <c r="AG1304" s="18" t="inlineStr">
        <is>
          <t>#minecraft:village</t>
        </is>
      </c>
      <c r="AH1304" s="18" t="inlineStr"/>
      <c r="AI1304" s="18" t="inlineStr"/>
      <c r="AJ1304" s="18" t="inlineStr">
        <is>
          <t>COBBLEVERSE 수정</t>
        </is>
      </c>
      <c r="AK1304" s="18" t="inlineStr">
        <is>
          <t>사용</t>
        </is>
      </c>
      <c r="AL1304" s="18" t="inlineStr">
        <is>
          <t>COBBLEVERSE 1.7.42 / DP v31</t>
        </is>
      </c>
      <c r="AM1304" s="18" t="inlineStr">
        <is>
          <t>data/cobblemon/spawn_pool_world/0353_shuppet.json</t>
        </is>
      </c>
      <c r="AN1304" s="18" t="inlineStr">
        <is>
          <t>shuppet-3</t>
        </is>
      </c>
      <c r="AO1304" s="18" t="inlineStr">
        <is>
          <t>pokemon</t>
        </is>
      </c>
      <c r="AP1304" s="18" t="inlineStr">
        <is>
          <t>natural</t>
        </is>
      </c>
      <c r="AQ1304" s="18" t="inlineStr">
        <is>
          <t>{"biomes":["#cobblemon:is_overworld"],"maxSkyLight":15,"minSkyLight":8,"structures":["#minecraft:village"],"timeRange":"night"}</t>
        </is>
      </c>
      <c r="AR1304" s="18" t="inlineStr"/>
      <c r="AS1304" s="18" t="inlineStr"/>
      <c r="AT1304" s="19" t="inlineStr"/>
    </row>
    <row r="1305" ht="32" customHeight="1">
      <c r="A1305" s="18" t="inlineStr">
        <is>
          <t>0353_shuppet.json::shuppet-4::004</t>
        </is>
      </c>
      <c r="B1305" s="19" t="inlineStr">
        <is>
          <t>사용</t>
        </is>
      </c>
      <c r="C1305" s="18">
        <f>IF(OR(B1305&lt;&gt;AK1305,M1305&lt;&gt;L1305,O1305&lt;&gt;"",Q1305&lt;&gt;"",V1305&lt;&gt;1,Y1305&lt;&gt;"",AT1305&lt;&gt;""),"수정","원본")</f>
        <v/>
      </c>
      <c r="D1305" s="18" t="n">
        <v>353</v>
      </c>
      <c r="E1305" s="18" t="inlineStr">
        <is>
          <t>어둠대신</t>
        </is>
      </c>
      <c r="F1305" s="18" t="inlineStr">
        <is>
          <t>shuppet</t>
        </is>
      </c>
      <c r="G1305" s="18" t="inlineStr">
        <is>
          <t>shuppet</t>
        </is>
      </c>
      <c r="H1305" s="18" t="inlineStr"/>
      <c r="I1305" s="18" t="n">
        <v>3</v>
      </c>
      <c r="J1305" s="18" t="n"/>
      <c r="K1305" s="18" t="n">
        <v>3</v>
      </c>
      <c r="L1305" s="18" t="inlineStr">
        <is>
          <t>cobbleventure:generation_3</t>
        </is>
      </c>
      <c r="M1305" s="19" t="inlineStr">
        <is>
          <t>cobbleventure:generation_3</t>
        </is>
      </c>
      <c r="N1305" s="18" t="inlineStr">
        <is>
          <t>region_01; region_02</t>
        </is>
      </c>
      <c r="O1305" s="19" t="inlineStr"/>
      <c r="P1305" s="18" t="inlineStr">
        <is>
          <t>#cobblemon:is_overworld</t>
        </is>
      </c>
      <c r="Q1305" s="19" t="inlineStr"/>
      <c r="R1305" s="18">
        <f>IF(Q1305="",P1305,Q1305)</f>
        <v/>
      </c>
      <c r="S1305" s="18" t="inlineStr"/>
      <c r="T1305" s="18" t="inlineStr">
        <is>
          <t>common</t>
        </is>
      </c>
      <c r="U1305" s="20" t="n">
        <v>9</v>
      </c>
      <c r="V1305" s="21" t="n">
        <v>1</v>
      </c>
      <c r="W1305" s="20">
        <f>IF(OR(U1305="",V1305=""),U1305,U1305*V1305)</f>
        <v/>
      </c>
      <c r="X1305" s="18" t="inlineStr">
        <is>
          <t>5-30</t>
        </is>
      </c>
      <c r="Y1305" s="19" t="inlineStr"/>
      <c r="Z1305" s="18">
        <f>IF(Y1305="",X1305,Y1305)</f>
        <v/>
      </c>
      <c r="AA1305" s="18" t="inlineStr">
        <is>
          <t>grounded</t>
        </is>
      </c>
      <c r="AB1305" s="18" t="inlineStr">
        <is>
          <t>night</t>
        </is>
      </c>
      <c r="AC1305" s="18" t="inlineStr"/>
      <c r="AD1305" s="18" t="inlineStr"/>
      <c r="AE1305" s="18" t="inlineStr"/>
      <c r="AF1305" s="18" t="inlineStr">
        <is>
          <t>False</t>
        </is>
      </c>
      <c r="AG1305" s="18" t="inlineStr"/>
      <c r="AH1305" s="18" t="inlineStr"/>
      <c r="AI1305" s="18" t="inlineStr"/>
      <c r="AJ1305" s="18" t="inlineStr">
        <is>
          <t>COBBLEVERSE 수정</t>
        </is>
      </c>
      <c r="AK1305" s="18" t="inlineStr">
        <is>
          <t>사용</t>
        </is>
      </c>
      <c r="AL1305" s="18" t="inlineStr">
        <is>
          <t>COBBLEVERSE 1.7.42 / DP v31</t>
        </is>
      </c>
      <c r="AM1305" s="18" t="inlineStr">
        <is>
          <t>data/cobblemon/spawn_pool_world/0353_shuppet.json</t>
        </is>
      </c>
      <c r="AN1305" s="18" t="inlineStr">
        <is>
          <t>shuppet-4</t>
        </is>
      </c>
      <c r="AO1305" s="18" t="inlineStr">
        <is>
          <t>pokemon</t>
        </is>
      </c>
      <c r="AP1305" s="18" t="inlineStr">
        <is>
          <t>mansion</t>
        </is>
      </c>
      <c r="AQ1305" s="18" t="inlineStr">
        <is>
          <t>{"biomes":["#cobblemon:is_overworld"],"canSeeSky":false,"timeRange":"night"}</t>
        </is>
      </c>
      <c r="AR1305" s="18" t="inlineStr"/>
      <c r="AS1305" s="18" t="inlineStr"/>
      <c r="AT1305" s="19" t="inlineStr"/>
    </row>
    <row r="1306" ht="32" customHeight="1">
      <c r="A1306" s="18" t="inlineStr">
        <is>
          <t>0354_banette.json::banette-1::001</t>
        </is>
      </c>
      <c r="B1306" s="19" t="inlineStr">
        <is>
          <t>사용</t>
        </is>
      </c>
      <c r="C1306" s="18">
        <f>IF(OR(B1306&lt;&gt;AK1306,M1306&lt;&gt;L1306,O1306&lt;&gt;"",Q1306&lt;&gt;"",V1306&lt;&gt;1,Y1306&lt;&gt;"",AT1306&lt;&gt;""),"수정","원본")</f>
        <v/>
      </c>
      <c r="D1306" s="18" t="n">
        <v>354</v>
      </c>
      <c r="E1306" s="18" t="inlineStr">
        <is>
          <t>다크펫</t>
        </is>
      </c>
      <c r="F1306" s="18" t="inlineStr">
        <is>
          <t>banette</t>
        </is>
      </c>
      <c r="G1306" s="18" t="inlineStr">
        <is>
          <t>banette</t>
        </is>
      </c>
      <c r="H1306" s="18" t="inlineStr"/>
      <c r="I1306" s="18" t="n">
        <v>3</v>
      </c>
      <c r="J1306" s="18" t="n"/>
      <c r="K1306" s="18" t="n">
        <v>3</v>
      </c>
      <c r="L1306" s="18" t="inlineStr">
        <is>
          <t>cobbleventure:generation_3</t>
        </is>
      </c>
      <c r="M1306" s="19" t="inlineStr">
        <is>
          <t>cobbleventure:generation_3</t>
        </is>
      </c>
      <c r="N1306" s="18" t="inlineStr"/>
      <c r="O1306" s="19" t="inlineStr"/>
      <c r="P1306" s="18" t="inlineStr">
        <is>
          <t>#cobblemon:is_spooky</t>
        </is>
      </c>
      <c r="Q1306" s="19" t="inlineStr"/>
      <c r="R1306" s="18">
        <f>IF(Q1306="",P1306,Q1306)</f>
        <v/>
      </c>
      <c r="S1306" s="18" t="inlineStr"/>
      <c r="T1306" s="18" t="inlineStr">
        <is>
          <t>common</t>
        </is>
      </c>
      <c r="U1306" s="20" t="n">
        <v>1</v>
      </c>
      <c r="V1306" s="21" t="n">
        <v>1</v>
      </c>
      <c r="W1306" s="20">
        <f>IF(OR(U1306="",V1306=""),U1306,U1306*V1306)</f>
        <v/>
      </c>
      <c r="X1306" s="18" t="inlineStr">
        <is>
          <t>37-46</t>
        </is>
      </c>
      <c r="Y1306" s="19" t="inlineStr"/>
      <c r="Z1306" s="18">
        <f>IF(Y1306="",X1306,Y1306)</f>
        <v/>
      </c>
      <c r="AA1306" s="18" t="inlineStr">
        <is>
          <t>grounded</t>
        </is>
      </c>
      <c r="AB1306" s="18" t="inlineStr">
        <is>
          <t>night</t>
        </is>
      </c>
      <c r="AC1306" s="18" t="inlineStr"/>
      <c r="AD1306" s="18" t="inlineStr"/>
      <c r="AE1306" s="18" t="inlineStr"/>
      <c r="AF1306" s="18" t="inlineStr"/>
      <c r="AG1306" s="18" t="inlineStr"/>
      <c r="AH1306" s="18" t="inlineStr"/>
      <c r="AI1306" s="18" t="inlineStr"/>
      <c r="AJ1306" s="18" t="inlineStr">
        <is>
          <t>COBBLEVERSE 수정</t>
        </is>
      </c>
      <c r="AK1306" s="18" t="inlineStr">
        <is>
          <t>사용</t>
        </is>
      </c>
      <c r="AL1306" s="18" t="inlineStr">
        <is>
          <t>COBBLEVERSE 1.7.42 / DP v31</t>
        </is>
      </c>
      <c r="AM1306" s="18" t="inlineStr">
        <is>
          <t>data/cobblemon/spawn_pool_world/0354_banette.json</t>
        </is>
      </c>
      <c r="AN1306" s="18" t="inlineStr">
        <is>
          <t>banette-1</t>
        </is>
      </c>
      <c r="AO1306" s="18" t="inlineStr">
        <is>
          <t>pokemon</t>
        </is>
      </c>
      <c r="AP1306" s="18" t="inlineStr">
        <is>
          <t>natural</t>
        </is>
      </c>
      <c r="AQ1306" s="18" t="inlineStr">
        <is>
          <t>{"biomes":["#cobblemon:is_spooky"],"timeRange":"night"}</t>
        </is>
      </c>
      <c r="AR1306" s="18" t="inlineStr"/>
      <c r="AS1306" s="18" t="inlineStr"/>
      <c r="AT1306" s="19" t="inlineStr"/>
    </row>
    <row r="1307" ht="32" customHeight="1">
      <c r="A1307" s="18" t="inlineStr">
        <is>
          <t>0354_banette.json::banette-2::002</t>
        </is>
      </c>
      <c r="B1307" s="19" t="inlineStr">
        <is>
          <t>사용</t>
        </is>
      </c>
      <c r="C1307" s="18">
        <f>IF(OR(B1307&lt;&gt;AK1307,M1307&lt;&gt;L1307,O1307&lt;&gt;"",Q1307&lt;&gt;"",V1307&lt;&gt;1,Y1307&lt;&gt;"",AT1307&lt;&gt;""),"수정","원본")</f>
        <v/>
      </c>
      <c r="D1307" s="18" t="n">
        <v>354</v>
      </c>
      <c r="E1307" s="18" t="inlineStr">
        <is>
          <t>다크펫</t>
        </is>
      </c>
      <c r="F1307" s="18" t="inlineStr">
        <is>
          <t>banette</t>
        </is>
      </c>
      <c r="G1307" s="18" t="inlineStr">
        <is>
          <t>banette</t>
        </is>
      </c>
      <c r="H1307" s="18" t="inlineStr"/>
      <c r="I1307" s="18" t="n">
        <v>3</v>
      </c>
      <c r="J1307" s="18" t="n"/>
      <c r="K1307" s="18" t="n">
        <v>3</v>
      </c>
      <c r="L1307" s="18" t="inlineStr">
        <is>
          <t>cobbleventure:generation_3</t>
        </is>
      </c>
      <c r="M1307" s="19" t="inlineStr">
        <is>
          <t>cobbleventure:generation_3</t>
        </is>
      </c>
      <c r="N1307" s="18" t="inlineStr">
        <is>
          <t>region_01; region_02</t>
        </is>
      </c>
      <c r="O1307" s="19" t="inlineStr"/>
      <c r="P1307" s="18" t="inlineStr">
        <is>
          <t>#cobblemon:is_overworld</t>
        </is>
      </c>
      <c r="Q1307" s="19" t="inlineStr"/>
      <c r="R1307" s="18">
        <f>IF(Q1307="",P1307,Q1307)</f>
        <v/>
      </c>
      <c r="S1307" s="18" t="inlineStr"/>
      <c r="T1307" s="18" t="inlineStr">
        <is>
          <t>uncommon</t>
        </is>
      </c>
      <c r="U1307" s="20" t="n">
        <v>1.6</v>
      </c>
      <c r="V1307" s="21" t="n">
        <v>1</v>
      </c>
      <c r="W1307" s="20">
        <f>IF(OR(U1307="",V1307=""),U1307,U1307*V1307)</f>
        <v/>
      </c>
      <c r="X1307" s="18" t="inlineStr">
        <is>
          <t>37-46</t>
        </is>
      </c>
      <c r="Y1307" s="19" t="inlineStr"/>
      <c r="Z1307" s="18">
        <f>IF(Y1307="",X1307,Y1307)</f>
        <v/>
      </c>
      <c r="AA1307" s="18" t="inlineStr">
        <is>
          <t>grounded</t>
        </is>
      </c>
      <c r="AB1307" s="18" t="inlineStr">
        <is>
          <t>night</t>
        </is>
      </c>
      <c r="AC1307" s="18" t="inlineStr"/>
      <c r="AD1307" s="18" t="inlineStr"/>
      <c r="AE1307" s="18" t="inlineStr">
        <is>
          <t>sky 8-15</t>
        </is>
      </c>
      <c r="AF1307" s="18" t="inlineStr"/>
      <c r="AG1307" s="18" t="inlineStr"/>
      <c r="AH1307" s="18" t="inlineStr"/>
      <c r="AI1307" s="18" t="inlineStr"/>
      <c r="AJ1307" s="18" t="inlineStr">
        <is>
          <t>COBBLEVERSE 수정</t>
        </is>
      </c>
      <c r="AK1307" s="18" t="inlineStr">
        <is>
          <t>사용</t>
        </is>
      </c>
      <c r="AL1307" s="18" t="inlineStr">
        <is>
          <t>COBBLEVERSE 1.7.42 / DP v31</t>
        </is>
      </c>
      <c r="AM1307" s="18" t="inlineStr">
        <is>
          <t>data/cobblemon/spawn_pool_world/0354_banette.json</t>
        </is>
      </c>
      <c r="AN1307" s="18" t="inlineStr">
        <is>
          <t>banette-2</t>
        </is>
      </c>
      <c r="AO1307" s="18" t="inlineStr">
        <is>
          <t>pokemon</t>
        </is>
      </c>
      <c r="AP1307" s="18" t="inlineStr">
        <is>
          <t>natural</t>
        </is>
      </c>
      <c r="AQ1307" s="18" t="inlineStr">
        <is>
          <t>{"biomes":["#cobblemon:is_overworld"],"maxSkyLight":15,"minSkyLight":8,"timeRange":"night"}</t>
        </is>
      </c>
      <c r="AR1307" s="18" t="inlineStr"/>
      <c r="AS1307" s="18" t="inlineStr"/>
      <c r="AT1307" s="19" t="inlineStr"/>
    </row>
    <row r="1308" ht="32" customHeight="1">
      <c r="A1308" s="18" t="inlineStr">
        <is>
          <t>0354_banette.json::banette-3::003</t>
        </is>
      </c>
      <c r="B1308" s="19" t="inlineStr">
        <is>
          <t>사용</t>
        </is>
      </c>
      <c r="C1308" s="18">
        <f>IF(OR(B1308&lt;&gt;AK1308,M1308&lt;&gt;L1308,O1308&lt;&gt;"",Q1308&lt;&gt;"",V1308&lt;&gt;1,Y1308&lt;&gt;"",AT1308&lt;&gt;""),"수정","원본")</f>
        <v/>
      </c>
      <c r="D1308" s="18" t="n">
        <v>354</v>
      </c>
      <c r="E1308" s="18" t="inlineStr">
        <is>
          <t>다크펫</t>
        </is>
      </c>
      <c r="F1308" s="18" t="inlineStr">
        <is>
          <t>banette</t>
        </is>
      </c>
      <c r="G1308" s="18" t="inlineStr">
        <is>
          <t>banette</t>
        </is>
      </c>
      <c r="H1308" s="18" t="inlineStr"/>
      <c r="I1308" s="18" t="n">
        <v>3</v>
      </c>
      <c r="J1308" s="18" t="n"/>
      <c r="K1308" s="18" t="n">
        <v>3</v>
      </c>
      <c r="L1308" s="18" t="inlineStr">
        <is>
          <t>cobbleventure:generation_3</t>
        </is>
      </c>
      <c r="M1308" s="19" t="inlineStr">
        <is>
          <t>cobbleventure:generation_3</t>
        </is>
      </c>
      <c r="N1308" s="18" t="inlineStr">
        <is>
          <t>region_01; region_02</t>
        </is>
      </c>
      <c r="O1308" s="19" t="inlineStr"/>
      <c r="P1308" s="18" t="inlineStr">
        <is>
          <t>#cobblemon:is_overworld</t>
        </is>
      </c>
      <c r="Q1308" s="19" t="inlineStr"/>
      <c r="R1308" s="18">
        <f>IF(Q1308="",P1308,Q1308)</f>
        <v/>
      </c>
      <c r="S1308" s="18" t="inlineStr"/>
      <c r="T1308" s="18" t="inlineStr">
        <is>
          <t>uncommon</t>
        </is>
      </c>
      <c r="U1308" s="20" t="n">
        <v>1.6</v>
      </c>
      <c r="V1308" s="21" t="n">
        <v>1</v>
      </c>
      <c r="W1308" s="20">
        <f>IF(OR(U1308="",V1308=""),U1308,U1308*V1308)</f>
        <v/>
      </c>
      <c r="X1308" s="18" t="inlineStr">
        <is>
          <t>37-46</t>
        </is>
      </c>
      <c r="Y1308" s="19" t="inlineStr"/>
      <c r="Z1308" s="18">
        <f>IF(Y1308="",X1308,Y1308)</f>
        <v/>
      </c>
      <c r="AA1308" s="18" t="inlineStr">
        <is>
          <t>grounded</t>
        </is>
      </c>
      <c r="AB1308" s="18" t="inlineStr">
        <is>
          <t>night</t>
        </is>
      </c>
      <c r="AC1308" s="18" t="inlineStr"/>
      <c r="AD1308" s="18" t="inlineStr"/>
      <c r="AE1308" s="18" t="inlineStr">
        <is>
          <t>sky 8-15</t>
        </is>
      </c>
      <c r="AF1308" s="18" t="inlineStr"/>
      <c r="AG1308" s="18" t="inlineStr">
        <is>
          <t>#minecraft:village</t>
        </is>
      </c>
      <c r="AH1308" s="18" t="inlineStr"/>
      <c r="AI1308" s="18" t="inlineStr"/>
      <c r="AJ1308" s="18" t="inlineStr">
        <is>
          <t>COBBLEVERSE 수정</t>
        </is>
      </c>
      <c r="AK1308" s="18" t="inlineStr">
        <is>
          <t>사용</t>
        </is>
      </c>
      <c r="AL1308" s="18" t="inlineStr">
        <is>
          <t>COBBLEVERSE 1.7.42 / DP v31</t>
        </is>
      </c>
      <c r="AM1308" s="18" t="inlineStr">
        <is>
          <t>data/cobblemon/spawn_pool_world/0354_banette.json</t>
        </is>
      </c>
      <c r="AN1308" s="18" t="inlineStr">
        <is>
          <t>banette-3</t>
        </is>
      </c>
      <c r="AO1308" s="18" t="inlineStr">
        <is>
          <t>pokemon</t>
        </is>
      </c>
      <c r="AP1308" s="18" t="inlineStr">
        <is>
          <t>natural</t>
        </is>
      </c>
      <c r="AQ1308" s="18" t="inlineStr">
        <is>
          <t>{"biomes":["#cobblemon:is_overworld"],"maxSkyLight":15,"minSkyLight":8,"structures":["#minecraft:village"],"timeRange":"night"}</t>
        </is>
      </c>
      <c r="AR1308" s="18" t="inlineStr"/>
      <c r="AS1308" s="18" t="inlineStr"/>
      <c r="AT1308" s="19" t="inlineStr"/>
    </row>
    <row r="1309" ht="32" customHeight="1">
      <c r="A1309" s="18" t="inlineStr">
        <is>
          <t>0354_banette.json::banette-4::004</t>
        </is>
      </c>
      <c r="B1309" s="19" t="inlineStr">
        <is>
          <t>사용</t>
        </is>
      </c>
      <c r="C1309" s="18">
        <f>IF(OR(B1309&lt;&gt;AK1309,M1309&lt;&gt;L1309,O1309&lt;&gt;"",Q1309&lt;&gt;"",V1309&lt;&gt;1,Y1309&lt;&gt;"",AT1309&lt;&gt;""),"수정","원본")</f>
        <v/>
      </c>
      <c r="D1309" s="18" t="n">
        <v>354</v>
      </c>
      <c r="E1309" s="18" t="inlineStr">
        <is>
          <t>다크펫</t>
        </is>
      </c>
      <c r="F1309" s="18" t="inlineStr">
        <is>
          <t>banette</t>
        </is>
      </c>
      <c r="G1309" s="18" t="inlineStr">
        <is>
          <t>banette</t>
        </is>
      </c>
      <c r="H1309" s="18" t="inlineStr"/>
      <c r="I1309" s="18" t="n">
        <v>3</v>
      </c>
      <c r="J1309" s="18" t="n"/>
      <c r="K1309" s="18" t="n">
        <v>3</v>
      </c>
      <c r="L1309" s="18" t="inlineStr">
        <is>
          <t>cobbleventure:generation_3</t>
        </is>
      </c>
      <c r="M1309" s="19" t="inlineStr">
        <is>
          <t>cobbleventure:generation_3</t>
        </is>
      </c>
      <c r="N1309" s="18" t="inlineStr">
        <is>
          <t>region_01; region_02</t>
        </is>
      </c>
      <c r="O1309" s="19" t="inlineStr"/>
      <c r="P1309" s="18" t="inlineStr">
        <is>
          <t>#cobblemon:is_overworld</t>
        </is>
      </c>
      <c r="Q1309" s="19" t="inlineStr"/>
      <c r="R1309" s="18">
        <f>IF(Q1309="",P1309,Q1309)</f>
        <v/>
      </c>
      <c r="S1309" s="18" t="inlineStr"/>
      <c r="T1309" s="18" t="inlineStr">
        <is>
          <t>common</t>
        </is>
      </c>
      <c r="U1309" s="20" t="n">
        <v>1</v>
      </c>
      <c r="V1309" s="21" t="n">
        <v>1</v>
      </c>
      <c r="W1309" s="20">
        <f>IF(OR(U1309="",V1309=""),U1309,U1309*V1309)</f>
        <v/>
      </c>
      <c r="X1309" s="18" t="inlineStr">
        <is>
          <t>37-46</t>
        </is>
      </c>
      <c r="Y1309" s="19" t="inlineStr"/>
      <c r="Z1309" s="18">
        <f>IF(Y1309="",X1309,Y1309)</f>
        <v/>
      </c>
      <c r="AA1309" s="18" t="inlineStr">
        <is>
          <t>grounded</t>
        </is>
      </c>
      <c r="AB1309" s="18" t="inlineStr">
        <is>
          <t>night</t>
        </is>
      </c>
      <c r="AC1309" s="18" t="inlineStr"/>
      <c r="AD1309" s="18" t="inlineStr"/>
      <c r="AE1309" s="18" t="inlineStr"/>
      <c r="AF1309" s="18" t="inlineStr">
        <is>
          <t>False</t>
        </is>
      </c>
      <c r="AG1309" s="18" t="inlineStr"/>
      <c r="AH1309" s="18" t="inlineStr"/>
      <c r="AI1309" s="18" t="inlineStr"/>
      <c r="AJ1309" s="18" t="inlineStr">
        <is>
          <t>COBBLEVERSE 수정</t>
        </is>
      </c>
      <c r="AK1309" s="18" t="inlineStr">
        <is>
          <t>사용</t>
        </is>
      </c>
      <c r="AL1309" s="18" t="inlineStr">
        <is>
          <t>COBBLEVERSE 1.7.42 / DP v31</t>
        </is>
      </c>
      <c r="AM1309" s="18" t="inlineStr">
        <is>
          <t>data/cobblemon/spawn_pool_world/0354_banette.json</t>
        </is>
      </c>
      <c r="AN1309" s="18" t="inlineStr">
        <is>
          <t>banette-4</t>
        </is>
      </c>
      <c r="AO1309" s="18" t="inlineStr">
        <is>
          <t>pokemon</t>
        </is>
      </c>
      <c r="AP1309" s="18" t="inlineStr">
        <is>
          <t>mansion</t>
        </is>
      </c>
      <c r="AQ1309" s="18" t="inlineStr">
        <is>
          <t>{"biomes":["#cobblemon:is_overworld"],"canSeeSky":false,"timeRange":"night"}</t>
        </is>
      </c>
      <c r="AR1309" s="18" t="inlineStr"/>
      <c r="AS1309" s="18" t="inlineStr"/>
      <c r="AT1309" s="19" t="inlineStr"/>
    </row>
    <row r="1310" ht="32" customHeight="1">
      <c r="A1310" s="18" t="inlineStr">
        <is>
          <t>0355_duskull.json::duskull-1::001</t>
        </is>
      </c>
      <c r="B1310" s="19" t="inlineStr">
        <is>
          <t>사용</t>
        </is>
      </c>
      <c r="C1310" s="18">
        <f>IF(OR(B1310&lt;&gt;AK1310,M1310&lt;&gt;L1310,O1310&lt;&gt;"",Q1310&lt;&gt;"",V1310&lt;&gt;1,Y1310&lt;&gt;"",AT1310&lt;&gt;""),"수정","원본")</f>
        <v/>
      </c>
      <c r="D1310" s="18" t="n">
        <v>355</v>
      </c>
      <c r="E1310" s="18" t="inlineStr">
        <is>
          <t>해골몽</t>
        </is>
      </c>
      <c r="F1310" s="18" t="inlineStr">
        <is>
          <t>duskull</t>
        </is>
      </c>
      <c r="G1310" s="18" t="inlineStr">
        <is>
          <t>duskull</t>
        </is>
      </c>
      <c r="H1310" s="18" t="inlineStr"/>
      <c r="I1310" s="18" t="n">
        <v>3</v>
      </c>
      <c r="J1310" s="18" t="n"/>
      <c r="K1310" s="18" t="n">
        <v>3</v>
      </c>
      <c r="L1310" s="18" t="inlineStr">
        <is>
          <t>cobbleventure:generation_3</t>
        </is>
      </c>
      <c r="M1310" s="19" t="inlineStr">
        <is>
          <t>cobbleventure:generation_3</t>
        </is>
      </c>
      <c r="N1310" s="18" t="inlineStr"/>
      <c r="O1310" s="19" t="inlineStr"/>
      <c r="P1310" s="18" t="inlineStr">
        <is>
          <t>#cobblemon:is_spooky</t>
        </is>
      </c>
      <c r="Q1310" s="19" t="inlineStr"/>
      <c r="R1310" s="18">
        <f>IF(Q1310="",P1310,Q1310)</f>
        <v/>
      </c>
      <c r="S1310" s="18" t="inlineStr"/>
      <c r="T1310" s="18" t="inlineStr">
        <is>
          <t>common</t>
        </is>
      </c>
      <c r="U1310" s="20" t="n">
        <v>5.4</v>
      </c>
      <c r="V1310" s="21" t="n">
        <v>1</v>
      </c>
      <c r="W1310" s="20">
        <f>IF(OR(U1310="",V1310=""),U1310,U1310*V1310)</f>
        <v/>
      </c>
      <c r="X1310" s="18" t="inlineStr">
        <is>
          <t>5-30</t>
        </is>
      </c>
      <c r="Y1310" s="19" t="inlineStr"/>
      <c r="Z1310" s="18">
        <f>IF(Y1310="",X1310,Y1310)</f>
        <v/>
      </c>
      <c r="AA1310" s="18" t="inlineStr">
        <is>
          <t>grounded</t>
        </is>
      </c>
      <c r="AB1310" s="18" t="inlineStr">
        <is>
          <t>night</t>
        </is>
      </c>
      <c r="AC1310" s="18" t="inlineStr"/>
      <c r="AD1310" s="18" t="inlineStr"/>
      <c r="AE1310" s="18" t="inlineStr">
        <is>
          <t>sky 8-15</t>
        </is>
      </c>
      <c r="AF1310" s="18" t="inlineStr"/>
      <c r="AG1310" s="18" t="inlineStr"/>
      <c r="AH1310" s="18" t="inlineStr"/>
      <c r="AI1310" s="18" t="inlineStr"/>
      <c r="AJ1310" s="18" t="inlineStr">
        <is>
          <t>Cobblemon 동일</t>
        </is>
      </c>
      <c r="AK1310" s="18" t="inlineStr">
        <is>
          <t>사용</t>
        </is>
      </c>
      <c r="AL1310" s="18" t="inlineStr">
        <is>
          <t>COBBLEVERSE 1.7.42 / DP v31</t>
        </is>
      </c>
      <c r="AM1310" s="18" t="inlineStr">
        <is>
          <t>data/cobblemon/spawn_pool_world/0355_duskull.json</t>
        </is>
      </c>
      <c r="AN1310" s="18" t="inlineStr">
        <is>
          <t>duskull-1</t>
        </is>
      </c>
      <c r="AO1310" s="18" t="inlineStr">
        <is>
          <t>pokemon</t>
        </is>
      </c>
      <c r="AP1310" s="18" t="inlineStr">
        <is>
          <t>natural</t>
        </is>
      </c>
      <c r="AQ1310" s="18" t="inlineStr">
        <is>
          <t>{"biomes":["#cobblemon:is_spooky"],"maxSkyLight":15,"minSkyLight":8,"timeRange":"night"}</t>
        </is>
      </c>
      <c r="AR1310" s="18" t="inlineStr"/>
      <c r="AS1310" s="18" t="inlineStr"/>
      <c r="AT1310" s="19" t="inlineStr"/>
    </row>
    <row r="1311" ht="32" customHeight="1">
      <c r="A1311" s="18" t="inlineStr">
        <is>
          <t>0355_duskull.json::duskull-2::002</t>
        </is>
      </c>
      <c r="B1311" s="19" t="inlineStr">
        <is>
          <t>사용</t>
        </is>
      </c>
      <c r="C1311" s="18">
        <f>IF(OR(B1311&lt;&gt;AK1311,M1311&lt;&gt;L1311,O1311&lt;&gt;"",Q1311&lt;&gt;"",V1311&lt;&gt;1,Y1311&lt;&gt;"",AT1311&lt;&gt;""),"수정","원본")</f>
        <v/>
      </c>
      <c r="D1311" s="18" t="n">
        <v>355</v>
      </c>
      <c r="E1311" s="18" t="inlineStr">
        <is>
          <t>해골몽</t>
        </is>
      </c>
      <c r="F1311" s="18" t="inlineStr">
        <is>
          <t>duskull</t>
        </is>
      </c>
      <c r="G1311" s="18" t="inlineStr">
        <is>
          <t>duskull</t>
        </is>
      </c>
      <c r="H1311" s="18" t="inlineStr"/>
      <c r="I1311" s="18" t="n">
        <v>3</v>
      </c>
      <c r="J1311" s="18" t="n"/>
      <c r="K1311" s="18" t="n">
        <v>3</v>
      </c>
      <c r="L1311" s="18" t="inlineStr">
        <is>
          <t>cobbleventure:generation_3</t>
        </is>
      </c>
      <c r="M1311" s="19" t="inlineStr">
        <is>
          <t>cobbleventure:generation_3</t>
        </is>
      </c>
      <c r="N1311" s="18" t="inlineStr"/>
      <c r="O1311" s="19" t="inlineStr"/>
      <c r="P1311" s="18" t="inlineStr">
        <is>
          <t>#cobblemon:nether/is_soul_sand</t>
        </is>
      </c>
      <c r="Q1311" s="19" t="inlineStr"/>
      <c r="R1311" s="18">
        <f>IF(Q1311="",P1311,Q1311)</f>
        <v/>
      </c>
      <c r="S1311" s="18" t="inlineStr"/>
      <c r="T1311" s="18" t="inlineStr">
        <is>
          <t>common</t>
        </is>
      </c>
      <c r="U1311" s="20" t="n">
        <v>9</v>
      </c>
      <c r="V1311" s="21" t="n">
        <v>1</v>
      </c>
      <c r="W1311" s="20">
        <f>IF(OR(U1311="",V1311=""),U1311,U1311*V1311)</f>
        <v/>
      </c>
      <c r="X1311" s="18" t="inlineStr">
        <is>
          <t>5-30</t>
        </is>
      </c>
      <c r="Y1311" s="19" t="inlineStr"/>
      <c r="Z1311" s="18">
        <f>IF(Y1311="",X1311,Y1311)</f>
        <v/>
      </c>
      <c r="AA1311" s="18" t="inlineStr">
        <is>
          <t>grounded</t>
        </is>
      </c>
      <c r="AB1311" s="18" t="inlineStr"/>
      <c r="AC1311" s="18" t="inlineStr"/>
      <c r="AD1311" s="18" t="inlineStr"/>
      <c r="AE1311" s="18" t="inlineStr"/>
      <c r="AF1311" s="18" t="inlineStr"/>
      <c r="AG1311" s="18" t="inlineStr"/>
      <c r="AH1311" s="18" t="inlineStr"/>
      <c r="AI1311" s="18" t="inlineStr"/>
      <c r="AJ1311" s="18" t="inlineStr">
        <is>
          <t>Cobblemon 동일</t>
        </is>
      </c>
      <c r="AK1311" s="18" t="inlineStr">
        <is>
          <t>사용</t>
        </is>
      </c>
      <c r="AL1311" s="18" t="inlineStr">
        <is>
          <t>COBBLEVERSE 1.7.42 / DP v31</t>
        </is>
      </c>
      <c r="AM1311" s="18" t="inlineStr">
        <is>
          <t>data/cobblemon/spawn_pool_world/0355_duskull.json</t>
        </is>
      </c>
      <c r="AN1311" s="18" t="inlineStr">
        <is>
          <t>duskull-2</t>
        </is>
      </c>
      <c r="AO1311" s="18" t="inlineStr">
        <is>
          <t>pokemon</t>
        </is>
      </c>
      <c r="AP1311" s="18" t="inlineStr">
        <is>
          <t>natural</t>
        </is>
      </c>
      <c r="AQ1311" s="18" t="inlineStr">
        <is>
          <t>{"biomes":["#cobblemon:nether/is_soul_sand"]}</t>
        </is>
      </c>
      <c r="AR1311" s="18" t="inlineStr"/>
      <c r="AS1311" s="18" t="inlineStr"/>
      <c r="AT1311" s="19" t="inlineStr"/>
    </row>
    <row r="1312" ht="32" customHeight="1">
      <c r="A1312" s="18" t="inlineStr">
        <is>
          <t>0356_dusclops.json::dusclops-1::001</t>
        </is>
      </c>
      <c r="B1312" s="19" t="inlineStr">
        <is>
          <t>사용</t>
        </is>
      </c>
      <c r="C1312" s="18">
        <f>IF(OR(B1312&lt;&gt;AK1312,M1312&lt;&gt;L1312,O1312&lt;&gt;"",Q1312&lt;&gt;"",V1312&lt;&gt;1,Y1312&lt;&gt;"",AT1312&lt;&gt;""),"수정","원본")</f>
        <v/>
      </c>
      <c r="D1312" s="18" t="n">
        <v>356</v>
      </c>
      <c r="E1312" s="18" t="inlineStr">
        <is>
          <t>미라몽</t>
        </is>
      </c>
      <c r="F1312" s="18" t="inlineStr">
        <is>
          <t>dusclops</t>
        </is>
      </c>
      <c r="G1312" s="18" t="inlineStr">
        <is>
          <t>dusclops</t>
        </is>
      </c>
      <c r="H1312" s="18" t="inlineStr"/>
      <c r="I1312" s="18" t="n">
        <v>3</v>
      </c>
      <c r="J1312" s="18" t="n"/>
      <c r="K1312" s="18" t="n">
        <v>3</v>
      </c>
      <c r="L1312" s="18" t="inlineStr">
        <is>
          <t>cobbleventure:generation_3</t>
        </is>
      </c>
      <c r="M1312" s="19" t="inlineStr">
        <is>
          <t>cobbleventure:generation_3</t>
        </is>
      </c>
      <c r="N1312" s="18" t="inlineStr"/>
      <c r="O1312" s="19" t="inlineStr"/>
      <c r="P1312" s="18" t="inlineStr">
        <is>
          <t>#cobblemon:is_spooky</t>
        </is>
      </c>
      <c r="Q1312" s="19" t="inlineStr"/>
      <c r="R1312" s="18">
        <f>IF(Q1312="",P1312,Q1312)</f>
        <v/>
      </c>
      <c r="S1312" s="18" t="inlineStr"/>
      <c r="T1312" s="18" t="inlineStr">
        <is>
          <t>common</t>
        </is>
      </c>
      <c r="U1312" s="20" t="n">
        <v>0.57</v>
      </c>
      <c r="V1312" s="21" t="n">
        <v>1</v>
      </c>
      <c r="W1312" s="20">
        <f>IF(OR(U1312="",V1312=""),U1312,U1312*V1312)</f>
        <v/>
      </c>
      <c r="X1312" s="18" t="inlineStr">
        <is>
          <t>37-46</t>
        </is>
      </c>
      <c r="Y1312" s="19" t="inlineStr"/>
      <c r="Z1312" s="18">
        <f>IF(Y1312="",X1312,Y1312)</f>
        <v/>
      </c>
      <c r="AA1312" s="18" t="inlineStr">
        <is>
          <t>grounded</t>
        </is>
      </c>
      <c r="AB1312" s="18" t="inlineStr">
        <is>
          <t>night</t>
        </is>
      </c>
      <c r="AC1312" s="18" t="inlineStr"/>
      <c r="AD1312" s="18" t="inlineStr"/>
      <c r="AE1312" s="18" t="inlineStr">
        <is>
          <t>sky 8-15</t>
        </is>
      </c>
      <c r="AF1312" s="18" t="inlineStr"/>
      <c r="AG1312" s="18" t="inlineStr"/>
      <c r="AH1312" s="18" t="inlineStr"/>
      <c r="AI1312" s="18" t="inlineStr"/>
      <c r="AJ1312" s="18" t="inlineStr">
        <is>
          <t>Cobblemon 동일</t>
        </is>
      </c>
      <c r="AK1312" s="18" t="inlineStr">
        <is>
          <t>사용</t>
        </is>
      </c>
      <c r="AL1312" s="18" t="inlineStr">
        <is>
          <t>COBBLEVERSE 1.7.42 / DP v31</t>
        </is>
      </c>
      <c r="AM1312" s="18" t="inlineStr">
        <is>
          <t>data/cobblemon/spawn_pool_world/0356_dusclops.json</t>
        </is>
      </c>
      <c r="AN1312" s="18" t="inlineStr">
        <is>
          <t>dusclops-1</t>
        </is>
      </c>
      <c r="AO1312" s="18" t="inlineStr">
        <is>
          <t>pokemon</t>
        </is>
      </c>
      <c r="AP1312" s="18" t="inlineStr">
        <is>
          <t>natural</t>
        </is>
      </c>
      <c r="AQ1312" s="18" t="inlineStr">
        <is>
          <t>{"biomes":["#cobblemon:is_spooky"],"maxSkyLight":15,"minSkyLight":8,"timeRange":"night"}</t>
        </is>
      </c>
      <c r="AR1312" s="18" t="inlineStr"/>
      <c r="AS1312" s="18" t="inlineStr"/>
      <c r="AT1312" s="19" t="inlineStr"/>
    </row>
    <row r="1313" ht="32" customHeight="1">
      <c r="A1313" s="18" t="inlineStr">
        <is>
          <t>0356_dusclops.json::dusclops-2::002</t>
        </is>
      </c>
      <c r="B1313" s="19" t="inlineStr">
        <is>
          <t>사용</t>
        </is>
      </c>
      <c r="C1313" s="18">
        <f>IF(OR(B1313&lt;&gt;AK1313,M1313&lt;&gt;L1313,O1313&lt;&gt;"",Q1313&lt;&gt;"",V1313&lt;&gt;1,Y1313&lt;&gt;"",AT1313&lt;&gt;""),"수정","원본")</f>
        <v/>
      </c>
      <c r="D1313" s="18" t="n">
        <v>356</v>
      </c>
      <c r="E1313" s="18" t="inlineStr">
        <is>
          <t>미라몽</t>
        </is>
      </c>
      <c r="F1313" s="18" t="inlineStr">
        <is>
          <t>dusclops</t>
        </is>
      </c>
      <c r="G1313" s="18" t="inlineStr">
        <is>
          <t>dusclops</t>
        </is>
      </c>
      <c r="H1313" s="18" t="inlineStr"/>
      <c r="I1313" s="18" t="n">
        <v>3</v>
      </c>
      <c r="J1313" s="18" t="n"/>
      <c r="K1313" s="18" t="n">
        <v>3</v>
      </c>
      <c r="L1313" s="18" t="inlineStr">
        <is>
          <t>cobbleventure:generation_3</t>
        </is>
      </c>
      <c r="M1313" s="19" t="inlineStr">
        <is>
          <t>cobbleventure:generation_3</t>
        </is>
      </c>
      <c r="N1313" s="18" t="inlineStr"/>
      <c r="O1313" s="19" t="inlineStr"/>
      <c r="P1313" s="18" t="inlineStr">
        <is>
          <t>#cobblemon:nether/is_soul_sand</t>
        </is>
      </c>
      <c r="Q1313" s="19" t="inlineStr"/>
      <c r="R1313" s="18">
        <f>IF(Q1313="",P1313,Q1313)</f>
        <v/>
      </c>
      <c r="S1313" s="18" t="inlineStr"/>
      <c r="T1313" s="18" t="inlineStr">
        <is>
          <t>common</t>
        </is>
      </c>
      <c r="U1313" s="20" t="n">
        <v>0.95</v>
      </c>
      <c r="V1313" s="21" t="n">
        <v>1</v>
      </c>
      <c r="W1313" s="20">
        <f>IF(OR(U1313="",V1313=""),U1313,U1313*V1313)</f>
        <v/>
      </c>
      <c r="X1313" s="18" t="inlineStr">
        <is>
          <t>37-46</t>
        </is>
      </c>
      <c r="Y1313" s="19" t="inlineStr"/>
      <c r="Z1313" s="18">
        <f>IF(Y1313="",X1313,Y1313)</f>
        <v/>
      </c>
      <c r="AA1313" s="18" t="inlineStr">
        <is>
          <t>grounded</t>
        </is>
      </c>
      <c r="AB1313" s="18" t="inlineStr"/>
      <c r="AC1313" s="18" t="inlineStr"/>
      <c r="AD1313" s="18" t="inlineStr"/>
      <c r="AE1313" s="18" t="inlineStr"/>
      <c r="AF1313" s="18" t="inlineStr"/>
      <c r="AG1313" s="18" t="inlineStr"/>
      <c r="AH1313" s="18" t="inlineStr"/>
      <c r="AI1313" s="18" t="inlineStr"/>
      <c r="AJ1313" s="18" t="inlineStr">
        <is>
          <t>Cobblemon 동일</t>
        </is>
      </c>
      <c r="AK1313" s="18" t="inlineStr">
        <is>
          <t>사용</t>
        </is>
      </c>
      <c r="AL1313" s="18" t="inlineStr">
        <is>
          <t>COBBLEVERSE 1.7.42 / DP v31</t>
        </is>
      </c>
      <c r="AM1313" s="18" t="inlineStr">
        <is>
          <t>data/cobblemon/spawn_pool_world/0356_dusclops.json</t>
        </is>
      </c>
      <c r="AN1313" s="18" t="inlineStr">
        <is>
          <t>dusclops-2</t>
        </is>
      </c>
      <c r="AO1313" s="18" t="inlineStr">
        <is>
          <t>pokemon</t>
        </is>
      </c>
      <c r="AP1313" s="18" t="inlineStr">
        <is>
          <t>natural</t>
        </is>
      </c>
      <c r="AQ1313" s="18" t="inlineStr">
        <is>
          <t>{"biomes":["#cobblemon:nether/is_soul_sand"]}</t>
        </is>
      </c>
      <c r="AR1313" s="18" t="inlineStr"/>
      <c r="AS1313" s="18" t="inlineStr"/>
      <c r="AT1313" s="19" t="inlineStr"/>
    </row>
    <row r="1314" ht="32" customHeight="1">
      <c r="A1314" s="18" t="inlineStr">
        <is>
          <t>0357_tropius.json::tropius-1::001</t>
        </is>
      </c>
      <c r="B1314" s="19" t="inlineStr">
        <is>
          <t>사용</t>
        </is>
      </c>
      <c r="C1314" s="18">
        <f>IF(OR(B1314&lt;&gt;AK1314,M1314&lt;&gt;L1314,O1314&lt;&gt;"",Q1314&lt;&gt;"",V1314&lt;&gt;1,Y1314&lt;&gt;"",AT1314&lt;&gt;""),"수정","원본")</f>
        <v/>
      </c>
      <c r="D1314" s="18" t="n">
        <v>357</v>
      </c>
      <c r="E1314" s="18" t="inlineStr">
        <is>
          <t>트로피우스</t>
        </is>
      </c>
      <c r="F1314" s="18" t="inlineStr">
        <is>
          <t>tropius</t>
        </is>
      </c>
      <c r="G1314" s="18" t="inlineStr">
        <is>
          <t>tropius</t>
        </is>
      </c>
      <c r="H1314" s="18" t="inlineStr"/>
      <c r="I1314" s="18" t="n">
        <v>3</v>
      </c>
      <c r="J1314" s="18" t="n"/>
      <c r="K1314" s="18" t="n">
        <v>3</v>
      </c>
      <c r="L1314" s="18" t="inlineStr">
        <is>
          <t>cobbleventure:generation_3</t>
        </is>
      </c>
      <c r="M1314" s="19" t="inlineStr">
        <is>
          <t>cobbleventure:generation_3</t>
        </is>
      </c>
      <c r="N1314" s="18" t="inlineStr"/>
      <c r="O1314" s="19" t="inlineStr"/>
      <c r="P1314" s="18" t="inlineStr">
        <is>
          <t>#cobblemon:is_jungle</t>
        </is>
      </c>
      <c r="Q1314" s="19" t="inlineStr"/>
      <c r="R1314" s="18">
        <f>IF(Q1314="",P1314,Q1314)</f>
        <v/>
      </c>
      <c r="S1314" s="18" t="inlineStr"/>
      <c r="T1314" s="18" t="inlineStr">
        <is>
          <t>uncommon</t>
        </is>
      </c>
      <c r="U1314" s="20" t="n">
        <v>6</v>
      </c>
      <c r="V1314" s="21" t="n">
        <v>1</v>
      </c>
      <c r="W1314" s="20">
        <f>IF(OR(U1314="",V1314=""),U1314,U1314*V1314)</f>
        <v/>
      </c>
      <c r="X1314" s="18" t="inlineStr">
        <is>
          <t>21-46</t>
        </is>
      </c>
      <c r="Y1314" s="19" t="inlineStr"/>
      <c r="Z1314" s="18">
        <f>IF(Y1314="",X1314,Y1314)</f>
        <v/>
      </c>
      <c r="AA1314" s="18" t="inlineStr">
        <is>
          <t>grounded</t>
        </is>
      </c>
      <c r="AB1314" s="18" t="inlineStr"/>
      <c r="AC1314" s="18" t="inlineStr"/>
      <c r="AD1314" s="18" t="inlineStr"/>
      <c r="AE1314" s="18" t="inlineStr">
        <is>
          <t>sky 8-15</t>
        </is>
      </c>
      <c r="AF1314" s="18" t="inlineStr"/>
      <c r="AG1314" s="18" t="inlineStr"/>
      <c r="AH1314" s="18" t="inlineStr"/>
      <c r="AI1314" s="18" t="inlineStr"/>
      <c r="AJ1314" s="18" t="inlineStr">
        <is>
          <t>Cobblemon 동일</t>
        </is>
      </c>
      <c r="AK1314" s="18" t="inlineStr">
        <is>
          <t>사용</t>
        </is>
      </c>
      <c r="AL1314" s="18" t="inlineStr">
        <is>
          <t>COBBLEVERSE 1.7.42 / DP v31</t>
        </is>
      </c>
      <c r="AM1314" s="18" t="inlineStr">
        <is>
          <t>data/cobblemon/spawn_pool_world/0357_tropius.json</t>
        </is>
      </c>
      <c r="AN1314" s="18" t="inlineStr">
        <is>
          <t>tropius-1</t>
        </is>
      </c>
      <c r="AO1314" s="18" t="inlineStr">
        <is>
          <t>pokemon</t>
        </is>
      </c>
      <c r="AP1314" s="18" t="inlineStr">
        <is>
          <t>natural; wild</t>
        </is>
      </c>
      <c r="AQ1314" s="18" t="inlineStr">
        <is>
          <t>{"biomes":["#cobblemon:is_jungle"],"maxSkyLight":15,"minSkyLight":8}</t>
        </is>
      </c>
      <c r="AR1314" s="18" t="inlineStr"/>
      <c r="AS1314" s="18" t="inlineStr">
        <is>
          <t>{"weightMultiplier":{"condition":{"timeRange":"night"},"multiplier":0.25}}</t>
        </is>
      </c>
      <c r="AT1314" s="19" t="inlineStr"/>
    </row>
    <row r="1315" ht="32" customHeight="1">
      <c r="A1315" s="18" t="inlineStr">
        <is>
          <t>0357_tropius.json::tropius-3::002</t>
        </is>
      </c>
      <c r="B1315" s="19" t="inlineStr">
        <is>
          <t>사용</t>
        </is>
      </c>
      <c r="C1315" s="18">
        <f>IF(OR(B1315&lt;&gt;AK1315,M1315&lt;&gt;L1315,O1315&lt;&gt;"",Q1315&lt;&gt;"",V1315&lt;&gt;1,Y1315&lt;&gt;"",AT1315&lt;&gt;""),"수정","원본")</f>
        <v/>
      </c>
      <c r="D1315" s="18" t="n">
        <v>357</v>
      </c>
      <c r="E1315" s="18" t="inlineStr">
        <is>
          <t>트로피우스</t>
        </is>
      </c>
      <c r="F1315" s="18" t="inlineStr">
        <is>
          <t>tropius</t>
        </is>
      </c>
      <c r="G1315" s="18" t="inlineStr">
        <is>
          <t>tropius</t>
        </is>
      </c>
      <c r="H1315" s="18" t="inlineStr"/>
      <c r="I1315" s="18" t="n">
        <v>3</v>
      </c>
      <c r="J1315" s="18" t="n"/>
      <c r="K1315" s="18" t="n">
        <v>3</v>
      </c>
      <c r="L1315" s="18" t="inlineStr">
        <is>
          <t>cobbleventure:generation_3</t>
        </is>
      </c>
      <c r="M1315" s="19" t="inlineStr">
        <is>
          <t>cobbleventure:generation_3</t>
        </is>
      </c>
      <c r="N1315" s="18" t="inlineStr"/>
      <c r="O1315" s="19" t="inlineStr"/>
      <c r="P1315" s="18" t="inlineStr">
        <is>
          <t>#aether:is_aether</t>
        </is>
      </c>
      <c r="Q1315" s="19" t="inlineStr"/>
      <c r="R1315" s="18">
        <f>IF(Q1315="",P1315,Q1315)</f>
        <v/>
      </c>
      <c r="S1315" s="18" t="inlineStr"/>
      <c r="T1315" s="18" t="inlineStr">
        <is>
          <t>uncommon</t>
        </is>
      </c>
      <c r="U1315" s="20" t="n">
        <v>6</v>
      </c>
      <c r="V1315" s="21" t="n">
        <v>1</v>
      </c>
      <c r="W1315" s="20">
        <f>IF(OR(U1315="",V1315=""),U1315,U1315*V1315)</f>
        <v/>
      </c>
      <c r="X1315" s="18" t="inlineStr">
        <is>
          <t>21-46</t>
        </is>
      </c>
      <c r="Y1315" s="19" t="inlineStr"/>
      <c r="Z1315" s="18">
        <f>IF(Y1315="",X1315,Y1315)</f>
        <v/>
      </c>
      <c r="AA1315" s="18" t="inlineStr">
        <is>
          <t>grounded</t>
        </is>
      </c>
      <c r="AB1315" s="18" t="inlineStr"/>
      <c r="AC1315" s="18" t="inlineStr"/>
      <c r="AD1315" s="18" t="inlineStr"/>
      <c r="AE1315" s="18" t="inlineStr">
        <is>
          <t>sky 8-15</t>
        </is>
      </c>
      <c r="AF1315" s="18" t="inlineStr"/>
      <c r="AG1315" s="18" t="inlineStr"/>
      <c r="AH1315" s="18" t="inlineStr"/>
      <c r="AI1315" s="18" t="inlineStr"/>
      <c r="AJ1315" s="18" t="inlineStr">
        <is>
          <t>Cobblemon 동일</t>
        </is>
      </c>
      <c r="AK1315" s="18" t="inlineStr">
        <is>
          <t>사용</t>
        </is>
      </c>
      <c r="AL1315" s="18" t="inlineStr">
        <is>
          <t>COBBLEVERSE 1.7.42 / DP v31</t>
        </is>
      </c>
      <c r="AM1315" s="18" t="inlineStr">
        <is>
          <t>data/cobblemon/spawn_pool_world/0357_tropius.json</t>
        </is>
      </c>
      <c r="AN1315" s="18" t="inlineStr">
        <is>
          <t>tropius-3</t>
        </is>
      </c>
      <c r="AO1315" s="18" t="inlineStr">
        <is>
          <t>pokemon</t>
        </is>
      </c>
      <c r="AP1315" s="18" t="inlineStr">
        <is>
          <t>natural</t>
        </is>
      </c>
      <c r="AQ1315" s="18" t="inlineStr">
        <is>
          <t>{"biomes":["#aether:is_aether"],"maxSkyLight":15,"minSkyLight":8}</t>
        </is>
      </c>
      <c r="AR1315" s="18" t="inlineStr"/>
      <c r="AS1315" s="18" t="inlineStr"/>
      <c r="AT1315" s="19" t="inlineStr"/>
    </row>
    <row r="1316" ht="32" customHeight="1">
      <c r="A1316" s="18" t="inlineStr">
        <is>
          <t>0358_chimecho.json::chimecho-1::001</t>
        </is>
      </c>
      <c r="B1316" s="19" t="inlineStr">
        <is>
          <t>사용</t>
        </is>
      </c>
      <c r="C1316" s="18">
        <f>IF(OR(B1316&lt;&gt;AK1316,M1316&lt;&gt;L1316,O1316&lt;&gt;"",Q1316&lt;&gt;"",V1316&lt;&gt;1,Y1316&lt;&gt;"",AT1316&lt;&gt;""),"수정","원본")</f>
        <v/>
      </c>
      <c r="D1316" s="18" t="n">
        <v>358</v>
      </c>
      <c r="E1316" s="18" t="inlineStr">
        <is>
          <t>치렁</t>
        </is>
      </c>
      <c r="F1316" s="18" t="inlineStr">
        <is>
          <t>chimecho</t>
        </is>
      </c>
      <c r="G1316" s="18" t="inlineStr">
        <is>
          <t>chimecho</t>
        </is>
      </c>
      <c r="H1316" s="18" t="inlineStr"/>
      <c r="I1316" s="18" t="n">
        <v>3</v>
      </c>
      <c r="J1316" s="18" t="n"/>
      <c r="K1316" s="18" t="n">
        <v>3</v>
      </c>
      <c r="L1316" s="18" t="inlineStr">
        <is>
          <t>cobbleventure:generation_3</t>
        </is>
      </c>
      <c r="M1316" s="19" t="inlineStr">
        <is>
          <t>cobbleventure:generation_3</t>
        </is>
      </c>
      <c r="N1316" s="18" t="inlineStr">
        <is>
          <t>region_01</t>
        </is>
      </c>
      <c r="O1316" s="19" t="inlineStr"/>
      <c r="P1316" s="18" t="inlineStr">
        <is>
          <t>#cobblemon:is_forest; #cobblemon:is_mountain; #cobblemon:is_spooky; #cobblemon:is_taiga</t>
        </is>
      </c>
      <c r="Q1316" s="19" t="inlineStr"/>
      <c r="R1316" s="18">
        <f>IF(Q1316="",P1316,Q1316)</f>
        <v/>
      </c>
      <c r="S1316" s="18" t="inlineStr">
        <is>
          <t>#cobblemon:is_volcanic</t>
        </is>
      </c>
      <c r="T1316" s="18" t="inlineStr">
        <is>
          <t>uncommon</t>
        </is>
      </c>
      <c r="U1316" s="20" t="n">
        <v>0.32</v>
      </c>
      <c r="V1316" s="21" t="n">
        <v>1</v>
      </c>
      <c r="W1316" s="20">
        <f>IF(OR(U1316="",V1316=""),U1316,U1316*V1316)</f>
        <v/>
      </c>
      <c r="X1316" s="18" t="inlineStr">
        <is>
          <t>24-46</t>
        </is>
      </c>
      <c r="Y1316" s="19" t="inlineStr"/>
      <c r="Z1316" s="18">
        <f>IF(Y1316="",X1316,Y1316)</f>
        <v/>
      </c>
      <c r="AA1316" s="18" t="inlineStr">
        <is>
          <t>grounded</t>
        </is>
      </c>
      <c r="AB1316" s="18" t="inlineStr">
        <is>
          <t>night</t>
        </is>
      </c>
      <c r="AC1316" s="18" t="inlineStr"/>
      <c r="AD1316" s="18" t="inlineStr"/>
      <c r="AE1316" s="18" t="inlineStr"/>
      <c r="AF1316" s="18" t="inlineStr"/>
      <c r="AG1316" s="18" t="inlineStr"/>
      <c r="AH1316" s="18" t="inlineStr"/>
      <c r="AI1316" s="18" t="inlineStr"/>
      <c r="AJ1316" s="18" t="inlineStr">
        <is>
          <t>COBBLEVERSE 수정</t>
        </is>
      </c>
      <c r="AK1316" s="18" t="inlineStr">
        <is>
          <t>사용</t>
        </is>
      </c>
      <c r="AL1316" s="18" t="inlineStr">
        <is>
          <t>COBBLEVERSE 1.7.42 / DP v31</t>
        </is>
      </c>
      <c r="AM1316" s="18" t="inlineStr">
        <is>
          <t>data/cobblemon/spawn_pool_world/0358_chimecho.json</t>
        </is>
      </c>
      <c r="AN1316" s="18" t="inlineStr">
        <is>
          <t>chimecho-1</t>
        </is>
      </c>
      <c r="AO1316" s="18" t="inlineStr">
        <is>
          <t>pokemon</t>
        </is>
      </c>
      <c r="AP1316" s="18" t="inlineStr">
        <is>
          <t>natural</t>
        </is>
      </c>
      <c r="AQ1316" s="18" t="inlineStr">
        <is>
          <t>{"biomes":["#cobblemon:is_forest","#cobblemon:is_mountain","#cobblemon:is_spooky","#cobblemon:is_taiga"],"timeRange":"night"}</t>
        </is>
      </c>
      <c r="AR1316" s="18" t="inlineStr">
        <is>
          <t>{"biomes":["#cobblemon:is_volcanic"]}</t>
        </is>
      </c>
      <c r="AS1316" s="18" t="inlineStr"/>
      <c r="AT1316" s="19" t="inlineStr"/>
    </row>
    <row r="1317" ht="32" customHeight="1">
      <c r="A1317" s="18" t="inlineStr">
        <is>
          <t>0358_chimecho.json::chimecho-2::002</t>
        </is>
      </c>
      <c r="B1317" s="19" t="inlineStr">
        <is>
          <t>사용</t>
        </is>
      </c>
      <c r="C1317" s="18">
        <f>IF(OR(B1317&lt;&gt;AK1317,M1317&lt;&gt;L1317,O1317&lt;&gt;"",Q1317&lt;&gt;"",V1317&lt;&gt;1,Y1317&lt;&gt;"",AT1317&lt;&gt;""),"수정","원본")</f>
        <v/>
      </c>
      <c r="D1317" s="18" t="n">
        <v>358</v>
      </c>
      <c r="E1317" s="18" t="inlineStr">
        <is>
          <t>치렁</t>
        </is>
      </c>
      <c r="F1317" s="18" t="inlineStr">
        <is>
          <t>chimecho</t>
        </is>
      </c>
      <c r="G1317" s="18" t="inlineStr">
        <is>
          <t>chimecho</t>
        </is>
      </c>
      <c r="H1317" s="18" t="inlineStr"/>
      <c r="I1317" s="18" t="n">
        <v>3</v>
      </c>
      <c r="J1317" s="18" t="n"/>
      <c r="K1317" s="18" t="n">
        <v>3</v>
      </c>
      <c r="L1317" s="18" t="inlineStr">
        <is>
          <t>cobbleventure:generation_3</t>
        </is>
      </c>
      <c r="M1317" s="19" t="inlineStr">
        <is>
          <t>cobbleventure:generation_3</t>
        </is>
      </c>
      <c r="N1317" s="18" t="inlineStr"/>
      <c r="O1317" s="19" t="inlineStr"/>
      <c r="P1317" s="18" t="inlineStr">
        <is>
          <t>#cobblemon:is_magical</t>
        </is>
      </c>
      <c r="Q1317" s="19" t="inlineStr"/>
      <c r="R1317" s="18">
        <f>IF(Q1317="",P1317,Q1317)</f>
        <v/>
      </c>
      <c r="S1317" s="18" t="inlineStr"/>
      <c r="T1317" s="18" t="inlineStr">
        <is>
          <t>uncommon</t>
        </is>
      </c>
      <c r="U1317" s="20" t="n">
        <v>0.96</v>
      </c>
      <c r="V1317" s="21" t="n">
        <v>1</v>
      </c>
      <c r="W1317" s="20">
        <f>IF(OR(U1317="",V1317=""),U1317,U1317*V1317)</f>
        <v/>
      </c>
      <c r="X1317" s="18" t="inlineStr">
        <is>
          <t>24-46</t>
        </is>
      </c>
      <c r="Y1317" s="19" t="inlineStr"/>
      <c r="Z1317" s="18">
        <f>IF(Y1317="",X1317,Y1317)</f>
        <v/>
      </c>
      <c r="AA1317" s="18" t="inlineStr">
        <is>
          <t>grounded</t>
        </is>
      </c>
      <c r="AB1317" s="18" t="inlineStr">
        <is>
          <t>night</t>
        </is>
      </c>
      <c r="AC1317" s="18" t="inlineStr"/>
      <c r="AD1317" s="18" t="inlineStr"/>
      <c r="AE1317" s="18" t="inlineStr">
        <is>
          <t>sky 8-15</t>
        </is>
      </c>
      <c r="AF1317" s="18" t="inlineStr"/>
      <c r="AG1317" s="18" t="inlineStr"/>
      <c r="AH1317" s="18" t="inlineStr"/>
      <c r="AI1317" s="18" t="inlineStr"/>
      <c r="AJ1317" s="18" t="inlineStr">
        <is>
          <t>COBBLEVERSE 수정</t>
        </is>
      </c>
      <c r="AK1317" s="18" t="inlineStr">
        <is>
          <t>사용</t>
        </is>
      </c>
      <c r="AL1317" s="18" t="inlineStr">
        <is>
          <t>COBBLEVERSE 1.7.42 / DP v31</t>
        </is>
      </c>
      <c r="AM1317" s="18" t="inlineStr">
        <is>
          <t>data/cobblemon/spawn_pool_world/0358_chimecho.json</t>
        </is>
      </c>
      <c r="AN1317" s="18" t="inlineStr">
        <is>
          <t>chimecho-2</t>
        </is>
      </c>
      <c r="AO1317" s="18" t="inlineStr">
        <is>
          <t>pokemon</t>
        </is>
      </c>
      <c r="AP1317" s="18" t="inlineStr">
        <is>
          <t>natural</t>
        </is>
      </c>
      <c r="AQ1317" s="18" t="inlineStr">
        <is>
          <t>{"biomes":["#cobblemon:is_magical"],"maxSkyLight":15,"minSkyLight":8,"timeRange":"night"}</t>
        </is>
      </c>
      <c r="AR1317" s="18" t="inlineStr"/>
      <c r="AS1317" s="18" t="inlineStr"/>
      <c r="AT1317" s="19" t="inlineStr"/>
    </row>
    <row r="1318" ht="32" customHeight="1">
      <c r="A1318" s="18" t="inlineStr">
        <is>
          <t>0358_chimecho.json::chimecho-3::003</t>
        </is>
      </c>
      <c r="B1318" s="19" t="inlineStr">
        <is>
          <t>사용</t>
        </is>
      </c>
      <c r="C1318" s="18">
        <f>IF(OR(B1318&lt;&gt;AK1318,M1318&lt;&gt;L1318,O1318&lt;&gt;"",Q1318&lt;&gt;"",V1318&lt;&gt;1,Y1318&lt;&gt;"",AT1318&lt;&gt;""),"수정","원본")</f>
        <v/>
      </c>
      <c r="D1318" s="18" t="n">
        <v>358</v>
      </c>
      <c r="E1318" s="18" t="inlineStr">
        <is>
          <t>치렁</t>
        </is>
      </c>
      <c r="F1318" s="18" t="inlineStr">
        <is>
          <t>chimecho</t>
        </is>
      </c>
      <c r="G1318" s="18" t="inlineStr">
        <is>
          <t>chimecho</t>
        </is>
      </c>
      <c r="H1318" s="18" t="inlineStr"/>
      <c r="I1318" s="18" t="n">
        <v>3</v>
      </c>
      <c r="J1318" s="18" t="n"/>
      <c r="K1318" s="18" t="n">
        <v>3</v>
      </c>
      <c r="L1318" s="18" t="inlineStr">
        <is>
          <t>cobbleventure:generation_3</t>
        </is>
      </c>
      <c r="M1318" s="19" t="inlineStr">
        <is>
          <t>cobbleventure:generation_3</t>
        </is>
      </c>
      <c r="N1318" s="18" t="inlineStr">
        <is>
          <t>region_01; region_02</t>
        </is>
      </c>
      <c r="O1318" s="19" t="inlineStr"/>
      <c r="P1318" s="18" t="inlineStr">
        <is>
          <t>#cobblemon:is_overworld</t>
        </is>
      </c>
      <c r="Q1318" s="19" t="inlineStr"/>
      <c r="R1318" s="18">
        <f>IF(Q1318="",P1318,Q1318)</f>
        <v/>
      </c>
      <c r="S1318" s="18" t="inlineStr"/>
      <c r="T1318" s="18" t="inlineStr">
        <is>
          <t>uncommon</t>
        </is>
      </c>
      <c r="U1318" s="20" t="n">
        <v>16</v>
      </c>
      <c r="V1318" s="21" t="n">
        <v>1</v>
      </c>
      <c r="W1318" s="20">
        <f>IF(OR(U1318="",V1318=""),U1318,U1318*V1318)</f>
        <v/>
      </c>
      <c r="X1318" s="18" t="inlineStr">
        <is>
          <t>24-46</t>
        </is>
      </c>
      <c r="Y1318" s="19" t="inlineStr"/>
      <c r="Z1318" s="18">
        <f>IF(Y1318="",X1318,Y1318)</f>
        <v/>
      </c>
      <c r="AA1318" s="18" t="inlineStr">
        <is>
          <t>grounded</t>
        </is>
      </c>
      <c r="AB1318" s="18" t="inlineStr">
        <is>
          <t>night</t>
        </is>
      </c>
      <c r="AC1318" s="18" t="inlineStr"/>
      <c r="AD1318" s="18" t="inlineStr"/>
      <c r="AE1318" s="18" t="inlineStr"/>
      <c r="AF1318" s="18" t="inlineStr"/>
      <c r="AG1318" s="18" t="inlineStr"/>
      <c r="AH1318" s="18" t="inlineStr">
        <is>
          <t>주변=minecraft:bell</t>
        </is>
      </c>
      <c r="AI1318" s="18" t="inlineStr"/>
      <c r="AJ1318" s="18" t="inlineStr">
        <is>
          <t>COBBLEVERSE 수정</t>
        </is>
      </c>
      <c r="AK1318" s="18" t="inlineStr">
        <is>
          <t>사용</t>
        </is>
      </c>
      <c r="AL1318" s="18" t="inlineStr">
        <is>
          <t>COBBLEVERSE 1.7.42 / DP v31</t>
        </is>
      </c>
      <c r="AM1318" s="18" t="inlineStr">
        <is>
          <t>data/cobblemon/spawn_pool_world/0358_chimecho.json</t>
        </is>
      </c>
      <c r="AN1318" s="18" t="inlineStr">
        <is>
          <t>chimecho-3</t>
        </is>
      </c>
      <c r="AO1318" s="18" t="inlineStr">
        <is>
          <t>pokemon</t>
        </is>
      </c>
      <c r="AP1318" s="18" t="inlineStr"/>
      <c r="AQ1318" s="18" t="inlineStr">
        <is>
          <t>{"biomes":["#cobblemon:is_overworld"],"neededNearbyBlocks":["minecraft:bell"],"timeRange":"night"}</t>
        </is>
      </c>
      <c r="AR1318" s="18" t="inlineStr"/>
      <c r="AS1318" s="18" t="inlineStr"/>
      <c r="AT1318" s="19" t="inlineStr"/>
    </row>
    <row r="1319" ht="32" customHeight="1">
      <c r="A1319" s="18" t="inlineStr">
        <is>
          <t>0359_absol.json::absol-1::001</t>
        </is>
      </c>
      <c r="B1319" s="19" t="inlineStr">
        <is>
          <t>사용</t>
        </is>
      </c>
      <c r="C1319" s="18">
        <f>IF(OR(B1319&lt;&gt;AK1319,M1319&lt;&gt;L1319,O1319&lt;&gt;"",Q1319&lt;&gt;"",V1319&lt;&gt;1,Y1319&lt;&gt;"",AT1319&lt;&gt;""),"수정","원본")</f>
        <v/>
      </c>
      <c r="D1319" s="18" t="n">
        <v>359</v>
      </c>
      <c r="E1319" s="18" t="inlineStr">
        <is>
          <t>앱솔</t>
        </is>
      </c>
      <c r="F1319" s="18" t="inlineStr">
        <is>
          <t>absol</t>
        </is>
      </c>
      <c r="G1319" s="18" t="inlineStr">
        <is>
          <t>absol</t>
        </is>
      </c>
      <c r="H1319" s="18" t="inlineStr"/>
      <c r="I1319" s="18" t="n">
        <v>3</v>
      </c>
      <c r="J1319" s="18" t="n"/>
      <c r="K1319" s="18" t="n">
        <v>3</v>
      </c>
      <c r="L1319" s="18" t="inlineStr">
        <is>
          <t>cobbleventure:generation_3</t>
        </is>
      </c>
      <c r="M1319" s="19" t="inlineStr">
        <is>
          <t>cobbleventure:generation_3</t>
        </is>
      </c>
      <c r="N1319" s="18" t="inlineStr"/>
      <c r="O1319" s="19" t="inlineStr"/>
      <c r="P1319" s="18" t="inlineStr">
        <is>
          <t>#cobblemon:is_mountain; #cobblemon:is_snowy_forest; #cobblemon:is_taiga</t>
        </is>
      </c>
      <c r="Q1319" s="19" t="inlineStr"/>
      <c r="R1319" s="18">
        <f>IF(Q1319="",P1319,Q1319)</f>
        <v/>
      </c>
      <c r="S1319" s="18" t="inlineStr">
        <is>
          <t>#cobblemon:is_volcanic</t>
        </is>
      </c>
      <c r="T1319" s="18" t="inlineStr">
        <is>
          <t>rare</t>
        </is>
      </c>
      <c r="U1319" s="20" t="n">
        <v>10</v>
      </c>
      <c r="V1319" s="21" t="n">
        <v>1</v>
      </c>
      <c r="W1319" s="20">
        <f>IF(OR(U1319="",V1319=""),U1319,U1319*V1319)</f>
        <v/>
      </c>
      <c r="X1319" s="18" t="inlineStr">
        <is>
          <t>22-47</t>
        </is>
      </c>
      <c r="Y1319" s="19" t="inlineStr"/>
      <c r="Z1319" s="18">
        <f>IF(Y1319="",X1319,Y1319)</f>
        <v/>
      </c>
      <c r="AA1319" s="18" t="inlineStr">
        <is>
          <t>grounded</t>
        </is>
      </c>
      <c r="AB1319" s="18" t="inlineStr"/>
      <c r="AC1319" s="18" t="inlineStr"/>
      <c r="AD1319" s="18" t="inlineStr"/>
      <c r="AE1319" s="18" t="inlineStr">
        <is>
          <t>sky 8-15</t>
        </is>
      </c>
      <c r="AF1319" s="18" t="inlineStr"/>
      <c r="AG1319" s="18" t="inlineStr"/>
      <c r="AH1319" s="18" t="inlineStr"/>
      <c r="AI1319" s="18" t="inlineStr"/>
      <c r="AJ1319" s="18" t="inlineStr">
        <is>
          <t>Cobblemon 동일</t>
        </is>
      </c>
      <c r="AK1319" s="18" t="inlineStr">
        <is>
          <t>사용</t>
        </is>
      </c>
      <c r="AL1319" s="18" t="inlineStr">
        <is>
          <t>COBBLEVERSE 1.7.42 / DP v31</t>
        </is>
      </c>
      <c r="AM1319" s="18" t="inlineStr">
        <is>
          <t>data/cobblemon/spawn_pool_world/0359_absol.json</t>
        </is>
      </c>
      <c r="AN1319" s="18" t="inlineStr">
        <is>
          <t>absol-1</t>
        </is>
      </c>
      <c r="AO1319" s="18" t="inlineStr">
        <is>
          <t>pokemon</t>
        </is>
      </c>
      <c r="AP1319" s="18" t="inlineStr">
        <is>
          <t>natural; wild</t>
        </is>
      </c>
      <c r="AQ1319" s="18" t="inlineStr">
        <is>
          <t>{"biomes":["#cobblemon:is_mountain","#cobblemon:is_snowy_forest","#cobblemon:is_taiga"],"maxSkyLight":15,"minSkyLight":8}</t>
        </is>
      </c>
      <c r="AR1319" s="18" t="inlineStr">
        <is>
          <t>{"biomes":["#cobblemon:is_volcanic"]}</t>
        </is>
      </c>
      <c r="AS1319" s="18" t="inlineStr"/>
      <c r="AT1319" s="19" t="inlineStr"/>
    </row>
    <row r="1320" ht="32" customHeight="1">
      <c r="A1320" s="18" t="inlineStr">
        <is>
          <t>0360_wynaut.json::wynaut-1::001</t>
        </is>
      </c>
      <c r="B1320" s="19" t="inlineStr">
        <is>
          <t>사용</t>
        </is>
      </c>
      <c r="C1320" s="18">
        <f>IF(OR(B1320&lt;&gt;AK1320,M1320&lt;&gt;L1320,O1320&lt;&gt;"",Q1320&lt;&gt;"",V1320&lt;&gt;1,Y1320&lt;&gt;"",AT1320&lt;&gt;""),"수정","원본")</f>
        <v/>
      </c>
      <c r="D1320" s="18" t="n">
        <v>360</v>
      </c>
      <c r="E1320" s="18" t="inlineStr">
        <is>
          <t>마자</t>
        </is>
      </c>
      <c r="F1320" s="18" t="inlineStr">
        <is>
          <t>wynaut</t>
        </is>
      </c>
      <c r="G1320" s="18" t="inlineStr">
        <is>
          <t>wynaut</t>
        </is>
      </c>
      <c r="H1320" s="18" t="inlineStr"/>
      <c r="I1320" s="18" t="n">
        <v>3</v>
      </c>
      <c r="J1320" s="18" t="n"/>
      <c r="K1320" s="18" t="n">
        <v>3</v>
      </c>
      <c r="L1320" s="18" t="inlineStr">
        <is>
          <t>cobbleventure:generation_3</t>
        </is>
      </c>
      <c r="M1320" s="19" t="inlineStr">
        <is>
          <t>cobbleventure:generation_3</t>
        </is>
      </c>
      <c r="N1320" s="18" t="inlineStr">
        <is>
          <t>region_01</t>
        </is>
      </c>
      <c r="O1320" s="19" t="inlineStr"/>
      <c r="P1320" s="18" t="inlineStr">
        <is>
          <t>#cobblemon:is_plains</t>
        </is>
      </c>
      <c r="Q1320" s="19" t="inlineStr"/>
      <c r="R1320" s="18">
        <f>IF(Q1320="",P1320,Q1320)</f>
        <v/>
      </c>
      <c r="S1320" s="18" t="inlineStr">
        <is>
          <t>#cobblemon:is_freezing</t>
        </is>
      </c>
      <c r="T1320" s="18" t="inlineStr">
        <is>
          <t>rare</t>
        </is>
      </c>
      <c r="U1320" s="20" t="n">
        <v>7.5</v>
      </c>
      <c r="V1320" s="21" t="n">
        <v>1</v>
      </c>
      <c r="W1320" s="20">
        <f>IF(OR(U1320="",V1320=""),U1320,U1320*V1320)</f>
        <v/>
      </c>
      <c r="X1320" s="18" t="inlineStr">
        <is>
          <t>1-26</t>
        </is>
      </c>
      <c r="Y1320" s="19" t="inlineStr"/>
      <c r="Z1320" s="18">
        <f>IF(Y1320="",X1320,Y1320)</f>
        <v/>
      </c>
      <c r="AA1320" s="18" t="inlineStr">
        <is>
          <t>grounded</t>
        </is>
      </c>
      <c r="AB1320" s="18" t="inlineStr"/>
      <c r="AC1320" s="18" t="inlineStr"/>
      <c r="AD1320" s="18" t="inlineStr"/>
      <c r="AE1320" s="18" t="inlineStr">
        <is>
          <t>sky 8-15</t>
        </is>
      </c>
      <c r="AF1320" s="18" t="inlineStr"/>
      <c r="AG1320" s="18" t="inlineStr"/>
      <c r="AH1320" s="18" t="inlineStr"/>
      <c r="AI1320" s="18" t="inlineStr"/>
      <c r="AJ1320" s="18" t="inlineStr">
        <is>
          <t>COBBLEVERSE 수정</t>
        </is>
      </c>
      <c r="AK1320" s="18" t="inlineStr">
        <is>
          <t>사용</t>
        </is>
      </c>
      <c r="AL1320" s="18" t="inlineStr">
        <is>
          <t>COBBLEVERSE 1.7.42 / DP v31</t>
        </is>
      </c>
      <c r="AM1320" s="18" t="inlineStr">
        <is>
          <t>data/cobblemon/spawn_pool_world/0360_wynaut.json</t>
        </is>
      </c>
      <c r="AN1320" s="18" t="inlineStr">
        <is>
          <t>wynaut-1</t>
        </is>
      </c>
      <c r="AO1320" s="18" t="inlineStr">
        <is>
          <t>pokemon</t>
        </is>
      </c>
      <c r="AP1320" s="18" t="inlineStr">
        <is>
          <t>natural</t>
        </is>
      </c>
      <c r="AQ1320" s="18" t="inlineStr">
        <is>
          <t>{"biomes":["#cobblemon:is_plains"],"maxSkyLight":15,"minSkyLight":8}</t>
        </is>
      </c>
      <c r="AR1320" s="18" t="inlineStr">
        <is>
          <t>{"biomes":["#cobblemon:is_freezing"]}</t>
        </is>
      </c>
      <c r="AS1320" s="18" t="inlineStr"/>
      <c r="AT1320" s="19" t="inlineStr"/>
    </row>
    <row r="1321" ht="32" customHeight="1">
      <c r="A1321" s="18" t="inlineStr">
        <is>
          <t>0361_snorunt.json::snorunt-1::001</t>
        </is>
      </c>
      <c r="B1321" s="19" t="inlineStr">
        <is>
          <t>사용</t>
        </is>
      </c>
      <c r="C1321" s="18">
        <f>IF(OR(B1321&lt;&gt;AK1321,M1321&lt;&gt;L1321,O1321&lt;&gt;"",Q1321&lt;&gt;"",V1321&lt;&gt;1,Y1321&lt;&gt;"",AT1321&lt;&gt;""),"수정","원본")</f>
        <v/>
      </c>
      <c r="D1321" s="18" t="n">
        <v>361</v>
      </c>
      <c r="E1321" s="18" t="inlineStr">
        <is>
          <t>눈꼬마</t>
        </is>
      </c>
      <c r="F1321" s="18" t="inlineStr">
        <is>
          <t>snorunt</t>
        </is>
      </c>
      <c r="G1321" s="18" t="inlineStr">
        <is>
          <t>snorunt</t>
        </is>
      </c>
      <c r="H1321" s="18" t="inlineStr"/>
      <c r="I1321" s="18" t="n">
        <v>3</v>
      </c>
      <c r="J1321" s="18" t="n"/>
      <c r="K1321" s="18" t="n">
        <v>3</v>
      </c>
      <c r="L1321" s="18" t="inlineStr">
        <is>
          <t>cobbleventure:generation_3</t>
        </is>
      </c>
      <c r="M1321" s="19" t="inlineStr">
        <is>
          <t>cobbleventure:generation_3</t>
        </is>
      </c>
      <c r="N1321" s="18" t="inlineStr"/>
      <c r="O1321" s="19" t="inlineStr"/>
      <c r="P1321" s="18" t="inlineStr">
        <is>
          <t>#cobblemon:is_glacial</t>
        </is>
      </c>
      <c r="Q1321" s="19" t="inlineStr"/>
      <c r="R1321" s="18">
        <f>IF(Q1321="",P1321,Q1321)</f>
        <v/>
      </c>
      <c r="S1321" s="18" t="inlineStr"/>
      <c r="T1321" s="18" t="inlineStr">
        <is>
          <t>uncommon</t>
        </is>
      </c>
      <c r="U1321" s="20" t="n">
        <v>1.68</v>
      </c>
      <c r="V1321" s="21" t="n">
        <v>1</v>
      </c>
      <c r="W1321" s="20">
        <f>IF(OR(U1321="",V1321=""),U1321,U1321*V1321)</f>
        <v/>
      </c>
      <c r="X1321" s="18" t="inlineStr">
        <is>
          <t>5-30</t>
        </is>
      </c>
      <c r="Y1321" s="19" t="inlineStr"/>
      <c r="Z1321" s="18">
        <f>IF(Y1321="",X1321,Y1321)</f>
        <v/>
      </c>
      <c r="AA1321" s="18" t="inlineStr">
        <is>
          <t>grounded</t>
        </is>
      </c>
      <c r="AB1321" s="18" t="inlineStr"/>
      <c r="AC1321" s="18" t="inlineStr"/>
      <c r="AD1321" s="18" t="inlineStr"/>
      <c r="AE1321" s="18" t="inlineStr">
        <is>
          <t>sky 8-15</t>
        </is>
      </c>
      <c r="AF1321" s="18" t="inlineStr"/>
      <c r="AG1321" s="18" t="inlineStr"/>
      <c r="AH1321" s="18" t="inlineStr"/>
      <c r="AI1321" s="18" t="inlineStr"/>
      <c r="AJ1321" s="18" t="inlineStr">
        <is>
          <t>Cobblemon 동일</t>
        </is>
      </c>
      <c r="AK1321" s="18" t="inlineStr">
        <is>
          <t>사용</t>
        </is>
      </c>
      <c r="AL1321" s="18" t="inlineStr">
        <is>
          <t>COBBLEVERSE 1.7.42 / DP v31</t>
        </is>
      </c>
      <c r="AM1321" s="18" t="inlineStr">
        <is>
          <t>data/cobblemon/spawn_pool_world/0361_snorunt.json</t>
        </is>
      </c>
      <c r="AN1321" s="18" t="inlineStr">
        <is>
          <t>snorunt-1</t>
        </is>
      </c>
      <c r="AO1321" s="18" t="inlineStr">
        <is>
          <t>pokemon</t>
        </is>
      </c>
      <c r="AP1321" s="18" t="inlineStr">
        <is>
          <t>natural; wild</t>
        </is>
      </c>
      <c r="AQ1321" s="18" t="inlineStr">
        <is>
          <t>{"biomes":["#cobblemon:is_glacial"],"maxSkyLight":15,"minSkyLight":8}</t>
        </is>
      </c>
      <c r="AR1321" s="18" t="inlineStr"/>
      <c r="AS1321" s="18" t="inlineStr"/>
      <c r="AT1321" s="19" t="inlineStr"/>
    </row>
    <row r="1322" ht="32" customHeight="1">
      <c r="A1322" s="18" t="inlineStr">
        <is>
          <t>0361_snorunt.json::snorunt-2::002</t>
        </is>
      </c>
      <c r="B1322" s="19" t="inlineStr">
        <is>
          <t>사용</t>
        </is>
      </c>
      <c r="C1322" s="18">
        <f>IF(OR(B1322&lt;&gt;AK1322,M1322&lt;&gt;L1322,O1322&lt;&gt;"",Q1322&lt;&gt;"",V1322&lt;&gt;1,Y1322&lt;&gt;"",AT1322&lt;&gt;""),"수정","원본")</f>
        <v/>
      </c>
      <c r="D1322" s="18" t="n">
        <v>361</v>
      </c>
      <c r="E1322" s="18" t="inlineStr">
        <is>
          <t>눈꼬마</t>
        </is>
      </c>
      <c r="F1322" s="18" t="inlineStr">
        <is>
          <t>snorunt</t>
        </is>
      </c>
      <c r="G1322" s="18" t="inlineStr">
        <is>
          <t>snorunt</t>
        </is>
      </c>
      <c r="H1322" s="18" t="inlineStr"/>
      <c r="I1322" s="18" t="n">
        <v>3</v>
      </c>
      <c r="J1322" s="18" t="n"/>
      <c r="K1322" s="18" t="n">
        <v>3</v>
      </c>
      <c r="L1322" s="18" t="inlineStr">
        <is>
          <t>cobbleventure:generation_3</t>
        </is>
      </c>
      <c r="M1322" s="19" t="inlineStr">
        <is>
          <t>cobbleventure:generation_3</t>
        </is>
      </c>
      <c r="N1322" s="18" t="inlineStr"/>
      <c r="O1322" s="19" t="inlineStr"/>
      <c r="P1322" s="18" t="inlineStr">
        <is>
          <t>#cobblemon:is_snowy; #cobblemon:is_tundra</t>
        </is>
      </c>
      <c r="Q1322" s="19" t="inlineStr"/>
      <c r="R1322" s="18">
        <f>IF(Q1322="",P1322,Q1322)</f>
        <v/>
      </c>
      <c r="S1322" s="18" t="inlineStr"/>
      <c r="T1322" s="18" t="inlineStr">
        <is>
          <t>uncommon</t>
        </is>
      </c>
      <c r="U1322" s="20" t="n">
        <v>8.4</v>
      </c>
      <c r="V1322" s="21" t="n">
        <v>1</v>
      </c>
      <c r="W1322" s="20">
        <f>IF(OR(U1322="",V1322=""),U1322,U1322*V1322)</f>
        <v/>
      </c>
      <c r="X1322" s="18" t="inlineStr">
        <is>
          <t>5-30</t>
        </is>
      </c>
      <c r="Y1322" s="19" t="inlineStr"/>
      <c r="Z1322" s="18">
        <f>IF(Y1322="",X1322,Y1322)</f>
        <v/>
      </c>
      <c r="AA1322" s="18" t="inlineStr">
        <is>
          <t>grounded</t>
        </is>
      </c>
      <c r="AB1322" s="18" t="inlineStr"/>
      <c r="AC1322" s="18" t="inlineStr"/>
      <c r="AD1322" s="18" t="inlineStr">
        <is>
          <t>minY=0</t>
        </is>
      </c>
      <c r="AE1322" s="18" t="inlineStr">
        <is>
          <t>sky 0-7</t>
        </is>
      </c>
      <c r="AF1322" s="18" t="inlineStr"/>
      <c r="AG1322" s="18" t="inlineStr"/>
      <c r="AH1322" s="18" t="inlineStr"/>
      <c r="AI1322" s="18" t="inlineStr"/>
      <c r="AJ1322" s="18" t="inlineStr">
        <is>
          <t>Cobblemon 동일</t>
        </is>
      </c>
      <c r="AK1322" s="18" t="inlineStr">
        <is>
          <t>사용</t>
        </is>
      </c>
      <c r="AL1322" s="18" t="inlineStr">
        <is>
          <t>COBBLEVERSE 1.7.42 / DP v31</t>
        </is>
      </c>
      <c r="AM1322" s="18" t="inlineStr">
        <is>
          <t>data/cobblemon/spawn_pool_world/0361_snorunt.json</t>
        </is>
      </c>
      <c r="AN1322" s="18" t="inlineStr">
        <is>
          <t>snorunt-2</t>
        </is>
      </c>
      <c r="AO1322" s="18" t="inlineStr">
        <is>
          <t>pokemon</t>
        </is>
      </c>
      <c r="AP1322" s="18" t="inlineStr">
        <is>
          <t>natural</t>
        </is>
      </c>
      <c r="AQ1322" s="18" t="inlineStr">
        <is>
          <t>{"biomes":["#cobblemon:is_snowy","#cobblemon:is_tundra"],"maxSkyLight":7,"minSkyLight":0,"minY":0}</t>
        </is>
      </c>
      <c r="AR1322" s="18" t="inlineStr"/>
      <c r="AS1322" s="18" t="inlineStr"/>
      <c r="AT1322" s="19" t="inlineStr"/>
    </row>
    <row r="1323" ht="32" customHeight="1">
      <c r="A1323" s="18" t="inlineStr">
        <is>
          <t>0361_snorunt.json::snorunt-3::003</t>
        </is>
      </c>
      <c r="B1323" s="19" t="inlineStr">
        <is>
          <t>사용</t>
        </is>
      </c>
      <c r="C1323" s="18">
        <f>IF(OR(B1323&lt;&gt;AK1323,M1323&lt;&gt;L1323,O1323&lt;&gt;"",Q1323&lt;&gt;"",V1323&lt;&gt;1,Y1323&lt;&gt;"",AT1323&lt;&gt;""),"수정","원본")</f>
        <v/>
      </c>
      <c r="D1323" s="18" t="n">
        <v>361</v>
      </c>
      <c r="E1323" s="18" t="inlineStr">
        <is>
          <t>눈꼬마</t>
        </is>
      </c>
      <c r="F1323" s="18" t="inlineStr">
        <is>
          <t>snorunt</t>
        </is>
      </c>
      <c r="G1323" s="18" t="inlineStr">
        <is>
          <t>snorunt</t>
        </is>
      </c>
      <c r="H1323" s="18" t="inlineStr"/>
      <c r="I1323" s="18" t="n">
        <v>3</v>
      </c>
      <c r="J1323" s="18" t="n"/>
      <c r="K1323" s="18" t="n">
        <v>3</v>
      </c>
      <c r="L1323" s="18" t="inlineStr">
        <is>
          <t>cobbleventure:generation_3</t>
        </is>
      </c>
      <c r="M1323" s="19" t="inlineStr">
        <is>
          <t>cobbleventure:generation_3</t>
        </is>
      </c>
      <c r="N1323" s="18" t="inlineStr">
        <is>
          <t>region_01; region_02</t>
        </is>
      </c>
      <c r="O1323" s="19" t="inlineStr"/>
      <c r="P1323" s="18" t="inlineStr">
        <is>
          <t>#cobblemon:is_overworld</t>
        </is>
      </c>
      <c r="Q1323" s="19" t="inlineStr"/>
      <c r="R1323" s="18">
        <f>IF(Q1323="",P1323,Q1323)</f>
        <v/>
      </c>
      <c r="S1323" s="18" t="inlineStr"/>
      <c r="T1323" s="18" t="inlineStr">
        <is>
          <t>common</t>
        </is>
      </c>
      <c r="U1323" s="20" t="n">
        <v>9.199999999999999</v>
      </c>
      <c r="V1323" s="21" t="n">
        <v>1</v>
      </c>
      <c r="W1323" s="20">
        <f>IF(OR(U1323="",V1323=""),U1323,U1323*V1323)</f>
        <v/>
      </c>
      <c r="X1323" s="18" t="inlineStr">
        <is>
          <t>5-30</t>
        </is>
      </c>
      <c r="Y1323" s="19" t="inlineStr"/>
      <c r="Z1323" s="18">
        <f>IF(Y1323="",X1323,Y1323)</f>
        <v/>
      </c>
      <c r="AA1323" s="18" t="inlineStr">
        <is>
          <t>grounded</t>
        </is>
      </c>
      <c r="AB1323" s="18" t="inlineStr"/>
      <c r="AC1323" s="18" t="inlineStr"/>
      <c r="AD1323" s="18" t="inlineStr"/>
      <c r="AE1323" s="18" t="inlineStr">
        <is>
          <t>sky 1-15</t>
        </is>
      </c>
      <c r="AF1323" s="18" t="inlineStr"/>
      <c r="AG1323" s="18" t="inlineStr">
        <is>
          <t>minecraft:igloo</t>
        </is>
      </c>
      <c r="AH1323" s="18" t="inlineStr"/>
      <c r="AI1323" s="18" t="inlineStr"/>
      <c r="AJ1323" s="18" t="inlineStr">
        <is>
          <t>Cobblemon 동일</t>
        </is>
      </c>
      <c r="AK1323" s="18" t="inlineStr">
        <is>
          <t>사용</t>
        </is>
      </c>
      <c r="AL1323" s="18" t="inlineStr">
        <is>
          <t>COBBLEVERSE 1.7.42 / DP v31</t>
        </is>
      </c>
      <c r="AM1323" s="18" t="inlineStr">
        <is>
          <t>data/cobblemon/spawn_pool_world/0361_snorunt.json</t>
        </is>
      </c>
      <c r="AN1323" s="18" t="inlineStr">
        <is>
          <t>snorunt-3</t>
        </is>
      </c>
      <c r="AO1323" s="18" t="inlineStr">
        <is>
          <t>pokemon</t>
        </is>
      </c>
      <c r="AP1323" s="18" t="inlineStr">
        <is>
          <t>natural</t>
        </is>
      </c>
      <c r="AQ1323" s="18" t="inlineStr">
        <is>
          <t>{"biomes":["#cobblemon:is_overworld"],"maxSkyLight":15,"minSkyLight":1,"structures":["minecraft:igloo"]}</t>
        </is>
      </c>
      <c r="AR1323" s="18" t="inlineStr"/>
      <c r="AS1323" s="18" t="inlineStr"/>
      <c r="AT1323" s="19" t="inlineStr"/>
    </row>
    <row r="1324" ht="32" customHeight="1">
      <c r="A1324" s="18" t="inlineStr">
        <is>
          <t>0361_snorunt.json::snorunt-4::004</t>
        </is>
      </c>
      <c r="B1324" s="19" t="inlineStr">
        <is>
          <t>사용</t>
        </is>
      </c>
      <c r="C1324" s="18">
        <f>IF(OR(B1324&lt;&gt;AK1324,M1324&lt;&gt;L1324,O1324&lt;&gt;"",Q1324&lt;&gt;"",V1324&lt;&gt;1,Y1324&lt;&gt;"",AT1324&lt;&gt;""),"수정","원본")</f>
        <v/>
      </c>
      <c r="D1324" s="18" t="n">
        <v>361</v>
      </c>
      <c r="E1324" s="18" t="inlineStr">
        <is>
          <t>눈꼬마</t>
        </is>
      </c>
      <c r="F1324" s="18" t="inlineStr">
        <is>
          <t>snorunt</t>
        </is>
      </c>
      <c r="G1324" s="18" t="inlineStr">
        <is>
          <t>snorunt</t>
        </is>
      </c>
      <c r="H1324" s="18" t="inlineStr"/>
      <c r="I1324" s="18" t="n">
        <v>3</v>
      </c>
      <c r="J1324" s="18" t="n"/>
      <c r="K1324" s="18" t="n">
        <v>3</v>
      </c>
      <c r="L1324" s="18" t="inlineStr">
        <is>
          <t>cobbleventure:generation_3</t>
        </is>
      </c>
      <c r="M1324" s="19" t="inlineStr">
        <is>
          <t>cobbleventure:generation_3</t>
        </is>
      </c>
      <c r="N1324" s="18" t="inlineStr"/>
      <c r="O1324" s="19" t="inlineStr"/>
      <c r="P1324" s="18" t="inlineStr">
        <is>
          <t>#cobblemon:nether/is_frozen</t>
        </is>
      </c>
      <c r="Q1324" s="19" t="inlineStr"/>
      <c r="R1324" s="18">
        <f>IF(Q1324="",P1324,Q1324)</f>
        <v/>
      </c>
      <c r="S1324" s="18" t="inlineStr"/>
      <c r="T1324" s="18" t="inlineStr">
        <is>
          <t>uncommon</t>
        </is>
      </c>
      <c r="U1324" s="20" t="n">
        <v>8.4</v>
      </c>
      <c r="V1324" s="21" t="n">
        <v>1</v>
      </c>
      <c r="W1324" s="20">
        <f>IF(OR(U1324="",V1324=""),U1324,U1324*V1324)</f>
        <v/>
      </c>
      <c r="X1324" s="18" t="inlineStr">
        <is>
          <t>5-30</t>
        </is>
      </c>
      <c r="Y1324" s="19" t="inlineStr"/>
      <c r="Z1324" s="18">
        <f>IF(Y1324="",X1324,Y1324)</f>
        <v/>
      </c>
      <c r="AA1324" s="18" t="inlineStr">
        <is>
          <t>grounded</t>
        </is>
      </c>
      <c r="AB1324" s="18" t="inlineStr"/>
      <c r="AC1324" s="18" t="inlineStr"/>
      <c r="AD1324" s="18" t="inlineStr"/>
      <c r="AE1324" s="18" t="inlineStr"/>
      <c r="AF1324" s="18" t="inlineStr"/>
      <c r="AG1324" s="18" t="inlineStr"/>
      <c r="AH1324" s="18" t="inlineStr"/>
      <c r="AI1324" s="18" t="inlineStr"/>
      <c r="AJ1324" s="18" t="inlineStr">
        <is>
          <t>Cobblemon 동일</t>
        </is>
      </c>
      <c r="AK1324" s="18" t="inlineStr">
        <is>
          <t>사용</t>
        </is>
      </c>
      <c r="AL1324" s="18" t="inlineStr">
        <is>
          <t>COBBLEVERSE 1.7.42 / DP v31</t>
        </is>
      </c>
      <c r="AM1324" s="18" t="inlineStr">
        <is>
          <t>data/cobblemon/spawn_pool_world/0361_snorunt.json</t>
        </is>
      </c>
      <c r="AN1324" s="18" t="inlineStr">
        <is>
          <t>snorunt-4</t>
        </is>
      </c>
      <c r="AO1324" s="18" t="inlineStr">
        <is>
          <t>pokemon</t>
        </is>
      </c>
      <c r="AP1324" s="18" t="inlineStr">
        <is>
          <t>natural</t>
        </is>
      </c>
      <c r="AQ1324" s="18" t="inlineStr">
        <is>
          <t>{"biomes":["#cobblemon:nether/is_frozen"]}</t>
        </is>
      </c>
      <c r="AR1324" s="18" t="inlineStr"/>
      <c r="AS1324" s="18" t="inlineStr"/>
      <c r="AT1324" s="19" t="inlineStr"/>
    </row>
    <row r="1325" ht="32" customHeight="1">
      <c r="A1325" s="18" t="inlineStr">
        <is>
          <t>0362_glalie.json::glalie-1::001</t>
        </is>
      </c>
      <c r="B1325" s="19" t="inlineStr">
        <is>
          <t>사용</t>
        </is>
      </c>
      <c r="C1325" s="18">
        <f>IF(OR(B1325&lt;&gt;AK1325,M1325&lt;&gt;L1325,O1325&lt;&gt;"",Q1325&lt;&gt;"",V1325&lt;&gt;1,Y1325&lt;&gt;"",AT1325&lt;&gt;""),"수정","원본")</f>
        <v/>
      </c>
      <c r="D1325" s="18" t="n">
        <v>362</v>
      </c>
      <c r="E1325" s="18" t="inlineStr">
        <is>
          <t>얼음귀신</t>
        </is>
      </c>
      <c r="F1325" s="18" t="inlineStr">
        <is>
          <t>glalie</t>
        </is>
      </c>
      <c r="G1325" s="18" t="inlineStr">
        <is>
          <t>glalie</t>
        </is>
      </c>
      <c r="H1325" s="18" t="inlineStr"/>
      <c r="I1325" s="18" t="n">
        <v>3</v>
      </c>
      <c r="J1325" s="18" t="n"/>
      <c r="K1325" s="18" t="n">
        <v>3</v>
      </c>
      <c r="L1325" s="18" t="inlineStr">
        <is>
          <t>cobbleventure:generation_3</t>
        </is>
      </c>
      <c r="M1325" s="19" t="inlineStr">
        <is>
          <t>cobbleventure:generation_3</t>
        </is>
      </c>
      <c r="N1325" s="18" t="inlineStr"/>
      <c r="O1325" s="19" t="inlineStr"/>
      <c r="P1325" s="18" t="inlineStr">
        <is>
          <t>#cobblemon:is_glacial</t>
        </is>
      </c>
      <c r="Q1325" s="19" t="inlineStr"/>
      <c r="R1325" s="18">
        <f>IF(Q1325="",P1325,Q1325)</f>
        <v/>
      </c>
      <c r="S1325" s="18" t="inlineStr"/>
      <c r="T1325" s="18" t="inlineStr">
        <is>
          <t>uncommon</t>
        </is>
      </c>
      <c r="U1325" s="20" t="n">
        <v>0.32</v>
      </c>
      <c r="V1325" s="21" t="n">
        <v>1</v>
      </c>
      <c r="W1325" s="20">
        <f>IF(OR(U1325="",V1325=""),U1325,U1325*V1325)</f>
        <v/>
      </c>
      <c r="X1325" s="18" t="inlineStr">
        <is>
          <t>42-48</t>
        </is>
      </c>
      <c r="Y1325" s="19" t="inlineStr"/>
      <c r="Z1325" s="18">
        <f>IF(Y1325="",X1325,Y1325)</f>
        <v/>
      </c>
      <c r="AA1325" s="18" t="inlineStr">
        <is>
          <t>grounded</t>
        </is>
      </c>
      <c r="AB1325" s="18" t="inlineStr"/>
      <c r="AC1325" s="18" t="inlineStr">
        <is>
          <t>비=False</t>
        </is>
      </c>
      <c r="AD1325" s="18" t="inlineStr"/>
      <c r="AE1325" s="18" t="inlineStr">
        <is>
          <t>sky 8-15</t>
        </is>
      </c>
      <c r="AF1325" s="18" t="inlineStr"/>
      <c r="AG1325" s="18" t="inlineStr"/>
      <c r="AH1325" s="18" t="inlineStr"/>
      <c r="AI1325" s="18" t="inlineStr"/>
      <c r="AJ1325" s="18" t="inlineStr">
        <is>
          <t>COBBLEVERSE 수정</t>
        </is>
      </c>
      <c r="AK1325" s="18" t="inlineStr">
        <is>
          <t>사용</t>
        </is>
      </c>
      <c r="AL1325" s="18" t="inlineStr">
        <is>
          <t>COBBLEVERSE 1.7.42 / DP v31</t>
        </is>
      </c>
      <c r="AM1325" s="18" t="inlineStr">
        <is>
          <t>data/cobblemon/spawn_pool_world/0362_glalie.json</t>
        </is>
      </c>
      <c r="AN1325" s="18" t="inlineStr">
        <is>
          <t>glalie-1</t>
        </is>
      </c>
      <c r="AO1325" s="18" t="inlineStr">
        <is>
          <t>pokemon</t>
        </is>
      </c>
      <c r="AP1325" s="18" t="inlineStr">
        <is>
          <t>natural; wild</t>
        </is>
      </c>
      <c r="AQ1325" s="18" t="inlineStr">
        <is>
          <t>{"biomes":["#cobblemon:is_glacial"],"isRaining":false,"maxSkyLight":15,"minSkyLight":8}</t>
        </is>
      </c>
      <c r="AR1325" s="18" t="inlineStr"/>
      <c r="AS1325" s="18" t="inlineStr"/>
      <c r="AT1325" s="19" t="inlineStr"/>
    </row>
    <row r="1326" ht="32" customHeight="1">
      <c r="A1326" s="18" t="inlineStr">
        <is>
          <t>0362_glalie.json::glalie-2::002</t>
        </is>
      </c>
      <c r="B1326" s="19" t="inlineStr">
        <is>
          <t>사용</t>
        </is>
      </c>
      <c r="C1326" s="18">
        <f>IF(OR(B1326&lt;&gt;AK1326,M1326&lt;&gt;L1326,O1326&lt;&gt;"",Q1326&lt;&gt;"",V1326&lt;&gt;1,Y1326&lt;&gt;"",AT1326&lt;&gt;""),"수정","원본")</f>
        <v/>
      </c>
      <c r="D1326" s="18" t="n">
        <v>362</v>
      </c>
      <c r="E1326" s="18" t="inlineStr">
        <is>
          <t>얼음귀신</t>
        </is>
      </c>
      <c r="F1326" s="18" t="inlineStr">
        <is>
          <t>glalie</t>
        </is>
      </c>
      <c r="G1326" s="18" t="inlineStr">
        <is>
          <t>glalie</t>
        </is>
      </c>
      <c r="H1326" s="18" t="inlineStr"/>
      <c r="I1326" s="18" t="n">
        <v>3</v>
      </c>
      <c r="J1326" s="18" t="n"/>
      <c r="K1326" s="18" t="n">
        <v>3</v>
      </c>
      <c r="L1326" s="18" t="inlineStr">
        <is>
          <t>cobbleventure:generation_3</t>
        </is>
      </c>
      <c r="M1326" s="19" t="inlineStr">
        <is>
          <t>cobbleventure:generation_3</t>
        </is>
      </c>
      <c r="N1326" s="18" t="inlineStr"/>
      <c r="O1326" s="19" t="inlineStr"/>
      <c r="P1326" s="18" t="inlineStr">
        <is>
          <t>#cobblemon:is_snowy_forest; #cobblemon:is_tundra</t>
        </is>
      </c>
      <c r="Q1326" s="19" t="inlineStr"/>
      <c r="R1326" s="18">
        <f>IF(Q1326="",P1326,Q1326)</f>
        <v/>
      </c>
      <c r="S1326" s="18" t="inlineStr"/>
      <c r="T1326" s="18" t="inlineStr">
        <is>
          <t>uncommon</t>
        </is>
      </c>
      <c r="U1326" s="20" t="n">
        <v>1.2</v>
      </c>
      <c r="V1326" s="21" t="n">
        <v>1</v>
      </c>
      <c r="W1326" s="20">
        <f>IF(OR(U1326="",V1326=""),U1326,U1326*V1326)</f>
        <v/>
      </c>
      <c r="X1326" s="18" t="inlineStr">
        <is>
          <t>42-48</t>
        </is>
      </c>
      <c r="Y1326" s="19" t="inlineStr"/>
      <c r="Z1326" s="18">
        <f>IF(Y1326="",X1326,Y1326)</f>
        <v/>
      </c>
      <c r="AA1326" s="18" t="inlineStr">
        <is>
          <t>grounded</t>
        </is>
      </c>
      <c r="AB1326" s="18" t="inlineStr"/>
      <c r="AC1326" s="18" t="inlineStr"/>
      <c r="AD1326" s="18" t="inlineStr">
        <is>
          <t>minY=0</t>
        </is>
      </c>
      <c r="AE1326" s="18" t="inlineStr">
        <is>
          <t>sky 0-7</t>
        </is>
      </c>
      <c r="AF1326" s="18" t="inlineStr"/>
      <c r="AG1326" s="18" t="inlineStr"/>
      <c r="AH1326" s="18" t="inlineStr"/>
      <c r="AI1326" s="18" t="inlineStr"/>
      <c r="AJ1326" s="18" t="inlineStr">
        <is>
          <t>COBBLEVERSE 수정</t>
        </is>
      </c>
      <c r="AK1326" s="18" t="inlineStr">
        <is>
          <t>사용</t>
        </is>
      </c>
      <c r="AL1326" s="18" t="inlineStr">
        <is>
          <t>COBBLEVERSE 1.7.42 / DP v31</t>
        </is>
      </c>
      <c r="AM1326" s="18" t="inlineStr">
        <is>
          <t>data/cobblemon/spawn_pool_world/0362_glalie.json</t>
        </is>
      </c>
      <c r="AN1326" s="18" t="inlineStr">
        <is>
          <t>glalie-2</t>
        </is>
      </c>
      <c r="AO1326" s="18" t="inlineStr">
        <is>
          <t>pokemon</t>
        </is>
      </c>
      <c r="AP1326" s="18" t="inlineStr">
        <is>
          <t>natural</t>
        </is>
      </c>
      <c r="AQ1326" s="18" t="inlineStr">
        <is>
          <t>{"biomes":["#cobblemon:is_snowy_forest","#cobblemon:is_tundra"],"maxSkyLight":7,"minSkyLight":0,"minY":0}</t>
        </is>
      </c>
      <c r="AR1326" s="18" t="inlineStr"/>
      <c r="AS1326" s="18" t="inlineStr"/>
      <c r="AT1326" s="19" t="inlineStr"/>
    </row>
    <row r="1327" ht="32" customHeight="1">
      <c r="A1327" s="18" t="inlineStr">
        <is>
          <t>0362_glalie.json::glalie-3::003</t>
        </is>
      </c>
      <c r="B1327" s="19" t="inlineStr">
        <is>
          <t>사용</t>
        </is>
      </c>
      <c r="C1327" s="18">
        <f>IF(OR(B1327&lt;&gt;AK1327,M1327&lt;&gt;L1327,O1327&lt;&gt;"",Q1327&lt;&gt;"",V1327&lt;&gt;1,Y1327&lt;&gt;"",AT1327&lt;&gt;""),"수정","원본")</f>
        <v/>
      </c>
      <c r="D1327" s="18" t="n">
        <v>362</v>
      </c>
      <c r="E1327" s="18" t="inlineStr">
        <is>
          <t>얼음귀신</t>
        </is>
      </c>
      <c r="F1327" s="18" t="inlineStr">
        <is>
          <t>glalie</t>
        </is>
      </c>
      <c r="G1327" s="18" t="inlineStr">
        <is>
          <t>glalie</t>
        </is>
      </c>
      <c r="H1327" s="18" t="inlineStr"/>
      <c r="I1327" s="18" t="n">
        <v>3</v>
      </c>
      <c r="J1327" s="18" t="n"/>
      <c r="K1327" s="18" t="n">
        <v>3</v>
      </c>
      <c r="L1327" s="18" t="inlineStr">
        <is>
          <t>cobbleventure:generation_3</t>
        </is>
      </c>
      <c r="M1327" s="19" t="inlineStr">
        <is>
          <t>cobbleventure:generation_3</t>
        </is>
      </c>
      <c r="N1327" s="18" t="inlineStr"/>
      <c r="O1327" s="19" t="inlineStr"/>
      <c r="P1327" s="18" t="inlineStr">
        <is>
          <t>#cobblemon:nether/is_frozen</t>
        </is>
      </c>
      <c r="Q1327" s="19" t="inlineStr"/>
      <c r="R1327" s="18">
        <f>IF(Q1327="",P1327,Q1327)</f>
        <v/>
      </c>
      <c r="S1327" s="18" t="inlineStr"/>
      <c r="T1327" s="18" t="inlineStr">
        <is>
          <t>uncommon</t>
        </is>
      </c>
      <c r="U1327" s="20" t="n">
        <v>1.2</v>
      </c>
      <c r="V1327" s="21" t="n">
        <v>1</v>
      </c>
      <c r="W1327" s="20">
        <f>IF(OR(U1327="",V1327=""),U1327,U1327*V1327)</f>
        <v/>
      </c>
      <c r="X1327" s="18" t="inlineStr">
        <is>
          <t>42-48</t>
        </is>
      </c>
      <c r="Y1327" s="19" t="inlineStr"/>
      <c r="Z1327" s="18">
        <f>IF(Y1327="",X1327,Y1327)</f>
        <v/>
      </c>
      <c r="AA1327" s="18" t="inlineStr">
        <is>
          <t>grounded</t>
        </is>
      </c>
      <c r="AB1327" s="18" t="inlineStr"/>
      <c r="AC1327" s="18" t="inlineStr"/>
      <c r="AD1327" s="18" t="inlineStr"/>
      <c r="AE1327" s="18" t="inlineStr"/>
      <c r="AF1327" s="18" t="inlineStr"/>
      <c r="AG1327" s="18" t="inlineStr"/>
      <c r="AH1327" s="18" t="inlineStr"/>
      <c r="AI1327" s="18" t="inlineStr"/>
      <c r="AJ1327" s="18" t="inlineStr">
        <is>
          <t>COBBLEVERSE 수정</t>
        </is>
      </c>
      <c r="AK1327" s="18" t="inlineStr">
        <is>
          <t>사용</t>
        </is>
      </c>
      <c r="AL1327" s="18" t="inlineStr">
        <is>
          <t>COBBLEVERSE 1.7.42 / DP v31</t>
        </is>
      </c>
      <c r="AM1327" s="18" t="inlineStr">
        <is>
          <t>data/cobblemon/spawn_pool_world/0362_glalie.json</t>
        </is>
      </c>
      <c r="AN1327" s="18" t="inlineStr">
        <is>
          <t>glalie-3</t>
        </is>
      </c>
      <c r="AO1327" s="18" t="inlineStr">
        <is>
          <t>pokemon</t>
        </is>
      </c>
      <c r="AP1327" s="18" t="inlineStr">
        <is>
          <t>natural</t>
        </is>
      </c>
      <c r="AQ1327" s="18" t="inlineStr">
        <is>
          <t>{"biomes":["#cobblemon:nether/is_frozen"]}</t>
        </is>
      </c>
      <c r="AR1327" s="18" t="inlineStr"/>
      <c r="AS1327" s="18" t="inlineStr"/>
      <c r="AT1327" s="19" t="inlineStr"/>
    </row>
    <row r="1328" ht="32" customHeight="1">
      <c r="A1328" s="18" t="inlineStr">
        <is>
          <t>0363_spheal.json::spheal-1::001</t>
        </is>
      </c>
      <c r="B1328" s="19" t="inlineStr">
        <is>
          <t>사용</t>
        </is>
      </c>
      <c r="C1328" s="18">
        <f>IF(OR(B1328&lt;&gt;AK1328,M1328&lt;&gt;L1328,O1328&lt;&gt;"",Q1328&lt;&gt;"",V1328&lt;&gt;1,Y1328&lt;&gt;"",AT1328&lt;&gt;""),"수정","원본")</f>
        <v/>
      </c>
      <c r="D1328" s="18" t="n">
        <v>363</v>
      </c>
      <c r="E1328" s="18" t="inlineStr">
        <is>
          <t>대굴레오</t>
        </is>
      </c>
      <c r="F1328" s="18" t="inlineStr">
        <is>
          <t>spheal</t>
        </is>
      </c>
      <c r="G1328" s="18" t="inlineStr">
        <is>
          <t>spheal</t>
        </is>
      </c>
      <c r="H1328" s="18" t="inlineStr"/>
      <c r="I1328" s="18" t="n">
        <v>3</v>
      </c>
      <c r="J1328" s="18" t="n"/>
      <c r="K1328" s="18" t="n">
        <v>3</v>
      </c>
      <c r="L1328" s="18" t="inlineStr">
        <is>
          <t>cobbleventure:generation_3</t>
        </is>
      </c>
      <c r="M1328" s="19" t="inlineStr">
        <is>
          <t>cobbleventure:generation_3</t>
        </is>
      </c>
      <c r="N1328" s="18" t="inlineStr"/>
      <c r="O1328" s="19" t="inlineStr"/>
      <c r="P1328" s="18" t="inlineStr">
        <is>
          <t>#cobblemon:is_frozen_ocean</t>
        </is>
      </c>
      <c r="Q1328" s="19" t="inlineStr"/>
      <c r="R1328" s="18">
        <f>IF(Q1328="",P1328,Q1328)</f>
        <v/>
      </c>
      <c r="S1328" s="18" t="inlineStr"/>
      <c r="T1328" s="18" t="inlineStr">
        <is>
          <t>common</t>
        </is>
      </c>
      <c r="U1328" s="20" t="n">
        <v>5.4</v>
      </c>
      <c r="V1328" s="21" t="n">
        <v>1</v>
      </c>
      <c r="W1328" s="20">
        <f>IF(OR(U1328="",V1328=""),U1328,U1328*V1328)</f>
        <v/>
      </c>
      <c r="X1328" s="18" t="inlineStr">
        <is>
          <t>4-29</t>
        </is>
      </c>
      <c r="Y1328" s="19" t="inlineStr"/>
      <c r="Z1328" s="18">
        <f>IF(Y1328="",X1328,Y1328)</f>
        <v/>
      </c>
      <c r="AA1328" s="18" t="inlineStr">
        <is>
          <t>grounded</t>
        </is>
      </c>
      <c r="AB1328" s="18" t="inlineStr"/>
      <c r="AC1328" s="18" t="inlineStr"/>
      <c r="AD1328" s="18" t="inlineStr"/>
      <c r="AE1328" s="18" t="inlineStr">
        <is>
          <t>sky 8-15</t>
        </is>
      </c>
      <c r="AF1328" s="18" t="inlineStr"/>
      <c r="AG1328" s="18" t="inlineStr"/>
      <c r="AH1328" s="18" t="inlineStr"/>
      <c r="AI1328" s="18" t="inlineStr"/>
      <c r="AJ1328" s="18" t="inlineStr">
        <is>
          <t>Cobblemon 동일</t>
        </is>
      </c>
      <c r="AK1328" s="18" t="inlineStr">
        <is>
          <t>사용</t>
        </is>
      </c>
      <c r="AL1328" s="18" t="inlineStr">
        <is>
          <t>COBBLEVERSE 1.7.42 / DP v31</t>
        </is>
      </c>
      <c r="AM1328" s="18" t="inlineStr">
        <is>
          <t>data/cobblemon/spawn_pool_world/0363_spheal.json</t>
        </is>
      </c>
      <c r="AN1328" s="18" t="inlineStr">
        <is>
          <t>spheal-1</t>
        </is>
      </c>
      <c r="AO1328" s="18" t="inlineStr">
        <is>
          <t>pokemon</t>
        </is>
      </c>
      <c r="AP1328" s="18" t="inlineStr">
        <is>
          <t>natural</t>
        </is>
      </c>
      <c r="AQ1328" s="18" t="inlineStr">
        <is>
          <t>{"biomes":["#cobblemon:is_frozen_ocean"],"maxSkyLight":15,"minSkyLight":8}</t>
        </is>
      </c>
      <c r="AR1328" s="18" t="inlineStr"/>
      <c r="AS1328" s="18" t="inlineStr"/>
      <c r="AT1328" s="19" t="inlineStr"/>
    </row>
    <row r="1329" ht="32" customHeight="1">
      <c r="A1329" s="18" t="inlineStr">
        <is>
          <t>0363_spheal.json::spheal-2::002</t>
        </is>
      </c>
      <c r="B1329" s="19" t="inlineStr">
        <is>
          <t>사용</t>
        </is>
      </c>
      <c r="C1329" s="18">
        <f>IF(OR(B1329&lt;&gt;AK1329,M1329&lt;&gt;L1329,O1329&lt;&gt;"",Q1329&lt;&gt;"",V1329&lt;&gt;1,Y1329&lt;&gt;"",AT1329&lt;&gt;""),"수정","원본")</f>
        <v/>
      </c>
      <c r="D1329" s="18" t="n">
        <v>363</v>
      </c>
      <c r="E1329" s="18" t="inlineStr">
        <is>
          <t>대굴레오</t>
        </is>
      </c>
      <c r="F1329" s="18" t="inlineStr">
        <is>
          <t>spheal</t>
        </is>
      </c>
      <c r="G1329" s="18" t="inlineStr">
        <is>
          <t>spheal</t>
        </is>
      </c>
      <c r="H1329" s="18" t="inlineStr"/>
      <c r="I1329" s="18" t="n">
        <v>3</v>
      </c>
      <c r="J1329" s="18" t="n"/>
      <c r="K1329" s="18" t="n">
        <v>3</v>
      </c>
      <c r="L1329" s="18" t="inlineStr">
        <is>
          <t>cobbleventure:generation_3</t>
        </is>
      </c>
      <c r="M1329" s="19" t="inlineStr">
        <is>
          <t>cobbleventure:generation_3</t>
        </is>
      </c>
      <c r="N1329" s="18" t="inlineStr"/>
      <c r="O1329" s="19" t="inlineStr"/>
      <c r="P1329" s="18" t="inlineStr">
        <is>
          <t>#cobblemon:is_frozen_ocean</t>
        </is>
      </c>
      <c r="Q1329" s="19" t="inlineStr"/>
      <c r="R1329" s="18">
        <f>IF(Q1329="",P1329,Q1329)</f>
        <v/>
      </c>
      <c r="S1329" s="18" t="inlineStr"/>
      <c r="T1329" s="18" t="inlineStr">
        <is>
          <t>common</t>
        </is>
      </c>
      <c r="U1329" s="20" t="n">
        <v>5.4</v>
      </c>
      <c r="V1329" s="21" t="n">
        <v>1</v>
      </c>
      <c r="W1329" s="20">
        <f>IF(OR(U1329="",V1329=""),U1329,U1329*V1329)</f>
        <v/>
      </c>
      <c r="X1329" s="18" t="inlineStr">
        <is>
          <t>4-29</t>
        </is>
      </c>
      <c r="Y1329" s="19" t="inlineStr"/>
      <c r="Z1329" s="18">
        <f>IF(Y1329="",X1329,Y1329)</f>
        <v/>
      </c>
      <c r="AA1329" s="18" t="inlineStr">
        <is>
          <t>submerged</t>
        </is>
      </c>
      <c r="AB1329" s="18" t="inlineStr"/>
      <c r="AC1329" s="18" t="inlineStr"/>
      <c r="AD1329" s="18" t="inlineStr"/>
      <c r="AE1329" s="18" t="inlineStr"/>
      <c r="AF1329" s="18" t="inlineStr">
        <is>
          <t>True</t>
        </is>
      </c>
      <c r="AG1329" s="18" t="inlineStr"/>
      <c r="AH1329" s="18" t="inlineStr"/>
      <c r="AI1329" s="18" t="inlineStr"/>
      <c r="AJ1329" s="18" t="inlineStr">
        <is>
          <t>Cobblemon 동일</t>
        </is>
      </c>
      <c r="AK1329" s="18" t="inlineStr">
        <is>
          <t>사용</t>
        </is>
      </c>
      <c r="AL1329" s="18" t="inlineStr">
        <is>
          <t>COBBLEVERSE 1.7.42 / DP v31</t>
        </is>
      </c>
      <c r="AM1329" s="18" t="inlineStr">
        <is>
          <t>data/cobblemon/spawn_pool_world/0363_spheal.json</t>
        </is>
      </c>
      <c r="AN1329" s="18" t="inlineStr">
        <is>
          <t>spheal-2</t>
        </is>
      </c>
      <c r="AO1329" s="18" t="inlineStr">
        <is>
          <t>pokemon</t>
        </is>
      </c>
      <c r="AP1329" s="18" t="inlineStr">
        <is>
          <t>water</t>
        </is>
      </c>
      <c r="AQ1329" s="18" t="inlineStr">
        <is>
          <t>{"biomes":["#cobblemon:is_frozen_ocean"],"canSeeSky":true}</t>
        </is>
      </c>
      <c r="AR1329" s="18" t="inlineStr"/>
      <c r="AS1329" s="18" t="inlineStr"/>
      <c r="AT1329" s="19" t="inlineStr"/>
    </row>
    <row r="1330" ht="32" customHeight="1">
      <c r="A1330" s="18" t="inlineStr">
        <is>
          <t>0363_spheal.json::spheal-3::003</t>
        </is>
      </c>
      <c r="B1330" s="19" t="inlineStr">
        <is>
          <t>사용</t>
        </is>
      </c>
      <c r="C1330" s="18">
        <f>IF(OR(B1330&lt;&gt;AK1330,M1330&lt;&gt;L1330,O1330&lt;&gt;"",Q1330&lt;&gt;"",V1330&lt;&gt;1,Y1330&lt;&gt;"",AT1330&lt;&gt;""),"수정","원본")</f>
        <v/>
      </c>
      <c r="D1330" s="18" t="n">
        <v>363</v>
      </c>
      <c r="E1330" s="18" t="inlineStr">
        <is>
          <t>대굴레오</t>
        </is>
      </c>
      <c r="F1330" s="18" t="inlineStr">
        <is>
          <t>spheal</t>
        </is>
      </c>
      <c r="G1330" s="18" t="inlineStr">
        <is>
          <t>spheal</t>
        </is>
      </c>
      <c r="H1330" s="18" t="inlineStr"/>
      <c r="I1330" s="18" t="n">
        <v>3</v>
      </c>
      <c r="J1330" s="18" t="n"/>
      <c r="K1330" s="18" t="n">
        <v>3</v>
      </c>
      <c r="L1330" s="18" t="inlineStr">
        <is>
          <t>cobbleventure:generation_3</t>
        </is>
      </c>
      <c r="M1330" s="19" t="inlineStr">
        <is>
          <t>cobbleventure:generation_3</t>
        </is>
      </c>
      <c r="N1330" s="18" t="inlineStr"/>
      <c r="O1330" s="19" t="inlineStr"/>
      <c r="P1330" s="18" t="inlineStr">
        <is>
          <t>#cobblemon:is_cold_ocean; #cobblemon:is_frozen_ocean</t>
        </is>
      </c>
      <c r="Q1330" s="19" t="inlineStr"/>
      <c r="R1330" s="18">
        <f>IF(Q1330="",P1330,Q1330)</f>
        <v/>
      </c>
      <c r="S1330" s="18" t="inlineStr"/>
      <c r="T1330" s="18" t="inlineStr">
        <is>
          <t>common</t>
        </is>
      </c>
      <c r="U1330" s="20" t="n">
        <v>1.8</v>
      </c>
      <c r="V1330" s="21" t="n">
        <v>1</v>
      </c>
      <c r="W1330" s="20">
        <f>IF(OR(U1330="",V1330=""),U1330,U1330*V1330)</f>
        <v/>
      </c>
      <c r="X1330" s="18" t="inlineStr">
        <is>
          <t>4-29</t>
        </is>
      </c>
      <c r="Y1330" s="19" t="inlineStr"/>
      <c r="Z1330" s="18">
        <f>IF(Y1330="",X1330,Y1330)</f>
        <v/>
      </c>
      <c r="AA1330" s="18" t="inlineStr">
        <is>
          <t>fishing</t>
        </is>
      </c>
      <c r="AB1330" s="18" t="inlineStr"/>
      <c r="AC1330" s="18" t="inlineStr"/>
      <c r="AD1330" s="18" t="inlineStr"/>
      <c r="AE1330" s="18" t="inlineStr"/>
      <c r="AF1330" s="18" t="inlineStr">
        <is>
          <t>True</t>
        </is>
      </c>
      <c r="AG1330" s="18" t="inlineStr"/>
      <c r="AH1330" s="18" t="inlineStr"/>
      <c r="AI1330" s="18" t="inlineStr"/>
      <c r="AJ1330" s="18" t="inlineStr">
        <is>
          <t>Cobblemon 동일</t>
        </is>
      </c>
      <c r="AK1330" s="18" t="inlineStr">
        <is>
          <t>사용</t>
        </is>
      </c>
      <c r="AL1330" s="18" t="inlineStr">
        <is>
          <t>COBBLEVERSE 1.7.42 / DP v31</t>
        </is>
      </c>
      <c r="AM1330" s="18" t="inlineStr">
        <is>
          <t>data/cobblemon/spawn_pool_world/0363_spheal.json</t>
        </is>
      </c>
      <c r="AN1330" s="18" t="inlineStr">
        <is>
          <t>spheal-3</t>
        </is>
      </c>
      <c r="AO1330" s="18" t="inlineStr">
        <is>
          <t>pokemon</t>
        </is>
      </c>
      <c r="AP1330" s="18" t="inlineStr"/>
      <c r="AQ1330" s="18" t="inlineStr">
        <is>
          <t>{"biomes":["#cobblemon:is_cold_ocean","#cobblemon:is_frozen_ocean"],"canSeeSky":true}</t>
        </is>
      </c>
      <c r="AR1330" s="18" t="inlineStr"/>
      <c r="AS1330" s="18" t="inlineStr">
        <is>
          <t>{"weightMultipliers":[{"condition":{"maxLureLevel":2,"minLureLevel":2},"multiplier":3.0},{"condition":{"minLureLevel":3},"multiplier":5.0}]}</t>
        </is>
      </c>
      <c r="AT1330" s="19" t="inlineStr"/>
    </row>
    <row r="1331" ht="32" customHeight="1">
      <c r="A1331" s="18" t="inlineStr">
        <is>
          <t>0363_spheal.json::spheal-4::004</t>
        </is>
      </c>
      <c r="B1331" s="19" t="inlineStr">
        <is>
          <t>사용</t>
        </is>
      </c>
      <c r="C1331" s="18">
        <f>IF(OR(B1331&lt;&gt;AK1331,M1331&lt;&gt;L1331,O1331&lt;&gt;"",Q1331&lt;&gt;"",V1331&lt;&gt;1,Y1331&lt;&gt;"",AT1331&lt;&gt;""),"수정","원본")</f>
        <v/>
      </c>
      <c r="D1331" s="18" t="n">
        <v>363</v>
      </c>
      <c r="E1331" s="18" t="inlineStr">
        <is>
          <t>대굴레오</t>
        </is>
      </c>
      <c r="F1331" s="18" t="inlineStr">
        <is>
          <t>spheal</t>
        </is>
      </c>
      <c r="G1331" s="18" t="inlineStr">
        <is>
          <t>spheal</t>
        </is>
      </c>
      <c r="H1331" s="18" t="inlineStr"/>
      <c r="I1331" s="18" t="n">
        <v>3</v>
      </c>
      <c r="J1331" s="18" t="n"/>
      <c r="K1331" s="18" t="n">
        <v>3</v>
      </c>
      <c r="L1331" s="18" t="inlineStr">
        <is>
          <t>cobbleventure:generation_3</t>
        </is>
      </c>
      <c r="M1331" s="19" t="inlineStr">
        <is>
          <t>cobbleventure:generation_3</t>
        </is>
      </c>
      <c r="N1331" s="18" t="inlineStr"/>
      <c r="O1331" s="19" t="inlineStr"/>
      <c r="P1331" s="18" t="inlineStr">
        <is>
          <t>#cobblemon:is_frozen_ocean</t>
        </is>
      </c>
      <c r="Q1331" s="19" t="inlineStr"/>
      <c r="R1331" s="18">
        <f>IF(Q1331="",P1331,Q1331)</f>
        <v/>
      </c>
      <c r="S1331" s="18" t="inlineStr"/>
      <c r="T1331" s="18" t="inlineStr">
        <is>
          <t>common</t>
        </is>
      </c>
      <c r="U1331" s="20" t="n">
        <v>5.4</v>
      </c>
      <c r="V1331" s="21" t="n">
        <v>1</v>
      </c>
      <c r="W1331" s="20">
        <f>IF(OR(U1331="",V1331=""),U1331,U1331*V1331)</f>
        <v/>
      </c>
      <c r="X1331" s="18" t="inlineStr">
        <is>
          <t>4-29</t>
        </is>
      </c>
      <c r="Y1331" s="19" t="inlineStr"/>
      <c r="Z1331" s="18">
        <f>IF(Y1331="",X1331,Y1331)</f>
        <v/>
      </c>
      <c r="AA1331" s="18" t="inlineStr">
        <is>
          <t>submerged</t>
        </is>
      </c>
      <c r="AB1331" s="18" t="inlineStr"/>
      <c r="AC1331" s="18" t="inlineStr"/>
      <c r="AD1331" s="18" t="inlineStr"/>
      <c r="AE1331" s="18" t="inlineStr">
        <is>
          <t>sky 8-15</t>
        </is>
      </c>
      <c r="AF1331" s="18" t="inlineStr">
        <is>
          <t>False</t>
        </is>
      </c>
      <c r="AG1331" s="18" t="inlineStr"/>
      <c r="AH1331" s="18" t="inlineStr"/>
      <c r="AI1331" s="18" t="inlineStr"/>
      <c r="AJ1331" s="18" t="inlineStr">
        <is>
          <t>Cobblemon 동일</t>
        </is>
      </c>
      <c r="AK1331" s="18" t="inlineStr">
        <is>
          <t>사용</t>
        </is>
      </c>
      <c r="AL1331" s="18" t="inlineStr">
        <is>
          <t>COBBLEVERSE 1.7.42 / DP v31</t>
        </is>
      </c>
      <c r="AM1331" s="18" t="inlineStr">
        <is>
          <t>data/cobblemon/spawn_pool_world/0363_spheal.json</t>
        </is>
      </c>
      <c r="AN1331" s="18" t="inlineStr">
        <is>
          <t>spheal-4</t>
        </is>
      </c>
      <c r="AO1331" s="18" t="inlineStr">
        <is>
          <t>pokemon</t>
        </is>
      </c>
      <c r="AP1331" s="18" t="inlineStr">
        <is>
          <t>water</t>
        </is>
      </c>
      <c r="AQ1331" s="18" t="inlineStr">
        <is>
          <t>{"biomes":["#cobblemon:is_frozen_ocean"],"canSeeSky":false,"maxSkyLight":15,"minSkyLight":8}</t>
        </is>
      </c>
      <c r="AR1331" s="18" t="inlineStr"/>
      <c r="AS1331" s="18" t="inlineStr"/>
      <c r="AT1331" s="19" t="inlineStr"/>
    </row>
    <row r="1332" ht="32" customHeight="1">
      <c r="A1332" s="18" t="inlineStr">
        <is>
          <t>0363_spheal.json::spheal-5::005</t>
        </is>
      </c>
      <c r="B1332" s="19" t="inlineStr">
        <is>
          <t>사용</t>
        </is>
      </c>
      <c r="C1332" s="18">
        <f>IF(OR(B1332&lt;&gt;AK1332,M1332&lt;&gt;L1332,O1332&lt;&gt;"",Q1332&lt;&gt;"",V1332&lt;&gt;1,Y1332&lt;&gt;"",AT1332&lt;&gt;""),"수정","원본")</f>
        <v/>
      </c>
      <c r="D1332" s="18" t="n">
        <v>363</v>
      </c>
      <c r="E1332" s="18" t="inlineStr">
        <is>
          <t>대굴레오</t>
        </is>
      </c>
      <c r="F1332" s="18" t="inlineStr">
        <is>
          <t>spheal</t>
        </is>
      </c>
      <c r="G1332" s="18" t="inlineStr">
        <is>
          <t>spheal</t>
        </is>
      </c>
      <c r="H1332" s="18" t="inlineStr"/>
      <c r="I1332" s="18" t="n">
        <v>3</v>
      </c>
      <c r="J1332" s="18" t="n"/>
      <c r="K1332" s="18" t="n">
        <v>3</v>
      </c>
      <c r="L1332" s="18" t="inlineStr">
        <is>
          <t>cobbleventure:generation_3</t>
        </is>
      </c>
      <c r="M1332" s="19" t="inlineStr">
        <is>
          <t>cobbleventure:generation_3</t>
        </is>
      </c>
      <c r="N1332" s="18" t="inlineStr"/>
      <c r="O1332" s="19" t="inlineStr"/>
      <c r="P1332" s="18" t="inlineStr">
        <is>
          <t>#cobblemon:is_cold_ocean; #cobblemon:is_frozen_ocean</t>
        </is>
      </c>
      <c r="Q1332" s="19" t="inlineStr"/>
      <c r="R1332" s="18">
        <f>IF(Q1332="",P1332,Q1332)</f>
        <v/>
      </c>
      <c r="S1332" s="18" t="inlineStr"/>
      <c r="T1332" s="18" t="inlineStr">
        <is>
          <t>common</t>
        </is>
      </c>
      <c r="U1332" s="20" t="n">
        <v>1.8</v>
      </c>
      <c r="V1332" s="21" t="n">
        <v>1</v>
      </c>
      <c r="W1332" s="20">
        <f>IF(OR(U1332="",V1332=""),U1332,U1332*V1332)</f>
        <v/>
      </c>
      <c r="X1332" s="18" t="inlineStr">
        <is>
          <t>4-29</t>
        </is>
      </c>
      <c r="Y1332" s="19" t="inlineStr"/>
      <c r="Z1332" s="18">
        <f>IF(Y1332="",X1332,Y1332)</f>
        <v/>
      </c>
      <c r="AA1332" s="18" t="inlineStr">
        <is>
          <t>fishing</t>
        </is>
      </c>
      <c r="AB1332" s="18" t="inlineStr"/>
      <c r="AC1332" s="18" t="inlineStr"/>
      <c r="AD1332" s="18" t="inlineStr"/>
      <c r="AE1332" s="18" t="inlineStr">
        <is>
          <t>sky 8-15</t>
        </is>
      </c>
      <c r="AF1332" s="18" t="inlineStr">
        <is>
          <t>False</t>
        </is>
      </c>
      <c r="AG1332" s="18" t="inlineStr"/>
      <c r="AH1332" s="18" t="inlineStr"/>
      <c r="AI1332" s="18" t="inlineStr"/>
      <c r="AJ1332" s="18" t="inlineStr">
        <is>
          <t>Cobblemon 동일</t>
        </is>
      </c>
      <c r="AK1332" s="18" t="inlineStr">
        <is>
          <t>사용</t>
        </is>
      </c>
      <c r="AL1332" s="18" t="inlineStr">
        <is>
          <t>COBBLEVERSE 1.7.42 / DP v31</t>
        </is>
      </c>
      <c r="AM1332" s="18" t="inlineStr">
        <is>
          <t>data/cobblemon/spawn_pool_world/0363_spheal.json</t>
        </is>
      </c>
      <c r="AN1332" s="18" t="inlineStr">
        <is>
          <t>spheal-5</t>
        </is>
      </c>
      <c r="AO1332" s="18" t="inlineStr">
        <is>
          <t>pokemon</t>
        </is>
      </c>
      <c r="AP1332" s="18" t="inlineStr"/>
      <c r="AQ1332" s="18" t="inlineStr">
        <is>
          <t>{"biomes":["#cobblemon:is_cold_ocean","#cobblemon:is_frozen_ocean"],"canSeeSky":false,"maxSkyLight":15,"minSkyLight":8}</t>
        </is>
      </c>
      <c r="AR1332" s="18" t="inlineStr"/>
      <c r="AS1332" s="18" t="inlineStr">
        <is>
          <t>{"weightMultipliers":[{"condition":{"maxLureLevel":2,"minLureLevel":2},"multiplier":3.0},{"condition":{"minLureLevel":3},"multiplier":5.0}]}</t>
        </is>
      </c>
      <c r="AT1332" s="19" t="inlineStr"/>
    </row>
    <row r="1333" ht="32" customHeight="1">
      <c r="A1333" s="18" t="inlineStr">
        <is>
          <t>0364_sealeo.json::sealeo-1::001</t>
        </is>
      </c>
      <c r="B1333" s="19" t="inlineStr">
        <is>
          <t>사용</t>
        </is>
      </c>
      <c r="C1333" s="18">
        <f>IF(OR(B1333&lt;&gt;AK1333,M1333&lt;&gt;L1333,O1333&lt;&gt;"",Q1333&lt;&gt;"",V1333&lt;&gt;1,Y1333&lt;&gt;"",AT1333&lt;&gt;""),"수정","원본")</f>
        <v/>
      </c>
      <c r="D1333" s="18" t="n">
        <v>364</v>
      </c>
      <c r="E1333" s="18" t="inlineStr">
        <is>
          <t>씨레오</t>
        </is>
      </c>
      <c r="F1333" s="18" t="inlineStr">
        <is>
          <t>sealeo</t>
        </is>
      </c>
      <c r="G1333" s="18" t="inlineStr">
        <is>
          <t>sealeo</t>
        </is>
      </c>
      <c r="H1333" s="18" t="inlineStr"/>
      <c r="I1333" s="18" t="n">
        <v>3</v>
      </c>
      <c r="J1333" s="18" t="n"/>
      <c r="K1333" s="18" t="n">
        <v>3</v>
      </c>
      <c r="L1333" s="18" t="inlineStr">
        <is>
          <t>cobbleventure:generation_3</t>
        </is>
      </c>
      <c r="M1333" s="19" t="inlineStr">
        <is>
          <t>cobbleventure:generation_3</t>
        </is>
      </c>
      <c r="N1333" s="18" t="inlineStr"/>
      <c r="O1333" s="19" t="inlineStr"/>
      <c r="P1333" s="18" t="inlineStr">
        <is>
          <t>#cobblemon:is_frozen_ocean</t>
        </is>
      </c>
      <c r="Q1333" s="19" t="inlineStr"/>
      <c r="R1333" s="18">
        <f>IF(Q1333="",P1333,Q1333)</f>
        <v/>
      </c>
      <c r="S1333" s="18" t="inlineStr"/>
      <c r="T1333" s="18" t="inlineStr">
        <is>
          <t>common</t>
        </is>
      </c>
      <c r="U1333" s="20" t="n">
        <v>0.54</v>
      </c>
      <c r="V1333" s="21" t="n">
        <v>1</v>
      </c>
      <c r="W1333" s="20">
        <f>IF(OR(U1333="",V1333=""),U1333,U1333*V1333)</f>
        <v/>
      </c>
      <c r="X1333" s="18" t="inlineStr">
        <is>
          <t>32-41</t>
        </is>
      </c>
      <c r="Y1333" s="19" t="inlineStr"/>
      <c r="Z1333" s="18">
        <f>IF(Y1333="",X1333,Y1333)</f>
        <v/>
      </c>
      <c r="AA1333" s="18" t="inlineStr">
        <is>
          <t>grounded</t>
        </is>
      </c>
      <c r="AB1333" s="18" t="inlineStr"/>
      <c r="AC1333" s="18" t="inlineStr"/>
      <c r="AD1333" s="18" t="inlineStr"/>
      <c r="AE1333" s="18" t="inlineStr">
        <is>
          <t>sky 8-15</t>
        </is>
      </c>
      <c r="AF1333" s="18" t="inlineStr"/>
      <c r="AG1333" s="18" t="inlineStr"/>
      <c r="AH1333" s="18" t="inlineStr"/>
      <c r="AI1333" s="18" t="inlineStr"/>
      <c r="AJ1333" s="18" t="inlineStr">
        <is>
          <t>Cobblemon 동일</t>
        </is>
      </c>
      <c r="AK1333" s="18" t="inlineStr">
        <is>
          <t>사용</t>
        </is>
      </c>
      <c r="AL1333" s="18" t="inlineStr">
        <is>
          <t>COBBLEVERSE 1.7.42 / DP v31</t>
        </is>
      </c>
      <c r="AM1333" s="18" t="inlineStr">
        <is>
          <t>data/cobblemon/spawn_pool_world/0364_sealeo.json</t>
        </is>
      </c>
      <c r="AN1333" s="18" t="inlineStr">
        <is>
          <t>sealeo-1</t>
        </is>
      </c>
      <c r="AO1333" s="18" t="inlineStr">
        <is>
          <t>pokemon</t>
        </is>
      </c>
      <c r="AP1333" s="18" t="inlineStr">
        <is>
          <t>natural</t>
        </is>
      </c>
      <c r="AQ1333" s="18" t="inlineStr">
        <is>
          <t>{"biomes":["#cobblemon:is_frozen_ocean"],"maxSkyLight":15,"minSkyLight":8}</t>
        </is>
      </c>
      <c r="AR1333" s="18" t="inlineStr"/>
      <c r="AS1333" s="18" t="inlineStr"/>
      <c r="AT1333" s="19" t="inlineStr"/>
    </row>
    <row r="1334" ht="32" customHeight="1">
      <c r="A1334" s="18" t="inlineStr">
        <is>
          <t>0364_sealeo.json::sealeo-2::002</t>
        </is>
      </c>
      <c r="B1334" s="19" t="inlineStr">
        <is>
          <t>사용</t>
        </is>
      </c>
      <c r="C1334" s="18">
        <f>IF(OR(B1334&lt;&gt;AK1334,M1334&lt;&gt;L1334,O1334&lt;&gt;"",Q1334&lt;&gt;"",V1334&lt;&gt;1,Y1334&lt;&gt;"",AT1334&lt;&gt;""),"수정","원본")</f>
        <v/>
      </c>
      <c r="D1334" s="18" t="n">
        <v>364</v>
      </c>
      <c r="E1334" s="18" t="inlineStr">
        <is>
          <t>씨레오</t>
        </is>
      </c>
      <c r="F1334" s="18" t="inlineStr">
        <is>
          <t>sealeo</t>
        </is>
      </c>
      <c r="G1334" s="18" t="inlineStr">
        <is>
          <t>sealeo</t>
        </is>
      </c>
      <c r="H1334" s="18" t="inlineStr"/>
      <c r="I1334" s="18" t="n">
        <v>3</v>
      </c>
      <c r="J1334" s="18" t="n"/>
      <c r="K1334" s="18" t="n">
        <v>3</v>
      </c>
      <c r="L1334" s="18" t="inlineStr">
        <is>
          <t>cobbleventure:generation_3</t>
        </is>
      </c>
      <c r="M1334" s="19" t="inlineStr">
        <is>
          <t>cobbleventure:generation_3</t>
        </is>
      </c>
      <c r="N1334" s="18" t="inlineStr"/>
      <c r="O1334" s="19" t="inlineStr"/>
      <c r="P1334" s="18" t="inlineStr">
        <is>
          <t>#cobblemon:is_frozen_ocean</t>
        </is>
      </c>
      <c r="Q1334" s="19" t="inlineStr"/>
      <c r="R1334" s="18">
        <f>IF(Q1334="",P1334,Q1334)</f>
        <v/>
      </c>
      <c r="S1334" s="18" t="inlineStr"/>
      <c r="T1334" s="18" t="inlineStr">
        <is>
          <t>common</t>
        </is>
      </c>
      <c r="U1334" s="20" t="n">
        <v>0.54</v>
      </c>
      <c r="V1334" s="21" t="n">
        <v>1</v>
      </c>
      <c r="W1334" s="20">
        <f>IF(OR(U1334="",V1334=""),U1334,U1334*V1334)</f>
        <v/>
      </c>
      <c r="X1334" s="18" t="inlineStr">
        <is>
          <t>32-41</t>
        </is>
      </c>
      <c r="Y1334" s="19" t="inlineStr"/>
      <c r="Z1334" s="18">
        <f>IF(Y1334="",X1334,Y1334)</f>
        <v/>
      </c>
      <c r="AA1334" s="18" t="inlineStr">
        <is>
          <t>submerged</t>
        </is>
      </c>
      <c r="AB1334" s="18" t="inlineStr"/>
      <c r="AC1334" s="18" t="inlineStr"/>
      <c r="AD1334" s="18" t="inlineStr"/>
      <c r="AE1334" s="18" t="inlineStr"/>
      <c r="AF1334" s="18" t="inlineStr">
        <is>
          <t>True</t>
        </is>
      </c>
      <c r="AG1334" s="18" t="inlineStr"/>
      <c r="AH1334" s="18" t="inlineStr"/>
      <c r="AI1334" s="18" t="inlineStr"/>
      <c r="AJ1334" s="18" t="inlineStr">
        <is>
          <t>Cobblemon 동일</t>
        </is>
      </c>
      <c r="AK1334" s="18" t="inlineStr">
        <is>
          <t>사용</t>
        </is>
      </c>
      <c r="AL1334" s="18" t="inlineStr">
        <is>
          <t>COBBLEVERSE 1.7.42 / DP v31</t>
        </is>
      </c>
      <c r="AM1334" s="18" t="inlineStr">
        <is>
          <t>data/cobblemon/spawn_pool_world/0364_sealeo.json</t>
        </is>
      </c>
      <c r="AN1334" s="18" t="inlineStr">
        <is>
          <t>sealeo-2</t>
        </is>
      </c>
      <c r="AO1334" s="18" t="inlineStr">
        <is>
          <t>pokemon</t>
        </is>
      </c>
      <c r="AP1334" s="18" t="inlineStr">
        <is>
          <t>water</t>
        </is>
      </c>
      <c r="AQ1334" s="18" t="inlineStr">
        <is>
          <t>{"biomes":["#cobblemon:is_frozen_ocean"],"canSeeSky":true}</t>
        </is>
      </c>
      <c r="AR1334" s="18" t="inlineStr"/>
      <c r="AS1334" s="18" t="inlineStr"/>
      <c r="AT1334" s="19" t="inlineStr"/>
    </row>
    <row r="1335" ht="32" customHeight="1">
      <c r="A1335" s="18" t="inlineStr">
        <is>
          <t>0364_sealeo.json::sealeo-3::003</t>
        </is>
      </c>
      <c r="B1335" s="19" t="inlineStr">
        <is>
          <t>사용</t>
        </is>
      </c>
      <c r="C1335" s="18">
        <f>IF(OR(B1335&lt;&gt;AK1335,M1335&lt;&gt;L1335,O1335&lt;&gt;"",Q1335&lt;&gt;"",V1335&lt;&gt;1,Y1335&lt;&gt;"",AT1335&lt;&gt;""),"수정","원본")</f>
        <v/>
      </c>
      <c r="D1335" s="18" t="n">
        <v>364</v>
      </c>
      <c r="E1335" s="18" t="inlineStr">
        <is>
          <t>씨레오</t>
        </is>
      </c>
      <c r="F1335" s="18" t="inlineStr">
        <is>
          <t>sealeo</t>
        </is>
      </c>
      <c r="G1335" s="18" t="inlineStr">
        <is>
          <t>sealeo</t>
        </is>
      </c>
      <c r="H1335" s="18" t="inlineStr"/>
      <c r="I1335" s="18" t="n">
        <v>3</v>
      </c>
      <c r="J1335" s="18" t="n"/>
      <c r="K1335" s="18" t="n">
        <v>3</v>
      </c>
      <c r="L1335" s="18" t="inlineStr">
        <is>
          <t>cobbleventure:generation_3</t>
        </is>
      </c>
      <c r="M1335" s="19" t="inlineStr">
        <is>
          <t>cobbleventure:generation_3</t>
        </is>
      </c>
      <c r="N1335" s="18" t="inlineStr"/>
      <c r="O1335" s="19" t="inlineStr"/>
      <c r="P1335" s="18" t="inlineStr">
        <is>
          <t>#cobblemon:is_cold_ocean; #cobblemon:is_frozen_ocean</t>
        </is>
      </c>
      <c r="Q1335" s="19" t="inlineStr"/>
      <c r="R1335" s="18">
        <f>IF(Q1335="",P1335,Q1335)</f>
        <v/>
      </c>
      <c r="S1335" s="18" t="inlineStr"/>
      <c r="T1335" s="18" t="inlineStr">
        <is>
          <t>common</t>
        </is>
      </c>
      <c r="U1335" s="20" t="n">
        <v>0.18</v>
      </c>
      <c r="V1335" s="21" t="n">
        <v>1</v>
      </c>
      <c r="W1335" s="20">
        <f>IF(OR(U1335="",V1335=""),U1335,U1335*V1335)</f>
        <v/>
      </c>
      <c r="X1335" s="18" t="inlineStr">
        <is>
          <t>32-41</t>
        </is>
      </c>
      <c r="Y1335" s="19" t="inlineStr"/>
      <c r="Z1335" s="18">
        <f>IF(Y1335="",X1335,Y1335)</f>
        <v/>
      </c>
      <c r="AA1335" s="18" t="inlineStr">
        <is>
          <t>fishing</t>
        </is>
      </c>
      <c r="AB1335" s="18" t="inlineStr"/>
      <c r="AC1335" s="18" t="inlineStr"/>
      <c r="AD1335" s="18" t="inlineStr"/>
      <c r="AE1335" s="18" t="inlineStr"/>
      <c r="AF1335" s="18" t="inlineStr">
        <is>
          <t>True</t>
        </is>
      </c>
      <c r="AG1335" s="18" t="inlineStr"/>
      <c r="AH1335" s="18" t="inlineStr"/>
      <c r="AI1335" s="18" t="inlineStr"/>
      <c r="AJ1335" s="18" t="inlineStr">
        <is>
          <t>Cobblemon 동일</t>
        </is>
      </c>
      <c r="AK1335" s="18" t="inlineStr">
        <is>
          <t>사용</t>
        </is>
      </c>
      <c r="AL1335" s="18" t="inlineStr">
        <is>
          <t>COBBLEVERSE 1.7.42 / DP v31</t>
        </is>
      </c>
      <c r="AM1335" s="18" t="inlineStr">
        <is>
          <t>data/cobblemon/spawn_pool_world/0364_sealeo.json</t>
        </is>
      </c>
      <c r="AN1335" s="18" t="inlineStr">
        <is>
          <t>sealeo-3</t>
        </is>
      </c>
      <c r="AO1335" s="18" t="inlineStr">
        <is>
          <t>pokemon</t>
        </is>
      </c>
      <c r="AP1335" s="18" t="inlineStr"/>
      <c r="AQ1335" s="18" t="inlineStr">
        <is>
          <t>{"biomes":["#cobblemon:is_cold_ocean","#cobblemon:is_frozen_ocean"],"canSeeSky":true}</t>
        </is>
      </c>
      <c r="AR1335" s="18" t="inlineStr"/>
      <c r="AS1335" s="18" t="inlineStr">
        <is>
          <t>{"weightMultipliers":[{"condition":{"maxLureLevel":2,"minLureLevel":2},"multiplier":3.0},{"condition":{"minLureLevel":3},"multiplier":5.0}]}</t>
        </is>
      </c>
      <c r="AT1335" s="19" t="inlineStr"/>
    </row>
    <row r="1336" ht="32" customHeight="1">
      <c r="A1336" s="18" t="inlineStr">
        <is>
          <t>0364_sealeo.json::sealeo-4::004</t>
        </is>
      </c>
      <c r="B1336" s="19" t="inlineStr">
        <is>
          <t>사용</t>
        </is>
      </c>
      <c r="C1336" s="18">
        <f>IF(OR(B1336&lt;&gt;AK1336,M1336&lt;&gt;L1336,O1336&lt;&gt;"",Q1336&lt;&gt;"",V1336&lt;&gt;1,Y1336&lt;&gt;"",AT1336&lt;&gt;""),"수정","원본")</f>
        <v/>
      </c>
      <c r="D1336" s="18" t="n">
        <v>364</v>
      </c>
      <c r="E1336" s="18" t="inlineStr">
        <is>
          <t>씨레오</t>
        </is>
      </c>
      <c r="F1336" s="18" t="inlineStr">
        <is>
          <t>sealeo</t>
        </is>
      </c>
      <c r="G1336" s="18" t="inlineStr">
        <is>
          <t>sealeo</t>
        </is>
      </c>
      <c r="H1336" s="18" t="inlineStr"/>
      <c r="I1336" s="18" t="n">
        <v>3</v>
      </c>
      <c r="J1336" s="18" t="n"/>
      <c r="K1336" s="18" t="n">
        <v>3</v>
      </c>
      <c r="L1336" s="18" t="inlineStr">
        <is>
          <t>cobbleventure:generation_3</t>
        </is>
      </c>
      <c r="M1336" s="19" t="inlineStr">
        <is>
          <t>cobbleventure:generation_3</t>
        </is>
      </c>
      <c r="N1336" s="18" t="inlineStr"/>
      <c r="O1336" s="19" t="inlineStr"/>
      <c r="P1336" s="18" t="inlineStr">
        <is>
          <t>#cobblemon:is_frozen_ocean</t>
        </is>
      </c>
      <c r="Q1336" s="19" t="inlineStr"/>
      <c r="R1336" s="18">
        <f>IF(Q1336="",P1336,Q1336)</f>
        <v/>
      </c>
      <c r="S1336" s="18" t="inlineStr"/>
      <c r="T1336" s="18" t="inlineStr">
        <is>
          <t>common</t>
        </is>
      </c>
      <c r="U1336" s="20" t="n">
        <v>0.54</v>
      </c>
      <c r="V1336" s="21" t="n">
        <v>1</v>
      </c>
      <c r="W1336" s="20">
        <f>IF(OR(U1336="",V1336=""),U1336,U1336*V1336)</f>
        <v/>
      </c>
      <c r="X1336" s="18" t="inlineStr">
        <is>
          <t>32-41</t>
        </is>
      </c>
      <c r="Y1336" s="19" t="inlineStr"/>
      <c r="Z1336" s="18">
        <f>IF(Y1336="",X1336,Y1336)</f>
        <v/>
      </c>
      <c r="AA1336" s="18" t="inlineStr">
        <is>
          <t>submerged</t>
        </is>
      </c>
      <c r="AB1336" s="18" t="inlineStr"/>
      <c r="AC1336" s="18" t="inlineStr"/>
      <c r="AD1336" s="18" t="inlineStr"/>
      <c r="AE1336" s="18" t="inlineStr">
        <is>
          <t>sky 8-15</t>
        </is>
      </c>
      <c r="AF1336" s="18" t="inlineStr">
        <is>
          <t>False</t>
        </is>
      </c>
      <c r="AG1336" s="18" t="inlineStr"/>
      <c r="AH1336" s="18" t="inlineStr"/>
      <c r="AI1336" s="18" t="inlineStr"/>
      <c r="AJ1336" s="18" t="inlineStr">
        <is>
          <t>Cobblemon 동일</t>
        </is>
      </c>
      <c r="AK1336" s="18" t="inlineStr">
        <is>
          <t>사용</t>
        </is>
      </c>
      <c r="AL1336" s="18" t="inlineStr">
        <is>
          <t>COBBLEVERSE 1.7.42 / DP v31</t>
        </is>
      </c>
      <c r="AM1336" s="18" t="inlineStr">
        <is>
          <t>data/cobblemon/spawn_pool_world/0364_sealeo.json</t>
        </is>
      </c>
      <c r="AN1336" s="18" t="inlineStr">
        <is>
          <t>sealeo-4</t>
        </is>
      </c>
      <c r="AO1336" s="18" t="inlineStr">
        <is>
          <t>pokemon</t>
        </is>
      </c>
      <c r="AP1336" s="18" t="inlineStr">
        <is>
          <t>water</t>
        </is>
      </c>
      <c r="AQ1336" s="18" t="inlineStr">
        <is>
          <t>{"biomes":["#cobblemon:is_frozen_ocean"],"canSeeSky":false,"maxSkyLight":15,"minSkyLight":8}</t>
        </is>
      </c>
      <c r="AR1336" s="18" t="inlineStr"/>
      <c r="AS1336" s="18" t="inlineStr"/>
      <c r="AT1336" s="19" t="inlineStr"/>
    </row>
    <row r="1337" ht="32" customHeight="1">
      <c r="A1337" s="18" t="inlineStr">
        <is>
          <t>0364_sealeo.json::sealeo-5::005</t>
        </is>
      </c>
      <c r="B1337" s="19" t="inlineStr">
        <is>
          <t>사용</t>
        </is>
      </c>
      <c r="C1337" s="18">
        <f>IF(OR(B1337&lt;&gt;AK1337,M1337&lt;&gt;L1337,O1337&lt;&gt;"",Q1337&lt;&gt;"",V1337&lt;&gt;1,Y1337&lt;&gt;"",AT1337&lt;&gt;""),"수정","원본")</f>
        <v/>
      </c>
      <c r="D1337" s="18" t="n">
        <v>364</v>
      </c>
      <c r="E1337" s="18" t="inlineStr">
        <is>
          <t>씨레오</t>
        </is>
      </c>
      <c r="F1337" s="18" t="inlineStr">
        <is>
          <t>sealeo</t>
        </is>
      </c>
      <c r="G1337" s="18" t="inlineStr">
        <is>
          <t>sealeo</t>
        </is>
      </c>
      <c r="H1337" s="18" t="inlineStr"/>
      <c r="I1337" s="18" t="n">
        <v>3</v>
      </c>
      <c r="J1337" s="18" t="n"/>
      <c r="K1337" s="18" t="n">
        <v>3</v>
      </c>
      <c r="L1337" s="18" t="inlineStr">
        <is>
          <t>cobbleventure:generation_3</t>
        </is>
      </c>
      <c r="M1337" s="19" t="inlineStr">
        <is>
          <t>cobbleventure:generation_3</t>
        </is>
      </c>
      <c r="N1337" s="18" t="inlineStr"/>
      <c r="O1337" s="19" t="inlineStr"/>
      <c r="P1337" s="18" t="inlineStr">
        <is>
          <t>#cobblemon:is_cold_ocean; #cobblemon:is_frozen_ocean</t>
        </is>
      </c>
      <c r="Q1337" s="19" t="inlineStr"/>
      <c r="R1337" s="18">
        <f>IF(Q1337="",P1337,Q1337)</f>
        <v/>
      </c>
      <c r="S1337" s="18" t="inlineStr"/>
      <c r="T1337" s="18" t="inlineStr">
        <is>
          <t>common</t>
        </is>
      </c>
      <c r="U1337" s="20" t="n">
        <v>0.18</v>
      </c>
      <c r="V1337" s="21" t="n">
        <v>1</v>
      </c>
      <c r="W1337" s="20">
        <f>IF(OR(U1337="",V1337=""),U1337,U1337*V1337)</f>
        <v/>
      </c>
      <c r="X1337" s="18" t="inlineStr">
        <is>
          <t>32-41</t>
        </is>
      </c>
      <c r="Y1337" s="19" t="inlineStr"/>
      <c r="Z1337" s="18">
        <f>IF(Y1337="",X1337,Y1337)</f>
        <v/>
      </c>
      <c r="AA1337" s="18" t="inlineStr">
        <is>
          <t>fishing</t>
        </is>
      </c>
      <c r="AB1337" s="18" t="inlineStr"/>
      <c r="AC1337" s="18" t="inlineStr"/>
      <c r="AD1337" s="18" t="inlineStr"/>
      <c r="AE1337" s="18" t="inlineStr">
        <is>
          <t>sky 8-15</t>
        </is>
      </c>
      <c r="AF1337" s="18" t="inlineStr">
        <is>
          <t>False</t>
        </is>
      </c>
      <c r="AG1337" s="18" t="inlineStr"/>
      <c r="AH1337" s="18" t="inlineStr"/>
      <c r="AI1337" s="18" t="inlineStr"/>
      <c r="AJ1337" s="18" t="inlineStr">
        <is>
          <t>Cobblemon 동일</t>
        </is>
      </c>
      <c r="AK1337" s="18" t="inlineStr">
        <is>
          <t>사용</t>
        </is>
      </c>
      <c r="AL1337" s="18" t="inlineStr">
        <is>
          <t>COBBLEVERSE 1.7.42 / DP v31</t>
        </is>
      </c>
      <c r="AM1337" s="18" t="inlineStr">
        <is>
          <t>data/cobblemon/spawn_pool_world/0364_sealeo.json</t>
        </is>
      </c>
      <c r="AN1337" s="18" t="inlineStr">
        <is>
          <t>sealeo-5</t>
        </is>
      </c>
      <c r="AO1337" s="18" t="inlineStr">
        <is>
          <t>pokemon</t>
        </is>
      </c>
      <c r="AP1337" s="18" t="inlineStr"/>
      <c r="AQ1337" s="18" t="inlineStr">
        <is>
          <t>{"biomes":["#cobblemon:is_cold_ocean","#cobblemon:is_frozen_ocean"],"canSeeSky":false,"maxSkyLight":15,"minSkyLight":8}</t>
        </is>
      </c>
      <c r="AR1337" s="18" t="inlineStr"/>
      <c r="AS1337" s="18" t="inlineStr">
        <is>
          <t>{"weightMultipliers":[{"condition":{"maxLureLevel":2,"minLureLevel":2},"multiplier":3.0},{"condition":{"minLureLevel":3},"multiplier":5.0}]}</t>
        </is>
      </c>
      <c r="AT1337" s="19" t="inlineStr"/>
    </row>
    <row r="1338" ht="32" customHeight="1">
      <c r="A1338" s="18" t="inlineStr">
        <is>
          <t>0365_walrein.json::walrein-1::001</t>
        </is>
      </c>
      <c r="B1338" s="19" t="inlineStr">
        <is>
          <t>사용</t>
        </is>
      </c>
      <c r="C1338" s="18">
        <f>IF(OR(B1338&lt;&gt;AK1338,M1338&lt;&gt;L1338,O1338&lt;&gt;"",Q1338&lt;&gt;"",V1338&lt;&gt;1,Y1338&lt;&gt;"",AT1338&lt;&gt;""),"수정","원본")</f>
        <v/>
      </c>
      <c r="D1338" s="18" t="n">
        <v>365</v>
      </c>
      <c r="E1338" s="18" t="inlineStr">
        <is>
          <t>씨카이저</t>
        </is>
      </c>
      <c r="F1338" s="18" t="inlineStr">
        <is>
          <t>walrein</t>
        </is>
      </c>
      <c r="G1338" s="18" t="inlineStr">
        <is>
          <t>walrein</t>
        </is>
      </c>
      <c r="H1338" s="18" t="inlineStr"/>
      <c r="I1338" s="18" t="n">
        <v>3</v>
      </c>
      <c r="J1338" s="18" t="n"/>
      <c r="K1338" s="18" t="n">
        <v>3</v>
      </c>
      <c r="L1338" s="18" t="inlineStr">
        <is>
          <t>cobbleventure:generation_3</t>
        </is>
      </c>
      <c r="M1338" s="19" t="inlineStr">
        <is>
          <t>cobbleventure:generation_3</t>
        </is>
      </c>
      <c r="N1338" s="18" t="inlineStr"/>
      <c r="O1338" s="19" t="inlineStr"/>
      <c r="P1338" s="18" t="inlineStr">
        <is>
          <t>#cobblemon:is_frozen_ocean</t>
        </is>
      </c>
      <c r="Q1338" s="19" t="inlineStr"/>
      <c r="R1338" s="18">
        <f>IF(Q1338="",P1338,Q1338)</f>
        <v/>
      </c>
      <c r="S1338" s="18" t="inlineStr"/>
      <c r="T1338" s="18" t="inlineStr">
        <is>
          <t>common</t>
        </is>
      </c>
      <c r="U1338" s="20" t="n">
        <v>0.06</v>
      </c>
      <c r="V1338" s="21" t="n">
        <v>1</v>
      </c>
      <c r="W1338" s="20">
        <f>IF(OR(U1338="",V1338=""),U1338,U1338*V1338)</f>
        <v/>
      </c>
      <c r="X1338" s="18" t="inlineStr">
        <is>
          <t>44-53</t>
        </is>
      </c>
      <c r="Y1338" s="19" t="inlineStr"/>
      <c r="Z1338" s="18">
        <f>IF(Y1338="",X1338,Y1338)</f>
        <v/>
      </c>
      <c r="AA1338" s="18" t="inlineStr">
        <is>
          <t>grounded</t>
        </is>
      </c>
      <c r="AB1338" s="18" t="inlineStr"/>
      <c r="AC1338" s="18" t="inlineStr"/>
      <c r="AD1338" s="18" t="inlineStr"/>
      <c r="AE1338" s="18" t="inlineStr">
        <is>
          <t>sky 8-15</t>
        </is>
      </c>
      <c r="AF1338" s="18" t="inlineStr"/>
      <c r="AG1338" s="18" t="inlineStr"/>
      <c r="AH1338" s="18" t="inlineStr"/>
      <c r="AI1338" s="18" t="inlineStr"/>
      <c r="AJ1338" s="18" t="inlineStr">
        <is>
          <t>Cobblemon 동일</t>
        </is>
      </c>
      <c r="AK1338" s="18" t="inlineStr">
        <is>
          <t>사용</t>
        </is>
      </c>
      <c r="AL1338" s="18" t="inlineStr">
        <is>
          <t>COBBLEVERSE 1.7.42 / DP v31</t>
        </is>
      </c>
      <c r="AM1338" s="18" t="inlineStr">
        <is>
          <t>data/cobblemon/spawn_pool_world/0365_walrein.json</t>
        </is>
      </c>
      <c r="AN1338" s="18" t="inlineStr">
        <is>
          <t>walrein-1</t>
        </is>
      </c>
      <c r="AO1338" s="18" t="inlineStr">
        <is>
          <t>pokemon</t>
        </is>
      </c>
      <c r="AP1338" s="18" t="inlineStr">
        <is>
          <t>natural</t>
        </is>
      </c>
      <c r="AQ1338" s="18" t="inlineStr">
        <is>
          <t>{"biomes":["#cobblemon:is_frozen_ocean"],"maxSkyLight":15,"minSkyLight":8}</t>
        </is>
      </c>
      <c r="AR1338" s="18" t="inlineStr"/>
      <c r="AS1338" s="18" t="inlineStr"/>
      <c r="AT1338" s="19" t="inlineStr"/>
    </row>
    <row r="1339" ht="32" customHeight="1">
      <c r="A1339" s="18" t="inlineStr">
        <is>
          <t>0365_walrein.json::walrein-2::002</t>
        </is>
      </c>
      <c r="B1339" s="19" t="inlineStr">
        <is>
          <t>사용</t>
        </is>
      </c>
      <c r="C1339" s="18">
        <f>IF(OR(B1339&lt;&gt;AK1339,M1339&lt;&gt;L1339,O1339&lt;&gt;"",Q1339&lt;&gt;"",V1339&lt;&gt;1,Y1339&lt;&gt;"",AT1339&lt;&gt;""),"수정","원본")</f>
        <v/>
      </c>
      <c r="D1339" s="18" t="n">
        <v>365</v>
      </c>
      <c r="E1339" s="18" t="inlineStr">
        <is>
          <t>씨카이저</t>
        </is>
      </c>
      <c r="F1339" s="18" t="inlineStr">
        <is>
          <t>walrein</t>
        </is>
      </c>
      <c r="G1339" s="18" t="inlineStr">
        <is>
          <t>walrein</t>
        </is>
      </c>
      <c r="H1339" s="18" t="inlineStr"/>
      <c r="I1339" s="18" t="n">
        <v>3</v>
      </c>
      <c r="J1339" s="18" t="n"/>
      <c r="K1339" s="18" t="n">
        <v>3</v>
      </c>
      <c r="L1339" s="18" t="inlineStr">
        <is>
          <t>cobbleventure:generation_3</t>
        </is>
      </c>
      <c r="M1339" s="19" t="inlineStr">
        <is>
          <t>cobbleventure:generation_3</t>
        </is>
      </c>
      <c r="N1339" s="18" t="inlineStr"/>
      <c r="O1339" s="19" t="inlineStr"/>
      <c r="P1339" s="18" t="inlineStr">
        <is>
          <t>#cobblemon:is_frozen_ocean</t>
        </is>
      </c>
      <c r="Q1339" s="19" t="inlineStr"/>
      <c r="R1339" s="18">
        <f>IF(Q1339="",P1339,Q1339)</f>
        <v/>
      </c>
      <c r="S1339" s="18" t="inlineStr"/>
      <c r="T1339" s="18" t="inlineStr">
        <is>
          <t>common</t>
        </is>
      </c>
      <c r="U1339" s="20" t="n">
        <v>0.06</v>
      </c>
      <c r="V1339" s="21" t="n">
        <v>1</v>
      </c>
      <c r="W1339" s="20">
        <f>IF(OR(U1339="",V1339=""),U1339,U1339*V1339)</f>
        <v/>
      </c>
      <c r="X1339" s="18" t="inlineStr">
        <is>
          <t>44-53</t>
        </is>
      </c>
      <c r="Y1339" s="19" t="inlineStr"/>
      <c r="Z1339" s="18">
        <f>IF(Y1339="",X1339,Y1339)</f>
        <v/>
      </c>
      <c r="AA1339" s="18" t="inlineStr">
        <is>
          <t>submerged</t>
        </is>
      </c>
      <c r="AB1339" s="18" t="inlineStr"/>
      <c r="AC1339" s="18" t="inlineStr"/>
      <c r="AD1339" s="18" t="inlineStr"/>
      <c r="AE1339" s="18" t="inlineStr"/>
      <c r="AF1339" s="18" t="inlineStr">
        <is>
          <t>True</t>
        </is>
      </c>
      <c r="AG1339" s="18" t="inlineStr"/>
      <c r="AH1339" s="18" t="inlineStr"/>
      <c r="AI1339" s="18" t="inlineStr"/>
      <c r="AJ1339" s="18" t="inlineStr">
        <is>
          <t>Cobblemon 동일</t>
        </is>
      </c>
      <c r="AK1339" s="18" t="inlineStr">
        <is>
          <t>사용</t>
        </is>
      </c>
      <c r="AL1339" s="18" t="inlineStr">
        <is>
          <t>COBBLEVERSE 1.7.42 / DP v31</t>
        </is>
      </c>
      <c r="AM1339" s="18" t="inlineStr">
        <is>
          <t>data/cobblemon/spawn_pool_world/0365_walrein.json</t>
        </is>
      </c>
      <c r="AN1339" s="18" t="inlineStr">
        <is>
          <t>walrein-2</t>
        </is>
      </c>
      <c r="AO1339" s="18" t="inlineStr">
        <is>
          <t>pokemon</t>
        </is>
      </c>
      <c r="AP1339" s="18" t="inlineStr">
        <is>
          <t>water</t>
        </is>
      </c>
      <c r="AQ1339" s="18" t="inlineStr">
        <is>
          <t>{"biomes":["#cobblemon:is_frozen_ocean"],"canSeeSky":true}</t>
        </is>
      </c>
      <c r="AR1339" s="18" t="inlineStr"/>
      <c r="AS1339" s="18" t="inlineStr"/>
      <c r="AT1339" s="19" t="inlineStr"/>
    </row>
    <row r="1340" ht="32" customHeight="1">
      <c r="A1340" s="18" t="inlineStr">
        <is>
          <t>0365_walrein.json::walrein-3::003</t>
        </is>
      </c>
      <c r="B1340" s="19" t="inlineStr">
        <is>
          <t>사용</t>
        </is>
      </c>
      <c r="C1340" s="18">
        <f>IF(OR(B1340&lt;&gt;AK1340,M1340&lt;&gt;L1340,O1340&lt;&gt;"",Q1340&lt;&gt;"",V1340&lt;&gt;1,Y1340&lt;&gt;"",AT1340&lt;&gt;""),"수정","원본")</f>
        <v/>
      </c>
      <c r="D1340" s="18" t="n">
        <v>365</v>
      </c>
      <c r="E1340" s="18" t="inlineStr">
        <is>
          <t>씨카이저</t>
        </is>
      </c>
      <c r="F1340" s="18" t="inlineStr">
        <is>
          <t>walrein</t>
        </is>
      </c>
      <c r="G1340" s="18" t="inlineStr">
        <is>
          <t>walrein</t>
        </is>
      </c>
      <c r="H1340" s="18" t="inlineStr"/>
      <c r="I1340" s="18" t="n">
        <v>3</v>
      </c>
      <c r="J1340" s="18" t="n"/>
      <c r="K1340" s="18" t="n">
        <v>3</v>
      </c>
      <c r="L1340" s="18" t="inlineStr">
        <is>
          <t>cobbleventure:generation_3</t>
        </is>
      </c>
      <c r="M1340" s="19" t="inlineStr">
        <is>
          <t>cobbleventure:generation_3</t>
        </is>
      </c>
      <c r="N1340" s="18" t="inlineStr"/>
      <c r="O1340" s="19" t="inlineStr"/>
      <c r="P1340" s="18" t="inlineStr">
        <is>
          <t>#cobblemon:is_cold_ocean; #cobblemon:is_frozen_ocean</t>
        </is>
      </c>
      <c r="Q1340" s="19" t="inlineStr"/>
      <c r="R1340" s="18">
        <f>IF(Q1340="",P1340,Q1340)</f>
        <v/>
      </c>
      <c r="S1340" s="18" t="inlineStr"/>
      <c r="T1340" s="18" t="inlineStr">
        <is>
          <t>common</t>
        </is>
      </c>
      <c r="U1340" s="20" t="n">
        <v>0.02</v>
      </c>
      <c r="V1340" s="21" t="n">
        <v>1</v>
      </c>
      <c r="W1340" s="20">
        <f>IF(OR(U1340="",V1340=""),U1340,U1340*V1340)</f>
        <v/>
      </c>
      <c r="X1340" s="18" t="inlineStr">
        <is>
          <t>44-53</t>
        </is>
      </c>
      <c r="Y1340" s="19" t="inlineStr"/>
      <c r="Z1340" s="18">
        <f>IF(Y1340="",X1340,Y1340)</f>
        <v/>
      </c>
      <c r="AA1340" s="18" t="inlineStr">
        <is>
          <t>fishing</t>
        </is>
      </c>
      <c r="AB1340" s="18" t="inlineStr"/>
      <c r="AC1340" s="18" t="inlineStr"/>
      <c r="AD1340" s="18" t="inlineStr"/>
      <c r="AE1340" s="18" t="inlineStr"/>
      <c r="AF1340" s="18" t="inlineStr">
        <is>
          <t>True</t>
        </is>
      </c>
      <c r="AG1340" s="18" t="inlineStr"/>
      <c r="AH1340" s="18" t="inlineStr"/>
      <c r="AI1340" s="18" t="inlineStr"/>
      <c r="AJ1340" s="18" t="inlineStr">
        <is>
          <t>Cobblemon 동일</t>
        </is>
      </c>
      <c r="AK1340" s="18" t="inlineStr">
        <is>
          <t>사용</t>
        </is>
      </c>
      <c r="AL1340" s="18" t="inlineStr">
        <is>
          <t>COBBLEVERSE 1.7.42 / DP v31</t>
        </is>
      </c>
      <c r="AM1340" s="18" t="inlineStr">
        <is>
          <t>data/cobblemon/spawn_pool_world/0365_walrein.json</t>
        </is>
      </c>
      <c r="AN1340" s="18" t="inlineStr">
        <is>
          <t>walrein-3</t>
        </is>
      </c>
      <c r="AO1340" s="18" t="inlineStr">
        <is>
          <t>pokemon</t>
        </is>
      </c>
      <c r="AP1340" s="18" t="inlineStr"/>
      <c r="AQ1340" s="18" t="inlineStr">
        <is>
          <t>{"biomes":["#cobblemon:is_cold_ocean","#cobblemon:is_frozen_ocean"],"canSeeSky":true}</t>
        </is>
      </c>
      <c r="AR1340" s="18" t="inlineStr"/>
      <c r="AS1340" s="18" t="inlineStr">
        <is>
          <t>{"weightMultipliers":[{"condition":{"maxLureLevel":2,"minLureLevel":2},"multiplier":3.0},{"condition":{"minLureLevel":3},"multiplier":5.0}]}</t>
        </is>
      </c>
      <c r="AT1340" s="19" t="inlineStr"/>
    </row>
    <row r="1341" ht="32" customHeight="1">
      <c r="A1341" s="18" t="inlineStr">
        <is>
          <t>0365_walrein.json::walrein-4::004</t>
        </is>
      </c>
      <c r="B1341" s="19" t="inlineStr">
        <is>
          <t>사용</t>
        </is>
      </c>
      <c r="C1341" s="18">
        <f>IF(OR(B1341&lt;&gt;AK1341,M1341&lt;&gt;L1341,O1341&lt;&gt;"",Q1341&lt;&gt;"",V1341&lt;&gt;1,Y1341&lt;&gt;"",AT1341&lt;&gt;""),"수정","원본")</f>
        <v/>
      </c>
      <c r="D1341" s="18" t="n">
        <v>365</v>
      </c>
      <c r="E1341" s="18" t="inlineStr">
        <is>
          <t>씨카이저</t>
        </is>
      </c>
      <c r="F1341" s="18" t="inlineStr">
        <is>
          <t>walrein</t>
        </is>
      </c>
      <c r="G1341" s="18" t="inlineStr">
        <is>
          <t>walrein</t>
        </is>
      </c>
      <c r="H1341" s="18" t="inlineStr"/>
      <c r="I1341" s="18" t="n">
        <v>3</v>
      </c>
      <c r="J1341" s="18" t="n"/>
      <c r="K1341" s="18" t="n">
        <v>3</v>
      </c>
      <c r="L1341" s="18" t="inlineStr">
        <is>
          <t>cobbleventure:generation_3</t>
        </is>
      </c>
      <c r="M1341" s="19" t="inlineStr">
        <is>
          <t>cobbleventure:generation_3</t>
        </is>
      </c>
      <c r="N1341" s="18" t="inlineStr"/>
      <c r="O1341" s="19" t="inlineStr"/>
      <c r="P1341" s="18" t="inlineStr">
        <is>
          <t>#cobblemon:is_frozen_ocean</t>
        </is>
      </c>
      <c r="Q1341" s="19" t="inlineStr"/>
      <c r="R1341" s="18">
        <f>IF(Q1341="",P1341,Q1341)</f>
        <v/>
      </c>
      <c r="S1341" s="18" t="inlineStr"/>
      <c r="T1341" s="18" t="inlineStr">
        <is>
          <t>common</t>
        </is>
      </c>
      <c r="U1341" s="20" t="n">
        <v>0.06</v>
      </c>
      <c r="V1341" s="21" t="n">
        <v>1</v>
      </c>
      <c r="W1341" s="20">
        <f>IF(OR(U1341="",V1341=""),U1341,U1341*V1341)</f>
        <v/>
      </c>
      <c r="X1341" s="18" t="inlineStr">
        <is>
          <t>44-53</t>
        </is>
      </c>
      <c r="Y1341" s="19" t="inlineStr"/>
      <c r="Z1341" s="18">
        <f>IF(Y1341="",X1341,Y1341)</f>
        <v/>
      </c>
      <c r="AA1341" s="18" t="inlineStr">
        <is>
          <t>submerged</t>
        </is>
      </c>
      <c r="AB1341" s="18" t="inlineStr"/>
      <c r="AC1341" s="18" t="inlineStr"/>
      <c r="AD1341" s="18" t="inlineStr"/>
      <c r="AE1341" s="18" t="inlineStr">
        <is>
          <t>sky 8-15</t>
        </is>
      </c>
      <c r="AF1341" s="18" t="inlineStr">
        <is>
          <t>False</t>
        </is>
      </c>
      <c r="AG1341" s="18" t="inlineStr"/>
      <c r="AH1341" s="18" t="inlineStr"/>
      <c r="AI1341" s="18" t="inlineStr"/>
      <c r="AJ1341" s="18" t="inlineStr">
        <is>
          <t>Cobblemon 동일</t>
        </is>
      </c>
      <c r="AK1341" s="18" t="inlineStr">
        <is>
          <t>사용</t>
        </is>
      </c>
      <c r="AL1341" s="18" t="inlineStr">
        <is>
          <t>COBBLEVERSE 1.7.42 / DP v31</t>
        </is>
      </c>
      <c r="AM1341" s="18" t="inlineStr">
        <is>
          <t>data/cobblemon/spawn_pool_world/0365_walrein.json</t>
        </is>
      </c>
      <c r="AN1341" s="18" t="inlineStr">
        <is>
          <t>walrein-4</t>
        </is>
      </c>
      <c r="AO1341" s="18" t="inlineStr">
        <is>
          <t>pokemon</t>
        </is>
      </c>
      <c r="AP1341" s="18" t="inlineStr">
        <is>
          <t>water</t>
        </is>
      </c>
      <c r="AQ1341" s="18" t="inlineStr">
        <is>
          <t>{"biomes":["#cobblemon:is_frozen_ocean"],"canSeeSky":false,"maxSkyLight":15,"minSkyLight":8}</t>
        </is>
      </c>
      <c r="AR1341" s="18" t="inlineStr"/>
      <c r="AS1341" s="18" t="inlineStr"/>
      <c r="AT1341" s="19" t="inlineStr"/>
    </row>
    <row r="1342" ht="32" customHeight="1">
      <c r="A1342" s="18" t="inlineStr">
        <is>
          <t>0365_walrein.json::walrein-5::005</t>
        </is>
      </c>
      <c r="B1342" s="19" t="inlineStr">
        <is>
          <t>사용</t>
        </is>
      </c>
      <c r="C1342" s="18">
        <f>IF(OR(B1342&lt;&gt;AK1342,M1342&lt;&gt;L1342,O1342&lt;&gt;"",Q1342&lt;&gt;"",V1342&lt;&gt;1,Y1342&lt;&gt;"",AT1342&lt;&gt;""),"수정","원본")</f>
        <v/>
      </c>
      <c r="D1342" s="18" t="n">
        <v>365</v>
      </c>
      <c r="E1342" s="18" t="inlineStr">
        <is>
          <t>씨카이저</t>
        </is>
      </c>
      <c r="F1342" s="18" t="inlineStr">
        <is>
          <t>walrein</t>
        </is>
      </c>
      <c r="G1342" s="18" t="inlineStr">
        <is>
          <t>walrein</t>
        </is>
      </c>
      <c r="H1342" s="18" t="inlineStr"/>
      <c r="I1342" s="18" t="n">
        <v>3</v>
      </c>
      <c r="J1342" s="18" t="n"/>
      <c r="K1342" s="18" t="n">
        <v>3</v>
      </c>
      <c r="L1342" s="18" t="inlineStr">
        <is>
          <t>cobbleventure:generation_3</t>
        </is>
      </c>
      <c r="M1342" s="19" t="inlineStr">
        <is>
          <t>cobbleventure:generation_3</t>
        </is>
      </c>
      <c r="N1342" s="18" t="inlineStr"/>
      <c r="O1342" s="19" t="inlineStr"/>
      <c r="P1342" s="18" t="inlineStr">
        <is>
          <t>#cobblemon:is_cold_ocean; #cobblemon:is_frozen_ocean</t>
        </is>
      </c>
      <c r="Q1342" s="19" t="inlineStr"/>
      <c r="R1342" s="18">
        <f>IF(Q1342="",P1342,Q1342)</f>
        <v/>
      </c>
      <c r="S1342" s="18" t="inlineStr"/>
      <c r="T1342" s="18" t="inlineStr">
        <is>
          <t>common</t>
        </is>
      </c>
      <c r="U1342" s="20" t="n">
        <v>0.02</v>
      </c>
      <c r="V1342" s="21" t="n">
        <v>1</v>
      </c>
      <c r="W1342" s="20">
        <f>IF(OR(U1342="",V1342=""),U1342,U1342*V1342)</f>
        <v/>
      </c>
      <c r="X1342" s="18" t="inlineStr">
        <is>
          <t>44-53</t>
        </is>
      </c>
      <c r="Y1342" s="19" t="inlineStr"/>
      <c r="Z1342" s="18">
        <f>IF(Y1342="",X1342,Y1342)</f>
        <v/>
      </c>
      <c r="AA1342" s="18" t="inlineStr">
        <is>
          <t>fishing</t>
        </is>
      </c>
      <c r="AB1342" s="18" t="inlineStr"/>
      <c r="AC1342" s="18" t="inlineStr"/>
      <c r="AD1342" s="18" t="inlineStr"/>
      <c r="AE1342" s="18" t="inlineStr">
        <is>
          <t>sky 8-15</t>
        </is>
      </c>
      <c r="AF1342" s="18" t="inlineStr">
        <is>
          <t>False</t>
        </is>
      </c>
      <c r="AG1342" s="18" t="inlineStr"/>
      <c r="AH1342" s="18" t="inlineStr"/>
      <c r="AI1342" s="18" t="inlineStr"/>
      <c r="AJ1342" s="18" t="inlineStr">
        <is>
          <t>Cobblemon 동일</t>
        </is>
      </c>
      <c r="AK1342" s="18" t="inlineStr">
        <is>
          <t>사용</t>
        </is>
      </c>
      <c r="AL1342" s="18" t="inlineStr">
        <is>
          <t>COBBLEVERSE 1.7.42 / DP v31</t>
        </is>
      </c>
      <c r="AM1342" s="18" t="inlineStr">
        <is>
          <t>data/cobblemon/spawn_pool_world/0365_walrein.json</t>
        </is>
      </c>
      <c r="AN1342" s="18" t="inlineStr">
        <is>
          <t>walrein-5</t>
        </is>
      </c>
      <c r="AO1342" s="18" t="inlineStr">
        <is>
          <t>pokemon</t>
        </is>
      </c>
      <c r="AP1342" s="18" t="inlineStr"/>
      <c r="AQ1342" s="18" t="inlineStr">
        <is>
          <t>{"biomes":["#cobblemon:is_cold_ocean","#cobblemon:is_frozen_ocean"],"canSeeSky":false,"maxSkyLight":15,"minSkyLight":8}</t>
        </is>
      </c>
      <c r="AR1342" s="18" t="inlineStr"/>
      <c r="AS1342" s="18" t="inlineStr">
        <is>
          <t>{"weightMultipliers":[{"condition":{"maxLureLevel":2,"minLureLevel":2},"multiplier":3.0},{"condition":{"minLureLevel":3},"multiplier":5.0}]}</t>
        </is>
      </c>
      <c r="AT1342" s="19" t="inlineStr"/>
    </row>
    <row r="1343" ht="32" customHeight="1">
      <c r="A1343" s="18" t="inlineStr">
        <is>
          <t>0366_clamperl.json::clamperl-1::001</t>
        </is>
      </c>
      <c r="B1343" s="19" t="inlineStr">
        <is>
          <t>사용</t>
        </is>
      </c>
      <c r="C1343" s="18">
        <f>IF(OR(B1343&lt;&gt;AK1343,M1343&lt;&gt;L1343,O1343&lt;&gt;"",Q1343&lt;&gt;"",V1343&lt;&gt;1,Y1343&lt;&gt;"",AT1343&lt;&gt;""),"수정","원본")</f>
        <v/>
      </c>
      <c r="D1343" s="18" t="n">
        <v>366</v>
      </c>
      <c r="E1343" s="18" t="inlineStr">
        <is>
          <t>진주몽</t>
        </is>
      </c>
      <c r="F1343" s="18" t="inlineStr">
        <is>
          <t>clamperl</t>
        </is>
      </c>
      <c r="G1343" s="18" t="inlineStr">
        <is>
          <t>clamperl</t>
        </is>
      </c>
      <c r="H1343" s="18" t="inlineStr"/>
      <c r="I1343" s="18" t="n">
        <v>3</v>
      </c>
      <c r="J1343" s="18" t="n"/>
      <c r="K1343" s="18" t="n">
        <v>3</v>
      </c>
      <c r="L1343" s="18" t="inlineStr">
        <is>
          <t>cobbleventure:generation_3</t>
        </is>
      </c>
      <c r="M1343" s="19" t="inlineStr">
        <is>
          <t>cobbleventure:generation_3</t>
        </is>
      </c>
      <c r="N1343" s="18" t="inlineStr"/>
      <c r="O1343" s="19" t="inlineStr"/>
      <c r="P1343" s="18" t="inlineStr">
        <is>
          <t>#cobblemon:is_deep_ocean</t>
        </is>
      </c>
      <c r="Q1343" s="19" t="inlineStr"/>
      <c r="R1343" s="18">
        <f>IF(Q1343="",P1343,Q1343)</f>
        <v/>
      </c>
      <c r="S1343" s="18" t="inlineStr"/>
      <c r="T1343" s="18" t="inlineStr">
        <is>
          <t>uncommon</t>
        </is>
      </c>
      <c r="U1343" s="20" t="n">
        <v>9.199999999999999</v>
      </c>
      <c r="V1343" s="21" t="n">
        <v>1</v>
      </c>
      <c r="W1343" s="20">
        <f>IF(OR(U1343="",V1343=""),U1343,U1343*V1343)</f>
        <v/>
      </c>
      <c r="X1343" s="18" t="inlineStr">
        <is>
          <t>10-35</t>
        </is>
      </c>
      <c r="Y1343" s="19" t="inlineStr"/>
      <c r="Z1343" s="18">
        <f>IF(Y1343="",X1343,Y1343)</f>
        <v/>
      </c>
      <c r="AA1343" s="18" t="inlineStr">
        <is>
          <t>seafloor</t>
        </is>
      </c>
      <c r="AB1343" s="18" t="inlineStr"/>
      <c r="AC1343" s="18" t="inlineStr"/>
      <c r="AD1343" s="18" t="inlineStr">
        <is>
          <t>maxY=48</t>
        </is>
      </c>
      <c r="AE1343" s="18" t="inlineStr"/>
      <c r="AF1343" s="18" t="inlineStr">
        <is>
          <t>True</t>
        </is>
      </c>
      <c r="AG1343" s="18" t="inlineStr"/>
      <c r="AH1343" s="18" t="inlineStr"/>
      <c r="AI1343" s="18" t="inlineStr"/>
      <c r="AJ1343" s="18" t="inlineStr">
        <is>
          <t>Cobblemon 동일</t>
        </is>
      </c>
      <c r="AK1343" s="18" t="inlineStr">
        <is>
          <t>사용</t>
        </is>
      </c>
      <c r="AL1343" s="18" t="inlineStr">
        <is>
          <t>COBBLEVERSE 1.7.42 / DP v31</t>
        </is>
      </c>
      <c r="AM1343" s="18" t="inlineStr">
        <is>
          <t>data/cobblemon/spawn_pool_world/0366_clamperl.json</t>
        </is>
      </c>
      <c r="AN1343" s="18" t="inlineStr">
        <is>
          <t>clamperl-1</t>
        </is>
      </c>
      <c r="AO1343" s="18" t="inlineStr">
        <is>
          <t>pokemon</t>
        </is>
      </c>
      <c r="AP1343" s="18" t="inlineStr">
        <is>
          <t>water</t>
        </is>
      </c>
      <c r="AQ1343" s="18" t="inlineStr">
        <is>
          <t>{"biomes":["#cobblemon:is_deep_ocean"],"canSeeSky":true,"maxY":48}</t>
        </is>
      </c>
      <c r="AR1343" s="18" t="inlineStr"/>
      <c r="AS1343" s="18" t="inlineStr"/>
      <c r="AT1343" s="19" t="inlineStr"/>
    </row>
    <row r="1344" ht="32" customHeight="1">
      <c r="A1344" s="18" t="inlineStr">
        <is>
          <t>0366_clamperl.json::clamperl-2::002</t>
        </is>
      </c>
      <c r="B1344" s="19" t="inlineStr">
        <is>
          <t>사용</t>
        </is>
      </c>
      <c r="C1344" s="18">
        <f>IF(OR(B1344&lt;&gt;AK1344,M1344&lt;&gt;L1344,O1344&lt;&gt;"",Q1344&lt;&gt;"",V1344&lt;&gt;1,Y1344&lt;&gt;"",AT1344&lt;&gt;""),"수정","원본")</f>
        <v/>
      </c>
      <c r="D1344" s="18" t="n">
        <v>366</v>
      </c>
      <c r="E1344" s="18" t="inlineStr">
        <is>
          <t>진주몽</t>
        </is>
      </c>
      <c r="F1344" s="18" t="inlineStr">
        <is>
          <t>clamperl</t>
        </is>
      </c>
      <c r="G1344" s="18" t="inlineStr">
        <is>
          <t>clamperl</t>
        </is>
      </c>
      <c r="H1344" s="18" t="inlineStr"/>
      <c r="I1344" s="18" t="n">
        <v>3</v>
      </c>
      <c r="J1344" s="18" t="n"/>
      <c r="K1344" s="18" t="n">
        <v>3</v>
      </c>
      <c r="L1344" s="18" t="inlineStr">
        <is>
          <t>cobbleventure:generation_3</t>
        </is>
      </c>
      <c r="M1344" s="19" t="inlineStr">
        <is>
          <t>cobbleventure:generation_3</t>
        </is>
      </c>
      <c r="N1344" s="18" t="inlineStr"/>
      <c r="O1344" s="19" t="inlineStr"/>
      <c r="P1344" s="18" t="inlineStr">
        <is>
          <t>#cobblemon:is_warm_ocean</t>
        </is>
      </c>
      <c r="Q1344" s="19" t="inlineStr"/>
      <c r="R1344" s="18">
        <f>IF(Q1344="",P1344,Q1344)</f>
        <v/>
      </c>
      <c r="S1344" s="18" t="inlineStr"/>
      <c r="T1344" s="18" t="inlineStr">
        <is>
          <t>rare</t>
        </is>
      </c>
      <c r="U1344" s="20" t="n">
        <v>8.75</v>
      </c>
      <c r="V1344" s="21" t="n">
        <v>1</v>
      </c>
      <c r="W1344" s="20">
        <f>IF(OR(U1344="",V1344=""),U1344,U1344*V1344)</f>
        <v/>
      </c>
      <c r="X1344" s="18" t="inlineStr">
        <is>
          <t>10-35</t>
        </is>
      </c>
      <c r="Y1344" s="19" t="inlineStr"/>
      <c r="Z1344" s="18">
        <f>IF(Y1344="",X1344,Y1344)</f>
        <v/>
      </c>
      <c r="AA1344" s="18" t="inlineStr">
        <is>
          <t>seafloor</t>
        </is>
      </c>
      <c r="AB1344" s="18" t="inlineStr"/>
      <c r="AC1344" s="18" t="inlineStr"/>
      <c r="AD1344" s="18" t="inlineStr"/>
      <c r="AE1344" s="18" t="inlineStr"/>
      <c r="AF1344" s="18" t="inlineStr">
        <is>
          <t>True</t>
        </is>
      </c>
      <c r="AG1344" s="18" t="inlineStr"/>
      <c r="AH1344" s="18" t="inlineStr"/>
      <c r="AI1344" s="18" t="inlineStr"/>
      <c r="AJ1344" s="18" t="inlineStr">
        <is>
          <t>Cobblemon 동일</t>
        </is>
      </c>
      <c r="AK1344" s="18" t="inlineStr">
        <is>
          <t>사용</t>
        </is>
      </c>
      <c r="AL1344" s="18" t="inlineStr">
        <is>
          <t>COBBLEVERSE 1.7.42 / DP v31</t>
        </is>
      </c>
      <c r="AM1344" s="18" t="inlineStr">
        <is>
          <t>data/cobblemon/spawn_pool_world/0366_clamperl.json</t>
        </is>
      </c>
      <c r="AN1344" s="18" t="inlineStr">
        <is>
          <t>clamperl-2</t>
        </is>
      </c>
      <c r="AO1344" s="18" t="inlineStr">
        <is>
          <t>pokemon</t>
        </is>
      </c>
      <c r="AP1344" s="18" t="inlineStr">
        <is>
          <t>water</t>
        </is>
      </c>
      <c r="AQ1344" s="18" t="inlineStr">
        <is>
          <t>{"biomes":["#cobblemon:is_warm_ocean"],"canSeeSky":true}</t>
        </is>
      </c>
      <c r="AR1344" s="18" t="inlineStr"/>
      <c r="AS1344" s="18" t="inlineStr"/>
      <c r="AT1344" s="19" t="inlineStr"/>
    </row>
    <row r="1345" ht="32" customHeight="1">
      <c r="A1345" s="18" t="inlineStr">
        <is>
          <t>0366_clamperl.json::clamperl-3::003</t>
        </is>
      </c>
      <c r="B1345" s="19" t="inlineStr">
        <is>
          <t>사용</t>
        </is>
      </c>
      <c r="C1345" s="18">
        <f>IF(OR(B1345&lt;&gt;AK1345,M1345&lt;&gt;L1345,O1345&lt;&gt;"",Q1345&lt;&gt;"",V1345&lt;&gt;1,Y1345&lt;&gt;"",AT1345&lt;&gt;""),"수정","원본")</f>
        <v/>
      </c>
      <c r="D1345" s="18" t="n">
        <v>366</v>
      </c>
      <c r="E1345" s="18" t="inlineStr">
        <is>
          <t>진주몽</t>
        </is>
      </c>
      <c r="F1345" s="18" t="inlineStr">
        <is>
          <t>clamperl</t>
        </is>
      </c>
      <c r="G1345" s="18" t="inlineStr">
        <is>
          <t>clamperl</t>
        </is>
      </c>
      <c r="H1345" s="18" t="inlineStr"/>
      <c r="I1345" s="18" t="n">
        <v>3</v>
      </c>
      <c r="J1345" s="18" t="n"/>
      <c r="K1345" s="18" t="n">
        <v>3</v>
      </c>
      <c r="L1345" s="18" t="inlineStr">
        <is>
          <t>cobbleventure:generation_3</t>
        </is>
      </c>
      <c r="M1345" s="19" t="inlineStr">
        <is>
          <t>cobbleventure:generation_3</t>
        </is>
      </c>
      <c r="N1345" s="18" t="inlineStr"/>
      <c r="O1345" s="19" t="inlineStr"/>
      <c r="P1345" s="18" t="inlineStr">
        <is>
          <t>#cobblemon:is_ocean</t>
        </is>
      </c>
      <c r="Q1345" s="19" t="inlineStr"/>
      <c r="R1345" s="18">
        <f>IF(Q1345="",P1345,Q1345)</f>
        <v/>
      </c>
      <c r="S1345" s="18" t="inlineStr"/>
      <c r="T1345" s="18" t="inlineStr">
        <is>
          <t>rare</t>
        </is>
      </c>
      <c r="U1345" s="20" t="n">
        <v>5.25</v>
      </c>
      <c r="V1345" s="21" t="n">
        <v>1</v>
      </c>
      <c r="W1345" s="20">
        <f>IF(OR(U1345="",V1345=""),U1345,U1345*V1345)</f>
        <v/>
      </c>
      <c r="X1345" s="18" t="inlineStr">
        <is>
          <t>10-35</t>
        </is>
      </c>
      <c r="Y1345" s="19" t="inlineStr"/>
      <c r="Z1345" s="18">
        <f>IF(Y1345="",X1345,Y1345)</f>
        <v/>
      </c>
      <c r="AA1345" s="18" t="inlineStr">
        <is>
          <t>fishing</t>
        </is>
      </c>
      <c r="AB1345" s="18" t="inlineStr"/>
      <c r="AC1345" s="18" t="inlineStr"/>
      <c r="AD1345" s="18" t="inlineStr"/>
      <c r="AE1345" s="18" t="inlineStr"/>
      <c r="AF1345" s="18" t="inlineStr">
        <is>
          <t>True</t>
        </is>
      </c>
      <c r="AG1345" s="18" t="inlineStr"/>
      <c r="AH1345" s="18" t="inlineStr"/>
      <c r="AI1345" s="18" t="inlineStr"/>
      <c r="AJ1345" s="18" t="inlineStr">
        <is>
          <t>Cobblemon 동일</t>
        </is>
      </c>
      <c r="AK1345" s="18" t="inlineStr">
        <is>
          <t>사용</t>
        </is>
      </c>
      <c r="AL1345" s="18" t="inlineStr">
        <is>
          <t>COBBLEVERSE 1.7.42 / DP v31</t>
        </is>
      </c>
      <c r="AM1345" s="18" t="inlineStr">
        <is>
          <t>data/cobblemon/spawn_pool_world/0366_clamperl.json</t>
        </is>
      </c>
      <c r="AN1345" s="18" t="inlineStr">
        <is>
          <t>clamperl-3</t>
        </is>
      </c>
      <c r="AO1345" s="18" t="inlineStr">
        <is>
          <t>pokemon</t>
        </is>
      </c>
      <c r="AP1345" s="18" t="inlineStr"/>
      <c r="AQ1345" s="18" t="inlineStr">
        <is>
          <t>{"biomes":["#cobblemon:is_ocean"],"canSeeSky":true}</t>
        </is>
      </c>
      <c r="AR1345" s="18" t="inlineStr"/>
      <c r="AS1345" s="18" t="inlineStr"/>
      <c r="AT1345" s="19" t="inlineStr"/>
    </row>
    <row r="1346" ht="32" customHeight="1">
      <c r="A1346" s="18" t="inlineStr">
        <is>
          <t>0366_clamperl.json::clamperl-4::004</t>
        </is>
      </c>
      <c r="B1346" s="19" t="inlineStr">
        <is>
          <t>사용</t>
        </is>
      </c>
      <c r="C1346" s="18">
        <f>IF(OR(B1346&lt;&gt;AK1346,M1346&lt;&gt;L1346,O1346&lt;&gt;"",Q1346&lt;&gt;"",V1346&lt;&gt;1,Y1346&lt;&gt;"",AT1346&lt;&gt;""),"수정","원본")</f>
        <v/>
      </c>
      <c r="D1346" s="18" t="n">
        <v>366</v>
      </c>
      <c r="E1346" s="18" t="inlineStr">
        <is>
          <t>진주몽</t>
        </is>
      </c>
      <c r="F1346" s="18" t="inlineStr">
        <is>
          <t>clamperl</t>
        </is>
      </c>
      <c r="G1346" s="18" t="inlineStr">
        <is>
          <t>clamperl</t>
        </is>
      </c>
      <c r="H1346" s="18" t="inlineStr"/>
      <c r="I1346" s="18" t="n">
        <v>3</v>
      </c>
      <c r="J1346" s="18" t="n"/>
      <c r="K1346" s="18" t="n">
        <v>3</v>
      </c>
      <c r="L1346" s="18" t="inlineStr">
        <is>
          <t>cobbleventure:generation_3</t>
        </is>
      </c>
      <c r="M1346" s="19" t="inlineStr">
        <is>
          <t>cobbleventure:generation_3</t>
        </is>
      </c>
      <c r="N1346" s="18" t="inlineStr"/>
      <c r="O1346" s="19" t="inlineStr"/>
      <c r="P1346" s="18" t="inlineStr">
        <is>
          <t>#cobblemon:is_ocean</t>
        </is>
      </c>
      <c r="Q1346" s="19" t="inlineStr"/>
      <c r="R1346" s="18">
        <f>IF(Q1346="",P1346,Q1346)</f>
        <v/>
      </c>
      <c r="S1346" s="18" t="inlineStr"/>
      <c r="T1346" s="18" t="inlineStr">
        <is>
          <t>rare</t>
        </is>
      </c>
      <c r="U1346" s="20" t="n">
        <v>5.25</v>
      </c>
      <c r="V1346" s="21" t="n">
        <v>1</v>
      </c>
      <c r="W1346" s="20">
        <f>IF(OR(U1346="",V1346=""),U1346,U1346*V1346)</f>
        <v/>
      </c>
      <c r="X1346" s="18" t="inlineStr">
        <is>
          <t>10-35</t>
        </is>
      </c>
      <c r="Y1346" s="19" t="inlineStr"/>
      <c r="Z1346" s="18">
        <f>IF(Y1346="",X1346,Y1346)</f>
        <v/>
      </c>
      <c r="AA1346" s="18" t="inlineStr">
        <is>
          <t>fishing</t>
        </is>
      </c>
      <c r="AB1346" s="18" t="inlineStr"/>
      <c r="AC1346" s="18" t="inlineStr"/>
      <c r="AD1346" s="18" t="inlineStr"/>
      <c r="AE1346" s="18" t="inlineStr">
        <is>
          <t>sky 8-15</t>
        </is>
      </c>
      <c r="AF1346" s="18" t="inlineStr">
        <is>
          <t>False</t>
        </is>
      </c>
      <c r="AG1346" s="18" t="inlineStr"/>
      <c r="AH1346" s="18" t="inlineStr"/>
      <c r="AI1346" s="18" t="inlineStr"/>
      <c r="AJ1346" s="18" t="inlineStr">
        <is>
          <t>Cobblemon 동일</t>
        </is>
      </c>
      <c r="AK1346" s="18" t="inlineStr">
        <is>
          <t>사용</t>
        </is>
      </c>
      <c r="AL1346" s="18" t="inlineStr">
        <is>
          <t>COBBLEVERSE 1.7.42 / DP v31</t>
        </is>
      </c>
      <c r="AM1346" s="18" t="inlineStr">
        <is>
          <t>data/cobblemon/spawn_pool_world/0366_clamperl.json</t>
        </is>
      </c>
      <c r="AN1346" s="18" t="inlineStr">
        <is>
          <t>clamperl-4</t>
        </is>
      </c>
      <c r="AO1346" s="18" t="inlineStr">
        <is>
          <t>pokemon</t>
        </is>
      </c>
      <c r="AP1346" s="18" t="inlineStr"/>
      <c r="AQ1346" s="18" t="inlineStr">
        <is>
          <t>{"biomes":["#cobblemon:is_ocean"],"canSeeSky":false,"maxSkyLight":15,"minSkyLight":8}</t>
        </is>
      </c>
      <c r="AR1346" s="18" t="inlineStr"/>
      <c r="AS1346" s="18" t="inlineStr"/>
      <c r="AT1346" s="19" t="inlineStr"/>
    </row>
    <row r="1347" ht="32" customHeight="1">
      <c r="A1347" s="18" t="inlineStr">
        <is>
          <t>0366_clamperl.json::clamperl-5::005</t>
        </is>
      </c>
      <c r="B1347" s="19" t="inlineStr">
        <is>
          <t>사용</t>
        </is>
      </c>
      <c r="C1347" s="18">
        <f>IF(OR(B1347&lt;&gt;AK1347,M1347&lt;&gt;L1347,O1347&lt;&gt;"",Q1347&lt;&gt;"",V1347&lt;&gt;1,Y1347&lt;&gt;"",AT1347&lt;&gt;""),"수정","원본")</f>
        <v/>
      </c>
      <c r="D1347" s="18" t="n">
        <v>366</v>
      </c>
      <c r="E1347" s="18" t="inlineStr">
        <is>
          <t>진주몽</t>
        </is>
      </c>
      <c r="F1347" s="18" t="inlineStr">
        <is>
          <t>clamperl</t>
        </is>
      </c>
      <c r="G1347" s="18" t="inlineStr">
        <is>
          <t>clamperl</t>
        </is>
      </c>
      <c r="H1347" s="18" t="inlineStr"/>
      <c r="I1347" s="18" t="n">
        <v>3</v>
      </c>
      <c r="J1347" s="18" t="n"/>
      <c r="K1347" s="18" t="n">
        <v>3</v>
      </c>
      <c r="L1347" s="18" t="inlineStr">
        <is>
          <t>cobbleventure:generation_3</t>
        </is>
      </c>
      <c r="M1347" s="19" t="inlineStr">
        <is>
          <t>cobbleventure:generation_3</t>
        </is>
      </c>
      <c r="N1347" s="18" t="inlineStr">
        <is>
          <t>region_01; region_02</t>
        </is>
      </c>
      <c r="O1347" s="19" t="inlineStr"/>
      <c r="P1347" s="18" t="inlineStr">
        <is>
          <t>#cobblemon:is_overworld</t>
        </is>
      </c>
      <c r="Q1347" s="19" t="inlineStr"/>
      <c r="R1347" s="18">
        <f>IF(Q1347="",P1347,Q1347)</f>
        <v/>
      </c>
      <c r="S1347" s="18" t="inlineStr"/>
      <c r="T1347" s="18" t="inlineStr">
        <is>
          <t>uncommon</t>
        </is>
      </c>
      <c r="U1347" s="20" t="n">
        <v>9.199999999999999</v>
      </c>
      <c r="V1347" s="21" t="n">
        <v>1</v>
      </c>
      <c r="W1347" s="20">
        <f>IF(OR(U1347="",V1347=""),U1347,U1347*V1347)</f>
        <v/>
      </c>
      <c r="X1347" s="18" t="inlineStr">
        <is>
          <t>10-35</t>
        </is>
      </c>
      <c r="Y1347" s="19" t="inlineStr"/>
      <c r="Z1347" s="18">
        <f>IF(Y1347="",X1347,Y1347)</f>
        <v/>
      </c>
      <c r="AA1347" s="18" t="inlineStr">
        <is>
          <t>seafloor</t>
        </is>
      </c>
      <c r="AB1347" s="18" t="inlineStr"/>
      <c r="AC1347" s="18" t="inlineStr"/>
      <c r="AD1347" s="18" t="inlineStr">
        <is>
          <t>minY=-60, maxY=13</t>
        </is>
      </c>
      <c r="AE1347" s="18" t="inlineStr"/>
      <c r="AF1347" s="18" t="inlineStr">
        <is>
          <t>False</t>
        </is>
      </c>
      <c r="AG1347" s="18" t="inlineStr">
        <is>
          <t>cobblemon:shipwreck_coves/submerged_shipwreck_cove</t>
        </is>
      </c>
      <c r="AH1347" s="18" t="inlineStr"/>
      <c r="AI1347" s="18" t="inlineStr"/>
      <c r="AJ1347" s="18" t="inlineStr">
        <is>
          <t>Cobblemon 동일</t>
        </is>
      </c>
      <c r="AK1347" s="18" t="inlineStr">
        <is>
          <t>사용</t>
        </is>
      </c>
      <c r="AL1347" s="18" t="inlineStr">
        <is>
          <t>COBBLEVERSE 1.7.42 / DP v31</t>
        </is>
      </c>
      <c r="AM1347" s="18" t="inlineStr">
        <is>
          <t>data/cobblemon/spawn_pool_world/0366_clamperl.json</t>
        </is>
      </c>
      <c r="AN1347" s="18" t="inlineStr">
        <is>
          <t>clamperl-5</t>
        </is>
      </c>
      <c r="AO1347" s="18" t="inlineStr">
        <is>
          <t>pokemon</t>
        </is>
      </c>
      <c r="AP1347" s="18" t="inlineStr">
        <is>
          <t>water</t>
        </is>
      </c>
      <c r="AQ1347" s="18" t="inlineStr">
        <is>
          <t>{"biomes":["#cobblemon:is_overworld"],"canSeeSky":false,"maxY":13,"minY":-60,"structures":["cobblemon:shipwreck_coves/submerged_shipwreck_cove"]}</t>
        </is>
      </c>
      <c r="AR1347" s="18" t="inlineStr"/>
      <c r="AS1347" s="18" t="inlineStr"/>
      <c r="AT1347" s="19" t="inlineStr"/>
    </row>
    <row r="1348" ht="32" customHeight="1">
      <c r="A1348" s="18" t="inlineStr">
        <is>
          <t>0366_clamperl.json::clamperl-6::006</t>
        </is>
      </c>
      <c r="B1348" s="19" t="inlineStr">
        <is>
          <t>사용</t>
        </is>
      </c>
      <c r="C1348" s="18">
        <f>IF(OR(B1348&lt;&gt;AK1348,M1348&lt;&gt;L1348,O1348&lt;&gt;"",Q1348&lt;&gt;"",V1348&lt;&gt;1,Y1348&lt;&gt;"",AT1348&lt;&gt;""),"수정","원본")</f>
        <v/>
      </c>
      <c r="D1348" s="18" t="n">
        <v>366</v>
      </c>
      <c r="E1348" s="18" t="inlineStr">
        <is>
          <t>진주몽</t>
        </is>
      </c>
      <c r="F1348" s="18" t="inlineStr">
        <is>
          <t>clamperl</t>
        </is>
      </c>
      <c r="G1348" s="18" t="inlineStr">
        <is>
          <t>clamperl</t>
        </is>
      </c>
      <c r="H1348" s="18" t="inlineStr"/>
      <c r="I1348" s="18" t="n">
        <v>3</v>
      </c>
      <c r="J1348" s="18" t="n"/>
      <c r="K1348" s="18" t="n">
        <v>3</v>
      </c>
      <c r="L1348" s="18" t="inlineStr">
        <is>
          <t>cobbleventure:generation_3</t>
        </is>
      </c>
      <c r="M1348" s="19" t="inlineStr">
        <is>
          <t>cobbleventure:generation_3</t>
        </is>
      </c>
      <c r="N1348" s="18" t="inlineStr">
        <is>
          <t>region_01; region_02</t>
        </is>
      </c>
      <c r="O1348" s="19" t="inlineStr"/>
      <c r="P1348" s="18" t="inlineStr">
        <is>
          <t>#cobblemon:is_overworld</t>
        </is>
      </c>
      <c r="Q1348" s="19" t="inlineStr"/>
      <c r="R1348" s="18">
        <f>IF(Q1348="",P1348,Q1348)</f>
        <v/>
      </c>
      <c r="S1348" s="18" t="inlineStr"/>
      <c r="T1348" s="18" t="inlineStr">
        <is>
          <t>rare</t>
        </is>
      </c>
      <c r="U1348" s="20" t="n">
        <v>5.25</v>
      </c>
      <c r="V1348" s="21" t="n">
        <v>1</v>
      </c>
      <c r="W1348" s="20">
        <f>IF(OR(U1348="",V1348=""),U1348,U1348*V1348)</f>
        <v/>
      </c>
      <c r="X1348" s="18" t="inlineStr">
        <is>
          <t>10-35</t>
        </is>
      </c>
      <c r="Y1348" s="19" t="inlineStr"/>
      <c r="Z1348" s="18">
        <f>IF(Y1348="",X1348,Y1348)</f>
        <v/>
      </c>
      <c r="AA1348" s="18" t="inlineStr">
        <is>
          <t>fishing</t>
        </is>
      </c>
      <c r="AB1348" s="18" t="inlineStr"/>
      <c r="AC1348" s="18" t="inlineStr"/>
      <c r="AD1348" s="18" t="inlineStr">
        <is>
          <t>minY=-60, maxY=13</t>
        </is>
      </c>
      <c r="AE1348" s="18" t="inlineStr"/>
      <c r="AF1348" s="18" t="inlineStr">
        <is>
          <t>False</t>
        </is>
      </c>
      <c r="AG1348" s="18" t="inlineStr">
        <is>
          <t>cobblemon:shipwreck_coves/submerged_shipwreck_cove</t>
        </is>
      </c>
      <c r="AH1348" s="18" t="inlineStr"/>
      <c r="AI1348" s="18" t="inlineStr"/>
      <c r="AJ1348" s="18" t="inlineStr">
        <is>
          <t>Cobblemon 동일</t>
        </is>
      </c>
      <c r="AK1348" s="18" t="inlineStr">
        <is>
          <t>사용</t>
        </is>
      </c>
      <c r="AL1348" s="18" t="inlineStr">
        <is>
          <t>COBBLEVERSE 1.7.42 / DP v31</t>
        </is>
      </c>
      <c r="AM1348" s="18" t="inlineStr">
        <is>
          <t>data/cobblemon/spawn_pool_world/0366_clamperl.json</t>
        </is>
      </c>
      <c r="AN1348" s="18" t="inlineStr">
        <is>
          <t>clamperl-6</t>
        </is>
      </c>
      <c r="AO1348" s="18" t="inlineStr">
        <is>
          <t>pokemon</t>
        </is>
      </c>
      <c r="AP1348" s="18" t="inlineStr"/>
      <c r="AQ1348" s="18" t="inlineStr">
        <is>
          <t>{"biomes":["#cobblemon:is_overworld"],"canSeeSky":false,"maxY":13,"minY":-60,"structures":["cobblemon:shipwreck_coves/submerged_shipwreck_cove"]}</t>
        </is>
      </c>
      <c r="AR1348" s="18" t="inlineStr"/>
      <c r="AS1348" s="18" t="inlineStr"/>
      <c r="AT1348" s="19" t="inlineStr"/>
    </row>
    <row r="1349" ht="32" customHeight="1">
      <c r="A1349" s="18" t="inlineStr">
        <is>
          <t>0367_huntail.json::huntail-1::001</t>
        </is>
      </c>
      <c r="B1349" s="19" t="inlineStr">
        <is>
          <t>사용</t>
        </is>
      </c>
      <c r="C1349" s="18">
        <f>IF(OR(B1349&lt;&gt;AK1349,M1349&lt;&gt;L1349,O1349&lt;&gt;"",Q1349&lt;&gt;"",V1349&lt;&gt;1,Y1349&lt;&gt;"",AT1349&lt;&gt;""),"수정","원본")</f>
        <v/>
      </c>
      <c r="D1349" s="18" t="n">
        <v>367</v>
      </c>
      <c r="E1349" s="18" t="inlineStr">
        <is>
          <t>헌테일</t>
        </is>
      </c>
      <c r="F1349" s="18" t="inlineStr">
        <is>
          <t>huntail</t>
        </is>
      </c>
      <c r="G1349" s="18" t="inlineStr">
        <is>
          <t>huntail</t>
        </is>
      </c>
      <c r="H1349" s="18" t="inlineStr"/>
      <c r="I1349" s="18" t="n">
        <v>3</v>
      </c>
      <c r="J1349" s="18" t="n"/>
      <c r="K1349" s="18" t="n">
        <v>3</v>
      </c>
      <c r="L1349" s="18" t="inlineStr">
        <is>
          <t>cobbleventure:generation_3</t>
        </is>
      </c>
      <c r="M1349" s="19" t="inlineStr">
        <is>
          <t>cobbleventure:generation_3</t>
        </is>
      </c>
      <c r="N1349" s="18" t="inlineStr"/>
      <c r="O1349" s="19" t="inlineStr"/>
      <c r="P1349" s="18" t="inlineStr">
        <is>
          <t>#cobblemon:is_deep_ocean</t>
        </is>
      </c>
      <c r="Q1349" s="19" t="inlineStr"/>
      <c r="R1349" s="18">
        <f>IF(Q1349="",P1349,Q1349)</f>
        <v/>
      </c>
      <c r="S1349" s="18" t="inlineStr"/>
      <c r="T1349" s="18" t="inlineStr">
        <is>
          <t>uncommon</t>
        </is>
      </c>
      <c r="U1349" s="20" t="n">
        <v>0.4</v>
      </c>
      <c r="V1349" s="21" t="n">
        <v>1</v>
      </c>
      <c r="W1349" s="20">
        <f>IF(OR(U1349="",V1349=""),U1349,U1349*V1349)</f>
        <v/>
      </c>
      <c r="X1349" s="18" t="inlineStr">
        <is>
          <t>30-49</t>
        </is>
      </c>
      <c r="Y1349" s="19" t="inlineStr"/>
      <c r="Z1349" s="18">
        <f>IF(Y1349="",X1349,Y1349)</f>
        <v/>
      </c>
      <c r="AA1349" s="18" t="inlineStr">
        <is>
          <t>submerged</t>
        </is>
      </c>
      <c r="AB1349" s="18" t="inlineStr"/>
      <c r="AC1349" s="18" t="inlineStr"/>
      <c r="AD1349" s="18" t="inlineStr">
        <is>
          <t>maxY=48</t>
        </is>
      </c>
      <c r="AE1349" s="18" t="inlineStr"/>
      <c r="AF1349" s="18" t="inlineStr">
        <is>
          <t>True</t>
        </is>
      </c>
      <c r="AG1349" s="18" t="inlineStr"/>
      <c r="AH1349" s="18" t="inlineStr"/>
      <c r="AI1349" s="18" t="inlineStr"/>
      <c r="AJ1349" s="18" t="inlineStr">
        <is>
          <t>Cobblemon 동일</t>
        </is>
      </c>
      <c r="AK1349" s="18" t="inlineStr">
        <is>
          <t>사용</t>
        </is>
      </c>
      <c r="AL1349" s="18" t="inlineStr">
        <is>
          <t>COBBLEVERSE 1.7.42 / DP v31</t>
        </is>
      </c>
      <c r="AM1349" s="18" t="inlineStr">
        <is>
          <t>data/cobblemon/spawn_pool_world/0367_huntail.json</t>
        </is>
      </c>
      <c r="AN1349" s="18" t="inlineStr">
        <is>
          <t>huntail-1</t>
        </is>
      </c>
      <c r="AO1349" s="18" t="inlineStr">
        <is>
          <t>pokemon</t>
        </is>
      </c>
      <c r="AP1349" s="18" t="inlineStr">
        <is>
          <t>water</t>
        </is>
      </c>
      <c r="AQ1349" s="18" t="inlineStr">
        <is>
          <t>{"biomes":["#cobblemon:is_deep_ocean"],"canSeeSky":true,"maxY":48}</t>
        </is>
      </c>
      <c r="AR1349" s="18" t="inlineStr"/>
      <c r="AS1349" s="18" t="inlineStr"/>
      <c r="AT1349" s="19" t="inlineStr"/>
    </row>
    <row r="1350" ht="32" customHeight="1">
      <c r="A1350" s="18" t="inlineStr">
        <is>
          <t>0367_huntail.json::huntail-2::002</t>
        </is>
      </c>
      <c r="B1350" s="19" t="inlineStr">
        <is>
          <t>사용</t>
        </is>
      </c>
      <c r="C1350" s="18">
        <f>IF(OR(B1350&lt;&gt;AK1350,M1350&lt;&gt;L1350,O1350&lt;&gt;"",Q1350&lt;&gt;"",V1350&lt;&gt;1,Y1350&lt;&gt;"",AT1350&lt;&gt;""),"수정","원본")</f>
        <v/>
      </c>
      <c r="D1350" s="18" t="n">
        <v>367</v>
      </c>
      <c r="E1350" s="18" t="inlineStr">
        <is>
          <t>헌테일</t>
        </is>
      </c>
      <c r="F1350" s="18" t="inlineStr">
        <is>
          <t>huntail</t>
        </is>
      </c>
      <c r="G1350" s="18" t="inlineStr">
        <is>
          <t>huntail</t>
        </is>
      </c>
      <c r="H1350" s="18" t="inlineStr"/>
      <c r="I1350" s="18" t="n">
        <v>3</v>
      </c>
      <c r="J1350" s="18" t="n"/>
      <c r="K1350" s="18" t="n">
        <v>3</v>
      </c>
      <c r="L1350" s="18" t="inlineStr">
        <is>
          <t>cobbleventure:generation_3</t>
        </is>
      </c>
      <c r="M1350" s="19" t="inlineStr">
        <is>
          <t>cobbleventure:generation_3</t>
        </is>
      </c>
      <c r="N1350" s="18" t="inlineStr"/>
      <c r="O1350" s="19" t="inlineStr"/>
      <c r="P1350" s="18" t="inlineStr">
        <is>
          <t>#cobblemon:is_warm_ocean</t>
        </is>
      </c>
      <c r="Q1350" s="19" t="inlineStr"/>
      <c r="R1350" s="18">
        <f>IF(Q1350="",P1350,Q1350)</f>
        <v/>
      </c>
      <c r="S1350" s="18" t="inlineStr"/>
      <c r="T1350" s="18" t="inlineStr">
        <is>
          <t>rare</t>
        </is>
      </c>
      <c r="U1350" s="20" t="n">
        <v>0.625</v>
      </c>
      <c r="V1350" s="21" t="n">
        <v>1</v>
      </c>
      <c r="W1350" s="20">
        <f>IF(OR(U1350="",V1350=""),U1350,U1350*V1350)</f>
        <v/>
      </c>
      <c r="X1350" s="18" t="inlineStr">
        <is>
          <t>30-49</t>
        </is>
      </c>
      <c r="Y1350" s="19" t="inlineStr"/>
      <c r="Z1350" s="18">
        <f>IF(Y1350="",X1350,Y1350)</f>
        <v/>
      </c>
      <c r="AA1350" s="18" t="inlineStr">
        <is>
          <t>submerged</t>
        </is>
      </c>
      <c r="AB1350" s="18" t="inlineStr"/>
      <c r="AC1350" s="18" t="inlineStr"/>
      <c r="AD1350" s="18" t="inlineStr"/>
      <c r="AE1350" s="18" t="inlineStr"/>
      <c r="AF1350" s="18" t="inlineStr">
        <is>
          <t>True</t>
        </is>
      </c>
      <c r="AG1350" s="18" t="inlineStr"/>
      <c r="AH1350" s="18" t="inlineStr"/>
      <c r="AI1350" s="18" t="inlineStr"/>
      <c r="AJ1350" s="18" t="inlineStr">
        <is>
          <t>Cobblemon 동일</t>
        </is>
      </c>
      <c r="AK1350" s="18" t="inlineStr">
        <is>
          <t>사용</t>
        </is>
      </c>
      <c r="AL1350" s="18" t="inlineStr">
        <is>
          <t>COBBLEVERSE 1.7.42 / DP v31</t>
        </is>
      </c>
      <c r="AM1350" s="18" t="inlineStr">
        <is>
          <t>data/cobblemon/spawn_pool_world/0367_huntail.json</t>
        </is>
      </c>
      <c r="AN1350" s="18" t="inlineStr">
        <is>
          <t>huntail-2</t>
        </is>
      </c>
      <c r="AO1350" s="18" t="inlineStr">
        <is>
          <t>pokemon</t>
        </is>
      </c>
      <c r="AP1350" s="18" t="inlineStr">
        <is>
          <t>water</t>
        </is>
      </c>
      <c r="AQ1350" s="18" t="inlineStr">
        <is>
          <t>{"biomes":["#cobblemon:is_warm_ocean"],"canSeeSky":true}</t>
        </is>
      </c>
      <c r="AR1350" s="18" t="inlineStr"/>
      <c r="AS1350" s="18" t="inlineStr"/>
      <c r="AT1350" s="19" t="inlineStr"/>
    </row>
    <row r="1351" ht="32" customHeight="1">
      <c r="A1351" s="18" t="inlineStr">
        <is>
          <t>0367_huntail.json::huntail-3::003</t>
        </is>
      </c>
      <c r="B1351" s="19" t="inlineStr">
        <is>
          <t>사용</t>
        </is>
      </c>
      <c r="C1351" s="18">
        <f>IF(OR(B1351&lt;&gt;AK1351,M1351&lt;&gt;L1351,O1351&lt;&gt;"",Q1351&lt;&gt;"",V1351&lt;&gt;1,Y1351&lt;&gt;"",AT1351&lt;&gt;""),"수정","원본")</f>
        <v/>
      </c>
      <c r="D1351" s="18" t="n">
        <v>367</v>
      </c>
      <c r="E1351" s="18" t="inlineStr">
        <is>
          <t>헌테일</t>
        </is>
      </c>
      <c r="F1351" s="18" t="inlineStr">
        <is>
          <t>huntail</t>
        </is>
      </c>
      <c r="G1351" s="18" t="inlineStr">
        <is>
          <t>huntail</t>
        </is>
      </c>
      <c r="H1351" s="18" t="inlineStr"/>
      <c r="I1351" s="18" t="n">
        <v>3</v>
      </c>
      <c r="J1351" s="18" t="n"/>
      <c r="K1351" s="18" t="n">
        <v>3</v>
      </c>
      <c r="L1351" s="18" t="inlineStr">
        <is>
          <t>cobbleventure:generation_3</t>
        </is>
      </c>
      <c r="M1351" s="19" t="inlineStr">
        <is>
          <t>cobbleventure:generation_3</t>
        </is>
      </c>
      <c r="N1351" s="18" t="inlineStr"/>
      <c r="O1351" s="19" t="inlineStr"/>
      <c r="P1351" s="18" t="inlineStr">
        <is>
          <t>#cobblemon:is_ocean</t>
        </is>
      </c>
      <c r="Q1351" s="19" t="inlineStr"/>
      <c r="R1351" s="18">
        <f>IF(Q1351="",P1351,Q1351)</f>
        <v/>
      </c>
      <c r="S1351" s="18" t="inlineStr"/>
      <c r="T1351" s="18" t="inlineStr">
        <is>
          <t>rare</t>
        </is>
      </c>
      <c r="U1351" s="20" t="n">
        <v>0.375</v>
      </c>
      <c r="V1351" s="21" t="n">
        <v>1</v>
      </c>
      <c r="W1351" s="20">
        <f>IF(OR(U1351="",V1351=""),U1351,U1351*V1351)</f>
        <v/>
      </c>
      <c r="X1351" s="18" t="inlineStr">
        <is>
          <t>30-49</t>
        </is>
      </c>
      <c r="Y1351" s="19" t="inlineStr"/>
      <c r="Z1351" s="18">
        <f>IF(Y1351="",X1351,Y1351)</f>
        <v/>
      </c>
      <c r="AA1351" s="18" t="inlineStr">
        <is>
          <t>fishing</t>
        </is>
      </c>
      <c r="AB1351" s="18" t="inlineStr"/>
      <c r="AC1351" s="18" t="inlineStr"/>
      <c r="AD1351" s="18" t="inlineStr"/>
      <c r="AE1351" s="18" t="inlineStr"/>
      <c r="AF1351" s="18" t="inlineStr">
        <is>
          <t>True</t>
        </is>
      </c>
      <c r="AG1351" s="18" t="inlineStr"/>
      <c r="AH1351" s="18" t="inlineStr"/>
      <c r="AI1351" s="18" t="inlineStr"/>
      <c r="AJ1351" s="18" t="inlineStr">
        <is>
          <t>Cobblemon 동일</t>
        </is>
      </c>
      <c r="AK1351" s="18" t="inlineStr">
        <is>
          <t>사용</t>
        </is>
      </c>
      <c r="AL1351" s="18" t="inlineStr">
        <is>
          <t>COBBLEVERSE 1.7.42 / DP v31</t>
        </is>
      </c>
      <c r="AM1351" s="18" t="inlineStr">
        <is>
          <t>data/cobblemon/spawn_pool_world/0367_huntail.json</t>
        </is>
      </c>
      <c r="AN1351" s="18" t="inlineStr">
        <is>
          <t>huntail-3</t>
        </is>
      </c>
      <c r="AO1351" s="18" t="inlineStr">
        <is>
          <t>pokemon</t>
        </is>
      </c>
      <c r="AP1351" s="18" t="inlineStr"/>
      <c r="AQ1351" s="18" t="inlineStr">
        <is>
          <t>{"biomes":["#cobblemon:is_ocean"],"canSeeSky":true}</t>
        </is>
      </c>
      <c r="AR1351" s="18" t="inlineStr"/>
      <c r="AS1351" s="18" t="inlineStr"/>
      <c r="AT1351" s="19" t="inlineStr"/>
    </row>
    <row r="1352" ht="32" customHeight="1">
      <c r="A1352" s="18" t="inlineStr">
        <is>
          <t>0367_huntail.json::huntail-4::004</t>
        </is>
      </c>
      <c r="B1352" s="19" t="inlineStr">
        <is>
          <t>사용</t>
        </is>
      </c>
      <c r="C1352" s="18">
        <f>IF(OR(B1352&lt;&gt;AK1352,M1352&lt;&gt;L1352,O1352&lt;&gt;"",Q1352&lt;&gt;"",V1352&lt;&gt;1,Y1352&lt;&gt;"",AT1352&lt;&gt;""),"수정","원본")</f>
        <v/>
      </c>
      <c r="D1352" s="18" t="n">
        <v>367</v>
      </c>
      <c r="E1352" s="18" t="inlineStr">
        <is>
          <t>헌테일</t>
        </is>
      </c>
      <c r="F1352" s="18" t="inlineStr">
        <is>
          <t>huntail</t>
        </is>
      </c>
      <c r="G1352" s="18" t="inlineStr">
        <is>
          <t>huntail</t>
        </is>
      </c>
      <c r="H1352" s="18" t="inlineStr"/>
      <c r="I1352" s="18" t="n">
        <v>3</v>
      </c>
      <c r="J1352" s="18" t="n"/>
      <c r="K1352" s="18" t="n">
        <v>3</v>
      </c>
      <c r="L1352" s="18" t="inlineStr">
        <is>
          <t>cobbleventure:generation_3</t>
        </is>
      </c>
      <c r="M1352" s="19" t="inlineStr">
        <is>
          <t>cobbleventure:generation_3</t>
        </is>
      </c>
      <c r="N1352" s="18" t="inlineStr"/>
      <c r="O1352" s="19" t="inlineStr"/>
      <c r="P1352" s="18" t="inlineStr">
        <is>
          <t>#cobblemon:is_deep_ocean</t>
        </is>
      </c>
      <c r="Q1352" s="19" t="inlineStr"/>
      <c r="R1352" s="18">
        <f>IF(Q1352="",P1352,Q1352)</f>
        <v/>
      </c>
      <c r="S1352" s="18" t="inlineStr"/>
      <c r="T1352" s="18" t="inlineStr">
        <is>
          <t>uncommon</t>
        </is>
      </c>
      <c r="U1352" s="20" t="n">
        <v>0.4</v>
      </c>
      <c r="V1352" s="21" t="n">
        <v>1</v>
      </c>
      <c r="W1352" s="20">
        <f>IF(OR(U1352="",V1352=""),U1352,U1352*V1352)</f>
        <v/>
      </c>
      <c r="X1352" s="18" t="inlineStr">
        <is>
          <t>30-49</t>
        </is>
      </c>
      <c r="Y1352" s="19" t="inlineStr"/>
      <c r="Z1352" s="18">
        <f>IF(Y1352="",X1352,Y1352)</f>
        <v/>
      </c>
      <c r="AA1352" s="18" t="inlineStr">
        <is>
          <t>submerged</t>
        </is>
      </c>
      <c r="AB1352" s="18" t="inlineStr"/>
      <c r="AC1352" s="18" t="inlineStr"/>
      <c r="AD1352" s="18" t="inlineStr">
        <is>
          <t>maxY=48</t>
        </is>
      </c>
      <c r="AE1352" s="18" t="inlineStr">
        <is>
          <t>sky 8-15</t>
        </is>
      </c>
      <c r="AF1352" s="18" t="inlineStr">
        <is>
          <t>False</t>
        </is>
      </c>
      <c r="AG1352" s="18" t="inlineStr"/>
      <c r="AH1352" s="18" t="inlineStr"/>
      <c r="AI1352" s="18" t="inlineStr"/>
      <c r="AJ1352" s="18" t="inlineStr">
        <is>
          <t>Cobblemon 동일</t>
        </is>
      </c>
      <c r="AK1352" s="18" t="inlineStr">
        <is>
          <t>사용</t>
        </is>
      </c>
      <c r="AL1352" s="18" t="inlineStr">
        <is>
          <t>COBBLEVERSE 1.7.42 / DP v31</t>
        </is>
      </c>
      <c r="AM1352" s="18" t="inlineStr">
        <is>
          <t>data/cobblemon/spawn_pool_world/0367_huntail.json</t>
        </is>
      </c>
      <c r="AN1352" s="18" t="inlineStr">
        <is>
          <t>huntail-4</t>
        </is>
      </c>
      <c r="AO1352" s="18" t="inlineStr">
        <is>
          <t>pokemon</t>
        </is>
      </c>
      <c r="AP1352" s="18" t="inlineStr">
        <is>
          <t>water</t>
        </is>
      </c>
      <c r="AQ1352" s="18" t="inlineStr">
        <is>
          <t>{"biomes":["#cobblemon:is_deep_ocean"],"canSeeSky":false,"maxSkyLight":15,"maxY":48,"minSkyLight":8}</t>
        </is>
      </c>
      <c r="AR1352" s="18" t="inlineStr"/>
      <c r="AS1352" s="18" t="inlineStr"/>
      <c r="AT1352" s="19" t="inlineStr"/>
    </row>
    <row r="1353" ht="32" customHeight="1">
      <c r="A1353" s="18" t="inlineStr">
        <is>
          <t>0367_huntail.json::huntail-5::005</t>
        </is>
      </c>
      <c r="B1353" s="19" t="inlineStr">
        <is>
          <t>사용</t>
        </is>
      </c>
      <c r="C1353" s="18">
        <f>IF(OR(B1353&lt;&gt;AK1353,M1353&lt;&gt;L1353,O1353&lt;&gt;"",Q1353&lt;&gt;"",V1353&lt;&gt;1,Y1353&lt;&gt;"",AT1353&lt;&gt;""),"수정","원본")</f>
        <v/>
      </c>
      <c r="D1353" s="18" t="n">
        <v>367</v>
      </c>
      <c r="E1353" s="18" t="inlineStr">
        <is>
          <t>헌테일</t>
        </is>
      </c>
      <c r="F1353" s="18" t="inlineStr">
        <is>
          <t>huntail</t>
        </is>
      </c>
      <c r="G1353" s="18" t="inlineStr">
        <is>
          <t>huntail</t>
        </is>
      </c>
      <c r="H1353" s="18" t="inlineStr"/>
      <c r="I1353" s="18" t="n">
        <v>3</v>
      </c>
      <c r="J1353" s="18" t="n"/>
      <c r="K1353" s="18" t="n">
        <v>3</v>
      </c>
      <c r="L1353" s="18" t="inlineStr">
        <is>
          <t>cobbleventure:generation_3</t>
        </is>
      </c>
      <c r="M1353" s="19" t="inlineStr">
        <is>
          <t>cobbleventure:generation_3</t>
        </is>
      </c>
      <c r="N1353" s="18" t="inlineStr"/>
      <c r="O1353" s="19" t="inlineStr"/>
      <c r="P1353" s="18" t="inlineStr">
        <is>
          <t>#cobblemon:is_warm_ocean</t>
        </is>
      </c>
      <c r="Q1353" s="19" t="inlineStr"/>
      <c r="R1353" s="18">
        <f>IF(Q1353="",P1353,Q1353)</f>
        <v/>
      </c>
      <c r="S1353" s="18" t="inlineStr"/>
      <c r="T1353" s="18" t="inlineStr">
        <is>
          <t>rare</t>
        </is>
      </c>
      <c r="U1353" s="20" t="n">
        <v>0.625</v>
      </c>
      <c r="V1353" s="21" t="n">
        <v>1</v>
      </c>
      <c r="W1353" s="20">
        <f>IF(OR(U1353="",V1353=""),U1353,U1353*V1353)</f>
        <v/>
      </c>
      <c r="X1353" s="18" t="inlineStr">
        <is>
          <t>30-49</t>
        </is>
      </c>
      <c r="Y1353" s="19" t="inlineStr"/>
      <c r="Z1353" s="18">
        <f>IF(Y1353="",X1353,Y1353)</f>
        <v/>
      </c>
      <c r="AA1353" s="18" t="inlineStr">
        <is>
          <t>submerged</t>
        </is>
      </c>
      <c r="AB1353" s="18" t="inlineStr"/>
      <c r="AC1353" s="18" t="inlineStr"/>
      <c r="AD1353" s="18" t="inlineStr"/>
      <c r="AE1353" s="18" t="inlineStr">
        <is>
          <t>sky 8-15</t>
        </is>
      </c>
      <c r="AF1353" s="18" t="inlineStr">
        <is>
          <t>False</t>
        </is>
      </c>
      <c r="AG1353" s="18" t="inlineStr"/>
      <c r="AH1353" s="18" t="inlineStr"/>
      <c r="AI1353" s="18" t="inlineStr"/>
      <c r="AJ1353" s="18" t="inlineStr">
        <is>
          <t>Cobblemon 동일</t>
        </is>
      </c>
      <c r="AK1353" s="18" t="inlineStr">
        <is>
          <t>사용</t>
        </is>
      </c>
      <c r="AL1353" s="18" t="inlineStr">
        <is>
          <t>COBBLEVERSE 1.7.42 / DP v31</t>
        </is>
      </c>
      <c r="AM1353" s="18" t="inlineStr">
        <is>
          <t>data/cobblemon/spawn_pool_world/0367_huntail.json</t>
        </is>
      </c>
      <c r="AN1353" s="18" t="inlineStr">
        <is>
          <t>huntail-5</t>
        </is>
      </c>
      <c r="AO1353" s="18" t="inlineStr">
        <is>
          <t>pokemon</t>
        </is>
      </c>
      <c r="AP1353" s="18" t="inlineStr">
        <is>
          <t>water</t>
        </is>
      </c>
      <c r="AQ1353" s="18" t="inlineStr">
        <is>
          <t>{"biomes":["#cobblemon:is_warm_ocean"],"canSeeSky":false,"maxSkyLight":15,"minSkyLight":8}</t>
        </is>
      </c>
      <c r="AR1353" s="18" t="inlineStr"/>
      <c r="AS1353" s="18" t="inlineStr"/>
      <c r="AT1353" s="19" t="inlineStr"/>
    </row>
    <row r="1354" ht="32" customHeight="1">
      <c r="A1354" s="18" t="inlineStr">
        <is>
          <t>0367_huntail.json::huntail-6::006</t>
        </is>
      </c>
      <c r="B1354" s="19" t="inlineStr">
        <is>
          <t>사용</t>
        </is>
      </c>
      <c r="C1354" s="18">
        <f>IF(OR(B1354&lt;&gt;AK1354,M1354&lt;&gt;L1354,O1354&lt;&gt;"",Q1354&lt;&gt;"",V1354&lt;&gt;1,Y1354&lt;&gt;"",AT1354&lt;&gt;""),"수정","원본")</f>
        <v/>
      </c>
      <c r="D1354" s="18" t="n">
        <v>367</v>
      </c>
      <c r="E1354" s="18" t="inlineStr">
        <is>
          <t>헌테일</t>
        </is>
      </c>
      <c r="F1354" s="18" t="inlineStr">
        <is>
          <t>huntail</t>
        </is>
      </c>
      <c r="G1354" s="18" t="inlineStr">
        <is>
          <t>huntail</t>
        </is>
      </c>
      <c r="H1354" s="18" t="inlineStr"/>
      <c r="I1354" s="18" t="n">
        <v>3</v>
      </c>
      <c r="J1354" s="18" t="n"/>
      <c r="K1354" s="18" t="n">
        <v>3</v>
      </c>
      <c r="L1354" s="18" t="inlineStr">
        <is>
          <t>cobbleventure:generation_3</t>
        </is>
      </c>
      <c r="M1354" s="19" t="inlineStr">
        <is>
          <t>cobbleventure:generation_3</t>
        </is>
      </c>
      <c r="N1354" s="18" t="inlineStr"/>
      <c r="O1354" s="19" t="inlineStr"/>
      <c r="P1354" s="18" t="inlineStr">
        <is>
          <t>#cobblemon:is_ocean</t>
        </is>
      </c>
      <c r="Q1354" s="19" t="inlineStr"/>
      <c r="R1354" s="18">
        <f>IF(Q1354="",P1354,Q1354)</f>
        <v/>
      </c>
      <c r="S1354" s="18" t="inlineStr"/>
      <c r="T1354" s="18" t="inlineStr">
        <is>
          <t>rare</t>
        </is>
      </c>
      <c r="U1354" s="20" t="n">
        <v>0.375</v>
      </c>
      <c r="V1354" s="21" t="n">
        <v>1</v>
      </c>
      <c r="W1354" s="20">
        <f>IF(OR(U1354="",V1354=""),U1354,U1354*V1354)</f>
        <v/>
      </c>
      <c r="X1354" s="18" t="inlineStr">
        <is>
          <t>30-49</t>
        </is>
      </c>
      <c r="Y1354" s="19" t="inlineStr"/>
      <c r="Z1354" s="18">
        <f>IF(Y1354="",X1354,Y1354)</f>
        <v/>
      </c>
      <c r="AA1354" s="18" t="inlineStr">
        <is>
          <t>fishing</t>
        </is>
      </c>
      <c r="AB1354" s="18" t="inlineStr"/>
      <c r="AC1354" s="18" t="inlineStr"/>
      <c r="AD1354" s="18" t="inlineStr"/>
      <c r="AE1354" s="18" t="inlineStr">
        <is>
          <t>sky 8-15</t>
        </is>
      </c>
      <c r="AF1354" s="18" t="inlineStr">
        <is>
          <t>False</t>
        </is>
      </c>
      <c r="AG1354" s="18" t="inlineStr"/>
      <c r="AH1354" s="18" t="inlineStr"/>
      <c r="AI1354" s="18" t="inlineStr"/>
      <c r="AJ1354" s="18" t="inlineStr">
        <is>
          <t>Cobblemon 동일</t>
        </is>
      </c>
      <c r="AK1354" s="18" t="inlineStr">
        <is>
          <t>사용</t>
        </is>
      </c>
      <c r="AL1354" s="18" t="inlineStr">
        <is>
          <t>COBBLEVERSE 1.7.42 / DP v31</t>
        </is>
      </c>
      <c r="AM1354" s="18" t="inlineStr">
        <is>
          <t>data/cobblemon/spawn_pool_world/0367_huntail.json</t>
        </is>
      </c>
      <c r="AN1354" s="18" t="inlineStr">
        <is>
          <t>huntail-6</t>
        </is>
      </c>
      <c r="AO1354" s="18" t="inlineStr">
        <is>
          <t>pokemon</t>
        </is>
      </c>
      <c r="AP1354" s="18" t="inlineStr"/>
      <c r="AQ1354" s="18" t="inlineStr">
        <is>
          <t>{"biomes":["#cobblemon:is_ocean"],"canSeeSky":false,"maxSkyLight":15,"minSkyLight":8}</t>
        </is>
      </c>
      <c r="AR1354" s="18" t="inlineStr"/>
      <c r="AS1354" s="18" t="inlineStr"/>
      <c r="AT1354" s="19" t="inlineStr"/>
    </row>
    <row r="1355" ht="32" customHeight="1">
      <c r="A1355" s="18" t="inlineStr">
        <is>
          <t>0367_huntail.json::huntail-7::007</t>
        </is>
      </c>
      <c r="B1355" s="19" t="inlineStr">
        <is>
          <t>사용</t>
        </is>
      </c>
      <c r="C1355" s="18">
        <f>IF(OR(B1355&lt;&gt;AK1355,M1355&lt;&gt;L1355,O1355&lt;&gt;"",Q1355&lt;&gt;"",V1355&lt;&gt;1,Y1355&lt;&gt;"",AT1355&lt;&gt;""),"수정","원본")</f>
        <v/>
      </c>
      <c r="D1355" s="18" t="n">
        <v>367</v>
      </c>
      <c r="E1355" s="18" t="inlineStr">
        <is>
          <t>헌테일</t>
        </is>
      </c>
      <c r="F1355" s="18" t="inlineStr">
        <is>
          <t>huntail</t>
        </is>
      </c>
      <c r="G1355" s="18" t="inlineStr">
        <is>
          <t>huntail</t>
        </is>
      </c>
      <c r="H1355" s="18" t="inlineStr"/>
      <c r="I1355" s="18" t="n">
        <v>3</v>
      </c>
      <c r="J1355" s="18" t="n"/>
      <c r="K1355" s="18" t="n">
        <v>3</v>
      </c>
      <c r="L1355" s="18" t="inlineStr">
        <is>
          <t>cobbleventure:generation_3</t>
        </is>
      </c>
      <c r="M1355" s="19" t="inlineStr">
        <is>
          <t>cobbleventure:generation_3</t>
        </is>
      </c>
      <c r="N1355" s="18" t="inlineStr">
        <is>
          <t>region_01; region_02</t>
        </is>
      </c>
      <c r="O1355" s="19" t="inlineStr"/>
      <c r="P1355" s="18" t="inlineStr">
        <is>
          <t>#cobblemon:is_overworld</t>
        </is>
      </c>
      <c r="Q1355" s="19" t="inlineStr"/>
      <c r="R1355" s="18">
        <f>IF(Q1355="",P1355,Q1355)</f>
        <v/>
      </c>
      <c r="S1355" s="18" t="inlineStr"/>
      <c r="T1355" s="18" t="inlineStr">
        <is>
          <t>uncommon</t>
        </is>
      </c>
      <c r="U1355" s="20" t="n">
        <v>0.4</v>
      </c>
      <c r="V1355" s="21" t="n">
        <v>1</v>
      </c>
      <c r="W1355" s="20">
        <f>IF(OR(U1355="",V1355=""),U1355,U1355*V1355)</f>
        <v/>
      </c>
      <c r="X1355" s="18" t="inlineStr">
        <is>
          <t>30-49</t>
        </is>
      </c>
      <c r="Y1355" s="19" t="inlineStr"/>
      <c r="Z1355" s="18">
        <f>IF(Y1355="",X1355,Y1355)</f>
        <v/>
      </c>
      <c r="AA1355" s="18" t="inlineStr">
        <is>
          <t>submerged</t>
        </is>
      </c>
      <c r="AB1355" s="18" t="inlineStr"/>
      <c r="AC1355" s="18" t="inlineStr"/>
      <c r="AD1355" s="18" t="inlineStr">
        <is>
          <t>minY=-60, maxY=13</t>
        </is>
      </c>
      <c r="AE1355" s="18" t="inlineStr"/>
      <c r="AF1355" s="18" t="inlineStr">
        <is>
          <t>False</t>
        </is>
      </c>
      <c r="AG1355" s="18" t="inlineStr">
        <is>
          <t>cobblemon:shipwreck_coves/submerged_shipwreck_cove</t>
        </is>
      </c>
      <c r="AH1355" s="18" t="inlineStr"/>
      <c r="AI1355" s="18" t="inlineStr"/>
      <c r="AJ1355" s="18" t="inlineStr">
        <is>
          <t>Cobblemon 동일</t>
        </is>
      </c>
      <c r="AK1355" s="18" t="inlineStr">
        <is>
          <t>사용</t>
        </is>
      </c>
      <c r="AL1355" s="18" t="inlineStr">
        <is>
          <t>COBBLEVERSE 1.7.42 / DP v31</t>
        </is>
      </c>
      <c r="AM1355" s="18" t="inlineStr">
        <is>
          <t>data/cobblemon/spawn_pool_world/0367_huntail.json</t>
        </is>
      </c>
      <c r="AN1355" s="18" t="inlineStr">
        <is>
          <t>huntail-7</t>
        </is>
      </c>
      <c r="AO1355" s="18" t="inlineStr">
        <is>
          <t>pokemon</t>
        </is>
      </c>
      <c r="AP1355" s="18" t="inlineStr">
        <is>
          <t>water</t>
        </is>
      </c>
      <c r="AQ1355" s="18" t="inlineStr">
        <is>
          <t>{"biomes":["#cobblemon:is_overworld"],"canSeeSky":false,"maxY":13,"minY":-60,"structures":["cobblemon:shipwreck_coves/submerged_shipwreck_cove"]}</t>
        </is>
      </c>
      <c r="AR1355" s="18" t="inlineStr"/>
      <c r="AS1355" s="18" t="inlineStr"/>
      <c r="AT1355" s="19" t="inlineStr"/>
    </row>
    <row r="1356" ht="32" customHeight="1">
      <c r="A1356" s="18" t="inlineStr">
        <is>
          <t>0367_huntail.json::huntail-8::008</t>
        </is>
      </c>
      <c r="B1356" s="19" t="inlineStr">
        <is>
          <t>사용</t>
        </is>
      </c>
      <c r="C1356" s="18">
        <f>IF(OR(B1356&lt;&gt;AK1356,M1356&lt;&gt;L1356,O1356&lt;&gt;"",Q1356&lt;&gt;"",V1356&lt;&gt;1,Y1356&lt;&gt;"",AT1356&lt;&gt;""),"수정","원본")</f>
        <v/>
      </c>
      <c r="D1356" s="18" t="n">
        <v>367</v>
      </c>
      <c r="E1356" s="18" t="inlineStr">
        <is>
          <t>헌테일</t>
        </is>
      </c>
      <c r="F1356" s="18" t="inlineStr">
        <is>
          <t>huntail</t>
        </is>
      </c>
      <c r="G1356" s="18" t="inlineStr">
        <is>
          <t>huntail</t>
        </is>
      </c>
      <c r="H1356" s="18" t="inlineStr"/>
      <c r="I1356" s="18" t="n">
        <v>3</v>
      </c>
      <c r="J1356" s="18" t="n"/>
      <c r="K1356" s="18" t="n">
        <v>3</v>
      </c>
      <c r="L1356" s="18" t="inlineStr">
        <is>
          <t>cobbleventure:generation_3</t>
        </is>
      </c>
      <c r="M1356" s="19" t="inlineStr">
        <is>
          <t>cobbleventure:generation_3</t>
        </is>
      </c>
      <c r="N1356" s="18" t="inlineStr">
        <is>
          <t>region_01; region_02</t>
        </is>
      </c>
      <c r="O1356" s="19" t="inlineStr"/>
      <c r="P1356" s="18" t="inlineStr">
        <is>
          <t>#cobblemon:is_overworld</t>
        </is>
      </c>
      <c r="Q1356" s="19" t="inlineStr"/>
      <c r="R1356" s="18">
        <f>IF(Q1356="",P1356,Q1356)</f>
        <v/>
      </c>
      <c r="S1356" s="18" t="inlineStr"/>
      <c r="T1356" s="18" t="inlineStr">
        <is>
          <t>rare</t>
        </is>
      </c>
      <c r="U1356" s="20" t="n">
        <v>0.375</v>
      </c>
      <c r="V1356" s="21" t="n">
        <v>1</v>
      </c>
      <c r="W1356" s="20">
        <f>IF(OR(U1356="",V1356=""),U1356,U1356*V1356)</f>
        <v/>
      </c>
      <c r="X1356" s="18" t="inlineStr">
        <is>
          <t>30-49</t>
        </is>
      </c>
      <c r="Y1356" s="19" t="inlineStr"/>
      <c r="Z1356" s="18">
        <f>IF(Y1356="",X1356,Y1356)</f>
        <v/>
      </c>
      <c r="AA1356" s="18" t="inlineStr">
        <is>
          <t>fishing</t>
        </is>
      </c>
      <c r="AB1356" s="18" t="inlineStr"/>
      <c r="AC1356" s="18" t="inlineStr"/>
      <c r="AD1356" s="18" t="inlineStr">
        <is>
          <t>minY=-60, maxY=13</t>
        </is>
      </c>
      <c r="AE1356" s="18" t="inlineStr"/>
      <c r="AF1356" s="18" t="inlineStr">
        <is>
          <t>False</t>
        </is>
      </c>
      <c r="AG1356" s="18" t="inlineStr">
        <is>
          <t>cobblemon:shipwreck_coves/submerged_shipwreck_cove</t>
        </is>
      </c>
      <c r="AH1356" s="18" t="inlineStr"/>
      <c r="AI1356" s="18" t="inlineStr"/>
      <c r="AJ1356" s="18" t="inlineStr">
        <is>
          <t>Cobblemon 동일</t>
        </is>
      </c>
      <c r="AK1356" s="18" t="inlineStr">
        <is>
          <t>사용</t>
        </is>
      </c>
      <c r="AL1356" s="18" t="inlineStr">
        <is>
          <t>COBBLEVERSE 1.7.42 / DP v31</t>
        </is>
      </c>
      <c r="AM1356" s="18" t="inlineStr">
        <is>
          <t>data/cobblemon/spawn_pool_world/0367_huntail.json</t>
        </is>
      </c>
      <c r="AN1356" s="18" t="inlineStr">
        <is>
          <t>huntail-8</t>
        </is>
      </c>
      <c r="AO1356" s="18" t="inlineStr">
        <is>
          <t>pokemon</t>
        </is>
      </c>
      <c r="AP1356" s="18" t="inlineStr"/>
      <c r="AQ1356" s="18" t="inlineStr">
        <is>
          <t>{"biomes":["#cobblemon:is_overworld"],"canSeeSky":false,"maxY":13,"minY":-60,"structures":["cobblemon:shipwreck_coves/submerged_shipwreck_cove"]}</t>
        </is>
      </c>
      <c r="AR1356" s="18" t="inlineStr"/>
      <c r="AS1356" s="18" t="inlineStr"/>
      <c r="AT1356" s="19" t="inlineStr"/>
    </row>
    <row r="1357" ht="32" customHeight="1">
      <c r="A1357" s="18" t="inlineStr">
        <is>
          <t>0368_gorebyss.json::gorebyss-1::001</t>
        </is>
      </c>
      <c r="B1357" s="19" t="inlineStr">
        <is>
          <t>사용</t>
        </is>
      </c>
      <c r="C1357" s="18">
        <f>IF(OR(B1357&lt;&gt;AK1357,M1357&lt;&gt;L1357,O1357&lt;&gt;"",Q1357&lt;&gt;"",V1357&lt;&gt;1,Y1357&lt;&gt;"",AT1357&lt;&gt;""),"수정","원본")</f>
        <v/>
      </c>
      <c r="D1357" s="18" t="n">
        <v>368</v>
      </c>
      <c r="E1357" s="18" t="inlineStr">
        <is>
          <t>분홍장이</t>
        </is>
      </c>
      <c r="F1357" s="18" t="inlineStr">
        <is>
          <t>gorebyss</t>
        </is>
      </c>
      <c r="G1357" s="18" t="inlineStr">
        <is>
          <t>gorebyss</t>
        </is>
      </c>
      <c r="H1357" s="18" t="inlineStr"/>
      <c r="I1357" s="18" t="n">
        <v>3</v>
      </c>
      <c r="J1357" s="18" t="n"/>
      <c r="K1357" s="18" t="n">
        <v>3</v>
      </c>
      <c r="L1357" s="18" t="inlineStr">
        <is>
          <t>cobbleventure:generation_3</t>
        </is>
      </c>
      <c r="M1357" s="19" t="inlineStr">
        <is>
          <t>cobbleventure:generation_3</t>
        </is>
      </c>
      <c r="N1357" s="18" t="inlineStr"/>
      <c r="O1357" s="19" t="inlineStr"/>
      <c r="P1357" s="18" t="inlineStr">
        <is>
          <t>#cobblemon:is_deep_ocean</t>
        </is>
      </c>
      <c r="Q1357" s="19" t="inlineStr"/>
      <c r="R1357" s="18">
        <f>IF(Q1357="",P1357,Q1357)</f>
        <v/>
      </c>
      <c r="S1357" s="18" t="inlineStr"/>
      <c r="T1357" s="18" t="inlineStr">
        <is>
          <t>uncommon</t>
        </is>
      </c>
      <c r="U1357" s="20" t="n">
        <v>0.4</v>
      </c>
      <c r="V1357" s="21" t="n">
        <v>1</v>
      </c>
      <c r="W1357" s="20">
        <f>IF(OR(U1357="",V1357=""),U1357,U1357*V1357)</f>
        <v/>
      </c>
      <c r="X1357" s="18" t="inlineStr">
        <is>
          <t>30-49</t>
        </is>
      </c>
      <c r="Y1357" s="19" t="inlineStr"/>
      <c r="Z1357" s="18">
        <f>IF(Y1357="",X1357,Y1357)</f>
        <v/>
      </c>
      <c r="AA1357" s="18" t="inlineStr">
        <is>
          <t>submerged</t>
        </is>
      </c>
      <c r="AB1357" s="18" t="inlineStr"/>
      <c r="AC1357" s="18" t="inlineStr"/>
      <c r="AD1357" s="18" t="inlineStr">
        <is>
          <t>maxY=48</t>
        </is>
      </c>
      <c r="AE1357" s="18" t="inlineStr"/>
      <c r="AF1357" s="18" t="inlineStr">
        <is>
          <t>True</t>
        </is>
      </c>
      <c r="AG1357" s="18" t="inlineStr"/>
      <c r="AH1357" s="18" t="inlineStr"/>
      <c r="AI1357" s="18" t="inlineStr"/>
      <c r="AJ1357" s="18" t="inlineStr">
        <is>
          <t>Cobblemon 동일</t>
        </is>
      </c>
      <c r="AK1357" s="18" t="inlineStr">
        <is>
          <t>사용</t>
        </is>
      </c>
      <c r="AL1357" s="18" t="inlineStr">
        <is>
          <t>COBBLEVERSE 1.7.42 / DP v31</t>
        </is>
      </c>
      <c r="AM1357" s="18" t="inlineStr">
        <is>
          <t>data/cobblemon/spawn_pool_world/0368_gorebyss.json</t>
        </is>
      </c>
      <c r="AN1357" s="18" t="inlineStr">
        <is>
          <t>gorebyss-1</t>
        </is>
      </c>
      <c r="AO1357" s="18" t="inlineStr">
        <is>
          <t>pokemon</t>
        </is>
      </c>
      <c r="AP1357" s="18" t="inlineStr">
        <is>
          <t>water</t>
        </is>
      </c>
      <c r="AQ1357" s="18" t="inlineStr">
        <is>
          <t>{"biomes":["#cobblemon:is_deep_ocean"],"canSeeSky":true,"maxY":48}</t>
        </is>
      </c>
      <c r="AR1357" s="18" t="inlineStr"/>
      <c r="AS1357" s="18" t="inlineStr"/>
      <c r="AT1357" s="19" t="inlineStr"/>
    </row>
    <row r="1358" ht="32" customHeight="1">
      <c r="A1358" s="18" t="inlineStr">
        <is>
          <t>0368_gorebyss.json::gorebyss-2::002</t>
        </is>
      </c>
      <c r="B1358" s="19" t="inlineStr">
        <is>
          <t>사용</t>
        </is>
      </c>
      <c r="C1358" s="18">
        <f>IF(OR(B1358&lt;&gt;AK1358,M1358&lt;&gt;L1358,O1358&lt;&gt;"",Q1358&lt;&gt;"",V1358&lt;&gt;1,Y1358&lt;&gt;"",AT1358&lt;&gt;""),"수정","원본")</f>
        <v/>
      </c>
      <c r="D1358" s="18" t="n">
        <v>368</v>
      </c>
      <c r="E1358" s="18" t="inlineStr">
        <is>
          <t>분홍장이</t>
        </is>
      </c>
      <c r="F1358" s="18" t="inlineStr">
        <is>
          <t>gorebyss</t>
        </is>
      </c>
      <c r="G1358" s="18" t="inlineStr">
        <is>
          <t>gorebyss</t>
        </is>
      </c>
      <c r="H1358" s="18" t="inlineStr"/>
      <c r="I1358" s="18" t="n">
        <v>3</v>
      </c>
      <c r="J1358" s="18" t="n"/>
      <c r="K1358" s="18" t="n">
        <v>3</v>
      </c>
      <c r="L1358" s="18" t="inlineStr">
        <is>
          <t>cobbleventure:generation_3</t>
        </is>
      </c>
      <c r="M1358" s="19" t="inlineStr">
        <is>
          <t>cobbleventure:generation_3</t>
        </is>
      </c>
      <c r="N1358" s="18" t="inlineStr"/>
      <c r="O1358" s="19" t="inlineStr"/>
      <c r="P1358" s="18" t="inlineStr">
        <is>
          <t>#cobblemon:is_warm_ocean</t>
        </is>
      </c>
      <c r="Q1358" s="19" t="inlineStr"/>
      <c r="R1358" s="18">
        <f>IF(Q1358="",P1358,Q1358)</f>
        <v/>
      </c>
      <c r="S1358" s="18" t="inlineStr"/>
      <c r="T1358" s="18" t="inlineStr">
        <is>
          <t>rare</t>
        </is>
      </c>
      <c r="U1358" s="20" t="n">
        <v>0.625</v>
      </c>
      <c r="V1358" s="21" t="n">
        <v>1</v>
      </c>
      <c r="W1358" s="20">
        <f>IF(OR(U1358="",V1358=""),U1358,U1358*V1358)</f>
        <v/>
      </c>
      <c r="X1358" s="18" t="inlineStr">
        <is>
          <t>30-49</t>
        </is>
      </c>
      <c r="Y1358" s="19" t="inlineStr"/>
      <c r="Z1358" s="18">
        <f>IF(Y1358="",X1358,Y1358)</f>
        <v/>
      </c>
      <c r="AA1358" s="18" t="inlineStr">
        <is>
          <t>submerged</t>
        </is>
      </c>
      <c r="AB1358" s="18" t="inlineStr"/>
      <c r="AC1358" s="18" t="inlineStr"/>
      <c r="AD1358" s="18" t="inlineStr"/>
      <c r="AE1358" s="18" t="inlineStr"/>
      <c r="AF1358" s="18" t="inlineStr">
        <is>
          <t>True</t>
        </is>
      </c>
      <c r="AG1358" s="18" t="inlineStr"/>
      <c r="AH1358" s="18" t="inlineStr"/>
      <c r="AI1358" s="18" t="inlineStr"/>
      <c r="AJ1358" s="18" t="inlineStr">
        <is>
          <t>Cobblemon 동일</t>
        </is>
      </c>
      <c r="AK1358" s="18" t="inlineStr">
        <is>
          <t>사용</t>
        </is>
      </c>
      <c r="AL1358" s="18" t="inlineStr">
        <is>
          <t>COBBLEVERSE 1.7.42 / DP v31</t>
        </is>
      </c>
      <c r="AM1358" s="18" t="inlineStr">
        <is>
          <t>data/cobblemon/spawn_pool_world/0368_gorebyss.json</t>
        </is>
      </c>
      <c r="AN1358" s="18" t="inlineStr">
        <is>
          <t>gorebyss-2</t>
        </is>
      </c>
      <c r="AO1358" s="18" t="inlineStr">
        <is>
          <t>pokemon</t>
        </is>
      </c>
      <c r="AP1358" s="18" t="inlineStr">
        <is>
          <t>water</t>
        </is>
      </c>
      <c r="AQ1358" s="18" t="inlineStr">
        <is>
          <t>{"biomes":["#cobblemon:is_warm_ocean"],"canSeeSky":true}</t>
        </is>
      </c>
      <c r="AR1358" s="18" t="inlineStr"/>
      <c r="AS1358" s="18" t="inlineStr"/>
      <c r="AT1358" s="19" t="inlineStr"/>
    </row>
    <row r="1359" ht="32" customHeight="1">
      <c r="A1359" s="18" t="inlineStr">
        <is>
          <t>0368_gorebyss.json::gorebyss-3::003</t>
        </is>
      </c>
      <c r="B1359" s="19" t="inlineStr">
        <is>
          <t>사용</t>
        </is>
      </c>
      <c r="C1359" s="18">
        <f>IF(OR(B1359&lt;&gt;AK1359,M1359&lt;&gt;L1359,O1359&lt;&gt;"",Q1359&lt;&gt;"",V1359&lt;&gt;1,Y1359&lt;&gt;"",AT1359&lt;&gt;""),"수정","원본")</f>
        <v/>
      </c>
      <c r="D1359" s="18" t="n">
        <v>368</v>
      </c>
      <c r="E1359" s="18" t="inlineStr">
        <is>
          <t>분홍장이</t>
        </is>
      </c>
      <c r="F1359" s="18" t="inlineStr">
        <is>
          <t>gorebyss</t>
        </is>
      </c>
      <c r="G1359" s="18" t="inlineStr">
        <is>
          <t>gorebyss</t>
        </is>
      </c>
      <c r="H1359" s="18" t="inlineStr"/>
      <c r="I1359" s="18" t="n">
        <v>3</v>
      </c>
      <c r="J1359" s="18" t="n"/>
      <c r="K1359" s="18" t="n">
        <v>3</v>
      </c>
      <c r="L1359" s="18" t="inlineStr">
        <is>
          <t>cobbleventure:generation_3</t>
        </is>
      </c>
      <c r="M1359" s="19" t="inlineStr">
        <is>
          <t>cobbleventure:generation_3</t>
        </is>
      </c>
      <c r="N1359" s="18" t="inlineStr"/>
      <c r="O1359" s="19" t="inlineStr"/>
      <c r="P1359" s="18" t="inlineStr">
        <is>
          <t>#cobblemon:is_ocean</t>
        </is>
      </c>
      <c r="Q1359" s="19" t="inlineStr"/>
      <c r="R1359" s="18">
        <f>IF(Q1359="",P1359,Q1359)</f>
        <v/>
      </c>
      <c r="S1359" s="18" t="inlineStr"/>
      <c r="T1359" s="18" t="inlineStr">
        <is>
          <t>rare</t>
        </is>
      </c>
      <c r="U1359" s="20" t="n">
        <v>0.375</v>
      </c>
      <c r="V1359" s="21" t="n">
        <v>1</v>
      </c>
      <c r="W1359" s="20">
        <f>IF(OR(U1359="",V1359=""),U1359,U1359*V1359)</f>
        <v/>
      </c>
      <c r="X1359" s="18" t="inlineStr">
        <is>
          <t>30-49</t>
        </is>
      </c>
      <c r="Y1359" s="19" t="inlineStr"/>
      <c r="Z1359" s="18">
        <f>IF(Y1359="",X1359,Y1359)</f>
        <v/>
      </c>
      <c r="AA1359" s="18" t="inlineStr">
        <is>
          <t>fishing</t>
        </is>
      </c>
      <c r="AB1359" s="18" t="inlineStr"/>
      <c r="AC1359" s="18" t="inlineStr"/>
      <c r="AD1359" s="18" t="inlineStr"/>
      <c r="AE1359" s="18" t="inlineStr"/>
      <c r="AF1359" s="18" t="inlineStr">
        <is>
          <t>True</t>
        </is>
      </c>
      <c r="AG1359" s="18" t="inlineStr"/>
      <c r="AH1359" s="18" t="inlineStr"/>
      <c r="AI1359" s="18" t="inlineStr"/>
      <c r="AJ1359" s="18" t="inlineStr">
        <is>
          <t>Cobblemon 동일</t>
        </is>
      </c>
      <c r="AK1359" s="18" t="inlineStr">
        <is>
          <t>사용</t>
        </is>
      </c>
      <c r="AL1359" s="18" t="inlineStr">
        <is>
          <t>COBBLEVERSE 1.7.42 / DP v31</t>
        </is>
      </c>
      <c r="AM1359" s="18" t="inlineStr">
        <is>
          <t>data/cobblemon/spawn_pool_world/0368_gorebyss.json</t>
        </is>
      </c>
      <c r="AN1359" s="18" t="inlineStr">
        <is>
          <t>gorebyss-3</t>
        </is>
      </c>
      <c r="AO1359" s="18" t="inlineStr">
        <is>
          <t>pokemon</t>
        </is>
      </c>
      <c r="AP1359" s="18" t="inlineStr"/>
      <c r="AQ1359" s="18" t="inlineStr">
        <is>
          <t>{"biomes":["#cobblemon:is_ocean"],"canSeeSky":true}</t>
        </is>
      </c>
      <c r="AR1359" s="18" t="inlineStr"/>
      <c r="AS1359" s="18" t="inlineStr"/>
      <c r="AT1359" s="19" t="inlineStr"/>
    </row>
    <row r="1360" ht="32" customHeight="1">
      <c r="A1360" s="18" t="inlineStr">
        <is>
          <t>0368_gorebyss.json::gorebyss-4::004</t>
        </is>
      </c>
      <c r="B1360" s="19" t="inlineStr">
        <is>
          <t>사용</t>
        </is>
      </c>
      <c r="C1360" s="18">
        <f>IF(OR(B1360&lt;&gt;AK1360,M1360&lt;&gt;L1360,O1360&lt;&gt;"",Q1360&lt;&gt;"",V1360&lt;&gt;1,Y1360&lt;&gt;"",AT1360&lt;&gt;""),"수정","원본")</f>
        <v/>
      </c>
      <c r="D1360" s="18" t="n">
        <v>368</v>
      </c>
      <c r="E1360" s="18" t="inlineStr">
        <is>
          <t>분홍장이</t>
        </is>
      </c>
      <c r="F1360" s="18" t="inlineStr">
        <is>
          <t>gorebyss</t>
        </is>
      </c>
      <c r="G1360" s="18" t="inlineStr">
        <is>
          <t>gorebyss</t>
        </is>
      </c>
      <c r="H1360" s="18" t="inlineStr"/>
      <c r="I1360" s="18" t="n">
        <v>3</v>
      </c>
      <c r="J1360" s="18" t="n"/>
      <c r="K1360" s="18" t="n">
        <v>3</v>
      </c>
      <c r="L1360" s="18" t="inlineStr">
        <is>
          <t>cobbleventure:generation_3</t>
        </is>
      </c>
      <c r="M1360" s="19" t="inlineStr">
        <is>
          <t>cobbleventure:generation_3</t>
        </is>
      </c>
      <c r="N1360" s="18" t="inlineStr"/>
      <c r="O1360" s="19" t="inlineStr"/>
      <c r="P1360" s="18" t="inlineStr">
        <is>
          <t>#cobblemon:is_deep_ocean</t>
        </is>
      </c>
      <c r="Q1360" s="19" t="inlineStr"/>
      <c r="R1360" s="18">
        <f>IF(Q1360="",P1360,Q1360)</f>
        <v/>
      </c>
      <c r="S1360" s="18" t="inlineStr"/>
      <c r="T1360" s="18" t="inlineStr">
        <is>
          <t>uncommon</t>
        </is>
      </c>
      <c r="U1360" s="20" t="n">
        <v>0.4</v>
      </c>
      <c r="V1360" s="21" t="n">
        <v>1</v>
      </c>
      <c r="W1360" s="20">
        <f>IF(OR(U1360="",V1360=""),U1360,U1360*V1360)</f>
        <v/>
      </c>
      <c r="X1360" s="18" t="inlineStr">
        <is>
          <t>30-49</t>
        </is>
      </c>
      <c r="Y1360" s="19" t="inlineStr"/>
      <c r="Z1360" s="18">
        <f>IF(Y1360="",X1360,Y1360)</f>
        <v/>
      </c>
      <c r="AA1360" s="18" t="inlineStr">
        <is>
          <t>submerged</t>
        </is>
      </c>
      <c r="AB1360" s="18" t="inlineStr"/>
      <c r="AC1360" s="18" t="inlineStr"/>
      <c r="AD1360" s="18" t="inlineStr">
        <is>
          <t>maxY=48</t>
        </is>
      </c>
      <c r="AE1360" s="18" t="inlineStr">
        <is>
          <t>sky 8-15</t>
        </is>
      </c>
      <c r="AF1360" s="18" t="inlineStr">
        <is>
          <t>False</t>
        </is>
      </c>
      <c r="AG1360" s="18" t="inlineStr"/>
      <c r="AH1360" s="18" t="inlineStr"/>
      <c r="AI1360" s="18" t="inlineStr"/>
      <c r="AJ1360" s="18" t="inlineStr">
        <is>
          <t>Cobblemon 동일</t>
        </is>
      </c>
      <c r="AK1360" s="18" t="inlineStr">
        <is>
          <t>사용</t>
        </is>
      </c>
      <c r="AL1360" s="18" t="inlineStr">
        <is>
          <t>COBBLEVERSE 1.7.42 / DP v31</t>
        </is>
      </c>
      <c r="AM1360" s="18" t="inlineStr">
        <is>
          <t>data/cobblemon/spawn_pool_world/0368_gorebyss.json</t>
        </is>
      </c>
      <c r="AN1360" s="18" t="inlineStr">
        <is>
          <t>gorebyss-4</t>
        </is>
      </c>
      <c r="AO1360" s="18" t="inlineStr">
        <is>
          <t>pokemon</t>
        </is>
      </c>
      <c r="AP1360" s="18" t="inlineStr">
        <is>
          <t>water</t>
        </is>
      </c>
      <c r="AQ1360" s="18" t="inlineStr">
        <is>
          <t>{"biomes":["#cobblemon:is_deep_ocean"],"canSeeSky":false,"maxSkyLight":15,"maxY":48,"minSkyLight":8}</t>
        </is>
      </c>
      <c r="AR1360" s="18" t="inlineStr"/>
      <c r="AS1360" s="18" t="inlineStr"/>
      <c r="AT1360" s="19" t="inlineStr"/>
    </row>
    <row r="1361" ht="32" customHeight="1">
      <c r="A1361" s="18" t="inlineStr">
        <is>
          <t>0368_gorebyss.json::gorebyss-5::005</t>
        </is>
      </c>
      <c r="B1361" s="19" t="inlineStr">
        <is>
          <t>사용</t>
        </is>
      </c>
      <c r="C1361" s="18">
        <f>IF(OR(B1361&lt;&gt;AK1361,M1361&lt;&gt;L1361,O1361&lt;&gt;"",Q1361&lt;&gt;"",V1361&lt;&gt;1,Y1361&lt;&gt;"",AT1361&lt;&gt;""),"수정","원본")</f>
        <v/>
      </c>
      <c r="D1361" s="18" t="n">
        <v>368</v>
      </c>
      <c r="E1361" s="18" t="inlineStr">
        <is>
          <t>분홍장이</t>
        </is>
      </c>
      <c r="F1361" s="18" t="inlineStr">
        <is>
          <t>gorebyss</t>
        </is>
      </c>
      <c r="G1361" s="18" t="inlineStr">
        <is>
          <t>gorebyss</t>
        </is>
      </c>
      <c r="H1361" s="18" t="inlineStr"/>
      <c r="I1361" s="18" t="n">
        <v>3</v>
      </c>
      <c r="J1361" s="18" t="n"/>
      <c r="K1361" s="18" t="n">
        <v>3</v>
      </c>
      <c r="L1361" s="18" t="inlineStr">
        <is>
          <t>cobbleventure:generation_3</t>
        </is>
      </c>
      <c r="M1361" s="19" t="inlineStr">
        <is>
          <t>cobbleventure:generation_3</t>
        </is>
      </c>
      <c r="N1361" s="18" t="inlineStr"/>
      <c r="O1361" s="19" t="inlineStr"/>
      <c r="P1361" s="18" t="inlineStr">
        <is>
          <t>#cobblemon:is_warm_ocean</t>
        </is>
      </c>
      <c r="Q1361" s="19" t="inlineStr"/>
      <c r="R1361" s="18">
        <f>IF(Q1361="",P1361,Q1361)</f>
        <v/>
      </c>
      <c r="S1361" s="18" t="inlineStr"/>
      <c r="T1361" s="18" t="inlineStr">
        <is>
          <t>rare</t>
        </is>
      </c>
      <c r="U1361" s="20" t="n">
        <v>0.625</v>
      </c>
      <c r="V1361" s="21" t="n">
        <v>1</v>
      </c>
      <c r="W1361" s="20">
        <f>IF(OR(U1361="",V1361=""),U1361,U1361*V1361)</f>
        <v/>
      </c>
      <c r="X1361" s="18" t="inlineStr">
        <is>
          <t>30-49</t>
        </is>
      </c>
      <c r="Y1361" s="19" t="inlineStr"/>
      <c r="Z1361" s="18">
        <f>IF(Y1361="",X1361,Y1361)</f>
        <v/>
      </c>
      <c r="AA1361" s="18" t="inlineStr">
        <is>
          <t>submerged</t>
        </is>
      </c>
      <c r="AB1361" s="18" t="inlineStr"/>
      <c r="AC1361" s="18" t="inlineStr"/>
      <c r="AD1361" s="18" t="inlineStr"/>
      <c r="AE1361" s="18" t="inlineStr">
        <is>
          <t>sky 8-15</t>
        </is>
      </c>
      <c r="AF1361" s="18" t="inlineStr">
        <is>
          <t>False</t>
        </is>
      </c>
      <c r="AG1361" s="18" t="inlineStr"/>
      <c r="AH1361" s="18" t="inlineStr"/>
      <c r="AI1361" s="18" t="inlineStr"/>
      <c r="AJ1361" s="18" t="inlineStr">
        <is>
          <t>Cobblemon 동일</t>
        </is>
      </c>
      <c r="AK1361" s="18" t="inlineStr">
        <is>
          <t>사용</t>
        </is>
      </c>
      <c r="AL1361" s="18" t="inlineStr">
        <is>
          <t>COBBLEVERSE 1.7.42 / DP v31</t>
        </is>
      </c>
      <c r="AM1361" s="18" t="inlineStr">
        <is>
          <t>data/cobblemon/spawn_pool_world/0368_gorebyss.json</t>
        </is>
      </c>
      <c r="AN1361" s="18" t="inlineStr">
        <is>
          <t>gorebyss-5</t>
        </is>
      </c>
      <c r="AO1361" s="18" t="inlineStr">
        <is>
          <t>pokemon</t>
        </is>
      </c>
      <c r="AP1361" s="18" t="inlineStr">
        <is>
          <t>water</t>
        </is>
      </c>
      <c r="AQ1361" s="18" t="inlineStr">
        <is>
          <t>{"biomes":["#cobblemon:is_warm_ocean"],"canSeeSky":false,"maxSkyLight":15,"minSkyLight":8}</t>
        </is>
      </c>
      <c r="AR1361" s="18" t="inlineStr"/>
      <c r="AS1361" s="18" t="inlineStr"/>
      <c r="AT1361" s="19" t="inlineStr"/>
    </row>
    <row r="1362" ht="32" customHeight="1">
      <c r="A1362" s="18" t="inlineStr">
        <is>
          <t>0368_gorebyss.json::gorebyss-6::006</t>
        </is>
      </c>
      <c r="B1362" s="19" t="inlineStr">
        <is>
          <t>사용</t>
        </is>
      </c>
      <c r="C1362" s="18">
        <f>IF(OR(B1362&lt;&gt;AK1362,M1362&lt;&gt;L1362,O1362&lt;&gt;"",Q1362&lt;&gt;"",V1362&lt;&gt;1,Y1362&lt;&gt;"",AT1362&lt;&gt;""),"수정","원본")</f>
        <v/>
      </c>
      <c r="D1362" s="18" t="n">
        <v>368</v>
      </c>
      <c r="E1362" s="18" t="inlineStr">
        <is>
          <t>분홍장이</t>
        </is>
      </c>
      <c r="F1362" s="18" t="inlineStr">
        <is>
          <t>gorebyss</t>
        </is>
      </c>
      <c r="G1362" s="18" t="inlineStr">
        <is>
          <t>gorebyss</t>
        </is>
      </c>
      <c r="H1362" s="18" t="inlineStr"/>
      <c r="I1362" s="18" t="n">
        <v>3</v>
      </c>
      <c r="J1362" s="18" t="n"/>
      <c r="K1362" s="18" t="n">
        <v>3</v>
      </c>
      <c r="L1362" s="18" t="inlineStr">
        <is>
          <t>cobbleventure:generation_3</t>
        </is>
      </c>
      <c r="M1362" s="19" t="inlineStr">
        <is>
          <t>cobbleventure:generation_3</t>
        </is>
      </c>
      <c r="N1362" s="18" t="inlineStr"/>
      <c r="O1362" s="19" t="inlineStr"/>
      <c r="P1362" s="18" t="inlineStr">
        <is>
          <t>#cobblemon:is_ocean</t>
        </is>
      </c>
      <c r="Q1362" s="19" t="inlineStr"/>
      <c r="R1362" s="18">
        <f>IF(Q1362="",P1362,Q1362)</f>
        <v/>
      </c>
      <c r="S1362" s="18" t="inlineStr"/>
      <c r="T1362" s="18" t="inlineStr">
        <is>
          <t>rare</t>
        </is>
      </c>
      <c r="U1362" s="20" t="n">
        <v>0.375</v>
      </c>
      <c r="V1362" s="21" t="n">
        <v>1</v>
      </c>
      <c r="W1362" s="20">
        <f>IF(OR(U1362="",V1362=""),U1362,U1362*V1362)</f>
        <v/>
      </c>
      <c r="X1362" s="18" t="inlineStr">
        <is>
          <t>30-49</t>
        </is>
      </c>
      <c r="Y1362" s="19" t="inlineStr"/>
      <c r="Z1362" s="18">
        <f>IF(Y1362="",X1362,Y1362)</f>
        <v/>
      </c>
      <c r="AA1362" s="18" t="inlineStr">
        <is>
          <t>fishing</t>
        </is>
      </c>
      <c r="AB1362" s="18" t="inlineStr"/>
      <c r="AC1362" s="18" t="inlineStr"/>
      <c r="AD1362" s="18" t="inlineStr"/>
      <c r="AE1362" s="18" t="inlineStr">
        <is>
          <t>sky 8-15</t>
        </is>
      </c>
      <c r="AF1362" s="18" t="inlineStr">
        <is>
          <t>False</t>
        </is>
      </c>
      <c r="AG1362" s="18" t="inlineStr"/>
      <c r="AH1362" s="18" t="inlineStr"/>
      <c r="AI1362" s="18" t="inlineStr"/>
      <c r="AJ1362" s="18" t="inlineStr">
        <is>
          <t>Cobblemon 동일</t>
        </is>
      </c>
      <c r="AK1362" s="18" t="inlineStr">
        <is>
          <t>사용</t>
        </is>
      </c>
      <c r="AL1362" s="18" t="inlineStr">
        <is>
          <t>COBBLEVERSE 1.7.42 / DP v31</t>
        </is>
      </c>
      <c r="AM1362" s="18" t="inlineStr">
        <is>
          <t>data/cobblemon/spawn_pool_world/0368_gorebyss.json</t>
        </is>
      </c>
      <c r="AN1362" s="18" t="inlineStr">
        <is>
          <t>gorebyss-6</t>
        </is>
      </c>
      <c r="AO1362" s="18" t="inlineStr">
        <is>
          <t>pokemon</t>
        </is>
      </c>
      <c r="AP1362" s="18" t="inlineStr"/>
      <c r="AQ1362" s="18" t="inlineStr">
        <is>
          <t>{"biomes":["#cobblemon:is_ocean"],"canSeeSky":false,"maxSkyLight":15,"minSkyLight":8}</t>
        </is>
      </c>
      <c r="AR1362" s="18" t="inlineStr"/>
      <c r="AS1362" s="18" t="inlineStr"/>
      <c r="AT1362" s="19" t="inlineStr"/>
    </row>
    <row r="1363" ht="32" customHeight="1">
      <c r="A1363" s="18" t="inlineStr">
        <is>
          <t>0368_gorebyss.json::gorebyss-7::007</t>
        </is>
      </c>
      <c r="B1363" s="19" t="inlineStr">
        <is>
          <t>사용</t>
        </is>
      </c>
      <c r="C1363" s="18">
        <f>IF(OR(B1363&lt;&gt;AK1363,M1363&lt;&gt;L1363,O1363&lt;&gt;"",Q1363&lt;&gt;"",V1363&lt;&gt;1,Y1363&lt;&gt;"",AT1363&lt;&gt;""),"수정","원본")</f>
        <v/>
      </c>
      <c r="D1363" s="18" t="n">
        <v>368</v>
      </c>
      <c r="E1363" s="18" t="inlineStr">
        <is>
          <t>분홍장이</t>
        </is>
      </c>
      <c r="F1363" s="18" t="inlineStr">
        <is>
          <t>gorebyss</t>
        </is>
      </c>
      <c r="G1363" s="18" t="inlineStr">
        <is>
          <t>gorebyss</t>
        </is>
      </c>
      <c r="H1363" s="18" t="inlineStr"/>
      <c r="I1363" s="18" t="n">
        <v>3</v>
      </c>
      <c r="J1363" s="18" t="n"/>
      <c r="K1363" s="18" t="n">
        <v>3</v>
      </c>
      <c r="L1363" s="18" t="inlineStr">
        <is>
          <t>cobbleventure:generation_3</t>
        </is>
      </c>
      <c r="M1363" s="19" t="inlineStr">
        <is>
          <t>cobbleventure:generation_3</t>
        </is>
      </c>
      <c r="N1363" s="18" t="inlineStr">
        <is>
          <t>region_01; region_02</t>
        </is>
      </c>
      <c r="O1363" s="19" t="inlineStr"/>
      <c r="P1363" s="18" t="inlineStr">
        <is>
          <t>#cobblemon:is_overworld</t>
        </is>
      </c>
      <c r="Q1363" s="19" t="inlineStr"/>
      <c r="R1363" s="18">
        <f>IF(Q1363="",P1363,Q1363)</f>
        <v/>
      </c>
      <c r="S1363" s="18" t="inlineStr"/>
      <c r="T1363" s="18" t="inlineStr">
        <is>
          <t>uncommon</t>
        </is>
      </c>
      <c r="U1363" s="20" t="n">
        <v>0.4</v>
      </c>
      <c r="V1363" s="21" t="n">
        <v>1</v>
      </c>
      <c r="W1363" s="20">
        <f>IF(OR(U1363="",V1363=""),U1363,U1363*V1363)</f>
        <v/>
      </c>
      <c r="X1363" s="18" t="inlineStr">
        <is>
          <t>30-49</t>
        </is>
      </c>
      <c r="Y1363" s="19" t="inlineStr"/>
      <c r="Z1363" s="18">
        <f>IF(Y1363="",X1363,Y1363)</f>
        <v/>
      </c>
      <c r="AA1363" s="18" t="inlineStr">
        <is>
          <t>submerged</t>
        </is>
      </c>
      <c r="AB1363" s="18" t="inlineStr"/>
      <c r="AC1363" s="18" t="inlineStr"/>
      <c r="AD1363" s="18" t="inlineStr">
        <is>
          <t>minY=-60, maxY=13</t>
        </is>
      </c>
      <c r="AE1363" s="18" t="inlineStr"/>
      <c r="AF1363" s="18" t="inlineStr">
        <is>
          <t>False</t>
        </is>
      </c>
      <c r="AG1363" s="18" t="inlineStr">
        <is>
          <t>cobblemon:shipwreck_coves/submerged_shipwreck_cove</t>
        </is>
      </c>
      <c r="AH1363" s="18" t="inlineStr"/>
      <c r="AI1363" s="18" t="inlineStr"/>
      <c r="AJ1363" s="18" t="inlineStr">
        <is>
          <t>Cobblemon 동일</t>
        </is>
      </c>
      <c r="AK1363" s="18" t="inlineStr">
        <is>
          <t>사용</t>
        </is>
      </c>
      <c r="AL1363" s="18" t="inlineStr">
        <is>
          <t>COBBLEVERSE 1.7.42 / DP v31</t>
        </is>
      </c>
      <c r="AM1363" s="18" t="inlineStr">
        <is>
          <t>data/cobblemon/spawn_pool_world/0368_gorebyss.json</t>
        </is>
      </c>
      <c r="AN1363" s="18" t="inlineStr">
        <is>
          <t>gorebyss-7</t>
        </is>
      </c>
      <c r="AO1363" s="18" t="inlineStr">
        <is>
          <t>pokemon</t>
        </is>
      </c>
      <c r="AP1363" s="18" t="inlineStr">
        <is>
          <t>water</t>
        </is>
      </c>
      <c r="AQ1363" s="18" t="inlineStr">
        <is>
          <t>{"biomes":["#cobblemon:is_overworld"],"canSeeSky":false,"maxY":13,"minY":-60,"structures":["cobblemon:shipwreck_coves/submerged_shipwreck_cove"]}</t>
        </is>
      </c>
      <c r="AR1363" s="18" t="inlineStr"/>
      <c r="AS1363" s="18" t="inlineStr"/>
      <c r="AT1363" s="19" t="inlineStr"/>
    </row>
    <row r="1364" ht="32" customHeight="1">
      <c r="A1364" s="18" t="inlineStr">
        <is>
          <t>0368_gorebyss.json::gorebyss-8::008</t>
        </is>
      </c>
      <c r="B1364" s="19" t="inlineStr">
        <is>
          <t>사용</t>
        </is>
      </c>
      <c r="C1364" s="18">
        <f>IF(OR(B1364&lt;&gt;AK1364,M1364&lt;&gt;L1364,O1364&lt;&gt;"",Q1364&lt;&gt;"",V1364&lt;&gt;1,Y1364&lt;&gt;"",AT1364&lt;&gt;""),"수정","원본")</f>
        <v/>
      </c>
      <c r="D1364" s="18" t="n">
        <v>368</v>
      </c>
      <c r="E1364" s="18" t="inlineStr">
        <is>
          <t>분홍장이</t>
        </is>
      </c>
      <c r="F1364" s="18" t="inlineStr">
        <is>
          <t>gorebyss</t>
        </is>
      </c>
      <c r="G1364" s="18" t="inlineStr">
        <is>
          <t>gorebyss</t>
        </is>
      </c>
      <c r="H1364" s="18" t="inlineStr"/>
      <c r="I1364" s="18" t="n">
        <v>3</v>
      </c>
      <c r="J1364" s="18" t="n"/>
      <c r="K1364" s="18" t="n">
        <v>3</v>
      </c>
      <c r="L1364" s="18" t="inlineStr">
        <is>
          <t>cobbleventure:generation_3</t>
        </is>
      </c>
      <c r="M1364" s="19" t="inlineStr">
        <is>
          <t>cobbleventure:generation_3</t>
        </is>
      </c>
      <c r="N1364" s="18" t="inlineStr">
        <is>
          <t>region_01; region_02</t>
        </is>
      </c>
      <c r="O1364" s="19" t="inlineStr"/>
      <c r="P1364" s="18" t="inlineStr">
        <is>
          <t>#cobblemon:is_overworld</t>
        </is>
      </c>
      <c r="Q1364" s="19" t="inlineStr"/>
      <c r="R1364" s="18">
        <f>IF(Q1364="",P1364,Q1364)</f>
        <v/>
      </c>
      <c r="S1364" s="18" t="inlineStr"/>
      <c r="T1364" s="18" t="inlineStr">
        <is>
          <t>rare</t>
        </is>
      </c>
      <c r="U1364" s="20" t="n">
        <v>0.375</v>
      </c>
      <c r="V1364" s="21" t="n">
        <v>1</v>
      </c>
      <c r="W1364" s="20">
        <f>IF(OR(U1364="",V1364=""),U1364,U1364*V1364)</f>
        <v/>
      </c>
      <c r="X1364" s="18" t="inlineStr">
        <is>
          <t>30-49</t>
        </is>
      </c>
      <c r="Y1364" s="19" t="inlineStr"/>
      <c r="Z1364" s="18">
        <f>IF(Y1364="",X1364,Y1364)</f>
        <v/>
      </c>
      <c r="AA1364" s="18" t="inlineStr">
        <is>
          <t>fishing</t>
        </is>
      </c>
      <c r="AB1364" s="18" t="inlineStr"/>
      <c r="AC1364" s="18" t="inlineStr"/>
      <c r="AD1364" s="18" t="inlineStr">
        <is>
          <t>minY=-60, maxY=13</t>
        </is>
      </c>
      <c r="AE1364" s="18" t="inlineStr"/>
      <c r="AF1364" s="18" t="inlineStr">
        <is>
          <t>False</t>
        </is>
      </c>
      <c r="AG1364" s="18" t="inlineStr">
        <is>
          <t>cobblemon:shipwreck_coves/submerged_shipwreck_cove</t>
        </is>
      </c>
      <c r="AH1364" s="18" t="inlineStr"/>
      <c r="AI1364" s="18" t="inlineStr"/>
      <c r="AJ1364" s="18" t="inlineStr">
        <is>
          <t>Cobblemon 동일</t>
        </is>
      </c>
      <c r="AK1364" s="18" t="inlineStr">
        <is>
          <t>사용</t>
        </is>
      </c>
      <c r="AL1364" s="18" t="inlineStr">
        <is>
          <t>COBBLEVERSE 1.7.42 / DP v31</t>
        </is>
      </c>
      <c r="AM1364" s="18" t="inlineStr">
        <is>
          <t>data/cobblemon/spawn_pool_world/0368_gorebyss.json</t>
        </is>
      </c>
      <c r="AN1364" s="18" t="inlineStr">
        <is>
          <t>gorebyss-8</t>
        </is>
      </c>
      <c r="AO1364" s="18" t="inlineStr">
        <is>
          <t>pokemon</t>
        </is>
      </c>
      <c r="AP1364" s="18" t="inlineStr"/>
      <c r="AQ1364" s="18" t="inlineStr">
        <is>
          <t>{"biomes":["#cobblemon:is_overworld"],"canSeeSky":false,"maxY":13,"minY":-60,"structures":["cobblemon:shipwreck_coves/submerged_shipwreck_cove"]}</t>
        </is>
      </c>
      <c r="AR1364" s="18" t="inlineStr"/>
      <c r="AS1364" s="18" t="inlineStr"/>
      <c r="AT1364" s="19" t="inlineStr"/>
    </row>
    <row r="1365" ht="32" customHeight="1">
      <c r="A1365" s="18" t="inlineStr">
        <is>
          <t>0369_relicanth.json::relicanth-1::001</t>
        </is>
      </c>
      <c r="B1365" s="19" t="inlineStr">
        <is>
          <t>사용</t>
        </is>
      </c>
      <c r="C1365" s="18">
        <f>IF(OR(B1365&lt;&gt;AK1365,M1365&lt;&gt;L1365,O1365&lt;&gt;"",Q1365&lt;&gt;"",V1365&lt;&gt;1,Y1365&lt;&gt;"",AT1365&lt;&gt;""),"수정","원본")</f>
        <v/>
      </c>
      <c r="D1365" s="18" t="n">
        <v>369</v>
      </c>
      <c r="E1365" s="18" t="inlineStr">
        <is>
          <t>시라칸</t>
        </is>
      </c>
      <c r="F1365" s="18" t="inlineStr">
        <is>
          <t>relicanth</t>
        </is>
      </c>
      <c r="G1365" s="18" t="inlineStr">
        <is>
          <t>relicanth</t>
        </is>
      </c>
      <c r="H1365" s="18" t="inlineStr"/>
      <c r="I1365" s="18" t="n">
        <v>3</v>
      </c>
      <c r="J1365" s="18" t="n"/>
      <c r="K1365" s="18" t="n">
        <v>3</v>
      </c>
      <c r="L1365" s="18" t="inlineStr">
        <is>
          <t>cobbleventure:generation_3</t>
        </is>
      </c>
      <c r="M1365" s="19" t="inlineStr">
        <is>
          <t>cobbleventure:generation_3</t>
        </is>
      </c>
      <c r="N1365" s="18" t="inlineStr"/>
      <c r="O1365" s="19" t="inlineStr"/>
      <c r="P1365" s="18" t="inlineStr">
        <is>
          <t>#cobblemon:is_deep_ocean</t>
        </is>
      </c>
      <c r="Q1365" s="19" t="inlineStr"/>
      <c r="R1365" s="18">
        <f>IF(Q1365="",P1365,Q1365)</f>
        <v/>
      </c>
      <c r="S1365" s="18" t="inlineStr"/>
      <c r="T1365" s="18" t="inlineStr">
        <is>
          <t>uncommon</t>
        </is>
      </c>
      <c r="U1365" s="20" t="n">
        <v>2</v>
      </c>
      <c r="V1365" s="21" t="n">
        <v>1</v>
      </c>
      <c r="W1365" s="20">
        <f>IF(OR(U1365="",V1365=""),U1365,U1365*V1365)</f>
        <v/>
      </c>
      <c r="X1365" s="18" t="inlineStr">
        <is>
          <t>24-49</t>
        </is>
      </c>
      <c r="Y1365" s="19" t="inlineStr"/>
      <c r="Z1365" s="18">
        <f>IF(Y1365="",X1365,Y1365)</f>
        <v/>
      </c>
      <c r="AA1365" s="18" t="inlineStr">
        <is>
          <t>submerged</t>
        </is>
      </c>
      <c r="AB1365" s="18" t="inlineStr"/>
      <c r="AC1365" s="18" t="inlineStr"/>
      <c r="AD1365" s="18" t="inlineStr">
        <is>
          <t>maxY=48</t>
        </is>
      </c>
      <c r="AE1365" s="18" t="inlineStr"/>
      <c r="AF1365" s="18" t="inlineStr"/>
      <c r="AG1365" s="18" t="inlineStr"/>
      <c r="AH1365" s="18" t="inlineStr"/>
      <c r="AI1365" s="18" t="inlineStr"/>
      <c r="AJ1365" s="18" t="inlineStr">
        <is>
          <t>Cobblemon 동일</t>
        </is>
      </c>
      <c r="AK1365" s="18" t="inlineStr">
        <is>
          <t>사용</t>
        </is>
      </c>
      <c r="AL1365" s="18" t="inlineStr">
        <is>
          <t>COBBLEVERSE 1.7.42 / DP v31</t>
        </is>
      </c>
      <c r="AM1365" s="18" t="inlineStr">
        <is>
          <t>data/cobblemon/spawn_pool_world/0369_relicanth.json</t>
        </is>
      </c>
      <c r="AN1365" s="18" t="inlineStr">
        <is>
          <t>relicanth-1</t>
        </is>
      </c>
      <c r="AO1365" s="18" t="inlineStr">
        <is>
          <t>pokemon</t>
        </is>
      </c>
      <c r="AP1365" s="18" t="inlineStr">
        <is>
          <t>water</t>
        </is>
      </c>
      <c r="AQ1365" s="18" t="inlineStr">
        <is>
          <t>{"biomes":["#cobblemon:is_deep_ocean"],"maxY":48}</t>
        </is>
      </c>
      <c r="AR1365" s="18" t="inlineStr"/>
      <c r="AS1365" s="18" t="inlineStr"/>
      <c r="AT1365" s="19" t="inlineStr"/>
    </row>
    <row r="1366" ht="32" customHeight="1">
      <c r="A1366" s="18" t="inlineStr">
        <is>
          <t>0369_relicanth.json::relicanth-2::002</t>
        </is>
      </c>
      <c r="B1366" s="19" t="inlineStr">
        <is>
          <t>사용</t>
        </is>
      </c>
      <c r="C1366" s="18">
        <f>IF(OR(B1366&lt;&gt;AK1366,M1366&lt;&gt;L1366,O1366&lt;&gt;"",Q1366&lt;&gt;"",V1366&lt;&gt;1,Y1366&lt;&gt;"",AT1366&lt;&gt;""),"수정","원본")</f>
        <v/>
      </c>
      <c r="D1366" s="18" t="n">
        <v>369</v>
      </c>
      <c r="E1366" s="18" t="inlineStr">
        <is>
          <t>시라칸</t>
        </is>
      </c>
      <c r="F1366" s="18" t="inlineStr">
        <is>
          <t>relicanth</t>
        </is>
      </c>
      <c r="G1366" s="18" t="inlineStr">
        <is>
          <t>relicanth</t>
        </is>
      </c>
      <c r="H1366" s="18" t="inlineStr"/>
      <c r="I1366" s="18" t="n">
        <v>3</v>
      </c>
      <c r="J1366" s="18" t="n"/>
      <c r="K1366" s="18" t="n">
        <v>3</v>
      </c>
      <c r="L1366" s="18" t="inlineStr">
        <is>
          <t>cobbleventure:generation_3</t>
        </is>
      </c>
      <c r="M1366" s="19" t="inlineStr">
        <is>
          <t>cobbleventure:generation_3</t>
        </is>
      </c>
      <c r="N1366" s="18" t="inlineStr"/>
      <c r="O1366" s="19" t="inlineStr"/>
      <c r="P1366" s="18" t="inlineStr">
        <is>
          <t>#cobblemon:is_ocean</t>
        </is>
      </c>
      <c r="Q1366" s="19" t="inlineStr"/>
      <c r="R1366" s="18">
        <f>IF(Q1366="",P1366,Q1366)</f>
        <v/>
      </c>
      <c r="S1366" s="18" t="inlineStr"/>
      <c r="T1366" s="18" t="inlineStr">
        <is>
          <t>common</t>
        </is>
      </c>
      <c r="U1366" s="20" t="n">
        <v>20</v>
      </c>
      <c r="V1366" s="21" t="n">
        <v>1</v>
      </c>
      <c r="W1366" s="20">
        <f>IF(OR(U1366="",V1366=""),U1366,U1366*V1366)</f>
        <v/>
      </c>
      <c r="X1366" s="18" t="inlineStr">
        <is>
          <t>24-49</t>
        </is>
      </c>
      <c r="Y1366" s="19" t="inlineStr"/>
      <c r="Z1366" s="18">
        <f>IF(Y1366="",X1366,Y1366)</f>
        <v/>
      </c>
      <c r="AA1366" s="18" t="inlineStr">
        <is>
          <t>submerged</t>
        </is>
      </c>
      <c r="AB1366" s="18" t="inlineStr"/>
      <c r="AC1366" s="18" t="inlineStr"/>
      <c r="AD1366" s="18" t="inlineStr"/>
      <c r="AE1366" s="18" t="inlineStr"/>
      <c r="AF1366" s="18" t="inlineStr">
        <is>
          <t>True</t>
        </is>
      </c>
      <c r="AG1366" s="18" t="inlineStr"/>
      <c r="AH1366" s="18" t="inlineStr"/>
      <c r="AI1366" s="18" t="inlineStr"/>
      <c r="AJ1366" s="18" t="inlineStr">
        <is>
          <t>Cobblemon 동일</t>
        </is>
      </c>
      <c r="AK1366" s="18" t="inlineStr">
        <is>
          <t>사용</t>
        </is>
      </c>
      <c r="AL1366" s="18" t="inlineStr">
        <is>
          <t>COBBLEVERSE 1.7.42 / DP v31</t>
        </is>
      </c>
      <c r="AM1366" s="18" t="inlineStr">
        <is>
          <t>data/cobblemon/spawn_pool_world/0369_relicanth.json</t>
        </is>
      </c>
      <c r="AN1366" s="18" t="inlineStr">
        <is>
          <t>relicanth-2</t>
        </is>
      </c>
      <c r="AO1366" s="18" t="inlineStr">
        <is>
          <t>pokemon</t>
        </is>
      </c>
      <c r="AP1366" s="18" t="inlineStr">
        <is>
          <t>water; ocean_ruins</t>
        </is>
      </c>
      <c r="AQ1366" s="18" t="inlineStr">
        <is>
          <t>{"biomes":["#cobblemon:is_ocean"],"canSeeSky":true}</t>
        </is>
      </c>
      <c r="AR1366" s="18" t="inlineStr"/>
      <c r="AS1366" s="18" t="inlineStr"/>
      <c r="AT1366" s="19" t="inlineStr"/>
    </row>
    <row r="1367" ht="32" customHeight="1">
      <c r="A1367" s="18" t="inlineStr">
        <is>
          <t>0369_relicanth.json::relicanth-3::003</t>
        </is>
      </c>
      <c r="B1367" s="19" t="inlineStr">
        <is>
          <t>사용</t>
        </is>
      </c>
      <c r="C1367" s="18">
        <f>IF(OR(B1367&lt;&gt;AK1367,M1367&lt;&gt;L1367,O1367&lt;&gt;"",Q1367&lt;&gt;"",V1367&lt;&gt;1,Y1367&lt;&gt;"",AT1367&lt;&gt;""),"수정","원본")</f>
        <v/>
      </c>
      <c r="D1367" s="18" t="n">
        <v>369</v>
      </c>
      <c r="E1367" s="18" t="inlineStr">
        <is>
          <t>시라칸</t>
        </is>
      </c>
      <c r="F1367" s="18" t="inlineStr">
        <is>
          <t>relicanth</t>
        </is>
      </c>
      <c r="G1367" s="18" t="inlineStr">
        <is>
          <t>relicanth</t>
        </is>
      </c>
      <c r="H1367" s="18" t="inlineStr"/>
      <c r="I1367" s="18" t="n">
        <v>3</v>
      </c>
      <c r="J1367" s="18" t="n"/>
      <c r="K1367" s="18" t="n">
        <v>3</v>
      </c>
      <c r="L1367" s="18" t="inlineStr">
        <is>
          <t>cobbleventure:generation_3</t>
        </is>
      </c>
      <c r="M1367" s="19" t="inlineStr">
        <is>
          <t>cobbleventure:generation_3</t>
        </is>
      </c>
      <c r="N1367" s="18" t="inlineStr">
        <is>
          <t>region_01; region_02</t>
        </is>
      </c>
      <c r="O1367" s="19" t="inlineStr"/>
      <c r="P1367" s="18" t="inlineStr">
        <is>
          <t>#cobblemon:is_overworld</t>
        </is>
      </c>
      <c r="Q1367" s="19" t="inlineStr"/>
      <c r="R1367" s="18">
        <f>IF(Q1367="",P1367,Q1367)</f>
        <v/>
      </c>
      <c r="S1367" s="18" t="inlineStr">
        <is>
          <t>#cobblemon:is_deep_ocean; #cobblemon:is_lush</t>
        </is>
      </c>
      <c r="T1367" s="18" t="inlineStr">
        <is>
          <t>rare</t>
        </is>
      </c>
      <c r="U1367" s="20" t="n">
        <v>10</v>
      </c>
      <c r="V1367" s="21" t="n">
        <v>1</v>
      </c>
      <c r="W1367" s="20">
        <f>IF(OR(U1367="",V1367=""),U1367,U1367*V1367)</f>
        <v/>
      </c>
      <c r="X1367" s="18" t="inlineStr">
        <is>
          <t>24-49</t>
        </is>
      </c>
      <c r="Y1367" s="19" t="inlineStr"/>
      <c r="Z1367" s="18">
        <f>IF(Y1367="",X1367,Y1367)</f>
        <v/>
      </c>
      <c r="AA1367" s="18" t="inlineStr">
        <is>
          <t>submerged</t>
        </is>
      </c>
      <c r="AB1367" s="18" t="inlineStr"/>
      <c r="AC1367" s="18" t="inlineStr"/>
      <c r="AD1367" s="18" t="inlineStr">
        <is>
          <t>maxY=48</t>
        </is>
      </c>
      <c r="AE1367" s="18" t="inlineStr">
        <is>
          <t>sky 0-7</t>
        </is>
      </c>
      <c r="AF1367" s="18" t="inlineStr"/>
      <c r="AG1367" s="18" t="inlineStr"/>
      <c r="AH1367" s="18" t="inlineStr"/>
      <c r="AI1367" s="18" t="inlineStr"/>
      <c r="AJ1367" s="18" t="inlineStr">
        <is>
          <t>Cobblemon 동일</t>
        </is>
      </c>
      <c r="AK1367" s="18" t="inlineStr">
        <is>
          <t>사용</t>
        </is>
      </c>
      <c r="AL1367" s="18" t="inlineStr">
        <is>
          <t>COBBLEVERSE 1.7.42 / DP v31</t>
        </is>
      </c>
      <c r="AM1367" s="18" t="inlineStr">
        <is>
          <t>data/cobblemon/spawn_pool_world/0369_relicanth.json</t>
        </is>
      </c>
      <c r="AN1367" s="18" t="inlineStr">
        <is>
          <t>relicanth-3</t>
        </is>
      </c>
      <c r="AO1367" s="18" t="inlineStr">
        <is>
          <t>pokemon</t>
        </is>
      </c>
      <c r="AP1367" s="18" t="inlineStr">
        <is>
          <t>water</t>
        </is>
      </c>
      <c r="AQ1367" s="18" t="inlineStr">
        <is>
          <t>{"biomes":["#cobblemon:is_overworld"],"maxSkyLight":7,"maxY":48,"minSkyLight":0}</t>
        </is>
      </c>
      <c r="AR1367" s="18" t="inlineStr">
        <is>
          <t>{"biomes":["#cobblemon:is_deep_ocean","#cobblemon:is_lush"]}</t>
        </is>
      </c>
      <c r="AS1367" s="18" t="inlineStr"/>
      <c r="AT1367" s="19" t="inlineStr"/>
    </row>
    <row r="1368" ht="32" customHeight="1">
      <c r="A1368" s="18" t="inlineStr">
        <is>
          <t>0369_relicanth.json::relicanth-4::004</t>
        </is>
      </c>
      <c r="B1368" s="19" t="inlineStr">
        <is>
          <t>사용</t>
        </is>
      </c>
      <c r="C1368" s="18">
        <f>IF(OR(B1368&lt;&gt;AK1368,M1368&lt;&gt;L1368,O1368&lt;&gt;"",Q1368&lt;&gt;"",V1368&lt;&gt;1,Y1368&lt;&gt;"",AT1368&lt;&gt;""),"수정","원본")</f>
        <v/>
      </c>
      <c r="D1368" s="18" t="n">
        <v>369</v>
      </c>
      <c r="E1368" s="18" t="inlineStr">
        <is>
          <t>시라칸</t>
        </is>
      </c>
      <c r="F1368" s="18" t="inlineStr">
        <is>
          <t>relicanth</t>
        </is>
      </c>
      <c r="G1368" s="18" t="inlineStr">
        <is>
          <t>relicanth</t>
        </is>
      </c>
      <c r="H1368" s="18" t="inlineStr"/>
      <c r="I1368" s="18" t="n">
        <v>3</v>
      </c>
      <c r="J1368" s="18" t="n"/>
      <c r="K1368" s="18" t="n">
        <v>3</v>
      </c>
      <c r="L1368" s="18" t="inlineStr">
        <is>
          <t>cobbleventure:generation_3</t>
        </is>
      </c>
      <c r="M1368" s="19" t="inlineStr">
        <is>
          <t>cobbleventure:generation_3</t>
        </is>
      </c>
      <c r="N1368" s="18" t="inlineStr"/>
      <c r="O1368" s="19" t="inlineStr"/>
      <c r="P1368" s="18" t="inlineStr">
        <is>
          <t>#cobblemon:is_deep_ocean</t>
        </is>
      </c>
      <c r="Q1368" s="19" t="inlineStr"/>
      <c r="R1368" s="18">
        <f>IF(Q1368="",P1368,Q1368)</f>
        <v/>
      </c>
      <c r="S1368" s="18" t="inlineStr"/>
      <c r="T1368" s="18" t="inlineStr">
        <is>
          <t>uncommon</t>
        </is>
      </c>
      <c r="U1368" s="20" t="n">
        <v>2</v>
      </c>
      <c r="V1368" s="21" t="n">
        <v>1</v>
      </c>
      <c r="W1368" s="20">
        <f>IF(OR(U1368="",V1368=""),U1368,U1368*V1368)</f>
        <v/>
      </c>
      <c r="X1368" s="18" t="inlineStr">
        <is>
          <t>24-49</t>
        </is>
      </c>
      <c r="Y1368" s="19" t="inlineStr"/>
      <c r="Z1368" s="18">
        <f>IF(Y1368="",X1368,Y1368)</f>
        <v/>
      </c>
      <c r="AA1368" s="18" t="inlineStr">
        <is>
          <t>fishing</t>
        </is>
      </c>
      <c r="AB1368" s="18" t="inlineStr"/>
      <c r="AC1368" s="18" t="inlineStr"/>
      <c r="AD1368" s="18" t="inlineStr"/>
      <c r="AE1368" s="18" t="inlineStr"/>
      <c r="AF1368" s="18" t="inlineStr"/>
      <c r="AG1368" s="18" t="inlineStr"/>
      <c r="AH1368" s="18" t="inlineStr"/>
      <c r="AI1368" s="18" t="inlineStr"/>
      <c r="AJ1368" s="18" t="inlineStr">
        <is>
          <t>Cobblemon 동일</t>
        </is>
      </c>
      <c r="AK1368" s="18" t="inlineStr">
        <is>
          <t>사용</t>
        </is>
      </c>
      <c r="AL1368" s="18" t="inlineStr">
        <is>
          <t>COBBLEVERSE 1.7.42 / DP v31</t>
        </is>
      </c>
      <c r="AM1368" s="18" t="inlineStr">
        <is>
          <t>data/cobblemon/spawn_pool_world/0369_relicanth.json</t>
        </is>
      </c>
      <c r="AN1368" s="18" t="inlineStr">
        <is>
          <t>relicanth-4</t>
        </is>
      </c>
      <c r="AO1368" s="18" t="inlineStr">
        <is>
          <t>pokemon</t>
        </is>
      </c>
      <c r="AP1368" s="18" t="inlineStr"/>
      <c r="AQ1368" s="18" t="inlineStr">
        <is>
          <t>{"biomes":["#cobblemon:is_deep_ocean"]}</t>
        </is>
      </c>
      <c r="AR1368" s="18" t="inlineStr">
        <is>
          <t>{"minLureLevel":1}</t>
        </is>
      </c>
      <c r="AS1368" s="18" t="inlineStr"/>
      <c r="AT1368" s="19" t="inlineStr"/>
    </row>
    <row r="1369" ht="32" customHeight="1">
      <c r="A1369" s="18" t="inlineStr">
        <is>
          <t>0369_relicanth.json::relicanth-5::005</t>
        </is>
      </c>
      <c r="B1369" s="19" t="inlineStr">
        <is>
          <t>사용</t>
        </is>
      </c>
      <c r="C1369" s="18">
        <f>IF(OR(B1369&lt;&gt;AK1369,M1369&lt;&gt;L1369,O1369&lt;&gt;"",Q1369&lt;&gt;"",V1369&lt;&gt;1,Y1369&lt;&gt;"",AT1369&lt;&gt;""),"수정","원본")</f>
        <v/>
      </c>
      <c r="D1369" s="18" t="n">
        <v>369</v>
      </c>
      <c r="E1369" s="18" t="inlineStr">
        <is>
          <t>시라칸</t>
        </is>
      </c>
      <c r="F1369" s="18" t="inlineStr">
        <is>
          <t>relicanth</t>
        </is>
      </c>
      <c r="G1369" s="18" t="inlineStr">
        <is>
          <t>relicanth</t>
        </is>
      </c>
      <c r="H1369" s="18" t="inlineStr"/>
      <c r="I1369" s="18" t="n">
        <v>3</v>
      </c>
      <c r="J1369" s="18" t="n"/>
      <c r="K1369" s="18" t="n">
        <v>3</v>
      </c>
      <c r="L1369" s="18" t="inlineStr">
        <is>
          <t>cobbleventure:generation_3</t>
        </is>
      </c>
      <c r="M1369" s="19" t="inlineStr">
        <is>
          <t>cobbleventure:generation_3</t>
        </is>
      </c>
      <c r="N1369" s="18" t="inlineStr"/>
      <c r="O1369" s="19" t="inlineStr"/>
      <c r="P1369" s="18" t="inlineStr">
        <is>
          <t>#cobblemon:is_deep_ocean</t>
        </is>
      </c>
      <c r="Q1369" s="19" t="inlineStr"/>
      <c r="R1369" s="18">
        <f>IF(Q1369="",P1369,Q1369)</f>
        <v/>
      </c>
      <c r="S1369" s="18" t="inlineStr"/>
      <c r="T1369" s="18" t="inlineStr">
        <is>
          <t>common</t>
        </is>
      </c>
      <c r="U1369" s="20" t="n">
        <v>2</v>
      </c>
      <c r="V1369" s="21" t="n">
        <v>1</v>
      </c>
      <c r="W1369" s="20">
        <f>IF(OR(U1369="",V1369=""),U1369,U1369*V1369)</f>
        <v/>
      </c>
      <c r="X1369" s="18" t="inlineStr">
        <is>
          <t>24-49</t>
        </is>
      </c>
      <c r="Y1369" s="19" t="inlineStr"/>
      <c r="Z1369" s="18">
        <f>IF(Y1369="",X1369,Y1369)</f>
        <v/>
      </c>
      <c r="AA1369" s="18" t="inlineStr">
        <is>
          <t>fishing</t>
        </is>
      </c>
      <c r="AB1369" s="18" t="inlineStr"/>
      <c r="AC1369" s="18" t="inlineStr"/>
      <c r="AD1369" s="18" t="inlineStr"/>
      <c r="AE1369" s="18" t="inlineStr"/>
      <c r="AF1369" s="18" t="inlineStr"/>
      <c r="AG1369" s="18" t="inlineStr"/>
      <c r="AH1369" s="18" t="inlineStr"/>
      <c r="AI1369" s="18" t="inlineStr">
        <is>
          <t>{"fishing":{"minLureLevel":1}}</t>
        </is>
      </c>
      <c r="AJ1369" s="18" t="inlineStr">
        <is>
          <t>Cobblemon 동일</t>
        </is>
      </c>
      <c r="AK1369" s="18" t="inlineStr">
        <is>
          <t>사용</t>
        </is>
      </c>
      <c r="AL1369" s="18" t="inlineStr">
        <is>
          <t>COBBLEVERSE 1.7.42 / DP v31</t>
        </is>
      </c>
      <c r="AM1369" s="18" t="inlineStr">
        <is>
          <t>data/cobblemon/spawn_pool_world/0369_relicanth.json</t>
        </is>
      </c>
      <c r="AN1369" s="18" t="inlineStr">
        <is>
          <t>relicanth-5</t>
        </is>
      </c>
      <c r="AO1369" s="18" t="inlineStr">
        <is>
          <t>pokemon</t>
        </is>
      </c>
      <c r="AP1369" s="18" t="inlineStr"/>
      <c r="AQ1369" s="18" t="inlineStr">
        <is>
          <t>{"biomes":["#cobblemon:is_deep_ocean"],"minLureLevel":1}</t>
        </is>
      </c>
      <c r="AR1369" s="18" t="inlineStr"/>
      <c r="AS1369" s="18" t="inlineStr">
        <is>
          <t>{"weightMultiplier":{"condition":{"minLureLevel":3},"multiplier":3.0}}</t>
        </is>
      </c>
      <c r="AT1369" s="19" t="inlineStr"/>
    </row>
    <row r="1370" ht="32" customHeight="1">
      <c r="A1370" s="18" t="inlineStr">
        <is>
          <t>0369_relicanth.json::relicanth-6::006</t>
        </is>
      </c>
      <c r="B1370" s="19" t="inlineStr">
        <is>
          <t>사용</t>
        </is>
      </c>
      <c r="C1370" s="18">
        <f>IF(OR(B1370&lt;&gt;AK1370,M1370&lt;&gt;L1370,O1370&lt;&gt;"",Q1370&lt;&gt;"",V1370&lt;&gt;1,Y1370&lt;&gt;"",AT1370&lt;&gt;""),"수정","원본")</f>
        <v/>
      </c>
      <c r="D1370" s="18" t="n">
        <v>369</v>
      </c>
      <c r="E1370" s="18" t="inlineStr">
        <is>
          <t>시라칸</t>
        </is>
      </c>
      <c r="F1370" s="18" t="inlineStr">
        <is>
          <t>relicanth</t>
        </is>
      </c>
      <c r="G1370" s="18" t="inlineStr">
        <is>
          <t>relicanth</t>
        </is>
      </c>
      <c r="H1370" s="18" t="inlineStr"/>
      <c r="I1370" s="18" t="n">
        <v>3</v>
      </c>
      <c r="J1370" s="18" t="n"/>
      <c r="K1370" s="18" t="n">
        <v>3</v>
      </c>
      <c r="L1370" s="18" t="inlineStr">
        <is>
          <t>cobbleventure:generation_3</t>
        </is>
      </c>
      <c r="M1370" s="19" t="inlineStr">
        <is>
          <t>cobbleventure:generation_3</t>
        </is>
      </c>
      <c r="N1370" s="18" t="inlineStr"/>
      <c r="O1370" s="19" t="inlineStr"/>
      <c r="P1370" s="18" t="inlineStr">
        <is>
          <t>#cobblemon:is_ocean</t>
        </is>
      </c>
      <c r="Q1370" s="19" t="inlineStr"/>
      <c r="R1370" s="18">
        <f>IF(Q1370="",P1370,Q1370)</f>
        <v/>
      </c>
      <c r="S1370" s="18" t="inlineStr">
        <is>
          <t>#cobblemon:is_deep_ocean</t>
        </is>
      </c>
      <c r="T1370" s="18" t="inlineStr">
        <is>
          <t>rare</t>
        </is>
      </c>
      <c r="U1370" s="20" t="n">
        <v>6</v>
      </c>
      <c r="V1370" s="21" t="n">
        <v>1</v>
      </c>
      <c r="W1370" s="20">
        <f>IF(OR(U1370="",V1370=""),U1370,U1370*V1370)</f>
        <v/>
      </c>
      <c r="X1370" s="18" t="inlineStr">
        <is>
          <t>24-49</t>
        </is>
      </c>
      <c r="Y1370" s="19" t="inlineStr"/>
      <c r="Z1370" s="18">
        <f>IF(Y1370="",X1370,Y1370)</f>
        <v/>
      </c>
      <c r="AA1370" s="18" t="inlineStr">
        <is>
          <t>fishing</t>
        </is>
      </c>
      <c r="AB1370" s="18" t="inlineStr"/>
      <c r="AC1370" s="18" t="inlineStr"/>
      <c r="AD1370" s="18" t="inlineStr"/>
      <c r="AE1370" s="18" t="inlineStr"/>
      <c r="AF1370" s="18" t="inlineStr">
        <is>
          <t>True</t>
        </is>
      </c>
      <c r="AG1370" s="18" t="inlineStr"/>
      <c r="AH1370" s="18" t="inlineStr"/>
      <c r="AI1370" s="18" t="inlineStr"/>
      <c r="AJ1370" s="18" t="inlineStr">
        <is>
          <t>Cobblemon 동일</t>
        </is>
      </c>
      <c r="AK1370" s="18" t="inlineStr">
        <is>
          <t>사용</t>
        </is>
      </c>
      <c r="AL1370" s="18" t="inlineStr">
        <is>
          <t>COBBLEVERSE 1.7.42 / DP v31</t>
        </is>
      </c>
      <c r="AM1370" s="18" t="inlineStr">
        <is>
          <t>data/cobblemon/spawn_pool_world/0369_relicanth.json</t>
        </is>
      </c>
      <c r="AN1370" s="18" t="inlineStr">
        <is>
          <t>relicanth-6</t>
        </is>
      </c>
      <c r="AO1370" s="18" t="inlineStr">
        <is>
          <t>pokemon</t>
        </is>
      </c>
      <c r="AP1370" s="18" t="inlineStr"/>
      <c r="AQ1370" s="18" t="inlineStr">
        <is>
          <t>{"biomes":["#cobblemon:is_ocean"],"canSeeSky":true}</t>
        </is>
      </c>
      <c r="AR1370" s="18" t="inlineStr">
        <is>
          <t>{"biomes":["#cobblemon:is_deep_ocean"]}</t>
        </is>
      </c>
      <c r="AS1370" s="18" t="inlineStr"/>
      <c r="AT1370" s="19" t="inlineStr"/>
    </row>
    <row r="1371" ht="32" customHeight="1">
      <c r="A1371" s="18" t="inlineStr">
        <is>
          <t>0369_relicanth.json::relicanth-7::007</t>
        </is>
      </c>
      <c r="B1371" s="19" t="inlineStr">
        <is>
          <t>사용</t>
        </is>
      </c>
      <c r="C1371" s="18">
        <f>IF(OR(B1371&lt;&gt;AK1371,M1371&lt;&gt;L1371,O1371&lt;&gt;"",Q1371&lt;&gt;"",V1371&lt;&gt;1,Y1371&lt;&gt;"",AT1371&lt;&gt;""),"수정","원본")</f>
        <v/>
      </c>
      <c r="D1371" s="18" t="n">
        <v>369</v>
      </c>
      <c r="E1371" s="18" t="inlineStr">
        <is>
          <t>시라칸</t>
        </is>
      </c>
      <c r="F1371" s="18" t="inlineStr">
        <is>
          <t>relicanth</t>
        </is>
      </c>
      <c r="G1371" s="18" t="inlineStr">
        <is>
          <t>relicanth</t>
        </is>
      </c>
      <c r="H1371" s="18" t="inlineStr"/>
      <c r="I1371" s="18" t="n">
        <v>3</v>
      </c>
      <c r="J1371" s="18" t="n"/>
      <c r="K1371" s="18" t="n">
        <v>3</v>
      </c>
      <c r="L1371" s="18" t="inlineStr">
        <is>
          <t>cobbleventure:generation_3</t>
        </is>
      </c>
      <c r="M1371" s="19" t="inlineStr">
        <is>
          <t>cobbleventure:generation_3</t>
        </is>
      </c>
      <c r="N1371" s="18" t="inlineStr">
        <is>
          <t>region_01; region_02</t>
        </is>
      </c>
      <c r="O1371" s="19" t="inlineStr"/>
      <c r="P1371" s="18" t="inlineStr">
        <is>
          <t>#cobblemon:is_overworld</t>
        </is>
      </c>
      <c r="Q1371" s="19" t="inlineStr"/>
      <c r="R1371" s="18">
        <f>IF(Q1371="",P1371,Q1371)</f>
        <v/>
      </c>
      <c r="S1371" s="18" t="inlineStr">
        <is>
          <t>#cobblemon:is_deep_ocean; #cobblemon:is_lush</t>
        </is>
      </c>
      <c r="T1371" s="18" t="inlineStr">
        <is>
          <t>uncommon</t>
        </is>
      </c>
      <c r="U1371" s="20" t="n">
        <v>2</v>
      </c>
      <c r="V1371" s="21" t="n">
        <v>1</v>
      </c>
      <c r="W1371" s="20">
        <f>IF(OR(U1371="",V1371=""),U1371,U1371*V1371)</f>
        <v/>
      </c>
      <c r="X1371" s="18" t="inlineStr">
        <is>
          <t>24-49</t>
        </is>
      </c>
      <c r="Y1371" s="19" t="inlineStr"/>
      <c r="Z1371" s="18">
        <f>IF(Y1371="",X1371,Y1371)</f>
        <v/>
      </c>
      <c r="AA1371" s="18" t="inlineStr">
        <is>
          <t>fishing</t>
        </is>
      </c>
      <c r="AB1371" s="18" t="inlineStr"/>
      <c r="AC1371" s="18" t="inlineStr"/>
      <c r="AD1371" s="18" t="inlineStr">
        <is>
          <t>maxY=48</t>
        </is>
      </c>
      <c r="AE1371" s="18" t="inlineStr">
        <is>
          <t>sky 0-7</t>
        </is>
      </c>
      <c r="AF1371" s="18" t="inlineStr"/>
      <c r="AG1371" s="18" t="inlineStr"/>
      <c r="AH1371" s="18" t="inlineStr"/>
      <c r="AI1371" s="18" t="inlineStr"/>
      <c r="AJ1371" s="18" t="inlineStr">
        <is>
          <t>Cobblemon 동일</t>
        </is>
      </c>
      <c r="AK1371" s="18" t="inlineStr">
        <is>
          <t>사용</t>
        </is>
      </c>
      <c r="AL1371" s="18" t="inlineStr">
        <is>
          <t>COBBLEVERSE 1.7.42 / DP v31</t>
        </is>
      </c>
      <c r="AM1371" s="18" t="inlineStr">
        <is>
          <t>data/cobblemon/spawn_pool_world/0369_relicanth.json</t>
        </is>
      </c>
      <c r="AN1371" s="18" t="inlineStr">
        <is>
          <t>relicanth-7</t>
        </is>
      </c>
      <c r="AO1371" s="18" t="inlineStr">
        <is>
          <t>pokemon</t>
        </is>
      </c>
      <c r="AP1371" s="18" t="inlineStr"/>
      <c r="AQ1371" s="18" t="inlineStr">
        <is>
          <t>{"biomes":["#cobblemon:is_overworld"],"maxSkyLight":7,"maxY":48,"minSkyLight":0}</t>
        </is>
      </c>
      <c r="AR1371" s="18" t="inlineStr">
        <is>
          <t>{"biomes":["#cobblemon:is_deep_ocean","#cobblemon:is_lush"],"minLureLevel":1}</t>
        </is>
      </c>
      <c r="AS1371" s="18" t="inlineStr"/>
      <c r="AT1371" s="19" t="inlineStr"/>
    </row>
    <row r="1372" ht="32" customHeight="1">
      <c r="A1372" s="18" t="inlineStr">
        <is>
          <t>0369_relicanth.json::relicanth-8::008</t>
        </is>
      </c>
      <c r="B1372" s="19" t="inlineStr">
        <is>
          <t>사용</t>
        </is>
      </c>
      <c r="C1372" s="18">
        <f>IF(OR(B1372&lt;&gt;AK1372,M1372&lt;&gt;L1372,O1372&lt;&gt;"",Q1372&lt;&gt;"",V1372&lt;&gt;1,Y1372&lt;&gt;"",AT1372&lt;&gt;""),"수정","원본")</f>
        <v/>
      </c>
      <c r="D1372" s="18" t="n">
        <v>369</v>
      </c>
      <c r="E1372" s="18" t="inlineStr">
        <is>
          <t>시라칸</t>
        </is>
      </c>
      <c r="F1372" s="18" t="inlineStr">
        <is>
          <t>relicanth</t>
        </is>
      </c>
      <c r="G1372" s="18" t="inlineStr">
        <is>
          <t>relicanth</t>
        </is>
      </c>
      <c r="H1372" s="18" t="inlineStr"/>
      <c r="I1372" s="18" t="n">
        <v>3</v>
      </c>
      <c r="J1372" s="18" t="n"/>
      <c r="K1372" s="18" t="n">
        <v>3</v>
      </c>
      <c r="L1372" s="18" t="inlineStr">
        <is>
          <t>cobbleventure:generation_3</t>
        </is>
      </c>
      <c r="M1372" s="19" t="inlineStr">
        <is>
          <t>cobbleventure:generation_3</t>
        </is>
      </c>
      <c r="N1372" s="18" t="inlineStr">
        <is>
          <t>region_01; region_02</t>
        </is>
      </c>
      <c r="O1372" s="19" t="inlineStr"/>
      <c r="P1372" s="18" t="inlineStr">
        <is>
          <t>#cobblemon:is_overworld</t>
        </is>
      </c>
      <c r="Q1372" s="19" t="inlineStr"/>
      <c r="R1372" s="18">
        <f>IF(Q1372="",P1372,Q1372)</f>
        <v/>
      </c>
      <c r="S1372" s="18" t="inlineStr">
        <is>
          <t>#cobblemon:is_deep_ocean; #cobblemon:is_lush</t>
        </is>
      </c>
      <c r="T1372" s="18" t="inlineStr">
        <is>
          <t>common</t>
        </is>
      </c>
      <c r="U1372" s="20" t="n">
        <v>2</v>
      </c>
      <c r="V1372" s="21" t="n">
        <v>1</v>
      </c>
      <c r="W1372" s="20">
        <f>IF(OR(U1372="",V1372=""),U1372,U1372*V1372)</f>
        <v/>
      </c>
      <c r="X1372" s="18" t="inlineStr">
        <is>
          <t>24-49</t>
        </is>
      </c>
      <c r="Y1372" s="19" t="inlineStr"/>
      <c r="Z1372" s="18">
        <f>IF(Y1372="",X1372,Y1372)</f>
        <v/>
      </c>
      <c r="AA1372" s="18" t="inlineStr">
        <is>
          <t>fishing</t>
        </is>
      </c>
      <c r="AB1372" s="18" t="inlineStr"/>
      <c r="AC1372" s="18" t="inlineStr"/>
      <c r="AD1372" s="18" t="inlineStr">
        <is>
          <t>maxY=48</t>
        </is>
      </c>
      <c r="AE1372" s="18" t="inlineStr">
        <is>
          <t>sky 0-7</t>
        </is>
      </c>
      <c r="AF1372" s="18" t="inlineStr"/>
      <c r="AG1372" s="18" t="inlineStr"/>
      <c r="AH1372" s="18" t="inlineStr"/>
      <c r="AI1372" s="18" t="inlineStr">
        <is>
          <t>{"fishing":{"minLureLevel":1}}</t>
        </is>
      </c>
      <c r="AJ1372" s="18" t="inlineStr">
        <is>
          <t>Cobblemon 동일</t>
        </is>
      </c>
      <c r="AK1372" s="18" t="inlineStr">
        <is>
          <t>사용</t>
        </is>
      </c>
      <c r="AL1372" s="18" t="inlineStr">
        <is>
          <t>COBBLEVERSE 1.7.42 / DP v31</t>
        </is>
      </c>
      <c r="AM1372" s="18" t="inlineStr">
        <is>
          <t>data/cobblemon/spawn_pool_world/0369_relicanth.json</t>
        </is>
      </c>
      <c r="AN1372" s="18" t="inlineStr">
        <is>
          <t>relicanth-8</t>
        </is>
      </c>
      <c r="AO1372" s="18" t="inlineStr">
        <is>
          <t>pokemon</t>
        </is>
      </c>
      <c r="AP1372" s="18" t="inlineStr"/>
      <c r="AQ1372" s="18" t="inlineStr">
        <is>
          <t>{"biomes":["#cobblemon:is_overworld"],"maxSkyLight":7,"maxY":48,"minLureLevel":1,"minSkyLight":0}</t>
        </is>
      </c>
      <c r="AR1372" s="18" t="inlineStr">
        <is>
          <t>{"biomes":["#cobblemon:is_deep_ocean","#cobblemon:is_lush"]}</t>
        </is>
      </c>
      <c r="AS1372" s="18" t="inlineStr">
        <is>
          <t>{"weightMultiplier":{"condition":{"minLureLevel":3},"multiplier":3.0}}</t>
        </is>
      </c>
      <c r="AT1372" s="19" t="inlineStr"/>
    </row>
    <row r="1373" ht="32" customHeight="1">
      <c r="A1373" s="18" t="inlineStr">
        <is>
          <t>0369_relicanth.json::relicanth-9::009</t>
        </is>
      </c>
      <c r="B1373" s="19" t="inlineStr">
        <is>
          <t>사용</t>
        </is>
      </c>
      <c r="C1373" s="18">
        <f>IF(OR(B1373&lt;&gt;AK1373,M1373&lt;&gt;L1373,O1373&lt;&gt;"",Q1373&lt;&gt;"",V1373&lt;&gt;1,Y1373&lt;&gt;"",AT1373&lt;&gt;""),"수정","원본")</f>
        <v/>
      </c>
      <c r="D1373" s="18" t="n">
        <v>369</v>
      </c>
      <c r="E1373" s="18" t="inlineStr">
        <is>
          <t>시라칸</t>
        </is>
      </c>
      <c r="F1373" s="18" t="inlineStr">
        <is>
          <t>relicanth</t>
        </is>
      </c>
      <c r="G1373" s="18" t="inlineStr">
        <is>
          <t>relicanth</t>
        </is>
      </c>
      <c r="H1373" s="18" t="inlineStr"/>
      <c r="I1373" s="18" t="n">
        <v>3</v>
      </c>
      <c r="J1373" s="18" t="n"/>
      <c r="K1373" s="18" t="n">
        <v>3</v>
      </c>
      <c r="L1373" s="18" t="inlineStr">
        <is>
          <t>cobbleventure:generation_3</t>
        </is>
      </c>
      <c r="M1373" s="19" t="inlineStr">
        <is>
          <t>cobbleventure:generation_3</t>
        </is>
      </c>
      <c r="N1373" s="18" t="inlineStr"/>
      <c r="O1373" s="19" t="inlineStr"/>
      <c r="P1373" s="18" t="inlineStr">
        <is>
          <t>#cobblemon:is_ocean</t>
        </is>
      </c>
      <c r="Q1373" s="19" t="inlineStr"/>
      <c r="R1373" s="18">
        <f>IF(Q1373="",P1373,Q1373)</f>
        <v/>
      </c>
      <c r="S1373" s="18" t="inlineStr"/>
      <c r="T1373" s="18" t="inlineStr">
        <is>
          <t>common</t>
        </is>
      </c>
      <c r="U1373" s="20" t="n">
        <v>20</v>
      </c>
      <c r="V1373" s="21" t="n">
        <v>1</v>
      </c>
      <c r="W1373" s="20">
        <f>IF(OR(U1373="",V1373=""),U1373,U1373*V1373)</f>
        <v/>
      </c>
      <c r="X1373" s="18" t="inlineStr">
        <is>
          <t>24-49</t>
        </is>
      </c>
      <c r="Y1373" s="19" t="inlineStr"/>
      <c r="Z1373" s="18">
        <f>IF(Y1373="",X1373,Y1373)</f>
        <v/>
      </c>
      <c r="AA1373" s="18" t="inlineStr">
        <is>
          <t>submerged</t>
        </is>
      </c>
      <c r="AB1373" s="18" t="inlineStr"/>
      <c r="AC1373" s="18" t="inlineStr"/>
      <c r="AD1373" s="18" t="inlineStr"/>
      <c r="AE1373" s="18" t="inlineStr">
        <is>
          <t>sky 8-15</t>
        </is>
      </c>
      <c r="AF1373" s="18" t="inlineStr">
        <is>
          <t>False</t>
        </is>
      </c>
      <c r="AG1373" s="18" t="inlineStr"/>
      <c r="AH1373" s="18" t="inlineStr"/>
      <c r="AI1373" s="18" t="inlineStr"/>
      <c r="AJ1373" s="18" t="inlineStr">
        <is>
          <t>Cobblemon 동일</t>
        </is>
      </c>
      <c r="AK1373" s="18" t="inlineStr">
        <is>
          <t>사용</t>
        </is>
      </c>
      <c r="AL1373" s="18" t="inlineStr">
        <is>
          <t>COBBLEVERSE 1.7.42 / DP v31</t>
        </is>
      </c>
      <c r="AM1373" s="18" t="inlineStr">
        <is>
          <t>data/cobblemon/spawn_pool_world/0369_relicanth.json</t>
        </is>
      </c>
      <c r="AN1373" s="18" t="inlineStr">
        <is>
          <t>relicanth-9</t>
        </is>
      </c>
      <c r="AO1373" s="18" t="inlineStr">
        <is>
          <t>pokemon</t>
        </is>
      </c>
      <c r="AP1373" s="18" t="inlineStr">
        <is>
          <t>water; ocean_ruins</t>
        </is>
      </c>
      <c r="AQ1373" s="18" t="inlineStr">
        <is>
          <t>{"biomes":["#cobblemon:is_ocean"],"canSeeSky":false,"maxSkyLight":15,"minSkyLight":8}</t>
        </is>
      </c>
      <c r="AR1373" s="18" t="inlineStr"/>
      <c r="AS1373" s="18" t="inlineStr"/>
      <c r="AT1373" s="19" t="inlineStr"/>
    </row>
    <row r="1374" ht="32" customHeight="1">
      <c r="A1374" s="18" t="inlineStr">
        <is>
          <t>0369_relicanth.json::relicanth-10::010</t>
        </is>
      </c>
      <c r="B1374" s="19" t="inlineStr">
        <is>
          <t>사용</t>
        </is>
      </c>
      <c r="C1374" s="18">
        <f>IF(OR(B1374&lt;&gt;AK1374,M1374&lt;&gt;L1374,O1374&lt;&gt;"",Q1374&lt;&gt;"",V1374&lt;&gt;1,Y1374&lt;&gt;"",AT1374&lt;&gt;""),"수정","원본")</f>
        <v/>
      </c>
      <c r="D1374" s="18" t="n">
        <v>369</v>
      </c>
      <c r="E1374" s="18" t="inlineStr">
        <is>
          <t>시라칸</t>
        </is>
      </c>
      <c r="F1374" s="18" t="inlineStr">
        <is>
          <t>relicanth</t>
        </is>
      </c>
      <c r="G1374" s="18" t="inlineStr">
        <is>
          <t>relicanth</t>
        </is>
      </c>
      <c r="H1374" s="18" t="inlineStr"/>
      <c r="I1374" s="18" t="n">
        <v>3</v>
      </c>
      <c r="J1374" s="18" t="n"/>
      <c r="K1374" s="18" t="n">
        <v>3</v>
      </c>
      <c r="L1374" s="18" t="inlineStr">
        <is>
          <t>cobbleventure:generation_3</t>
        </is>
      </c>
      <c r="M1374" s="19" t="inlineStr">
        <is>
          <t>cobbleventure:generation_3</t>
        </is>
      </c>
      <c r="N1374" s="18" t="inlineStr"/>
      <c r="O1374" s="19" t="inlineStr"/>
      <c r="P1374" s="18" t="inlineStr">
        <is>
          <t>#cobblemon:is_ocean</t>
        </is>
      </c>
      <c r="Q1374" s="19" t="inlineStr"/>
      <c r="R1374" s="18">
        <f>IF(Q1374="",P1374,Q1374)</f>
        <v/>
      </c>
      <c r="S1374" s="18" t="inlineStr">
        <is>
          <t>#cobblemon:is_deep_ocean</t>
        </is>
      </c>
      <c r="T1374" s="18" t="inlineStr">
        <is>
          <t>rare</t>
        </is>
      </c>
      <c r="U1374" s="20" t="n">
        <v>6</v>
      </c>
      <c r="V1374" s="21" t="n">
        <v>1</v>
      </c>
      <c r="W1374" s="20">
        <f>IF(OR(U1374="",V1374=""),U1374,U1374*V1374)</f>
        <v/>
      </c>
      <c r="X1374" s="18" t="inlineStr">
        <is>
          <t>24-49</t>
        </is>
      </c>
      <c r="Y1374" s="19" t="inlineStr"/>
      <c r="Z1374" s="18">
        <f>IF(Y1374="",X1374,Y1374)</f>
        <v/>
      </c>
      <c r="AA1374" s="18" t="inlineStr">
        <is>
          <t>fishing</t>
        </is>
      </c>
      <c r="AB1374" s="18" t="inlineStr"/>
      <c r="AC1374" s="18" t="inlineStr"/>
      <c r="AD1374" s="18" t="inlineStr"/>
      <c r="AE1374" s="18" t="inlineStr">
        <is>
          <t>sky 8-15</t>
        </is>
      </c>
      <c r="AF1374" s="18" t="inlineStr">
        <is>
          <t>False</t>
        </is>
      </c>
      <c r="AG1374" s="18" t="inlineStr"/>
      <c r="AH1374" s="18" t="inlineStr"/>
      <c r="AI1374" s="18" t="inlineStr"/>
      <c r="AJ1374" s="18" t="inlineStr">
        <is>
          <t>Cobblemon 동일</t>
        </is>
      </c>
      <c r="AK1374" s="18" t="inlineStr">
        <is>
          <t>사용</t>
        </is>
      </c>
      <c r="AL1374" s="18" t="inlineStr">
        <is>
          <t>COBBLEVERSE 1.7.42 / DP v31</t>
        </is>
      </c>
      <c r="AM1374" s="18" t="inlineStr">
        <is>
          <t>data/cobblemon/spawn_pool_world/0369_relicanth.json</t>
        </is>
      </c>
      <c r="AN1374" s="18" t="inlineStr">
        <is>
          <t>relicanth-10</t>
        </is>
      </c>
      <c r="AO1374" s="18" t="inlineStr">
        <is>
          <t>pokemon</t>
        </is>
      </c>
      <c r="AP1374" s="18" t="inlineStr"/>
      <c r="AQ1374" s="18" t="inlineStr">
        <is>
          <t>{"biomes":["#cobblemon:is_ocean"],"canSeeSky":false,"maxSkyLight":15,"minSkyLight":8}</t>
        </is>
      </c>
      <c r="AR1374" s="18" t="inlineStr">
        <is>
          <t>{"biomes":["#cobblemon:is_deep_ocean"]}</t>
        </is>
      </c>
      <c r="AS1374" s="18" t="inlineStr"/>
      <c r="AT1374" s="19" t="inlineStr"/>
    </row>
    <row r="1375" ht="32" customHeight="1">
      <c r="A1375" s="18" t="inlineStr">
        <is>
          <t>0369_relicanth.json::relicanth-11::011</t>
        </is>
      </c>
      <c r="B1375" s="19" t="inlineStr">
        <is>
          <t>사용</t>
        </is>
      </c>
      <c r="C1375" s="18">
        <f>IF(OR(B1375&lt;&gt;AK1375,M1375&lt;&gt;L1375,O1375&lt;&gt;"",Q1375&lt;&gt;"",V1375&lt;&gt;1,Y1375&lt;&gt;"",AT1375&lt;&gt;""),"수정","원본")</f>
        <v/>
      </c>
      <c r="D1375" s="18" t="n">
        <v>369</v>
      </c>
      <c r="E1375" s="18" t="inlineStr">
        <is>
          <t>시라칸</t>
        </is>
      </c>
      <c r="F1375" s="18" t="inlineStr">
        <is>
          <t>relicanth</t>
        </is>
      </c>
      <c r="G1375" s="18" t="inlineStr">
        <is>
          <t>relicanth</t>
        </is>
      </c>
      <c r="H1375" s="18" t="inlineStr"/>
      <c r="I1375" s="18" t="n">
        <v>3</v>
      </c>
      <c r="J1375" s="18" t="n"/>
      <c r="K1375" s="18" t="n">
        <v>3</v>
      </c>
      <c r="L1375" s="18" t="inlineStr">
        <is>
          <t>cobbleventure:generation_3</t>
        </is>
      </c>
      <c r="M1375" s="19" t="inlineStr">
        <is>
          <t>cobbleventure:generation_3</t>
        </is>
      </c>
      <c r="N1375" s="18" t="inlineStr">
        <is>
          <t>region_01; region_02</t>
        </is>
      </c>
      <c r="O1375" s="19" t="inlineStr"/>
      <c r="P1375" s="18" t="inlineStr">
        <is>
          <t>#cobblemon:is_overworld</t>
        </is>
      </c>
      <c r="Q1375" s="19" t="inlineStr"/>
      <c r="R1375" s="18">
        <f>IF(Q1375="",P1375,Q1375)</f>
        <v/>
      </c>
      <c r="S1375" s="18" t="inlineStr"/>
      <c r="T1375" s="18" t="inlineStr">
        <is>
          <t>uncommon</t>
        </is>
      </c>
      <c r="U1375" s="20" t="n">
        <v>2</v>
      </c>
      <c r="V1375" s="21" t="n">
        <v>1</v>
      </c>
      <c r="W1375" s="20">
        <f>IF(OR(U1375="",V1375=""),U1375,U1375*V1375)</f>
        <v/>
      </c>
      <c r="X1375" s="18" t="inlineStr">
        <is>
          <t>24-49</t>
        </is>
      </c>
      <c r="Y1375" s="19" t="inlineStr"/>
      <c r="Z1375" s="18">
        <f>IF(Y1375="",X1375,Y1375)</f>
        <v/>
      </c>
      <c r="AA1375" s="18" t="inlineStr">
        <is>
          <t>submerged</t>
        </is>
      </c>
      <c r="AB1375" s="18" t="inlineStr"/>
      <c r="AC1375" s="18" t="inlineStr"/>
      <c r="AD1375" s="18" t="inlineStr">
        <is>
          <t>minY=-60, maxY=13</t>
        </is>
      </c>
      <c r="AE1375" s="18" t="inlineStr"/>
      <c r="AF1375" s="18" t="inlineStr">
        <is>
          <t>False</t>
        </is>
      </c>
      <c r="AG1375" s="18" t="inlineStr">
        <is>
          <t>cobblemon:shipwreck_coves/submerged_shipwreck_cove</t>
        </is>
      </c>
      <c r="AH1375" s="18" t="inlineStr"/>
      <c r="AI1375" s="18" t="inlineStr"/>
      <c r="AJ1375" s="18" t="inlineStr">
        <is>
          <t>Cobblemon 동일</t>
        </is>
      </c>
      <c r="AK1375" s="18" t="inlineStr">
        <is>
          <t>사용</t>
        </is>
      </c>
      <c r="AL1375" s="18" t="inlineStr">
        <is>
          <t>COBBLEVERSE 1.7.42 / DP v31</t>
        </is>
      </c>
      <c r="AM1375" s="18" t="inlineStr">
        <is>
          <t>data/cobblemon/spawn_pool_world/0369_relicanth.json</t>
        </is>
      </c>
      <c r="AN1375" s="18" t="inlineStr">
        <is>
          <t>relicanth-11</t>
        </is>
      </c>
      <c r="AO1375" s="18" t="inlineStr">
        <is>
          <t>pokemon</t>
        </is>
      </c>
      <c r="AP1375" s="18" t="inlineStr">
        <is>
          <t>water</t>
        </is>
      </c>
      <c r="AQ1375" s="18" t="inlineStr">
        <is>
          <t>{"biomes":["#cobblemon:is_overworld"],"canSeeSky":false,"maxY":13,"minY":-60,"structures":["cobblemon:shipwreck_coves/submerged_shipwreck_cove"]}</t>
        </is>
      </c>
      <c r="AR1375" s="18" t="inlineStr"/>
      <c r="AS1375" s="18" t="inlineStr"/>
      <c r="AT1375" s="19" t="inlineStr"/>
    </row>
    <row r="1376" ht="32" customHeight="1">
      <c r="A1376" s="18" t="inlineStr">
        <is>
          <t>0369_relicanth.json::relicanth-12::012</t>
        </is>
      </c>
      <c r="B1376" s="19" t="inlineStr">
        <is>
          <t>사용</t>
        </is>
      </c>
      <c r="C1376" s="18">
        <f>IF(OR(B1376&lt;&gt;AK1376,M1376&lt;&gt;L1376,O1376&lt;&gt;"",Q1376&lt;&gt;"",V1376&lt;&gt;1,Y1376&lt;&gt;"",AT1376&lt;&gt;""),"수정","원본")</f>
        <v/>
      </c>
      <c r="D1376" s="18" t="n">
        <v>369</v>
      </c>
      <c r="E1376" s="18" t="inlineStr">
        <is>
          <t>시라칸</t>
        </is>
      </c>
      <c r="F1376" s="18" t="inlineStr">
        <is>
          <t>relicanth</t>
        </is>
      </c>
      <c r="G1376" s="18" t="inlineStr">
        <is>
          <t>relicanth</t>
        </is>
      </c>
      <c r="H1376" s="18" t="inlineStr"/>
      <c r="I1376" s="18" t="n">
        <v>3</v>
      </c>
      <c r="J1376" s="18" t="n"/>
      <c r="K1376" s="18" t="n">
        <v>3</v>
      </c>
      <c r="L1376" s="18" t="inlineStr">
        <is>
          <t>cobbleventure:generation_3</t>
        </is>
      </c>
      <c r="M1376" s="19" t="inlineStr">
        <is>
          <t>cobbleventure:generation_3</t>
        </is>
      </c>
      <c r="N1376" s="18" t="inlineStr">
        <is>
          <t>region_01; region_02</t>
        </is>
      </c>
      <c r="O1376" s="19" t="inlineStr"/>
      <c r="P1376" s="18" t="inlineStr">
        <is>
          <t>#cobblemon:is_overworld</t>
        </is>
      </c>
      <c r="Q1376" s="19" t="inlineStr"/>
      <c r="R1376" s="18">
        <f>IF(Q1376="",P1376,Q1376)</f>
        <v/>
      </c>
      <c r="S1376" s="18" t="inlineStr"/>
      <c r="T1376" s="18" t="inlineStr">
        <is>
          <t>uncommon</t>
        </is>
      </c>
      <c r="U1376" s="20" t="n">
        <v>2</v>
      </c>
      <c r="V1376" s="21" t="n">
        <v>1</v>
      </c>
      <c r="W1376" s="20">
        <f>IF(OR(U1376="",V1376=""),U1376,U1376*V1376)</f>
        <v/>
      </c>
      <c r="X1376" s="18" t="inlineStr">
        <is>
          <t>24-49</t>
        </is>
      </c>
      <c r="Y1376" s="19" t="inlineStr"/>
      <c r="Z1376" s="18">
        <f>IF(Y1376="",X1376,Y1376)</f>
        <v/>
      </c>
      <c r="AA1376" s="18" t="inlineStr">
        <is>
          <t>fishing</t>
        </is>
      </c>
      <c r="AB1376" s="18" t="inlineStr"/>
      <c r="AC1376" s="18" t="inlineStr"/>
      <c r="AD1376" s="18" t="inlineStr">
        <is>
          <t>minY=-60, maxY=13</t>
        </is>
      </c>
      <c r="AE1376" s="18" t="inlineStr"/>
      <c r="AF1376" s="18" t="inlineStr">
        <is>
          <t>False</t>
        </is>
      </c>
      <c r="AG1376" s="18" t="inlineStr">
        <is>
          <t>cobblemon:shipwreck_coves/submerged_shipwreck_cove</t>
        </is>
      </c>
      <c r="AH1376" s="18" t="inlineStr"/>
      <c r="AI1376" s="18" t="inlineStr"/>
      <c r="AJ1376" s="18" t="inlineStr">
        <is>
          <t>Cobblemon 동일</t>
        </is>
      </c>
      <c r="AK1376" s="18" t="inlineStr">
        <is>
          <t>사용</t>
        </is>
      </c>
      <c r="AL1376" s="18" t="inlineStr">
        <is>
          <t>COBBLEVERSE 1.7.42 / DP v31</t>
        </is>
      </c>
      <c r="AM1376" s="18" t="inlineStr">
        <is>
          <t>data/cobblemon/spawn_pool_world/0369_relicanth.json</t>
        </is>
      </c>
      <c r="AN1376" s="18" t="inlineStr">
        <is>
          <t>relicanth-12</t>
        </is>
      </c>
      <c r="AO1376" s="18" t="inlineStr">
        <is>
          <t>pokemon</t>
        </is>
      </c>
      <c r="AP1376" s="18" t="inlineStr"/>
      <c r="AQ1376" s="18" t="inlineStr">
        <is>
          <t>{"biomes":["#cobblemon:is_overworld"],"canSeeSky":false,"maxY":13,"minY":-60,"structures":["cobblemon:shipwreck_coves/submerged_shipwreck_cove"]}</t>
        </is>
      </c>
      <c r="AR1376" s="18" t="inlineStr">
        <is>
          <t>{"minLureLevel":1}</t>
        </is>
      </c>
      <c r="AS1376" s="18" t="inlineStr"/>
      <c r="AT1376" s="19" t="inlineStr"/>
    </row>
    <row r="1377" ht="32" customHeight="1">
      <c r="A1377" s="18" t="inlineStr">
        <is>
          <t>0369_relicanth.json::relicanth-13::013</t>
        </is>
      </c>
      <c r="B1377" s="19" t="inlineStr">
        <is>
          <t>사용</t>
        </is>
      </c>
      <c r="C1377" s="18">
        <f>IF(OR(B1377&lt;&gt;AK1377,M1377&lt;&gt;L1377,O1377&lt;&gt;"",Q1377&lt;&gt;"",V1377&lt;&gt;1,Y1377&lt;&gt;"",AT1377&lt;&gt;""),"수정","원본")</f>
        <v/>
      </c>
      <c r="D1377" s="18" t="n">
        <v>369</v>
      </c>
      <c r="E1377" s="18" t="inlineStr">
        <is>
          <t>시라칸</t>
        </is>
      </c>
      <c r="F1377" s="18" t="inlineStr">
        <is>
          <t>relicanth</t>
        </is>
      </c>
      <c r="G1377" s="18" t="inlineStr">
        <is>
          <t>relicanth</t>
        </is>
      </c>
      <c r="H1377" s="18" t="inlineStr"/>
      <c r="I1377" s="18" t="n">
        <v>3</v>
      </c>
      <c r="J1377" s="18" t="n"/>
      <c r="K1377" s="18" t="n">
        <v>3</v>
      </c>
      <c r="L1377" s="18" t="inlineStr">
        <is>
          <t>cobbleventure:generation_3</t>
        </is>
      </c>
      <c r="M1377" s="19" t="inlineStr">
        <is>
          <t>cobbleventure:generation_3</t>
        </is>
      </c>
      <c r="N1377" s="18" t="inlineStr">
        <is>
          <t>region_01; region_02</t>
        </is>
      </c>
      <c r="O1377" s="19" t="inlineStr"/>
      <c r="P1377" s="18" t="inlineStr">
        <is>
          <t>#cobblemon:is_overworld</t>
        </is>
      </c>
      <c r="Q1377" s="19" t="inlineStr"/>
      <c r="R1377" s="18">
        <f>IF(Q1377="",P1377,Q1377)</f>
        <v/>
      </c>
      <c r="S1377" s="18" t="inlineStr"/>
      <c r="T1377" s="18" t="inlineStr">
        <is>
          <t>common</t>
        </is>
      </c>
      <c r="U1377" s="20" t="n">
        <v>2</v>
      </c>
      <c r="V1377" s="21" t="n">
        <v>1</v>
      </c>
      <c r="W1377" s="20">
        <f>IF(OR(U1377="",V1377=""),U1377,U1377*V1377)</f>
        <v/>
      </c>
      <c r="X1377" s="18" t="inlineStr">
        <is>
          <t>24-49</t>
        </is>
      </c>
      <c r="Y1377" s="19" t="inlineStr"/>
      <c r="Z1377" s="18">
        <f>IF(Y1377="",X1377,Y1377)</f>
        <v/>
      </c>
      <c r="AA1377" s="18" t="inlineStr">
        <is>
          <t>fishing</t>
        </is>
      </c>
      <c r="AB1377" s="18" t="inlineStr"/>
      <c r="AC1377" s="18" t="inlineStr"/>
      <c r="AD1377" s="18" t="inlineStr">
        <is>
          <t>minY=-60, maxY=13</t>
        </is>
      </c>
      <c r="AE1377" s="18" t="inlineStr"/>
      <c r="AF1377" s="18" t="inlineStr">
        <is>
          <t>False</t>
        </is>
      </c>
      <c r="AG1377" s="18" t="inlineStr">
        <is>
          <t>cobblemon:shipwreck_coves/submerged_shipwreck_cove</t>
        </is>
      </c>
      <c r="AH1377" s="18" t="inlineStr"/>
      <c r="AI1377" s="18" t="inlineStr">
        <is>
          <t>{"fishing":{"minLureLevel":1}}</t>
        </is>
      </c>
      <c r="AJ1377" s="18" t="inlineStr">
        <is>
          <t>Cobblemon 동일</t>
        </is>
      </c>
      <c r="AK1377" s="18" t="inlineStr">
        <is>
          <t>사용</t>
        </is>
      </c>
      <c r="AL1377" s="18" t="inlineStr">
        <is>
          <t>COBBLEVERSE 1.7.42 / DP v31</t>
        </is>
      </c>
      <c r="AM1377" s="18" t="inlineStr">
        <is>
          <t>data/cobblemon/spawn_pool_world/0369_relicanth.json</t>
        </is>
      </c>
      <c r="AN1377" s="18" t="inlineStr">
        <is>
          <t>relicanth-13</t>
        </is>
      </c>
      <c r="AO1377" s="18" t="inlineStr">
        <is>
          <t>pokemon</t>
        </is>
      </c>
      <c r="AP1377" s="18" t="inlineStr"/>
      <c r="AQ1377" s="18" t="inlineStr">
        <is>
          <t>{"biomes":["#cobblemon:is_overworld"],"canSeeSky":false,"maxY":13,"minLureLevel":1,"minY":-60,"structures":["cobblemon:shipwreck_coves/submerged_shipwreck_cove"]}</t>
        </is>
      </c>
      <c r="AR1377" s="18" t="inlineStr"/>
      <c r="AS1377" s="18" t="inlineStr">
        <is>
          <t>{"weightMultiplier":{"condition":{"minLureLevel":3},"multiplier":3.0}}</t>
        </is>
      </c>
      <c r="AT1377" s="19" t="inlineStr"/>
    </row>
    <row r="1378" ht="32" customHeight="1">
      <c r="A1378" s="18" t="inlineStr">
        <is>
          <t>0370_luvdisc.json::luvdisc-1::001</t>
        </is>
      </c>
      <c r="B1378" s="19" t="inlineStr">
        <is>
          <t>사용</t>
        </is>
      </c>
      <c r="C1378" s="18">
        <f>IF(OR(B1378&lt;&gt;AK1378,M1378&lt;&gt;L1378,O1378&lt;&gt;"",Q1378&lt;&gt;"",V1378&lt;&gt;1,Y1378&lt;&gt;"",AT1378&lt;&gt;""),"수정","원본")</f>
        <v/>
      </c>
      <c r="D1378" s="18" t="n">
        <v>370</v>
      </c>
      <c r="E1378" s="18" t="inlineStr">
        <is>
          <t>사랑동이</t>
        </is>
      </c>
      <c r="F1378" s="18" t="inlineStr">
        <is>
          <t>luvdisc</t>
        </is>
      </c>
      <c r="G1378" s="18" t="inlineStr">
        <is>
          <t>luvdisc</t>
        </is>
      </c>
      <c r="H1378" s="18" t="inlineStr"/>
      <c r="I1378" s="18" t="n">
        <v>3</v>
      </c>
      <c r="J1378" s="18" t="n"/>
      <c r="K1378" s="18" t="n">
        <v>3</v>
      </c>
      <c r="L1378" s="18" t="inlineStr">
        <is>
          <t>cobbleventure:generation_3</t>
        </is>
      </c>
      <c r="M1378" s="19" t="inlineStr">
        <is>
          <t>cobbleventure:generation_3</t>
        </is>
      </c>
      <c r="N1378" s="18" t="inlineStr"/>
      <c r="O1378" s="19" t="inlineStr"/>
      <c r="P1378" s="18" t="inlineStr">
        <is>
          <t>#cobblemon:is_warm_ocean</t>
        </is>
      </c>
      <c r="Q1378" s="19" t="inlineStr"/>
      <c r="R1378" s="18">
        <f>IF(Q1378="",P1378,Q1378)</f>
        <v/>
      </c>
      <c r="S1378" s="18" t="inlineStr"/>
      <c r="T1378" s="18" t="inlineStr">
        <is>
          <t>common</t>
        </is>
      </c>
      <c r="U1378" s="20" t="n">
        <v>10</v>
      </c>
      <c r="V1378" s="21" t="n">
        <v>1</v>
      </c>
      <c r="W1378" s="20">
        <f>IF(OR(U1378="",V1378=""),U1378,U1378*V1378)</f>
        <v/>
      </c>
      <c r="X1378" s="18" t="inlineStr">
        <is>
          <t>8-33</t>
        </is>
      </c>
      <c r="Y1378" s="19" t="inlineStr"/>
      <c r="Z1378" s="18">
        <f>IF(Y1378="",X1378,Y1378)</f>
        <v/>
      </c>
      <c r="AA1378" s="18" t="inlineStr">
        <is>
          <t>submerged</t>
        </is>
      </c>
      <c r="AB1378" s="18" t="inlineStr">
        <is>
          <t>day</t>
        </is>
      </c>
      <c r="AC1378" s="18" t="inlineStr"/>
      <c r="AD1378" s="18" t="inlineStr"/>
      <c r="AE1378" s="18" t="inlineStr"/>
      <c r="AF1378" s="18" t="inlineStr">
        <is>
          <t>True</t>
        </is>
      </c>
      <c r="AG1378" s="18" t="inlineStr"/>
      <c r="AH1378" s="18" t="inlineStr"/>
      <c r="AI1378" s="18" t="inlineStr"/>
      <c r="AJ1378" s="18" t="inlineStr">
        <is>
          <t>Cobblemon 동일</t>
        </is>
      </c>
      <c r="AK1378" s="18" t="inlineStr">
        <is>
          <t>사용</t>
        </is>
      </c>
      <c r="AL1378" s="18" t="inlineStr">
        <is>
          <t>COBBLEVERSE 1.7.42 / DP v31</t>
        </is>
      </c>
      <c r="AM1378" s="18" t="inlineStr">
        <is>
          <t>data/cobblemon/spawn_pool_world/0370_luvdisc.json</t>
        </is>
      </c>
      <c r="AN1378" s="18" t="inlineStr">
        <is>
          <t>luvdisc-1</t>
        </is>
      </c>
      <c r="AO1378" s="18" t="inlineStr">
        <is>
          <t>pokemon</t>
        </is>
      </c>
      <c r="AP1378" s="18" t="inlineStr">
        <is>
          <t>water</t>
        </is>
      </c>
      <c r="AQ1378" s="18" t="inlineStr">
        <is>
          <t>{"biomes":["#cobblemon:is_warm_ocean"],"canSeeSky":true,"timeRange":"day"}</t>
        </is>
      </c>
      <c r="AR1378" s="18" t="inlineStr"/>
      <c r="AS1378" s="18" t="inlineStr"/>
      <c r="AT1378" s="19" t="inlineStr"/>
    </row>
    <row r="1379" ht="32" customHeight="1">
      <c r="A1379" s="18" t="inlineStr">
        <is>
          <t>0370_luvdisc.json::luvdisc-2::002</t>
        </is>
      </c>
      <c r="B1379" s="19" t="inlineStr">
        <is>
          <t>사용</t>
        </is>
      </c>
      <c r="C1379" s="18">
        <f>IF(OR(B1379&lt;&gt;AK1379,M1379&lt;&gt;L1379,O1379&lt;&gt;"",Q1379&lt;&gt;"",V1379&lt;&gt;1,Y1379&lt;&gt;"",AT1379&lt;&gt;""),"수정","원본")</f>
        <v/>
      </c>
      <c r="D1379" s="18" t="n">
        <v>370</v>
      </c>
      <c r="E1379" s="18" t="inlineStr">
        <is>
          <t>사랑동이</t>
        </is>
      </c>
      <c r="F1379" s="18" t="inlineStr">
        <is>
          <t>luvdisc</t>
        </is>
      </c>
      <c r="G1379" s="18" t="inlineStr">
        <is>
          <t>luvdisc</t>
        </is>
      </c>
      <c r="H1379" s="18" t="inlineStr"/>
      <c r="I1379" s="18" t="n">
        <v>3</v>
      </c>
      <c r="J1379" s="18" t="n"/>
      <c r="K1379" s="18" t="n">
        <v>3</v>
      </c>
      <c r="L1379" s="18" t="inlineStr">
        <is>
          <t>cobbleventure:generation_3</t>
        </is>
      </c>
      <c r="M1379" s="19" t="inlineStr">
        <is>
          <t>cobbleventure:generation_3</t>
        </is>
      </c>
      <c r="N1379" s="18" t="inlineStr"/>
      <c r="O1379" s="19" t="inlineStr"/>
      <c r="P1379" s="18" t="inlineStr">
        <is>
          <t>#cobblemon:is_warm_ocean</t>
        </is>
      </c>
      <c r="Q1379" s="19" t="inlineStr"/>
      <c r="R1379" s="18">
        <f>IF(Q1379="",P1379,Q1379)</f>
        <v/>
      </c>
      <c r="S1379" s="18" t="inlineStr"/>
      <c r="T1379" s="18" t="inlineStr">
        <is>
          <t>common</t>
        </is>
      </c>
      <c r="U1379" s="20" t="n">
        <v>10</v>
      </c>
      <c r="V1379" s="21" t="n">
        <v>1</v>
      </c>
      <c r="W1379" s="20">
        <f>IF(OR(U1379="",V1379=""),U1379,U1379*V1379)</f>
        <v/>
      </c>
      <c r="X1379" s="18" t="inlineStr">
        <is>
          <t>8-33</t>
        </is>
      </c>
      <c r="Y1379" s="19" t="inlineStr"/>
      <c r="Z1379" s="18">
        <f>IF(Y1379="",X1379,Y1379)</f>
        <v/>
      </c>
      <c r="AA1379" s="18" t="inlineStr">
        <is>
          <t>fishing</t>
        </is>
      </c>
      <c r="AB1379" s="18" t="inlineStr">
        <is>
          <t>day</t>
        </is>
      </c>
      <c r="AC1379" s="18" t="inlineStr"/>
      <c r="AD1379" s="18" t="inlineStr"/>
      <c r="AE1379" s="18" t="inlineStr"/>
      <c r="AF1379" s="18" t="inlineStr">
        <is>
          <t>True</t>
        </is>
      </c>
      <c r="AG1379" s="18" t="inlineStr"/>
      <c r="AH1379" s="18" t="inlineStr"/>
      <c r="AI1379" s="18" t="inlineStr"/>
      <c r="AJ1379" s="18" t="inlineStr">
        <is>
          <t>Cobblemon 동일</t>
        </is>
      </c>
      <c r="AK1379" s="18" t="inlineStr">
        <is>
          <t>사용</t>
        </is>
      </c>
      <c r="AL1379" s="18" t="inlineStr">
        <is>
          <t>COBBLEVERSE 1.7.42 / DP v31</t>
        </is>
      </c>
      <c r="AM1379" s="18" t="inlineStr">
        <is>
          <t>data/cobblemon/spawn_pool_world/0370_luvdisc.json</t>
        </is>
      </c>
      <c r="AN1379" s="18" t="inlineStr">
        <is>
          <t>luvdisc-2</t>
        </is>
      </c>
      <c r="AO1379" s="18" t="inlineStr">
        <is>
          <t>pokemon</t>
        </is>
      </c>
      <c r="AP1379" s="18" t="inlineStr"/>
      <c r="AQ1379" s="18" t="inlineStr">
        <is>
          <t>{"biomes":["#cobblemon:is_warm_ocean"],"canSeeSky":true,"timeRange":"day"}</t>
        </is>
      </c>
      <c r="AR1379" s="18" t="inlineStr"/>
      <c r="AS1379" s="18" t="inlineStr"/>
      <c r="AT1379" s="19" t="inlineStr"/>
    </row>
    <row r="1380" ht="32" customHeight="1">
      <c r="A1380" s="18" t="inlineStr">
        <is>
          <t>0370_luvdisc.json::luvdisc-3::003</t>
        </is>
      </c>
      <c r="B1380" s="19" t="inlineStr">
        <is>
          <t>사용</t>
        </is>
      </c>
      <c r="C1380" s="18">
        <f>IF(OR(B1380&lt;&gt;AK1380,M1380&lt;&gt;L1380,O1380&lt;&gt;"",Q1380&lt;&gt;"",V1380&lt;&gt;1,Y1380&lt;&gt;"",AT1380&lt;&gt;""),"수정","원본")</f>
        <v/>
      </c>
      <c r="D1380" s="18" t="n">
        <v>370</v>
      </c>
      <c r="E1380" s="18" t="inlineStr">
        <is>
          <t>사랑동이</t>
        </is>
      </c>
      <c r="F1380" s="18" t="inlineStr">
        <is>
          <t>luvdisc</t>
        </is>
      </c>
      <c r="G1380" s="18" t="inlineStr">
        <is>
          <t>luvdisc</t>
        </is>
      </c>
      <c r="H1380" s="18" t="inlineStr"/>
      <c r="I1380" s="18" t="n">
        <v>3</v>
      </c>
      <c r="J1380" s="18" t="n"/>
      <c r="K1380" s="18" t="n">
        <v>3</v>
      </c>
      <c r="L1380" s="18" t="inlineStr">
        <is>
          <t>cobbleventure:generation_3</t>
        </is>
      </c>
      <c r="M1380" s="19" t="inlineStr">
        <is>
          <t>cobbleventure:generation_3</t>
        </is>
      </c>
      <c r="N1380" s="18" t="inlineStr"/>
      <c r="O1380" s="19" t="inlineStr"/>
      <c r="P1380" s="18" t="inlineStr">
        <is>
          <t>#cobblemon:is_warm_ocean</t>
        </is>
      </c>
      <c r="Q1380" s="19" t="inlineStr"/>
      <c r="R1380" s="18">
        <f>IF(Q1380="",P1380,Q1380)</f>
        <v/>
      </c>
      <c r="S1380" s="18" t="inlineStr"/>
      <c r="T1380" s="18" t="inlineStr">
        <is>
          <t>common</t>
        </is>
      </c>
      <c r="U1380" s="20" t="n">
        <v>10</v>
      </c>
      <c r="V1380" s="21" t="n">
        <v>1</v>
      </c>
      <c r="W1380" s="20">
        <f>IF(OR(U1380="",V1380=""),U1380,U1380*V1380)</f>
        <v/>
      </c>
      <c r="X1380" s="18" t="inlineStr">
        <is>
          <t>8-33</t>
        </is>
      </c>
      <c r="Y1380" s="19" t="inlineStr"/>
      <c r="Z1380" s="18">
        <f>IF(Y1380="",X1380,Y1380)</f>
        <v/>
      </c>
      <c r="AA1380" s="18" t="inlineStr">
        <is>
          <t>submerged</t>
        </is>
      </c>
      <c r="AB1380" s="18" t="inlineStr">
        <is>
          <t>day</t>
        </is>
      </c>
      <c r="AC1380" s="18" t="inlineStr"/>
      <c r="AD1380" s="18" t="inlineStr"/>
      <c r="AE1380" s="18" t="inlineStr">
        <is>
          <t>sky 8-15</t>
        </is>
      </c>
      <c r="AF1380" s="18" t="inlineStr">
        <is>
          <t>False</t>
        </is>
      </c>
      <c r="AG1380" s="18" t="inlineStr"/>
      <c r="AH1380" s="18" t="inlineStr"/>
      <c r="AI1380" s="18" t="inlineStr"/>
      <c r="AJ1380" s="18" t="inlineStr">
        <is>
          <t>Cobblemon 동일</t>
        </is>
      </c>
      <c r="AK1380" s="18" t="inlineStr">
        <is>
          <t>사용</t>
        </is>
      </c>
      <c r="AL1380" s="18" t="inlineStr">
        <is>
          <t>COBBLEVERSE 1.7.42 / DP v31</t>
        </is>
      </c>
      <c r="AM1380" s="18" t="inlineStr">
        <is>
          <t>data/cobblemon/spawn_pool_world/0370_luvdisc.json</t>
        </is>
      </c>
      <c r="AN1380" s="18" t="inlineStr">
        <is>
          <t>luvdisc-3</t>
        </is>
      </c>
      <c r="AO1380" s="18" t="inlineStr">
        <is>
          <t>pokemon</t>
        </is>
      </c>
      <c r="AP1380" s="18" t="inlineStr">
        <is>
          <t>water</t>
        </is>
      </c>
      <c r="AQ1380" s="18" t="inlineStr">
        <is>
          <t>{"biomes":["#cobblemon:is_warm_ocean"],"canSeeSky":false,"maxSkyLight":15,"minSkyLight":8,"timeRange":"day"}</t>
        </is>
      </c>
      <c r="AR1380" s="18" t="inlineStr"/>
      <c r="AS1380" s="18" t="inlineStr"/>
      <c r="AT1380" s="19" t="inlineStr"/>
    </row>
    <row r="1381" ht="32" customHeight="1">
      <c r="A1381" s="18" t="inlineStr">
        <is>
          <t>0370_luvdisc.json::luvdisc-4::004</t>
        </is>
      </c>
      <c r="B1381" s="19" t="inlineStr">
        <is>
          <t>사용</t>
        </is>
      </c>
      <c r="C1381" s="18">
        <f>IF(OR(B1381&lt;&gt;AK1381,M1381&lt;&gt;L1381,O1381&lt;&gt;"",Q1381&lt;&gt;"",V1381&lt;&gt;1,Y1381&lt;&gt;"",AT1381&lt;&gt;""),"수정","원본")</f>
        <v/>
      </c>
      <c r="D1381" s="18" t="n">
        <v>370</v>
      </c>
      <c r="E1381" s="18" t="inlineStr">
        <is>
          <t>사랑동이</t>
        </is>
      </c>
      <c r="F1381" s="18" t="inlineStr">
        <is>
          <t>luvdisc</t>
        </is>
      </c>
      <c r="G1381" s="18" t="inlineStr">
        <is>
          <t>luvdisc</t>
        </is>
      </c>
      <c r="H1381" s="18" t="inlineStr"/>
      <c r="I1381" s="18" t="n">
        <v>3</v>
      </c>
      <c r="J1381" s="18" t="n"/>
      <c r="K1381" s="18" t="n">
        <v>3</v>
      </c>
      <c r="L1381" s="18" t="inlineStr">
        <is>
          <t>cobbleventure:generation_3</t>
        </is>
      </c>
      <c r="M1381" s="19" t="inlineStr">
        <is>
          <t>cobbleventure:generation_3</t>
        </is>
      </c>
      <c r="N1381" s="18" t="inlineStr"/>
      <c r="O1381" s="19" t="inlineStr"/>
      <c r="P1381" s="18" t="inlineStr">
        <is>
          <t>#cobblemon:is_warm_ocean</t>
        </is>
      </c>
      <c r="Q1381" s="19" t="inlineStr"/>
      <c r="R1381" s="18">
        <f>IF(Q1381="",P1381,Q1381)</f>
        <v/>
      </c>
      <c r="S1381" s="18" t="inlineStr"/>
      <c r="T1381" s="18" t="inlineStr">
        <is>
          <t>common</t>
        </is>
      </c>
      <c r="U1381" s="20" t="n">
        <v>10</v>
      </c>
      <c r="V1381" s="21" t="n">
        <v>1</v>
      </c>
      <c r="W1381" s="20">
        <f>IF(OR(U1381="",V1381=""),U1381,U1381*V1381)</f>
        <v/>
      </c>
      <c r="X1381" s="18" t="inlineStr">
        <is>
          <t>8-33</t>
        </is>
      </c>
      <c r="Y1381" s="19" t="inlineStr"/>
      <c r="Z1381" s="18">
        <f>IF(Y1381="",X1381,Y1381)</f>
        <v/>
      </c>
      <c r="AA1381" s="18" t="inlineStr">
        <is>
          <t>fishing</t>
        </is>
      </c>
      <c r="AB1381" s="18" t="inlineStr">
        <is>
          <t>day</t>
        </is>
      </c>
      <c r="AC1381" s="18" t="inlineStr"/>
      <c r="AD1381" s="18" t="inlineStr"/>
      <c r="AE1381" s="18" t="inlineStr">
        <is>
          <t>sky 8-15</t>
        </is>
      </c>
      <c r="AF1381" s="18" t="inlineStr">
        <is>
          <t>False</t>
        </is>
      </c>
      <c r="AG1381" s="18" t="inlineStr"/>
      <c r="AH1381" s="18" t="inlineStr"/>
      <c r="AI1381" s="18" t="inlineStr"/>
      <c r="AJ1381" s="18" t="inlineStr">
        <is>
          <t>Cobblemon 동일</t>
        </is>
      </c>
      <c r="AK1381" s="18" t="inlineStr">
        <is>
          <t>사용</t>
        </is>
      </c>
      <c r="AL1381" s="18" t="inlineStr">
        <is>
          <t>COBBLEVERSE 1.7.42 / DP v31</t>
        </is>
      </c>
      <c r="AM1381" s="18" t="inlineStr">
        <is>
          <t>data/cobblemon/spawn_pool_world/0370_luvdisc.json</t>
        </is>
      </c>
      <c r="AN1381" s="18" t="inlineStr">
        <is>
          <t>luvdisc-4</t>
        </is>
      </c>
      <c r="AO1381" s="18" t="inlineStr">
        <is>
          <t>pokemon</t>
        </is>
      </c>
      <c r="AP1381" s="18" t="inlineStr"/>
      <c r="AQ1381" s="18" t="inlineStr">
        <is>
          <t>{"biomes":["#cobblemon:is_warm_ocean"],"canSeeSky":false,"maxSkyLight":15,"minSkyLight":8,"timeRange":"day"}</t>
        </is>
      </c>
      <c r="AR1381" s="18" t="inlineStr"/>
      <c r="AS1381" s="18" t="inlineStr"/>
      <c r="AT1381" s="19" t="inlineStr"/>
    </row>
    <row r="1382" ht="32" customHeight="1">
      <c r="A1382" s="18" t="inlineStr">
        <is>
          <t>0371_bagon.json::bagon-1::001</t>
        </is>
      </c>
      <c r="B1382" s="19" t="inlineStr">
        <is>
          <t>사용</t>
        </is>
      </c>
      <c r="C1382" s="18">
        <f>IF(OR(B1382&lt;&gt;AK1382,M1382&lt;&gt;L1382,O1382&lt;&gt;"",Q1382&lt;&gt;"",V1382&lt;&gt;1,Y1382&lt;&gt;"",AT1382&lt;&gt;""),"수정","원본")</f>
        <v/>
      </c>
      <c r="D1382" s="18" t="n">
        <v>371</v>
      </c>
      <c r="E1382" s="18" t="inlineStr">
        <is>
          <t>아공이</t>
        </is>
      </c>
      <c r="F1382" s="18" t="inlineStr">
        <is>
          <t>bagon</t>
        </is>
      </c>
      <c r="G1382" s="18" t="inlineStr">
        <is>
          <t>bagon</t>
        </is>
      </c>
      <c r="H1382" s="18" t="inlineStr"/>
      <c r="I1382" s="18" t="n">
        <v>3</v>
      </c>
      <c r="J1382" s="18" t="n"/>
      <c r="K1382" s="18" t="n">
        <v>3</v>
      </c>
      <c r="L1382" s="18" t="inlineStr">
        <is>
          <t>cobbleventure:generation_3</t>
        </is>
      </c>
      <c r="M1382" s="19" t="inlineStr">
        <is>
          <t>cobbleventure:generation_3</t>
        </is>
      </c>
      <c r="N1382" s="18" t="inlineStr"/>
      <c r="O1382" s="19" t="inlineStr"/>
      <c r="P1382" s="18" t="inlineStr">
        <is>
          <t>#cobblemon:is_peak</t>
        </is>
      </c>
      <c r="Q1382" s="19" t="inlineStr"/>
      <c r="R1382" s="18">
        <f>IF(Q1382="",P1382,Q1382)</f>
        <v/>
      </c>
      <c r="S1382" s="18" t="inlineStr">
        <is>
          <t>#cobblemon:is_freezing</t>
        </is>
      </c>
      <c r="T1382" s="18" t="inlineStr">
        <is>
          <t>ultra-rare</t>
        </is>
      </c>
      <c r="U1382" s="20" t="n">
        <v>9.6</v>
      </c>
      <c r="V1382" s="21" t="n">
        <v>1</v>
      </c>
      <c r="W1382" s="20">
        <f>IF(OR(U1382="",V1382=""),U1382,U1382*V1382)</f>
        <v/>
      </c>
      <c r="X1382" s="18" t="inlineStr">
        <is>
          <t>5-30</t>
        </is>
      </c>
      <c r="Y1382" s="19" t="inlineStr"/>
      <c r="Z1382" s="18">
        <f>IF(Y1382="",X1382,Y1382)</f>
        <v/>
      </c>
      <c r="AA1382" s="18" t="inlineStr">
        <is>
          <t>grounded</t>
        </is>
      </c>
      <c r="AB1382" s="18" t="inlineStr"/>
      <c r="AC1382" s="18" t="inlineStr"/>
      <c r="AD1382" s="18" t="inlineStr"/>
      <c r="AE1382" s="18" t="inlineStr">
        <is>
          <t>sky 8-15</t>
        </is>
      </c>
      <c r="AF1382" s="18" t="inlineStr"/>
      <c r="AG1382" s="18" t="inlineStr"/>
      <c r="AH1382" s="18" t="inlineStr"/>
      <c r="AI1382" s="18" t="inlineStr"/>
      <c r="AJ1382" s="18" t="inlineStr">
        <is>
          <t>Cobblemon 동일</t>
        </is>
      </c>
      <c r="AK1382" s="18" t="inlineStr">
        <is>
          <t>사용</t>
        </is>
      </c>
      <c r="AL1382" s="18" t="inlineStr">
        <is>
          <t>COBBLEVERSE 1.7.42 / DP v31</t>
        </is>
      </c>
      <c r="AM1382" s="18" t="inlineStr">
        <is>
          <t>data/cobblemon/spawn_pool_world/0371_bagon.json</t>
        </is>
      </c>
      <c r="AN1382" s="18" t="inlineStr">
        <is>
          <t>bagon-1</t>
        </is>
      </c>
      <c r="AO1382" s="18" t="inlineStr">
        <is>
          <t>pokemon</t>
        </is>
      </c>
      <c r="AP1382" s="18" t="inlineStr">
        <is>
          <t>natural; wild</t>
        </is>
      </c>
      <c r="AQ1382" s="18" t="inlineStr">
        <is>
          <t>{"biomes":["#cobblemon:is_peak"],"maxSkyLight":15,"minSkyLight":8}</t>
        </is>
      </c>
      <c r="AR1382" s="18" t="inlineStr">
        <is>
          <t>{"biomes":["#cobblemon:is_freezing"]}</t>
        </is>
      </c>
      <c r="AS1382" s="18" t="inlineStr"/>
      <c r="AT1382" s="19" t="inlineStr"/>
    </row>
    <row r="1383" ht="32" customHeight="1">
      <c r="A1383" s="18" t="inlineStr">
        <is>
          <t>0371_bagon.json::bagon-2::002</t>
        </is>
      </c>
      <c r="B1383" s="19" t="inlineStr">
        <is>
          <t>사용</t>
        </is>
      </c>
      <c r="C1383" s="18">
        <f>IF(OR(B1383&lt;&gt;AK1383,M1383&lt;&gt;L1383,O1383&lt;&gt;"",Q1383&lt;&gt;"",V1383&lt;&gt;1,Y1383&lt;&gt;"",AT1383&lt;&gt;""),"수정","원본")</f>
        <v/>
      </c>
      <c r="D1383" s="18" t="n">
        <v>371</v>
      </c>
      <c r="E1383" s="18" t="inlineStr">
        <is>
          <t>아공이</t>
        </is>
      </c>
      <c r="F1383" s="18" t="inlineStr">
        <is>
          <t>bagon</t>
        </is>
      </c>
      <c r="G1383" s="18" t="inlineStr">
        <is>
          <t>bagon</t>
        </is>
      </c>
      <c r="H1383" s="18" t="inlineStr"/>
      <c r="I1383" s="18" t="n">
        <v>3</v>
      </c>
      <c r="J1383" s="18" t="n"/>
      <c r="K1383" s="18" t="n">
        <v>3</v>
      </c>
      <c r="L1383" s="18" t="inlineStr">
        <is>
          <t>cobbleventure:generation_3</t>
        </is>
      </c>
      <c r="M1383" s="19" t="inlineStr">
        <is>
          <t>cobbleventure:generation_3</t>
        </is>
      </c>
      <c r="N1383" s="18" t="inlineStr"/>
      <c r="O1383" s="19" t="inlineStr"/>
      <c r="P1383" s="18" t="inlineStr">
        <is>
          <t>#cobblemon:is_dripstone</t>
        </is>
      </c>
      <c r="Q1383" s="19" t="inlineStr"/>
      <c r="R1383" s="18">
        <f>IF(Q1383="",P1383,Q1383)</f>
        <v/>
      </c>
      <c r="S1383" s="18" t="inlineStr"/>
      <c r="T1383" s="18" t="inlineStr">
        <is>
          <t>ultra-rare</t>
        </is>
      </c>
      <c r="U1383" s="20" t="n">
        <v>6</v>
      </c>
      <c r="V1383" s="21" t="n">
        <v>1</v>
      </c>
      <c r="W1383" s="20">
        <f>IF(OR(U1383="",V1383=""),U1383,U1383*V1383)</f>
        <v/>
      </c>
      <c r="X1383" s="18" t="inlineStr">
        <is>
          <t>5-30</t>
        </is>
      </c>
      <c r="Y1383" s="19" t="inlineStr"/>
      <c r="Z1383" s="18">
        <f>IF(Y1383="",X1383,Y1383)</f>
        <v/>
      </c>
      <c r="AA1383" s="18" t="inlineStr">
        <is>
          <t>grounded</t>
        </is>
      </c>
      <c r="AB1383" s="18" t="inlineStr"/>
      <c r="AC1383" s="18" t="inlineStr"/>
      <c r="AD1383" s="18" t="inlineStr"/>
      <c r="AE1383" s="18" t="inlineStr">
        <is>
          <t>sky 8-15</t>
        </is>
      </c>
      <c r="AF1383" s="18" t="inlineStr"/>
      <c r="AG1383" s="18" t="inlineStr"/>
      <c r="AH1383" s="18" t="inlineStr"/>
      <c r="AI1383" s="18" t="inlineStr"/>
      <c r="AJ1383" s="18" t="inlineStr">
        <is>
          <t>Cobblemon 동일</t>
        </is>
      </c>
      <c r="AK1383" s="18" t="inlineStr">
        <is>
          <t>사용</t>
        </is>
      </c>
      <c r="AL1383" s="18" t="inlineStr">
        <is>
          <t>COBBLEVERSE 1.7.42 / DP v31</t>
        </is>
      </c>
      <c r="AM1383" s="18" t="inlineStr">
        <is>
          <t>data/cobblemon/spawn_pool_world/0371_bagon.json</t>
        </is>
      </c>
      <c r="AN1383" s="18" t="inlineStr">
        <is>
          <t>bagon-2</t>
        </is>
      </c>
      <c r="AO1383" s="18" t="inlineStr">
        <is>
          <t>pokemon</t>
        </is>
      </c>
      <c r="AP1383" s="18" t="inlineStr">
        <is>
          <t>natural; wild</t>
        </is>
      </c>
      <c r="AQ1383" s="18" t="inlineStr">
        <is>
          <t>{"biomes":["#cobblemon:is_dripstone"],"maxSkyLight":15,"minSkyLight":8}</t>
        </is>
      </c>
      <c r="AR1383" s="18" t="inlineStr"/>
      <c r="AS1383" s="18" t="inlineStr"/>
      <c r="AT1383" s="19" t="inlineStr"/>
    </row>
    <row r="1384" ht="32" customHeight="1">
      <c r="A1384" s="18" t="inlineStr">
        <is>
          <t>0371_bagon.json::bagon-3::003</t>
        </is>
      </c>
      <c r="B1384" s="19" t="inlineStr">
        <is>
          <t>사용</t>
        </is>
      </c>
      <c r="C1384" s="18">
        <f>IF(OR(B1384&lt;&gt;AK1384,M1384&lt;&gt;L1384,O1384&lt;&gt;"",Q1384&lt;&gt;"",V1384&lt;&gt;1,Y1384&lt;&gt;"",AT1384&lt;&gt;""),"수정","원본")</f>
        <v/>
      </c>
      <c r="D1384" s="18" t="n">
        <v>371</v>
      </c>
      <c r="E1384" s="18" t="inlineStr">
        <is>
          <t>아공이</t>
        </is>
      </c>
      <c r="F1384" s="18" t="inlineStr">
        <is>
          <t>bagon</t>
        </is>
      </c>
      <c r="G1384" s="18" t="inlineStr">
        <is>
          <t>bagon</t>
        </is>
      </c>
      <c r="H1384" s="18" t="inlineStr"/>
      <c r="I1384" s="18" t="n">
        <v>3</v>
      </c>
      <c r="J1384" s="18" t="n"/>
      <c r="K1384" s="18" t="n">
        <v>3</v>
      </c>
      <c r="L1384" s="18" t="inlineStr">
        <is>
          <t>cobbleventure:generation_3</t>
        </is>
      </c>
      <c r="M1384" s="19" t="inlineStr">
        <is>
          <t>cobbleventure:generation_3</t>
        </is>
      </c>
      <c r="N1384" s="18" t="inlineStr"/>
      <c r="O1384" s="19" t="inlineStr"/>
      <c r="P1384" s="18" t="inlineStr">
        <is>
          <t>#aether:is_aether; #cobblemon:is_dripstone</t>
        </is>
      </c>
      <c r="Q1384" s="19" t="inlineStr"/>
      <c r="R1384" s="18">
        <f>IF(Q1384="",P1384,Q1384)</f>
        <v/>
      </c>
      <c r="S1384" s="18" t="inlineStr"/>
      <c r="T1384" s="18" t="inlineStr">
        <is>
          <t>rare</t>
        </is>
      </c>
      <c r="U1384" s="20" t="n">
        <v>7.5</v>
      </c>
      <c r="V1384" s="21" t="n">
        <v>1</v>
      </c>
      <c r="W1384" s="20">
        <f>IF(OR(U1384="",V1384=""),U1384,U1384*V1384)</f>
        <v/>
      </c>
      <c r="X1384" s="18" t="inlineStr">
        <is>
          <t>5-30</t>
        </is>
      </c>
      <c r="Y1384" s="19" t="inlineStr"/>
      <c r="Z1384" s="18">
        <f>IF(Y1384="",X1384,Y1384)</f>
        <v/>
      </c>
      <c r="AA1384" s="18" t="inlineStr">
        <is>
          <t>grounded</t>
        </is>
      </c>
      <c r="AB1384" s="18" t="inlineStr"/>
      <c r="AC1384" s="18" t="inlineStr"/>
      <c r="AD1384" s="18" t="inlineStr"/>
      <c r="AE1384" s="18" t="inlineStr">
        <is>
          <t>sky 0-7</t>
        </is>
      </c>
      <c r="AF1384" s="18" t="inlineStr"/>
      <c r="AG1384" s="18" t="inlineStr"/>
      <c r="AH1384" s="18" t="inlineStr"/>
      <c r="AI1384" s="18" t="inlineStr"/>
      <c r="AJ1384" s="18" t="inlineStr">
        <is>
          <t>Cobblemon 동일</t>
        </is>
      </c>
      <c r="AK1384" s="18" t="inlineStr">
        <is>
          <t>사용</t>
        </is>
      </c>
      <c r="AL1384" s="18" t="inlineStr">
        <is>
          <t>COBBLEVERSE 1.7.42 / DP v31</t>
        </is>
      </c>
      <c r="AM1384" s="18" t="inlineStr">
        <is>
          <t>data/cobblemon/spawn_pool_world/0371_bagon.json</t>
        </is>
      </c>
      <c r="AN1384" s="18" t="inlineStr">
        <is>
          <t>bagon-3</t>
        </is>
      </c>
      <c r="AO1384" s="18" t="inlineStr">
        <is>
          <t>pokemon</t>
        </is>
      </c>
      <c r="AP1384" s="18" t="inlineStr">
        <is>
          <t>natural</t>
        </is>
      </c>
      <c r="AQ1384" s="18" t="inlineStr">
        <is>
          <t>{"biomes":["#aether:is_aether","#cobblemon:is_dripstone"],"maxSkyLight":7,"minSkyLight":0}</t>
        </is>
      </c>
      <c r="AR1384" s="18" t="inlineStr"/>
      <c r="AS1384" s="18" t="inlineStr"/>
      <c r="AT1384" s="19" t="inlineStr"/>
    </row>
    <row r="1385" ht="32" customHeight="1">
      <c r="A1385" s="18" t="inlineStr">
        <is>
          <t>0372_shelgon.json::shelgon-1::001</t>
        </is>
      </c>
      <c r="B1385" s="19" t="inlineStr">
        <is>
          <t>사용</t>
        </is>
      </c>
      <c r="C1385" s="18">
        <f>IF(OR(B1385&lt;&gt;AK1385,M1385&lt;&gt;L1385,O1385&lt;&gt;"",Q1385&lt;&gt;"",V1385&lt;&gt;1,Y1385&lt;&gt;"",AT1385&lt;&gt;""),"수정","원본")</f>
        <v/>
      </c>
      <c r="D1385" s="18" t="n">
        <v>372</v>
      </c>
      <c r="E1385" s="18" t="inlineStr">
        <is>
          <t>쉘곤</t>
        </is>
      </c>
      <c r="F1385" s="18" t="inlineStr">
        <is>
          <t>shelgon</t>
        </is>
      </c>
      <c r="G1385" s="18" t="inlineStr">
        <is>
          <t>shelgon</t>
        </is>
      </c>
      <c r="H1385" s="18" t="inlineStr"/>
      <c r="I1385" s="18" t="n">
        <v>3</v>
      </c>
      <c r="J1385" s="18" t="n"/>
      <c r="K1385" s="18" t="n">
        <v>3</v>
      </c>
      <c r="L1385" s="18" t="inlineStr">
        <is>
          <t>cobbleventure:generation_3</t>
        </is>
      </c>
      <c r="M1385" s="19" t="inlineStr">
        <is>
          <t>cobbleventure:generation_3</t>
        </is>
      </c>
      <c r="N1385" s="18" t="inlineStr"/>
      <c r="O1385" s="19" t="inlineStr"/>
      <c r="P1385" s="18" t="inlineStr">
        <is>
          <t>#cobblemon:is_dripstone</t>
        </is>
      </c>
      <c r="Q1385" s="19" t="inlineStr"/>
      <c r="R1385" s="18">
        <f>IF(Q1385="",P1385,Q1385)</f>
        <v/>
      </c>
      <c r="S1385" s="18" t="inlineStr"/>
      <c r="T1385" s="18" t="inlineStr">
        <is>
          <t>ultra-rare</t>
        </is>
      </c>
      <c r="U1385" s="20" t="n">
        <v>3.6</v>
      </c>
      <c r="V1385" s="21" t="n">
        <v>1</v>
      </c>
      <c r="W1385" s="20">
        <f>IF(OR(U1385="",V1385=""),U1385,U1385*V1385)</f>
        <v/>
      </c>
      <c r="X1385" s="18" t="inlineStr">
        <is>
          <t>30-42</t>
        </is>
      </c>
      <c r="Y1385" s="19" t="inlineStr"/>
      <c r="Z1385" s="18">
        <f>IF(Y1385="",X1385,Y1385)</f>
        <v/>
      </c>
      <c r="AA1385" s="18" t="inlineStr">
        <is>
          <t>grounded</t>
        </is>
      </c>
      <c r="AB1385" s="18" t="inlineStr"/>
      <c r="AC1385" s="18" t="inlineStr"/>
      <c r="AD1385" s="18" t="inlineStr"/>
      <c r="AE1385" s="18" t="inlineStr">
        <is>
          <t>sky 8-15</t>
        </is>
      </c>
      <c r="AF1385" s="18" t="inlineStr"/>
      <c r="AG1385" s="18" t="inlineStr"/>
      <c r="AH1385" s="18" t="inlineStr"/>
      <c r="AI1385" s="18" t="inlineStr"/>
      <c r="AJ1385" s="18" t="inlineStr">
        <is>
          <t>Cobblemon 동일</t>
        </is>
      </c>
      <c r="AK1385" s="18" t="inlineStr">
        <is>
          <t>사용</t>
        </is>
      </c>
      <c r="AL1385" s="18" t="inlineStr">
        <is>
          <t>COBBLEVERSE 1.7.42 / DP v31</t>
        </is>
      </c>
      <c r="AM1385" s="18" t="inlineStr">
        <is>
          <t>data/cobblemon/spawn_pool_world/0372_shelgon.json</t>
        </is>
      </c>
      <c r="AN1385" s="18" t="inlineStr">
        <is>
          <t>shelgon-1</t>
        </is>
      </c>
      <c r="AO1385" s="18" t="inlineStr">
        <is>
          <t>pokemon</t>
        </is>
      </c>
      <c r="AP1385" s="18" t="inlineStr">
        <is>
          <t>natural; wild</t>
        </is>
      </c>
      <c r="AQ1385" s="18" t="inlineStr">
        <is>
          <t>{"biomes":["#cobblemon:is_dripstone"],"maxSkyLight":15,"minSkyLight":8}</t>
        </is>
      </c>
      <c r="AR1385" s="18" t="inlineStr"/>
      <c r="AS1385" s="18" t="inlineStr"/>
      <c r="AT1385" s="19" t="inlineStr"/>
    </row>
    <row r="1386" ht="32" customHeight="1">
      <c r="A1386" s="18" t="inlineStr">
        <is>
          <t>0372_shelgon.json::shelgon-2::002</t>
        </is>
      </c>
      <c r="B1386" s="19" t="inlineStr">
        <is>
          <t>사용</t>
        </is>
      </c>
      <c r="C1386" s="18">
        <f>IF(OR(B1386&lt;&gt;AK1386,M1386&lt;&gt;L1386,O1386&lt;&gt;"",Q1386&lt;&gt;"",V1386&lt;&gt;1,Y1386&lt;&gt;"",AT1386&lt;&gt;""),"수정","원본")</f>
        <v/>
      </c>
      <c r="D1386" s="18" t="n">
        <v>372</v>
      </c>
      <c r="E1386" s="18" t="inlineStr">
        <is>
          <t>쉘곤</t>
        </is>
      </c>
      <c r="F1386" s="18" t="inlineStr">
        <is>
          <t>shelgon</t>
        </is>
      </c>
      <c r="G1386" s="18" t="inlineStr">
        <is>
          <t>shelgon</t>
        </is>
      </c>
      <c r="H1386" s="18" t="inlineStr"/>
      <c r="I1386" s="18" t="n">
        <v>3</v>
      </c>
      <c r="J1386" s="18" t="n"/>
      <c r="K1386" s="18" t="n">
        <v>3</v>
      </c>
      <c r="L1386" s="18" t="inlineStr">
        <is>
          <t>cobbleventure:generation_3</t>
        </is>
      </c>
      <c r="M1386" s="19" t="inlineStr">
        <is>
          <t>cobbleventure:generation_3</t>
        </is>
      </c>
      <c r="N1386" s="18" t="inlineStr"/>
      <c r="O1386" s="19" t="inlineStr"/>
      <c r="P1386" s="18" t="inlineStr">
        <is>
          <t>#aether:is_aether; #cobblemon:is_dripstone</t>
        </is>
      </c>
      <c r="Q1386" s="19" t="inlineStr"/>
      <c r="R1386" s="18">
        <f>IF(Q1386="",P1386,Q1386)</f>
        <v/>
      </c>
      <c r="S1386" s="18" t="inlineStr"/>
      <c r="T1386" s="18" t="inlineStr">
        <is>
          <t>rare</t>
        </is>
      </c>
      <c r="U1386" s="20" t="n">
        <v>2.25</v>
      </c>
      <c r="V1386" s="21" t="n">
        <v>1</v>
      </c>
      <c r="W1386" s="20">
        <f>IF(OR(U1386="",V1386=""),U1386,U1386*V1386)</f>
        <v/>
      </c>
      <c r="X1386" s="18" t="inlineStr">
        <is>
          <t>30-42</t>
        </is>
      </c>
      <c r="Y1386" s="19" t="inlineStr"/>
      <c r="Z1386" s="18">
        <f>IF(Y1386="",X1386,Y1386)</f>
        <v/>
      </c>
      <c r="AA1386" s="18" t="inlineStr">
        <is>
          <t>grounded</t>
        </is>
      </c>
      <c r="AB1386" s="18" t="inlineStr"/>
      <c r="AC1386" s="18" t="inlineStr"/>
      <c r="AD1386" s="18" t="inlineStr"/>
      <c r="AE1386" s="18" t="inlineStr">
        <is>
          <t>sky 0-7</t>
        </is>
      </c>
      <c r="AF1386" s="18" t="inlineStr"/>
      <c r="AG1386" s="18" t="inlineStr"/>
      <c r="AH1386" s="18" t="inlineStr"/>
      <c r="AI1386" s="18" t="inlineStr"/>
      <c r="AJ1386" s="18" t="inlineStr">
        <is>
          <t>Cobblemon 동일</t>
        </is>
      </c>
      <c r="AK1386" s="18" t="inlineStr">
        <is>
          <t>사용</t>
        </is>
      </c>
      <c r="AL1386" s="18" t="inlineStr">
        <is>
          <t>COBBLEVERSE 1.7.42 / DP v31</t>
        </is>
      </c>
      <c r="AM1386" s="18" t="inlineStr">
        <is>
          <t>data/cobblemon/spawn_pool_world/0372_shelgon.json</t>
        </is>
      </c>
      <c r="AN1386" s="18" t="inlineStr">
        <is>
          <t>shelgon-2</t>
        </is>
      </c>
      <c r="AO1386" s="18" t="inlineStr">
        <is>
          <t>pokemon</t>
        </is>
      </c>
      <c r="AP1386" s="18" t="inlineStr">
        <is>
          <t>natural</t>
        </is>
      </c>
      <c r="AQ1386" s="18" t="inlineStr">
        <is>
          <t>{"biomes":["#aether:is_aether","#cobblemon:is_dripstone"],"maxSkyLight":7,"minSkyLight":0}</t>
        </is>
      </c>
      <c r="AR1386" s="18" t="inlineStr"/>
      <c r="AS1386" s="18" t="inlineStr"/>
      <c r="AT1386" s="19" t="inlineStr"/>
    </row>
    <row r="1387" ht="32" customHeight="1">
      <c r="A1387" s="18" t="inlineStr">
        <is>
          <t>0373_salamence.json::salamence-1::001</t>
        </is>
      </c>
      <c r="B1387" s="19" t="inlineStr">
        <is>
          <t>사용</t>
        </is>
      </c>
      <c r="C1387" s="18">
        <f>IF(OR(B1387&lt;&gt;AK1387,M1387&lt;&gt;L1387,O1387&lt;&gt;"",Q1387&lt;&gt;"",V1387&lt;&gt;1,Y1387&lt;&gt;"",AT1387&lt;&gt;""),"수정","원본")</f>
        <v/>
      </c>
      <c r="D1387" s="18" t="n">
        <v>373</v>
      </c>
      <c r="E1387" s="18" t="inlineStr">
        <is>
          <t>보만다</t>
        </is>
      </c>
      <c r="F1387" s="18" t="inlineStr">
        <is>
          <t>salamence</t>
        </is>
      </c>
      <c r="G1387" s="18" t="inlineStr">
        <is>
          <t>salamence</t>
        </is>
      </c>
      <c r="H1387" s="18" t="inlineStr"/>
      <c r="I1387" s="18" t="n">
        <v>3</v>
      </c>
      <c r="J1387" s="18" t="n"/>
      <c r="K1387" s="18" t="n">
        <v>3</v>
      </c>
      <c r="L1387" s="18" t="inlineStr">
        <is>
          <t>cobbleventure:generation_3</t>
        </is>
      </c>
      <c r="M1387" s="19" t="inlineStr">
        <is>
          <t>cobbleventure:generation_3</t>
        </is>
      </c>
      <c r="N1387" s="18" t="inlineStr"/>
      <c r="O1387" s="19" t="inlineStr"/>
      <c r="P1387" s="18" t="inlineStr">
        <is>
          <t>#cobblemon:is_peak; #cobblemon:is_sky</t>
        </is>
      </c>
      <c r="Q1387" s="19" t="inlineStr"/>
      <c r="R1387" s="18">
        <f>IF(Q1387="",P1387,Q1387)</f>
        <v/>
      </c>
      <c r="S1387" s="18" t="inlineStr">
        <is>
          <t>#cobblemon:is_freezing</t>
        </is>
      </c>
      <c r="T1387" s="18" t="inlineStr">
        <is>
          <t>ultra-rare</t>
        </is>
      </c>
      <c r="U1387" s="20" t="n">
        <v>0.4</v>
      </c>
      <c r="V1387" s="21" t="n">
        <v>1</v>
      </c>
      <c r="W1387" s="20">
        <f>IF(OR(U1387="",V1387=""),U1387,U1387*V1387)</f>
        <v/>
      </c>
      <c r="X1387" s="18" t="inlineStr">
        <is>
          <t>50-60</t>
        </is>
      </c>
      <c r="Y1387" s="19" t="inlineStr"/>
      <c r="Z1387" s="18">
        <f>IF(Y1387="",X1387,Y1387)</f>
        <v/>
      </c>
      <c r="AA1387" s="18" t="inlineStr">
        <is>
          <t>grounded</t>
        </is>
      </c>
      <c r="AB1387" s="18" t="inlineStr"/>
      <c r="AC1387" s="18" t="inlineStr"/>
      <c r="AD1387" s="18" t="inlineStr"/>
      <c r="AE1387" s="18" t="inlineStr">
        <is>
          <t>sky 8-15</t>
        </is>
      </c>
      <c r="AF1387" s="18" t="inlineStr"/>
      <c r="AG1387" s="18" t="inlineStr"/>
      <c r="AH1387" s="18" t="inlineStr"/>
      <c r="AI1387" s="18" t="inlineStr"/>
      <c r="AJ1387" s="18" t="inlineStr">
        <is>
          <t>Cobblemon 동일</t>
        </is>
      </c>
      <c r="AK1387" s="18" t="inlineStr">
        <is>
          <t>사용</t>
        </is>
      </c>
      <c r="AL1387" s="18" t="inlineStr">
        <is>
          <t>COBBLEVERSE 1.7.42 / DP v31</t>
        </is>
      </c>
      <c r="AM1387" s="18" t="inlineStr">
        <is>
          <t>data/cobblemon/spawn_pool_world/0373_salamence.json</t>
        </is>
      </c>
      <c r="AN1387" s="18" t="inlineStr">
        <is>
          <t>salamence-1</t>
        </is>
      </c>
      <c r="AO1387" s="18" t="inlineStr">
        <is>
          <t>pokemon</t>
        </is>
      </c>
      <c r="AP1387" s="18" t="inlineStr">
        <is>
          <t>natural; wild</t>
        </is>
      </c>
      <c r="AQ1387" s="18" t="inlineStr">
        <is>
          <t>{"biomes":["#cobblemon:is_peak","#cobblemon:is_sky"],"maxSkyLight":15,"minSkyLight":8}</t>
        </is>
      </c>
      <c r="AR1387" s="18" t="inlineStr">
        <is>
          <t>{"biomes":["#cobblemon:is_freezing"]}</t>
        </is>
      </c>
      <c r="AS1387" s="18" t="inlineStr"/>
      <c r="AT1387" s="19" t="inlineStr"/>
    </row>
    <row r="1388" ht="32" customHeight="1">
      <c r="A1388" s="18" t="inlineStr">
        <is>
          <t>0373_salamence.json::salamence-2::002</t>
        </is>
      </c>
      <c r="B1388" s="19" t="inlineStr">
        <is>
          <t>사용</t>
        </is>
      </c>
      <c r="C1388" s="18">
        <f>IF(OR(B1388&lt;&gt;AK1388,M1388&lt;&gt;L1388,O1388&lt;&gt;"",Q1388&lt;&gt;"",V1388&lt;&gt;1,Y1388&lt;&gt;"",AT1388&lt;&gt;""),"수정","원본")</f>
        <v/>
      </c>
      <c r="D1388" s="18" t="n">
        <v>373</v>
      </c>
      <c r="E1388" s="18" t="inlineStr">
        <is>
          <t>보만다</t>
        </is>
      </c>
      <c r="F1388" s="18" t="inlineStr">
        <is>
          <t>salamence</t>
        </is>
      </c>
      <c r="G1388" s="18" t="inlineStr">
        <is>
          <t>salamence</t>
        </is>
      </c>
      <c r="H1388" s="18" t="inlineStr"/>
      <c r="I1388" s="18" t="n">
        <v>3</v>
      </c>
      <c r="J1388" s="18" t="n"/>
      <c r="K1388" s="18" t="n">
        <v>3</v>
      </c>
      <c r="L1388" s="18" t="inlineStr">
        <is>
          <t>cobbleventure:generation_3</t>
        </is>
      </c>
      <c r="M1388" s="19" t="inlineStr">
        <is>
          <t>cobbleventure:generation_3</t>
        </is>
      </c>
      <c r="N1388" s="18" t="inlineStr"/>
      <c r="O1388" s="19" t="inlineStr"/>
      <c r="P1388" s="18" t="inlineStr">
        <is>
          <t>#cobblemon:is_dripstone</t>
        </is>
      </c>
      <c r="Q1388" s="19" t="inlineStr"/>
      <c r="R1388" s="18">
        <f>IF(Q1388="",P1388,Q1388)</f>
        <v/>
      </c>
      <c r="S1388" s="18" t="inlineStr"/>
      <c r="T1388" s="18" t="inlineStr">
        <is>
          <t>ultra-rare</t>
        </is>
      </c>
      <c r="U1388" s="20" t="n">
        <v>0.4</v>
      </c>
      <c r="V1388" s="21" t="n">
        <v>1</v>
      </c>
      <c r="W1388" s="20">
        <f>IF(OR(U1388="",V1388=""),U1388,U1388*V1388)</f>
        <v/>
      </c>
      <c r="X1388" s="18" t="inlineStr">
        <is>
          <t>50-60</t>
        </is>
      </c>
      <c r="Y1388" s="19" t="inlineStr"/>
      <c r="Z1388" s="18">
        <f>IF(Y1388="",X1388,Y1388)</f>
        <v/>
      </c>
      <c r="AA1388" s="18" t="inlineStr">
        <is>
          <t>grounded</t>
        </is>
      </c>
      <c r="AB1388" s="18" t="inlineStr"/>
      <c r="AC1388" s="18" t="inlineStr"/>
      <c r="AD1388" s="18" t="inlineStr"/>
      <c r="AE1388" s="18" t="inlineStr">
        <is>
          <t>sky 8-15</t>
        </is>
      </c>
      <c r="AF1388" s="18" t="inlineStr"/>
      <c r="AG1388" s="18" t="inlineStr"/>
      <c r="AH1388" s="18" t="inlineStr"/>
      <c r="AI1388" s="18" t="inlineStr"/>
      <c r="AJ1388" s="18" t="inlineStr">
        <is>
          <t>Cobblemon 동일</t>
        </is>
      </c>
      <c r="AK1388" s="18" t="inlineStr">
        <is>
          <t>사용</t>
        </is>
      </c>
      <c r="AL1388" s="18" t="inlineStr">
        <is>
          <t>COBBLEVERSE 1.7.42 / DP v31</t>
        </is>
      </c>
      <c r="AM1388" s="18" t="inlineStr">
        <is>
          <t>data/cobblemon/spawn_pool_world/0373_salamence.json</t>
        </is>
      </c>
      <c r="AN1388" s="18" t="inlineStr">
        <is>
          <t>salamence-2</t>
        </is>
      </c>
      <c r="AO1388" s="18" t="inlineStr">
        <is>
          <t>pokemon</t>
        </is>
      </c>
      <c r="AP1388" s="18" t="inlineStr">
        <is>
          <t>natural; wild</t>
        </is>
      </c>
      <c r="AQ1388" s="18" t="inlineStr">
        <is>
          <t>{"biomes":["#cobblemon:is_dripstone"],"maxSkyLight":15,"minSkyLight":8}</t>
        </is>
      </c>
      <c r="AR1388" s="18" t="inlineStr"/>
      <c r="AS1388" s="18" t="inlineStr"/>
      <c r="AT1388" s="19" t="inlineStr"/>
    </row>
    <row r="1389" ht="32" customHeight="1">
      <c r="A1389" s="18" t="inlineStr">
        <is>
          <t>0373_salamence.json::salamence-3::003</t>
        </is>
      </c>
      <c r="B1389" s="19" t="inlineStr">
        <is>
          <t>사용</t>
        </is>
      </c>
      <c r="C1389" s="18">
        <f>IF(OR(B1389&lt;&gt;AK1389,M1389&lt;&gt;L1389,O1389&lt;&gt;"",Q1389&lt;&gt;"",V1389&lt;&gt;1,Y1389&lt;&gt;"",AT1389&lt;&gt;""),"수정","원본")</f>
        <v/>
      </c>
      <c r="D1389" s="18" t="n">
        <v>373</v>
      </c>
      <c r="E1389" s="18" t="inlineStr">
        <is>
          <t>보만다</t>
        </is>
      </c>
      <c r="F1389" s="18" t="inlineStr">
        <is>
          <t>salamence</t>
        </is>
      </c>
      <c r="G1389" s="18" t="inlineStr">
        <is>
          <t>salamence</t>
        </is>
      </c>
      <c r="H1389" s="18" t="inlineStr"/>
      <c r="I1389" s="18" t="n">
        <v>3</v>
      </c>
      <c r="J1389" s="18" t="n"/>
      <c r="K1389" s="18" t="n">
        <v>3</v>
      </c>
      <c r="L1389" s="18" t="inlineStr">
        <is>
          <t>cobbleventure:generation_3</t>
        </is>
      </c>
      <c r="M1389" s="19" t="inlineStr">
        <is>
          <t>cobbleventure:generation_3</t>
        </is>
      </c>
      <c r="N1389" s="18" t="inlineStr"/>
      <c r="O1389" s="19" t="inlineStr"/>
      <c r="P1389" s="18" t="inlineStr">
        <is>
          <t>#aether:is_aether; #cobblemon:is_dripstone</t>
        </is>
      </c>
      <c r="Q1389" s="19" t="inlineStr"/>
      <c r="R1389" s="18">
        <f>IF(Q1389="",P1389,Q1389)</f>
        <v/>
      </c>
      <c r="S1389" s="18" t="inlineStr"/>
      <c r="T1389" s="18" t="inlineStr">
        <is>
          <t>rare</t>
        </is>
      </c>
      <c r="U1389" s="20" t="n">
        <v>0.25</v>
      </c>
      <c r="V1389" s="21" t="n">
        <v>1</v>
      </c>
      <c r="W1389" s="20">
        <f>IF(OR(U1389="",V1389=""),U1389,U1389*V1389)</f>
        <v/>
      </c>
      <c r="X1389" s="18" t="inlineStr">
        <is>
          <t>50-60</t>
        </is>
      </c>
      <c r="Y1389" s="19" t="inlineStr"/>
      <c r="Z1389" s="18">
        <f>IF(Y1389="",X1389,Y1389)</f>
        <v/>
      </c>
      <c r="AA1389" s="18" t="inlineStr">
        <is>
          <t>grounded</t>
        </is>
      </c>
      <c r="AB1389" s="18" t="inlineStr"/>
      <c r="AC1389" s="18" t="inlineStr"/>
      <c r="AD1389" s="18" t="inlineStr"/>
      <c r="AE1389" s="18" t="inlineStr">
        <is>
          <t>sky 0-7</t>
        </is>
      </c>
      <c r="AF1389" s="18" t="inlineStr"/>
      <c r="AG1389" s="18" t="inlineStr"/>
      <c r="AH1389" s="18" t="inlineStr"/>
      <c r="AI1389" s="18" t="inlineStr"/>
      <c r="AJ1389" s="18" t="inlineStr">
        <is>
          <t>Cobblemon 동일</t>
        </is>
      </c>
      <c r="AK1389" s="18" t="inlineStr">
        <is>
          <t>사용</t>
        </is>
      </c>
      <c r="AL1389" s="18" t="inlineStr">
        <is>
          <t>COBBLEVERSE 1.7.42 / DP v31</t>
        </is>
      </c>
      <c r="AM1389" s="18" t="inlineStr">
        <is>
          <t>data/cobblemon/spawn_pool_world/0373_salamence.json</t>
        </is>
      </c>
      <c r="AN1389" s="18" t="inlineStr">
        <is>
          <t>salamence-3</t>
        </is>
      </c>
      <c r="AO1389" s="18" t="inlineStr">
        <is>
          <t>pokemon</t>
        </is>
      </c>
      <c r="AP1389" s="18" t="inlineStr">
        <is>
          <t>natural</t>
        </is>
      </c>
      <c r="AQ1389" s="18" t="inlineStr">
        <is>
          <t>{"biomes":["#aether:is_aether","#cobblemon:is_dripstone"],"maxSkyLight":7,"minSkyLight":0}</t>
        </is>
      </c>
      <c r="AR1389" s="18" t="inlineStr"/>
      <c r="AS1389" s="18" t="inlineStr"/>
      <c r="AT1389" s="19" t="inlineStr"/>
    </row>
    <row r="1390" ht="32" customHeight="1">
      <c r="A1390" s="18" t="inlineStr">
        <is>
          <t>0374_beldum.json::beldum-1::001</t>
        </is>
      </c>
      <c r="B1390" s="19" t="inlineStr">
        <is>
          <t>사용</t>
        </is>
      </c>
      <c r="C1390" s="18">
        <f>IF(OR(B1390&lt;&gt;AK1390,M1390&lt;&gt;L1390,O1390&lt;&gt;"",Q1390&lt;&gt;"",V1390&lt;&gt;1,Y1390&lt;&gt;"",AT1390&lt;&gt;""),"수정","원본")</f>
        <v/>
      </c>
      <c r="D1390" s="18" t="n">
        <v>374</v>
      </c>
      <c r="E1390" s="18" t="inlineStr">
        <is>
          <t>메탕</t>
        </is>
      </c>
      <c r="F1390" s="18" t="inlineStr">
        <is>
          <t>beldum</t>
        </is>
      </c>
      <c r="G1390" s="18" t="inlineStr">
        <is>
          <t>beldum</t>
        </is>
      </c>
      <c r="H1390" s="18" t="inlineStr"/>
      <c r="I1390" s="18" t="n">
        <v>3</v>
      </c>
      <c r="J1390" s="18" t="n"/>
      <c r="K1390" s="18" t="n">
        <v>3</v>
      </c>
      <c r="L1390" s="18" t="inlineStr">
        <is>
          <t>cobbleventure:generation_3</t>
        </is>
      </c>
      <c r="M1390" s="19" t="inlineStr">
        <is>
          <t>cobbleventure:generation_3</t>
        </is>
      </c>
      <c r="N1390" s="18" t="inlineStr"/>
      <c r="O1390" s="19" t="inlineStr"/>
      <c r="P1390" s="18" t="inlineStr">
        <is>
          <t>#cobblemon:is_dripstone; #cobblemon:is_peak</t>
        </is>
      </c>
      <c r="Q1390" s="19" t="inlineStr"/>
      <c r="R1390" s="18">
        <f>IF(Q1390="",P1390,Q1390)</f>
        <v/>
      </c>
      <c r="S1390" s="18" t="inlineStr"/>
      <c r="T1390" s="18" t="inlineStr">
        <is>
          <t>ultra-rare</t>
        </is>
      </c>
      <c r="U1390" s="20" t="n">
        <v>6</v>
      </c>
      <c r="V1390" s="21" t="n">
        <v>1</v>
      </c>
      <c r="W1390" s="20">
        <f>IF(OR(U1390="",V1390=""),U1390,U1390*V1390)</f>
        <v/>
      </c>
      <c r="X1390" s="18" t="inlineStr">
        <is>
          <t>5-30</t>
        </is>
      </c>
      <c r="Y1390" s="19" t="inlineStr"/>
      <c r="Z1390" s="18">
        <f>IF(Y1390="",X1390,Y1390)</f>
        <v/>
      </c>
      <c r="AA1390" s="18" t="inlineStr">
        <is>
          <t>grounded</t>
        </is>
      </c>
      <c r="AB1390" s="18" t="inlineStr"/>
      <c r="AC1390" s="18" t="inlineStr"/>
      <c r="AD1390" s="18" t="inlineStr"/>
      <c r="AE1390" s="18" t="inlineStr"/>
      <c r="AF1390" s="18" t="inlineStr"/>
      <c r="AG1390" s="18" t="inlineStr"/>
      <c r="AH1390" s="18" t="inlineStr"/>
      <c r="AI1390" s="18" t="inlineStr"/>
      <c r="AJ1390" s="18" t="inlineStr">
        <is>
          <t>Cobblemon 동일</t>
        </is>
      </c>
      <c r="AK1390" s="18" t="inlineStr">
        <is>
          <t>사용</t>
        </is>
      </c>
      <c r="AL1390" s="18" t="inlineStr">
        <is>
          <t>COBBLEVERSE 1.7.42 / DP v31</t>
        </is>
      </c>
      <c r="AM1390" s="18" t="inlineStr">
        <is>
          <t>data/cobblemon/spawn_pool_world/0374_beldum.json</t>
        </is>
      </c>
      <c r="AN1390" s="18" t="inlineStr">
        <is>
          <t>beldum-1</t>
        </is>
      </c>
      <c r="AO1390" s="18" t="inlineStr">
        <is>
          <t>pokemon</t>
        </is>
      </c>
      <c r="AP1390" s="18" t="inlineStr">
        <is>
          <t>natural</t>
        </is>
      </c>
      <c r="AQ1390" s="18" t="inlineStr">
        <is>
          <t>{"biomes":["#cobblemon:is_dripstone","#cobblemon:is_peak"]}</t>
        </is>
      </c>
      <c r="AR1390" s="18" t="inlineStr"/>
      <c r="AS1390" s="18" t="inlineStr"/>
      <c r="AT1390" s="19" t="inlineStr"/>
    </row>
    <row r="1391" ht="32" customHeight="1">
      <c r="A1391" s="18" t="inlineStr">
        <is>
          <t>0374_beldum.json::beldum-2::002</t>
        </is>
      </c>
      <c r="B1391" s="19" t="inlineStr">
        <is>
          <t>사용</t>
        </is>
      </c>
      <c r="C1391" s="18">
        <f>IF(OR(B1391&lt;&gt;AK1391,M1391&lt;&gt;L1391,O1391&lt;&gt;"",Q1391&lt;&gt;"",V1391&lt;&gt;1,Y1391&lt;&gt;"",AT1391&lt;&gt;""),"수정","원본")</f>
        <v/>
      </c>
      <c r="D1391" s="18" t="n">
        <v>374</v>
      </c>
      <c r="E1391" s="18" t="inlineStr">
        <is>
          <t>메탕</t>
        </is>
      </c>
      <c r="F1391" s="18" t="inlineStr">
        <is>
          <t>beldum</t>
        </is>
      </c>
      <c r="G1391" s="18" t="inlineStr">
        <is>
          <t>beldum</t>
        </is>
      </c>
      <c r="H1391" s="18" t="inlineStr"/>
      <c r="I1391" s="18" t="n">
        <v>3</v>
      </c>
      <c r="J1391" s="18" t="n"/>
      <c r="K1391" s="18" t="n">
        <v>3</v>
      </c>
      <c r="L1391" s="18" t="inlineStr">
        <is>
          <t>cobbleventure:generation_3</t>
        </is>
      </c>
      <c r="M1391" s="19" t="inlineStr">
        <is>
          <t>cobbleventure:generation_3</t>
        </is>
      </c>
      <c r="N1391" s="18" t="inlineStr"/>
      <c r="O1391" s="19" t="inlineStr"/>
      <c r="P1391" s="18" t="inlineStr">
        <is>
          <t>#cobblemon:is_end</t>
        </is>
      </c>
      <c r="Q1391" s="19" t="inlineStr"/>
      <c r="R1391" s="18">
        <f>IF(Q1391="",P1391,Q1391)</f>
        <v/>
      </c>
      <c r="S1391" s="18" t="inlineStr"/>
      <c r="T1391" s="18" t="inlineStr">
        <is>
          <t>rare</t>
        </is>
      </c>
      <c r="U1391" s="20" t="n">
        <v>7.5</v>
      </c>
      <c r="V1391" s="21" t="n">
        <v>1</v>
      </c>
      <c r="W1391" s="20">
        <f>IF(OR(U1391="",V1391=""),U1391,U1391*V1391)</f>
        <v/>
      </c>
      <c r="X1391" s="18" t="inlineStr">
        <is>
          <t>5-30</t>
        </is>
      </c>
      <c r="Y1391" s="19" t="inlineStr"/>
      <c r="Z1391" s="18">
        <f>IF(Y1391="",X1391,Y1391)</f>
        <v/>
      </c>
      <c r="AA1391" s="18" t="inlineStr">
        <is>
          <t>grounded</t>
        </is>
      </c>
      <c r="AB1391" s="18" t="inlineStr"/>
      <c r="AC1391" s="18" t="inlineStr"/>
      <c r="AD1391" s="18" t="inlineStr"/>
      <c r="AE1391" s="18" t="inlineStr"/>
      <c r="AF1391" s="18" t="inlineStr"/>
      <c r="AG1391" s="18" t="inlineStr"/>
      <c r="AH1391" s="18" t="inlineStr"/>
      <c r="AI1391" s="18" t="inlineStr"/>
      <c r="AJ1391" s="18" t="inlineStr">
        <is>
          <t>Cobblemon 동일</t>
        </is>
      </c>
      <c r="AK1391" s="18" t="inlineStr">
        <is>
          <t>사용</t>
        </is>
      </c>
      <c r="AL1391" s="18" t="inlineStr">
        <is>
          <t>COBBLEVERSE 1.7.42 / DP v31</t>
        </is>
      </c>
      <c r="AM1391" s="18" t="inlineStr">
        <is>
          <t>data/cobblemon/spawn_pool_world/0374_beldum.json</t>
        </is>
      </c>
      <c r="AN1391" s="18" t="inlineStr">
        <is>
          <t>beldum-2</t>
        </is>
      </c>
      <c r="AO1391" s="18" t="inlineStr">
        <is>
          <t>pokemon</t>
        </is>
      </c>
      <c r="AP1391" s="18" t="inlineStr">
        <is>
          <t>natural</t>
        </is>
      </c>
      <c r="AQ1391" s="18" t="inlineStr">
        <is>
          <t>{"biomes":["#cobblemon:is_end"]}</t>
        </is>
      </c>
      <c r="AR1391" s="18" t="inlineStr"/>
      <c r="AS1391" s="18" t="inlineStr"/>
      <c r="AT1391" s="19" t="inlineStr"/>
    </row>
    <row r="1392" ht="32" customHeight="1">
      <c r="A1392" s="18" t="inlineStr">
        <is>
          <t>0374_beldum.json::beldum-3::003</t>
        </is>
      </c>
      <c r="B1392" s="19" t="inlineStr">
        <is>
          <t>사용</t>
        </is>
      </c>
      <c r="C1392" s="18">
        <f>IF(OR(B1392&lt;&gt;AK1392,M1392&lt;&gt;L1392,O1392&lt;&gt;"",Q1392&lt;&gt;"",V1392&lt;&gt;1,Y1392&lt;&gt;"",AT1392&lt;&gt;""),"수정","원본")</f>
        <v/>
      </c>
      <c r="D1392" s="18" t="n">
        <v>374</v>
      </c>
      <c r="E1392" s="18" t="inlineStr">
        <is>
          <t>메탕</t>
        </is>
      </c>
      <c r="F1392" s="18" t="inlineStr">
        <is>
          <t>beldum</t>
        </is>
      </c>
      <c r="G1392" s="18" t="inlineStr">
        <is>
          <t>beldum</t>
        </is>
      </c>
      <c r="H1392" s="18" t="inlineStr"/>
      <c r="I1392" s="18" t="n">
        <v>3</v>
      </c>
      <c r="J1392" s="18" t="n"/>
      <c r="K1392" s="18" t="n">
        <v>3</v>
      </c>
      <c r="L1392" s="18" t="inlineStr">
        <is>
          <t>cobbleventure:generation_3</t>
        </is>
      </c>
      <c r="M1392" s="19" t="inlineStr">
        <is>
          <t>cobbleventure:generation_3</t>
        </is>
      </c>
      <c r="N1392" s="18" t="inlineStr"/>
      <c r="O1392" s="19" t="inlineStr"/>
      <c r="P1392" s="18" t="inlineStr">
        <is>
          <t>#aether:is_aether</t>
        </is>
      </c>
      <c r="Q1392" s="19" t="inlineStr"/>
      <c r="R1392" s="18">
        <f>IF(Q1392="",P1392,Q1392)</f>
        <v/>
      </c>
      <c r="S1392" s="18" t="inlineStr"/>
      <c r="T1392" s="18" t="inlineStr">
        <is>
          <t>rare</t>
        </is>
      </c>
      <c r="U1392" s="20" t="n">
        <v>7.5</v>
      </c>
      <c r="V1392" s="21" t="n">
        <v>1</v>
      </c>
      <c r="W1392" s="20">
        <f>IF(OR(U1392="",V1392=""),U1392,U1392*V1392)</f>
        <v/>
      </c>
      <c r="X1392" s="18" t="inlineStr">
        <is>
          <t>5-30</t>
        </is>
      </c>
      <c r="Y1392" s="19" t="inlineStr"/>
      <c r="Z1392" s="18">
        <f>IF(Y1392="",X1392,Y1392)</f>
        <v/>
      </c>
      <c r="AA1392" s="18" t="inlineStr">
        <is>
          <t>grounded</t>
        </is>
      </c>
      <c r="AB1392" s="18" t="inlineStr"/>
      <c r="AC1392" s="18" t="inlineStr"/>
      <c r="AD1392" s="18" t="inlineStr"/>
      <c r="AE1392" s="18" t="inlineStr">
        <is>
          <t>sky 0-7</t>
        </is>
      </c>
      <c r="AF1392" s="18" t="inlineStr"/>
      <c r="AG1392" s="18" t="inlineStr"/>
      <c r="AH1392" s="18" t="inlineStr"/>
      <c r="AI1392" s="18" t="inlineStr"/>
      <c r="AJ1392" s="18" t="inlineStr">
        <is>
          <t>Cobblemon 동일</t>
        </is>
      </c>
      <c r="AK1392" s="18" t="inlineStr">
        <is>
          <t>사용</t>
        </is>
      </c>
      <c r="AL1392" s="18" t="inlineStr">
        <is>
          <t>COBBLEVERSE 1.7.42 / DP v31</t>
        </is>
      </c>
      <c r="AM1392" s="18" t="inlineStr">
        <is>
          <t>data/cobblemon/spawn_pool_world/0374_beldum.json</t>
        </is>
      </c>
      <c r="AN1392" s="18" t="inlineStr">
        <is>
          <t>beldum-3</t>
        </is>
      </c>
      <c r="AO1392" s="18" t="inlineStr">
        <is>
          <t>pokemon</t>
        </is>
      </c>
      <c r="AP1392" s="18" t="inlineStr">
        <is>
          <t>natural</t>
        </is>
      </c>
      <c r="AQ1392" s="18" t="inlineStr">
        <is>
          <t>{"biomes":["#aether:is_aether"],"maxSkyLight":7,"minSkyLight":0}</t>
        </is>
      </c>
      <c r="AR1392" s="18" t="inlineStr"/>
      <c r="AS1392" s="18" t="inlineStr"/>
      <c r="AT1392" s="19" t="inlineStr"/>
    </row>
    <row r="1393" ht="32" customHeight="1">
      <c r="A1393" s="18" t="inlineStr">
        <is>
          <t>0374_beldum.json::beldum-4::004</t>
        </is>
      </c>
      <c r="B1393" s="19" t="inlineStr">
        <is>
          <t>사용</t>
        </is>
      </c>
      <c r="C1393" s="18">
        <f>IF(OR(B1393&lt;&gt;AK1393,M1393&lt;&gt;L1393,O1393&lt;&gt;"",Q1393&lt;&gt;"",V1393&lt;&gt;1,Y1393&lt;&gt;"",AT1393&lt;&gt;""),"수정","원본")</f>
        <v/>
      </c>
      <c r="D1393" s="18" t="n">
        <v>374</v>
      </c>
      <c r="E1393" s="18" t="inlineStr">
        <is>
          <t>메탕</t>
        </is>
      </c>
      <c r="F1393" s="18" t="inlineStr">
        <is>
          <t>beldum</t>
        </is>
      </c>
      <c r="G1393" s="18" t="inlineStr">
        <is>
          <t>beldum</t>
        </is>
      </c>
      <c r="H1393" s="18" t="inlineStr"/>
      <c r="I1393" s="18" t="n">
        <v>3</v>
      </c>
      <c r="J1393" s="18" t="n"/>
      <c r="K1393" s="18" t="n">
        <v>3</v>
      </c>
      <c r="L1393" s="18" t="inlineStr">
        <is>
          <t>cobbleventure:generation_3</t>
        </is>
      </c>
      <c r="M1393" s="19" t="inlineStr">
        <is>
          <t>cobbleventure:generation_3</t>
        </is>
      </c>
      <c r="N1393" s="18" t="inlineStr"/>
      <c r="O1393" s="19" t="inlineStr"/>
      <c r="P1393" s="18" t="inlineStr">
        <is>
          <t>#aether:is_aether</t>
        </is>
      </c>
      <c r="Q1393" s="19" t="inlineStr"/>
      <c r="R1393" s="18">
        <f>IF(Q1393="",P1393,Q1393)</f>
        <v/>
      </c>
      <c r="S1393" s="18" t="inlineStr"/>
      <c r="T1393" s="18" t="inlineStr">
        <is>
          <t>uncommon</t>
        </is>
      </c>
      <c r="U1393" s="20" t="n">
        <v>1.68</v>
      </c>
      <c r="V1393" s="21" t="n">
        <v>1</v>
      </c>
      <c r="W1393" s="20">
        <f>IF(OR(U1393="",V1393=""),U1393,U1393*V1393)</f>
        <v/>
      </c>
      <c r="X1393" s="18" t="inlineStr">
        <is>
          <t>5-30</t>
        </is>
      </c>
      <c r="Y1393" s="19" t="inlineStr"/>
      <c r="Z1393" s="18">
        <f>IF(Y1393="",X1393,Y1393)</f>
        <v/>
      </c>
      <c r="AA1393" s="18" t="inlineStr">
        <is>
          <t>grounded</t>
        </is>
      </c>
      <c r="AB1393" s="18" t="inlineStr"/>
      <c r="AC1393" s="18" t="inlineStr"/>
      <c r="AD1393" s="18" t="inlineStr"/>
      <c r="AE1393" s="18" t="inlineStr">
        <is>
          <t>sky 0-7</t>
        </is>
      </c>
      <c r="AF1393" s="18" t="inlineStr"/>
      <c r="AG1393" s="18" t="inlineStr">
        <is>
          <t>#aether:dungeons</t>
        </is>
      </c>
      <c r="AH1393" s="18" t="inlineStr"/>
      <c r="AI1393" s="18" t="inlineStr"/>
      <c r="AJ1393" s="18" t="inlineStr">
        <is>
          <t>Cobblemon 동일</t>
        </is>
      </c>
      <c r="AK1393" s="18" t="inlineStr">
        <is>
          <t>사용</t>
        </is>
      </c>
      <c r="AL1393" s="18" t="inlineStr">
        <is>
          <t>COBBLEVERSE 1.7.42 / DP v31</t>
        </is>
      </c>
      <c r="AM1393" s="18" t="inlineStr">
        <is>
          <t>data/cobblemon/spawn_pool_world/0374_beldum.json</t>
        </is>
      </c>
      <c r="AN1393" s="18" t="inlineStr">
        <is>
          <t>beldum-4</t>
        </is>
      </c>
      <c r="AO1393" s="18" t="inlineStr">
        <is>
          <t>pokemon</t>
        </is>
      </c>
      <c r="AP1393" s="18" t="inlineStr"/>
      <c r="AQ1393" s="18" t="inlineStr">
        <is>
          <t>{"biomes":["#aether:is_aether"],"maxSkyLight":7,"minSkyLight":0,"structures":["#aether:dungeons"]}</t>
        </is>
      </c>
      <c r="AR1393" s="18" t="inlineStr"/>
      <c r="AS1393" s="18" t="inlineStr"/>
      <c r="AT1393" s="19" t="inlineStr"/>
    </row>
    <row r="1394" ht="32" customHeight="1">
      <c r="A1394" s="18" t="inlineStr">
        <is>
          <t>0374_beldum.json::beldum-5::005</t>
        </is>
      </c>
      <c r="B1394" s="19" t="inlineStr">
        <is>
          <t>사용</t>
        </is>
      </c>
      <c r="C1394" s="18">
        <f>IF(OR(B1394&lt;&gt;AK1394,M1394&lt;&gt;L1394,O1394&lt;&gt;"",Q1394&lt;&gt;"",V1394&lt;&gt;1,Y1394&lt;&gt;"",AT1394&lt;&gt;""),"수정","원본")</f>
        <v/>
      </c>
      <c r="D1394" s="18" t="n">
        <v>374</v>
      </c>
      <c r="E1394" s="18" t="inlineStr">
        <is>
          <t>메탕</t>
        </is>
      </c>
      <c r="F1394" s="18" t="inlineStr">
        <is>
          <t>beldum</t>
        </is>
      </c>
      <c r="G1394" s="18" t="inlineStr">
        <is>
          <t>beldum</t>
        </is>
      </c>
      <c r="H1394" s="18" t="inlineStr"/>
      <c r="I1394" s="18" t="n">
        <v>3</v>
      </c>
      <c r="J1394" s="18" t="n"/>
      <c r="K1394" s="18" t="n">
        <v>3</v>
      </c>
      <c r="L1394" s="18" t="inlineStr">
        <is>
          <t>cobbleventure:generation_3</t>
        </is>
      </c>
      <c r="M1394" s="19" t="inlineStr">
        <is>
          <t>cobbleventure:generation_3</t>
        </is>
      </c>
      <c r="N1394" s="18" t="inlineStr"/>
      <c r="O1394" s="19" t="inlineStr"/>
      <c r="P1394" s="18" t="inlineStr">
        <is>
          <t>the_bumblezone:howling_constructs</t>
        </is>
      </c>
      <c r="Q1394" s="19" t="inlineStr"/>
      <c r="R1394" s="18">
        <f>IF(Q1394="",P1394,Q1394)</f>
        <v/>
      </c>
      <c r="S1394" s="18" t="inlineStr"/>
      <c r="T1394" s="18" t="inlineStr">
        <is>
          <t>rare</t>
        </is>
      </c>
      <c r="U1394" s="20" t="n">
        <v>7.5</v>
      </c>
      <c r="V1394" s="21" t="n">
        <v>1</v>
      </c>
      <c r="W1394" s="20">
        <f>IF(OR(U1394="",V1394=""),U1394,U1394*V1394)</f>
        <v/>
      </c>
      <c r="X1394" s="18" t="inlineStr">
        <is>
          <t>5-30</t>
        </is>
      </c>
      <c r="Y1394" s="19" t="inlineStr"/>
      <c r="Z1394" s="18">
        <f>IF(Y1394="",X1394,Y1394)</f>
        <v/>
      </c>
      <c r="AA1394" s="18" t="inlineStr">
        <is>
          <t>grounded</t>
        </is>
      </c>
      <c r="AB1394" s="18" t="inlineStr"/>
      <c r="AC1394" s="18" t="inlineStr"/>
      <c r="AD1394" s="18" t="inlineStr"/>
      <c r="AE1394" s="18" t="inlineStr"/>
      <c r="AF1394" s="18" t="inlineStr"/>
      <c r="AG1394" s="18" t="inlineStr"/>
      <c r="AH1394" s="18" t="inlineStr"/>
      <c r="AI1394" s="18" t="inlineStr"/>
      <c r="AJ1394" s="18" t="inlineStr">
        <is>
          <t>Cobblemon 동일</t>
        </is>
      </c>
      <c r="AK1394" s="18" t="inlineStr">
        <is>
          <t>사용</t>
        </is>
      </c>
      <c r="AL1394" s="18" t="inlineStr">
        <is>
          <t>COBBLEVERSE 1.7.42 / DP v31</t>
        </is>
      </c>
      <c r="AM1394" s="18" t="inlineStr">
        <is>
          <t>data/cobblemon/spawn_pool_world/0374_beldum.json</t>
        </is>
      </c>
      <c r="AN1394" s="18" t="inlineStr">
        <is>
          <t>beldum-5</t>
        </is>
      </c>
      <c r="AO1394" s="18" t="inlineStr">
        <is>
          <t>pokemon</t>
        </is>
      </c>
      <c r="AP1394" s="18" t="inlineStr"/>
      <c r="AQ1394" s="18" t="inlineStr">
        <is>
          <t>{"biomes":["the_bumblezone:howling_constructs"]}</t>
        </is>
      </c>
      <c r="AR1394" s="18" t="inlineStr">
        <is>
          <t>{"structures":["#the_bumblezone:sempiternal_sanctums"]}</t>
        </is>
      </c>
      <c r="AS1394" s="18" t="inlineStr"/>
      <c r="AT1394" s="19" t="inlineStr"/>
    </row>
    <row r="1395" ht="32" customHeight="1">
      <c r="A1395" s="18" t="inlineStr">
        <is>
          <t>0375_metang.json::metang-1::001</t>
        </is>
      </c>
      <c r="B1395" s="19" t="inlineStr">
        <is>
          <t>사용</t>
        </is>
      </c>
      <c r="C1395" s="18">
        <f>IF(OR(B1395&lt;&gt;AK1395,M1395&lt;&gt;L1395,O1395&lt;&gt;"",Q1395&lt;&gt;"",V1395&lt;&gt;1,Y1395&lt;&gt;"",AT1395&lt;&gt;""),"수정","원본")</f>
        <v/>
      </c>
      <c r="D1395" s="18" t="n">
        <v>375</v>
      </c>
      <c r="E1395" s="18" t="inlineStr">
        <is>
          <t>메탕구</t>
        </is>
      </c>
      <c r="F1395" s="18" t="inlineStr">
        <is>
          <t>metang</t>
        </is>
      </c>
      <c r="G1395" s="18" t="inlineStr">
        <is>
          <t>metang</t>
        </is>
      </c>
      <c r="H1395" s="18" t="inlineStr"/>
      <c r="I1395" s="18" t="n">
        <v>3</v>
      </c>
      <c r="J1395" s="18" t="n"/>
      <c r="K1395" s="18" t="n">
        <v>3</v>
      </c>
      <c r="L1395" s="18" t="inlineStr">
        <is>
          <t>cobbleventure:generation_3</t>
        </is>
      </c>
      <c r="M1395" s="19" t="inlineStr">
        <is>
          <t>cobbleventure:generation_3</t>
        </is>
      </c>
      <c r="N1395" s="18" t="inlineStr"/>
      <c r="O1395" s="19" t="inlineStr"/>
      <c r="P1395" s="18" t="inlineStr">
        <is>
          <t>#cobblemon:is_dripstone; #cobblemon:is_peak</t>
        </is>
      </c>
      <c r="Q1395" s="19" t="inlineStr"/>
      <c r="R1395" s="18">
        <f>IF(Q1395="",P1395,Q1395)</f>
        <v/>
      </c>
      <c r="S1395" s="18" t="inlineStr"/>
      <c r="T1395" s="18" t="inlineStr">
        <is>
          <t>ultra-rare</t>
        </is>
      </c>
      <c r="U1395" s="20" t="n">
        <v>3.6</v>
      </c>
      <c r="V1395" s="21" t="n">
        <v>1</v>
      </c>
      <c r="W1395" s="20">
        <f>IF(OR(U1395="",V1395=""),U1395,U1395*V1395)</f>
        <v/>
      </c>
      <c r="X1395" s="18" t="inlineStr">
        <is>
          <t>20-44</t>
        </is>
      </c>
      <c r="Y1395" s="19" t="inlineStr"/>
      <c r="Z1395" s="18">
        <f>IF(Y1395="",X1395,Y1395)</f>
        <v/>
      </c>
      <c r="AA1395" s="18" t="inlineStr">
        <is>
          <t>grounded</t>
        </is>
      </c>
      <c r="AB1395" s="18" t="inlineStr"/>
      <c r="AC1395" s="18" t="inlineStr"/>
      <c r="AD1395" s="18" t="inlineStr"/>
      <c r="AE1395" s="18" t="inlineStr"/>
      <c r="AF1395" s="18" t="inlineStr"/>
      <c r="AG1395" s="18" t="inlineStr"/>
      <c r="AH1395" s="18" t="inlineStr"/>
      <c r="AI1395" s="18" t="inlineStr"/>
      <c r="AJ1395" s="18" t="inlineStr">
        <is>
          <t>Cobblemon 동일</t>
        </is>
      </c>
      <c r="AK1395" s="18" t="inlineStr">
        <is>
          <t>사용</t>
        </is>
      </c>
      <c r="AL1395" s="18" t="inlineStr">
        <is>
          <t>COBBLEVERSE 1.7.42 / DP v31</t>
        </is>
      </c>
      <c r="AM1395" s="18" t="inlineStr">
        <is>
          <t>data/cobblemon/spawn_pool_world/0375_metang.json</t>
        </is>
      </c>
      <c r="AN1395" s="18" t="inlineStr">
        <is>
          <t>metang-1</t>
        </is>
      </c>
      <c r="AO1395" s="18" t="inlineStr">
        <is>
          <t>pokemon</t>
        </is>
      </c>
      <c r="AP1395" s="18" t="inlineStr">
        <is>
          <t>natural</t>
        </is>
      </c>
      <c r="AQ1395" s="18" t="inlineStr">
        <is>
          <t>{"biomes":["#cobblemon:is_dripstone","#cobblemon:is_peak"]}</t>
        </is>
      </c>
      <c r="AR1395" s="18" t="inlineStr"/>
      <c r="AS1395" s="18" t="inlineStr"/>
      <c r="AT1395" s="19" t="inlineStr"/>
    </row>
    <row r="1396" ht="32" customHeight="1">
      <c r="A1396" s="18" t="inlineStr">
        <is>
          <t>0375_metang.json::metang-2::002</t>
        </is>
      </c>
      <c r="B1396" s="19" t="inlineStr">
        <is>
          <t>사용</t>
        </is>
      </c>
      <c r="C1396" s="18">
        <f>IF(OR(B1396&lt;&gt;AK1396,M1396&lt;&gt;L1396,O1396&lt;&gt;"",Q1396&lt;&gt;"",V1396&lt;&gt;1,Y1396&lt;&gt;"",AT1396&lt;&gt;""),"수정","원본")</f>
        <v/>
      </c>
      <c r="D1396" s="18" t="n">
        <v>375</v>
      </c>
      <c r="E1396" s="18" t="inlineStr">
        <is>
          <t>메탕구</t>
        </is>
      </c>
      <c r="F1396" s="18" t="inlineStr">
        <is>
          <t>metang</t>
        </is>
      </c>
      <c r="G1396" s="18" t="inlineStr">
        <is>
          <t>metang</t>
        </is>
      </c>
      <c r="H1396" s="18" t="inlineStr"/>
      <c r="I1396" s="18" t="n">
        <v>3</v>
      </c>
      <c r="J1396" s="18" t="n"/>
      <c r="K1396" s="18" t="n">
        <v>3</v>
      </c>
      <c r="L1396" s="18" t="inlineStr">
        <is>
          <t>cobbleventure:generation_3</t>
        </is>
      </c>
      <c r="M1396" s="19" t="inlineStr">
        <is>
          <t>cobbleventure:generation_3</t>
        </is>
      </c>
      <c r="N1396" s="18" t="inlineStr"/>
      <c r="O1396" s="19" t="inlineStr"/>
      <c r="P1396" s="18" t="inlineStr">
        <is>
          <t>#cobblemon:is_end</t>
        </is>
      </c>
      <c r="Q1396" s="19" t="inlineStr"/>
      <c r="R1396" s="18">
        <f>IF(Q1396="",P1396,Q1396)</f>
        <v/>
      </c>
      <c r="S1396" s="18" t="inlineStr"/>
      <c r="T1396" s="18" t="inlineStr">
        <is>
          <t>rare</t>
        </is>
      </c>
      <c r="U1396" s="20" t="n">
        <v>2.25</v>
      </c>
      <c r="V1396" s="21" t="n">
        <v>1</v>
      </c>
      <c r="W1396" s="20">
        <f>IF(OR(U1396="",V1396=""),U1396,U1396*V1396)</f>
        <v/>
      </c>
      <c r="X1396" s="18" t="inlineStr">
        <is>
          <t>20-44</t>
        </is>
      </c>
      <c r="Y1396" s="19" t="inlineStr"/>
      <c r="Z1396" s="18">
        <f>IF(Y1396="",X1396,Y1396)</f>
        <v/>
      </c>
      <c r="AA1396" s="18" t="inlineStr">
        <is>
          <t>grounded</t>
        </is>
      </c>
      <c r="AB1396" s="18" t="inlineStr"/>
      <c r="AC1396" s="18" t="inlineStr"/>
      <c r="AD1396" s="18" t="inlineStr"/>
      <c r="AE1396" s="18" t="inlineStr"/>
      <c r="AF1396" s="18" t="inlineStr"/>
      <c r="AG1396" s="18" t="inlineStr"/>
      <c r="AH1396" s="18" t="inlineStr"/>
      <c r="AI1396" s="18" t="inlineStr"/>
      <c r="AJ1396" s="18" t="inlineStr">
        <is>
          <t>Cobblemon 동일</t>
        </is>
      </c>
      <c r="AK1396" s="18" t="inlineStr">
        <is>
          <t>사용</t>
        </is>
      </c>
      <c r="AL1396" s="18" t="inlineStr">
        <is>
          <t>COBBLEVERSE 1.7.42 / DP v31</t>
        </is>
      </c>
      <c r="AM1396" s="18" t="inlineStr">
        <is>
          <t>data/cobblemon/spawn_pool_world/0375_metang.json</t>
        </is>
      </c>
      <c r="AN1396" s="18" t="inlineStr">
        <is>
          <t>metang-2</t>
        </is>
      </c>
      <c r="AO1396" s="18" t="inlineStr">
        <is>
          <t>pokemon</t>
        </is>
      </c>
      <c r="AP1396" s="18" t="inlineStr">
        <is>
          <t>natural</t>
        </is>
      </c>
      <c r="AQ1396" s="18" t="inlineStr">
        <is>
          <t>{"biomes":["#cobblemon:is_end"]}</t>
        </is>
      </c>
      <c r="AR1396" s="18" t="inlineStr"/>
      <c r="AS1396" s="18" t="inlineStr"/>
      <c r="AT1396" s="19" t="inlineStr"/>
    </row>
    <row r="1397" ht="32" customHeight="1">
      <c r="A1397" s="18" t="inlineStr">
        <is>
          <t>0375_metang.json::metang-3::003</t>
        </is>
      </c>
      <c r="B1397" s="19" t="inlineStr">
        <is>
          <t>사용</t>
        </is>
      </c>
      <c r="C1397" s="18">
        <f>IF(OR(B1397&lt;&gt;AK1397,M1397&lt;&gt;L1397,O1397&lt;&gt;"",Q1397&lt;&gt;"",V1397&lt;&gt;1,Y1397&lt;&gt;"",AT1397&lt;&gt;""),"수정","원본")</f>
        <v/>
      </c>
      <c r="D1397" s="18" t="n">
        <v>375</v>
      </c>
      <c r="E1397" s="18" t="inlineStr">
        <is>
          <t>메탕구</t>
        </is>
      </c>
      <c r="F1397" s="18" t="inlineStr">
        <is>
          <t>metang</t>
        </is>
      </c>
      <c r="G1397" s="18" t="inlineStr">
        <is>
          <t>metang</t>
        </is>
      </c>
      <c r="H1397" s="18" t="inlineStr"/>
      <c r="I1397" s="18" t="n">
        <v>3</v>
      </c>
      <c r="J1397" s="18" t="n"/>
      <c r="K1397" s="18" t="n">
        <v>3</v>
      </c>
      <c r="L1397" s="18" t="inlineStr">
        <is>
          <t>cobbleventure:generation_3</t>
        </is>
      </c>
      <c r="M1397" s="19" t="inlineStr">
        <is>
          <t>cobbleventure:generation_3</t>
        </is>
      </c>
      <c r="N1397" s="18" t="inlineStr"/>
      <c r="O1397" s="19" t="inlineStr"/>
      <c r="P1397" s="18" t="inlineStr">
        <is>
          <t>#aether:is_aether</t>
        </is>
      </c>
      <c r="Q1397" s="19" t="inlineStr"/>
      <c r="R1397" s="18">
        <f>IF(Q1397="",P1397,Q1397)</f>
        <v/>
      </c>
      <c r="S1397" s="18" t="inlineStr"/>
      <c r="T1397" s="18" t="inlineStr">
        <is>
          <t>rare</t>
        </is>
      </c>
      <c r="U1397" s="20" t="n">
        <v>2.25</v>
      </c>
      <c r="V1397" s="21" t="n">
        <v>1</v>
      </c>
      <c r="W1397" s="20">
        <f>IF(OR(U1397="",V1397=""),U1397,U1397*V1397)</f>
        <v/>
      </c>
      <c r="X1397" s="18" t="inlineStr">
        <is>
          <t>20-44</t>
        </is>
      </c>
      <c r="Y1397" s="19" t="inlineStr"/>
      <c r="Z1397" s="18">
        <f>IF(Y1397="",X1397,Y1397)</f>
        <v/>
      </c>
      <c r="AA1397" s="18" t="inlineStr">
        <is>
          <t>grounded</t>
        </is>
      </c>
      <c r="AB1397" s="18" t="inlineStr"/>
      <c r="AC1397" s="18" t="inlineStr"/>
      <c r="AD1397" s="18" t="inlineStr"/>
      <c r="AE1397" s="18" t="inlineStr">
        <is>
          <t>sky 0-7</t>
        </is>
      </c>
      <c r="AF1397" s="18" t="inlineStr"/>
      <c r="AG1397" s="18" t="inlineStr"/>
      <c r="AH1397" s="18" t="inlineStr"/>
      <c r="AI1397" s="18" t="inlineStr"/>
      <c r="AJ1397" s="18" t="inlineStr">
        <is>
          <t>Cobblemon 동일</t>
        </is>
      </c>
      <c r="AK1397" s="18" t="inlineStr">
        <is>
          <t>사용</t>
        </is>
      </c>
      <c r="AL1397" s="18" t="inlineStr">
        <is>
          <t>COBBLEVERSE 1.7.42 / DP v31</t>
        </is>
      </c>
      <c r="AM1397" s="18" t="inlineStr">
        <is>
          <t>data/cobblemon/spawn_pool_world/0375_metang.json</t>
        </is>
      </c>
      <c r="AN1397" s="18" t="inlineStr">
        <is>
          <t>metang-3</t>
        </is>
      </c>
      <c r="AO1397" s="18" t="inlineStr">
        <is>
          <t>pokemon</t>
        </is>
      </c>
      <c r="AP1397" s="18" t="inlineStr">
        <is>
          <t>natural</t>
        </is>
      </c>
      <c r="AQ1397" s="18" t="inlineStr">
        <is>
          <t>{"biomes":["#aether:is_aether"],"maxSkyLight":7,"minSkyLight":0}</t>
        </is>
      </c>
      <c r="AR1397" s="18" t="inlineStr"/>
      <c r="AS1397" s="18" t="inlineStr"/>
      <c r="AT1397" s="19" t="inlineStr"/>
    </row>
    <row r="1398" ht="32" customHeight="1">
      <c r="A1398" s="18" t="inlineStr">
        <is>
          <t>0375_metang.json::metang-4::004</t>
        </is>
      </c>
      <c r="B1398" s="19" t="inlineStr">
        <is>
          <t>사용</t>
        </is>
      </c>
      <c r="C1398" s="18">
        <f>IF(OR(B1398&lt;&gt;AK1398,M1398&lt;&gt;L1398,O1398&lt;&gt;"",Q1398&lt;&gt;"",V1398&lt;&gt;1,Y1398&lt;&gt;"",AT1398&lt;&gt;""),"수정","원본")</f>
        <v/>
      </c>
      <c r="D1398" s="18" t="n">
        <v>375</v>
      </c>
      <c r="E1398" s="18" t="inlineStr">
        <is>
          <t>메탕구</t>
        </is>
      </c>
      <c r="F1398" s="18" t="inlineStr">
        <is>
          <t>metang</t>
        </is>
      </c>
      <c r="G1398" s="18" t="inlineStr">
        <is>
          <t>metang</t>
        </is>
      </c>
      <c r="H1398" s="18" t="inlineStr"/>
      <c r="I1398" s="18" t="n">
        <v>3</v>
      </c>
      <c r="J1398" s="18" t="n"/>
      <c r="K1398" s="18" t="n">
        <v>3</v>
      </c>
      <c r="L1398" s="18" t="inlineStr">
        <is>
          <t>cobbleventure:generation_3</t>
        </is>
      </c>
      <c r="M1398" s="19" t="inlineStr">
        <is>
          <t>cobbleventure:generation_3</t>
        </is>
      </c>
      <c r="N1398" s="18" t="inlineStr"/>
      <c r="O1398" s="19" t="inlineStr"/>
      <c r="P1398" s="18" t="inlineStr">
        <is>
          <t>#aether:is_aether</t>
        </is>
      </c>
      <c r="Q1398" s="19" t="inlineStr"/>
      <c r="R1398" s="18">
        <f>IF(Q1398="",P1398,Q1398)</f>
        <v/>
      </c>
      <c r="S1398" s="18" t="inlineStr"/>
      <c r="T1398" s="18" t="inlineStr">
        <is>
          <t>uncommon</t>
        </is>
      </c>
      <c r="U1398" s="20" t="n">
        <v>0.288</v>
      </c>
      <c r="V1398" s="21" t="n">
        <v>1</v>
      </c>
      <c r="W1398" s="20">
        <f>IF(OR(U1398="",V1398=""),U1398,U1398*V1398)</f>
        <v/>
      </c>
      <c r="X1398" s="18" t="inlineStr">
        <is>
          <t>20-44</t>
        </is>
      </c>
      <c r="Y1398" s="19" t="inlineStr"/>
      <c r="Z1398" s="18">
        <f>IF(Y1398="",X1398,Y1398)</f>
        <v/>
      </c>
      <c r="AA1398" s="18" t="inlineStr">
        <is>
          <t>grounded</t>
        </is>
      </c>
      <c r="AB1398" s="18" t="inlineStr"/>
      <c r="AC1398" s="18" t="inlineStr"/>
      <c r="AD1398" s="18" t="inlineStr"/>
      <c r="AE1398" s="18" t="inlineStr">
        <is>
          <t>sky 0-7</t>
        </is>
      </c>
      <c r="AF1398" s="18" t="inlineStr"/>
      <c r="AG1398" s="18" t="inlineStr">
        <is>
          <t>#aether:dungeons</t>
        </is>
      </c>
      <c r="AH1398" s="18" t="inlineStr"/>
      <c r="AI1398" s="18" t="inlineStr"/>
      <c r="AJ1398" s="18" t="inlineStr">
        <is>
          <t>Cobblemon 동일</t>
        </is>
      </c>
      <c r="AK1398" s="18" t="inlineStr">
        <is>
          <t>사용</t>
        </is>
      </c>
      <c r="AL1398" s="18" t="inlineStr">
        <is>
          <t>COBBLEVERSE 1.7.42 / DP v31</t>
        </is>
      </c>
      <c r="AM1398" s="18" t="inlineStr">
        <is>
          <t>data/cobblemon/spawn_pool_world/0375_metang.json</t>
        </is>
      </c>
      <c r="AN1398" s="18" t="inlineStr">
        <is>
          <t>metang-4</t>
        </is>
      </c>
      <c r="AO1398" s="18" t="inlineStr">
        <is>
          <t>pokemon</t>
        </is>
      </c>
      <c r="AP1398" s="18" t="inlineStr"/>
      <c r="AQ1398" s="18" t="inlineStr">
        <is>
          <t>{"biomes":["#aether:is_aether"],"maxSkyLight":7,"minSkyLight":0,"structures":["#aether:dungeons"]}</t>
        </is>
      </c>
      <c r="AR1398" s="18" t="inlineStr"/>
      <c r="AS1398" s="18" t="inlineStr"/>
      <c r="AT1398" s="19" t="inlineStr"/>
    </row>
    <row r="1399" ht="32" customHeight="1">
      <c r="A1399" s="18" t="inlineStr">
        <is>
          <t>0375_metang.json::metang-5::005</t>
        </is>
      </c>
      <c r="B1399" s="19" t="inlineStr">
        <is>
          <t>사용</t>
        </is>
      </c>
      <c r="C1399" s="18">
        <f>IF(OR(B1399&lt;&gt;AK1399,M1399&lt;&gt;L1399,O1399&lt;&gt;"",Q1399&lt;&gt;"",V1399&lt;&gt;1,Y1399&lt;&gt;"",AT1399&lt;&gt;""),"수정","원본")</f>
        <v/>
      </c>
      <c r="D1399" s="18" t="n">
        <v>375</v>
      </c>
      <c r="E1399" s="18" t="inlineStr">
        <is>
          <t>메탕구</t>
        </is>
      </c>
      <c r="F1399" s="18" t="inlineStr">
        <is>
          <t>metang</t>
        </is>
      </c>
      <c r="G1399" s="18" t="inlineStr">
        <is>
          <t>metang</t>
        </is>
      </c>
      <c r="H1399" s="18" t="inlineStr"/>
      <c r="I1399" s="18" t="n">
        <v>3</v>
      </c>
      <c r="J1399" s="18" t="n"/>
      <c r="K1399" s="18" t="n">
        <v>3</v>
      </c>
      <c r="L1399" s="18" t="inlineStr">
        <is>
          <t>cobbleventure:generation_3</t>
        </is>
      </c>
      <c r="M1399" s="19" t="inlineStr">
        <is>
          <t>cobbleventure:generation_3</t>
        </is>
      </c>
      <c r="N1399" s="18" t="inlineStr"/>
      <c r="O1399" s="19" t="inlineStr"/>
      <c r="P1399" s="18" t="inlineStr">
        <is>
          <t>the_bumblezone:howling_constructs</t>
        </is>
      </c>
      <c r="Q1399" s="19" t="inlineStr"/>
      <c r="R1399" s="18">
        <f>IF(Q1399="",P1399,Q1399)</f>
        <v/>
      </c>
      <c r="S1399" s="18" t="inlineStr"/>
      <c r="T1399" s="18" t="inlineStr">
        <is>
          <t>rare</t>
        </is>
      </c>
      <c r="U1399" s="20" t="n">
        <v>2.25</v>
      </c>
      <c r="V1399" s="21" t="n">
        <v>1</v>
      </c>
      <c r="W1399" s="20">
        <f>IF(OR(U1399="",V1399=""),U1399,U1399*V1399)</f>
        <v/>
      </c>
      <c r="X1399" s="18" t="inlineStr">
        <is>
          <t>20-44</t>
        </is>
      </c>
      <c r="Y1399" s="19" t="inlineStr"/>
      <c r="Z1399" s="18">
        <f>IF(Y1399="",X1399,Y1399)</f>
        <v/>
      </c>
      <c r="AA1399" s="18" t="inlineStr">
        <is>
          <t>grounded</t>
        </is>
      </c>
      <c r="AB1399" s="18" t="inlineStr"/>
      <c r="AC1399" s="18" t="inlineStr"/>
      <c r="AD1399" s="18" t="inlineStr"/>
      <c r="AE1399" s="18" t="inlineStr"/>
      <c r="AF1399" s="18" t="inlineStr"/>
      <c r="AG1399" s="18" t="inlineStr"/>
      <c r="AH1399" s="18" t="inlineStr"/>
      <c r="AI1399" s="18" t="inlineStr"/>
      <c r="AJ1399" s="18" t="inlineStr">
        <is>
          <t>Cobblemon 동일</t>
        </is>
      </c>
      <c r="AK1399" s="18" t="inlineStr">
        <is>
          <t>사용</t>
        </is>
      </c>
      <c r="AL1399" s="18" t="inlineStr">
        <is>
          <t>COBBLEVERSE 1.7.42 / DP v31</t>
        </is>
      </c>
      <c r="AM1399" s="18" t="inlineStr">
        <is>
          <t>data/cobblemon/spawn_pool_world/0375_metang.json</t>
        </is>
      </c>
      <c r="AN1399" s="18" t="inlineStr">
        <is>
          <t>metang-5</t>
        </is>
      </c>
      <c r="AO1399" s="18" t="inlineStr">
        <is>
          <t>pokemon</t>
        </is>
      </c>
      <c r="AP1399" s="18" t="inlineStr"/>
      <c r="AQ1399" s="18" t="inlineStr">
        <is>
          <t>{"biomes":["the_bumblezone:howling_constructs"]}</t>
        </is>
      </c>
      <c r="AR1399" s="18" t="inlineStr">
        <is>
          <t>{"structures":["#the_bumblezone:sempiternal_sanctums"]}</t>
        </is>
      </c>
      <c r="AS1399" s="18" t="inlineStr"/>
      <c r="AT1399" s="19" t="inlineStr"/>
    </row>
    <row r="1400" ht="32" customHeight="1">
      <c r="A1400" s="18" t="inlineStr">
        <is>
          <t>0376_metagross.json::metagross-1::001</t>
        </is>
      </c>
      <c r="B1400" s="19" t="inlineStr">
        <is>
          <t>사용</t>
        </is>
      </c>
      <c r="C1400" s="18">
        <f>IF(OR(B1400&lt;&gt;AK1400,M1400&lt;&gt;L1400,O1400&lt;&gt;"",Q1400&lt;&gt;"",V1400&lt;&gt;1,Y1400&lt;&gt;"",AT1400&lt;&gt;""),"수정","원본")</f>
        <v/>
      </c>
      <c r="D1400" s="18" t="n">
        <v>376</v>
      </c>
      <c r="E1400" s="18" t="inlineStr">
        <is>
          <t>메타그로스</t>
        </is>
      </c>
      <c r="F1400" s="18" t="inlineStr">
        <is>
          <t>metagross</t>
        </is>
      </c>
      <c r="G1400" s="18" t="inlineStr">
        <is>
          <t>metagross</t>
        </is>
      </c>
      <c r="H1400" s="18" t="inlineStr"/>
      <c r="I1400" s="18" t="n">
        <v>3</v>
      </c>
      <c r="J1400" s="18" t="n"/>
      <c r="K1400" s="18" t="n">
        <v>3</v>
      </c>
      <c r="L1400" s="18" t="inlineStr">
        <is>
          <t>cobbleventure:generation_3</t>
        </is>
      </c>
      <c r="M1400" s="19" t="inlineStr">
        <is>
          <t>cobbleventure:generation_3</t>
        </is>
      </c>
      <c r="N1400" s="18" t="inlineStr"/>
      <c r="O1400" s="19" t="inlineStr"/>
      <c r="P1400" s="18" t="inlineStr">
        <is>
          <t>#cobblemon:is_dripstone; #cobblemon:is_peak</t>
        </is>
      </c>
      <c r="Q1400" s="19" t="inlineStr"/>
      <c r="R1400" s="18">
        <f>IF(Q1400="",P1400,Q1400)</f>
        <v/>
      </c>
      <c r="S1400" s="18" t="inlineStr"/>
      <c r="T1400" s="18" t="inlineStr">
        <is>
          <t>ultra-rare</t>
        </is>
      </c>
      <c r="U1400" s="20" t="n">
        <v>0.4</v>
      </c>
      <c r="V1400" s="21" t="n">
        <v>1</v>
      </c>
      <c r="W1400" s="20">
        <f>IF(OR(U1400="",V1400=""),U1400,U1400*V1400)</f>
        <v/>
      </c>
      <c r="X1400" s="18" t="inlineStr">
        <is>
          <t>45-60</t>
        </is>
      </c>
      <c r="Y1400" s="19" t="inlineStr"/>
      <c r="Z1400" s="18">
        <f>IF(Y1400="",X1400,Y1400)</f>
        <v/>
      </c>
      <c r="AA1400" s="18" t="inlineStr">
        <is>
          <t>grounded</t>
        </is>
      </c>
      <c r="AB1400" s="18" t="inlineStr"/>
      <c r="AC1400" s="18" t="inlineStr"/>
      <c r="AD1400" s="18" t="inlineStr"/>
      <c r="AE1400" s="18" t="inlineStr"/>
      <c r="AF1400" s="18" t="inlineStr"/>
      <c r="AG1400" s="18" t="inlineStr"/>
      <c r="AH1400" s="18" t="inlineStr"/>
      <c r="AI1400" s="18" t="inlineStr"/>
      <c r="AJ1400" s="18" t="inlineStr">
        <is>
          <t>Cobblemon 동일</t>
        </is>
      </c>
      <c r="AK1400" s="18" t="inlineStr">
        <is>
          <t>사용</t>
        </is>
      </c>
      <c r="AL1400" s="18" t="inlineStr">
        <is>
          <t>COBBLEVERSE 1.7.42 / DP v31</t>
        </is>
      </c>
      <c r="AM1400" s="18" t="inlineStr">
        <is>
          <t>data/cobblemon/spawn_pool_world/0376_metagross.json</t>
        </is>
      </c>
      <c r="AN1400" s="18" t="inlineStr">
        <is>
          <t>metagross-1</t>
        </is>
      </c>
      <c r="AO1400" s="18" t="inlineStr">
        <is>
          <t>pokemon</t>
        </is>
      </c>
      <c r="AP1400" s="18" t="inlineStr">
        <is>
          <t>natural</t>
        </is>
      </c>
      <c r="AQ1400" s="18" t="inlineStr">
        <is>
          <t>{"biomes":["#cobblemon:is_dripstone","#cobblemon:is_peak"]}</t>
        </is>
      </c>
      <c r="AR1400" s="18" t="inlineStr"/>
      <c r="AS1400" s="18" t="inlineStr"/>
      <c r="AT1400" s="19" t="inlineStr"/>
    </row>
    <row r="1401" ht="32" customHeight="1">
      <c r="A1401" s="18" t="inlineStr">
        <is>
          <t>0376_metagross.json::metagross-2::002</t>
        </is>
      </c>
      <c r="B1401" s="19" t="inlineStr">
        <is>
          <t>사용</t>
        </is>
      </c>
      <c r="C1401" s="18">
        <f>IF(OR(B1401&lt;&gt;AK1401,M1401&lt;&gt;L1401,O1401&lt;&gt;"",Q1401&lt;&gt;"",V1401&lt;&gt;1,Y1401&lt;&gt;"",AT1401&lt;&gt;""),"수정","원본")</f>
        <v/>
      </c>
      <c r="D1401" s="18" t="n">
        <v>376</v>
      </c>
      <c r="E1401" s="18" t="inlineStr">
        <is>
          <t>메타그로스</t>
        </is>
      </c>
      <c r="F1401" s="18" t="inlineStr">
        <is>
          <t>metagross</t>
        </is>
      </c>
      <c r="G1401" s="18" t="inlineStr">
        <is>
          <t>metagross</t>
        </is>
      </c>
      <c r="H1401" s="18" t="inlineStr"/>
      <c r="I1401" s="18" t="n">
        <v>3</v>
      </c>
      <c r="J1401" s="18" t="n"/>
      <c r="K1401" s="18" t="n">
        <v>3</v>
      </c>
      <c r="L1401" s="18" t="inlineStr">
        <is>
          <t>cobbleventure:generation_3</t>
        </is>
      </c>
      <c r="M1401" s="19" t="inlineStr">
        <is>
          <t>cobbleventure:generation_3</t>
        </is>
      </c>
      <c r="N1401" s="18" t="inlineStr"/>
      <c r="O1401" s="19" t="inlineStr"/>
      <c r="P1401" s="18" t="inlineStr">
        <is>
          <t>#cobblemon:is_end</t>
        </is>
      </c>
      <c r="Q1401" s="19" t="inlineStr"/>
      <c r="R1401" s="18">
        <f>IF(Q1401="",P1401,Q1401)</f>
        <v/>
      </c>
      <c r="S1401" s="18" t="inlineStr"/>
      <c r="T1401" s="18" t="inlineStr">
        <is>
          <t>rare</t>
        </is>
      </c>
      <c r="U1401" s="20" t="n">
        <v>0.25</v>
      </c>
      <c r="V1401" s="21" t="n">
        <v>1</v>
      </c>
      <c r="W1401" s="20">
        <f>IF(OR(U1401="",V1401=""),U1401,U1401*V1401)</f>
        <v/>
      </c>
      <c r="X1401" s="18" t="inlineStr">
        <is>
          <t>45-60</t>
        </is>
      </c>
      <c r="Y1401" s="19" t="inlineStr"/>
      <c r="Z1401" s="18">
        <f>IF(Y1401="",X1401,Y1401)</f>
        <v/>
      </c>
      <c r="AA1401" s="18" t="inlineStr">
        <is>
          <t>grounded</t>
        </is>
      </c>
      <c r="AB1401" s="18" t="inlineStr"/>
      <c r="AC1401" s="18" t="inlineStr"/>
      <c r="AD1401" s="18" t="inlineStr"/>
      <c r="AE1401" s="18" t="inlineStr"/>
      <c r="AF1401" s="18" t="inlineStr"/>
      <c r="AG1401" s="18" t="inlineStr"/>
      <c r="AH1401" s="18" t="inlineStr"/>
      <c r="AI1401" s="18" t="inlineStr"/>
      <c r="AJ1401" s="18" t="inlineStr">
        <is>
          <t>Cobblemon 동일</t>
        </is>
      </c>
      <c r="AK1401" s="18" t="inlineStr">
        <is>
          <t>사용</t>
        </is>
      </c>
      <c r="AL1401" s="18" t="inlineStr">
        <is>
          <t>COBBLEVERSE 1.7.42 / DP v31</t>
        </is>
      </c>
      <c r="AM1401" s="18" t="inlineStr">
        <is>
          <t>data/cobblemon/spawn_pool_world/0376_metagross.json</t>
        </is>
      </c>
      <c r="AN1401" s="18" t="inlineStr">
        <is>
          <t>metagross-2</t>
        </is>
      </c>
      <c r="AO1401" s="18" t="inlineStr">
        <is>
          <t>pokemon</t>
        </is>
      </c>
      <c r="AP1401" s="18" t="inlineStr">
        <is>
          <t>natural</t>
        </is>
      </c>
      <c r="AQ1401" s="18" t="inlineStr">
        <is>
          <t>{"biomes":["#cobblemon:is_end"]}</t>
        </is>
      </c>
      <c r="AR1401" s="18" t="inlineStr"/>
      <c r="AS1401" s="18" t="inlineStr"/>
      <c r="AT1401" s="19" t="inlineStr"/>
    </row>
    <row r="1402" ht="32" customHeight="1">
      <c r="A1402" s="18" t="inlineStr">
        <is>
          <t>0376_metagross.json::metagross-3::003</t>
        </is>
      </c>
      <c r="B1402" s="19" t="inlineStr">
        <is>
          <t>사용</t>
        </is>
      </c>
      <c r="C1402" s="18">
        <f>IF(OR(B1402&lt;&gt;AK1402,M1402&lt;&gt;L1402,O1402&lt;&gt;"",Q1402&lt;&gt;"",V1402&lt;&gt;1,Y1402&lt;&gt;"",AT1402&lt;&gt;""),"수정","원본")</f>
        <v/>
      </c>
      <c r="D1402" s="18" t="n">
        <v>376</v>
      </c>
      <c r="E1402" s="18" t="inlineStr">
        <is>
          <t>메타그로스</t>
        </is>
      </c>
      <c r="F1402" s="18" t="inlineStr">
        <is>
          <t>metagross</t>
        </is>
      </c>
      <c r="G1402" s="18" t="inlineStr">
        <is>
          <t>metagross</t>
        </is>
      </c>
      <c r="H1402" s="18" t="inlineStr"/>
      <c r="I1402" s="18" t="n">
        <v>3</v>
      </c>
      <c r="J1402" s="18" t="n"/>
      <c r="K1402" s="18" t="n">
        <v>3</v>
      </c>
      <c r="L1402" s="18" t="inlineStr">
        <is>
          <t>cobbleventure:generation_3</t>
        </is>
      </c>
      <c r="M1402" s="19" t="inlineStr">
        <is>
          <t>cobbleventure:generation_3</t>
        </is>
      </c>
      <c r="N1402" s="18" t="inlineStr"/>
      <c r="O1402" s="19" t="inlineStr"/>
      <c r="P1402" s="18" t="inlineStr">
        <is>
          <t>#aether:is_aether</t>
        </is>
      </c>
      <c r="Q1402" s="19" t="inlineStr"/>
      <c r="R1402" s="18">
        <f>IF(Q1402="",P1402,Q1402)</f>
        <v/>
      </c>
      <c r="S1402" s="18" t="inlineStr"/>
      <c r="T1402" s="18" t="inlineStr">
        <is>
          <t>rare</t>
        </is>
      </c>
      <c r="U1402" s="20" t="n">
        <v>0.25</v>
      </c>
      <c r="V1402" s="21" t="n">
        <v>1</v>
      </c>
      <c r="W1402" s="20">
        <f>IF(OR(U1402="",V1402=""),U1402,U1402*V1402)</f>
        <v/>
      </c>
      <c r="X1402" s="18" t="inlineStr">
        <is>
          <t>45-60</t>
        </is>
      </c>
      <c r="Y1402" s="19" t="inlineStr"/>
      <c r="Z1402" s="18">
        <f>IF(Y1402="",X1402,Y1402)</f>
        <v/>
      </c>
      <c r="AA1402" s="18" t="inlineStr">
        <is>
          <t>grounded</t>
        </is>
      </c>
      <c r="AB1402" s="18" t="inlineStr"/>
      <c r="AC1402" s="18" t="inlineStr"/>
      <c r="AD1402" s="18" t="inlineStr"/>
      <c r="AE1402" s="18" t="inlineStr">
        <is>
          <t>sky 0-7</t>
        </is>
      </c>
      <c r="AF1402" s="18" t="inlineStr"/>
      <c r="AG1402" s="18" t="inlineStr"/>
      <c r="AH1402" s="18" t="inlineStr"/>
      <c r="AI1402" s="18" t="inlineStr"/>
      <c r="AJ1402" s="18" t="inlineStr">
        <is>
          <t>Cobblemon 동일</t>
        </is>
      </c>
      <c r="AK1402" s="18" t="inlineStr">
        <is>
          <t>사용</t>
        </is>
      </c>
      <c r="AL1402" s="18" t="inlineStr">
        <is>
          <t>COBBLEVERSE 1.7.42 / DP v31</t>
        </is>
      </c>
      <c r="AM1402" s="18" t="inlineStr">
        <is>
          <t>data/cobblemon/spawn_pool_world/0376_metagross.json</t>
        </is>
      </c>
      <c r="AN1402" s="18" t="inlineStr">
        <is>
          <t>metagross-3</t>
        </is>
      </c>
      <c r="AO1402" s="18" t="inlineStr">
        <is>
          <t>pokemon</t>
        </is>
      </c>
      <c r="AP1402" s="18" t="inlineStr">
        <is>
          <t>natural</t>
        </is>
      </c>
      <c r="AQ1402" s="18" t="inlineStr">
        <is>
          <t>{"biomes":["#aether:is_aether"],"maxSkyLight":7,"minSkyLight":0}</t>
        </is>
      </c>
      <c r="AR1402" s="18" t="inlineStr"/>
      <c r="AS1402" s="18" t="inlineStr"/>
      <c r="AT1402" s="19" t="inlineStr"/>
    </row>
    <row r="1403" ht="32" customHeight="1">
      <c r="A1403" s="18" t="inlineStr">
        <is>
          <t>0376_metagross.json::metagross-4::004</t>
        </is>
      </c>
      <c r="B1403" s="19" t="inlineStr">
        <is>
          <t>사용</t>
        </is>
      </c>
      <c r="C1403" s="18">
        <f>IF(OR(B1403&lt;&gt;AK1403,M1403&lt;&gt;L1403,O1403&lt;&gt;"",Q1403&lt;&gt;"",V1403&lt;&gt;1,Y1403&lt;&gt;"",AT1403&lt;&gt;""),"수정","원본")</f>
        <v/>
      </c>
      <c r="D1403" s="18" t="n">
        <v>376</v>
      </c>
      <c r="E1403" s="18" t="inlineStr">
        <is>
          <t>메타그로스</t>
        </is>
      </c>
      <c r="F1403" s="18" t="inlineStr">
        <is>
          <t>metagross</t>
        </is>
      </c>
      <c r="G1403" s="18" t="inlineStr">
        <is>
          <t>metagross</t>
        </is>
      </c>
      <c r="H1403" s="18" t="inlineStr"/>
      <c r="I1403" s="18" t="n">
        <v>3</v>
      </c>
      <c r="J1403" s="18" t="n"/>
      <c r="K1403" s="18" t="n">
        <v>3</v>
      </c>
      <c r="L1403" s="18" t="inlineStr">
        <is>
          <t>cobbleventure:generation_3</t>
        </is>
      </c>
      <c r="M1403" s="19" t="inlineStr">
        <is>
          <t>cobbleventure:generation_3</t>
        </is>
      </c>
      <c r="N1403" s="18" t="inlineStr"/>
      <c r="O1403" s="19" t="inlineStr"/>
      <c r="P1403" s="18" t="inlineStr">
        <is>
          <t>#aether:is_aether</t>
        </is>
      </c>
      <c r="Q1403" s="19" t="inlineStr"/>
      <c r="R1403" s="18">
        <f>IF(Q1403="",P1403,Q1403)</f>
        <v/>
      </c>
      <c r="S1403" s="18" t="inlineStr"/>
      <c r="T1403" s="18" t="inlineStr">
        <is>
          <t>uncommon</t>
        </is>
      </c>
      <c r="U1403" s="20" t="n">
        <v>0.032</v>
      </c>
      <c r="V1403" s="21" t="n">
        <v>1</v>
      </c>
      <c r="W1403" s="20">
        <f>IF(OR(U1403="",V1403=""),U1403,U1403*V1403)</f>
        <v/>
      </c>
      <c r="X1403" s="18" t="inlineStr">
        <is>
          <t>45-60</t>
        </is>
      </c>
      <c r="Y1403" s="19" t="inlineStr"/>
      <c r="Z1403" s="18">
        <f>IF(Y1403="",X1403,Y1403)</f>
        <v/>
      </c>
      <c r="AA1403" s="18" t="inlineStr">
        <is>
          <t>grounded</t>
        </is>
      </c>
      <c r="AB1403" s="18" t="inlineStr"/>
      <c r="AC1403" s="18" t="inlineStr"/>
      <c r="AD1403" s="18" t="inlineStr"/>
      <c r="AE1403" s="18" t="inlineStr">
        <is>
          <t>sky 0-7</t>
        </is>
      </c>
      <c r="AF1403" s="18" t="inlineStr"/>
      <c r="AG1403" s="18" t="inlineStr">
        <is>
          <t>#aether:dungeons</t>
        </is>
      </c>
      <c r="AH1403" s="18" t="inlineStr"/>
      <c r="AI1403" s="18" t="inlineStr"/>
      <c r="AJ1403" s="18" t="inlineStr">
        <is>
          <t>Cobblemon 동일</t>
        </is>
      </c>
      <c r="AK1403" s="18" t="inlineStr">
        <is>
          <t>사용</t>
        </is>
      </c>
      <c r="AL1403" s="18" t="inlineStr">
        <is>
          <t>COBBLEVERSE 1.7.42 / DP v31</t>
        </is>
      </c>
      <c r="AM1403" s="18" t="inlineStr">
        <is>
          <t>data/cobblemon/spawn_pool_world/0376_metagross.json</t>
        </is>
      </c>
      <c r="AN1403" s="18" t="inlineStr">
        <is>
          <t>metagross-4</t>
        </is>
      </c>
      <c r="AO1403" s="18" t="inlineStr">
        <is>
          <t>pokemon</t>
        </is>
      </c>
      <c r="AP1403" s="18" t="inlineStr"/>
      <c r="AQ1403" s="18" t="inlineStr">
        <is>
          <t>{"biomes":["#aether:is_aether"],"maxSkyLight":7,"minSkyLight":0,"structures":["#aether:dungeons"]}</t>
        </is>
      </c>
      <c r="AR1403" s="18" t="inlineStr"/>
      <c r="AS1403" s="18" t="inlineStr"/>
      <c r="AT1403" s="19" t="inlineStr"/>
    </row>
    <row r="1404" ht="32" customHeight="1">
      <c r="A1404" s="18" t="inlineStr">
        <is>
          <t>0376_metagross.json::metagross-5::005</t>
        </is>
      </c>
      <c r="B1404" s="19" t="inlineStr">
        <is>
          <t>사용</t>
        </is>
      </c>
      <c r="C1404" s="18">
        <f>IF(OR(B1404&lt;&gt;AK1404,M1404&lt;&gt;L1404,O1404&lt;&gt;"",Q1404&lt;&gt;"",V1404&lt;&gt;1,Y1404&lt;&gt;"",AT1404&lt;&gt;""),"수정","원본")</f>
        <v/>
      </c>
      <c r="D1404" s="18" t="n">
        <v>376</v>
      </c>
      <c r="E1404" s="18" t="inlineStr">
        <is>
          <t>메타그로스</t>
        </is>
      </c>
      <c r="F1404" s="18" t="inlineStr">
        <is>
          <t>metagross</t>
        </is>
      </c>
      <c r="G1404" s="18" t="inlineStr">
        <is>
          <t>metagross</t>
        </is>
      </c>
      <c r="H1404" s="18" t="inlineStr"/>
      <c r="I1404" s="18" t="n">
        <v>3</v>
      </c>
      <c r="J1404" s="18" t="n"/>
      <c r="K1404" s="18" t="n">
        <v>3</v>
      </c>
      <c r="L1404" s="18" t="inlineStr">
        <is>
          <t>cobbleventure:generation_3</t>
        </is>
      </c>
      <c r="M1404" s="19" t="inlineStr">
        <is>
          <t>cobbleventure:generation_3</t>
        </is>
      </c>
      <c r="N1404" s="18" t="inlineStr"/>
      <c r="O1404" s="19" t="inlineStr"/>
      <c r="P1404" s="18" t="inlineStr">
        <is>
          <t>the_bumblezone:howling_constructs</t>
        </is>
      </c>
      <c r="Q1404" s="19" t="inlineStr"/>
      <c r="R1404" s="18">
        <f>IF(Q1404="",P1404,Q1404)</f>
        <v/>
      </c>
      <c r="S1404" s="18" t="inlineStr"/>
      <c r="T1404" s="18" t="inlineStr">
        <is>
          <t>rare</t>
        </is>
      </c>
      <c r="U1404" s="20" t="n">
        <v>0.25</v>
      </c>
      <c r="V1404" s="21" t="n">
        <v>1</v>
      </c>
      <c r="W1404" s="20">
        <f>IF(OR(U1404="",V1404=""),U1404,U1404*V1404)</f>
        <v/>
      </c>
      <c r="X1404" s="18" t="inlineStr">
        <is>
          <t>45-60</t>
        </is>
      </c>
      <c r="Y1404" s="19" t="inlineStr"/>
      <c r="Z1404" s="18">
        <f>IF(Y1404="",X1404,Y1404)</f>
        <v/>
      </c>
      <c r="AA1404" s="18" t="inlineStr">
        <is>
          <t>grounded</t>
        </is>
      </c>
      <c r="AB1404" s="18" t="inlineStr"/>
      <c r="AC1404" s="18" t="inlineStr"/>
      <c r="AD1404" s="18" t="inlineStr"/>
      <c r="AE1404" s="18" t="inlineStr"/>
      <c r="AF1404" s="18" t="inlineStr"/>
      <c r="AG1404" s="18" t="inlineStr"/>
      <c r="AH1404" s="18" t="inlineStr"/>
      <c r="AI1404" s="18" t="inlineStr"/>
      <c r="AJ1404" s="18" t="inlineStr">
        <is>
          <t>Cobblemon 동일</t>
        </is>
      </c>
      <c r="AK1404" s="18" t="inlineStr">
        <is>
          <t>사용</t>
        </is>
      </c>
      <c r="AL1404" s="18" t="inlineStr">
        <is>
          <t>COBBLEVERSE 1.7.42 / DP v31</t>
        </is>
      </c>
      <c r="AM1404" s="18" t="inlineStr">
        <is>
          <t>data/cobblemon/spawn_pool_world/0376_metagross.json</t>
        </is>
      </c>
      <c r="AN1404" s="18" t="inlineStr">
        <is>
          <t>metagross-5</t>
        </is>
      </c>
      <c r="AO1404" s="18" t="inlineStr">
        <is>
          <t>pokemon</t>
        </is>
      </c>
      <c r="AP1404" s="18" t="inlineStr"/>
      <c r="AQ1404" s="18" t="inlineStr">
        <is>
          <t>{"biomes":["the_bumblezone:howling_constructs"]}</t>
        </is>
      </c>
      <c r="AR1404" s="18" t="inlineStr">
        <is>
          <t>{"structures":["#the_bumblezone:sempiternal_sanctums"]}</t>
        </is>
      </c>
      <c r="AS1404" s="18" t="inlineStr"/>
      <c r="AT1404" s="19" t="inlineStr"/>
    </row>
    <row r="1405" ht="32" customHeight="1">
      <c r="A1405" s="18" t="inlineStr">
        <is>
          <t>0377_regirock.json::regirock-1::001</t>
        </is>
      </c>
      <c r="B1405" s="19" t="inlineStr">
        <is>
          <t>사용</t>
        </is>
      </c>
      <c r="C1405" s="18">
        <f>IF(OR(B1405&lt;&gt;AK1405,M1405&lt;&gt;L1405,O1405&lt;&gt;"",Q1405&lt;&gt;"",V1405&lt;&gt;1,Y1405&lt;&gt;"",AT1405&lt;&gt;""),"수정","원본")</f>
        <v/>
      </c>
      <c r="D1405" s="18" t="n">
        <v>377</v>
      </c>
      <c r="E1405" s="18" t="inlineStr">
        <is>
          <t>레지락</t>
        </is>
      </c>
      <c r="F1405" s="18" t="inlineStr">
        <is>
          <t>regirock</t>
        </is>
      </c>
      <c r="G1405" s="18" t="inlineStr">
        <is>
          <t>regirock</t>
        </is>
      </c>
      <c r="H1405" s="18" t="inlineStr"/>
      <c r="I1405" s="18" t="n">
        <v>3</v>
      </c>
      <c r="J1405" s="18" t="n"/>
      <c r="K1405" s="18" t="n">
        <v>3</v>
      </c>
      <c r="L1405" s="18" t="inlineStr">
        <is>
          <t>cobbleventure:generation_3</t>
        </is>
      </c>
      <c r="M1405" s="19" t="inlineStr">
        <is>
          <t>cobbleventure:generation_3</t>
        </is>
      </c>
      <c r="N1405" s="18" t="inlineStr"/>
      <c r="O1405" s="19" t="inlineStr"/>
      <c r="P1405" s="18" t="inlineStr">
        <is>
          <t>cobbleverse:custom_spawn/regirock_temple</t>
        </is>
      </c>
      <c r="Q1405" s="19" t="inlineStr"/>
      <c r="R1405" s="18">
        <f>IF(Q1405="",P1405,Q1405)</f>
        <v/>
      </c>
      <c r="S1405" s="18" t="inlineStr"/>
      <c r="T1405" s="18" t="inlineStr">
        <is>
          <t>ultra-rare</t>
        </is>
      </c>
      <c r="U1405" s="20" t="n">
        <v>0</v>
      </c>
      <c r="V1405" s="21" t="n">
        <v>1</v>
      </c>
      <c r="W1405" s="20">
        <f>IF(OR(U1405="",V1405=""),U1405,U1405*V1405)</f>
        <v/>
      </c>
      <c r="X1405" s="18" t="inlineStr">
        <is>
          <t>40-50</t>
        </is>
      </c>
      <c r="Y1405" s="19" t="inlineStr"/>
      <c r="Z1405" s="18">
        <f>IF(Y1405="",X1405,Y1405)</f>
        <v/>
      </c>
      <c r="AA1405" s="18" t="inlineStr"/>
      <c r="AB1405" s="18" t="inlineStr"/>
      <c r="AC1405" s="18" t="inlineStr"/>
      <c r="AD1405" s="18" t="inlineStr"/>
      <c r="AE1405" s="18" t="inlineStr"/>
      <c r="AF1405" s="18" t="inlineStr"/>
      <c r="AG1405" s="18" t="inlineStr"/>
      <c r="AH1405" s="18" t="inlineStr"/>
      <c r="AI1405" s="18" t="inlineStr">
        <is>
          <t>{"spawn":{"context":"grounded"}}</t>
        </is>
      </c>
      <c r="AJ1405" s="18" t="inlineStr">
        <is>
          <t>COBBLEVERSE 추가</t>
        </is>
      </c>
      <c r="AK1405" s="18" t="inlineStr">
        <is>
          <t>사용</t>
        </is>
      </c>
      <c r="AL1405" s="18" t="inlineStr">
        <is>
          <t>COBBLEVERSE 1.7.42 / DP v31</t>
        </is>
      </c>
      <c r="AM1405" s="18" t="inlineStr">
        <is>
          <t>data/cobblemon/spawn_pool_world/0377_regirock.json</t>
        </is>
      </c>
      <c r="AN1405" s="18" t="inlineStr">
        <is>
          <t>regirock-1</t>
        </is>
      </c>
      <c r="AO1405" s="18" t="inlineStr">
        <is>
          <t>pokemon</t>
        </is>
      </c>
      <c r="AP1405" s="18" t="inlineStr"/>
      <c r="AQ1405" s="18" t="inlineStr">
        <is>
          <t>{"biomes":["cobbleverse:custom_spawn/regirock_temple"]}</t>
        </is>
      </c>
      <c r="AR1405" s="18" t="inlineStr"/>
      <c r="AS1405" s="18" t="inlineStr"/>
      <c r="AT1405" s="19" t="inlineStr"/>
    </row>
    <row r="1406" ht="32" customHeight="1">
      <c r="A1406" s="18" t="inlineStr">
        <is>
          <t>0378_regice.json::regice-1::001</t>
        </is>
      </c>
      <c r="B1406" s="19" t="inlineStr">
        <is>
          <t>사용</t>
        </is>
      </c>
      <c r="C1406" s="18">
        <f>IF(OR(B1406&lt;&gt;AK1406,M1406&lt;&gt;L1406,O1406&lt;&gt;"",Q1406&lt;&gt;"",V1406&lt;&gt;1,Y1406&lt;&gt;"",AT1406&lt;&gt;""),"수정","원본")</f>
        <v/>
      </c>
      <c r="D1406" s="18" t="n">
        <v>378</v>
      </c>
      <c r="E1406" s="18" t="inlineStr">
        <is>
          <t>레지아이스</t>
        </is>
      </c>
      <c r="F1406" s="18" t="inlineStr">
        <is>
          <t>regice</t>
        </is>
      </c>
      <c r="G1406" s="18" t="inlineStr">
        <is>
          <t>regice</t>
        </is>
      </c>
      <c r="H1406" s="18" t="inlineStr"/>
      <c r="I1406" s="18" t="n">
        <v>3</v>
      </c>
      <c r="J1406" s="18" t="n"/>
      <c r="K1406" s="18" t="n">
        <v>3</v>
      </c>
      <c r="L1406" s="18" t="inlineStr">
        <is>
          <t>cobbleventure:generation_3</t>
        </is>
      </c>
      <c r="M1406" s="19" t="inlineStr">
        <is>
          <t>cobbleventure:generation_3</t>
        </is>
      </c>
      <c r="N1406" s="18" t="inlineStr"/>
      <c r="O1406" s="19" t="inlineStr"/>
      <c r="P1406" s="18" t="inlineStr">
        <is>
          <t>cobbleverse:custom_spawn/regice_temple</t>
        </is>
      </c>
      <c r="Q1406" s="19" t="inlineStr"/>
      <c r="R1406" s="18">
        <f>IF(Q1406="",P1406,Q1406)</f>
        <v/>
      </c>
      <c r="S1406" s="18" t="inlineStr"/>
      <c r="T1406" s="18" t="inlineStr">
        <is>
          <t>ultra-rare</t>
        </is>
      </c>
      <c r="U1406" s="20" t="n">
        <v>0</v>
      </c>
      <c r="V1406" s="21" t="n">
        <v>1</v>
      </c>
      <c r="W1406" s="20">
        <f>IF(OR(U1406="",V1406=""),U1406,U1406*V1406)</f>
        <v/>
      </c>
      <c r="X1406" s="18" t="inlineStr">
        <is>
          <t>40-50</t>
        </is>
      </c>
      <c r="Y1406" s="19" t="inlineStr"/>
      <c r="Z1406" s="18">
        <f>IF(Y1406="",X1406,Y1406)</f>
        <v/>
      </c>
      <c r="AA1406" s="18" t="inlineStr"/>
      <c r="AB1406" s="18" t="inlineStr"/>
      <c r="AC1406" s="18" t="inlineStr"/>
      <c r="AD1406" s="18" t="inlineStr"/>
      <c r="AE1406" s="18" t="inlineStr"/>
      <c r="AF1406" s="18" t="inlineStr"/>
      <c r="AG1406" s="18" t="inlineStr"/>
      <c r="AH1406" s="18" t="inlineStr"/>
      <c r="AI1406" s="18" t="inlineStr">
        <is>
          <t>{"spawn":{"context":"grounded"}}</t>
        </is>
      </c>
      <c r="AJ1406" s="18" t="inlineStr">
        <is>
          <t>COBBLEVERSE 추가</t>
        </is>
      </c>
      <c r="AK1406" s="18" t="inlineStr">
        <is>
          <t>사용</t>
        </is>
      </c>
      <c r="AL1406" s="18" t="inlineStr">
        <is>
          <t>COBBLEVERSE 1.7.42 / DP v31</t>
        </is>
      </c>
      <c r="AM1406" s="18" t="inlineStr">
        <is>
          <t>data/cobblemon/spawn_pool_world/0378_regice.json</t>
        </is>
      </c>
      <c r="AN1406" s="18" t="inlineStr">
        <is>
          <t>regice-1</t>
        </is>
      </c>
      <c r="AO1406" s="18" t="inlineStr">
        <is>
          <t>pokemon</t>
        </is>
      </c>
      <c r="AP1406" s="18" t="inlineStr"/>
      <c r="AQ1406" s="18" t="inlineStr">
        <is>
          <t>{"biomes":["cobbleverse:custom_spawn/regice_temple"]}</t>
        </is>
      </c>
      <c r="AR1406" s="18" t="inlineStr"/>
      <c r="AS1406" s="18" t="inlineStr"/>
      <c r="AT1406" s="19" t="inlineStr"/>
    </row>
    <row r="1407" ht="32" customHeight="1">
      <c r="A1407" s="18" t="inlineStr">
        <is>
          <t>0379_registeel.json::registeel-1::001</t>
        </is>
      </c>
      <c r="B1407" s="19" t="inlineStr">
        <is>
          <t>사용</t>
        </is>
      </c>
      <c r="C1407" s="18">
        <f>IF(OR(B1407&lt;&gt;AK1407,M1407&lt;&gt;L1407,O1407&lt;&gt;"",Q1407&lt;&gt;"",V1407&lt;&gt;1,Y1407&lt;&gt;"",AT1407&lt;&gt;""),"수정","원본")</f>
        <v/>
      </c>
      <c r="D1407" s="18" t="n">
        <v>379</v>
      </c>
      <c r="E1407" s="18" t="inlineStr">
        <is>
          <t>레지스틸</t>
        </is>
      </c>
      <c r="F1407" s="18" t="inlineStr">
        <is>
          <t>registeel</t>
        </is>
      </c>
      <c r="G1407" s="18" t="inlineStr">
        <is>
          <t>registeel</t>
        </is>
      </c>
      <c r="H1407" s="18" t="inlineStr"/>
      <c r="I1407" s="18" t="n">
        <v>3</v>
      </c>
      <c r="J1407" s="18" t="n"/>
      <c r="K1407" s="18" t="n">
        <v>3</v>
      </c>
      <c r="L1407" s="18" t="inlineStr">
        <is>
          <t>cobbleventure:generation_3</t>
        </is>
      </c>
      <c r="M1407" s="19" t="inlineStr">
        <is>
          <t>cobbleventure:generation_3</t>
        </is>
      </c>
      <c r="N1407" s="18" t="inlineStr"/>
      <c r="O1407" s="19" t="inlineStr"/>
      <c r="P1407" s="18" t="inlineStr">
        <is>
          <t>cobbleverse:custom_spawn/registeel_temple</t>
        </is>
      </c>
      <c r="Q1407" s="19" t="inlineStr"/>
      <c r="R1407" s="18">
        <f>IF(Q1407="",P1407,Q1407)</f>
        <v/>
      </c>
      <c r="S1407" s="18" t="inlineStr"/>
      <c r="T1407" s="18" t="inlineStr">
        <is>
          <t>ultra-rare</t>
        </is>
      </c>
      <c r="U1407" s="20" t="n">
        <v>0</v>
      </c>
      <c r="V1407" s="21" t="n">
        <v>1</v>
      </c>
      <c r="W1407" s="20">
        <f>IF(OR(U1407="",V1407=""),U1407,U1407*V1407)</f>
        <v/>
      </c>
      <c r="X1407" s="18" t="inlineStr">
        <is>
          <t>40-50</t>
        </is>
      </c>
      <c r="Y1407" s="19" t="inlineStr"/>
      <c r="Z1407" s="18">
        <f>IF(Y1407="",X1407,Y1407)</f>
        <v/>
      </c>
      <c r="AA1407" s="18" t="inlineStr"/>
      <c r="AB1407" s="18" t="inlineStr"/>
      <c r="AC1407" s="18" t="inlineStr"/>
      <c r="AD1407" s="18" t="inlineStr"/>
      <c r="AE1407" s="18" t="inlineStr"/>
      <c r="AF1407" s="18" t="inlineStr"/>
      <c r="AG1407" s="18" t="inlineStr"/>
      <c r="AH1407" s="18" t="inlineStr"/>
      <c r="AI1407" s="18" t="inlineStr">
        <is>
          <t>{"spawn":{"context":"grounded"}}</t>
        </is>
      </c>
      <c r="AJ1407" s="18" t="inlineStr">
        <is>
          <t>COBBLEVERSE 추가</t>
        </is>
      </c>
      <c r="AK1407" s="18" t="inlineStr">
        <is>
          <t>사용</t>
        </is>
      </c>
      <c r="AL1407" s="18" t="inlineStr">
        <is>
          <t>COBBLEVERSE 1.7.42 / DP v31</t>
        </is>
      </c>
      <c r="AM1407" s="18" t="inlineStr">
        <is>
          <t>data/cobblemon/spawn_pool_world/0379_registeel.json</t>
        </is>
      </c>
      <c r="AN1407" s="18" t="inlineStr">
        <is>
          <t>registeel-1</t>
        </is>
      </c>
      <c r="AO1407" s="18" t="inlineStr">
        <is>
          <t>pokemon</t>
        </is>
      </c>
      <c r="AP1407" s="18" t="inlineStr"/>
      <c r="AQ1407" s="18" t="inlineStr">
        <is>
          <t>{"biomes":["cobbleverse:custom_spawn/registeel_temple"]}</t>
        </is>
      </c>
      <c r="AR1407" s="18" t="inlineStr"/>
      <c r="AS1407" s="18" t="inlineStr"/>
      <c r="AT1407" s="19" t="inlineStr"/>
    </row>
    <row r="1408" ht="32" customHeight="1">
      <c r="A1408" s="18" t="inlineStr">
        <is>
          <t>0380_latias.json::latias-1::001</t>
        </is>
      </c>
      <c r="B1408" s="19" t="inlineStr">
        <is>
          <t>사용</t>
        </is>
      </c>
      <c r="C1408" s="18">
        <f>IF(OR(B1408&lt;&gt;AK1408,M1408&lt;&gt;L1408,O1408&lt;&gt;"",Q1408&lt;&gt;"",V1408&lt;&gt;1,Y1408&lt;&gt;"",AT1408&lt;&gt;""),"수정","원본")</f>
        <v/>
      </c>
      <c r="D1408" s="18" t="n">
        <v>380</v>
      </c>
      <c r="E1408" s="18" t="inlineStr">
        <is>
          <t>라티아스</t>
        </is>
      </c>
      <c r="F1408" s="18" t="inlineStr">
        <is>
          <t>latias</t>
        </is>
      </c>
      <c r="G1408" s="18" t="inlineStr">
        <is>
          <t>latias</t>
        </is>
      </c>
      <c r="H1408" s="18" t="inlineStr"/>
      <c r="I1408" s="18" t="n">
        <v>3</v>
      </c>
      <c r="J1408" s="18" t="n"/>
      <c r="K1408" s="18" t="n">
        <v>3</v>
      </c>
      <c r="L1408" s="18" t="inlineStr">
        <is>
          <t>cobbleventure:generation_3</t>
        </is>
      </c>
      <c r="M1408" s="19" t="inlineStr">
        <is>
          <t>cobbleventure:generation_3</t>
        </is>
      </c>
      <c r="N1408" s="18" t="inlineStr"/>
      <c r="O1408" s="19" t="inlineStr"/>
      <c r="P1408" s="18" t="inlineStr">
        <is>
          <t>cobbleverse:custom_spawn/secret_garden</t>
        </is>
      </c>
      <c r="Q1408" s="19" t="inlineStr"/>
      <c r="R1408" s="18">
        <f>IF(Q1408="",P1408,Q1408)</f>
        <v/>
      </c>
      <c r="S1408" s="18" t="inlineStr"/>
      <c r="T1408" s="18" t="inlineStr">
        <is>
          <t>ultra-rare</t>
        </is>
      </c>
      <c r="U1408" s="20" t="n">
        <v>0</v>
      </c>
      <c r="V1408" s="21" t="n">
        <v>1</v>
      </c>
      <c r="W1408" s="20">
        <f>IF(OR(U1408="",V1408=""),U1408,U1408*V1408)</f>
        <v/>
      </c>
      <c r="X1408" s="18" t="inlineStr">
        <is>
          <t>50-75</t>
        </is>
      </c>
      <c r="Y1408" s="19" t="inlineStr"/>
      <c r="Z1408" s="18">
        <f>IF(Y1408="",X1408,Y1408)</f>
        <v/>
      </c>
      <c r="AA1408" s="18" t="inlineStr">
        <is>
          <t>grounded</t>
        </is>
      </c>
      <c r="AB1408" s="18" t="inlineStr"/>
      <c r="AC1408" s="18" t="inlineStr"/>
      <c r="AD1408" s="18" t="inlineStr"/>
      <c r="AE1408" s="18" t="inlineStr"/>
      <c r="AF1408" s="18" t="inlineStr"/>
      <c r="AG1408" s="18" t="inlineStr"/>
      <c r="AH1408" s="18" t="inlineStr"/>
      <c r="AI1408" s="18" t="inlineStr"/>
      <c r="AJ1408" s="18" t="inlineStr">
        <is>
          <t>COBBLEVERSE 추가</t>
        </is>
      </c>
      <c r="AK1408" s="18" t="inlineStr">
        <is>
          <t>사용</t>
        </is>
      </c>
      <c r="AL1408" s="18" t="inlineStr">
        <is>
          <t>COBBLEVERSE 1.7.42 / DP v31</t>
        </is>
      </c>
      <c r="AM1408" s="18" t="inlineStr">
        <is>
          <t>data/cobblemon/spawn_pool_world/0380_latias.json</t>
        </is>
      </c>
      <c r="AN1408" s="18" t="inlineStr">
        <is>
          <t>latias-1</t>
        </is>
      </c>
      <c r="AO1408" s="18" t="inlineStr">
        <is>
          <t>pokemon</t>
        </is>
      </c>
      <c r="AP1408" s="18" t="inlineStr"/>
      <c r="AQ1408" s="18" t="inlineStr">
        <is>
          <t>{"biomes":["cobbleverse:custom_spawn/secret_garden"]}</t>
        </is>
      </c>
      <c r="AR1408" s="18" t="inlineStr"/>
      <c r="AS1408" s="18" t="inlineStr"/>
      <c r="AT1408" s="19" t="inlineStr"/>
    </row>
    <row r="1409" ht="32" customHeight="1">
      <c r="A1409" s="18" t="inlineStr">
        <is>
          <t>0381_latios.json::latios-1::001</t>
        </is>
      </c>
      <c r="B1409" s="19" t="inlineStr">
        <is>
          <t>사용</t>
        </is>
      </c>
      <c r="C1409" s="18">
        <f>IF(OR(B1409&lt;&gt;AK1409,M1409&lt;&gt;L1409,O1409&lt;&gt;"",Q1409&lt;&gt;"",V1409&lt;&gt;1,Y1409&lt;&gt;"",AT1409&lt;&gt;""),"수정","원본")</f>
        <v/>
      </c>
      <c r="D1409" s="18" t="n">
        <v>381</v>
      </c>
      <c r="E1409" s="18" t="inlineStr">
        <is>
          <t>라티오스</t>
        </is>
      </c>
      <c r="F1409" s="18" t="inlineStr">
        <is>
          <t>latios</t>
        </is>
      </c>
      <c r="G1409" s="18" t="inlineStr">
        <is>
          <t>latios</t>
        </is>
      </c>
      <c r="H1409" s="18" t="inlineStr"/>
      <c r="I1409" s="18" t="n">
        <v>3</v>
      </c>
      <c r="J1409" s="18" t="n"/>
      <c r="K1409" s="18" t="n">
        <v>3</v>
      </c>
      <c r="L1409" s="18" t="inlineStr">
        <is>
          <t>cobbleventure:generation_3</t>
        </is>
      </c>
      <c r="M1409" s="19" t="inlineStr">
        <is>
          <t>cobbleventure:generation_3</t>
        </is>
      </c>
      <c r="N1409" s="18" t="inlineStr"/>
      <c r="O1409" s="19" t="inlineStr"/>
      <c r="P1409" s="18" t="inlineStr">
        <is>
          <t>cobbleverse:custom_spawn/secret_garden</t>
        </is>
      </c>
      <c r="Q1409" s="19" t="inlineStr"/>
      <c r="R1409" s="18">
        <f>IF(Q1409="",P1409,Q1409)</f>
        <v/>
      </c>
      <c r="S1409" s="18" t="inlineStr"/>
      <c r="T1409" s="18" t="inlineStr">
        <is>
          <t>ultra-rare</t>
        </is>
      </c>
      <c r="U1409" s="20" t="n">
        <v>0</v>
      </c>
      <c r="V1409" s="21" t="n">
        <v>1</v>
      </c>
      <c r="W1409" s="20">
        <f>IF(OR(U1409="",V1409=""),U1409,U1409*V1409)</f>
        <v/>
      </c>
      <c r="X1409" s="18" t="inlineStr">
        <is>
          <t>50-75</t>
        </is>
      </c>
      <c r="Y1409" s="19" t="inlineStr"/>
      <c r="Z1409" s="18">
        <f>IF(Y1409="",X1409,Y1409)</f>
        <v/>
      </c>
      <c r="AA1409" s="18" t="inlineStr">
        <is>
          <t>grounded</t>
        </is>
      </c>
      <c r="AB1409" s="18" t="inlineStr"/>
      <c r="AC1409" s="18" t="inlineStr"/>
      <c r="AD1409" s="18" t="inlineStr"/>
      <c r="AE1409" s="18" t="inlineStr"/>
      <c r="AF1409" s="18" t="inlineStr"/>
      <c r="AG1409" s="18" t="inlineStr"/>
      <c r="AH1409" s="18" t="inlineStr"/>
      <c r="AI1409" s="18" t="inlineStr"/>
      <c r="AJ1409" s="18" t="inlineStr">
        <is>
          <t>COBBLEVERSE 추가</t>
        </is>
      </c>
      <c r="AK1409" s="18" t="inlineStr">
        <is>
          <t>사용</t>
        </is>
      </c>
      <c r="AL1409" s="18" t="inlineStr">
        <is>
          <t>COBBLEVERSE 1.7.42 / DP v31</t>
        </is>
      </c>
      <c r="AM1409" s="18" t="inlineStr">
        <is>
          <t>data/cobblemon/spawn_pool_world/0381_latios.json</t>
        </is>
      </c>
      <c r="AN1409" s="18" t="inlineStr">
        <is>
          <t>latios-1</t>
        </is>
      </c>
      <c r="AO1409" s="18" t="inlineStr">
        <is>
          <t>pokemon</t>
        </is>
      </c>
      <c r="AP1409" s="18" t="inlineStr"/>
      <c r="AQ1409" s="18" t="inlineStr">
        <is>
          <t>{"biomes":["cobbleverse:custom_spawn/secret_garden"]}</t>
        </is>
      </c>
      <c r="AR1409" s="18" t="inlineStr"/>
      <c r="AS1409" s="18" t="inlineStr"/>
      <c r="AT1409" s="19" t="inlineStr"/>
    </row>
    <row r="1410" ht="32" customHeight="1">
      <c r="A1410" s="18" t="inlineStr">
        <is>
          <t>0382_kyogre.json::kyogre-1::001</t>
        </is>
      </c>
      <c r="B1410" s="19" t="inlineStr">
        <is>
          <t>사용</t>
        </is>
      </c>
      <c r="C1410" s="18">
        <f>IF(OR(B1410&lt;&gt;AK1410,M1410&lt;&gt;L1410,O1410&lt;&gt;"",Q1410&lt;&gt;"",V1410&lt;&gt;1,Y1410&lt;&gt;"",AT1410&lt;&gt;""),"수정","원본")</f>
        <v/>
      </c>
      <c r="D1410" s="18" t="n">
        <v>382</v>
      </c>
      <c r="E1410" s="18" t="inlineStr">
        <is>
          <t>가이오가</t>
        </is>
      </c>
      <c r="F1410" s="18" t="inlineStr">
        <is>
          <t>kyogre</t>
        </is>
      </c>
      <c r="G1410" s="18" t="inlineStr">
        <is>
          <t>kyogre</t>
        </is>
      </c>
      <c r="H1410" s="18" t="inlineStr"/>
      <c r="I1410" s="18" t="n">
        <v>3</v>
      </c>
      <c r="J1410" s="18" t="n"/>
      <c r="K1410" s="18" t="n">
        <v>3</v>
      </c>
      <c r="L1410" s="18" t="inlineStr">
        <is>
          <t>cobbleventure:generation_3</t>
        </is>
      </c>
      <c r="M1410" s="19" t="inlineStr">
        <is>
          <t>cobbleventure:generation_3</t>
        </is>
      </c>
      <c r="N1410" s="18" t="inlineStr"/>
      <c r="O1410" s="19" t="inlineStr"/>
      <c r="P1410" s="18" t="inlineStr">
        <is>
          <t>cobbleverse:custom_spawn/kyogre_temple</t>
        </is>
      </c>
      <c r="Q1410" s="19" t="inlineStr"/>
      <c r="R1410" s="18">
        <f>IF(Q1410="",P1410,Q1410)</f>
        <v/>
      </c>
      <c r="S1410" s="18" t="inlineStr"/>
      <c r="T1410" s="18" t="inlineStr">
        <is>
          <t>ultra-rare</t>
        </is>
      </c>
      <c r="U1410" s="20" t="n">
        <v>0</v>
      </c>
      <c r="V1410" s="21" t="n">
        <v>1</v>
      </c>
      <c r="W1410" s="20">
        <f>IF(OR(U1410="",V1410=""),U1410,U1410*V1410)</f>
        <v/>
      </c>
      <c r="X1410" s="18" t="inlineStr">
        <is>
          <t>60-70</t>
        </is>
      </c>
      <c r="Y1410" s="19" t="inlineStr"/>
      <c r="Z1410" s="18">
        <f>IF(Y1410="",X1410,Y1410)</f>
        <v/>
      </c>
      <c r="AA1410" s="18" t="inlineStr">
        <is>
          <t>grounded</t>
        </is>
      </c>
      <c r="AB1410" s="18" t="inlineStr"/>
      <c r="AC1410" s="18" t="inlineStr"/>
      <c r="AD1410" s="18" t="inlineStr"/>
      <c r="AE1410" s="18" t="inlineStr"/>
      <c r="AF1410" s="18" t="inlineStr"/>
      <c r="AG1410" s="18" t="inlineStr"/>
      <c r="AH1410" s="18" t="inlineStr"/>
      <c r="AI1410" s="18" t="inlineStr"/>
      <c r="AJ1410" s="18" t="inlineStr">
        <is>
          <t>COBBLEVERSE 추가</t>
        </is>
      </c>
      <c r="AK1410" s="18" t="inlineStr">
        <is>
          <t>사용</t>
        </is>
      </c>
      <c r="AL1410" s="18" t="inlineStr">
        <is>
          <t>COBBLEVERSE 1.7.42 / DP v31</t>
        </is>
      </c>
      <c r="AM1410" s="18" t="inlineStr">
        <is>
          <t>data/cobblemon/spawn_pool_world/0382_kyogre.json</t>
        </is>
      </c>
      <c r="AN1410" s="18" t="inlineStr">
        <is>
          <t>kyogre-1</t>
        </is>
      </c>
      <c r="AO1410" s="18" t="inlineStr">
        <is>
          <t>pokemon</t>
        </is>
      </c>
      <c r="AP1410" s="18" t="inlineStr"/>
      <c r="AQ1410" s="18" t="inlineStr">
        <is>
          <t>{"biomes":["cobbleverse:custom_spawn/kyogre_temple"]}</t>
        </is>
      </c>
      <c r="AR1410" s="18" t="inlineStr"/>
      <c r="AS1410" s="18" t="inlineStr"/>
      <c r="AT1410" s="19" t="inlineStr"/>
    </row>
    <row r="1411" ht="32" customHeight="1">
      <c r="A1411" s="18" t="inlineStr">
        <is>
          <t>0383_groudon.json::groudon-1::001</t>
        </is>
      </c>
      <c r="B1411" s="19" t="inlineStr">
        <is>
          <t>사용</t>
        </is>
      </c>
      <c r="C1411" s="18">
        <f>IF(OR(B1411&lt;&gt;AK1411,M1411&lt;&gt;L1411,O1411&lt;&gt;"",Q1411&lt;&gt;"",V1411&lt;&gt;1,Y1411&lt;&gt;"",AT1411&lt;&gt;""),"수정","원본")</f>
        <v/>
      </c>
      <c r="D1411" s="18" t="n">
        <v>383</v>
      </c>
      <c r="E1411" s="18" t="inlineStr">
        <is>
          <t>그란돈</t>
        </is>
      </c>
      <c r="F1411" s="18" t="inlineStr">
        <is>
          <t>groudon</t>
        </is>
      </c>
      <c r="G1411" s="18" t="inlineStr">
        <is>
          <t>groudon</t>
        </is>
      </c>
      <c r="H1411" s="18" t="inlineStr"/>
      <c r="I1411" s="18" t="n">
        <v>3</v>
      </c>
      <c r="J1411" s="18" t="n"/>
      <c r="K1411" s="18" t="n">
        <v>3</v>
      </c>
      <c r="L1411" s="18" t="inlineStr">
        <is>
          <t>cobbleventure:generation_3</t>
        </is>
      </c>
      <c r="M1411" s="19" t="inlineStr">
        <is>
          <t>cobbleventure:generation_3</t>
        </is>
      </c>
      <c r="N1411" s="18" t="inlineStr"/>
      <c r="O1411" s="19" t="inlineStr"/>
      <c r="P1411" s="18" t="inlineStr">
        <is>
          <t>cobbleverse:custom_spawn/groudon_vulcano</t>
        </is>
      </c>
      <c r="Q1411" s="19" t="inlineStr"/>
      <c r="R1411" s="18">
        <f>IF(Q1411="",P1411,Q1411)</f>
        <v/>
      </c>
      <c r="S1411" s="18" t="inlineStr"/>
      <c r="T1411" s="18" t="inlineStr">
        <is>
          <t>ultra-rare</t>
        </is>
      </c>
      <c r="U1411" s="20" t="n">
        <v>0</v>
      </c>
      <c r="V1411" s="21" t="n">
        <v>1</v>
      </c>
      <c r="W1411" s="20">
        <f>IF(OR(U1411="",V1411=""),U1411,U1411*V1411)</f>
        <v/>
      </c>
      <c r="X1411" s="18" t="inlineStr">
        <is>
          <t>60-70</t>
        </is>
      </c>
      <c r="Y1411" s="19" t="inlineStr"/>
      <c r="Z1411" s="18">
        <f>IF(Y1411="",X1411,Y1411)</f>
        <v/>
      </c>
      <c r="AA1411" s="18" t="inlineStr">
        <is>
          <t>grounded</t>
        </is>
      </c>
      <c r="AB1411" s="18" t="inlineStr"/>
      <c r="AC1411" s="18" t="inlineStr"/>
      <c r="AD1411" s="18" t="inlineStr"/>
      <c r="AE1411" s="18" t="inlineStr"/>
      <c r="AF1411" s="18" t="inlineStr"/>
      <c r="AG1411" s="18" t="inlineStr"/>
      <c r="AH1411" s="18" t="inlineStr"/>
      <c r="AI1411" s="18" t="inlineStr"/>
      <c r="AJ1411" s="18" t="inlineStr">
        <is>
          <t>COBBLEVERSE 추가</t>
        </is>
      </c>
      <c r="AK1411" s="18" t="inlineStr">
        <is>
          <t>사용</t>
        </is>
      </c>
      <c r="AL1411" s="18" t="inlineStr">
        <is>
          <t>COBBLEVERSE 1.7.42 / DP v31</t>
        </is>
      </c>
      <c r="AM1411" s="18" t="inlineStr">
        <is>
          <t>data/cobblemon/spawn_pool_world/0383_groudon.json</t>
        </is>
      </c>
      <c r="AN1411" s="18" t="inlineStr">
        <is>
          <t>groudon-1</t>
        </is>
      </c>
      <c r="AO1411" s="18" t="inlineStr">
        <is>
          <t>pokemon</t>
        </is>
      </c>
      <c r="AP1411" s="18" t="inlineStr"/>
      <c r="AQ1411" s="18" t="inlineStr">
        <is>
          <t>{"biomes":["cobbleverse:custom_spawn/groudon_vulcano"]}</t>
        </is>
      </c>
      <c r="AR1411" s="18" t="inlineStr"/>
      <c r="AS1411" s="18" t="inlineStr"/>
      <c r="AT1411" s="19" t="inlineStr"/>
    </row>
    <row r="1412" ht="32" customHeight="1">
      <c r="A1412" s="18" t="inlineStr">
        <is>
          <t>0384_rayquaza.json::rayquaza-1::001</t>
        </is>
      </c>
      <c r="B1412" s="19" t="inlineStr">
        <is>
          <t>사용</t>
        </is>
      </c>
      <c r="C1412" s="18">
        <f>IF(OR(B1412&lt;&gt;AK1412,M1412&lt;&gt;L1412,O1412&lt;&gt;"",Q1412&lt;&gt;"",V1412&lt;&gt;1,Y1412&lt;&gt;"",AT1412&lt;&gt;""),"수정","원본")</f>
        <v/>
      </c>
      <c r="D1412" s="18" t="n">
        <v>384</v>
      </c>
      <c r="E1412" s="18" t="inlineStr">
        <is>
          <t>레쿠쟈</t>
        </is>
      </c>
      <c r="F1412" s="18" t="inlineStr">
        <is>
          <t>rayquaza</t>
        </is>
      </c>
      <c r="G1412" s="18" t="inlineStr">
        <is>
          <t>rayquaza</t>
        </is>
      </c>
      <c r="H1412" s="18" t="inlineStr"/>
      <c r="I1412" s="18" t="n">
        <v>3</v>
      </c>
      <c r="J1412" s="18" t="n"/>
      <c r="K1412" s="18" t="n">
        <v>3</v>
      </c>
      <c r="L1412" s="18" t="inlineStr">
        <is>
          <t>cobbleventure:generation_3</t>
        </is>
      </c>
      <c r="M1412" s="19" t="inlineStr">
        <is>
          <t>cobbleventure:generation_3</t>
        </is>
      </c>
      <c r="N1412" s="18" t="inlineStr"/>
      <c r="O1412" s="19" t="inlineStr"/>
      <c r="P1412" s="18" t="inlineStr">
        <is>
          <t>cobbleverse:custom_spawn/sky_pillar</t>
        </is>
      </c>
      <c r="Q1412" s="19" t="inlineStr"/>
      <c r="R1412" s="18">
        <f>IF(Q1412="",P1412,Q1412)</f>
        <v/>
      </c>
      <c r="S1412" s="18" t="inlineStr"/>
      <c r="T1412" s="18" t="inlineStr">
        <is>
          <t>ultra-rare</t>
        </is>
      </c>
      <c r="U1412" s="20" t="n">
        <v>0</v>
      </c>
      <c r="V1412" s="21" t="n">
        <v>1</v>
      </c>
      <c r="W1412" s="20">
        <f>IF(OR(U1412="",V1412=""),U1412,U1412*V1412)</f>
        <v/>
      </c>
      <c r="X1412" s="18" t="inlineStr">
        <is>
          <t>70-80</t>
        </is>
      </c>
      <c r="Y1412" s="19" t="inlineStr"/>
      <c r="Z1412" s="18">
        <f>IF(Y1412="",X1412,Y1412)</f>
        <v/>
      </c>
      <c r="AA1412" s="18" t="inlineStr">
        <is>
          <t>grounded</t>
        </is>
      </c>
      <c r="AB1412" s="18" t="inlineStr"/>
      <c r="AC1412" s="18" t="inlineStr"/>
      <c r="AD1412" s="18" t="inlineStr"/>
      <c r="AE1412" s="18" t="inlineStr"/>
      <c r="AF1412" s="18" t="inlineStr"/>
      <c r="AG1412" s="18" t="inlineStr"/>
      <c r="AH1412" s="18" t="inlineStr"/>
      <c r="AI1412" s="18" t="inlineStr"/>
      <c r="AJ1412" s="18" t="inlineStr">
        <is>
          <t>COBBLEVERSE 추가</t>
        </is>
      </c>
      <c r="AK1412" s="18" t="inlineStr">
        <is>
          <t>사용</t>
        </is>
      </c>
      <c r="AL1412" s="18" t="inlineStr">
        <is>
          <t>COBBLEVERSE 1.7.42 / DP v31</t>
        </is>
      </c>
      <c r="AM1412" s="18" t="inlineStr">
        <is>
          <t>data/cobblemon/spawn_pool_world/0384_rayquaza.json</t>
        </is>
      </c>
      <c r="AN1412" s="18" t="inlineStr">
        <is>
          <t>rayquaza-1</t>
        </is>
      </c>
      <c r="AO1412" s="18" t="inlineStr">
        <is>
          <t>pokemon</t>
        </is>
      </c>
      <c r="AP1412" s="18" t="inlineStr"/>
      <c r="AQ1412" s="18" t="inlineStr">
        <is>
          <t>{"biomes":["cobbleverse:custom_spawn/sky_pillar"]}</t>
        </is>
      </c>
      <c r="AR1412" s="18" t="inlineStr"/>
      <c r="AS1412" s="18" t="inlineStr"/>
      <c r="AT1412" s="19" t="inlineStr"/>
    </row>
    <row r="1413" ht="32" customHeight="1">
      <c r="A1413" s="18" t="inlineStr">
        <is>
          <t>0385_jirachi.json::jirachi-1::001</t>
        </is>
      </c>
      <c r="B1413" s="19" t="inlineStr">
        <is>
          <t>사용</t>
        </is>
      </c>
      <c r="C1413" s="18">
        <f>IF(OR(B1413&lt;&gt;AK1413,M1413&lt;&gt;L1413,O1413&lt;&gt;"",Q1413&lt;&gt;"",V1413&lt;&gt;1,Y1413&lt;&gt;"",AT1413&lt;&gt;""),"수정","원본")</f>
        <v/>
      </c>
      <c r="D1413" s="18" t="n">
        <v>385</v>
      </c>
      <c r="E1413" s="18" t="inlineStr">
        <is>
          <t>지라치</t>
        </is>
      </c>
      <c r="F1413" s="18" t="inlineStr">
        <is>
          <t>jirachi</t>
        </is>
      </c>
      <c r="G1413" s="18" t="inlineStr">
        <is>
          <t>jirachi</t>
        </is>
      </c>
      <c r="H1413" s="18" t="inlineStr"/>
      <c r="I1413" s="18" t="n">
        <v>3</v>
      </c>
      <c r="J1413" s="18" t="n"/>
      <c r="K1413" s="18" t="n">
        <v>3</v>
      </c>
      <c r="L1413" s="18" t="inlineStr">
        <is>
          <t>cobbleventure:generation_3</t>
        </is>
      </c>
      <c r="M1413" s="19" t="inlineStr">
        <is>
          <t>cobbleventure:generation_3</t>
        </is>
      </c>
      <c r="N1413" s="18" t="inlineStr"/>
      <c r="O1413" s="19" t="inlineStr"/>
      <c r="P1413" s="18" t="inlineStr">
        <is>
          <t>cobbleverse:custom_spawn/jirachi_structure</t>
        </is>
      </c>
      <c r="Q1413" s="19" t="inlineStr"/>
      <c r="R1413" s="18">
        <f>IF(Q1413="",P1413,Q1413)</f>
        <v/>
      </c>
      <c r="S1413" s="18" t="inlineStr"/>
      <c r="T1413" s="18" t="inlineStr">
        <is>
          <t>ultra-rare</t>
        </is>
      </c>
      <c r="U1413" s="20" t="n">
        <v>0</v>
      </c>
      <c r="V1413" s="21" t="n">
        <v>1</v>
      </c>
      <c r="W1413" s="20">
        <f>IF(OR(U1413="",V1413=""),U1413,U1413*V1413)</f>
        <v/>
      </c>
      <c r="X1413" s="18" t="inlineStr">
        <is>
          <t>75-80</t>
        </is>
      </c>
      <c r="Y1413" s="19" t="inlineStr"/>
      <c r="Z1413" s="18">
        <f>IF(Y1413="",X1413,Y1413)</f>
        <v/>
      </c>
      <c r="AA1413" s="18" t="inlineStr">
        <is>
          <t>grounded</t>
        </is>
      </c>
      <c r="AB1413" s="18" t="inlineStr"/>
      <c r="AC1413" s="18" t="inlineStr"/>
      <c r="AD1413" s="18" t="inlineStr"/>
      <c r="AE1413" s="18" t="inlineStr"/>
      <c r="AF1413" s="18" t="inlineStr"/>
      <c r="AG1413" s="18" t="inlineStr"/>
      <c r="AH1413" s="18" t="inlineStr"/>
      <c r="AI1413" s="18" t="inlineStr"/>
      <c r="AJ1413" s="18" t="inlineStr">
        <is>
          <t>COBBLEVERSE 추가</t>
        </is>
      </c>
      <c r="AK1413" s="18" t="inlineStr">
        <is>
          <t>사용</t>
        </is>
      </c>
      <c r="AL1413" s="18" t="inlineStr">
        <is>
          <t>COBBLEVERSE 1.7.42 / DP v31</t>
        </is>
      </c>
      <c r="AM1413" s="18" t="inlineStr">
        <is>
          <t>data/cobblemon/spawn_pool_world/0385_jirachi.json</t>
        </is>
      </c>
      <c r="AN1413" s="18" t="inlineStr">
        <is>
          <t>jirachi-1</t>
        </is>
      </c>
      <c r="AO1413" s="18" t="inlineStr">
        <is>
          <t>pokemon</t>
        </is>
      </c>
      <c r="AP1413" s="18" t="inlineStr"/>
      <c r="AQ1413" s="18" t="inlineStr">
        <is>
          <t>{"biomes":["cobbleverse:custom_spawn/jirachi_structure"]}</t>
        </is>
      </c>
      <c r="AR1413" s="18" t="inlineStr"/>
      <c r="AS1413" s="18" t="inlineStr"/>
      <c r="AT1413" s="19" t="inlineStr"/>
    </row>
    <row r="1414" ht="32" customHeight="1">
      <c r="A1414" s="18" t="inlineStr">
        <is>
          <t>0386_deoxys.json::deoxys-1::001</t>
        </is>
      </c>
      <c r="B1414" s="19" t="inlineStr">
        <is>
          <t>사용</t>
        </is>
      </c>
      <c r="C1414" s="18">
        <f>IF(OR(B1414&lt;&gt;AK1414,M1414&lt;&gt;L1414,O1414&lt;&gt;"",Q1414&lt;&gt;"",V1414&lt;&gt;1,Y1414&lt;&gt;"",AT1414&lt;&gt;""),"수정","원본")</f>
        <v/>
      </c>
      <c r="D1414" s="18" t="n">
        <v>386</v>
      </c>
      <c r="E1414" s="18" t="inlineStr">
        <is>
          <t>테오키스</t>
        </is>
      </c>
      <c r="F1414" s="18" t="inlineStr">
        <is>
          <t>deoxys</t>
        </is>
      </c>
      <c r="G1414" s="18" t="inlineStr">
        <is>
          <t>deoxys</t>
        </is>
      </c>
      <c r="H1414" s="18" t="inlineStr"/>
      <c r="I1414" s="18" t="n">
        <v>3</v>
      </c>
      <c r="J1414" s="18" t="n"/>
      <c r="K1414" s="18" t="n">
        <v>3</v>
      </c>
      <c r="L1414" s="18" t="inlineStr">
        <is>
          <t>cobbleventure:generation_3</t>
        </is>
      </c>
      <c r="M1414" s="19" t="inlineStr">
        <is>
          <t>cobbleventure:generation_3</t>
        </is>
      </c>
      <c r="N1414" s="18" t="inlineStr"/>
      <c r="O1414" s="19" t="inlineStr"/>
      <c r="P1414" s="18" t="inlineStr">
        <is>
          <t>cobbleverse:custom_spawn/deoxys_meteorite</t>
        </is>
      </c>
      <c r="Q1414" s="19" t="inlineStr"/>
      <c r="R1414" s="18">
        <f>IF(Q1414="",P1414,Q1414)</f>
        <v/>
      </c>
      <c r="S1414" s="18" t="inlineStr"/>
      <c r="T1414" s="18" t="inlineStr">
        <is>
          <t>ultra-rare</t>
        </is>
      </c>
      <c r="U1414" s="20" t="n">
        <v>0</v>
      </c>
      <c r="V1414" s="21" t="n">
        <v>1</v>
      </c>
      <c r="W1414" s="20">
        <f>IF(OR(U1414="",V1414=""),U1414,U1414*V1414)</f>
        <v/>
      </c>
      <c r="X1414" s="18" t="inlineStr">
        <is>
          <t>75-80</t>
        </is>
      </c>
      <c r="Y1414" s="19" t="inlineStr"/>
      <c r="Z1414" s="18">
        <f>IF(Y1414="",X1414,Y1414)</f>
        <v/>
      </c>
      <c r="AA1414" s="18" t="inlineStr">
        <is>
          <t>grounded</t>
        </is>
      </c>
      <c r="AB1414" s="18" t="inlineStr"/>
      <c r="AC1414" s="18" t="inlineStr"/>
      <c r="AD1414" s="18" t="inlineStr"/>
      <c r="AE1414" s="18" t="inlineStr"/>
      <c r="AF1414" s="18" t="inlineStr"/>
      <c r="AG1414" s="18" t="inlineStr"/>
      <c r="AH1414" s="18" t="inlineStr"/>
      <c r="AI1414" s="18" t="inlineStr"/>
      <c r="AJ1414" s="18" t="inlineStr">
        <is>
          <t>COBBLEVERSE 추가</t>
        </is>
      </c>
      <c r="AK1414" s="18" t="inlineStr">
        <is>
          <t>사용</t>
        </is>
      </c>
      <c r="AL1414" s="18" t="inlineStr">
        <is>
          <t>COBBLEVERSE 1.7.42 / DP v31</t>
        </is>
      </c>
      <c r="AM1414" s="18" t="inlineStr">
        <is>
          <t>data/cobblemon/spawn_pool_world/0386_deoxys.json</t>
        </is>
      </c>
      <c r="AN1414" s="18" t="inlineStr">
        <is>
          <t>deoxys-1</t>
        </is>
      </c>
      <c r="AO1414" s="18" t="inlineStr">
        <is>
          <t>pokemon</t>
        </is>
      </c>
      <c r="AP1414" s="18" t="inlineStr"/>
      <c r="AQ1414" s="18" t="inlineStr">
        <is>
          <t>{"biomes":["cobbleverse:custom_spawn/deoxys_meteorite"]}</t>
        </is>
      </c>
      <c r="AR1414" s="18" t="inlineStr"/>
      <c r="AS1414" s="18" t="inlineStr"/>
      <c r="AT1414" s="19" t="inlineStr"/>
    </row>
    <row r="1415" ht="32" customHeight="1">
      <c r="A1415" s="18" t="inlineStr">
        <is>
          <t>0387_turtwig.json::turtwig-1::001</t>
        </is>
      </c>
      <c r="B1415" s="19" t="inlineStr">
        <is>
          <t>사용</t>
        </is>
      </c>
      <c r="C1415" s="18">
        <f>IF(OR(B1415&lt;&gt;AK1415,M1415&lt;&gt;L1415,O1415&lt;&gt;"",Q1415&lt;&gt;"",V1415&lt;&gt;1,Y1415&lt;&gt;"",AT1415&lt;&gt;""),"수정","원본")</f>
        <v/>
      </c>
      <c r="D1415" s="18" t="n">
        <v>387</v>
      </c>
      <c r="E1415" s="18" t="inlineStr">
        <is>
          <t>모부기</t>
        </is>
      </c>
      <c r="F1415" s="18" t="inlineStr">
        <is>
          <t>turtwig</t>
        </is>
      </c>
      <c r="G1415" s="18" t="inlineStr">
        <is>
          <t>turtwig</t>
        </is>
      </c>
      <c r="H1415" s="18" t="inlineStr"/>
      <c r="I1415" s="18" t="n">
        <v>4</v>
      </c>
      <c r="J1415" s="18" t="n"/>
      <c r="K1415" s="18" t="n">
        <v>4</v>
      </c>
      <c r="L1415" s="18" t="inlineStr">
        <is>
          <t>cobbleventure:generation_4</t>
        </is>
      </c>
      <c r="M1415" s="19" t="inlineStr">
        <is>
          <t>cobbleventure:generation_4</t>
        </is>
      </c>
      <c r="N1415" s="18" t="inlineStr">
        <is>
          <t>region_01</t>
        </is>
      </c>
      <c r="O1415" s="19" t="inlineStr"/>
      <c r="P1415" s="18" t="inlineStr">
        <is>
          <t>#cobblemon:is_forest</t>
        </is>
      </c>
      <c r="Q1415" s="19" t="inlineStr"/>
      <c r="R1415" s="18">
        <f>IF(Q1415="",P1415,Q1415)</f>
        <v/>
      </c>
      <c r="S1415" s="18" t="inlineStr">
        <is>
          <t>#cobblemon:is_spooky</t>
        </is>
      </c>
      <c r="T1415" s="18" t="inlineStr">
        <is>
          <t>ultra-rare</t>
        </is>
      </c>
      <c r="U1415" s="20" t="n">
        <v>6</v>
      </c>
      <c r="V1415" s="21" t="n">
        <v>1</v>
      </c>
      <c r="W1415" s="20">
        <f>IF(OR(U1415="",V1415=""),U1415,U1415*V1415)</f>
        <v/>
      </c>
      <c r="X1415" s="18" t="inlineStr">
        <is>
          <t>5-32</t>
        </is>
      </c>
      <c r="Y1415" s="19" t="inlineStr"/>
      <c r="Z1415" s="18">
        <f>IF(Y1415="",X1415,Y1415)</f>
        <v/>
      </c>
      <c r="AA1415" s="18" t="inlineStr">
        <is>
          <t>grounded</t>
        </is>
      </c>
      <c r="AB1415" s="18" t="inlineStr"/>
      <c r="AC1415" s="18" t="inlineStr"/>
      <c r="AD1415" s="18" t="inlineStr"/>
      <c r="AE1415" s="18" t="inlineStr">
        <is>
          <t>sky 8-15</t>
        </is>
      </c>
      <c r="AF1415" s="18" t="inlineStr"/>
      <c r="AG1415" s="18" t="inlineStr"/>
      <c r="AH1415" s="18" t="inlineStr"/>
      <c r="AI1415" s="18" t="inlineStr"/>
      <c r="AJ1415" s="18" t="inlineStr">
        <is>
          <t>Cobblemon 동일</t>
        </is>
      </c>
      <c r="AK1415" s="18" t="inlineStr">
        <is>
          <t>사용</t>
        </is>
      </c>
      <c r="AL1415" s="18" t="inlineStr">
        <is>
          <t>COBBLEVERSE 1.7.42 / DP v31</t>
        </is>
      </c>
      <c r="AM1415" s="18" t="inlineStr">
        <is>
          <t>data/cobblemon/spawn_pool_world/0387_turtwig.json</t>
        </is>
      </c>
      <c r="AN1415" s="18" t="inlineStr">
        <is>
          <t>turtwig-1</t>
        </is>
      </c>
      <c r="AO1415" s="18" t="inlineStr">
        <is>
          <t>pokemon</t>
        </is>
      </c>
      <c r="AP1415" s="18" t="inlineStr">
        <is>
          <t>natural</t>
        </is>
      </c>
      <c r="AQ1415" s="18" t="inlineStr">
        <is>
          <t>{"biomes":["#cobblemon:is_forest"],"maxSkyLight":15,"minSkyLight":8}</t>
        </is>
      </c>
      <c r="AR1415" s="18" t="inlineStr">
        <is>
          <t>{"biomes":["#cobblemon:is_spooky"]}</t>
        </is>
      </c>
      <c r="AS1415" s="18" t="inlineStr"/>
      <c r="AT1415" s="19" t="inlineStr"/>
    </row>
    <row r="1416" ht="32" customHeight="1">
      <c r="A1416" s="18" t="inlineStr">
        <is>
          <t>0388_grotle.json::grotle-1::001</t>
        </is>
      </c>
      <c r="B1416" s="19" t="inlineStr">
        <is>
          <t>사용</t>
        </is>
      </c>
      <c r="C1416" s="18">
        <f>IF(OR(B1416&lt;&gt;AK1416,M1416&lt;&gt;L1416,O1416&lt;&gt;"",Q1416&lt;&gt;"",V1416&lt;&gt;1,Y1416&lt;&gt;"",AT1416&lt;&gt;""),"수정","원본")</f>
        <v/>
      </c>
      <c r="D1416" s="18" t="n">
        <v>388</v>
      </c>
      <c r="E1416" s="18" t="inlineStr">
        <is>
          <t>수풀부기</t>
        </is>
      </c>
      <c r="F1416" s="18" t="inlineStr">
        <is>
          <t>grotle</t>
        </is>
      </c>
      <c r="G1416" s="18" t="inlineStr">
        <is>
          <t>grotle</t>
        </is>
      </c>
      <c r="H1416" s="18" t="inlineStr"/>
      <c r="I1416" s="18" t="n">
        <v>4</v>
      </c>
      <c r="J1416" s="18" t="n"/>
      <c r="K1416" s="18" t="n">
        <v>4</v>
      </c>
      <c r="L1416" s="18" t="inlineStr">
        <is>
          <t>cobbleventure:generation_4</t>
        </is>
      </c>
      <c r="M1416" s="19" t="inlineStr">
        <is>
          <t>cobbleventure:generation_4</t>
        </is>
      </c>
      <c r="N1416" s="18" t="inlineStr">
        <is>
          <t>region_01</t>
        </is>
      </c>
      <c r="O1416" s="19" t="inlineStr"/>
      <c r="P1416" s="18" t="inlineStr">
        <is>
          <t>#cobblemon:is_forest</t>
        </is>
      </c>
      <c r="Q1416" s="19" t="inlineStr"/>
      <c r="R1416" s="18">
        <f>IF(Q1416="",P1416,Q1416)</f>
        <v/>
      </c>
      <c r="S1416" s="18" t="inlineStr">
        <is>
          <t>#cobblemon:is_spooky</t>
        </is>
      </c>
      <c r="T1416" s="18" t="inlineStr">
        <is>
          <t>ultra-rare</t>
        </is>
      </c>
      <c r="U1416" s="20" t="n">
        <v>3.6</v>
      </c>
      <c r="V1416" s="21" t="n">
        <v>1</v>
      </c>
      <c r="W1416" s="20">
        <f>IF(OR(U1416="",V1416=""),U1416,U1416*V1416)</f>
        <v/>
      </c>
      <c r="X1416" s="18" t="inlineStr">
        <is>
          <t>18-41</t>
        </is>
      </c>
      <c r="Y1416" s="19" t="inlineStr"/>
      <c r="Z1416" s="18">
        <f>IF(Y1416="",X1416,Y1416)</f>
        <v/>
      </c>
      <c r="AA1416" s="18" t="inlineStr">
        <is>
          <t>grounded</t>
        </is>
      </c>
      <c r="AB1416" s="18" t="inlineStr"/>
      <c r="AC1416" s="18" t="inlineStr"/>
      <c r="AD1416" s="18" t="inlineStr"/>
      <c r="AE1416" s="18" t="inlineStr">
        <is>
          <t>sky 8-15</t>
        </is>
      </c>
      <c r="AF1416" s="18" t="inlineStr"/>
      <c r="AG1416" s="18" t="inlineStr"/>
      <c r="AH1416" s="18" t="inlineStr"/>
      <c r="AI1416" s="18" t="inlineStr"/>
      <c r="AJ1416" s="18" t="inlineStr">
        <is>
          <t>Cobblemon 동일</t>
        </is>
      </c>
      <c r="AK1416" s="18" t="inlineStr">
        <is>
          <t>사용</t>
        </is>
      </c>
      <c r="AL1416" s="18" t="inlineStr">
        <is>
          <t>COBBLEVERSE 1.7.42 / DP v31</t>
        </is>
      </c>
      <c r="AM1416" s="18" t="inlineStr">
        <is>
          <t>data/cobblemon/spawn_pool_world/0388_grotle.json</t>
        </is>
      </c>
      <c r="AN1416" s="18" t="inlineStr">
        <is>
          <t>grotle-1</t>
        </is>
      </c>
      <c r="AO1416" s="18" t="inlineStr">
        <is>
          <t>pokemon</t>
        </is>
      </c>
      <c r="AP1416" s="18" t="inlineStr">
        <is>
          <t>natural</t>
        </is>
      </c>
      <c r="AQ1416" s="18" t="inlineStr">
        <is>
          <t>{"biomes":["#cobblemon:is_forest"],"maxSkyLight":15,"minSkyLight":8}</t>
        </is>
      </c>
      <c r="AR1416" s="18" t="inlineStr">
        <is>
          <t>{"biomes":["#cobblemon:is_spooky"]}</t>
        </is>
      </c>
      <c r="AS1416" s="18" t="inlineStr"/>
      <c r="AT1416" s="19" t="inlineStr"/>
    </row>
    <row r="1417" ht="32" customHeight="1">
      <c r="A1417" s="18" t="inlineStr">
        <is>
          <t>0389_torterra.json::torterra-1::001</t>
        </is>
      </c>
      <c r="B1417" s="19" t="inlineStr">
        <is>
          <t>사용</t>
        </is>
      </c>
      <c r="C1417" s="18">
        <f>IF(OR(B1417&lt;&gt;AK1417,M1417&lt;&gt;L1417,O1417&lt;&gt;"",Q1417&lt;&gt;"",V1417&lt;&gt;1,Y1417&lt;&gt;"",AT1417&lt;&gt;""),"수정","원본")</f>
        <v/>
      </c>
      <c r="D1417" s="18" t="n">
        <v>389</v>
      </c>
      <c r="E1417" s="18" t="inlineStr">
        <is>
          <t>토대부기</t>
        </is>
      </c>
      <c r="F1417" s="18" t="inlineStr">
        <is>
          <t>torterra</t>
        </is>
      </c>
      <c r="G1417" s="18" t="inlineStr">
        <is>
          <t>torterra</t>
        </is>
      </c>
      <c r="H1417" s="18" t="inlineStr"/>
      <c r="I1417" s="18" t="n">
        <v>4</v>
      </c>
      <c r="J1417" s="18" t="n"/>
      <c r="K1417" s="18" t="n">
        <v>4</v>
      </c>
      <c r="L1417" s="18" t="inlineStr">
        <is>
          <t>cobbleventure:generation_4</t>
        </is>
      </c>
      <c r="M1417" s="19" t="inlineStr">
        <is>
          <t>cobbleventure:generation_4</t>
        </is>
      </c>
      <c r="N1417" s="18" t="inlineStr">
        <is>
          <t>region_01</t>
        </is>
      </c>
      <c r="O1417" s="19" t="inlineStr"/>
      <c r="P1417" s="18" t="inlineStr">
        <is>
          <t>#cobblemon:is_forest</t>
        </is>
      </c>
      <c r="Q1417" s="19" t="inlineStr"/>
      <c r="R1417" s="18">
        <f>IF(Q1417="",P1417,Q1417)</f>
        <v/>
      </c>
      <c r="S1417" s="18" t="inlineStr">
        <is>
          <t>#cobblemon:is_spooky</t>
        </is>
      </c>
      <c r="T1417" s="18" t="inlineStr">
        <is>
          <t>ultra-rare</t>
        </is>
      </c>
      <c r="U1417" s="20" t="n">
        <v>0.4</v>
      </c>
      <c r="V1417" s="21" t="n">
        <v>1</v>
      </c>
      <c r="W1417" s="20">
        <f>IF(OR(U1417="",V1417=""),U1417,U1417*V1417)</f>
        <v/>
      </c>
      <c r="X1417" s="18" t="inlineStr">
        <is>
          <t>32-53</t>
        </is>
      </c>
      <c r="Y1417" s="19" t="inlineStr"/>
      <c r="Z1417" s="18">
        <f>IF(Y1417="",X1417,Y1417)</f>
        <v/>
      </c>
      <c r="AA1417" s="18" t="inlineStr">
        <is>
          <t>grounded</t>
        </is>
      </c>
      <c r="AB1417" s="18" t="inlineStr"/>
      <c r="AC1417" s="18" t="inlineStr"/>
      <c r="AD1417" s="18" t="inlineStr"/>
      <c r="AE1417" s="18" t="inlineStr">
        <is>
          <t>sky 8-15</t>
        </is>
      </c>
      <c r="AF1417" s="18" t="inlineStr"/>
      <c r="AG1417" s="18" t="inlineStr"/>
      <c r="AH1417" s="18" t="inlineStr"/>
      <c r="AI1417" s="18" t="inlineStr"/>
      <c r="AJ1417" s="18" t="inlineStr">
        <is>
          <t>Cobblemon 동일</t>
        </is>
      </c>
      <c r="AK1417" s="18" t="inlineStr">
        <is>
          <t>사용</t>
        </is>
      </c>
      <c r="AL1417" s="18" t="inlineStr">
        <is>
          <t>COBBLEVERSE 1.7.42 / DP v31</t>
        </is>
      </c>
      <c r="AM1417" s="18" t="inlineStr">
        <is>
          <t>data/cobblemon/spawn_pool_world/0389_torterra.json</t>
        </is>
      </c>
      <c r="AN1417" s="18" t="inlineStr">
        <is>
          <t>torterra-1</t>
        </is>
      </c>
      <c r="AO1417" s="18" t="inlineStr">
        <is>
          <t>pokemon</t>
        </is>
      </c>
      <c r="AP1417" s="18" t="inlineStr">
        <is>
          <t>natural</t>
        </is>
      </c>
      <c r="AQ1417" s="18" t="inlineStr">
        <is>
          <t>{"biomes":["#cobblemon:is_forest"],"maxSkyLight":15,"minSkyLight":8}</t>
        </is>
      </c>
      <c r="AR1417" s="18" t="inlineStr">
        <is>
          <t>{"biomes":["#cobblemon:is_spooky"]}</t>
        </is>
      </c>
      <c r="AS1417" s="18" t="inlineStr"/>
      <c r="AT1417" s="19" t="inlineStr"/>
    </row>
    <row r="1418" ht="32" customHeight="1">
      <c r="A1418" s="18" t="inlineStr">
        <is>
          <t>0390_chimchar.json::chimchar-1::001</t>
        </is>
      </c>
      <c r="B1418" s="19" t="inlineStr">
        <is>
          <t>사용</t>
        </is>
      </c>
      <c r="C1418" s="18">
        <f>IF(OR(B1418&lt;&gt;AK1418,M1418&lt;&gt;L1418,O1418&lt;&gt;"",Q1418&lt;&gt;"",V1418&lt;&gt;1,Y1418&lt;&gt;"",AT1418&lt;&gt;""),"수정","원본")</f>
        <v/>
      </c>
      <c r="D1418" s="18" t="n">
        <v>390</v>
      </c>
      <c r="E1418" s="18" t="inlineStr">
        <is>
          <t>불꽃숭이</t>
        </is>
      </c>
      <c r="F1418" s="18" t="inlineStr">
        <is>
          <t>chimchar</t>
        </is>
      </c>
      <c r="G1418" s="18" t="inlineStr">
        <is>
          <t>chimchar</t>
        </is>
      </c>
      <c r="H1418" s="18" t="inlineStr"/>
      <c r="I1418" s="18" t="n">
        <v>4</v>
      </c>
      <c r="J1418" s="18" t="n"/>
      <c r="K1418" s="18" t="n">
        <v>4</v>
      </c>
      <c r="L1418" s="18" t="inlineStr">
        <is>
          <t>cobbleventure:generation_4</t>
        </is>
      </c>
      <c r="M1418" s="19" t="inlineStr">
        <is>
          <t>cobbleventure:generation_4</t>
        </is>
      </c>
      <c r="N1418" s="18" t="inlineStr"/>
      <c r="O1418" s="19" t="inlineStr"/>
      <c r="P1418" s="18" t="inlineStr">
        <is>
          <t>#cobblemon:is_mountain</t>
        </is>
      </c>
      <c r="Q1418" s="19" t="inlineStr"/>
      <c r="R1418" s="18">
        <f>IF(Q1418="",P1418,Q1418)</f>
        <v/>
      </c>
      <c r="S1418" s="18" t="inlineStr">
        <is>
          <t>#cobblemon:is_freezing</t>
        </is>
      </c>
      <c r="T1418" s="18" t="inlineStr">
        <is>
          <t>ultra-rare</t>
        </is>
      </c>
      <c r="U1418" s="20" t="n">
        <v>6</v>
      </c>
      <c r="V1418" s="21" t="n">
        <v>1</v>
      </c>
      <c r="W1418" s="20">
        <f>IF(OR(U1418="",V1418=""),U1418,U1418*V1418)</f>
        <v/>
      </c>
      <c r="X1418" s="18" t="inlineStr">
        <is>
          <t>5-31</t>
        </is>
      </c>
      <c r="Y1418" s="19" t="inlineStr"/>
      <c r="Z1418" s="18">
        <f>IF(Y1418="",X1418,Y1418)</f>
        <v/>
      </c>
      <c r="AA1418" s="18" t="inlineStr">
        <is>
          <t>grounded</t>
        </is>
      </c>
      <c r="AB1418" s="18" t="inlineStr"/>
      <c r="AC1418" s="18" t="inlineStr">
        <is>
          <t>비=False</t>
        </is>
      </c>
      <c r="AD1418" s="18" t="inlineStr"/>
      <c r="AE1418" s="18" t="inlineStr">
        <is>
          <t>sky 8-15</t>
        </is>
      </c>
      <c r="AF1418" s="18" t="inlineStr"/>
      <c r="AG1418" s="18" t="inlineStr"/>
      <c r="AH1418" s="18" t="inlineStr"/>
      <c r="AI1418" s="18" t="inlineStr"/>
      <c r="AJ1418" s="18" t="inlineStr">
        <is>
          <t>COBBLEVERSE 수정</t>
        </is>
      </c>
      <c r="AK1418" s="18" t="inlineStr">
        <is>
          <t>사용</t>
        </is>
      </c>
      <c r="AL1418" s="18" t="inlineStr">
        <is>
          <t>COBBLEVERSE 1.7.42 / DP v31</t>
        </is>
      </c>
      <c r="AM1418" s="18" t="inlineStr">
        <is>
          <t>data/cobblemon/spawn_pool_world/0390_chimchar.json</t>
        </is>
      </c>
      <c r="AN1418" s="18" t="inlineStr">
        <is>
          <t>chimchar-1</t>
        </is>
      </c>
      <c r="AO1418" s="18" t="inlineStr">
        <is>
          <t>pokemon</t>
        </is>
      </c>
      <c r="AP1418" s="18" t="inlineStr">
        <is>
          <t>natural; treetop</t>
        </is>
      </c>
      <c r="AQ1418" s="18" t="inlineStr">
        <is>
          <t>{"biomes":["#cobblemon:is_mountain"],"isRaining":false,"maxSkyLight":15,"minSkyLight":8}</t>
        </is>
      </c>
      <c r="AR1418" s="18" t="inlineStr">
        <is>
          <t>{"biomes":["#cobblemon:is_freezing"]}</t>
        </is>
      </c>
      <c r="AS1418" s="18" t="inlineStr"/>
      <c r="AT1418" s="19" t="inlineStr"/>
    </row>
    <row r="1419" ht="32" customHeight="1">
      <c r="A1419" s="18" t="inlineStr">
        <is>
          <t>0390_chimchar.json::chimchar-2::002</t>
        </is>
      </c>
      <c r="B1419" s="19" t="inlineStr">
        <is>
          <t>사용</t>
        </is>
      </c>
      <c r="C1419" s="18">
        <f>IF(OR(B1419&lt;&gt;AK1419,M1419&lt;&gt;L1419,O1419&lt;&gt;"",Q1419&lt;&gt;"",V1419&lt;&gt;1,Y1419&lt;&gt;"",AT1419&lt;&gt;""),"수정","원본")</f>
        <v/>
      </c>
      <c r="D1419" s="18" t="n">
        <v>390</v>
      </c>
      <c r="E1419" s="18" t="inlineStr">
        <is>
          <t>불꽃숭이</t>
        </is>
      </c>
      <c r="F1419" s="18" t="inlineStr">
        <is>
          <t>chimchar</t>
        </is>
      </c>
      <c r="G1419" s="18" t="inlineStr">
        <is>
          <t>chimchar</t>
        </is>
      </c>
      <c r="H1419" s="18" t="inlineStr"/>
      <c r="I1419" s="18" t="n">
        <v>4</v>
      </c>
      <c r="J1419" s="18" t="n"/>
      <c r="K1419" s="18" t="n">
        <v>4</v>
      </c>
      <c r="L1419" s="18" t="inlineStr">
        <is>
          <t>cobbleventure:generation_4</t>
        </is>
      </c>
      <c r="M1419" s="19" t="inlineStr">
        <is>
          <t>cobbleventure:generation_4</t>
        </is>
      </c>
      <c r="N1419" s="18" t="inlineStr"/>
      <c r="O1419" s="19" t="inlineStr"/>
      <c r="P1419" s="18" t="inlineStr">
        <is>
          <t>#cobblemon:nether/is_forest</t>
        </is>
      </c>
      <c r="Q1419" s="19" t="inlineStr"/>
      <c r="R1419" s="18">
        <f>IF(Q1419="",P1419,Q1419)</f>
        <v/>
      </c>
      <c r="S1419" s="18" t="inlineStr"/>
      <c r="T1419" s="18" t="inlineStr">
        <is>
          <t>ultra-rare</t>
        </is>
      </c>
      <c r="U1419" s="20" t="n">
        <v>6</v>
      </c>
      <c r="V1419" s="21" t="n">
        <v>1</v>
      </c>
      <c r="W1419" s="20">
        <f>IF(OR(U1419="",V1419=""),U1419,U1419*V1419)</f>
        <v/>
      </c>
      <c r="X1419" s="18" t="inlineStr">
        <is>
          <t>5-31</t>
        </is>
      </c>
      <c r="Y1419" s="19" t="inlineStr"/>
      <c r="Z1419" s="18">
        <f>IF(Y1419="",X1419,Y1419)</f>
        <v/>
      </c>
      <c r="AA1419" s="18" t="inlineStr">
        <is>
          <t>grounded</t>
        </is>
      </c>
      <c r="AB1419" s="18" t="inlineStr"/>
      <c r="AC1419" s="18" t="inlineStr"/>
      <c r="AD1419" s="18" t="inlineStr"/>
      <c r="AE1419" s="18" t="inlineStr"/>
      <c r="AF1419" s="18" t="inlineStr"/>
      <c r="AG1419" s="18" t="inlineStr"/>
      <c r="AH1419" s="18" t="inlineStr"/>
      <c r="AI1419" s="18" t="inlineStr"/>
      <c r="AJ1419" s="18" t="inlineStr">
        <is>
          <t>COBBLEVERSE 수정</t>
        </is>
      </c>
      <c r="AK1419" s="18" t="inlineStr">
        <is>
          <t>사용</t>
        </is>
      </c>
      <c r="AL1419" s="18" t="inlineStr">
        <is>
          <t>COBBLEVERSE 1.7.42 / DP v31</t>
        </is>
      </c>
      <c r="AM1419" s="18" t="inlineStr">
        <is>
          <t>data/cobblemon/spawn_pool_world/0390_chimchar.json</t>
        </is>
      </c>
      <c r="AN1419" s="18" t="inlineStr">
        <is>
          <t>chimchar-2</t>
        </is>
      </c>
      <c r="AO1419" s="18" t="inlineStr">
        <is>
          <t>pokemon</t>
        </is>
      </c>
      <c r="AP1419" s="18" t="inlineStr">
        <is>
          <t>natural; treetop</t>
        </is>
      </c>
      <c r="AQ1419" s="18" t="inlineStr">
        <is>
          <t>{"biomes":["#cobblemon:nether/is_forest"]}</t>
        </is>
      </c>
      <c r="AR1419" s="18" t="inlineStr"/>
      <c r="AS1419" s="18" t="inlineStr"/>
      <c r="AT1419" s="19" t="inlineStr"/>
    </row>
    <row r="1420" ht="32" customHeight="1">
      <c r="A1420" s="18" t="inlineStr">
        <is>
          <t>0391_monferno.json::monferno-1::001</t>
        </is>
      </c>
      <c r="B1420" s="19" t="inlineStr">
        <is>
          <t>사용</t>
        </is>
      </c>
      <c r="C1420" s="18">
        <f>IF(OR(B1420&lt;&gt;AK1420,M1420&lt;&gt;L1420,O1420&lt;&gt;"",Q1420&lt;&gt;"",V1420&lt;&gt;1,Y1420&lt;&gt;"",AT1420&lt;&gt;""),"수정","원본")</f>
        <v/>
      </c>
      <c r="D1420" s="18" t="n">
        <v>391</v>
      </c>
      <c r="E1420" s="18" t="inlineStr">
        <is>
          <t>파이숭이</t>
        </is>
      </c>
      <c r="F1420" s="18" t="inlineStr">
        <is>
          <t>monferno</t>
        </is>
      </c>
      <c r="G1420" s="18" t="inlineStr">
        <is>
          <t>monferno</t>
        </is>
      </c>
      <c r="H1420" s="18" t="inlineStr"/>
      <c r="I1420" s="18" t="n">
        <v>4</v>
      </c>
      <c r="J1420" s="18" t="n"/>
      <c r="K1420" s="18" t="n">
        <v>4</v>
      </c>
      <c r="L1420" s="18" t="inlineStr">
        <is>
          <t>cobbleventure:generation_4</t>
        </is>
      </c>
      <c r="M1420" s="19" t="inlineStr">
        <is>
          <t>cobbleventure:generation_4</t>
        </is>
      </c>
      <c r="N1420" s="18" t="inlineStr"/>
      <c r="O1420" s="19" t="inlineStr"/>
      <c r="P1420" s="18" t="inlineStr">
        <is>
          <t>#cobblemon:is_mountain</t>
        </is>
      </c>
      <c r="Q1420" s="19" t="inlineStr"/>
      <c r="R1420" s="18">
        <f>IF(Q1420="",P1420,Q1420)</f>
        <v/>
      </c>
      <c r="S1420" s="18" t="inlineStr">
        <is>
          <t>#cobblemon:is_freezing</t>
        </is>
      </c>
      <c r="T1420" s="18" t="inlineStr">
        <is>
          <t>ultra-rare</t>
        </is>
      </c>
      <c r="U1420" s="20" t="n">
        <v>3.6</v>
      </c>
      <c r="V1420" s="21" t="n">
        <v>1</v>
      </c>
      <c r="W1420" s="20">
        <f>IF(OR(U1420="",V1420=""),U1420,U1420*V1420)</f>
        <v/>
      </c>
      <c r="X1420" s="18" t="inlineStr">
        <is>
          <t>14-41</t>
        </is>
      </c>
      <c r="Y1420" s="19" t="inlineStr"/>
      <c r="Z1420" s="18">
        <f>IF(Y1420="",X1420,Y1420)</f>
        <v/>
      </c>
      <c r="AA1420" s="18" t="inlineStr">
        <is>
          <t>grounded</t>
        </is>
      </c>
      <c r="AB1420" s="18" t="inlineStr"/>
      <c r="AC1420" s="18" t="inlineStr">
        <is>
          <t>비=False</t>
        </is>
      </c>
      <c r="AD1420" s="18" t="inlineStr"/>
      <c r="AE1420" s="18" t="inlineStr">
        <is>
          <t>sky 8-15</t>
        </is>
      </c>
      <c r="AF1420" s="18" t="inlineStr"/>
      <c r="AG1420" s="18" t="inlineStr"/>
      <c r="AH1420" s="18" t="inlineStr"/>
      <c r="AI1420" s="18" t="inlineStr"/>
      <c r="AJ1420" s="18" t="inlineStr">
        <is>
          <t>COBBLEVERSE 수정</t>
        </is>
      </c>
      <c r="AK1420" s="18" t="inlineStr">
        <is>
          <t>사용</t>
        </is>
      </c>
      <c r="AL1420" s="18" t="inlineStr">
        <is>
          <t>COBBLEVERSE 1.7.42 / DP v31</t>
        </is>
      </c>
      <c r="AM1420" s="18" t="inlineStr">
        <is>
          <t>data/cobblemon/spawn_pool_world/0391_monferno.json</t>
        </is>
      </c>
      <c r="AN1420" s="18" t="inlineStr">
        <is>
          <t>monferno-1</t>
        </is>
      </c>
      <c r="AO1420" s="18" t="inlineStr">
        <is>
          <t>pokemon</t>
        </is>
      </c>
      <c r="AP1420" s="18" t="inlineStr">
        <is>
          <t>natural; treetop</t>
        </is>
      </c>
      <c r="AQ1420" s="18" t="inlineStr">
        <is>
          <t>{"biomes":["#cobblemon:is_mountain"],"isRaining":false,"maxSkyLight":15,"minSkyLight":8}</t>
        </is>
      </c>
      <c r="AR1420" s="18" t="inlineStr">
        <is>
          <t>{"biomes":["#cobblemon:is_freezing"]}</t>
        </is>
      </c>
      <c r="AS1420" s="18" t="inlineStr"/>
      <c r="AT1420" s="19" t="inlineStr"/>
    </row>
    <row r="1421" ht="32" customHeight="1">
      <c r="A1421" s="18" t="inlineStr">
        <is>
          <t>0391_monferno.json::monferno-2::002</t>
        </is>
      </c>
      <c r="B1421" s="19" t="inlineStr">
        <is>
          <t>사용</t>
        </is>
      </c>
      <c r="C1421" s="18">
        <f>IF(OR(B1421&lt;&gt;AK1421,M1421&lt;&gt;L1421,O1421&lt;&gt;"",Q1421&lt;&gt;"",V1421&lt;&gt;1,Y1421&lt;&gt;"",AT1421&lt;&gt;""),"수정","원본")</f>
        <v/>
      </c>
      <c r="D1421" s="18" t="n">
        <v>391</v>
      </c>
      <c r="E1421" s="18" t="inlineStr">
        <is>
          <t>파이숭이</t>
        </is>
      </c>
      <c r="F1421" s="18" t="inlineStr">
        <is>
          <t>monferno</t>
        </is>
      </c>
      <c r="G1421" s="18" t="inlineStr">
        <is>
          <t>monferno</t>
        </is>
      </c>
      <c r="H1421" s="18" t="inlineStr"/>
      <c r="I1421" s="18" t="n">
        <v>4</v>
      </c>
      <c r="J1421" s="18" t="n"/>
      <c r="K1421" s="18" t="n">
        <v>4</v>
      </c>
      <c r="L1421" s="18" t="inlineStr">
        <is>
          <t>cobbleventure:generation_4</t>
        </is>
      </c>
      <c r="M1421" s="19" t="inlineStr">
        <is>
          <t>cobbleventure:generation_4</t>
        </is>
      </c>
      <c r="N1421" s="18" t="inlineStr"/>
      <c r="O1421" s="19" t="inlineStr"/>
      <c r="P1421" s="18" t="inlineStr">
        <is>
          <t>#cobblemon:nether/is_forest</t>
        </is>
      </c>
      <c r="Q1421" s="19" t="inlineStr"/>
      <c r="R1421" s="18">
        <f>IF(Q1421="",P1421,Q1421)</f>
        <v/>
      </c>
      <c r="S1421" s="18" t="inlineStr"/>
      <c r="T1421" s="18" t="inlineStr">
        <is>
          <t>ultra-rare</t>
        </is>
      </c>
      <c r="U1421" s="20" t="n">
        <v>3.6</v>
      </c>
      <c r="V1421" s="21" t="n">
        <v>1</v>
      </c>
      <c r="W1421" s="20">
        <f>IF(OR(U1421="",V1421=""),U1421,U1421*V1421)</f>
        <v/>
      </c>
      <c r="X1421" s="18" t="inlineStr">
        <is>
          <t>14-41</t>
        </is>
      </c>
      <c r="Y1421" s="19" t="inlineStr"/>
      <c r="Z1421" s="18">
        <f>IF(Y1421="",X1421,Y1421)</f>
        <v/>
      </c>
      <c r="AA1421" s="18" t="inlineStr">
        <is>
          <t>grounded</t>
        </is>
      </c>
      <c r="AB1421" s="18" t="inlineStr"/>
      <c r="AC1421" s="18" t="inlineStr"/>
      <c r="AD1421" s="18" t="inlineStr"/>
      <c r="AE1421" s="18" t="inlineStr"/>
      <c r="AF1421" s="18" t="inlineStr"/>
      <c r="AG1421" s="18" t="inlineStr"/>
      <c r="AH1421" s="18" t="inlineStr"/>
      <c r="AI1421" s="18" t="inlineStr"/>
      <c r="AJ1421" s="18" t="inlineStr">
        <is>
          <t>COBBLEVERSE 수정</t>
        </is>
      </c>
      <c r="AK1421" s="18" t="inlineStr">
        <is>
          <t>사용</t>
        </is>
      </c>
      <c r="AL1421" s="18" t="inlineStr">
        <is>
          <t>COBBLEVERSE 1.7.42 / DP v31</t>
        </is>
      </c>
      <c r="AM1421" s="18" t="inlineStr">
        <is>
          <t>data/cobblemon/spawn_pool_world/0391_monferno.json</t>
        </is>
      </c>
      <c r="AN1421" s="18" t="inlineStr">
        <is>
          <t>monferno-2</t>
        </is>
      </c>
      <c r="AO1421" s="18" t="inlineStr">
        <is>
          <t>pokemon</t>
        </is>
      </c>
      <c r="AP1421" s="18" t="inlineStr">
        <is>
          <t>natural; treetop</t>
        </is>
      </c>
      <c r="AQ1421" s="18" t="inlineStr">
        <is>
          <t>{"biomes":["#cobblemon:nether/is_forest"]}</t>
        </is>
      </c>
      <c r="AR1421" s="18" t="inlineStr"/>
      <c r="AS1421" s="18" t="inlineStr"/>
      <c r="AT1421" s="19" t="inlineStr"/>
    </row>
    <row r="1422" ht="32" customHeight="1">
      <c r="A1422" s="18" t="inlineStr">
        <is>
          <t>0392_infernape.json::infernape-1::001</t>
        </is>
      </c>
      <c r="B1422" s="19" t="inlineStr">
        <is>
          <t>사용</t>
        </is>
      </c>
      <c r="C1422" s="18">
        <f>IF(OR(B1422&lt;&gt;AK1422,M1422&lt;&gt;L1422,O1422&lt;&gt;"",Q1422&lt;&gt;"",V1422&lt;&gt;1,Y1422&lt;&gt;"",AT1422&lt;&gt;""),"수정","원본")</f>
        <v/>
      </c>
      <c r="D1422" s="18" t="n">
        <v>392</v>
      </c>
      <c r="E1422" s="18" t="inlineStr">
        <is>
          <t>초염몽</t>
        </is>
      </c>
      <c r="F1422" s="18" t="inlineStr">
        <is>
          <t>infernape</t>
        </is>
      </c>
      <c r="G1422" s="18" t="inlineStr">
        <is>
          <t>infernape</t>
        </is>
      </c>
      <c r="H1422" s="18" t="inlineStr"/>
      <c r="I1422" s="18" t="n">
        <v>4</v>
      </c>
      <c r="J1422" s="18" t="n"/>
      <c r="K1422" s="18" t="n">
        <v>4</v>
      </c>
      <c r="L1422" s="18" t="inlineStr">
        <is>
          <t>cobbleventure:generation_4</t>
        </is>
      </c>
      <c r="M1422" s="19" t="inlineStr">
        <is>
          <t>cobbleventure:generation_4</t>
        </is>
      </c>
      <c r="N1422" s="18" t="inlineStr"/>
      <c r="O1422" s="19" t="inlineStr"/>
      <c r="P1422" s="18" t="inlineStr">
        <is>
          <t>#cobblemon:is_mountain</t>
        </is>
      </c>
      <c r="Q1422" s="19" t="inlineStr"/>
      <c r="R1422" s="18">
        <f>IF(Q1422="",P1422,Q1422)</f>
        <v/>
      </c>
      <c r="S1422" s="18" t="inlineStr">
        <is>
          <t>#cobblemon:is_freezing</t>
        </is>
      </c>
      <c r="T1422" s="18" t="inlineStr">
        <is>
          <t>ultra-rare</t>
        </is>
      </c>
      <c r="U1422" s="20" t="n">
        <v>0.4</v>
      </c>
      <c r="V1422" s="21" t="n">
        <v>1</v>
      </c>
      <c r="W1422" s="20">
        <f>IF(OR(U1422="",V1422=""),U1422,U1422*V1422)</f>
        <v/>
      </c>
      <c r="X1422" s="18" t="inlineStr">
        <is>
          <t>36-53</t>
        </is>
      </c>
      <c r="Y1422" s="19" t="inlineStr"/>
      <c r="Z1422" s="18">
        <f>IF(Y1422="",X1422,Y1422)</f>
        <v/>
      </c>
      <c r="AA1422" s="18" t="inlineStr">
        <is>
          <t>grounded</t>
        </is>
      </c>
      <c r="AB1422" s="18" t="inlineStr"/>
      <c r="AC1422" s="18" t="inlineStr">
        <is>
          <t>비=False</t>
        </is>
      </c>
      <c r="AD1422" s="18" t="inlineStr"/>
      <c r="AE1422" s="18" t="inlineStr">
        <is>
          <t>sky 8-15</t>
        </is>
      </c>
      <c r="AF1422" s="18" t="inlineStr"/>
      <c r="AG1422" s="18" t="inlineStr"/>
      <c r="AH1422" s="18" t="inlineStr"/>
      <c r="AI1422" s="18" t="inlineStr"/>
      <c r="AJ1422" s="18" t="inlineStr">
        <is>
          <t>COBBLEVERSE 수정</t>
        </is>
      </c>
      <c r="AK1422" s="18" t="inlineStr">
        <is>
          <t>사용</t>
        </is>
      </c>
      <c r="AL1422" s="18" t="inlineStr">
        <is>
          <t>COBBLEVERSE 1.7.42 / DP v31</t>
        </is>
      </c>
      <c r="AM1422" s="18" t="inlineStr">
        <is>
          <t>data/cobblemon/spawn_pool_world/0392_infernape.json</t>
        </is>
      </c>
      <c r="AN1422" s="18" t="inlineStr">
        <is>
          <t>infernape-1</t>
        </is>
      </c>
      <c r="AO1422" s="18" t="inlineStr">
        <is>
          <t>pokemon</t>
        </is>
      </c>
      <c r="AP1422" s="18" t="inlineStr">
        <is>
          <t>natural; treetop</t>
        </is>
      </c>
      <c r="AQ1422" s="18" t="inlineStr">
        <is>
          <t>{"biomes":["#cobblemon:is_mountain"],"isRaining":false,"maxSkyLight":15,"minSkyLight":8}</t>
        </is>
      </c>
      <c r="AR1422" s="18" t="inlineStr">
        <is>
          <t>{"biomes":["#cobblemon:is_freezing"]}</t>
        </is>
      </c>
      <c r="AS1422" s="18" t="inlineStr"/>
      <c r="AT1422" s="19" t="inlineStr"/>
    </row>
    <row r="1423" ht="32" customHeight="1">
      <c r="A1423" s="18" t="inlineStr">
        <is>
          <t>0392_infernape.json::infernape-2::002</t>
        </is>
      </c>
      <c r="B1423" s="19" t="inlineStr">
        <is>
          <t>사용</t>
        </is>
      </c>
      <c r="C1423" s="18">
        <f>IF(OR(B1423&lt;&gt;AK1423,M1423&lt;&gt;L1423,O1423&lt;&gt;"",Q1423&lt;&gt;"",V1423&lt;&gt;1,Y1423&lt;&gt;"",AT1423&lt;&gt;""),"수정","원본")</f>
        <v/>
      </c>
      <c r="D1423" s="18" t="n">
        <v>392</v>
      </c>
      <c r="E1423" s="18" t="inlineStr">
        <is>
          <t>초염몽</t>
        </is>
      </c>
      <c r="F1423" s="18" t="inlineStr">
        <is>
          <t>infernape</t>
        </is>
      </c>
      <c r="G1423" s="18" t="inlineStr">
        <is>
          <t>infernape</t>
        </is>
      </c>
      <c r="H1423" s="18" t="inlineStr"/>
      <c r="I1423" s="18" t="n">
        <v>4</v>
      </c>
      <c r="J1423" s="18" t="n"/>
      <c r="K1423" s="18" t="n">
        <v>4</v>
      </c>
      <c r="L1423" s="18" t="inlineStr">
        <is>
          <t>cobbleventure:generation_4</t>
        </is>
      </c>
      <c r="M1423" s="19" t="inlineStr">
        <is>
          <t>cobbleventure:generation_4</t>
        </is>
      </c>
      <c r="N1423" s="18" t="inlineStr"/>
      <c r="O1423" s="19" t="inlineStr"/>
      <c r="P1423" s="18" t="inlineStr">
        <is>
          <t>#cobblemon:nether/is_forest</t>
        </is>
      </c>
      <c r="Q1423" s="19" t="inlineStr"/>
      <c r="R1423" s="18">
        <f>IF(Q1423="",P1423,Q1423)</f>
        <v/>
      </c>
      <c r="S1423" s="18" t="inlineStr"/>
      <c r="T1423" s="18" t="inlineStr">
        <is>
          <t>ultra-rare</t>
        </is>
      </c>
      <c r="U1423" s="20" t="n">
        <v>0.4</v>
      </c>
      <c r="V1423" s="21" t="n">
        <v>1</v>
      </c>
      <c r="W1423" s="20">
        <f>IF(OR(U1423="",V1423=""),U1423,U1423*V1423)</f>
        <v/>
      </c>
      <c r="X1423" s="18" t="inlineStr">
        <is>
          <t>36-53</t>
        </is>
      </c>
      <c r="Y1423" s="19" t="inlineStr"/>
      <c r="Z1423" s="18">
        <f>IF(Y1423="",X1423,Y1423)</f>
        <v/>
      </c>
      <c r="AA1423" s="18" t="inlineStr">
        <is>
          <t>grounded</t>
        </is>
      </c>
      <c r="AB1423" s="18" t="inlineStr"/>
      <c r="AC1423" s="18" t="inlineStr"/>
      <c r="AD1423" s="18" t="inlineStr"/>
      <c r="AE1423" s="18" t="inlineStr"/>
      <c r="AF1423" s="18" t="inlineStr"/>
      <c r="AG1423" s="18" t="inlineStr"/>
      <c r="AH1423" s="18" t="inlineStr"/>
      <c r="AI1423" s="18" t="inlineStr"/>
      <c r="AJ1423" s="18" t="inlineStr">
        <is>
          <t>COBBLEVERSE 수정</t>
        </is>
      </c>
      <c r="AK1423" s="18" t="inlineStr">
        <is>
          <t>사용</t>
        </is>
      </c>
      <c r="AL1423" s="18" t="inlineStr">
        <is>
          <t>COBBLEVERSE 1.7.42 / DP v31</t>
        </is>
      </c>
      <c r="AM1423" s="18" t="inlineStr">
        <is>
          <t>data/cobblemon/spawn_pool_world/0392_infernape.json</t>
        </is>
      </c>
      <c r="AN1423" s="18" t="inlineStr">
        <is>
          <t>infernape-2</t>
        </is>
      </c>
      <c r="AO1423" s="18" t="inlineStr">
        <is>
          <t>pokemon</t>
        </is>
      </c>
      <c r="AP1423" s="18" t="inlineStr">
        <is>
          <t>natural; treetop</t>
        </is>
      </c>
      <c r="AQ1423" s="18" t="inlineStr">
        <is>
          <t>{"biomes":["#cobblemon:nether/is_forest"]}</t>
        </is>
      </c>
      <c r="AR1423" s="18" t="inlineStr"/>
      <c r="AS1423" s="18" t="inlineStr"/>
      <c r="AT1423" s="19" t="inlineStr"/>
    </row>
    <row r="1424" ht="32" customHeight="1">
      <c r="A1424" s="18" t="inlineStr">
        <is>
          <t>0393_piplup.json::piplup-1::001</t>
        </is>
      </c>
      <c r="B1424" s="19" t="inlineStr">
        <is>
          <t>사용</t>
        </is>
      </c>
      <c r="C1424" s="18">
        <f>IF(OR(B1424&lt;&gt;AK1424,M1424&lt;&gt;L1424,O1424&lt;&gt;"",Q1424&lt;&gt;"",V1424&lt;&gt;1,Y1424&lt;&gt;"",AT1424&lt;&gt;""),"수정","원본")</f>
        <v/>
      </c>
      <c r="D1424" s="18" t="n">
        <v>393</v>
      </c>
      <c r="E1424" s="18" t="inlineStr">
        <is>
          <t>팽도리</t>
        </is>
      </c>
      <c r="F1424" s="18" t="inlineStr">
        <is>
          <t>piplup</t>
        </is>
      </c>
      <c r="G1424" s="18" t="inlineStr">
        <is>
          <t>piplup</t>
        </is>
      </c>
      <c r="H1424" s="18" t="inlineStr"/>
      <c r="I1424" s="18" t="n">
        <v>4</v>
      </c>
      <c r="J1424" s="18" t="n"/>
      <c r="K1424" s="18" t="n">
        <v>4</v>
      </c>
      <c r="L1424" s="18" t="inlineStr">
        <is>
          <t>cobbleventure:generation_4</t>
        </is>
      </c>
      <c r="M1424" s="19" t="inlineStr">
        <is>
          <t>cobbleventure:generation_4</t>
        </is>
      </c>
      <c r="N1424" s="18" t="inlineStr"/>
      <c r="O1424" s="19" t="inlineStr"/>
      <c r="P1424" s="18" t="inlineStr">
        <is>
          <t>#cobblemon:is_frozen_ocean</t>
        </is>
      </c>
      <c r="Q1424" s="19" t="inlineStr"/>
      <c r="R1424" s="18">
        <f>IF(Q1424="",P1424,Q1424)</f>
        <v/>
      </c>
      <c r="S1424" s="18" t="inlineStr"/>
      <c r="T1424" s="18" t="inlineStr">
        <is>
          <t>ultra-rare</t>
        </is>
      </c>
      <c r="U1424" s="20" t="n">
        <v>6</v>
      </c>
      <c r="V1424" s="21" t="n">
        <v>1</v>
      </c>
      <c r="W1424" s="20">
        <f>IF(OR(U1424="",V1424=""),U1424,U1424*V1424)</f>
        <v/>
      </c>
      <c r="X1424" s="18" t="inlineStr">
        <is>
          <t>5-31</t>
        </is>
      </c>
      <c r="Y1424" s="19" t="inlineStr"/>
      <c r="Z1424" s="18">
        <f>IF(Y1424="",X1424,Y1424)</f>
        <v/>
      </c>
      <c r="AA1424" s="18" t="inlineStr">
        <is>
          <t>grounded</t>
        </is>
      </c>
      <c r="AB1424" s="18" t="inlineStr"/>
      <c r="AC1424" s="18" t="inlineStr"/>
      <c r="AD1424" s="18" t="inlineStr"/>
      <c r="AE1424" s="18" t="inlineStr">
        <is>
          <t>sky 8-15</t>
        </is>
      </c>
      <c r="AF1424" s="18" t="inlineStr"/>
      <c r="AG1424" s="18" t="inlineStr"/>
      <c r="AH1424" s="18" t="inlineStr"/>
      <c r="AI1424" s="18" t="inlineStr"/>
      <c r="AJ1424" s="18" t="inlineStr">
        <is>
          <t>Cobblemon 동일</t>
        </is>
      </c>
      <c r="AK1424" s="18" t="inlineStr">
        <is>
          <t>사용</t>
        </is>
      </c>
      <c r="AL1424" s="18" t="inlineStr">
        <is>
          <t>COBBLEVERSE 1.7.42 / DP v31</t>
        </is>
      </c>
      <c r="AM1424" s="18" t="inlineStr">
        <is>
          <t>data/cobblemon/spawn_pool_world/0393_piplup.json</t>
        </is>
      </c>
      <c r="AN1424" s="18" t="inlineStr">
        <is>
          <t>piplup-1</t>
        </is>
      </c>
      <c r="AO1424" s="18" t="inlineStr">
        <is>
          <t>pokemon</t>
        </is>
      </c>
      <c r="AP1424" s="18" t="inlineStr">
        <is>
          <t>natural</t>
        </is>
      </c>
      <c r="AQ1424" s="18" t="inlineStr">
        <is>
          <t>{"biomes":["#cobblemon:is_frozen_ocean"],"maxSkyLight":15,"minSkyLight":8}</t>
        </is>
      </c>
      <c r="AR1424" s="18" t="inlineStr"/>
      <c r="AS1424" s="18" t="inlineStr"/>
      <c r="AT1424" s="19" t="inlineStr"/>
    </row>
    <row r="1425" ht="32" customHeight="1">
      <c r="A1425" s="18" t="inlineStr">
        <is>
          <t>0393_piplup.json::piplup-2::002</t>
        </is>
      </c>
      <c r="B1425" s="19" t="inlineStr">
        <is>
          <t>사용</t>
        </is>
      </c>
      <c r="C1425" s="18">
        <f>IF(OR(B1425&lt;&gt;AK1425,M1425&lt;&gt;L1425,O1425&lt;&gt;"",Q1425&lt;&gt;"",V1425&lt;&gt;1,Y1425&lt;&gt;"",AT1425&lt;&gt;""),"수정","원본")</f>
        <v/>
      </c>
      <c r="D1425" s="18" t="n">
        <v>393</v>
      </c>
      <c r="E1425" s="18" t="inlineStr">
        <is>
          <t>팽도리</t>
        </is>
      </c>
      <c r="F1425" s="18" t="inlineStr">
        <is>
          <t>piplup</t>
        </is>
      </c>
      <c r="G1425" s="18" t="inlineStr">
        <is>
          <t>piplup</t>
        </is>
      </c>
      <c r="H1425" s="18" t="inlineStr"/>
      <c r="I1425" s="18" t="n">
        <v>4</v>
      </c>
      <c r="J1425" s="18" t="n"/>
      <c r="K1425" s="18" t="n">
        <v>4</v>
      </c>
      <c r="L1425" s="18" t="inlineStr">
        <is>
          <t>cobbleventure:generation_4</t>
        </is>
      </c>
      <c r="M1425" s="19" t="inlineStr">
        <is>
          <t>cobbleventure:generation_4</t>
        </is>
      </c>
      <c r="N1425" s="18" t="inlineStr"/>
      <c r="O1425" s="19" t="inlineStr"/>
      <c r="P1425" s="18" t="inlineStr">
        <is>
          <t>#cobblemon:is_frozen_ocean</t>
        </is>
      </c>
      <c r="Q1425" s="19" t="inlineStr"/>
      <c r="R1425" s="18">
        <f>IF(Q1425="",P1425,Q1425)</f>
        <v/>
      </c>
      <c r="S1425" s="18" t="inlineStr"/>
      <c r="T1425" s="18" t="inlineStr">
        <is>
          <t>ultra-rare</t>
        </is>
      </c>
      <c r="U1425" s="20" t="n">
        <v>6</v>
      </c>
      <c r="V1425" s="21" t="n">
        <v>1</v>
      </c>
      <c r="W1425" s="20">
        <f>IF(OR(U1425="",V1425=""),U1425,U1425*V1425)</f>
        <v/>
      </c>
      <c r="X1425" s="18" t="inlineStr">
        <is>
          <t>5-31</t>
        </is>
      </c>
      <c r="Y1425" s="19" t="inlineStr"/>
      <c r="Z1425" s="18">
        <f>IF(Y1425="",X1425,Y1425)</f>
        <v/>
      </c>
      <c r="AA1425" s="18" t="inlineStr">
        <is>
          <t>submerged</t>
        </is>
      </c>
      <c r="AB1425" s="18" t="inlineStr"/>
      <c r="AC1425" s="18" t="inlineStr"/>
      <c r="AD1425" s="18" t="inlineStr"/>
      <c r="AE1425" s="18" t="inlineStr"/>
      <c r="AF1425" s="18" t="inlineStr">
        <is>
          <t>True</t>
        </is>
      </c>
      <c r="AG1425" s="18" t="inlineStr"/>
      <c r="AH1425" s="18" t="inlineStr"/>
      <c r="AI1425" s="18" t="inlineStr"/>
      <c r="AJ1425" s="18" t="inlineStr">
        <is>
          <t>Cobblemon 동일</t>
        </is>
      </c>
      <c r="AK1425" s="18" t="inlineStr">
        <is>
          <t>사용</t>
        </is>
      </c>
      <c r="AL1425" s="18" t="inlineStr">
        <is>
          <t>COBBLEVERSE 1.7.42 / DP v31</t>
        </is>
      </c>
      <c r="AM1425" s="18" t="inlineStr">
        <is>
          <t>data/cobblemon/spawn_pool_world/0393_piplup.json</t>
        </is>
      </c>
      <c r="AN1425" s="18" t="inlineStr">
        <is>
          <t>piplup-2</t>
        </is>
      </c>
      <c r="AO1425" s="18" t="inlineStr">
        <is>
          <t>pokemon</t>
        </is>
      </c>
      <c r="AP1425" s="18" t="inlineStr">
        <is>
          <t>water</t>
        </is>
      </c>
      <c r="AQ1425" s="18" t="inlineStr">
        <is>
          <t>{"biomes":["#cobblemon:is_frozen_ocean"],"canSeeSky":true}</t>
        </is>
      </c>
      <c r="AR1425" s="18" t="inlineStr"/>
      <c r="AS1425" s="18" t="inlineStr"/>
      <c r="AT1425" s="19" t="inlineStr"/>
    </row>
    <row r="1426" ht="32" customHeight="1">
      <c r="A1426" s="18" t="inlineStr">
        <is>
          <t>0393_piplup.json::piplup-3::003</t>
        </is>
      </c>
      <c r="B1426" s="19" t="inlineStr">
        <is>
          <t>사용</t>
        </is>
      </c>
      <c r="C1426" s="18">
        <f>IF(OR(B1426&lt;&gt;AK1426,M1426&lt;&gt;L1426,O1426&lt;&gt;"",Q1426&lt;&gt;"",V1426&lt;&gt;1,Y1426&lt;&gt;"",AT1426&lt;&gt;""),"수정","원본")</f>
        <v/>
      </c>
      <c r="D1426" s="18" t="n">
        <v>393</v>
      </c>
      <c r="E1426" s="18" t="inlineStr">
        <is>
          <t>팽도리</t>
        </is>
      </c>
      <c r="F1426" s="18" t="inlineStr">
        <is>
          <t>piplup</t>
        </is>
      </c>
      <c r="G1426" s="18" t="inlineStr">
        <is>
          <t>piplup</t>
        </is>
      </c>
      <c r="H1426" s="18" t="inlineStr"/>
      <c r="I1426" s="18" t="n">
        <v>4</v>
      </c>
      <c r="J1426" s="18" t="n"/>
      <c r="K1426" s="18" t="n">
        <v>4</v>
      </c>
      <c r="L1426" s="18" t="inlineStr">
        <is>
          <t>cobbleventure:generation_4</t>
        </is>
      </c>
      <c r="M1426" s="19" t="inlineStr">
        <is>
          <t>cobbleventure:generation_4</t>
        </is>
      </c>
      <c r="N1426" s="18" t="inlineStr"/>
      <c r="O1426" s="19" t="inlineStr"/>
      <c r="P1426" s="18" t="inlineStr">
        <is>
          <t>#cobblemon:is_cold_ocean; #cobblemon:is_frozen_ocean; minecraft:frozen_river; #cobblemon:is_glacial; #cobblemon:is_tundra</t>
        </is>
      </c>
      <c r="Q1426" s="19" t="inlineStr"/>
      <c r="R1426" s="18">
        <f>IF(Q1426="",P1426,Q1426)</f>
        <v/>
      </c>
      <c r="S1426" s="18" t="inlineStr"/>
      <c r="T1426" s="18" t="inlineStr">
        <is>
          <t>ultra-rare</t>
        </is>
      </c>
      <c r="U1426" s="20" t="n">
        <v>6</v>
      </c>
      <c r="V1426" s="21" t="n">
        <v>1</v>
      </c>
      <c r="W1426" s="20">
        <f>IF(OR(U1426="",V1426=""),U1426,U1426*V1426)</f>
        <v/>
      </c>
      <c r="X1426" s="18" t="inlineStr">
        <is>
          <t>5-31</t>
        </is>
      </c>
      <c r="Y1426" s="19" t="inlineStr"/>
      <c r="Z1426" s="18">
        <f>IF(Y1426="",X1426,Y1426)</f>
        <v/>
      </c>
      <c r="AA1426" s="18" t="inlineStr">
        <is>
          <t>fishing</t>
        </is>
      </c>
      <c r="AB1426" s="18" t="inlineStr"/>
      <c r="AC1426" s="18" t="inlineStr"/>
      <c r="AD1426" s="18" t="inlineStr"/>
      <c r="AE1426" s="18" t="inlineStr"/>
      <c r="AF1426" s="18" t="inlineStr">
        <is>
          <t>True</t>
        </is>
      </c>
      <c r="AG1426" s="18" t="inlineStr"/>
      <c r="AH1426" s="18" t="inlineStr"/>
      <c r="AI1426" s="18" t="inlineStr"/>
      <c r="AJ1426" s="18" t="inlineStr">
        <is>
          <t>Cobblemon 동일</t>
        </is>
      </c>
      <c r="AK1426" s="18" t="inlineStr">
        <is>
          <t>사용</t>
        </is>
      </c>
      <c r="AL1426" s="18" t="inlineStr">
        <is>
          <t>COBBLEVERSE 1.7.42 / DP v31</t>
        </is>
      </c>
      <c r="AM1426" s="18" t="inlineStr">
        <is>
          <t>data/cobblemon/spawn_pool_world/0393_piplup.json</t>
        </is>
      </c>
      <c r="AN1426" s="18" t="inlineStr">
        <is>
          <t>piplup-3</t>
        </is>
      </c>
      <c r="AO1426" s="18" t="inlineStr">
        <is>
          <t>pokemon</t>
        </is>
      </c>
      <c r="AP1426" s="18" t="inlineStr"/>
      <c r="AQ1426" s="18" t="inlineStr">
        <is>
          <t>{"biomes":["#cobblemon:is_cold_ocean","#cobblemon:is_frozen_ocean","minecraft:frozen_river","#cobblemon:is_glacial","#cobblemon:is_tundra"],"canSeeSky":true}</t>
        </is>
      </c>
      <c r="AR1426" s="18" t="inlineStr"/>
      <c r="AS1426" s="18" t="inlineStr"/>
      <c r="AT1426" s="19" t="inlineStr"/>
    </row>
    <row r="1427" ht="32" customHeight="1">
      <c r="A1427" s="18" t="inlineStr">
        <is>
          <t>0393_piplup.json::piplup-4::004</t>
        </is>
      </c>
      <c r="B1427" s="19" t="inlineStr">
        <is>
          <t>사용</t>
        </is>
      </c>
      <c r="C1427" s="18">
        <f>IF(OR(B1427&lt;&gt;AK1427,M1427&lt;&gt;L1427,O1427&lt;&gt;"",Q1427&lt;&gt;"",V1427&lt;&gt;1,Y1427&lt;&gt;"",AT1427&lt;&gt;""),"수정","원본")</f>
        <v/>
      </c>
      <c r="D1427" s="18" t="n">
        <v>393</v>
      </c>
      <c r="E1427" s="18" t="inlineStr">
        <is>
          <t>팽도리</t>
        </is>
      </c>
      <c r="F1427" s="18" t="inlineStr">
        <is>
          <t>piplup</t>
        </is>
      </c>
      <c r="G1427" s="18" t="inlineStr">
        <is>
          <t>piplup</t>
        </is>
      </c>
      <c r="H1427" s="18" t="inlineStr"/>
      <c r="I1427" s="18" t="n">
        <v>4</v>
      </c>
      <c r="J1427" s="18" t="n"/>
      <c r="K1427" s="18" t="n">
        <v>4</v>
      </c>
      <c r="L1427" s="18" t="inlineStr">
        <is>
          <t>cobbleventure:generation_4</t>
        </is>
      </c>
      <c r="M1427" s="19" t="inlineStr">
        <is>
          <t>cobbleventure:generation_4</t>
        </is>
      </c>
      <c r="N1427" s="18" t="inlineStr"/>
      <c r="O1427" s="19" t="inlineStr"/>
      <c r="P1427" s="18" t="inlineStr">
        <is>
          <t>#cobblemon:is_frozen_ocean</t>
        </is>
      </c>
      <c r="Q1427" s="19" t="inlineStr"/>
      <c r="R1427" s="18">
        <f>IF(Q1427="",P1427,Q1427)</f>
        <v/>
      </c>
      <c r="S1427" s="18" t="inlineStr"/>
      <c r="T1427" s="18" t="inlineStr">
        <is>
          <t>ultra-rare</t>
        </is>
      </c>
      <c r="U1427" s="20" t="n">
        <v>6</v>
      </c>
      <c r="V1427" s="21" t="n">
        <v>1</v>
      </c>
      <c r="W1427" s="20">
        <f>IF(OR(U1427="",V1427=""),U1427,U1427*V1427)</f>
        <v/>
      </c>
      <c r="X1427" s="18" t="inlineStr">
        <is>
          <t>5-31</t>
        </is>
      </c>
      <c r="Y1427" s="19" t="inlineStr"/>
      <c r="Z1427" s="18">
        <f>IF(Y1427="",X1427,Y1427)</f>
        <v/>
      </c>
      <c r="AA1427" s="18" t="inlineStr">
        <is>
          <t>submerged</t>
        </is>
      </c>
      <c r="AB1427" s="18" t="inlineStr"/>
      <c r="AC1427" s="18" t="inlineStr"/>
      <c r="AD1427" s="18" t="inlineStr"/>
      <c r="AE1427" s="18" t="inlineStr">
        <is>
          <t>sky 8-15</t>
        </is>
      </c>
      <c r="AF1427" s="18" t="inlineStr">
        <is>
          <t>False</t>
        </is>
      </c>
      <c r="AG1427" s="18" t="inlineStr"/>
      <c r="AH1427" s="18" t="inlineStr"/>
      <c r="AI1427" s="18" t="inlineStr"/>
      <c r="AJ1427" s="18" t="inlineStr">
        <is>
          <t>Cobblemon 동일</t>
        </is>
      </c>
      <c r="AK1427" s="18" t="inlineStr">
        <is>
          <t>사용</t>
        </is>
      </c>
      <c r="AL1427" s="18" t="inlineStr">
        <is>
          <t>COBBLEVERSE 1.7.42 / DP v31</t>
        </is>
      </c>
      <c r="AM1427" s="18" t="inlineStr">
        <is>
          <t>data/cobblemon/spawn_pool_world/0393_piplup.json</t>
        </is>
      </c>
      <c r="AN1427" s="18" t="inlineStr">
        <is>
          <t>piplup-4</t>
        </is>
      </c>
      <c r="AO1427" s="18" t="inlineStr">
        <is>
          <t>pokemon</t>
        </is>
      </c>
      <c r="AP1427" s="18" t="inlineStr">
        <is>
          <t>water</t>
        </is>
      </c>
      <c r="AQ1427" s="18" t="inlineStr">
        <is>
          <t>{"biomes":["#cobblemon:is_frozen_ocean"],"canSeeSky":false,"maxSkyLight":15,"minSkyLight":8}</t>
        </is>
      </c>
      <c r="AR1427" s="18" t="inlineStr"/>
      <c r="AS1427" s="18" t="inlineStr"/>
      <c r="AT1427" s="19" t="inlineStr"/>
    </row>
    <row r="1428" ht="32" customHeight="1">
      <c r="A1428" s="18" t="inlineStr">
        <is>
          <t>0393_piplup.json::piplup-5::005</t>
        </is>
      </c>
      <c r="B1428" s="19" t="inlineStr">
        <is>
          <t>사용</t>
        </is>
      </c>
      <c r="C1428" s="18">
        <f>IF(OR(B1428&lt;&gt;AK1428,M1428&lt;&gt;L1428,O1428&lt;&gt;"",Q1428&lt;&gt;"",V1428&lt;&gt;1,Y1428&lt;&gt;"",AT1428&lt;&gt;""),"수정","원본")</f>
        <v/>
      </c>
      <c r="D1428" s="18" t="n">
        <v>393</v>
      </c>
      <c r="E1428" s="18" t="inlineStr">
        <is>
          <t>팽도리</t>
        </is>
      </c>
      <c r="F1428" s="18" t="inlineStr">
        <is>
          <t>piplup</t>
        </is>
      </c>
      <c r="G1428" s="18" t="inlineStr">
        <is>
          <t>piplup</t>
        </is>
      </c>
      <c r="H1428" s="18" t="inlineStr"/>
      <c r="I1428" s="18" t="n">
        <v>4</v>
      </c>
      <c r="J1428" s="18" t="n"/>
      <c r="K1428" s="18" t="n">
        <v>4</v>
      </c>
      <c r="L1428" s="18" t="inlineStr">
        <is>
          <t>cobbleventure:generation_4</t>
        </is>
      </c>
      <c r="M1428" s="19" t="inlineStr">
        <is>
          <t>cobbleventure:generation_4</t>
        </is>
      </c>
      <c r="N1428" s="18" t="inlineStr"/>
      <c r="O1428" s="19" t="inlineStr"/>
      <c r="P1428" s="18" t="inlineStr">
        <is>
          <t>#cobblemon:is_cold_ocean; #cobblemon:is_frozen_ocean; minecraft:frozen_river; #cobblemon:is_glacial; #cobblemon:is_tundra</t>
        </is>
      </c>
      <c r="Q1428" s="19" t="inlineStr"/>
      <c r="R1428" s="18">
        <f>IF(Q1428="",P1428,Q1428)</f>
        <v/>
      </c>
      <c r="S1428" s="18" t="inlineStr"/>
      <c r="T1428" s="18" t="inlineStr">
        <is>
          <t>ultra-rare</t>
        </is>
      </c>
      <c r="U1428" s="20" t="n">
        <v>6</v>
      </c>
      <c r="V1428" s="21" t="n">
        <v>1</v>
      </c>
      <c r="W1428" s="20">
        <f>IF(OR(U1428="",V1428=""),U1428,U1428*V1428)</f>
        <v/>
      </c>
      <c r="X1428" s="18" t="inlineStr">
        <is>
          <t>5-31</t>
        </is>
      </c>
      <c r="Y1428" s="19" t="inlineStr"/>
      <c r="Z1428" s="18">
        <f>IF(Y1428="",X1428,Y1428)</f>
        <v/>
      </c>
      <c r="AA1428" s="18" t="inlineStr">
        <is>
          <t>fishing</t>
        </is>
      </c>
      <c r="AB1428" s="18" t="inlineStr"/>
      <c r="AC1428" s="18" t="inlineStr"/>
      <c r="AD1428" s="18" t="inlineStr"/>
      <c r="AE1428" s="18" t="inlineStr">
        <is>
          <t>sky 8-15</t>
        </is>
      </c>
      <c r="AF1428" s="18" t="inlineStr">
        <is>
          <t>False</t>
        </is>
      </c>
      <c r="AG1428" s="18" t="inlineStr"/>
      <c r="AH1428" s="18" t="inlineStr"/>
      <c r="AI1428" s="18" t="inlineStr"/>
      <c r="AJ1428" s="18" t="inlineStr">
        <is>
          <t>Cobblemon 동일</t>
        </is>
      </c>
      <c r="AK1428" s="18" t="inlineStr">
        <is>
          <t>사용</t>
        </is>
      </c>
      <c r="AL1428" s="18" t="inlineStr">
        <is>
          <t>COBBLEVERSE 1.7.42 / DP v31</t>
        </is>
      </c>
      <c r="AM1428" s="18" t="inlineStr">
        <is>
          <t>data/cobblemon/spawn_pool_world/0393_piplup.json</t>
        </is>
      </c>
      <c r="AN1428" s="18" t="inlineStr">
        <is>
          <t>piplup-5</t>
        </is>
      </c>
      <c r="AO1428" s="18" t="inlineStr">
        <is>
          <t>pokemon</t>
        </is>
      </c>
      <c r="AP1428" s="18" t="inlineStr"/>
      <c r="AQ1428" s="18" t="inlineStr">
        <is>
          <t>{"biomes":["#cobblemon:is_cold_ocean","#cobblemon:is_frozen_ocean","minecraft:frozen_river","#cobblemon:is_glacial","#cobblemon:is_tundra"],"canSeeSky":false,"maxSkyLight":15,"minSkyLight":8}</t>
        </is>
      </c>
      <c r="AR1428" s="18" t="inlineStr"/>
      <c r="AS1428" s="18" t="inlineStr"/>
      <c r="AT1428" s="19" t="inlineStr"/>
    </row>
    <row r="1429" ht="32" customHeight="1">
      <c r="A1429" s="18" t="inlineStr">
        <is>
          <t>0394_prinplup.json::prinplup-1::001</t>
        </is>
      </c>
      <c r="B1429" s="19" t="inlineStr">
        <is>
          <t>사용</t>
        </is>
      </c>
      <c r="C1429" s="18">
        <f>IF(OR(B1429&lt;&gt;AK1429,M1429&lt;&gt;L1429,O1429&lt;&gt;"",Q1429&lt;&gt;"",V1429&lt;&gt;1,Y1429&lt;&gt;"",AT1429&lt;&gt;""),"수정","원본")</f>
        <v/>
      </c>
      <c r="D1429" s="18" t="n">
        <v>394</v>
      </c>
      <c r="E1429" s="18" t="inlineStr">
        <is>
          <t>팽태자</t>
        </is>
      </c>
      <c r="F1429" s="18" t="inlineStr">
        <is>
          <t>prinplup</t>
        </is>
      </c>
      <c r="G1429" s="18" t="inlineStr">
        <is>
          <t>prinplup</t>
        </is>
      </c>
      <c r="H1429" s="18" t="inlineStr"/>
      <c r="I1429" s="18" t="n">
        <v>4</v>
      </c>
      <c r="J1429" s="18" t="n"/>
      <c r="K1429" s="18" t="n">
        <v>4</v>
      </c>
      <c r="L1429" s="18" t="inlineStr">
        <is>
          <t>cobbleventure:generation_4</t>
        </is>
      </c>
      <c r="M1429" s="19" t="inlineStr">
        <is>
          <t>cobbleventure:generation_4</t>
        </is>
      </c>
      <c r="N1429" s="18" t="inlineStr"/>
      <c r="O1429" s="19" t="inlineStr"/>
      <c r="P1429" s="18" t="inlineStr">
        <is>
          <t>#cobblemon:is_frozen_ocean</t>
        </is>
      </c>
      <c r="Q1429" s="19" t="inlineStr"/>
      <c r="R1429" s="18">
        <f>IF(Q1429="",P1429,Q1429)</f>
        <v/>
      </c>
      <c r="S1429" s="18" t="inlineStr"/>
      <c r="T1429" s="18" t="inlineStr">
        <is>
          <t>ultra-rare</t>
        </is>
      </c>
      <c r="U1429" s="20" t="n">
        <v>3.6</v>
      </c>
      <c r="V1429" s="21" t="n">
        <v>1</v>
      </c>
      <c r="W1429" s="20">
        <f>IF(OR(U1429="",V1429=""),U1429,U1429*V1429)</f>
        <v/>
      </c>
      <c r="X1429" s="18" t="inlineStr">
        <is>
          <t>16-41</t>
        </is>
      </c>
      <c r="Y1429" s="19" t="inlineStr"/>
      <c r="Z1429" s="18">
        <f>IF(Y1429="",X1429,Y1429)</f>
        <v/>
      </c>
      <c r="AA1429" s="18" t="inlineStr">
        <is>
          <t>grounded</t>
        </is>
      </c>
      <c r="AB1429" s="18" t="inlineStr"/>
      <c r="AC1429" s="18" t="inlineStr"/>
      <c r="AD1429" s="18" t="inlineStr"/>
      <c r="AE1429" s="18" t="inlineStr">
        <is>
          <t>sky 8-15</t>
        </is>
      </c>
      <c r="AF1429" s="18" t="inlineStr"/>
      <c r="AG1429" s="18" t="inlineStr"/>
      <c r="AH1429" s="18" t="inlineStr"/>
      <c r="AI1429" s="18" t="inlineStr"/>
      <c r="AJ1429" s="18" t="inlineStr">
        <is>
          <t>Cobblemon 동일</t>
        </is>
      </c>
      <c r="AK1429" s="18" t="inlineStr">
        <is>
          <t>사용</t>
        </is>
      </c>
      <c r="AL1429" s="18" t="inlineStr">
        <is>
          <t>COBBLEVERSE 1.7.42 / DP v31</t>
        </is>
      </c>
      <c r="AM1429" s="18" t="inlineStr">
        <is>
          <t>data/cobblemon/spawn_pool_world/0394_prinplup.json</t>
        </is>
      </c>
      <c r="AN1429" s="18" t="inlineStr">
        <is>
          <t>prinplup-1</t>
        </is>
      </c>
      <c r="AO1429" s="18" t="inlineStr">
        <is>
          <t>pokemon</t>
        </is>
      </c>
      <c r="AP1429" s="18" t="inlineStr">
        <is>
          <t>natural</t>
        </is>
      </c>
      <c r="AQ1429" s="18" t="inlineStr">
        <is>
          <t>{"biomes":["#cobblemon:is_frozen_ocean"],"maxSkyLight":15,"minSkyLight":8}</t>
        </is>
      </c>
      <c r="AR1429" s="18" t="inlineStr"/>
      <c r="AS1429" s="18" t="inlineStr"/>
      <c r="AT1429" s="19" t="inlineStr"/>
    </row>
    <row r="1430" ht="32" customHeight="1">
      <c r="A1430" s="18" t="inlineStr">
        <is>
          <t>0394_prinplup.json::prinplup-2::002</t>
        </is>
      </c>
      <c r="B1430" s="19" t="inlineStr">
        <is>
          <t>사용</t>
        </is>
      </c>
      <c r="C1430" s="18">
        <f>IF(OR(B1430&lt;&gt;AK1430,M1430&lt;&gt;L1430,O1430&lt;&gt;"",Q1430&lt;&gt;"",V1430&lt;&gt;1,Y1430&lt;&gt;"",AT1430&lt;&gt;""),"수정","원본")</f>
        <v/>
      </c>
      <c r="D1430" s="18" t="n">
        <v>394</v>
      </c>
      <c r="E1430" s="18" t="inlineStr">
        <is>
          <t>팽태자</t>
        </is>
      </c>
      <c r="F1430" s="18" t="inlineStr">
        <is>
          <t>prinplup</t>
        </is>
      </c>
      <c r="G1430" s="18" t="inlineStr">
        <is>
          <t>prinplup</t>
        </is>
      </c>
      <c r="H1430" s="18" t="inlineStr"/>
      <c r="I1430" s="18" t="n">
        <v>4</v>
      </c>
      <c r="J1430" s="18" t="n"/>
      <c r="K1430" s="18" t="n">
        <v>4</v>
      </c>
      <c r="L1430" s="18" t="inlineStr">
        <is>
          <t>cobbleventure:generation_4</t>
        </is>
      </c>
      <c r="M1430" s="19" t="inlineStr">
        <is>
          <t>cobbleventure:generation_4</t>
        </is>
      </c>
      <c r="N1430" s="18" t="inlineStr"/>
      <c r="O1430" s="19" t="inlineStr"/>
      <c r="P1430" s="18" t="inlineStr">
        <is>
          <t>#cobblemon:is_frozen_ocean</t>
        </is>
      </c>
      <c r="Q1430" s="19" t="inlineStr"/>
      <c r="R1430" s="18">
        <f>IF(Q1430="",P1430,Q1430)</f>
        <v/>
      </c>
      <c r="S1430" s="18" t="inlineStr"/>
      <c r="T1430" s="18" t="inlineStr">
        <is>
          <t>ultra-rare</t>
        </is>
      </c>
      <c r="U1430" s="20" t="n">
        <v>3.6</v>
      </c>
      <c r="V1430" s="21" t="n">
        <v>1</v>
      </c>
      <c r="W1430" s="20">
        <f>IF(OR(U1430="",V1430=""),U1430,U1430*V1430)</f>
        <v/>
      </c>
      <c r="X1430" s="18" t="inlineStr">
        <is>
          <t>16-41</t>
        </is>
      </c>
      <c r="Y1430" s="19" t="inlineStr"/>
      <c r="Z1430" s="18">
        <f>IF(Y1430="",X1430,Y1430)</f>
        <v/>
      </c>
      <c r="AA1430" s="18" t="inlineStr">
        <is>
          <t>submerged</t>
        </is>
      </c>
      <c r="AB1430" s="18" t="inlineStr"/>
      <c r="AC1430" s="18" t="inlineStr"/>
      <c r="AD1430" s="18" t="inlineStr"/>
      <c r="AE1430" s="18" t="inlineStr"/>
      <c r="AF1430" s="18" t="inlineStr">
        <is>
          <t>True</t>
        </is>
      </c>
      <c r="AG1430" s="18" t="inlineStr"/>
      <c r="AH1430" s="18" t="inlineStr"/>
      <c r="AI1430" s="18" t="inlineStr"/>
      <c r="AJ1430" s="18" t="inlineStr">
        <is>
          <t>Cobblemon 동일</t>
        </is>
      </c>
      <c r="AK1430" s="18" t="inlineStr">
        <is>
          <t>사용</t>
        </is>
      </c>
      <c r="AL1430" s="18" t="inlineStr">
        <is>
          <t>COBBLEVERSE 1.7.42 / DP v31</t>
        </is>
      </c>
      <c r="AM1430" s="18" t="inlineStr">
        <is>
          <t>data/cobblemon/spawn_pool_world/0394_prinplup.json</t>
        </is>
      </c>
      <c r="AN1430" s="18" t="inlineStr">
        <is>
          <t>prinplup-2</t>
        </is>
      </c>
      <c r="AO1430" s="18" t="inlineStr">
        <is>
          <t>pokemon</t>
        </is>
      </c>
      <c r="AP1430" s="18" t="inlineStr">
        <is>
          <t>water</t>
        </is>
      </c>
      <c r="AQ1430" s="18" t="inlineStr">
        <is>
          <t>{"biomes":["#cobblemon:is_frozen_ocean"],"canSeeSky":true}</t>
        </is>
      </c>
      <c r="AR1430" s="18" t="inlineStr"/>
      <c r="AS1430" s="18" t="inlineStr"/>
      <c r="AT1430" s="19" t="inlineStr"/>
    </row>
    <row r="1431" ht="32" customHeight="1">
      <c r="A1431" s="18" t="inlineStr">
        <is>
          <t>0394_prinplup.json::prinplup-3::003</t>
        </is>
      </c>
      <c r="B1431" s="19" t="inlineStr">
        <is>
          <t>사용</t>
        </is>
      </c>
      <c r="C1431" s="18">
        <f>IF(OR(B1431&lt;&gt;AK1431,M1431&lt;&gt;L1431,O1431&lt;&gt;"",Q1431&lt;&gt;"",V1431&lt;&gt;1,Y1431&lt;&gt;"",AT1431&lt;&gt;""),"수정","원본")</f>
        <v/>
      </c>
      <c r="D1431" s="18" t="n">
        <v>394</v>
      </c>
      <c r="E1431" s="18" t="inlineStr">
        <is>
          <t>팽태자</t>
        </is>
      </c>
      <c r="F1431" s="18" t="inlineStr">
        <is>
          <t>prinplup</t>
        </is>
      </c>
      <c r="G1431" s="18" t="inlineStr">
        <is>
          <t>prinplup</t>
        </is>
      </c>
      <c r="H1431" s="18" t="inlineStr"/>
      <c r="I1431" s="18" t="n">
        <v>4</v>
      </c>
      <c r="J1431" s="18" t="n"/>
      <c r="K1431" s="18" t="n">
        <v>4</v>
      </c>
      <c r="L1431" s="18" t="inlineStr">
        <is>
          <t>cobbleventure:generation_4</t>
        </is>
      </c>
      <c r="M1431" s="19" t="inlineStr">
        <is>
          <t>cobbleventure:generation_4</t>
        </is>
      </c>
      <c r="N1431" s="18" t="inlineStr"/>
      <c r="O1431" s="19" t="inlineStr"/>
      <c r="P1431" s="18" t="inlineStr">
        <is>
          <t>#cobblemon:is_cold_ocean; #cobblemon:is_frozen_ocean; minecraft:frozen_river; #cobblemon:is_glacial; #cobblemon:is_tundra</t>
        </is>
      </c>
      <c r="Q1431" s="19" t="inlineStr"/>
      <c r="R1431" s="18">
        <f>IF(Q1431="",P1431,Q1431)</f>
        <v/>
      </c>
      <c r="S1431" s="18" t="inlineStr"/>
      <c r="T1431" s="18" t="inlineStr">
        <is>
          <t>ultra-rare</t>
        </is>
      </c>
      <c r="U1431" s="20" t="n">
        <v>3.6</v>
      </c>
      <c r="V1431" s="21" t="n">
        <v>1</v>
      </c>
      <c r="W1431" s="20">
        <f>IF(OR(U1431="",V1431=""),U1431,U1431*V1431)</f>
        <v/>
      </c>
      <c r="X1431" s="18" t="inlineStr">
        <is>
          <t>16-41</t>
        </is>
      </c>
      <c r="Y1431" s="19" t="inlineStr"/>
      <c r="Z1431" s="18">
        <f>IF(Y1431="",X1431,Y1431)</f>
        <v/>
      </c>
      <c r="AA1431" s="18" t="inlineStr">
        <is>
          <t>fishing</t>
        </is>
      </c>
      <c r="AB1431" s="18" t="inlineStr"/>
      <c r="AC1431" s="18" t="inlineStr"/>
      <c r="AD1431" s="18" t="inlineStr"/>
      <c r="AE1431" s="18" t="inlineStr"/>
      <c r="AF1431" s="18" t="inlineStr">
        <is>
          <t>True</t>
        </is>
      </c>
      <c r="AG1431" s="18" t="inlineStr"/>
      <c r="AH1431" s="18" t="inlineStr"/>
      <c r="AI1431" s="18" t="inlineStr"/>
      <c r="AJ1431" s="18" t="inlineStr">
        <is>
          <t>Cobblemon 동일</t>
        </is>
      </c>
      <c r="AK1431" s="18" t="inlineStr">
        <is>
          <t>사용</t>
        </is>
      </c>
      <c r="AL1431" s="18" t="inlineStr">
        <is>
          <t>COBBLEVERSE 1.7.42 / DP v31</t>
        </is>
      </c>
      <c r="AM1431" s="18" t="inlineStr">
        <is>
          <t>data/cobblemon/spawn_pool_world/0394_prinplup.json</t>
        </is>
      </c>
      <c r="AN1431" s="18" t="inlineStr">
        <is>
          <t>prinplup-3</t>
        </is>
      </c>
      <c r="AO1431" s="18" t="inlineStr">
        <is>
          <t>pokemon</t>
        </is>
      </c>
      <c r="AP1431" s="18" t="inlineStr"/>
      <c r="AQ1431" s="18" t="inlineStr">
        <is>
          <t>{"biomes":["#cobblemon:is_cold_ocean","#cobblemon:is_frozen_ocean","minecraft:frozen_river","#cobblemon:is_glacial","#cobblemon:is_tundra"],"canSeeSky":true}</t>
        </is>
      </c>
      <c r="AR1431" s="18" t="inlineStr"/>
      <c r="AS1431" s="18" t="inlineStr"/>
      <c r="AT1431" s="19" t="inlineStr"/>
    </row>
    <row r="1432" ht="32" customHeight="1">
      <c r="A1432" s="18" t="inlineStr">
        <is>
          <t>0394_prinplup.json::prinplup-4::004</t>
        </is>
      </c>
      <c r="B1432" s="19" t="inlineStr">
        <is>
          <t>사용</t>
        </is>
      </c>
      <c r="C1432" s="18">
        <f>IF(OR(B1432&lt;&gt;AK1432,M1432&lt;&gt;L1432,O1432&lt;&gt;"",Q1432&lt;&gt;"",V1432&lt;&gt;1,Y1432&lt;&gt;"",AT1432&lt;&gt;""),"수정","원본")</f>
        <v/>
      </c>
      <c r="D1432" s="18" t="n">
        <v>394</v>
      </c>
      <c r="E1432" s="18" t="inlineStr">
        <is>
          <t>팽태자</t>
        </is>
      </c>
      <c r="F1432" s="18" t="inlineStr">
        <is>
          <t>prinplup</t>
        </is>
      </c>
      <c r="G1432" s="18" t="inlineStr">
        <is>
          <t>prinplup</t>
        </is>
      </c>
      <c r="H1432" s="18" t="inlineStr"/>
      <c r="I1432" s="18" t="n">
        <v>4</v>
      </c>
      <c r="J1432" s="18" t="n"/>
      <c r="K1432" s="18" t="n">
        <v>4</v>
      </c>
      <c r="L1432" s="18" t="inlineStr">
        <is>
          <t>cobbleventure:generation_4</t>
        </is>
      </c>
      <c r="M1432" s="19" t="inlineStr">
        <is>
          <t>cobbleventure:generation_4</t>
        </is>
      </c>
      <c r="N1432" s="18" t="inlineStr"/>
      <c r="O1432" s="19" t="inlineStr"/>
      <c r="P1432" s="18" t="inlineStr">
        <is>
          <t>#cobblemon:is_frozen_ocean</t>
        </is>
      </c>
      <c r="Q1432" s="19" t="inlineStr"/>
      <c r="R1432" s="18">
        <f>IF(Q1432="",P1432,Q1432)</f>
        <v/>
      </c>
      <c r="S1432" s="18" t="inlineStr"/>
      <c r="T1432" s="18" t="inlineStr">
        <is>
          <t>ultra-rare</t>
        </is>
      </c>
      <c r="U1432" s="20" t="n">
        <v>3.6</v>
      </c>
      <c r="V1432" s="21" t="n">
        <v>1</v>
      </c>
      <c r="W1432" s="20">
        <f>IF(OR(U1432="",V1432=""),U1432,U1432*V1432)</f>
        <v/>
      </c>
      <c r="X1432" s="18" t="inlineStr">
        <is>
          <t>16-41</t>
        </is>
      </c>
      <c r="Y1432" s="19" t="inlineStr"/>
      <c r="Z1432" s="18">
        <f>IF(Y1432="",X1432,Y1432)</f>
        <v/>
      </c>
      <c r="AA1432" s="18" t="inlineStr">
        <is>
          <t>submerged</t>
        </is>
      </c>
      <c r="AB1432" s="18" t="inlineStr"/>
      <c r="AC1432" s="18" t="inlineStr"/>
      <c r="AD1432" s="18" t="inlineStr"/>
      <c r="AE1432" s="18" t="inlineStr">
        <is>
          <t>sky 8-15</t>
        </is>
      </c>
      <c r="AF1432" s="18" t="inlineStr">
        <is>
          <t>False</t>
        </is>
      </c>
      <c r="AG1432" s="18" t="inlineStr"/>
      <c r="AH1432" s="18" t="inlineStr"/>
      <c r="AI1432" s="18" t="inlineStr"/>
      <c r="AJ1432" s="18" t="inlineStr">
        <is>
          <t>Cobblemon 동일</t>
        </is>
      </c>
      <c r="AK1432" s="18" t="inlineStr">
        <is>
          <t>사용</t>
        </is>
      </c>
      <c r="AL1432" s="18" t="inlineStr">
        <is>
          <t>COBBLEVERSE 1.7.42 / DP v31</t>
        </is>
      </c>
      <c r="AM1432" s="18" t="inlineStr">
        <is>
          <t>data/cobblemon/spawn_pool_world/0394_prinplup.json</t>
        </is>
      </c>
      <c r="AN1432" s="18" t="inlineStr">
        <is>
          <t>prinplup-4</t>
        </is>
      </c>
      <c r="AO1432" s="18" t="inlineStr">
        <is>
          <t>pokemon</t>
        </is>
      </c>
      <c r="AP1432" s="18" t="inlineStr">
        <is>
          <t>water</t>
        </is>
      </c>
      <c r="AQ1432" s="18" t="inlineStr">
        <is>
          <t>{"biomes":["#cobblemon:is_frozen_ocean"],"canSeeSky":false,"maxSkyLight":15,"minSkyLight":8}</t>
        </is>
      </c>
      <c r="AR1432" s="18" t="inlineStr"/>
      <c r="AS1432" s="18" t="inlineStr"/>
      <c r="AT1432" s="19" t="inlineStr"/>
    </row>
    <row r="1433" ht="32" customHeight="1">
      <c r="A1433" s="18" t="inlineStr">
        <is>
          <t>0394_prinplup.json::prinplup-5::005</t>
        </is>
      </c>
      <c r="B1433" s="19" t="inlineStr">
        <is>
          <t>사용</t>
        </is>
      </c>
      <c r="C1433" s="18">
        <f>IF(OR(B1433&lt;&gt;AK1433,M1433&lt;&gt;L1433,O1433&lt;&gt;"",Q1433&lt;&gt;"",V1433&lt;&gt;1,Y1433&lt;&gt;"",AT1433&lt;&gt;""),"수정","원본")</f>
        <v/>
      </c>
      <c r="D1433" s="18" t="n">
        <v>394</v>
      </c>
      <c r="E1433" s="18" t="inlineStr">
        <is>
          <t>팽태자</t>
        </is>
      </c>
      <c r="F1433" s="18" t="inlineStr">
        <is>
          <t>prinplup</t>
        </is>
      </c>
      <c r="G1433" s="18" t="inlineStr">
        <is>
          <t>prinplup</t>
        </is>
      </c>
      <c r="H1433" s="18" t="inlineStr"/>
      <c r="I1433" s="18" t="n">
        <v>4</v>
      </c>
      <c r="J1433" s="18" t="n"/>
      <c r="K1433" s="18" t="n">
        <v>4</v>
      </c>
      <c r="L1433" s="18" t="inlineStr">
        <is>
          <t>cobbleventure:generation_4</t>
        </is>
      </c>
      <c r="M1433" s="19" t="inlineStr">
        <is>
          <t>cobbleventure:generation_4</t>
        </is>
      </c>
      <c r="N1433" s="18" t="inlineStr"/>
      <c r="O1433" s="19" t="inlineStr"/>
      <c r="P1433" s="18" t="inlineStr">
        <is>
          <t>#cobblemon:is_cold_ocean; #cobblemon:is_frozen_ocean; minecraft:frozen_river; #cobblemon:is_glacial; #cobblemon:is_tundra</t>
        </is>
      </c>
      <c r="Q1433" s="19" t="inlineStr"/>
      <c r="R1433" s="18">
        <f>IF(Q1433="",P1433,Q1433)</f>
        <v/>
      </c>
      <c r="S1433" s="18" t="inlineStr"/>
      <c r="T1433" s="18" t="inlineStr">
        <is>
          <t>ultra-rare</t>
        </is>
      </c>
      <c r="U1433" s="20" t="n">
        <v>3.6</v>
      </c>
      <c r="V1433" s="21" t="n">
        <v>1</v>
      </c>
      <c r="W1433" s="20">
        <f>IF(OR(U1433="",V1433=""),U1433,U1433*V1433)</f>
        <v/>
      </c>
      <c r="X1433" s="18" t="inlineStr">
        <is>
          <t>16-41</t>
        </is>
      </c>
      <c r="Y1433" s="19" t="inlineStr"/>
      <c r="Z1433" s="18">
        <f>IF(Y1433="",X1433,Y1433)</f>
        <v/>
      </c>
      <c r="AA1433" s="18" t="inlineStr">
        <is>
          <t>fishing</t>
        </is>
      </c>
      <c r="AB1433" s="18" t="inlineStr"/>
      <c r="AC1433" s="18" t="inlineStr"/>
      <c r="AD1433" s="18" t="inlineStr"/>
      <c r="AE1433" s="18" t="inlineStr">
        <is>
          <t>sky 8-15</t>
        </is>
      </c>
      <c r="AF1433" s="18" t="inlineStr">
        <is>
          <t>False</t>
        </is>
      </c>
      <c r="AG1433" s="18" t="inlineStr"/>
      <c r="AH1433" s="18" t="inlineStr"/>
      <c r="AI1433" s="18" t="inlineStr"/>
      <c r="AJ1433" s="18" t="inlineStr">
        <is>
          <t>Cobblemon 동일</t>
        </is>
      </c>
      <c r="AK1433" s="18" t="inlineStr">
        <is>
          <t>사용</t>
        </is>
      </c>
      <c r="AL1433" s="18" t="inlineStr">
        <is>
          <t>COBBLEVERSE 1.7.42 / DP v31</t>
        </is>
      </c>
      <c r="AM1433" s="18" t="inlineStr">
        <is>
          <t>data/cobblemon/spawn_pool_world/0394_prinplup.json</t>
        </is>
      </c>
      <c r="AN1433" s="18" t="inlineStr">
        <is>
          <t>prinplup-5</t>
        </is>
      </c>
      <c r="AO1433" s="18" t="inlineStr">
        <is>
          <t>pokemon</t>
        </is>
      </c>
      <c r="AP1433" s="18" t="inlineStr"/>
      <c r="AQ1433" s="18" t="inlineStr">
        <is>
          <t>{"biomes":["#cobblemon:is_cold_ocean","#cobblemon:is_frozen_ocean","minecraft:frozen_river","#cobblemon:is_glacial","#cobblemon:is_tundra"],"canSeeSky":false,"maxSkyLight":15,"minSkyLight":8}</t>
        </is>
      </c>
      <c r="AR1433" s="18" t="inlineStr"/>
      <c r="AS1433" s="18" t="inlineStr"/>
      <c r="AT1433" s="19" t="inlineStr"/>
    </row>
    <row r="1434" ht="32" customHeight="1">
      <c r="A1434" s="18" t="inlineStr">
        <is>
          <t>0395_empoleon.json::empoleon-1::001</t>
        </is>
      </c>
      <c r="B1434" s="19" t="inlineStr">
        <is>
          <t>사용</t>
        </is>
      </c>
      <c r="C1434" s="18">
        <f>IF(OR(B1434&lt;&gt;AK1434,M1434&lt;&gt;L1434,O1434&lt;&gt;"",Q1434&lt;&gt;"",V1434&lt;&gt;1,Y1434&lt;&gt;"",AT1434&lt;&gt;""),"수정","원본")</f>
        <v/>
      </c>
      <c r="D1434" s="18" t="n">
        <v>395</v>
      </c>
      <c r="E1434" s="18" t="inlineStr">
        <is>
          <t>엠페르트</t>
        </is>
      </c>
      <c r="F1434" s="18" t="inlineStr">
        <is>
          <t>empoleon</t>
        </is>
      </c>
      <c r="G1434" s="18" t="inlineStr">
        <is>
          <t>empoleon</t>
        </is>
      </c>
      <c r="H1434" s="18" t="inlineStr"/>
      <c r="I1434" s="18" t="n">
        <v>4</v>
      </c>
      <c r="J1434" s="18" t="n"/>
      <c r="K1434" s="18" t="n">
        <v>4</v>
      </c>
      <c r="L1434" s="18" t="inlineStr">
        <is>
          <t>cobbleventure:generation_4</t>
        </is>
      </c>
      <c r="M1434" s="19" t="inlineStr">
        <is>
          <t>cobbleventure:generation_4</t>
        </is>
      </c>
      <c r="N1434" s="18" t="inlineStr"/>
      <c r="O1434" s="19" t="inlineStr"/>
      <c r="P1434" s="18" t="inlineStr">
        <is>
          <t>#cobblemon:is_frozen_ocean</t>
        </is>
      </c>
      <c r="Q1434" s="19" t="inlineStr"/>
      <c r="R1434" s="18">
        <f>IF(Q1434="",P1434,Q1434)</f>
        <v/>
      </c>
      <c r="S1434" s="18" t="inlineStr"/>
      <c r="T1434" s="18" t="inlineStr">
        <is>
          <t>ultra-rare</t>
        </is>
      </c>
      <c r="U1434" s="20" t="n">
        <v>0.4</v>
      </c>
      <c r="V1434" s="21" t="n">
        <v>1</v>
      </c>
      <c r="W1434" s="20">
        <f>IF(OR(U1434="",V1434=""),U1434,U1434*V1434)</f>
        <v/>
      </c>
      <c r="X1434" s="18" t="inlineStr">
        <is>
          <t>36-53</t>
        </is>
      </c>
      <c r="Y1434" s="19" t="inlineStr"/>
      <c r="Z1434" s="18">
        <f>IF(Y1434="",X1434,Y1434)</f>
        <v/>
      </c>
      <c r="AA1434" s="18" t="inlineStr">
        <is>
          <t>grounded</t>
        </is>
      </c>
      <c r="AB1434" s="18" t="inlineStr"/>
      <c r="AC1434" s="18" t="inlineStr"/>
      <c r="AD1434" s="18" t="inlineStr"/>
      <c r="AE1434" s="18" t="inlineStr">
        <is>
          <t>sky 8-15</t>
        </is>
      </c>
      <c r="AF1434" s="18" t="inlineStr"/>
      <c r="AG1434" s="18" t="inlineStr"/>
      <c r="AH1434" s="18" t="inlineStr"/>
      <c r="AI1434" s="18" t="inlineStr"/>
      <c r="AJ1434" s="18" t="inlineStr">
        <is>
          <t>Cobblemon 동일</t>
        </is>
      </c>
      <c r="AK1434" s="18" t="inlineStr">
        <is>
          <t>사용</t>
        </is>
      </c>
      <c r="AL1434" s="18" t="inlineStr">
        <is>
          <t>COBBLEVERSE 1.7.42 / DP v31</t>
        </is>
      </c>
      <c r="AM1434" s="18" t="inlineStr">
        <is>
          <t>data/cobblemon/spawn_pool_world/0395_empoleon.json</t>
        </is>
      </c>
      <c r="AN1434" s="18" t="inlineStr">
        <is>
          <t>empoleon-1</t>
        </is>
      </c>
      <c r="AO1434" s="18" t="inlineStr">
        <is>
          <t>pokemon</t>
        </is>
      </c>
      <c r="AP1434" s="18" t="inlineStr">
        <is>
          <t>natural</t>
        </is>
      </c>
      <c r="AQ1434" s="18" t="inlineStr">
        <is>
          <t>{"biomes":["#cobblemon:is_frozen_ocean"],"maxSkyLight":15,"minSkyLight":8}</t>
        </is>
      </c>
      <c r="AR1434" s="18" t="inlineStr"/>
      <c r="AS1434" s="18" t="inlineStr"/>
      <c r="AT1434" s="19" t="inlineStr"/>
    </row>
    <row r="1435" ht="32" customHeight="1">
      <c r="A1435" s="18" t="inlineStr">
        <is>
          <t>0395_empoleon.json::empoleon-2::002</t>
        </is>
      </c>
      <c r="B1435" s="19" t="inlineStr">
        <is>
          <t>사용</t>
        </is>
      </c>
      <c r="C1435" s="18">
        <f>IF(OR(B1435&lt;&gt;AK1435,M1435&lt;&gt;L1435,O1435&lt;&gt;"",Q1435&lt;&gt;"",V1435&lt;&gt;1,Y1435&lt;&gt;"",AT1435&lt;&gt;""),"수정","원본")</f>
        <v/>
      </c>
      <c r="D1435" s="18" t="n">
        <v>395</v>
      </c>
      <c r="E1435" s="18" t="inlineStr">
        <is>
          <t>엠페르트</t>
        </is>
      </c>
      <c r="F1435" s="18" t="inlineStr">
        <is>
          <t>empoleon</t>
        </is>
      </c>
      <c r="G1435" s="18" t="inlineStr">
        <is>
          <t>empoleon</t>
        </is>
      </c>
      <c r="H1435" s="18" t="inlineStr"/>
      <c r="I1435" s="18" t="n">
        <v>4</v>
      </c>
      <c r="J1435" s="18" t="n"/>
      <c r="K1435" s="18" t="n">
        <v>4</v>
      </c>
      <c r="L1435" s="18" t="inlineStr">
        <is>
          <t>cobbleventure:generation_4</t>
        </is>
      </c>
      <c r="M1435" s="19" t="inlineStr">
        <is>
          <t>cobbleventure:generation_4</t>
        </is>
      </c>
      <c r="N1435" s="18" t="inlineStr"/>
      <c r="O1435" s="19" t="inlineStr"/>
      <c r="P1435" s="18" t="inlineStr">
        <is>
          <t>#cobblemon:is_frozen_ocean</t>
        </is>
      </c>
      <c r="Q1435" s="19" t="inlineStr"/>
      <c r="R1435" s="18">
        <f>IF(Q1435="",P1435,Q1435)</f>
        <v/>
      </c>
      <c r="S1435" s="18" t="inlineStr"/>
      <c r="T1435" s="18" t="inlineStr">
        <is>
          <t>ultra-rare</t>
        </is>
      </c>
      <c r="U1435" s="20" t="n">
        <v>0.4</v>
      </c>
      <c r="V1435" s="21" t="n">
        <v>1</v>
      </c>
      <c r="W1435" s="20">
        <f>IF(OR(U1435="",V1435=""),U1435,U1435*V1435)</f>
        <v/>
      </c>
      <c r="X1435" s="18" t="inlineStr">
        <is>
          <t>36-53</t>
        </is>
      </c>
      <c r="Y1435" s="19" t="inlineStr"/>
      <c r="Z1435" s="18">
        <f>IF(Y1435="",X1435,Y1435)</f>
        <v/>
      </c>
      <c r="AA1435" s="18" t="inlineStr">
        <is>
          <t>submerged</t>
        </is>
      </c>
      <c r="AB1435" s="18" t="inlineStr"/>
      <c r="AC1435" s="18" t="inlineStr"/>
      <c r="AD1435" s="18" t="inlineStr"/>
      <c r="AE1435" s="18" t="inlineStr"/>
      <c r="AF1435" s="18" t="inlineStr">
        <is>
          <t>True</t>
        </is>
      </c>
      <c r="AG1435" s="18" t="inlineStr"/>
      <c r="AH1435" s="18" t="inlineStr"/>
      <c r="AI1435" s="18" t="inlineStr"/>
      <c r="AJ1435" s="18" t="inlineStr">
        <is>
          <t>Cobblemon 동일</t>
        </is>
      </c>
      <c r="AK1435" s="18" t="inlineStr">
        <is>
          <t>사용</t>
        </is>
      </c>
      <c r="AL1435" s="18" t="inlineStr">
        <is>
          <t>COBBLEVERSE 1.7.42 / DP v31</t>
        </is>
      </c>
      <c r="AM1435" s="18" t="inlineStr">
        <is>
          <t>data/cobblemon/spawn_pool_world/0395_empoleon.json</t>
        </is>
      </c>
      <c r="AN1435" s="18" t="inlineStr">
        <is>
          <t>empoleon-2</t>
        </is>
      </c>
      <c r="AO1435" s="18" t="inlineStr">
        <is>
          <t>pokemon</t>
        </is>
      </c>
      <c r="AP1435" s="18" t="inlineStr">
        <is>
          <t>water</t>
        </is>
      </c>
      <c r="AQ1435" s="18" t="inlineStr">
        <is>
          <t>{"biomes":["#cobblemon:is_frozen_ocean"],"canSeeSky":true}</t>
        </is>
      </c>
      <c r="AR1435" s="18" t="inlineStr"/>
      <c r="AS1435" s="18" t="inlineStr"/>
      <c r="AT1435" s="19" t="inlineStr"/>
    </row>
    <row r="1436" ht="32" customHeight="1">
      <c r="A1436" s="18" t="inlineStr">
        <is>
          <t>0395_empoleon.json::empoleon-3::003</t>
        </is>
      </c>
      <c r="B1436" s="19" t="inlineStr">
        <is>
          <t>사용</t>
        </is>
      </c>
      <c r="C1436" s="18">
        <f>IF(OR(B1436&lt;&gt;AK1436,M1436&lt;&gt;L1436,O1436&lt;&gt;"",Q1436&lt;&gt;"",V1436&lt;&gt;1,Y1436&lt;&gt;"",AT1436&lt;&gt;""),"수정","원본")</f>
        <v/>
      </c>
      <c r="D1436" s="18" t="n">
        <v>395</v>
      </c>
      <c r="E1436" s="18" t="inlineStr">
        <is>
          <t>엠페르트</t>
        </is>
      </c>
      <c r="F1436" s="18" t="inlineStr">
        <is>
          <t>empoleon</t>
        </is>
      </c>
      <c r="G1436" s="18" t="inlineStr">
        <is>
          <t>empoleon</t>
        </is>
      </c>
      <c r="H1436" s="18" t="inlineStr"/>
      <c r="I1436" s="18" t="n">
        <v>4</v>
      </c>
      <c r="J1436" s="18" t="n"/>
      <c r="K1436" s="18" t="n">
        <v>4</v>
      </c>
      <c r="L1436" s="18" t="inlineStr">
        <is>
          <t>cobbleventure:generation_4</t>
        </is>
      </c>
      <c r="M1436" s="19" t="inlineStr">
        <is>
          <t>cobbleventure:generation_4</t>
        </is>
      </c>
      <c r="N1436" s="18" t="inlineStr"/>
      <c r="O1436" s="19" t="inlineStr"/>
      <c r="P1436" s="18" t="inlineStr">
        <is>
          <t>#cobblemon:is_cold_ocean; #cobblemon:is_frozen_ocean; minecraft:frozen_river; #cobblemon:is_glacial; #cobblemon:is_tundra</t>
        </is>
      </c>
      <c r="Q1436" s="19" t="inlineStr"/>
      <c r="R1436" s="18">
        <f>IF(Q1436="",P1436,Q1436)</f>
        <v/>
      </c>
      <c r="S1436" s="18" t="inlineStr"/>
      <c r="T1436" s="18" t="inlineStr">
        <is>
          <t>ultra-rare</t>
        </is>
      </c>
      <c r="U1436" s="20" t="n">
        <v>0.4</v>
      </c>
      <c r="V1436" s="21" t="n">
        <v>1</v>
      </c>
      <c r="W1436" s="20">
        <f>IF(OR(U1436="",V1436=""),U1436,U1436*V1436)</f>
        <v/>
      </c>
      <c r="X1436" s="18" t="inlineStr">
        <is>
          <t>36-53</t>
        </is>
      </c>
      <c r="Y1436" s="19" t="inlineStr"/>
      <c r="Z1436" s="18">
        <f>IF(Y1436="",X1436,Y1436)</f>
        <v/>
      </c>
      <c r="AA1436" s="18" t="inlineStr">
        <is>
          <t>fishing</t>
        </is>
      </c>
      <c r="AB1436" s="18" t="inlineStr"/>
      <c r="AC1436" s="18" t="inlineStr"/>
      <c r="AD1436" s="18" t="inlineStr"/>
      <c r="AE1436" s="18" t="inlineStr"/>
      <c r="AF1436" s="18" t="inlineStr">
        <is>
          <t>True</t>
        </is>
      </c>
      <c r="AG1436" s="18" t="inlineStr"/>
      <c r="AH1436" s="18" t="inlineStr"/>
      <c r="AI1436" s="18" t="inlineStr"/>
      <c r="AJ1436" s="18" t="inlineStr">
        <is>
          <t>Cobblemon 동일</t>
        </is>
      </c>
      <c r="AK1436" s="18" t="inlineStr">
        <is>
          <t>사용</t>
        </is>
      </c>
      <c r="AL1436" s="18" t="inlineStr">
        <is>
          <t>COBBLEVERSE 1.7.42 / DP v31</t>
        </is>
      </c>
      <c r="AM1436" s="18" t="inlineStr">
        <is>
          <t>data/cobblemon/spawn_pool_world/0395_empoleon.json</t>
        </is>
      </c>
      <c r="AN1436" s="18" t="inlineStr">
        <is>
          <t>empoleon-3</t>
        </is>
      </c>
      <c r="AO1436" s="18" t="inlineStr">
        <is>
          <t>pokemon</t>
        </is>
      </c>
      <c r="AP1436" s="18" t="inlineStr"/>
      <c r="AQ1436" s="18" t="inlineStr">
        <is>
          <t>{"biomes":["#cobblemon:is_cold_ocean","#cobblemon:is_frozen_ocean","minecraft:frozen_river","#cobblemon:is_glacial","#cobblemon:is_tundra"],"canSeeSky":true}</t>
        </is>
      </c>
      <c r="AR1436" s="18" t="inlineStr"/>
      <c r="AS1436" s="18" t="inlineStr"/>
      <c r="AT1436" s="19" t="inlineStr"/>
    </row>
    <row r="1437" ht="32" customHeight="1">
      <c r="A1437" s="18" t="inlineStr">
        <is>
          <t>0395_empoleon.json::empoleon-4::004</t>
        </is>
      </c>
      <c r="B1437" s="19" t="inlineStr">
        <is>
          <t>사용</t>
        </is>
      </c>
      <c r="C1437" s="18">
        <f>IF(OR(B1437&lt;&gt;AK1437,M1437&lt;&gt;L1437,O1437&lt;&gt;"",Q1437&lt;&gt;"",V1437&lt;&gt;1,Y1437&lt;&gt;"",AT1437&lt;&gt;""),"수정","원본")</f>
        <v/>
      </c>
      <c r="D1437" s="18" t="n">
        <v>395</v>
      </c>
      <c r="E1437" s="18" t="inlineStr">
        <is>
          <t>엠페르트</t>
        </is>
      </c>
      <c r="F1437" s="18" t="inlineStr">
        <is>
          <t>empoleon</t>
        </is>
      </c>
      <c r="G1437" s="18" t="inlineStr">
        <is>
          <t>empoleon</t>
        </is>
      </c>
      <c r="H1437" s="18" t="inlineStr"/>
      <c r="I1437" s="18" t="n">
        <v>4</v>
      </c>
      <c r="J1437" s="18" t="n"/>
      <c r="K1437" s="18" t="n">
        <v>4</v>
      </c>
      <c r="L1437" s="18" t="inlineStr">
        <is>
          <t>cobbleventure:generation_4</t>
        </is>
      </c>
      <c r="M1437" s="19" t="inlineStr">
        <is>
          <t>cobbleventure:generation_4</t>
        </is>
      </c>
      <c r="N1437" s="18" t="inlineStr"/>
      <c r="O1437" s="19" t="inlineStr"/>
      <c r="P1437" s="18" t="inlineStr">
        <is>
          <t>#cobblemon:is_frozen_ocean</t>
        </is>
      </c>
      <c r="Q1437" s="19" t="inlineStr"/>
      <c r="R1437" s="18">
        <f>IF(Q1437="",P1437,Q1437)</f>
        <v/>
      </c>
      <c r="S1437" s="18" t="inlineStr"/>
      <c r="T1437" s="18" t="inlineStr">
        <is>
          <t>ultra-rare</t>
        </is>
      </c>
      <c r="U1437" s="20" t="n">
        <v>0.4</v>
      </c>
      <c r="V1437" s="21" t="n">
        <v>1</v>
      </c>
      <c r="W1437" s="20">
        <f>IF(OR(U1437="",V1437=""),U1437,U1437*V1437)</f>
        <v/>
      </c>
      <c r="X1437" s="18" t="inlineStr">
        <is>
          <t>36-53</t>
        </is>
      </c>
      <c r="Y1437" s="19" t="inlineStr"/>
      <c r="Z1437" s="18">
        <f>IF(Y1437="",X1437,Y1437)</f>
        <v/>
      </c>
      <c r="AA1437" s="18" t="inlineStr">
        <is>
          <t>submerged</t>
        </is>
      </c>
      <c r="AB1437" s="18" t="inlineStr"/>
      <c r="AC1437" s="18" t="inlineStr"/>
      <c r="AD1437" s="18" t="inlineStr"/>
      <c r="AE1437" s="18" t="inlineStr">
        <is>
          <t>sky 8-15</t>
        </is>
      </c>
      <c r="AF1437" s="18" t="inlineStr">
        <is>
          <t>False</t>
        </is>
      </c>
      <c r="AG1437" s="18" t="inlineStr"/>
      <c r="AH1437" s="18" t="inlineStr"/>
      <c r="AI1437" s="18" t="inlineStr"/>
      <c r="AJ1437" s="18" t="inlineStr">
        <is>
          <t>Cobblemon 동일</t>
        </is>
      </c>
      <c r="AK1437" s="18" t="inlineStr">
        <is>
          <t>사용</t>
        </is>
      </c>
      <c r="AL1437" s="18" t="inlineStr">
        <is>
          <t>COBBLEVERSE 1.7.42 / DP v31</t>
        </is>
      </c>
      <c r="AM1437" s="18" t="inlineStr">
        <is>
          <t>data/cobblemon/spawn_pool_world/0395_empoleon.json</t>
        </is>
      </c>
      <c r="AN1437" s="18" t="inlineStr">
        <is>
          <t>empoleon-4</t>
        </is>
      </c>
      <c r="AO1437" s="18" t="inlineStr">
        <is>
          <t>pokemon</t>
        </is>
      </c>
      <c r="AP1437" s="18" t="inlineStr">
        <is>
          <t>water</t>
        </is>
      </c>
      <c r="AQ1437" s="18" t="inlineStr">
        <is>
          <t>{"biomes":["#cobblemon:is_frozen_ocean"],"canSeeSky":false,"maxSkyLight":15,"minSkyLight":8}</t>
        </is>
      </c>
      <c r="AR1437" s="18" t="inlineStr"/>
      <c r="AS1437" s="18" t="inlineStr"/>
      <c r="AT1437" s="19" t="inlineStr"/>
    </row>
    <row r="1438" ht="32" customHeight="1">
      <c r="A1438" s="18" t="inlineStr">
        <is>
          <t>0395_empoleon.json::empoleon-5::005</t>
        </is>
      </c>
      <c r="B1438" s="19" t="inlineStr">
        <is>
          <t>사용</t>
        </is>
      </c>
      <c r="C1438" s="18">
        <f>IF(OR(B1438&lt;&gt;AK1438,M1438&lt;&gt;L1438,O1438&lt;&gt;"",Q1438&lt;&gt;"",V1438&lt;&gt;1,Y1438&lt;&gt;"",AT1438&lt;&gt;""),"수정","원본")</f>
        <v/>
      </c>
      <c r="D1438" s="18" t="n">
        <v>395</v>
      </c>
      <c r="E1438" s="18" t="inlineStr">
        <is>
          <t>엠페르트</t>
        </is>
      </c>
      <c r="F1438" s="18" t="inlineStr">
        <is>
          <t>empoleon</t>
        </is>
      </c>
      <c r="G1438" s="18" t="inlineStr">
        <is>
          <t>empoleon</t>
        </is>
      </c>
      <c r="H1438" s="18" t="inlineStr"/>
      <c r="I1438" s="18" t="n">
        <v>4</v>
      </c>
      <c r="J1438" s="18" t="n"/>
      <c r="K1438" s="18" t="n">
        <v>4</v>
      </c>
      <c r="L1438" s="18" t="inlineStr">
        <is>
          <t>cobbleventure:generation_4</t>
        </is>
      </c>
      <c r="M1438" s="19" t="inlineStr">
        <is>
          <t>cobbleventure:generation_4</t>
        </is>
      </c>
      <c r="N1438" s="18" t="inlineStr"/>
      <c r="O1438" s="19" t="inlineStr"/>
      <c r="P1438" s="18" t="inlineStr">
        <is>
          <t>#cobblemon:is_cold_ocean; #cobblemon:is_frozen_ocean; minecraft:frozen_river; #cobblemon:is_glacial; #cobblemon:is_tundra</t>
        </is>
      </c>
      <c r="Q1438" s="19" t="inlineStr"/>
      <c r="R1438" s="18">
        <f>IF(Q1438="",P1438,Q1438)</f>
        <v/>
      </c>
      <c r="S1438" s="18" t="inlineStr"/>
      <c r="T1438" s="18" t="inlineStr">
        <is>
          <t>ultra-rare</t>
        </is>
      </c>
      <c r="U1438" s="20" t="n">
        <v>0.4</v>
      </c>
      <c r="V1438" s="21" t="n">
        <v>1</v>
      </c>
      <c r="W1438" s="20">
        <f>IF(OR(U1438="",V1438=""),U1438,U1438*V1438)</f>
        <v/>
      </c>
      <c r="X1438" s="18" t="inlineStr">
        <is>
          <t>36-53</t>
        </is>
      </c>
      <c r="Y1438" s="19" t="inlineStr"/>
      <c r="Z1438" s="18">
        <f>IF(Y1438="",X1438,Y1438)</f>
        <v/>
      </c>
      <c r="AA1438" s="18" t="inlineStr">
        <is>
          <t>fishing</t>
        </is>
      </c>
      <c r="AB1438" s="18" t="inlineStr"/>
      <c r="AC1438" s="18" t="inlineStr"/>
      <c r="AD1438" s="18" t="inlineStr"/>
      <c r="AE1438" s="18" t="inlineStr">
        <is>
          <t>sky 8-15</t>
        </is>
      </c>
      <c r="AF1438" s="18" t="inlineStr">
        <is>
          <t>False</t>
        </is>
      </c>
      <c r="AG1438" s="18" t="inlineStr"/>
      <c r="AH1438" s="18" t="inlineStr"/>
      <c r="AI1438" s="18" t="inlineStr"/>
      <c r="AJ1438" s="18" t="inlineStr">
        <is>
          <t>Cobblemon 동일</t>
        </is>
      </c>
      <c r="AK1438" s="18" t="inlineStr">
        <is>
          <t>사용</t>
        </is>
      </c>
      <c r="AL1438" s="18" t="inlineStr">
        <is>
          <t>COBBLEVERSE 1.7.42 / DP v31</t>
        </is>
      </c>
      <c r="AM1438" s="18" t="inlineStr">
        <is>
          <t>data/cobblemon/spawn_pool_world/0395_empoleon.json</t>
        </is>
      </c>
      <c r="AN1438" s="18" t="inlineStr">
        <is>
          <t>empoleon-5</t>
        </is>
      </c>
      <c r="AO1438" s="18" t="inlineStr">
        <is>
          <t>pokemon</t>
        </is>
      </c>
      <c r="AP1438" s="18" t="inlineStr"/>
      <c r="AQ1438" s="18" t="inlineStr">
        <is>
          <t>{"biomes":["#cobblemon:is_cold_ocean","#cobblemon:is_frozen_ocean","minecraft:frozen_river","#cobblemon:is_glacial","#cobblemon:is_tundra"],"canSeeSky":false,"maxSkyLight":15,"minSkyLight":8}</t>
        </is>
      </c>
      <c r="AR1438" s="18" t="inlineStr"/>
      <c r="AS1438" s="18" t="inlineStr"/>
      <c r="AT1438" s="19" t="inlineStr"/>
    </row>
    <row r="1439" ht="32" customHeight="1">
      <c r="A1439" s="18" t="inlineStr">
        <is>
          <t>0396_starly.json::starly-1::001</t>
        </is>
      </c>
      <c r="B1439" s="19" t="inlineStr">
        <is>
          <t>사용</t>
        </is>
      </c>
      <c r="C1439" s="18">
        <f>IF(OR(B1439&lt;&gt;AK1439,M1439&lt;&gt;L1439,O1439&lt;&gt;"",Q1439&lt;&gt;"",V1439&lt;&gt;1,Y1439&lt;&gt;"",AT1439&lt;&gt;""),"수정","원본")</f>
        <v/>
      </c>
      <c r="D1439" s="18" t="n">
        <v>396</v>
      </c>
      <c r="E1439" s="18" t="inlineStr">
        <is>
          <t>찌르꼬</t>
        </is>
      </c>
      <c r="F1439" s="18" t="inlineStr">
        <is>
          <t>starly</t>
        </is>
      </c>
      <c r="G1439" s="18" t="inlineStr">
        <is>
          <t>starly</t>
        </is>
      </c>
      <c r="H1439" s="18" t="inlineStr"/>
      <c r="I1439" s="18" t="n">
        <v>4</v>
      </c>
      <c r="J1439" s="18" t="n"/>
      <c r="K1439" s="18" t="n">
        <v>4</v>
      </c>
      <c r="L1439" s="18" t="inlineStr">
        <is>
          <t>cobbleventure:generation_4</t>
        </is>
      </c>
      <c r="M1439" s="19" t="inlineStr">
        <is>
          <t>cobbleventure:generation_4</t>
        </is>
      </c>
      <c r="N1439" s="18" t="inlineStr"/>
      <c r="O1439" s="19" t="inlineStr"/>
      <c r="P1439" s="18" t="inlineStr">
        <is>
          <t>#cobblemon:is_hills; #cobblemon:is_sky; #cobblemon:is_snowy_forest; #cobblemon:is_taiga</t>
        </is>
      </c>
      <c r="Q1439" s="19" t="inlineStr"/>
      <c r="R1439" s="18">
        <f>IF(Q1439="",P1439,Q1439)</f>
        <v/>
      </c>
      <c r="S1439" s="18" t="inlineStr">
        <is>
          <t>#cobblemon:is_arid</t>
        </is>
      </c>
      <c r="T1439" s="18" t="inlineStr">
        <is>
          <t>common</t>
        </is>
      </c>
      <c r="U1439" s="20" t="n">
        <v>9</v>
      </c>
      <c r="V1439" s="21" t="n">
        <v>1</v>
      </c>
      <c r="W1439" s="20">
        <f>IF(OR(U1439="",V1439=""),U1439,U1439*V1439)</f>
        <v/>
      </c>
      <c r="X1439" s="18" t="inlineStr">
        <is>
          <t>1-25</t>
        </is>
      </c>
      <c r="Y1439" s="19" t="inlineStr"/>
      <c r="Z1439" s="18">
        <f>IF(Y1439="",X1439,Y1439)</f>
        <v/>
      </c>
      <c r="AA1439" s="18" t="inlineStr">
        <is>
          <t>grounded</t>
        </is>
      </c>
      <c r="AB1439" s="18" t="inlineStr">
        <is>
          <t>day</t>
        </is>
      </c>
      <c r="AC1439" s="18" t="inlineStr"/>
      <c r="AD1439" s="18" t="inlineStr"/>
      <c r="AE1439" s="18" t="inlineStr">
        <is>
          <t>sky 8-15</t>
        </is>
      </c>
      <c r="AF1439" s="18" t="inlineStr"/>
      <c r="AG1439" s="18" t="inlineStr"/>
      <c r="AH1439" s="18" t="inlineStr"/>
      <c r="AI1439" s="18" t="inlineStr"/>
      <c r="AJ1439" s="18" t="inlineStr">
        <is>
          <t>Cobblemon 동일</t>
        </is>
      </c>
      <c r="AK1439" s="18" t="inlineStr">
        <is>
          <t>사용</t>
        </is>
      </c>
      <c r="AL1439" s="18" t="inlineStr">
        <is>
          <t>COBBLEVERSE 1.7.42 / DP v31</t>
        </is>
      </c>
      <c r="AM1439" s="18" t="inlineStr">
        <is>
          <t>data/cobblemon/spawn_pool_world/0396_starly.json</t>
        </is>
      </c>
      <c r="AN1439" s="18" t="inlineStr">
        <is>
          <t>starly-1</t>
        </is>
      </c>
      <c r="AO1439" s="18" t="inlineStr">
        <is>
          <t>pokemon</t>
        </is>
      </c>
      <c r="AP1439" s="18" t="inlineStr">
        <is>
          <t>natural; treetop</t>
        </is>
      </c>
      <c r="AQ1439" s="18" t="inlineStr">
        <is>
          <t>{"biomes":["#cobblemon:is_hills","#cobblemon:is_sky","#cobblemon:is_snowy_forest","#cobblemon:is_taiga"],"maxSkyLight":15,"minSkyLight":8,"timeRange":"day"}</t>
        </is>
      </c>
      <c r="AR1439" s="18" t="inlineStr">
        <is>
          <t>{"biomes":["#cobblemon:is_arid"]}</t>
        </is>
      </c>
      <c r="AS1439" s="18" t="inlineStr"/>
      <c r="AT1439" s="19" t="inlineStr"/>
    </row>
    <row r="1440" ht="32" customHeight="1">
      <c r="A1440" s="18" t="inlineStr">
        <is>
          <t>0397_staravia.json::staravia-1::001</t>
        </is>
      </c>
      <c r="B1440" s="19" t="inlineStr">
        <is>
          <t>사용</t>
        </is>
      </c>
      <c r="C1440" s="18">
        <f>IF(OR(B1440&lt;&gt;AK1440,M1440&lt;&gt;L1440,O1440&lt;&gt;"",Q1440&lt;&gt;"",V1440&lt;&gt;1,Y1440&lt;&gt;"",AT1440&lt;&gt;""),"수정","원본")</f>
        <v/>
      </c>
      <c r="D1440" s="18" t="n">
        <v>397</v>
      </c>
      <c r="E1440" s="18" t="inlineStr">
        <is>
          <t>찌르버드</t>
        </is>
      </c>
      <c r="F1440" s="18" t="inlineStr">
        <is>
          <t>staravia</t>
        </is>
      </c>
      <c r="G1440" s="18" t="inlineStr">
        <is>
          <t>staravia</t>
        </is>
      </c>
      <c r="H1440" s="18" t="inlineStr"/>
      <c r="I1440" s="18" t="n">
        <v>4</v>
      </c>
      <c r="J1440" s="18" t="n"/>
      <c r="K1440" s="18" t="n">
        <v>4</v>
      </c>
      <c r="L1440" s="18" t="inlineStr">
        <is>
          <t>cobbleventure:generation_4</t>
        </is>
      </c>
      <c r="M1440" s="19" t="inlineStr">
        <is>
          <t>cobbleventure:generation_4</t>
        </is>
      </c>
      <c r="N1440" s="18" t="inlineStr"/>
      <c r="O1440" s="19" t="inlineStr"/>
      <c r="P1440" s="18" t="inlineStr">
        <is>
          <t>#cobblemon:is_hills; #cobblemon:is_sky; #cobblemon:is_snowy_forest; #cobblemon:is_taiga</t>
        </is>
      </c>
      <c r="Q1440" s="19" t="inlineStr"/>
      <c r="R1440" s="18">
        <f>IF(Q1440="",P1440,Q1440)</f>
        <v/>
      </c>
      <c r="S1440" s="18" t="inlineStr">
        <is>
          <t>#cobblemon:is_arid</t>
        </is>
      </c>
      <c r="T1440" s="18" t="inlineStr">
        <is>
          <t>common</t>
        </is>
      </c>
      <c r="U1440" s="20" t="n">
        <v>0.9</v>
      </c>
      <c r="V1440" s="21" t="n">
        <v>1</v>
      </c>
      <c r="W1440" s="20">
        <f>IF(OR(U1440="",V1440=""),U1440,U1440*V1440)</f>
        <v/>
      </c>
      <c r="X1440" s="18" t="inlineStr">
        <is>
          <t>14-34</t>
        </is>
      </c>
      <c r="Y1440" s="19" t="inlineStr"/>
      <c r="Z1440" s="18">
        <f>IF(Y1440="",X1440,Y1440)</f>
        <v/>
      </c>
      <c r="AA1440" s="18" t="inlineStr">
        <is>
          <t>grounded</t>
        </is>
      </c>
      <c r="AB1440" s="18" t="inlineStr">
        <is>
          <t>day</t>
        </is>
      </c>
      <c r="AC1440" s="18" t="inlineStr"/>
      <c r="AD1440" s="18" t="inlineStr"/>
      <c r="AE1440" s="18" t="inlineStr">
        <is>
          <t>sky 8-15</t>
        </is>
      </c>
      <c r="AF1440" s="18" t="inlineStr"/>
      <c r="AG1440" s="18" t="inlineStr"/>
      <c r="AH1440" s="18" t="inlineStr"/>
      <c r="AI1440" s="18" t="inlineStr"/>
      <c r="AJ1440" s="18" t="inlineStr">
        <is>
          <t>Cobblemon 동일</t>
        </is>
      </c>
      <c r="AK1440" s="18" t="inlineStr">
        <is>
          <t>사용</t>
        </is>
      </c>
      <c r="AL1440" s="18" t="inlineStr">
        <is>
          <t>COBBLEVERSE 1.7.42 / DP v31</t>
        </is>
      </c>
      <c r="AM1440" s="18" t="inlineStr">
        <is>
          <t>data/cobblemon/spawn_pool_world/0397_staravia.json</t>
        </is>
      </c>
      <c r="AN1440" s="18" t="inlineStr">
        <is>
          <t>staravia-1</t>
        </is>
      </c>
      <c r="AO1440" s="18" t="inlineStr">
        <is>
          <t>pokemon</t>
        </is>
      </c>
      <c r="AP1440" s="18" t="inlineStr">
        <is>
          <t>natural; treetop</t>
        </is>
      </c>
      <c r="AQ1440" s="18" t="inlineStr">
        <is>
          <t>{"biomes":["#cobblemon:is_hills","#cobblemon:is_sky","#cobblemon:is_snowy_forest","#cobblemon:is_taiga"],"maxSkyLight":15,"minSkyLight":8,"timeRange":"day"}</t>
        </is>
      </c>
      <c r="AR1440" s="18" t="inlineStr">
        <is>
          <t>{"biomes":["#cobblemon:is_arid"]}</t>
        </is>
      </c>
      <c r="AS1440" s="18" t="inlineStr"/>
      <c r="AT1440" s="19" t="inlineStr"/>
    </row>
    <row r="1441" ht="32" customHeight="1">
      <c r="A1441" s="18" t="inlineStr">
        <is>
          <t>0398_staraptor.json::staraptor-1::001</t>
        </is>
      </c>
      <c r="B1441" s="19" t="inlineStr">
        <is>
          <t>사용</t>
        </is>
      </c>
      <c r="C1441" s="18">
        <f>IF(OR(B1441&lt;&gt;AK1441,M1441&lt;&gt;L1441,O1441&lt;&gt;"",Q1441&lt;&gt;"",V1441&lt;&gt;1,Y1441&lt;&gt;"",AT1441&lt;&gt;""),"수정","원본")</f>
        <v/>
      </c>
      <c r="D1441" s="18" t="n">
        <v>398</v>
      </c>
      <c r="E1441" s="18" t="inlineStr">
        <is>
          <t>찌르호크</t>
        </is>
      </c>
      <c r="F1441" s="18" t="inlineStr">
        <is>
          <t>staraptor</t>
        </is>
      </c>
      <c r="G1441" s="18" t="inlineStr">
        <is>
          <t>staraptor</t>
        </is>
      </c>
      <c r="H1441" s="18" t="inlineStr"/>
      <c r="I1441" s="18" t="n">
        <v>4</v>
      </c>
      <c r="J1441" s="18" t="n"/>
      <c r="K1441" s="18" t="n">
        <v>4</v>
      </c>
      <c r="L1441" s="18" t="inlineStr">
        <is>
          <t>cobbleventure:generation_4</t>
        </is>
      </c>
      <c r="M1441" s="19" t="inlineStr">
        <is>
          <t>cobbleventure:generation_4</t>
        </is>
      </c>
      <c r="N1441" s="18" t="inlineStr"/>
      <c r="O1441" s="19" t="inlineStr"/>
      <c r="P1441" s="18" t="inlineStr">
        <is>
          <t>#cobblemon:is_hills; #cobblemon:is_sky; #cobblemon:is_snowy_forest; #cobblemon:is_taiga</t>
        </is>
      </c>
      <c r="Q1441" s="19" t="inlineStr"/>
      <c r="R1441" s="18">
        <f>IF(Q1441="",P1441,Q1441)</f>
        <v/>
      </c>
      <c r="S1441" s="18" t="inlineStr">
        <is>
          <t>#cobblemon:is_arid</t>
        </is>
      </c>
      <c r="T1441" s="18" t="inlineStr">
        <is>
          <t>common</t>
        </is>
      </c>
      <c r="U1441" s="20" t="n">
        <v>0.1</v>
      </c>
      <c r="V1441" s="21" t="n">
        <v>1</v>
      </c>
      <c r="W1441" s="20">
        <f>IF(OR(U1441="",V1441=""),U1441,U1441*V1441)</f>
        <v/>
      </c>
      <c r="X1441" s="18" t="inlineStr">
        <is>
          <t>34-49</t>
        </is>
      </c>
      <c r="Y1441" s="19" t="inlineStr"/>
      <c r="Z1441" s="18">
        <f>IF(Y1441="",X1441,Y1441)</f>
        <v/>
      </c>
      <c r="AA1441" s="18" t="inlineStr">
        <is>
          <t>grounded</t>
        </is>
      </c>
      <c r="AB1441" s="18" t="inlineStr">
        <is>
          <t>day</t>
        </is>
      </c>
      <c r="AC1441" s="18" t="inlineStr"/>
      <c r="AD1441" s="18" t="inlineStr"/>
      <c r="AE1441" s="18" t="inlineStr">
        <is>
          <t>sky 8-15</t>
        </is>
      </c>
      <c r="AF1441" s="18" t="inlineStr"/>
      <c r="AG1441" s="18" t="inlineStr"/>
      <c r="AH1441" s="18" t="inlineStr"/>
      <c r="AI1441" s="18" t="inlineStr"/>
      <c r="AJ1441" s="18" t="inlineStr">
        <is>
          <t>Cobblemon 동일</t>
        </is>
      </c>
      <c r="AK1441" s="18" t="inlineStr">
        <is>
          <t>사용</t>
        </is>
      </c>
      <c r="AL1441" s="18" t="inlineStr">
        <is>
          <t>COBBLEVERSE 1.7.42 / DP v31</t>
        </is>
      </c>
      <c r="AM1441" s="18" t="inlineStr">
        <is>
          <t>data/cobblemon/spawn_pool_world/0398_staraptor.json</t>
        </is>
      </c>
      <c r="AN1441" s="18" t="inlineStr">
        <is>
          <t>staraptor-1</t>
        </is>
      </c>
      <c r="AO1441" s="18" t="inlineStr">
        <is>
          <t>pokemon</t>
        </is>
      </c>
      <c r="AP1441" s="18" t="inlineStr">
        <is>
          <t>natural; treetop</t>
        </is>
      </c>
      <c r="AQ1441" s="18" t="inlineStr">
        <is>
          <t>{"biomes":["#cobblemon:is_hills","#cobblemon:is_sky","#cobblemon:is_snowy_forest","#cobblemon:is_taiga"],"maxSkyLight":15,"minSkyLight":8,"timeRange":"day"}</t>
        </is>
      </c>
      <c r="AR1441" s="18" t="inlineStr">
        <is>
          <t>{"biomes":["#cobblemon:is_arid"]}</t>
        </is>
      </c>
      <c r="AS1441" s="18" t="inlineStr"/>
      <c r="AT1441" s="19" t="inlineStr"/>
    </row>
    <row r="1442" ht="32" customHeight="1">
      <c r="A1442" s="18" t="inlineStr">
        <is>
          <t>0399_bidoof.json::bidoof-1::001</t>
        </is>
      </c>
      <c r="B1442" s="19" t="inlineStr">
        <is>
          <t>사용</t>
        </is>
      </c>
      <c r="C1442" s="18">
        <f>IF(OR(B1442&lt;&gt;AK1442,M1442&lt;&gt;L1442,O1442&lt;&gt;"",Q1442&lt;&gt;"",V1442&lt;&gt;1,Y1442&lt;&gt;"",AT1442&lt;&gt;""),"수정","원본")</f>
        <v/>
      </c>
      <c r="D1442" s="18" t="n">
        <v>399</v>
      </c>
      <c r="E1442" s="18" t="inlineStr">
        <is>
          <t>비버니</t>
        </is>
      </c>
      <c r="F1442" s="18" t="inlineStr">
        <is>
          <t>bidoof</t>
        </is>
      </c>
      <c r="G1442" s="18" t="inlineStr">
        <is>
          <t>bidoof</t>
        </is>
      </c>
      <c r="H1442" s="18" t="inlineStr"/>
      <c r="I1442" s="18" t="n">
        <v>4</v>
      </c>
      <c r="J1442" s="18" t="n"/>
      <c r="K1442" s="18" t="n">
        <v>4</v>
      </c>
      <c r="L1442" s="18" t="inlineStr">
        <is>
          <t>cobbleventure:generation_4</t>
        </is>
      </c>
      <c r="M1442" s="19" t="inlineStr">
        <is>
          <t>cobbleventure:generation_4</t>
        </is>
      </c>
      <c r="N1442" s="18" t="inlineStr">
        <is>
          <t>region_02</t>
        </is>
      </c>
      <c r="O1442" s="19" t="inlineStr"/>
      <c r="P1442" s="18" t="inlineStr">
        <is>
          <t>#cobblemon:is_freshwater</t>
        </is>
      </c>
      <c r="Q1442" s="19" t="inlineStr"/>
      <c r="R1442" s="18">
        <f>IF(Q1442="",P1442,Q1442)</f>
        <v/>
      </c>
      <c r="S1442" s="18" t="inlineStr">
        <is>
          <t>#cobblemon:is_freezing</t>
        </is>
      </c>
      <c r="T1442" s="18" t="inlineStr">
        <is>
          <t>common</t>
        </is>
      </c>
      <c r="U1442" s="20" t="n">
        <v>9</v>
      </c>
      <c r="V1442" s="21" t="n">
        <v>1</v>
      </c>
      <c r="W1442" s="20">
        <f>IF(OR(U1442="",V1442=""),U1442,U1442*V1442)</f>
        <v/>
      </c>
      <c r="X1442" s="18" t="inlineStr">
        <is>
          <t>1-25</t>
        </is>
      </c>
      <c r="Y1442" s="19" t="inlineStr"/>
      <c r="Z1442" s="18">
        <f>IF(Y1442="",X1442,Y1442)</f>
        <v/>
      </c>
      <c r="AA1442" s="18" t="inlineStr">
        <is>
          <t>grounded</t>
        </is>
      </c>
      <c r="AB1442" s="18" t="inlineStr"/>
      <c r="AC1442" s="18" t="inlineStr"/>
      <c r="AD1442" s="18" t="inlineStr"/>
      <c r="AE1442" s="18" t="inlineStr">
        <is>
          <t>sky 8-15</t>
        </is>
      </c>
      <c r="AF1442" s="18" t="inlineStr"/>
      <c r="AG1442" s="18" t="inlineStr"/>
      <c r="AH1442" s="18" t="inlineStr"/>
      <c r="AI1442" s="18" t="inlineStr"/>
      <c r="AJ1442" s="18" t="inlineStr">
        <is>
          <t>Cobblemon 동일</t>
        </is>
      </c>
      <c r="AK1442" s="18" t="inlineStr">
        <is>
          <t>사용</t>
        </is>
      </c>
      <c r="AL1442" s="18" t="inlineStr">
        <is>
          <t>COBBLEVERSE 1.7.42 / DP v31</t>
        </is>
      </c>
      <c r="AM1442" s="18" t="inlineStr">
        <is>
          <t>data/cobblemon/spawn_pool_world/0399_bidoof.json</t>
        </is>
      </c>
      <c r="AN1442" s="18" t="inlineStr">
        <is>
          <t>bidoof-1</t>
        </is>
      </c>
      <c r="AO1442" s="18" t="inlineStr">
        <is>
          <t>pokemon</t>
        </is>
      </c>
      <c r="AP1442" s="18" t="inlineStr">
        <is>
          <t>natural</t>
        </is>
      </c>
      <c r="AQ1442" s="18" t="inlineStr">
        <is>
          <t>{"biomes":["#cobblemon:is_freshwater"],"maxSkyLight":15,"minSkyLight":8}</t>
        </is>
      </c>
      <c r="AR1442" s="18" t="inlineStr">
        <is>
          <t>{"biomes":["#cobblemon:is_freezing"]}</t>
        </is>
      </c>
      <c r="AS1442" s="18" t="inlineStr"/>
      <c r="AT1442" s="19" t="inlineStr"/>
    </row>
    <row r="1443" ht="32" customHeight="1">
      <c r="A1443" s="18" t="inlineStr">
        <is>
          <t>0399_bidoof.json::bidoof-2::002</t>
        </is>
      </c>
      <c r="B1443" s="19" t="inlineStr">
        <is>
          <t>사용</t>
        </is>
      </c>
      <c r="C1443" s="18">
        <f>IF(OR(B1443&lt;&gt;AK1443,M1443&lt;&gt;L1443,O1443&lt;&gt;"",Q1443&lt;&gt;"",V1443&lt;&gt;1,Y1443&lt;&gt;"",AT1443&lt;&gt;""),"수정","원본")</f>
        <v/>
      </c>
      <c r="D1443" s="18" t="n">
        <v>399</v>
      </c>
      <c r="E1443" s="18" t="inlineStr">
        <is>
          <t>비버니</t>
        </is>
      </c>
      <c r="F1443" s="18" t="inlineStr">
        <is>
          <t>bidoof</t>
        </is>
      </c>
      <c r="G1443" s="18" t="inlineStr">
        <is>
          <t>bidoof</t>
        </is>
      </c>
      <c r="H1443" s="18" t="inlineStr"/>
      <c r="I1443" s="18" t="n">
        <v>4</v>
      </c>
      <c r="J1443" s="18" t="n"/>
      <c r="K1443" s="18" t="n">
        <v>4</v>
      </c>
      <c r="L1443" s="18" t="inlineStr">
        <is>
          <t>cobbleventure:generation_4</t>
        </is>
      </c>
      <c r="M1443" s="19" t="inlineStr">
        <is>
          <t>cobbleventure:generation_4</t>
        </is>
      </c>
      <c r="N1443" s="18" t="inlineStr">
        <is>
          <t>region_01</t>
        </is>
      </c>
      <c r="O1443" s="19" t="inlineStr"/>
      <c r="P1443" s="18" t="inlineStr">
        <is>
          <t>#cobblemon:is_forest; #cobblemon:is_taiga</t>
        </is>
      </c>
      <c r="Q1443" s="19" t="inlineStr"/>
      <c r="R1443" s="18">
        <f>IF(Q1443="",P1443,Q1443)</f>
        <v/>
      </c>
      <c r="S1443" s="18" t="inlineStr"/>
      <c r="T1443" s="18" t="inlineStr">
        <is>
          <t>uncommon</t>
        </is>
      </c>
      <c r="U1443" s="20" t="n">
        <v>8.4</v>
      </c>
      <c r="V1443" s="21" t="n">
        <v>1</v>
      </c>
      <c r="W1443" s="20">
        <f>IF(OR(U1443="",V1443=""),U1443,U1443*V1443)</f>
        <v/>
      </c>
      <c r="X1443" s="18" t="inlineStr">
        <is>
          <t>1-25</t>
        </is>
      </c>
      <c r="Y1443" s="19" t="inlineStr"/>
      <c r="Z1443" s="18">
        <f>IF(Y1443="",X1443,Y1443)</f>
        <v/>
      </c>
      <c r="AA1443" s="18" t="inlineStr">
        <is>
          <t>grounded</t>
        </is>
      </c>
      <c r="AB1443" s="18" t="inlineStr"/>
      <c r="AC1443" s="18" t="inlineStr"/>
      <c r="AD1443" s="18" t="inlineStr"/>
      <c r="AE1443" s="18" t="inlineStr">
        <is>
          <t>sky 8-15</t>
        </is>
      </c>
      <c r="AF1443" s="18" t="inlineStr"/>
      <c r="AG1443" s="18" t="inlineStr"/>
      <c r="AH1443" s="18" t="inlineStr">
        <is>
          <t>주변=minecraft:water</t>
        </is>
      </c>
      <c r="AI1443" s="18" t="inlineStr"/>
      <c r="AJ1443" s="18" t="inlineStr">
        <is>
          <t>Cobblemon 동일</t>
        </is>
      </c>
      <c r="AK1443" s="18" t="inlineStr">
        <is>
          <t>사용</t>
        </is>
      </c>
      <c r="AL1443" s="18" t="inlineStr">
        <is>
          <t>COBBLEVERSE 1.7.42 / DP v31</t>
        </is>
      </c>
      <c r="AM1443" s="18" t="inlineStr">
        <is>
          <t>data/cobblemon/spawn_pool_world/0399_bidoof.json</t>
        </is>
      </c>
      <c r="AN1443" s="18" t="inlineStr">
        <is>
          <t>bidoof-2</t>
        </is>
      </c>
      <c r="AO1443" s="18" t="inlineStr">
        <is>
          <t>pokemon</t>
        </is>
      </c>
      <c r="AP1443" s="18" t="inlineStr">
        <is>
          <t>natural</t>
        </is>
      </c>
      <c r="AQ1443" s="18" t="inlineStr">
        <is>
          <t>{"biomes":["#cobblemon:is_forest","#cobblemon:is_taiga"],"maxSkyLight":15,"minSkyLight":8,"neededNearbyBlocks":["minecraft:water"]}</t>
        </is>
      </c>
      <c r="AR1443" s="18" t="inlineStr"/>
      <c r="AS1443" s="18" t="inlineStr"/>
      <c r="AT1443" s="19" t="inlineStr"/>
    </row>
    <row r="1444" ht="32" customHeight="1">
      <c r="A1444" s="18" t="inlineStr">
        <is>
          <t>0399_bidoof.json::bidoof-3::003</t>
        </is>
      </c>
      <c r="B1444" s="19" t="inlineStr">
        <is>
          <t>사용</t>
        </is>
      </c>
      <c r="C1444" s="18">
        <f>IF(OR(B1444&lt;&gt;AK1444,M1444&lt;&gt;L1444,O1444&lt;&gt;"",Q1444&lt;&gt;"",V1444&lt;&gt;1,Y1444&lt;&gt;"",AT1444&lt;&gt;""),"수정","원본")</f>
        <v/>
      </c>
      <c r="D1444" s="18" t="n">
        <v>399</v>
      </c>
      <c r="E1444" s="18" t="inlineStr">
        <is>
          <t>비버니</t>
        </is>
      </c>
      <c r="F1444" s="18" t="inlineStr">
        <is>
          <t>bidoof</t>
        </is>
      </c>
      <c r="G1444" s="18" t="inlineStr">
        <is>
          <t>bidoof</t>
        </is>
      </c>
      <c r="H1444" s="18" t="inlineStr"/>
      <c r="I1444" s="18" t="n">
        <v>4</v>
      </c>
      <c r="J1444" s="18" t="n"/>
      <c r="K1444" s="18" t="n">
        <v>4</v>
      </c>
      <c r="L1444" s="18" t="inlineStr">
        <is>
          <t>cobbleventure:generation_4</t>
        </is>
      </c>
      <c r="M1444" s="19" t="inlineStr">
        <is>
          <t>cobbleventure:generation_4</t>
        </is>
      </c>
      <c r="N1444" s="18" t="inlineStr">
        <is>
          <t>region_01; region_02</t>
        </is>
      </c>
      <c r="O1444" s="19" t="inlineStr"/>
      <c r="P1444" s="18" t="inlineStr">
        <is>
          <t>#cobblemon:is_forest; #cobblemon:is_freshwater; #cobblemon:is_taiga</t>
        </is>
      </c>
      <c r="Q1444" s="19" t="inlineStr"/>
      <c r="R1444" s="18">
        <f>IF(Q1444="",P1444,Q1444)</f>
        <v/>
      </c>
      <c r="S1444" s="18" t="inlineStr"/>
      <c r="T1444" s="18" t="inlineStr">
        <is>
          <t>uncommon</t>
        </is>
      </c>
      <c r="U1444" s="20" t="n">
        <v>8.4</v>
      </c>
      <c r="V1444" s="21" t="n">
        <v>1</v>
      </c>
      <c r="W1444" s="20">
        <f>IF(OR(U1444="",V1444=""),U1444,U1444*V1444)</f>
        <v/>
      </c>
      <c r="X1444" s="18" t="inlineStr">
        <is>
          <t>1-25</t>
        </is>
      </c>
      <c r="Y1444" s="19" t="inlineStr"/>
      <c r="Z1444" s="18">
        <f>IF(Y1444="",X1444,Y1444)</f>
        <v/>
      </c>
      <c r="AA1444" s="18" t="inlineStr">
        <is>
          <t>surface</t>
        </is>
      </c>
      <c r="AB1444" s="18" t="inlineStr"/>
      <c r="AC1444" s="18" t="inlineStr"/>
      <c r="AD1444" s="18" t="inlineStr"/>
      <c r="AE1444" s="18" t="inlineStr">
        <is>
          <t>sky 8-15</t>
        </is>
      </c>
      <c r="AF1444" s="18" t="inlineStr"/>
      <c r="AG1444" s="18" t="inlineStr"/>
      <c r="AH1444" s="18" t="inlineStr"/>
      <c r="AI1444" s="18" t="inlineStr"/>
      <c r="AJ1444" s="18" t="inlineStr">
        <is>
          <t>Cobblemon 동일</t>
        </is>
      </c>
      <c r="AK1444" s="18" t="inlineStr">
        <is>
          <t>사용</t>
        </is>
      </c>
      <c r="AL1444" s="18" t="inlineStr">
        <is>
          <t>COBBLEVERSE 1.7.42 / DP v31</t>
        </is>
      </c>
      <c r="AM1444" s="18" t="inlineStr">
        <is>
          <t>data/cobblemon/spawn_pool_world/0399_bidoof.json</t>
        </is>
      </c>
      <c r="AN1444" s="18" t="inlineStr">
        <is>
          <t>bidoof-3</t>
        </is>
      </c>
      <c r="AO1444" s="18" t="inlineStr">
        <is>
          <t>pokemon</t>
        </is>
      </c>
      <c r="AP1444" s="18" t="inlineStr">
        <is>
          <t>water</t>
        </is>
      </c>
      <c r="AQ1444" s="18" t="inlineStr">
        <is>
          <t>{"biomes":["#cobblemon:is_forest","#cobblemon:is_freshwater","#cobblemon:is_taiga"],"maxSkyLight":15,"minSkyLight":8}</t>
        </is>
      </c>
      <c r="AR1444" s="18" t="inlineStr"/>
      <c r="AS1444" s="18" t="inlineStr"/>
      <c r="AT1444" s="19" t="inlineStr"/>
    </row>
    <row r="1445" ht="32" customHeight="1">
      <c r="A1445" s="18" t="inlineStr">
        <is>
          <t>0399_bidoof.json::bidoof-4::004</t>
        </is>
      </c>
      <c r="B1445" s="19" t="inlineStr">
        <is>
          <t>사용</t>
        </is>
      </c>
      <c r="C1445" s="18">
        <f>IF(OR(B1445&lt;&gt;AK1445,M1445&lt;&gt;L1445,O1445&lt;&gt;"",Q1445&lt;&gt;"",V1445&lt;&gt;1,Y1445&lt;&gt;"",AT1445&lt;&gt;""),"수정","원본")</f>
        <v/>
      </c>
      <c r="D1445" s="18" t="n">
        <v>399</v>
      </c>
      <c r="E1445" s="18" t="inlineStr">
        <is>
          <t>비버니</t>
        </is>
      </c>
      <c r="F1445" s="18" t="inlineStr">
        <is>
          <t>bidoof</t>
        </is>
      </c>
      <c r="G1445" s="18" t="inlineStr">
        <is>
          <t>bidoof</t>
        </is>
      </c>
      <c r="H1445" s="18" t="inlineStr"/>
      <c r="I1445" s="18" t="n">
        <v>4</v>
      </c>
      <c r="J1445" s="18" t="n"/>
      <c r="K1445" s="18" t="n">
        <v>4</v>
      </c>
      <c r="L1445" s="18" t="inlineStr">
        <is>
          <t>cobbleventure:generation_4</t>
        </is>
      </c>
      <c r="M1445" s="19" t="inlineStr">
        <is>
          <t>cobbleventure:generation_4</t>
        </is>
      </c>
      <c r="N1445" s="18" t="inlineStr">
        <is>
          <t>region_01; region_02</t>
        </is>
      </c>
      <c r="O1445" s="19" t="inlineStr"/>
      <c r="P1445" s="18" t="inlineStr">
        <is>
          <t>#cobblemon:is_forest; #cobblemon:is_freshwater; #cobblemon:is_snowy_forest; #cobblemon:is_taiga</t>
        </is>
      </c>
      <c r="Q1445" s="19" t="inlineStr"/>
      <c r="R1445" s="18">
        <f>IF(Q1445="",P1445,Q1445)</f>
        <v/>
      </c>
      <c r="S1445" s="18" t="inlineStr"/>
      <c r="T1445" s="18" t="inlineStr">
        <is>
          <t>common</t>
        </is>
      </c>
      <c r="U1445" s="20" t="n">
        <v>9</v>
      </c>
      <c r="V1445" s="21" t="n">
        <v>1</v>
      </c>
      <c r="W1445" s="20">
        <f>IF(OR(U1445="",V1445=""),U1445,U1445*V1445)</f>
        <v/>
      </c>
      <c r="X1445" s="18" t="inlineStr">
        <is>
          <t>1-25</t>
        </is>
      </c>
      <c r="Y1445" s="19" t="inlineStr"/>
      <c r="Z1445" s="18">
        <f>IF(Y1445="",X1445,Y1445)</f>
        <v/>
      </c>
      <c r="AA1445" s="18" t="inlineStr">
        <is>
          <t>fishing</t>
        </is>
      </c>
      <c r="AB1445" s="18" t="inlineStr"/>
      <c r="AC1445" s="18" t="inlineStr"/>
      <c r="AD1445" s="18" t="inlineStr"/>
      <c r="AE1445" s="18" t="inlineStr"/>
      <c r="AF1445" s="18" t="inlineStr">
        <is>
          <t>True</t>
        </is>
      </c>
      <c r="AG1445" s="18" t="inlineStr"/>
      <c r="AH1445" s="18" t="inlineStr"/>
      <c r="AI1445" s="18" t="inlineStr"/>
      <c r="AJ1445" s="18" t="inlineStr">
        <is>
          <t>Cobblemon 동일</t>
        </is>
      </c>
      <c r="AK1445" s="18" t="inlineStr">
        <is>
          <t>사용</t>
        </is>
      </c>
      <c r="AL1445" s="18" t="inlineStr">
        <is>
          <t>COBBLEVERSE 1.7.42 / DP v31</t>
        </is>
      </c>
      <c r="AM1445" s="18" t="inlineStr">
        <is>
          <t>data/cobblemon/spawn_pool_world/0399_bidoof.json</t>
        </is>
      </c>
      <c r="AN1445" s="18" t="inlineStr">
        <is>
          <t>bidoof-4</t>
        </is>
      </c>
      <c r="AO1445" s="18" t="inlineStr">
        <is>
          <t>pokemon</t>
        </is>
      </c>
      <c r="AP1445" s="18" t="inlineStr"/>
      <c r="AQ1445" s="18" t="inlineStr">
        <is>
          <t>{"biomes":["#cobblemon:is_forest","#cobblemon:is_freshwater","#cobblemon:is_snowy_forest","#cobblemon:is_taiga"],"canSeeSky":true}</t>
        </is>
      </c>
      <c r="AR1445" s="18" t="inlineStr"/>
      <c r="AS1445" s="18" t="inlineStr">
        <is>
          <t>{"weightMultiplier":{"condition":{"maxLureLevel":1,"minLureLevel":0},"multiplier":0.6}}</t>
        </is>
      </c>
      <c r="AT1445" s="19" t="inlineStr"/>
    </row>
    <row r="1446" ht="32" customHeight="1">
      <c r="A1446" s="18" t="inlineStr">
        <is>
          <t>0399_bidoof.json::bidoof-5::005</t>
        </is>
      </c>
      <c r="B1446" s="19" t="inlineStr">
        <is>
          <t>사용</t>
        </is>
      </c>
      <c r="C1446" s="18">
        <f>IF(OR(B1446&lt;&gt;AK1446,M1446&lt;&gt;L1446,O1446&lt;&gt;"",Q1446&lt;&gt;"",V1446&lt;&gt;1,Y1446&lt;&gt;"",AT1446&lt;&gt;""),"수정","원본")</f>
        <v/>
      </c>
      <c r="D1446" s="18" t="n">
        <v>399</v>
      </c>
      <c r="E1446" s="18" t="inlineStr">
        <is>
          <t>비버니</t>
        </is>
      </c>
      <c r="F1446" s="18" t="inlineStr">
        <is>
          <t>bidoof</t>
        </is>
      </c>
      <c r="G1446" s="18" t="inlineStr">
        <is>
          <t>bidoof</t>
        </is>
      </c>
      <c r="H1446" s="18" t="inlineStr"/>
      <c r="I1446" s="18" t="n">
        <v>4</v>
      </c>
      <c r="J1446" s="18" t="n"/>
      <c r="K1446" s="18" t="n">
        <v>4</v>
      </c>
      <c r="L1446" s="18" t="inlineStr">
        <is>
          <t>cobbleventure:generation_4</t>
        </is>
      </c>
      <c r="M1446" s="19" t="inlineStr">
        <is>
          <t>cobbleventure:generation_4</t>
        </is>
      </c>
      <c r="N1446" s="18" t="inlineStr">
        <is>
          <t>region_01; region_02</t>
        </is>
      </c>
      <c r="O1446" s="19" t="inlineStr"/>
      <c r="P1446" s="18" t="inlineStr">
        <is>
          <t>#cobblemon:is_forest; #cobblemon:is_freshwater; #cobblemon:is_snowy_forest; #cobblemon:is_taiga</t>
        </is>
      </c>
      <c r="Q1446" s="19" t="inlineStr"/>
      <c r="R1446" s="18">
        <f>IF(Q1446="",P1446,Q1446)</f>
        <v/>
      </c>
      <c r="S1446" s="18" t="inlineStr"/>
      <c r="T1446" s="18" t="inlineStr">
        <is>
          <t>common</t>
        </is>
      </c>
      <c r="U1446" s="20" t="n">
        <v>9</v>
      </c>
      <c r="V1446" s="21" t="n">
        <v>1</v>
      </c>
      <c r="W1446" s="20">
        <f>IF(OR(U1446="",V1446=""),U1446,U1446*V1446)</f>
        <v/>
      </c>
      <c r="X1446" s="18" t="inlineStr">
        <is>
          <t>1-25</t>
        </is>
      </c>
      <c r="Y1446" s="19" t="inlineStr"/>
      <c r="Z1446" s="18">
        <f>IF(Y1446="",X1446,Y1446)</f>
        <v/>
      </c>
      <c r="AA1446" s="18" t="inlineStr">
        <is>
          <t>fishing</t>
        </is>
      </c>
      <c r="AB1446" s="18" t="inlineStr"/>
      <c r="AC1446" s="18" t="inlineStr"/>
      <c r="AD1446" s="18" t="inlineStr"/>
      <c r="AE1446" s="18" t="inlineStr">
        <is>
          <t>sky 8-15</t>
        </is>
      </c>
      <c r="AF1446" s="18" t="inlineStr">
        <is>
          <t>False</t>
        </is>
      </c>
      <c r="AG1446" s="18" t="inlineStr"/>
      <c r="AH1446" s="18" t="inlineStr"/>
      <c r="AI1446" s="18" t="inlineStr"/>
      <c r="AJ1446" s="18" t="inlineStr">
        <is>
          <t>Cobblemon 동일</t>
        </is>
      </c>
      <c r="AK1446" s="18" t="inlineStr">
        <is>
          <t>사용</t>
        </is>
      </c>
      <c r="AL1446" s="18" t="inlineStr">
        <is>
          <t>COBBLEVERSE 1.7.42 / DP v31</t>
        </is>
      </c>
      <c r="AM1446" s="18" t="inlineStr">
        <is>
          <t>data/cobblemon/spawn_pool_world/0399_bidoof.json</t>
        </is>
      </c>
      <c r="AN1446" s="18" t="inlineStr">
        <is>
          <t>bidoof-5</t>
        </is>
      </c>
      <c r="AO1446" s="18" t="inlineStr">
        <is>
          <t>pokemon</t>
        </is>
      </c>
      <c r="AP1446" s="18" t="inlineStr"/>
      <c r="AQ1446" s="18" t="inlineStr">
        <is>
          <t>{"biomes":["#cobblemon:is_forest","#cobblemon:is_freshwater","#cobblemon:is_snowy_forest","#cobblemon:is_taiga"],"canSeeSky":false,"maxSkyLight":15,"minSkyLight":8}</t>
        </is>
      </c>
      <c r="AR1446" s="18" t="inlineStr"/>
      <c r="AS1446" s="18" t="inlineStr">
        <is>
          <t>{"weightMultiplier":{"condition":{"maxLureLevel":1,"minLureLevel":0},"multiplier":0.6}}</t>
        </is>
      </c>
      <c r="AT1446" s="19" t="inlineStr"/>
    </row>
    <row r="1447" ht="32" customHeight="1">
      <c r="A1447" s="18" t="inlineStr">
        <is>
          <t>0400_bibarel.json::bibarel-1::001</t>
        </is>
      </c>
      <c r="B1447" s="19" t="inlineStr">
        <is>
          <t>사용</t>
        </is>
      </c>
      <c r="C1447" s="18">
        <f>IF(OR(B1447&lt;&gt;AK1447,M1447&lt;&gt;L1447,O1447&lt;&gt;"",Q1447&lt;&gt;"",V1447&lt;&gt;1,Y1447&lt;&gt;"",AT1447&lt;&gt;""),"수정","원본")</f>
        <v/>
      </c>
      <c r="D1447" s="18" t="n">
        <v>400</v>
      </c>
      <c r="E1447" s="18" t="inlineStr">
        <is>
          <t>비버통</t>
        </is>
      </c>
      <c r="F1447" s="18" t="inlineStr">
        <is>
          <t>bibarel</t>
        </is>
      </c>
      <c r="G1447" s="18" t="inlineStr">
        <is>
          <t>bibarel</t>
        </is>
      </c>
      <c r="H1447" s="18" t="inlineStr"/>
      <c r="I1447" s="18" t="n">
        <v>4</v>
      </c>
      <c r="J1447" s="18" t="n"/>
      <c r="K1447" s="18" t="n">
        <v>4</v>
      </c>
      <c r="L1447" s="18" t="inlineStr">
        <is>
          <t>cobbleventure:generation_4</t>
        </is>
      </c>
      <c r="M1447" s="19" t="inlineStr">
        <is>
          <t>cobbleventure:generation_4</t>
        </is>
      </c>
      <c r="N1447" s="18" t="inlineStr">
        <is>
          <t>region_02</t>
        </is>
      </c>
      <c r="O1447" s="19" t="inlineStr"/>
      <c r="P1447" s="18" t="inlineStr">
        <is>
          <t>#cobblemon:is_freshwater</t>
        </is>
      </c>
      <c r="Q1447" s="19" t="inlineStr"/>
      <c r="R1447" s="18">
        <f>IF(Q1447="",P1447,Q1447)</f>
        <v/>
      </c>
      <c r="S1447" s="18" t="inlineStr">
        <is>
          <t>#cobblemon:is_freezing</t>
        </is>
      </c>
      <c r="T1447" s="18" t="inlineStr">
        <is>
          <t>common</t>
        </is>
      </c>
      <c r="U1447" s="20" t="n">
        <v>1</v>
      </c>
      <c r="V1447" s="21" t="n">
        <v>1</v>
      </c>
      <c r="W1447" s="20">
        <f>IF(OR(U1447="",V1447=""),U1447,U1447*V1447)</f>
        <v/>
      </c>
      <c r="X1447" s="18" t="inlineStr">
        <is>
          <t>15-41</t>
        </is>
      </c>
      <c r="Y1447" s="19" t="inlineStr"/>
      <c r="Z1447" s="18">
        <f>IF(Y1447="",X1447,Y1447)</f>
        <v/>
      </c>
      <c r="AA1447" s="18" t="inlineStr">
        <is>
          <t>grounded</t>
        </is>
      </c>
      <c r="AB1447" s="18" t="inlineStr"/>
      <c r="AC1447" s="18" t="inlineStr"/>
      <c r="AD1447" s="18" t="inlineStr"/>
      <c r="AE1447" s="18" t="inlineStr">
        <is>
          <t>sky 8-15</t>
        </is>
      </c>
      <c r="AF1447" s="18" t="inlineStr"/>
      <c r="AG1447" s="18" t="inlineStr"/>
      <c r="AH1447" s="18" t="inlineStr"/>
      <c r="AI1447" s="18" t="inlineStr"/>
      <c r="AJ1447" s="18" t="inlineStr">
        <is>
          <t>Cobblemon 동일</t>
        </is>
      </c>
      <c r="AK1447" s="18" t="inlineStr">
        <is>
          <t>사용</t>
        </is>
      </c>
      <c r="AL1447" s="18" t="inlineStr">
        <is>
          <t>COBBLEVERSE 1.7.42 / DP v31</t>
        </is>
      </c>
      <c r="AM1447" s="18" t="inlineStr">
        <is>
          <t>data/cobblemon/spawn_pool_world/0400_bibarel.json</t>
        </is>
      </c>
      <c r="AN1447" s="18" t="inlineStr">
        <is>
          <t>bibarel-1</t>
        </is>
      </c>
      <c r="AO1447" s="18" t="inlineStr">
        <is>
          <t>pokemon</t>
        </is>
      </c>
      <c r="AP1447" s="18" t="inlineStr">
        <is>
          <t>natural</t>
        </is>
      </c>
      <c r="AQ1447" s="18" t="inlineStr">
        <is>
          <t>{"biomes":["#cobblemon:is_freshwater"],"maxSkyLight":15,"minSkyLight":8}</t>
        </is>
      </c>
      <c r="AR1447" s="18" t="inlineStr">
        <is>
          <t>{"biomes":["#cobblemon:is_freezing"]}</t>
        </is>
      </c>
      <c r="AS1447" s="18" t="inlineStr"/>
      <c r="AT1447" s="19" t="inlineStr"/>
    </row>
    <row r="1448" ht="32" customHeight="1">
      <c r="A1448" s="18" t="inlineStr">
        <is>
          <t>0400_bibarel.json::bibarel-2::002</t>
        </is>
      </c>
      <c r="B1448" s="19" t="inlineStr">
        <is>
          <t>사용</t>
        </is>
      </c>
      <c r="C1448" s="18">
        <f>IF(OR(B1448&lt;&gt;AK1448,M1448&lt;&gt;L1448,O1448&lt;&gt;"",Q1448&lt;&gt;"",V1448&lt;&gt;1,Y1448&lt;&gt;"",AT1448&lt;&gt;""),"수정","원본")</f>
        <v/>
      </c>
      <c r="D1448" s="18" t="n">
        <v>400</v>
      </c>
      <c r="E1448" s="18" t="inlineStr">
        <is>
          <t>비버통</t>
        </is>
      </c>
      <c r="F1448" s="18" t="inlineStr">
        <is>
          <t>bibarel</t>
        </is>
      </c>
      <c r="G1448" s="18" t="inlineStr">
        <is>
          <t>bibarel</t>
        </is>
      </c>
      <c r="H1448" s="18" t="inlineStr"/>
      <c r="I1448" s="18" t="n">
        <v>4</v>
      </c>
      <c r="J1448" s="18" t="n"/>
      <c r="K1448" s="18" t="n">
        <v>4</v>
      </c>
      <c r="L1448" s="18" t="inlineStr">
        <is>
          <t>cobbleventure:generation_4</t>
        </is>
      </c>
      <c r="M1448" s="19" t="inlineStr">
        <is>
          <t>cobbleventure:generation_4</t>
        </is>
      </c>
      <c r="N1448" s="18" t="inlineStr">
        <is>
          <t>region_01</t>
        </is>
      </c>
      <c r="O1448" s="19" t="inlineStr"/>
      <c r="P1448" s="18" t="inlineStr">
        <is>
          <t>#cobblemon:is_forest; #cobblemon:is_taiga</t>
        </is>
      </c>
      <c r="Q1448" s="19" t="inlineStr"/>
      <c r="R1448" s="18">
        <f>IF(Q1448="",P1448,Q1448)</f>
        <v/>
      </c>
      <c r="S1448" s="18" t="inlineStr"/>
      <c r="T1448" s="18" t="inlineStr">
        <is>
          <t>uncommon</t>
        </is>
      </c>
      <c r="U1448" s="20" t="n">
        <v>1.6</v>
      </c>
      <c r="V1448" s="21" t="n">
        <v>1</v>
      </c>
      <c r="W1448" s="20">
        <f>IF(OR(U1448="",V1448=""),U1448,U1448*V1448)</f>
        <v/>
      </c>
      <c r="X1448" s="18" t="inlineStr">
        <is>
          <t>15-41</t>
        </is>
      </c>
      <c r="Y1448" s="19" t="inlineStr"/>
      <c r="Z1448" s="18">
        <f>IF(Y1448="",X1448,Y1448)</f>
        <v/>
      </c>
      <c r="AA1448" s="18" t="inlineStr">
        <is>
          <t>grounded</t>
        </is>
      </c>
      <c r="AB1448" s="18" t="inlineStr"/>
      <c r="AC1448" s="18" t="inlineStr"/>
      <c r="AD1448" s="18" t="inlineStr"/>
      <c r="AE1448" s="18" t="inlineStr">
        <is>
          <t>sky 8-15</t>
        </is>
      </c>
      <c r="AF1448" s="18" t="inlineStr"/>
      <c r="AG1448" s="18" t="inlineStr"/>
      <c r="AH1448" s="18" t="inlineStr">
        <is>
          <t>주변=minecraft:water</t>
        </is>
      </c>
      <c r="AI1448" s="18" t="inlineStr"/>
      <c r="AJ1448" s="18" t="inlineStr">
        <is>
          <t>Cobblemon 동일</t>
        </is>
      </c>
      <c r="AK1448" s="18" t="inlineStr">
        <is>
          <t>사용</t>
        </is>
      </c>
      <c r="AL1448" s="18" t="inlineStr">
        <is>
          <t>COBBLEVERSE 1.7.42 / DP v31</t>
        </is>
      </c>
      <c r="AM1448" s="18" t="inlineStr">
        <is>
          <t>data/cobblemon/spawn_pool_world/0400_bibarel.json</t>
        </is>
      </c>
      <c r="AN1448" s="18" t="inlineStr">
        <is>
          <t>bibarel-2</t>
        </is>
      </c>
      <c r="AO1448" s="18" t="inlineStr">
        <is>
          <t>pokemon</t>
        </is>
      </c>
      <c r="AP1448" s="18" t="inlineStr">
        <is>
          <t>natural</t>
        </is>
      </c>
      <c r="AQ1448" s="18" t="inlineStr">
        <is>
          <t>{"biomes":["#cobblemon:is_forest","#cobblemon:is_taiga"],"maxSkyLight":15,"minSkyLight":8,"neededNearbyBlocks":["minecraft:water"]}</t>
        </is>
      </c>
      <c r="AR1448" s="18" t="inlineStr"/>
      <c r="AS1448" s="18" t="inlineStr"/>
      <c r="AT1448" s="19" t="inlineStr"/>
    </row>
    <row r="1449" ht="32" customHeight="1">
      <c r="A1449" s="18" t="inlineStr">
        <is>
          <t>0400_bibarel.json::bibarel-3::003</t>
        </is>
      </c>
      <c r="B1449" s="19" t="inlineStr">
        <is>
          <t>사용</t>
        </is>
      </c>
      <c r="C1449" s="18">
        <f>IF(OR(B1449&lt;&gt;AK1449,M1449&lt;&gt;L1449,O1449&lt;&gt;"",Q1449&lt;&gt;"",V1449&lt;&gt;1,Y1449&lt;&gt;"",AT1449&lt;&gt;""),"수정","원본")</f>
        <v/>
      </c>
      <c r="D1449" s="18" t="n">
        <v>400</v>
      </c>
      <c r="E1449" s="18" t="inlineStr">
        <is>
          <t>비버통</t>
        </is>
      </c>
      <c r="F1449" s="18" t="inlineStr">
        <is>
          <t>bibarel</t>
        </is>
      </c>
      <c r="G1449" s="18" t="inlineStr">
        <is>
          <t>bibarel</t>
        </is>
      </c>
      <c r="H1449" s="18" t="inlineStr"/>
      <c r="I1449" s="18" t="n">
        <v>4</v>
      </c>
      <c r="J1449" s="18" t="n"/>
      <c r="K1449" s="18" t="n">
        <v>4</v>
      </c>
      <c r="L1449" s="18" t="inlineStr">
        <is>
          <t>cobbleventure:generation_4</t>
        </is>
      </c>
      <c r="M1449" s="19" t="inlineStr">
        <is>
          <t>cobbleventure:generation_4</t>
        </is>
      </c>
      <c r="N1449" s="18" t="inlineStr">
        <is>
          <t>region_01; region_02</t>
        </is>
      </c>
      <c r="O1449" s="19" t="inlineStr"/>
      <c r="P1449" s="18" t="inlineStr">
        <is>
          <t>#cobblemon:is_forest; #cobblemon:is_freshwater; #cobblemon:is_taiga</t>
        </is>
      </c>
      <c r="Q1449" s="19" t="inlineStr"/>
      <c r="R1449" s="18">
        <f>IF(Q1449="",P1449,Q1449)</f>
        <v/>
      </c>
      <c r="S1449" s="18" t="inlineStr"/>
      <c r="T1449" s="18" t="inlineStr">
        <is>
          <t>uncommon</t>
        </is>
      </c>
      <c r="U1449" s="20" t="n">
        <v>1.6</v>
      </c>
      <c r="V1449" s="21" t="n">
        <v>1</v>
      </c>
      <c r="W1449" s="20">
        <f>IF(OR(U1449="",V1449=""),U1449,U1449*V1449)</f>
        <v/>
      </c>
      <c r="X1449" s="18" t="inlineStr">
        <is>
          <t>15-41</t>
        </is>
      </c>
      <c r="Y1449" s="19" t="inlineStr"/>
      <c r="Z1449" s="18">
        <f>IF(Y1449="",X1449,Y1449)</f>
        <v/>
      </c>
      <c r="AA1449" s="18" t="inlineStr">
        <is>
          <t>surface</t>
        </is>
      </c>
      <c r="AB1449" s="18" t="inlineStr"/>
      <c r="AC1449" s="18" t="inlineStr"/>
      <c r="AD1449" s="18" t="inlineStr"/>
      <c r="AE1449" s="18" t="inlineStr">
        <is>
          <t>sky 8-15</t>
        </is>
      </c>
      <c r="AF1449" s="18" t="inlineStr"/>
      <c r="AG1449" s="18" t="inlineStr"/>
      <c r="AH1449" s="18" t="inlineStr"/>
      <c r="AI1449" s="18" t="inlineStr"/>
      <c r="AJ1449" s="18" t="inlineStr">
        <is>
          <t>Cobblemon 동일</t>
        </is>
      </c>
      <c r="AK1449" s="18" t="inlineStr">
        <is>
          <t>사용</t>
        </is>
      </c>
      <c r="AL1449" s="18" t="inlineStr">
        <is>
          <t>COBBLEVERSE 1.7.42 / DP v31</t>
        </is>
      </c>
      <c r="AM1449" s="18" t="inlineStr">
        <is>
          <t>data/cobblemon/spawn_pool_world/0400_bibarel.json</t>
        </is>
      </c>
      <c r="AN1449" s="18" t="inlineStr">
        <is>
          <t>bibarel-3</t>
        </is>
      </c>
      <c r="AO1449" s="18" t="inlineStr">
        <is>
          <t>pokemon</t>
        </is>
      </c>
      <c r="AP1449" s="18" t="inlineStr">
        <is>
          <t>water</t>
        </is>
      </c>
      <c r="AQ1449" s="18" t="inlineStr">
        <is>
          <t>{"biomes":["#cobblemon:is_forest","#cobblemon:is_freshwater","#cobblemon:is_taiga"],"maxSkyLight":15,"minSkyLight":8}</t>
        </is>
      </c>
      <c r="AR1449" s="18" t="inlineStr"/>
      <c r="AS1449" s="18" t="inlineStr"/>
      <c r="AT1449" s="19" t="inlineStr"/>
    </row>
    <row r="1450" ht="32" customHeight="1">
      <c r="A1450" s="18" t="inlineStr">
        <is>
          <t>0400_bibarel.json::bibarel-4::004</t>
        </is>
      </c>
      <c r="B1450" s="19" t="inlineStr">
        <is>
          <t>사용</t>
        </is>
      </c>
      <c r="C1450" s="18">
        <f>IF(OR(B1450&lt;&gt;AK1450,M1450&lt;&gt;L1450,O1450&lt;&gt;"",Q1450&lt;&gt;"",V1450&lt;&gt;1,Y1450&lt;&gt;"",AT1450&lt;&gt;""),"수정","원본")</f>
        <v/>
      </c>
      <c r="D1450" s="18" t="n">
        <v>400</v>
      </c>
      <c r="E1450" s="18" t="inlineStr">
        <is>
          <t>비버통</t>
        </is>
      </c>
      <c r="F1450" s="18" t="inlineStr">
        <is>
          <t>bibarel</t>
        </is>
      </c>
      <c r="G1450" s="18" t="inlineStr">
        <is>
          <t>bibarel</t>
        </is>
      </c>
      <c r="H1450" s="18" t="inlineStr"/>
      <c r="I1450" s="18" t="n">
        <v>4</v>
      </c>
      <c r="J1450" s="18" t="n"/>
      <c r="K1450" s="18" t="n">
        <v>4</v>
      </c>
      <c r="L1450" s="18" t="inlineStr">
        <is>
          <t>cobbleventure:generation_4</t>
        </is>
      </c>
      <c r="M1450" s="19" t="inlineStr">
        <is>
          <t>cobbleventure:generation_4</t>
        </is>
      </c>
      <c r="N1450" s="18" t="inlineStr">
        <is>
          <t>region_01; region_02</t>
        </is>
      </c>
      <c r="O1450" s="19" t="inlineStr"/>
      <c r="P1450" s="18" t="inlineStr">
        <is>
          <t>#cobblemon:is_forest; #cobblemon:is_freshwater; #cobblemon:is_snowy_forest; #cobblemon:is_taiga</t>
        </is>
      </c>
      <c r="Q1450" s="19" t="inlineStr"/>
      <c r="R1450" s="18">
        <f>IF(Q1450="",P1450,Q1450)</f>
        <v/>
      </c>
      <c r="S1450" s="18" t="inlineStr"/>
      <c r="T1450" s="18" t="inlineStr">
        <is>
          <t>common</t>
        </is>
      </c>
      <c r="U1450" s="20" t="n">
        <v>1</v>
      </c>
      <c r="V1450" s="21" t="n">
        <v>1</v>
      </c>
      <c r="W1450" s="20">
        <f>IF(OR(U1450="",V1450=""),U1450,U1450*V1450)</f>
        <v/>
      </c>
      <c r="X1450" s="18" t="inlineStr">
        <is>
          <t>15-41</t>
        </is>
      </c>
      <c r="Y1450" s="19" t="inlineStr"/>
      <c r="Z1450" s="18">
        <f>IF(Y1450="",X1450,Y1450)</f>
        <v/>
      </c>
      <c r="AA1450" s="18" t="inlineStr">
        <is>
          <t>fishing</t>
        </is>
      </c>
      <c r="AB1450" s="18" t="inlineStr"/>
      <c r="AC1450" s="18" t="inlineStr"/>
      <c r="AD1450" s="18" t="inlineStr"/>
      <c r="AE1450" s="18" t="inlineStr"/>
      <c r="AF1450" s="18" t="inlineStr">
        <is>
          <t>True</t>
        </is>
      </c>
      <c r="AG1450" s="18" t="inlineStr"/>
      <c r="AH1450" s="18" t="inlineStr"/>
      <c r="AI1450" s="18" t="inlineStr"/>
      <c r="AJ1450" s="18" t="inlineStr">
        <is>
          <t>Cobblemon 동일</t>
        </is>
      </c>
      <c r="AK1450" s="18" t="inlineStr">
        <is>
          <t>사용</t>
        </is>
      </c>
      <c r="AL1450" s="18" t="inlineStr">
        <is>
          <t>COBBLEVERSE 1.7.42 / DP v31</t>
        </is>
      </c>
      <c r="AM1450" s="18" t="inlineStr">
        <is>
          <t>data/cobblemon/spawn_pool_world/0400_bibarel.json</t>
        </is>
      </c>
      <c r="AN1450" s="18" t="inlineStr">
        <is>
          <t>bibarel-4</t>
        </is>
      </c>
      <c r="AO1450" s="18" t="inlineStr">
        <is>
          <t>pokemon</t>
        </is>
      </c>
      <c r="AP1450" s="18" t="inlineStr"/>
      <c r="AQ1450" s="18" t="inlineStr">
        <is>
          <t>{"biomes":["#cobblemon:is_forest","#cobblemon:is_freshwater","#cobblemon:is_snowy_forest","#cobblemon:is_taiga"],"canSeeSky":true}</t>
        </is>
      </c>
      <c r="AR1450" s="18" t="inlineStr"/>
      <c r="AS1450" s="18" t="inlineStr">
        <is>
          <t>{"weightMultiplier":{"condition":{"maxLureLevel":1,"minLureLevel":0},"multiplier":0.6}}</t>
        </is>
      </c>
      <c r="AT1450" s="19" t="inlineStr"/>
    </row>
    <row r="1451" ht="32" customHeight="1">
      <c r="A1451" s="18" t="inlineStr">
        <is>
          <t>0400_bibarel.json::bibarel-5::005</t>
        </is>
      </c>
      <c r="B1451" s="19" t="inlineStr">
        <is>
          <t>사용</t>
        </is>
      </c>
      <c r="C1451" s="18">
        <f>IF(OR(B1451&lt;&gt;AK1451,M1451&lt;&gt;L1451,O1451&lt;&gt;"",Q1451&lt;&gt;"",V1451&lt;&gt;1,Y1451&lt;&gt;"",AT1451&lt;&gt;""),"수정","원본")</f>
        <v/>
      </c>
      <c r="D1451" s="18" t="n">
        <v>400</v>
      </c>
      <c r="E1451" s="18" t="inlineStr">
        <is>
          <t>비버통</t>
        </is>
      </c>
      <c r="F1451" s="18" t="inlineStr">
        <is>
          <t>bibarel</t>
        </is>
      </c>
      <c r="G1451" s="18" t="inlineStr">
        <is>
          <t>bibarel</t>
        </is>
      </c>
      <c r="H1451" s="18" t="inlineStr"/>
      <c r="I1451" s="18" t="n">
        <v>4</v>
      </c>
      <c r="J1451" s="18" t="n"/>
      <c r="K1451" s="18" t="n">
        <v>4</v>
      </c>
      <c r="L1451" s="18" t="inlineStr">
        <is>
          <t>cobbleventure:generation_4</t>
        </is>
      </c>
      <c r="M1451" s="19" t="inlineStr">
        <is>
          <t>cobbleventure:generation_4</t>
        </is>
      </c>
      <c r="N1451" s="18" t="inlineStr">
        <is>
          <t>region_01; region_02</t>
        </is>
      </c>
      <c r="O1451" s="19" t="inlineStr"/>
      <c r="P1451" s="18" t="inlineStr">
        <is>
          <t>#cobblemon:is_forest; #cobblemon:is_freshwater; #cobblemon:is_snowy_forest; #cobblemon:is_taiga</t>
        </is>
      </c>
      <c r="Q1451" s="19" t="inlineStr"/>
      <c r="R1451" s="18">
        <f>IF(Q1451="",P1451,Q1451)</f>
        <v/>
      </c>
      <c r="S1451" s="18" t="inlineStr"/>
      <c r="T1451" s="18" t="inlineStr">
        <is>
          <t>common</t>
        </is>
      </c>
      <c r="U1451" s="20" t="n">
        <v>1</v>
      </c>
      <c r="V1451" s="21" t="n">
        <v>1</v>
      </c>
      <c r="W1451" s="20">
        <f>IF(OR(U1451="",V1451=""),U1451,U1451*V1451)</f>
        <v/>
      </c>
      <c r="X1451" s="18" t="inlineStr">
        <is>
          <t>15-41</t>
        </is>
      </c>
      <c r="Y1451" s="19" t="inlineStr"/>
      <c r="Z1451" s="18">
        <f>IF(Y1451="",X1451,Y1451)</f>
        <v/>
      </c>
      <c r="AA1451" s="18" t="inlineStr">
        <is>
          <t>fishing</t>
        </is>
      </c>
      <c r="AB1451" s="18" t="inlineStr"/>
      <c r="AC1451" s="18" t="inlineStr"/>
      <c r="AD1451" s="18" t="inlineStr"/>
      <c r="AE1451" s="18" t="inlineStr">
        <is>
          <t>sky 8-15</t>
        </is>
      </c>
      <c r="AF1451" s="18" t="inlineStr">
        <is>
          <t>False</t>
        </is>
      </c>
      <c r="AG1451" s="18" t="inlineStr"/>
      <c r="AH1451" s="18" t="inlineStr"/>
      <c r="AI1451" s="18" t="inlineStr"/>
      <c r="AJ1451" s="18" t="inlineStr">
        <is>
          <t>Cobblemon 동일</t>
        </is>
      </c>
      <c r="AK1451" s="18" t="inlineStr">
        <is>
          <t>사용</t>
        </is>
      </c>
      <c r="AL1451" s="18" t="inlineStr">
        <is>
          <t>COBBLEVERSE 1.7.42 / DP v31</t>
        </is>
      </c>
      <c r="AM1451" s="18" t="inlineStr">
        <is>
          <t>data/cobblemon/spawn_pool_world/0400_bibarel.json</t>
        </is>
      </c>
      <c r="AN1451" s="18" t="inlineStr">
        <is>
          <t>bibarel-5</t>
        </is>
      </c>
      <c r="AO1451" s="18" t="inlineStr">
        <is>
          <t>pokemon</t>
        </is>
      </c>
      <c r="AP1451" s="18" t="inlineStr"/>
      <c r="AQ1451" s="18" t="inlineStr">
        <is>
          <t>{"biomes":["#cobblemon:is_forest","#cobblemon:is_freshwater","#cobblemon:is_snowy_forest","#cobblemon:is_taiga"],"canSeeSky":false,"maxSkyLight":15,"minSkyLight":8}</t>
        </is>
      </c>
      <c r="AR1451" s="18" t="inlineStr"/>
      <c r="AS1451" s="18" t="inlineStr">
        <is>
          <t>{"weightMultiplier":{"condition":{"maxLureLevel":1,"minLureLevel":0},"multiplier":0.6}}</t>
        </is>
      </c>
      <c r="AT1451" s="19" t="inlineStr"/>
    </row>
    <row r="1452" ht="32" customHeight="1">
      <c r="A1452" s="18" t="inlineStr">
        <is>
          <t>0401_kricketot.json::kricketot-1::001</t>
        </is>
      </c>
      <c r="B1452" s="19" t="inlineStr">
        <is>
          <t>사용</t>
        </is>
      </c>
      <c r="C1452" s="18">
        <f>IF(OR(B1452&lt;&gt;AK1452,M1452&lt;&gt;L1452,O1452&lt;&gt;"",Q1452&lt;&gt;"",V1452&lt;&gt;1,Y1452&lt;&gt;"",AT1452&lt;&gt;""),"수정","원본")</f>
        <v/>
      </c>
      <c r="D1452" s="18" t="n">
        <v>401</v>
      </c>
      <c r="E1452" s="18" t="inlineStr">
        <is>
          <t>귀뚤뚜기</t>
        </is>
      </c>
      <c r="F1452" s="18" t="inlineStr">
        <is>
          <t>kricketot</t>
        </is>
      </c>
      <c r="G1452" s="18" t="inlineStr">
        <is>
          <t>kricketot</t>
        </is>
      </c>
      <c r="H1452" s="18" t="inlineStr"/>
      <c r="I1452" s="18" t="n">
        <v>4</v>
      </c>
      <c r="J1452" s="18" t="n"/>
      <c r="K1452" s="18" t="n">
        <v>4</v>
      </c>
      <c r="L1452" s="18" t="inlineStr">
        <is>
          <t>cobbleventure:generation_4</t>
        </is>
      </c>
      <c r="M1452" s="19" t="inlineStr">
        <is>
          <t>cobbleventure:generation_4</t>
        </is>
      </c>
      <c r="N1452" s="18" t="inlineStr">
        <is>
          <t>region_01; region_02</t>
        </is>
      </c>
      <c r="O1452" s="19" t="inlineStr"/>
      <c r="P1452" s="18" t="inlineStr">
        <is>
          <t>#cobblemon:is_forest; #cobblemon:is_swamp</t>
        </is>
      </c>
      <c r="Q1452" s="19" t="inlineStr"/>
      <c r="R1452" s="18">
        <f>IF(Q1452="",P1452,Q1452)</f>
        <v/>
      </c>
      <c r="S1452" s="18" t="inlineStr">
        <is>
          <t>#cobblemon:is_freezing</t>
        </is>
      </c>
      <c r="T1452" s="18" t="inlineStr">
        <is>
          <t>common</t>
        </is>
      </c>
      <c r="U1452" s="20" t="n">
        <v>9</v>
      </c>
      <c r="V1452" s="21" t="n">
        <v>1</v>
      </c>
      <c r="W1452" s="20">
        <f>IF(OR(U1452="",V1452=""),U1452,U1452*V1452)</f>
        <v/>
      </c>
      <c r="X1452" s="18" t="inlineStr">
        <is>
          <t>1-19</t>
        </is>
      </c>
      <c r="Y1452" s="19" t="inlineStr"/>
      <c r="Z1452" s="18">
        <f>IF(Y1452="",X1452,Y1452)</f>
        <v/>
      </c>
      <c r="AA1452" s="18" t="inlineStr">
        <is>
          <t>grounded</t>
        </is>
      </c>
      <c r="AB1452" s="18" t="inlineStr">
        <is>
          <t>night</t>
        </is>
      </c>
      <c r="AC1452" s="18" t="inlineStr"/>
      <c r="AD1452" s="18" t="inlineStr"/>
      <c r="AE1452" s="18" t="inlineStr">
        <is>
          <t>sky 8-15</t>
        </is>
      </c>
      <c r="AF1452" s="18" t="inlineStr"/>
      <c r="AG1452" s="18" t="inlineStr"/>
      <c r="AH1452" s="18" t="inlineStr"/>
      <c r="AI1452" s="18" t="inlineStr"/>
      <c r="AJ1452" s="18" t="inlineStr">
        <is>
          <t>Cobblemon 동일</t>
        </is>
      </c>
      <c r="AK1452" s="18" t="inlineStr">
        <is>
          <t>사용</t>
        </is>
      </c>
      <c r="AL1452" s="18" t="inlineStr">
        <is>
          <t>COBBLEVERSE 1.7.42 / DP v31</t>
        </is>
      </c>
      <c r="AM1452" s="18" t="inlineStr">
        <is>
          <t>data/cobblemon/spawn_pool_world/0401_kricketot.json</t>
        </is>
      </c>
      <c r="AN1452" s="18" t="inlineStr">
        <is>
          <t>kricketot-1</t>
        </is>
      </c>
      <c r="AO1452" s="18" t="inlineStr">
        <is>
          <t>pokemon</t>
        </is>
      </c>
      <c r="AP1452" s="18" t="inlineStr">
        <is>
          <t>natural</t>
        </is>
      </c>
      <c r="AQ1452" s="18" t="inlineStr">
        <is>
          <t>{"biomes":["#cobblemon:is_forest","#cobblemon:is_swamp"],"maxSkyLight":15,"minSkyLight":8,"timeRange":"night"}</t>
        </is>
      </c>
      <c r="AR1452" s="18" t="inlineStr">
        <is>
          <t>{"biomes":["#cobblemon:is_freezing"]}</t>
        </is>
      </c>
      <c r="AS1452" s="18" t="inlineStr"/>
      <c r="AT1452" s="19" t="inlineStr"/>
    </row>
    <row r="1453" ht="32" customHeight="1">
      <c r="A1453" s="18" t="inlineStr">
        <is>
          <t>0402_kricketune.json::kricketune-1::001</t>
        </is>
      </c>
      <c r="B1453" s="19" t="inlineStr">
        <is>
          <t>사용</t>
        </is>
      </c>
      <c r="C1453" s="18">
        <f>IF(OR(B1453&lt;&gt;AK1453,M1453&lt;&gt;L1453,O1453&lt;&gt;"",Q1453&lt;&gt;"",V1453&lt;&gt;1,Y1453&lt;&gt;"",AT1453&lt;&gt;""),"수정","원본")</f>
        <v/>
      </c>
      <c r="D1453" s="18" t="n">
        <v>402</v>
      </c>
      <c r="E1453" s="18" t="inlineStr">
        <is>
          <t>귀뚤톡크</t>
        </is>
      </c>
      <c r="F1453" s="18" t="inlineStr">
        <is>
          <t>kricketune</t>
        </is>
      </c>
      <c r="G1453" s="18" t="inlineStr">
        <is>
          <t>kricketune</t>
        </is>
      </c>
      <c r="H1453" s="18" t="inlineStr"/>
      <c r="I1453" s="18" t="n">
        <v>4</v>
      </c>
      <c r="J1453" s="18" t="n"/>
      <c r="K1453" s="18" t="n">
        <v>4</v>
      </c>
      <c r="L1453" s="18" t="inlineStr">
        <is>
          <t>cobbleventure:generation_4</t>
        </is>
      </c>
      <c r="M1453" s="19" t="inlineStr">
        <is>
          <t>cobbleventure:generation_4</t>
        </is>
      </c>
      <c r="N1453" s="18" t="inlineStr">
        <is>
          <t>region_01; region_02</t>
        </is>
      </c>
      <c r="O1453" s="19" t="inlineStr"/>
      <c r="P1453" s="18" t="inlineStr">
        <is>
          <t>#cobblemon:is_forest; #cobblemon:is_swamp</t>
        </is>
      </c>
      <c r="Q1453" s="19" t="inlineStr"/>
      <c r="R1453" s="18">
        <f>IF(Q1453="",P1453,Q1453)</f>
        <v/>
      </c>
      <c r="S1453" s="18" t="inlineStr">
        <is>
          <t>#cobblemon:is_freezing</t>
        </is>
      </c>
      <c r="T1453" s="18" t="inlineStr">
        <is>
          <t>common</t>
        </is>
      </c>
      <c r="U1453" s="20" t="n">
        <v>1</v>
      </c>
      <c r="V1453" s="21" t="n">
        <v>1</v>
      </c>
      <c r="W1453" s="20">
        <f>IF(OR(U1453="",V1453=""),U1453,U1453*V1453)</f>
        <v/>
      </c>
      <c r="X1453" s="18" t="inlineStr">
        <is>
          <t>10-38</t>
        </is>
      </c>
      <c r="Y1453" s="19" t="inlineStr"/>
      <c r="Z1453" s="18">
        <f>IF(Y1453="",X1453,Y1453)</f>
        <v/>
      </c>
      <c r="AA1453" s="18" t="inlineStr">
        <is>
          <t>grounded</t>
        </is>
      </c>
      <c r="AB1453" s="18" t="inlineStr">
        <is>
          <t>night</t>
        </is>
      </c>
      <c r="AC1453" s="18" t="inlineStr"/>
      <c r="AD1453" s="18" t="inlineStr"/>
      <c r="AE1453" s="18" t="inlineStr">
        <is>
          <t>sky 8-15</t>
        </is>
      </c>
      <c r="AF1453" s="18" t="inlineStr"/>
      <c r="AG1453" s="18" t="inlineStr"/>
      <c r="AH1453" s="18" t="inlineStr"/>
      <c r="AI1453" s="18" t="inlineStr"/>
      <c r="AJ1453" s="18" t="inlineStr">
        <is>
          <t>Cobblemon 동일</t>
        </is>
      </c>
      <c r="AK1453" s="18" t="inlineStr">
        <is>
          <t>사용</t>
        </is>
      </c>
      <c r="AL1453" s="18" t="inlineStr">
        <is>
          <t>COBBLEVERSE 1.7.42 / DP v31</t>
        </is>
      </c>
      <c r="AM1453" s="18" t="inlineStr">
        <is>
          <t>data/cobblemon/spawn_pool_world/0402_kricketune.json</t>
        </is>
      </c>
      <c r="AN1453" s="18" t="inlineStr">
        <is>
          <t>kricketune-1</t>
        </is>
      </c>
      <c r="AO1453" s="18" t="inlineStr">
        <is>
          <t>pokemon</t>
        </is>
      </c>
      <c r="AP1453" s="18" t="inlineStr">
        <is>
          <t>natural</t>
        </is>
      </c>
      <c r="AQ1453" s="18" t="inlineStr">
        <is>
          <t>{"biomes":["#cobblemon:is_forest","#cobblemon:is_swamp"],"maxSkyLight":15,"minSkyLight":8,"timeRange":"night"}</t>
        </is>
      </c>
      <c r="AR1453" s="18" t="inlineStr">
        <is>
          <t>{"biomes":["#cobblemon:is_freezing"]}</t>
        </is>
      </c>
      <c r="AS1453" s="18" t="inlineStr"/>
      <c r="AT1453" s="19" t="inlineStr"/>
    </row>
    <row r="1454" ht="32" customHeight="1">
      <c r="A1454" s="18" t="inlineStr">
        <is>
          <t>0403_shinx.json::shinx-1::001</t>
        </is>
      </c>
      <c r="B1454" s="19" t="inlineStr">
        <is>
          <t>사용</t>
        </is>
      </c>
      <c r="C1454" s="18">
        <f>IF(OR(B1454&lt;&gt;AK1454,M1454&lt;&gt;L1454,O1454&lt;&gt;"",Q1454&lt;&gt;"",V1454&lt;&gt;1,Y1454&lt;&gt;"",AT1454&lt;&gt;""),"수정","원본")</f>
        <v/>
      </c>
      <c r="D1454" s="18" t="n">
        <v>403</v>
      </c>
      <c r="E1454" s="18" t="inlineStr">
        <is>
          <t>꼬링크</t>
        </is>
      </c>
      <c r="F1454" s="18" t="inlineStr">
        <is>
          <t>shinx</t>
        </is>
      </c>
      <c r="G1454" s="18" t="inlineStr">
        <is>
          <t>shinx</t>
        </is>
      </c>
      <c r="H1454" s="18" t="inlineStr"/>
      <c r="I1454" s="18" t="n">
        <v>4</v>
      </c>
      <c r="J1454" s="18" t="n"/>
      <c r="K1454" s="18" t="n">
        <v>4</v>
      </c>
      <c r="L1454" s="18" t="inlineStr">
        <is>
          <t>cobbleventure:generation_4</t>
        </is>
      </c>
      <c r="M1454" s="19" t="inlineStr">
        <is>
          <t>cobbleventure:generation_4</t>
        </is>
      </c>
      <c r="N1454" s="18" t="inlineStr">
        <is>
          <t>region_02</t>
        </is>
      </c>
      <c r="O1454" s="19" t="inlineStr"/>
      <c r="P1454" s="18" t="inlineStr">
        <is>
          <t>#cobblemon:is_desert; #cobblemon:is_savanna</t>
        </is>
      </c>
      <c r="Q1454" s="19" t="inlineStr"/>
      <c r="R1454" s="18">
        <f>IF(Q1454="",P1454,Q1454)</f>
        <v/>
      </c>
      <c r="S1454" s="18" t="inlineStr"/>
      <c r="T1454" s="18" t="inlineStr">
        <is>
          <t>uncommon</t>
        </is>
      </c>
      <c r="U1454" s="20" t="n">
        <v>8.4</v>
      </c>
      <c r="V1454" s="21" t="n">
        <v>1</v>
      </c>
      <c r="W1454" s="20">
        <f>IF(OR(U1454="",V1454=""),U1454,U1454*V1454)</f>
        <v/>
      </c>
      <c r="X1454" s="18" t="inlineStr">
        <is>
          <t>1-26</t>
        </is>
      </c>
      <c r="Y1454" s="19" t="inlineStr"/>
      <c r="Z1454" s="18">
        <f>IF(Y1454="",X1454,Y1454)</f>
        <v/>
      </c>
      <c r="AA1454" s="18" t="inlineStr">
        <is>
          <t>grounded</t>
        </is>
      </c>
      <c r="AB1454" s="18" t="inlineStr"/>
      <c r="AC1454" s="18" t="inlineStr"/>
      <c r="AD1454" s="18" t="inlineStr"/>
      <c r="AE1454" s="18" t="inlineStr">
        <is>
          <t>sky 8-15</t>
        </is>
      </c>
      <c r="AF1454" s="18" t="inlineStr"/>
      <c r="AG1454" s="18" t="inlineStr"/>
      <c r="AH1454" s="18" t="inlineStr"/>
      <c r="AI1454" s="18" t="inlineStr"/>
      <c r="AJ1454" s="18" t="inlineStr">
        <is>
          <t>Cobblemon 동일</t>
        </is>
      </c>
      <c r="AK1454" s="18" t="inlineStr">
        <is>
          <t>사용</t>
        </is>
      </c>
      <c r="AL1454" s="18" t="inlineStr">
        <is>
          <t>COBBLEVERSE 1.7.42 / DP v31</t>
        </is>
      </c>
      <c r="AM1454" s="18" t="inlineStr">
        <is>
          <t>data/cobblemon/spawn_pool_world/0403_shinx.json</t>
        </is>
      </c>
      <c r="AN1454" s="18" t="inlineStr">
        <is>
          <t>shinx-1</t>
        </is>
      </c>
      <c r="AO1454" s="18" t="inlineStr">
        <is>
          <t>pokemon</t>
        </is>
      </c>
      <c r="AP1454" s="18" t="inlineStr">
        <is>
          <t>natural; wild</t>
        </is>
      </c>
      <c r="AQ1454" s="18" t="inlineStr">
        <is>
          <t>{"biomes":["#cobblemon:is_desert","#cobblemon:is_savanna"],"maxSkyLight":15,"minSkyLight":8}</t>
        </is>
      </c>
      <c r="AR1454" s="18" t="inlineStr"/>
      <c r="AS1454" s="18" t="inlineStr"/>
      <c r="AT1454" s="19" t="inlineStr"/>
    </row>
    <row r="1455" ht="32" customHeight="1">
      <c r="A1455" s="18" t="inlineStr">
        <is>
          <t>0404_luxio.json::luxio-1::001</t>
        </is>
      </c>
      <c r="B1455" s="19" t="inlineStr">
        <is>
          <t>사용</t>
        </is>
      </c>
      <c r="C1455" s="18">
        <f>IF(OR(B1455&lt;&gt;AK1455,M1455&lt;&gt;L1455,O1455&lt;&gt;"",Q1455&lt;&gt;"",V1455&lt;&gt;1,Y1455&lt;&gt;"",AT1455&lt;&gt;""),"수정","원본")</f>
        <v/>
      </c>
      <c r="D1455" s="18" t="n">
        <v>404</v>
      </c>
      <c r="E1455" s="18" t="inlineStr">
        <is>
          <t>럭시오</t>
        </is>
      </c>
      <c r="F1455" s="18" t="inlineStr">
        <is>
          <t>luxio</t>
        </is>
      </c>
      <c r="G1455" s="18" t="inlineStr">
        <is>
          <t>luxio</t>
        </is>
      </c>
      <c r="H1455" s="18" t="inlineStr"/>
      <c r="I1455" s="18" t="n">
        <v>4</v>
      </c>
      <c r="J1455" s="18" t="n"/>
      <c r="K1455" s="18" t="n">
        <v>4</v>
      </c>
      <c r="L1455" s="18" t="inlineStr">
        <is>
          <t>cobbleventure:generation_4</t>
        </is>
      </c>
      <c r="M1455" s="19" t="inlineStr">
        <is>
          <t>cobbleventure:generation_4</t>
        </is>
      </c>
      <c r="N1455" s="18" t="inlineStr">
        <is>
          <t>region_02</t>
        </is>
      </c>
      <c r="O1455" s="19" t="inlineStr"/>
      <c r="P1455" s="18" t="inlineStr">
        <is>
          <t>#cobblemon:is_desert; #cobblemon:is_savanna</t>
        </is>
      </c>
      <c r="Q1455" s="19" t="inlineStr"/>
      <c r="R1455" s="18">
        <f>IF(Q1455="",P1455,Q1455)</f>
        <v/>
      </c>
      <c r="S1455" s="18" t="inlineStr"/>
      <c r="T1455" s="18" t="inlineStr">
        <is>
          <t>uncommon</t>
        </is>
      </c>
      <c r="U1455" s="20" t="n">
        <v>1.44</v>
      </c>
      <c r="V1455" s="21" t="n">
        <v>1</v>
      </c>
      <c r="W1455" s="20">
        <f>IF(OR(U1455="",V1455=""),U1455,U1455*V1455)</f>
        <v/>
      </c>
      <c r="X1455" s="18" t="inlineStr">
        <is>
          <t>15-36</t>
        </is>
      </c>
      <c r="Y1455" s="19" t="inlineStr"/>
      <c r="Z1455" s="18">
        <f>IF(Y1455="",X1455,Y1455)</f>
        <v/>
      </c>
      <c r="AA1455" s="18" t="inlineStr">
        <is>
          <t>grounded</t>
        </is>
      </c>
      <c r="AB1455" s="18" t="inlineStr"/>
      <c r="AC1455" s="18" t="inlineStr"/>
      <c r="AD1455" s="18" t="inlineStr"/>
      <c r="AE1455" s="18" t="inlineStr">
        <is>
          <t>sky 8-15</t>
        </is>
      </c>
      <c r="AF1455" s="18" t="inlineStr"/>
      <c r="AG1455" s="18" t="inlineStr"/>
      <c r="AH1455" s="18" t="inlineStr"/>
      <c r="AI1455" s="18" t="inlineStr"/>
      <c r="AJ1455" s="18" t="inlineStr">
        <is>
          <t>Cobblemon 동일</t>
        </is>
      </c>
      <c r="AK1455" s="18" t="inlineStr">
        <is>
          <t>사용</t>
        </is>
      </c>
      <c r="AL1455" s="18" t="inlineStr">
        <is>
          <t>COBBLEVERSE 1.7.42 / DP v31</t>
        </is>
      </c>
      <c r="AM1455" s="18" t="inlineStr">
        <is>
          <t>data/cobblemon/spawn_pool_world/0404_luxio.json</t>
        </is>
      </c>
      <c r="AN1455" s="18" t="inlineStr">
        <is>
          <t>luxio-1</t>
        </is>
      </c>
      <c r="AO1455" s="18" t="inlineStr">
        <is>
          <t>pokemon</t>
        </is>
      </c>
      <c r="AP1455" s="18" t="inlineStr">
        <is>
          <t>natural; wild</t>
        </is>
      </c>
      <c r="AQ1455" s="18" t="inlineStr">
        <is>
          <t>{"biomes":["#cobblemon:is_desert","#cobblemon:is_savanna"],"maxSkyLight":15,"minSkyLight":8}</t>
        </is>
      </c>
      <c r="AR1455" s="18" t="inlineStr"/>
      <c r="AS1455" s="18" t="inlineStr"/>
      <c r="AT1455" s="19" t="inlineStr"/>
    </row>
    <row r="1456" ht="32" customHeight="1">
      <c r="A1456" s="18" t="inlineStr">
        <is>
          <t>0405_luxray.json::luxray-1::001</t>
        </is>
      </c>
      <c r="B1456" s="19" t="inlineStr">
        <is>
          <t>사용</t>
        </is>
      </c>
      <c r="C1456" s="18">
        <f>IF(OR(B1456&lt;&gt;AK1456,M1456&lt;&gt;L1456,O1456&lt;&gt;"",Q1456&lt;&gt;"",V1456&lt;&gt;1,Y1456&lt;&gt;"",AT1456&lt;&gt;""),"수정","원본")</f>
        <v/>
      </c>
      <c r="D1456" s="18" t="n">
        <v>405</v>
      </c>
      <c r="E1456" s="18" t="inlineStr">
        <is>
          <t>렌트라</t>
        </is>
      </c>
      <c r="F1456" s="18" t="inlineStr">
        <is>
          <t>luxray</t>
        </is>
      </c>
      <c r="G1456" s="18" t="inlineStr">
        <is>
          <t>luxray</t>
        </is>
      </c>
      <c r="H1456" s="18" t="inlineStr"/>
      <c r="I1456" s="18" t="n">
        <v>4</v>
      </c>
      <c r="J1456" s="18" t="n"/>
      <c r="K1456" s="18" t="n">
        <v>4</v>
      </c>
      <c r="L1456" s="18" t="inlineStr">
        <is>
          <t>cobbleventure:generation_4</t>
        </is>
      </c>
      <c r="M1456" s="19" t="inlineStr">
        <is>
          <t>cobbleventure:generation_4</t>
        </is>
      </c>
      <c r="N1456" s="18" t="inlineStr">
        <is>
          <t>region_02</t>
        </is>
      </c>
      <c r="O1456" s="19" t="inlineStr"/>
      <c r="P1456" s="18" t="inlineStr">
        <is>
          <t>#cobblemon:is_desert; #cobblemon:is_savanna</t>
        </is>
      </c>
      <c r="Q1456" s="19" t="inlineStr"/>
      <c r="R1456" s="18">
        <f>IF(Q1456="",P1456,Q1456)</f>
        <v/>
      </c>
      <c r="S1456" s="18" t="inlineStr"/>
      <c r="T1456" s="18" t="inlineStr">
        <is>
          <t>uncommon</t>
        </is>
      </c>
      <c r="U1456" s="20" t="n">
        <v>0.16</v>
      </c>
      <c r="V1456" s="21" t="n">
        <v>1</v>
      </c>
      <c r="W1456" s="20">
        <f>IF(OR(U1456="",V1456=""),U1456,U1456*V1456)</f>
        <v/>
      </c>
      <c r="X1456" s="18" t="inlineStr">
        <is>
          <t>30-52</t>
        </is>
      </c>
      <c r="Y1456" s="19" t="inlineStr"/>
      <c r="Z1456" s="18">
        <f>IF(Y1456="",X1456,Y1456)</f>
        <v/>
      </c>
      <c r="AA1456" s="18" t="inlineStr">
        <is>
          <t>grounded</t>
        </is>
      </c>
      <c r="AB1456" s="18" t="inlineStr"/>
      <c r="AC1456" s="18" t="inlineStr"/>
      <c r="AD1456" s="18" t="inlineStr"/>
      <c r="AE1456" s="18" t="inlineStr">
        <is>
          <t>sky 8-15</t>
        </is>
      </c>
      <c r="AF1456" s="18" t="inlineStr"/>
      <c r="AG1456" s="18" t="inlineStr"/>
      <c r="AH1456" s="18" t="inlineStr"/>
      <c r="AI1456" s="18" t="inlineStr"/>
      <c r="AJ1456" s="18" t="inlineStr">
        <is>
          <t>Cobblemon 동일</t>
        </is>
      </c>
      <c r="AK1456" s="18" t="inlineStr">
        <is>
          <t>사용</t>
        </is>
      </c>
      <c r="AL1456" s="18" t="inlineStr">
        <is>
          <t>COBBLEVERSE 1.7.42 / DP v31</t>
        </is>
      </c>
      <c r="AM1456" s="18" t="inlineStr">
        <is>
          <t>data/cobblemon/spawn_pool_world/0405_luxray.json</t>
        </is>
      </c>
      <c r="AN1456" s="18" t="inlineStr">
        <is>
          <t>luxray-1</t>
        </is>
      </c>
      <c r="AO1456" s="18" t="inlineStr">
        <is>
          <t>pokemon</t>
        </is>
      </c>
      <c r="AP1456" s="18" t="inlineStr">
        <is>
          <t>natural; wild</t>
        </is>
      </c>
      <c r="AQ1456" s="18" t="inlineStr">
        <is>
          <t>{"biomes":["#cobblemon:is_desert","#cobblemon:is_savanna"],"maxSkyLight":15,"minSkyLight":8}</t>
        </is>
      </c>
      <c r="AR1456" s="18" t="inlineStr"/>
      <c r="AS1456" s="18" t="inlineStr"/>
      <c r="AT1456" s="19" t="inlineStr"/>
    </row>
    <row r="1457" ht="32" customHeight="1">
      <c r="A1457" s="18" t="inlineStr">
        <is>
          <t>0406_budew.json::budew-1::001</t>
        </is>
      </c>
      <c r="B1457" s="19" t="inlineStr">
        <is>
          <t>사용</t>
        </is>
      </c>
      <c r="C1457" s="18">
        <f>IF(OR(B1457&lt;&gt;AK1457,M1457&lt;&gt;L1457,O1457&lt;&gt;"",Q1457&lt;&gt;"",V1457&lt;&gt;1,Y1457&lt;&gt;"",AT1457&lt;&gt;""),"수정","원본")</f>
        <v/>
      </c>
      <c r="D1457" s="18" t="n">
        <v>406</v>
      </c>
      <c r="E1457" s="18" t="inlineStr">
        <is>
          <t>꼬몽울</t>
        </is>
      </c>
      <c r="F1457" s="18" t="inlineStr">
        <is>
          <t>budew</t>
        </is>
      </c>
      <c r="G1457" s="18" t="inlineStr">
        <is>
          <t>budew</t>
        </is>
      </c>
      <c r="H1457" s="18" t="inlineStr"/>
      <c r="I1457" s="18" t="n">
        <v>4</v>
      </c>
      <c r="J1457" s="18" t="n"/>
      <c r="K1457" s="18" t="n">
        <v>4</v>
      </c>
      <c r="L1457" s="18" t="inlineStr">
        <is>
          <t>cobbleventure:generation_4</t>
        </is>
      </c>
      <c r="M1457" s="19" t="inlineStr">
        <is>
          <t>cobbleventure:generation_4</t>
        </is>
      </c>
      <c r="N1457" s="18" t="inlineStr"/>
      <c r="O1457" s="19" t="inlineStr"/>
      <c r="P1457" s="18" t="inlineStr">
        <is>
          <t>#aether:is_aether; #cobblemon:is_floral</t>
        </is>
      </c>
      <c r="Q1457" s="19" t="inlineStr"/>
      <c r="R1457" s="18">
        <f>IF(Q1457="",P1457,Q1457)</f>
        <v/>
      </c>
      <c r="S1457" s="18" t="inlineStr"/>
      <c r="T1457" s="18" t="inlineStr">
        <is>
          <t>common</t>
        </is>
      </c>
      <c r="U1457" s="20" t="n">
        <v>9</v>
      </c>
      <c r="V1457" s="21" t="n">
        <v>1</v>
      </c>
      <c r="W1457" s="20">
        <f>IF(OR(U1457="",V1457=""),U1457,U1457*V1457)</f>
        <v/>
      </c>
      <c r="X1457" s="18" t="inlineStr">
        <is>
          <t>3-28</t>
        </is>
      </c>
      <c r="Y1457" s="19" t="inlineStr"/>
      <c r="Z1457" s="18">
        <f>IF(Y1457="",X1457,Y1457)</f>
        <v/>
      </c>
      <c r="AA1457" s="18" t="inlineStr">
        <is>
          <t>grounded</t>
        </is>
      </c>
      <c r="AB1457" s="18" t="inlineStr"/>
      <c r="AC1457" s="18" t="inlineStr"/>
      <c r="AD1457" s="18" t="inlineStr"/>
      <c r="AE1457" s="18" t="inlineStr">
        <is>
          <t>sky 8-15</t>
        </is>
      </c>
      <c r="AF1457" s="18" t="inlineStr"/>
      <c r="AG1457" s="18" t="inlineStr"/>
      <c r="AH1457" s="18" t="inlineStr"/>
      <c r="AI1457" s="18" t="inlineStr"/>
      <c r="AJ1457" s="18" t="inlineStr">
        <is>
          <t>Cobblemon 동일</t>
        </is>
      </c>
      <c r="AK1457" s="18" t="inlineStr">
        <is>
          <t>사용</t>
        </is>
      </c>
      <c r="AL1457" s="18" t="inlineStr">
        <is>
          <t>COBBLEVERSE 1.7.42 / DP v31</t>
        </is>
      </c>
      <c r="AM1457" s="18" t="inlineStr">
        <is>
          <t>data/cobblemon/spawn_pool_world/0406_budew.json</t>
        </is>
      </c>
      <c r="AN1457" s="18" t="inlineStr">
        <is>
          <t>budew-1</t>
        </is>
      </c>
      <c r="AO1457" s="18" t="inlineStr">
        <is>
          <t>pokemon</t>
        </is>
      </c>
      <c r="AP1457" s="18" t="inlineStr">
        <is>
          <t>natural</t>
        </is>
      </c>
      <c r="AQ1457" s="18" t="inlineStr">
        <is>
          <t>{"biomes":["#aether:is_aether","#cobblemon:is_floral"],"maxSkyLight":15,"minSkyLight":8}</t>
        </is>
      </c>
      <c r="AR1457" s="18" t="inlineStr"/>
      <c r="AS1457" s="18" t="inlineStr"/>
      <c r="AT1457" s="19" t="inlineStr"/>
    </row>
    <row r="1458" ht="32" customHeight="1">
      <c r="A1458" s="18" t="inlineStr">
        <is>
          <t>0406_budew.json::budew-2::002</t>
        </is>
      </c>
      <c r="B1458" s="19" t="inlineStr">
        <is>
          <t>사용</t>
        </is>
      </c>
      <c r="C1458" s="18">
        <f>IF(OR(B1458&lt;&gt;AK1458,M1458&lt;&gt;L1458,O1458&lt;&gt;"",Q1458&lt;&gt;"",V1458&lt;&gt;1,Y1458&lt;&gt;"",AT1458&lt;&gt;""),"수정","원본")</f>
        <v/>
      </c>
      <c r="D1458" s="18" t="n">
        <v>406</v>
      </c>
      <c r="E1458" s="18" t="inlineStr">
        <is>
          <t>꼬몽울</t>
        </is>
      </c>
      <c r="F1458" s="18" t="inlineStr">
        <is>
          <t>budew</t>
        </is>
      </c>
      <c r="G1458" s="18" t="inlineStr">
        <is>
          <t>budew</t>
        </is>
      </c>
      <c r="H1458" s="18" t="inlineStr"/>
      <c r="I1458" s="18" t="n">
        <v>4</v>
      </c>
      <c r="J1458" s="18" t="n"/>
      <c r="K1458" s="18" t="n">
        <v>4</v>
      </c>
      <c r="L1458" s="18" t="inlineStr">
        <is>
          <t>cobbleventure:generation_4</t>
        </is>
      </c>
      <c r="M1458" s="19" t="inlineStr">
        <is>
          <t>cobbleventure:generation_4</t>
        </is>
      </c>
      <c r="N1458" s="18" t="inlineStr"/>
      <c r="O1458" s="19" t="inlineStr"/>
      <c r="P1458" s="18" t="inlineStr">
        <is>
          <t>the_bumblezone:floral_meadow</t>
        </is>
      </c>
      <c r="Q1458" s="19" t="inlineStr"/>
      <c r="R1458" s="18">
        <f>IF(Q1458="",P1458,Q1458)</f>
        <v/>
      </c>
      <c r="S1458" s="18" t="inlineStr"/>
      <c r="T1458" s="18" t="inlineStr">
        <is>
          <t>common</t>
        </is>
      </c>
      <c r="U1458" s="20" t="n">
        <v>9</v>
      </c>
      <c r="V1458" s="21" t="n">
        <v>1</v>
      </c>
      <c r="W1458" s="20">
        <f>IF(OR(U1458="",V1458=""),U1458,U1458*V1458)</f>
        <v/>
      </c>
      <c r="X1458" s="18" t="inlineStr">
        <is>
          <t>3-28</t>
        </is>
      </c>
      <c r="Y1458" s="19" t="inlineStr"/>
      <c r="Z1458" s="18">
        <f>IF(Y1458="",X1458,Y1458)</f>
        <v/>
      </c>
      <c r="AA1458" s="18" t="inlineStr">
        <is>
          <t>grounded</t>
        </is>
      </c>
      <c r="AB1458" s="18" t="inlineStr"/>
      <c r="AC1458" s="18" t="inlineStr"/>
      <c r="AD1458" s="18" t="inlineStr"/>
      <c r="AE1458" s="18" t="inlineStr"/>
      <c r="AF1458" s="18" t="inlineStr"/>
      <c r="AG1458" s="18" t="inlineStr"/>
      <c r="AH1458" s="18" t="inlineStr"/>
      <c r="AI1458" s="18" t="inlineStr"/>
      <c r="AJ1458" s="18" t="inlineStr">
        <is>
          <t>Cobblemon 동일</t>
        </is>
      </c>
      <c r="AK1458" s="18" t="inlineStr">
        <is>
          <t>사용</t>
        </is>
      </c>
      <c r="AL1458" s="18" t="inlineStr">
        <is>
          <t>COBBLEVERSE 1.7.42 / DP v31</t>
        </is>
      </c>
      <c r="AM1458" s="18" t="inlineStr">
        <is>
          <t>data/cobblemon/spawn_pool_world/0406_budew.json</t>
        </is>
      </c>
      <c r="AN1458" s="18" t="inlineStr">
        <is>
          <t>budew-2</t>
        </is>
      </c>
      <c r="AO1458" s="18" t="inlineStr">
        <is>
          <t>pokemon</t>
        </is>
      </c>
      <c r="AP1458" s="18" t="inlineStr"/>
      <c r="AQ1458" s="18" t="inlineStr">
        <is>
          <t>{"biomes":["the_bumblezone:floral_meadow"]}</t>
        </is>
      </c>
      <c r="AR1458" s="18" t="inlineStr">
        <is>
          <t>{"structures":["#the_bumblezone:sempiternal_sanctums"]}</t>
        </is>
      </c>
      <c r="AS1458" s="18" t="inlineStr"/>
      <c r="AT1458" s="19" t="inlineStr"/>
    </row>
    <row r="1459" ht="32" customHeight="1">
      <c r="A1459" s="18" t="inlineStr">
        <is>
          <t>0407_roserade.json::roserade-1::001</t>
        </is>
      </c>
      <c r="B1459" s="19" t="inlineStr">
        <is>
          <t>사용</t>
        </is>
      </c>
      <c r="C1459" s="18">
        <f>IF(OR(B1459&lt;&gt;AK1459,M1459&lt;&gt;L1459,O1459&lt;&gt;"",Q1459&lt;&gt;"",V1459&lt;&gt;1,Y1459&lt;&gt;"",AT1459&lt;&gt;""),"수정","원본")</f>
        <v/>
      </c>
      <c r="D1459" s="18" t="n">
        <v>407</v>
      </c>
      <c r="E1459" s="18" t="inlineStr">
        <is>
          <t>로즈레이드</t>
        </is>
      </c>
      <c r="F1459" s="18" t="inlineStr">
        <is>
          <t>roserade</t>
        </is>
      </c>
      <c r="G1459" s="18" t="inlineStr">
        <is>
          <t>roserade</t>
        </is>
      </c>
      <c r="H1459" s="18" t="inlineStr"/>
      <c r="I1459" s="18" t="n">
        <v>4</v>
      </c>
      <c r="J1459" s="18" t="n"/>
      <c r="K1459" s="18" t="n">
        <v>4</v>
      </c>
      <c r="L1459" s="18" t="inlineStr">
        <is>
          <t>cobbleventure:generation_4</t>
        </is>
      </c>
      <c r="M1459" s="19" t="inlineStr">
        <is>
          <t>cobbleventure:generation_4</t>
        </is>
      </c>
      <c r="N1459" s="18" t="inlineStr"/>
      <c r="O1459" s="19" t="inlineStr"/>
      <c r="P1459" s="18" t="inlineStr">
        <is>
          <t>#aether:is_aether; #cobblemon:is_floral</t>
        </is>
      </c>
      <c r="Q1459" s="19" t="inlineStr"/>
      <c r="R1459" s="18">
        <f>IF(Q1459="",P1459,Q1459)</f>
        <v/>
      </c>
      <c r="S1459" s="18" t="inlineStr"/>
      <c r="T1459" s="18" t="inlineStr">
        <is>
          <t>common</t>
        </is>
      </c>
      <c r="U1459" s="20" t="n">
        <v>0.05</v>
      </c>
      <c r="V1459" s="21" t="n">
        <v>1</v>
      </c>
      <c r="W1459" s="20">
        <f>IF(OR(U1459="",V1459=""),U1459,U1459*V1459)</f>
        <v/>
      </c>
      <c r="X1459" s="18" t="inlineStr">
        <is>
          <t>35-52</t>
        </is>
      </c>
      <c r="Y1459" s="19" t="inlineStr"/>
      <c r="Z1459" s="18">
        <f>IF(Y1459="",X1459,Y1459)</f>
        <v/>
      </c>
      <c r="AA1459" s="18" t="inlineStr">
        <is>
          <t>grounded</t>
        </is>
      </c>
      <c r="AB1459" s="18" t="inlineStr"/>
      <c r="AC1459" s="18" t="inlineStr"/>
      <c r="AD1459" s="18" t="inlineStr"/>
      <c r="AE1459" s="18" t="inlineStr">
        <is>
          <t>sky 8-15</t>
        </is>
      </c>
      <c r="AF1459" s="18" t="inlineStr"/>
      <c r="AG1459" s="18" t="inlineStr"/>
      <c r="AH1459" s="18" t="inlineStr"/>
      <c r="AI1459" s="18" t="inlineStr"/>
      <c r="AJ1459" s="18" t="inlineStr">
        <is>
          <t>Cobblemon 동일</t>
        </is>
      </c>
      <c r="AK1459" s="18" t="inlineStr">
        <is>
          <t>사용</t>
        </is>
      </c>
      <c r="AL1459" s="18" t="inlineStr">
        <is>
          <t>COBBLEVERSE 1.7.42 / DP v31</t>
        </is>
      </c>
      <c r="AM1459" s="18" t="inlineStr">
        <is>
          <t>data/cobblemon/spawn_pool_world/0407_roserade.json</t>
        </is>
      </c>
      <c r="AN1459" s="18" t="inlineStr">
        <is>
          <t>roserade-1</t>
        </is>
      </c>
      <c r="AO1459" s="18" t="inlineStr">
        <is>
          <t>pokemon</t>
        </is>
      </c>
      <c r="AP1459" s="18" t="inlineStr">
        <is>
          <t>natural</t>
        </is>
      </c>
      <c r="AQ1459" s="18" t="inlineStr">
        <is>
          <t>{"biomes":["#aether:is_aether","#cobblemon:is_floral"],"maxSkyLight":15,"minSkyLight":8}</t>
        </is>
      </c>
      <c r="AR1459" s="18" t="inlineStr"/>
      <c r="AS1459" s="18" t="inlineStr"/>
      <c r="AT1459" s="19" t="inlineStr"/>
    </row>
    <row r="1460" ht="32" customHeight="1">
      <c r="A1460" s="18" t="inlineStr">
        <is>
          <t>0407_roserade.json::roserade-2::002</t>
        </is>
      </c>
      <c r="B1460" s="19" t="inlineStr">
        <is>
          <t>사용</t>
        </is>
      </c>
      <c r="C1460" s="18">
        <f>IF(OR(B1460&lt;&gt;AK1460,M1460&lt;&gt;L1460,O1460&lt;&gt;"",Q1460&lt;&gt;"",V1460&lt;&gt;1,Y1460&lt;&gt;"",AT1460&lt;&gt;""),"수정","원본")</f>
        <v/>
      </c>
      <c r="D1460" s="18" t="n">
        <v>407</v>
      </c>
      <c r="E1460" s="18" t="inlineStr">
        <is>
          <t>로즈레이드</t>
        </is>
      </c>
      <c r="F1460" s="18" t="inlineStr">
        <is>
          <t>roserade</t>
        </is>
      </c>
      <c r="G1460" s="18" t="inlineStr">
        <is>
          <t>roserade</t>
        </is>
      </c>
      <c r="H1460" s="18" t="inlineStr"/>
      <c r="I1460" s="18" t="n">
        <v>4</v>
      </c>
      <c r="J1460" s="18" t="n"/>
      <c r="K1460" s="18" t="n">
        <v>4</v>
      </c>
      <c r="L1460" s="18" t="inlineStr">
        <is>
          <t>cobbleventure:generation_4</t>
        </is>
      </c>
      <c r="M1460" s="19" t="inlineStr">
        <is>
          <t>cobbleventure:generation_4</t>
        </is>
      </c>
      <c r="N1460" s="18" t="inlineStr"/>
      <c r="O1460" s="19" t="inlineStr"/>
      <c r="P1460" s="18" t="inlineStr">
        <is>
          <t>the_bumblezone:floral_meadow</t>
        </is>
      </c>
      <c r="Q1460" s="19" t="inlineStr"/>
      <c r="R1460" s="18">
        <f>IF(Q1460="",P1460,Q1460)</f>
        <v/>
      </c>
      <c r="S1460" s="18" t="inlineStr"/>
      <c r="T1460" s="18" t="inlineStr">
        <is>
          <t>common</t>
        </is>
      </c>
      <c r="U1460" s="20" t="n">
        <v>0.05</v>
      </c>
      <c r="V1460" s="21" t="n">
        <v>1</v>
      </c>
      <c r="W1460" s="20">
        <f>IF(OR(U1460="",V1460=""),U1460,U1460*V1460)</f>
        <v/>
      </c>
      <c r="X1460" s="18" t="inlineStr">
        <is>
          <t>35-52</t>
        </is>
      </c>
      <c r="Y1460" s="19" t="inlineStr"/>
      <c r="Z1460" s="18">
        <f>IF(Y1460="",X1460,Y1460)</f>
        <v/>
      </c>
      <c r="AA1460" s="18" t="inlineStr">
        <is>
          <t>grounded</t>
        </is>
      </c>
      <c r="AB1460" s="18" t="inlineStr"/>
      <c r="AC1460" s="18" t="inlineStr"/>
      <c r="AD1460" s="18" t="inlineStr"/>
      <c r="AE1460" s="18" t="inlineStr"/>
      <c r="AF1460" s="18" t="inlineStr"/>
      <c r="AG1460" s="18" t="inlineStr"/>
      <c r="AH1460" s="18" t="inlineStr"/>
      <c r="AI1460" s="18" t="inlineStr"/>
      <c r="AJ1460" s="18" t="inlineStr">
        <is>
          <t>Cobblemon 동일</t>
        </is>
      </c>
      <c r="AK1460" s="18" t="inlineStr">
        <is>
          <t>사용</t>
        </is>
      </c>
      <c r="AL1460" s="18" t="inlineStr">
        <is>
          <t>COBBLEVERSE 1.7.42 / DP v31</t>
        </is>
      </c>
      <c r="AM1460" s="18" t="inlineStr">
        <is>
          <t>data/cobblemon/spawn_pool_world/0407_roserade.json</t>
        </is>
      </c>
      <c r="AN1460" s="18" t="inlineStr">
        <is>
          <t>roserade-2</t>
        </is>
      </c>
      <c r="AO1460" s="18" t="inlineStr">
        <is>
          <t>pokemon</t>
        </is>
      </c>
      <c r="AP1460" s="18" t="inlineStr"/>
      <c r="AQ1460" s="18" t="inlineStr">
        <is>
          <t>{"biomes":["the_bumblezone:floral_meadow"]}</t>
        </is>
      </c>
      <c r="AR1460" s="18" t="inlineStr">
        <is>
          <t>{"structures":["#the_bumblezone:sempiternal_sanctums"]}</t>
        </is>
      </c>
      <c r="AS1460" s="18" t="inlineStr"/>
      <c r="AT1460" s="19" t="inlineStr"/>
    </row>
    <row r="1461" ht="32" customHeight="1">
      <c r="A1461" s="18" t="inlineStr">
        <is>
          <t>0408_cranidos.json::cranidos-1::001</t>
        </is>
      </c>
      <c r="B1461" s="19" t="inlineStr">
        <is>
          <t>사용</t>
        </is>
      </c>
      <c r="C1461" s="18">
        <f>IF(OR(B1461&lt;&gt;AK1461,M1461&lt;&gt;L1461,O1461&lt;&gt;"",Q1461&lt;&gt;"",V1461&lt;&gt;1,Y1461&lt;&gt;"",AT1461&lt;&gt;""),"수정","원본")</f>
        <v/>
      </c>
      <c r="D1461" s="18" t="n">
        <v>408</v>
      </c>
      <c r="E1461" s="18" t="inlineStr">
        <is>
          <t>두개도스</t>
        </is>
      </c>
      <c r="F1461" s="18" t="inlineStr">
        <is>
          <t>cranidos</t>
        </is>
      </c>
      <c r="G1461" s="18" t="inlineStr">
        <is>
          <t>cranidos</t>
        </is>
      </c>
      <c r="H1461" s="18" t="inlineStr"/>
      <c r="I1461" s="18" t="n">
        <v>4</v>
      </c>
      <c r="J1461" s="18" t="n"/>
      <c r="K1461" s="18" t="n">
        <v>4</v>
      </c>
      <c r="L1461" s="18" t="inlineStr">
        <is>
          <t>cobbleventure:generation_4</t>
        </is>
      </c>
      <c r="M1461" s="19" t="inlineStr">
        <is>
          <t>cobbleventure:generation_4</t>
        </is>
      </c>
      <c r="N1461" s="18" t="inlineStr"/>
      <c r="O1461" s="19" t="inlineStr"/>
      <c r="P1461" s="18" t="inlineStr">
        <is>
          <t>#cobblemon:is_lush</t>
        </is>
      </c>
      <c r="Q1461" s="19" t="inlineStr"/>
      <c r="R1461" s="18">
        <f>IF(Q1461="",P1461,Q1461)</f>
        <v/>
      </c>
      <c r="S1461" s="18" t="inlineStr"/>
      <c r="T1461" s="18" t="inlineStr">
        <is>
          <t>ultra-rare</t>
        </is>
      </c>
      <c r="U1461" s="20" t="n">
        <v>6</v>
      </c>
      <c r="V1461" s="21" t="n">
        <v>1</v>
      </c>
      <c r="W1461" s="20">
        <f>IF(OR(U1461="",V1461=""),U1461,U1461*V1461)</f>
        <v/>
      </c>
      <c r="X1461" s="18" t="inlineStr">
        <is>
          <t>10-35</t>
        </is>
      </c>
      <c r="Y1461" s="19" t="inlineStr"/>
      <c r="Z1461" s="18">
        <f>IF(Y1461="",X1461,Y1461)</f>
        <v/>
      </c>
      <c r="AA1461" s="18" t="inlineStr">
        <is>
          <t>grounded</t>
        </is>
      </c>
      <c r="AB1461" s="18" t="inlineStr"/>
      <c r="AC1461" s="18" t="inlineStr"/>
      <c r="AD1461" s="18" t="inlineStr"/>
      <c r="AE1461" s="18" t="inlineStr">
        <is>
          <t>sky 8-15</t>
        </is>
      </c>
      <c r="AF1461" s="18" t="inlineStr"/>
      <c r="AG1461" s="18" t="inlineStr"/>
      <c r="AH1461" s="18" t="inlineStr"/>
      <c r="AI1461" s="18" t="inlineStr"/>
      <c r="AJ1461" s="18" t="inlineStr">
        <is>
          <t>Cobblemon 동일</t>
        </is>
      </c>
      <c r="AK1461" s="18" t="inlineStr">
        <is>
          <t>사용</t>
        </is>
      </c>
      <c r="AL1461" s="18" t="inlineStr">
        <is>
          <t>COBBLEVERSE 1.7.42 / DP v31</t>
        </is>
      </c>
      <c r="AM1461" s="18" t="inlineStr">
        <is>
          <t>data/cobblemon/spawn_pool_world/0408_cranidos.json</t>
        </is>
      </c>
      <c r="AN1461" s="18" t="inlineStr">
        <is>
          <t>cranidos-1</t>
        </is>
      </c>
      <c r="AO1461" s="18" t="inlineStr">
        <is>
          <t>pokemon</t>
        </is>
      </c>
      <c r="AP1461" s="18" t="inlineStr">
        <is>
          <t>natural</t>
        </is>
      </c>
      <c r="AQ1461" s="18" t="inlineStr">
        <is>
          <t>{"biomes":["#cobblemon:is_lush"],"maxSkyLight":15,"minSkyLight":8}</t>
        </is>
      </c>
      <c r="AR1461" s="18" t="inlineStr"/>
      <c r="AS1461" s="18" t="inlineStr"/>
      <c r="AT1461" s="19" t="inlineStr"/>
    </row>
    <row r="1462" ht="32" customHeight="1">
      <c r="A1462" s="18" t="inlineStr">
        <is>
          <t>0409_rampardos.json::rampardos-1::001</t>
        </is>
      </c>
      <c r="B1462" s="19" t="inlineStr">
        <is>
          <t>사용</t>
        </is>
      </c>
      <c r="C1462" s="18">
        <f>IF(OR(B1462&lt;&gt;AK1462,M1462&lt;&gt;L1462,O1462&lt;&gt;"",Q1462&lt;&gt;"",V1462&lt;&gt;1,Y1462&lt;&gt;"",AT1462&lt;&gt;""),"수정","원본")</f>
        <v/>
      </c>
      <c r="D1462" s="18" t="n">
        <v>409</v>
      </c>
      <c r="E1462" s="18" t="inlineStr">
        <is>
          <t>램펄드</t>
        </is>
      </c>
      <c r="F1462" s="18" t="inlineStr">
        <is>
          <t>rampardos</t>
        </is>
      </c>
      <c r="G1462" s="18" t="inlineStr">
        <is>
          <t>rampardos</t>
        </is>
      </c>
      <c r="H1462" s="18" t="inlineStr"/>
      <c r="I1462" s="18" t="n">
        <v>4</v>
      </c>
      <c r="J1462" s="18" t="n"/>
      <c r="K1462" s="18" t="n">
        <v>4</v>
      </c>
      <c r="L1462" s="18" t="inlineStr">
        <is>
          <t>cobbleventure:generation_4</t>
        </is>
      </c>
      <c r="M1462" s="19" t="inlineStr">
        <is>
          <t>cobbleventure:generation_4</t>
        </is>
      </c>
      <c r="N1462" s="18" t="inlineStr"/>
      <c r="O1462" s="19" t="inlineStr"/>
      <c r="P1462" s="18" t="inlineStr">
        <is>
          <t>#cobblemon:is_lush</t>
        </is>
      </c>
      <c r="Q1462" s="19" t="inlineStr"/>
      <c r="R1462" s="18">
        <f>IF(Q1462="",P1462,Q1462)</f>
        <v/>
      </c>
      <c r="S1462" s="18" t="inlineStr"/>
      <c r="T1462" s="18" t="inlineStr">
        <is>
          <t>ultra-rare</t>
        </is>
      </c>
      <c r="U1462" s="20" t="n">
        <v>4</v>
      </c>
      <c r="V1462" s="21" t="n">
        <v>1</v>
      </c>
      <c r="W1462" s="20">
        <f>IF(OR(U1462="",V1462=""),U1462,U1462*V1462)</f>
        <v/>
      </c>
      <c r="X1462" s="18" t="inlineStr">
        <is>
          <t>30-50</t>
        </is>
      </c>
      <c r="Y1462" s="19" t="inlineStr"/>
      <c r="Z1462" s="18">
        <f>IF(Y1462="",X1462,Y1462)</f>
        <v/>
      </c>
      <c r="AA1462" s="18" t="inlineStr">
        <is>
          <t>grounded</t>
        </is>
      </c>
      <c r="AB1462" s="18" t="inlineStr"/>
      <c r="AC1462" s="18" t="inlineStr"/>
      <c r="AD1462" s="18" t="inlineStr"/>
      <c r="AE1462" s="18" t="inlineStr">
        <is>
          <t>sky 8-15</t>
        </is>
      </c>
      <c r="AF1462" s="18" t="inlineStr"/>
      <c r="AG1462" s="18" t="inlineStr"/>
      <c r="AH1462" s="18" t="inlineStr"/>
      <c r="AI1462" s="18" t="inlineStr"/>
      <c r="AJ1462" s="18" t="inlineStr">
        <is>
          <t>Cobblemon 동일</t>
        </is>
      </c>
      <c r="AK1462" s="18" t="inlineStr">
        <is>
          <t>사용</t>
        </is>
      </c>
      <c r="AL1462" s="18" t="inlineStr">
        <is>
          <t>COBBLEVERSE 1.7.42 / DP v31</t>
        </is>
      </c>
      <c r="AM1462" s="18" t="inlineStr">
        <is>
          <t>data/cobblemon/spawn_pool_world/0409_rampardos.json</t>
        </is>
      </c>
      <c r="AN1462" s="18" t="inlineStr">
        <is>
          <t>rampardos-1</t>
        </is>
      </c>
      <c r="AO1462" s="18" t="inlineStr">
        <is>
          <t>pokemon</t>
        </is>
      </c>
      <c r="AP1462" s="18" t="inlineStr">
        <is>
          <t>natural</t>
        </is>
      </c>
      <c r="AQ1462" s="18" t="inlineStr">
        <is>
          <t>{"biomes":["#cobblemon:is_lush"],"maxSkyLight":15,"minSkyLight":8}</t>
        </is>
      </c>
      <c r="AR1462" s="18" t="inlineStr"/>
      <c r="AS1462" s="18" t="inlineStr"/>
      <c r="AT1462" s="19" t="inlineStr"/>
    </row>
    <row r="1463" ht="32" customHeight="1">
      <c r="A1463" s="18" t="inlineStr">
        <is>
          <t>0410_shieldon.json::shieldon-1::001</t>
        </is>
      </c>
      <c r="B1463" s="19" t="inlineStr">
        <is>
          <t>사용</t>
        </is>
      </c>
      <c r="C1463" s="18">
        <f>IF(OR(B1463&lt;&gt;AK1463,M1463&lt;&gt;L1463,O1463&lt;&gt;"",Q1463&lt;&gt;"",V1463&lt;&gt;1,Y1463&lt;&gt;"",AT1463&lt;&gt;""),"수정","원본")</f>
        <v/>
      </c>
      <c r="D1463" s="18" t="n">
        <v>410</v>
      </c>
      <c r="E1463" s="18" t="inlineStr">
        <is>
          <t>방패톱스</t>
        </is>
      </c>
      <c r="F1463" s="18" t="inlineStr">
        <is>
          <t>shieldon</t>
        </is>
      </c>
      <c r="G1463" s="18" t="inlineStr">
        <is>
          <t>shieldon</t>
        </is>
      </c>
      <c r="H1463" s="18" t="inlineStr"/>
      <c r="I1463" s="18" t="n">
        <v>4</v>
      </c>
      <c r="J1463" s="18" t="n"/>
      <c r="K1463" s="18" t="n">
        <v>4</v>
      </c>
      <c r="L1463" s="18" t="inlineStr">
        <is>
          <t>cobbleventure:generation_4</t>
        </is>
      </c>
      <c r="M1463" s="19" t="inlineStr">
        <is>
          <t>cobbleventure:generation_4</t>
        </is>
      </c>
      <c r="N1463" s="18" t="inlineStr"/>
      <c r="O1463" s="19" t="inlineStr"/>
      <c r="P1463" s="18" t="inlineStr">
        <is>
          <t>#cobblemon:is_lush</t>
        </is>
      </c>
      <c r="Q1463" s="19" t="inlineStr"/>
      <c r="R1463" s="18">
        <f>IF(Q1463="",P1463,Q1463)</f>
        <v/>
      </c>
      <c r="S1463" s="18" t="inlineStr"/>
      <c r="T1463" s="18" t="inlineStr">
        <is>
          <t>ultra-rare</t>
        </is>
      </c>
      <c r="U1463" s="20" t="n">
        <v>6</v>
      </c>
      <c r="V1463" s="21" t="n">
        <v>1</v>
      </c>
      <c r="W1463" s="20">
        <f>IF(OR(U1463="",V1463=""),U1463,U1463*V1463)</f>
        <v/>
      </c>
      <c r="X1463" s="18" t="inlineStr">
        <is>
          <t>10-35</t>
        </is>
      </c>
      <c r="Y1463" s="19" t="inlineStr"/>
      <c r="Z1463" s="18">
        <f>IF(Y1463="",X1463,Y1463)</f>
        <v/>
      </c>
      <c r="AA1463" s="18" t="inlineStr">
        <is>
          <t>grounded</t>
        </is>
      </c>
      <c r="AB1463" s="18" t="inlineStr"/>
      <c r="AC1463" s="18" t="inlineStr"/>
      <c r="AD1463" s="18" t="inlineStr"/>
      <c r="AE1463" s="18" t="inlineStr">
        <is>
          <t>sky 8-15</t>
        </is>
      </c>
      <c r="AF1463" s="18" t="inlineStr"/>
      <c r="AG1463" s="18" t="inlineStr"/>
      <c r="AH1463" s="18" t="inlineStr"/>
      <c r="AI1463" s="18" t="inlineStr"/>
      <c r="AJ1463" s="18" t="inlineStr">
        <is>
          <t>Cobblemon 동일</t>
        </is>
      </c>
      <c r="AK1463" s="18" t="inlineStr">
        <is>
          <t>사용</t>
        </is>
      </c>
      <c r="AL1463" s="18" t="inlineStr">
        <is>
          <t>COBBLEVERSE 1.7.42 / DP v31</t>
        </is>
      </c>
      <c r="AM1463" s="18" t="inlineStr">
        <is>
          <t>data/cobblemon/spawn_pool_world/0410_shieldon.json</t>
        </is>
      </c>
      <c r="AN1463" s="18" t="inlineStr">
        <is>
          <t>shieldon-1</t>
        </is>
      </c>
      <c r="AO1463" s="18" t="inlineStr">
        <is>
          <t>pokemon</t>
        </is>
      </c>
      <c r="AP1463" s="18" t="inlineStr">
        <is>
          <t>natural</t>
        </is>
      </c>
      <c r="AQ1463" s="18" t="inlineStr">
        <is>
          <t>{"biomes":["#cobblemon:is_lush"],"maxSkyLight":15,"minSkyLight":8}</t>
        </is>
      </c>
      <c r="AR1463" s="18" t="inlineStr"/>
      <c r="AS1463" s="18" t="inlineStr"/>
      <c r="AT1463" s="19" t="inlineStr"/>
    </row>
    <row r="1464" ht="32" customHeight="1">
      <c r="A1464" s="18" t="inlineStr">
        <is>
          <t>0411_bastiodon.json::bastiodon-1::001</t>
        </is>
      </c>
      <c r="B1464" s="19" t="inlineStr">
        <is>
          <t>사용</t>
        </is>
      </c>
      <c r="C1464" s="18">
        <f>IF(OR(B1464&lt;&gt;AK1464,M1464&lt;&gt;L1464,O1464&lt;&gt;"",Q1464&lt;&gt;"",V1464&lt;&gt;1,Y1464&lt;&gt;"",AT1464&lt;&gt;""),"수정","원본")</f>
        <v/>
      </c>
      <c r="D1464" s="18" t="n">
        <v>411</v>
      </c>
      <c r="E1464" s="18" t="inlineStr">
        <is>
          <t>바리톱스</t>
        </is>
      </c>
      <c r="F1464" s="18" t="inlineStr">
        <is>
          <t>bastiodon</t>
        </is>
      </c>
      <c r="G1464" s="18" t="inlineStr">
        <is>
          <t>bastiodon</t>
        </is>
      </c>
      <c r="H1464" s="18" t="inlineStr"/>
      <c r="I1464" s="18" t="n">
        <v>4</v>
      </c>
      <c r="J1464" s="18" t="n"/>
      <c r="K1464" s="18" t="n">
        <v>4</v>
      </c>
      <c r="L1464" s="18" t="inlineStr">
        <is>
          <t>cobbleventure:generation_4</t>
        </is>
      </c>
      <c r="M1464" s="19" t="inlineStr">
        <is>
          <t>cobbleventure:generation_4</t>
        </is>
      </c>
      <c r="N1464" s="18" t="inlineStr"/>
      <c r="O1464" s="19" t="inlineStr"/>
      <c r="P1464" s="18" t="inlineStr">
        <is>
          <t>#cobblemon:is_lush</t>
        </is>
      </c>
      <c r="Q1464" s="19" t="inlineStr"/>
      <c r="R1464" s="18">
        <f>IF(Q1464="",P1464,Q1464)</f>
        <v/>
      </c>
      <c r="S1464" s="18" t="inlineStr"/>
      <c r="T1464" s="18" t="inlineStr">
        <is>
          <t>ultra-rare</t>
        </is>
      </c>
      <c r="U1464" s="20" t="n">
        <v>4</v>
      </c>
      <c r="V1464" s="21" t="n">
        <v>1</v>
      </c>
      <c r="W1464" s="20">
        <f>IF(OR(U1464="",V1464=""),U1464,U1464*V1464)</f>
        <v/>
      </c>
      <c r="X1464" s="18" t="inlineStr">
        <is>
          <t>30-50</t>
        </is>
      </c>
      <c r="Y1464" s="19" t="inlineStr"/>
      <c r="Z1464" s="18">
        <f>IF(Y1464="",X1464,Y1464)</f>
        <v/>
      </c>
      <c r="AA1464" s="18" t="inlineStr">
        <is>
          <t>grounded</t>
        </is>
      </c>
      <c r="AB1464" s="18" t="inlineStr"/>
      <c r="AC1464" s="18" t="inlineStr"/>
      <c r="AD1464" s="18" t="inlineStr"/>
      <c r="AE1464" s="18" t="inlineStr">
        <is>
          <t>sky 8-15</t>
        </is>
      </c>
      <c r="AF1464" s="18" t="inlineStr"/>
      <c r="AG1464" s="18" t="inlineStr"/>
      <c r="AH1464" s="18" t="inlineStr"/>
      <c r="AI1464" s="18" t="inlineStr"/>
      <c r="AJ1464" s="18" t="inlineStr">
        <is>
          <t>Cobblemon 동일</t>
        </is>
      </c>
      <c r="AK1464" s="18" t="inlineStr">
        <is>
          <t>사용</t>
        </is>
      </c>
      <c r="AL1464" s="18" t="inlineStr">
        <is>
          <t>COBBLEVERSE 1.7.42 / DP v31</t>
        </is>
      </c>
      <c r="AM1464" s="18" t="inlineStr">
        <is>
          <t>data/cobblemon/spawn_pool_world/0411_bastiodon.json</t>
        </is>
      </c>
      <c r="AN1464" s="18" t="inlineStr">
        <is>
          <t>bastiodon-1</t>
        </is>
      </c>
      <c r="AO1464" s="18" t="inlineStr">
        <is>
          <t>pokemon</t>
        </is>
      </c>
      <c r="AP1464" s="18" t="inlineStr">
        <is>
          <t>natural</t>
        </is>
      </c>
      <c r="AQ1464" s="18" t="inlineStr">
        <is>
          <t>{"biomes":["#cobblemon:is_lush"],"maxSkyLight":15,"minSkyLight":8}</t>
        </is>
      </c>
      <c r="AR1464" s="18" t="inlineStr"/>
      <c r="AS1464" s="18" t="inlineStr"/>
      <c r="AT1464" s="19" t="inlineStr"/>
    </row>
    <row r="1465" ht="32" customHeight="1">
      <c r="A1465" s="18" t="inlineStr">
        <is>
          <t>0412_burmy.json::burmy-1::001</t>
        </is>
      </c>
      <c r="B1465" s="19" t="inlineStr">
        <is>
          <t>사용</t>
        </is>
      </c>
      <c r="C1465" s="18">
        <f>IF(OR(B1465&lt;&gt;AK1465,M1465&lt;&gt;L1465,O1465&lt;&gt;"",Q1465&lt;&gt;"",V1465&lt;&gt;1,Y1465&lt;&gt;"",AT1465&lt;&gt;""),"수정","원본")</f>
        <v/>
      </c>
      <c r="D1465" s="18" t="n">
        <v>412</v>
      </c>
      <c r="E1465" s="18" t="inlineStr">
        <is>
          <t>도롱충이</t>
        </is>
      </c>
      <c r="F1465" s="18" t="inlineStr">
        <is>
          <t>burmy</t>
        </is>
      </c>
      <c r="G1465" s="18" t="inlineStr">
        <is>
          <t>burmy bagworm_cloak=plant</t>
        </is>
      </c>
      <c r="H1465" s="18" t="inlineStr">
        <is>
          <t>bagworm_cloak=plant</t>
        </is>
      </c>
      <c r="I1465" s="18" t="n">
        <v>4</v>
      </c>
      <c r="J1465" s="18" t="n"/>
      <c r="K1465" s="18" t="n">
        <v>4</v>
      </c>
      <c r="L1465" s="18" t="inlineStr">
        <is>
          <t>cobbleventure:generation_4</t>
        </is>
      </c>
      <c r="M1465" s="19" t="inlineStr">
        <is>
          <t>cobbleventure:generation_4</t>
        </is>
      </c>
      <c r="N1465" s="18" t="inlineStr">
        <is>
          <t>region_01</t>
        </is>
      </c>
      <c r="O1465" s="19" t="inlineStr"/>
      <c r="P1465" s="18" t="inlineStr">
        <is>
          <t>#cobblemon:is_plains</t>
        </is>
      </c>
      <c r="Q1465" s="19" t="inlineStr"/>
      <c r="R1465" s="18">
        <f>IF(Q1465="",P1465,Q1465)</f>
        <v/>
      </c>
      <c r="S1465" s="18" t="inlineStr"/>
      <c r="T1465" s="18" t="inlineStr">
        <is>
          <t>common</t>
        </is>
      </c>
      <c r="U1465" s="20" t="n">
        <v>1.5</v>
      </c>
      <c r="V1465" s="21" t="n">
        <v>1</v>
      </c>
      <c r="W1465" s="20">
        <f>IF(OR(U1465="",V1465=""),U1465,U1465*V1465)</f>
        <v/>
      </c>
      <c r="X1465" s="18" t="inlineStr">
        <is>
          <t>17-19</t>
        </is>
      </c>
      <c r="Y1465" s="19" t="inlineStr"/>
      <c r="Z1465" s="18">
        <f>IF(Y1465="",X1465,Y1465)</f>
        <v/>
      </c>
      <c r="AA1465" s="18" t="inlineStr">
        <is>
          <t>grounded</t>
        </is>
      </c>
      <c r="AB1465" s="18" t="inlineStr"/>
      <c r="AC1465" s="18" t="inlineStr"/>
      <c r="AD1465" s="18" t="inlineStr"/>
      <c r="AE1465" s="18" t="inlineStr"/>
      <c r="AF1465" s="18" t="inlineStr"/>
      <c r="AG1465" s="18" t="inlineStr"/>
      <c r="AH1465" s="18" t="inlineStr"/>
      <c r="AI1465" s="18" t="inlineStr"/>
      <c r="AJ1465" s="18" t="inlineStr">
        <is>
          <t>COBBLEVERSE 추가</t>
        </is>
      </c>
      <c r="AK1465" s="18" t="inlineStr">
        <is>
          <t>사용</t>
        </is>
      </c>
      <c r="AL1465" s="18" t="inlineStr">
        <is>
          <t>COBBLEVERSE 1.7.42 / DP v31</t>
        </is>
      </c>
      <c r="AM1465" s="18" t="inlineStr">
        <is>
          <t>data/cobblemon/spawn_pool_world/0412_burmy.json</t>
        </is>
      </c>
      <c r="AN1465" s="18" t="inlineStr">
        <is>
          <t>burmy-1</t>
        </is>
      </c>
      <c r="AO1465" s="18" t="inlineStr">
        <is>
          <t>pokemon</t>
        </is>
      </c>
      <c r="AP1465" s="18" t="inlineStr"/>
      <c r="AQ1465" s="18" t="inlineStr">
        <is>
          <t>{"biomes":["#cobblemon:is_plains"]}</t>
        </is>
      </c>
      <c r="AR1465" s="18" t="inlineStr"/>
      <c r="AS1465" s="18" t="inlineStr"/>
      <c r="AT1465" s="19" t="inlineStr"/>
    </row>
    <row r="1466" ht="32" customHeight="1">
      <c r="A1466" s="18" t="inlineStr">
        <is>
          <t>0412_burmy.json::burmy-2::002</t>
        </is>
      </c>
      <c r="B1466" s="19" t="inlineStr">
        <is>
          <t>사용</t>
        </is>
      </c>
      <c r="C1466" s="18">
        <f>IF(OR(B1466&lt;&gt;AK1466,M1466&lt;&gt;L1466,O1466&lt;&gt;"",Q1466&lt;&gt;"",V1466&lt;&gt;1,Y1466&lt;&gt;"",AT1466&lt;&gt;""),"수정","원본")</f>
        <v/>
      </c>
      <c r="D1466" s="18" t="n">
        <v>412</v>
      </c>
      <c r="E1466" s="18" t="inlineStr">
        <is>
          <t>도롱충이</t>
        </is>
      </c>
      <c r="F1466" s="18" t="inlineStr">
        <is>
          <t>burmy</t>
        </is>
      </c>
      <c r="G1466" s="18" t="inlineStr">
        <is>
          <t>burmy bagworm_cloak=plant</t>
        </is>
      </c>
      <c r="H1466" s="18" t="inlineStr">
        <is>
          <t>bagworm_cloak=plant</t>
        </is>
      </c>
      <c r="I1466" s="18" t="n">
        <v>4</v>
      </c>
      <c r="J1466" s="18" t="n"/>
      <c r="K1466" s="18" t="n">
        <v>4</v>
      </c>
      <c r="L1466" s="18" t="inlineStr">
        <is>
          <t>cobbleventure:generation_4</t>
        </is>
      </c>
      <c r="M1466" s="19" t="inlineStr">
        <is>
          <t>cobbleventure:generation_4</t>
        </is>
      </c>
      <c r="N1466" s="18" t="inlineStr">
        <is>
          <t>region_01</t>
        </is>
      </c>
      <c r="O1466" s="19" t="inlineStr"/>
      <c r="P1466" s="18" t="inlineStr">
        <is>
          <t>#cobblemon:is_forest</t>
        </is>
      </c>
      <c r="Q1466" s="19" t="inlineStr"/>
      <c r="R1466" s="18">
        <f>IF(Q1466="",P1466,Q1466)</f>
        <v/>
      </c>
      <c r="S1466" s="18" t="inlineStr"/>
      <c r="T1466" s="18" t="inlineStr">
        <is>
          <t>common</t>
        </is>
      </c>
      <c r="U1466" s="20" t="n">
        <v>4.2</v>
      </c>
      <c r="V1466" s="21" t="n">
        <v>1</v>
      </c>
      <c r="W1466" s="20">
        <f>IF(OR(U1466="",V1466=""),U1466,U1466*V1466)</f>
        <v/>
      </c>
      <c r="X1466" s="18" t="inlineStr">
        <is>
          <t>5-19</t>
        </is>
      </c>
      <c r="Y1466" s="19" t="inlineStr"/>
      <c r="Z1466" s="18">
        <f>IF(Y1466="",X1466,Y1466)</f>
        <v/>
      </c>
      <c r="AA1466" s="18" t="inlineStr">
        <is>
          <t>grounded</t>
        </is>
      </c>
      <c r="AB1466" s="18" t="inlineStr"/>
      <c r="AC1466" s="18" t="inlineStr"/>
      <c r="AD1466" s="18" t="inlineStr"/>
      <c r="AE1466" s="18" t="inlineStr"/>
      <c r="AF1466" s="18" t="inlineStr"/>
      <c r="AG1466" s="18" t="inlineStr"/>
      <c r="AH1466" s="18" t="inlineStr"/>
      <c r="AI1466" s="18" t="inlineStr"/>
      <c r="AJ1466" s="18" t="inlineStr">
        <is>
          <t>COBBLEVERSE 추가</t>
        </is>
      </c>
      <c r="AK1466" s="18" t="inlineStr">
        <is>
          <t>사용</t>
        </is>
      </c>
      <c r="AL1466" s="18" t="inlineStr">
        <is>
          <t>COBBLEVERSE 1.7.42 / DP v31</t>
        </is>
      </c>
      <c r="AM1466" s="18" t="inlineStr">
        <is>
          <t>data/cobblemon/spawn_pool_world/0412_burmy.json</t>
        </is>
      </c>
      <c r="AN1466" s="18" t="inlineStr">
        <is>
          <t>burmy-2</t>
        </is>
      </c>
      <c r="AO1466" s="18" t="inlineStr">
        <is>
          <t>pokemon</t>
        </is>
      </c>
      <c r="AP1466" s="18" t="inlineStr"/>
      <c r="AQ1466" s="18" t="inlineStr">
        <is>
          <t>{"biomes":["#cobblemon:is_forest"]}</t>
        </is>
      </c>
      <c r="AR1466" s="18" t="inlineStr"/>
      <c r="AS1466" s="18" t="inlineStr"/>
      <c r="AT1466" s="19" t="inlineStr"/>
    </row>
    <row r="1467" ht="32" customHeight="1">
      <c r="A1467" s="18" t="inlineStr">
        <is>
          <t>0412_burmy_sandy.json::burmy-1::001</t>
        </is>
      </c>
      <c r="B1467" s="19" t="inlineStr">
        <is>
          <t>사용</t>
        </is>
      </c>
      <c r="C1467" s="18">
        <f>IF(OR(B1467&lt;&gt;AK1467,M1467&lt;&gt;L1467,O1467&lt;&gt;"",Q1467&lt;&gt;"",V1467&lt;&gt;1,Y1467&lt;&gt;"",AT1467&lt;&gt;""),"수정","원본")</f>
        <v/>
      </c>
      <c r="D1467" s="18" t="n">
        <v>412</v>
      </c>
      <c r="E1467" s="18" t="inlineStr">
        <is>
          <t>도롱충이</t>
        </is>
      </c>
      <c r="F1467" s="18" t="inlineStr">
        <is>
          <t>burmy</t>
        </is>
      </c>
      <c r="G1467" s="18" t="inlineStr">
        <is>
          <t>burmy bagworm_cloak=sandy</t>
        </is>
      </c>
      <c r="H1467" s="18" t="inlineStr">
        <is>
          <t>bagworm_cloak=sandy</t>
        </is>
      </c>
      <c r="I1467" s="18" t="n">
        <v>4</v>
      </c>
      <c r="J1467" s="18" t="n"/>
      <c r="K1467" s="18" t="n">
        <v>4</v>
      </c>
      <c r="L1467" s="18" t="inlineStr">
        <is>
          <t>cobbleventure:generation_4</t>
        </is>
      </c>
      <c r="M1467" s="19" t="inlineStr">
        <is>
          <t>cobbleventure:generation_4</t>
        </is>
      </c>
      <c r="N1467" s="18" t="inlineStr">
        <is>
          <t>region_02</t>
        </is>
      </c>
      <c r="O1467" s="19" t="inlineStr"/>
      <c r="P1467" s="18" t="inlineStr">
        <is>
          <t>#cobblemon:is_sandy</t>
        </is>
      </c>
      <c r="Q1467" s="19" t="inlineStr"/>
      <c r="R1467" s="18">
        <f>IF(Q1467="",P1467,Q1467)</f>
        <v/>
      </c>
      <c r="S1467" s="18" t="inlineStr"/>
      <c r="T1467" s="18" t="inlineStr">
        <is>
          <t>common</t>
        </is>
      </c>
      <c r="U1467" s="20" t="n">
        <v>3</v>
      </c>
      <c r="V1467" s="21" t="n">
        <v>1</v>
      </c>
      <c r="W1467" s="20">
        <f>IF(OR(U1467="",V1467=""),U1467,U1467*V1467)</f>
        <v/>
      </c>
      <c r="X1467" s="18" t="inlineStr">
        <is>
          <t>17-19</t>
        </is>
      </c>
      <c r="Y1467" s="19" t="inlineStr"/>
      <c r="Z1467" s="18">
        <f>IF(Y1467="",X1467,Y1467)</f>
        <v/>
      </c>
      <c r="AA1467" s="18" t="inlineStr">
        <is>
          <t>grounded</t>
        </is>
      </c>
      <c r="AB1467" s="18" t="inlineStr"/>
      <c r="AC1467" s="18" t="inlineStr"/>
      <c r="AD1467" s="18" t="inlineStr"/>
      <c r="AE1467" s="18" t="inlineStr"/>
      <c r="AF1467" s="18" t="inlineStr"/>
      <c r="AG1467" s="18" t="inlineStr"/>
      <c r="AH1467" s="18" t="inlineStr"/>
      <c r="AI1467" s="18" t="inlineStr"/>
      <c r="AJ1467" s="18" t="inlineStr">
        <is>
          <t>COBBLEVERSE 추가</t>
        </is>
      </c>
      <c r="AK1467" s="18" t="inlineStr">
        <is>
          <t>사용</t>
        </is>
      </c>
      <c r="AL1467" s="18" t="inlineStr">
        <is>
          <t>COBBLEVERSE 1.7.42 / DP v31</t>
        </is>
      </c>
      <c r="AM1467" s="18" t="inlineStr">
        <is>
          <t>data/cobblemon/spawn_pool_world/0412_burmy_sandy.json</t>
        </is>
      </c>
      <c r="AN1467" s="18" t="inlineStr">
        <is>
          <t>burmy-1</t>
        </is>
      </c>
      <c r="AO1467" s="18" t="inlineStr">
        <is>
          <t>pokemon</t>
        </is>
      </c>
      <c r="AP1467" s="18" t="inlineStr"/>
      <c r="AQ1467" s="18" t="inlineStr">
        <is>
          <t>{"biomes":["#cobblemon:is_sandy"]}</t>
        </is>
      </c>
      <c r="AR1467" s="18" t="inlineStr"/>
      <c r="AS1467" s="18" t="inlineStr"/>
      <c r="AT1467" s="19" t="inlineStr"/>
    </row>
    <row r="1468" ht="32" customHeight="1">
      <c r="A1468" s="18" t="inlineStr">
        <is>
          <t>0412_burmy_sandy.json::burmy-2::002</t>
        </is>
      </c>
      <c r="B1468" s="19" t="inlineStr">
        <is>
          <t>사용</t>
        </is>
      </c>
      <c r="C1468" s="18">
        <f>IF(OR(B1468&lt;&gt;AK1468,M1468&lt;&gt;L1468,O1468&lt;&gt;"",Q1468&lt;&gt;"",V1468&lt;&gt;1,Y1468&lt;&gt;"",AT1468&lt;&gt;""),"수정","원본")</f>
        <v/>
      </c>
      <c r="D1468" s="18" t="n">
        <v>412</v>
      </c>
      <c r="E1468" s="18" t="inlineStr">
        <is>
          <t>도롱충이</t>
        </is>
      </c>
      <c r="F1468" s="18" t="inlineStr">
        <is>
          <t>burmy</t>
        </is>
      </c>
      <c r="G1468" s="18" t="inlineStr">
        <is>
          <t>burmy bagworm_cloak=sandy</t>
        </is>
      </c>
      <c r="H1468" s="18" t="inlineStr">
        <is>
          <t>bagworm_cloak=sandy</t>
        </is>
      </c>
      <c r="I1468" s="18" t="n">
        <v>4</v>
      </c>
      <c r="J1468" s="18" t="n"/>
      <c r="K1468" s="18" t="n">
        <v>4</v>
      </c>
      <c r="L1468" s="18" t="inlineStr">
        <is>
          <t>cobbleventure:generation_4</t>
        </is>
      </c>
      <c r="M1468" s="19" t="inlineStr">
        <is>
          <t>cobbleventure:generation_4</t>
        </is>
      </c>
      <c r="N1468" s="18" t="inlineStr">
        <is>
          <t>region_02</t>
        </is>
      </c>
      <c r="O1468" s="19" t="inlineStr"/>
      <c r="P1468" s="18" t="inlineStr">
        <is>
          <t>#cobblemon:is_desert</t>
        </is>
      </c>
      <c r="Q1468" s="19" t="inlineStr"/>
      <c r="R1468" s="18">
        <f>IF(Q1468="",P1468,Q1468)</f>
        <v/>
      </c>
      <c r="S1468" s="18" t="inlineStr"/>
      <c r="T1468" s="18" t="inlineStr">
        <is>
          <t>common</t>
        </is>
      </c>
      <c r="U1468" s="20" t="n">
        <v>2.4</v>
      </c>
      <c r="V1468" s="21" t="n">
        <v>1</v>
      </c>
      <c r="W1468" s="20">
        <f>IF(OR(U1468="",V1468=""),U1468,U1468*V1468)</f>
        <v/>
      </c>
      <c r="X1468" s="18" t="inlineStr">
        <is>
          <t>5-19</t>
        </is>
      </c>
      <c r="Y1468" s="19" t="inlineStr"/>
      <c r="Z1468" s="18">
        <f>IF(Y1468="",X1468,Y1468)</f>
        <v/>
      </c>
      <c r="AA1468" s="18" t="inlineStr">
        <is>
          <t>grounded</t>
        </is>
      </c>
      <c r="AB1468" s="18" t="inlineStr"/>
      <c r="AC1468" s="18" t="inlineStr"/>
      <c r="AD1468" s="18" t="inlineStr"/>
      <c r="AE1468" s="18" t="inlineStr"/>
      <c r="AF1468" s="18" t="inlineStr"/>
      <c r="AG1468" s="18" t="inlineStr"/>
      <c r="AH1468" s="18" t="inlineStr"/>
      <c r="AI1468" s="18" t="inlineStr"/>
      <c r="AJ1468" s="18" t="inlineStr">
        <is>
          <t>COBBLEVERSE 추가</t>
        </is>
      </c>
      <c r="AK1468" s="18" t="inlineStr">
        <is>
          <t>사용</t>
        </is>
      </c>
      <c r="AL1468" s="18" t="inlineStr">
        <is>
          <t>COBBLEVERSE 1.7.42 / DP v31</t>
        </is>
      </c>
      <c r="AM1468" s="18" t="inlineStr">
        <is>
          <t>data/cobblemon/spawn_pool_world/0412_burmy_sandy.json</t>
        </is>
      </c>
      <c r="AN1468" s="18" t="inlineStr">
        <is>
          <t>burmy-2</t>
        </is>
      </c>
      <c r="AO1468" s="18" t="inlineStr">
        <is>
          <t>pokemon</t>
        </is>
      </c>
      <c r="AP1468" s="18" t="inlineStr"/>
      <c r="AQ1468" s="18" t="inlineStr">
        <is>
          <t>{"biomes":["#cobblemon:is_desert"]}</t>
        </is>
      </c>
      <c r="AR1468" s="18" t="inlineStr"/>
      <c r="AS1468" s="18" t="inlineStr"/>
      <c r="AT1468" s="19" t="inlineStr"/>
    </row>
    <row r="1469" ht="32" customHeight="1">
      <c r="A1469" s="18" t="inlineStr">
        <is>
          <t>0412_burmy_trash.json::burmy-1::001</t>
        </is>
      </c>
      <c r="B1469" s="19" t="inlineStr">
        <is>
          <t>사용</t>
        </is>
      </c>
      <c r="C1469" s="18">
        <f>IF(OR(B1469&lt;&gt;AK1469,M1469&lt;&gt;L1469,O1469&lt;&gt;"",Q1469&lt;&gt;"",V1469&lt;&gt;1,Y1469&lt;&gt;"",AT1469&lt;&gt;""),"수정","원본")</f>
        <v/>
      </c>
      <c r="D1469" s="18" t="n">
        <v>412</v>
      </c>
      <c r="E1469" s="18" t="inlineStr">
        <is>
          <t>도롱충이</t>
        </is>
      </c>
      <c r="F1469" s="18" t="inlineStr">
        <is>
          <t>burmy</t>
        </is>
      </c>
      <c r="G1469" s="18" t="inlineStr">
        <is>
          <t>burmy bagworm_cloak=trash</t>
        </is>
      </c>
      <c r="H1469" s="18" t="inlineStr">
        <is>
          <t>bagworm_cloak=trash</t>
        </is>
      </c>
      <c r="I1469" s="18" t="n">
        <v>4</v>
      </c>
      <c r="J1469" s="18" t="n"/>
      <c r="K1469" s="18" t="n">
        <v>4</v>
      </c>
      <c r="L1469" s="18" t="inlineStr">
        <is>
          <t>cobbleventure:generation_4</t>
        </is>
      </c>
      <c r="M1469" s="19" t="inlineStr">
        <is>
          <t>cobbleventure:generation_4</t>
        </is>
      </c>
      <c r="N1469" s="18" t="inlineStr"/>
      <c r="O1469" s="19" t="inlineStr"/>
      <c r="P1469" s="18" t="inlineStr">
        <is>
          <t>#cobblemon:is_floral</t>
        </is>
      </c>
      <c r="Q1469" s="19" t="inlineStr"/>
      <c r="R1469" s="18">
        <f>IF(Q1469="",P1469,Q1469)</f>
        <v/>
      </c>
      <c r="S1469" s="18" t="inlineStr"/>
      <c r="T1469" s="18" t="inlineStr">
        <is>
          <t>common</t>
        </is>
      </c>
      <c r="U1469" s="20" t="n">
        <v>2.2</v>
      </c>
      <c r="V1469" s="21" t="n">
        <v>1</v>
      </c>
      <c r="W1469" s="20">
        <f>IF(OR(U1469="",V1469=""),U1469,U1469*V1469)</f>
        <v/>
      </c>
      <c r="X1469" s="18" t="inlineStr">
        <is>
          <t>7-19</t>
        </is>
      </c>
      <c r="Y1469" s="19" t="inlineStr"/>
      <c r="Z1469" s="18">
        <f>IF(Y1469="",X1469,Y1469)</f>
        <v/>
      </c>
      <c r="AA1469" s="18" t="inlineStr">
        <is>
          <t>grounded</t>
        </is>
      </c>
      <c r="AB1469" s="18" t="inlineStr"/>
      <c r="AC1469" s="18" t="inlineStr"/>
      <c r="AD1469" s="18" t="inlineStr"/>
      <c r="AE1469" s="18" t="inlineStr"/>
      <c r="AF1469" s="18" t="inlineStr"/>
      <c r="AG1469" s="18" t="inlineStr"/>
      <c r="AH1469" s="18" t="inlineStr"/>
      <c r="AI1469" s="18" t="inlineStr"/>
      <c r="AJ1469" s="18" t="inlineStr">
        <is>
          <t>COBBLEVERSE 추가</t>
        </is>
      </c>
      <c r="AK1469" s="18" t="inlineStr">
        <is>
          <t>사용</t>
        </is>
      </c>
      <c r="AL1469" s="18" t="inlineStr">
        <is>
          <t>COBBLEVERSE 1.7.42 / DP v31</t>
        </is>
      </c>
      <c r="AM1469" s="18" t="inlineStr">
        <is>
          <t>data/cobblemon/spawn_pool_world/0412_burmy_trash.json</t>
        </is>
      </c>
      <c r="AN1469" s="18" t="inlineStr">
        <is>
          <t>burmy-1</t>
        </is>
      </c>
      <c r="AO1469" s="18" t="inlineStr">
        <is>
          <t>pokemon</t>
        </is>
      </c>
      <c r="AP1469" s="18" t="inlineStr"/>
      <c r="AQ1469" s="18" t="inlineStr">
        <is>
          <t>{"biomes":["#cobblemon:is_floral"]}</t>
        </is>
      </c>
      <c r="AR1469" s="18" t="inlineStr"/>
      <c r="AS1469" s="18" t="inlineStr"/>
      <c r="AT1469" s="19" t="inlineStr"/>
    </row>
    <row r="1470" ht="32" customHeight="1">
      <c r="A1470" s="18" t="inlineStr">
        <is>
          <t>0412_burmy_trash.json::burmy-2::002</t>
        </is>
      </c>
      <c r="B1470" s="19" t="inlineStr">
        <is>
          <t>사용</t>
        </is>
      </c>
      <c r="C1470" s="18">
        <f>IF(OR(B1470&lt;&gt;AK1470,M1470&lt;&gt;L1470,O1470&lt;&gt;"",Q1470&lt;&gt;"",V1470&lt;&gt;1,Y1470&lt;&gt;"",AT1470&lt;&gt;""),"수정","원본")</f>
        <v/>
      </c>
      <c r="D1470" s="18" t="n">
        <v>412</v>
      </c>
      <c r="E1470" s="18" t="inlineStr">
        <is>
          <t>도롱충이</t>
        </is>
      </c>
      <c r="F1470" s="18" t="inlineStr">
        <is>
          <t>burmy</t>
        </is>
      </c>
      <c r="G1470" s="18" t="inlineStr">
        <is>
          <t>burmy bagworm_cloak=trash</t>
        </is>
      </c>
      <c r="H1470" s="18" t="inlineStr">
        <is>
          <t>bagworm_cloak=trash</t>
        </is>
      </c>
      <c r="I1470" s="18" t="n">
        <v>4</v>
      </c>
      <c r="J1470" s="18" t="n"/>
      <c r="K1470" s="18" t="n">
        <v>4</v>
      </c>
      <c r="L1470" s="18" t="inlineStr">
        <is>
          <t>cobbleventure:generation_4</t>
        </is>
      </c>
      <c r="M1470" s="19" t="inlineStr">
        <is>
          <t>cobbleventure:generation_4</t>
        </is>
      </c>
      <c r="N1470" s="18" t="inlineStr">
        <is>
          <t>region_01</t>
        </is>
      </c>
      <c r="O1470" s="19" t="inlineStr"/>
      <c r="P1470" s="18" t="inlineStr">
        <is>
          <t>#cobblemon:is_forest</t>
        </is>
      </c>
      <c r="Q1470" s="19" t="inlineStr"/>
      <c r="R1470" s="18">
        <f>IF(Q1470="",P1470,Q1470)</f>
        <v/>
      </c>
      <c r="S1470" s="18" t="inlineStr"/>
      <c r="T1470" s="18" t="inlineStr">
        <is>
          <t>uncommon</t>
        </is>
      </c>
      <c r="U1470" s="20" t="n">
        <v>1.8</v>
      </c>
      <c r="V1470" s="21" t="n">
        <v>1</v>
      </c>
      <c r="W1470" s="20">
        <f>IF(OR(U1470="",V1470=""),U1470,U1470*V1470)</f>
        <v/>
      </c>
      <c r="X1470" s="18" t="inlineStr">
        <is>
          <t>5-19</t>
        </is>
      </c>
      <c r="Y1470" s="19" t="inlineStr"/>
      <c r="Z1470" s="18">
        <f>IF(Y1470="",X1470,Y1470)</f>
        <v/>
      </c>
      <c r="AA1470" s="18" t="inlineStr">
        <is>
          <t>grounded</t>
        </is>
      </c>
      <c r="AB1470" s="18" t="inlineStr"/>
      <c r="AC1470" s="18" t="inlineStr"/>
      <c r="AD1470" s="18" t="inlineStr"/>
      <c r="AE1470" s="18" t="inlineStr"/>
      <c r="AF1470" s="18" t="inlineStr"/>
      <c r="AG1470" s="18" t="inlineStr"/>
      <c r="AH1470" s="18" t="inlineStr"/>
      <c r="AI1470" s="18" t="inlineStr"/>
      <c r="AJ1470" s="18" t="inlineStr">
        <is>
          <t>COBBLEVERSE 추가</t>
        </is>
      </c>
      <c r="AK1470" s="18" t="inlineStr">
        <is>
          <t>사용</t>
        </is>
      </c>
      <c r="AL1470" s="18" t="inlineStr">
        <is>
          <t>COBBLEVERSE 1.7.42 / DP v31</t>
        </is>
      </c>
      <c r="AM1470" s="18" t="inlineStr">
        <is>
          <t>data/cobblemon/spawn_pool_world/0412_burmy_trash.json</t>
        </is>
      </c>
      <c r="AN1470" s="18" t="inlineStr">
        <is>
          <t>burmy-2</t>
        </is>
      </c>
      <c r="AO1470" s="18" t="inlineStr">
        <is>
          <t>pokemon</t>
        </is>
      </c>
      <c r="AP1470" s="18" t="inlineStr"/>
      <c r="AQ1470" s="18" t="inlineStr">
        <is>
          <t>{"biomes":["#cobblemon:is_forest"]}</t>
        </is>
      </c>
      <c r="AR1470" s="18" t="inlineStr"/>
      <c r="AS1470" s="18" t="inlineStr"/>
      <c r="AT1470" s="19" t="inlineStr"/>
    </row>
    <row r="1471" ht="32" customHeight="1">
      <c r="A1471" s="18" t="inlineStr">
        <is>
          <t>0413_wormadam.json::wormadam-1::001</t>
        </is>
      </c>
      <c r="B1471" s="19" t="inlineStr">
        <is>
          <t>사용</t>
        </is>
      </c>
      <c r="C1471" s="18">
        <f>IF(OR(B1471&lt;&gt;AK1471,M1471&lt;&gt;L1471,O1471&lt;&gt;"",Q1471&lt;&gt;"",V1471&lt;&gt;1,Y1471&lt;&gt;"",AT1471&lt;&gt;""),"수정","원본")</f>
        <v/>
      </c>
      <c r="D1471" s="18" t="n">
        <v>413</v>
      </c>
      <c r="E1471" s="18" t="inlineStr">
        <is>
          <t>도롱마담</t>
        </is>
      </c>
      <c r="F1471" s="18" t="inlineStr">
        <is>
          <t>wormadam</t>
        </is>
      </c>
      <c r="G1471" s="18" t="inlineStr">
        <is>
          <t>wormadam bagworm_cloak=plant</t>
        </is>
      </c>
      <c r="H1471" s="18" t="inlineStr">
        <is>
          <t>bagworm_cloak=plant</t>
        </is>
      </c>
      <c r="I1471" s="18" t="n">
        <v>4</v>
      </c>
      <c r="J1471" s="18" t="n"/>
      <c r="K1471" s="18" t="n">
        <v>4</v>
      </c>
      <c r="L1471" s="18" t="inlineStr">
        <is>
          <t>cobbleventure:generation_4</t>
        </is>
      </c>
      <c r="M1471" s="19" t="inlineStr">
        <is>
          <t>cobbleventure:generation_4</t>
        </is>
      </c>
      <c r="N1471" s="18" t="inlineStr">
        <is>
          <t>region_01</t>
        </is>
      </c>
      <c r="O1471" s="19" t="inlineStr"/>
      <c r="P1471" s="18" t="inlineStr">
        <is>
          <t>#cobblemon:is_forest</t>
        </is>
      </c>
      <c r="Q1471" s="19" t="inlineStr"/>
      <c r="R1471" s="18">
        <f>IF(Q1471="",P1471,Q1471)</f>
        <v/>
      </c>
      <c r="S1471" s="18" t="inlineStr"/>
      <c r="T1471" s="18" t="inlineStr">
        <is>
          <t>uncommon</t>
        </is>
      </c>
      <c r="U1471" s="20" t="n">
        <v>5.1</v>
      </c>
      <c r="V1471" s="21" t="n">
        <v>1</v>
      </c>
      <c r="W1471" s="20">
        <f>IF(OR(U1471="",V1471=""),U1471,U1471*V1471)</f>
        <v/>
      </c>
      <c r="X1471" s="18" t="inlineStr">
        <is>
          <t>15-32</t>
        </is>
      </c>
      <c r="Y1471" s="19" t="inlineStr"/>
      <c r="Z1471" s="18">
        <f>IF(Y1471="",X1471,Y1471)</f>
        <v/>
      </c>
      <c r="AA1471" s="18" t="inlineStr">
        <is>
          <t>grounded</t>
        </is>
      </c>
      <c r="AB1471" s="18" t="inlineStr"/>
      <c r="AC1471" s="18" t="inlineStr"/>
      <c r="AD1471" s="18" t="inlineStr"/>
      <c r="AE1471" s="18" t="inlineStr"/>
      <c r="AF1471" s="18" t="inlineStr"/>
      <c r="AG1471" s="18" t="inlineStr"/>
      <c r="AH1471" s="18" t="inlineStr"/>
      <c r="AI1471" s="18" t="inlineStr"/>
      <c r="AJ1471" s="18" t="inlineStr">
        <is>
          <t>COBBLEVERSE 추가</t>
        </is>
      </c>
      <c r="AK1471" s="18" t="inlineStr">
        <is>
          <t>사용</t>
        </is>
      </c>
      <c r="AL1471" s="18" t="inlineStr">
        <is>
          <t>COBBLEVERSE 1.7.42 / DP v31</t>
        </is>
      </c>
      <c r="AM1471" s="18" t="inlineStr">
        <is>
          <t>data/cobblemon/spawn_pool_world/0413_wormadam.json</t>
        </is>
      </c>
      <c r="AN1471" s="18" t="inlineStr">
        <is>
          <t>wormadam-1</t>
        </is>
      </c>
      <c r="AO1471" s="18" t="inlineStr">
        <is>
          <t>pokemon</t>
        </is>
      </c>
      <c r="AP1471" s="18" t="inlineStr"/>
      <c r="AQ1471" s="18" t="inlineStr">
        <is>
          <t>{"biomes":["#cobblemon:is_forest"]}</t>
        </is>
      </c>
      <c r="AR1471" s="18" t="inlineStr"/>
      <c r="AS1471" s="18" t="inlineStr"/>
      <c r="AT1471" s="19" t="inlineStr"/>
    </row>
    <row r="1472" ht="32" customHeight="1">
      <c r="A1472" s="18" t="inlineStr">
        <is>
          <t>0413_wormadam_sandy.json::wormadam-1::001</t>
        </is>
      </c>
      <c r="B1472" s="19" t="inlineStr">
        <is>
          <t>사용</t>
        </is>
      </c>
      <c r="C1472" s="18">
        <f>IF(OR(B1472&lt;&gt;AK1472,M1472&lt;&gt;L1472,O1472&lt;&gt;"",Q1472&lt;&gt;"",V1472&lt;&gt;1,Y1472&lt;&gt;"",AT1472&lt;&gt;""),"수정","원본")</f>
        <v/>
      </c>
      <c r="D1472" s="18" t="n">
        <v>413</v>
      </c>
      <c r="E1472" s="18" t="inlineStr">
        <is>
          <t>도롱마담</t>
        </is>
      </c>
      <c r="F1472" s="18" t="inlineStr">
        <is>
          <t>wormadam</t>
        </is>
      </c>
      <c r="G1472" s="18" t="inlineStr">
        <is>
          <t>wormadam bagworm_cloak=sandy</t>
        </is>
      </c>
      <c r="H1472" s="18" t="inlineStr">
        <is>
          <t>bagworm_cloak=sandy</t>
        </is>
      </c>
      <c r="I1472" s="18" t="n">
        <v>4</v>
      </c>
      <c r="J1472" s="18" t="n"/>
      <c r="K1472" s="18" t="n">
        <v>4</v>
      </c>
      <c r="L1472" s="18" t="inlineStr">
        <is>
          <t>cobbleventure:generation_4</t>
        </is>
      </c>
      <c r="M1472" s="19" t="inlineStr">
        <is>
          <t>cobbleventure:generation_4</t>
        </is>
      </c>
      <c r="N1472" s="18" t="inlineStr">
        <is>
          <t>region_02</t>
        </is>
      </c>
      <c r="O1472" s="19" t="inlineStr"/>
      <c r="P1472" s="18" t="inlineStr">
        <is>
          <t>#cobblemon:is_sandy</t>
        </is>
      </c>
      <c r="Q1472" s="19" t="inlineStr"/>
      <c r="R1472" s="18">
        <f>IF(Q1472="",P1472,Q1472)</f>
        <v/>
      </c>
      <c r="S1472" s="18" t="inlineStr"/>
      <c r="T1472" s="18" t="inlineStr">
        <is>
          <t>uncommon</t>
        </is>
      </c>
      <c r="U1472" s="20" t="n">
        <v>5.3</v>
      </c>
      <c r="V1472" s="21" t="n">
        <v>1</v>
      </c>
      <c r="W1472" s="20">
        <f>IF(OR(U1472="",V1472=""),U1472,U1472*V1472)</f>
        <v/>
      </c>
      <c r="X1472" s="18" t="inlineStr">
        <is>
          <t>35-55</t>
        </is>
      </c>
      <c r="Y1472" s="19" t="inlineStr"/>
      <c r="Z1472" s="18">
        <f>IF(Y1472="",X1472,Y1472)</f>
        <v/>
      </c>
      <c r="AA1472" s="18" t="inlineStr">
        <is>
          <t>grounded</t>
        </is>
      </c>
      <c r="AB1472" s="18" t="inlineStr"/>
      <c r="AC1472" s="18" t="inlineStr"/>
      <c r="AD1472" s="18" t="inlineStr"/>
      <c r="AE1472" s="18" t="inlineStr"/>
      <c r="AF1472" s="18" t="inlineStr"/>
      <c r="AG1472" s="18" t="inlineStr"/>
      <c r="AH1472" s="18" t="inlineStr"/>
      <c r="AI1472" s="18" t="inlineStr"/>
      <c r="AJ1472" s="18" t="inlineStr">
        <is>
          <t>COBBLEVERSE 추가</t>
        </is>
      </c>
      <c r="AK1472" s="18" t="inlineStr">
        <is>
          <t>사용</t>
        </is>
      </c>
      <c r="AL1472" s="18" t="inlineStr">
        <is>
          <t>COBBLEVERSE 1.7.42 / DP v31</t>
        </is>
      </c>
      <c r="AM1472" s="18" t="inlineStr">
        <is>
          <t>data/cobblemon/spawn_pool_world/0413_wormadam_sandy.json</t>
        </is>
      </c>
      <c r="AN1472" s="18" t="inlineStr">
        <is>
          <t>wormadam-1</t>
        </is>
      </c>
      <c r="AO1472" s="18" t="inlineStr">
        <is>
          <t>pokemon</t>
        </is>
      </c>
      <c r="AP1472" s="18" t="inlineStr"/>
      <c r="AQ1472" s="18" t="inlineStr">
        <is>
          <t>{"biomes":["#cobblemon:is_sandy"]}</t>
        </is>
      </c>
      <c r="AR1472" s="18" t="inlineStr"/>
      <c r="AS1472" s="18" t="inlineStr"/>
      <c r="AT1472" s="19" t="inlineStr"/>
    </row>
    <row r="1473" ht="32" customHeight="1">
      <c r="A1473" s="18" t="inlineStr">
        <is>
          <t>0413_wormadam_sandy.json::wormadam-2::002</t>
        </is>
      </c>
      <c r="B1473" s="19" t="inlineStr">
        <is>
          <t>사용</t>
        </is>
      </c>
      <c r="C1473" s="18">
        <f>IF(OR(B1473&lt;&gt;AK1473,M1473&lt;&gt;L1473,O1473&lt;&gt;"",Q1473&lt;&gt;"",V1473&lt;&gt;1,Y1473&lt;&gt;"",AT1473&lt;&gt;""),"수정","원본")</f>
        <v/>
      </c>
      <c r="D1473" s="18" t="n">
        <v>413</v>
      </c>
      <c r="E1473" s="18" t="inlineStr">
        <is>
          <t>도롱마담</t>
        </is>
      </c>
      <c r="F1473" s="18" t="inlineStr">
        <is>
          <t>wormadam</t>
        </is>
      </c>
      <c r="G1473" s="18" t="inlineStr">
        <is>
          <t>wormadam bagworm_cloak=sandy</t>
        </is>
      </c>
      <c r="H1473" s="18" t="inlineStr">
        <is>
          <t>bagworm_cloak=sandy</t>
        </is>
      </c>
      <c r="I1473" s="18" t="n">
        <v>4</v>
      </c>
      <c r="J1473" s="18" t="n"/>
      <c r="K1473" s="18" t="n">
        <v>4</v>
      </c>
      <c r="L1473" s="18" t="inlineStr">
        <is>
          <t>cobbleventure:generation_4</t>
        </is>
      </c>
      <c r="M1473" s="19" t="inlineStr">
        <is>
          <t>cobbleventure:generation_4</t>
        </is>
      </c>
      <c r="N1473" s="18" t="inlineStr">
        <is>
          <t>region_02</t>
        </is>
      </c>
      <c r="O1473" s="19" t="inlineStr"/>
      <c r="P1473" s="18" t="inlineStr">
        <is>
          <t>#cobblemon:is_desert</t>
        </is>
      </c>
      <c r="Q1473" s="19" t="inlineStr"/>
      <c r="R1473" s="18">
        <f>IF(Q1473="",P1473,Q1473)</f>
        <v/>
      </c>
      <c r="S1473" s="18" t="inlineStr"/>
      <c r="T1473" s="18" t="inlineStr">
        <is>
          <t>uncommon</t>
        </is>
      </c>
      <c r="U1473" s="20" t="n">
        <v>2.8</v>
      </c>
      <c r="V1473" s="21" t="n">
        <v>1</v>
      </c>
      <c r="W1473" s="20">
        <f>IF(OR(U1473="",V1473=""),U1473,U1473*V1473)</f>
        <v/>
      </c>
      <c r="X1473" s="18" t="inlineStr">
        <is>
          <t>15-32</t>
        </is>
      </c>
      <c r="Y1473" s="19" t="inlineStr"/>
      <c r="Z1473" s="18">
        <f>IF(Y1473="",X1473,Y1473)</f>
        <v/>
      </c>
      <c r="AA1473" s="18" t="inlineStr">
        <is>
          <t>grounded</t>
        </is>
      </c>
      <c r="AB1473" s="18" t="inlineStr"/>
      <c r="AC1473" s="18" t="inlineStr"/>
      <c r="AD1473" s="18" t="inlineStr"/>
      <c r="AE1473" s="18" t="inlineStr"/>
      <c r="AF1473" s="18" t="inlineStr"/>
      <c r="AG1473" s="18" t="inlineStr"/>
      <c r="AH1473" s="18" t="inlineStr"/>
      <c r="AI1473" s="18" t="inlineStr"/>
      <c r="AJ1473" s="18" t="inlineStr">
        <is>
          <t>COBBLEVERSE 추가</t>
        </is>
      </c>
      <c r="AK1473" s="18" t="inlineStr">
        <is>
          <t>사용</t>
        </is>
      </c>
      <c r="AL1473" s="18" t="inlineStr">
        <is>
          <t>COBBLEVERSE 1.7.42 / DP v31</t>
        </is>
      </c>
      <c r="AM1473" s="18" t="inlineStr">
        <is>
          <t>data/cobblemon/spawn_pool_world/0413_wormadam_sandy.json</t>
        </is>
      </c>
      <c r="AN1473" s="18" t="inlineStr">
        <is>
          <t>wormadam-2</t>
        </is>
      </c>
      <c r="AO1473" s="18" t="inlineStr">
        <is>
          <t>pokemon</t>
        </is>
      </c>
      <c r="AP1473" s="18" t="inlineStr"/>
      <c r="AQ1473" s="18" t="inlineStr">
        <is>
          <t>{"biomes":["#cobblemon:is_desert"]}</t>
        </is>
      </c>
      <c r="AR1473" s="18" t="inlineStr"/>
      <c r="AS1473" s="18" t="inlineStr"/>
      <c r="AT1473" s="19" t="inlineStr"/>
    </row>
    <row r="1474" ht="32" customHeight="1">
      <c r="A1474" s="18" t="inlineStr">
        <is>
          <t>0413_wormadam_trash.json::wormadam-1::001</t>
        </is>
      </c>
      <c r="B1474" s="19" t="inlineStr">
        <is>
          <t>사용</t>
        </is>
      </c>
      <c r="C1474" s="18">
        <f>IF(OR(B1474&lt;&gt;AK1474,M1474&lt;&gt;L1474,O1474&lt;&gt;"",Q1474&lt;&gt;"",V1474&lt;&gt;1,Y1474&lt;&gt;"",AT1474&lt;&gt;""),"수정","원본")</f>
        <v/>
      </c>
      <c r="D1474" s="18" t="n">
        <v>413</v>
      </c>
      <c r="E1474" s="18" t="inlineStr">
        <is>
          <t>도롱마담</t>
        </is>
      </c>
      <c r="F1474" s="18" t="inlineStr">
        <is>
          <t>wormadam</t>
        </is>
      </c>
      <c r="G1474" s="18" t="inlineStr">
        <is>
          <t>wormadam bagworm_cloak=trash</t>
        </is>
      </c>
      <c r="H1474" s="18" t="inlineStr">
        <is>
          <t>bagworm_cloak=trash</t>
        </is>
      </c>
      <c r="I1474" s="18" t="n">
        <v>4</v>
      </c>
      <c r="J1474" s="18" t="n"/>
      <c r="K1474" s="18" t="n">
        <v>4</v>
      </c>
      <c r="L1474" s="18" t="inlineStr">
        <is>
          <t>cobbleventure:generation_4</t>
        </is>
      </c>
      <c r="M1474" s="19" t="inlineStr">
        <is>
          <t>cobbleventure:generation_4</t>
        </is>
      </c>
      <c r="N1474" s="18" t="inlineStr"/>
      <c r="O1474" s="19" t="inlineStr"/>
      <c r="P1474" s="18" t="inlineStr">
        <is>
          <t>#cobblemon:is_floral</t>
        </is>
      </c>
      <c r="Q1474" s="19" t="inlineStr"/>
      <c r="R1474" s="18">
        <f>IF(Q1474="",P1474,Q1474)</f>
        <v/>
      </c>
      <c r="S1474" s="18" t="inlineStr"/>
      <c r="T1474" s="18" t="inlineStr">
        <is>
          <t>uncommon</t>
        </is>
      </c>
      <c r="U1474" s="20" t="n">
        <v>1.7</v>
      </c>
      <c r="V1474" s="21" t="n">
        <v>1</v>
      </c>
      <c r="W1474" s="20">
        <f>IF(OR(U1474="",V1474=""),U1474,U1474*V1474)</f>
        <v/>
      </c>
      <c r="X1474" s="18" t="inlineStr">
        <is>
          <t>35-55</t>
        </is>
      </c>
      <c r="Y1474" s="19" t="inlineStr"/>
      <c r="Z1474" s="18">
        <f>IF(Y1474="",X1474,Y1474)</f>
        <v/>
      </c>
      <c r="AA1474" s="18" t="inlineStr">
        <is>
          <t>grounded</t>
        </is>
      </c>
      <c r="AB1474" s="18" t="inlineStr"/>
      <c r="AC1474" s="18" t="inlineStr"/>
      <c r="AD1474" s="18" t="inlineStr"/>
      <c r="AE1474" s="18" t="inlineStr"/>
      <c r="AF1474" s="18" t="inlineStr"/>
      <c r="AG1474" s="18" t="inlineStr"/>
      <c r="AH1474" s="18" t="inlineStr"/>
      <c r="AI1474" s="18" t="inlineStr"/>
      <c r="AJ1474" s="18" t="inlineStr">
        <is>
          <t>COBBLEVERSE 추가</t>
        </is>
      </c>
      <c r="AK1474" s="18" t="inlineStr">
        <is>
          <t>사용</t>
        </is>
      </c>
      <c r="AL1474" s="18" t="inlineStr">
        <is>
          <t>COBBLEVERSE 1.7.42 / DP v31</t>
        </is>
      </c>
      <c r="AM1474" s="18" t="inlineStr">
        <is>
          <t>data/cobblemon/spawn_pool_world/0413_wormadam_trash.json</t>
        </is>
      </c>
      <c r="AN1474" s="18" t="inlineStr">
        <is>
          <t>wormadam-1</t>
        </is>
      </c>
      <c r="AO1474" s="18" t="inlineStr">
        <is>
          <t>pokemon</t>
        </is>
      </c>
      <c r="AP1474" s="18" t="inlineStr"/>
      <c r="AQ1474" s="18" t="inlineStr">
        <is>
          <t>{"biomes":["#cobblemon:is_floral"]}</t>
        </is>
      </c>
      <c r="AR1474" s="18" t="inlineStr"/>
      <c r="AS1474" s="18" t="inlineStr"/>
      <c r="AT1474" s="19" t="inlineStr"/>
    </row>
    <row r="1475" ht="32" customHeight="1">
      <c r="A1475" s="18" t="inlineStr">
        <is>
          <t>0413_wormadam_trash.json::wormadam-2::002</t>
        </is>
      </c>
      <c r="B1475" s="19" t="inlineStr">
        <is>
          <t>사용</t>
        </is>
      </c>
      <c r="C1475" s="18">
        <f>IF(OR(B1475&lt;&gt;AK1475,M1475&lt;&gt;L1475,O1475&lt;&gt;"",Q1475&lt;&gt;"",V1475&lt;&gt;1,Y1475&lt;&gt;"",AT1475&lt;&gt;""),"수정","원본")</f>
        <v/>
      </c>
      <c r="D1475" s="18" t="n">
        <v>413</v>
      </c>
      <c r="E1475" s="18" t="inlineStr">
        <is>
          <t>도롱마담</t>
        </is>
      </c>
      <c r="F1475" s="18" t="inlineStr">
        <is>
          <t>wormadam</t>
        </is>
      </c>
      <c r="G1475" s="18" t="inlineStr">
        <is>
          <t>wormadam bagworm_cloak=trash</t>
        </is>
      </c>
      <c r="H1475" s="18" t="inlineStr">
        <is>
          <t>bagworm_cloak=trash</t>
        </is>
      </c>
      <c r="I1475" s="18" t="n">
        <v>4</v>
      </c>
      <c r="J1475" s="18" t="n"/>
      <c r="K1475" s="18" t="n">
        <v>4</v>
      </c>
      <c r="L1475" s="18" t="inlineStr">
        <is>
          <t>cobbleventure:generation_4</t>
        </is>
      </c>
      <c r="M1475" s="19" t="inlineStr">
        <is>
          <t>cobbleventure:generation_4</t>
        </is>
      </c>
      <c r="N1475" s="18" t="inlineStr">
        <is>
          <t>region_01</t>
        </is>
      </c>
      <c r="O1475" s="19" t="inlineStr"/>
      <c r="P1475" s="18" t="inlineStr">
        <is>
          <t>#cobblemon:is_forest</t>
        </is>
      </c>
      <c r="Q1475" s="19" t="inlineStr"/>
      <c r="R1475" s="18">
        <f>IF(Q1475="",P1475,Q1475)</f>
        <v/>
      </c>
      <c r="S1475" s="18" t="inlineStr"/>
      <c r="T1475" s="18" t="inlineStr">
        <is>
          <t>uncommon</t>
        </is>
      </c>
      <c r="U1475" s="20" t="n">
        <v>2.2</v>
      </c>
      <c r="V1475" s="21" t="n">
        <v>1</v>
      </c>
      <c r="W1475" s="20">
        <f>IF(OR(U1475="",V1475=""),U1475,U1475*V1475)</f>
        <v/>
      </c>
      <c r="X1475" s="18" t="inlineStr">
        <is>
          <t>15-32</t>
        </is>
      </c>
      <c r="Y1475" s="19" t="inlineStr"/>
      <c r="Z1475" s="18">
        <f>IF(Y1475="",X1475,Y1475)</f>
        <v/>
      </c>
      <c r="AA1475" s="18" t="inlineStr">
        <is>
          <t>grounded</t>
        </is>
      </c>
      <c r="AB1475" s="18" t="inlineStr"/>
      <c r="AC1475" s="18" t="inlineStr"/>
      <c r="AD1475" s="18" t="inlineStr"/>
      <c r="AE1475" s="18" t="inlineStr"/>
      <c r="AF1475" s="18" t="inlineStr"/>
      <c r="AG1475" s="18" t="inlineStr"/>
      <c r="AH1475" s="18" t="inlineStr"/>
      <c r="AI1475" s="18" t="inlineStr"/>
      <c r="AJ1475" s="18" t="inlineStr">
        <is>
          <t>COBBLEVERSE 추가</t>
        </is>
      </c>
      <c r="AK1475" s="18" t="inlineStr">
        <is>
          <t>사용</t>
        </is>
      </c>
      <c r="AL1475" s="18" t="inlineStr">
        <is>
          <t>COBBLEVERSE 1.7.42 / DP v31</t>
        </is>
      </c>
      <c r="AM1475" s="18" t="inlineStr">
        <is>
          <t>data/cobblemon/spawn_pool_world/0413_wormadam_trash.json</t>
        </is>
      </c>
      <c r="AN1475" s="18" t="inlineStr">
        <is>
          <t>wormadam-2</t>
        </is>
      </c>
      <c r="AO1475" s="18" t="inlineStr">
        <is>
          <t>pokemon</t>
        </is>
      </c>
      <c r="AP1475" s="18" t="inlineStr"/>
      <c r="AQ1475" s="18" t="inlineStr">
        <is>
          <t>{"biomes":["#cobblemon:is_forest"]}</t>
        </is>
      </c>
      <c r="AR1475" s="18" t="inlineStr"/>
      <c r="AS1475" s="18" t="inlineStr"/>
      <c r="AT1475" s="19" t="inlineStr"/>
    </row>
    <row r="1476" ht="32" customHeight="1">
      <c r="A1476" s="18" t="inlineStr">
        <is>
          <t>0414_mothim.json::mothim-2::001</t>
        </is>
      </c>
      <c r="B1476" s="19" t="inlineStr">
        <is>
          <t>사용</t>
        </is>
      </c>
      <c r="C1476" s="18">
        <f>IF(OR(B1476&lt;&gt;AK1476,M1476&lt;&gt;L1476,O1476&lt;&gt;"",Q1476&lt;&gt;"",V1476&lt;&gt;1,Y1476&lt;&gt;"",AT1476&lt;&gt;""),"수정","원본")</f>
        <v/>
      </c>
      <c r="D1476" s="18" t="n">
        <v>414</v>
      </c>
      <c r="E1476" s="18" t="inlineStr">
        <is>
          <t>나메일</t>
        </is>
      </c>
      <c r="F1476" s="18" t="inlineStr">
        <is>
          <t>mothim</t>
        </is>
      </c>
      <c r="G1476" s="18" t="inlineStr">
        <is>
          <t>mothim</t>
        </is>
      </c>
      <c r="H1476" s="18" t="inlineStr"/>
      <c r="I1476" s="18" t="n">
        <v>4</v>
      </c>
      <c r="J1476" s="18" t="n"/>
      <c r="K1476" s="18" t="n">
        <v>4</v>
      </c>
      <c r="L1476" s="18" t="inlineStr">
        <is>
          <t>cobbleventure:generation_4</t>
        </is>
      </c>
      <c r="M1476" s="19" t="inlineStr">
        <is>
          <t>cobbleventure:generation_4</t>
        </is>
      </c>
      <c r="N1476" s="18" t="inlineStr">
        <is>
          <t>region_01</t>
        </is>
      </c>
      <c r="O1476" s="19" t="inlineStr"/>
      <c r="P1476" s="18" t="inlineStr">
        <is>
          <t>#cobblemon:is_forest</t>
        </is>
      </c>
      <c r="Q1476" s="19" t="inlineStr"/>
      <c r="R1476" s="18">
        <f>IF(Q1476="",P1476,Q1476)</f>
        <v/>
      </c>
      <c r="S1476" s="18" t="inlineStr"/>
      <c r="T1476" s="18" t="inlineStr">
        <is>
          <t>rare</t>
        </is>
      </c>
      <c r="U1476" s="20" t="n">
        <v>2</v>
      </c>
      <c r="V1476" s="21" t="n">
        <v>1</v>
      </c>
      <c r="W1476" s="20">
        <f>IF(OR(U1476="",V1476=""),U1476,U1476*V1476)</f>
        <v/>
      </c>
      <c r="X1476" s="18" t="inlineStr">
        <is>
          <t>28-45</t>
        </is>
      </c>
      <c r="Y1476" s="19" t="inlineStr"/>
      <c r="Z1476" s="18">
        <f>IF(Y1476="",X1476,Y1476)</f>
        <v/>
      </c>
      <c r="AA1476" s="18" t="inlineStr">
        <is>
          <t>grounded</t>
        </is>
      </c>
      <c r="AB1476" s="18" t="inlineStr"/>
      <c r="AC1476" s="18" t="inlineStr"/>
      <c r="AD1476" s="18" t="inlineStr"/>
      <c r="AE1476" s="18" t="inlineStr"/>
      <c r="AF1476" s="18" t="inlineStr"/>
      <c r="AG1476" s="18" t="inlineStr"/>
      <c r="AH1476" s="18" t="inlineStr"/>
      <c r="AI1476" s="18" t="inlineStr"/>
      <c r="AJ1476" s="18" t="inlineStr">
        <is>
          <t>COBBLEVERSE 추가</t>
        </is>
      </c>
      <c r="AK1476" s="18" t="inlineStr">
        <is>
          <t>사용</t>
        </is>
      </c>
      <c r="AL1476" s="18" t="inlineStr">
        <is>
          <t>COBBLEVERSE 1.7.42 / DP v31</t>
        </is>
      </c>
      <c r="AM1476" s="18" t="inlineStr">
        <is>
          <t>data/cobblemon/spawn_pool_world/0414_mothim.json</t>
        </is>
      </c>
      <c r="AN1476" s="18" t="inlineStr">
        <is>
          <t>mothim-2</t>
        </is>
      </c>
      <c r="AO1476" s="18" t="inlineStr">
        <is>
          <t>pokemon</t>
        </is>
      </c>
      <c r="AP1476" s="18" t="inlineStr"/>
      <c r="AQ1476" s="18" t="inlineStr">
        <is>
          <t>{"biomes":["#cobblemon:is_forest"]}</t>
        </is>
      </c>
      <c r="AR1476" s="18" t="inlineStr"/>
      <c r="AS1476" s="18" t="inlineStr"/>
      <c r="AT1476" s="19" t="inlineStr"/>
    </row>
    <row r="1477" ht="32" customHeight="1">
      <c r="A1477" s="18" t="inlineStr">
        <is>
          <t>0415_combee.json::combee-1::001</t>
        </is>
      </c>
      <c r="B1477" s="19" t="inlineStr">
        <is>
          <t>사용</t>
        </is>
      </c>
      <c r="C1477" s="18">
        <f>IF(OR(B1477&lt;&gt;AK1477,M1477&lt;&gt;L1477,O1477&lt;&gt;"",Q1477&lt;&gt;"",V1477&lt;&gt;1,Y1477&lt;&gt;"",AT1477&lt;&gt;""),"수정","원본")</f>
        <v/>
      </c>
      <c r="D1477" s="18" t="n">
        <v>415</v>
      </c>
      <c r="E1477" s="18" t="inlineStr">
        <is>
          <t>세꿀버리</t>
        </is>
      </c>
      <c r="F1477" s="18" t="inlineStr">
        <is>
          <t>combee</t>
        </is>
      </c>
      <c r="G1477" s="18" t="inlineStr">
        <is>
          <t>combee</t>
        </is>
      </c>
      <c r="H1477" s="18" t="inlineStr"/>
      <c r="I1477" s="18" t="n">
        <v>4</v>
      </c>
      <c r="J1477" s="18" t="n"/>
      <c r="K1477" s="18" t="n">
        <v>4</v>
      </c>
      <c r="L1477" s="18" t="inlineStr">
        <is>
          <t>cobbleventure:generation_4</t>
        </is>
      </c>
      <c r="M1477" s="19" t="inlineStr">
        <is>
          <t>cobbleventure:generation_4</t>
        </is>
      </c>
      <c r="N1477" s="18" t="inlineStr">
        <is>
          <t>region_01</t>
        </is>
      </c>
      <c r="O1477" s="19" t="inlineStr"/>
      <c r="P1477" s="18" t="inlineStr">
        <is>
          <t>#cobblemon:is_temperate</t>
        </is>
      </c>
      <c r="Q1477" s="19" t="inlineStr"/>
      <c r="R1477" s="18">
        <f>IF(Q1477="",P1477,Q1477)</f>
        <v/>
      </c>
      <c r="S1477" s="18" t="inlineStr">
        <is>
          <t>#cobblemon:is_freezing; #cobblemon:is_spooky</t>
        </is>
      </c>
      <c r="T1477" s="18" t="inlineStr">
        <is>
          <t>common</t>
        </is>
      </c>
      <c r="U1477" s="20" t="n">
        <v>9.9</v>
      </c>
      <c r="V1477" s="21" t="n">
        <v>1</v>
      </c>
      <c r="W1477" s="20">
        <f>IF(OR(U1477="",V1477=""),U1477,U1477*V1477)</f>
        <v/>
      </c>
      <c r="X1477" s="18" t="inlineStr">
        <is>
          <t>1-24</t>
        </is>
      </c>
      <c r="Y1477" s="19" t="inlineStr"/>
      <c r="Z1477" s="18">
        <f>IF(Y1477="",X1477,Y1477)</f>
        <v/>
      </c>
      <c r="AA1477" s="18" t="inlineStr">
        <is>
          <t>grounded</t>
        </is>
      </c>
      <c r="AB1477" s="18" t="inlineStr">
        <is>
          <t>day</t>
        </is>
      </c>
      <c r="AC1477" s="18" t="inlineStr">
        <is>
          <t>비=False</t>
        </is>
      </c>
      <c r="AD1477" s="18" t="inlineStr"/>
      <c r="AE1477" s="18" t="inlineStr">
        <is>
          <t>sky 8-15</t>
        </is>
      </c>
      <c r="AF1477" s="18" t="inlineStr"/>
      <c r="AG1477" s="18" t="inlineStr"/>
      <c r="AH1477" s="18" t="inlineStr"/>
      <c r="AI1477" s="18" t="inlineStr"/>
      <c r="AJ1477" s="18" t="inlineStr">
        <is>
          <t>Cobblemon 동일</t>
        </is>
      </c>
      <c r="AK1477" s="18" t="inlineStr">
        <is>
          <t>사용</t>
        </is>
      </c>
      <c r="AL1477" s="18" t="inlineStr">
        <is>
          <t>COBBLEVERSE 1.7.42 / DP v31</t>
        </is>
      </c>
      <c r="AM1477" s="18" t="inlineStr">
        <is>
          <t>data/cobblemon/spawn_pool_world/0415_combee.json</t>
        </is>
      </c>
      <c r="AN1477" s="18" t="inlineStr">
        <is>
          <t>combee-1</t>
        </is>
      </c>
      <c r="AO1477" s="18" t="inlineStr">
        <is>
          <t>pokemon</t>
        </is>
      </c>
      <c r="AP1477" s="18" t="inlineStr">
        <is>
          <t>natural</t>
        </is>
      </c>
      <c r="AQ1477" s="18" t="inlineStr">
        <is>
          <t>{"biomes":["#cobblemon:is_temperate"],"isRaining":false,"maxSkyLight":15,"minSkyLight":8,"timeRange":"day"}</t>
        </is>
      </c>
      <c r="AR1477" s="18" t="inlineStr">
        <is>
          <t>{"biomes":["#cobblemon:is_freezing","#cobblemon:is_spooky"]}</t>
        </is>
      </c>
      <c r="AS1477" s="18" t="inlineStr">
        <is>
          <t>{"weightMultiplier":{"condition":{"neededNearbyBlocks":["#minecraft:beehives"]},"multiplier":5.0}}</t>
        </is>
      </c>
      <c r="AT1477" s="19" t="inlineStr"/>
    </row>
    <row r="1478" ht="32" customHeight="1">
      <c r="A1478" s="18" t="inlineStr">
        <is>
          <t>0415_combee.json::combee-2::002</t>
        </is>
      </c>
      <c r="B1478" s="19" t="inlineStr">
        <is>
          <t>사용</t>
        </is>
      </c>
      <c r="C1478" s="18">
        <f>IF(OR(B1478&lt;&gt;AK1478,M1478&lt;&gt;L1478,O1478&lt;&gt;"",Q1478&lt;&gt;"",V1478&lt;&gt;1,Y1478&lt;&gt;"",AT1478&lt;&gt;""),"수정","원본")</f>
        <v/>
      </c>
      <c r="D1478" s="18" t="n">
        <v>415</v>
      </c>
      <c r="E1478" s="18" t="inlineStr">
        <is>
          <t>세꿀버리</t>
        </is>
      </c>
      <c r="F1478" s="18" t="inlineStr">
        <is>
          <t>combee</t>
        </is>
      </c>
      <c r="G1478" s="18" t="inlineStr">
        <is>
          <t>combee</t>
        </is>
      </c>
      <c r="H1478" s="18" t="inlineStr"/>
      <c r="I1478" s="18" t="n">
        <v>4</v>
      </c>
      <c r="J1478" s="18" t="n"/>
      <c r="K1478" s="18" t="n">
        <v>4</v>
      </c>
      <c r="L1478" s="18" t="inlineStr">
        <is>
          <t>cobbleventure:generation_4</t>
        </is>
      </c>
      <c r="M1478" s="19" t="inlineStr">
        <is>
          <t>cobbleventure:generation_4</t>
        </is>
      </c>
      <c r="N1478" s="18" t="inlineStr">
        <is>
          <t>region_01; region_02</t>
        </is>
      </c>
      <c r="O1478" s="19" t="inlineStr"/>
      <c r="P1478" s="18" t="inlineStr">
        <is>
          <t>#cobblemon:is_overworld</t>
        </is>
      </c>
      <c r="Q1478" s="19" t="inlineStr"/>
      <c r="R1478" s="18">
        <f>IF(Q1478="",P1478,Q1478)</f>
        <v/>
      </c>
      <c r="S1478" s="18" t="inlineStr">
        <is>
          <t>#cobblemon:is_freezing</t>
        </is>
      </c>
      <c r="T1478" s="18" t="inlineStr">
        <is>
          <t>common</t>
        </is>
      </c>
      <c r="U1478" s="20" t="n">
        <v>9.9</v>
      </c>
      <c r="V1478" s="21" t="n">
        <v>1</v>
      </c>
      <c r="W1478" s="20">
        <f>IF(OR(U1478="",V1478=""),U1478,U1478*V1478)</f>
        <v/>
      </c>
      <c r="X1478" s="18" t="inlineStr">
        <is>
          <t>1-24</t>
        </is>
      </c>
      <c r="Y1478" s="19" t="inlineStr"/>
      <c r="Z1478" s="18">
        <f>IF(Y1478="",X1478,Y1478)</f>
        <v/>
      </c>
      <c r="AA1478" s="18" t="inlineStr">
        <is>
          <t>grounded</t>
        </is>
      </c>
      <c r="AB1478" s="18" t="inlineStr">
        <is>
          <t>day</t>
        </is>
      </c>
      <c r="AC1478" s="18" t="inlineStr">
        <is>
          <t>비=False</t>
        </is>
      </c>
      <c r="AD1478" s="18" t="inlineStr"/>
      <c r="AE1478" s="18" t="inlineStr">
        <is>
          <t>sky 8-15</t>
        </is>
      </c>
      <c r="AF1478" s="18" t="inlineStr"/>
      <c r="AG1478" s="18" t="inlineStr"/>
      <c r="AH1478" s="18" t="inlineStr">
        <is>
          <t>주변=#cobblemon:flowers; #cobblemon:saccharine_trees</t>
        </is>
      </c>
      <c r="AI1478" s="18" t="inlineStr"/>
      <c r="AJ1478" s="18" t="inlineStr">
        <is>
          <t>Cobblemon 동일</t>
        </is>
      </c>
      <c r="AK1478" s="18" t="inlineStr">
        <is>
          <t>사용</t>
        </is>
      </c>
      <c r="AL1478" s="18" t="inlineStr">
        <is>
          <t>COBBLEVERSE 1.7.42 / DP v31</t>
        </is>
      </c>
      <c r="AM1478" s="18" t="inlineStr">
        <is>
          <t>data/cobblemon/spawn_pool_world/0415_combee.json</t>
        </is>
      </c>
      <c r="AN1478" s="18" t="inlineStr">
        <is>
          <t>combee-2</t>
        </is>
      </c>
      <c r="AO1478" s="18" t="inlineStr">
        <is>
          <t>pokemon</t>
        </is>
      </c>
      <c r="AP1478" s="18" t="inlineStr">
        <is>
          <t>natural</t>
        </is>
      </c>
      <c r="AQ1478" s="18" t="inlineStr">
        <is>
          <t>{"biomes":["#cobblemon:is_overworld"],"isRaining":false,"maxSkyLight":15,"minSkyLight":8,"neededNearbyBlocks":["#cobblemon:flowers","#cobblemon:saccharine_trees"],"timeRange":"day"}</t>
        </is>
      </c>
      <c r="AR1478" s="18" t="inlineStr">
        <is>
          <t>{"biomes":["#cobblemon:is_freezing"]}</t>
        </is>
      </c>
      <c r="AS1478" s="18" t="inlineStr">
        <is>
          <t>{"weightMultiplier":{"condition":{"neededNearbyBlocks":["#minecraft:beehives"]},"multiplier":5.0}}</t>
        </is>
      </c>
      <c r="AT1478" s="19" t="inlineStr"/>
    </row>
    <row r="1479" ht="32" customHeight="1">
      <c r="A1479" s="18" t="inlineStr">
        <is>
          <t>0415_combee.json::combee-3::003</t>
        </is>
      </c>
      <c r="B1479" s="19" t="inlineStr">
        <is>
          <t>사용</t>
        </is>
      </c>
      <c r="C1479" s="18">
        <f>IF(OR(B1479&lt;&gt;AK1479,M1479&lt;&gt;L1479,O1479&lt;&gt;"",Q1479&lt;&gt;"",V1479&lt;&gt;1,Y1479&lt;&gt;"",AT1479&lt;&gt;""),"수정","원본")</f>
        <v/>
      </c>
      <c r="D1479" s="18" t="n">
        <v>415</v>
      </c>
      <c r="E1479" s="18" t="inlineStr">
        <is>
          <t>세꿀버리</t>
        </is>
      </c>
      <c r="F1479" s="18" t="inlineStr">
        <is>
          <t>combee</t>
        </is>
      </c>
      <c r="G1479" s="18" t="inlineStr">
        <is>
          <t>combee</t>
        </is>
      </c>
      <c r="H1479" s="18" t="inlineStr"/>
      <c r="I1479" s="18" t="n">
        <v>4</v>
      </c>
      <c r="J1479" s="18" t="n"/>
      <c r="K1479" s="18" t="n">
        <v>4</v>
      </c>
      <c r="L1479" s="18" t="inlineStr">
        <is>
          <t>cobbleventure:generation_4</t>
        </is>
      </c>
      <c r="M1479" s="19" t="inlineStr">
        <is>
          <t>cobbleventure:generation_4</t>
        </is>
      </c>
      <c r="N1479" s="18" t="inlineStr"/>
      <c r="O1479" s="19" t="inlineStr"/>
      <c r="P1479" s="18" t="inlineStr">
        <is>
          <t>#aether:is_aether</t>
        </is>
      </c>
      <c r="Q1479" s="19" t="inlineStr"/>
      <c r="R1479" s="18">
        <f>IF(Q1479="",P1479,Q1479)</f>
        <v/>
      </c>
      <c r="S1479" s="18" t="inlineStr">
        <is>
          <t>#cobblemon:is_freezing</t>
        </is>
      </c>
      <c r="T1479" s="18" t="inlineStr">
        <is>
          <t>common</t>
        </is>
      </c>
      <c r="U1479" s="20" t="n">
        <v>9.9</v>
      </c>
      <c r="V1479" s="21" t="n">
        <v>1</v>
      </c>
      <c r="W1479" s="20">
        <f>IF(OR(U1479="",V1479=""),U1479,U1479*V1479)</f>
        <v/>
      </c>
      <c r="X1479" s="18" t="inlineStr">
        <is>
          <t>1-24</t>
        </is>
      </c>
      <c r="Y1479" s="19" t="inlineStr"/>
      <c r="Z1479" s="18">
        <f>IF(Y1479="",X1479,Y1479)</f>
        <v/>
      </c>
      <c r="AA1479" s="18" t="inlineStr">
        <is>
          <t>grounded</t>
        </is>
      </c>
      <c r="AB1479" s="18" t="inlineStr"/>
      <c r="AC1479" s="18" t="inlineStr"/>
      <c r="AD1479" s="18" t="inlineStr"/>
      <c r="AE1479" s="18" t="inlineStr">
        <is>
          <t>sky 8-15</t>
        </is>
      </c>
      <c r="AF1479" s="18" t="inlineStr"/>
      <c r="AG1479" s="18" t="inlineStr"/>
      <c r="AH1479" s="18" t="inlineStr"/>
      <c r="AI1479" s="18" t="inlineStr"/>
      <c r="AJ1479" s="18" t="inlineStr">
        <is>
          <t>Cobblemon 동일</t>
        </is>
      </c>
      <c r="AK1479" s="18" t="inlineStr">
        <is>
          <t>사용</t>
        </is>
      </c>
      <c r="AL1479" s="18" t="inlineStr">
        <is>
          <t>COBBLEVERSE 1.7.42 / DP v31</t>
        </is>
      </c>
      <c r="AM1479" s="18" t="inlineStr">
        <is>
          <t>data/cobblemon/spawn_pool_world/0415_combee.json</t>
        </is>
      </c>
      <c r="AN1479" s="18" t="inlineStr">
        <is>
          <t>combee-3</t>
        </is>
      </c>
      <c r="AO1479" s="18" t="inlineStr">
        <is>
          <t>pokemon</t>
        </is>
      </c>
      <c r="AP1479" s="18" t="inlineStr">
        <is>
          <t>natural</t>
        </is>
      </c>
      <c r="AQ1479" s="18" t="inlineStr">
        <is>
          <t>{"biomes":["#aether:is_aether"],"maxSkyLight":15,"minSkyLight":8}</t>
        </is>
      </c>
      <c r="AR1479" s="18" t="inlineStr">
        <is>
          <t>{"biomes":["#cobblemon:is_freezing"]}</t>
        </is>
      </c>
      <c r="AS1479" s="18" t="inlineStr">
        <is>
          <t>{"weightMultiplier":{"condition":{"neededNearbyBlocks":["#minecraft:beehives"]},"multiplier":5.0}}</t>
        </is>
      </c>
      <c r="AT1479" s="19" t="inlineStr"/>
    </row>
    <row r="1480" ht="32" customHeight="1">
      <c r="A1480" s="18" t="inlineStr">
        <is>
          <t>0415_combee.json::combee-4::004</t>
        </is>
      </c>
      <c r="B1480" s="19" t="inlineStr">
        <is>
          <t>사용</t>
        </is>
      </c>
      <c r="C1480" s="18">
        <f>IF(OR(B1480&lt;&gt;AK1480,M1480&lt;&gt;L1480,O1480&lt;&gt;"",Q1480&lt;&gt;"",V1480&lt;&gt;1,Y1480&lt;&gt;"",AT1480&lt;&gt;""),"수정","원본")</f>
        <v/>
      </c>
      <c r="D1480" s="18" t="n">
        <v>415</v>
      </c>
      <c r="E1480" s="18" t="inlineStr">
        <is>
          <t>세꿀버리</t>
        </is>
      </c>
      <c r="F1480" s="18" t="inlineStr">
        <is>
          <t>combee</t>
        </is>
      </c>
      <c r="G1480" s="18" t="inlineStr">
        <is>
          <t>combee</t>
        </is>
      </c>
      <c r="H1480" s="18" t="inlineStr"/>
      <c r="I1480" s="18" t="n">
        <v>4</v>
      </c>
      <c r="J1480" s="18" t="n"/>
      <c r="K1480" s="18" t="n">
        <v>4</v>
      </c>
      <c r="L1480" s="18" t="inlineStr">
        <is>
          <t>cobbleventure:generation_4</t>
        </is>
      </c>
      <c r="M1480" s="19" t="inlineStr">
        <is>
          <t>cobbleventure:generation_4</t>
        </is>
      </c>
      <c r="N1480" s="18" t="inlineStr"/>
      <c r="O1480" s="19" t="inlineStr"/>
      <c r="P1480" s="18" t="inlineStr">
        <is>
          <t>#the_bumblezone:the_bumblezone</t>
        </is>
      </c>
      <c r="Q1480" s="19" t="inlineStr"/>
      <c r="R1480" s="18">
        <f>IF(Q1480="",P1480,Q1480)</f>
        <v/>
      </c>
      <c r="S1480" s="18" t="inlineStr"/>
      <c r="T1480" s="18" t="inlineStr">
        <is>
          <t>common</t>
        </is>
      </c>
      <c r="U1480" s="20" t="n">
        <v>99</v>
      </c>
      <c r="V1480" s="21" t="n">
        <v>1</v>
      </c>
      <c r="W1480" s="20">
        <f>IF(OR(U1480="",V1480=""),U1480,U1480*V1480)</f>
        <v/>
      </c>
      <c r="X1480" s="18" t="inlineStr">
        <is>
          <t>1-24</t>
        </is>
      </c>
      <c r="Y1480" s="19" t="inlineStr"/>
      <c r="Z1480" s="18">
        <f>IF(Y1480="",X1480,Y1480)</f>
        <v/>
      </c>
      <c r="AA1480" s="18" t="inlineStr">
        <is>
          <t>grounded</t>
        </is>
      </c>
      <c r="AB1480" s="18" t="inlineStr"/>
      <c r="AC1480" s="18" t="inlineStr"/>
      <c r="AD1480" s="18" t="inlineStr"/>
      <c r="AE1480" s="18" t="inlineStr"/>
      <c r="AF1480" s="18" t="inlineStr"/>
      <c r="AG1480" s="18" t="inlineStr"/>
      <c r="AH1480" s="18" t="inlineStr"/>
      <c r="AI1480" s="18" t="inlineStr"/>
      <c r="AJ1480" s="18" t="inlineStr">
        <is>
          <t>Cobblemon 동일</t>
        </is>
      </c>
      <c r="AK1480" s="18" t="inlineStr">
        <is>
          <t>사용</t>
        </is>
      </c>
      <c r="AL1480" s="18" t="inlineStr">
        <is>
          <t>COBBLEVERSE 1.7.42 / DP v31</t>
        </is>
      </c>
      <c r="AM1480" s="18" t="inlineStr">
        <is>
          <t>data/cobblemon/spawn_pool_world/0415_combee.json</t>
        </is>
      </c>
      <c r="AN1480" s="18" t="inlineStr">
        <is>
          <t>combee-4</t>
        </is>
      </c>
      <c r="AO1480" s="18" t="inlineStr">
        <is>
          <t>pokemon</t>
        </is>
      </c>
      <c r="AP1480" s="18" t="inlineStr"/>
      <c r="AQ1480" s="18" t="inlineStr">
        <is>
          <t>{"biomes":["#the_bumblezone:the_bumblezone"]}</t>
        </is>
      </c>
      <c r="AR1480" s="18" t="inlineStr">
        <is>
          <t>{"structures":["#the_bumblezone:sempiternal_sanctums"]}</t>
        </is>
      </c>
      <c r="AS1480" s="18" t="inlineStr"/>
      <c r="AT1480" s="19" t="inlineStr"/>
    </row>
    <row r="1481" ht="32" customHeight="1">
      <c r="A1481" s="18" t="inlineStr">
        <is>
          <t>0416_vespiquen.json::vespiquen-1::001</t>
        </is>
      </c>
      <c r="B1481" s="19" t="inlineStr">
        <is>
          <t>사용</t>
        </is>
      </c>
      <c r="C1481" s="18">
        <f>IF(OR(B1481&lt;&gt;AK1481,M1481&lt;&gt;L1481,O1481&lt;&gt;"",Q1481&lt;&gt;"",V1481&lt;&gt;1,Y1481&lt;&gt;"",AT1481&lt;&gt;""),"수정","원본")</f>
        <v/>
      </c>
      <c r="D1481" s="18" t="n">
        <v>416</v>
      </c>
      <c r="E1481" s="18" t="inlineStr">
        <is>
          <t>비퀸</t>
        </is>
      </c>
      <c r="F1481" s="18" t="inlineStr">
        <is>
          <t>vespiquen</t>
        </is>
      </c>
      <c r="G1481" s="18" t="inlineStr">
        <is>
          <t>vespiquen</t>
        </is>
      </c>
      <c r="H1481" s="18" t="inlineStr"/>
      <c r="I1481" s="18" t="n">
        <v>4</v>
      </c>
      <c r="J1481" s="18" t="n"/>
      <c r="K1481" s="18" t="n">
        <v>4</v>
      </c>
      <c r="L1481" s="18" t="inlineStr">
        <is>
          <t>cobbleventure:generation_4</t>
        </is>
      </c>
      <c r="M1481" s="19" t="inlineStr">
        <is>
          <t>cobbleventure:generation_4</t>
        </is>
      </c>
      <c r="N1481" s="18" t="inlineStr">
        <is>
          <t>region_01</t>
        </is>
      </c>
      <c r="O1481" s="19" t="inlineStr"/>
      <c r="P1481" s="18" t="inlineStr">
        <is>
          <t>#cobblemon:is_temperate</t>
        </is>
      </c>
      <c r="Q1481" s="19" t="inlineStr"/>
      <c r="R1481" s="18">
        <f>IF(Q1481="",P1481,Q1481)</f>
        <v/>
      </c>
      <c r="S1481" s="18" t="inlineStr">
        <is>
          <t>#cobblemon:is_freezing; #cobblemon:is_spooky</t>
        </is>
      </c>
      <c r="T1481" s="18" t="inlineStr">
        <is>
          <t>common</t>
        </is>
      </c>
      <c r="U1481" s="20" t="n">
        <v>0.1</v>
      </c>
      <c r="V1481" s="21" t="n">
        <v>1</v>
      </c>
      <c r="W1481" s="20">
        <f>IF(OR(U1481="",V1481=""),U1481,U1481*V1481)</f>
        <v/>
      </c>
      <c r="X1481" s="18" t="inlineStr">
        <is>
          <t>21-47</t>
        </is>
      </c>
      <c r="Y1481" s="19" t="inlineStr"/>
      <c r="Z1481" s="18">
        <f>IF(Y1481="",X1481,Y1481)</f>
        <v/>
      </c>
      <c r="AA1481" s="18" t="inlineStr">
        <is>
          <t>grounded</t>
        </is>
      </c>
      <c r="AB1481" s="18" t="inlineStr">
        <is>
          <t>day</t>
        </is>
      </c>
      <c r="AC1481" s="18" t="inlineStr">
        <is>
          <t>비=False</t>
        </is>
      </c>
      <c r="AD1481" s="18" t="inlineStr"/>
      <c r="AE1481" s="18" t="inlineStr">
        <is>
          <t>sky 8-15</t>
        </is>
      </c>
      <c r="AF1481" s="18" t="inlineStr"/>
      <c r="AG1481" s="18" t="inlineStr"/>
      <c r="AH1481" s="18" t="inlineStr"/>
      <c r="AI1481" s="18" t="inlineStr"/>
      <c r="AJ1481" s="18" t="inlineStr">
        <is>
          <t>Cobblemon 동일</t>
        </is>
      </c>
      <c r="AK1481" s="18" t="inlineStr">
        <is>
          <t>사용</t>
        </is>
      </c>
      <c r="AL1481" s="18" t="inlineStr">
        <is>
          <t>COBBLEVERSE 1.7.42 / DP v31</t>
        </is>
      </c>
      <c r="AM1481" s="18" t="inlineStr">
        <is>
          <t>data/cobblemon/spawn_pool_world/0416_vespiquen.json</t>
        </is>
      </c>
      <c r="AN1481" s="18" t="inlineStr">
        <is>
          <t>vespiquen-1</t>
        </is>
      </c>
      <c r="AO1481" s="18" t="inlineStr">
        <is>
          <t>pokemon</t>
        </is>
      </c>
      <c r="AP1481" s="18" t="inlineStr">
        <is>
          <t>natural</t>
        </is>
      </c>
      <c r="AQ1481" s="18" t="inlineStr">
        <is>
          <t>{"biomes":["#cobblemon:is_temperate"],"isRaining":false,"maxSkyLight":15,"minSkyLight":8,"timeRange":"day"}</t>
        </is>
      </c>
      <c r="AR1481" s="18" t="inlineStr">
        <is>
          <t>{"biomes":["#cobblemon:is_freezing","#cobblemon:is_spooky"]}</t>
        </is>
      </c>
      <c r="AS1481" s="18" t="inlineStr">
        <is>
          <t>{"weightMultiplier":{"condition":{"neededNearbyBlocks":["#minecraft:beehives"]},"multiplier":5.0}}</t>
        </is>
      </c>
      <c r="AT1481" s="19" t="inlineStr"/>
    </row>
    <row r="1482" ht="32" customHeight="1">
      <c r="A1482" s="18" t="inlineStr">
        <is>
          <t>0416_vespiquen.json::vespiquen-2::002</t>
        </is>
      </c>
      <c r="B1482" s="19" t="inlineStr">
        <is>
          <t>사용</t>
        </is>
      </c>
      <c r="C1482" s="18">
        <f>IF(OR(B1482&lt;&gt;AK1482,M1482&lt;&gt;L1482,O1482&lt;&gt;"",Q1482&lt;&gt;"",V1482&lt;&gt;1,Y1482&lt;&gt;"",AT1482&lt;&gt;""),"수정","원본")</f>
        <v/>
      </c>
      <c r="D1482" s="18" t="n">
        <v>416</v>
      </c>
      <c r="E1482" s="18" t="inlineStr">
        <is>
          <t>비퀸</t>
        </is>
      </c>
      <c r="F1482" s="18" t="inlineStr">
        <is>
          <t>vespiquen</t>
        </is>
      </c>
      <c r="G1482" s="18" t="inlineStr">
        <is>
          <t>vespiquen</t>
        </is>
      </c>
      <c r="H1482" s="18" t="inlineStr"/>
      <c r="I1482" s="18" t="n">
        <v>4</v>
      </c>
      <c r="J1482" s="18" t="n"/>
      <c r="K1482" s="18" t="n">
        <v>4</v>
      </c>
      <c r="L1482" s="18" t="inlineStr">
        <is>
          <t>cobbleventure:generation_4</t>
        </is>
      </c>
      <c r="M1482" s="19" t="inlineStr">
        <is>
          <t>cobbleventure:generation_4</t>
        </is>
      </c>
      <c r="N1482" s="18" t="inlineStr">
        <is>
          <t>region_01; region_02</t>
        </is>
      </c>
      <c r="O1482" s="19" t="inlineStr"/>
      <c r="P1482" s="18" t="inlineStr">
        <is>
          <t>#cobblemon:is_overworld</t>
        </is>
      </c>
      <c r="Q1482" s="19" t="inlineStr"/>
      <c r="R1482" s="18">
        <f>IF(Q1482="",P1482,Q1482)</f>
        <v/>
      </c>
      <c r="S1482" s="18" t="inlineStr">
        <is>
          <t>#cobblemon:is_freezing</t>
        </is>
      </c>
      <c r="T1482" s="18" t="inlineStr">
        <is>
          <t>common</t>
        </is>
      </c>
      <c r="U1482" s="20" t="n">
        <v>0.1</v>
      </c>
      <c r="V1482" s="21" t="n">
        <v>1</v>
      </c>
      <c r="W1482" s="20">
        <f>IF(OR(U1482="",V1482=""),U1482,U1482*V1482)</f>
        <v/>
      </c>
      <c r="X1482" s="18" t="inlineStr">
        <is>
          <t>21-47</t>
        </is>
      </c>
      <c r="Y1482" s="19" t="inlineStr"/>
      <c r="Z1482" s="18">
        <f>IF(Y1482="",X1482,Y1482)</f>
        <v/>
      </c>
      <c r="AA1482" s="18" t="inlineStr">
        <is>
          <t>grounded</t>
        </is>
      </c>
      <c r="AB1482" s="18" t="inlineStr">
        <is>
          <t>day</t>
        </is>
      </c>
      <c r="AC1482" s="18" t="inlineStr">
        <is>
          <t>비=False</t>
        </is>
      </c>
      <c r="AD1482" s="18" t="inlineStr"/>
      <c r="AE1482" s="18" t="inlineStr">
        <is>
          <t>sky 8-15</t>
        </is>
      </c>
      <c r="AF1482" s="18" t="inlineStr"/>
      <c r="AG1482" s="18" t="inlineStr"/>
      <c r="AH1482" s="18" t="inlineStr">
        <is>
          <t>주변=#cobblemon:flowers; #cobblemon:saccharine_trees</t>
        </is>
      </c>
      <c r="AI1482" s="18" t="inlineStr"/>
      <c r="AJ1482" s="18" t="inlineStr">
        <is>
          <t>Cobblemon 동일</t>
        </is>
      </c>
      <c r="AK1482" s="18" t="inlineStr">
        <is>
          <t>사용</t>
        </is>
      </c>
      <c r="AL1482" s="18" t="inlineStr">
        <is>
          <t>COBBLEVERSE 1.7.42 / DP v31</t>
        </is>
      </c>
      <c r="AM1482" s="18" t="inlineStr">
        <is>
          <t>data/cobblemon/spawn_pool_world/0416_vespiquen.json</t>
        </is>
      </c>
      <c r="AN1482" s="18" t="inlineStr">
        <is>
          <t>vespiquen-2</t>
        </is>
      </c>
      <c r="AO1482" s="18" t="inlineStr">
        <is>
          <t>pokemon</t>
        </is>
      </c>
      <c r="AP1482" s="18" t="inlineStr">
        <is>
          <t>natural</t>
        </is>
      </c>
      <c r="AQ1482" s="18" t="inlineStr">
        <is>
          <t>{"biomes":["#cobblemon:is_overworld"],"isRaining":false,"maxSkyLight":15,"minSkyLight":8,"neededNearbyBlocks":["#cobblemon:flowers","#cobblemon:saccharine_trees"],"timeRange":"day"}</t>
        </is>
      </c>
      <c r="AR1482" s="18" t="inlineStr">
        <is>
          <t>{"biomes":["#cobblemon:is_freezing"]}</t>
        </is>
      </c>
      <c r="AS1482" s="18" t="inlineStr">
        <is>
          <t>{"weightMultiplier":{"condition":{"neededNearbyBlocks":["#minecraft:beehives"]},"multiplier":5.0}}</t>
        </is>
      </c>
      <c r="AT1482" s="19" t="inlineStr"/>
    </row>
    <row r="1483" ht="32" customHeight="1">
      <c r="A1483" s="18" t="inlineStr">
        <is>
          <t>0416_vespiquen.json::vespiquen-3::003</t>
        </is>
      </c>
      <c r="B1483" s="19" t="inlineStr">
        <is>
          <t>사용</t>
        </is>
      </c>
      <c r="C1483" s="18">
        <f>IF(OR(B1483&lt;&gt;AK1483,M1483&lt;&gt;L1483,O1483&lt;&gt;"",Q1483&lt;&gt;"",V1483&lt;&gt;1,Y1483&lt;&gt;"",AT1483&lt;&gt;""),"수정","원본")</f>
        <v/>
      </c>
      <c r="D1483" s="18" t="n">
        <v>416</v>
      </c>
      <c r="E1483" s="18" t="inlineStr">
        <is>
          <t>비퀸</t>
        </is>
      </c>
      <c r="F1483" s="18" t="inlineStr">
        <is>
          <t>vespiquen</t>
        </is>
      </c>
      <c r="G1483" s="18" t="inlineStr">
        <is>
          <t>vespiquen</t>
        </is>
      </c>
      <c r="H1483" s="18" t="inlineStr"/>
      <c r="I1483" s="18" t="n">
        <v>4</v>
      </c>
      <c r="J1483" s="18" t="n"/>
      <c r="K1483" s="18" t="n">
        <v>4</v>
      </c>
      <c r="L1483" s="18" t="inlineStr">
        <is>
          <t>cobbleventure:generation_4</t>
        </is>
      </c>
      <c r="M1483" s="19" t="inlineStr">
        <is>
          <t>cobbleventure:generation_4</t>
        </is>
      </c>
      <c r="N1483" s="18" t="inlineStr"/>
      <c r="O1483" s="19" t="inlineStr"/>
      <c r="P1483" s="18" t="inlineStr">
        <is>
          <t>#aether:is_aether</t>
        </is>
      </c>
      <c r="Q1483" s="19" t="inlineStr"/>
      <c r="R1483" s="18">
        <f>IF(Q1483="",P1483,Q1483)</f>
        <v/>
      </c>
      <c r="S1483" s="18" t="inlineStr">
        <is>
          <t>#cobblemon:is_freezing</t>
        </is>
      </c>
      <c r="T1483" s="18" t="inlineStr">
        <is>
          <t>common</t>
        </is>
      </c>
      <c r="U1483" s="20" t="n">
        <v>0.1</v>
      </c>
      <c r="V1483" s="21" t="n">
        <v>1</v>
      </c>
      <c r="W1483" s="20">
        <f>IF(OR(U1483="",V1483=""),U1483,U1483*V1483)</f>
        <v/>
      </c>
      <c r="X1483" s="18" t="inlineStr">
        <is>
          <t>21-47</t>
        </is>
      </c>
      <c r="Y1483" s="19" t="inlineStr"/>
      <c r="Z1483" s="18">
        <f>IF(Y1483="",X1483,Y1483)</f>
        <v/>
      </c>
      <c r="AA1483" s="18" t="inlineStr">
        <is>
          <t>grounded</t>
        </is>
      </c>
      <c r="AB1483" s="18" t="inlineStr"/>
      <c r="AC1483" s="18" t="inlineStr"/>
      <c r="AD1483" s="18" t="inlineStr"/>
      <c r="AE1483" s="18" t="inlineStr">
        <is>
          <t>sky 8-15</t>
        </is>
      </c>
      <c r="AF1483" s="18" t="inlineStr"/>
      <c r="AG1483" s="18" t="inlineStr"/>
      <c r="AH1483" s="18" t="inlineStr"/>
      <c r="AI1483" s="18" t="inlineStr"/>
      <c r="AJ1483" s="18" t="inlineStr">
        <is>
          <t>Cobblemon 동일</t>
        </is>
      </c>
      <c r="AK1483" s="18" t="inlineStr">
        <is>
          <t>사용</t>
        </is>
      </c>
      <c r="AL1483" s="18" t="inlineStr">
        <is>
          <t>COBBLEVERSE 1.7.42 / DP v31</t>
        </is>
      </c>
      <c r="AM1483" s="18" t="inlineStr">
        <is>
          <t>data/cobblemon/spawn_pool_world/0416_vespiquen.json</t>
        </is>
      </c>
      <c r="AN1483" s="18" t="inlineStr">
        <is>
          <t>vespiquen-3</t>
        </is>
      </c>
      <c r="AO1483" s="18" t="inlineStr">
        <is>
          <t>pokemon</t>
        </is>
      </c>
      <c r="AP1483" s="18" t="inlineStr">
        <is>
          <t>natural</t>
        </is>
      </c>
      <c r="AQ1483" s="18" t="inlineStr">
        <is>
          <t>{"biomes":["#aether:is_aether"],"maxSkyLight":15,"minSkyLight":8}</t>
        </is>
      </c>
      <c r="AR1483" s="18" t="inlineStr">
        <is>
          <t>{"biomes":["#cobblemon:is_freezing"]}</t>
        </is>
      </c>
      <c r="AS1483" s="18" t="inlineStr">
        <is>
          <t>{"weightMultiplier":{"condition":{"neededNearbyBlocks":["#minecraft:beehives"]},"multiplier":5.0}}</t>
        </is>
      </c>
      <c r="AT1483" s="19" t="inlineStr"/>
    </row>
    <row r="1484" ht="32" customHeight="1">
      <c r="A1484" s="18" t="inlineStr">
        <is>
          <t>0416_vespiquen.json::vespiquen-4::004</t>
        </is>
      </c>
      <c r="B1484" s="19" t="inlineStr">
        <is>
          <t>사용</t>
        </is>
      </c>
      <c r="C1484" s="18">
        <f>IF(OR(B1484&lt;&gt;AK1484,M1484&lt;&gt;L1484,O1484&lt;&gt;"",Q1484&lt;&gt;"",V1484&lt;&gt;1,Y1484&lt;&gt;"",AT1484&lt;&gt;""),"수정","원본")</f>
        <v/>
      </c>
      <c r="D1484" s="18" t="n">
        <v>416</v>
      </c>
      <c r="E1484" s="18" t="inlineStr">
        <is>
          <t>비퀸</t>
        </is>
      </c>
      <c r="F1484" s="18" t="inlineStr">
        <is>
          <t>vespiquen</t>
        </is>
      </c>
      <c r="G1484" s="18" t="inlineStr">
        <is>
          <t>vespiquen</t>
        </is>
      </c>
      <c r="H1484" s="18" t="inlineStr"/>
      <c r="I1484" s="18" t="n">
        <v>4</v>
      </c>
      <c r="J1484" s="18" t="n"/>
      <c r="K1484" s="18" t="n">
        <v>4</v>
      </c>
      <c r="L1484" s="18" t="inlineStr">
        <is>
          <t>cobbleventure:generation_4</t>
        </is>
      </c>
      <c r="M1484" s="19" t="inlineStr">
        <is>
          <t>cobbleventure:generation_4</t>
        </is>
      </c>
      <c r="N1484" s="18" t="inlineStr"/>
      <c r="O1484" s="19" t="inlineStr"/>
      <c r="P1484" s="18" t="inlineStr">
        <is>
          <t>#the_bumblezone:the_bumblezone</t>
        </is>
      </c>
      <c r="Q1484" s="19" t="inlineStr"/>
      <c r="R1484" s="18">
        <f>IF(Q1484="",P1484,Q1484)</f>
        <v/>
      </c>
      <c r="S1484" s="18" t="inlineStr"/>
      <c r="T1484" s="18" t="inlineStr">
        <is>
          <t>common</t>
        </is>
      </c>
      <c r="U1484" s="20" t="n">
        <v>1</v>
      </c>
      <c r="V1484" s="21" t="n">
        <v>1</v>
      </c>
      <c r="W1484" s="20">
        <f>IF(OR(U1484="",V1484=""),U1484,U1484*V1484)</f>
        <v/>
      </c>
      <c r="X1484" s="18" t="inlineStr">
        <is>
          <t>21-47</t>
        </is>
      </c>
      <c r="Y1484" s="19" t="inlineStr"/>
      <c r="Z1484" s="18">
        <f>IF(Y1484="",X1484,Y1484)</f>
        <v/>
      </c>
      <c r="AA1484" s="18" t="inlineStr">
        <is>
          <t>grounded</t>
        </is>
      </c>
      <c r="AB1484" s="18" t="inlineStr"/>
      <c r="AC1484" s="18" t="inlineStr"/>
      <c r="AD1484" s="18" t="inlineStr"/>
      <c r="AE1484" s="18" t="inlineStr"/>
      <c r="AF1484" s="18" t="inlineStr"/>
      <c r="AG1484" s="18" t="inlineStr"/>
      <c r="AH1484" s="18" t="inlineStr"/>
      <c r="AI1484" s="18" t="inlineStr"/>
      <c r="AJ1484" s="18" t="inlineStr">
        <is>
          <t>Cobblemon 동일</t>
        </is>
      </c>
      <c r="AK1484" s="18" t="inlineStr">
        <is>
          <t>사용</t>
        </is>
      </c>
      <c r="AL1484" s="18" t="inlineStr">
        <is>
          <t>COBBLEVERSE 1.7.42 / DP v31</t>
        </is>
      </c>
      <c r="AM1484" s="18" t="inlineStr">
        <is>
          <t>data/cobblemon/spawn_pool_world/0416_vespiquen.json</t>
        </is>
      </c>
      <c r="AN1484" s="18" t="inlineStr">
        <is>
          <t>vespiquen-4</t>
        </is>
      </c>
      <c r="AO1484" s="18" t="inlineStr">
        <is>
          <t>pokemon</t>
        </is>
      </c>
      <c r="AP1484" s="18" t="inlineStr"/>
      <c r="AQ1484" s="18" t="inlineStr">
        <is>
          <t>{"biomes":["#the_bumblezone:the_bumblezone"]}</t>
        </is>
      </c>
      <c r="AR1484" s="18" t="inlineStr">
        <is>
          <t>{"structures":["#the_bumblezone:sempiternal_sanctums"]}</t>
        </is>
      </c>
      <c r="AS1484" s="18" t="inlineStr"/>
      <c r="AT1484" s="19" t="inlineStr"/>
    </row>
    <row r="1485" ht="32" customHeight="1">
      <c r="A1485" s="18" t="inlineStr">
        <is>
          <t>0417_pachirisu.json::pachirisu-1::001</t>
        </is>
      </c>
      <c r="B1485" s="19" t="inlineStr">
        <is>
          <t>사용</t>
        </is>
      </c>
      <c r="C1485" s="18">
        <f>IF(OR(B1485&lt;&gt;AK1485,M1485&lt;&gt;L1485,O1485&lt;&gt;"",Q1485&lt;&gt;"",V1485&lt;&gt;1,Y1485&lt;&gt;"",AT1485&lt;&gt;""),"수정","원본")</f>
        <v/>
      </c>
      <c r="D1485" s="18" t="n">
        <v>417</v>
      </c>
      <c r="E1485" s="18" t="inlineStr">
        <is>
          <t>파치리스</t>
        </is>
      </c>
      <c r="F1485" s="18" t="inlineStr">
        <is>
          <t>pachirisu</t>
        </is>
      </c>
      <c r="G1485" s="18" t="inlineStr">
        <is>
          <t>pachirisu</t>
        </is>
      </c>
      <c r="H1485" s="18" t="inlineStr"/>
      <c r="I1485" s="18" t="n">
        <v>4</v>
      </c>
      <c r="J1485" s="18" t="n"/>
      <c r="K1485" s="18" t="n">
        <v>4</v>
      </c>
      <c r="L1485" s="18" t="inlineStr">
        <is>
          <t>cobbleventure:generation_4</t>
        </is>
      </c>
      <c r="M1485" s="19" t="inlineStr">
        <is>
          <t>cobbleventure:generation_4</t>
        </is>
      </c>
      <c r="N1485" s="18" t="inlineStr">
        <is>
          <t>region_01</t>
        </is>
      </c>
      <c r="O1485" s="19" t="inlineStr"/>
      <c r="P1485" s="18" t="inlineStr">
        <is>
          <t>#cobblemon:is_forest; aether:skyroot_forest; aether:skyroot_woodland</t>
        </is>
      </c>
      <c r="Q1485" s="19" t="inlineStr"/>
      <c r="R1485" s="18">
        <f>IF(Q1485="",P1485,Q1485)</f>
        <v/>
      </c>
      <c r="S1485" s="18" t="inlineStr">
        <is>
          <t>#cobblemon:is_spooky</t>
        </is>
      </c>
      <c r="T1485" s="18" t="inlineStr">
        <is>
          <t>uncommon</t>
        </is>
      </c>
      <c r="U1485" s="20" t="n">
        <v>10</v>
      </c>
      <c r="V1485" s="21" t="n">
        <v>1</v>
      </c>
      <c r="W1485" s="20">
        <f>IF(OR(U1485="",V1485=""),U1485,U1485*V1485)</f>
        <v/>
      </c>
      <c r="X1485" s="18" t="inlineStr">
        <is>
          <t>16-41</t>
        </is>
      </c>
      <c r="Y1485" s="19" t="inlineStr"/>
      <c r="Z1485" s="18">
        <f>IF(Y1485="",X1485,Y1485)</f>
        <v/>
      </c>
      <c r="AA1485" s="18" t="inlineStr">
        <is>
          <t>grounded</t>
        </is>
      </c>
      <c r="AB1485" s="18" t="inlineStr"/>
      <c r="AC1485" s="18" t="inlineStr"/>
      <c r="AD1485" s="18" t="inlineStr"/>
      <c r="AE1485" s="18" t="inlineStr">
        <is>
          <t>sky 8-15</t>
        </is>
      </c>
      <c r="AF1485" s="18" t="inlineStr"/>
      <c r="AG1485" s="18" t="inlineStr"/>
      <c r="AH1485" s="18" t="inlineStr"/>
      <c r="AI1485" s="18" t="inlineStr"/>
      <c r="AJ1485" s="18" t="inlineStr">
        <is>
          <t>Cobblemon 동일</t>
        </is>
      </c>
      <c r="AK1485" s="18" t="inlineStr">
        <is>
          <t>사용</t>
        </is>
      </c>
      <c r="AL1485" s="18" t="inlineStr">
        <is>
          <t>COBBLEVERSE 1.7.42 / DP v31</t>
        </is>
      </c>
      <c r="AM1485" s="18" t="inlineStr">
        <is>
          <t>data/cobblemon/spawn_pool_world/0417_pachirisu.json</t>
        </is>
      </c>
      <c r="AN1485" s="18" t="inlineStr">
        <is>
          <t>pachirisu-1</t>
        </is>
      </c>
      <c r="AO1485" s="18" t="inlineStr">
        <is>
          <t>pokemon</t>
        </is>
      </c>
      <c r="AP1485" s="18" t="inlineStr">
        <is>
          <t>natural; treetop</t>
        </is>
      </c>
      <c r="AQ1485" s="18" t="inlineStr">
        <is>
          <t>{"biomes":["#cobblemon:is_forest","aether:skyroot_forest","aether:skyroot_woodland"],"maxSkyLight":15,"minSkyLight":8}</t>
        </is>
      </c>
      <c r="AR1485" s="18" t="inlineStr">
        <is>
          <t>{"biomes":["#cobblemon:is_spooky"]}</t>
        </is>
      </c>
      <c r="AS1485" s="18" t="inlineStr">
        <is>
          <t>{"weightMultiplier":{"condition":{"isThundering":true},"multiplier":5.0}}</t>
        </is>
      </c>
      <c r="AT1485" s="19" t="inlineStr"/>
    </row>
    <row r="1486" ht="32" customHeight="1">
      <c r="A1486" s="18" t="inlineStr">
        <is>
          <t>0418_buizel.json::buizel-1::001</t>
        </is>
      </c>
      <c r="B1486" s="19" t="inlineStr">
        <is>
          <t>사용</t>
        </is>
      </c>
      <c r="C1486" s="18">
        <f>IF(OR(B1486&lt;&gt;AK1486,M1486&lt;&gt;L1486,O1486&lt;&gt;"",Q1486&lt;&gt;"",V1486&lt;&gt;1,Y1486&lt;&gt;"",AT1486&lt;&gt;""),"수정","원본")</f>
        <v/>
      </c>
      <c r="D1486" s="18" t="n">
        <v>418</v>
      </c>
      <c r="E1486" s="18" t="inlineStr">
        <is>
          <t>브이젤</t>
        </is>
      </c>
      <c r="F1486" s="18" t="inlineStr">
        <is>
          <t>buizel</t>
        </is>
      </c>
      <c r="G1486" s="18" t="inlineStr">
        <is>
          <t>buizel</t>
        </is>
      </c>
      <c r="H1486" s="18" t="inlineStr"/>
      <c r="I1486" s="18" t="n">
        <v>4</v>
      </c>
      <c r="J1486" s="18" t="n"/>
      <c r="K1486" s="18" t="n">
        <v>4</v>
      </c>
      <c r="L1486" s="18" t="inlineStr">
        <is>
          <t>cobbleventure:generation_4</t>
        </is>
      </c>
      <c r="M1486" s="19" t="inlineStr">
        <is>
          <t>cobbleventure:generation_4</t>
        </is>
      </c>
      <c r="N1486" s="18" t="inlineStr">
        <is>
          <t>region_02</t>
        </is>
      </c>
      <c r="O1486" s="19" t="inlineStr"/>
      <c r="P1486" s="18" t="inlineStr">
        <is>
          <t>#cobblemon:is_freshwater</t>
        </is>
      </c>
      <c r="Q1486" s="19" t="inlineStr"/>
      <c r="R1486" s="18">
        <f>IF(Q1486="",P1486,Q1486)</f>
        <v/>
      </c>
      <c r="S1486" s="18" t="inlineStr">
        <is>
          <t>#cobblemon:is_freezing</t>
        </is>
      </c>
      <c r="T1486" s="18" t="inlineStr">
        <is>
          <t>common</t>
        </is>
      </c>
      <c r="U1486" s="20" t="n">
        <v>1.8</v>
      </c>
      <c r="V1486" s="21" t="n">
        <v>1</v>
      </c>
      <c r="W1486" s="20">
        <f>IF(OR(U1486="",V1486=""),U1486,U1486*V1486)</f>
        <v/>
      </c>
      <c r="X1486" s="18" t="inlineStr">
        <is>
          <t>8-33</t>
        </is>
      </c>
      <c r="Y1486" s="19" t="inlineStr"/>
      <c r="Z1486" s="18">
        <f>IF(Y1486="",X1486,Y1486)</f>
        <v/>
      </c>
      <c r="AA1486" s="18" t="inlineStr">
        <is>
          <t>grounded</t>
        </is>
      </c>
      <c r="AB1486" s="18" t="inlineStr"/>
      <c r="AC1486" s="18" t="inlineStr"/>
      <c r="AD1486" s="18" t="inlineStr"/>
      <c r="AE1486" s="18" t="inlineStr">
        <is>
          <t>sky 8-15</t>
        </is>
      </c>
      <c r="AF1486" s="18" t="inlineStr"/>
      <c r="AG1486" s="18" t="inlineStr"/>
      <c r="AH1486" s="18" t="inlineStr"/>
      <c r="AI1486" s="18" t="inlineStr"/>
      <c r="AJ1486" s="18" t="inlineStr">
        <is>
          <t>Cobblemon 동일</t>
        </is>
      </c>
      <c r="AK1486" s="18" t="inlineStr">
        <is>
          <t>사용</t>
        </is>
      </c>
      <c r="AL1486" s="18" t="inlineStr">
        <is>
          <t>COBBLEVERSE 1.7.42 / DP v31</t>
        </is>
      </c>
      <c r="AM1486" s="18" t="inlineStr">
        <is>
          <t>data/cobblemon/spawn_pool_world/0418_buizel.json</t>
        </is>
      </c>
      <c r="AN1486" s="18" t="inlineStr">
        <is>
          <t>buizel-1</t>
        </is>
      </c>
      <c r="AO1486" s="18" t="inlineStr">
        <is>
          <t>pokemon</t>
        </is>
      </c>
      <c r="AP1486" s="18" t="inlineStr">
        <is>
          <t>natural</t>
        </is>
      </c>
      <c r="AQ1486" s="18" t="inlineStr">
        <is>
          <t>{"biomes":["#cobblemon:is_freshwater"],"maxSkyLight":15,"minSkyLight":8}</t>
        </is>
      </c>
      <c r="AR1486" s="18" t="inlineStr">
        <is>
          <t>{"biomes":["#cobblemon:is_freezing"]}</t>
        </is>
      </c>
      <c r="AS1486" s="18" t="inlineStr"/>
      <c r="AT1486" s="19" t="inlineStr"/>
    </row>
    <row r="1487" ht="32" customHeight="1">
      <c r="A1487" s="18" t="inlineStr">
        <is>
          <t>0418_buizel.json::buizel-2::002</t>
        </is>
      </c>
      <c r="B1487" s="19" t="inlineStr">
        <is>
          <t>사용</t>
        </is>
      </c>
      <c r="C1487" s="18">
        <f>IF(OR(B1487&lt;&gt;AK1487,M1487&lt;&gt;L1487,O1487&lt;&gt;"",Q1487&lt;&gt;"",V1487&lt;&gt;1,Y1487&lt;&gt;"",AT1487&lt;&gt;""),"수정","원본")</f>
        <v/>
      </c>
      <c r="D1487" s="18" t="n">
        <v>418</v>
      </c>
      <c r="E1487" s="18" t="inlineStr">
        <is>
          <t>브이젤</t>
        </is>
      </c>
      <c r="F1487" s="18" t="inlineStr">
        <is>
          <t>buizel</t>
        </is>
      </c>
      <c r="G1487" s="18" t="inlineStr">
        <is>
          <t>buizel</t>
        </is>
      </c>
      <c r="H1487" s="18" t="inlineStr"/>
      <c r="I1487" s="18" t="n">
        <v>4</v>
      </c>
      <c r="J1487" s="18" t="n"/>
      <c r="K1487" s="18" t="n">
        <v>4</v>
      </c>
      <c r="L1487" s="18" t="inlineStr">
        <is>
          <t>cobbleventure:generation_4</t>
        </is>
      </c>
      <c r="M1487" s="19" t="inlineStr">
        <is>
          <t>cobbleventure:generation_4</t>
        </is>
      </c>
      <c r="N1487" s="18" t="inlineStr">
        <is>
          <t>region_02</t>
        </is>
      </c>
      <c r="O1487" s="19" t="inlineStr"/>
      <c r="P1487" s="18" t="inlineStr">
        <is>
          <t>#cobblemon:is_freshwater</t>
        </is>
      </c>
      <c r="Q1487" s="19" t="inlineStr"/>
      <c r="R1487" s="18">
        <f>IF(Q1487="",P1487,Q1487)</f>
        <v/>
      </c>
      <c r="S1487" s="18" t="inlineStr">
        <is>
          <t>#cobblemon:is_freezing</t>
        </is>
      </c>
      <c r="T1487" s="18" t="inlineStr">
        <is>
          <t>common</t>
        </is>
      </c>
      <c r="U1487" s="20" t="n">
        <v>1.8</v>
      </c>
      <c r="V1487" s="21" t="n">
        <v>1</v>
      </c>
      <c r="W1487" s="20">
        <f>IF(OR(U1487="",V1487=""),U1487,U1487*V1487)</f>
        <v/>
      </c>
      <c r="X1487" s="18" t="inlineStr">
        <is>
          <t>8-33</t>
        </is>
      </c>
      <c r="Y1487" s="19" t="inlineStr"/>
      <c r="Z1487" s="18">
        <f>IF(Y1487="",X1487,Y1487)</f>
        <v/>
      </c>
      <c r="AA1487" s="18" t="inlineStr">
        <is>
          <t>submerged</t>
        </is>
      </c>
      <c r="AB1487" s="18" t="inlineStr"/>
      <c r="AC1487" s="18" t="inlineStr"/>
      <c r="AD1487" s="18" t="inlineStr"/>
      <c r="AE1487" s="18" t="inlineStr">
        <is>
          <t>sky 8-15</t>
        </is>
      </c>
      <c r="AF1487" s="18" t="inlineStr"/>
      <c r="AG1487" s="18" t="inlineStr"/>
      <c r="AH1487" s="18" t="inlineStr"/>
      <c r="AI1487" s="18" t="inlineStr"/>
      <c r="AJ1487" s="18" t="inlineStr">
        <is>
          <t>Cobblemon 동일</t>
        </is>
      </c>
      <c r="AK1487" s="18" t="inlineStr">
        <is>
          <t>사용</t>
        </is>
      </c>
      <c r="AL1487" s="18" t="inlineStr">
        <is>
          <t>COBBLEVERSE 1.7.42 / DP v31</t>
        </is>
      </c>
      <c r="AM1487" s="18" t="inlineStr">
        <is>
          <t>data/cobblemon/spawn_pool_world/0418_buizel.json</t>
        </is>
      </c>
      <c r="AN1487" s="18" t="inlineStr">
        <is>
          <t>buizel-2</t>
        </is>
      </c>
      <c r="AO1487" s="18" t="inlineStr">
        <is>
          <t>pokemon</t>
        </is>
      </c>
      <c r="AP1487" s="18" t="inlineStr">
        <is>
          <t>water</t>
        </is>
      </c>
      <c r="AQ1487" s="18" t="inlineStr">
        <is>
          <t>{"biomes":["#cobblemon:is_freshwater"],"maxSkyLight":15,"minSkyLight":8}</t>
        </is>
      </c>
      <c r="AR1487" s="18" t="inlineStr">
        <is>
          <t>{"biomes":["#cobblemon:is_freezing"]}</t>
        </is>
      </c>
      <c r="AS1487" s="18" t="inlineStr"/>
      <c r="AT1487" s="19" t="inlineStr"/>
    </row>
    <row r="1488" ht="32" customHeight="1">
      <c r="A1488" s="18" t="inlineStr">
        <is>
          <t>0418_buizel.json::buizel-3::003</t>
        </is>
      </c>
      <c r="B1488" s="19" t="inlineStr">
        <is>
          <t>사용</t>
        </is>
      </c>
      <c r="C1488" s="18">
        <f>IF(OR(B1488&lt;&gt;AK1488,M1488&lt;&gt;L1488,O1488&lt;&gt;"",Q1488&lt;&gt;"",V1488&lt;&gt;1,Y1488&lt;&gt;"",AT1488&lt;&gt;""),"수정","원본")</f>
        <v/>
      </c>
      <c r="D1488" s="18" t="n">
        <v>418</v>
      </c>
      <c r="E1488" s="18" t="inlineStr">
        <is>
          <t>브이젤</t>
        </is>
      </c>
      <c r="F1488" s="18" t="inlineStr">
        <is>
          <t>buizel</t>
        </is>
      </c>
      <c r="G1488" s="18" t="inlineStr">
        <is>
          <t>buizel</t>
        </is>
      </c>
      <c r="H1488" s="18" t="inlineStr"/>
      <c r="I1488" s="18" t="n">
        <v>4</v>
      </c>
      <c r="J1488" s="18" t="n"/>
      <c r="K1488" s="18" t="n">
        <v>4</v>
      </c>
      <c r="L1488" s="18" t="inlineStr">
        <is>
          <t>cobbleventure:generation_4</t>
        </is>
      </c>
      <c r="M1488" s="19" t="inlineStr">
        <is>
          <t>cobbleventure:generation_4</t>
        </is>
      </c>
      <c r="N1488" s="18" t="inlineStr">
        <is>
          <t>region_02</t>
        </is>
      </c>
      <c r="O1488" s="19" t="inlineStr"/>
      <c r="P1488" s="18" t="inlineStr">
        <is>
          <t>#cobblemon:is_freshwater</t>
        </is>
      </c>
      <c r="Q1488" s="19" t="inlineStr"/>
      <c r="R1488" s="18">
        <f>IF(Q1488="",P1488,Q1488)</f>
        <v/>
      </c>
      <c r="S1488" s="18" t="inlineStr">
        <is>
          <t>#cobblemon:is_freezing</t>
        </is>
      </c>
      <c r="T1488" s="18" t="inlineStr">
        <is>
          <t>uncommon</t>
        </is>
      </c>
      <c r="U1488" s="20" t="n">
        <v>1.68</v>
      </c>
      <c r="V1488" s="21" t="n">
        <v>1</v>
      </c>
      <c r="W1488" s="20">
        <f>IF(OR(U1488="",V1488=""),U1488,U1488*V1488)</f>
        <v/>
      </c>
      <c r="X1488" s="18" t="inlineStr">
        <is>
          <t>8-33</t>
        </is>
      </c>
      <c r="Y1488" s="19" t="inlineStr"/>
      <c r="Z1488" s="18">
        <f>IF(Y1488="",X1488,Y1488)</f>
        <v/>
      </c>
      <c r="AA1488" s="18" t="inlineStr">
        <is>
          <t>surface</t>
        </is>
      </c>
      <c r="AB1488" s="18" t="inlineStr"/>
      <c r="AC1488" s="18" t="inlineStr"/>
      <c r="AD1488" s="18" t="inlineStr"/>
      <c r="AE1488" s="18" t="inlineStr">
        <is>
          <t>sky 8-15</t>
        </is>
      </c>
      <c r="AF1488" s="18" t="inlineStr"/>
      <c r="AG1488" s="18" t="inlineStr"/>
      <c r="AH1488" s="18" t="inlineStr"/>
      <c r="AI1488" s="18" t="inlineStr"/>
      <c r="AJ1488" s="18" t="inlineStr">
        <is>
          <t>Cobblemon 동일</t>
        </is>
      </c>
      <c r="AK1488" s="18" t="inlineStr">
        <is>
          <t>사용</t>
        </is>
      </c>
      <c r="AL1488" s="18" t="inlineStr">
        <is>
          <t>COBBLEVERSE 1.7.42 / DP v31</t>
        </is>
      </c>
      <c r="AM1488" s="18" t="inlineStr">
        <is>
          <t>data/cobblemon/spawn_pool_world/0418_buizel.json</t>
        </is>
      </c>
      <c r="AN1488" s="18" t="inlineStr">
        <is>
          <t>buizel-3</t>
        </is>
      </c>
      <c r="AO1488" s="18" t="inlineStr">
        <is>
          <t>pokemon</t>
        </is>
      </c>
      <c r="AP1488" s="18" t="inlineStr">
        <is>
          <t>water</t>
        </is>
      </c>
      <c r="AQ1488" s="18" t="inlineStr">
        <is>
          <t>{"biomes":["#cobblemon:is_freshwater"],"maxSkyLight":15,"minSkyLight":8}</t>
        </is>
      </c>
      <c r="AR1488" s="18" t="inlineStr">
        <is>
          <t>{"biomes":["#cobblemon:is_freezing"]}</t>
        </is>
      </c>
      <c r="AS1488" s="18" t="inlineStr"/>
      <c r="AT1488" s="19" t="inlineStr"/>
    </row>
    <row r="1489" ht="32" customHeight="1">
      <c r="A1489" s="18" t="inlineStr">
        <is>
          <t>0418_buizel.json::buizel-4::004</t>
        </is>
      </c>
      <c r="B1489" s="19" t="inlineStr">
        <is>
          <t>사용</t>
        </is>
      </c>
      <c r="C1489" s="18">
        <f>IF(OR(B1489&lt;&gt;AK1489,M1489&lt;&gt;L1489,O1489&lt;&gt;"",Q1489&lt;&gt;"",V1489&lt;&gt;1,Y1489&lt;&gt;"",AT1489&lt;&gt;""),"수정","원본")</f>
        <v/>
      </c>
      <c r="D1489" s="18" t="n">
        <v>418</v>
      </c>
      <c r="E1489" s="18" t="inlineStr">
        <is>
          <t>브이젤</t>
        </is>
      </c>
      <c r="F1489" s="18" t="inlineStr">
        <is>
          <t>buizel</t>
        </is>
      </c>
      <c r="G1489" s="18" t="inlineStr">
        <is>
          <t>buizel</t>
        </is>
      </c>
      <c r="H1489" s="18" t="inlineStr"/>
      <c r="I1489" s="18" t="n">
        <v>4</v>
      </c>
      <c r="J1489" s="18" t="n"/>
      <c r="K1489" s="18" t="n">
        <v>4</v>
      </c>
      <c r="L1489" s="18" t="inlineStr">
        <is>
          <t>cobbleventure:generation_4</t>
        </is>
      </c>
      <c r="M1489" s="19" t="inlineStr">
        <is>
          <t>cobbleventure:generation_4</t>
        </is>
      </c>
      <c r="N1489" s="18" t="inlineStr">
        <is>
          <t>region_01; region_02</t>
        </is>
      </c>
      <c r="O1489" s="19" t="inlineStr"/>
      <c r="P1489" s="18" t="inlineStr">
        <is>
          <t>#cobblemon:is_forest; #cobblemon:is_freshwater; #cobblemon:is_grassland; #cobblemon:is_hills; #cobblemon:is_jungle; #cobblemon:is_taiga</t>
        </is>
      </c>
      <c r="Q1489" s="19" t="inlineStr"/>
      <c r="R1489" s="18">
        <f>IF(Q1489="",P1489,Q1489)</f>
        <v/>
      </c>
      <c r="S1489" s="18" t="inlineStr">
        <is>
          <t>#cobblemon:is_freezing</t>
        </is>
      </c>
      <c r="T1489" s="18" t="inlineStr">
        <is>
          <t>common</t>
        </is>
      </c>
      <c r="U1489" s="20" t="n">
        <v>1.8</v>
      </c>
      <c r="V1489" s="21" t="n">
        <v>1</v>
      </c>
      <c r="W1489" s="20">
        <f>IF(OR(U1489="",V1489=""),U1489,U1489*V1489)</f>
        <v/>
      </c>
      <c r="X1489" s="18" t="inlineStr">
        <is>
          <t>8-33</t>
        </is>
      </c>
      <c r="Y1489" s="19" t="inlineStr"/>
      <c r="Z1489" s="18">
        <f>IF(Y1489="",X1489,Y1489)</f>
        <v/>
      </c>
      <c r="AA1489" s="18" t="inlineStr">
        <is>
          <t>fishing</t>
        </is>
      </c>
      <c r="AB1489" s="18" t="inlineStr"/>
      <c r="AC1489" s="18" t="inlineStr"/>
      <c r="AD1489" s="18" t="inlineStr"/>
      <c r="AE1489" s="18" t="inlineStr">
        <is>
          <t>sky 8-15</t>
        </is>
      </c>
      <c r="AF1489" s="18" t="inlineStr"/>
      <c r="AG1489" s="18" t="inlineStr"/>
      <c r="AH1489" s="18" t="inlineStr"/>
      <c r="AI1489" s="18" t="inlineStr"/>
      <c r="AJ1489" s="18" t="inlineStr">
        <is>
          <t>Cobblemon 동일</t>
        </is>
      </c>
      <c r="AK1489" s="18" t="inlineStr">
        <is>
          <t>사용</t>
        </is>
      </c>
      <c r="AL1489" s="18" t="inlineStr">
        <is>
          <t>COBBLEVERSE 1.7.42 / DP v31</t>
        </is>
      </c>
      <c r="AM1489" s="18" t="inlineStr">
        <is>
          <t>data/cobblemon/spawn_pool_world/0418_buizel.json</t>
        </is>
      </c>
      <c r="AN1489" s="18" t="inlineStr">
        <is>
          <t>buizel-4</t>
        </is>
      </c>
      <c r="AO1489" s="18" t="inlineStr">
        <is>
          <t>pokemon</t>
        </is>
      </c>
      <c r="AP1489" s="18" t="inlineStr"/>
      <c r="AQ1489" s="18" t="inlineStr">
        <is>
          <t>{"biomes":["#cobblemon:is_forest","#cobblemon:is_freshwater","#cobblemon:is_grassland","#cobblemon:is_hills","#cobblemon:is_jungle","#cobblemon:is_taiga"],"maxSkyLight":15,"minSkyLight":8}</t>
        </is>
      </c>
      <c r="AR1489" s="18" t="inlineStr">
        <is>
          <t>{"biomes":["#cobblemon:is_freezing"]}</t>
        </is>
      </c>
      <c r="AS1489" s="18" t="inlineStr">
        <is>
          <t>{"weightMultipliers":[{"condition":{"maxLureLevel":2,"minLureLevel":2},"multiplier":3.0},{"condition":{"minLureLevel":3},"multiplier":5.0}]}</t>
        </is>
      </c>
      <c r="AT1489" s="19" t="inlineStr"/>
    </row>
    <row r="1490" ht="32" customHeight="1">
      <c r="A1490" s="18" t="inlineStr">
        <is>
          <t>0419_floatzel.json::floatzel-1::001</t>
        </is>
      </c>
      <c r="B1490" s="19" t="inlineStr">
        <is>
          <t>사용</t>
        </is>
      </c>
      <c r="C1490" s="18">
        <f>IF(OR(B1490&lt;&gt;AK1490,M1490&lt;&gt;L1490,O1490&lt;&gt;"",Q1490&lt;&gt;"",V1490&lt;&gt;1,Y1490&lt;&gt;"",AT1490&lt;&gt;""),"수정","원본")</f>
        <v/>
      </c>
      <c r="D1490" s="18" t="n">
        <v>419</v>
      </c>
      <c r="E1490" s="18" t="inlineStr">
        <is>
          <t>플로젤</t>
        </is>
      </c>
      <c r="F1490" s="18" t="inlineStr">
        <is>
          <t>floatzel</t>
        </is>
      </c>
      <c r="G1490" s="18" t="inlineStr">
        <is>
          <t>floatzel</t>
        </is>
      </c>
      <c r="H1490" s="18" t="inlineStr"/>
      <c r="I1490" s="18" t="n">
        <v>4</v>
      </c>
      <c r="J1490" s="18" t="n"/>
      <c r="K1490" s="18" t="n">
        <v>4</v>
      </c>
      <c r="L1490" s="18" t="inlineStr">
        <is>
          <t>cobbleventure:generation_4</t>
        </is>
      </c>
      <c r="M1490" s="19" t="inlineStr">
        <is>
          <t>cobbleventure:generation_4</t>
        </is>
      </c>
      <c r="N1490" s="18" t="inlineStr">
        <is>
          <t>region_02</t>
        </is>
      </c>
      <c r="O1490" s="19" t="inlineStr"/>
      <c r="P1490" s="18" t="inlineStr">
        <is>
          <t>#cobblemon:is_freshwater</t>
        </is>
      </c>
      <c r="Q1490" s="19" t="inlineStr"/>
      <c r="R1490" s="18">
        <f>IF(Q1490="",P1490,Q1490)</f>
        <v/>
      </c>
      <c r="S1490" s="18" t="inlineStr">
        <is>
          <t>#cobblemon:is_freezing</t>
        </is>
      </c>
      <c r="T1490" s="18" t="inlineStr">
        <is>
          <t>common</t>
        </is>
      </c>
      <c r="U1490" s="20" t="n">
        <v>0.2</v>
      </c>
      <c r="V1490" s="21" t="n">
        <v>1</v>
      </c>
      <c r="W1490" s="20">
        <f>IF(OR(U1490="",V1490=""),U1490,U1490*V1490)</f>
        <v/>
      </c>
      <c r="X1490" s="18" t="inlineStr">
        <is>
          <t>26-50</t>
        </is>
      </c>
      <c r="Y1490" s="19" t="inlineStr"/>
      <c r="Z1490" s="18">
        <f>IF(Y1490="",X1490,Y1490)</f>
        <v/>
      </c>
      <c r="AA1490" s="18" t="inlineStr">
        <is>
          <t>grounded</t>
        </is>
      </c>
      <c r="AB1490" s="18" t="inlineStr"/>
      <c r="AC1490" s="18" t="inlineStr"/>
      <c r="AD1490" s="18" t="inlineStr"/>
      <c r="AE1490" s="18" t="inlineStr">
        <is>
          <t>sky 8-15</t>
        </is>
      </c>
      <c r="AF1490" s="18" t="inlineStr"/>
      <c r="AG1490" s="18" t="inlineStr"/>
      <c r="AH1490" s="18" t="inlineStr"/>
      <c r="AI1490" s="18" t="inlineStr"/>
      <c r="AJ1490" s="18" t="inlineStr">
        <is>
          <t>Cobblemon 동일</t>
        </is>
      </c>
      <c r="AK1490" s="18" t="inlineStr">
        <is>
          <t>사용</t>
        </is>
      </c>
      <c r="AL1490" s="18" t="inlineStr">
        <is>
          <t>COBBLEVERSE 1.7.42 / DP v31</t>
        </is>
      </c>
      <c r="AM1490" s="18" t="inlineStr">
        <is>
          <t>data/cobblemon/spawn_pool_world/0419_floatzel.json</t>
        </is>
      </c>
      <c r="AN1490" s="18" t="inlineStr">
        <is>
          <t>floatzel-1</t>
        </is>
      </c>
      <c r="AO1490" s="18" t="inlineStr">
        <is>
          <t>pokemon</t>
        </is>
      </c>
      <c r="AP1490" s="18" t="inlineStr">
        <is>
          <t>natural</t>
        </is>
      </c>
      <c r="AQ1490" s="18" t="inlineStr">
        <is>
          <t>{"biomes":["#cobblemon:is_freshwater"],"maxSkyLight":15,"minSkyLight":8}</t>
        </is>
      </c>
      <c r="AR1490" s="18" t="inlineStr">
        <is>
          <t>{"biomes":["#cobblemon:is_freezing"]}</t>
        </is>
      </c>
      <c r="AS1490" s="18" t="inlineStr"/>
      <c r="AT1490" s="19" t="inlineStr"/>
    </row>
    <row r="1491" ht="32" customHeight="1">
      <c r="A1491" s="18" t="inlineStr">
        <is>
          <t>0419_floatzel.json::floatzel-2::002</t>
        </is>
      </c>
      <c r="B1491" s="19" t="inlineStr">
        <is>
          <t>사용</t>
        </is>
      </c>
      <c r="C1491" s="18">
        <f>IF(OR(B1491&lt;&gt;AK1491,M1491&lt;&gt;L1491,O1491&lt;&gt;"",Q1491&lt;&gt;"",V1491&lt;&gt;1,Y1491&lt;&gt;"",AT1491&lt;&gt;""),"수정","원본")</f>
        <v/>
      </c>
      <c r="D1491" s="18" t="n">
        <v>419</v>
      </c>
      <c r="E1491" s="18" t="inlineStr">
        <is>
          <t>플로젤</t>
        </is>
      </c>
      <c r="F1491" s="18" t="inlineStr">
        <is>
          <t>floatzel</t>
        </is>
      </c>
      <c r="G1491" s="18" t="inlineStr">
        <is>
          <t>floatzel</t>
        </is>
      </c>
      <c r="H1491" s="18" t="inlineStr"/>
      <c r="I1491" s="18" t="n">
        <v>4</v>
      </c>
      <c r="J1491" s="18" t="n"/>
      <c r="K1491" s="18" t="n">
        <v>4</v>
      </c>
      <c r="L1491" s="18" t="inlineStr">
        <is>
          <t>cobbleventure:generation_4</t>
        </is>
      </c>
      <c r="M1491" s="19" t="inlineStr">
        <is>
          <t>cobbleventure:generation_4</t>
        </is>
      </c>
      <c r="N1491" s="18" t="inlineStr">
        <is>
          <t>region_02</t>
        </is>
      </c>
      <c r="O1491" s="19" t="inlineStr"/>
      <c r="P1491" s="18" t="inlineStr">
        <is>
          <t>#cobblemon:is_freshwater</t>
        </is>
      </c>
      <c r="Q1491" s="19" t="inlineStr"/>
      <c r="R1491" s="18">
        <f>IF(Q1491="",P1491,Q1491)</f>
        <v/>
      </c>
      <c r="S1491" s="18" t="inlineStr">
        <is>
          <t>#cobblemon:is_freezing</t>
        </is>
      </c>
      <c r="T1491" s="18" t="inlineStr">
        <is>
          <t>common</t>
        </is>
      </c>
      <c r="U1491" s="20" t="n">
        <v>0.2</v>
      </c>
      <c r="V1491" s="21" t="n">
        <v>1</v>
      </c>
      <c r="W1491" s="20">
        <f>IF(OR(U1491="",V1491=""),U1491,U1491*V1491)</f>
        <v/>
      </c>
      <c r="X1491" s="18" t="inlineStr">
        <is>
          <t>26-50</t>
        </is>
      </c>
      <c r="Y1491" s="19" t="inlineStr"/>
      <c r="Z1491" s="18">
        <f>IF(Y1491="",X1491,Y1491)</f>
        <v/>
      </c>
      <c r="AA1491" s="18" t="inlineStr">
        <is>
          <t>submerged</t>
        </is>
      </c>
      <c r="AB1491" s="18" t="inlineStr"/>
      <c r="AC1491" s="18" t="inlineStr"/>
      <c r="AD1491" s="18" t="inlineStr"/>
      <c r="AE1491" s="18" t="inlineStr">
        <is>
          <t>sky 8-15</t>
        </is>
      </c>
      <c r="AF1491" s="18" t="inlineStr"/>
      <c r="AG1491" s="18" t="inlineStr"/>
      <c r="AH1491" s="18" t="inlineStr"/>
      <c r="AI1491" s="18" t="inlineStr"/>
      <c r="AJ1491" s="18" t="inlineStr">
        <is>
          <t>Cobblemon 동일</t>
        </is>
      </c>
      <c r="AK1491" s="18" t="inlineStr">
        <is>
          <t>사용</t>
        </is>
      </c>
      <c r="AL1491" s="18" t="inlineStr">
        <is>
          <t>COBBLEVERSE 1.7.42 / DP v31</t>
        </is>
      </c>
      <c r="AM1491" s="18" t="inlineStr">
        <is>
          <t>data/cobblemon/spawn_pool_world/0419_floatzel.json</t>
        </is>
      </c>
      <c r="AN1491" s="18" t="inlineStr">
        <is>
          <t>floatzel-2</t>
        </is>
      </c>
      <c r="AO1491" s="18" t="inlineStr">
        <is>
          <t>pokemon</t>
        </is>
      </c>
      <c r="AP1491" s="18" t="inlineStr">
        <is>
          <t>water</t>
        </is>
      </c>
      <c r="AQ1491" s="18" t="inlineStr">
        <is>
          <t>{"biomes":["#cobblemon:is_freshwater"],"maxSkyLight":15,"minSkyLight":8}</t>
        </is>
      </c>
      <c r="AR1491" s="18" t="inlineStr">
        <is>
          <t>{"biomes":["#cobblemon:is_freezing"]}</t>
        </is>
      </c>
      <c r="AS1491" s="18" t="inlineStr"/>
      <c r="AT1491" s="19" t="inlineStr"/>
    </row>
    <row r="1492" ht="32" customHeight="1">
      <c r="A1492" s="18" t="inlineStr">
        <is>
          <t>0419_floatzel.json::floatzel-3::003</t>
        </is>
      </c>
      <c r="B1492" s="19" t="inlineStr">
        <is>
          <t>사용</t>
        </is>
      </c>
      <c r="C1492" s="18">
        <f>IF(OR(B1492&lt;&gt;AK1492,M1492&lt;&gt;L1492,O1492&lt;&gt;"",Q1492&lt;&gt;"",V1492&lt;&gt;1,Y1492&lt;&gt;"",AT1492&lt;&gt;""),"수정","원본")</f>
        <v/>
      </c>
      <c r="D1492" s="18" t="n">
        <v>419</v>
      </c>
      <c r="E1492" s="18" t="inlineStr">
        <is>
          <t>플로젤</t>
        </is>
      </c>
      <c r="F1492" s="18" t="inlineStr">
        <is>
          <t>floatzel</t>
        </is>
      </c>
      <c r="G1492" s="18" t="inlineStr">
        <is>
          <t>floatzel</t>
        </is>
      </c>
      <c r="H1492" s="18" t="inlineStr"/>
      <c r="I1492" s="18" t="n">
        <v>4</v>
      </c>
      <c r="J1492" s="18" t="n"/>
      <c r="K1492" s="18" t="n">
        <v>4</v>
      </c>
      <c r="L1492" s="18" t="inlineStr">
        <is>
          <t>cobbleventure:generation_4</t>
        </is>
      </c>
      <c r="M1492" s="19" t="inlineStr">
        <is>
          <t>cobbleventure:generation_4</t>
        </is>
      </c>
      <c r="N1492" s="18" t="inlineStr">
        <is>
          <t>region_02</t>
        </is>
      </c>
      <c r="O1492" s="19" t="inlineStr"/>
      <c r="P1492" s="18" t="inlineStr">
        <is>
          <t>#cobblemon:is_freshwater</t>
        </is>
      </c>
      <c r="Q1492" s="19" t="inlineStr"/>
      <c r="R1492" s="18">
        <f>IF(Q1492="",P1492,Q1492)</f>
        <v/>
      </c>
      <c r="S1492" s="18" t="inlineStr">
        <is>
          <t>#cobblemon:is_freezing</t>
        </is>
      </c>
      <c r="T1492" s="18" t="inlineStr">
        <is>
          <t>uncommon</t>
        </is>
      </c>
      <c r="U1492" s="20" t="n">
        <v>0.32</v>
      </c>
      <c r="V1492" s="21" t="n">
        <v>1</v>
      </c>
      <c r="W1492" s="20">
        <f>IF(OR(U1492="",V1492=""),U1492,U1492*V1492)</f>
        <v/>
      </c>
      <c r="X1492" s="18" t="inlineStr">
        <is>
          <t>26-50</t>
        </is>
      </c>
      <c r="Y1492" s="19" t="inlineStr"/>
      <c r="Z1492" s="18">
        <f>IF(Y1492="",X1492,Y1492)</f>
        <v/>
      </c>
      <c r="AA1492" s="18" t="inlineStr">
        <is>
          <t>surface</t>
        </is>
      </c>
      <c r="AB1492" s="18" t="inlineStr"/>
      <c r="AC1492" s="18" t="inlineStr"/>
      <c r="AD1492" s="18" t="inlineStr"/>
      <c r="AE1492" s="18" t="inlineStr">
        <is>
          <t>sky 8-15</t>
        </is>
      </c>
      <c r="AF1492" s="18" t="inlineStr"/>
      <c r="AG1492" s="18" t="inlineStr"/>
      <c r="AH1492" s="18" t="inlineStr"/>
      <c r="AI1492" s="18" t="inlineStr"/>
      <c r="AJ1492" s="18" t="inlineStr">
        <is>
          <t>Cobblemon 동일</t>
        </is>
      </c>
      <c r="AK1492" s="18" t="inlineStr">
        <is>
          <t>사용</t>
        </is>
      </c>
      <c r="AL1492" s="18" t="inlineStr">
        <is>
          <t>COBBLEVERSE 1.7.42 / DP v31</t>
        </is>
      </c>
      <c r="AM1492" s="18" t="inlineStr">
        <is>
          <t>data/cobblemon/spawn_pool_world/0419_floatzel.json</t>
        </is>
      </c>
      <c r="AN1492" s="18" t="inlineStr">
        <is>
          <t>floatzel-3</t>
        </is>
      </c>
      <c r="AO1492" s="18" t="inlineStr">
        <is>
          <t>pokemon</t>
        </is>
      </c>
      <c r="AP1492" s="18" t="inlineStr">
        <is>
          <t>water</t>
        </is>
      </c>
      <c r="AQ1492" s="18" t="inlineStr">
        <is>
          <t>{"biomes":["#cobblemon:is_freshwater"],"maxSkyLight":15,"minSkyLight":8}</t>
        </is>
      </c>
      <c r="AR1492" s="18" t="inlineStr">
        <is>
          <t>{"biomes":["#cobblemon:is_freezing"]}</t>
        </is>
      </c>
      <c r="AS1492" s="18" t="inlineStr"/>
      <c r="AT1492" s="19" t="inlineStr"/>
    </row>
    <row r="1493" ht="32" customHeight="1">
      <c r="A1493" s="18" t="inlineStr">
        <is>
          <t>0419_floatzel.json::floatzel-4::004</t>
        </is>
      </c>
      <c r="B1493" s="19" t="inlineStr">
        <is>
          <t>사용</t>
        </is>
      </c>
      <c r="C1493" s="18">
        <f>IF(OR(B1493&lt;&gt;AK1493,M1493&lt;&gt;L1493,O1493&lt;&gt;"",Q1493&lt;&gt;"",V1493&lt;&gt;1,Y1493&lt;&gt;"",AT1493&lt;&gt;""),"수정","원본")</f>
        <v/>
      </c>
      <c r="D1493" s="18" t="n">
        <v>419</v>
      </c>
      <c r="E1493" s="18" t="inlineStr">
        <is>
          <t>플로젤</t>
        </is>
      </c>
      <c r="F1493" s="18" t="inlineStr">
        <is>
          <t>floatzel</t>
        </is>
      </c>
      <c r="G1493" s="18" t="inlineStr">
        <is>
          <t>floatzel</t>
        </is>
      </c>
      <c r="H1493" s="18" t="inlineStr"/>
      <c r="I1493" s="18" t="n">
        <v>4</v>
      </c>
      <c r="J1493" s="18" t="n"/>
      <c r="K1493" s="18" t="n">
        <v>4</v>
      </c>
      <c r="L1493" s="18" t="inlineStr">
        <is>
          <t>cobbleventure:generation_4</t>
        </is>
      </c>
      <c r="M1493" s="19" t="inlineStr">
        <is>
          <t>cobbleventure:generation_4</t>
        </is>
      </c>
      <c r="N1493" s="18" t="inlineStr">
        <is>
          <t>region_01; region_02</t>
        </is>
      </c>
      <c r="O1493" s="19" t="inlineStr"/>
      <c r="P1493" s="18" t="inlineStr">
        <is>
          <t>#cobblemon:is_forest; #cobblemon:is_freshwater; #cobblemon:is_grassland; #cobblemon:is_hills; #cobblemon:is_jungle; #cobblemon:is_taiga</t>
        </is>
      </c>
      <c r="Q1493" s="19" t="inlineStr"/>
      <c r="R1493" s="18">
        <f>IF(Q1493="",P1493,Q1493)</f>
        <v/>
      </c>
      <c r="S1493" s="18" t="inlineStr">
        <is>
          <t>#cobblemon:is_freezing</t>
        </is>
      </c>
      <c r="T1493" s="18" t="inlineStr">
        <is>
          <t>common</t>
        </is>
      </c>
      <c r="U1493" s="20" t="n">
        <v>0.2</v>
      </c>
      <c r="V1493" s="21" t="n">
        <v>1</v>
      </c>
      <c r="W1493" s="20">
        <f>IF(OR(U1493="",V1493=""),U1493,U1493*V1493)</f>
        <v/>
      </c>
      <c r="X1493" s="18" t="inlineStr">
        <is>
          <t>26-50</t>
        </is>
      </c>
      <c r="Y1493" s="19" t="inlineStr"/>
      <c r="Z1493" s="18">
        <f>IF(Y1493="",X1493,Y1493)</f>
        <v/>
      </c>
      <c r="AA1493" s="18" t="inlineStr">
        <is>
          <t>fishing</t>
        </is>
      </c>
      <c r="AB1493" s="18" t="inlineStr"/>
      <c r="AC1493" s="18" t="inlineStr"/>
      <c r="AD1493" s="18" t="inlineStr"/>
      <c r="AE1493" s="18" t="inlineStr">
        <is>
          <t>sky 8-15</t>
        </is>
      </c>
      <c r="AF1493" s="18" t="inlineStr"/>
      <c r="AG1493" s="18" t="inlineStr"/>
      <c r="AH1493" s="18" t="inlineStr"/>
      <c r="AI1493" s="18" t="inlineStr"/>
      <c r="AJ1493" s="18" t="inlineStr">
        <is>
          <t>Cobblemon 동일</t>
        </is>
      </c>
      <c r="AK1493" s="18" t="inlineStr">
        <is>
          <t>사용</t>
        </is>
      </c>
      <c r="AL1493" s="18" t="inlineStr">
        <is>
          <t>COBBLEVERSE 1.7.42 / DP v31</t>
        </is>
      </c>
      <c r="AM1493" s="18" t="inlineStr">
        <is>
          <t>data/cobblemon/spawn_pool_world/0419_floatzel.json</t>
        </is>
      </c>
      <c r="AN1493" s="18" t="inlineStr">
        <is>
          <t>floatzel-4</t>
        </is>
      </c>
      <c r="AO1493" s="18" t="inlineStr">
        <is>
          <t>pokemon</t>
        </is>
      </c>
      <c r="AP1493" s="18" t="inlineStr"/>
      <c r="AQ1493" s="18" t="inlineStr">
        <is>
          <t>{"biomes":["#cobblemon:is_forest","#cobblemon:is_freshwater","#cobblemon:is_grassland","#cobblemon:is_hills","#cobblemon:is_jungle","#cobblemon:is_taiga"],"maxSkyLight":15,"minSkyLight":8}</t>
        </is>
      </c>
      <c r="AR1493" s="18" t="inlineStr">
        <is>
          <t>{"biomes":["#cobblemon:is_freezing"]}</t>
        </is>
      </c>
      <c r="AS1493" s="18" t="inlineStr">
        <is>
          <t>{"weightMultipliers":[{"condition":{"maxLureLevel":2,"minLureLevel":2},"multiplier":3.0},{"condition":{"minLureLevel":3},"multiplier":5.0}]}</t>
        </is>
      </c>
      <c r="AT1493" s="19" t="inlineStr"/>
    </row>
    <row r="1494" ht="32" customHeight="1">
      <c r="A1494" s="18" t="inlineStr">
        <is>
          <t>0420_cherubi.json::cherubi-1::001</t>
        </is>
      </c>
      <c r="B1494" s="19" t="inlineStr">
        <is>
          <t>사용</t>
        </is>
      </c>
      <c r="C1494" s="18">
        <f>IF(OR(B1494&lt;&gt;AK1494,M1494&lt;&gt;L1494,O1494&lt;&gt;"",Q1494&lt;&gt;"",V1494&lt;&gt;1,Y1494&lt;&gt;"",AT1494&lt;&gt;""),"수정","원본")</f>
        <v/>
      </c>
      <c r="D1494" s="18" t="n">
        <v>420</v>
      </c>
      <c r="E1494" s="18" t="inlineStr">
        <is>
          <t>체리버</t>
        </is>
      </c>
      <c r="F1494" s="18" t="inlineStr">
        <is>
          <t>cherubi</t>
        </is>
      </c>
      <c r="G1494" s="18" t="inlineStr">
        <is>
          <t>cherubi</t>
        </is>
      </c>
      <c r="H1494" s="18" t="inlineStr"/>
      <c r="I1494" s="18" t="n">
        <v>4</v>
      </c>
      <c r="J1494" s="18" t="n"/>
      <c r="K1494" s="18" t="n">
        <v>4</v>
      </c>
      <c r="L1494" s="18" t="inlineStr">
        <is>
          <t>cobbleventure:generation_4</t>
        </is>
      </c>
      <c r="M1494" s="19" t="inlineStr">
        <is>
          <t>cobbleventure:generation_4</t>
        </is>
      </c>
      <c r="N1494" s="18" t="inlineStr">
        <is>
          <t>region_01</t>
        </is>
      </c>
      <c r="O1494" s="19" t="inlineStr"/>
      <c r="P1494" s="18" t="inlineStr">
        <is>
          <t>#cobblemon:is_forest; #cobblemon:is_jungle; #cobblemon:is_taiga</t>
        </is>
      </c>
      <c r="Q1494" s="19" t="inlineStr"/>
      <c r="R1494" s="18">
        <f>IF(Q1494="",P1494,Q1494)</f>
        <v/>
      </c>
      <c r="S1494" s="18" t="inlineStr"/>
      <c r="T1494" s="18" t="inlineStr">
        <is>
          <t>common</t>
        </is>
      </c>
      <c r="U1494" s="20" t="n">
        <v>2</v>
      </c>
      <c r="V1494" s="21" t="n">
        <v>1</v>
      </c>
      <c r="W1494" s="20">
        <f>IF(OR(U1494="",V1494=""),U1494,U1494*V1494)</f>
        <v/>
      </c>
      <c r="X1494" s="18" t="inlineStr">
        <is>
          <t>4-25</t>
        </is>
      </c>
      <c r="Y1494" s="19" t="inlineStr"/>
      <c r="Z1494" s="18">
        <f>IF(Y1494="",X1494,Y1494)</f>
        <v/>
      </c>
      <c r="AA1494" s="18" t="inlineStr">
        <is>
          <t>grounded</t>
        </is>
      </c>
      <c r="AB1494" s="18" t="inlineStr"/>
      <c r="AC1494" s="18" t="inlineStr"/>
      <c r="AD1494" s="18" t="inlineStr"/>
      <c r="AE1494" s="18" t="inlineStr"/>
      <c r="AF1494" s="18" t="inlineStr">
        <is>
          <t>True</t>
        </is>
      </c>
      <c r="AG1494" s="18" t="inlineStr"/>
      <c r="AH1494" s="18" t="inlineStr"/>
      <c r="AI1494" s="18" t="inlineStr"/>
      <c r="AJ1494" s="18" t="inlineStr">
        <is>
          <t>COBBLEVERSE 추가</t>
        </is>
      </c>
      <c r="AK1494" s="18" t="inlineStr">
        <is>
          <t>사용</t>
        </is>
      </c>
      <c r="AL1494" s="18" t="inlineStr">
        <is>
          <t>COBBLEVERSE 1.7.42 / DP v31</t>
        </is>
      </c>
      <c r="AM1494" s="18" t="inlineStr">
        <is>
          <t>data/cobblemon/spawn_pool_world/0420_cherubi.json</t>
        </is>
      </c>
      <c r="AN1494" s="18" t="inlineStr">
        <is>
          <t>cherubi-1</t>
        </is>
      </c>
      <c r="AO1494" s="18" t="inlineStr">
        <is>
          <t>pokemon</t>
        </is>
      </c>
      <c r="AP1494" s="18" t="inlineStr"/>
      <c r="AQ1494" s="18" t="inlineStr">
        <is>
          <t>{"biomes":["#cobblemon:is_forest","#cobblemon:is_jungle","#cobblemon:is_taiga"],"canSeeSky":true}</t>
        </is>
      </c>
      <c r="AR1494" s="18" t="inlineStr"/>
      <c r="AS1494" s="18" t="inlineStr"/>
      <c r="AT1494" s="19" t="inlineStr"/>
    </row>
    <row r="1495" ht="32" customHeight="1">
      <c r="A1495" s="18" t="inlineStr">
        <is>
          <t>0421_cherrim.json::cherrim-1::001</t>
        </is>
      </c>
      <c r="B1495" s="19" t="inlineStr">
        <is>
          <t>사용</t>
        </is>
      </c>
      <c r="C1495" s="18">
        <f>IF(OR(B1495&lt;&gt;AK1495,M1495&lt;&gt;L1495,O1495&lt;&gt;"",Q1495&lt;&gt;"",V1495&lt;&gt;1,Y1495&lt;&gt;"",AT1495&lt;&gt;""),"수정","원본")</f>
        <v/>
      </c>
      <c r="D1495" s="18" t="n">
        <v>421</v>
      </c>
      <c r="E1495" s="18" t="inlineStr">
        <is>
          <t>체리꼬</t>
        </is>
      </c>
      <c r="F1495" s="18" t="inlineStr">
        <is>
          <t>cherrim</t>
        </is>
      </c>
      <c r="G1495" s="18" t="inlineStr">
        <is>
          <t>cherrim blossom_form=overcast</t>
        </is>
      </c>
      <c r="H1495" s="18" t="inlineStr">
        <is>
          <t>blossom_form=overcast</t>
        </is>
      </c>
      <c r="I1495" s="18" t="n">
        <v>4</v>
      </c>
      <c r="J1495" s="18" t="n"/>
      <c r="K1495" s="18" t="n">
        <v>4</v>
      </c>
      <c r="L1495" s="18" t="inlineStr">
        <is>
          <t>cobbleventure:generation_4</t>
        </is>
      </c>
      <c r="M1495" s="19" t="inlineStr">
        <is>
          <t>cobbleventure:generation_4</t>
        </is>
      </c>
      <c r="N1495" s="18" t="inlineStr">
        <is>
          <t>region_01</t>
        </is>
      </c>
      <c r="O1495" s="19" t="inlineStr"/>
      <c r="P1495" s="18" t="inlineStr">
        <is>
          <t>#cobblemon:is_forest; #cobblemon:is_jungle; #cobblemon:is_taiga</t>
        </is>
      </c>
      <c r="Q1495" s="19" t="inlineStr"/>
      <c r="R1495" s="18">
        <f>IF(Q1495="",P1495,Q1495)</f>
        <v/>
      </c>
      <c r="S1495" s="18" t="inlineStr"/>
      <c r="T1495" s="18" t="inlineStr">
        <is>
          <t>uncommon</t>
        </is>
      </c>
      <c r="U1495" s="20" t="n">
        <v>1</v>
      </c>
      <c r="V1495" s="21" t="n">
        <v>1</v>
      </c>
      <c r="W1495" s="20">
        <f>IF(OR(U1495="",V1495=""),U1495,U1495*V1495)</f>
        <v/>
      </c>
      <c r="X1495" s="18" t="inlineStr">
        <is>
          <t>25-36</t>
        </is>
      </c>
      <c r="Y1495" s="19" t="inlineStr"/>
      <c r="Z1495" s="18">
        <f>IF(Y1495="",X1495,Y1495)</f>
        <v/>
      </c>
      <c r="AA1495" s="18" t="inlineStr">
        <is>
          <t>grounded</t>
        </is>
      </c>
      <c r="AB1495" s="18" t="inlineStr"/>
      <c r="AC1495" s="18" t="inlineStr"/>
      <c r="AD1495" s="18" t="inlineStr"/>
      <c r="AE1495" s="18" t="inlineStr"/>
      <c r="AF1495" s="18" t="inlineStr">
        <is>
          <t>True</t>
        </is>
      </c>
      <c r="AG1495" s="18" t="inlineStr"/>
      <c r="AH1495" s="18" t="inlineStr"/>
      <c r="AI1495" s="18" t="inlineStr"/>
      <c r="AJ1495" s="18" t="inlineStr">
        <is>
          <t>COBBLEVERSE 추가</t>
        </is>
      </c>
      <c r="AK1495" s="18" t="inlineStr">
        <is>
          <t>사용</t>
        </is>
      </c>
      <c r="AL1495" s="18" t="inlineStr">
        <is>
          <t>COBBLEVERSE 1.7.42 / DP v31</t>
        </is>
      </c>
      <c r="AM1495" s="18" t="inlineStr">
        <is>
          <t>data/cobblemon/spawn_pool_world/0421_cherrim.json</t>
        </is>
      </c>
      <c r="AN1495" s="18" t="inlineStr">
        <is>
          <t>cherrim-1</t>
        </is>
      </c>
      <c r="AO1495" s="18" t="inlineStr">
        <is>
          <t>pokemon</t>
        </is>
      </c>
      <c r="AP1495" s="18" t="inlineStr"/>
      <c r="AQ1495" s="18" t="inlineStr">
        <is>
          <t>{"biomes":["#cobblemon:is_forest","#cobblemon:is_jungle","#cobblemon:is_taiga"],"canSeeSky":true}</t>
        </is>
      </c>
      <c r="AR1495" s="18" t="inlineStr"/>
      <c r="AS1495" s="18" t="inlineStr"/>
      <c r="AT1495" s="19" t="inlineStr"/>
    </row>
    <row r="1496" ht="32" customHeight="1">
      <c r="A1496" s="18" t="inlineStr">
        <is>
          <t>0421_cherrim.json::cherrim-2::002</t>
        </is>
      </c>
      <c r="B1496" s="19" t="inlineStr">
        <is>
          <t>사용</t>
        </is>
      </c>
      <c r="C1496" s="18">
        <f>IF(OR(B1496&lt;&gt;AK1496,M1496&lt;&gt;L1496,O1496&lt;&gt;"",Q1496&lt;&gt;"",V1496&lt;&gt;1,Y1496&lt;&gt;"",AT1496&lt;&gt;""),"수정","원본")</f>
        <v/>
      </c>
      <c r="D1496" s="18" t="n">
        <v>421</v>
      </c>
      <c r="E1496" s="18" t="inlineStr">
        <is>
          <t>체리꼬</t>
        </is>
      </c>
      <c r="F1496" s="18" t="inlineStr">
        <is>
          <t>cherrim</t>
        </is>
      </c>
      <c r="G1496" s="18" t="inlineStr">
        <is>
          <t>cherrim blossom_form=sunshine</t>
        </is>
      </c>
      <c r="H1496" s="18" t="inlineStr">
        <is>
          <t>blossom_form=sunshine</t>
        </is>
      </c>
      <c r="I1496" s="18" t="n">
        <v>4</v>
      </c>
      <c r="J1496" s="18" t="n"/>
      <c r="K1496" s="18" t="n">
        <v>4</v>
      </c>
      <c r="L1496" s="18" t="inlineStr">
        <is>
          <t>cobbleventure:generation_4</t>
        </is>
      </c>
      <c r="M1496" s="19" t="inlineStr">
        <is>
          <t>cobbleventure:generation_4</t>
        </is>
      </c>
      <c r="N1496" s="18" t="inlineStr">
        <is>
          <t>region_01</t>
        </is>
      </c>
      <c r="O1496" s="19" t="inlineStr"/>
      <c r="P1496" s="18" t="inlineStr">
        <is>
          <t>#cobblemon:is_forest; #cobblemon:is_jungle; #cobblemon:is_taiga</t>
        </is>
      </c>
      <c r="Q1496" s="19" t="inlineStr"/>
      <c r="R1496" s="18">
        <f>IF(Q1496="",P1496,Q1496)</f>
        <v/>
      </c>
      <c r="S1496" s="18" t="inlineStr"/>
      <c r="T1496" s="18" t="inlineStr">
        <is>
          <t>uncommon</t>
        </is>
      </c>
      <c r="U1496" s="20" t="n">
        <v>1</v>
      </c>
      <c r="V1496" s="21" t="n">
        <v>1</v>
      </c>
      <c r="W1496" s="20">
        <f>IF(OR(U1496="",V1496=""),U1496,U1496*V1496)</f>
        <v/>
      </c>
      <c r="X1496" s="18" t="inlineStr">
        <is>
          <t>25-36</t>
        </is>
      </c>
      <c r="Y1496" s="19" t="inlineStr"/>
      <c r="Z1496" s="18">
        <f>IF(Y1496="",X1496,Y1496)</f>
        <v/>
      </c>
      <c r="AA1496" s="18" t="inlineStr">
        <is>
          <t>grounded</t>
        </is>
      </c>
      <c r="AB1496" s="18" t="inlineStr"/>
      <c r="AC1496" s="18" t="inlineStr"/>
      <c r="AD1496" s="18" t="inlineStr"/>
      <c r="AE1496" s="18" t="inlineStr"/>
      <c r="AF1496" s="18" t="inlineStr">
        <is>
          <t>True</t>
        </is>
      </c>
      <c r="AG1496" s="18" t="inlineStr"/>
      <c r="AH1496" s="18" t="inlineStr"/>
      <c r="AI1496" s="18" t="inlineStr"/>
      <c r="AJ1496" s="18" t="inlineStr">
        <is>
          <t>COBBLEVERSE 추가</t>
        </is>
      </c>
      <c r="AK1496" s="18" t="inlineStr">
        <is>
          <t>사용</t>
        </is>
      </c>
      <c r="AL1496" s="18" t="inlineStr">
        <is>
          <t>COBBLEVERSE 1.7.42 / DP v31</t>
        </is>
      </c>
      <c r="AM1496" s="18" t="inlineStr">
        <is>
          <t>data/cobblemon/spawn_pool_world/0421_cherrim.json</t>
        </is>
      </c>
      <c r="AN1496" s="18" t="inlineStr">
        <is>
          <t>cherrim-2</t>
        </is>
      </c>
      <c r="AO1496" s="18" t="inlineStr">
        <is>
          <t>pokemon</t>
        </is>
      </c>
      <c r="AP1496" s="18" t="inlineStr"/>
      <c r="AQ1496" s="18" t="inlineStr">
        <is>
          <t>{"biomes":["#cobblemon:is_forest","#cobblemon:is_jungle","#cobblemon:is_taiga"],"canSeeSky":true}</t>
        </is>
      </c>
      <c r="AR1496" s="18" t="inlineStr"/>
      <c r="AS1496" s="18" t="inlineStr"/>
      <c r="AT1496" s="19" t="inlineStr"/>
    </row>
    <row r="1497" ht="32" customHeight="1">
      <c r="A1497" s="18" t="inlineStr">
        <is>
          <t>0422_shellos.json::shellos-east-1::001</t>
        </is>
      </c>
      <c r="B1497" s="19" t="inlineStr">
        <is>
          <t>사용</t>
        </is>
      </c>
      <c r="C1497" s="18">
        <f>IF(OR(B1497&lt;&gt;AK1497,M1497&lt;&gt;L1497,O1497&lt;&gt;"",Q1497&lt;&gt;"",V1497&lt;&gt;1,Y1497&lt;&gt;"",AT1497&lt;&gt;""),"수정","원본")</f>
        <v/>
      </c>
      <c r="D1497" s="18" t="n">
        <v>422</v>
      </c>
      <c r="E1497" s="18" t="inlineStr">
        <is>
          <t>깝질무</t>
        </is>
      </c>
      <c r="F1497" s="18" t="inlineStr">
        <is>
          <t>shellos</t>
        </is>
      </c>
      <c r="G1497" s="18" t="inlineStr">
        <is>
          <t>shellos sea=east</t>
        </is>
      </c>
      <c r="H1497" s="18" t="inlineStr">
        <is>
          <t>sea=east</t>
        </is>
      </c>
      <c r="I1497" s="18" t="n">
        <v>4</v>
      </c>
      <c r="J1497" s="18" t="n"/>
      <c r="K1497" s="18" t="n">
        <v>4</v>
      </c>
      <c r="L1497" s="18" t="inlineStr">
        <is>
          <t>cobbleventure:generation_4</t>
        </is>
      </c>
      <c r="M1497" s="19" t="inlineStr">
        <is>
          <t>cobbleventure:generation_4</t>
        </is>
      </c>
      <c r="N1497" s="18" t="inlineStr"/>
      <c r="O1497" s="19" t="inlineStr"/>
      <c r="P1497" s="18" t="inlineStr">
        <is>
          <t>#cobblemon:is_beach</t>
        </is>
      </c>
      <c r="Q1497" s="19" t="inlineStr"/>
      <c r="R1497" s="18">
        <f>IF(Q1497="",P1497,Q1497)</f>
        <v/>
      </c>
      <c r="S1497" s="18" t="inlineStr"/>
      <c r="T1497" s="18" t="inlineStr">
        <is>
          <t>uncommon</t>
        </is>
      </c>
      <c r="U1497" s="20" t="n">
        <v>8.4</v>
      </c>
      <c r="V1497" s="21" t="n">
        <v>1</v>
      </c>
      <c r="W1497" s="20">
        <f>IF(OR(U1497="",V1497=""),U1497,U1497*V1497)</f>
        <v/>
      </c>
      <c r="X1497" s="18" t="inlineStr">
        <is>
          <t>8-33</t>
        </is>
      </c>
      <c r="Y1497" s="19" t="inlineStr"/>
      <c r="Z1497" s="18">
        <f>IF(Y1497="",X1497,Y1497)</f>
        <v/>
      </c>
      <c r="AA1497" s="18" t="inlineStr">
        <is>
          <t>grounded</t>
        </is>
      </c>
      <c r="AB1497" s="18" t="inlineStr"/>
      <c r="AC1497" s="18" t="inlineStr">
        <is>
          <t>비=True</t>
        </is>
      </c>
      <c r="AD1497" s="18" t="inlineStr"/>
      <c r="AE1497" s="18" t="inlineStr">
        <is>
          <t>sky 8-15</t>
        </is>
      </c>
      <c r="AF1497" s="18" t="inlineStr"/>
      <c r="AG1497" s="18" t="inlineStr"/>
      <c r="AH1497" s="18" t="inlineStr"/>
      <c r="AI1497" s="18" t="inlineStr">
        <is>
          <t>{"condition":{"minX":0}}</t>
        </is>
      </c>
      <c r="AJ1497" s="18" t="inlineStr">
        <is>
          <t>Cobblemon 동일</t>
        </is>
      </c>
      <c r="AK1497" s="18" t="inlineStr">
        <is>
          <t>사용</t>
        </is>
      </c>
      <c r="AL1497" s="18" t="inlineStr">
        <is>
          <t>COBBLEVERSE 1.7.42 / DP v31</t>
        </is>
      </c>
      <c r="AM1497" s="18" t="inlineStr">
        <is>
          <t>data/cobblemon/spawn_pool_world/0422_shellos.json</t>
        </is>
      </c>
      <c r="AN1497" s="18" t="inlineStr">
        <is>
          <t>shellos-east-1</t>
        </is>
      </c>
      <c r="AO1497" s="18" t="inlineStr">
        <is>
          <t>pokemon</t>
        </is>
      </c>
      <c r="AP1497" s="18" t="inlineStr">
        <is>
          <t>natural</t>
        </is>
      </c>
      <c r="AQ1497" s="18" t="inlineStr">
        <is>
          <t>{"biomes":["#cobblemon:is_beach"],"isRaining":true,"maxSkyLight":15,"minSkyLight":8,"minX":0}</t>
        </is>
      </c>
      <c r="AR1497" s="18" t="inlineStr"/>
      <c r="AS1497" s="18" t="inlineStr"/>
      <c r="AT1497" s="19" t="inlineStr"/>
    </row>
    <row r="1498" ht="32" customHeight="1">
      <c r="A1498" s="18" t="inlineStr">
        <is>
          <t>0422_shellos.json::shellos-east-2::002</t>
        </is>
      </c>
      <c r="B1498" s="19" t="inlineStr">
        <is>
          <t>사용</t>
        </is>
      </c>
      <c r="C1498" s="18">
        <f>IF(OR(B1498&lt;&gt;AK1498,M1498&lt;&gt;L1498,O1498&lt;&gt;"",Q1498&lt;&gt;"",V1498&lt;&gt;1,Y1498&lt;&gt;"",AT1498&lt;&gt;""),"수정","원본")</f>
        <v/>
      </c>
      <c r="D1498" s="18" t="n">
        <v>422</v>
      </c>
      <c r="E1498" s="18" t="inlineStr">
        <is>
          <t>깝질무</t>
        </is>
      </c>
      <c r="F1498" s="18" t="inlineStr">
        <is>
          <t>shellos</t>
        </is>
      </c>
      <c r="G1498" s="18" t="inlineStr">
        <is>
          <t>shellos sea=east</t>
        </is>
      </c>
      <c r="H1498" s="18" t="inlineStr">
        <is>
          <t>sea=east</t>
        </is>
      </c>
      <c r="I1498" s="18" t="n">
        <v>4</v>
      </c>
      <c r="J1498" s="18" t="n"/>
      <c r="K1498" s="18" t="n">
        <v>4</v>
      </c>
      <c r="L1498" s="18" t="inlineStr">
        <is>
          <t>cobbleventure:generation_4</t>
        </is>
      </c>
      <c r="M1498" s="19" t="inlineStr">
        <is>
          <t>cobbleventure:generation_4</t>
        </is>
      </c>
      <c r="N1498" s="18" t="inlineStr"/>
      <c r="O1498" s="19" t="inlineStr"/>
      <c r="P1498" s="18" t="inlineStr">
        <is>
          <t>#cobblemon:is_cold_ocean; #cobblemon:is_frozen_ocean</t>
        </is>
      </c>
      <c r="Q1498" s="19" t="inlineStr"/>
      <c r="R1498" s="18">
        <f>IF(Q1498="",P1498,Q1498)</f>
        <v/>
      </c>
      <c r="S1498" s="18" t="inlineStr"/>
      <c r="T1498" s="18" t="inlineStr">
        <is>
          <t>common</t>
        </is>
      </c>
      <c r="U1498" s="20" t="n">
        <v>5.4</v>
      </c>
      <c r="V1498" s="21" t="n">
        <v>1</v>
      </c>
      <c r="W1498" s="20">
        <f>IF(OR(U1498="",V1498=""),U1498,U1498*V1498)</f>
        <v/>
      </c>
      <c r="X1498" s="18" t="inlineStr">
        <is>
          <t>8-33</t>
        </is>
      </c>
      <c r="Y1498" s="19" t="inlineStr"/>
      <c r="Z1498" s="18">
        <f>IF(Y1498="",X1498,Y1498)</f>
        <v/>
      </c>
      <c r="AA1498" s="18" t="inlineStr">
        <is>
          <t>seafloor</t>
        </is>
      </c>
      <c r="AB1498" s="18" t="inlineStr"/>
      <c r="AC1498" s="18" t="inlineStr"/>
      <c r="AD1498" s="18" t="inlineStr"/>
      <c r="AE1498" s="18" t="inlineStr"/>
      <c r="AF1498" s="18" t="inlineStr">
        <is>
          <t>True</t>
        </is>
      </c>
      <c r="AG1498" s="18" t="inlineStr"/>
      <c r="AH1498" s="18" t="inlineStr"/>
      <c r="AI1498" s="18" t="inlineStr">
        <is>
          <t>{"condition":{"minX":0}}</t>
        </is>
      </c>
      <c r="AJ1498" s="18" t="inlineStr">
        <is>
          <t>Cobblemon 동일</t>
        </is>
      </c>
      <c r="AK1498" s="18" t="inlineStr">
        <is>
          <t>사용</t>
        </is>
      </c>
      <c r="AL1498" s="18" t="inlineStr">
        <is>
          <t>COBBLEVERSE 1.7.42 / DP v31</t>
        </is>
      </c>
      <c r="AM1498" s="18" t="inlineStr">
        <is>
          <t>data/cobblemon/spawn_pool_world/0422_shellos.json</t>
        </is>
      </c>
      <c r="AN1498" s="18" t="inlineStr">
        <is>
          <t>shellos-east-2</t>
        </is>
      </c>
      <c r="AO1498" s="18" t="inlineStr">
        <is>
          <t>pokemon</t>
        </is>
      </c>
      <c r="AP1498" s="18" t="inlineStr">
        <is>
          <t>water</t>
        </is>
      </c>
      <c r="AQ1498" s="18" t="inlineStr">
        <is>
          <t>{"biomes":["#cobblemon:is_cold_ocean","#cobblemon:is_frozen_ocean"],"canSeeSky":true,"minX":0}</t>
        </is>
      </c>
      <c r="AR1498" s="18" t="inlineStr"/>
      <c r="AS1498" s="18" t="inlineStr"/>
      <c r="AT1498" s="19" t="inlineStr"/>
    </row>
    <row r="1499" ht="32" customHeight="1">
      <c r="A1499" s="18" t="inlineStr">
        <is>
          <t>0422_shellos.json::shellos-east-3::003</t>
        </is>
      </c>
      <c r="B1499" s="19" t="inlineStr">
        <is>
          <t>사용</t>
        </is>
      </c>
      <c r="C1499" s="18">
        <f>IF(OR(B1499&lt;&gt;AK1499,M1499&lt;&gt;L1499,O1499&lt;&gt;"",Q1499&lt;&gt;"",V1499&lt;&gt;1,Y1499&lt;&gt;"",AT1499&lt;&gt;""),"수정","원본")</f>
        <v/>
      </c>
      <c r="D1499" s="18" t="n">
        <v>422</v>
      </c>
      <c r="E1499" s="18" t="inlineStr">
        <is>
          <t>깝질무</t>
        </is>
      </c>
      <c r="F1499" s="18" t="inlineStr">
        <is>
          <t>shellos</t>
        </is>
      </c>
      <c r="G1499" s="18" t="inlineStr">
        <is>
          <t>shellos sea=east</t>
        </is>
      </c>
      <c r="H1499" s="18" t="inlineStr">
        <is>
          <t>sea=east</t>
        </is>
      </c>
      <c r="I1499" s="18" t="n">
        <v>4</v>
      </c>
      <c r="J1499" s="18" t="n"/>
      <c r="K1499" s="18" t="n">
        <v>4</v>
      </c>
      <c r="L1499" s="18" t="inlineStr">
        <is>
          <t>cobbleventure:generation_4</t>
        </is>
      </c>
      <c r="M1499" s="19" t="inlineStr">
        <is>
          <t>cobbleventure:generation_4</t>
        </is>
      </c>
      <c r="N1499" s="18" t="inlineStr"/>
      <c r="O1499" s="19" t="inlineStr"/>
      <c r="P1499" s="18" t="inlineStr">
        <is>
          <t>#cobblemon:is_cold_ocean; #cobblemon:is_frozen_ocean</t>
        </is>
      </c>
      <c r="Q1499" s="19" t="inlineStr"/>
      <c r="R1499" s="18">
        <f>IF(Q1499="",P1499,Q1499)</f>
        <v/>
      </c>
      <c r="S1499" s="18" t="inlineStr"/>
      <c r="T1499" s="18" t="inlineStr">
        <is>
          <t>common</t>
        </is>
      </c>
      <c r="U1499" s="20" t="n">
        <v>9</v>
      </c>
      <c r="V1499" s="21" t="n">
        <v>1</v>
      </c>
      <c r="W1499" s="20">
        <f>IF(OR(U1499="",V1499=""),U1499,U1499*V1499)</f>
        <v/>
      </c>
      <c r="X1499" s="18" t="inlineStr">
        <is>
          <t>8-33</t>
        </is>
      </c>
      <c r="Y1499" s="19" t="inlineStr"/>
      <c r="Z1499" s="18">
        <f>IF(Y1499="",X1499,Y1499)</f>
        <v/>
      </c>
      <c r="AA1499" s="18" t="inlineStr">
        <is>
          <t>fishing</t>
        </is>
      </c>
      <c r="AB1499" s="18" t="inlineStr"/>
      <c r="AC1499" s="18" t="inlineStr"/>
      <c r="AD1499" s="18" t="inlineStr"/>
      <c r="AE1499" s="18" t="inlineStr"/>
      <c r="AF1499" s="18" t="inlineStr">
        <is>
          <t>True</t>
        </is>
      </c>
      <c r="AG1499" s="18" t="inlineStr"/>
      <c r="AH1499" s="18" t="inlineStr"/>
      <c r="AI1499" s="18" t="inlineStr">
        <is>
          <t>{"condition":{"minX":0}}</t>
        </is>
      </c>
      <c r="AJ1499" s="18" t="inlineStr">
        <is>
          <t>Cobblemon 동일</t>
        </is>
      </c>
      <c r="AK1499" s="18" t="inlineStr">
        <is>
          <t>사용</t>
        </is>
      </c>
      <c r="AL1499" s="18" t="inlineStr">
        <is>
          <t>COBBLEVERSE 1.7.42 / DP v31</t>
        </is>
      </c>
      <c r="AM1499" s="18" t="inlineStr">
        <is>
          <t>data/cobblemon/spawn_pool_world/0422_shellos.json</t>
        </is>
      </c>
      <c r="AN1499" s="18" t="inlineStr">
        <is>
          <t>shellos-east-3</t>
        </is>
      </c>
      <c r="AO1499" s="18" t="inlineStr">
        <is>
          <t>pokemon</t>
        </is>
      </c>
      <c r="AP1499" s="18" t="inlineStr"/>
      <c r="AQ1499" s="18" t="inlineStr">
        <is>
          <t>{"biomes":["#cobblemon:is_cold_ocean","#cobblemon:is_frozen_ocean"],"canSeeSky":true,"minX":0}</t>
        </is>
      </c>
      <c r="AR1499" s="18" t="inlineStr"/>
      <c r="AS1499" s="18" t="inlineStr">
        <is>
          <t>{"weightMultiplier":{"condition":{"maxLureLevel":1,"minLureLevel":0},"multiplier":0.6}}</t>
        </is>
      </c>
      <c r="AT1499" s="19" t="inlineStr"/>
    </row>
    <row r="1500" ht="32" customHeight="1">
      <c r="A1500" s="18" t="inlineStr">
        <is>
          <t>0422_shellos.json::shellos-west-4::004</t>
        </is>
      </c>
      <c r="B1500" s="19" t="inlineStr">
        <is>
          <t>사용</t>
        </is>
      </c>
      <c r="C1500" s="18">
        <f>IF(OR(B1500&lt;&gt;AK1500,M1500&lt;&gt;L1500,O1500&lt;&gt;"",Q1500&lt;&gt;"",V1500&lt;&gt;1,Y1500&lt;&gt;"",AT1500&lt;&gt;""),"수정","원본")</f>
        <v/>
      </c>
      <c r="D1500" s="18" t="n">
        <v>422</v>
      </c>
      <c r="E1500" s="18" t="inlineStr">
        <is>
          <t>깝질무</t>
        </is>
      </c>
      <c r="F1500" s="18" t="inlineStr">
        <is>
          <t>shellos</t>
        </is>
      </c>
      <c r="G1500" s="18" t="inlineStr">
        <is>
          <t>shellos sea=west</t>
        </is>
      </c>
      <c r="H1500" s="18" t="inlineStr">
        <is>
          <t>sea=west</t>
        </is>
      </c>
      <c r="I1500" s="18" t="n">
        <v>4</v>
      </c>
      <c r="J1500" s="18" t="n"/>
      <c r="K1500" s="18" t="n">
        <v>4</v>
      </c>
      <c r="L1500" s="18" t="inlineStr">
        <is>
          <t>cobbleventure:generation_4</t>
        </is>
      </c>
      <c r="M1500" s="19" t="inlineStr">
        <is>
          <t>cobbleventure:generation_4</t>
        </is>
      </c>
      <c r="N1500" s="18" t="inlineStr"/>
      <c r="O1500" s="19" t="inlineStr"/>
      <c r="P1500" s="18" t="inlineStr">
        <is>
          <t>#cobblemon:is_beach</t>
        </is>
      </c>
      <c r="Q1500" s="19" t="inlineStr"/>
      <c r="R1500" s="18">
        <f>IF(Q1500="",P1500,Q1500)</f>
        <v/>
      </c>
      <c r="S1500" s="18" t="inlineStr">
        <is>
          <t>#cobblemon:is_freezing</t>
        </is>
      </c>
      <c r="T1500" s="18" t="inlineStr">
        <is>
          <t>uncommon</t>
        </is>
      </c>
      <c r="U1500" s="20" t="n">
        <v>8.4</v>
      </c>
      <c r="V1500" s="21" t="n">
        <v>1</v>
      </c>
      <c r="W1500" s="20">
        <f>IF(OR(U1500="",V1500=""),U1500,U1500*V1500)</f>
        <v/>
      </c>
      <c r="X1500" s="18" t="inlineStr">
        <is>
          <t>8-33</t>
        </is>
      </c>
      <c r="Y1500" s="19" t="inlineStr"/>
      <c r="Z1500" s="18">
        <f>IF(Y1500="",X1500,Y1500)</f>
        <v/>
      </c>
      <c r="AA1500" s="18" t="inlineStr">
        <is>
          <t>grounded</t>
        </is>
      </c>
      <c r="AB1500" s="18" t="inlineStr"/>
      <c r="AC1500" s="18" t="inlineStr">
        <is>
          <t>비=True</t>
        </is>
      </c>
      <c r="AD1500" s="18" t="inlineStr"/>
      <c r="AE1500" s="18" t="inlineStr">
        <is>
          <t>sky 8-15</t>
        </is>
      </c>
      <c r="AF1500" s="18" t="inlineStr"/>
      <c r="AG1500" s="18" t="inlineStr"/>
      <c r="AH1500" s="18" t="inlineStr"/>
      <c r="AI1500" s="18" t="inlineStr">
        <is>
          <t>{"condition":{"maxX":0}}</t>
        </is>
      </c>
      <c r="AJ1500" s="18" t="inlineStr">
        <is>
          <t>Cobblemon 동일</t>
        </is>
      </c>
      <c r="AK1500" s="18" t="inlineStr">
        <is>
          <t>사용</t>
        </is>
      </c>
      <c r="AL1500" s="18" t="inlineStr">
        <is>
          <t>COBBLEVERSE 1.7.42 / DP v31</t>
        </is>
      </c>
      <c r="AM1500" s="18" t="inlineStr">
        <is>
          <t>data/cobblemon/spawn_pool_world/0422_shellos.json</t>
        </is>
      </c>
      <c r="AN1500" s="18" t="inlineStr">
        <is>
          <t>shellos-west-4</t>
        </is>
      </c>
      <c r="AO1500" s="18" t="inlineStr">
        <is>
          <t>pokemon</t>
        </is>
      </c>
      <c r="AP1500" s="18" t="inlineStr">
        <is>
          <t>natural</t>
        </is>
      </c>
      <c r="AQ1500" s="18" t="inlineStr">
        <is>
          <t>{"biomes":["#cobblemon:is_beach"],"isRaining":true,"maxSkyLight":15,"maxX":0,"minSkyLight":8}</t>
        </is>
      </c>
      <c r="AR1500" s="18" t="inlineStr">
        <is>
          <t>{"biomes":["#cobblemon:is_freezing"]}</t>
        </is>
      </c>
      <c r="AS1500" s="18" t="inlineStr"/>
      <c r="AT1500" s="19" t="inlineStr"/>
    </row>
    <row r="1501" ht="32" customHeight="1">
      <c r="A1501" s="18" t="inlineStr">
        <is>
          <t>0422_shellos.json::shellos-west-5::005</t>
        </is>
      </c>
      <c r="B1501" s="19" t="inlineStr">
        <is>
          <t>사용</t>
        </is>
      </c>
      <c r="C1501" s="18">
        <f>IF(OR(B1501&lt;&gt;AK1501,M1501&lt;&gt;L1501,O1501&lt;&gt;"",Q1501&lt;&gt;"",V1501&lt;&gt;1,Y1501&lt;&gt;"",AT1501&lt;&gt;""),"수정","원본")</f>
        <v/>
      </c>
      <c r="D1501" s="18" t="n">
        <v>422</v>
      </c>
      <c r="E1501" s="18" t="inlineStr">
        <is>
          <t>깝질무</t>
        </is>
      </c>
      <c r="F1501" s="18" t="inlineStr">
        <is>
          <t>shellos</t>
        </is>
      </c>
      <c r="G1501" s="18" t="inlineStr">
        <is>
          <t>shellos sea=west</t>
        </is>
      </c>
      <c r="H1501" s="18" t="inlineStr">
        <is>
          <t>sea=west</t>
        </is>
      </c>
      <c r="I1501" s="18" t="n">
        <v>4</v>
      </c>
      <c r="J1501" s="18" t="n"/>
      <c r="K1501" s="18" t="n">
        <v>4</v>
      </c>
      <c r="L1501" s="18" t="inlineStr">
        <is>
          <t>cobbleventure:generation_4</t>
        </is>
      </c>
      <c r="M1501" s="19" t="inlineStr">
        <is>
          <t>cobbleventure:generation_4</t>
        </is>
      </c>
      <c r="N1501" s="18" t="inlineStr"/>
      <c r="O1501" s="19" t="inlineStr"/>
      <c r="P1501" s="18" t="inlineStr">
        <is>
          <t>#cobblemon:is_lukewarm_ocean; #cobblemon:is_warm_ocean</t>
        </is>
      </c>
      <c r="Q1501" s="19" t="inlineStr"/>
      <c r="R1501" s="18">
        <f>IF(Q1501="",P1501,Q1501)</f>
        <v/>
      </c>
      <c r="S1501" s="18" t="inlineStr"/>
      <c r="T1501" s="18" t="inlineStr">
        <is>
          <t>common</t>
        </is>
      </c>
      <c r="U1501" s="20" t="n">
        <v>5.4</v>
      </c>
      <c r="V1501" s="21" t="n">
        <v>1</v>
      </c>
      <c r="W1501" s="20">
        <f>IF(OR(U1501="",V1501=""),U1501,U1501*V1501)</f>
        <v/>
      </c>
      <c r="X1501" s="18" t="inlineStr">
        <is>
          <t>8-33</t>
        </is>
      </c>
      <c r="Y1501" s="19" t="inlineStr"/>
      <c r="Z1501" s="18">
        <f>IF(Y1501="",X1501,Y1501)</f>
        <v/>
      </c>
      <c r="AA1501" s="18" t="inlineStr">
        <is>
          <t>seafloor</t>
        </is>
      </c>
      <c r="AB1501" s="18" t="inlineStr"/>
      <c r="AC1501" s="18" t="inlineStr"/>
      <c r="AD1501" s="18" t="inlineStr"/>
      <c r="AE1501" s="18" t="inlineStr"/>
      <c r="AF1501" s="18" t="inlineStr">
        <is>
          <t>True</t>
        </is>
      </c>
      <c r="AG1501" s="18" t="inlineStr"/>
      <c r="AH1501" s="18" t="inlineStr"/>
      <c r="AI1501" s="18" t="inlineStr">
        <is>
          <t>{"condition":{"maxX":0}}</t>
        </is>
      </c>
      <c r="AJ1501" s="18" t="inlineStr">
        <is>
          <t>Cobblemon 동일</t>
        </is>
      </c>
      <c r="AK1501" s="18" t="inlineStr">
        <is>
          <t>사용</t>
        </is>
      </c>
      <c r="AL1501" s="18" t="inlineStr">
        <is>
          <t>COBBLEVERSE 1.7.42 / DP v31</t>
        </is>
      </c>
      <c r="AM1501" s="18" t="inlineStr">
        <is>
          <t>data/cobblemon/spawn_pool_world/0422_shellos.json</t>
        </is>
      </c>
      <c r="AN1501" s="18" t="inlineStr">
        <is>
          <t>shellos-west-5</t>
        </is>
      </c>
      <c r="AO1501" s="18" t="inlineStr">
        <is>
          <t>pokemon</t>
        </is>
      </c>
      <c r="AP1501" s="18" t="inlineStr">
        <is>
          <t>water</t>
        </is>
      </c>
      <c r="AQ1501" s="18" t="inlineStr">
        <is>
          <t>{"biomes":["#cobblemon:is_lukewarm_ocean","#cobblemon:is_warm_ocean"],"canSeeSky":true,"maxX":0}</t>
        </is>
      </c>
      <c r="AR1501" s="18" t="inlineStr"/>
      <c r="AS1501" s="18" t="inlineStr"/>
      <c r="AT1501" s="19" t="inlineStr"/>
    </row>
    <row r="1502" ht="32" customHeight="1">
      <c r="A1502" s="18" t="inlineStr">
        <is>
          <t>0422_shellos.json::shellos-west-6::006</t>
        </is>
      </c>
      <c r="B1502" s="19" t="inlineStr">
        <is>
          <t>사용</t>
        </is>
      </c>
      <c r="C1502" s="18">
        <f>IF(OR(B1502&lt;&gt;AK1502,M1502&lt;&gt;L1502,O1502&lt;&gt;"",Q1502&lt;&gt;"",V1502&lt;&gt;1,Y1502&lt;&gt;"",AT1502&lt;&gt;""),"수정","원본")</f>
        <v/>
      </c>
      <c r="D1502" s="18" t="n">
        <v>422</v>
      </c>
      <c r="E1502" s="18" t="inlineStr">
        <is>
          <t>깝질무</t>
        </is>
      </c>
      <c r="F1502" s="18" t="inlineStr">
        <is>
          <t>shellos</t>
        </is>
      </c>
      <c r="G1502" s="18" t="inlineStr">
        <is>
          <t>shellos sea=west</t>
        </is>
      </c>
      <c r="H1502" s="18" t="inlineStr">
        <is>
          <t>sea=west</t>
        </is>
      </c>
      <c r="I1502" s="18" t="n">
        <v>4</v>
      </c>
      <c r="J1502" s="18" t="n"/>
      <c r="K1502" s="18" t="n">
        <v>4</v>
      </c>
      <c r="L1502" s="18" t="inlineStr">
        <is>
          <t>cobbleventure:generation_4</t>
        </is>
      </c>
      <c r="M1502" s="19" t="inlineStr">
        <is>
          <t>cobbleventure:generation_4</t>
        </is>
      </c>
      <c r="N1502" s="18" t="inlineStr"/>
      <c r="O1502" s="19" t="inlineStr"/>
      <c r="P1502" s="18" t="inlineStr">
        <is>
          <t>#cobblemon:is_lukewarm_ocean; #cobblemon:is_warm_ocean</t>
        </is>
      </c>
      <c r="Q1502" s="19" t="inlineStr"/>
      <c r="R1502" s="18">
        <f>IF(Q1502="",P1502,Q1502)</f>
        <v/>
      </c>
      <c r="S1502" s="18" t="inlineStr"/>
      <c r="T1502" s="18" t="inlineStr">
        <is>
          <t>common</t>
        </is>
      </c>
      <c r="U1502" s="20" t="n">
        <v>9</v>
      </c>
      <c r="V1502" s="21" t="n">
        <v>1</v>
      </c>
      <c r="W1502" s="20">
        <f>IF(OR(U1502="",V1502=""),U1502,U1502*V1502)</f>
        <v/>
      </c>
      <c r="X1502" s="18" t="inlineStr">
        <is>
          <t>8-33</t>
        </is>
      </c>
      <c r="Y1502" s="19" t="inlineStr"/>
      <c r="Z1502" s="18">
        <f>IF(Y1502="",X1502,Y1502)</f>
        <v/>
      </c>
      <c r="AA1502" s="18" t="inlineStr">
        <is>
          <t>fishing</t>
        </is>
      </c>
      <c r="AB1502" s="18" t="inlineStr"/>
      <c r="AC1502" s="18" t="inlineStr"/>
      <c r="AD1502" s="18" t="inlineStr"/>
      <c r="AE1502" s="18" t="inlineStr"/>
      <c r="AF1502" s="18" t="inlineStr">
        <is>
          <t>True</t>
        </is>
      </c>
      <c r="AG1502" s="18" t="inlineStr"/>
      <c r="AH1502" s="18" t="inlineStr"/>
      <c r="AI1502" s="18" t="inlineStr">
        <is>
          <t>{"condition":{"maxX":0}}</t>
        </is>
      </c>
      <c r="AJ1502" s="18" t="inlineStr">
        <is>
          <t>Cobblemon 동일</t>
        </is>
      </c>
      <c r="AK1502" s="18" t="inlineStr">
        <is>
          <t>사용</t>
        </is>
      </c>
      <c r="AL1502" s="18" t="inlineStr">
        <is>
          <t>COBBLEVERSE 1.7.42 / DP v31</t>
        </is>
      </c>
      <c r="AM1502" s="18" t="inlineStr">
        <is>
          <t>data/cobblemon/spawn_pool_world/0422_shellos.json</t>
        </is>
      </c>
      <c r="AN1502" s="18" t="inlineStr">
        <is>
          <t>shellos-west-6</t>
        </is>
      </c>
      <c r="AO1502" s="18" t="inlineStr">
        <is>
          <t>pokemon</t>
        </is>
      </c>
      <c r="AP1502" s="18" t="inlineStr"/>
      <c r="AQ1502" s="18" t="inlineStr">
        <is>
          <t>{"biomes":["#cobblemon:is_lukewarm_ocean","#cobblemon:is_warm_ocean"],"canSeeSky":true,"maxX":0}</t>
        </is>
      </c>
      <c r="AR1502" s="18" t="inlineStr"/>
      <c r="AS1502" s="18" t="inlineStr">
        <is>
          <t>{"weightMultiplier":{"condition":{"maxLureLevel":1,"minLureLevel":0},"multiplier":0.6}}</t>
        </is>
      </c>
      <c r="AT1502" s="19" t="inlineStr"/>
    </row>
    <row r="1503" ht="32" customHeight="1">
      <c r="A1503" s="18" t="inlineStr">
        <is>
          <t>0422_shellos.json::shellos-east-7::007</t>
        </is>
      </c>
      <c r="B1503" s="19" t="inlineStr">
        <is>
          <t>사용</t>
        </is>
      </c>
      <c r="C1503" s="18">
        <f>IF(OR(B1503&lt;&gt;AK1503,M1503&lt;&gt;L1503,O1503&lt;&gt;"",Q1503&lt;&gt;"",V1503&lt;&gt;1,Y1503&lt;&gt;"",AT1503&lt;&gt;""),"수정","원본")</f>
        <v/>
      </c>
      <c r="D1503" s="18" t="n">
        <v>422</v>
      </c>
      <c r="E1503" s="18" t="inlineStr">
        <is>
          <t>깝질무</t>
        </is>
      </c>
      <c r="F1503" s="18" t="inlineStr">
        <is>
          <t>shellos</t>
        </is>
      </c>
      <c r="G1503" s="18" t="inlineStr">
        <is>
          <t>shellos sea=east</t>
        </is>
      </c>
      <c r="H1503" s="18" t="inlineStr">
        <is>
          <t>sea=east</t>
        </is>
      </c>
      <c r="I1503" s="18" t="n">
        <v>4</v>
      </c>
      <c r="J1503" s="18" t="n"/>
      <c r="K1503" s="18" t="n">
        <v>4</v>
      </c>
      <c r="L1503" s="18" t="inlineStr">
        <is>
          <t>cobbleventure:generation_4</t>
        </is>
      </c>
      <c r="M1503" s="19" t="inlineStr">
        <is>
          <t>cobbleventure:generation_4</t>
        </is>
      </c>
      <c r="N1503" s="18" t="inlineStr"/>
      <c r="O1503" s="19" t="inlineStr"/>
      <c r="P1503" s="18" t="inlineStr">
        <is>
          <t>#cobblemon:is_cold_ocean; #cobblemon:is_frozen_ocean</t>
        </is>
      </c>
      <c r="Q1503" s="19" t="inlineStr"/>
      <c r="R1503" s="18">
        <f>IF(Q1503="",P1503,Q1503)</f>
        <v/>
      </c>
      <c r="S1503" s="18" t="inlineStr"/>
      <c r="T1503" s="18" t="inlineStr">
        <is>
          <t>common</t>
        </is>
      </c>
      <c r="U1503" s="20" t="n">
        <v>9</v>
      </c>
      <c r="V1503" s="21" t="n">
        <v>1</v>
      </c>
      <c r="W1503" s="20">
        <f>IF(OR(U1503="",V1503=""),U1503,U1503*V1503)</f>
        <v/>
      </c>
      <c r="X1503" s="18" t="inlineStr">
        <is>
          <t>8-33</t>
        </is>
      </c>
      <c r="Y1503" s="19" t="inlineStr"/>
      <c r="Z1503" s="18">
        <f>IF(Y1503="",X1503,Y1503)</f>
        <v/>
      </c>
      <c r="AA1503" s="18" t="inlineStr">
        <is>
          <t>fishing</t>
        </is>
      </c>
      <c r="AB1503" s="18" t="inlineStr"/>
      <c r="AC1503" s="18" t="inlineStr"/>
      <c r="AD1503" s="18" t="inlineStr"/>
      <c r="AE1503" s="18" t="inlineStr">
        <is>
          <t>sky 8-15</t>
        </is>
      </c>
      <c r="AF1503" s="18" t="inlineStr">
        <is>
          <t>False</t>
        </is>
      </c>
      <c r="AG1503" s="18" t="inlineStr"/>
      <c r="AH1503" s="18" t="inlineStr"/>
      <c r="AI1503" s="18" t="inlineStr">
        <is>
          <t>{"condition":{"minX":0}}</t>
        </is>
      </c>
      <c r="AJ1503" s="18" t="inlineStr">
        <is>
          <t>Cobblemon 동일</t>
        </is>
      </c>
      <c r="AK1503" s="18" t="inlineStr">
        <is>
          <t>사용</t>
        </is>
      </c>
      <c r="AL1503" s="18" t="inlineStr">
        <is>
          <t>COBBLEVERSE 1.7.42 / DP v31</t>
        </is>
      </c>
      <c r="AM1503" s="18" t="inlineStr">
        <is>
          <t>data/cobblemon/spawn_pool_world/0422_shellos.json</t>
        </is>
      </c>
      <c r="AN1503" s="18" t="inlineStr">
        <is>
          <t>shellos-east-7</t>
        </is>
      </c>
      <c r="AO1503" s="18" t="inlineStr">
        <is>
          <t>pokemon</t>
        </is>
      </c>
      <c r="AP1503" s="18" t="inlineStr"/>
      <c r="AQ1503" s="18" t="inlineStr">
        <is>
          <t>{"biomes":["#cobblemon:is_cold_ocean","#cobblemon:is_frozen_ocean"],"canSeeSky":false,"maxSkyLight":15,"minSkyLight":8,"minX":0}</t>
        </is>
      </c>
      <c r="AR1503" s="18" t="inlineStr"/>
      <c r="AS1503" s="18" t="inlineStr">
        <is>
          <t>{"weightMultiplier":{"condition":{"maxLureLevel":1,"minLureLevel":0},"multiplier":0.6}}</t>
        </is>
      </c>
      <c r="AT1503" s="19" t="inlineStr"/>
    </row>
    <row r="1504" ht="32" customHeight="1">
      <c r="A1504" s="18" t="inlineStr">
        <is>
          <t>0422_shellos.json::shellos-west-8::008</t>
        </is>
      </c>
      <c r="B1504" s="19" t="inlineStr">
        <is>
          <t>사용</t>
        </is>
      </c>
      <c r="C1504" s="18">
        <f>IF(OR(B1504&lt;&gt;AK1504,M1504&lt;&gt;L1504,O1504&lt;&gt;"",Q1504&lt;&gt;"",V1504&lt;&gt;1,Y1504&lt;&gt;"",AT1504&lt;&gt;""),"수정","원본")</f>
        <v/>
      </c>
      <c r="D1504" s="18" t="n">
        <v>422</v>
      </c>
      <c r="E1504" s="18" t="inlineStr">
        <is>
          <t>깝질무</t>
        </is>
      </c>
      <c r="F1504" s="18" t="inlineStr">
        <is>
          <t>shellos</t>
        </is>
      </c>
      <c r="G1504" s="18" t="inlineStr">
        <is>
          <t>shellos sea=west</t>
        </is>
      </c>
      <c r="H1504" s="18" t="inlineStr">
        <is>
          <t>sea=west</t>
        </is>
      </c>
      <c r="I1504" s="18" t="n">
        <v>4</v>
      </c>
      <c r="J1504" s="18" t="n"/>
      <c r="K1504" s="18" t="n">
        <v>4</v>
      </c>
      <c r="L1504" s="18" t="inlineStr">
        <is>
          <t>cobbleventure:generation_4</t>
        </is>
      </c>
      <c r="M1504" s="19" t="inlineStr">
        <is>
          <t>cobbleventure:generation_4</t>
        </is>
      </c>
      <c r="N1504" s="18" t="inlineStr"/>
      <c r="O1504" s="19" t="inlineStr"/>
      <c r="P1504" s="18" t="inlineStr">
        <is>
          <t>#cobblemon:is_lukewarm_ocean; #cobblemon:is_warm_ocean</t>
        </is>
      </c>
      <c r="Q1504" s="19" t="inlineStr"/>
      <c r="R1504" s="18">
        <f>IF(Q1504="",P1504,Q1504)</f>
        <v/>
      </c>
      <c r="S1504" s="18" t="inlineStr"/>
      <c r="T1504" s="18" t="inlineStr">
        <is>
          <t>common</t>
        </is>
      </c>
      <c r="U1504" s="20" t="n">
        <v>9</v>
      </c>
      <c r="V1504" s="21" t="n">
        <v>1</v>
      </c>
      <c r="W1504" s="20">
        <f>IF(OR(U1504="",V1504=""),U1504,U1504*V1504)</f>
        <v/>
      </c>
      <c r="X1504" s="18" t="inlineStr">
        <is>
          <t>8-33</t>
        </is>
      </c>
      <c r="Y1504" s="19" t="inlineStr"/>
      <c r="Z1504" s="18">
        <f>IF(Y1504="",X1504,Y1504)</f>
        <v/>
      </c>
      <c r="AA1504" s="18" t="inlineStr">
        <is>
          <t>fishing</t>
        </is>
      </c>
      <c r="AB1504" s="18" t="inlineStr"/>
      <c r="AC1504" s="18" t="inlineStr"/>
      <c r="AD1504" s="18" t="inlineStr"/>
      <c r="AE1504" s="18" t="inlineStr">
        <is>
          <t>sky 8-15</t>
        </is>
      </c>
      <c r="AF1504" s="18" t="inlineStr">
        <is>
          <t>False</t>
        </is>
      </c>
      <c r="AG1504" s="18" t="inlineStr"/>
      <c r="AH1504" s="18" t="inlineStr"/>
      <c r="AI1504" s="18" t="inlineStr">
        <is>
          <t>{"condition":{"maxX":0}}</t>
        </is>
      </c>
      <c r="AJ1504" s="18" t="inlineStr">
        <is>
          <t>Cobblemon 동일</t>
        </is>
      </c>
      <c r="AK1504" s="18" t="inlineStr">
        <is>
          <t>사용</t>
        </is>
      </c>
      <c r="AL1504" s="18" t="inlineStr">
        <is>
          <t>COBBLEVERSE 1.7.42 / DP v31</t>
        </is>
      </c>
      <c r="AM1504" s="18" t="inlineStr">
        <is>
          <t>data/cobblemon/spawn_pool_world/0422_shellos.json</t>
        </is>
      </c>
      <c r="AN1504" s="18" t="inlineStr">
        <is>
          <t>shellos-west-8</t>
        </is>
      </c>
      <c r="AO1504" s="18" t="inlineStr">
        <is>
          <t>pokemon</t>
        </is>
      </c>
      <c r="AP1504" s="18" t="inlineStr"/>
      <c r="AQ1504" s="18" t="inlineStr">
        <is>
          <t>{"biomes":["#cobblemon:is_lukewarm_ocean","#cobblemon:is_warm_ocean"],"canSeeSky":false,"maxSkyLight":15,"maxX":0,"minSkyLight":8}</t>
        </is>
      </c>
      <c r="AR1504" s="18" t="inlineStr"/>
      <c r="AS1504" s="18" t="inlineStr">
        <is>
          <t>{"weightMultiplier":{"condition":{"maxLureLevel":1,"minLureLevel":0},"multiplier":0.6}}</t>
        </is>
      </c>
      <c r="AT1504" s="19" t="inlineStr"/>
    </row>
    <row r="1505" ht="32" customHeight="1">
      <c r="A1505" s="18" t="inlineStr">
        <is>
          <t>0423_gastrodon.json::gastrodon-east-1::001</t>
        </is>
      </c>
      <c r="B1505" s="19" t="inlineStr">
        <is>
          <t>사용</t>
        </is>
      </c>
      <c r="C1505" s="18">
        <f>IF(OR(B1505&lt;&gt;AK1505,M1505&lt;&gt;L1505,O1505&lt;&gt;"",Q1505&lt;&gt;"",V1505&lt;&gt;1,Y1505&lt;&gt;"",AT1505&lt;&gt;""),"수정","원본")</f>
        <v/>
      </c>
      <c r="D1505" s="18" t="n">
        <v>423</v>
      </c>
      <c r="E1505" s="18" t="inlineStr">
        <is>
          <t>트리토돈</t>
        </is>
      </c>
      <c r="F1505" s="18" t="inlineStr">
        <is>
          <t>gastrodon</t>
        </is>
      </c>
      <c r="G1505" s="18" t="inlineStr">
        <is>
          <t>gastrodon sea=east</t>
        </is>
      </c>
      <c r="H1505" s="18" t="inlineStr">
        <is>
          <t>sea=east</t>
        </is>
      </c>
      <c r="I1505" s="18" t="n">
        <v>4</v>
      </c>
      <c r="J1505" s="18" t="n"/>
      <c r="K1505" s="18" t="n">
        <v>4</v>
      </c>
      <c r="L1505" s="18" t="inlineStr">
        <is>
          <t>cobbleventure:generation_4</t>
        </is>
      </c>
      <c r="M1505" s="19" t="inlineStr">
        <is>
          <t>cobbleventure:generation_4</t>
        </is>
      </c>
      <c r="N1505" s="18" t="inlineStr"/>
      <c r="O1505" s="19" t="inlineStr"/>
      <c r="P1505" s="18" t="inlineStr">
        <is>
          <t>#cobblemon:is_beach</t>
        </is>
      </c>
      <c r="Q1505" s="19" t="inlineStr"/>
      <c r="R1505" s="18">
        <f>IF(Q1505="",P1505,Q1505)</f>
        <v/>
      </c>
      <c r="S1505" s="18" t="inlineStr"/>
      <c r="T1505" s="18" t="inlineStr">
        <is>
          <t>uncommon</t>
        </is>
      </c>
      <c r="U1505" s="20" t="n">
        <v>1.6</v>
      </c>
      <c r="V1505" s="21" t="n">
        <v>1</v>
      </c>
      <c r="W1505" s="20">
        <f>IF(OR(U1505="",V1505=""),U1505,U1505*V1505)</f>
        <v/>
      </c>
      <c r="X1505" s="18" t="inlineStr">
        <is>
          <t>30-48</t>
        </is>
      </c>
      <c r="Y1505" s="19" t="inlineStr"/>
      <c r="Z1505" s="18">
        <f>IF(Y1505="",X1505,Y1505)</f>
        <v/>
      </c>
      <c r="AA1505" s="18" t="inlineStr">
        <is>
          <t>grounded</t>
        </is>
      </c>
      <c r="AB1505" s="18" t="inlineStr"/>
      <c r="AC1505" s="18" t="inlineStr">
        <is>
          <t>비=True</t>
        </is>
      </c>
      <c r="AD1505" s="18" t="inlineStr"/>
      <c r="AE1505" s="18" t="inlineStr">
        <is>
          <t>sky 8-15</t>
        </is>
      </c>
      <c r="AF1505" s="18" t="inlineStr"/>
      <c r="AG1505" s="18" t="inlineStr"/>
      <c r="AH1505" s="18" t="inlineStr"/>
      <c r="AI1505" s="18" t="inlineStr">
        <is>
          <t>{"condition":{"minX":0}}</t>
        </is>
      </c>
      <c r="AJ1505" s="18" t="inlineStr">
        <is>
          <t>Cobblemon 동일</t>
        </is>
      </c>
      <c r="AK1505" s="18" t="inlineStr">
        <is>
          <t>사용</t>
        </is>
      </c>
      <c r="AL1505" s="18" t="inlineStr">
        <is>
          <t>COBBLEVERSE 1.7.42 / DP v31</t>
        </is>
      </c>
      <c r="AM1505" s="18" t="inlineStr">
        <is>
          <t>data/cobblemon/spawn_pool_world/0423_gastrodon.json</t>
        </is>
      </c>
      <c r="AN1505" s="18" t="inlineStr">
        <is>
          <t>gastrodon-east-1</t>
        </is>
      </c>
      <c r="AO1505" s="18" t="inlineStr">
        <is>
          <t>pokemon</t>
        </is>
      </c>
      <c r="AP1505" s="18" t="inlineStr">
        <is>
          <t>natural</t>
        </is>
      </c>
      <c r="AQ1505" s="18" t="inlineStr">
        <is>
          <t>{"biomes":["#cobblemon:is_beach"],"isRaining":true,"maxSkyLight":15,"minSkyLight":8,"minX":0}</t>
        </is>
      </c>
      <c r="AR1505" s="18" t="inlineStr"/>
      <c r="AS1505" s="18" t="inlineStr"/>
      <c r="AT1505" s="19" t="inlineStr"/>
    </row>
    <row r="1506" ht="32" customHeight="1">
      <c r="A1506" s="18" t="inlineStr">
        <is>
          <t>0423_gastrodon.json::gastrodon-east-2::002</t>
        </is>
      </c>
      <c r="B1506" s="19" t="inlineStr">
        <is>
          <t>사용</t>
        </is>
      </c>
      <c r="C1506" s="18">
        <f>IF(OR(B1506&lt;&gt;AK1506,M1506&lt;&gt;L1506,O1506&lt;&gt;"",Q1506&lt;&gt;"",V1506&lt;&gt;1,Y1506&lt;&gt;"",AT1506&lt;&gt;""),"수정","원본")</f>
        <v/>
      </c>
      <c r="D1506" s="18" t="n">
        <v>423</v>
      </c>
      <c r="E1506" s="18" t="inlineStr">
        <is>
          <t>트리토돈</t>
        </is>
      </c>
      <c r="F1506" s="18" t="inlineStr">
        <is>
          <t>gastrodon</t>
        </is>
      </c>
      <c r="G1506" s="18" t="inlineStr">
        <is>
          <t>gastrodon sea=east</t>
        </is>
      </c>
      <c r="H1506" s="18" t="inlineStr">
        <is>
          <t>sea=east</t>
        </is>
      </c>
      <c r="I1506" s="18" t="n">
        <v>4</v>
      </c>
      <c r="J1506" s="18" t="n"/>
      <c r="K1506" s="18" t="n">
        <v>4</v>
      </c>
      <c r="L1506" s="18" t="inlineStr">
        <is>
          <t>cobbleventure:generation_4</t>
        </is>
      </c>
      <c r="M1506" s="19" t="inlineStr">
        <is>
          <t>cobbleventure:generation_4</t>
        </is>
      </c>
      <c r="N1506" s="18" t="inlineStr"/>
      <c r="O1506" s="19" t="inlineStr"/>
      <c r="P1506" s="18" t="inlineStr">
        <is>
          <t>#cobblemon:is_cold_ocean; #cobblemon:is_frozen_ocean</t>
        </is>
      </c>
      <c r="Q1506" s="19" t="inlineStr"/>
      <c r="R1506" s="18">
        <f>IF(Q1506="",P1506,Q1506)</f>
        <v/>
      </c>
      <c r="S1506" s="18" t="inlineStr"/>
      <c r="T1506" s="18" t="inlineStr">
        <is>
          <t>common</t>
        </is>
      </c>
      <c r="U1506" s="20" t="n">
        <v>0.6</v>
      </c>
      <c r="V1506" s="21" t="n">
        <v>1</v>
      </c>
      <c r="W1506" s="20">
        <f>IF(OR(U1506="",V1506=""),U1506,U1506*V1506)</f>
        <v/>
      </c>
      <c r="X1506" s="18" t="inlineStr">
        <is>
          <t>30-48</t>
        </is>
      </c>
      <c r="Y1506" s="19" t="inlineStr"/>
      <c r="Z1506" s="18">
        <f>IF(Y1506="",X1506,Y1506)</f>
        <v/>
      </c>
      <c r="AA1506" s="18" t="inlineStr">
        <is>
          <t>seafloor</t>
        </is>
      </c>
      <c r="AB1506" s="18" t="inlineStr"/>
      <c r="AC1506" s="18" t="inlineStr"/>
      <c r="AD1506" s="18" t="inlineStr"/>
      <c r="AE1506" s="18" t="inlineStr"/>
      <c r="AF1506" s="18" t="inlineStr">
        <is>
          <t>True</t>
        </is>
      </c>
      <c r="AG1506" s="18" t="inlineStr"/>
      <c r="AH1506" s="18" t="inlineStr"/>
      <c r="AI1506" s="18" t="inlineStr">
        <is>
          <t>{"condition":{"minX":0}}</t>
        </is>
      </c>
      <c r="AJ1506" s="18" t="inlineStr">
        <is>
          <t>Cobblemon 동일</t>
        </is>
      </c>
      <c r="AK1506" s="18" t="inlineStr">
        <is>
          <t>사용</t>
        </is>
      </c>
      <c r="AL1506" s="18" t="inlineStr">
        <is>
          <t>COBBLEVERSE 1.7.42 / DP v31</t>
        </is>
      </c>
      <c r="AM1506" s="18" t="inlineStr">
        <is>
          <t>data/cobblemon/spawn_pool_world/0423_gastrodon.json</t>
        </is>
      </c>
      <c r="AN1506" s="18" t="inlineStr">
        <is>
          <t>gastrodon-east-2</t>
        </is>
      </c>
      <c r="AO1506" s="18" t="inlineStr">
        <is>
          <t>pokemon</t>
        </is>
      </c>
      <c r="AP1506" s="18" t="inlineStr">
        <is>
          <t>water</t>
        </is>
      </c>
      <c r="AQ1506" s="18" t="inlineStr">
        <is>
          <t>{"biomes":["#cobblemon:is_cold_ocean","#cobblemon:is_frozen_ocean"],"canSeeSky":true,"minX":0}</t>
        </is>
      </c>
      <c r="AR1506" s="18" t="inlineStr"/>
      <c r="AS1506" s="18" t="inlineStr"/>
      <c r="AT1506" s="19" t="inlineStr"/>
    </row>
    <row r="1507" ht="32" customHeight="1">
      <c r="A1507" s="18" t="inlineStr">
        <is>
          <t>0423_gastrodon.json::gastrodon-east-3::003</t>
        </is>
      </c>
      <c r="B1507" s="19" t="inlineStr">
        <is>
          <t>사용</t>
        </is>
      </c>
      <c r="C1507" s="18">
        <f>IF(OR(B1507&lt;&gt;AK1507,M1507&lt;&gt;L1507,O1507&lt;&gt;"",Q1507&lt;&gt;"",V1507&lt;&gt;1,Y1507&lt;&gt;"",AT1507&lt;&gt;""),"수정","원본")</f>
        <v/>
      </c>
      <c r="D1507" s="18" t="n">
        <v>423</v>
      </c>
      <c r="E1507" s="18" t="inlineStr">
        <is>
          <t>트리토돈</t>
        </is>
      </c>
      <c r="F1507" s="18" t="inlineStr">
        <is>
          <t>gastrodon</t>
        </is>
      </c>
      <c r="G1507" s="18" t="inlineStr">
        <is>
          <t>gastrodon sea=east</t>
        </is>
      </c>
      <c r="H1507" s="18" t="inlineStr">
        <is>
          <t>sea=east</t>
        </is>
      </c>
      <c r="I1507" s="18" t="n">
        <v>4</v>
      </c>
      <c r="J1507" s="18" t="n"/>
      <c r="K1507" s="18" t="n">
        <v>4</v>
      </c>
      <c r="L1507" s="18" t="inlineStr">
        <is>
          <t>cobbleventure:generation_4</t>
        </is>
      </c>
      <c r="M1507" s="19" t="inlineStr">
        <is>
          <t>cobbleventure:generation_4</t>
        </is>
      </c>
      <c r="N1507" s="18" t="inlineStr"/>
      <c r="O1507" s="19" t="inlineStr"/>
      <c r="P1507" s="18" t="inlineStr">
        <is>
          <t>#cobblemon:is_cold_ocean; #cobblemon:is_frozen_ocean</t>
        </is>
      </c>
      <c r="Q1507" s="19" t="inlineStr"/>
      <c r="R1507" s="18">
        <f>IF(Q1507="",P1507,Q1507)</f>
        <v/>
      </c>
      <c r="S1507" s="18" t="inlineStr"/>
      <c r="T1507" s="18" t="inlineStr">
        <is>
          <t>common</t>
        </is>
      </c>
      <c r="U1507" s="20" t="n">
        <v>1</v>
      </c>
      <c r="V1507" s="21" t="n">
        <v>1</v>
      </c>
      <c r="W1507" s="20">
        <f>IF(OR(U1507="",V1507=""),U1507,U1507*V1507)</f>
        <v/>
      </c>
      <c r="X1507" s="18" t="inlineStr">
        <is>
          <t>30-48</t>
        </is>
      </c>
      <c r="Y1507" s="19" t="inlineStr"/>
      <c r="Z1507" s="18">
        <f>IF(Y1507="",X1507,Y1507)</f>
        <v/>
      </c>
      <c r="AA1507" s="18" t="inlineStr">
        <is>
          <t>fishing</t>
        </is>
      </c>
      <c r="AB1507" s="18" t="inlineStr"/>
      <c r="AC1507" s="18" t="inlineStr"/>
      <c r="AD1507" s="18" t="inlineStr"/>
      <c r="AE1507" s="18" t="inlineStr"/>
      <c r="AF1507" s="18" t="inlineStr">
        <is>
          <t>True</t>
        </is>
      </c>
      <c r="AG1507" s="18" t="inlineStr"/>
      <c r="AH1507" s="18" t="inlineStr"/>
      <c r="AI1507" s="18" t="inlineStr">
        <is>
          <t>{"condition":{"minX":0}}</t>
        </is>
      </c>
      <c r="AJ1507" s="18" t="inlineStr">
        <is>
          <t>Cobblemon 동일</t>
        </is>
      </c>
      <c r="AK1507" s="18" t="inlineStr">
        <is>
          <t>사용</t>
        </is>
      </c>
      <c r="AL1507" s="18" t="inlineStr">
        <is>
          <t>COBBLEVERSE 1.7.42 / DP v31</t>
        </is>
      </c>
      <c r="AM1507" s="18" t="inlineStr">
        <is>
          <t>data/cobblemon/spawn_pool_world/0423_gastrodon.json</t>
        </is>
      </c>
      <c r="AN1507" s="18" t="inlineStr">
        <is>
          <t>gastrodon-east-3</t>
        </is>
      </c>
      <c r="AO1507" s="18" t="inlineStr">
        <is>
          <t>pokemon</t>
        </is>
      </c>
      <c r="AP1507" s="18" t="inlineStr"/>
      <c r="AQ1507" s="18" t="inlineStr">
        <is>
          <t>{"biomes":["#cobblemon:is_cold_ocean","#cobblemon:is_frozen_ocean"],"canSeeSky":true,"minX":0}</t>
        </is>
      </c>
      <c r="AR1507" s="18" t="inlineStr"/>
      <c r="AS1507" s="18" t="inlineStr">
        <is>
          <t>{"weightMultiplier":{"condition":{"maxLureLevel":1,"minLureLevel":0},"multiplier":0.6}}</t>
        </is>
      </c>
      <c r="AT1507" s="19" t="inlineStr"/>
    </row>
    <row r="1508" ht="32" customHeight="1">
      <c r="A1508" s="18" t="inlineStr">
        <is>
          <t>0423_gastrodon.json::gastrodon-west-4::004</t>
        </is>
      </c>
      <c r="B1508" s="19" t="inlineStr">
        <is>
          <t>사용</t>
        </is>
      </c>
      <c r="C1508" s="18">
        <f>IF(OR(B1508&lt;&gt;AK1508,M1508&lt;&gt;L1508,O1508&lt;&gt;"",Q1508&lt;&gt;"",V1508&lt;&gt;1,Y1508&lt;&gt;"",AT1508&lt;&gt;""),"수정","원본")</f>
        <v/>
      </c>
      <c r="D1508" s="18" t="n">
        <v>423</v>
      </c>
      <c r="E1508" s="18" t="inlineStr">
        <is>
          <t>트리토돈</t>
        </is>
      </c>
      <c r="F1508" s="18" t="inlineStr">
        <is>
          <t>gastrodon</t>
        </is>
      </c>
      <c r="G1508" s="18" t="inlineStr">
        <is>
          <t>gastrodon sea=west</t>
        </is>
      </c>
      <c r="H1508" s="18" t="inlineStr">
        <is>
          <t>sea=west</t>
        </is>
      </c>
      <c r="I1508" s="18" t="n">
        <v>4</v>
      </c>
      <c r="J1508" s="18" t="n"/>
      <c r="K1508" s="18" t="n">
        <v>4</v>
      </c>
      <c r="L1508" s="18" t="inlineStr">
        <is>
          <t>cobbleventure:generation_4</t>
        </is>
      </c>
      <c r="M1508" s="19" t="inlineStr">
        <is>
          <t>cobbleventure:generation_4</t>
        </is>
      </c>
      <c r="N1508" s="18" t="inlineStr"/>
      <c r="O1508" s="19" t="inlineStr"/>
      <c r="P1508" s="18" t="inlineStr">
        <is>
          <t>#cobblemon:is_beach</t>
        </is>
      </c>
      <c r="Q1508" s="19" t="inlineStr"/>
      <c r="R1508" s="18">
        <f>IF(Q1508="",P1508,Q1508)</f>
        <v/>
      </c>
      <c r="S1508" s="18" t="inlineStr">
        <is>
          <t>#cobblemon:is_freezing</t>
        </is>
      </c>
      <c r="T1508" s="18" t="inlineStr">
        <is>
          <t>uncommon</t>
        </is>
      </c>
      <c r="U1508" s="20" t="n">
        <v>1.6</v>
      </c>
      <c r="V1508" s="21" t="n">
        <v>1</v>
      </c>
      <c r="W1508" s="20">
        <f>IF(OR(U1508="",V1508=""),U1508,U1508*V1508)</f>
        <v/>
      </c>
      <c r="X1508" s="18" t="inlineStr">
        <is>
          <t>30-48</t>
        </is>
      </c>
      <c r="Y1508" s="19" t="inlineStr"/>
      <c r="Z1508" s="18">
        <f>IF(Y1508="",X1508,Y1508)</f>
        <v/>
      </c>
      <c r="AA1508" s="18" t="inlineStr">
        <is>
          <t>grounded</t>
        </is>
      </c>
      <c r="AB1508" s="18" t="inlineStr"/>
      <c r="AC1508" s="18" t="inlineStr">
        <is>
          <t>비=True</t>
        </is>
      </c>
      <c r="AD1508" s="18" t="inlineStr"/>
      <c r="AE1508" s="18" t="inlineStr">
        <is>
          <t>sky 8-15</t>
        </is>
      </c>
      <c r="AF1508" s="18" t="inlineStr"/>
      <c r="AG1508" s="18" t="inlineStr"/>
      <c r="AH1508" s="18" t="inlineStr"/>
      <c r="AI1508" s="18" t="inlineStr">
        <is>
          <t>{"condition":{"maxX":0}}</t>
        </is>
      </c>
      <c r="AJ1508" s="18" t="inlineStr">
        <is>
          <t>Cobblemon 동일</t>
        </is>
      </c>
      <c r="AK1508" s="18" t="inlineStr">
        <is>
          <t>사용</t>
        </is>
      </c>
      <c r="AL1508" s="18" t="inlineStr">
        <is>
          <t>COBBLEVERSE 1.7.42 / DP v31</t>
        </is>
      </c>
      <c r="AM1508" s="18" t="inlineStr">
        <is>
          <t>data/cobblemon/spawn_pool_world/0423_gastrodon.json</t>
        </is>
      </c>
      <c r="AN1508" s="18" t="inlineStr">
        <is>
          <t>gastrodon-west-4</t>
        </is>
      </c>
      <c r="AO1508" s="18" t="inlineStr">
        <is>
          <t>pokemon</t>
        </is>
      </c>
      <c r="AP1508" s="18" t="inlineStr">
        <is>
          <t>natural</t>
        </is>
      </c>
      <c r="AQ1508" s="18" t="inlineStr">
        <is>
          <t>{"biomes":["#cobblemon:is_beach"],"isRaining":true,"maxSkyLight":15,"maxX":0,"minSkyLight":8}</t>
        </is>
      </c>
      <c r="AR1508" s="18" t="inlineStr">
        <is>
          <t>{"biomes":["#cobblemon:is_freezing"]}</t>
        </is>
      </c>
      <c r="AS1508" s="18" t="inlineStr"/>
      <c r="AT1508" s="19" t="inlineStr"/>
    </row>
    <row r="1509" ht="32" customHeight="1">
      <c r="A1509" s="18" t="inlineStr">
        <is>
          <t>0423_gastrodon.json::gastrodon-west-5::005</t>
        </is>
      </c>
      <c r="B1509" s="19" t="inlineStr">
        <is>
          <t>사용</t>
        </is>
      </c>
      <c r="C1509" s="18">
        <f>IF(OR(B1509&lt;&gt;AK1509,M1509&lt;&gt;L1509,O1509&lt;&gt;"",Q1509&lt;&gt;"",V1509&lt;&gt;1,Y1509&lt;&gt;"",AT1509&lt;&gt;""),"수정","원본")</f>
        <v/>
      </c>
      <c r="D1509" s="18" t="n">
        <v>423</v>
      </c>
      <c r="E1509" s="18" t="inlineStr">
        <is>
          <t>트리토돈</t>
        </is>
      </c>
      <c r="F1509" s="18" t="inlineStr">
        <is>
          <t>gastrodon</t>
        </is>
      </c>
      <c r="G1509" s="18" t="inlineStr">
        <is>
          <t>gastrodon sea=west</t>
        </is>
      </c>
      <c r="H1509" s="18" t="inlineStr">
        <is>
          <t>sea=west</t>
        </is>
      </c>
      <c r="I1509" s="18" t="n">
        <v>4</v>
      </c>
      <c r="J1509" s="18" t="n"/>
      <c r="K1509" s="18" t="n">
        <v>4</v>
      </c>
      <c r="L1509" s="18" t="inlineStr">
        <is>
          <t>cobbleventure:generation_4</t>
        </is>
      </c>
      <c r="M1509" s="19" t="inlineStr">
        <is>
          <t>cobbleventure:generation_4</t>
        </is>
      </c>
      <c r="N1509" s="18" t="inlineStr"/>
      <c r="O1509" s="19" t="inlineStr"/>
      <c r="P1509" s="18" t="inlineStr">
        <is>
          <t>#cobblemon:is_lukewarm_ocean; #cobblemon:is_warm_ocean</t>
        </is>
      </c>
      <c r="Q1509" s="19" t="inlineStr"/>
      <c r="R1509" s="18">
        <f>IF(Q1509="",P1509,Q1509)</f>
        <v/>
      </c>
      <c r="S1509" s="18" t="inlineStr"/>
      <c r="T1509" s="18" t="inlineStr">
        <is>
          <t>common</t>
        </is>
      </c>
      <c r="U1509" s="20" t="n">
        <v>0.6</v>
      </c>
      <c r="V1509" s="21" t="n">
        <v>1</v>
      </c>
      <c r="W1509" s="20">
        <f>IF(OR(U1509="",V1509=""),U1509,U1509*V1509)</f>
        <v/>
      </c>
      <c r="X1509" s="18" t="inlineStr">
        <is>
          <t>30-48</t>
        </is>
      </c>
      <c r="Y1509" s="19" t="inlineStr"/>
      <c r="Z1509" s="18">
        <f>IF(Y1509="",X1509,Y1509)</f>
        <v/>
      </c>
      <c r="AA1509" s="18" t="inlineStr">
        <is>
          <t>seafloor</t>
        </is>
      </c>
      <c r="AB1509" s="18" t="inlineStr"/>
      <c r="AC1509" s="18" t="inlineStr"/>
      <c r="AD1509" s="18" t="inlineStr"/>
      <c r="AE1509" s="18" t="inlineStr"/>
      <c r="AF1509" s="18" t="inlineStr">
        <is>
          <t>True</t>
        </is>
      </c>
      <c r="AG1509" s="18" t="inlineStr"/>
      <c r="AH1509" s="18" t="inlineStr"/>
      <c r="AI1509" s="18" t="inlineStr">
        <is>
          <t>{"condition":{"maxX":0}}</t>
        </is>
      </c>
      <c r="AJ1509" s="18" t="inlineStr">
        <is>
          <t>Cobblemon 동일</t>
        </is>
      </c>
      <c r="AK1509" s="18" t="inlineStr">
        <is>
          <t>사용</t>
        </is>
      </c>
      <c r="AL1509" s="18" t="inlineStr">
        <is>
          <t>COBBLEVERSE 1.7.42 / DP v31</t>
        </is>
      </c>
      <c r="AM1509" s="18" t="inlineStr">
        <is>
          <t>data/cobblemon/spawn_pool_world/0423_gastrodon.json</t>
        </is>
      </c>
      <c r="AN1509" s="18" t="inlineStr">
        <is>
          <t>gastrodon-west-5</t>
        </is>
      </c>
      <c r="AO1509" s="18" t="inlineStr">
        <is>
          <t>pokemon</t>
        </is>
      </c>
      <c r="AP1509" s="18" t="inlineStr">
        <is>
          <t>water</t>
        </is>
      </c>
      <c r="AQ1509" s="18" t="inlineStr">
        <is>
          <t>{"biomes":["#cobblemon:is_lukewarm_ocean","#cobblemon:is_warm_ocean"],"canSeeSky":true,"maxX":0}</t>
        </is>
      </c>
      <c r="AR1509" s="18" t="inlineStr"/>
      <c r="AS1509" s="18" t="inlineStr"/>
      <c r="AT1509" s="19" t="inlineStr"/>
    </row>
    <row r="1510" ht="32" customHeight="1">
      <c r="A1510" s="18" t="inlineStr">
        <is>
          <t>0423_gastrodon.json::gastrodon-west-6::006</t>
        </is>
      </c>
      <c r="B1510" s="19" t="inlineStr">
        <is>
          <t>사용</t>
        </is>
      </c>
      <c r="C1510" s="18">
        <f>IF(OR(B1510&lt;&gt;AK1510,M1510&lt;&gt;L1510,O1510&lt;&gt;"",Q1510&lt;&gt;"",V1510&lt;&gt;1,Y1510&lt;&gt;"",AT1510&lt;&gt;""),"수정","원본")</f>
        <v/>
      </c>
      <c r="D1510" s="18" t="n">
        <v>423</v>
      </c>
      <c r="E1510" s="18" t="inlineStr">
        <is>
          <t>트리토돈</t>
        </is>
      </c>
      <c r="F1510" s="18" t="inlineStr">
        <is>
          <t>gastrodon</t>
        </is>
      </c>
      <c r="G1510" s="18" t="inlineStr">
        <is>
          <t>gastrodon sea=west</t>
        </is>
      </c>
      <c r="H1510" s="18" t="inlineStr">
        <is>
          <t>sea=west</t>
        </is>
      </c>
      <c r="I1510" s="18" t="n">
        <v>4</v>
      </c>
      <c r="J1510" s="18" t="n"/>
      <c r="K1510" s="18" t="n">
        <v>4</v>
      </c>
      <c r="L1510" s="18" t="inlineStr">
        <is>
          <t>cobbleventure:generation_4</t>
        </is>
      </c>
      <c r="M1510" s="19" t="inlineStr">
        <is>
          <t>cobbleventure:generation_4</t>
        </is>
      </c>
      <c r="N1510" s="18" t="inlineStr"/>
      <c r="O1510" s="19" t="inlineStr"/>
      <c r="P1510" s="18" t="inlineStr">
        <is>
          <t>#cobblemon:is_lukewarm_ocean; #cobblemon:is_warm_ocean</t>
        </is>
      </c>
      <c r="Q1510" s="19" t="inlineStr"/>
      <c r="R1510" s="18">
        <f>IF(Q1510="",P1510,Q1510)</f>
        <v/>
      </c>
      <c r="S1510" s="18" t="inlineStr"/>
      <c r="T1510" s="18" t="inlineStr">
        <is>
          <t>common</t>
        </is>
      </c>
      <c r="U1510" s="20" t="n">
        <v>1</v>
      </c>
      <c r="V1510" s="21" t="n">
        <v>1</v>
      </c>
      <c r="W1510" s="20">
        <f>IF(OR(U1510="",V1510=""),U1510,U1510*V1510)</f>
        <v/>
      </c>
      <c r="X1510" s="18" t="inlineStr">
        <is>
          <t>30-48</t>
        </is>
      </c>
      <c r="Y1510" s="19" t="inlineStr"/>
      <c r="Z1510" s="18">
        <f>IF(Y1510="",X1510,Y1510)</f>
        <v/>
      </c>
      <c r="AA1510" s="18" t="inlineStr">
        <is>
          <t>fishing</t>
        </is>
      </c>
      <c r="AB1510" s="18" t="inlineStr"/>
      <c r="AC1510" s="18" t="inlineStr"/>
      <c r="AD1510" s="18" t="inlineStr"/>
      <c r="AE1510" s="18" t="inlineStr"/>
      <c r="AF1510" s="18" t="inlineStr">
        <is>
          <t>True</t>
        </is>
      </c>
      <c r="AG1510" s="18" t="inlineStr"/>
      <c r="AH1510" s="18" t="inlineStr"/>
      <c r="AI1510" s="18" t="inlineStr">
        <is>
          <t>{"condition":{"maxX":0}}</t>
        </is>
      </c>
      <c r="AJ1510" s="18" t="inlineStr">
        <is>
          <t>Cobblemon 동일</t>
        </is>
      </c>
      <c r="AK1510" s="18" t="inlineStr">
        <is>
          <t>사용</t>
        </is>
      </c>
      <c r="AL1510" s="18" t="inlineStr">
        <is>
          <t>COBBLEVERSE 1.7.42 / DP v31</t>
        </is>
      </c>
      <c r="AM1510" s="18" t="inlineStr">
        <is>
          <t>data/cobblemon/spawn_pool_world/0423_gastrodon.json</t>
        </is>
      </c>
      <c r="AN1510" s="18" t="inlineStr">
        <is>
          <t>gastrodon-west-6</t>
        </is>
      </c>
      <c r="AO1510" s="18" t="inlineStr">
        <is>
          <t>pokemon</t>
        </is>
      </c>
      <c r="AP1510" s="18" t="inlineStr"/>
      <c r="AQ1510" s="18" t="inlineStr">
        <is>
          <t>{"biomes":["#cobblemon:is_lukewarm_ocean","#cobblemon:is_warm_ocean"],"canSeeSky":true,"maxX":0}</t>
        </is>
      </c>
      <c r="AR1510" s="18" t="inlineStr"/>
      <c r="AS1510" s="18" t="inlineStr">
        <is>
          <t>{"weightMultiplier":{"condition":{"maxLureLevel":1,"minLureLevel":0},"multiplier":0.6}}</t>
        </is>
      </c>
      <c r="AT1510" s="19" t="inlineStr"/>
    </row>
    <row r="1511" ht="32" customHeight="1">
      <c r="A1511" s="18" t="inlineStr">
        <is>
          <t>0423_gastrodon.json::gastrodon-east-7::007</t>
        </is>
      </c>
      <c r="B1511" s="19" t="inlineStr">
        <is>
          <t>사용</t>
        </is>
      </c>
      <c r="C1511" s="18">
        <f>IF(OR(B1511&lt;&gt;AK1511,M1511&lt;&gt;L1511,O1511&lt;&gt;"",Q1511&lt;&gt;"",V1511&lt;&gt;1,Y1511&lt;&gt;"",AT1511&lt;&gt;""),"수정","원본")</f>
        <v/>
      </c>
      <c r="D1511" s="18" t="n">
        <v>423</v>
      </c>
      <c r="E1511" s="18" t="inlineStr">
        <is>
          <t>트리토돈</t>
        </is>
      </c>
      <c r="F1511" s="18" t="inlineStr">
        <is>
          <t>gastrodon</t>
        </is>
      </c>
      <c r="G1511" s="18" t="inlineStr">
        <is>
          <t>gastrodon sea=east</t>
        </is>
      </c>
      <c r="H1511" s="18" t="inlineStr">
        <is>
          <t>sea=east</t>
        </is>
      </c>
      <c r="I1511" s="18" t="n">
        <v>4</v>
      </c>
      <c r="J1511" s="18" t="n"/>
      <c r="K1511" s="18" t="n">
        <v>4</v>
      </c>
      <c r="L1511" s="18" t="inlineStr">
        <is>
          <t>cobbleventure:generation_4</t>
        </is>
      </c>
      <c r="M1511" s="19" t="inlineStr">
        <is>
          <t>cobbleventure:generation_4</t>
        </is>
      </c>
      <c r="N1511" s="18" t="inlineStr"/>
      <c r="O1511" s="19" t="inlineStr"/>
      <c r="P1511" s="18" t="inlineStr">
        <is>
          <t>#cobblemon:is_cold_ocean; #cobblemon:is_frozen_ocean</t>
        </is>
      </c>
      <c r="Q1511" s="19" t="inlineStr"/>
      <c r="R1511" s="18">
        <f>IF(Q1511="",P1511,Q1511)</f>
        <v/>
      </c>
      <c r="S1511" s="18" t="inlineStr"/>
      <c r="T1511" s="18" t="inlineStr">
        <is>
          <t>common</t>
        </is>
      </c>
      <c r="U1511" s="20" t="n">
        <v>1</v>
      </c>
      <c r="V1511" s="21" t="n">
        <v>1</v>
      </c>
      <c r="W1511" s="20">
        <f>IF(OR(U1511="",V1511=""),U1511,U1511*V1511)</f>
        <v/>
      </c>
      <c r="X1511" s="18" t="inlineStr">
        <is>
          <t>30-48</t>
        </is>
      </c>
      <c r="Y1511" s="19" t="inlineStr"/>
      <c r="Z1511" s="18">
        <f>IF(Y1511="",X1511,Y1511)</f>
        <v/>
      </c>
      <c r="AA1511" s="18" t="inlineStr">
        <is>
          <t>fishing</t>
        </is>
      </c>
      <c r="AB1511" s="18" t="inlineStr"/>
      <c r="AC1511" s="18" t="inlineStr"/>
      <c r="AD1511" s="18" t="inlineStr"/>
      <c r="AE1511" s="18" t="inlineStr">
        <is>
          <t>sky 8-15</t>
        </is>
      </c>
      <c r="AF1511" s="18" t="inlineStr">
        <is>
          <t>False</t>
        </is>
      </c>
      <c r="AG1511" s="18" t="inlineStr"/>
      <c r="AH1511" s="18" t="inlineStr"/>
      <c r="AI1511" s="18" t="inlineStr">
        <is>
          <t>{"condition":{"minX":0}}</t>
        </is>
      </c>
      <c r="AJ1511" s="18" t="inlineStr">
        <is>
          <t>Cobblemon 동일</t>
        </is>
      </c>
      <c r="AK1511" s="18" t="inlineStr">
        <is>
          <t>사용</t>
        </is>
      </c>
      <c r="AL1511" s="18" t="inlineStr">
        <is>
          <t>COBBLEVERSE 1.7.42 / DP v31</t>
        </is>
      </c>
      <c r="AM1511" s="18" t="inlineStr">
        <is>
          <t>data/cobblemon/spawn_pool_world/0423_gastrodon.json</t>
        </is>
      </c>
      <c r="AN1511" s="18" t="inlineStr">
        <is>
          <t>gastrodon-east-7</t>
        </is>
      </c>
      <c r="AO1511" s="18" t="inlineStr">
        <is>
          <t>pokemon</t>
        </is>
      </c>
      <c r="AP1511" s="18" t="inlineStr"/>
      <c r="AQ1511" s="18" t="inlineStr">
        <is>
          <t>{"biomes":["#cobblemon:is_cold_ocean","#cobblemon:is_frozen_ocean"],"canSeeSky":false,"maxSkyLight":15,"minSkyLight":8,"minX":0}</t>
        </is>
      </c>
      <c r="AR1511" s="18" t="inlineStr"/>
      <c r="AS1511" s="18" t="inlineStr">
        <is>
          <t>{"weightMultiplier":{"condition":{"maxLureLevel":1,"minLureLevel":0},"multiplier":0.6}}</t>
        </is>
      </c>
      <c r="AT1511" s="19" t="inlineStr"/>
    </row>
    <row r="1512" ht="32" customHeight="1">
      <c r="A1512" s="18" t="inlineStr">
        <is>
          <t>0423_gastrodon.json::gastrodon-west-8::008</t>
        </is>
      </c>
      <c r="B1512" s="19" t="inlineStr">
        <is>
          <t>사용</t>
        </is>
      </c>
      <c r="C1512" s="18">
        <f>IF(OR(B1512&lt;&gt;AK1512,M1512&lt;&gt;L1512,O1512&lt;&gt;"",Q1512&lt;&gt;"",V1512&lt;&gt;1,Y1512&lt;&gt;"",AT1512&lt;&gt;""),"수정","원본")</f>
        <v/>
      </c>
      <c r="D1512" s="18" t="n">
        <v>423</v>
      </c>
      <c r="E1512" s="18" t="inlineStr">
        <is>
          <t>트리토돈</t>
        </is>
      </c>
      <c r="F1512" s="18" t="inlineStr">
        <is>
          <t>gastrodon</t>
        </is>
      </c>
      <c r="G1512" s="18" t="inlineStr">
        <is>
          <t>gastrodon sea=west</t>
        </is>
      </c>
      <c r="H1512" s="18" t="inlineStr">
        <is>
          <t>sea=west</t>
        </is>
      </c>
      <c r="I1512" s="18" t="n">
        <v>4</v>
      </c>
      <c r="J1512" s="18" t="n"/>
      <c r="K1512" s="18" t="n">
        <v>4</v>
      </c>
      <c r="L1512" s="18" t="inlineStr">
        <is>
          <t>cobbleventure:generation_4</t>
        </is>
      </c>
      <c r="M1512" s="19" t="inlineStr">
        <is>
          <t>cobbleventure:generation_4</t>
        </is>
      </c>
      <c r="N1512" s="18" t="inlineStr"/>
      <c r="O1512" s="19" t="inlineStr"/>
      <c r="P1512" s="18" t="inlineStr">
        <is>
          <t>#cobblemon:is_lukewarm_ocean; #cobblemon:is_warm_ocean</t>
        </is>
      </c>
      <c r="Q1512" s="19" t="inlineStr"/>
      <c r="R1512" s="18">
        <f>IF(Q1512="",P1512,Q1512)</f>
        <v/>
      </c>
      <c r="S1512" s="18" t="inlineStr"/>
      <c r="T1512" s="18" t="inlineStr">
        <is>
          <t>common</t>
        </is>
      </c>
      <c r="U1512" s="20" t="n">
        <v>1</v>
      </c>
      <c r="V1512" s="21" t="n">
        <v>1</v>
      </c>
      <c r="W1512" s="20">
        <f>IF(OR(U1512="",V1512=""),U1512,U1512*V1512)</f>
        <v/>
      </c>
      <c r="X1512" s="18" t="inlineStr">
        <is>
          <t>30-48</t>
        </is>
      </c>
      <c r="Y1512" s="19" t="inlineStr"/>
      <c r="Z1512" s="18">
        <f>IF(Y1512="",X1512,Y1512)</f>
        <v/>
      </c>
      <c r="AA1512" s="18" t="inlineStr">
        <is>
          <t>fishing</t>
        </is>
      </c>
      <c r="AB1512" s="18" t="inlineStr"/>
      <c r="AC1512" s="18" t="inlineStr"/>
      <c r="AD1512" s="18" t="inlineStr"/>
      <c r="AE1512" s="18" t="inlineStr">
        <is>
          <t>sky 8-15</t>
        </is>
      </c>
      <c r="AF1512" s="18" t="inlineStr">
        <is>
          <t>False</t>
        </is>
      </c>
      <c r="AG1512" s="18" t="inlineStr"/>
      <c r="AH1512" s="18" t="inlineStr"/>
      <c r="AI1512" s="18" t="inlineStr">
        <is>
          <t>{"condition":{"maxX":0}}</t>
        </is>
      </c>
      <c r="AJ1512" s="18" t="inlineStr">
        <is>
          <t>Cobblemon 동일</t>
        </is>
      </c>
      <c r="AK1512" s="18" t="inlineStr">
        <is>
          <t>사용</t>
        </is>
      </c>
      <c r="AL1512" s="18" t="inlineStr">
        <is>
          <t>COBBLEVERSE 1.7.42 / DP v31</t>
        </is>
      </c>
      <c r="AM1512" s="18" t="inlineStr">
        <is>
          <t>data/cobblemon/spawn_pool_world/0423_gastrodon.json</t>
        </is>
      </c>
      <c r="AN1512" s="18" t="inlineStr">
        <is>
          <t>gastrodon-west-8</t>
        </is>
      </c>
      <c r="AO1512" s="18" t="inlineStr">
        <is>
          <t>pokemon</t>
        </is>
      </c>
      <c r="AP1512" s="18" t="inlineStr"/>
      <c r="AQ1512" s="18" t="inlineStr">
        <is>
          <t>{"biomes":["#cobblemon:is_lukewarm_ocean","#cobblemon:is_warm_ocean"],"canSeeSky":false,"maxSkyLight":15,"maxX":0,"minSkyLight":8}</t>
        </is>
      </c>
      <c r="AR1512" s="18" t="inlineStr"/>
      <c r="AS1512" s="18" t="inlineStr">
        <is>
          <t>{"weightMultiplier":{"condition":{"maxLureLevel":1,"minLureLevel":0},"multiplier":0.6}}</t>
        </is>
      </c>
      <c r="AT1512" s="19" t="inlineStr"/>
    </row>
    <row r="1513" ht="32" customHeight="1">
      <c r="A1513" s="18" t="inlineStr">
        <is>
          <t>0424_ambipom.json::ambipom-1::001</t>
        </is>
      </c>
      <c r="B1513" s="19" t="inlineStr">
        <is>
          <t>사용</t>
        </is>
      </c>
      <c r="C1513" s="18">
        <f>IF(OR(B1513&lt;&gt;AK1513,M1513&lt;&gt;L1513,O1513&lt;&gt;"",Q1513&lt;&gt;"",V1513&lt;&gt;1,Y1513&lt;&gt;"",AT1513&lt;&gt;""),"수정","원본")</f>
        <v/>
      </c>
      <c r="D1513" s="18" t="n">
        <v>424</v>
      </c>
      <c r="E1513" s="18" t="inlineStr">
        <is>
          <t>겟핸보숭</t>
        </is>
      </c>
      <c r="F1513" s="18" t="inlineStr">
        <is>
          <t>ambipom</t>
        </is>
      </c>
      <c r="G1513" s="18" t="inlineStr">
        <is>
          <t>ambipom</t>
        </is>
      </c>
      <c r="H1513" s="18" t="inlineStr"/>
      <c r="I1513" s="18" t="n">
        <v>4</v>
      </c>
      <c r="J1513" s="18" t="n"/>
      <c r="K1513" s="18" t="n">
        <v>4</v>
      </c>
      <c r="L1513" s="18" t="inlineStr">
        <is>
          <t>cobbleventure:generation_4</t>
        </is>
      </c>
      <c r="M1513" s="19" t="inlineStr">
        <is>
          <t>cobbleventure:generation_4</t>
        </is>
      </c>
      <c r="N1513" s="18" t="inlineStr"/>
      <c r="O1513" s="19" t="inlineStr"/>
      <c r="P1513" s="18" t="inlineStr">
        <is>
          <t>#cobblemon:is_jungle; #cobblemon:is_tropical_island</t>
        </is>
      </c>
      <c r="Q1513" s="19" t="inlineStr"/>
      <c r="R1513" s="18">
        <f>IF(Q1513="",P1513,Q1513)</f>
        <v/>
      </c>
      <c r="S1513" s="18" t="inlineStr"/>
      <c r="T1513" s="18" t="inlineStr">
        <is>
          <t>common</t>
        </is>
      </c>
      <c r="U1513" s="20" t="n">
        <v>0.6</v>
      </c>
      <c r="V1513" s="21" t="n">
        <v>1</v>
      </c>
      <c r="W1513" s="20">
        <f>IF(OR(U1513="",V1513=""),U1513,U1513*V1513)</f>
        <v/>
      </c>
      <c r="X1513" s="18" t="inlineStr">
        <is>
          <t>32-48</t>
        </is>
      </c>
      <c r="Y1513" s="19" t="inlineStr"/>
      <c r="Z1513" s="18">
        <f>IF(Y1513="",X1513,Y1513)</f>
        <v/>
      </c>
      <c r="AA1513" s="18" t="inlineStr">
        <is>
          <t>grounded</t>
        </is>
      </c>
      <c r="AB1513" s="18" t="inlineStr"/>
      <c r="AC1513" s="18" t="inlineStr"/>
      <c r="AD1513" s="18" t="inlineStr"/>
      <c r="AE1513" s="18" t="inlineStr">
        <is>
          <t>sky 8-15</t>
        </is>
      </c>
      <c r="AF1513" s="18" t="inlineStr"/>
      <c r="AG1513" s="18" t="inlineStr"/>
      <c r="AH1513" s="18" t="inlineStr"/>
      <c r="AI1513" s="18" t="inlineStr"/>
      <c r="AJ1513" s="18" t="inlineStr">
        <is>
          <t>Cobblemon 동일</t>
        </is>
      </c>
      <c r="AK1513" s="18" t="inlineStr">
        <is>
          <t>사용</t>
        </is>
      </c>
      <c r="AL1513" s="18" t="inlineStr">
        <is>
          <t>COBBLEVERSE 1.7.42 / DP v31</t>
        </is>
      </c>
      <c r="AM1513" s="18" t="inlineStr">
        <is>
          <t>data/cobblemon/spawn_pool_world/0424_ambipom.json</t>
        </is>
      </c>
      <c r="AN1513" s="18" t="inlineStr">
        <is>
          <t>ambipom-1</t>
        </is>
      </c>
      <c r="AO1513" s="18" t="inlineStr">
        <is>
          <t>pokemon</t>
        </is>
      </c>
      <c r="AP1513" s="18" t="inlineStr">
        <is>
          <t>natural; treetop</t>
        </is>
      </c>
      <c r="AQ1513" s="18" t="inlineStr">
        <is>
          <t>{"biomes":["#cobblemon:is_jungle","#cobblemon:is_tropical_island"],"maxSkyLight":15,"minSkyLight":8}</t>
        </is>
      </c>
      <c r="AR1513" s="18" t="inlineStr"/>
      <c r="AS1513" s="18" t="inlineStr"/>
      <c r="AT1513" s="19" t="inlineStr"/>
    </row>
    <row r="1514" ht="32" customHeight="1">
      <c r="A1514" s="18" t="inlineStr">
        <is>
          <t>0424_ambipom.json::ambipom-2::002</t>
        </is>
      </c>
      <c r="B1514" s="19" t="inlineStr">
        <is>
          <t>사용</t>
        </is>
      </c>
      <c r="C1514" s="18">
        <f>IF(OR(B1514&lt;&gt;AK1514,M1514&lt;&gt;L1514,O1514&lt;&gt;"",Q1514&lt;&gt;"",V1514&lt;&gt;1,Y1514&lt;&gt;"",AT1514&lt;&gt;""),"수정","원본")</f>
        <v/>
      </c>
      <c r="D1514" s="18" t="n">
        <v>424</v>
      </c>
      <c r="E1514" s="18" t="inlineStr">
        <is>
          <t>겟핸보숭</t>
        </is>
      </c>
      <c r="F1514" s="18" t="inlineStr">
        <is>
          <t>ambipom</t>
        </is>
      </c>
      <c r="G1514" s="18" t="inlineStr">
        <is>
          <t>ambipom</t>
        </is>
      </c>
      <c r="H1514" s="18" t="inlineStr"/>
      <c r="I1514" s="18" t="n">
        <v>4</v>
      </c>
      <c r="J1514" s="18" t="n"/>
      <c r="K1514" s="18" t="n">
        <v>4</v>
      </c>
      <c r="L1514" s="18" t="inlineStr">
        <is>
          <t>cobbleventure:generation_4</t>
        </is>
      </c>
      <c r="M1514" s="19" t="inlineStr">
        <is>
          <t>cobbleventure:generation_4</t>
        </is>
      </c>
      <c r="N1514" s="18" t="inlineStr">
        <is>
          <t>region_01; region_02</t>
        </is>
      </c>
      <c r="O1514" s="19" t="inlineStr"/>
      <c r="P1514" s="18" t="inlineStr">
        <is>
          <t>#cobblemon:is_overworld</t>
        </is>
      </c>
      <c r="Q1514" s="19" t="inlineStr"/>
      <c r="R1514" s="18">
        <f>IF(Q1514="",P1514,Q1514)</f>
        <v/>
      </c>
      <c r="S1514" s="18" t="inlineStr"/>
      <c r="T1514" s="18" t="inlineStr">
        <is>
          <t>common</t>
        </is>
      </c>
      <c r="U1514" s="20" t="n">
        <v>0.6</v>
      </c>
      <c r="V1514" s="21" t="n">
        <v>1</v>
      </c>
      <c r="W1514" s="20">
        <f>IF(OR(U1514="",V1514=""),U1514,U1514*V1514)</f>
        <v/>
      </c>
      <c r="X1514" s="18" t="inlineStr">
        <is>
          <t>32-48</t>
        </is>
      </c>
      <c r="Y1514" s="19" t="inlineStr"/>
      <c r="Z1514" s="18">
        <f>IF(Y1514="",X1514,Y1514)</f>
        <v/>
      </c>
      <c r="AA1514" s="18" t="inlineStr">
        <is>
          <t>grounded</t>
        </is>
      </c>
      <c r="AB1514" s="18" t="inlineStr"/>
      <c r="AC1514" s="18" t="inlineStr"/>
      <c r="AD1514" s="18" t="inlineStr">
        <is>
          <t>minY=-41, maxY=9</t>
        </is>
      </c>
      <c r="AE1514" s="18" t="inlineStr">
        <is>
          <t>sky 0-7</t>
        </is>
      </c>
      <c r="AF1514" s="18" t="inlineStr"/>
      <c r="AG1514" s="18" t="inlineStr">
        <is>
          <t>cobblemon:shipwreck_coves/lush_shipwreck_cove</t>
        </is>
      </c>
      <c r="AH1514" s="18" t="inlineStr"/>
      <c r="AI1514" s="18" t="inlineStr"/>
      <c r="AJ1514" s="18" t="inlineStr">
        <is>
          <t>Cobblemon 동일</t>
        </is>
      </c>
      <c r="AK1514" s="18" t="inlineStr">
        <is>
          <t>사용</t>
        </is>
      </c>
      <c r="AL1514" s="18" t="inlineStr">
        <is>
          <t>COBBLEVERSE 1.7.42 / DP v31</t>
        </is>
      </c>
      <c r="AM1514" s="18" t="inlineStr">
        <is>
          <t>data/cobblemon/spawn_pool_world/0424_ambipom.json</t>
        </is>
      </c>
      <c r="AN1514" s="18" t="inlineStr">
        <is>
          <t>ambipom-2</t>
        </is>
      </c>
      <c r="AO1514" s="18" t="inlineStr">
        <is>
          <t>pokemon</t>
        </is>
      </c>
      <c r="AP1514" s="18" t="inlineStr"/>
      <c r="AQ1514" s="18" t="inlineStr">
        <is>
          <t>{"biomes":["#cobblemon:is_overworld"],"maxSkyLight":7,"maxY":9,"minSkyLight":0,"minY":-41,"structures":["cobblemon:shipwreck_coves/lush_shipwreck_cove"]}</t>
        </is>
      </c>
      <c r="AR1514" s="18" t="inlineStr"/>
      <c r="AS1514" s="18" t="inlineStr"/>
      <c r="AT1514" s="19" t="inlineStr"/>
    </row>
    <row r="1515" ht="32" customHeight="1">
      <c r="A1515" s="18" t="inlineStr">
        <is>
          <t>0425_drifloon.json::drifloon-1::001</t>
        </is>
      </c>
      <c r="B1515" s="19" t="inlineStr">
        <is>
          <t>사용</t>
        </is>
      </c>
      <c r="C1515" s="18">
        <f>IF(OR(B1515&lt;&gt;AK1515,M1515&lt;&gt;L1515,O1515&lt;&gt;"",Q1515&lt;&gt;"",V1515&lt;&gt;1,Y1515&lt;&gt;"",AT1515&lt;&gt;""),"수정","원본")</f>
        <v/>
      </c>
      <c r="D1515" s="18" t="n">
        <v>425</v>
      </c>
      <c r="E1515" s="18" t="inlineStr">
        <is>
          <t>흔들풍손</t>
        </is>
      </c>
      <c r="F1515" s="18" t="inlineStr">
        <is>
          <t>drifloon</t>
        </is>
      </c>
      <c r="G1515" s="18" t="inlineStr">
        <is>
          <t>drifloon</t>
        </is>
      </c>
      <c r="H1515" s="18" t="inlineStr"/>
      <c r="I1515" s="18" t="n">
        <v>4</v>
      </c>
      <c r="J1515" s="18" t="n"/>
      <c r="K1515" s="18" t="n">
        <v>4</v>
      </c>
      <c r="L1515" s="18" t="inlineStr">
        <is>
          <t>cobbleventure:generation_4</t>
        </is>
      </c>
      <c r="M1515" s="19" t="inlineStr">
        <is>
          <t>cobbleventure:generation_4</t>
        </is>
      </c>
      <c r="N1515" s="18" t="inlineStr">
        <is>
          <t>region_01</t>
        </is>
      </c>
      <c r="O1515" s="19" t="inlineStr"/>
      <c r="P1515" s="18" t="inlineStr">
        <is>
          <t>#cobblemon:is_overworld</t>
        </is>
      </c>
      <c r="Q1515" s="19" t="inlineStr"/>
      <c r="R1515" s="18">
        <f>IF(Q1515="",P1515,Q1515)</f>
        <v/>
      </c>
      <c r="S1515" s="18" t="inlineStr">
        <is>
          <t>#cobblemon:is_arid; #cobblemon:is_freezing</t>
        </is>
      </c>
      <c r="T1515" s="18" t="inlineStr">
        <is>
          <t>uncommon</t>
        </is>
      </c>
      <c r="U1515" s="20" t="n">
        <v>5.04</v>
      </c>
      <c r="V1515" s="21" t="n">
        <v>1</v>
      </c>
      <c r="W1515" s="20">
        <f>IF(OR(U1515="",V1515=""),U1515,U1515*V1515)</f>
        <v/>
      </c>
      <c r="X1515" s="18" t="inlineStr">
        <is>
          <t>10-35</t>
        </is>
      </c>
      <c r="Y1515" s="19" t="inlineStr"/>
      <c r="Z1515" s="18">
        <f>IF(Y1515="",X1515,Y1515)</f>
        <v/>
      </c>
      <c r="AA1515" s="18" t="inlineStr">
        <is>
          <t>grounded</t>
        </is>
      </c>
      <c r="AB1515" s="18" t="inlineStr">
        <is>
          <t>night</t>
        </is>
      </c>
      <c r="AC1515" s="18" t="inlineStr">
        <is>
          <t>비=False</t>
        </is>
      </c>
      <c r="AD1515" s="18" t="inlineStr"/>
      <c r="AE1515" s="18" t="inlineStr"/>
      <c r="AF1515" s="18" t="inlineStr"/>
      <c r="AG1515" s="18" t="inlineStr"/>
      <c r="AH1515" s="18" t="inlineStr"/>
      <c r="AI1515" s="18" t="inlineStr"/>
      <c r="AJ1515" s="18" t="inlineStr">
        <is>
          <t>COBBLEVERSE 수정</t>
        </is>
      </c>
      <c r="AK1515" s="18" t="inlineStr">
        <is>
          <t>사용</t>
        </is>
      </c>
      <c r="AL1515" s="18" t="inlineStr">
        <is>
          <t>COBBLEVERSE 1.7.42 / DP v31</t>
        </is>
      </c>
      <c r="AM1515" s="18" t="inlineStr">
        <is>
          <t>data/cobblemon/spawn_pool_world/0425_drifloon.json</t>
        </is>
      </c>
      <c r="AN1515" s="18" t="inlineStr">
        <is>
          <t>drifloon-1</t>
        </is>
      </c>
      <c r="AO1515" s="18" t="inlineStr">
        <is>
          <t>pokemon</t>
        </is>
      </c>
      <c r="AP1515" s="18" t="inlineStr">
        <is>
          <t>natural</t>
        </is>
      </c>
      <c r="AQ1515" s="18" t="inlineStr">
        <is>
          <t>{"biomes":["#cobblemon:is_overworld"],"isRaining":false,"timeRange":"night"}</t>
        </is>
      </c>
      <c r="AR1515" s="18" t="inlineStr">
        <is>
          <t>{"biomes":["#cobblemon:is_arid","#cobblemon:is_freezing"]}</t>
        </is>
      </c>
      <c r="AS1515" s="18" t="inlineStr"/>
      <c r="AT1515" s="19" t="inlineStr"/>
    </row>
    <row r="1516" ht="32" customHeight="1">
      <c r="A1516" s="18" t="inlineStr">
        <is>
          <t>0425_drifloon.json::drifloon-2::002</t>
        </is>
      </c>
      <c r="B1516" s="19" t="inlineStr">
        <is>
          <t>사용</t>
        </is>
      </c>
      <c r="C1516" s="18">
        <f>IF(OR(B1516&lt;&gt;AK1516,M1516&lt;&gt;L1516,O1516&lt;&gt;"",Q1516&lt;&gt;"",V1516&lt;&gt;1,Y1516&lt;&gt;"",AT1516&lt;&gt;""),"수정","원본")</f>
        <v/>
      </c>
      <c r="D1516" s="18" t="n">
        <v>425</v>
      </c>
      <c r="E1516" s="18" t="inlineStr">
        <is>
          <t>흔들풍손</t>
        </is>
      </c>
      <c r="F1516" s="18" t="inlineStr">
        <is>
          <t>drifloon</t>
        </is>
      </c>
      <c r="G1516" s="18" t="inlineStr">
        <is>
          <t>drifloon</t>
        </is>
      </c>
      <c r="H1516" s="18" t="inlineStr"/>
      <c r="I1516" s="18" t="n">
        <v>4</v>
      </c>
      <c r="J1516" s="18" t="n"/>
      <c r="K1516" s="18" t="n">
        <v>4</v>
      </c>
      <c r="L1516" s="18" t="inlineStr">
        <is>
          <t>cobbleventure:generation_4</t>
        </is>
      </c>
      <c r="M1516" s="19" t="inlineStr">
        <is>
          <t>cobbleventure:generation_4</t>
        </is>
      </c>
      <c r="N1516" s="18" t="inlineStr"/>
      <c r="O1516" s="19" t="inlineStr"/>
      <c r="P1516" s="18" t="inlineStr">
        <is>
          <t>#cobblemon:is_sky</t>
        </is>
      </c>
      <c r="Q1516" s="19" t="inlineStr"/>
      <c r="R1516" s="18">
        <f>IF(Q1516="",P1516,Q1516)</f>
        <v/>
      </c>
      <c r="S1516" s="18" t="inlineStr"/>
      <c r="T1516" s="18" t="inlineStr">
        <is>
          <t>common</t>
        </is>
      </c>
      <c r="U1516" s="20" t="n">
        <v>9</v>
      </c>
      <c r="V1516" s="21" t="n">
        <v>1</v>
      </c>
      <c r="W1516" s="20">
        <f>IF(OR(U1516="",V1516=""),U1516,U1516*V1516)</f>
        <v/>
      </c>
      <c r="X1516" s="18" t="inlineStr">
        <is>
          <t>10-35</t>
        </is>
      </c>
      <c r="Y1516" s="19" t="inlineStr"/>
      <c r="Z1516" s="18">
        <f>IF(Y1516="",X1516,Y1516)</f>
        <v/>
      </c>
      <c r="AA1516" s="18" t="inlineStr">
        <is>
          <t>grounded</t>
        </is>
      </c>
      <c r="AB1516" s="18" t="inlineStr">
        <is>
          <t>night</t>
        </is>
      </c>
      <c r="AC1516" s="18" t="inlineStr">
        <is>
          <t>비=False</t>
        </is>
      </c>
      <c r="AD1516" s="18" t="inlineStr"/>
      <c r="AE1516" s="18" t="inlineStr"/>
      <c r="AF1516" s="18" t="inlineStr"/>
      <c r="AG1516" s="18" t="inlineStr"/>
      <c r="AH1516" s="18" t="inlineStr"/>
      <c r="AI1516" s="18" t="inlineStr"/>
      <c r="AJ1516" s="18" t="inlineStr">
        <is>
          <t>COBBLEVERSE 수정</t>
        </is>
      </c>
      <c r="AK1516" s="18" t="inlineStr">
        <is>
          <t>사용</t>
        </is>
      </c>
      <c r="AL1516" s="18" t="inlineStr">
        <is>
          <t>COBBLEVERSE 1.7.42 / DP v31</t>
        </is>
      </c>
      <c r="AM1516" s="18" t="inlineStr">
        <is>
          <t>data/cobblemon/spawn_pool_world/0425_drifloon.json</t>
        </is>
      </c>
      <c r="AN1516" s="18" t="inlineStr">
        <is>
          <t>drifloon-2</t>
        </is>
      </c>
      <c r="AO1516" s="18" t="inlineStr">
        <is>
          <t>pokemon</t>
        </is>
      </c>
      <c r="AP1516" s="18" t="inlineStr">
        <is>
          <t>natural</t>
        </is>
      </c>
      <c r="AQ1516" s="18" t="inlineStr">
        <is>
          <t>{"biomes":["#cobblemon:is_sky"],"isRaining":false,"timeRange":"night"}</t>
        </is>
      </c>
      <c r="AR1516" s="18" t="inlineStr"/>
      <c r="AS1516" s="18" t="inlineStr"/>
      <c r="AT1516" s="19" t="inlineStr"/>
    </row>
    <row r="1517" ht="32" customHeight="1">
      <c r="A1517" s="18" t="inlineStr">
        <is>
          <t>0426_drifblim.json::drifblim-1::001</t>
        </is>
      </c>
      <c r="B1517" s="19" t="inlineStr">
        <is>
          <t>사용</t>
        </is>
      </c>
      <c r="C1517" s="18">
        <f>IF(OR(B1517&lt;&gt;AK1517,M1517&lt;&gt;L1517,O1517&lt;&gt;"",Q1517&lt;&gt;"",V1517&lt;&gt;1,Y1517&lt;&gt;"",AT1517&lt;&gt;""),"수정","원본")</f>
        <v/>
      </c>
      <c r="D1517" s="18" t="n">
        <v>426</v>
      </c>
      <c r="E1517" s="18" t="inlineStr">
        <is>
          <t>둥실라이드</t>
        </is>
      </c>
      <c r="F1517" s="18" t="inlineStr">
        <is>
          <t>drifblim</t>
        </is>
      </c>
      <c r="G1517" s="18" t="inlineStr">
        <is>
          <t>drifblim</t>
        </is>
      </c>
      <c r="H1517" s="18" t="inlineStr"/>
      <c r="I1517" s="18" t="n">
        <v>4</v>
      </c>
      <c r="J1517" s="18" t="n"/>
      <c r="K1517" s="18" t="n">
        <v>4</v>
      </c>
      <c r="L1517" s="18" t="inlineStr">
        <is>
          <t>cobbleventure:generation_4</t>
        </is>
      </c>
      <c r="M1517" s="19" t="inlineStr">
        <is>
          <t>cobbleventure:generation_4</t>
        </is>
      </c>
      <c r="N1517" s="18" t="inlineStr">
        <is>
          <t>region_01</t>
        </is>
      </c>
      <c r="O1517" s="19" t="inlineStr"/>
      <c r="P1517" s="18" t="inlineStr">
        <is>
          <t>#cobblemon:is_overworld</t>
        </is>
      </c>
      <c r="Q1517" s="19" t="inlineStr"/>
      <c r="R1517" s="18">
        <f>IF(Q1517="",P1517,Q1517)</f>
        <v/>
      </c>
      <c r="S1517" s="18" t="inlineStr">
        <is>
          <t>#cobblemon:is_arid; #cobblemon:is_freezing</t>
        </is>
      </c>
      <c r="T1517" s="18" t="inlineStr">
        <is>
          <t>uncommon</t>
        </is>
      </c>
      <c r="U1517" s="20" t="n">
        <v>0.96</v>
      </c>
      <c r="V1517" s="21" t="n">
        <v>1</v>
      </c>
      <c r="W1517" s="20">
        <f>IF(OR(U1517="",V1517=""),U1517,U1517*V1517)</f>
        <v/>
      </c>
      <c r="X1517" s="18" t="inlineStr">
        <is>
          <t>28-50</t>
        </is>
      </c>
      <c r="Y1517" s="19" t="inlineStr"/>
      <c r="Z1517" s="18">
        <f>IF(Y1517="",X1517,Y1517)</f>
        <v/>
      </c>
      <c r="AA1517" s="18" t="inlineStr">
        <is>
          <t>grounded</t>
        </is>
      </c>
      <c r="AB1517" s="18" t="inlineStr">
        <is>
          <t>night</t>
        </is>
      </c>
      <c r="AC1517" s="18" t="inlineStr">
        <is>
          <t>비=False</t>
        </is>
      </c>
      <c r="AD1517" s="18" t="inlineStr"/>
      <c r="AE1517" s="18" t="inlineStr"/>
      <c r="AF1517" s="18" t="inlineStr"/>
      <c r="AG1517" s="18" t="inlineStr"/>
      <c r="AH1517" s="18" t="inlineStr"/>
      <c r="AI1517" s="18" t="inlineStr"/>
      <c r="AJ1517" s="18" t="inlineStr">
        <is>
          <t>COBBLEVERSE 수정</t>
        </is>
      </c>
      <c r="AK1517" s="18" t="inlineStr">
        <is>
          <t>사용</t>
        </is>
      </c>
      <c r="AL1517" s="18" t="inlineStr">
        <is>
          <t>COBBLEVERSE 1.7.42 / DP v31</t>
        </is>
      </c>
      <c r="AM1517" s="18" t="inlineStr">
        <is>
          <t>data/cobblemon/spawn_pool_world/0426_drifblim.json</t>
        </is>
      </c>
      <c r="AN1517" s="18" t="inlineStr">
        <is>
          <t>drifblim-1</t>
        </is>
      </c>
      <c r="AO1517" s="18" t="inlineStr">
        <is>
          <t>pokemon</t>
        </is>
      </c>
      <c r="AP1517" s="18" t="inlineStr">
        <is>
          <t>natural</t>
        </is>
      </c>
      <c r="AQ1517" s="18" t="inlineStr">
        <is>
          <t>{"biomes":["#cobblemon:is_overworld"],"isRaining":false,"timeRange":"night"}</t>
        </is>
      </c>
      <c r="AR1517" s="18" t="inlineStr">
        <is>
          <t>{"biomes":["#cobblemon:is_arid","#cobblemon:is_freezing"]}</t>
        </is>
      </c>
      <c r="AS1517" s="18" t="inlineStr"/>
      <c r="AT1517" s="19" t="inlineStr"/>
    </row>
    <row r="1518" ht="32" customHeight="1">
      <c r="A1518" s="18" t="inlineStr">
        <is>
          <t>0426_drifblim.json::drifblim-2::002</t>
        </is>
      </c>
      <c r="B1518" s="19" t="inlineStr">
        <is>
          <t>사용</t>
        </is>
      </c>
      <c r="C1518" s="18">
        <f>IF(OR(B1518&lt;&gt;AK1518,M1518&lt;&gt;L1518,O1518&lt;&gt;"",Q1518&lt;&gt;"",V1518&lt;&gt;1,Y1518&lt;&gt;"",AT1518&lt;&gt;""),"수정","원본")</f>
        <v/>
      </c>
      <c r="D1518" s="18" t="n">
        <v>426</v>
      </c>
      <c r="E1518" s="18" t="inlineStr">
        <is>
          <t>둥실라이드</t>
        </is>
      </c>
      <c r="F1518" s="18" t="inlineStr">
        <is>
          <t>drifblim</t>
        </is>
      </c>
      <c r="G1518" s="18" t="inlineStr">
        <is>
          <t>drifblim</t>
        </is>
      </c>
      <c r="H1518" s="18" t="inlineStr"/>
      <c r="I1518" s="18" t="n">
        <v>4</v>
      </c>
      <c r="J1518" s="18" t="n"/>
      <c r="K1518" s="18" t="n">
        <v>4</v>
      </c>
      <c r="L1518" s="18" t="inlineStr">
        <is>
          <t>cobbleventure:generation_4</t>
        </is>
      </c>
      <c r="M1518" s="19" t="inlineStr">
        <is>
          <t>cobbleventure:generation_4</t>
        </is>
      </c>
      <c r="N1518" s="18" t="inlineStr"/>
      <c r="O1518" s="19" t="inlineStr"/>
      <c r="P1518" s="18" t="inlineStr">
        <is>
          <t>#cobblemon:is_sky</t>
        </is>
      </c>
      <c r="Q1518" s="19" t="inlineStr"/>
      <c r="R1518" s="18">
        <f>IF(Q1518="",P1518,Q1518)</f>
        <v/>
      </c>
      <c r="S1518" s="18" t="inlineStr"/>
      <c r="T1518" s="18" t="inlineStr">
        <is>
          <t>common</t>
        </is>
      </c>
      <c r="U1518" s="20" t="n">
        <v>1</v>
      </c>
      <c r="V1518" s="21" t="n">
        <v>1</v>
      </c>
      <c r="W1518" s="20">
        <f>IF(OR(U1518="",V1518=""),U1518,U1518*V1518)</f>
        <v/>
      </c>
      <c r="X1518" s="18" t="inlineStr">
        <is>
          <t>28-50</t>
        </is>
      </c>
      <c r="Y1518" s="19" t="inlineStr"/>
      <c r="Z1518" s="18">
        <f>IF(Y1518="",X1518,Y1518)</f>
        <v/>
      </c>
      <c r="AA1518" s="18" t="inlineStr">
        <is>
          <t>grounded</t>
        </is>
      </c>
      <c r="AB1518" s="18" t="inlineStr">
        <is>
          <t>night</t>
        </is>
      </c>
      <c r="AC1518" s="18" t="inlineStr">
        <is>
          <t>비=False</t>
        </is>
      </c>
      <c r="AD1518" s="18" t="inlineStr"/>
      <c r="AE1518" s="18" t="inlineStr"/>
      <c r="AF1518" s="18" t="inlineStr"/>
      <c r="AG1518" s="18" t="inlineStr"/>
      <c r="AH1518" s="18" t="inlineStr"/>
      <c r="AI1518" s="18" t="inlineStr"/>
      <c r="AJ1518" s="18" t="inlineStr">
        <is>
          <t>COBBLEVERSE 수정</t>
        </is>
      </c>
      <c r="AK1518" s="18" t="inlineStr">
        <is>
          <t>사용</t>
        </is>
      </c>
      <c r="AL1518" s="18" t="inlineStr">
        <is>
          <t>COBBLEVERSE 1.7.42 / DP v31</t>
        </is>
      </c>
      <c r="AM1518" s="18" t="inlineStr">
        <is>
          <t>data/cobblemon/spawn_pool_world/0426_drifblim.json</t>
        </is>
      </c>
      <c r="AN1518" s="18" t="inlineStr">
        <is>
          <t>drifblim-2</t>
        </is>
      </c>
      <c r="AO1518" s="18" t="inlineStr">
        <is>
          <t>pokemon</t>
        </is>
      </c>
      <c r="AP1518" s="18" t="inlineStr">
        <is>
          <t>natural</t>
        </is>
      </c>
      <c r="AQ1518" s="18" t="inlineStr">
        <is>
          <t>{"biomes":["#cobblemon:is_sky"],"isRaining":false,"timeRange":"night"}</t>
        </is>
      </c>
      <c r="AR1518" s="18" t="inlineStr"/>
      <c r="AS1518" s="18" t="inlineStr"/>
      <c r="AT1518" s="19" t="inlineStr"/>
    </row>
    <row r="1519" ht="32" customHeight="1">
      <c r="A1519" s="18" t="inlineStr">
        <is>
          <t>0427_buneary.json::buneary-1::001</t>
        </is>
      </c>
      <c r="B1519" s="19" t="inlineStr">
        <is>
          <t>사용</t>
        </is>
      </c>
      <c r="C1519" s="18">
        <f>IF(OR(B1519&lt;&gt;AK1519,M1519&lt;&gt;L1519,O1519&lt;&gt;"",Q1519&lt;&gt;"",V1519&lt;&gt;1,Y1519&lt;&gt;"",AT1519&lt;&gt;""),"수정","원본")</f>
        <v/>
      </c>
      <c r="D1519" s="18" t="n">
        <v>427</v>
      </c>
      <c r="E1519" s="18" t="inlineStr">
        <is>
          <t>이어롤</t>
        </is>
      </c>
      <c r="F1519" s="18" t="inlineStr">
        <is>
          <t>buneary</t>
        </is>
      </c>
      <c r="G1519" s="18" t="inlineStr">
        <is>
          <t>buneary</t>
        </is>
      </c>
      <c r="H1519" s="18" t="inlineStr"/>
      <c r="I1519" s="18" t="n">
        <v>4</v>
      </c>
      <c r="J1519" s="18" t="n"/>
      <c r="K1519" s="18" t="n">
        <v>4</v>
      </c>
      <c r="L1519" s="18" t="inlineStr">
        <is>
          <t>cobbleventure:generation_4</t>
        </is>
      </c>
      <c r="M1519" s="19" t="inlineStr">
        <is>
          <t>cobbleventure:generation_4</t>
        </is>
      </c>
      <c r="N1519" s="18" t="inlineStr">
        <is>
          <t>region_01</t>
        </is>
      </c>
      <c r="O1519" s="19" t="inlineStr"/>
      <c r="P1519" s="18" t="inlineStr">
        <is>
          <t>#cobblemon:is_forest; #cobblemon:is_hills; #cobblemon:is_snowy_forest; #cobblemon:is_snowy_taiga; #cobblemon:is_taiga</t>
        </is>
      </c>
      <c r="Q1519" s="19" t="inlineStr"/>
      <c r="R1519" s="18">
        <f>IF(Q1519="",P1519,Q1519)</f>
        <v/>
      </c>
      <c r="S1519" s="18" t="inlineStr"/>
      <c r="T1519" s="18" t="inlineStr">
        <is>
          <t>common</t>
        </is>
      </c>
      <c r="U1519" s="20" t="n">
        <v>5.4</v>
      </c>
      <c r="V1519" s="21" t="n">
        <v>1</v>
      </c>
      <c r="W1519" s="20">
        <f>IF(OR(U1519="",V1519=""),U1519,U1519*V1519)</f>
        <v/>
      </c>
      <c r="X1519" s="18" t="inlineStr">
        <is>
          <t>10-35</t>
        </is>
      </c>
      <c r="Y1519" s="19" t="inlineStr"/>
      <c r="Z1519" s="18">
        <f>IF(Y1519="",X1519,Y1519)</f>
        <v/>
      </c>
      <c r="AA1519" s="18" t="inlineStr">
        <is>
          <t>grounded</t>
        </is>
      </c>
      <c r="AB1519" s="18" t="inlineStr"/>
      <c r="AC1519" s="18" t="inlineStr"/>
      <c r="AD1519" s="18" t="inlineStr"/>
      <c r="AE1519" s="18" t="inlineStr">
        <is>
          <t>sky 8-15</t>
        </is>
      </c>
      <c r="AF1519" s="18" t="inlineStr"/>
      <c r="AG1519" s="18" t="inlineStr"/>
      <c r="AH1519" s="18" t="inlineStr"/>
      <c r="AI1519" s="18" t="inlineStr"/>
      <c r="AJ1519" s="18" t="inlineStr">
        <is>
          <t>Cobblemon 동일</t>
        </is>
      </c>
      <c r="AK1519" s="18" t="inlineStr">
        <is>
          <t>사용</t>
        </is>
      </c>
      <c r="AL1519" s="18" t="inlineStr">
        <is>
          <t>COBBLEVERSE 1.7.42 / DP v31</t>
        </is>
      </c>
      <c r="AM1519" s="18" t="inlineStr">
        <is>
          <t>data/cobblemon/spawn_pool_world/0427_buneary.json</t>
        </is>
      </c>
      <c r="AN1519" s="18" t="inlineStr">
        <is>
          <t>buneary-1</t>
        </is>
      </c>
      <c r="AO1519" s="18" t="inlineStr">
        <is>
          <t>pokemon</t>
        </is>
      </c>
      <c r="AP1519" s="18" t="inlineStr">
        <is>
          <t>natural; wild</t>
        </is>
      </c>
      <c r="AQ1519" s="18" t="inlineStr">
        <is>
          <t>{"biomes":["#cobblemon:is_forest","#cobblemon:is_hills","#cobblemon:is_snowy_forest","#cobblemon:is_snowy_taiga","#cobblemon:is_taiga"],"maxSkyLight":15,"minSkyLight":8}</t>
        </is>
      </c>
      <c r="AR1519" s="18" t="inlineStr"/>
      <c r="AS1519" s="18" t="inlineStr"/>
      <c r="AT1519" s="19" t="inlineStr"/>
    </row>
    <row r="1520" ht="32" customHeight="1">
      <c r="A1520" s="18" t="inlineStr">
        <is>
          <t>0428_lopunny.json::lopunny-1::001</t>
        </is>
      </c>
      <c r="B1520" s="19" t="inlineStr">
        <is>
          <t>사용</t>
        </is>
      </c>
      <c r="C1520" s="18">
        <f>IF(OR(B1520&lt;&gt;AK1520,M1520&lt;&gt;L1520,O1520&lt;&gt;"",Q1520&lt;&gt;"",V1520&lt;&gt;1,Y1520&lt;&gt;"",AT1520&lt;&gt;""),"수정","원본")</f>
        <v/>
      </c>
      <c r="D1520" s="18" t="n">
        <v>428</v>
      </c>
      <c r="E1520" s="18" t="inlineStr">
        <is>
          <t>이어롭</t>
        </is>
      </c>
      <c r="F1520" s="18" t="inlineStr">
        <is>
          <t>lopunny</t>
        </is>
      </c>
      <c r="G1520" s="18" t="inlineStr">
        <is>
          <t>lopunny</t>
        </is>
      </c>
      <c r="H1520" s="18" t="inlineStr"/>
      <c r="I1520" s="18" t="n">
        <v>4</v>
      </c>
      <c r="J1520" s="18" t="n"/>
      <c r="K1520" s="18" t="n">
        <v>4</v>
      </c>
      <c r="L1520" s="18" t="inlineStr">
        <is>
          <t>cobbleventure:generation_4</t>
        </is>
      </c>
      <c r="M1520" s="19" t="inlineStr">
        <is>
          <t>cobbleventure:generation_4</t>
        </is>
      </c>
      <c r="N1520" s="18" t="inlineStr">
        <is>
          <t>region_01</t>
        </is>
      </c>
      <c r="O1520" s="19" t="inlineStr"/>
      <c r="P1520" s="18" t="inlineStr">
        <is>
          <t>#cobblemon:is_forest; #cobblemon:is_hills; #cobblemon:is_snowy_forest; #cobblemon:is_snowy_taiga; #cobblemon:is_taiga</t>
        </is>
      </c>
      <c r="Q1520" s="19" t="inlineStr"/>
      <c r="R1520" s="18">
        <f>IF(Q1520="",P1520,Q1520)</f>
        <v/>
      </c>
      <c r="S1520" s="18" t="inlineStr"/>
      <c r="T1520" s="18" t="inlineStr">
        <is>
          <t>common</t>
        </is>
      </c>
      <c r="U1520" s="20" t="n">
        <v>0.6</v>
      </c>
      <c r="V1520" s="21" t="n">
        <v>1</v>
      </c>
      <c r="W1520" s="20">
        <f>IF(OR(U1520="",V1520=""),U1520,U1520*V1520)</f>
        <v/>
      </c>
      <c r="X1520" s="18" t="inlineStr">
        <is>
          <t>30-48</t>
        </is>
      </c>
      <c r="Y1520" s="19" t="inlineStr"/>
      <c r="Z1520" s="18">
        <f>IF(Y1520="",X1520,Y1520)</f>
        <v/>
      </c>
      <c r="AA1520" s="18" t="inlineStr">
        <is>
          <t>grounded</t>
        </is>
      </c>
      <c r="AB1520" s="18" t="inlineStr"/>
      <c r="AC1520" s="18" t="inlineStr"/>
      <c r="AD1520" s="18" t="inlineStr"/>
      <c r="AE1520" s="18" t="inlineStr">
        <is>
          <t>sky 8-15</t>
        </is>
      </c>
      <c r="AF1520" s="18" t="inlineStr"/>
      <c r="AG1520" s="18" t="inlineStr"/>
      <c r="AH1520" s="18" t="inlineStr"/>
      <c r="AI1520" s="18" t="inlineStr"/>
      <c r="AJ1520" s="18" t="inlineStr">
        <is>
          <t>Cobblemon 동일</t>
        </is>
      </c>
      <c r="AK1520" s="18" t="inlineStr">
        <is>
          <t>사용</t>
        </is>
      </c>
      <c r="AL1520" s="18" t="inlineStr">
        <is>
          <t>COBBLEVERSE 1.7.42 / DP v31</t>
        </is>
      </c>
      <c r="AM1520" s="18" t="inlineStr">
        <is>
          <t>data/cobblemon/spawn_pool_world/0428_lopunny.json</t>
        </is>
      </c>
      <c r="AN1520" s="18" t="inlineStr">
        <is>
          <t>lopunny-1</t>
        </is>
      </c>
      <c r="AO1520" s="18" t="inlineStr">
        <is>
          <t>pokemon</t>
        </is>
      </c>
      <c r="AP1520" s="18" t="inlineStr">
        <is>
          <t>natural; wild</t>
        </is>
      </c>
      <c r="AQ1520" s="18" t="inlineStr">
        <is>
          <t>{"biomes":["#cobblemon:is_forest","#cobblemon:is_hills","#cobblemon:is_snowy_forest","#cobblemon:is_snowy_taiga","#cobblemon:is_taiga"],"maxSkyLight":15,"minSkyLight":8}</t>
        </is>
      </c>
      <c r="AR1520" s="18" t="inlineStr"/>
      <c r="AS1520" s="18" t="inlineStr"/>
      <c r="AT1520" s="19" t="inlineStr"/>
    </row>
    <row r="1521" ht="32" customHeight="1">
      <c r="A1521" s="18" t="inlineStr">
        <is>
          <t>0429_mismagius.json::mismagius-1::001</t>
        </is>
      </c>
      <c r="B1521" s="19" t="inlineStr">
        <is>
          <t>사용</t>
        </is>
      </c>
      <c r="C1521" s="18">
        <f>IF(OR(B1521&lt;&gt;AK1521,M1521&lt;&gt;L1521,O1521&lt;&gt;"",Q1521&lt;&gt;"",V1521&lt;&gt;1,Y1521&lt;&gt;"",AT1521&lt;&gt;""),"수정","원본")</f>
        <v/>
      </c>
      <c r="D1521" s="18" t="n">
        <v>429</v>
      </c>
      <c r="E1521" s="18" t="inlineStr">
        <is>
          <t>무우마직</t>
        </is>
      </c>
      <c r="F1521" s="18" t="inlineStr">
        <is>
          <t>mismagius</t>
        </is>
      </c>
      <c r="G1521" s="18" t="inlineStr">
        <is>
          <t>mismagius</t>
        </is>
      </c>
      <c r="H1521" s="18" t="inlineStr"/>
      <c r="I1521" s="18" t="n">
        <v>4</v>
      </c>
      <c r="J1521" s="18" t="n"/>
      <c r="K1521" s="18" t="n">
        <v>4</v>
      </c>
      <c r="L1521" s="18" t="inlineStr">
        <is>
          <t>cobbleventure:generation_4</t>
        </is>
      </c>
      <c r="M1521" s="19" t="inlineStr">
        <is>
          <t>cobbleventure:generation_4</t>
        </is>
      </c>
      <c r="N1521" s="18" t="inlineStr"/>
      <c r="O1521" s="19" t="inlineStr"/>
      <c r="P1521" s="18" t="inlineStr">
        <is>
          <t>#cobblemon:is_spooky</t>
        </is>
      </c>
      <c r="Q1521" s="19" t="inlineStr"/>
      <c r="R1521" s="18">
        <f>IF(Q1521="",P1521,Q1521)</f>
        <v/>
      </c>
      <c r="S1521" s="18" t="inlineStr">
        <is>
          <t>#cobblemon:is_deep_dark</t>
        </is>
      </c>
      <c r="T1521" s="18" t="inlineStr">
        <is>
          <t>common</t>
        </is>
      </c>
      <c r="U1521" s="20" t="n">
        <v>0.3</v>
      </c>
      <c r="V1521" s="21" t="n">
        <v>1</v>
      </c>
      <c r="W1521" s="20">
        <f>IF(OR(U1521="",V1521=""),U1521,U1521*V1521)</f>
        <v/>
      </c>
      <c r="X1521" s="18" t="inlineStr">
        <is>
          <t>39-50</t>
        </is>
      </c>
      <c r="Y1521" s="19" t="inlineStr"/>
      <c r="Z1521" s="18">
        <f>IF(Y1521="",X1521,Y1521)</f>
        <v/>
      </c>
      <c r="AA1521" s="18" t="inlineStr">
        <is>
          <t>grounded</t>
        </is>
      </c>
      <c r="AB1521" s="18" t="inlineStr"/>
      <c r="AC1521" s="18" t="inlineStr"/>
      <c r="AD1521" s="18" t="inlineStr"/>
      <c r="AE1521" s="18" t="inlineStr">
        <is>
          <t>sky 1-7, light -7</t>
        </is>
      </c>
      <c r="AF1521" s="18" t="inlineStr"/>
      <c r="AG1521" s="18" t="inlineStr"/>
      <c r="AH1521" s="18" t="inlineStr"/>
      <c r="AI1521" s="18" t="inlineStr"/>
      <c r="AJ1521" s="18" t="inlineStr">
        <is>
          <t>Cobblemon 동일</t>
        </is>
      </c>
      <c r="AK1521" s="18" t="inlineStr">
        <is>
          <t>사용</t>
        </is>
      </c>
      <c r="AL1521" s="18" t="inlineStr">
        <is>
          <t>COBBLEVERSE 1.7.42 / DP v31</t>
        </is>
      </c>
      <c r="AM1521" s="18" t="inlineStr">
        <is>
          <t>data/cobblemon/spawn_pool_world/0429_mismagius.json</t>
        </is>
      </c>
      <c r="AN1521" s="18" t="inlineStr">
        <is>
          <t>mismagius-1</t>
        </is>
      </c>
      <c r="AO1521" s="18" t="inlineStr">
        <is>
          <t>pokemon</t>
        </is>
      </c>
      <c r="AP1521" s="18" t="inlineStr">
        <is>
          <t>natural</t>
        </is>
      </c>
      <c r="AQ1521" s="18" t="inlineStr">
        <is>
          <t>{"biomes":["#cobblemon:is_spooky"],"maxLight":7,"maxSkyLight":7,"minSkyLight":1}</t>
        </is>
      </c>
      <c r="AR1521" s="18" t="inlineStr">
        <is>
          <t>{"biomes":["#cobblemon:is_deep_dark"]}</t>
        </is>
      </c>
      <c r="AS1521" s="18" t="inlineStr"/>
      <c r="AT1521" s="19" t="inlineStr"/>
    </row>
    <row r="1522" ht="32" customHeight="1">
      <c r="A1522" s="18" t="inlineStr">
        <is>
          <t>0429_mismagius.json::mismagius-2::002</t>
        </is>
      </c>
      <c r="B1522" s="19" t="inlineStr">
        <is>
          <t>사용</t>
        </is>
      </c>
      <c r="C1522" s="18">
        <f>IF(OR(B1522&lt;&gt;AK1522,M1522&lt;&gt;L1522,O1522&lt;&gt;"",Q1522&lt;&gt;"",V1522&lt;&gt;1,Y1522&lt;&gt;"",AT1522&lt;&gt;""),"수정","원본")</f>
        <v/>
      </c>
      <c r="D1522" s="18" t="n">
        <v>429</v>
      </c>
      <c r="E1522" s="18" t="inlineStr">
        <is>
          <t>무우마직</t>
        </is>
      </c>
      <c r="F1522" s="18" t="inlineStr">
        <is>
          <t>mismagius</t>
        </is>
      </c>
      <c r="G1522" s="18" t="inlineStr">
        <is>
          <t>mismagius</t>
        </is>
      </c>
      <c r="H1522" s="18" t="inlineStr"/>
      <c r="I1522" s="18" t="n">
        <v>4</v>
      </c>
      <c r="J1522" s="18" t="n"/>
      <c r="K1522" s="18" t="n">
        <v>4</v>
      </c>
      <c r="L1522" s="18" t="inlineStr">
        <is>
          <t>cobbleventure:generation_4</t>
        </is>
      </c>
      <c r="M1522" s="19" t="inlineStr">
        <is>
          <t>cobbleventure:generation_4</t>
        </is>
      </c>
      <c r="N1522" s="18" t="inlineStr">
        <is>
          <t>region_02</t>
        </is>
      </c>
      <c r="O1522" s="19" t="inlineStr"/>
      <c r="P1522" s="18" t="inlineStr">
        <is>
          <t>#cobblemon:is_spooky; #cobblemon:is_swamp</t>
        </is>
      </c>
      <c r="Q1522" s="19" t="inlineStr"/>
      <c r="R1522" s="18">
        <f>IF(Q1522="",P1522,Q1522)</f>
        <v/>
      </c>
      <c r="S1522" s="18" t="inlineStr">
        <is>
          <t>#cobblemon:is_deep_dark</t>
        </is>
      </c>
      <c r="T1522" s="18" t="inlineStr">
        <is>
          <t>common</t>
        </is>
      </c>
      <c r="U1522" s="20" t="n">
        <v>0.1</v>
      </c>
      <c r="V1522" s="21" t="n">
        <v>1</v>
      </c>
      <c r="W1522" s="20">
        <f>IF(OR(U1522="",V1522=""),U1522,U1522*V1522)</f>
        <v/>
      </c>
      <c r="X1522" s="18" t="inlineStr">
        <is>
          <t>39-50</t>
        </is>
      </c>
      <c r="Y1522" s="19" t="inlineStr"/>
      <c r="Z1522" s="18">
        <f>IF(Y1522="",X1522,Y1522)</f>
        <v/>
      </c>
      <c r="AA1522" s="18" t="inlineStr">
        <is>
          <t>grounded</t>
        </is>
      </c>
      <c r="AB1522" s="18" t="inlineStr"/>
      <c r="AC1522" s="18" t="inlineStr"/>
      <c r="AD1522" s="18" t="inlineStr"/>
      <c r="AE1522" s="18" t="inlineStr">
        <is>
          <t>sky 0-7</t>
        </is>
      </c>
      <c r="AF1522" s="18" t="inlineStr"/>
      <c r="AG1522" s="18" t="inlineStr"/>
      <c r="AH1522" s="18" t="inlineStr"/>
      <c r="AI1522" s="18" t="inlineStr"/>
      <c r="AJ1522" s="18" t="inlineStr">
        <is>
          <t>Cobblemon 동일</t>
        </is>
      </c>
      <c r="AK1522" s="18" t="inlineStr">
        <is>
          <t>사용</t>
        </is>
      </c>
      <c r="AL1522" s="18" t="inlineStr">
        <is>
          <t>COBBLEVERSE 1.7.42 / DP v31</t>
        </is>
      </c>
      <c r="AM1522" s="18" t="inlineStr">
        <is>
          <t>data/cobblemon/spawn_pool_world/0429_mismagius.json</t>
        </is>
      </c>
      <c r="AN1522" s="18" t="inlineStr">
        <is>
          <t>mismagius-2</t>
        </is>
      </c>
      <c r="AO1522" s="18" t="inlineStr">
        <is>
          <t>pokemon</t>
        </is>
      </c>
      <c r="AP1522" s="18" t="inlineStr">
        <is>
          <t>natural</t>
        </is>
      </c>
      <c r="AQ1522" s="18" t="inlineStr">
        <is>
          <t>{"biomes":["#cobblemon:is_spooky","#cobblemon:is_swamp"],"maxSkyLight":7,"minSkyLight":0}</t>
        </is>
      </c>
      <c r="AR1522" s="18" t="inlineStr">
        <is>
          <t>{"biomes":["#cobblemon:is_deep_dark"]}</t>
        </is>
      </c>
      <c r="AS1522" s="18" t="inlineStr"/>
      <c r="AT1522" s="19" t="inlineStr"/>
    </row>
    <row r="1523" ht="32" customHeight="1">
      <c r="A1523" s="18" t="inlineStr">
        <is>
          <t>0429_mismagius.json::mismagius-3::003</t>
        </is>
      </c>
      <c r="B1523" s="19" t="inlineStr">
        <is>
          <t>사용</t>
        </is>
      </c>
      <c r="C1523" s="18">
        <f>IF(OR(B1523&lt;&gt;AK1523,M1523&lt;&gt;L1523,O1523&lt;&gt;"",Q1523&lt;&gt;"",V1523&lt;&gt;1,Y1523&lt;&gt;"",AT1523&lt;&gt;""),"수정","원본")</f>
        <v/>
      </c>
      <c r="D1523" s="18" t="n">
        <v>429</v>
      </c>
      <c r="E1523" s="18" t="inlineStr">
        <is>
          <t>무우마직</t>
        </is>
      </c>
      <c r="F1523" s="18" t="inlineStr">
        <is>
          <t>mismagius</t>
        </is>
      </c>
      <c r="G1523" s="18" t="inlineStr">
        <is>
          <t>mismagius</t>
        </is>
      </c>
      <c r="H1523" s="18" t="inlineStr"/>
      <c r="I1523" s="18" t="n">
        <v>4</v>
      </c>
      <c r="J1523" s="18" t="n"/>
      <c r="K1523" s="18" t="n">
        <v>4</v>
      </c>
      <c r="L1523" s="18" t="inlineStr">
        <is>
          <t>cobbleventure:generation_4</t>
        </is>
      </c>
      <c r="M1523" s="19" t="inlineStr">
        <is>
          <t>cobbleventure:generation_4</t>
        </is>
      </c>
      <c r="N1523" s="18" t="inlineStr">
        <is>
          <t>region_02</t>
        </is>
      </c>
      <c r="O1523" s="19" t="inlineStr"/>
      <c r="P1523" s="18" t="inlineStr">
        <is>
          <t>#cobblemon:is_spooky; #cobblemon:is_swamp</t>
        </is>
      </c>
      <c r="Q1523" s="19" t="inlineStr"/>
      <c r="R1523" s="18">
        <f>IF(Q1523="",P1523,Q1523)</f>
        <v/>
      </c>
      <c r="S1523" s="18" t="inlineStr">
        <is>
          <t>#cobblemon:is_deep_dark</t>
        </is>
      </c>
      <c r="T1523" s="18" t="inlineStr">
        <is>
          <t>common</t>
        </is>
      </c>
      <c r="U1523" s="20" t="n">
        <v>0.3</v>
      </c>
      <c r="V1523" s="21" t="n">
        <v>1</v>
      </c>
      <c r="W1523" s="20">
        <f>IF(OR(U1523="",V1523=""),U1523,U1523*V1523)</f>
        <v/>
      </c>
      <c r="X1523" s="18" t="inlineStr">
        <is>
          <t>39-50</t>
        </is>
      </c>
      <c r="Y1523" s="19" t="inlineStr"/>
      <c r="Z1523" s="18">
        <f>IF(Y1523="",X1523,Y1523)</f>
        <v/>
      </c>
      <c r="AA1523" s="18" t="inlineStr">
        <is>
          <t>grounded</t>
        </is>
      </c>
      <c r="AB1523" s="18" t="inlineStr"/>
      <c r="AC1523" s="18" t="inlineStr"/>
      <c r="AD1523" s="18" t="inlineStr"/>
      <c r="AE1523" s="18" t="inlineStr"/>
      <c r="AF1523" s="18" t="inlineStr">
        <is>
          <t>False</t>
        </is>
      </c>
      <c r="AG1523" s="18" t="inlineStr"/>
      <c r="AH1523" s="18" t="inlineStr"/>
      <c r="AI1523" s="18" t="inlineStr"/>
      <c r="AJ1523" s="18" t="inlineStr">
        <is>
          <t>Cobblemon 동일</t>
        </is>
      </c>
      <c r="AK1523" s="18" t="inlineStr">
        <is>
          <t>사용</t>
        </is>
      </c>
      <c r="AL1523" s="18" t="inlineStr">
        <is>
          <t>COBBLEVERSE 1.7.42 / DP v31</t>
        </is>
      </c>
      <c r="AM1523" s="18" t="inlineStr">
        <is>
          <t>data/cobblemon/spawn_pool_world/0429_mismagius.json</t>
        </is>
      </c>
      <c r="AN1523" s="18" t="inlineStr">
        <is>
          <t>mismagius-3</t>
        </is>
      </c>
      <c r="AO1523" s="18" t="inlineStr">
        <is>
          <t>pokemon</t>
        </is>
      </c>
      <c r="AP1523" s="18" t="inlineStr">
        <is>
          <t>derelict</t>
        </is>
      </c>
      <c r="AQ1523" s="18" t="inlineStr">
        <is>
          <t>{"biomes":["#cobblemon:is_spooky","#cobblemon:is_swamp"],"canSeeSky":false}</t>
        </is>
      </c>
      <c r="AR1523" s="18" t="inlineStr">
        <is>
          <t>{"biomes":["#cobblemon:is_deep_dark"]}</t>
        </is>
      </c>
      <c r="AS1523" s="18" t="inlineStr"/>
      <c r="AT1523" s="19" t="inlineStr"/>
    </row>
    <row r="1524" ht="32" customHeight="1">
      <c r="A1524" s="18" t="inlineStr">
        <is>
          <t>0429_mismagius.json::mismagius-4::004</t>
        </is>
      </c>
      <c r="B1524" s="19" t="inlineStr">
        <is>
          <t>사용</t>
        </is>
      </c>
      <c r="C1524" s="18">
        <f>IF(OR(B1524&lt;&gt;AK1524,M1524&lt;&gt;L1524,O1524&lt;&gt;"",Q1524&lt;&gt;"",V1524&lt;&gt;1,Y1524&lt;&gt;"",AT1524&lt;&gt;""),"수정","원본")</f>
        <v/>
      </c>
      <c r="D1524" s="18" t="n">
        <v>429</v>
      </c>
      <c r="E1524" s="18" t="inlineStr">
        <is>
          <t>무우마직</t>
        </is>
      </c>
      <c r="F1524" s="18" t="inlineStr">
        <is>
          <t>mismagius</t>
        </is>
      </c>
      <c r="G1524" s="18" t="inlineStr">
        <is>
          <t>mismagius</t>
        </is>
      </c>
      <c r="H1524" s="18" t="inlineStr"/>
      <c r="I1524" s="18" t="n">
        <v>4</v>
      </c>
      <c r="J1524" s="18" t="n"/>
      <c r="K1524" s="18" t="n">
        <v>4</v>
      </c>
      <c r="L1524" s="18" t="inlineStr">
        <is>
          <t>cobbleventure:generation_4</t>
        </is>
      </c>
      <c r="M1524" s="19" t="inlineStr">
        <is>
          <t>cobbleventure:generation_4</t>
        </is>
      </c>
      <c r="N1524" s="18" t="inlineStr">
        <is>
          <t>region_02</t>
        </is>
      </c>
      <c r="O1524" s="19" t="inlineStr"/>
      <c r="P1524" s="18" t="inlineStr">
        <is>
          <t>#cobblemon:is_swamp</t>
        </is>
      </c>
      <c r="Q1524" s="19" t="inlineStr"/>
      <c r="R1524" s="18">
        <f>IF(Q1524="",P1524,Q1524)</f>
        <v/>
      </c>
      <c r="S1524" s="18" t="inlineStr"/>
      <c r="T1524" s="18" t="inlineStr">
        <is>
          <t>common</t>
        </is>
      </c>
      <c r="U1524" s="20" t="n">
        <v>0.3</v>
      </c>
      <c r="V1524" s="21" t="n">
        <v>1</v>
      </c>
      <c r="W1524" s="20">
        <f>IF(OR(U1524="",V1524=""),U1524,U1524*V1524)</f>
        <v/>
      </c>
      <c r="X1524" s="18" t="inlineStr">
        <is>
          <t>39-50</t>
        </is>
      </c>
      <c r="Y1524" s="19" t="inlineStr"/>
      <c r="Z1524" s="18">
        <f>IF(Y1524="",X1524,Y1524)</f>
        <v/>
      </c>
      <c r="AA1524" s="18" t="inlineStr">
        <is>
          <t>grounded</t>
        </is>
      </c>
      <c r="AB1524" s="18" t="inlineStr">
        <is>
          <t>night</t>
        </is>
      </c>
      <c r="AC1524" s="18" t="inlineStr"/>
      <c r="AD1524" s="18" t="inlineStr"/>
      <c r="AE1524" s="18" t="inlineStr">
        <is>
          <t>sky 8-15</t>
        </is>
      </c>
      <c r="AF1524" s="18" t="inlineStr"/>
      <c r="AG1524" s="18" t="inlineStr"/>
      <c r="AH1524" s="18" t="inlineStr"/>
      <c r="AI1524" s="18" t="inlineStr"/>
      <c r="AJ1524" s="18" t="inlineStr">
        <is>
          <t>Cobblemon 동일</t>
        </is>
      </c>
      <c r="AK1524" s="18" t="inlineStr">
        <is>
          <t>사용</t>
        </is>
      </c>
      <c r="AL1524" s="18" t="inlineStr">
        <is>
          <t>COBBLEVERSE 1.7.42 / DP v31</t>
        </is>
      </c>
      <c r="AM1524" s="18" t="inlineStr">
        <is>
          <t>data/cobblemon/spawn_pool_world/0429_mismagius.json</t>
        </is>
      </c>
      <c r="AN1524" s="18" t="inlineStr">
        <is>
          <t>mismagius-4</t>
        </is>
      </c>
      <c r="AO1524" s="18" t="inlineStr">
        <is>
          <t>pokemon</t>
        </is>
      </c>
      <c r="AP1524" s="18" t="inlineStr">
        <is>
          <t>natural</t>
        </is>
      </c>
      <c r="AQ1524" s="18" t="inlineStr">
        <is>
          <t>{"biomes":["#cobblemon:is_swamp"],"maxSkyLight":15,"minSkyLight":8,"timeRange":"night"}</t>
        </is>
      </c>
      <c r="AR1524" s="18" t="inlineStr"/>
      <c r="AS1524" s="18" t="inlineStr"/>
      <c r="AT1524" s="19" t="inlineStr"/>
    </row>
    <row r="1525" ht="32" customHeight="1">
      <c r="A1525" s="18" t="inlineStr">
        <is>
          <t>0429_mismagius.json::mismagius-5::005</t>
        </is>
      </c>
      <c r="B1525" s="19" t="inlineStr">
        <is>
          <t>사용</t>
        </is>
      </c>
      <c r="C1525" s="18">
        <f>IF(OR(B1525&lt;&gt;AK1525,M1525&lt;&gt;L1525,O1525&lt;&gt;"",Q1525&lt;&gt;"",V1525&lt;&gt;1,Y1525&lt;&gt;"",AT1525&lt;&gt;""),"수정","원본")</f>
        <v/>
      </c>
      <c r="D1525" s="18" t="n">
        <v>429</v>
      </c>
      <c r="E1525" s="18" t="inlineStr">
        <is>
          <t>무우마직</t>
        </is>
      </c>
      <c r="F1525" s="18" t="inlineStr">
        <is>
          <t>mismagius</t>
        </is>
      </c>
      <c r="G1525" s="18" t="inlineStr">
        <is>
          <t>mismagius</t>
        </is>
      </c>
      <c r="H1525" s="18" t="inlineStr"/>
      <c r="I1525" s="18" t="n">
        <v>4</v>
      </c>
      <c r="J1525" s="18" t="n"/>
      <c r="K1525" s="18" t="n">
        <v>4</v>
      </c>
      <c r="L1525" s="18" t="inlineStr">
        <is>
          <t>cobbleventure:generation_4</t>
        </is>
      </c>
      <c r="M1525" s="19" t="inlineStr">
        <is>
          <t>cobbleventure:generation_4</t>
        </is>
      </c>
      <c r="N1525" s="18" t="inlineStr"/>
      <c r="O1525" s="19" t="inlineStr"/>
      <c r="P1525" s="18" t="inlineStr">
        <is>
          <t>#cobblemon:nether/is_warped</t>
        </is>
      </c>
      <c r="Q1525" s="19" t="inlineStr"/>
      <c r="R1525" s="18">
        <f>IF(Q1525="",P1525,Q1525)</f>
        <v/>
      </c>
      <c r="S1525" s="18" t="inlineStr"/>
      <c r="T1525" s="18" t="inlineStr">
        <is>
          <t>common</t>
        </is>
      </c>
      <c r="U1525" s="20" t="n">
        <v>0.3</v>
      </c>
      <c r="V1525" s="21" t="n">
        <v>1</v>
      </c>
      <c r="W1525" s="20">
        <f>IF(OR(U1525="",V1525=""),U1525,U1525*V1525)</f>
        <v/>
      </c>
      <c r="X1525" s="18" t="inlineStr">
        <is>
          <t>39-50</t>
        </is>
      </c>
      <c r="Y1525" s="19" t="inlineStr"/>
      <c r="Z1525" s="18">
        <f>IF(Y1525="",X1525,Y1525)</f>
        <v/>
      </c>
      <c r="AA1525" s="18" t="inlineStr">
        <is>
          <t>grounded</t>
        </is>
      </c>
      <c r="AB1525" s="18" t="inlineStr"/>
      <c r="AC1525" s="18" t="inlineStr"/>
      <c r="AD1525" s="18" t="inlineStr"/>
      <c r="AE1525" s="18" t="inlineStr"/>
      <c r="AF1525" s="18" t="inlineStr"/>
      <c r="AG1525" s="18" t="inlineStr"/>
      <c r="AH1525" s="18" t="inlineStr"/>
      <c r="AI1525" s="18" t="inlineStr"/>
      <c r="AJ1525" s="18" t="inlineStr">
        <is>
          <t>Cobblemon 동일</t>
        </is>
      </c>
      <c r="AK1525" s="18" t="inlineStr">
        <is>
          <t>사용</t>
        </is>
      </c>
      <c r="AL1525" s="18" t="inlineStr">
        <is>
          <t>COBBLEVERSE 1.7.42 / DP v31</t>
        </is>
      </c>
      <c r="AM1525" s="18" t="inlineStr">
        <is>
          <t>data/cobblemon/spawn_pool_world/0429_mismagius.json</t>
        </is>
      </c>
      <c r="AN1525" s="18" t="inlineStr">
        <is>
          <t>mismagius-5</t>
        </is>
      </c>
      <c r="AO1525" s="18" t="inlineStr">
        <is>
          <t>pokemon</t>
        </is>
      </c>
      <c r="AP1525" s="18" t="inlineStr">
        <is>
          <t>natural</t>
        </is>
      </c>
      <c r="AQ1525" s="18" t="inlineStr">
        <is>
          <t>{"biomes":["#cobblemon:nether/is_warped"]}</t>
        </is>
      </c>
      <c r="AR1525" s="18" t="inlineStr"/>
      <c r="AS1525" s="18" t="inlineStr"/>
      <c r="AT1525" s="19" t="inlineStr"/>
    </row>
    <row r="1526" ht="32" customHeight="1">
      <c r="A1526" s="18" t="inlineStr">
        <is>
          <t>0429_mismagius.json::mismagius-6::006</t>
        </is>
      </c>
      <c r="B1526" s="19" t="inlineStr">
        <is>
          <t>사용</t>
        </is>
      </c>
      <c r="C1526" s="18">
        <f>IF(OR(B1526&lt;&gt;AK1526,M1526&lt;&gt;L1526,O1526&lt;&gt;"",Q1526&lt;&gt;"",V1526&lt;&gt;1,Y1526&lt;&gt;"",AT1526&lt;&gt;""),"수정","원본")</f>
        <v/>
      </c>
      <c r="D1526" s="18" t="n">
        <v>429</v>
      </c>
      <c r="E1526" s="18" t="inlineStr">
        <is>
          <t>무우마직</t>
        </is>
      </c>
      <c r="F1526" s="18" t="inlineStr">
        <is>
          <t>mismagius</t>
        </is>
      </c>
      <c r="G1526" s="18" t="inlineStr">
        <is>
          <t>mismagius</t>
        </is>
      </c>
      <c r="H1526" s="18" t="inlineStr"/>
      <c r="I1526" s="18" t="n">
        <v>4</v>
      </c>
      <c r="J1526" s="18" t="n"/>
      <c r="K1526" s="18" t="n">
        <v>4</v>
      </c>
      <c r="L1526" s="18" t="inlineStr">
        <is>
          <t>cobbleventure:generation_4</t>
        </is>
      </c>
      <c r="M1526" s="19" t="inlineStr">
        <is>
          <t>cobbleventure:generation_4</t>
        </is>
      </c>
      <c r="N1526" s="18" t="inlineStr">
        <is>
          <t>region_01; region_02</t>
        </is>
      </c>
      <c r="O1526" s="19" t="inlineStr"/>
      <c r="P1526" s="18" t="inlineStr">
        <is>
          <t>#cobblemon:is_overworld</t>
        </is>
      </c>
      <c r="Q1526" s="19" t="inlineStr"/>
      <c r="R1526" s="18">
        <f>IF(Q1526="",P1526,Q1526)</f>
        <v/>
      </c>
      <c r="S1526" s="18" t="inlineStr"/>
      <c r="T1526" s="18" t="inlineStr">
        <is>
          <t>common</t>
        </is>
      </c>
      <c r="U1526" s="20" t="n">
        <v>0.3</v>
      </c>
      <c r="V1526" s="21" t="n">
        <v>1</v>
      </c>
      <c r="W1526" s="20">
        <f>IF(OR(U1526="",V1526=""),U1526,U1526*V1526)</f>
        <v/>
      </c>
      <c r="X1526" s="18" t="inlineStr">
        <is>
          <t>39-50</t>
        </is>
      </c>
      <c r="Y1526" s="19" t="inlineStr"/>
      <c r="Z1526" s="18">
        <f>IF(Y1526="",X1526,Y1526)</f>
        <v/>
      </c>
      <c r="AA1526" s="18" t="inlineStr">
        <is>
          <t>grounded</t>
        </is>
      </c>
      <c r="AB1526" s="18" t="inlineStr"/>
      <c r="AC1526" s="18" t="inlineStr"/>
      <c r="AD1526" s="18" t="inlineStr">
        <is>
          <t>minY=-41, maxY=9</t>
        </is>
      </c>
      <c r="AE1526" s="18" t="inlineStr"/>
      <c r="AF1526" s="18" t="inlineStr">
        <is>
          <t>False</t>
        </is>
      </c>
      <c r="AG1526" s="18" t="inlineStr">
        <is>
          <t>#cobblemon:shipwreck_cove</t>
        </is>
      </c>
      <c r="AH1526" s="18" t="inlineStr"/>
      <c r="AI1526" s="18" t="inlineStr"/>
      <c r="AJ1526" s="18" t="inlineStr">
        <is>
          <t>Cobblemon 동일</t>
        </is>
      </c>
      <c r="AK1526" s="18" t="inlineStr">
        <is>
          <t>사용</t>
        </is>
      </c>
      <c r="AL1526" s="18" t="inlineStr">
        <is>
          <t>COBBLEVERSE 1.7.42 / DP v31</t>
        </is>
      </c>
      <c r="AM1526" s="18" t="inlineStr">
        <is>
          <t>data/cobblemon/spawn_pool_world/0429_mismagius.json</t>
        </is>
      </c>
      <c r="AN1526" s="18" t="inlineStr">
        <is>
          <t>mismagius-6</t>
        </is>
      </c>
      <c r="AO1526" s="18" t="inlineStr">
        <is>
          <t>pokemon</t>
        </is>
      </c>
      <c r="AP1526" s="18" t="inlineStr"/>
      <c r="AQ1526" s="18" t="inlineStr">
        <is>
          <t>{"biomes":["#cobblemon:is_overworld"],"canSeeSky":false,"maxY":9,"minY":-41,"structures":["#cobblemon:shipwreck_cove"]}</t>
        </is>
      </c>
      <c r="AR1526" s="18" t="inlineStr"/>
      <c r="AS1526" s="18" t="inlineStr"/>
      <c r="AT1526" s="19" t="inlineStr"/>
    </row>
    <row r="1527" ht="32" customHeight="1">
      <c r="A1527" s="18" t="inlineStr">
        <is>
          <t>0430_honchkrow.json::honchkrow-1::001</t>
        </is>
      </c>
      <c r="B1527" s="19" t="inlineStr">
        <is>
          <t>사용</t>
        </is>
      </c>
      <c r="C1527" s="18">
        <f>IF(OR(B1527&lt;&gt;AK1527,M1527&lt;&gt;L1527,O1527&lt;&gt;"",Q1527&lt;&gt;"",V1527&lt;&gt;1,Y1527&lt;&gt;"",AT1527&lt;&gt;""),"수정","원본")</f>
        <v/>
      </c>
      <c r="D1527" s="18" t="n">
        <v>430</v>
      </c>
      <c r="E1527" s="18" t="inlineStr">
        <is>
          <t>돈크로우</t>
        </is>
      </c>
      <c r="F1527" s="18" t="inlineStr">
        <is>
          <t>honchkrow</t>
        </is>
      </c>
      <c r="G1527" s="18" t="inlineStr">
        <is>
          <t>honchkrow</t>
        </is>
      </c>
      <c r="H1527" s="18" t="inlineStr"/>
      <c r="I1527" s="18" t="n">
        <v>4</v>
      </c>
      <c r="J1527" s="18" t="n"/>
      <c r="K1527" s="18" t="n">
        <v>4</v>
      </c>
      <c r="L1527" s="18" t="inlineStr">
        <is>
          <t>cobbleventure:generation_4</t>
        </is>
      </c>
      <c r="M1527" s="19" t="inlineStr">
        <is>
          <t>cobbleventure:generation_4</t>
        </is>
      </c>
      <c r="N1527" s="18" t="inlineStr"/>
      <c r="O1527" s="19" t="inlineStr"/>
      <c r="P1527" s="18" t="inlineStr">
        <is>
          <t>#cobblemon:is_spooky</t>
        </is>
      </c>
      <c r="Q1527" s="19" t="inlineStr"/>
      <c r="R1527" s="18">
        <f>IF(Q1527="",P1527,Q1527)</f>
        <v/>
      </c>
      <c r="S1527" s="18" t="inlineStr"/>
      <c r="T1527" s="18" t="inlineStr">
        <is>
          <t>common</t>
        </is>
      </c>
      <c r="U1527" s="20" t="n">
        <v>0.5</v>
      </c>
      <c r="V1527" s="21" t="n">
        <v>1</v>
      </c>
      <c r="W1527" s="20">
        <f>IF(OR(U1527="",V1527=""),U1527,U1527*V1527)</f>
        <v/>
      </c>
      <c r="X1527" s="18" t="inlineStr">
        <is>
          <t>36-51</t>
        </is>
      </c>
      <c r="Y1527" s="19" t="inlineStr"/>
      <c r="Z1527" s="18">
        <f>IF(Y1527="",X1527,Y1527)</f>
        <v/>
      </c>
      <c r="AA1527" s="18" t="inlineStr">
        <is>
          <t>grounded</t>
        </is>
      </c>
      <c r="AB1527" s="18" t="inlineStr"/>
      <c r="AC1527" s="18" t="inlineStr"/>
      <c r="AD1527" s="18" t="inlineStr"/>
      <c r="AE1527" s="18" t="inlineStr">
        <is>
          <t>sky 8-15</t>
        </is>
      </c>
      <c r="AF1527" s="18" t="inlineStr"/>
      <c r="AG1527" s="18" t="inlineStr"/>
      <c r="AH1527" s="18" t="inlineStr"/>
      <c r="AI1527" s="18" t="inlineStr"/>
      <c r="AJ1527" s="18" t="inlineStr">
        <is>
          <t>Cobblemon 동일</t>
        </is>
      </c>
      <c r="AK1527" s="18" t="inlineStr">
        <is>
          <t>사용</t>
        </is>
      </c>
      <c r="AL1527" s="18" t="inlineStr">
        <is>
          <t>COBBLEVERSE 1.7.42 / DP v31</t>
        </is>
      </c>
      <c r="AM1527" s="18" t="inlineStr">
        <is>
          <t>data/cobblemon/spawn_pool_world/0430_honchkrow.json</t>
        </is>
      </c>
      <c r="AN1527" s="18" t="inlineStr">
        <is>
          <t>honchkrow-1</t>
        </is>
      </c>
      <c r="AO1527" s="18" t="inlineStr">
        <is>
          <t>pokemon</t>
        </is>
      </c>
      <c r="AP1527" s="18" t="inlineStr">
        <is>
          <t>natural; treetop</t>
        </is>
      </c>
      <c r="AQ1527" s="18" t="inlineStr">
        <is>
          <t>{"biomes":["#cobblemon:is_spooky"],"maxSkyLight":15,"minSkyLight":8}</t>
        </is>
      </c>
      <c r="AR1527" s="18" t="inlineStr"/>
      <c r="AS1527" s="18" t="inlineStr">
        <is>
          <t>{"weightMultiplier":{"condition":{"timeRange":"night"},"multiplier":1.5}}</t>
        </is>
      </c>
      <c r="AT1527" s="19" t="inlineStr"/>
    </row>
    <row r="1528" ht="32" customHeight="1">
      <c r="A1528" s="18" t="inlineStr">
        <is>
          <t>0430_honchkrow.json::honchkrow-3::002</t>
        </is>
      </c>
      <c r="B1528" s="19" t="inlineStr">
        <is>
          <t>사용</t>
        </is>
      </c>
      <c r="C1528" s="18">
        <f>IF(OR(B1528&lt;&gt;AK1528,M1528&lt;&gt;L1528,O1528&lt;&gt;"",Q1528&lt;&gt;"",V1528&lt;&gt;1,Y1528&lt;&gt;"",AT1528&lt;&gt;""),"수정","원본")</f>
        <v/>
      </c>
      <c r="D1528" s="18" t="n">
        <v>430</v>
      </c>
      <c r="E1528" s="18" t="inlineStr">
        <is>
          <t>돈크로우</t>
        </is>
      </c>
      <c r="F1528" s="18" t="inlineStr">
        <is>
          <t>honchkrow</t>
        </is>
      </c>
      <c r="G1528" s="18" t="inlineStr">
        <is>
          <t>honchkrow</t>
        </is>
      </c>
      <c r="H1528" s="18" t="inlineStr"/>
      <c r="I1528" s="18" t="n">
        <v>4</v>
      </c>
      <c r="J1528" s="18" t="n"/>
      <c r="K1528" s="18" t="n">
        <v>4</v>
      </c>
      <c r="L1528" s="18" t="inlineStr">
        <is>
          <t>cobbleventure:generation_4</t>
        </is>
      </c>
      <c r="M1528" s="19" t="inlineStr">
        <is>
          <t>cobbleventure:generation_4</t>
        </is>
      </c>
      <c r="N1528" s="18" t="inlineStr">
        <is>
          <t>region_02</t>
        </is>
      </c>
      <c r="O1528" s="19" t="inlineStr"/>
      <c r="P1528" s="18" t="inlineStr">
        <is>
          <t>#cobblemon:is_swamp; #cobblemon:is_taiga</t>
        </is>
      </c>
      <c r="Q1528" s="19" t="inlineStr"/>
      <c r="R1528" s="18">
        <f>IF(Q1528="",P1528,Q1528)</f>
        <v/>
      </c>
      <c r="S1528" s="18" t="inlineStr"/>
      <c r="T1528" s="18" t="inlineStr">
        <is>
          <t>common</t>
        </is>
      </c>
      <c r="U1528" s="20" t="n">
        <v>0.3</v>
      </c>
      <c r="V1528" s="21" t="n">
        <v>1</v>
      </c>
      <c r="W1528" s="20">
        <f>IF(OR(U1528="",V1528=""),U1528,U1528*V1528)</f>
        <v/>
      </c>
      <c r="X1528" s="18" t="inlineStr">
        <is>
          <t>36-51</t>
        </is>
      </c>
      <c r="Y1528" s="19" t="inlineStr"/>
      <c r="Z1528" s="18">
        <f>IF(Y1528="",X1528,Y1528)</f>
        <v/>
      </c>
      <c r="AA1528" s="18" t="inlineStr">
        <is>
          <t>grounded</t>
        </is>
      </c>
      <c r="AB1528" s="18" t="inlineStr">
        <is>
          <t>night</t>
        </is>
      </c>
      <c r="AC1528" s="18" t="inlineStr"/>
      <c r="AD1528" s="18" t="inlineStr"/>
      <c r="AE1528" s="18" t="inlineStr">
        <is>
          <t>sky 8-15</t>
        </is>
      </c>
      <c r="AF1528" s="18" t="inlineStr"/>
      <c r="AG1528" s="18" t="inlineStr"/>
      <c r="AH1528" s="18" t="inlineStr"/>
      <c r="AI1528" s="18" t="inlineStr"/>
      <c r="AJ1528" s="18" t="inlineStr">
        <is>
          <t>Cobblemon 동일</t>
        </is>
      </c>
      <c r="AK1528" s="18" t="inlineStr">
        <is>
          <t>사용</t>
        </is>
      </c>
      <c r="AL1528" s="18" t="inlineStr">
        <is>
          <t>COBBLEVERSE 1.7.42 / DP v31</t>
        </is>
      </c>
      <c r="AM1528" s="18" t="inlineStr">
        <is>
          <t>data/cobblemon/spawn_pool_world/0430_honchkrow.json</t>
        </is>
      </c>
      <c r="AN1528" s="18" t="inlineStr">
        <is>
          <t>honchkrow-3</t>
        </is>
      </c>
      <c r="AO1528" s="18" t="inlineStr">
        <is>
          <t>pokemon</t>
        </is>
      </c>
      <c r="AP1528" s="18" t="inlineStr">
        <is>
          <t>natural; treetop</t>
        </is>
      </c>
      <c r="AQ1528" s="18" t="inlineStr">
        <is>
          <t>{"biomes":["#cobblemon:is_swamp","#cobblemon:is_taiga"],"maxSkyLight":15,"minSkyLight":8,"timeRange":"night"}</t>
        </is>
      </c>
      <c r="AR1528" s="18" t="inlineStr"/>
      <c r="AS1528" s="18" t="inlineStr"/>
      <c r="AT1528" s="19" t="inlineStr"/>
    </row>
    <row r="1529" ht="32" customHeight="1">
      <c r="A1529" s="18" t="inlineStr">
        <is>
          <t>0430_honchkrow.json::honchkrow-5::003</t>
        </is>
      </c>
      <c r="B1529" s="19" t="inlineStr">
        <is>
          <t>사용</t>
        </is>
      </c>
      <c r="C1529" s="18">
        <f>IF(OR(B1529&lt;&gt;AK1529,M1529&lt;&gt;L1529,O1529&lt;&gt;"",Q1529&lt;&gt;"",V1529&lt;&gt;1,Y1529&lt;&gt;"",AT1529&lt;&gt;""),"수정","원본")</f>
        <v/>
      </c>
      <c r="D1529" s="18" t="n">
        <v>430</v>
      </c>
      <c r="E1529" s="18" t="inlineStr">
        <is>
          <t>돈크로우</t>
        </is>
      </c>
      <c r="F1529" s="18" t="inlineStr">
        <is>
          <t>honchkrow</t>
        </is>
      </c>
      <c r="G1529" s="18" t="inlineStr">
        <is>
          <t>honchkrow</t>
        </is>
      </c>
      <c r="H1529" s="18" t="inlineStr"/>
      <c r="I1529" s="18" t="n">
        <v>4</v>
      </c>
      <c r="J1529" s="18" t="n"/>
      <c r="K1529" s="18" t="n">
        <v>4</v>
      </c>
      <c r="L1529" s="18" t="inlineStr">
        <is>
          <t>cobbleventure:generation_4</t>
        </is>
      </c>
      <c r="M1529" s="19" t="inlineStr">
        <is>
          <t>cobbleventure:generation_4</t>
        </is>
      </c>
      <c r="N1529" s="18" t="inlineStr"/>
      <c r="O1529" s="19" t="inlineStr"/>
      <c r="P1529" s="18" t="inlineStr">
        <is>
          <t>#cobblemon:is_sky</t>
        </is>
      </c>
      <c r="Q1529" s="19" t="inlineStr"/>
      <c r="R1529" s="18">
        <f>IF(Q1529="",P1529,Q1529)</f>
        <v/>
      </c>
      <c r="S1529" s="18" t="inlineStr"/>
      <c r="T1529" s="18" t="inlineStr">
        <is>
          <t>common</t>
        </is>
      </c>
      <c r="U1529" s="20" t="n">
        <v>0.5</v>
      </c>
      <c r="V1529" s="21" t="n">
        <v>1</v>
      </c>
      <c r="W1529" s="20">
        <f>IF(OR(U1529="",V1529=""),U1529,U1529*V1529)</f>
        <v/>
      </c>
      <c r="X1529" s="18" t="inlineStr">
        <is>
          <t>36-51</t>
        </is>
      </c>
      <c r="Y1529" s="19" t="inlineStr"/>
      <c r="Z1529" s="18">
        <f>IF(Y1529="",X1529,Y1529)</f>
        <v/>
      </c>
      <c r="AA1529" s="18" t="inlineStr">
        <is>
          <t>grounded</t>
        </is>
      </c>
      <c r="AB1529" s="18" t="inlineStr">
        <is>
          <t>night</t>
        </is>
      </c>
      <c r="AC1529" s="18" t="inlineStr"/>
      <c r="AD1529" s="18" t="inlineStr"/>
      <c r="AE1529" s="18" t="inlineStr">
        <is>
          <t>sky 8-15</t>
        </is>
      </c>
      <c r="AF1529" s="18" t="inlineStr"/>
      <c r="AG1529" s="18" t="inlineStr"/>
      <c r="AH1529" s="18" t="inlineStr"/>
      <c r="AI1529" s="18" t="inlineStr"/>
      <c r="AJ1529" s="18" t="inlineStr">
        <is>
          <t>Cobblemon 동일</t>
        </is>
      </c>
      <c r="AK1529" s="18" t="inlineStr">
        <is>
          <t>사용</t>
        </is>
      </c>
      <c r="AL1529" s="18" t="inlineStr">
        <is>
          <t>COBBLEVERSE 1.7.42 / DP v31</t>
        </is>
      </c>
      <c r="AM1529" s="18" t="inlineStr">
        <is>
          <t>data/cobblemon/spawn_pool_world/0430_honchkrow.json</t>
        </is>
      </c>
      <c r="AN1529" s="18" t="inlineStr">
        <is>
          <t>honchkrow-5</t>
        </is>
      </c>
      <c r="AO1529" s="18" t="inlineStr">
        <is>
          <t>pokemon</t>
        </is>
      </c>
      <c r="AP1529" s="18" t="inlineStr">
        <is>
          <t>natural; treetop</t>
        </is>
      </c>
      <c r="AQ1529" s="18" t="inlineStr">
        <is>
          <t>{"biomes":["#cobblemon:is_sky"],"maxSkyLight":15,"minSkyLight":8,"timeRange":"night"}</t>
        </is>
      </c>
      <c r="AR1529" s="18" t="inlineStr"/>
      <c r="AS1529" s="18" t="inlineStr"/>
      <c r="AT1529" s="19" t="inlineStr"/>
    </row>
    <row r="1530" ht="32" customHeight="1">
      <c r="A1530" s="18" t="inlineStr">
        <is>
          <t>0431_glameow.json::glameow-1::001</t>
        </is>
      </c>
      <c r="B1530" s="19" t="inlineStr">
        <is>
          <t>사용</t>
        </is>
      </c>
      <c r="C1530" s="18">
        <f>IF(OR(B1530&lt;&gt;AK1530,M1530&lt;&gt;L1530,O1530&lt;&gt;"",Q1530&lt;&gt;"",V1530&lt;&gt;1,Y1530&lt;&gt;"",AT1530&lt;&gt;""),"수정","원본")</f>
        <v/>
      </c>
      <c r="D1530" s="18" t="n">
        <v>431</v>
      </c>
      <c r="E1530" s="18" t="inlineStr">
        <is>
          <t>나옹마</t>
        </is>
      </c>
      <c r="F1530" s="18" t="inlineStr">
        <is>
          <t>glameow</t>
        </is>
      </c>
      <c r="G1530" s="18" t="inlineStr">
        <is>
          <t>glameow</t>
        </is>
      </c>
      <c r="H1530" s="18" t="inlineStr"/>
      <c r="I1530" s="18" t="n">
        <v>4</v>
      </c>
      <c r="J1530" s="18" t="n"/>
      <c r="K1530" s="18" t="n">
        <v>4</v>
      </c>
      <c r="L1530" s="18" t="inlineStr">
        <is>
          <t>cobbleventure:generation_4</t>
        </is>
      </c>
      <c r="M1530" s="19" t="inlineStr">
        <is>
          <t>cobbleventure:generation_4</t>
        </is>
      </c>
      <c r="N1530" s="18" t="inlineStr">
        <is>
          <t>region_01</t>
        </is>
      </c>
      <c r="O1530" s="19" t="inlineStr"/>
      <c r="P1530" s="18" t="inlineStr">
        <is>
          <t>#cobblemon:is_plains</t>
        </is>
      </c>
      <c r="Q1530" s="19" t="inlineStr"/>
      <c r="R1530" s="18">
        <f>IF(Q1530="",P1530,Q1530)</f>
        <v/>
      </c>
      <c r="S1530" s="18" t="inlineStr">
        <is>
          <t>#cobblemon:is_arid; #cobblemon:is_freezing</t>
        </is>
      </c>
      <c r="T1530" s="18" t="inlineStr">
        <is>
          <t>common</t>
        </is>
      </c>
      <c r="U1530" s="20" t="n">
        <v>9</v>
      </c>
      <c r="V1530" s="21" t="n">
        <v>1</v>
      </c>
      <c r="W1530" s="20">
        <f>IF(OR(U1530="",V1530=""),U1530,U1530*V1530)</f>
        <v/>
      </c>
      <c r="X1530" s="18" t="inlineStr">
        <is>
          <t>6-31</t>
        </is>
      </c>
      <c r="Y1530" s="19" t="inlineStr"/>
      <c r="Z1530" s="18">
        <f>IF(Y1530="",X1530,Y1530)</f>
        <v/>
      </c>
      <c r="AA1530" s="18" t="inlineStr">
        <is>
          <t>grounded</t>
        </is>
      </c>
      <c r="AB1530" s="18" t="inlineStr"/>
      <c r="AC1530" s="18" t="inlineStr">
        <is>
          <t>비=False</t>
        </is>
      </c>
      <c r="AD1530" s="18" t="inlineStr"/>
      <c r="AE1530" s="18" t="inlineStr">
        <is>
          <t>sky 8-15</t>
        </is>
      </c>
      <c r="AF1530" s="18" t="inlineStr"/>
      <c r="AG1530" s="18" t="inlineStr"/>
      <c r="AH1530" s="18" t="inlineStr"/>
      <c r="AI1530" s="18" t="inlineStr"/>
      <c r="AJ1530" s="18" t="inlineStr">
        <is>
          <t>COBBLEVERSE 수정</t>
        </is>
      </c>
      <c r="AK1530" s="18" t="inlineStr">
        <is>
          <t>사용</t>
        </is>
      </c>
      <c r="AL1530" s="18" t="inlineStr">
        <is>
          <t>COBBLEVERSE 1.7.42 / DP v31</t>
        </is>
      </c>
      <c r="AM1530" s="18" t="inlineStr">
        <is>
          <t>data/cobblemon/spawn_pool_world/0431_glameow.json</t>
        </is>
      </c>
      <c r="AN1530" s="18" t="inlineStr">
        <is>
          <t>glameow-1</t>
        </is>
      </c>
      <c r="AO1530" s="18" t="inlineStr">
        <is>
          <t>pokemon</t>
        </is>
      </c>
      <c r="AP1530" s="18" t="inlineStr">
        <is>
          <t>natural</t>
        </is>
      </c>
      <c r="AQ1530" s="18" t="inlineStr">
        <is>
          <t>{"biomes":["#cobblemon:is_plains"],"isRaining":false,"maxSkyLight":15,"minSkyLight":8}</t>
        </is>
      </c>
      <c r="AR1530" s="18" t="inlineStr">
        <is>
          <t>{"biomes":["#cobblemon:is_arid","#cobblemon:is_freezing"]}</t>
        </is>
      </c>
      <c r="AS1530" s="18" t="inlineStr">
        <is>
          <t>{"weightMultiplier":{"condition":{"timeRange":"night"},"multiplier":1.5}}</t>
        </is>
      </c>
      <c r="AT1530" s="19" t="inlineStr"/>
    </row>
    <row r="1531" ht="32" customHeight="1">
      <c r="A1531" s="18" t="inlineStr">
        <is>
          <t>0431_glameow.json::glameow-2::002</t>
        </is>
      </c>
      <c r="B1531" s="19" t="inlineStr">
        <is>
          <t>사용</t>
        </is>
      </c>
      <c r="C1531" s="18">
        <f>IF(OR(B1531&lt;&gt;AK1531,M1531&lt;&gt;L1531,O1531&lt;&gt;"",Q1531&lt;&gt;"",V1531&lt;&gt;1,Y1531&lt;&gt;"",AT1531&lt;&gt;""),"수정","원본")</f>
        <v/>
      </c>
      <c r="D1531" s="18" t="n">
        <v>431</v>
      </c>
      <c r="E1531" s="18" t="inlineStr">
        <is>
          <t>나옹마</t>
        </is>
      </c>
      <c r="F1531" s="18" t="inlineStr">
        <is>
          <t>glameow</t>
        </is>
      </c>
      <c r="G1531" s="18" t="inlineStr">
        <is>
          <t>glameow</t>
        </is>
      </c>
      <c r="H1531" s="18" t="inlineStr"/>
      <c r="I1531" s="18" t="n">
        <v>4</v>
      </c>
      <c r="J1531" s="18" t="n"/>
      <c r="K1531" s="18" t="n">
        <v>4</v>
      </c>
      <c r="L1531" s="18" t="inlineStr">
        <is>
          <t>cobbleventure:generation_4</t>
        </is>
      </c>
      <c r="M1531" s="19" t="inlineStr">
        <is>
          <t>cobbleventure:generation_4</t>
        </is>
      </c>
      <c r="N1531" s="18" t="inlineStr">
        <is>
          <t>region_01</t>
        </is>
      </c>
      <c r="O1531" s="19" t="inlineStr"/>
      <c r="P1531" s="18" t="inlineStr">
        <is>
          <t>#cobblemon:is_overworld</t>
        </is>
      </c>
      <c r="Q1531" s="19" t="inlineStr"/>
      <c r="R1531" s="18">
        <f>IF(Q1531="",P1531,Q1531)</f>
        <v/>
      </c>
      <c r="S1531" s="18" t="inlineStr">
        <is>
          <t>#cobblemon:is_arid; #cobblemon:is_freezing</t>
        </is>
      </c>
      <c r="T1531" s="18" t="inlineStr">
        <is>
          <t>common</t>
        </is>
      </c>
      <c r="U1531" s="20" t="n">
        <v>9</v>
      </c>
      <c r="V1531" s="21" t="n">
        <v>1</v>
      </c>
      <c r="W1531" s="20">
        <f>IF(OR(U1531="",V1531=""),U1531,U1531*V1531)</f>
        <v/>
      </c>
      <c r="X1531" s="18" t="inlineStr">
        <is>
          <t>6-31</t>
        </is>
      </c>
      <c r="Y1531" s="19" t="inlineStr"/>
      <c r="Z1531" s="18">
        <f>IF(Y1531="",X1531,Y1531)</f>
        <v/>
      </c>
      <c r="AA1531" s="18" t="inlineStr">
        <is>
          <t>grounded</t>
        </is>
      </c>
      <c r="AB1531" s="18" t="inlineStr"/>
      <c r="AC1531" s="18" t="inlineStr">
        <is>
          <t>비=False</t>
        </is>
      </c>
      <c r="AD1531" s="18" t="inlineStr"/>
      <c r="AE1531" s="18" t="inlineStr">
        <is>
          <t>sky 8-15</t>
        </is>
      </c>
      <c r="AF1531" s="18" t="inlineStr"/>
      <c r="AG1531" s="18" t="inlineStr">
        <is>
          <t>#minecraft:village</t>
        </is>
      </c>
      <c r="AH1531" s="18" t="inlineStr"/>
      <c r="AI1531" s="18" t="inlineStr"/>
      <c r="AJ1531" s="18" t="inlineStr">
        <is>
          <t>COBBLEVERSE 수정</t>
        </is>
      </c>
      <c r="AK1531" s="18" t="inlineStr">
        <is>
          <t>사용</t>
        </is>
      </c>
      <c r="AL1531" s="18" t="inlineStr">
        <is>
          <t>COBBLEVERSE 1.7.42 / DP v31</t>
        </is>
      </c>
      <c r="AM1531" s="18" t="inlineStr">
        <is>
          <t>data/cobblemon/spawn_pool_world/0431_glameow.json</t>
        </is>
      </c>
      <c r="AN1531" s="18" t="inlineStr">
        <is>
          <t>glameow-2</t>
        </is>
      </c>
      <c r="AO1531" s="18" t="inlineStr">
        <is>
          <t>pokemon</t>
        </is>
      </c>
      <c r="AP1531" s="18" t="inlineStr">
        <is>
          <t>natural</t>
        </is>
      </c>
      <c r="AQ1531" s="18" t="inlineStr">
        <is>
          <t>{"biomes":["#cobblemon:is_overworld"],"isRaining":false,"maxSkyLight":15,"minSkyLight":8,"structures":["#minecraft:village"]}</t>
        </is>
      </c>
      <c r="AR1531" s="18" t="inlineStr">
        <is>
          <t>{"biomes":["#cobblemon:is_arid","#cobblemon:is_freezing"]}</t>
        </is>
      </c>
      <c r="AS1531" s="18" t="inlineStr">
        <is>
          <t>{"weightMultiplier":{"condition":{"timeRange":"night"},"multiplier":1.5}}</t>
        </is>
      </c>
      <c r="AT1531" s="19" t="inlineStr"/>
    </row>
    <row r="1532" ht="32" customHeight="1">
      <c r="A1532" s="18" t="inlineStr">
        <is>
          <t>0431_glameow.json::glameow-3::003</t>
        </is>
      </c>
      <c r="B1532" s="19" t="inlineStr">
        <is>
          <t>사용</t>
        </is>
      </c>
      <c r="C1532" s="18">
        <f>IF(OR(B1532&lt;&gt;AK1532,M1532&lt;&gt;L1532,O1532&lt;&gt;"",Q1532&lt;&gt;"",V1532&lt;&gt;1,Y1532&lt;&gt;"",AT1532&lt;&gt;""),"수정","원본")</f>
        <v/>
      </c>
      <c r="D1532" s="18" t="n">
        <v>431</v>
      </c>
      <c r="E1532" s="18" t="inlineStr">
        <is>
          <t>나옹마</t>
        </is>
      </c>
      <c r="F1532" s="18" t="inlineStr">
        <is>
          <t>glameow</t>
        </is>
      </c>
      <c r="G1532" s="18" t="inlineStr">
        <is>
          <t>glameow</t>
        </is>
      </c>
      <c r="H1532" s="18" t="inlineStr"/>
      <c r="I1532" s="18" t="n">
        <v>4</v>
      </c>
      <c r="J1532" s="18" t="n"/>
      <c r="K1532" s="18" t="n">
        <v>4</v>
      </c>
      <c r="L1532" s="18" t="inlineStr">
        <is>
          <t>cobbleventure:generation_4</t>
        </is>
      </c>
      <c r="M1532" s="19" t="inlineStr">
        <is>
          <t>cobbleventure:generation_4</t>
        </is>
      </c>
      <c r="N1532" s="18" t="inlineStr">
        <is>
          <t>region_02</t>
        </is>
      </c>
      <c r="O1532" s="19" t="inlineStr"/>
      <c r="P1532" s="18" t="inlineStr">
        <is>
          <t>#cobblemon:is_arid; #cobblemon:is_freezing</t>
        </is>
      </c>
      <c r="Q1532" s="19" t="inlineStr"/>
      <c r="R1532" s="18">
        <f>IF(Q1532="",P1532,Q1532)</f>
        <v/>
      </c>
      <c r="S1532" s="18" t="inlineStr"/>
      <c r="T1532" s="18" t="inlineStr">
        <is>
          <t>common</t>
        </is>
      </c>
      <c r="U1532" s="20" t="n">
        <v>9</v>
      </c>
      <c r="V1532" s="21" t="n">
        <v>1</v>
      </c>
      <c r="W1532" s="20">
        <f>IF(OR(U1532="",V1532=""),U1532,U1532*V1532)</f>
        <v/>
      </c>
      <c r="X1532" s="18" t="inlineStr">
        <is>
          <t>6-31</t>
        </is>
      </c>
      <c r="Y1532" s="19" t="inlineStr"/>
      <c r="Z1532" s="18">
        <f>IF(Y1532="",X1532,Y1532)</f>
        <v/>
      </c>
      <c r="AA1532" s="18" t="inlineStr">
        <is>
          <t>grounded</t>
        </is>
      </c>
      <c r="AB1532" s="18" t="inlineStr"/>
      <c r="AC1532" s="18" t="inlineStr"/>
      <c r="AD1532" s="18" t="inlineStr"/>
      <c r="AE1532" s="18" t="inlineStr">
        <is>
          <t>sky 8-15</t>
        </is>
      </c>
      <c r="AF1532" s="18" t="inlineStr"/>
      <c r="AG1532" s="18" t="inlineStr"/>
      <c r="AH1532" s="18" t="inlineStr"/>
      <c r="AI1532" s="18" t="inlineStr"/>
      <c r="AJ1532" s="18" t="inlineStr">
        <is>
          <t>COBBLEVERSE 수정</t>
        </is>
      </c>
      <c r="AK1532" s="18" t="inlineStr">
        <is>
          <t>사용</t>
        </is>
      </c>
      <c r="AL1532" s="18" t="inlineStr">
        <is>
          <t>COBBLEVERSE 1.7.42 / DP v31</t>
        </is>
      </c>
      <c r="AM1532" s="18" t="inlineStr">
        <is>
          <t>data/cobblemon/spawn_pool_world/0431_glameow.json</t>
        </is>
      </c>
      <c r="AN1532" s="18" t="inlineStr">
        <is>
          <t>glameow-3</t>
        </is>
      </c>
      <c r="AO1532" s="18" t="inlineStr">
        <is>
          <t>pokemon</t>
        </is>
      </c>
      <c r="AP1532" s="18" t="inlineStr">
        <is>
          <t>natural</t>
        </is>
      </c>
      <c r="AQ1532" s="18" t="inlineStr">
        <is>
          <t>{"biomes":["#cobblemon:is_arid","#cobblemon:is_freezing"],"maxSkyLight":15,"minSkyLight":8}</t>
        </is>
      </c>
      <c r="AR1532" s="18" t="inlineStr"/>
      <c r="AS1532" s="18" t="inlineStr">
        <is>
          <t>{"weightMultiplier":{"condition":{"timeRange":"night"},"multiplier":1.5}}</t>
        </is>
      </c>
      <c r="AT1532" s="19" t="inlineStr"/>
    </row>
    <row r="1533" ht="32" customHeight="1">
      <c r="A1533" s="18" t="inlineStr">
        <is>
          <t>0431_glameow.json::glameow-4::004</t>
        </is>
      </c>
      <c r="B1533" s="19" t="inlineStr">
        <is>
          <t>사용</t>
        </is>
      </c>
      <c r="C1533" s="18">
        <f>IF(OR(B1533&lt;&gt;AK1533,M1533&lt;&gt;L1533,O1533&lt;&gt;"",Q1533&lt;&gt;"",V1533&lt;&gt;1,Y1533&lt;&gt;"",AT1533&lt;&gt;""),"수정","원본")</f>
        <v/>
      </c>
      <c r="D1533" s="18" t="n">
        <v>431</v>
      </c>
      <c r="E1533" s="18" t="inlineStr">
        <is>
          <t>나옹마</t>
        </is>
      </c>
      <c r="F1533" s="18" t="inlineStr">
        <is>
          <t>glameow</t>
        </is>
      </c>
      <c r="G1533" s="18" t="inlineStr">
        <is>
          <t>glameow</t>
        </is>
      </c>
      <c r="H1533" s="18" t="inlineStr"/>
      <c r="I1533" s="18" t="n">
        <v>4</v>
      </c>
      <c r="J1533" s="18" t="n"/>
      <c r="K1533" s="18" t="n">
        <v>4</v>
      </c>
      <c r="L1533" s="18" t="inlineStr">
        <is>
          <t>cobbleventure:generation_4</t>
        </is>
      </c>
      <c r="M1533" s="19" t="inlineStr">
        <is>
          <t>cobbleventure:generation_4</t>
        </is>
      </c>
      <c r="N1533" s="18" t="inlineStr">
        <is>
          <t>region_02</t>
        </is>
      </c>
      <c r="O1533" s="19" t="inlineStr"/>
      <c r="P1533" s="18" t="inlineStr">
        <is>
          <t>#cobblemon:is_arid; #cobblemon:is_freezing</t>
        </is>
      </c>
      <c r="Q1533" s="19" t="inlineStr"/>
      <c r="R1533" s="18">
        <f>IF(Q1533="",P1533,Q1533)</f>
        <v/>
      </c>
      <c r="S1533" s="18" t="inlineStr"/>
      <c r="T1533" s="18" t="inlineStr">
        <is>
          <t>common</t>
        </is>
      </c>
      <c r="U1533" s="20" t="n">
        <v>9</v>
      </c>
      <c r="V1533" s="21" t="n">
        <v>1</v>
      </c>
      <c r="W1533" s="20">
        <f>IF(OR(U1533="",V1533=""),U1533,U1533*V1533)</f>
        <v/>
      </c>
      <c r="X1533" s="18" t="inlineStr">
        <is>
          <t>6-31</t>
        </is>
      </c>
      <c r="Y1533" s="19" t="inlineStr"/>
      <c r="Z1533" s="18">
        <f>IF(Y1533="",X1533,Y1533)</f>
        <v/>
      </c>
      <c r="AA1533" s="18" t="inlineStr">
        <is>
          <t>grounded</t>
        </is>
      </c>
      <c r="AB1533" s="18" t="inlineStr"/>
      <c r="AC1533" s="18" t="inlineStr"/>
      <c r="AD1533" s="18" t="inlineStr"/>
      <c r="AE1533" s="18" t="inlineStr">
        <is>
          <t>sky 8-15</t>
        </is>
      </c>
      <c r="AF1533" s="18" t="inlineStr"/>
      <c r="AG1533" s="18" t="inlineStr">
        <is>
          <t>#minecraft:village</t>
        </is>
      </c>
      <c r="AH1533" s="18" t="inlineStr"/>
      <c r="AI1533" s="18" t="inlineStr"/>
      <c r="AJ1533" s="18" t="inlineStr">
        <is>
          <t>COBBLEVERSE 수정</t>
        </is>
      </c>
      <c r="AK1533" s="18" t="inlineStr">
        <is>
          <t>사용</t>
        </is>
      </c>
      <c r="AL1533" s="18" t="inlineStr">
        <is>
          <t>COBBLEVERSE 1.7.42 / DP v31</t>
        </is>
      </c>
      <c r="AM1533" s="18" t="inlineStr">
        <is>
          <t>data/cobblemon/spawn_pool_world/0431_glameow.json</t>
        </is>
      </c>
      <c r="AN1533" s="18" t="inlineStr">
        <is>
          <t>glameow-4</t>
        </is>
      </c>
      <c r="AO1533" s="18" t="inlineStr">
        <is>
          <t>pokemon</t>
        </is>
      </c>
      <c r="AP1533" s="18" t="inlineStr">
        <is>
          <t>natural</t>
        </is>
      </c>
      <c r="AQ1533" s="18" t="inlineStr">
        <is>
          <t>{"biomes":["#cobblemon:is_arid","#cobblemon:is_freezing"],"maxSkyLight":15,"minSkyLight":8,"structures":["#minecraft:village"]}</t>
        </is>
      </c>
      <c r="AR1533" s="18" t="inlineStr"/>
      <c r="AS1533" s="18" t="inlineStr">
        <is>
          <t>{"weightMultiplier":{"condition":{"timeRange":"night"},"multiplier":1.5}}</t>
        </is>
      </c>
      <c r="AT1533" s="19" t="inlineStr"/>
    </row>
    <row r="1534" ht="32" customHeight="1">
      <c r="A1534" s="18" t="inlineStr">
        <is>
          <t>0431_glameow.json::glameow-5::005</t>
        </is>
      </c>
      <c r="B1534" s="19" t="inlineStr">
        <is>
          <t>사용</t>
        </is>
      </c>
      <c r="C1534" s="18">
        <f>IF(OR(B1534&lt;&gt;AK1534,M1534&lt;&gt;L1534,O1534&lt;&gt;"",Q1534&lt;&gt;"",V1534&lt;&gt;1,Y1534&lt;&gt;"",AT1534&lt;&gt;""),"수정","원본")</f>
        <v/>
      </c>
      <c r="D1534" s="18" t="n">
        <v>431</v>
      </c>
      <c r="E1534" s="18" t="inlineStr">
        <is>
          <t>나옹마</t>
        </is>
      </c>
      <c r="F1534" s="18" t="inlineStr">
        <is>
          <t>glameow</t>
        </is>
      </c>
      <c r="G1534" s="18" t="inlineStr">
        <is>
          <t>glameow</t>
        </is>
      </c>
      <c r="H1534" s="18" t="inlineStr"/>
      <c r="I1534" s="18" t="n">
        <v>4</v>
      </c>
      <c r="J1534" s="18" t="n"/>
      <c r="K1534" s="18" t="n">
        <v>4</v>
      </c>
      <c r="L1534" s="18" t="inlineStr">
        <is>
          <t>cobbleventure:generation_4</t>
        </is>
      </c>
      <c r="M1534" s="19" t="inlineStr">
        <is>
          <t>cobbleventure:generation_4</t>
        </is>
      </c>
      <c r="N1534" s="18" t="inlineStr">
        <is>
          <t>region_01; region_02</t>
        </is>
      </c>
      <c r="O1534" s="19" t="inlineStr"/>
      <c r="P1534" s="18" t="inlineStr">
        <is>
          <t>#cobblemon:is_overworld</t>
        </is>
      </c>
      <c r="Q1534" s="19" t="inlineStr"/>
      <c r="R1534" s="18">
        <f>IF(Q1534="",P1534,Q1534)</f>
        <v/>
      </c>
      <c r="S1534" s="18" t="inlineStr"/>
      <c r="T1534" s="18" t="inlineStr">
        <is>
          <t>common</t>
        </is>
      </c>
      <c r="U1534" s="20" t="n">
        <v>5.4</v>
      </c>
      <c r="V1534" s="21" t="n">
        <v>1</v>
      </c>
      <c r="W1534" s="20">
        <f>IF(OR(U1534="",V1534=""),U1534,U1534*V1534)</f>
        <v/>
      </c>
      <c r="X1534" s="18" t="inlineStr">
        <is>
          <t>6-31</t>
        </is>
      </c>
      <c r="Y1534" s="19" t="inlineStr"/>
      <c r="Z1534" s="18">
        <f>IF(Y1534="",X1534,Y1534)</f>
        <v/>
      </c>
      <c r="AA1534" s="18" t="inlineStr">
        <is>
          <t>grounded</t>
        </is>
      </c>
      <c r="AB1534" s="18" t="inlineStr"/>
      <c r="AC1534" s="18" t="inlineStr"/>
      <c r="AD1534" s="18" t="inlineStr"/>
      <c r="AE1534" s="18" t="inlineStr"/>
      <c r="AF1534" s="18" t="inlineStr">
        <is>
          <t>False</t>
        </is>
      </c>
      <c r="AG1534" s="18" t="inlineStr"/>
      <c r="AH1534" s="18" t="inlineStr"/>
      <c r="AI1534" s="18" t="inlineStr"/>
      <c r="AJ1534" s="18" t="inlineStr">
        <is>
          <t>COBBLEVERSE 수정</t>
        </is>
      </c>
      <c r="AK1534" s="18" t="inlineStr">
        <is>
          <t>사용</t>
        </is>
      </c>
      <c r="AL1534" s="18" t="inlineStr">
        <is>
          <t>COBBLEVERSE 1.7.42 / DP v31</t>
        </is>
      </c>
      <c r="AM1534" s="18" t="inlineStr">
        <is>
          <t>data/cobblemon/spawn_pool_world/0431_glameow.json</t>
        </is>
      </c>
      <c r="AN1534" s="18" t="inlineStr">
        <is>
          <t>glameow-5</t>
        </is>
      </c>
      <c r="AO1534" s="18" t="inlineStr">
        <is>
          <t>pokemon</t>
        </is>
      </c>
      <c r="AP1534" s="18" t="inlineStr">
        <is>
          <t>mansion</t>
        </is>
      </c>
      <c r="AQ1534" s="18" t="inlineStr">
        <is>
          <t>{"biomes":["#cobblemon:is_overworld"],"canSeeSky":false}</t>
        </is>
      </c>
      <c r="AR1534" s="18" t="inlineStr"/>
      <c r="AS1534" s="18" t="inlineStr"/>
      <c r="AT1534" s="19" t="inlineStr"/>
    </row>
    <row r="1535" ht="32" customHeight="1">
      <c r="A1535" s="18" t="inlineStr">
        <is>
          <t>0432_purugly.json::purugly-1::001</t>
        </is>
      </c>
      <c r="B1535" s="19" t="inlineStr">
        <is>
          <t>사용</t>
        </is>
      </c>
      <c r="C1535" s="18">
        <f>IF(OR(B1535&lt;&gt;AK1535,M1535&lt;&gt;L1535,O1535&lt;&gt;"",Q1535&lt;&gt;"",V1535&lt;&gt;1,Y1535&lt;&gt;"",AT1535&lt;&gt;""),"수정","원본")</f>
        <v/>
      </c>
      <c r="D1535" s="18" t="n">
        <v>432</v>
      </c>
      <c r="E1535" s="18" t="inlineStr">
        <is>
          <t>몬냥이</t>
        </is>
      </c>
      <c r="F1535" s="18" t="inlineStr">
        <is>
          <t>purugly</t>
        </is>
      </c>
      <c r="G1535" s="18" t="inlineStr">
        <is>
          <t>purugly</t>
        </is>
      </c>
      <c r="H1535" s="18" t="inlineStr"/>
      <c r="I1535" s="18" t="n">
        <v>4</v>
      </c>
      <c r="J1535" s="18" t="n"/>
      <c r="K1535" s="18" t="n">
        <v>4</v>
      </c>
      <c r="L1535" s="18" t="inlineStr">
        <is>
          <t>cobbleventure:generation_4</t>
        </is>
      </c>
      <c r="M1535" s="19" t="inlineStr">
        <is>
          <t>cobbleventure:generation_4</t>
        </is>
      </c>
      <c r="N1535" s="18" t="inlineStr">
        <is>
          <t>region_01</t>
        </is>
      </c>
      <c r="O1535" s="19" t="inlineStr"/>
      <c r="P1535" s="18" t="inlineStr">
        <is>
          <t>#cobblemon:is_overworld</t>
        </is>
      </c>
      <c r="Q1535" s="19" t="inlineStr"/>
      <c r="R1535" s="18">
        <f>IF(Q1535="",P1535,Q1535)</f>
        <v/>
      </c>
      <c r="S1535" s="18" t="inlineStr">
        <is>
          <t>#cobblemon:is_arid; #cobblemon:is_freezing</t>
        </is>
      </c>
      <c r="T1535" s="18" t="inlineStr">
        <is>
          <t>common</t>
        </is>
      </c>
      <c r="U1535" s="20" t="n">
        <v>1</v>
      </c>
      <c r="V1535" s="21" t="n">
        <v>1</v>
      </c>
      <c r="W1535" s="20">
        <f>IF(OR(U1535="",V1535=""),U1535,U1535*V1535)</f>
        <v/>
      </c>
      <c r="X1535" s="18" t="inlineStr">
        <is>
          <t>38-45</t>
        </is>
      </c>
      <c r="Y1535" s="19" t="inlineStr"/>
      <c r="Z1535" s="18">
        <f>IF(Y1535="",X1535,Y1535)</f>
        <v/>
      </c>
      <c r="AA1535" s="18" t="inlineStr">
        <is>
          <t>grounded</t>
        </is>
      </c>
      <c r="AB1535" s="18" t="inlineStr"/>
      <c r="AC1535" s="18" t="inlineStr">
        <is>
          <t>비=False</t>
        </is>
      </c>
      <c r="AD1535" s="18" t="inlineStr"/>
      <c r="AE1535" s="18" t="inlineStr">
        <is>
          <t>sky 8-15</t>
        </is>
      </c>
      <c r="AF1535" s="18" t="inlineStr"/>
      <c r="AG1535" s="18" t="inlineStr"/>
      <c r="AH1535" s="18" t="inlineStr"/>
      <c r="AI1535" s="18" t="inlineStr"/>
      <c r="AJ1535" s="18" t="inlineStr">
        <is>
          <t>COBBLEVERSE 수정</t>
        </is>
      </c>
      <c r="AK1535" s="18" t="inlineStr">
        <is>
          <t>사용</t>
        </is>
      </c>
      <c r="AL1535" s="18" t="inlineStr">
        <is>
          <t>COBBLEVERSE 1.7.42 / DP v31</t>
        </is>
      </c>
      <c r="AM1535" s="18" t="inlineStr">
        <is>
          <t>data/cobblemon/spawn_pool_world/0432_purugly.json</t>
        </is>
      </c>
      <c r="AN1535" s="18" t="inlineStr">
        <is>
          <t>purugly-1</t>
        </is>
      </c>
      <c r="AO1535" s="18" t="inlineStr">
        <is>
          <t>pokemon</t>
        </is>
      </c>
      <c r="AP1535" s="18" t="inlineStr">
        <is>
          <t>natural</t>
        </is>
      </c>
      <c r="AQ1535" s="18" t="inlineStr">
        <is>
          <t>{"biomes":["#cobblemon:is_overworld"],"isRaining":false,"maxSkyLight":15,"minSkyLight":8}</t>
        </is>
      </c>
      <c r="AR1535" s="18" t="inlineStr">
        <is>
          <t>{"biomes":["#cobblemon:is_arid","#cobblemon:is_freezing"]}</t>
        </is>
      </c>
      <c r="AS1535" s="18" t="inlineStr">
        <is>
          <t>{"weightMultiplier":{"condition":{"timeRange":"night"},"multiplier":1.5}}</t>
        </is>
      </c>
      <c r="AT1535" s="19" t="inlineStr"/>
    </row>
    <row r="1536" ht="32" customHeight="1">
      <c r="A1536" s="18" t="inlineStr">
        <is>
          <t>0432_purugly.json::purugly-2::002</t>
        </is>
      </c>
      <c r="B1536" s="19" t="inlineStr">
        <is>
          <t>사용</t>
        </is>
      </c>
      <c r="C1536" s="18">
        <f>IF(OR(B1536&lt;&gt;AK1536,M1536&lt;&gt;L1536,O1536&lt;&gt;"",Q1536&lt;&gt;"",V1536&lt;&gt;1,Y1536&lt;&gt;"",AT1536&lt;&gt;""),"수정","원본")</f>
        <v/>
      </c>
      <c r="D1536" s="18" t="n">
        <v>432</v>
      </c>
      <c r="E1536" s="18" t="inlineStr">
        <is>
          <t>몬냥이</t>
        </is>
      </c>
      <c r="F1536" s="18" t="inlineStr">
        <is>
          <t>purugly</t>
        </is>
      </c>
      <c r="G1536" s="18" t="inlineStr">
        <is>
          <t>purugly</t>
        </is>
      </c>
      <c r="H1536" s="18" t="inlineStr"/>
      <c r="I1536" s="18" t="n">
        <v>4</v>
      </c>
      <c r="J1536" s="18" t="n"/>
      <c r="K1536" s="18" t="n">
        <v>4</v>
      </c>
      <c r="L1536" s="18" t="inlineStr">
        <is>
          <t>cobbleventure:generation_4</t>
        </is>
      </c>
      <c r="M1536" s="19" t="inlineStr">
        <is>
          <t>cobbleventure:generation_4</t>
        </is>
      </c>
      <c r="N1536" s="18" t="inlineStr">
        <is>
          <t>region_01</t>
        </is>
      </c>
      <c r="O1536" s="19" t="inlineStr"/>
      <c r="P1536" s="18" t="inlineStr">
        <is>
          <t>#cobblemon:is_overworld</t>
        </is>
      </c>
      <c r="Q1536" s="19" t="inlineStr"/>
      <c r="R1536" s="18">
        <f>IF(Q1536="",P1536,Q1536)</f>
        <v/>
      </c>
      <c r="S1536" s="18" t="inlineStr">
        <is>
          <t>#cobblemon:is_arid; #cobblemon:is_freezing</t>
        </is>
      </c>
      <c r="T1536" s="18" t="inlineStr">
        <is>
          <t>common</t>
        </is>
      </c>
      <c r="U1536" s="20" t="n">
        <v>1</v>
      </c>
      <c r="V1536" s="21" t="n">
        <v>1</v>
      </c>
      <c r="W1536" s="20">
        <f>IF(OR(U1536="",V1536=""),U1536,U1536*V1536)</f>
        <v/>
      </c>
      <c r="X1536" s="18" t="inlineStr">
        <is>
          <t>38-45</t>
        </is>
      </c>
      <c r="Y1536" s="19" t="inlineStr"/>
      <c r="Z1536" s="18">
        <f>IF(Y1536="",X1536,Y1536)</f>
        <v/>
      </c>
      <c r="AA1536" s="18" t="inlineStr">
        <is>
          <t>grounded</t>
        </is>
      </c>
      <c r="AB1536" s="18" t="inlineStr"/>
      <c r="AC1536" s="18" t="inlineStr">
        <is>
          <t>비=False</t>
        </is>
      </c>
      <c r="AD1536" s="18" t="inlineStr"/>
      <c r="AE1536" s="18" t="inlineStr">
        <is>
          <t>sky 8-15</t>
        </is>
      </c>
      <c r="AF1536" s="18" t="inlineStr"/>
      <c r="AG1536" s="18" t="inlineStr">
        <is>
          <t>#minecraft:village</t>
        </is>
      </c>
      <c r="AH1536" s="18" t="inlineStr"/>
      <c r="AI1536" s="18" t="inlineStr"/>
      <c r="AJ1536" s="18" t="inlineStr">
        <is>
          <t>COBBLEVERSE 수정</t>
        </is>
      </c>
      <c r="AK1536" s="18" t="inlineStr">
        <is>
          <t>사용</t>
        </is>
      </c>
      <c r="AL1536" s="18" t="inlineStr">
        <is>
          <t>COBBLEVERSE 1.7.42 / DP v31</t>
        </is>
      </c>
      <c r="AM1536" s="18" t="inlineStr">
        <is>
          <t>data/cobblemon/spawn_pool_world/0432_purugly.json</t>
        </is>
      </c>
      <c r="AN1536" s="18" t="inlineStr">
        <is>
          <t>purugly-2</t>
        </is>
      </c>
      <c r="AO1536" s="18" t="inlineStr">
        <is>
          <t>pokemon</t>
        </is>
      </c>
      <c r="AP1536" s="18" t="inlineStr">
        <is>
          <t>natural</t>
        </is>
      </c>
      <c r="AQ1536" s="18" t="inlineStr">
        <is>
          <t>{"biomes":["#cobblemon:is_overworld"],"isRaining":false,"maxSkyLight":15,"minSkyLight":8,"structures":["#minecraft:village"]}</t>
        </is>
      </c>
      <c r="AR1536" s="18" t="inlineStr">
        <is>
          <t>{"biomes":["#cobblemon:is_arid","#cobblemon:is_freezing"]}</t>
        </is>
      </c>
      <c r="AS1536" s="18" t="inlineStr">
        <is>
          <t>{"weightMultiplier":{"condition":{"timeRange":"night"},"multiplier":1.5}}</t>
        </is>
      </c>
      <c r="AT1536" s="19" t="inlineStr"/>
    </row>
    <row r="1537" ht="32" customHeight="1">
      <c r="A1537" s="18" t="inlineStr">
        <is>
          <t>0432_purugly.json::purugly-3::003</t>
        </is>
      </c>
      <c r="B1537" s="19" t="inlineStr">
        <is>
          <t>사용</t>
        </is>
      </c>
      <c r="C1537" s="18">
        <f>IF(OR(B1537&lt;&gt;AK1537,M1537&lt;&gt;L1537,O1537&lt;&gt;"",Q1537&lt;&gt;"",V1537&lt;&gt;1,Y1537&lt;&gt;"",AT1537&lt;&gt;""),"수정","원본")</f>
        <v/>
      </c>
      <c r="D1537" s="18" t="n">
        <v>432</v>
      </c>
      <c r="E1537" s="18" t="inlineStr">
        <is>
          <t>몬냥이</t>
        </is>
      </c>
      <c r="F1537" s="18" t="inlineStr">
        <is>
          <t>purugly</t>
        </is>
      </c>
      <c r="G1537" s="18" t="inlineStr">
        <is>
          <t>purugly</t>
        </is>
      </c>
      <c r="H1537" s="18" t="inlineStr"/>
      <c r="I1537" s="18" t="n">
        <v>4</v>
      </c>
      <c r="J1537" s="18" t="n"/>
      <c r="K1537" s="18" t="n">
        <v>4</v>
      </c>
      <c r="L1537" s="18" t="inlineStr">
        <is>
          <t>cobbleventure:generation_4</t>
        </is>
      </c>
      <c r="M1537" s="19" t="inlineStr">
        <is>
          <t>cobbleventure:generation_4</t>
        </is>
      </c>
      <c r="N1537" s="18" t="inlineStr">
        <is>
          <t>region_02</t>
        </is>
      </c>
      <c r="O1537" s="19" t="inlineStr"/>
      <c r="P1537" s="18" t="inlineStr">
        <is>
          <t>#cobblemon:is_arid; #cobblemon:is_freezing</t>
        </is>
      </c>
      <c r="Q1537" s="19" t="inlineStr"/>
      <c r="R1537" s="18">
        <f>IF(Q1537="",P1537,Q1537)</f>
        <v/>
      </c>
      <c r="S1537" s="18" t="inlineStr"/>
      <c r="T1537" s="18" t="inlineStr">
        <is>
          <t>common</t>
        </is>
      </c>
      <c r="U1537" s="20" t="n">
        <v>1</v>
      </c>
      <c r="V1537" s="21" t="n">
        <v>1</v>
      </c>
      <c r="W1537" s="20">
        <f>IF(OR(U1537="",V1537=""),U1537,U1537*V1537)</f>
        <v/>
      </c>
      <c r="X1537" s="18" t="inlineStr">
        <is>
          <t>38-45</t>
        </is>
      </c>
      <c r="Y1537" s="19" t="inlineStr"/>
      <c r="Z1537" s="18">
        <f>IF(Y1537="",X1537,Y1537)</f>
        <v/>
      </c>
      <c r="AA1537" s="18" t="inlineStr">
        <is>
          <t>grounded</t>
        </is>
      </c>
      <c r="AB1537" s="18" t="inlineStr"/>
      <c r="AC1537" s="18" t="inlineStr"/>
      <c r="AD1537" s="18" t="inlineStr"/>
      <c r="AE1537" s="18" t="inlineStr">
        <is>
          <t>sky 8-15</t>
        </is>
      </c>
      <c r="AF1537" s="18" t="inlineStr"/>
      <c r="AG1537" s="18" t="inlineStr"/>
      <c r="AH1537" s="18" t="inlineStr"/>
      <c r="AI1537" s="18" t="inlineStr"/>
      <c r="AJ1537" s="18" t="inlineStr">
        <is>
          <t>COBBLEVERSE 수정</t>
        </is>
      </c>
      <c r="AK1537" s="18" t="inlineStr">
        <is>
          <t>사용</t>
        </is>
      </c>
      <c r="AL1537" s="18" t="inlineStr">
        <is>
          <t>COBBLEVERSE 1.7.42 / DP v31</t>
        </is>
      </c>
      <c r="AM1537" s="18" t="inlineStr">
        <is>
          <t>data/cobblemon/spawn_pool_world/0432_purugly.json</t>
        </is>
      </c>
      <c r="AN1537" s="18" t="inlineStr">
        <is>
          <t>purugly-3</t>
        </is>
      </c>
      <c r="AO1537" s="18" t="inlineStr">
        <is>
          <t>pokemon</t>
        </is>
      </c>
      <c r="AP1537" s="18" t="inlineStr">
        <is>
          <t>natural</t>
        </is>
      </c>
      <c r="AQ1537" s="18" t="inlineStr">
        <is>
          <t>{"biomes":["#cobblemon:is_arid","#cobblemon:is_freezing"],"maxSkyLight":15,"minSkyLight":8}</t>
        </is>
      </c>
      <c r="AR1537" s="18" t="inlineStr"/>
      <c r="AS1537" s="18" t="inlineStr">
        <is>
          <t>{"weightMultiplier":{"condition":{"timeRange":"night"},"multiplier":1.5}}</t>
        </is>
      </c>
      <c r="AT1537" s="19" t="inlineStr"/>
    </row>
    <row r="1538" ht="32" customHeight="1">
      <c r="A1538" s="18" t="inlineStr">
        <is>
          <t>0432_purugly.json::purugly-4::004</t>
        </is>
      </c>
      <c r="B1538" s="19" t="inlineStr">
        <is>
          <t>사용</t>
        </is>
      </c>
      <c r="C1538" s="18">
        <f>IF(OR(B1538&lt;&gt;AK1538,M1538&lt;&gt;L1538,O1538&lt;&gt;"",Q1538&lt;&gt;"",V1538&lt;&gt;1,Y1538&lt;&gt;"",AT1538&lt;&gt;""),"수정","원본")</f>
        <v/>
      </c>
      <c r="D1538" s="18" t="n">
        <v>432</v>
      </c>
      <c r="E1538" s="18" t="inlineStr">
        <is>
          <t>몬냥이</t>
        </is>
      </c>
      <c r="F1538" s="18" t="inlineStr">
        <is>
          <t>purugly</t>
        </is>
      </c>
      <c r="G1538" s="18" t="inlineStr">
        <is>
          <t>purugly</t>
        </is>
      </c>
      <c r="H1538" s="18" t="inlineStr"/>
      <c r="I1538" s="18" t="n">
        <v>4</v>
      </c>
      <c r="J1538" s="18" t="n"/>
      <c r="K1538" s="18" t="n">
        <v>4</v>
      </c>
      <c r="L1538" s="18" t="inlineStr">
        <is>
          <t>cobbleventure:generation_4</t>
        </is>
      </c>
      <c r="M1538" s="19" t="inlineStr">
        <is>
          <t>cobbleventure:generation_4</t>
        </is>
      </c>
      <c r="N1538" s="18" t="inlineStr">
        <is>
          <t>region_02</t>
        </is>
      </c>
      <c r="O1538" s="19" t="inlineStr"/>
      <c r="P1538" s="18" t="inlineStr">
        <is>
          <t>#cobblemon:is_arid; #cobblemon:is_freezing</t>
        </is>
      </c>
      <c r="Q1538" s="19" t="inlineStr"/>
      <c r="R1538" s="18">
        <f>IF(Q1538="",P1538,Q1538)</f>
        <v/>
      </c>
      <c r="S1538" s="18" t="inlineStr"/>
      <c r="T1538" s="18" t="inlineStr">
        <is>
          <t>common</t>
        </is>
      </c>
      <c r="U1538" s="20" t="n">
        <v>1</v>
      </c>
      <c r="V1538" s="21" t="n">
        <v>1</v>
      </c>
      <c r="W1538" s="20">
        <f>IF(OR(U1538="",V1538=""),U1538,U1538*V1538)</f>
        <v/>
      </c>
      <c r="X1538" s="18" t="inlineStr">
        <is>
          <t>38-45</t>
        </is>
      </c>
      <c r="Y1538" s="19" t="inlineStr"/>
      <c r="Z1538" s="18">
        <f>IF(Y1538="",X1538,Y1538)</f>
        <v/>
      </c>
      <c r="AA1538" s="18" t="inlineStr">
        <is>
          <t>grounded</t>
        </is>
      </c>
      <c r="AB1538" s="18" t="inlineStr"/>
      <c r="AC1538" s="18" t="inlineStr"/>
      <c r="AD1538" s="18" t="inlineStr"/>
      <c r="AE1538" s="18" t="inlineStr">
        <is>
          <t>sky 8-15</t>
        </is>
      </c>
      <c r="AF1538" s="18" t="inlineStr"/>
      <c r="AG1538" s="18" t="inlineStr">
        <is>
          <t>#minecraft:village</t>
        </is>
      </c>
      <c r="AH1538" s="18" t="inlineStr"/>
      <c r="AI1538" s="18" t="inlineStr"/>
      <c r="AJ1538" s="18" t="inlineStr">
        <is>
          <t>COBBLEVERSE 수정</t>
        </is>
      </c>
      <c r="AK1538" s="18" t="inlineStr">
        <is>
          <t>사용</t>
        </is>
      </c>
      <c r="AL1538" s="18" t="inlineStr">
        <is>
          <t>COBBLEVERSE 1.7.42 / DP v31</t>
        </is>
      </c>
      <c r="AM1538" s="18" t="inlineStr">
        <is>
          <t>data/cobblemon/spawn_pool_world/0432_purugly.json</t>
        </is>
      </c>
      <c r="AN1538" s="18" t="inlineStr">
        <is>
          <t>purugly-4</t>
        </is>
      </c>
      <c r="AO1538" s="18" t="inlineStr">
        <is>
          <t>pokemon</t>
        </is>
      </c>
      <c r="AP1538" s="18" t="inlineStr">
        <is>
          <t>natural</t>
        </is>
      </c>
      <c r="AQ1538" s="18" t="inlineStr">
        <is>
          <t>{"biomes":["#cobblemon:is_arid","#cobblemon:is_freezing"],"maxSkyLight":15,"minSkyLight":8,"structures":["#minecraft:village"]}</t>
        </is>
      </c>
      <c r="AR1538" s="18" t="inlineStr"/>
      <c r="AS1538" s="18" t="inlineStr">
        <is>
          <t>{"weightMultiplier":{"condition":{"timeRange":"night"},"multiplier":1.5}}</t>
        </is>
      </c>
      <c r="AT1538" s="19" t="inlineStr"/>
    </row>
    <row r="1539" ht="32" customHeight="1">
      <c r="A1539" s="18" t="inlineStr">
        <is>
          <t>0432_purugly.json::purugly-5::005</t>
        </is>
      </c>
      <c r="B1539" s="19" t="inlineStr">
        <is>
          <t>사용</t>
        </is>
      </c>
      <c r="C1539" s="18">
        <f>IF(OR(B1539&lt;&gt;AK1539,M1539&lt;&gt;L1539,O1539&lt;&gt;"",Q1539&lt;&gt;"",V1539&lt;&gt;1,Y1539&lt;&gt;"",AT1539&lt;&gt;""),"수정","원본")</f>
        <v/>
      </c>
      <c r="D1539" s="18" t="n">
        <v>432</v>
      </c>
      <c r="E1539" s="18" t="inlineStr">
        <is>
          <t>몬냥이</t>
        </is>
      </c>
      <c r="F1539" s="18" t="inlineStr">
        <is>
          <t>purugly</t>
        </is>
      </c>
      <c r="G1539" s="18" t="inlineStr">
        <is>
          <t>purugly</t>
        </is>
      </c>
      <c r="H1539" s="18" t="inlineStr"/>
      <c r="I1539" s="18" t="n">
        <v>4</v>
      </c>
      <c r="J1539" s="18" t="n"/>
      <c r="K1539" s="18" t="n">
        <v>4</v>
      </c>
      <c r="L1539" s="18" t="inlineStr">
        <is>
          <t>cobbleventure:generation_4</t>
        </is>
      </c>
      <c r="M1539" s="19" t="inlineStr">
        <is>
          <t>cobbleventure:generation_4</t>
        </is>
      </c>
      <c r="N1539" s="18" t="inlineStr">
        <is>
          <t>region_01; region_02</t>
        </is>
      </c>
      <c r="O1539" s="19" t="inlineStr"/>
      <c r="P1539" s="18" t="inlineStr">
        <is>
          <t>#cobblemon:is_overworld</t>
        </is>
      </c>
      <c r="Q1539" s="19" t="inlineStr"/>
      <c r="R1539" s="18">
        <f>IF(Q1539="",P1539,Q1539)</f>
        <v/>
      </c>
      <c r="S1539" s="18" t="inlineStr"/>
      <c r="T1539" s="18" t="inlineStr">
        <is>
          <t>common</t>
        </is>
      </c>
      <c r="U1539" s="20" t="n">
        <v>0.6</v>
      </c>
      <c r="V1539" s="21" t="n">
        <v>1</v>
      </c>
      <c r="W1539" s="20">
        <f>IF(OR(U1539="",V1539=""),U1539,U1539*V1539)</f>
        <v/>
      </c>
      <c r="X1539" s="18" t="inlineStr">
        <is>
          <t>38-45</t>
        </is>
      </c>
      <c r="Y1539" s="19" t="inlineStr"/>
      <c r="Z1539" s="18">
        <f>IF(Y1539="",X1539,Y1539)</f>
        <v/>
      </c>
      <c r="AA1539" s="18" t="inlineStr">
        <is>
          <t>grounded</t>
        </is>
      </c>
      <c r="AB1539" s="18" t="inlineStr"/>
      <c r="AC1539" s="18" t="inlineStr"/>
      <c r="AD1539" s="18" t="inlineStr"/>
      <c r="AE1539" s="18" t="inlineStr"/>
      <c r="AF1539" s="18" t="inlineStr">
        <is>
          <t>False</t>
        </is>
      </c>
      <c r="AG1539" s="18" t="inlineStr"/>
      <c r="AH1539" s="18" t="inlineStr"/>
      <c r="AI1539" s="18" t="inlineStr"/>
      <c r="AJ1539" s="18" t="inlineStr">
        <is>
          <t>COBBLEVERSE 수정</t>
        </is>
      </c>
      <c r="AK1539" s="18" t="inlineStr">
        <is>
          <t>사용</t>
        </is>
      </c>
      <c r="AL1539" s="18" t="inlineStr">
        <is>
          <t>COBBLEVERSE 1.7.42 / DP v31</t>
        </is>
      </c>
      <c r="AM1539" s="18" t="inlineStr">
        <is>
          <t>data/cobblemon/spawn_pool_world/0432_purugly.json</t>
        </is>
      </c>
      <c r="AN1539" s="18" t="inlineStr">
        <is>
          <t>purugly-5</t>
        </is>
      </c>
      <c r="AO1539" s="18" t="inlineStr">
        <is>
          <t>pokemon</t>
        </is>
      </c>
      <c r="AP1539" s="18" t="inlineStr">
        <is>
          <t>mansion</t>
        </is>
      </c>
      <c r="AQ1539" s="18" t="inlineStr">
        <is>
          <t>{"biomes":["#cobblemon:is_overworld"],"canSeeSky":false}</t>
        </is>
      </c>
      <c r="AR1539" s="18" t="inlineStr"/>
      <c r="AS1539" s="18" t="inlineStr"/>
      <c r="AT1539" s="19" t="inlineStr"/>
    </row>
    <row r="1540" ht="32" customHeight="1">
      <c r="A1540" s="18" t="inlineStr">
        <is>
          <t>0433_chingling.json::chingling-1::001</t>
        </is>
      </c>
      <c r="B1540" s="19" t="inlineStr">
        <is>
          <t>사용</t>
        </is>
      </c>
      <c r="C1540" s="18">
        <f>IF(OR(B1540&lt;&gt;AK1540,M1540&lt;&gt;L1540,O1540&lt;&gt;"",Q1540&lt;&gt;"",V1540&lt;&gt;1,Y1540&lt;&gt;"",AT1540&lt;&gt;""),"수정","원본")</f>
        <v/>
      </c>
      <c r="D1540" s="18" t="n">
        <v>433</v>
      </c>
      <c r="E1540" s="18" t="inlineStr">
        <is>
          <t>랑딸랑</t>
        </is>
      </c>
      <c r="F1540" s="18" t="inlineStr">
        <is>
          <t>chingling</t>
        </is>
      </c>
      <c r="G1540" s="18" t="inlineStr">
        <is>
          <t>chingling</t>
        </is>
      </c>
      <c r="H1540" s="18" t="inlineStr"/>
      <c r="I1540" s="18" t="n">
        <v>4</v>
      </c>
      <c r="J1540" s="18" t="n"/>
      <c r="K1540" s="18" t="n">
        <v>4</v>
      </c>
      <c r="L1540" s="18" t="inlineStr">
        <is>
          <t>cobbleventure:generation_4</t>
        </is>
      </c>
      <c r="M1540" s="19" t="inlineStr">
        <is>
          <t>cobbleventure:generation_4</t>
        </is>
      </c>
      <c r="N1540" s="18" t="inlineStr">
        <is>
          <t>region_01</t>
        </is>
      </c>
      <c r="O1540" s="19" t="inlineStr"/>
      <c r="P1540" s="18" t="inlineStr">
        <is>
          <t>#cobblemon:is_forest; #cobblemon:is_mountain; #cobblemon:is_spooky; #cobblemon:is_taiga</t>
        </is>
      </c>
      <c r="Q1540" s="19" t="inlineStr"/>
      <c r="R1540" s="18">
        <f>IF(Q1540="",P1540,Q1540)</f>
        <v/>
      </c>
      <c r="S1540" s="18" t="inlineStr"/>
      <c r="T1540" s="18" t="inlineStr">
        <is>
          <t>uncommon</t>
        </is>
      </c>
      <c r="U1540" s="20" t="n">
        <v>1.68</v>
      </c>
      <c r="V1540" s="21" t="n">
        <v>1</v>
      </c>
      <c r="W1540" s="20">
        <f>IF(OR(U1540="",V1540=""),U1540,U1540*V1540)</f>
        <v/>
      </c>
      <c r="X1540" s="18" t="inlineStr">
        <is>
          <t>4-29</t>
        </is>
      </c>
      <c r="Y1540" s="19" t="inlineStr"/>
      <c r="Z1540" s="18">
        <f>IF(Y1540="",X1540,Y1540)</f>
        <v/>
      </c>
      <c r="AA1540" s="18" t="inlineStr">
        <is>
          <t>grounded</t>
        </is>
      </c>
      <c r="AB1540" s="18" t="inlineStr">
        <is>
          <t>night</t>
        </is>
      </c>
      <c r="AC1540" s="18" t="inlineStr"/>
      <c r="AD1540" s="18" t="inlineStr"/>
      <c r="AE1540" s="18" t="inlineStr">
        <is>
          <t>sky 8-15</t>
        </is>
      </c>
      <c r="AF1540" s="18" t="inlineStr"/>
      <c r="AG1540" s="18" t="inlineStr"/>
      <c r="AH1540" s="18" t="inlineStr"/>
      <c r="AI1540" s="18" t="inlineStr"/>
      <c r="AJ1540" s="18" t="inlineStr">
        <is>
          <t>Cobblemon 동일</t>
        </is>
      </c>
      <c r="AK1540" s="18" t="inlineStr">
        <is>
          <t>사용</t>
        </is>
      </c>
      <c r="AL1540" s="18" t="inlineStr">
        <is>
          <t>COBBLEVERSE 1.7.42 / DP v31</t>
        </is>
      </c>
      <c r="AM1540" s="18" t="inlineStr">
        <is>
          <t>data/cobblemon/spawn_pool_world/0433_chingling.json</t>
        </is>
      </c>
      <c r="AN1540" s="18" t="inlineStr">
        <is>
          <t>chingling-1</t>
        </is>
      </c>
      <c r="AO1540" s="18" t="inlineStr">
        <is>
          <t>pokemon</t>
        </is>
      </c>
      <c r="AP1540" s="18" t="inlineStr">
        <is>
          <t>natural</t>
        </is>
      </c>
      <c r="AQ1540" s="18" t="inlineStr">
        <is>
          <t>{"biomes":["#cobblemon:is_forest","#cobblemon:is_mountain","#cobblemon:is_spooky","#cobblemon:is_taiga"],"maxSkyLight":15,"minSkyLight":8,"timeRange":"night"}</t>
        </is>
      </c>
      <c r="AR1540" s="18" t="inlineStr"/>
      <c r="AS1540" s="18" t="inlineStr"/>
      <c r="AT1540" s="19" t="inlineStr"/>
    </row>
    <row r="1541" ht="32" customHeight="1">
      <c r="A1541" s="18" t="inlineStr">
        <is>
          <t>0433_chingling.json::chingling-2::002</t>
        </is>
      </c>
      <c r="B1541" s="19" t="inlineStr">
        <is>
          <t>사용</t>
        </is>
      </c>
      <c r="C1541" s="18">
        <f>IF(OR(B1541&lt;&gt;AK1541,M1541&lt;&gt;L1541,O1541&lt;&gt;"",Q1541&lt;&gt;"",V1541&lt;&gt;1,Y1541&lt;&gt;"",AT1541&lt;&gt;""),"수정","원본")</f>
        <v/>
      </c>
      <c r="D1541" s="18" t="n">
        <v>433</v>
      </c>
      <c r="E1541" s="18" t="inlineStr">
        <is>
          <t>랑딸랑</t>
        </is>
      </c>
      <c r="F1541" s="18" t="inlineStr">
        <is>
          <t>chingling</t>
        </is>
      </c>
      <c r="G1541" s="18" t="inlineStr">
        <is>
          <t>chingling</t>
        </is>
      </c>
      <c r="H1541" s="18" t="inlineStr"/>
      <c r="I1541" s="18" t="n">
        <v>4</v>
      </c>
      <c r="J1541" s="18" t="n"/>
      <c r="K1541" s="18" t="n">
        <v>4</v>
      </c>
      <c r="L1541" s="18" t="inlineStr">
        <is>
          <t>cobbleventure:generation_4</t>
        </is>
      </c>
      <c r="M1541" s="19" t="inlineStr">
        <is>
          <t>cobbleventure:generation_4</t>
        </is>
      </c>
      <c r="N1541" s="18" t="inlineStr"/>
      <c r="O1541" s="19" t="inlineStr"/>
      <c r="P1541" s="18" t="inlineStr">
        <is>
          <t>#cobblemon:is_magical</t>
        </is>
      </c>
      <c r="Q1541" s="19" t="inlineStr"/>
      <c r="R1541" s="18">
        <f>IF(Q1541="",P1541,Q1541)</f>
        <v/>
      </c>
      <c r="S1541" s="18" t="inlineStr"/>
      <c r="T1541" s="18" t="inlineStr">
        <is>
          <t>uncommon</t>
        </is>
      </c>
      <c r="U1541" s="20" t="n">
        <v>5.04</v>
      </c>
      <c r="V1541" s="21" t="n">
        <v>1</v>
      </c>
      <c r="W1541" s="20">
        <f>IF(OR(U1541="",V1541=""),U1541,U1541*V1541)</f>
        <v/>
      </c>
      <c r="X1541" s="18" t="inlineStr">
        <is>
          <t>4-29</t>
        </is>
      </c>
      <c r="Y1541" s="19" t="inlineStr"/>
      <c r="Z1541" s="18">
        <f>IF(Y1541="",X1541,Y1541)</f>
        <v/>
      </c>
      <c r="AA1541" s="18" t="inlineStr">
        <is>
          <t>grounded</t>
        </is>
      </c>
      <c r="AB1541" s="18" t="inlineStr">
        <is>
          <t>night</t>
        </is>
      </c>
      <c r="AC1541" s="18" t="inlineStr"/>
      <c r="AD1541" s="18" t="inlineStr"/>
      <c r="AE1541" s="18" t="inlineStr">
        <is>
          <t>sky 8-15</t>
        </is>
      </c>
      <c r="AF1541" s="18" t="inlineStr"/>
      <c r="AG1541" s="18" t="inlineStr"/>
      <c r="AH1541" s="18" t="inlineStr"/>
      <c r="AI1541" s="18" t="inlineStr"/>
      <c r="AJ1541" s="18" t="inlineStr">
        <is>
          <t>Cobblemon 동일</t>
        </is>
      </c>
      <c r="AK1541" s="18" t="inlineStr">
        <is>
          <t>사용</t>
        </is>
      </c>
      <c r="AL1541" s="18" t="inlineStr">
        <is>
          <t>COBBLEVERSE 1.7.42 / DP v31</t>
        </is>
      </c>
      <c r="AM1541" s="18" t="inlineStr">
        <is>
          <t>data/cobblemon/spawn_pool_world/0433_chingling.json</t>
        </is>
      </c>
      <c r="AN1541" s="18" t="inlineStr">
        <is>
          <t>chingling-2</t>
        </is>
      </c>
      <c r="AO1541" s="18" t="inlineStr">
        <is>
          <t>pokemon</t>
        </is>
      </c>
      <c r="AP1541" s="18" t="inlineStr">
        <is>
          <t>natural</t>
        </is>
      </c>
      <c r="AQ1541" s="18" t="inlineStr">
        <is>
          <t>{"biomes":["#cobblemon:is_magical"],"maxSkyLight":15,"minSkyLight":8,"timeRange":"night"}</t>
        </is>
      </c>
      <c r="AR1541" s="18" t="inlineStr"/>
      <c r="AS1541" s="18" t="inlineStr"/>
      <c r="AT1541" s="19" t="inlineStr"/>
    </row>
    <row r="1542" ht="32" customHeight="1">
      <c r="A1542" s="18" t="inlineStr">
        <is>
          <t>0433_chingling.json::chingling-3::003</t>
        </is>
      </c>
      <c r="B1542" s="19" t="inlineStr">
        <is>
          <t>사용</t>
        </is>
      </c>
      <c r="C1542" s="18">
        <f>IF(OR(B1542&lt;&gt;AK1542,M1542&lt;&gt;L1542,O1542&lt;&gt;"",Q1542&lt;&gt;"",V1542&lt;&gt;1,Y1542&lt;&gt;"",AT1542&lt;&gt;""),"수정","원본")</f>
        <v/>
      </c>
      <c r="D1542" s="18" t="n">
        <v>433</v>
      </c>
      <c r="E1542" s="18" t="inlineStr">
        <is>
          <t>랑딸랑</t>
        </is>
      </c>
      <c r="F1542" s="18" t="inlineStr">
        <is>
          <t>chingling</t>
        </is>
      </c>
      <c r="G1542" s="18" t="inlineStr">
        <is>
          <t>chingling</t>
        </is>
      </c>
      <c r="H1542" s="18" t="inlineStr"/>
      <c r="I1542" s="18" t="n">
        <v>4</v>
      </c>
      <c r="J1542" s="18" t="n"/>
      <c r="K1542" s="18" t="n">
        <v>4</v>
      </c>
      <c r="L1542" s="18" t="inlineStr">
        <is>
          <t>cobbleventure:generation_4</t>
        </is>
      </c>
      <c r="M1542" s="19" t="inlineStr">
        <is>
          <t>cobbleventure:generation_4</t>
        </is>
      </c>
      <c r="N1542" s="18" t="inlineStr">
        <is>
          <t>region_01; region_02</t>
        </is>
      </c>
      <c r="O1542" s="19" t="inlineStr"/>
      <c r="P1542" s="18" t="inlineStr">
        <is>
          <t>#cobblemon:is_overworld</t>
        </is>
      </c>
      <c r="Q1542" s="19" t="inlineStr"/>
      <c r="R1542" s="18">
        <f>IF(Q1542="",P1542,Q1542)</f>
        <v/>
      </c>
      <c r="S1542" s="18" t="inlineStr"/>
      <c r="T1542" s="18" t="inlineStr">
        <is>
          <t>uncommon</t>
        </is>
      </c>
      <c r="U1542" s="20" t="n">
        <v>84</v>
      </c>
      <c r="V1542" s="21" t="n">
        <v>1</v>
      </c>
      <c r="W1542" s="20">
        <f>IF(OR(U1542="",V1542=""),U1542,U1542*V1542)</f>
        <v/>
      </c>
      <c r="X1542" s="18" t="inlineStr">
        <is>
          <t>4-29</t>
        </is>
      </c>
      <c r="Y1542" s="19" t="inlineStr"/>
      <c r="Z1542" s="18">
        <f>IF(Y1542="",X1542,Y1542)</f>
        <v/>
      </c>
      <c r="AA1542" s="18" t="inlineStr">
        <is>
          <t>grounded</t>
        </is>
      </c>
      <c r="AB1542" s="18" t="inlineStr">
        <is>
          <t>night</t>
        </is>
      </c>
      <c r="AC1542" s="18" t="inlineStr"/>
      <c r="AD1542" s="18" t="inlineStr"/>
      <c r="AE1542" s="18" t="inlineStr"/>
      <c r="AF1542" s="18" t="inlineStr"/>
      <c r="AG1542" s="18" t="inlineStr"/>
      <c r="AH1542" s="18" t="inlineStr">
        <is>
          <t>주변=minecraft:bell</t>
        </is>
      </c>
      <c r="AI1542" s="18" t="inlineStr"/>
      <c r="AJ1542" s="18" t="inlineStr">
        <is>
          <t>Cobblemon 동일</t>
        </is>
      </c>
      <c r="AK1542" s="18" t="inlineStr">
        <is>
          <t>사용</t>
        </is>
      </c>
      <c r="AL1542" s="18" t="inlineStr">
        <is>
          <t>COBBLEVERSE 1.7.42 / DP v31</t>
        </is>
      </c>
      <c r="AM1542" s="18" t="inlineStr">
        <is>
          <t>data/cobblemon/spawn_pool_world/0433_chingling.json</t>
        </is>
      </c>
      <c r="AN1542" s="18" t="inlineStr">
        <is>
          <t>chingling-3</t>
        </is>
      </c>
      <c r="AO1542" s="18" t="inlineStr">
        <is>
          <t>pokemon</t>
        </is>
      </c>
      <c r="AP1542" s="18" t="inlineStr"/>
      <c r="AQ1542" s="18" t="inlineStr">
        <is>
          <t>{"biomes":["#cobblemon:is_overworld"],"neededNearbyBlocks":["minecraft:bell"],"timeRange":"night"}</t>
        </is>
      </c>
      <c r="AR1542" s="18" t="inlineStr"/>
      <c r="AS1542" s="18" t="inlineStr"/>
      <c r="AT1542" s="19" t="inlineStr"/>
    </row>
    <row r="1543" ht="32" customHeight="1">
      <c r="A1543" s="18" t="inlineStr">
        <is>
          <t>0434_stunky.json::stunky-1::001</t>
        </is>
      </c>
      <c r="B1543" s="19" t="inlineStr">
        <is>
          <t>사용</t>
        </is>
      </c>
      <c r="C1543" s="18">
        <f>IF(OR(B1543&lt;&gt;AK1543,M1543&lt;&gt;L1543,O1543&lt;&gt;"",Q1543&lt;&gt;"",V1543&lt;&gt;1,Y1543&lt;&gt;"",AT1543&lt;&gt;""),"수정","원본")</f>
        <v/>
      </c>
      <c r="D1543" s="18" t="n">
        <v>434</v>
      </c>
      <c r="E1543" s="18" t="inlineStr">
        <is>
          <t>스컹뿡</t>
        </is>
      </c>
      <c r="F1543" s="18" t="inlineStr">
        <is>
          <t>stunky</t>
        </is>
      </c>
      <c r="G1543" s="18" t="inlineStr">
        <is>
          <t>stunky</t>
        </is>
      </c>
      <c r="H1543" s="18" t="inlineStr"/>
      <c r="I1543" s="18" t="n">
        <v>4</v>
      </c>
      <c r="J1543" s="18" t="n"/>
      <c r="K1543" s="18" t="n">
        <v>4</v>
      </c>
      <c r="L1543" s="18" t="inlineStr">
        <is>
          <t>cobbleventure:generation_4</t>
        </is>
      </c>
      <c r="M1543" s="19" t="inlineStr">
        <is>
          <t>cobbleventure:generation_4</t>
        </is>
      </c>
      <c r="N1543" s="18" t="inlineStr">
        <is>
          <t>region_02</t>
        </is>
      </c>
      <c r="O1543" s="19" t="inlineStr"/>
      <c r="P1543" s="18" t="inlineStr">
        <is>
          <t>#cobblemon:is_swamp</t>
        </is>
      </c>
      <c r="Q1543" s="19" t="inlineStr"/>
      <c r="R1543" s="18">
        <f>IF(Q1543="",P1543,Q1543)</f>
        <v/>
      </c>
      <c r="S1543" s="18" t="inlineStr"/>
      <c r="T1543" s="18" t="inlineStr">
        <is>
          <t>common</t>
        </is>
      </c>
      <c r="U1543" s="20" t="n">
        <v>7.7</v>
      </c>
      <c r="V1543" s="21" t="n">
        <v>1</v>
      </c>
      <c r="W1543" s="20">
        <f>IF(OR(U1543="",V1543=""),U1543,U1543*V1543)</f>
        <v/>
      </c>
      <c r="X1543" s="18" t="inlineStr">
        <is>
          <t>3-33</t>
        </is>
      </c>
      <c r="Y1543" s="19" t="inlineStr"/>
      <c r="Z1543" s="18">
        <f>IF(Y1543="",X1543,Y1543)</f>
        <v/>
      </c>
      <c r="AA1543" s="18" t="inlineStr">
        <is>
          <t>grounded</t>
        </is>
      </c>
      <c r="AB1543" s="18" t="inlineStr"/>
      <c r="AC1543" s="18" t="inlineStr"/>
      <c r="AD1543" s="18" t="inlineStr"/>
      <c r="AE1543" s="18" t="inlineStr"/>
      <c r="AF1543" s="18" t="inlineStr">
        <is>
          <t>True</t>
        </is>
      </c>
      <c r="AG1543" s="18" t="inlineStr"/>
      <c r="AH1543" s="18" t="inlineStr"/>
      <c r="AI1543" s="18" t="inlineStr"/>
      <c r="AJ1543" s="18" t="inlineStr">
        <is>
          <t>COBBLEVERSE 추가</t>
        </is>
      </c>
      <c r="AK1543" s="18" t="inlineStr">
        <is>
          <t>사용</t>
        </is>
      </c>
      <c r="AL1543" s="18" t="inlineStr">
        <is>
          <t>COBBLEVERSE 1.7.42 / DP v31</t>
        </is>
      </c>
      <c r="AM1543" s="18" t="inlineStr">
        <is>
          <t>data/cobblemon/spawn_pool_world/0434_stunky.json</t>
        </is>
      </c>
      <c r="AN1543" s="18" t="inlineStr">
        <is>
          <t>stunky-1</t>
        </is>
      </c>
      <c r="AO1543" s="18" t="inlineStr">
        <is>
          <t>pokemon</t>
        </is>
      </c>
      <c r="AP1543" s="18" t="inlineStr">
        <is>
          <t>natural</t>
        </is>
      </c>
      <c r="AQ1543" s="18" t="inlineStr">
        <is>
          <t>{"biomes":["#cobblemon:is_swamp"],"canSeeSky":true}</t>
        </is>
      </c>
      <c r="AR1543" s="18" t="inlineStr"/>
      <c r="AS1543" s="18" t="inlineStr">
        <is>
          <t>{"weightMultiplier":{"condition":{"timeRange":"night"},"multiplier":1.8}}</t>
        </is>
      </c>
      <c r="AT1543" s="19" t="inlineStr"/>
    </row>
    <row r="1544" ht="32" customHeight="1">
      <c r="A1544" s="18" t="inlineStr">
        <is>
          <t>0435_skuntank.json::skuntank-1::001</t>
        </is>
      </c>
      <c r="B1544" s="19" t="inlineStr">
        <is>
          <t>사용</t>
        </is>
      </c>
      <c r="C1544" s="18">
        <f>IF(OR(B1544&lt;&gt;AK1544,M1544&lt;&gt;L1544,O1544&lt;&gt;"",Q1544&lt;&gt;"",V1544&lt;&gt;1,Y1544&lt;&gt;"",AT1544&lt;&gt;""),"수정","원본")</f>
        <v/>
      </c>
      <c r="D1544" s="18" t="n">
        <v>435</v>
      </c>
      <c r="E1544" s="18" t="inlineStr">
        <is>
          <t>스컹탱크</t>
        </is>
      </c>
      <c r="F1544" s="18" t="inlineStr">
        <is>
          <t>skuntank</t>
        </is>
      </c>
      <c r="G1544" s="18" t="inlineStr">
        <is>
          <t>skuntank</t>
        </is>
      </c>
      <c r="H1544" s="18" t="inlineStr"/>
      <c r="I1544" s="18" t="n">
        <v>4</v>
      </c>
      <c r="J1544" s="18" t="n"/>
      <c r="K1544" s="18" t="n">
        <v>4</v>
      </c>
      <c r="L1544" s="18" t="inlineStr">
        <is>
          <t>cobbleventure:generation_4</t>
        </is>
      </c>
      <c r="M1544" s="19" t="inlineStr">
        <is>
          <t>cobbleventure:generation_4</t>
        </is>
      </c>
      <c r="N1544" s="18" t="inlineStr">
        <is>
          <t>region_02</t>
        </is>
      </c>
      <c r="O1544" s="19" t="inlineStr"/>
      <c r="P1544" s="18" t="inlineStr">
        <is>
          <t>#cobblemon:is_swamp</t>
        </is>
      </c>
      <c r="Q1544" s="19" t="inlineStr"/>
      <c r="R1544" s="18">
        <f>IF(Q1544="",P1544,Q1544)</f>
        <v/>
      </c>
      <c r="S1544" s="18" t="inlineStr"/>
      <c r="T1544" s="18" t="inlineStr">
        <is>
          <t>uncommon</t>
        </is>
      </c>
      <c r="U1544" s="20" t="n">
        <v>3.4</v>
      </c>
      <c r="V1544" s="21" t="n">
        <v>1</v>
      </c>
      <c r="W1544" s="20">
        <f>IF(OR(U1544="",V1544=""),U1544,U1544*V1544)</f>
        <v/>
      </c>
      <c r="X1544" s="18" t="inlineStr">
        <is>
          <t>35-56</t>
        </is>
      </c>
      <c r="Y1544" s="19" t="inlineStr"/>
      <c r="Z1544" s="18">
        <f>IF(Y1544="",X1544,Y1544)</f>
        <v/>
      </c>
      <c r="AA1544" s="18" t="inlineStr">
        <is>
          <t>grounded</t>
        </is>
      </c>
      <c r="AB1544" s="18" t="inlineStr"/>
      <c r="AC1544" s="18" t="inlineStr"/>
      <c r="AD1544" s="18" t="inlineStr"/>
      <c r="AE1544" s="18" t="inlineStr"/>
      <c r="AF1544" s="18" t="inlineStr">
        <is>
          <t>True</t>
        </is>
      </c>
      <c r="AG1544" s="18" t="inlineStr"/>
      <c r="AH1544" s="18" t="inlineStr"/>
      <c r="AI1544" s="18" t="inlineStr"/>
      <c r="AJ1544" s="18" t="inlineStr">
        <is>
          <t>COBBLEVERSE 추가</t>
        </is>
      </c>
      <c r="AK1544" s="18" t="inlineStr">
        <is>
          <t>사용</t>
        </is>
      </c>
      <c r="AL1544" s="18" t="inlineStr">
        <is>
          <t>COBBLEVERSE 1.7.42 / DP v31</t>
        </is>
      </c>
      <c r="AM1544" s="18" t="inlineStr">
        <is>
          <t>data/cobblemon/spawn_pool_world/0435_skuntank.json</t>
        </is>
      </c>
      <c r="AN1544" s="18" t="inlineStr">
        <is>
          <t>skuntank-1</t>
        </is>
      </c>
      <c r="AO1544" s="18" t="inlineStr">
        <is>
          <t>pokemon</t>
        </is>
      </c>
      <c r="AP1544" s="18" t="inlineStr">
        <is>
          <t>natural</t>
        </is>
      </c>
      <c r="AQ1544" s="18" t="inlineStr">
        <is>
          <t>{"biomes":["#cobblemon:is_swamp"],"canSeeSky":true}</t>
        </is>
      </c>
      <c r="AR1544" s="18" t="inlineStr"/>
      <c r="AS1544" s="18" t="inlineStr">
        <is>
          <t>{"weightMultiplier":{"condition":{"timeRange":"night"},"multiplier":1.8}}</t>
        </is>
      </c>
      <c r="AT1544" s="19" t="inlineStr"/>
    </row>
    <row r="1545" ht="32" customHeight="1">
      <c r="A1545" s="18" t="inlineStr">
        <is>
          <t>0436_bronzor.json::bronzor-5::001</t>
        </is>
      </c>
      <c r="B1545" s="19" t="inlineStr">
        <is>
          <t>사용</t>
        </is>
      </c>
      <c r="C1545" s="18">
        <f>IF(OR(B1545&lt;&gt;AK1545,M1545&lt;&gt;L1545,O1545&lt;&gt;"",Q1545&lt;&gt;"",V1545&lt;&gt;1,Y1545&lt;&gt;"",AT1545&lt;&gt;""),"수정","원본")</f>
        <v/>
      </c>
      <c r="D1545" s="18" t="n">
        <v>436</v>
      </c>
      <c r="E1545" s="18" t="inlineStr">
        <is>
          <t>동미러</t>
        </is>
      </c>
      <c r="F1545" s="18" t="inlineStr">
        <is>
          <t>bronzor</t>
        </is>
      </c>
      <c r="G1545" s="18" t="inlineStr">
        <is>
          <t>bronzor</t>
        </is>
      </c>
      <c r="H1545" s="18" t="inlineStr"/>
      <c r="I1545" s="18" t="n">
        <v>4</v>
      </c>
      <c r="J1545" s="18" t="n"/>
      <c r="K1545" s="18" t="n">
        <v>4</v>
      </c>
      <c r="L1545" s="18" t="inlineStr">
        <is>
          <t>cobbleventure:generation_4</t>
        </is>
      </c>
      <c r="M1545" s="19" t="inlineStr">
        <is>
          <t>cobbleventure:generation_4</t>
        </is>
      </c>
      <c r="N1545" s="18" t="inlineStr"/>
      <c r="O1545" s="19" t="inlineStr"/>
      <c r="P1545" s="18" t="inlineStr">
        <is>
          <t>the_bumblezone:howling_constructs</t>
        </is>
      </c>
      <c r="Q1545" s="19" t="inlineStr"/>
      <c r="R1545" s="18">
        <f>IF(Q1545="",P1545,Q1545)</f>
        <v/>
      </c>
      <c r="S1545" s="18" t="inlineStr"/>
      <c r="T1545" s="18" t="inlineStr">
        <is>
          <t>common</t>
        </is>
      </c>
      <c r="U1545" s="20" t="n">
        <v>5.4</v>
      </c>
      <c r="V1545" s="21" t="n">
        <v>1</v>
      </c>
      <c r="W1545" s="20">
        <f>IF(OR(U1545="",V1545=""),U1545,U1545*V1545)</f>
        <v/>
      </c>
      <c r="X1545" s="18" t="inlineStr">
        <is>
          <t>5-30</t>
        </is>
      </c>
      <c r="Y1545" s="19" t="inlineStr"/>
      <c r="Z1545" s="18">
        <f>IF(Y1545="",X1545,Y1545)</f>
        <v/>
      </c>
      <c r="AA1545" s="18" t="inlineStr">
        <is>
          <t>grounded</t>
        </is>
      </c>
      <c r="AB1545" s="18" t="inlineStr"/>
      <c r="AC1545" s="18" t="inlineStr"/>
      <c r="AD1545" s="18" t="inlineStr"/>
      <c r="AE1545" s="18" t="inlineStr"/>
      <c r="AF1545" s="18" t="inlineStr"/>
      <c r="AG1545" s="18" t="inlineStr"/>
      <c r="AH1545" s="18" t="inlineStr"/>
      <c r="AI1545" s="18" t="inlineStr"/>
      <c r="AJ1545" s="18" t="inlineStr">
        <is>
          <t>Cobblemon 동일</t>
        </is>
      </c>
      <c r="AK1545" s="18" t="inlineStr">
        <is>
          <t>사용</t>
        </is>
      </c>
      <c r="AL1545" s="18" t="inlineStr">
        <is>
          <t>COBBLEVERSE 1.7.42 / DP v31</t>
        </is>
      </c>
      <c r="AM1545" s="18" t="inlineStr">
        <is>
          <t>data/cobblemon/spawn_pool_world/0436_bronzor.json</t>
        </is>
      </c>
      <c r="AN1545" s="18" t="inlineStr">
        <is>
          <t>bronzor-5</t>
        </is>
      </c>
      <c r="AO1545" s="18" t="inlineStr">
        <is>
          <t>pokemon</t>
        </is>
      </c>
      <c r="AP1545" s="18" t="inlineStr"/>
      <c r="AQ1545" s="18" t="inlineStr">
        <is>
          <t>{"biomes":["the_bumblezone:howling_constructs"]}</t>
        </is>
      </c>
      <c r="AR1545" s="18" t="inlineStr">
        <is>
          <t>{"structures":["#the_bumblezone:sempiternal_sanctums"]}</t>
        </is>
      </c>
      <c r="AS1545" s="18" t="inlineStr"/>
      <c r="AT1545" s="19" t="inlineStr"/>
    </row>
    <row r="1546" ht="32" customHeight="1">
      <c r="A1546" s="18" t="inlineStr">
        <is>
          <t>0436_bronzor.json::bronzor-1::002</t>
        </is>
      </c>
      <c r="B1546" s="19" t="inlineStr">
        <is>
          <t>사용</t>
        </is>
      </c>
      <c r="C1546" s="18">
        <f>IF(OR(B1546&lt;&gt;AK1546,M1546&lt;&gt;L1546,O1546&lt;&gt;"",Q1546&lt;&gt;"",V1546&lt;&gt;1,Y1546&lt;&gt;"",AT1546&lt;&gt;""),"수정","원본")</f>
        <v/>
      </c>
      <c r="D1546" s="18" t="n">
        <v>436</v>
      </c>
      <c r="E1546" s="18" t="inlineStr">
        <is>
          <t>동미러</t>
        </is>
      </c>
      <c r="F1546" s="18" t="inlineStr">
        <is>
          <t>bronzor</t>
        </is>
      </c>
      <c r="G1546" s="18" t="inlineStr">
        <is>
          <t>bronzor</t>
        </is>
      </c>
      <c r="H1546" s="18" t="inlineStr"/>
      <c r="I1546" s="18" t="n">
        <v>4</v>
      </c>
      <c r="J1546" s="18" t="n"/>
      <c r="K1546" s="18" t="n">
        <v>4</v>
      </c>
      <c r="L1546" s="18" t="inlineStr">
        <is>
          <t>cobbleventure:generation_4</t>
        </is>
      </c>
      <c r="M1546" s="19" t="inlineStr">
        <is>
          <t>cobbleventure:generation_4</t>
        </is>
      </c>
      <c r="N1546" s="18" t="inlineStr"/>
      <c r="O1546" s="19" t="inlineStr"/>
      <c r="P1546" s="18" t="inlineStr">
        <is>
          <t>#cobblemon:is_jungle; #cobblemon:is_peak</t>
        </is>
      </c>
      <c r="Q1546" s="19" t="inlineStr"/>
      <c r="R1546" s="18">
        <f>IF(Q1546="",P1546,Q1546)</f>
        <v/>
      </c>
      <c r="S1546" s="18" t="inlineStr">
        <is>
          <t>#cobblemon:is_deep_dark</t>
        </is>
      </c>
      <c r="T1546" s="18" t="inlineStr">
        <is>
          <t>uncommon</t>
        </is>
      </c>
      <c r="U1546" s="20" t="n">
        <v>8.4</v>
      </c>
      <c r="V1546" s="21" t="n">
        <v>1</v>
      </c>
      <c r="W1546" s="20">
        <f>IF(OR(U1546="",V1546=""),U1546,U1546*V1546)</f>
        <v/>
      </c>
      <c r="X1546" s="18" t="inlineStr">
        <is>
          <t>5-30</t>
        </is>
      </c>
      <c r="Y1546" s="19" t="inlineStr"/>
      <c r="Z1546" s="18">
        <f>IF(Y1546="",X1546,Y1546)</f>
        <v/>
      </c>
      <c r="AA1546" s="18" t="inlineStr">
        <is>
          <t>grounded</t>
        </is>
      </c>
      <c r="AB1546" s="18" t="inlineStr"/>
      <c r="AC1546" s="18" t="inlineStr"/>
      <c r="AD1546" s="18" t="inlineStr">
        <is>
          <t>minY=0</t>
        </is>
      </c>
      <c r="AE1546" s="18" t="inlineStr">
        <is>
          <t>sky 0-7</t>
        </is>
      </c>
      <c r="AF1546" s="18" t="inlineStr"/>
      <c r="AG1546" s="18" t="inlineStr"/>
      <c r="AH1546" s="18" t="inlineStr"/>
      <c r="AI1546" s="18" t="inlineStr"/>
      <c r="AJ1546" s="18" t="inlineStr">
        <is>
          <t>Cobblemon 동일</t>
        </is>
      </c>
      <c r="AK1546" s="18" t="inlineStr">
        <is>
          <t>사용</t>
        </is>
      </c>
      <c r="AL1546" s="18" t="inlineStr">
        <is>
          <t>COBBLEVERSE 1.7.42 / DP v31</t>
        </is>
      </c>
      <c r="AM1546" s="18" t="inlineStr">
        <is>
          <t>data/cobblemon/spawn_pool_world/0436_bronzor.json</t>
        </is>
      </c>
      <c r="AN1546" s="18" t="inlineStr">
        <is>
          <t>bronzor-1</t>
        </is>
      </c>
      <c r="AO1546" s="18" t="inlineStr">
        <is>
          <t>pokemon</t>
        </is>
      </c>
      <c r="AP1546" s="18" t="inlineStr">
        <is>
          <t>natural</t>
        </is>
      </c>
      <c r="AQ1546" s="18" t="inlineStr">
        <is>
          <t>{"biomes":["#cobblemon:is_jungle","#cobblemon:is_peak"],"maxSkyLight":7,"minSkyLight":0,"minY":0}</t>
        </is>
      </c>
      <c r="AR1546" s="18" t="inlineStr">
        <is>
          <t>{"biomes":["#cobblemon:is_deep_dark"]}</t>
        </is>
      </c>
      <c r="AS1546" s="18" t="inlineStr"/>
      <c r="AT1546" s="19" t="inlineStr"/>
    </row>
    <row r="1547" ht="32" customHeight="1">
      <c r="A1547" s="18" t="inlineStr">
        <is>
          <t>0436_bronzor.json::bronzor-2::003</t>
        </is>
      </c>
      <c r="B1547" s="19" t="inlineStr">
        <is>
          <t>사용</t>
        </is>
      </c>
      <c r="C1547" s="18">
        <f>IF(OR(B1547&lt;&gt;AK1547,M1547&lt;&gt;L1547,O1547&lt;&gt;"",Q1547&lt;&gt;"",V1547&lt;&gt;1,Y1547&lt;&gt;"",AT1547&lt;&gt;""),"수정","원본")</f>
        <v/>
      </c>
      <c r="D1547" s="18" t="n">
        <v>436</v>
      </c>
      <c r="E1547" s="18" t="inlineStr">
        <is>
          <t>동미러</t>
        </is>
      </c>
      <c r="F1547" s="18" t="inlineStr">
        <is>
          <t>bronzor</t>
        </is>
      </c>
      <c r="G1547" s="18" t="inlineStr">
        <is>
          <t>bronzor</t>
        </is>
      </c>
      <c r="H1547" s="18" t="inlineStr"/>
      <c r="I1547" s="18" t="n">
        <v>4</v>
      </c>
      <c r="J1547" s="18" t="n"/>
      <c r="K1547" s="18" t="n">
        <v>4</v>
      </c>
      <c r="L1547" s="18" t="inlineStr">
        <is>
          <t>cobbleventure:generation_4</t>
        </is>
      </c>
      <c r="M1547" s="19" t="inlineStr">
        <is>
          <t>cobbleventure:generation_4</t>
        </is>
      </c>
      <c r="N1547" s="18" t="inlineStr">
        <is>
          <t>region_01; region_02</t>
        </is>
      </c>
      <c r="O1547" s="19" t="inlineStr"/>
      <c r="P1547" s="18" t="inlineStr">
        <is>
          <t>#cobblemon:is_overworld</t>
        </is>
      </c>
      <c r="Q1547" s="19" t="inlineStr"/>
      <c r="R1547" s="18">
        <f>IF(Q1547="",P1547,Q1547)</f>
        <v/>
      </c>
      <c r="S1547" s="18" t="inlineStr"/>
      <c r="T1547" s="18" t="inlineStr">
        <is>
          <t>common</t>
        </is>
      </c>
      <c r="U1547" s="20" t="n">
        <v>54</v>
      </c>
      <c r="V1547" s="21" t="n">
        <v>1</v>
      </c>
      <c r="W1547" s="20">
        <f>IF(OR(U1547="",V1547=""),U1547,U1547*V1547)</f>
        <v/>
      </c>
      <c r="X1547" s="18" t="inlineStr">
        <is>
          <t>5-30</t>
        </is>
      </c>
      <c r="Y1547" s="19" t="inlineStr"/>
      <c r="Z1547" s="18">
        <f>IF(Y1547="",X1547,Y1547)</f>
        <v/>
      </c>
      <c r="AA1547" s="18" t="inlineStr">
        <is>
          <t>grounded</t>
        </is>
      </c>
      <c r="AB1547" s="18" t="inlineStr"/>
      <c r="AC1547" s="18" t="inlineStr"/>
      <c r="AD1547" s="18" t="inlineStr">
        <is>
          <t>minY=48</t>
        </is>
      </c>
      <c r="AE1547" s="18" t="inlineStr"/>
      <c r="AF1547" s="18" t="inlineStr"/>
      <c r="AG1547" s="18" t="inlineStr"/>
      <c r="AH1547" s="18" t="inlineStr"/>
      <c r="AI1547" s="18" t="inlineStr"/>
      <c r="AJ1547" s="18" t="inlineStr">
        <is>
          <t>Cobblemon 동일</t>
        </is>
      </c>
      <c r="AK1547" s="18" t="inlineStr">
        <is>
          <t>사용</t>
        </is>
      </c>
      <c r="AL1547" s="18" t="inlineStr">
        <is>
          <t>COBBLEVERSE 1.7.42 / DP v31</t>
        </is>
      </c>
      <c r="AM1547" s="18" t="inlineStr">
        <is>
          <t>data/cobblemon/spawn_pool_world/0436_bronzor.json</t>
        </is>
      </c>
      <c r="AN1547" s="18" t="inlineStr">
        <is>
          <t>bronzor-2</t>
        </is>
      </c>
      <c r="AO1547" s="18" t="inlineStr">
        <is>
          <t>pokemon</t>
        </is>
      </c>
      <c r="AP1547" s="18" t="inlineStr">
        <is>
          <t>natural; jungle_pyramid</t>
        </is>
      </c>
      <c r="AQ1547" s="18" t="inlineStr">
        <is>
          <t>{"biomes":["#cobblemon:is_overworld"],"minY":48}</t>
        </is>
      </c>
      <c r="AR1547" s="18" t="inlineStr"/>
      <c r="AS1547" s="18" t="inlineStr"/>
      <c r="AT1547" s="19" t="inlineStr"/>
    </row>
    <row r="1548" ht="32" customHeight="1">
      <c r="A1548" s="18" t="inlineStr">
        <is>
          <t>0436_bronzor.json::bronzor-3::004</t>
        </is>
      </c>
      <c r="B1548" s="19" t="inlineStr">
        <is>
          <t>사용</t>
        </is>
      </c>
      <c r="C1548" s="18">
        <f>IF(OR(B1548&lt;&gt;AK1548,M1548&lt;&gt;L1548,O1548&lt;&gt;"",Q1548&lt;&gt;"",V1548&lt;&gt;1,Y1548&lt;&gt;"",AT1548&lt;&gt;""),"수정","원본")</f>
        <v/>
      </c>
      <c r="D1548" s="18" t="n">
        <v>436</v>
      </c>
      <c r="E1548" s="18" t="inlineStr">
        <is>
          <t>동미러</t>
        </is>
      </c>
      <c r="F1548" s="18" t="inlineStr">
        <is>
          <t>bronzor</t>
        </is>
      </c>
      <c r="G1548" s="18" t="inlineStr">
        <is>
          <t>bronzor</t>
        </is>
      </c>
      <c r="H1548" s="18" t="inlineStr"/>
      <c r="I1548" s="18" t="n">
        <v>4</v>
      </c>
      <c r="J1548" s="18" t="n"/>
      <c r="K1548" s="18" t="n">
        <v>4</v>
      </c>
      <c r="L1548" s="18" t="inlineStr">
        <is>
          <t>cobbleventure:generation_4</t>
        </is>
      </c>
      <c r="M1548" s="19" t="inlineStr">
        <is>
          <t>cobbleventure:generation_4</t>
        </is>
      </c>
      <c r="N1548" s="18" t="inlineStr">
        <is>
          <t>region_01; region_02</t>
        </is>
      </c>
      <c r="O1548" s="19" t="inlineStr"/>
      <c r="P1548" s="18" t="inlineStr">
        <is>
          <t>#cobblemon:is_overworld</t>
        </is>
      </c>
      <c r="Q1548" s="19" t="inlineStr"/>
      <c r="R1548" s="18">
        <f>IF(Q1548="",P1548,Q1548)</f>
        <v/>
      </c>
      <c r="S1548" s="18" t="inlineStr"/>
      <c r="T1548" s="18" t="inlineStr">
        <is>
          <t>common</t>
        </is>
      </c>
      <c r="U1548" s="20" t="n">
        <v>54</v>
      </c>
      <c r="V1548" s="21" t="n">
        <v>1</v>
      </c>
      <c r="W1548" s="20">
        <f>IF(OR(U1548="",V1548=""),U1548,U1548*V1548)</f>
        <v/>
      </c>
      <c r="X1548" s="18" t="inlineStr">
        <is>
          <t>5-30</t>
        </is>
      </c>
      <c r="Y1548" s="19" t="inlineStr"/>
      <c r="Z1548" s="18">
        <f>IF(Y1548="",X1548,Y1548)</f>
        <v/>
      </c>
      <c r="AA1548" s="18" t="inlineStr">
        <is>
          <t>grounded</t>
        </is>
      </c>
      <c r="AB1548" s="18" t="inlineStr"/>
      <c r="AC1548" s="18" t="inlineStr"/>
      <c r="AD1548" s="18" t="inlineStr">
        <is>
          <t>minY=-37, maxY=10</t>
        </is>
      </c>
      <c r="AE1548" s="18" t="inlineStr"/>
      <c r="AF1548" s="18" t="inlineStr"/>
      <c r="AG1548" s="18" t="inlineStr">
        <is>
          <t>#cobblemon:ruin</t>
        </is>
      </c>
      <c r="AH1548" s="18" t="inlineStr"/>
      <c r="AI1548" s="18" t="inlineStr"/>
      <c r="AJ1548" s="18" t="inlineStr">
        <is>
          <t>Cobblemon 동일</t>
        </is>
      </c>
      <c r="AK1548" s="18" t="inlineStr">
        <is>
          <t>사용</t>
        </is>
      </c>
      <c r="AL1548" s="18" t="inlineStr">
        <is>
          <t>COBBLEVERSE 1.7.42 / DP v31</t>
        </is>
      </c>
      <c r="AM1548" s="18" t="inlineStr">
        <is>
          <t>data/cobblemon/spawn_pool_world/0436_bronzor.json</t>
        </is>
      </c>
      <c r="AN1548" s="18" t="inlineStr">
        <is>
          <t>bronzor-3</t>
        </is>
      </c>
      <c r="AO1548" s="18" t="inlineStr">
        <is>
          <t>pokemon</t>
        </is>
      </c>
      <c r="AP1548" s="18" t="inlineStr"/>
      <c r="AQ1548" s="18" t="inlineStr">
        <is>
          <t>{"biomes":["#cobblemon:is_overworld"],"maxY":10,"minY":-37,"structures":["#cobblemon:ruin"]}</t>
        </is>
      </c>
      <c r="AR1548" s="18" t="inlineStr"/>
      <c r="AS1548" s="18" t="inlineStr"/>
      <c r="AT1548" s="19" t="inlineStr"/>
    </row>
    <row r="1549" ht="32" customHeight="1">
      <c r="A1549" s="18" t="inlineStr">
        <is>
          <t>0436_bronzor.json::bronzor-4::005</t>
        </is>
      </c>
      <c r="B1549" s="19" t="inlineStr">
        <is>
          <t>사용</t>
        </is>
      </c>
      <c r="C1549" s="18">
        <f>IF(OR(B1549&lt;&gt;AK1549,M1549&lt;&gt;L1549,O1549&lt;&gt;"",Q1549&lt;&gt;"",V1549&lt;&gt;1,Y1549&lt;&gt;"",AT1549&lt;&gt;""),"수정","원본")</f>
        <v/>
      </c>
      <c r="D1549" s="18" t="n">
        <v>436</v>
      </c>
      <c r="E1549" s="18" t="inlineStr">
        <is>
          <t>동미러</t>
        </is>
      </c>
      <c r="F1549" s="18" t="inlineStr">
        <is>
          <t>bronzor</t>
        </is>
      </c>
      <c r="G1549" s="18" t="inlineStr">
        <is>
          <t>bronzor</t>
        </is>
      </c>
      <c r="H1549" s="18" t="inlineStr"/>
      <c r="I1549" s="18" t="n">
        <v>4</v>
      </c>
      <c r="J1549" s="18" t="n"/>
      <c r="K1549" s="18" t="n">
        <v>4</v>
      </c>
      <c r="L1549" s="18" t="inlineStr">
        <is>
          <t>cobbleventure:generation_4</t>
        </is>
      </c>
      <c r="M1549" s="19" t="inlineStr">
        <is>
          <t>cobbleventure:generation_4</t>
        </is>
      </c>
      <c r="N1549" s="18" t="inlineStr">
        <is>
          <t>region_01; region_02</t>
        </is>
      </c>
      <c r="O1549" s="19" t="inlineStr"/>
      <c r="P1549" s="18" t="inlineStr">
        <is>
          <t>#cobblemon:is_overworld</t>
        </is>
      </c>
      <c r="Q1549" s="19" t="inlineStr"/>
      <c r="R1549" s="18">
        <f>IF(Q1549="",P1549,Q1549)</f>
        <v/>
      </c>
      <c r="S1549" s="18" t="inlineStr"/>
      <c r="T1549" s="18" t="inlineStr">
        <is>
          <t>common</t>
        </is>
      </c>
      <c r="U1549" s="20" t="n">
        <v>54</v>
      </c>
      <c r="V1549" s="21" t="n">
        <v>1</v>
      </c>
      <c r="W1549" s="20">
        <f>IF(OR(U1549="",V1549=""),U1549,U1549*V1549)</f>
        <v/>
      </c>
      <c r="X1549" s="18" t="inlineStr">
        <is>
          <t>5-30</t>
        </is>
      </c>
      <c r="Y1549" s="19" t="inlineStr"/>
      <c r="Z1549" s="18">
        <f>IF(Y1549="",X1549,Y1549)</f>
        <v/>
      </c>
      <c r="AA1549" s="18" t="inlineStr">
        <is>
          <t>grounded</t>
        </is>
      </c>
      <c r="AB1549" s="18" t="inlineStr"/>
      <c r="AC1549" s="18" t="inlineStr"/>
      <c r="AD1549" s="18" t="inlineStr">
        <is>
          <t>minY=48</t>
        </is>
      </c>
      <c r="AE1549" s="18" t="inlineStr"/>
      <c r="AF1549" s="18" t="inlineStr"/>
      <c r="AG1549" s="18" t="inlineStr"/>
      <c r="AH1549" s="18" t="inlineStr"/>
      <c r="AI1549" s="18" t="inlineStr"/>
      <c r="AJ1549" s="18" t="inlineStr">
        <is>
          <t>Cobblemon 동일</t>
        </is>
      </c>
      <c r="AK1549" s="18" t="inlineStr">
        <is>
          <t>사용</t>
        </is>
      </c>
      <c r="AL1549" s="18" t="inlineStr">
        <is>
          <t>COBBLEVERSE 1.7.42 / DP v31</t>
        </is>
      </c>
      <c r="AM1549" s="18" t="inlineStr">
        <is>
          <t>data/cobblemon/spawn_pool_world/0436_bronzor.json</t>
        </is>
      </c>
      <c r="AN1549" s="18" t="inlineStr">
        <is>
          <t>bronzor-4</t>
        </is>
      </c>
      <c r="AO1549" s="18" t="inlineStr">
        <is>
          <t>pokemon</t>
        </is>
      </c>
      <c r="AP1549" s="18" t="inlineStr">
        <is>
          <t>trail_ruins</t>
        </is>
      </c>
      <c r="AQ1549" s="18" t="inlineStr">
        <is>
          <t>{"biomes":["#cobblemon:is_overworld"],"minY":48}</t>
        </is>
      </c>
      <c r="AR1549" s="18" t="inlineStr"/>
      <c r="AS1549" s="18" t="inlineStr"/>
      <c r="AT1549" s="19" t="inlineStr"/>
    </row>
    <row r="1550" ht="32" customHeight="1">
      <c r="A1550" s="18" t="inlineStr">
        <is>
          <t>0437_bronzong.json::bronzong-5::001</t>
        </is>
      </c>
      <c r="B1550" s="19" t="inlineStr">
        <is>
          <t>사용</t>
        </is>
      </c>
      <c r="C1550" s="18">
        <f>IF(OR(B1550&lt;&gt;AK1550,M1550&lt;&gt;L1550,O1550&lt;&gt;"",Q1550&lt;&gt;"",V1550&lt;&gt;1,Y1550&lt;&gt;"",AT1550&lt;&gt;""),"수정","원본")</f>
        <v/>
      </c>
      <c r="D1550" s="18" t="n">
        <v>437</v>
      </c>
      <c r="E1550" s="18" t="inlineStr">
        <is>
          <t>동탁군</t>
        </is>
      </c>
      <c r="F1550" s="18" t="inlineStr">
        <is>
          <t>bronzong</t>
        </is>
      </c>
      <c r="G1550" s="18" t="inlineStr">
        <is>
          <t>bronzong</t>
        </is>
      </c>
      <c r="H1550" s="18" t="inlineStr"/>
      <c r="I1550" s="18" t="n">
        <v>4</v>
      </c>
      <c r="J1550" s="18" t="n"/>
      <c r="K1550" s="18" t="n">
        <v>4</v>
      </c>
      <c r="L1550" s="18" t="inlineStr">
        <is>
          <t>cobbleventure:generation_4</t>
        </is>
      </c>
      <c r="M1550" s="19" t="inlineStr">
        <is>
          <t>cobbleventure:generation_4</t>
        </is>
      </c>
      <c r="N1550" s="18" t="inlineStr"/>
      <c r="O1550" s="19" t="inlineStr"/>
      <c r="P1550" s="18" t="inlineStr">
        <is>
          <t>the_bumblezone:howling_constructs</t>
        </is>
      </c>
      <c r="Q1550" s="19" t="inlineStr"/>
      <c r="R1550" s="18">
        <f>IF(Q1550="",P1550,Q1550)</f>
        <v/>
      </c>
      <c r="S1550" s="18" t="inlineStr"/>
      <c r="T1550" s="18" t="inlineStr">
        <is>
          <t>common</t>
        </is>
      </c>
      <c r="U1550" s="20" t="n">
        <v>0.6</v>
      </c>
      <c r="V1550" s="21" t="n">
        <v>1</v>
      </c>
      <c r="W1550" s="20">
        <f>IF(OR(U1550="",V1550=""),U1550,U1550*V1550)</f>
        <v/>
      </c>
      <c r="X1550" s="18" t="inlineStr">
        <is>
          <t>33-50</t>
        </is>
      </c>
      <c r="Y1550" s="19" t="inlineStr"/>
      <c r="Z1550" s="18">
        <f>IF(Y1550="",X1550,Y1550)</f>
        <v/>
      </c>
      <c r="AA1550" s="18" t="inlineStr">
        <is>
          <t>grounded</t>
        </is>
      </c>
      <c r="AB1550" s="18" t="inlineStr"/>
      <c r="AC1550" s="18" t="inlineStr"/>
      <c r="AD1550" s="18" t="inlineStr"/>
      <c r="AE1550" s="18" t="inlineStr"/>
      <c r="AF1550" s="18" t="inlineStr"/>
      <c r="AG1550" s="18" t="inlineStr"/>
      <c r="AH1550" s="18" t="inlineStr"/>
      <c r="AI1550" s="18" t="inlineStr"/>
      <c r="AJ1550" s="18" t="inlineStr">
        <is>
          <t>Cobblemon 동일</t>
        </is>
      </c>
      <c r="AK1550" s="18" t="inlineStr">
        <is>
          <t>사용</t>
        </is>
      </c>
      <c r="AL1550" s="18" t="inlineStr">
        <is>
          <t>COBBLEVERSE 1.7.42 / DP v31</t>
        </is>
      </c>
      <c r="AM1550" s="18" t="inlineStr">
        <is>
          <t>data/cobblemon/spawn_pool_world/0437_bronzong.json</t>
        </is>
      </c>
      <c r="AN1550" s="18" t="inlineStr">
        <is>
          <t>bronzong-5</t>
        </is>
      </c>
      <c r="AO1550" s="18" t="inlineStr">
        <is>
          <t>pokemon</t>
        </is>
      </c>
      <c r="AP1550" s="18" t="inlineStr"/>
      <c r="AQ1550" s="18" t="inlineStr">
        <is>
          <t>{"biomes":["the_bumblezone:howling_constructs"]}</t>
        </is>
      </c>
      <c r="AR1550" s="18" t="inlineStr">
        <is>
          <t>{"structures":["#the_bumblezone:sempiternal_sanctums"]}</t>
        </is>
      </c>
      <c r="AS1550" s="18" t="inlineStr"/>
      <c r="AT1550" s="19" t="inlineStr"/>
    </row>
    <row r="1551" ht="32" customHeight="1">
      <c r="A1551" s="18" t="inlineStr">
        <is>
          <t>0437_bronzong.json::bronzong-1::002</t>
        </is>
      </c>
      <c r="B1551" s="19" t="inlineStr">
        <is>
          <t>사용</t>
        </is>
      </c>
      <c r="C1551" s="18">
        <f>IF(OR(B1551&lt;&gt;AK1551,M1551&lt;&gt;L1551,O1551&lt;&gt;"",Q1551&lt;&gt;"",V1551&lt;&gt;1,Y1551&lt;&gt;"",AT1551&lt;&gt;""),"수정","원본")</f>
        <v/>
      </c>
      <c r="D1551" s="18" t="n">
        <v>437</v>
      </c>
      <c r="E1551" s="18" t="inlineStr">
        <is>
          <t>동탁군</t>
        </is>
      </c>
      <c r="F1551" s="18" t="inlineStr">
        <is>
          <t>bronzong</t>
        </is>
      </c>
      <c r="G1551" s="18" t="inlineStr">
        <is>
          <t>bronzong</t>
        </is>
      </c>
      <c r="H1551" s="18" t="inlineStr"/>
      <c r="I1551" s="18" t="n">
        <v>4</v>
      </c>
      <c r="J1551" s="18" t="n"/>
      <c r="K1551" s="18" t="n">
        <v>4</v>
      </c>
      <c r="L1551" s="18" t="inlineStr">
        <is>
          <t>cobbleventure:generation_4</t>
        </is>
      </c>
      <c r="M1551" s="19" t="inlineStr">
        <is>
          <t>cobbleventure:generation_4</t>
        </is>
      </c>
      <c r="N1551" s="18" t="inlineStr"/>
      <c r="O1551" s="19" t="inlineStr"/>
      <c r="P1551" s="18" t="inlineStr">
        <is>
          <t>#cobblemon:is_jungle; #cobblemon:is_peak</t>
        </is>
      </c>
      <c r="Q1551" s="19" t="inlineStr"/>
      <c r="R1551" s="18">
        <f>IF(Q1551="",P1551,Q1551)</f>
        <v/>
      </c>
      <c r="S1551" s="18" t="inlineStr">
        <is>
          <t>#cobblemon:is_deep_dark</t>
        </is>
      </c>
      <c r="T1551" s="18" t="inlineStr">
        <is>
          <t>uncommon</t>
        </is>
      </c>
      <c r="U1551" s="20" t="n">
        <v>1.6</v>
      </c>
      <c r="V1551" s="21" t="n">
        <v>1</v>
      </c>
      <c r="W1551" s="20">
        <f>IF(OR(U1551="",V1551=""),U1551,U1551*V1551)</f>
        <v/>
      </c>
      <c r="X1551" s="18" t="inlineStr">
        <is>
          <t>33-50</t>
        </is>
      </c>
      <c r="Y1551" s="19" t="inlineStr"/>
      <c r="Z1551" s="18">
        <f>IF(Y1551="",X1551,Y1551)</f>
        <v/>
      </c>
      <c r="AA1551" s="18" t="inlineStr">
        <is>
          <t>grounded</t>
        </is>
      </c>
      <c r="AB1551" s="18" t="inlineStr"/>
      <c r="AC1551" s="18" t="inlineStr"/>
      <c r="AD1551" s="18" t="inlineStr">
        <is>
          <t>minY=0</t>
        </is>
      </c>
      <c r="AE1551" s="18" t="inlineStr">
        <is>
          <t>sky 0-7</t>
        </is>
      </c>
      <c r="AF1551" s="18" t="inlineStr"/>
      <c r="AG1551" s="18" t="inlineStr"/>
      <c r="AH1551" s="18" t="inlineStr"/>
      <c r="AI1551" s="18" t="inlineStr"/>
      <c r="AJ1551" s="18" t="inlineStr">
        <is>
          <t>Cobblemon 동일</t>
        </is>
      </c>
      <c r="AK1551" s="18" t="inlineStr">
        <is>
          <t>사용</t>
        </is>
      </c>
      <c r="AL1551" s="18" t="inlineStr">
        <is>
          <t>COBBLEVERSE 1.7.42 / DP v31</t>
        </is>
      </c>
      <c r="AM1551" s="18" t="inlineStr">
        <is>
          <t>data/cobblemon/spawn_pool_world/0437_bronzong.json</t>
        </is>
      </c>
      <c r="AN1551" s="18" t="inlineStr">
        <is>
          <t>bronzong-1</t>
        </is>
      </c>
      <c r="AO1551" s="18" t="inlineStr">
        <is>
          <t>pokemon</t>
        </is>
      </c>
      <c r="AP1551" s="18" t="inlineStr">
        <is>
          <t>natural</t>
        </is>
      </c>
      <c r="AQ1551" s="18" t="inlineStr">
        <is>
          <t>{"biomes":["#cobblemon:is_jungle","#cobblemon:is_peak"],"maxSkyLight":7,"minSkyLight":0,"minY":0}</t>
        </is>
      </c>
      <c r="AR1551" s="18" t="inlineStr">
        <is>
          <t>{"biomes":["#cobblemon:is_deep_dark"]}</t>
        </is>
      </c>
      <c r="AS1551" s="18" t="inlineStr"/>
      <c r="AT1551" s="19" t="inlineStr"/>
    </row>
    <row r="1552" ht="32" customHeight="1">
      <c r="A1552" s="18" t="inlineStr">
        <is>
          <t>0437_bronzong.json::bronzong-2::003</t>
        </is>
      </c>
      <c r="B1552" s="19" t="inlineStr">
        <is>
          <t>사용</t>
        </is>
      </c>
      <c r="C1552" s="18">
        <f>IF(OR(B1552&lt;&gt;AK1552,M1552&lt;&gt;L1552,O1552&lt;&gt;"",Q1552&lt;&gt;"",V1552&lt;&gt;1,Y1552&lt;&gt;"",AT1552&lt;&gt;""),"수정","원본")</f>
        <v/>
      </c>
      <c r="D1552" s="18" t="n">
        <v>437</v>
      </c>
      <c r="E1552" s="18" t="inlineStr">
        <is>
          <t>동탁군</t>
        </is>
      </c>
      <c r="F1552" s="18" t="inlineStr">
        <is>
          <t>bronzong</t>
        </is>
      </c>
      <c r="G1552" s="18" t="inlineStr">
        <is>
          <t>bronzong</t>
        </is>
      </c>
      <c r="H1552" s="18" t="inlineStr"/>
      <c r="I1552" s="18" t="n">
        <v>4</v>
      </c>
      <c r="J1552" s="18" t="n"/>
      <c r="K1552" s="18" t="n">
        <v>4</v>
      </c>
      <c r="L1552" s="18" t="inlineStr">
        <is>
          <t>cobbleventure:generation_4</t>
        </is>
      </c>
      <c r="M1552" s="19" t="inlineStr">
        <is>
          <t>cobbleventure:generation_4</t>
        </is>
      </c>
      <c r="N1552" s="18" t="inlineStr">
        <is>
          <t>region_01; region_02</t>
        </is>
      </c>
      <c r="O1552" s="19" t="inlineStr"/>
      <c r="P1552" s="18" t="inlineStr">
        <is>
          <t>#cobblemon:is_overworld</t>
        </is>
      </c>
      <c r="Q1552" s="19" t="inlineStr"/>
      <c r="R1552" s="18">
        <f>IF(Q1552="",P1552,Q1552)</f>
        <v/>
      </c>
      <c r="S1552" s="18" t="inlineStr"/>
      <c r="T1552" s="18" t="inlineStr">
        <is>
          <t>common</t>
        </is>
      </c>
      <c r="U1552" s="20" t="n">
        <v>6</v>
      </c>
      <c r="V1552" s="21" t="n">
        <v>1</v>
      </c>
      <c r="W1552" s="20">
        <f>IF(OR(U1552="",V1552=""),U1552,U1552*V1552)</f>
        <v/>
      </c>
      <c r="X1552" s="18" t="inlineStr">
        <is>
          <t>33-50</t>
        </is>
      </c>
      <c r="Y1552" s="19" t="inlineStr"/>
      <c r="Z1552" s="18">
        <f>IF(Y1552="",X1552,Y1552)</f>
        <v/>
      </c>
      <c r="AA1552" s="18" t="inlineStr">
        <is>
          <t>grounded</t>
        </is>
      </c>
      <c r="AB1552" s="18" t="inlineStr"/>
      <c r="AC1552" s="18" t="inlineStr"/>
      <c r="AD1552" s="18" t="inlineStr">
        <is>
          <t>minY=48</t>
        </is>
      </c>
      <c r="AE1552" s="18" t="inlineStr"/>
      <c r="AF1552" s="18" t="inlineStr"/>
      <c r="AG1552" s="18" t="inlineStr"/>
      <c r="AH1552" s="18" t="inlineStr"/>
      <c r="AI1552" s="18" t="inlineStr"/>
      <c r="AJ1552" s="18" t="inlineStr">
        <is>
          <t>Cobblemon 동일</t>
        </is>
      </c>
      <c r="AK1552" s="18" t="inlineStr">
        <is>
          <t>사용</t>
        </is>
      </c>
      <c r="AL1552" s="18" t="inlineStr">
        <is>
          <t>COBBLEVERSE 1.7.42 / DP v31</t>
        </is>
      </c>
      <c r="AM1552" s="18" t="inlineStr">
        <is>
          <t>data/cobblemon/spawn_pool_world/0437_bronzong.json</t>
        </is>
      </c>
      <c r="AN1552" s="18" t="inlineStr">
        <is>
          <t>bronzong-2</t>
        </is>
      </c>
      <c r="AO1552" s="18" t="inlineStr">
        <is>
          <t>pokemon</t>
        </is>
      </c>
      <c r="AP1552" s="18" t="inlineStr">
        <is>
          <t>natural; jungle_pyramid</t>
        </is>
      </c>
      <c r="AQ1552" s="18" t="inlineStr">
        <is>
          <t>{"biomes":["#cobblemon:is_overworld"],"minY":48}</t>
        </is>
      </c>
      <c r="AR1552" s="18" t="inlineStr"/>
      <c r="AS1552" s="18" t="inlineStr"/>
      <c r="AT1552" s="19" t="inlineStr"/>
    </row>
    <row r="1553" ht="32" customHeight="1">
      <c r="A1553" s="18" t="inlineStr">
        <is>
          <t>0437_bronzong.json::bronzong-3::004</t>
        </is>
      </c>
      <c r="B1553" s="19" t="inlineStr">
        <is>
          <t>사용</t>
        </is>
      </c>
      <c r="C1553" s="18">
        <f>IF(OR(B1553&lt;&gt;AK1553,M1553&lt;&gt;L1553,O1553&lt;&gt;"",Q1553&lt;&gt;"",V1553&lt;&gt;1,Y1553&lt;&gt;"",AT1553&lt;&gt;""),"수정","원본")</f>
        <v/>
      </c>
      <c r="D1553" s="18" t="n">
        <v>437</v>
      </c>
      <c r="E1553" s="18" t="inlineStr">
        <is>
          <t>동탁군</t>
        </is>
      </c>
      <c r="F1553" s="18" t="inlineStr">
        <is>
          <t>bronzong</t>
        </is>
      </c>
      <c r="G1553" s="18" t="inlineStr">
        <is>
          <t>bronzong</t>
        </is>
      </c>
      <c r="H1553" s="18" t="inlineStr"/>
      <c r="I1553" s="18" t="n">
        <v>4</v>
      </c>
      <c r="J1553" s="18" t="n"/>
      <c r="K1553" s="18" t="n">
        <v>4</v>
      </c>
      <c r="L1553" s="18" t="inlineStr">
        <is>
          <t>cobbleventure:generation_4</t>
        </is>
      </c>
      <c r="M1553" s="19" t="inlineStr">
        <is>
          <t>cobbleventure:generation_4</t>
        </is>
      </c>
      <c r="N1553" s="18" t="inlineStr">
        <is>
          <t>region_01; region_02</t>
        </is>
      </c>
      <c r="O1553" s="19" t="inlineStr"/>
      <c r="P1553" s="18" t="inlineStr">
        <is>
          <t>#cobblemon:is_overworld</t>
        </is>
      </c>
      <c r="Q1553" s="19" t="inlineStr"/>
      <c r="R1553" s="18">
        <f>IF(Q1553="",P1553,Q1553)</f>
        <v/>
      </c>
      <c r="S1553" s="18" t="inlineStr"/>
      <c r="T1553" s="18" t="inlineStr">
        <is>
          <t>common</t>
        </is>
      </c>
      <c r="U1553" s="20" t="n">
        <v>6</v>
      </c>
      <c r="V1553" s="21" t="n">
        <v>1</v>
      </c>
      <c r="W1553" s="20">
        <f>IF(OR(U1553="",V1553=""),U1553,U1553*V1553)</f>
        <v/>
      </c>
      <c r="X1553" s="18" t="inlineStr">
        <is>
          <t>33-50</t>
        </is>
      </c>
      <c r="Y1553" s="19" t="inlineStr"/>
      <c r="Z1553" s="18">
        <f>IF(Y1553="",X1553,Y1553)</f>
        <v/>
      </c>
      <c r="AA1553" s="18" t="inlineStr">
        <is>
          <t>grounded</t>
        </is>
      </c>
      <c r="AB1553" s="18" t="inlineStr"/>
      <c r="AC1553" s="18" t="inlineStr"/>
      <c r="AD1553" s="18" t="inlineStr">
        <is>
          <t>minY=-37, maxY=10</t>
        </is>
      </c>
      <c r="AE1553" s="18" t="inlineStr"/>
      <c r="AF1553" s="18" t="inlineStr"/>
      <c r="AG1553" s="18" t="inlineStr">
        <is>
          <t>#cobblemon:ruin</t>
        </is>
      </c>
      <c r="AH1553" s="18" t="inlineStr"/>
      <c r="AI1553" s="18" t="inlineStr"/>
      <c r="AJ1553" s="18" t="inlineStr">
        <is>
          <t>Cobblemon 동일</t>
        </is>
      </c>
      <c r="AK1553" s="18" t="inlineStr">
        <is>
          <t>사용</t>
        </is>
      </c>
      <c r="AL1553" s="18" t="inlineStr">
        <is>
          <t>COBBLEVERSE 1.7.42 / DP v31</t>
        </is>
      </c>
      <c r="AM1553" s="18" t="inlineStr">
        <is>
          <t>data/cobblemon/spawn_pool_world/0437_bronzong.json</t>
        </is>
      </c>
      <c r="AN1553" s="18" t="inlineStr">
        <is>
          <t>bronzong-3</t>
        </is>
      </c>
      <c r="AO1553" s="18" t="inlineStr">
        <is>
          <t>pokemon</t>
        </is>
      </c>
      <c r="AP1553" s="18" t="inlineStr"/>
      <c r="AQ1553" s="18" t="inlineStr">
        <is>
          <t>{"biomes":["#cobblemon:is_overworld"],"maxY":10,"minY":-37,"structures":["#cobblemon:ruin"]}</t>
        </is>
      </c>
      <c r="AR1553" s="18" t="inlineStr"/>
      <c r="AS1553" s="18" t="inlineStr"/>
      <c r="AT1553" s="19" t="inlineStr"/>
    </row>
    <row r="1554" ht="32" customHeight="1">
      <c r="A1554" s="18" t="inlineStr">
        <is>
          <t>0437_bronzong.json::bronzong-4::005</t>
        </is>
      </c>
      <c r="B1554" s="19" t="inlineStr">
        <is>
          <t>사용</t>
        </is>
      </c>
      <c r="C1554" s="18">
        <f>IF(OR(B1554&lt;&gt;AK1554,M1554&lt;&gt;L1554,O1554&lt;&gt;"",Q1554&lt;&gt;"",V1554&lt;&gt;1,Y1554&lt;&gt;"",AT1554&lt;&gt;""),"수정","원본")</f>
        <v/>
      </c>
      <c r="D1554" s="18" t="n">
        <v>437</v>
      </c>
      <c r="E1554" s="18" t="inlineStr">
        <is>
          <t>동탁군</t>
        </is>
      </c>
      <c r="F1554" s="18" t="inlineStr">
        <is>
          <t>bronzong</t>
        </is>
      </c>
      <c r="G1554" s="18" t="inlineStr">
        <is>
          <t>bronzong</t>
        </is>
      </c>
      <c r="H1554" s="18" t="inlineStr"/>
      <c r="I1554" s="18" t="n">
        <v>4</v>
      </c>
      <c r="J1554" s="18" t="n"/>
      <c r="K1554" s="18" t="n">
        <v>4</v>
      </c>
      <c r="L1554" s="18" t="inlineStr">
        <is>
          <t>cobbleventure:generation_4</t>
        </is>
      </c>
      <c r="M1554" s="19" t="inlineStr">
        <is>
          <t>cobbleventure:generation_4</t>
        </is>
      </c>
      <c r="N1554" s="18" t="inlineStr">
        <is>
          <t>region_01; region_02</t>
        </is>
      </c>
      <c r="O1554" s="19" t="inlineStr"/>
      <c r="P1554" s="18" t="inlineStr">
        <is>
          <t>#cobblemon:is_overworld</t>
        </is>
      </c>
      <c r="Q1554" s="19" t="inlineStr"/>
      <c r="R1554" s="18">
        <f>IF(Q1554="",P1554,Q1554)</f>
        <v/>
      </c>
      <c r="S1554" s="18" t="inlineStr"/>
      <c r="T1554" s="18" t="inlineStr">
        <is>
          <t>common</t>
        </is>
      </c>
      <c r="U1554" s="20" t="n">
        <v>6</v>
      </c>
      <c r="V1554" s="21" t="n">
        <v>1</v>
      </c>
      <c r="W1554" s="20">
        <f>IF(OR(U1554="",V1554=""),U1554,U1554*V1554)</f>
        <v/>
      </c>
      <c r="X1554" s="18" t="inlineStr">
        <is>
          <t>33-50</t>
        </is>
      </c>
      <c r="Y1554" s="19" t="inlineStr"/>
      <c r="Z1554" s="18">
        <f>IF(Y1554="",X1554,Y1554)</f>
        <v/>
      </c>
      <c r="AA1554" s="18" t="inlineStr">
        <is>
          <t>grounded</t>
        </is>
      </c>
      <c r="AB1554" s="18" t="inlineStr"/>
      <c r="AC1554" s="18" t="inlineStr"/>
      <c r="AD1554" s="18" t="inlineStr">
        <is>
          <t>minY=48</t>
        </is>
      </c>
      <c r="AE1554" s="18" t="inlineStr"/>
      <c r="AF1554" s="18" t="inlineStr"/>
      <c r="AG1554" s="18" t="inlineStr"/>
      <c r="AH1554" s="18" t="inlineStr"/>
      <c r="AI1554" s="18" t="inlineStr"/>
      <c r="AJ1554" s="18" t="inlineStr">
        <is>
          <t>Cobblemon 동일</t>
        </is>
      </c>
      <c r="AK1554" s="18" t="inlineStr">
        <is>
          <t>사용</t>
        </is>
      </c>
      <c r="AL1554" s="18" t="inlineStr">
        <is>
          <t>COBBLEVERSE 1.7.42 / DP v31</t>
        </is>
      </c>
      <c r="AM1554" s="18" t="inlineStr">
        <is>
          <t>data/cobblemon/spawn_pool_world/0437_bronzong.json</t>
        </is>
      </c>
      <c r="AN1554" s="18" t="inlineStr">
        <is>
          <t>bronzong-4</t>
        </is>
      </c>
      <c r="AO1554" s="18" t="inlineStr">
        <is>
          <t>pokemon</t>
        </is>
      </c>
      <c r="AP1554" s="18" t="inlineStr">
        <is>
          <t>trail_ruins</t>
        </is>
      </c>
      <c r="AQ1554" s="18" t="inlineStr">
        <is>
          <t>{"biomes":["#cobblemon:is_overworld"],"minY":48}</t>
        </is>
      </c>
      <c r="AR1554" s="18" t="inlineStr"/>
      <c r="AS1554" s="18" t="inlineStr"/>
      <c r="AT1554" s="19" t="inlineStr"/>
    </row>
    <row r="1555" ht="32" customHeight="1">
      <c r="A1555" s="18" t="inlineStr">
        <is>
          <t>0438_bonsly.json::bonsly-1::001</t>
        </is>
      </c>
      <c r="B1555" s="19" t="inlineStr">
        <is>
          <t>사용</t>
        </is>
      </c>
      <c r="C1555" s="18">
        <f>IF(OR(B1555&lt;&gt;AK1555,M1555&lt;&gt;L1555,O1555&lt;&gt;"",Q1555&lt;&gt;"",V1555&lt;&gt;1,Y1555&lt;&gt;"",AT1555&lt;&gt;""),"수정","원본")</f>
        <v/>
      </c>
      <c r="D1555" s="18" t="n">
        <v>438</v>
      </c>
      <c r="E1555" s="18" t="inlineStr">
        <is>
          <t>꼬지지</t>
        </is>
      </c>
      <c r="F1555" s="18" t="inlineStr">
        <is>
          <t>bonsly</t>
        </is>
      </c>
      <c r="G1555" s="18" t="inlineStr">
        <is>
          <t>bonsly</t>
        </is>
      </c>
      <c r="H1555" s="18" t="inlineStr"/>
      <c r="I1555" s="18" t="n">
        <v>4</v>
      </c>
      <c r="J1555" s="18" t="n"/>
      <c r="K1555" s="18" t="n">
        <v>4</v>
      </c>
      <c r="L1555" s="18" t="inlineStr">
        <is>
          <t>cobbleventure:generation_4</t>
        </is>
      </c>
      <c r="M1555" s="19" t="inlineStr">
        <is>
          <t>cobbleventure:generation_4</t>
        </is>
      </c>
      <c r="N1555" s="18" t="inlineStr">
        <is>
          <t>region_01</t>
        </is>
      </c>
      <c r="O1555" s="19" t="inlineStr"/>
      <c r="P1555" s="18" t="inlineStr">
        <is>
          <t>#cobblemon:is_forest</t>
        </is>
      </c>
      <c r="Q1555" s="19" t="inlineStr"/>
      <c r="R1555" s="18">
        <f>IF(Q1555="",P1555,Q1555)</f>
        <v/>
      </c>
      <c r="S1555" s="18" t="inlineStr">
        <is>
          <t>#cobblemon:is_spooky</t>
        </is>
      </c>
      <c r="T1555" s="18" t="inlineStr">
        <is>
          <t>uncommon</t>
        </is>
      </c>
      <c r="U1555" s="20" t="n">
        <v>5.04</v>
      </c>
      <c r="V1555" s="21" t="n">
        <v>1</v>
      </c>
      <c r="W1555" s="20">
        <f>IF(OR(U1555="",V1555=""),U1555,U1555*V1555)</f>
        <v/>
      </c>
      <c r="X1555" s="18" t="inlineStr">
        <is>
          <t>4-29</t>
        </is>
      </c>
      <c r="Y1555" s="19" t="inlineStr"/>
      <c r="Z1555" s="18">
        <f>IF(Y1555="",X1555,Y1555)</f>
        <v/>
      </c>
      <c r="AA1555" s="18" t="inlineStr">
        <is>
          <t>grounded</t>
        </is>
      </c>
      <c r="AB1555" s="18" t="inlineStr"/>
      <c r="AC1555" s="18" t="inlineStr">
        <is>
          <t>비=False</t>
        </is>
      </c>
      <c r="AD1555" s="18" t="inlineStr"/>
      <c r="AE1555" s="18" t="inlineStr">
        <is>
          <t>sky 8-15</t>
        </is>
      </c>
      <c r="AF1555" s="18" t="inlineStr"/>
      <c r="AG1555" s="18" t="inlineStr"/>
      <c r="AH1555" s="18" t="inlineStr"/>
      <c r="AI1555" s="18" t="inlineStr"/>
      <c r="AJ1555" s="18" t="inlineStr">
        <is>
          <t>Cobblemon 동일</t>
        </is>
      </c>
      <c r="AK1555" s="18" t="inlineStr">
        <is>
          <t>사용</t>
        </is>
      </c>
      <c r="AL1555" s="18" t="inlineStr">
        <is>
          <t>COBBLEVERSE 1.7.42 / DP v31</t>
        </is>
      </c>
      <c r="AM1555" s="18" t="inlineStr">
        <is>
          <t>data/cobblemon/spawn_pool_world/0438_bonsly.json</t>
        </is>
      </c>
      <c r="AN1555" s="18" t="inlineStr">
        <is>
          <t>bonsly-1</t>
        </is>
      </c>
      <c r="AO1555" s="18" t="inlineStr">
        <is>
          <t>pokemon</t>
        </is>
      </c>
      <c r="AP1555" s="18" t="inlineStr">
        <is>
          <t>natural</t>
        </is>
      </c>
      <c r="AQ1555" s="18" t="inlineStr">
        <is>
          <t>{"biomes":["#cobblemon:is_forest"],"isRaining":false,"maxSkyLight":15,"minSkyLight":8}</t>
        </is>
      </c>
      <c r="AR1555" s="18" t="inlineStr">
        <is>
          <t>{"biomes":["#cobblemon:is_spooky"]}</t>
        </is>
      </c>
      <c r="AS1555" s="18" t="inlineStr"/>
      <c r="AT1555" s="19" t="inlineStr"/>
    </row>
    <row r="1556" ht="32" customHeight="1">
      <c r="A1556" s="18" t="inlineStr">
        <is>
          <t>0439_mimejr.json::mimejr-1::001</t>
        </is>
      </c>
      <c r="B1556" s="19" t="inlineStr">
        <is>
          <t>사용</t>
        </is>
      </c>
      <c r="C1556" s="18">
        <f>IF(OR(B1556&lt;&gt;AK1556,M1556&lt;&gt;L1556,O1556&lt;&gt;"",Q1556&lt;&gt;"",V1556&lt;&gt;1,Y1556&lt;&gt;"",AT1556&lt;&gt;""),"수정","원본")</f>
        <v/>
      </c>
      <c r="D1556" s="18" t="n">
        <v>439</v>
      </c>
      <c r="E1556" s="18" t="inlineStr">
        <is>
          <t>흉내내</t>
        </is>
      </c>
      <c r="F1556" s="18" t="inlineStr">
        <is>
          <t>mimejr</t>
        </is>
      </c>
      <c r="G1556" s="18" t="inlineStr">
        <is>
          <t>mimejr</t>
        </is>
      </c>
      <c r="H1556" s="18" t="inlineStr"/>
      <c r="I1556" s="18" t="n">
        <v>4</v>
      </c>
      <c r="J1556" s="18" t="n"/>
      <c r="K1556" s="18" t="n">
        <v>4</v>
      </c>
      <c r="L1556" s="18" t="inlineStr">
        <is>
          <t>cobbleventure:generation_4</t>
        </is>
      </c>
      <c r="M1556" s="19" t="inlineStr">
        <is>
          <t>cobbleventure:generation_4</t>
        </is>
      </c>
      <c r="N1556" s="18" t="inlineStr">
        <is>
          <t>region_01; region_02</t>
        </is>
      </c>
      <c r="O1556" s="19" t="inlineStr"/>
      <c r="P1556" s="18" t="inlineStr">
        <is>
          <t>#cobblemon:is_overworld</t>
        </is>
      </c>
      <c r="Q1556" s="19" t="inlineStr"/>
      <c r="R1556" s="18">
        <f>IF(Q1556="",P1556,Q1556)</f>
        <v/>
      </c>
      <c r="S1556" s="18" t="inlineStr">
        <is>
          <t>#cobblemon:is_freezing</t>
        </is>
      </c>
      <c r="T1556" s="18" t="inlineStr">
        <is>
          <t>uncommon</t>
        </is>
      </c>
      <c r="U1556" s="20" t="n">
        <v>1.68</v>
      </c>
      <c r="V1556" s="21" t="n">
        <v>1</v>
      </c>
      <c r="W1556" s="20">
        <f>IF(OR(U1556="",V1556=""),U1556,U1556*V1556)</f>
        <v/>
      </c>
      <c r="X1556" s="18" t="inlineStr">
        <is>
          <t>6-31</t>
        </is>
      </c>
      <c r="Y1556" s="19" t="inlineStr"/>
      <c r="Z1556" s="18">
        <f>IF(Y1556="",X1556,Y1556)</f>
        <v/>
      </c>
      <c r="AA1556" s="18" t="inlineStr">
        <is>
          <t>grounded</t>
        </is>
      </c>
      <c r="AB1556" s="18" t="inlineStr"/>
      <c r="AC1556" s="18" t="inlineStr"/>
      <c r="AD1556" s="18" t="inlineStr"/>
      <c r="AE1556" s="18" t="inlineStr">
        <is>
          <t>sky 8-15</t>
        </is>
      </c>
      <c r="AF1556" s="18" t="inlineStr"/>
      <c r="AG1556" s="18" t="inlineStr"/>
      <c r="AH1556" s="18" t="inlineStr"/>
      <c r="AI1556" s="18" t="inlineStr"/>
      <c r="AJ1556" s="18" t="inlineStr">
        <is>
          <t>COBBLEVERSE 수정</t>
        </is>
      </c>
      <c r="AK1556" s="18" t="inlineStr">
        <is>
          <t>사용</t>
        </is>
      </c>
      <c r="AL1556" s="18" t="inlineStr">
        <is>
          <t>COBBLEVERSE 1.7.42 / DP v31</t>
        </is>
      </c>
      <c r="AM1556" s="18" t="inlineStr">
        <is>
          <t>data/cobblemon/spawn_pool_world/0439_mimejr.json</t>
        </is>
      </c>
      <c r="AN1556" s="18" t="inlineStr">
        <is>
          <t>mimejr-1</t>
        </is>
      </c>
      <c r="AO1556" s="18" t="inlineStr">
        <is>
          <t>pokemon</t>
        </is>
      </c>
      <c r="AP1556" s="18" t="inlineStr">
        <is>
          <t>natural</t>
        </is>
      </c>
      <c r="AQ1556" s="18" t="inlineStr">
        <is>
          <t>{"biomes":["#cobblemon:is_overworld"],"maxSkyLight":15,"minSkyLight":8}</t>
        </is>
      </c>
      <c r="AR1556" s="18" t="inlineStr">
        <is>
          <t>{"biomes":["#cobblemon:is_freezing"]}</t>
        </is>
      </c>
      <c r="AS1556" s="18" t="inlineStr"/>
      <c r="AT1556" s="19" t="inlineStr"/>
    </row>
    <row r="1557" ht="32" customHeight="1">
      <c r="A1557" s="18" t="inlineStr">
        <is>
          <t>0439_mimejr.json::mimejr-2::002</t>
        </is>
      </c>
      <c r="B1557" s="19" t="inlineStr">
        <is>
          <t>사용</t>
        </is>
      </c>
      <c r="C1557" s="18">
        <f>IF(OR(B1557&lt;&gt;AK1557,M1557&lt;&gt;L1557,O1557&lt;&gt;"",Q1557&lt;&gt;"",V1557&lt;&gt;1,Y1557&lt;&gt;"",AT1557&lt;&gt;""),"수정","원본")</f>
        <v/>
      </c>
      <c r="D1557" s="18" t="n">
        <v>439</v>
      </c>
      <c r="E1557" s="18" t="inlineStr">
        <is>
          <t>흉내내</t>
        </is>
      </c>
      <c r="F1557" s="18" t="inlineStr">
        <is>
          <t>mimejr</t>
        </is>
      </c>
      <c r="G1557" s="18" t="inlineStr">
        <is>
          <t>mimejr</t>
        </is>
      </c>
      <c r="H1557" s="18" t="inlineStr"/>
      <c r="I1557" s="18" t="n">
        <v>4</v>
      </c>
      <c r="J1557" s="18" t="n"/>
      <c r="K1557" s="18" t="n">
        <v>4</v>
      </c>
      <c r="L1557" s="18" t="inlineStr">
        <is>
          <t>cobbleventure:generation_4</t>
        </is>
      </c>
      <c r="M1557" s="19" t="inlineStr">
        <is>
          <t>cobbleventure:generation_4</t>
        </is>
      </c>
      <c r="N1557" s="18" t="inlineStr">
        <is>
          <t>region_01; region_02</t>
        </is>
      </c>
      <c r="O1557" s="19" t="inlineStr"/>
      <c r="P1557" s="18" t="inlineStr">
        <is>
          <t>#cobblemon:is_overworld</t>
        </is>
      </c>
      <c r="Q1557" s="19" t="inlineStr"/>
      <c r="R1557" s="18">
        <f>IF(Q1557="",P1557,Q1557)</f>
        <v/>
      </c>
      <c r="S1557" s="18" t="inlineStr">
        <is>
          <t>#cobblemon:is_freezing</t>
        </is>
      </c>
      <c r="T1557" s="18" t="inlineStr">
        <is>
          <t>uncommon</t>
        </is>
      </c>
      <c r="U1557" s="20" t="n">
        <v>1.68</v>
      </c>
      <c r="V1557" s="21" t="n">
        <v>1</v>
      </c>
      <c r="W1557" s="20">
        <f>IF(OR(U1557="",V1557=""),U1557,U1557*V1557)</f>
        <v/>
      </c>
      <c r="X1557" s="18" t="inlineStr">
        <is>
          <t>6-31</t>
        </is>
      </c>
      <c r="Y1557" s="19" t="inlineStr"/>
      <c r="Z1557" s="18">
        <f>IF(Y1557="",X1557,Y1557)</f>
        <v/>
      </c>
      <c r="AA1557" s="18" t="inlineStr">
        <is>
          <t>grounded</t>
        </is>
      </c>
      <c r="AB1557" s="18" t="inlineStr"/>
      <c r="AC1557" s="18" t="inlineStr"/>
      <c r="AD1557" s="18" t="inlineStr"/>
      <c r="AE1557" s="18" t="inlineStr">
        <is>
          <t>sky 8-15</t>
        </is>
      </c>
      <c r="AF1557" s="18" t="inlineStr"/>
      <c r="AG1557" s="18" t="inlineStr">
        <is>
          <t>#minecraft:village</t>
        </is>
      </c>
      <c r="AH1557" s="18" t="inlineStr"/>
      <c r="AI1557" s="18" t="inlineStr"/>
      <c r="AJ1557" s="18" t="inlineStr">
        <is>
          <t>COBBLEVERSE 수정</t>
        </is>
      </c>
      <c r="AK1557" s="18" t="inlineStr">
        <is>
          <t>사용</t>
        </is>
      </c>
      <c r="AL1557" s="18" t="inlineStr">
        <is>
          <t>COBBLEVERSE 1.7.42 / DP v31</t>
        </is>
      </c>
      <c r="AM1557" s="18" t="inlineStr">
        <is>
          <t>data/cobblemon/spawn_pool_world/0439_mimejr.json</t>
        </is>
      </c>
      <c r="AN1557" s="18" t="inlineStr">
        <is>
          <t>mimejr-2</t>
        </is>
      </c>
      <c r="AO1557" s="18" t="inlineStr">
        <is>
          <t>pokemon</t>
        </is>
      </c>
      <c r="AP1557" s="18" t="inlineStr">
        <is>
          <t>natural</t>
        </is>
      </c>
      <c r="AQ1557" s="18" t="inlineStr">
        <is>
          <t>{"biomes":["#cobblemon:is_overworld"],"maxSkyLight":15,"minSkyLight":8,"structures":["#minecraft:village"]}</t>
        </is>
      </c>
      <c r="AR1557" s="18" t="inlineStr">
        <is>
          <t>{"biomes":["#cobblemon:is_freezing"]}</t>
        </is>
      </c>
      <c r="AS1557" s="18" t="inlineStr"/>
      <c r="AT1557" s="19" t="inlineStr"/>
    </row>
    <row r="1558" ht="32" customHeight="1">
      <c r="A1558" s="18" t="inlineStr">
        <is>
          <t>0439_mimejr.json::mimejr-3::003</t>
        </is>
      </c>
      <c r="B1558" s="19" t="inlineStr">
        <is>
          <t>사용</t>
        </is>
      </c>
      <c r="C1558" s="18">
        <f>IF(OR(B1558&lt;&gt;AK1558,M1558&lt;&gt;L1558,O1558&lt;&gt;"",Q1558&lt;&gt;"",V1558&lt;&gt;1,Y1558&lt;&gt;"",AT1558&lt;&gt;""),"수정","원본")</f>
        <v/>
      </c>
      <c r="D1558" s="18" t="n">
        <v>439</v>
      </c>
      <c r="E1558" s="18" t="inlineStr">
        <is>
          <t>흉내내</t>
        </is>
      </c>
      <c r="F1558" s="18" t="inlineStr">
        <is>
          <t>mimejr</t>
        </is>
      </c>
      <c r="G1558" s="18" t="inlineStr">
        <is>
          <t>mimejr</t>
        </is>
      </c>
      <c r="H1558" s="18" t="inlineStr"/>
      <c r="I1558" s="18" t="n">
        <v>4</v>
      </c>
      <c r="J1558" s="18" t="n"/>
      <c r="K1558" s="18" t="n">
        <v>4</v>
      </c>
      <c r="L1558" s="18" t="inlineStr">
        <is>
          <t>cobbleventure:generation_4</t>
        </is>
      </c>
      <c r="M1558" s="19" t="inlineStr">
        <is>
          <t>cobbleventure:generation_4</t>
        </is>
      </c>
      <c r="N1558" s="18" t="inlineStr">
        <is>
          <t>region_01; region_02</t>
        </is>
      </c>
      <c r="O1558" s="19" t="inlineStr"/>
      <c r="P1558" s="18" t="inlineStr">
        <is>
          <t>#cobblemon:is_overworld</t>
        </is>
      </c>
      <c r="Q1558" s="19" t="inlineStr"/>
      <c r="R1558" s="18">
        <f>IF(Q1558="",P1558,Q1558)</f>
        <v/>
      </c>
      <c r="S1558" s="18" t="inlineStr"/>
      <c r="T1558" s="18" t="inlineStr">
        <is>
          <t>common</t>
        </is>
      </c>
      <c r="U1558" s="20" t="n">
        <v>1.8</v>
      </c>
      <c r="V1558" s="21" t="n">
        <v>1</v>
      </c>
      <c r="W1558" s="20">
        <f>IF(OR(U1558="",V1558=""),U1558,U1558*V1558)</f>
        <v/>
      </c>
      <c r="X1558" s="18" t="inlineStr">
        <is>
          <t>6-31</t>
        </is>
      </c>
      <c r="Y1558" s="19" t="inlineStr"/>
      <c r="Z1558" s="18">
        <f>IF(Y1558="",X1558,Y1558)</f>
        <v/>
      </c>
      <c r="AA1558" s="18" t="inlineStr">
        <is>
          <t>grounded</t>
        </is>
      </c>
      <c r="AB1558" s="18" t="inlineStr"/>
      <c r="AC1558" s="18" t="inlineStr"/>
      <c r="AD1558" s="18" t="inlineStr"/>
      <c r="AE1558" s="18" t="inlineStr"/>
      <c r="AF1558" s="18" t="inlineStr">
        <is>
          <t>False</t>
        </is>
      </c>
      <c r="AG1558" s="18" t="inlineStr"/>
      <c r="AH1558" s="18" t="inlineStr"/>
      <c r="AI1558" s="18" t="inlineStr"/>
      <c r="AJ1558" s="18" t="inlineStr">
        <is>
          <t>COBBLEVERSE 수정</t>
        </is>
      </c>
      <c r="AK1558" s="18" t="inlineStr">
        <is>
          <t>사용</t>
        </is>
      </c>
      <c r="AL1558" s="18" t="inlineStr">
        <is>
          <t>COBBLEVERSE 1.7.42 / DP v31</t>
        </is>
      </c>
      <c r="AM1558" s="18" t="inlineStr">
        <is>
          <t>data/cobblemon/spawn_pool_world/0439_mimejr.json</t>
        </is>
      </c>
      <c r="AN1558" s="18" t="inlineStr">
        <is>
          <t>mimejr-3</t>
        </is>
      </c>
      <c r="AO1558" s="18" t="inlineStr">
        <is>
          <t>pokemon</t>
        </is>
      </c>
      <c r="AP1558" s="18" t="inlineStr">
        <is>
          <t>mansion</t>
        </is>
      </c>
      <c r="AQ1558" s="18" t="inlineStr">
        <is>
          <t>{"biomes":["#cobblemon:is_overworld"],"canSeeSky":false}</t>
        </is>
      </c>
      <c r="AR1558" s="18" t="inlineStr"/>
      <c r="AS1558" s="18" t="inlineStr"/>
      <c r="AT1558" s="19" t="inlineStr"/>
    </row>
    <row r="1559" ht="32" customHeight="1">
      <c r="A1559" s="18" t="inlineStr">
        <is>
          <t>0439_mimejr.json::mimejr-galar-1::004</t>
        </is>
      </c>
      <c r="B1559" s="19" t="inlineStr">
        <is>
          <t>사용</t>
        </is>
      </c>
      <c r="C1559" s="18">
        <f>IF(OR(B1559&lt;&gt;AK1559,M1559&lt;&gt;L1559,O1559&lt;&gt;"",Q1559&lt;&gt;"",V1559&lt;&gt;1,Y1559&lt;&gt;"",AT1559&lt;&gt;""),"수정","원본")</f>
        <v/>
      </c>
      <c r="D1559" s="18" t="n">
        <v>439</v>
      </c>
      <c r="E1559" s="18" t="inlineStr">
        <is>
          <t>흉내내</t>
        </is>
      </c>
      <c r="F1559" s="18" t="inlineStr">
        <is>
          <t>mimejr</t>
        </is>
      </c>
      <c r="G1559" s="18" t="inlineStr">
        <is>
          <t>mimejr region_bias=galar</t>
        </is>
      </c>
      <c r="H1559" s="18" t="inlineStr">
        <is>
          <t>region_bias=galar</t>
        </is>
      </c>
      <c r="I1559" s="18" t="n">
        <v>4</v>
      </c>
      <c r="J1559" s="18" t="n">
        <v>8</v>
      </c>
      <c r="K1559" s="18" t="n">
        <v>8</v>
      </c>
      <c r="L1559" s="18" t="inlineStr">
        <is>
          <t>cobbleventure:generation_8</t>
        </is>
      </c>
      <c r="M1559" s="19" t="inlineStr">
        <is>
          <t>cobbleventure:generation_8</t>
        </is>
      </c>
      <c r="N1559" s="18" t="inlineStr"/>
      <c r="O1559" s="19" t="inlineStr"/>
      <c r="P1559" s="18" t="inlineStr">
        <is>
          <t>#cobblemon:is_freezing</t>
        </is>
      </c>
      <c r="Q1559" s="19" t="inlineStr"/>
      <c r="R1559" s="18">
        <f>IF(Q1559="",P1559,Q1559)</f>
        <v/>
      </c>
      <c r="S1559" s="18" t="inlineStr"/>
      <c r="T1559" s="18" t="inlineStr">
        <is>
          <t>uncommon</t>
        </is>
      </c>
      <c r="U1559" s="20" t="n">
        <v>1.68</v>
      </c>
      <c r="V1559" s="21" t="n">
        <v>1</v>
      </c>
      <c r="W1559" s="20">
        <f>IF(OR(U1559="",V1559=""),U1559,U1559*V1559)</f>
        <v/>
      </c>
      <c r="X1559" s="18" t="inlineStr">
        <is>
          <t>6-31</t>
        </is>
      </c>
      <c r="Y1559" s="19" t="inlineStr"/>
      <c r="Z1559" s="18">
        <f>IF(Y1559="",X1559,Y1559)</f>
        <v/>
      </c>
      <c r="AA1559" s="18" t="inlineStr">
        <is>
          <t>grounded</t>
        </is>
      </c>
      <c r="AB1559" s="18" t="inlineStr"/>
      <c r="AC1559" s="18" t="inlineStr"/>
      <c r="AD1559" s="18" t="inlineStr"/>
      <c r="AE1559" s="18" t="inlineStr">
        <is>
          <t>sky 8-15</t>
        </is>
      </c>
      <c r="AF1559" s="18" t="inlineStr"/>
      <c r="AG1559" s="18" t="inlineStr"/>
      <c r="AH1559" s="18" t="inlineStr"/>
      <c r="AI1559" s="18" t="inlineStr"/>
      <c r="AJ1559" s="18" t="inlineStr">
        <is>
          <t>COBBLEVERSE 수정</t>
        </is>
      </c>
      <c r="AK1559" s="18" t="inlineStr">
        <is>
          <t>사용</t>
        </is>
      </c>
      <c r="AL1559" s="18" t="inlineStr">
        <is>
          <t>COBBLEVERSE 1.7.42 / DP v31</t>
        </is>
      </c>
      <c r="AM1559" s="18" t="inlineStr">
        <is>
          <t>data/cobblemon/spawn_pool_world/0439_mimejr.json</t>
        </is>
      </c>
      <c r="AN1559" s="18" t="inlineStr">
        <is>
          <t>mimejr-galar-1</t>
        </is>
      </c>
      <c r="AO1559" s="18" t="inlineStr">
        <is>
          <t>pokemon</t>
        </is>
      </c>
      <c r="AP1559" s="18" t="inlineStr">
        <is>
          <t>natural</t>
        </is>
      </c>
      <c r="AQ1559" s="18" t="inlineStr">
        <is>
          <t>{"biomes":["#cobblemon:is_freezing"],"maxSkyLight":15,"minSkyLight":8}</t>
        </is>
      </c>
      <c r="AR1559" s="18" t="inlineStr"/>
      <c r="AS1559" s="18" t="inlineStr"/>
      <c r="AT1559" s="19" t="inlineStr"/>
    </row>
    <row r="1560" ht="32" customHeight="1">
      <c r="A1560" s="18" t="inlineStr">
        <is>
          <t>0439_mimejr.json::mimejr-galar-2::005</t>
        </is>
      </c>
      <c r="B1560" s="19" t="inlineStr">
        <is>
          <t>사용</t>
        </is>
      </c>
      <c r="C1560" s="18">
        <f>IF(OR(B1560&lt;&gt;AK1560,M1560&lt;&gt;L1560,O1560&lt;&gt;"",Q1560&lt;&gt;"",V1560&lt;&gt;1,Y1560&lt;&gt;"",AT1560&lt;&gt;""),"수정","원본")</f>
        <v/>
      </c>
      <c r="D1560" s="18" t="n">
        <v>439</v>
      </c>
      <c r="E1560" s="18" t="inlineStr">
        <is>
          <t>흉내내</t>
        </is>
      </c>
      <c r="F1560" s="18" t="inlineStr">
        <is>
          <t>mimejr</t>
        </is>
      </c>
      <c r="G1560" s="18" t="inlineStr">
        <is>
          <t>mimejr region_bias=galar</t>
        </is>
      </c>
      <c r="H1560" s="18" t="inlineStr">
        <is>
          <t>region_bias=galar</t>
        </is>
      </c>
      <c r="I1560" s="18" t="n">
        <v>4</v>
      </c>
      <c r="J1560" s="18" t="n">
        <v>8</v>
      </c>
      <c r="K1560" s="18" t="n">
        <v>8</v>
      </c>
      <c r="L1560" s="18" t="inlineStr">
        <is>
          <t>cobbleventure:generation_8</t>
        </is>
      </c>
      <c r="M1560" s="19" t="inlineStr">
        <is>
          <t>cobbleventure:generation_8</t>
        </is>
      </c>
      <c r="N1560" s="18" t="inlineStr"/>
      <c r="O1560" s="19" t="inlineStr"/>
      <c r="P1560" s="18" t="inlineStr">
        <is>
          <t>#cobblemon:is_freezing</t>
        </is>
      </c>
      <c r="Q1560" s="19" t="inlineStr"/>
      <c r="R1560" s="18">
        <f>IF(Q1560="",P1560,Q1560)</f>
        <v/>
      </c>
      <c r="S1560" s="18" t="inlineStr"/>
      <c r="T1560" s="18" t="inlineStr">
        <is>
          <t>uncommon</t>
        </is>
      </c>
      <c r="U1560" s="20" t="n">
        <v>1.68</v>
      </c>
      <c r="V1560" s="21" t="n">
        <v>1</v>
      </c>
      <c r="W1560" s="20">
        <f>IF(OR(U1560="",V1560=""),U1560,U1560*V1560)</f>
        <v/>
      </c>
      <c r="X1560" s="18" t="inlineStr">
        <is>
          <t>6-31</t>
        </is>
      </c>
      <c r="Y1560" s="19" t="inlineStr"/>
      <c r="Z1560" s="18">
        <f>IF(Y1560="",X1560,Y1560)</f>
        <v/>
      </c>
      <c r="AA1560" s="18" t="inlineStr">
        <is>
          <t>grounded</t>
        </is>
      </c>
      <c r="AB1560" s="18" t="inlineStr"/>
      <c r="AC1560" s="18" t="inlineStr"/>
      <c r="AD1560" s="18" t="inlineStr"/>
      <c r="AE1560" s="18" t="inlineStr">
        <is>
          <t>sky 8-15</t>
        </is>
      </c>
      <c r="AF1560" s="18" t="inlineStr"/>
      <c r="AG1560" s="18" t="inlineStr">
        <is>
          <t>#minecraft:village</t>
        </is>
      </c>
      <c r="AH1560" s="18" t="inlineStr"/>
      <c r="AI1560" s="18" t="inlineStr"/>
      <c r="AJ1560" s="18" t="inlineStr">
        <is>
          <t>COBBLEVERSE 수정</t>
        </is>
      </c>
      <c r="AK1560" s="18" t="inlineStr">
        <is>
          <t>사용</t>
        </is>
      </c>
      <c r="AL1560" s="18" t="inlineStr">
        <is>
          <t>COBBLEVERSE 1.7.42 / DP v31</t>
        </is>
      </c>
      <c r="AM1560" s="18" t="inlineStr">
        <is>
          <t>data/cobblemon/spawn_pool_world/0439_mimejr.json</t>
        </is>
      </c>
      <c r="AN1560" s="18" t="inlineStr">
        <is>
          <t>mimejr-galar-2</t>
        </is>
      </c>
      <c r="AO1560" s="18" t="inlineStr">
        <is>
          <t>pokemon</t>
        </is>
      </c>
      <c r="AP1560" s="18" t="inlineStr">
        <is>
          <t>natural</t>
        </is>
      </c>
      <c r="AQ1560" s="18" t="inlineStr">
        <is>
          <t>{"biomes":["#cobblemon:is_freezing"],"maxSkyLight":15,"minSkyLight":8,"structures":["#minecraft:village"]}</t>
        </is>
      </c>
      <c r="AR1560" s="18" t="inlineStr"/>
      <c r="AS1560" s="18" t="inlineStr"/>
      <c r="AT1560" s="19" t="inlineStr"/>
    </row>
    <row r="1561" ht="32" customHeight="1">
      <c r="A1561" s="18" t="inlineStr">
        <is>
          <t>0440_happiny.json::happiny-1::001</t>
        </is>
      </c>
      <c r="B1561" s="19" t="inlineStr">
        <is>
          <t>사용</t>
        </is>
      </c>
      <c r="C1561" s="18">
        <f>IF(OR(B1561&lt;&gt;AK1561,M1561&lt;&gt;L1561,O1561&lt;&gt;"",Q1561&lt;&gt;"",V1561&lt;&gt;1,Y1561&lt;&gt;"",AT1561&lt;&gt;""),"수정","원본")</f>
        <v/>
      </c>
      <c r="D1561" s="18" t="n">
        <v>440</v>
      </c>
      <c r="E1561" s="18" t="inlineStr">
        <is>
          <t>핑복</t>
        </is>
      </c>
      <c r="F1561" s="18" t="inlineStr">
        <is>
          <t>happiny</t>
        </is>
      </c>
      <c r="G1561" s="18" t="inlineStr">
        <is>
          <t>happiny</t>
        </is>
      </c>
      <c r="H1561" s="18" t="inlineStr"/>
      <c r="I1561" s="18" t="n">
        <v>4</v>
      </c>
      <c r="J1561" s="18" t="n"/>
      <c r="K1561" s="18" t="n">
        <v>4</v>
      </c>
      <c r="L1561" s="18" t="inlineStr">
        <is>
          <t>cobbleventure:generation_4</t>
        </is>
      </c>
      <c r="M1561" s="19" t="inlineStr">
        <is>
          <t>cobbleventure:generation_4</t>
        </is>
      </c>
      <c r="N1561" s="18" t="inlineStr">
        <is>
          <t>region_01; region_02</t>
        </is>
      </c>
      <c r="O1561" s="19" t="inlineStr"/>
      <c r="P1561" s="18" t="inlineStr">
        <is>
          <t>#cobblemon:is_overworld</t>
        </is>
      </c>
      <c r="Q1561" s="19" t="inlineStr"/>
      <c r="R1561" s="18">
        <f>IF(Q1561="",P1561,Q1561)</f>
        <v/>
      </c>
      <c r="S1561" s="18" t="inlineStr"/>
      <c r="T1561" s="18" t="inlineStr">
        <is>
          <t>rare</t>
        </is>
      </c>
      <c r="U1561" s="20" t="n">
        <v>8.75</v>
      </c>
      <c r="V1561" s="21" t="n">
        <v>1</v>
      </c>
      <c r="W1561" s="20">
        <f>IF(OR(U1561="",V1561=""),U1561,U1561*V1561)</f>
        <v/>
      </c>
      <c r="X1561" s="18" t="inlineStr">
        <is>
          <t>1-22</t>
        </is>
      </c>
      <c r="Y1561" s="19" t="inlineStr"/>
      <c r="Z1561" s="18">
        <f>IF(Y1561="",X1561,Y1561)</f>
        <v/>
      </c>
      <c r="AA1561" s="18" t="inlineStr">
        <is>
          <t>grounded</t>
        </is>
      </c>
      <c r="AB1561" s="18" t="inlineStr"/>
      <c r="AC1561" s="18" t="inlineStr"/>
      <c r="AD1561" s="18" t="inlineStr"/>
      <c r="AE1561" s="18" t="inlineStr">
        <is>
          <t>sky 8-15</t>
        </is>
      </c>
      <c r="AF1561" s="18" t="inlineStr"/>
      <c r="AG1561" s="18" t="inlineStr"/>
      <c r="AH1561" s="18" t="inlineStr"/>
      <c r="AI1561" s="18" t="inlineStr"/>
      <c r="AJ1561" s="18" t="inlineStr">
        <is>
          <t>COBBLEVERSE 수정</t>
        </is>
      </c>
      <c r="AK1561" s="18" t="inlineStr">
        <is>
          <t>사용</t>
        </is>
      </c>
      <c r="AL1561" s="18" t="inlineStr">
        <is>
          <t>COBBLEVERSE 1.7.42 / DP v31</t>
        </is>
      </c>
      <c r="AM1561" s="18" t="inlineStr">
        <is>
          <t>data/cobblemon/spawn_pool_world/0440_happiny.json</t>
        </is>
      </c>
      <c r="AN1561" s="18" t="inlineStr">
        <is>
          <t>happiny-1</t>
        </is>
      </c>
      <c r="AO1561" s="18" t="inlineStr">
        <is>
          <t>pokemon</t>
        </is>
      </c>
      <c r="AP1561" s="18" t="inlineStr">
        <is>
          <t>natural</t>
        </is>
      </c>
      <c r="AQ1561" s="18" t="inlineStr">
        <is>
          <t>{"biomes":["#cobblemon:is_overworld"],"maxSkyLight":15,"minSkyLight":8}</t>
        </is>
      </c>
      <c r="AR1561" s="18" t="inlineStr"/>
      <c r="AS1561" s="18" t="inlineStr">
        <is>
          <t>{"weightMultiplier":{"condition":{"timeRange":"night"},"multiplier":0.25}}</t>
        </is>
      </c>
      <c r="AT1561" s="19" t="inlineStr"/>
    </row>
    <row r="1562" ht="32" customHeight="1">
      <c r="A1562" s="18" t="inlineStr">
        <is>
          <t>0440_happiny.json::happiny-2::002</t>
        </is>
      </c>
      <c r="B1562" s="19" t="inlineStr">
        <is>
          <t>사용</t>
        </is>
      </c>
      <c r="C1562" s="18">
        <f>IF(OR(B1562&lt;&gt;AK1562,M1562&lt;&gt;L1562,O1562&lt;&gt;"",Q1562&lt;&gt;"",V1562&lt;&gt;1,Y1562&lt;&gt;"",AT1562&lt;&gt;""),"수정","원본")</f>
        <v/>
      </c>
      <c r="D1562" s="18" t="n">
        <v>440</v>
      </c>
      <c r="E1562" s="18" t="inlineStr">
        <is>
          <t>핑복</t>
        </is>
      </c>
      <c r="F1562" s="18" t="inlineStr">
        <is>
          <t>happiny</t>
        </is>
      </c>
      <c r="G1562" s="18" t="inlineStr">
        <is>
          <t>happiny</t>
        </is>
      </c>
      <c r="H1562" s="18" t="inlineStr"/>
      <c r="I1562" s="18" t="n">
        <v>4</v>
      </c>
      <c r="J1562" s="18" t="n"/>
      <c r="K1562" s="18" t="n">
        <v>4</v>
      </c>
      <c r="L1562" s="18" t="inlineStr">
        <is>
          <t>cobbleventure:generation_4</t>
        </is>
      </c>
      <c r="M1562" s="19" t="inlineStr">
        <is>
          <t>cobbleventure:generation_4</t>
        </is>
      </c>
      <c r="N1562" s="18" t="inlineStr">
        <is>
          <t>region_01; region_02</t>
        </is>
      </c>
      <c r="O1562" s="19" t="inlineStr"/>
      <c r="P1562" s="18" t="inlineStr">
        <is>
          <t>#cobblemon:is_overworld</t>
        </is>
      </c>
      <c r="Q1562" s="19" t="inlineStr"/>
      <c r="R1562" s="18">
        <f>IF(Q1562="",P1562,Q1562)</f>
        <v/>
      </c>
      <c r="S1562" s="18" t="inlineStr"/>
      <c r="T1562" s="18" t="inlineStr">
        <is>
          <t>rare</t>
        </is>
      </c>
      <c r="U1562" s="20" t="n">
        <v>8.75</v>
      </c>
      <c r="V1562" s="21" t="n">
        <v>1</v>
      </c>
      <c r="W1562" s="20">
        <f>IF(OR(U1562="",V1562=""),U1562,U1562*V1562)</f>
        <v/>
      </c>
      <c r="X1562" s="18" t="inlineStr">
        <is>
          <t>1-22</t>
        </is>
      </c>
      <c r="Y1562" s="19" t="inlineStr"/>
      <c r="Z1562" s="18">
        <f>IF(Y1562="",X1562,Y1562)</f>
        <v/>
      </c>
      <c r="AA1562" s="18" t="inlineStr">
        <is>
          <t>grounded</t>
        </is>
      </c>
      <c r="AB1562" s="18" t="inlineStr"/>
      <c r="AC1562" s="18" t="inlineStr"/>
      <c r="AD1562" s="18" t="inlineStr"/>
      <c r="AE1562" s="18" t="inlineStr">
        <is>
          <t>sky 8-15</t>
        </is>
      </c>
      <c r="AF1562" s="18" t="inlineStr"/>
      <c r="AG1562" s="18" t="inlineStr">
        <is>
          <t>#minecraft:village</t>
        </is>
      </c>
      <c r="AH1562" s="18" t="inlineStr"/>
      <c r="AI1562" s="18" t="inlineStr"/>
      <c r="AJ1562" s="18" t="inlineStr">
        <is>
          <t>COBBLEVERSE 수정</t>
        </is>
      </c>
      <c r="AK1562" s="18" t="inlineStr">
        <is>
          <t>사용</t>
        </is>
      </c>
      <c r="AL1562" s="18" t="inlineStr">
        <is>
          <t>COBBLEVERSE 1.7.42 / DP v31</t>
        </is>
      </c>
      <c r="AM1562" s="18" t="inlineStr">
        <is>
          <t>data/cobblemon/spawn_pool_world/0440_happiny.json</t>
        </is>
      </c>
      <c r="AN1562" s="18" t="inlineStr">
        <is>
          <t>happiny-2</t>
        </is>
      </c>
      <c r="AO1562" s="18" t="inlineStr">
        <is>
          <t>pokemon</t>
        </is>
      </c>
      <c r="AP1562" s="18" t="inlineStr">
        <is>
          <t>natural</t>
        </is>
      </c>
      <c r="AQ1562" s="18" t="inlineStr">
        <is>
          <t>{"biomes":["#cobblemon:is_overworld"],"maxSkyLight":15,"minSkyLight":8,"structures":["#minecraft:village"]}</t>
        </is>
      </c>
      <c r="AR1562" s="18" t="inlineStr"/>
      <c r="AS1562" s="18" t="inlineStr">
        <is>
          <t>{"weightMultiplier":{"condition":{"timeRange":"night"},"multiplier":0.25}}</t>
        </is>
      </c>
      <c r="AT1562" s="19" t="inlineStr"/>
    </row>
    <row r="1563" ht="32" customHeight="1">
      <c r="A1563" s="18" t="inlineStr">
        <is>
          <t>0440_happiny.json::happiny-3::003</t>
        </is>
      </c>
      <c r="B1563" s="19" t="inlineStr">
        <is>
          <t>사용</t>
        </is>
      </c>
      <c r="C1563" s="18">
        <f>IF(OR(B1563&lt;&gt;AK1563,M1563&lt;&gt;L1563,O1563&lt;&gt;"",Q1563&lt;&gt;"",V1563&lt;&gt;1,Y1563&lt;&gt;"",AT1563&lt;&gt;""),"수정","원본")</f>
        <v/>
      </c>
      <c r="D1563" s="18" t="n">
        <v>440</v>
      </c>
      <c r="E1563" s="18" t="inlineStr">
        <is>
          <t>핑복</t>
        </is>
      </c>
      <c r="F1563" s="18" t="inlineStr">
        <is>
          <t>happiny</t>
        </is>
      </c>
      <c r="G1563" s="18" t="inlineStr">
        <is>
          <t>happiny</t>
        </is>
      </c>
      <c r="H1563" s="18" t="inlineStr"/>
      <c r="I1563" s="18" t="n">
        <v>4</v>
      </c>
      <c r="J1563" s="18" t="n"/>
      <c r="K1563" s="18" t="n">
        <v>4</v>
      </c>
      <c r="L1563" s="18" t="inlineStr">
        <is>
          <t>cobbleventure:generation_4</t>
        </is>
      </c>
      <c r="M1563" s="19" t="inlineStr">
        <is>
          <t>cobbleventure:generation_4</t>
        </is>
      </c>
      <c r="N1563" s="18" t="inlineStr"/>
      <c r="O1563" s="19" t="inlineStr"/>
      <c r="P1563" s="18" t="inlineStr">
        <is>
          <t>#aether:is_aether</t>
        </is>
      </c>
      <c r="Q1563" s="19" t="inlineStr"/>
      <c r="R1563" s="18">
        <f>IF(Q1563="",P1563,Q1563)</f>
        <v/>
      </c>
      <c r="S1563" s="18" t="inlineStr"/>
      <c r="T1563" s="18" t="inlineStr">
        <is>
          <t>rare</t>
        </is>
      </c>
      <c r="U1563" s="20" t="n">
        <v>8.75</v>
      </c>
      <c r="V1563" s="21" t="n">
        <v>1</v>
      </c>
      <c r="W1563" s="20">
        <f>IF(OR(U1563="",V1563=""),U1563,U1563*V1563)</f>
        <v/>
      </c>
      <c r="X1563" s="18" t="inlineStr">
        <is>
          <t>1-22</t>
        </is>
      </c>
      <c r="Y1563" s="19" t="inlineStr"/>
      <c r="Z1563" s="18">
        <f>IF(Y1563="",X1563,Y1563)</f>
        <v/>
      </c>
      <c r="AA1563" s="18" t="inlineStr">
        <is>
          <t>grounded</t>
        </is>
      </c>
      <c r="AB1563" s="18" t="inlineStr"/>
      <c r="AC1563" s="18" t="inlineStr"/>
      <c r="AD1563" s="18" t="inlineStr"/>
      <c r="AE1563" s="18" t="inlineStr">
        <is>
          <t>sky 8-15</t>
        </is>
      </c>
      <c r="AF1563" s="18" t="inlineStr"/>
      <c r="AG1563" s="18" t="inlineStr"/>
      <c r="AH1563" s="18" t="inlineStr"/>
      <c r="AI1563" s="18" t="inlineStr"/>
      <c r="AJ1563" s="18" t="inlineStr">
        <is>
          <t>COBBLEVERSE 수정</t>
        </is>
      </c>
      <c r="AK1563" s="18" t="inlineStr">
        <is>
          <t>사용</t>
        </is>
      </c>
      <c r="AL1563" s="18" t="inlineStr">
        <is>
          <t>COBBLEVERSE 1.7.42 / DP v31</t>
        </is>
      </c>
      <c r="AM1563" s="18" t="inlineStr">
        <is>
          <t>data/cobblemon/spawn_pool_world/0440_happiny.json</t>
        </is>
      </c>
      <c r="AN1563" s="18" t="inlineStr">
        <is>
          <t>happiny-3</t>
        </is>
      </c>
      <c r="AO1563" s="18" t="inlineStr">
        <is>
          <t>pokemon</t>
        </is>
      </c>
      <c r="AP1563" s="18" t="inlineStr">
        <is>
          <t>natural</t>
        </is>
      </c>
      <c r="AQ1563" s="18" t="inlineStr">
        <is>
          <t>{"biomes":["#aether:is_aether"],"maxSkyLight":15,"minSkyLight":8}</t>
        </is>
      </c>
      <c r="AR1563" s="18" t="inlineStr"/>
      <c r="AS1563" s="18" t="inlineStr"/>
      <c r="AT1563" s="19" t="inlineStr"/>
    </row>
    <row r="1564" ht="32" customHeight="1">
      <c r="A1564" s="18" t="inlineStr">
        <is>
          <t>0441_chatot.json::chatot-1::001</t>
        </is>
      </c>
      <c r="B1564" s="19" t="inlineStr">
        <is>
          <t>사용</t>
        </is>
      </c>
      <c r="C1564" s="18">
        <f>IF(OR(B1564&lt;&gt;AK1564,M1564&lt;&gt;L1564,O1564&lt;&gt;"",Q1564&lt;&gt;"",V1564&lt;&gt;1,Y1564&lt;&gt;"",AT1564&lt;&gt;""),"수정","원본")</f>
        <v/>
      </c>
      <c r="D1564" s="18" t="n">
        <v>441</v>
      </c>
      <c r="E1564" s="18" t="inlineStr">
        <is>
          <t>페라페</t>
        </is>
      </c>
      <c r="F1564" s="18" t="inlineStr">
        <is>
          <t>chatot</t>
        </is>
      </c>
      <c r="G1564" s="18" t="inlineStr">
        <is>
          <t>chatot</t>
        </is>
      </c>
      <c r="H1564" s="18" t="inlineStr"/>
      <c r="I1564" s="18" t="n">
        <v>4</v>
      </c>
      <c r="J1564" s="18" t="n"/>
      <c r="K1564" s="18" t="n">
        <v>4</v>
      </c>
      <c r="L1564" s="18" t="inlineStr">
        <is>
          <t>cobbleventure:generation_4</t>
        </is>
      </c>
      <c r="M1564" s="19" t="inlineStr">
        <is>
          <t>cobbleventure:generation_4</t>
        </is>
      </c>
      <c r="N1564" s="18" t="inlineStr"/>
      <c r="O1564" s="19" t="inlineStr"/>
      <c r="P1564" s="18" t="inlineStr">
        <is>
          <t>#cobblemon:is_jungle</t>
        </is>
      </c>
      <c r="Q1564" s="19" t="inlineStr"/>
      <c r="R1564" s="18">
        <f>IF(Q1564="",P1564,Q1564)</f>
        <v/>
      </c>
      <c r="S1564" s="18" t="inlineStr"/>
      <c r="T1564" s="18" t="inlineStr">
        <is>
          <t>uncommon</t>
        </is>
      </c>
      <c r="U1564" s="20" t="n">
        <v>10</v>
      </c>
      <c r="V1564" s="21" t="n">
        <v>1</v>
      </c>
      <c r="W1564" s="20">
        <f>IF(OR(U1564="",V1564=""),U1564,U1564*V1564)</f>
        <v/>
      </c>
      <c r="X1564" s="18" t="inlineStr">
        <is>
          <t>16-41</t>
        </is>
      </c>
      <c r="Y1564" s="19" t="inlineStr"/>
      <c r="Z1564" s="18">
        <f>IF(Y1564="",X1564,Y1564)</f>
        <v/>
      </c>
      <c r="AA1564" s="18" t="inlineStr">
        <is>
          <t>grounded</t>
        </is>
      </c>
      <c r="AB1564" s="18" t="inlineStr">
        <is>
          <t>day</t>
        </is>
      </c>
      <c r="AC1564" s="18" t="inlineStr"/>
      <c r="AD1564" s="18" t="inlineStr"/>
      <c r="AE1564" s="18" t="inlineStr">
        <is>
          <t>sky 8-15</t>
        </is>
      </c>
      <c r="AF1564" s="18" t="inlineStr"/>
      <c r="AG1564" s="18" t="inlineStr"/>
      <c r="AH1564" s="18" t="inlineStr"/>
      <c r="AI1564" s="18" t="inlineStr"/>
      <c r="AJ1564" s="18" t="inlineStr">
        <is>
          <t>Cobblemon 동일</t>
        </is>
      </c>
      <c r="AK1564" s="18" t="inlineStr">
        <is>
          <t>사용</t>
        </is>
      </c>
      <c r="AL1564" s="18" t="inlineStr">
        <is>
          <t>COBBLEVERSE 1.7.42 / DP v31</t>
        </is>
      </c>
      <c r="AM1564" s="18" t="inlineStr">
        <is>
          <t>data/cobblemon/spawn_pool_world/0441_chatot.json</t>
        </is>
      </c>
      <c r="AN1564" s="18" t="inlineStr">
        <is>
          <t>chatot-1</t>
        </is>
      </c>
      <c r="AO1564" s="18" t="inlineStr">
        <is>
          <t>pokemon</t>
        </is>
      </c>
      <c r="AP1564" s="18" t="inlineStr">
        <is>
          <t>natural; treetop</t>
        </is>
      </c>
      <c r="AQ1564" s="18" t="inlineStr">
        <is>
          <t>{"biomes":["#cobblemon:is_jungle"],"maxSkyLight":15,"minSkyLight":8,"timeRange":"day"}</t>
        </is>
      </c>
      <c r="AR1564" s="18" t="inlineStr"/>
      <c r="AS1564" s="18" t="inlineStr"/>
      <c r="AT1564" s="19" t="inlineStr"/>
    </row>
    <row r="1565" ht="32" customHeight="1">
      <c r="A1565" s="18" t="inlineStr">
        <is>
          <t>0441_chatot.json::chatot-2::002</t>
        </is>
      </c>
      <c r="B1565" s="19" t="inlineStr">
        <is>
          <t>사용</t>
        </is>
      </c>
      <c r="C1565" s="18">
        <f>IF(OR(B1565&lt;&gt;AK1565,M1565&lt;&gt;L1565,O1565&lt;&gt;"",Q1565&lt;&gt;"",V1565&lt;&gt;1,Y1565&lt;&gt;"",AT1565&lt;&gt;""),"수정","원본")</f>
        <v/>
      </c>
      <c r="D1565" s="18" t="n">
        <v>441</v>
      </c>
      <c r="E1565" s="18" t="inlineStr">
        <is>
          <t>페라페</t>
        </is>
      </c>
      <c r="F1565" s="18" t="inlineStr">
        <is>
          <t>chatot</t>
        </is>
      </c>
      <c r="G1565" s="18" t="inlineStr">
        <is>
          <t>chatot</t>
        </is>
      </c>
      <c r="H1565" s="18" t="inlineStr"/>
      <c r="I1565" s="18" t="n">
        <v>4</v>
      </c>
      <c r="J1565" s="18" t="n"/>
      <c r="K1565" s="18" t="n">
        <v>4</v>
      </c>
      <c r="L1565" s="18" t="inlineStr">
        <is>
          <t>cobbleventure:generation_4</t>
        </is>
      </c>
      <c r="M1565" s="19" t="inlineStr">
        <is>
          <t>cobbleventure:generation_4</t>
        </is>
      </c>
      <c r="N1565" s="18" t="inlineStr"/>
      <c r="O1565" s="19" t="inlineStr"/>
      <c r="P1565" s="18" t="inlineStr">
        <is>
          <t>#cobblemon:is_tropical_island</t>
        </is>
      </c>
      <c r="Q1565" s="19" t="inlineStr"/>
      <c r="R1565" s="18">
        <f>IF(Q1565="",P1565,Q1565)</f>
        <v/>
      </c>
      <c r="S1565" s="18" t="inlineStr"/>
      <c r="T1565" s="18" t="inlineStr">
        <is>
          <t>common</t>
        </is>
      </c>
      <c r="U1565" s="20" t="n">
        <v>6</v>
      </c>
      <c r="V1565" s="21" t="n">
        <v>1</v>
      </c>
      <c r="W1565" s="20">
        <f>IF(OR(U1565="",V1565=""),U1565,U1565*V1565)</f>
        <v/>
      </c>
      <c r="X1565" s="18" t="inlineStr">
        <is>
          <t>16-41</t>
        </is>
      </c>
      <c r="Y1565" s="19" t="inlineStr"/>
      <c r="Z1565" s="18">
        <f>IF(Y1565="",X1565,Y1565)</f>
        <v/>
      </c>
      <c r="AA1565" s="18" t="inlineStr">
        <is>
          <t>grounded</t>
        </is>
      </c>
      <c r="AB1565" s="18" t="inlineStr">
        <is>
          <t>day</t>
        </is>
      </c>
      <c r="AC1565" s="18" t="inlineStr"/>
      <c r="AD1565" s="18" t="inlineStr"/>
      <c r="AE1565" s="18" t="inlineStr">
        <is>
          <t>sky 8-15</t>
        </is>
      </c>
      <c r="AF1565" s="18" t="inlineStr"/>
      <c r="AG1565" s="18" t="inlineStr"/>
      <c r="AH1565" s="18" t="inlineStr"/>
      <c r="AI1565" s="18" t="inlineStr"/>
      <c r="AJ1565" s="18" t="inlineStr">
        <is>
          <t>Cobblemon 동일</t>
        </is>
      </c>
      <c r="AK1565" s="18" t="inlineStr">
        <is>
          <t>사용</t>
        </is>
      </c>
      <c r="AL1565" s="18" t="inlineStr">
        <is>
          <t>COBBLEVERSE 1.7.42 / DP v31</t>
        </is>
      </c>
      <c r="AM1565" s="18" t="inlineStr">
        <is>
          <t>data/cobblemon/spawn_pool_world/0441_chatot.json</t>
        </is>
      </c>
      <c r="AN1565" s="18" t="inlineStr">
        <is>
          <t>chatot-2</t>
        </is>
      </c>
      <c r="AO1565" s="18" t="inlineStr">
        <is>
          <t>pokemon</t>
        </is>
      </c>
      <c r="AP1565" s="18" t="inlineStr">
        <is>
          <t>natural; treetop</t>
        </is>
      </c>
      <c r="AQ1565" s="18" t="inlineStr">
        <is>
          <t>{"biomes":["#cobblemon:is_tropical_island"],"maxSkyLight":15,"minSkyLight":8,"timeRange":"day"}</t>
        </is>
      </c>
      <c r="AR1565" s="18" t="inlineStr"/>
      <c r="AS1565" s="18" t="inlineStr"/>
      <c r="AT1565" s="19" t="inlineStr"/>
    </row>
    <row r="1566" ht="32" customHeight="1">
      <c r="A1566" s="18" t="inlineStr">
        <is>
          <t>0441_chatot.json::chatot-3::003</t>
        </is>
      </c>
      <c r="B1566" s="19" t="inlineStr">
        <is>
          <t>사용</t>
        </is>
      </c>
      <c r="C1566" s="18">
        <f>IF(OR(B1566&lt;&gt;AK1566,M1566&lt;&gt;L1566,O1566&lt;&gt;"",Q1566&lt;&gt;"",V1566&lt;&gt;1,Y1566&lt;&gt;"",AT1566&lt;&gt;""),"수정","원본")</f>
        <v/>
      </c>
      <c r="D1566" s="18" t="n">
        <v>441</v>
      </c>
      <c r="E1566" s="18" t="inlineStr">
        <is>
          <t>페라페</t>
        </is>
      </c>
      <c r="F1566" s="18" t="inlineStr">
        <is>
          <t>chatot</t>
        </is>
      </c>
      <c r="G1566" s="18" t="inlineStr">
        <is>
          <t>chatot</t>
        </is>
      </c>
      <c r="H1566" s="18" t="inlineStr"/>
      <c r="I1566" s="18" t="n">
        <v>4</v>
      </c>
      <c r="J1566" s="18" t="n"/>
      <c r="K1566" s="18" t="n">
        <v>4</v>
      </c>
      <c r="L1566" s="18" t="inlineStr">
        <is>
          <t>cobbleventure:generation_4</t>
        </is>
      </c>
      <c r="M1566" s="19" t="inlineStr">
        <is>
          <t>cobbleventure:generation_4</t>
        </is>
      </c>
      <c r="N1566" s="18" t="inlineStr"/>
      <c r="O1566" s="19" t="inlineStr"/>
      <c r="P1566" s="18" t="inlineStr">
        <is>
          <t>#cobblemon:is_sky</t>
        </is>
      </c>
      <c r="Q1566" s="19" t="inlineStr"/>
      <c r="R1566" s="18">
        <f>IF(Q1566="",P1566,Q1566)</f>
        <v/>
      </c>
      <c r="S1566" s="18" t="inlineStr"/>
      <c r="T1566" s="18" t="inlineStr">
        <is>
          <t>common</t>
        </is>
      </c>
      <c r="U1566" s="20" t="n">
        <v>10</v>
      </c>
      <c r="V1566" s="21" t="n">
        <v>1</v>
      </c>
      <c r="W1566" s="20">
        <f>IF(OR(U1566="",V1566=""),U1566,U1566*V1566)</f>
        <v/>
      </c>
      <c r="X1566" s="18" t="inlineStr">
        <is>
          <t>16-41</t>
        </is>
      </c>
      <c r="Y1566" s="19" t="inlineStr"/>
      <c r="Z1566" s="18">
        <f>IF(Y1566="",X1566,Y1566)</f>
        <v/>
      </c>
      <c r="AA1566" s="18" t="inlineStr">
        <is>
          <t>grounded</t>
        </is>
      </c>
      <c r="AB1566" s="18" t="inlineStr">
        <is>
          <t>day</t>
        </is>
      </c>
      <c r="AC1566" s="18" t="inlineStr"/>
      <c r="AD1566" s="18" t="inlineStr"/>
      <c r="AE1566" s="18" t="inlineStr">
        <is>
          <t>sky 8-15</t>
        </is>
      </c>
      <c r="AF1566" s="18" t="inlineStr"/>
      <c r="AG1566" s="18" t="inlineStr"/>
      <c r="AH1566" s="18" t="inlineStr"/>
      <c r="AI1566" s="18" t="inlineStr"/>
      <c r="AJ1566" s="18" t="inlineStr">
        <is>
          <t>Cobblemon 동일</t>
        </is>
      </c>
      <c r="AK1566" s="18" t="inlineStr">
        <is>
          <t>사용</t>
        </is>
      </c>
      <c r="AL1566" s="18" t="inlineStr">
        <is>
          <t>COBBLEVERSE 1.7.42 / DP v31</t>
        </is>
      </c>
      <c r="AM1566" s="18" t="inlineStr">
        <is>
          <t>data/cobblemon/spawn_pool_world/0441_chatot.json</t>
        </is>
      </c>
      <c r="AN1566" s="18" t="inlineStr">
        <is>
          <t>chatot-3</t>
        </is>
      </c>
      <c r="AO1566" s="18" t="inlineStr">
        <is>
          <t>pokemon</t>
        </is>
      </c>
      <c r="AP1566" s="18" t="inlineStr">
        <is>
          <t>natural; treetop</t>
        </is>
      </c>
      <c r="AQ1566" s="18" t="inlineStr">
        <is>
          <t>{"biomes":["#cobblemon:is_sky"],"maxSkyLight":15,"minSkyLight":8,"timeRange":"day"}</t>
        </is>
      </c>
      <c r="AR1566" s="18" t="inlineStr"/>
      <c r="AS1566" s="18" t="inlineStr"/>
      <c r="AT1566" s="19" t="inlineStr"/>
    </row>
    <row r="1567" ht="32" customHeight="1">
      <c r="A1567" s="18" t="inlineStr">
        <is>
          <t>0441_chatot.json::chatot-4::004</t>
        </is>
      </c>
      <c r="B1567" s="19" t="inlineStr">
        <is>
          <t>사용</t>
        </is>
      </c>
      <c r="C1567" s="18">
        <f>IF(OR(B1567&lt;&gt;AK1567,M1567&lt;&gt;L1567,O1567&lt;&gt;"",Q1567&lt;&gt;"",V1567&lt;&gt;1,Y1567&lt;&gt;"",AT1567&lt;&gt;""),"수정","원본")</f>
        <v/>
      </c>
      <c r="D1567" s="18" t="n">
        <v>441</v>
      </c>
      <c r="E1567" s="18" t="inlineStr">
        <is>
          <t>페라페</t>
        </is>
      </c>
      <c r="F1567" s="18" t="inlineStr">
        <is>
          <t>chatot</t>
        </is>
      </c>
      <c r="G1567" s="18" t="inlineStr">
        <is>
          <t>chatot</t>
        </is>
      </c>
      <c r="H1567" s="18" t="inlineStr"/>
      <c r="I1567" s="18" t="n">
        <v>4</v>
      </c>
      <c r="J1567" s="18" t="n"/>
      <c r="K1567" s="18" t="n">
        <v>4</v>
      </c>
      <c r="L1567" s="18" t="inlineStr">
        <is>
          <t>cobbleventure:generation_4</t>
        </is>
      </c>
      <c r="M1567" s="19" t="inlineStr">
        <is>
          <t>cobbleventure:generation_4</t>
        </is>
      </c>
      <c r="N1567" s="18" t="inlineStr">
        <is>
          <t>region_01; region_02</t>
        </is>
      </c>
      <c r="O1567" s="19" t="inlineStr"/>
      <c r="P1567" s="18" t="inlineStr">
        <is>
          <t>#cobblemon:is_overworld</t>
        </is>
      </c>
      <c r="Q1567" s="19" t="inlineStr"/>
      <c r="R1567" s="18">
        <f>IF(Q1567="",P1567,Q1567)</f>
        <v/>
      </c>
      <c r="S1567" s="18" t="inlineStr"/>
      <c r="T1567" s="18" t="inlineStr">
        <is>
          <t>common</t>
        </is>
      </c>
      <c r="U1567" s="20" t="n">
        <v>6</v>
      </c>
      <c r="V1567" s="21" t="n">
        <v>1</v>
      </c>
      <c r="W1567" s="20">
        <f>IF(OR(U1567="",V1567=""),U1567,U1567*V1567)</f>
        <v/>
      </c>
      <c r="X1567" s="18" t="inlineStr">
        <is>
          <t>16-41</t>
        </is>
      </c>
      <c r="Y1567" s="19" t="inlineStr"/>
      <c r="Z1567" s="18">
        <f>IF(Y1567="",X1567,Y1567)</f>
        <v/>
      </c>
      <c r="AA1567" s="18" t="inlineStr">
        <is>
          <t>grounded</t>
        </is>
      </c>
      <c r="AB1567" s="18" t="inlineStr"/>
      <c r="AC1567" s="18" t="inlineStr"/>
      <c r="AD1567" s="18" t="inlineStr">
        <is>
          <t>minY=-41, maxY=9</t>
        </is>
      </c>
      <c r="AE1567" s="18" t="inlineStr">
        <is>
          <t>sky 0-7</t>
        </is>
      </c>
      <c r="AF1567" s="18" t="inlineStr"/>
      <c r="AG1567" s="18" t="inlineStr">
        <is>
          <t>cobblemon:shipwreck_coves/lush_shipwreck_cove</t>
        </is>
      </c>
      <c r="AH1567" s="18" t="inlineStr"/>
      <c r="AI1567" s="18" t="inlineStr"/>
      <c r="AJ1567" s="18" t="inlineStr">
        <is>
          <t>Cobblemon 동일</t>
        </is>
      </c>
      <c r="AK1567" s="18" t="inlineStr">
        <is>
          <t>사용</t>
        </is>
      </c>
      <c r="AL1567" s="18" t="inlineStr">
        <is>
          <t>COBBLEVERSE 1.7.42 / DP v31</t>
        </is>
      </c>
      <c r="AM1567" s="18" t="inlineStr">
        <is>
          <t>data/cobblemon/spawn_pool_world/0441_chatot.json</t>
        </is>
      </c>
      <c r="AN1567" s="18" t="inlineStr">
        <is>
          <t>chatot-4</t>
        </is>
      </c>
      <c r="AO1567" s="18" t="inlineStr">
        <is>
          <t>pokemon</t>
        </is>
      </c>
      <c r="AP1567" s="18" t="inlineStr"/>
      <c r="AQ1567" s="18" t="inlineStr">
        <is>
          <t>{"biomes":["#cobblemon:is_overworld"],"maxSkyLight":7,"maxY":9,"minSkyLight":0,"minY":-41,"structures":["cobblemon:shipwreck_coves/lush_shipwreck_cove"]}</t>
        </is>
      </c>
      <c r="AR1567" s="18" t="inlineStr"/>
      <c r="AS1567" s="18" t="inlineStr"/>
      <c r="AT1567" s="19" t="inlineStr"/>
    </row>
    <row r="1568" ht="32" customHeight="1">
      <c r="A1568" s="18" t="inlineStr">
        <is>
          <t>0441_chatot.json::chatot-8::005</t>
        </is>
      </c>
      <c r="B1568" s="19" t="inlineStr">
        <is>
          <t>사용</t>
        </is>
      </c>
      <c r="C1568" s="18">
        <f>IF(OR(B1568&lt;&gt;AK1568,M1568&lt;&gt;L1568,O1568&lt;&gt;"",Q1568&lt;&gt;"",V1568&lt;&gt;1,Y1568&lt;&gt;"",AT1568&lt;&gt;""),"수정","원본")</f>
        <v/>
      </c>
      <c r="D1568" s="18" t="n">
        <v>441</v>
      </c>
      <c r="E1568" s="18" t="inlineStr">
        <is>
          <t>페라페</t>
        </is>
      </c>
      <c r="F1568" s="18" t="inlineStr">
        <is>
          <t>chatot</t>
        </is>
      </c>
      <c r="G1568" s="18" t="inlineStr">
        <is>
          <t>chatot</t>
        </is>
      </c>
      <c r="H1568" s="18" t="inlineStr"/>
      <c r="I1568" s="18" t="n">
        <v>4</v>
      </c>
      <c r="J1568" s="18" t="n"/>
      <c r="K1568" s="18" t="n">
        <v>4</v>
      </c>
      <c r="L1568" s="18" t="inlineStr">
        <is>
          <t>cobbleventure:generation_4</t>
        </is>
      </c>
      <c r="M1568" s="19" t="inlineStr">
        <is>
          <t>cobbleventure:generation_4</t>
        </is>
      </c>
      <c r="N1568" s="18" t="inlineStr"/>
      <c r="O1568" s="19" t="inlineStr"/>
      <c r="P1568" s="18" t="inlineStr">
        <is>
          <t>aether:skyroot_forest; aether:skyroot_woodland</t>
        </is>
      </c>
      <c r="Q1568" s="19" t="inlineStr"/>
      <c r="R1568" s="18">
        <f>IF(Q1568="",P1568,Q1568)</f>
        <v/>
      </c>
      <c r="S1568" s="18" t="inlineStr"/>
      <c r="T1568" s="18" t="inlineStr">
        <is>
          <t>uncommon</t>
        </is>
      </c>
      <c r="U1568" s="20" t="n">
        <v>10</v>
      </c>
      <c r="V1568" s="21" t="n">
        <v>1</v>
      </c>
      <c r="W1568" s="20">
        <f>IF(OR(U1568="",V1568=""),U1568,U1568*V1568)</f>
        <v/>
      </c>
      <c r="X1568" s="18" t="inlineStr">
        <is>
          <t>16-41</t>
        </is>
      </c>
      <c r="Y1568" s="19" t="inlineStr"/>
      <c r="Z1568" s="18">
        <f>IF(Y1568="",X1568,Y1568)</f>
        <v/>
      </c>
      <c r="AA1568" s="18" t="inlineStr">
        <is>
          <t>grounded</t>
        </is>
      </c>
      <c r="AB1568" s="18" t="inlineStr"/>
      <c r="AC1568" s="18" t="inlineStr"/>
      <c r="AD1568" s="18" t="inlineStr"/>
      <c r="AE1568" s="18" t="inlineStr">
        <is>
          <t>sky 8-15</t>
        </is>
      </c>
      <c r="AF1568" s="18" t="inlineStr"/>
      <c r="AG1568" s="18" t="inlineStr"/>
      <c r="AH1568" s="18" t="inlineStr"/>
      <c r="AI1568" s="18" t="inlineStr"/>
      <c r="AJ1568" s="18" t="inlineStr">
        <is>
          <t>Cobblemon 동일</t>
        </is>
      </c>
      <c r="AK1568" s="18" t="inlineStr">
        <is>
          <t>사용</t>
        </is>
      </c>
      <c r="AL1568" s="18" t="inlineStr">
        <is>
          <t>COBBLEVERSE 1.7.42 / DP v31</t>
        </is>
      </c>
      <c r="AM1568" s="18" t="inlineStr">
        <is>
          <t>data/cobblemon/spawn_pool_world/0441_chatot.json</t>
        </is>
      </c>
      <c r="AN1568" s="18" t="inlineStr">
        <is>
          <t>chatot-8</t>
        </is>
      </c>
      <c r="AO1568" s="18" t="inlineStr">
        <is>
          <t>pokemon</t>
        </is>
      </c>
      <c r="AP1568" s="18" t="inlineStr">
        <is>
          <t>natural; treetop</t>
        </is>
      </c>
      <c r="AQ1568" s="18" t="inlineStr">
        <is>
          <t>{"biomes":["aether:skyroot_forest","aether:skyroot_woodland"],"maxSkyLight":15,"minSkyLight":8}</t>
        </is>
      </c>
      <c r="AR1568" s="18" t="inlineStr"/>
      <c r="AS1568" s="18" t="inlineStr"/>
      <c r="AT1568" s="19" t="inlineStr"/>
    </row>
    <row r="1569" ht="32" customHeight="1">
      <c r="A1569" s="18" t="inlineStr">
        <is>
          <t>0442_spiritomb.json::spiritomb-1::001</t>
        </is>
      </c>
      <c r="B1569" s="19" t="inlineStr">
        <is>
          <t>사용</t>
        </is>
      </c>
      <c r="C1569" s="18">
        <f>IF(OR(B1569&lt;&gt;AK1569,M1569&lt;&gt;L1569,O1569&lt;&gt;"",Q1569&lt;&gt;"",V1569&lt;&gt;1,Y1569&lt;&gt;"",AT1569&lt;&gt;""),"수정","원본")</f>
        <v/>
      </c>
      <c r="D1569" s="18" t="n">
        <v>442</v>
      </c>
      <c r="E1569" s="18" t="inlineStr">
        <is>
          <t>화강돌</t>
        </is>
      </c>
      <c r="F1569" s="18" t="inlineStr">
        <is>
          <t>spiritomb</t>
        </is>
      </c>
      <c r="G1569" s="18" t="inlineStr">
        <is>
          <t>spiritomb</t>
        </is>
      </c>
      <c r="H1569" s="18" t="inlineStr"/>
      <c r="I1569" s="18" t="n">
        <v>4</v>
      </c>
      <c r="J1569" s="18" t="n"/>
      <c r="K1569" s="18" t="n">
        <v>4</v>
      </c>
      <c r="L1569" s="18" t="inlineStr">
        <is>
          <t>cobbleventure:generation_4</t>
        </is>
      </c>
      <c r="M1569" s="19" t="inlineStr">
        <is>
          <t>cobbleventure:generation_4</t>
        </is>
      </c>
      <c r="N1569" s="18" t="inlineStr"/>
      <c r="O1569" s="19" t="inlineStr"/>
      <c r="P1569" s="18" t="inlineStr">
        <is>
          <t>#cobblemon:is_deep_dark</t>
        </is>
      </c>
      <c r="Q1569" s="19" t="inlineStr"/>
      <c r="R1569" s="18">
        <f>IF(Q1569="",P1569,Q1569)</f>
        <v/>
      </c>
      <c r="S1569" s="18" t="inlineStr"/>
      <c r="T1569" s="18" t="inlineStr">
        <is>
          <t>uncommon</t>
        </is>
      </c>
      <c r="U1569" s="20" t="n">
        <v>60</v>
      </c>
      <c r="V1569" s="21" t="n">
        <v>1</v>
      </c>
      <c r="W1569" s="20">
        <f>IF(OR(U1569="",V1569=""),U1569,U1569*V1569)</f>
        <v/>
      </c>
      <c r="X1569" s="18" t="inlineStr">
        <is>
          <t>24-49</t>
        </is>
      </c>
      <c r="Y1569" s="19" t="inlineStr"/>
      <c r="Z1569" s="18">
        <f>IF(Y1569="",X1569,Y1569)</f>
        <v/>
      </c>
      <c r="AA1569" s="18" t="inlineStr">
        <is>
          <t>grounded</t>
        </is>
      </c>
      <c r="AB1569" s="18" t="inlineStr"/>
      <c r="AC1569" s="18" t="inlineStr"/>
      <c r="AD1569" s="18" t="inlineStr"/>
      <c r="AE1569" s="18" t="inlineStr">
        <is>
          <t>sky 0-7</t>
        </is>
      </c>
      <c r="AF1569" s="18" t="inlineStr"/>
      <c r="AG1569" s="18" t="inlineStr"/>
      <c r="AH1569" s="18" t="inlineStr"/>
      <c r="AI1569" s="18" t="inlineStr"/>
      <c r="AJ1569" s="18" t="inlineStr">
        <is>
          <t>Cobblemon 동일</t>
        </is>
      </c>
      <c r="AK1569" s="18" t="inlineStr">
        <is>
          <t>사용</t>
        </is>
      </c>
      <c r="AL1569" s="18" t="inlineStr">
        <is>
          <t>COBBLEVERSE 1.7.42 / DP v31</t>
        </is>
      </c>
      <c r="AM1569" s="18" t="inlineStr">
        <is>
          <t>data/cobblemon/spawn_pool_world/0442_spiritomb.json</t>
        </is>
      </c>
      <c r="AN1569" s="18" t="inlineStr">
        <is>
          <t>spiritomb-1</t>
        </is>
      </c>
      <c r="AO1569" s="18" t="inlineStr">
        <is>
          <t>pokemon</t>
        </is>
      </c>
      <c r="AP1569" s="18" t="inlineStr">
        <is>
          <t>ancient_city</t>
        </is>
      </c>
      <c r="AQ1569" s="18" t="inlineStr">
        <is>
          <t>{"biomes":["#cobblemon:is_deep_dark"],"maxSkyLight":7,"minSkyLight":0}</t>
        </is>
      </c>
      <c r="AR1569" s="18" t="inlineStr"/>
      <c r="AS1569" s="18" t="inlineStr"/>
      <c r="AT1569" s="19" t="inlineStr"/>
    </row>
    <row r="1570" ht="32" customHeight="1">
      <c r="A1570" s="18" t="inlineStr">
        <is>
          <t>0442_spiritomb.json::spiritomb-2::002</t>
        </is>
      </c>
      <c r="B1570" s="19" t="inlineStr">
        <is>
          <t>사용</t>
        </is>
      </c>
      <c r="C1570" s="18">
        <f>IF(OR(B1570&lt;&gt;AK1570,M1570&lt;&gt;L1570,O1570&lt;&gt;"",Q1570&lt;&gt;"",V1570&lt;&gt;1,Y1570&lt;&gt;"",AT1570&lt;&gt;""),"수정","원본")</f>
        <v/>
      </c>
      <c r="D1570" s="18" t="n">
        <v>442</v>
      </c>
      <c r="E1570" s="18" t="inlineStr">
        <is>
          <t>화강돌</t>
        </is>
      </c>
      <c r="F1570" s="18" t="inlineStr">
        <is>
          <t>spiritomb</t>
        </is>
      </c>
      <c r="G1570" s="18" t="inlineStr">
        <is>
          <t>spiritomb</t>
        </is>
      </c>
      <c r="H1570" s="18" t="inlineStr"/>
      <c r="I1570" s="18" t="n">
        <v>4</v>
      </c>
      <c r="J1570" s="18" t="n"/>
      <c r="K1570" s="18" t="n">
        <v>4</v>
      </c>
      <c r="L1570" s="18" t="inlineStr">
        <is>
          <t>cobbleventure:generation_4</t>
        </is>
      </c>
      <c r="M1570" s="19" t="inlineStr">
        <is>
          <t>cobbleventure:generation_4</t>
        </is>
      </c>
      <c r="N1570" s="18" t="inlineStr">
        <is>
          <t>region_01; region_02</t>
        </is>
      </c>
      <c r="O1570" s="19" t="inlineStr"/>
      <c r="P1570" s="18" t="inlineStr">
        <is>
          <t>#cobblemon:is_overworld</t>
        </is>
      </c>
      <c r="Q1570" s="19" t="inlineStr"/>
      <c r="R1570" s="18">
        <f>IF(Q1570="",P1570,Q1570)</f>
        <v/>
      </c>
      <c r="S1570" s="18" t="inlineStr"/>
      <c r="T1570" s="18" t="inlineStr">
        <is>
          <t>rare</t>
        </is>
      </c>
      <c r="U1570" s="20" t="n">
        <v>100</v>
      </c>
      <c r="V1570" s="21" t="n">
        <v>1</v>
      </c>
      <c r="W1570" s="20">
        <f>IF(OR(U1570="",V1570=""),U1570,U1570*V1570)</f>
        <v/>
      </c>
      <c r="X1570" s="18" t="inlineStr">
        <is>
          <t>24-49</t>
        </is>
      </c>
      <c r="Y1570" s="19" t="inlineStr"/>
      <c r="Z1570" s="18">
        <f>IF(Y1570="",X1570,Y1570)</f>
        <v/>
      </c>
      <c r="AA1570" s="18" t="inlineStr">
        <is>
          <t>grounded</t>
        </is>
      </c>
      <c r="AB1570" s="18" t="inlineStr"/>
      <c r="AC1570" s="18" t="inlineStr"/>
      <c r="AD1570" s="18" t="inlineStr">
        <is>
          <t>minY=48</t>
        </is>
      </c>
      <c r="AE1570" s="18" t="inlineStr"/>
      <c r="AF1570" s="18" t="inlineStr"/>
      <c r="AG1570" s="18" t="inlineStr">
        <is>
          <t>#cobblemon:ruin</t>
        </is>
      </c>
      <c r="AH1570" s="18" t="inlineStr"/>
      <c r="AI1570" s="18" t="inlineStr"/>
      <c r="AJ1570" s="18" t="inlineStr">
        <is>
          <t>Cobblemon 동일</t>
        </is>
      </c>
      <c r="AK1570" s="18" t="inlineStr">
        <is>
          <t>사용</t>
        </is>
      </c>
      <c r="AL1570" s="18" t="inlineStr">
        <is>
          <t>COBBLEVERSE 1.7.42 / DP v31</t>
        </is>
      </c>
      <c r="AM1570" s="18" t="inlineStr">
        <is>
          <t>data/cobblemon/spawn_pool_world/0442_spiritomb.json</t>
        </is>
      </c>
      <c r="AN1570" s="18" t="inlineStr">
        <is>
          <t>spiritomb-2</t>
        </is>
      </c>
      <c r="AO1570" s="18" t="inlineStr">
        <is>
          <t>pokemon</t>
        </is>
      </c>
      <c r="AP1570" s="18" t="inlineStr"/>
      <c r="AQ1570" s="18" t="inlineStr">
        <is>
          <t>{"biomes":["#cobblemon:is_overworld"],"minY":48,"structures":["#cobblemon:ruin"]}</t>
        </is>
      </c>
      <c r="AR1570" s="18" t="inlineStr"/>
      <c r="AS1570" s="18" t="inlineStr"/>
      <c r="AT1570" s="19" t="inlineStr"/>
    </row>
    <row r="1571" ht="32" customHeight="1">
      <c r="A1571" s="18" t="inlineStr">
        <is>
          <t>0442_spiritomb.json::spiritomb-3::003</t>
        </is>
      </c>
      <c r="B1571" s="19" t="inlineStr">
        <is>
          <t>사용</t>
        </is>
      </c>
      <c r="C1571" s="18">
        <f>IF(OR(B1571&lt;&gt;AK1571,M1571&lt;&gt;L1571,O1571&lt;&gt;"",Q1571&lt;&gt;"",V1571&lt;&gt;1,Y1571&lt;&gt;"",AT1571&lt;&gt;""),"수정","원본")</f>
        <v/>
      </c>
      <c r="D1571" s="18" t="n">
        <v>442</v>
      </c>
      <c r="E1571" s="18" t="inlineStr">
        <is>
          <t>화강돌</t>
        </is>
      </c>
      <c r="F1571" s="18" t="inlineStr">
        <is>
          <t>spiritomb</t>
        </is>
      </c>
      <c r="G1571" s="18" t="inlineStr">
        <is>
          <t>spiritomb</t>
        </is>
      </c>
      <c r="H1571" s="18" t="inlineStr"/>
      <c r="I1571" s="18" t="n">
        <v>4</v>
      </c>
      <c r="J1571" s="18" t="n"/>
      <c r="K1571" s="18" t="n">
        <v>4</v>
      </c>
      <c r="L1571" s="18" t="inlineStr">
        <is>
          <t>cobbleventure:generation_4</t>
        </is>
      </c>
      <c r="M1571" s="19" t="inlineStr">
        <is>
          <t>cobbleventure:generation_4</t>
        </is>
      </c>
      <c r="N1571" s="18" t="inlineStr">
        <is>
          <t>region_01; region_02</t>
        </is>
      </c>
      <c r="O1571" s="19" t="inlineStr"/>
      <c r="P1571" s="18" t="inlineStr">
        <is>
          <t>#cobblemon:is_overworld</t>
        </is>
      </c>
      <c r="Q1571" s="19" t="inlineStr"/>
      <c r="R1571" s="18">
        <f>IF(Q1571="",P1571,Q1571)</f>
        <v/>
      </c>
      <c r="S1571" s="18" t="inlineStr"/>
      <c r="T1571" s="18" t="inlineStr">
        <is>
          <t>uncommon</t>
        </is>
      </c>
      <c r="U1571" s="20" t="n">
        <v>100</v>
      </c>
      <c r="V1571" s="21" t="n">
        <v>1</v>
      </c>
      <c r="W1571" s="20">
        <f>IF(OR(U1571="",V1571=""),U1571,U1571*V1571)</f>
        <v/>
      </c>
      <c r="X1571" s="18" t="inlineStr">
        <is>
          <t>24-49</t>
        </is>
      </c>
      <c r="Y1571" s="19" t="inlineStr"/>
      <c r="Z1571" s="18">
        <f>IF(Y1571="",X1571,Y1571)</f>
        <v/>
      </c>
      <c r="AA1571" s="18" t="inlineStr">
        <is>
          <t>grounded</t>
        </is>
      </c>
      <c r="AB1571" s="18" t="inlineStr"/>
      <c r="AC1571" s="18" t="inlineStr"/>
      <c r="AD1571" s="18" t="inlineStr">
        <is>
          <t>minY=-37, maxY=10</t>
        </is>
      </c>
      <c r="AE1571" s="18" t="inlineStr"/>
      <c r="AF1571" s="18" t="inlineStr"/>
      <c r="AG1571" s="18" t="inlineStr">
        <is>
          <t>#cobblemon:ruins/arch</t>
        </is>
      </c>
      <c r="AH1571" s="18" t="inlineStr"/>
      <c r="AI1571" s="18" t="inlineStr"/>
      <c r="AJ1571" s="18" t="inlineStr">
        <is>
          <t>Cobblemon 동일</t>
        </is>
      </c>
      <c r="AK1571" s="18" t="inlineStr">
        <is>
          <t>사용</t>
        </is>
      </c>
      <c r="AL1571" s="18" t="inlineStr">
        <is>
          <t>COBBLEVERSE 1.7.42 / DP v31</t>
        </is>
      </c>
      <c r="AM1571" s="18" t="inlineStr">
        <is>
          <t>data/cobblemon/spawn_pool_world/0442_spiritomb.json</t>
        </is>
      </c>
      <c r="AN1571" s="18" t="inlineStr">
        <is>
          <t>spiritomb-3</t>
        </is>
      </c>
      <c r="AO1571" s="18" t="inlineStr">
        <is>
          <t>pokemon</t>
        </is>
      </c>
      <c r="AP1571" s="18" t="inlineStr"/>
      <c r="AQ1571" s="18" t="inlineStr">
        <is>
          <t>{"biomes":["#cobblemon:is_overworld"],"maxY":10,"minY":-37,"structures":["#cobblemon:ruins/arch"]}</t>
        </is>
      </c>
      <c r="AR1571" s="18" t="inlineStr"/>
      <c r="AS1571" s="18" t="inlineStr"/>
      <c r="AT1571" s="19" t="inlineStr"/>
    </row>
    <row r="1572" ht="32" customHeight="1">
      <c r="A1572" s="18" t="inlineStr">
        <is>
          <t>0442_spiritomb.json::spiritomb-4::004</t>
        </is>
      </c>
      <c r="B1572" s="19" t="inlineStr">
        <is>
          <t>사용</t>
        </is>
      </c>
      <c r="C1572" s="18">
        <f>IF(OR(B1572&lt;&gt;AK1572,M1572&lt;&gt;L1572,O1572&lt;&gt;"",Q1572&lt;&gt;"",V1572&lt;&gt;1,Y1572&lt;&gt;"",AT1572&lt;&gt;""),"수정","원본")</f>
        <v/>
      </c>
      <c r="D1572" s="18" t="n">
        <v>442</v>
      </c>
      <c r="E1572" s="18" t="inlineStr">
        <is>
          <t>화강돌</t>
        </is>
      </c>
      <c r="F1572" s="18" t="inlineStr">
        <is>
          <t>spiritomb</t>
        </is>
      </c>
      <c r="G1572" s="18" t="inlineStr">
        <is>
          <t>spiritomb</t>
        </is>
      </c>
      <c r="H1572" s="18" t="inlineStr"/>
      <c r="I1572" s="18" t="n">
        <v>4</v>
      </c>
      <c r="J1572" s="18" t="n"/>
      <c r="K1572" s="18" t="n">
        <v>4</v>
      </c>
      <c r="L1572" s="18" t="inlineStr">
        <is>
          <t>cobbleventure:generation_4</t>
        </is>
      </c>
      <c r="M1572" s="19" t="inlineStr">
        <is>
          <t>cobbleventure:generation_4</t>
        </is>
      </c>
      <c r="N1572" s="18" t="inlineStr">
        <is>
          <t>region_01; region_02</t>
        </is>
      </c>
      <c r="O1572" s="19" t="inlineStr"/>
      <c r="P1572" s="18" t="inlineStr">
        <is>
          <t>#cobblemon:is_overworld</t>
        </is>
      </c>
      <c r="Q1572" s="19" t="inlineStr"/>
      <c r="R1572" s="18">
        <f>IF(Q1572="",P1572,Q1572)</f>
        <v/>
      </c>
      <c r="S1572" s="18" t="inlineStr"/>
      <c r="T1572" s="18" t="inlineStr">
        <is>
          <t>rare</t>
        </is>
      </c>
      <c r="U1572" s="20" t="n">
        <v>100</v>
      </c>
      <c r="V1572" s="21" t="n">
        <v>1</v>
      </c>
      <c r="W1572" s="20">
        <f>IF(OR(U1572="",V1572=""),U1572,U1572*V1572)</f>
        <v/>
      </c>
      <c r="X1572" s="18" t="inlineStr">
        <is>
          <t>24-49</t>
        </is>
      </c>
      <c r="Y1572" s="19" t="inlineStr"/>
      <c r="Z1572" s="18">
        <f>IF(Y1572="",X1572,Y1572)</f>
        <v/>
      </c>
      <c r="AA1572" s="18" t="inlineStr">
        <is>
          <t>grounded</t>
        </is>
      </c>
      <c r="AB1572" s="18" t="inlineStr"/>
      <c r="AC1572" s="18" t="inlineStr"/>
      <c r="AD1572" s="18" t="inlineStr">
        <is>
          <t>minY=48</t>
        </is>
      </c>
      <c r="AE1572" s="18" t="inlineStr"/>
      <c r="AF1572" s="18" t="inlineStr"/>
      <c r="AG1572" s="18" t="inlineStr"/>
      <c r="AH1572" s="18" t="inlineStr"/>
      <c r="AI1572" s="18" t="inlineStr"/>
      <c r="AJ1572" s="18" t="inlineStr">
        <is>
          <t>Cobblemon 동일</t>
        </is>
      </c>
      <c r="AK1572" s="18" t="inlineStr">
        <is>
          <t>사용</t>
        </is>
      </c>
      <c r="AL1572" s="18" t="inlineStr">
        <is>
          <t>COBBLEVERSE 1.7.42 / DP v31</t>
        </is>
      </c>
      <c r="AM1572" s="18" t="inlineStr">
        <is>
          <t>data/cobblemon/spawn_pool_world/0442_spiritomb.json</t>
        </is>
      </c>
      <c r="AN1572" s="18" t="inlineStr">
        <is>
          <t>spiritomb-4</t>
        </is>
      </c>
      <c r="AO1572" s="18" t="inlineStr">
        <is>
          <t>pokemon</t>
        </is>
      </c>
      <c r="AP1572" s="18" t="inlineStr">
        <is>
          <t>trail_ruins</t>
        </is>
      </c>
      <c r="AQ1572" s="18" t="inlineStr">
        <is>
          <t>{"biomes":["#cobblemon:is_overworld"],"minY":48}</t>
        </is>
      </c>
      <c r="AR1572" s="18" t="inlineStr"/>
      <c r="AS1572" s="18" t="inlineStr"/>
      <c r="AT1572" s="19" t="inlineStr"/>
    </row>
    <row r="1573" ht="32" customHeight="1">
      <c r="A1573" s="18" t="inlineStr">
        <is>
          <t>0442_spiritomb.json::spiritomb-5::005</t>
        </is>
      </c>
      <c r="B1573" s="19" t="inlineStr">
        <is>
          <t>사용</t>
        </is>
      </c>
      <c r="C1573" s="18">
        <f>IF(OR(B1573&lt;&gt;AK1573,M1573&lt;&gt;L1573,O1573&lt;&gt;"",Q1573&lt;&gt;"",V1573&lt;&gt;1,Y1573&lt;&gt;"",AT1573&lt;&gt;""),"수정","원본")</f>
        <v/>
      </c>
      <c r="D1573" s="18" t="n">
        <v>442</v>
      </c>
      <c r="E1573" s="18" t="inlineStr">
        <is>
          <t>화강돌</t>
        </is>
      </c>
      <c r="F1573" s="18" t="inlineStr">
        <is>
          <t>spiritomb</t>
        </is>
      </c>
      <c r="G1573" s="18" t="inlineStr">
        <is>
          <t>spiritomb</t>
        </is>
      </c>
      <c r="H1573" s="18" t="inlineStr"/>
      <c r="I1573" s="18" t="n">
        <v>4</v>
      </c>
      <c r="J1573" s="18" t="n"/>
      <c r="K1573" s="18" t="n">
        <v>4</v>
      </c>
      <c r="L1573" s="18" t="inlineStr">
        <is>
          <t>cobbleventure:generation_4</t>
        </is>
      </c>
      <c r="M1573" s="19" t="inlineStr">
        <is>
          <t>cobbleventure:generation_4</t>
        </is>
      </c>
      <c r="N1573" s="18" t="inlineStr">
        <is>
          <t>region_02</t>
        </is>
      </c>
      <c r="O1573" s="19" t="inlineStr"/>
      <c r="P1573" s="18" t="inlineStr">
        <is>
          <t>#cobblemon:is_desert</t>
        </is>
      </c>
      <c r="Q1573" s="19" t="inlineStr"/>
      <c r="R1573" s="18">
        <f>IF(Q1573="",P1573,Q1573)</f>
        <v/>
      </c>
      <c r="S1573" s="18" t="inlineStr"/>
      <c r="T1573" s="18" t="inlineStr">
        <is>
          <t>rare</t>
        </is>
      </c>
      <c r="U1573" s="20" t="n">
        <v>100</v>
      </c>
      <c r="V1573" s="21" t="n">
        <v>1</v>
      </c>
      <c r="W1573" s="20">
        <f>IF(OR(U1573="",V1573=""),U1573,U1573*V1573)</f>
        <v/>
      </c>
      <c r="X1573" s="18" t="inlineStr">
        <is>
          <t>24-49</t>
        </is>
      </c>
      <c r="Y1573" s="19" t="inlineStr"/>
      <c r="Z1573" s="18">
        <f>IF(Y1573="",X1573,Y1573)</f>
        <v/>
      </c>
      <c r="AA1573" s="18" t="inlineStr">
        <is>
          <t>grounded</t>
        </is>
      </c>
      <c r="AB1573" s="18" t="inlineStr"/>
      <c r="AC1573" s="18" t="inlineStr"/>
      <c r="AD1573" s="18" t="inlineStr">
        <is>
          <t>minY=48</t>
        </is>
      </c>
      <c r="AE1573" s="18" t="inlineStr"/>
      <c r="AF1573" s="18" t="inlineStr">
        <is>
          <t>False</t>
        </is>
      </c>
      <c r="AG1573" s="18" t="inlineStr"/>
      <c r="AH1573" s="18" t="inlineStr"/>
      <c r="AI1573" s="18" t="inlineStr"/>
      <c r="AJ1573" s="18" t="inlineStr">
        <is>
          <t>Cobblemon 동일</t>
        </is>
      </c>
      <c r="AK1573" s="18" t="inlineStr">
        <is>
          <t>사용</t>
        </is>
      </c>
      <c r="AL1573" s="18" t="inlineStr">
        <is>
          <t>COBBLEVERSE 1.7.42 / DP v31</t>
        </is>
      </c>
      <c r="AM1573" s="18" t="inlineStr">
        <is>
          <t>data/cobblemon/spawn_pool_world/0442_spiritomb.json</t>
        </is>
      </c>
      <c r="AN1573" s="18" t="inlineStr">
        <is>
          <t>spiritomb-5</t>
        </is>
      </c>
      <c r="AO1573" s="18" t="inlineStr">
        <is>
          <t>pokemon</t>
        </is>
      </c>
      <c r="AP1573" s="18" t="inlineStr">
        <is>
          <t>natural; desert_pyramid</t>
        </is>
      </c>
      <c r="AQ1573" s="18" t="inlineStr">
        <is>
          <t>{"biomes":["#cobblemon:is_desert"],"canSeeSky":false,"minY":48}</t>
        </is>
      </c>
      <c r="AR1573" s="18" t="inlineStr"/>
      <c r="AS1573" s="18" t="inlineStr"/>
      <c r="AT1573" s="19" t="inlineStr"/>
    </row>
    <row r="1574" ht="32" customHeight="1">
      <c r="A1574" s="18" t="inlineStr">
        <is>
          <t>0442_spiritomb.json::spiritomb-6::006</t>
        </is>
      </c>
      <c r="B1574" s="19" t="inlineStr">
        <is>
          <t>사용</t>
        </is>
      </c>
      <c r="C1574" s="18">
        <f>IF(OR(B1574&lt;&gt;AK1574,M1574&lt;&gt;L1574,O1574&lt;&gt;"",Q1574&lt;&gt;"",V1574&lt;&gt;1,Y1574&lt;&gt;"",AT1574&lt;&gt;""),"수정","원본")</f>
        <v/>
      </c>
      <c r="D1574" s="18" t="n">
        <v>442</v>
      </c>
      <c r="E1574" s="18" t="inlineStr">
        <is>
          <t>화강돌</t>
        </is>
      </c>
      <c r="F1574" s="18" t="inlineStr">
        <is>
          <t>spiritomb</t>
        </is>
      </c>
      <c r="G1574" s="18" t="inlineStr">
        <is>
          <t>spiritomb</t>
        </is>
      </c>
      <c r="H1574" s="18" t="inlineStr"/>
      <c r="I1574" s="18" t="n">
        <v>4</v>
      </c>
      <c r="J1574" s="18" t="n"/>
      <c r="K1574" s="18" t="n">
        <v>4</v>
      </c>
      <c r="L1574" s="18" t="inlineStr">
        <is>
          <t>cobbleventure:generation_4</t>
        </is>
      </c>
      <c r="M1574" s="19" t="inlineStr">
        <is>
          <t>cobbleventure:generation_4</t>
        </is>
      </c>
      <c r="N1574" s="18" t="inlineStr"/>
      <c r="O1574" s="19" t="inlineStr"/>
      <c r="P1574" s="18" t="inlineStr">
        <is>
          <t>#cobblemon:is_jungle</t>
        </is>
      </c>
      <c r="Q1574" s="19" t="inlineStr"/>
      <c r="R1574" s="18">
        <f>IF(Q1574="",P1574,Q1574)</f>
        <v/>
      </c>
      <c r="S1574" s="18" t="inlineStr"/>
      <c r="T1574" s="18" t="inlineStr">
        <is>
          <t>rare</t>
        </is>
      </c>
      <c r="U1574" s="20" t="n">
        <v>100</v>
      </c>
      <c r="V1574" s="21" t="n">
        <v>1</v>
      </c>
      <c r="W1574" s="20">
        <f>IF(OR(U1574="",V1574=""),U1574,U1574*V1574)</f>
        <v/>
      </c>
      <c r="X1574" s="18" t="inlineStr">
        <is>
          <t>24-49</t>
        </is>
      </c>
      <c r="Y1574" s="19" t="inlineStr"/>
      <c r="Z1574" s="18">
        <f>IF(Y1574="",X1574,Y1574)</f>
        <v/>
      </c>
      <c r="AA1574" s="18" t="inlineStr">
        <is>
          <t>grounded</t>
        </is>
      </c>
      <c r="AB1574" s="18" t="inlineStr"/>
      <c r="AC1574" s="18" t="inlineStr"/>
      <c r="AD1574" s="18" t="inlineStr">
        <is>
          <t>minY=48</t>
        </is>
      </c>
      <c r="AE1574" s="18" t="inlineStr"/>
      <c r="AF1574" s="18" t="inlineStr">
        <is>
          <t>False</t>
        </is>
      </c>
      <c r="AG1574" s="18" t="inlineStr"/>
      <c r="AH1574" s="18" t="inlineStr"/>
      <c r="AI1574" s="18" t="inlineStr"/>
      <c r="AJ1574" s="18" t="inlineStr">
        <is>
          <t>Cobblemon 동일</t>
        </is>
      </c>
      <c r="AK1574" s="18" t="inlineStr">
        <is>
          <t>사용</t>
        </is>
      </c>
      <c r="AL1574" s="18" t="inlineStr">
        <is>
          <t>COBBLEVERSE 1.7.42 / DP v31</t>
        </is>
      </c>
      <c r="AM1574" s="18" t="inlineStr">
        <is>
          <t>data/cobblemon/spawn_pool_world/0442_spiritomb.json</t>
        </is>
      </c>
      <c r="AN1574" s="18" t="inlineStr">
        <is>
          <t>spiritomb-6</t>
        </is>
      </c>
      <c r="AO1574" s="18" t="inlineStr">
        <is>
          <t>pokemon</t>
        </is>
      </c>
      <c r="AP1574" s="18" t="inlineStr">
        <is>
          <t>natural; jungle_pyramid</t>
        </is>
      </c>
      <c r="AQ1574" s="18" t="inlineStr">
        <is>
          <t>{"biomes":["#cobblemon:is_jungle"],"canSeeSky":false,"minY":48}</t>
        </is>
      </c>
      <c r="AR1574" s="18" t="inlineStr"/>
      <c r="AS1574" s="18" t="inlineStr"/>
      <c r="AT1574" s="19" t="inlineStr"/>
    </row>
    <row r="1575" ht="32" customHeight="1">
      <c r="A1575" s="18" t="inlineStr">
        <is>
          <t>0442_spiritomb.json::spiritomb-7::007</t>
        </is>
      </c>
      <c r="B1575" s="19" t="inlineStr">
        <is>
          <t>사용</t>
        </is>
      </c>
      <c r="C1575" s="18">
        <f>IF(OR(B1575&lt;&gt;AK1575,M1575&lt;&gt;L1575,O1575&lt;&gt;"",Q1575&lt;&gt;"",V1575&lt;&gt;1,Y1575&lt;&gt;"",AT1575&lt;&gt;""),"수정","원본")</f>
        <v/>
      </c>
      <c r="D1575" s="18" t="n">
        <v>442</v>
      </c>
      <c r="E1575" s="18" t="inlineStr">
        <is>
          <t>화강돌</t>
        </is>
      </c>
      <c r="F1575" s="18" t="inlineStr">
        <is>
          <t>spiritomb</t>
        </is>
      </c>
      <c r="G1575" s="18" t="inlineStr">
        <is>
          <t>spiritomb</t>
        </is>
      </c>
      <c r="H1575" s="18" t="inlineStr"/>
      <c r="I1575" s="18" t="n">
        <v>4</v>
      </c>
      <c r="J1575" s="18" t="n"/>
      <c r="K1575" s="18" t="n">
        <v>4</v>
      </c>
      <c r="L1575" s="18" t="inlineStr">
        <is>
          <t>cobbleventure:generation_4</t>
        </is>
      </c>
      <c r="M1575" s="19" t="inlineStr">
        <is>
          <t>cobbleventure:generation_4</t>
        </is>
      </c>
      <c r="N1575" s="18" t="inlineStr"/>
      <c r="O1575" s="19" t="inlineStr"/>
      <c r="P1575" s="18" t="inlineStr">
        <is>
          <t>the_bumblezone:howling_constructs</t>
        </is>
      </c>
      <c r="Q1575" s="19" t="inlineStr"/>
      <c r="R1575" s="18">
        <f>IF(Q1575="",P1575,Q1575)</f>
        <v/>
      </c>
      <c r="S1575" s="18" t="inlineStr"/>
      <c r="T1575" s="18" t="inlineStr">
        <is>
          <t>rare</t>
        </is>
      </c>
      <c r="U1575" s="20" t="n">
        <v>10</v>
      </c>
      <c r="V1575" s="21" t="n">
        <v>1</v>
      </c>
      <c r="W1575" s="20">
        <f>IF(OR(U1575="",V1575=""),U1575,U1575*V1575)</f>
        <v/>
      </c>
      <c r="X1575" s="18" t="inlineStr">
        <is>
          <t>24-49</t>
        </is>
      </c>
      <c r="Y1575" s="19" t="inlineStr"/>
      <c r="Z1575" s="18">
        <f>IF(Y1575="",X1575,Y1575)</f>
        <v/>
      </c>
      <c r="AA1575" s="18" t="inlineStr">
        <is>
          <t>grounded</t>
        </is>
      </c>
      <c r="AB1575" s="18" t="inlineStr"/>
      <c r="AC1575" s="18" t="inlineStr"/>
      <c r="AD1575" s="18" t="inlineStr"/>
      <c r="AE1575" s="18" t="inlineStr"/>
      <c r="AF1575" s="18" t="inlineStr"/>
      <c r="AG1575" s="18" t="inlineStr"/>
      <c r="AH1575" s="18" t="inlineStr"/>
      <c r="AI1575" s="18" t="inlineStr"/>
      <c r="AJ1575" s="18" t="inlineStr">
        <is>
          <t>Cobblemon 동일</t>
        </is>
      </c>
      <c r="AK1575" s="18" t="inlineStr">
        <is>
          <t>사용</t>
        </is>
      </c>
      <c r="AL1575" s="18" t="inlineStr">
        <is>
          <t>COBBLEVERSE 1.7.42 / DP v31</t>
        </is>
      </c>
      <c r="AM1575" s="18" t="inlineStr">
        <is>
          <t>data/cobblemon/spawn_pool_world/0442_spiritomb.json</t>
        </is>
      </c>
      <c r="AN1575" s="18" t="inlineStr">
        <is>
          <t>spiritomb-7</t>
        </is>
      </c>
      <c r="AO1575" s="18" t="inlineStr">
        <is>
          <t>pokemon</t>
        </is>
      </c>
      <c r="AP1575" s="18" t="inlineStr"/>
      <c r="AQ1575" s="18" t="inlineStr">
        <is>
          <t>{"biomes":["the_bumblezone:howling_constructs"]}</t>
        </is>
      </c>
      <c r="AR1575" s="18" t="inlineStr">
        <is>
          <t>{"structures":["#the_bumblezone:sempiternal_sanctums"]}</t>
        </is>
      </c>
      <c r="AS1575" s="18" t="inlineStr"/>
      <c r="AT1575" s="19" t="inlineStr"/>
    </row>
    <row r="1576" ht="32" customHeight="1">
      <c r="A1576" s="18" t="inlineStr">
        <is>
          <t>0443_gible.json::gible-1::001</t>
        </is>
      </c>
      <c r="B1576" s="19" t="inlineStr">
        <is>
          <t>사용</t>
        </is>
      </c>
      <c r="C1576" s="18">
        <f>IF(OR(B1576&lt;&gt;AK1576,M1576&lt;&gt;L1576,O1576&lt;&gt;"",Q1576&lt;&gt;"",V1576&lt;&gt;1,Y1576&lt;&gt;"",AT1576&lt;&gt;""),"수정","원본")</f>
        <v/>
      </c>
      <c r="D1576" s="18" t="n">
        <v>443</v>
      </c>
      <c r="E1576" s="18" t="inlineStr">
        <is>
          <t>딥상어동</t>
        </is>
      </c>
      <c r="F1576" s="18" t="inlineStr">
        <is>
          <t>gible</t>
        </is>
      </c>
      <c r="G1576" s="18" t="inlineStr">
        <is>
          <t>gible</t>
        </is>
      </c>
      <c r="H1576" s="18" t="inlineStr"/>
      <c r="I1576" s="18" t="n">
        <v>4</v>
      </c>
      <c r="J1576" s="18" t="n"/>
      <c r="K1576" s="18" t="n">
        <v>4</v>
      </c>
      <c r="L1576" s="18" t="inlineStr">
        <is>
          <t>cobbleventure:generation_4</t>
        </is>
      </c>
      <c r="M1576" s="19" t="inlineStr">
        <is>
          <t>cobbleventure:generation_4</t>
        </is>
      </c>
      <c r="N1576" s="18" t="inlineStr"/>
      <c r="O1576" s="19" t="inlineStr"/>
      <c r="P1576" s="18" t="inlineStr">
        <is>
          <t>#cobblemon:is_badlands; #cobblemon:is_mountain</t>
        </is>
      </c>
      <c r="Q1576" s="19" t="inlineStr"/>
      <c r="R1576" s="18">
        <f>IF(Q1576="",P1576,Q1576)</f>
        <v/>
      </c>
      <c r="S1576" s="18" t="inlineStr"/>
      <c r="T1576" s="18" t="inlineStr">
        <is>
          <t>rare</t>
        </is>
      </c>
      <c r="U1576" s="20" t="n">
        <v>7.5</v>
      </c>
      <c r="V1576" s="21" t="n">
        <v>1</v>
      </c>
      <c r="W1576" s="20">
        <f>IF(OR(U1576="",V1576=""),U1576,U1576*V1576)</f>
        <v/>
      </c>
      <c r="X1576" s="18" t="inlineStr">
        <is>
          <t>5-30</t>
        </is>
      </c>
      <c r="Y1576" s="19" t="inlineStr"/>
      <c r="Z1576" s="18">
        <f>IF(Y1576="",X1576,Y1576)</f>
        <v/>
      </c>
      <c r="AA1576" s="18" t="inlineStr">
        <is>
          <t>grounded</t>
        </is>
      </c>
      <c r="AB1576" s="18" t="inlineStr"/>
      <c r="AC1576" s="18" t="inlineStr"/>
      <c r="AD1576" s="18" t="inlineStr">
        <is>
          <t>minY=0</t>
        </is>
      </c>
      <c r="AE1576" s="18" t="inlineStr">
        <is>
          <t>sky 0-7</t>
        </is>
      </c>
      <c r="AF1576" s="18" t="inlineStr"/>
      <c r="AG1576" s="18" t="inlineStr"/>
      <c r="AH1576" s="18" t="inlineStr"/>
      <c r="AI1576" s="18" t="inlineStr"/>
      <c r="AJ1576" s="18" t="inlineStr">
        <is>
          <t>Cobblemon 동일</t>
        </is>
      </c>
      <c r="AK1576" s="18" t="inlineStr">
        <is>
          <t>사용</t>
        </is>
      </c>
      <c r="AL1576" s="18" t="inlineStr">
        <is>
          <t>COBBLEVERSE 1.7.42 / DP v31</t>
        </is>
      </c>
      <c r="AM1576" s="18" t="inlineStr">
        <is>
          <t>data/cobblemon/spawn_pool_world/0443_gible.json</t>
        </is>
      </c>
      <c r="AN1576" s="18" t="inlineStr">
        <is>
          <t>gible-1</t>
        </is>
      </c>
      <c r="AO1576" s="18" t="inlineStr">
        <is>
          <t>pokemon</t>
        </is>
      </c>
      <c r="AP1576" s="18" t="inlineStr">
        <is>
          <t>natural</t>
        </is>
      </c>
      <c r="AQ1576" s="18" t="inlineStr">
        <is>
          <t>{"biomes":["#cobblemon:is_badlands","#cobblemon:is_mountain"],"maxSkyLight":7,"minSkyLight":0,"minY":0}</t>
        </is>
      </c>
      <c r="AR1576" s="18" t="inlineStr"/>
      <c r="AS1576" s="18" t="inlineStr"/>
      <c r="AT1576" s="19" t="inlineStr"/>
    </row>
    <row r="1577" ht="32" customHeight="1">
      <c r="A1577" s="18" t="inlineStr">
        <is>
          <t>0443_gible.json::gible-2::002</t>
        </is>
      </c>
      <c r="B1577" s="19" t="inlineStr">
        <is>
          <t>사용</t>
        </is>
      </c>
      <c r="C1577" s="18">
        <f>IF(OR(B1577&lt;&gt;AK1577,M1577&lt;&gt;L1577,O1577&lt;&gt;"",Q1577&lt;&gt;"",V1577&lt;&gt;1,Y1577&lt;&gt;"",AT1577&lt;&gt;""),"수정","원본")</f>
        <v/>
      </c>
      <c r="D1577" s="18" t="n">
        <v>443</v>
      </c>
      <c r="E1577" s="18" t="inlineStr">
        <is>
          <t>딥상어동</t>
        </is>
      </c>
      <c r="F1577" s="18" t="inlineStr">
        <is>
          <t>gible</t>
        </is>
      </c>
      <c r="G1577" s="18" t="inlineStr">
        <is>
          <t>gible</t>
        </is>
      </c>
      <c r="H1577" s="18" t="inlineStr"/>
      <c r="I1577" s="18" t="n">
        <v>4</v>
      </c>
      <c r="J1577" s="18" t="n"/>
      <c r="K1577" s="18" t="n">
        <v>4</v>
      </c>
      <c r="L1577" s="18" t="inlineStr">
        <is>
          <t>cobbleventure:generation_4</t>
        </is>
      </c>
      <c r="M1577" s="19" t="inlineStr">
        <is>
          <t>cobbleventure:generation_4</t>
        </is>
      </c>
      <c r="N1577" s="18" t="inlineStr"/>
      <c r="O1577" s="19" t="inlineStr"/>
      <c r="P1577" s="18" t="inlineStr">
        <is>
          <t>#cobblemon:is_badlands; #cobblemon:is_mountain</t>
        </is>
      </c>
      <c r="Q1577" s="19" t="inlineStr"/>
      <c r="R1577" s="18">
        <f>IF(Q1577="",P1577,Q1577)</f>
        <v/>
      </c>
      <c r="S1577" s="18" t="inlineStr"/>
      <c r="T1577" s="18" t="inlineStr">
        <is>
          <t>ultra-rare</t>
        </is>
      </c>
      <c r="U1577" s="20" t="n">
        <v>6</v>
      </c>
      <c r="V1577" s="21" t="n">
        <v>1</v>
      </c>
      <c r="W1577" s="20">
        <f>IF(OR(U1577="",V1577=""),U1577,U1577*V1577)</f>
        <v/>
      </c>
      <c r="X1577" s="18" t="inlineStr">
        <is>
          <t>5-30</t>
        </is>
      </c>
      <c r="Y1577" s="19" t="inlineStr"/>
      <c r="Z1577" s="18">
        <f>IF(Y1577="",X1577,Y1577)</f>
        <v/>
      </c>
      <c r="AA1577" s="18" t="inlineStr">
        <is>
          <t>grounded</t>
        </is>
      </c>
      <c r="AB1577" s="18" t="inlineStr"/>
      <c r="AC1577" s="18" t="inlineStr"/>
      <c r="AD1577" s="18" t="inlineStr"/>
      <c r="AE1577" s="18" t="inlineStr">
        <is>
          <t>sky 8-15</t>
        </is>
      </c>
      <c r="AF1577" s="18" t="inlineStr"/>
      <c r="AG1577" s="18" t="inlineStr"/>
      <c r="AH1577" s="18" t="inlineStr"/>
      <c r="AI1577" s="18" t="inlineStr"/>
      <c r="AJ1577" s="18" t="inlineStr">
        <is>
          <t>Cobblemon 동일</t>
        </is>
      </c>
      <c r="AK1577" s="18" t="inlineStr">
        <is>
          <t>사용</t>
        </is>
      </c>
      <c r="AL1577" s="18" t="inlineStr">
        <is>
          <t>COBBLEVERSE 1.7.42 / DP v31</t>
        </is>
      </c>
      <c r="AM1577" s="18" t="inlineStr">
        <is>
          <t>data/cobblemon/spawn_pool_world/0443_gible.json</t>
        </is>
      </c>
      <c r="AN1577" s="18" t="inlineStr">
        <is>
          <t>gible-2</t>
        </is>
      </c>
      <c r="AO1577" s="18" t="inlineStr">
        <is>
          <t>pokemon</t>
        </is>
      </c>
      <c r="AP1577" s="18" t="inlineStr">
        <is>
          <t>natural; wild</t>
        </is>
      </c>
      <c r="AQ1577" s="18" t="inlineStr">
        <is>
          <t>{"biomes":["#cobblemon:is_badlands","#cobblemon:is_mountain"],"maxSkyLight":15,"minSkyLight":8}</t>
        </is>
      </c>
      <c r="AR1577" s="18" t="inlineStr"/>
      <c r="AS1577" s="18" t="inlineStr"/>
      <c r="AT1577" s="19" t="inlineStr"/>
    </row>
    <row r="1578" ht="32" customHeight="1">
      <c r="A1578" s="18" t="inlineStr">
        <is>
          <t>0443_gible.json::gible-3::003</t>
        </is>
      </c>
      <c r="B1578" s="19" t="inlineStr">
        <is>
          <t>사용</t>
        </is>
      </c>
      <c r="C1578" s="18">
        <f>IF(OR(B1578&lt;&gt;AK1578,M1578&lt;&gt;L1578,O1578&lt;&gt;"",Q1578&lt;&gt;"",V1578&lt;&gt;1,Y1578&lt;&gt;"",AT1578&lt;&gt;""),"수정","원본")</f>
        <v/>
      </c>
      <c r="D1578" s="18" t="n">
        <v>443</v>
      </c>
      <c r="E1578" s="18" t="inlineStr">
        <is>
          <t>딥상어동</t>
        </is>
      </c>
      <c r="F1578" s="18" t="inlineStr">
        <is>
          <t>gible</t>
        </is>
      </c>
      <c r="G1578" s="18" t="inlineStr">
        <is>
          <t>gible</t>
        </is>
      </c>
      <c r="H1578" s="18" t="inlineStr"/>
      <c r="I1578" s="18" t="n">
        <v>4</v>
      </c>
      <c r="J1578" s="18" t="n"/>
      <c r="K1578" s="18" t="n">
        <v>4</v>
      </c>
      <c r="L1578" s="18" t="inlineStr">
        <is>
          <t>cobbleventure:generation_4</t>
        </is>
      </c>
      <c r="M1578" s="19" t="inlineStr">
        <is>
          <t>cobbleventure:generation_4</t>
        </is>
      </c>
      <c r="N1578" s="18" t="inlineStr">
        <is>
          <t>region_01; region_02</t>
        </is>
      </c>
      <c r="O1578" s="19" t="inlineStr"/>
      <c r="P1578" s="18" t="inlineStr">
        <is>
          <t>#cobblemon:is_overworld</t>
        </is>
      </c>
      <c r="Q1578" s="19" t="inlineStr"/>
      <c r="R1578" s="18">
        <f>IF(Q1578="",P1578,Q1578)</f>
        <v/>
      </c>
      <c r="S1578" s="18" t="inlineStr">
        <is>
          <t>#cobblemon:is_badlands; #cobblemon:is_deep_dark; #cobblemon:is_mountain; #cobblemon:is_thermal</t>
        </is>
      </c>
      <c r="T1578" s="18" t="inlineStr">
        <is>
          <t>ultra-rare</t>
        </is>
      </c>
      <c r="U1578" s="20" t="n">
        <v>6</v>
      </c>
      <c r="V1578" s="21" t="n">
        <v>1</v>
      </c>
      <c r="W1578" s="20">
        <f>IF(OR(U1578="",V1578=""),U1578,U1578*V1578)</f>
        <v/>
      </c>
      <c r="X1578" s="18" t="inlineStr">
        <is>
          <t>5-30</t>
        </is>
      </c>
      <c r="Y1578" s="19" t="inlineStr"/>
      <c r="Z1578" s="18">
        <f>IF(Y1578="",X1578,Y1578)</f>
        <v/>
      </c>
      <c r="AA1578" s="18" t="inlineStr">
        <is>
          <t>grounded</t>
        </is>
      </c>
      <c r="AB1578" s="18" t="inlineStr"/>
      <c r="AC1578" s="18" t="inlineStr"/>
      <c r="AD1578" s="18" t="inlineStr">
        <is>
          <t>minY=0</t>
        </is>
      </c>
      <c r="AE1578" s="18" t="inlineStr">
        <is>
          <t>sky 0-7</t>
        </is>
      </c>
      <c r="AF1578" s="18" t="inlineStr"/>
      <c r="AG1578" s="18" t="inlineStr"/>
      <c r="AH1578" s="18" t="inlineStr"/>
      <c r="AI1578" s="18" t="inlineStr"/>
      <c r="AJ1578" s="18" t="inlineStr">
        <is>
          <t>Cobblemon 동일</t>
        </is>
      </c>
      <c r="AK1578" s="18" t="inlineStr">
        <is>
          <t>사용</t>
        </is>
      </c>
      <c r="AL1578" s="18" t="inlineStr">
        <is>
          <t>COBBLEVERSE 1.7.42 / DP v31</t>
        </is>
      </c>
      <c r="AM1578" s="18" t="inlineStr">
        <is>
          <t>data/cobblemon/spawn_pool_world/0443_gible.json</t>
        </is>
      </c>
      <c r="AN1578" s="18" t="inlineStr">
        <is>
          <t>gible-3</t>
        </is>
      </c>
      <c r="AO1578" s="18" t="inlineStr">
        <is>
          <t>pokemon</t>
        </is>
      </c>
      <c r="AP1578" s="18" t="inlineStr">
        <is>
          <t>natural</t>
        </is>
      </c>
      <c r="AQ1578" s="18" t="inlineStr">
        <is>
          <t>{"biomes":["#cobblemon:is_overworld"],"maxSkyLight":7,"minSkyLight":0,"minY":0}</t>
        </is>
      </c>
      <c r="AR1578" s="18" t="inlineStr">
        <is>
          <t>{"biomes":["#cobblemon:is_badlands","#cobblemon:is_deep_dark","#cobblemon:is_mountain","#cobblemon:is_thermal"],"neededNearbyBlocks":["minecraft:magma_block"]}</t>
        </is>
      </c>
      <c r="AS1578" s="18" t="inlineStr"/>
      <c r="AT1578" s="19" t="inlineStr"/>
    </row>
    <row r="1579" ht="32" customHeight="1">
      <c r="A1579" s="18" t="inlineStr">
        <is>
          <t>0443_gible.json::gible-4::004</t>
        </is>
      </c>
      <c r="B1579" s="19" t="inlineStr">
        <is>
          <t>사용</t>
        </is>
      </c>
      <c r="C1579" s="18">
        <f>IF(OR(B1579&lt;&gt;AK1579,M1579&lt;&gt;L1579,O1579&lt;&gt;"",Q1579&lt;&gt;"",V1579&lt;&gt;1,Y1579&lt;&gt;"",AT1579&lt;&gt;""),"수정","원본")</f>
        <v/>
      </c>
      <c r="D1579" s="18" t="n">
        <v>443</v>
      </c>
      <c r="E1579" s="18" t="inlineStr">
        <is>
          <t>딥상어동</t>
        </is>
      </c>
      <c r="F1579" s="18" t="inlineStr">
        <is>
          <t>gible</t>
        </is>
      </c>
      <c r="G1579" s="18" t="inlineStr">
        <is>
          <t>gible</t>
        </is>
      </c>
      <c r="H1579" s="18" t="inlineStr"/>
      <c r="I1579" s="18" t="n">
        <v>4</v>
      </c>
      <c r="J1579" s="18" t="n"/>
      <c r="K1579" s="18" t="n">
        <v>4</v>
      </c>
      <c r="L1579" s="18" t="inlineStr">
        <is>
          <t>cobbleventure:generation_4</t>
        </is>
      </c>
      <c r="M1579" s="19" t="inlineStr">
        <is>
          <t>cobbleventure:generation_4</t>
        </is>
      </c>
      <c r="N1579" s="18" t="inlineStr">
        <is>
          <t>region_01; region_02</t>
        </is>
      </c>
      <c r="O1579" s="19" t="inlineStr"/>
      <c r="P1579" s="18" t="inlineStr">
        <is>
          <t>#cobblemon:is_overworld</t>
        </is>
      </c>
      <c r="Q1579" s="19" t="inlineStr"/>
      <c r="R1579" s="18">
        <f>IF(Q1579="",P1579,Q1579)</f>
        <v/>
      </c>
      <c r="S1579" s="18" t="inlineStr">
        <is>
          <t>#cobblemon:is_badlands; #cobblemon:is_deep_dark; #cobblemon:is_mountain; #cobblemon:is_thermal</t>
        </is>
      </c>
      <c r="T1579" s="18" t="inlineStr">
        <is>
          <t>rare</t>
        </is>
      </c>
      <c r="U1579" s="20" t="n">
        <v>7.5</v>
      </c>
      <c r="V1579" s="21" t="n">
        <v>1</v>
      </c>
      <c r="W1579" s="20">
        <f>IF(OR(U1579="",V1579=""),U1579,U1579*V1579)</f>
        <v/>
      </c>
      <c r="X1579" s="18" t="inlineStr">
        <is>
          <t>5-30</t>
        </is>
      </c>
      <c r="Y1579" s="19" t="inlineStr"/>
      <c r="Z1579" s="18">
        <f>IF(Y1579="",X1579,Y1579)</f>
        <v/>
      </c>
      <c r="AA1579" s="18" t="inlineStr">
        <is>
          <t>grounded</t>
        </is>
      </c>
      <c r="AB1579" s="18" t="inlineStr"/>
      <c r="AC1579" s="18" t="inlineStr"/>
      <c r="AD1579" s="18" t="inlineStr">
        <is>
          <t>minY=0</t>
        </is>
      </c>
      <c r="AE1579" s="18" t="inlineStr">
        <is>
          <t>sky 0-7</t>
        </is>
      </c>
      <c r="AF1579" s="18" t="inlineStr"/>
      <c r="AG1579" s="18" t="inlineStr"/>
      <c r="AH1579" s="18" t="inlineStr">
        <is>
          <t>주변=minecraft:magma_block</t>
        </is>
      </c>
      <c r="AI1579" s="18" t="inlineStr"/>
      <c r="AJ1579" s="18" t="inlineStr">
        <is>
          <t>Cobblemon 동일</t>
        </is>
      </c>
      <c r="AK1579" s="18" t="inlineStr">
        <is>
          <t>사용</t>
        </is>
      </c>
      <c r="AL1579" s="18" t="inlineStr">
        <is>
          <t>COBBLEVERSE 1.7.42 / DP v31</t>
        </is>
      </c>
      <c r="AM1579" s="18" t="inlineStr">
        <is>
          <t>data/cobblemon/spawn_pool_world/0443_gible.json</t>
        </is>
      </c>
      <c r="AN1579" s="18" t="inlineStr">
        <is>
          <t>gible-4</t>
        </is>
      </c>
      <c r="AO1579" s="18" t="inlineStr">
        <is>
          <t>pokemon</t>
        </is>
      </c>
      <c r="AP1579" s="18" t="inlineStr">
        <is>
          <t>natural</t>
        </is>
      </c>
      <c r="AQ1579" s="18" t="inlineStr">
        <is>
          <t>{"biomes":["#cobblemon:is_overworld"],"maxSkyLight":7,"minSkyLight":0,"minY":0,"neededNearbyBlocks":["minecraft:magma_block"]}</t>
        </is>
      </c>
      <c r="AR1579" s="18" t="inlineStr">
        <is>
          <t>{"biomes":["#cobblemon:is_badlands","#cobblemon:is_deep_dark","#cobblemon:is_mountain","#cobblemon:is_thermal"]}</t>
        </is>
      </c>
      <c r="AS1579" s="18" t="inlineStr"/>
      <c r="AT1579" s="19" t="inlineStr"/>
    </row>
    <row r="1580" ht="32" customHeight="1">
      <c r="A1580" s="18" t="inlineStr">
        <is>
          <t>0443_gible.json::gible-5::005</t>
        </is>
      </c>
      <c r="B1580" s="19" t="inlineStr">
        <is>
          <t>사용</t>
        </is>
      </c>
      <c r="C1580" s="18">
        <f>IF(OR(B1580&lt;&gt;AK1580,M1580&lt;&gt;L1580,O1580&lt;&gt;"",Q1580&lt;&gt;"",V1580&lt;&gt;1,Y1580&lt;&gt;"",AT1580&lt;&gt;""),"수정","원본")</f>
        <v/>
      </c>
      <c r="D1580" s="18" t="n">
        <v>443</v>
      </c>
      <c r="E1580" s="18" t="inlineStr">
        <is>
          <t>딥상어동</t>
        </is>
      </c>
      <c r="F1580" s="18" t="inlineStr">
        <is>
          <t>gible</t>
        </is>
      </c>
      <c r="G1580" s="18" t="inlineStr">
        <is>
          <t>gible</t>
        </is>
      </c>
      <c r="H1580" s="18" t="inlineStr"/>
      <c r="I1580" s="18" t="n">
        <v>4</v>
      </c>
      <c r="J1580" s="18" t="n"/>
      <c r="K1580" s="18" t="n">
        <v>4</v>
      </c>
      <c r="L1580" s="18" t="inlineStr">
        <is>
          <t>cobbleventure:generation_4</t>
        </is>
      </c>
      <c r="M1580" s="19" t="inlineStr">
        <is>
          <t>cobbleventure:generation_4</t>
        </is>
      </c>
      <c r="N1580" s="18" t="inlineStr"/>
      <c r="O1580" s="19" t="inlineStr"/>
      <c r="P1580" s="18" t="inlineStr">
        <is>
          <t>#cobblemon:is_thermal</t>
        </is>
      </c>
      <c r="Q1580" s="19" t="inlineStr"/>
      <c r="R1580" s="18">
        <f>IF(Q1580="",P1580,Q1580)</f>
        <v/>
      </c>
      <c r="S1580" s="18" t="inlineStr"/>
      <c r="T1580" s="18" t="inlineStr">
        <is>
          <t>rare</t>
        </is>
      </c>
      <c r="U1580" s="20" t="n">
        <v>7.5</v>
      </c>
      <c r="V1580" s="21" t="n">
        <v>1</v>
      </c>
      <c r="W1580" s="20">
        <f>IF(OR(U1580="",V1580=""),U1580,U1580*V1580)</f>
        <v/>
      </c>
      <c r="X1580" s="18" t="inlineStr">
        <is>
          <t>5-30</t>
        </is>
      </c>
      <c r="Y1580" s="19" t="inlineStr"/>
      <c r="Z1580" s="18">
        <f>IF(Y1580="",X1580,Y1580)</f>
        <v/>
      </c>
      <c r="AA1580" s="18" t="inlineStr">
        <is>
          <t>grounded</t>
        </is>
      </c>
      <c r="AB1580" s="18" t="inlineStr"/>
      <c r="AC1580" s="18" t="inlineStr"/>
      <c r="AD1580" s="18" t="inlineStr">
        <is>
          <t>minY=0</t>
        </is>
      </c>
      <c r="AE1580" s="18" t="inlineStr">
        <is>
          <t>sky 0-7</t>
        </is>
      </c>
      <c r="AF1580" s="18" t="inlineStr"/>
      <c r="AG1580" s="18" t="inlineStr"/>
      <c r="AH1580" s="18" t="inlineStr"/>
      <c r="AI1580" s="18" t="inlineStr"/>
      <c r="AJ1580" s="18" t="inlineStr">
        <is>
          <t>Cobblemon 동일</t>
        </is>
      </c>
      <c r="AK1580" s="18" t="inlineStr">
        <is>
          <t>사용</t>
        </is>
      </c>
      <c r="AL1580" s="18" t="inlineStr">
        <is>
          <t>COBBLEVERSE 1.7.42 / DP v31</t>
        </is>
      </c>
      <c r="AM1580" s="18" t="inlineStr">
        <is>
          <t>data/cobblemon/spawn_pool_world/0443_gible.json</t>
        </is>
      </c>
      <c r="AN1580" s="18" t="inlineStr">
        <is>
          <t>gible-5</t>
        </is>
      </c>
      <c r="AO1580" s="18" t="inlineStr">
        <is>
          <t>pokemon</t>
        </is>
      </c>
      <c r="AP1580" s="18" t="inlineStr">
        <is>
          <t>natural</t>
        </is>
      </c>
      <c r="AQ1580" s="18" t="inlineStr">
        <is>
          <t>{"biomes":["#cobblemon:is_thermal"],"maxSkyLight":7,"minSkyLight":0,"minY":0}</t>
        </is>
      </c>
      <c r="AR1580" s="18" t="inlineStr"/>
      <c r="AS1580" s="18" t="inlineStr"/>
      <c r="AT1580" s="19" t="inlineStr"/>
    </row>
    <row r="1581" ht="32" customHeight="1">
      <c r="A1581" s="18" t="inlineStr">
        <is>
          <t>0443_gible.json::gible-6::006</t>
        </is>
      </c>
      <c r="B1581" s="19" t="inlineStr">
        <is>
          <t>사용</t>
        </is>
      </c>
      <c r="C1581" s="18">
        <f>IF(OR(B1581&lt;&gt;AK1581,M1581&lt;&gt;L1581,O1581&lt;&gt;"",Q1581&lt;&gt;"",V1581&lt;&gt;1,Y1581&lt;&gt;"",AT1581&lt;&gt;""),"수정","원본")</f>
        <v/>
      </c>
      <c r="D1581" s="18" t="n">
        <v>443</v>
      </c>
      <c r="E1581" s="18" t="inlineStr">
        <is>
          <t>딥상어동</t>
        </is>
      </c>
      <c r="F1581" s="18" t="inlineStr">
        <is>
          <t>gible</t>
        </is>
      </c>
      <c r="G1581" s="18" t="inlineStr">
        <is>
          <t>gible</t>
        </is>
      </c>
      <c r="H1581" s="18" t="inlineStr"/>
      <c r="I1581" s="18" t="n">
        <v>4</v>
      </c>
      <c r="J1581" s="18" t="n"/>
      <c r="K1581" s="18" t="n">
        <v>4</v>
      </c>
      <c r="L1581" s="18" t="inlineStr">
        <is>
          <t>cobbleventure:generation_4</t>
        </is>
      </c>
      <c r="M1581" s="19" t="inlineStr">
        <is>
          <t>cobbleventure:generation_4</t>
        </is>
      </c>
      <c r="N1581" s="18" t="inlineStr"/>
      <c r="O1581" s="19" t="inlineStr"/>
      <c r="P1581" s="18" t="inlineStr">
        <is>
          <t>#aether:is_aether</t>
        </is>
      </c>
      <c r="Q1581" s="19" t="inlineStr"/>
      <c r="R1581" s="18">
        <f>IF(Q1581="",P1581,Q1581)</f>
        <v/>
      </c>
      <c r="S1581" s="18" t="inlineStr"/>
      <c r="T1581" s="18" t="inlineStr">
        <is>
          <t>rare</t>
        </is>
      </c>
      <c r="U1581" s="20" t="n">
        <v>7.5</v>
      </c>
      <c r="V1581" s="21" t="n">
        <v>1</v>
      </c>
      <c r="W1581" s="20">
        <f>IF(OR(U1581="",V1581=""),U1581,U1581*V1581)</f>
        <v/>
      </c>
      <c r="X1581" s="18" t="inlineStr">
        <is>
          <t>5-30</t>
        </is>
      </c>
      <c r="Y1581" s="19" t="inlineStr"/>
      <c r="Z1581" s="18">
        <f>IF(Y1581="",X1581,Y1581)</f>
        <v/>
      </c>
      <c r="AA1581" s="18" t="inlineStr">
        <is>
          <t>grounded</t>
        </is>
      </c>
      <c r="AB1581" s="18" t="inlineStr"/>
      <c r="AC1581" s="18" t="inlineStr"/>
      <c r="AD1581" s="18" t="inlineStr"/>
      <c r="AE1581" s="18" t="inlineStr">
        <is>
          <t>sky 0-7</t>
        </is>
      </c>
      <c r="AF1581" s="18" t="inlineStr"/>
      <c r="AG1581" s="18" t="inlineStr"/>
      <c r="AH1581" s="18" t="inlineStr"/>
      <c r="AI1581" s="18" t="inlineStr"/>
      <c r="AJ1581" s="18" t="inlineStr">
        <is>
          <t>Cobblemon 동일</t>
        </is>
      </c>
      <c r="AK1581" s="18" t="inlineStr">
        <is>
          <t>사용</t>
        </is>
      </c>
      <c r="AL1581" s="18" t="inlineStr">
        <is>
          <t>COBBLEVERSE 1.7.42 / DP v31</t>
        </is>
      </c>
      <c r="AM1581" s="18" t="inlineStr">
        <is>
          <t>data/cobblemon/spawn_pool_world/0443_gible.json</t>
        </is>
      </c>
      <c r="AN1581" s="18" t="inlineStr">
        <is>
          <t>gible-6</t>
        </is>
      </c>
      <c r="AO1581" s="18" t="inlineStr">
        <is>
          <t>pokemon</t>
        </is>
      </c>
      <c r="AP1581" s="18" t="inlineStr">
        <is>
          <t>natural</t>
        </is>
      </c>
      <c r="AQ1581" s="18" t="inlineStr">
        <is>
          <t>{"biomes":["#aether:is_aether"],"maxSkyLight":7,"minSkyLight":0}</t>
        </is>
      </c>
      <c r="AR1581" s="18" t="inlineStr"/>
      <c r="AS1581" s="18" t="inlineStr"/>
      <c r="AT1581" s="19" t="inlineStr"/>
    </row>
    <row r="1582" ht="32" customHeight="1">
      <c r="A1582" s="18" t="inlineStr">
        <is>
          <t>0444_gabite.json::gabite-1::001</t>
        </is>
      </c>
      <c r="B1582" s="19" t="inlineStr">
        <is>
          <t>사용</t>
        </is>
      </c>
      <c r="C1582" s="18">
        <f>IF(OR(B1582&lt;&gt;AK1582,M1582&lt;&gt;L1582,O1582&lt;&gt;"",Q1582&lt;&gt;"",V1582&lt;&gt;1,Y1582&lt;&gt;"",AT1582&lt;&gt;""),"수정","원본")</f>
        <v/>
      </c>
      <c r="D1582" s="18" t="n">
        <v>444</v>
      </c>
      <c r="E1582" s="18" t="inlineStr">
        <is>
          <t>한바이트</t>
        </is>
      </c>
      <c r="F1582" s="18" t="inlineStr">
        <is>
          <t>gabite</t>
        </is>
      </c>
      <c r="G1582" s="18" t="inlineStr">
        <is>
          <t>gabite</t>
        </is>
      </c>
      <c r="H1582" s="18" t="inlineStr"/>
      <c r="I1582" s="18" t="n">
        <v>4</v>
      </c>
      <c r="J1582" s="18" t="n"/>
      <c r="K1582" s="18" t="n">
        <v>4</v>
      </c>
      <c r="L1582" s="18" t="inlineStr">
        <is>
          <t>cobbleventure:generation_4</t>
        </is>
      </c>
      <c r="M1582" s="19" t="inlineStr">
        <is>
          <t>cobbleventure:generation_4</t>
        </is>
      </c>
      <c r="N1582" s="18" t="inlineStr"/>
      <c r="O1582" s="19" t="inlineStr"/>
      <c r="P1582" s="18" t="inlineStr">
        <is>
          <t>#cobblemon:is_badlands; #cobblemon:is_mountain</t>
        </is>
      </c>
      <c r="Q1582" s="19" t="inlineStr"/>
      <c r="R1582" s="18">
        <f>IF(Q1582="",P1582,Q1582)</f>
        <v/>
      </c>
      <c r="S1582" s="18" t="inlineStr"/>
      <c r="T1582" s="18" t="inlineStr">
        <is>
          <t>rare</t>
        </is>
      </c>
      <c r="U1582" s="20" t="n">
        <v>2.25</v>
      </c>
      <c r="V1582" s="21" t="n">
        <v>1</v>
      </c>
      <c r="W1582" s="20">
        <f>IF(OR(U1582="",V1582=""),U1582,U1582*V1582)</f>
        <v/>
      </c>
      <c r="X1582" s="18" t="inlineStr">
        <is>
          <t>24-47</t>
        </is>
      </c>
      <c r="Y1582" s="19" t="inlineStr"/>
      <c r="Z1582" s="18">
        <f>IF(Y1582="",X1582,Y1582)</f>
        <v/>
      </c>
      <c r="AA1582" s="18" t="inlineStr">
        <is>
          <t>grounded</t>
        </is>
      </c>
      <c r="AB1582" s="18" t="inlineStr"/>
      <c r="AC1582" s="18" t="inlineStr"/>
      <c r="AD1582" s="18" t="inlineStr">
        <is>
          <t>minY=0</t>
        </is>
      </c>
      <c r="AE1582" s="18" t="inlineStr">
        <is>
          <t>sky 0-7</t>
        </is>
      </c>
      <c r="AF1582" s="18" t="inlineStr"/>
      <c r="AG1582" s="18" t="inlineStr"/>
      <c r="AH1582" s="18" t="inlineStr"/>
      <c r="AI1582" s="18" t="inlineStr"/>
      <c r="AJ1582" s="18" t="inlineStr">
        <is>
          <t>Cobblemon 동일</t>
        </is>
      </c>
      <c r="AK1582" s="18" t="inlineStr">
        <is>
          <t>사용</t>
        </is>
      </c>
      <c r="AL1582" s="18" t="inlineStr">
        <is>
          <t>COBBLEVERSE 1.7.42 / DP v31</t>
        </is>
      </c>
      <c r="AM1582" s="18" t="inlineStr">
        <is>
          <t>data/cobblemon/spawn_pool_world/0444_gabite.json</t>
        </is>
      </c>
      <c r="AN1582" s="18" t="inlineStr">
        <is>
          <t>gabite-1</t>
        </is>
      </c>
      <c r="AO1582" s="18" t="inlineStr">
        <is>
          <t>pokemon</t>
        </is>
      </c>
      <c r="AP1582" s="18" t="inlineStr">
        <is>
          <t>natural</t>
        </is>
      </c>
      <c r="AQ1582" s="18" t="inlineStr">
        <is>
          <t>{"biomes":["#cobblemon:is_badlands","#cobblemon:is_mountain"],"maxSkyLight":7,"minSkyLight":0,"minY":0}</t>
        </is>
      </c>
      <c r="AR1582" s="18" t="inlineStr"/>
      <c r="AS1582" s="18" t="inlineStr"/>
      <c r="AT1582" s="19" t="inlineStr"/>
    </row>
    <row r="1583" ht="32" customHeight="1">
      <c r="A1583" s="18" t="inlineStr">
        <is>
          <t>0444_gabite.json::gabite-2::002</t>
        </is>
      </c>
      <c r="B1583" s="19" t="inlineStr">
        <is>
          <t>사용</t>
        </is>
      </c>
      <c r="C1583" s="18">
        <f>IF(OR(B1583&lt;&gt;AK1583,M1583&lt;&gt;L1583,O1583&lt;&gt;"",Q1583&lt;&gt;"",V1583&lt;&gt;1,Y1583&lt;&gt;"",AT1583&lt;&gt;""),"수정","원본")</f>
        <v/>
      </c>
      <c r="D1583" s="18" t="n">
        <v>444</v>
      </c>
      <c r="E1583" s="18" t="inlineStr">
        <is>
          <t>한바이트</t>
        </is>
      </c>
      <c r="F1583" s="18" t="inlineStr">
        <is>
          <t>gabite</t>
        </is>
      </c>
      <c r="G1583" s="18" t="inlineStr">
        <is>
          <t>gabite</t>
        </is>
      </c>
      <c r="H1583" s="18" t="inlineStr"/>
      <c r="I1583" s="18" t="n">
        <v>4</v>
      </c>
      <c r="J1583" s="18" t="n"/>
      <c r="K1583" s="18" t="n">
        <v>4</v>
      </c>
      <c r="L1583" s="18" t="inlineStr">
        <is>
          <t>cobbleventure:generation_4</t>
        </is>
      </c>
      <c r="M1583" s="19" t="inlineStr">
        <is>
          <t>cobbleventure:generation_4</t>
        </is>
      </c>
      <c r="N1583" s="18" t="inlineStr"/>
      <c r="O1583" s="19" t="inlineStr"/>
      <c r="P1583" s="18" t="inlineStr">
        <is>
          <t>#cobblemon:is_badlands; #cobblemon:is_mountain</t>
        </is>
      </c>
      <c r="Q1583" s="19" t="inlineStr"/>
      <c r="R1583" s="18">
        <f>IF(Q1583="",P1583,Q1583)</f>
        <v/>
      </c>
      <c r="S1583" s="18" t="inlineStr"/>
      <c r="T1583" s="18" t="inlineStr">
        <is>
          <t>ultra-rare</t>
        </is>
      </c>
      <c r="U1583" s="20" t="n">
        <v>3.6</v>
      </c>
      <c r="V1583" s="21" t="n">
        <v>1</v>
      </c>
      <c r="W1583" s="20">
        <f>IF(OR(U1583="",V1583=""),U1583,U1583*V1583)</f>
        <v/>
      </c>
      <c r="X1583" s="18" t="inlineStr">
        <is>
          <t>24-47</t>
        </is>
      </c>
      <c r="Y1583" s="19" t="inlineStr"/>
      <c r="Z1583" s="18">
        <f>IF(Y1583="",X1583,Y1583)</f>
        <v/>
      </c>
      <c r="AA1583" s="18" t="inlineStr">
        <is>
          <t>grounded</t>
        </is>
      </c>
      <c r="AB1583" s="18" t="inlineStr"/>
      <c r="AC1583" s="18" t="inlineStr"/>
      <c r="AD1583" s="18" t="inlineStr"/>
      <c r="AE1583" s="18" t="inlineStr">
        <is>
          <t>sky 8-15</t>
        </is>
      </c>
      <c r="AF1583" s="18" t="inlineStr"/>
      <c r="AG1583" s="18" t="inlineStr"/>
      <c r="AH1583" s="18" t="inlineStr"/>
      <c r="AI1583" s="18" t="inlineStr"/>
      <c r="AJ1583" s="18" t="inlineStr">
        <is>
          <t>Cobblemon 동일</t>
        </is>
      </c>
      <c r="AK1583" s="18" t="inlineStr">
        <is>
          <t>사용</t>
        </is>
      </c>
      <c r="AL1583" s="18" t="inlineStr">
        <is>
          <t>COBBLEVERSE 1.7.42 / DP v31</t>
        </is>
      </c>
      <c r="AM1583" s="18" t="inlineStr">
        <is>
          <t>data/cobblemon/spawn_pool_world/0444_gabite.json</t>
        </is>
      </c>
      <c r="AN1583" s="18" t="inlineStr">
        <is>
          <t>gabite-2</t>
        </is>
      </c>
      <c r="AO1583" s="18" t="inlineStr">
        <is>
          <t>pokemon</t>
        </is>
      </c>
      <c r="AP1583" s="18" t="inlineStr">
        <is>
          <t>natural; wild</t>
        </is>
      </c>
      <c r="AQ1583" s="18" t="inlineStr">
        <is>
          <t>{"biomes":["#cobblemon:is_badlands","#cobblemon:is_mountain"],"maxSkyLight":15,"minSkyLight":8}</t>
        </is>
      </c>
      <c r="AR1583" s="18" t="inlineStr"/>
      <c r="AS1583" s="18" t="inlineStr"/>
      <c r="AT1583" s="19" t="inlineStr"/>
    </row>
    <row r="1584" ht="32" customHeight="1">
      <c r="A1584" s="18" t="inlineStr">
        <is>
          <t>0444_gabite.json::gabite-3::003</t>
        </is>
      </c>
      <c r="B1584" s="19" t="inlineStr">
        <is>
          <t>사용</t>
        </is>
      </c>
      <c r="C1584" s="18">
        <f>IF(OR(B1584&lt;&gt;AK1584,M1584&lt;&gt;L1584,O1584&lt;&gt;"",Q1584&lt;&gt;"",V1584&lt;&gt;1,Y1584&lt;&gt;"",AT1584&lt;&gt;""),"수정","원본")</f>
        <v/>
      </c>
      <c r="D1584" s="18" t="n">
        <v>444</v>
      </c>
      <c r="E1584" s="18" t="inlineStr">
        <is>
          <t>한바이트</t>
        </is>
      </c>
      <c r="F1584" s="18" t="inlineStr">
        <is>
          <t>gabite</t>
        </is>
      </c>
      <c r="G1584" s="18" t="inlineStr">
        <is>
          <t>gabite</t>
        </is>
      </c>
      <c r="H1584" s="18" t="inlineStr"/>
      <c r="I1584" s="18" t="n">
        <v>4</v>
      </c>
      <c r="J1584" s="18" t="n"/>
      <c r="K1584" s="18" t="n">
        <v>4</v>
      </c>
      <c r="L1584" s="18" t="inlineStr">
        <is>
          <t>cobbleventure:generation_4</t>
        </is>
      </c>
      <c r="M1584" s="19" t="inlineStr">
        <is>
          <t>cobbleventure:generation_4</t>
        </is>
      </c>
      <c r="N1584" s="18" t="inlineStr">
        <is>
          <t>region_01; region_02</t>
        </is>
      </c>
      <c r="O1584" s="19" t="inlineStr"/>
      <c r="P1584" s="18" t="inlineStr">
        <is>
          <t>#cobblemon:is_overworld</t>
        </is>
      </c>
      <c r="Q1584" s="19" t="inlineStr"/>
      <c r="R1584" s="18">
        <f>IF(Q1584="",P1584,Q1584)</f>
        <v/>
      </c>
      <c r="S1584" s="18" t="inlineStr">
        <is>
          <t>#cobblemon:is_badlands; #cobblemon:is_deep_dark; #cobblemon:is_mountain; #cobblemon:is_thermal</t>
        </is>
      </c>
      <c r="T1584" s="18" t="inlineStr">
        <is>
          <t>ultra-rare</t>
        </is>
      </c>
      <c r="U1584" s="20" t="n">
        <v>3.6</v>
      </c>
      <c r="V1584" s="21" t="n">
        <v>1</v>
      </c>
      <c r="W1584" s="20">
        <f>IF(OR(U1584="",V1584=""),U1584,U1584*V1584)</f>
        <v/>
      </c>
      <c r="X1584" s="18" t="inlineStr">
        <is>
          <t>24-47</t>
        </is>
      </c>
      <c r="Y1584" s="19" t="inlineStr"/>
      <c r="Z1584" s="18">
        <f>IF(Y1584="",X1584,Y1584)</f>
        <v/>
      </c>
      <c r="AA1584" s="18" t="inlineStr">
        <is>
          <t>grounded</t>
        </is>
      </c>
      <c r="AB1584" s="18" t="inlineStr"/>
      <c r="AC1584" s="18" t="inlineStr"/>
      <c r="AD1584" s="18" t="inlineStr">
        <is>
          <t>minY=0</t>
        </is>
      </c>
      <c r="AE1584" s="18" t="inlineStr">
        <is>
          <t>sky 0-7</t>
        </is>
      </c>
      <c r="AF1584" s="18" t="inlineStr"/>
      <c r="AG1584" s="18" t="inlineStr"/>
      <c r="AH1584" s="18" t="inlineStr"/>
      <c r="AI1584" s="18" t="inlineStr"/>
      <c r="AJ1584" s="18" t="inlineStr">
        <is>
          <t>Cobblemon 동일</t>
        </is>
      </c>
      <c r="AK1584" s="18" t="inlineStr">
        <is>
          <t>사용</t>
        </is>
      </c>
      <c r="AL1584" s="18" t="inlineStr">
        <is>
          <t>COBBLEVERSE 1.7.42 / DP v31</t>
        </is>
      </c>
      <c r="AM1584" s="18" t="inlineStr">
        <is>
          <t>data/cobblemon/spawn_pool_world/0444_gabite.json</t>
        </is>
      </c>
      <c r="AN1584" s="18" t="inlineStr">
        <is>
          <t>gabite-3</t>
        </is>
      </c>
      <c r="AO1584" s="18" t="inlineStr">
        <is>
          <t>pokemon</t>
        </is>
      </c>
      <c r="AP1584" s="18" t="inlineStr">
        <is>
          <t>natural</t>
        </is>
      </c>
      <c r="AQ1584" s="18" t="inlineStr">
        <is>
          <t>{"biomes":["#cobblemon:is_overworld"],"maxSkyLight":7,"minSkyLight":0,"minY":0}</t>
        </is>
      </c>
      <c r="AR1584" s="18" t="inlineStr">
        <is>
          <t>{"biomes":["#cobblemon:is_badlands","#cobblemon:is_deep_dark","#cobblemon:is_mountain","#cobblemon:is_thermal"],"neededNearbyBlocks":["minecraft:magma_block"]}</t>
        </is>
      </c>
      <c r="AS1584" s="18" t="inlineStr"/>
      <c r="AT1584" s="19" t="inlineStr"/>
    </row>
    <row r="1585" ht="32" customHeight="1">
      <c r="A1585" s="18" t="inlineStr">
        <is>
          <t>0444_gabite.json::gabite-4::004</t>
        </is>
      </c>
      <c r="B1585" s="19" t="inlineStr">
        <is>
          <t>사용</t>
        </is>
      </c>
      <c r="C1585" s="18">
        <f>IF(OR(B1585&lt;&gt;AK1585,M1585&lt;&gt;L1585,O1585&lt;&gt;"",Q1585&lt;&gt;"",V1585&lt;&gt;1,Y1585&lt;&gt;"",AT1585&lt;&gt;""),"수정","원본")</f>
        <v/>
      </c>
      <c r="D1585" s="18" t="n">
        <v>444</v>
      </c>
      <c r="E1585" s="18" t="inlineStr">
        <is>
          <t>한바이트</t>
        </is>
      </c>
      <c r="F1585" s="18" t="inlineStr">
        <is>
          <t>gabite</t>
        </is>
      </c>
      <c r="G1585" s="18" t="inlineStr">
        <is>
          <t>gabite</t>
        </is>
      </c>
      <c r="H1585" s="18" t="inlineStr"/>
      <c r="I1585" s="18" t="n">
        <v>4</v>
      </c>
      <c r="J1585" s="18" t="n"/>
      <c r="K1585" s="18" t="n">
        <v>4</v>
      </c>
      <c r="L1585" s="18" t="inlineStr">
        <is>
          <t>cobbleventure:generation_4</t>
        </is>
      </c>
      <c r="M1585" s="19" t="inlineStr">
        <is>
          <t>cobbleventure:generation_4</t>
        </is>
      </c>
      <c r="N1585" s="18" t="inlineStr">
        <is>
          <t>region_01; region_02</t>
        </is>
      </c>
      <c r="O1585" s="19" t="inlineStr"/>
      <c r="P1585" s="18" t="inlineStr">
        <is>
          <t>#cobblemon:is_overworld</t>
        </is>
      </c>
      <c r="Q1585" s="19" t="inlineStr"/>
      <c r="R1585" s="18">
        <f>IF(Q1585="",P1585,Q1585)</f>
        <v/>
      </c>
      <c r="S1585" s="18" t="inlineStr">
        <is>
          <t>#cobblemon:is_badlands; #cobblemon:is_deep_dark; #cobblemon:is_mountain; #cobblemon:is_thermal</t>
        </is>
      </c>
      <c r="T1585" s="18" t="inlineStr">
        <is>
          <t>rare</t>
        </is>
      </c>
      <c r="U1585" s="20" t="n">
        <v>2.25</v>
      </c>
      <c r="V1585" s="21" t="n">
        <v>1</v>
      </c>
      <c r="W1585" s="20">
        <f>IF(OR(U1585="",V1585=""),U1585,U1585*V1585)</f>
        <v/>
      </c>
      <c r="X1585" s="18" t="inlineStr">
        <is>
          <t>24-47</t>
        </is>
      </c>
      <c r="Y1585" s="19" t="inlineStr"/>
      <c r="Z1585" s="18">
        <f>IF(Y1585="",X1585,Y1585)</f>
        <v/>
      </c>
      <c r="AA1585" s="18" t="inlineStr">
        <is>
          <t>grounded</t>
        </is>
      </c>
      <c r="AB1585" s="18" t="inlineStr"/>
      <c r="AC1585" s="18" t="inlineStr"/>
      <c r="AD1585" s="18" t="inlineStr">
        <is>
          <t>minY=0</t>
        </is>
      </c>
      <c r="AE1585" s="18" t="inlineStr">
        <is>
          <t>sky 0-7</t>
        </is>
      </c>
      <c r="AF1585" s="18" t="inlineStr"/>
      <c r="AG1585" s="18" t="inlineStr"/>
      <c r="AH1585" s="18" t="inlineStr">
        <is>
          <t>주변=minecraft:magma_block</t>
        </is>
      </c>
      <c r="AI1585" s="18" t="inlineStr"/>
      <c r="AJ1585" s="18" t="inlineStr">
        <is>
          <t>Cobblemon 동일</t>
        </is>
      </c>
      <c r="AK1585" s="18" t="inlineStr">
        <is>
          <t>사용</t>
        </is>
      </c>
      <c r="AL1585" s="18" t="inlineStr">
        <is>
          <t>COBBLEVERSE 1.7.42 / DP v31</t>
        </is>
      </c>
      <c r="AM1585" s="18" t="inlineStr">
        <is>
          <t>data/cobblemon/spawn_pool_world/0444_gabite.json</t>
        </is>
      </c>
      <c r="AN1585" s="18" t="inlineStr">
        <is>
          <t>gabite-4</t>
        </is>
      </c>
      <c r="AO1585" s="18" t="inlineStr">
        <is>
          <t>pokemon</t>
        </is>
      </c>
      <c r="AP1585" s="18" t="inlineStr">
        <is>
          <t>natural</t>
        </is>
      </c>
      <c r="AQ1585" s="18" t="inlineStr">
        <is>
          <t>{"biomes":["#cobblemon:is_overworld"],"maxSkyLight":7,"minSkyLight":0,"minY":0,"neededNearbyBlocks":["minecraft:magma_block"]}</t>
        </is>
      </c>
      <c r="AR1585" s="18" t="inlineStr">
        <is>
          <t>{"biomes":["#cobblemon:is_badlands","#cobblemon:is_deep_dark","#cobblemon:is_mountain","#cobblemon:is_thermal"]}</t>
        </is>
      </c>
      <c r="AS1585" s="18" t="inlineStr"/>
      <c r="AT1585" s="19" t="inlineStr"/>
    </row>
    <row r="1586" ht="32" customHeight="1">
      <c r="A1586" s="18" t="inlineStr">
        <is>
          <t>0444_gabite.json::gabite-5::005</t>
        </is>
      </c>
      <c r="B1586" s="19" t="inlineStr">
        <is>
          <t>사용</t>
        </is>
      </c>
      <c r="C1586" s="18">
        <f>IF(OR(B1586&lt;&gt;AK1586,M1586&lt;&gt;L1586,O1586&lt;&gt;"",Q1586&lt;&gt;"",V1586&lt;&gt;1,Y1586&lt;&gt;"",AT1586&lt;&gt;""),"수정","원본")</f>
        <v/>
      </c>
      <c r="D1586" s="18" t="n">
        <v>444</v>
      </c>
      <c r="E1586" s="18" t="inlineStr">
        <is>
          <t>한바이트</t>
        </is>
      </c>
      <c r="F1586" s="18" t="inlineStr">
        <is>
          <t>gabite</t>
        </is>
      </c>
      <c r="G1586" s="18" t="inlineStr">
        <is>
          <t>gabite</t>
        </is>
      </c>
      <c r="H1586" s="18" t="inlineStr"/>
      <c r="I1586" s="18" t="n">
        <v>4</v>
      </c>
      <c r="J1586" s="18" t="n"/>
      <c r="K1586" s="18" t="n">
        <v>4</v>
      </c>
      <c r="L1586" s="18" t="inlineStr">
        <is>
          <t>cobbleventure:generation_4</t>
        </is>
      </c>
      <c r="M1586" s="19" t="inlineStr">
        <is>
          <t>cobbleventure:generation_4</t>
        </is>
      </c>
      <c r="N1586" s="18" t="inlineStr"/>
      <c r="O1586" s="19" t="inlineStr"/>
      <c r="P1586" s="18" t="inlineStr">
        <is>
          <t>#cobblemon:is_thermal</t>
        </is>
      </c>
      <c r="Q1586" s="19" t="inlineStr"/>
      <c r="R1586" s="18">
        <f>IF(Q1586="",P1586,Q1586)</f>
        <v/>
      </c>
      <c r="S1586" s="18" t="inlineStr"/>
      <c r="T1586" s="18" t="inlineStr">
        <is>
          <t>rare</t>
        </is>
      </c>
      <c r="U1586" s="20" t="n">
        <v>2.25</v>
      </c>
      <c r="V1586" s="21" t="n">
        <v>1</v>
      </c>
      <c r="W1586" s="20">
        <f>IF(OR(U1586="",V1586=""),U1586,U1586*V1586)</f>
        <v/>
      </c>
      <c r="X1586" s="18" t="inlineStr">
        <is>
          <t>24-47</t>
        </is>
      </c>
      <c r="Y1586" s="19" t="inlineStr"/>
      <c r="Z1586" s="18">
        <f>IF(Y1586="",X1586,Y1586)</f>
        <v/>
      </c>
      <c r="AA1586" s="18" t="inlineStr">
        <is>
          <t>grounded</t>
        </is>
      </c>
      <c r="AB1586" s="18" t="inlineStr"/>
      <c r="AC1586" s="18" t="inlineStr"/>
      <c r="AD1586" s="18" t="inlineStr">
        <is>
          <t>minY=0</t>
        </is>
      </c>
      <c r="AE1586" s="18" t="inlineStr">
        <is>
          <t>sky 0-7</t>
        </is>
      </c>
      <c r="AF1586" s="18" t="inlineStr"/>
      <c r="AG1586" s="18" t="inlineStr"/>
      <c r="AH1586" s="18" t="inlineStr"/>
      <c r="AI1586" s="18" t="inlineStr"/>
      <c r="AJ1586" s="18" t="inlineStr">
        <is>
          <t>Cobblemon 동일</t>
        </is>
      </c>
      <c r="AK1586" s="18" t="inlineStr">
        <is>
          <t>사용</t>
        </is>
      </c>
      <c r="AL1586" s="18" t="inlineStr">
        <is>
          <t>COBBLEVERSE 1.7.42 / DP v31</t>
        </is>
      </c>
      <c r="AM1586" s="18" t="inlineStr">
        <is>
          <t>data/cobblemon/spawn_pool_world/0444_gabite.json</t>
        </is>
      </c>
      <c r="AN1586" s="18" t="inlineStr">
        <is>
          <t>gabite-5</t>
        </is>
      </c>
      <c r="AO1586" s="18" t="inlineStr">
        <is>
          <t>pokemon</t>
        </is>
      </c>
      <c r="AP1586" s="18" t="inlineStr">
        <is>
          <t>natural</t>
        </is>
      </c>
      <c r="AQ1586" s="18" t="inlineStr">
        <is>
          <t>{"biomes":["#cobblemon:is_thermal"],"maxSkyLight":7,"minSkyLight":0,"minY":0}</t>
        </is>
      </c>
      <c r="AR1586" s="18" t="inlineStr"/>
      <c r="AS1586" s="18" t="inlineStr"/>
      <c r="AT1586" s="19" t="inlineStr"/>
    </row>
    <row r="1587" ht="32" customHeight="1">
      <c r="A1587" s="18" t="inlineStr">
        <is>
          <t>0444_gabite.json::gabite-6::006</t>
        </is>
      </c>
      <c r="B1587" s="19" t="inlineStr">
        <is>
          <t>사용</t>
        </is>
      </c>
      <c r="C1587" s="18">
        <f>IF(OR(B1587&lt;&gt;AK1587,M1587&lt;&gt;L1587,O1587&lt;&gt;"",Q1587&lt;&gt;"",V1587&lt;&gt;1,Y1587&lt;&gt;"",AT1587&lt;&gt;""),"수정","원본")</f>
        <v/>
      </c>
      <c r="D1587" s="18" t="n">
        <v>444</v>
      </c>
      <c r="E1587" s="18" t="inlineStr">
        <is>
          <t>한바이트</t>
        </is>
      </c>
      <c r="F1587" s="18" t="inlineStr">
        <is>
          <t>gabite</t>
        </is>
      </c>
      <c r="G1587" s="18" t="inlineStr">
        <is>
          <t>gabite</t>
        </is>
      </c>
      <c r="H1587" s="18" t="inlineStr"/>
      <c r="I1587" s="18" t="n">
        <v>4</v>
      </c>
      <c r="J1587" s="18" t="n"/>
      <c r="K1587" s="18" t="n">
        <v>4</v>
      </c>
      <c r="L1587" s="18" t="inlineStr">
        <is>
          <t>cobbleventure:generation_4</t>
        </is>
      </c>
      <c r="M1587" s="19" t="inlineStr">
        <is>
          <t>cobbleventure:generation_4</t>
        </is>
      </c>
      <c r="N1587" s="18" t="inlineStr"/>
      <c r="O1587" s="19" t="inlineStr"/>
      <c r="P1587" s="18" t="inlineStr">
        <is>
          <t>#aether:is_aether</t>
        </is>
      </c>
      <c r="Q1587" s="19" t="inlineStr"/>
      <c r="R1587" s="18">
        <f>IF(Q1587="",P1587,Q1587)</f>
        <v/>
      </c>
      <c r="S1587" s="18" t="inlineStr"/>
      <c r="T1587" s="18" t="inlineStr">
        <is>
          <t>rare</t>
        </is>
      </c>
      <c r="U1587" s="20" t="n">
        <v>2.25</v>
      </c>
      <c r="V1587" s="21" t="n">
        <v>1</v>
      </c>
      <c r="W1587" s="20">
        <f>IF(OR(U1587="",V1587=""),U1587,U1587*V1587)</f>
        <v/>
      </c>
      <c r="X1587" s="18" t="inlineStr">
        <is>
          <t>24-47</t>
        </is>
      </c>
      <c r="Y1587" s="19" t="inlineStr"/>
      <c r="Z1587" s="18">
        <f>IF(Y1587="",X1587,Y1587)</f>
        <v/>
      </c>
      <c r="AA1587" s="18" t="inlineStr">
        <is>
          <t>grounded</t>
        </is>
      </c>
      <c r="AB1587" s="18" t="inlineStr"/>
      <c r="AC1587" s="18" t="inlineStr"/>
      <c r="AD1587" s="18" t="inlineStr"/>
      <c r="AE1587" s="18" t="inlineStr">
        <is>
          <t>sky 0-7</t>
        </is>
      </c>
      <c r="AF1587" s="18" t="inlineStr"/>
      <c r="AG1587" s="18" t="inlineStr"/>
      <c r="AH1587" s="18" t="inlineStr"/>
      <c r="AI1587" s="18" t="inlineStr"/>
      <c r="AJ1587" s="18" t="inlineStr">
        <is>
          <t>Cobblemon 동일</t>
        </is>
      </c>
      <c r="AK1587" s="18" t="inlineStr">
        <is>
          <t>사용</t>
        </is>
      </c>
      <c r="AL1587" s="18" t="inlineStr">
        <is>
          <t>COBBLEVERSE 1.7.42 / DP v31</t>
        </is>
      </c>
      <c r="AM1587" s="18" t="inlineStr">
        <is>
          <t>data/cobblemon/spawn_pool_world/0444_gabite.json</t>
        </is>
      </c>
      <c r="AN1587" s="18" t="inlineStr">
        <is>
          <t>gabite-6</t>
        </is>
      </c>
      <c r="AO1587" s="18" t="inlineStr">
        <is>
          <t>pokemon</t>
        </is>
      </c>
      <c r="AP1587" s="18" t="inlineStr">
        <is>
          <t>natural</t>
        </is>
      </c>
      <c r="AQ1587" s="18" t="inlineStr">
        <is>
          <t>{"biomes":["#aether:is_aether"],"maxSkyLight":7,"minSkyLight":0}</t>
        </is>
      </c>
      <c r="AR1587" s="18" t="inlineStr"/>
      <c r="AS1587" s="18" t="inlineStr"/>
      <c r="AT1587" s="19" t="inlineStr"/>
    </row>
    <row r="1588" ht="32" customHeight="1">
      <c r="A1588" s="18" t="inlineStr">
        <is>
          <t>0445_garchomp.json::garchomp-1::001</t>
        </is>
      </c>
      <c r="B1588" s="19" t="inlineStr">
        <is>
          <t>사용</t>
        </is>
      </c>
      <c r="C1588" s="18">
        <f>IF(OR(B1588&lt;&gt;AK1588,M1588&lt;&gt;L1588,O1588&lt;&gt;"",Q1588&lt;&gt;"",V1588&lt;&gt;1,Y1588&lt;&gt;"",AT1588&lt;&gt;""),"수정","원본")</f>
        <v/>
      </c>
      <c r="D1588" s="18" t="n">
        <v>445</v>
      </c>
      <c r="E1588" s="18" t="inlineStr">
        <is>
          <t>한카리아스</t>
        </is>
      </c>
      <c r="F1588" s="18" t="inlineStr">
        <is>
          <t>garchomp</t>
        </is>
      </c>
      <c r="G1588" s="18" t="inlineStr">
        <is>
          <t>garchomp</t>
        </is>
      </c>
      <c r="H1588" s="18" t="inlineStr"/>
      <c r="I1588" s="18" t="n">
        <v>4</v>
      </c>
      <c r="J1588" s="18" t="n"/>
      <c r="K1588" s="18" t="n">
        <v>4</v>
      </c>
      <c r="L1588" s="18" t="inlineStr">
        <is>
          <t>cobbleventure:generation_4</t>
        </is>
      </c>
      <c r="M1588" s="19" t="inlineStr">
        <is>
          <t>cobbleventure:generation_4</t>
        </is>
      </c>
      <c r="N1588" s="18" t="inlineStr"/>
      <c r="O1588" s="19" t="inlineStr"/>
      <c r="P1588" s="18" t="inlineStr">
        <is>
          <t>#cobblemon:is_badlands; #cobblemon:is_mountain</t>
        </is>
      </c>
      <c r="Q1588" s="19" t="inlineStr"/>
      <c r="R1588" s="18">
        <f>IF(Q1588="",P1588,Q1588)</f>
        <v/>
      </c>
      <c r="S1588" s="18" t="inlineStr"/>
      <c r="T1588" s="18" t="inlineStr">
        <is>
          <t>rare</t>
        </is>
      </c>
      <c r="U1588" s="20" t="n">
        <v>0.25</v>
      </c>
      <c r="V1588" s="21" t="n">
        <v>1</v>
      </c>
      <c r="W1588" s="20">
        <f>IF(OR(U1588="",V1588=""),U1588,U1588*V1588)</f>
        <v/>
      </c>
      <c r="X1588" s="18" t="inlineStr">
        <is>
          <t>48-60</t>
        </is>
      </c>
      <c r="Y1588" s="19" t="inlineStr"/>
      <c r="Z1588" s="18">
        <f>IF(Y1588="",X1588,Y1588)</f>
        <v/>
      </c>
      <c r="AA1588" s="18" t="inlineStr">
        <is>
          <t>grounded</t>
        </is>
      </c>
      <c r="AB1588" s="18" t="inlineStr"/>
      <c r="AC1588" s="18" t="inlineStr"/>
      <c r="AD1588" s="18" t="inlineStr">
        <is>
          <t>minY=0</t>
        </is>
      </c>
      <c r="AE1588" s="18" t="inlineStr">
        <is>
          <t>sky 0-7</t>
        </is>
      </c>
      <c r="AF1588" s="18" t="inlineStr"/>
      <c r="AG1588" s="18" t="inlineStr"/>
      <c r="AH1588" s="18" t="inlineStr"/>
      <c r="AI1588" s="18" t="inlineStr"/>
      <c r="AJ1588" s="18" t="inlineStr">
        <is>
          <t>Cobblemon 동일</t>
        </is>
      </c>
      <c r="AK1588" s="18" t="inlineStr">
        <is>
          <t>사용</t>
        </is>
      </c>
      <c r="AL1588" s="18" t="inlineStr">
        <is>
          <t>COBBLEVERSE 1.7.42 / DP v31</t>
        </is>
      </c>
      <c r="AM1588" s="18" t="inlineStr">
        <is>
          <t>data/cobblemon/spawn_pool_world/0445_garchomp.json</t>
        </is>
      </c>
      <c r="AN1588" s="18" t="inlineStr">
        <is>
          <t>garchomp-1</t>
        </is>
      </c>
      <c r="AO1588" s="18" t="inlineStr">
        <is>
          <t>pokemon</t>
        </is>
      </c>
      <c r="AP1588" s="18" t="inlineStr">
        <is>
          <t>natural</t>
        </is>
      </c>
      <c r="AQ1588" s="18" t="inlineStr">
        <is>
          <t>{"biomes":["#cobblemon:is_badlands","#cobblemon:is_mountain"],"maxSkyLight":7,"minSkyLight":0,"minY":0}</t>
        </is>
      </c>
      <c r="AR1588" s="18" t="inlineStr"/>
      <c r="AS1588" s="18" t="inlineStr"/>
      <c r="AT1588" s="19" t="inlineStr"/>
    </row>
    <row r="1589" ht="32" customHeight="1">
      <c r="A1589" s="18" t="inlineStr">
        <is>
          <t>0445_garchomp.json::garchomp-2::002</t>
        </is>
      </c>
      <c r="B1589" s="19" t="inlineStr">
        <is>
          <t>사용</t>
        </is>
      </c>
      <c r="C1589" s="18">
        <f>IF(OR(B1589&lt;&gt;AK1589,M1589&lt;&gt;L1589,O1589&lt;&gt;"",Q1589&lt;&gt;"",V1589&lt;&gt;1,Y1589&lt;&gt;"",AT1589&lt;&gt;""),"수정","원본")</f>
        <v/>
      </c>
      <c r="D1589" s="18" t="n">
        <v>445</v>
      </c>
      <c r="E1589" s="18" t="inlineStr">
        <is>
          <t>한카리아스</t>
        </is>
      </c>
      <c r="F1589" s="18" t="inlineStr">
        <is>
          <t>garchomp</t>
        </is>
      </c>
      <c r="G1589" s="18" t="inlineStr">
        <is>
          <t>garchomp</t>
        </is>
      </c>
      <c r="H1589" s="18" t="inlineStr"/>
      <c r="I1589" s="18" t="n">
        <v>4</v>
      </c>
      <c r="J1589" s="18" t="n"/>
      <c r="K1589" s="18" t="n">
        <v>4</v>
      </c>
      <c r="L1589" s="18" t="inlineStr">
        <is>
          <t>cobbleventure:generation_4</t>
        </is>
      </c>
      <c r="M1589" s="19" t="inlineStr">
        <is>
          <t>cobbleventure:generation_4</t>
        </is>
      </c>
      <c r="N1589" s="18" t="inlineStr"/>
      <c r="O1589" s="19" t="inlineStr"/>
      <c r="P1589" s="18" t="inlineStr">
        <is>
          <t>#cobblemon:is_badlands; #cobblemon:is_mountain</t>
        </is>
      </c>
      <c r="Q1589" s="19" t="inlineStr"/>
      <c r="R1589" s="18">
        <f>IF(Q1589="",P1589,Q1589)</f>
        <v/>
      </c>
      <c r="S1589" s="18" t="inlineStr"/>
      <c r="T1589" s="18" t="inlineStr">
        <is>
          <t>ultra-rare</t>
        </is>
      </c>
      <c r="U1589" s="20" t="n">
        <v>0.4</v>
      </c>
      <c r="V1589" s="21" t="n">
        <v>1</v>
      </c>
      <c r="W1589" s="20">
        <f>IF(OR(U1589="",V1589=""),U1589,U1589*V1589)</f>
        <v/>
      </c>
      <c r="X1589" s="18" t="inlineStr">
        <is>
          <t>48-60</t>
        </is>
      </c>
      <c r="Y1589" s="19" t="inlineStr"/>
      <c r="Z1589" s="18">
        <f>IF(Y1589="",X1589,Y1589)</f>
        <v/>
      </c>
      <c r="AA1589" s="18" t="inlineStr">
        <is>
          <t>grounded</t>
        </is>
      </c>
      <c r="AB1589" s="18" t="inlineStr"/>
      <c r="AC1589" s="18" t="inlineStr"/>
      <c r="AD1589" s="18" t="inlineStr"/>
      <c r="AE1589" s="18" t="inlineStr">
        <is>
          <t>sky 8-15</t>
        </is>
      </c>
      <c r="AF1589" s="18" t="inlineStr"/>
      <c r="AG1589" s="18" t="inlineStr"/>
      <c r="AH1589" s="18" t="inlineStr"/>
      <c r="AI1589" s="18" t="inlineStr"/>
      <c r="AJ1589" s="18" t="inlineStr">
        <is>
          <t>Cobblemon 동일</t>
        </is>
      </c>
      <c r="AK1589" s="18" t="inlineStr">
        <is>
          <t>사용</t>
        </is>
      </c>
      <c r="AL1589" s="18" t="inlineStr">
        <is>
          <t>COBBLEVERSE 1.7.42 / DP v31</t>
        </is>
      </c>
      <c r="AM1589" s="18" t="inlineStr">
        <is>
          <t>data/cobblemon/spawn_pool_world/0445_garchomp.json</t>
        </is>
      </c>
      <c r="AN1589" s="18" t="inlineStr">
        <is>
          <t>garchomp-2</t>
        </is>
      </c>
      <c r="AO1589" s="18" t="inlineStr">
        <is>
          <t>pokemon</t>
        </is>
      </c>
      <c r="AP1589" s="18" t="inlineStr">
        <is>
          <t>natural; wild</t>
        </is>
      </c>
      <c r="AQ1589" s="18" t="inlineStr">
        <is>
          <t>{"biomes":["#cobblemon:is_badlands","#cobblemon:is_mountain"],"maxSkyLight":15,"minSkyLight":8}</t>
        </is>
      </c>
      <c r="AR1589" s="18" t="inlineStr"/>
      <c r="AS1589" s="18" t="inlineStr"/>
      <c r="AT1589" s="19" t="inlineStr"/>
    </row>
    <row r="1590" ht="32" customHeight="1">
      <c r="A1590" s="18" t="inlineStr">
        <is>
          <t>0445_garchomp.json::garchomp-3::003</t>
        </is>
      </c>
      <c r="B1590" s="19" t="inlineStr">
        <is>
          <t>사용</t>
        </is>
      </c>
      <c r="C1590" s="18">
        <f>IF(OR(B1590&lt;&gt;AK1590,M1590&lt;&gt;L1590,O1590&lt;&gt;"",Q1590&lt;&gt;"",V1590&lt;&gt;1,Y1590&lt;&gt;"",AT1590&lt;&gt;""),"수정","원본")</f>
        <v/>
      </c>
      <c r="D1590" s="18" t="n">
        <v>445</v>
      </c>
      <c r="E1590" s="18" t="inlineStr">
        <is>
          <t>한카리아스</t>
        </is>
      </c>
      <c r="F1590" s="18" t="inlineStr">
        <is>
          <t>garchomp</t>
        </is>
      </c>
      <c r="G1590" s="18" t="inlineStr">
        <is>
          <t>garchomp</t>
        </is>
      </c>
      <c r="H1590" s="18" t="inlineStr"/>
      <c r="I1590" s="18" t="n">
        <v>4</v>
      </c>
      <c r="J1590" s="18" t="n"/>
      <c r="K1590" s="18" t="n">
        <v>4</v>
      </c>
      <c r="L1590" s="18" t="inlineStr">
        <is>
          <t>cobbleventure:generation_4</t>
        </is>
      </c>
      <c r="M1590" s="19" t="inlineStr">
        <is>
          <t>cobbleventure:generation_4</t>
        </is>
      </c>
      <c r="N1590" s="18" t="inlineStr">
        <is>
          <t>region_01; region_02</t>
        </is>
      </c>
      <c r="O1590" s="19" t="inlineStr"/>
      <c r="P1590" s="18" t="inlineStr">
        <is>
          <t>#cobblemon:is_overworld</t>
        </is>
      </c>
      <c r="Q1590" s="19" t="inlineStr"/>
      <c r="R1590" s="18">
        <f>IF(Q1590="",P1590,Q1590)</f>
        <v/>
      </c>
      <c r="S1590" s="18" t="inlineStr">
        <is>
          <t>#cobblemon:is_badlands; #cobblemon:is_deep_dark; #cobblemon:is_mountain; #cobblemon:is_thermal</t>
        </is>
      </c>
      <c r="T1590" s="18" t="inlineStr">
        <is>
          <t>ultra-rare</t>
        </is>
      </c>
      <c r="U1590" s="20" t="n">
        <v>0.4</v>
      </c>
      <c r="V1590" s="21" t="n">
        <v>1</v>
      </c>
      <c r="W1590" s="20">
        <f>IF(OR(U1590="",V1590=""),U1590,U1590*V1590)</f>
        <v/>
      </c>
      <c r="X1590" s="18" t="inlineStr">
        <is>
          <t>48-60</t>
        </is>
      </c>
      <c r="Y1590" s="19" t="inlineStr"/>
      <c r="Z1590" s="18">
        <f>IF(Y1590="",X1590,Y1590)</f>
        <v/>
      </c>
      <c r="AA1590" s="18" t="inlineStr">
        <is>
          <t>grounded</t>
        </is>
      </c>
      <c r="AB1590" s="18" t="inlineStr"/>
      <c r="AC1590" s="18" t="inlineStr"/>
      <c r="AD1590" s="18" t="inlineStr">
        <is>
          <t>minY=0</t>
        </is>
      </c>
      <c r="AE1590" s="18" t="inlineStr">
        <is>
          <t>sky 0-7</t>
        </is>
      </c>
      <c r="AF1590" s="18" t="inlineStr"/>
      <c r="AG1590" s="18" t="inlineStr"/>
      <c r="AH1590" s="18" t="inlineStr"/>
      <c r="AI1590" s="18" t="inlineStr"/>
      <c r="AJ1590" s="18" t="inlineStr">
        <is>
          <t>Cobblemon 동일</t>
        </is>
      </c>
      <c r="AK1590" s="18" t="inlineStr">
        <is>
          <t>사용</t>
        </is>
      </c>
      <c r="AL1590" s="18" t="inlineStr">
        <is>
          <t>COBBLEVERSE 1.7.42 / DP v31</t>
        </is>
      </c>
      <c r="AM1590" s="18" t="inlineStr">
        <is>
          <t>data/cobblemon/spawn_pool_world/0445_garchomp.json</t>
        </is>
      </c>
      <c r="AN1590" s="18" t="inlineStr">
        <is>
          <t>garchomp-3</t>
        </is>
      </c>
      <c r="AO1590" s="18" t="inlineStr">
        <is>
          <t>pokemon</t>
        </is>
      </c>
      <c r="AP1590" s="18" t="inlineStr">
        <is>
          <t>natural</t>
        </is>
      </c>
      <c r="AQ1590" s="18" t="inlineStr">
        <is>
          <t>{"biomes":["#cobblemon:is_overworld"],"maxSkyLight":7,"minSkyLight":0,"minY":0}</t>
        </is>
      </c>
      <c r="AR1590" s="18" t="inlineStr">
        <is>
          <t>{"biomes":["#cobblemon:is_badlands","#cobblemon:is_deep_dark","#cobblemon:is_mountain","#cobblemon:is_thermal"],"neededNearbyBlocks":["minecraft:magma_block"]}</t>
        </is>
      </c>
      <c r="AS1590" s="18" t="inlineStr"/>
      <c r="AT1590" s="19" t="inlineStr"/>
    </row>
    <row r="1591" ht="32" customHeight="1">
      <c r="A1591" s="18" t="inlineStr">
        <is>
          <t>0445_garchomp.json::garchomp-4::004</t>
        </is>
      </c>
      <c r="B1591" s="19" t="inlineStr">
        <is>
          <t>사용</t>
        </is>
      </c>
      <c r="C1591" s="18">
        <f>IF(OR(B1591&lt;&gt;AK1591,M1591&lt;&gt;L1591,O1591&lt;&gt;"",Q1591&lt;&gt;"",V1591&lt;&gt;1,Y1591&lt;&gt;"",AT1591&lt;&gt;""),"수정","원본")</f>
        <v/>
      </c>
      <c r="D1591" s="18" t="n">
        <v>445</v>
      </c>
      <c r="E1591" s="18" t="inlineStr">
        <is>
          <t>한카리아스</t>
        </is>
      </c>
      <c r="F1591" s="18" t="inlineStr">
        <is>
          <t>garchomp</t>
        </is>
      </c>
      <c r="G1591" s="18" t="inlineStr">
        <is>
          <t>garchomp</t>
        </is>
      </c>
      <c r="H1591" s="18" t="inlineStr"/>
      <c r="I1591" s="18" t="n">
        <v>4</v>
      </c>
      <c r="J1591" s="18" t="n"/>
      <c r="K1591" s="18" t="n">
        <v>4</v>
      </c>
      <c r="L1591" s="18" t="inlineStr">
        <is>
          <t>cobbleventure:generation_4</t>
        </is>
      </c>
      <c r="M1591" s="19" t="inlineStr">
        <is>
          <t>cobbleventure:generation_4</t>
        </is>
      </c>
      <c r="N1591" s="18" t="inlineStr">
        <is>
          <t>region_01; region_02</t>
        </is>
      </c>
      <c r="O1591" s="19" t="inlineStr"/>
      <c r="P1591" s="18" t="inlineStr">
        <is>
          <t>#cobblemon:is_overworld</t>
        </is>
      </c>
      <c r="Q1591" s="19" t="inlineStr"/>
      <c r="R1591" s="18">
        <f>IF(Q1591="",P1591,Q1591)</f>
        <v/>
      </c>
      <c r="S1591" s="18" t="inlineStr">
        <is>
          <t>#cobblemon:is_badlands; #cobblemon:is_deep_dark; #cobblemon:is_mountain; #cobblemon:is_thermal</t>
        </is>
      </c>
      <c r="T1591" s="18" t="inlineStr">
        <is>
          <t>rare</t>
        </is>
      </c>
      <c r="U1591" s="20" t="n">
        <v>0.25</v>
      </c>
      <c r="V1591" s="21" t="n">
        <v>1</v>
      </c>
      <c r="W1591" s="20">
        <f>IF(OR(U1591="",V1591=""),U1591,U1591*V1591)</f>
        <v/>
      </c>
      <c r="X1591" s="18" t="inlineStr">
        <is>
          <t>48-60</t>
        </is>
      </c>
      <c r="Y1591" s="19" t="inlineStr"/>
      <c r="Z1591" s="18">
        <f>IF(Y1591="",X1591,Y1591)</f>
        <v/>
      </c>
      <c r="AA1591" s="18" t="inlineStr">
        <is>
          <t>grounded</t>
        </is>
      </c>
      <c r="AB1591" s="18" t="inlineStr"/>
      <c r="AC1591" s="18" t="inlineStr"/>
      <c r="AD1591" s="18" t="inlineStr">
        <is>
          <t>minY=0</t>
        </is>
      </c>
      <c r="AE1591" s="18" t="inlineStr">
        <is>
          <t>sky 0-7</t>
        </is>
      </c>
      <c r="AF1591" s="18" t="inlineStr"/>
      <c r="AG1591" s="18" t="inlineStr"/>
      <c r="AH1591" s="18" t="inlineStr">
        <is>
          <t>주변=minecraft:magma_block</t>
        </is>
      </c>
      <c r="AI1591" s="18" t="inlineStr"/>
      <c r="AJ1591" s="18" t="inlineStr">
        <is>
          <t>Cobblemon 동일</t>
        </is>
      </c>
      <c r="AK1591" s="18" t="inlineStr">
        <is>
          <t>사용</t>
        </is>
      </c>
      <c r="AL1591" s="18" t="inlineStr">
        <is>
          <t>COBBLEVERSE 1.7.42 / DP v31</t>
        </is>
      </c>
      <c r="AM1591" s="18" t="inlineStr">
        <is>
          <t>data/cobblemon/spawn_pool_world/0445_garchomp.json</t>
        </is>
      </c>
      <c r="AN1591" s="18" t="inlineStr">
        <is>
          <t>garchomp-4</t>
        </is>
      </c>
      <c r="AO1591" s="18" t="inlineStr">
        <is>
          <t>pokemon</t>
        </is>
      </c>
      <c r="AP1591" s="18" t="inlineStr">
        <is>
          <t>natural</t>
        </is>
      </c>
      <c r="AQ1591" s="18" t="inlineStr">
        <is>
          <t>{"biomes":["#cobblemon:is_overworld"],"maxSkyLight":7,"minSkyLight":0,"minY":0,"neededNearbyBlocks":["minecraft:magma_block"]}</t>
        </is>
      </c>
      <c r="AR1591" s="18" t="inlineStr">
        <is>
          <t>{"biomes":["#cobblemon:is_badlands","#cobblemon:is_deep_dark","#cobblemon:is_mountain","#cobblemon:is_thermal"]}</t>
        </is>
      </c>
      <c r="AS1591" s="18" t="inlineStr"/>
      <c r="AT1591" s="19" t="inlineStr"/>
    </row>
    <row r="1592" ht="32" customHeight="1">
      <c r="A1592" s="18" t="inlineStr">
        <is>
          <t>0445_garchomp.json::garchomp-5::005</t>
        </is>
      </c>
      <c r="B1592" s="19" t="inlineStr">
        <is>
          <t>사용</t>
        </is>
      </c>
      <c r="C1592" s="18">
        <f>IF(OR(B1592&lt;&gt;AK1592,M1592&lt;&gt;L1592,O1592&lt;&gt;"",Q1592&lt;&gt;"",V1592&lt;&gt;1,Y1592&lt;&gt;"",AT1592&lt;&gt;""),"수정","원본")</f>
        <v/>
      </c>
      <c r="D1592" s="18" t="n">
        <v>445</v>
      </c>
      <c r="E1592" s="18" t="inlineStr">
        <is>
          <t>한카리아스</t>
        </is>
      </c>
      <c r="F1592" s="18" t="inlineStr">
        <is>
          <t>garchomp</t>
        </is>
      </c>
      <c r="G1592" s="18" t="inlineStr">
        <is>
          <t>garchomp</t>
        </is>
      </c>
      <c r="H1592" s="18" t="inlineStr"/>
      <c r="I1592" s="18" t="n">
        <v>4</v>
      </c>
      <c r="J1592" s="18" t="n"/>
      <c r="K1592" s="18" t="n">
        <v>4</v>
      </c>
      <c r="L1592" s="18" t="inlineStr">
        <is>
          <t>cobbleventure:generation_4</t>
        </is>
      </c>
      <c r="M1592" s="19" t="inlineStr">
        <is>
          <t>cobbleventure:generation_4</t>
        </is>
      </c>
      <c r="N1592" s="18" t="inlineStr"/>
      <c r="O1592" s="19" t="inlineStr"/>
      <c r="P1592" s="18" t="inlineStr">
        <is>
          <t>#cobblemon:is_thermal</t>
        </is>
      </c>
      <c r="Q1592" s="19" t="inlineStr"/>
      <c r="R1592" s="18">
        <f>IF(Q1592="",P1592,Q1592)</f>
        <v/>
      </c>
      <c r="S1592" s="18" t="inlineStr"/>
      <c r="T1592" s="18" t="inlineStr">
        <is>
          <t>rare</t>
        </is>
      </c>
      <c r="U1592" s="20" t="n">
        <v>0.25</v>
      </c>
      <c r="V1592" s="21" t="n">
        <v>1</v>
      </c>
      <c r="W1592" s="20">
        <f>IF(OR(U1592="",V1592=""),U1592,U1592*V1592)</f>
        <v/>
      </c>
      <c r="X1592" s="18" t="inlineStr">
        <is>
          <t>48-60</t>
        </is>
      </c>
      <c r="Y1592" s="19" t="inlineStr"/>
      <c r="Z1592" s="18">
        <f>IF(Y1592="",X1592,Y1592)</f>
        <v/>
      </c>
      <c r="AA1592" s="18" t="inlineStr">
        <is>
          <t>grounded</t>
        </is>
      </c>
      <c r="AB1592" s="18" t="inlineStr"/>
      <c r="AC1592" s="18" t="inlineStr"/>
      <c r="AD1592" s="18" t="inlineStr">
        <is>
          <t>minY=0</t>
        </is>
      </c>
      <c r="AE1592" s="18" t="inlineStr">
        <is>
          <t>sky 0-7</t>
        </is>
      </c>
      <c r="AF1592" s="18" t="inlineStr"/>
      <c r="AG1592" s="18" t="inlineStr"/>
      <c r="AH1592" s="18" t="inlineStr"/>
      <c r="AI1592" s="18" t="inlineStr"/>
      <c r="AJ1592" s="18" t="inlineStr">
        <is>
          <t>Cobblemon 동일</t>
        </is>
      </c>
      <c r="AK1592" s="18" t="inlineStr">
        <is>
          <t>사용</t>
        </is>
      </c>
      <c r="AL1592" s="18" t="inlineStr">
        <is>
          <t>COBBLEVERSE 1.7.42 / DP v31</t>
        </is>
      </c>
      <c r="AM1592" s="18" t="inlineStr">
        <is>
          <t>data/cobblemon/spawn_pool_world/0445_garchomp.json</t>
        </is>
      </c>
      <c r="AN1592" s="18" t="inlineStr">
        <is>
          <t>garchomp-5</t>
        </is>
      </c>
      <c r="AO1592" s="18" t="inlineStr">
        <is>
          <t>pokemon</t>
        </is>
      </c>
      <c r="AP1592" s="18" t="inlineStr">
        <is>
          <t>natural</t>
        </is>
      </c>
      <c r="AQ1592" s="18" t="inlineStr">
        <is>
          <t>{"biomes":["#cobblemon:is_thermal"],"maxSkyLight":7,"minSkyLight":0,"minY":0}</t>
        </is>
      </c>
      <c r="AR1592" s="18" t="inlineStr"/>
      <c r="AS1592" s="18" t="inlineStr"/>
      <c r="AT1592" s="19" t="inlineStr"/>
    </row>
    <row r="1593" ht="32" customHeight="1">
      <c r="A1593" s="18" t="inlineStr">
        <is>
          <t>0445_garchomp.json::garchomp-6::006</t>
        </is>
      </c>
      <c r="B1593" s="19" t="inlineStr">
        <is>
          <t>사용</t>
        </is>
      </c>
      <c r="C1593" s="18">
        <f>IF(OR(B1593&lt;&gt;AK1593,M1593&lt;&gt;L1593,O1593&lt;&gt;"",Q1593&lt;&gt;"",V1593&lt;&gt;1,Y1593&lt;&gt;"",AT1593&lt;&gt;""),"수정","원본")</f>
        <v/>
      </c>
      <c r="D1593" s="18" t="n">
        <v>445</v>
      </c>
      <c r="E1593" s="18" t="inlineStr">
        <is>
          <t>한카리아스</t>
        </is>
      </c>
      <c r="F1593" s="18" t="inlineStr">
        <is>
          <t>garchomp</t>
        </is>
      </c>
      <c r="G1593" s="18" t="inlineStr">
        <is>
          <t>garchomp</t>
        </is>
      </c>
      <c r="H1593" s="18" t="inlineStr"/>
      <c r="I1593" s="18" t="n">
        <v>4</v>
      </c>
      <c r="J1593" s="18" t="n"/>
      <c r="K1593" s="18" t="n">
        <v>4</v>
      </c>
      <c r="L1593" s="18" t="inlineStr">
        <is>
          <t>cobbleventure:generation_4</t>
        </is>
      </c>
      <c r="M1593" s="19" t="inlineStr">
        <is>
          <t>cobbleventure:generation_4</t>
        </is>
      </c>
      <c r="N1593" s="18" t="inlineStr"/>
      <c r="O1593" s="19" t="inlineStr"/>
      <c r="P1593" s="18" t="inlineStr">
        <is>
          <t>#aether:is_aether</t>
        </is>
      </c>
      <c r="Q1593" s="19" t="inlineStr"/>
      <c r="R1593" s="18">
        <f>IF(Q1593="",P1593,Q1593)</f>
        <v/>
      </c>
      <c r="S1593" s="18" t="inlineStr"/>
      <c r="T1593" s="18" t="inlineStr">
        <is>
          <t>rare</t>
        </is>
      </c>
      <c r="U1593" s="20" t="n">
        <v>0.25</v>
      </c>
      <c r="V1593" s="21" t="n">
        <v>1</v>
      </c>
      <c r="W1593" s="20">
        <f>IF(OR(U1593="",V1593=""),U1593,U1593*V1593)</f>
        <v/>
      </c>
      <c r="X1593" s="18" t="inlineStr">
        <is>
          <t>48-60</t>
        </is>
      </c>
      <c r="Y1593" s="19" t="inlineStr"/>
      <c r="Z1593" s="18">
        <f>IF(Y1593="",X1593,Y1593)</f>
        <v/>
      </c>
      <c r="AA1593" s="18" t="inlineStr">
        <is>
          <t>grounded</t>
        </is>
      </c>
      <c r="AB1593" s="18" t="inlineStr"/>
      <c r="AC1593" s="18" t="inlineStr"/>
      <c r="AD1593" s="18" t="inlineStr"/>
      <c r="AE1593" s="18" t="inlineStr">
        <is>
          <t>sky 0-7</t>
        </is>
      </c>
      <c r="AF1593" s="18" t="inlineStr"/>
      <c r="AG1593" s="18" t="inlineStr"/>
      <c r="AH1593" s="18" t="inlineStr"/>
      <c r="AI1593" s="18" t="inlineStr"/>
      <c r="AJ1593" s="18" t="inlineStr">
        <is>
          <t>Cobblemon 동일</t>
        </is>
      </c>
      <c r="AK1593" s="18" t="inlineStr">
        <is>
          <t>사용</t>
        </is>
      </c>
      <c r="AL1593" s="18" t="inlineStr">
        <is>
          <t>COBBLEVERSE 1.7.42 / DP v31</t>
        </is>
      </c>
      <c r="AM1593" s="18" t="inlineStr">
        <is>
          <t>data/cobblemon/spawn_pool_world/0445_garchomp.json</t>
        </is>
      </c>
      <c r="AN1593" s="18" t="inlineStr">
        <is>
          <t>garchomp-6</t>
        </is>
      </c>
      <c r="AO1593" s="18" t="inlineStr">
        <is>
          <t>pokemon</t>
        </is>
      </c>
      <c r="AP1593" s="18" t="inlineStr">
        <is>
          <t>natural</t>
        </is>
      </c>
      <c r="AQ1593" s="18" t="inlineStr">
        <is>
          <t>{"biomes":["#aether:is_aether"],"maxSkyLight":7,"minSkyLight":0}</t>
        </is>
      </c>
      <c r="AR1593" s="18" t="inlineStr"/>
      <c r="AS1593" s="18" t="inlineStr"/>
      <c r="AT1593" s="19" t="inlineStr"/>
    </row>
    <row r="1594" ht="32" customHeight="1">
      <c r="A1594" s="18" t="inlineStr">
        <is>
          <t>0446_munchlax.json::munchlax-1::001</t>
        </is>
      </c>
      <c r="B1594" s="19" t="inlineStr">
        <is>
          <t>사용</t>
        </is>
      </c>
      <c r="C1594" s="18">
        <f>IF(OR(B1594&lt;&gt;AK1594,M1594&lt;&gt;L1594,O1594&lt;&gt;"",Q1594&lt;&gt;"",V1594&lt;&gt;1,Y1594&lt;&gt;"",AT1594&lt;&gt;""),"수정","원본")</f>
        <v/>
      </c>
      <c r="D1594" s="18" t="n">
        <v>446</v>
      </c>
      <c r="E1594" s="18" t="inlineStr">
        <is>
          <t>먹고자</t>
        </is>
      </c>
      <c r="F1594" s="18" t="inlineStr">
        <is>
          <t>munchlax</t>
        </is>
      </c>
      <c r="G1594" s="18" t="inlineStr">
        <is>
          <t>munchlax</t>
        </is>
      </c>
      <c r="H1594" s="18" t="inlineStr"/>
      <c r="I1594" s="18" t="n">
        <v>4</v>
      </c>
      <c r="J1594" s="18" t="n"/>
      <c r="K1594" s="18" t="n">
        <v>4</v>
      </c>
      <c r="L1594" s="18" t="inlineStr">
        <is>
          <t>cobbleventure:generation_4</t>
        </is>
      </c>
      <c r="M1594" s="19" t="inlineStr">
        <is>
          <t>cobbleventure:generation_4</t>
        </is>
      </c>
      <c r="N1594" s="18" t="inlineStr">
        <is>
          <t>region_01</t>
        </is>
      </c>
      <c r="O1594" s="19" t="inlineStr"/>
      <c r="P1594" s="18" t="inlineStr">
        <is>
          <t>#cobblemon:is_snowy_forest; #cobblemon:is_forest; #cobblemon:is_hills; aether:skyroot_forest; aether:skyroot_woodland</t>
        </is>
      </c>
      <c r="Q1594" s="19" t="inlineStr"/>
      <c r="R1594" s="18">
        <f>IF(Q1594="",P1594,Q1594)</f>
        <v/>
      </c>
      <c r="S1594" s="18" t="inlineStr"/>
      <c r="T1594" s="18" t="inlineStr">
        <is>
          <t>rare</t>
        </is>
      </c>
      <c r="U1594" s="20" t="n">
        <v>7.5</v>
      </c>
      <c r="V1594" s="21" t="n">
        <v>1</v>
      </c>
      <c r="W1594" s="20">
        <f>IF(OR(U1594="",V1594=""),U1594,U1594*V1594)</f>
        <v/>
      </c>
      <c r="X1594" s="18" t="inlineStr">
        <is>
          <t>24-39</t>
        </is>
      </c>
      <c r="Y1594" s="19" t="inlineStr"/>
      <c r="Z1594" s="18">
        <f>IF(Y1594="",X1594,Y1594)</f>
        <v/>
      </c>
      <c r="AA1594" s="18" t="inlineStr">
        <is>
          <t>grounded</t>
        </is>
      </c>
      <c r="AB1594" s="18" t="inlineStr"/>
      <c r="AC1594" s="18" t="inlineStr"/>
      <c r="AD1594" s="18" t="inlineStr"/>
      <c r="AE1594" s="18" t="inlineStr">
        <is>
          <t>sky 8-15</t>
        </is>
      </c>
      <c r="AF1594" s="18" t="inlineStr"/>
      <c r="AG1594" s="18" t="inlineStr"/>
      <c r="AH1594" s="18" t="inlineStr"/>
      <c r="AI1594" s="18" t="inlineStr"/>
      <c r="AJ1594" s="18" t="inlineStr">
        <is>
          <t>Cobblemon 동일</t>
        </is>
      </c>
      <c r="AK1594" s="18" t="inlineStr">
        <is>
          <t>사용</t>
        </is>
      </c>
      <c r="AL1594" s="18" t="inlineStr">
        <is>
          <t>COBBLEVERSE 1.7.42 / DP v31</t>
        </is>
      </c>
      <c r="AM1594" s="18" t="inlineStr">
        <is>
          <t>data/cobblemon/spawn_pool_world/0446_munchlax.json</t>
        </is>
      </c>
      <c r="AN1594" s="18" t="inlineStr">
        <is>
          <t>munchlax-1</t>
        </is>
      </c>
      <c r="AO1594" s="18" t="inlineStr">
        <is>
          <t>pokemon</t>
        </is>
      </c>
      <c r="AP1594" s="18" t="inlineStr">
        <is>
          <t>natural</t>
        </is>
      </c>
      <c r="AQ1594" s="18" t="inlineStr">
        <is>
          <t>{"biomes":["#cobblemon:is_snowy_forest","#cobblemon:is_forest","#cobblemon:is_hills","aether:skyroot_forest","aether:skyroot_woodland"],"maxSkyLight":15,"minSkyLight":8}</t>
        </is>
      </c>
      <c r="AR1594" s="18" t="inlineStr">
        <is>
          <t>{"neededNearbyBlocks":["#cobblemon:saccharine_trees"]}</t>
        </is>
      </c>
      <c r="AS1594" s="18" t="inlineStr"/>
      <c r="AT1594" s="19" t="inlineStr"/>
    </row>
    <row r="1595" ht="32" customHeight="1">
      <c r="A1595" s="18" t="inlineStr">
        <is>
          <t>0446_munchlax.json::munchlax-2::002</t>
        </is>
      </c>
      <c r="B1595" s="19" t="inlineStr">
        <is>
          <t>사용</t>
        </is>
      </c>
      <c r="C1595" s="18">
        <f>IF(OR(B1595&lt;&gt;AK1595,M1595&lt;&gt;L1595,O1595&lt;&gt;"",Q1595&lt;&gt;"",V1595&lt;&gt;1,Y1595&lt;&gt;"",AT1595&lt;&gt;""),"수정","원본")</f>
        <v/>
      </c>
      <c r="D1595" s="18" t="n">
        <v>446</v>
      </c>
      <c r="E1595" s="18" t="inlineStr">
        <is>
          <t>먹고자</t>
        </is>
      </c>
      <c r="F1595" s="18" t="inlineStr">
        <is>
          <t>munchlax</t>
        </is>
      </c>
      <c r="G1595" s="18" t="inlineStr">
        <is>
          <t>munchlax</t>
        </is>
      </c>
      <c r="H1595" s="18" t="inlineStr"/>
      <c r="I1595" s="18" t="n">
        <v>4</v>
      </c>
      <c r="J1595" s="18" t="n"/>
      <c r="K1595" s="18" t="n">
        <v>4</v>
      </c>
      <c r="L1595" s="18" t="inlineStr">
        <is>
          <t>cobbleventure:generation_4</t>
        </is>
      </c>
      <c r="M1595" s="19" t="inlineStr">
        <is>
          <t>cobbleventure:generation_4</t>
        </is>
      </c>
      <c r="N1595" s="18" t="inlineStr">
        <is>
          <t>region_01; region_02</t>
        </is>
      </c>
      <c r="O1595" s="19" t="inlineStr"/>
      <c r="P1595" s="18" t="inlineStr">
        <is>
          <t>#aether:is_aether; #cobblemon:is_overworld</t>
        </is>
      </c>
      <c r="Q1595" s="19" t="inlineStr"/>
      <c r="R1595" s="18">
        <f>IF(Q1595="",P1595,Q1595)</f>
        <v/>
      </c>
      <c r="S1595" s="18" t="inlineStr"/>
      <c r="T1595" s="18" t="inlineStr">
        <is>
          <t>uncommon</t>
        </is>
      </c>
      <c r="U1595" s="20" t="n">
        <v>1.68</v>
      </c>
      <c r="V1595" s="21" t="n">
        <v>1</v>
      </c>
      <c r="W1595" s="20">
        <f>IF(OR(U1595="",V1595=""),U1595,U1595*V1595)</f>
        <v/>
      </c>
      <c r="X1595" s="18" t="inlineStr">
        <is>
          <t>24-39</t>
        </is>
      </c>
      <c r="Y1595" s="19" t="inlineStr"/>
      <c r="Z1595" s="18">
        <f>IF(Y1595="",X1595,Y1595)</f>
        <v/>
      </c>
      <c r="AA1595" s="18" t="inlineStr">
        <is>
          <t>grounded</t>
        </is>
      </c>
      <c r="AB1595" s="18" t="inlineStr"/>
      <c r="AC1595" s="18" t="inlineStr"/>
      <c r="AD1595" s="18" t="inlineStr"/>
      <c r="AE1595" s="18" t="inlineStr">
        <is>
          <t>sky 8-15</t>
        </is>
      </c>
      <c r="AF1595" s="18" t="inlineStr"/>
      <c r="AG1595" s="18" t="inlineStr"/>
      <c r="AH1595" s="18" t="inlineStr">
        <is>
          <t>주변=#cobblemon:saccharine_trees</t>
        </is>
      </c>
      <c r="AI1595" s="18" t="inlineStr"/>
      <c r="AJ1595" s="18" t="inlineStr">
        <is>
          <t>Cobblemon 동일</t>
        </is>
      </c>
      <c r="AK1595" s="18" t="inlineStr">
        <is>
          <t>사용</t>
        </is>
      </c>
      <c r="AL1595" s="18" t="inlineStr">
        <is>
          <t>COBBLEVERSE 1.7.42 / DP v31</t>
        </is>
      </c>
      <c r="AM1595" s="18" t="inlineStr">
        <is>
          <t>data/cobblemon/spawn_pool_world/0446_munchlax.json</t>
        </is>
      </c>
      <c r="AN1595" s="18" t="inlineStr">
        <is>
          <t>munchlax-2</t>
        </is>
      </c>
      <c r="AO1595" s="18" t="inlineStr">
        <is>
          <t>pokemon</t>
        </is>
      </c>
      <c r="AP1595" s="18" t="inlineStr">
        <is>
          <t>natural</t>
        </is>
      </c>
      <c r="AQ1595" s="18" t="inlineStr">
        <is>
          <t>{"biomes":["#aether:is_aether","#cobblemon:is_overworld"],"maxSkyLight":15,"minSkyLight":8,"neededNearbyBlocks":["#cobblemon:saccharine_trees"]}</t>
        </is>
      </c>
      <c r="AR1595" s="18" t="inlineStr"/>
      <c r="AS1595" s="18" t="inlineStr"/>
      <c r="AT1595" s="19" t="inlineStr"/>
    </row>
    <row r="1596" ht="32" customHeight="1">
      <c r="A1596" s="18" t="inlineStr">
        <is>
          <t>0447_riolu.json::riolu-1::001</t>
        </is>
      </c>
      <c r="B1596" s="19" t="inlineStr">
        <is>
          <t>사용</t>
        </is>
      </c>
      <c r="C1596" s="18">
        <f>IF(OR(B1596&lt;&gt;AK1596,M1596&lt;&gt;L1596,O1596&lt;&gt;"",Q1596&lt;&gt;"",V1596&lt;&gt;1,Y1596&lt;&gt;"",AT1596&lt;&gt;""),"수정","원본")</f>
        <v/>
      </c>
      <c r="D1596" s="18" t="n">
        <v>447</v>
      </c>
      <c r="E1596" s="18" t="inlineStr">
        <is>
          <t>리오르</t>
        </is>
      </c>
      <c r="F1596" s="18" t="inlineStr">
        <is>
          <t>riolu</t>
        </is>
      </c>
      <c r="G1596" s="18" t="inlineStr">
        <is>
          <t>riolu</t>
        </is>
      </c>
      <c r="H1596" s="18" t="inlineStr"/>
      <c r="I1596" s="18" t="n">
        <v>4</v>
      </c>
      <c r="J1596" s="18" t="n"/>
      <c r="K1596" s="18" t="n">
        <v>4</v>
      </c>
      <c r="L1596" s="18" t="inlineStr">
        <is>
          <t>cobbleventure:generation_4</t>
        </is>
      </c>
      <c r="M1596" s="19" t="inlineStr">
        <is>
          <t>cobbleventure:generation_4</t>
        </is>
      </c>
      <c r="N1596" s="18" t="inlineStr"/>
      <c r="O1596" s="19" t="inlineStr"/>
      <c r="P1596" s="18" t="inlineStr">
        <is>
          <t>#cobblemon:is_mountain</t>
        </is>
      </c>
      <c r="Q1596" s="19" t="inlineStr"/>
      <c r="R1596" s="18">
        <f>IF(Q1596="",P1596,Q1596)</f>
        <v/>
      </c>
      <c r="S1596" s="18" t="inlineStr"/>
      <c r="T1596" s="18" t="inlineStr">
        <is>
          <t>rare</t>
        </is>
      </c>
      <c r="U1596" s="20" t="n">
        <v>7.5</v>
      </c>
      <c r="V1596" s="21" t="n">
        <v>1</v>
      </c>
      <c r="W1596" s="20">
        <f>IF(OR(U1596="",V1596=""),U1596,U1596*V1596)</f>
        <v/>
      </c>
      <c r="X1596" s="18" t="inlineStr">
        <is>
          <t>4-29</t>
        </is>
      </c>
      <c r="Y1596" s="19" t="inlineStr"/>
      <c r="Z1596" s="18">
        <f>IF(Y1596="",X1596,Y1596)</f>
        <v/>
      </c>
      <c r="AA1596" s="18" t="inlineStr">
        <is>
          <t>grounded</t>
        </is>
      </c>
      <c r="AB1596" s="18" t="inlineStr"/>
      <c r="AC1596" s="18" t="inlineStr"/>
      <c r="AD1596" s="18" t="inlineStr"/>
      <c r="AE1596" s="18" t="inlineStr">
        <is>
          <t>sky 8-15</t>
        </is>
      </c>
      <c r="AF1596" s="18" t="inlineStr"/>
      <c r="AG1596" s="18" t="inlineStr"/>
      <c r="AH1596" s="18" t="inlineStr"/>
      <c r="AI1596" s="18" t="inlineStr"/>
      <c r="AJ1596" s="18" t="inlineStr">
        <is>
          <t>Cobblemon 동일</t>
        </is>
      </c>
      <c r="AK1596" s="18" t="inlineStr">
        <is>
          <t>사용</t>
        </is>
      </c>
      <c r="AL1596" s="18" t="inlineStr">
        <is>
          <t>COBBLEVERSE 1.7.42 / DP v31</t>
        </is>
      </c>
      <c r="AM1596" s="18" t="inlineStr">
        <is>
          <t>data/cobblemon/spawn_pool_world/0447_riolu.json</t>
        </is>
      </c>
      <c r="AN1596" s="18" t="inlineStr">
        <is>
          <t>riolu-1</t>
        </is>
      </c>
      <c r="AO1596" s="18" t="inlineStr">
        <is>
          <t>pokemon</t>
        </is>
      </c>
      <c r="AP1596" s="18" t="inlineStr">
        <is>
          <t>natural; wild</t>
        </is>
      </c>
      <c r="AQ1596" s="18" t="inlineStr">
        <is>
          <t>{"biomes":["#cobblemon:is_mountain"],"maxSkyLight":15,"minSkyLight":8}</t>
        </is>
      </c>
      <c r="AR1596" s="18" t="inlineStr"/>
      <c r="AS1596" s="18" t="inlineStr">
        <is>
          <t>{"weightMultiplier":{"condition":{"timeRange":"night"},"multiplier":0.25}}</t>
        </is>
      </c>
      <c r="AT1596" s="19" t="inlineStr"/>
    </row>
    <row r="1597" ht="32" customHeight="1">
      <c r="A1597" s="18" t="inlineStr">
        <is>
          <t>0447_riolu.json::riolu-2::002</t>
        </is>
      </c>
      <c r="B1597" s="19" t="inlineStr">
        <is>
          <t>사용</t>
        </is>
      </c>
      <c r="C1597" s="18">
        <f>IF(OR(B1597&lt;&gt;AK1597,M1597&lt;&gt;L1597,O1597&lt;&gt;"",Q1597&lt;&gt;"",V1597&lt;&gt;1,Y1597&lt;&gt;"",AT1597&lt;&gt;""),"수정","원본")</f>
        <v/>
      </c>
      <c r="D1597" s="18" t="n">
        <v>447</v>
      </c>
      <c r="E1597" s="18" t="inlineStr">
        <is>
          <t>리오르</t>
        </is>
      </c>
      <c r="F1597" s="18" t="inlineStr">
        <is>
          <t>riolu</t>
        </is>
      </c>
      <c r="G1597" s="18" t="inlineStr">
        <is>
          <t>riolu</t>
        </is>
      </c>
      <c r="H1597" s="18" t="inlineStr"/>
      <c r="I1597" s="18" t="n">
        <v>4</v>
      </c>
      <c r="J1597" s="18" t="n"/>
      <c r="K1597" s="18" t="n">
        <v>4</v>
      </c>
      <c r="L1597" s="18" t="inlineStr">
        <is>
          <t>cobbleventure:generation_4</t>
        </is>
      </c>
      <c r="M1597" s="19" t="inlineStr">
        <is>
          <t>cobbleventure:generation_4</t>
        </is>
      </c>
      <c r="N1597" s="18" t="inlineStr"/>
      <c r="O1597" s="19" t="inlineStr"/>
      <c r="P1597" s="18" t="inlineStr">
        <is>
          <t>#aether:is_aether</t>
        </is>
      </c>
      <c r="Q1597" s="19" t="inlineStr"/>
      <c r="R1597" s="18">
        <f>IF(Q1597="",P1597,Q1597)</f>
        <v/>
      </c>
      <c r="S1597" s="18" t="inlineStr"/>
      <c r="T1597" s="18" t="inlineStr">
        <is>
          <t>rare</t>
        </is>
      </c>
      <c r="U1597" s="20" t="n">
        <v>7.5</v>
      </c>
      <c r="V1597" s="21" t="n">
        <v>1</v>
      </c>
      <c r="W1597" s="20">
        <f>IF(OR(U1597="",V1597=""),U1597,U1597*V1597)</f>
        <v/>
      </c>
      <c r="X1597" s="18" t="inlineStr">
        <is>
          <t>4-29</t>
        </is>
      </c>
      <c r="Y1597" s="19" t="inlineStr"/>
      <c r="Z1597" s="18">
        <f>IF(Y1597="",X1597,Y1597)</f>
        <v/>
      </c>
      <c r="AA1597" s="18" t="inlineStr">
        <is>
          <t>grounded</t>
        </is>
      </c>
      <c r="AB1597" s="18" t="inlineStr"/>
      <c r="AC1597" s="18" t="inlineStr"/>
      <c r="AD1597" s="18" t="inlineStr"/>
      <c r="AE1597" s="18" t="inlineStr">
        <is>
          <t>sky 8-15</t>
        </is>
      </c>
      <c r="AF1597" s="18" t="inlineStr"/>
      <c r="AG1597" s="18" t="inlineStr"/>
      <c r="AH1597" s="18" t="inlineStr"/>
      <c r="AI1597" s="18" t="inlineStr"/>
      <c r="AJ1597" s="18" t="inlineStr">
        <is>
          <t>Cobblemon 동일</t>
        </is>
      </c>
      <c r="AK1597" s="18" t="inlineStr">
        <is>
          <t>사용</t>
        </is>
      </c>
      <c r="AL1597" s="18" t="inlineStr">
        <is>
          <t>COBBLEVERSE 1.7.42 / DP v31</t>
        </is>
      </c>
      <c r="AM1597" s="18" t="inlineStr">
        <is>
          <t>data/cobblemon/spawn_pool_world/0447_riolu.json</t>
        </is>
      </c>
      <c r="AN1597" s="18" t="inlineStr">
        <is>
          <t>riolu-2</t>
        </is>
      </c>
      <c r="AO1597" s="18" t="inlineStr">
        <is>
          <t>pokemon</t>
        </is>
      </c>
      <c r="AP1597" s="18" t="inlineStr">
        <is>
          <t>natural</t>
        </is>
      </c>
      <c r="AQ1597" s="18" t="inlineStr">
        <is>
          <t>{"biomes":["#aether:is_aether"],"maxSkyLight":15,"minSkyLight":8}</t>
        </is>
      </c>
      <c r="AR1597" s="18" t="inlineStr"/>
      <c r="AS1597" s="18" t="inlineStr"/>
      <c r="AT1597" s="19" t="inlineStr"/>
    </row>
    <row r="1598" ht="32" customHeight="1">
      <c r="A1598" s="18" t="inlineStr">
        <is>
          <t>0448_lucario.json::lucario-1::001</t>
        </is>
      </c>
      <c r="B1598" s="19" t="inlineStr">
        <is>
          <t>사용</t>
        </is>
      </c>
      <c r="C1598" s="18">
        <f>IF(OR(B1598&lt;&gt;AK1598,M1598&lt;&gt;L1598,O1598&lt;&gt;"",Q1598&lt;&gt;"",V1598&lt;&gt;1,Y1598&lt;&gt;"",AT1598&lt;&gt;""),"수정","원본")</f>
        <v/>
      </c>
      <c r="D1598" s="18" t="n">
        <v>448</v>
      </c>
      <c r="E1598" s="18" t="inlineStr">
        <is>
          <t>루카리오</t>
        </is>
      </c>
      <c r="F1598" s="18" t="inlineStr">
        <is>
          <t>lucario</t>
        </is>
      </c>
      <c r="G1598" s="18" t="inlineStr">
        <is>
          <t>lucario</t>
        </is>
      </c>
      <c r="H1598" s="18" t="inlineStr"/>
      <c r="I1598" s="18" t="n">
        <v>4</v>
      </c>
      <c r="J1598" s="18" t="n"/>
      <c r="K1598" s="18" t="n">
        <v>4</v>
      </c>
      <c r="L1598" s="18" t="inlineStr">
        <is>
          <t>cobbleventure:generation_4</t>
        </is>
      </c>
      <c r="M1598" s="19" t="inlineStr">
        <is>
          <t>cobbleventure:generation_4</t>
        </is>
      </c>
      <c r="N1598" s="18" t="inlineStr"/>
      <c r="O1598" s="19" t="inlineStr"/>
      <c r="P1598" s="18" t="inlineStr">
        <is>
          <t>#cobblemon:is_mountain</t>
        </is>
      </c>
      <c r="Q1598" s="19" t="inlineStr"/>
      <c r="R1598" s="18">
        <f>IF(Q1598="",P1598,Q1598)</f>
        <v/>
      </c>
      <c r="S1598" s="18" t="inlineStr"/>
      <c r="T1598" s="18" t="inlineStr">
        <is>
          <t>rare</t>
        </is>
      </c>
      <c r="U1598" s="20" t="n">
        <v>2.5</v>
      </c>
      <c r="V1598" s="21" t="n">
        <v>1</v>
      </c>
      <c r="W1598" s="20">
        <f>IF(OR(U1598="",V1598=""),U1598,U1598*V1598)</f>
        <v/>
      </c>
      <c r="X1598" s="18" t="inlineStr">
        <is>
          <t>24-53</t>
        </is>
      </c>
      <c r="Y1598" s="19" t="inlineStr"/>
      <c r="Z1598" s="18">
        <f>IF(Y1598="",X1598,Y1598)</f>
        <v/>
      </c>
      <c r="AA1598" s="18" t="inlineStr">
        <is>
          <t>grounded</t>
        </is>
      </c>
      <c r="AB1598" s="18" t="inlineStr"/>
      <c r="AC1598" s="18" t="inlineStr"/>
      <c r="AD1598" s="18" t="inlineStr"/>
      <c r="AE1598" s="18" t="inlineStr">
        <is>
          <t>sky 8-15</t>
        </is>
      </c>
      <c r="AF1598" s="18" t="inlineStr"/>
      <c r="AG1598" s="18" t="inlineStr"/>
      <c r="AH1598" s="18" t="inlineStr"/>
      <c r="AI1598" s="18" t="inlineStr"/>
      <c r="AJ1598" s="18" t="inlineStr">
        <is>
          <t>Cobblemon 동일</t>
        </is>
      </c>
      <c r="AK1598" s="18" t="inlineStr">
        <is>
          <t>사용</t>
        </is>
      </c>
      <c r="AL1598" s="18" t="inlineStr">
        <is>
          <t>COBBLEVERSE 1.7.42 / DP v31</t>
        </is>
      </c>
      <c r="AM1598" s="18" t="inlineStr">
        <is>
          <t>data/cobblemon/spawn_pool_world/0448_lucario.json</t>
        </is>
      </c>
      <c r="AN1598" s="18" t="inlineStr">
        <is>
          <t>lucario-1</t>
        </is>
      </c>
      <c r="AO1598" s="18" t="inlineStr">
        <is>
          <t>pokemon</t>
        </is>
      </c>
      <c r="AP1598" s="18" t="inlineStr">
        <is>
          <t>natural; wild</t>
        </is>
      </c>
      <c r="AQ1598" s="18" t="inlineStr">
        <is>
          <t>{"biomes":["#cobblemon:is_mountain"],"maxSkyLight":15,"minSkyLight":8}</t>
        </is>
      </c>
      <c r="AR1598" s="18" t="inlineStr"/>
      <c r="AS1598" s="18" t="inlineStr">
        <is>
          <t>{"weightMultiplier":{"condition":{"timeRange":"night"},"multiplier":0.25}}</t>
        </is>
      </c>
      <c r="AT1598" s="19" t="inlineStr"/>
    </row>
    <row r="1599" ht="32" customHeight="1">
      <c r="A1599" s="18" t="inlineStr">
        <is>
          <t>0448_lucario.json::lucario-2::002</t>
        </is>
      </c>
      <c r="B1599" s="19" t="inlineStr">
        <is>
          <t>사용</t>
        </is>
      </c>
      <c r="C1599" s="18">
        <f>IF(OR(B1599&lt;&gt;AK1599,M1599&lt;&gt;L1599,O1599&lt;&gt;"",Q1599&lt;&gt;"",V1599&lt;&gt;1,Y1599&lt;&gt;"",AT1599&lt;&gt;""),"수정","원본")</f>
        <v/>
      </c>
      <c r="D1599" s="18" t="n">
        <v>448</v>
      </c>
      <c r="E1599" s="18" t="inlineStr">
        <is>
          <t>루카리오</t>
        </is>
      </c>
      <c r="F1599" s="18" t="inlineStr">
        <is>
          <t>lucario</t>
        </is>
      </c>
      <c r="G1599" s="18" t="inlineStr">
        <is>
          <t>lucario</t>
        </is>
      </c>
      <c r="H1599" s="18" t="inlineStr"/>
      <c r="I1599" s="18" t="n">
        <v>4</v>
      </c>
      <c r="J1599" s="18" t="n"/>
      <c r="K1599" s="18" t="n">
        <v>4</v>
      </c>
      <c r="L1599" s="18" t="inlineStr">
        <is>
          <t>cobbleventure:generation_4</t>
        </is>
      </c>
      <c r="M1599" s="19" t="inlineStr">
        <is>
          <t>cobbleventure:generation_4</t>
        </is>
      </c>
      <c r="N1599" s="18" t="inlineStr"/>
      <c r="O1599" s="19" t="inlineStr"/>
      <c r="P1599" s="18" t="inlineStr">
        <is>
          <t>#aether:is_aether</t>
        </is>
      </c>
      <c r="Q1599" s="19" t="inlineStr"/>
      <c r="R1599" s="18">
        <f>IF(Q1599="",P1599,Q1599)</f>
        <v/>
      </c>
      <c r="S1599" s="18" t="inlineStr"/>
      <c r="T1599" s="18" t="inlineStr">
        <is>
          <t>rare</t>
        </is>
      </c>
      <c r="U1599" s="20" t="n">
        <v>2.5</v>
      </c>
      <c r="V1599" s="21" t="n">
        <v>1</v>
      </c>
      <c r="W1599" s="20">
        <f>IF(OR(U1599="",V1599=""),U1599,U1599*V1599)</f>
        <v/>
      </c>
      <c r="X1599" s="18" t="inlineStr">
        <is>
          <t>24-53</t>
        </is>
      </c>
      <c r="Y1599" s="19" t="inlineStr"/>
      <c r="Z1599" s="18">
        <f>IF(Y1599="",X1599,Y1599)</f>
        <v/>
      </c>
      <c r="AA1599" s="18" t="inlineStr">
        <is>
          <t>grounded</t>
        </is>
      </c>
      <c r="AB1599" s="18" t="inlineStr"/>
      <c r="AC1599" s="18" t="inlineStr"/>
      <c r="AD1599" s="18" t="inlineStr"/>
      <c r="AE1599" s="18" t="inlineStr">
        <is>
          <t>sky 8-15</t>
        </is>
      </c>
      <c r="AF1599" s="18" t="inlineStr"/>
      <c r="AG1599" s="18" t="inlineStr"/>
      <c r="AH1599" s="18" t="inlineStr"/>
      <c r="AI1599" s="18" t="inlineStr"/>
      <c r="AJ1599" s="18" t="inlineStr">
        <is>
          <t>Cobblemon 동일</t>
        </is>
      </c>
      <c r="AK1599" s="18" t="inlineStr">
        <is>
          <t>사용</t>
        </is>
      </c>
      <c r="AL1599" s="18" t="inlineStr">
        <is>
          <t>COBBLEVERSE 1.7.42 / DP v31</t>
        </is>
      </c>
      <c r="AM1599" s="18" t="inlineStr">
        <is>
          <t>data/cobblemon/spawn_pool_world/0448_lucario.json</t>
        </is>
      </c>
      <c r="AN1599" s="18" t="inlineStr">
        <is>
          <t>lucario-2</t>
        </is>
      </c>
      <c r="AO1599" s="18" t="inlineStr">
        <is>
          <t>pokemon</t>
        </is>
      </c>
      <c r="AP1599" s="18" t="inlineStr">
        <is>
          <t>natural</t>
        </is>
      </c>
      <c r="AQ1599" s="18" t="inlineStr">
        <is>
          <t>{"biomes":["#aether:is_aether"],"maxSkyLight":15,"minSkyLight":8}</t>
        </is>
      </c>
      <c r="AR1599" s="18" t="inlineStr"/>
      <c r="AS1599" s="18" t="inlineStr"/>
      <c r="AT1599" s="19" t="inlineStr"/>
    </row>
    <row r="1600" ht="32" customHeight="1">
      <c r="A1600" s="18" t="inlineStr">
        <is>
          <t>0449_hippopotas.json::hippopotas-1::001</t>
        </is>
      </c>
      <c r="B1600" s="19" t="inlineStr">
        <is>
          <t>사용</t>
        </is>
      </c>
      <c r="C1600" s="18">
        <f>IF(OR(B1600&lt;&gt;AK1600,M1600&lt;&gt;L1600,O1600&lt;&gt;"",Q1600&lt;&gt;"",V1600&lt;&gt;1,Y1600&lt;&gt;"",AT1600&lt;&gt;""),"수정","원본")</f>
        <v/>
      </c>
      <c r="D1600" s="18" t="n">
        <v>449</v>
      </c>
      <c r="E1600" s="18" t="inlineStr">
        <is>
          <t>히포포타스</t>
        </is>
      </c>
      <c r="F1600" s="18" t="inlineStr">
        <is>
          <t>hippopotas</t>
        </is>
      </c>
      <c r="G1600" s="18" t="inlineStr">
        <is>
          <t>hippopotas</t>
        </is>
      </c>
      <c r="H1600" s="18" t="inlineStr"/>
      <c r="I1600" s="18" t="n">
        <v>4</v>
      </c>
      <c r="J1600" s="18" t="n"/>
      <c r="K1600" s="18" t="n">
        <v>4</v>
      </c>
      <c r="L1600" s="18" t="inlineStr">
        <is>
          <t>cobbleventure:generation_4</t>
        </is>
      </c>
      <c r="M1600" s="19" t="inlineStr">
        <is>
          <t>cobbleventure:generation_4</t>
        </is>
      </c>
      <c r="N1600" s="18" t="inlineStr">
        <is>
          <t>region_02</t>
        </is>
      </c>
      <c r="O1600" s="19" t="inlineStr"/>
      <c r="P1600" s="18" t="inlineStr">
        <is>
          <t>#cobblemon:is_desert</t>
        </is>
      </c>
      <c r="Q1600" s="19" t="inlineStr"/>
      <c r="R1600" s="18">
        <f>IF(Q1600="",P1600,Q1600)</f>
        <v/>
      </c>
      <c r="S1600" s="18" t="inlineStr"/>
      <c r="T1600" s="18" t="inlineStr">
        <is>
          <t>common</t>
        </is>
      </c>
      <c r="U1600" s="20" t="n">
        <v>1.8</v>
      </c>
      <c r="V1600" s="21" t="n">
        <v>1</v>
      </c>
      <c r="W1600" s="20">
        <f>IF(OR(U1600="",V1600=""),U1600,U1600*V1600)</f>
        <v/>
      </c>
      <c r="X1600" s="18" t="inlineStr">
        <is>
          <t>8-33</t>
        </is>
      </c>
      <c r="Y1600" s="19" t="inlineStr"/>
      <c r="Z1600" s="18">
        <f>IF(Y1600="",X1600,Y1600)</f>
        <v/>
      </c>
      <c r="AA1600" s="18" t="inlineStr">
        <is>
          <t>grounded</t>
        </is>
      </c>
      <c r="AB1600" s="18" t="inlineStr"/>
      <c r="AC1600" s="18" t="inlineStr"/>
      <c r="AD1600" s="18" t="inlineStr"/>
      <c r="AE1600" s="18" t="inlineStr">
        <is>
          <t>sky 8-15</t>
        </is>
      </c>
      <c r="AF1600" s="18" t="inlineStr"/>
      <c r="AG1600" s="18" t="inlineStr"/>
      <c r="AH1600" s="18" t="inlineStr"/>
      <c r="AI1600" s="18" t="inlineStr"/>
      <c r="AJ1600" s="18" t="inlineStr">
        <is>
          <t>Cobblemon 동일</t>
        </is>
      </c>
      <c r="AK1600" s="18" t="inlineStr">
        <is>
          <t>사용</t>
        </is>
      </c>
      <c r="AL1600" s="18" t="inlineStr">
        <is>
          <t>COBBLEVERSE 1.7.42 / DP v31</t>
        </is>
      </c>
      <c r="AM1600" s="18" t="inlineStr">
        <is>
          <t>data/cobblemon/spawn_pool_world/0449_hippopotas.json</t>
        </is>
      </c>
      <c r="AN1600" s="18" t="inlineStr">
        <is>
          <t>hippopotas-1</t>
        </is>
      </c>
      <c r="AO1600" s="18" t="inlineStr">
        <is>
          <t>pokemon</t>
        </is>
      </c>
      <c r="AP1600" s="18" t="inlineStr">
        <is>
          <t>natural; wild</t>
        </is>
      </c>
      <c r="AQ1600" s="18" t="inlineStr">
        <is>
          <t>{"biomes":["#cobblemon:is_desert"],"maxSkyLight":15,"minSkyLight":8}</t>
        </is>
      </c>
      <c r="AR1600" s="18" t="inlineStr"/>
      <c r="AS1600" s="18" t="inlineStr">
        <is>
          <t>{"weightMultiplier":{"condition":{"isRaining":true},"multiplier":5.0}}</t>
        </is>
      </c>
      <c r="AT1600" s="19" t="inlineStr"/>
    </row>
    <row r="1601" ht="32" customHeight="1">
      <c r="A1601" s="18" t="inlineStr">
        <is>
          <t>0450_hippowdon.json::hippowdon-1::001</t>
        </is>
      </c>
      <c r="B1601" s="19" t="inlineStr">
        <is>
          <t>사용</t>
        </is>
      </c>
      <c r="C1601" s="18">
        <f>IF(OR(B1601&lt;&gt;AK1601,M1601&lt;&gt;L1601,O1601&lt;&gt;"",Q1601&lt;&gt;"",V1601&lt;&gt;1,Y1601&lt;&gt;"",AT1601&lt;&gt;""),"수정","원본")</f>
        <v/>
      </c>
      <c r="D1601" s="18" t="n">
        <v>450</v>
      </c>
      <c r="E1601" s="18" t="inlineStr">
        <is>
          <t>하마돈</t>
        </is>
      </c>
      <c r="F1601" s="18" t="inlineStr">
        <is>
          <t>hippowdon</t>
        </is>
      </c>
      <c r="G1601" s="18" t="inlineStr">
        <is>
          <t>hippowdon</t>
        </is>
      </c>
      <c r="H1601" s="18" t="inlineStr"/>
      <c r="I1601" s="18" t="n">
        <v>4</v>
      </c>
      <c r="J1601" s="18" t="n"/>
      <c r="K1601" s="18" t="n">
        <v>4</v>
      </c>
      <c r="L1601" s="18" t="inlineStr">
        <is>
          <t>cobbleventure:generation_4</t>
        </is>
      </c>
      <c r="M1601" s="19" t="inlineStr">
        <is>
          <t>cobbleventure:generation_4</t>
        </is>
      </c>
      <c r="N1601" s="18" t="inlineStr">
        <is>
          <t>region_02</t>
        </is>
      </c>
      <c r="O1601" s="19" t="inlineStr"/>
      <c r="P1601" s="18" t="inlineStr">
        <is>
          <t>#cobblemon:is_desert</t>
        </is>
      </c>
      <c r="Q1601" s="19" t="inlineStr"/>
      <c r="R1601" s="18">
        <f>IF(Q1601="",P1601,Q1601)</f>
        <v/>
      </c>
      <c r="S1601" s="18" t="inlineStr"/>
      <c r="T1601" s="18" t="inlineStr">
        <is>
          <t>common</t>
        </is>
      </c>
      <c r="U1601" s="20" t="n">
        <v>0.2</v>
      </c>
      <c r="V1601" s="21" t="n">
        <v>1</v>
      </c>
      <c r="W1601" s="20">
        <f>IF(OR(U1601="",V1601=""),U1601,U1601*V1601)</f>
        <v/>
      </c>
      <c r="X1601" s="18" t="inlineStr">
        <is>
          <t>34-53</t>
        </is>
      </c>
      <c r="Y1601" s="19" t="inlineStr"/>
      <c r="Z1601" s="18">
        <f>IF(Y1601="",X1601,Y1601)</f>
        <v/>
      </c>
      <c r="AA1601" s="18" t="inlineStr">
        <is>
          <t>grounded</t>
        </is>
      </c>
      <c r="AB1601" s="18" t="inlineStr"/>
      <c r="AC1601" s="18" t="inlineStr"/>
      <c r="AD1601" s="18" t="inlineStr"/>
      <c r="AE1601" s="18" t="inlineStr">
        <is>
          <t>sky 8-15</t>
        </is>
      </c>
      <c r="AF1601" s="18" t="inlineStr"/>
      <c r="AG1601" s="18" t="inlineStr"/>
      <c r="AH1601" s="18" t="inlineStr"/>
      <c r="AI1601" s="18" t="inlineStr"/>
      <c r="AJ1601" s="18" t="inlineStr">
        <is>
          <t>Cobblemon 동일</t>
        </is>
      </c>
      <c r="AK1601" s="18" t="inlineStr">
        <is>
          <t>사용</t>
        </is>
      </c>
      <c r="AL1601" s="18" t="inlineStr">
        <is>
          <t>COBBLEVERSE 1.7.42 / DP v31</t>
        </is>
      </c>
      <c r="AM1601" s="18" t="inlineStr">
        <is>
          <t>data/cobblemon/spawn_pool_world/0450_hippowdon.json</t>
        </is>
      </c>
      <c r="AN1601" s="18" t="inlineStr">
        <is>
          <t>hippowdon-1</t>
        </is>
      </c>
      <c r="AO1601" s="18" t="inlineStr">
        <is>
          <t>pokemon</t>
        </is>
      </c>
      <c r="AP1601" s="18" t="inlineStr">
        <is>
          <t>natural; wild</t>
        </is>
      </c>
      <c r="AQ1601" s="18" t="inlineStr">
        <is>
          <t>{"biomes":["#cobblemon:is_desert"],"maxSkyLight":15,"minSkyLight":8}</t>
        </is>
      </c>
      <c r="AR1601" s="18" t="inlineStr"/>
      <c r="AS1601" s="18" t="inlineStr">
        <is>
          <t>{"weightMultiplier":{"condition":{"isRaining":true},"multiplier":5.0}}</t>
        </is>
      </c>
      <c r="AT1601" s="19" t="inlineStr"/>
    </row>
    <row r="1602" ht="32" customHeight="1">
      <c r="A1602" s="18" t="inlineStr">
        <is>
          <t>0451_skorupi.json::skorupi-1::001</t>
        </is>
      </c>
      <c r="B1602" s="19" t="inlineStr">
        <is>
          <t>사용</t>
        </is>
      </c>
      <c r="C1602" s="18">
        <f>IF(OR(B1602&lt;&gt;AK1602,M1602&lt;&gt;L1602,O1602&lt;&gt;"",Q1602&lt;&gt;"",V1602&lt;&gt;1,Y1602&lt;&gt;"",AT1602&lt;&gt;""),"수정","원본")</f>
        <v/>
      </c>
      <c r="D1602" s="18" t="n">
        <v>451</v>
      </c>
      <c r="E1602" s="18" t="inlineStr">
        <is>
          <t>스콜피</t>
        </is>
      </c>
      <c r="F1602" s="18" t="inlineStr">
        <is>
          <t>skorupi</t>
        </is>
      </c>
      <c r="G1602" s="18" t="inlineStr">
        <is>
          <t>skorupi</t>
        </is>
      </c>
      <c r="H1602" s="18" t="inlineStr"/>
      <c r="I1602" s="18" t="n">
        <v>4</v>
      </c>
      <c r="J1602" s="18" t="n"/>
      <c r="K1602" s="18" t="n">
        <v>4</v>
      </c>
      <c r="L1602" s="18" t="inlineStr">
        <is>
          <t>cobbleventure:generation_4</t>
        </is>
      </c>
      <c r="M1602" s="19" t="inlineStr">
        <is>
          <t>cobbleventure:generation_4</t>
        </is>
      </c>
      <c r="N1602" s="18" t="inlineStr">
        <is>
          <t>region_02</t>
        </is>
      </c>
      <c r="O1602" s="19" t="inlineStr"/>
      <c r="P1602" s="18" t="inlineStr">
        <is>
          <t>#cobblemon:is_badlands; #cobblemon:is_desert; #cobblemon:is_swamp</t>
        </is>
      </c>
      <c r="Q1602" s="19" t="inlineStr"/>
      <c r="R1602" s="18">
        <f>IF(Q1602="",P1602,Q1602)</f>
        <v/>
      </c>
      <c r="S1602" s="18" t="inlineStr"/>
      <c r="T1602" s="18" t="inlineStr">
        <is>
          <t>common</t>
        </is>
      </c>
      <c r="U1602" s="20" t="n">
        <v>1.8</v>
      </c>
      <c r="V1602" s="21" t="n">
        <v>1</v>
      </c>
      <c r="W1602" s="20">
        <f>IF(OR(U1602="",V1602=""),U1602,U1602*V1602)</f>
        <v/>
      </c>
      <c r="X1602" s="18" t="inlineStr">
        <is>
          <t>8-33</t>
        </is>
      </c>
      <c r="Y1602" s="19" t="inlineStr"/>
      <c r="Z1602" s="18">
        <f>IF(Y1602="",X1602,Y1602)</f>
        <v/>
      </c>
      <c r="AA1602" s="18" t="inlineStr">
        <is>
          <t>grounded</t>
        </is>
      </c>
      <c r="AB1602" s="18" t="inlineStr"/>
      <c r="AC1602" s="18" t="inlineStr"/>
      <c r="AD1602" s="18" t="inlineStr"/>
      <c r="AE1602" s="18" t="inlineStr">
        <is>
          <t>sky 8-15</t>
        </is>
      </c>
      <c r="AF1602" s="18" t="inlineStr"/>
      <c r="AG1602" s="18" t="inlineStr"/>
      <c r="AH1602" s="18" t="inlineStr"/>
      <c r="AI1602" s="18" t="inlineStr"/>
      <c r="AJ1602" s="18" t="inlineStr">
        <is>
          <t>COBBLEVERSE 수정</t>
        </is>
      </c>
      <c r="AK1602" s="18" t="inlineStr">
        <is>
          <t>사용</t>
        </is>
      </c>
      <c r="AL1602" s="18" t="inlineStr">
        <is>
          <t>COBBLEVERSE 1.7.42 / DP v31</t>
        </is>
      </c>
      <c r="AM1602" s="18" t="inlineStr">
        <is>
          <t>data/cobblemon/spawn_pool_world/0451_skorupi.json</t>
        </is>
      </c>
      <c r="AN1602" s="18" t="inlineStr">
        <is>
          <t>skorupi-1</t>
        </is>
      </c>
      <c r="AO1602" s="18" t="inlineStr">
        <is>
          <t>pokemon</t>
        </is>
      </c>
      <c r="AP1602" s="18" t="inlineStr">
        <is>
          <t>natural; wild</t>
        </is>
      </c>
      <c r="AQ1602" s="18" t="inlineStr">
        <is>
          <t>{"biomes":["#cobblemon:is_badlands","#cobblemon:is_desert","#cobblemon:is_swamp"],"maxSkyLight":15,"minSkyLight":8}</t>
        </is>
      </c>
      <c r="AR1602" s="18" t="inlineStr"/>
      <c r="AS1602" s="18" t="inlineStr">
        <is>
          <t>{"weightMultiplier":{"condition":{"timeRange":"night"},"multiplier":1.5}}</t>
        </is>
      </c>
      <c r="AT1602" s="19" t="inlineStr"/>
    </row>
    <row r="1603" ht="32" customHeight="1">
      <c r="A1603" s="18" t="inlineStr">
        <is>
          <t>0452_drapion.json::drapion-1::001</t>
        </is>
      </c>
      <c r="B1603" s="19" t="inlineStr">
        <is>
          <t>사용</t>
        </is>
      </c>
      <c r="C1603" s="18">
        <f>IF(OR(B1603&lt;&gt;AK1603,M1603&lt;&gt;L1603,O1603&lt;&gt;"",Q1603&lt;&gt;"",V1603&lt;&gt;1,Y1603&lt;&gt;"",AT1603&lt;&gt;""),"수정","원본")</f>
        <v/>
      </c>
      <c r="D1603" s="18" t="n">
        <v>452</v>
      </c>
      <c r="E1603" s="18" t="inlineStr">
        <is>
          <t>드래피온</t>
        </is>
      </c>
      <c r="F1603" s="18" t="inlineStr">
        <is>
          <t>drapion</t>
        </is>
      </c>
      <c r="G1603" s="18" t="inlineStr">
        <is>
          <t>drapion</t>
        </is>
      </c>
      <c r="H1603" s="18" t="inlineStr"/>
      <c r="I1603" s="18" t="n">
        <v>4</v>
      </c>
      <c r="J1603" s="18" t="n"/>
      <c r="K1603" s="18" t="n">
        <v>4</v>
      </c>
      <c r="L1603" s="18" t="inlineStr">
        <is>
          <t>cobbleventure:generation_4</t>
        </is>
      </c>
      <c r="M1603" s="19" t="inlineStr">
        <is>
          <t>cobbleventure:generation_4</t>
        </is>
      </c>
      <c r="N1603" s="18" t="inlineStr">
        <is>
          <t>region_02</t>
        </is>
      </c>
      <c r="O1603" s="19" t="inlineStr"/>
      <c r="P1603" s="18" t="inlineStr">
        <is>
          <t>#cobblemon:is_badlands; #cobblemon:is_desert; #cobblemon:is_swamp</t>
        </is>
      </c>
      <c r="Q1603" s="19" t="inlineStr"/>
      <c r="R1603" s="18">
        <f>IF(Q1603="",P1603,Q1603)</f>
        <v/>
      </c>
      <c r="S1603" s="18" t="inlineStr"/>
      <c r="T1603" s="18" t="inlineStr">
        <is>
          <t>common</t>
        </is>
      </c>
      <c r="U1603" s="20" t="n">
        <v>0.2</v>
      </c>
      <c r="V1603" s="21" t="n">
        <v>1</v>
      </c>
      <c r="W1603" s="20">
        <f>IF(OR(U1603="",V1603=""),U1603,U1603*V1603)</f>
        <v/>
      </c>
      <c r="X1603" s="18" t="inlineStr">
        <is>
          <t>40-50</t>
        </is>
      </c>
      <c r="Y1603" s="19" t="inlineStr"/>
      <c r="Z1603" s="18">
        <f>IF(Y1603="",X1603,Y1603)</f>
        <v/>
      </c>
      <c r="AA1603" s="18" t="inlineStr">
        <is>
          <t>grounded</t>
        </is>
      </c>
      <c r="AB1603" s="18" t="inlineStr"/>
      <c r="AC1603" s="18" t="inlineStr"/>
      <c r="AD1603" s="18" t="inlineStr"/>
      <c r="AE1603" s="18" t="inlineStr">
        <is>
          <t>sky 8-15</t>
        </is>
      </c>
      <c r="AF1603" s="18" t="inlineStr"/>
      <c r="AG1603" s="18" t="inlineStr"/>
      <c r="AH1603" s="18" t="inlineStr"/>
      <c r="AI1603" s="18" t="inlineStr"/>
      <c r="AJ1603" s="18" t="inlineStr">
        <is>
          <t>COBBLEVERSE 수정</t>
        </is>
      </c>
      <c r="AK1603" s="18" t="inlineStr">
        <is>
          <t>사용</t>
        </is>
      </c>
      <c r="AL1603" s="18" t="inlineStr">
        <is>
          <t>COBBLEVERSE 1.7.42 / DP v31</t>
        </is>
      </c>
      <c r="AM1603" s="18" t="inlineStr">
        <is>
          <t>data/cobblemon/spawn_pool_world/0452_drapion.json</t>
        </is>
      </c>
      <c r="AN1603" s="18" t="inlineStr">
        <is>
          <t>drapion-1</t>
        </is>
      </c>
      <c r="AO1603" s="18" t="inlineStr">
        <is>
          <t>pokemon</t>
        </is>
      </c>
      <c r="AP1603" s="18" t="inlineStr">
        <is>
          <t>natural; wild</t>
        </is>
      </c>
      <c r="AQ1603" s="18" t="inlineStr">
        <is>
          <t>{"biomes":["#cobblemon:is_badlands","#cobblemon:is_desert","#cobblemon:is_swamp"],"maxSkyLight":15,"minSkyLight":8}</t>
        </is>
      </c>
      <c r="AR1603" s="18" t="inlineStr"/>
      <c r="AS1603" s="18" t="inlineStr">
        <is>
          <t>{"weightMultiplier":{"condition":{"timeRange":"night"},"multiplier":1.5}}</t>
        </is>
      </c>
      <c r="AT1603" s="19" t="inlineStr"/>
    </row>
    <row r="1604" ht="32" customHeight="1">
      <c r="A1604" s="18" t="inlineStr">
        <is>
          <t>0453_croagunk.json::croagunk-1::001</t>
        </is>
      </c>
      <c r="B1604" s="19" t="inlineStr">
        <is>
          <t>사용</t>
        </is>
      </c>
      <c r="C1604" s="18">
        <f>IF(OR(B1604&lt;&gt;AK1604,M1604&lt;&gt;L1604,O1604&lt;&gt;"",Q1604&lt;&gt;"",V1604&lt;&gt;1,Y1604&lt;&gt;"",AT1604&lt;&gt;""),"수정","원본")</f>
        <v/>
      </c>
      <c r="D1604" s="18" t="n">
        <v>453</v>
      </c>
      <c r="E1604" s="18" t="inlineStr">
        <is>
          <t>삐딱구리</t>
        </is>
      </c>
      <c r="F1604" s="18" t="inlineStr">
        <is>
          <t>croagunk</t>
        </is>
      </c>
      <c r="G1604" s="18" t="inlineStr">
        <is>
          <t>croagunk</t>
        </is>
      </c>
      <c r="H1604" s="18" t="inlineStr"/>
      <c r="I1604" s="18" t="n">
        <v>4</v>
      </c>
      <c r="J1604" s="18" t="n"/>
      <c r="K1604" s="18" t="n">
        <v>4</v>
      </c>
      <c r="L1604" s="18" t="inlineStr">
        <is>
          <t>cobbleventure:generation_4</t>
        </is>
      </c>
      <c r="M1604" s="19" t="inlineStr">
        <is>
          <t>cobbleventure:generation_4</t>
        </is>
      </c>
      <c r="N1604" s="18" t="inlineStr">
        <is>
          <t>region_02</t>
        </is>
      </c>
      <c r="O1604" s="19" t="inlineStr"/>
      <c r="P1604" s="18" t="inlineStr">
        <is>
          <t>#cobblemon:is_jungle; #cobblemon:is_swamp</t>
        </is>
      </c>
      <c r="Q1604" s="19" t="inlineStr"/>
      <c r="R1604" s="18">
        <f>IF(Q1604="",P1604,Q1604)</f>
        <v/>
      </c>
      <c r="S1604" s="18" t="inlineStr"/>
      <c r="T1604" s="18" t="inlineStr">
        <is>
          <t>common</t>
        </is>
      </c>
      <c r="U1604" s="20" t="n">
        <v>1.8</v>
      </c>
      <c r="V1604" s="21" t="n">
        <v>1</v>
      </c>
      <c r="W1604" s="20">
        <f>IF(OR(U1604="",V1604=""),U1604,U1604*V1604)</f>
        <v/>
      </c>
      <c r="X1604" s="18" t="inlineStr">
        <is>
          <t>5-30</t>
        </is>
      </c>
      <c r="Y1604" s="19" t="inlineStr"/>
      <c r="Z1604" s="18">
        <f>IF(Y1604="",X1604,Y1604)</f>
        <v/>
      </c>
      <c r="AA1604" s="18" t="inlineStr">
        <is>
          <t>grounded</t>
        </is>
      </c>
      <c r="AB1604" s="18" t="inlineStr"/>
      <c r="AC1604" s="18" t="inlineStr"/>
      <c r="AD1604" s="18" t="inlineStr"/>
      <c r="AE1604" s="18" t="inlineStr">
        <is>
          <t>sky 8-15</t>
        </is>
      </c>
      <c r="AF1604" s="18" t="inlineStr"/>
      <c r="AG1604" s="18" t="inlineStr"/>
      <c r="AH1604" s="18" t="inlineStr"/>
      <c r="AI1604" s="18" t="inlineStr"/>
      <c r="AJ1604" s="18" t="inlineStr">
        <is>
          <t>Cobblemon 동일</t>
        </is>
      </c>
      <c r="AK1604" s="18" t="inlineStr">
        <is>
          <t>사용</t>
        </is>
      </c>
      <c r="AL1604" s="18" t="inlineStr">
        <is>
          <t>COBBLEVERSE 1.7.42 / DP v31</t>
        </is>
      </c>
      <c r="AM1604" s="18" t="inlineStr">
        <is>
          <t>data/cobblemon/spawn_pool_world/0453_croagunk.json</t>
        </is>
      </c>
      <c r="AN1604" s="18" t="inlineStr">
        <is>
          <t>croagunk-1</t>
        </is>
      </c>
      <c r="AO1604" s="18" t="inlineStr">
        <is>
          <t>pokemon</t>
        </is>
      </c>
      <c r="AP1604" s="18" t="inlineStr">
        <is>
          <t>natural; wild</t>
        </is>
      </c>
      <c r="AQ1604" s="18" t="inlineStr">
        <is>
          <t>{"biomes":["#cobblemon:is_jungle","#cobblemon:is_swamp"],"maxSkyLight":15,"minSkyLight":8}</t>
        </is>
      </c>
      <c r="AR1604" s="18" t="inlineStr"/>
      <c r="AS1604" s="18" t="inlineStr">
        <is>
          <t>{"weightMultiplier":{"condition":{"isRaining":true},"multiplier":5.0}}</t>
        </is>
      </c>
      <c r="AT1604" s="19" t="inlineStr"/>
    </row>
    <row r="1605" ht="32" customHeight="1">
      <c r="A1605" s="18" t="inlineStr">
        <is>
          <t>0454_toxicroak.json::toxicroak-1::001</t>
        </is>
      </c>
      <c r="B1605" s="19" t="inlineStr">
        <is>
          <t>사용</t>
        </is>
      </c>
      <c r="C1605" s="18">
        <f>IF(OR(B1605&lt;&gt;AK1605,M1605&lt;&gt;L1605,O1605&lt;&gt;"",Q1605&lt;&gt;"",V1605&lt;&gt;1,Y1605&lt;&gt;"",AT1605&lt;&gt;""),"수정","원본")</f>
        <v/>
      </c>
      <c r="D1605" s="18" t="n">
        <v>454</v>
      </c>
      <c r="E1605" s="18" t="inlineStr">
        <is>
          <t>독개굴</t>
        </is>
      </c>
      <c r="F1605" s="18" t="inlineStr">
        <is>
          <t>toxicroak</t>
        </is>
      </c>
      <c r="G1605" s="18" t="inlineStr">
        <is>
          <t>toxicroak</t>
        </is>
      </c>
      <c r="H1605" s="18" t="inlineStr"/>
      <c r="I1605" s="18" t="n">
        <v>4</v>
      </c>
      <c r="J1605" s="18" t="n"/>
      <c r="K1605" s="18" t="n">
        <v>4</v>
      </c>
      <c r="L1605" s="18" t="inlineStr">
        <is>
          <t>cobbleventure:generation_4</t>
        </is>
      </c>
      <c r="M1605" s="19" t="inlineStr">
        <is>
          <t>cobbleventure:generation_4</t>
        </is>
      </c>
      <c r="N1605" s="18" t="inlineStr">
        <is>
          <t>region_02</t>
        </is>
      </c>
      <c r="O1605" s="19" t="inlineStr"/>
      <c r="P1605" s="18" t="inlineStr">
        <is>
          <t>#cobblemon:is_jungle; #cobblemon:is_swamp</t>
        </is>
      </c>
      <c r="Q1605" s="19" t="inlineStr"/>
      <c r="R1605" s="18">
        <f>IF(Q1605="",P1605,Q1605)</f>
        <v/>
      </c>
      <c r="S1605" s="18" t="inlineStr"/>
      <c r="T1605" s="18" t="inlineStr">
        <is>
          <t>common</t>
        </is>
      </c>
      <c r="U1605" s="20" t="n">
        <v>0.2</v>
      </c>
      <c r="V1605" s="21" t="n">
        <v>1</v>
      </c>
      <c r="W1605" s="20">
        <f>IF(OR(U1605="",V1605=""),U1605,U1605*V1605)</f>
        <v/>
      </c>
      <c r="X1605" s="18" t="inlineStr">
        <is>
          <t>37-49</t>
        </is>
      </c>
      <c r="Y1605" s="19" t="inlineStr"/>
      <c r="Z1605" s="18">
        <f>IF(Y1605="",X1605,Y1605)</f>
        <v/>
      </c>
      <c r="AA1605" s="18" t="inlineStr">
        <is>
          <t>grounded</t>
        </is>
      </c>
      <c r="AB1605" s="18" t="inlineStr"/>
      <c r="AC1605" s="18" t="inlineStr"/>
      <c r="AD1605" s="18" t="inlineStr"/>
      <c r="AE1605" s="18" t="inlineStr">
        <is>
          <t>sky 8-15</t>
        </is>
      </c>
      <c r="AF1605" s="18" t="inlineStr"/>
      <c r="AG1605" s="18" t="inlineStr"/>
      <c r="AH1605" s="18" t="inlineStr"/>
      <c r="AI1605" s="18" t="inlineStr"/>
      <c r="AJ1605" s="18" t="inlineStr">
        <is>
          <t>Cobblemon 동일</t>
        </is>
      </c>
      <c r="AK1605" s="18" t="inlineStr">
        <is>
          <t>사용</t>
        </is>
      </c>
      <c r="AL1605" s="18" t="inlineStr">
        <is>
          <t>COBBLEVERSE 1.7.42 / DP v31</t>
        </is>
      </c>
      <c r="AM1605" s="18" t="inlineStr">
        <is>
          <t>data/cobblemon/spawn_pool_world/0454_toxicroak.json</t>
        </is>
      </c>
      <c r="AN1605" s="18" t="inlineStr">
        <is>
          <t>toxicroak-1</t>
        </is>
      </c>
      <c r="AO1605" s="18" t="inlineStr">
        <is>
          <t>pokemon</t>
        </is>
      </c>
      <c r="AP1605" s="18" t="inlineStr">
        <is>
          <t>natural; wild</t>
        </is>
      </c>
      <c r="AQ1605" s="18" t="inlineStr">
        <is>
          <t>{"biomes":["#cobblemon:is_jungle","#cobblemon:is_swamp"],"maxSkyLight":15,"minSkyLight":8}</t>
        </is>
      </c>
      <c r="AR1605" s="18" t="inlineStr"/>
      <c r="AS1605" s="18" t="inlineStr">
        <is>
          <t>{"weightMultiplier":{"condition":{"isRaining":true},"multiplier":5.0}}</t>
        </is>
      </c>
      <c r="AT1605" s="19" t="inlineStr"/>
    </row>
    <row r="1606" ht="32" customHeight="1">
      <c r="A1606" s="18" t="inlineStr">
        <is>
          <t>0455_carnivine.json::carnivine-1::001</t>
        </is>
      </c>
      <c r="B1606" s="19" t="inlineStr">
        <is>
          <t>사용</t>
        </is>
      </c>
      <c r="C1606" s="18">
        <f>IF(OR(B1606&lt;&gt;AK1606,M1606&lt;&gt;L1606,O1606&lt;&gt;"",Q1606&lt;&gt;"",V1606&lt;&gt;1,Y1606&lt;&gt;"",AT1606&lt;&gt;""),"수정","원본")</f>
        <v/>
      </c>
      <c r="D1606" s="18" t="n">
        <v>455</v>
      </c>
      <c r="E1606" s="18" t="inlineStr">
        <is>
          <t>무스틈니</t>
        </is>
      </c>
      <c r="F1606" s="18" t="inlineStr">
        <is>
          <t>carnivine</t>
        </is>
      </c>
      <c r="G1606" s="18" t="inlineStr">
        <is>
          <t>carnivine</t>
        </is>
      </c>
      <c r="H1606" s="18" t="inlineStr"/>
      <c r="I1606" s="18" t="n">
        <v>4</v>
      </c>
      <c r="J1606" s="18" t="n"/>
      <c r="K1606" s="18" t="n">
        <v>4</v>
      </c>
      <c r="L1606" s="18" t="inlineStr">
        <is>
          <t>cobbleventure:generation_4</t>
        </is>
      </c>
      <c r="M1606" s="19" t="inlineStr">
        <is>
          <t>cobbleventure:generation_4</t>
        </is>
      </c>
      <c r="N1606" s="18" t="inlineStr">
        <is>
          <t>region_02</t>
        </is>
      </c>
      <c r="O1606" s="19" t="inlineStr"/>
      <c r="P1606" s="18" t="inlineStr">
        <is>
          <t>aether:skyroot_forest; aether:skyroot_woodland; #cobblemon:is_swamp</t>
        </is>
      </c>
      <c r="Q1606" s="19" t="inlineStr"/>
      <c r="R1606" s="18">
        <f>IF(Q1606="",P1606,Q1606)</f>
        <v/>
      </c>
      <c r="S1606" s="18" t="inlineStr"/>
      <c r="T1606" s="18" t="inlineStr">
        <is>
          <t>uncommon</t>
        </is>
      </c>
      <c r="U1606" s="20" t="n">
        <v>10</v>
      </c>
      <c r="V1606" s="21" t="n">
        <v>1</v>
      </c>
      <c r="W1606" s="20">
        <f>IF(OR(U1606="",V1606=""),U1606,U1606*V1606)</f>
        <v/>
      </c>
      <c r="X1606" s="18" t="inlineStr">
        <is>
          <t>20-45</t>
        </is>
      </c>
      <c r="Y1606" s="19" t="inlineStr"/>
      <c r="Z1606" s="18">
        <f>IF(Y1606="",X1606,Y1606)</f>
        <v/>
      </c>
      <c r="AA1606" s="18" t="inlineStr">
        <is>
          <t>grounded</t>
        </is>
      </c>
      <c r="AB1606" s="18" t="inlineStr"/>
      <c r="AC1606" s="18" t="inlineStr"/>
      <c r="AD1606" s="18" t="inlineStr"/>
      <c r="AE1606" s="18" t="inlineStr">
        <is>
          <t>sky 8-15</t>
        </is>
      </c>
      <c r="AF1606" s="18" t="inlineStr"/>
      <c r="AG1606" s="18" t="inlineStr"/>
      <c r="AH1606" s="18" t="inlineStr"/>
      <c r="AI1606" s="18" t="inlineStr"/>
      <c r="AJ1606" s="18" t="inlineStr">
        <is>
          <t>Cobblemon 동일</t>
        </is>
      </c>
      <c r="AK1606" s="18" t="inlineStr">
        <is>
          <t>사용</t>
        </is>
      </c>
      <c r="AL1606" s="18" t="inlineStr">
        <is>
          <t>COBBLEVERSE 1.7.42 / DP v31</t>
        </is>
      </c>
      <c r="AM1606" s="18" t="inlineStr">
        <is>
          <t>data/cobblemon/spawn_pool_world/0455_carnivine.json</t>
        </is>
      </c>
      <c r="AN1606" s="18" t="inlineStr">
        <is>
          <t>carnivine-1</t>
        </is>
      </c>
      <c r="AO1606" s="18" t="inlineStr">
        <is>
          <t>pokemon</t>
        </is>
      </c>
      <c r="AP1606" s="18" t="inlineStr">
        <is>
          <t>natural; treetop; foliage</t>
        </is>
      </c>
      <c r="AQ1606" s="18" t="inlineStr">
        <is>
          <t>{"biomes":["aether:skyroot_forest","aether:skyroot_woodland","#cobblemon:is_swamp"],"maxSkyLight":15,"minSkyLight":8}</t>
        </is>
      </c>
      <c r="AR1606" s="18" t="inlineStr"/>
      <c r="AS1606" s="18" t="inlineStr"/>
      <c r="AT1606" s="19" t="inlineStr"/>
    </row>
    <row r="1607" ht="32" customHeight="1">
      <c r="A1607" s="18" t="inlineStr">
        <is>
          <t>0455_carnivine.json::carnivine-2::002</t>
        </is>
      </c>
      <c r="B1607" s="19" t="inlineStr">
        <is>
          <t>사용</t>
        </is>
      </c>
      <c r="C1607" s="18">
        <f>IF(OR(B1607&lt;&gt;AK1607,M1607&lt;&gt;L1607,O1607&lt;&gt;"",Q1607&lt;&gt;"",V1607&lt;&gt;1,Y1607&lt;&gt;"",AT1607&lt;&gt;""),"수정","원본")</f>
        <v/>
      </c>
      <c r="D1607" s="18" t="n">
        <v>455</v>
      </c>
      <c r="E1607" s="18" t="inlineStr">
        <is>
          <t>무스틈니</t>
        </is>
      </c>
      <c r="F1607" s="18" t="inlineStr">
        <is>
          <t>carnivine</t>
        </is>
      </c>
      <c r="G1607" s="18" t="inlineStr">
        <is>
          <t>carnivine</t>
        </is>
      </c>
      <c r="H1607" s="18" t="inlineStr"/>
      <c r="I1607" s="18" t="n">
        <v>4</v>
      </c>
      <c r="J1607" s="18" t="n"/>
      <c r="K1607" s="18" t="n">
        <v>4</v>
      </c>
      <c r="L1607" s="18" t="inlineStr">
        <is>
          <t>cobbleventure:generation_4</t>
        </is>
      </c>
      <c r="M1607" s="19" t="inlineStr">
        <is>
          <t>cobbleventure:generation_4</t>
        </is>
      </c>
      <c r="N1607" s="18" t="inlineStr"/>
      <c r="O1607" s="19" t="inlineStr"/>
      <c r="P1607" s="18" t="inlineStr">
        <is>
          <t>#cobblemon:is_lush</t>
        </is>
      </c>
      <c r="Q1607" s="19" t="inlineStr"/>
      <c r="R1607" s="18">
        <f>IF(Q1607="",P1607,Q1607)</f>
        <v/>
      </c>
      <c r="S1607" s="18" t="inlineStr"/>
      <c r="T1607" s="18" t="inlineStr">
        <is>
          <t>uncommon</t>
        </is>
      </c>
      <c r="U1607" s="20" t="n">
        <v>2</v>
      </c>
      <c r="V1607" s="21" t="n">
        <v>1</v>
      </c>
      <c r="W1607" s="20">
        <f>IF(OR(U1607="",V1607=""),U1607,U1607*V1607)</f>
        <v/>
      </c>
      <c r="X1607" s="18" t="inlineStr">
        <is>
          <t>20-45</t>
        </is>
      </c>
      <c r="Y1607" s="19" t="inlineStr"/>
      <c r="Z1607" s="18">
        <f>IF(Y1607="",X1607,Y1607)</f>
        <v/>
      </c>
      <c r="AA1607" s="18" t="inlineStr">
        <is>
          <t>grounded</t>
        </is>
      </c>
      <c r="AB1607" s="18" t="inlineStr"/>
      <c r="AC1607" s="18" t="inlineStr"/>
      <c r="AD1607" s="18" t="inlineStr"/>
      <c r="AE1607" s="18" t="inlineStr">
        <is>
          <t>sky 0-7</t>
        </is>
      </c>
      <c r="AF1607" s="18" t="inlineStr"/>
      <c r="AG1607" s="18" t="inlineStr"/>
      <c r="AH1607" s="18" t="inlineStr"/>
      <c r="AI1607" s="18" t="inlineStr"/>
      <c r="AJ1607" s="18" t="inlineStr">
        <is>
          <t>Cobblemon 동일</t>
        </is>
      </c>
      <c r="AK1607" s="18" t="inlineStr">
        <is>
          <t>사용</t>
        </is>
      </c>
      <c r="AL1607" s="18" t="inlineStr">
        <is>
          <t>COBBLEVERSE 1.7.42 / DP v31</t>
        </is>
      </c>
      <c r="AM1607" s="18" t="inlineStr">
        <is>
          <t>data/cobblemon/spawn_pool_world/0455_carnivine.json</t>
        </is>
      </c>
      <c r="AN1607" s="18" t="inlineStr">
        <is>
          <t>carnivine-2</t>
        </is>
      </c>
      <c r="AO1607" s="18" t="inlineStr">
        <is>
          <t>pokemon</t>
        </is>
      </c>
      <c r="AP1607" s="18" t="inlineStr">
        <is>
          <t>natural</t>
        </is>
      </c>
      <c r="AQ1607" s="18" t="inlineStr">
        <is>
          <t>{"biomes":["#cobblemon:is_lush"],"maxSkyLight":7,"minSkyLight":0}</t>
        </is>
      </c>
      <c r="AR1607" s="18" t="inlineStr">
        <is>
          <t>{"maxY":9,"minY":-41,"structures":["cobblemon:shipwreck_coves/lush_shipwreck_cove"]}</t>
        </is>
      </c>
      <c r="AS1607" s="18" t="inlineStr"/>
      <c r="AT1607" s="19" t="inlineStr"/>
    </row>
    <row r="1608" ht="32" customHeight="1">
      <c r="A1608" s="18" t="inlineStr">
        <is>
          <t>0455_carnivine.json::carnivine-3::003</t>
        </is>
      </c>
      <c r="B1608" s="19" t="inlineStr">
        <is>
          <t>사용</t>
        </is>
      </c>
      <c r="C1608" s="18">
        <f>IF(OR(B1608&lt;&gt;AK1608,M1608&lt;&gt;L1608,O1608&lt;&gt;"",Q1608&lt;&gt;"",V1608&lt;&gt;1,Y1608&lt;&gt;"",AT1608&lt;&gt;""),"수정","원본")</f>
        <v/>
      </c>
      <c r="D1608" s="18" t="n">
        <v>455</v>
      </c>
      <c r="E1608" s="18" t="inlineStr">
        <is>
          <t>무스틈니</t>
        </is>
      </c>
      <c r="F1608" s="18" t="inlineStr">
        <is>
          <t>carnivine</t>
        </is>
      </c>
      <c r="G1608" s="18" t="inlineStr">
        <is>
          <t>carnivine</t>
        </is>
      </c>
      <c r="H1608" s="18" t="inlineStr"/>
      <c r="I1608" s="18" t="n">
        <v>4</v>
      </c>
      <c r="J1608" s="18" t="n"/>
      <c r="K1608" s="18" t="n">
        <v>4</v>
      </c>
      <c r="L1608" s="18" t="inlineStr">
        <is>
          <t>cobbleventure:generation_4</t>
        </is>
      </c>
      <c r="M1608" s="19" t="inlineStr">
        <is>
          <t>cobbleventure:generation_4</t>
        </is>
      </c>
      <c r="N1608" s="18" t="inlineStr">
        <is>
          <t>region_01; region_02</t>
        </is>
      </c>
      <c r="O1608" s="19" t="inlineStr"/>
      <c r="P1608" s="18" t="inlineStr">
        <is>
          <t>#cobblemon:is_overworld</t>
        </is>
      </c>
      <c r="Q1608" s="19" t="inlineStr"/>
      <c r="R1608" s="18">
        <f>IF(Q1608="",P1608,Q1608)</f>
        <v/>
      </c>
      <c r="S1608" s="18" t="inlineStr">
        <is>
          <t>#cobblemon:is_lush</t>
        </is>
      </c>
      <c r="T1608" s="18" t="inlineStr">
        <is>
          <t>uncommon</t>
        </is>
      </c>
      <c r="U1608" s="20" t="n">
        <v>2</v>
      </c>
      <c r="V1608" s="21" t="n">
        <v>1</v>
      </c>
      <c r="W1608" s="20">
        <f>IF(OR(U1608="",V1608=""),U1608,U1608*V1608)</f>
        <v/>
      </c>
      <c r="X1608" s="18" t="inlineStr">
        <is>
          <t>20-45</t>
        </is>
      </c>
      <c r="Y1608" s="19" t="inlineStr"/>
      <c r="Z1608" s="18">
        <f>IF(Y1608="",X1608,Y1608)</f>
        <v/>
      </c>
      <c r="AA1608" s="18" t="inlineStr">
        <is>
          <t>grounded</t>
        </is>
      </c>
      <c r="AB1608" s="18" t="inlineStr"/>
      <c r="AC1608" s="18" t="inlineStr"/>
      <c r="AD1608" s="18" t="inlineStr">
        <is>
          <t>minY=-41, maxY=9</t>
        </is>
      </c>
      <c r="AE1608" s="18" t="inlineStr">
        <is>
          <t>sky 0-7</t>
        </is>
      </c>
      <c r="AF1608" s="18" t="inlineStr"/>
      <c r="AG1608" s="18" t="inlineStr">
        <is>
          <t>cobblemon:shipwreck_coves/lush_shipwreck_cove</t>
        </is>
      </c>
      <c r="AH1608" s="18" t="inlineStr"/>
      <c r="AI1608" s="18" t="inlineStr"/>
      <c r="AJ1608" s="18" t="inlineStr">
        <is>
          <t>Cobblemon 동일</t>
        </is>
      </c>
      <c r="AK1608" s="18" t="inlineStr">
        <is>
          <t>사용</t>
        </is>
      </c>
      <c r="AL1608" s="18" t="inlineStr">
        <is>
          <t>COBBLEVERSE 1.7.42 / DP v31</t>
        </is>
      </c>
      <c r="AM1608" s="18" t="inlineStr">
        <is>
          <t>data/cobblemon/spawn_pool_world/0455_carnivine.json</t>
        </is>
      </c>
      <c r="AN1608" s="18" t="inlineStr">
        <is>
          <t>carnivine-3</t>
        </is>
      </c>
      <c r="AO1608" s="18" t="inlineStr">
        <is>
          <t>pokemon</t>
        </is>
      </c>
      <c r="AP1608" s="18" t="inlineStr">
        <is>
          <t>natural</t>
        </is>
      </c>
      <c r="AQ1608" s="18" t="inlineStr">
        <is>
          <t>{"biomes":["#cobblemon:is_overworld"],"maxSkyLight":7,"maxY":9,"minSkyLight":0,"minY":-41,"structures":["cobblemon:shipwreck_coves/lush_shipwreck_cove"]}</t>
        </is>
      </c>
      <c r="AR1608" s="18" t="inlineStr">
        <is>
          <t>{"biomes":["#cobblemon:is_lush"]}</t>
        </is>
      </c>
      <c r="AS1608" s="18" t="inlineStr"/>
      <c r="AT1608" s="19" t="inlineStr"/>
    </row>
    <row r="1609" ht="32" customHeight="1">
      <c r="A1609" s="18" t="inlineStr">
        <is>
          <t>0456_finneon.json::finneon-1::001</t>
        </is>
      </c>
      <c r="B1609" s="19" t="inlineStr">
        <is>
          <t>사용</t>
        </is>
      </c>
      <c r="C1609" s="18">
        <f>IF(OR(B1609&lt;&gt;AK1609,M1609&lt;&gt;L1609,O1609&lt;&gt;"",Q1609&lt;&gt;"",V1609&lt;&gt;1,Y1609&lt;&gt;"",AT1609&lt;&gt;""),"수정","원본")</f>
        <v/>
      </c>
      <c r="D1609" s="18" t="n">
        <v>456</v>
      </c>
      <c r="E1609" s="18" t="inlineStr">
        <is>
          <t>형광어</t>
        </is>
      </c>
      <c r="F1609" s="18" t="inlineStr">
        <is>
          <t>finneon</t>
        </is>
      </c>
      <c r="G1609" s="18" t="inlineStr">
        <is>
          <t>finneon</t>
        </is>
      </c>
      <c r="H1609" s="18" t="inlineStr"/>
      <c r="I1609" s="18" t="n">
        <v>4</v>
      </c>
      <c r="J1609" s="18" t="n"/>
      <c r="K1609" s="18" t="n">
        <v>4</v>
      </c>
      <c r="L1609" s="18" t="inlineStr">
        <is>
          <t>cobbleventure:generation_4</t>
        </is>
      </c>
      <c r="M1609" s="19" t="inlineStr">
        <is>
          <t>cobbleventure:generation_4</t>
        </is>
      </c>
      <c r="N1609" s="18" t="inlineStr"/>
      <c r="O1609" s="19" t="inlineStr"/>
      <c r="P1609" s="18" t="inlineStr">
        <is>
          <t>#cobblemon:is_deep_ocean</t>
        </is>
      </c>
      <c r="Q1609" s="19" t="inlineStr"/>
      <c r="R1609" s="18">
        <f>IF(Q1609="",P1609,Q1609)</f>
        <v/>
      </c>
      <c r="S1609" s="18" t="inlineStr"/>
      <c r="T1609" s="18" t="inlineStr">
        <is>
          <t>common</t>
        </is>
      </c>
      <c r="U1609" s="20" t="n">
        <v>9</v>
      </c>
      <c r="V1609" s="21" t="n">
        <v>1</v>
      </c>
      <c r="W1609" s="20">
        <f>IF(OR(U1609="",V1609=""),U1609,U1609*V1609)</f>
        <v/>
      </c>
      <c r="X1609" s="18" t="inlineStr">
        <is>
          <t>8-33</t>
        </is>
      </c>
      <c r="Y1609" s="19" t="inlineStr"/>
      <c r="Z1609" s="18">
        <f>IF(Y1609="",X1609,Y1609)</f>
        <v/>
      </c>
      <c r="AA1609" s="18" t="inlineStr">
        <is>
          <t>submerged</t>
        </is>
      </c>
      <c r="AB1609" s="18" t="inlineStr"/>
      <c r="AC1609" s="18" t="inlineStr"/>
      <c r="AD1609" s="18" t="inlineStr">
        <is>
          <t>maxY=48</t>
        </is>
      </c>
      <c r="AE1609" s="18" t="inlineStr"/>
      <c r="AF1609" s="18" t="inlineStr">
        <is>
          <t>True</t>
        </is>
      </c>
      <c r="AG1609" s="18" t="inlineStr"/>
      <c r="AH1609" s="18" t="inlineStr"/>
      <c r="AI1609" s="18" t="inlineStr"/>
      <c r="AJ1609" s="18" t="inlineStr">
        <is>
          <t>Cobblemon 동일</t>
        </is>
      </c>
      <c r="AK1609" s="18" t="inlineStr">
        <is>
          <t>사용</t>
        </is>
      </c>
      <c r="AL1609" s="18" t="inlineStr">
        <is>
          <t>COBBLEVERSE 1.7.42 / DP v31</t>
        </is>
      </c>
      <c r="AM1609" s="18" t="inlineStr">
        <is>
          <t>data/cobblemon/spawn_pool_world/0456_finneon.json</t>
        </is>
      </c>
      <c r="AN1609" s="18" t="inlineStr">
        <is>
          <t>finneon-1</t>
        </is>
      </c>
      <c r="AO1609" s="18" t="inlineStr">
        <is>
          <t>pokemon</t>
        </is>
      </c>
      <c r="AP1609" s="18" t="inlineStr">
        <is>
          <t>water</t>
        </is>
      </c>
      <c r="AQ1609" s="18" t="inlineStr">
        <is>
          <t>{"biomes":["#cobblemon:is_deep_ocean"],"canSeeSky":true,"maxY":48}</t>
        </is>
      </c>
      <c r="AR1609" s="18" t="inlineStr"/>
      <c r="AS1609" s="18" t="inlineStr"/>
      <c r="AT1609" s="19" t="inlineStr"/>
    </row>
    <row r="1610" ht="32" customHeight="1">
      <c r="A1610" s="18" t="inlineStr">
        <is>
          <t>0456_finneon.json::finneon-2::002</t>
        </is>
      </c>
      <c r="B1610" s="19" t="inlineStr">
        <is>
          <t>사용</t>
        </is>
      </c>
      <c r="C1610" s="18">
        <f>IF(OR(B1610&lt;&gt;AK1610,M1610&lt;&gt;L1610,O1610&lt;&gt;"",Q1610&lt;&gt;"",V1610&lt;&gt;1,Y1610&lt;&gt;"",AT1610&lt;&gt;""),"수정","원본")</f>
        <v/>
      </c>
      <c r="D1610" s="18" t="n">
        <v>456</v>
      </c>
      <c r="E1610" s="18" t="inlineStr">
        <is>
          <t>형광어</t>
        </is>
      </c>
      <c r="F1610" s="18" t="inlineStr">
        <is>
          <t>finneon</t>
        </is>
      </c>
      <c r="G1610" s="18" t="inlineStr">
        <is>
          <t>finneon</t>
        </is>
      </c>
      <c r="H1610" s="18" t="inlineStr"/>
      <c r="I1610" s="18" t="n">
        <v>4</v>
      </c>
      <c r="J1610" s="18" t="n"/>
      <c r="K1610" s="18" t="n">
        <v>4</v>
      </c>
      <c r="L1610" s="18" t="inlineStr">
        <is>
          <t>cobbleventure:generation_4</t>
        </is>
      </c>
      <c r="M1610" s="19" t="inlineStr">
        <is>
          <t>cobbleventure:generation_4</t>
        </is>
      </c>
      <c r="N1610" s="18" t="inlineStr"/>
      <c r="O1610" s="19" t="inlineStr"/>
      <c r="P1610" s="18" t="inlineStr">
        <is>
          <t>#cobblemon:is_ocean</t>
        </is>
      </c>
      <c r="Q1610" s="19" t="inlineStr"/>
      <c r="R1610" s="18">
        <f>IF(Q1610="",P1610,Q1610)</f>
        <v/>
      </c>
      <c r="S1610" s="18" t="inlineStr"/>
      <c r="T1610" s="18" t="inlineStr">
        <is>
          <t>common</t>
        </is>
      </c>
      <c r="U1610" s="20" t="n">
        <v>9</v>
      </c>
      <c r="V1610" s="21" t="n">
        <v>1</v>
      </c>
      <c r="W1610" s="20">
        <f>IF(OR(U1610="",V1610=""),U1610,U1610*V1610)</f>
        <v/>
      </c>
      <c r="X1610" s="18" t="inlineStr">
        <is>
          <t>8-33</t>
        </is>
      </c>
      <c r="Y1610" s="19" t="inlineStr"/>
      <c r="Z1610" s="18">
        <f>IF(Y1610="",X1610,Y1610)</f>
        <v/>
      </c>
      <c r="AA1610" s="18" t="inlineStr">
        <is>
          <t>fishing</t>
        </is>
      </c>
      <c r="AB1610" s="18" t="inlineStr"/>
      <c r="AC1610" s="18" t="inlineStr"/>
      <c r="AD1610" s="18" t="inlineStr"/>
      <c r="AE1610" s="18" t="inlineStr"/>
      <c r="AF1610" s="18" t="inlineStr">
        <is>
          <t>True</t>
        </is>
      </c>
      <c r="AG1610" s="18" t="inlineStr"/>
      <c r="AH1610" s="18" t="inlineStr"/>
      <c r="AI1610" s="18" t="inlineStr"/>
      <c r="AJ1610" s="18" t="inlineStr">
        <is>
          <t>Cobblemon 동일</t>
        </is>
      </c>
      <c r="AK1610" s="18" t="inlineStr">
        <is>
          <t>사용</t>
        </is>
      </c>
      <c r="AL1610" s="18" t="inlineStr">
        <is>
          <t>COBBLEVERSE 1.7.42 / DP v31</t>
        </is>
      </c>
      <c r="AM1610" s="18" t="inlineStr">
        <is>
          <t>data/cobblemon/spawn_pool_world/0456_finneon.json</t>
        </is>
      </c>
      <c r="AN1610" s="18" t="inlineStr">
        <is>
          <t>finneon-2</t>
        </is>
      </c>
      <c r="AO1610" s="18" t="inlineStr">
        <is>
          <t>pokemon</t>
        </is>
      </c>
      <c r="AP1610" s="18" t="inlineStr"/>
      <c r="AQ1610" s="18" t="inlineStr">
        <is>
          <t>{"biomes":["#cobblemon:is_ocean"],"canSeeSky":true}</t>
        </is>
      </c>
      <c r="AR1610" s="18" t="inlineStr"/>
      <c r="AS1610" s="18" t="inlineStr"/>
      <c r="AT1610" s="19" t="inlineStr"/>
    </row>
    <row r="1611" ht="32" customHeight="1">
      <c r="A1611" s="18" t="inlineStr">
        <is>
          <t>0456_finneon.json::finneon-3::003</t>
        </is>
      </c>
      <c r="B1611" s="19" t="inlineStr">
        <is>
          <t>사용</t>
        </is>
      </c>
      <c r="C1611" s="18">
        <f>IF(OR(B1611&lt;&gt;AK1611,M1611&lt;&gt;L1611,O1611&lt;&gt;"",Q1611&lt;&gt;"",V1611&lt;&gt;1,Y1611&lt;&gt;"",AT1611&lt;&gt;""),"수정","원본")</f>
        <v/>
      </c>
      <c r="D1611" s="18" t="n">
        <v>456</v>
      </c>
      <c r="E1611" s="18" t="inlineStr">
        <is>
          <t>형광어</t>
        </is>
      </c>
      <c r="F1611" s="18" t="inlineStr">
        <is>
          <t>finneon</t>
        </is>
      </c>
      <c r="G1611" s="18" t="inlineStr">
        <is>
          <t>finneon</t>
        </is>
      </c>
      <c r="H1611" s="18" t="inlineStr"/>
      <c r="I1611" s="18" t="n">
        <v>4</v>
      </c>
      <c r="J1611" s="18" t="n"/>
      <c r="K1611" s="18" t="n">
        <v>4</v>
      </c>
      <c r="L1611" s="18" t="inlineStr">
        <is>
          <t>cobbleventure:generation_4</t>
        </is>
      </c>
      <c r="M1611" s="19" t="inlineStr">
        <is>
          <t>cobbleventure:generation_4</t>
        </is>
      </c>
      <c r="N1611" s="18" t="inlineStr"/>
      <c r="O1611" s="19" t="inlineStr"/>
      <c r="P1611" s="18" t="inlineStr">
        <is>
          <t>#cobblemon:is_deep_ocean</t>
        </is>
      </c>
      <c r="Q1611" s="19" t="inlineStr"/>
      <c r="R1611" s="18">
        <f>IF(Q1611="",P1611,Q1611)</f>
        <v/>
      </c>
      <c r="S1611" s="18" t="inlineStr"/>
      <c r="T1611" s="18" t="inlineStr">
        <is>
          <t>common</t>
        </is>
      </c>
      <c r="U1611" s="20" t="n">
        <v>9</v>
      </c>
      <c r="V1611" s="21" t="n">
        <v>1</v>
      </c>
      <c r="W1611" s="20">
        <f>IF(OR(U1611="",V1611=""),U1611,U1611*V1611)</f>
        <v/>
      </c>
      <c r="X1611" s="18" t="inlineStr">
        <is>
          <t>8-33</t>
        </is>
      </c>
      <c r="Y1611" s="19" t="inlineStr"/>
      <c r="Z1611" s="18">
        <f>IF(Y1611="",X1611,Y1611)</f>
        <v/>
      </c>
      <c r="AA1611" s="18" t="inlineStr">
        <is>
          <t>submerged</t>
        </is>
      </c>
      <c r="AB1611" s="18" t="inlineStr"/>
      <c r="AC1611" s="18" t="inlineStr"/>
      <c r="AD1611" s="18" t="inlineStr">
        <is>
          <t>maxY=48</t>
        </is>
      </c>
      <c r="AE1611" s="18" t="inlineStr">
        <is>
          <t>sky 8-15</t>
        </is>
      </c>
      <c r="AF1611" s="18" t="inlineStr">
        <is>
          <t>False</t>
        </is>
      </c>
      <c r="AG1611" s="18" t="inlineStr"/>
      <c r="AH1611" s="18" t="inlineStr"/>
      <c r="AI1611" s="18" t="inlineStr"/>
      <c r="AJ1611" s="18" t="inlineStr">
        <is>
          <t>Cobblemon 동일</t>
        </is>
      </c>
      <c r="AK1611" s="18" t="inlineStr">
        <is>
          <t>사용</t>
        </is>
      </c>
      <c r="AL1611" s="18" t="inlineStr">
        <is>
          <t>COBBLEVERSE 1.7.42 / DP v31</t>
        </is>
      </c>
      <c r="AM1611" s="18" t="inlineStr">
        <is>
          <t>data/cobblemon/spawn_pool_world/0456_finneon.json</t>
        </is>
      </c>
      <c r="AN1611" s="18" t="inlineStr">
        <is>
          <t>finneon-3</t>
        </is>
      </c>
      <c r="AO1611" s="18" t="inlineStr">
        <is>
          <t>pokemon</t>
        </is>
      </c>
      <c r="AP1611" s="18" t="inlineStr">
        <is>
          <t>water</t>
        </is>
      </c>
      <c r="AQ1611" s="18" t="inlineStr">
        <is>
          <t>{"biomes":["#cobblemon:is_deep_ocean"],"canSeeSky":false,"maxSkyLight":15,"maxY":48,"minSkyLight":8}</t>
        </is>
      </c>
      <c r="AR1611" s="18" t="inlineStr"/>
      <c r="AS1611" s="18" t="inlineStr"/>
      <c r="AT1611" s="19" t="inlineStr"/>
    </row>
    <row r="1612" ht="32" customHeight="1">
      <c r="A1612" s="18" t="inlineStr">
        <is>
          <t>0456_finneon.json::finneon-4::004</t>
        </is>
      </c>
      <c r="B1612" s="19" t="inlineStr">
        <is>
          <t>사용</t>
        </is>
      </c>
      <c r="C1612" s="18">
        <f>IF(OR(B1612&lt;&gt;AK1612,M1612&lt;&gt;L1612,O1612&lt;&gt;"",Q1612&lt;&gt;"",V1612&lt;&gt;1,Y1612&lt;&gt;"",AT1612&lt;&gt;""),"수정","원본")</f>
        <v/>
      </c>
      <c r="D1612" s="18" t="n">
        <v>456</v>
      </c>
      <c r="E1612" s="18" t="inlineStr">
        <is>
          <t>형광어</t>
        </is>
      </c>
      <c r="F1612" s="18" t="inlineStr">
        <is>
          <t>finneon</t>
        </is>
      </c>
      <c r="G1612" s="18" t="inlineStr">
        <is>
          <t>finneon</t>
        </is>
      </c>
      <c r="H1612" s="18" t="inlineStr"/>
      <c r="I1612" s="18" t="n">
        <v>4</v>
      </c>
      <c r="J1612" s="18" t="n"/>
      <c r="K1612" s="18" t="n">
        <v>4</v>
      </c>
      <c r="L1612" s="18" t="inlineStr">
        <is>
          <t>cobbleventure:generation_4</t>
        </is>
      </c>
      <c r="M1612" s="19" t="inlineStr">
        <is>
          <t>cobbleventure:generation_4</t>
        </is>
      </c>
      <c r="N1612" s="18" t="inlineStr"/>
      <c r="O1612" s="19" t="inlineStr"/>
      <c r="P1612" s="18" t="inlineStr">
        <is>
          <t>#cobblemon:is_ocean</t>
        </is>
      </c>
      <c r="Q1612" s="19" t="inlineStr"/>
      <c r="R1612" s="18">
        <f>IF(Q1612="",P1612,Q1612)</f>
        <v/>
      </c>
      <c r="S1612" s="18" t="inlineStr"/>
      <c r="T1612" s="18" t="inlineStr">
        <is>
          <t>common</t>
        </is>
      </c>
      <c r="U1612" s="20" t="n">
        <v>9</v>
      </c>
      <c r="V1612" s="21" t="n">
        <v>1</v>
      </c>
      <c r="W1612" s="20">
        <f>IF(OR(U1612="",V1612=""),U1612,U1612*V1612)</f>
        <v/>
      </c>
      <c r="X1612" s="18" t="inlineStr">
        <is>
          <t>8-33</t>
        </is>
      </c>
      <c r="Y1612" s="19" t="inlineStr"/>
      <c r="Z1612" s="18">
        <f>IF(Y1612="",X1612,Y1612)</f>
        <v/>
      </c>
      <c r="AA1612" s="18" t="inlineStr">
        <is>
          <t>fishing</t>
        </is>
      </c>
      <c r="AB1612" s="18" t="inlineStr"/>
      <c r="AC1612" s="18" t="inlineStr"/>
      <c r="AD1612" s="18" t="inlineStr"/>
      <c r="AE1612" s="18" t="inlineStr">
        <is>
          <t>sky 8-15</t>
        </is>
      </c>
      <c r="AF1612" s="18" t="inlineStr">
        <is>
          <t>False</t>
        </is>
      </c>
      <c r="AG1612" s="18" t="inlineStr"/>
      <c r="AH1612" s="18" t="inlineStr"/>
      <c r="AI1612" s="18" t="inlineStr"/>
      <c r="AJ1612" s="18" t="inlineStr">
        <is>
          <t>Cobblemon 동일</t>
        </is>
      </c>
      <c r="AK1612" s="18" t="inlineStr">
        <is>
          <t>사용</t>
        </is>
      </c>
      <c r="AL1612" s="18" t="inlineStr">
        <is>
          <t>COBBLEVERSE 1.7.42 / DP v31</t>
        </is>
      </c>
      <c r="AM1612" s="18" t="inlineStr">
        <is>
          <t>data/cobblemon/spawn_pool_world/0456_finneon.json</t>
        </is>
      </c>
      <c r="AN1612" s="18" t="inlineStr">
        <is>
          <t>finneon-4</t>
        </is>
      </c>
      <c r="AO1612" s="18" t="inlineStr">
        <is>
          <t>pokemon</t>
        </is>
      </c>
      <c r="AP1612" s="18" t="inlineStr"/>
      <c r="AQ1612" s="18" t="inlineStr">
        <is>
          <t>{"biomes":["#cobblemon:is_ocean"],"canSeeSky":false,"maxSkyLight":15,"minSkyLight":8}</t>
        </is>
      </c>
      <c r="AR1612" s="18" t="inlineStr"/>
      <c r="AS1612" s="18" t="inlineStr"/>
      <c r="AT1612" s="19" t="inlineStr"/>
    </row>
    <row r="1613" ht="32" customHeight="1">
      <c r="A1613" s="18" t="inlineStr">
        <is>
          <t>0456_finneon.json::finneon-5::005</t>
        </is>
      </c>
      <c r="B1613" s="19" t="inlineStr">
        <is>
          <t>사용</t>
        </is>
      </c>
      <c r="C1613" s="18">
        <f>IF(OR(B1613&lt;&gt;AK1613,M1613&lt;&gt;L1613,O1613&lt;&gt;"",Q1613&lt;&gt;"",V1613&lt;&gt;1,Y1613&lt;&gt;"",AT1613&lt;&gt;""),"수정","원본")</f>
        <v/>
      </c>
      <c r="D1613" s="18" t="n">
        <v>456</v>
      </c>
      <c r="E1613" s="18" t="inlineStr">
        <is>
          <t>형광어</t>
        </is>
      </c>
      <c r="F1613" s="18" t="inlineStr">
        <is>
          <t>finneon</t>
        </is>
      </c>
      <c r="G1613" s="18" t="inlineStr">
        <is>
          <t>finneon</t>
        </is>
      </c>
      <c r="H1613" s="18" t="inlineStr"/>
      <c r="I1613" s="18" t="n">
        <v>4</v>
      </c>
      <c r="J1613" s="18" t="n"/>
      <c r="K1613" s="18" t="n">
        <v>4</v>
      </c>
      <c r="L1613" s="18" t="inlineStr">
        <is>
          <t>cobbleventure:generation_4</t>
        </is>
      </c>
      <c r="M1613" s="19" t="inlineStr">
        <is>
          <t>cobbleventure:generation_4</t>
        </is>
      </c>
      <c r="N1613" s="18" t="inlineStr">
        <is>
          <t>region_01; region_02</t>
        </is>
      </c>
      <c r="O1613" s="19" t="inlineStr"/>
      <c r="P1613" s="18" t="inlineStr">
        <is>
          <t>#cobblemon:is_overworld</t>
        </is>
      </c>
      <c r="Q1613" s="19" t="inlineStr"/>
      <c r="R1613" s="18">
        <f>IF(Q1613="",P1613,Q1613)</f>
        <v/>
      </c>
      <c r="S1613" s="18" t="inlineStr"/>
      <c r="T1613" s="18" t="inlineStr">
        <is>
          <t>common</t>
        </is>
      </c>
      <c r="U1613" s="20" t="n">
        <v>9</v>
      </c>
      <c r="V1613" s="21" t="n">
        <v>1</v>
      </c>
      <c r="W1613" s="20">
        <f>IF(OR(U1613="",V1613=""),U1613,U1613*V1613)</f>
        <v/>
      </c>
      <c r="X1613" s="18" t="inlineStr">
        <is>
          <t>8-33</t>
        </is>
      </c>
      <c r="Y1613" s="19" t="inlineStr"/>
      <c r="Z1613" s="18">
        <f>IF(Y1613="",X1613,Y1613)</f>
        <v/>
      </c>
      <c r="AA1613" s="18" t="inlineStr">
        <is>
          <t>submerged</t>
        </is>
      </c>
      <c r="AB1613" s="18" t="inlineStr"/>
      <c r="AC1613" s="18" t="inlineStr"/>
      <c r="AD1613" s="18" t="inlineStr">
        <is>
          <t>minY=-60, maxY=13</t>
        </is>
      </c>
      <c r="AE1613" s="18" t="inlineStr"/>
      <c r="AF1613" s="18" t="inlineStr">
        <is>
          <t>False</t>
        </is>
      </c>
      <c r="AG1613" s="18" t="inlineStr">
        <is>
          <t>cobblemon:shipwreck_coves/submerged_shipwreck_cove</t>
        </is>
      </c>
      <c r="AH1613" s="18" t="inlineStr"/>
      <c r="AI1613" s="18" t="inlineStr"/>
      <c r="AJ1613" s="18" t="inlineStr">
        <is>
          <t>Cobblemon 동일</t>
        </is>
      </c>
      <c r="AK1613" s="18" t="inlineStr">
        <is>
          <t>사용</t>
        </is>
      </c>
      <c r="AL1613" s="18" t="inlineStr">
        <is>
          <t>COBBLEVERSE 1.7.42 / DP v31</t>
        </is>
      </c>
      <c r="AM1613" s="18" t="inlineStr">
        <is>
          <t>data/cobblemon/spawn_pool_world/0456_finneon.json</t>
        </is>
      </c>
      <c r="AN1613" s="18" t="inlineStr">
        <is>
          <t>finneon-5</t>
        </is>
      </c>
      <c r="AO1613" s="18" t="inlineStr">
        <is>
          <t>pokemon</t>
        </is>
      </c>
      <c r="AP1613" s="18" t="inlineStr">
        <is>
          <t>water</t>
        </is>
      </c>
      <c r="AQ1613" s="18" t="inlineStr">
        <is>
          <t>{"biomes":["#cobblemon:is_overworld"],"canSeeSky":false,"maxY":13,"minY":-60,"structures":["cobblemon:shipwreck_coves/submerged_shipwreck_cove"]}</t>
        </is>
      </c>
      <c r="AR1613" s="18" t="inlineStr"/>
      <c r="AS1613" s="18" t="inlineStr"/>
      <c r="AT1613" s="19" t="inlineStr"/>
    </row>
    <row r="1614" ht="32" customHeight="1">
      <c r="A1614" s="18" t="inlineStr">
        <is>
          <t>0456_finneon.json::finneon-6::006</t>
        </is>
      </c>
      <c r="B1614" s="19" t="inlineStr">
        <is>
          <t>사용</t>
        </is>
      </c>
      <c r="C1614" s="18">
        <f>IF(OR(B1614&lt;&gt;AK1614,M1614&lt;&gt;L1614,O1614&lt;&gt;"",Q1614&lt;&gt;"",V1614&lt;&gt;1,Y1614&lt;&gt;"",AT1614&lt;&gt;""),"수정","원본")</f>
        <v/>
      </c>
      <c r="D1614" s="18" t="n">
        <v>456</v>
      </c>
      <c r="E1614" s="18" t="inlineStr">
        <is>
          <t>형광어</t>
        </is>
      </c>
      <c r="F1614" s="18" t="inlineStr">
        <is>
          <t>finneon</t>
        </is>
      </c>
      <c r="G1614" s="18" t="inlineStr">
        <is>
          <t>finneon</t>
        </is>
      </c>
      <c r="H1614" s="18" t="inlineStr"/>
      <c r="I1614" s="18" t="n">
        <v>4</v>
      </c>
      <c r="J1614" s="18" t="n"/>
      <c r="K1614" s="18" t="n">
        <v>4</v>
      </c>
      <c r="L1614" s="18" t="inlineStr">
        <is>
          <t>cobbleventure:generation_4</t>
        </is>
      </c>
      <c r="M1614" s="19" t="inlineStr">
        <is>
          <t>cobbleventure:generation_4</t>
        </is>
      </c>
      <c r="N1614" s="18" t="inlineStr">
        <is>
          <t>region_01; region_02</t>
        </is>
      </c>
      <c r="O1614" s="19" t="inlineStr"/>
      <c r="P1614" s="18" t="inlineStr">
        <is>
          <t>#cobblemon:is_overworld</t>
        </is>
      </c>
      <c r="Q1614" s="19" t="inlineStr"/>
      <c r="R1614" s="18">
        <f>IF(Q1614="",P1614,Q1614)</f>
        <v/>
      </c>
      <c r="S1614" s="18" t="inlineStr"/>
      <c r="T1614" s="18" t="inlineStr">
        <is>
          <t>common</t>
        </is>
      </c>
      <c r="U1614" s="20" t="n">
        <v>9</v>
      </c>
      <c r="V1614" s="21" t="n">
        <v>1</v>
      </c>
      <c r="W1614" s="20">
        <f>IF(OR(U1614="",V1614=""),U1614,U1614*V1614)</f>
        <v/>
      </c>
      <c r="X1614" s="18" t="inlineStr">
        <is>
          <t>8-33</t>
        </is>
      </c>
      <c r="Y1614" s="19" t="inlineStr"/>
      <c r="Z1614" s="18">
        <f>IF(Y1614="",X1614,Y1614)</f>
        <v/>
      </c>
      <c r="AA1614" s="18" t="inlineStr">
        <is>
          <t>fishing</t>
        </is>
      </c>
      <c r="AB1614" s="18" t="inlineStr"/>
      <c r="AC1614" s="18" t="inlineStr"/>
      <c r="AD1614" s="18" t="inlineStr">
        <is>
          <t>minY=-60, maxY=13</t>
        </is>
      </c>
      <c r="AE1614" s="18" t="inlineStr"/>
      <c r="AF1614" s="18" t="inlineStr">
        <is>
          <t>False</t>
        </is>
      </c>
      <c r="AG1614" s="18" t="inlineStr">
        <is>
          <t>cobblemon:shipwreck_coves/submerged_shipwreck_cove</t>
        </is>
      </c>
      <c r="AH1614" s="18" t="inlineStr"/>
      <c r="AI1614" s="18" t="inlineStr"/>
      <c r="AJ1614" s="18" t="inlineStr">
        <is>
          <t>Cobblemon 동일</t>
        </is>
      </c>
      <c r="AK1614" s="18" t="inlineStr">
        <is>
          <t>사용</t>
        </is>
      </c>
      <c r="AL1614" s="18" t="inlineStr">
        <is>
          <t>COBBLEVERSE 1.7.42 / DP v31</t>
        </is>
      </c>
      <c r="AM1614" s="18" t="inlineStr">
        <is>
          <t>data/cobblemon/spawn_pool_world/0456_finneon.json</t>
        </is>
      </c>
      <c r="AN1614" s="18" t="inlineStr">
        <is>
          <t>finneon-6</t>
        </is>
      </c>
      <c r="AO1614" s="18" t="inlineStr">
        <is>
          <t>pokemon</t>
        </is>
      </c>
      <c r="AP1614" s="18" t="inlineStr"/>
      <c r="AQ1614" s="18" t="inlineStr">
        <is>
          <t>{"biomes":["#cobblemon:is_overworld"],"canSeeSky":false,"maxY":13,"minY":-60,"structures":["cobblemon:shipwreck_coves/submerged_shipwreck_cove"]}</t>
        </is>
      </c>
      <c r="AR1614" s="18" t="inlineStr"/>
      <c r="AS1614" s="18" t="inlineStr"/>
      <c r="AT1614" s="19" t="inlineStr"/>
    </row>
    <row r="1615" ht="32" customHeight="1">
      <c r="A1615" s="18" t="inlineStr">
        <is>
          <t>0457_lumineon.json::lumineon-1::001</t>
        </is>
      </c>
      <c r="B1615" s="19" t="inlineStr">
        <is>
          <t>사용</t>
        </is>
      </c>
      <c r="C1615" s="18">
        <f>IF(OR(B1615&lt;&gt;AK1615,M1615&lt;&gt;L1615,O1615&lt;&gt;"",Q1615&lt;&gt;"",V1615&lt;&gt;1,Y1615&lt;&gt;"",AT1615&lt;&gt;""),"수정","원본")</f>
        <v/>
      </c>
      <c r="D1615" s="18" t="n">
        <v>457</v>
      </c>
      <c r="E1615" s="18" t="inlineStr">
        <is>
          <t>네오라이트</t>
        </is>
      </c>
      <c r="F1615" s="18" t="inlineStr">
        <is>
          <t>lumineon</t>
        </is>
      </c>
      <c r="G1615" s="18" t="inlineStr">
        <is>
          <t>lumineon</t>
        </is>
      </c>
      <c r="H1615" s="18" t="inlineStr"/>
      <c r="I1615" s="18" t="n">
        <v>4</v>
      </c>
      <c r="J1615" s="18" t="n"/>
      <c r="K1615" s="18" t="n">
        <v>4</v>
      </c>
      <c r="L1615" s="18" t="inlineStr">
        <is>
          <t>cobbleventure:generation_4</t>
        </is>
      </c>
      <c r="M1615" s="19" t="inlineStr">
        <is>
          <t>cobbleventure:generation_4</t>
        </is>
      </c>
      <c r="N1615" s="18" t="inlineStr"/>
      <c r="O1615" s="19" t="inlineStr"/>
      <c r="P1615" s="18" t="inlineStr">
        <is>
          <t>#cobblemon:is_deep_ocean</t>
        </is>
      </c>
      <c r="Q1615" s="19" t="inlineStr"/>
      <c r="R1615" s="18">
        <f>IF(Q1615="",P1615,Q1615)</f>
        <v/>
      </c>
      <c r="S1615" s="18" t="inlineStr"/>
      <c r="T1615" s="18" t="inlineStr">
        <is>
          <t>common</t>
        </is>
      </c>
      <c r="U1615" s="20" t="n">
        <v>1</v>
      </c>
      <c r="V1615" s="21" t="n">
        <v>1</v>
      </c>
      <c r="W1615" s="20">
        <f>IF(OR(U1615="",V1615=""),U1615,U1615*V1615)</f>
        <v/>
      </c>
      <c r="X1615" s="18" t="inlineStr">
        <is>
          <t>31-46</t>
        </is>
      </c>
      <c r="Y1615" s="19" t="inlineStr"/>
      <c r="Z1615" s="18">
        <f>IF(Y1615="",X1615,Y1615)</f>
        <v/>
      </c>
      <c r="AA1615" s="18" t="inlineStr">
        <is>
          <t>submerged</t>
        </is>
      </c>
      <c r="AB1615" s="18" t="inlineStr"/>
      <c r="AC1615" s="18" t="inlineStr"/>
      <c r="AD1615" s="18" t="inlineStr">
        <is>
          <t>maxY=48</t>
        </is>
      </c>
      <c r="AE1615" s="18" t="inlineStr"/>
      <c r="AF1615" s="18" t="inlineStr">
        <is>
          <t>True</t>
        </is>
      </c>
      <c r="AG1615" s="18" t="inlineStr"/>
      <c r="AH1615" s="18" t="inlineStr"/>
      <c r="AI1615" s="18" t="inlineStr"/>
      <c r="AJ1615" s="18" t="inlineStr">
        <is>
          <t>Cobblemon 동일</t>
        </is>
      </c>
      <c r="AK1615" s="18" t="inlineStr">
        <is>
          <t>사용</t>
        </is>
      </c>
      <c r="AL1615" s="18" t="inlineStr">
        <is>
          <t>COBBLEVERSE 1.7.42 / DP v31</t>
        </is>
      </c>
      <c r="AM1615" s="18" t="inlineStr">
        <is>
          <t>data/cobblemon/spawn_pool_world/0457_lumineon.json</t>
        </is>
      </c>
      <c r="AN1615" s="18" t="inlineStr">
        <is>
          <t>lumineon-1</t>
        </is>
      </c>
      <c r="AO1615" s="18" t="inlineStr">
        <is>
          <t>pokemon</t>
        </is>
      </c>
      <c r="AP1615" s="18" t="inlineStr">
        <is>
          <t>water</t>
        </is>
      </c>
      <c r="AQ1615" s="18" t="inlineStr">
        <is>
          <t>{"biomes":["#cobblemon:is_deep_ocean"],"canSeeSky":true,"maxY":48}</t>
        </is>
      </c>
      <c r="AR1615" s="18" t="inlineStr"/>
      <c r="AS1615" s="18" t="inlineStr"/>
      <c r="AT1615" s="19" t="inlineStr"/>
    </row>
    <row r="1616" ht="32" customHeight="1">
      <c r="A1616" s="18" t="inlineStr">
        <is>
          <t>0457_lumineon.json::lumineon-2::002</t>
        </is>
      </c>
      <c r="B1616" s="19" t="inlineStr">
        <is>
          <t>사용</t>
        </is>
      </c>
      <c r="C1616" s="18">
        <f>IF(OR(B1616&lt;&gt;AK1616,M1616&lt;&gt;L1616,O1616&lt;&gt;"",Q1616&lt;&gt;"",V1616&lt;&gt;1,Y1616&lt;&gt;"",AT1616&lt;&gt;""),"수정","원본")</f>
        <v/>
      </c>
      <c r="D1616" s="18" t="n">
        <v>457</v>
      </c>
      <c r="E1616" s="18" t="inlineStr">
        <is>
          <t>네오라이트</t>
        </is>
      </c>
      <c r="F1616" s="18" t="inlineStr">
        <is>
          <t>lumineon</t>
        </is>
      </c>
      <c r="G1616" s="18" t="inlineStr">
        <is>
          <t>lumineon</t>
        </is>
      </c>
      <c r="H1616" s="18" t="inlineStr"/>
      <c r="I1616" s="18" t="n">
        <v>4</v>
      </c>
      <c r="J1616" s="18" t="n"/>
      <c r="K1616" s="18" t="n">
        <v>4</v>
      </c>
      <c r="L1616" s="18" t="inlineStr">
        <is>
          <t>cobbleventure:generation_4</t>
        </is>
      </c>
      <c r="M1616" s="19" t="inlineStr">
        <is>
          <t>cobbleventure:generation_4</t>
        </is>
      </c>
      <c r="N1616" s="18" t="inlineStr"/>
      <c r="O1616" s="19" t="inlineStr"/>
      <c r="P1616" s="18" t="inlineStr">
        <is>
          <t>#cobblemon:is_ocean</t>
        </is>
      </c>
      <c r="Q1616" s="19" t="inlineStr"/>
      <c r="R1616" s="18">
        <f>IF(Q1616="",P1616,Q1616)</f>
        <v/>
      </c>
      <c r="S1616" s="18" t="inlineStr"/>
      <c r="T1616" s="18" t="inlineStr">
        <is>
          <t>common</t>
        </is>
      </c>
      <c r="U1616" s="20" t="n">
        <v>1</v>
      </c>
      <c r="V1616" s="21" t="n">
        <v>1</v>
      </c>
      <c r="W1616" s="20">
        <f>IF(OR(U1616="",V1616=""),U1616,U1616*V1616)</f>
        <v/>
      </c>
      <c r="X1616" s="18" t="inlineStr">
        <is>
          <t>31-46</t>
        </is>
      </c>
      <c r="Y1616" s="19" t="inlineStr"/>
      <c r="Z1616" s="18">
        <f>IF(Y1616="",X1616,Y1616)</f>
        <v/>
      </c>
      <c r="AA1616" s="18" t="inlineStr">
        <is>
          <t>fishing</t>
        </is>
      </c>
      <c r="AB1616" s="18" t="inlineStr"/>
      <c r="AC1616" s="18" t="inlineStr"/>
      <c r="AD1616" s="18" t="inlineStr"/>
      <c r="AE1616" s="18" t="inlineStr"/>
      <c r="AF1616" s="18" t="inlineStr">
        <is>
          <t>True</t>
        </is>
      </c>
      <c r="AG1616" s="18" t="inlineStr"/>
      <c r="AH1616" s="18" t="inlineStr"/>
      <c r="AI1616" s="18" t="inlineStr"/>
      <c r="AJ1616" s="18" t="inlineStr">
        <is>
          <t>Cobblemon 동일</t>
        </is>
      </c>
      <c r="AK1616" s="18" t="inlineStr">
        <is>
          <t>사용</t>
        </is>
      </c>
      <c r="AL1616" s="18" t="inlineStr">
        <is>
          <t>COBBLEVERSE 1.7.42 / DP v31</t>
        </is>
      </c>
      <c r="AM1616" s="18" t="inlineStr">
        <is>
          <t>data/cobblemon/spawn_pool_world/0457_lumineon.json</t>
        </is>
      </c>
      <c r="AN1616" s="18" t="inlineStr">
        <is>
          <t>lumineon-2</t>
        </is>
      </c>
      <c r="AO1616" s="18" t="inlineStr">
        <is>
          <t>pokemon</t>
        </is>
      </c>
      <c r="AP1616" s="18" t="inlineStr"/>
      <c r="AQ1616" s="18" t="inlineStr">
        <is>
          <t>{"biomes":["#cobblemon:is_ocean"],"canSeeSky":true}</t>
        </is>
      </c>
      <c r="AR1616" s="18" t="inlineStr"/>
      <c r="AS1616" s="18" t="inlineStr"/>
      <c r="AT1616" s="19" t="inlineStr"/>
    </row>
    <row r="1617" ht="32" customHeight="1">
      <c r="A1617" s="18" t="inlineStr">
        <is>
          <t>0457_lumineon.json::lumineon-3::003</t>
        </is>
      </c>
      <c r="B1617" s="19" t="inlineStr">
        <is>
          <t>사용</t>
        </is>
      </c>
      <c r="C1617" s="18">
        <f>IF(OR(B1617&lt;&gt;AK1617,M1617&lt;&gt;L1617,O1617&lt;&gt;"",Q1617&lt;&gt;"",V1617&lt;&gt;1,Y1617&lt;&gt;"",AT1617&lt;&gt;""),"수정","원본")</f>
        <v/>
      </c>
      <c r="D1617" s="18" t="n">
        <v>457</v>
      </c>
      <c r="E1617" s="18" t="inlineStr">
        <is>
          <t>네오라이트</t>
        </is>
      </c>
      <c r="F1617" s="18" t="inlineStr">
        <is>
          <t>lumineon</t>
        </is>
      </c>
      <c r="G1617" s="18" t="inlineStr">
        <is>
          <t>lumineon</t>
        </is>
      </c>
      <c r="H1617" s="18" t="inlineStr"/>
      <c r="I1617" s="18" t="n">
        <v>4</v>
      </c>
      <c r="J1617" s="18" t="n"/>
      <c r="K1617" s="18" t="n">
        <v>4</v>
      </c>
      <c r="L1617" s="18" t="inlineStr">
        <is>
          <t>cobbleventure:generation_4</t>
        </is>
      </c>
      <c r="M1617" s="19" t="inlineStr">
        <is>
          <t>cobbleventure:generation_4</t>
        </is>
      </c>
      <c r="N1617" s="18" t="inlineStr"/>
      <c r="O1617" s="19" t="inlineStr"/>
      <c r="P1617" s="18" t="inlineStr">
        <is>
          <t>#cobblemon:is_deep_ocean</t>
        </is>
      </c>
      <c r="Q1617" s="19" t="inlineStr"/>
      <c r="R1617" s="18">
        <f>IF(Q1617="",P1617,Q1617)</f>
        <v/>
      </c>
      <c r="S1617" s="18" t="inlineStr"/>
      <c r="T1617" s="18" t="inlineStr">
        <is>
          <t>common</t>
        </is>
      </c>
      <c r="U1617" s="20" t="n">
        <v>1</v>
      </c>
      <c r="V1617" s="21" t="n">
        <v>1</v>
      </c>
      <c r="W1617" s="20">
        <f>IF(OR(U1617="",V1617=""),U1617,U1617*V1617)</f>
        <v/>
      </c>
      <c r="X1617" s="18" t="inlineStr">
        <is>
          <t>31-46</t>
        </is>
      </c>
      <c r="Y1617" s="19" t="inlineStr"/>
      <c r="Z1617" s="18">
        <f>IF(Y1617="",X1617,Y1617)</f>
        <v/>
      </c>
      <c r="AA1617" s="18" t="inlineStr">
        <is>
          <t>submerged</t>
        </is>
      </c>
      <c r="AB1617" s="18" t="inlineStr"/>
      <c r="AC1617" s="18" t="inlineStr"/>
      <c r="AD1617" s="18" t="inlineStr">
        <is>
          <t>maxY=48</t>
        </is>
      </c>
      <c r="AE1617" s="18" t="inlineStr">
        <is>
          <t>sky 8-15</t>
        </is>
      </c>
      <c r="AF1617" s="18" t="inlineStr">
        <is>
          <t>False</t>
        </is>
      </c>
      <c r="AG1617" s="18" t="inlineStr"/>
      <c r="AH1617" s="18" t="inlineStr"/>
      <c r="AI1617" s="18" t="inlineStr"/>
      <c r="AJ1617" s="18" t="inlineStr">
        <is>
          <t>Cobblemon 동일</t>
        </is>
      </c>
      <c r="AK1617" s="18" t="inlineStr">
        <is>
          <t>사용</t>
        </is>
      </c>
      <c r="AL1617" s="18" t="inlineStr">
        <is>
          <t>COBBLEVERSE 1.7.42 / DP v31</t>
        </is>
      </c>
      <c r="AM1617" s="18" t="inlineStr">
        <is>
          <t>data/cobblemon/spawn_pool_world/0457_lumineon.json</t>
        </is>
      </c>
      <c r="AN1617" s="18" t="inlineStr">
        <is>
          <t>lumineon-3</t>
        </is>
      </c>
      <c r="AO1617" s="18" t="inlineStr">
        <is>
          <t>pokemon</t>
        </is>
      </c>
      <c r="AP1617" s="18" t="inlineStr">
        <is>
          <t>water</t>
        </is>
      </c>
      <c r="AQ1617" s="18" t="inlineStr">
        <is>
          <t>{"biomes":["#cobblemon:is_deep_ocean"],"canSeeSky":false,"maxSkyLight":15,"maxY":48,"minSkyLight":8}</t>
        </is>
      </c>
      <c r="AR1617" s="18" t="inlineStr"/>
      <c r="AS1617" s="18" t="inlineStr"/>
      <c r="AT1617" s="19" t="inlineStr"/>
    </row>
    <row r="1618" ht="32" customHeight="1">
      <c r="A1618" s="18" t="inlineStr">
        <is>
          <t>0457_lumineon.json::lumineon-4::004</t>
        </is>
      </c>
      <c r="B1618" s="19" t="inlineStr">
        <is>
          <t>사용</t>
        </is>
      </c>
      <c r="C1618" s="18">
        <f>IF(OR(B1618&lt;&gt;AK1618,M1618&lt;&gt;L1618,O1618&lt;&gt;"",Q1618&lt;&gt;"",V1618&lt;&gt;1,Y1618&lt;&gt;"",AT1618&lt;&gt;""),"수정","원본")</f>
        <v/>
      </c>
      <c r="D1618" s="18" t="n">
        <v>457</v>
      </c>
      <c r="E1618" s="18" t="inlineStr">
        <is>
          <t>네오라이트</t>
        </is>
      </c>
      <c r="F1618" s="18" t="inlineStr">
        <is>
          <t>lumineon</t>
        </is>
      </c>
      <c r="G1618" s="18" t="inlineStr">
        <is>
          <t>lumineon</t>
        </is>
      </c>
      <c r="H1618" s="18" t="inlineStr"/>
      <c r="I1618" s="18" t="n">
        <v>4</v>
      </c>
      <c r="J1618" s="18" t="n"/>
      <c r="K1618" s="18" t="n">
        <v>4</v>
      </c>
      <c r="L1618" s="18" t="inlineStr">
        <is>
          <t>cobbleventure:generation_4</t>
        </is>
      </c>
      <c r="M1618" s="19" t="inlineStr">
        <is>
          <t>cobbleventure:generation_4</t>
        </is>
      </c>
      <c r="N1618" s="18" t="inlineStr"/>
      <c r="O1618" s="19" t="inlineStr"/>
      <c r="P1618" s="18" t="inlineStr">
        <is>
          <t>#cobblemon:is_ocean</t>
        </is>
      </c>
      <c r="Q1618" s="19" t="inlineStr"/>
      <c r="R1618" s="18">
        <f>IF(Q1618="",P1618,Q1618)</f>
        <v/>
      </c>
      <c r="S1618" s="18" t="inlineStr"/>
      <c r="T1618" s="18" t="inlineStr">
        <is>
          <t>common</t>
        </is>
      </c>
      <c r="U1618" s="20" t="n">
        <v>1</v>
      </c>
      <c r="V1618" s="21" t="n">
        <v>1</v>
      </c>
      <c r="W1618" s="20">
        <f>IF(OR(U1618="",V1618=""),U1618,U1618*V1618)</f>
        <v/>
      </c>
      <c r="X1618" s="18" t="inlineStr">
        <is>
          <t>31-46</t>
        </is>
      </c>
      <c r="Y1618" s="19" t="inlineStr"/>
      <c r="Z1618" s="18">
        <f>IF(Y1618="",X1618,Y1618)</f>
        <v/>
      </c>
      <c r="AA1618" s="18" t="inlineStr">
        <is>
          <t>fishing</t>
        </is>
      </c>
      <c r="AB1618" s="18" t="inlineStr"/>
      <c r="AC1618" s="18" t="inlineStr"/>
      <c r="AD1618" s="18" t="inlineStr"/>
      <c r="AE1618" s="18" t="inlineStr">
        <is>
          <t>sky 8-15</t>
        </is>
      </c>
      <c r="AF1618" s="18" t="inlineStr">
        <is>
          <t>False</t>
        </is>
      </c>
      <c r="AG1618" s="18" t="inlineStr"/>
      <c r="AH1618" s="18" t="inlineStr"/>
      <c r="AI1618" s="18" t="inlineStr"/>
      <c r="AJ1618" s="18" t="inlineStr">
        <is>
          <t>Cobblemon 동일</t>
        </is>
      </c>
      <c r="AK1618" s="18" t="inlineStr">
        <is>
          <t>사용</t>
        </is>
      </c>
      <c r="AL1618" s="18" t="inlineStr">
        <is>
          <t>COBBLEVERSE 1.7.42 / DP v31</t>
        </is>
      </c>
      <c r="AM1618" s="18" t="inlineStr">
        <is>
          <t>data/cobblemon/spawn_pool_world/0457_lumineon.json</t>
        </is>
      </c>
      <c r="AN1618" s="18" t="inlineStr">
        <is>
          <t>lumineon-4</t>
        </is>
      </c>
      <c r="AO1618" s="18" t="inlineStr">
        <is>
          <t>pokemon</t>
        </is>
      </c>
      <c r="AP1618" s="18" t="inlineStr"/>
      <c r="AQ1618" s="18" t="inlineStr">
        <is>
          <t>{"biomes":["#cobblemon:is_ocean"],"canSeeSky":false,"maxSkyLight":15,"minSkyLight":8}</t>
        </is>
      </c>
      <c r="AR1618" s="18" t="inlineStr"/>
      <c r="AS1618" s="18" t="inlineStr"/>
      <c r="AT1618" s="19" t="inlineStr"/>
    </row>
    <row r="1619" ht="32" customHeight="1">
      <c r="A1619" s="18" t="inlineStr">
        <is>
          <t>0457_lumineon.json::lumineon-5::005</t>
        </is>
      </c>
      <c r="B1619" s="19" t="inlineStr">
        <is>
          <t>사용</t>
        </is>
      </c>
      <c r="C1619" s="18">
        <f>IF(OR(B1619&lt;&gt;AK1619,M1619&lt;&gt;L1619,O1619&lt;&gt;"",Q1619&lt;&gt;"",V1619&lt;&gt;1,Y1619&lt;&gt;"",AT1619&lt;&gt;""),"수정","원본")</f>
        <v/>
      </c>
      <c r="D1619" s="18" t="n">
        <v>457</v>
      </c>
      <c r="E1619" s="18" t="inlineStr">
        <is>
          <t>네오라이트</t>
        </is>
      </c>
      <c r="F1619" s="18" t="inlineStr">
        <is>
          <t>lumineon</t>
        </is>
      </c>
      <c r="G1619" s="18" t="inlineStr">
        <is>
          <t>lumineon</t>
        </is>
      </c>
      <c r="H1619" s="18" t="inlineStr"/>
      <c r="I1619" s="18" t="n">
        <v>4</v>
      </c>
      <c r="J1619" s="18" t="n"/>
      <c r="K1619" s="18" t="n">
        <v>4</v>
      </c>
      <c r="L1619" s="18" t="inlineStr">
        <is>
          <t>cobbleventure:generation_4</t>
        </is>
      </c>
      <c r="M1619" s="19" t="inlineStr">
        <is>
          <t>cobbleventure:generation_4</t>
        </is>
      </c>
      <c r="N1619" s="18" t="inlineStr">
        <is>
          <t>region_01; region_02</t>
        </is>
      </c>
      <c r="O1619" s="19" t="inlineStr"/>
      <c r="P1619" s="18" t="inlineStr">
        <is>
          <t>#cobblemon:is_overworld</t>
        </is>
      </c>
      <c r="Q1619" s="19" t="inlineStr"/>
      <c r="R1619" s="18">
        <f>IF(Q1619="",P1619,Q1619)</f>
        <v/>
      </c>
      <c r="S1619" s="18" t="inlineStr"/>
      <c r="T1619" s="18" t="inlineStr">
        <is>
          <t>common</t>
        </is>
      </c>
      <c r="U1619" s="20" t="n">
        <v>1</v>
      </c>
      <c r="V1619" s="21" t="n">
        <v>1</v>
      </c>
      <c r="W1619" s="20">
        <f>IF(OR(U1619="",V1619=""),U1619,U1619*V1619)</f>
        <v/>
      </c>
      <c r="X1619" s="18" t="inlineStr">
        <is>
          <t>31-46</t>
        </is>
      </c>
      <c r="Y1619" s="19" t="inlineStr"/>
      <c r="Z1619" s="18">
        <f>IF(Y1619="",X1619,Y1619)</f>
        <v/>
      </c>
      <c r="AA1619" s="18" t="inlineStr">
        <is>
          <t>submerged</t>
        </is>
      </c>
      <c r="AB1619" s="18" t="inlineStr"/>
      <c r="AC1619" s="18" t="inlineStr"/>
      <c r="AD1619" s="18" t="inlineStr">
        <is>
          <t>minY=-60, maxY=13</t>
        </is>
      </c>
      <c r="AE1619" s="18" t="inlineStr"/>
      <c r="AF1619" s="18" t="inlineStr">
        <is>
          <t>False</t>
        </is>
      </c>
      <c r="AG1619" s="18" t="inlineStr">
        <is>
          <t>cobblemon:shipwreck_coves/submerged_shipwreck_cove</t>
        </is>
      </c>
      <c r="AH1619" s="18" t="inlineStr"/>
      <c r="AI1619" s="18" t="inlineStr"/>
      <c r="AJ1619" s="18" t="inlineStr">
        <is>
          <t>Cobblemon 동일</t>
        </is>
      </c>
      <c r="AK1619" s="18" t="inlineStr">
        <is>
          <t>사용</t>
        </is>
      </c>
      <c r="AL1619" s="18" t="inlineStr">
        <is>
          <t>COBBLEVERSE 1.7.42 / DP v31</t>
        </is>
      </c>
      <c r="AM1619" s="18" t="inlineStr">
        <is>
          <t>data/cobblemon/spawn_pool_world/0457_lumineon.json</t>
        </is>
      </c>
      <c r="AN1619" s="18" t="inlineStr">
        <is>
          <t>lumineon-5</t>
        </is>
      </c>
      <c r="AO1619" s="18" t="inlineStr">
        <is>
          <t>pokemon</t>
        </is>
      </c>
      <c r="AP1619" s="18" t="inlineStr">
        <is>
          <t>water</t>
        </is>
      </c>
      <c r="AQ1619" s="18" t="inlineStr">
        <is>
          <t>{"biomes":["#cobblemon:is_overworld"],"canSeeSky":false,"maxY":13,"minY":-60,"structures":["cobblemon:shipwreck_coves/submerged_shipwreck_cove"]}</t>
        </is>
      </c>
      <c r="AR1619" s="18" t="inlineStr"/>
      <c r="AS1619" s="18" t="inlineStr"/>
      <c r="AT1619" s="19" t="inlineStr"/>
    </row>
    <row r="1620" ht="32" customHeight="1">
      <c r="A1620" s="18" t="inlineStr">
        <is>
          <t>0457_lumineon.json::lumineon-6::006</t>
        </is>
      </c>
      <c r="B1620" s="19" t="inlineStr">
        <is>
          <t>사용</t>
        </is>
      </c>
      <c r="C1620" s="18">
        <f>IF(OR(B1620&lt;&gt;AK1620,M1620&lt;&gt;L1620,O1620&lt;&gt;"",Q1620&lt;&gt;"",V1620&lt;&gt;1,Y1620&lt;&gt;"",AT1620&lt;&gt;""),"수정","원본")</f>
        <v/>
      </c>
      <c r="D1620" s="18" t="n">
        <v>457</v>
      </c>
      <c r="E1620" s="18" t="inlineStr">
        <is>
          <t>네오라이트</t>
        </is>
      </c>
      <c r="F1620" s="18" t="inlineStr">
        <is>
          <t>lumineon</t>
        </is>
      </c>
      <c r="G1620" s="18" t="inlineStr">
        <is>
          <t>lumineon</t>
        </is>
      </c>
      <c r="H1620" s="18" t="inlineStr"/>
      <c r="I1620" s="18" t="n">
        <v>4</v>
      </c>
      <c r="J1620" s="18" t="n"/>
      <c r="K1620" s="18" t="n">
        <v>4</v>
      </c>
      <c r="L1620" s="18" t="inlineStr">
        <is>
          <t>cobbleventure:generation_4</t>
        </is>
      </c>
      <c r="M1620" s="19" t="inlineStr">
        <is>
          <t>cobbleventure:generation_4</t>
        </is>
      </c>
      <c r="N1620" s="18" t="inlineStr">
        <is>
          <t>region_01; region_02</t>
        </is>
      </c>
      <c r="O1620" s="19" t="inlineStr"/>
      <c r="P1620" s="18" t="inlineStr">
        <is>
          <t>#cobblemon:is_overworld</t>
        </is>
      </c>
      <c r="Q1620" s="19" t="inlineStr"/>
      <c r="R1620" s="18">
        <f>IF(Q1620="",P1620,Q1620)</f>
        <v/>
      </c>
      <c r="S1620" s="18" t="inlineStr"/>
      <c r="T1620" s="18" t="inlineStr">
        <is>
          <t>common</t>
        </is>
      </c>
      <c r="U1620" s="20" t="n">
        <v>1</v>
      </c>
      <c r="V1620" s="21" t="n">
        <v>1</v>
      </c>
      <c r="W1620" s="20">
        <f>IF(OR(U1620="",V1620=""),U1620,U1620*V1620)</f>
        <v/>
      </c>
      <c r="X1620" s="18" t="inlineStr">
        <is>
          <t>31-46</t>
        </is>
      </c>
      <c r="Y1620" s="19" t="inlineStr"/>
      <c r="Z1620" s="18">
        <f>IF(Y1620="",X1620,Y1620)</f>
        <v/>
      </c>
      <c r="AA1620" s="18" t="inlineStr">
        <is>
          <t>fishing</t>
        </is>
      </c>
      <c r="AB1620" s="18" t="inlineStr"/>
      <c r="AC1620" s="18" t="inlineStr"/>
      <c r="AD1620" s="18" t="inlineStr">
        <is>
          <t>minY=-60, maxY=13</t>
        </is>
      </c>
      <c r="AE1620" s="18" t="inlineStr"/>
      <c r="AF1620" s="18" t="inlineStr">
        <is>
          <t>False</t>
        </is>
      </c>
      <c r="AG1620" s="18" t="inlineStr">
        <is>
          <t>cobblemon:shipwreck_coves/submerged_shipwreck_cove</t>
        </is>
      </c>
      <c r="AH1620" s="18" t="inlineStr"/>
      <c r="AI1620" s="18" t="inlineStr"/>
      <c r="AJ1620" s="18" t="inlineStr">
        <is>
          <t>Cobblemon 동일</t>
        </is>
      </c>
      <c r="AK1620" s="18" t="inlineStr">
        <is>
          <t>사용</t>
        </is>
      </c>
      <c r="AL1620" s="18" t="inlineStr">
        <is>
          <t>COBBLEVERSE 1.7.42 / DP v31</t>
        </is>
      </c>
      <c r="AM1620" s="18" t="inlineStr">
        <is>
          <t>data/cobblemon/spawn_pool_world/0457_lumineon.json</t>
        </is>
      </c>
      <c r="AN1620" s="18" t="inlineStr">
        <is>
          <t>lumineon-6</t>
        </is>
      </c>
      <c r="AO1620" s="18" t="inlineStr">
        <is>
          <t>pokemon</t>
        </is>
      </c>
      <c r="AP1620" s="18" t="inlineStr"/>
      <c r="AQ1620" s="18" t="inlineStr">
        <is>
          <t>{"biomes":["#cobblemon:is_overworld"],"canSeeSky":false,"maxY":13,"minY":-60,"structures":["cobblemon:shipwreck_coves/submerged_shipwreck_cove"]}</t>
        </is>
      </c>
      <c r="AR1620" s="18" t="inlineStr"/>
      <c r="AS1620" s="18" t="inlineStr"/>
      <c r="AT1620" s="19" t="inlineStr"/>
    </row>
    <row r="1621" ht="32" customHeight="1">
      <c r="A1621" s="18" t="inlineStr">
        <is>
          <t>0458_mantyke.json::mantyke-1::001</t>
        </is>
      </c>
      <c r="B1621" s="19" t="inlineStr">
        <is>
          <t>사용</t>
        </is>
      </c>
      <c r="C1621" s="18">
        <f>IF(OR(B1621&lt;&gt;AK1621,M1621&lt;&gt;L1621,O1621&lt;&gt;"",Q1621&lt;&gt;"",V1621&lt;&gt;1,Y1621&lt;&gt;"",AT1621&lt;&gt;""),"수정","원본")</f>
        <v/>
      </c>
      <c r="D1621" s="18" t="n">
        <v>458</v>
      </c>
      <c r="E1621" s="18" t="inlineStr">
        <is>
          <t>타만타</t>
        </is>
      </c>
      <c r="F1621" s="18" t="inlineStr">
        <is>
          <t>mantyke</t>
        </is>
      </c>
      <c r="G1621" s="18" t="inlineStr">
        <is>
          <t>mantyke</t>
        </is>
      </c>
      <c r="H1621" s="18" t="inlineStr"/>
      <c r="I1621" s="18" t="n">
        <v>4</v>
      </c>
      <c r="J1621" s="18" t="n"/>
      <c r="K1621" s="18" t="n">
        <v>4</v>
      </c>
      <c r="L1621" s="18" t="inlineStr">
        <is>
          <t>cobbleventure:generation_4</t>
        </is>
      </c>
      <c r="M1621" s="19" t="inlineStr">
        <is>
          <t>cobbleventure:generation_4</t>
        </is>
      </c>
      <c r="N1621" s="18" t="inlineStr"/>
      <c r="O1621" s="19" t="inlineStr"/>
      <c r="P1621" s="18" t="inlineStr">
        <is>
          <t>#cobblemon:is_lukewarm_ocean; #cobblemon:is_warm_ocean</t>
        </is>
      </c>
      <c r="Q1621" s="19" t="inlineStr"/>
      <c r="R1621" s="18">
        <f>IF(Q1621="",P1621,Q1621)</f>
        <v/>
      </c>
      <c r="S1621" s="18" t="inlineStr"/>
      <c r="T1621" s="18" t="inlineStr">
        <is>
          <t>uncommon</t>
        </is>
      </c>
      <c r="U1621" s="20" t="n">
        <v>8.4</v>
      </c>
      <c r="V1621" s="21" t="n">
        <v>1</v>
      </c>
      <c r="W1621" s="20">
        <f>IF(OR(U1621="",V1621=""),U1621,U1621*V1621)</f>
        <v/>
      </c>
      <c r="X1621" s="18" t="inlineStr">
        <is>
          <t>10-35</t>
        </is>
      </c>
      <c r="Y1621" s="19" t="inlineStr"/>
      <c r="Z1621" s="18">
        <f>IF(Y1621="",X1621,Y1621)</f>
        <v/>
      </c>
      <c r="AA1621" s="18" t="inlineStr">
        <is>
          <t>submerged</t>
        </is>
      </c>
      <c r="AB1621" s="18" t="inlineStr"/>
      <c r="AC1621" s="18" t="inlineStr"/>
      <c r="AD1621" s="18" t="inlineStr">
        <is>
          <t>minY=48</t>
        </is>
      </c>
      <c r="AE1621" s="18" t="inlineStr"/>
      <c r="AF1621" s="18" t="inlineStr">
        <is>
          <t>True</t>
        </is>
      </c>
      <c r="AG1621" s="18" t="inlineStr"/>
      <c r="AH1621" s="18" t="inlineStr"/>
      <c r="AI1621" s="18" t="inlineStr"/>
      <c r="AJ1621" s="18" t="inlineStr">
        <is>
          <t>Cobblemon 동일</t>
        </is>
      </c>
      <c r="AK1621" s="18" t="inlineStr">
        <is>
          <t>사용</t>
        </is>
      </c>
      <c r="AL1621" s="18" t="inlineStr">
        <is>
          <t>COBBLEVERSE 1.7.42 / DP v31</t>
        </is>
      </c>
      <c r="AM1621" s="18" t="inlineStr">
        <is>
          <t>data/cobblemon/spawn_pool_world/0458_mantyke.json</t>
        </is>
      </c>
      <c r="AN1621" s="18" t="inlineStr">
        <is>
          <t>mantyke-1</t>
        </is>
      </c>
      <c r="AO1621" s="18" t="inlineStr">
        <is>
          <t>pokemon</t>
        </is>
      </c>
      <c r="AP1621" s="18" t="inlineStr">
        <is>
          <t>water</t>
        </is>
      </c>
      <c r="AQ1621" s="18" t="inlineStr">
        <is>
          <t>{"biomes":["#cobblemon:is_lukewarm_ocean","#cobblemon:is_warm_ocean"],"canSeeSky":true,"minY":48}</t>
        </is>
      </c>
      <c r="AR1621" s="18" t="inlineStr"/>
      <c r="AS1621" s="18" t="inlineStr"/>
      <c r="AT1621" s="19" t="inlineStr"/>
    </row>
    <row r="1622" ht="32" customHeight="1">
      <c r="A1622" s="18" t="inlineStr">
        <is>
          <t>0458_mantyke.json::mantyke-2::002</t>
        </is>
      </c>
      <c r="B1622" s="19" t="inlineStr">
        <is>
          <t>사용</t>
        </is>
      </c>
      <c r="C1622" s="18">
        <f>IF(OR(B1622&lt;&gt;AK1622,M1622&lt;&gt;L1622,O1622&lt;&gt;"",Q1622&lt;&gt;"",V1622&lt;&gt;1,Y1622&lt;&gt;"",AT1622&lt;&gt;""),"수정","원본")</f>
        <v/>
      </c>
      <c r="D1622" s="18" t="n">
        <v>458</v>
      </c>
      <c r="E1622" s="18" t="inlineStr">
        <is>
          <t>타만타</t>
        </is>
      </c>
      <c r="F1622" s="18" t="inlineStr">
        <is>
          <t>mantyke</t>
        </is>
      </c>
      <c r="G1622" s="18" t="inlineStr">
        <is>
          <t>mantyke</t>
        </is>
      </c>
      <c r="H1622" s="18" t="inlineStr"/>
      <c r="I1622" s="18" t="n">
        <v>4</v>
      </c>
      <c r="J1622" s="18" t="n"/>
      <c r="K1622" s="18" t="n">
        <v>4</v>
      </c>
      <c r="L1622" s="18" t="inlineStr">
        <is>
          <t>cobbleventure:generation_4</t>
        </is>
      </c>
      <c r="M1622" s="19" t="inlineStr">
        <is>
          <t>cobbleventure:generation_4</t>
        </is>
      </c>
      <c r="N1622" s="18" t="inlineStr"/>
      <c r="O1622" s="19" t="inlineStr"/>
      <c r="P1622" s="18" t="inlineStr">
        <is>
          <t>#cobblemon:is_ocean</t>
        </is>
      </c>
      <c r="Q1622" s="19" t="inlineStr"/>
      <c r="R1622" s="18">
        <f>IF(Q1622="",P1622,Q1622)</f>
        <v/>
      </c>
      <c r="S1622" s="18" t="inlineStr">
        <is>
          <t>#cobblemon:is_cold_ocean; #cobblemon:is_frozen_ocean</t>
        </is>
      </c>
      <c r="T1622" s="18" t="inlineStr">
        <is>
          <t>uncommon</t>
        </is>
      </c>
      <c r="U1622" s="20" t="n">
        <v>8.4</v>
      </c>
      <c r="V1622" s="21" t="n">
        <v>1</v>
      </c>
      <c r="W1622" s="20">
        <f>IF(OR(U1622="",V1622=""),U1622,U1622*V1622)</f>
        <v/>
      </c>
      <c r="X1622" s="18" t="inlineStr">
        <is>
          <t>10-35</t>
        </is>
      </c>
      <c r="Y1622" s="19" t="inlineStr"/>
      <c r="Z1622" s="18">
        <f>IF(Y1622="",X1622,Y1622)</f>
        <v/>
      </c>
      <c r="AA1622" s="18" t="inlineStr">
        <is>
          <t>fishing</t>
        </is>
      </c>
      <c r="AB1622" s="18" t="inlineStr"/>
      <c r="AC1622" s="18" t="inlineStr"/>
      <c r="AD1622" s="18" t="inlineStr"/>
      <c r="AE1622" s="18" t="inlineStr"/>
      <c r="AF1622" s="18" t="inlineStr">
        <is>
          <t>True</t>
        </is>
      </c>
      <c r="AG1622" s="18" t="inlineStr"/>
      <c r="AH1622" s="18" t="inlineStr"/>
      <c r="AI1622" s="18" t="inlineStr"/>
      <c r="AJ1622" s="18" t="inlineStr">
        <is>
          <t>Cobblemon 동일</t>
        </is>
      </c>
      <c r="AK1622" s="18" t="inlineStr">
        <is>
          <t>사용</t>
        </is>
      </c>
      <c r="AL1622" s="18" t="inlineStr">
        <is>
          <t>COBBLEVERSE 1.7.42 / DP v31</t>
        </is>
      </c>
      <c r="AM1622" s="18" t="inlineStr">
        <is>
          <t>data/cobblemon/spawn_pool_world/0458_mantyke.json</t>
        </is>
      </c>
      <c r="AN1622" s="18" t="inlineStr">
        <is>
          <t>mantyke-2</t>
        </is>
      </c>
      <c r="AO1622" s="18" t="inlineStr">
        <is>
          <t>pokemon</t>
        </is>
      </c>
      <c r="AP1622" s="18" t="inlineStr"/>
      <c r="AQ1622" s="18" t="inlineStr">
        <is>
          <t>{"biomes":["#cobblemon:is_ocean"],"canSeeSky":true}</t>
        </is>
      </c>
      <c r="AR1622" s="18" t="inlineStr">
        <is>
          <t>{"biomes":["#cobblemon:is_cold_ocean","#cobblemon:is_frozen_ocean"],"minLureLevel":1}</t>
        </is>
      </c>
      <c r="AS1622" s="18" t="inlineStr"/>
      <c r="AT1622" s="19" t="inlineStr"/>
    </row>
    <row r="1623" ht="32" customHeight="1">
      <c r="A1623" s="18" t="inlineStr">
        <is>
          <t>0458_mantyke.json::mantyke-3::003</t>
        </is>
      </c>
      <c r="B1623" s="19" t="inlineStr">
        <is>
          <t>사용</t>
        </is>
      </c>
      <c r="C1623" s="18">
        <f>IF(OR(B1623&lt;&gt;AK1623,M1623&lt;&gt;L1623,O1623&lt;&gt;"",Q1623&lt;&gt;"",V1623&lt;&gt;1,Y1623&lt;&gt;"",AT1623&lt;&gt;""),"수정","원본")</f>
        <v/>
      </c>
      <c r="D1623" s="18" t="n">
        <v>458</v>
      </c>
      <c r="E1623" s="18" t="inlineStr">
        <is>
          <t>타만타</t>
        </is>
      </c>
      <c r="F1623" s="18" t="inlineStr">
        <is>
          <t>mantyke</t>
        </is>
      </c>
      <c r="G1623" s="18" t="inlineStr">
        <is>
          <t>mantyke</t>
        </is>
      </c>
      <c r="H1623" s="18" t="inlineStr"/>
      <c r="I1623" s="18" t="n">
        <v>4</v>
      </c>
      <c r="J1623" s="18" t="n"/>
      <c r="K1623" s="18" t="n">
        <v>4</v>
      </c>
      <c r="L1623" s="18" t="inlineStr">
        <is>
          <t>cobbleventure:generation_4</t>
        </is>
      </c>
      <c r="M1623" s="19" t="inlineStr">
        <is>
          <t>cobbleventure:generation_4</t>
        </is>
      </c>
      <c r="N1623" s="18" t="inlineStr"/>
      <c r="O1623" s="19" t="inlineStr"/>
      <c r="P1623" s="18" t="inlineStr">
        <is>
          <t>#cobblemon:is_ocean</t>
        </is>
      </c>
      <c r="Q1623" s="19" t="inlineStr"/>
      <c r="R1623" s="18">
        <f>IF(Q1623="",P1623,Q1623)</f>
        <v/>
      </c>
      <c r="S1623" s="18" t="inlineStr">
        <is>
          <t>#cobblemon:is_cold_ocean; #cobblemon:is_frozen_ocean</t>
        </is>
      </c>
      <c r="T1623" s="18" t="inlineStr">
        <is>
          <t>common</t>
        </is>
      </c>
      <c r="U1623" s="20" t="n">
        <v>9</v>
      </c>
      <c r="V1623" s="21" t="n">
        <v>1</v>
      </c>
      <c r="W1623" s="20">
        <f>IF(OR(U1623="",V1623=""),U1623,U1623*V1623)</f>
        <v/>
      </c>
      <c r="X1623" s="18" t="inlineStr">
        <is>
          <t>10-35</t>
        </is>
      </c>
      <c r="Y1623" s="19" t="inlineStr"/>
      <c r="Z1623" s="18">
        <f>IF(Y1623="",X1623,Y1623)</f>
        <v/>
      </c>
      <c r="AA1623" s="18" t="inlineStr">
        <is>
          <t>fishing</t>
        </is>
      </c>
      <c r="AB1623" s="18" t="inlineStr"/>
      <c r="AC1623" s="18" t="inlineStr"/>
      <c r="AD1623" s="18" t="inlineStr"/>
      <c r="AE1623" s="18" t="inlineStr"/>
      <c r="AF1623" s="18" t="inlineStr">
        <is>
          <t>True</t>
        </is>
      </c>
      <c r="AG1623" s="18" t="inlineStr"/>
      <c r="AH1623" s="18" t="inlineStr"/>
      <c r="AI1623" s="18" t="inlineStr">
        <is>
          <t>{"fishing":{"minLureLevel":1}}</t>
        </is>
      </c>
      <c r="AJ1623" s="18" t="inlineStr">
        <is>
          <t>Cobblemon 동일</t>
        </is>
      </c>
      <c r="AK1623" s="18" t="inlineStr">
        <is>
          <t>사용</t>
        </is>
      </c>
      <c r="AL1623" s="18" t="inlineStr">
        <is>
          <t>COBBLEVERSE 1.7.42 / DP v31</t>
        </is>
      </c>
      <c r="AM1623" s="18" t="inlineStr">
        <is>
          <t>data/cobblemon/spawn_pool_world/0458_mantyke.json</t>
        </is>
      </c>
      <c r="AN1623" s="18" t="inlineStr">
        <is>
          <t>mantyke-3</t>
        </is>
      </c>
      <c r="AO1623" s="18" t="inlineStr">
        <is>
          <t>pokemon</t>
        </is>
      </c>
      <c r="AP1623" s="18" t="inlineStr"/>
      <c r="AQ1623" s="18" t="inlineStr">
        <is>
          <t>{"biomes":["#cobblemon:is_ocean"],"canSeeSky":true,"minLureLevel":1}</t>
        </is>
      </c>
      <c r="AR1623" s="18" t="inlineStr">
        <is>
          <t>{"biomes":["#cobblemon:is_cold_ocean","#cobblemon:is_frozen_ocean"]}</t>
        </is>
      </c>
      <c r="AS1623" s="18" t="inlineStr">
        <is>
          <t>{"weightMultiplier":{"condition":{"maxLureLevel":2,"minLureLevel":1},"multiplier":0.6}}</t>
        </is>
      </c>
      <c r="AT1623" s="19" t="inlineStr"/>
    </row>
    <row r="1624" ht="32" customHeight="1">
      <c r="A1624" s="18" t="inlineStr">
        <is>
          <t>0458_mantyke.json::mantyke-4::004</t>
        </is>
      </c>
      <c r="B1624" s="19" t="inlineStr">
        <is>
          <t>사용</t>
        </is>
      </c>
      <c r="C1624" s="18">
        <f>IF(OR(B1624&lt;&gt;AK1624,M1624&lt;&gt;L1624,O1624&lt;&gt;"",Q1624&lt;&gt;"",V1624&lt;&gt;1,Y1624&lt;&gt;"",AT1624&lt;&gt;""),"수정","원본")</f>
        <v/>
      </c>
      <c r="D1624" s="18" t="n">
        <v>458</v>
      </c>
      <c r="E1624" s="18" t="inlineStr">
        <is>
          <t>타만타</t>
        </is>
      </c>
      <c r="F1624" s="18" t="inlineStr">
        <is>
          <t>mantyke</t>
        </is>
      </c>
      <c r="G1624" s="18" t="inlineStr">
        <is>
          <t>mantyke</t>
        </is>
      </c>
      <c r="H1624" s="18" t="inlineStr"/>
      <c r="I1624" s="18" t="n">
        <v>4</v>
      </c>
      <c r="J1624" s="18" t="n"/>
      <c r="K1624" s="18" t="n">
        <v>4</v>
      </c>
      <c r="L1624" s="18" t="inlineStr">
        <is>
          <t>cobbleventure:generation_4</t>
        </is>
      </c>
      <c r="M1624" s="19" t="inlineStr">
        <is>
          <t>cobbleventure:generation_4</t>
        </is>
      </c>
      <c r="N1624" s="18" t="inlineStr"/>
      <c r="O1624" s="19" t="inlineStr"/>
      <c r="P1624" s="18" t="inlineStr">
        <is>
          <t>#cobblemon:is_lukewarm_ocean; #cobblemon:is_warm_ocean</t>
        </is>
      </c>
      <c r="Q1624" s="19" t="inlineStr"/>
      <c r="R1624" s="18">
        <f>IF(Q1624="",P1624,Q1624)</f>
        <v/>
      </c>
      <c r="S1624" s="18" t="inlineStr"/>
      <c r="T1624" s="18" t="inlineStr">
        <is>
          <t>uncommon</t>
        </is>
      </c>
      <c r="U1624" s="20" t="n">
        <v>8.4</v>
      </c>
      <c r="V1624" s="21" t="n">
        <v>1</v>
      </c>
      <c r="W1624" s="20">
        <f>IF(OR(U1624="",V1624=""),U1624,U1624*V1624)</f>
        <v/>
      </c>
      <c r="X1624" s="18" t="inlineStr">
        <is>
          <t>10-35</t>
        </is>
      </c>
      <c r="Y1624" s="19" t="inlineStr"/>
      <c r="Z1624" s="18">
        <f>IF(Y1624="",X1624,Y1624)</f>
        <v/>
      </c>
      <c r="AA1624" s="18" t="inlineStr">
        <is>
          <t>submerged</t>
        </is>
      </c>
      <c r="AB1624" s="18" t="inlineStr"/>
      <c r="AC1624" s="18" t="inlineStr"/>
      <c r="AD1624" s="18" t="inlineStr">
        <is>
          <t>minY=48</t>
        </is>
      </c>
      <c r="AE1624" s="18" t="inlineStr">
        <is>
          <t>sky 8-15</t>
        </is>
      </c>
      <c r="AF1624" s="18" t="inlineStr">
        <is>
          <t>False</t>
        </is>
      </c>
      <c r="AG1624" s="18" t="inlineStr"/>
      <c r="AH1624" s="18" t="inlineStr"/>
      <c r="AI1624" s="18" t="inlineStr"/>
      <c r="AJ1624" s="18" t="inlineStr">
        <is>
          <t>Cobblemon 동일</t>
        </is>
      </c>
      <c r="AK1624" s="18" t="inlineStr">
        <is>
          <t>사용</t>
        </is>
      </c>
      <c r="AL1624" s="18" t="inlineStr">
        <is>
          <t>COBBLEVERSE 1.7.42 / DP v31</t>
        </is>
      </c>
      <c r="AM1624" s="18" t="inlineStr">
        <is>
          <t>data/cobblemon/spawn_pool_world/0458_mantyke.json</t>
        </is>
      </c>
      <c r="AN1624" s="18" t="inlineStr">
        <is>
          <t>mantyke-4</t>
        </is>
      </c>
      <c r="AO1624" s="18" t="inlineStr">
        <is>
          <t>pokemon</t>
        </is>
      </c>
      <c r="AP1624" s="18" t="inlineStr">
        <is>
          <t>water</t>
        </is>
      </c>
      <c r="AQ1624" s="18" t="inlineStr">
        <is>
          <t>{"biomes":["#cobblemon:is_lukewarm_ocean","#cobblemon:is_warm_ocean"],"canSeeSky":false,"maxSkyLight":15,"minSkyLight":8,"minY":48}</t>
        </is>
      </c>
      <c r="AR1624" s="18" t="inlineStr"/>
      <c r="AS1624" s="18" t="inlineStr"/>
      <c r="AT1624" s="19" t="inlineStr"/>
    </row>
    <row r="1625" ht="32" customHeight="1">
      <c r="A1625" s="18" t="inlineStr">
        <is>
          <t>0458_mantyke.json::mantyke-5::005</t>
        </is>
      </c>
      <c r="B1625" s="19" t="inlineStr">
        <is>
          <t>사용</t>
        </is>
      </c>
      <c r="C1625" s="18">
        <f>IF(OR(B1625&lt;&gt;AK1625,M1625&lt;&gt;L1625,O1625&lt;&gt;"",Q1625&lt;&gt;"",V1625&lt;&gt;1,Y1625&lt;&gt;"",AT1625&lt;&gt;""),"수정","원본")</f>
        <v/>
      </c>
      <c r="D1625" s="18" t="n">
        <v>458</v>
      </c>
      <c r="E1625" s="18" t="inlineStr">
        <is>
          <t>타만타</t>
        </is>
      </c>
      <c r="F1625" s="18" t="inlineStr">
        <is>
          <t>mantyke</t>
        </is>
      </c>
      <c r="G1625" s="18" t="inlineStr">
        <is>
          <t>mantyke</t>
        </is>
      </c>
      <c r="H1625" s="18" t="inlineStr"/>
      <c r="I1625" s="18" t="n">
        <v>4</v>
      </c>
      <c r="J1625" s="18" t="n"/>
      <c r="K1625" s="18" t="n">
        <v>4</v>
      </c>
      <c r="L1625" s="18" t="inlineStr">
        <is>
          <t>cobbleventure:generation_4</t>
        </is>
      </c>
      <c r="M1625" s="19" t="inlineStr">
        <is>
          <t>cobbleventure:generation_4</t>
        </is>
      </c>
      <c r="N1625" s="18" t="inlineStr"/>
      <c r="O1625" s="19" t="inlineStr"/>
      <c r="P1625" s="18" t="inlineStr">
        <is>
          <t>#cobblemon:is_ocean</t>
        </is>
      </c>
      <c r="Q1625" s="19" t="inlineStr"/>
      <c r="R1625" s="18">
        <f>IF(Q1625="",P1625,Q1625)</f>
        <v/>
      </c>
      <c r="S1625" s="18" t="inlineStr">
        <is>
          <t>#cobblemon:is_cold_ocean; #cobblemon:is_frozen_ocean</t>
        </is>
      </c>
      <c r="T1625" s="18" t="inlineStr">
        <is>
          <t>uncommon</t>
        </is>
      </c>
      <c r="U1625" s="20" t="n">
        <v>8.4</v>
      </c>
      <c r="V1625" s="21" t="n">
        <v>1</v>
      </c>
      <c r="W1625" s="20">
        <f>IF(OR(U1625="",V1625=""),U1625,U1625*V1625)</f>
        <v/>
      </c>
      <c r="X1625" s="18" t="inlineStr">
        <is>
          <t>10-35</t>
        </is>
      </c>
      <c r="Y1625" s="19" t="inlineStr"/>
      <c r="Z1625" s="18">
        <f>IF(Y1625="",X1625,Y1625)</f>
        <v/>
      </c>
      <c r="AA1625" s="18" t="inlineStr">
        <is>
          <t>fishing</t>
        </is>
      </c>
      <c r="AB1625" s="18" t="inlineStr"/>
      <c r="AC1625" s="18" t="inlineStr"/>
      <c r="AD1625" s="18" t="inlineStr"/>
      <c r="AE1625" s="18" t="inlineStr">
        <is>
          <t>sky 8-15</t>
        </is>
      </c>
      <c r="AF1625" s="18" t="inlineStr">
        <is>
          <t>False</t>
        </is>
      </c>
      <c r="AG1625" s="18" t="inlineStr"/>
      <c r="AH1625" s="18" t="inlineStr"/>
      <c r="AI1625" s="18" t="inlineStr"/>
      <c r="AJ1625" s="18" t="inlineStr">
        <is>
          <t>Cobblemon 동일</t>
        </is>
      </c>
      <c r="AK1625" s="18" t="inlineStr">
        <is>
          <t>사용</t>
        </is>
      </c>
      <c r="AL1625" s="18" t="inlineStr">
        <is>
          <t>COBBLEVERSE 1.7.42 / DP v31</t>
        </is>
      </c>
      <c r="AM1625" s="18" t="inlineStr">
        <is>
          <t>data/cobblemon/spawn_pool_world/0458_mantyke.json</t>
        </is>
      </c>
      <c r="AN1625" s="18" t="inlineStr">
        <is>
          <t>mantyke-5</t>
        </is>
      </c>
      <c r="AO1625" s="18" t="inlineStr">
        <is>
          <t>pokemon</t>
        </is>
      </c>
      <c r="AP1625" s="18" t="inlineStr"/>
      <c r="AQ1625" s="18" t="inlineStr">
        <is>
          <t>{"biomes":["#cobblemon:is_ocean"],"canSeeSky":false,"maxSkyLight":15,"minSkyLight":8}</t>
        </is>
      </c>
      <c r="AR1625" s="18" t="inlineStr">
        <is>
          <t>{"biomes":["#cobblemon:is_cold_ocean","#cobblemon:is_frozen_ocean"],"minLureLevel":1}</t>
        </is>
      </c>
      <c r="AS1625" s="18" t="inlineStr"/>
      <c r="AT1625" s="19" t="inlineStr"/>
    </row>
    <row r="1626" ht="32" customHeight="1">
      <c r="A1626" s="18" t="inlineStr">
        <is>
          <t>0458_mantyke.json::mantyke-6::006</t>
        </is>
      </c>
      <c r="B1626" s="19" t="inlineStr">
        <is>
          <t>사용</t>
        </is>
      </c>
      <c r="C1626" s="18">
        <f>IF(OR(B1626&lt;&gt;AK1626,M1626&lt;&gt;L1626,O1626&lt;&gt;"",Q1626&lt;&gt;"",V1626&lt;&gt;1,Y1626&lt;&gt;"",AT1626&lt;&gt;""),"수정","원본")</f>
        <v/>
      </c>
      <c r="D1626" s="18" t="n">
        <v>458</v>
      </c>
      <c r="E1626" s="18" t="inlineStr">
        <is>
          <t>타만타</t>
        </is>
      </c>
      <c r="F1626" s="18" t="inlineStr">
        <is>
          <t>mantyke</t>
        </is>
      </c>
      <c r="G1626" s="18" t="inlineStr">
        <is>
          <t>mantyke</t>
        </is>
      </c>
      <c r="H1626" s="18" t="inlineStr"/>
      <c r="I1626" s="18" t="n">
        <v>4</v>
      </c>
      <c r="J1626" s="18" t="n"/>
      <c r="K1626" s="18" t="n">
        <v>4</v>
      </c>
      <c r="L1626" s="18" t="inlineStr">
        <is>
          <t>cobbleventure:generation_4</t>
        </is>
      </c>
      <c r="M1626" s="19" t="inlineStr">
        <is>
          <t>cobbleventure:generation_4</t>
        </is>
      </c>
      <c r="N1626" s="18" t="inlineStr"/>
      <c r="O1626" s="19" t="inlineStr"/>
      <c r="P1626" s="18" t="inlineStr">
        <is>
          <t>#cobblemon:is_ocean</t>
        </is>
      </c>
      <c r="Q1626" s="19" t="inlineStr"/>
      <c r="R1626" s="18">
        <f>IF(Q1626="",P1626,Q1626)</f>
        <v/>
      </c>
      <c r="S1626" s="18" t="inlineStr">
        <is>
          <t>#cobblemon:is_cold_ocean; #cobblemon:is_frozen_ocean</t>
        </is>
      </c>
      <c r="T1626" s="18" t="inlineStr">
        <is>
          <t>common</t>
        </is>
      </c>
      <c r="U1626" s="20" t="n">
        <v>9</v>
      </c>
      <c r="V1626" s="21" t="n">
        <v>1</v>
      </c>
      <c r="W1626" s="20">
        <f>IF(OR(U1626="",V1626=""),U1626,U1626*V1626)</f>
        <v/>
      </c>
      <c r="X1626" s="18" t="inlineStr">
        <is>
          <t>10-35</t>
        </is>
      </c>
      <c r="Y1626" s="19" t="inlineStr"/>
      <c r="Z1626" s="18">
        <f>IF(Y1626="",X1626,Y1626)</f>
        <v/>
      </c>
      <c r="AA1626" s="18" t="inlineStr">
        <is>
          <t>fishing</t>
        </is>
      </c>
      <c r="AB1626" s="18" t="inlineStr"/>
      <c r="AC1626" s="18" t="inlineStr"/>
      <c r="AD1626" s="18" t="inlineStr"/>
      <c r="AE1626" s="18" t="inlineStr">
        <is>
          <t>sky 8-15</t>
        </is>
      </c>
      <c r="AF1626" s="18" t="inlineStr">
        <is>
          <t>False</t>
        </is>
      </c>
      <c r="AG1626" s="18" t="inlineStr"/>
      <c r="AH1626" s="18" t="inlineStr"/>
      <c r="AI1626" s="18" t="inlineStr">
        <is>
          <t>{"fishing":{"minLureLevel":1}}</t>
        </is>
      </c>
      <c r="AJ1626" s="18" t="inlineStr">
        <is>
          <t>Cobblemon 동일</t>
        </is>
      </c>
      <c r="AK1626" s="18" t="inlineStr">
        <is>
          <t>사용</t>
        </is>
      </c>
      <c r="AL1626" s="18" t="inlineStr">
        <is>
          <t>COBBLEVERSE 1.7.42 / DP v31</t>
        </is>
      </c>
      <c r="AM1626" s="18" t="inlineStr">
        <is>
          <t>data/cobblemon/spawn_pool_world/0458_mantyke.json</t>
        </is>
      </c>
      <c r="AN1626" s="18" t="inlineStr">
        <is>
          <t>mantyke-6</t>
        </is>
      </c>
      <c r="AO1626" s="18" t="inlineStr">
        <is>
          <t>pokemon</t>
        </is>
      </c>
      <c r="AP1626" s="18" t="inlineStr"/>
      <c r="AQ1626" s="18" t="inlineStr">
        <is>
          <t>{"biomes":["#cobblemon:is_ocean"],"canSeeSky":false,"maxSkyLight":15,"minLureLevel":1,"minSkyLight":8}</t>
        </is>
      </c>
      <c r="AR1626" s="18" t="inlineStr">
        <is>
          <t>{"biomes":["#cobblemon:is_cold_ocean","#cobblemon:is_frozen_ocean"]}</t>
        </is>
      </c>
      <c r="AS1626" s="18" t="inlineStr">
        <is>
          <t>{"weightMultiplier":{"condition":{"maxLureLevel":2,"minLureLevel":1},"multiplier":0.6}}</t>
        </is>
      </c>
      <c r="AT1626" s="19" t="inlineStr"/>
    </row>
    <row r="1627" ht="32" customHeight="1">
      <c r="A1627" s="18" t="inlineStr">
        <is>
          <t>0459_snover.json::snover-1::001</t>
        </is>
      </c>
      <c r="B1627" s="19" t="inlineStr">
        <is>
          <t>사용</t>
        </is>
      </c>
      <c r="C1627" s="18">
        <f>IF(OR(B1627&lt;&gt;AK1627,M1627&lt;&gt;L1627,O1627&lt;&gt;"",Q1627&lt;&gt;"",V1627&lt;&gt;1,Y1627&lt;&gt;"",AT1627&lt;&gt;""),"수정","원본")</f>
        <v/>
      </c>
      <c r="D1627" s="18" t="n">
        <v>459</v>
      </c>
      <c r="E1627" s="18" t="inlineStr">
        <is>
          <t>눈쓰개</t>
        </is>
      </c>
      <c r="F1627" s="18" t="inlineStr">
        <is>
          <t>snover</t>
        </is>
      </c>
      <c r="G1627" s="18" t="inlineStr">
        <is>
          <t>snover</t>
        </is>
      </c>
      <c r="H1627" s="18" t="inlineStr"/>
      <c r="I1627" s="18" t="n">
        <v>4</v>
      </c>
      <c r="J1627" s="18" t="n"/>
      <c r="K1627" s="18" t="n">
        <v>4</v>
      </c>
      <c r="L1627" s="18" t="inlineStr">
        <is>
          <t>cobbleventure:generation_4</t>
        </is>
      </c>
      <c r="M1627" s="19" t="inlineStr">
        <is>
          <t>cobbleventure:generation_4</t>
        </is>
      </c>
      <c r="N1627" s="18" t="inlineStr"/>
      <c r="O1627" s="19" t="inlineStr"/>
      <c r="P1627" s="18" t="inlineStr">
        <is>
          <t>#cobblemon:is_snowy_taiga; #cobblemon:is_snowy_forest</t>
        </is>
      </c>
      <c r="Q1627" s="19" t="inlineStr"/>
      <c r="R1627" s="18">
        <f>IF(Q1627="",P1627,Q1627)</f>
        <v/>
      </c>
      <c r="S1627" s="18" t="inlineStr"/>
      <c r="T1627" s="18" t="inlineStr">
        <is>
          <t>common</t>
        </is>
      </c>
      <c r="U1627" s="20" t="n">
        <v>7</v>
      </c>
      <c r="V1627" s="21" t="n">
        <v>1</v>
      </c>
      <c r="W1627" s="20">
        <f>IF(OR(U1627="",V1627=""),U1627,U1627*V1627)</f>
        <v/>
      </c>
      <c r="X1627" s="18" t="inlineStr">
        <is>
          <t>7-32</t>
        </is>
      </c>
      <c r="Y1627" s="19" t="inlineStr"/>
      <c r="Z1627" s="18">
        <f>IF(Y1627="",X1627,Y1627)</f>
        <v/>
      </c>
      <c r="AA1627" s="18" t="inlineStr">
        <is>
          <t>grounded</t>
        </is>
      </c>
      <c r="AB1627" s="18" t="inlineStr"/>
      <c r="AC1627" s="18" t="inlineStr"/>
      <c r="AD1627" s="18" t="inlineStr"/>
      <c r="AE1627" s="18" t="inlineStr"/>
      <c r="AF1627" s="18" t="inlineStr"/>
      <c r="AG1627" s="18" t="inlineStr"/>
      <c r="AH1627" s="18" t="inlineStr"/>
      <c r="AI1627" s="18" t="inlineStr"/>
      <c r="AJ1627" s="18" t="inlineStr">
        <is>
          <t>COBBLEVERSE 추가</t>
        </is>
      </c>
      <c r="AK1627" s="18" t="inlineStr">
        <is>
          <t>사용</t>
        </is>
      </c>
      <c r="AL1627" s="18" t="inlineStr">
        <is>
          <t>COBBLEVERSE 1.7.42 / DP v31</t>
        </is>
      </c>
      <c r="AM1627" s="18" t="inlineStr">
        <is>
          <t>data/cobblemon/spawn_pool_world/0459_snover.json</t>
        </is>
      </c>
      <c r="AN1627" s="18" t="inlineStr">
        <is>
          <t>snover-1</t>
        </is>
      </c>
      <c r="AO1627" s="18" t="inlineStr">
        <is>
          <t>pokemon</t>
        </is>
      </c>
      <c r="AP1627" s="18" t="inlineStr">
        <is>
          <t>natural</t>
        </is>
      </c>
      <c r="AQ1627" s="18" t="inlineStr">
        <is>
          <t>{"biomes":["#cobblemon:is_snowy_taiga","#cobblemon:is_snowy_forest"]}</t>
        </is>
      </c>
      <c r="AR1627" s="18" t="inlineStr"/>
      <c r="AS1627" s="18" t="inlineStr"/>
      <c r="AT1627" s="19" t="inlineStr"/>
    </row>
    <row r="1628" ht="32" customHeight="1">
      <c r="A1628" s="18" t="inlineStr">
        <is>
          <t>0460_abomasnow.json::abomasnow-1::001</t>
        </is>
      </c>
      <c r="B1628" s="19" t="inlineStr">
        <is>
          <t>사용</t>
        </is>
      </c>
      <c r="C1628" s="18">
        <f>IF(OR(B1628&lt;&gt;AK1628,M1628&lt;&gt;L1628,O1628&lt;&gt;"",Q1628&lt;&gt;"",V1628&lt;&gt;1,Y1628&lt;&gt;"",AT1628&lt;&gt;""),"수정","원본")</f>
        <v/>
      </c>
      <c r="D1628" s="18" t="n">
        <v>460</v>
      </c>
      <c r="E1628" s="18" t="inlineStr">
        <is>
          <t>눈설왕</t>
        </is>
      </c>
      <c r="F1628" s="18" t="inlineStr">
        <is>
          <t>abomasnow</t>
        </is>
      </c>
      <c r="G1628" s="18" t="inlineStr">
        <is>
          <t>abomasnow</t>
        </is>
      </c>
      <c r="H1628" s="18" t="inlineStr"/>
      <c r="I1628" s="18" t="n">
        <v>4</v>
      </c>
      <c r="J1628" s="18" t="n"/>
      <c r="K1628" s="18" t="n">
        <v>4</v>
      </c>
      <c r="L1628" s="18" t="inlineStr">
        <is>
          <t>cobbleventure:generation_4</t>
        </is>
      </c>
      <c r="M1628" s="19" t="inlineStr">
        <is>
          <t>cobbleventure:generation_4</t>
        </is>
      </c>
      <c r="N1628" s="18" t="inlineStr"/>
      <c r="O1628" s="19" t="inlineStr"/>
      <c r="P1628" s="18" t="inlineStr">
        <is>
          <t>#cobblemon:is_snowy_taiga; #cobblemon:is_snowy_forest</t>
        </is>
      </c>
      <c r="Q1628" s="19" t="inlineStr"/>
      <c r="R1628" s="18">
        <f>IF(Q1628="",P1628,Q1628)</f>
        <v/>
      </c>
      <c r="S1628" s="18" t="inlineStr"/>
      <c r="T1628" s="18" t="inlineStr">
        <is>
          <t>uncommon</t>
        </is>
      </c>
      <c r="U1628" s="20" t="n">
        <v>7</v>
      </c>
      <c r="V1628" s="21" t="n">
        <v>1</v>
      </c>
      <c r="W1628" s="20">
        <f>IF(OR(U1628="",V1628=""),U1628,U1628*V1628)</f>
        <v/>
      </c>
      <c r="X1628" s="18" t="inlineStr">
        <is>
          <t>42-55</t>
        </is>
      </c>
      <c r="Y1628" s="19" t="inlineStr"/>
      <c r="Z1628" s="18">
        <f>IF(Y1628="",X1628,Y1628)</f>
        <v/>
      </c>
      <c r="AA1628" s="18" t="inlineStr">
        <is>
          <t>grounded</t>
        </is>
      </c>
      <c r="AB1628" s="18" t="inlineStr"/>
      <c r="AC1628" s="18" t="inlineStr"/>
      <c r="AD1628" s="18" t="inlineStr"/>
      <c r="AE1628" s="18" t="inlineStr"/>
      <c r="AF1628" s="18" t="inlineStr"/>
      <c r="AG1628" s="18" t="inlineStr"/>
      <c r="AH1628" s="18" t="inlineStr"/>
      <c r="AI1628" s="18" t="inlineStr"/>
      <c r="AJ1628" s="18" t="inlineStr">
        <is>
          <t>COBBLEVERSE 추가</t>
        </is>
      </c>
      <c r="AK1628" s="18" t="inlineStr">
        <is>
          <t>사용</t>
        </is>
      </c>
      <c r="AL1628" s="18" t="inlineStr">
        <is>
          <t>COBBLEVERSE 1.7.42 / DP v31</t>
        </is>
      </c>
      <c r="AM1628" s="18" t="inlineStr">
        <is>
          <t>data/cobblemon/spawn_pool_world/0460_abomasnow.json</t>
        </is>
      </c>
      <c r="AN1628" s="18" t="inlineStr">
        <is>
          <t>abomasnow-1</t>
        </is>
      </c>
      <c r="AO1628" s="18" t="inlineStr">
        <is>
          <t>pokemon</t>
        </is>
      </c>
      <c r="AP1628" s="18" t="inlineStr">
        <is>
          <t>natural</t>
        </is>
      </c>
      <c r="AQ1628" s="18" t="inlineStr">
        <is>
          <t>{"biomes":["#cobblemon:is_snowy_taiga","#cobblemon:is_snowy_forest"]}</t>
        </is>
      </c>
      <c r="AR1628" s="18" t="inlineStr"/>
      <c r="AS1628" s="18" t="inlineStr"/>
      <c r="AT1628" s="19" t="inlineStr"/>
    </row>
    <row r="1629" ht="32" customHeight="1">
      <c r="A1629" s="18" t="inlineStr">
        <is>
          <t>0461_weavile.json::weavile-1::001</t>
        </is>
      </c>
      <c r="B1629" s="19" t="inlineStr">
        <is>
          <t>사용</t>
        </is>
      </c>
      <c r="C1629" s="18">
        <f>IF(OR(B1629&lt;&gt;AK1629,M1629&lt;&gt;L1629,O1629&lt;&gt;"",Q1629&lt;&gt;"",V1629&lt;&gt;1,Y1629&lt;&gt;"",AT1629&lt;&gt;""),"수정","원본")</f>
        <v/>
      </c>
      <c r="D1629" s="18" t="n">
        <v>461</v>
      </c>
      <c r="E1629" s="18" t="inlineStr">
        <is>
          <t>포푸니라</t>
        </is>
      </c>
      <c r="F1629" s="18" t="inlineStr">
        <is>
          <t>weavile</t>
        </is>
      </c>
      <c r="G1629" s="18" t="inlineStr">
        <is>
          <t>weavile</t>
        </is>
      </c>
      <c r="H1629" s="18" t="inlineStr"/>
      <c r="I1629" s="18" t="n">
        <v>4</v>
      </c>
      <c r="J1629" s="18" t="n"/>
      <c r="K1629" s="18" t="n">
        <v>4</v>
      </c>
      <c r="L1629" s="18" t="inlineStr">
        <is>
          <t>cobbleventure:generation_4</t>
        </is>
      </c>
      <c r="M1629" s="19" t="inlineStr">
        <is>
          <t>cobbleventure:generation_4</t>
        </is>
      </c>
      <c r="N1629" s="18" t="inlineStr"/>
      <c r="O1629" s="19" t="inlineStr"/>
      <c r="P1629" s="18" t="inlineStr">
        <is>
          <t>#cobblemon:is_taiga</t>
        </is>
      </c>
      <c r="Q1629" s="19" t="inlineStr"/>
      <c r="R1629" s="18">
        <f>IF(Q1629="",P1629,Q1629)</f>
        <v/>
      </c>
      <c r="S1629" s="18" t="inlineStr"/>
      <c r="T1629" s="18" t="inlineStr">
        <is>
          <t>uncommon</t>
        </is>
      </c>
      <c r="U1629" s="20" t="n">
        <v>0.8</v>
      </c>
      <c r="V1629" s="21" t="n">
        <v>1</v>
      </c>
      <c r="W1629" s="20">
        <f>IF(OR(U1629="",V1629=""),U1629,U1629*V1629)</f>
        <v/>
      </c>
      <c r="X1629" s="18" t="inlineStr">
        <is>
          <t>38-51</t>
        </is>
      </c>
      <c r="Y1629" s="19" t="inlineStr"/>
      <c r="Z1629" s="18">
        <f>IF(Y1629="",X1629,Y1629)</f>
        <v/>
      </c>
      <c r="AA1629" s="18" t="inlineStr">
        <is>
          <t>grounded</t>
        </is>
      </c>
      <c r="AB1629" s="18" t="inlineStr"/>
      <c r="AC1629" s="18" t="inlineStr"/>
      <c r="AD1629" s="18" t="inlineStr"/>
      <c r="AE1629" s="18" t="inlineStr">
        <is>
          <t>sky 8-15</t>
        </is>
      </c>
      <c r="AF1629" s="18" t="inlineStr"/>
      <c r="AG1629" s="18" t="inlineStr"/>
      <c r="AH1629" s="18" t="inlineStr"/>
      <c r="AI1629" s="18" t="inlineStr"/>
      <c r="AJ1629" s="18" t="inlineStr">
        <is>
          <t>Cobblemon 동일</t>
        </is>
      </c>
      <c r="AK1629" s="18" t="inlineStr">
        <is>
          <t>사용</t>
        </is>
      </c>
      <c r="AL1629" s="18" t="inlineStr">
        <is>
          <t>COBBLEVERSE 1.7.42 / DP v31</t>
        </is>
      </c>
      <c r="AM1629" s="18" t="inlineStr">
        <is>
          <t>data/cobblemon/spawn_pool_world/0461_weavile.json</t>
        </is>
      </c>
      <c r="AN1629" s="18" t="inlineStr">
        <is>
          <t>weavile-1</t>
        </is>
      </c>
      <c r="AO1629" s="18" t="inlineStr">
        <is>
          <t>pokemon</t>
        </is>
      </c>
      <c r="AP1629" s="18" t="inlineStr">
        <is>
          <t>natural; wild</t>
        </is>
      </c>
      <c r="AQ1629" s="18" t="inlineStr">
        <is>
          <t>{"biomes":["#cobblemon:is_taiga"],"maxSkyLight":15,"minSkyLight":8}</t>
        </is>
      </c>
      <c r="AR1629" s="18" t="inlineStr"/>
      <c r="AS1629" s="18" t="inlineStr">
        <is>
          <t>{"weightMultiplier":{"condition":{"timeRange":"day"},"multiplier":0.25}}</t>
        </is>
      </c>
      <c r="AT1629" s="19" t="inlineStr"/>
    </row>
    <row r="1630" ht="32" customHeight="1">
      <c r="A1630" s="18" t="inlineStr">
        <is>
          <t>0462_magnezone.json::magnezone-1::001</t>
        </is>
      </c>
      <c r="B1630" s="19" t="inlineStr">
        <is>
          <t>사용</t>
        </is>
      </c>
      <c r="C1630" s="18">
        <f>IF(OR(B1630&lt;&gt;AK1630,M1630&lt;&gt;L1630,O1630&lt;&gt;"",Q1630&lt;&gt;"",V1630&lt;&gt;1,Y1630&lt;&gt;"",AT1630&lt;&gt;""),"수정","원본")</f>
        <v/>
      </c>
      <c r="D1630" s="18" t="n">
        <v>462</v>
      </c>
      <c r="E1630" s="18" t="inlineStr">
        <is>
          <t>자포코일</t>
        </is>
      </c>
      <c r="F1630" s="18" t="inlineStr">
        <is>
          <t>magnezone</t>
        </is>
      </c>
      <c r="G1630" s="18" t="inlineStr">
        <is>
          <t>magnezone</t>
        </is>
      </c>
      <c r="H1630" s="18" t="inlineStr"/>
      <c r="I1630" s="18" t="n">
        <v>4</v>
      </c>
      <c r="J1630" s="18" t="n"/>
      <c r="K1630" s="18" t="n">
        <v>4</v>
      </c>
      <c r="L1630" s="18" t="inlineStr">
        <is>
          <t>cobbleventure:generation_4</t>
        </is>
      </c>
      <c r="M1630" s="19" t="inlineStr">
        <is>
          <t>cobbleventure:generation_4</t>
        </is>
      </c>
      <c r="N1630" s="18" t="inlineStr">
        <is>
          <t>region_01; region_02</t>
        </is>
      </c>
      <c r="O1630" s="19" t="inlineStr"/>
      <c r="P1630" s="18" t="inlineStr">
        <is>
          <t>#cobblemon:is_overworld</t>
        </is>
      </c>
      <c r="Q1630" s="19" t="inlineStr"/>
      <c r="R1630" s="18">
        <f>IF(Q1630="",P1630,Q1630)</f>
        <v/>
      </c>
      <c r="S1630" s="18" t="inlineStr">
        <is>
          <t>#cobblemon:is_deep_dark</t>
        </is>
      </c>
      <c r="T1630" s="18" t="inlineStr">
        <is>
          <t>uncommon</t>
        </is>
      </c>
      <c r="U1630" s="20" t="n">
        <v>0.8</v>
      </c>
      <c r="V1630" s="21" t="n">
        <v>1</v>
      </c>
      <c r="W1630" s="20">
        <f>IF(OR(U1630="",V1630=""),U1630,U1630*V1630)</f>
        <v/>
      </c>
      <c r="X1630" s="18" t="inlineStr">
        <is>
          <t>42-54</t>
        </is>
      </c>
      <c r="Y1630" s="19" t="inlineStr"/>
      <c r="Z1630" s="18">
        <f>IF(Y1630="",X1630,Y1630)</f>
        <v/>
      </c>
      <c r="AA1630" s="18" t="inlineStr">
        <is>
          <t>grounded</t>
        </is>
      </c>
      <c r="AB1630" s="18" t="inlineStr"/>
      <c r="AC1630" s="18" t="inlineStr"/>
      <c r="AD1630" s="18" t="inlineStr"/>
      <c r="AE1630" s="18" t="inlineStr"/>
      <c r="AF1630" s="18" t="inlineStr"/>
      <c r="AG1630" s="18" t="inlineStr"/>
      <c r="AH1630" s="18" t="inlineStr"/>
      <c r="AI1630" s="18" t="inlineStr"/>
      <c r="AJ1630" s="18" t="inlineStr">
        <is>
          <t>COBBLEVERSE 수정</t>
        </is>
      </c>
      <c r="AK1630" s="18" t="inlineStr">
        <is>
          <t>사용</t>
        </is>
      </c>
      <c r="AL1630" s="18" t="inlineStr">
        <is>
          <t>COBBLEVERSE 1.7.42 / DP v31</t>
        </is>
      </c>
      <c r="AM1630" s="18" t="inlineStr">
        <is>
          <t>data/cobblemon/spawn_pool_world/0462_magnezone.json</t>
        </is>
      </c>
      <c r="AN1630" s="18" t="inlineStr">
        <is>
          <t>magnezone-1</t>
        </is>
      </c>
      <c r="AO1630" s="18" t="inlineStr">
        <is>
          <t>pokemon</t>
        </is>
      </c>
      <c r="AP1630" s="18" t="inlineStr">
        <is>
          <t>redstone</t>
        </is>
      </c>
      <c r="AQ1630" s="18" t="inlineStr">
        <is>
          <t>{"biomes":["#cobblemon:is_overworld"]}</t>
        </is>
      </c>
      <c r="AR1630" s="18" t="inlineStr">
        <is>
          <t>{"biomes":["#cobblemon:is_deep_dark"]}</t>
        </is>
      </c>
      <c r="AS1630" s="18" t="inlineStr"/>
      <c r="AT1630" s="19" t="inlineStr"/>
    </row>
    <row r="1631" ht="32" customHeight="1">
      <c r="A1631" s="18" t="inlineStr">
        <is>
          <t>0462_magnezone.json::magnezone-2::002</t>
        </is>
      </c>
      <c r="B1631" s="19" t="inlineStr">
        <is>
          <t>사용</t>
        </is>
      </c>
      <c r="C1631" s="18">
        <f>IF(OR(B1631&lt;&gt;AK1631,M1631&lt;&gt;L1631,O1631&lt;&gt;"",Q1631&lt;&gt;"",V1631&lt;&gt;1,Y1631&lt;&gt;"",AT1631&lt;&gt;""),"수정","원본")</f>
        <v/>
      </c>
      <c r="D1631" s="18" t="n">
        <v>462</v>
      </c>
      <c r="E1631" s="18" t="inlineStr">
        <is>
          <t>자포코일</t>
        </is>
      </c>
      <c r="F1631" s="18" t="inlineStr">
        <is>
          <t>magnezone</t>
        </is>
      </c>
      <c r="G1631" s="18" t="inlineStr">
        <is>
          <t>magnezone</t>
        </is>
      </c>
      <c r="H1631" s="18" t="inlineStr"/>
      <c r="I1631" s="18" t="n">
        <v>4</v>
      </c>
      <c r="J1631" s="18" t="n"/>
      <c r="K1631" s="18" t="n">
        <v>4</v>
      </c>
      <c r="L1631" s="18" t="inlineStr">
        <is>
          <t>cobbleventure:generation_4</t>
        </is>
      </c>
      <c r="M1631" s="19" t="inlineStr">
        <is>
          <t>cobbleventure:generation_4</t>
        </is>
      </c>
      <c r="N1631" s="18" t="inlineStr">
        <is>
          <t>region_02</t>
        </is>
      </c>
      <c r="O1631" s="19" t="inlineStr"/>
      <c r="P1631" s="18" t="inlineStr">
        <is>
          <t>#cobblemon:is_sandy</t>
        </is>
      </c>
      <c r="Q1631" s="19" t="inlineStr"/>
      <c r="R1631" s="18">
        <f>IF(Q1631="",P1631,Q1631)</f>
        <v/>
      </c>
      <c r="S1631" s="18" t="inlineStr"/>
      <c r="T1631" s="18" t="inlineStr">
        <is>
          <t>common</t>
        </is>
      </c>
      <c r="U1631" s="20" t="n">
        <v>0.01</v>
      </c>
      <c r="V1631" s="21" t="n">
        <v>1</v>
      </c>
      <c r="W1631" s="20">
        <f>IF(OR(U1631="",V1631=""),U1631,U1631*V1631)</f>
        <v/>
      </c>
      <c r="X1631" s="18" t="inlineStr">
        <is>
          <t>42-54</t>
        </is>
      </c>
      <c r="Y1631" s="19" t="inlineStr"/>
      <c r="Z1631" s="18">
        <f>IF(Y1631="",X1631,Y1631)</f>
        <v/>
      </c>
      <c r="AA1631" s="18" t="inlineStr">
        <is>
          <t>grounded</t>
        </is>
      </c>
      <c r="AB1631" s="18" t="inlineStr"/>
      <c r="AC1631" s="18" t="inlineStr"/>
      <c r="AD1631" s="18" t="inlineStr"/>
      <c r="AE1631" s="18" t="inlineStr">
        <is>
          <t>sky 8-15</t>
        </is>
      </c>
      <c r="AF1631" s="18" t="inlineStr"/>
      <c r="AG1631" s="18" t="inlineStr"/>
      <c r="AH1631" s="18" t="inlineStr"/>
      <c r="AI1631" s="18" t="inlineStr"/>
      <c r="AJ1631" s="18" t="inlineStr">
        <is>
          <t>COBBLEVERSE 수정</t>
        </is>
      </c>
      <c r="AK1631" s="18" t="inlineStr">
        <is>
          <t>사용</t>
        </is>
      </c>
      <c r="AL1631" s="18" t="inlineStr">
        <is>
          <t>COBBLEVERSE 1.7.42 / DP v31</t>
        </is>
      </c>
      <c r="AM1631" s="18" t="inlineStr">
        <is>
          <t>data/cobblemon/spawn_pool_world/0462_magnezone.json</t>
        </is>
      </c>
      <c r="AN1631" s="18" t="inlineStr">
        <is>
          <t>magnezone-2</t>
        </is>
      </c>
      <c r="AO1631" s="18" t="inlineStr">
        <is>
          <t>pokemon</t>
        </is>
      </c>
      <c r="AP1631" s="18" t="inlineStr">
        <is>
          <t>natural</t>
        </is>
      </c>
      <c r="AQ1631" s="18" t="inlineStr">
        <is>
          <t>{"biomes":["#cobblemon:is_sandy"],"maxSkyLight":15,"minSkyLight":8}</t>
        </is>
      </c>
      <c r="AR1631" s="18" t="inlineStr"/>
      <c r="AS1631" s="18" t="inlineStr">
        <is>
          <t>{"weightMultiplier":{"condition":{"isThundering":true},"multiplier":5.0}}</t>
        </is>
      </c>
      <c r="AT1631" s="19" t="inlineStr"/>
    </row>
    <row r="1632" ht="32" customHeight="1">
      <c r="A1632" s="18" t="inlineStr">
        <is>
          <t>0463_lickilicky.json::lickilicky-1::001</t>
        </is>
      </c>
      <c r="B1632" s="19" t="inlineStr">
        <is>
          <t>사용</t>
        </is>
      </c>
      <c r="C1632" s="18">
        <f>IF(OR(B1632&lt;&gt;AK1632,M1632&lt;&gt;L1632,O1632&lt;&gt;"",Q1632&lt;&gt;"",V1632&lt;&gt;1,Y1632&lt;&gt;"",AT1632&lt;&gt;""),"수정","원본")</f>
        <v/>
      </c>
      <c r="D1632" s="18" t="n">
        <v>463</v>
      </c>
      <c r="E1632" s="18" t="inlineStr">
        <is>
          <t>내룸벨트</t>
        </is>
      </c>
      <c r="F1632" s="18" t="inlineStr">
        <is>
          <t>lickilicky</t>
        </is>
      </c>
      <c r="G1632" s="18" t="inlineStr">
        <is>
          <t>lickilicky</t>
        </is>
      </c>
      <c r="H1632" s="18" t="inlineStr"/>
      <c r="I1632" s="18" t="n">
        <v>4</v>
      </c>
      <c r="J1632" s="18" t="n"/>
      <c r="K1632" s="18" t="n">
        <v>4</v>
      </c>
      <c r="L1632" s="18" t="inlineStr">
        <is>
          <t>cobbleventure:generation_4</t>
        </is>
      </c>
      <c r="M1632" s="19" t="inlineStr">
        <is>
          <t>cobbleventure:generation_4</t>
        </is>
      </c>
      <c r="N1632" s="18" t="inlineStr">
        <is>
          <t>region_01</t>
        </is>
      </c>
      <c r="O1632" s="19" t="inlineStr"/>
      <c r="P1632" s="18" t="inlineStr">
        <is>
          <t>#cobblemon:is_grassland</t>
        </is>
      </c>
      <c r="Q1632" s="19" t="inlineStr"/>
      <c r="R1632" s="18">
        <f>IF(Q1632="",P1632,Q1632)</f>
        <v/>
      </c>
      <c r="S1632" s="18" t="inlineStr"/>
      <c r="T1632" s="18" t="inlineStr">
        <is>
          <t>uncommon</t>
        </is>
      </c>
      <c r="U1632" s="20" t="n">
        <v>0.32</v>
      </c>
      <c r="V1632" s="21" t="n">
        <v>1</v>
      </c>
      <c r="W1632" s="20">
        <f>IF(OR(U1632="",V1632=""),U1632,U1632*V1632)</f>
        <v/>
      </c>
      <c r="X1632" s="18" t="inlineStr">
        <is>
          <t>34-52</t>
        </is>
      </c>
      <c r="Y1632" s="19" t="inlineStr"/>
      <c r="Z1632" s="18">
        <f>IF(Y1632="",X1632,Y1632)</f>
        <v/>
      </c>
      <c r="AA1632" s="18" t="inlineStr">
        <is>
          <t>grounded</t>
        </is>
      </c>
      <c r="AB1632" s="18" t="inlineStr"/>
      <c r="AC1632" s="18" t="inlineStr"/>
      <c r="AD1632" s="18" t="inlineStr"/>
      <c r="AE1632" s="18" t="inlineStr">
        <is>
          <t>sky 8-15</t>
        </is>
      </c>
      <c r="AF1632" s="18" t="inlineStr"/>
      <c r="AG1632" s="18" t="inlineStr"/>
      <c r="AH1632" s="18" t="inlineStr"/>
      <c r="AI1632" s="18" t="inlineStr"/>
      <c r="AJ1632" s="18" t="inlineStr">
        <is>
          <t>Cobblemon 동일</t>
        </is>
      </c>
      <c r="AK1632" s="18" t="inlineStr">
        <is>
          <t>사용</t>
        </is>
      </c>
      <c r="AL1632" s="18" t="inlineStr">
        <is>
          <t>COBBLEVERSE 1.7.42 / DP v31</t>
        </is>
      </c>
      <c r="AM1632" s="18" t="inlineStr">
        <is>
          <t>data/cobblemon/spawn_pool_world/0463_lickilicky.json</t>
        </is>
      </c>
      <c r="AN1632" s="18" t="inlineStr">
        <is>
          <t>lickilicky-1</t>
        </is>
      </c>
      <c r="AO1632" s="18" t="inlineStr">
        <is>
          <t>pokemon</t>
        </is>
      </c>
      <c r="AP1632" s="18" t="inlineStr">
        <is>
          <t>natural</t>
        </is>
      </c>
      <c r="AQ1632" s="18" t="inlineStr">
        <is>
          <t>{"biomes":["#cobblemon:is_grassland"],"maxSkyLight":15,"minSkyLight":8}</t>
        </is>
      </c>
      <c r="AR1632" s="18" t="inlineStr"/>
      <c r="AS1632" s="18" t="inlineStr">
        <is>
          <t>{"weightMultiplier":{"condition":{"timeRange":"night"},"multiplier":0.25}}</t>
        </is>
      </c>
      <c r="AT1632" s="19" t="inlineStr"/>
    </row>
    <row r="1633" ht="32" customHeight="1">
      <c r="A1633" s="18" t="inlineStr">
        <is>
          <t>0464_rhyperior.json::rhyperior-1::001</t>
        </is>
      </c>
      <c r="B1633" s="19" t="inlineStr">
        <is>
          <t>사용</t>
        </is>
      </c>
      <c r="C1633" s="18">
        <f>IF(OR(B1633&lt;&gt;AK1633,M1633&lt;&gt;L1633,O1633&lt;&gt;"",Q1633&lt;&gt;"",V1633&lt;&gt;1,Y1633&lt;&gt;"",AT1633&lt;&gt;""),"수정","원본")</f>
        <v/>
      </c>
      <c r="D1633" s="18" t="n">
        <v>464</v>
      </c>
      <c r="E1633" s="18" t="inlineStr">
        <is>
          <t>거대코뿌리</t>
        </is>
      </c>
      <c r="F1633" s="18" t="inlineStr">
        <is>
          <t>rhyperior</t>
        </is>
      </c>
      <c r="G1633" s="18" t="inlineStr">
        <is>
          <t>rhyperior</t>
        </is>
      </c>
      <c r="H1633" s="18" t="inlineStr"/>
      <c r="I1633" s="18" t="n">
        <v>4</v>
      </c>
      <c r="J1633" s="18" t="n"/>
      <c r="K1633" s="18" t="n">
        <v>4</v>
      </c>
      <c r="L1633" s="18" t="inlineStr">
        <is>
          <t>cobbleventure:generation_4</t>
        </is>
      </c>
      <c r="M1633" s="19" t="inlineStr">
        <is>
          <t>cobbleventure:generation_4</t>
        </is>
      </c>
      <c r="N1633" s="18" t="inlineStr"/>
      <c r="O1633" s="19" t="inlineStr"/>
      <c r="P1633" s="18" t="inlineStr">
        <is>
          <t>#cobblemon:is_mountain; #cobblemon:is_savanna</t>
        </is>
      </c>
      <c r="Q1633" s="19" t="inlineStr"/>
      <c r="R1633" s="18">
        <f>IF(Q1633="",P1633,Q1633)</f>
        <v/>
      </c>
      <c r="S1633" s="18" t="inlineStr">
        <is>
          <t>#cobblemon:is_cold</t>
        </is>
      </c>
      <c r="T1633" s="18" t="inlineStr">
        <is>
          <t>common</t>
        </is>
      </c>
      <c r="U1633" s="20" t="n">
        <v>0.01</v>
      </c>
      <c r="V1633" s="21" t="n">
        <v>1</v>
      </c>
      <c r="W1633" s="20">
        <f>IF(OR(U1633="",V1633=""),U1633,U1633*V1633)</f>
        <v/>
      </c>
      <c r="X1633" s="18" t="inlineStr">
        <is>
          <t>44-54</t>
        </is>
      </c>
      <c r="Y1633" s="19" t="inlineStr"/>
      <c r="Z1633" s="18">
        <f>IF(Y1633="",X1633,Y1633)</f>
        <v/>
      </c>
      <c r="AA1633" s="18" t="inlineStr">
        <is>
          <t>grounded</t>
        </is>
      </c>
      <c r="AB1633" s="18" t="inlineStr"/>
      <c r="AC1633" s="18" t="inlineStr"/>
      <c r="AD1633" s="18" t="inlineStr"/>
      <c r="AE1633" s="18" t="inlineStr">
        <is>
          <t>sky 8-15</t>
        </is>
      </c>
      <c r="AF1633" s="18" t="inlineStr"/>
      <c r="AG1633" s="18" t="inlineStr"/>
      <c r="AH1633" s="18" t="inlineStr"/>
      <c r="AI1633" s="18" t="inlineStr"/>
      <c r="AJ1633" s="18" t="inlineStr">
        <is>
          <t>Cobblemon 동일</t>
        </is>
      </c>
      <c r="AK1633" s="18" t="inlineStr">
        <is>
          <t>사용</t>
        </is>
      </c>
      <c r="AL1633" s="18" t="inlineStr">
        <is>
          <t>COBBLEVERSE 1.7.42 / DP v31</t>
        </is>
      </c>
      <c r="AM1633" s="18" t="inlineStr">
        <is>
          <t>data/cobblemon/spawn_pool_world/0464_rhyperior.json</t>
        </is>
      </c>
      <c r="AN1633" s="18" t="inlineStr">
        <is>
          <t>rhyperior-1</t>
        </is>
      </c>
      <c r="AO1633" s="18" t="inlineStr">
        <is>
          <t>pokemon</t>
        </is>
      </c>
      <c r="AP1633" s="18" t="inlineStr">
        <is>
          <t>natural; wild</t>
        </is>
      </c>
      <c r="AQ1633" s="18" t="inlineStr">
        <is>
          <t>{"biomes":["#cobblemon:is_mountain","#cobblemon:is_savanna"],"maxSkyLight":15,"minSkyLight":8}</t>
        </is>
      </c>
      <c r="AR1633" s="18" t="inlineStr">
        <is>
          <t>{"biomes":["#cobblemon:is_cold"]}</t>
        </is>
      </c>
      <c r="AS1633" s="18" t="inlineStr">
        <is>
          <t>{"weightMultiplier":{"condition":{"timeRange":"night"},"multiplier":0.25}}</t>
        </is>
      </c>
      <c r="AT1633" s="19" t="inlineStr"/>
    </row>
    <row r="1634" ht="32" customHeight="1">
      <c r="A1634" s="18" t="inlineStr">
        <is>
          <t>0465_tangrowth.json::tangrowth-1::001</t>
        </is>
      </c>
      <c r="B1634" s="19" t="inlineStr">
        <is>
          <t>사용</t>
        </is>
      </c>
      <c r="C1634" s="18">
        <f>IF(OR(B1634&lt;&gt;AK1634,M1634&lt;&gt;L1634,O1634&lt;&gt;"",Q1634&lt;&gt;"",V1634&lt;&gt;1,Y1634&lt;&gt;"",AT1634&lt;&gt;""),"수정","원본")</f>
        <v/>
      </c>
      <c r="D1634" s="18" t="n">
        <v>465</v>
      </c>
      <c r="E1634" s="18" t="inlineStr">
        <is>
          <t>덩쿠림보</t>
        </is>
      </c>
      <c r="F1634" s="18" t="inlineStr">
        <is>
          <t>tangrowth</t>
        </is>
      </c>
      <c r="G1634" s="18" t="inlineStr">
        <is>
          <t>tangrowth</t>
        </is>
      </c>
      <c r="H1634" s="18" t="inlineStr"/>
      <c r="I1634" s="18" t="n">
        <v>4</v>
      </c>
      <c r="J1634" s="18" t="n"/>
      <c r="K1634" s="18" t="n">
        <v>4</v>
      </c>
      <c r="L1634" s="18" t="inlineStr">
        <is>
          <t>cobbleventure:generation_4</t>
        </is>
      </c>
      <c r="M1634" s="19" t="inlineStr">
        <is>
          <t>cobbleventure:generation_4</t>
        </is>
      </c>
      <c r="N1634" s="18" t="inlineStr"/>
      <c r="O1634" s="19" t="inlineStr"/>
      <c r="P1634" s="18" t="inlineStr">
        <is>
          <t>#cobblemon:is_jungle</t>
        </is>
      </c>
      <c r="Q1634" s="19" t="inlineStr"/>
      <c r="R1634" s="18">
        <f>IF(Q1634="",P1634,Q1634)</f>
        <v/>
      </c>
      <c r="S1634" s="18" t="inlineStr"/>
      <c r="T1634" s="18" t="inlineStr">
        <is>
          <t>common</t>
        </is>
      </c>
      <c r="U1634" s="20" t="n">
        <v>0.2</v>
      </c>
      <c r="V1634" s="21" t="n">
        <v>1</v>
      </c>
      <c r="W1634" s="20">
        <f>IF(OR(U1634="",V1634=""),U1634,U1634*V1634)</f>
        <v/>
      </c>
      <c r="X1634" s="18" t="inlineStr">
        <is>
          <t>24-54</t>
        </is>
      </c>
      <c r="Y1634" s="19" t="inlineStr"/>
      <c r="Z1634" s="18">
        <f>IF(Y1634="",X1634,Y1634)</f>
        <v/>
      </c>
      <c r="AA1634" s="18" t="inlineStr">
        <is>
          <t>grounded</t>
        </is>
      </c>
      <c r="AB1634" s="18" t="inlineStr"/>
      <c r="AC1634" s="18" t="inlineStr"/>
      <c r="AD1634" s="18" t="inlineStr"/>
      <c r="AE1634" s="18" t="inlineStr">
        <is>
          <t>sky 8-15</t>
        </is>
      </c>
      <c r="AF1634" s="18" t="inlineStr"/>
      <c r="AG1634" s="18" t="inlineStr"/>
      <c r="AH1634" s="18" t="inlineStr"/>
      <c r="AI1634" s="18" t="inlineStr"/>
      <c r="AJ1634" s="18" t="inlineStr">
        <is>
          <t>Cobblemon 동일</t>
        </is>
      </c>
      <c r="AK1634" s="18" t="inlineStr">
        <is>
          <t>사용</t>
        </is>
      </c>
      <c r="AL1634" s="18" t="inlineStr">
        <is>
          <t>COBBLEVERSE 1.7.42 / DP v31</t>
        </is>
      </c>
      <c r="AM1634" s="18" t="inlineStr">
        <is>
          <t>data/cobblemon/spawn_pool_world/0465_tangrowth.json</t>
        </is>
      </c>
      <c r="AN1634" s="18" t="inlineStr">
        <is>
          <t>tangrowth-1</t>
        </is>
      </c>
      <c r="AO1634" s="18" t="inlineStr">
        <is>
          <t>pokemon</t>
        </is>
      </c>
      <c r="AP1634" s="18" t="inlineStr">
        <is>
          <t>natural; wild</t>
        </is>
      </c>
      <c r="AQ1634" s="18" t="inlineStr">
        <is>
          <t>{"biomes":["#cobblemon:is_jungle"],"maxSkyLight":15,"minSkyLight":8}</t>
        </is>
      </c>
      <c r="AR1634" s="18" t="inlineStr"/>
      <c r="AS1634" s="18" t="inlineStr"/>
      <c r="AT1634" s="19" t="inlineStr"/>
    </row>
    <row r="1635" ht="32" customHeight="1">
      <c r="A1635" s="18" t="inlineStr">
        <is>
          <t>0466_electivire.json::electivire-1::001</t>
        </is>
      </c>
      <c r="B1635" s="19" t="inlineStr">
        <is>
          <t>사용</t>
        </is>
      </c>
      <c r="C1635" s="18">
        <f>IF(OR(B1635&lt;&gt;AK1635,M1635&lt;&gt;L1635,O1635&lt;&gt;"",Q1635&lt;&gt;"",V1635&lt;&gt;1,Y1635&lt;&gt;"",AT1635&lt;&gt;""),"수정","원본")</f>
        <v/>
      </c>
      <c r="D1635" s="18" t="n">
        <v>466</v>
      </c>
      <c r="E1635" s="18" t="inlineStr">
        <is>
          <t>에레키블</t>
        </is>
      </c>
      <c r="F1635" s="18" t="inlineStr">
        <is>
          <t>electivire</t>
        </is>
      </c>
      <c r="G1635" s="18" t="inlineStr">
        <is>
          <t>electivire</t>
        </is>
      </c>
      <c r="H1635" s="18" t="inlineStr"/>
      <c r="I1635" s="18" t="n">
        <v>4</v>
      </c>
      <c r="J1635" s="18" t="n"/>
      <c r="K1635" s="18" t="n">
        <v>4</v>
      </c>
      <c r="L1635" s="18" t="inlineStr">
        <is>
          <t>cobbleventure:generation_4</t>
        </is>
      </c>
      <c r="M1635" s="19" t="inlineStr">
        <is>
          <t>cobbleventure:generation_4</t>
        </is>
      </c>
      <c r="N1635" s="18" t="inlineStr">
        <is>
          <t>region_01</t>
        </is>
      </c>
      <c r="O1635" s="19" t="inlineStr"/>
      <c r="P1635" s="18" t="inlineStr">
        <is>
          <t>#cobblemon:is_hills; #cobblemon:is_plains</t>
        </is>
      </c>
      <c r="Q1635" s="19" t="inlineStr"/>
      <c r="R1635" s="18">
        <f>IF(Q1635="",P1635,Q1635)</f>
        <v/>
      </c>
      <c r="S1635" s="18" t="inlineStr"/>
      <c r="T1635" s="18" t="inlineStr">
        <is>
          <t>uncommon</t>
        </is>
      </c>
      <c r="U1635" s="20" t="n">
        <v>0.016</v>
      </c>
      <c r="V1635" s="21" t="n">
        <v>1</v>
      </c>
      <c r="W1635" s="20">
        <f>IF(OR(U1635="",V1635=""),U1635,U1635*V1635)</f>
        <v/>
      </c>
      <c r="X1635" s="18" t="inlineStr">
        <is>
          <t>45-54</t>
        </is>
      </c>
      <c r="Y1635" s="19" t="inlineStr"/>
      <c r="Z1635" s="18">
        <f>IF(Y1635="",X1635,Y1635)</f>
        <v/>
      </c>
      <c r="AA1635" s="18" t="inlineStr">
        <is>
          <t>grounded</t>
        </is>
      </c>
      <c r="AB1635" s="18" t="inlineStr"/>
      <c r="AC1635" s="18" t="inlineStr"/>
      <c r="AD1635" s="18" t="inlineStr"/>
      <c r="AE1635" s="18" t="inlineStr">
        <is>
          <t>sky 8-15</t>
        </is>
      </c>
      <c r="AF1635" s="18" t="inlineStr"/>
      <c r="AG1635" s="18" t="inlineStr"/>
      <c r="AH1635" s="18" t="inlineStr"/>
      <c r="AI1635" s="18" t="inlineStr"/>
      <c r="AJ1635" s="18" t="inlineStr">
        <is>
          <t>Cobblemon 동일</t>
        </is>
      </c>
      <c r="AK1635" s="18" t="inlineStr">
        <is>
          <t>사용</t>
        </is>
      </c>
      <c r="AL1635" s="18" t="inlineStr">
        <is>
          <t>COBBLEVERSE 1.7.42 / DP v31</t>
        </is>
      </c>
      <c r="AM1635" s="18" t="inlineStr">
        <is>
          <t>data/cobblemon/spawn_pool_world/0466_electivire.json</t>
        </is>
      </c>
      <c r="AN1635" s="18" t="inlineStr">
        <is>
          <t>electivire-1</t>
        </is>
      </c>
      <c r="AO1635" s="18" t="inlineStr">
        <is>
          <t>pokemon</t>
        </is>
      </c>
      <c r="AP1635" s="18" t="inlineStr">
        <is>
          <t>natural</t>
        </is>
      </c>
      <c r="AQ1635" s="18" t="inlineStr">
        <is>
          <t>{"biomes":["#cobblemon:is_hills","#cobblemon:is_plains"],"maxSkyLight":15,"minSkyLight":8}</t>
        </is>
      </c>
      <c r="AR1635" s="18" t="inlineStr"/>
      <c r="AS1635" s="18" t="inlineStr">
        <is>
          <t>{"weightMultiplier":{"condition":{"isThundering":true},"multiplier":5.0}}</t>
        </is>
      </c>
      <c r="AT1635" s="19" t="inlineStr"/>
    </row>
    <row r="1636" ht="32" customHeight="1">
      <c r="A1636" s="18" t="inlineStr">
        <is>
          <t>0467_magmortar.json::magmortar-1::001</t>
        </is>
      </c>
      <c r="B1636" s="19" t="inlineStr">
        <is>
          <t>사용</t>
        </is>
      </c>
      <c r="C1636" s="18">
        <f>IF(OR(B1636&lt;&gt;AK1636,M1636&lt;&gt;L1636,O1636&lt;&gt;"",Q1636&lt;&gt;"",V1636&lt;&gt;1,Y1636&lt;&gt;"",AT1636&lt;&gt;""),"수정","원본")</f>
        <v/>
      </c>
      <c r="D1636" s="18" t="n">
        <v>467</v>
      </c>
      <c r="E1636" s="18" t="inlineStr">
        <is>
          <t>마그마번</t>
        </is>
      </c>
      <c r="F1636" s="18" t="inlineStr">
        <is>
          <t>magmortar</t>
        </is>
      </c>
      <c r="G1636" s="18" t="inlineStr">
        <is>
          <t>magmortar</t>
        </is>
      </c>
      <c r="H1636" s="18" t="inlineStr"/>
      <c r="I1636" s="18" t="n">
        <v>4</v>
      </c>
      <c r="J1636" s="18" t="n"/>
      <c r="K1636" s="18" t="n">
        <v>4</v>
      </c>
      <c r="L1636" s="18" t="inlineStr">
        <is>
          <t>cobbleventure:generation_4</t>
        </is>
      </c>
      <c r="M1636" s="19" t="inlineStr">
        <is>
          <t>cobbleventure:generation_4</t>
        </is>
      </c>
      <c r="N1636" s="18" t="inlineStr"/>
      <c r="O1636" s="19" t="inlineStr"/>
      <c r="P1636" s="18" t="inlineStr">
        <is>
          <t>#cobblemon:is_hills</t>
        </is>
      </c>
      <c r="Q1636" s="19" t="inlineStr"/>
      <c r="R1636" s="18">
        <f>IF(Q1636="",P1636,Q1636)</f>
        <v/>
      </c>
      <c r="S1636" s="18" t="inlineStr"/>
      <c r="T1636" s="18" t="inlineStr">
        <is>
          <t>common</t>
        </is>
      </c>
      <c r="U1636" s="20" t="n">
        <v>0.05</v>
      </c>
      <c r="V1636" s="21" t="n">
        <v>1</v>
      </c>
      <c r="W1636" s="20">
        <f>IF(OR(U1636="",V1636=""),U1636,U1636*V1636)</f>
        <v/>
      </c>
      <c r="X1636" s="18" t="inlineStr">
        <is>
          <t>45-54</t>
        </is>
      </c>
      <c r="Y1636" s="19" t="inlineStr"/>
      <c r="Z1636" s="18">
        <f>IF(Y1636="",X1636,Y1636)</f>
        <v/>
      </c>
      <c r="AA1636" s="18" t="inlineStr">
        <is>
          <t>grounded</t>
        </is>
      </c>
      <c r="AB1636" s="18" t="inlineStr"/>
      <c r="AC1636" s="18" t="inlineStr">
        <is>
          <t>비=False</t>
        </is>
      </c>
      <c r="AD1636" s="18" t="inlineStr"/>
      <c r="AE1636" s="18" t="inlineStr">
        <is>
          <t>sky 8-15</t>
        </is>
      </c>
      <c r="AF1636" s="18" t="inlineStr"/>
      <c r="AG1636" s="18" t="inlineStr"/>
      <c r="AH1636" s="18" t="inlineStr"/>
      <c r="AI1636" s="18" t="inlineStr"/>
      <c r="AJ1636" s="18" t="inlineStr">
        <is>
          <t>COBBLEVERSE 수정</t>
        </is>
      </c>
      <c r="AK1636" s="18" t="inlineStr">
        <is>
          <t>사용</t>
        </is>
      </c>
      <c r="AL1636" s="18" t="inlineStr">
        <is>
          <t>COBBLEVERSE 1.7.42 / DP v31</t>
        </is>
      </c>
      <c r="AM1636" s="18" t="inlineStr">
        <is>
          <t>data/cobblemon/spawn_pool_world/0467_magmortar.json</t>
        </is>
      </c>
      <c r="AN1636" s="18" t="inlineStr">
        <is>
          <t>magmortar-1</t>
        </is>
      </c>
      <c r="AO1636" s="18" t="inlineStr">
        <is>
          <t>pokemon</t>
        </is>
      </c>
      <c r="AP1636" s="18" t="inlineStr">
        <is>
          <t>natural</t>
        </is>
      </c>
      <c r="AQ1636" s="18" t="inlineStr">
        <is>
          <t>{"biomes":["#cobblemon:is_hills"],"isRaining":false,"maxSkyLight":15,"minSkyLight":8}</t>
        </is>
      </c>
      <c r="AR1636" s="18" t="inlineStr"/>
      <c r="AS1636" s="18" t="inlineStr"/>
      <c r="AT1636" s="19" t="inlineStr"/>
    </row>
    <row r="1637" ht="32" customHeight="1">
      <c r="A1637" s="18" t="inlineStr">
        <is>
          <t>0467_magmortar.json::magmortar-2::002</t>
        </is>
      </c>
      <c r="B1637" s="19" t="inlineStr">
        <is>
          <t>사용</t>
        </is>
      </c>
      <c r="C1637" s="18">
        <f>IF(OR(B1637&lt;&gt;AK1637,M1637&lt;&gt;L1637,O1637&lt;&gt;"",Q1637&lt;&gt;"",V1637&lt;&gt;1,Y1637&lt;&gt;"",AT1637&lt;&gt;""),"수정","원본")</f>
        <v/>
      </c>
      <c r="D1637" s="18" t="n">
        <v>467</v>
      </c>
      <c r="E1637" s="18" t="inlineStr">
        <is>
          <t>마그마번</t>
        </is>
      </c>
      <c r="F1637" s="18" t="inlineStr">
        <is>
          <t>magmortar</t>
        </is>
      </c>
      <c r="G1637" s="18" t="inlineStr">
        <is>
          <t>magmortar</t>
        </is>
      </c>
      <c r="H1637" s="18" t="inlineStr"/>
      <c r="I1637" s="18" t="n">
        <v>4</v>
      </c>
      <c r="J1637" s="18" t="n"/>
      <c r="K1637" s="18" t="n">
        <v>4</v>
      </c>
      <c r="L1637" s="18" t="inlineStr">
        <is>
          <t>cobbleventure:generation_4</t>
        </is>
      </c>
      <c r="M1637" s="19" t="inlineStr">
        <is>
          <t>cobbleventure:generation_4</t>
        </is>
      </c>
      <c r="N1637" s="18" t="inlineStr"/>
      <c r="O1637" s="19" t="inlineStr"/>
      <c r="P1637" s="18" t="inlineStr">
        <is>
          <t>#cobblemon:is_volcanic</t>
        </is>
      </c>
      <c r="Q1637" s="19" t="inlineStr"/>
      <c r="R1637" s="18">
        <f>IF(Q1637="",P1637,Q1637)</f>
        <v/>
      </c>
      <c r="S1637" s="18" t="inlineStr"/>
      <c r="T1637" s="18" t="inlineStr">
        <is>
          <t>common</t>
        </is>
      </c>
      <c r="U1637" s="20" t="n">
        <v>0.05</v>
      </c>
      <c r="V1637" s="21" t="n">
        <v>1</v>
      </c>
      <c r="W1637" s="20">
        <f>IF(OR(U1637="",V1637=""),U1637,U1637*V1637)</f>
        <v/>
      </c>
      <c r="X1637" s="18" t="inlineStr">
        <is>
          <t>45-54</t>
        </is>
      </c>
      <c r="Y1637" s="19" t="inlineStr"/>
      <c r="Z1637" s="18">
        <f>IF(Y1637="",X1637,Y1637)</f>
        <v/>
      </c>
      <c r="AA1637" s="18" t="inlineStr">
        <is>
          <t>grounded</t>
        </is>
      </c>
      <c r="AB1637" s="18" t="inlineStr"/>
      <c r="AC1637" s="18" t="inlineStr">
        <is>
          <t>비=False</t>
        </is>
      </c>
      <c r="AD1637" s="18" t="inlineStr"/>
      <c r="AE1637" s="18" t="inlineStr">
        <is>
          <t>sky 8-15</t>
        </is>
      </c>
      <c r="AF1637" s="18" t="inlineStr"/>
      <c r="AG1637" s="18" t="inlineStr"/>
      <c r="AH1637" s="18" t="inlineStr"/>
      <c r="AI1637" s="18" t="inlineStr"/>
      <c r="AJ1637" s="18" t="inlineStr">
        <is>
          <t>COBBLEVERSE 수정</t>
        </is>
      </c>
      <c r="AK1637" s="18" t="inlineStr">
        <is>
          <t>사용</t>
        </is>
      </c>
      <c r="AL1637" s="18" t="inlineStr">
        <is>
          <t>COBBLEVERSE 1.7.42 / DP v31</t>
        </is>
      </c>
      <c r="AM1637" s="18" t="inlineStr">
        <is>
          <t>data/cobblemon/spawn_pool_world/0467_magmortar.json</t>
        </is>
      </c>
      <c r="AN1637" s="18" t="inlineStr">
        <is>
          <t>magmortar-2</t>
        </is>
      </c>
      <c r="AO1637" s="18" t="inlineStr">
        <is>
          <t>pokemon</t>
        </is>
      </c>
      <c r="AP1637" s="18" t="inlineStr">
        <is>
          <t>natural</t>
        </is>
      </c>
      <c r="AQ1637" s="18" t="inlineStr">
        <is>
          <t>{"biomes":["#cobblemon:is_volcanic"],"isRaining":false,"maxSkyLight":15,"minSkyLight":8}</t>
        </is>
      </c>
      <c r="AR1637" s="18" t="inlineStr"/>
      <c r="AS1637" s="18" t="inlineStr"/>
      <c r="AT1637" s="19" t="inlineStr"/>
    </row>
    <row r="1638" ht="32" customHeight="1">
      <c r="A1638" s="18" t="inlineStr">
        <is>
          <t>0467_magmortar.json::magmortar-3::003</t>
        </is>
      </c>
      <c r="B1638" s="19" t="inlineStr">
        <is>
          <t>사용</t>
        </is>
      </c>
      <c r="C1638" s="18">
        <f>IF(OR(B1638&lt;&gt;AK1638,M1638&lt;&gt;L1638,O1638&lt;&gt;"",Q1638&lt;&gt;"",V1638&lt;&gt;1,Y1638&lt;&gt;"",AT1638&lt;&gt;""),"수정","원본")</f>
        <v/>
      </c>
      <c r="D1638" s="18" t="n">
        <v>467</v>
      </c>
      <c r="E1638" s="18" t="inlineStr">
        <is>
          <t>마그마번</t>
        </is>
      </c>
      <c r="F1638" s="18" t="inlineStr">
        <is>
          <t>magmortar</t>
        </is>
      </c>
      <c r="G1638" s="18" t="inlineStr">
        <is>
          <t>magmortar</t>
        </is>
      </c>
      <c r="H1638" s="18" t="inlineStr"/>
      <c r="I1638" s="18" t="n">
        <v>4</v>
      </c>
      <c r="J1638" s="18" t="n"/>
      <c r="K1638" s="18" t="n">
        <v>4</v>
      </c>
      <c r="L1638" s="18" t="inlineStr">
        <is>
          <t>cobbleventure:generation_4</t>
        </is>
      </c>
      <c r="M1638" s="19" t="inlineStr">
        <is>
          <t>cobbleventure:generation_4</t>
        </is>
      </c>
      <c r="N1638" s="18" t="inlineStr"/>
      <c r="O1638" s="19" t="inlineStr"/>
      <c r="P1638" s="18" t="inlineStr">
        <is>
          <t>#cobblemon:nether/is_basalt; #cobblemon:nether/is_wasteland</t>
        </is>
      </c>
      <c r="Q1638" s="19" t="inlineStr"/>
      <c r="R1638" s="18">
        <f>IF(Q1638="",P1638,Q1638)</f>
        <v/>
      </c>
      <c r="S1638" s="18" t="inlineStr"/>
      <c r="T1638" s="18" t="inlineStr">
        <is>
          <t>common</t>
        </is>
      </c>
      <c r="U1638" s="20" t="n">
        <v>0.05</v>
      </c>
      <c r="V1638" s="21" t="n">
        <v>1</v>
      </c>
      <c r="W1638" s="20">
        <f>IF(OR(U1638="",V1638=""),U1638,U1638*V1638)</f>
        <v/>
      </c>
      <c r="X1638" s="18" t="inlineStr">
        <is>
          <t>45-54</t>
        </is>
      </c>
      <c r="Y1638" s="19" t="inlineStr"/>
      <c r="Z1638" s="18">
        <f>IF(Y1638="",X1638,Y1638)</f>
        <v/>
      </c>
      <c r="AA1638" s="18" t="inlineStr">
        <is>
          <t>grounded</t>
        </is>
      </c>
      <c r="AB1638" s="18" t="inlineStr"/>
      <c r="AC1638" s="18" t="inlineStr"/>
      <c r="AD1638" s="18" t="inlineStr"/>
      <c r="AE1638" s="18" t="inlineStr"/>
      <c r="AF1638" s="18" t="inlineStr"/>
      <c r="AG1638" s="18" t="inlineStr"/>
      <c r="AH1638" s="18" t="inlineStr"/>
      <c r="AI1638" s="18" t="inlineStr">
        <is>
          <t>{"spawn":{"drops":{"amount":3,"entries":[{"item":"minecraft:blaze_powder","percentage":25.0},{"item":"cobblemon:magmarizer","percentage":10.0},{"item":"cobblemon:rawst_berry","percentage":10.0}]}}}</t>
        </is>
      </c>
      <c r="AJ1638" s="18" t="inlineStr">
        <is>
          <t>COBBLEVERSE 수정</t>
        </is>
      </c>
      <c r="AK1638" s="18" t="inlineStr">
        <is>
          <t>사용</t>
        </is>
      </c>
      <c r="AL1638" s="18" t="inlineStr">
        <is>
          <t>COBBLEVERSE 1.7.42 / DP v31</t>
        </is>
      </c>
      <c r="AM1638" s="18" t="inlineStr">
        <is>
          <t>data/cobblemon/spawn_pool_world/0467_magmortar.json</t>
        </is>
      </c>
      <c r="AN1638" s="18" t="inlineStr">
        <is>
          <t>magmortar-3</t>
        </is>
      </c>
      <c r="AO1638" s="18" t="inlineStr">
        <is>
          <t>pokemon</t>
        </is>
      </c>
      <c r="AP1638" s="18" t="inlineStr">
        <is>
          <t>natural</t>
        </is>
      </c>
      <c r="AQ1638" s="18" t="inlineStr">
        <is>
          <t>{"biomes":["#cobblemon:nether/is_basalt","#cobblemon:nether/is_wasteland"]}</t>
        </is>
      </c>
      <c r="AR1638" s="18" t="inlineStr"/>
      <c r="AS1638" s="18" t="inlineStr"/>
      <c r="AT1638" s="19" t="inlineStr"/>
    </row>
    <row r="1639" ht="32" customHeight="1">
      <c r="A1639" s="18" t="inlineStr">
        <is>
          <t>0468_togekiss.json::togekiss-1::001</t>
        </is>
      </c>
      <c r="B1639" s="19" t="inlineStr">
        <is>
          <t>사용</t>
        </is>
      </c>
      <c r="C1639" s="18">
        <f>IF(OR(B1639&lt;&gt;AK1639,M1639&lt;&gt;L1639,O1639&lt;&gt;"",Q1639&lt;&gt;"",V1639&lt;&gt;1,Y1639&lt;&gt;"",AT1639&lt;&gt;""),"수정","원본")</f>
        <v/>
      </c>
      <c r="D1639" s="18" t="n">
        <v>468</v>
      </c>
      <c r="E1639" s="18" t="inlineStr">
        <is>
          <t>토게키스</t>
        </is>
      </c>
      <c r="F1639" s="18" t="inlineStr">
        <is>
          <t>togekiss</t>
        </is>
      </c>
      <c r="G1639" s="18" t="inlineStr">
        <is>
          <t>togekiss</t>
        </is>
      </c>
      <c r="H1639" s="18" t="inlineStr"/>
      <c r="I1639" s="18" t="n">
        <v>4</v>
      </c>
      <c r="J1639" s="18" t="n"/>
      <c r="K1639" s="18" t="n">
        <v>4</v>
      </c>
      <c r="L1639" s="18" t="inlineStr">
        <is>
          <t>cobbleventure:generation_4</t>
        </is>
      </c>
      <c r="M1639" s="19" t="inlineStr">
        <is>
          <t>cobbleventure:generation_4</t>
        </is>
      </c>
      <c r="N1639" s="18" t="inlineStr"/>
      <c r="O1639" s="19" t="inlineStr"/>
      <c r="P1639" s="18" t="inlineStr">
        <is>
          <t>#cobblemon:is_floral; #cobblemon:is_magical; #cobblemon:is_sky</t>
        </is>
      </c>
      <c r="Q1639" s="19" t="inlineStr"/>
      <c r="R1639" s="18">
        <f>IF(Q1639="",P1639,Q1639)</f>
        <v/>
      </c>
      <c r="S1639" s="18" t="inlineStr">
        <is>
          <t>#cobblemon:is_plains; #cobblemon:is_spooky</t>
        </is>
      </c>
      <c r="T1639" s="18" t="inlineStr">
        <is>
          <t>rare</t>
        </is>
      </c>
      <c r="U1639" s="20" t="n">
        <v>0.125</v>
      </c>
      <c r="V1639" s="21" t="n">
        <v>1</v>
      </c>
      <c r="W1639" s="20">
        <f>IF(OR(U1639="",V1639=""),U1639,U1639*V1639)</f>
        <v/>
      </c>
      <c r="X1639" s="18" t="inlineStr">
        <is>
          <t>36-55</t>
        </is>
      </c>
      <c r="Y1639" s="19" t="inlineStr"/>
      <c r="Z1639" s="18">
        <f>IF(Y1639="",X1639,Y1639)</f>
        <v/>
      </c>
      <c r="AA1639" s="18" t="inlineStr">
        <is>
          <t>grounded</t>
        </is>
      </c>
      <c r="AB1639" s="18" t="inlineStr">
        <is>
          <t>day</t>
        </is>
      </c>
      <c r="AC1639" s="18" t="inlineStr">
        <is>
          <t>비=False</t>
        </is>
      </c>
      <c r="AD1639" s="18" t="inlineStr"/>
      <c r="AE1639" s="18" t="inlineStr">
        <is>
          <t>sky 8-15</t>
        </is>
      </c>
      <c r="AF1639" s="18" t="inlineStr"/>
      <c r="AG1639" s="18" t="inlineStr"/>
      <c r="AH1639" s="18" t="inlineStr"/>
      <c r="AI1639" s="18" t="inlineStr"/>
      <c r="AJ1639" s="18" t="inlineStr">
        <is>
          <t>Cobblemon 동일</t>
        </is>
      </c>
      <c r="AK1639" s="18" t="inlineStr">
        <is>
          <t>사용</t>
        </is>
      </c>
      <c r="AL1639" s="18" t="inlineStr">
        <is>
          <t>COBBLEVERSE 1.7.42 / DP v31</t>
        </is>
      </c>
      <c r="AM1639" s="18" t="inlineStr">
        <is>
          <t>data/cobblemon/spawn_pool_world/0468_togekiss.json</t>
        </is>
      </c>
      <c r="AN1639" s="18" t="inlineStr">
        <is>
          <t>togekiss-1</t>
        </is>
      </c>
      <c r="AO1639" s="18" t="inlineStr">
        <is>
          <t>pokemon</t>
        </is>
      </c>
      <c r="AP1639" s="18" t="inlineStr">
        <is>
          <t>natural</t>
        </is>
      </c>
      <c r="AQ1639" s="18" t="inlineStr">
        <is>
          <t>{"biomes":["#cobblemon:is_floral","#cobblemon:is_magical","#cobblemon:is_sky"],"isRaining":false,"maxSkyLight":15,"minSkyLight":8,"timeRange":"day"}</t>
        </is>
      </c>
      <c r="AR1639" s="18" t="inlineStr">
        <is>
          <t>{"biomes":["#cobblemon:is_plains","#cobblemon:is_spooky"]}</t>
        </is>
      </c>
      <c r="AS1639" s="18" t="inlineStr"/>
      <c r="AT1639" s="19" t="inlineStr"/>
    </row>
    <row r="1640" ht="32" customHeight="1">
      <c r="A1640" s="18" t="inlineStr">
        <is>
          <t>0468_togekiss.json::togekiss-2::002</t>
        </is>
      </c>
      <c r="B1640" s="19" t="inlineStr">
        <is>
          <t>사용</t>
        </is>
      </c>
      <c r="C1640" s="18">
        <f>IF(OR(B1640&lt;&gt;AK1640,M1640&lt;&gt;L1640,O1640&lt;&gt;"",Q1640&lt;&gt;"",V1640&lt;&gt;1,Y1640&lt;&gt;"",AT1640&lt;&gt;""),"수정","원본")</f>
        <v/>
      </c>
      <c r="D1640" s="18" t="n">
        <v>468</v>
      </c>
      <c r="E1640" s="18" t="inlineStr">
        <is>
          <t>토게키스</t>
        </is>
      </c>
      <c r="F1640" s="18" t="inlineStr">
        <is>
          <t>togekiss</t>
        </is>
      </c>
      <c r="G1640" s="18" t="inlineStr">
        <is>
          <t>togekiss</t>
        </is>
      </c>
      <c r="H1640" s="18" t="inlineStr"/>
      <c r="I1640" s="18" t="n">
        <v>4</v>
      </c>
      <c r="J1640" s="18" t="n"/>
      <c r="K1640" s="18" t="n">
        <v>4</v>
      </c>
      <c r="L1640" s="18" t="inlineStr">
        <is>
          <t>cobbleventure:generation_4</t>
        </is>
      </c>
      <c r="M1640" s="19" t="inlineStr">
        <is>
          <t>cobbleventure:generation_4</t>
        </is>
      </c>
      <c r="N1640" s="18" t="inlineStr"/>
      <c r="O1640" s="19" t="inlineStr"/>
      <c r="P1640" s="18" t="inlineStr">
        <is>
          <t>aether:skyroot_grove; aether:skyroot_meadow</t>
        </is>
      </c>
      <c r="Q1640" s="19" t="inlineStr"/>
      <c r="R1640" s="18">
        <f>IF(Q1640="",P1640,Q1640)</f>
        <v/>
      </c>
      <c r="S1640" s="18" t="inlineStr"/>
      <c r="T1640" s="18" t="inlineStr">
        <is>
          <t>rare</t>
        </is>
      </c>
      <c r="U1640" s="20" t="n">
        <v>0.125</v>
      </c>
      <c r="V1640" s="21" t="n">
        <v>1</v>
      </c>
      <c r="W1640" s="20">
        <f>IF(OR(U1640="",V1640=""),U1640,U1640*V1640)</f>
        <v/>
      </c>
      <c r="X1640" s="18" t="inlineStr">
        <is>
          <t>36-55</t>
        </is>
      </c>
      <c r="Y1640" s="19" t="inlineStr"/>
      <c r="Z1640" s="18">
        <f>IF(Y1640="",X1640,Y1640)</f>
        <v/>
      </c>
      <c r="AA1640" s="18" t="inlineStr">
        <is>
          <t>grounded</t>
        </is>
      </c>
      <c r="AB1640" s="18" t="inlineStr"/>
      <c r="AC1640" s="18" t="inlineStr"/>
      <c r="AD1640" s="18" t="inlineStr"/>
      <c r="AE1640" s="18" t="inlineStr">
        <is>
          <t>sky 8-15</t>
        </is>
      </c>
      <c r="AF1640" s="18" t="inlineStr"/>
      <c r="AG1640" s="18" t="inlineStr"/>
      <c r="AH1640" s="18" t="inlineStr"/>
      <c r="AI1640" s="18" t="inlineStr"/>
      <c r="AJ1640" s="18" t="inlineStr">
        <is>
          <t>Cobblemon 동일</t>
        </is>
      </c>
      <c r="AK1640" s="18" t="inlineStr">
        <is>
          <t>사용</t>
        </is>
      </c>
      <c r="AL1640" s="18" t="inlineStr">
        <is>
          <t>COBBLEVERSE 1.7.42 / DP v31</t>
        </is>
      </c>
      <c r="AM1640" s="18" t="inlineStr">
        <is>
          <t>data/cobblemon/spawn_pool_world/0468_togekiss.json</t>
        </is>
      </c>
      <c r="AN1640" s="18" t="inlineStr">
        <is>
          <t>togekiss-2</t>
        </is>
      </c>
      <c r="AO1640" s="18" t="inlineStr">
        <is>
          <t>pokemon</t>
        </is>
      </c>
      <c r="AP1640" s="18" t="inlineStr">
        <is>
          <t>natural</t>
        </is>
      </c>
      <c r="AQ1640" s="18" t="inlineStr">
        <is>
          <t>{"biomes":["aether:skyroot_grove","aether:skyroot_meadow"],"maxSkyLight":15,"minSkyLight":8}</t>
        </is>
      </c>
      <c r="AR1640" s="18" t="inlineStr"/>
      <c r="AS1640" s="18" t="inlineStr"/>
      <c r="AT1640" s="19" t="inlineStr"/>
    </row>
    <row r="1641" ht="32" customHeight="1">
      <c r="A1641" s="18" t="inlineStr">
        <is>
          <t>0468_togekiss.json::togekiss-3::003</t>
        </is>
      </c>
      <c r="B1641" s="19" t="inlineStr">
        <is>
          <t>사용</t>
        </is>
      </c>
      <c r="C1641" s="18">
        <f>IF(OR(B1641&lt;&gt;AK1641,M1641&lt;&gt;L1641,O1641&lt;&gt;"",Q1641&lt;&gt;"",V1641&lt;&gt;1,Y1641&lt;&gt;"",AT1641&lt;&gt;""),"수정","원본")</f>
        <v/>
      </c>
      <c r="D1641" s="18" t="n">
        <v>468</v>
      </c>
      <c r="E1641" s="18" t="inlineStr">
        <is>
          <t>토게키스</t>
        </is>
      </c>
      <c r="F1641" s="18" t="inlineStr">
        <is>
          <t>togekiss</t>
        </is>
      </c>
      <c r="G1641" s="18" t="inlineStr">
        <is>
          <t>togekiss</t>
        </is>
      </c>
      <c r="H1641" s="18" t="inlineStr"/>
      <c r="I1641" s="18" t="n">
        <v>4</v>
      </c>
      <c r="J1641" s="18" t="n"/>
      <c r="K1641" s="18" t="n">
        <v>4</v>
      </c>
      <c r="L1641" s="18" t="inlineStr">
        <is>
          <t>cobbleventure:generation_4</t>
        </is>
      </c>
      <c r="M1641" s="19" t="inlineStr">
        <is>
          <t>cobbleventure:generation_4</t>
        </is>
      </c>
      <c r="N1641" s="18" t="inlineStr"/>
      <c r="O1641" s="19" t="inlineStr"/>
      <c r="P1641" s="18" t="inlineStr">
        <is>
          <t>the_bumblezone:floral_meadow</t>
        </is>
      </c>
      <c r="Q1641" s="19" t="inlineStr"/>
      <c r="R1641" s="18">
        <f>IF(Q1641="",P1641,Q1641)</f>
        <v/>
      </c>
      <c r="S1641" s="18" t="inlineStr"/>
      <c r="T1641" s="18" t="inlineStr">
        <is>
          <t>rare</t>
        </is>
      </c>
      <c r="U1641" s="20" t="n">
        <v>0.125</v>
      </c>
      <c r="V1641" s="21" t="n">
        <v>1</v>
      </c>
      <c r="W1641" s="20">
        <f>IF(OR(U1641="",V1641=""),U1641,U1641*V1641)</f>
        <v/>
      </c>
      <c r="X1641" s="18" t="inlineStr">
        <is>
          <t>36-55</t>
        </is>
      </c>
      <c r="Y1641" s="19" t="inlineStr"/>
      <c r="Z1641" s="18">
        <f>IF(Y1641="",X1641,Y1641)</f>
        <v/>
      </c>
      <c r="AA1641" s="18" t="inlineStr">
        <is>
          <t>grounded</t>
        </is>
      </c>
      <c r="AB1641" s="18" t="inlineStr"/>
      <c r="AC1641" s="18" t="inlineStr"/>
      <c r="AD1641" s="18" t="inlineStr"/>
      <c r="AE1641" s="18" t="inlineStr"/>
      <c r="AF1641" s="18" t="inlineStr"/>
      <c r="AG1641" s="18" t="inlineStr"/>
      <c r="AH1641" s="18" t="inlineStr"/>
      <c r="AI1641" s="18" t="inlineStr"/>
      <c r="AJ1641" s="18" t="inlineStr">
        <is>
          <t>Cobblemon 동일</t>
        </is>
      </c>
      <c r="AK1641" s="18" t="inlineStr">
        <is>
          <t>사용</t>
        </is>
      </c>
      <c r="AL1641" s="18" t="inlineStr">
        <is>
          <t>COBBLEVERSE 1.7.42 / DP v31</t>
        </is>
      </c>
      <c r="AM1641" s="18" t="inlineStr">
        <is>
          <t>data/cobblemon/spawn_pool_world/0468_togekiss.json</t>
        </is>
      </c>
      <c r="AN1641" s="18" t="inlineStr">
        <is>
          <t>togekiss-3</t>
        </is>
      </c>
      <c r="AO1641" s="18" t="inlineStr">
        <is>
          <t>pokemon</t>
        </is>
      </c>
      <c r="AP1641" s="18" t="inlineStr"/>
      <c r="AQ1641" s="18" t="inlineStr">
        <is>
          <t>{"biomes":["the_bumblezone:floral_meadow"]}</t>
        </is>
      </c>
      <c r="AR1641" s="18" t="inlineStr">
        <is>
          <t>{"structures":["#the_bumblezone:sempiternal_sanctums"]}</t>
        </is>
      </c>
      <c r="AS1641" s="18" t="inlineStr"/>
      <c r="AT1641" s="19" t="inlineStr"/>
    </row>
    <row r="1642" ht="32" customHeight="1">
      <c r="A1642" s="18" t="inlineStr">
        <is>
          <t>0469_yanmega.json::yanmega-1::001</t>
        </is>
      </c>
      <c r="B1642" s="19" t="inlineStr">
        <is>
          <t>사용</t>
        </is>
      </c>
      <c r="C1642" s="18">
        <f>IF(OR(B1642&lt;&gt;AK1642,M1642&lt;&gt;L1642,O1642&lt;&gt;"",Q1642&lt;&gt;"",V1642&lt;&gt;1,Y1642&lt;&gt;"",AT1642&lt;&gt;""),"수정","원본")</f>
        <v/>
      </c>
      <c r="D1642" s="18" t="n">
        <v>469</v>
      </c>
      <c r="E1642" s="18" t="inlineStr">
        <is>
          <t>메가자리</t>
        </is>
      </c>
      <c r="F1642" s="18" t="inlineStr">
        <is>
          <t>yanmega</t>
        </is>
      </c>
      <c r="G1642" s="18" t="inlineStr">
        <is>
          <t>yanmega</t>
        </is>
      </c>
      <c r="H1642" s="18" t="inlineStr"/>
      <c r="I1642" s="18" t="n">
        <v>4</v>
      </c>
      <c r="J1642" s="18" t="n"/>
      <c r="K1642" s="18" t="n">
        <v>4</v>
      </c>
      <c r="L1642" s="18" t="inlineStr">
        <is>
          <t>cobbleventure:generation_4</t>
        </is>
      </c>
      <c r="M1642" s="19" t="inlineStr">
        <is>
          <t>cobbleventure:generation_4</t>
        </is>
      </c>
      <c r="N1642" s="18" t="inlineStr">
        <is>
          <t>region_02</t>
        </is>
      </c>
      <c r="O1642" s="19" t="inlineStr"/>
      <c r="P1642" s="18" t="inlineStr">
        <is>
          <t>#cobblemon:is_freshwater</t>
        </is>
      </c>
      <c r="Q1642" s="19" t="inlineStr"/>
      <c r="R1642" s="18">
        <f>IF(Q1642="",P1642,Q1642)</f>
        <v/>
      </c>
      <c r="S1642" s="18" t="inlineStr">
        <is>
          <t>#cobblemon:is_freezing</t>
        </is>
      </c>
      <c r="T1642" s="18" t="inlineStr">
        <is>
          <t>uncommon</t>
        </is>
      </c>
      <c r="U1642" s="20" t="n">
        <v>0.96</v>
      </c>
      <c r="V1642" s="21" t="n">
        <v>1</v>
      </c>
      <c r="W1642" s="20">
        <f>IF(OR(U1642="",V1642=""),U1642,U1642*V1642)</f>
        <v/>
      </c>
      <c r="X1642" s="18" t="inlineStr">
        <is>
          <t>33-52</t>
        </is>
      </c>
      <c r="Y1642" s="19" t="inlineStr"/>
      <c r="Z1642" s="18">
        <f>IF(Y1642="",X1642,Y1642)</f>
        <v/>
      </c>
      <c r="AA1642" s="18" t="inlineStr">
        <is>
          <t>surface</t>
        </is>
      </c>
      <c r="AB1642" s="18" t="inlineStr">
        <is>
          <t>day</t>
        </is>
      </c>
      <c r="AC1642" s="18" t="inlineStr">
        <is>
          <t>비=False</t>
        </is>
      </c>
      <c r="AD1642" s="18" t="inlineStr"/>
      <c r="AE1642" s="18" t="inlineStr">
        <is>
          <t>sky 8-15</t>
        </is>
      </c>
      <c r="AF1642" s="18" t="inlineStr"/>
      <c r="AG1642" s="18" t="inlineStr"/>
      <c r="AH1642" s="18" t="inlineStr"/>
      <c r="AI1642" s="18" t="inlineStr"/>
      <c r="AJ1642" s="18" t="inlineStr">
        <is>
          <t>Cobblemon 동일</t>
        </is>
      </c>
      <c r="AK1642" s="18" t="inlineStr">
        <is>
          <t>사용</t>
        </is>
      </c>
      <c r="AL1642" s="18" t="inlineStr">
        <is>
          <t>COBBLEVERSE 1.7.42 / DP v31</t>
        </is>
      </c>
      <c r="AM1642" s="18" t="inlineStr">
        <is>
          <t>data/cobblemon/spawn_pool_world/0469_yanmega.json</t>
        </is>
      </c>
      <c r="AN1642" s="18" t="inlineStr">
        <is>
          <t>yanmega-1</t>
        </is>
      </c>
      <c r="AO1642" s="18" t="inlineStr">
        <is>
          <t>pokemon</t>
        </is>
      </c>
      <c r="AP1642" s="18" t="inlineStr">
        <is>
          <t>water</t>
        </is>
      </c>
      <c r="AQ1642" s="18" t="inlineStr">
        <is>
          <t>{"biomes":["#cobblemon:is_freshwater"],"isRaining":false,"maxSkyLight":15,"minSkyLight":8,"timeRange":"day"}</t>
        </is>
      </c>
      <c r="AR1642" s="18" t="inlineStr">
        <is>
          <t>{"biomes":["#cobblemon:is_freezing"]}</t>
        </is>
      </c>
      <c r="AS1642" s="18" t="inlineStr"/>
      <c r="AT1642" s="19" t="inlineStr"/>
    </row>
    <row r="1643" ht="32" customHeight="1">
      <c r="A1643" s="18" t="inlineStr">
        <is>
          <t>0469_yanmega.json::yanmega-2::002</t>
        </is>
      </c>
      <c r="B1643" s="19" t="inlineStr">
        <is>
          <t>사용</t>
        </is>
      </c>
      <c r="C1643" s="18">
        <f>IF(OR(B1643&lt;&gt;AK1643,M1643&lt;&gt;L1643,O1643&lt;&gt;"",Q1643&lt;&gt;"",V1643&lt;&gt;1,Y1643&lt;&gt;"",AT1643&lt;&gt;""),"수정","원본")</f>
        <v/>
      </c>
      <c r="D1643" s="18" t="n">
        <v>469</v>
      </c>
      <c r="E1643" s="18" t="inlineStr">
        <is>
          <t>메가자리</t>
        </is>
      </c>
      <c r="F1643" s="18" t="inlineStr">
        <is>
          <t>yanmega</t>
        </is>
      </c>
      <c r="G1643" s="18" t="inlineStr">
        <is>
          <t>yanmega</t>
        </is>
      </c>
      <c r="H1643" s="18" t="inlineStr"/>
      <c r="I1643" s="18" t="n">
        <v>4</v>
      </c>
      <c r="J1643" s="18" t="n"/>
      <c r="K1643" s="18" t="n">
        <v>4</v>
      </c>
      <c r="L1643" s="18" t="inlineStr">
        <is>
          <t>cobbleventure:generation_4</t>
        </is>
      </c>
      <c r="M1643" s="19" t="inlineStr">
        <is>
          <t>cobbleventure:generation_4</t>
        </is>
      </c>
      <c r="N1643" s="18" t="inlineStr"/>
      <c r="O1643" s="19" t="inlineStr"/>
      <c r="P1643" s="18" t="inlineStr">
        <is>
          <t>#cobblemon:is_lush</t>
        </is>
      </c>
      <c r="Q1643" s="19" t="inlineStr"/>
      <c r="R1643" s="18">
        <f>IF(Q1643="",P1643,Q1643)</f>
        <v/>
      </c>
      <c r="S1643" s="18" t="inlineStr"/>
      <c r="T1643" s="18" t="inlineStr">
        <is>
          <t>uncommon</t>
        </is>
      </c>
      <c r="U1643" s="20" t="n">
        <v>0.32</v>
      </c>
      <c r="V1643" s="21" t="n">
        <v>1</v>
      </c>
      <c r="W1643" s="20">
        <f>IF(OR(U1643="",V1643=""),U1643,U1643*V1643)</f>
        <v/>
      </c>
      <c r="X1643" s="18" t="inlineStr">
        <is>
          <t>33-52</t>
        </is>
      </c>
      <c r="Y1643" s="19" t="inlineStr"/>
      <c r="Z1643" s="18">
        <f>IF(Y1643="",X1643,Y1643)</f>
        <v/>
      </c>
      <c r="AA1643" s="18" t="inlineStr">
        <is>
          <t>surface</t>
        </is>
      </c>
      <c r="AB1643" s="18" t="inlineStr"/>
      <c r="AC1643" s="18" t="inlineStr"/>
      <c r="AD1643" s="18" t="inlineStr"/>
      <c r="AE1643" s="18" t="inlineStr">
        <is>
          <t>sky 0-7</t>
        </is>
      </c>
      <c r="AF1643" s="18" t="inlineStr"/>
      <c r="AG1643" s="18" t="inlineStr"/>
      <c r="AH1643" s="18" t="inlineStr"/>
      <c r="AI1643" s="18" t="inlineStr"/>
      <c r="AJ1643" s="18" t="inlineStr">
        <is>
          <t>Cobblemon 동일</t>
        </is>
      </c>
      <c r="AK1643" s="18" t="inlineStr">
        <is>
          <t>사용</t>
        </is>
      </c>
      <c r="AL1643" s="18" t="inlineStr">
        <is>
          <t>COBBLEVERSE 1.7.42 / DP v31</t>
        </is>
      </c>
      <c r="AM1643" s="18" t="inlineStr">
        <is>
          <t>data/cobblemon/spawn_pool_world/0469_yanmega.json</t>
        </is>
      </c>
      <c r="AN1643" s="18" t="inlineStr">
        <is>
          <t>yanmega-2</t>
        </is>
      </c>
      <c r="AO1643" s="18" t="inlineStr">
        <is>
          <t>pokemon</t>
        </is>
      </c>
      <c r="AP1643" s="18" t="inlineStr">
        <is>
          <t>water</t>
        </is>
      </c>
      <c r="AQ1643" s="18" t="inlineStr">
        <is>
          <t>{"biomes":["#cobblemon:is_lush"],"maxSkyLight":7,"minSkyLight":0}</t>
        </is>
      </c>
      <c r="AR1643" s="18" t="inlineStr">
        <is>
          <t>{"maxY":9,"minY":-41,"structures":["cobblemon:shipwreck_coves/lush_shipwreck_cove"]}</t>
        </is>
      </c>
      <c r="AS1643" s="18" t="inlineStr"/>
      <c r="AT1643" s="19" t="inlineStr"/>
    </row>
    <row r="1644" ht="32" customHeight="1">
      <c r="A1644" s="18" t="inlineStr">
        <is>
          <t>0469_yanmega.json::yanmega-3::003</t>
        </is>
      </c>
      <c r="B1644" s="19" t="inlineStr">
        <is>
          <t>사용</t>
        </is>
      </c>
      <c r="C1644" s="18">
        <f>IF(OR(B1644&lt;&gt;AK1644,M1644&lt;&gt;L1644,O1644&lt;&gt;"",Q1644&lt;&gt;"",V1644&lt;&gt;1,Y1644&lt;&gt;"",AT1644&lt;&gt;""),"수정","원본")</f>
        <v/>
      </c>
      <c r="D1644" s="18" t="n">
        <v>469</v>
      </c>
      <c r="E1644" s="18" t="inlineStr">
        <is>
          <t>메가자리</t>
        </is>
      </c>
      <c r="F1644" s="18" t="inlineStr">
        <is>
          <t>yanmega</t>
        </is>
      </c>
      <c r="G1644" s="18" t="inlineStr">
        <is>
          <t>yanmega</t>
        </is>
      </c>
      <c r="H1644" s="18" t="inlineStr"/>
      <c r="I1644" s="18" t="n">
        <v>4</v>
      </c>
      <c r="J1644" s="18" t="n"/>
      <c r="K1644" s="18" t="n">
        <v>4</v>
      </c>
      <c r="L1644" s="18" t="inlineStr">
        <is>
          <t>cobbleventure:generation_4</t>
        </is>
      </c>
      <c r="M1644" s="19" t="inlineStr">
        <is>
          <t>cobbleventure:generation_4</t>
        </is>
      </c>
      <c r="N1644" s="18" t="inlineStr"/>
      <c r="O1644" s="19" t="inlineStr"/>
      <c r="P1644" s="18" t="inlineStr">
        <is>
          <t>#the_bumblezone:the_bumblezone</t>
        </is>
      </c>
      <c r="Q1644" s="19" t="inlineStr"/>
      <c r="R1644" s="18">
        <f>IF(Q1644="",P1644,Q1644)</f>
        <v/>
      </c>
      <c r="S1644" s="18" t="inlineStr"/>
      <c r="T1644" s="18" t="inlineStr">
        <is>
          <t>uncommon</t>
        </is>
      </c>
      <c r="U1644" s="20" t="n">
        <v>0.32</v>
      </c>
      <c r="V1644" s="21" t="n">
        <v>1</v>
      </c>
      <c r="W1644" s="20">
        <f>IF(OR(U1644="",V1644=""),U1644,U1644*V1644)</f>
        <v/>
      </c>
      <c r="X1644" s="18" t="inlineStr">
        <is>
          <t>33-52</t>
        </is>
      </c>
      <c r="Y1644" s="19" t="inlineStr"/>
      <c r="Z1644" s="18">
        <f>IF(Y1644="",X1644,Y1644)</f>
        <v/>
      </c>
      <c r="AA1644" s="18" t="inlineStr">
        <is>
          <t>surface</t>
        </is>
      </c>
      <c r="AB1644" s="18" t="inlineStr"/>
      <c r="AC1644" s="18" t="inlineStr"/>
      <c r="AD1644" s="18" t="inlineStr"/>
      <c r="AE1644" s="18" t="inlineStr"/>
      <c r="AF1644" s="18" t="inlineStr"/>
      <c r="AG1644" s="18" t="inlineStr"/>
      <c r="AH1644" s="18" t="inlineStr"/>
      <c r="AI1644" s="18" t="inlineStr"/>
      <c r="AJ1644" s="18" t="inlineStr">
        <is>
          <t>Cobblemon 동일</t>
        </is>
      </c>
      <c r="AK1644" s="18" t="inlineStr">
        <is>
          <t>사용</t>
        </is>
      </c>
      <c r="AL1644" s="18" t="inlineStr">
        <is>
          <t>COBBLEVERSE 1.7.42 / DP v31</t>
        </is>
      </c>
      <c r="AM1644" s="18" t="inlineStr">
        <is>
          <t>data/cobblemon/spawn_pool_world/0469_yanmega.json</t>
        </is>
      </c>
      <c r="AN1644" s="18" t="inlineStr">
        <is>
          <t>yanmega-3</t>
        </is>
      </c>
      <c r="AO1644" s="18" t="inlineStr">
        <is>
          <t>pokemon</t>
        </is>
      </c>
      <c r="AP1644" s="18" t="inlineStr">
        <is>
          <t>water</t>
        </is>
      </c>
      <c r="AQ1644" s="18" t="inlineStr">
        <is>
          <t>{"biomes":["#the_bumblezone:the_bumblezone"]}</t>
        </is>
      </c>
      <c r="AR1644" s="18" t="inlineStr">
        <is>
          <t>{"structures":["#the_bumblezone:sempiternal_sanctums"]}</t>
        </is>
      </c>
      <c r="AS1644" s="18" t="inlineStr"/>
      <c r="AT1644" s="19" t="inlineStr"/>
    </row>
    <row r="1645" ht="32" customHeight="1">
      <c r="A1645" s="18" t="inlineStr">
        <is>
          <t>0469_yanmega.json::yanmega-4::004</t>
        </is>
      </c>
      <c r="B1645" s="19" t="inlineStr">
        <is>
          <t>사용</t>
        </is>
      </c>
      <c r="C1645" s="18">
        <f>IF(OR(B1645&lt;&gt;AK1645,M1645&lt;&gt;L1645,O1645&lt;&gt;"",Q1645&lt;&gt;"",V1645&lt;&gt;1,Y1645&lt;&gt;"",AT1645&lt;&gt;""),"수정","원본")</f>
        <v/>
      </c>
      <c r="D1645" s="18" t="n">
        <v>469</v>
      </c>
      <c r="E1645" s="18" t="inlineStr">
        <is>
          <t>메가자리</t>
        </is>
      </c>
      <c r="F1645" s="18" t="inlineStr">
        <is>
          <t>yanmega</t>
        </is>
      </c>
      <c r="G1645" s="18" t="inlineStr">
        <is>
          <t>yanmega</t>
        </is>
      </c>
      <c r="H1645" s="18" t="inlineStr"/>
      <c r="I1645" s="18" t="n">
        <v>4</v>
      </c>
      <c r="J1645" s="18" t="n"/>
      <c r="K1645" s="18" t="n">
        <v>4</v>
      </c>
      <c r="L1645" s="18" t="inlineStr">
        <is>
          <t>cobbleventure:generation_4</t>
        </is>
      </c>
      <c r="M1645" s="19" t="inlineStr">
        <is>
          <t>cobbleventure:generation_4</t>
        </is>
      </c>
      <c r="N1645" s="18" t="inlineStr">
        <is>
          <t>region_01; region_02</t>
        </is>
      </c>
      <c r="O1645" s="19" t="inlineStr"/>
      <c r="P1645" s="18" t="inlineStr">
        <is>
          <t>#cobblemon:is_overworld</t>
        </is>
      </c>
      <c r="Q1645" s="19" t="inlineStr"/>
      <c r="R1645" s="18">
        <f>IF(Q1645="",P1645,Q1645)</f>
        <v/>
      </c>
      <c r="S1645" s="18" t="inlineStr">
        <is>
          <t>#cobblemon:is_lush</t>
        </is>
      </c>
      <c r="T1645" s="18" t="inlineStr">
        <is>
          <t>uncommon</t>
        </is>
      </c>
      <c r="U1645" s="20" t="n">
        <v>0.32</v>
      </c>
      <c r="V1645" s="21" t="n">
        <v>1</v>
      </c>
      <c r="W1645" s="20">
        <f>IF(OR(U1645="",V1645=""),U1645,U1645*V1645)</f>
        <v/>
      </c>
      <c r="X1645" s="18" t="inlineStr">
        <is>
          <t>33-52</t>
        </is>
      </c>
      <c r="Y1645" s="19" t="inlineStr"/>
      <c r="Z1645" s="18">
        <f>IF(Y1645="",X1645,Y1645)</f>
        <v/>
      </c>
      <c r="AA1645" s="18" t="inlineStr">
        <is>
          <t>surface</t>
        </is>
      </c>
      <c r="AB1645" s="18" t="inlineStr"/>
      <c r="AC1645" s="18" t="inlineStr"/>
      <c r="AD1645" s="18" t="inlineStr">
        <is>
          <t>minY=-41, maxY=9</t>
        </is>
      </c>
      <c r="AE1645" s="18" t="inlineStr">
        <is>
          <t>sky 0-7</t>
        </is>
      </c>
      <c r="AF1645" s="18" t="inlineStr"/>
      <c r="AG1645" s="18" t="inlineStr">
        <is>
          <t>cobblemon:shipwreck_coves/lush_shipwreck_cove</t>
        </is>
      </c>
      <c r="AH1645" s="18" t="inlineStr"/>
      <c r="AI1645" s="18" t="inlineStr"/>
      <c r="AJ1645" s="18" t="inlineStr">
        <is>
          <t>Cobblemon 동일</t>
        </is>
      </c>
      <c r="AK1645" s="18" t="inlineStr">
        <is>
          <t>사용</t>
        </is>
      </c>
      <c r="AL1645" s="18" t="inlineStr">
        <is>
          <t>COBBLEVERSE 1.7.42 / DP v31</t>
        </is>
      </c>
      <c r="AM1645" s="18" t="inlineStr">
        <is>
          <t>data/cobblemon/spawn_pool_world/0469_yanmega.json</t>
        </is>
      </c>
      <c r="AN1645" s="18" t="inlineStr">
        <is>
          <t>yanmega-4</t>
        </is>
      </c>
      <c r="AO1645" s="18" t="inlineStr">
        <is>
          <t>pokemon</t>
        </is>
      </c>
      <c r="AP1645" s="18" t="inlineStr">
        <is>
          <t>water</t>
        </is>
      </c>
      <c r="AQ1645" s="18" t="inlineStr">
        <is>
          <t>{"biomes":["#cobblemon:is_overworld"],"maxSkyLight":7,"maxY":9,"minSkyLight":0,"minY":-41,"structures":["cobblemon:shipwreck_coves/lush_shipwreck_cove"]}</t>
        </is>
      </c>
      <c r="AR1645" s="18" t="inlineStr">
        <is>
          <t>{"biomes":["#cobblemon:is_lush"]}</t>
        </is>
      </c>
      <c r="AS1645" s="18" t="inlineStr"/>
      <c r="AT1645" s="19" t="inlineStr"/>
    </row>
    <row r="1646" ht="32" customHeight="1">
      <c r="A1646" s="18" t="inlineStr">
        <is>
          <t>0469_yanmega.json::yanmega-5::005</t>
        </is>
      </c>
      <c r="B1646" s="19" t="inlineStr">
        <is>
          <t>사용</t>
        </is>
      </c>
      <c r="C1646" s="18">
        <f>IF(OR(B1646&lt;&gt;AK1646,M1646&lt;&gt;L1646,O1646&lt;&gt;"",Q1646&lt;&gt;"",V1646&lt;&gt;1,Y1646&lt;&gt;"",AT1646&lt;&gt;""),"수정","원본")</f>
        <v/>
      </c>
      <c r="D1646" s="18" t="n">
        <v>469</v>
      </c>
      <c r="E1646" s="18" t="inlineStr">
        <is>
          <t>메가자리</t>
        </is>
      </c>
      <c r="F1646" s="18" t="inlineStr">
        <is>
          <t>yanmega</t>
        </is>
      </c>
      <c r="G1646" s="18" t="inlineStr">
        <is>
          <t>yanmega</t>
        </is>
      </c>
      <c r="H1646" s="18" t="inlineStr"/>
      <c r="I1646" s="18" t="n">
        <v>4</v>
      </c>
      <c r="J1646" s="18" t="n"/>
      <c r="K1646" s="18" t="n">
        <v>4</v>
      </c>
      <c r="L1646" s="18" t="inlineStr">
        <is>
          <t>cobbleventure:generation_4</t>
        </is>
      </c>
      <c r="M1646" s="19" t="inlineStr">
        <is>
          <t>cobbleventure:generation_4</t>
        </is>
      </c>
      <c r="N1646" s="18" t="inlineStr"/>
      <c r="O1646" s="19" t="inlineStr"/>
      <c r="P1646" s="18" t="inlineStr">
        <is>
          <t>#aether:is_aether</t>
        </is>
      </c>
      <c r="Q1646" s="19" t="inlineStr"/>
      <c r="R1646" s="18">
        <f>IF(Q1646="",P1646,Q1646)</f>
        <v/>
      </c>
      <c r="S1646" s="18" t="inlineStr"/>
      <c r="T1646" s="18" t="inlineStr">
        <is>
          <t>uncommon</t>
        </is>
      </c>
      <c r="U1646" s="20" t="n">
        <v>0.96</v>
      </c>
      <c r="V1646" s="21" t="n">
        <v>1</v>
      </c>
      <c r="W1646" s="20">
        <f>IF(OR(U1646="",V1646=""),U1646,U1646*V1646)</f>
        <v/>
      </c>
      <c r="X1646" s="18" t="inlineStr">
        <is>
          <t>33-52</t>
        </is>
      </c>
      <c r="Y1646" s="19" t="inlineStr"/>
      <c r="Z1646" s="18">
        <f>IF(Y1646="",X1646,Y1646)</f>
        <v/>
      </c>
      <c r="AA1646" s="18" t="inlineStr">
        <is>
          <t>surface</t>
        </is>
      </c>
      <c r="AB1646" s="18" t="inlineStr"/>
      <c r="AC1646" s="18" t="inlineStr"/>
      <c r="AD1646" s="18" t="inlineStr"/>
      <c r="AE1646" s="18" t="inlineStr">
        <is>
          <t>sky 8-15</t>
        </is>
      </c>
      <c r="AF1646" s="18" t="inlineStr"/>
      <c r="AG1646" s="18" t="inlineStr"/>
      <c r="AH1646" s="18" t="inlineStr"/>
      <c r="AI1646" s="18" t="inlineStr"/>
      <c r="AJ1646" s="18" t="inlineStr">
        <is>
          <t>Cobblemon 동일</t>
        </is>
      </c>
      <c r="AK1646" s="18" t="inlineStr">
        <is>
          <t>사용</t>
        </is>
      </c>
      <c r="AL1646" s="18" t="inlineStr">
        <is>
          <t>COBBLEVERSE 1.7.42 / DP v31</t>
        </is>
      </c>
      <c r="AM1646" s="18" t="inlineStr">
        <is>
          <t>data/cobblemon/spawn_pool_world/0469_yanmega.json</t>
        </is>
      </c>
      <c r="AN1646" s="18" t="inlineStr">
        <is>
          <t>yanmega-5</t>
        </is>
      </c>
      <c r="AO1646" s="18" t="inlineStr">
        <is>
          <t>pokemon</t>
        </is>
      </c>
      <c r="AP1646" s="18" t="inlineStr">
        <is>
          <t>water</t>
        </is>
      </c>
      <c r="AQ1646" s="18" t="inlineStr">
        <is>
          <t>{"biomes":["#aether:is_aether"],"maxSkyLight":15,"minSkyLight":8}</t>
        </is>
      </c>
      <c r="AR1646" s="18" t="inlineStr"/>
      <c r="AS1646" s="18" t="inlineStr"/>
      <c r="AT1646" s="19" t="inlineStr"/>
    </row>
    <row r="1647" ht="32" customHeight="1">
      <c r="A1647" s="18" t="inlineStr">
        <is>
          <t>0470_leafeon.json::leafeon-1::001</t>
        </is>
      </c>
      <c r="B1647" s="19" t="inlineStr">
        <is>
          <t>사용</t>
        </is>
      </c>
      <c r="C1647" s="18">
        <f>IF(OR(B1647&lt;&gt;AK1647,M1647&lt;&gt;L1647,O1647&lt;&gt;"",Q1647&lt;&gt;"",V1647&lt;&gt;1,Y1647&lt;&gt;"",AT1647&lt;&gt;""),"수정","원본")</f>
        <v/>
      </c>
      <c r="D1647" s="18" t="n">
        <v>470</v>
      </c>
      <c r="E1647" s="18" t="inlineStr">
        <is>
          <t>리피아</t>
        </is>
      </c>
      <c r="F1647" s="18" t="inlineStr">
        <is>
          <t>leafeon</t>
        </is>
      </c>
      <c r="G1647" s="18" t="inlineStr">
        <is>
          <t>leafeon</t>
        </is>
      </c>
      <c r="H1647" s="18" t="inlineStr"/>
      <c r="I1647" s="18" t="n">
        <v>4</v>
      </c>
      <c r="J1647" s="18" t="n"/>
      <c r="K1647" s="18" t="n">
        <v>4</v>
      </c>
      <c r="L1647" s="18" t="inlineStr">
        <is>
          <t>cobbleventure:generation_4</t>
        </is>
      </c>
      <c r="M1647" s="19" t="inlineStr">
        <is>
          <t>cobbleventure:generation_4</t>
        </is>
      </c>
      <c r="N1647" s="18" t="inlineStr">
        <is>
          <t>region_01</t>
        </is>
      </c>
      <c r="O1647" s="19" t="inlineStr"/>
      <c r="P1647" s="18" t="inlineStr">
        <is>
          <t>#cobblemon:is_forest; #cobblemon:is_jungle; aether:skyroot_forest; aether:skyroot_woodland</t>
        </is>
      </c>
      <c r="Q1647" s="19" t="inlineStr"/>
      <c r="R1647" s="18">
        <f>IF(Q1647="",P1647,Q1647)</f>
        <v/>
      </c>
      <c r="S1647" s="18" t="inlineStr">
        <is>
          <t>#cobblemon:is_freezing; #cobblemon:is_spooky</t>
        </is>
      </c>
      <c r="T1647" s="18" t="inlineStr">
        <is>
          <t>ultra-rare</t>
        </is>
      </c>
      <c r="U1647" s="20" t="n">
        <v>1.2</v>
      </c>
      <c r="V1647" s="21" t="n">
        <v>1</v>
      </c>
      <c r="W1647" s="20">
        <f>IF(OR(U1647="",V1647=""),U1647,U1647*V1647)</f>
        <v/>
      </c>
      <c r="X1647" s="18" t="inlineStr">
        <is>
          <t>28-53</t>
        </is>
      </c>
      <c r="Y1647" s="19" t="inlineStr"/>
      <c r="Z1647" s="18">
        <f>IF(Y1647="",X1647,Y1647)</f>
        <v/>
      </c>
      <c r="AA1647" s="18" t="inlineStr">
        <is>
          <t>grounded</t>
        </is>
      </c>
      <c r="AB1647" s="18" t="inlineStr"/>
      <c r="AC1647" s="18" t="inlineStr"/>
      <c r="AD1647" s="18" t="inlineStr"/>
      <c r="AE1647" s="18" t="inlineStr">
        <is>
          <t>sky 8-15</t>
        </is>
      </c>
      <c r="AF1647" s="18" t="inlineStr"/>
      <c r="AG1647" s="18" t="inlineStr"/>
      <c r="AH1647" s="18" t="inlineStr"/>
      <c r="AI1647" s="18" t="inlineStr"/>
      <c r="AJ1647" s="18" t="inlineStr">
        <is>
          <t>Cobblemon 동일</t>
        </is>
      </c>
      <c r="AK1647" s="18" t="inlineStr">
        <is>
          <t>사용</t>
        </is>
      </c>
      <c r="AL1647" s="18" t="inlineStr">
        <is>
          <t>COBBLEVERSE 1.7.42 / DP v31</t>
        </is>
      </c>
      <c r="AM1647" s="18" t="inlineStr">
        <is>
          <t>data/cobblemon/spawn_pool_world/0470_leafeon.json</t>
        </is>
      </c>
      <c r="AN1647" s="18" t="inlineStr">
        <is>
          <t>leafeon-1</t>
        </is>
      </c>
      <c r="AO1647" s="18" t="inlineStr">
        <is>
          <t>pokemon</t>
        </is>
      </c>
      <c r="AP1647" s="18" t="inlineStr">
        <is>
          <t>natural</t>
        </is>
      </c>
      <c r="AQ1647" s="18" t="inlineStr">
        <is>
          <t>{"biomes":["#cobblemon:is_forest","#cobblemon:is_jungle","aether:skyroot_forest","aether:skyroot_woodland"],"maxSkyLight":15,"minSkyLight":8}</t>
        </is>
      </c>
      <c r="AR1647" s="18" t="inlineStr">
        <is>
          <t>{"biomes":["#cobblemon:is_freezing","#cobblemon:is_spooky"]}</t>
        </is>
      </c>
      <c r="AS1647" s="18" t="inlineStr"/>
      <c r="AT1647" s="19" t="inlineStr"/>
    </row>
    <row r="1648" ht="32" customHeight="1">
      <c r="A1648" s="18" t="inlineStr">
        <is>
          <t>0470_leafeon.json::leafeon-2::002</t>
        </is>
      </c>
      <c r="B1648" s="19" t="inlineStr">
        <is>
          <t>사용</t>
        </is>
      </c>
      <c r="C1648" s="18">
        <f>IF(OR(B1648&lt;&gt;AK1648,M1648&lt;&gt;L1648,O1648&lt;&gt;"",Q1648&lt;&gt;"",V1648&lt;&gt;1,Y1648&lt;&gt;"",AT1648&lt;&gt;""),"수정","원본")</f>
        <v/>
      </c>
      <c r="D1648" s="18" t="n">
        <v>470</v>
      </c>
      <c r="E1648" s="18" t="inlineStr">
        <is>
          <t>리피아</t>
        </is>
      </c>
      <c r="F1648" s="18" t="inlineStr">
        <is>
          <t>leafeon</t>
        </is>
      </c>
      <c r="G1648" s="18" t="inlineStr">
        <is>
          <t>leafeon</t>
        </is>
      </c>
      <c r="H1648" s="18" t="inlineStr"/>
      <c r="I1648" s="18" t="n">
        <v>4</v>
      </c>
      <c r="J1648" s="18" t="n"/>
      <c r="K1648" s="18" t="n">
        <v>4</v>
      </c>
      <c r="L1648" s="18" t="inlineStr">
        <is>
          <t>cobbleventure:generation_4</t>
        </is>
      </c>
      <c r="M1648" s="19" t="inlineStr">
        <is>
          <t>cobbleventure:generation_4</t>
        </is>
      </c>
      <c r="N1648" s="18" t="inlineStr">
        <is>
          <t>region_01; region_02</t>
        </is>
      </c>
      <c r="O1648" s="19" t="inlineStr"/>
      <c r="P1648" s="18" t="inlineStr">
        <is>
          <t>#cobblemon:is_overworld</t>
        </is>
      </c>
      <c r="Q1648" s="19" t="inlineStr"/>
      <c r="R1648" s="18">
        <f>IF(Q1648="",P1648,Q1648)</f>
        <v/>
      </c>
      <c r="S1648" s="18" t="inlineStr"/>
      <c r="T1648" s="18" t="inlineStr">
        <is>
          <t>uncommon</t>
        </is>
      </c>
      <c r="U1648" s="20" t="n">
        <v>0.025</v>
      </c>
      <c r="V1648" s="21" t="n">
        <v>1</v>
      </c>
      <c r="W1648" s="20">
        <f>IF(OR(U1648="",V1648=""),U1648,U1648*V1648)</f>
        <v/>
      </c>
      <c r="X1648" s="18" t="inlineStr">
        <is>
          <t>28-53</t>
        </is>
      </c>
      <c r="Y1648" s="19" t="inlineStr"/>
      <c r="Z1648" s="18">
        <f>IF(Y1648="",X1648,Y1648)</f>
        <v/>
      </c>
      <c r="AA1648" s="18" t="inlineStr">
        <is>
          <t>grounded</t>
        </is>
      </c>
      <c r="AB1648" s="18" t="inlineStr"/>
      <c r="AC1648" s="18" t="inlineStr"/>
      <c r="AD1648" s="18" t="inlineStr"/>
      <c r="AE1648" s="18" t="inlineStr">
        <is>
          <t>sky 8-15</t>
        </is>
      </c>
      <c r="AF1648" s="18" t="inlineStr"/>
      <c r="AG1648" s="18" t="inlineStr"/>
      <c r="AH1648" s="18" t="inlineStr"/>
      <c r="AI1648" s="18" t="inlineStr"/>
      <c r="AJ1648" s="18" t="inlineStr">
        <is>
          <t>Cobblemon 동일</t>
        </is>
      </c>
      <c r="AK1648" s="18" t="inlineStr">
        <is>
          <t>사용</t>
        </is>
      </c>
      <c r="AL1648" s="18" t="inlineStr">
        <is>
          <t>COBBLEVERSE 1.7.42 / DP v31</t>
        </is>
      </c>
      <c r="AM1648" s="18" t="inlineStr">
        <is>
          <t>data/cobblemon/spawn_pool_world/0470_leafeon.json</t>
        </is>
      </c>
      <c r="AN1648" s="18" t="inlineStr">
        <is>
          <t>leafeon-2</t>
        </is>
      </c>
      <c r="AO1648" s="18" t="inlineStr">
        <is>
          <t>pokemon</t>
        </is>
      </c>
      <c r="AP1648" s="18" t="inlineStr">
        <is>
          <t>natural; urban</t>
        </is>
      </c>
      <c r="AQ1648" s="18" t="inlineStr">
        <is>
          <t>{"biomes":["#cobblemon:is_overworld"],"maxSkyLight":15,"minSkyLight":8}</t>
        </is>
      </c>
      <c r="AR1648" s="18" t="inlineStr"/>
      <c r="AS1648" s="18" t="inlineStr"/>
      <c r="AT1648" s="19" t="inlineStr"/>
    </row>
    <row r="1649" ht="32" customHeight="1">
      <c r="A1649" s="18" t="inlineStr">
        <is>
          <t>0470_leafeon.json::leafeon-3::003</t>
        </is>
      </c>
      <c r="B1649" s="19" t="inlineStr">
        <is>
          <t>사용</t>
        </is>
      </c>
      <c r="C1649" s="18">
        <f>IF(OR(B1649&lt;&gt;AK1649,M1649&lt;&gt;L1649,O1649&lt;&gt;"",Q1649&lt;&gt;"",V1649&lt;&gt;1,Y1649&lt;&gt;"",AT1649&lt;&gt;""),"수정","원본")</f>
        <v/>
      </c>
      <c r="D1649" s="18" t="n">
        <v>470</v>
      </c>
      <c r="E1649" s="18" t="inlineStr">
        <is>
          <t>리피아</t>
        </is>
      </c>
      <c r="F1649" s="18" t="inlineStr">
        <is>
          <t>leafeon</t>
        </is>
      </c>
      <c r="G1649" s="18" t="inlineStr">
        <is>
          <t>leafeon</t>
        </is>
      </c>
      <c r="H1649" s="18" t="inlineStr"/>
      <c r="I1649" s="18" t="n">
        <v>4</v>
      </c>
      <c r="J1649" s="18" t="n"/>
      <c r="K1649" s="18" t="n">
        <v>4</v>
      </c>
      <c r="L1649" s="18" t="inlineStr">
        <is>
          <t>cobbleventure:generation_4</t>
        </is>
      </c>
      <c r="M1649" s="19" t="inlineStr">
        <is>
          <t>cobbleventure:generation_4</t>
        </is>
      </c>
      <c r="N1649" s="18" t="inlineStr">
        <is>
          <t>region_01; region_02</t>
        </is>
      </c>
      <c r="O1649" s="19" t="inlineStr"/>
      <c r="P1649" s="18" t="inlineStr">
        <is>
          <t>#cobblemon:is_overworld</t>
        </is>
      </c>
      <c r="Q1649" s="19" t="inlineStr"/>
      <c r="R1649" s="18">
        <f>IF(Q1649="",P1649,Q1649)</f>
        <v/>
      </c>
      <c r="S1649" s="18" t="inlineStr"/>
      <c r="T1649" s="18" t="inlineStr">
        <is>
          <t>uncommon</t>
        </is>
      </c>
      <c r="U1649" s="20" t="n">
        <v>0.025</v>
      </c>
      <c r="V1649" s="21" t="n">
        <v>1</v>
      </c>
      <c r="W1649" s="20">
        <f>IF(OR(U1649="",V1649=""),U1649,U1649*V1649)</f>
        <v/>
      </c>
      <c r="X1649" s="18" t="inlineStr">
        <is>
          <t>28-53</t>
        </is>
      </c>
      <c r="Y1649" s="19" t="inlineStr"/>
      <c r="Z1649" s="18">
        <f>IF(Y1649="",X1649,Y1649)</f>
        <v/>
      </c>
      <c r="AA1649" s="18" t="inlineStr">
        <is>
          <t>grounded</t>
        </is>
      </c>
      <c r="AB1649" s="18" t="inlineStr"/>
      <c r="AC1649" s="18" t="inlineStr"/>
      <c r="AD1649" s="18" t="inlineStr"/>
      <c r="AE1649" s="18" t="inlineStr">
        <is>
          <t>sky 8-15</t>
        </is>
      </c>
      <c r="AF1649" s="18" t="inlineStr"/>
      <c r="AG1649" s="18" t="inlineStr">
        <is>
          <t>#minecraft:village</t>
        </is>
      </c>
      <c r="AH1649" s="18" t="inlineStr"/>
      <c r="AI1649" s="18" t="inlineStr"/>
      <c r="AJ1649" s="18" t="inlineStr">
        <is>
          <t>Cobblemon 동일</t>
        </is>
      </c>
      <c r="AK1649" s="18" t="inlineStr">
        <is>
          <t>사용</t>
        </is>
      </c>
      <c r="AL1649" s="18" t="inlineStr">
        <is>
          <t>COBBLEVERSE 1.7.42 / DP v31</t>
        </is>
      </c>
      <c r="AM1649" s="18" t="inlineStr">
        <is>
          <t>data/cobblemon/spawn_pool_world/0470_leafeon.json</t>
        </is>
      </c>
      <c r="AN1649" s="18" t="inlineStr">
        <is>
          <t>leafeon-3</t>
        </is>
      </c>
      <c r="AO1649" s="18" t="inlineStr">
        <is>
          <t>pokemon</t>
        </is>
      </c>
      <c r="AP1649" s="18" t="inlineStr">
        <is>
          <t>natural</t>
        </is>
      </c>
      <c r="AQ1649" s="18" t="inlineStr">
        <is>
          <t>{"biomes":["#cobblemon:is_overworld"],"maxSkyLight":15,"minSkyLight":8,"structures":["#minecraft:village"]}</t>
        </is>
      </c>
      <c r="AR1649" s="18" t="inlineStr"/>
      <c r="AS1649" s="18" t="inlineStr"/>
      <c r="AT1649" s="19" t="inlineStr"/>
    </row>
    <row r="1650" ht="32" customHeight="1">
      <c r="A1650" s="18" t="inlineStr">
        <is>
          <t>0470_leafeon.json::leafeon-4::004</t>
        </is>
      </c>
      <c r="B1650" s="19" t="inlineStr">
        <is>
          <t>사용</t>
        </is>
      </c>
      <c r="C1650" s="18">
        <f>IF(OR(B1650&lt;&gt;AK1650,M1650&lt;&gt;L1650,O1650&lt;&gt;"",Q1650&lt;&gt;"",V1650&lt;&gt;1,Y1650&lt;&gt;"",AT1650&lt;&gt;""),"수정","원본")</f>
        <v/>
      </c>
      <c r="D1650" s="18" t="n">
        <v>470</v>
      </c>
      <c r="E1650" s="18" t="inlineStr">
        <is>
          <t>리피아</t>
        </is>
      </c>
      <c r="F1650" s="18" t="inlineStr">
        <is>
          <t>leafeon</t>
        </is>
      </c>
      <c r="G1650" s="18" t="inlineStr">
        <is>
          <t>leafeon</t>
        </is>
      </c>
      <c r="H1650" s="18" t="inlineStr"/>
      <c r="I1650" s="18" t="n">
        <v>4</v>
      </c>
      <c r="J1650" s="18" t="n"/>
      <c r="K1650" s="18" t="n">
        <v>4</v>
      </c>
      <c r="L1650" s="18" t="inlineStr">
        <is>
          <t>cobbleventure:generation_4</t>
        </is>
      </c>
      <c r="M1650" s="19" t="inlineStr">
        <is>
          <t>cobbleventure:generation_4</t>
        </is>
      </c>
      <c r="N1650" s="18" t="inlineStr">
        <is>
          <t>region_01; region_02</t>
        </is>
      </c>
      <c r="O1650" s="19" t="inlineStr"/>
      <c r="P1650" s="18" t="inlineStr">
        <is>
          <t>#cobblemon:is_overworld</t>
        </is>
      </c>
      <c r="Q1650" s="19" t="inlineStr"/>
      <c r="R1650" s="18">
        <f>IF(Q1650="",P1650,Q1650)</f>
        <v/>
      </c>
      <c r="S1650" s="18" t="inlineStr"/>
      <c r="T1650" s="18" t="inlineStr">
        <is>
          <t>uncommon</t>
        </is>
      </c>
      <c r="U1650" s="20" t="n">
        <v>0.125</v>
      </c>
      <c r="V1650" s="21" t="n">
        <v>1</v>
      </c>
      <c r="W1650" s="20">
        <f>IF(OR(U1650="",V1650=""),U1650,U1650*V1650)</f>
        <v/>
      </c>
      <c r="X1650" s="18" t="inlineStr">
        <is>
          <t>28-53</t>
        </is>
      </c>
      <c r="Y1650" s="19" t="inlineStr"/>
      <c r="Z1650" s="18">
        <f>IF(Y1650="",X1650,Y1650)</f>
        <v/>
      </c>
      <c r="AA1650" s="18" t="inlineStr">
        <is>
          <t>grounded</t>
        </is>
      </c>
      <c r="AB1650" s="18" t="inlineStr"/>
      <c r="AC1650" s="18" t="inlineStr"/>
      <c r="AD1650" s="18" t="inlineStr"/>
      <c r="AE1650" s="18" t="inlineStr"/>
      <c r="AF1650" s="18" t="inlineStr">
        <is>
          <t>False</t>
        </is>
      </c>
      <c r="AG1650" s="18" t="inlineStr"/>
      <c r="AH1650" s="18" t="inlineStr"/>
      <c r="AI1650" s="18" t="inlineStr"/>
      <c r="AJ1650" s="18" t="inlineStr">
        <is>
          <t>Cobblemon 동일</t>
        </is>
      </c>
      <c r="AK1650" s="18" t="inlineStr">
        <is>
          <t>사용</t>
        </is>
      </c>
      <c r="AL1650" s="18" t="inlineStr">
        <is>
          <t>COBBLEVERSE 1.7.42 / DP v31</t>
        </is>
      </c>
      <c r="AM1650" s="18" t="inlineStr">
        <is>
          <t>data/cobblemon/spawn_pool_world/0470_leafeon.json</t>
        </is>
      </c>
      <c r="AN1650" s="18" t="inlineStr">
        <is>
          <t>leafeon-4</t>
        </is>
      </c>
      <c r="AO1650" s="18" t="inlineStr">
        <is>
          <t>pokemon</t>
        </is>
      </c>
      <c r="AP1650" s="18" t="inlineStr">
        <is>
          <t>mansion</t>
        </is>
      </c>
      <c r="AQ1650" s="18" t="inlineStr">
        <is>
          <t>{"biomes":["#cobblemon:is_overworld"],"canSeeSky":false}</t>
        </is>
      </c>
      <c r="AR1650" s="18" t="inlineStr"/>
      <c r="AS1650" s="18" t="inlineStr"/>
      <c r="AT1650" s="19" t="inlineStr"/>
    </row>
    <row r="1651" ht="32" customHeight="1">
      <c r="A1651" s="18" t="inlineStr">
        <is>
          <t>0471_glaceon.json::glaceon-1::001</t>
        </is>
      </c>
      <c r="B1651" s="19" t="inlineStr">
        <is>
          <t>사용</t>
        </is>
      </c>
      <c r="C1651" s="18">
        <f>IF(OR(B1651&lt;&gt;AK1651,M1651&lt;&gt;L1651,O1651&lt;&gt;"",Q1651&lt;&gt;"",V1651&lt;&gt;1,Y1651&lt;&gt;"",AT1651&lt;&gt;""),"수정","원본")</f>
        <v/>
      </c>
      <c r="D1651" s="18" t="n">
        <v>471</v>
      </c>
      <c r="E1651" s="18" t="inlineStr">
        <is>
          <t>글레이시아</t>
        </is>
      </c>
      <c r="F1651" s="18" t="inlineStr">
        <is>
          <t>glaceon</t>
        </is>
      </c>
      <c r="G1651" s="18" t="inlineStr">
        <is>
          <t>glaceon</t>
        </is>
      </c>
      <c r="H1651" s="18" t="inlineStr"/>
      <c r="I1651" s="18" t="n">
        <v>4</v>
      </c>
      <c r="J1651" s="18" t="n"/>
      <c r="K1651" s="18" t="n">
        <v>4</v>
      </c>
      <c r="L1651" s="18" t="inlineStr">
        <is>
          <t>cobbleventure:generation_4</t>
        </is>
      </c>
      <c r="M1651" s="19" t="inlineStr">
        <is>
          <t>cobbleventure:generation_4</t>
        </is>
      </c>
      <c r="N1651" s="18" t="inlineStr"/>
      <c r="O1651" s="19" t="inlineStr"/>
      <c r="P1651" s="18" t="inlineStr">
        <is>
          <t>#cobblemon:is_freezing</t>
        </is>
      </c>
      <c r="Q1651" s="19" t="inlineStr"/>
      <c r="R1651" s="18">
        <f>IF(Q1651="",P1651,Q1651)</f>
        <v/>
      </c>
      <c r="S1651" s="18" t="inlineStr"/>
      <c r="T1651" s="18" t="inlineStr">
        <is>
          <t>ultra-rare</t>
        </is>
      </c>
      <c r="U1651" s="20" t="n">
        <v>1.2</v>
      </c>
      <c r="V1651" s="21" t="n">
        <v>1</v>
      </c>
      <c r="W1651" s="20">
        <f>IF(OR(U1651="",V1651=""),U1651,U1651*V1651)</f>
        <v/>
      </c>
      <c r="X1651" s="18" t="inlineStr">
        <is>
          <t>28-53</t>
        </is>
      </c>
      <c r="Y1651" s="19" t="inlineStr"/>
      <c r="Z1651" s="18">
        <f>IF(Y1651="",X1651,Y1651)</f>
        <v/>
      </c>
      <c r="AA1651" s="18" t="inlineStr">
        <is>
          <t>grounded</t>
        </is>
      </c>
      <c r="AB1651" s="18" t="inlineStr"/>
      <c r="AC1651" s="18" t="inlineStr"/>
      <c r="AD1651" s="18" t="inlineStr"/>
      <c r="AE1651" s="18" t="inlineStr">
        <is>
          <t>sky 8-15</t>
        </is>
      </c>
      <c r="AF1651" s="18" t="inlineStr"/>
      <c r="AG1651" s="18" t="inlineStr"/>
      <c r="AH1651" s="18" t="inlineStr"/>
      <c r="AI1651" s="18" t="inlineStr"/>
      <c r="AJ1651" s="18" t="inlineStr">
        <is>
          <t>Cobblemon 동일</t>
        </is>
      </c>
      <c r="AK1651" s="18" t="inlineStr">
        <is>
          <t>사용</t>
        </is>
      </c>
      <c r="AL1651" s="18" t="inlineStr">
        <is>
          <t>COBBLEVERSE 1.7.42 / DP v31</t>
        </is>
      </c>
      <c r="AM1651" s="18" t="inlineStr">
        <is>
          <t>data/cobblemon/spawn_pool_world/0471_glaceon.json</t>
        </is>
      </c>
      <c r="AN1651" s="18" t="inlineStr">
        <is>
          <t>glaceon-1</t>
        </is>
      </c>
      <c r="AO1651" s="18" t="inlineStr">
        <is>
          <t>pokemon</t>
        </is>
      </c>
      <c r="AP1651" s="18" t="inlineStr">
        <is>
          <t>natural</t>
        </is>
      </c>
      <c r="AQ1651" s="18" t="inlineStr">
        <is>
          <t>{"biomes":["#cobblemon:is_freezing"],"maxSkyLight":15,"minSkyLight":8}</t>
        </is>
      </c>
      <c r="AR1651" s="18" t="inlineStr"/>
      <c r="AS1651" s="18" t="inlineStr"/>
      <c r="AT1651" s="19" t="inlineStr"/>
    </row>
    <row r="1652" ht="32" customHeight="1">
      <c r="A1652" s="18" t="inlineStr">
        <is>
          <t>0471_glaceon.json::glaceon-2::002</t>
        </is>
      </c>
      <c r="B1652" s="19" t="inlineStr">
        <is>
          <t>사용</t>
        </is>
      </c>
      <c r="C1652" s="18">
        <f>IF(OR(B1652&lt;&gt;AK1652,M1652&lt;&gt;L1652,O1652&lt;&gt;"",Q1652&lt;&gt;"",V1652&lt;&gt;1,Y1652&lt;&gt;"",AT1652&lt;&gt;""),"수정","원본")</f>
        <v/>
      </c>
      <c r="D1652" s="18" t="n">
        <v>471</v>
      </c>
      <c r="E1652" s="18" t="inlineStr">
        <is>
          <t>글레이시아</t>
        </is>
      </c>
      <c r="F1652" s="18" t="inlineStr">
        <is>
          <t>glaceon</t>
        </is>
      </c>
      <c r="G1652" s="18" t="inlineStr">
        <is>
          <t>glaceon</t>
        </is>
      </c>
      <c r="H1652" s="18" t="inlineStr"/>
      <c r="I1652" s="18" t="n">
        <v>4</v>
      </c>
      <c r="J1652" s="18" t="n"/>
      <c r="K1652" s="18" t="n">
        <v>4</v>
      </c>
      <c r="L1652" s="18" t="inlineStr">
        <is>
          <t>cobbleventure:generation_4</t>
        </is>
      </c>
      <c r="M1652" s="19" t="inlineStr">
        <is>
          <t>cobbleventure:generation_4</t>
        </is>
      </c>
      <c r="N1652" s="18" t="inlineStr">
        <is>
          <t>region_01; region_02</t>
        </is>
      </c>
      <c r="O1652" s="19" t="inlineStr"/>
      <c r="P1652" s="18" t="inlineStr">
        <is>
          <t>#cobblemon:is_overworld</t>
        </is>
      </c>
      <c r="Q1652" s="19" t="inlineStr"/>
      <c r="R1652" s="18">
        <f>IF(Q1652="",P1652,Q1652)</f>
        <v/>
      </c>
      <c r="S1652" s="18" t="inlineStr"/>
      <c r="T1652" s="18" t="inlineStr">
        <is>
          <t>uncommon</t>
        </is>
      </c>
      <c r="U1652" s="20" t="n">
        <v>0.025</v>
      </c>
      <c r="V1652" s="21" t="n">
        <v>1</v>
      </c>
      <c r="W1652" s="20">
        <f>IF(OR(U1652="",V1652=""),U1652,U1652*V1652)</f>
        <v/>
      </c>
      <c r="X1652" s="18" t="inlineStr">
        <is>
          <t>28-53</t>
        </is>
      </c>
      <c r="Y1652" s="19" t="inlineStr"/>
      <c r="Z1652" s="18">
        <f>IF(Y1652="",X1652,Y1652)</f>
        <v/>
      </c>
      <c r="AA1652" s="18" t="inlineStr">
        <is>
          <t>grounded</t>
        </is>
      </c>
      <c r="AB1652" s="18" t="inlineStr"/>
      <c r="AC1652" s="18" t="inlineStr"/>
      <c r="AD1652" s="18" t="inlineStr"/>
      <c r="AE1652" s="18" t="inlineStr">
        <is>
          <t>sky 8-15</t>
        </is>
      </c>
      <c r="AF1652" s="18" t="inlineStr"/>
      <c r="AG1652" s="18" t="inlineStr"/>
      <c r="AH1652" s="18" t="inlineStr"/>
      <c r="AI1652" s="18" t="inlineStr"/>
      <c r="AJ1652" s="18" t="inlineStr">
        <is>
          <t>Cobblemon 동일</t>
        </is>
      </c>
      <c r="AK1652" s="18" t="inlineStr">
        <is>
          <t>사용</t>
        </is>
      </c>
      <c r="AL1652" s="18" t="inlineStr">
        <is>
          <t>COBBLEVERSE 1.7.42 / DP v31</t>
        </is>
      </c>
      <c r="AM1652" s="18" t="inlineStr">
        <is>
          <t>data/cobblemon/spawn_pool_world/0471_glaceon.json</t>
        </is>
      </c>
      <c r="AN1652" s="18" t="inlineStr">
        <is>
          <t>glaceon-2</t>
        </is>
      </c>
      <c r="AO1652" s="18" t="inlineStr">
        <is>
          <t>pokemon</t>
        </is>
      </c>
      <c r="AP1652" s="18" t="inlineStr">
        <is>
          <t>natural; urban</t>
        </is>
      </c>
      <c r="AQ1652" s="18" t="inlineStr">
        <is>
          <t>{"biomes":["#cobblemon:is_overworld"],"maxSkyLight":15,"minSkyLight":8}</t>
        </is>
      </c>
      <c r="AR1652" s="18" t="inlineStr"/>
      <c r="AS1652" s="18" t="inlineStr"/>
      <c r="AT1652" s="19" t="inlineStr"/>
    </row>
    <row r="1653" ht="32" customHeight="1">
      <c r="A1653" s="18" t="inlineStr">
        <is>
          <t>0471_glaceon.json::glaceon-3::003</t>
        </is>
      </c>
      <c r="B1653" s="19" t="inlineStr">
        <is>
          <t>사용</t>
        </is>
      </c>
      <c r="C1653" s="18">
        <f>IF(OR(B1653&lt;&gt;AK1653,M1653&lt;&gt;L1653,O1653&lt;&gt;"",Q1653&lt;&gt;"",V1653&lt;&gt;1,Y1653&lt;&gt;"",AT1653&lt;&gt;""),"수정","원본")</f>
        <v/>
      </c>
      <c r="D1653" s="18" t="n">
        <v>471</v>
      </c>
      <c r="E1653" s="18" t="inlineStr">
        <is>
          <t>글레이시아</t>
        </is>
      </c>
      <c r="F1653" s="18" t="inlineStr">
        <is>
          <t>glaceon</t>
        </is>
      </c>
      <c r="G1653" s="18" t="inlineStr">
        <is>
          <t>glaceon</t>
        </is>
      </c>
      <c r="H1653" s="18" t="inlineStr"/>
      <c r="I1653" s="18" t="n">
        <v>4</v>
      </c>
      <c r="J1653" s="18" t="n"/>
      <c r="K1653" s="18" t="n">
        <v>4</v>
      </c>
      <c r="L1653" s="18" t="inlineStr">
        <is>
          <t>cobbleventure:generation_4</t>
        </is>
      </c>
      <c r="M1653" s="19" t="inlineStr">
        <is>
          <t>cobbleventure:generation_4</t>
        </is>
      </c>
      <c r="N1653" s="18" t="inlineStr">
        <is>
          <t>region_01; region_02</t>
        </is>
      </c>
      <c r="O1653" s="19" t="inlineStr"/>
      <c r="P1653" s="18" t="inlineStr">
        <is>
          <t>#cobblemon:is_overworld</t>
        </is>
      </c>
      <c r="Q1653" s="19" t="inlineStr"/>
      <c r="R1653" s="18">
        <f>IF(Q1653="",P1653,Q1653)</f>
        <v/>
      </c>
      <c r="S1653" s="18" t="inlineStr"/>
      <c r="T1653" s="18" t="inlineStr">
        <is>
          <t>uncommon</t>
        </is>
      </c>
      <c r="U1653" s="20" t="n">
        <v>0.025</v>
      </c>
      <c r="V1653" s="21" t="n">
        <v>1</v>
      </c>
      <c r="W1653" s="20">
        <f>IF(OR(U1653="",V1653=""),U1653,U1653*V1653)</f>
        <v/>
      </c>
      <c r="X1653" s="18" t="inlineStr">
        <is>
          <t>28-53</t>
        </is>
      </c>
      <c r="Y1653" s="19" t="inlineStr"/>
      <c r="Z1653" s="18">
        <f>IF(Y1653="",X1653,Y1653)</f>
        <v/>
      </c>
      <c r="AA1653" s="18" t="inlineStr">
        <is>
          <t>grounded</t>
        </is>
      </c>
      <c r="AB1653" s="18" t="inlineStr"/>
      <c r="AC1653" s="18" t="inlineStr"/>
      <c r="AD1653" s="18" t="inlineStr"/>
      <c r="AE1653" s="18" t="inlineStr">
        <is>
          <t>sky 8-15</t>
        </is>
      </c>
      <c r="AF1653" s="18" t="inlineStr"/>
      <c r="AG1653" s="18" t="inlineStr">
        <is>
          <t>#minecraft:village</t>
        </is>
      </c>
      <c r="AH1653" s="18" t="inlineStr"/>
      <c r="AI1653" s="18" t="inlineStr"/>
      <c r="AJ1653" s="18" t="inlineStr">
        <is>
          <t>Cobblemon 동일</t>
        </is>
      </c>
      <c r="AK1653" s="18" t="inlineStr">
        <is>
          <t>사용</t>
        </is>
      </c>
      <c r="AL1653" s="18" t="inlineStr">
        <is>
          <t>COBBLEVERSE 1.7.42 / DP v31</t>
        </is>
      </c>
      <c r="AM1653" s="18" t="inlineStr">
        <is>
          <t>data/cobblemon/spawn_pool_world/0471_glaceon.json</t>
        </is>
      </c>
      <c r="AN1653" s="18" t="inlineStr">
        <is>
          <t>glaceon-3</t>
        </is>
      </c>
      <c r="AO1653" s="18" t="inlineStr">
        <is>
          <t>pokemon</t>
        </is>
      </c>
      <c r="AP1653" s="18" t="inlineStr">
        <is>
          <t>natural</t>
        </is>
      </c>
      <c r="AQ1653" s="18" t="inlineStr">
        <is>
          <t>{"biomes":["#cobblemon:is_overworld"],"maxSkyLight":15,"minSkyLight":8,"structures":["#minecraft:village"]}</t>
        </is>
      </c>
      <c r="AR1653" s="18" t="inlineStr"/>
      <c r="AS1653" s="18" t="inlineStr"/>
      <c r="AT1653" s="19" t="inlineStr"/>
    </row>
    <row r="1654" ht="32" customHeight="1">
      <c r="A1654" s="18" t="inlineStr">
        <is>
          <t>0471_glaceon.json::glaceon-4::004</t>
        </is>
      </c>
      <c r="B1654" s="19" t="inlineStr">
        <is>
          <t>사용</t>
        </is>
      </c>
      <c r="C1654" s="18">
        <f>IF(OR(B1654&lt;&gt;AK1654,M1654&lt;&gt;L1654,O1654&lt;&gt;"",Q1654&lt;&gt;"",V1654&lt;&gt;1,Y1654&lt;&gt;"",AT1654&lt;&gt;""),"수정","원본")</f>
        <v/>
      </c>
      <c r="D1654" s="18" t="n">
        <v>471</v>
      </c>
      <c r="E1654" s="18" t="inlineStr">
        <is>
          <t>글레이시아</t>
        </is>
      </c>
      <c r="F1654" s="18" t="inlineStr">
        <is>
          <t>glaceon</t>
        </is>
      </c>
      <c r="G1654" s="18" t="inlineStr">
        <is>
          <t>glaceon</t>
        </is>
      </c>
      <c r="H1654" s="18" t="inlineStr"/>
      <c r="I1654" s="18" t="n">
        <v>4</v>
      </c>
      <c r="J1654" s="18" t="n"/>
      <c r="K1654" s="18" t="n">
        <v>4</v>
      </c>
      <c r="L1654" s="18" t="inlineStr">
        <is>
          <t>cobbleventure:generation_4</t>
        </is>
      </c>
      <c r="M1654" s="19" t="inlineStr">
        <is>
          <t>cobbleventure:generation_4</t>
        </is>
      </c>
      <c r="N1654" s="18" t="inlineStr">
        <is>
          <t>region_01; region_02</t>
        </is>
      </c>
      <c r="O1654" s="19" t="inlineStr"/>
      <c r="P1654" s="18" t="inlineStr">
        <is>
          <t>#cobblemon:is_overworld</t>
        </is>
      </c>
      <c r="Q1654" s="19" t="inlineStr"/>
      <c r="R1654" s="18">
        <f>IF(Q1654="",P1654,Q1654)</f>
        <v/>
      </c>
      <c r="S1654" s="18" t="inlineStr"/>
      <c r="T1654" s="18" t="inlineStr">
        <is>
          <t>uncommon</t>
        </is>
      </c>
      <c r="U1654" s="20" t="n">
        <v>0.125</v>
      </c>
      <c r="V1654" s="21" t="n">
        <v>1</v>
      </c>
      <c r="W1654" s="20">
        <f>IF(OR(U1654="",V1654=""),U1654,U1654*V1654)</f>
        <v/>
      </c>
      <c r="X1654" s="18" t="inlineStr">
        <is>
          <t>28-53</t>
        </is>
      </c>
      <c r="Y1654" s="19" t="inlineStr"/>
      <c r="Z1654" s="18">
        <f>IF(Y1654="",X1654,Y1654)</f>
        <v/>
      </c>
      <c r="AA1654" s="18" t="inlineStr">
        <is>
          <t>grounded</t>
        </is>
      </c>
      <c r="AB1654" s="18" t="inlineStr"/>
      <c r="AC1654" s="18" t="inlineStr"/>
      <c r="AD1654" s="18" t="inlineStr"/>
      <c r="AE1654" s="18" t="inlineStr"/>
      <c r="AF1654" s="18" t="inlineStr">
        <is>
          <t>False</t>
        </is>
      </c>
      <c r="AG1654" s="18" t="inlineStr"/>
      <c r="AH1654" s="18" t="inlineStr"/>
      <c r="AI1654" s="18" t="inlineStr"/>
      <c r="AJ1654" s="18" t="inlineStr">
        <is>
          <t>Cobblemon 동일</t>
        </is>
      </c>
      <c r="AK1654" s="18" t="inlineStr">
        <is>
          <t>사용</t>
        </is>
      </c>
      <c r="AL1654" s="18" t="inlineStr">
        <is>
          <t>COBBLEVERSE 1.7.42 / DP v31</t>
        </is>
      </c>
      <c r="AM1654" s="18" t="inlineStr">
        <is>
          <t>data/cobblemon/spawn_pool_world/0471_glaceon.json</t>
        </is>
      </c>
      <c r="AN1654" s="18" t="inlineStr">
        <is>
          <t>glaceon-4</t>
        </is>
      </c>
      <c r="AO1654" s="18" t="inlineStr">
        <is>
          <t>pokemon</t>
        </is>
      </c>
      <c r="AP1654" s="18" t="inlineStr">
        <is>
          <t>mansion</t>
        </is>
      </c>
      <c r="AQ1654" s="18" t="inlineStr">
        <is>
          <t>{"biomes":["#cobblemon:is_overworld"],"canSeeSky":false}</t>
        </is>
      </c>
      <c r="AR1654" s="18" t="inlineStr"/>
      <c r="AS1654" s="18" t="inlineStr"/>
      <c r="AT1654" s="19" t="inlineStr"/>
    </row>
    <row r="1655" ht="32" customHeight="1">
      <c r="A1655" s="18" t="inlineStr">
        <is>
          <t>0472_gliscor.json::gliscor-1::001</t>
        </is>
      </c>
      <c r="B1655" s="19" t="inlineStr">
        <is>
          <t>사용</t>
        </is>
      </c>
      <c r="C1655" s="18">
        <f>IF(OR(B1655&lt;&gt;AK1655,M1655&lt;&gt;L1655,O1655&lt;&gt;"",Q1655&lt;&gt;"",V1655&lt;&gt;1,Y1655&lt;&gt;"",AT1655&lt;&gt;""),"수정","원본")</f>
        <v/>
      </c>
      <c r="D1655" s="18" t="n">
        <v>472</v>
      </c>
      <c r="E1655" s="18" t="inlineStr">
        <is>
          <t>글라이온</t>
        </is>
      </c>
      <c r="F1655" s="18" t="inlineStr">
        <is>
          <t>gliscor</t>
        </is>
      </c>
      <c r="G1655" s="18" t="inlineStr">
        <is>
          <t>gliscor</t>
        </is>
      </c>
      <c r="H1655" s="18" t="inlineStr"/>
      <c r="I1655" s="18" t="n">
        <v>4</v>
      </c>
      <c r="J1655" s="18" t="n"/>
      <c r="K1655" s="18" t="n">
        <v>4</v>
      </c>
      <c r="L1655" s="18" t="inlineStr">
        <is>
          <t>cobbleventure:generation_4</t>
        </is>
      </c>
      <c r="M1655" s="19" t="inlineStr">
        <is>
          <t>cobbleventure:generation_4</t>
        </is>
      </c>
      <c r="N1655" s="18" t="inlineStr"/>
      <c r="O1655" s="19" t="inlineStr"/>
      <c r="P1655" s="18" t="inlineStr">
        <is>
          <t>#cobblemon:is_badlands</t>
        </is>
      </c>
      <c r="Q1655" s="19" t="inlineStr"/>
      <c r="R1655" s="18">
        <f>IF(Q1655="",P1655,Q1655)</f>
        <v/>
      </c>
      <c r="S1655" s="18" t="inlineStr"/>
      <c r="T1655" s="18" t="inlineStr">
        <is>
          <t>uncommon</t>
        </is>
      </c>
      <c r="U1655" s="20" t="n">
        <v>0.48</v>
      </c>
      <c r="V1655" s="21" t="n">
        <v>1</v>
      </c>
      <c r="W1655" s="20">
        <f>IF(OR(U1655="",V1655=""),U1655,U1655*V1655)</f>
        <v/>
      </c>
      <c r="X1655" s="18" t="inlineStr">
        <is>
          <t>38-51</t>
        </is>
      </c>
      <c r="Y1655" s="19" t="inlineStr"/>
      <c r="Z1655" s="18">
        <f>IF(Y1655="",X1655,Y1655)</f>
        <v/>
      </c>
      <c r="AA1655" s="18" t="inlineStr">
        <is>
          <t>grounded</t>
        </is>
      </c>
      <c r="AB1655" s="18" t="inlineStr">
        <is>
          <t>night</t>
        </is>
      </c>
      <c r="AC1655" s="18" t="inlineStr"/>
      <c r="AD1655" s="18" t="inlineStr"/>
      <c r="AE1655" s="18" t="inlineStr">
        <is>
          <t>sky 8-15</t>
        </is>
      </c>
      <c r="AF1655" s="18" t="inlineStr"/>
      <c r="AG1655" s="18" t="inlineStr"/>
      <c r="AH1655" s="18" t="inlineStr"/>
      <c r="AI1655" s="18" t="inlineStr"/>
      <c r="AJ1655" s="18" t="inlineStr">
        <is>
          <t>Cobblemon 동일</t>
        </is>
      </c>
      <c r="AK1655" s="18" t="inlineStr">
        <is>
          <t>사용</t>
        </is>
      </c>
      <c r="AL1655" s="18" t="inlineStr">
        <is>
          <t>COBBLEVERSE 1.7.42 / DP v31</t>
        </is>
      </c>
      <c r="AM1655" s="18" t="inlineStr">
        <is>
          <t>data/cobblemon/spawn_pool_world/0472_gliscor.json</t>
        </is>
      </c>
      <c r="AN1655" s="18" t="inlineStr">
        <is>
          <t>gliscor-1</t>
        </is>
      </c>
      <c r="AO1655" s="18" t="inlineStr">
        <is>
          <t>pokemon</t>
        </is>
      </c>
      <c r="AP1655" s="18" t="inlineStr">
        <is>
          <t>natural; treetop</t>
        </is>
      </c>
      <c r="AQ1655" s="18" t="inlineStr">
        <is>
          <t>{"biomes":["#cobblemon:is_badlands"],"maxSkyLight":15,"minSkyLight":8,"timeRange":"night"}</t>
        </is>
      </c>
      <c r="AR1655" s="18" t="inlineStr"/>
      <c r="AS1655" s="18" t="inlineStr"/>
      <c r="AT1655" s="19" t="inlineStr"/>
    </row>
    <row r="1656" ht="32" customHeight="1">
      <c r="A1656" s="18" t="inlineStr">
        <is>
          <t>0472_gliscor.json::gliscor-2::002</t>
        </is>
      </c>
      <c r="B1656" s="19" t="inlineStr">
        <is>
          <t>사용</t>
        </is>
      </c>
      <c r="C1656" s="18">
        <f>IF(OR(B1656&lt;&gt;AK1656,M1656&lt;&gt;L1656,O1656&lt;&gt;"",Q1656&lt;&gt;"",V1656&lt;&gt;1,Y1656&lt;&gt;"",AT1656&lt;&gt;""),"수정","원본")</f>
        <v/>
      </c>
      <c r="D1656" s="18" t="n">
        <v>472</v>
      </c>
      <c r="E1656" s="18" t="inlineStr">
        <is>
          <t>글라이온</t>
        </is>
      </c>
      <c r="F1656" s="18" t="inlineStr">
        <is>
          <t>gliscor</t>
        </is>
      </c>
      <c r="G1656" s="18" t="inlineStr">
        <is>
          <t>gliscor</t>
        </is>
      </c>
      <c r="H1656" s="18" t="inlineStr"/>
      <c r="I1656" s="18" t="n">
        <v>4</v>
      </c>
      <c r="J1656" s="18" t="n"/>
      <c r="K1656" s="18" t="n">
        <v>4</v>
      </c>
      <c r="L1656" s="18" t="inlineStr">
        <is>
          <t>cobbleventure:generation_4</t>
        </is>
      </c>
      <c r="M1656" s="19" t="inlineStr">
        <is>
          <t>cobbleventure:generation_4</t>
        </is>
      </c>
      <c r="N1656" s="18" t="inlineStr"/>
      <c r="O1656" s="19" t="inlineStr"/>
      <c r="P1656" s="18" t="inlineStr">
        <is>
          <t>#cobblemon:nether/is_mountain</t>
        </is>
      </c>
      <c r="Q1656" s="19" t="inlineStr"/>
      <c r="R1656" s="18">
        <f>IF(Q1656="",P1656,Q1656)</f>
        <v/>
      </c>
      <c r="S1656" s="18" t="inlineStr"/>
      <c r="T1656" s="18" t="inlineStr">
        <is>
          <t>common</t>
        </is>
      </c>
      <c r="U1656" s="20" t="n">
        <v>0.1</v>
      </c>
      <c r="V1656" s="21" t="n">
        <v>1</v>
      </c>
      <c r="W1656" s="20">
        <f>IF(OR(U1656="",V1656=""),U1656,U1656*V1656)</f>
        <v/>
      </c>
      <c r="X1656" s="18" t="inlineStr">
        <is>
          <t>38-51</t>
        </is>
      </c>
      <c r="Y1656" s="19" t="inlineStr"/>
      <c r="Z1656" s="18">
        <f>IF(Y1656="",X1656,Y1656)</f>
        <v/>
      </c>
      <c r="AA1656" s="18" t="inlineStr">
        <is>
          <t>grounded</t>
        </is>
      </c>
      <c r="AB1656" s="18" t="inlineStr"/>
      <c r="AC1656" s="18" t="inlineStr"/>
      <c r="AD1656" s="18" t="inlineStr"/>
      <c r="AE1656" s="18" t="inlineStr"/>
      <c r="AF1656" s="18" t="inlineStr"/>
      <c r="AG1656" s="18" t="inlineStr"/>
      <c r="AH1656" s="18" t="inlineStr"/>
      <c r="AI1656" s="18" t="inlineStr"/>
      <c r="AJ1656" s="18" t="inlineStr">
        <is>
          <t>Cobblemon 동일</t>
        </is>
      </c>
      <c r="AK1656" s="18" t="inlineStr">
        <is>
          <t>사용</t>
        </is>
      </c>
      <c r="AL1656" s="18" t="inlineStr">
        <is>
          <t>COBBLEVERSE 1.7.42 / DP v31</t>
        </is>
      </c>
      <c r="AM1656" s="18" t="inlineStr">
        <is>
          <t>data/cobblemon/spawn_pool_world/0472_gliscor.json</t>
        </is>
      </c>
      <c r="AN1656" s="18" t="inlineStr">
        <is>
          <t>gliscor-2</t>
        </is>
      </c>
      <c r="AO1656" s="18" t="inlineStr">
        <is>
          <t>pokemon</t>
        </is>
      </c>
      <c r="AP1656" s="18" t="inlineStr">
        <is>
          <t>natural</t>
        </is>
      </c>
      <c r="AQ1656" s="18" t="inlineStr">
        <is>
          <t>{"biomes":["#cobblemon:nether/is_mountain"]}</t>
        </is>
      </c>
      <c r="AR1656" s="18" t="inlineStr"/>
      <c r="AS1656" s="18" t="inlineStr"/>
      <c r="AT1656" s="19" t="inlineStr"/>
    </row>
    <row r="1657" ht="32" customHeight="1">
      <c r="A1657" s="18" t="inlineStr">
        <is>
          <t>0473_mamoswine.json::mamoswine-1::001</t>
        </is>
      </c>
      <c r="B1657" s="19" t="inlineStr">
        <is>
          <t>사용</t>
        </is>
      </c>
      <c r="C1657" s="18">
        <f>IF(OR(B1657&lt;&gt;AK1657,M1657&lt;&gt;L1657,O1657&lt;&gt;"",Q1657&lt;&gt;"",V1657&lt;&gt;1,Y1657&lt;&gt;"",AT1657&lt;&gt;""),"수정","원본")</f>
        <v/>
      </c>
      <c r="D1657" s="18" t="n">
        <v>473</v>
      </c>
      <c r="E1657" s="18" t="inlineStr">
        <is>
          <t>맘모꾸리</t>
        </is>
      </c>
      <c r="F1657" s="18" t="inlineStr">
        <is>
          <t>mamoswine</t>
        </is>
      </c>
      <c r="G1657" s="18" t="inlineStr">
        <is>
          <t>mamoswine</t>
        </is>
      </c>
      <c r="H1657" s="18" t="inlineStr"/>
      <c r="I1657" s="18" t="n">
        <v>4</v>
      </c>
      <c r="J1657" s="18" t="n"/>
      <c r="K1657" s="18" t="n">
        <v>4</v>
      </c>
      <c r="L1657" s="18" t="inlineStr">
        <is>
          <t>cobbleventure:generation_4</t>
        </is>
      </c>
      <c r="M1657" s="19" t="inlineStr">
        <is>
          <t>cobbleventure:generation_4</t>
        </is>
      </c>
      <c r="N1657" s="18" t="inlineStr"/>
      <c r="O1657" s="19" t="inlineStr"/>
      <c r="P1657" s="18" t="inlineStr">
        <is>
          <t>#cobblemon:is_tundra</t>
        </is>
      </c>
      <c r="Q1657" s="19" t="inlineStr"/>
      <c r="R1657" s="18">
        <f>IF(Q1657="",P1657,Q1657)</f>
        <v/>
      </c>
      <c r="S1657" s="18" t="inlineStr"/>
      <c r="T1657" s="18" t="inlineStr">
        <is>
          <t>common</t>
        </is>
      </c>
      <c r="U1657" s="20" t="n">
        <v>0.1</v>
      </c>
      <c r="V1657" s="21" t="n">
        <v>1</v>
      </c>
      <c r="W1657" s="20">
        <f>IF(OR(U1657="",V1657=""),U1657,U1657*V1657)</f>
        <v/>
      </c>
      <c r="X1657" s="18" t="inlineStr">
        <is>
          <t>40-53</t>
        </is>
      </c>
      <c r="Y1657" s="19" t="inlineStr"/>
      <c r="Z1657" s="18">
        <f>IF(Y1657="",X1657,Y1657)</f>
        <v/>
      </c>
      <c r="AA1657" s="18" t="inlineStr">
        <is>
          <t>grounded</t>
        </is>
      </c>
      <c r="AB1657" s="18" t="inlineStr"/>
      <c r="AC1657" s="18" t="inlineStr"/>
      <c r="AD1657" s="18" t="inlineStr"/>
      <c r="AE1657" s="18" t="inlineStr">
        <is>
          <t>sky 8-15</t>
        </is>
      </c>
      <c r="AF1657" s="18" t="inlineStr"/>
      <c r="AG1657" s="18" t="inlineStr"/>
      <c r="AH1657" s="18" t="inlineStr"/>
      <c r="AI1657" s="18" t="inlineStr"/>
      <c r="AJ1657" s="18" t="inlineStr">
        <is>
          <t>Cobblemon 동일</t>
        </is>
      </c>
      <c r="AK1657" s="18" t="inlineStr">
        <is>
          <t>사용</t>
        </is>
      </c>
      <c r="AL1657" s="18" t="inlineStr">
        <is>
          <t>COBBLEVERSE 1.7.42 / DP v31</t>
        </is>
      </c>
      <c r="AM1657" s="18" t="inlineStr">
        <is>
          <t>data/cobblemon/spawn_pool_world/0473_mamoswine.json</t>
        </is>
      </c>
      <c r="AN1657" s="18" t="inlineStr">
        <is>
          <t>mamoswine-1</t>
        </is>
      </c>
      <c r="AO1657" s="18" t="inlineStr">
        <is>
          <t>pokemon</t>
        </is>
      </c>
      <c r="AP1657" s="18" t="inlineStr">
        <is>
          <t>natural; wild</t>
        </is>
      </c>
      <c r="AQ1657" s="18" t="inlineStr">
        <is>
          <t>{"biomes":["#cobblemon:is_tundra"],"maxSkyLight":15,"minSkyLight":8}</t>
        </is>
      </c>
      <c r="AR1657" s="18" t="inlineStr"/>
      <c r="AS1657" s="18" t="inlineStr"/>
      <c r="AT1657" s="19" t="inlineStr"/>
    </row>
    <row r="1658" ht="32" customHeight="1">
      <c r="A1658" s="18" t="inlineStr">
        <is>
          <t>0474_porygonz.json::porygonz-1::001</t>
        </is>
      </c>
      <c r="B1658" s="19" t="inlineStr">
        <is>
          <t>사용</t>
        </is>
      </c>
      <c r="C1658" s="18">
        <f>IF(OR(B1658&lt;&gt;AK1658,M1658&lt;&gt;L1658,O1658&lt;&gt;"",Q1658&lt;&gt;"",V1658&lt;&gt;1,Y1658&lt;&gt;"",AT1658&lt;&gt;""),"수정","원본")</f>
        <v/>
      </c>
      <c r="D1658" s="18" t="n">
        <v>474</v>
      </c>
      <c r="E1658" s="18" t="inlineStr">
        <is>
          <t>폴리곤Z</t>
        </is>
      </c>
      <c r="F1658" s="18" t="inlineStr">
        <is>
          <t>porygonz</t>
        </is>
      </c>
      <c r="G1658" s="18" t="inlineStr">
        <is>
          <t>porygonz</t>
        </is>
      </c>
      <c r="H1658" s="18" t="inlineStr"/>
      <c r="I1658" s="18" t="n">
        <v>4</v>
      </c>
      <c r="J1658" s="18" t="n"/>
      <c r="K1658" s="18" t="n">
        <v>4</v>
      </c>
      <c r="L1658" s="18" t="inlineStr">
        <is>
          <t>cobbleventure:generation_4</t>
        </is>
      </c>
      <c r="M1658" s="19" t="inlineStr">
        <is>
          <t>cobbleventure:generation_4</t>
        </is>
      </c>
      <c r="N1658" s="18" t="inlineStr"/>
      <c r="O1658" s="19" t="inlineStr"/>
      <c r="P1658" s="18" t="inlineStr">
        <is>
          <t>#cobblemon:is_end</t>
        </is>
      </c>
      <c r="Q1658" s="19" t="inlineStr"/>
      <c r="R1658" s="18">
        <f>IF(Q1658="",P1658,Q1658)</f>
        <v/>
      </c>
      <c r="S1658" s="18" t="inlineStr"/>
      <c r="T1658" s="18" t="inlineStr">
        <is>
          <t>rare</t>
        </is>
      </c>
      <c r="U1658" s="20" t="n">
        <v>0.08</v>
      </c>
      <c r="V1658" s="21" t="n">
        <v>1</v>
      </c>
      <c r="W1658" s="20">
        <f>IF(OR(U1658="",V1658=""),U1658,U1658*V1658)</f>
        <v/>
      </c>
      <c r="X1658" s="18" t="inlineStr">
        <is>
          <t>47-54</t>
        </is>
      </c>
      <c r="Y1658" s="19" t="inlineStr"/>
      <c r="Z1658" s="18">
        <f>IF(Y1658="",X1658,Y1658)</f>
        <v/>
      </c>
      <c r="AA1658" s="18" t="inlineStr">
        <is>
          <t>grounded</t>
        </is>
      </c>
      <c r="AB1658" s="18" t="inlineStr"/>
      <c r="AC1658" s="18" t="inlineStr"/>
      <c r="AD1658" s="18" t="inlineStr"/>
      <c r="AE1658" s="18" t="inlineStr"/>
      <c r="AF1658" s="18" t="inlineStr"/>
      <c r="AG1658" s="18" t="inlineStr"/>
      <c r="AH1658" s="18" t="inlineStr"/>
      <c r="AI1658" s="18" t="inlineStr"/>
      <c r="AJ1658" s="18" t="inlineStr">
        <is>
          <t>COBBLEVERSE 수정</t>
        </is>
      </c>
      <c r="AK1658" s="18" t="inlineStr">
        <is>
          <t>사용</t>
        </is>
      </c>
      <c r="AL1658" s="18" t="inlineStr">
        <is>
          <t>COBBLEVERSE 1.7.42 / DP v31</t>
        </is>
      </c>
      <c r="AM1658" s="18" t="inlineStr">
        <is>
          <t>data/cobblemon/spawn_pool_world/0474_porygonz.json</t>
        </is>
      </c>
      <c r="AN1658" s="18" t="inlineStr">
        <is>
          <t>porygonz-1</t>
        </is>
      </c>
      <c r="AO1658" s="18" t="inlineStr">
        <is>
          <t>pokemon</t>
        </is>
      </c>
      <c r="AP1658" s="18" t="inlineStr"/>
      <c r="AQ1658" s="18" t="inlineStr">
        <is>
          <t>{"biomes":["#cobblemon:is_end"]}</t>
        </is>
      </c>
      <c r="AR1658" s="18" t="inlineStr"/>
      <c r="AS1658" s="18" t="inlineStr"/>
      <c r="AT1658" s="19" t="inlineStr"/>
    </row>
    <row r="1659" ht="32" customHeight="1">
      <c r="A1659" s="18" t="inlineStr">
        <is>
          <t>0475_gallade.json::gallade-1::001</t>
        </is>
      </c>
      <c r="B1659" s="19" t="inlineStr">
        <is>
          <t>사용</t>
        </is>
      </c>
      <c r="C1659" s="18">
        <f>IF(OR(B1659&lt;&gt;AK1659,M1659&lt;&gt;L1659,O1659&lt;&gt;"",Q1659&lt;&gt;"",V1659&lt;&gt;1,Y1659&lt;&gt;"",AT1659&lt;&gt;""),"수정","원본")</f>
        <v/>
      </c>
      <c r="D1659" s="18" t="n">
        <v>475</v>
      </c>
      <c r="E1659" s="18" t="inlineStr">
        <is>
          <t>엘레이드</t>
        </is>
      </c>
      <c r="F1659" s="18" t="inlineStr">
        <is>
          <t>gallade</t>
        </is>
      </c>
      <c r="G1659" s="18" t="inlineStr">
        <is>
          <t>gallade</t>
        </is>
      </c>
      <c r="H1659" s="18" t="inlineStr"/>
      <c r="I1659" s="18" t="n">
        <v>4</v>
      </c>
      <c r="J1659" s="18" t="n"/>
      <c r="K1659" s="18" t="n">
        <v>4</v>
      </c>
      <c r="L1659" s="18" t="inlineStr">
        <is>
          <t>cobbleventure:generation_4</t>
        </is>
      </c>
      <c r="M1659" s="19" t="inlineStr">
        <is>
          <t>cobbleventure:generation_4</t>
        </is>
      </c>
      <c r="N1659" s="18" t="inlineStr"/>
      <c r="O1659" s="19" t="inlineStr"/>
      <c r="P1659" s="18" t="inlineStr">
        <is>
          <t>#cobblemon:is_floral; #cobblemon:is_magical; aether:skyroot_grove; aether:skyroot_meadow; #cobblemon:is_snowy_forest</t>
        </is>
      </c>
      <c r="Q1659" s="19" t="inlineStr"/>
      <c r="R1659" s="18">
        <f>IF(Q1659="",P1659,Q1659)</f>
        <v/>
      </c>
      <c r="S1659" s="18" t="inlineStr"/>
      <c r="T1659" s="18" t="inlineStr">
        <is>
          <t>rare</t>
        </is>
      </c>
      <c r="U1659" s="20" t="n">
        <v>0.0625</v>
      </c>
      <c r="V1659" s="21" t="n">
        <v>1</v>
      </c>
      <c r="W1659" s="20">
        <f>IF(OR(U1659="",V1659=""),U1659,U1659*V1659)</f>
        <v/>
      </c>
      <c r="X1659" s="18" t="inlineStr">
        <is>
          <t>30-52</t>
        </is>
      </c>
      <c r="Y1659" s="19" t="inlineStr"/>
      <c r="Z1659" s="18">
        <f>IF(Y1659="",X1659,Y1659)</f>
        <v/>
      </c>
      <c r="AA1659" s="18" t="inlineStr">
        <is>
          <t>grounded</t>
        </is>
      </c>
      <c r="AB1659" s="18" t="inlineStr"/>
      <c r="AC1659" s="18" t="inlineStr"/>
      <c r="AD1659" s="18" t="inlineStr"/>
      <c r="AE1659" s="18" t="inlineStr">
        <is>
          <t>sky 8-15</t>
        </is>
      </c>
      <c r="AF1659" s="18" t="inlineStr"/>
      <c r="AG1659" s="18" t="inlineStr"/>
      <c r="AH1659" s="18" t="inlineStr"/>
      <c r="AI1659" s="18" t="inlineStr"/>
      <c r="AJ1659" s="18" t="inlineStr">
        <is>
          <t>COBBLEVERSE 수정</t>
        </is>
      </c>
      <c r="AK1659" s="18" t="inlineStr">
        <is>
          <t>사용</t>
        </is>
      </c>
      <c r="AL1659" s="18" t="inlineStr">
        <is>
          <t>COBBLEVERSE 1.7.42 / DP v31</t>
        </is>
      </c>
      <c r="AM1659" s="18" t="inlineStr">
        <is>
          <t>data/cobblemon/spawn_pool_world/0475_gallade.json</t>
        </is>
      </c>
      <c r="AN1659" s="18" t="inlineStr">
        <is>
          <t>gallade-1</t>
        </is>
      </c>
      <c r="AO1659" s="18" t="inlineStr">
        <is>
          <t>pokemon</t>
        </is>
      </c>
      <c r="AP1659" s="18" t="inlineStr">
        <is>
          <t>natural</t>
        </is>
      </c>
      <c r="AQ1659" s="18" t="inlineStr">
        <is>
          <t>{"biomes":["#cobblemon:is_floral","#cobblemon:is_magical","aether:skyroot_grove","aether:skyroot_meadow","#cobblemon:is_snowy_forest"],"maxSkyLight":15,"minSkyLight":8}</t>
        </is>
      </c>
      <c r="AR1659" s="18" t="inlineStr"/>
      <c r="AS1659" s="18" t="inlineStr"/>
      <c r="AT1659" s="19" t="inlineStr"/>
    </row>
    <row r="1660" ht="32" customHeight="1">
      <c r="A1660" s="18" t="inlineStr">
        <is>
          <t>0475_gallade.json::gallade-3::002</t>
        </is>
      </c>
      <c r="B1660" s="19" t="inlineStr">
        <is>
          <t>사용</t>
        </is>
      </c>
      <c r="C1660" s="18">
        <f>IF(OR(B1660&lt;&gt;AK1660,M1660&lt;&gt;L1660,O1660&lt;&gt;"",Q1660&lt;&gt;"",V1660&lt;&gt;1,Y1660&lt;&gt;"",AT1660&lt;&gt;""),"수정","원본")</f>
        <v/>
      </c>
      <c r="D1660" s="18" t="n">
        <v>475</v>
      </c>
      <c r="E1660" s="18" t="inlineStr">
        <is>
          <t>엘레이드</t>
        </is>
      </c>
      <c r="F1660" s="18" t="inlineStr">
        <is>
          <t>gallade</t>
        </is>
      </c>
      <c r="G1660" s="18" t="inlineStr">
        <is>
          <t>gallade</t>
        </is>
      </c>
      <c r="H1660" s="18" t="inlineStr"/>
      <c r="I1660" s="18" t="n">
        <v>4</v>
      </c>
      <c r="J1660" s="18" t="n"/>
      <c r="K1660" s="18" t="n">
        <v>4</v>
      </c>
      <c r="L1660" s="18" t="inlineStr">
        <is>
          <t>cobbleventure:generation_4</t>
        </is>
      </c>
      <c r="M1660" s="19" t="inlineStr">
        <is>
          <t>cobbleventure:generation_4</t>
        </is>
      </c>
      <c r="N1660" s="18" t="inlineStr">
        <is>
          <t>region_01; region_02</t>
        </is>
      </c>
      <c r="O1660" s="19" t="inlineStr"/>
      <c r="P1660" s="18" t="inlineStr">
        <is>
          <t>#cobblemon:is_overworld</t>
        </is>
      </c>
      <c r="Q1660" s="19" t="inlineStr"/>
      <c r="R1660" s="18">
        <f>IF(Q1660="",P1660,Q1660)</f>
        <v/>
      </c>
      <c r="S1660" s="18" t="inlineStr"/>
      <c r="T1660" s="18" t="inlineStr">
        <is>
          <t>rare</t>
        </is>
      </c>
      <c r="U1660" s="20" t="n">
        <v>0.0125</v>
      </c>
      <c r="V1660" s="21" t="n">
        <v>1</v>
      </c>
      <c r="W1660" s="20">
        <f>IF(OR(U1660="",V1660=""),U1660,U1660*V1660)</f>
        <v/>
      </c>
      <c r="X1660" s="18" t="inlineStr">
        <is>
          <t>30-52</t>
        </is>
      </c>
      <c r="Y1660" s="19" t="inlineStr"/>
      <c r="Z1660" s="18">
        <f>IF(Y1660="",X1660,Y1660)</f>
        <v/>
      </c>
      <c r="AA1660" s="18" t="inlineStr">
        <is>
          <t>grounded</t>
        </is>
      </c>
      <c r="AB1660" s="18" t="inlineStr"/>
      <c r="AC1660" s="18" t="inlineStr"/>
      <c r="AD1660" s="18" t="inlineStr"/>
      <c r="AE1660" s="18" t="inlineStr">
        <is>
          <t>sky 8-15</t>
        </is>
      </c>
      <c r="AF1660" s="18" t="inlineStr"/>
      <c r="AG1660" s="18" t="inlineStr">
        <is>
          <t>#minecraft:village</t>
        </is>
      </c>
      <c r="AH1660" s="18" t="inlineStr"/>
      <c r="AI1660" s="18" t="inlineStr"/>
      <c r="AJ1660" s="18" t="inlineStr">
        <is>
          <t>COBBLEVERSE 수정</t>
        </is>
      </c>
      <c r="AK1660" s="18" t="inlineStr">
        <is>
          <t>사용</t>
        </is>
      </c>
      <c r="AL1660" s="18" t="inlineStr">
        <is>
          <t>COBBLEVERSE 1.7.42 / DP v31</t>
        </is>
      </c>
      <c r="AM1660" s="18" t="inlineStr">
        <is>
          <t>data/cobblemon/spawn_pool_world/0475_gallade.json</t>
        </is>
      </c>
      <c r="AN1660" s="18" t="inlineStr">
        <is>
          <t>gallade-3</t>
        </is>
      </c>
      <c r="AO1660" s="18" t="inlineStr">
        <is>
          <t>pokemon</t>
        </is>
      </c>
      <c r="AP1660" s="18" t="inlineStr">
        <is>
          <t>natural</t>
        </is>
      </c>
      <c r="AQ1660" s="18" t="inlineStr">
        <is>
          <t>{"biomes":["#cobblemon:is_overworld"],"maxSkyLight":15,"minSkyLight":8,"structures":["#minecraft:village"]}</t>
        </is>
      </c>
      <c r="AR1660" s="18" t="inlineStr"/>
      <c r="AS1660" s="18" t="inlineStr"/>
      <c r="AT1660" s="19" t="inlineStr"/>
    </row>
    <row r="1661" ht="32" customHeight="1">
      <c r="A1661" s="18" t="inlineStr">
        <is>
          <t>0475_gallade.json::gallade-4::003</t>
        </is>
      </c>
      <c r="B1661" s="19" t="inlineStr">
        <is>
          <t>사용</t>
        </is>
      </c>
      <c r="C1661" s="18">
        <f>IF(OR(B1661&lt;&gt;AK1661,M1661&lt;&gt;L1661,O1661&lt;&gt;"",Q1661&lt;&gt;"",V1661&lt;&gt;1,Y1661&lt;&gt;"",AT1661&lt;&gt;""),"수정","원본")</f>
        <v/>
      </c>
      <c r="D1661" s="18" t="n">
        <v>475</v>
      </c>
      <c r="E1661" s="18" t="inlineStr">
        <is>
          <t>엘레이드</t>
        </is>
      </c>
      <c r="F1661" s="18" t="inlineStr">
        <is>
          <t>gallade</t>
        </is>
      </c>
      <c r="G1661" s="18" t="inlineStr">
        <is>
          <t>gallade</t>
        </is>
      </c>
      <c r="H1661" s="18" t="inlineStr"/>
      <c r="I1661" s="18" t="n">
        <v>4</v>
      </c>
      <c r="J1661" s="18" t="n"/>
      <c r="K1661" s="18" t="n">
        <v>4</v>
      </c>
      <c r="L1661" s="18" t="inlineStr">
        <is>
          <t>cobbleventure:generation_4</t>
        </is>
      </c>
      <c r="M1661" s="19" t="inlineStr">
        <is>
          <t>cobbleventure:generation_4</t>
        </is>
      </c>
      <c r="N1661" s="18" t="inlineStr">
        <is>
          <t>region_01; region_02</t>
        </is>
      </c>
      <c r="O1661" s="19" t="inlineStr"/>
      <c r="P1661" s="18" t="inlineStr">
        <is>
          <t>#cobblemon:is_overworld</t>
        </is>
      </c>
      <c r="Q1661" s="19" t="inlineStr"/>
      <c r="R1661" s="18">
        <f>IF(Q1661="",P1661,Q1661)</f>
        <v/>
      </c>
      <c r="S1661" s="18" t="inlineStr"/>
      <c r="T1661" s="18" t="inlineStr">
        <is>
          <t>common</t>
        </is>
      </c>
      <c r="U1661" s="20" t="n">
        <v>0.0025</v>
      </c>
      <c r="V1661" s="21" t="n">
        <v>1</v>
      </c>
      <c r="W1661" s="20">
        <f>IF(OR(U1661="",V1661=""),U1661,U1661*V1661)</f>
        <v/>
      </c>
      <c r="X1661" s="18" t="inlineStr">
        <is>
          <t>30-52</t>
        </is>
      </c>
      <c r="Y1661" s="19" t="inlineStr"/>
      <c r="Z1661" s="18">
        <f>IF(Y1661="",X1661,Y1661)</f>
        <v/>
      </c>
      <c r="AA1661" s="18" t="inlineStr">
        <is>
          <t>grounded</t>
        </is>
      </c>
      <c r="AB1661" s="18" t="inlineStr"/>
      <c r="AC1661" s="18" t="inlineStr"/>
      <c r="AD1661" s="18" t="inlineStr"/>
      <c r="AE1661" s="18" t="inlineStr"/>
      <c r="AF1661" s="18" t="inlineStr">
        <is>
          <t>False</t>
        </is>
      </c>
      <c r="AG1661" s="18" t="inlineStr"/>
      <c r="AH1661" s="18" t="inlineStr"/>
      <c r="AI1661" s="18" t="inlineStr"/>
      <c r="AJ1661" s="18" t="inlineStr">
        <is>
          <t>COBBLEVERSE 수정</t>
        </is>
      </c>
      <c r="AK1661" s="18" t="inlineStr">
        <is>
          <t>사용</t>
        </is>
      </c>
      <c r="AL1661" s="18" t="inlineStr">
        <is>
          <t>COBBLEVERSE 1.7.42 / DP v31</t>
        </is>
      </c>
      <c r="AM1661" s="18" t="inlineStr">
        <is>
          <t>data/cobblemon/spawn_pool_world/0475_gallade.json</t>
        </is>
      </c>
      <c r="AN1661" s="18" t="inlineStr">
        <is>
          <t>gallade-4</t>
        </is>
      </c>
      <c r="AO1661" s="18" t="inlineStr">
        <is>
          <t>pokemon</t>
        </is>
      </c>
      <c r="AP1661" s="18" t="inlineStr">
        <is>
          <t>mansion</t>
        </is>
      </c>
      <c r="AQ1661" s="18" t="inlineStr">
        <is>
          <t>{"biomes":["#cobblemon:is_overworld"],"canSeeSky":false}</t>
        </is>
      </c>
      <c r="AR1661" s="18" t="inlineStr"/>
      <c r="AS1661" s="18" t="inlineStr"/>
      <c r="AT1661" s="19" t="inlineStr"/>
    </row>
    <row r="1662" ht="32" customHeight="1">
      <c r="A1662" s="18" t="inlineStr">
        <is>
          <t>0476_probopass.json::probopass-1::001</t>
        </is>
      </c>
      <c r="B1662" s="19" t="inlineStr">
        <is>
          <t>사용</t>
        </is>
      </c>
      <c r="C1662" s="18">
        <f>IF(OR(B1662&lt;&gt;AK1662,M1662&lt;&gt;L1662,O1662&lt;&gt;"",Q1662&lt;&gt;"",V1662&lt;&gt;1,Y1662&lt;&gt;"",AT1662&lt;&gt;""),"수정","원본")</f>
        <v/>
      </c>
      <c r="D1662" s="18" t="n">
        <v>476</v>
      </c>
      <c r="E1662" s="18" t="inlineStr">
        <is>
          <t>대코파스</t>
        </is>
      </c>
      <c r="F1662" s="18" t="inlineStr">
        <is>
          <t>probopass</t>
        </is>
      </c>
      <c r="G1662" s="18" t="inlineStr">
        <is>
          <t>probopass</t>
        </is>
      </c>
      <c r="H1662" s="18" t="inlineStr"/>
      <c r="I1662" s="18" t="n">
        <v>4</v>
      </c>
      <c r="J1662" s="18" t="n"/>
      <c r="K1662" s="18" t="n">
        <v>4</v>
      </c>
      <c r="L1662" s="18" t="inlineStr">
        <is>
          <t>cobbleventure:generation_4</t>
        </is>
      </c>
      <c r="M1662" s="19" t="inlineStr">
        <is>
          <t>cobbleventure:generation_4</t>
        </is>
      </c>
      <c r="N1662" s="18" t="inlineStr">
        <is>
          <t>region_01; region_02</t>
        </is>
      </c>
      <c r="O1662" s="19" t="inlineStr"/>
      <c r="P1662" s="18" t="inlineStr">
        <is>
          <t>#cobblemon:is_overworld</t>
        </is>
      </c>
      <c r="Q1662" s="19" t="inlineStr"/>
      <c r="R1662" s="18">
        <f>IF(Q1662="",P1662,Q1662)</f>
        <v/>
      </c>
      <c r="S1662" s="18" t="inlineStr">
        <is>
          <t>#cobblemon:is_deep_dark</t>
        </is>
      </c>
      <c r="T1662" s="18" t="inlineStr">
        <is>
          <t>uncommon</t>
        </is>
      </c>
      <c r="U1662" s="20" t="n">
        <v>0.48</v>
      </c>
      <c r="V1662" s="21" t="n">
        <v>1</v>
      </c>
      <c r="W1662" s="20">
        <f>IF(OR(U1662="",V1662=""),U1662,U1662*V1662)</f>
        <v/>
      </c>
      <c r="X1662" s="18" t="inlineStr">
        <is>
          <t>33-53</t>
        </is>
      </c>
      <c r="Y1662" s="19" t="inlineStr"/>
      <c r="Z1662" s="18">
        <f>IF(Y1662="",X1662,Y1662)</f>
        <v/>
      </c>
      <c r="AA1662" s="18" t="inlineStr">
        <is>
          <t>grounded</t>
        </is>
      </c>
      <c r="AB1662" s="18" t="inlineStr"/>
      <c r="AC1662" s="18" t="inlineStr"/>
      <c r="AD1662" s="18" t="inlineStr"/>
      <c r="AE1662" s="18" t="inlineStr">
        <is>
          <t>sky 0-7</t>
        </is>
      </c>
      <c r="AF1662" s="18" t="inlineStr"/>
      <c r="AG1662" s="18" t="inlineStr"/>
      <c r="AH1662" s="18" t="inlineStr"/>
      <c r="AI1662" s="18" t="inlineStr"/>
      <c r="AJ1662" s="18" t="inlineStr">
        <is>
          <t>Cobblemon 동일</t>
        </is>
      </c>
      <c r="AK1662" s="18" t="inlineStr">
        <is>
          <t>사용</t>
        </is>
      </c>
      <c r="AL1662" s="18" t="inlineStr">
        <is>
          <t>COBBLEVERSE 1.7.42 / DP v31</t>
        </is>
      </c>
      <c r="AM1662" s="18" t="inlineStr">
        <is>
          <t>data/cobblemon/spawn_pool_world/0476_probopass.json</t>
        </is>
      </c>
      <c r="AN1662" s="18" t="inlineStr">
        <is>
          <t>probopass-1</t>
        </is>
      </c>
      <c r="AO1662" s="18" t="inlineStr">
        <is>
          <t>pokemon</t>
        </is>
      </c>
      <c r="AP1662" s="18" t="inlineStr">
        <is>
          <t>natural</t>
        </is>
      </c>
      <c r="AQ1662" s="18" t="inlineStr">
        <is>
          <t>{"biomes":["#cobblemon:is_overworld"],"maxSkyLight":7,"minSkyLight":0}</t>
        </is>
      </c>
      <c r="AR1662" s="18" t="inlineStr">
        <is>
          <t>{"biomes":["#cobblemon:is_deep_dark"]}</t>
        </is>
      </c>
      <c r="AS1662" s="18" t="inlineStr"/>
      <c r="AT1662" s="19" t="inlineStr"/>
    </row>
    <row r="1663" ht="32" customHeight="1">
      <c r="A1663" s="18" t="inlineStr">
        <is>
          <t>0477_dusknoir.json::dusknoir-1::001</t>
        </is>
      </c>
      <c r="B1663" s="19" t="inlineStr">
        <is>
          <t>사용</t>
        </is>
      </c>
      <c r="C1663" s="18">
        <f>IF(OR(B1663&lt;&gt;AK1663,M1663&lt;&gt;L1663,O1663&lt;&gt;"",Q1663&lt;&gt;"",V1663&lt;&gt;1,Y1663&lt;&gt;"",AT1663&lt;&gt;""),"수정","원본")</f>
        <v/>
      </c>
      <c r="D1663" s="18" t="n">
        <v>477</v>
      </c>
      <c r="E1663" s="18" t="inlineStr">
        <is>
          <t>야느와르몽</t>
        </is>
      </c>
      <c r="F1663" s="18" t="inlineStr">
        <is>
          <t>dusknoir</t>
        </is>
      </c>
      <c r="G1663" s="18" t="inlineStr">
        <is>
          <t>dusknoir</t>
        </is>
      </c>
      <c r="H1663" s="18" t="inlineStr"/>
      <c r="I1663" s="18" t="n">
        <v>4</v>
      </c>
      <c r="J1663" s="18" t="n"/>
      <c r="K1663" s="18" t="n">
        <v>4</v>
      </c>
      <c r="L1663" s="18" t="inlineStr">
        <is>
          <t>cobbleventure:generation_4</t>
        </is>
      </c>
      <c r="M1663" s="19" t="inlineStr">
        <is>
          <t>cobbleventure:generation_4</t>
        </is>
      </c>
      <c r="N1663" s="18" t="inlineStr"/>
      <c r="O1663" s="19" t="inlineStr"/>
      <c r="P1663" s="18" t="inlineStr">
        <is>
          <t>#cobblemon:is_spooky</t>
        </is>
      </c>
      <c r="Q1663" s="19" t="inlineStr"/>
      <c r="R1663" s="18">
        <f>IF(Q1663="",P1663,Q1663)</f>
        <v/>
      </c>
      <c r="S1663" s="18" t="inlineStr"/>
      <c r="T1663" s="18" t="inlineStr">
        <is>
          <t>common</t>
        </is>
      </c>
      <c r="U1663" s="20" t="n">
        <v>0.03</v>
      </c>
      <c r="V1663" s="21" t="n">
        <v>1</v>
      </c>
      <c r="W1663" s="20">
        <f>IF(OR(U1663="",V1663=""),U1663,U1663*V1663)</f>
        <v/>
      </c>
      <c r="X1663" s="18" t="inlineStr">
        <is>
          <t>41-53</t>
        </is>
      </c>
      <c r="Y1663" s="19" t="inlineStr"/>
      <c r="Z1663" s="18">
        <f>IF(Y1663="",X1663,Y1663)</f>
        <v/>
      </c>
      <c r="AA1663" s="18" t="inlineStr">
        <is>
          <t>grounded</t>
        </is>
      </c>
      <c r="AB1663" s="18" t="inlineStr">
        <is>
          <t>night</t>
        </is>
      </c>
      <c r="AC1663" s="18" t="inlineStr"/>
      <c r="AD1663" s="18" t="inlineStr"/>
      <c r="AE1663" s="18" t="inlineStr"/>
      <c r="AF1663" s="18" t="inlineStr"/>
      <c r="AG1663" s="18" t="inlineStr"/>
      <c r="AH1663" s="18" t="inlineStr"/>
      <c r="AI1663" s="18" t="inlineStr"/>
      <c r="AJ1663" s="18" t="inlineStr">
        <is>
          <t>COBBLEVERSE 수정</t>
        </is>
      </c>
      <c r="AK1663" s="18" t="inlineStr">
        <is>
          <t>사용</t>
        </is>
      </c>
      <c r="AL1663" s="18" t="inlineStr">
        <is>
          <t>COBBLEVERSE 1.7.42 / DP v31</t>
        </is>
      </c>
      <c r="AM1663" s="18" t="inlineStr">
        <is>
          <t>data/cobblemon/spawn_pool_world/0477_dusknoir.json</t>
        </is>
      </c>
      <c r="AN1663" s="18" t="inlineStr">
        <is>
          <t>dusknoir-1</t>
        </is>
      </c>
      <c r="AO1663" s="18" t="inlineStr">
        <is>
          <t>pokemon</t>
        </is>
      </c>
      <c r="AP1663" s="18" t="inlineStr">
        <is>
          <t>natural</t>
        </is>
      </c>
      <c r="AQ1663" s="18" t="inlineStr">
        <is>
          <t>{"biomes":["#cobblemon:is_spooky"],"timeRange":"night"}</t>
        </is>
      </c>
      <c r="AR1663" s="18" t="inlineStr"/>
      <c r="AS1663" s="18" t="inlineStr"/>
      <c r="AT1663" s="19" t="inlineStr"/>
    </row>
    <row r="1664" ht="32" customHeight="1">
      <c r="A1664" s="18" t="inlineStr">
        <is>
          <t>0477_dusknoir.json::dusknoir-3::002</t>
        </is>
      </c>
      <c r="B1664" s="19" t="inlineStr">
        <is>
          <t>사용</t>
        </is>
      </c>
      <c r="C1664" s="18">
        <f>IF(OR(B1664&lt;&gt;AK1664,M1664&lt;&gt;L1664,O1664&lt;&gt;"",Q1664&lt;&gt;"",V1664&lt;&gt;1,Y1664&lt;&gt;"",AT1664&lt;&gt;""),"수정","원본")</f>
        <v/>
      </c>
      <c r="D1664" s="18" t="n">
        <v>477</v>
      </c>
      <c r="E1664" s="18" t="inlineStr">
        <is>
          <t>야느와르몽</t>
        </is>
      </c>
      <c r="F1664" s="18" t="inlineStr">
        <is>
          <t>dusknoir</t>
        </is>
      </c>
      <c r="G1664" s="18" t="inlineStr">
        <is>
          <t>dusknoir</t>
        </is>
      </c>
      <c r="H1664" s="18" t="inlineStr"/>
      <c r="I1664" s="18" t="n">
        <v>4</v>
      </c>
      <c r="J1664" s="18" t="n"/>
      <c r="K1664" s="18" t="n">
        <v>4</v>
      </c>
      <c r="L1664" s="18" t="inlineStr">
        <is>
          <t>cobbleventure:generation_4</t>
        </is>
      </c>
      <c r="M1664" s="19" t="inlineStr">
        <is>
          <t>cobbleventure:generation_4</t>
        </is>
      </c>
      <c r="N1664" s="18" t="inlineStr"/>
      <c r="O1664" s="19" t="inlineStr"/>
      <c r="P1664" s="18" t="inlineStr">
        <is>
          <t>#cobblemon:nether/is_soul_sand</t>
        </is>
      </c>
      <c r="Q1664" s="19" t="inlineStr"/>
      <c r="R1664" s="18">
        <f>IF(Q1664="",P1664,Q1664)</f>
        <v/>
      </c>
      <c r="S1664" s="18" t="inlineStr"/>
      <c r="T1664" s="18" t="inlineStr">
        <is>
          <t>common</t>
        </is>
      </c>
      <c r="U1664" s="20" t="n">
        <v>0.05</v>
      </c>
      <c r="V1664" s="21" t="n">
        <v>1</v>
      </c>
      <c r="W1664" s="20">
        <f>IF(OR(U1664="",V1664=""),U1664,U1664*V1664)</f>
        <v/>
      </c>
      <c r="X1664" s="18" t="inlineStr">
        <is>
          <t>41-53</t>
        </is>
      </c>
      <c r="Y1664" s="19" t="inlineStr"/>
      <c r="Z1664" s="18">
        <f>IF(Y1664="",X1664,Y1664)</f>
        <v/>
      </c>
      <c r="AA1664" s="18" t="inlineStr">
        <is>
          <t>grounded</t>
        </is>
      </c>
      <c r="AB1664" s="18" t="inlineStr"/>
      <c r="AC1664" s="18" t="inlineStr"/>
      <c r="AD1664" s="18" t="inlineStr"/>
      <c r="AE1664" s="18" t="inlineStr"/>
      <c r="AF1664" s="18" t="inlineStr"/>
      <c r="AG1664" s="18" t="inlineStr"/>
      <c r="AH1664" s="18" t="inlineStr"/>
      <c r="AI1664" s="18" t="inlineStr"/>
      <c r="AJ1664" s="18" t="inlineStr">
        <is>
          <t>COBBLEVERSE 수정</t>
        </is>
      </c>
      <c r="AK1664" s="18" t="inlineStr">
        <is>
          <t>사용</t>
        </is>
      </c>
      <c r="AL1664" s="18" t="inlineStr">
        <is>
          <t>COBBLEVERSE 1.7.42 / DP v31</t>
        </is>
      </c>
      <c r="AM1664" s="18" t="inlineStr">
        <is>
          <t>data/cobblemon/spawn_pool_world/0477_dusknoir.json</t>
        </is>
      </c>
      <c r="AN1664" s="18" t="inlineStr">
        <is>
          <t>dusknoir-3</t>
        </is>
      </c>
      <c r="AO1664" s="18" t="inlineStr">
        <is>
          <t>pokemon</t>
        </is>
      </c>
      <c r="AP1664" s="18" t="inlineStr">
        <is>
          <t>natural</t>
        </is>
      </c>
      <c r="AQ1664" s="18" t="inlineStr">
        <is>
          <t>{"biomes":["#cobblemon:nether/is_soul_sand"]}</t>
        </is>
      </c>
      <c r="AR1664" s="18" t="inlineStr"/>
      <c r="AS1664" s="18" t="inlineStr"/>
      <c r="AT1664" s="19" t="inlineStr"/>
    </row>
    <row r="1665" ht="32" customHeight="1">
      <c r="A1665" s="18" t="inlineStr">
        <is>
          <t>0478_froslass.json::froslass-1::001</t>
        </is>
      </c>
      <c r="B1665" s="19" t="inlineStr">
        <is>
          <t>사용</t>
        </is>
      </c>
      <c r="C1665" s="18">
        <f>IF(OR(B1665&lt;&gt;AK1665,M1665&lt;&gt;L1665,O1665&lt;&gt;"",Q1665&lt;&gt;"",V1665&lt;&gt;1,Y1665&lt;&gt;"",AT1665&lt;&gt;""),"수정","원본")</f>
        <v/>
      </c>
      <c r="D1665" s="18" t="n">
        <v>478</v>
      </c>
      <c r="E1665" s="18" t="inlineStr">
        <is>
          <t>눈여아</t>
        </is>
      </c>
      <c r="F1665" s="18" t="inlineStr">
        <is>
          <t>froslass</t>
        </is>
      </c>
      <c r="G1665" s="18" t="inlineStr">
        <is>
          <t>froslass</t>
        </is>
      </c>
      <c r="H1665" s="18" t="inlineStr"/>
      <c r="I1665" s="18" t="n">
        <v>4</v>
      </c>
      <c r="J1665" s="18" t="n"/>
      <c r="K1665" s="18" t="n">
        <v>4</v>
      </c>
      <c r="L1665" s="18" t="inlineStr">
        <is>
          <t>cobbleventure:generation_4</t>
        </is>
      </c>
      <c r="M1665" s="19" t="inlineStr">
        <is>
          <t>cobbleventure:generation_4</t>
        </is>
      </c>
      <c r="N1665" s="18" t="inlineStr"/>
      <c r="O1665" s="19" t="inlineStr"/>
      <c r="P1665" s="18" t="inlineStr">
        <is>
          <t>#cobblemon:is_glacial</t>
        </is>
      </c>
      <c r="Q1665" s="19" t="inlineStr"/>
      <c r="R1665" s="18">
        <f>IF(Q1665="",P1665,Q1665)</f>
        <v/>
      </c>
      <c r="S1665" s="18" t="inlineStr"/>
      <c r="T1665" s="18" t="inlineStr">
        <is>
          <t>uncommon</t>
        </is>
      </c>
      <c r="U1665" s="20" t="n">
        <v>0.32</v>
      </c>
      <c r="V1665" s="21" t="n">
        <v>1</v>
      </c>
      <c r="W1665" s="20">
        <f>IF(OR(U1665="",V1665=""),U1665,U1665*V1665)</f>
        <v/>
      </c>
      <c r="X1665" s="18" t="inlineStr">
        <is>
          <t>42-48</t>
        </is>
      </c>
      <c r="Y1665" s="19" t="inlineStr"/>
      <c r="Z1665" s="18">
        <f>IF(Y1665="",X1665,Y1665)</f>
        <v/>
      </c>
      <c r="AA1665" s="18" t="inlineStr">
        <is>
          <t>grounded</t>
        </is>
      </c>
      <c r="AB1665" s="18" t="inlineStr"/>
      <c r="AC1665" s="18" t="inlineStr">
        <is>
          <t>비=True</t>
        </is>
      </c>
      <c r="AD1665" s="18" t="inlineStr"/>
      <c r="AE1665" s="18" t="inlineStr">
        <is>
          <t>sky 8-15</t>
        </is>
      </c>
      <c r="AF1665" s="18" t="inlineStr"/>
      <c r="AG1665" s="18" t="inlineStr"/>
      <c r="AH1665" s="18" t="inlineStr"/>
      <c r="AI1665" s="18" t="inlineStr"/>
      <c r="AJ1665" s="18" t="inlineStr">
        <is>
          <t>Cobblemon 동일</t>
        </is>
      </c>
      <c r="AK1665" s="18" t="inlineStr">
        <is>
          <t>사용</t>
        </is>
      </c>
      <c r="AL1665" s="18" t="inlineStr">
        <is>
          <t>COBBLEVERSE 1.7.42 / DP v31</t>
        </is>
      </c>
      <c r="AM1665" s="18" t="inlineStr">
        <is>
          <t>data/cobblemon/spawn_pool_world/0478_froslass.json</t>
        </is>
      </c>
      <c r="AN1665" s="18" t="inlineStr">
        <is>
          <t>froslass-1</t>
        </is>
      </c>
      <c r="AO1665" s="18" t="inlineStr">
        <is>
          <t>pokemon</t>
        </is>
      </c>
      <c r="AP1665" s="18" t="inlineStr">
        <is>
          <t>natural; wild</t>
        </is>
      </c>
      <c r="AQ1665" s="18" t="inlineStr">
        <is>
          <t>{"biomes":["#cobblemon:is_glacial"],"isRaining":true,"maxSkyLight":15,"minSkyLight":8}</t>
        </is>
      </c>
      <c r="AR1665" s="18" t="inlineStr"/>
      <c r="AS1665" s="18" t="inlineStr"/>
      <c r="AT1665" s="19" t="inlineStr"/>
    </row>
    <row r="1666" ht="32" customHeight="1">
      <c r="A1666" s="18" t="inlineStr">
        <is>
          <t>0478_froslass.json::froslass-2::002</t>
        </is>
      </c>
      <c r="B1666" s="19" t="inlineStr">
        <is>
          <t>사용</t>
        </is>
      </c>
      <c r="C1666" s="18">
        <f>IF(OR(B1666&lt;&gt;AK1666,M1666&lt;&gt;L1666,O1666&lt;&gt;"",Q1666&lt;&gt;"",V1666&lt;&gt;1,Y1666&lt;&gt;"",AT1666&lt;&gt;""),"수정","원본")</f>
        <v/>
      </c>
      <c r="D1666" s="18" t="n">
        <v>478</v>
      </c>
      <c r="E1666" s="18" t="inlineStr">
        <is>
          <t>눈여아</t>
        </is>
      </c>
      <c r="F1666" s="18" t="inlineStr">
        <is>
          <t>froslass</t>
        </is>
      </c>
      <c r="G1666" s="18" t="inlineStr">
        <is>
          <t>froslass</t>
        </is>
      </c>
      <c r="H1666" s="18" t="inlineStr"/>
      <c r="I1666" s="18" t="n">
        <v>4</v>
      </c>
      <c r="J1666" s="18" t="n"/>
      <c r="K1666" s="18" t="n">
        <v>4</v>
      </c>
      <c r="L1666" s="18" t="inlineStr">
        <is>
          <t>cobbleventure:generation_4</t>
        </is>
      </c>
      <c r="M1666" s="19" t="inlineStr">
        <is>
          <t>cobbleventure:generation_4</t>
        </is>
      </c>
      <c r="N1666" s="18" t="inlineStr"/>
      <c r="O1666" s="19" t="inlineStr"/>
      <c r="P1666" s="18" t="inlineStr">
        <is>
          <t>#cobblemon:is_snowy; #cobblemon:is_tundra</t>
        </is>
      </c>
      <c r="Q1666" s="19" t="inlineStr"/>
      <c r="R1666" s="18">
        <f>IF(Q1666="",P1666,Q1666)</f>
        <v/>
      </c>
      <c r="S1666" s="18" t="inlineStr"/>
      <c r="T1666" s="18" t="inlineStr">
        <is>
          <t>uncommon</t>
        </is>
      </c>
      <c r="U1666" s="20" t="n">
        <v>0.4</v>
      </c>
      <c r="V1666" s="21" t="n">
        <v>1</v>
      </c>
      <c r="W1666" s="20">
        <f>IF(OR(U1666="",V1666=""),U1666,U1666*V1666)</f>
        <v/>
      </c>
      <c r="X1666" s="18" t="inlineStr">
        <is>
          <t>42-48</t>
        </is>
      </c>
      <c r="Y1666" s="19" t="inlineStr"/>
      <c r="Z1666" s="18">
        <f>IF(Y1666="",X1666,Y1666)</f>
        <v/>
      </c>
      <c r="AA1666" s="18" t="inlineStr">
        <is>
          <t>grounded</t>
        </is>
      </c>
      <c r="AB1666" s="18" t="inlineStr"/>
      <c r="AC1666" s="18" t="inlineStr"/>
      <c r="AD1666" s="18" t="inlineStr">
        <is>
          <t>minY=0</t>
        </is>
      </c>
      <c r="AE1666" s="18" t="inlineStr">
        <is>
          <t>sky 0-7</t>
        </is>
      </c>
      <c r="AF1666" s="18" t="inlineStr"/>
      <c r="AG1666" s="18" t="inlineStr"/>
      <c r="AH1666" s="18" t="inlineStr"/>
      <c r="AI1666" s="18" t="inlineStr"/>
      <c r="AJ1666" s="18" t="inlineStr">
        <is>
          <t>Cobblemon 동일</t>
        </is>
      </c>
      <c r="AK1666" s="18" t="inlineStr">
        <is>
          <t>사용</t>
        </is>
      </c>
      <c r="AL1666" s="18" t="inlineStr">
        <is>
          <t>COBBLEVERSE 1.7.42 / DP v31</t>
        </is>
      </c>
      <c r="AM1666" s="18" t="inlineStr">
        <is>
          <t>data/cobblemon/spawn_pool_world/0478_froslass.json</t>
        </is>
      </c>
      <c r="AN1666" s="18" t="inlineStr">
        <is>
          <t>froslass-2</t>
        </is>
      </c>
      <c r="AO1666" s="18" t="inlineStr">
        <is>
          <t>pokemon</t>
        </is>
      </c>
      <c r="AP1666" s="18" t="inlineStr">
        <is>
          <t>natural</t>
        </is>
      </c>
      <c r="AQ1666" s="18" t="inlineStr">
        <is>
          <t>{"biomes":["#cobblemon:is_snowy","#cobblemon:is_tundra"],"maxSkyLight":7,"minSkyLight":0,"minY":0}</t>
        </is>
      </c>
      <c r="AR1666" s="18" t="inlineStr"/>
      <c r="AS1666" s="18" t="inlineStr"/>
      <c r="AT1666" s="19" t="inlineStr"/>
    </row>
    <row r="1667" ht="32" customHeight="1">
      <c r="A1667" s="18" t="inlineStr">
        <is>
          <t>0478_froslass.json::froslass-3::003</t>
        </is>
      </c>
      <c r="B1667" s="19" t="inlineStr">
        <is>
          <t>사용</t>
        </is>
      </c>
      <c r="C1667" s="18">
        <f>IF(OR(B1667&lt;&gt;AK1667,M1667&lt;&gt;L1667,O1667&lt;&gt;"",Q1667&lt;&gt;"",V1667&lt;&gt;1,Y1667&lt;&gt;"",AT1667&lt;&gt;""),"수정","원본")</f>
        <v/>
      </c>
      <c r="D1667" s="18" t="n">
        <v>478</v>
      </c>
      <c r="E1667" s="18" t="inlineStr">
        <is>
          <t>눈여아</t>
        </is>
      </c>
      <c r="F1667" s="18" t="inlineStr">
        <is>
          <t>froslass</t>
        </is>
      </c>
      <c r="G1667" s="18" t="inlineStr">
        <is>
          <t>froslass</t>
        </is>
      </c>
      <c r="H1667" s="18" t="inlineStr"/>
      <c r="I1667" s="18" t="n">
        <v>4</v>
      </c>
      <c r="J1667" s="18" t="n"/>
      <c r="K1667" s="18" t="n">
        <v>4</v>
      </c>
      <c r="L1667" s="18" t="inlineStr">
        <is>
          <t>cobbleventure:generation_4</t>
        </is>
      </c>
      <c r="M1667" s="19" t="inlineStr">
        <is>
          <t>cobbleventure:generation_4</t>
        </is>
      </c>
      <c r="N1667" s="18" t="inlineStr">
        <is>
          <t>region_01; region_02</t>
        </is>
      </c>
      <c r="O1667" s="19" t="inlineStr"/>
      <c r="P1667" s="18" t="inlineStr">
        <is>
          <t>#cobblemon:is_overworld</t>
        </is>
      </c>
      <c r="Q1667" s="19" t="inlineStr"/>
      <c r="R1667" s="18">
        <f>IF(Q1667="",P1667,Q1667)</f>
        <v/>
      </c>
      <c r="S1667" s="18" t="inlineStr"/>
      <c r="T1667" s="18" t="inlineStr">
        <is>
          <t>common</t>
        </is>
      </c>
      <c r="U1667" s="20" t="n">
        <v>0.8</v>
      </c>
      <c r="V1667" s="21" t="n">
        <v>1</v>
      </c>
      <c r="W1667" s="20">
        <f>IF(OR(U1667="",V1667=""),U1667,U1667*V1667)</f>
        <v/>
      </c>
      <c r="X1667" s="18" t="inlineStr">
        <is>
          <t>42-48</t>
        </is>
      </c>
      <c r="Y1667" s="19" t="inlineStr"/>
      <c r="Z1667" s="18">
        <f>IF(Y1667="",X1667,Y1667)</f>
        <v/>
      </c>
      <c r="AA1667" s="18" t="inlineStr">
        <is>
          <t>grounded</t>
        </is>
      </c>
      <c r="AB1667" s="18" t="inlineStr"/>
      <c r="AC1667" s="18" t="inlineStr"/>
      <c r="AD1667" s="18" t="inlineStr"/>
      <c r="AE1667" s="18" t="inlineStr">
        <is>
          <t>sky 1-15</t>
        </is>
      </c>
      <c r="AF1667" s="18" t="inlineStr"/>
      <c r="AG1667" s="18" t="inlineStr">
        <is>
          <t>minecraft:igloo</t>
        </is>
      </c>
      <c r="AH1667" s="18" t="inlineStr"/>
      <c r="AI1667" s="18" t="inlineStr"/>
      <c r="AJ1667" s="18" t="inlineStr">
        <is>
          <t>Cobblemon 동일</t>
        </is>
      </c>
      <c r="AK1667" s="18" t="inlineStr">
        <is>
          <t>사용</t>
        </is>
      </c>
      <c r="AL1667" s="18" t="inlineStr">
        <is>
          <t>COBBLEVERSE 1.7.42 / DP v31</t>
        </is>
      </c>
      <c r="AM1667" s="18" t="inlineStr">
        <is>
          <t>data/cobblemon/spawn_pool_world/0478_froslass.json</t>
        </is>
      </c>
      <c r="AN1667" s="18" t="inlineStr">
        <is>
          <t>froslass-3</t>
        </is>
      </c>
      <c r="AO1667" s="18" t="inlineStr">
        <is>
          <t>pokemon</t>
        </is>
      </c>
      <c r="AP1667" s="18" t="inlineStr">
        <is>
          <t>natural</t>
        </is>
      </c>
      <c r="AQ1667" s="18" t="inlineStr">
        <is>
          <t>{"biomes":["#cobblemon:is_overworld"],"maxSkyLight":15,"minSkyLight":1,"structures":["minecraft:igloo"]}</t>
        </is>
      </c>
      <c r="AR1667" s="18" t="inlineStr"/>
      <c r="AS1667" s="18" t="inlineStr"/>
      <c r="AT1667" s="19" t="inlineStr"/>
    </row>
    <row r="1668" ht="32" customHeight="1">
      <c r="A1668" s="18" t="inlineStr">
        <is>
          <t>0478_froslass.json::froslass-4::004</t>
        </is>
      </c>
      <c r="B1668" s="19" t="inlineStr">
        <is>
          <t>사용</t>
        </is>
      </c>
      <c r="C1668" s="18">
        <f>IF(OR(B1668&lt;&gt;AK1668,M1668&lt;&gt;L1668,O1668&lt;&gt;"",Q1668&lt;&gt;"",V1668&lt;&gt;1,Y1668&lt;&gt;"",AT1668&lt;&gt;""),"수정","원본")</f>
        <v/>
      </c>
      <c r="D1668" s="18" t="n">
        <v>478</v>
      </c>
      <c r="E1668" s="18" t="inlineStr">
        <is>
          <t>눈여아</t>
        </is>
      </c>
      <c r="F1668" s="18" t="inlineStr">
        <is>
          <t>froslass</t>
        </is>
      </c>
      <c r="G1668" s="18" t="inlineStr">
        <is>
          <t>froslass</t>
        </is>
      </c>
      <c r="H1668" s="18" t="inlineStr"/>
      <c r="I1668" s="18" t="n">
        <v>4</v>
      </c>
      <c r="J1668" s="18" t="n"/>
      <c r="K1668" s="18" t="n">
        <v>4</v>
      </c>
      <c r="L1668" s="18" t="inlineStr">
        <is>
          <t>cobbleventure:generation_4</t>
        </is>
      </c>
      <c r="M1668" s="19" t="inlineStr">
        <is>
          <t>cobbleventure:generation_4</t>
        </is>
      </c>
      <c r="N1668" s="18" t="inlineStr"/>
      <c r="O1668" s="19" t="inlineStr"/>
      <c r="P1668" s="18" t="inlineStr">
        <is>
          <t>#cobblemon:nether/is_frozen</t>
        </is>
      </c>
      <c r="Q1668" s="19" t="inlineStr"/>
      <c r="R1668" s="18">
        <f>IF(Q1668="",P1668,Q1668)</f>
        <v/>
      </c>
      <c r="S1668" s="18" t="inlineStr"/>
      <c r="T1668" s="18" t="inlineStr">
        <is>
          <t>uncommon</t>
        </is>
      </c>
      <c r="U1668" s="20" t="n">
        <v>0.4</v>
      </c>
      <c r="V1668" s="21" t="n">
        <v>1</v>
      </c>
      <c r="W1668" s="20">
        <f>IF(OR(U1668="",V1668=""),U1668,U1668*V1668)</f>
        <v/>
      </c>
      <c r="X1668" s="18" t="inlineStr">
        <is>
          <t>42-48</t>
        </is>
      </c>
      <c r="Y1668" s="19" t="inlineStr"/>
      <c r="Z1668" s="18">
        <f>IF(Y1668="",X1668,Y1668)</f>
        <v/>
      </c>
      <c r="AA1668" s="18" t="inlineStr">
        <is>
          <t>grounded</t>
        </is>
      </c>
      <c r="AB1668" s="18" t="inlineStr"/>
      <c r="AC1668" s="18" t="inlineStr"/>
      <c r="AD1668" s="18" t="inlineStr"/>
      <c r="AE1668" s="18" t="inlineStr"/>
      <c r="AF1668" s="18" t="inlineStr"/>
      <c r="AG1668" s="18" t="inlineStr"/>
      <c r="AH1668" s="18" t="inlineStr"/>
      <c r="AI1668" s="18" t="inlineStr"/>
      <c r="AJ1668" s="18" t="inlineStr">
        <is>
          <t>Cobblemon 동일</t>
        </is>
      </c>
      <c r="AK1668" s="18" t="inlineStr">
        <is>
          <t>사용</t>
        </is>
      </c>
      <c r="AL1668" s="18" t="inlineStr">
        <is>
          <t>COBBLEVERSE 1.7.42 / DP v31</t>
        </is>
      </c>
      <c r="AM1668" s="18" t="inlineStr">
        <is>
          <t>data/cobblemon/spawn_pool_world/0478_froslass.json</t>
        </is>
      </c>
      <c r="AN1668" s="18" t="inlineStr">
        <is>
          <t>froslass-4</t>
        </is>
      </c>
      <c r="AO1668" s="18" t="inlineStr">
        <is>
          <t>pokemon</t>
        </is>
      </c>
      <c r="AP1668" s="18" t="inlineStr">
        <is>
          <t>natural</t>
        </is>
      </c>
      <c r="AQ1668" s="18" t="inlineStr">
        <is>
          <t>{"biomes":["#cobblemon:nether/is_frozen"]}</t>
        </is>
      </c>
      <c r="AR1668" s="18" t="inlineStr"/>
      <c r="AS1668" s="18" t="inlineStr"/>
      <c r="AT1668" s="19" t="inlineStr"/>
    </row>
    <row r="1669" ht="32" customHeight="1">
      <c r="A1669" s="18" t="inlineStr">
        <is>
          <t>0479_rotom.json::rotom-1::001</t>
        </is>
      </c>
      <c r="B1669" s="19" t="inlineStr">
        <is>
          <t>사용</t>
        </is>
      </c>
      <c r="C1669" s="18">
        <f>IF(OR(B1669&lt;&gt;AK1669,M1669&lt;&gt;L1669,O1669&lt;&gt;"",Q1669&lt;&gt;"",V1669&lt;&gt;1,Y1669&lt;&gt;"",AT1669&lt;&gt;""),"수정","원본")</f>
        <v/>
      </c>
      <c r="D1669" s="18" t="n">
        <v>479</v>
      </c>
      <c r="E1669" s="18" t="inlineStr">
        <is>
          <t>로토무</t>
        </is>
      </c>
      <c r="F1669" s="18" t="inlineStr">
        <is>
          <t>rotom</t>
        </is>
      </c>
      <c r="G1669" s="18" t="inlineStr">
        <is>
          <t>rotom</t>
        </is>
      </c>
      <c r="H1669" s="18" t="inlineStr"/>
      <c r="I1669" s="18" t="n">
        <v>4</v>
      </c>
      <c r="J1669" s="18" t="n"/>
      <c r="K1669" s="18" t="n">
        <v>4</v>
      </c>
      <c r="L1669" s="18" t="inlineStr">
        <is>
          <t>cobbleventure:generation_4</t>
        </is>
      </c>
      <c r="M1669" s="19" t="inlineStr">
        <is>
          <t>cobbleventure:generation_4</t>
        </is>
      </c>
      <c r="N1669" s="18" t="inlineStr">
        <is>
          <t>region_01; region_02</t>
        </is>
      </c>
      <c r="O1669" s="19" t="inlineStr"/>
      <c r="P1669" s="18" t="inlineStr">
        <is>
          <t>#cobblemon:is_overworld</t>
        </is>
      </c>
      <c r="Q1669" s="19" t="inlineStr"/>
      <c r="R1669" s="18">
        <f>IF(Q1669="",P1669,Q1669)</f>
        <v/>
      </c>
      <c r="S1669" s="18" t="inlineStr"/>
      <c r="T1669" s="18" t="inlineStr">
        <is>
          <t>rare</t>
        </is>
      </c>
      <c r="U1669" s="20" t="n">
        <v>7</v>
      </c>
      <c r="V1669" s="21" t="n">
        <v>1</v>
      </c>
      <c r="W1669" s="20">
        <f>IF(OR(U1669="",V1669=""),U1669,U1669*V1669)</f>
        <v/>
      </c>
      <c r="X1669" s="18" t="inlineStr">
        <is>
          <t>20-75</t>
        </is>
      </c>
      <c r="Y1669" s="19" t="inlineStr"/>
      <c r="Z1669" s="18">
        <f>IF(Y1669="",X1669,Y1669)</f>
        <v/>
      </c>
      <c r="AA1669" s="18" t="inlineStr">
        <is>
          <t>grounded</t>
        </is>
      </c>
      <c r="AB1669" s="18" t="inlineStr"/>
      <c r="AC1669" s="18" t="inlineStr"/>
      <c r="AD1669" s="18" t="inlineStr"/>
      <c r="AE1669" s="18" t="inlineStr"/>
      <c r="AF1669" s="18" t="inlineStr"/>
      <c r="AG1669" s="18" t="inlineStr"/>
      <c r="AH1669" s="18" t="inlineStr">
        <is>
          <t>주변=minecraft:redstone_block; minecraft:repeater; minecraft:redstone_torch; minecraft:daylight_detector; minecraft:comparator; minecraft:redstone_ore; minecraft:redstone_lamp; minecraft:lightning_rod; cobblemon:pc; cobblemon:monitor; cobblemon:healing_machine; cobblemon:restoration_tank; cobblemon:fossil_analyzer</t>
        </is>
      </c>
      <c r="AI1669" s="18" t="inlineStr"/>
      <c r="AJ1669" s="18" t="inlineStr">
        <is>
          <t>COBBLEVERSE 추가</t>
        </is>
      </c>
      <c r="AK1669" s="18" t="inlineStr">
        <is>
          <t>사용</t>
        </is>
      </c>
      <c r="AL1669" s="18" t="inlineStr">
        <is>
          <t>COBBLEVERSE 1.7.42 / DP v31</t>
        </is>
      </c>
      <c r="AM1669" s="18" t="inlineStr">
        <is>
          <t>data/cobblemon/spawn_pool_world/0479_rotom.json</t>
        </is>
      </c>
      <c r="AN1669" s="18" t="inlineStr">
        <is>
          <t>rotom-1</t>
        </is>
      </c>
      <c r="AO1669" s="18" t="inlineStr">
        <is>
          <t>pokemon</t>
        </is>
      </c>
      <c r="AP1669" s="18" t="inlineStr"/>
      <c r="AQ1669" s="18" t="inlineStr">
        <is>
          <t>{"biomes":["#cobblemon:is_overworld"],"neededNearbyBlocks":["minecraft:redstone_block","minecraft:repeater","minecraft:redstone_torch","minecraft:daylight_detector","minecraft:comparator","minecraft:redstone_ore","minecraft:redstone_lamp","minecraft:lightning_rod","cobblemon:pc","cobblemon:monitor","cobblemon:healing_machine","cobblemon:restoration_tank","cobblemon:fossil_analyzer"]}</t>
        </is>
      </c>
      <c r="AR1669" s="18" t="inlineStr"/>
      <c r="AS1669" s="18" t="inlineStr"/>
      <c r="AT1669" s="19" t="inlineStr"/>
    </row>
    <row r="1670" ht="32" customHeight="1">
      <c r="A1670" s="18" t="inlineStr">
        <is>
          <t>0480_uxie.json::uxie-1::001</t>
        </is>
      </c>
      <c r="B1670" s="19" t="inlineStr">
        <is>
          <t>사용</t>
        </is>
      </c>
      <c r="C1670" s="18">
        <f>IF(OR(B1670&lt;&gt;AK1670,M1670&lt;&gt;L1670,O1670&lt;&gt;"",Q1670&lt;&gt;"",V1670&lt;&gt;1,Y1670&lt;&gt;"",AT1670&lt;&gt;""),"수정","원본")</f>
        <v/>
      </c>
      <c r="D1670" s="18" t="n">
        <v>480</v>
      </c>
      <c r="E1670" s="18" t="inlineStr">
        <is>
          <t>유크시</t>
        </is>
      </c>
      <c r="F1670" s="18" t="inlineStr">
        <is>
          <t>uxie</t>
        </is>
      </c>
      <c r="G1670" s="18" t="inlineStr">
        <is>
          <t>uxie</t>
        </is>
      </c>
      <c r="H1670" s="18" t="inlineStr"/>
      <c r="I1670" s="18" t="n">
        <v>4</v>
      </c>
      <c r="J1670" s="18" t="n"/>
      <c r="K1670" s="18" t="n">
        <v>4</v>
      </c>
      <c r="L1670" s="18" t="inlineStr">
        <is>
          <t>cobbleventure:generation_4</t>
        </is>
      </c>
      <c r="M1670" s="19" t="inlineStr">
        <is>
          <t>cobbleventure:generation_4</t>
        </is>
      </c>
      <c r="N1670" s="18" t="inlineStr"/>
      <c r="O1670" s="19" t="inlineStr"/>
      <c r="P1670" s="18" t="inlineStr">
        <is>
          <t>cobbleverse:custom_spawn</t>
        </is>
      </c>
      <c r="Q1670" s="19" t="inlineStr"/>
      <c r="R1670" s="18">
        <f>IF(Q1670="",P1670,Q1670)</f>
        <v/>
      </c>
      <c r="S1670" s="18" t="inlineStr"/>
      <c r="T1670" s="18" t="inlineStr">
        <is>
          <t>ultra-rare</t>
        </is>
      </c>
      <c r="U1670" s="20" t="n">
        <v>0</v>
      </c>
      <c r="V1670" s="21" t="n">
        <v>1</v>
      </c>
      <c r="W1670" s="20">
        <f>IF(OR(U1670="",V1670=""),U1670,U1670*V1670)</f>
        <v/>
      </c>
      <c r="X1670" s="18" t="inlineStr">
        <is>
          <t>40-65</t>
        </is>
      </c>
      <c r="Y1670" s="19" t="inlineStr"/>
      <c r="Z1670" s="18">
        <f>IF(Y1670="",X1670,Y1670)</f>
        <v/>
      </c>
      <c r="AA1670" s="18" t="inlineStr">
        <is>
          <t>grounded</t>
        </is>
      </c>
      <c r="AB1670" s="18" t="inlineStr"/>
      <c r="AC1670" s="18" t="inlineStr"/>
      <c r="AD1670" s="18" t="inlineStr"/>
      <c r="AE1670" s="18" t="inlineStr"/>
      <c r="AF1670" s="18" t="inlineStr"/>
      <c r="AG1670" s="18" t="inlineStr"/>
      <c r="AH1670" s="18" t="inlineStr"/>
      <c r="AI1670" s="18" t="inlineStr"/>
      <c r="AJ1670" s="18" t="inlineStr">
        <is>
          <t>COBBLEVERSE 추가</t>
        </is>
      </c>
      <c r="AK1670" s="18" t="inlineStr">
        <is>
          <t>사용</t>
        </is>
      </c>
      <c r="AL1670" s="18" t="inlineStr">
        <is>
          <t>COBBLEVERSE 1.7.42 / DP v31</t>
        </is>
      </c>
      <c r="AM1670" s="18" t="inlineStr">
        <is>
          <t>data/cobblemon/spawn_pool_world/0480_uxie.json</t>
        </is>
      </c>
      <c r="AN1670" s="18" t="inlineStr">
        <is>
          <t>uxie-1</t>
        </is>
      </c>
      <c r="AO1670" s="18" t="inlineStr">
        <is>
          <t>pokemon</t>
        </is>
      </c>
      <c r="AP1670" s="18" t="inlineStr"/>
      <c r="AQ1670" s="18" t="inlineStr">
        <is>
          <t>{"biomes":["cobbleverse:custom_spawn"]}</t>
        </is>
      </c>
      <c r="AR1670" s="18" t="inlineStr"/>
      <c r="AS1670" s="18" t="inlineStr"/>
      <c r="AT1670" s="19" t="inlineStr"/>
    </row>
    <row r="1671" ht="32" customHeight="1">
      <c r="A1671" s="18" t="inlineStr">
        <is>
          <t>0481_mesprit.json::mesprit-1::001</t>
        </is>
      </c>
      <c r="B1671" s="19" t="inlineStr">
        <is>
          <t>사용</t>
        </is>
      </c>
      <c r="C1671" s="18">
        <f>IF(OR(B1671&lt;&gt;AK1671,M1671&lt;&gt;L1671,O1671&lt;&gt;"",Q1671&lt;&gt;"",V1671&lt;&gt;1,Y1671&lt;&gt;"",AT1671&lt;&gt;""),"수정","원본")</f>
        <v/>
      </c>
      <c r="D1671" s="18" t="n">
        <v>481</v>
      </c>
      <c r="E1671" s="18" t="inlineStr">
        <is>
          <t>엠라이트</t>
        </is>
      </c>
      <c r="F1671" s="18" t="inlineStr">
        <is>
          <t>mesprit</t>
        </is>
      </c>
      <c r="G1671" s="18" t="inlineStr">
        <is>
          <t>mesprit</t>
        </is>
      </c>
      <c r="H1671" s="18" t="inlineStr"/>
      <c r="I1671" s="18" t="n">
        <v>4</v>
      </c>
      <c r="J1671" s="18" t="n"/>
      <c r="K1671" s="18" t="n">
        <v>4</v>
      </c>
      <c r="L1671" s="18" t="inlineStr">
        <is>
          <t>cobbleventure:generation_4</t>
        </is>
      </c>
      <c r="M1671" s="19" t="inlineStr">
        <is>
          <t>cobbleventure:generation_4</t>
        </is>
      </c>
      <c r="N1671" s="18" t="inlineStr"/>
      <c r="O1671" s="19" t="inlineStr"/>
      <c r="P1671" s="18" t="inlineStr">
        <is>
          <t>cobbleverse:custom_spawn</t>
        </is>
      </c>
      <c r="Q1671" s="19" t="inlineStr"/>
      <c r="R1671" s="18">
        <f>IF(Q1671="",P1671,Q1671)</f>
        <v/>
      </c>
      <c r="S1671" s="18" t="inlineStr"/>
      <c r="T1671" s="18" t="inlineStr">
        <is>
          <t>ultra-rare</t>
        </is>
      </c>
      <c r="U1671" s="20" t="n">
        <v>0</v>
      </c>
      <c r="V1671" s="21" t="n">
        <v>1</v>
      </c>
      <c r="W1671" s="20">
        <f>IF(OR(U1671="",V1671=""),U1671,U1671*V1671)</f>
        <v/>
      </c>
      <c r="X1671" s="18" t="inlineStr">
        <is>
          <t>40-65</t>
        </is>
      </c>
      <c r="Y1671" s="19" t="inlineStr"/>
      <c r="Z1671" s="18">
        <f>IF(Y1671="",X1671,Y1671)</f>
        <v/>
      </c>
      <c r="AA1671" s="18" t="inlineStr">
        <is>
          <t>grounded</t>
        </is>
      </c>
      <c r="AB1671" s="18" t="inlineStr"/>
      <c r="AC1671" s="18" t="inlineStr"/>
      <c r="AD1671" s="18" t="inlineStr"/>
      <c r="AE1671" s="18" t="inlineStr"/>
      <c r="AF1671" s="18" t="inlineStr"/>
      <c r="AG1671" s="18" t="inlineStr"/>
      <c r="AH1671" s="18" t="inlineStr"/>
      <c r="AI1671" s="18" t="inlineStr"/>
      <c r="AJ1671" s="18" t="inlineStr">
        <is>
          <t>COBBLEVERSE 추가</t>
        </is>
      </c>
      <c r="AK1671" s="18" t="inlineStr">
        <is>
          <t>사용</t>
        </is>
      </c>
      <c r="AL1671" s="18" t="inlineStr">
        <is>
          <t>COBBLEVERSE 1.7.42 / DP v31</t>
        </is>
      </c>
      <c r="AM1671" s="18" t="inlineStr">
        <is>
          <t>data/cobblemon/spawn_pool_world/0481_mesprit.json</t>
        </is>
      </c>
      <c r="AN1671" s="18" t="inlineStr">
        <is>
          <t>mesprit-1</t>
        </is>
      </c>
      <c r="AO1671" s="18" t="inlineStr">
        <is>
          <t>pokemon</t>
        </is>
      </c>
      <c r="AP1671" s="18" t="inlineStr"/>
      <c r="AQ1671" s="18" t="inlineStr">
        <is>
          <t>{"biomes":["cobbleverse:custom_spawn"]}</t>
        </is>
      </c>
      <c r="AR1671" s="18" t="inlineStr"/>
      <c r="AS1671" s="18" t="inlineStr"/>
      <c r="AT1671" s="19" t="inlineStr"/>
    </row>
    <row r="1672" ht="32" customHeight="1">
      <c r="A1672" s="18" t="inlineStr">
        <is>
          <t>0482_azelf.json::azelf-1::001</t>
        </is>
      </c>
      <c r="B1672" s="19" t="inlineStr">
        <is>
          <t>사용</t>
        </is>
      </c>
      <c r="C1672" s="18">
        <f>IF(OR(B1672&lt;&gt;AK1672,M1672&lt;&gt;L1672,O1672&lt;&gt;"",Q1672&lt;&gt;"",V1672&lt;&gt;1,Y1672&lt;&gt;"",AT1672&lt;&gt;""),"수정","원본")</f>
        <v/>
      </c>
      <c r="D1672" s="18" t="n">
        <v>482</v>
      </c>
      <c r="E1672" s="18" t="inlineStr">
        <is>
          <t>아그놈</t>
        </is>
      </c>
      <c r="F1672" s="18" t="inlineStr">
        <is>
          <t>azelf</t>
        </is>
      </c>
      <c r="G1672" s="18" t="inlineStr">
        <is>
          <t>azelf</t>
        </is>
      </c>
      <c r="H1672" s="18" t="inlineStr"/>
      <c r="I1672" s="18" t="n">
        <v>4</v>
      </c>
      <c r="J1672" s="18" t="n"/>
      <c r="K1672" s="18" t="n">
        <v>4</v>
      </c>
      <c r="L1672" s="18" t="inlineStr">
        <is>
          <t>cobbleventure:generation_4</t>
        </is>
      </c>
      <c r="M1672" s="19" t="inlineStr">
        <is>
          <t>cobbleventure:generation_4</t>
        </is>
      </c>
      <c r="N1672" s="18" t="inlineStr"/>
      <c r="O1672" s="19" t="inlineStr"/>
      <c r="P1672" s="18" t="inlineStr">
        <is>
          <t>cobbleverse:custom_spawn</t>
        </is>
      </c>
      <c r="Q1672" s="19" t="inlineStr"/>
      <c r="R1672" s="18">
        <f>IF(Q1672="",P1672,Q1672)</f>
        <v/>
      </c>
      <c r="S1672" s="18" t="inlineStr"/>
      <c r="T1672" s="18" t="inlineStr">
        <is>
          <t>ultra-rare</t>
        </is>
      </c>
      <c r="U1672" s="20" t="n">
        <v>0</v>
      </c>
      <c r="V1672" s="21" t="n">
        <v>1</v>
      </c>
      <c r="W1672" s="20">
        <f>IF(OR(U1672="",V1672=""),U1672,U1672*V1672)</f>
        <v/>
      </c>
      <c r="X1672" s="18" t="inlineStr">
        <is>
          <t>40-65</t>
        </is>
      </c>
      <c r="Y1672" s="19" t="inlineStr"/>
      <c r="Z1672" s="18">
        <f>IF(Y1672="",X1672,Y1672)</f>
        <v/>
      </c>
      <c r="AA1672" s="18" t="inlineStr">
        <is>
          <t>grounded</t>
        </is>
      </c>
      <c r="AB1672" s="18" t="inlineStr"/>
      <c r="AC1672" s="18" t="inlineStr"/>
      <c r="AD1672" s="18" t="inlineStr"/>
      <c r="AE1672" s="18" t="inlineStr"/>
      <c r="AF1672" s="18" t="inlineStr"/>
      <c r="AG1672" s="18" t="inlineStr"/>
      <c r="AH1672" s="18" t="inlineStr"/>
      <c r="AI1672" s="18" t="inlineStr"/>
      <c r="AJ1672" s="18" t="inlineStr">
        <is>
          <t>COBBLEVERSE 추가</t>
        </is>
      </c>
      <c r="AK1672" s="18" t="inlineStr">
        <is>
          <t>사용</t>
        </is>
      </c>
      <c r="AL1672" s="18" t="inlineStr">
        <is>
          <t>COBBLEVERSE 1.7.42 / DP v31</t>
        </is>
      </c>
      <c r="AM1672" s="18" t="inlineStr">
        <is>
          <t>data/cobblemon/spawn_pool_world/0482_azelf.json</t>
        </is>
      </c>
      <c r="AN1672" s="18" t="inlineStr">
        <is>
          <t>azelf-1</t>
        </is>
      </c>
      <c r="AO1672" s="18" t="inlineStr">
        <is>
          <t>pokemon</t>
        </is>
      </c>
      <c r="AP1672" s="18" t="inlineStr"/>
      <c r="AQ1672" s="18" t="inlineStr">
        <is>
          <t>{"biomes":["cobbleverse:custom_spawn"]}</t>
        </is>
      </c>
      <c r="AR1672" s="18" t="inlineStr"/>
      <c r="AS1672" s="18" t="inlineStr"/>
      <c r="AT1672" s="19" t="inlineStr"/>
    </row>
    <row r="1673" ht="32" customHeight="1">
      <c r="A1673" s="18" t="inlineStr">
        <is>
          <t>0483_dialga.json::dialga-1::001</t>
        </is>
      </c>
      <c r="B1673" s="19" t="inlineStr">
        <is>
          <t>사용</t>
        </is>
      </c>
      <c r="C1673" s="18">
        <f>IF(OR(B1673&lt;&gt;AK1673,M1673&lt;&gt;L1673,O1673&lt;&gt;"",Q1673&lt;&gt;"",V1673&lt;&gt;1,Y1673&lt;&gt;"",AT1673&lt;&gt;""),"수정","원본")</f>
        <v/>
      </c>
      <c r="D1673" s="18" t="n">
        <v>483</v>
      </c>
      <c r="E1673" s="18" t="inlineStr">
        <is>
          <t>디아루가</t>
        </is>
      </c>
      <c r="F1673" s="18" t="inlineStr">
        <is>
          <t>dialga</t>
        </is>
      </c>
      <c r="G1673" s="18" t="inlineStr">
        <is>
          <t>dialga</t>
        </is>
      </c>
      <c r="H1673" s="18" t="inlineStr"/>
      <c r="I1673" s="18" t="n">
        <v>4</v>
      </c>
      <c r="J1673" s="18" t="n"/>
      <c r="K1673" s="18" t="n">
        <v>4</v>
      </c>
      <c r="L1673" s="18" t="inlineStr">
        <is>
          <t>cobbleventure:generation_4</t>
        </is>
      </c>
      <c r="M1673" s="19" t="inlineStr">
        <is>
          <t>cobbleventure:generation_4</t>
        </is>
      </c>
      <c r="N1673" s="18" t="inlineStr"/>
      <c r="O1673" s="19" t="inlineStr"/>
      <c r="P1673" s="18" t="inlineStr">
        <is>
          <t>cobbleverse:custom_spawn</t>
        </is>
      </c>
      <c r="Q1673" s="19" t="inlineStr"/>
      <c r="R1673" s="18">
        <f>IF(Q1673="",P1673,Q1673)</f>
        <v/>
      </c>
      <c r="S1673" s="18" t="inlineStr"/>
      <c r="T1673" s="18" t="inlineStr">
        <is>
          <t>ultra-rare</t>
        </is>
      </c>
      <c r="U1673" s="20" t="n">
        <v>0</v>
      </c>
      <c r="V1673" s="21" t="n">
        <v>1</v>
      </c>
      <c r="W1673" s="20">
        <f>IF(OR(U1673="",V1673=""),U1673,U1673*V1673)</f>
        <v/>
      </c>
      <c r="X1673" s="18" t="inlineStr">
        <is>
          <t>70</t>
        </is>
      </c>
      <c r="Y1673" s="19" t="inlineStr"/>
      <c r="Z1673" s="18">
        <f>IF(Y1673="",X1673,Y1673)</f>
        <v/>
      </c>
      <c r="AA1673" s="18" t="inlineStr">
        <is>
          <t>grounded</t>
        </is>
      </c>
      <c r="AB1673" s="18" t="inlineStr"/>
      <c r="AC1673" s="18" t="inlineStr"/>
      <c r="AD1673" s="18" t="inlineStr"/>
      <c r="AE1673" s="18" t="inlineStr"/>
      <c r="AF1673" s="18" t="inlineStr"/>
      <c r="AG1673" s="18" t="inlineStr"/>
      <c r="AH1673" s="18" t="inlineStr"/>
      <c r="AI1673" s="18" t="inlineStr"/>
      <c r="AJ1673" s="18" t="inlineStr">
        <is>
          <t>COBBLEVERSE 추가</t>
        </is>
      </c>
      <c r="AK1673" s="18" t="inlineStr">
        <is>
          <t>사용</t>
        </is>
      </c>
      <c r="AL1673" s="18" t="inlineStr">
        <is>
          <t>COBBLEVERSE 1.7.42 / DP v31</t>
        </is>
      </c>
      <c r="AM1673" s="18" t="inlineStr">
        <is>
          <t>data/cobblemon/spawn_pool_world/0483_dialga.json</t>
        </is>
      </c>
      <c r="AN1673" s="18" t="inlineStr">
        <is>
          <t>dialga-1</t>
        </is>
      </c>
      <c r="AO1673" s="18" t="inlineStr">
        <is>
          <t>pokemon</t>
        </is>
      </c>
      <c r="AP1673" s="18" t="inlineStr"/>
      <c r="AQ1673" s="18" t="inlineStr">
        <is>
          <t>{"biomes":["cobbleverse:custom_spawn"]}</t>
        </is>
      </c>
      <c r="AR1673" s="18" t="inlineStr"/>
      <c r="AS1673" s="18" t="inlineStr"/>
      <c r="AT1673" s="19" t="inlineStr"/>
    </row>
    <row r="1674" ht="32" customHeight="1">
      <c r="A1674" s="18" t="inlineStr">
        <is>
          <t>0484_palkia.json::palkia-1::001</t>
        </is>
      </c>
      <c r="B1674" s="19" t="inlineStr">
        <is>
          <t>사용</t>
        </is>
      </c>
      <c r="C1674" s="18">
        <f>IF(OR(B1674&lt;&gt;AK1674,M1674&lt;&gt;L1674,O1674&lt;&gt;"",Q1674&lt;&gt;"",V1674&lt;&gt;1,Y1674&lt;&gt;"",AT1674&lt;&gt;""),"수정","원본")</f>
        <v/>
      </c>
      <c r="D1674" s="18" t="n">
        <v>484</v>
      </c>
      <c r="E1674" s="18" t="inlineStr">
        <is>
          <t>펄기아</t>
        </is>
      </c>
      <c r="F1674" s="18" t="inlineStr">
        <is>
          <t>palkia</t>
        </is>
      </c>
      <c r="G1674" s="18" t="inlineStr">
        <is>
          <t>palkia</t>
        </is>
      </c>
      <c r="H1674" s="18" t="inlineStr"/>
      <c r="I1674" s="18" t="n">
        <v>4</v>
      </c>
      <c r="J1674" s="18" t="n"/>
      <c r="K1674" s="18" t="n">
        <v>4</v>
      </c>
      <c r="L1674" s="18" t="inlineStr">
        <is>
          <t>cobbleventure:generation_4</t>
        </is>
      </c>
      <c r="M1674" s="19" t="inlineStr">
        <is>
          <t>cobbleventure:generation_4</t>
        </is>
      </c>
      <c r="N1674" s="18" t="inlineStr"/>
      <c r="O1674" s="19" t="inlineStr"/>
      <c r="P1674" s="18" t="inlineStr">
        <is>
          <t>cobbleverse:custom_spawn</t>
        </is>
      </c>
      <c r="Q1674" s="19" t="inlineStr"/>
      <c r="R1674" s="18">
        <f>IF(Q1674="",P1674,Q1674)</f>
        <v/>
      </c>
      <c r="S1674" s="18" t="inlineStr"/>
      <c r="T1674" s="18" t="inlineStr">
        <is>
          <t>ultra-rare</t>
        </is>
      </c>
      <c r="U1674" s="20" t="n">
        <v>0</v>
      </c>
      <c r="V1674" s="21" t="n">
        <v>1</v>
      </c>
      <c r="W1674" s="20">
        <f>IF(OR(U1674="",V1674=""),U1674,U1674*V1674)</f>
        <v/>
      </c>
      <c r="X1674" s="18" t="inlineStr">
        <is>
          <t>70</t>
        </is>
      </c>
      <c r="Y1674" s="19" t="inlineStr"/>
      <c r="Z1674" s="18">
        <f>IF(Y1674="",X1674,Y1674)</f>
        <v/>
      </c>
      <c r="AA1674" s="18" t="inlineStr">
        <is>
          <t>grounded</t>
        </is>
      </c>
      <c r="AB1674" s="18" t="inlineStr"/>
      <c r="AC1674" s="18" t="inlineStr"/>
      <c r="AD1674" s="18" t="inlineStr"/>
      <c r="AE1674" s="18" t="inlineStr"/>
      <c r="AF1674" s="18" t="inlineStr"/>
      <c r="AG1674" s="18" t="inlineStr"/>
      <c r="AH1674" s="18" t="inlineStr"/>
      <c r="AI1674" s="18" t="inlineStr"/>
      <c r="AJ1674" s="18" t="inlineStr">
        <is>
          <t>COBBLEVERSE 추가</t>
        </is>
      </c>
      <c r="AK1674" s="18" t="inlineStr">
        <is>
          <t>사용</t>
        </is>
      </c>
      <c r="AL1674" s="18" t="inlineStr">
        <is>
          <t>COBBLEVERSE 1.7.42 / DP v31</t>
        </is>
      </c>
      <c r="AM1674" s="18" t="inlineStr">
        <is>
          <t>data/cobblemon/spawn_pool_world/0484_palkia.json</t>
        </is>
      </c>
      <c r="AN1674" s="18" t="inlineStr">
        <is>
          <t>palkia-1</t>
        </is>
      </c>
      <c r="AO1674" s="18" t="inlineStr">
        <is>
          <t>pokemon</t>
        </is>
      </c>
      <c r="AP1674" s="18" t="inlineStr"/>
      <c r="AQ1674" s="18" t="inlineStr">
        <is>
          <t>{"biomes":["cobbleverse:custom_spawn"]}</t>
        </is>
      </c>
      <c r="AR1674" s="18" t="inlineStr"/>
      <c r="AS1674" s="18" t="inlineStr"/>
      <c r="AT1674" s="19" t="inlineStr"/>
    </row>
    <row r="1675" ht="32" customHeight="1">
      <c r="A1675" s="18" t="inlineStr">
        <is>
          <t>0485_heatran.json::heatran-1::001</t>
        </is>
      </c>
      <c r="B1675" s="19" t="inlineStr">
        <is>
          <t>사용</t>
        </is>
      </c>
      <c r="C1675" s="18">
        <f>IF(OR(B1675&lt;&gt;AK1675,M1675&lt;&gt;L1675,O1675&lt;&gt;"",Q1675&lt;&gt;"",V1675&lt;&gt;1,Y1675&lt;&gt;"",AT1675&lt;&gt;""),"수정","원본")</f>
        <v/>
      </c>
      <c r="D1675" s="18" t="n">
        <v>485</v>
      </c>
      <c r="E1675" s="18" t="inlineStr">
        <is>
          <t>히드런</t>
        </is>
      </c>
      <c r="F1675" s="18" t="inlineStr">
        <is>
          <t>heatran</t>
        </is>
      </c>
      <c r="G1675" s="18" t="inlineStr">
        <is>
          <t>heatran</t>
        </is>
      </c>
      <c r="H1675" s="18" t="inlineStr"/>
      <c r="I1675" s="18" t="n">
        <v>4</v>
      </c>
      <c r="J1675" s="18" t="n"/>
      <c r="K1675" s="18" t="n">
        <v>4</v>
      </c>
      <c r="L1675" s="18" t="inlineStr">
        <is>
          <t>cobbleventure:generation_4</t>
        </is>
      </c>
      <c r="M1675" s="19" t="inlineStr">
        <is>
          <t>cobbleventure:generation_4</t>
        </is>
      </c>
      <c r="N1675" s="18" t="inlineStr"/>
      <c r="O1675" s="19" t="inlineStr"/>
      <c r="P1675" s="18" t="inlineStr">
        <is>
          <t>cobbleverse:custom_spawn</t>
        </is>
      </c>
      <c r="Q1675" s="19" t="inlineStr"/>
      <c r="R1675" s="18">
        <f>IF(Q1675="",P1675,Q1675)</f>
        <v/>
      </c>
      <c r="S1675" s="18" t="inlineStr"/>
      <c r="T1675" s="18" t="inlineStr">
        <is>
          <t>ultra-rare</t>
        </is>
      </c>
      <c r="U1675" s="20" t="n">
        <v>0</v>
      </c>
      <c r="V1675" s="21" t="n">
        <v>1</v>
      </c>
      <c r="W1675" s="20">
        <f>IF(OR(U1675="",V1675=""),U1675,U1675*V1675)</f>
        <v/>
      </c>
      <c r="X1675" s="18" t="inlineStr">
        <is>
          <t>50-65</t>
        </is>
      </c>
      <c r="Y1675" s="19" t="inlineStr"/>
      <c r="Z1675" s="18">
        <f>IF(Y1675="",X1675,Y1675)</f>
        <v/>
      </c>
      <c r="AA1675" s="18" t="inlineStr">
        <is>
          <t>grounded</t>
        </is>
      </c>
      <c r="AB1675" s="18" t="inlineStr"/>
      <c r="AC1675" s="18" t="inlineStr"/>
      <c r="AD1675" s="18" t="inlineStr"/>
      <c r="AE1675" s="18" t="inlineStr"/>
      <c r="AF1675" s="18" t="inlineStr">
        <is>
          <t>False</t>
        </is>
      </c>
      <c r="AG1675" s="18" t="inlineStr"/>
      <c r="AH1675" s="18" t="inlineStr"/>
      <c r="AI1675" s="18" t="inlineStr"/>
      <c r="AJ1675" s="18" t="inlineStr">
        <is>
          <t>COBBLEVERSE 추가</t>
        </is>
      </c>
      <c r="AK1675" s="18" t="inlineStr">
        <is>
          <t>사용</t>
        </is>
      </c>
      <c r="AL1675" s="18" t="inlineStr">
        <is>
          <t>COBBLEVERSE 1.7.42 / DP v31</t>
        </is>
      </c>
      <c r="AM1675" s="18" t="inlineStr">
        <is>
          <t>data/cobblemon/spawn_pool_world/0485_heatran.json</t>
        </is>
      </c>
      <c r="AN1675" s="18" t="inlineStr">
        <is>
          <t>heatran-1</t>
        </is>
      </c>
      <c r="AO1675" s="18" t="inlineStr">
        <is>
          <t>pokemon</t>
        </is>
      </c>
      <c r="AP1675" s="18" t="inlineStr"/>
      <c r="AQ1675" s="18" t="inlineStr">
        <is>
          <t>{"biomes":["cobbleverse:custom_spawn"],"canSeeSky":false}</t>
        </is>
      </c>
      <c r="AR1675" s="18" t="inlineStr"/>
      <c r="AS1675" s="18" t="inlineStr"/>
      <c r="AT1675" s="19" t="inlineStr"/>
    </row>
    <row r="1676" ht="32" customHeight="1">
      <c r="A1676" s="18" t="inlineStr">
        <is>
          <t>0486_regigigas.json::regigigas-1::001</t>
        </is>
      </c>
      <c r="B1676" s="19" t="inlineStr">
        <is>
          <t>사용</t>
        </is>
      </c>
      <c r="C1676" s="18">
        <f>IF(OR(B1676&lt;&gt;AK1676,M1676&lt;&gt;L1676,O1676&lt;&gt;"",Q1676&lt;&gt;"",V1676&lt;&gt;1,Y1676&lt;&gt;"",AT1676&lt;&gt;""),"수정","원본")</f>
        <v/>
      </c>
      <c r="D1676" s="18" t="n">
        <v>486</v>
      </c>
      <c r="E1676" s="18" t="inlineStr">
        <is>
          <t>레지기가스</t>
        </is>
      </c>
      <c r="F1676" s="18" t="inlineStr">
        <is>
          <t>regigigas</t>
        </is>
      </c>
      <c r="G1676" s="18" t="inlineStr">
        <is>
          <t>regigigas</t>
        </is>
      </c>
      <c r="H1676" s="18" t="inlineStr"/>
      <c r="I1676" s="18" t="n">
        <v>4</v>
      </c>
      <c r="J1676" s="18" t="n"/>
      <c r="K1676" s="18" t="n">
        <v>4</v>
      </c>
      <c r="L1676" s="18" t="inlineStr">
        <is>
          <t>cobbleventure:generation_4</t>
        </is>
      </c>
      <c r="M1676" s="19" t="inlineStr">
        <is>
          <t>cobbleventure:generation_4</t>
        </is>
      </c>
      <c r="N1676" s="18" t="inlineStr"/>
      <c r="O1676" s="19" t="inlineStr"/>
      <c r="P1676" s="18" t="inlineStr">
        <is>
          <t>cobbleverse:custom_spawn</t>
        </is>
      </c>
      <c r="Q1676" s="19" t="inlineStr"/>
      <c r="R1676" s="18">
        <f>IF(Q1676="",P1676,Q1676)</f>
        <v/>
      </c>
      <c r="S1676" s="18" t="inlineStr"/>
      <c r="T1676" s="18" t="inlineStr">
        <is>
          <t>ultra-rare</t>
        </is>
      </c>
      <c r="U1676" s="20" t="n">
        <v>0</v>
      </c>
      <c r="V1676" s="21" t="n">
        <v>1</v>
      </c>
      <c r="W1676" s="20">
        <f>IF(OR(U1676="",V1676=""),U1676,U1676*V1676)</f>
        <v/>
      </c>
      <c r="X1676" s="18" t="inlineStr">
        <is>
          <t>70-80</t>
        </is>
      </c>
      <c r="Y1676" s="19" t="inlineStr"/>
      <c r="Z1676" s="18">
        <f>IF(Y1676="",X1676,Y1676)</f>
        <v/>
      </c>
      <c r="AA1676" s="18" t="inlineStr">
        <is>
          <t>grounded</t>
        </is>
      </c>
      <c r="AB1676" s="18" t="inlineStr"/>
      <c r="AC1676" s="18" t="inlineStr"/>
      <c r="AD1676" s="18" t="inlineStr"/>
      <c r="AE1676" s="18" t="inlineStr"/>
      <c r="AF1676" s="18" t="inlineStr"/>
      <c r="AG1676" s="18" t="inlineStr"/>
      <c r="AH1676" s="18" t="inlineStr"/>
      <c r="AI1676" s="18" t="inlineStr"/>
      <c r="AJ1676" s="18" t="inlineStr">
        <is>
          <t>COBBLEVERSE 추가</t>
        </is>
      </c>
      <c r="AK1676" s="18" t="inlineStr">
        <is>
          <t>사용</t>
        </is>
      </c>
      <c r="AL1676" s="18" t="inlineStr">
        <is>
          <t>COBBLEVERSE 1.7.42 / DP v31</t>
        </is>
      </c>
      <c r="AM1676" s="18" t="inlineStr">
        <is>
          <t>data/cobblemon/spawn_pool_world/0486_regigigas.json</t>
        </is>
      </c>
      <c r="AN1676" s="18" t="inlineStr">
        <is>
          <t>regigigas-1</t>
        </is>
      </c>
      <c r="AO1676" s="18" t="inlineStr">
        <is>
          <t>pokemon</t>
        </is>
      </c>
      <c r="AP1676" s="18" t="inlineStr"/>
      <c r="AQ1676" s="18" t="inlineStr">
        <is>
          <t>{"biomes":["cobbleverse:custom_spawn"]}</t>
        </is>
      </c>
      <c r="AR1676" s="18" t="inlineStr"/>
      <c r="AS1676" s="18" t="inlineStr"/>
      <c r="AT1676" s="19" t="inlineStr"/>
    </row>
    <row r="1677" ht="32" customHeight="1">
      <c r="A1677" s="18" t="inlineStr">
        <is>
          <t>0487_giratina.json::giratina-1::001</t>
        </is>
      </c>
      <c r="B1677" s="19" t="inlineStr">
        <is>
          <t>사용</t>
        </is>
      </c>
      <c r="C1677" s="18">
        <f>IF(OR(B1677&lt;&gt;AK1677,M1677&lt;&gt;L1677,O1677&lt;&gt;"",Q1677&lt;&gt;"",V1677&lt;&gt;1,Y1677&lt;&gt;"",AT1677&lt;&gt;""),"수정","원본")</f>
        <v/>
      </c>
      <c r="D1677" s="18" t="n">
        <v>487</v>
      </c>
      <c r="E1677" s="18" t="inlineStr">
        <is>
          <t>기라티나</t>
        </is>
      </c>
      <c r="F1677" s="18" t="inlineStr">
        <is>
          <t>giratina</t>
        </is>
      </c>
      <c r="G1677" s="18" t="inlineStr">
        <is>
          <t>giratina</t>
        </is>
      </c>
      <c r="H1677" s="18" t="inlineStr"/>
      <c r="I1677" s="18" t="n">
        <v>4</v>
      </c>
      <c r="J1677" s="18" t="n"/>
      <c r="K1677" s="18" t="n">
        <v>4</v>
      </c>
      <c r="L1677" s="18" t="inlineStr">
        <is>
          <t>cobbleventure:generation_4</t>
        </is>
      </c>
      <c r="M1677" s="19" t="inlineStr">
        <is>
          <t>cobbleventure:generation_4</t>
        </is>
      </c>
      <c r="N1677" s="18" t="inlineStr"/>
      <c r="O1677" s="19" t="inlineStr"/>
      <c r="P1677" s="18" t="inlineStr">
        <is>
          <t>cobbleverse:custom_spawn</t>
        </is>
      </c>
      <c r="Q1677" s="19" t="inlineStr"/>
      <c r="R1677" s="18">
        <f>IF(Q1677="",P1677,Q1677)</f>
        <v/>
      </c>
      <c r="S1677" s="18" t="inlineStr"/>
      <c r="T1677" s="18" t="inlineStr">
        <is>
          <t>ultra-rare</t>
        </is>
      </c>
      <c r="U1677" s="20" t="n">
        <v>0</v>
      </c>
      <c r="V1677" s="21" t="n">
        <v>1</v>
      </c>
      <c r="W1677" s="20">
        <f>IF(OR(U1677="",V1677=""),U1677,U1677*V1677)</f>
        <v/>
      </c>
      <c r="X1677" s="18" t="inlineStr">
        <is>
          <t>75-95</t>
        </is>
      </c>
      <c r="Y1677" s="19" t="inlineStr"/>
      <c r="Z1677" s="18">
        <f>IF(Y1677="",X1677,Y1677)</f>
        <v/>
      </c>
      <c r="AA1677" s="18" t="inlineStr">
        <is>
          <t>grounded</t>
        </is>
      </c>
      <c r="AB1677" s="18" t="inlineStr"/>
      <c r="AC1677" s="18" t="inlineStr"/>
      <c r="AD1677" s="18" t="inlineStr"/>
      <c r="AE1677" s="18" t="inlineStr"/>
      <c r="AF1677" s="18" t="inlineStr"/>
      <c r="AG1677" s="18" t="inlineStr"/>
      <c r="AH1677" s="18" t="inlineStr"/>
      <c r="AI1677" s="18" t="inlineStr"/>
      <c r="AJ1677" s="18" t="inlineStr">
        <is>
          <t>COBBLEVERSE 추가</t>
        </is>
      </c>
      <c r="AK1677" s="18" t="inlineStr">
        <is>
          <t>사용</t>
        </is>
      </c>
      <c r="AL1677" s="18" t="inlineStr">
        <is>
          <t>COBBLEVERSE 1.7.42 / DP v31</t>
        </is>
      </c>
      <c r="AM1677" s="18" t="inlineStr">
        <is>
          <t>data/cobblemon/spawn_pool_world/0487_giratina.json</t>
        </is>
      </c>
      <c r="AN1677" s="18" t="inlineStr">
        <is>
          <t>giratina-1</t>
        </is>
      </c>
      <c r="AO1677" s="18" t="inlineStr">
        <is>
          <t>pokemon</t>
        </is>
      </c>
      <c r="AP1677" s="18" t="inlineStr"/>
      <c r="AQ1677" s="18" t="inlineStr">
        <is>
          <t>{"biomes":["cobbleverse:custom_spawn"]}</t>
        </is>
      </c>
      <c r="AR1677" s="18" t="inlineStr"/>
      <c r="AS1677" s="18" t="inlineStr"/>
      <c r="AT1677" s="19" t="inlineStr"/>
    </row>
    <row r="1678" ht="32" customHeight="1">
      <c r="A1678" s="18" t="inlineStr">
        <is>
          <t>0488_cresselia.json::cresselia-1::001</t>
        </is>
      </c>
      <c r="B1678" s="19" t="inlineStr">
        <is>
          <t>사용</t>
        </is>
      </c>
      <c r="C1678" s="18">
        <f>IF(OR(B1678&lt;&gt;AK1678,M1678&lt;&gt;L1678,O1678&lt;&gt;"",Q1678&lt;&gt;"",V1678&lt;&gt;1,Y1678&lt;&gt;"",AT1678&lt;&gt;""),"수정","원본")</f>
        <v/>
      </c>
      <c r="D1678" s="18" t="n">
        <v>488</v>
      </c>
      <c r="E1678" s="18" t="inlineStr">
        <is>
          <t>크레세리아</t>
        </is>
      </c>
      <c r="F1678" s="18" t="inlineStr">
        <is>
          <t>cresselia</t>
        </is>
      </c>
      <c r="G1678" s="18" t="inlineStr">
        <is>
          <t>cresselia</t>
        </is>
      </c>
      <c r="H1678" s="18" t="inlineStr"/>
      <c r="I1678" s="18" t="n">
        <v>4</v>
      </c>
      <c r="J1678" s="18" t="n"/>
      <c r="K1678" s="18" t="n">
        <v>4</v>
      </c>
      <c r="L1678" s="18" t="inlineStr">
        <is>
          <t>cobbleventure:generation_4</t>
        </is>
      </c>
      <c r="M1678" s="19" t="inlineStr">
        <is>
          <t>cobbleventure:generation_4</t>
        </is>
      </c>
      <c r="N1678" s="18" t="inlineStr"/>
      <c r="O1678" s="19" t="inlineStr"/>
      <c r="P1678" s="18" t="inlineStr">
        <is>
          <t>cobbleverse:custom_spawn</t>
        </is>
      </c>
      <c r="Q1678" s="19" t="inlineStr"/>
      <c r="R1678" s="18">
        <f>IF(Q1678="",P1678,Q1678)</f>
        <v/>
      </c>
      <c r="S1678" s="18" t="inlineStr"/>
      <c r="T1678" s="18" t="inlineStr">
        <is>
          <t>ultra-rare</t>
        </is>
      </c>
      <c r="U1678" s="20" t="n">
        <v>0</v>
      </c>
      <c r="V1678" s="21" t="n">
        <v>1</v>
      </c>
      <c r="W1678" s="20">
        <f>IF(OR(U1678="",V1678=""),U1678,U1678*V1678)</f>
        <v/>
      </c>
      <c r="X1678" s="18" t="inlineStr">
        <is>
          <t>40-65</t>
        </is>
      </c>
      <c r="Y1678" s="19" t="inlineStr"/>
      <c r="Z1678" s="18">
        <f>IF(Y1678="",X1678,Y1678)</f>
        <v/>
      </c>
      <c r="AA1678" s="18" t="inlineStr">
        <is>
          <t>grounded</t>
        </is>
      </c>
      <c r="AB1678" s="18" t="inlineStr"/>
      <c r="AC1678" s="18" t="inlineStr"/>
      <c r="AD1678" s="18" t="inlineStr"/>
      <c r="AE1678" s="18" t="inlineStr"/>
      <c r="AF1678" s="18" t="inlineStr"/>
      <c r="AG1678" s="18" t="inlineStr"/>
      <c r="AH1678" s="18" t="inlineStr"/>
      <c r="AI1678" s="18" t="inlineStr"/>
      <c r="AJ1678" s="18" t="inlineStr">
        <is>
          <t>COBBLEVERSE 추가</t>
        </is>
      </c>
      <c r="AK1678" s="18" t="inlineStr">
        <is>
          <t>사용</t>
        </is>
      </c>
      <c r="AL1678" s="18" t="inlineStr">
        <is>
          <t>COBBLEVERSE 1.7.42 / DP v31</t>
        </is>
      </c>
      <c r="AM1678" s="18" t="inlineStr">
        <is>
          <t>data/cobblemon/spawn_pool_world/0488_cresselia.json</t>
        </is>
      </c>
      <c r="AN1678" s="18" t="inlineStr">
        <is>
          <t>cresselia-1</t>
        </is>
      </c>
      <c r="AO1678" s="18" t="inlineStr">
        <is>
          <t>pokemon</t>
        </is>
      </c>
      <c r="AP1678" s="18" t="inlineStr"/>
      <c r="AQ1678" s="18" t="inlineStr">
        <is>
          <t>{"biomes":["cobbleverse:custom_spawn"]}</t>
        </is>
      </c>
      <c r="AR1678" s="18" t="inlineStr"/>
      <c r="AS1678" s="18" t="inlineStr"/>
      <c r="AT1678" s="19" t="inlineStr"/>
    </row>
    <row r="1679" ht="32" customHeight="1">
      <c r="A1679" s="18" t="inlineStr">
        <is>
          <t>0489_phione.json::phione-1::001</t>
        </is>
      </c>
      <c r="B1679" s="19" t="inlineStr">
        <is>
          <t>사용</t>
        </is>
      </c>
      <c r="C1679" s="18">
        <f>IF(OR(B1679&lt;&gt;AK1679,M1679&lt;&gt;L1679,O1679&lt;&gt;"",Q1679&lt;&gt;"",V1679&lt;&gt;1,Y1679&lt;&gt;"",AT1679&lt;&gt;""),"수정","원본")</f>
        <v/>
      </c>
      <c r="D1679" s="18" t="n">
        <v>489</v>
      </c>
      <c r="E1679" s="18" t="inlineStr">
        <is>
          <t>피오네</t>
        </is>
      </c>
      <c r="F1679" s="18" t="inlineStr">
        <is>
          <t>phione</t>
        </is>
      </c>
      <c r="G1679" s="18" t="inlineStr">
        <is>
          <t>phione</t>
        </is>
      </c>
      <c r="H1679" s="18" t="inlineStr"/>
      <c r="I1679" s="18" t="n">
        <v>4</v>
      </c>
      <c r="J1679" s="18" t="n"/>
      <c r="K1679" s="18" t="n">
        <v>4</v>
      </c>
      <c r="L1679" s="18" t="inlineStr">
        <is>
          <t>cobbleventure:generation_4</t>
        </is>
      </c>
      <c r="M1679" s="19" t="inlineStr">
        <is>
          <t>cobbleventure:generation_4</t>
        </is>
      </c>
      <c r="N1679" s="18" t="inlineStr"/>
      <c r="O1679" s="19" t="inlineStr"/>
      <c r="P1679" s="18" t="inlineStr">
        <is>
          <t>cobbleverse:custom_spawn</t>
        </is>
      </c>
      <c r="Q1679" s="19" t="inlineStr"/>
      <c r="R1679" s="18">
        <f>IF(Q1679="",P1679,Q1679)</f>
        <v/>
      </c>
      <c r="S1679" s="18" t="inlineStr"/>
      <c r="T1679" s="18" t="inlineStr">
        <is>
          <t>ultra-rare</t>
        </is>
      </c>
      <c r="U1679" s="20" t="n">
        <v>0</v>
      </c>
      <c r="V1679" s="21" t="n">
        <v>1</v>
      </c>
      <c r="W1679" s="20">
        <f>IF(OR(U1679="",V1679=""),U1679,U1679*V1679)</f>
        <v/>
      </c>
      <c r="X1679" s="18" t="inlineStr">
        <is>
          <t>50</t>
        </is>
      </c>
      <c r="Y1679" s="19" t="inlineStr"/>
      <c r="Z1679" s="18">
        <f>IF(Y1679="",X1679,Y1679)</f>
        <v/>
      </c>
      <c r="AA1679" s="18" t="inlineStr">
        <is>
          <t>submerged</t>
        </is>
      </c>
      <c r="AB1679" s="18" t="inlineStr"/>
      <c r="AC1679" s="18" t="inlineStr"/>
      <c r="AD1679" s="18" t="inlineStr"/>
      <c r="AE1679" s="18" t="inlineStr"/>
      <c r="AF1679" s="18" t="inlineStr"/>
      <c r="AG1679" s="18" t="inlineStr"/>
      <c r="AH1679" s="18" t="inlineStr"/>
      <c r="AI1679" s="18" t="inlineStr"/>
      <c r="AJ1679" s="18" t="inlineStr">
        <is>
          <t>COBBLEVERSE 추가</t>
        </is>
      </c>
      <c r="AK1679" s="18" t="inlineStr">
        <is>
          <t>사용</t>
        </is>
      </c>
      <c r="AL1679" s="18" t="inlineStr">
        <is>
          <t>COBBLEVERSE 1.7.42 / DP v31</t>
        </is>
      </c>
      <c r="AM1679" s="18" t="inlineStr">
        <is>
          <t>data/cobblemon/spawn_pool_world/0489_phione.json</t>
        </is>
      </c>
      <c r="AN1679" s="18" t="inlineStr">
        <is>
          <t>phione-1</t>
        </is>
      </c>
      <c r="AO1679" s="18" t="inlineStr">
        <is>
          <t>pokemon</t>
        </is>
      </c>
      <c r="AP1679" s="18" t="inlineStr"/>
      <c r="AQ1679" s="18" t="inlineStr">
        <is>
          <t>{"biomes":["cobbleverse:custom_spawn"]}</t>
        </is>
      </c>
      <c r="AR1679" s="18" t="inlineStr"/>
      <c r="AS1679" s="18" t="inlineStr"/>
      <c r="AT1679" s="19" t="inlineStr"/>
    </row>
    <row r="1680" ht="32" customHeight="1">
      <c r="A1680" s="18" t="inlineStr">
        <is>
          <t>0490_manaphy.json::manaphy-1::001</t>
        </is>
      </c>
      <c r="B1680" s="19" t="inlineStr">
        <is>
          <t>사용</t>
        </is>
      </c>
      <c r="C1680" s="18">
        <f>IF(OR(B1680&lt;&gt;AK1680,M1680&lt;&gt;L1680,O1680&lt;&gt;"",Q1680&lt;&gt;"",V1680&lt;&gt;1,Y1680&lt;&gt;"",AT1680&lt;&gt;""),"수정","원본")</f>
        <v/>
      </c>
      <c r="D1680" s="18" t="n">
        <v>490</v>
      </c>
      <c r="E1680" s="18" t="inlineStr">
        <is>
          <t>마나피</t>
        </is>
      </c>
      <c r="F1680" s="18" t="inlineStr">
        <is>
          <t>manaphy</t>
        </is>
      </c>
      <c r="G1680" s="18" t="inlineStr">
        <is>
          <t>manaphy</t>
        </is>
      </c>
      <c r="H1680" s="18" t="inlineStr"/>
      <c r="I1680" s="18" t="n">
        <v>4</v>
      </c>
      <c r="J1680" s="18" t="n"/>
      <c r="K1680" s="18" t="n">
        <v>4</v>
      </c>
      <c r="L1680" s="18" t="inlineStr">
        <is>
          <t>cobbleventure:generation_4</t>
        </is>
      </c>
      <c r="M1680" s="19" t="inlineStr">
        <is>
          <t>cobbleventure:generation_4</t>
        </is>
      </c>
      <c r="N1680" s="18" t="inlineStr"/>
      <c r="O1680" s="19" t="inlineStr"/>
      <c r="P1680" s="18" t="inlineStr">
        <is>
          <t>cobbleverse:custom_spawn</t>
        </is>
      </c>
      <c r="Q1680" s="19" t="inlineStr"/>
      <c r="R1680" s="18">
        <f>IF(Q1680="",P1680,Q1680)</f>
        <v/>
      </c>
      <c r="S1680" s="18" t="inlineStr"/>
      <c r="T1680" s="18" t="inlineStr">
        <is>
          <t>ultra-rare</t>
        </is>
      </c>
      <c r="U1680" s="20" t="n">
        <v>0</v>
      </c>
      <c r="V1680" s="21" t="n">
        <v>1</v>
      </c>
      <c r="W1680" s="20">
        <f>IF(OR(U1680="",V1680=""),U1680,U1680*V1680)</f>
        <v/>
      </c>
      <c r="X1680" s="18" t="inlineStr">
        <is>
          <t>50</t>
        </is>
      </c>
      <c r="Y1680" s="19" t="inlineStr"/>
      <c r="Z1680" s="18">
        <f>IF(Y1680="",X1680,Y1680)</f>
        <v/>
      </c>
      <c r="AA1680" s="18" t="inlineStr">
        <is>
          <t>submerged</t>
        </is>
      </c>
      <c r="AB1680" s="18" t="inlineStr"/>
      <c r="AC1680" s="18" t="inlineStr"/>
      <c r="AD1680" s="18" t="inlineStr"/>
      <c r="AE1680" s="18" t="inlineStr"/>
      <c r="AF1680" s="18" t="inlineStr"/>
      <c r="AG1680" s="18" t="inlineStr"/>
      <c r="AH1680" s="18" t="inlineStr"/>
      <c r="AI1680" s="18" t="inlineStr"/>
      <c r="AJ1680" s="18" t="inlineStr">
        <is>
          <t>COBBLEVERSE 추가</t>
        </is>
      </c>
      <c r="AK1680" s="18" t="inlineStr">
        <is>
          <t>사용</t>
        </is>
      </c>
      <c r="AL1680" s="18" t="inlineStr">
        <is>
          <t>COBBLEVERSE 1.7.42 / DP v31</t>
        </is>
      </c>
      <c r="AM1680" s="18" t="inlineStr">
        <is>
          <t>data/cobblemon/spawn_pool_world/0490_manaphy.json</t>
        </is>
      </c>
      <c r="AN1680" s="18" t="inlineStr">
        <is>
          <t>manaphy-1</t>
        </is>
      </c>
      <c r="AO1680" s="18" t="inlineStr">
        <is>
          <t>pokemon</t>
        </is>
      </c>
      <c r="AP1680" s="18" t="inlineStr"/>
      <c r="AQ1680" s="18" t="inlineStr">
        <is>
          <t>{"biomes":["cobbleverse:custom_spawn"]}</t>
        </is>
      </c>
      <c r="AR1680" s="18" t="inlineStr"/>
      <c r="AS1680" s="18" t="inlineStr"/>
      <c r="AT1680" s="19" t="inlineStr"/>
    </row>
    <row r="1681" ht="32" customHeight="1">
      <c r="A1681" s="18" t="inlineStr">
        <is>
          <t>0491_darkrai.json::darkrai-1::001</t>
        </is>
      </c>
      <c r="B1681" s="19" t="inlineStr">
        <is>
          <t>사용</t>
        </is>
      </c>
      <c r="C1681" s="18">
        <f>IF(OR(B1681&lt;&gt;AK1681,M1681&lt;&gt;L1681,O1681&lt;&gt;"",Q1681&lt;&gt;"",V1681&lt;&gt;1,Y1681&lt;&gt;"",AT1681&lt;&gt;""),"수정","원본")</f>
        <v/>
      </c>
      <c r="D1681" s="18" t="n">
        <v>491</v>
      </c>
      <c r="E1681" s="18" t="inlineStr">
        <is>
          <t>다크라이</t>
        </is>
      </c>
      <c r="F1681" s="18" t="inlineStr">
        <is>
          <t>darkrai</t>
        </is>
      </c>
      <c r="G1681" s="18" t="inlineStr">
        <is>
          <t>darkrai</t>
        </is>
      </c>
      <c r="H1681" s="18" t="inlineStr"/>
      <c r="I1681" s="18" t="n">
        <v>4</v>
      </c>
      <c r="J1681" s="18" t="n"/>
      <c r="K1681" s="18" t="n">
        <v>4</v>
      </c>
      <c r="L1681" s="18" t="inlineStr">
        <is>
          <t>cobbleventure:generation_4</t>
        </is>
      </c>
      <c r="M1681" s="19" t="inlineStr">
        <is>
          <t>cobbleventure:generation_4</t>
        </is>
      </c>
      <c r="N1681" s="18" t="inlineStr"/>
      <c r="O1681" s="19" t="inlineStr"/>
      <c r="P1681" s="18" t="inlineStr">
        <is>
          <t>cobbleverse:custom_spawn/newmoon_island</t>
        </is>
      </c>
      <c r="Q1681" s="19" t="inlineStr"/>
      <c r="R1681" s="18">
        <f>IF(Q1681="",P1681,Q1681)</f>
        <v/>
      </c>
      <c r="S1681" s="18" t="inlineStr"/>
      <c r="T1681" s="18" t="inlineStr">
        <is>
          <t>ultra-rare</t>
        </is>
      </c>
      <c r="U1681" s="20" t="n">
        <v>0</v>
      </c>
      <c r="V1681" s="21" t="n">
        <v>1</v>
      </c>
      <c r="W1681" s="20">
        <f>IF(OR(U1681="",V1681=""),U1681,U1681*V1681)</f>
        <v/>
      </c>
      <c r="X1681" s="18" t="inlineStr">
        <is>
          <t>40-65</t>
        </is>
      </c>
      <c r="Y1681" s="19" t="inlineStr"/>
      <c r="Z1681" s="18">
        <f>IF(Y1681="",X1681,Y1681)</f>
        <v/>
      </c>
      <c r="AA1681" s="18" t="inlineStr">
        <is>
          <t>grounded</t>
        </is>
      </c>
      <c r="AB1681" s="18" t="inlineStr"/>
      <c r="AC1681" s="18" t="inlineStr"/>
      <c r="AD1681" s="18" t="inlineStr"/>
      <c r="AE1681" s="18" t="inlineStr"/>
      <c r="AF1681" s="18" t="inlineStr"/>
      <c r="AG1681" s="18" t="inlineStr"/>
      <c r="AH1681" s="18" t="inlineStr"/>
      <c r="AI1681" s="18" t="inlineStr"/>
      <c r="AJ1681" s="18" t="inlineStr">
        <is>
          <t>COBBLEVERSE 추가</t>
        </is>
      </c>
      <c r="AK1681" s="18" t="inlineStr">
        <is>
          <t>사용</t>
        </is>
      </c>
      <c r="AL1681" s="18" t="inlineStr">
        <is>
          <t>COBBLEVERSE 1.7.42 / DP v31</t>
        </is>
      </c>
      <c r="AM1681" s="18" t="inlineStr">
        <is>
          <t>data/cobblemon/spawn_pool_world/0491_darkrai.json</t>
        </is>
      </c>
      <c r="AN1681" s="18" t="inlineStr">
        <is>
          <t>darkrai-1</t>
        </is>
      </c>
      <c r="AO1681" s="18" t="inlineStr">
        <is>
          <t>pokemon</t>
        </is>
      </c>
      <c r="AP1681" s="18" t="inlineStr"/>
      <c r="AQ1681" s="18" t="inlineStr">
        <is>
          <t>{"biomes":["cobbleverse:custom_spawn/newmoon_island"]}</t>
        </is>
      </c>
      <c r="AR1681" s="18" t="inlineStr"/>
      <c r="AS1681" s="18" t="inlineStr"/>
      <c r="AT1681" s="19" t="inlineStr"/>
    </row>
    <row r="1682" ht="32" customHeight="1">
      <c r="A1682" s="18" t="inlineStr">
        <is>
          <t>0492_shaymin.json::shaymin-1::001</t>
        </is>
      </c>
      <c r="B1682" s="19" t="inlineStr">
        <is>
          <t>사용</t>
        </is>
      </c>
      <c r="C1682" s="18">
        <f>IF(OR(B1682&lt;&gt;AK1682,M1682&lt;&gt;L1682,O1682&lt;&gt;"",Q1682&lt;&gt;"",V1682&lt;&gt;1,Y1682&lt;&gt;"",AT1682&lt;&gt;""),"수정","원본")</f>
        <v/>
      </c>
      <c r="D1682" s="18" t="n">
        <v>492</v>
      </c>
      <c r="E1682" s="18" t="inlineStr">
        <is>
          <t>쉐이미</t>
        </is>
      </c>
      <c r="F1682" s="18" t="inlineStr">
        <is>
          <t>shaymin</t>
        </is>
      </c>
      <c r="G1682" s="18" t="inlineStr">
        <is>
          <t>shaymin</t>
        </is>
      </c>
      <c r="H1682" s="18" t="inlineStr"/>
      <c r="I1682" s="18" t="n">
        <v>4</v>
      </c>
      <c r="J1682" s="18" t="n"/>
      <c r="K1682" s="18" t="n">
        <v>4</v>
      </c>
      <c r="L1682" s="18" t="inlineStr">
        <is>
          <t>cobbleventure:generation_4</t>
        </is>
      </c>
      <c r="M1682" s="19" t="inlineStr">
        <is>
          <t>cobbleventure:generation_4</t>
        </is>
      </c>
      <c r="N1682" s="18" t="inlineStr"/>
      <c r="O1682" s="19" t="inlineStr"/>
      <c r="P1682" s="18" t="inlineStr">
        <is>
          <t>cobbleverse:custom_spawn/flower_paradise</t>
        </is>
      </c>
      <c r="Q1682" s="19" t="inlineStr"/>
      <c r="R1682" s="18">
        <f>IF(Q1682="",P1682,Q1682)</f>
        <v/>
      </c>
      <c r="S1682" s="18" t="inlineStr"/>
      <c r="T1682" s="18" t="inlineStr">
        <is>
          <t>ultra-rare</t>
        </is>
      </c>
      <c r="U1682" s="20" t="n">
        <v>0</v>
      </c>
      <c r="V1682" s="21" t="n">
        <v>1</v>
      </c>
      <c r="W1682" s="20">
        <f>IF(OR(U1682="",V1682=""),U1682,U1682*V1682)</f>
        <v/>
      </c>
      <c r="X1682" s="18" t="inlineStr">
        <is>
          <t>50-55</t>
        </is>
      </c>
      <c r="Y1682" s="19" t="inlineStr"/>
      <c r="Z1682" s="18">
        <f>IF(Y1682="",X1682,Y1682)</f>
        <v/>
      </c>
      <c r="AA1682" s="18" t="inlineStr">
        <is>
          <t>grounded</t>
        </is>
      </c>
      <c r="AB1682" s="18" t="inlineStr"/>
      <c r="AC1682" s="18" t="inlineStr"/>
      <c r="AD1682" s="18" t="inlineStr"/>
      <c r="AE1682" s="18" t="inlineStr"/>
      <c r="AF1682" s="18" t="inlineStr"/>
      <c r="AG1682" s="18" t="inlineStr"/>
      <c r="AH1682" s="18" t="inlineStr"/>
      <c r="AI1682" s="18" t="inlineStr"/>
      <c r="AJ1682" s="18" t="inlineStr">
        <is>
          <t>COBBLEVERSE 추가</t>
        </is>
      </c>
      <c r="AK1682" s="18" t="inlineStr">
        <is>
          <t>사용</t>
        </is>
      </c>
      <c r="AL1682" s="18" t="inlineStr">
        <is>
          <t>COBBLEVERSE 1.7.42 / DP v31</t>
        </is>
      </c>
      <c r="AM1682" s="18" t="inlineStr">
        <is>
          <t>data/cobblemon/spawn_pool_world/0492_shaymin.json</t>
        </is>
      </c>
      <c r="AN1682" s="18" t="inlineStr">
        <is>
          <t>shaymin-1</t>
        </is>
      </c>
      <c r="AO1682" s="18" t="inlineStr">
        <is>
          <t>pokemon</t>
        </is>
      </c>
      <c r="AP1682" s="18" t="inlineStr"/>
      <c r="AQ1682" s="18" t="inlineStr">
        <is>
          <t>{"biomes":["cobbleverse:custom_spawn/flower_paradise"]}</t>
        </is>
      </c>
      <c r="AR1682" s="18" t="inlineStr"/>
      <c r="AS1682" s="18" t="inlineStr"/>
      <c r="AT1682" s="19" t="inlineStr"/>
    </row>
    <row r="1683" ht="32" customHeight="1">
      <c r="A1683" s="18" t="inlineStr">
        <is>
          <t>0493_arceus.json::arceus-1::001</t>
        </is>
      </c>
      <c r="B1683" s="19" t="inlineStr">
        <is>
          <t>사용</t>
        </is>
      </c>
      <c r="C1683" s="18">
        <f>IF(OR(B1683&lt;&gt;AK1683,M1683&lt;&gt;L1683,O1683&lt;&gt;"",Q1683&lt;&gt;"",V1683&lt;&gt;1,Y1683&lt;&gt;"",AT1683&lt;&gt;""),"수정","원본")</f>
        <v/>
      </c>
      <c r="D1683" s="18" t="n">
        <v>493</v>
      </c>
      <c r="E1683" s="18" t="inlineStr">
        <is>
          <t>아르세우스</t>
        </is>
      </c>
      <c r="F1683" s="18" t="inlineStr">
        <is>
          <t>arceus</t>
        </is>
      </c>
      <c r="G1683" s="18" t="inlineStr">
        <is>
          <t>arceus</t>
        </is>
      </c>
      <c r="H1683" s="18" t="inlineStr"/>
      <c r="I1683" s="18" t="n">
        <v>4</v>
      </c>
      <c r="J1683" s="18" t="n"/>
      <c r="K1683" s="18" t="n">
        <v>4</v>
      </c>
      <c r="L1683" s="18" t="inlineStr">
        <is>
          <t>cobbleventure:generation_4</t>
        </is>
      </c>
      <c r="M1683" s="19" t="inlineStr">
        <is>
          <t>cobbleventure:generation_4</t>
        </is>
      </c>
      <c r="N1683" s="18" t="inlineStr"/>
      <c r="O1683" s="19" t="inlineStr"/>
      <c r="P1683" s="18" t="inlineStr">
        <is>
          <t>cobbleverse:custom_spawn/sinnoh_temple</t>
        </is>
      </c>
      <c r="Q1683" s="19" t="inlineStr"/>
      <c r="R1683" s="18">
        <f>IF(Q1683="",P1683,Q1683)</f>
        <v/>
      </c>
      <c r="S1683" s="18" t="inlineStr"/>
      <c r="T1683" s="18" t="inlineStr">
        <is>
          <t>ultra-rare</t>
        </is>
      </c>
      <c r="U1683" s="20" t="n">
        <v>0</v>
      </c>
      <c r="V1683" s="21" t="n">
        <v>1</v>
      </c>
      <c r="W1683" s="20">
        <f>IF(OR(U1683="",V1683=""),U1683,U1683*V1683)</f>
        <v/>
      </c>
      <c r="X1683" s="18" t="inlineStr">
        <is>
          <t>70</t>
        </is>
      </c>
      <c r="Y1683" s="19" t="inlineStr"/>
      <c r="Z1683" s="18">
        <f>IF(Y1683="",X1683,Y1683)</f>
        <v/>
      </c>
      <c r="AA1683" s="18" t="inlineStr">
        <is>
          <t>grounded</t>
        </is>
      </c>
      <c r="AB1683" s="18" t="inlineStr"/>
      <c r="AC1683" s="18" t="inlineStr"/>
      <c r="AD1683" s="18" t="inlineStr"/>
      <c r="AE1683" s="18" t="inlineStr"/>
      <c r="AF1683" s="18" t="inlineStr"/>
      <c r="AG1683" s="18" t="inlineStr"/>
      <c r="AH1683" s="18" t="inlineStr"/>
      <c r="AI1683" s="18" t="inlineStr"/>
      <c r="AJ1683" s="18" t="inlineStr">
        <is>
          <t>COBBLEVERSE 추가</t>
        </is>
      </c>
      <c r="AK1683" s="18" t="inlineStr">
        <is>
          <t>사용</t>
        </is>
      </c>
      <c r="AL1683" s="18" t="inlineStr">
        <is>
          <t>COBBLEVERSE 1.7.42 / DP v31</t>
        </is>
      </c>
      <c r="AM1683" s="18" t="inlineStr">
        <is>
          <t>data/cobblemon/spawn_pool_world/0493_arceus.json</t>
        </is>
      </c>
      <c r="AN1683" s="18" t="inlineStr">
        <is>
          <t>arceus-1</t>
        </is>
      </c>
      <c r="AO1683" s="18" t="inlineStr">
        <is>
          <t>pokemon</t>
        </is>
      </c>
      <c r="AP1683" s="18" t="inlineStr"/>
      <c r="AQ1683" s="18" t="inlineStr">
        <is>
          <t>{"biomes":["cobbleverse:custom_spawn/sinnoh_temple"]}</t>
        </is>
      </c>
      <c r="AR1683" s="18" t="inlineStr"/>
      <c r="AS1683" s="18" t="inlineStr"/>
      <c r="AT1683" s="19" t="inlineStr"/>
    </row>
    <row r="1684" ht="32" customHeight="1">
      <c r="A1684" s="18" t="inlineStr">
        <is>
          <t>0494_victini.json::victini-1::001</t>
        </is>
      </c>
      <c r="B1684" s="19" t="inlineStr">
        <is>
          <t>사용</t>
        </is>
      </c>
      <c r="C1684" s="18">
        <f>IF(OR(B1684&lt;&gt;AK1684,M1684&lt;&gt;L1684,O1684&lt;&gt;"",Q1684&lt;&gt;"",V1684&lt;&gt;1,Y1684&lt;&gt;"",AT1684&lt;&gt;""),"수정","원본")</f>
        <v/>
      </c>
      <c r="D1684" s="18" t="n">
        <v>494</v>
      </c>
      <c r="E1684" s="18" t="inlineStr">
        <is>
          <t>비크티니</t>
        </is>
      </c>
      <c r="F1684" s="18" t="inlineStr">
        <is>
          <t>victini</t>
        </is>
      </c>
      <c r="G1684" s="18" t="inlineStr">
        <is>
          <t>victini</t>
        </is>
      </c>
      <c r="H1684" s="18" t="inlineStr"/>
      <c r="I1684" s="18" t="n">
        <v>5</v>
      </c>
      <c r="J1684" s="18" t="n"/>
      <c r="K1684" s="18" t="n">
        <v>5</v>
      </c>
      <c r="L1684" s="18" t="inlineStr">
        <is>
          <t>cobbleventure:generation_5</t>
        </is>
      </c>
      <c r="M1684" s="19" t="inlineStr">
        <is>
          <t>cobbleventure:generation_5</t>
        </is>
      </c>
      <c r="N1684" s="18" t="inlineStr"/>
      <c r="O1684" s="19" t="inlineStr"/>
      <c r="P1684" s="18" t="inlineStr">
        <is>
          <t>minecraft:crimson_forest</t>
        </is>
      </c>
      <c r="Q1684" s="19" t="inlineStr"/>
      <c r="R1684" s="18">
        <f>IF(Q1684="",P1684,Q1684)</f>
        <v/>
      </c>
      <c r="S1684" s="18" t="inlineStr"/>
      <c r="T1684" s="18" t="inlineStr">
        <is>
          <t>ultra-rare</t>
        </is>
      </c>
      <c r="U1684" s="20" t="n">
        <v>0.6</v>
      </c>
      <c r="V1684" s="21" t="n">
        <v>1</v>
      </c>
      <c r="W1684" s="20">
        <f>IF(OR(U1684="",V1684=""),U1684,U1684*V1684)</f>
        <v/>
      </c>
      <c r="X1684" s="18" t="inlineStr">
        <is>
          <t>50</t>
        </is>
      </c>
      <c r="Y1684" s="19" t="inlineStr"/>
      <c r="Z1684" s="18">
        <f>IF(Y1684="",X1684,Y1684)</f>
        <v/>
      </c>
      <c r="AA1684" s="18" t="inlineStr">
        <is>
          <t>grounded</t>
        </is>
      </c>
      <c r="AB1684" s="18" t="inlineStr"/>
      <c r="AC1684" s="18" t="inlineStr"/>
      <c r="AD1684" s="18" t="inlineStr"/>
      <c r="AE1684" s="18" t="inlineStr"/>
      <c r="AF1684" s="18" t="inlineStr"/>
      <c r="AG1684" s="18" t="inlineStr"/>
      <c r="AH1684" s="18" t="inlineStr"/>
      <c r="AI1684" s="18" t="inlineStr"/>
      <c r="AJ1684" s="18" t="inlineStr">
        <is>
          <t>COBBLEVERSE 추가</t>
        </is>
      </c>
      <c r="AK1684" s="18" t="inlineStr">
        <is>
          <t>사용</t>
        </is>
      </c>
      <c r="AL1684" s="18" t="inlineStr">
        <is>
          <t>COBBLEVERSE 1.7.42 / DP v31</t>
        </is>
      </c>
      <c r="AM1684" s="18" t="inlineStr">
        <is>
          <t>data/cobblemon/spawn_pool_world/0494_victini.json</t>
        </is>
      </c>
      <c r="AN1684" s="18" t="inlineStr">
        <is>
          <t>victini-1</t>
        </is>
      </c>
      <c r="AO1684" s="18" t="inlineStr">
        <is>
          <t>pokemon</t>
        </is>
      </c>
      <c r="AP1684" s="18" t="inlineStr">
        <is>
          <t>natural; wild</t>
        </is>
      </c>
      <c r="AQ1684" s="18" t="inlineStr">
        <is>
          <t>{"biomes":["minecraft:crimson_forest"]}</t>
        </is>
      </c>
      <c r="AR1684" s="18" t="inlineStr"/>
      <c r="AS1684" s="18" t="inlineStr"/>
      <c r="AT1684" s="19" t="inlineStr"/>
    </row>
    <row r="1685" ht="32" customHeight="1">
      <c r="A1685" s="18" t="inlineStr">
        <is>
          <t>0495_snivy.json::snivy-1::001</t>
        </is>
      </c>
      <c r="B1685" s="19" t="inlineStr">
        <is>
          <t>사용</t>
        </is>
      </c>
      <c r="C1685" s="18">
        <f>IF(OR(B1685&lt;&gt;AK1685,M1685&lt;&gt;L1685,O1685&lt;&gt;"",Q1685&lt;&gt;"",V1685&lt;&gt;1,Y1685&lt;&gt;"",AT1685&lt;&gt;""),"수정","원본")</f>
        <v/>
      </c>
      <c r="D1685" s="18" t="n">
        <v>495</v>
      </c>
      <c r="E1685" s="18" t="inlineStr">
        <is>
          <t>주리비얀</t>
        </is>
      </c>
      <c r="F1685" s="18" t="inlineStr">
        <is>
          <t>snivy</t>
        </is>
      </c>
      <c r="G1685" s="18" t="inlineStr">
        <is>
          <t>snivy</t>
        </is>
      </c>
      <c r="H1685" s="18" t="inlineStr"/>
      <c r="I1685" s="18" t="n">
        <v>5</v>
      </c>
      <c r="J1685" s="18" t="n"/>
      <c r="K1685" s="18" t="n">
        <v>5</v>
      </c>
      <c r="L1685" s="18" t="inlineStr">
        <is>
          <t>cobbleventure:generation_5</t>
        </is>
      </c>
      <c r="M1685" s="19" t="inlineStr">
        <is>
          <t>cobbleventure:generation_5</t>
        </is>
      </c>
      <c r="N1685" s="18" t="inlineStr"/>
      <c r="O1685" s="19" t="inlineStr"/>
      <c r="P1685" s="18" t="inlineStr">
        <is>
          <t>#cobblemon:is_jungle</t>
        </is>
      </c>
      <c r="Q1685" s="19" t="inlineStr"/>
      <c r="R1685" s="18">
        <f>IF(Q1685="",P1685,Q1685)</f>
        <v/>
      </c>
      <c r="S1685" s="18" t="inlineStr"/>
      <c r="T1685" s="18" t="inlineStr">
        <is>
          <t>ultra-rare</t>
        </is>
      </c>
      <c r="U1685" s="20" t="n">
        <v>6</v>
      </c>
      <c r="V1685" s="21" t="n">
        <v>1</v>
      </c>
      <c r="W1685" s="20">
        <f>IF(OR(U1685="",V1685=""),U1685,U1685*V1685)</f>
        <v/>
      </c>
      <c r="X1685" s="18" t="inlineStr">
        <is>
          <t>5-31</t>
        </is>
      </c>
      <c r="Y1685" s="19" t="inlineStr"/>
      <c r="Z1685" s="18">
        <f>IF(Y1685="",X1685,Y1685)</f>
        <v/>
      </c>
      <c r="AA1685" s="18" t="inlineStr">
        <is>
          <t>grounded</t>
        </is>
      </c>
      <c r="AB1685" s="18" t="inlineStr"/>
      <c r="AC1685" s="18" t="inlineStr"/>
      <c r="AD1685" s="18" t="inlineStr"/>
      <c r="AE1685" s="18" t="inlineStr">
        <is>
          <t>sky 8-15</t>
        </is>
      </c>
      <c r="AF1685" s="18" t="inlineStr"/>
      <c r="AG1685" s="18" t="inlineStr"/>
      <c r="AH1685" s="18" t="inlineStr"/>
      <c r="AI1685" s="18" t="inlineStr"/>
      <c r="AJ1685" s="18" t="inlineStr">
        <is>
          <t>Cobblemon 동일</t>
        </is>
      </c>
      <c r="AK1685" s="18" t="inlineStr">
        <is>
          <t>사용</t>
        </is>
      </c>
      <c r="AL1685" s="18" t="inlineStr">
        <is>
          <t>COBBLEVERSE 1.7.42 / DP v31</t>
        </is>
      </c>
      <c r="AM1685" s="18" t="inlineStr">
        <is>
          <t>data/cobblemon/spawn_pool_world/0495_snivy.json</t>
        </is>
      </c>
      <c r="AN1685" s="18" t="inlineStr">
        <is>
          <t>snivy-1</t>
        </is>
      </c>
      <c r="AO1685" s="18" t="inlineStr">
        <is>
          <t>pokemon</t>
        </is>
      </c>
      <c r="AP1685" s="18" t="inlineStr">
        <is>
          <t>natural; treetop</t>
        </is>
      </c>
      <c r="AQ1685" s="18" t="inlineStr">
        <is>
          <t>{"biomes":["#cobblemon:is_jungle"],"maxSkyLight":15,"minSkyLight":8}</t>
        </is>
      </c>
      <c r="AR1685" s="18" t="inlineStr"/>
      <c r="AS1685" s="18" t="inlineStr"/>
      <c r="AT1685" s="19" t="inlineStr"/>
    </row>
    <row r="1686" ht="32" customHeight="1">
      <c r="A1686" s="18" t="inlineStr">
        <is>
          <t>0496_servine.json::servine-1::001</t>
        </is>
      </c>
      <c r="B1686" s="19" t="inlineStr">
        <is>
          <t>사용</t>
        </is>
      </c>
      <c r="C1686" s="18">
        <f>IF(OR(B1686&lt;&gt;AK1686,M1686&lt;&gt;L1686,O1686&lt;&gt;"",Q1686&lt;&gt;"",V1686&lt;&gt;1,Y1686&lt;&gt;"",AT1686&lt;&gt;""),"수정","원본")</f>
        <v/>
      </c>
      <c r="D1686" s="18" t="n">
        <v>496</v>
      </c>
      <c r="E1686" s="18" t="inlineStr">
        <is>
          <t>샤비</t>
        </is>
      </c>
      <c r="F1686" s="18" t="inlineStr">
        <is>
          <t>servine</t>
        </is>
      </c>
      <c r="G1686" s="18" t="inlineStr">
        <is>
          <t>servine</t>
        </is>
      </c>
      <c r="H1686" s="18" t="inlineStr"/>
      <c r="I1686" s="18" t="n">
        <v>5</v>
      </c>
      <c r="J1686" s="18" t="n"/>
      <c r="K1686" s="18" t="n">
        <v>5</v>
      </c>
      <c r="L1686" s="18" t="inlineStr">
        <is>
          <t>cobbleventure:generation_5</t>
        </is>
      </c>
      <c r="M1686" s="19" t="inlineStr">
        <is>
          <t>cobbleventure:generation_5</t>
        </is>
      </c>
      <c r="N1686" s="18" t="inlineStr"/>
      <c r="O1686" s="19" t="inlineStr"/>
      <c r="P1686" s="18" t="inlineStr">
        <is>
          <t>#cobblemon:is_jungle</t>
        </is>
      </c>
      <c r="Q1686" s="19" t="inlineStr"/>
      <c r="R1686" s="18">
        <f>IF(Q1686="",P1686,Q1686)</f>
        <v/>
      </c>
      <c r="S1686" s="18" t="inlineStr"/>
      <c r="T1686" s="18" t="inlineStr">
        <is>
          <t>ultra-rare</t>
        </is>
      </c>
      <c r="U1686" s="20" t="n">
        <v>3.6</v>
      </c>
      <c r="V1686" s="21" t="n">
        <v>1</v>
      </c>
      <c r="W1686" s="20">
        <f>IF(OR(U1686="",V1686=""),U1686,U1686*V1686)</f>
        <v/>
      </c>
      <c r="X1686" s="18" t="inlineStr">
        <is>
          <t>17-41</t>
        </is>
      </c>
      <c r="Y1686" s="19" t="inlineStr"/>
      <c r="Z1686" s="18">
        <f>IF(Y1686="",X1686,Y1686)</f>
        <v/>
      </c>
      <c r="AA1686" s="18" t="inlineStr">
        <is>
          <t>grounded</t>
        </is>
      </c>
      <c r="AB1686" s="18" t="inlineStr"/>
      <c r="AC1686" s="18" t="inlineStr"/>
      <c r="AD1686" s="18" t="inlineStr"/>
      <c r="AE1686" s="18" t="inlineStr">
        <is>
          <t>sky 8-15</t>
        </is>
      </c>
      <c r="AF1686" s="18" t="inlineStr"/>
      <c r="AG1686" s="18" t="inlineStr"/>
      <c r="AH1686" s="18" t="inlineStr"/>
      <c r="AI1686" s="18" t="inlineStr"/>
      <c r="AJ1686" s="18" t="inlineStr">
        <is>
          <t>Cobblemon 동일</t>
        </is>
      </c>
      <c r="AK1686" s="18" t="inlineStr">
        <is>
          <t>사용</t>
        </is>
      </c>
      <c r="AL1686" s="18" t="inlineStr">
        <is>
          <t>COBBLEVERSE 1.7.42 / DP v31</t>
        </is>
      </c>
      <c r="AM1686" s="18" t="inlineStr">
        <is>
          <t>data/cobblemon/spawn_pool_world/0496_servine.json</t>
        </is>
      </c>
      <c r="AN1686" s="18" t="inlineStr">
        <is>
          <t>servine-1</t>
        </is>
      </c>
      <c r="AO1686" s="18" t="inlineStr">
        <is>
          <t>pokemon</t>
        </is>
      </c>
      <c r="AP1686" s="18" t="inlineStr">
        <is>
          <t>natural; treetop</t>
        </is>
      </c>
      <c r="AQ1686" s="18" t="inlineStr">
        <is>
          <t>{"biomes":["#cobblemon:is_jungle"],"maxSkyLight":15,"minSkyLight":8}</t>
        </is>
      </c>
      <c r="AR1686" s="18" t="inlineStr"/>
      <c r="AS1686" s="18" t="inlineStr"/>
      <c r="AT1686" s="19" t="inlineStr"/>
    </row>
    <row r="1687" ht="32" customHeight="1">
      <c r="A1687" s="18" t="inlineStr">
        <is>
          <t>0497_serperior.json::serperior-1::001</t>
        </is>
      </c>
      <c r="B1687" s="19" t="inlineStr">
        <is>
          <t>사용</t>
        </is>
      </c>
      <c r="C1687" s="18">
        <f>IF(OR(B1687&lt;&gt;AK1687,M1687&lt;&gt;L1687,O1687&lt;&gt;"",Q1687&lt;&gt;"",V1687&lt;&gt;1,Y1687&lt;&gt;"",AT1687&lt;&gt;""),"수정","원본")</f>
        <v/>
      </c>
      <c r="D1687" s="18" t="n">
        <v>497</v>
      </c>
      <c r="E1687" s="18" t="inlineStr">
        <is>
          <t>샤로다</t>
        </is>
      </c>
      <c r="F1687" s="18" t="inlineStr">
        <is>
          <t>serperior</t>
        </is>
      </c>
      <c r="G1687" s="18" t="inlineStr">
        <is>
          <t>serperior</t>
        </is>
      </c>
      <c r="H1687" s="18" t="inlineStr"/>
      <c r="I1687" s="18" t="n">
        <v>5</v>
      </c>
      <c r="J1687" s="18" t="n"/>
      <c r="K1687" s="18" t="n">
        <v>5</v>
      </c>
      <c r="L1687" s="18" t="inlineStr">
        <is>
          <t>cobbleventure:generation_5</t>
        </is>
      </c>
      <c r="M1687" s="19" t="inlineStr">
        <is>
          <t>cobbleventure:generation_5</t>
        </is>
      </c>
      <c r="N1687" s="18" t="inlineStr"/>
      <c r="O1687" s="19" t="inlineStr"/>
      <c r="P1687" s="18" t="inlineStr">
        <is>
          <t>#cobblemon:is_jungle</t>
        </is>
      </c>
      <c r="Q1687" s="19" t="inlineStr"/>
      <c r="R1687" s="18">
        <f>IF(Q1687="",P1687,Q1687)</f>
        <v/>
      </c>
      <c r="S1687" s="18" t="inlineStr"/>
      <c r="T1687" s="18" t="inlineStr">
        <is>
          <t>ultra-rare</t>
        </is>
      </c>
      <c r="U1687" s="20" t="n">
        <v>0.4</v>
      </c>
      <c r="V1687" s="21" t="n">
        <v>1</v>
      </c>
      <c r="W1687" s="20">
        <f>IF(OR(U1687="",V1687=""),U1687,U1687*V1687)</f>
        <v/>
      </c>
      <c r="X1687" s="18" t="inlineStr">
        <is>
          <t>36-53</t>
        </is>
      </c>
      <c r="Y1687" s="19" t="inlineStr"/>
      <c r="Z1687" s="18">
        <f>IF(Y1687="",X1687,Y1687)</f>
        <v/>
      </c>
      <c r="AA1687" s="18" t="inlineStr">
        <is>
          <t>grounded</t>
        </is>
      </c>
      <c r="AB1687" s="18" t="inlineStr"/>
      <c r="AC1687" s="18" t="inlineStr"/>
      <c r="AD1687" s="18" t="inlineStr"/>
      <c r="AE1687" s="18" t="inlineStr">
        <is>
          <t>sky 8-15</t>
        </is>
      </c>
      <c r="AF1687" s="18" t="inlineStr"/>
      <c r="AG1687" s="18" t="inlineStr"/>
      <c r="AH1687" s="18" t="inlineStr"/>
      <c r="AI1687" s="18" t="inlineStr"/>
      <c r="AJ1687" s="18" t="inlineStr">
        <is>
          <t>Cobblemon 동일</t>
        </is>
      </c>
      <c r="AK1687" s="18" t="inlineStr">
        <is>
          <t>사용</t>
        </is>
      </c>
      <c r="AL1687" s="18" t="inlineStr">
        <is>
          <t>COBBLEVERSE 1.7.42 / DP v31</t>
        </is>
      </c>
      <c r="AM1687" s="18" t="inlineStr">
        <is>
          <t>data/cobblemon/spawn_pool_world/0497_serperior.json</t>
        </is>
      </c>
      <c r="AN1687" s="18" t="inlineStr">
        <is>
          <t>serperior-1</t>
        </is>
      </c>
      <c r="AO1687" s="18" t="inlineStr">
        <is>
          <t>pokemon</t>
        </is>
      </c>
      <c r="AP1687" s="18" t="inlineStr">
        <is>
          <t>natural; treetop</t>
        </is>
      </c>
      <c r="AQ1687" s="18" t="inlineStr">
        <is>
          <t>{"biomes":["#cobblemon:is_jungle"],"maxSkyLight":15,"minSkyLight":8}</t>
        </is>
      </c>
      <c r="AR1687" s="18" t="inlineStr"/>
      <c r="AS1687" s="18" t="inlineStr"/>
      <c r="AT1687" s="19" t="inlineStr"/>
    </row>
    <row r="1688" ht="32" customHeight="1">
      <c r="A1688" s="18" t="inlineStr">
        <is>
          <t>0498_tepig.json::tepig-1::001</t>
        </is>
      </c>
      <c r="B1688" s="19" t="inlineStr">
        <is>
          <t>사용</t>
        </is>
      </c>
      <c r="C1688" s="18">
        <f>IF(OR(B1688&lt;&gt;AK1688,M1688&lt;&gt;L1688,O1688&lt;&gt;"",Q1688&lt;&gt;"",V1688&lt;&gt;1,Y1688&lt;&gt;"",AT1688&lt;&gt;""),"수정","원본")</f>
        <v/>
      </c>
      <c r="D1688" s="18" t="n">
        <v>498</v>
      </c>
      <c r="E1688" s="18" t="inlineStr">
        <is>
          <t>뚜꾸리</t>
        </is>
      </c>
      <c r="F1688" s="18" t="inlineStr">
        <is>
          <t>tepig</t>
        </is>
      </c>
      <c r="G1688" s="18" t="inlineStr">
        <is>
          <t>tepig</t>
        </is>
      </c>
      <c r="H1688" s="18" t="inlineStr"/>
      <c r="I1688" s="18" t="n">
        <v>5</v>
      </c>
      <c r="J1688" s="18" t="n"/>
      <c r="K1688" s="18" t="n">
        <v>5</v>
      </c>
      <c r="L1688" s="18" t="inlineStr">
        <is>
          <t>cobbleventure:generation_5</t>
        </is>
      </c>
      <c r="M1688" s="19" t="inlineStr">
        <is>
          <t>cobbleventure:generation_5</t>
        </is>
      </c>
      <c r="N1688" s="18" t="inlineStr">
        <is>
          <t>region_01</t>
        </is>
      </c>
      <c r="O1688" s="19" t="inlineStr"/>
      <c r="P1688" s="18" t="inlineStr">
        <is>
          <t>#cobblemon:is_plains</t>
        </is>
      </c>
      <c r="Q1688" s="19" t="inlineStr"/>
      <c r="R1688" s="18">
        <f>IF(Q1688="",P1688,Q1688)</f>
        <v/>
      </c>
      <c r="S1688" s="18" t="inlineStr"/>
      <c r="T1688" s="18" t="inlineStr">
        <is>
          <t>ultra-rare</t>
        </is>
      </c>
      <c r="U1688" s="20" t="n">
        <v>6</v>
      </c>
      <c r="V1688" s="21" t="n">
        <v>1</v>
      </c>
      <c r="W1688" s="20">
        <f>IF(OR(U1688="",V1688=""),U1688,U1688*V1688)</f>
        <v/>
      </c>
      <c r="X1688" s="18" t="inlineStr">
        <is>
          <t>5-31</t>
        </is>
      </c>
      <c r="Y1688" s="19" t="inlineStr"/>
      <c r="Z1688" s="18">
        <f>IF(Y1688="",X1688,Y1688)</f>
        <v/>
      </c>
      <c r="AA1688" s="18" t="inlineStr">
        <is>
          <t>grounded</t>
        </is>
      </c>
      <c r="AB1688" s="18" t="inlineStr"/>
      <c r="AC1688" s="18" t="inlineStr"/>
      <c r="AD1688" s="18" t="inlineStr"/>
      <c r="AE1688" s="18" t="inlineStr">
        <is>
          <t>sky 8-15</t>
        </is>
      </c>
      <c r="AF1688" s="18" t="inlineStr"/>
      <c r="AG1688" s="18" t="inlineStr"/>
      <c r="AH1688" s="18" t="inlineStr"/>
      <c r="AI1688" s="18" t="inlineStr"/>
      <c r="AJ1688" s="18" t="inlineStr">
        <is>
          <t>Cobblemon 동일</t>
        </is>
      </c>
      <c r="AK1688" s="18" t="inlineStr">
        <is>
          <t>사용</t>
        </is>
      </c>
      <c r="AL1688" s="18" t="inlineStr">
        <is>
          <t>COBBLEVERSE 1.7.42 / DP v31</t>
        </is>
      </c>
      <c r="AM1688" s="18" t="inlineStr">
        <is>
          <t>data/cobblemon/spawn_pool_world/0498_tepig.json</t>
        </is>
      </c>
      <c r="AN1688" s="18" t="inlineStr">
        <is>
          <t>tepig-1</t>
        </is>
      </c>
      <c r="AO1688" s="18" t="inlineStr">
        <is>
          <t>pokemon</t>
        </is>
      </c>
      <c r="AP1688" s="18" t="inlineStr">
        <is>
          <t>natural</t>
        </is>
      </c>
      <c r="AQ1688" s="18" t="inlineStr">
        <is>
          <t>{"biomes":["#cobblemon:is_plains"],"maxSkyLight":15,"minSkyLight":8}</t>
        </is>
      </c>
      <c r="AR1688" s="18" t="inlineStr"/>
      <c r="AS1688" s="18" t="inlineStr"/>
      <c r="AT1688" s="19" t="inlineStr"/>
    </row>
    <row r="1689" ht="32" customHeight="1">
      <c r="A1689" s="18" t="inlineStr">
        <is>
          <t>0498_tepig.json::tepig-2::002</t>
        </is>
      </c>
      <c r="B1689" s="19" t="inlineStr">
        <is>
          <t>사용</t>
        </is>
      </c>
      <c r="C1689" s="18">
        <f>IF(OR(B1689&lt;&gt;AK1689,M1689&lt;&gt;L1689,O1689&lt;&gt;"",Q1689&lt;&gt;"",V1689&lt;&gt;1,Y1689&lt;&gt;"",AT1689&lt;&gt;""),"수정","원본")</f>
        <v/>
      </c>
      <c r="D1689" s="18" t="n">
        <v>498</v>
      </c>
      <c r="E1689" s="18" t="inlineStr">
        <is>
          <t>뚜꾸리</t>
        </is>
      </c>
      <c r="F1689" s="18" t="inlineStr">
        <is>
          <t>tepig</t>
        </is>
      </c>
      <c r="G1689" s="18" t="inlineStr">
        <is>
          <t>tepig</t>
        </is>
      </c>
      <c r="H1689" s="18" t="inlineStr"/>
      <c r="I1689" s="18" t="n">
        <v>5</v>
      </c>
      <c r="J1689" s="18" t="n"/>
      <c r="K1689" s="18" t="n">
        <v>5</v>
      </c>
      <c r="L1689" s="18" t="inlineStr">
        <is>
          <t>cobbleventure:generation_5</t>
        </is>
      </c>
      <c r="M1689" s="19" t="inlineStr">
        <is>
          <t>cobbleventure:generation_5</t>
        </is>
      </c>
      <c r="N1689" s="18" t="inlineStr"/>
      <c r="O1689" s="19" t="inlineStr"/>
      <c r="P1689" s="18" t="inlineStr">
        <is>
          <t>#cobblemon:nether/is_crimson; #cobblemon:nether/is_overgrowth</t>
        </is>
      </c>
      <c r="Q1689" s="19" t="inlineStr"/>
      <c r="R1689" s="18">
        <f>IF(Q1689="",P1689,Q1689)</f>
        <v/>
      </c>
      <c r="S1689" s="18" t="inlineStr"/>
      <c r="T1689" s="18" t="inlineStr">
        <is>
          <t>ultra-rare</t>
        </is>
      </c>
      <c r="U1689" s="20" t="n">
        <v>6</v>
      </c>
      <c r="V1689" s="21" t="n">
        <v>1</v>
      </c>
      <c r="W1689" s="20">
        <f>IF(OR(U1689="",V1689=""),U1689,U1689*V1689)</f>
        <v/>
      </c>
      <c r="X1689" s="18" t="inlineStr">
        <is>
          <t>5-31</t>
        </is>
      </c>
      <c r="Y1689" s="19" t="inlineStr"/>
      <c r="Z1689" s="18">
        <f>IF(Y1689="",X1689,Y1689)</f>
        <v/>
      </c>
      <c r="AA1689" s="18" t="inlineStr">
        <is>
          <t>grounded</t>
        </is>
      </c>
      <c r="AB1689" s="18" t="inlineStr"/>
      <c r="AC1689" s="18" t="inlineStr"/>
      <c r="AD1689" s="18" t="inlineStr"/>
      <c r="AE1689" s="18" t="inlineStr"/>
      <c r="AF1689" s="18" t="inlineStr"/>
      <c r="AG1689" s="18" t="inlineStr"/>
      <c r="AH1689" s="18" t="inlineStr"/>
      <c r="AI1689" s="18" t="inlineStr"/>
      <c r="AJ1689" s="18" t="inlineStr">
        <is>
          <t>Cobblemon 동일</t>
        </is>
      </c>
      <c r="AK1689" s="18" t="inlineStr">
        <is>
          <t>사용</t>
        </is>
      </c>
      <c r="AL1689" s="18" t="inlineStr">
        <is>
          <t>COBBLEVERSE 1.7.42 / DP v31</t>
        </is>
      </c>
      <c r="AM1689" s="18" t="inlineStr">
        <is>
          <t>data/cobblemon/spawn_pool_world/0498_tepig.json</t>
        </is>
      </c>
      <c r="AN1689" s="18" t="inlineStr">
        <is>
          <t>tepig-2</t>
        </is>
      </c>
      <c r="AO1689" s="18" t="inlineStr">
        <is>
          <t>pokemon</t>
        </is>
      </c>
      <c r="AP1689" s="18" t="inlineStr">
        <is>
          <t>natural</t>
        </is>
      </c>
      <c r="AQ1689" s="18" t="inlineStr">
        <is>
          <t>{"biomes":["#cobblemon:nether/is_crimson","#cobblemon:nether/is_overgrowth"]}</t>
        </is>
      </c>
      <c r="AR1689" s="18" t="inlineStr"/>
      <c r="AS1689" s="18" t="inlineStr"/>
      <c r="AT1689" s="19" t="inlineStr"/>
    </row>
    <row r="1690" ht="32" customHeight="1">
      <c r="A1690" s="18" t="inlineStr">
        <is>
          <t>0499_pignite.json::pignite-1::001</t>
        </is>
      </c>
      <c r="B1690" s="19" t="inlineStr">
        <is>
          <t>사용</t>
        </is>
      </c>
      <c r="C1690" s="18">
        <f>IF(OR(B1690&lt;&gt;AK1690,M1690&lt;&gt;L1690,O1690&lt;&gt;"",Q1690&lt;&gt;"",V1690&lt;&gt;1,Y1690&lt;&gt;"",AT1690&lt;&gt;""),"수정","원본")</f>
        <v/>
      </c>
      <c r="D1690" s="18" t="n">
        <v>499</v>
      </c>
      <c r="E1690" s="18" t="inlineStr">
        <is>
          <t>차오꿀</t>
        </is>
      </c>
      <c r="F1690" s="18" t="inlineStr">
        <is>
          <t>pignite</t>
        </is>
      </c>
      <c r="G1690" s="18" t="inlineStr">
        <is>
          <t>pignite</t>
        </is>
      </c>
      <c r="H1690" s="18" t="inlineStr"/>
      <c r="I1690" s="18" t="n">
        <v>5</v>
      </c>
      <c r="J1690" s="18" t="n"/>
      <c r="K1690" s="18" t="n">
        <v>5</v>
      </c>
      <c r="L1690" s="18" t="inlineStr">
        <is>
          <t>cobbleventure:generation_5</t>
        </is>
      </c>
      <c r="M1690" s="19" t="inlineStr">
        <is>
          <t>cobbleventure:generation_5</t>
        </is>
      </c>
      <c r="N1690" s="18" t="inlineStr">
        <is>
          <t>region_01</t>
        </is>
      </c>
      <c r="O1690" s="19" t="inlineStr"/>
      <c r="P1690" s="18" t="inlineStr">
        <is>
          <t>#cobblemon:is_plains</t>
        </is>
      </c>
      <c r="Q1690" s="19" t="inlineStr"/>
      <c r="R1690" s="18">
        <f>IF(Q1690="",P1690,Q1690)</f>
        <v/>
      </c>
      <c r="S1690" s="18" t="inlineStr"/>
      <c r="T1690" s="18" t="inlineStr">
        <is>
          <t>ultra-rare</t>
        </is>
      </c>
      <c r="U1690" s="20" t="n">
        <v>3.6</v>
      </c>
      <c r="V1690" s="21" t="n">
        <v>1</v>
      </c>
      <c r="W1690" s="20">
        <f>IF(OR(U1690="",V1690=""),U1690,U1690*V1690)</f>
        <v/>
      </c>
      <c r="X1690" s="18" t="inlineStr">
        <is>
          <t>17-42</t>
        </is>
      </c>
      <c r="Y1690" s="19" t="inlineStr"/>
      <c r="Z1690" s="18">
        <f>IF(Y1690="",X1690,Y1690)</f>
        <v/>
      </c>
      <c r="AA1690" s="18" t="inlineStr">
        <is>
          <t>grounded</t>
        </is>
      </c>
      <c r="AB1690" s="18" t="inlineStr"/>
      <c r="AC1690" s="18" t="inlineStr"/>
      <c r="AD1690" s="18" t="inlineStr"/>
      <c r="AE1690" s="18" t="inlineStr">
        <is>
          <t>sky 8-15</t>
        </is>
      </c>
      <c r="AF1690" s="18" t="inlineStr"/>
      <c r="AG1690" s="18" t="inlineStr"/>
      <c r="AH1690" s="18" t="inlineStr"/>
      <c r="AI1690" s="18" t="inlineStr"/>
      <c r="AJ1690" s="18" t="inlineStr">
        <is>
          <t>Cobblemon 동일</t>
        </is>
      </c>
      <c r="AK1690" s="18" t="inlineStr">
        <is>
          <t>사용</t>
        </is>
      </c>
      <c r="AL1690" s="18" t="inlineStr">
        <is>
          <t>COBBLEVERSE 1.7.42 / DP v31</t>
        </is>
      </c>
      <c r="AM1690" s="18" t="inlineStr">
        <is>
          <t>data/cobblemon/spawn_pool_world/0499_pignite.json</t>
        </is>
      </c>
      <c r="AN1690" s="18" t="inlineStr">
        <is>
          <t>pignite-1</t>
        </is>
      </c>
      <c r="AO1690" s="18" t="inlineStr">
        <is>
          <t>pokemon</t>
        </is>
      </c>
      <c r="AP1690" s="18" t="inlineStr">
        <is>
          <t>natural</t>
        </is>
      </c>
      <c r="AQ1690" s="18" t="inlineStr">
        <is>
          <t>{"biomes":["#cobblemon:is_plains"],"maxSkyLight":15,"minSkyLight":8}</t>
        </is>
      </c>
      <c r="AR1690" s="18" t="inlineStr"/>
      <c r="AS1690" s="18" t="inlineStr"/>
      <c r="AT1690" s="19" t="inlineStr"/>
    </row>
    <row r="1691" ht="32" customHeight="1">
      <c r="A1691" s="18" t="inlineStr">
        <is>
          <t>0499_pignite.json::pignite-2::002</t>
        </is>
      </c>
      <c r="B1691" s="19" t="inlineStr">
        <is>
          <t>사용</t>
        </is>
      </c>
      <c r="C1691" s="18">
        <f>IF(OR(B1691&lt;&gt;AK1691,M1691&lt;&gt;L1691,O1691&lt;&gt;"",Q1691&lt;&gt;"",V1691&lt;&gt;1,Y1691&lt;&gt;"",AT1691&lt;&gt;""),"수정","원본")</f>
        <v/>
      </c>
      <c r="D1691" s="18" t="n">
        <v>499</v>
      </c>
      <c r="E1691" s="18" t="inlineStr">
        <is>
          <t>차오꿀</t>
        </is>
      </c>
      <c r="F1691" s="18" t="inlineStr">
        <is>
          <t>pignite</t>
        </is>
      </c>
      <c r="G1691" s="18" t="inlineStr">
        <is>
          <t>pignite</t>
        </is>
      </c>
      <c r="H1691" s="18" t="inlineStr"/>
      <c r="I1691" s="18" t="n">
        <v>5</v>
      </c>
      <c r="J1691" s="18" t="n"/>
      <c r="K1691" s="18" t="n">
        <v>5</v>
      </c>
      <c r="L1691" s="18" t="inlineStr">
        <is>
          <t>cobbleventure:generation_5</t>
        </is>
      </c>
      <c r="M1691" s="19" t="inlineStr">
        <is>
          <t>cobbleventure:generation_5</t>
        </is>
      </c>
      <c r="N1691" s="18" t="inlineStr"/>
      <c r="O1691" s="19" t="inlineStr"/>
      <c r="P1691" s="18" t="inlineStr">
        <is>
          <t>#cobblemon:nether/is_crimson; #cobblemon:nether/is_overgrowth</t>
        </is>
      </c>
      <c r="Q1691" s="19" t="inlineStr"/>
      <c r="R1691" s="18">
        <f>IF(Q1691="",P1691,Q1691)</f>
        <v/>
      </c>
      <c r="S1691" s="18" t="inlineStr"/>
      <c r="T1691" s="18" t="inlineStr">
        <is>
          <t>ultra-rare</t>
        </is>
      </c>
      <c r="U1691" s="20" t="n">
        <v>3.6</v>
      </c>
      <c r="V1691" s="21" t="n">
        <v>1</v>
      </c>
      <c r="W1691" s="20">
        <f>IF(OR(U1691="",V1691=""),U1691,U1691*V1691)</f>
        <v/>
      </c>
      <c r="X1691" s="18" t="inlineStr">
        <is>
          <t>17-42</t>
        </is>
      </c>
      <c r="Y1691" s="19" t="inlineStr"/>
      <c r="Z1691" s="18">
        <f>IF(Y1691="",X1691,Y1691)</f>
        <v/>
      </c>
      <c r="AA1691" s="18" t="inlineStr">
        <is>
          <t>grounded</t>
        </is>
      </c>
      <c r="AB1691" s="18" t="inlineStr"/>
      <c r="AC1691" s="18" t="inlineStr"/>
      <c r="AD1691" s="18" t="inlineStr"/>
      <c r="AE1691" s="18" t="inlineStr"/>
      <c r="AF1691" s="18" t="inlineStr"/>
      <c r="AG1691" s="18" t="inlineStr"/>
      <c r="AH1691" s="18" t="inlineStr"/>
      <c r="AI1691" s="18" t="inlineStr"/>
      <c r="AJ1691" s="18" t="inlineStr">
        <is>
          <t>Cobblemon 동일</t>
        </is>
      </c>
      <c r="AK1691" s="18" t="inlineStr">
        <is>
          <t>사용</t>
        </is>
      </c>
      <c r="AL1691" s="18" t="inlineStr">
        <is>
          <t>COBBLEVERSE 1.7.42 / DP v31</t>
        </is>
      </c>
      <c r="AM1691" s="18" t="inlineStr">
        <is>
          <t>data/cobblemon/spawn_pool_world/0499_pignite.json</t>
        </is>
      </c>
      <c r="AN1691" s="18" t="inlineStr">
        <is>
          <t>pignite-2</t>
        </is>
      </c>
      <c r="AO1691" s="18" t="inlineStr">
        <is>
          <t>pokemon</t>
        </is>
      </c>
      <c r="AP1691" s="18" t="inlineStr">
        <is>
          <t>natural</t>
        </is>
      </c>
      <c r="AQ1691" s="18" t="inlineStr">
        <is>
          <t>{"biomes":["#cobblemon:nether/is_crimson","#cobblemon:nether/is_overgrowth"]}</t>
        </is>
      </c>
      <c r="AR1691" s="18" t="inlineStr"/>
      <c r="AS1691" s="18" t="inlineStr"/>
      <c r="AT1691" s="19" t="inlineStr"/>
    </row>
    <row r="1692" ht="32" customHeight="1">
      <c r="A1692" s="18" t="inlineStr">
        <is>
          <t>0500_emboar.json::emboar-1::001</t>
        </is>
      </c>
      <c r="B1692" s="19" t="inlineStr">
        <is>
          <t>사용</t>
        </is>
      </c>
      <c r="C1692" s="18">
        <f>IF(OR(B1692&lt;&gt;AK1692,M1692&lt;&gt;L1692,O1692&lt;&gt;"",Q1692&lt;&gt;"",V1692&lt;&gt;1,Y1692&lt;&gt;"",AT1692&lt;&gt;""),"수정","원본")</f>
        <v/>
      </c>
      <c r="D1692" s="18" t="n">
        <v>500</v>
      </c>
      <c r="E1692" s="18" t="inlineStr">
        <is>
          <t>염무왕</t>
        </is>
      </c>
      <c r="F1692" s="18" t="inlineStr">
        <is>
          <t>emboar</t>
        </is>
      </c>
      <c r="G1692" s="18" t="inlineStr">
        <is>
          <t>emboar</t>
        </is>
      </c>
      <c r="H1692" s="18" t="inlineStr"/>
      <c r="I1692" s="18" t="n">
        <v>5</v>
      </c>
      <c r="J1692" s="18" t="n"/>
      <c r="K1692" s="18" t="n">
        <v>5</v>
      </c>
      <c r="L1692" s="18" t="inlineStr">
        <is>
          <t>cobbleventure:generation_5</t>
        </is>
      </c>
      <c r="M1692" s="19" t="inlineStr">
        <is>
          <t>cobbleventure:generation_5</t>
        </is>
      </c>
      <c r="N1692" s="18" t="inlineStr">
        <is>
          <t>region_01</t>
        </is>
      </c>
      <c r="O1692" s="19" t="inlineStr"/>
      <c r="P1692" s="18" t="inlineStr">
        <is>
          <t>#cobblemon:is_plains</t>
        </is>
      </c>
      <c r="Q1692" s="19" t="inlineStr"/>
      <c r="R1692" s="18">
        <f>IF(Q1692="",P1692,Q1692)</f>
        <v/>
      </c>
      <c r="S1692" s="18" t="inlineStr"/>
      <c r="T1692" s="18" t="inlineStr">
        <is>
          <t>ultra-rare</t>
        </is>
      </c>
      <c r="U1692" s="20" t="n">
        <v>0.4</v>
      </c>
      <c r="V1692" s="21" t="n">
        <v>1</v>
      </c>
      <c r="W1692" s="20">
        <f>IF(OR(U1692="",V1692=""),U1692,U1692*V1692)</f>
        <v/>
      </c>
      <c r="X1692" s="18" t="inlineStr">
        <is>
          <t>36-53</t>
        </is>
      </c>
      <c r="Y1692" s="19" t="inlineStr"/>
      <c r="Z1692" s="18">
        <f>IF(Y1692="",X1692,Y1692)</f>
        <v/>
      </c>
      <c r="AA1692" s="18" t="inlineStr">
        <is>
          <t>grounded</t>
        </is>
      </c>
      <c r="AB1692" s="18" t="inlineStr"/>
      <c r="AC1692" s="18" t="inlineStr">
        <is>
          <t>비=False</t>
        </is>
      </c>
      <c r="AD1692" s="18" t="inlineStr"/>
      <c r="AE1692" s="18" t="inlineStr">
        <is>
          <t>sky 8-15</t>
        </is>
      </c>
      <c r="AF1692" s="18" t="inlineStr"/>
      <c r="AG1692" s="18" t="inlineStr"/>
      <c r="AH1692" s="18" t="inlineStr"/>
      <c r="AI1692" s="18" t="inlineStr"/>
      <c r="AJ1692" s="18" t="inlineStr">
        <is>
          <t>Cobblemon 동일</t>
        </is>
      </c>
      <c r="AK1692" s="18" t="inlineStr">
        <is>
          <t>사용</t>
        </is>
      </c>
      <c r="AL1692" s="18" t="inlineStr">
        <is>
          <t>COBBLEVERSE 1.7.42 / DP v31</t>
        </is>
      </c>
      <c r="AM1692" s="18" t="inlineStr">
        <is>
          <t>data/cobblemon/spawn_pool_world/0500_emboar.json</t>
        </is>
      </c>
      <c r="AN1692" s="18" t="inlineStr">
        <is>
          <t>emboar-1</t>
        </is>
      </c>
      <c r="AO1692" s="18" t="inlineStr">
        <is>
          <t>pokemon</t>
        </is>
      </c>
      <c r="AP1692" s="18" t="inlineStr">
        <is>
          <t>natural</t>
        </is>
      </c>
      <c r="AQ1692" s="18" t="inlineStr">
        <is>
          <t>{"biomes":["#cobblemon:is_plains"],"isRaining":false,"maxSkyLight":15,"minSkyLight":8}</t>
        </is>
      </c>
      <c r="AR1692" s="18" t="inlineStr"/>
      <c r="AS1692" s="18" t="inlineStr"/>
      <c r="AT1692" s="19" t="inlineStr"/>
    </row>
    <row r="1693" ht="32" customHeight="1">
      <c r="A1693" s="18" t="inlineStr">
        <is>
          <t>0500_emboar.json::emboar-2::002</t>
        </is>
      </c>
      <c r="B1693" s="19" t="inlineStr">
        <is>
          <t>사용</t>
        </is>
      </c>
      <c r="C1693" s="18">
        <f>IF(OR(B1693&lt;&gt;AK1693,M1693&lt;&gt;L1693,O1693&lt;&gt;"",Q1693&lt;&gt;"",V1693&lt;&gt;1,Y1693&lt;&gt;"",AT1693&lt;&gt;""),"수정","원본")</f>
        <v/>
      </c>
      <c r="D1693" s="18" t="n">
        <v>500</v>
      </c>
      <c r="E1693" s="18" t="inlineStr">
        <is>
          <t>염무왕</t>
        </is>
      </c>
      <c r="F1693" s="18" t="inlineStr">
        <is>
          <t>emboar</t>
        </is>
      </c>
      <c r="G1693" s="18" t="inlineStr">
        <is>
          <t>emboar</t>
        </is>
      </c>
      <c r="H1693" s="18" t="inlineStr"/>
      <c r="I1693" s="18" t="n">
        <v>5</v>
      </c>
      <c r="J1693" s="18" t="n"/>
      <c r="K1693" s="18" t="n">
        <v>5</v>
      </c>
      <c r="L1693" s="18" t="inlineStr">
        <is>
          <t>cobbleventure:generation_5</t>
        </is>
      </c>
      <c r="M1693" s="19" t="inlineStr">
        <is>
          <t>cobbleventure:generation_5</t>
        </is>
      </c>
      <c r="N1693" s="18" t="inlineStr"/>
      <c r="O1693" s="19" t="inlineStr"/>
      <c r="P1693" s="18" t="inlineStr">
        <is>
          <t>#cobblemon:nether/is_crimson; #cobblemon:nether/is_overgrowth</t>
        </is>
      </c>
      <c r="Q1693" s="19" t="inlineStr"/>
      <c r="R1693" s="18">
        <f>IF(Q1693="",P1693,Q1693)</f>
        <v/>
      </c>
      <c r="S1693" s="18" t="inlineStr"/>
      <c r="T1693" s="18" t="inlineStr">
        <is>
          <t>ultra-rare</t>
        </is>
      </c>
      <c r="U1693" s="20" t="n">
        <v>0.4</v>
      </c>
      <c r="V1693" s="21" t="n">
        <v>1</v>
      </c>
      <c r="W1693" s="20">
        <f>IF(OR(U1693="",V1693=""),U1693,U1693*V1693)</f>
        <v/>
      </c>
      <c r="X1693" s="18" t="inlineStr">
        <is>
          <t>36-53</t>
        </is>
      </c>
      <c r="Y1693" s="19" t="inlineStr"/>
      <c r="Z1693" s="18">
        <f>IF(Y1693="",X1693,Y1693)</f>
        <v/>
      </c>
      <c r="AA1693" s="18" t="inlineStr">
        <is>
          <t>grounded</t>
        </is>
      </c>
      <c r="AB1693" s="18" t="inlineStr"/>
      <c r="AC1693" s="18" t="inlineStr"/>
      <c r="AD1693" s="18" t="inlineStr"/>
      <c r="AE1693" s="18" t="inlineStr"/>
      <c r="AF1693" s="18" t="inlineStr"/>
      <c r="AG1693" s="18" t="inlineStr"/>
      <c r="AH1693" s="18" t="inlineStr"/>
      <c r="AI1693" s="18" t="inlineStr"/>
      <c r="AJ1693" s="18" t="inlineStr">
        <is>
          <t>Cobblemon 동일</t>
        </is>
      </c>
      <c r="AK1693" s="18" t="inlineStr">
        <is>
          <t>사용</t>
        </is>
      </c>
      <c r="AL1693" s="18" t="inlineStr">
        <is>
          <t>COBBLEVERSE 1.7.42 / DP v31</t>
        </is>
      </c>
      <c r="AM1693" s="18" t="inlineStr">
        <is>
          <t>data/cobblemon/spawn_pool_world/0500_emboar.json</t>
        </is>
      </c>
      <c r="AN1693" s="18" t="inlineStr">
        <is>
          <t>emboar-2</t>
        </is>
      </c>
      <c r="AO1693" s="18" t="inlineStr">
        <is>
          <t>pokemon</t>
        </is>
      </c>
      <c r="AP1693" s="18" t="inlineStr">
        <is>
          <t>natural</t>
        </is>
      </c>
      <c r="AQ1693" s="18" t="inlineStr">
        <is>
          <t>{"biomes":["#cobblemon:nether/is_crimson","#cobblemon:nether/is_overgrowth"]}</t>
        </is>
      </c>
      <c r="AR1693" s="18" t="inlineStr"/>
      <c r="AS1693" s="18" t="inlineStr"/>
      <c r="AT1693" s="19" t="inlineStr"/>
    </row>
    <row r="1694" ht="32" customHeight="1">
      <c r="A1694" s="18" t="inlineStr">
        <is>
          <t>0501_oshawott.json::oshawott-1::001</t>
        </is>
      </c>
      <c r="B1694" s="19" t="inlineStr">
        <is>
          <t>사용</t>
        </is>
      </c>
      <c r="C1694" s="18">
        <f>IF(OR(B1694&lt;&gt;AK1694,M1694&lt;&gt;L1694,O1694&lt;&gt;"",Q1694&lt;&gt;"",V1694&lt;&gt;1,Y1694&lt;&gt;"",AT1694&lt;&gt;""),"수정","원본")</f>
        <v/>
      </c>
      <c r="D1694" s="18" t="n">
        <v>501</v>
      </c>
      <c r="E1694" s="18" t="inlineStr">
        <is>
          <t>수댕이</t>
        </is>
      </c>
      <c r="F1694" s="18" t="inlineStr">
        <is>
          <t>oshawott</t>
        </is>
      </c>
      <c r="G1694" s="18" t="inlineStr">
        <is>
          <t>oshawott</t>
        </is>
      </c>
      <c r="H1694" s="18" t="inlineStr"/>
      <c r="I1694" s="18" t="n">
        <v>5</v>
      </c>
      <c r="J1694" s="18" t="n"/>
      <c r="K1694" s="18" t="n">
        <v>5</v>
      </c>
      <c r="L1694" s="18" t="inlineStr">
        <is>
          <t>cobbleventure:generation_5</t>
        </is>
      </c>
      <c r="M1694" s="19" t="inlineStr">
        <is>
          <t>cobbleventure:generation_5</t>
        </is>
      </c>
      <c r="N1694" s="18" t="inlineStr"/>
      <c r="O1694" s="19" t="inlineStr"/>
      <c r="P1694" s="18" t="inlineStr">
        <is>
          <t>#cobblemon:is_beach</t>
        </is>
      </c>
      <c r="Q1694" s="19" t="inlineStr"/>
      <c r="R1694" s="18">
        <f>IF(Q1694="",P1694,Q1694)</f>
        <v/>
      </c>
      <c r="S1694" s="18" t="inlineStr">
        <is>
          <t>#cobblemon:is_freezing</t>
        </is>
      </c>
      <c r="T1694" s="18" t="inlineStr">
        <is>
          <t>ultra-rare</t>
        </is>
      </c>
      <c r="U1694" s="20" t="n">
        <v>6</v>
      </c>
      <c r="V1694" s="21" t="n">
        <v>1</v>
      </c>
      <c r="W1694" s="20">
        <f>IF(OR(U1694="",V1694=""),U1694,U1694*V1694)</f>
        <v/>
      </c>
      <c r="X1694" s="18" t="inlineStr">
        <is>
          <t>5-31</t>
        </is>
      </c>
      <c r="Y1694" s="19" t="inlineStr"/>
      <c r="Z1694" s="18">
        <f>IF(Y1694="",X1694,Y1694)</f>
        <v/>
      </c>
      <c r="AA1694" s="18" t="inlineStr">
        <is>
          <t>grounded</t>
        </is>
      </c>
      <c r="AB1694" s="18" t="inlineStr"/>
      <c r="AC1694" s="18" t="inlineStr"/>
      <c r="AD1694" s="18" t="inlineStr"/>
      <c r="AE1694" s="18" t="inlineStr">
        <is>
          <t>sky 8-15</t>
        </is>
      </c>
      <c r="AF1694" s="18" t="inlineStr"/>
      <c r="AG1694" s="18" t="inlineStr"/>
      <c r="AH1694" s="18" t="inlineStr"/>
      <c r="AI1694" s="18" t="inlineStr"/>
      <c r="AJ1694" s="18" t="inlineStr">
        <is>
          <t>Cobblemon 동일</t>
        </is>
      </c>
      <c r="AK1694" s="18" t="inlineStr">
        <is>
          <t>사용</t>
        </is>
      </c>
      <c r="AL1694" s="18" t="inlineStr">
        <is>
          <t>COBBLEVERSE 1.7.42 / DP v31</t>
        </is>
      </c>
      <c r="AM1694" s="18" t="inlineStr">
        <is>
          <t>data/cobblemon/spawn_pool_world/0501_oshawott.json</t>
        </is>
      </c>
      <c r="AN1694" s="18" t="inlineStr">
        <is>
          <t>oshawott-1</t>
        </is>
      </c>
      <c r="AO1694" s="18" t="inlineStr">
        <is>
          <t>pokemon</t>
        </is>
      </c>
      <c r="AP1694" s="18" t="inlineStr">
        <is>
          <t>natural</t>
        </is>
      </c>
      <c r="AQ1694" s="18" t="inlineStr">
        <is>
          <t>{"biomes":["#cobblemon:is_beach"],"maxSkyLight":15,"minSkyLight":8}</t>
        </is>
      </c>
      <c r="AR1694" s="18" t="inlineStr">
        <is>
          <t>{"biomes":["#cobblemon:is_freezing"]}</t>
        </is>
      </c>
      <c r="AS1694" s="18" t="inlineStr"/>
      <c r="AT1694" s="19" t="inlineStr"/>
    </row>
    <row r="1695" ht="32" customHeight="1">
      <c r="A1695" s="18" t="inlineStr">
        <is>
          <t>0501_oshawott.json::oshawott-2::002</t>
        </is>
      </c>
      <c r="B1695" s="19" t="inlineStr">
        <is>
          <t>사용</t>
        </is>
      </c>
      <c r="C1695" s="18">
        <f>IF(OR(B1695&lt;&gt;AK1695,M1695&lt;&gt;L1695,O1695&lt;&gt;"",Q1695&lt;&gt;"",V1695&lt;&gt;1,Y1695&lt;&gt;"",AT1695&lt;&gt;""),"수정","원본")</f>
        <v/>
      </c>
      <c r="D1695" s="18" t="n">
        <v>501</v>
      </c>
      <c r="E1695" s="18" t="inlineStr">
        <is>
          <t>수댕이</t>
        </is>
      </c>
      <c r="F1695" s="18" t="inlineStr">
        <is>
          <t>oshawott</t>
        </is>
      </c>
      <c r="G1695" s="18" t="inlineStr">
        <is>
          <t>oshawott</t>
        </is>
      </c>
      <c r="H1695" s="18" t="inlineStr"/>
      <c r="I1695" s="18" t="n">
        <v>5</v>
      </c>
      <c r="J1695" s="18" t="n"/>
      <c r="K1695" s="18" t="n">
        <v>5</v>
      </c>
      <c r="L1695" s="18" t="inlineStr">
        <is>
          <t>cobbleventure:generation_5</t>
        </is>
      </c>
      <c r="M1695" s="19" t="inlineStr">
        <is>
          <t>cobbleventure:generation_5</t>
        </is>
      </c>
      <c r="N1695" s="18" t="inlineStr"/>
      <c r="O1695" s="19" t="inlineStr"/>
      <c r="P1695" s="18" t="inlineStr">
        <is>
          <t>#cobblemon:is_beach</t>
        </is>
      </c>
      <c r="Q1695" s="19" t="inlineStr"/>
      <c r="R1695" s="18">
        <f>IF(Q1695="",P1695,Q1695)</f>
        <v/>
      </c>
      <c r="S1695" s="18" t="inlineStr">
        <is>
          <t>#cobblemon:is_freezing</t>
        </is>
      </c>
      <c r="T1695" s="18" t="inlineStr">
        <is>
          <t>ultra-rare</t>
        </is>
      </c>
      <c r="U1695" s="20" t="n">
        <v>6</v>
      </c>
      <c r="V1695" s="21" t="n">
        <v>1</v>
      </c>
      <c r="W1695" s="20">
        <f>IF(OR(U1695="",V1695=""),U1695,U1695*V1695)</f>
        <v/>
      </c>
      <c r="X1695" s="18" t="inlineStr">
        <is>
          <t>5-31</t>
        </is>
      </c>
      <c r="Y1695" s="19" t="inlineStr"/>
      <c r="Z1695" s="18">
        <f>IF(Y1695="",X1695,Y1695)</f>
        <v/>
      </c>
      <c r="AA1695" s="18" t="inlineStr">
        <is>
          <t>surface</t>
        </is>
      </c>
      <c r="AB1695" s="18" t="inlineStr"/>
      <c r="AC1695" s="18" t="inlineStr"/>
      <c r="AD1695" s="18" t="inlineStr"/>
      <c r="AE1695" s="18" t="inlineStr">
        <is>
          <t>sky 8-15</t>
        </is>
      </c>
      <c r="AF1695" s="18" t="inlineStr"/>
      <c r="AG1695" s="18" t="inlineStr"/>
      <c r="AH1695" s="18" t="inlineStr"/>
      <c r="AI1695" s="18" t="inlineStr"/>
      <c r="AJ1695" s="18" t="inlineStr">
        <is>
          <t>Cobblemon 동일</t>
        </is>
      </c>
      <c r="AK1695" s="18" t="inlineStr">
        <is>
          <t>사용</t>
        </is>
      </c>
      <c r="AL1695" s="18" t="inlineStr">
        <is>
          <t>COBBLEVERSE 1.7.42 / DP v31</t>
        </is>
      </c>
      <c r="AM1695" s="18" t="inlineStr">
        <is>
          <t>data/cobblemon/spawn_pool_world/0501_oshawott.json</t>
        </is>
      </c>
      <c r="AN1695" s="18" t="inlineStr">
        <is>
          <t>oshawott-2</t>
        </is>
      </c>
      <c r="AO1695" s="18" t="inlineStr">
        <is>
          <t>pokemon</t>
        </is>
      </c>
      <c r="AP1695" s="18" t="inlineStr">
        <is>
          <t>water</t>
        </is>
      </c>
      <c r="AQ1695" s="18" t="inlineStr">
        <is>
          <t>{"biomes":["#cobblemon:is_beach"],"maxSkyLight":15,"minSkyLight":8}</t>
        </is>
      </c>
      <c r="AR1695" s="18" t="inlineStr">
        <is>
          <t>{"biomes":["#cobblemon:is_freezing"]}</t>
        </is>
      </c>
      <c r="AS1695" s="18" t="inlineStr"/>
      <c r="AT1695" s="19" t="inlineStr"/>
    </row>
    <row r="1696" ht="32" customHeight="1">
      <c r="A1696" s="18" t="inlineStr">
        <is>
          <t>0501_oshawott.json::oshawott-3::003</t>
        </is>
      </c>
      <c r="B1696" s="19" t="inlineStr">
        <is>
          <t>사용</t>
        </is>
      </c>
      <c r="C1696" s="18">
        <f>IF(OR(B1696&lt;&gt;AK1696,M1696&lt;&gt;L1696,O1696&lt;&gt;"",Q1696&lt;&gt;"",V1696&lt;&gt;1,Y1696&lt;&gt;"",AT1696&lt;&gt;""),"수정","원본")</f>
        <v/>
      </c>
      <c r="D1696" s="18" t="n">
        <v>501</v>
      </c>
      <c r="E1696" s="18" t="inlineStr">
        <is>
          <t>수댕이</t>
        </is>
      </c>
      <c r="F1696" s="18" t="inlineStr">
        <is>
          <t>oshawott</t>
        </is>
      </c>
      <c r="G1696" s="18" t="inlineStr">
        <is>
          <t>oshawott</t>
        </is>
      </c>
      <c r="H1696" s="18" t="inlineStr"/>
      <c r="I1696" s="18" t="n">
        <v>5</v>
      </c>
      <c r="J1696" s="18" t="n"/>
      <c r="K1696" s="18" t="n">
        <v>5</v>
      </c>
      <c r="L1696" s="18" t="inlineStr">
        <is>
          <t>cobbleventure:generation_5</t>
        </is>
      </c>
      <c r="M1696" s="19" t="inlineStr">
        <is>
          <t>cobbleventure:generation_5</t>
        </is>
      </c>
      <c r="N1696" s="18" t="inlineStr"/>
      <c r="O1696" s="19" t="inlineStr"/>
      <c r="P1696" s="18" t="inlineStr">
        <is>
          <t>#cobblemon:is_beach; #cobblemon:is_ocean; #cobblemon:is_tropical_island</t>
        </is>
      </c>
      <c r="Q1696" s="19" t="inlineStr"/>
      <c r="R1696" s="18">
        <f>IF(Q1696="",P1696,Q1696)</f>
        <v/>
      </c>
      <c r="S1696" s="18" t="inlineStr">
        <is>
          <t>#cobblemon:is_cold</t>
        </is>
      </c>
      <c r="T1696" s="18" t="inlineStr">
        <is>
          <t>ultra-rare</t>
        </is>
      </c>
      <c r="U1696" s="20" t="n">
        <v>6</v>
      </c>
      <c r="V1696" s="21" t="n">
        <v>1</v>
      </c>
      <c r="W1696" s="20">
        <f>IF(OR(U1696="",V1696=""),U1696,U1696*V1696)</f>
        <v/>
      </c>
      <c r="X1696" s="18" t="inlineStr">
        <is>
          <t>5-31</t>
        </is>
      </c>
      <c r="Y1696" s="19" t="inlineStr"/>
      <c r="Z1696" s="18">
        <f>IF(Y1696="",X1696,Y1696)</f>
        <v/>
      </c>
      <c r="AA1696" s="18" t="inlineStr">
        <is>
          <t>fishing</t>
        </is>
      </c>
      <c r="AB1696" s="18" t="inlineStr"/>
      <c r="AC1696" s="18" t="inlineStr"/>
      <c r="AD1696" s="18" t="inlineStr"/>
      <c r="AE1696" s="18" t="inlineStr">
        <is>
          <t>sky 8-15</t>
        </is>
      </c>
      <c r="AF1696" s="18" t="inlineStr"/>
      <c r="AG1696" s="18" t="inlineStr"/>
      <c r="AH1696" s="18" t="inlineStr"/>
      <c r="AI1696" s="18" t="inlineStr"/>
      <c r="AJ1696" s="18" t="inlineStr">
        <is>
          <t>Cobblemon 동일</t>
        </is>
      </c>
      <c r="AK1696" s="18" t="inlineStr">
        <is>
          <t>사용</t>
        </is>
      </c>
      <c r="AL1696" s="18" t="inlineStr">
        <is>
          <t>COBBLEVERSE 1.7.42 / DP v31</t>
        </is>
      </c>
      <c r="AM1696" s="18" t="inlineStr">
        <is>
          <t>data/cobblemon/spawn_pool_world/0501_oshawott.json</t>
        </is>
      </c>
      <c r="AN1696" s="18" t="inlineStr">
        <is>
          <t>oshawott-3</t>
        </is>
      </c>
      <c r="AO1696" s="18" t="inlineStr">
        <is>
          <t>pokemon</t>
        </is>
      </c>
      <c r="AP1696" s="18" t="inlineStr"/>
      <c r="AQ1696" s="18" t="inlineStr">
        <is>
          <t>{"biomes":["#cobblemon:is_beach","#cobblemon:is_ocean","#cobblemon:is_tropical_island"],"maxSkyLight":15,"minSkyLight":8}</t>
        </is>
      </c>
      <c r="AR1696" s="18" t="inlineStr">
        <is>
          <t>{"biomes":["#cobblemon:is_cold"]}</t>
        </is>
      </c>
      <c r="AS1696" s="18" t="inlineStr"/>
      <c r="AT1696" s="19" t="inlineStr"/>
    </row>
    <row r="1697" ht="32" customHeight="1">
      <c r="A1697" s="18" t="inlineStr">
        <is>
          <t>0501_oshawott.json::oshawott-hisui-4::004</t>
        </is>
      </c>
      <c r="B1697" s="19" t="inlineStr">
        <is>
          <t>사용</t>
        </is>
      </c>
      <c r="C1697" s="18">
        <f>IF(OR(B1697&lt;&gt;AK1697,M1697&lt;&gt;L1697,O1697&lt;&gt;"",Q1697&lt;&gt;"",V1697&lt;&gt;1,Y1697&lt;&gt;"",AT1697&lt;&gt;""),"수정","원본")</f>
        <v/>
      </c>
      <c r="D1697" s="18" t="n">
        <v>501</v>
      </c>
      <c r="E1697" s="18" t="inlineStr">
        <is>
          <t>수댕이</t>
        </is>
      </c>
      <c r="F1697" s="18" t="inlineStr">
        <is>
          <t>oshawott</t>
        </is>
      </c>
      <c r="G1697" s="18" t="inlineStr">
        <is>
          <t>oshawott region_bias=hisui</t>
        </is>
      </c>
      <c r="H1697" s="18" t="inlineStr">
        <is>
          <t>region_bias=hisui</t>
        </is>
      </c>
      <c r="I1697" s="18" t="n">
        <v>5</v>
      </c>
      <c r="J1697" s="18" t="n">
        <v>8</v>
      </c>
      <c r="K1697" s="18" t="n">
        <v>8</v>
      </c>
      <c r="L1697" s="18" t="inlineStr">
        <is>
          <t>cobbleventure:generation_8</t>
        </is>
      </c>
      <c r="M1697" s="19" t="inlineStr">
        <is>
          <t>cobbleventure:generation_8</t>
        </is>
      </c>
      <c r="N1697" s="18" t="inlineStr"/>
      <c r="O1697" s="19" t="inlineStr"/>
      <c r="P1697" s="18" t="inlineStr">
        <is>
          <t>#cobblemon:is_coast</t>
        </is>
      </c>
      <c r="Q1697" s="19" t="inlineStr"/>
      <c r="R1697" s="18">
        <f>IF(Q1697="",P1697,Q1697)</f>
        <v/>
      </c>
      <c r="S1697" s="18" t="inlineStr">
        <is>
          <t>#cobblemon:is_beach</t>
        </is>
      </c>
      <c r="T1697" s="18" t="inlineStr">
        <is>
          <t>ultra-rare</t>
        </is>
      </c>
      <c r="U1697" s="20" t="n">
        <v>6</v>
      </c>
      <c r="V1697" s="21" t="n">
        <v>1</v>
      </c>
      <c r="W1697" s="20">
        <f>IF(OR(U1697="",V1697=""),U1697,U1697*V1697)</f>
        <v/>
      </c>
      <c r="X1697" s="18" t="inlineStr">
        <is>
          <t>5-31</t>
        </is>
      </c>
      <c r="Y1697" s="19" t="inlineStr"/>
      <c r="Z1697" s="18">
        <f>IF(Y1697="",X1697,Y1697)</f>
        <v/>
      </c>
      <c r="AA1697" s="18" t="inlineStr">
        <is>
          <t>grounded</t>
        </is>
      </c>
      <c r="AB1697" s="18" t="inlineStr"/>
      <c r="AC1697" s="18" t="inlineStr"/>
      <c r="AD1697" s="18" t="inlineStr"/>
      <c r="AE1697" s="18" t="inlineStr">
        <is>
          <t>sky 8-15</t>
        </is>
      </c>
      <c r="AF1697" s="18" t="inlineStr"/>
      <c r="AG1697" s="18" t="inlineStr"/>
      <c r="AH1697" s="18" t="inlineStr"/>
      <c r="AI1697" s="18" t="inlineStr"/>
      <c r="AJ1697" s="18" t="inlineStr">
        <is>
          <t>Cobblemon 동일</t>
        </is>
      </c>
      <c r="AK1697" s="18" t="inlineStr">
        <is>
          <t>사용</t>
        </is>
      </c>
      <c r="AL1697" s="18" t="inlineStr">
        <is>
          <t>COBBLEVERSE 1.7.42 / DP v31</t>
        </is>
      </c>
      <c r="AM1697" s="18" t="inlineStr">
        <is>
          <t>data/cobblemon/spawn_pool_world/0501_oshawott.json</t>
        </is>
      </c>
      <c r="AN1697" s="18" t="inlineStr">
        <is>
          <t>oshawott-hisui-4</t>
        </is>
      </c>
      <c r="AO1697" s="18" t="inlineStr">
        <is>
          <t>pokemon</t>
        </is>
      </c>
      <c r="AP1697" s="18" t="inlineStr">
        <is>
          <t>natural</t>
        </is>
      </c>
      <c r="AQ1697" s="18" t="inlineStr">
        <is>
          <t>{"biomes":["#cobblemon:is_coast"],"maxSkyLight":15,"minSkyLight":8}</t>
        </is>
      </c>
      <c r="AR1697" s="18" t="inlineStr">
        <is>
          <t>{"biomes":["#cobblemon:is_beach"]}</t>
        </is>
      </c>
      <c r="AS1697" s="18" t="inlineStr"/>
      <c r="AT1697" s="19" t="inlineStr"/>
    </row>
    <row r="1698" ht="32" customHeight="1">
      <c r="A1698" s="18" t="inlineStr">
        <is>
          <t>0501_oshawott.json::oshawott-hisui-5::005</t>
        </is>
      </c>
      <c r="B1698" s="19" t="inlineStr">
        <is>
          <t>사용</t>
        </is>
      </c>
      <c r="C1698" s="18">
        <f>IF(OR(B1698&lt;&gt;AK1698,M1698&lt;&gt;L1698,O1698&lt;&gt;"",Q1698&lt;&gt;"",V1698&lt;&gt;1,Y1698&lt;&gt;"",AT1698&lt;&gt;""),"수정","원본")</f>
        <v/>
      </c>
      <c r="D1698" s="18" t="n">
        <v>501</v>
      </c>
      <c r="E1698" s="18" t="inlineStr">
        <is>
          <t>수댕이</t>
        </is>
      </c>
      <c r="F1698" s="18" t="inlineStr">
        <is>
          <t>oshawott</t>
        </is>
      </c>
      <c r="G1698" s="18" t="inlineStr">
        <is>
          <t>oshawott region_bias=hisui</t>
        </is>
      </c>
      <c r="H1698" s="18" t="inlineStr">
        <is>
          <t>region_bias=hisui</t>
        </is>
      </c>
      <c r="I1698" s="18" t="n">
        <v>5</v>
      </c>
      <c r="J1698" s="18" t="n">
        <v>8</v>
      </c>
      <c r="K1698" s="18" t="n">
        <v>8</v>
      </c>
      <c r="L1698" s="18" t="inlineStr">
        <is>
          <t>cobbleventure:generation_8</t>
        </is>
      </c>
      <c r="M1698" s="19" t="inlineStr">
        <is>
          <t>cobbleventure:generation_8</t>
        </is>
      </c>
      <c r="N1698" s="18" t="inlineStr"/>
      <c r="O1698" s="19" t="inlineStr"/>
      <c r="P1698" s="18" t="inlineStr">
        <is>
          <t>#cobblemon:is_coast</t>
        </is>
      </c>
      <c r="Q1698" s="19" t="inlineStr"/>
      <c r="R1698" s="18">
        <f>IF(Q1698="",P1698,Q1698)</f>
        <v/>
      </c>
      <c r="S1698" s="18" t="inlineStr">
        <is>
          <t>#cobblemon:is_beach</t>
        </is>
      </c>
      <c r="T1698" s="18" t="inlineStr">
        <is>
          <t>ultra-rare</t>
        </is>
      </c>
      <c r="U1698" s="20" t="n">
        <v>6</v>
      </c>
      <c r="V1698" s="21" t="n">
        <v>1</v>
      </c>
      <c r="W1698" s="20">
        <f>IF(OR(U1698="",V1698=""),U1698,U1698*V1698)</f>
        <v/>
      </c>
      <c r="X1698" s="18" t="inlineStr">
        <is>
          <t>5-31</t>
        </is>
      </c>
      <c r="Y1698" s="19" t="inlineStr"/>
      <c r="Z1698" s="18">
        <f>IF(Y1698="",X1698,Y1698)</f>
        <v/>
      </c>
      <c r="AA1698" s="18" t="inlineStr">
        <is>
          <t>surface</t>
        </is>
      </c>
      <c r="AB1698" s="18" t="inlineStr"/>
      <c r="AC1698" s="18" t="inlineStr"/>
      <c r="AD1698" s="18" t="inlineStr"/>
      <c r="AE1698" s="18" t="inlineStr">
        <is>
          <t>sky 8-15</t>
        </is>
      </c>
      <c r="AF1698" s="18" t="inlineStr"/>
      <c r="AG1698" s="18" t="inlineStr"/>
      <c r="AH1698" s="18" t="inlineStr"/>
      <c r="AI1698" s="18" t="inlineStr"/>
      <c r="AJ1698" s="18" t="inlineStr">
        <is>
          <t>Cobblemon 동일</t>
        </is>
      </c>
      <c r="AK1698" s="18" t="inlineStr">
        <is>
          <t>사용</t>
        </is>
      </c>
      <c r="AL1698" s="18" t="inlineStr">
        <is>
          <t>COBBLEVERSE 1.7.42 / DP v31</t>
        </is>
      </c>
      <c r="AM1698" s="18" t="inlineStr">
        <is>
          <t>data/cobblemon/spawn_pool_world/0501_oshawott.json</t>
        </is>
      </c>
      <c r="AN1698" s="18" t="inlineStr">
        <is>
          <t>oshawott-hisui-5</t>
        </is>
      </c>
      <c r="AO1698" s="18" t="inlineStr">
        <is>
          <t>pokemon</t>
        </is>
      </c>
      <c r="AP1698" s="18" t="inlineStr">
        <is>
          <t>water</t>
        </is>
      </c>
      <c r="AQ1698" s="18" t="inlineStr">
        <is>
          <t>{"biomes":["#cobblemon:is_coast"],"maxSkyLight":15,"minSkyLight":8}</t>
        </is>
      </c>
      <c r="AR1698" s="18" t="inlineStr">
        <is>
          <t>{"biomes":["#cobblemon:is_beach"]}</t>
        </is>
      </c>
      <c r="AS1698" s="18" t="inlineStr"/>
      <c r="AT1698" s="19" t="inlineStr"/>
    </row>
    <row r="1699" ht="32" customHeight="1">
      <c r="A1699" s="18" t="inlineStr">
        <is>
          <t>0501_oshawott.json::oshawott-hisui-6::006</t>
        </is>
      </c>
      <c r="B1699" s="19" t="inlineStr">
        <is>
          <t>사용</t>
        </is>
      </c>
      <c r="C1699" s="18">
        <f>IF(OR(B1699&lt;&gt;AK1699,M1699&lt;&gt;L1699,O1699&lt;&gt;"",Q1699&lt;&gt;"",V1699&lt;&gt;1,Y1699&lt;&gt;"",AT1699&lt;&gt;""),"수정","원본")</f>
        <v/>
      </c>
      <c r="D1699" s="18" t="n">
        <v>501</v>
      </c>
      <c r="E1699" s="18" t="inlineStr">
        <is>
          <t>수댕이</t>
        </is>
      </c>
      <c r="F1699" s="18" t="inlineStr">
        <is>
          <t>oshawott</t>
        </is>
      </c>
      <c r="G1699" s="18" t="inlineStr">
        <is>
          <t>oshawott region_bias=hisui</t>
        </is>
      </c>
      <c r="H1699" s="18" t="inlineStr">
        <is>
          <t>region_bias=hisui</t>
        </is>
      </c>
      <c r="I1699" s="18" t="n">
        <v>5</v>
      </c>
      <c r="J1699" s="18" t="n">
        <v>8</v>
      </c>
      <c r="K1699" s="18" t="n">
        <v>8</v>
      </c>
      <c r="L1699" s="18" t="inlineStr">
        <is>
          <t>cobbleventure:generation_8</t>
        </is>
      </c>
      <c r="M1699" s="19" t="inlineStr">
        <is>
          <t>cobbleventure:generation_8</t>
        </is>
      </c>
      <c r="N1699" s="18" t="inlineStr"/>
      <c r="O1699" s="19" t="inlineStr"/>
      <c r="P1699" s="18" t="inlineStr">
        <is>
          <t>minecraft:snowy_beach</t>
        </is>
      </c>
      <c r="Q1699" s="19" t="inlineStr"/>
      <c r="R1699" s="18">
        <f>IF(Q1699="",P1699,Q1699)</f>
        <v/>
      </c>
      <c r="S1699" s="18" t="inlineStr"/>
      <c r="T1699" s="18" t="inlineStr">
        <is>
          <t>ultra-rare</t>
        </is>
      </c>
      <c r="U1699" s="20" t="n">
        <v>6</v>
      </c>
      <c r="V1699" s="21" t="n">
        <v>1</v>
      </c>
      <c r="W1699" s="20">
        <f>IF(OR(U1699="",V1699=""),U1699,U1699*V1699)</f>
        <v/>
      </c>
      <c r="X1699" s="18" t="inlineStr">
        <is>
          <t>5-31</t>
        </is>
      </c>
      <c r="Y1699" s="19" t="inlineStr"/>
      <c r="Z1699" s="18">
        <f>IF(Y1699="",X1699,Y1699)</f>
        <v/>
      </c>
      <c r="AA1699" s="18" t="inlineStr">
        <is>
          <t>grounded</t>
        </is>
      </c>
      <c r="AB1699" s="18" t="inlineStr"/>
      <c r="AC1699" s="18" t="inlineStr"/>
      <c r="AD1699" s="18" t="inlineStr"/>
      <c r="AE1699" s="18" t="inlineStr">
        <is>
          <t>sky 8-15</t>
        </is>
      </c>
      <c r="AF1699" s="18" t="inlineStr"/>
      <c r="AG1699" s="18" t="inlineStr"/>
      <c r="AH1699" s="18" t="inlineStr"/>
      <c r="AI1699" s="18" t="inlineStr"/>
      <c r="AJ1699" s="18" t="inlineStr">
        <is>
          <t>Cobblemon 동일</t>
        </is>
      </c>
      <c r="AK1699" s="18" t="inlineStr">
        <is>
          <t>사용</t>
        </is>
      </c>
      <c r="AL1699" s="18" t="inlineStr">
        <is>
          <t>COBBLEVERSE 1.7.42 / DP v31</t>
        </is>
      </c>
      <c r="AM1699" s="18" t="inlineStr">
        <is>
          <t>data/cobblemon/spawn_pool_world/0501_oshawott.json</t>
        </is>
      </c>
      <c r="AN1699" s="18" t="inlineStr">
        <is>
          <t>oshawott-hisui-6</t>
        </is>
      </c>
      <c r="AO1699" s="18" t="inlineStr">
        <is>
          <t>pokemon</t>
        </is>
      </c>
      <c r="AP1699" s="18" t="inlineStr">
        <is>
          <t>natural</t>
        </is>
      </c>
      <c r="AQ1699" s="18" t="inlineStr">
        <is>
          <t>{"biomes":["minecraft:snowy_beach"],"maxSkyLight":15,"minSkyLight":8}</t>
        </is>
      </c>
      <c r="AR1699" s="18" t="inlineStr"/>
      <c r="AS1699" s="18" t="inlineStr"/>
      <c r="AT1699" s="19" t="inlineStr"/>
    </row>
    <row r="1700" ht="32" customHeight="1">
      <c r="A1700" s="18" t="inlineStr">
        <is>
          <t>0501_oshawott.json::oshawott-hisui-7::007</t>
        </is>
      </c>
      <c r="B1700" s="19" t="inlineStr">
        <is>
          <t>사용</t>
        </is>
      </c>
      <c r="C1700" s="18">
        <f>IF(OR(B1700&lt;&gt;AK1700,M1700&lt;&gt;L1700,O1700&lt;&gt;"",Q1700&lt;&gt;"",V1700&lt;&gt;1,Y1700&lt;&gt;"",AT1700&lt;&gt;""),"수정","원본")</f>
        <v/>
      </c>
      <c r="D1700" s="18" t="n">
        <v>501</v>
      </c>
      <c r="E1700" s="18" t="inlineStr">
        <is>
          <t>수댕이</t>
        </is>
      </c>
      <c r="F1700" s="18" t="inlineStr">
        <is>
          <t>oshawott</t>
        </is>
      </c>
      <c r="G1700" s="18" t="inlineStr">
        <is>
          <t>oshawott region_bias=hisui</t>
        </is>
      </c>
      <c r="H1700" s="18" t="inlineStr">
        <is>
          <t>region_bias=hisui</t>
        </is>
      </c>
      <c r="I1700" s="18" t="n">
        <v>5</v>
      </c>
      <c r="J1700" s="18" t="n">
        <v>8</v>
      </c>
      <c r="K1700" s="18" t="n">
        <v>8</v>
      </c>
      <c r="L1700" s="18" t="inlineStr">
        <is>
          <t>cobbleventure:generation_8</t>
        </is>
      </c>
      <c r="M1700" s="19" t="inlineStr">
        <is>
          <t>cobbleventure:generation_8</t>
        </is>
      </c>
      <c r="N1700" s="18" t="inlineStr"/>
      <c r="O1700" s="19" t="inlineStr"/>
      <c r="P1700" s="18" t="inlineStr">
        <is>
          <t>minecraft:snowy_beach</t>
        </is>
      </c>
      <c r="Q1700" s="19" t="inlineStr"/>
      <c r="R1700" s="18">
        <f>IF(Q1700="",P1700,Q1700)</f>
        <v/>
      </c>
      <c r="S1700" s="18" t="inlineStr"/>
      <c r="T1700" s="18" t="inlineStr">
        <is>
          <t>ultra-rare</t>
        </is>
      </c>
      <c r="U1700" s="20" t="n">
        <v>6</v>
      </c>
      <c r="V1700" s="21" t="n">
        <v>1</v>
      </c>
      <c r="W1700" s="20">
        <f>IF(OR(U1700="",V1700=""),U1700,U1700*V1700)</f>
        <v/>
      </c>
      <c r="X1700" s="18" t="inlineStr">
        <is>
          <t>5-31</t>
        </is>
      </c>
      <c r="Y1700" s="19" t="inlineStr"/>
      <c r="Z1700" s="18">
        <f>IF(Y1700="",X1700,Y1700)</f>
        <v/>
      </c>
      <c r="AA1700" s="18" t="inlineStr">
        <is>
          <t>surface</t>
        </is>
      </c>
      <c r="AB1700" s="18" t="inlineStr"/>
      <c r="AC1700" s="18" t="inlineStr"/>
      <c r="AD1700" s="18" t="inlineStr"/>
      <c r="AE1700" s="18" t="inlineStr">
        <is>
          <t>sky 8-15</t>
        </is>
      </c>
      <c r="AF1700" s="18" t="inlineStr"/>
      <c r="AG1700" s="18" t="inlineStr"/>
      <c r="AH1700" s="18" t="inlineStr"/>
      <c r="AI1700" s="18" t="inlineStr"/>
      <c r="AJ1700" s="18" t="inlineStr">
        <is>
          <t>Cobblemon 동일</t>
        </is>
      </c>
      <c r="AK1700" s="18" t="inlineStr">
        <is>
          <t>사용</t>
        </is>
      </c>
      <c r="AL1700" s="18" t="inlineStr">
        <is>
          <t>COBBLEVERSE 1.7.42 / DP v31</t>
        </is>
      </c>
      <c r="AM1700" s="18" t="inlineStr">
        <is>
          <t>data/cobblemon/spawn_pool_world/0501_oshawott.json</t>
        </is>
      </c>
      <c r="AN1700" s="18" t="inlineStr">
        <is>
          <t>oshawott-hisui-7</t>
        </is>
      </c>
      <c r="AO1700" s="18" t="inlineStr">
        <is>
          <t>pokemon</t>
        </is>
      </c>
      <c r="AP1700" s="18" t="inlineStr">
        <is>
          <t>water</t>
        </is>
      </c>
      <c r="AQ1700" s="18" t="inlineStr">
        <is>
          <t>{"biomes":["minecraft:snowy_beach"],"maxSkyLight":15,"minSkyLight":8}</t>
        </is>
      </c>
      <c r="AR1700" s="18" t="inlineStr"/>
      <c r="AS1700" s="18" t="inlineStr"/>
      <c r="AT1700" s="19" t="inlineStr"/>
    </row>
    <row r="1701" ht="32" customHeight="1">
      <c r="A1701" s="18" t="inlineStr">
        <is>
          <t>0501_oshawott.json::oshawott-hisui-8::008</t>
        </is>
      </c>
      <c r="B1701" s="19" t="inlineStr">
        <is>
          <t>사용</t>
        </is>
      </c>
      <c r="C1701" s="18">
        <f>IF(OR(B1701&lt;&gt;AK1701,M1701&lt;&gt;L1701,O1701&lt;&gt;"",Q1701&lt;&gt;"",V1701&lt;&gt;1,Y1701&lt;&gt;"",AT1701&lt;&gt;""),"수정","원본")</f>
        <v/>
      </c>
      <c r="D1701" s="18" t="n">
        <v>501</v>
      </c>
      <c r="E1701" s="18" t="inlineStr">
        <is>
          <t>수댕이</t>
        </is>
      </c>
      <c r="F1701" s="18" t="inlineStr">
        <is>
          <t>oshawott</t>
        </is>
      </c>
      <c r="G1701" s="18" t="inlineStr">
        <is>
          <t>oshawott region_bias=hisui</t>
        </is>
      </c>
      <c r="H1701" s="18" t="inlineStr">
        <is>
          <t>region_bias=hisui</t>
        </is>
      </c>
      <c r="I1701" s="18" t="n">
        <v>5</v>
      </c>
      <c r="J1701" s="18" t="n">
        <v>8</v>
      </c>
      <c r="K1701" s="18" t="n">
        <v>8</v>
      </c>
      <c r="L1701" s="18" t="inlineStr">
        <is>
          <t>cobbleventure:generation_8</t>
        </is>
      </c>
      <c r="M1701" s="19" t="inlineStr">
        <is>
          <t>cobbleventure:generation_8</t>
        </is>
      </c>
      <c r="N1701" s="18" t="inlineStr"/>
      <c r="O1701" s="19" t="inlineStr"/>
      <c r="P1701" s="18" t="inlineStr">
        <is>
          <t>#cobblemon:is_coast; #cobblemon:is_cold_ocean</t>
        </is>
      </c>
      <c r="Q1701" s="19" t="inlineStr"/>
      <c r="R1701" s="18">
        <f>IF(Q1701="",P1701,Q1701)</f>
        <v/>
      </c>
      <c r="S1701" s="18" t="inlineStr">
        <is>
          <t>#cobblemon:is_beach</t>
        </is>
      </c>
      <c r="T1701" s="18" t="inlineStr">
        <is>
          <t>ultra-rare</t>
        </is>
      </c>
      <c r="U1701" s="20" t="n">
        <v>6</v>
      </c>
      <c r="V1701" s="21" t="n">
        <v>1</v>
      </c>
      <c r="W1701" s="20">
        <f>IF(OR(U1701="",V1701=""),U1701,U1701*V1701)</f>
        <v/>
      </c>
      <c r="X1701" s="18" t="inlineStr">
        <is>
          <t>5-31</t>
        </is>
      </c>
      <c r="Y1701" s="19" t="inlineStr"/>
      <c r="Z1701" s="18">
        <f>IF(Y1701="",X1701,Y1701)</f>
        <v/>
      </c>
      <c r="AA1701" s="18" t="inlineStr">
        <is>
          <t>fishing</t>
        </is>
      </c>
      <c r="AB1701" s="18" t="inlineStr"/>
      <c r="AC1701" s="18" t="inlineStr"/>
      <c r="AD1701" s="18" t="inlineStr"/>
      <c r="AE1701" s="18" t="inlineStr">
        <is>
          <t>sky 8-15</t>
        </is>
      </c>
      <c r="AF1701" s="18" t="inlineStr"/>
      <c r="AG1701" s="18" t="inlineStr"/>
      <c r="AH1701" s="18" t="inlineStr"/>
      <c r="AI1701" s="18" t="inlineStr"/>
      <c r="AJ1701" s="18" t="inlineStr">
        <is>
          <t>Cobblemon 동일</t>
        </is>
      </c>
      <c r="AK1701" s="18" t="inlineStr">
        <is>
          <t>사용</t>
        </is>
      </c>
      <c r="AL1701" s="18" t="inlineStr">
        <is>
          <t>COBBLEVERSE 1.7.42 / DP v31</t>
        </is>
      </c>
      <c r="AM1701" s="18" t="inlineStr">
        <is>
          <t>data/cobblemon/spawn_pool_world/0501_oshawott.json</t>
        </is>
      </c>
      <c r="AN1701" s="18" t="inlineStr">
        <is>
          <t>oshawott-hisui-8</t>
        </is>
      </c>
      <c r="AO1701" s="18" t="inlineStr">
        <is>
          <t>pokemon</t>
        </is>
      </c>
      <c r="AP1701" s="18" t="inlineStr"/>
      <c r="AQ1701" s="18" t="inlineStr">
        <is>
          <t>{"biomes":["#cobblemon:is_coast","#cobblemon:is_cold_ocean"],"maxSkyLight":15,"minSkyLight":8}</t>
        </is>
      </c>
      <c r="AR1701" s="18" t="inlineStr">
        <is>
          <t>{"biomes":["#cobblemon:is_beach"]}</t>
        </is>
      </c>
      <c r="AS1701" s="18" t="inlineStr"/>
      <c r="AT1701" s="19" t="inlineStr"/>
    </row>
    <row r="1702" ht="32" customHeight="1">
      <c r="A1702" s="18" t="inlineStr">
        <is>
          <t>0502_dewott.json::dewott-1::001</t>
        </is>
      </c>
      <c r="B1702" s="19" t="inlineStr">
        <is>
          <t>사용</t>
        </is>
      </c>
      <c r="C1702" s="18">
        <f>IF(OR(B1702&lt;&gt;AK1702,M1702&lt;&gt;L1702,O1702&lt;&gt;"",Q1702&lt;&gt;"",V1702&lt;&gt;1,Y1702&lt;&gt;"",AT1702&lt;&gt;""),"수정","원본")</f>
        <v/>
      </c>
      <c r="D1702" s="18" t="n">
        <v>502</v>
      </c>
      <c r="E1702" s="18" t="inlineStr">
        <is>
          <t>쌍검자비</t>
        </is>
      </c>
      <c r="F1702" s="18" t="inlineStr">
        <is>
          <t>dewott</t>
        </is>
      </c>
      <c r="G1702" s="18" t="inlineStr">
        <is>
          <t>dewott</t>
        </is>
      </c>
      <c r="H1702" s="18" t="inlineStr"/>
      <c r="I1702" s="18" t="n">
        <v>5</v>
      </c>
      <c r="J1702" s="18" t="n"/>
      <c r="K1702" s="18" t="n">
        <v>5</v>
      </c>
      <c r="L1702" s="18" t="inlineStr">
        <is>
          <t>cobbleventure:generation_5</t>
        </is>
      </c>
      <c r="M1702" s="19" t="inlineStr">
        <is>
          <t>cobbleventure:generation_5</t>
        </is>
      </c>
      <c r="N1702" s="18" t="inlineStr"/>
      <c r="O1702" s="19" t="inlineStr"/>
      <c r="P1702" s="18" t="inlineStr">
        <is>
          <t>#cobblemon:is_beach</t>
        </is>
      </c>
      <c r="Q1702" s="19" t="inlineStr"/>
      <c r="R1702" s="18">
        <f>IF(Q1702="",P1702,Q1702)</f>
        <v/>
      </c>
      <c r="S1702" s="18" t="inlineStr">
        <is>
          <t>#cobblemon:is_freezing</t>
        </is>
      </c>
      <c r="T1702" s="18" t="inlineStr">
        <is>
          <t>ultra-rare</t>
        </is>
      </c>
      <c r="U1702" s="20" t="n">
        <v>3.6</v>
      </c>
      <c r="V1702" s="21" t="n">
        <v>1</v>
      </c>
      <c r="W1702" s="20">
        <f>IF(OR(U1702="",V1702=""),U1702,U1702*V1702)</f>
        <v/>
      </c>
      <c r="X1702" s="18" t="inlineStr">
        <is>
          <t>17-41</t>
        </is>
      </c>
      <c r="Y1702" s="19" t="inlineStr"/>
      <c r="Z1702" s="18">
        <f>IF(Y1702="",X1702,Y1702)</f>
        <v/>
      </c>
      <c r="AA1702" s="18" t="inlineStr">
        <is>
          <t>grounded</t>
        </is>
      </c>
      <c r="AB1702" s="18" t="inlineStr"/>
      <c r="AC1702" s="18" t="inlineStr"/>
      <c r="AD1702" s="18" t="inlineStr"/>
      <c r="AE1702" s="18" t="inlineStr">
        <is>
          <t>sky 8-15</t>
        </is>
      </c>
      <c r="AF1702" s="18" t="inlineStr"/>
      <c r="AG1702" s="18" t="inlineStr"/>
      <c r="AH1702" s="18" t="inlineStr"/>
      <c r="AI1702" s="18" t="inlineStr"/>
      <c r="AJ1702" s="18" t="inlineStr">
        <is>
          <t>Cobblemon 동일</t>
        </is>
      </c>
      <c r="AK1702" s="18" t="inlineStr">
        <is>
          <t>사용</t>
        </is>
      </c>
      <c r="AL1702" s="18" t="inlineStr">
        <is>
          <t>COBBLEVERSE 1.7.42 / DP v31</t>
        </is>
      </c>
      <c r="AM1702" s="18" t="inlineStr">
        <is>
          <t>data/cobblemon/spawn_pool_world/0502_dewott.json</t>
        </is>
      </c>
      <c r="AN1702" s="18" t="inlineStr">
        <is>
          <t>dewott-1</t>
        </is>
      </c>
      <c r="AO1702" s="18" t="inlineStr">
        <is>
          <t>pokemon</t>
        </is>
      </c>
      <c r="AP1702" s="18" t="inlineStr">
        <is>
          <t>natural</t>
        </is>
      </c>
      <c r="AQ1702" s="18" t="inlineStr">
        <is>
          <t>{"biomes":["#cobblemon:is_beach"],"maxSkyLight":15,"minSkyLight":8}</t>
        </is>
      </c>
      <c r="AR1702" s="18" t="inlineStr">
        <is>
          <t>{"biomes":["#cobblemon:is_freezing"]}</t>
        </is>
      </c>
      <c r="AS1702" s="18" t="inlineStr"/>
      <c r="AT1702" s="19" t="inlineStr"/>
    </row>
    <row r="1703" ht="32" customHeight="1">
      <c r="A1703" s="18" t="inlineStr">
        <is>
          <t>0502_dewott.json::dewott-2::002</t>
        </is>
      </c>
      <c r="B1703" s="19" t="inlineStr">
        <is>
          <t>사용</t>
        </is>
      </c>
      <c r="C1703" s="18">
        <f>IF(OR(B1703&lt;&gt;AK1703,M1703&lt;&gt;L1703,O1703&lt;&gt;"",Q1703&lt;&gt;"",V1703&lt;&gt;1,Y1703&lt;&gt;"",AT1703&lt;&gt;""),"수정","원본")</f>
        <v/>
      </c>
      <c r="D1703" s="18" t="n">
        <v>502</v>
      </c>
      <c r="E1703" s="18" t="inlineStr">
        <is>
          <t>쌍검자비</t>
        </is>
      </c>
      <c r="F1703" s="18" t="inlineStr">
        <is>
          <t>dewott</t>
        </is>
      </c>
      <c r="G1703" s="18" t="inlineStr">
        <is>
          <t>dewott</t>
        </is>
      </c>
      <c r="H1703" s="18" t="inlineStr"/>
      <c r="I1703" s="18" t="n">
        <v>5</v>
      </c>
      <c r="J1703" s="18" t="n"/>
      <c r="K1703" s="18" t="n">
        <v>5</v>
      </c>
      <c r="L1703" s="18" t="inlineStr">
        <is>
          <t>cobbleventure:generation_5</t>
        </is>
      </c>
      <c r="M1703" s="19" t="inlineStr">
        <is>
          <t>cobbleventure:generation_5</t>
        </is>
      </c>
      <c r="N1703" s="18" t="inlineStr"/>
      <c r="O1703" s="19" t="inlineStr"/>
      <c r="P1703" s="18" t="inlineStr">
        <is>
          <t>#cobblemon:is_beach</t>
        </is>
      </c>
      <c r="Q1703" s="19" t="inlineStr"/>
      <c r="R1703" s="18">
        <f>IF(Q1703="",P1703,Q1703)</f>
        <v/>
      </c>
      <c r="S1703" s="18" t="inlineStr">
        <is>
          <t>#cobblemon:is_freezing</t>
        </is>
      </c>
      <c r="T1703" s="18" t="inlineStr">
        <is>
          <t>ultra-rare</t>
        </is>
      </c>
      <c r="U1703" s="20" t="n">
        <v>3.6</v>
      </c>
      <c r="V1703" s="21" t="n">
        <v>1</v>
      </c>
      <c r="W1703" s="20">
        <f>IF(OR(U1703="",V1703=""),U1703,U1703*V1703)</f>
        <v/>
      </c>
      <c r="X1703" s="18" t="inlineStr">
        <is>
          <t>17-41</t>
        </is>
      </c>
      <c r="Y1703" s="19" t="inlineStr"/>
      <c r="Z1703" s="18">
        <f>IF(Y1703="",X1703,Y1703)</f>
        <v/>
      </c>
      <c r="AA1703" s="18" t="inlineStr">
        <is>
          <t>surface</t>
        </is>
      </c>
      <c r="AB1703" s="18" t="inlineStr"/>
      <c r="AC1703" s="18" t="inlineStr"/>
      <c r="AD1703" s="18" t="inlineStr"/>
      <c r="AE1703" s="18" t="inlineStr">
        <is>
          <t>sky 8-15</t>
        </is>
      </c>
      <c r="AF1703" s="18" t="inlineStr"/>
      <c r="AG1703" s="18" t="inlineStr"/>
      <c r="AH1703" s="18" t="inlineStr"/>
      <c r="AI1703" s="18" t="inlineStr"/>
      <c r="AJ1703" s="18" t="inlineStr">
        <is>
          <t>Cobblemon 동일</t>
        </is>
      </c>
      <c r="AK1703" s="18" t="inlineStr">
        <is>
          <t>사용</t>
        </is>
      </c>
      <c r="AL1703" s="18" t="inlineStr">
        <is>
          <t>COBBLEVERSE 1.7.42 / DP v31</t>
        </is>
      </c>
      <c r="AM1703" s="18" t="inlineStr">
        <is>
          <t>data/cobblemon/spawn_pool_world/0502_dewott.json</t>
        </is>
      </c>
      <c r="AN1703" s="18" t="inlineStr">
        <is>
          <t>dewott-2</t>
        </is>
      </c>
      <c r="AO1703" s="18" t="inlineStr">
        <is>
          <t>pokemon</t>
        </is>
      </c>
      <c r="AP1703" s="18" t="inlineStr">
        <is>
          <t>water</t>
        </is>
      </c>
      <c r="AQ1703" s="18" t="inlineStr">
        <is>
          <t>{"biomes":["#cobblemon:is_beach"],"maxSkyLight":15,"minSkyLight":8}</t>
        </is>
      </c>
      <c r="AR1703" s="18" t="inlineStr">
        <is>
          <t>{"biomes":["#cobblemon:is_freezing"]}</t>
        </is>
      </c>
      <c r="AS1703" s="18" t="inlineStr"/>
      <c r="AT1703" s="19" t="inlineStr"/>
    </row>
    <row r="1704" ht="32" customHeight="1">
      <c r="A1704" s="18" t="inlineStr">
        <is>
          <t>0502_dewott.json::dewott-3::003</t>
        </is>
      </c>
      <c r="B1704" s="19" t="inlineStr">
        <is>
          <t>사용</t>
        </is>
      </c>
      <c r="C1704" s="18">
        <f>IF(OR(B1704&lt;&gt;AK1704,M1704&lt;&gt;L1704,O1704&lt;&gt;"",Q1704&lt;&gt;"",V1704&lt;&gt;1,Y1704&lt;&gt;"",AT1704&lt;&gt;""),"수정","원본")</f>
        <v/>
      </c>
      <c r="D1704" s="18" t="n">
        <v>502</v>
      </c>
      <c r="E1704" s="18" t="inlineStr">
        <is>
          <t>쌍검자비</t>
        </is>
      </c>
      <c r="F1704" s="18" t="inlineStr">
        <is>
          <t>dewott</t>
        </is>
      </c>
      <c r="G1704" s="18" t="inlineStr">
        <is>
          <t>dewott</t>
        </is>
      </c>
      <c r="H1704" s="18" t="inlineStr"/>
      <c r="I1704" s="18" t="n">
        <v>5</v>
      </c>
      <c r="J1704" s="18" t="n"/>
      <c r="K1704" s="18" t="n">
        <v>5</v>
      </c>
      <c r="L1704" s="18" t="inlineStr">
        <is>
          <t>cobbleventure:generation_5</t>
        </is>
      </c>
      <c r="M1704" s="19" t="inlineStr">
        <is>
          <t>cobbleventure:generation_5</t>
        </is>
      </c>
      <c r="N1704" s="18" t="inlineStr"/>
      <c r="O1704" s="19" t="inlineStr"/>
      <c r="P1704" s="18" t="inlineStr">
        <is>
          <t>#cobblemon:is_beach; #cobblemon:is_ocean; #cobblemon:is_tropical_island</t>
        </is>
      </c>
      <c r="Q1704" s="19" t="inlineStr"/>
      <c r="R1704" s="18">
        <f>IF(Q1704="",P1704,Q1704)</f>
        <v/>
      </c>
      <c r="S1704" s="18" t="inlineStr">
        <is>
          <t>#cobblemon:is_cold</t>
        </is>
      </c>
      <c r="T1704" s="18" t="inlineStr">
        <is>
          <t>ultra-rare</t>
        </is>
      </c>
      <c r="U1704" s="20" t="n">
        <v>3.6</v>
      </c>
      <c r="V1704" s="21" t="n">
        <v>1</v>
      </c>
      <c r="W1704" s="20">
        <f>IF(OR(U1704="",V1704=""),U1704,U1704*V1704)</f>
        <v/>
      </c>
      <c r="X1704" s="18" t="inlineStr">
        <is>
          <t>17-41</t>
        </is>
      </c>
      <c r="Y1704" s="19" t="inlineStr"/>
      <c r="Z1704" s="18">
        <f>IF(Y1704="",X1704,Y1704)</f>
        <v/>
      </c>
      <c r="AA1704" s="18" t="inlineStr">
        <is>
          <t>fishing</t>
        </is>
      </c>
      <c r="AB1704" s="18" t="inlineStr"/>
      <c r="AC1704" s="18" t="inlineStr"/>
      <c r="AD1704" s="18" t="inlineStr"/>
      <c r="AE1704" s="18" t="inlineStr">
        <is>
          <t>sky 8-15</t>
        </is>
      </c>
      <c r="AF1704" s="18" t="inlineStr"/>
      <c r="AG1704" s="18" t="inlineStr"/>
      <c r="AH1704" s="18" t="inlineStr"/>
      <c r="AI1704" s="18" t="inlineStr"/>
      <c r="AJ1704" s="18" t="inlineStr">
        <is>
          <t>Cobblemon 동일</t>
        </is>
      </c>
      <c r="AK1704" s="18" t="inlineStr">
        <is>
          <t>사용</t>
        </is>
      </c>
      <c r="AL1704" s="18" t="inlineStr">
        <is>
          <t>COBBLEVERSE 1.7.42 / DP v31</t>
        </is>
      </c>
      <c r="AM1704" s="18" t="inlineStr">
        <is>
          <t>data/cobblemon/spawn_pool_world/0502_dewott.json</t>
        </is>
      </c>
      <c r="AN1704" s="18" t="inlineStr">
        <is>
          <t>dewott-3</t>
        </is>
      </c>
      <c r="AO1704" s="18" t="inlineStr">
        <is>
          <t>pokemon</t>
        </is>
      </c>
      <c r="AP1704" s="18" t="inlineStr"/>
      <c r="AQ1704" s="18" t="inlineStr">
        <is>
          <t>{"biomes":["#cobblemon:is_beach","#cobblemon:is_ocean","#cobblemon:is_tropical_island"],"maxSkyLight":15,"minSkyLight":8}</t>
        </is>
      </c>
      <c r="AR1704" s="18" t="inlineStr">
        <is>
          <t>{"biomes":["#cobblemon:is_cold"]}</t>
        </is>
      </c>
      <c r="AS1704" s="18" t="inlineStr"/>
      <c r="AT1704" s="19" t="inlineStr"/>
    </row>
    <row r="1705" ht="32" customHeight="1">
      <c r="A1705" s="18" t="inlineStr">
        <is>
          <t>0502_dewott.json::dewott-hisui-4::004</t>
        </is>
      </c>
      <c r="B1705" s="19" t="inlineStr">
        <is>
          <t>사용</t>
        </is>
      </c>
      <c r="C1705" s="18">
        <f>IF(OR(B1705&lt;&gt;AK1705,M1705&lt;&gt;L1705,O1705&lt;&gt;"",Q1705&lt;&gt;"",V1705&lt;&gt;1,Y1705&lt;&gt;"",AT1705&lt;&gt;""),"수정","원본")</f>
        <v/>
      </c>
      <c r="D1705" s="18" t="n">
        <v>502</v>
      </c>
      <c r="E1705" s="18" t="inlineStr">
        <is>
          <t>쌍검자비</t>
        </is>
      </c>
      <c r="F1705" s="18" t="inlineStr">
        <is>
          <t>dewott</t>
        </is>
      </c>
      <c r="G1705" s="18" t="inlineStr">
        <is>
          <t>dewott region_bias=hisui</t>
        </is>
      </c>
      <c r="H1705" s="18" t="inlineStr">
        <is>
          <t>region_bias=hisui</t>
        </is>
      </c>
      <c r="I1705" s="18" t="n">
        <v>5</v>
      </c>
      <c r="J1705" s="18" t="n">
        <v>8</v>
      </c>
      <c r="K1705" s="18" t="n">
        <v>8</v>
      </c>
      <c r="L1705" s="18" t="inlineStr">
        <is>
          <t>cobbleventure:generation_8</t>
        </is>
      </c>
      <c r="M1705" s="19" t="inlineStr">
        <is>
          <t>cobbleventure:generation_8</t>
        </is>
      </c>
      <c r="N1705" s="18" t="inlineStr"/>
      <c r="O1705" s="19" t="inlineStr"/>
      <c r="P1705" s="18" t="inlineStr">
        <is>
          <t>#cobblemon:is_coast</t>
        </is>
      </c>
      <c r="Q1705" s="19" t="inlineStr"/>
      <c r="R1705" s="18">
        <f>IF(Q1705="",P1705,Q1705)</f>
        <v/>
      </c>
      <c r="S1705" s="18" t="inlineStr">
        <is>
          <t>#cobblemon:is_beach</t>
        </is>
      </c>
      <c r="T1705" s="18" t="inlineStr">
        <is>
          <t>ultra-rare</t>
        </is>
      </c>
      <c r="U1705" s="20" t="n">
        <v>3.6</v>
      </c>
      <c r="V1705" s="21" t="n">
        <v>1</v>
      </c>
      <c r="W1705" s="20">
        <f>IF(OR(U1705="",V1705=""),U1705,U1705*V1705)</f>
        <v/>
      </c>
      <c r="X1705" s="18" t="inlineStr">
        <is>
          <t>17-41</t>
        </is>
      </c>
      <c r="Y1705" s="19" t="inlineStr"/>
      <c r="Z1705" s="18">
        <f>IF(Y1705="",X1705,Y1705)</f>
        <v/>
      </c>
      <c r="AA1705" s="18" t="inlineStr">
        <is>
          <t>grounded</t>
        </is>
      </c>
      <c r="AB1705" s="18" t="inlineStr"/>
      <c r="AC1705" s="18" t="inlineStr"/>
      <c r="AD1705" s="18" t="inlineStr"/>
      <c r="AE1705" s="18" t="inlineStr">
        <is>
          <t>sky 8-15</t>
        </is>
      </c>
      <c r="AF1705" s="18" t="inlineStr"/>
      <c r="AG1705" s="18" t="inlineStr"/>
      <c r="AH1705" s="18" t="inlineStr"/>
      <c r="AI1705" s="18" t="inlineStr"/>
      <c r="AJ1705" s="18" t="inlineStr">
        <is>
          <t>Cobblemon 동일</t>
        </is>
      </c>
      <c r="AK1705" s="18" t="inlineStr">
        <is>
          <t>사용</t>
        </is>
      </c>
      <c r="AL1705" s="18" t="inlineStr">
        <is>
          <t>COBBLEVERSE 1.7.42 / DP v31</t>
        </is>
      </c>
      <c r="AM1705" s="18" t="inlineStr">
        <is>
          <t>data/cobblemon/spawn_pool_world/0502_dewott.json</t>
        </is>
      </c>
      <c r="AN1705" s="18" t="inlineStr">
        <is>
          <t>dewott-hisui-4</t>
        </is>
      </c>
      <c r="AO1705" s="18" t="inlineStr">
        <is>
          <t>pokemon</t>
        </is>
      </c>
      <c r="AP1705" s="18" t="inlineStr">
        <is>
          <t>natural</t>
        </is>
      </c>
      <c r="AQ1705" s="18" t="inlineStr">
        <is>
          <t>{"biomes":["#cobblemon:is_coast"],"maxSkyLight":15,"minSkyLight":8}</t>
        </is>
      </c>
      <c r="AR1705" s="18" t="inlineStr">
        <is>
          <t>{"biomes":["#cobblemon:is_beach"]}</t>
        </is>
      </c>
      <c r="AS1705" s="18" t="inlineStr"/>
      <c r="AT1705" s="19" t="inlineStr"/>
    </row>
    <row r="1706" ht="32" customHeight="1">
      <c r="A1706" s="18" t="inlineStr">
        <is>
          <t>0502_dewott.json::dewott-hisui-5::005</t>
        </is>
      </c>
      <c r="B1706" s="19" t="inlineStr">
        <is>
          <t>사용</t>
        </is>
      </c>
      <c r="C1706" s="18">
        <f>IF(OR(B1706&lt;&gt;AK1706,M1706&lt;&gt;L1706,O1706&lt;&gt;"",Q1706&lt;&gt;"",V1706&lt;&gt;1,Y1706&lt;&gt;"",AT1706&lt;&gt;""),"수정","원본")</f>
        <v/>
      </c>
      <c r="D1706" s="18" t="n">
        <v>502</v>
      </c>
      <c r="E1706" s="18" t="inlineStr">
        <is>
          <t>쌍검자비</t>
        </is>
      </c>
      <c r="F1706" s="18" t="inlineStr">
        <is>
          <t>dewott</t>
        </is>
      </c>
      <c r="G1706" s="18" t="inlineStr">
        <is>
          <t>dewott region_bias=hisui</t>
        </is>
      </c>
      <c r="H1706" s="18" t="inlineStr">
        <is>
          <t>region_bias=hisui</t>
        </is>
      </c>
      <c r="I1706" s="18" t="n">
        <v>5</v>
      </c>
      <c r="J1706" s="18" t="n">
        <v>8</v>
      </c>
      <c r="K1706" s="18" t="n">
        <v>8</v>
      </c>
      <c r="L1706" s="18" t="inlineStr">
        <is>
          <t>cobbleventure:generation_8</t>
        </is>
      </c>
      <c r="M1706" s="19" t="inlineStr">
        <is>
          <t>cobbleventure:generation_8</t>
        </is>
      </c>
      <c r="N1706" s="18" t="inlineStr"/>
      <c r="O1706" s="19" t="inlineStr"/>
      <c r="P1706" s="18" t="inlineStr">
        <is>
          <t>#cobblemon:is_coast</t>
        </is>
      </c>
      <c r="Q1706" s="19" t="inlineStr"/>
      <c r="R1706" s="18">
        <f>IF(Q1706="",P1706,Q1706)</f>
        <v/>
      </c>
      <c r="S1706" s="18" t="inlineStr">
        <is>
          <t>#cobblemon:is_beach</t>
        </is>
      </c>
      <c r="T1706" s="18" t="inlineStr">
        <is>
          <t>ultra-rare</t>
        </is>
      </c>
      <c r="U1706" s="20" t="n">
        <v>3.6</v>
      </c>
      <c r="V1706" s="21" t="n">
        <v>1</v>
      </c>
      <c r="W1706" s="20">
        <f>IF(OR(U1706="",V1706=""),U1706,U1706*V1706)</f>
        <v/>
      </c>
      <c r="X1706" s="18" t="inlineStr">
        <is>
          <t>17-41</t>
        </is>
      </c>
      <c r="Y1706" s="19" t="inlineStr"/>
      <c r="Z1706" s="18">
        <f>IF(Y1706="",X1706,Y1706)</f>
        <v/>
      </c>
      <c r="AA1706" s="18" t="inlineStr">
        <is>
          <t>surface</t>
        </is>
      </c>
      <c r="AB1706" s="18" t="inlineStr"/>
      <c r="AC1706" s="18" t="inlineStr"/>
      <c r="AD1706" s="18" t="inlineStr"/>
      <c r="AE1706" s="18" t="inlineStr">
        <is>
          <t>sky 8-15</t>
        </is>
      </c>
      <c r="AF1706" s="18" t="inlineStr"/>
      <c r="AG1706" s="18" t="inlineStr"/>
      <c r="AH1706" s="18" t="inlineStr"/>
      <c r="AI1706" s="18" t="inlineStr"/>
      <c r="AJ1706" s="18" t="inlineStr">
        <is>
          <t>Cobblemon 동일</t>
        </is>
      </c>
      <c r="AK1706" s="18" t="inlineStr">
        <is>
          <t>사용</t>
        </is>
      </c>
      <c r="AL1706" s="18" t="inlineStr">
        <is>
          <t>COBBLEVERSE 1.7.42 / DP v31</t>
        </is>
      </c>
      <c r="AM1706" s="18" t="inlineStr">
        <is>
          <t>data/cobblemon/spawn_pool_world/0502_dewott.json</t>
        </is>
      </c>
      <c r="AN1706" s="18" t="inlineStr">
        <is>
          <t>dewott-hisui-5</t>
        </is>
      </c>
      <c r="AO1706" s="18" t="inlineStr">
        <is>
          <t>pokemon</t>
        </is>
      </c>
      <c r="AP1706" s="18" t="inlineStr">
        <is>
          <t>water</t>
        </is>
      </c>
      <c r="AQ1706" s="18" t="inlineStr">
        <is>
          <t>{"biomes":["#cobblemon:is_coast"],"maxSkyLight":15,"minSkyLight":8}</t>
        </is>
      </c>
      <c r="AR1706" s="18" t="inlineStr">
        <is>
          <t>{"biomes":["#cobblemon:is_beach"]}</t>
        </is>
      </c>
      <c r="AS1706" s="18" t="inlineStr"/>
      <c r="AT1706" s="19" t="inlineStr"/>
    </row>
    <row r="1707" ht="32" customHeight="1">
      <c r="A1707" s="18" t="inlineStr">
        <is>
          <t>0502_dewott.json::dewott-hisui-6::006</t>
        </is>
      </c>
      <c r="B1707" s="19" t="inlineStr">
        <is>
          <t>사용</t>
        </is>
      </c>
      <c r="C1707" s="18">
        <f>IF(OR(B1707&lt;&gt;AK1707,M1707&lt;&gt;L1707,O1707&lt;&gt;"",Q1707&lt;&gt;"",V1707&lt;&gt;1,Y1707&lt;&gt;"",AT1707&lt;&gt;""),"수정","원본")</f>
        <v/>
      </c>
      <c r="D1707" s="18" t="n">
        <v>502</v>
      </c>
      <c r="E1707" s="18" t="inlineStr">
        <is>
          <t>쌍검자비</t>
        </is>
      </c>
      <c r="F1707" s="18" t="inlineStr">
        <is>
          <t>dewott</t>
        </is>
      </c>
      <c r="G1707" s="18" t="inlineStr">
        <is>
          <t>dewott region_bias=hisui</t>
        </is>
      </c>
      <c r="H1707" s="18" t="inlineStr">
        <is>
          <t>region_bias=hisui</t>
        </is>
      </c>
      <c r="I1707" s="18" t="n">
        <v>5</v>
      </c>
      <c r="J1707" s="18" t="n">
        <v>8</v>
      </c>
      <c r="K1707" s="18" t="n">
        <v>8</v>
      </c>
      <c r="L1707" s="18" t="inlineStr">
        <is>
          <t>cobbleventure:generation_8</t>
        </is>
      </c>
      <c r="M1707" s="19" t="inlineStr">
        <is>
          <t>cobbleventure:generation_8</t>
        </is>
      </c>
      <c r="N1707" s="18" t="inlineStr"/>
      <c r="O1707" s="19" t="inlineStr"/>
      <c r="P1707" s="18" t="inlineStr">
        <is>
          <t>minecraft:snowy_beach</t>
        </is>
      </c>
      <c r="Q1707" s="19" t="inlineStr"/>
      <c r="R1707" s="18">
        <f>IF(Q1707="",P1707,Q1707)</f>
        <v/>
      </c>
      <c r="S1707" s="18" t="inlineStr"/>
      <c r="T1707" s="18" t="inlineStr">
        <is>
          <t>ultra-rare</t>
        </is>
      </c>
      <c r="U1707" s="20" t="n">
        <v>3.6</v>
      </c>
      <c r="V1707" s="21" t="n">
        <v>1</v>
      </c>
      <c r="W1707" s="20">
        <f>IF(OR(U1707="",V1707=""),U1707,U1707*V1707)</f>
        <v/>
      </c>
      <c r="X1707" s="18" t="inlineStr">
        <is>
          <t>17-41</t>
        </is>
      </c>
      <c r="Y1707" s="19" t="inlineStr"/>
      <c r="Z1707" s="18">
        <f>IF(Y1707="",X1707,Y1707)</f>
        <v/>
      </c>
      <c r="AA1707" s="18" t="inlineStr">
        <is>
          <t>grounded</t>
        </is>
      </c>
      <c r="AB1707" s="18" t="inlineStr"/>
      <c r="AC1707" s="18" t="inlineStr"/>
      <c r="AD1707" s="18" t="inlineStr"/>
      <c r="AE1707" s="18" t="inlineStr">
        <is>
          <t>sky 8-15</t>
        </is>
      </c>
      <c r="AF1707" s="18" t="inlineStr"/>
      <c r="AG1707" s="18" t="inlineStr"/>
      <c r="AH1707" s="18" t="inlineStr"/>
      <c r="AI1707" s="18" t="inlineStr"/>
      <c r="AJ1707" s="18" t="inlineStr">
        <is>
          <t>Cobblemon 동일</t>
        </is>
      </c>
      <c r="AK1707" s="18" t="inlineStr">
        <is>
          <t>사용</t>
        </is>
      </c>
      <c r="AL1707" s="18" t="inlineStr">
        <is>
          <t>COBBLEVERSE 1.7.42 / DP v31</t>
        </is>
      </c>
      <c r="AM1707" s="18" t="inlineStr">
        <is>
          <t>data/cobblemon/spawn_pool_world/0502_dewott.json</t>
        </is>
      </c>
      <c r="AN1707" s="18" t="inlineStr">
        <is>
          <t>dewott-hisui-6</t>
        </is>
      </c>
      <c r="AO1707" s="18" t="inlineStr">
        <is>
          <t>pokemon</t>
        </is>
      </c>
      <c r="AP1707" s="18" t="inlineStr">
        <is>
          <t>natural</t>
        </is>
      </c>
      <c r="AQ1707" s="18" t="inlineStr">
        <is>
          <t>{"biomes":["minecraft:snowy_beach"],"maxSkyLight":15,"minSkyLight":8}</t>
        </is>
      </c>
      <c r="AR1707" s="18" t="inlineStr"/>
      <c r="AS1707" s="18" t="inlineStr"/>
      <c r="AT1707" s="19" t="inlineStr"/>
    </row>
    <row r="1708" ht="32" customHeight="1">
      <c r="A1708" s="18" t="inlineStr">
        <is>
          <t>0502_dewott.json::dewott-hisui-7::007</t>
        </is>
      </c>
      <c r="B1708" s="19" t="inlineStr">
        <is>
          <t>사용</t>
        </is>
      </c>
      <c r="C1708" s="18">
        <f>IF(OR(B1708&lt;&gt;AK1708,M1708&lt;&gt;L1708,O1708&lt;&gt;"",Q1708&lt;&gt;"",V1708&lt;&gt;1,Y1708&lt;&gt;"",AT1708&lt;&gt;""),"수정","원본")</f>
        <v/>
      </c>
      <c r="D1708" s="18" t="n">
        <v>502</v>
      </c>
      <c r="E1708" s="18" t="inlineStr">
        <is>
          <t>쌍검자비</t>
        </is>
      </c>
      <c r="F1708" s="18" t="inlineStr">
        <is>
          <t>dewott</t>
        </is>
      </c>
      <c r="G1708" s="18" t="inlineStr">
        <is>
          <t>dewott region_bias=hisui</t>
        </is>
      </c>
      <c r="H1708" s="18" t="inlineStr">
        <is>
          <t>region_bias=hisui</t>
        </is>
      </c>
      <c r="I1708" s="18" t="n">
        <v>5</v>
      </c>
      <c r="J1708" s="18" t="n">
        <v>8</v>
      </c>
      <c r="K1708" s="18" t="n">
        <v>8</v>
      </c>
      <c r="L1708" s="18" t="inlineStr">
        <is>
          <t>cobbleventure:generation_8</t>
        </is>
      </c>
      <c r="M1708" s="19" t="inlineStr">
        <is>
          <t>cobbleventure:generation_8</t>
        </is>
      </c>
      <c r="N1708" s="18" t="inlineStr"/>
      <c r="O1708" s="19" t="inlineStr"/>
      <c r="P1708" s="18" t="inlineStr">
        <is>
          <t>minecraft:snowy_beach</t>
        </is>
      </c>
      <c r="Q1708" s="19" t="inlineStr"/>
      <c r="R1708" s="18">
        <f>IF(Q1708="",P1708,Q1708)</f>
        <v/>
      </c>
      <c r="S1708" s="18" t="inlineStr"/>
      <c r="T1708" s="18" t="inlineStr">
        <is>
          <t>ultra-rare</t>
        </is>
      </c>
      <c r="U1708" s="20" t="n">
        <v>3.6</v>
      </c>
      <c r="V1708" s="21" t="n">
        <v>1</v>
      </c>
      <c r="W1708" s="20">
        <f>IF(OR(U1708="",V1708=""),U1708,U1708*V1708)</f>
        <v/>
      </c>
      <c r="X1708" s="18" t="inlineStr">
        <is>
          <t>17-41</t>
        </is>
      </c>
      <c r="Y1708" s="19" t="inlineStr"/>
      <c r="Z1708" s="18">
        <f>IF(Y1708="",X1708,Y1708)</f>
        <v/>
      </c>
      <c r="AA1708" s="18" t="inlineStr">
        <is>
          <t>surface</t>
        </is>
      </c>
      <c r="AB1708" s="18" t="inlineStr"/>
      <c r="AC1708" s="18" t="inlineStr"/>
      <c r="AD1708" s="18" t="inlineStr"/>
      <c r="AE1708" s="18" t="inlineStr">
        <is>
          <t>sky 8-15</t>
        </is>
      </c>
      <c r="AF1708" s="18" t="inlineStr"/>
      <c r="AG1708" s="18" t="inlineStr"/>
      <c r="AH1708" s="18" t="inlineStr"/>
      <c r="AI1708" s="18" t="inlineStr"/>
      <c r="AJ1708" s="18" t="inlineStr">
        <is>
          <t>Cobblemon 동일</t>
        </is>
      </c>
      <c r="AK1708" s="18" t="inlineStr">
        <is>
          <t>사용</t>
        </is>
      </c>
      <c r="AL1708" s="18" t="inlineStr">
        <is>
          <t>COBBLEVERSE 1.7.42 / DP v31</t>
        </is>
      </c>
      <c r="AM1708" s="18" t="inlineStr">
        <is>
          <t>data/cobblemon/spawn_pool_world/0502_dewott.json</t>
        </is>
      </c>
      <c r="AN1708" s="18" t="inlineStr">
        <is>
          <t>dewott-hisui-7</t>
        </is>
      </c>
      <c r="AO1708" s="18" t="inlineStr">
        <is>
          <t>pokemon</t>
        </is>
      </c>
      <c r="AP1708" s="18" t="inlineStr">
        <is>
          <t>water</t>
        </is>
      </c>
      <c r="AQ1708" s="18" t="inlineStr">
        <is>
          <t>{"biomes":["minecraft:snowy_beach"],"maxSkyLight":15,"minSkyLight":8}</t>
        </is>
      </c>
      <c r="AR1708" s="18" t="inlineStr"/>
      <c r="AS1708" s="18" t="inlineStr"/>
      <c r="AT1708" s="19" t="inlineStr"/>
    </row>
    <row r="1709" ht="32" customHeight="1">
      <c r="A1709" s="18" t="inlineStr">
        <is>
          <t>0502_dewott.json::dewott-hisui-8::008</t>
        </is>
      </c>
      <c r="B1709" s="19" t="inlineStr">
        <is>
          <t>사용</t>
        </is>
      </c>
      <c r="C1709" s="18">
        <f>IF(OR(B1709&lt;&gt;AK1709,M1709&lt;&gt;L1709,O1709&lt;&gt;"",Q1709&lt;&gt;"",V1709&lt;&gt;1,Y1709&lt;&gt;"",AT1709&lt;&gt;""),"수정","원본")</f>
        <v/>
      </c>
      <c r="D1709" s="18" t="n">
        <v>502</v>
      </c>
      <c r="E1709" s="18" t="inlineStr">
        <is>
          <t>쌍검자비</t>
        </is>
      </c>
      <c r="F1709" s="18" t="inlineStr">
        <is>
          <t>dewott</t>
        </is>
      </c>
      <c r="G1709" s="18" t="inlineStr">
        <is>
          <t>dewott region_bias=hisui</t>
        </is>
      </c>
      <c r="H1709" s="18" t="inlineStr">
        <is>
          <t>region_bias=hisui</t>
        </is>
      </c>
      <c r="I1709" s="18" t="n">
        <v>5</v>
      </c>
      <c r="J1709" s="18" t="n">
        <v>8</v>
      </c>
      <c r="K1709" s="18" t="n">
        <v>8</v>
      </c>
      <c r="L1709" s="18" t="inlineStr">
        <is>
          <t>cobbleventure:generation_8</t>
        </is>
      </c>
      <c r="M1709" s="19" t="inlineStr">
        <is>
          <t>cobbleventure:generation_8</t>
        </is>
      </c>
      <c r="N1709" s="18" t="inlineStr"/>
      <c r="O1709" s="19" t="inlineStr"/>
      <c r="P1709" s="18" t="inlineStr">
        <is>
          <t>#cobblemon:is_coast; #cobblemon:is_cold_ocean</t>
        </is>
      </c>
      <c r="Q1709" s="19" t="inlineStr"/>
      <c r="R1709" s="18">
        <f>IF(Q1709="",P1709,Q1709)</f>
        <v/>
      </c>
      <c r="S1709" s="18" t="inlineStr">
        <is>
          <t>#cobblemon:is_beach</t>
        </is>
      </c>
      <c r="T1709" s="18" t="inlineStr">
        <is>
          <t>ultra-rare</t>
        </is>
      </c>
      <c r="U1709" s="20" t="n">
        <v>3.6</v>
      </c>
      <c r="V1709" s="21" t="n">
        <v>1</v>
      </c>
      <c r="W1709" s="20">
        <f>IF(OR(U1709="",V1709=""),U1709,U1709*V1709)</f>
        <v/>
      </c>
      <c r="X1709" s="18" t="inlineStr">
        <is>
          <t>17-41</t>
        </is>
      </c>
      <c r="Y1709" s="19" t="inlineStr"/>
      <c r="Z1709" s="18">
        <f>IF(Y1709="",X1709,Y1709)</f>
        <v/>
      </c>
      <c r="AA1709" s="18" t="inlineStr">
        <is>
          <t>fishing</t>
        </is>
      </c>
      <c r="AB1709" s="18" t="inlineStr"/>
      <c r="AC1709" s="18" t="inlineStr"/>
      <c r="AD1709" s="18" t="inlineStr"/>
      <c r="AE1709" s="18" t="inlineStr">
        <is>
          <t>sky 8-15</t>
        </is>
      </c>
      <c r="AF1709" s="18" t="inlineStr"/>
      <c r="AG1709" s="18" t="inlineStr"/>
      <c r="AH1709" s="18" t="inlineStr"/>
      <c r="AI1709" s="18" t="inlineStr"/>
      <c r="AJ1709" s="18" t="inlineStr">
        <is>
          <t>Cobblemon 동일</t>
        </is>
      </c>
      <c r="AK1709" s="18" t="inlineStr">
        <is>
          <t>사용</t>
        </is>
      </c>
      <c r="AL1709" s="18" t="inlineStr">
        <is>
          <t>COBBLEVERSE 1.7.42 / DP v31</t>
        </is>
      </c>
      <c r="AM1709" s="18" t="inlineStr">
        <is>
          <t>data/cobblemon/spawn_pool_world/0502_dewott.json</t>
        </is>
      </c>
      <c r="AN1709" s="18" t="inlineStr">
        <is>
          <t>dewott-hisui-8</t>
        </is>
      </c>
      <c r="AO1709" s="18" t="inlineStr">
        <is>
          <t>pokemon</t>
        </is>
      </c>
      <c r="AP1709" s="18" t="inlineStr"/>
      <c r="AQ1709" s="18" t="inlineStr">
        <is>
          <t>{"biomes":["#cobblemon:is_coast","#cobblemon:is_cold_ocean"],"maxSkyLight":15,"minSkyLight":8}</t>
        </is>
      </c>
      <c r="AR1709" s="18" t="inlineStr">
        <is>
          <t>{"biomes":["#cobblemon:is_beach"]}</t>
        </is>
      </c>
      <c r="AS1709" s="18" t="inlineStr"/>
      <c r="AT1709" s="19" t="inlineStr"/>
    </row>
    <row r="1710" ht="32" customHeight="1">
      <c r="A1710" s="18" t="inlineStr">
        <is>
          <t>0503_samurott.json::samurott-1::001</t>
        </is>
      </c>
      <c r="B1710" s="19" t="inlineStr">
        <is>
          <t>사용</t>
        </is>
      </c>
      <c r="C1710" s="18">
        <f>IF(OR(B1710&lt;&gt;AK1710,M1710&lt;&gt;L1710,O1710&lt;&gt;"",Q1710&lt;&gt;"",V1710&lt;&gt;1,Y1710&lt;&gt;"",AT1710&lt;&gt;""),"수정","원본")</f>
        <v/>
      </c>
      <c r="D1710" s="18" t="n">
        <v>503</v>
      </c>
      <c r="E1710" s="18" t="inlineStr">
        <is>
          <t>대검귀</t>
        </is>
      </c>
      <c r="F1710" s="18" t="inlineStr">
        <is>
          <t>samurott</t>
        </is>
      </c>
      <c r="G1710" s="18" t="inlineStr">
        <is>
          <t>samurott</t>
        </is>
      </c>
      <c r="H1710" s="18" t="inlineStr"/>
      <c r="I1710" s="18" t="n">
        <v>5</v>
      </c>
      <c r="J1710" s="18" t="n"/>
      <c r="K1710" s="18" t="n">
        <v>5</v>
      </c>
      <c r="L1710" s="18" t="inlineStr">
        <is>
          <t>cobbleventure:generation_5</t>
        </is>
      </c>
      <c r="M1710" s="19" t="inlineStr">
        <is>
          <t>cobbleventure:generation_5</t>
        </is>
      </c>
      <c r="N1710" s="18" t="inlineStr"/>
      <c r="O1710" s="19" t="inlineStr"/>
      <c r="P1710" s="18" t="inlineStr">
        <is>
          <t>#cobblemon:is_beach</t>
        </is>
      </c>
      <c r="Q1710" s="19" t="inlineStr"/>
      <c r="R1710" s="18">
        <f>IF(Q1710="",P1710,Q1710)</f>
        <v/>
      </c>
      <c r="S1710" s="18" t="inlineStr">
        <is>
          <t>#cobblemon:is_freezing</t>
        </is>
      </c>
      <c r="T1710" s="18" t="inlineStr">
        <is>
          <t>ultra-rare</t>
        </is>
      </c>
      <c r="U1710" s="20" t="n">
        <v>0.4</v>
      </c>
      <c r="V1710" s="21" t="n">
        <v>1</v>
      </c>
      <c r="W1710" s="20">
        <f>IF(OR(U1710="",V1710=""),U1710,U1710*V1710)</f>
        <v/>
      </c>
      <c r="X1710" s="18" t="inlineStr">
        <is>
          <t>36-53</t>
        </is>
      </c>
      <c r="Y1710" s="19" t="inlineStr"/>
      <c r="Z1710" s="18">
        <f>IF(Y1710="",X1710,Y1710)</f>
        <v/>
      </c>
      <c r="AA1710" s="18" t="inlineStr">
        <is>
          <t>grounded</t>
        </is>
      </c>
      <c r="AB1710" s="18" t="inlineStr"/>
      <c r="AC1710" s="18" t="inlineStr"/>
      <c r="AD1710" s="18" t="inlineStr"/>
      <c r="AE1710" s="18" t="inlineStr">
        <is>
          <t>sky 8-15</t>
        </is>
      </c>
      <c r="AF1710" s="18" t="inlineStr"/>
      <c r="AG1710" s="18" t="inlineStr"/>
      <c r="AH1710" s="18" t="inlineStr"/>
      <c r="AI1710" s="18" t="inlineStr"/>
      <c r="AJ1710" s="18" t="inlineStr">
        <is>
          <t>Cobblemon 동일</t>
        </is>
      </c>
      <c r="AK1710" s="18" t="inlineStr">
        <is>
          <t>사용</t>
        </is>
      </c>
      <c r="AL1710" s="18" t="inlineStr">
        <is>
          <t>COBBLEVERSE 1.7.42 / DP v31</t>
        </is>
      </c>
      <c r="AM1710" s="18" t="inlineStr">
        <is>
          <t>data/cobblemon/spawn_pool_world/0503_samurott.json</t>
        </is>
      </c>
      <c r="AN1710" s="18" t="inlineStr">
        <is>
          <t>samurott-1</t>
        </is>
      </c>
      <c r="AO1710" s="18" t="inlineStr">
        <is>
          <t>pokemon</t>
        </is>
      </c>
      <c r="AP1710" s="18" t="inlineStr">
        <is>
          <t>natural</t>
        </is>
      </c>
      <c r="AQ1710" s="18" t="inlineStr">
        <is>
          <t>{"biomes":["#cobblemon:is_beach"],"maxSkyLight":15,"minSkyLight":8}</t>
        </is>
      </c>
      <c r="AR1710" s="18" t="inlineStr">
        <is>
          <t>{"biomes":["#cobblemon:is_freezing"]}</t>
        </is>
      </c>
      <c r="AS1710" s="18" t="inlineStr"/>
      <c r="AT1710" s="19" t="inlineStr"/>
    </row>
    <row r="1711" ht="32" customHeight="1">
      <c r="A1711" s="18" t="inlineStr">
        <is>
          <t>0503_samurott.json::samurott-2::002</t>
        </is>
      </c>
      <c r="B1711" s="19" t="inlineStr">
        <is>
          <t>사용</t>
        </is>
      </c>
      <c r="C1711" s="18">
        <f>IF(OR(B1711&lt;&gt;AK1711,M1711&lt;&gt;L1711,O1711&lt;&gt;"",Q1711&lt;&gt;"",V1711&lt;&gt;1,Y1711&lt;&gt;"",AT1711&lt;&gt;""),"수정","원본")</f>
        <v/>
      </c>
      <c r="D1711" s="18" t="n">
        <v>503</v>
      </c>
      <c r="E1711" s="18" t="inlineStr">
        <is>
          <t>대검귀</t>
        </is>
      </c>
      <c r="F1711" s="18" t="inlineStr">
        <is>
          <t>samurott</t>
        </is>
      </c>
      <c r="G1711" s="18" t="inlineStr">
        <is>
          <t>samurott</t>
        </is>
      </c>
      <c r="H1711" s="18" t="inlineStr"/>
      <c r="I1711" s="18" t="n">
        <v>5</v>
      </c>
      <c r="J1711" s="18" t="n"/>
      <c r="K1711" s="18" t="n">
        <v>5</v>
      </c>
      <c r="L1711" s="18" t="inlineStr">
        <is>
          <t>cobbleventure:generation_5</t>
        </is>
      </c>
      <c r="M1711" s="19" t="inlineStr">
        <is>
          <t>cobbleventure:generation_5</t>
        </is>
      </c>
      <c r="N1711" s="18" t="inlineStr"/>
      <c r="O1711" s="19" t="inlineStr"/>
      <c r="P1711" s="18" t="inlineStr">
        <is>
          <t>#cobblemon:is_beach</t>
        </is>
      </c>
      <c r="Q1711" s="19" t="inlineStr"/>
      <c r="R1711" s="18">
        <f>IF(Q1711="",P1711,Q1711)</f>
        <v/>
      </c>
      <c r="S1711" s="18" t="inlineStr">
        <is>
          <t>#cobblemon:is_freezing</t>
        </is>
      </c>
      <c r="T1711" s="18" t="inlineStr">
        <is>
          <t>ultra-rare</t>
        </is>
      </c>
      <c r="U1711" s="20" t="n">
        <v>0.4</v>
      </c>
      <c r="V1711" s="21" t="n">
        <v>1</v>
      </c>
      <c r="W1711" s="20">
        <f>IF(OR(U1711="",V1711=""),U1711,U1711*V1711)</f>
        <v/>
      </c>
      <c r="X1711" s="18" t="inlineStr">
        <is>
          <t>36-53</t>
        </is>
      </c>
      <c r="Y1711" s="19" t="inlineStr"/>
      <c r="Z1711" s="18">
        <f>IF(Y1711="",X1711,Y1711)</f>
        <v/>
      </c>
      <c r="AA1711" s="18" t="inlineStr">
        <is>
          <t>surface</t>
        </is>
      </c>
      <c r="AB1711" s="18" t="inlineStr"/>
      <c r="AC1711" s="18" t="inlineStr"/>
      <c r="AD1711" s="18" t="inlineStr"/>
      <c r="AE1711" s="18" t="inlineStr">
        <is>
          <t>sky 8-15</t>
        </is>
      </c>
      <c r="AF1711" s="18" t="inlineStr"/>
      <c r="AG1711" s="18" t="inlineStr"/>
      <c r="AH1711" s="18" t="inlineStr"/>
      <c r="AI1711" s="18" t="inlineStr"/>
      <c r="AJ1711" s="18" t="inlineStr">
        <is>
          <t>Cobblemon 동일</t>
        </is>
      </c>
      <c r="AK1711" s="18" t="inlineStr">
        <is>
          <t>사용</t>
        </is>
      </c>
      <c r="AL1711" s="18" t="inlineStr">
        <is>
          <t>COBBLEVERSE 1.7.42 / DP v31</t>
        </is>
      </c>
      <c r="AM1711" s="18" t="inlineStr">
        <is>
          <t>data/cobblemon/spawn_pool_world/0503_samurott.json</t>
        </is>
      </c>
      <c r="AN1711" s="18" t="inlineStr">
        <is>
          <t>samurott-2</t>
        </is>
      </c>
      <c r="AO1711" s="18" t="inlineStr">
        <is>
          <t>pokemon</t>
        </is>
      </c>
      <c r="AP1711" s="18" t="inlineStr">
        <is>
          <t>water</t>
        </is>
      </c>
      <c r="AQ1711" s="18" t="inlineStr">
        <is>
          <t>{"biomes":["#cobblemon:is_beach"],"maxSkyLight":15,"minSkyLight":8}</t>
        </is>
      </c>
      <c r="AR1711" s="18" t="inlineStr">
        <is>
          <t>{"biomes":["#cobblemon:is_freezing"]}</t>
        </is>
      </c>
      <c r="AS1711" s="18" t="inlineStr"/>
      <c r="AT1711" s="19" t="inlineStr"/>
    </row>
    <row r="1712" ht="32" customHeight="1">
      <c r="A1712" s="18" t="inlineStr">
        <is>
          <t>0503_samurott.json::samurott-3::003</t>
        </is>
      </c>
      <c r="B1712" s="19" t="inlineStr">
        <is>
          <t>사용</t>
        </is>
      </c>
      <c r="C1712" s="18">
        <f>IF(OR(B1712&lt;&gt;AK1712,M1712&lt;&gt;L1712,O1712&lt;&gt;"",Q1712&lt;&gt;"",V1712&lt;&gt;1,Y1712&lt;&gt;"",AT1712&lt;&gt;""),"수정","원본")</f>
        <v/>
      </c>
      <c r="D1712" s="18" t="n">
        <v>503</v>
      </c>
      <c r="E1712" s="18" t="inlineStr">
        <is>
          <t>대검귀</t>
        </is>
      </c>
      <c r="F1712" s="18" t="inlineStr">
        <is>
          <t>samurott</t>
        </is>
      </c>
      <c r="G1712" s="18" t="inlineStr">
        <is>
          <t>samurott</t>
        </is>
      </c>
      <c r="H1712" s="18" t="inlineStr"/>
      <c r="I1712" s="18" t="n">
        <v>5</v>
      </c>
      <c r="J1712" s="18" t="n"/>
      <c r="K1712" s="18" t="n">
        <v>5</v>
      </c>
      <c r="L1712" s="18" t="inlineStr">
        <is>
          <t>cobbleventure:generation_5</t>
        </is>
      </c>
      <c r="M1712" s="19" t="inlineStr">
        <is>
          <t>cobbleventure:generation_5</t>
        </is>
      </c>
      <c r="N1712" s="18" t="inlineStr"/>
      <c r="O1712" s="19" t="inlineStr"/>
      <c r="P1712" s="18" t="inlineStr">
        <is>
          <t>#cobblemon:is_beach; #cobblemon:is_ocean; #cobblemon:is_tropical_island</t>
        </is>
      </c>
      <c r="Q1712" s="19" t="inlineStr"/>
      <c r="R1712" s="18">
        <f>IF(Q1712="",P1712,Q1712)</f>
        <v/>
      </c>
      <c r="S1712" s="18" t="inlineStr">
        <is>
          <t>#cobblemon:is_cold</t>
        </is>
      </c>
      <c r="T1712" s="18" t="inlineStr">
        <is>
          <t>ultra-rare</t>
        </is>
      </c>
      <c r="U1712" s="20" t="n">
        <v>0.4</v>
      </c>
      <c r="V1712" s="21" t="n">
        <v>1</v>
      </c>
      <c r="W1712" s="20">
        <f>IF(OR(U1712="",V1712=""),U1712,U1712*V1712)</f>
        <v/>
      </c>
      <c r="X1712" s="18" t="inlineStr">
        <is>
          <t>36-53</t>
        </is>
      </c>
      <c r="Y1712" s="19" t="inlineStr"/>
      <c r="Z1712" s="18">
        <f>IF(Y1712="",X1712,Y1712)</f>
        <v/>
      </c>
      <c r="AA1712" s="18" t="inlineStr">
        <is>
          <t>fishing</t>
        </is>
      </c>
      <c r="AB1712" s="18" t="inlineStr"/>
      <c r="AC1712" s="18" t="inlineStr"/>
      <c r="AD1712" s="18" t="inlineStr"/>
      <c r="AE1712" s="18" t="inlineStr">
        <is>
          <t>sky 8-15</t>
        </is>
      </c>
      <c r="AF1712" s="18" t="inlineStr"/>
      <c r="AG1712" s="18" t="inlineStr"/>
      <c r="AH1712" s="18" t="inlineStr"/>
      <c r="AI1712" s="18" t="inlineStr"/>
      <c r="AJ1712" s="18" t="inlineStr">
        <is>
          <t>Cobblemon 동일</t>
        </is>
      </c>
      <c r="AK1712" s="18" t="inlineStr">
        <is>
          <t>사용</t>
        </is>
      </c>
      <c r="AL1712" s="18" t="inlineStr">
        <is>
          <t>COBBLEVERSE 1.7.42 / DP v31</t>
        </is>
      </c>
      <c r="AM1712" s="18" t="inlineStr">
        <is>
          <t>data/cobblemon/spawn_pool_world/0503_samurott.json</t>
        </is>
      </c>
      <c r="AN1712" s="18" t="inlineStr">
        <is>
          <t>samurott-3</t>
        </is>
      </c>
      <c r="AO1712" s="18" t="inlineStr">
        <is>
          <t>pokemon</t>
        </is>
      </c>
      <c r="AP1712" s="18" t="inlineStr"/>
      <c r="AQ1712" s="18" t="inlineStr">
        <is>
          <t>{"biomes":["#cobblemon:is_beach","#cobblemon:is_ocean","#cobblemon:is_tropical_island"],"maxSkyLight":15,"minSkyLight":8}</t>
        </is>
      </c>
      <c r="AR1712" s="18" t="inlineStr">
        <is>
          <t>{"biomes":["#cobblemon:is_cold"]}</t>
        </is>
      </c>
      <c r="AS1712" s="18" t="inlineStr"/>
      <c r="AT1712" s="19" t="inlineStr"/>
    </row>
    <row r="1713" ht="32" customHeight="1">
      <c r="A1713" s="18" t="inlineStr">
        <is>
          <t>0503_samurott.json::samurott-hisuian-4::004</t>
        </is>
      </c>
      <c r="B1713" s="19" t="inlineStr">
        <is>
          <t>사용</t>
        </is>
      </c>
      <c r="C1713" s="18">
        <f>IF(OR(B1713&lt;&gt;AK1713,M1713&lt;&gt;L1713,O1713&lt;&gt;"",Q1713&lt;&gt;"",V1713&lt;&gt;1,Y1713&lt;&gt;"",AT1713&lt;&gt;""),"수정","원본")</f>
        <v/>
      </c>
      <c r="D1713" s="18" t="n">
        <v>503</v>
      </c>
      <c r="E1713" s="18" t="inlineStr">
        <is>
          <t>대검귀</t>
        </is>
      </c>
      <c r="F1713" s="18" t="inlineStr">
        <is>
          <t>samurott</t>
        </is>
      </c>
      <c r="G1713" s="18" t="inlineStr">
        <is>
          <t>samurott hisuian</t>
        </is>
      </c>
      <c r="H1713" s="18" t="inlineStr">
        <is>
          <t>hisuian</t>
        </is>
      </c>
      <c r="I1713" s="18" t="n">
        <v>5</v>
      </c>
      <c r="J1713" s="18" t="n">
        <v>8</v>
      </c>
      <c r="K1713" s="18" t="n">
        <v>8</v>
      </c>
      <c r="L1713" s="18" t="inlineStr">
        <is>
          <t>cobbleventure:generation_8</t>
        </is>
      </c>
      <c r="M1713" s="19" t="inlineStr">
        <is>
          <t>cobbleventure:generation_8</t>
        </is>
      </c>
      <c r="N1713" s="18" t="inlineStr"/>
      <c r="O1713" s="19" t="inlineStr"/>
      <c r="P1713" s="18" t="inlineStr">
        <is>
          <t>#cobblemon:is_coast</t>
        </is>
      </c>
      <c r="Q1713" s="19" t="inlineStr"/>
      <c r="R1713" s="18">
        <f>IF(Q1713="",P1713,Q1713)</f>
        <v/>
      </c>
      <c r="S1713" s="18" t="inlineStr">
        <is>
          <t>#cobblemon:is_beach</t>
        </is>
      </c>
      <c r="T1713" s="18" t="inlineStr">
        <is>
          <t>ultra-rare</t>
        </is>
      </c>
      <c r="U1713" s="20" t="n">
        <v>0.4</v>
      </c>
      <c r="V1713" s="21" t="n">
        <v>1</v>
      </c>
      <c r="W1713" s="20">
        <f>IF(OR(U1713="",V1713=""),U1713,U1713*V1713)</f>
        <v/>
      </c>
      <c r="X1713" s="18" t="inlineStr">
        <is>
          <t>36-53</t>
        </is>
      </c>
      <c r="Y1713" s="19" t="inlineStr"/>
      <c r="Z1713" s="18">
        <f>IF(Y1713="",X1713,Y1713)</f>
        <v/>
      </c>
      <c r="AA1713" s="18" t="inlineStr">
        <is>
          <t>grounded</t>
        </is>
      </c>
      <c r="AB1713" s="18" t="inlineStr"/>
      <c r="AC1713" s="18" t="inlineStr"/>
      <c r="AD1713" s="18" t="inlineStr"/>
      <c r="AE1713" s="18" t="inlineStr">
        <is>
          <t>sky 8-15</t>
        </is>
      </c>
      <c r="AF1713" s="18" t="inlineStr"/>
      <c r="AG1713" s="18" t="inlineStr"/>
      <c r="AH1713" s="18" t="inlineStr"/>
      <c r="AI1713" s="18" t="inlineStr"/>
      <c r="AJ1713" s="18" t="inlineStr">
        <is>
          <t>Cobblemon 동일</t>
        </is>
      </c>
      <c r="AK1713" s="18" t="inlineStr">
        <is>
          <t>사용</t>
        </is>
      </c>
      <c r="AL1713" s="18" t="inlineStr">
        <is>
          <t>COBBLEVERSE 1.7.42 / DP v31</t>
        </is>
      </c>
      <c r="AM1713" s="18" t="inlineStr">
        <is>
          <t>data/cobblemon/spawn_pool_world/0503_samurott.json</t>
        </is>
      </c>
      <c r="AN1713" s="18" t="inlineStr">
        <is>
          <t>samurott-hisuian-4</t>
        </is>
      </c>
      <c r="AO1713" s="18" t="inlineStr">
        <is>
          <t>pokemon</t>
        </is>
      </c>
      <c r="AP1713" s="18" t="inlineStr">
        <is>
          <t>natural</t>
        </is>
      </c>
      <c r="AQ1713" s="18" t="inlineStr">
        <is>
          <t>{"biomes":["#cobblemon:is_coast"],"maxSkyLight":15,"minSkyLight":8}</t>
        </is>
      </c>
      <c r="AR1713" s="18" t="inlineStr">
        <is>
          <t>{"biomes":["#cobblemon:is_beach"]}</t>
        </is>
      </c>
      <c r="AS1713" s="18" t="inlineStr"/>
      <c r="AT1713" s="19" t="inlineStr"/>
    </row>
    <row r="1714" ht="32" customHeight="1">
      <c r="A1714" s="18" t="inlineStr">
        <is>
          <t>0503_samurott.json::samurott-hisuian-5::005</t>
        </is>
      </c>
      <c r="B1714" s="19" t="inlineStr">
        <is>
          <t>사용</t>
        </is>
      </c>
      <c r="C1714" s="18">
        <f>IF(OR(B1714&lt;&gt;AK1714,M1714&lt;&gt;L1714,O1714&lt;&gt;"",Q1714&lt;&gt;"",V1714&lt;&gt;1,Y1714&lt;&gt;"",AT1714&lt;&gt;""),"수정","원본")</f>
        <v/>
      </c>
      <c r="D1714" s="18" t="n">
        <v>503</v>
      </c>
      <c r="E1714" s="18" t="inlineStr">
        <is>
          <t>대검귀</t>
        </is>
      </c>
      <c r="F1714" s="18" t="inlineStr">
        <is>
          <t>samurott</t>
        </is>
      </c>
      <c r="G1714" s="18" t="inlineStr">
        <is>
          <t>samurott hisuian</t>
        </is>
      </c>
      <c r="H1714" s="18" t="inlineStr">
        <is>
          <t>hisuian</t>
        </is>
      </c>
      <c r="I1714" s="18" t="n">
        <v>5</v>
      </c>
      <c r="J1714" s="18" t="n">
        <v>8</v>
      </c>
      <c r="K1714" s="18" t="n">
        <v>8</v>
      </c>
      <c r="L1714" s="18" t="inlineStr">
        <is>
          <t>cobbleventure:generation_8</t>
        </is>
      </c>
      <c r="M1714" s="19" t="inlineStr">
        <is>
          <t>cobbleventure:generation_8</t>
        </is>
      </c>
      <c r="N1714" s="18" t="inlineStr"/>
      <c r="O1714" s="19" t="inlineStr"/>
      <c r="P1714" s="18" t="inlineStr">
        <is>
          <t>#cobblemon:is_coast</t>
        </is>
      </c>
      <c r="Q1714" s="19" t="inlineStr"/>
      <c r="R1714" s="18">
        <f>IF(Q1714="",P1714,Q1714)</f>
        <v/>
      </c>
      <c r="S1714" s="18" t="inlineStr">
        <is>
          <t>#cobblemon:is_beach</t>
        </is>
      </c>
      <c r="T1714" s="18" t="inlineStr">
        <is>
          <t>ultra-rare</t>
        </is>
      </c>
      <c r="U1714" s="20" t="n">
        <v>0.4</v>
      </c>
      <c r="V1714" s="21" t="n">
        <v>1</v>
      </c>
      <c r="W1714" s="20">
        <f>IF(OR(U1714="",V1714=""),U1714,U1714*V1714)</f>
        <v/>
      </c>
      <c r="X1714" s="18" t="inlineStr">
        <is>
          <t>36-53</t>
        </is>
      </c>
      <c r="Y1714" s="19" t="inlineStr"/>
      <c r="Z1714" s="18">
        <f>IF(Y1714="",X1714,Y1714)</f>
        <v/>
      </c>
      <c r="AA1714" s="18" t="inlineStr">
        <is>
          <t>surface</t>
        </is>
      </c>
      <c r="AB1714" s="18" t="inlineStr"/>
      <c r="AC1714" s="18" t="inlineStr"/>
      <c r="AD1714" s="18" t="inlineStr"/>
      <c r="AE1714" s="18" t="inlineStr">
        <is>
          <t>sky 8-15</t>
        </is>
      </c>
      <c r="AF1714" s="18" t="inlineStr"/>
      <c r="AG1714" s="18" t="inlineStr"/>
      <c r="AH1714" s="18" t="inlineStr"/>
      <c r="AI1714" s="18" t="inlineStr"/>
      <c r="AJ1714" s="18" t="inlineStr">
        <is>
          <t>Cobblemon 동일</t>
        </is>
      </c>
      <c r="AK1714" s="18" t="inlineStr">
        <is>
          <t>사용</t>
        </is>
      </c>
      <c r="AL1714" s="18" t="inlineStr">
        <is>
          <t>COBBLEVERSE 1.7.42 / DP v31</t>
        </is>
      </c>
      <c r="AM1714" s="18" t="inlineStr">
        <is>
          <t>data/cobblemon/spawn_pool_world/0503_samurott.json</t>
        </is>
      </c>
      <c r="AN1714" s="18" t="inlineStr">
        <is>
          <t>samurott-hisuian-5</t>
        </is>
      </c>
      <c r="AO1714" s="18" t="inlineStr">
        <is>
          <t>pokemon</t>
        </is>
      </c>
      <c r="AP1714" s="18" t="inlineStr">
        <is>
          <t>water</t>
        </is>
      </c>
      <c r="AQ1714" s="18" t="inlineStr">
        <is>
          <t>{"biomes":["#cobblemon:is_coast"],"maxSkyLight":15,"minSkyLight":8}</t>
        </is>
      </c>
      <c r="AR1714" s="18" t="inlineStr">
        <is>
          <t>{"biomes":["#cobblemon:is_beach"]}</t>
        </is>
      </c>
      <c r="AS1714" s="18" t="inlineStr"/>
      <c r="AT1714" s="19" t="inlineStr"/>
    </row>
    <row r="1715" ht="32" customHeight="1">
      <c r="A1715" s="18" t="inlineStr">
        <is>
          <t>0503_samurott.json::samurott-hisuian-6::006</t>
        </is>
      </c>
      <c r="B1715" s="19" t="inlineStr">
        <is>
          <t>사용</t>
        </is>
      </c>
      <c r="C1715" s="18">
        <f>IF(OR(B1715&lt;&gt;AK1715,M1715&lt;&gt;L1715,O1715&lt;&gt;"",Q1715&lt;&gt;"",V1715&lt;&gt;1,Y1715&lt;&gt;"",AT1715&lt;&gt;""),"수정","원본")</f>
        <v/>
      </c>
      <c r="D1715" s="18" t="n">
        <v>503</v>
      </c>
      <c r="E1715" s="18" t="inlineStr">
        <is>
          <t>대검귀</t>
        </is>
      </c>
      <c r="F1715" s="18" t="inlineStr">
        <is>
          <t>samurott</t>
        </is>
      </c>
      <c r="G1715" s="18" t="inlineStr">
        <is>
          <t>samurott hisuian</t>
        </is>
      </c>
      <c r="H1715" s="18" t="inlineStr">
        <is>
          <t>hisuian</t>
        </is>
      </c>
      <c r="I1715" s="18" t="n">
        <v>5</v>
      </c>
      <c r="J1715" s="18" t="n">
        <v>8</v>
      </c>
      <c r="K1715" s="18" t="n">
        <v>8</v>
      </c>
      <c r="L1715" s="18" t="inlineStr">
        <is>
          <t>cobbleventure:generation_8</t>
        </is>
      </c>
      <c r="M1715" s="19" t="inlineStr">
        <is>
          <t>cobbleventure:generation_8</t>
        </is>
      </c>
      <c r="N1715" s="18" t="inlineStr"/>
      <c r="O1715" s="19" t="inlineStr"/>
      <c r="P1715" s="18" t="inlineStr">
        <is>
          <t>minecraft:snowy_beach</t>
        </is>
      </c>
      <c r="Q1715" s="19" t="inlineStr"/>
      <c r="R1715" s="18">
        <f>IF(Q1715="",P1715,Q1715)</f>
        <v/>
      </c>
      <c r="S1715" s="18" t="inlineStr"/>
      <c r="T1715" s="18" t="inlineStr">
        <is>
          <t>ultra-rare</t>
        </is>
      </c>
      <c r="U1715" s="20" t="n">
        <v>0.4</v>
      </c>
      <c r="V1715" s="21" t="n">
        <v>1</v>
      </c>
      <c r="W1715" s="20">
        <f>IF(OR(U1715="",V1715=""),U1715,U1715*V1715)</f>
        <v/>
      </c>
      <c r="X1715" s="18" t="inlineStr">
        <is>
          <t>36-53</t>
        </is>
      </c>
      <c r="Y1715" s="19" t="inlineStr"/>
      <c r="Z1715" s="18">
        <f>IF(Y1715="",X1715,Y1715)</f>
        <v/>
      </c>
      <c r="AA1715" s="18" t="inlineStr">
        <is>
          <t>grounded</t>
        </is>
      </c>
      <c r="AB1715" s="18" t="inlineStr"/>
      <c r="AC1715" s="18" t="inlineStr"/>
      <c r="AD1715" s="18" t="inlineStr"/>
      <c r="AE1715" s="18" t="inlineStr">
        <is>
          <t>sky 8-15</t>
        </is>
      </c>
      <c r="AF1715" s="18" t="inlineStr"/>
      <c r="AG1715" s="18" t="inlineStr"/>
      <c r="AH1715" s="18" t="inlineStr"/>
      <c r="AI1715" s="18" t="inlineStr"/>
      <c r="AJ1715" s="18" t="inlineStr">
        <is>
          <t>Cobblemon 동일</t>
        </is>
      </c>
      <c r="AK1715" s="18" t="inlineStr">
        <is>
          <t>사용</t>
        </is>
      </c>
      <c r="AL1715" s="18" t="inlineStr">
        <is>
          <t>COBBLEVERSE 1.7.42 / DP v31</t>
        </is>
      </c>
      <c r="AM1715" s="18" t="inlineStr">
        <is>
          <t>data/cobblemon/spawn_pool_world/0503_samurott.json</t>
        </is>
      </c>
      <c r="AN1715" s="18" t="inlineStr">
        <is>
          <t>samurott-hisuian-6</t>
        </is>
      </c>
      <c r="AO1715" s="18" t="inlineStr">
        <is>
          <t>pokemon</t>
        </is>
      </c>
      <c r="AP1715" s="18" t="inlineStr">
        <is>
          <t>natural</t>
        </is>
      </c>
      <c r="AQ1715" s="18" t="inlineStr">
        <is>
          <t>{"biomes":["minecraft:snowy_beach"],"maxSkyLight":15,"minSkyLight":8}</t>
        </is>
      </c>
      <c r="AR1715" s="18" t="inlineStr"/>
      <c r="AS1715" s="18" t="inlineStr"/>
      <c r="AT1715" s="19" t="inlineStr"/>
    </row>
    <row r="1716" ht="32" customHeight="1">
      <c r="A1716" s="18" t="inlineStr">
        <is>
          <t>0503_samurott.json::samurott-hisuian-7::007</t>
        </is>
      </c>
      <c r="B1716" s="19" t="inlineStr">
        <is>
          <t>사용</t>
        </is>
      </c>
      <c r="C1716" s="18">
        <f>IF(OR(B1716&lt;&gt;AK1716,M1716&lt;&gt;L1716,O1716&lt;&gt;"",Q1716&lt;&gt;"",V1716&lt;&gt;1,Y1716&lt;&gt;"",AT1716&lt;&gt;""),"수정","원본")</f>
        <v/>
      </c>
      <c r="D1716" s="18" t="n">
        <v>503</v>
      </c>
      <c r="E1716" s="18" t="inlineStr">
        <is>
          <t>대검귀</t>
        </is>
      </c>
      <c r="F1716" s="18" t="inlineStr">
        <is>
          <t>samurott</t>
        </is>
      </c>
      <c r="G1716" s="18" t="inlineStr">
        <is>
          <t>samurott hisuian</t>
        </is>
      </c>
      <c r="H1716" s="18" t="inlineStr">
        <is>
          <t>hisuian</t>
        </is>
      </c>
      <c r="I1716" s="18" t="n">
        <v>5</v>
      </c>
      <c r="J1716" s="18" t="n">
        <v>8</v>
      </c>
      <c r="K1716" s="18" t="n">
        <v>8</v>
      </c>
      <c r="L1716" s="18" t="inlineStr">
        <is>
          <t>cobbleventure:generation_8</t>
        </is>
      </c>
      <c r="M1716" s="19" t="inlineStr">
        <is>
          <t>cobbleventure:generation_8</t>
        </is>
      </c>
      <c r="N1716" s="18" t="inlineStr"/>
      <c r="O1716" s="19" t="inlineStr"/>
      <c r="P1716" s="18" t="inlineStr">
        <is>
          <t>minecraft:snowy_beach</t>
        </is>
      </c>
      <c r="Q1716" s="19" t="inlineStr"/>
      <c r="R1716" s="18">
        <f>IF(Q1716="",P1716,Q1716)</f>
        <v/>
      </c>
      <c r="S1716" s="18" t="inlineStr"/>
      <c r="T1716" s="18" t="inlineStr">
        <is>
          <t>ultra-rare</t>
        </is>
      </c>
      <c r="U1716" s="20" t="n">
        <v>0.4</v>
      </c>
      <c r="V1716" s="21" t="n">
        <v>1</v>
      </c>
      <c r="W1716" s="20">
        <f>IF(OR(U1716="",V1716=""),U1716,U1716*V1716)</f>
        <v/>
      </c>
      <c r="X1716" s="18" t="inlineStr">
        <is>
          <t>36-53</t>
        </is>
      </c>
      <c r="Y1716" s="19" t="inlineStr"/>
      <c r="Z1716" s="18">
        <f>IF(Y1716="",X1716,Y1716)</f>
        <v/>
      </c>
      <c r="AA1716" s="18" t="inlineStr">
        <is>
          <t>surface</t>
        </is>
      </c>
      <c r="AB1716" s="18" t="inlineStr"/>
      <c r="AC1716" s="18" t="inlineStr"/>
      <c r="AD1716" s="18" t="inlineStr"/>
      <c r="AE1716" s="18" t="inlineStr">
        <is>
          <t>sky 8-15</t>
        </is>
      </c>
      <c r="AF1716" s="18" t="inlineStr"/>
      <c r="AG1716" s="18" t="inlineStr"/>
      <c r="AH1716" s="18" t="inlineStr"/>
      <c r="AI1716" s="18" t="inlineStr"/>
      <c r="AJ1716" s="18" t="inlineStr">
        <is>
          <t>Cobblemon 동일</t>
        </is>
      </c>
      <c r="AK1716" s="18" t="inlineStr">
        <is>
          <t>사용</t>
        </is>
      </c>
      <c r="AL1716" s="18" t="inlineStr">
        <is>
          <t>COBBLEVERSE 1.7.42 / DP v31</t>
        </is>
      </c>
      <c r="AM1716" s="18" t="inlineStr">
        <is>
          <t>data/cobblemon/spawn_pool_world/0503_samurott.json</t>
        </is>
      </c>
      <c r="AN1716" s="18" t="inlineStr">
        <is>
          <t>samurott-hisuian-7</t>
        </is>
      </c>
      <c r="AO1716" s="18" t="inlineStr">
        <is>
          <t>pokemon</t>
        </is>
      </c>
      <c r="AP1716" s="18" t="inlineStr">
        <is>
          <t>water</t>
        </is>
      </c>
      <c r="AQ1716" s="18" t="inlineStr">
        <is>
          <t>{"biomes":["minecraft:snowy_beach"],"maxSkyLight":15,"minSkyLight":8}</t>
        </is>
      </c>
      <c r="AR1716" s="18" t="inlineStr"/>
      <c r="AS1716" s="18" t="inlineStr"/>
      <c r="AT1716" s="19" t="inlineStr"/>
    </row>
    <row r="1717" ht="32" customHeight="1">
      <c r="A1717" s="18" t="inlineStr">
        <is>
          <t>0503_samurott.json::samurott-hisuian-8::008</t>
        </is>
      </c>
      <c r="B1717" s="19" t="inlineStr">
        <is>
          <t>사용</t>
        </is>
      </c>
      <c r="C1717" s="18">
        <f>IF(OR(B1717&lt;&gt;AK1717,M1717&lt;&gt;L1717,O1717&lt;&gt;"",Q1717&lt;&gt;"",V1717&lt;&gt;1,Y1717&lt;&gt;"",AT1717&lt;&gt;""),"수정","원본")</f>
        <v/>
      </c>
      <c r="D1717" s="18" t="n">
        <v>503</v>
      </c>
      <c r="E1717" s="18" t="inlineStr">
        <is>
          <t>대검귀</t>
        </is>
      </c>
      <c r="F1717" s="18" t="inlineStr">
        <is>
          <t>samurott</t>
        </is>
      </c>
      <c r="G1717" s="18" t="inlineStr">
        <is>
          <t>samurott hisuian</t>
        </is>
      </c>
      <c r="H1717" s="18" t="inlineStr">
        <is>
          <t>hisuian</t>
        </is>
      </c>
      <c r="I1717" s="18" t="n">
        <v>5</v>
      </c>
      <c r="J1717" s="18" t="n">
        <v>8</v>
      </c>
      <c r="K1717" s="18" t="n">
        <v>8</v>
      </c>
      <c r="L1717" s="18" t="inlineStr">
        <is>
          <t>cobbleventure:generation_8</t>
        </is>
      </c>
      <c r="M1717" s="19" t="inlineStr">
        <is>
          <t>cobbleventure:generation_8</t>
        </is>
      </c>
      <c r="N1717" s="18" t="inlineStr"/>
      <c r="O1717" s="19" t="inlineStr"/>
      <c r="P1717" s="18" t="inlineStr">
        <is>
          <t>#cobblemon:is_coast; #cobblemon:is_cold_ocean</t>
        </is>
      </c>
      <c r="Q1717" s="19" t="inlineStr"/>
      <c r="R1717" s="18">
        <f>IF(Q1717="",P1717,Q1717)</f>
        <v/>
      </c>
      <c r="S1717" s="18" t="inlineStr">
        <is>
          <t>#cobblemon:is_beach</t>
        </is>
      </c>
      <c r="T1717" s="18" t="inlineStr">
        <is>
          <t>ultra-rare</t>
        </is>
      </c>
      <c r="U1717" s="20" t="n">
        <v>0.4</v>
      </c>
      <c r="V1717" s="21" t="n">
        <v>1</v>
      </c>
      <c r="W1717" s="20">
        <f>IF(OR(U1717="",V1717=""),U1717,U1717*V1717)</f>
        <v/>
      </c>
      <c r="X1717" s="18" t="inlineStr">
        <is>
          <t>36-53</t>
        </is>
      </c>
      <c r="Y1717" s="19" t="inlineStr"/>
      <c r="Z1717" s="18">
        <f>IF(Y1717="",X1717,Y1717)</f>
        <v/>
      </c>
      <c r="AA1717" s="18" t="inlineStr">
        <is>
          <t>fishing</t>
        </is>
      </c>
      <c r="AB1717" s="18" t="inlineStr"/>
      <c r="AC1717" s="18" t="inlineStr"/>
      <c r="AD1717" s="18" t="inlineStr"/>
      <c r="AE1717" s="18" t="inlineStr">
        <is>
          <t>sky 8-15</t>
        </is>
      </c>
      <c r="AF1717" s="18" t="inlineStr"/>
      <c r="AG1717" s="18" t="inlineStr"/>
      <c r="AH1717" s="18" t="inlineStr"/>
      <c r="AI1717" s="18" t="inlineStr"/>
      <c r="AJ1717" s="18" t="inlineStr">
        <is>
          <t>Cobblemon 동일</t>
        </is>
      </c>
      <c r="AK1717" s="18" t="inlineStr">
        <is>
          <t>사용</t>
        </is>
      </c>
      <c r="AL1717" s="18" t="inlineStr">
        <is>
          <t>COBBLEVERSE 1.7.42 / DP v31</t>
        </is>
      </c>
      <c r="AM1717" s="18" t="inlineStr">
        <is>
          <t>data/cobblemon/spawn_pool_world/0503_samurott.json</t>
        </is>
      </c>
      <c r="AN1717" s="18" t="inlineStr">
        <is>
          <t>samurott-hisuian-8</t>
        </is>
      </c>
      <c r="AO1717" s="18" t="inlineStr">
        <is>
          <t>pokemon</t>
        </is>
      </c>
      <c r="AP1717" s="18" t="inlineStr"/>
      <c r="AQ1717" s="18" t="inlineStr">
        <is>
          <t>{"biomes":["#cobblemon:is_coast","#cobblemon:is_cold_ocean"],"maxSkyLight":15,"minSkyLight":8}</t>
        </is>
      </c>
      <c r="AR1717" s="18" t="inlineStr">
        <is>
          <t>{"biomes":["#cobblemon:is_beach"]}</t>
        </is>
      </c>
      <c r="AS1717" s="18" t="inlineStr"/>
      <c r="AT1717" s="19" t="inlineStr"/>
    </row>
    <row r="1718" ht="32" customHeight="1">
      <c r="A1718" s="18" t="inlineStr">
        <is>
          <t>0504_patrat.json::patrat-1::001</t>
        </is>
      </c>
      <c r="B1718" s="19" t="inlineStr">
        <is>
          <t>사용</t>
        </is>
      </c>
      <c r="C1718" s="18">
        <f>IF(OR(B1718&lt;&gt;AK1718,M1718&lt;&gt;L1718,O1718&lt;&gt;"",Q1718&lt;&gt;"",V1718&lt;&gt;1,Y1718&lt;&gt;"",AT1718&lt;&gt;""),"수정","원본")</f>
        <v/>
      </c>
      <c r="D1718" s="18" t="n">
        <v>504</v>
      </c>
      <c r="E1718" s="18" t="inlineStr">
        <is>
          <t>보르쥐</t>
        </is>
      </c>
      <c r="F1718" s="18" t="inlineStr">
        <is>
          <t>patrat</t>
        </is>
      </c>
      <c r="G1718" s="18" t="inlineStr">
        <is>
          <t>patrat</t>
        </is>
      </c>
      <c r="H1718" s="18" t="inlineStr"/>
      <c r="I1718" s="18" t="n">
        <v>5</v>
      </c>
      <c r="J1718" s="18" t="n"/>
      <c r="K1718" s="18" t="n">
        <v>5</v>
      </c>
      <c r="L1718" s="18" t="inlineStr">
        <is>
          <t>cobbleventure:generation_5</t>
        </is>
      </c>
      <c r="M1718" s="19" t="inlineStr">
        <is>
          <t>cobbleventure:generation_5</t>
        </is>
      </c>
      <c r="N1718" s="18" t="inlineStr">
        <is>
          <t>region_01</t>
        </is>
      </c>
      <c r="O1718" s="19" t="inlineStr"/>
      <c r="P1718" s="18" t="inlineStr">
        <is>
          <t>#cobblemon:is_grassland</t>
        </is>
      </c>
      <c r="Q1718" s="19" t="inlineStr"/>
      <c r="R1718" s="18">
        <f>IF(Q1718="",P1718,Q1718)</f>
        <v/>
      </c>
      <c r="S1718" s="18" t="inlineStr"/>
      <c r="T1718" s="18" t="inlineStr">
        <is>
          <t>common</t>
        </is>
      </c>
      <c r="U1718" s="20" t="n">
        <v>9</v>
      </c>
      <c r="V1718" s="21" t="n">
        <v>1</v>
      </c>
      <c r="W1718" s="20">
        <f>IF(OR(U1718="",V1718=""),U1718,U1718*V1718)</f>
        <v/>
      </c>
      <c r="X1718" s="18" t="inlineStr">
        <is>
          <t>1-26</t>
        </is>
      </c>
      <c r="Y1718" s="19" t="inlineStr"/>
      <c r="Z1718" s="18">
        <f>IF(Y1718="",X1718,Y1718)</f>
        <v/>
      </c>
      <c r="AA1718" s="18" t="inlineStr">
        <is>
          <t>grounded</t>
        </is>
      </c>
      <c r="AB1718" s="18" t="inlineStr"/>
      <c r="AC1718" s="18" t="inlineStr"/>
      <c r="AD1718" s="18" t="inlineStr"/>
      <c r="AE1718" s="18" t="inlineStr">
        <is>
          <t>sky 8-15</t>
        </is>
      </c>
      <c r="AF1718" s="18" t="inlineStr"/>
      <c r="AG1718" s="18" t="inlineStr"/>
      <c r="AH1718" s="18" t="inlineStr"/>
      <c r="AI1718" s="18" t="inlineStr"/>
      <c r="AJ1718" s="18" t="inlineStr">
        <is>
          <t>Cobblemon 동일</t>
        </is>
      </c>
      <c r="AK1718" s="18" t="inlineStr">
        <is>
          <t>사용</t>
        </is>
      </c>
      <c r="AL1718" s="18" t="inlineStr">
        <is>
          <t>COBBLEVERSE 1.7.42 / DP v31</t>
        </is>
      </c>
      <c r="AM1718" s="18" t="inlineStr">
        <is>
          <t>data/cobblemon/spawn_pool_world/0504_patrat.json</t>
        </is>
      </c>
      <c r="AN1718" s="18" t="inlineStr">
        <is>
          <t>patrat-1</t>
        </is>
      </c>
      <c r="AO1718" s="18" t="inlineStr">
        <is>
          <t>pokemon</t>
        </is>
      </c>
      <c r="AP1718" s="18" t="inlineStr">
        <is>
          <t>natural</t>
        </is>
      </c>
      <c r="AQ1718" s="18" t="inlineStr">
        <is>
          <t>{"biomes":["#cobblemon:is_grassland"],"maxSkyLight":15,"minSkyLight":8}</t>
        </is>
      </c>
      <c r="AR1718" s="18" t="inlineStr"/>
      <c r="AS1718" s="18" t="inlineStr"/>
      <c r="AT1718" s="19" t="inlineStr"/>
    </row>
    <row r="1719" ht="32" customHeight="1">
      <c r="A1719" s="18" t="inlineStr">
        <is>
          <t>0505_watchog.json::watchog-1::001</t>
        </is>
      </c>
      <c r="B1719" s="19" t="inlineStr">
        <is>
          <t>사용</t>
        </is>
      </c>
      <c r="C1719" s="18">
        <f>IF(OR(B1719&lt;&gt;AK1719,M1719&lt;&gt;L1719,O1719&lt;&gt;"",Q1719&lt;&gt;"",V1719&lt;&gt;1,Y1719&lt;&gt;"",AT1719&lt;&gt;""),"수정","원본")</f>
        <v/>
      </c>
      <c r="D1719" s="18" t="n">
        <v>505</v>
      </c>
      <c r="E1719" s="18" t="inlineStr">
        <is>
          <t>보르그</t>
        </is>
      </c>
      <c r="F1719" s="18" t="inlineStr">
        <is>
          <t>watchog</t>
        </is>
      </c>
      <c r="G1719" s="18" t="inlineStr">
        <is>
          <t>watchog</t>
        </is>
      </c>
      <c r="H1719" s="18" t="inlineStr"/>
      <c r="I1719" s="18" t="n">
        <v>5</v>
      </c>
      <c r="J1719" s="18" t="n"/>
      <c r="K1719" s="18" t="n">
        <v>5</v>
      </c>
      <c r="L1719" s="18" t="inlineStr">
        <is>
          <t>cobbleventure:generation_5</t>
        </is>
      </c>
      <c r="M1719" s="19" t="inlineStr">
        <is>
          <t>cobbleventure:generation_5</t>
        </is>
      </c>
      <c r="N1719" s="18" t="inlineStr">
        <is>
          <t>region_01</t>
        </is>
      </c>
      <c r="O1719" s="19" t="inlineStr"/>
      <c r="P1719" s="18" t="inlineStr">
        <is>
          <t>#cobblemon:is_grassland</t>
        </is>
      </c>
      <c r="Q1719" s="19" t="inlineStr"/>
      <c r="R1719" s="18">
        <f>IF(Q1719="",P1719,Q1719)</f>
        <v/>
      </c>
      <c r="S1719" s="18" t="inlineStr"/>
      <c r="T1719" s="18" t="inlineStr">
        <is>
          <t>common</t>
        </is>
      </c>
      <c r="U1719" s="20" t="n">
        <v>1</v>
      </c>
      <c r="V1719" s="21" t="n">
        <v>1</v>
      </c>
      <c r="W1719" s="20">
        <f>IF(OR(U1719="",V1719=""),U1719,U1719*V1719)</f>
        <v/>
      </c>
      <c r="X1719" s="18" t="inlineStr">
        <is>
          <t>20-42</t>
        </is>
      </c>
      <c r="Y1719" s="19" t="inlineStr"/>
      <c r="Z1719" s="18">
        <f>IF(Y1719="",X1719,Y1719)</f>
        <v/>
      </c>
      <c r="AA1719" s="18" t="inlineStr">
        <is>
          <t>grounded</t>
        </is>
      </c>
      <c r="AB1719" s="18" t="inlineStr"/>
      <c r="AC1719" s="18" t="inlineStr"/>
      <c r="AD1719" s="18" t="inlineStr"/>
      <c r="AE1719" s="18" t="inlineStr">
        <is>
          <t>sky 8-15</t>
        </is>
      </c>
      <c r="AF1719" s="18" t="inlineStr"/>
      <c r="AG1719" s="18" t="inlineStr"/>
      <c r="AH1719" s="18" t="inlineStr"/>
      <c r="AI1719" s="18" t="inlineStr"/>
      <c r="AJ1719" s="18" t="inlineStr">
        <is>
          <t>Cobblemon 동일</t>
        </is>
      </c>
      <c r="AK1719" s="18" t="inlineStr">
        <is>
          <t>사용</t>
        </is>
      </c>
      <c r="AL1719" s="18" t="inlineStr">
        <is>
          <t>COBBLEVERSE 1.7.42 / DP v31</t>
        </is>
      </c>
      <c r="AM1719" s="18" t="inlineStr">
        <is>
          <t>data/cobblemon/spawn_pool_world/0505_watchog.json</t>
        </is>
      </c>
      <c r="AN1719" s="18" t="inlineStr">
        <is>
          <t>watchog-1</t>
        </is>
      </c>
      <c r="AO1719" s="18" t="inlineStr">
        <is>
          <t>pokemon</t>
        </is>
      </c>
      <c r="AP1719" s="18" t="inlineStr">
        <is>
          <t>natural</t>
        </is>
      </c>
      <c r="AQ1719" s="18" t="inlineStr">
        <is>
          <t>{"biomes":["#cobblemon:is_grassland"],"maxSkyLight":15,"minSkyLight":8}</t>
        </is>
      </c>
      <c r="AR1719" s="18" t="inlineStr"/>
      <c r="AS1719" s="18" t="inlineStr"/>
      <c r="AT1719" s="19" t="inlineStr"/>
    </row>
    <row r="1720" ht="32" customHeight="1">
      <c r="A1720" s="18" t="inlineStr">
        <is>
          <t>0506_lillipup.json::lillipup-1::001</t>
        </is>
      </c>
      <c r="B1720" s="19" t="inlineStr">
        <is>
          <t>사용</t>
        </is>
      </c>
      <c r="C1720" s="18">
        <f>IF(OR(B1720&lt;&gt;AK1720,M1720&lt;&gt;L1720,O1720&lt;&gt;"",Q1720&lt;&gt;"",V1720&lt;&gt;1,Y1720&lt;&gt;"",AT1720&lt;&gt;""),"수정","원본")</f>
        <v/>
      </c>
      <c r="D1720" s="18" t="n">
        <v>506</v>
      </c>
      <c r="E1720" s="18" t="inlineStr">
        <is>
          <t>요테리</t>
        </is>
      </c>
      <c r="F1720" s="18" t="inlineStr">
        <is>
          <t>lillipup</t>
        </is>
      </c>
      <c r="G1720" s="18" t="inlineStr">
        <is>
          <t>lillipup</t>
        </is>
      </c>
      <c r="H1720" s="18" t="inlineStr"/>
      <c r="I1720" s="18" t="n">
        <v>5</v>
      </c>
      <c r="J1720" s="18" t="n"/>
      <c r="K1720" s="18" t="n">
        <v>5</v>
      </c>
      <c r="L1720" s="18" t="inlineStr">
        <is>
          <t>cobbleventure:generation_5</t>
        </is>
      </c>
      <c r="M1720" s="19" t="inlineStr">
        <is>
          <t>cobbleventure:generation_5</t>
        </is>
      </c>
      <c r="N1720" s="18" t="inlineStr">
        <is>
          <t>region_01</t>
        </is>
      </c>
      <c r="O1720" s="19" t="inlineStr"/>
      <c r="P1720" s="18" t="inlineStr">
        <is>
          <t>#cobblemon:is_overworld</t>
        </is>
      </c>
      <c r="Q1720" s="19" t="inlineStr"/>
      <c r="R1720" s="18">
        <f>IF(Q1720="",P1720,Q1720)</f>
        <v/>
      </c>
      <c r="S1720" s="18" t="inlineStr">
        <is>
          <t>#cobblemon:is_desert</t>
        </is>
      </c>
      <c r="T1720" s="18" t="inlineStr">
        <is>
          <t>common</t>
        </is>
      </c>
      <c r="U1720" s="20" t="n">
        <v>5.4</v>
      </c>
      <c r="V1720" s="21" t="n">
        <v>1</v>
      </c>
      <c r="W1720" s="20">
        <f>IF(OR(U1720="",V1720=""),U1720,U1720*V1720)</f>
        <v/>
      </c>
      <c r="X1720" s="18" t="inlineStr">
        <is>
          <t>3-28</t>
        </is>
      </c>
      <c r="Y1720" s="19" t="inlineStr"/>
      <c r="Z1720" s="18">
        <f>IF(Y1720="",X1720,Y1720)</f>
        <v/>
      </c>
      <c r="AA1720" s="18" t="inlineStr">
        <is>
          <t>grounded</t>
        </is>
      </c>
      <c r="AB1720" s="18" t="inlineStr"/>
      <c r="AC1720" s="18" t="inlineStr"/>
      <c r="AD1720" s="18" t="inlineStr"/>
      <c r="AE1720" s="18" t="inlineStr">
        <is>
          <t>sky 8-15</t>
        </is>
      </c>
      <c r="AF1720" s="18" t="inlineStr"/>
      <c r="AG1720" s="18" t="inlineStr"/>
      <c r="AH1720" s="18" t="inlineStr"/>
      <c r="AI1720" s="18" t="inlineStr"/>
      <c r="AJ1720" s="18" t="inlineStr">
        <is>
          <t>COBBLEVERSE 수정</t>
        </is>
      </c>
      <c r="AK1720" s="18" t="inlineStr">
        <is>
          <t>사용</t>
        </is>
      </c>
      <c r="AL1720" s="18" t="inlineStr">
        <is>
          <t>COBBLEVERSE 1.7.42 / DP v31</t>
        </is>
      </c>
      <c r="AM1720" s="18" t="inlineStr">
        <is>
          <t>data/cobblemon/spawn_pool_world/0506_lillipup.json</t>
        </is>
      </c>
      <c r="AN1720" s="18" t="inlineStr">
        <is>
          <t>lillipup-1</t>
        </is>
      </c>
      <c r="AO1720" s="18" t="inlineStr">
        <is>
          <t>pokemon</t>
        </is>
      </c>
      <c r="AP1720" s="18" t="inlineStr">
        <is>
          <t>natural</t>
        </is>
      </c>
      <c r="AQ1720" s="18" t="inlineStr">
        <is>
          <t>{"biomes":["#cobblemon:is_overworld"],"maxSkyLight":15,"minSkyLight":8}</t>
        </is>
      </c>
      <c r="AR1720" s="18" t="inlineStr">
        <is>
          <t>{"biomes":["#cobblemon:is_desert"]}</t>
        </is>
      </c>
      <c r="AS1720" s="18" t="inlineStr"/>
      <c r="AT1720" s="19" t="inlineStr"/>
    </row>
    <row r="1721" ht="32" customHeight="1">
      <c r="A1721" s="18" t="inlineStr">
        <is>
          <t>0506_lillipup.json::lillipup-2::002</t>
        </is>
      </c>
      <c r="B1721" s="19" t="inlineStr">
        <is>
          <t>사용</t>
        </is>
      </c>
      <c r="C1721" s="18">
        <f>IF(OR(B1721&lt;&gt;AK1721,M1721&lt;&gt;L1721,O1721&lt;&gt;"",Q1721&lt;&gt;"",V1721&lt;&gt;1,Y1721&lt;&gt;"",AT1721&lt;&gt;""),"수정","원본")</f>
        <v/>
      </c>
      <c r="D1721" s="18" t="n">
        <v>506</v>
      </c>
      <c r="E1721" s="18" t="inlineStr">
        <is>
          <t>요테리</t>
        </is>
      </c>
      <c r="F1721" s="18" t="inlineStr">
        <is>
          <t>lillipup</t>
        </is>
      </c>
      <c r="G1721" s="18" t="inlineStr">
        <is>
          <t>lillipup</t>
        </is>
      </c>
      <c r="H1721" s="18" t="inlineStr"/>
      <c r="I1721" s="18" t="n">
        <v>5</v>
      </c>
      <c r="J1721" s="18" t="n"/>
      <c r="K1721" s="18" t="n">
        <v>5</v>
      </c>
      <c r="L1721" s="18" t="inlineStr">
        <is>
          <t>cobbleventure:generation_5</t>
        </is>
      </c>
      <c r="M1721" s="19" t="inlineStr">
        <is>
          <t>cobbleventure:generation_5</t>
        </is>
      </c>
      <c r="N1721" s="18" t="inlineStr">
        <is>
          <t>region_01</t>
        </is>
      </c>
      <c r="O1721" s="19" t="inlineStr"/>
      <c r="P1721" s="18" t="inlineStr">
        <is>
          <t>#cobblemon:is_overworld</t>
        </is>
      </c>
      <c r="Q1721" s="19" t="inlineStr"/>
      <c r="R1721" s="18">
        <f>IF(Q1721="",P1721,Q1721)</f>
        <v/>
      </c>
      <c r="S1721" s="18" t="inlineStr">
        <is>
          <t>#cobblemon:is_desert</t>
        </is>
      </c>
      <c r="T1721" s="18" t="inlineStr">
        <is>
          <t>common</t>
        </is>
      </c>
      <c r="U1721" s="20" t="n">
        <v>5.4</v>
      </c>
      <c r="V1721" s="21" t="n">
        <v>1</v>
      </c>
      <c r="W1721" s="20">
        <f>IF(OR(U1721="",V1721=""),U1721,U1721*V1721)</f>
        <v/>
      </c>
      <c r="X1721" s="18" t="inlineStr">
        <is>
          <t>3-28</t>
        </is>
      </c>
      <c r="Y1721" s="19" t="inlineStr"/>
      <c r="Z1721" s="18">
        <f>IF(Y1721="",X1721,Y1721)</f>
        <v/>
      </c>
      <c r="AA1721" s="18" t="inlineStr">
        <is>
          <t>grounded</t>
        </is>
      </c>
      <c r="AB1721" s="18" t="inlineStr"/>
      <c r="AC1721" s="18" t="inlineStr"/>
      <c r="AD1721" s="18" t="inlineStr"/>
      <c r="AE1721" s="18" t="inlineStr">
        <is>
          <t>sky 8-15</t>
        </is>
      </c>
      <c r="AF1721" s="18" t="inlineStr"/>
      <c r="AG1721" s="18" t="inlineStr">
        <is>
          <t>#minecraft:village</t>
        </is>
      </c>
      <c r="AH1721" s="18" t="inlineStr"/>
      <c r="AI1721" s="18" t="inlineStr"/>
      <c r="AJ1721" s="18" t="inlineStr">
        <is>
          <t>COBBLEVERSE 수정</t>
        </is>
      </c>
      <c r="AK1721" s="18" t="inlineStr">
        <is>
          <t>사용</t>
        </is>
      </c>
      <c r="AL1721" s="18" t="inlineStr">
        <is>
          <t>COBBLEVERSE 1.7.42 / DP v31</t>
        </is>
      </c>
      <c r="AM1721" s="18" t="inlineStr">
        <is>
          <t>data/cobblemon/spawn_pool_world/0506_lillipup.json</t>
        </is>
      </c>
      <c r="AN1721" s="18" t="inlineStr">
        <is>
          <t>lillipup-2</t>
        </is>
      </c>
      <c r="AO1721" s="18" t="inlineStr">
        <is>
          <t>pokemon</t>
        </is>
      </c>
      <c r="AP1721" s="18" t="inlineStr">
        <is>
          <t>natural</t>
        </is>
      </c>
      <c r="AQ1721" s="18" t="inlineStr">
        <is>
          <t>{"biomes":["#cobblemon:is_overworld"],"maxSkyLight":15,"minSkyLight":8,"structures":["#minecraft:village"]}</t>
        </is>
      </c>
      <c r="AR1721" s="18" t="inlineStr">
        <is>
          <t>{"biomes":["#cobblemon:is_desert"]}</t>
        </is>
      </c>
      <c r="AS1721" s="18" t="inlineStr"/>
      <c r="AT1721" s="19" t="inlineStr"/>
    </row>
    <row r="1722" ht="32" customHeight="1">
      <c r="A1722" s="18" t="inlineStr">
        <is>
          <t>0507_herdier.json::herdier-1::001</t>
        </is>
      </c>
      <c r="B1722" s="19" t="inlineStr">
        <is>
          <t>사용</t>
        </is>
      </c>
      <c r="C1722" s="18">
        <f>IF(OR(B1722&lt;&gt;AK1722,M1722&lt;&gt;L1722,O1722&lt;&gt;"",Q1722&lt;&gt;"",V1722&lt;&gt;1,Y1722&lt;&gt;"",AT1722&lt;&gt;""),"수정","원본")</f>
        <v/>
      </c>
      <c r="D1722" s="18" t="n">
        <v>507</v>
      </c>
      <c r="E1722" s="18" t="inlineStr">
        <is>
          <t>하데리어</t>
        </is>
      </c>
      <c r="F1722" s="18" t="inlineStr">
        <is>
          <t>herdier</t>
        </is>
      </c>
      <c r="G1722" s="18" t="inlineStr">
        <is>
          <t>herdier</t>
        </is>
      </c>
      <c r="H1722" s="18" t="inlineStr"/>
      <c r="I1722" s="18" t="n">
        <v>5</v>
      </c>
      <c r="J1722" s="18" t="n"/>
      <c r="K1722" s="18" t="n">
        <v>5</v>
      </c>
      <c r="L1722" s="18" t="inlineStr">
        <is>
          <t>cobbleventure:generation_5</t>
        </is>
      </c>
      <c r="M1722" s="19" t="inlineStr">
        <is>
          <t>cobbleventure:generation_5</t>
        </is>
      </c>
      <c r="N1722" s="18" t="inlineStr">
        <is>
          <t>region_01</t>
        </is>
      </c>
      <c r="O1722" s="19" t="inlineStr"/>
      <c r="P1722" s="18" t="inlineStr">
        <is>
          <t>#cobblemon:is_overworld</t>
        </is>
      </c>
      <c r="Q1722" s="19" t="inlineStr"/>
      <c r="R1722" s="18">
        <f>IF(Q1722="",P1722,Q1722)</f>
        <v/>
      </c>
      <c r="S1722" s="18" t="inlineStr">
        <is>
          <t>#cobblemon:is_desert</t>
        </is>
      </c>
      <c r="T1722" s="18" t="inlineStr">
        <is>
          <t>common</t>
        </is>
      </c>
      <c r="U1722" s="20" t="n">
        <v>0.54</v>
      </c>
      <c r="V1722" s="21" t="n">
        <v>1</v>
      </c>
      <c r="W1722" s="20">
        <f>IF(OR(U1722="",V1722=""),U1722,U1722*V1722)</f>
        <v/>
      </c>
      <c r="X1722" s="18" t="inlineStr">
        <is>
          <t>16-37</t>
        </is>
      </c>
      <c r="Y1722" s="19" t="inlineStr"/>
      <c r="Z1722" s="18">
        <f>IF(Y1722="",X1722,Y1722)</f>
        <v/>
      </c>
      <c r="AA1722" s="18" t="inlineStr">
        <is>
          <t>grounded</t>
        </is>
      </c>
      <c r="AB1722" s="18" t="inlineStr"/>
      <c r="AC1722" s="18" t="inlineStr"/>
      <c r="AD1722" s="18" t="inlineStr"/>
      <c r="AE1722" s="18" t="inlineStr">
        <is>
          <t>sky 8-15</t>
        </is>
      </c>
      <c r="AF1722" s="18" t="inlineStr"/>
      <c r="AG1722" s="18" t="inlineStr"/>
      <c r="AH1722" s="18" t="inlineStr"/>
      <c r="AI1722" s="18" t="inlineStr"/>
      <c r="AJ1722" s="18" t="inlineStr">
        <is>
          <t>COBBLEVERSE 수정</t>
        </is>
      </c>
      <c r="AK1722" s="18" t="inlineStr">
        <is>
          <t>사용</t>
        </is>
      </c>
      <c r="AL1722" s="18" t="inlineStr">
        <is>
          <t>COBBLEVERSE 1.7.42 / DP v31</t>
        </is>
      </c>
      <c r="AM1722" s="18" t="inlineStr">
        <is>
          <t>data/cobblemon/spawn_pool_world/0507_herdier.json</t>
        </is>
      </c>
      <c r="AN1722" s="18" t="inlineStr">
        <is>
          <t>herdier-1</t>
        </is>
      </c>
      <c r="AO1722" s="18" t="inlineStr">
        <is>
          <t>pokemon</t>
        </is>
      </c>
      <c r="AP1722" s="18" t="inlineStr">
        <is>
          <t>natural</t>
        </is>
      </c>
      <c r="AQ1722" s="18" t="inlineStr">
        <is>
          <t>{"biomes":["#cobblemon:is_overworld"],"maxSkyLight":15,"minSkyLight":8}</t>
        </is>
      </c>
      <c r="AR1722" s="18" t="inlineStr">
        <is>
          <t>{"biomes":["#cobblemon:is_desert"]}</t>
        </is>
      </c>
      <c r="AS1722" s="18" t="inlineStr"/>
      <c r="AT1722" s="19" t="inlineStr"/>
    </row>
    <row r="1723" ht="32" customHeight="1">
      <c r="A1723" s="18" t="inlineStr">
        <is>
          <t>0507_herdier.json::herdier-2::002</t>
        </is>
      </c>
      <c r="B1723" s="19" t="inlineStr">
        <is>
          <t>사용</t>
        </is>
      </c>
      <c r="C1723" s="18">
        <f>IF(OR(B1723&lt;&gt;AK1723,M1723&lt;&gt;L1723,O1723&lt;&gt;"",Q1723&lt;&gt;"",V1723&lt;&gt;1,Y1723&lt;&gt;"",AT1723&lt;&gt;""),"수정","원본")</f>
        <v/>
      </c>
      <c r="D1723" s="18" t="n">
        <v>507</v>
      </c>
      <c r="E1723" s="18" t="inlineStr">
        <is>
          <t>하데리어</t>
        </is>
      </c>
      <c r="F1723" s="18" t="inlineStr">
        <is>
          <t>herdier</t>
        </is>
      </c>
      <c r="G1723" s="18" t="inlineStr">
        <is>
          <t>herdier</t>
        </is>
      </c>
      <c r="H1723" s="18" t="inlineStr"/>
      <c r="I1723" s="18" t="n">
        <v>5</v>
      </c>
      <c r="J1723" s="18" t="n"/>
      <c r="K1723" s="18" t="n">
        <v>5</v>
      </c>
      <c r="L1723" s="18" t="inlineStr">
        <is>
          <t>cobbleventure:generation_5</t>
        </is>
      </c>
      <c r="M1723" s="19" t="inlineStr">
        <is>
          <t>cobbleventure:generation_5</t>
        </is>
      </c>
      <c r="N1723" s="18" t="inlineStr">
        <is>
          <t>region_01</t>
        </is>
      </c>
      <c r="O1723" s="19" t="inlineStr"/>
      <c r="P1723" s="18" t="inlineStr">
        <is>
          <t>#cobblemon:is_overworld</t>
        </is>
      </c>
      <c r="Q1723" s="19" t="inlineStr"/>
      <c r="R1723" s="18">
        <f>IF(Q1723="",P1723,Q1723)</f>
        <v/>
      </c>
      <c r="S1723" s="18" t="inlineStr">
        <is>
          <t>#cobblemon:is_desert</t>
        </is>
      </c>
      <c r="T1723" s="18" t="inlineStr">
        <is>
          <t>common</t>
        </is>
      </c>
      <c r="U1723" s="20" t="n">
        <v>0.54</v>
      </c>
      <c r="V1723" s="21" t="n">
        <v>1</v>
      </c>
      <c r="W1723" s="20">
        <f>IF(OR(U1723="",V1723=""),U1723,U1723*V1723)</f>
        <v/>
      </c>
      <c r="X1723" s="18" t="inlineStr">
        <is>
          <t>16-37</t>
        </is>
      </c>
      <c r="Y1723" s="19" t="inlineStr"/>
      <c r="Z1723" s="18">
        <f>IF(Y1723="",X1723,Y1723)</f>
        <v/>
      </c>
      <c r="AA1723" s="18" t="inlineStr">
        <is>
          <t>grounded</t>
        </is>
      </c>
      <c r="AB1723" s="18" t="inlineStr"/>
      <c r="AC1723" s="18" t="inlineStr"/>
      <c r="AD1723" s="18" t="inlineStr"/>
      <c r="AE1723" s="18" t="inlineStr">
        <is>
          <t>sky 8-15</t>
        </is>
      </c>
      <c r="AF1723" s="18" t="inlineStr"/>
      <c r="AG1723" s="18" t="inlineStr">
        <is>
          <t>#minecraft:village</t>
        </is>
      </c>
      <c r="AH1723" s="18" t="inlineStr"/>
      <c r="AI1723" s="18" t="inlineStr"/>
      <c r="AJ1723" s="18" t="inlineStr">
        <is>
          <t>COBBLEVERSE 수정</t>
        </is>
      </c>
      <c r="AK1723" s="18" t="inlineStr">
        <is>
          <t>사용</t>
        </is>
      </c>
      <c r="AL1723" s="18" t="inlineStr">
        <is>
          <t>COBBLEVERSE 1.7.42 / DP v31</t>
        </is>
      </c>
      <c r="AM1723" s="18" t="inlineStr">
        <is>
          <t>data/cobblemon/spawn_pool_world/0507_herdier.json</t>
        </is>
      </c>
      <c r="AN1723" s="18" t="inlineStr">
        <is>
          <t>herdier-2</t>
        </is>
      </c>
      <c r="AO1723" s="18" t="inlineStr">
        <is>
          <t>pokemon</t>
        </is>
      </c>
      <c r="AP1723" s="18" t="inlineStr">
        <is>
          <t>natural</t>
        </is>
      </c>
      <c r="AQ1723" s="18" t="inlineStr">
        <is>
          <t>{"biomes":["#cobblemon:is_overworld"],"maxSkyLight":15,"minSkyLight":8,"structures":["#minecraft:village"]}</t>
        </is>
      </c>
      <c r="AR1723" s="18" t="inlineStr">
        <is>
          <t>{"biomes":["#cobblemon:is_desert"]}</t>
        </is>
      </c>
      <c r="AS1723" s="18" t="inlineStr"/>
      <c r="AT1723" s="19" t="inlineStr"/>
    </row>
    <row r="1724" ht="32" customHeight="1">
      <c r="A1724" s="18" t="inlineStr">
        <is>
          <t>0508_stoutland.json::stoutland-1::001</t>
        </is>
      </c>
      <c r="B1724" s="19" t="inlineStr">
        <is>
          <t>사용</t>
        </is>
      </c>
      <c r="C1724" s="18">
        <f>IF(OR(B1724&lt;&gt;AK1724,M1724&lt;&gt;L1724,O1724&lt;&gt;"",Q1724&lt;&gt;"",V1724&lt;&gt;1,Y1724&lt;&gt;"",AT1724&lt;&gt;""),"수정","원본")</f>
        <v/>
      </c>
      <c r="D1724" s="18" t="n">
        <v>508</v>
      </c>
      <c r="E1724" s="18" t="inlineStr">
        <is>
          <t>바랜드</t>
        </is>
      </c>
      <c r="F1724" s="18" t="inlineStr">
        <is>
          <t>stoutland</t>
        </is>
      </c>
      <c r="G1724" s="18" t="inlineStr">
        <is>
          <t>stoutland</t>
        </is>
      </c>
      <c r="H1724" s="18" t="inlineStr"/>
      <c r="I1724" s="18" t="n">
        <v>5</v>
      </c>
      <c r="J1724" s="18" t="n"/>
      <c r="K1724" s="18" t="n">
        <v>5</v>
      </c>
      <c r="L1724" s="18" t="inlineStr">
        <is>
          <t>cobbleventure:generation_5</t>
        </is>
      </c>
      <c r="M1724" s="19" t="inlineStr">
        <is>
          <t>cobbleventure:generation_5</t>
        </is>
      </c>
      <c r="N1724" s="18" t="inlineStr">
        <is>
          <t>region_01</t>
        </is>
      </c>
      <c r="O1724" s="19" t="inlineStr"/>
      <c r="P1724" s="18" t="inlineStr">
        <is>
          <t>#cobblemon:is_overworld</t>
        </is>
      </c>
      <c r="Q1724" s="19" t="inlineStr"/>
      <c r="R1724" s="18">
        <f>IF(Q1724="",P1724,Q1724)</f>
        <v/>
      </c>
      <c r="S1724" s="18" t="inlineStr">
        <is>
          <t>#cobblemon:is_desert</t>
        </is>
      </c>
      <c r="T1724" s="18" t="inlineStr">
        <is>
          <t>common</t>
        </is>
      </c>
      <c r="U1724" s="20" t="n">
        <v>0.06</v>
      </c>
      <c r="V1724" s="21" t="n">
        <v>1</v>
      </c>
      <c r="W1724" s="20">
        <f>IF(OR(U1724="",V1724=""),U1724,U1724*V1724)</f>
        <v/>
      </c>
      <c r="X1724" s="18" t="inlineStr">
        <is>
          <t>32-50</t>
        </is>
      </c>
      <c r="Y1724" s="19" t="inlineStr"/>
      <c r="Z1724" s="18">
        <f>IF(Y1724="",X1724,Y1724)</f>
        <v/>
      </c>
      <c r="AA1724" s="18" t="inlineStr">
        <is>
          <t>grounded</t>
        </is>
      </c>
      <c r="AB1724" s="18" t="inlineStr"/>
      <c r="AC1724" s="18" t="inlineStr"/>
      <c r="AD1724" s="18" t="inlineStr"/>
      <c r="AE1724" s="18" t="inlineStr">
        <is>
          <t>sky 8-15</t>
        </is>
      </c>
      <c r="AF1724" s="18" t="inlineStr"/>
      <c r="AG1724" s="18" t="inlineStr"/>
      <c r="AH1724" s="18" t="inlineStr"/>
      <c r="AI1724" s="18" t="inlineStr"/>
      <c r="AJ1724" s="18" t="inlineStr">
        <is>
          <t>COBBLEVERSE 수정</t>
        </is>
      </c>
      <c r="AK1724" s="18" t="inlineStr">
        <is>
          <t>사용</t>
        </is>
      </c>
      <c r="AL1724" s="18" t="inlineStr">
        <is>
          <t>COBBLEVERSE 1.7.42 / DP v31</t>
        </is>
      </c>
      <c r="AM1724" s="18" t="inlineStr">
        <is>
          <t>data/cobblemon/spawn_pool_world/0508_stoutland.json</t>
        </is>
      </c>
      <c r="AN1724" s="18" t="inlineStr">
        <is>
          <t>stoutland-1</t>
        </is>
      </c>
      <c r="AO1724" s="18" t="inlineStr">
        <is>
          <t>pokemon</t>
        </is>
      </c>
      <c r="AP1724" s="18" t="inlineStr">
        <is>
          <t>natural</t>
        </is>
      </c>
      <c r="AQ1724" s="18" t="inlineStr">
        <is>
          <t>{"biomes":["#cobblemon:is_overworld"],"maxSkyLight":15,"minSkyLight":8}</t>
        </is>
      </c>
      <c r="AR1724" s="18" t="inlineStr">
        <is>
          <t>{"biomes":["#cobblemon:is_desert"]}</t>
        </is>
      </c>
      <c r="AS1724" s="18" t="inlineStr"/>
      <c r="AT1724" s="19" t="inlineStr"/>
    </row>
    <row r="1725" ht="32" customHeight="1">
      <c r="A1725" s="18" t="inlineStr">
        <is>
          <t>0508_stoutland.json::stoutland-2::002</t>
        </is>
      </c>
      <c r="B1725" s="19" t="inlineStr">
        <is>
          <t>사용</t>
        </is>
      </c>
      <c r="C1725" s="18">
        <f>IF(OR(B1725&lt;&gt;AK1725,M1725&lt;&gt;L1725,O1725&lt;&gt;"",Q1725&lt;&gt;"",V1725&lt;&gt;1,Y1725&lt;&gt;"",AT1725&lt;&gt;""),"수정","원본")</f>
        <v/>
      </c>
      <c r="D1725" s="18" t="n">
        <v>508</v>
      </c>
      <c r="E1725" s="18" t="inlineStr">
        <is>
          <t>바랜드</t>
        </is>
      </c>
      <c r="F1725" s="18" t="inlineStr">
        <is>
          <t>stoutland</t>
        </is>
      </c>
      <c r="G1725" s="18" t="inlineStr">
        <is>
          <t>stoutland</t>
        </is>
      </c>
      <c r="H1725" s="18" t="inlineStr"/>
      <c r="I1725" s="18" t="n">
        <v>5</v>
      </c>
      <c r="J1725" s="18" t="n"/>
      <c r="K1725" s="18" t="n">
        <v>5</v>
      </c>
      <c r="L1725" s="18" t="inlineStr">
        <is>
          <t>cobbleventure:generation_5</t>
        </is>
      </c>
      <c r="M1725" s="19" t="inlineStr">
        <is>
          <t>cobbleventure:generation_5</t>
        </is>
      </c>
      <c r="N1725" s="18" t="inlineStr">
        <is>
          <t>region_01</t>
        </is>
      </c>
      <c r="O1725" s="19" t="inlineStr"/>
      <c r="P1725" s="18" t="inlineStr">
        <is>
          <t>#cobblemon:is_overworld</t>
        </is>
      </c>
      <c r="Q1725" s="19" t="inlineStr"/>
      <c r="R1725" s="18">
        <f>IF(Q1725="",P1725,Q1725)</f>
        <v/>
      </c>
      <c r="S1725" s="18" t="inlineStr">
        <is>
          <t>#cobblemon:is_desert</t>
        </is>
      </c>
      <c r="T1725" s="18" t="inlineStr">
        <is>
          <t>common</t>
        </is>
      </c>
      <c r="U1725" s="20" t="n">
        <v>0.06</v>
      </c>
      <c r="V1725" s="21" t="n">
        <v>1</v>
      </c>
      <c r="W1725" s="20">
        <f>IF(OR(U1725="",V1725=""),U1725,U1725*V1725)</f>
        <v/>
      </c>
      <c r="X1725" s="18" t="inlineStr">
        <is>
          <t>32-50</t>
        </is>
      </c>
      <c r="Y1725" s="19" t="inlineStr"/>
      <c r="Z1725" s="18">
        <f>IF(Y1725="",X1725,Y1725)</f>
        <v/>
      </c>
      <c r="AA1725" s="18" t="inlineStr">
        <is>
          <t>grounded</t>
        </is>
      </c>
      <c r="AB1725" s="18" t="inlineStr"/>
      <c r="AC1725" s="18" t="inlineStr"/>
      <c r="AD1725" s="18" t="inlineStr"/>
      <c r="AE1725" s="18" t="inlineStr">
        <is>
          <t>sky 8-15</t>
        </is>
      </c>
      <c r="AF1725" s="18" t="inlineStr"/>
      <c r="AG1725" s="18" t="inlineStr">
        <is>
          <t>#minecraft:village</t>
        </is>
      </c>
      <c r="AH1725" s="18" t="inlineStr"/>
      <c r="AI1725" s="18" t="inlineStr"/>
      <c r="AJ1725" s="18" t="inlineStr">
        <is>
          <t>COBBLEVERSE 수정</t>
        </is>
      </c>
      <c r="AK1725" s="18" t="inlineStr">
        <is>
          <t>사용</t>
        </is>
      </c>
      <c r="AL1725" s="18" t="inlineStr">
        <is>
          <t>COBBLEVERSE 1.7.42 / DP v31</t>
        </is>
      </c>
      <c r="AM1725" s="18" t="inlineStr">
        <is>
          <t>data/cobblemon/spawn_pool_world/0508_stoutland.json</t>
        </is>
      </c>
      <c r="AN1725" s="18" t="inlineStr">
        <is>
          <t>stoutland-2</t>
        </is>
      </c>
      <c r="AO1725" s="18" t="inlineStr">
        <is>
          <t>pokemon</t>
        </is>
      </c>
      <c r="AP1725" s="18" t="inlineStr">
        <is>
          <t>natural</t>
        </is>
      </c>
      <c r="AQ1725" s="18" t="inlineStr">
        <is>
          <t>{"biomes":["#cobblemon:is_overworld"],"maxSkyLight":15,"minSkyLight":8,"structures":["#minecraft:village"]}</t>
        </is>
      </c>
      <c r="AR1725" s="18" t="inlineStr">
        <is>
          <t>{"biomes":["#cobblemon:is_desert"]}</t>
        </is>
      </c>
      <c r="AS1725" s="18" t="inlineStr"/>
      <c r="AT1725" s="19" t="inlineStr"/>
    </row>
    <row r="1726" ht="32" customHeight="1">
      <c r="A1726" s="18" t="inlineStr">
        <is>
          <t>0509_purrloin.json::purrloin-1::001</t>
        </is>
      </c>
      <c r="B1726" s="19" t="inlineStr">
        <is>
          <t>사용</t>
        </is>
      </c>
      <c r="C1726" s="18">
        <f>IF(OR(B1726&lt;&gt;AK1726,M1726&lt;&gt;L1726,O1726&lt;&gt;"",Q1726&lt;&gt;"",V1726&lt;&gt;1,Y1726&lt;&gt;"",AT1726&lt;&gt;""),"수정","원본")</f>
        <v/>
      </c>
      <c r="D1726" s="18" t="n">
        <v>509</v>
      </c>
      <c r="E1726" s="18" t="inlineStr">
        <is>
          <t>쌔비냥</t>
        </is>
      </c>
      <c r="F1726" s="18" t="inlineStr">
        <is>
          <t>purrloin</t>
        </is>
      </c>
      <c r="G1726" s="18" t="inlineStr">
        <is>
          <t>purrloin</t>
        </is>
      </c>
      <c r="H1726" s="18" t="inlineStr"/>
      <c r="I1726" s="18" t="n">
        <v>5</v>
      </c>
      <c r="J1726" s="18" t="n"/>
      <c r="K1726" s="18" t="n">
        <v>5</v>
      </c>
      <c r="L1726" s="18" t="inlineStr">
        <is>
          <t>cobbleventure:generation_5</t>
        </is>
      </c>
      <c r="M1726" s="19" t="inlineStr">
        <is>
          <t>cobbleventure:generation_5</t>
        </is>
      </c>
      <c r="N1726" s="18" t="inlineStr">
        <is>
          <t>region_01; region_02</t>
        </is>
      </c>
      <c r="O1726" s="19" t="inlineStr"/>
      <c r="P1726" s="18" t="inlineStr">
        <is>
          <t>#cobblemon:is_jungle; #cobblemon:is_swamp; #cobblemon:is_temperate</t>
        </is>
      </c>
      <c r="Q1726" s="19" t="inlineStr"/>
      <c r="R1726" s="18">
        <f>IF(Q1726="",P1726,Q1726)</f>
        <v/>
      </c>
      <c r="S1726" s="18" t="inlineStr"/>
      <c r="T1726" s="18" t="inlineStr">
        <is>
          <t>common</t>
        </is>
      </c>
      <c r="U1726" s="20" t="n">
        <v>1.8</v>
      </c>
      <c r="V1726" s="21" t="n">
        <v>1</v>
      </c>
      <c r="W1726" s="20">
        <f>IF(OR(U1726="",V1726=""),U1726,U1726*V1726)</f>
        <v/>
      </c>
      <c r="X1726" s="18" t="inlineStr">
        <is>
          <t>3-28</t>
        </is>
      </c>
      <c r="Y1726" s="19" t="inlineStr"/>
      <c r="Z1726" s="18">
        <f>IF(Y1726="",X1726,Y1726)</f>
        <v/>
      </c>
      <c r="AA1726" s="18" t="inlineStr">
        <is>
          <t>grounded</t>
        </is>
      </c>
      <c r="AB1726" s="18" t="inlineStr">
        <is>
          <t>night</t>
        </is>
      </c>
      <c r="AC1726" s="18" t="inlineStr">
        <is>
          <t>비=False</t>
        </is>
      </c>
      <c r="AD1726" s="18" t="inlineStr"/>
      <c r="AE1726" s="18" t="inlineStr">
        <is>
          <t>sky 8-15</t>
        </is>
      </c>
      <c r="AF1726" s="18" t="inlineStr"/>
      <c r="AG1726" s="18" t="inlineStr"/>
      <c r="AH1726" s="18" t="inlineStr"/>
      <c r="AI1726" s="18" t="inlineStr"/>
      <c r="AJ1726" s="18" t="inlineStr">
        <is>
          <t>Cobblemon 동일</t>
        </is>
      </c>
      <c r="AK1726" s="18" t="inlineStr">
        <is>
          <t>사용</t>
        </is>
      </c>
      <c r="AL1726" s="18" t="inlineStr">
        <is>
          <t>COBBLEVERSE 1.7.42 / DP v31</t>
        </is>
      </c>
      <c r="AM1726" s="18" t="inlineStr">
        <is>
          <t>data/cobblemon/spawn_pool_world/0509_purrloin.json</t>
        </is>
      </c>
      <c r="AN1726" s="18" t="inlineStr">
        <is>
          <t>purrloin-1</t>
        </is>
      </c>
      <c r="AO1726" s="18" t="inlineStr">
        <is>
          <t>pokemon</t>
        </is>
      </c>
      <c r="AP1726" s="18" t="inlineStr">
        <is>
          <t>natural</t>
        </is>
      </c>
      <c r="AQ1726" s="18" t="inlineStr">
        <is>
          <t>{"biomes":["#cobblemon:is_jungle","#cobblemon:is_swamp","#cobblemon:is_temperate"],"isRaining":false,"maxSkyLight":15,"minSkyLight":8,"timeRange":"night"}</t>
        </is>
      </c>
      <c r="AR1726" s="18" t="inlineStr">
        <is>
          <t>{"structures":["#minecraft:village"]}</t>
        </is>
      </c>
      <c r="AS1726" s="18" t="inlineStr"/>
      <c r="AT1726" s="19" t="inlineStr"/>
    </row>
    <row r="1727" ht="32" customHeight="1">
      <c r="A1727" s="18" t="inlineStr">
        <is>
          <t>0509_purrloin.json::purrloin-2::002</t>
        </is>
      </c>
      <c r="B1727" s="19" t="inlineStr">
        <is>
          <t>사용</t>
        </is>
      </c>
      <c r="C1727" s="18">
        <f>IF(OR(B1727&lt;&gt;AK1727,M1727&lt;&gt;L1727,O1727&lt;&gt;"",Q1727&lt;&gt;"",V1727&lt;&gt;1,Y1727&lt;&gt;"",AT1727&lt;&gt;""),"수정","원본")</f>
        <v/>
      </c>
      <c r="D1727" s="18" t="n">
        <v>509</v>
      </c>
      <c r="E1727" s="18" t="inlineStr">
        <is>
          <t>쌔비냥</t>
        </is>
      </c>
      <c r="F1727" s="18" t="inlineStr">
        <is>
          <t>purrloin</t>
        </is>
      </c>
      <c r="G1727" s="18" t="inlineStr">
        <is>
          <t>purrloin</t>
        </is>
      </c>
      <c r="H1727" s="18" t="inlineStr"/>
      <c r="I1727" s="18" t="n">
        <v>5</v>
      </c>
      <c r="J1727" s="18" t="n"/>
      <c r="K1727" s="18" t="n">
        <v>5</v>
      </c>
      <c r="L1727" s="18" t="inlineStr">
        <is>
          <t>cobbleventure:generation_5</t>
        </is>
      </c>
      <c r="M1727" s="19" t="inlineStr">
        <is>
          <t>cobbleventure:generation_5</t>
        </is>
      </c>
      <c r="N1727" s="18" t="inlineStr"/>
      <c r="O1727" s="19" t="inlineStr"/>
      <c r="P1727" s="18" t="inlineStr">
        <is>
          <t>#cobblemon:is_savanna</t>
        </is>
      </c>
      <c r="Q1727" s="19" t="inlineStr"/>
      <c r="R1727" s="18">
        <f>IF(Q1727="",P1727,Q1727)</f>
        <v/>
      </c>
      <c r="S1727" s="18" t="inlineStr"/>
      <c r="T1727" s="18" t="inlineStr">
        <is>
          <t>common</t>
        </is>
      </c>
      <c r="U1727" s="20" t="n">
        <v>1.8</v>
      </c>
      <c r="V1727" s="21" t="n">
        <v>1</v>
      </c>
      <c r="W1727" s="20">
        <f>IF(OR(U1727="",V1727=""),U1727,U1727*V1727)</f>
        <v/>
      </c>
      <c r="X1727" s="18" t="inlineStr">
        <is>
          <t>3-28</t>
        </is>
      </c>
      <c r="Y1727" s="19" t="inlineStr"/>
      <c r="Z1727" s="18">
        <f>IF(Y1727="",X1727,Y1727)</f>
        <v/>
      </c>
      <c r="AA1727" s="18" t="inlineStr">
        <is>
          <t>grounded</t>
        </is>
      </c>
      <c r="AB1727" s="18" t="inlineStr">
        <is>
          <t>night</t>
        </is>
      </c>
      <c r="AC1727" s="18" t="inlineStr"/>
      <c r="AD1727" s="18" t="inlineStr"/>
      <c r="AE1727" s="18" t="inlineStr">
        <is>
          <t>sky 8-15</t>
        </is>
      </c>
      <c r="AF1727" s="18" t="inlineStr"/>
      <c r="AG1727" s="18" t="inlineStr"/>
      <c r="AH1727" s="18" t="inlineStr"/>
      <c r="AI1727" s="18" t="inlineStr"/>
      <c r="AJ1727" s="18" t="inlineStr">
        <is>
          <t>Cobblemon 동일</t>
        </is>
      </c>
      <c r="AK1727" s="18" t="inlineStr">
        <is>
          <t>사용</t>
        </is>
      </c>
      <c r="AL1727" s="18" t="inlineStr">
        <is>
          <t>COBBLEVERSE 1.7.42 / DP v31</t>
        </is>
      </c>
      <c r="AM1727" s="18" t="inlineStr">
        <is>
          <t>data/cobblemon/spawn_pool_world/0509_purrloin.json</t>
        </is>
      </c>
      <c r="AN1727" s="18" t="inlineStr">
        <is>
          <t>purrloin-2</t>
        </is>
      </c>
      <c r="AO1727" s="18" t="inlineStr">
        <is>
          <t>pokemon</t>
        </is>
      </c>
      <c r="AP1727" s="18" t="inlineStr">
        <is>
          <t>natural</t>
        </is>
      </c>
      <c r="AQ1727" s="18" t="inlineStr">
        <is>
          <t>{"biomes":["#cobblemon:is_savanna"],"maxSkyLight":15,"minSkyLight":8,"timeRange":"night"}</t>
        </is>
      </c>
      <c r="AR1727" s="18" t="inlineStr">
        <is>
          <t>{"structures":["#minecraft:village"]}</t>
        </is>
      </c>
      <c r="AS1727" s="18" t="inlineStr"/>
      <c r="AT1727" s="19" t="inlineStr"/>
    </row>
    <row r="1728" ht="32" customHeight="1">
      <c r="A1728" s="18" t="inlineStr">
        <is>
          <t>0509_purrloin.json::purrloin-3::003</t>
        </is>
      </c>
      <c r="B1728" s="19" t="inlineStr">
        <is>
          <t>사용</t>
        </is>
      </c>
      <c r="C1728" s="18">
        <f>IF(OR(B1728&lt;&gt;AK1728,M1728&lt;&gt;L1728,O1728&lt;&gt;"",Q1728&lt;&gt;"",V1728&lt;&gt;1,Y1728&lt;&gt;"",AT1728&lt;&gt;""),"수정","원본")</f>
        <v/>
      </c>
      <c r="D1728" s="18" t="n">
        <v>509</v>
      </c>
      <c r="E1728" s="18" t="inlineStr">
        <is>
          <t>쌔비냥</t>
        </is>
      </c>
      <c r="F1728" s="18" t="inlineStr">
        <is>
          <t>purrloin</t>
        </is>
      </c>
      <c r="G1728" s="18" t="inlineStr">
        <is>
          <t>purrloin</t>
        </is>
      </c>
      <c r="H1728" s="18" t="inlineStr"/>
      <c r="I1728" s="18" t="n">
        <v>5</v>
      </c>
      <c r="J1728" s="18" t="n"/>
      <c r="K1728" s="18" t="n">
        <v>5</v>
      </c>
      <c r="L1728" s="18" t="inlineStr">
        <is>
          <t>cobbleventure:generation_5</t>
        </is>
      </c>
      <c r="M1728" s="19" t="inlineStr">
        <is>
          <t>cobbleventure:generation_5</t>
        </is>
      </c>
      <c r="N1728" s="18" t="inlineStr">
        <is>
          <t>region_01</t>
        </is>
      </c>
      <c r="O1728" s="19" t="inlineStr"/>
      <c r="P1728" s="18" t="inlineStr">
        <is>
          <t>#cobblemon:is_overworld</t>
        </is>
      </c>
      <c r="Q1728" s="19" t="inlineStr"/>
      <c r="R1728" s="18">
        <f>IF(Q1728="",P1728,Q1728)</f>
        <v/>
      </c>
      <c r="S1728" s="18" t="inlineStr">
        <is>
          <t>#cobblemon:is_arid; #cobblemon:is_freezing; #cobblemon:is_taiga</t>
        </is>
      </c>
      <c r="T1728" s="18" t="inlineStr">
        <is>
          <t>common</t>
        </is>
      </c>
      <c r="U1728" s="20" t="n">
        <v>10</v>
      </c>
      <c r="V1728" s="21" t="n">
        <v>1</v>
      </c>
      <c r="W1728" s="20">
        <f>IF(OR(U1728="",V1728=""),U1728,U1728*V1728)</f>
        <v/>
      </c>
      <c r="X1728" s="18" t="inlineStr">
        <is>
          <t>3-28</t>
        </is>
      </c>
      <c r="Y1728" s="19" t="inlineStr"/>
      <c r="Z1728" s="18">
        <f>IF(Y1728="",X1728,Y1728)</f>
        <v/>
      </c>
      <c r="AA1728" s="18" t="inlineStr">
        <is>
          <t>grounded</t>
        </is>
      </c>
      <c r="AB1728" s="18" t="inlineStr"/>
      <c r="AC1728" s="18" t="inlineStr">
        <is>
          <t>비=False</t>
        </is>
      </c>
      <c r="AD1728" s="18" t="inlineStr"/>
      <c r="AE1728" s="18" t="inlineStr">
        <is>
          <t>sky 8-15</t>
        </is>
      </c>
      <c r="AF1728" s="18" t="inlineStr"/>
      <c r="AG1728" s="18" t="inlineStr"/>
      <c r="AH1728" s="18" t="inlineStr"/>
      <c r="AI1728" s="18" t="inlineStr"/>
      <c r="AJ1728" s="18" t="inlineStr">
        <is>
          <t>Cobblemon 동일</t>
        </is>
      </c>
      <c r="AK1728" s="18" t="inlineStr">
        <is>
          <t>사용</t>
        </is>
      </c>
      <c r="AL1728" s="18" t="inlineStr">
        <is>
          <t>COBBLEVERSE 1.7.42 / DP v31</t>
        </is>
      </c>
      <c r="AM1728" s="18" t="inlineStr">
        <is>
          <t>data/cobblemon/spawn_pool_world/0509_purrloin.json</t>
        </is>
      </c>
      <c r="AN1728" s="18" t="inlineStr">
        <is>
          <t>purrloin-3</t>
        </is>
      </c>
      <c r="AO1728" s="18" t="inlineStr">
        <is>
          <t>pokemon</t>
        </is>
      </c>
      <c r="AP1728" s="18" t="inlineStr">
        <is>
          <t>natural; urban</t>
        </is>
      </c>
      <c r="AQ1728" s="18" t="inlineStr">
        <is>
          <t>{"biomes":["#cobblemon:is_overworld"],"isRaining":false,"maxSkyLight":15,"minSkyLight":8}</t>
        </is>
      </c>
      <c r="AR1728" s="18" t="inlineStr">
        <is>
          <t>{"biomes":["#cobblemon:is_arid","#cobblemon:is_freezing","#cobblemon:is_taiga"]}</t>
        </is>
      </c>
      <c r="AS1728" s="18" t="inlineStr">
        <is>
          <t>{"weightMultiplier":{"condition":{"timeRange":"night"},"multiplier":1.5}}</t>
        </is>
      </c>
      <c r="AT1728" s="19" t="inlineStr"/>
    </row>
    <row r="1729" ht="32" customHeight="1">
      <c r="A1729" s="18" t="inlineStr">
        <is>
          <t>0509_purrloin.json::purrloin-4::004</t>
        </is>
      </c>
      <c r="B1729" s="19" t="inlineStr">
        <is>
          <t>사용</t>
        </is>
      </c>
      <c r="C1729" s="18">
        <f>IF(OR(B1729&lt;&gt;AK1729,M1729&lt;&gt;L1729,O1729&lt;&gt;"",Q1729&lt;&gt;"",V1729&lt;&gt;1,Y1729&lt;&gt;"",AT1729&lt;&gt;""),"수정","원본")</f>
        <v/>
      </c>
      <c r="D1729" s="18" t="n">
        <v>509</v>
      </c>
      <c r="E1729" s="18" t="inlineStr">
        <is>
          <t>쌔비냥</t>
        </is>
      </c>
      <c r="F1729" s="18" t="inlineStr">
        <is>
          <t>purrloin</t>
        </is>
      </c>
      <c r="G1729" s="18" t="inlineStr">
        <is>
          <t>purrloin</t>
        </is>
      </c>
      <c r="H1729" s="18" t="inlineStr"/>
      <c r="I1729" s="18" t="n">
        <v>5</v>
      </c>
      <c r="J1729" s="18" t="n"/>
      <c r="K1729" s="18" t="n">
        <v>5</v>
      </c>
      <c r="L1729" s="18" t="inlineStr">
        <is>
          <t>cobbleventure:generation_5</t>
        </is>
      </c>
      <c r="M1729" s="19" t="inlineStr">
        <is>
          <t>cobbleventure:generation_5</t>
        </is>
      </c>
      <c r="N1729" s="18" t="inlineStr">
        <is>
          <t>region_01</t>
        </is>
      </c>
      <c r="O1729" s="19" t="inlineStr"/>
      <c r="P1729" s="18" t="inlineStr">
        <is>
          <t>#cobblemon:is_overworld</t>
        </is>
      </c>
      <c r="Q1729" s="19" t="inlineStr"/>
      <c r="R1729" s="18">
        <f>IF(Q1729="",P1729,Q1729)</f>
        <v/>
      </c>
      <c r="S1729" s="18" t="inlineStr">
        <is>
          <t>#cobblemon:is_arid; #cobblemon:is_freezing; #cobblemon:is_taiga</t>
        </is>
      </c>
      <c r="T1729" s="18" t="inlineStr">
        <is>
          <t>common</t>
        </is>
      </c>
      <c r="U1729" s="20" t="n">
        <v>10</v>
      </c>
      <c r="V1729" s="21" t="n">
        <v>1</v>
      </c>
      <c r="W1729" s="20">
        <f>IF(OR(U1729="",V1729=""),U1729,U1729*V1729)</f>
        <v/>
      </c>
      <c r="X1729" s="18" t="inlineStr">
        <is>
          <t>3-28</t>
        </is>
      </c>
      <c r="Y1729" s="19" t="inlineStr"/>
      <c r="Z1729" s="18">
        <f>IF(Y1729="",X1729,Y1729)</f>
        <v/>
      </c>
      <c r="AA1729" s="18" t="inlineStr">
        <is>
          <t>grounded</t>
        </is>
      </c>
      <c r="AB1729" s="18" t="inlineStr"/>
      <c r="AC1729" s="18" t="inlineStr">
        <is>
          <t>비=False</t>
        </is>
      </c>
      <c r="AD1729" s="18" t="inlineStr"/>
      <c r="AE1729" s="18" t="inlineStr">
        <is>
          <t>sky 8-15</t>
        </is>
      </c>
      <c r="AF1729" s="18" t="inlineStr"/>
      <c r="AG1729" s="18" t="inlineStr">
        <is>
          <t>#minecraft:village</t>
        </is>
      </c>
      <c r="AH1729" s="18" t="inlineStr"/>
      <c r="AI1729" s="18" t="inlineStr"/>
      <c r="AJ1729" s="18" t="inlineStr">
        <is>
          <t>Cobblemon 동일</t>
        </is>
      </c>
      <c r="AK1729" s="18" t="inlineStr">
        <is>
          <t>사용</t>
        </is>
      </c>
      <c r="AL1729" s="18" t="inlineStr">
        <is>
          <t>COBBLEVERSE 1.7.42 / DP v31</t>
        </is>
      </c>
      <c r="AM1729" s="18" t="inlineStr">
        <is>
          <t>data/cobblemon/spawn_pool_world/0509_purrloin.json</t>
        </is>
      </c>
      <c r="AN1729" s="18" t="inlineStr">
        <is>
          <t>purrloin-4</t>
        </is>
      </c>
      <c r="AO1729" s="18" t="inlineStr">
        <is>
          <t>pokemon</t>
        </is>
      </c>
      <c r="AP1729" s="18" t="inlineStr">
        <is>
          <t>natural</t>
        </is>
      </c>
      <c r="AQ1729" s="18" t="inlineStr">
        <is>
          <t>{"biomes":["#cobblemon:is_overworld"],"isRaining":false,"maxSkyLight":15,"minSkyLight":8,"structures":["#minecraft:village"]}</t>
        </is>
      </c>
      <c r="AR1729" s="18" t="inlineStr">
        <is>
          <t>{"biomes":["#cobblemon:is_arid","#cobblemon:is_freezing","#cobblemon:is_taiga"]}</t>
        </is>
      </c>
      <c r="AS1729" s="18" t="inlineStr">
        <is>
          <t>{"weightMultiplier":{"condition":{"timeRange":"night"},"multiplier":1.5}}</t>
        </is>
      </c>
      <c r="AT1729" s="19" t="inlineStr"/>
    </row>
    <row r="1730" ht="32" customHeight="1">
      <c r="A1730" s="18" t="inlineStr">
        <is>
          <t>0509_purrloin.json::purrloin-5::005</t>
        </is>
      </c>
      <c r="B1730" s="19" t="inlineStr">
        <is>
          <t>사용</t>
        </is>
      </c>
      <c r="C1730" s="18">
        <f>IF(OR(B1730&lt;&gt;AK1730,M1730&lt;&gt;L1730,O1730&lt;&gt;"",Q1730&lt;&gt;"",V1730&lt;&gt;1,Y1730&lt;&gt;"",AT1730&lt;&gt;""),"수정","원본")</f>
        <v/>
      </c>
      <c r="D1730" s="18" t="n">
        <v>509</v>
      </c>
      <c r="E1730" s="18" t="inlineStr">
        <is>
          <t>쌔비냥</t>
        </is>
      </c>
      <c r="F1730" s="18" t="inlineStr">
        <is>
          <t>purrloin</t>
        </is>
      </c>
      <c r="G1730" s="18" t="inlineStr">
        <is>
          <t>purrloin</t>
        </is>
      </c>
      <c r="H1730" s="18" t="inlineStr"/>
      <c r="I1730" s="18" t="n">
        <v>5</v>
      </c>
      <c r="J1730" s="18" t="n"/>
      <c r="K1730" s="18" t="n">
        <v>5</v>
      </c>
      <c r="L1730" s="18" t="inlineStr">
        <is>
          <t>cobbleventure:generation_5</t>
        </is>
      </c>
      <c r="M1730" s="19" t="inlineStr">
        <is>
          <t>cobbleventure:generation_5</t>
        </is>
      </c>
      <c r="N1730" s="18" t="inlineStr"/>
      <c r="O1730" s="19" t="inlineStr"/>
      <c r="P1730" s="18" t="inlineStr">
        <is>
          <t>#cobblemon:is_savanna</t>
        </is>
      </c>
      <c r="Q1730" s="19" t="inlineStr"/>
      <c r="R1730" s="18">
        <f>IF(Q1730="",P1730,Q1730)</f>
        <v/>
      </c>
      <c r="S1730" s="18" t="inlineStr"/>
      <c r="T1730" s="18" t="inlineStr">
        <is>
          <t>common</t>
        </is>
      </c>
      <c r="U1730" s="20" t="n">
        <v>10</v>
      </c>
      <c r="V1730" s="21" t="n">
        <v>1</v>
      </c>
      <c r="W1730" s="20">
        <f>IF(OR(U1730="",V1730=""),U1730,U1730*V1730)</f>
        <v/>
      </c>
      <c r="X1730" s="18" t="inlineStr">
        <is>
          <t>3-28</t>
        </is>
      </c>
      <c r="Y1730" s="19" t="inlineStr"/>
      <c r="Z1730" s="18">
        <f>IF(Y1730="",X1730,Y1730)</f>
        <v/>
      </c>
      <c r="AA1730" s="18" t="inlineStr">
        <is>
          <t>grounded</t>
        </is>
      </c>
      <c r="AB1730" s="18" t="inlineStr"/>
      <c r="AC1730" s="18" t="inlineStr"/>
      <c r="AD1730" s="18" t="inlineStr"/>
      <c r="AE1730" s="18" t="inlineStr">
        <is>
          <t>sky 8-15</t>
        </is>
      </c>
      <c r="AF1730" s="18" t="inlineStr"/>
      <c r="AG1730" s="18" t="inlineStr"/>
      <c r="AH1730" s="18" t="inlineStr"/>
      <c r="AI1730" s="18" t="inlineStr"/>
      <c r="AJ1730" s="18" t="inlineStr">
        <is>
          <t>Cobblemon 동일</t>
        </is>
      </c>
      <c r="AK1730" s="18" t="inlineStr">
        <is>
          <t>사용</t>
        </is>
      </c>
      <c r="AL1730" s="18" t="inlineStr">
        <is>
          <t>COBBLEVERSE 1.7.42 / DP v31</t>
        </is>
      </c>
      <c r="AM1730" s="18" t="inlineStr">
        <is>
          <t>data/cobblemon/spawn_pool_world/0509_purrloin.json</t>
        </is>
      </c>
      <c r="AN1730" s="18" t="inlineStr">
        <is>
          <t>purrloin-5</t>
        </is>
      </c>
      <c r="AO1730" s="18" t="inlineStr">
        <is>
          <t>pokemon</t>
        </is>
      </c>
      <c r="AP1730" s="18" t="inlineStr">
        <is>
          <t>natural; urban</t>
        </is>
      </c>
      <c r="AQ1730" s="18" t="inlineStr">
        <is>
          <t>{"biomes":["#cobblemon:is_savanna"],"maxSkyLight":15,"minSkyLight":8}</t>
        </is>
      </c>
      <c r="AR1730" s="18" t="inlineStr"/>
      <c r="AS1730" s="18" t="inlineStr">
        <is>
          <t>{"weightMultiplier":{"condition":{"timeRange":"night"},"multiplier":1.5}}</t>
        </is>
      </c>
      <c r="AT1730" s="19" t="inlineStr"/>
    </row>
    <row r="1731" ht="32" customHeight="1">
      <c r="A1731" s="18" t="inlineStr">
        <is>
          <t>0509_purrloin.json::purrloin-6::006</t>
        </is>
      </c>
      <c r="B1731" s="19" t="inlineStr">
        <is>
          <t>사용</t>
        </is>
      </c>
      <c r="C1731" s="18">
        <f>IF(OR(B1731&lt;&gt;AK1731,M1731&lt;&gt;L1731,O1731&lt;&gt;"",Q1731&lt;&gt;"",V1731&lt;&gt;1,Y1731&lt;&gt;"",AT1731&lt;&gt;""),"수정","원본")</f>
        <v/>
      </c>
      <c r="D1731" s="18" t="n">
        <v>509</v>
      </c>
      <c r="E1731" s="18" t="inlineStr">
        <is>
          <t>쌔비냥</t>
        </is>
      </c>
      <c r="F1731" s="18" t="inlineStr">
        <is>
          <t>purrloin</t>
        </is>
      </c>
      <c r="G1731" s="18" t="inlineStr">
        <is>
          <t>purrloin</t>
        </is>
      </c>
      <c r="H1731" s="18" t="inlineStr"/>
      <c r="I1731" s="18" t="n">
        <v>5</v>
      </c>
      <c r="J1731" s="18" t="n"/>
      <c r="K1731" s="18" t="n">
        <v>5</v>
      </c>
      <c r="L1731" s="18" t="inlineStr">
        <is>
          <t>cobbleventure:generation_5</t>
        </is>
      </c>
      <c r="M1731" s="19" t="inlineStr">
        <is>
          <t>cobbleventure:generation_5</t>
        </is>
      </c>
      <c r="N1731" s="18" t="inlineStr"/>
      <c r="O1731" s="19" t="inlineStr"/>
      <c r="P1731" s="18" t="inlineStr">
        <is>
          <t>#cobblemon:is_savanna</t>
        </is>
      </c>
      <c r="Q1731" s="19" t="inlineStr"/>
      <c r="R1731" s="18">
        <f>IF(Q1731="",P1731,Q1731)</f>
        <v/>
      </c>
      <c r="S1731" s="18" t="inlineStr"/>
      <c r="T1731" s="18" t="inlineStr">
        <is>
          <t>common</t>
        </is>
      </c>
      <c r="U1731" s="20" t="n">
        <v>10</v>
      </c>
      <c r="V1731" s="21" t="n">
        <v>1</v>
      </c>
      <c r="W1731" s="20">
        <f>IF(OR(U1731="",V1731=""),U1731,U1731*V1731)</f>
        <v/>
      </c>
      <c r="X1731" s="18" t="inlineStr">
        <is>
          <t>3-28</t>
        </is>
      </c>
      <c r="Y1731" s="19" t="inlineStr"/>
      <c r="Z1731" s="18">
        <f>IF(Y1731="",X1731,Y1731)</f>
        <v/>
      </c>
      <c r="AA1731" s="18" t="inlineStr">
        <is>
          <t>grounded</t>
        </is>
      </c>
      <c r="AB1731" s="18" t="inlineStr"/>
      <c r="AC1731" s="18" t="inlineStr"/>
      <c r="AD1731" s="18" t="inlineStr"/>
      <c r="AE1731" s="18" t="inlineStr">
        <is>
          <t>sky 8-15</t>
        </is>
      </c>
      <c r="AF1731" s="18" t="inlineStr"/>
      <c r="AG1731" s="18" t="inlineStr">
        <is>
          <t>#minecraft:village</t>
        </is>
      </c>
      <c r="AH1731" s="18" t="inlineStr"/>
      <c r="AI1731" s="18" t="inlineStr"/>
      <c r="AJ1731" s="18" t="inlineStr">
        <is>
          <t>Cobblemon 동일</t>
        </is>
      </c>
      <c r="AK1731" s="18" t="inlineStr">
        <is>
          <t>사용</t>
        </is>
      </c>
      <c r="AL1731" s="18" t="inlineStr">
        <is>
          <t>COBBLEVERSE 1.7.42 / DP v31</t>
        </is>
      </c>
      <c r="AM1731" s="18" t="inlineStr">
        <is>
          <t>data/cobblemon/spawn_pool_world/0509_purrloin.json</t>
        </is>
      </c>
      <c r="AN1731" s="18" t="inlineStr">
        <is>
          <t>purrloin-6</t>
        </is>
      </c>
      <c r="AO1731" s="18" t="inlineStr">
        <is>
          <t>pokemon</t>
        </is>
      </c>
      <c r="AP1731" s="18" t="inlineStr">
        <is>
          <t>natural</t>
        </is>
      </c>
      <c r="AQ1731" s="18" t="inlineStr">
        <is>
          <t>{"biomes":["#cobblemon:is_savanna"],"maxSkyLight":15,"minSkyLight":8,"structures":["#minecraft:village"]}</t>
        </is>
      </c>
      <c r="AR1731" s="18" t="inlineStr"/>
      <c r="AS1731" s="18" t="inlineStr">
        <is>
          <t>{"weightMultiplier":{"condition":{"timeRange":"night"},"multiplier":1.5}}</t>
        </is>
      </c>
      <c r="AT1731" s="19" t="inlineStr"/>
    </row>
    <row r="1732" ht="32" customHeight="1">
      <c r="A1732" s="18" t="inlineStr">
        <is>
          <t>0509_purrloin.json::purrloin-7::007</t>
        </is>
      </c>
      <c r="B1732" s="19" t="inlineStr">
        <is>
          <t>사용</t>
        </is>
      </c>
      <c r="C1732" s="18">
        <f>IF(OR(B1732&lt;&gt;AK1732,M1732&lt;&gt;L1732,O1732&lt;&gt;"",Q1732&lt;&gt;"",V1732&lt;&gt;1,Y1732&lt;&gt;"",AT1732&lt;&gt;""),"수정","원본")</f>
        <v/>
      </c>
      <c r="D1732" s="18" t="n">
        <v>509</v>
      </c>
      <c r="E1732" s="18" t="inlineStr">
        <is>
          <t>쌔비냥</t>
        </is>
      </c>
      <c r="F1732" s="18" t="inlineStr">
        <is>
          <t>purrloin</t>
        </is>
      </c>
      <c r="G1732" s="18" t="inlineStr">
        <is>
          <t>purrloin</t>
        </is>
      </c>
      <c r="H1732" s="18" t="inlineStr"/>
      <c r="I1732" s="18" t="n">
        <v>5</v>
      </c>
      <c r="J1732" s="18" t="n"/>
      <c r="K1732" s="18" t="n">
        <v>5</v>
      </c>
      <c r="L1732" s="18" t="inlineStr">
        <is>
          <t>cobbleventure:generation_5</t>
        </is>
      </c>
      <c r="M1732" s="19" t="inlineStr">
        <is>
          <t>cobbleventure:generation_5</t>
        </is>
      </c>
      <c r="N1732" s="18" t="inlineStr">
        <is>
          <t>region_01; region_02</t>
        </is>
      </c>
      <c r="O1732" s="19" t="inlineStr"/>
      <c r="P1732" s="18" t="inlineStr">
        <is>
          <t>#cobblemon:is_overworld</t>
        </is>
      </c>
      <c r="Q1732" s="19" t="inlineStr"/>
      <c r="R1732" s="18">
        <f>IF(Q1732="",P1732,Q1732)</f>
        <v/>
      </c>
      <c r="S1732" s="18" t="inlineStr"/>
      <c r="T1732" s="18" t="inlineStr">
        <is>
          <t>common</t>
        </is>
      </c>
      <c r="U1732" s="20" t="n">
        <v>5.4</v>
      </c>
      <c r="V1732" s="21" t="n">
        <v>1</v>
      </c>
      <c r="W1732" s="20">
        <f>IF(OR(U1732="",V1732=""),U1732,U1732*V1732)</f>
        <v/>
      </c>
      <c r="X1732" s="18" t="inlineStr">
        <is>
          <t>3-28</t>
        </is>
      </c>
      <c r="Y1732" s="19" t="inlineStr"/>
      <c r="Z1732" s="18">
        <f>IF(Y1732="",X1732,Y1732)</f>
        <v/>
      </c>
      <c r="AA1732" s="18" t="inlineStr">
        <is>
          <t>grounded</t>
        </is>
      </c>
      <c r="AB1732" s="18" t="inlineStr"/>
      <c r="AC1732" s="18" t="inlineStr"/>
      <c r="AD1732" s="18" t="inlineStr"/>
      <c r="AE1732" s="18" t="inlineStr"/>
      <c r="AF1732" s="18" t="inlineStr">
        <is>
          <t>False</t>
        </is>
      </c>
      <c r="AG1732" s="18" t="inlineStr"/>
      <c r="AH1732" s="18" t="inlineStr"/>
      <c r="AI1732" s="18" t="inlineStr"/>
      <c r="AJ1732" s="18" t="inlineStr">
        <is>
          <t>Cobblemon 동일</t>
        </is>
      </c>
      <c r="AK1732" s="18" t="inlineStr">
        <is>
          <t>사용</t>
        </is>
      </c>
      <c r="AL1732" s="18" t="inlineStr">
        <is>
          <t>COBBLEVERSE 1.7.42 / DP v31</t>
        </is>
      </c>
      <c r="AM1732" s="18" t="inlineStr">
        <is>
          <t>data/cobblemon/spawn_pool_world/0509_purrloin.json</t>
        </is>
      </c>
      <c r="AN1732" s="18" t="inlineStr">
        <is>
          <t>purrloin-7</t>
        </is>
      </c>
      <c r="AO1732" s="18" t="inlineStr">
        <is>
          <t>pokemon</t>
        </is>
      </c>
      <c r="AP1732" s="18" t="inlineStr">
        <is>
          <t>mansion</t>
        </is>
      </c>
      <c r="AQ1732" s="18" t="inlineStr">
        <is>
          <t>{"biomes":["#cobblemon:is_overworld"],"canSeeSky":false}</t>
        </is>
      </c>
      <c r="AR1732" s="18" t="inlineStr"/>
      <c r="AS1732" s="18" t="inlineStr"/>
      <c r="AT1732" s="19" t="inlineStr"/>
    </row>
    <row r="1733" ht="32" customHeight="1">
      <c r="A1733" s="18" t="inlineStr">
        <is>
          <t>0509_purrloin.json::purrloin-8::008</t>
        </is>
      </c>
      <c r="B1733" s="19" t="inlineStr">
        <is>
          <t>사용</t>
        </is>
      </c>
      <c r="C1733" s="18">
        <f>IF(OR(B1733&lt;&gt;AK1733,M1733&lt;&gt;L1733,O1733&lt;&gt;"",Q1733&lt;&gt;"",V1733&lt;&gt;1,Y1733&lt;&gt;"",AT1733&lt;&gt;""),"수정","원본")</f>
        <v/>
      </c>
      <c r="D1733" s="18" t="n">
        <v>509</v>
      </c>
      <c r="E1733" s="18" t="inlineStr">
        <is>
          <t>쌔비냥</t>
        </is>
      </c>
      <c r="F1733" s="18" t="inlineStr">
        <is>
          <t>purrloin</t>
        </is>
      </c>
      <c r="G1733" s="18" t="inlineStr">
        <is>
          <t>purrloin</t>
        </is>
      </c>
      <c r="H1733" s="18" t="inlineStr"/>
      <c r="I1733" s="18" t="n">
        <v>5</v>
      </c>
      <c r="J1733" s="18" t="n"/>
      <c r="K1733" s="18" t="n">
        <v>5</v>
      </c>
      <c r="L1733" s="18" t="inlineStr">
        <is>
          <t>cobbleventure:generation_5</t>
        </is>
      </c>
      <c r="M1733" s="19" t="inlineStr">
        <is>
          <t>cobbleventure:generation_5</t>
        </is>
      </c>
      <c r="N1733" s="18" t="inlineStr">
        <is>
          <t>region_01; region_02</t>
        </is>
      </c>
      <c r="O1733" s="19" t="inlineStr"/>
      <c r="P1733" s="18" t="inlineStr">
        <is>
          <t>#cobblemon:is_overworld</t>
        </is>
      </c>
      <c r="Q1733" s="19" t="inlineStr"/>
      <c r="R1733" s="18">
        <f>IF(Q1733="",P1733,Q1733)</f>
        <v/>
      </c>
      <c r="S1733" s="18" t="inlineStr"/>
      <c r="T1733" s="18" t="inlineStr">
        <is>
          <t>common</t>
        </is>
      </c>
      <c r="U1733" s="20" t="n">
        <v>54</v>
      </c>
      <c r="V1733" s="21" t="n">
        <v>1</v>
      </c>
      <c r="W1733" s="20">
        <f>IF(OR(U1733="",V1733=""),U1733,U1733*V1733)</f>
        <v/>
      </c>
      <c r="X1733" s="18" t="inlineStr">
        <is>
          <t>3-28</t>
        </is>
      </c>
      <c r="Y1733" s="19" t="inlineStr"/>
      <c r="Z1733" s="18">
        <f>IF(Y1733="",X1733,Y1733)</f>
        <v/>
      </c>
      <c r="AA1733" s="18" t="inlineStr">
        <is>
          <t>grounded</t>
        </is>
      </c>
      <c r="AB1733" s="18" t="inlineStr"/>
      <c r="AC1733" s="18" t="inlineStr">
        <is>
          <t>비=False</t>
        </is>
      </c>
      <c r="AD1733" s="18" t="inlineStr"/>
      <c r="AE1733" s="18" t="inlineStr">
        <is>
          <t>sky 8-15</t>
        </is>
      </c>
      <c r="AF1733" s="18" t="inlineStr"/>
      <c r="AG1733" s="18" t="inlineStr">
        <is>
          <t>minecraft:swamp_hut</t>
        </is>
      </c>
      <c r="AH1733" s="18" t="inlineStr"/>
      <c r="AI1733" s="18" t="inlineStr"/>
      <c r="AJ1733" s="18" t="inlineStr">
        <is>
          <t>Cobblemon 동일</t>
        </is>
      </c>
      <c r="AK1733" s="18" t="inlineStr">
        <is>
          <t>사용</t>
        </is>
      </c>
      <c r="AL1733" s="18" t="inlineStr">
        <is>
          <t>COBBLEVERSE 1.7.42 / DP v31</t>
        </is>
      </c>
      <c r="AM1733" s="18" t="inlineStr">
        <is>
          <t>data/cobblemon/spawn_pool_world/0509_purrloin.json</t>
        </is>
      </c>
      <c r="AN1733" s="18" t="inlineStr">
        <is>
          <t>purrloin-8</t>
        </is>
      </c>
      <c r="AO1733" s="18" t="inlineStr">
        <is>
          <t>pokemon</t>
        </is>
      </c>
      <c r="AP1733" s="18" t="inlineStr">
        <is>
          <t>natural</t>
        </is>
      </c>
      <c r="AQ1733" s="18" t="inlineStr">
        <is>
          <t>{"biomes":["#cobblemon:is_overworld"],"isRaining":false,"maxSkyLight":15,"minSkyLight":8,"structures":["minecraft:swamp_hut"]}</t>
        </is>
      </c>
      <c r="AR1733" s="18" t="inlineStr"/>
      <c r="AS1733" s="18" t="inlineStr">
        <is>
          <t>{"weightMultiplier":{"condition":{"timeRange":"night"},"multiplier":1.5}}</t>
        </is>
      </c>
      <c r="AT1733" s="19" t="inlineStr"/>
    </row>
    <row r="1734" ht="32" customHeight="1">
      <c r="A1734" s="18" t="inlineStr">
        <is>
          <t>0510_liepard.json::liepard-1::001</t>
        </is>
      </c>
      <c r="B1734" s="19" t="inlineStr">
        <is>
          <t>사용</t>
        </is>
      </c>
      <c r="C1734" s="18">
        <f>IF(OR(B1734&lt;&gt;AK1734,M1734&lt;&gt;L1734,O1734&lt;&gt;"",Q1734&lt;&gt;"",V1734&lt;&gt;1,Y1734&lt;&gt;"",AT1734&lt;&gt;""),"수정","원본")</f>
        <v/>
      </c>
      <c r="D1734" s="18" t="n">
        <v>510</v>
      </c>
      <c r="E1734" s="18" t="inlineStr">
        <is>
          <t>레파르다스</t>
        </is>
      </c>
      <c r="F1734" s="18" t="inlineStr">
        <is>
          <t>liepard</t>
        </is>
      </c>
      <c r="G1734" s="18" t="inlineStr">
        <is>
          <t>liepard</t>
        </is>
      </c>
      <c r="H1734" s="18" t="inlineStr"/>
      <c r="I1734" s="18" t="n">
        <v>5</v>
      </c>
      <c r="J1734" s="18" t="n"/>
      <c r="K1734" s="18" t="n">
        <v>5</v>
      </c>
      <c r="L1734" s="18" t="inlineStr">
        <is>
          <t>cobbleventure:generation_5</t>
        </is>
      </c>
      <c r="M1734" s="19" t="inlineStr">
        <is>
          <t>cobbleventure:generation_5</t>
        </is>
      </c>
      <c r="N1734" s="18" t="inlineStr">
        <is>
          <t>region_01; region_02</t>
        </is>
      </c>
      <c r="O1734" s="19" t="inlineStr"/>
      <c r="P1734" s="18" t="inlineStr">
        <is>
          <t>#cobblemon:is_jungle; #cobblemon:is_swamp; #cobblemon:is_temperate</t>
        </is>
      </c>
      <c r="Q1734" s="19" t="inlineStr"/>
      <c r="R1734" s="18">
        <f>IF(Q1734="",P1734,Q1734)</f>
        <v/>
      </c>
      <c r="S1734" s="18" t="inlineStr"/>
      <c r="T1734" s="18" t="inlineStr">
        <is>
          <t>common</t>
        </is>
      </c>
      <c r="U1734" s="20" t="n">
        <v>0.2</v>
      </c>
      <c r="V1734" s="21" t="n">
        <v>1</v>
      </c>
      <c r="W1734" s="20">
        <f>IF(OR(U1734="",V1734=""),U1734,U1734*V1734)</f>
        <v/>
      </c>
      <c r="X1734" s="18" t="inlineStr">
        <is>
          <t>20-45</t>
        </is>
      </c>
      <c r="Y1734" s="19" t="inlineStr"/>
      <c r="Z1734" s="18">
        <f>IF(Y1734="",X1734,Y1734)</f>
        <v/>
      </c>
      <c r="AA1734" s="18" t="inlineStr">
        <is>
          <t>grounded</t>
        </is>
      </c>
      <c r="AB1734" s="18" t="inlineStr">
        <is>
          <t>night</t>
        </is>
      </c>
      <c r="AC1734" s="18" t="inlineStr">
        <is>
          <t>비=False</t>
        </is>
      </c>
      <c r="AD1734" s="18" t="inlineStr"/>
      <c r="AE1734" s="18" t="inlineStr">
        <is>
          <t>sky 8-15</t>
        </is>
      </c>
      <c r="AF1734" s="18" t="inlineStr"/>
      <c r="AG1734" s="18" t="inlineStr"/>
      <c r="AH1734" s="18" t="inlineStr"/>
      <c r="AI1734" s="18" t="inlineStr"/>
      <c r="AJ1734" s="18" t="inlineStr">
        <is>
          <t>Cobblemon 동일</t>
        </is>
      </c>
      <c r="AK1734" s="18" t="inlineStr">
        <is>
          <t>사용</t>
        </is>
      </c>
      <c r="AL1734" s="18" t="inlineStr">
        <is>
          <t>COBBLEVERSE 1.7.42 / DP v31</t>
        </is>
      </c>
      <c r="AM1734" s="18" t="inlineStr">
        <is>
          <t>data/cobblemon/spawn_pool_world/0510_liepard.json</t>
        </is>
      </c>
      <c r="AN1734" s="18" t="inlineStr">
        <is>
          <t>liepard-1</t>
        </is>
      </c>
      <c r="AO1734" s="18" t="inlineStr">
        <is>
          <t>pokemon</t>
        </is>
      </c>
      <c r="AP1734" s="18" t="inlineStr">
        <is>
          <t>natural</t>
        </is>
      </c>
      <c r="AQ1734" s="18" t="inlineStr">
        <is>
          <t>{"biomes":["#cobblemon:is_jungle","#cobblemon:is_swamp","#cobblemon:is_temperate"],"isRaining":false,"maxSkyLight":15,"minSkyLight":8,"timeRange":"night"}</t>
        </is>
      </c>
      <c r="AR1734" s="18" t="inlineStr">
        <is>
          <t>{"structures":["#minecraft:village"]}</t>
        </is>
      </c>
      <c r="AS1734" s="18" t="inlineStr"/>
      <c r="AT1734" s="19" t="inlineStr"/>
    </row>
    <row r="1735" ht="32" customHeight="1">
      <c r="A1735" s="18" t="inlineStr">
        <is>
          <t>0510_liepard.json::liepard-2::002</t>
        </is>
      </c>
      <c r="B1735" s="19" t="inlineStr">
        <is>
          <t>사용</t>
        </is>
      </c>
      <c r="C1735" s="18">
        <f>IF(OR(B1735&lt;&gt;AK1735,M1735&lt;&gt;L1735,O1735&lt;&gt;"",Q1735&lt;&gt;"",V1735&lt;&gt;1,Y1735&lt;&gt;"",AT1735&lt;&gt;""),"수정","원본")</f>
        <v/>
      </c>
      <c r="D1735" s="18" t="n">
        <v>510</v>
      </c>
      <c r="E1735" s="18" t="inlineStr">
        <is>
          <t>레파르다스</t>
        </is>
      </c>
      <c r="F1735" s="18" t="inlineStr">
        <is>
          <t>liepard</t>
        </is>
      </c>
      <c r="G1735" s="18" t="inlineStr">
        <is>
          <t>liepard</t>
        </is>
      </c>
      <c r="H1735" s="18" t="inlineStr"/>
      <c r="I1735" s="18" t="n">
        <v>5</v>
      </c>
      <c r="J1735" s="18" t="n"/>
      <c r="K1735" s="18" t="n">
        <v>5</v>
      </c>
      <c r="L1735" s="18" t="inlineStr">
        <is>
          <t>cobbleventure:generation_5</t>
        </is>
      </c>
      <c r="M1735" s="19" t="inlineStr">
        <is>
          <t>cobbleventure:generation_5</t>
        </is>
      </c>
      <c r="N1735" s="18" t="inlineStr"/>
      <c r="O1735" s="19" t="inlineStr"/>
      <c r="P1735" s="18" t="inlineStr">
        <is>
          <t>#cobblemon:is_savanna</t>
        </is>
      </c>
      <c r="Q1735" s="19" t="inlineStr"/>
      <c r="R1735" s="18">
        <f>IF(Q1735="",P1735,Q1735)</f>
        <v/>
      </c>
      <c r="S1735" s="18" t="inlineStr"/>
      <c r="T1735" s="18" t="inlineStr">
        <is>
          <t>common</t>
        </is>
      </c>
      <c r="U1735" s="20" t="n">
        <v>0.2</v>
      </c>
      <c r="V1735" s="21" t="n">
        <v>1</v>
      </c>
      <c r="W1735" s="20">
        <f>IF(OR(U1735="",V1735=""),U1735,U1735*V1735)</f>
        <v/>
      </c>
      <c r="X1735" s="18" t="inlineStr">
        <is>
          <t>20-45</t>
        </is>
      </c>
      <c r="Y1735" s="19" t="inlineStr"/>
      <c r="Z1735" s="18">
        <f>IF(Y1735="",X1735,Y1735)</f>
        <v/>
      </c>
      <c r="AA1735" s="18" t="inlineStr">
        <is>
          <t>grounded</t>
        </is>
      </c>
      <c r="AB1735" s="18" t="inlineStr">
        <is>
          <t>night</t>
        </is>
      </c>
      <c r="AC1735" s="18" t="inlineStr"/>
      <c r="AD1735" s="18" t="inlineStr"/>
      <c r="AE1735" s="18" t="inlineStr">
        <is>
          <t>sky 8-15</t>
        </is>
      </c>
      <c r="AF1735" s="18" t="inlineStr"/>
      <c r="AG1735" s="18" t="inlineStr"/>
      <c r="AH1735" s="18" t="inlineStr"/>
      <c r="AI1735" s="18" t="inlineStr"/>
      <c r="AJ1735" s="18" t="inlineStr">
        <is>
          <t>Cobblemon 동일</t>
        </is>
      </c>
      <c r="AK1735" s="18" t="inlineStr">
        <is>
          <t>사용</t>
        </is>
      </c>
      <c r="AL1735" s="18" t="inlineStr">
        <is>
          <t>COBBLEVERSE 1.7.42 / DP v31</t>
        </is>
      </c>
      <c r="AM1735" s="18" t="inlineStr">
        <is>
          <t>data/cobblemon/spawn_pool_world/0510_liepard.json</t>
        </is>
      </c>
      <c r="AN1735" s="18" t="inlineStr">
        <is>
          <t>liepard-2</t>
        </is>
      </c>
      <c r="AO1735" s="18" t="inlineStr">
        <is>
          <t>pokemon</t>
        </is>
      </c>
      <c r="AP1735" s="18" t="inlineStr">
        <is>
          <t>natural</t>
        </is>
      </c>
      <c r="AQ1735" s="18" t="inlineStr">
        <is>
          <t>{"biomes":["#cobblemon:is_savanna"],"maxSkyLight":15,"minSkyLight":8,"timeRange":"night"}</t>
        </is>
      </c>
      <c r="AR1735" s="18" t="inlineStr">
        <is>
          <t>{"structures":["#minecraft:village"]}</t>
        </is>
      </c>
      <c r="AS1735" s="18" t="inlineStr"/>
      <c r="AT1735" s="19" t="inlineStr"/>
    </row>
    <row r="1736" ht="32" customHeight="1">
      <c r="A1736" s="18" t="inlineStr">
        <is>
          <t>0510_liepard.json::liepard-3::003</t>
        </is>
      </c>
      <c r="B1736" s="19" t="inlineStr">
        <is>
          <t>사용</t>
        </is>
      </c>
      <c r="C1736" s="18">
        <f>IF(OR(B1736&lt;&gt;AK1736,M1736&lt;&gt;L1736,O1736&lt;&gt;"",Q1736&lt;&gt;"",V1736&lt;&gt;1,Y1736&lt;&gt;"",AT1736&lt;&gt;""),"수정","원본")</f>
        <v/>
      </c>
      <c r="D1736" s="18" t="n">
        <v>510</v>
      </c>
      <c r="E1736" s="18" t="inlineStr">
        <is>
          <t>레파르다스</t>
        </is>
      </c>
      <c r="F1736" s="18" t="inlineStr">
        <is>
          <t>liepard</t>
        </is>
      </c>
      <c r="G1736" s="18" t="inlineStr">
        <is>
          <t>liepard</t>
        </is>
      </c>
      <c r="H1736" s="18" t="inlineStr"/>
      <c r="I1736" s="18" t="n">
        <v>5</v>
      </c>
      <c r="J1736" s="18" t="n"/>
      <c r="K1736" s="18" t="n">
        <v>5</v>
      </c>
      <c r="L1736" s="18" t="inlineStr">
        <is>
          <t>cobbleventure:generation_5</t>
        </is>
      </c>
      <c r="M1736" s="19" t="inlineStr">
        <is>
          <t>cobbleventure:generation_5</t>
        </is>
      </c>
      <c r="N1736" s="18" t="inlineStr">
        <is>
          <t>region_01</t>
        </is>
      </c>
      <c r="O1736" s="19" t="inlineStr"/>
      <c r="P1736" s="18" t="inlineStr">
        <is>
          <t>#cobblemon:is_overworld</t>
        </is>
      </c>
      <c r="Q1736" s="19" t="inlineStr"/>
      <c r="R1736" s="18">
        <f>IF(Q1736="",P1736,Q1736)</f>
        <v/>
      </c>
      <c r="S1736" s="18" t="inlineStr">
        <is>
          <t>#cobblemon:is_arid; #cobblemon:is_freezing; #cobblemon:is_taiga</t>
        </is>
      </c>
      <c r="T1736" s="18" t="inlineStr">
        <is>
          <t>common</t>
        </is>
      </c>
      <c r="U1736" s="20" t="n">
        <v>1</v>
      </c>
      <c r="V1736" s="21" t="n">
        <v>1</v>
      </c>
      <c r="W1736" s="20">
        <f>IF(OR(U1736="",V1736=""),U1736,U1736*V1736)</f>
        <v/>
      </c>
      <c r="X1736" s="18" t="inlineStr">
        <is>
          <t>20-45</t>
        </is>
      </c>
      <c r="Y1736" s="19" t="inlineStr"/>
      <c r="Z1736" s="18">
        <f>IF(Y1736="",X1736,Y1736)</f>
        <v/>
      </c>
      <c r="AA1736" s="18" t="inlineStr">
        <is>
          <t>grounded</t>
        </is>
      </c>
      <c r="AB1736" s="18" t="inlineStr"/>
      <c r="AC1736" s="18" t="inlineStr">
        <is>
          <t>비=False</t>
        </is>
      </c>
      <c r="AD1736" s="18" t="inlineStr"/>
      <c r="AE1736" s="18" t="inlineStr">
        <is>
          <t>sky 8-15</t>
        </is>
      </c>
      <c r="AF1736" s="18" t="inlineStr"/>
      <c r="AG1736" s="18" t="inlineStr"/>
      <c r="AH1736" s="18" t="inlineStr"/>
      <c r="AI1736" s="18" t="inlineStr"/>
      <c r="AJ1736" s="18" t="inlineStr">
        <is>
          <t>Cobblemon 동일</t>
        </is>
      </c>
      <c r="AK1736" s="18" t="inlineStr">
        <is>
          <t>사용</t>
        </is>
      </c>
      <c r="AL1736" s="18" t="inlineStr">
        <is>
          <t>COBBLEVERSE 1.7.42 / DP v31</t>
        </is>
      </c>
      <c r="AM1736" s="18" t="inlineStr">
        <is>
          <t>data/cobblemon/spawn_pool_world/0510_liepard.json</t>
        </is>
      </c>
      <c r="AN1736" s="18" t="inlineStr">
        <is>
          <t>liepard-3</t>
        </is>
      </c>
      <c r="AO1736" s="18" t="inlineStr">
        <is>
          <t>pokemon</t>
        </is>
      </c>
      <c r="AP1736" s="18" t="inlineStr">
        <is>
          <t>natural; urban</t>
        </is>
      </c>
      <c r="AQ1736" s="18" t="inlineStr">
        <is>
          <t>{"biomes":["#cobblemon:is_overworld"],"isRaining":false,"maxSkyLight":15,"minSkyLight":8}</t>
        </is>
      </c>
      <c r="AR1736" s="18" t="inlineStr">
        <is>
          <t>{"biomes":["#cobblemon:is_arid","#cobblemon:is_freezing","#cobblemon:is_taiga"]}</t>
        </is>
      </c>
      <c r="AS1736" s="18" t="inlineStr">
        <is>
          <t>{"weightMultiplier":{"condition":{"timeRange":"night"},"multiplier":1.5}}</t>
        </is>
      </c>
      <c r="AT1736" s="19" t="inlineStr"/>
    </row>
    <row r="1737" ht="32" customHeight="1">
      <c r="A1737" s="18" t="inlineStr">
        <is>
          <t>0510_liepard.json::liepard-4::004</t>
        </is>
      </c>
      <c r="B1737" s="19" t="inlineStr">
        <is>
          <t>사용</t>
        </is>
      </c>
      <c r="C1737" s="18">
        <f>IF(OR(B1737&lt;&gt;AK1737,M1737&lt;&gt;L1737,O1737&lt;&gt;"",Q1737&lt;&gt;"",V1737&lt;&gt;1,Y1737&lt;&gt;"",AT1737&lt;&gt;""),"수정","원본")</f>
        <v/>
      </c>
      <c r="D1737" s="18" t="n">
        <v>510</v>
      </c>
      <c r="E1737" s="18" t="inlineStr">
        <is>
          <t>레파르다스</t>
        </is>
      </c>
      <c r="F1737" s="18" t="inlineStr">
        <is>
          <t>liepard</t>
        </is>
      </c>
      <c r="G1737" s="18" t="inlineStr">
        <is>
          <t>liepard</t>
        </is>
      </c>
      <c r="H1737" s="18" t="inlineStr"/>
      <c r="I1737" s="18" t="n">
        <v>5</v>
      </c>
      <c r="J1737" s="18" t="n"/>
      <c r="K1737" s="18" t="n">
        <v>5</v>
      </c>
      <c r="L1737" s="18" t="inlineStr">
        <is>
          <t>cobbleventure:generation_5</t>
        </is>
      </c>
      <c r="M1737" s="19" t="inlineStr">
        <is>
          <t>cobbleventure:generation_5</t>
        </is>
      </c>
      <c r="N1737" s="18" t="inlineStr">
        <is>
          <t>region_01</t>
        </is>
      </c>
      <c r="O1737" s="19" t="inlineStr"/>
      <c r="P1737" s="18" t="inlineStr">
        <is>
          <t>#cobblemon:is_overworld</t>
        </is>
      </c>
      <c r="Q1737" s="19" t="inlineStr"/>
      <c r="R1737" s="18">
        <f>IF(Q1737="",P1737,Q1737)</f>
        <v/>
      </c>
      <c r="S1737" s="18" t="inlineStr">
        <is>
          <t>#cobblemon:is_arid; #cobblemon:is_freezing; #cobblemon:is_taiga</t>
        </is>
      </c>
      <c r="T1737" s="18" t="inlineStr">
        <is>
          <t>common</t>
        </is>
      </c>
      <c r="U1737" s="20" t="n">
        <v>1</v>
      </c>
      <c r="V1737" s="21" t="n">
        <v>1</v>
      </c>
      <c r="W1737" s="20">
        <f>IF(OR(U1737="",V1737=""),U1737,U1737*V1737)</f>
        <v/>
      </c>
      <c r="X1737" s="18" t="inlineStr">
        <is>
          <t>20-45</t>
        </is>
      </c>
      <c r="Y1737" s="19" t="inlineStr"/>
      <c r="Z1737" s="18">
        <f>IF(Y1737="",X1737,Y1737)</f>
        <v/>
      </c>
      <c r="AA1737" s="18" t="inlineStr">
        <is>
          <t>grounded</t>
        </is>
      </c>
      <c r="AB1737" s="18" t="inlineStr"/>
      <c r="AC1737" s="18" t="inlineStr">
        <is>
          <t>비=False</t>
        </is>
      </c>
      <c r="AD1737" s="18" t="inlineStr"/>
      <c r="AE1737" s="18" t="inlineStr">
        <is>
          <t>sky 8-15</t>
        </is>
      </c>
      <c r="AF1737" s="18" t="inlineStr"/>
      <c r="AG1737" s="18" t="inlineStr">
        <is>
          <t>#minecraft:village</t>
        </is>
      </c>
      <c r="AH1737" s="18" t="inlineStr"/>
      <c r="AI1737" s="18" t="inlineStr"/>
      <c r="AJ1737" s="18" t="inlineStr">
        <is>
          <t>Cobblemon 동일</t>
        </is>
      </c>
      <c r="AK1737" s="18" t="inlineStr">
        <is>
          <t>사용</t>
        </is>
      </c>
      <c r="AL1737" s="18" t="inlineStr">
        <is>
          <t>COBBLEVERSE 1.7.42 / DP v31</t>
        </is>
      </c>
      <c r="AM1737" s="18" t="inlineStr">
        <is>
          <t>data/cobblemon/spawn_pool_world/0510_liepard.json</t>
        </is>
      </c>
      <c r="AN1737" s="18" t="inlineStr">
        <is>
          <t>liepard-4</t>
        </is>
      </c>
      <c r="AO1737" s="18" t="inlineStr">
        <is>
          <t>pokemon</t>
        </is>
      </c>
      <c r="AP1737" s="18" t="inlineStr">
        <is>
          <t>natural</t>
        </is>
      </c>
      <c r="AQ1737" s="18" t="inlineStr">
        <is>
          <t>{"biomes":["#cobblemon:is_overworld"],"isRaining":false,"maxSkyLight":15,"minSkyLight":8,"structures":["#minecraft:village"]}</t>
        </is>
      </c>
      <c r="AR1737" s="18" t="inlineStr">
        <is>
          <t>{"biomes":["#cobblemon:is_arid","#cobblemon:is_freezing","#cobblemon:is_taiga"]}</t>
        </is>
      </c>
      <c r="AS1737" s="18" t="inlineStr">
        <is>
          <t>{"weightMultiplier":{"condition":{"timeRange":"night"},"multiplier":1.5}}</t>
        </is>
      </c>
      <c r="AT1737" s="19" t="inlineStr"/>
    </row>
    <row r="1738" ht="32" customHeight="1">
      <c r="A1738" s="18" t="inlineStr">
        <is>
          <t>0510_liepard.json::liepard-5::005</t>
        </is>
      </c>
      <c r="B1738" s="19" t="inlineStr">
        <is>
          <t>사용</t>
        </is>
      </c>
      <c r="C1738" s="18">
        <f>IF(OR(B1738&lt;&gt;AK1738,M1738&lt;&gt;L1738,O1738&lt;&gt;"",Q1738&lt;&gt;"",V1738&lt;&gt;1,Y1738&lt;&gt;"",AT1738&lt;&gt;""),"수정","원본")</f>
        <v/>
      </c>
      <c r="D1738" s="18" t="n">
        <v>510</v>
      </c>
      <c r="E1738" s="18" t="inlineStr">
        <is>
          <t>레파르다스</t>
        </is>
      </c>
      <c r="F1738" s="18" t="inlineStr">
        <is>
          <t>liepard</t>
        </is>
      </c>
      <c r="G1738" s="18" t="inlineStr">
        <is>
          <t>liepard</t>
        </is>
      </c>
      <c r="H1738" s="18" t="inlineStr"/>
      <c r="I1738" s="18" t="n">
        <v>5</v>
      </c>
      <c r="J1738" s="18" t="n"/>
      <c r="K1738" s="18" t="n">
        <v>5</v>
      </c>
      <c r="L1738" s="18" t="inlineStr">
        <is>
          <t>cobbleventure:generation_5</t>
        </is>
      </c>
      <c r="M1738" s="19" t="inlineStr">
        <is>
          <t>cobbleventure:generation_5</t>
        </is>
      </c>
      <c r="N1738" s="18" t="inlineStr"/>
      <c r="O1738" s="19" t="inlineStr"/>
      <c r="P1738" s="18" t="inlineStr">
        <is>
          <t>#cobblemon:is_savanna</t>
        </is>
      </c>
      <c r="Q1738" s="19" t="inlineStr"/>
      <c r="R1738" s="18">
        <f>IF(Q1738="",P1738,Q1738)</f>
        <v/>
      </c>
      <c r="S1738" s="18" t="inlineStr"/>
      <c r="T1738" s="18" t="inlineStr">
        <is>
          <t>common</t>
        </is>
      </c>
      <c r="U1738" s="20" t="n">
        <v>1</v>
      </c>
      <c r="V1738" s="21" t="n">
        <v>1</v>
      </c>
      <c r="W1738" s="20">
        <f>IF(OR(U1738="",V1738=""),U1738,U1738*V1738)</f>
        <v/>
      </c>
      <c r="X1738" s="18" t="inlineStr">
        <is>
          <t>20-45</t>
        </is>
      </c>
      <c r="Y1738" s="19" t="inlineStr"/>
      <c r="Z1738" s="18">
        <f>IF(Y1738="",X1738,Y1738)</f>
        <v/>
      </c>
      <c r="AA1738" s="18" t="inlineStr">
        <is>
          <t>grounded</t>
        </is>
      </c>
      <c r="AB1738" s="18" t="inlineStr"/>
      <c r="AC1738" s="18" t="inlineStr"/>
      <c r="AD1738" s="18" t="inlineStr"/>
      <c r="AE1738" s="18" t="inlineStr">
        <is>
          <t>sky 8-15</t>
        </is>
      </c>
      <c r="AF1738" s="18" t="inlineStr"/>
      <c r="AG1738" s="18" t="inlineStr"/>
      <c r="AH1738" s="18" t="inlineStr"/>
      <c r="AI1738" s="18" t="inlineStr"/>
      <c r="AJ1738" s="18" t="inlineStr">
        <is>
          <t>Cobblemon 동일</t>
        </is>
      </c>
      <c r="AK1738" s="18" t="inlineStr">
        <is>
          <t>사용</t>
        </is>
      </c>
      <c r="AL1738" s="18" t="inlineStr">
        <is>
          <t>COBBLEVERSE 1.7.42 / DP v31</t>
        </is>
      </c>
      <c r="AM1738" s="18" t="inlineStr">
        <is>
          <t>data/cobblemon/spawn_pool_world/0510_liepard.json</t>
        </is>
      </c>
      <c r="AN1738" s="18" t="inlineStr">
        <is>
          <t>liepard-5</t>
        </is>
      </c>
      <c r="AO1738" s="18" t="inlineStr">
        <is>
          <t>pokemon</t>
        </is>
      </c>
      <c r="AP1738" s="18" t="inlineStr">
        <is>
          <t>natural; urban</t>
        </is>
      </c>
      <c r="AQ1738" s="18" t="inlineStr">
        <is>
          <t>{"biomes":["#cobblemon:is_savanna"],"maxSkyLight":15,"minSkyLight":8}</t>
        </is>
      </c>
      <c r="AR1738" s="18" t="inlineStr"/>
      <c r="AS1738" s="18" t="inlineStr">
        <is>
          <t>{"weightMultiplier":{"condition":{"timeRange":"night"},"multiplier":1.5}}</t>
        </is>
      </c>
      <c r="AT1738" s="19" t="inlineStr"/>
    </row>
    <row r="1739" ht="32" customHeight="1">
      <c r="A1739" s="18" t="inlineStr">
        <is>
          <t>0510_liepard.json::liepard-6::006</t>
        </is>
      </c>
      <c r="B1739" s="19" t="inlineStr">
        <is>
          <t>사용</t>
        </is>
      </c>
      <c r="C1739" s="18">
        <f>IF(OR(B1739&lt;&gt;AK1739,M1739&lt;&gt;L1739,O1739&lt;&gt;"",Q1739&lt;&gt;"",V1739&lt;&gt;1,Y1739&lt;&gt;"",AT1739&lt;&gt;""),"수정","원본")</f>
        <v/>
      </c>
      <c r="D1739" s="18" t="n">
        <v>510</v>
      </c>
      <c r="E1739" s="18" t="inlineStr">
        <is>
          <t>레파르다스</t>
        </is>
      </c>
      <c r="F1739" s="18" t="inlineStr">
        <is>
          <t>liepard</t>
        </is>
      </c>
      <c r="G1739" s="18" t="inlineStr">
        <is>
          <t>liepard</t>
        </is>
      </c>
      <c r="H1739" s="18" t="inlineStr"/>
      <c r="I1739" s="18" t="n">
        <v>5</v>
      </c>
      <c r="J1739" s="18" t="n"/>
      <c r="K1739" s="18" t="n">
        <v>5</v>
      </c>
      <c r="L1739" s="18" t="inlineStr">
        <is>
          <t>cobbleventure:generation_5</t>
        </is>
      </c>
      <c r="M1739" s="19" t="inlineStr">
        <is>
          <t>cobbleventure:generation_5</t>
        </is>
      </c>
      <c r="N1739" s="18" t="inlineStr"/>
      <c r="O1739" s="19" t="inlineStr"/>
      <c r="P1739" s="18" t="inlineStr">
        <is>
          <t>#cobblemon:is_savanna</t>
        </is>
      </c>
      <c r="Q1739" s="19" t="inlineStr"/>
      <c r="R1739" s="18">
        <f>IF(Q1739="",P1739,Q1739)</f>
        <v/>
      </c>
      <c r="S1739" s="18" t="inlineStr"/>
      <c r="T1739" s="18" t="inlineStr">
        <is>
          <t>common</t>
        </is>
      </c>
      <c r="U1739" s="20" t="n">
        <v>1</v>
      </c>
      <c r="V1739" s="21" t="n">
        <v>1</v>
      </c>
      <c r="W1739" s="20">
        <f>IF(OR(U1739="",V1739=""),U1739,U1739*V1739)</f>
        <v/>
      </c>
      <c r="X1739" s="18" t="inlineStr">
        <is>
          <t>20-45</t>
        </is>
      </c>
      <c r="Y1739" s="19" t="inlineStr"/>
      <c r="Z1739" s="18">
        <f>IF(Y1739="",X1739,Y1739)</f>
        <v/>
      </c>
      <c r="AA1739" s="18" t="inlineStr">
        <is>
          <t>grounded</t>
        </is>
      </c>
      <c r="AB1739" s="18" t="inlineStr"/>
      <c r="AC1739" s="18" t="inlineStr"/>
      <c r="AD1739" s="18" t="inlineStr"/>
      <c r="AE1739" s="18" t="inlineStr">
        <is>
          <t>sky 8-15</t>
        </is>
      </c>
      <c r="AF1739" s="18" t="inlineStr"/>
      <c r="AG1739" s="18" t="inlineStr">
        <is>
          <t>#minecraft:village</t>
        </is>
      </c>
      <c r="AH1739" s="18" t="inlineStr"/>
      <c r="AI1739" s="18" t="inlineStr"/>
      <c r="AJ1739" s="18" t="inlineStr">
        <is>
          <t>Cobblemon 동일</t>
        </is>
      </c>
      <c r="AK1739" s="18" t="inlineStr">
        <is>
          <t>사용</t>
        </is>
      </c>
      <c r="AL1739" s="18" t="inlineStr">
        <is>
          <t>COBBLEVERSE 1.7.42 / DP v31</t>
        </is>
      </c>
      <c r="AM1739" s="18" t="inlineStr">
        <is>
          <t>data/cobblemon/spawn_pool_world/0510_liepard.json</t>
        </is>
      </c>
      <c r="AN1739" s="18" t="inlineStr">
        <is>
          <t>liepard-6</t>
        </is>
      </c>
      <c r="AO1739" s="18" t="inlineStr">
        <is>
          <t>pokemon</t>
        </is>
      </c>
      <c r="AP1739" s="18" t="inlineStr">
        <is>
          <t>natural</t>
        </is>
      </c>
      <c r="AQ1739" s="18" t="inlineStr">
        <is>
          <t>{"biomes":["#cobblemon:is_savanna"],"maxSkyLight":15,"minSkyLight":8,"structures":["#minecraft:village"]}</t>
        </is>
      </c>
      <c r="AR1739" s="18" t="inlineStr"/>
      <c r="AS1739" s="18" t="inlineStr">
        <is>
          <t>{"weightMultiplier":{"condition":{"timeRange":"night"},"multiplier":1.5}}</t>
        </is>
      </c>
      <c r="AT1739" s="19" t="inlineStr"/>
    </row>
    <row r="1740" ht="32" customHeight="1">
      <c r="A1740" s="18" t="inlineStr">
        <is>
          <t>0510_liepard.json::liepard-7::007</t>
        </is>
      </c>
      <c r="B1740" s="19" t="inlineStr">
        <is>
          <t>사용</t>
        </is>
      </c>
      <c r="C1740" s="18">
        <f>IF(OR(B1740&lt;&gt;AK1740,M1740&lt;&gt;L1740,O1740&lt;&gt;"",Q1740&lt;&gt;"",V1740&lt;&gt;1,Y1740&lt;&gt;"",AT1740&lt;&gt;""),"수정","원본")</f>
        <v/>
      </c>
      <c r="D1740" s="18" t="n">
        <v>510</v>
      </c>
      <c r="E1740" s="18" t="inlineStr">
        <is>
          <t>레파르다스</t>
        </is>
      </c>
      <c r="F1740" s="18" t="inlineStr">
        <is>
          <t>liepard</t>
        </is>
      </c>
      <c r="G1740" s="18" t="inlineStr">
        <is>
          <t>liepard</t>
        </is>
      </c>
      <c r="H1740" s="18" t="inlineStr"/>
      <c r="I1740" s="18" t="n">
        <v>5</v>
      </c>
      <c r="J1740" s="18" t="n"/>
      <c r="K1740" s="18" t="n">
        <v>5</v>
      </c>
      <c r="L1740" s="18" t="inlineStr">
        <is>
          <t>cobbleventure:generation_5</t>
        </is>
      </c>
      <c r="M1740" s="19" t="inlineStr">
        <is>
          <t>cobbleventure:generation_5</t>
        </is>
      </c>
      <c r="N1740" s="18" t="inlineStr">
        <is>
          <t>region_01; region_02</t>
        </is>
      </c>
      <c r="O1740" s="19" t="inlineStr"/>
      <c r="P1740" s="18" t="inlineStr">
        <is>
          <t>#cobblemon:is_overworld</t>
        </is>
      </c>
      <c r="Q1740" s="19" t="inlineStr"/>
      <c r="R1740" s="18">
        <f>IF(Q1740="",P1740,Q1740)</f>
        <v/>
      </c>
      <c r="S1740" s="18" t="inlineStr"/>
      <c r="T1740" s="18" t="inlineStr">
        <is>
          <t>common</t>
        </is>
      </c>
      <c r="U1740" s="20" t="n">
        <v>0.6</v>
      </c>
      <c r="V1740" s="21" t="n">
        <v>1</v>
      </c>
      <c r="W1740" s="20">
        <f>IF(OR(U1740="",V1740=""),U1740,U1740*V1740)</f>
        <v/>
      </c>
      <c r="X1740" s="18" t="inlineStr">
        <is>
          <t>20-45</t>
        </is>
      </c>
      <c r="Y1740" s="19" t="inlineStr"/>
      <c r="Z1740" s="18">
        <f>IF(Y1740="",X1740,Y1740)</f>
        <v/>
      </c>
      <c r="AA1740" s="18" t="inlineStr">
        <is>
          <t>grounded</t>
        </is>
      </c>
      <c r="AB1740" s="18" t="inlineStr"/>
      <c r="AC1740" s="18" t="inlineStr"/>
      <c r="AD1740" s="18" t="inlineStr"/>
      <c r="AE1740" s="18" t="inlineStr"/>
      <c r="AF1740" s="18" t="inlineStr">
        <is>
          <t>False</t>
        </is>
      </c>
      <c r="AG1740" s="18" t="inlineStr"/>
      <c r="AH1740" s="18" t="inlineStr"/>
      <c r="AI1740" s="18" t="inlineStr"/>
      <c r="AJ1740" s="18" t="inlineStr">
        <is>
          <t>Cobblemon 동일</t>
        </is>
      </c>
      <c r="AK1740" s="18" t="inlineStr">
        <is>
          <t>사용</t>
        </is>
      </c>
      <c r="AL1740" s="18" t="inlineStr">
        <is>
          <t>COBBLEVERSE 1.7.42 / DP v31</t>
        </is>
      </c>
      <c r="AM1740" s="18" t="inlineStr">
        <is>
          <t>data/cobblemon/spawn_pool_world/0510_liepard.json</t>
        </is>
      </c>
      <c r="AN1740" s="18" t="inlineStr">
        <is>
          <t>liepard-7</t>
        </is>
      </c>
      <c r="AO1740" s="18" t="inlineStr">
        <is>
          <t>pokemon</t>
        </is>
      </c>
      <c r="AP1740" s="18" t="inlineStr">
        <is>
          <t>mansion</t>
        </is>
      </c>
      <c r="AQ1740" s="18" t="inlineStr">
        <is>
          <t>{"biomes":["#cobblemon:is_overworld"],"canSeeSky":false}</t>
        </is>
      </c>
      <c r="AR1740" s="18" t="inlineStr"/>
      <c r="AS1740" s="18" t="inlineStr"/>
      <c r="AT1740" s="19" t="inlineStr"/>
    </row>
    <row r="1741" ht="32" customHeight="1">
      <c r="A1741" s="18" t="inlineStr">
        <is>
          <t>0510_liepard.json::liepard-8::008</t>
        </is>
      </c>
      <c r="B1741" s="19" t="inlineStr">
        <is>
          <t>사용</t>
        </is>
      </c>
      <c r="C1741" s="18">
        <f>IF(OR(B1741&lt;&gt;AK1741,M1741&lt;&gt;L1741,O1741&lt;&gt;"",Q1741&lt;&gt;"",V1741&lt;&gt;1,Y1741&lt;&gt;"",AT1741&lt;&gt;""),"수정","원본")</f>
        <v/>
      </c>
      <c r="D1741" s="18" t="n">
        <v>510</v>
      </c>
      <c r="E1741" s="18" t="inlineStr">
        <is>
          <t>레파르다스</t>
        </is>
      </c>
      <c r="F1741" s="18" t="inlineStr">
        <is>
          <t>liepard</t>
        </is>
      </c>
      <c r="G1741" s="18" t="inlineStr">
        <is>
          <t>liepard</t>
        </is>
      </c>
      <c r="H1741" s="18" t="inlineStr"/>
      <c r="I1741" s="18" t="n">
        <v>5</v>
      </c>
      <c r="J1741" s="18" t="n"/>
      <c r="K1741" s="18" t="n">
        <v>5</v>
      </c>
      <c r="L1741" s="18" t="inlineStr">
        <is>
          <t>cobbleventure:generation_5</t>
        </is>
      </c>
      <c r="M1741" s="19" t="inlineStr">
        <is>
          <t>cobbleventure:generation_5</t>
        </is>
      </c>
      <c r="N1741" s="18" t="inlineStr">
        <is>
          <t>region_01; region_02</t>
        </is>
      </c>
      <c r="O1741" s="19" t="inlineStr"/>
      <c r="P1741" s="18" t="inlineStr">
        <is>
          <t>#cobblemon:is_overworld</t>
        </is>
      </c>
      <c r="Q1741" s="19" t="inlineStr"/>
      <c r="R1741" s="18">
        <f>IF(Q1741="",P1741,Q1741)</f>
        <v/>
      </c>
      <c r="S1741" s="18" t="inlineStr"/>
      <c r="T1741" s="18" t="inlineStr">
        <is>
          <t>common</t>
        </is>
      </c>
      <c r="U1741" s="20" t="n">
        <v>6</v>
      </c>
      <c r="V1741" s="21" t="n">
        <v>1</v>
      </c>
      <c r="W1741" s="20">
        <f>IF(OR(U1741="",V1741=""),U1741,U1741*V1741)</f>
        <v/>
      </c>
      <c r="X1741" s="18" t="inlineStr">
        <is>
          <t>20-45</t>
        </is>
      </c>
      <c r="Y1741" s="19" t="inlineStr"/>
      <c r="Z1741" s="18">
        <f>IF(Y1741="",X1741,Y1741)</f>
        <v/>
      </c>
      <c r="AA1741" s="18" t="inlineStr">
        <is>
          <t>grounded</t>
        </is>
      </c>
      <c r="AB1741" s="18" t="inlineStr"/>
      <c r="AC1741" s="18" t="inlineStr">
        <is>
          <t>비=False</t>
        </is>
      </c>
      <c r="AD1741" s="18" t="inlineStr"/>
      <c r="AE1741" s="18" t="inlineStr">
        <is>
          <t>sky 8-15</t>
        </is>
      </c>
      <c r="AF1741" s="18" t="inlineStr"/>
      <c r="AG1741" s="18" t="inlineStr">
        <is>
          <t>minecraft:swamp_hut</t>
        </is>
      </c>
      <c r="AH1741" s="18" t="inlineStr"/>
      <c r="AI1741" s="18" t="inlineStr"/>
      <c r="AJ1741" s="18" t="inlineStr">
        <is>
          <t>Cobblemon 동일</t>
        </is>
      </c>
      <c r="AK1741" s="18" t="inlineStr">
        <is>
          <t>사용</t>
        </is>
      </c>
      <c r="AL1741" s="18" t="inlineStr">
        <is>
          <t>COBBLEVERSE 1.7.42 / DP v31</t>
        </is>
      </c>
      <c r="AM1741" s="18" t="inlineStr">
        <is>
          <t>data/cobblemon/spawn_pool_world/0510_liepard.json</t>
        </is>
      </c>
      <c r="AN1741" s="18" t="inlineStr">
        <is>
          <t>liepard-8</t>
        </is>
      </c>
      <c r="AO1741" s="18" t="inlineStr">
        <is>
          <t>pokemon</t>
        </is>
      </c>
      <c r="AP1741" s="18" t="inlineStr">
        <is>
          <t>natural</t>
        </is>
      </c>
      <c r="AQ1741" s="18" t="inlineStr">
        <is>
          <t>{"biomes":["#cobblemon:is_overworld"],"isRaining":false,"maxSkyLight":15,"minSkyLight":8,"structures":["minecraft:swamp_hut"]}</t>
        </is>
      </c>
      <c r="AR1741" s="18" t="inlineStr"/>
      <c r="AS1741" s="18" t="inlineStr">
        <is>
          <t>{"weightMultiplier":{"condition":{"timeRange":"night"},"multiplier":1.5}}</t>
        </is>
      </c>
      <c r="AT1741" s="19" t="inlineStr"/>
    </row>
    <row r="1742" ht="32" customHeight="1">
      <c r="A1742" s="18" t="inlineStr">
        <is>
          <t>0511_pansage.json::pansage-1::001</t>
        </is>
      </c>
      <c r="B1742" s="19" t="inlineStr">
        <is>
          <t>사용</t>
        </is>
      </c>
      <c r="C1742" s="18">
        <f>IF(OR(B1742&lt;&gt;AK1742,M1742&lt;&gt;L1742,O1742&lt;&gt;"",Q1742&lt;&gt;"",V1742&lt;&gt;1,Y1742&lt;&gt;"",AT1742&lt;&gt;""),"수정","원본")</f>
        <v/>
      </c>
      <c r="D1742" s="18" t="n">
        <v>511</v>
      </c>
      <c r="E1742" s="18" t="inlineStr">
        <is>
          <t>야나프</t>
        </is>
      </c>
      <c r="F1742" s="18" t="inlineStr">
        <is>
          <t>pansage</t>
        </is>
      </c>
      <c r="G1742" s="18" t="inlineStr">
        <is>
          <t>pansage</t>
        </is>
      </c>
      <c r="H1742" s="18" t="inlineStr"/>
      <c r="I1742" s="18" t="n">
        <v>5</v>
      </c>
      <c r="J1742" s="18" t="n"/>
      <c r="K1742" s="18" t="n">
        <v>5</v>
      </c>
      <c r="L1742" s="18" t="inlineStr">
        <is>
          <t>cobbleventure:generation_5</t>
        </is>
      </c>
      <c r="M1742" s="19" t="inlineStr">
        <is>
          <t>cobbleventure:generation_5</t>
        </is>
      </c>
      <c r="N1742" s="18" t="inlineStr"/>
      <c r="O1742" s="19" t="inlineStr"/>
      <c r="P1742" s="18" t="inlineStr">
        <is>
          <t>#cobblemon:is_jungle; #cobblemon:is_tropical_island</t>
        </is>
      </c>
      <c r="Q1742" s="19" t="inlineStr"/>
      <c r="R1742" s="18">
        <f>IF(Q1742="",P1742,Q1742)</f>
        <v/>
      </c>
      <c r="S1742" s="18" t="inlineStr"/>
      <c r="T1742" s="18" t="inlineStr">
        <is>
          <t>uncommon</t>
        </is>
      </c>
      <c r="U1742" s="20" t="n">
        <v>8.4</v>
      </c>
      <c r="V1742" s="21" t="n">
        <v>1</v>
      </c>
      <c r="W1742" s="20">
        <f>IF(OR(U1742="",V1742=""),U1742,U1742*V1742)</f>
        <v/>
      </c>
      <c r="X1742" s="18" t="inlineStr">
        <is>
          <t>7-32</t>
        </is>
      </c>
      <c r="Y1742" s="19" t="inlineStr"/>
      <c r="Z1742" s="18">
        <f>IF(Y1742="",X1742,Y1742)</f>
        <v/>
      </c>
      <c r="AA1742" s="18" t="inlineStr">
        <is>
          <t>grounded</t>
        </is>
      </c>
      <c r="AB1742" s="18" t="inlineStr"/>
      <c r="AC1742" s="18" t="inlineStr"/>
      <c r="AD1742" s="18" t="inlineStr"/>
      <c r="AE1742" s="18" t="inlineStr">
        <is>
          <t>sky 8-15</t>
        </is>
      </c>
      <c r="AF1742" s="18" t="inlineStr"/>
      <c r="AG1742" s="18" t="inlineStr"/>
      <c r="AH1742" s="18" t="inlineStr"/>
      <c r="AI1742" s="18" t="inlineStr"/>
      <c r="AJ1742" s="18" t="inlineStr">
        <is>
          <t>Cobblemon 동일</t>
        </is>
      </c>
      <c r="AK1742" s="18" t="inlineStr">
        <is>
          <t>사용</t>
        </is>
      </c>
      <c r="AL1742" s="18" t="inlineStr">
        <is>
          <t>COBBLEVERSE 1.7.42 / DP v31</t>
        </is>
      </c>
      <c r="AM1742" s="18" t="inlineStr">
        <is>
          <t>data/cobblemon/spawn_pool_world/0511_pansage.json</t>
        </is>
      </c>
      <c r="AN1742" s="18" t="inlineStr">
        <is>
          <t>pansage-1</t>
        </is>
      </c>
      <c r="AO1742" s="18" t="inlineStr">
        <is>
          <t>pokemon</t>
        </is>
      </c>
      <c r="AP1742" s="18" t="inlineStr">
        <is>
          <t>natural; treetop; wild</t>
        </is>
      </c>
      <c r="AQ1742" s="18" t="inlineStr">
        <is>
          <t>{"biomes":["#cobblemon:is_jungle","#cobblemon:is_tropical_island"],"maxSkyLight":15,"minSkyLight":8}</t>
        </is>
      </c>
      <c r="AR1742" s="18" t="inlineStr"/>
      <c r="AS1742" s="18" t="inlineStr">
        <is>
          <t>{"weightMultiplier":{"condition":{"timeRange":"night"},"multiplier":0.25}}</t>
        </is>
      </c>
      <c r="AT1742" s="19" t="inlineStr"/>
    </row>
    <row r="1743" ht="32" customHeight="1">
      <c r="A1743" s="18" t="inlineStr">
        <is>
          <t>0511_pansage.json::pansage-2::002</t>
        </is>
      </c>
      <c r="B1743" s="19" t="inlineStr">
        <is>
          <t>사용</t>
        </is>
      </c>
      <c r="C1743" s="18">
        <f>IF(OR(B1743&lt;&gt;AK1743,M1743&lt;&gt;L1743,O1743&lt;&gt;"",Q1743&lt;&gt;"",V1743&lt;&gt;1,Y1743&lt;&gt;"",AT1743&lt;&gt;""),"수정","원본")</f>
        <v/>
      </c>
      <c r="D1743" s="18" t="n">
        <v>511</v>
      </c>
      <c r="E1743" s="18" t="inlineStr">
        <is>
          <t>야나프</t>
        </is>
      </c>
      <c r="F1743" s="18" t="inlineStr">
        <is>
          <t>pansage</t>
        </is>
      </c>
      <c r="G1743" s="18" t="inlineStr">
        <is>
          <t>pansage</t>
        </is>
      </c>
      <c r="H1743" s="18" t="inlineStr"/>
      <c r="I1743" s="18" t="n">
        <v>5</v>
      </c>
      <c r="J1743" s="18" t="n"/>
      <c r="K1743" s="18" t="n">
        <v>5</v>
      </c>
      <c r="L1743" s="18" t="inlineStr">
        <is>
          <t>cobbleventure:generation_5</t>
        </is>
      </c>
      <c r="M1743" s="19" t="inlineStr">
        <is>
          <t>cobbleventure:generation_5</t>
        </is>
      </c>
      <c r="N1743" s="18" t="inlineStr">
        <is>
          <t>region_01</t>
        </is>
      </c>
      <c r="O1743" s="19" t="inlineStr"/>
      <c r="P1743" s="18" t="inlineStr">
        <is>
          <t>#cobblemon:is_forest</t>
        </is>
      </c>
      <c r="Q1743" s="19" t="inlineStr"/>
      <c r="R1743" s="18">
        <f>IF(Q1743="",P1743,Q1743)</f>
        <v/>
      </c>
      <c r="S1743" s="18" t="inlineStr"/>
      <c r="T1743" s="18" t="inlineStr">
        <is>
          <t>uncommon</t>
        </is>
      </c>
      <c r="U1743" s="20" t="n">
        <v>1.68</v>
      </c>
      <c r="V1743" s="21" t="n">
        <v>1</v>
      </c>
      <c r="W1743" s="20">
        <f>IF(OR(U1743="",V1743=""),U1743,U1743*V1743)</f>
        <v/>
      </c>
      <c r="X1743" s="18" t="inlineStr">
        <is>
          <t>7-32</t>
        </is>
      </c>
      <c r="Y1743" s="19" t="inlineStr"/>
      <c r="Z1743" s="18">
        <f>IF(Y1743="",X1743,Y1743)</f>
        <v/>
      </c>
      <c r="AA1743" s="18" t="inlineStr">
        <is>
          <t>grounded</t>
        </is>
      </c>
      <c r="AB1743" s="18" t="inlineStr"/>
      <c r="AC1743" s="18" t="inlineStr"/>
      <c r="AD1743" s="18" t="inlineStr"/>
      <c r="AE1743" s="18" t="inlineStr">
        <is>
          <t>sky 8-15</t>
        </is>
      </c>
      <c r="AF1743" s="18" t="inlineStr"/>
      <c r="AG1743" s="18" t="inlineStr"/>
      <c r="AH1743" s="18" t="inlineStr"/>
      <c r="AI1743" s="18" t="inlineStr"/>
      <c r="AJ1743" s="18" t="inlineStr">
        <is>
          <t>Cobblemon 동일</t>
        </is>
      </c>
      <c r="AK1743" s="18" t="inlineStr">
        <is>
          <t>사용</t>
        </is>
      </c>
      <c r="AL1743" s="18" t="inlineStr">
        <is>
          <t>COBBLEVERSE 1.7.42 / DP v31</t>
        </is>
      </c>
      <c r="AM1743" s="18" t="inlineStr">
        <is>
          <t>data/cobblemon/spawn_pool_world/0511_pansage.json</t>
        </is>
      </c>
      <c r="AN1743" s="18" t="inlineStr">
        <is>
          <t>pansage-2</t>
        </is>
      </c>
      <c r="AO1743" s="18" t="inlineStr">
        <is>
          <t>pokemon</t>
        </is>
      </c>
      <c r="AP1743" s="18" t="inlineStr">
        <is>
          <t>natural; treetop; wild</t>
        </is>
      </c>
      <c r="AQ1743" s="18" t="inlineStr">
        <is>
          <t>{"biomes":["#cobblemon:is_forest"],"maxSkyLight":15,"minSkyLight":8}</t>
        </is>
      </c>
      <c r="AR1743" s="18" t="inlineStr"/>
      <c r="AS1743" s="18" t="inlineStr">
        <is>
          <t>{"weightMultiplier":{"condition":{"timeRange":"night"},"multiplier":0.25}}</t>
        </is>
      </c>
      <c r="AT1743" s="19" t="inlineStr"/>
    </row>
    <row r="1744" ht="32" customHeight="1">
      <c r="A1744" s="18" t="inlineStr">
        <is>
          <t>0511_pansage.json::pansage-3::003</t>
        </is>
      </c>
      <c r="B1744" s="19" t="inlineStr">
        <is>
          <t>사용</t>
        </is>
      </c>
      <c r="C1744" s="18">
        <f>IF(OR(B1744&lt;&gt;AK1744,M1744&lt;&gt;L1744,O1744&lt;&gt;"",Q1744&lt;&gt;"",V1744&lt;&gt;1,Y1744&lt;&gt;"",AT1744&lt;&gt;""),"수정","원본")</f>
        <v/>
      </c>
      <c r="D1744" s="18" t="n">
        <v>511</v>
      </c>
      <c r="E1744" s="18" t="inlineStr">
        <is>
          <t>야나프</t>
        </is>
      </c>
      <c r="F1744" s="18" t="inlineStr">
        <is>
          <t>pansage</t>
        </is>
      </c>
      <c r="G1744" s="18" t="inlineStr">
        <is>
          <t>pansage</t>
        </is>
      </c>
      <c r="H1744" s="18" t="inlineStr"/>
      <c r="I1744" s="18" t="n">
        <v>5</v>
      </c>
      <c r="J1744" s="18" t="n"/>
      <c r="K1744" s="18" t="n">
        <v>5</v>
      </c>
      <c r="L1744" s="18" t="inlineStr">
        <is>
          <t>cobbleventure:generation_5</t>
        </is>
      </c>
      <c r="M1744" s="19" t="inlineStr">
        <is>
          <t>cobbleventure:generation_5</t>
        </is>
      </c>
      <c r="N1744" s="18" t="inlineStr"/>
      <c r="O1744" s="19" t="inlineStr"/>
      <c r="P1744" s="18" t="inlineStr">
        <is>
          <t>aether:skyroot_forest; aether:skyroot_woodland</t>
        </is>
      </c>
      <c r="Q1744" s="19" t="inlineStr"/>
      <c r="R1744" s="18">
        <f>IF(Q1744="",P1744,Q1744)</f>
        <v/>
      </c>
      <c r="S1744" s="18" t="inlineStr"/>
      <c r="T1744" s="18" t="inlineStr">
        <is>
          <t>uncommon</t>
        </is>
      </c>
      <c r="U1744" s="20" t="n">
        <v>1.68</v>
      </c>
      <c r="V1744" s="21" t="n">
        <v>1</v>
      </c>
      <c r="W1744" s="20">
        <f>IF(OR(U1744="",V1744=""),U1744,U1744*V1744)</f>
        <v/>
      </c>
      <c r="X1744" s="18" t="inlineStr">
        <is>
          <t>7-32</t>
        </is>
      </c>
      <c r="Y1744" s="19" t="inlineStr"/>
      <c r="Z1744" s="18">
        <f>IF(Y1744="",X1744,Y1744)</f>
        <v/>
      </c>
      <c r="AA1744" s="18" t="inlineStr">
        <is>
          <t>grounded</t>
        </is>
      </c>
      <c r="AB1744" s="18" t="inlineStr"/>
      <c r="AC1744" s="18" t="inlineStr"/>
      <c r="AD1744" s="18" t="inlineStr"/>
      <c r="AE1744" s="18" t="inlineStr">
        <is>
          <t>sky 8-15</t>
        </is>
      </c>
      <c r="AF1744" s="18" t="inlineStr"/>
      <c r="AG1744" s="18" t="inlineStr"/>
      <c r="AH1744" s="18" t="inlineStr"/>
      <c r="AI1744" s="18" t="inlineStr"/>
      <c r="AJ1744" s="18" t="inlineStr">
        <is>
          <t>Cobblemon 동일</t>
        </is>
      </c>
      <c r="AK1744" s="18" t="inlineStr">
        <is>
          <t>사용</t>
        </is>
      </c>
      <c r="AL1744" s="18" t="inlineStr">
        <is>
          <t>COBBLEVERSE 1.7.42 / DP v31</t>
        </is>
      </c>
      <c r="AM1744" s="18" t="inlineStr">
        <is>
          <t>data/cobblemon/spawn_pool_world/0511_pansage.json</t>
        </is>
      </c>
      <c r="AN1744" s="18" t="inlineStr">
        <is>
          <t>pansage-3</t>
        </is>
      </c>
      <c r="AO1744" s="18" t="inlineStr">
        <is>
          <t>pokemon</t>
        </is>
      </c>
      <c r="AP1744" s="18" t="inlineStr">
        <is>
          <t>natural; treetop</t>
        </is>
      </c>
      <c r="AQ1744" s="18" t="inlineStr">
        <is>
          <t>{"biomes":["aether:skyroot_forest","aether:skyroot_woodland"],"maxSkyLight":15,"minSkyLight":8}</t>
        </is>
      </c>
      <c r="AR1744" s="18" t="inlineStr"/>
      <c r="AS1744" s="18" t="inlineStr"/>
      <c r="AT1744" s="19" t="inlineStr"/>
    </row>
    <row r="1745" ht="32" customHeight="1">
      <c r="A1745" s="18" t="inlineStr">
        <is>
          <t>0512_simisage.json::simisage-1::001</t>
        </is>
      </c>
      <c r="B1745" s="19" t="inlineStr">
        <is>
          <t>사용</t>
        </is>
      </c>
      <c r="C1745" s="18">
        <f>IF(OR(B1745&lt;&gt;AK1745,M1745&lt;&gt;L1745,O1745&lt;&gt;"",Q1745&lt;&gt;"",V1745&lt;&gt;1,Y1745&lt;&gt;"",AT1745&lt;&gt;""),"수정","원본")</f>
        <v/>
      </c>
      <c r="D1745" s="18" t="n">
        <v>512</v>
      </c>
      <c r="E1745" s="18" t="inlineStr">
        <is>
          <t>야나키</t>
        </is>
      </c>
      <c r="F1745" s="18" t="inlineStr">
        <is>
          <t>simisage</t>
        </is>
      </c>
      <c r="G1745" s="18" t="inlineStr">
        <is>
          <t>simisage</t>
        </is>
      </c>
      <c r="H1745" s="18" t="inlineStr"/>
      <c r="I1745" s="18" t="n">
        <v>5</v>
      </c>
      <c r="J1745" s="18" t="n"/>
      <c r="K1745" s="18" t="n">
        <v>5</v>
      </c>
      <c r="L1745" s="18" t="inlineStr">
        <is>
          <t>cobbleventure:generation_5</t>
        </is>
      </c>
      <c r="M1745" s="19" t="inlineStr">
        <is>
          <t>cobbleventure:generation_5</t>
        </is>
      </c>
      <c r="N1745" s="18" t="inlineStr"/>
      <c r="O1745" s="19" t="inlineStr"/>
      <c r="P1745" s="18" t="inlineStr">
        <is>
          <t>#cobblemon:is_jungle; #cobblemon:is_tropical_island</t>
        </is>
      </c>
      <c r="Q1745" s="19" t="inlineStr"/>
      <c r="R1745" s="18">
        <f>IF(Q1745="",P1745,Q1745)</f>
        <v/>
      </c>
      <c r="S1745" s="18" t="inlineStr"/>
      <c r="T1745" s="18" t="inlineStr">
        <is>
          <t>uncommon</t>
        </is>
      </c>
      <c r="U1745" s="20" t="n">
        <v>1.6</v>
      </c>
      <c r="V1745" s="21" t="n">
        <v>1</v>
      </c>
      <c r="W1745" s="20">
        <f>IF(OR(U1745="",V1745=""),U1745,U1745*V1745)</f>
        <v/>
      </c>
      <c r="X1745" s="18" t="inlineStr">
        <is>
          <t>27-50</t>
        </is>
      </c>
      <c r="Y1745" s="19" t="inlineStr"/>
      <c r="Z1745" s="18">
        <f>IF(Y1745="",X1745,Y1745)</f>
        <v/>
      </c>
      <c r="AA1745" s="18" t="inlineStr">
        <is>
          <t>grounded</t>
        </is>
      </c>
      <c r="AB1745" s="18" t="inlineStr"/>
      <c r="AC1745" s="18" t="inlineStr"/>
      <c r="AD1745" s="18" t="inlineStr"/>
      <c r="AE1745" s="18" t="inlineStr">
        <is>
          <t>sky 8-15</t>
        </is>
      </c>
      <c r="AF1745" s="18" t="inlineStr"/>
      <c r="AG1745" s="18" t="inlineStr"/>
      <c r="AH1745" s="18" t="inlineStr"/>
      <c r="AI1745" s="18" t="inlineStr"/>
      <c r="AJ1745" s="18" t="inlineStr">
        <is>
          <t>Cobblemon 동일</t>
        </is>
      </c>
      <c r="AK1745" s="18" t="inlineStr">
        <is>
          <t>사용</t>
        </is>
      </c>
      <c r="AL1745" s="18" t="inlineStr">
        <is>
          <t>COBBLEVERSE 1.7.42 / DP v31</t>
        </is>
      </c>
      <c r="AM1745" s="18" t="inlineStr">
        <is>
          <t>data/cobblemon/spawn_pool_world/0512_simisage.json</t>
        </is>
      </c>
      <c r="AN1745" s="18" t="inlineStr">
        <is>
          <t>simisage-1</t>
        </is>
      </c>
      <c r="AO1745" s="18" t="inlineStr">
        <is>
          <t>pokemon</t>
        </is>
      </c>
      <c r="AP1745" s="18" t="inlineStr">
        <is>
          <t>natural; treetop; wild</t>
        </is>
      </c>
      <c r="AQ1745" s="18" t="inlineStr">
        <is>
          <t>{"biomes":["#cobblemon:is_jungle","#cobblemon:is_tropical_island"],"maxSkyLight":15,"minSkyLight":8}</t>
        </is>
      </c>
      <c r="AR1745" s="18" t="inlineStr"/>
      <c r="AS1745" s="18" t="inlineStr">
        <is>
          <t>{"weightMultiplier":{"condition":{"timeRange":"night"},"multiplier":0.25}}</t>
        </is>
      </c>
      <c r="AT1745" s="19" t="inlineStr"/>
    </row>
    <row r="1746" ht="32" customHeight="1">
      <c r="A1746" s="18" t="inlineStr">
        <is>
          <t>0512_simisage.json::simisage-2::002</t>
        </is>
      </c>
      <c r="B1746" s="19" t="inlineStr">
        <is>
          <t>사용</t>
        </is>
      </c>
      <c r="C1746" s="18">
        <f>IF(OR(B1746&lt;&gt;AK1746,M1746&lt;&gt;L1746,O1746&lt;&gt;"",Q1746&lt;&gt;"",V1746&lt;&gt;1,Y1746&lt;&gt;"",AT1746&lt;&gt;""),"수정","원본")</f>
        <v/>
      </c>
      <c r="D1746" s="18" t="n">
        <v>512</v>
      </c>
      <c r="E1746" s="18" t="inlineStr">
        <is>
          <t>야나키</t>
        </is>
      </c>
      <c r="F1746" s="18" t="inlineStr">
        <is>
          <t>simisage</t>
        </is>
      </c>
      <c r="G1746" s="18" t="inlineStr">
        <is>
          <t>simisage</t>
        </is>
      </c>
      <c r="H1746" s="18" t="inlineStr"/>
      <c r="I1746" s="18" t="n">
        <v>5</v>
      </c>
      <c r="J1746" s="18" t="n"/>
      <c r="K1746" s="18" t="n">
        <v>5</v>
      </c>
      <c r="L1746" s="18" t="inlineStr">
        <is>
          <t>cobbleventure:generation_5</t>
        </is>
      </c>
      <c r="M1746" s="19" t="inlineStr">
        <is>
          <t>cobbleventure:generation_5</t>
        </is>
      </c>
      <c r="N1746" s="18" t="inlineStr">
        <is>
          <t>region_01</t>
        </is>
      </c>
      <c r="O1746" s="19" t="inlineStr"/>
      <c r="P1746" s="18" t="inlineStr">
        <is>
          <t>#cobblemon:is_forest</t>
        </is>
      </c>
      <c r="Q1746" s="19" t="inlineStr"/>
      <c r="R1746" s="18">
        <f>IF(Q1746="",P1746,Q1746)</f>
        <v/>
      </c>
      <c r="S1746" s="18" t="inlineStr"/>
      <c r="T1746" s="18" t="inlineStr">
        <is>
          <t>uncommon</t>
        </is>
      </c>
      <c r="U1746" s="20" t="n">
        <v>0.32</v>
      </c>
      <c r="V1746" s="21" t="n">
        <v>1</v>
      </c>
      <c r="W1746" s="20">
        <f>IF(OR(U1746="",V1746=""),U1746,U1746*V1746)</f>
        <v/>
      </c>
      <c r="X1746" s="18" t="inlineStr">
        <is>
          <t>27-50</t>
        </is>
      </c>
      <c r="Y1746" s="19" t="inlineStr"/>
      <c r="Z1746" s="18">
        <f>IF(Y1746="",X1746,Y1746)</f>
        <v/>
      </c>
      <c r="AA1746" s="18" t="inlineStr">
        <is>
          <t>grounded</t>
        </is>
      </c>
      <c r="AB1746" s="18" t="inlineStr"/>
      <c r="AC1746" s="18" t="inlineStr"/>
      <c r="AD1746" s="18" t="inlineStr"/>
      <c r="AE1746" s="18" t="inlineStr">
        <is>
          <t>sky 8-15</t>
        </is>
      </c>
      <c r="AF1746" s="18" t="inlineStr"/>
      <c r="AG1746" s="18" t="inlineStr"/>
      <c r="AH1746" s="18" t="inlineStr"/>
      <c r="AI1746" s="18" t="inlineStr"/>
      <c r="AJ1746" s="18" t="inlineStr">
        <is>
          <t>Cobblemon 동일</t>
        </is>
      </c>
      <c r="AK1746" s="18" t="inlineStr">
        <is>
          <t>사용</t>
        </is>
      </c>
      <c r="AL1746" s="18" t="inlineStr">
        <is>
          <t>COBBLEVERSE 1.7.42 / DP v31</t>
        </is>
      </c>
      <c r="AM1746" s="18" t="inlineStr">
        <is>
          <t>data/cobblemon/spawn_pool_world/0512_simisage.json</t>
        </is>
      </c>
      <c r="AN1746" s="18" t="inlineStr">
        <is>
          <t>simisage-2</t>
        </is>
      </c>
      <c r="AO1746" s="18" t="inlineStr">
        <is>
          <t>pokemon</t>
        </is>
      </c>
      <c r="AP1746" s="18" t="inlineStr">
        <is>
          <t>natural; treetop; wild</t>
        </is>
      </c>
      <c r="AQ1746" s="18" t="inlineStr">
        <is>
          <t>{"biomes":["#cobblemon:is_forest"],"maxSkyLight":15,"minSkyLight":8}</t>
        </is>
      </c>
      <c r="AR1746" s="18" t="inlineStr"/>
      <c r="AS1746" s="18" t="inlineStr">
        <is>
          <t>{"weightMultiplier":{"condition":{"timeRange":"night"},"multiplier":0.25}}</t>
        </is>
      </c>
      <c r="AT1746" s="19" t="inlineStr"/>
    </row>
    <row r="1747" ht="32" customHeight="1">
      <c r="A1747" s="18" t="inlineStr">
        <is>
          <t>0512_simisage.json::simisage-3::003</t>
        </is>
      </c>
      <c r="B1747" s="19" t="inlineStr">
        <is>
          <t>사용</t>
        </is>
      </c>
      <c r="C1747" s="18">
        <f>IF(OR(B1747&lt;&gt;AK1747,M1747&lt;&gt;L1747,O1747&lt;&gt;"",Q1747&lt;&gt;"",V1747&lt;&gt;1,Y1747&lt;&gt;"",AT1747&lt;&gt;""),"수정","원본")</f>
        <v/>
      </c>
      <c r="D1747" s="18" t="n">
        <v>512</v>
      </c>
      <c r="E1747" s="18" t="inlineStr">
        <is>
          <t>야나키</t>
        </is>
      </c>
      <c r="F1747" s="18" t="inlineStr">
        <is>
          <t>simisage</t>
        </is>
      </c>
      <c r="G1747" s="18" t="inlineStr">
        <is>
          <t>simisage</t>
        </is>
      </c>
      <c r="H1747" s="18" t="inlineStr"/>
      <c r="I1747" s="18" t="n">
        <v>5</v>
      </c>
      <c r="J1747" s="18" t="n"/>
      <c r="K1747" s="18" t="n">
        <v>5</v>
      </c>
      <c r="L1747" s="18" t="inlineStr">
        <is>
          <t>cobbleventure:generation_5</t>
        </is>
      </c>
      <c r="M1747" s="19" t="inlineStr">
        <is>
          <t>cobbleventure:generation_5</t>
        </is>
      </c>
      <c r="N1747" s="18" t="inlineStr"/>
      <c r="O1747" s="19" t="inlineStr"/>
      <c r="P1747" s="18" t="inlineStr">
        <is>
          <t>aether:skyroot_forest; aether:skyroot_woodland</t>
        </is>
      </c>
      <c r="Q1747" s="19" t="inlineStr"/>
      <c r="R1747" s="18">
        <f>IF(Q1747="",P1747,Q1747)</f>
        <v/>
      </c>
      <c r="S1747" s="18" t="inlineStr"/>
      <c r="T1747" s="18" t="inlineStr">
        <is>
          <t>uncommon</t>
        </is>
      </c>
      <c r="U1747" s="20" t="n">
        <v>0.32</v>
      </c>
      <c r="V1747" s="21" t="n">
        <v>1</v>
      </c>
      <c r="W1747" s="20">
        <f>IF(OR(U1747="",V1747=""),U1747,U1747*V1747)</f>
        <v/>
      </c>
      <c r="X1747" s="18" t="inlineStr">
        <is>
          <t>27-50</t>
        </is>
      </c>
      <c r="Y1747" s="19" t="inlineStr"/>
      <c r="Z1747" s="18">
        <f>IF(Y1747="",X1747,Y1747)</f>
        <v/>
      </c>
      <c r="AA1747" s="18" t="inlineStr">
        <is>
          <t>grounded</t>
        </is>
      </c>
      <c r="AB1747" s="18" t="inlineStr"/>
      <c r="AC1747" s="18" t="inlineStr"/>
      <c r="AD1747" s="18" t="inlineStr"/>
      <c r="AE1747" s="18" t="inlineStr">
        <is>
          <t>sky 8-15</t>
        </is>
      </c>
      <c r="AF1747" s="18" t="inlineStr"/>
      <c r="AG1747" s="18" t="inlineStr"/>
      <c r="AH1747" s="18" t="inlineStr"/>
      <c r="AI1747" s="18" t="inlineStr"/>
      <c r="AJ1747" s="18" t="inlineStr">
        <is>
          <t>Cobblemon 동일</t>
        </is>
      </c>
      <c r="AK1747" s="18" t="inlineStr">
        <is>
          <t>사용</t>
        </is>
      </c>
      <c r="AL1747" s="18" t="inlineStr">
        <is>
          <t>COBBLEVERSE 1.7.42 / DP v31</t>
        </is>
      </c>
      <c r="AM1747" s="18" t="inlineStr">
        <is>
          <t>data/cobblemon/spawn_pool_world/0512_simisage.json</t>
        </is>
      </c>
      <c r="AN1747" s="18" t="inlineStr">
        <is>
          <t>simisage-3</t>
        </is>
      </c>
      <c r="AO1747" s="18" t="inlineStr">
        <is>
          <t>pokemon</t>
        </is>
      </c>
      <c r="AP1747" s="18" t="inlineStr">
        <is>
          <t>natural; treetop</t>
        </is>
      </c>
      <c r="AQ1747" s="18" t="inlineStr">
        <is>
          <t>{"biomes":["aether:skyroot_forest","aether:skyroot_woodland"],"maxSkyLight":15,"minSkyLight":8}</t>
        </is>
      </c>
      <c r="AR1747" s="18" t="inlineStr"/>
      <c r="AS1747" s="18" t="inlineStr"/>
      <c r="AT1747" s="19" t="inlineStr"/>
    </row>
    <row r="1748" ht="32" customHeight="1">
      <c r="A1748" s="18" t="inlineStr">
        <is>
          <t>0513_pansear.json::pansear-1::001</t>
        </is>
      </c>
      <c r="B1748" s="19" t="inlineStr">
        <is>
          <t>사용</t>
        </is>
      </c>
      <c r="C1748" s="18">
        <f>IF(OR(B1748&lt;&gt;AK1748,M1748&lt;&gt;L1748,O1748&lt;&gt;"",Q1748&lt;&gt;"",V1748&lt;&gt;1,Y1748&lt;&gt;"",AT1748&lt;&gt;""),"수정","원본")</f>
        <v/>
      </c>
      <c r="D1748" s="18" t="n">
        <v>513</v>
      </c>
      <c r="E1748" s="18" t="inlineStr">
        <is>
          <t>바오프</t>
        </is>
      </c>
      <c r="F1748" s="18" t="inlineStr">
        <is>
          <t>pansear</t>
        </is>
      </c>
      <c r="G1748" s="18" t="inlineStr">
        <is>
          <t>pansear</t>
        </is>
      </c>
      <c r="H1748" s="18" t="inlineStr"/>
      <c r="I1748" s="18" t="n">
        <v>5</v>
      </c>
      <c r="J1748" s="18" t="n"/>
      <c r="K1748" s="18" t="n">
        <v>5</v>
      </c>
      <c r="L1748" s="18" t="inlineStr">
        <is>
          <t>cobbleventure:generation_5</t>
        </is>
      </c>
      <c r="M1748" s="19" t="inlineStr">
        <is>
          <t>cobbleventure:generation_5</t>
        </is>
      </c>
      <c r="N1748" s="18" t="inlineStr"/>
      <c r="O1748" s="19" t="inlineStr"/>
      <c r="P1748" s="18" t="inlineStr">
        <is>
          <t>#cobblemon:is_jungle; #cobblemon:is_tropical_island</t>
        </is>
      </c>
      <c r="Q1748" s="19" t="inlineStr"/>
      <c r="R1748" s="18">
        <f>IF(Q1748="",P1748,Q1748)</f>
        <v/>
      </c>
      <c r="S1748" s="18" t="inlineStr"/>
      <c r="T1748" s="18" t="inlineStr">
        <is>
          <t>uncommon</t>
        </is>
      </c>
      <c r="U1748" s="20" t="n">
        <v>8.4</v>
      </c>
      <c r="V1748" s="21" t="n">
        <v>1</v>
      </c>
      <c r="W1748" s="20">
        <f>IF(OR(U1748="",V1748=""),U1748,U1748*V1748)</f>
        <v/>
      </c>
      <c r="X1748" s="18" t="inlineStr">
        <is>
          <t>7-32</t>
        </is>
      </c>
      <c r="Y1748" s="19" t="inlineStr"/>
      <c r="Z1748" s="18">
        <f>IF(Y1748="",X1748,Y1748)</f>
        <v/>
      </c>
      <c r="AA1748" s="18" t="inlineStr">
        <is>
          <t>grounded</t>
        </is>
      </c>
      <c r="AB1748" s="18" t="inlineStr"/>
      <c r="AC1748" s="18" t="inlineStr"/>
      <c r="AD1748" s="18" t="inlineStr"/>
      <c r="AE1748" s="18" t="inlineStr">
        <is>
          <t>sky 8-15</t>
        </is>
      </c>
      <c r="AF1748" s="18" t="inlineStr"/>
      <c r="AG1748" s="18" t="inlineStr"/>
      <c r="AH1748" s="18" t="inlineStr"/>
      <c r="AI1748" s="18" t="inlineStr"/>
      <c r="AJ1748" s="18" t="inlineStr">
        <is>
          <t>Cobblemon 동일</t>
        </is>
      </c>
      <c r="AK1748" s="18" t="inlineStr">
        <is>
          <t>사용</t>
        </is>
      </c>
      <c r="AL1748" s="18" t="inlineStr">
        <is>
          <t>COBBLEVERSE 1.7.42 / DP v31</t>
        </is>
      </c>
      <c r="AM1748" s="18" t="inlineStr">
        <is>
          <t>data/cobblemon/spawn_pool_world/0513_pansear.json</t>
        </is>
      </c>
      <c r="AN1748" s="18" t="inlineStr">
        <is>
          <t>pansear-1</t>
        </is>
      </c>
      <c r="AO1748" s="18" t="inlineStr">
        <is>
          <t>pokemon</t>
        </is>
      </c>
      <c r="AP1748" s="18" t="inlineStr">
        <is>
          <t>natural; treetop; wild</t>
        </is>
      </c>
      <c r="AQ1748" s="18" t="inlineStr">
        <is>
          <t>{"biomes":["#cobblemon:is_jungle","#cobblemon:is_tropical_island"],"maxSkyLight":15,"minSkyLight":8}</t>
        </is>
      </c>
      <c r="AR1748" s="18" t="inlineStr"/>
      <c r="AS1748" s="18" t="inlineStr">
        <is>
          <t>{"weightMultiplier":{"condition":{"timeRange":"night"},"multiplier":0.25}}</t>
        </is>
      </c>
      <c r="AT1748" s="19" t="inlineStr"/>
    </row>
    <row r="1749" ht="32" customHeight="1">
      <c r="A1749" s="18" t="inlineStr">
        <is>
          <t>0513_pansear.json::pansear-2::002</t>
        </is>
      </c>
      <c r="B1749" s="19" t="inlineStr">
        <is>
          <t>사용</t>
        </is>
      </c>
      <c r="C1749" s="18">
        <f>IF(OR(B1749&lt;&gt;AK1749,M1749&lt;&gt;L1749,O1749&lt;&gt;"",Q1749&lt;&gt;"",V1749&lt;&gt;1,Y1749&lt;&gt;"",AT1749&lt;&gt;""),"수정","원본")</f>
        <v/>
      </c>
      <c r="D1749" s="18" t="n">
        <v>513</v>
      </c>
      <c r="E1749" s="18" t="inlineStr">
        <is>
          <t>바오프</t>
        </is>
      </c>
      <c r="F1749" s="18" t="inlineStr">
        <is>
          <t>pansear</t>
        </is>
      </c>
      <c r="G1749" s="18" t="inlineStr">
        <is>
          <t>pansear</t>
        </is>
      </c>
      <c r="H1749" s="18" t="inlineStr"/>
      <c r="I1749" s="18" t="n">
        <v>5</v>
      </c>
      <c r="J1749" s="18" t="n"/>
      <c r="K1749" s="18" t="n">
        <v>5</v>
      </c>
      <c r="L1749" s="18" t="inlineStr">
        <is>
          <t>cobbleventure:generation_5</t>
        </is>
      </c>
      <c r="M1749" s="19" t="inlineStr">
        <is>
          <t>cobbleventure:generation_5</t>
        </is>
      </c>
      <c r="N1749" s="18" t="inlineStr"/>
      <c r="O1749" s="19" t="inlineStr"/>
      <c r="P1749" s="18" t="inlineStr">
        <is>
          <t>#cobblemon:is_volcanic</t>
        </is>
      </c>
      <c r="Q1749" s="19" t="inlineStr"/>
      <c r="R1749" s="18">
        <f>IF(Q1749="",P1749,Q1749)</f>
        <v/>
      </c>
      <c r="S1749" s="18" t="inlineStr"/>
      <c r="T1749" s="18" t="inlineStr">
        <is>
          <t>uncommon</t>
        </is>
      </c>
      <c r="U1749" s="20" t="n">
        <v>1.68</v>
      </c>
      <c r="V1749" s="21" t="n">
        <v>1</v>
      </c>
      <c r="W1749" s="20">
        <f>IF(OR(U1749="",V1749=""),U1749,U1749*V1749)</f>
        <v/>
      </c>
      <c r="X1749" s="18" t="inlineStr">
        <is>
          <t>7-32</t>
        </is>
      </c>
      <c r="Y1749" s="19" t="inlineStr"/>
      <c r="Z1749" s="18">
        <f>IF(Y1749="",X1749,Y1749)</f>
        <v/>
      </c>
      <c r="AA1749" s="18" t="inlineStr">
        <is>
          <t>grounded</t>
        </is>
      </c>
      <c r="AB1749" s="18" t="inlineStr"/>
      <c r="AC1749" s="18" t="inlineStr"/>
      <c r="AD1749" s="18" t="inlineStr"/>
      <c r="AE1749" s="18" t="inlineStr">
        <is>
          <t>sky 8-15</t>
        </is>
      </c>
      <c r="AF1749" s="18" t="inlineStr"/>
      <c r="AG1749" s="18" t="inlineStr"/>
      <c r="AH1749" s="18" t="inlineStr"/>
      <c r="AI1749" s="18" t="inlineStr"/>
      <c r="AJ1749" s="18" t="inlineStr">
        <is>
          <t>Cobblemon 동일</t>
        </is>
      </c>
      <c r="AK1749" s="18" t="inlineStr">
        <is>
          <t>사용</t>
        </is>
      </c>
      <c r="AL1749" s="18" t="inlineStr">
        <is>
          <t>COBBLEVERSE 1.7.42 / DP v31</t>
        </is>
      </c>
      <c r="AM1749" s="18" t="inlineStr">
        <is>
          <t>data/cobblemon/spawn_pool_world/0513_pansear.json</t>
        </is>
      </c>
      <c r="AN1749" s="18" t="inlineStr">
        <is>
          <t>pansear-2</t>
        </is>
      </c>
      <c r="AO1749" s="18" t="inlineStr">
        <is>
          <t>pokemon</t>
        </is>
      </c>
      <c r="AP1749" s="18" t="inlineStr">
        <is>
          <t>natural; treetop; wild</t>
        </is>
      </c>
      <c r="AQ1749" s="18" t="inlineStr">
        <is>
          <t>{"biomes":["#cobblemon:is_volcanic"],"maxSkyLight":15,"minSkyLight":8}</t>
        </is>
      </c>
      <c r="AR1749" s="18" t="inlineStr"/>
      <c r="AS1749" s="18" t="inlineStr">
        <is>
          <t>{"weightMultiplier":{"condition":{"timeRange":"night"},"multiplier":0.25}}</t>
        </is>
      </c>
      <c r="AT1749" s="19" t="inlineStr"/>
    </row>
    <row r="1750" ht="32" customHeight="1">
      <c r="A1750" s="18" t="inlineStr">
        <is>
          <t>0514_simisear.json::simisear-1::001</t>
        </is>
      </c>
      <c r="B1750" s="19" t="inlineStr">
        <is>
          <t>사용</t>
        </is>
      </c>
      <c r="C1750" s="18">
        <f>IF(OR(B1750&lt;&gt;AK1750,M1750&lt;&gt;L1750,O1750&lt;&gt;"",Q1750&lt;&gt;"",V1750&lt;&gt;1,Y1750&lt;&gt;"",AT1750&lt;&gt;""),"수정","원본")</f>
        <v/>
      </c>
      <c r="D1750" s="18" t="n">
        <v>514</v>
      </c>
      <c r="E1750" s="18" t="inlineStr">
        <is>
          <t>바오키</t>
        </is>
      </c>
      <c r="F1750" s="18" t="inlineStr">
        <is>
          <t>simisear</t>
        </is>
      </c>
      <c r="G1750" s="18" t="inlineStr">
        <is>
          <t>simisear</t>
        </is>
      </c>
      <c r="H1750" s="18" t="inlineStr"/>
      <c r="I1750" s="18" t="n">
        <v>5</v>
      </c>
      <c r="J1750" s="18" t="n"/>
      <c r="K1750" s="18" t="n">
        <v>5</v>
      </c>
      <c r="L1750" s="18" t="inlineStr">
        <is>
          <t>cobbleventure:generation_5</t>
        </is>
      </c>
      <c r="M1750" s="19" t="inlineStr">
        <is>
          <t>cobbleventure:generation_5</t>
        </is>
      </c>
      <c r="N1750" s="18" t="inlineStr"/>
      <c r="O1750" s="19" t="inlineStr"/>
      <c r="P1750" s="18" t="inlineStr">
        <is>
          <t>#cobblemon:is_jungle; #cobblemon:is_tropical_island</t>
        </is>
      </c>
      <c r="Q1750" s="19" t="inlineStr"/>
      <c r="R1750" s="18">
        <f>IF(Q1750="",P1750,Q1750)</f>
        <v/>
      </c>
      <c r="S1750" s="18" t="inlineStr"/>
      <c r="T1750" s="18" t="inlineStr">
        <is>
          <t>uncommon</t>
        </is>
      </c>
      <c r="U1750" s="20" t="n">
        <v>1.6</v>
      </c>
      <c r="V1750" s="21" t="n">
        <v>1</v>
      </c>
      <c r="W1750" s="20">
        <f>IF(OR(U1750="",V1750=""),U1750,U1750*V1750)</f>
        <v/>
      </c>
      <c r="X1750" s="18" t="inlineStr">
        <is>
          <t>27-50</t>
        </is>
      </c>
      <c r="Y1750" s="19" t="inlineStr"/>
      <c r="Z1750" s="18">
        <f>IF(Y1750="",X1750,Y1750)</f>
        <v/>
      </c>
      <c r="AA1750" s="18" t="inlineStr">
        <is>
          <t>grounded</t>
        </is>
      </c>
      <c r="AB1750" s="18" t="inlineStr"/>
      <c r="AC1750" s="18" t="inlineStr"/>
      <c r="AD1750" s="18" t="inlineStr"/>
      <c r="AE1750" s="18" t="inlineStr">
        <is>
          <t>sky 8-15</t>
        </is>
      </c>
      <c r="AF1750" s="18" t="inlineStr"/>
      <c r="AG1750" s="18" t="inlineStr"/>
      <c r="AH1750" s="18" t="inlineStr"/>
      <c r="AI1750" s="18" t="inlineStr"/>
      <c r="AJ1750" s="18" t="inlineStr">
        <is>
          <t>Cobblemon 동일</t>
        </is>
      </c>
      <c r="AK1750" s="18" t="inlineStr">
        <is>
          <t>사용</t>
        </is>
      </c>
      <c r="AL1750" s="18" t="inlineStr">
        <is>
          <t>COBBLEVERSE 1.7.42 / DP v31</t>
        </is>
      </c>
      <c r="AM1750" s="18" t="inlineStr">
        <is>
          <t>data/cobblemon/spawn_pool_world/0514_simisear.json</t>
        </is>
      </c>
      <c r="AN1750" s="18" t="inlineStr">
        <is>
          <t>simisear-1</t>
        </is>
      </c>
      <c r="AO1750" s="18" t="inlineStr">
        <is>
          <t>pokemon</t>
        </is>
      </c>
      <c r="AP1750" s="18" t="inlineStr">
        <is>
          <t>natural; treetop; wild</t>
        </is>
      </c>
      <c r="AQ1750" s="18" t="inlineStr">
        <is>
          <t>{"biomes":["#cobblemon:is_jungle","#cobblemon:is_tropical_island"],"maxSkyLight":15,"minSkyLight":8}</t>
        </is>
      </c>
      <c r="AR1750" s="18" t="inlineStr"/>
      <c r="AS1750" s="18" t="inlineStr">
        <is>
          <t>{"weightMultiplier":{"condition":{"timeRange":"night"},"multiplier":0.25}}</t>
        </is>
      </c>
      <c r="AT1750" s="19" t="inlineStr"/>
    </row>
    <row r="1751" ht="32" customHeight="1">
      <c r="A1751" s="18" t="inlineStr">
        <is>
          <t>0514_simisear.json::simisear-2::002</t>
        </is>
      </c>
      <c r="B1751" s="19" t="inlineStr">
        <is>
          <t>사용</t>
        </is>
      </c>
      <c r="C1751" s="18">
        <f>IF(OR(B1751&lt;&gt;AK1751,M1751&lt;&gt;L1751,O1751&lt;&gt;"",Q1751&lt;&gt;"",V1751&lt;&gt;1,Y1751&lt;&gt;"",AT1751&lt;&gt;""),"수정","원본")</f>
        <v/>
      </c>
      <c r="D1751" s="18" t="n">
        <v>514</v>
      </c>
      <c r="E1751" s="18" t="inlineStr">
        <is>
          <t>바오키</t>
        </is>
      </c>
      <c r="F1751" s="18" t="inlineStr">
        <is>
          <t>simisear</t>
        </is>
      </c>
      <c r="G1751" s="18" t="inlineStr">
        <is>
          <t>simisear</t>
        </is>
      </c>
      <c r="H1751" s="18" t="inlineStr"/>
      <c r="I1751" s="18" t="n">
        <v>5</v>
      </c>
      <c r="J1751" s="18" t="n"/>
      <c r="K1751" s="18" t="n">
        <v>5</v>
      </c>
      <c r="L1751" s="18" t="inlineStr">
        <is>
          <t>cobbleventure:generation_5</t>
        </is>
      </c>
      <c r="M1751" s="19" t="inlineStr">
        <is>
          <t>cobbleventure:generation_5</t>
        </is>
      </c>
      <c r="N1751" s="18" t="inlineStr"/>
      <c r="O1751" s="19" t="inlineStr"/>
      <c r="P1751" s="18" t="inlineStr">
        <is>
          <t>#cobblemon:is_volcanic</t>
        </is>
      </c>
      <c r="Q1751" s="19" t="inlineStr"/>
      <c r="R1751" s="18">
        <f>IF(Q1751="",P1751,Q1751)</f>
        <v/>
      </c>
      <c r="S1751" s="18" t="inlineStr"/>
      <c r="T1751" s="18" t="inlineStr">
        <is>
          <t>uncommon</t>
        </is>
      </c>
      <c r="U1751" s="20" t="n">
        <v>0.32</v>
      </c>
      <c r="V1751" s="21" t="n">
        <v>1</v>
      </c>
      <c r="W1751" s="20">
        <f>IF(OR(U1751="",V1751=""),U1751,U1751*V1751)</f>
        <v/>
      </c>
      <c r="X1751" s="18" t="inlineStr">
        <is>
          <t>27-50</t>
        </is>
      </c>
      <c r="Y1751" s="19" t="inlineStr"/>
      <c r="Z1751" s="18">
        <f>IF(Y1751="",X1751,Y1751)</f>
        <v/>
      </c>
      <c r="AA1751" s="18" t="inlineStr">
        <is>
          <t>grounded</t>
        </is>
      </c>
      <c r="AB1751" s="18" t="inlineStr"/>
      <c r="AC1751" s="18" t="inlineStr"/>
      <c r="AD1751" s="18" t="inlineStr"/>
      <c r="AE1751" s="18" t="inlineStr">
        <is>
          <t>sky 8-15</t>
        </is>
      </c>
      <c r="AF1751" s="18" t="inlineStr"/>
      <c r="AG1751" s="18" t="inlineStr"/>
      <c r="AH1751" s="18" t="inlineStr"/>
      <c r="AI1751" s="18" t="inlineStr"/>
      <c r="AJ1751" s="18" t="inlineStr">
        <is>
          <t>Cobblemon 동일</t>
        </is>
      </c>
      <c r="AK1751" s="18" t="inlineStr">
        <is>
          <t>사용</t>
        </is>
      </c>
      <c r="AL1751" s="18" t="inlineStr">
        <is>
          <t>COBBLEVERSE 1.7.42 / DP v31</t>
        </is>
      </c>
      <c r="AM1751" s="18" t="inlineStr">
        <is>
          <t>data/cobblemon/spawn_pool_world/0514_simisear.json</t>
        </is>
      </c>
      <c r="AN1751" s="18" t="inlineStr">
        <is>
          <t>simisear-2</t>
        </is>
      </c>
      <c r="AO1751" s="18" t="inlineStr">
        <is>
          <t>pokemon</t>
        </is>
      </c>
      <c r="AP1751" s="18" t="inlineStr">
        <is>
          <t>natural; treetop; wild</t>
        </is>
      </c>
      <c r="AQ1751" s="18" t="inlineStr">
        <is>
          <t>{"biomes":["#cobblemon:is_volcanic"],"maxSkyLight":15,"minSkyLight":8}</t>
        </is>
      </c>
      <c r="AR1751" s="18" t="inlineStr"/>
      <c r="AS1751" s="18" t="inlineStr">
        <is>
          <t>{"weightMultiplier":{"condition":{"timeRange":"night"},"multiplier":0.25}}</t>
        </is>
      </c>
      <c r="AT1751" s="19" t="inlineStr"/>
    </row>
    <row r="1752" ht="32" customHeight="1">
      <c r="A1752" s="18" t="inlineStr">
        <is>
          <t>0515_panpour.json::panpour-1::001</t>
        </is>
      </c>
      <c r="B1752" s="19" t="inlineStr">
        <is>
          <t>사용</t>
        </is>
      </c>
      <c r="C1752" s="18">
        <f>IF(OR(B1752&lt;&gt;AK1752,M1752&lt;&gt;L1752,O1752&lt;&gt;"",Q1752&lt;&gt;"",V1752&lt;&gt;1,Y1752&lt;&gt;"",AT1752&lt;&gt;""),"수정","원본")</f>
        <v/>
      </c>
      <c r="D1752" s="18" t="n">
        <v>515</v>
      </c>
      <c r="E1752" s="18" t="inlineStr">
        <is>
          <t>앗차프</t>
        </is>
      </c>
      <c r="F1752" s="18" t="inlineStr">
        <is>
          <t>panpour</t>
        </is>
      </c>
      <c r="G1752" s="18" t="inlineStr">
        <is>
          <t>panpour</t>
        </is>
      </c>
      <c r="H1752" s="18" t="inlineStr"/>
      <c r="I1752" s="18" t="n">
        <v>5</v>
      </c>
      <c r="J1752" s="18" t="n"/>
      <c r="K1752" s="18" t="n">
        <v>5</v>
      </c>
      <c r="L1752" s="18" t="inlineStr">
        <is>
          <t>cobbleventure:generation_5</t>
        </is>
      </c>
      <c r="M1752" s="19" t="inlineStr">
        <is>
          <t>cobbleventure:generation_5</t>
        </is>
      </c>
      <c r="N1752" s="18" t="inlineStr"/>
      <c r="O1752" s="19" t="inlineStr"/>
      <c r="P1752" s="18" t="inlineStr">
        <is>
          <t>#cobblemon:is_jungle; #cobblemon:is_tropical_island</t>
        </is>
      </c>
      <c r="Q1752" s="19" t="inlineStr"/>
      <c r="R1752" s="18">
        <f>IF(Q1752="",P1752,Q1752)</f>
        <v/>
      </c>
      <c r="S1752" s="18" t="inlineStr"/>
      <c r="T1752" s="18" t="inlineStr">
        <is>
          <t>uncommon</t>
        </is>
      </c>
      <c r="U1752" s="20" t="n">
        <v>8.4</v>
      </c>
      <c r="V1752" s="21" t="n">
        <v>1</v>
      </c>
      <c r="W1752" s="20">
        <f>IF(OR(U1752="",V1752=""),U1752,U1752*V1752)</f>
        <v/>
      </c>
      <c r="X1752" s="18" t="inlineStr">
        <is>
          <t>7-32</t>
        </is>
      </c>
      <c r="Y1752" s="19" t="inlineStr"/>
      <c r="Z1752" s="18">
        <f>IF(Y1752="",X1752,Y1752)</f>
        <v/>
      </c>
      <c r="AA1752" s="18" t="inlineStr">
        <is>
          <t>grounded</t>
        </is>
      </c>
      <c r="AB1752" s="18" t="inlineStr"/>
      <c r="AC1752" s="18" t="inlineStr"/>
      <c r="AD1752" s="18" t="inlineStr"/>
      <c r="AE1752" s="18" t="inlineStr">
        <is>
          <t>sky 8-15</t>
        </is>
      </c>
      <c r="AF1752" s="18" t="inlineStr"/>
      <c r="AG1752" s="18" t="inlineStr"/>
      <c r="AH1752" s="18" t="inlineStr"/>
      <c r="AI1752" s="18" t="inlineStr"/>
      <c r="AJ1752" s="18" t="inlineStr">
        <is>
          <t>Cobblemon 동일</t>
        </is>
      </c>
      <c r="AK1752" s="18" t="inlineStr">
        <is>
          <t>사용</t>
        </is>
      </c>
      <c r="AL1752" s="18" t="inlineStr">
        <is>
          <t>COBBLEVERSE 1.7.42 / DP v31</t>
        </is>
      </c>
      <c r="AM1752" s="18" t="inlineStr">
        <is>
          <t>data/cobblemon/spawn_pool_world/0515_panpour.json</t>
        </is>
      </c>
      <c r="AN1752" s="18" t="inlineStr">
        <is>
          <t>panpour-1</t>
        </is>
      </c>
      <c r="AO1752" s="18" t="inlineStr">
        <is>
          <t>pokemon</t>
        </is>
      </c>
      <c r="AP1752" s="18" t="inlineStr">
        <is>
          <t>natural; treetop; wild</t>
        </is>
      </c>
      <c r="AQ1752" s="18" t="inlineStr">
        <is>
          <t>{"biomes":["#cobblemon:is_jungle","#cobblemon:is_tropical_island"],"maxSkyLight":15,"minSkyLight":8}</t>
        </is>
      </c>
      <c r="AR1752" s="18" t="inlineStr"/>
      <c r="AS1752" s="18" t="inlineStr">
        <is>
          <t>{"weightMultiplier":{"condition":{"timeRange":"night"},"multiplier":0.25}}</t>
        </is>
      </c>
      <c r="AT1752" s="19" t="inlineStr"/>
    </row>
    <row r="1753" ht="32" customHeight="1">
      <c r="A1753" s="18" t="inlineStr">
        <is>
          <t>0515_panpour.json::panpour-2::002</t>
        </is>
      </c>
      <c r="B1753" s="19" t="inlineStr">
        <is>
          <t>사용</t>
        </is>
      </c>
      <c r="C1753" s="18">
        <f>IF(OR(B1753&lt;&gt;AK1753,M1753&lt;&gt;L1753,O1753&lt;&gt;"",Q1753&lt;&gt;"",V1753&lt;&gt;1,Y1753&lt;&gt;"",AT1753&lt;&gt;""),"수정","원본")</f>
        <v/>
      </c>
      <c r="D1753" s="18" t="n">
        <v>515</v>
      </c>
      <c r="E1753" s="18" t="inlineStr">
        <is>
          <t>앗차프</t>
        </is>
      </c>
      <c r="F1753" s="18" t="inlineStr">
        <is>
          <t>panpour</t>
        </is>
      </c>
      <c r="G1753" s="18" t="inlineStr">
        <is>
          <t>panpour</t>
        </is>
      </c>
      <c r="H1753" s="18" t="inlineStr"/>
      <c r="I1753" s="18" t="n">
        <v>5</v>
      </c>
      <c r="J1753" s="18" t="n"/>
      <c r="K1753" s="18" t="n">
        <v>5</v>
      </c>
      <c r="L1753" s="18" t="inlineStr">
        <is>
          <t>cobbleventure:generation_5</t>
        </is>
      </c>
      <c r="M1753" s="19" t="inlineStr">
        <is>
          <t>cobbleventure:generation_5</t>
        </is>
      </c>
      <c r="N1753" s="18" t="inlineStr"/>
      <c r="O1753" s="19" t="inlineStr"/>
      <c r="P1753" s="18" t="inlineStr">
        <is>
          <t>#cobblemon:is_river</t>
        </is>
      </c>
      <c r="Q1753" s="19" t="inlineStr"/>
      <c r="R1753" s="18">
        <f>IF(Q1753="",P1753,Q1753)</f>
        <v/>
      </c>
      <c r="S1753" s="18" t="inlineStr">
        <is>
          <t>#cobblemon:is_freezing</t>
        </is>
      </c>
      <c r="T1753" s="18" t="inlineStr">
        <is>
          <t>uncommon</t>
        </is>
      </c>
      <c r="U1753" s="20" t="n">
        <v>1.68</v>
      </c>
      <c r="V1753" s="21" t="n">
        <v>1</v>
      </c>
      <c r="W1753" s="20">
        <f>IF(OR(U1753="",V1753=""),U1753,U1753*V1753)</f>
        <v/>
      </c>
      <c r="X1753" s="18" t="inlineStr">
        <is>
          <t>7-32</t>
        </is>
      </c>
      <c r="Y1753" s="19" t="inlineStr"/>
      <c r="Z1753" s="18">
        <f>IF(Y1753="",X1753,Y1753)</f>
        <v/>
      </c>
      <c r="AA1753" s="18" t="inlineStr">
        <is>
          <t>grounded</t>
        </is>
      </c>
      <c r="AB1753" s="18" t="inlineStr"/>
      <c r="AC1753" s="18" t="inlineStr"/>
      <c r="AD1753" s="18" t="inlineStr"/>
      <c r="AE1753" s="18" t="inlineStr">
        <is>
          <t>sky 8-15</t>
        </is>
      </c>
      <c r="AF1753" s="18" t="inlineStr"/>
      <c r="AG1753" s="18" t="inlineStr"/>
      <c r="AH1753" s="18" t="inlineStr"/>
      <c r="AI1753" s="18" t="inlineStr"/>
      <c r="AJ1753" s="18" t="inlineStr">
        <is>
          <t>Cobblemon 동일</t>
        </is>
      </c>
      <c r="AK1753" s="18" t="inlineStr">
        <is>
          <t>사용</t>
        </is>
      </c>
      <c r="AL1753" s="18" t="inlineStr">
        <is>
          <t>COBBLEVERSE 1.7.42 / DP v31</t>
        </is>
      </c>
      <c r="AM1753" s="18" t="inlineStr">
        <is>
          <t>data/cobblemon/spawn_pool_world/0515_panpour.json</t>
        </is>
      </c>
      <c r="AN1753" s="18" t="inlineStr">
        <is>
          <t>panpour-2</t>
        </is>
      </c>
      <c r="AO1753" s="18" t="inlineStr">
        <is>
          <t>pokemon</t>
        </is>
      </c>
      <c r="AP1753" s="18" t="inlineStr">
        <is>
          <t>natural; treetop; wild</t>
        </is>
      </c>
      <c r="AQ1753" s="18" t="inlineStr">
        <is>
          <t>{"biomes":["#cobblemon:is_river"],"maxSkyLight":15,"minSkyLight":8}</t>
        </is>
      </c>
      <c r="AR1753" s="18" t="inlineStr">
        <is>
          <t>{"biomes":["#cobblemon:is_freezing"]}</t>
        </is>
      </c>
      <c r="AS1753" s="18" t="inlineStr">
        <is>
          <t>{"weightMultiplier":{"condition":{"timeRange":"night"},"multiplier":0.25}}</t>
        </is>
      </c>
      <c r="AT1753" s="19" t="inlineStr"/>
    </row>
    <row r="1754" ht="32" customHeight="1">
      <c r="A1754" s="18" t="inlineStr">
        <is>
          <t>0516_simipour.json::simipour-1::001</t>
        </is>
      </c>
      <c r="B1754" s="19" t="inlineStr">
        <is>
          <t>사용</t>
        </is>
      </c>
      <c r="C1754" s="18">
        <f>IF(OR(B1754&lt;&gt;AK1754,M1754&lt;&gt;L1754,O1754&lt;&gt;"",Q1754&lt;&gt;"",V1754&lt;&gt;1,Y1754&lt;&gt;"",AT1754&lt;&gt;""),"수정","원본")</f>
        <v/>
      </c>
      <c r="D1754" s="18" t="n">
        <v>516</v>
      </c>
      <c r="E1754" s="18" t="inlineStr">
        <is>
          <t>앗차키</t>
        </is>
      </c>
      <c r="F1754" s="18" t="inlineStr">
        <is>
          <t>simipour</t>
        </is>
      </c>
      <c r="G1754" s="18" t="inlineStr">
        <is>
          <t>simipour</t>
        </is>
      </c>
      <c r="H1754" s="18" t="inlineStr"/>
      <c r="I1754" s="18" t="n">
        <v>5</v>
      </c>
      <c r="J1754" s="18" t="n"/>
      <c r="K1754" s="18" t="n">
        <v>5</v>
      </c>
      <c r="L1754" s="18" t="inlineStr">
        <is>
          <t>cobbleventure:generation_5</t>
        </is>
      </c>
      <c r="M1754" s="19" t="inlineStr">
        <is>
          <t>cobbleventure:generation_5</t>
        </is>
      </c>
      <c r="N1754" s="18" t="inlineStr"/>
      <c r="O1754" s="19" t="inlineStr"/>
      <c r="P1754" s="18" t="inlineStr">
        <is>
          <t>#cobblemon:is_jungle; #cobblemon:is_tropical_island</t>
        </is>
      </c>
      <c r="Q1754" s="19" t="inlineStr"/>
      <c r="R1754" s="18">
        <f>IF(Q1754="",P1754,Q1754)</f>
        <v/>
      </c>
      <c r="S1754" s="18" t="inlineStr"/>
      <c r="T1754" s="18" t="inlineStr">
        <is>
          <t>uncommon</t>
        </is>
      </c>
      <c r="U1754" s="20" t="n">
        <v>1.6</v>
      </c>
      <c r="V1754" s="21" t="n">
        <v>1</v>
      </c>
      <c r="W1754" s="20">
        <f>IF(OR(U1754="",V1754=""),U1754,U1754*V1754)</f>
        <v/>
      </c>
      <c r="X1754" s="18" t="inlineStr">
        <is>
          <t>27-50</t>
        </is>
      </c>
      <c r="Y1754" s="19" t="inlineStr"/>
      <c r="Z1754" s="18">
        <f>IF(Y1754="",X1754,Y1754)</f>
        <v/>
      </c>
      <c r="AA1754" s="18" t="inlineStr">
        <is>
          <t>grounded</t>
        </is>
      </c>
      <c r="AB1754" s="18" t="inlineStr"/>
      <c r="AC1754" s="18" t="inlineStr"/>
      <c r="AD1754" s="18" t="inlineStr"/>
      <c r="AE1754" s="18" t="inlineStr">
        <is>
          <t>sky 8-15</t>
        </is>
      </c>
      <c r="AF1754" s="18" t="inlineStr"/>
      <c r="AG1754" s="18" t="inlineStr"/>
      <c r="AH1754" s="18" t="inlineStr"/>
      <c r="AI1754" s="18" t="inlineStr"/>
      <c r="AJ1754" s="18" t="inlineStr">
        <is>
          <t>Cobblemon 동일</t>
        </is>
      </c>
      <c r="AK1754" s="18" t="inlineStr">
        <is>
          <t>사용</t>
        </is>
      </c>
      <c r="AL1754" s="18" t="inlineStr">
        <is>
          <t>COBBLEVERSE 1.7.42 / DP v31</t>
        </is>
      </c>
      <c r="AM1754" s="18" t="inlineStr">
        <is>
          <t>data/cobblemon/spawn_pool_world/0516_simipour.json</t>
        </is>
      </c>
      <c r="AN1754" s="18" t="inlineStr">
        <is>
          <t>simipour-1</t>
        </is>
      </c>
      <c r="AO1754" s="18" t="inlineStr">
        <is>
          <t>pokemon</t>
        </is>
      </c>
      <c r="AP1754" s="18" t="inlineStr">
        <is>
          <t>natural; treetop; wild</t>
        </is>
      </c>
      <c r="AQ1754" s="18" t="inlineStr">
        <is>
          <t>{"biomes":["#cobblemon:is_jungle","#cobblemon:is_tropical_island"],"maxSkyLight":15,"minSkyLight":8}</t>
        </is>
      </c>
      <c r="AR1754" s="18" t="inlineStr"/>
      <c r="AS1754" s="18" t="inlineStr">
        <is>
          <t>{"weightMultiplier":{"condition":{"timeRange":"night"},"multiplier":0.25}}</t>
        </is>
      </c>
      <c r="AT1754" s="19" t="inlineStr"/>
    </row>
    <row r="1755" ht="32" customHeight="1">
      <c r="A1755" s="18" t="inlineStr">
        <is>
          <t>0516_simipour.json::simipour-2::002</t>
        </is>
      </c>
      <c r="B1755" s="19" t="inlineStr">
        <is>
          <t>사용</t>
        </is>
      </c>
      <c r="C1755" s="18">
        <f>IF(OR(B1755&lt;&gt;AK1755,M1755&lt;&gt;L1755,O1755&lt;&gt;"",Q1755&lt;&gt;"",V1755&lt;&gt;1,Y1755&lt;&gt;"",AT1755&lt;&gt;""),"수정","원본")</f>
        <v/>
      </c>
      <c r="D1755" s="18" t="n">
        <v>516</v>
      </c>
      <c r="E1755" s="18" t="inlineStr">
        <is>
          <t>앗차키</t>
        </is>
      </c>
      <c r="F1755" s="18" t="inlineStr">
        <is>
          <t>simipour</t>
        </is>
      </c>
      <c r="G1755" s="18" t="inlineStr">
        <is>
          <t>simipour</t>
        </is>
      </c>
      <c r="H1755" s="18" t="inlineStr"/>
      <c r="I1755" s="18" t="n">
        <v>5</v>
      </c>
      <c r="J1755" s="18" t="n"/>
      <c r="K1755" s="18" t="n">
        <v>5</v>
      </c>
      <c r="L1755" s="18" t="inlineStr">
        <is>
          <t>cobbleventure:generation_5</t>
        </is>
      </c>
      <c r="M1755" s="19" t="inlineStr">
        <is>
          <t>cobbleventure:generation_5</t>
        </is>
      </c>
      <c r="N1755" s="18" t="inlineStr"/>
      <c r="O1755" s="19" t="inlineStr"/>
      <c r="P1755" s="18" t="inlineStr">
        <is>
          <t>#cobblemon:is_river</t>
        </is>
      </c>
      <c r="Q1755" s="19" t="inlineStr"/>
      <c r="R1755" s="18">
        <f>IF(Q1755="",P1755,Q1755)</f>
        <v/>
      </c>
      <c r="S1755" s="18" t="inlineStr">
        <is>
          <t>#cobblemon:is_freezing</t>
        </is>
      </c>
      <c r="T1755" s="18" t="inlineStr">
        <is>
          <t>uncommon</t>
        </is>
      </c>
      <c r="U1755" s="20" t="n">
        <v>0.32</v>
      </c>
      <c r="V1755" s="21" t="n">
        <v>1</v>
      </c>
      <c r="W1755" s="20">
        <f>IF(OR(U1755="",V1755=""),U1755,U1755*V1755)</f>
        <v/>
      </c>
      <c r="X1755" s="18" t="inlineStr">
        <is>
          <t>27-50</t>
        </is>
      </c>
      <c r="Y1755" s="19" t="inlineStr"/>
      <c r="Z1755" s="18">
        <f>IF(Y1755="",X1755,Y1755)</f>
        <v/>
      </c>
      <c r="AA1755" s="18" t="inlineStr">
        <is>
          <t>grounded</t>
        </is>
      </c>
      <c r="AB1755" s="18" t="inlineStr"/>
      <c r="AC1755" s="18" t="inlineStr"/>
      <c r="AD1755" s="18" t="inlineStr"/>
      <c r="AE1755" s="18" t="inlineStr">
        <is>
          <t>sky 8-15</t>
        </is>
      </c>
      <c r="AF1755" s="18" t="inlineStr"/>
      <c r="AG1755" s="18" t="inlineStr"/>
      <c r="AH1755" s="18" t="inlineStr"/>
      <c r="AI1755" s="18" t="inlineStr"/>
      <c r="AJ1755" s="18" t="inlineStr">
        <is>
          <t>Cobblemon 동일</t>
        </is>
      </c>
      <c r="AK1755" s="18" t="inlineStr">
        <is>
          <t>사용</t>
        </is>
      </c>
      <c r="AL1755" s="18" t="inlineStr">
        <is>
          <t>COBBLEVERSE 1.7.42 / DP v31</t>
        </is>
      </c>
      <c r="AM1755" s="18" t="inlineStr">
        <is>
          <t>data/cobblemon/spawn_pool_world/0516_simipour.json</t>
        </is>
      </c>
      <c r="AN1755" s="18" t="inlineStr">
        <is>
          <t>simipour-2</t>
        </is>
      </c>
      <c r="AO1755" s="18" t="inlineStr">
        <is>
          <t>pokemon</t>
        </is>
      </c>
      <c r="AP1755" s="18" t="inlineStr">
        <is>
          <t>natural; treetop; wild</t>
        </is>
      </c>
      <c r="AQ1755" s="18" t="inlineStr">
        <is>
          <t>{"biomes":["#cobblemon:is_river"],"maxSkyLight":15,"minSkyLight":8}</t>
        </is>
      </c>
      <c r="AR1755" s="18" t="inlineStr">
        <is>
          <t>{"biomes":["#cobblemon:is_freezing"]}</t>
        </is>
      </c>
      <c r="AS1755" s="18" t="inlineStr">
        <is>
          <t>{"weightMultiplier":{"condition":{"timeRange":"night"},"multiplier":0.25}}</t>
        </is>
      </c>
      <c r="AT1755" s="19" t="inlineStr"/>
    </row>
    <row r="1756" ht="32" customHeight="1">
      <c r="A1756" s="18" t="inlineStr">
        <is>
          <t>0517_munna.json::munna-1::001</t>
        </is>
      </c>
      <c r="B1756" s="19" t="inlineStr">
        <is>
          <t>사용</t>
        </is>
      </c>
      <c r="C1756" s="18">
        <f>IF(OR(B1756&lt;&gt;AK1756,M1756&lt;&gt;L1756,O1756&lt;&gt;"",Q1756&lt;&gt;"",V1756&lt;&gt;1,Y1756&lt;&gt;"",AT1756&lt;&gt;""),"수정","원본")</f>
        <v/>
      </c>
      <c r="D1756" s="18" t="n">
        <v>517</v>
      </c>
      <c r="E1756" s="18" t="inlineStr">
        <is>
          <t>몽나</t>
        </is>
      </c>
      <c r="F1756" s="18" t="inlineStr">
        <is>
          <t>munna</t>
        </is>
      </c>
      <c r="G1756" s="18" t="inlineStr">
        <is>
          <t>munna</t>
        </is>
      </c>
      <c r="H1756" s="18" t="inlineStr"/>
      <c r="I1756" s="18" t="n">
        <v>5</v>
      </c>
      <c r="J1756" s="18" t="n"/>
      <c r="K1756" s="18" t="n">
        <v>5</v>
      </c>
      <c r="L1756" s="18" t="inlineStr">
        <is>
          <t>cobbleventure:generation_5</t>
        </is>
      </c>
      <c r="M1756" s="19" t="inlineStr">
        <is>
          <t>cobbleventure:generation_5</t>
        </is>
      </c>
      <c r="N1756" s="18" t="inlineStr">
        <is>
          <t>region_01; region_02</t>
        </is>
      </c>
      <c r="O1756" s="19" t="inlineStr"/>
      <c r="P1756" s="18" t="inlineStr">
        <is>
          <t>#cobblemon:is_overworld</t>
        </is>
      </c>
      <c r="Q1756" s="19" t="inlineStr"/>
      <c r="R1756" s="18">
        <f>IF(Q1756="",P1756,Q1756)</f>
        <v/>
      </c>
      <c r="S1756" s="18" t="inlineStr"/>
      <c r="T1756" s="18" t="inlineStr">
        <is>
          <t>common</t>
        </is>
      </c>
      <c r="U1756" s="20" t="n">
        <v>6.5</v>
      </c>
      <c r="V1756" s="21" t="n">
        <v>1</v>
      </c>
      <c r="W1756" s="20">
        <f>IF(OR(U1756="",V1756=""),U1756,U1756*V1756)</f>
        <v/>
      </c>
      <c r="X1756" s="18" t="inlineStr">
        <is>
          <t>4-29</t>
        </is>
      </c>
      <c r="Y1756" s="19" t="inlineStr"/>
      <c r="Z1756" s="18">
        <f>IF(Y1756="",X1756,Y1756)</f>
        <v/>
      </c>
      <c r="AA1756" s="18" t="inlineStr">
        <is>
          <t>grounded</t>
        </is>
      </c>
      <c r="AB1756" s="18" t="inlineStr">
        <is>
          <t>night</t>
        </is>
      </c>
      <c r="AC1756" s="18" t="inlineStr"/>
      <c r="AD1756" s="18" t="inlineStr"/>
      <c r="AE1756" s="18" t="inlineStr">
        <is>
          <t>sky 8-15</t>
        </is>
      </c>
      <c r="AF1756" s="18" t="inlineStr"/>
      <c r="AG1756" s="18" t="inlineStr"/>
      <c r="AH1756" s="18" t="inlineStr"/>
      <c r="AI1756" s="18" t="inlineStr"/>
      <c r="AJ1756" s="18" t="inlineStr">
        <is>
          <t>COBBLEVERSE 수정</t>
        </is>
      </c>
      <c r="AK1756" s="18" t="inlineStr">
        <is>
          <t>사용</t>
        </is>
      </c>
      <c r="AL1756" s="18" t="inlineStr">
        <is>
          <t>COBBLEVERSE 1.7.42 / DP v31</t>
        </is>
      </c>
      <c r="AM1756" s="18" t="inlineStr">
        <is>
          <t>data/cobblemon/spawn_pool_world/0517_munna.json</t>
        </is>
      </c>
      <c r="AN1756" s="18" t="inlineStr">
        <is>
          <t>munna-1</t>
        </is>
      </c>
      <c r="AO1756" s="18" t="inlineStr">
        <is>
          <t>pokemon</t>
        </is>
      </c>
      <c r="AP1756" s="18" t="inlineStr">
        <is>
          <t>natural</t>
        </is>
      </c>
      <c r="AQ1756" s="18" t="inlineStr">
        <is>
          <t>{"biomes":["#cobblemon:is_overworld"],"maxSkyLight":15,"minSkyLight":8,"timeRange":"night"}</t>
        </is>
      </c>
      <c r="AR1756" s="18" t="inlineStr"/>
      <c r="AS1756" s="18" t="inlineStr"/>
      <c r="AT1756" s="19" t="inlineStr"/>
    </row>
    <row r="1757" ht="32" customHeight="1">
      <c r="A1757" s="18" t="inlineStr">
        <is>
          <t>0517_munna.json::munna-2::002</t>
        </is>
      </c>
      <c r="B1757" s="19" t="inlineStr">
        <is>
          <t>사용</t>
        </is>
      </c>
      <c r="C1757" s="18">
        <f>IF(OR(B1757&lt;&gt;AK1757,M1757&lt;&gt;L1757,O1757&lt;&gt;"",Q1757&lt;&gt;"",V1757&lt;&gt;1,Y1757&lt;&gt;"",AT1757&lt;&gt;""),"수정","원본")</f>
        <v/>
      </c>
      <c r="D1757" s="18" t="n">
        <v>517</v>
      </c>
      <c r="E1757" s="18" t="inlineStr">
        <is>
          <t>몽나</t>
        </is>
      </c>
      <c r="F1757" s="18" t="inlineStr">
        <is>
          <t>munna</t>
        </is>
      </c>
      <c r="G1757" s="18" t="inlineStr">
        <is>
          <t>munna</t>
        </is>
      </c>
      <c r="H1757" s="18" t="inlineStr"/>
      <c r="I1757" s="18" t="n">
        <v>5</v>
      </c>
      <c r="J1757" s="18" t="n"/>
      <c r="K1757" s="18" t="n">
        <v>5</v>
      </c>
      <c r="L1757" s="18" t="inlineStr">
        <is>
          <t>cobbleventure:generation_5</t>
        </is>
      </c>
      <c r="M1757" s="19" t="inlineStr">
        <is>
          <t>cobbleventure:generation_5</t>
        </is>
      </c>
      <c r="N1757" s="18" t="inlineStr">
        <is>
          <t>region_01; region_02</t>
        </is>
      </c>
      <c r="O1757" s="19" t="inlineStr"/>
      <c r="P1757" s="18" t="inlineStr">
        <is>
          <t>#cobblemon:is_overworld</t>
        </is>
      </c>
      <c r="Q1757" s="19" t="inlineStr"/>
      <c r="R1757" s="18">
        <f>IF(Q1757="",P1757,Q1757)</f>
        <v/>
      </c>
      <c r="S1757" s="18" t="inlineStr"/>
      <c r="T1757" s="18" t="inlineStr">
        <is>
          <t>common</t>
        </is>
      </c>
      <c r="U1757" s="20" t="n">
        <v>8</v>
      </c>
      <c r="V1757" s="21" t="n">
        <v>1</v>
      </c>
      <c r="W1757" s="20">
        <f>IF(OR(U1757="",V1757=""),U1757,U1757*V1757)</f>
        <v/>
      </c>
      <c r="X1757" s="18" t="inlineStr">
        <is>
          <t>4-29</t>
        </is>
      </c>
      <c r="Y1757" s="19" t="inlineStr"/>
      <c r="Z1757" s="18">
        <f>IF(Y1757="",X1757,Y1757)</f>
        <v/>
      </c>
      <c r="AA1757" s="18" t="inlineStr">
        <is>
          <t>grounded</t>
        </is>
      </c>
      <c r="AB1757" s="18" t="inlineStr">
        <is>
          <t>night</t>
        </is>
      </c>
      <c r="AC1757" s="18" t="inlineStr"/>
      <c r="AD1757" s="18" t="inlineStr"/>
      <c r="AE1757" s="18" t="inlineStr"/>
      <c r="AF1757" s="18" t="inlineStr"/>
      <c r="AG1757" s="18" t="inlineStr"/>
      <c r="AH1757" s="18" t="inlineStr">
        <is>
          <t>주변=minecraft:white_bed</t>
        </is>
      </c>
      <c r="AI1757" s="18" t="inlineStr"/>
      <c r="AJ1757" s="18" t="inlineStr">
        <is>
          <t>COBBLEVERSE 수정</t>
        </is>
      </c>
      <c r="AK1757" s="18" t="inlineStr">
        <is>
          <t>사용</t>
        </is>
      </c>
      <c r="AL1757" s="18" t="inlineStr">
        <is>
          <t>COBBLEVERSE 1.7.42 / DP v31</t>
        </is>
      </c>
      <c r="AM1757" s="18" t="inlineStr">
        <is>
          <t>data/cobblemon/spawn_pool_world/0517_munna.json</t>
        </is>
      </c>
      <c r="AN1757" s="18" t="inlineStr">
        <is>
          <t>munna-2</t>
        </is>
      </c>
      <c r="AO1757" s="18" t="inlineStr">
        <is>
          <t>pokemon</t>
        </is>
      </c>
      <c r="AP1757" s="18" t="inlineStr">
        <is>
          <t>natural</t>
        </is>
      </c>
      <c r="AQ1757" s="18" t="inlineStr">
        <is>
          <t>{"biomes":["#cobblemon:is_overworld"],"neededNearbyBlocks":["minecraft:white_bed"],"timeRange":"night"}</t>
        </is>
      </c>
      <c r="AR1757" s="18" t="inlineStr"/>
      <c r="AS1757" s="18" t="inlineStr"/>
      <c r="AT1757" s="19" t="inlineStr"/>
    </row>
    <row r="1758" ht="32" customHeight="1">
      <c r="A1758" s="18" t="inlineStr">
        <is>
          <t>0518_musharna.json::musharna-1::001</t>
        </is>
      </c>
      <c r="B1758" s="19" t="inlineStr">
        <is>
          <t>사용</t>
        </is>
      </c>
      <c r="C1758" s="18">
        <f>IF(OR(B1758&lt;&gt;AK1758,M1758&lt;&gt;L1758,O1758&lt;&gt;"",Q1758&lt;&gt;"",V1758&lt;&gt;1,Y1758&lt;&gt;"",AT1758&lt;&gt;""),"수정","원본")</f>
        <v/>
      </c>
      <c r="D1758" s="18" t="n">
        <v>518</v>
      </c>
      <c r="E1758" s="18" t="inlineStr">
        <is>
          <t>몽얌나</t>
        </is>
      </c>
      <c r="F1758" s="18" t="inlineStr">
        <is>
          <t>musharna</t>
        </is>
      </c>
      <c r="G1758" s="18" t="inlineStr">
        <is>
          <t>musharna</t>
        </is>
      </c>
      <c r="H1758" s="18" t="inlineStr"/>
      <c r="I1758" s="18" t="n">
        <v>5</v>
      </c>
      <c r="J1758" s="18" t="n"/>
      <c r="K1758" s="18" t="n">
        <v>5</v>
      </c>
      <c r="L1758" s="18" t="inlineStr">
        <is>
          <t>cobbleventure:generation_5</t>
        </is>
      </c>
      <c r="M1758" s="19" t="inlineStr">
        <is>
          <t>cobbleventure:generation_5</t>
        </is>
      </c>
      <c r="N1758" s="18" t="inlineStr">
        <is>
          <t>region_01; region_02</t>
        </is>
      </c>
      <c r="O1758" s="19" t="inlineStr"/>
      <c r="P1758" s="18" t="inlineStr">
        <is>
          <t>#cobblemon:is_overworld</t>
        </is>
      </c>
      <c r="Q1758" s="19" t="inlineStr"/>
      <c r="R1758" s="18">
        <f>IF(Q1758="",P1758,Q1758)</f>
        <v/>
      </c>
      <c r="S1758" s="18" t="inlineStr"/>
      <c r="T1758" s="18" t="inlineStr">
        <is>
          <t>common</t>
        </is>
      </c>
      <c r="U1758" s="20" t="n">
        <v>0.5</v>
      </c>
      <c r="V1758" s="21" t="n">
        <v>1</v>
      </c>
      <c r="W1758" s="20">
        <f>IF(OR(U1758="",V1758=""),U1758,U1758*V1758)</f>
        <v/>
      </c>
      <c r="X1758" s="18" t="inlineStr">
        <is>
          <t>24-49</t>
        </is>
      </c>
      <c r="Y1758" s="19" t="inlineStr"/>
      <c r="Z1758" s="18">
        <f>IF(Y1758="",X1758,Y1758)</f>
        <v/>
      </c>
      <c r="AA1758" s="18" t="inlineStr">
        <is>
          <t>grounded</t>
        </is>
      </c>
      <c r="AB1758" s="18" t="inlineStr">
        <is>
          <t>night</t>
        </is>
      </c>
      <c r="AC1758" s="18" t="inlineStr"/>
      <c r="AD1758" s="18" t="inlineStr"/>
      <c r="AE1758" s="18" t="inlineStr">
        <is>
          <t>sky 8-15</t>
        </is>
      </c>
      <c r="AF1758" s="18" t="inlineStr"/>
      <c r="AG1758" s="18" t="inlineStr"/>
      <c r="AH1758" s="18" t="inlineStr"/>
      <c r="AI1758" s="18" t="inlineStr"/>
      <c r="AJ1758" s="18" t="inlineStr">
        <is>
          <t>COBBLEVERSE 수정</t>
        </is>
      </c>
      <c r="AK1758" s="18" t="inlineStr">
        <is>
          <t>사용</t>
        </is>
      </c>
      <c r="AL1758" s="18" t="inlineStr">
        <is>
          <t>COBBLEVERSE 1.7.42 / DP v31</t>
        </is>
      </c>
      <c r="AM1758" s="18" t="inlineStr">
        <is>
          <t>data/cobblemon/spawn_pool_world/0518_musharna.json</t>
        </is>
      </c>
      <c r="AN1758" s="18" t="inlineStr">
        <is>
          <t>musharna-1</t>
        </is>
      </c>
      <c r="AO1758" s="18" t="inlineStr">
        <is>
          <t>pokemon</t>
        </is>
      </c>
      <c r="AP1758" s="18" t="inlineStr">
        <is>
          <t>natural</t>
        </is>
      </c>
      <c r="AQ1758" s="18" t="inlineStr">
        <is>
          <t>{"biomes":["#cobblemon:is_overworld"],"maxSkyLight":15,"minSkyLight":8,"timeRange":"night"}</t>
        </is>
      </c>
      <c r="AR1758" s="18" t="inlineStr"/>
      <c r="AS1758" s="18" t="inlineStr"/>
      <c r="AT1758" s="19" t="inlineStr"/>
    </row>
    <row r="1759" ht="32" customHeight="1">
      <c r="A1759" s="18" t="inlineStr">
        <is>
          <t>0518_musharna.json::musharna-2::002</t>
        </is>
      </c>
      <c r="B1759" s="19" t="inlineStr">
        <is>
          <t>사용</t>
        </is>
      </c>
      <c r="C1759" s="18">
        <f>IF(OR(B1759&lt;&gt;AK1759,M1759&lt;&gt;L1759,O1759&lt;&gt;"",Q1759&lt;&gt;"",V1759&lt;&gt;1,Y1759&lt;&gt;"",AT1759&lt;&gt;""),"수정","원본")</f>
        <v/>
      </c>
      <c r="D1759" s="18" t="n">
        <v>518</v>
      </c>
      <c r="E1759" s="18" t="inlineStr">
        <is>
          <t>몽얌나</t>
        </is>
      </c>
      <c r="F1759" s="18" t="inlineStr">
        <is>
          <t>musharna</t>
        </is>
      </c>
      <c r="G1759" s="18" t="inlineStr">
        <is>
          <t>musharna</t>
        </is>
      </c>
      <c r="H1759" s="18" t="inlineStr"/>
      <c r="I1759" s="18" t="n">
        <v>5</v>
      </c>
      <c r="J1759" s="18" t="n"/>
      <c r="K1759" s="18" t="n">
        <v>5</v>
      </c>
      <c r="L1759" s="18" t="inlineStr">
        <is>
          <t>cobbleventure:generation_5</t>
        </is>
      </c>
      <c r="M1759" s="19" t="inlineStr">
        <is>
          <t>cobbleventure:generation_5</t>
        </is>
      </c>
      <c r="N1759" s="18" t="inlineStr">
        <is>
          <t>region_01; region_02</t>
        </is>
      </c>
      <c r="O1759" s="19" t="inlineStr"/>
      <c r="P1759" s="18" t="inlineStr">
        <is>
          <t>#cobblemon:is_overworld</t>
        </is>
      </c>
      <c r="Q1759" s="19" t="inlineStr"/>
      <c r="R1759" s="18">
        <f>IF(Q1759="",P1759,Q1759)</f>
        <v/>
      </c>
      <c r="S1759" s="18" t="inlineStr"/>
      <c r="T1759" s="18" t="inlineStr">
        <is>
          <t>common</t>
        </is>
      </c>
      <c r="U1759" s="20" t="n">
        <v>8</v>
      </c>
      <c r="V1759" s="21" t="n">
        <v>1</v>
      </c>
      <c r="W1759" s="20">
        <f>IF(OR(U1759="",V1759=""),U1759,U1759*V1759)</f>
        <v/>
      </c>
      <c r="X1759" s="18" t="inlineStr">
        <is>
          <t>25-50</t>
        </is>
      </c>
      <c r="Y1759" s="19" t="inlineStr"/>
      <c r="Z1759" s="18">
        <f>IF(Y1759="",X1759,Y1759)</f>
        <v/>
      </c>
      <c r="AA1759" s="18" t="inlineStr">
        <is>
          <t>grounded</t>
        </is>
      </c>
      <c r="AB1759" s="18" t="inlineStr">
        <is>
          <t>night</t>
        </is>
      </c>
      <c r="AC1759" s="18" t="inlineStr"/>
      <c r="AD1759" s="18" t="inlineStr"/>
      <c r="AE1759" s="18" t="inlineStr"/>
      <c r="AF1759" s="18" t="inlineStr"/>
      <c r="AG1759" s="18" t="inlineStr"/>
      <c r="AH1759" s="18" t="inlineStr">
        <is>
          <t>주변=minecraft:white_bed</t>
        </is>
      </c>
      <c r="AI1759" s="18" t="inlineStr"/>
      <c r="AJ1759" s="18" t="inlineStr">
        <is>
          <t>COBBLEVERSE 수정</t>
        </is>
      </c>
      <c r="AK1759" s="18" t="inlineStr">
        <is>
          <t>사용</t>
        </is>
      </c>
      <c r="AL1759" s="18" t="inlineStr">
        <is>
          <t>COBBLEVERSE 1.7.42 / DP v31</t>
        </is>
      </c>
      <c r="AM1759" s="18" t="inlineStr">
        <is>
          <t>data/cobblemon/spawn_pool_world/0518_musharna.json</t>
        </is>
      </c>
      <c r="AN1759" s="18" t="inlineStr">
        <is>
          <t>musharna-2</t>
        </is>
      </c>
      <c r="AO1759" s="18" t="inlineStr">
        <is>
          <t>pokemon</t>
        </is>
      </c>
      <c r="AP1759" s="18" t="inlineStr">
        <is>
          <t>natural</t>
        </is>
      </c>
      <c r="AQ1759" s="18" t="inlineStr">
        <is>
          <t>{"biomes":["#cobblemon:is_overworld"],"neededNearbyBlocks":["minecraft:white_bed"],"timeRange":"night"}</t>
        </is>
      </c>
      <c r="AR1759" s="18" t="inlineStr"/>
      <c r="AS1759" s="18" t="inlineStr"/>
      <c r="AT1759" s="19" t="inlineStr"/>
    </row>
    <row r="1760" ht="32" customHeight="1">
      <c r="A1760" s="18" t="inlineStr">
        <is>
          <t>0519_pidove.json::pidove-2::001</t>
        </is>
      </c>
      <c r="B1760" s="19" t="inlineStr">
        <is>
          <t>사용</t>
        </is>
      </c>
      <c r="C1760" s="18">
        <f>IF(OR(B1760&lt;&gt;AK1760,M1760&lt;&gt;L1760,O1760&lt;&gt;"",Q1760&lt;&gt;"",V1760&lt;&gt;1,Y1760&lt;&gt;"",AT1760&lt;&gt;""),"수정","원본")</f>
        <v/>
      </c>
      <c r="D1760" s="18" t="n">
        <v>519</v>
      </c>
      <c r="E1760" s="18" t="inlineStr">
        <is>
          <t>콩둘기</t>
        </is>
      </c>
      <c r="F1760" s="18" t="inlineStr">
        <is>
          <t>pidove</t>
        </is>
      </c>
      <c r="G1760" s="18" t="inlineStr">
        <is>
          <t>pidove</t>
        </is>
      </c>
      <c r="H1760" s="18" t="inlineStr"/>
      <c r="I1760" s="18" t="n">
        <v>5</v>
      </c>
      <c r="J1760" s="18" t="n"/>
      <c r="K1760" s="18" t="n">
        <v>5</v>
      </c>
      <c r="L1760" s="18" t="inlineStr">
        <is>
          <t>cobbleventure:generation_5</t>
        </is>
      </c>
      <c r="M1760" s="19" t="inlineStr">
        <is>
          <t>cobbleventure:generation_5</t>
        </is>
      </c>
      <c r="N1760" s="18" t="inlineStr"/>
      <c r="O1760" s="19" t="inlineStr"/>
      <c r="P1760" s="18" t="inlineStr">
        <is>
          <t>#cobblemon:is_mountain; #cobblemon:is_sky</t>
        </is>
      </c>
      <c r="Q1760" s="19" t="inlineStr"/>
      <c r="R1760" s="18">
        <f>IF(Q1760="",P1760,Q1760)</f>
        <v/>
      </c>
      <c r="S1760" s="18" t="inlineStr">
        <is>
          <t>#cobblemon:is_volcanic</t>
        </is>
      </c>
      <c r="T1760" s="18" t="inlineStr">
        <is>
          <t>common</t>
        </is>
      </c>
      <c r="U1760" s="20" t="n">
        <v>9</v>
      </c>
      <c r="V1760" s="21" t="n">
        <v>1</v>
      </c>
      <c r="W1760" s="20">
        <f>IF(OR(U1760="",V1760=""),U1760,U1760*V1760)</f>
        <v/>
      </c>
      <c r="X1760" s="18" t="inlineStr">
        <is>
          <t>1-26</t>
        </is>
      </c>
      <c r="Y1760" s="19" t="inlineStr"/>
      <c r="Z1760" s="18">
        <f>IF(Y1760="",X1760,Y1760)</f>
        <v/>
      </c>
      <c r="AA1760" s="18" t="inlineStr">
        <is>
          <t>grounded</t>
        </is>
      </c>
      <c r="AB1760" s="18" t="inlineStr">
        <is>
          <t>day</t>
        </is>
      </c>
      <c r="AC1760" s="18" t="inlineStr"/>
      <c r="AD1760" s="18" t="inlineStr"/>
      <c r="AE1760" s="18" t="inlineStr">
        <is>
          <t>sky 8-15</t>
        </is>
      </c>
      <c r="AF1760" s="18" t="inlineStr"/>
      <c r="AG1760" s="18" t="inlineStr"/>
      <c r="AH1760" s="18" t="inlineStr"/>
      <c r="AI1760" s="18" t="inlineStr"/>
      <c r="AJ1760" s="18" t="inlineStr">
        <is>
          <t>Cobblemon 동일</t>
        </is>
      </c>
      <c r="AK1760" s="18" t="inlineStr">
        <is>
          <t>사용</t>
        </is>
      </c>
      <c r="AL1760" s="18" t="inlineStr">
        <is>
          <t>COBBLEVERSE 1.7.42 / DP v31</t>
        </is>
      </c>
      <c r="AM1760" s="18" t="inlineStr">
        <is>
          <t>data/cobblemon/spawn_pool_world/0519_pidove.json</t>
        </is>
      </c>
      <c r="AN1760" s="18" t="inlineStr">
        <is>
          <t>pidove-2</t>
        </is>
      </c>
      <c r="AO1760" s="18" t="inlineStr">
        <is>
          <t>pokemon</t>
        </is>
      </c>
      <c r="AP1760" s="18" t="inlineStr">
        <is>
          <t>natural; treetop</t>
        </is>
      </c>
      <c r="AQ1760" s="18" t="inlineStr">
        <is>
          <t>{"biomes":["#cobblemon:is_mountain","#cobblemon:is_sky"],"maxSkyLight":15,"minSkyLight":8,"timeRange":"day"}</t>
        </is>
      </c>
      <c r="AR1760" s="18" t="inlineStr">
        <is>
          <t>{"biomes":["#cobblemon:is_volcanic"]}</t>
        </is>
      </c>
      <c r="AS1760" s="18" t="inlineStr"/>
      <c r="AT1760" s="19" t="inlineStr"/>
    </row>
    <row r="1761" ht="32" customHeight="1">
      <c r="A1761" s="18" t="inlineStr">
        <is>
          <t>0519_pidove.json::pidove-3::002</t>
        </is>
      </c>
      <c r="B1761" s="19" t="inlineStr">
        <is>
          <t>사용</t>
        </is>
      </c>
      <c r="C1761" s="18">
        <f>IF(OR(B1761&lt;&gt;AK1761,M1761&lt;&gt;L1761,O1761&lt;&gt;"",Q1761&lt;&gt;"",V1761&lt;&gt;1,Y1761&lt;&gt;"",AT1761&lt;&gt;""),"수정","원본")</f>
        <v/>
      </c>
      <c r="D1761" s="18" t="n">
        <v>519</v>
      </c>
      <c r="E1761" s="18" t="inlineStr">
        <is>
          <t>콩둘기</t>
        </is>
      </c>
      <c r="F1761" s="18" t="inlineStr">
        <is>
          <t>pidove</t>
        </is>
      </c>
      <c r="G1761" s="18" t="inlineStr">
        <is>
          <t>pidove</t>
        </is>
      </c>
      <c r="H1761" s="18" t="inlineStr"/>
      <c r="I1761" s="18" t="n">
        <v>5</v>
      </c>
      <c r="J1761" s="18" t="n"/>
      <c r="K1761" s="18" t="n">
        <v>5</v>
      </c>
      <c r="L1761" s="18" t="inlineStr">
        <is>
          <t>cobbleventure:generation_5</t>
        </is>
      </c>
      <c r="M1761" s="19" t="inlineStr">
        <is>
          <t>cobbleventure:generation_5</t>
        </is>
      </c>
      <c r="N1761" s="18" t="inlineStr">
        <is>
          <t>region_01</t>
        </is>
      </c>
      <c r="O1761" s="19" t="inlineStr"/>
      <c r="P1761" s="18" t="inlineStr">
        <is>
          <t>#cobblemon:is_overworld</t>
        </is>
      </c>
      <c r="Q1761" s="19" t="inlineStr"/>
      <c r="R1761" s="18">
        <f>IF(Q1761="",P1761,Q1761)</f>
        <v/>
      </c>
      <c r="S1761" s="18" t="inlineStr">
        <is>
          <t>#cobblemon:is_arid; #cobblemon:is_tundra</t>
        </is>
      </c>
      <c r="T1761" s="18" t="inlineStr">
        <is>
          <t>common</t>
        </is>
      </c>
      <c r="U1761" s="20" t="n">
        <v>9</v>
      </c>
      <c r="V1761" s="21" t="n">
        <v>1</v>
      </c>
      <c r="W1761" s="20">
        <f>IF(OR(U1761="",V1761=""),U1761,U1761*V1761)</f>
        <v/>
      </c>
      <c r="X1761" s="18" t="inlineStr">
        <is>
          <t>1-26</t>
        </is>
      </c>
      <c r="Y1761" s="19" t="inlineStr"/>
      <c r="Z1761" s="18">
        <f>IF(Y1761="",X1761,Y1761)</f>
        <v/>
      </c>
      <c r="AA1761" s="18" t="inlineStr">
        <is>
          <t>grounded</t>
        </is>
      </c>
      <c r="AB1761" s="18" t="inlineStr">
        <is>
          <t>day</t>
        </is>
      </c>
      <c r="AC1761" s="18" t="inlineStr"/>
      <c r="AD1761" s="18" t="inlineStr"/>
      <c r="AE1761" s="18" t="inlineStr">
        <is>
          <t>sky 8-15</t>
        </is>
      </c>
      <c r="AF1761" s="18" t="inlineStr"/>
      <c r="AG1761" s="18" t="inlineStr"/>
      <c r="AH1761" s="18" t="inlineStr"/>
      <c r="AI1761" s="18" t="inlineStr"/>
      <c r="AJ1761" s="18" t="inlineStr">
        <is>
          <t>Cobblemon 동일</t>
        </is>
      </c>
      <c r="AK1761" s="18" t="inlineStr">
        <is>
          <t>사용</t>
        </is>
      </c>
      <c r="AL1761" s="18" t="inlineStr">
        <is>
          <t>COBBLEVERSE 1.7.42 / DP v31</t>
        </is>
      </c>
      <c r="AM1761" s="18" t="inlineStr">
        <is>
          <t>data/cobblemon/spawn_pool_world/0519_pidove.json</t>
        </is>
      </c>
      <c r="AN1761" s="18" t="inlineStr">
        <is>
          <t>pidove-3</t>
        </is>
      </c>
      <c r="AO1761" s="18" t="inlineStr">
        <is>
          <t>pokemon</t>
        </is>
      </c>
      <c r="AP1761" s="18" t="inlineStr">
        <is>
          <t>natural; urban</t>
        </is>
      </c>
      <c r="AQ1761" s="18" t="inlineStr">
        <is>
          <t>{"biomes":["#cobblemon:is_overworld"],"maxSkyLight":15,"minSkyLight":8,"timeRange":"day"}</t>
        </is>
      </c>
      <c r="AR1761" s="18" t="inlineStr">
        <is>
          <t>{"biomes":["#cobblemon:is_arid","#cobblemon:is_tundra"]}</t>
        </is>
      </c>
      <c r="AS1761" s="18" t="inlineStr"/>
      <c r="AT1761" s="19" t="inlineStr"/>
    </row>
    <row r="1762" ht="32" customHeight="1">
      <c r="A1762" s="18" t="inlineStr">
        <is>
          <t>0519_pidove.json::pidove-4::003</t>
        </is>
      </c>
      <c r="B1762" s="19" t="inlineStr">
        <is>
          <t>사용</t>
        </is>
      </c>
      <c r="C1762" s="18">
        <f>IF(OR(B1762&lt;&gt;AK1762,M1762&lt;&gt;L1762,O1762&lt;&gt;"",Q1762&lt;&gt;"",V1762&lt;&gt;1,Y1762&lt;&gt;"",AT1762&lt;&gt;""),"수정","원본")</f>
        <v/>
      </c>
      <c r="D1762" s="18" t="n">
        <v>519</v>
      </c>
      <c r="E1762" s="18" t="inlineStr">
        <is>
          <t>콩둘기</t>
        </is>
      </c>
      <c r="F1762" s="18" t="inlineStr">
        <is>
          <t>pidove</t>
        </is>
      </c>
      <c r="G1762" s="18" t="inlineStr">
        <is>
          <t>pidove</t>
        </is>
      </c>
      <c r="H1762" s="18" t="inlineStr"/>
      <c r="I1762" s="18" t="n">
        <v>5</v>
      </c>
      <c r="J1762" s="18" t="n"/>
      <c r="K1762" s="18" t="n">
        <v>5</v>
      </c>
      <c r="L1762" s="18" t="inlineStr">
        <is>
          <t>cobbleventure:generation_5</t>
        </is>
      </c>
      <c r="M1762" s="19" t="inlineStr">
        <is>
          <t>cobbleventure:generation_5</t>
        </is>
      </c>
      <c r="N1762" s="18" t="inlineStr">
        <is>
          <t>region_01</t>
        </is>
      </c>
      <c r="O1762" s="19" t="inlineStr"/>
      <c r="P1762" s="18" t="inlineStr">
        <is>
          <t>#cobblemon:is_overworld</t>
        </is>
      </c>
      <c r="Q1762" s="19" t="inlineStr"/>
      <c r="R1762" s="18">
        <f>IF(Q1762="",P1762,Q1762)</f>
        <v/>
      </c>
      <c r="S1762" s="18" t="inlineStr">
        <is>
          <t>#cobblemon:is_arid; #cobblemon:is_tundra</t>
        </is>
      </c>
      <c r="T1762" s="18" t="inlineStr">
        <is>
          <t>common</t>
        </is>
      </c>
      <c r="U1762" s="20" t="n">
        <v>9</v>
      </c>
      <c r="V1762" s="21" t="n">
        <v>1</v>
      </c>
      <c r="W1762" s="20">
        <f>IF(OR(U1762="",V1762=""),U1762,U1762*V1762)</f>
        <v/>
      </c>
      <c r="X1762" s="18" t="inlineStr">
        <is>
          <t>1-26</t>
        </is>
      </c>
      <c r="Y1762" s="19" t="inlineStr"/>
      <c r="Z1762" s="18">
        <f>IF(Y1762="",X1762,Y1762)</f>
        <v/>
      </c>
      <c r="AA1762" s="18" t="inlineStr">
        <is>
          <t>grounded</t>
        </is>
      </c>
      <c r="AB1762" s="18" t="inlineStr">
        <is>
          <t>day</t>
        </is>
      </c>
      <c r="AC1762" s="18" t="inlineStr"/>
      <c r="AD1762" s="18" t="inlineStr"/>
      <c r="AE1762" s="18" t="inlineStr">
        <is>
          <t>sky 8-15</t>
        </is>
      </c>
      <c r="AF1762" s="18" t="inlineStr"/>
      <c r="AG1762" s="18" t="inlineStr">
        <is>
          <t>#minecraft:village</t>
        </is>
      </c>
      <c r="AH1762" s="18" t="inlineStr"/>
      <c r="AI1762" s="18" t="inlineStr"/>
      <c r="AJ1762" s="18" t="inlineStr">
        <is>
          <t>Cobblemon 동일</t>
        </is>
      </c>
      <c r="AK1762" s="18" t="inlineStr">
        <is>
          <t>사용</t>
        </is>
      </c>
      <c r="AL1762" s="18" t="inlineStr">
        <is>
          <t>COBBLEVERSE 1.7.42 / DP v31</t>
        </is>
      </c>
      <c r="AM1762" s="18" t="inlineStr">
        <is>
          <t>data/cobblemon/spawn_pool_world/0519_pidove.json</t>
        </is>
      </c>
      <c r="AN1762" s="18" t="inlineStr">
        <is>
          <t>pidove-4</t>
        </is>
      </c>
      <c r="AO1762" s="18" t="inlineStr">
        <is>
          <t>pokemon</t>
        </is>
      </c>
      <c r="AP1762" s="18" t="inlineStr">
        <is>
          <t>natural</t>
        </is>
      </c>
      <c r="AQ1762" s="18" t="inlineStr">
        <is>
          <t>{"biomes":["#cobblemon:is_overworld"],"maxSkyLight":15,"minSkyLight":8,"structures":["#minecraft:village"],"timeRange":"day"}</t>
        </is>
      </c>
      <c r="AR1762" s="18" t="inlineStr">
        <is>
          <t>{"biomes":["#cobblemon:is_arid","#cobblemon:is_tundra"]}</t>
        </is>
      </c>
      <c r="AS1762" s="18" t="inlineStr"/>
      <c r="AT1762" s="19" t="inlineStr"/>
    </row>
    <row r="1763" ht="32" customHeight="1">
      <c r="A1763" s="18" t="inlineStr">
        <is>
          <t>0520_tranquill.json::tranquill-2::001</t>
        </is>
      </c>
      <c r="B1763" s="19" t="inlineStr">
        <is>
          <t>사용</t>
        </is>
      </c>
      <c r="C1763" s="18">
        <f>IF(OR(B1763&lt;&gt;AK1763,M1763&lt;&gt;L1763,O1763&lt;&gt;"",Q1763&lt;&gt;"",V1763&lt;&gt;1,Y1763&lt;&gt;"",AT1763&lt;&gt;""),"수정","원본")</f>
        <v/>
      </c>
      <c r="D1763" s="18" t="n">
        <v>520</v>
      </c>
      <c r="E1763" s="18" t="inlineStr">
        <is>
          <t>유토브</t>
        </is>
      </c>
      <c r="F1763" s="18" t="inlineStr">
        <is>
          <t>tranquill</t>
        </is>
      </c>
      <c r="G1763" s="18" t="inlineStr">
        <is>
          <t>tranquill</t>
        </is>
      </c>
      <c r="H1763" s="18" t="inlineStr"/>
      <c r="I1763" s="18" t="n">
        <v>5</v>
      </c>
      <c r="J1763" s="18" t="n"/>
      <c r="K1763" s="18" t="n">
        <v>5</v>
      </c>
      <c r="L1763" s="18" t="inlineStr">
        <is>
          <t>cobbleventure:generation_5</t>
        </is>
      </c>
      <c r="M1763" s="19" t="inlineStr">
        <is>
          <t>cobbleventure:generation_5</t>
        </is>
      </c>
      <c r="N1763" s="18" t="inlineStr"/>
      <c r="O1763" s="19" t="inlineStr"/>
      <c r="P1763" s="18" t="inlineStr">
        <is>
          <t>#cobblemon:is_mountain; #cobblemon:is_sky</t>
        </is>
      </c>
      <c r="Q1763" s="19" t="inlineStr"/>
      <c r="R1763" s="18">
        <f>IF(Q1763="",P1763,Q1763)</f>
        <v/>
      </c>
      <c r="S1763" s="18" t="inlineStr">
        <is>
          <t>#cobblemon:is_volcanic</t>
        </is>
      </c>
      <c r="T1763" s="18" t="inlineStr">
        <is>
          <t>common</t>
        </is>
      </c>
      <c r="U1763" s="20" t="n">
        <v>0.9</v>
      </c>
      <c r="V1763" s="21" t="n">
        <v>1</v>
      </c>
      <c r="W1763" s="20">
        <f>IF(OR(U1763="",V1763=""),U1763,U1763*V1763)</f>
        <v/>
      </c>
      <c r="X1763" s="18" t="inlineStr">
        <is>
          <t>21-36</t>
        </is>
      </c>
      <c r="Y1763" s="19" t="inlineStr"/>
      <c r="Z1763" s="18">
        <f>IF(Y1763="",X1763,Y1763)</f>
        <v/>
      </c>
      <c r="AA1763" s="18" t="inlineStr">
        <is>
          <t>grounded</t>
        </is>
      </c>
      <c r="AB1763" s="18" t="inlineStr">
        <is>
          <t>day</t>
        </is>
      </c>
      <c r="AC1763" s="18" t="inlineStr"/>
      <c r="AD1763" s="18" t="inlineStr"/>
      <c r="AE1763" s="18" t="inlineStr">
        <is>
          <t>sky 8-15</t>
        </is>
      </c>
      <c r="AF1763" s="18" t="inlineStr"/>
      <c r="AG1763" s="18" t="inlineStr"/>
      <c r="AH1763" s="18" t="inlineStr"/>
      <c r="AI1763" s="18" t="inlineStr"/>
      <c r="AJ1763" s="18" t="inlineStr">
        <is>
          <t>Cobblemon 동일</t>
        </is>
      </c>
      <c r="AK1763" s="18" t="inlineStr">
        <is>
          <t>사용</t>
        </is>
      </c>
      <c r="AL1763" s="18" t="inlineStr">
        <is>
          <t>COBBLEVERSE 1.7.42 / DP v31</t>
        </is>
      </c>
      <c r="AM1763" s="18" t="inlineStr">
        <is>
          <t>data/cobblemon/spawn_pool_world/0520_tranquill.json</t>
        </is>
      </c>
      <c r="AN1763" s="18" t="inlineStr">
        <is>
          <t>tranquill-2</t>
        </is>
      </c>
      <c r="AO1763" s="18" t="inlineStr">
        <is>
          <t>pokemon</t>
        </is>
      </c>
      <c r="AP1763" s="18" t="inlineStr">
        <is>
          <t>natural; treetop</t>
        </is>
      </c>
      <c r="AQ1763" s="18" t="inlineStr">
        <is>
          <t>{"biomes":["#cobblemon:is_mountain","#cobblemon:is_sky"],"maxSkyLight":15,"minSkyLight":8,"timeRange":"day"}</t>
        </is>
      </c>
      <c r="AR1763" s="18" t="inlineStr">
        <is>
          <t>{"biomes":["#cobblemon:is_volcanic"]}</t>
        </is>
      </c>
      <c r="AS1763" s="18" t="inlineStr"/>
      <c r="AT1763" s="19" t="inlineStr"/>
    </row>
    <row r="1764" ht="32" customHeight="1">
      <c r="A1764" s="18" t="inlineStr">
        <is>
          <t>0520_tranquill.json::tranquill-3::002</t>
        </is>
      </c>
      <c r="B1764" s="19" t="inlineStr">
        <is>
          <t>사용</t>
        </is>
      </c>
      <c r="C1764" s="18">
        <f>IF(OR(B1764&lt;&gt;AK1764,M1764&lt;&gt;L1764,O1764&lt;&gt;"",Q1764&lt;&gt;"",V1764&lt;&gt;1,Y1764&lt;&gt;"",AT1764&lt;&gt;""),"수정","원본")</f>
        <v/>
      </c>
      <c r="D1764" s="18" t="n">
        <v>520</v>
      </c>
      <c r="E1764" s="18" t="inlineStr">
        <is>
          <t>유토브</t>
        </is>
      </c>
      <c r="F1764" s="18" t="inlineStr">
        <is>
          <t>tranquill</t>
        </is>
      </c>
      <c r="G1764" s="18" t="inlineStr">
        <is>
          <t>tranquill</t>
        </is>
      </c>
      <c r="H1764" s="18" t="inlineStr"/>
      <c r="I1764" s="18" t="n">
        <v>5</v>
      </c>
      <c r="J1764" s="18" t="n"/>
      <c r="K1764" s="18" t="n">
        <v>5</v>
      </c>
      <c r="L1764" s="18" t="inlineStr">
        <is>
          <t>cobbleventure:generation_5</t>
        </is>
      </c>
      <c r="M1764" s="19" t="inlineStr">
        <is>
          <t>cobbleventure:generation_5</t>
        </is>
      </c>
      <c r="N1764" s="18" t="inlineStr">
        <is>
          <t>region_01</t>
        </is>
      </c>
      <c r="O1764" s="19" t="inlineStr"/>
      <c r="P1764" s="18" t="inlineStr">
        <is>
          <t>#cobblemon:is_overworld</t>
        </is>
      </c>
      <c r="Q1764" s="19" t="inlineStr"/>
      <c r="R1764" s="18">
        <f>IF(Q1764="",P1764,Q1764)</f>
        <v/>
      </c>
      <c r="S1764" s="18" t="inlineStr">
        <is>
          <t>#cobblemon:is_arid; #cobblemon:is_tundra</t>
        </is>
      </c>
      <c r="T1764" s="18" t="inlineStr">
        <is>
          <t>common</t>
        </is>
      </c>
      <c r="U1764" s="20" t="n">
        <v>0.9</v>
      </c>
      <c r="V1764" s="21" t="n">
        <v>1</v>
      </c>
      <c r="W1764" s="20">
        <f>IF(OR(U1764="",V1764=""),U1764,U1764*V1764)</f>
        <v/>
      </c>
      <c r="X1764" s="18" t="inlineStr">
        <is>
          <t>21-36</t>
        </is>
      </c>
      <c r="Y1764" s="19" t="inlineStr"/>
      <c r="Z1764" s="18">
        <f>IF(Y1764="",X1764,Y1764)</f>
        <v/>
      </c>
      <c r="AA1764" s="18" t="inlineStr">
        <is>
          <t>grounded</t>
        </is>
      </c>
      <c r="AB1764" s="18" t="inlineStr">
        <is>
          <t>day</t>
        </is>
      </c>
      <c r="AC1764" s="18" t="inlineStr"/>
      <c r="AD1764" s="18" t="inlineStr"/>
      <c r="AE1764" s="18" t="inlineStr">
        <is>
          <t>sky 8-15</t>
        </is>
      </c>
      <c r="AF1764" s="18" t="inlineStr"/>
      <c r="AG1764" s="18" t="inlineStr"/>
      <c r="AH1764" s="18" t="inlineStr"/>
      <c r="AI1764" s="18" t="inlineStr"/>
      <c r="AJ1764" s="18" t="inlineStr">
        <is>
          <t>Cobblemon 동일</t>
        </is>
      </c>
      <c r="AK1764" s="18" t="inlineStr">
        <is>
          <t>사용</t>
        </is>
      </c>
      <c r="AL1764" s="18" t="inlineStr">
        <is>
          <t>COBBLEVERSE 1.7.42 / DP v31</t>
        </is>
      </c>
      <c r="AM1764" s="18" t="inlineStr">
        <is>
          <t>data/cobblemon/spawn_pool_world/0520_tranquill.json</t>
        </is>
      </c>
      <c r="AN1764" s="18" t="inlineStr">
        <is>
          <t>tranquill-3</t>
        </is>
      </c>
      <c r="AO1764" s="18" t="inlineStr">
        <is>
          <t>pokemon</t>
        </is>
      </c>
      <c r="AP1764" s="18" t="inlineStr">
        <is>
          <t>natural; urban</t>
        </is>
      </c>
      <c r="AQ1764" s="18" t="inlineStr">
        <is>
          <t>{"biomes":["#cobblemon:is_overworld"],"maxSkyLight":15,"minSkyLight":8,"timeRange":"day"}</t>
        </is>
      </c>
      <c r="AR1764" s="18" t="inlineStr">
        <is>
          <t>{"biomes":["#cobblemon:is_arid","#cobblemon:is_tundra"]}</t>
        </is>
      </c>
      <c r="AS1764" s="18" t="inlineStr"/>
      <c r="AT1764" s="19" t="inlineStr"/>
    </row>
    <row r="1765" ht="32" customHeight="1">
      <c r="A1765" s="18" t="inlineStr">
        <is>
          <t>0520_tranquill.json::tranquill-4::003</t>
        </is>
      </c>
      <c r="B1765" s="19" t="inlineStr">
        <is>
          <t>사용</t>
        </is>
      </c>
      <c r="C1765" s="18">
        <f>IF(OR(B1765&lt;&gt;AK1765,M1765&lt;&gt;L1765,O1765&lt;&gt;"",Q1765&lt;&gt;"",V1765&lt;&gt;1,Y1765&lt;&gt;"",AT1765&lt;&gt;""),"수정","원본")</f>
        <v/>
      </c>
      <c r="D1765" s="18" t="n">
        <v>520</v>
      </c>
      <c r="E1765" s="18" t="inlineStr">
        <is>
          <t>유토브</t>
        </is>
      </c>
      <c r="F1765" s="18" t="inlineStr">
        <is>
          <t>tranquill</t>
        </is>
      </c>
      <c r="G1765" s="18" t="inlineStr">
        <is>
          <t>tranquill</t>
        </is>
      </c>
      <c r="H1765" s="18" t="inlineStr"/>
      <c r="I1765" s="18" t="n">
        <v>5</v>
      </c>
      <c r="J1765" s="18" t="n"/>
      <c r="K1765" s="18" t="n">
        <v>5</v>
      </c>
      <c r="L1765" s="18" t="inlineStr">
        <is>
          <t>cobbleventure:generation_5</t>
        </is>
      </c>
      <c r="M1765" s="19" t="inlineStr">
        <is>
          <t>cobbleventure:generation_5</t>
        </is>
      </c>
      <c r="N1765" s="18" t="inlineStr">
        <is>
          <t>region_01</t>
        </is>
      </c>
      <c r="O1765" s="19" t="inlineStr"/>
      <c r="P1765" s="18" t="inlineStr">
        <is>
          <t>#cobblemon:is_overworld</t>
        </is>
      </c>
      <c r="Q1765" s="19" t="inlineStr"/>
      <c r="R1765" s="18">
        <f>IF(Q1765="",P1765,Q1765)</f>
        <v/>
      </c>
      <c r="S1765" s="18" t="inlineStr">
        <is>
          <t>#cobblemon:is_arid; #cobblemon:is_tundra</t>
        </is>
      </c>
      <c r="T1765" s="18" t="inlineStr">
        <is>
          <t>common</t>
        </is>
      </c>
      <c r="U1765" s="20" t="n">
        <v>0.9</v>
      </c>
      <c r="V1765" s="21" t="n">
        <v>1</v>
      </c>
      <c r="W1765" s="20">
        <f>IF(OR(U1765="",V1765=""),U1765,U1765*V1765)</f>
        <v/>
      </c>
      <c r="X1765" s="18" t="inlineStr">
        <is>
          <t>21-36</t>
        </is>
      </c>
      <c r="Y1765" s="19" t="inlineStr"/>
      <c r="Z1765" s="18">
        <f>IF(Y1765="",X1765,Y1765)</f>
        <v/>
      </c>
      <c r="AA1765" s="18" t="inlineStr">
        <is>
          <t>grounded</t>
        </is>
      </c>
      <c r="AB1765" s="18" t="inlineStr">
        <is>
          <t>day</t>
        </is>
      </c>
      <c r="AC1765" s="18" t="inlineStr"/>
      <c r="AD1765" s="18" t="inlineStr"/>
      <c r="AE1765" s="18" t="inlineStr">
        <is>
          <t>sky 8-15</t>
        </is>
      </c>
      <c r="AF1765" s="18" t="inlineStr"/>
      <c r="AG1765" s="18" t="inlineStr">
        <is>
          <t>#minecraft:village</t>
        </is>
      </c>
      <c r="AH1765" s="18" t="inlineStr"/>
      <c r="AI1765" s="18" t="inlineStr"/>
      <c r="AJ1765" s="18" t="inlineStr">
        <is>
          <t>Cobblemon 동일</t>
        </is>
      </c>
      <c r="AK1765" s="18" t="inlineStr">
        <is>
          <t>사용</t>
        </is>
      </c>
      <c r="AL1765" s="18" t="inlineStr">
        <is>
          <t>COBBLEVERSE 1.7.42 / DP v31</t>
        </is>
      </c>
      <c r="AM1765" s="18" t="inlineStr">
        <is>
          <t>data/cobblemon/spawn_pool_world/0520_tranquill.json</t>
        </is>
      </c>
      <c r="AN1765" s="18" t="inlineStr">
        <is>
          <t>tranquill-4</t>
        </is>
      </c>
      <c r="AO1765" s="18" t="inlineStr">
        <is>
          <t>pokemon</t>
        </is>
      </c>
      <c r="AP1765" s="18" t="inlineStr">
        <is>
          <t>natural</t>
        </is>
      </c>
      <c r="AQ1765" s="18" t="inlineStr">
        <is>
          <t>{"biomes":["#cobblemon:is_overworld"],"maxSkyLight":15,"minSkyLight":8,"structures":["#minecraft:village"],"timeRange":"day"}</t>
        </is>
      </c>
      <c r="AR1765" s="18" t="inlineStr">
        <is>
          <t>{"biomes":["#cobblemon:is_arid","#cobblemon:is_tundra"]}</t>
        </is>
      </c>
      <c r="AS1765" s="18" t="inlineStr"/>
      <c r="AT1765" s="19" t="inlineStr"/>
    </row>
    <row r="1766" ht="32" customHeight="1">
      <c r="A1766" s="18" t="inlineStr">
        <is>
          <t>0521_unfezant.json::unfezant-2::001</t>
        </is>
      </c>
      <c r="B1766" s="19" t="inlineStr">
        <is>
          <t>사용</t>
        </is>
      </c>
      <c r="C1766" s="18">
        <f>IF(OR(B1766&lt;&gt;AK1766,M1766&lt;&gt;L1766,O1766&lt;&gt;"",Q1766&lt;&gt;"",V1766&lt;&gt;1,Y1766&lt;&gt;"",AT1766&lt;&gt;""),"수정","원본")</f>
        <v/>
      </c>
      <c r="D1766" s="18" t="n">
        <v>521</v>
      </c>
      <c r="E1766" s="18" t="inlineStr">
        <is>
          <t>켄호로우</t>
        </is>
      </c>
      <c r="F1766" s="18" t="inlineStr">
        <is>
          <t>unfezant</t>
        </is>
      </c>
      <c r="G1766" s="18" t="inlineStr">
        <is>
          <t>unfezant</t>
        </is>
      </c>
      <c r="H1766" s="18" t="inlineStr"/>
      <c r="I1766" s="18" t="n">
        <v>5</v>
      </c>
      <c r="J1766" s="18" t="n"/>
      <c r="K1766" s="18" t="n">
        <v>5</v>
      </c>
      <c r="L1766" s="18" t="inlineStr">
        <is>
          <t>cobbleventure:generation_5</t>
        </is>
      </c>
      <c r="M1766" s="19" t="inlineStr">
        <is>
          <t>cobbleventure:generation_5</t>
        </is>
      </c>
      <c r="N1766" s="18" t="inlineStr"/>
      <c r="O1766" s="19" t="inlineStr"/>
      <c r="P1766" s="18" t="inlineStr">
        <is>
          <t>#cobblemon:is_mountain; #cobblemon:is_sky</t>
        </is>
      </c>
      <c r="Q1766" s="19" t="inlineStr"/>
      <c r="R1766" s="18">
        <f>IF(Q1766="",P1766,Q1766)</f>
        <v/>
      </c>
      <c r="S1766" s="18" t="inlineStr">
        <is>
          <t>#cobblemon:is_volcanic</t>
        </is>
      </c>
      <c r="T1766" s="18" t="inlineStr">
        <is>
          <t>common</t>
        </is>
      </c>
      <c r="U1766" s="20" t="n">
        <v>0.1</v>
      </c>
      <c r="V1766" s="21" t="n">
        <v>1</v>
      </c>
      <c r="W1766" s="20">
        <f>IF(OR(U1766="",V1766=""),U1766,U1766*V1766)</f>
        <v/>
      </c>
      <c r="X1766" s="18" t="inlineStr">
        <is>
          <t>32-49</t>
        </is>
      </c>
      <c r="Y1766" s="19" t="inlineStr"/>
      <c r="Z1766" s="18">
        <f>IF(Y1766="",X1766,Y1766)</f>
        <v/>
      </c>
      <c r="AA1766" s="18" t="inlineStr">
        <is>
          <t>grounded</t>
        </is>
      </c>
      <c r="AB1766" s="18" t="inlineStr">
        <is>
          <t>day</t>
        </is>
      </c>
      <c r="AC1766" s="18" t="inlineStr"/>
      <c r="AD1766" s="18" t="inlineStr"/>
      <c r="AE1766" s="18" t="inlineStr">
        <is>
          <t>sky 8-15</t>
        </is>
      </c>
      <c r="AF1766" s="18" t="inlineStr"/>
      <c r="AG1766" s="18" t="inlineStr"/>
      <c r="AH1766" s="18" t="inlineStr"/>
      <c r="AI1766" s="18" t="inlineStr"/>
      <c r="AJ1766" s="18" t="inlineStr">
        <is>
          <t>Cobblemon 동일</t>
        </is>
      </c>
      <c r="AK1766" s="18" t="inlineStr">
        <is>
          <t>사용</t>
        </is>
      </c>
      <c r="AL1766" s="18" t="inlineStr">
        <is>
          <t>COBBLEVERSE 1.7.42 / DP v31</t>
        </is>
      </c>
      <c r="AM1766" s="18" t="inlineStr">
        <is>
          <t>data/cobblemon/spawn_pool_world/0521_unfezant.json</t>
        </is>
      </c>
      <c r="AN1766" s="18" t="inlineStr">
        <is>
          <t>unfezant-2</t>
        </is>
      </c>
      <c r="AO1766" s="18" t="inlineStr">
        <is>
          <t>pokemon</t>
        </is>
      </c>
      <c r="AP1766" s="18" t="inlineStr">
        <is>
          <t>natural; treetop</t>
        </is>
      </c>
      <c r="AQ1766" s="18" t="inlineStr">
        <is>
          <t>{"biomes":["#cobblemon:is_mountain","#cobblemon:is_sky"],"maxSkyLight":15,"minSkyLight":8,"timeRange":"day"}</t>
        </is>
      </c>
      <c r="AR1766" s="18" t="inlineStr">
        <is>
          <t>{"biomes":["#cobblemon:is_volcanic"]}</t>
        </is>
      </c>
      <c r="AS1766" s="18" t="inlineStr"/>
      <c r="AT1766" s="19" t="inlineStr"/>
    </row>
    <row r="1767" ht="32" customHeight="1">
      <c r="A1767" s="18" t="inlineStr">
        <is>
          <t>0521_unfezant.json::unfezant-3::002</t>
        </is>
      </c>
      <c r="B1767" s="19" t="inlineStr">
        <is>
          <t>사용</t>
        </is>
      </c>
      <c r="C1767" s="18">
        <f>IF(OR(B1767&lt;&gt;AK1767,M1767&lt;&gt;L1767,O1767&lt;&gt;"",Q1767&lt;&gt;"",V1767&lt;&gt;1,Y1767&lt;&gt;"",AT1767&lt;&gt;""),"수정","원본")</f>
        <v/>
      </c>
      <c r="D1767" s="18" t="n">
        <v>521</v>
      </c>
      <c r="E1767" s="18" t="inlineStr">
        <is>
          <t>켄호로우</t>
        </is>
      </c>
      <c r="F1767" s="18" t="inlineStr">
        <is>
          <t>unfezant</t>
        </is>
      </c>
      <c r="G1767" s="18" t="inlineStr">
        <is>
          <t>unfezant</t>
        </is>
      </c>
      <c r="H1767" s="18" t="inlineStr"/>
      <c r="I1767" s="18" t="n">
        <v>5</v>
      </c>
      <c r="J1767" s="18" t="n"/>
      <c r="K1767" s="18" t="n">
        <v>5</v>
      </c>
      <c r="L1767" s="18" t="inlineStr">
        <is>
          <t>cobbleventure:generation_5</t>
        </is>
      </c>
      <c r="M1767" s="19" t="inlineStr">
        <is>
          <t>cobbleventure:generation_5</t>
        </is>
      </c>
      <c r="N1767" s="18" t="inlineStr">
        <is>
          <t>region_01</t>
        </is>
      </c>
      <c r="O1767" s="19" t="inlineStr"/>
      <c r="P1767" s="18" t="inlineStr">
        <is>
          <t>#cobblemon:is_overworld</t>
        </is>
      </c>
      <c r="Q1767" s="19" t="inlineStr"/>
      <c r="R1767" s="18">
        <f>IF(Q1767="",P1767,Q1767)</f>
        <v/>
      </c>
      <c r="S1767" s="18" t="inlineStr">
        <is>
          <t>#cobblemon:is_arid; #cobblemon:is_tundra</t>
        </is>
      </c>
      <c r="T1767" s="18" t="inlineStr">
        <is>
          <t>common</t>
        </is>
      </c>
      <c r="U1767" s="20" t="n">
        <v>0.1</v>
      </c>
      <c r="V1767" s="21" t="n">
        <v>1</v>
      </c>
      <c r="W1767" s="20">
        <f>IF(OR(U1767="",V1767=""),U1767,U1767*V1767)</f>
        <v/>
      </c>
      <c r="X1767" s="18" t="inlineStr">
        <is>
          <t>32-49</t>
        </is>
      </c>
      <c r="Y1767" s="19" t="inlineStr"/>
      <c r="Z1767" s="18">
        <f>IF(Y1767="",X1767,Y1767)</f>
        <v/>
      </c>
      <c r="AA1767" s="18" t="inlineStr">
        <is>
          <t>grounded</t>
        </is>
      </c>
      <c r="AB1767" s="18" t="inlineStr">
        <is>
          <t>day</t>
        </is>
      </c>
      <c r="AC1767" s="18" t="inlineStr"/>
      <c r="AD1767" s="18" t="inlineStr"/>
      <c r="AE1767" s="18" t="inlineStr">
        <is>
          <t>sky 8-15</t>
        </is>
      </c>
      <c r="AF1767" s="18" t="inlineStr"/>
      <c r="AG1767" s="18" t="inlineStr"/>
      <c r="AH1767" s="18" t="inlineStr"/>
      <c r="AI1767" s="18" t="inlineStr"/>
      <c r="AJ1767" s="18" t="inlineStr">
        <is>
          <t>Cobblemon 동일</t>
        </is>
      </c>
      <c r="AK1767" s="18" t="inlineStr">
        <is>
          <t>사용</t>
        </is>
      </c>
      <c r="AL1767" s="18" t="inlineStr">
        <is>
          <t>COBBLEVERSE 1.7.42 / DP v31</t>
        </is>
      </c>
      <c r="AM1767" s="18" t="inlineStr">
        <is>
          <t>data/cobblemon/spawn_pool_world/0521_unfezant.json</t>
        </is>
      </c>
      <c r="AN1767" s="18" t="inlineStr">
        <is>
          <t>unfezant-3</t>
        </is>
      </c>
      <c r="AO1767" s="18" t="inlineStr">
        <is>
          <t>pokemon</t>
        </is>
      </c>
      <c r="AP1767" s="18" t="inlineStr">
        <is>
          <t>natural; urban</t>
        </is>
      </c>
      <c r="AQ1767" s="18" t="inlineStr">
        <is>
          <t>{"biomes":["#cobblemon:is_overworld"],"maxSkyLight":15,"minSkyLight":8,"timeRange":"day"}</t>
        </is>
      </c>
      <c r="AR1767" s="18" t="inlineStr">
        <is>
          <t>{"biomes":["#cobblemon:is_arid","#cobblemon:is_tundra"]}</t>
        </is>
      </c>
      <c r="AS1767" s="18" t="inlineStr"/>
      <c r="AT1767" s="19" t="inlineStr"/>
    </row>
    <row r="1768" ht="32" customHeight="1">
      <c r="A1768" s="18" t="inlineStr">
        <is>
          <t>0521_unfezant.json::unfezant-4::003</t>
        </is>
      </c>
      <c r="B1768" s="19" t="inlineStr">
        <is>
          <t>사용</t>
        </is>
      </c>
      <c r="C1768" s="18">
        <f>IF(OR(B1768&lt;&gt;AK1768,M1768&lt;&gt;L1768,O1768&lt;&gt;"",Q1768&lt;&gt;"",V1768&lt;&gt;1,Y1768&lt;&gt;"",AT1768&lt;&gt;""),"수정","원본")</f>
        <v/>
      </c>
      <c r="D1768" s="18" t="n">
        <v>521</v>
      </c>
      <c r="E1768" s="18" t="inlineStr">
        <is>
          <t>켄호로우</t>
        </is>
      </c>
      <c r="F1768" s="18" t="inlineStr">
        <is>
          <t>unfezant</t>
        </is>
      </c>
      <c r="G1768" s="18" t="inlineStr">
        <is>
          <t>unfezant</t>
        </is>
      </c>
      <c r="H1768" s="18" t="inlineStr"/>
      <c r="I1768" s="18" t="n">
        <v>5</v>
      </c>
      <c r="J1768" s="18" t="n"/>
      <c r="K1768" s="18" t="n">
        <v>5</v>
      </c>
      <c r="L1768" s="18" t="inlineStr">
        <is>
          <t>cobbleventure:generation_5</t>
        </is>
      </c>
      <c r="M1768" s="19" t="inlineStr">
        <is>
          <t>cobbleventure:generation_5</t>
        </is>
      </c>
      <c r="N1768" s="18" t="inlineStr">
        <is>
          <t>region_01</t>
        </is>
      </c>
      <c r="O1768" s="19" t="inlineStr"/>
      <c r="P1768" s="18" t="inlineStr">
        <is>
          <t>#cobblemon:is_overworld</t>
        </is>
      </c>
      <c r="Q1768" s="19" t="inlineStr"/>
      <c r="R1768" s="18">
        <f>IF(Q1768="",P1768,Q1768)</f>
        <v/>
      </c>
      <c r="S1768" s="18" t="inlineStr">
        <is>
          <t>#cobblemon:is_arid; #cobblemon:is_tundra</t>
        </is>
      </c>
      <c r="T1768" s="18" t="inlineStr">
        <is>
          <t>common</t>
        </is>
      </c>
      <c r="U1768" s="20" t="n">
        <v>0.1</v>
      </c>
      <c r="V1768" s="21" t="n">
        <v>1</v>
      </c>
      <c r="W1768" s="20">
        <f>IF(OR(U1768="",V1768=""),U1768,U1768*V1768)</f>
        <v/>
      </c>
      <c r="X1768" s="18" t="inlineStr">
        <is>
          <t>32-49</t>
        </is>
      </c>
      <c r="Y1768" s="19" t="inlineStr"/>
      <c r="Z1768" s="18">
        <f>IF(Y1768="",X1768,Y1768)</f>
        <v/>
      </c>
      <c r="AA1768" s="18" t="inlineStr">
        <is>
          <t>grounded</t>
        </is>
      </c>
      <c r="AB1768" s="18" t="inlineStr">
        <is>
          <t>day</t>
        </is>
      </c>
      <c r="AC1768" s="18" t="inlineStr"/>
      <c r="AD1768" s="18" t="inlineStr"/>
      <c r="AE1768" s="18" t="inlineStr">
        <is>
          <t>sky 8-15</t>
        </is>
      </c>
      <c r="AF1768" s="18" t="inlineStr"/>
      <c r="AG1768" s="18" t="inlineStr">
        <is>
          <t>#minecraft:village</t>
        </is>
      </c>
      <c r="AH1768" s="18" t="inlineStr"/>
      <c r="AI1768" s="18" t="inlineStr"/>
      <c r="AJ1768" s="18" t="inlineStr">
        <is>
          <t>Cobblemon 동일</t>
        </is>
      </c>
      <c r="AK1768" s="18" t="inlineStr">
        <is>
          <t>사용</t>
        </is>
      </c>
      <c r="AL1768" s="18" t="inlineStr">
        <is>
          <t>COBBLEVERSE 1.7.42 / DP v31</t>
        </is>
      </c>
      <c r="AM1768" s="18" t="inlineStr">
        <is>
          <t>data/cobblemon/spawn_pool_world/0521_unfezant.json</t>
        </is>
      </c>
      <c r="AN1768" s="18" t="inlineStr">
        <is>
          <t>unfezant-4</t>
        </is>
      </c>
      <c r="AO1768" s="18" t="inlineStr">
        <is>
          <t>pokemon</t>
        </is>
      </c>
      <c r="AP1768" s="18" t="inlineStr">
        <is>
          <t>natural</t>
        </is>
      </c>
      <c r="AQ1768" s="18" t="inlineStr">
        <is>
          <t>{"biomes":["#cobblemon:is_overworld"],"maxSkyLight":15,"minSkyLight":8,"structures":["#minecraft:village"],"timeRange":"day"}</t>
        </is>
      </c>
      <c r="AR1768" s="18" t="inlineStr">
        <is>
          <t>{"biomes":["#cobblemon:is_arid","#cobblemon:is_tundra"]}</t>
        </is>
      </c>
      <c r="AS1768" s="18" t="inlineStr"/>
      <c r="AT1768" s="19" t="inlineStr"/>
    </row>
    <row r="1769" ht="32" customHeight="1">
      <c r="A1769" s="18" t="inlineStr">
        <is>
          <t>0522_blitzle.json::blitzle-1::001</t>
        </is>
      </c>
      <c r="B1769" s="19" t="inlineStr">
        <is>
          <t>사용</t>
        </is>
      </c>
      <c r="C1769" s="18">
        <f>IF(OR(B1769&lt;&gt;AK1769,M1769&lt;&gt;L1769,O1769&lt;&gt;"",Q1769&lt;&gt;"",V1769&lt;&gt;1,Y1769&lt;&gt;"",AT1769&lt;&gt;""),"수정","원본")</f>
        <v/>
      </c>
      <c r="D1769" s="18" t="n">
        <v>522</v>
      </c>
      <c r="E1769" s="18" t="inlineStr">
        <is>
          <t>줄뮤마</t>
        </is>
      </c>
      <c r="F1769" s="18" t="inlineStr">
        <is>
          <t>blitzle</t>
        </is>
      </c>
      <c r="G1769" s="18" t="inlineStr">
        <is>
          <t>blitzle</t>
        </is>
      </c>
      <c r="H1769" s="18" t="inlineStr"/>
      <c r="I1769" s="18" t="n">
        <v>5</v>
      </c>
      <c r="J1769" s="18" t="n"/>
      <c r="K1769" s="18" t="n">
        <v>5</v>
      </c>
      <c r="L1769" s="18" t="inlineStr">
        <is>
          <t>cobbleventure:generation_5</t>
        </is>
      </c>
      <c r="M1769" s="19" t="inlineStr">
        <is>
          <t>cobbleventure:generation_5</t>
        </is>
      </c>
      <c r="N1769" s="18" t="inlineStr"/>
      <c r="O1769" s="19" t="inlineStr"/>
      <c r="P1769" s="18" t="inlineStr">
        <is>
          <t>#cobblemon:is_savanna</t>
        </is>
      </c>
      <c r="Q1769" s="19" t="inlineStr"/>
      <c r="R1769" s="18">
        <f>IF(Q1769="",P1769,Q1769)</f>
        <v/>
      </c>
      <c r="S1769" s="18" t="inlineStr"/>
      <c r="T1769" s="18" t="inlineStr">
        <is>
          <t>common</t>
        </is>
      </c>
      <c r="U1769" s="20" t="n">
        <v>9</v>
      </c>
      <c r="V1769" s="21" t="n">
        <v>1</v>
      </c>
      <c r="W1769" s="20">
        <f>IF(OR(U1769="",V1769=""),U1769,U1769*V1769)</f>
        <v/>
      </c>
      <c r="X1769" s="18" t="inlineStr">
        <is>
          <t>5-30</t>
        </is>
      </c>
      <c r="Y1769" s="19" t="inlineStr"/>
      <c r="Z1769" s="18">
        <f>IF(Y1769="",X1769,Y1769)</f>
        <v/>
      </c>
      <c r="AA1769" s="18" t="inlineStr">
        <is>
          <t>grounded</t>
        </is>
      </c>
      <c r="AB1769" s="18" t="inlineStr"/>
      <c r="AC1769" s="18" t="inlineStr"/>
      <c r="AD1769" s="18" t="inlineStr"/>
      <c r="AE1769" s="18" t="inlineStr">
        <is>
          <t>sky 8-15</t>
        </is>
      </c>
      <c r="AF1769" s="18" t="inlineStr"/>
      <c r="AG1769" s="18" t="inlineStr"/>
      <c r="AH1769" s="18" t="inlineStr"/>
      <c r="AI1769" s="18" t="inlineStr"/>
      <c r="AJ1769" s="18" t="inlineStr">
        <is>
          <t>Cobblemon 동일</t>
        </is>
      </c>
      <c r="AK1769" s="18" t="inlineStr">
        <is>
          <t>사용</t>
        </is>
      </c>
      <c r="AL1769" s="18" t="inlineStr">
        <is>
          <t>COBBLEVERSE 1.7.42 / DP v31</t>
        </is>
      </c>
      <c r="AM1769" s="18" t="inlineStr">
        <is>
          <t>data/cobblemon/spawn_pool_world/0522_blitzle.json</t>
        </is>
      </c>
      <c r="AN1769" s="18" t="inlineStr">
        <is>
          <t>blitzle-1</t>
        </is>
      </c>
      <c r="AO1769" s="18" t="inlineStr">
        <is>
          <t>pokemon</t>
        </is>
      </c>
      <c r="AP1769" s="18" t="inlineStr">
        <is>
          <t>natural; wild</t>
        </is>
      </c>
      <c r="AQ1769" s="18" t="inlineStr">
        <is>
          <t>{"biomes":["#cobblemon:is_savanna"],"maxSkyLight":15,"minSkyLight":8}</t>
        </is>
      </c>
      <c r="AR1769" s="18" t="inlineStr"/>
      <c r="AS1769" s="18" t="inlineStr">
        <is>
          <t>{"weightMultipliers":[{"condition":{"timeRange":"night"},"multiplier":0.25},{"condition":{"isThundering":true},"multiplier":5.0}]}</t>
        </is>
      </c>
      <c r="AT1769" s="19" t="inlineStr"/>
    </row>
    <row r="1770" ht="32" customHeight="1">
      <c r="A1770" s="18" t="inlineStr">
        <is>
          <t>0523_zebstrika.json::zebstrika-1::001</t>
        </is>
      </c>
      <c r="B1770" s="19" t="inlineStr">
        <is>
          <t>사용</t>
        </is>
      </c>
      <c r="C1770" s="18">
        <f>IF(OR(B1770&lt;&gt;AK1770,M1770&lt;&gt;L1770,O1770&lt;&gt;"",Q1770&lt;&gt;"",V1770&lt;&gt;1,Y1770&lt;&gt;"",AT1770&lt;&gt;""),"수정","원본")</f>
        <v/>
      </c>
      <c r="D1770" s="18" t="n">
        <v>523</v>
      </c>
      <c r="E1770" s="18" t="inlineStr">
        <is>
          <t>제브라이카</t>
        </is>
      </c>
      <c r="F1770" s="18" t="inlineStr">
        <is>
          <t>zebstrika</t>
        </is>
      </c>
      <c r="G1770" s="18" t="inlineStr">
        <is>
          <t>zebstrika</t>
        </is>
      </c>
      <c r="H1770" s="18" t="inlineStr"/>
      <c r="I1770" s="18" t="n">
        <v>5</v>
      </c>
      <c r="J1770" s="18" t="n"/>
      <c r="K1770" s="18" t="n">
        <v>5</v>
      </c>
      <c r="L1770" s="18" t="inlineStr">
        <is>
          <t>cobbleventure:generation_5</t>
        </is>
      </c>
      <c r="M1770" s="19" t="inlineStr">
        <is>
          <t>cobbleventure:generation_5</t>
        </is>
      </c>
      <c r="N1770" s="18" t="inlineStr"/>
      <c r="O1770" s="19" t="inlineStr"/>
      <c r="P1770" s="18" t="inlineStr">
        <is>
          <t>#cobblemon:is_savanna</t>
        </is>
      </c>
      <c r="Q1770" s="19" t="inlineStr"/>
      <c r="R1770" s="18">
        <f>IF(Q1770="",P1770,Q1770)</f>
        <v/>
      </c>
      <c r="S1770" s="18" t="inlineStr"/>
      <c r="T1770" s="18" t="inlineStr">
        <is>
          <t>common</t>
        </is>
      </c>
      <c r="U1770" s="20" t="n">
        <v>1</v>
      </c>
      <c r="V1770" s="21" t="n">
        <v>1</v>
      </c>
      <c r="W1770" s="20">
        <f>IF(OR(U1770="",V1770=""),U1770,U1770*V1770)</f>
        <v/>
      </c>
      <c r="X1770" s="18" t="inlineStr">
        <is>
          <t>27-50</t>
        </is>
      </c>
      <c r="Y1770" s="19" t="inlineStr"/>
      <c r="Z1770" s="18">
        <f>IF(Y1770="",X1770,Y1770)</f>
        <v/>
      </c>
      <c r="AA1770" s="18" t="inlineStr">
        <is>
          <t>grounded</t>
        </is>
      </c>
      <c r="AB1770" s="18" t="inlineStr"/>
      <c r="AC1770" s="18" t="inlineStr"/>
      <c r="AD1770" s="18" t="inlineStr"/>
      <c r="AE1770" s="18" t="inlineStr">
        <is>
          <t>sky 8-15</t>
        </is>
      </c>
      <c r="AF1770" s="18" t="inlineStr"/>
      <c r="AG1770" s="18" t="inlineStr"/>
      <c r="AH1770" s="18" t="inlineStr"/>
      <c r="AI1770" s="18" t="inlineStr"/>
      <c r="AJ1770" s="18" t="inlineStr">
        <is>
          <t>Cobblemon 동일</t>
        </is>
      </c>
      <c r="AK1770" s="18" t="inlineStr">
        <is>
          <t>사용</t>
        </is>
      </c>
      <c r="AL1770" s="18" t="inlineStr">
        <is>
          <t>COBBLEVERSE 1.7.42 / DP v31</t>
        </is>
      </c>
      <c r="AM1770" s="18" t="inlineStr">
        <is>
          <t>data/cobblemon/spawn_pool_world/0523_zebstrika.json</t>
        </is>
      </c>
      <c r="AN1770" s="18" t="inlineStr">
        <is>
          <t>zebstrika-1</t>
        </is>
      </c>
      <c r="AO1770" s="18" t="inlineStr">
        <is>
          <t>pokemon</t>
        </is>
      </c>
      <c r="AP1770" s="18" t="inlineStr">
        <is>
          <t>natural; wild</t>
        </is>
      </c>
      <c r="AQ1770" s="18" t="inlineStr">
        <is>
          <t>{"biomes":["#cobblemon:is_savanna"],"maxSkyLight":15,"minSkyLight":8}</t>
        </is>
      </c>
      <c r="AR1770" s="18" t="inlineStr"/>
      <c r="AS1770" s="18" t="inlineStr">
        <is>
          <t>{"weightMultipliers":[{"condition":{"timeRange":"night"},"multiplier":0.25},{"condition":{"isThundering":true},"multiplier":5.0}]}</t>
        </is>
      </c>
      <c r="AT1770" s="19" t="inlineStr"/>
    </row>
    <row r="1771" ht="32" customHeight="1">
      <c r="A1771" s="18" t="inlineStr">
        <is>
          <t>0524_roggenrola.json::roggenrola-1::001</t>
        </is>
      </c>
      <c r="B1771" s="19" t="inlineStr">
        <is>
          <t>사용</t>
        </is>
      </c>
      <c r="C1771" s="18">
        <f>IF(OR(B1771&lt;&gt;AK1771,M1771&lt;&gt;L1771,O1771&lt;&gt;"",Q1771&lt;&gt;"",V1771&lt;&gt;1,Y1771&lt;&gt;"",AT1771&lt;&gt;""),"수정","원본")</f>
        <v/>
      </c>
      <c r="D1771" s="18" t="n">
        <v>524</v>
      </c>
      <c r="E1771" s="18" t="inlineStr">
        <is>
          <t>단굴</t>
        </is>
      </c>
      <c r="F1771" s="18" t="inlineStr">
        <is>
          <t>roggenrola</t>
        </is>
      </c>
      <c r="G1771" s="18" t="inlineStr">
        <is>
          <t>roggenrola</t>
        </is>
      </c>
      <c r="H1771" s="18" t="inlineStr"/>
      <c r="I1771" s="18" t="n">
        <v>5</v>
      </c>
      <c r="J1771" s="18" t="n"/>
      <c r="K1771" s="18" t="n">
        <v>5</v>
      </c>
      <c r="L1771" s="18" t="inlineStr">
        <is>
          <t>cobbleventure:generation_5</t>
        </is>
      </c>
      <c r="M1771" s="19" t="inlineStr">
        <is>
          <t>cobbleventure:generation_5</t>
        </is>
      </c>
      <c r="N1771" s="18" t="inlineStr">
        <is>
          <t>region_01; region_02</t>
        </is>
      </c>
      <c r="O1771" s="19" t="inlineStr"/>
      <c r="P1771" s="18" t="inlineStr">
        <is>
          <t>#cobblemon:is_overworld</t>
        </is>
      </c>
      <c r="Q1771" s="19" t="inlineStr"/>
      <c r="R1771" s="18">
        <f>IF(Q1771="",P1771,Q1771)</f>
        <v/>
      </c>
      <c r="S1771" s="18" t="inlineStr">
        <is>
          <t>#cobblemon:is_deep_dark</t>
        </is>
      </c>
      <c r="T1771" s="18" t="inlineStr">
        <is>
          <t>common</t>
        </is>
      </c>
      <c r="U1771" s="20" t="n">
        <v>9</v>
      </c>
      <c r="V1771" s="21" t="n">
        <v>1</v>
      </c>
      <c r="W1771" s="20">
        <f>IF(OR(U1771="",V1771=""),U1771,U1771*V1771)</f>
        <v/>
      </c>
      <c r="X1771" s="18" t="inlineStr">
        <is>
          <t>3-28</t>
        </is>
      </c>
      <c r="Y1771" s="19" t="inlineStr"/>
      <c r="Z1771" s="18">
        <f>IF(Y1771="",X1771,Y1771)</f>
        <v/>
      </c>
      <c r="AA1771" s="18" t="inlineStr">
        <is>
          <t>grounded</t>
        </is>
      </c>
      <c r="AB1771" s="18" t="inlineStr"/>
      <c r="AC1771" s="18" t="inlineStr"/>
      <c r="AD1771" s="18" t="inlineStr">
        <is>
          <t>maxY=0</t>
        </is>
      </c>
      <c r="AE1771" s="18" t="inlineStr">
        <is>
          <t>sky 0-7</t>
        </is>
      </c>
      <c r="AF1771" s="18" t="inlineStr"/>
      <c r="AG1771" s="18" t="inlineStr"/>
      <c r="AH1771" s="18" t="inlineStr"/>
      <c r="AI1771" s="18" t="inlineStr"/>
      <c r="AJ1771" s="18" t="inlineStr">
        <is>
          <t>Cobblemon 동일</t>
        </is>
      </c>
      <c r="AK1771" s="18" t="inlineStr">
        <is>
          <t>사용</t>
        </is>
      </c>
      <c r="AL1771" s="18" t="inlineStr">
        <is>
          <t>COBBLEVERSE 1.7.42 / DP v31</t>
        </is>
      </c>
      <c r="AM1771" s="18" t="inlineStr">
        <is>
          <t>data/cobblemon/spawn_pool_world/0524_roggenrola.json</t>
        </is>
      </c>
      <c r="AN1771" s="18" t="inlineStr">
        <is>
          <t>roggenrola-1</t>
        </is>
      </c>
      <c r="AO1771" s="18" t="inlineStr">
        <is>
          <t>pokemon</t>
        </is>
      </c>
      <c r="AP1771" s="18" t="inlineStr">
        <is>
          <t>natural</t>
        </is>
      </c>
      <c r="AQ1771" s="18" t="inlineStr">
        <is>
          <t>{"biomes":["#cobblemon:is_overworld"],"maxSkyLight":7,"maxY":0,"minSkyLight":0}</t>
        </is>
      </c>
      <c r="AR1771" s="18" t="inlineStr">
        <is>
          <t>{"biomes":["#cobblemon:is_deep_dark"]}</t>
        </is>
      </c>
      <c r="AS1771" s="18" t="inlineStr"/>
      <c r="AT1771" s="19" t="inlineStr"/>
    </row>
    <row r="1772" ht="32" customHeight="1">
      <c r="A1772" s="18" t="inlineStr">
        <is>
          <t>0524_roggenrola.json::roggenrola-2::002</t>
        </is>
      </c>
      <c r="B1772" s="19" t="inlineStr">
        <is>
          <t>사용</t>
        </is>
      </c>
      <c r="C1772" s="18">
        <f>IF(OR(B1772&lt;&gt;AK1772,M1772&lt;&gt;L1772,O1772&lt;&gt;"",Q1772&lt;&gt;"",V1772&lt;&gt;1,Y1772&lt;&gt;"",AT1772&lt;&gt;""),"수정","원본")</f>
        <v/>
      </c>
      <c r="D1772" s="18" t="n">
        <v>524</v>
      </c>
      <c r="E1772" s="18" t="inlineStr">
        <is>
          <t>단굴</t>
        </is>
      </c>
      <c r="F1772" s="18" t="inlineStr">
        <is>
          <t>roggenrola</t>
        </is>
      </c>
      <c r="G1772" s="18" t="inlineStr">
        <is>
          <t>roggenrola</t>
        </is>
      </c>
      <c r="H1772" s="18" t="inlineStr"/>
      <c r="I1772" s="18" t="n">
        <v>5</v>
      </c>
      <c r="J1772" s="18" t="n"/>
      <c r="K1772" s="18" t="n">
        <v>5</v>
      </c>
      <c r="L1772" s="18" t="inlineStr">
        <is>
          <t>cobbleventure:generation_5</t>
        </is>
      </c>
      <c r="M1772" s="19" t="inlineStr">
        <is>
          <t>cobbleventure:generation_5</t>
        </is>
      </c>
      <c r="N1772" s="18" t="inlineStr"/>
      <c r="O1772" s="19" t="inlineStr"/>
      <c r="P1772" s="18" t="inlineStr">
        <is>
          <t>#cobblemon:is_deep_dark</t>
        </is>
      </c>
      <c r="Q1772" s="19" t="inlineStr"/>
      <c r="R1772" s="18">
        <f>IF(Q1772="",P1772,Q1772)</f>
        <v/>
      </c>
      <c r="S1772" s="18" t="inlineStr"/>
      <c r="T1772" s="18" t="inlineStr">
        <is>
          <t>uncommon</t>
        </is>
      </c>
      <c r="U1772" s="20" t="n">
        <v>8.4</v>
      </c>
      <c r="V1772" s="21" t="n">
        <v>1</v>
      </c>
      <c r="W1772" s="20">
        <f>IF(OR(U1772="",V1772=""),U1772,U1772*V1772)</f>
        <v/>
      </c>
      <c r="X1772" s="18" t="inlineStr">
        <is>
          <t>3-28</t>
        </is>
      </c>
      <c r="Y1772" s="19" t="inlineStr"/>
      <c r="Z1772" s="18">
        <f>IF(Y1772="",X1772,Y1772)</f>
        <v/>
      </c>
      <c r="AA1772" s="18" t="inlineStr">
        <is>
          <t>grounded</t>
        </is>
      </c>
      <c r="AB1772" s="18" t="inlineStr"/>
      <c r="AC1772" s="18" t="inlineStr"/>
      <c r="AD1772" s="18" t="inlineStr"/>
      <c r="AE1772" s="18" t="inlineStr">
        <is>
          <t>sky 0-7</t>
        </is>
      </c>
      <c r="AF1772" s="18" t="inlineStr"/>
      <c r="AG1772" s="18" t="inlineStr"/>
      <c r="AH1772" s="18" t="inlineStr"/>
      <c r="AI1772" s="18" t="inlineStr"/>
      <c r="AJ1772" s="18" t="inlineStr">
        <is>
          <t>Cobblemon 동일</t>
        </is>
      </c>
      <c r="AK1772" s="18" t="inlineStr">
        <is>
          <t>사용</t>
        </is>
      </c>
      <c r="AL1772" s="18" t="inlineStr">
        <is>
          <t>COBBLEVERSE 1.7.42 / DP v31</t>
        </is>
      </c>
      <c r="AM1772" s="18" t="inlineStr">
        <is>
          <t>data/cobblemon/spawn_pool_world/0524_roggenrola.json</t>
        </is>
      </c>
      <c r="AN1772" s="18" t="inlineStr">
        <is>
          <t>roggenrola-2</t>
        </is>
      </c>
      <c r="AO1772" s="18" t="inlineStr">
        <is>
          <t>pokemon</t>
        </is>
      </c>
      <c r="AP1772" s="18" t="inlineStr">
        <is>
          <t>natural</t>
        </is>
      </c>
      <c r="AQ1772" s="18" t="inlineStr">
        <is>
          <t>{"biomes":["#cobblemon:is_deep_dark"],"maxSkyLight":7,"minSkyLight":0}</t>
        </is>
      </c>
      <c r="AR1772" s="18" t="inlineStr"/>
      <c r="AS1772" s="18" t="inlineStr"/>
      <c r="AT1772" s="19" t="inlineStr"/>
    </row>
    <row r="1773" ht="32" customHeight="1">
      <c r="A1773" s="18" t="inlineStr">
        <is>
          <t>0525_boldore.json::boldore-1::001</t>
        </is>
      </c>
      <c r="B1773" s="19" t="inlineStr">
        <is>
          <t>사용</t>
        </is>
      </c>
      <c r="C1773" s="18">
        <f>IF(OR(B1773&lt;&gt;AK1773,M1773&lt;&gt;L1773,O1773&lt;&gt;"",Q1773&lt;&gt;"",V1773&lt;&gt;1,Y1773&lt;&gt;"",AT1773&lt;&gt;""),"수정","원본")</f>
        <v/>
      </c>
      <c r="D1773" s="18" t="n">
        <v>525</v>
      </c>
      <c r="E1773" s="18" t="inlineStr">
        <is>
          <t>암트르</t>
        </is>
      </c>
      <c r="F1773" s="18" t="inlineStr">
        <is>
          <t>boldore</t>
        </is>
      </c>
      <c r="G1773" s="18" t="inlineStr">
        <is>
          <t>boldore</t>
        </is>
      </c>
      <c r="H1773" s="18" t="inlineStr"/>
      <c r="I1773" s="18" t="n">
        <v>5</v>
      </c>
      <c r="J1773" s="18" t="n"/>
      <c r="K1773" s="18" t="n">
        <v>5</v>
      </c>
      <c r="L1773" s="18" t="inlineStr">
        <is>
          <t>cobbleventure:generation_5</t>
        </is>
      </c>
      <c r="M1773" s="19" t="inlineStr">
        <is>
          <t>cobbleventure:generation_5</t>
        </is>
      </c>
      <c r="N1773" s="18" t="inlineStr">
        <is>
          <t>region_01; region_02</t>
        </is>
      </c>
      <c r="O1773" s="19" t="inlineStr"/>
      <c r="P1773" s="18" t="inlineStr">
        <is>
          <t>#cobblemon:is_overworld</t>
        </is>
      </c>
      <c r="Q1773" s="19" t="inlineStr"/>
      <c r="R1773" s="18">
        <f>IF(Q1773="",P1773,Q1773)</f>
        <v/>
      </c>
      <c r="S1773" s="18" t="inlineStr">
        <is>
          <t>#cobblemon:is_deep_dark</t>
        </is>
      </c>
      <c r="T1773" s="18" t="inlineStr">
        <is>
          <t>common</t>
        </is>
      </c>
      <c r="U1773" s="20" t="n">
        <v>0.95</v>
      </c>
      <c r="V1773" s="21" t="n">
        <v>1</v>
      </c>
      <c r="W1773" s="20">
        <f>IF(OR(U1773="",V1773=""),U1773,U1773*V1773)</f>
        <v/>
      </c>
      <c r="X1773" s="18" t="inlineStr">
        <is>
          <t>25-39</t>
        </is>
      </c>
      <c r="Y1773" s="19" t="inlineStr"/>
      <c r="Z1773" s="18">
        <f>IF(Y1773="",X1773,Y1773)</f>
        <v/>
      </c>
      <c r="AA1773" s="18" t="inlineStr">
        <is>
          <t>grounded</t>
        </is>
      </c>
      <c r="AB1773" s="18" t="inlineStr"/>
      <c r="AC1773" s="18" t="inlineStr"/>
      <c r="AD1773" s="18" t="inlineStr">
        <is>
          <t>maxY=0</t>
        </is>
      </c>
      <c r="AE1773" s="18" t="inlineStr">
        <is>
          <t>sky 0-7</t>
        </is>
      </c>
      <c r="AF1773" s="18" t="inlineStr"/>
      <c r="AG1773" s="18" t="inlineStr"/>
      <c r="AH1773" s="18" t="inlineStr"/>
      <c r="AI1773" s="18" t="inlineStr"/>
      <c r="AJ1773" s="18" t="inlineStr">
        <is>
          <t>Cobblemon 동일</t>
        </is>
      </c>
      <c r="AK1773" s="18" t="inlineStr">
        <is>
          <t>사용</t>
        </is>
      </c>
      <c r="AL1773" s="18" t="inlineStr">
        <is>
          <t>COBBLEVERSE 1.7.42 / DP v31</t>
        </is>
      </c>
      <c r="AM1773" s="18" t="inlineStr">
        <is>
          <t>data/cobblemon/spawn_pool_world/0525_boldore.json</t>
        </is>
      </c>
      <c r="AN1773" s="18" t="inlineStr">
        <is>
          <t>boldore-1</t>
        </is>
      </c>
      <c r="AO1773" s="18" t="inlineStr">
        <is>
          <t>pokemon</t>
        </is>
      </c>
      <c r="AP1773" s="18" t="inlineStr">
        <is>
          <t>natural</t>
        </is>
      </c>
      <c r="AQ1773" s="18" t="inlineStr">
        <is>
          <t>{"biomes":["#cobblemon:is_overworld"],"maxSkyLight":7,"maxY":0,"minSkyLight":0}</t>
        </is>
      </c>
      <c r="AR1773" s="18" t="inlineStr">
        <is>
          <t>{"biomes":["#cobblemon:is_deep_dark"]}</t>
        </is>
      </c>
      <c r="AS1773" s="18" t="inlineStr"/>
      <c r="AT1773" s="19" t="inlineStr"/>
    </row>
    <row r="1774" ht="32" customHeight="1">
      <c r="A1774" s="18" t="inlineStr">
        <is>
          <t>0525_boldore.json::boldore-2::002</t>
        </is>
      </c>
      <c r="B1774" s="19" t="inlineStr">
        <is>
          <t>사용</t>
        </is>
      </c>
      <c r="C1774" s="18">
        <f>IF(OR(B1774&lt;&gt;AK1774,M1774&lt;&gt;L1774,O1774&lt;&gt;"",Q1774&lt;&gt;"",V1774&lt;&gt;1,Y1774&lt;&gt;"",AT1774&lt;&gt;""),"수정","원본")</f>
        <v/>
      </c>
      <c r="D1774" s="18" t="n">
        <v>525</v>
      </c>
      <c r="E1774" s="18" t="inlineStr">
        <is>
          <t>암트르</t>
        </is>
      </c>
      <c r="F1774" s="18" t="inlineStr">
        <is>
          <t>boldore</t>
        </is>
      </c>
      <c r="G1774" s="18" t="inlineStr">
        <is>
          <t>boldore</t>
        </is>
      </c>
      <c r="H1774" s="18" t="inlineStr"/>
      <c r="I1774" s="18" t="n">
        <v>5</v>
      </c>
      <c r="J1774" s="18" t="n"/>
      <c r="K1774" s="18" t="n">
        <v>5</v>
      </c>
      <c r="L1774" s="18" t="inlineStr">
        <is>
          <t>cobbleventure:generation_5</t>
        </is>
      </c>
      <c r="M1774" s="19" t="inlineStr">
        <is>
          <t>cobbleventure:generation_5</t>
        </is>
      </c>
      <c r="N1774" s="18" t="inlineStr"/>
      <c r="O1774" s="19" t="inlineStr"/>
      <c r="P1774" s="18" t="inlineStr">
        <is>
          <t>#cobblemon:is_deep_dark</t>
        </is>
      </c>
      <c r="Q1774" s="19" t="inlineStr"/>
      <c r="R1774" s="18">
        <f>IF(Q1774="",P1774,Q1774)</f>
        <v/>
      </c>
      <c r="S1774" s="18" t="inlineStr"/>
      <c r="T1774" s="18" t="inlineStr">
        <is>
          <t>uncommon</t>
        </is>
      </c>
      <c r="U1774" s="20" t="n">
        <v>1.52</v>
      </c>
      <c r="V1774" s="21" t="n">
        <v>1</v>
      </c>
      <c r="W1774" s="20">
        <f>IF(OR(U1774="",V1774=""),U1774,U1774*V1774)</f>
        <v/>
      </c>
      <c r="X1774" s="18" t="inlineStr">
        <is>
          <t>25-39</t>
        </is>
      </c>
      <c r="Y1774" s="19" t="inlineStr"/>
      <c r="Z1774" s="18">
        <f>IF(Y1774="",X1774,Y1774)</f>
        <v/>
      </c>
      <c r="AA1774" s="18" t="inlineStr">
        <is>
          <t>grounded</t>
        </is>
      </c>
      <c r="AB1774" s="18" t="inlineStr"/>
      <c r="AC1774" s="18" t="inlineStr"/>
      <c r="AD1774" s="18" t="inlineStr"/>
      <c r="AE1774" s="18" t="inlineStr">
        <is>
          <t>sky 0-7</t>
        </is>
      </c>
      <c r="AF1774" s="18" t="inlineStr"/>
      <c r="AG1774" s="18" t="inlineStr"/>
      <c r="AH1774" s="18" t="inlineStr"/>
      <c r="AI1774" s="18" t="inlineStr"/>
      <c r="AJ1774" s="18" t="inlineStr">
        <is>
          <t>Cobblemon 동일</t>
        </is>
      </c>
      <c r="AK1774" s="18" t="inlineStr">
        <is>
          <t>사용</t>
        </is>
      </c>
      <c r="AL1774" s="18" t="inlineStr">
        <is>
          <t>COBBLEVERSE 1.7.42 / DP v31</t>
        </is>
      </c>
      <c r="AM1774" s="18" t="inlineStr">
        <is>
          <t>data/cobblemon/spawn_pool_world/0525_boldore.json</t>
        </is>
      </c>
      <c r="AN1774" s="18" t="inlineStr">
        <is>
          <t>boldore-2</t>
        </is>
      </c>
      <c r="AO1774" s="18" t="inlineStr">
        <is>
          <t>pokemon</t>
        </is>
      </c>
      <c r="AP1774" s="18" t="inlineStr">
        <is>
          <t>natural</t>
        </is>
      </c>
      <c r="AQ1774" s="18" t="inlineStr">
        <is>
          <t>{"biomes":["#cobblemon:is_deep_dark"],"maxSkyLight":7,"minSkyLight":0}</t>
        </is>
      </c>
      <c r="AR1774" s="18" t="inlineStr"/>
      <c r="AS1774" s="18" t="inlineStr"/>
      <c r="AT1774" s="19" t="inlineStr"/>
    </row>
    <row r="1775" ht="32" customHeight="1">
      <c r="A1775" s="18" t="inlineStr">
        <is>
          <t>0526_gigalith.json::gigalith-1::001</t>
        </is>
      </c>
      <c r="B1775" s="19" t="inlineStr">
        <is>
          <t>사용</t>
        </is>
      </c>
      <c r="C1775" s="18">
        <f>IF(OR(B1775&lt;&gt;AK1775,M1775&lt;&gt;L1775,O1775&lt;&gt;"",Q1775&lt;&gt;"",V1775&lt;&gt;1,Y1775&lt;&gt;"",AT1775&lt;&gt;""),"수정","원본")</f>
        <v/>
      </c>
      <c r="D1775" s="18" t="n">
        <v>526</v>
      </c>
      <c r="E1775" s="18" t="inlineStr">
        <is>
          <t>기가이어스</t>
        </is>
      </c>
      <c r="F1775" s="18" t="inlineStr">
        <is>
          <t>gigalith</t>
        </is>
      </c>
      <c r="G1775" s="18" t="inlineStr">
        <is>
          <t>gigalith</t>
        </is>
      </c>
      <c r="H1775" s="18" t="inlineStr"/>
      <c r="I1775" s="18" t="n">
        <v>5</v>
      </c>
      <c r="J1775" s="18" t="n"/>
      <c r="K1775" s="18" t="n">
        <v>5</v>
      </c>
      <c r="L1775" s="18" t="inlineStr">
        <is>
          <t>cobbleventure:generation_5</t>
        </is>
      </c>
      <c r="M1775" s="19" t="inlineStr">
        <is>
          <t>cobbleventure:generation_5</t>
        </is>
      </c>
      <c r="N1775" s="18" t="inlineStr">
        <is>
          <t>region_01; region_02</t>
        </is>
      </c>
      <c r="O1775" s="19" t="inlineStr"/>
      <c r="P1775" s="18" t="inlineStr">
        <is>
          <t>#cobblemon:is_overworld</t>
        </is>
      </c>
      <c r="Q1775" s="19" t="inlineStr"/>
      <c r="R1775" s="18">
        <f>IF(Q1775="",P1775,Q1775)</f>
        <v/>
      </c>
      <c r="S1775" s="18" t="inlineStr">
        <is>
          <t>#cobblemon:is_deep_dark</t>
        </is>
      </c>
      <c r="T1775" s="18" t="inlineStr">
        <is>
          <t>common</t>
        </is>
      </c>
      <c r="U1775" s="20" t="n">
        <v>0.05</v>
      </c>
      <c r="V1775" s="21" t="n">
        <v>1</v>
      </c>
      <c r="W1775" s="20">
        <f>IF(OR(U1775="",V1775=""),U1775,U1775*V1775)</f>
        <v/>
      </c>
      <c r="X1775" s="18" t="inlineStr">
        <is>
          <t>34-52</t>
        </is>
      </c>
      <c r="Y1775" s="19" t="inlineStr"/>
      <c r="Z1775" s="18">
        <f>IF(Y1775="",X1775,Y1775)</f>
        <v/>
      </c>
      <c r="AA1775" s="18" t="inlineStr">
        <is>
          <t>grounded</t>
        </is>
      </c>
      <c r="AB1775" s="18" t="inlineStr"/>
      <c r="AC1775" s="18" t="inlineStr"/>
      <c r="AD1775" s="18" t="inlineStr">
        <is>
          <t>maxY=0</t>
        </is>
      </c>
      <c r="AE1775" s="18" t="inlineStr">
        <is>
          <t>sky 0-7</t>
        </is>
      </c>
      <c r="AF1775" s="18" t="inlineStr"/>
      <c r="AG1775" s="18" t="inlineStr"/>
      <c r="AH1775" s="18" t="inlineStr"/>
      <c r="AI1775" s="18" t="inlineStr"/>
      <c r="AJ1775" s="18" t="inlineStr">
        <is>
          <t>Cobblemon 동일</t>
        </is>
      </c>
      <c r="AK1775" s="18" t="inlineStr">
        <is>
          <t>사용</t>
        </is>
      </c>
      <c r="AL1775" s="18" t="inlineStr">
        <is>
          <t>COBBLEVERSE 1.7.42 / DP v31</t>
        </is>
      </c>
      <c r="AM1775" s="18" t="inlineStr">
        <is>
          <t>data/cobblemon/spawn_pool_world/0526_gigalith.json</t>
        </is>
      </c>
      <c r="AN1775" s="18" t="inlineStr">
        <is>
          <t>gigalith-1</t>
        </is>
      </c>
      <c r="AO1775" s="18" t="inlineStr">
        <is>
          <t>pokemon</t>
        </is>
      </c>
      <c r="AP1775" s="18" t="inlineStr">
        <is>
          <t>natural</t>
        </is>
      </c>
      <c r="AQ1775" s="18" t="inlineStr">
        <is>
          <t>{"biomes":["#cobblemon:is_overworld"],"maxSkyLight":7,"maxY":0,"minSkyLight":0}</t>
        </is>
      </c>
      <c r="AR1775" s="18" t="inlineStr">
        <is>
          <t>{"biomes":["#cobblemon:is_deep_dark"]}</t>
        </is>
      </c>
      <c r="AS1775" s="18" t="inlineStr"/>
      <c r="AT1775" s="19" t="inlineStr"/>
    </row>
    <row r="1776" ht="32" customHeight="1">
      <c r="A1776" s="18" t="inlineStr">
        <is>
          <t>0526_gigalith.json::gigalith-2::002</t>
        </is>
      </c>
      <c r="B1776" s="19" t="inlineStr">
        <is>
          <t>사용</t>
        </is>
      </c>
      <c r="C1776" s="18">
        <f>IF(OR(B1776&lt;&gt;AK1776,M1776&lt;&gt;L1776,O1776&lt;&gt;"",Q1776&lt;&gt;"",V1776&lt;&gt;1,Y1776&lt;&gt;"",AT1776&lt;&gt;""),"수정","원본")</f>
        <v/>
      </c>
      <c r="D1776" s="18" t="n">
        <v>526</v>
      </c>
      <c r="E1776" s="18" t="inlineStr">
        <is>
          <t>기가이어스</t>
        </is>
      </c>
      <c r="F1776" s="18" t="inlineStr">
        <is>
          <t>gigalith</t>
        </is>
      </c>
      <c r="G1776" s="18" t="inlineStr">
        <is>
          <t>gigalith</t>
        </is>
      </c>
      <c r="H1776" s="18" t="inlineStr"/>
      <c r="I1776" s="18" t="n">
        <v>5</v>
      </c>
      <c r="J1776" s="18" t="n"/>
      <c r="K1776" s="18" t="n">
        <v>5</v>
      </c>
      <c r="L1776" s="18" t="inlineStr">
        <is>
          <t>cobbleventure:generation_5</t>
        </is>
      </c>
      <c r="M1776" s="19" t="inlineStr">
        <is>
          <t>cobbleventure:generation_5</t>
        </is>
      </c>
      <c r="N1776" s="18" t="inlineStr"/>
      <c r="O1776" s="19" t="inlineStr"/>
      <c r="P1776" s="18" t="inlineStr">
        <is>
          <t>#cobblemon:is_deep_dark</t>
        </is>
      </c>
      <c r="Q1776" s="19" t="inlineStr"/>
      <c r="R1776" s="18">
        <f>IF(Q1776="",P1776,Q1776)</f>
        <v/>
      </c>
      <c r="S1776" s="18" t="inlineStr"/>
      <c r="T1776" s="18" t="inlineStr">
        <is>
          <t>uncommon</t>
        </is>
      </c>
      <c r="U1776" s="20" t="n">
        <v>0.08</v>
      </c>
      <c r="V1776" s="21" t="n">
        <v>1</v>
      </c>
      <c r="W1776" s="20">
        <f>IF(OR(U1776="",V1776=""),U1776,U1776*V1776)</f>
        <v/>
      </c>
      <c r="X1776" s="18" t="inlineStr">
        <is>
          <t>34-52</t>
        </is>
      </c>
      <c r="Y1776" s="19" t="inlineStr"/>
      <c r="Z1776" s="18">
        <f>IF(Y1776="",X1776,Y1776)</f>
        <v/>
      </c>
      <c r="AA1776" s="18" t="inlineStr">
        <is>
          <t>grounded</t>
        </is>
      </c>
      <c r="AB1776" s="18" t="inlineStr"/>
      <c r="AC1776" s="18" t="inlineStr"/>
      <c r="AD1776" s="18" t="inlineStr"/>
      <c r="AE1776" s="18" t="inlineStr">
        <is>
          <t>sky 0-7</t>
        </is>
      </c>
      <c r="AF1776" s="18" t="inlineStr"/>
      <c r="AG1776" s="18" t="inlineStr"/>
      <c r="AH1776" s="18" t="inlineStr"/>
      <c r="AI1776" s="18" t="inlineStr"/>
      <c r="AJ1776" s="18" t="inlineStr">
        <is>
          <t>Cobblemon 동일</t>
        </is>
      </c>
      <c r="AK1776" s="18" t="inlineStr">
        <is>
          <t>사용</t>
        </is>
      </c>
      <c r="AL1776" s="18" t="inlineStr">
        <is>
          <t>COBBLEVERSE 1.7.42 / DP v31</t>
        </is>
      </c>
      <c r="AM1776" s="18" t="inlineStr">
        <is>
          <t>data/cobblemon/spawn_pool_world/0526_gigalith.json</t>
        </is>
      </c>
      <c r="AN1776" s="18" t="inlineStr">
        <is>
          <t>gigalith-2</t>
        </is>
      </c>
      <c r="AO1776" s="18" t="inlineStr">
        <is>
          <t>pokemon</t>
        </is>
      </c>
      <c r="AP1776" s="18" t="inlineStr">
        <is>
          <t>natural</t>
        </is>
      </c>
      <c r="AQ1776" s="18" t="inlineStr">
        <is>
          <t>{"biomes":["#cobblemon:is_deep_dark"],"maxSkyLight":7,"minSkyLight":0}</t>
        </is>
      </c>
      <c r="AR1776" s="18" t="inlineStr"/>
      <c r="AS1776" s="18" t="inlineStr"/>
      <c r="AT1776" s="19" t="inlineStr"/>
    </row>
    <row r="1777" ht="32" customHeight="1">
      <c r="A1777" s="18" t="inlineStr">
        <is>
          <t>0527_woobat.json::woobat-1::001</t>
        </is>
      </c>
      <c r="B1777" s="19" t="inlineStr">
        <is>
          <t>사용</t>
        </is>
      </c>
      <c r="C1777" s="18">
        <f>IF(OR(B1777&lt;&gt;AK1777,M1777&lt;&gt;L1777,O1777&lt;&gt;"",Q1777&lt;&gt;"",V1777&lt;&gt;1,Y1777&lt;&gt;"",AT1777&lt;&gt;""),"수정","원본")</f>
        <v/>
      </c>
      <c r="D1777" s="18" t="n">
        <v>527</v>
      </c>
      <c r="E1777" s="18" t="inlineStr">
        <is>
          <t>또르박쥐</t>
        </is>
      </c>
      <c r="F1777" s="18" t="inlineStr">
        <is>
          <t>woobat</t>
        </is>
      </c>
      <c r="G1777" s="18" t="inlineStr">
        <is>
          <t>woobat</t>
        </is>
      </c>
      <c r="H1777" s="18" t="inlineStr"/>
      <c r="I1777" s="18" t="n">
        <v>5</v>
      </c>
      <c r="J1777" s="18" t="n"/>
      <c r="K1777" s="18" t="n">
        <v>5</v>
      </c>
      <c r="L1777" s="18" t="inlineStr">
        <is>
          <t>cobbleventure:generation_5</t>
        </is>
      </c>
      <c r="M1777" s="19" t="inlineStr">
        <is>
          <t>cobbleventure:generation_5</t>
        </is>
      </c>
      <c r="N1777" s="18" t="inlineStr"/>
      <c r="O1777" s="19" t="inlineStr"/>
      <c r="P1777" s="18" t="inlineStr">
        <is>
          <t>#cobblemon:is_jungle; #cobblemon:is_savanna</t>
        </is>
      </c>
      <c r="Q1777" s="19" t="inlineStr"/>
      <c r="R1777" s="18">
        <f>IF(Q1777="",P1777,Q1777)</f>
        <v/>
      </c>
      <c r="S1777" s="18" t="inlineStr"/>
      <c r="T1777" s="18" t="inlineStr">
        <is>
          <t>common</t>
        </is>
      </c>
      <c r="U1777" s="20" t="n">
        <v>9</v>
      </c>
      <c r="V1777" s="21" t="n">
        <v>1</v>
      </c>
      <c r="W1777" s="20">
        <f>IF(OR(U1777="",V1777=""),U1777,U1777*V1777)</f>
        <v/>
      </c>
      <c r="X1777" s="18" t="inlineStr">
        <is>
          <t>7-32</t>
        </is>
      </c>
      <c r="Y1777" s="19" t="inlineStr"/>
      <c r="Z1777" s="18">
        <f>IF(Y1777="",X1777,Y1777)</f>
        <v/>
      </c>
      <c r="AA1777" s="18" t="inlineStr">
        <is>
          <t>grounded</t>
        </is>
      </c>
      <c r="AB1777" s="18" t="inlineStr">
        <is>
          <t>night</t>
        </is>
      </c>
      <c r="AC1777" s="18" t="inlineStr">
        <is>
          <t>비=False</t>
        </is>
      </c>
      <c r="AD1777" s="18" t="inlineStr"/>
      <c r="AE1777" s="18" t="inlineStr"/>
      <c r="AF1777" s="18" t="inlineStr"/>
      <c r="AG1777" s="18" t="inlineStr"/>
      <c r="AH1777" s="18" t="inlineStr"/>
      <c r="AI1777" s="18" t="inlineStr"/>
      <c r="AJ1777" s="18" t="inlineStr">
        <is>
          <t>COBBLEVERSE 수정</t>
        </is>
      </c>
      <c r="AK1777" s="18" t="inlineStr">
        <is>
          <t>사용</t>
        </is>
      </c>
      <c r="AL1777" s="18" t="inlineStr">
        <is>
          <t>COBBLEVERSE 1.7.42 / DP v31</t>
        </is>
      </c>
      <c r="AM1777" s="18" t="inlineStr">
        <is>
          <t>data/cobblemon/spawn_pool_world/0527_woobat.json</t>
        </is>
      </c>
      <c r="AN1777" s="18" t="inlineStr">
        <is>
          <t>woobat-1</t>
        </is>
      </c>
      <c r="AO1777" s="18" t="inlineStr">
        <is>
          <t>pokemon</t>
        </is>
      </c>
      <c r="AP1777" s="18" t="inlineStr">
        <is>
          <t>natural; treetop</t>
        </is>
      </c>
      <c r="AQ1777" s="18" t="inlineStr">
        <is>
          <t>{"biomes":["#cobblemon:is_jungle","#cobblemon:is_savanna"],"isRaining":false,"timeRange":"night"}</t>
        </is>
      </c>
      <c r="AR1777" s="18" t="inlineStr"/>
      <c r="AS1777" s="18" t="inlineStr"/>
      <c r="AT1777" s="19" t="inlineStr"/>
    </row>
    <row r="1778" ht="32" customHeight="1">
      <c r="A1778" s="18" t="inlineStr">
        <is>
          <t>0527_woobat.json::woobat-3::002</t>
        </is>
      </c>
      <c r="B1778" s="19" t="inlineStr">
        <is>
          <t>사용</t>
        </is>
      </c>
      <c r="C1778" s="18">
        <f>IF(OR(B1778&lt;&gt;AK1778,M1778&lt;&gt;L1778,O1778&lt;&gt;"",Q1778&lt;&gt;"",V1778&lt;&gt;1,Y1778&lt;&gt;"",AT1778&lt;&gt;""),"수정","원본")</f>
        <v/>
      </c>
      <c r="D1778" s="18" t="n">
        <v>527</v>
      </c>
      <c r="E1778" s="18" t="inlineStr">
        <is>
          <t>또르박쥐</t>
        </is>
      </c>
      <c r="F1778" s="18" t="inlineStr">
        <is>
          <t>woobat</t>
        </is>
      </c>
      <c r="G1778" s="18" t="inlineStr">
        <is>
          <t>woobat</t>
        </is>
      </c>
      <c r="H1778" s="18" t="inlineStr"/>
      <c r="I1778" s="18" t="n">
        <v>5</v>
      </c>
      <c r="J1778" s="18" t="n"/>
      <c r="K1778" s="18" t="n">
        <v>5</v>
      </c>
      <c r="L1778" s="18" t="inlineStr">
        <is>
          <t>cobbleventure:generation_5</t>
        </is>
      </c>
      <c r="M1778" s="19" t="inlineStr">
        <is>
          <t>cobbleventure:generation_5</t>
        </is>
      </c>
      <c r="N1778" s="18" t="inlineStr"/>
      <c r="O1778" s="19" t="inlineStr"/>
      <c r="P1778" s="18" t="inlineStr">
        <is>
          <t>#cobblemon:is_jungle; #cobblemon:is_savanna</t>
        </is>
      </c>
      <c r="Q1778" s="19" t="inlineStr"/>
      <c r="R1778" s="18">
        <f>IF(Q1778="",P1778,Q1778)</f>
        <v/>
      </c>
      <c r="S1778" s="18" t="inlineStr"/>
      <c r="T1778" s="18" t="inlineStr">
        <is>
          <t>common</t>
        </is>
      </c>
      <c r="U1778" s="20" t="n">
        <v>9</v>
      </c>
      <c r="V1778" s="21" t="n">
        <v>1</v>
      </c>
      <c r="W1778" s="20">
        <f>IF(OR(U1778="",V1778=""),U1778,U1778*V1778)</f>
        <v/>
      </c>
      <c r="X1778" s="18" t="inlineStr">
        <is>
          <t>7-32</t>
        </is>
      </c>
      <c r="Y1778" s="19" t="inlineStr"/>
      <c r="Z1778" s="18">
        <f>IF(Y1778="",X1778,Y1778)</f>
        <v/>
      </c>
      <c r="AA1778" s="18" t="inlineStr">
        <is>
          <t>grounded</t>
        </is>
      </c>
      <c r="AB1778" s="18" t="inlineStr"/>
      <c r="AC1778" s="18" t="inlineStr"/>
      <c r="AD1778" s="18" t="inlineStr"/>
      <c r="AE1778" s="18" t="inlineStr">
        <is>
          <t>sky 0-7</t>
        </is>
      </c>
      <c r="AF1778" s="18" t="inlineStr"/>
      <c r="AG1778" s="18" t="inlineStr"/>
      <c r="AH1778" s="18" t="inlineStr"/>
      <c r="AI1778" s="18" t="inlineStr"/>
      <c r="AJ1778" s="18" t="inlineStr">
        <is>
          <t>COBBLEVERSE 수정</t>
        </is>
      </c>
      <c r="AK1778" s="18" t="inlineStr">
        <is>
          <t>사용</t>
        </is>
      </c>
      <c r="AL1778" s="18" t="inlineStr">
        <is>
          <t>COBBLEVERSE 1.7.42 / DP v31</t>
        </is>
      </c>
      <c r="AM1778" s="18" t="inlineStr">
        <is>
          <t>data/cobblemon/spawn_pool_world/0527_woobat.json</t>
        </is>
      </c>
      <c r="AN1778" s="18" t="inlineStr">
        <is>
          <t>woobat-3</t>
        </is>
      </c>
      <c r="AO1778" s="18" t="inlineStr">
        <is>
          <t>pokemon</t>
        </is>
      </c>
      <c r="AP1778" s="18" t="inlineStr">
        <is>
          <t>natural</t>
        </is>
      </c>
      <c r="AQ1778" s="18" t="inlineStr">
        <is>
          <t>{"biomes":["#cobblemon:is_jungle","#cobblemon:is_savanna"],"maxSkyLight":7,"minSkyLight":0}</t>
        </is>
      </c>
      <c r="AR1778" s="18" t="inlineStr"/>
      <c r="AS1778" s="18" t="inlineStr">
        <is>
          <t>{"weightMultiplier":{"condition":{"timeRange":"night"},"multiplier":0.25}}</t>
        </is>
      </c>
      <c r="AT1778" s="19" t="inlineStr"/>
    </row>
    <row r="1779" ht="32" customHeight="1">
      <c r="A1779" s="18" t="inlineStr">
        <is>
          <t>0528_swoobat.json::swoobat-1::001</t>
        </is>
      </c>
      <c r="B1779" s="19" t="inlineStr">
        <is>
          <t>사용</t>
        </is>
      </c>
      <c r="C1779" s="18">
        <f>IF(OR(B1779&lt;&gt;AK1779,M1779&lt;&gt;L1779,O1779&lt;&gt;"",Q1779&lt;&gt;"",V1779&lt;&gt;1,Y1779&lt;&gt;"",AT1779&lt;&gt;""),"수정","원본")</f>
        <v/>
      </c>
      <c r="D1779" s="18" t="n">
        <v>528</v>
      </c>
      <c r="E1779" s="18" t="inlineStr">
        <is>
          <t>맘박쥐</t>
        </is>
      </c>
      <c r="F1779" s="18" t="inlineStr">
        <is>
          <t>swoobat</t>
        </is>
      </c>
      <c r="G1779" s="18" t="inlineStr">
        <is>
          <t>swoobat</t>
        </is>
      </c>
      <c r="H1779" s="18" t="inlineStr"/>
      <c r="I1779" s="18" t="n">
        <v>5</v>
      </c>
      <c r="J1779" s="18" t="n"/>
      <c r="K1779" s="18" t="n">
        <v>5</v>
      </c>
      <c r="L1779" s="18" t="inlineStr">
        <is>
          <t>cobbleventure:generation_5</t>
        </is>
      </c>
      <c r="M1779" s="19" t="inlineStr">
        <is>
          <t>cobbleventure:generation_5</t>
        </is>
      </c>
      <c r="N1779" s="18" t="inlineStr"/>
      <c r="O1779" s="19" t="inlineStr"/>
      <c r="P1779" s="18" t="inlineStr">
        <is>
          <t>#cobblemon:is_jungle; #cobblemon:is_savanna</t>
        </is>
      </c>
      <c r="Q1779" s="19" t="inlineStr"/>
      <c r="R1779" s="18">
        <f>IF(Q1779="",P1779,Q1779)</f>
        <v/>
      </c>
      <c r="S1779" s="18" t="inlineStr"/>
      <c r="T1779" s="18" t="inlineStr">
        <is>
          <t>common</t>
        </is>
      </c>
      <c r="U1779" s="20" t="n">
        <v>1</v>
      </c>
      <c r="V1779" s="21" t="n">
        <v>1</v>
      </c>
      <c r="W1779" s="20">
        <f>IF(OR(U1779="",V1779=""),U1779,U1779*V1779)</f>
        <v/>
      </c>
      <c r="X1779" s="18" t="inlineStr">
        <is>
          <t>27-43</t>
        </is>
      </c>
      <c r="Y1779" s="19" t="inlineStr"/>
      <c r="Z1779" s="18">
        <f>IF(Y1779="",X1779,Y1779)</f>
        <v/>
      </c>
      <c r="AA1779" s="18" t="inlineStr">
        <is>
          <t>grounded</t>
        </is>
      </c>
      <c r="AB1779" s="18" t="inlineStr">
        <is>
          <t>night</t>
        </is>
      </c>
      <c r="AC1779" s="18" t="inlineStr">
        <is>
          <t>비=False</t>
        </is>
      </c>
      <c r="AD1779" s="18" t="inlineStr"/>
      <c r="AE1779" s="18" t="inlineStr"/>
      <c r="AF1779" s="18" t="inlineStr"/>
      <c r="AG1779" s="18" t="inlineStr"/>
      <c r="AH1779" s="18" t="inlineStr"/>
      <c r="AI1779" s="18" t="inlineStr"/>
      <c r="AJ1779" s="18" t="inlineStr">
        <is>
          <t>COBBLEVERSE 수정</t>
        </is>
      </c>
      <c r="AK1779" s="18" t="inlineStr">
        <is>
          <t>사용</t>
        </is>
      </c>
      <c r="AL1779" s="18" t="inlineStr">
        <is>
          <t>COBBLEVERSE 1.7.42 / DP v31</t>
        </is>
      </c>
      <c r="AM1779" s="18" t="inlineStr">
        <is>
          <t>data/cobblemon/spawn_pool_world/0528_swoobat.json</t>
        </is>
      </c>
      <c r="AN1779" s="18" t="inlineStr">
        <is>
          <t>swoobat-1</t>
        </is>
      </c>
      <c r="AO1779" s="18" t="inlineStr">
        <is>
          <t>pokemon</t>
        </is>
      </c>
      <c r="AP1779" s="18" t="inlineStr">
        <is>
          <t>natural; treetop</t>
        </is>
      </c>
      <c r="AQ1779" s="18" t="inlineStr">
        <is>
          <t>{"biomes":["#cobblemon:is_jungle","#cobblemon:is_savanna"],"isRaining":false,"timeRange":"night"}</t>
        </is>
      </c>
      <c r="AR1779" s="18" t="inlineStr"/>
      <c r="AS1779" s="18" t="inlineStr"/>
      <c r="AT1779" s="19" t="inlineStr"/>
    </row>
    <row r="1780" ht="32" customHeight="1">
      <c r="A1780" s="18" t="inlineStr">
        <is>
          <t>0528_swoobat.json::swoobat-3::002</t>
        </is>
      </c>
      <c r="B1780" s="19" t="inlineStr">
        <is>
          <t>사용</t>
        </is>
      </c>
      <c r="C1780" s="18">
        <f>IF(OR(B1780&lt;&gt;AK1780,M1780&lt;&gt;L1780,O1780&lt;&gt;"",Q1780&lt;&gt;"",V1780&lt;&gt;1,Y1780&lt;&gt;"",AT1780&lt;&gt;""),"수정","원본")</f>
        <v/>
      </c>
      <c r="D1780" s="18" t="n">
        <v>528</v>
      </c>
      <c r="E1780" s="18" t="inlineStr">
        <is>
          <t>맘박쥐</t>
        </is>
      </c>
      <c r="F1780" s="18" t="inlineStr">
        <is>
          <t>swoobat</t>
        </is>
      </c>
      <c r="G1780" s="18" t="inlineStr">
        <is>
          <t>swoobat</t>
        </is>
      </c>
      <c r="H1780" s="18" t="inlineStr"/>
      <c r="I1780" s="18" t="n">
        <v>5</v>
      </c>
      <c r="J1780" s="18" t="n"/>
      <c r="K1780" s="18" t="n">
        <v>5</v>
      </c>
      <c r="L1780" s="18" t="inlineStr">
        <is>
          <t>cobbleventure:generation_5</t>
        </is>
      </c>
      <c r="M1780" s="19" t="inlineStr">
        <is>
          <t>cobbleventure:generation_5</t>
        </is>
      </c>
      <c r="N1780" s="18" t="inlineStr"/>
      <c r="O1780" s="19" t="inlineStr"/>
      <c r="P1780" s="18" t="inlineStr">
        <is>
          <t>#cobblemon:is_jungle; #cobblemon:is_savanna</t>
        </is>
      </c>
      <c r="Q1780" s="19" t="inlineStr"/>
      <c r="R1780" s="18">
        <f>IF(Q1780="",P1780,Q1780)</f>
        <v/>
      </c>
      <c r="S1780" s="18" t="inlineStr"/>
      <c r="T1780" s="18" t="inlineStr">
        <is>
          <t>common</t>
        </is>
      </c>
      <c r="U1780" s="20" t="n">
        <v>1</v>
      </c>
      <c r="V1780" s="21" t="n">
        <v>1</v>
      </c>
      <c r="W1780" s="20">
        <f>IF(OR(U1780="",V1780=""),U1780,U1780*V1780)</f>
        <v/>
      </c>
      <c r="X1780" s="18" t="inlineStr">
        <is>
          <t>27-43</t>
        </is>
      </c>
      <c r="Y1780" s="19" t="inlineStr"/>
      <c r="Z1780" s="18">
        <f>IF(Y1780="",X1780,Y1780)</f>
        <v/>
      </c>
      <c r="AA1780" s="18" t="inlineStr">
        <is>
          <t>grounded</t>
        </is>
      </c>
      <c r="AB1780" s="18" t="inlineStr"/>
      <c r="AC1780" s="18" t="inlineStr"/>
      <c r="AD1780" s="18" t="inlineStr"/>
      <c r="AE1780" s="18" t="inlineStr">
        <is>
          <t>sky 0-7</t>
        </is>
      </c>
      <c r="AF1780" s="18" t="inlineStr"/>
      <c r="AG1780" s="18" t="inlineStr"/>
      <c r="AH1780" s="18" t="inlineStr"/>
      <c r="AI1780" s="18" t="inlineStr"/>
      <c r="AJ1780" s="18" t="inlineStr">
        <is>
          <t>COBBLEVERSE 수정</t>
        </is>
      </c>
      <c r="AK1780" s="18" t="inlineStr">
        <is>
          <t>사용</t>
        </is>
      </c>
      <c r="AL1780" s="18" t="inlineStr">
        <is>
          <t>COBBLEVERSE 1.7.42 / DP v31</t>
        </is>
      </c>
      <c r="AM1780" s="18" t="inlineStr">
        <is>
          <t>data/cobblemon/spawn_pool_world/0528_swoobat.json</t>
        </is>
      </c>
      <c r="AN1780" s="18" t="inlineStr">
        <is>
          <t>swoobat-3</t>
        </is>
      </c>
      <c r="AO1780" s="18" t="inlineStr">
        <is>
          <t>pokemon</t>
        </is>
      </c>
      <c r="AP1780" s="18" t="inlineStr">
        <is>
          <t>natural</t>
        </is>
      </c>
      <c r="AQ1780" s="18" t="inlineStr">
        <is>
          <t>{"biomes":["#cobblemon:is_jungle","#cobblemon:is_savanna"],"maxSkyLight":7,"minSkyLight":0}</t>
        </is>
      </c>
      <c r="AR1780" s="18" t="inlineStr"/>
      <c r="AS1780" s="18" t="inlineStr">
        <is>
          <t>{"weightMultiplier":{"condition":{"timeRange":"night"},"multiplier":0.25}}</t>
        </is>
      </c>
      <c r="AT1780" s="19" t="inlineStr"/>
    </row>
    <row r="1781" ht="32" customHeight="1">
      <c r="A1781" s="18" t="inlineStr">
        <is>
          <t>0529_drilbur.json::drilbur-1::001</t>
        </is>
      </c>
      <c r="B1781" s="19" t="inlineStr">
        <is>
          <t>사용</t>
        </is>
      </c>
      <c r="C1781" s="18">
        <f>IF(OR(B1781&lt;&gt;AK1781,M1781&lt;&gt;L1781,O1781&lt;&gt;"",Q1781&lt;&gt;"",V1781&lt;&gt;1,Y1781&lt;&gt;"",AT1781&lt;&gt;""),"수정","원본")</f>
        <v/>
      </c>
      <c r="D1781" s="18" t="n">
        <v>529</v>
      </c>
      <c r="E1781" s="18" t="inlineStr">
        <is>
          <t>두더류</t>
        </is>
      </c>
      <c r="F1781" s="18" t="inlineStr">
        <is>
          <t>drilbur</t>
        </is>
      </c>
      <c r="G1781" s="18" t="inlineStr">
        <is>
          <t>drilbur</t>
        </is>
      </c>
      <c r="H1781" s="18" t="inlineStr"/>
      <c r="I1781" s="18" t="n">
        <v>5</v>
      </c>
      <c r="J1781" s="18" t="n"/>
      <c r="K1781" s="18" t="n">
        <v>5</v>
      </c>
      <c r="L1781" s="18" t="inlineStr">
        <is>
          <t>cobbleventure:generation_5</t>
        </is>
      </c>
      <c r="M1781" s="19" t="inlineStr">
        <is>
          <t>cobbleventure:generation_5</t>
        </is>
      </c>
      <c r="N1781" s="18" t="inlineStr">
        <is>
          <t>region_01; region_02</t>
        </is>
      </c>
      <c r="O1781" s="19" t="inlineStr"/>
      <c r="P1781" s="18" t="inlineStr">
        <is>
          <t>#cobblemon:is_overworld</t>
        </is>
      </c>
      <c r="Q1781" s="19" t="inlineStr"/>
      <c r="R1781" s="18">
        <f>IF(Q1781="",P1781,Q1781)</f>
        <v/>
      </c>
      <c r="S1781" s="18" t="inlineStr">
        <is>
          <t>#cobblemon:is_deep_dark</t>
        </is>
      </c>
      <c r="T1781" s="18" t="inlineStr">
        <is>
          <t>common</t>
        </is>
      </c>
      <c r="U1781" s="20" t="n">
        <v>9</v>
      </c>
      <c r="V1781" s="21" t="n">
        <v>1</v>
      </c>
      <c r="W1781" s="20">
        <f>IF(OR(U1781="",V1781=""),U1781,U1781*V1781)</f>
        <v/>
      </c>
      <c r="X1781" s="18" t="inlineStr">
        <is>
          <t>8-33</t>
        </is>
      </c>
      <c r="Y1781" s="19" t="inlineStr"/>
      <c r="Z1781" s="18">
        <f>IF(Y1781="",X1781,Y1781)</f>
        <v/>
      </c>
      <c r="AA1781" s="18" t="inlineStr">
        <is>
          <t>grounded</t>
        </is>
      </c>
      <c r="AB1781" s="18" t="inlineStr"/>
      <c r="AC1781" s="18" t="inlineStr"/>
      <c r="AD1781" s="18" t="inlineStr"/>
      <c r="AE1781" s="18" t="inlineStr">
        <is>
          <t>sky 0-7</t>
        </is>
      </c>
      <c r="AF1781" s="18" t="inlineStr"/>
      <c r="AG1781" s="18" t="inlineStr"/>
      <c r="AH1781" s="18" t="inlineStr"/>
      <c r="AI1781" s="18" t="inlineStr"/>
      <c r="AJ1781" s="18" t="inlineStr">
        <is>
          <t>Cobblemon 동일</t>
        </is>
      </c>
      <c r="AK1781" s="18" t="inlineStr">
        <is>
          <t>사용</t>
        </is>
      </c>
      <c r="AL1781" s="18" t="inlineStr">
        <is>
          <t>COBBLEVERSE 1.7.42 / DP v31</t>
        </is>
      </c>
      <c r="AM1781" s="18" t="inlineStr">
        <is>
          <t>data/cobblemon/spawn_pool_world/0529_drilbur.json</t>
        </is>
      </c>
      <c r="AN1781" s="18" t="inlineStr">
        <is>
          <t>drilbur-1</t>
        </is>
      </c>
      <c r="AO1781" s="18" t="inlineStr">
        <is>
          <t>pokemon</t>
        </is>
      </c>
      <c r="AP1781" s="18" t="inlineStr">
        <is>
          <t>natural</t>
        </is>
      </c>
      <c r="AQ1781" s="18" t="inlineStr">
        <is>
          <t>{"biomes":["#cobblemon:is_overworld"],"maxSkyLight":7,"minSkyLight":0}</t>
        </is>
      </c>
      <c r="AR1781" s="18" t="inlineStr">
        <is>
          <t>{"biomes":["#cobblemon:is_deep_dark"]}</t>
        </is>
      </c>
      <c r="AS1781" s="18" t="inlineStr"/>
      <c r="AT1781" s="19" t="inlineStr"/>
    </row>
    <row r="1782" ht="32" customHeight="1">
      <c r="A1782" s="18" t="inlineStr">
        <is>
          <t>0530_excadrill.json::excadrill-1::001</t>
        </is>
      </c>
      <c r="B1782" s="19" t="inlineStr">
        <is>
          <t>사용</t>
        </is>
      </c>
      <c r="C1782" s="18">
        <f>IF(OR(B1782&lt;&gt;AK1782,M1782&lt;&gt;L1782,O1782&lt;&gt;"",Q1782&lt;&gt;"",V1782&lt;&gt;1,Y1782&lt;&gt;"",AT1782&lt;&gt;""),"수정","원본")</f>
        <v/>
      </c>
      <c r="D1782" s="18" t="n">
        <v>530</v>
      </c>
      <c r="E1782" s="18" t="inlineStr">
        <is>
          <t>몰드류</t>
        </is>
      </c>
      <c r="F1782" s="18" t="inlineStr">
        <is>
          <t>excadrill</t>
        </is>
      </c>
      <c r="G1782" s="18" t="inlineStr">
        <is>
          <t>excadrill</t>
        </is>
      </c>
      <c r="H1782" s="18" t="inlineStr"/>
      <c r="I1782" s="18" t="n">
        <v>5</v>
      </c>
      <c r="J1782" s="18" t="n"/>
      <c r="K1782" s="18" t="n">
        <v>5</v>
      </c>
      <c r="L1782" s="18" t="inlineStr">
        <is>
          <t>cobbleventure:generation_5</t>
        </is>
      </c>
      <c r="M1782" s="19" t="inlineStr">
        <is>
          <t>cobbleventure:generation_5</t>
        </is>
      </c>
      <c r="N1782" s="18" t="inlineStr">
        <is>
          <t>region_01; region_02</t>
        </is>
      </c>
      <c r="O1782" s="19" t="inlineStr"/>
      <c r="P1782" s="18" t="inlineStr">
        <is>
          <t>#cobblemon:is_overworld</t>
        </is>
      </c>
      <c r="Q1782" s="19" t="inlineStr"/>
      <c r="R1782" s="18">
        <f>IF(Q1782="",P1782,Q1782)</f>
        <v/>
      </c>
      <c r="S1782" s="18" t="inlineStr">
        <is>
          <t>#cobblemon:is_deep_dark</t>
        </is>
      </c>
      <c r="T1782" s="18" t="inlineStr">
        <is>
          <t>common</t>
        </is>
      </c>
      <c r="U1782" s="20" t="n">
        <v>1</v>
      </c>
      <c r="V1782" s="21" t="n">
        <v>1</v>
      </c>
      <c r="W1782" s="20">
        <f>IF(OR(U1782="",V1782=""),U1782,U1782*V1782)</f>
        <v/>
      </c>
      <c r="X1782" s="18" t="inlineStr">
        <is>
          <t>31-51</t>
        </is>
      </c>
      <c r="Y1782" s="19" t="inlineStr"/>
      <c r="Z1782" s="18">
        <f>IF(Y1782="",X1782,Y1782)</f>
        <v/>
      </c>
      <c r="AA1782" s="18" t="inlineStr">
        <is>
          <t>grounded</t>
        </is>
      </c>
      <c r="AB1782" s="18" t="inlineStr"/>
      <c r="AC1782" s="18" t="inlineStr"/>
      <c r="AD1782" s="18" t="inlineStr"/>
      <c r="AE1782" s="18" t="inlineStr">
        <is>
          <t>sky 0-7</t>
        </is>
      </c>
      <c r="AF1782" s="18" t="inlineStr"/>
      <c r="AG1782" s="18" t="inlineStr"/>
      <c r="AH1782" s="18" t="inlineStr"/>
      <c r="AI1782" s="18" t="inlineStr"/>
      <c r="AJ1782" s="18" t="inlineStr">
        <is>
          <t>Cobblemon 동일</t>
        </is>
      </c>
      <c r="AK1782" s="18" t="inlineStr">
        <is>
          <t>사용</t>
        </is>
      </c>
      <c r="AL1782" s="18" t="inlineStr">
        <is>
          <t>COBBLEVERSE 1.7.42 / DP v31</t>
        </is>
      </c>
      <c r="AM1782" s="18" t="inlineStr">
        <is>
          <t>data/cobblemon/spawn_pool_world/0530_excadrill.json</t>
        </is>
      </c>
      <c r="AN1782" s="18" t="inlineStr">
        <is>
          <t>excadrill-1</t>
        </is>
      </c>
      <c r="AO1782" s="18" t="inlineStr">
        <is>
          <t>pokemon</t>
        </is>
      </c>
      <c r="AP1782" s="18" t="inlineStr">
        <is>
          <t>natural</t>
        </is>
      </c>
      <c r="AQ1782" s="18" t="inlineStr">
        <is>
          <t>{"biomes":["#cobblemon:is_overworld"],"maxSkyLight":7,"minSkyLight":0}</t>
        </is>
      </c>
      <c r="AR1782" s="18" t="inlineStr">
        <is>
          <t>{"biomes":["#cobblemon:is_deep_dark"]}</t>
        </is>
      </c>
      <c r="AS1782" s="18" t="inlineStr"/>
      <c r="AT1782" s="19" t="inlineStr"/>
    </row>
    <row r="1783" ht="32" customHeight="1">
      <c r="A1783" s="18" t="inlineStr">
        <is>
          <t>0531_audino.json::audino-1::001</t>
        </is>
      </c>
      <c r="B1783" s="19" t="inlineStr">
        <is>
          <t>사용</t>
        </is>
      </c>
      <c r="C1783" s="18">
        <f>IF(OR(B1783&lt;&gt;AK1783,M1783&lt;&gt;L1783,O1783&lt;&gt;"",Q1783&lt;&gt;"",V1783&lt;&gt;1,Y1783&lt;&gt;"",AT1783&lt;&gt;""),"수정","원본")</f>
        <v/>
      </c>
      <c r="D1783" s="18" t="n">
        <v>531</v>
      </c>
      <c r="E1783" s="18" t="inlineStr">
        <is>
          <t>다부니</t>
        </is>
      </c>
      <c r="F1783" s="18" t="inlineStr">
        <is>
          <t>audino</t>
        </is>
      </c>
      <c r="G1783" s="18" t="inlineStr">
        <is>
          <t>audino</t>
        </is>
      </c>
      <c r="H1783" s="18" t="inlineStr"/>
      <c r="I1783" s="18" t="n">
        <v>5</v>
      </c>
      <c r="J1783" s="18" t="n"/>
      <c r="K1783" s="18" t="n">
        <v>5</v>
      </c>
      <c r="L1783" s="18" t="inlineStr">
        <is>
          <t>cobbleventure:generation_5</t>
        </is>
      </c>
      <c r="M1783" s="19" t="inlineStr">
        <is>
          <t>cobbleventure:generation_5</t>
        </is>
      </c>
      <c r="N1783" s="18" t="inlineStr">
        <is>
          <t>region_01</t>
        </is>
      </c>
      <c r="O1783" s="19" t="inlineStr"/>
      <c r="P1783" s="18" t="inlineStr">
        <is>
          <t>#cobblemon:is_plains; #cobblemon:is_highlands; #cobblemon:is_forest</t>
        </is>
      </c>
      <c r="Q1783" s="19" t="inlineStr"/>
      <c r="R1783" s="18">
        <f>IF(Q1783="",P1783,Q1783)</f>
        <v/>
      </c>
      <c r="S1783" s="18" t="inlineStr"/>
      <c r="T1783" s="18" t="inlineStr">
        <is>
          <t>rare</t>
        </is>
      </c>
      <c r="U1783" s="20" t="n">
        <v>5</v>
      </c>
      <c r="V1783" s="21" t="n">
        <v>1</v>
      </c>
      <c r="W1783" s="20">
        <f>IF(OR(U1783="",V1783=""),U1783,U1783*V1783)</f>
        <v/>
      </c>
      <c r="X1783" s="18" t="inlineStr">
        <is>
          <t>19-47</t>
        </is>
      </c>
      <c r="Y1783" s="19" t="inlineStr"/>
      <c r="Z1783" s="18">
        <f>IF(Y1783="",X1783,Y1783)</f>
        <v/>
      </c>
      <c r="AA1783" s="18" t="inlineStr">
        <is>
          <t>grounded</t>
        </is>
      </c>
      <c r="AB1783" s="18" t="inlineStr"/>
      <c r="AC1783" s="18" t="inlineStr"/>
      <c r="AD1783" s="18" t="inlineStr"/>
      <c r="AE1783" s="18" t="inlineStr"/>
      <c r="AF1783" s="18" t="inlineStr">
        <is>
          <t>True</t>
        </is>
      </c>
      <c r="AG1783" s="18" t="inlineStr"/>
      <c r="AH1783" s="18" t="inlineStr"/>
      <c r="AI1783" s="18" t="inlineStr"/>
      <c r="AJ1783" s="18" t="inlineStr">
        <is>
          <t>COBBLEVERSE 추가</t>
        </is>
      </c>
      <c r="AK1783" s="18" t="inlineStr">
        <is>
          <t>사용</t>
        </is>
      </c>
      <c r="AL1783" s="18" t="inlineStr">
        <is>
          <t>COBBLEVERSE 1.7.42 / DP v31</t>
        </is>
      </c>
      <c r="AM1783" s="18" t="inlineStr">
        <is>
          <t>data/cobblemon/spawn_pool_world/0531_audino.json</t>
        </is>
      </c>
      <c r="AN1783" s="18" t="inlineStr">
        <is>
          <t>audino-1</t>
        </is>
      </c>
      <c r="AO1783" s="18" t="inlineStr">
        <is>
          <t>pokemon</t>
        </is>
      </c>
      <c r="AP1783" s="18" t="inlineStr">
        <is>
          <t>natural</t>
        </is>
      </c>
      <c r="AQ1783" s="18" t="inlineStr">
        <is>
          <t>{"biomes":["#cobblemon:is_plains","#cobblemon:is_highlands","#cobblemon:is_forest"],"canSeeSky":true}</t>
        </is>
      </c>
      <c r="AR1783" s="18" t="inlineStr"/>
      <c r="AS1783" s="18" t="inlineStr"/>
      <c r="AT1783" s="19" t="inlineStr"/>
    </row>
    <row r="1784" ht="32" customHeight="1">
      <c r="A1784" s="18" t="inlineStr">
        <is>
          <t>0532_timburr.json::timburr-1::001</t>
        </is>
      </c>
      <c r="B1784" s="19" t="inlineStr">
        <is>
          <t>사용</t>
        </is>
      </c>
      <c r="C1784" s="18">
        <f>IF(OR(B1784&lt;&gt;AK1784,M1784&lt;&gt;L1784,O1784&lt;&gt;"",Q1784&lt;&gt;"",V1784&lt;&gt;1,Y1784&lt;&gt;"",AT1784&lt;&gt;""),"수정","원본")</f>
        <v/>
      </c>
      <c r="D1784" s="18" t="n">
        <v>532</v>
      </c>
      <c r="E1784" s="18" t="inlineStr">
        <is>
          <t>으랏차</t>
        </is>
      </c>
      <c r="F1784" s="18" t="inlineStr">
        <is>
          <t>timburr</t>
        </is>
      </c>
      <c r="G1784" s="18" t="inlineStr">
        <is>
          <t>timburr</t>
        </is>
      </c>
      <c r="H1784" s="18" t="inlineStr"/>
      <c r="I1784" s="18" t="n">
        <v>5</v>
      </c>
      <c r="J1784" s="18" t="n"/>
      <c r="K1784" s="18" t="n">
        <v>5</v>
      </c>
      <c r="L1784" s="18" t="inlineStr">
        <is>
          <t>cobbleventure:generation_5</t>
        </is>
      </c>
      <c r="M1784" s="19" t="inlineStr">
        <is>
          <t>cobbleventure:generation_5</t>
        </is>
      </c>
      <c r="N1784" s="18" t="inlineStr">
        <is>
          <t>region_01</t>
        </is>
      </c>
      <c r="O1784" s="19" t="inlineStr"/>
      <c r="P1784" s="18" t="inlineStr">
        <is>
          <t>#cobblemon:is_overworld</t>
        </is>
      </c>
      <c r="Q1784" s="19" t="inlineStr"/>
      <c r="R1784" s="18">
        <f>IF(Q1784="",P1784,Q1784)</f>
        <v/>
      </c>
      <c r="S1784" s="18" t="inlineStr">
        <is>
          <t>#cobblemon:is_sandy; #cobblemon:is_tundra</t>
        </is>
      </c>
      <c r="T1784" s="18" t="inlineStr">
        <is>
          <t>common</t>
        </is>
      </c>
      <c r="U1784" s="20" t="n">
        <v>5.4</v>
      </c>
      <c r="V1784" s="21" t="n">
        <v>1</v>
      </c>
      <c r="W1784" s="20">
        <f>IF(OR(U1784="",V1784=""),U1784,U1784*V1784)</f>
        <v/>
      </c>
      <c r="X1784" s="18" t="inlineStr">
        <is>
          <t>6-31</t>
        </is>
      </c>
      <c r="Y1784" s="19" t="inlineStr"/>
      <c r="Z1784" s="18">
        <f>IF(Y1784="",X1784,Y1784)</f>
        <v/>
      </c>
      <c r="AA1784" s="18" t="inlineStr">
        <is>
          <t>grounded</t>
        </is>
      </c>
      <c r="AB1784" s="18" t="inlineStr"/>
      <c r="AC1784" s="18" t="inlineStr"/>
      <c r="AD1784" s="18" t="inlineStr"/>
      <c r="AE1784" s="18" t="inlineStr">
        <is>
          <t>sky 8-15</t>
        </is>
      </c>
      <c r="AF1784" s="18" t="inlineStr"/>
      <c r="AG1784" s="18" t="inlineStr"/>
      <c r="AH1784" s="18" t="inlineStr"/>
      <c r="AI1784" s="18" t="inlineStr"/>
      <c r="AJ1784" s="18" t="inlineStr">
        <is>
          <t>COBBLEVERSE 수정</t>
        </is>
      </c>
      <c r="AK1784" s="18" t="inlineStr">
        <is>
          <t>사용</t>
        </is>
      </c>
      <c r="AL1784" s="18" t="inlineStr">
        <is>
          <t>COBBLEVERSE 1.7.42 / DP v31</t>
        </is>
      </c>
      <c r="AM1784" s="18" t="inlineStr">
        <is>
          <t>data/cobblemon/spawn_pool_world/0532_timburr.json</t>
        </is>
      </c>
      <c r="AN1784" s="18" t="inlineStr">
        <is>
          <t>timburr-1</t>
        </is>
      </c>
      <c r="AO1784" s="18" t="inlineStr">
        <is>
          <t>pokemon</t>
        </is>
      </c>
      <c r="AP1784" s="18" t="inlineStr">
        <is>
          <t>natural</t>
        </is>
      </c>
      <c r="AQ1784" s="18" t="inlineStr">
        <is>
          <t>{"biomes":["#cobblemon:is_overworld"],"maxSkyLight":15,"minSkyLight":8}</t>
        </is>
      </c>
      <c r="AR1784" s="18" t="inlineStr">
        <is>
          <t>{"biomes":["#cobblemon:is_sandy","#cobblemon:is_tundra"]}</t>
        </is>
      </c>
      <c r="AS1784" s="18" t="inlineStr">
        <is>
          <t>{"weightMultiplier":{"condition":{"timeRange":"night"},"multiplier":0.25}}</t>
        </is>
      </c>
      <c r="AT1784" s="19" t="inlineStr"/>
    </row>
    <row r="1785" ht="32" customHeight="1">
      <c r="A1785" s="18" t="inlineStr">
        <is>
          <t>0532_timburr.json::timburr-2::002</t>
        </is>
      </c>
      <c r="B1785" s="19" t="inlineStr">
        <is>
          <t>사용</t>
        </is>
      </c>
      <c r="C1785" s="18">
        <f>IF(OR(B1785&lt;&gt;AK1785,M1785&lt;&gt;L1785,O1785&lt;&gt;"",Q1785&lt;&gt;"",V1785&lt;&gt;1,Y1785&lt;&gt;"",AT1785&lt;&gt;""),"수정","원본")</f>
        <v/>
      </c>
      <c r="D1785" s="18" t="n">
        <v>532</v>
      </c>
      <c r="E1785" s="18" t="inlineStr">
        <is>
          <t>으랏차</t>
        </is>
      </c>
      <c r="F1785" s="18" t="inlineStr">
        <is>
          <t>timburr</t>
        </is>
      </c>
      <c r="G1785" s="18" t="inlineStr">
        <is>
          <t>timburr</t>
        </is>
      </c>
      <c r="H1785" s="18" t="inlineStr"/>
      <c r="I1785" s="18" t="n">
        <v>5</v>
      </c>
      <c r="J1785" s="18" t="n"/>
      <c r="K1785" s="18" t="n">
        <v>5</v>
      </c>
      <c r="L1785" s="18" t="inlineStr">
        <is>
          <t>cobbleventure:generation_5</t>
        </is>
      </c>
      <c r="M1785" s="19" t="inlineStr">
        <is>
          <t>cobbleventure:generation_5</t>
        </is>
      </c>
      <c r="N1785" s="18" t="inlineStr">
        <is>
          <t>region_01</t>
        </is>
      </c>
      <c r="O1785" s="19" t="inlineStr"/>
      <c r="P1785" s="18" t="inlineStr">
        <is>
          <t>#cobblemon:is_overworld</t>
        </is>
      </c>
      <c r="Q1785" s="19" t="inlineStr"/>
      <c r="R1785" s="18">
        <f>IF(Q1785="",P1785,Q1785)</f>
        <v/>
      </c>
      <c r="S1785" s="18" t="inlineStr">
        <is>
          <t>#cobblemon:is_sandy; #cobblemon:is_tundra</t>
        </is>
      </c>
      <c r="T1785" s="18" t="inlineStr">
        <is>
          <t>common</t>
        </is>
      </c>
      <c r="U1785" s="20" t="n">
        <v>5.4</v>
      </c>
      <c r="V1785" s="21" t="n">
        <v>1</v>
      </c>
      <c r="W1785" s="20">
        <f>IF(OR(U1785="",V1785=""),U1785,U1785*V1785)</f>
        <v/>
      </c>
      <c r="X1785" s="18" t="inlineStr">
        <is>
          <t>6-31</t>
        </is>
      </c>
      <c r="Y1785" s="19" t="inlineStr"/>
      <c r="Z1785" s="18">
        <f>IF(Y1785="",X1785,Y1785)</f>
        <v/>
      </c>
      <c r="AA1785" s="18" t="inlineStr">
        <is>
          <t>grounded</t>
        </is>
      </c>
      <c r="AB1785" s="18" t="inlineStr"/>
      <c r="AC1785" s="18" t="inlineStr"/>
      <c r="AD1785" s="18" t="inlineStr"/>
      <c r="AE1785" s="18" t="inlineStr">
        <is>
          <t>sky 8-15</t>
        </is>
      </c>
      <c r="AF1785" s="18" t="inlineStr"/>
      <c r="AG1785" s="18" t="inlineStr">
        <is>
          <t>#minecraft:village</t>
        </is>
      </c>
      <c r="AH1785" s="18" t="inlineStr"/>
      <c r="AI1785" s="18" t="inlineStr"/>
      <c r="AJ1785" s="18" t="inlineStr">
        <is>
          <t>COBBLEVERSE 수정</t>
        </is>
      </c>
      <c r="AK1785" s="18" t="inlineStr">
        <is>
          <t>사용</t>
        </is>
      </c>
      <c r="AL1785" s="18" t="inlineStr">
        <is>
          <t>COBBLEVERSE 1.7.42 / DP v31</t>
        </is>
      </c>
      <c r="AM1785" s="18" t="inlineStr">
        <is>
          <t>data/cobblemon/spawn_pool_world/0532_timburr.json</t>
        </is>
      </c>
      <c r="AN1785" s="18" t="inlineStr">
        <is>
          <t>timburr-2</t>
        </is>
      </c>
      <c r="AO1785" s="18" t="inlineStr">
        <is>
          <t>pokemon</t>
        </is>
      </c>
      <c r="AP1785" s="18" t="inlineStr">
        <is>
          <t>natural</t>
        </is>
      </c>
      <c r="AQ1785" s="18" t="inlineStr">
        <is>
          <t>{"biomes":["#cobblemon:is_overworld"],"maxSkyLight":15,"minSkyLight":8,"structures":["#minecraft:village"]}</t>
        </is>
      </c>
      <c r="AR1785" s="18" t="inlineStr">
        <is>
          <t>{"biomes":["#cobblemon:is_sandy","#cobblemon:is_tundra"]}</t>
        </is>
      </c>
      <c r="AS1785" s="18" t="inlineStr">
        <is>
          <t>{"weightMultiplier":{"condition":{"timeRange":"night"},"multiplier":0.25}}</t>
        </is>
      </c>
      <c r="AT1785" s="19" t="inlineStr"/>
    </row>
    <row r="1786" ht="32" customHeight="1">
      <c r="A1786" s="18" t="inlineStr">
        <is>
          <t>0533_gurdurr.json::gurdurr-1::001</t>
        </is>
      </c>
      <c r="B1786" s="19" t="inlineStr">
        <is>
          <t>사용</t>
        </is>
      </c>
      <c r="C1786" s="18">
        <f>IF(OR(B1786&lt;&gt;AK1786,M1786&lt;&gt;L1786,O1786&lt;&gt;"",Q1786&lt;&gt;"",V1786&lt;&gt;1,Y1786&lt;&gt;"",AT1786&lt;&gt;""),"수정","원본")</f>
        <v/>
      </c>
      <c r="D1786" s="18" t="n">
        <v>533</v>
      </c>
      <c r="E1786" s="18" t="inlineStr">
        <is>
          <t>토쇠골</t>
        </is>
      </c>
      <c r="F1786" s="18" t="inlineStr">
        <is>
          <t>gurdurr</t>
        </is>
      </c>
      <c r="G1786" s="18" t="inlineStr">
        <is>
          <t>gurdurr</t>
        </is>
      </c>
      <c r="H1786" s="18" t="inlineStr"/>
      <c r="I1786" s="18" t="n">
        <v>5</v>
      </c>
      <c r="J1786" s="18" t="n"/>
      <c r="K1786" s="18" t="n">
        <v>5</v>
      </c>
      <c r="L1786" s="18" t="inlineStr">
        <is>
          <t>cobbleventure:generation_5</t>
        </is>
      </c>
      <c r="M1786" s="19" t="inlineStr">
        <is>
          <t>cobbleventure:generation_5</t>
        </is>
      </c>
      <c r="N1786" s="18" t="inlineStr">
        <is>
          <t>region_01</t>
        </is>
      </c>
      <c r="O1786" s="19" t="inlineStr"/>
      <c r="P1786" s="18" t="inlineStr">
        <is>
          <t>#cobblemon:is_overworld</t>
        </is>
      </c>
      <c r="Q1786" s="19" t="inlineStr"/>
      <c r="R1786" s="18">
        <f>IF(Q1786="",P1786,Q1786)</f>
        <v/>
      </c>
      <c r="S1786" s="18" t="inlineStr">
        <is>
          <t>#cobblemon:is_sandy; #cobblemon:is_tundra</t>
        </is>
      </c>
      <c r="T1786" s="18" t="inlineStr">
        <is>
          <t>common</t>
        </is>
      </c>
      <c r="U1786" s="20" t="n">
        <v>0.57</v>
      </c>
      <c r="V1786" s="21" t="n">
        <v>1</v>
      </c>
      <c r="W1786" s="20">
        <f>IF(OR(U1786="",V1786=""),U1786,U1786*V1786)</f>
        <v/>
      </c>
      <c r="X1786" s="18" t="inlineStr">
        <is>
          <t>25-41</t>
        </is>
      </c>
      <c r="Y1786" s="19" t="inlineStr"/>
      <c r="Z1786" s="18">
        <f>IF(Y1786="",X1786,Y1786)</f>
        <v/>
      </c>
      <c r="AA1786" s="18" t="inlineStr">
        <is>
          <t>grounded</t>
        </is>
      </c>
      <c r="AB1786" s="18" t="inlineStr"/>
      <c r="AC1786" s="18" t="inlineStr"/>
      <c r="AD1786" s="18" t="inlineStr"/>
      <c r="AE1786" s="18" t="inlineStr">
        <is>
          <t>sky 8-15</t>
        </is>
      </c>
      <c r="AF1786" s="18" t="inlineStr"/>
      <c r="AG1786" s="18" t="inlineStr"/>
      <c r="AH1786" s="18" t="inlineStr"/>
      <c r="AI1786" s="18" t="inlineStr"/>
      <c r="AJ1786" s="18" t="inlineStr">
        <is>
          <t>COBBLEVERSE 수정</t>
        </is>
      </c>
      <c r="AK1786" s="18" t="inlineStr">
        <is>
          <t>사용</t>
        </is>
      </c>
      <c r="AL1786" s="18" t="inlineStr">
        <is>
          <t>COBBLEVERSE 1.7.42 / DP v31</t>
        </is>
      </c>
      <c r="AM1786" s="18" t="inlineStr">
        <is>
          <t>data/cobblemon/spawn_pool_world/0533_gurdurr.json</t>
        </is>
      </c>
      <c r="AN1786" s="18" t="inlineStr">
        <is>
          <t>gurdurr-1</t>
        </is>
      </c>
      <c r="AO1786" s="18" t="inlineStr">
        <is>
          <t>pokemon</t>
        </is>
      </c>
      <c r="AP1786" s="18" t="inlineStr">
        <is>
          <t>natural</t>
        </is>
      </c>
      <c r="AQ1786" s="18" t="inlineStr">
        <is>
          <t>{"biomes":["#cobblemon:is_overworld"],"maxSkyLight":15,"minSkyLight":8}</t>
        </is>
      </c>
      <c r="AR1786" s="18" t="inlineStr">
        <is>
          <t>{"biomes":["#cobblemon:is_sandy","#cobblemon:is_tundra"]}</t>
        </is>
      </c>
      <c r="AS1786" s="18" t="inlineStr">
        <is>
          <t>{"weightMultiplier":{"condition":{"timeRange":"night"},"multiplier":0.25}}</t>
        </is>
      </c>
      <c r="AT1786" s="19" t="inlineStr"/>
    </row>
    <row r="1787" ht="32" customHeight="1">
      <c r="A1787" s="18" t="inlineStr">
        <is>
          <t>0533_gurdurr.json::gurdurr-2::002</t>
        </is>
      </c>
      <c r="B1787" s="19" t="inlineStr">
        <is>
          <t>사용</t>
        </is>
      </c>
      <c r="C1787" s="18">
        <f>IF(OR(B1787&lt;&gt;AK1787,M1787&lt;&gt;L1787,O1787&lt;&gt;"",Q1787&lt;&gt;"",V1787&lt;&gt;1,Y1787&lt;&gt;"",AT1787&lt;&gt;""),"수정","원본")</f>
        <v/>
      </c>
      <c r="D1787" s="18" t="n">
        <v>533</v>
      </c>
      <c r="E1787" s="18" t="inlineStr">
        <is>
          <t>토쇠골</t>
        </is>
      </c>
      <c r="F1787" s="18" t="inlineStr">
        <is>
          <t>gurdurr</t>
        </is>
      </c>
      <c r="G1787" s="18" t="inlineStr">
        <is>
          <t>gurdurr</t>
        </is>
      </c>
      <c r="H1787" s="18" t="inlineStr"/>
      <c r="I1787" s="18" t="n">
        <v>5</v>
      </c>
      <c r="J1787" s="18" t="n"/>
      <c r="K1787" s="18" t="n">
        <v>5</v>
      </c>
      <c r="L1787" s="18" t="inlineStr">
        <is>
          <t>cobbleventure:generation_5</t>
        </is>
      </c>
      <c r="M1787" s="19" t="inlineStr">
        <is>
          <t>cobbleventure:generation_5</t>
        </is>
      </c>
      <c r="N1787" s="18" t="inlineStr">
        <is>
          <t>region_01</t>
        </is>
      </c>
      <c r="O1787" s="19" t="inlineStr"/>
      <c r="P1787" s="18" t="inlineStr">
        <is>
          <t>#cobblemon:is_overworld</t>
        </is>
      </c>
      <c r="Q1787" s="19" t="inlineStr"/>
      <c r="R1787" s="18">
        <f>IF(Q1787="",P1787,Q1787)</f>
        <v/>
      </c>
      <c r="S1787" s="18" t="inlineStr">
        <is>
          <t>#cobblemon:is_sandy; #cobblemon:is_tundra</t>
        </is>
      </c>
      <c r="T1787" s="18" t="inlineStr">
        <is>
          <t>common</t>
        </is>
      </c>
      <c r="U1787" s="20" t="n">
        <v>0.57</v>
      </c>
      <c r="V1787" s="21" t="n">
        <v>1</v>
      </c>
      <c r="W1787" s="20">
        <f>IF(OR(U1787="",V1787=""),U1787,U1787*V1787)</f>
        <v/>
      </c>
      <c r="X1787" s="18" t="inlineStr">
        <is>
          <t>25-41</t>
        </is>
      </c>
      <c r="Y1787" s="19" t="inlineStr"/>
      <c r="Z1787" s="18">
        <f>IF(Y1787="",X1787,Y1787)</f>
        <v/>
      </c>
      <c r="AA1787" s="18" t="inlineStr">
        <is>
          <t>grounded</t>
        </is>
      </c>
      <c r="AB1787" s="18" t="inlineStr"/>
      <c r="AC1787" s="18" t="inlineStr"/>
      <c r="AD1787" s="18" t="inlineStr"/>
      <c r="AE1787" s="18" t="inlineStr">
        <is>
          <t>sky 8-15</t>
        </is>
      </c>
      <c r="AF1787" s="18" t="inlineStr"/>
      <c r="AG1787" s="18" t="inlineStr">
        <is>
          <t>#minecraft:village</t>
        </is>
      </c>
      <c r="AH1787" s="18" t="inlineStr"/>
      <c r="AI1787" s="18" t="inlineStr"/>
      <c r="AJ1787" s="18" t="inlineStr">
        <is>
          <t>COBBLEVERSE 수정</t>
        </is>
      </c>
      <c r="AK1787" s="18" t="inlineStr">
        <is>
          <t>사용</t>
        </is>
      </c>
      <c r="AL1787" s="18" t="inlineStr">
        <is>
          <t>COBBLEVERSE 1.7.42 / DP v31</t>
        </is>
      </c>
      <c r="AM1787" s="18" t="inlineStr">
        <is>
          <t>data/cobblemon/spawn_pool_world/0533_gurdurr.json</t>
        </is>
      </c>
      <c r="AN1787" s="18" t="inlineStr">
        <is>
          <t>gurdurr-2</t>
        </is>
      </c>
      <c r="AO1787" s="18" t="inlineStr">
        <is>
          <t>pokemon</t>
        </is>
      </c>
      <c r="AP1787" s="18" t="inlineStr">
        <is>
          <t>natural</t>
        </is>
      </c>
      <c r="AQ1787" s="18" t="inlineStr">
        <is>
          <t>{"biomes":["#cobblemon:is_overworld"],"maxSkyLight":15,"minSkyLight":8,"structures":["#minecraft:village"]}</t>
        </is>
      </c>
      <c r="AR1787" s="18" t="inlineStr">
        <is>
          <t>{"biomes":["#cobblemon:is_sandy","#cobblemon:is_tundra"]}</t>
        </is>
      </c>
      <c r="AS1787" s="18" t="inlineStr">
        <is>
          <t>{"weightMultiplier":{"condition":{"timeRange":"night"},"multiplier":0.25}}</t>
        </is>
      </c>
      <c r="AT1787" s="19" t="inlineStr"/>
    </row>
    <row r="1788" ht="32" customHeight="1">
      <c r="A1788" s="18" t="inlineStr">
        <is>
          <t>0534_conkeldurr.json::conkeldurr-1::001</t>
        </is>
      </c>
      <c r="B1788" s="19" t="inlineStr">
        <is>
          <t>사용</t>
        </is>
      </c>
      <c r="C1788" s="18">
        <f>IF(OR(B1788&lt;&gt;AK1788,M1788&lt;&gt;L1788,O1788&lt;&gt;"",Q1788&lt;&gt;"",V1788&lt;&gt;1,Y1788&lt;&gt;"",AT1788&lt;&gt;""),"수정","원본")</f>
        <v/>
      </c>
      <c r="D1788" s="18" t="n">
        <v>534</v>
      </c>
      <c r="E1788" s="18" t="inlineStr">
        <is>
          <t>노보청</t>
        </is>
      </c>
      <c r="F1788" s="18" t="inlineStr">
        <is>
          <t>conkeldurr</t>
        </is>
      </c>
      <c r="G1788" s="18" t="inlineStr">
        <is>
          <t>conkeldurr</t>
        </is>
      </c>
      <c r="H1788" s="18" t="inlineStr"/>
      <c r="I1788" s="18" t="n">
        <v>5</v>
      </c>
      <c r="J1788" s="18" t="n"/>
      <c r="K1788" s="18" t="n">
        <v>5</v>
      </c>
      <c r="L1788" s="18" t="inlineStr">
        <is>
          <t>cobbleventure:generation_5</t>
        </is>
      </c>
      <c r="M1788" s="19" t="inlineStr">
        <is>
          <t>cobbleventure:generation_5</t>
        </is>
      </c>
      <c r="N1788" s="18" t="inlineStr">
        <is>
          <t>region_01</t>
        </is>
      </c>
      <c r="O1788" s="19" t="inlineStr"/>
      <c r="P1788" s="18" t="inlineStr">
        <is>
          <t>#cobblemon:is_overworld</t>
        </is>
      </c>
      <c r="Q1788" s="19" t="inlineStr"/>
      <c r="R1788" s="18">
        <f>IF(Q1788="",P1788,Q1788)</f>
        <v/>
      </c>
      <c r="S1788" s="18" t="inlineStr">
        <is>
          <t>#cobblemon:is_sandy; #cobblemon:is_tundra</t>
        </is>
      </c>
      <c r="T1788" s="18" t="inlineStr">
        <is>
          <t>common</t>
        </is>
      </c>
      <c r="U1788" s="20" t="n">
        <v>0.03</v>
      </c>
      <c r="V1788" s="21" t="n">
        <v>1</v>
      </c>
      <c r="W1788" s="20">
        <f>IF(OR(U1788="",V1788=""),U1788,U1788*V1788)</f>
        <v/>
      </c>
      <c r="X1788" s="18" t="inlineStr">
        <is>
          <t>36-51</t>
        </is>
      </c>
      <c r="Y1788" s="19" t="inlineStr"/>
      <c r="Z1788" s="18">
        <f>IF(Y1788="",X1788,Y1788)</f>
        <v/>
      </c>
      <c r="AA1788" s="18" t="inlineStr">
        <is>
          <t>grounded</t>
        </is>
      </c>
      <c r="AB1788" s="18" t="inlineStr"/>
      <c r="AC1788" s="18" t="inlineStr"/>
      <c r="AD1788" s="18" t="inlineStr"/>
      <c r="AE1788" s="18" t="inlineStr">
        <is>
          <t>sky 8-15</t>
        </is>
      </c>
      <c r="AF1788" s="18" t="inlineStr"/>
      <c r="AG1788" s="18" t="inlineStr"/>
      <c r="AH1788" s="18" t="inlineStr"/>
      <c r="AI1788" s="18" t="inlineStr"/>
      <c r="AJ1788" s="18" t="inlineStr">
        <is>
          <t>COBBLEVERSE 수정</t>
        </is>
      </c>
      <c r="AK1788" s="18" t="inlineStr">
        <is>
          <t>사용</t>
        </is>
      </c>
      <c r="AL1788" s="18" t="inlineStr">
        <is>
          <t>COBBLEVERSE 1.7.42 / DP v31</t>
        </is>
      </c>
      <c r="AM1788" s="18" t="inlineStr">
        <is>
          <t>data/cobblemon/spawn_pool_world/0534_conkeldurr.json</t>
        </is>
      </c>
      <c r="AN1788" s="18" t="inlineStr">
        <is>
          <t>conkeldurr-1</t>
        </is>
      </c>
      <c r="AO1788" s="18" t="inlineStr">
        <is>
          <t>pokemon</t>
        </is>
      </c>
      <c r="AP1788" s="18" t="inlineStr">
        <is>
          <t>natural</t>
        </is>
      </c>
      <c r="AQ1788" s="18" t="inlineStr">
        <is>
          <t>{"biomes":["#cobblemon:is_overworld"],"maxSkyLight":15,"minSkyLight":8}</t>
        </is>
      </c>
      <c r="AR1788" s="18" t="inlineStr">
        <is>
          <t>{"biomes":["#cobblemon:is_sandy","#cobblemon:is_tundra"]}</t>
        </is>
      </c>
      <c r="AS1788" s="18" t="inlineStr">
        <is>
          <t>{"weightMultiplier":{"condition":{"timeRange":"night"},"multiplier":0.25}}</t>
        </is>
      </c>
      <c r="AT1788" s="19" t="inlineStr"/>
    </row>
    <row r="1789" ht="32" customHeight="1">
      <c r="A1789" s="18" t="inlineStr">
        <is>
          <t>0534_conkeldurr.json::conkeldurr-2::002</t>
        </is>
      </c>
      <c r="B1789" s="19" t="inlineStr">
        <is>
          <t>사용</t>
        </is>
      </c>
      <c r="C1789" s="18">
        <f>IF(OR(B1789&lt;&gt;AK1789,M1789&lt;&gt;L1789,O1789&lt;&gt;"",Q1789&lt;&gt;"",V1789&lt;&gt;1,Y1789&lt;&gt;"",AT1789&lt;&gt;""),"수정","원본")</f>
        <v/>
      </c>
      <c r="D1789" s="18" t="n">
        <v>534</v>
      </c>
      <c r="E1789" s="18" t="inlineStr">
        <is>
          <t>노보청</t>
        </is>
      </c>
      <c r="F1789" s="18" t="inlineStr">
        <is>
          <t>conkeldurr</t>
        </is>
      </c>
      <c r="G1789" s="18" t="inlineStr">
        <is>
          <t>conkeldurr</t>
        </is>
      </c>
      <c r="H1789" s="18" t="inlineStr"/>
      <c r="I1789" s="18" t="n">
        <v>5</v>
      </c>
      <c r="J1789" s="18" t="n"/>
      <c r="K1789" s="18" t="n">
        <v>5</v>
      </c>
      <c r="L1789" s="18" t="inlineStr">
        <is>
          <t>cobbleventure:generation_5</t>
        </is>
      </c>
      <c r="M1789" s="19" t="inlineStr">
        <is>
          <t>cobbleventure:generation_5</t>
        </is>
      </c>
      <c r="N1789" s="18" t="inlineStr">
        <is>
          <t>region_01</t>
        </is>
      </c>
      <c r="O1789" s="19" t="inlineStr"/>
      <c r="P1789" s="18" t="inlineStr">
        <is>
          <t>#cobblemon:is_overworld</t>
        </is>
      </c>
      <c r="Q1789" s="19" t="inlineStr"/>
      <c r="R1789" s="18">
        <f>IF(Q1789="",P1789,Q1789)</f>
        <v/>
      </c>
      <c r="S1789" s="18" t="inlineStr">
        <is>
          <t>#cobblemon:is_sandy; #cobblemon:is_tundra</t>
        </is>
      </c>
      <c r="T1789" s="18" t="inlineStr">
        <is>
          <t>common</t>
        </is>
      </c>
      <c r="U1789" s="20" t="n">
        <v>0.03</v>
      </c>
      <c r="V1789" s="21" t="n">
        <v>1</v>
      </c>
      <c r="W1789" s="20">
        <f>IF(OR(U1789="",V1789=""),U1789,U1789*V1789)</f>
        <v/>
      </c>
      <c r="X1789" s="18" t="inlineStr">
        <is>
          <t>36-51</t>
        </is>
      </c>
      <c r="Y1789" s="19" t="inlineStr"/>
      <c r="Z1789" s="18">
        <f>IF(Y1789="",X1789,Y1789)</f>
        <v/>
      </c>
      <c r="AA1789" s="18" t="inlineStr">
        <is>
          <t>grounded</t>
        </is>
      </c>
      <c r="AB1789" s="18" t="inlineStr"/>
      <c r="AC1789" s="18" t="inlineStr"/>
      <c r="AD1789" s="18" t="inlineStr"/>
      <c r="AE1789" s="18" t="inlineStr">
        <is>
          <t>sky 8-15</t>
        </is>
      </c>
      <c r="AF1789" s="18" t="inlineStr"/>
      <c r="AG1789" s="18" t="inlineStr">
        <is>
          <t>#minecraft:village</t>
        </is>
      </c>
      <c r="AH1789" s="18" t="inlineStr"/>
      <c r="AI1789" s="18" t="inlineStr"/>
      <c r="AJ1789" s="18" t="inlineStr">
        <is>
          <t>COBBLEVERSE 수정</t>
        </is>
      </c>
      <c r="AK1789" s="18" t="inlineStr">
        <is>
          <t>사용</t>
        </is>
      </c>
      <c r="AL1789" s="18" t="inlineStr">
        <is>
          <t>COBBLEVERSE 1.7.42 / DP v31</t>
        </is>
      </c>
      <c r="AM1789" s="18" t="inlineStr">
        <is>
          <t>data/cobblemon/spawn_pool_world/0534_conkeldurr.json</t>
        </is>
      </c>
      <c r="AN1789" s="18" t="inlineStr">
        <is>
          <t>conkeldurr-2</t>
        </is>
      </c>
      <c r="AO1789" s="18" t="inlineStr">
        <is>
          <t>pokemon</t>
        </is>
      </c>
      <c r="AP1789" s="18" t="inlineStr">
        <is>
          <t>natural</t>
        </is>
      </c>
      <c r="AQ1789" s="18" t="inlineStr">
        <is>
          <t>{"biomes":["#cobblemon:is_overworld"],"maxSkyLight":15,"minSkyLight":8,"structures":["#minecraft:village"]}</t>
        </is>
      </c>
      <c r="AR1789" s="18" t="inlineStr">
        <is>
          <t>{"biomes":["#cobblemon:is_sandy","#cobblemon:is_tundra"]}</t>
        </is>
      </c>
      <c r="AS1789" s="18" t="inlineStr">
        <is>
          <t>{"weightMultiplier":{"condition":{"timeRange":"night"},"multiplier":0.25}}</t>
        </is>
      </c>
      <c r="AT1789" s="19" t="inlineStr"/>
    </row>
    <row r="1790" ht="32" customHeight="1">
      <c r="A1790" s="18" t="inlineStr">
        <is>
          <t>0535_tympole.json::tympole-1::001</t>
        </is>
      </c>
      <c r="B1790" s="19" t="inlineStr">
        <is>
          <t>사용</t>
        </is>
      </c>
      <c r="C1790" s="18">
        <f>IF(OR(B1790&lt;&gt;AK1790,M1790&lt;&gt;L1790,O1790&lt;&gt;"",Q1790&lt;&gt;"",V1790&lt;&gt;1,Y1790&lt;&gt;"",AT1790&lt;&gt;""),"수정","원본")</f>
        <v/>
      </c>
      <c r="D1790" s="18" t="n">
        <v>535</v>
      </c>
      <c r="E1790" s="18" t="inlineStr">
        <is>
          <t>동챙이</t>
        </is>
      </c>
      <c r="F1790" s="18" t="inlineStr">
        <is>
          <t>tympole</t>
        </is>
      </c>
      <c r="G1790" s="18" t="inlineStr">
        <is>
          <t>tympole</t>
        </is>
      </c>
      <c r="H1790" s="18" t="inlineStr"/>
      <c r="I1790" s="18" t="n">
        <v>5</v>
      </c>
      <c r="J1790" s="18" t="n"/>
      <c r="K1790" s="18" t="n">
        <v>5</v>
      </c>
      <c r="L1790" s="18" t="inlineStr">
        <is>
          <t>cobbleventure:generation_5</t>
        </is>
      </c>
      <c r="M1790" s="19" t="inlineStr">
        <is>
          <t>cobbleventure:generation_5</t>
        </is>
      </c>
      <c r="N1790" s="18" t="inlineStr"/>
      <c r="O1790" s="19" t="inlineStr"/>
      <c r="P1790" s="18" t="inlineStr">
        <is>
          <t>#cobblemon:is_lush</t>
        </is>
      </c>
      <c r="Q1790" s="19" t="inlineStr"/>
      <c r="R1790" s="18">
        <f>IF(Q1790="",P1790,Q1790)</f>
        <v/>
      </c>
      <c r="S1790" s="18" t="inlineStr"/>
      <c r="T1790" s="18" t="inlineStr">
        <is>
          <t>common</t>
        </is>
      </c>
      <c r="U1790" s="20" t="n">
        <v>9</v>
      </c>
      <c r="V1790" s="21" t="n">
        <v>1</v>
      </c>
      <c r="W1790" s="20">
        <f>IF(OR(U1790="",V1790=""),U1790,U1790*V1790)</f>
        <v/>
      </c>
      <c r="X1790" s="18" t="inlineStr">
        <is>
          <t>1-21</t>
        </is>
      </c>
      <c r="Y1790" s="19" t="inlineStr"/>
      <c r="Z1790" s="18">
        <f>IF(Y1790="",X1790,Y1790)</f>
        <v/>
      </c>
      <c r="AA1790" s="18" t="inlineStr">
        <is>
          <t>grounded</t>
        </is>
      </c>
      <c r="AB1790" s="18" t="inlineStr"/>
      <c r="AC1790" s="18" t="inlineStr"/>
      <c r="AD1790" s="18" t="inlineStr"/>
      <c r="AE1790" s="18" t="inlineStr">
        <is>
          <t>sky 0-7</t>
        </is>
      </c>
      <c r="AF1790" s="18" t="inlineStr"/>
      <c r="AG1790" s="18" t="inlineStr"/>
      <c r="AH1790" s="18" t="inlineStr"/>
      <c r="AI1790" s="18" t="inlineStr"/>
      <c r="AJ1790" s="18" t="inlineStr">
        <is>
          <t>COBBLEVERSE 추가</t>
        </is>
      </c>
      <c r="AK1790" s="18" t="inlineStr">
        <is>
          <t>사용</t>
        </is>
      </c>
      <c r="AL1790" s="18" t="inlineStr">
        <is>
          <t>COBBLEVERSE 1.7.42 / DP v31</t>
        </is>
      </c>
      <c r="AM1790" s="18" t="inlineStr">
        <is>
          <t>data/cobblemon/spawn_pool_world/0535_tympole.json</t>
        </is>
      </c>
      <c r="AN1790" s="18" t="inlineStr">
        <is>
          <t>tympole-1</t>
        </is>
      </c>
      <c r="AO1790" s="18" t="inlineStr">
        <is>
          <t>pokemon</t>
        </is>
      </c>
      <c r="AP1790" s="18" t="inlineStr">
        <is>
          <t>natural</t>
        </is>
      </c>
      <c r="AQ1790" s="18" t="inlineStr">
        <is>
          <t>{"biomes":["#cobblemon:is_lush"],"maxSkyLight":7,"minSkyLight":0}</t>
        </is>
      </c>
      <c r="AR1790" s="18" t="inlineStr">
        <is>
          <t>{"maxY":9,"minY":-41,"structures":["cobblemon:shipwreck_coves/lush_shipwreck_cove"]}</t>
        </is>
      </c>
      <c r="AS1790" s="18" t="inlineStr"/>
      <c r="AT1790" s="19" t="inlineStr"/>
    </row>
    <row r="1791" ht="32" customHeight="1">
      <c r="A1791" s="18" t="inlineStr">
        <is>
          <t>0535_tympole.json::tympole-2::002</t>
        </is>
      </c>
      <c r="B1791" s="19" t="inlineStr">
        <is>
          <t>사용</t>
        </is>
      </c>
      <c r="C1791" s="18">
        <f>IF(OR(B1791&lt;&gt;AK1791,M1791&lt;&gt;L1791,O1791&lt;&gt;"",Q1791&lt;&gt;"",V1791&lt;&gt;1,Y1791&lt;&gt;"",AT1791&lt;&gt;""),"수정","원본")</f>
        <v/>
      </c>
      <c r="D1791" s="18" t="n">
        <v>535</v>
      </c>
      <c r="E1791" s="18" t="inlineStr">
        <is>
          <t>동챙이</t>
        </is>
      </c>
      <c r="F1791" s="18" t="inlineStr">
        <is>
          <t>tympole</t>
        </is>
      </c>
      <c r="G1791" s="18" t="inlineStr">
        <is>
          <t>tympole</t>
        </is>
      </c>
      <c r="H1791" s="18" t="inlineStr"/>
      <c r="I1791" s="18" t="n">
        <v>5</v>
      </c>
      <c r="J1791" s="18" t="n"/>
      <c r="K1791" s="18" t="n">
        <v>5</v>
      </c>
      <c r="L1791" s="18" t="inlineStr">
        <is>
          <t>cobbleventure:generation_5</t>
        </is>
      </c>
      <c r="M1791" s="19" t="inlineStr">
        <is>
          <t>cobbleventure:generation_5</t>
        </is>
      </c>
      <c r="N1791" s="18" t="inlineStr"/>
      <c r="O1791" s="19" t="inlineStr"/>
      <c r="P1791" s="18" t="inlineStr">
        <is>
          <t>#cobblemon:is_lush</t>
        </is>
      </c>
      <c r="Q1791" s="19" t="inlineStr"/>
      <c r="R1791" s="18">
        <f>IF(Q1791="",P1791,Q1791)</f>
        <v/>
      </c>
      <c r="S1791" s="18" t="inlineStr"/>
      <c r="T1791" s="18" t="inlineStr">
        <is>
          <t>common</t>
        </is>
      </c>
      <c r="U1791" s="20" t="n">
        <v>9</v>
      </c>
      <c r="V1791" s="21" t="n">
        <v>1</v>
      </c>
      <c r="W1791" s="20">
        <f>IF(OR(U1791="",V1791=""),U1791,U1791*V1791)</f>
        <v/>
      </c>
      <c r="X1791" s="18" t="inlineStr">
        <is>
          <t>1-21</t>
        </is>
      </c>
      <c r="Y1791" s="19" t="inlineStr"/>
      <c r="Z1791" s="18">
        <f>IF(Y1791="",X1791,Y1791)</f>
        <v/>
      </c>
      <c r="AA1791" s="18" t="inlineStr">
        <is>
          <t>submerged</t>
        </is>
      </c>
      <c r="AB1791" s="18" t="inlineStr"/>
      <c r="AC1791" s="18" t="inlineStr"/>
      <c r="AD1791" s="18" t="inlineStr"/>
      <c r="AE1791" s="18" t="inlineStr">
        <is>
          <t>sky 0-7</t>
        </is>
      </c>
      <c r="AF1791" s="18" t="inlineStr"/>
      <c r="AG1791" s="18" t="inlineStr"/>
      <c r="AH1791" s="18" t="inlineStr"/>
      <c r="AI1791" s="18" t="inlineStr"/>
      <c r="AJ1791" s="18" t="inlineStr">
        <is>
          <t>COBBLEVERSE 추가</t>
        </is>
      </c>
      <c r="AK1791" s="18" t="inlineStr">
        <is>
          <t>사용</t>
        </is>
      </c>
      <c r="AL1791" s="18" t="inlineStr">
        <is>
          <t>COBBLEVERSE 1.7.42 / DP v31</t>
        </is>
      </c>
      <c r="AM1791" s="18" t="inlineStr">
        <is>
          <t>data/cobblemon/spawn_pool_world/0535_tympole.json</t>
        </is>
      </c>
      <c r="AN1791" s="18" t="inlineStr">
        <is>
          <t>tympole-2</t>
        </is>
      </c>
      <c r="AO1791" s="18" t="inlineStr">
        <is>
          <t>pokemon</t>
        </is>
      </c>
      <c r="AP1791" s="18" t="inlineStr">
        <is>
          <t>water</t>
        </is>
      </c>
      <c r="AQ1791" s="18" t="inlineStr">
        <is>
          <t>{"biomes":["#cobblemon:is_lush"],"maxSkyLight":7,"minSkyLight":0}</t>
        </is>
      </c>
      <c r="AR1791" s="18" t="inlineStr">
        <is>
          <t>{"maxY":9,"minY":-41,"structures":["cobblemon:shipwreck_coves/lush_shipwreck_cove"]}</t>
        </is>
      </c>
      <c r="AS1791" s="18" t="inlineStr"/>
      <c r="AT1791" s="19" t="inlineStr"/>
    </row>
    <row r="1792" ht="32" customHeight="1">
      <c r="A1792" s="18" t="inlineStr">
        <is>
          <t>0535_tympole.json::tympole-3::003</t>
        </is>
      </c>
      <c r="B1792" s="19" t="inlineStr">
        <is>
          <t>사용</t>
        </is>
      </c>
      <c r="C1792" s="18">
        <f>IF(OR(B1792&lt;&gt;AK1792,M1792&lt;&gt;L1792,O1792&lt;&gt;"",Q1792&lt;&gt;"",V1792&lt;&gt;1,Y1792&lt;&gt;"",AT1792&lt;&gt;""),"수정","원본")</f>
        <v/>
      </c>
      <c r="D1792" s="18" t="n">
        <v>535</v>
      </c>
      <c r="E1792" s="18" t="inlineStr">
        <is>
          <t>동챙이</t>
        </is>
      </c>
      <c r="F1792" s="18" t="inlineStr">
        <is>
          <t>tympole</t>
        </is>
      </c>
      <c r="G1792" s="18" t="inlineStr">
        <is>
          <t>tympole</t>
        </is>
      </c>
      <c r="H1792" s="18" t="inlineStr"/>
      <c r="I1792" s="18" t="n">
        <v>5</v>
      </c>
      <c r="J1792" s="18" t="n"/>
      <c r="K1792" s="18" t="n">
        <v>5</v>
      </c>
      <c r="L1792" s="18" t="inlineStr">
        <is>
          <t>cobbleventure:generation_5</t>
        </is>
      </c>
      <c r="M1792" s="19" t="inlineStr">
        <is>
          <t>cobbleventure:generation_5</t>
        </is>
      </c>
      <c r="N1792" s="18" t="inlineStr">
        <is>
          <t>region_01; region_02</t>
        </is>
      </c>
      <c r="O1792" s="19" t="inlineStr"/>
      <c r="P1792" s="18" t="inlineStr">
        <is>
          <t>#cobblemon:is_overworld</t>
        </is>
      </c>
      <c r="Q1792" s="19" t="inlineStr"/>
      <c r="R1792" s="18">
        <f>IF(Q1792="",P1792,Q1792)</f>
        <v/>
      </c>
      <c r="S1792" s="18" t="inlineStr">
        <is>
          <t>#cobblemon:is_lush</t>
        </is>
      </c>
      <c r="T1792" s="18" t="inlineStr">
        <is>
          <t>uncommon</t>
        </is>
      </c>
      <c r="U1792" s="20" t="n">
        <v>8.4</v>
      </c>
      <c r="V1792" s="21" t="n">
        <v>1</v>
      </c>
      <c r="W1792" s="20">
        <f>IF(OR(U1792="",V1792=""),U1792,U1792*V1792)</f>
        <v/>
      </c>
      <c r="X1792" s="18" t="inlineStr">
        <is>
          <t>1-21</t>
        </is>
      </c>
      <c r="Y1792" s="19" t="inlineStr"/>
      <c r="Z1792" s="18">
        <f>IF(Y1792="",X1792,Y1792)</f>
        <v/>
      </c>
      <c r="AA1792" s="18" t="inlineStr">
        <is>
          <t>grounded</t>
        </is>
      </c>
      <c r="AB1792" s="18" t="inlineStr"/>
      <c r="AC1792" s="18" t="inlineStr"/>
      <c r="AD1792" s="18" t="inlineStr">
        <is>
          <t>maxY=62</t>
        </is>
      </c>
      <c r="AE1792" s="18" t="inlineStr">
        <is>
          <t>sky 0-7</t>
        </is>
      </c>
      <c r="AF1792" s="18" t="inlineStr"/>
      <c r="AG1792" s="18" t="inlineStr"/>
      <c r="AH1792" s="18" t="inlineStr">
        <is>
          <t>주변=#minecraft:water</t>
        </is>
      </c>
      <c r="AI1792" s="18" t="inlineStr"/>
      <c r="AJ1792" s="18" t="inlineStr">
        <is>
          <t>COBBLEVERSE 추가</t>
        </is>
      </c>
      <c r="AK1792" s="18" t="inlineStr">
        <is>
          <t>사용</t>
        </is>
      </c>
      <c r="AL1792" s="18" t="inlineStr">
        <is>
          <t>COBBLEVERSE 1.7.42 / DP v31</t>
        </is>
      </c>
      <c r="AM1792" s="18" t="inlineStr">
        <is>
          <t>data/cobblemon/spawn_pool_world/0535_tympole.json</t>
        </is>
      </c>
      <c r="AN1792" s="18" t="inlineStr">
        <is>
          <t>tympole-3</t>
        </is>
      </c>
      <c r="AO1792" s="18" t="inlineStr">
        <is>
          <t>pokemon</t>
        </is>
      </c>
      <c r="AP1792" s="18" t="inlineStr">
        <is>
          <t>natural</t>
        </is>
      </c>
      <c r="AQ1792" s="18" t="inlineStr">
        <is>
          <t>{"biomes":["#cobblemon:is_overworld"],"maxSkyLight":7,"maxY":62,"minSkyLight":0,"neededNearbyBlocks":["#minecraft:water"]}</t>
        </is>
      </c>
      <c r="AR1792" s="18" t="inlineStr">
        <is>
          <t>{"biomes":["#cobblemon:is_lush"]}</t>
        </is>
      </c>
      <c r="AS1792" s="18" t="inlineStr"/>
      <c r="AT1792" s="19" t="inlineStr"/>
    </row>
    <row r="1793" ht="32" customHeight="1">
      <c r="A1793" s="18" t="inlineStr">
        <is>
          <t>0535_tympole.json::tympole-4::004</t>
        </is>
      </c>
      <c r="B1793" s="19" t="inlineStr">
        <is>
          <t>사용</t>
        </is>
      </c>
      <c r="C1793" s="18">
        <f>IF(OR(B1793&lt;&gt;AK1793,M1793&lt;&gt;L1793,O1793&lt;&gt;"",Q1793&lt;&gt;"",V1793&lt;&gt;1,Y1793&lt;&gt;"",AT1793&lt;&gt;""),"수정","원본")</f>
        <v/>
      </c>
      <c r="D1793" s="18" t="n">
        <v>535</v>
      </c>
      <c r="E1793" s="18" t="inlineStr">
        <is>
          <t>동챙이</t>
        </is>
      </c>
      <c r="F1793" s="18" t="inlineStr">
        <is>
          <t>tympole</t>
        </is>
      </c>
      <c r="G1793" s="18" t="inlineStr">
        <is>
          <t>tympole</t>
        </is>
      </c>
      <c r="H1793" s="18" t="inlineStr"/>
      <c r="I1793" s="18" t="n">
        <v>5</v>
      </c>
      <c r="J1793" s="18" t="n"/>
      <c r="K1793" s="18" t="n">
        <v>5</v>
      </c>
      <c r="L1793" s="18" t="inlineStr">
        <is>
          <t>cobbleventure:generation_5</t>
        </is>
      </c>
      <c r="M1793" s="19" t="inlineStr">
        <is>
          <t>cobbleventure:generation_5</t>
        </is>
      </c>
      <c r="N1793" s="18" t="inlineStr">
        <is>
          <t>region_01; region_02</t>
        </is>
      </c>
      <c r="O1793" s="19" t="inlineStr"/>
      <c r="P1793" s="18" t="inlineStr">
        <is>
          <t>#cobblemon:is_overworld</t>
        </is>
      </c>
      <c r="Q1793" s="19" t="inlineStr"/>
      <c r="R1793" s="18">
        <f>IF(Q1793="",P1793,Q1793)</f>
        <v/>
      </c>
      <c r="S1793" s="18" t="inlineStr">
        <is>
          <t>#cobblemon:is_lush</t>
        </is>
      </c>
      <c r="T1793" s="18" t="inlineStr">
        <is>
          <t>uncommon</t>
        </is>
      </c>
      <c r="U1793" s="20" t="n">
        <v>8.4</v>
      </c>
      <c r="V1793" s="21" t="n">
        <v>1</v>
      </c>
      <c r="W1793" s="20">
        <f>IF(OR(U1793="",V1793=""),U1793,U1793*V1793)</f>
        <v/>
      </c>
      <c r="X1793" s="18" t="inlineStr">
        <is>
          <t>1-21</t>
        </is>
      </c>
      <c r="Y1793" s="19" t="inlineStr"/>
      <c r="Z1793" s="18">
        <f>IF(Y1793="",X1793,Y1793)</f>
        <v/>
      </c>
      <c r="AA1793" s="18" t="inlineStr">
        <is>
          <t>submerged</t>
        </is>
      </c>
      <c r="AB1793" s="18" t="inlineStr"/>
      <c r="AC1793" s="18" t="inlineStr"/>
      <c r="AD1793" s="18" t="inlineStr">
        <is>
          <t>maxY=62</t>
        </is>
      </c>
      <c r="AE1793" s="18" t="inlineStr">
        <is>
          <t>sky 0-7</t>
        </is>
      </c>
      <c r="AF1793" s="18" t="inlineStr"/>
      <c r="AG1793" s="18" t="inlineStr"/>
      <c r="AH1793" s="18" t="inlineStr"/>
      <c r="AI1793" s="18" t="inlineStr"/>
      <c r="AJ1793" s="18" t="inlineStr">
        <is>
          <t>COBBLEVERSE 추가</t>
        </is>
      </c>
      <c r="AK1793" s="18" t="inlineStr">
        <is>
          <t>사용</t>
        </is>
      </c>
      <c r="AL1793" s="18" t="inlineStr">
        <is>
          <t>COBBLEVERSE 1.7.42 / DP v31</t>
        </is>
      </c>
      <c r="AM1793" s="18" t="inlineStr">
        <is>
          <t>data/cobblemon/spawn_pool_world/0535_tympole.json</t>
        </is>
      </c>
      <c r="AN1793" s="18" t="inlineStr">
        <is>
          <t>tympole-4</t>
        </is>
      </c>
      <c r="AO1793" s="18" t="inlineStr">
        <is>
          <t>pokemon</t>
        </is>
      </c>
      <c r="AP1793" s="18" t="inlineStr">
        <is>
          <t>water</t>
        </is>
      </c>
      <c r="AQ1793" s="18" t="inlineStr">
        <is>
          <t>{"biomes":["#cobblemon:is_overworld"],"maxSkyLight":7,"maxY":62,"minSkyLight":0}</t>
        </is>
      </c>
      <c r="AR1793" s="18" t="inlineStr">
        <is>
          <t>{"biomes":["#cobblemon:is_lush"]}</t>
        </is>
      </c>
      <c r="AS1793" s="18" t="inlineStr"/>
      <c r="AT1793" s="19" t="inlineStr"/>
    </row>
    <row r="1794" ht="32" customHeight="1">
      <c r="A1794" s="18" t="inlineStr">
        <is>
          <t>0535_tympole.json::tympole-5::005</t>
        </is>
      </c>
      <c r="B1794" s="19" t="inlineStr">
        <is>
          <t>사용</t>
        </is>
      </c>
      <c r="C1794" s="18">
        <f>IF(OR(B1794&lt;&gt;AK1794,M1794&lt;&gt;L1794,O1794&lt;&gt;"",Q1794&lt;&gt;"",V1794&lt;&gt;1,Y1794&lt;&gt;"",AT1794&lt;&gt;""),"수정","원본")</f>
        <v/>
      </c>
      <c r="D1794" s="18" t="n">
        <v>535</v>
      </c>
      <c r="E1794" s="18" t="inlineStr">
        <is>
          <t>동챙이</t>
        </is>
      </c>
      <c r="F1794" s="18" t="inlineStr">
        <is>
          <t>tympole</t>
        </is>
      </c>
      <c r="G1794" s="18" t="inlineStr">
        <is>
          <t>tympole</t>
        </is>
      </c>
      <c r="H1794" s="18" t="inlineStr"/>
      <c r="I1794" s="18" t="n">
        <v>5</v>
      </c>
      <c r="J1794" s="18" t="n"/>
      <c r="K1794" s="18" t="n">
        <v>5</v>
      </c>
      <c r="L1794" s="18" t="inlineStr">
        <is>
          <t>cobbleventure:generation_5</t>
        </is>
      </c>
      <c r="M1794" s="19" t="inlineStr">
        <is>
          <t>cobbleventure:generation_5</t>
        </is>
      </c>
      <c r="N1794" s="18" t="inlineStr">
        <is>
          <t>region_02</t>
        </is>
      </c>
      <c r="O1794" s="19" t="inlineStr"/>
      <c r="P1794" s="18" t="inlineStr">
        <is>
          <t>#cobblemon:is_swamp</t>
        </is>
      </c>
      <c r="Q1794" s="19" t="inlineStr"/>
      <c r="R1794" s="18">
        <f>IF(Q1794="",P1794,Q1794)</f>
        <v/>
      </c>
      <c r="S1794" s="18" t="inlineStr">
        <is>
          <t>#cobblemon:has_block/mud</t>
        </is>
      </c>
      <c r="T1794" s="18" t="inlineStr">
        <is>
          <t>common</t>
        </is>
      </c>
      <c r="U1794" s="20" t="n">
        <v>1.8</v>
      </c>
      <c r="V1794" s="21" t="n">
        <v>1</v>
      </c>
      <c r="W1794" s="20">
        <f>IF(OR(U1794="",V1794=""),U1794,U1794*V1794)</f>
        <v/>
      </c>
      <c r="X1794" s="18" t="inlineStr">
        <is>
          <t>1-21</t>
        </is>
      </c>
      <c r="Y1794" s="19" t="inlineStr"/>
      <c r="Z1794" s="18">
        <f>IF(Y1794="",X1794,Y1794)</f>
        <v/>
      </c>
      <c r="AA1794" s="18" t="inlineStr">
        <is>
          <t>grounded</t>
        </is>
      </c>
      <c r="AB1794" s="18" t="inlineStr"/>
      <c r="AC1794" s="18" t="inlineStr">
        <is>
          <t>비=True</t>
        </is>
      </c>
      <c r="AD1794" s="18" t="inlineStr"/>
      <c r="AE1794" s="18" t="inlineStr">
        <is>
          <t>sky 8-15</t>
        </is>
      </c>
      <c r="AF1794" s="18" t="inlineStr"/>
      <c r="AG1794" s="18" t="inlineStr"/>
      <c r="AH1794" s="18" t="inlineStr"/>
      <c r="AI1794" s="18" t="inlineStr"/>
      <c r="AJ1794" s="18" t="inlineStr">
        <is>
          <t>COBBLEVERSE 추가</t>
        </is>
      </c>
      <c r="AK1794" s="18" t="inlineStr">
        <is>
          <t>사용</t>
        </is>
      </c>
      <c r="AL1794" s="18" t="inlineStr">
        <is>
          <t>COBBLEVERSE 1.7.42 / DP v31</t>
        </is>
      </c>
      <c r="AM1794" s="18" t="inlineStr">
        <is>
          <t>data/cobblemon/spawn_pool_world/0535_tympole.json</t>
        </is>
      </c>
      <c r="AN1794" s="18" t="inlineStr">
        <is>
          <t>tympole-5</t>
        </is>
      </c>
      <c r="AO1794" s="18" t="inlineStr">
        <is>
          <t>pokemon</t>
        </is>
      </c>
      <c r="AP1794" s="18" t="inlineStr">
        <is>
          <t>natural</t>
        </is>
      </c>
      <c r="AQ1794" s="18" t="inlineStr">
        <is>
          <t>{"biomes":["#cobblemon:is_swamp"],"isRaining":true,"maxSkyLight":15,"minSkyLight":8}</t>
        </is>
      </c>
      <c r="AR1794" s="18" t="inlineStr">
        <is>
          <t>{"biomes":["#cobblemon:has_block/mud"]}</t>
        </is>
      </c>
      <c r="AS1794" s="18" t="inlineStr"/>
      <c r="AT1794" s="19" t="inlineStr"/>
    </row>
    <row r="1795" ht="32" customHeight="1">
      <c r="A1795" s="18" t="inlineStr">
        <is>
          <t>0535_tympole.json::tympole-6::006</t>
        </is>
      </c>
      <c r="B1795" s="19" t="inlineStr">
        <is>
          <t>사용</t>
        </is>
      </c>
      <c r="C1795" s="18">
        <f>IF(OR(B1795&lt;&gt;AK1795,M1795&lt;&gt;L1795,O1795&lt;&gt;"",Q1795&lt;&gt;"",V1795&lt;&gt;1,Y1795&lt;&gt;"",AT1795&lt;&gt;""),"수정","원본")</f>
        <v/>
      </c>
      <c r="D1795" s="18" t="n">
        <v>535</v>
      </c>
      <c r="E1795" s="18" t="inlineStr">
        <is>
          <t>동챙이</t>
        </is>
      </c>
      <c r="F1795" s="18" t="inlineStr">
        <is>
          <t>tympole</t>
        </is>
      </c>
      <c r="G1795" s="18" t="inlineStr">
        <is>
          <t>tympole</t>
        </is>
      </c>
      <c r="H1795" s="18" t="inlineStr"/>
      <c r="I1795" s="18" t="n">
        <v>5</v>
      </c>
      <c r="J1795" s="18" t="n"/>
      <c r="K1795" s="18" t="n">
        <v>5</v>
      </c>
      <c r="L1795" s="18" t="inlineStr">
        <is>
          <t>cobbleventure:generation_5</t>
        </is>
      </c>
      <c r="M1795" s="19" t="inlineStr">
        <is>
          <t>cobbleventure:generation_5</t>
        </is>
      </c>
      <c r="N1795" s="18" t="inlineStr">
        <is>
          <t>region_02</t>
        </is>
      </c>
      <c r="O1795" s="19" t="inlineStr"/>
      <c r="P1795" s="18" t="inlineStr">
        <is>
          <t>#cobblemon:is_swamp</t>
        </is>
      </c>
      <c r="Q1795" s="19" t="inlineStr"/>
      <c r="R1795" s="18">
        <f>IF(Q1795="",P1795,Q1795)</f>
        <v/>
      </c>
      <c r="S1795" s="18" t="inlineStr">
        <is>
          <t>#cobblemon:has_block/mud</t>
        </is>
      </c>
      <c r="T1795" s="18" t="inlineStr">
        <is>
          <t>common</t>
        </is>
      </c>
      <c r="U1795" s="20" t="n">
        <v>1.8</v>
      </c>
      <c r="V1795" s="21" t="n">
        <v>1</v>
      </c>
      <c r="W1795" s="20">
        <f>IF(OR(U1795="",V1795=""),U1795,U1795*V1795)</f>
        <v/>
      </c>
      <c r="X1795" s="18" t="inlineStr">
        <is>
          <t>1-21</t>
        </is>
      </c>
      <c r="Y1795" s="19" t="inlineStr"/>
      <c r="Z1795" s="18">
        <f>IF(Y1795="",X1795,Y1795)</f>
        <v/>
      </c>
      <c r="AA1795" s="18" t="inlineStr">
        <is>
          <t>submerged</t>
        </is>
      </c>
      <c r="AB1795" s="18" t="inlineStr"/>
      <c r="AC1795" s="18" t="inlineStr"/>
      <c r="AD1795" s="18" t="inlineStr"/>
      <c r="AE1795" s="18" t="inlineStr"/>
      <c r="AF1795" s="18" t="inlineStr">
        <is>
          <t>True</t>
        </is>
      </c>
      <c r="AG1795" s="18" t="inlineStr"/>
      <c r="AH1795" s="18" t="inlineStr"/>
      <c r="AI1795" s="18" t="inlineStr"/>
      <c r="AJ1795" s="18" t="inlineStr">
        <is>
          <t>COBBLEVERSE 추가</t>
        </is>
      </c>
      <c r="AK1795" s="18" t="inlineStr">
        <is>
          <t>사용</t>
        </is>
      </c>
      <c r="AL1795" s="18" t="inlineStr">
        <is>
          <t>COBBLEVERSE 1.7.42 / DP v31</t>
        </is>
      </c>
      <c r="AM1795" s="18" t="inlineStr">
        <is>
          <t>data/cobblemon/spawn_pool_world/0535_tympole.json</t>
        </is>
      </c>
      <c r="AN1795" s="18" t="inlineStr">
        <is>
          <t>tympole-6</t>
        </is>
      </c>
      <c r="AO1795" s="18" t="inlineStr">
        <is>
          <t>pokemon</t>
        </is>
      </c>
      <c r="AP1795" s="18" t="inlineStr">
        <is>
          <t>water</t>
        </is>
      </c>
      <c r="AQ1795" s="18" t="inlineStr">
        <is>
          <t>{"biomes":["#cobblemon:is_swamp"],"canSeeSky":true}</t>
        </is>
      </c>
      <c r="AR1795" s="18" t="inlineStr">
        <is>
          <t>{"biomes":["#cobblemon:has_block/mud"]}</t>
        </is>
      </c>
      <c r="AS1795" s="18" t="inlineStr"/>
      <c r="AT1795" s="19" t="inlineStr"/>
    </row>
    <row r="1796" ht="32" customHeight="1">
      <c r="A1796" s="18" t="inlineStr">
        <is>
          <t>0535_tympole.json::tympole-7::007</t>
        </is>
      </c>
      <c r="B1796" s="19" t="inlineStr">
        <is>
          <t>사용</t>
        </is>
      </c>
      <c r="C1796" s="18">
        <f>IF(OR(B1796&lt;&gt;AK1796,M1796&lt;&gt;L1796,O1796&lt;&gt;"",Q1796&lt;&gt;"",V1796&lt;&gt;1,Y1796&lt;&gt;"",AT1796&lt;&gt;""),"수정","원본")</f>
        <v/>
      </c>
      <c r="D1796" s="18" t="n">
        <v>535</v>
      </c>
      <c r="E1796" s="18" t="inlineStr">
        <is>
          <t>동챙이</t>
        </is>
      </c>
      <c r="F1796" s="18" t="inlineStr">
        <is>
          <t>tympole</t>
        </is>
      </c>
      <c r="G1796" s="18" t="inlineStr">
        <is>
          <t>tympole</t>
        </is>
      </c>
      <c r="H1796" s="18" t="inlineStr"/>
      <c r="I1796" s="18" t="n">
        <v>5</v>
      </c>
      <c r="J1796" s="18" t="n"/>
      <c r="K1796" s="18" t="n">
        <v>5</v>
      </c>
      <c r="L1796" s="18" t="inlineStr">
        <is>
          <t>cobbleventure:generation_5</t>
        </is>
      </c>
      <c r="M1796" s="19" t="inlineStr">
        <is>
          <t>cobbleventure:generation_5</t>
        </is>
      </c>
      <c r="N1796" s="18" t="inlineStr">
        <is>
          <t>region_02</t>
        </is>
      </c>
      <c r="O1796" s="19" t="inlineStr"/>
      <c r="P1796" s="18" t="inlineStr">
        <is>
          <t>#cobblemon:is_swamp</t>
        </is>
      </c>
      <c r="Q1796" s="19" t="inlineStr"/>
      <c r="R1796" s="18">
        <f>IF(Q1796="",P1796,Q1796)</f>
        <v/>
      </c>
      <c r="S1796" s="18" t="inlineStr">
        <is>
          <t>#cobblemon:has_block/mud</t>
        </is>
      </c>
      <c r="T1796" s="18" t="inlineStr">
        <is>
          <t>common</t>
        </is>
      </c>
      <c r="U1796" s="20" t="n">
        <v>1.8</v>
      </c>
      <c r="V1796" s="21" t="n">
        <v>1</v>
      </c>
      <c r="W1796" s="20">
        <f>IF(OR(U1796="",V1796=""),U1796,U1796*V1796)</f>
        <v/>
      </c>
      <c r="X1796" s="18" t="inlineStr">
        <is>
          <t>1-21</t>
        </is>
      </c>
      <c r="Y1796" s="19" t="inlineStr"/>
      <c r="Z1796" s="18">
        <f>IF(Y1796="",X1796,Y1796)</f>
        <v/>
      </c>
      <c r="AA1796" s="18" t="inlineStr">
        <is>
          <t>submerged</t>
        </is>
      </c>
      <c r="AB1796" s="18" t="inlineStr"/>
      <c r="AC1796" s="18" t="inlineStr"/>
      <c r="AD1796" s="18" t="inlineStr"/>
      <c r="AE1796" s="18" t="inlineStr">
        <is>
          <t>sky 8-15</t>
        </is>
      </c>
      <c r="AF1796" s="18" t="inlineStr">
        <is>
          <t>False</t>
        </is>
      </c>
      <c r="AG1796" s="18" t="inlineStr"/>
      <c r="AH1796" s="18" t="inlineStr"/>
      <c r="AI1796" s="18" t="inlineStr"/>
      <c r="AJ1796" s="18" t="inlineStr">
        <is>
          <t>COBBLEVERSE 추가</t>
        </is>
      </c>
      <c r="AK1796" s="18" t="inlineStr">
        <is>
          <t>사용</t>
        </is>
      </c>
      <c r="AL1796" s="18" t="inlineStr">
        <is>
          <t>COBBLEVERSE 1.7.42 / DP v31</t>
        </is>
      </c>
      <c r="AM1796" s="18" t="inlineStr">
        <is>
          <t>data/cobblemon/spawn_pool_world/0535_tympole.json</t>
        </is>
      </c>
      <c r="AN1796" s="18" t="inlineStr">
        <is>
          <t>tympole-7</t>
        </is>
      </c>
      <c r="AO1796" s="18" t="inlineStr">
        <is>
          <t>pokemon</t>
        </is>
      </c>
      <c r="AP1796" s="18" t="inlineStr">
        <is>
          <t>water</t>
        </is>
      </c>
      <c r="AQ1796" s="18" t="inlineStr">
        <is>
          <t>{"biomes":["#cobblemon:is_swamp"],"canSeeSky":false,"maxSkyLight":15,"minSkyLight":8}</t>
        </is>
      </c>
      <c r="AR1796" s="18" t="inlineStr">
        <is>
          <t>{"biomes":["#cobblemon:has_block/mud"]}</t>
        </is>
      </c>
      <c r="AS1796" s="18" t="inlineStr"/>
      <c r="AT1796" s="19" t="inlineStr"/>
    </row>
    <row r="1797" ht="32" customHeight="1">
      <c r="A1797" s="18" t="inlineStr">
        <is>
          <t>0535_tympole.json::tympole-8::008</t>
        </is>
      </c>
      <c r="B1797" s="19" t="inlineStr">
        <is>
          <t>사용</t>
        </is>
      </c>
      <c r="C1797" s="18">
        <f>IF(OR(B1797&lt;&gt;AK1797,M1797&lt;&gt;L1797,O1797&lt;&gt;"",Q1797&lt;&gt;"",V1797&lt;&gt;1,Y1797&lt;&gt;"",AT1797&lt;&gt;""),"수정","원본")</f>
        <v/>
      </c>
      <c r="D1797" s="18" t="n">
        <v>535</v>
      </c>
      <c r="E1797" s="18" t="inlineStr">
        <is>
          <t>동챙이</t>
        </is>
      </c>
      <c r="F1797" s="18" t="inlineStr">
        <is>
          <t>tympole</t>
        </is>
      </c>
      <c r="G1797" s="18" t="inlineStr">
        <is>
          <t>tympole</t>
        </is>
      </c>
      <c r="H1797" s="18" t="inlineStr"/>
      <c r="I1797" s="18" t="n">
        <v>5</v>
      </c>
      <c r="J1797" s="18" t="n"/>
      <c r="K1797" s="18" t="n">
        <v>5</v>
      </c>
      <c r="L1797" s="18" t="inlineStr">
        <is>
          <t>cobbleventure:generation_5</t>
        </is>
      </c>
      <c r="M1797" s="19" t="inlineStr">
        <is>
          <t>cobbleventure:generation_5</t>
        </is>
      </c>
      <c r="N1797" s="18" t="inlineStr">
        <is>
          <t>region_01; region_02</t>
        </is>
      </c>
      <c r="O1797" s="19" t="inlineStr"/>
      <c r="P1797" s="18" t="inlineStr">
        <is>
          <t>#aether:is_aether; #cobblemon:is_overworld</t>
        </is>
      </c>
      <c r="Q1797" s="19" t="inlineStr"/>
      <c r="R1797" s="18">
        <f>IF(Q1797="",P1797,Q1797)</f>
        <v/>
      </c>
      <c r="S1797" s="18" t="inlineStr"/>
      <c r="T1797" s="18" t="inlineStr">
        <is>
          <t>common</t>
        </is>
      </c>
      <c r="U1797" s="20" t="n">
        <v>9</v>
      </c>
      <c r="V1797" s="21" t="n">
        <v>1</v>
      </c>
      <c r="W1797" s="20">
        <f>IF(OR(U1797="",V1797=""),U1797,U1797*V1797)</f>
        <v/>
      </c>
      <c r="X1797" s="18" t="inlineStr">
        <is>
          <t>1-21</t>
        </is>
      </c>
      <c r="Y1797" s="19" t="inlineStr"/>
      <c r="Z1797" s="18">
        <f>IF(Y1797="",X1797,Y1797)</f>
        <v/>
      </c>
      <c r="AA1797" s="18" t="inlineStr">
        <is>
          <t>fishing</t>
        </is>
      </c>
      <c r="AB1797" s="18" t="inlineStr"/>
      <c r="AC1797" s="18" t="inlineStr"/>
      <c r="AD1797" s="18" t="inlineStr"/>
      <c r="AE1797" s="18" t="inlineStr">
        <is>
          <t>sky 0-7</t>
        </is>
      </c>
      <c r="AF1797" s="18" t="inlineStr"/>
      <c r="AG1797" s="18" t="inlineStr"/>
      <c r="AH1797" s="18" t="inlineStr"/>
      <c r="AI1797" s="18" t="inlineStr"/>
      <c r="AJ1797" s="18" t="inlineStr">
        <is>
          <t>COBBLEVERSE 추가</t>
        </is>
      </c>
      <c r="AK1797" s="18" t="inlineStr">
        <is>
          <t>사용</t>
        </is>
      </c>
      <c r="AL1797" s="18" t="inlineStr">
        <is>
          <t>COBBLEVERSE 1.7.42 / DP v31</t>
        </is>
      </c>
      <c r="AM1797" s="18" t="inlineStr">
        <is>
          <t>data/cobblemon/spawn_pool_world/0535_tympole.json</t>
        </is>
      </c>
      <c r="AN1797" s="18" t="inlineStr">
        <is>
          <t>tympole-8</t>
        </is>
      </c>
      <c r="AO1797" s="18" t="inlineStr">
        <is>
          <t>pokemon</t>
        </is>
      </c>
      <c r="AP1797" s="18" t="inlineStr"/>
      <c r="AQ1797" s="18" t="inlineStr">
        <is>
          <t>{"biomes":["#aether:is_aether","#cobblemon:is_overworld"],"maxSkyLight":7,"minSkyLight":0}</t>
        </is>
      </c>
      <c r="AR1797" s="18" t="inlineStr"/>
      <c r="AS1797" s="18" t="inlineStr"/>
      <c r="AT1797" s="19" t="inlineStr"/>
    </row>
    <row r="1798" ht="32" customHeight="1">
      <c r="A1798" s="18" t="inlineStr">
        <is>
          <t>0535_tympole.json::tympole-9::009</t>
        </is>
      </c>
      <c r="B1798" s="19" t="inlineStr">
        <is>
          <t>사용</t>
        </is>
      </c>
      <c r="C1798" s="18">
        <f>IF(OR(B1798&lt;&gt;AK1798,M1798&lt;&gt;L1798,O1798&lt;&gt;"",Q1798&lt;&gt;"",V1798&lt;&gt;1,Y1798&lt;&gt;"",AT1798&lt;&gt;""),"수정","원본")</f>
        <v/>
      </c>
      <c r="D1798" s="18" t="n">
        <v>535</v>
      </c>
      <c r="E1798" s="18" t="inlineStr">
        <is>
          <t>동챙이</t>
        </is>
      </c>
      <c r="F1798" s="18" t="inlineStr">
        <is>
          <t>tympole</t>
        </is>
      </c>
      <c r="G1798" s="18" t="inlineStr">
        <is>
          <t>tympole</t>
        </is>
      </c>
      <c r="H1798" s="18" t="inlineStr"/>
      <c r="I1798" s="18" t="n">
        <v>5</v>
      </c>
      <c r="J1798" s="18" t="n"/>
      <c r="K1798" s="18" t="n">
        <v>5</v>
      </c>
      <c r="L1798" s="18" t="inlineStr">
        <is>
          <t>cobbleventure:generation_5</t>
        </is>
      </c>
      <c r="M1798" s="19" t="inlineStr">
        <is>
          <t>cobbleventure:generation_5</t>
        </is>
      </c>
      <c r="N1798" s="18" t="inlineStr">
        <is>
          <t>region_02</t>
        </is>
      </c>
      <c r="O1798" s="19" t="inlineStr"/>
      <c r="P1798" s="18" t="inlineStr">
        <is>
          <t>#cobblemon:is_mushroom; #cobblemon:is_swamp</t>
        </is>
      </c>
      <c r="Q1798" s="19" t="inlineStr"/>
      <c r="R1798" s="18">
        <f>IF(Q1798="",P1798,Q1798)</f>
        <v/>
      </c>
      <c r="S1798" s="18" t="inlineStr">
        <is>
          <t>#cobblemon:has_block/mud</t>
        </is>
      </c>
      <c r="T1798" s="18" t="inlineStr">
        <is>
          <t>common</t>
        </is>
      </c>
      <c r="U1798" s="20" t="n">
        <v>1.8</v>
      </c>
      <c r="V1798" s="21" t="n">
        <v>1</v>
      </c>
      <c r="W1798" s="20">
        <f>IF(OR(U1798="",V1798=""),U1798,U1798*V1798)</f>
        <v/>
      </c>
      <c r="X1798" s="18" t="inlineStr">
        <is>
          <t>1-21</t>
        </is>
      </c>
      <c r="Y1798" s="19" t="inlineStr"/>
      <c r="Z1798" s="18">
        <f>IF(Y1798="",X1798,Y1798)</f>
        <v/>
      </c>
      <c r="AA1798" s="18" t="inlineStr">
        <is>
          <t>fishing</t>
        </is>
      </c>
      <c r="AB1798" s="18" t="inlineStr"/>
      <c r="AC1798" s="18" t="inlineStr"/>
      <c r="AD1798" s="18" t="inlineStr"/>
      <c r="AE1798" s="18" t="inlineStr"/>
      <c r="AF1798" s="18" t="inlineStr">
        <is>
          <t>True</t>
        </is>
      </c>
      <c r="AG1798" s="18" t="inlineStr"/>
      <c r="AH1798" s="18" t="inlineStr"/>
      <c r="AI1798" s="18" t="inlineStr"/>
      <c r="AJ1798" s="18" t="inlineStr">
        <is>
          <t>COBBLEVERSE 추가</t>
        </is>
      </c>
      <c r="AK1798" s="18" t="inlineStr">
        <is>
          <t>사용</t>
        </is>
      </c>
      <c r="AL1798" s="18" t="inlineStr">
        <is>
          <t>COBBLEVERSE 1.7.42 / DP v31</t>
        </is>
      </c>
      <c r="AM1798" s="18" t="inlineStr">
        <is>
          <t>data/cobblemon/spawn_pool_world/0535_tympole.json</t>
        </is>
      </c>
      <c r="AN1798" s="18" t="inlineStr">
        <is>
          <t>tympole-9</t>
        </is>
      </c>
      <c r="AO1798" s="18" t="inlineStr">
        <is>
          <t>pokemon</t>
        </is>
      </c>
      <c r="AP1798" s="18" t="inlineStr"/>
      <c r="AQ1798" s="18" t="inlineStr">
        <is>
          <t>{"biomes":["#cobblemon:is_mushroom","#cobblemon:is_swamp"],"canSeeSky":true}</t>
        </is>
      </c>
      <c r="AR1798" s="18" t="inlineStr">
        <is>
          <t>{"biomes":["#cobblemon:has_block/mud"]}</t>
        </is>
      </c>
      <c r="AS1798" s="18" t="inlineStr">
        <is>
          <t>{"weightMultipliers":[{"condition":{"maxLureLevel":2,"minLureLevel":2},"multiplier":3.0},{"condition":{"minLureLevel":3},"multiplier":5.0}]}</t>
        </is>
      </c>
      <c r="AT1798" s="19" t="inlineStr"/>
    </row>
    <row r="1799" ht="32" customHeight="1">
      <c r="A1799" s="18" t="inlineStr">
        <is>
          <t>0535_tympole.json::tympole-10::010</t>
        </is>
      </c>
      <c r="B1799" s="19" t="inlineStr">
        <is>
          <t>사용</t>
        </is>
      </c>
      <c r="C1799" s="18">
        <f>IF(OR(B1799&lt;&gt;AK1799,M1799&lt;&gt;L1799,O1799&lt;&gt;"",Q1799&lt;&gt;"",V1799&lt;&gt;1,Y1799&lt;&gt;"",AT1799&lt;&gt;""),"수정","원본")</f>
        <v/>
      </c>
      <c r="D1799" s="18" t="n">
        <v>535</v>
      </c>
      <c r="E1799" s="18" t="inlineStr">
        <is>
          <t>동챙이</t>
        </is>
      </c>
      <c r="F1799" s="18" t="inlineStr">
        <is>
          <t>tympole</t>
        </is>
      </c>
      <c r="G1799" s="18" t="inlineStr">
        <is>
          <t>tympole</t>
        </is>
      </c>
      <c r="H1799" s="18" t="inlineStr"/>
      <c r="I1799" s="18" t="n">
        <v>5</v>
      </c>
      <c r="J1799" s="18" t="n"/>
      <c r="K1799" s="18" t="n">
        <v>5</v>
      </c>
      <c r="L1799" s="18" t="inlineStr">
        <is>
          <t>cobbleventure:generation_5</t>
        </is>
      </c>
      <c r="M1799" s="19" t="inlineStr">
        <is>
          <t>cobbleventure:generation_5</t>
        </is>
      </c>
      <c r="N1799" s="18" t="inlineStr">
        <is>
          <t>region_02</t>
        </is>
      </c>
      <c r="O1799" s="19" t="inlineStr"/>
      <c r="P1799" s="18" t="inlineStr">
        <is>
          <t>#cobblemon:is_mushroom; #cobblemon:is_swamp</t>
        </is>
      </c>
      <c r="Q1799" s="19" t="inlineStr"/>
      <c r="R1799" s="18">
        <f>IF(Q1799="",P1799,Q1799)</f>
        <v/>
      </c>
      <c r="S1799" s="18" t="inlineStr">
        <is>
          <t>#cobblemon:has_block/mud</t>
        </is>
      </c>
      <c r="T1799" s="18" t="inlineStr">
        <is>
          <t>common</t>
        </is>
      </c>
      <c r="U1799" s="20" t="n">
        <v>1.8</v>
      </c>
      <c r="V1799" s="21" t="n">
        <v>1</v>
      </c>
      <c r="W1799" s="20">
        <f>IF(OR(U1799="",V1799=""),U1799,U1799*V1799)</f>
        <v/>
      </c>
      <c r="X1799" s="18" t="inlineStr">
        <is>
          <t>1-21</t>
        </is>
      </c>
      <c r="Y1799" s="19" t="inlineStr"/>
      <c r="Z1799" s="18">
        <f>IF(Y1799="",X1799,Y1799)</f>
        <v/>
      </c>
      <c r="AA1799" s="18" t="inlineStr">
        <is>
          <t>fishing</t>
        </is>
      </c>
      <c r="AB1799" s="18" t="inlineStr"/>
      <c r="AC1799" s="18" t="inlineStr"/>
      <c r="AD1799" s="18" t="inlineStr"/>
      <c r="AE1799" s="18" t="inlineStr">
        <is>
          <t>sky 8-15</t>
        </is>
      </c>
      <c r="AF1799" s="18" t="inlineStr">
        <is>
          <t>False</t>
        </is>
      </c>
      <c r="AG1799" s="18" t="inlineStr"/>
      <c r="AH1799" s="18" t="inlineStr"/>
      <c r="AI1799" s="18" t="inlineStr"/>
      <c r="AJ1799" s="18" t="inlineStr">
        <is>
          <t>COBBLEVERSE 추가</t>
        </is>
      </c>
      <c r="AK1799" s="18" t="inlineStr">
        <is>
          <t>사용</t>
        </is>
      </c>
      <c r="AL1799" s="18" t="inlineStr">
        <is>
          <t>COBBLEVERSE 1.7.42 / DP v31</t>
        </is>
      </c>
      <c r="AM1799" s="18" t="inlineStr">
        <is>
          <t>data/cobblemon/spawn_pool_world/0535_tympole.json</t>
        </is>
      </c>
      <c r="AN1799" s="18" t="inlineStr">
        <is>
          <t>tympole-10</t>
        </is>
      </c>
      <c r="AO1799" s="18" t="inlineStr">
        <is>
          <t>pokemon</t>
        </is>
      </c>
      <c r="AP1799" s="18" t="inlineStr"/>
      <c r="AQ1799" s="18" t="inlineStr">
        <is>
          <t>{"biomes":["#cobblemon:is_mushroom","#cobblemon:is_swamp"],"canSeeSky":false,"maxSkyLight":15,"minSkyLight":8}</t>
        </is>
      </c>
      <c r="AR1799" s="18" t="inlineStr">
        <is>
          <t>{"biomes":["#cobblemon:has_block/mud"]}</t>
        </is>
      </c>
      <c r="AS1799" s="18" t="inlineStr">
        <is>
          <t>{"weightMultipliers":[{"condition":{"maxLureLevel":2,"minLureLevel":2},"multiplier":3.0},{"condition":{"minLureLevel":3},"multiplier":5.0}]}</t>
        </is>
      </c>
      <c r="AT1799" s="19" t="inlineStr"/>
    </row>
    <row r="1800" ht="32" customHeight="1">
      <c r="A1800" s="18" t="inlineStr">
        <is>
          <t>0535_tympole.json::tympole-11::011</t>
        </is>
      </c>
      <c r="B1800" s="19" t="inlineStr">
        <is>
          <t>사용</t>
        </is>
      </c>
      <c r="C1800" s="18">
        <f>IF(OR(B1800&lt;&gt;AK1800,M1800&lt;&gt;L1800,O1800&lt;&gt;"",Q1800&lt;&gt;"",V1800&lt;&gt;1,Y1800&lt;&gt;"",AT1800&lt;&gt;""),"수정","원본")</f>
        <v/>
      </c>
      <c r="D1800" s="18" t="n">
        <v>535</v>
      </c>
      <c r="E1800" s="18" t="inlineStr">
        <is>
          <t>동챙이</t>
        </is>
      </c>
      <c r="F1800" s="18" t="inlineStr">
        <is>
          <t>tympole</t>
        </is>
      </c>
      <c r="G1800" s="18" t="inlineStr">
        <is>
          <t>tympole</t>
        </is>
      </c>
      <c r="H1800" s="18" t="inlineStr"/>
      <c r="I1800" s="18" t="n">
        <v>5</v>
      </c>
      <c r="J1800" s="18" t="n"/>
      <c r="K1800" s="18" t="n">
        <v>5</v>
      </c>
      <c r="L1800" s="18" t="inlineStr">
        <is>
          <t>cobbleventure:generation_5</t>
        </is>
      </c>
      <c r="M1800" s="19" t="inlineStr">
        <is>
          <t>cobbleventure:generation_5</t>
        </is>
      </c>
      <c r="N1800" s="18" t="inlineStr">
        <is>
          <t>region_01; region_02</t>
        </is>
      </c>
      <c r="O1800" s="19" t="inlineStr"/>
      <c r="P1800" s="18" t="inlineStr">
        <is>
          <t>#cobblemon:is_overworld</t>
        </is>
      </c>
      <c r="Q1800" s="19" t="inlineStr"/>
      <c r="R1800" s="18">
        <f>IF(Q1800="",P1800,Q1800)</f>
        <v/>
      </c>
      <c r="S1800" s="18" t="inlineStr">
        <is>
          <t>#cobblemon:is_lush</t>
        </is>
      </c>
      <c r="T1800" s="18" t="inlineStr">
        <is>
          <t>common</t>
        </is>
      </c>
      <c r="U1800" s="20" t="n">
        <v>9</v>
      </c>
      <c r="V1800" s="21" t="n">
        <v>1</v>
      </c>
      <c r="W1800" s="20">
        <f>IF(OR(U1800="",V1800=""),U1800,U1800*V1800)</f>
        <v/>
      </c>
      <c r="X1800" s="18" t="inlineStr">
        <is>
          <t>1-21</t>
        </is>
      </c>
      <c r="Y1800" s="19" t="inlineStr"/>
      <c r="Z1800" s="18">
        <f>IF(Y1800="",X1800,Y1800)</f>
        <v/>
      </c>
      <c r="AA1800" s="18" t="inlineStr">
        <is>
          <t>grounded</t>
        </is>
      </c>
      <c r="AB1800" s="18" t="inlineStr"/>
      <c r="AC1800" s="18" t="inlineStr"/>
      <c r="AD1800" s="18" t="inlineStr">
        <is>
          <t>minY=-41, maxY=9</t>
        </is>
      </c>
      <c r="AE1800" s="18" t="inlineStr">
        <is>
          <t>sky 0-7</t>
        </is>
      </c>
      <c r="AF1800" s="18" t="inlineStr"/>
      <c r="AG1800" s="18" t="inlineStr">
        <is>
          <t>cobblemon:shipwreck_coves/lush_shipwreck_cove</t>
        </is>
      </c>
      <c r="AH1800" s="18" t="inlineStr"/>
      <c r="AI1800" s="18" t="inlineStr"/>
      <c r="AJ1800" s="18" t="inlineStr">
        <is>
          <t>COBBLEVERSE 추가</t>
        </is>
      </c>
      <c r="AK1800" s="18" t="inlineStr">
        <is>
          <t>사용</t>
        </is>
      </c>
      <c r="AL1800" s="18" t="inlineStr">
        <is>
          <t>COBBLEVERSE 1.7.42 / DP v31</t>
        </is>
      </c>
      <c r="AM1800" s="18" t="inlineStr">
        <is>
          <t>data/cobblemon/spawn_pool_world/0535_tympole.json</t>
        </is>
      </c>
      <c r="AN1800" s="18" t="inlineStr">
        <is>
          <t>tympole-11</t>
        </is>
      </c>
      <c r="AO1800" s="18" t="inlineStr">
        <is>
          <t>pokemon</t>
        </is>
      </c>
      <c r="AP1800" s="18" t="inlineStr">
        <is>
          <t>natural</t>
        </is>
      </c>
      <c r="AQ1800" s="18" t="inlineStr">
        <is>
          <t>{"biomes":["#cobblemon:is_overworld"],"maxSkyLight":7,"maxY":9,"minSkyLight":0,"minY":-41,"structures":["cobblemon:shipwreck_coves/lush_shipwreck_cove"]}</t>
        </is>
      </c>
      <c r="AR1800" s="18" t="inlineStr">
        <is>
          <t>{"biomes":["#cobblemon:is_lush"]}</t>
        </is>
      </c>
      <c r="AS1800" s="18" t="inlineStr"/>
      <c r="AT1800" s="19" t="inlineStr"/>
    </row>
    <row r="1801" ht="32" customHeight="1">
      <c r="A1801" s="18" t="inlineStr">
        <is>
          <t>0535_tympole.json::tympole-12::012</t>
        </is>
      </c>
      <c r="B1801" s="19" t="inlineStr">
        <is>
          <t>사용</t>
        </is>
      </c>
      <c r="C1801" s="18">
        <f>IF(OR(B1801&lt;&gt;AK1801,M1801&lt;&gt;L1801,O1801&lt;&gt;"",Q1801&lt;&gt;"",V1801&lt;&gt;1,Y1801&lt;&gt;"",AT1801&lt;&gt;""),"수정","원본")</f>
        <v/>
      </c>
      <c r="D1801" s="18" t="n">
        <v>535</v>
      </c>
      <c r="E1801" s="18" t="inlineStr">
        <is>
          <t>동챙이</t>
        </is>
      </c>
      <c r="F1801" s="18" t="inlineStr">
        <is>
          <t>tympole</t>
        </is>
      </c>
      <c r="G1801" s="18" t="inlineStr">
        <is>
          <t>tympole</t>
        </is>
      </c>
      <c r="H1801" s="18" t="inlineStr"/>
      <c r="I1801" s="18" t="n">
        <v>5</v>
      </c>
      <c r="J1801" s="18" t="n"/>
      <c r="K1801" s="18" t="n">
        <v>5</v>
      </c>
      <c r="L1801" s="18" t="inlineStr">
        <is>
          <t>cobbleventure:generation_5</t>
        </is>
      </c>
      <c r="M1801" s="19" t="inlineStr">
        <is>
          <t>cobbleventure:generation_5</t>
        </is>
      </c>
      <c r="N1801" s="18" t="inlineStr">
        <is>
          <t>region_01; region_02</t>
        </is>
      </c>
      <c r="O1801" s="19" t="inlineStr"/>
      <c r="P1801" s="18" t="inlineStr">
        <is>
          <t>#cobblemon:is_overworld</t>
        </is>
      </c>
      <c r="Q1801" s="19" t="inlineStr"/>
      <c r="R1801" s="18">
        <f>IF(Q1801="",P1801,Q1801)</f>
        <v/>
      </c>
      <c r="S1801" s="18" t="inlineStr">
        <is>
          <t>#cobblemon:is_lush</t>
        </is>
      </c>
      <c r="T1801" s="18" t="inlineStr">
        <is>
          <t>common</t>
        </is>
      </c>
      <c r="U1801" s="20" t="n">
        <v>9</v>
      </c>
      <c r="V1801" s="21" t="n">
        <v>1</v>
      </c>
      <c r="W1801" s="20">
        <f>IF(OR(U1801="",V1801=""),U1801,U1801*V1801)</f>
        <v/>
      </c>
      <c r="X1801" s="18" t="inlineStr">
        <is>
          <t>1-21</t>
        </is>
      </c>
      <c r="Y1801" s="19" t="inlineStr"/>
      <c r="Z1801" s="18">
        <f>IF(Y1801="",X1801,Y1801)</f>
        <v/>
      </c>
      <c r="AA1801" s="18" t="inlineStr">
        <is>
          <t>submerged</t>
        </is>
      </c>
      <c r="AB1801" s="18" t="inlineStr"/>
      <c r="AC1801" s="18" t="inlineStr"/>
      <c r="AD1801" s="18" t="inlineStr">
        <is>
          <t>minY=-41, maxY=9</t>
        </is>
      </c>
      <c r="AE1801" s="18" t="inlineStr">
        <is>
          <t>sky 0-7</t>
        </is>
      </c>
      <c r="AF1801" s="18" t="inlineStr"/>
      <c r="AG1801" s="18" t="inlineStr">
        <is>
          <t>cobblemon:shipwreck_coves/lush_shipwreck_cove</t>
        </is>
      </c>
      <c r="AH1801" s="18" t="inlineStr"/>
      <c r="AI1801" s="18" t="inlineStr"/>
      <c r="AJ1801" s="18" t="inlineStr">
        <is>
          <t>COBBLEVERSE 추가</t>
        </is>
      </c>
      <c r="AK1801" s="18" t="inlineStr">
        <is>
          <t>사용</t>
        </is>
      </c>
      <c r="AL1801" s="18" t="inlineStr">
        <is>
          <t>COBBLEVERSE 1.7.42 / DP v31</t>
        </is>
      </c>
      <c r="AM1801" s="18" t="inlineStr">
        <is>
          <t>data/cobblemon/spawn_pool_world/0535_tympole.json</t>
        </is>
      </c>
      <c r="AN1801" s="18" t="inlineStr">
        <is>
          <t>tympole-12</t>
        </is>
      </c>
      <c r="AO1801" s="18" t="inlineStr">
        <is>
          <t>pokemon</t>
        </is>
      </c>
      <c r="AP1801" s="18" t="inlineStr">
        <is>
          <t>water</t>
        </is>
      </c>
      <c r="AQ1801" s="18" t="inlineStr">
        <is>
          <t>{"biomes":["#cobblemon:is_overworld"],"maxSkyLight":7,"maxY":9,"minSkyLight":0,"minY":-41,"structures":["cobblemon:shipwreck_coves/lush_shipwreck_cove"]}</t>
        </is>
      </c>
      <c r="AR1801" s="18" t="inlineStr">
        <is>
          <t>{"biomes":["#cobblemon:is_lush"]}</t>
        </is>
      </c>
      <c r="AS1801" s="18" t="inlineStr"/>
      <c r="AT1801" s="19" t="inlineStr"/>
    </row>
    <row r="1802" ht="32" customHeight="1">
      <c r="A1802" s="18" t="inlineStr">
        <is>
          <t>0535_tympole.json::tympole-13::013</t>
        </is>
      </c>
      <c r="B1802" s="19" t="inlineStr">
        <is>
          <t>사용</t>
        </is>
      </c>
      <c r="C1802" s="18">
        <f>IF(OR(B1802&lt;&gt;AK1802,M1802&lt;&gt;L1802,O1802&lt;&gt;"",Q1802&lt;&gt;"",V1802&lt;&gt;1,Y1802&lt;&gt;"",AT1802&lt;&gt;""),"수정","원본")</f>
        <v/>
      </c>
      <c r="D1802" s="18" t="n">
        <v>535</v>
      </c>
      <c r="E1802" s="18" t="inlineStr">
        <is>
          <t>동챙이</t>
        </is>
      </c>
      <c r="F1802" s="18" t="inlineStr">
        <is>
          <t>tympole</t>
        </is>
      </c>
      <c r="G1802" s="18" t="inlineStr">
        <is>
          <t>tympole</t>
        </is>
      </c>
      <c r="H1802" s="18" t="inlineStr"/>
      <c r="I1802" s="18" t="n">
        <v>5</v>
      </c>
      <c r="J1802" s="18" t="n"/>
      <c r="K1802" s="18" t="n">
        <v>5</v>
      </c>
      <c r="L1802" s="18" t="inlineStr">
        <is>
          <t>cobbleventure:generation_5</t>
        </is>
      </c>
      <c r="M1802" s="19" t="inlineStr">
        <is>
          <t>cobbleventure:generation_5</t>
        </is>
      </c>
      <c r="N1802" s="18" t="inlineStr"/>
      <c r="O1802" s="19" t="inlineStr"/>
      <c r="P1802" s="18" t="inlineStr">
        <is>
          <t>#aether:is_aether</t>
        </is>
      </c>
      <c r="Q1802" s="19" t="inlineStr"/>
      <c r="R1802" s="18">
        <f>IF(Q1802="",P1802,Q1802)</f>
        <v/>
      </c>
      <c r="S1802" s="18" t="inlineStr"/>
      <c r="T1802" s="18" t="inlineStr">
        <is>
          <t>uncommon</t>
        </is>
      </c>
      <c r="U1802" s="20" t="n">
        <v>8.4</v>
      </c>
      <c r="V1802" s="21" t="n">
        <v>1</v>
      </c>
      <c r="W1802" s="20">
        <f>IF(OR(U1802="",V1802=""),U1802,U1802*V1802)</f>
        <v/>
      </c>
      <c r="X1802" s="18" t="inlineStr">
        <is>
          <t>1-21</t>
        </is>
      </c>
      <c r="Y1802" s="19" t="inlineStr"/>
      <c r="Z1802" s="18">
        <f>IF(Y1802="",X1802,Y1802)</f>
        <v/>
      </c>
      <c r="AA1802" s="18" t="inlineStr">
        <is>
          <t>grounded</t>
        </is>
      </c>
      <c r="AB1802" s="18" t="inlineStr"/>
      <c r="AC1802" s="18" t="inlineStr"/>
      <c r="AD1802" s="18" t="inlineStr"/>
      <c r="AE1802" s="18" t="inlineStr">
        <is>
          <t>sky 0-7</t>
        </is>
      </c>
      <c r="AF1802" s="18" t="inlineStr"/>
      <c r="AG1802" s="18" t="inlineStr"/>
      <c r="AH1802" s="18" t="inlineStr">
        <is>
          <t>주변=#minecraft:water</t>
        </is>
      </c>
      <c r="AI1802" s="18" t="inlineStr"/>
      <c r="AJ1802" s="18" t="inlineStr">
        <is>
          <t>COBBLEVERSE 추가</t>
        </is>
      </c>
      <c r="AK1802" s="18" t="inlineStr">
        <is>
          <t>사용</t>
        </is>
      </c>
      <c r="AL1802" s="18" t="inlineStr">
        <is>
          <t>COBBLEVERSE 1.7.42 / DP v31</t>
        </is>
      </c>
      <c r="AM1802" s="18" t="inlineStr">
        <is>
          <t>data/cobblemon/spawn_pool_world/0535_tympole.json</t>
        </is>
      </c>
      <c r="AN1802" s="18" t="inlineStr">
        <is>
          <t>tympole-13</t>
        </is>
      </c>
      <c r="AO1802" s="18" t="inlineStr">
        <is>
          <t>pokemon</t>
        </is>
      </c>
      <c r="AP1802" s="18" t="inlineStr">
        <is>
          <t>natural</t>
        </is>
      </c>
      <c r="AQ1802" s="18" t="inlineStr">
        <is>
          <t>{"biomes":["#aether:is_aether"],"maxSkyLight":7,"minSkyLight":0,"neededNearbyBlocks":["#minecraft:water"]}</t>
        </is>
      </c>
      <c r="AR1802" s="18" t="inlineStr"/>
      <c r="AS1802" s="18" t="inlineStr"/>
      <c r="AT1802" s="19" t="inlineStr"/>
    </row>
    <row r="1803" ht="32" customHeight="1">
      <c r="A1803" s="18" t="inlineStr">
        <is>
          <t>0535_tympole.json::tympole-14::014</t>
        </is>
      </c>
      <c r="B1803" s="19" t="inlineStr">
        <is>
          <t>사용</t>
        </is>
      </c>
      <c r="C1803" s="18">
        <f>IF(OR(B1803&lt;&gt;AK1803,M1803&lt;&gt;L1803,O1803&lt;&gt;"",Q1803&lt;&gt;"",V1803&lt;&gt;1,Y1803&lt;&gt;"",AT1803&lt;&gt;""),"수정","원본")</f>
        <v/>
      </c>
      <c r="D1803" s="18" t="n">
        <v>535</v>
      </c>
      <c r="E1803" s="18" t="inlineStr">
        <is>
          <t>동챙이</t>
        </is>
      </c>
      <c r="F1803" s="18" t="inlineStr">
        <is>
          <t>tympole</t>
        </is>
      </c>
      <c r="G1803" s="18" t="inlineStr">
        <is>
          <t>tympole</t>
        </is>
      </c>
      <c r="H1803" s="18" t="inlineStr"/>
      <c r="I1803" s="18" t="n">
        <v>5</v>
      </c>
      <c r="J1803" s="18" t="n"/>
      <c r="K1803" s="18" t="n">
        <v>5</v>
      </c>
      <c r="L1803" s="18" t="inlineStr">
        <is>
          <t>cobbleventure:generation_5</t>
        </is>
      </c>
      <c r="M1803" s="19" t="inlineStr">
        <is>
          <t>cobbleventure:generation_5</t>
        </is>
      </c>
      <c r="N1803" s="18" t="inlineStr"/>
      <c r="O1803" s="19" t="inlineStr"/>
      <c r="P1803" s="18" t="inlineStr">
        <is>
          <t>#aether:is_aether</t>
        </is>
      </c>
      <c r="Q1803" s="19" t="inlineStr"/>
      <c r="R1803" s="18">
        <f>IF(Q1803="",P1803,Q1803)</f>
        <v/>
      </c>
      <c r="S1803" s="18" t="inlineStr"/>
      <c r="T1803" s="18" t="inlineStr">
        <is>
          <t>uncommon</t>
        </is>
      </c>
      <c r="U1803" s="20" t="n">
        <v>8.4</v>
      </c>
      <c r="V1803" s="21" t="n">
        <v>1</v>
      </c>
      <c r="W1803" s="20">
        <f>IF(OR(U1803="",V1803=""),U1803,U1803*V1803)</f>
        <v/>
      </c>
      <c r="X1803" s="18" t="inlineStr">
        <is>
          <t>1-21</t>
        </is>
      </c>
      <c r="Y1803" s="19" t="inlineStr"/>
      <c r="Z1803" s="18">
        <f>IF(Y1803="",X1803,Y1803)</f>
        <v/>
      </c>
      <c r="AA1803" s="18" t="inlineStr">
        <is>
          <t>submerged</t>
        </is>
      </c>
      <c r="AB1803" s="18" t="inlineStr"/>
      <c r="AC1803" s="18" t="inlineStr"/>
      <c r="AD1803" s="18" t="inlineStr"/>
      <c r="AE1803" s="18" t="inlineStr">
        <is>
          <t>sky 0-7</t>
        </is>
      </c>
      <c r="AF1803" s="18" t="inlineStr"/>
      <c r="AG1803" s="18" t="inlineStr"/>
      <c r="AH1803" s="18" t="inlineStr"/>
      <c r="AI1803" s="18" t="inlineStr"/>
      <c r="AJ1803" s="18" t="inlineStr">
        <is>
          <t>COBBLEVERSE 추가</t>
        </is>
      </c>
      <c r="AK1803" s="18" t="inlineStr">
        <is>
          <t>사용</t>
        </is>
      </c>
      <c r="AL1803" s="18" t="inlineStr">
        <is>
          <t>COBBLEVERSE 1.7.42 / DP v31</t>
        </is>
      </c>
      <c r="AM1803" s="18" t="inlineStr">
        <is>
          <t>data/cobblemon/spawn_pool_world/0535_tympole.json</t>
        </is>
      </c>
      <c r="AN1803" s="18" t="inlineStr">
        <is>
          <t>tympole-14</t>
        </is>
      </c>
      <c r="AO1803" s="18" t="inlineStr">
        <is>
          <t>pokemon</t>
        </is>
      </c>
      <c r="AP1803" s="18" t="inlineStr">
        <is>
          <t>water</t>
        </is>
      </c>
      <c r="AQ1803" s="18" t="inlineStr">
        <is>
          <t>{"biomes":["#aether:is_aether"],"maxSkyLight":7,"minSkyLight":0}</t>
        </is>
      </c>
      <c r="AR1803" s="18" t="inlineStr"/>
      <c r="AS1803" s="18" t="inlineStr"/>
      <c r="AT1803" s="19" t="inlineStr"/>
    </row>
    <row r="1804" ht="32" customHeight="1">
      <c r="A1804" s="18" t="inlineStr">
        <is>
          <t>0535_tympole.json::tympole-heart-15::015</t>
        </is>
      </c>
      <c r="B1804" s="19" t="inlineStr">
        <is>
          <t>사용</t>
        </is>
      </c>
      <c r="C1804" s="18">
        <f>IF(OR(B1804&lt;&gt;AK1804,M1804&lt;&gt;L1804,O1804&lt;&gt;"",Q1804&lt;&gt;"",V1804&lt;&gt;1,Y1804&lt;&gt;"",AT1804&lt;&gt;""),"수정","원본")</f>
        <v/>
      </c>
      <c r="D1804" s="18" t="n">
        <v>535</v>
      </c>
      <c r="E1804" s="18" t="inlineStr">
        <is>
          <t>동챙이</t>
        </is>
      </c>
      <c r="F1804" s="18" t="inlineStr">
        <is>
          <t>tympole</t>
        </is>
      </c>
      <c r="G1804" s="18" t="inlineStr">
        <is>
          <t>tympole tympole_pattern=heart</t>
        </is>
      </c>
      <c r="H1804" s="18" t="inlineStr">
        <is>
          <t>tympole_pattern=heart</t>
        </is>
      </c>
      <c r="I1804" s="18" t="n">
        <v>5</v>
      </c>
      <c r="J1804" s="18" t="n"/>
      <c r="K1804" s="18" t="n">
        <v>5</v>
      </c>
      <c r="L1804" s="18" t="inlineStr">
        <is>
          <t>cobbleventure:generation_5</t>
        </is>
      </c>
      <c r="M1804" s="19" t="inlineStr">
        <is>
          <t>cobbleventure:generation_5</t>
        </is>
      </c>
      <c r="N1804" s="18" t="inlineStr">
        <is>
          <t>region_01; region_02</t>
        </is>
      </c>
      <c r="O1804" s="19" t="inlineStr"/>
      <c r="P1804" s="18" t="inlineStr">
        <is>
          <t>#aether:is_aether; #cobblemon:is_overworld</t>
        </is>
      </c>
      <c r="Q1804" s="19" t="inlineStr"/>
      <c r="R1804" s="18">
        <f>IF(Q1804="",P1804,Q1804)</f>
        <v/>
      </c>
      <c r="S1804" s="18" t="inlineStr"/>
      <c r="T1804" s="18" t="inlineStr">
        <is>
          <t>uncommon</t>
        </is>
      </c>
      <c r="U1804" s="20" t="n">
        <v>10</v>
      </c>
      <c r="V1804" s="21" t="n">
        <v>1</v>
      </c>
      <c r="W1804" s="20">
        <f>IF(OR(U1804="",V1804=""),U1804,U1804*V1804)</f>
        <v/>
      </c>
      <c r="X1804" s="18" t="inlineStr">
        <is>
          <t>1-21</t>
        </is>
      </c>
      <c r="Y1804" s="19" t="inlineStr"/>
      <c r="Z1804" s="18">
        <f>IF(Y1804="",X1804,Y1804)</f>
        <v/>
      </c>
      <c r="AA1804" s="18" t="inlineStr">
        <is>
          <t>fishing</t>
        </is>
      </c>
      <c r="AB1804" s="18" t="inlineStr"/>
      <c r="AC1804" s="18" t="inlineStr"/>
      <c r="AD1804" s="18" t="inlineStr"/>
      <c r="AE1804" s="18" t="inlineStr">
        <is>
          <t>sky 0-7</t>
        </is>
      </c>
      <c r="AF1804" s="18" t="inlineStr"/>
      <c r="AG1804" s="18" t="inlineStr"/>
      <c r="AH1804" s="18" t="inlineStr"/>
      <c r="AI1804" s="18" t="inlineStr">
        <is>
          <t>{"fishing":{"bobber":"cobblemon:love_ball"}}</t>
        </is>
      </c>
      <c r="AJ1804" s="18" t="inlineStr">
        <is>
          <t>COBBLEVERSE 추가</t>
        </is>
      </c>
      <c r="AK1804" s="18" t="inlineStr">
        <is>
          <t>사용</t>
        </is>
      </c>
      <c r="AL1804" s="18" t="inlineStr">
        <is>
          <t>COBBLEVERSE 1.7.42 / DP v31</t>
        </is>
      </c>
      <c r="AM1804" s="18" t="inlineStr">
        <is>
          <t>data/cobblemon/spawn_pool_world/0535_tympole.json</t>
        </is>
      </c>
      <c r="AN1804" s="18" t="inlineStr">
        <is>
          <t>tympole-heart-15</t>
        </is>
      </c>
      <c r="AO1804" s="18" t="inlineStr">
        <is>
          <t>pokemon</t>
        </is>
      </c>
      <c r="AP1804" s="18" t="inlineStr"/>
      <c r="AQ1804" s="18" t="inlineStr">
        <is>
          <t>{"biomes":["#aether:is_aether","#cobblemon:is_overworld"],"bobber":"cobblemon:love_ball","maxSkyLight":7,"minSkyLight":0}</t>
        </is>
      </c>
      <c r="AR1804" s="18" t="inlineStr"/>
      <c r="AS1804" s="18" t="inlineStr"/>
      <c r="AT1804" s="19" t="inlineStr"/>
    </row>
    <row r="1805" ht="32" customHeight="1">
      <c r="A1805" s="18" t="inlineStr">
        <is>
          <t>0535_tympole.json::tympole-heart-16::016</t>
        </is>
      </c>
      <c r="B1805" s="19" t="inlineStr">
        <is>
          <t>사용</t>
        </is>
      </c>
      <c r="C1805" s="18">
        <f>IF(OR(B1805&lt;&gt;AK1805,M1805&lt;&gt;L1805,O1805&lt;&gt;"",Q1805&lt;&gt;"",V1805&lt;&gt;1,Y1805&lt;&gt;"",AT1805&lt;&gt;""),"수정","원본")</f>
        <v/>
      </c>
      <c r="D1805" s="18" t="n">
        <v>535</v>
      </c>
      <c r="E1805" s="18" t="inlineStr">
        <is>
          <t>동챙이</t>
        </is>
      </c>
      <c r="F1805" s="18" t="inlineStr">
        <is>
          <t>tympole</t>
        </is>
      </c>
      <c r="G1805" s="18" t="inlineStr">
        <is>
          <t>tympole tympole_pattern=heart</t>
        </is>
      </c>
      <c r="H1805" s="18" t="inlineStr">
        <is>
          <t>tympole_pattern=heart</t>
        </is>
      </c>
      <c r="I1805" s="18" t="n">
        <v>5</v>
      </c>
      <c r="J1805" s="18" t="n"/>
      <c r="K1805" s="18" t="n">
        <v>5</v>
      </c>
      <c r="L1805" s="18" t="inlineStr">
        <is>
          <t>cobbleventure:generation_5</t>
        </is>
      </c>
      <c r="M1805" s="19" t="inlineStr">
        <is>
          <t>cobbleventure:generation_5</t>
        </is>
      </c>
      <c r="N1805" s="18" t="inlineStr">
        <is>
          <t>region_02</t>
        </is>
      </c>
      <c r="O1805" s="19" t="inlineStr"/>
      <c r="P1805" s="18" t="inlineStr">
        <is>
          <t>#cobblemon:is_mushroom; #cobblemon:is_swamp</t>
        </is>
      </c>
      <c r="Q1805" s="19" t="inlineStr"/>
      <c r="R1805" s="18">
        <f>IF(Q1805="",P1805,Q1805)</f>
        <v/>
      </c>
      <c r="S1805" s="18" t="inlineStr">
        <is>
          <t>#cobblemon:has_block/mud</t>
        </is>
      </c>
      <c r="T1805" s="18" t="inlineStr">
        <is>
          <t>uncommon</t>
        </is>
      </c>
      <c r="U1805" s="20" t="n">
        <v>2</v>
      </c>
      <c r="V1805" s="21" t="n">
        <v>1</v>
      </c>
      <c r="W1805" s="20">
        <f>IF(OR(U1805="",V1805=""),U1805,U1805*V1805)</f>
        <v/>
      </c>
      <c r="X1805" s="18" t="inlineStr">
        <is>
          <t>1-21</t>
        </is>
      </c>
      <c r="Y1805" s="19" t="inlineStr"/>
      <c r="Z1805" s="18">
        <f>IF(Y1805="",X1805,Y1805)</f>
        <v/>
      </c>
      <c r="AA1805" s="18" t="inlineStr">
        <is>
          <t>fishing</t>
        </is>
      </c>
      <c r="AB1805" s="18" t="inlineStr"/>
      <c r="AC1805" s="18" t="inlineStr"/>
      <c r="AD1805" s="18" t="inlineStr"/>
      <c r="AE1805" s="18" t="inlineStr"/>
      <c r="AF1805" s="18" t="inlineStr">
        <is>
          <t>True</t>
        </is>
      </c>
      <c r="AG1805" s="18" t="inlineStr"/>
      <c r="AH1805" s="18" t="inlineStr"/>
      <c r="AI1805" s="18" t="inlineStr">
        <is>
          <t>{"fishing":{"bobber":"cobblemon:love_ball"}}</t>
        </is>
      </c>
      <c r="AJ1805" s="18" t="inlineStr">
        <is>
          <t>COBBLEVERSE 추가</t>
        </is>
      </c>
      <c r="AK1805" s="18" t="inlineStr">
        <is>
          <t>사용</t>
        </is>
      </c>
      <c r="AL1805" s="18" t="inlineStr">
        <is>
          <t>COBBLEVERSE 1.7.42 / DP v31</t>
        </is>
      </c>
      <c r="AM1805" s="18" t="inlineStr">
        <is>
          <t>data/cobblemon/spawn_pool_world/0535_tympole.json</t>
        </is>
      </c>
      <c r="AN1805" s="18" t="inlineStr">
        <is>
          <t>tympole-heart-16</t>
        </is>
      </c>
      <c r="AO1805" s="18" t="inlineStr">
        <is>
          <t>pokemon</t>
        </is>
      </c>
      <c r="AP1805" s="18" t="inlineStr"/>
      <c r="AQ1805" s="18" t="inlineStr">
        <is>
          <t>{"biomes":["#cobblemon:is_mushroom","#cobblemon:is_swamp"],"bobber":"cobblemon:love_ball","canSeeSky":true}</t>
        </is>
      </c>
      <c r="AR1805" s="18" t="inlineStr">
        <is>
          <t>{"biomes":["#cobblemon:has_block/mud"]}</t>
        </is>
      </c>
      <c r="AS1805" s="18" t="inlineStr">
        <is>
          <t>{"weightMultipliers":[{"condition":{"maxLureLevel":2,"minLureLevel":2},"multiplier":3.0},{"condition":{"minLureLevel":3},"multiplier":5.0}]}</t>
        </is>
      </c>
      <c r="AT1805" s="19" t="inlineStr"/>
    </row>
    <row r="1806" ht="32" customHeight="1">
      <c r="A1806" s="18" t="inlineStr">
        <is>
          <t>0535_tympole.json::tympole-heart-17::017</t>
        </is>
      </c>
      <c r="B1806" s="19" t="inlineStr">
        <is>
          <t>사용</t>
        </is>
      </c>
      <c r="C1806" s="18">
        <f>IF(OR(B1806&lt;&gt;AK1806,M1806&lt;&gt;L1806,O1806&lt;&gt;"",Q1806&lt;&gt;"",V1806&lt;&gt;1,Y1806&lt;&gt;"",AT1806&lt;&gt;""),"수정","원본")</f>
        <v/>
      </c>
      <c r="D1806" s="18" t="n">
        <v>535</v>
      </c>
      <c r="E1806" s="18" t="inlineStr">
        <is>
          <t>동챙이</t>
        </is>
      </c>
      <c r="F1806" s="18" t="inlineStr">
        <is>
          <t>tympole</t>
        </is>
      </c>
      <c r="G1806" s="18" t="inlineStr">
        <is>
          <t>tympole tympole_pattern=heart</t>
        </is>
      </c>
      <c r="H1806" s="18" t="inlineStr">
        <is>
          <t>tympole_pattern=heart</t>
        </is>
      </c>
      <c r="I1806" s="18" t="n">
        <v>5</v>
      </c>
      <c r="J1806" s="18" t="n"/>
      <c r="K1806" s="18" t="n">
        <v>5</v>
      </c>
      <c r="L1806" s="18" t="inlineStr">
        <is>
          <t>cobbleventure:generation_5</t>
        </is>
      </c>
      <c r="M1806" s="19" t="inlineStr">
        <is>
          <t>cobbleventure:generation_5</t>
        </is>
      </c>
      <c r="N1806" s="18" t="inlineStr">
        <is>
          <t>region_01; region_02</t>
        </is>
      </c>
      <c r="O1806" s="19" t="inlineStr"/>
      <c r="P1806" s="18" t="inlineStr">
        <is>
          <t>#aether:is_aether; #cobblemon:is_overworld</t>
        </is>
      </c>
      <c r="Q1806" s="19" t="inlineStr"/>
      <c r="R1806" s="18">
        <f>IF(Q1806="",P1806,Q1806)</f>
        <v/>
      </c>
      <c r="S1806" s="18" t="inlineStr"/>
      <c r="T1806" s="18" t="inlineStr">
        <is>
          <t>common</t>
        </is>
      </c>
      <c r="U1806" s="20" t="n">
        <v>20</v>
      </c>
      <c r="V1806" s="21" t="n">
        <v>1</v>
      </c>
      <c r="W1806" s="20">
        <f>IF(OR(U1806="",V1806=""),U1806,U1806*V1806)</f>
        <v/>
      </c>
      <c r="X1806" s="18" t="inlineStr">
        <is>
          <t>1-21</t>
        </is>
      </c>
      <c r="Y1806" s="19" t="inlineStr"/>
      <c r="Z1806" s="18">
        <f>IF(Y1806="",X1806,Y1806)</f>
        <v/>
      </c>
      <c r="AA1806" s="18" t="inlineStr">
        <is>
          <t>fishing</t>
        </is>
      </c>
      <c r="AB1806" s="18" t="inlineStr"/>
      <c r="AC1806" s="18" t="inlineStr"/>
      <c r="AD1806" s="18" t="inlineStr"/>
      <c r="AE1806" s="18" t="inlineStr">
        <is>
          <t>sky 0-7</t>
        </is>
      </c>
      <c r="AF1806" s="18" t="inlineStr"/>
      <c r="AG1806" s="18" t="inlineStr"/>
      <c r="AH1806" s="18" t="inlineStr"/>
      <c r="AI1806" s="18" t="inlineStr">
        <is>
          <t>{"fishing":{"bait":"cobblemon:love_sweet"}}</t>
        </is>
      </c>
      <c r="AJ1806" s="18" t="inlineStr">
        <is>
          <t>COBBLEVERSE 추가</t>
        </is>
      </c>
      <c r="AK1806" s="18" t="inlineStr">
        <is>
          <t>사용</t>
        </is>
      </c>
      <c r="AL1806" s="18" t="inlineStr">
        <is>
          <t>COBBLEVERSE 1.7.42 / DP v31</t>
        </is>
      </c>
      <c r="AM1806" s="18" t="inlineStr">
        <is>
          <t>data/cobblemon/spawn_pool_world/0535_tympole.json</t>
        </is>
      </c>
      <c r="AN1806" s="18" t="inlineStr">
        <is>
          <t>tympole-heart-17</t>
        </is>
      </c>
      <c r="AO1806" s="18" t="inlineStr">
        <is>
          <t>pokemon</t>
        </is>
      </c>
      <c r="AP1806" s="18" t="inlineStr"/>
      <c r="AQ1806" s="18" t="inlineStr">
        <is>
          <t>{"bait":"cobblemon:love_sweet","biomes":["#aether:is_aether","#cobblemon:is_overworld"],"maxSkyLight":7,"minSkyLight":0}</t>
        </is>
      </c>
      <c r="AR1806" s="18" t="inlineStr"/>
      <c r="AS1806" s="18" t="inlineStr"/>
      <c r="AT1806" s="19" t="inlineStr"/>
    </row>
    <row r="1807" ht="32" customHeight="1">
      <c r="A1807" s="18" t="inlineStr">
        <is>
          <t>0535_tympole.json::tympole-heart-18::018</t>
        </is>
      </c>
      <c r="B1807" s="19" t="inlineStr">
        <is>
          <t>사용</t>
        </is>
      </c>
      <c r="C1807" s="18">
        <f>IF(OR(B1807&lt;&gt;AK1807,M1807&lt;&gt;L1807,O1807&lt;&gt;"",Q1807&lt;&gt;"",V1807&lt;&gt;1,Y1807&lt;&gt;"",AT1807&lt;&gt;""),"수정","원본")</f>
        <v/>
      </c>
      <c r="D1807" s="18" t="n">
        <v>535</v>
      </c>
      <c r="E1807" s="18" t="inlineStr">
        <is>
          <t>동챙이</t>
        </is>
      </c>
      <c r="F1807" s="18" t="inlineStr">
        <is>
          <t>tympole</t>
        </is>
      </c>
      <c r="G1807" s="18" t="inlineStr">
        <is>
          <t>tympole tympole_pattern=heart</t>
        </is>
      </c>
      <c r="H1807" s="18" t="inlineStr">
        <is>
          <t>tympole_pattern=heart</t>
        </is>
      </c>
      <c r="I1807" s="18" t="n">
        <v>5</v>
      </c>
      <c r="J1807" s="18" t="n"/>
      <c r="K1807" s="18" t="n">
        <v>5</v>
      </c>
      <c r="L1807" s="18" t="inlineStr">
        <is>
          <t>cobbleventure:generation_5</t>
        </is>
      </c>
      <c r="M1807" s="19" t="inlineStr">
        <is>
          <t>cobbleventure:generation_5</t>
        </is>
      </c>
      <c r="N1807" s="18" t="inlineStr">
        <is>
          <t>region_02</t>
        </is>
      </c>
      <c r="O1807" s="19" t="inlineStr"/>
      <c r="P1807" s="18" t="inlineStr">
        <is>
          <t>#cobblemon:is_mushroom; #cobblemon:is_swamp</t>
        </is>
      </c>
      <c r="Q1807" s="19" t="inlineStr"/>
      <c r="R1807" s="18">
        <f>IF(Q1807="",P1807,Q1807)</f>
        <v/>
      </c>
      <c r="S1807" s="18" t="inlineStr">
        <is>
          <t>#cobblemon:has_block/mud</t>
        </is>
      </c>
      <c r="T1807" s="18" t="inlineStr">
        <is>
          <t>common</t>
        </is>
      </c>
      <c r="U1807" s="20" t="n">
        <v>20</v>
      </c>
      <c r="V1807" s="21" t="n">
        <v>1</v>
      </c>
      <c r="W1807" s="20">
        <f>IF(OR(U1807="",V1807=""),U1807,U1807*V1807)</f>
        <v/>
      </c>
      <c r="X1807" s="18" t="inlineStr">
        <is>
          <t>1-21</t>
        </is>
      </c>
      <c r="Y1807" s="19" t="inlineStr"/>
      <c r="Z1807" s="18">
        <f>IF(Y1807="",X1807,Y1807)</f>
        <v/>
      </c>
      <c r="AA1807" s="18" t="inlineStr">
        <is>
          <t>fishing</t>
        </is>
      </c>
      <c r="AB1807" s="18" t="inlineStr"/>
      <c r="AC1807" s="18" t="inlineStr"/>
      <c r="AD1807" s="18" t="inlineStr"/>
      <c r="AE1807" s="18" t="inlineStr"/>
      <c r="AF1807" s="18" t="inlineStr">
        <is>
          <t>True</t>
        </is>
      </c>
      <c r="AG1807" s="18" t="inlineStr"/>
      <c r="AH1807" s="18" t="inlineStr"/>
      <c r="AI1807" s="18" t="inlineStr">
        <is>
          <t>{"fishing":{"bait":"cobblemon:love_sweet"}}</t>
        </is>
      </c>
      <c r="AJ1807" s="18" t="inlineStr">
        <is>
          <t>COBBLEVERSE 추가</t>
        </is>
      </c>
      <c r="AK1807" s="18" t="inlineStr">
        <is>
          <t>사용</t>
        </is>
      </c>
      <c r="AL1807" s="18" t="inlineStr">
        <is>
          <t>COBBLEVERSE 1.7.42 / DP v31</t>
        </is>
      </c>
      <c r="AM1807" s="18" t="inlineStr">
        <is>
          <t>data/cobblemon/spawn_pool_world/0535_tympole.json</t>
        </is>
      </c>
      <c r="AN1807" s="18" t="inlineStr">
        <is>
          <t>tympole-heart-18</t>
        </is>
      </c>
      <c r="AO1807" s="18" t="inlineStr">
        <is>
          <t>pokemon</t>
        </is>
      </c>
      <c r="AP1807" s="18" t="inlineStr"/>
      <c r="AQ1807" s="18" t="inlineStr">
        <is>
          <t>{"bait":"cobblemon:love_sweet","biomes":["#cobblemon:is_mushroom","#cobblemon:is_swamp"],"canSeeSky":true}</t>
        </is>
      </c>
      <c r="AR1807" s="18" t="inlineStr">
        <is>
          <t>{"biomes":["#cobblemon:has_block/mud"]}</t>
        </is>
      </c>
      <c r="AS1807" s="18" t="inlineStr">
        <is>
          <t>{"weightMultipliers":[{"condition":{"maxLureLevel":2,"minLureLevel":2},"multiplier":3.0},{"condition":{"minLureLevel":3},"multiplier":5.0}]}</t>
        </is>
      </c>
      <c r="AT1807" s="19" t="inlineStr"/>
    </row>
    <row r="1808" ht="32" customHeight="1">
      <c r="A1808" s="18" t="inlineStr">
        <is>
          <t>0535_tympole.json::tympole-heart-19::019</t>
        </is>
      </c>
      <c r="B1808" s="19" t="inlineStr">
        <is>
          <t>사용</t>
        </is>
      </c>
      <c r="C1808" s="18">
        <f>IF(OR(B1808&lt;&gt;AK1808,M1808&lt;&gt;L1808,O1808&lt;&gt;"",Q1808&lt;&gt;"",V1808&lt;&gt;1,Y1808&lt;&gt;"",AT1808&lt;&gt;""),"수정","원본")</f>
        <v/>
      </c>
      <c r="D1808" s="18" t="n">
        <v>535</v>
      </c>
      <c r="E1808" s="18" t="inlineStr">
        <is>
          <t>동챙이</t>
        </is>
      </c>
      <c r="F1808" s="18" t="inlineStr">
        <is>
          <t>tympole</t>
        </is>
      </c>
      <c r="G1808" s="18" t="inlineStr">
        <is>
          <t>tympole tympole_pattern=heart</t>
        </is>
      </c>
      <c r="H1808" s="18" t="inlineStr">
        <is>
          <t>tympole_pattern=heart</t>
        </is>
      </c>
      <c r="I1808" s="18" t="n">
        <v>5</v>
      </c>
      <c r="J1808" s="18" t="n"/>
      <c r="K1808" s="18" t="n">
        <v>5</v>
      </c>
      <c r="L1808" s="18" t="inlineStr">
        <is>
          <t>cobbleventure:generation_5</t>
        </is>
      </c>
      <c r="M1808" s="19" t="inlineStr">
        <is>
          <t>cobbleventure:generation_5</t>
        </is>
      </c>
      <c r="N1808" s="18" t="inlineStr">
        <is>
          <t>region_02</t>
        </is>
      </c>
      <c r="O1808" s="19" t="inlineStr"/>
      <c r="P1808" s="18" t="inlineStr">
        <is>
          <t>#cobblemon:is_mushroom; #cobblemon:is_swamp</t>
        </is>
      </c>
      <c r="Q1808" s="19" t="inlineStr"/>
      <c r="R1808" s="18">
        <f>IF(Q1808="",P1808,Q1808)</f>
        <v/>
      </c>
      <c r="S1808" s="18" t="inlineStr">
        <is>
          <t>#cobblemon:has_block/mud</t>
        </is>
      </c>
      <c r="T1808" s="18" t="inlineStr">
        <is>
          <t>uncommon</t>
        </is>
      </c>
      <c r="U1808" s="20" t="n">
        <v>2</v>
      </c>
      <c r="V1808" s="21" t="n">
        <v>1</v>
      </c>
      <c r="W1808" s="20">
        <f>IF(OR(U1808="",V1808=""),U1808,U1808*V1808)</f>
        <v/>
      </c>
      <c r="X1808" s="18" t="inlineStr">
        <is>
          <t>1-21</t>
        </is>
      </c>
      <c r="Y1808" s="19" t="inlineStr"/>
      <c r="Z1808" s="18">
        <f>IF(Y1808="",X1808,Y1808)</f>
        <v/>
      </c>
      <c r="AA1808" s="18" t="inlineStr">
        <is>
          <t>fishing</t>
        </is>
      </c>
      <c r="AB1808" s="18" t="inlineStr"/>
      <c r="AC1808" s="18" t="inlineStr"/>
      <c r="AD1808" s="18" t="inlineStr"/>
      <c r="AE1808" s="18" t="inlineStr">
        <is>
          <t>sky 8-15</t>
        </is>
      </c>
      <c r="AF1808" s="18" t="inlineStr">
        <is>
          <t>False</t>
        </is>
      </c>
      <c r="AG1808" s="18" t="inlineStr"/>
      <c r="AH1808" s="18" t="inlineStr"/>
      <c r="AI1808" s="18" t="inlineStr">
        <is>
          <t>{"fishing":{"bobber":"cobblemon:love_ball"}}</t>
        </is>
      </c>
      <c r="AJ1808" s="18" t="inlineStr">
        <is>
          <t>COBBLEVERSE 추가</t>
        </is>
      </c>
      <c r="AK1808" s="18" t="inlineStr">
        <is>
          <t>사용</t>
        </is>
      </c>
      <c r="AL1808" s="18" t="inlineStr">
        <is>
          <t>COBBLEVERSE 1.7.42 / DP v31</t>
        </is>
      </c>
      <c r="AM1808" s="18" t="inlineStr">
        <is>
          <t>data/cobblemon/spawn_pool_world/0535_tympole.json</t>
        </is>
      </c>
      <c r="AN1808" s="18" t="inlineStr">
        <is>
          <t>tympole-heart-19</t>
        </is>
      </c>
      <c r="AO1808" s="18" t="inlineStr">
        <is>
          <t>pokemon</t>
        </is>
      </c>
      <c r="AP1808" s="18" t="inlineStr"/>
      <c r="AQ1808" s="18" t="inlineStr">
        <is>
          <t>{"biomes":["#cobblemon:is_mushroom","#cobblemon:is_swamp"],"bobber":"cobblemon:love_ball","canSeeSky":false,"maxSkyLight":15,"minSkyLight":8}</t>
        </is>
      </c>
      <c r="AR1808" s="18" t="inlineStr">
        <is>
          <t>{"biomes":["#cobblemon:has_block/mud"]}</t>
        </is>
      </c>
      <c r="AS1808" s="18" t="inlineStr">
        <is>
          <t>{"weightMultipliers":[{"condition":{"maxLureLevel":2,"minLureLevel":2},"multiplier":3.0},{"condition":{"minLureLevel":3},"multiplier":5.0}]}</t>
        </is>
      </c>
      <c r="AT1808" s="19" t="inlineStr"/>
    </row>
    <row r="1809" ht="32" customHeight="1">
      <c r="A1809" s="18" t="inlineStr">
        <is>
          <t>0535_tympole.json::tympole-heart-20::020</t>
        </is>
      </c>
      <c r="B1809" s="19" t="inlineStr">
        <is>
          <t>사용</t>
        </is>
      </c>
      <c r="C1809" s="18">
        <f>IF(OR(B1809&lt;&gt;AK1809,M1809&lt;&gt;L1809,O1809&lt;&gt;"",Q1809&lt;&gt;"",V1809&lt;&gt;1,Y1809&lt;&gt;"",AT1809&lt;&gt;""),"수정","원본")</f>
        <v/>
      </c>
      <c r="D1809" s="18" t="n">
        <v>535</v>
      </c>
      <c r="E1809" s="18" t="inlineStr">
        <is>
          <t>동챙이</t>
        </is>
      </c>
      <c r="F1809" s="18" t="inlineStr">
        <is>
          <t>tympole</t>
        </is>
      </c>
      <c r="G1809" s="18" t="inlineStr">
        <is>
          <t>tympole tympole_pattern=heart</t>
        </is>
      </c>
      <c r="H1809" s="18" t="inlineStr">
        <is>
          <t>tympole_pattern=heart</t>
        </is>
      </c>
      <c r="I1809" s="18" t="n">
        <v>5</v>
      </c>
      <c r="J1809" s="18" t="n"/>
      <c r="K1809" s="18" t="n">
        <v>5</v>
      </c>
      <c r="L1809" s="18" t="inlineStr">
        <is>
          <t>cobbleventure:generation_5</t>
        </is>
      </c>
      <c r="M1809" s="19" t="inlineStr">
        <is>
          <t>cobbleventure:generation_5</t>
        </is>
      </c>
      <c r="N1809" s="18" t="inlineStr">
        <is>
          <t>region_02</t>
        </is>
      </c>
      <c r="O1809" s="19" t="inlineStr"/>
      <c r="P1809" s="18" t="inlineStr">
        <is>
          <t>#cobblemon:is_mushroom; #cobblemon:is_swamp</t>
        </is>
      </c>
      <c r="Q1809" s="19" t="inlineStr"/>
      <c r="R1809" s="18">
        <f>IF(Q1809="",P1809,Q1809)</f>
        <v/>
      </c>
      <c r="S1809" s="18" t="inlineStr">
        <is>
          <t>#cobblemon:has_block/mud</t>
        </is>
      </c>
      <c r="T1809" s="18" t="inlineStr">
        <is>
          <t>common</t>
        </is>
      </c>
      <c r="U1809" s="20" t="n">
        <v>20</v>
      </c>
      <c r="V1809" s="21" t="n">
        <v>1</v>
      </c>
      <c r="W1809" s="20">
        <f>IF(OR(U1809="",V1809=""),U1809,U1809*V1809)</f>
        <v/>
      </c>
      <c r="X1809" s="18" t="inlineStr">
        <is>
          <t>1-21</t>
        </is>
      </c>
      <c r="Y1809" s="19" t="inlineStr"/>
      <c r="Z1809" s="18">
        <f>IF(Y1809="",X1809,Y1809)</f>
        <v/>
      </c>
      <c r="AA1809" s="18" t="inlineStr">
        <is>
          <t>fishing</t>
        </is>
      </c>
      <c r="AB1809" s="18" t="inlineStr"/>
      <c r="AC1809" s="18" t="inlineStr"/>
      <c r="AD1809" s="18" t="inlineStr"/>
      <c r="AE1809" s="18" t="inlineStr">
        <is>
          <t>sky 8-15</t>
        </is>
      </c>
      <c r="AF1809" s="18" t="inlineStr">
        <is>
          <t>False</t>
        </is>
      </c>
      <c r="AG1809" s="18" t="inlineStr"/>
      <c r="AH1809" s="18" t="inlineStr"/>
      <c r="AI1809" s="18" t="inlineStr">
        <is>
          <t>{"fishing":{"bait":"cobblemon:love_sweet"}}</t>
        </is>
      </c>
      <c r="AJ1809" s="18" t="inlineStr">
        <is>
          <t>COBBLEVERSE 추가</t>
        </is>
      </c>
      <c r="AK1809" s="18" t="inlineStr">
        <is>
          <t>사용</t>
        </is>
      </c>
      <c r="AL1809" s="18" t="inlineStr">
        <is>
          <t>COBBLEVERSE 1.7.42 / DP v31</t>
        </is>
      </c>
      <c r="AM1809" s="18" t="inlineStr">
        <is>
          <t>data/cobblemon/spawn_pool_world/0535_tympole.json</t>
        </is>
      </c>
      <c r="AN1809" s="18" t="inlineStr">
        <is>
          <t>tympole-heart-20</t>
        </is>
      </c>
      <c r="AO1809" s="18" t="inlineStr">
        <is>
          <t>pokemon</t>
        </is>
      </c>
      <c r="AP1809" s="18" t="inlineStr"/>
      <c r="AQ1809" s="18" t="inlineStr">
        <is>
          <t>{"bait":"cobblemon:love_sweet","biomes":["#cobblemon:is_mushroom","#cobblemon:is_swamp"],"canSeeSky":false,"maxSkyLight":15,"minSkyLight":8}</t>
        </is>
      </c>
      <c r="AR1809" s="18" t="inlineStr">
        <is>
          <t>{"biomes":["#cobblemon:has_block/mud"]}</t>
        </is>
      </c>
      <c r="AS1809" s="18" t="inlineStr">
        <is>
          <t>{"weightMultipliers":[{"condition":{"maxLureLevel":2,"minLureLevel":2},"multiplier":3.0},{"condition":{"minLureLevel":3},"multiplier":5.0}]}</t>
        </is>
      </c>
      <c r="AT1809" s="19" t="inlineStr"/>
    </row>
    <row r="1810" ht="32" customHeight="1">
      <c r="A1810" s="18" t="inlineStr">
        <is>
          <t>0535_tympole.json::tympole-paldean-21::021</t>
        </is>
      </c>
      <c r="B1810" s="19" t="inlineStr">
        <is>
          <t>사용</t>
        </is>
      </c>
      <c r="C1810" s="18">
        <f>IF(OR(B1810&lt;&gt;AK1810,M1810&lt;&gt;L1810,O1810&lt;&gt;"",Q1810&lt;&gt;"",V1810&lt;&gt;1,Y1810&lt;&gt;"",AT1810&lt;&gt;""),"수정","원본")</f>
        <v/>
      </c>
      <c r="D1810" s="18" t="n">
        <v>535</v>
      </c>
      <c r="E1810" s="18" t="inlineStr">
        <is>
          <t>동챙이</t>
        </is>
      </c>
      <c r="F1810" s="18" t="inlineStr">
        <is>
          <t>tympole</t>
        </is>
      </c>
      <c r="G1810" s="18" t="inlineStr">
        <is>
          <t>tympole paldean</t>
        </is>
      </c>
      <c r="H1810" s="18" t="inlineStr">
        <is>
          <t>paldean</t>
        </is>
      </c>
      <c r="I1810" s="18" t="n">
        <v>5</v>
      </c>
      <c r="J1810" s="18" t="n">
        <v>9</v>
      </c>
      <c r="K1810" s="18" t="n">
        <v>9</v>
      </c>
      <c r="L1810" s="18" t="inlineStr">
        <is>
          <t>cobbleventure:generation_9</t>
        </is>
      </c>
      <c r="M1810" s="19" t="inlineStr">
        <is>
          <t>cobbleventure:generation_9</t>
        </is>
      </c>
      <c r="N1810" s="18" t="inlineStr"/>
      <c r="O1810" s="19" t="inlineStr"/>
      <c r="P1810" s="18" t="inlineStr">
        <is>
          <t>#cobblemon:has_block/mud</t>
        </is>
      </c>
      <c r="Q1810" s="19" t="inlineStr"/>
      <c r="R1810" s="18">
        <f>IF(Q1810="",P1810,Q1810)</f>
        <v/>
      </c>
      <c r="S1810" s="18" t="inlineStr"/>
      <c r="T1810" s="18" t="inlineStr">
        <is>
          <t>common</t>
        </is>
      </c>
      <c r="U1810" s="20" t="n">
        <v>9</v>
      </c>
      <c r="V1810" s="21" t="n">
        <v>1</v>
      </c>
      <c r="W1810" s="20">
        <f>IF(OR(U1810="",V1810=""),U1810,U1810*V1810)</f>
        <v/>
      </c>
      <c r="X1810" s="18" t="inlineStr">
        <is>
          <t>1-21</t>
        </is>
      </c>
      <c r="Y1810" s="19" t="inlineStr"/>
      <c r="Z1810" s="18">
        <f>IF(Y1810="",X1810,Y1810)</f>
        <v/>
      </c>
      <c r="AA1810" s="18" t="inlineStr">
        <is>
          <t>grounded</t>
        </is>
      </c>
      <c r="AB1810" s="18" t="inlineStr"/>
      <c r="AC1810" s="18" t="inlineStr"/>
      <c r="AD1810" s="18" t="inlineStr"/>
      <c r="AE1810" s="18" t="inlineStr">
        <is>
          <t>sky 8-15</t>
        </is>
      </c>
      <c r="AF1810" s="18" t="inlineStr"/>
      <c r="AG1810" s="18" t="inlineStr"/>
      <c r="AH1810" s="18" t="inlineStr"/>
      <c r="AI1810" s="18" t="inlineStr"/>
      <c r="AJ1810" s="18" t="inlineStr">
        <is>
          <t>COBBLEVERSE 추가</t>
        </is>
      </c>
      <c r="AK1810" s="18" t="inlineStr">
        <is>
          <t>사용</t>
        </is>
      </c>
      <c r="AL1810" s="18" t="inlineStr">
        <is>
          <t>COBBLEVERSE 1.7.42 / DP v31</t>
        </is>
      </c>
      <c r="AM1810" s="18" t="inlineStr">
        <is>
          <t>data/cobblemon/spawn_pool_world/0535_tympole.json</t>
        </is>
      </c>
      <c r="AN1810" s="18" t="inlineStr">
        <is>
          <t>tympole-paldean-21</t>
        </is>
      </c>
      <c r="AO1810" s="18" t="inlineStr">
        <is>
          <t>pokemon</t>
        </is>
      </c>
      <c r="AP1810" s="18" t="inlineStr">
        <is>
          <t>natural</t>
        </is>
      </c>
      <c r="AQ1810" s="18" t="inlineStr">
        <is>
          <t>{"biomes":["#cobblemon:has_block/mud"],"maxSkyLight":15,"minSkyLight":8}</t>
        </is>
      </c>
      <c r="AR1810" s="18" t="inlineStr"/>
      <c r="AS1810" s="18" t="inlineStr"/>
      <c r="AT1810" s="19" t="inlineStr"/>
    </row>
    <row r="1811" ht="32" customHeight="1">
      <c r="A1811" s="18" t="inlineStr">
        <is>
          <t>0535_tympole.json::tympole-paldean-22::022</t>
        </is>
      </c>
      <c r="B1811" s="19" t="inlineStr">
        <is>
          <t>사용</t>
        </is>
      </c>
      <c r="C1811" s="18">
        <f>IF(OR(B1811&lt;&gt;AK1811,M1811&lt;&gt;L1811,O1811&lt;&gt;"",Q1811&lt;&gt;"",V1811&lt;&gt;1,Y1811&lt;&gt;"",AT1811&lt;&gt;""),"수정","원본")</f>
        <v/>
      </c>
      <c r="D1811" s="18" t="n">
        <v>535</v>
      </c>
      <c r="E1811" s="18" t="inlineStr">
        <is>
          <t>동챙이</t>
        </is>
      </c>
      <c r="F1811" s="18" t="inlineStr">
        <is>
          <t>tympole</t>
        </is>
      </c>
      <c r="G1811" s="18" t="inlineStr">
        <is>
          <t>tympole paldean</t>
        </is>
      </c>
      <c r="H1811" s="18" t="inlineStr">
        <is>
          <t>paldean</t>
        </is>
      </c>
      <c r="I1811" s="18" t="n">
        <v>5</v>
      </c>
      <c r="J1811" s="18" t="n">
        <v>9</v>
      </c>
      <c r="K1811" s="18" t="n">
        <v>9</v>
      </c>
      <c r="L1811" s="18" t="inlineStr">
        <is>
          <t>cobbleventure:generation_9</t>
        </is>
      </c>
      <c r="M1811" s="19" t="inlineStr">
        <is>
          <t>cobbleventure:generation_9</t>
        </is>
      </c>
      <c r="N1811" s="18" t="inlineStr"/>
      <c r="O1811" s="19" t="inlineStr"/>
      <c r="P1811" s="18" t="inlineStr">
        <is>
          <t>#cobblemon:has_block/mud</t>
        </is>
      </c>
      <c r="Q1811" s="19" t="inlineStr"/>
      <c r="R1811" s="18">
        <f>IF(Q1811="",P1811,Q1811)</f>
        <v/>
      </c>
      <c r="S1811" s="18" t="inlineStr"/>
      <c r="T1811" s="18" t="inlineStr">
        <is>
          <t>common</t>
        </is>
      </c>
      <c r="U1811" s="20" t="n">
        <v>9</v>
      </c>
      <c r="V1811" s="21" t="n">
        <v>1</v>
      </c>
      <c r="W1811" s="20">
        <f>IF(OR(U1811="",V1811=""),U1811,U1811*V1811)</f>
        <v/>
      </c>
      <c r="X1811" s="18" t="inlineStr">
        <is>
          <t>1-21</t>
        </is>
      </c>
      <c r="Y1811" s="19" t="inlineStr"/>
      <c r="Z1811" s="18">
        <f>IF(Y1811="",X1811,Y1811)</f>
        <v/>
      </c>
      <c r="AA1811" s="18" t="inlineStr">
        <is>
          <t>submerged</t>
        </is>
      </c>
      <c r="AB1811" s="18" t="inlineStr"/>
      <c r="AC1811" s="18" t="inlineStr"/>
      <c r="AD1811" s="18" t="inlineStr"/>
      <c r="AE1811" s="18" t="inlineStr"/>
      <c r="AF1811" s="18" t="inlineStr">
        <is>
          <t>True</t>
        </is>
      </c>
      <c r="AG1811" s="18" t="inlineStr"/>
      <c r="AH1811" s="18" t="inlineStr"/>
      <c r="AI1811" s="18" t="inlineStr"/>
      <c r="AJ1811" s="18" t="inlineStr">
        <is>
          <t>COBBLEVERSE 추가</t>
        </is>
      </c>
      <c r="AK1811" s="18" t="inlineStr">
        <is>
          <t>사용</t>
        </is>
      </c>
      <c r="AL1811" s="18" t="inlineStr">
        <is>
          <t>COBBLEVERSE 1.7.42 / DP v31</t>
        </is>
      </c>
      <c r="AM1811" s="18" t="inlineStr">
        <is>
          <t>data/cobblemon/spawn_pool_world/0535_tympole.json</t>
        </is>
      </c>
      <c r="AN1811" s="18" t="inlineStr">
        <is>
          <t>tympole-paldean-22</t>
        </is>
      </c>
      <c r="AO1811" s="18" t="inlineStr">
        <is>
          <t>pokemon</t>
        </is>
      </c>
      <c r="AP1811" s="18" t="inlineStr">
        <is>
          <t>water</t>
        </is>
      </c>
      <c r="AQ1811" s="18" t="inlineStr">
        <is>
          <t>{"biomes":["#cobblemon:has_block/mud"],"canSeeSky":true}</t>
        </is>
      </c>
      <c r="AR1811" s="18" t="inlineStr"/>
      <c r="AS1811" s="18" t="inlineStr"/>
      <c r="AT1811" s="19" t="inlineStr"/>
    </row>
    <row r="1812" ht="32" customHeight="1">
      <c r="A1812" s="18" t="inlineStr">
        <is>
          <t>0535_tympole.json::tympole-paldean-23::023</t>
        </is>
      </c>
      <c r="B1812" s="19" t="inlineStr">
        <is>
          <t>사용</t>
        </is>
      </c>
      <c r="C1812" s="18">
        <f>IF(OR(B1812&lt;&gt;AK1812,M1812&lt;&gt;L1812,O1812&lt;&gt;"",Q1812&lt;&gt;"",V1812&lt;&gt;1,Y1812&lt;&gt;"",AT1812&lt;&gt;""),"수정","원본")</f>
        <v/>
      </c>
      <c r="D1812" s="18" t="n">
        <v>535</v>
      </c>
      <c r="E1812" s="18" t="inlineStr">
        <is>
          <t>동챙이</t>
        </is>
      </c>
      <c r="F1812" s="18" t="inlineStr">
        <is>
          <t>tympole</t>
        </is>
      </c>
      <c r="G1812" s="18" t="inlineStr">
        <is>
          <t>tympole paldean</t>
        </is>
      </c>
      <c r="H1812" s="18" t="inlineStr">
        <is>
          <t>paldean</t>
        </is>
      </c>
      <c r="I1812" s="18" t="n">
        <v>5</v>
      </c>
      <c r="J1812" s="18" t="n">
        <v>9</v>
      </c>
      <c r="K1812" s="18" t="n">
        <v>9</v>
      </c>
      <c r="L1812" s="18" t="inlineStr">
        <is>
          <t>cobbleventure:generation_9</t>
        </is>
      </c>
      <c r="M1812" s="19" t="inlineStr">
        <is>
          <t>cobbleventure:generation_9</t>
        </is>
      </c>
      <c r="N1812" s="18" t="inlineStr"/>
      <c r="O1812" s="19" t="inlineStr"/>
      <c r="P1812" s="18" t="inlineStr">
        <is>
          <t>#cobblemon:is_savanna</t>
        </is>
      </c>
      <c r="Q1812" s="19" t="inlineStr"/>
      <c r="R1812" s="18">
        <f>IF(Q1812="",P1812,Q1812)</f>
        <v/>
      </c>
      <c r="S1812" s="18" t="inlineStr"/>
      <c r="T1812" s="18" t="inlineStr">
        <is>
          <t>uncommon</t>
        </is>
      </c>
      <c r="U1812" s="20" t="n">
        <v>8.4</v>
      </c>
      <c r="V1812" s="21" t="n">
        <v>1</v>
      </c>
      <c r="W1812" s="20">
        <f>IF(OR(U1812="",V1812=""),U1812,U1812*V1812)</f>
        <v/>
      </c>
      <c r="X1812" s="18" t="inlineStr">
        <is>
          <t>1-21</t>
        </is>
      </c>
      <c r="Y1812" s="19" t="inlineStr"/>
      <c r="Z1812" s="18">
        <f>IF(Y1812="",X1812,Y1812)</f>
        <v/>
      </c>
      <c r="AA1812" s="18" t="inlineStr">
        <is>
          <t>grounded</t>
        </is>
      </c>
      <c r="AB1812" s="18" t="inlineStr"/>
      <c r="AC1812" s="18" t="inlineStr"/>
      <c r="AD1812" s="18" t="inlineStr"/>
      <c r="AE1812" s="18" t="inlineStr">
        <is>
          <t>sky 8-15</t>
        </is>
      </c>
      <c r="AF1812" s="18" t="inlineStr"/>
      <c r="AG1812" s="18" t="inlineStr"/>
      <c r="AH1812" s="18" t="inlineStr">
        <is>
          <t>주변=#minecraft:water</t>
        </is>
      </c>
      <c r="AI1812" s="18" t="inlineStr"/>
      <c r="AJ1812" s="18" t="inlineStr">
        <is>
          <t>COBBLEVERSE 추가</t>
        </is>
      </c>
      <c r="AK1812" s="18" t="inlineStr">
        <is>
          <t>사용</t>
        </is>
      </c>
      <c r="AL1812" s="18" t="inlineStr">
        <is>
          <t>COBBLEVERSE 1.7.42 / DP v31</t>
        </is>
      </c>
      <c r="AM1812" s="18" t="inlineStr">
        <is>
          <t>data/cobblemon/spawn_pool_world/0535_tympole.json</t>
        </is>
      </c>
      <c r="AN1812" s="18" t="inlineStr">
        <is>
          <t>tympole-paldean-23</t>
        </is>
      </c>
      <c r="AO1812" s="18" t="inlineStr">
        <is>
          <t>pokemon</t>
        </is>
      </c>
      <c r="AP1812" s="18" t="inlineStr">
        <is>
          <t>natural</t>
        </is>
      </c>
      <c r="AQ1812" s="18" t="inlineStr">
        <is>
          <t>{"biomes":["#cobblemon:is_savanna"],"maxSkyLight":15,"minSkyLight":8,"neededNearbyBlocks":["#minecraft:water"]}</t>
        </is>
      </c>
      <c r="AR1812" s="18" t="inlineStr"/>
      <c r="AS1812" s="18" t="inlineStr"/>
      <c r="AT1812" s="19" t="inlineStr"/>
    </row>
    <row r="1813" ht="32" customHeight="1">
      <c r="A1813" s="18" t="inlineStr">
        <is>
          <t>0535_tympole.json::tympole-paldean-24::024</t>
        </is>
      </c>
      <c r="B1813" s="19" t="inlineStr">
        <is>
          <t>사용</t>
        </is>
      </c>
      <c r="C1813" s="18">
        <f>IF(OR(B1813&lt;&gt;AK1813,M1813&lt;&gt;L1813,O1813&lt;&gt;"",Q1813&lt;&gt;"",V1813&lt;&gt;1,Y1813&lt;&gt;"",AT1813&lt;&gt;""),"수정","원본")</f>
        <v/>
      </c>
      <c r="D1813" s="18" t="n">
        <v>535</v>
      </c>
      <c r="E1813" s="18" t="inlineStr">
        <is>
          <t>동챙이</t>
        </is>
      </c>
      <c r="F1813" s="18" t="inlineStr">
        <is>
          <t>tympole</t>
        </is>
      </c>
      <c r="G1813" s="18" t="inlineStr">
        <is>
          <t>tympole paldean</t>
        </is>
      </c>
      <c r="H1813" s="18" t="inlineStr">
        <is>
          <t>paldean</t>
        </is>
      </c>
      <c r="I1813" s="18" t="n">
        <v>5</v>
      </c>
      <c r="J1813" s="18" t="n">
        <v>9</v>
      </c>
      <c r="K1813" s="18" t="n">
        <v>9</v>
      </c>
      <c r="L1813" s="18" t="inlineStr">
        <is>
          <t>cobbleventure:generation_9</t>
        </is>
      </c>
      <c r="M1813" s="19" t="inlineStr">
        <is>
          <t>cobbleventure:generation_9</t>
        </is>
      </c>
      <c r="N1813" s="18" t="inlineStr"/>
      <c r="O1813" s="19" t="inlineStr"/>
      <c r="P1813" s="18" t="inlineStr">
        <is>
          <t>#cobblemon:is_savanna</t>
        </is>
      </c>
      <c r="Q1813" s="19" t="inlineStr"/>
      <c r="R1813" s="18">
        <f>IF(Q1813="",P1813,Q1813)</f>
        <v/>
      </c>
      <c r="S1813" s="18" t="inlineStr"/>
      <c r="T1813" s="18" t="inlineStr">
        <is>
          <t>uncommon</t>
        </is>
      </c>
      <c r="U1813" s="20" t="n">
        <v>8.4</v>
      </c>
      <c r="V1813" s="21" t="n">
        <v>1</v>
      </c>
      <c r="W1813" s="20">
        <f>IF(OR(U1813="",V1813=""),U1813,U1813*V1813)</f>
        <v/>
      </c>
      <c r="X1813" s="18" t="inlineStr">
        <is>
          <t>1-21</t>
        </is>
      </c>
      <c r="Y1813" s="19" t="inlineStr"/>
      <c r="Z1813" s="18">
        <f>IF(Y1813="",X1813,Y1813)</f>
        <v/>
      </c>
      <c r="AA1813" s="18" t="inlineStr">
        <is>
          <t>submerged</t>
        </is>
      </c>
      <c r="AB1813" s="18" t="inlineStr"/>
      <c r="AC1813" s="18" t="inlineStr"/>
      <c r="AD1813" s="18" t="inlineStr"/>
      <c r="AE1813" s="18" t="inlineStr"/>
      <c r="AF1813" s="18" t="inlineStr">
        <is>
          <t>True</t>
        </is>
      </c>
      <c r="AG1813" s="18" t="inlineStr"/>
      <c r="AH1813" s="18" t="inlineStr"/>
      <c r="AI1813" s="18" t="inlineStr"/>
      <c r="AJ1813" s="18" t="inlineStr">
        <is>
          <t>COBBLEVERSE 추가</t>
        </is>
      </c>
      <c r="AK1813" s="18" t="inlineStr">
        <is>
          <t>사용</t>
        </is>
      </c>
      <c r="AL1813" s="18" t="inlineStr">
        <is>
          <t>COBBLEVERSE 1.7.42 / DP v31</t>
        </is>
      </c>
      <c r="AM1813" s="18" t="inlineStr">
        <is>
          <t>data/cobblemon/spawn_pool_world/0535_tympole.json</t>
        </is>
      </c>
      <c r="AN1813" s="18" t="inlineStr">
        <is>
          <t>tympole-paldean-24</t>
        </is>
      </c>
      <c r="AO1813" s="18" t="inlineStr">
        <is>
          <t>pokemon</t>
        </is>
      </c>
      <c r="AP1813" s="18" t="inlineStr">
        <is>
          <t>water</t>
        </is>
      </c>
      <c r="AQ1813" s="18" t="inlineStr">
        <is>
          <t>{"biomes":["#cobblemon:is_savanna"],"canSeeSky":true}</t>
        </is>
      </c>
      <c r="AR1813" s="18" t="inlineStr"/>
      <c r="AS1813" s="18" t="inlineStr"/>
      <c r="AT1813" s="19" t="inlineStr"/>
    </row>
    <row r="1814" ht="32" customHeight="1">
      <c r="A1814" s="18" t="inlineStr">
        <is>
          <t>0535_tympole.json::tympole-paldean-25::025</t>
        </is>
      </c>
      <c r="B1814" s="19" t="inlineStr">
        <is>
          <t>사용</t>
        </is>
      </c>
      <c r="C1814" s="18">
        <f>IF(OR(B1814&lt;&gt;AK1814,M1814&lt;&gt;L1814,O1814&lt;&gt;"",Q1814&lt;&gt;"",V1814&lt;&gt;1,Y1814&lt;&gt;"",AT1814&lt;&gt;""),"수정","원본")</f>
        <v/>
      </c>
      <c r="D1814" s="18" t="n">
        <v>535</v>
      </c>
      <c r="E1814" s="18" t="inlineStr">
        <is>
          <t>동챙이</t>
        </is>
      </c>
      <c r="F1814" s="18" t="inlineStr">
        <is>
          <t>tympole</t>
        </is>
      </c>
      <c r="G1814" s="18" t="inlineStr">
        <is>
          <t>tympole paldean</t>
        </is>
      </c>
      <c r="H1814" s="18" t="inlineStr">
        <is>
          <t>paldean</t>
        </is>
      </c>
      <c r="I1814" s="18" t="n">
        <v>5</v>
      </c>
      <c r="J1814" s="18" t="n">
        <v>9</v>
      </c>
      <c r="K1814" s="18" t="n">
        <v>9</v>
      </c>
      <c r="L1814" s="18" t="inlineStr">
        <is>
          <t>cobbleventure:generation_9</t>
        </is>
      </c>
      <c r="M1814" s="19" t="inlineStr">
        <is>
          <t>cobbleventure:generation_9</t>
        </is>
      </c>
      <c r="N1814" s="18" t="inlineStr"/>
      <c r="O1814" s="19" t="inlineStr"/>
      <c r="P1814" s="18" t="inlineStr">
        <is>
          <t>#cobblemon:has_block/mud</t>
        </is>
      </c>
      <c r="Q1814" s="19" t="inlineStr"/>
      <c r="R1814" s="18">
        <f>IF(Q1814="",P1814,Q1814)</f>
        <v/>
      </c>
      <c r="S1814" s="18" t="inlineStr"/>
      <c r="T1814" s="18" t="inlineStr">
        <is>
          <t>common</t>
        </is>
      </c>
      <c r="U1814" s="20" t="n">
        <v>9</v>
      </c>
      <c r="V1814" s="21" t="n">
        <v>1</v>
      </c>
      <c r="W1814" s="20">
        <f>IF(OR(U1814="",V1814=""),U1814,U1814*V1814)</f>
        <v/>
      </c>
      <c r="X1814" s="18" t="inlineStr">
        <is>
          <t>1-21</t>
        </is>
      </c>
      <c r="Y1814" s="19" t="inlineStr"/>
      <c r="Z1814" s="18">
        <f>IF(Y1814="",X1814,Y1814)</f>
        <v/>
      </c>
      <c r="AA1814" s="18" t="inlineStr">
        <is>
          <t>fishing</t>
        </is>
      </c>
      <c r="AB1814" s="18" t="inlineStr"/>
      <c r="AC1814" s="18" t="inlineStr"/>
      <c r="AD1814" s="18" t="inlineStr"/>
      <c r="AE1814" s="18" t="inlineStr"/>
      <c r="AF1814" s="18" t="inlineStr">
        <is>
          <t>True</t>
        </is>
      </c>
      <c r="AG1814" s="18" t="inlineStr"/>
      <c r="AH1814" s="18" t="inlineStr"/>
      <c r="AI1814" s="18" t="inlineStr"/>
      <c r="AJ1814" s="18" t="inlineStr">
        <is>
          <t>COBBLEVERSE 추가</t>
        </is>
      </c>
      <c r="AK1814" s="18" t="inlineStr">
        <is>
          <t>사용</t>
        </is>
      </c>
      <c r="AL1814" s="18" t="inlineStr">
        <is>
          <t>COBBLEVERSE 1.7.42 / DP v31</t>
        </is>
      </c>
      <c r="AM1814" s="18" t="inlineStr">
        <is>
          <t>data/cobblemon/spawn_pool_world/0535_tympole.json</t>
        </is>
      </c>
      <c r="AN1814" s="18" t="inlineStr">
        <is>
          <t>tympole-paldean-25</t>
        </is>
      </c>
      <c r="AO1814" s="18" t="inlineStr">
        <is>
          <t>pokemon</t>
        </is>
      </c>
      <c r="AP1814" s="18" t="inlineStr"/>
      <c r="AQ1814" s="18" t="inlineStr">
        <is>
          <t>{"biomes":["#cobblemon:has_block/mud"],"canSeeSky":true}</t>
        </is>
      </c>
      <c r="AR1814" s="18" t="inlineStr"/>
      <c r="AS1814" s="18" t="inlineStr"/>
      <c r="AT1814" s="19" t="inlineStr"/>
    </row>
    <row r="1815" ht="32" customHeight="1">
      <c r="A1815" s="18" t="inlineStr">
        <is>
          <t>0535_tympole.json::tympole-paldean-26::026</t>
        </is>
      </c>
      <c r="B1815" s="19" t="inlineStr">
        <is>
          <t>사용</t>
        </is>
      </c>
      <c r="C1815" s="18">
        <f>IF(OR(B1815&lt;&gt;AK1815,M1815&lt;&gt;L1815,O1815&lt;&gt;"",Q1815&lt;&gt;"",V1815&lt;&gt;1,Y1815&lt;&gt;"",AT1815&lt;&gt;""),"수정","원본")</f>
        <v/>
      </c>
      <c r="D1815" s="18" t="n">
        <v>535</v>
      </c>
      <c r="E1815" s="18" t="inlineStr">
        <is>
          <t>동챙이</t>
        </is>
      </c>
      <c r="F1815" s="18" t="inlineStr">
        <is>
          <t>tympole</t>
        </is>
      </c>
      <c r="G1815" s="18" t="inlineStr">
        <is>
          <t>tympole paldean</t>
        </is>
      </c>
      <c r="H1815" s="18" t="inlineStr">
        <is>
          <t>paldean</t>
        </is>
      </c>
      <c r="I1815" s="18" t="n">
        <v>5</v>
      </c>
      <c r="J1815" s="18" t="n">
        <v>9</v>
      </c>
      <c r="K1815" s="18" t="n">
        <v>9</v>
      </c>
      <c r="L1815" s="18" t="inlineStr">
        <is>
          <t>cobbleventure:generation_9</t>
        </is>
      </c>
      <c r="M1815" s="19" t="inlineStr">
        <is>
          <t>cobbleventure:generation_9</t>
        </is>
      </c>
      <c r="N1815" s="18" t="inlineStr">
        <is>
          <t>region_02</t>
        </is>
      </c>
      <c r="O1815" s="19" t="inlineStr"/>
      <c r="P1815" s="18" t="inlineStr">
        <is>
          <t>#cobblemon:is_arid</t>
        </is>
      </c>
      <c r="Q1815" s="19" t="inlineStr"/>
      <c r="R1815" s="18">
        <f>IF(Q1815="",P1815,Q1815)</f>
        <v/>
      </c>
      <c r="S1815" s="18" t="inlineStr"/>
      <c r="T1815" s="18" t="inlineStr">
        <is>
          <t>uncommon</t>
        </is>
      </c>
      <c r="U1815" s="20" t="n">
        <v>8.4</v>
      </c>
      <c r="V1815" s="21" t="n">
        <v>1</v>
      </c>
      <c r="W1815" s="20">
        <f>IF(OR(U1815="",V1815=""),U1815,U1815*V1815)</f>
        <v/>
      </c>
      <c r="X1815" s="18" t="inlineStr">
        <is>
          <t>1-21</t>
        </is>
      </c>
      <c r="Y1815" s="19" t="inlineStr"/>
      <c r="Z1815" s="18">
        <f>IF(Y1815="",X1815,Y1815)</f>
        <v/>
      </c>
      <c r="AA1815" s="18" t="inlineStr">
        <is>
          <t>fishing</t>
        </is>
      </c>
      <c r="AB1815" s="18" t="inlineStr"/>
      <c r="AC1815" s="18" t="inlineStr"/>
      <c r="AD1815" s="18" t="inlineStr"/>
      <c r="AE1815" s="18" t="inlineStr"/>
      <c r="AF1815" s="18" t="inlineStr">
        <is>
          <t>True</t>
        </is>
      </c>
      <c r="AG1815" s="18" t="inlineStr"/>
      <c r="AH1815" s="18" t="inlineStr"/>
      <c r="AI1815" s="18" t="inlineStr"/>
      <c r="AJ1815" s="18" t="inlineStr">
        <is>
          <t>COBBLEVERSE 추가</t>
        </is>
      </c>
      <c r="AK1815" s="18" t="inlineStr">
        <is>
          <t>사용</t>
        </is>
      </c>
      <c r="AL1815" s="18" t="inlineStr">
        <is>
          <t>COBBLEVERSE 1.7.42 / DP v31</t>
        </is>
      </c>
      <c r="AM1815" s="18" t="inlineStr">
        <is>
          <t>data/cobblemon/spawn_pool_world/0535_tympole.json</t>
        </is>
      </c>
      <c r="AN1815" s="18" t="inlineStr">
        <is>
          <t>tympole-paldean-26</t>
        </is>
      </c>
      <c r="AO1815" s="18" t="inlineStr">
        <is>
          <t>pokemon</t>
        </is>
      </c>
      <c r="AP1815" s="18" t="inlineStr"/>
      <c r="AQ1815" s="18" t="inlineStr">
        <is>
          <t>{"biomes":["#cobblemon:is_arid"],"canSeeSky":true}</t>
        </is>
      </c>
      <c r="AR1815" s="18" t="inlineStr">
        <is>
          <t>{"minLureLevel":1}</t>
        </is>
      </c>
      <c r="AS1815" s="18" t="inlineStr"/>
      <c r="AT1815" s="19" t="inlineStr"/>
    </row>
    <row r="1816" ht="32" customHeight="1">
      <c r="A1816" s="18" t="inlineStr">
        <is>
          <t>0535_tympole.json::tympole-paldean-27::027</t>
        </is>
      </c>
      <c r="B1816" s="19" t="inlineStr">
        <is>
          <t>사용</t>
        </is>
      </c>
      <c r="C1816" s="18">
        <f>IF(OR(B1816&lt;&gt;AK1816,M1816&lt;&gt;L1816,O1816&lt;&gt;"",Q1816&lt;&gt;"",V1816&lt;&gt;1,Y1816&lt;&gt;"",AT1816&lt;&gt;""),"수정","원본")</f>
        <v/>
      </c>
      <c r="D1816" s="18" t="n">
        <v>535</v>
      </c>
      <c r="E1816" s="18" t="inlineStr">
        <is>
          <t>동챙이</t>
        </is>
      </c>
      <c r="F1816" s="18" t="inlineStr">
        <is>
          <t>tympole</t>
        </is>
      </c>
      <c r="G1816" s="18" t="inlineStr">
        <is>
          <t>tympole paldean</t>
        </is>
      </c>
      <c r="H1816" s="18" t="inlineStr">
        <is>
          <t>paldean</t>
        </is>
      </c>
      <c r="I1816" s="18" t="n">
        <v>5</v>
      </c>
      <c r="J1816" s="18" t="n">
        <v>9</v>
      </c>
      <c r="K1816" s="18" t="n">
        <v>9</v>
      </c>
      <c r="L1816" s="18" t="inlineStr">
        <is>
          <t>cobbleventure:generation_9</t>
        </is>
      </c>
      <c r="M1816" s="19" t="inlineStr">
        <is>
          <t>cobbleventure:generation_9</t>
        </is>
      </c>
      <c r="N1816" s="18" t="inlineStr">
        <is>
          <t>region_02</t>
        </is>
      </c>
      <c r="O1816" s="19" t="inlineStr"/>
      <c r="P1816" s="18" t="inlineStr">
        <is>
          <t>#cobblemon:is_arid</t>
        </is>
      </c>
      <c r="Q1816" s="19" t="inlineStr"/>
      <c r="R1816" s="18">
        <f>IF(Q1816="",P1816,Q1816)</f>
        <v/>
      </c>
      <c r="S1816" s="18" t="inlineStr"/>
      <c r="T1816" s="18" t="inlineStr">
        <is>
          <t>common</t>
        </is>
      </c>
      <c r="U1816" s="20" t="n">
        <v>9</v>
      </c>
      <c r="V1816" s="21" t="n">
        <v>1</v>
      </c>
      <c r="W1816" s="20">
        <f>IF(OR(U1816="",V1816=""),U1816,U1816*V1816)</f>
        <v/>
      </c>
      <c r="X1816" s="18" t="inlineStr">
        <is>
          <t>1-21</t>
        </is>
      </c>
      <c r="Y1816" s="19" t="inlineStr"/>
      <c r="Z1816" s="18">
        <f>IF(Y1816="",X1816,Y1816)</f>
        <v/>
      </c>
      <c r="AA1816" s="18" t="inlineStr">
        <is>
          <t>fishing</t>
        </is>
      </c>
      <c r="AB1816" s="18" t="inlineStr"/>
      <c r="AC1816" s="18" t="inlineStr"/>
      <c r="AD1816" s="18" t="inlineStr"/>
      <c r="AE1816" s="18" t="inlineStr"/>
      <c r="AF1816" s="18" t="inlineStr">
        <is>
          <t>True</t>
        </is>
      </c>
      <c r="AG1816" s="18" t="inlineStr"/>
      <c r="AH1816" s="18" t="inlineStr"/>
      <c r="AI1816" s="18" t="inlineStr">
        <is>
          <t>{"fishing":{"minLureLevel":1}}</t>
        </is>
      </c>
      <c r="AJ1816" s="18" t="inlineStr">
        <is>
          <t>COBBLEVERSE 추가</t>
        </is>
      </c>
      <c r="AK1816" s="18" t="inlineStr">
        <is>
          <t>사용</t>
        </is>
      </c>
      <c r="AL1816" s="18" t="inlineStr">
        <is>
          <t>COBBLEVERSE 1.7.42 / DP v31</t>
        </is>
      </c>
      <c r="AM1816" s="18" t="inlineStr">
        <is>
          <t>data/cobblemon/spawn_pool_world/0535_tympole.json</t>
        </is>
      </c>
      <c r="AN1816" s="18" t="inlineStr">
        <is>
          <t>tympole-paldean-27</t>
        </is>
      </c>
      <c r="AO1816" s="18" t="inlineStr">
        <is>
          <t>pokemon</t>
        </is>
      </c>
      <c r="AP1816" s="18" t="inlineStr"/>
      <c r="AQ1816" s="18" t="inlineStr">
        <is>
          <t>{"biomes":["#cobblemon:is_arid"],"canSeeSky":true,"minLureLevel":1}</t>
        </is>
      </c>
      <c r="AR1816" s="18" t="inlineStr"/>
      <c r="AS1816" s="18" t="inlineStr">
        <is>
          <t>{"weightMultiplier":{"condition":{"maxLureLevel":2,"minLureLevel":1},"multiplier":0.6}}</t>
        </is>
      </c>
      <c r="AT1816" s="19" t="inlineStr"/>
    </row>
    <row r="1817" ht="32" customHeight="1">
      <c r="A1817" s="18" t="inlineStr">
        <is>
          <t>0535_tympole.json::tympole-paldean-28::028</t>
        </is>
      </c>
      <c r="B1817" s="19" t="inlineStr">
        <is>
          <t>사용</t>
        </is>
      </c>
      <c r="C1817" s="18">
        <f>IF(OR(B1817&lt;&gt;AK1817,M1817&lt;&gt;L1817,O1817&lt;&gt;"",Q1817&lt;&gt;"",V1817&lt;&gt;1,Y1817&lt;&gt;"",AT1817&lt;&gt;""),"수정","원본")</f>
        <v/>
      </c>
      <c r="D1817" s="18" t="n">
        <v>535</v>
      </c>
      <c r="E1817" s="18" t="inlineStr">
        <is>
          <t>동챙이</t>
        </is>
      </c>
      <c r="F1817" s="18" t="inlineStr">
        <is>
          <t>tympole</t>
        </is>
      </c>
      <c r="G1817" s="18" t="inlineStr">
        <is>
          <t>tympole paldean</t>
        </is>
      </c>
      <c r="H1817" s="18" t="inlineStr">
        <is>
          <t>paldean</t>
        </is>
      </c>
      <c r="I1817" s="18" t="n">
        <v>5</v>
      </c>
      <c r="J1817" s="18" t="n">
        <v>9</v>
      </c>
      <c r="K1817" s="18" t="n">
        <v>9</v>
      </c>
      <c r="L1817" s="18" t="inlineStr">
        <is>
          <t>cobbleventure:generation_9</t>
        </is>
      </c>
      <c r="M1817" s="19" t="inlineStr">
        <is>
          <t>cobbleventure:generation_9</t>
        </is>
      </c>
      <c r="N1817" s="18" t="inlineStr"/>
      <c r="O1817" s="19" t="inlineStr"/>
      <c r="P1817" s="18" t="inlineStr">
        <is>
          <t>#cobblemon:has_block/mud</t>
        </is>
      </c>
      <c r="Q1817" s="19" t="inlineStr"/>
      <c r="R1817" s="18">
        <f>IF(Q1817="",P1817,Q1817)</f>
        <v/>
      </c>
      <c r="S1817" s="18" t="inlineStr"/>
      <c r="T1817" s="18" t="inlineStr">
        <is>
          <t>common</t>
        </is>
      </c>
      <c r="U1817" s="20" t="n">
        <v>9</v>
      </c>
      <c r="V1817" s="21" t="n">
        <v>1</v>
      </c>
      <c r="W1817" s="20">
        <f>IF(OR(U1817="",V1817=""),U1817,U1817*V1817)</f>
        <v/>
      </c>
      <c r="X1817" s="18" t="inlineStr">
        <is>
          <t>1-21</t>
        </is>
      </c>
      <c r="Y1817" s="19" t="inlineStr"/>
      <c r="Z1817" s="18">
        <f>IF(Y1817="",X1817,Y1817)</f>
        <v/>
      </c>
      <c r="AA1817" s="18" t="inlineStr">
        <is>
          <t>submerged</t>
        </is>
      </c>
      <c r="AB1817" s="18" t="inlineStr"/>
      <c r="AC1817" s="18" t="inlineStr"/>
      <c r="AD1817" s="18" t="inlineStr"/>
      <c r="AE1817" s="18" t="inlineStr">
        <is>
          <t>sky 8-15</t>
        </is>
      </c>
      <c r="AF1817" s="18" t="inlineStr">
        <is>
          <t>False</t>
        </is>
      </c>
      <c r="AG1817" s="18" t="inlineStr"/>
      <c r="AH1817" s="18" t="inlineStr"/>
      <c r="AI1817" s="18" t="inlineStr"/>
      <c r="AJ1817" s="18" t="inlineStr">
        <is>
          <t>COBBLEVERSE 추가</t>
        </is>
      </c>
      <c r="AK1817" s="18" t="inlineStr">
        <is>
          <t>사용</t>
        </is>
      </c>
      <c r="AL1817" s="18" t="inlineStr">
        <is>
          <t>COBBLEVERSE 1.7.42 / DP v31</t>
        </is>
      </c>
      <c r="AM1817" s="18" t="inlineStr">
        <is>
          <t>data/cobblemon/spawn_pool_world/0535_tympole.json</t>
        </is>
      </c>
      <c r="AN1817" s="18" t="inlineStr">
        <is>
          <t>tympole-paldean-28</t>
        </is>
      </c>
      <c r="AO1817" s="18" t="inlineStr">
        <is>
          <t>pokemon</t>
        </is>
      </c>
      <c r="AP1817" s="18" t="inlineStr">
        <is>
          <t>water</t>
        </is>
      </c>
      <c r="AQ1817" s="18" t="inlineStr">
        <is>
          <t>{"biomes":["#cobblemon:has_block/mud"],"canSeeSky":false,"maxSkyLight":15,"minSkyLight":8}</t>
        </is>
      </c>
      <c r="AR1817" s="18" t="inlineStr"/>
      <c r="AS1817" s="18" t="inlineStr"/>
      <c r="AT1817" s="19" t="inlineStr"/>
    </row>
    <row r="1818" ht="32" customHeight="1">
      <c r="A1818" s="18" t="inlineStr">
        <is>
          <t>0535_tympole.json::tympole-paldean-29::029</t>
        </is>
      </c>
      <c r="B1818" s="19" t="inlineStr">
        <is>
          <t>사용</t>
        </is>
      </c>
      <c r="C1818" s="18">
        <f>IF(OR(B1818&lt;&gt;AK1818,M1818&lt;&gt;L1818,O1818&lt;&gt;"",Q1818&lt;&gt;"",V1818&lt;&gt;1,Y1818&lt;&gt;"",AT1818&lt;&gt;""),"수정","원본")</f>
        <v/>
      </c>
      <c r="D1818" s="18" t="n">
        <v>535</v>
      </c>
      <c r="E1818" s="18" t="inlineStr">
        <is>
          <t>동챙이</t>
        </is>
      </c>
      <c r="F1818" s="18" t="inlineStr">
        <is>
          <t>tympole</t>
        </is>
      </c>
      <c r="G1818" s="18" t="inlineStr">
        <is>
          <t>tympole paldean</t>
        </is>
      </c>
      <c r="H1818" s="18" t="inlineStr">
        <is>
          <t>paldean</t>
        </is>
      </c>
      <c r="I1818" s="18" t="n">
        <v>5</v>
      </c>
      <c r="J1818" s="18" t="n">
        <v>9</v>
      </c>
      <c r="K1818" s="18" t="n">
        <v>9</v>
      </c>
      <c r="L1818" s="18" t="inlineStr">
        <is>
          <t>cobbleventure:generation_9</t>
        </is>
      </c>
      <c r="M1818" s="19" t="inlineStr">
        <is>
          <t>cobbleventure:generation_9</t>
        </is>
      </c>
      <c r="N1818" s="18" t="inlineStr"/>
      <c r="O1818" s="19" t="inlineStr"/>
      <c r="P1818" s="18" t="inlineStr">
        <is>
          <t>#cobblemon:is_savanna</t>
        </is>
      </c>
      <c r="Q1818" s="19" t="inlineStr"/>
      <c r="R1818" s="18">
        <f>IF(Q1818="",P1818,Q1818)</f>
        <v/>
      </c>
      <c r="S1818" s="18" t="inlineStr"/>
      <c r="T1818" s="18" t="inlineStr">
        <is>
          <t>uncommon</t>
        </is>
      </c>
      <c r="U1818" s="20" t="n">
        <v>8.4</v>
      </c>
      <c r="V1818" s="21" t="n">
        <v>1</v>
      </c>
      <c r="W1818" s="20">
        <f>IF(OR(U1818="",V1818=""),U1818,U1818*V1818)</f>
        <v/>
      </c>
      <c r="X1818" s="18" t="inlineStr">
        <is>
          <t>1-21</t>
        </is>
      </c>
      <c r="Y1818" s="19" t="inlineStr"/>
      <c r="Z1818" s="18">
        <f>IF(Y1818="",X1818,Y1818)</f>
        <v/>
      </c>
      <c r="AA1818" s="18" t="inlineStr">
        <is>
          <t>submerged</t>
        </is>
      </c>
      <c r="AB1818" s="18" t="inlineStr"/>
      <c r="AC1818" s="18" t="inlineStr"/>
      <c r="AD1818" s="18" t="inlineStr"/>
      <c r="AE1818" s="18" t="inlineStr">
        <is>
          <t>sky 8-15</t>
        </is>
      </c>
      <c r="AF1818" s="18" t="inlineStr">
        <is>
          <t>False</t>
        </is>
      </c>
      <c r="AG1818" s="18" t="inlineStr"/>
      <c r="AH1818" s="18" t="inlineStr"/>
      <c r="AI1818" s="18" t="inlineStr"/>
      <c r="AJ1818" s="18" t="inlineStr">
        <is>
          <t>COBBLEVERSE 추가</t>
        </is>
      </c>
      <c r="AK1818" s="18" t="inlineStr">
        <is>
          <t>사용</t>
        </is>
      </c>
      <c r="AL1818" s="18" t="inlineStr">
        <is>
          <t>COBBLEVERSE 1.7.42 / DP v31</t>
        </is>
      </c>
      <c r="AM1818" s="18" t="inlineStr">
        <is>
          <t>data/cobblemon/spawn_pool_world/0535_tympole.json</t>
        </is>
      </c>
      <c r="AN1818" s="18" t="inlineStr">
        <is>
          <t>tympole-paldean-29</t>
        </is>
      </c>
      <c r="AO1818" s="18" t="inlineStr">
        <is>
          <t>pokemon</t>
        </is>
      </c>
      <c r="AP1818" s="18" t="inlineStr">
        <is>
          <t>water</t>
        </is>
      </c>
      <c r="AQ1818" s="18" t="inlineStr">
        <is>
          <t>{"biomes":["#cobblemon:is_savanna"],"canSeeSky":false,"maxSkyLight":15,"minSkyLight":8}</t>
        </is>
      </c>
      <c r="AR1818" s="18" t="inlineStr"/>
      <c r="AS1818" s="18" t="inlineStr"/>
      <c r="AT1818" s="19" t="inlineStr"/>
    </row>
    <row r="1819" ht="32" customHeight="1">
      <c r="A1819" s="18" t="inlineStr">
        <is>
          <t>0535_tympole.json::tympole-paldean-30::030</t>
        </is>
      </c>
      <c r="B1819" s="19" t="inlineStr">
        <is>
          <t>사용</t>
        </is>
      </c>
      <c r="C1819" s="18">
        <f>IF(OR(B1819&lt;&gt;AK1819,M1819&lt;&gt;L1819,O1819&lt;&gt;"",Q1819&lt;&gt;"",V1819&lt;&gt;1,Y1819&lt;&gt;"",AT1819&lt;&gt;""),"수정","원본")</f>
        <v/>
      </c>
      <c r="D1819" s="18" t="n">
        <v>535</v>
      </c>
      <c r="E1819" s="18" t="inlineStr">
        <is>
          <t>동챙이</t>
        </is>
      </c>
      <c r="F1819" s="18" t="inlineStr">
        <is>
          <t>tympole</t>
        </is>
      </c>
      <c r="G1819" s="18" t="inlineStr">
        <is>
          <t>tympole paldean</t>
        </is>
      </c>
      <c r="H1819" s="18" t="inlineStr">
        <is>
          <t>paldean</t>
        </is>
      </c>
      <c r="I1819" s="18" t="n">
        <v>5</v>
      </c>
      <c r="J1819" s="18" t="n">
        <v>9</v>
      </c>
      <c r="K1819" s="18" t="n">
        <v>9</v>
      </c>
      <c r="L1819" s="18" t="inlineStr">
        <is>
          <t>cobbleventure:generation_9</t>
        </is>
      </c>
      <c r="M1819" s="19" t="inlineStr">
        <is>
          <t>cobbleventure:generation_9</t>
        </is>
      </c>
      <c r="N1819" s="18" t="inlineStr"/>
      <c r="O1819" s="19" t="inlineStr"/>
      <c r="P1819" s="18" t="inlineStr">
        <is>
          <t>#cobblemon:has_block/mud</t>
        </is>
      </c>
      <c r="Q1819" s="19" t="inlineStr"/>
      <c r="R1819" s="18">
        <f>IF(Q1819="",P1819,Q1819)</f>
        <v/>
      </c>
      <c r="S1819" s="18" t="inlineStr"/>
      <c r="T1819" s="18" t="inlineStr">
        <is>
          <t>common</t>
        </is>
      </c>
      <c r="U1819" s="20" t="n">
        <v>9</v>
      </c>
      <c r="V1819" s="21" t="n">
        <v>1</v>
      </c>
      <c r="W1819" s="20">
        <f>IF(OR(U1819="",V1819=""),U1819,U1819*V1819)</f>
        <v/>
      </c>
      <c r="X1819" s="18" t="inlineStr">
        <is>
          <t>1-21</t>
        </is>
      </c>
      <c r="Y1819" s="19" t="inlineStr"/>
      <c r="Z1819" s="18">
        <f>IF(Y1819="",X1819,Y1819)</f>
        <v/>
      </c>
      <c r="AA1819" s="18" t="inlineStr">
        <is>
          <t>fishing</t>
        </is>
      </c>
      <c r="AB1819" s="18" t="inlineStr"/>
      <c r="AC1819" s="18" t="inlineStr"/>
      <c r="AD1819" s="18" t="inlineStr"/>
      <c r="AE1819" s="18" t="inlineStr">
        <is>
          <t>sky 8-15</t>
        </is>
      </c>
      <c r="AF1819" s="18" t="inlineStr">
        <is>
          <t>False</t>
        </is>
      </c>
      <c r="AG1819" s="18" t="inlineStr"/>
      <c r="AH1819" s="18" t="inlineStr"/>
      <c r="AI1819" s="18" t="inlineStr"/>
      <c r="AJ1819" s="18" t="inlineStr">
        <is>
          <t>COBBLEVERSE 추가</t>
        </is>
      </c>
      <c r="AK1819" s="18" t="inlineStr">
        <is>
          <t>사용</t>
        </is>
      </c>
      <c r="AL1819" s="18" t="inlineStr">
        <is>
          <t>COBBLEVERSE 1.7.42 / DP v31</t>
        </is>
      </c>
      <c r="AM1819" s="18" t="inlineStr">
        <is>
          <t>data/cobblemon/spawn_pool_world/0535_tympole.json</t>
        </is>
      </c>
      <c r="AN1819" s="18" t="inlineStr">
        <is>
          <t>tympole-paldean-30</t>
        </is>
      </c>
      <c r="AO1819" s="18" t="inlineStr">
        <is>
          <t>pokemon</t>
        </is>
      </c>
      <c r="AP1819" s="18" t="inlineStr"/>
      <c r="AQ1819" s="18" t="inlineStr">
        <is>
          <t>{"biomes":["#cobblemon:has_block/mud"],"canSeeSky":false,"maxSkyLight":15,"minSkyLight":8}</t>
        </is>
      </c>
      <c r="AR1819" s="18" t="inlineStr"/>
      <c r="AS1819" s="18" t="inlineStr"/>
      <c r="AT1819" s="19" t="inlineStr"/>
    </row>
    <row r="1820" ht="32" customHeight="1">
      <c r="A1820" s="18" t="inlineStr">
        <is>
          <t>0535_tympole.json::tympole-paldean-31::031</t>
        </is>
      </c>
      <c r="B1820" s="19" t="inlineStr">
        <is>
          <t>사용</t>
        </is>
      </c>
      <c r="C1820" s="18">
        <f>IF(OR(B1820&lt;&gt;AK1820,M1820&lt;&gt;L1820,O1820&lt;&gt;"",Q1820&lt;&gt;"",V1820&lt;&gt;1,Y1820&lt;&gt;"",AT1820&lt;&gt;""),"수정","원본")</f>
        <v/>
      </c>
      <c r="D1820" s="18" t="n">
        <v>535</v>
      </c>
      <c r="E1820" s="18" t="inlineStr">
        <is>
          <t>동챙이</t>
        </is>
      </c>
      <c r="F1820" s="18" t="inlineStr">
        <is>
          <t>tympole</t>
        </is>
      </c>
      <c r="G1820" s="18" t="inlineStr">
        <is>
          <t>tympole paldean</t>
        </is>
      </c>
      <c r="H1820" s="18" t="inlineStr">
        <is>
          <t>paldean</t>
        </is>
      </c>
      <c r="I1820" s="18" t="n">
        <v>5</v>
      </c>
      <c r="J1820" s="18" t="n">
        <v>9</v>
      </c>
      <c r="K1820" s="18" t="n">
        <v>9</v>
      </c>
      <c r="L1820" s="18" t="inlineStr">
        <is>
          <t>cobbleventure:generation_9</t>
        </is>
      </c>
      <c r="M1820" s="19" t="inlineStr">
        <is>
          <t>cobbleventure:generation_9</t>
        </is>
      </c>
      <c r="N1820" s="18" t="inlineStr">
        <is>
          <t>region_02</t>
        </is>
      </c>
      <c r="O1820" s="19" t="inlineStr"/>
      <c r="P1820" s="18" t="inlineStr">
        <is>
          <t>#cobblemon:is_arid</t>
        </is>
      </c>
      <c r="Q1820" s="19" t="inlineStr"/>
      <c r="R1820" s="18">
        <f>IF(Q1820="",P1820,Q1820)</f>
        <v/>
      </c>
      <c r="S1820" s="18" t="inlineStr"/>
      <c r="T1820" s="18" t="inlineStr">
        <is>
          <t>uncommon</t>
        </is>
      </c>
      <c r="U1820" s="20" t="n">
        <v>8.4</v>
      </c>
      <c r="V1820" s="21" t="n">
        <v>1</v>
      </c>
      <c r="W1820" s="20">
        <f>IF(OR(U1820="",V1820=""),U1820,U1820*V1820)</f>
        <v/>
      </c>
      <c r="X1820" s="18" t="inlineStr">
        <is>
          <t>1-21</t>
        </is>
      </c>
      <c r="Y1820" s="19" t="inlineStr"/>
      <c r="Z1820" s="18">
        <f>IF(Y1820="",X1820,Y1820)</f>
        <v/>
      </c>
      <c r="AA1820" s="18" t="inlineStr">
        <is>
          <t>fishing</t>
        </is>
      </c>
      <c r="AB1820" s="18" t="inlineStr"/>
      <c r="AC1820" s="18" t="inlineStr"/>
      <c r="AD1820" s="18" t="inlineStr"/>
      <c r="AE1820" s="18" t="inlineStr">
        <is>
          <t>sky 8-15</t>
        </is>
      </c>
      <c r="AF1820" s="18" t="inlineStr">
        <is>
          <t>False</t>
        </is>
      </c>
      <c r="AG1820" s="18" t="inlineStr"/>
      <c r="AH1820" s="18" t="inlineStr"/>
      <c r="AI1820" s="18" t="inlineStr"/>
      <c r="AJ1820" s="18" t="inlineStr">
        <is>
          <t>COBBLEVERSE 추가</t>
        </is>
      </c>
      <c r="AK1820" s="18" t="inlineStr">
        <is>
          <t>사용</t>
        </is>
      </c>
      <c r="AL1820" s="18" t="inlineStr">
        <is>
          <t>COBBLEVERSE 1.7.42 / DP v31</t>
        </is>
      </c>
      <c r="AM1820" s="18" t="inlineStr">
        <is>
          <t>data/cobblemon/spawn_pool_world/0535_tympole.json</t>
        </is>
      </c>
      <c r="AN1820" s="18" t="inlineStr">
        <is>
          <t>tympole-paldean-31</t>
        </is>
      </c>
      <c r="AO1820" s="18" t="inlineStr">
        <is>
          <t>pokemon</t>
        </is>
      </c>
      <c r="AP1820" s="18" t="inlineStr"/>
      <c r="AQ1820" s="18" t="inlineStr">
        <is>
          <t>{"biomes":["#cobblemon:is_arid"],"canSeeSky":false,"maxSkyLight":15,"minSkyLight":8}</t>
        </is>
      </c>
      <c r="AR1820" s="18" t="inlineStr">
        <is>
          <t>{"minLureLevel":1}</t>
        </is>
      </c>
      <c r="AS1820" s="18" t="inlineStr"/>
      <c r="AT1820" s="19" t="inlineStr"/>
    </row>
    <row r="1821" ht="32" customHeight="1">
      <c r="A1821" s="18" t="inlineStr">
        <is>
          <t>0535_tympole.json::tympole-paldean-32::032</t>
        </is>
      </c>
      <c r="B1821" s="19" t="inlineStr">
        <is>
          <t>사용</t>
        </is>
      </c>
      <c r="C1821" s="18">
        <f>IF(OR(B1821&lt;&gt;AK1821,M1821&lt;&gt;L1821,O1821&lt;&gt;"",Q1821&lt;&gt;"",V1821&lt;&gt;1,Y1821&lt;&gt;"",AT1821&lt;&gt;""),"수정","원본")</f>
        <v/>
      </c>
      <c r="D1821" s="18" t="n">
        <v>535</v>
      </c>
      <c r="E1821" s="18" t="inlineStr">
        <is>
          <t>동챙이</t>
        </is>
      </c>
      <c r="F1821" s="18" t="inlineStr">
        <is>
          <t>tympole</t>
        </is>
      </c>
      <c r="G1821" s="18" t="inlineStr">
        <is>
          <t>tympole paldean</t>
        </is>
      </c>
      <c r="H1821" s="18" t="inlineStr">
        <is>
          <t>paldean</t>
        </is>
      </c>
      <c r="I1821" s="18" t="n">
        <v>5</v>
      </c>
      <c r="J1821" s="18" t="n">
        <v>9</v>
      </c>
      <c r="K1821" s="18" t="n">
        <v>9</v>
      </c>
      <c r="L1821" s="18" t="inlineStr">
        <is>
          <t>cobbleventure:generation_9</t>
        </is>
      </c>
      <c r="M1821" s="19" t="inlineStr">
        <is>
          <t>cobbleventure:generation_9</t>
        </is>
      </c>
      <c r="N1821" s="18" t="inlineStr">
        <is>
          <t>region_02</t>
        </is>
      </c>
      <c r="O1821" s="19" t="inlineStr"/>
      <c r="P1821" s="18" t="inlineStr">
        <is>
          <t>#cobblemon:is_arid</t>
        </is>
      </c>
      <c r="Q1821" s="19" t="inlineStr"/>
      <c r="R1821" s="18">
        <f>IF(Q1821="",P1821,Q1821)</f>
        <v/>
      </c>
      <c r="S1821" s="18" t="inlineStr"/>
      <c r="T1821" s="18" t="inlineStr">
        <is>
          <t>common</t>
        </is>
      </c>
      <c r="U1821" s="20" t="n">
        <v>9</v>
      </c>
      <c r="V1821" s="21" t="n">
        <v>1</v>
      </c>
      <c r="W1821" s="20">
        <f>IF(OR(U1821="",V1821=""),U1821,U1821*V1821)</f>
        <v/>
      </c>
      <c r="X1821" s="18" t="inlineStr">
        <is>
          <t>1-21</t>
        </is>
      </c>
      <c r="Y1821" s="19" t="inlineStr"/>
      <c r="Z1821" s="18">
        <f>IF(Y1821="",X1821,Y1821)</f>
        <v/>
      </c>
      <c r="AA1821" s="18" t="inlineStr">
        <is>
          <t>fishing</t>
        </is>
      </c>
      <c r="AB1821" s="18" t="inlineStr"/>
      <c r="AC1821" s="18" t="inlineStr"/>
      <c r="AD1821" s="18" t="inlineStr"/>
      <c r="AE1821" s="18" t="inlineStr">
        <is>
          <t>sky 8-15</t>
        </is>
      </c>
      <c r="AF1821" s="18" t="inlineStr">
        <is>
          <t>False</t>
        </is>
      </c>
      <c r="AG1821" s="18" t="inlineStr"/>
      <c r="AH1821" s="18" t="inlineStr"/>
      <c r="AI1821" s="18" t="inlineStr">
        <is>
          <t>{"fishing":{"minLureLevel":1}}</t>
        </is>
      </c>
      <c r="AJ1821" s="18" t="inlineStr">
        <is>
          <t>COBBLEVERSE 추가</t>
        </is>
      </c>
      <c r="AK1821" s="18" t="inlineStr">
        <is>
          <t>사용</t>
        </is>
      </c>
      <c r="AL1821" s="18" t="inlineStr">
        <is>
          <t>COBBLEVERSE 1.7.42 / DP v31</t>
        </is>
      </c>
      <c r="AM1821" s="18" t="inlineStr">
        <is>
          <t>data/cobblemon/spawn_pool_world/0535_tympole.json</t>
        </is>
      </c>
      <c r="AN1821" s="18" t="inlineStr">
        <is>
          <t>tympole-paldean-32</t>
        </is>
      </c>
      <c r="AO1821" s="18" t="inlineStr">
        <is>
          <t>pokemon</t>
        </is>
      </c>
      <c r="AP1821" s="18" t="inlineStr"/>
      <c r="AQ1821" s="18" t="inlineStr">
        <is>
          <t>{"biomes":["#cobblemon:is_arid"],"canSeeSky":false,"maxSkyLight":15,"minLureLevel":1,"minSkyLight":8}</t>
        </is>
      </c>
      <c r="AR1821" s="18" t="inlineStr"/>
      <c r="AS1821" s="18" t="inlineStr">
        <is>
          <t>{"weightMultiplier":{"condition":{"maxLureLevel":2,"minLureLevel":1},"multiplier":0.6}}</t>
        </is>
      </c>
      <c r="AT1821" s="19" t="inlineStr"/>
    </row>
    <row r="1822" ht="32" customHeight="1">
      <c r="A1822" s="18" t="inlineStr">
        <is>
          <t>0536_palpitoad.json::palpitoad-1::001</t>
        </is>
      </c>
      <c r="B1822" s="19" t="inlineStr">
        <is>
          <t>사용</t>
        </is>
      </c>
      <c r="C1822" s="18">
        <f>IF(OR(B1822&lt;&gt;AK1822,M1822&lt;&gt;L1822,O1822&lt;&gt;"",Q1822&lt;&gt;"",V1822&lt;&gt;1,Y1822&lt;&gt;"",AT1822&lt;&gt;""),"수정","원본")</f>
        <v/>
      </c>
      <c r="D1822" s="18" t="n">
        <v>536</v>
      </c>
      <c r="E1822" s="18" t="inlineStr">
        <is>
          <t>두까비</t>
        </is>
      </c>
      <c r="F1822" s="18" t="inlineStr">
        <is>
          <t>palpitoad</t>
        </is>
      </c>
      <c r="G1822" s="18" t="inlineStr">
        <is>
          <t>palpitoad</t>
        </is>
      </c>
      <c r="H1822" s="18" t="inlineStr"/>
      <c r="I1822" s="18" t="n">
        <v>5</v>
      </c>
      <c r="J1822" s="18" t="n"/>
      <c r="K1822" s="18" t="n">
        <v>5</v>
      </c>
      <c r="L1822" s="18" t="inlineStr">
        <is>
          <t>cobbleventure:generation_5</t>
        </is>
      </c>
      <c r="M1822" s="19" t="inlineStr">
        <is>
          <t>cobbleventure:generation_5</t>
        </is>
      </c>
      <c r="N1822" s="18" t="inlineStr"/>
      <c r="O1822" s="19" t="inlineStr"/>
      <c r="P1822" s="18" t="inlineStr">
        <is>
          <t>#cobblemon:is_lush</t>
        </is>
      </c>
      <c r="Q1822" s="19" t="inlineStr"/>
      <c r="R1822" s="18">
        <f>IF(Q1822="",P1822,Q1822)</f>
        <v/>
      </c>
      <c r="S1822" s="18" t="inlineStr"/>
      <c r="T1822" s="18" t="inlineStr">
        <is>
          <t>common</t>
        </is>
      </c>
      <c r="U1822" s="20" t="n">
        <v>1</v>
      </c>
      <c r="V1822" s="21" t="n">
        <v>1</v>
      </c>
      <c r="W1822" s="20">
        <f>IF(OR(U1822="",V1822=""),U1822,U1822*V1822)</f>
        <v/>
      </c>
      <c r="X1822" s="18" t="inlineStr">
        <is>
          <t>20-43</t>
        </is>
      </c>
      <c r="Y1822" s="19" t="inlineStr"/>
      <c r="Z1822" s="18">
        <f>IF(Y1822="",X1822,Y1822)</f>
        <v/>
      </c>
      <c r="AA1822" s="18" t="inlineStr">
        <is>
          <t>grounded</t>
        </is>
      </c>
      <c r="AB1822" s="18" t="inlineStr"/>
      <c r="AC1822" s="18" t="inlineStr"/>
      <c r="AD1822" s="18" t="inlineStr"/>
      <c r="AE1822" s="18" t="inlineStr">
        <is>
          <t>sky 0-7</t>
        </is>
      </c>
      <c r="AF1822" s="18" t="inlineStr"/>
      <c r="AG1822" s="18" t="inlineStr"/>
      <c r="AH1822" s="18" t="inlineStr"/>
      <c r="AI1822" s="18" t="inlineStr"/>
      <c r="AJ1822" s="18" t="inlineStr">
        <is>
          <t>COBBLEVERSE 추가</t>
        </is>
      </c>
      <c r="AK1822" s="18" t="inlineStr">
        <is>
          <t>사용</t>
        </is>
      </c>
      <c r="AL1822" s="18" t="inlineStr">
        <is>
          <t>COBBLEVERSE 1.7.42 / DP v31</t>
        </is>
      </c>
      <c r="AM1822" s="18" t="inlineStr">
        <is>
          <t>data/cobblemon/spawn_pool_world/0536_palpitoad.json</t>
        </is>
      </c>
      <c r="AN1822" s="18" t="inlineStr">
        <is>
          <t>palpitoad-1</t>
        </is>
      </c>
      <c r="AO1822" s="18" t="inlineStr">
        <is>
          <t>pokemon</t>
        </is>
      </c>
      <c r="AP1822" s="18" t="inlineStr">
        <is>
          <t>natural</t>
        </is>
      </c>
      <c r="AQ1822" s="18" t="inlineStr">
        <is>
          <t>{"biomes":["#cobblemon:is_lush"],"maxSkyLight":7,"minSkyLight":0}</t>
        </is>
      </c>
      <c r="AR1822" s="18" t="inlineStr">
        <is>
          <t>{"maxY":9,"minY":-41,"structures":["cobblemon:shipwreck_coves/lush_shipwreck_cove"]}</t>
        </is>
      </c>
      <c r="AS1822" s="18" t="inlineStr"/>
      <c r="AT1822" s="19" t="inlineStr"/>
    </row>
    <row r="1823" ht="32" customHeight="1">
      <c r="A1823" s="18" t="inlineStr">
        <is>
          <t>0536_palpitoad.json::palpitoad-2::002</t>
        </is>
      </c>
      <c r="B1823" s="19" t="inlineStr">
        <is>
          <t>사용</t>
        </is>
      </c>
      <c r="C1823" s="18">
        <f>IF(OR(B1823&lt;&gt;AK1823,M1823&lt;&gt;L1823,O1823&lt;&gt;"",Q1823&lt;&gt;"",V1823&lt;&gt;1,Y1823&lt;&gt;"",AT1823&lt;&gt;""),"수정","원본")</f>
        <v/>
      </c>
      <c r="D1823" s="18" t="n">
        <v>536</v>
      </c>
      <c r="E1823" s="18" t="inlineStr">
        <is>
          <t>두까비</t>
        </is>
      </c>
      <c r="F1823" s="18" t="inlineStr">
        <is>
          <t>palpitoad</t>
        </is>
      </c>
      <c r="G1823" s="18" t="inlineStr">
        <is>
          <t>palpitoad</t>
        </is>
      </c>
      <c r="H1823" s="18" t="inlineStr"/>
      <c r="I1823" s="18" t="n">
        <v>5</v>
      </c>
      <c r="J1823" s="18" t="n"/>
      <c r="K1823" s="18" t="n">
        <v>5</v>
      </c>
      <c r="L1823" s="18" t="inlineStr">
        <is>
          <t>cobbleventure:generation_5</t>
        </is>
      </c>
      <c r="M1823" s="19" t="inlineStr">
        <is>
          <t>cobbleventure:generation_5</t>
        </is>
      </c>
      <c r="N1823" s="18" t="inlineStr"/>
      <c r="O1823" s="19" t="inlineStr"/>
      <c r="P1823" s="18" t="inlineStr">
        <is>
          <t>#cobblemon:is_lush</t>
        </is>
      </c>
      <c r="Q1823" s="19" t="inlineStr"/>
      <c r="R1823" s="18">
        <f>IF(Q1823="",P1823,Q1823)</f>
        <v/>
      </c>
      <c r="S1823" s="18" t="inlineStr"/>
      <c r="T1823" s="18" t="inlineStr">
        <is>
          <t>common</t>
        </is>
      </c>
      <c r="U1823" s="20" t="n">
        <v>1</v>
      </c>
      <c r="V1823" s="21" t="n">
        <v>1</v>
      </c>
      <c r="W1823" s="20">
        <f>IF(OR(U1823="",V1823=""),U1823,U1823*V1823)</f>
        <v/>
      </c>
      <c r="X1823" s="18" t="inlineStr">
        <is>
          <t>20-43</t>
        </is>
      </c>
      <c r="Y1823" s="19" t="inlineStr"/>
      <c r="Z1823" s="18">
        <f>IF(Y1823="",X1823,Y1823)</f>
        <v/>
      </c>
      <c r="AA1823" s="18" t="inlineStr">
        <is>
          <t>submerged</t>
        </is>
      </c>
      <c r="AB1823" s="18" t="inlineStr"/>
      <c r="AC1823" s="18" t="inlineStr"/>
      <c r="AD1823" s="18" t="inlineStr"/>
      <c r="AE1823" s="18" t="inlineStr">
        <is>
          <t>sky 0-7</t>
        </is>
      </c>
      <c r="AF1823" s="18" t="inlineStr"/>
      <c r="AG1823" s="18" t="inlineStr"/>
      <c r="AH1823" s="18" t="inlineStr"/>
      <c r="AI1823" s="18" t="inlineStr"/>
      <c r="AJ1823" s="18" t="inlineStr">
        <is>
          <t>COBBLEVERSE 추가</t>
        </is>
      </c>
      <c r="AK1823" s="18" t="inlineStr">
        <is>
          <t>사용</t>
        </is>
      </c>
      <c r="AL1823" s="18" t="inlineStr">
        <is>
          <t>COBBLEVERSE 1.7.42 / DP v31</t>
        </is>
      </c>
      <c r="AM1823" s="18" t="inlineStr">
        <is>
          <t>data/cobblemon/spawn_pool_world/0536_palpitoad.json</t>
        </is>
      </c>
      <c r="AN1823" s="18" t="inlineStr">
        <is>
          <t>palpitoad-2</t>
        </is>
      </c>
      <c r="AO1823" s="18" t="inlineStr">
        <is>
          <t>pokemon</t>
        </is>
      </c>
      <c r="AP1823" s="18" t="inlineStr">
        <is>
          <t>water</t>
        </is>
      </c>
      <c r="AQ1823" s="18" t="inlineStr">
        <is>
          <t>{"biomes":["#cobblemon:is_lush"],"maxSkyLight":7,"minSkyLight":0}</t>
        </is>
      </c>
      <c r="AR1823" s="18" t="inlineStr">
        <is>
          <t>{"maxY":9,"minY":-41,"structures":["cobblemon:shipwreck_coves/lush_shipwreck_cove"]}</t>
        </is>
      </c>
      <c r="AS1823" s="18" t="inlineStr"/>
      <c r="AT1823" s="19" t="inlineStr"/>
    </row>
    <row r="1824" ht="32" customHeight="1">
      <c r="A1824" s="18" t="inlineStr">
        <is>
          <t>0536_palpitoad.json::palpitoad-3::003</t>
        </is>
      </c>
      <c r="B1824" s="19" t="inlineStr">
        <is>
          <t>사용</t>
        </is>
      </c>
      <c r="C1824" s="18">
        <f>IF(OR(B1824&lt;&gt;AK1824,M1824&lt;&gt;L1824,O1824&lt;&gt;"",Q1824&lt;&gt;"",V1824&lt;&gt;1,Y1824&lt;&gt;"",AT1824&lt;&gt;""),"수정","원본")</f>
        <v/>
      </c>
      <c r="D1824" s="18" t="n">
        <v>536</v>
      </c>
      <c r="E1824" s="18" t="inlineStr">
        <is>
          <t>두까비</t>
        </is>
      </c>
      <c r="F1824" s="18" t="inlineStr">
        <is>
          <t>palpitoad</t>
        </is>
      </c>
      <c r="G1824" s="18" t="inlineStr">
        <is>
          <t>palpitoad</t>
        </is>
      </c>
      <c r="H1824" s="18" t="inlineStr"/>
      <c r="I1824" s="18" t="n">
        <v>5</v>
      </c>
      <c r="J1824" s="18" t="n"/>
      <c r="K1824" s="18" t="n">
        <v>5</v>
      </c>
      <c r="L1824" s="18" t="inlineStr">
        <is>
          <t>cobbleventure:generation_5</t>
        </is>
      </c>
      <c r="M1824" s="19" t="inlineStr">
        <is>
          <t>cobbleventure:generation_5</t>
        </is>
      </c>
      <c r="N1824" s="18" t="inlineStr">
        <is>
          <t>region_01; region_02</t>
        </is>
      </c>
      <c r="O1824" s="19" t="inlineStr"/>
      <c r="P1824" s="18" t="inlineStr">
        <is>
          <t>#cobblemon:is_overworld</t>
        </is>
      </c>
      <c r="Q1824" s="19" t="inlineStr"/>
      <c r="R1824" s="18">
        <f>IF(Q1824="",P1824,Q1824)</f>
        <v/>
      </c>
      <c r="S1824" s="18" t="inlineStr">
        <is>
          <t>#cobblemon:is_lush</t>
        </is>
      </c>
      <c r="T1824" s="18" t="inlineStr">
        <is>
          <t>uncommon</t>
        </is>
      </c>
      <c r="U1824" s="20" t="n">
        <v>1.6</v>
      </c>
      <c r="V1824" s="21" t="n">
        <v>1</v>
      </c>
      <c r="W1824" s="20">
        <f>IF(OR(U1824="",V1824=""),U1824,U1824*V1824)</f>
        <v/>
      </c>
      <c r="X1824" s="18" t="inlineStr">
        <is>
          <t>20-43</t>
        </is>
      </c>
      <c r="Y1824" s="19" t="inlineStr"/>
      <c r="Z1824" s="18">
        <f>IF(Y1824="",X1824,Y1824)</f>
        <v/>
      </c>
      <c r="AA1824" s="18" t="inlineStr">
        <is>
          <t>grounded</t>
        </is>
      </c>
      <c r="AB1824" s="18" t="inlineStr"/>
      <c r="AC1824" s="18" t="inlineStr"/>
      <c r="AD1824" s="18" t="inlineStr">
        <is>
          <t>maxY=62</t>
        </is>
      </c>
      <c r="AE1824" s="18" t="inlineStr">
        <is>
          <t>sky 0-7</t>
        </is>
      </c>
      <c r="AF1824" s="18" t="inlineStr"/>
      <c r="AG1824" s="18" t="inlineStr"/>
      <c r="AH1824" s="18" t="inlineStr">
        <is>
          <t>주변=#minecraft:water</t>
        </is>
      </c>
      <c r="AI1824" s="18" t="inlineStr"/>
      <c r="AJ1824" s="18" t="inlineStr">
        <is>
          <t>COBBLEVERSE 추가</t>
        </is>
      </c>
      <c r="AK1824" s="18" t="inlineStr">
        <is>
          <t>사용</t>
        </is>
      </c>
      <c r="AL1824" s="18" t="inlineStr">
        <is>
          <t>COBBLEVERSE 1.7.42 / DP v31</t>
        </is>
      </c>
      <c r="AM1824" s="18" t="inlineStr">
        <is>
          <t>data/cobblemon/spawn_pool_world/0536_palpitoad.json</t>
        </is>
      </c>
      <c r="AN1824" s="18" t="inlineStr">
        <is>
          <t>palpitoad-3</t>
        </is>
      </c>
      <c r="AO1824" s="18" t="inlineStr">
        <is>
          <t>pokemon</t>
        </is>
      </c>
      <c r="AP1824" s="18" t="inlineStr">
        <is>
          <t>natural</t>
        </is>
      </c>
      <c r="AQ1824" s="18" t="inlineStr">
        <is>
          <t>{"biomes":["#cobblemon:is_overworld"],"maxSkyLight":7,"maxY":62,"minSkyLight":0,"neededNearbyBlocks":["#minecraft:water"]}</t>
        </is>
      </c>
      <c r="AR1824" s="18" t="inlineStr">
        <is>
          <t>{"biomes":["#cobblemon:is_lush"]}</t>
        </is>
      </c>
      <c r="AS1824" s="18" t="inlineStr"/>
      <c r="AT1824" s="19" t="inlineStr"/>
    </row>
    <row r="1825" ht="32" customHeight="1">
      <c r="A1825" s="18" t="inlineStr">
        <is>
          <t>0536_palpitoad.json::palpitoad-4::004</t>
        </is>
      </c>
      <c r="B1825" s="19" t="inlineStr">
        <is>
          <t>사용</t>
        </is>
      </c>
      <c r="C1825" s="18">
        <f>IF(OR(B1825&lt;&gt;AK1825,M1825&lt;&gt;L1825,O1825&lt;&gt;"",Q1825&lt;&gt;"",V1825&lt;&gt;1,Y1825&lt;&gt;"",AT1825&lt;&gt;""),"수정","원본")</f>
        <v/>
      </c>
      <c r="D1825" s="18" t="n">
        <v>536</v>
      </c>
      <c r="E1825" s="18" t="inlineStr">
        <is>
          <t>두까비</t>
        </is>
      </c>
      <c r="F1825" s="18" t="inlineStr">
        <is>
          <t>palpitoad</t>
        </is>
      </c>
      <c r="G1825" s="18" t="inlineStr">
        <is>
          <t>palpitoad</t>
        </is>
      </c>
      <c r="H1825" s="18" t="inlineStr"/>
      <c r="I1825" s="18" t="n">
        <v>5</v>
      </c>
      <c r="J1825" s="18" t="n"/>
      <c r="K1825" s="18" t="n">
        <v>5</v>
      </c>
      <c r="L1825" s="18" t="inlineStr">
        <is>
          <t>cobbleventure:generation_5</t>
        </is>
      </c>
      <c r="M1825" s="19" t="inlineStr">
        <is>
          <t>cobbleventure:generation_5</t>
        </is>
      </c>
      <c r="N1825" s="18" t="inlineStr">
        <is>
          <t>region_01; region_02</t>
        </is>
      </c>
      <c r="O1825" s="19" t="inlineStr"/>
      <c r="P1825" s="18" t="inlineStr">
        <is>
          <t>#cobblemon:is_overworld</t>
        </is>
      </c>
      <c r="Q1825" s="19" t="inlineStr"/>
      <c r="R1825" s="18">
        <f>IF(Q1825="",P1825,Q1825)</f>
        <v/>
      </c>
      <c r="S1825" s="18" t="inlineStr">
        <is>
          <t>#cobblemon:is_lush</t>
        </is>
      </c>
      <c r="T1825" s="18" t="inlineStr">
        <is>
          <t>uncommon</t>
        </is>
      </c>
      <c r="U1825" s="20" t="n">
        <v>1.6</v>
      </c>
      <c r="V1825" s="21" t="n">
        <v>1</v>
      </c>
      <c r="W1825" s="20">
        <f>IF(OR(U1825="",V1825=""),U1825,U1825*V1825)</f>
        <v/>
      </c>
      <c r="X1825" s="18" t="inlineStr">
        <is>
          <t>20-43</t>
        </is>
      </c>
      <c r="Y1825" s="19" t="inlineStr"/>
      <c r="Z1825" s="18">
        <f>IF(Y1825="",X1825,Y1825)</f>
        <v/>
      </c>
      <c r="AA1825" s="18" t="inlineStr">
        <is>
          <t>submerged</t>
        </is>
      </c>
      <c r="AB1825" s="18" t="inlineStr"/>
      <c r="AC1825" s="18" t="inlineStr"/>
      <c r="AD1825" s="18" t="inlineStr">
        <is>
          <t>maxY=62</t>
        </is>
      </c>
      <c r="AE1825" s="18" t="inlineStr">
        <is>
          <t>sky 0-7</t>
        </is>
      </c>
      <c r="AF1825" s="18" t="inlineStr"/>
      <c r="AG1825" s="18" t="inlineStr"/>
      <c r="AH1825" s="18" t="inlineStr"/>
      <c r="AI1825" s="18" t="inlineStr"/>
      <c r="AJ1825" s="18" t="inlineStr">
        <is>
          <t>COBBLEVERSE 추가</t>
        </is>
      </c>
      <c r="AK1825" s="18" t="inlineStr">
        <is>
          <t>사용</t>
        </is>
      </c>
      <c r="AL1825" s="18" t="inlineStr">
        <is>
          <t>COBBLEVERSE 1.7.42 / DP v31</t>
        </is>
      </c>
      <c r="AM1825" s="18" t="inlineStr">
        <is>
          <t>data/cobblemon/spawn_pool_world/0536_palpitoad.json</t>
        </is>
      </c>
      <c r="AN1825" s="18" t="inlineStr">
        <is>
          <t>palpitoad-4</t>
        </is>
      </c>
      <c r="AO1825" s="18" t="inlineStr">
        <is>
          <t>pokemon</t>
        </is>
      </c>
      <c r="AP1825" s="18" t="inlineStr">
        <is>
          <t>water</t>
        </is>
      </c>
      <c r="AQ1825" s="18" t="inlineStr">
        <is>
          <t>{"biomes":["#cobblemon:is_overworld"],"maxSkyLight":7,"maxY":62,"minSkyLight":0}</t>
        </is>
      </c>
      <c r="AR1825" s="18" t="inlineStr">
        <is>
          <t>{"biomes":["#cobblemon:is_lush"]}</t>
        </is>
      </c>
      <c r="AS1825" s="18" t="inlineStr"/>
      <c r="AT1825" s="19" t="inlineStr"/>
    </row>
    <row r="1826" ht="32" customHeight="1">
      <c r="A1826" s="18" t="inlineStr">
        <is>
          <t>0536_palpitoad.json::palpitoad-5::005</t>
        </is>
      </c>
      <c r="B1826" s="19" t="inlineStr">
        <is>
          <t>사용</t>
        </is>
      </c>
      <c r="C1826" s="18">
        <f>IF(OR(B1826&lt;&gt;AK1826,M1826&lt;&gt;L1826,O1826&lt;&gt;"",Q1826&lt;&gt;"",V1826&lt;&gt;1,Y1826&lt;&gt;"",AT1826&lt;&gt;""),"수정","원본")</f>
        <v/>
      </c>
      <c r="D1826" s="18" t="n">
        <v>536</v>
      </c>
      <c r="E1826" s="18" t="inlineStr">
        <is>
          <t>두까비</t>
        </is>
      </c>
      <c r="F1826" s="18" t="inlineStr">
        <is>
          <t>palpitoad</t>
        </is>
      </c>
      <c r="G1826" s="18" t="inlineStr">
        <is>
          <t>palpitoad</t>
        </is>
      </c>
      <c r="H1826" s="18" t="inlineStr"/>
      <c r="I1826" s="18" t="n">
        <v>5</v>
      </c>
      <c r="J1826" s="18" t="n"/>
      <c r="K1826" s="18" t="n">
        <v>5</v>
      </c>
      <c r="L1826" s="18" t="inlineStr">
        <is>
          <t>cobbleventure:generation_5</t>
        </is>
      </c>
      <c r="M1826" s="19" t="inlineStr">
        <is>
          <t>cobbleventure:generation_5</t>
        </is>
      </c>
      <c r="N1826" s="18" t="inlineStr">
        <is>
          <t>region_02</t>
        </is>
      </c>
      <c r="O1826" s="19" t="inlineStr"/>
      <c r="P1826" s="18" t="inlineStr">
        <is>
          <t>#cobblemon:is_swamp</t>
        </is>
      </c>
      <c r="Q1826" s="19" t="inlineStr"/>
      <c r="R1826" s="18">
        <f>IF(Q1826="",P1826,Q1826)</f>
        <v/>
      </c>
      <c r="S1826" s="18" t="inlineStr">
        <is>
          <t>#cobblemon:has_block/mud</t>
        </is>
      </c>
      <c r="T1826" s="18" t="inlineStr">
        <is>
          <t>common</t>
        </is>
      </c>
      <c r="U1826" s="20" t="n">
        <v>0.2</v>
      </c>
      <c r="V1826" s="21" t="n">
        <v>1</v>
      </c>
      <c r="W1826" s="20">
        <f>IF(OR(U1826="",V1826=""),U1826,U1826*V1826)</f>
        <v/>
      </c>
      <c r="X1826" s="18" t="inlineStr">
        <is>
          <t>20-43</t>
        </is>
      </c>
      <c r="Y1826" s="19" t="inlineStr"/>
      <c r="Z1826" s="18">
        <f>IF(Y1826="",X1826,Y1826)</f>
        <v/>
      </c>
      <c r="AA1826" s="18" t="inlineStr">
        <is>
          <t>grounded</t>
        </is>
      </c>
      <c r="AB1826" s="18" t="inlineStr"/>
      <c r="AC1826" s="18" t="inlineStr">
        <is>
          <t>비=True</t>
        </is>
      </c>
      <c r="AD1826" s="18" t="inlineStr"/>
      <c r="AE1826" s="18" t="inlineStr">
        <is>
          <t>sky 8-15</t>
        </is>
      </c>
      <c r="AF1826" s="18" t="inlineStr"/>
      <c r="AG1826" s="18" t="inlineStr"/>
      <c r="AH1826" s="18" t="inlineStr"/>
      <c r="AI1826" s="18" t="inlineStr"/>
      <c r="AJ1826" s="18" t="inlineStr">
        <is>
          <t>COBBLEVERSE 추가</t>
        </is>
      </c>
      <c r="AK1826" s="18" t="inlineStr">
        <is>
          <t>사용</t>
        </is>
      </c>
      <c r="AL1826" s="18" t="inlineStr">
        <is>
          <t>COBBLEVERSE 1.7.42 / DP v31</t>
        </is>
      </c>
      <c r="AM1826" s="18" t="inlineStr">
        <is>
          <t>data/cobblemon/spawn_pool_world/0536_palpitoad.json</t>
        </is>
      </c>
      <c r="AN1826" s="18" t="inlineStr">
        <is>
          <t>palpitoad-5</t>
        </is>
      </c>
      <c r="AO1826" s="18" t="inlineStr">
        <is>
          <t>pokemon</t>
        </is>
      </c>
      <c r="AP1826" s="18" t="inlineStr">
        <is>
          <t>natural</t>
        </is>
      </c>
      <c r="AQ1826" s="18" t="inlineStr">
        <is>
          <t>{"biomes":["#cobblemon:is_swamp"],"isRaining":true,"maxSkyLight":15,"minSkyLight":8}</t>
        </is>
      </c>
      <c r="AR1826" s="18" t="inlineStr">
        <is>
          <t>{"biomes":["#cobblemon:has_block/mud"]}</t>
        </is>
      </c>
      <c r="AS1826" s="18" t="inlineStr"/>
      <c r="AT1826" s="19" t="inlineStr"/>
    </row>
    <row r="1827" ht="32" customHeight="1">
      <c r="A1827" s="18" t="inlineStr">
        <is>
          <t>0536_palpitoad.json::palpitoad-6::006</t>
        </is>
      </c>
      <c r="B1827" s="19" t="inlineStr">
        <is>
          <t>사용</t>
        </is>
      </c>
      <c r="C1827" s="18">
        <f>IF(OR(B1827&lt;&gt;AK1827,M1827&lt;&gt;L1827,O1827&lt;&gt;"",Q1827&lt;&gt;"",V1827&lt;&gt;1,Y1827&lt;&gt;"",AT1827&lt;&gt;""),"수정","원본")</f>
        <v/>
      </c>
      <c r="D1827" s="18" t="n">
        <v>536</v>
      </c>
      <c r="E1827" s="18" t="inlineStr">
        <is>
          <t>두까비</t>
        </is>
      </c>
      <c r="F1827" s="18" t="inlineStr">
        <is>
          <t>palpitoad</t>
        </is>
      </c>
      <c r="G1827" s="18" t="inlineStr">
        <is>
          <t>palpitoad</t>
        </is>
      </c>
      <c r="H1827" s="18" t="inlineStr"/>
      <c r="I1827" s="18" t="n">
        <v>5</v>
      </c>
      <c r="J1827" s="18" t="n"/>
      <c r="K1827" s="18" t="n">
        <v>5</v>
      </c>
      <c r="L1827" s="18" t="inlineStr">
        <is>
          <t>cobbleventure:generation_5</t>
        </is>
      </c>
      <c r="M1827" s="19" t="inlineStr">
        <is>
          <t>cobbleventure:generation_5</t>
        </is>
      </c>
      <c r="N1827" s="18" t="inlineStr">
        <is>
          <t>region_02</t>
        </is>
      </c>
      <c r="O1827" s="19" t="inlineStr"/>
      <c r="P1827" s="18" t="inlineStr">
        <is>
          <t>#cobblemon:is_swamp</t>
        </is>
      </c>
      <c r="Q1827" s="19" t="inlineStr"/>
      <c r="R1827" s="18">
        <f>IF(Q1827="",P1827,Q1827)</f>
        <v/>
      </c>
      <c r="S1827" s="18" t="inlineStr">
        <is>
          <t>#cobblemon:has_block/mud</t>
        </is>
      </c>
      <c r="T1827" s="18" t="inlineStr">
        <is>
          <t>common</t>
        </is>
      </c>
      <c r="U1827" s="20" t="n">
        <v>0.2</v>
      </c>
      <c r="V1827" s="21" t="n">
        <v>1</v>
      </c>
      <c r="W1827" s="20">
        <f>IF(OR(U1827="",V1827=""),U1827,U1827*V1827)</f>
        <v/>
      </c>
      <c r="X1827" s="18" t="inlineStr">
        <is>
          <t>20-43</t>
        </is>
      </c>
      <c r="Y1827" s="19" t="inlineStr"/>
      <c r="Z1827" s="18">
        <f>IF(Y1827="",X1827,Y1827)</f>
        <v/>
      </c>
      <c r="AA1827" s="18" t="inlineStr">
        <is>
          <t>submerged</t>
        </is>
      </c>
      <c r="AB1827" s="18" t="inlineStr"/>
      <c r="AC1827" s="18" t="inlineStr"/>
      <c r="AD1827" s="18" t="inlineStr"/>
      <c r="AE1827" s="18" t="inlineStr"/>
      <c r="AF1827" s="18" t="inlineStr">
        <is>
          <t>True</t>
        </is>
      </c>
      <c r="AG1827" s="18" t="inlineStr"/>
      <c r="AH1827" s="18" t="inlineStr"/>
      <c r="AI1827" s="18" t="inlineStr"/>
      <c r="AJ1827" s="18" t="inlineStr">
        <is>
          <t>COBBLEVERSE 추가</t>
        </is>
      </c>
      <c r="AK1827" s="18" t="inlineStr">
        <is>
          <t>사용</t>
        </is>
      </c>
      <c r="AL1827" s="18" t="inlineStr">
        <is>
          <t>COBBLEVERSE 1.7.42 / DP v31</t>
        </is>
      </c>
      <c r="AM1827" s="18" t="inlineStr">
        <is>
          <t>data/cobblemon/spawn_pool_world/0536_palpitoad.json</t>
        </is>
      </c>
      <c r="AN1827" s="18" t="inlineStr">
        <is>
          <t>palpitoad-6</t>
        </is>
      </c>
      <c r="AO1827" s="18" t="inlineStr">
        <is>
          <t>pokemon</t>
        </is>
      </c>
      <c r="AP1827" s="18" t="inlineStr">
        <is>
          <t>water</t>
        </is>
      </c>
      <c r="AQ1827" s="18" t="inlineStr">
        <is>
          <t>{"biomes":["#cobblemon:is_swamp"],"canSeeSky":true}</t>
        </is>
      </c>
      <c r="AR1827" s="18" t="inlineStr">
        <is>
          <t>{"biomes":["#cobblemon:has_block/mud"]}</t>
        </is>
      </c>
      <c r="AS1827" s="18" t="inlineStr"/>
      <c r="AT1827" s="19" t="inlineStr"/>
    </row>
    <row r="1828" ht="32" customHeight="1">
      <c r="A1828" s="18" t="inlineStr">
        <is>
          <t>0536_palpitoad.json::palpitoad-7::007</t>
        </is>
      </c>
      <c r="B1828" s="19" t="inlineStr">
        <is>
          <t>사용</t>
        </is>
      </c>
      <c r="C1828" s="18">
        <f>IF(OR(B1828&lt;&gt;AK1828,M1828&lt;&gt;L1828,O1828&lt;&gt;"",Q1828&lt;&gt;"",V1828&lt;&gt;1,Y1828&lt;&gt;"",AT1828&lt;&gt;""),"수정","원본")</f>
        <v/>
      </c>
      <c r="D1828" s="18" t="n">
        <v>536</v>
      </c>
      <c r="E1828" s="18" t="inlineStr">
        <is>
          <t>두까비</t>
        </is>
      </c>
      <c r="F1828" s="18" t="inlineStr">
        <is>
          <t>palpitoad</t>
        </is>
      </c>
      <c r="G1828" s="18" t="inlineStr">
        <is>
          <t>palpitoad</t>
        </is>
      </c>
      <c r="H1828" s="18" t="inlineStr"/>
      <c r="I1828" s="18" t="n">
        <v>5</v>
      </c>
      <c r="J1828" s="18" t="n"/>
      <c r="K1828" s="18" t="n">
        <v>5</v>
      </c>
      <c r="L1828" s="18" t="inlineStr">
        <is>
          <t>cobbleventure:generation_5</t>
        </is>
      </c>
      <c r="M1828" s="19" t="inlineStr">
        <is>
          <t>cobbleventure:generation_5</t>
        </is>
      </c>
      <c r="N1828" s="18" t="inlineStr">
        <is>
          <t>region_01; region_02</t>
        </is>
      </c>
      <c r="O1828" s="19" t="inlineStr"/>
      <c r="P1828" s="18" t="inlineStr">
        <is>
          <t>#aether:is_aether; #cobblemon:is_overworld</t>
        </is>
      </c>
      <c r="Q1828" s="19" t="inlineStr"/>
      <c r="R1828" s="18">
        <f>IF(Q1828="",P1828,Q1828)</f>
        <v/>
      </c>
      <c r="S1828" s="18" t="inlineStr">
        <is>
          <t>#cobblemon:is_lush</t>
        </is>
      </c>
      <c r="T1828" s="18" t="inlineStr">
        <is>
          <t>common</t>
        </is>
      </c>
      <c r="U1828" s="20" t="n">
        <v>1</v>
      </c>
      <c r="V1828" s="21" t="n">
        <v>1</v>
      </c>
      <c r="W1828" s="20">
        <f>IF(OR(U1828="",V1828=""),U1828,U1828*V1828)</f>
        <v/>
      </c>
      <c r="X1828" s="18" t="inlineStr">
        <is>
          <t>20-43</t>
        </is>
      </c>
      <c r="Y1828" s="19" t="inlineStr"/>
      <c r="Z1828" s="18">
        <f>IF(Y1828="",X1828,Y1828)</f>
        <v/>
      </c>
      <c r="AA1828" s="18" t="inlineStr">
        <is>
          <t>fishing</t>
        </is>
      </c>
      <c r="AB1828" s="18" t="inlineStr"/>
      <c r="AC1828" s="18" t="inlineStr"/>
      <c r="AD1828" s="18" t="inlineStr"/>
      <c r="AE1828" s="18" t="inlineStr">
        <is>
          <t>sky 0-7</t>
        </is>
      </c>
      <c r="AF1828" s="18" t="inlineStr"/>
      <c r="AG1828" s="18" t="inlineStr"/>
      <c r="AH1828" s="18" t="inlineStr"/>
      <c r="AI1828" s="18" t="inlineStr"/>
      <c r="AJ1828" s="18" t="inlineStr">
        <is>
          <t>COBBLEVERSE 추가</t>
        </is>
      </c>
      <c r="AK1828" s="18" t="inlineStr">
        <is>
          <t>사용</t>
        </is>
      </c>
      <c r="AL1828" s="18" t="inlineStr">
        <is>
          <t>COBBLEVERSE 1.7.42 / DP v31</t>
        </is>
      </c>
      <c r="AM1828" s="18" t="inlineStr">
        <is>
          <t>data/cobblemon/spawn_pool_world/0536_palpitoad.json</t>
        </is>
      </c>
      <c r="AN1828" s="18" t="inlineStr">
        <is>
          <t>palpitoad-7</t>
        </is>
      </c>
      <c r="AO1828" s="18" t="inlineStr">
        <is>
          <t>pokemon</t>
        </is>
      </c>
      <c r="AP1828" s="18" t="inlineStr"/>
      <c r="AQ1828" s="18" t="inlineStr">
        <is>
          <t>{"biomes":["#aether:is_aether","#cobblemon:is_overworld"],"maxSkyLight":7,"minSkyLight":0}</t>
        </is>
      </c>
      <c r="AR1828" s="18" t="inlineStr">
        <is>
          <t>{"biomes":["#cobblemon:is_lush"]}</t>
        </is>
      </c>
      <c r="AS1828" s="18" t="inlineStr"/>
      <c r="AT1828" s="19" t="inlineStr"/>
    </row>
    <row r="1829" ht="32" customHeight="1">
      <c r="A1829" s="18" t="inlineStr">
        <is>
          <t>0536_palpitoad.json::palpitoad-8::008</t>
        </is>
      </c>
      <c r="B1829" s="19" t="inlineStr">
        <is>
          <t>사용</t>
        </is>
      </c>
      <c r="C1829" s="18">
        <f>IF(OR(B1829&lt;&gt;AK1829,M1829&lt;&gt;L1829,O1829&lt;&gt;"",Q1829&lt;&gt;"",V1829&lt;&gt;1,Y1829&lt;&gt;"",AT1829&lt;&gt;""),"수정","원본")</f>
        <v/>
      </c>
      <c r="D1829" s="18" t="n">
        <v>536</v>
      </c>
      <c r="E1829" s="18" t="inlineStr">
        <is>
          <t>두까비</t>
        </is>
      </c>
      <c r="F1829" s="18" t="inlineStr">
        <is>
          <t>palpitoad</t>
        </is>
      </c>
      <c r="G1829" s="18" t="inlineStr">
        <is>
          <t>palpitoad</t>
        </is>
      </c>
      <c r="H1829" s="18" t="inlineStr"/>
      <c r="I1829" s="18" t="n">
        <v>5</v>
      </c>
      <c r="J1829" s="18" t="n"/>
      <c r="K1829" s="18" t="n">
        <v>5</v>
      </c>
      <c r="L1829" s="18" t="inlineStr">
        <is>
          <t>cobbleventure:generation_5</t>
        </is>
      </c>
      <c r="M1829" s="19" t="inlineStr">
        <is>
          <t>cobbleventure:generation_5</t>
        </is>
      </c>
      <c r="N1829" s="18" t="inlineStr">
        <is>
          <t>region_02</t>
        </is>
      </c>
      <c r="O1829" s="19" t="inlineStr"/>
      <c r="P1829" s="18" t="inlineStr">
        <is>
          <t>#cobblemon:is_mushroom; #cobblemon:is_swamp</t>
        </is>
      </c>
      <c r="Q1829" s="19" t="inlineStr"/>
      <c r="R1829" s="18">
        <f>IF(Q1829="",P1829,Q1829)</f>
        <v/>
      </c>
      <c r="S1829" s="18" t="inlineStr">
        <is>
          <t>#cobblemon:has_block/mud</t>
        </is>
      </c>
      <c r="T1829" s="18" t="inlineStr">
        <is>
          <t>common</t>
        </is>
      </c>
      <c r="U1829" s="20" t="n">
        <v>0.2</v>
      </c>
      <c r="V1829" s="21" t="n">
        <v>1</v>
      </c>
      <c r="W1829" s="20">
        <f>IF(OR(U1829="",V1829=""),U1829,U1829*V1829)</f>
        <v/>
      </c>
      <c r="X1829" s="18" t="inlineStr">
        <is>
          <t>20-43</t>
        </is>
      </c>
      <c r="Y1829" s="19" t="inlineStr"/>
      <c r="Z1829" s="18">
        <f>IF(Y1829="",X1829,Y1829)</f>
        <v/>
      </c>
      <c r="AA1829" s="18" t="inlineStr">
        <is>
          <t>fishing</t>
        </is>
      </c>
      <c r="AB1829" s="18" t="inlineStr"/>
      <c r="AC1829" s="18" t="inlineStr"/>
      <c r="AD1829" s="18" t="inlineStr"/>
      <c r="AE1829" s="18" t="inlineStr"/>
      <c r="AF1829" s="18" t="inlineStr">
        <is>
          <t>True</t>
        </is>
      </c>
      <c r="AG1829" s="18" t="inlineStr"/>
      <c r="AH1829" s="18" t="inlineStr"/>
      <c r="AI1829" s="18" t="inlineStr"/>
      <c r="AJ1829" s="18" t="inlineStr">
        <is>
          <t>COBBLEVERSE 추가</t>
        </is>
      </c>
      <c r="AK1829" s="18" t="inlineStr">
        <is>
          <t>사용</t>
        </is>
      </c>
      <c r="AL1829" s="18" t="inlineStr">
        <is>
          <t>COBBLEVERSE 1.7.42 / DP v31</t>
        </is>
      </c>
      <c r="AM1829" s="18" t="inlineStr">
        <is>
          <t>data/cobblemon/spawn_pool_world/0536_palpitoad.json</t>
        </is>
      </c>
      <c r="AN1829" s="18" t="inlineStr">
        <is>
          <t>palpitoad-8</t>
        </is>
      </c>
      <c r="AO1829" s="18" t="inlineStr">
        <is>
          <t>pokemon</t>
        </is>
      </c>
      <c r="AP1829" s="18" t="inlineStr"/>
      <c r="AQ1829" s="18" t="inlineStr">
        <is>
          <t>{"biomes":["#cobblemon:is_mushroom","#cobblemon:is_swamp"],"canSeeSky":true}</t>
        </is>
      </c>
      <c r="AR1829" s="18" t="inlineStr">
        <is>
          <t>{"biomes":["#cobblemon:has_block/mud"]}</t>
        </is>
      </c>
      <c r="AS1829" s="18" t="inlineStr">
        <is>
          <t>{"weightMultipliers":[{"condition":{"maxLureLevel":2,"minLureLevel":2},"multiplier":3.0},{"condition":{"minLureLevel":3},"multiplier":5.0}]}</t>
        </is>
      </c>
      <c r="AT1829" s="19" t="inlineStr"/>
    </row>
    <row r="1830" ht="32" customHeight="1">
      <c r="A1830" s="18" t="inlineStr">
        <is>
          <t>0536_palpitoad.json::palpitoad-9::009</t>
        </is>
      </c>
      <c r="B1830" s="19" t="inlineStr">
        <is>
          <t>사용</t>
        </is>
      </c>
      <c r="C1830" s="18">
        <f>IF(OR(B1830&lt;&gt;AK1830,M1830&lt;&gt;L1830,O1830&lt;&gt;"",Q1830&lt;&gt;"",V1830&lt;&gt;1,Y1830&lt;&gt;"",AT1830&lt;&gt;""),"수정","원본")</f>
        <v/>
      </c>
      <c r="D1830" s="18" t="n">
        <v>536</v>
      </c>
      <c r="E1830" s="18" t="inlineStr">
        <is>
          <t>두까비</t>
        </is>
      </c>
      <c r="F1830" s="18" t="inlineStr">
        <is>
          <t>palpitoad</t>
        </is>
      </c>
      <c r="G1830" s="18" t="inlineStr">
        <is>
          <t>palpitoad</t>
        </is>
      </c>
      <c r="H1830" s="18" t="inlineStr"/>
      <c r="I1830" s="18" t="n">
        <v>5</v>
      </c>
      <c r="J1830" s="18" t="n"/>
      <c r="K1830" s="18" t="n">
        <v>5</v>
      </c>
      <c r="L1830" s="18" t="inlineStr">
        <is>
          <t>cobbleventure:generation_5</t>
        </is>
      </c>
      <c r="M1830" s="19" t="inlineStr">
        <is>
          <t>cobbleventure:generation_5</t>
        </is>
      </c>
      <c r="N1830" s="18" t="inlineStr">
        <is>
          <t>region_02</t>
        </is>
      </c>
      <c r="O1830" s="19" t="inlineStr"/>
      <c r="P1830" s="18" t="inlineStr">
        <is>
          <t>#cobblemon:is_swamp</t>
        </is>
      </c>
      <c r="Q1830" s="19" t="inlineStr"/>
      <c r="R1830" s="18">
        <f>IF(Q1830="",P1830,Q1830)</f>
        <v/>
      </c>
      <c r="S1830" s="18" t="inlineStr">
        <is>
          <t>#cobblemon:has_block/mud</t>
        </is>
      </c>
      <c r="T1830" s="18" t="inlineStr">
        <is>
          <t>common</t>
        </is>
      </c>
      <c r="U1830" s="20" t="n">
        <v>0.2</v>
      </c>
      <c r="V1830" s="21" t="n">
        <v>1</v>
      </c>
      <c r="W1830" s="20">
        <f>IF(OR(U1830="",V1830=""),U1830,U1830*V1830)</f>
        <v/>
      </c>
      <c r="X1830" s="18" t="inlineStr">
        <is>
          <t>20-43</t>
        </is>
      </c>
      <c r="Y1830" s="19" t="inlineStr"/>
      <c r="Z1830" s="18">
        <f>IF(Y1830="",X1830,Y1830)</f>
        <v/>
      </c>
      <c r="AA1830" s="18" t="inlineStr">
        <is>
          <t>submerged</t>
        </is>
      </c>
      <c r="AB1830" s="18" t="inlineStr"/>
      <c r="AC1830" s="18" t="inlineStr"/>
      <c r="AD1830" s="18" t="inlineStr"/>
      <c r="AE1830" s="18" t="inlineStr">
        <is>
          <t>sky 8-15</t>
        </is>
      </c>
      <c r="AF1830" s="18" t="inlineStr">
        <is>
          <t>False</t>
        </is>
      </c>
      <c r="AG1830" s="18" t="inlineStr"/>
      <c r="AH1830" s="18" t="inlineStr"/>
      <c r="AI1830" s="18" t="inlineStr"/>
      <c r="AJ1830" s="18" t="inlineStr">
        <is>
          <t>COBBLEVERSE 추가</t>
        </is>
      </c>
      <c r="AK1830" s="18" t="inlineStr">
        <is>
          <t>사용</t>
        </is>
      </c>
      <c r="AL1830" s="18" t="inlineStr">
        <is>
          <t>COBBLEVERSE 1.7.42 / DP v31</t>
        </is>
      </c>
      <c r="AM1830" s="18" t="inlineStr">
        <is>
          <t>data/cobblemon/spawn_pool_world/0536_palpitoad.json</t>
        </is>
      </c>
      <c r="AN1830" s="18" t="inlineStr">
        <is>
          <t>palpitoad-9</t>
        </is>
      </c>
      <c r="AO1830" s="18" t="inlineStr">
        <is>
          <t>pokemon</t>
        </is>
      </c>
      <c r="AP1830" s="18" t="inlineStr">
        <is>
          <t>water</t>
        </is>
      </c>
      <c r="AQ1830" s="18" t="inlineStr">
        <is>
          <t>{"biomes":["#cobblemon:is_swamp"],"canSeeSky":false,"maxSkyLight":15,"minSkyLight":8}</t>
        </is>
      </c>
      <c r="AR1830" s="18" t="inlineStr">
        <is>
          <t>{"biomes":["#cobblemon:has_block/mud"]}</t>
        </is>
      </c>
      <c r="AS1830" s="18" t="inlineStr"/>
      <c r="AT1830" s="19" t="inlineStr"/>
    </row>
    <row r="1831" ht="32" customHeight="1">
      <c r="A1831" s="18" t="inlineStr">
        <is>
          <t>0536_palpitoad.json::palpitoad-10::010</t>
        </is>
      </c>
      <c r="B1831" s="19" t="inlineStr">
        <is>
          <t>사용</t>
        </is>
      </c>
      <c r="C1831" s="18">
        <f>IF(OR(B1831&lt;&gt;AK1831,M1831&lt;&gt;L1831,O1831&lt;&gt;"",Q1831&lt;&gt;"",V1831&lt;&gt;1,Y1831&lt;&gt;"",AT1831&lt;&gt;""),"수정","원본")</f>
        <v/>
      </c>
      <c r="D1831" s="18" t="n">
        <v>536</v>
      </c>
      <c r="E1831" s="18" t="inlineStr">
        <is>
          <t>두까비</t>
        </is>
      </c>
      <c r="F1831" s="18" t="inlineStr">
        <is>
          <t>palpitoad</t>
        </is>
      </c>
      <c r="G1831" s="18" t="inlineStr">
        <is>
          <t>palpitoad</t>
        </is>
      </c>
      <c r="H1831" s="18" t="inlineStr"/>
      <c r="I1831" s="18" t="n">
        <v>5</v>
      </c>
      <c r="J1831" s="18" t="n"/>
      <c r="K1831" s="18" t="n">
        <v>5</v>
      </c>
      <c r="L1831" s="18" t="inlineStr">
        <is>
          <t>cobbleventure:generation_5</t>
        </is>
      </c>
      <c r="M1831" s="19" t="inlineStr">
        <is>
          <t>cobbleventure:generation_5</t>
        </is>
      </c>
      <c r="N1831" s="18" t="inlineStr">
        <is>
          <t>region_02</t>
        </is>
      </c>
      <c r="O1831" s="19" t="inlineStr"/>
      <c r="P1831" s="18" t="inlineStr">
        <is>
          <t>#cobblemon:is_mushroom; #cobblemon:is_swamp</t>
        </is>
      </c>
      <c r="Q1831" s="19" t="inlineStr"/>
      <c r="R1831" s="18">
        <f>IF(Q1831="",P1831,Q1831)</f>
        <v/>
      </c>
      <c r="S1831" s="18" t="inlineStr">
        <is>
          <t>#cobblemon:has_block/mud</t>
        </is>
      </c>
      <c r="T1831" s="18" t="inlineStr">
        <is>
          <t>common</t>
        </is>
      </c>
      <c r="U1831" s="20" t="n">
        <v>0.2</v>
      </c>
      <c r="V1831" s="21" t="n">
        <v>1</v>
      </c>
      <c r="W1831" s="20">
        <f>IF(OR(U1831="",V1831=""),U1831,U1831*V1831)</f>
        <v/>
      </c>
      <c r="X1831" s="18" t="inlineStr">
        <is>
          <t>20-43</t>
        </is>
      </c>
      <c r="Y1831" s="19" t="inlineStr"/>
      <c r="Z1831" s="18">
        <f>IF(Y1831="",X1831,Y1831)</f>
        <v/>
      </c>
      <c r="AA1831" s="18" t="inlineStr">
        <is>
          <t>fishing</t>
        </is>
      </c>
      <c r="AB1831" s="18" t="inlineStr"/>
      <c r="AC1831" s="18" t="inlineStr"/>
      <c r="AD1831" s="18" t="inlineStr"/>
      <c r="AE1831" s="18" t="inlineStr">
        <is>
          <t>sky 8-15</t>
        </is>
      </c>
      <c r="AF1831" s="18" t="inlineStr">
        <is>
          <t>False</t>
        </is>
      </c>
      <c r="AG1831" s="18" t="inlineStr"/>
      <c r="AH1831" s="18" t="inlineStr"/>
      <c r="AI1831" s="18" t="inlineStr"/>
      <c r="AJ1831" s="18" t="inlineStr">
        <is>
          <t>COBBLEVERSE 추가</t>
        </is>
      </c>
      <c r="AK1831" s="18" t="inlineStr">
        <is>
          <t>사용</t>
        </is>
      </c>
      <c r="AL1831" s="18" t="inlineStr">
        <is>
          <t>COBBLEVERSE 1.7.42 / DP v31</t>
        </is>
      </c>
      <c r="AM1831" s="18" t="inlineStr">
        <is>
          <t>data/cobblemon/spawn_pool_world/0536_palpitoad.json</t>
        </is>
      </c>
      <c r="AN1831" s="18" t="inlineStr">
        <is>
          <t>palpitoad-10</t>
        </is>
      </c>
      <c r="AO1831" s="18" t="inlineStr">
        <is>
          <t>pokemon</t>
        </is>
      </c>
      <c r="AP1831" s="18" t="inlineStr"/>
      <c r="AQ1831" s="18" t="inlineStr">
        <is>
          <t>{"biomes":["#cobblemon:is_mushroom","#cobblemon:is_swamp"],"canSeeSky":false,"maxSkyLight":15,"minSkyLight":8}</t>
        </is>
      </c>
      <c r="AR1831" s="18" t="inlineStr">
        <is>
          <t>{"biomes":["#cobblemon:has_block/mud"]}</t>
        </is>
      </c>
      <c r="AS1831" s="18" t="inlineStr">
        <is>
          <t>{"weightMultipliers":[{"condition":{"maxLureLevel":2,"minLureLevel":2},"multiplier":3.0},{"condition":{"minLureLevel":3},"multiplier":5.0}]}</t>
        </is>
      </c>
      <c r="AT1831" s="19" t="inlineStr"/>
    </row>
    <row r="1832" ht="32" customHeight="1">
      <c r="A1832" s="18" t="inlineStr">
        <is>
          <t>0536_palpitoad.json::palpitoad-11::011</t>
        </is>
      </c>
      <c r="B1832" s="19" t="inlineStr">
        <is>
          <t>사용</t>
        </is>
      </c>
      <c r="C1832" s="18">
        <f>IF(OR(B1832&lt;&gt;AK1832,M1832&lt;&gt;L1832,O1832&lt;&gt;"",Q1832&lt;&gt;"",V1832&lt;&gt;1,Y1832&lt;&gt;"",AT1832&lt;&gt;""),"수정","원본")</f>
        <v/>
      </c>
      <c r="D1832" s="18" t="n">
        <v>536</v>
      </c>
      <c r="E1832" s="18" t="inlineStr">
        <is>
          <t>두까비</t>
        </is>
      </c>
      <c r="F1832" s="18" t="inlineStr">
        <is>
          <t>palpitoad</t>
        </is>
      </c>
      <c r="G1832" s="18" t="inlineStr">
        <is>
          <t>palpitoad</t>
        </is>
      </c>
      <c r="H1832" s="18" t="inlineStr"/>
      <c r="I1832" s="18" t="n">
        <v>5</v>
      </c>
      <c r="J1832" s="18" t="n"/>
      <c r="K1832" s="18" t="n">
        <v>5</v>
      </c>
      <c r="L1832" s="18" t="inlineStr">
        <is>
          <t>cobbleventure:generation_5</t>
        </is>
      </c>
      <c r="M1832" s="19" t="inlineStr">
        <is>
          <t>cobbleventure:generation_5</t>
        </is>
      </c>
      <c r="N1832" s="18" t="inlineStr">
        <is>
          <t>region_01; region_02</t>
        </is>
      </c>
      <c r="O1832" s="19" t="inlineStr"/>
      <c r="P1832" s="18" t="inlineStr">
        <is>
          <t>#cobblemon:is_overworld</t>
        </is>
      </c>
      <c r="Q1832" s="19" t="inlineStr"/>
      <c r="R1832" s="18">
        <f>IF(Q1832="",P1832,Q1832)</f>
        <v/>
      </c>
      <c r="S1832" s="18" t="inlineStr">
        <is>
          <t>#cobblemon:is_lush</t>
        </is>
      </c>
      <c r="T1832" s="18" t="inlineStr">
        <is>
          <t>common</t>
        </is>
      </c>
      <c r="U1832" s="20" t="n">
        <v>1</v>
      </c>
      <c r="V1832" s="21" t="n">
        <v>1</v>
      </c>
      <c r="W1832" s="20">
        <f>IF(OR(U1832="",V1832=""),U1832,U1832*V1832)</f>
        <v/>
      </c>
      <c r="X1832" s="18" t="inlineStr">
        <is>
          <t>20-43</t>
        </is>
      </c>
      <c r="Y1832" s="19" t="inlineStr"/>
      <c r="Z1832" s="18">
        <f>IF(Y1832="",X1832,Y1832)</f>
        <v/>
      </c>
      <c r="AA1832" s="18" t="inlineStr">
        <is>
          <t>grounded</t>
        </is>
      </c>
      <c r="AB1832" s="18" t="inlineStr"/>
      <c r="AC1832" s="18" t="inlineStr"/>
      <c r="AD1832" s="18" t="inlineStr">
        <is>
          <t>minY=-41, maxY=9</t>
        </is>
      </c>
      <c r="AE1832" s="18" t="inlineStr">
        <is>
          <t>sky 0-7</t>
        </is>
      </c>
      <c r="AF1832" s="18" t="inlineStr"/>
      <c r="AG1832" s="18" t="inlineStr">
        <is>
          <t>cobblemon:shipwreck_coves/lush_shipwreck_cove</t>
        </is>
      </c>
      <c r="AH1832" s="18" t="inlineStr"/>
      <c r="AI1832" s="18" t="inlineStr"/>
      <c r="AJ1832" s="18" t="inlineStr">
        <is>
          <t>COBBLEVERSE 추가</t>
        </is>
      </c>
      <c r="AK1832" s="18" t="inlineStr">
        <is>
          <t>사용</t>
        </is>
      </c>
      <c r="AL1832" s="18" t="inlineStr">
        <is>
          <t>COBBLEVERSE 1.7.42 / DP v31</t>
        </is>
      </c>
      <c r="AM1832" s="18" t="inlineStr">
        <is>
          <t>data/cobblemon/spawn_pool_world/0536_palpitoad.json</t>
        </is>
      </c>
      <c r="AN1832" s="18" t="inlineStr">
        <is>
          <t>palpitoad-11</t>
        </is>
      </c>
      <c r="AO1832" s="18" t="inlineStr">
        <is>
          <t>pokemon</t>
        </is>
      </c>
      <c r="AP1832" s="18" t="inlineStr">
        <is>
          <t>natural</t>
        </is>
      </c>
      <c r="AQ1832" s="18" t="inlineStr">
        <is>
          <t>{"biomes":["#cobblemon:is_overworld"],"maxSkyLight":7,"maxY":9,"minSkyLight":0,"minY":-41,"structures":["cobblemon:shipwreck_coves/lush_shipwreck_cove"]}</t>
        </is>
      </c>
      <c r="AR1832" s="18" t="inlineStr">
        <is>
          <t>{"biomes":["#cobblemon:is_lush"]}</t>
        </is>
      </c>
      <c r="AS1832" s="18" t="inlineStr"/>
      <c r="AT1832" s="19" t="inlineStr"/>
    </row>
    <row r="1833" ht="32" customHeight="1">
      <c r="A1833" s="18" t="inlineStr">
        <is>
          <t>0536_palpitoad.json::palpitoad-12::012</t>
        </is>
      </c>
      <c r="B1833" s="19" t="inlineStr">
        <is>
          <t>사용</t>
        </is>
      </c>
      <c r="C1833" s="18">
        <f>IF(OR(B1833&lt;&gt;AK1833,M1833&lt;&gt;L1833,O1833&lt;&gt;"",Q1833&lt;&gt;"",V1833&lt;&gt;1,Y1833&lt;&gt;"",AT1833&lt;&gt;""),"수정","원본")</f>
        <v/>
      </c>
      <c r="D1833" s="18" t="n">
        <v>536</v>
      </c>
      <c r="E1833" s="18" t="inlineStr">
        <is>
          <t>두까비</t>
        </is>
      </c>
      <c r="F1833" s="18" t="inlineStr">
        <is>
          <t>palpitoad</t>
        </is>
      </c>
      <c r="G1833" s="18" t="inlineStr">
        <is>
          <t>palpitoad</t>
        </is>
      </c>
      <c r="H1833" s="18" t="inlineStr"/>
      <c r="I1833" s="18" t="n">
        <v>5</v>
      </c>
      <c r="J1833" s="18" t="n"/>
      <c r="K1833" s="18" t="n">
        <v>5</v>
      </c>
      <c r="L1833" s="18" t="inlineStr">
        <is>
          <t>cobbleventure:generation_5</t>
        </is>
      </c>
      <c r="M1833" s="19" t="inlineStr">
        <is>
          <t>cobbleventure:generation_5</t>
        </is>
      </c>
      <c r="N1833" s="18" t="inlineStr">
        <is>
          <t>region_01; region_02</t>
        </is>
      </c>
      <c r="O1833" s="19" t="inlineStr"/>
      <c r="P1833" s="18" t="inlineStr">
        <is>
          <t>#cobblemon:is_overworld</t>
        </is>
      </c>
      <c r="Q1833" s="19" t="inlineStr"/>
      <c r="R1833" s="18">
        <f>IF(Q1833="",P1833,Q1833)</f>
        <v/>
      </c>
      <c r="S1833" s="18" t="inlineStr">
        <is>
          <t>#cobblemon:is_lush</t>
        </is>
      </c>
      <c r="T1833" s="18" t="inlineStr">
        <is>
          <t>common</t>
        </is>
      </c>
      <c r="U1833" s="20" t="n">
        <v>1</v>
      </c>
      <c r="V1833" s="21" t="n">
        <v>1</v>
      </c>
      <c r="W1833" s="20">
        <f>IF(OR(U1833="",V1833=""),U1833,U1833*V1833)</f>
        <v/>
      </c>
      <c r="X1833" s="18" t="inlineStr">
        <is>
          <t>20-43</t>
        </is>
      </c>
      <c r="Y1833" s="19" t="inlineStr"/>
      <c r="Z1833" s="18">
        <f>IF(Y1833="",X1833,Y1833)</f>
        <v/>
      </c>
      <c r="AA1833" s="18" t="inlineStr">
        <is>
          <t>submerged</t>
        </is>
      </c>
      <c r="AB1833" s="18" t="inlineStr"/>
      <c r="AC1833" s="18" t="inlineStr"/>
      <c r="AD1833" s="18" t="inlineStr">
        <is>
          <t>minY=-41, maxY=9</t>
        </is>
      </c>
      <c r="AE1833" s="18" t="inlineStr">
        <is>
          <t>sky 0-7</t>
        </is>
      </c>
      <c r="AF1833" s="18" t="inlineStr"/>
      <c r="AG1833" s="18" t="inlineStr">
        <is>
          <t>cobblemon:shipwreck_coves/lush_shipwreck_cove</t>
        </is>
      </c>
      <c r="AH1833" s="18" t="inlineStr"/>
      <c r="AI1833" s="18" t="inlineStr"/>
      <c r="AJ1833" s="18" t="inlineStr">
        <is>
          <t>COBBLEVERSE 추가</t>
        </is>
      </c>
      <c r="AK1833" s="18" t="inlineStr">
        <is>
          <t>사용</t>
        </is>
      </c>
      <c r="AL1833" s="18" t="inlineStr">
        <is>
          <t>COBBLEVERSE 1.7.42 / DP v31</t>
        </is>
      </c>
      <c r="AM1833" s="18" t="inlineStr">
        <is>
          <t>data/cobblemon/spawn_pool_world/0536_palpitoad.json</t>
        </is>
      </c>
      <c r="AN1833" s="18" t="inlineStr">
        <is>
          <t>palpitoad-12</t>
        </is>
      </c>
      <c r="AO1833" s="18" t="inlineStr">
        <is>
          <t>pokemon</t>
        </is>
      </c>
      <c r="AP1833" s="18" t="inlineStr">
        <is>
          <t>water</t>
        </is>
      </c>
      <c r="AQ1833" s="18" t="inlineStr">
        <is>
          <t>{"biomes":["#cobblemon:is_overworld"],"maxSkyLight":7,"maxY":9,"minSkyLight":0,"minY":-41,"structures":["cobblemon:shipwreck_coves/lush_shipwreck_cove"]}</t>
        </is>
      </c>
      <c r="AR1833" s="18" t="inlineStr">
        <is>
          <t>{"biomes":["#cobblemon:is_lush"]}</t>
        </is>
      </c>
      <c r="AS1833" s="18" t="inlineStr"/>
      <c r="AT1833" s="19" t="inlineStr"/>
    </row>
    <row r="1834" ht="32" customHeight="1">
      <c r="A1834" s="18" t="inlineStr">
        <is>
          <t>0536_palpitoad.json::palpitoad-13::013</t>
        </is>
      </c>
      <c r="B1834" s="19" t="inlineStr">
        <is>
          <t>사용</t>
        </is>
      </c>
      <c r="C1834" s="18">
        <f>IF(OR(B1834&lt;&gt;AK1834,M1834&lt;&gt;L1834,O1834&lt;&gt;"",Q1834&lt;&gt;"",V1834&lt;&gt;1,Y1834&lt;&gt;"",AT1834&lt;&gt;""),"수정","원본")</f>
        <v/>
      </c>
      <c r="D1834" s="18" t="n">
        <v>536</v>
      </c>
      <c r="E1834" s="18" t="inlineStr">
        <is>
          <t>두까비</t>
        </is>
      </c>
      <c r="F1834" s="18" t="inlineStr">
        <is>
          <t>palpitoad</t>
        </is>
      </c>
      <c r="G1834" s="18" t="inlineStr">
        <is>
          <t>palpitoad</t>
        </is>
      </c>
      <c r="H1834" s="18" t="inlineStr"/>
      <c r="I1834" s="18" t="n">
        <v>5</v>
      </c>
      <c r="J1834" s="18" t="n"/>
      <c r="K1834" s="18" t="n">
        <v>5</v>
      </c>
      <c r="L1834" s="18" t="inlineStr">
        <is>
          <t>cobbleventure:generation_5</t>
        </is>
      </c>
      <c r="M1834" s="19" t="inlineStr">
        <is>
          <t>cobbleventure:generation_5</t>
        </is>
      </c>
      <c r="N1834" s="18" t="inlineStr"/>
      <c r="O1834" s="19" t="inlineStr"/>
      <c r="P1834" s="18" t="inlineStr">
        <is>
          <t>#aether:is_aether</t>
        </is>
      </c>
      <c r="Q1834" s="19" t="inlineStr"/>
      <c r="R1834" s="18">
        <f>IF(Q1834="",P1834,Q1834)</f>
        <v/>
      </c>
      <c r="S1834" s="18" t="inlineStr"/>
      <c r="T1834" s="18" t="inlineStr">
        <is>
          <t>uncommon</t>
        </is>
      </c>
      <c r="U1834" s="20" t="n">
        <v>1.6</v>
      </c>
      <c r="V1834" s="21" t="n">
        <v>1</v>
      </c>
      <c r="W1834" s="20">
        <f>IF(OR(U1834="",V1834=""),U1834,U1834*V1834)</f>
        <v/>
      </c>
      <c r="X1834" s="18" t="inlineStr">
        <is>
          <t>20-43</t>
        </is>
      </c>
      <c r="Y1834" s="19" t="inlineStr"/>
      <c r="Z1834" s="18">
        <f>IF(Y1834="",X1834,Y1834)</f>
        <v/>
      </c>
      <c r="AA1834" s="18" t="inlineStr">
        <is>
          <t>grounded</t>
        </is>
      </c>
      <c r="AB1834" s="18" t="inlineStr"/>
      <c r="AC1834" s="18" t="inlineStr"/>
      <c r="AD1834" s="18" t="inlineStr"/>
      <c r="AE1834" s="18" t="inlineStr">
        <is>
          <t>sky 0-7</t>
        </is>
      </c>
      <c r="AF1834" s="18" t="inlineStr"/>
      <c r="AG1834" s="18" t="inlineStr"/>
      <c r="AH1834" s="18" t="inlineStr">
        <is>
          <t>주변=#minecraft:water</t>
        </is>
      </c>
      <c r="AI1834" s="18" t="inlineStr"/>
      <c r="AJ1834" s="18" t="inlineStr">
        <is>
          <t>COBBLEVERSE 추가</t>
        </is>
      </c>
      <c r="AK1834" s="18" t="inlineStr">
        <is>
          <t>사용</t>
        </is>
      </c>
      <c r="AL1834" s="18" t="inlineStr">
        <is>
          <t>COBBLEVERSE 1.7.42 / DP v31</t>
        </is>
      </c>
      <c r="AM1834" s="18" t="inlineStr">
        <is>
          <t>data/cobblemon/spawn_pool_world/0536_palpitoad.json</t>
        </is>
      </c>
      <c r="AN1834" s="18" t="inlineStr">
        <is>
          <t>palpitoad-13</t>
        </is>
      </c>
      <c r="AO1834" s="18" t="inlineStr">
        <is>
          <t>pokemon</t>
        </is>
      </c>
      <c r="AP1834" s="18" t="inlineStr">
        <is>
          <t>natural</t>
        </is>
      </c>
      <c r="AQ1834" s="18" t="inlineStr">
        <is>
          <t>{"biomes":["#aether:is_aether"],"maxSkyLight":7,"minSkyLight":0,"neededNearbyBlocks":["#minecraft:water"]}</t>
        </is>
      </c>
      <c r="AR1834" s="18" t="inlineStr"/>
      <c r="AS1834" s="18" t="inlineStr"/>
      <c r="AT1834" s="19" t="inlineStr"/>
    </row>
    <row r="1835" ht="32" customHeight="1">
      <c r="A1835" s="18" t="inlineStr">
        <is>
          <t>0536_palpitoad.json::palpitoad-14::014</t>
        </is>
      </c>
      <c r="B1835" s="19" t="inlineStr">
        <is>
          <t>사용</t>
        </is>
      </c>
      <c r="C1835" s="18">
        <f>IF(OR(B1835&lt;&gt;AK1835,M1835&lt;&gt;L1835,O1835&lt;&gt;"",Q1835&lt;&gt;"",V1835&lt;&gt;1,Y1835&lt;&gt;"",AT1835&lt;&gt;""),"수정","원본")</f>
        <v/>
      </c>
      <c r="D1835" s="18" t="n">
        <v>536</v>
      </c>
      <c r="E1835" s="18" t="inlineStr">
        <is>
          <t>두까비</t>
        </is>
      </c>
      <c r="F1835" s="18" t="inlineStr">
        <is>
          <t>palpitoad</t>
        </is>
      </c>
      <c r="G1835" s="18" t="inlineStr">
        <is>
          <t>palpitoad</t>
        </is>
      </c>
      <c r="H1835" s="18" t="inlineStr"/>
      <c r="I1835" s="18" t="n">
        <v>5</v>
      </c>
      <c r="J1835" s="18" t="n"/>
      <c r="K1835" s="18" t="n">
        <v>5</v>
      </c>
      <c r="L1835" s="18" t="inlineStr">
        <is>
          <t>cobbleventure:generation_5</t>
        </is>
      </c>
      <c r="M1835" s="19" t="inlineStr">
        <is>
          <t>cobbleventure:generation_5</t>
        </is>
      </c>
      <c r="N1835" s="18" t="inlineStr"/>
      <c r="O1835" s="19" t="inlineStr"/>
      <c r="P1835" s="18" t="inlineStr">
        <is>
          <t>#aether:is_aether</t>
        </is>
      </c>
      <c r="Q1835" s="19" t="inlineStr"/>
      <c r="R1835" s="18">
        <f>IF(Q1835="",P1835,Q1835)</f>
        <v/>
      </c>
      <c r="S1835" s="18" t="inlineStr"/>
      <c r="T1835" s="18" t="inlineStr">
        <is>
          <t>uncommon</t>
        </is>
      </c>
      <c r="U1835" s="20" t="n">
        <v>1.6</v>
      </c>
      <c r="V1835" s="21" t="n">
        <v>1</v>
      </c>
      <c r="W1835" s="20">
        <f>IF(OR(U1835="",V1835=""),U1835,U1835*V1835)</f>
        <v/>
      </c>
      <c r="X1835" s="18" t="inlineStr">
        <is>
          <t>20-43</t>
        </is>
      </c>
      <c r="Y1835" s="19" t="inlineStr"/>
      <c r="Z1835" s="18">
        <f>IF(Y1835="",X1835,Y1835)</f>
        <v/>
      </c>
      <c r="AA1835" s="18" t="inlineStr">
        <is>
          <t>submerged</t>
        </is>
      </c>
      <c r="AB1835" s="18" t="inlineStr"/>
      <c r="AC1835" s="18" t="inlineStr"/>
      <c r="AD1835" s="18" t="inlineStr"/>
      <c r="AE1835" s="18" t="inlineStr">
        <is>
          <t>sky 0-7</t>
        </is>
      </c>
      <c r="AF1835" s="18" t="inlineStr"/>
      <c r="AG1835" s="18" t="inlineStr"/>
      <c r="AH1835" s="18" t="inlineStr"/>
      <c r="AI1835" s="18" t="inlineStr"/>
      <c r="AJ1835" s="18" t="inlineStr">
        <is>
          <t>COBBLEVERSE 추가</t>
        </is>
      </c>
      <c r="AK1835" s="18" t="inlineStr">
        <is>
          <t>사용</t>
        </is>
      </c>
      <c r="AL1835" s="18" t="inlineStr">
        <is>
          <t>COBBLEVERSE 1.7.42 / DP v31</t>
        </is>
      </c>
      <c r="AM1835" s="18" t="inlineStr">
        <is>
          <t>data/cobblemon/spawn_pool_world/0536_palpitoad.json</t>
        </is>
      </c>
      <c r="AN1835" s="18" t="inlineStr">
        <is>
          <t>palpitoad-14</t>
        </is>
      </c>
      <c r="AO1835" s="18" t="inlineStr">
        <is>
          <t>pokemon</t>
        </is>
      </c>
      <c r="AP1835" s="18" t="inlineStr">
        <is>
          <t>water</t>
        </is>
      </c>
      <c r="AQ1835" s="18" t="inlineStr">
        <is>
          <t>{"biomes":["#aether:is_aether"],"maxSkyLight":7,"minSkyLight":0}</t>
        </is>
      </c>
      <c r="AR1835" s="18" t="inlineStr"/>
      <c r="AS1835" s="18" t="inlineStr"/>
      <c r="AT1835" s="19" t="inlineStr"/>
    </row>
    <row r="1836" ht="32" customHeight="1">
      <c r="A1836" s="18" t="inlineStr">
        <is>
          <t>0537_seismitoad.json::seismitoad-1::001</t>
        </is>
      </c>
      <c r="B1836" s="19" t="inlineStr">
        <is>
          <t>사용</t>
        </is>
      </c>
      <c r="C1836" s="18">
        <f>IF(OR(B1836&lt;&gt;AK1836,M1836&lt;&gt;L1836,O1836&lt;&gt;"",Q1836&lt;&gt;"",V1836&lt;&gt;1,Y1836&lt;&gt;"",AT1836&lt;&gt;""),"수정","원본")</f>
        <v/>
      </c>
      <c r="D1836" s="18" t="n">
        <v>537</v>
      </c>
      <c r="E1836" s="18" t="inlineStr">
        <is>
          <t>두빅굴</t>
        </is>
      </c>
      <c r="F1836" s="18" t="inlineStr">
        <is>
          <t>seismitoad</t>
        </is>
      </c>
      <c r="G1836" s="18" t="inlineStr">
        <is>
          <t>seismitoad</t>
        </is>
      </c>
      <c r="H1836" s="18" t="inlineStr"/>
      <c r="I1836" s="18" t="n">
        <v>5</v>
      </c>
      <c r="J1836" s="18" t="n"/>
      <c r="K1836" s="18" t="n">
        <v>5</v>
      </c>
      <c r="L1836" s="18" t="inlineStr">
        <is>
          <t>cobbleventure:generation_5</t>
        </is>
      </c>
      <c r="M1836" s="19" t="inlineStr">
        <is>
          <t>cobbleventure:generation_5</t>
        </is>
      </c>
      <c r="N1836" s="18" t="inlineStr"/>
      <c r="O1836" s="19" t="inlineStr"/>
      <c r="P1836" s="18" t="inlineStr">
        <is>
          <t>#cobblemon:is_lush</t>
        </is>
      </c>
      <c r="Q1836" s="19" t="inlineStr"/>
      <c r="R1836" s="18">
        <f>IF(Q1836="",P1836,Q1836)</f>
        <v/>
      </c>
      <c r="S1836" s="18" t="inlineStr"/>
      <c r="T1836" s="18" t="inlineStr">
        <is>
          <t>common</t>
        </is>
      </c>
      <c r="U1836" s="20" t="n">
        <v>1</v>
      </c>
      <c r="V1836" s="21" t="n">
        <v>1</v>
      </c>
      <c r="W1836" s="20">
        <f>IF(OR(U1836="",V1836=""),U1836,U1836*V1836)</f>
        <v/>
      </c>
      <c r="X1836" s="18" t="inlineStr">
        <is>
          <t>20-43</t>
        </is>
      </c>
      <c r="Y1836" s="19" t="inlineStr"/>
      <c r="Z1836" s="18">
        <f>IF(Y1836="",X1836,Y1836)</f>
        <v/>
      </c>
      <c r="AA1836" s="18" t="inlineStr">
        <is>
          <t>grounded</t>
        </is>
      </c>
      <c r="AB1836" s="18" t="inlineStr"/>
      <c r="AC1836" s="18" t="inlineStr"/>
      <c r="AD1836" s="18" t="inlineStr"/>
      <c r="AE1836" s="18" t="inlineStr">
        <is>
          <t>sky 0-7</t>
        </is>
      </c>
      <c r="AF1836" s="18" t="inlineStr"/>
      <c r="AG1836" s="18" t="inlineStr"/>
      <c r="AH1836" s="18" t="inlineStr"/>
      <c r="AI1836" s="18" t="inlineStr"/>
      <c r="AJ1836" s="18" t="inlineStr">
        <is>
          <t>COBBLEVERSE 추가</t>
        </is>
      </c>
      <c r="AK1836" s="18" t="inlineStr">
        <is>
          <t>사용</t>
        </is>
      </c>
      <c r="AL1836" s="18" t="inlineStr">
        <is>
          <t>COBBLEVERSE 1.7.42 / DP v31</t>
        </is>
      </c>
      <c r="AM1836" s="18" t="inlineStr">
        <is>
          <t>data/cobblemon/spawn_pool_world/0537_seismitoad.json</t>
        </is>
      </c>
      <c r="AN1836" s="18" t="inlineStr">
        <is>
          <t>seismitoad-1</t>
        </is>
      </c>
      <c r="AO1836" s="18" t="inlineStr">
        <is>
          <t>pokemon</t>
        </is>
      </c>
      <c r="AP1836" s="18" t="inlineStr">
        <is>
          <t>natural</t>
        </is>
      </c>
      <c r="AQ1836" s="18" t="inlineStr">
        <is>
          <t>{"biomes":["#cobblemon:is_lush"],"maxSkyLight":7,"minSkyLight":0}</t>
        </is>
      </c>
      <c r="AR1836" s="18" t="inlineStr">
        <is>
          <t>{"maxY":9,"minY":-41,"structures":["cobblemon:shipwreck_coves/lush_shipwreck_cove"]}</t>
        </is>
      </c>
      <c r="AS1836" s="18" t="inlineStr"/>
      <c r="AT1836" s="19" t="inlineStr"/>
    </row>
    <row r="1837" ht="32" customHeight="1">
      <c r="A1837" s="18" t="inlineStr">
        <is>
          <t>0537_seismitoad.json::seismitoad-2::002</t>
        </is>
      </c>
      <c r="B1837" s="19" t="inlineStr">
        <is>
          <t>사용</t>
        </is>
      </c>
      <c r="C1837" s="18">
        <f>IF(OR(B1837&lt;&gt;AK1837,M1837&lt;&gt;L1837,O1837&lt;&gt;"",Q1837&lt;&gt;"",V1837&lt;&gt;1,Y1837&lt;&gt;"",AT1837&lt;&gt;""),"수정","원본")</f>
        <v/>
      </c>
      <c r="D1837" s="18" t="n">
        <v>537</v>
      </c>
      <c r="E1837" s="18" t="inlineStr">
        <is>
          <t>두빅굴</t>
        </is>
      </c>
      <c r="F1837" s="18" t="inlineStr">
        <is>
          <t>seismitoad</t>
        </is>
      </c>
      <c r="G1837" s="18" t="inlineStr">
        <is>
          <t>seismitoad</t>
        </is>
      </c>
      <c r="H1837" s="18" t="inlineStr"/>
      <c r="I1837" s="18" t="n">
        <v>5</v>
      </c>
      <c r="J1837" s="18" t="n"/>
      <c r="K1837" s="18" t="n">
        <v>5</v>
      </c>
      <c r="L1837" s="18" t="inlineStr">
        <is>
          <t>cobbleventure:generation_5</t>
        </is>
      </c>
      <c r="M1837" s="19" t="inlineStr">
        <is>
          <t>cobbleventure:generation_5</t>
        </is>
      </c>
      <c r="N1837" s="18" t="inlineStr"/>
      <c r="O1837" s="19" t="inlineStr"/>
      <c r="P1837" s="18" t="inlineStr">
        <is>
          <t>#cobblemon:is_lush</t>
        </is>
      </c>
      <c r="Q1837" s="19" t="inlineStr"/>
      <c r="R1837" s="18">
        <f>IF(Q1837="",P1837,Q1837)</f>
        <v/>
      </c>
      <c r="S1837" s="18" t="inlineStr"/>
      <c r="T1837" s="18" t="inlineStr">
        <is>
          <t>common</t>
        </is>
      </c>
      <c r="U1837" s="20" t="n">
        <v>1</v>
      </c>
      <c r="V1837" s="21" t="n">
        <v>1</v>
      </c>
      <c r="W1837" s="20">
        <f>IF(OR(U1837="",V1837=""),U1837,U1837*V1837)</f>
        <v/>
      </c>
      <c r="X1837" s="18" t="inlineStr">
        <is>
          <t>20-43</t>
        </is>
      </c>
      <c r="Y1837" s="19" t="inlineStr"/>
      <c r="Z1837" s="18">
        <f>IF(Y1837="",X1837,Y1837)</f>
        <v/>
      </c>
      <c r="AA1837" s="18" t="inlineStr">
        <is>
          <t>submerged</t>
        </is>
      </c>
      <c r="AB1837" s="18" t="inlineStr"/>
      <c r="AC1837" s="18" t="inlineStr"/>
      <c r="AD1837" s="18" t="inlineStr"/>
      <c r="AE1837" s="18" t="inlineStr">
        <is>
          <t>sky 0-7</t>
        </is>
      </c>
      <c r="AF1837" s="18" t="inlineStr"/>
      <c r="AG1837" s="18" t="inlineStr"/>
      <c r="AH1837" s="18" t="inlineStr"/>
      <c r="AI1837" s="18" t="inlineStr"/>
      <c r="AJ1837" s="18" t="inlineStr">
        <is>
          <t>COBBLEVERSE 추가</t>
        </is>
      </c>
      <c r="AK1837" s="18" t="inlineStr">
        <is>
          <t>사용</t>
        </is>
      </c>
      <c r="AL1837" s="18" t="inlineStr">
        <is>
          <t>COBBLEVERSE 1.7.42 / DP v31</t>
        </is>
      </c>
      <c r="AM1837" s="18" t="inlineStr">
        <is>
          <t>data/cobblemon/spawn_pool_world/0537_seismitoad.json</t>
        </is>
      </c>
      <c r="AN1837" s="18" t="inlineStr">
        <is>
          <t>seismitoad-2</t>
        </is>
      </c>
      <c r="AO1837" s="18" t="inlineStr">
        <is>
          <t>pokemon</t>
        </is>
      </c>
      <c r="AP1837" s="18" t="inlineStr">
        <is>
          <t>water</t>
        </is>
      </c>
      <c r="AQ1837" s="18" t="inlineStr">
        <is>
          <t>{"biomes":["#cobblemon:is_lush"],"maxSkyLight":7,"minSkyLight":0}</t>
        </is>
      </c>
      <c r="AR1837" s="18" t="inlineStr">
        <is>
          <t>{"maxY":9,"minY":-41,"structures":["cobblemon:shipwreck_coves/lush_shipwreck_cove"]}</t>
        </is>
      </c>
      <c r="AS1837" s="18" t="inlineStr"/>
      <c r="AT1837" s="19" t="inlineStr"/>
    </row>
    <row r="1838" ht="32" customHeight="1">
      <c r="A1838" s="18" t="inlineStr">
        <is>
          <t>0537_seismitoad.json::seismitoad-3::003</t>
        </is>
      </c>
      <c r="B1838" s="19" t="inlineStr">
        <is>
          <t>사용</t>
        </is>
      </c>
      <c r="C1838" s="18">
        <f>IF(OR(B1838&lt;&gt;AK1838,M1838&lt;&gt;L1838,O1838&lt;&gt;"",Q1838&lt;&gt;"",V1838&lt;&gt;1,Y1838&lt;&gt;"",AT1838&lt;&gt;""),"수정","원본")</f>
        <v/>
      </c>
      <c r="D1838" s="18" t="n">
        <v>537</v>
      </c>
      <c r="E1838" s="18" t="inlineStr">
        <is>
          <t>두빅굴</t>
        </is>
      </c>
      <c r="F1838" s="18" t="inlineStr">
        <is>
          <t>seismitoad</t>
        </is>
      </c>
      <c r="G1838" s="18" t="inlineStr">
        <is>
          <t>seismitoad</t>
        </is>
      </c>
      <c r="H1838" s="18" t="inlineStr"/>
      <c r="I1838" s="18" t="n">
        <v>5</v>
      </c>
      <c r="J1838" s="18" t="n"/>
      <c r="K1838" s="18" t="n">
        <v>5</v>
      </c>
      <c r="L1838" s="18" t="inlineStr">
        <is>
          <t>cobbleventure:generation_5</t>
        </is>
      </c>
      <c r="M1838" s="19" t="inlineStr">
        <is>
          <t>cobbleventure:generation_5</t>
        </is>
      </c>
      <c r="N1838" s="18" t="inlineStr">
        <is>
          <t>region_01; region_02</t>
        </is>
      </c>
      <c r="O1838" s="19" t="inlineStr"/>
      <c r="P1838" s="18" t="inlineStr">
        <is>
          <t>#cobblemon:is_overworld</t>
        </is>
      </c>
      <c r="Q1838" s="19" t="inlineStr"/>
      <c r="R1838" s="18">
        <f>IF(Q1838="",P1838,Q1838)</f>
        <v/>
      </c>
      <c r="S1838" s="18" t="inlineStr">
        <is>
          <t>#cobblemon:is_lush</t>
        </is>
      </c>
      <c r="T1838" s="18" t="inlineStr">
        <is>
          <t>uncommon</t>
        </is>
      </c>
      <c r="U1838" s="20" t="n">
        <v>1.6</v>
      </c>
      <c r="V1838" s="21" t="n">
        <v>1</v>
      </c>
      <c r="W1838" s="20">
        <f>IF(OR(U1838="",V1838=""),U1838,U1838*V1838)</f>
        <v/>
      </c>
      <c r="X1838" s="18" t="inlineStr">
        <is>
          <t>20-43</t>
        </is>
      </c>
      <c r="Y1838" s="19" t="inlineStr"/>
      <c r="Z1838" s="18">
        <f>IF(Y1838="",X1838,Y1838)</f>
        <v/>
      </c>
      <c r="AA1838" s="18" t="inlineStr">
        <is>
          <t>grounded</t>
        </is>
      </c>
      <c r="AB1838" s="18" t="inlineStr"/>
      <c r="AC1838" s="18" t="inlineStr"/>
      <c r="AD1838" s="18" t="inlineStr">
        <is>
          <t>maxY=62</t>
        </is>
      </c>
      <c r="AE1838" s="18" t="inlineStr">
        <is>
          <t>sky 0-7</t>
        </is>
      </c>
      <c r="AF1838" s="18" t="inlineStr"/>
      <c r="AG1838" s="18" t="inlineStr"/>
      <c r="AH1838" s="18" t="inlineStr">
        <is>
          <t>주변=#minecraft:water</t>
        </is>
      </c>
      <c r="AI1838" s="18" t="inlineStr"/>
      <c r="AJ1838" s="18" t="inlineStr">
        <is>
          <t>COBBLEVERSE 추가</t>
        </is>
      </c>
      <c r="AK1838" s="18" t="inlineStr">
        <is>
          <t>사용</t>
        </is>
      </c>
      <c r="AL1838" s="18" t="inlineStr">
        <is>
          <t>COBBLEVERSE 1.7.42 / DP v31</t>
        </is>
      </c>
      <c r="AM1838" s="18" t="inlineStr">
        <is>
          <t>data/cobblemon/spawn_pool_world/0537_seismitoad.json</t>
        </is>
      </c>
      <c r="AN1838" s="18" t="inlineStr">
        <is>
          <t>seismitoad-3</t>
        </is>
      </c>
      <c r="AO1838" s="18" t="inlineStr">
        <is>
          <t>pokemon</t>
        </is>
      </c>
      <c r="AP1838" s="18" t="inlineStr">
        <is>
          <t>natural</t>
        </is>
      </c>
      <c r="AQ1838" s="18" t="inlineStr">
        <is>
          <t>{"biomes":["#cobblemon:is_overworld"],"maxSkyLight":7,"maxY":62,"minSkyLight":0,"neededNearbyBlocks":["#minecraft:water"]}</t>
        </is>
      </c>
      <c r="AR1838" s="18" t="inlineStr">
        <is>
          <t>{"biomes":["#cobblemon:is_lush"]}</t>
        </is>
      </c>
      <c r="AS1838" s="18" t="inlineStr"/>
      <c r="AT1838" s="19" t="inlineStr"/>
    </row>
    <row r="1839" ht="32" customHeight="1">
      <c r="A1839" s="18" t="inlineStr">
        <is>
          <t>0537_seismitoad.json::seismitoad-4::004</t>
        </is>
      </c>
      <c r="B1839" s="19" t="inlineStr">
        <is>
          <t>사용</t>
        </is>
      </c>
      <c r="C1839" s="18">
        <f>IF(OR(B1839&lt;&gt;AK1839,M1839&lt;&gt;L1839,O1839&lt;&gt;"",Q1839&lt;&gt;"",V1839&lt;&gt;1,Y1839&lt;&gt;"",AT1839&lt;&gt;""),"수정","원본")</f>
        <v/>
      </c>
      <c r="D1839" s="18" t="n">
        <v>537</v>
      </c>
      <c r="E1839" s="18" t="inlineStr">
        <is>
          <t>두빅굴</t>
        </is>
      </c>
      <c r="F1839" s="18" t="inlineStr">
        <is>
          <t>seismitoad</t>
        </is>
      </c>
      <c r="G1839" s="18" t="inlineStr">
        <is>
          <t>seismitoad</t>
        </is>
      </c>
      <c r="H1839" s="18" t="inlineStr"/>
      <c r="I1839" s="18" t="n">
        <v>5</v>
      </c>
      <c r="J1839" s="18" t="n"/>
      <c r="K1839" s="18" t="n">
        <v>5</v>
      </c>
      <c r="L1839" s="18" t="inlineStr">
        <is>
          <t>cobbleventure:generation_5</t>
        </is>
      </c>
      <c r="M1839" s="19" t="inlineStr">
        <is>
          <t>cobbleventure:generation_5</t>
        </is>
      </c>
      <c r="N1839" s="18" t="inlineStr">
        <is>
          <t>region_01; region_02</t>
        </is>
      </c>
      <c r="O1839" s="19" t="inlineStr"/>
      <c r="P1839" s="18" t="inlineStr">
        <is>
          <t>#cobblemon:is_overworld</t>
        </is>
      </c>
      <c r="Q1839" s="19" t="inlineStr"/>
      <c r="R1839" s="18">
        <f>IF(Q1839="",P1839,Q1839)</f>
        <v/>
      </c>
      <c r="S1839" s="18" t="inlineStr">
        <is>
          <t>#cobblemon:is_lush</t>
        </is>
      </c>
      <c r="T1839" s="18" t="inlineStr">
        <is>
          <t>uncommon</t>
        </is>
      </c>
      <c r="U1839" s="20" t="n">
        <v>1.6</v>
      </c>
      <c r="V1839" s="21" t="n">
        <v>1</v>
      </c>
      <c r="W1839" s="20">
        <f>IF(OR(U1839="",V1839=""),U1839,U1839*V1839)</f>
        <v/>
      </c>
      <c r="X1839" s="18" t="inlineStr">
        <is>
          <t>20-43</t>
        </is>
      </c>
      <c r="Y1839" s="19" t="inlineStr"/>
      <c r="Z1839" s="18">
        <f>IF(Y1839="",X1839,Y1839)</f>
        <v/>
      </c>
      <c r="AA1839" s="18" t="inlineStr">
        <is>
          <t>submerged</t>
        </is>
      </c>
      <c r="AB1839" s="18" t="inlineStr"/>
      <c r="AC1839" s="18" t="inlineStr"/>
      <c r="AD1839" s="18" t="inlineStr">
        <is>
          <t>maxY=62</t>
        </is>
      </c>
      <c r="AE1839" s="18" t="inlineStr">
        <is>
          <t>sky 0-7</t>
        </is>
      </c>
      <c r="AF1839" s="18" t="inlineStr"/>
      <c r="AG1839" s="18" t="inlineStr"/>
      <c r="AH1839" s="18" t="inlineStr"/>
      <c r="AI1839" s="18" t="inlineStr"/>
      <c r="AJ1839" s="18" t="inlineStr">
        <is>
          <t>COBBLEVERSE 추가</t>
        </is>
      </c>
      <c r="AK1839" s="18" t="inlineStr">
        <is>
          <t>사용</t>
        </is>
      </c>
      <c r="AL1839" s="18" t="inlineStr">
        <is>
          <t>COBBLEVERSE 1.7.42 / DP v31</t>
        </is>
      </c>
      <c r="AM1839" s="18" t="inlineStr">
        <is>
          <t>data/cobblemon/spawn_pool_world/0537_seismitoad.json</t>
        </is>
      </c>
      <c r="AN1839" s="18" t="inlineStr">
        <is>
          <t>seismitoad-4</t>
        </is>
      </c>
      <c r="AO1839" s="18" t="inlineStr">
        <is>
          <t>pokemon</t>
        </is>
      </c>
      <c r="AP1839" s="18" t="inlineStr">
        <is>
          <t>water</t>
        </is>
      </c>
      <c r="AQ1839" s="18" t="inlineStr">
        <is>
          <t>{"biomes":["#cobblemon:is_overworld"],"maxSkyLight":7,"maxY":62,"minSkyLight":0}</t>
        </is>
      </c>
      <c r="AR1839" s="18" t="inlineStr">
        <is>
          <t>{"biomes":["#cobblemon:is_lush"]}</t>
        </is>
      </c>
      <c r="AS1839" s="18" t="inlineStr"/>
      <c r="AT1839" s="19" t="inlineStr"/>
    </row>
    <row r="1840" ht="32" customHeight="1">
      <c r="A1840" s="18" t="inlineStr">
        <is>
          <t>0537_seismitoad.json::seismitoad-5::005</t>
        </is>
      </c>
      <c r="B1840" s="19" t="inlineStr">
        <is>
          <t>사용</t>
        </is>
      </c>
      <c r="C1840" s="18">
        <f>IF(OR(B1840&lt;&gt;AK1840,M1840&lt;&gt;L1840,O1840&lt;&gt;"",Q1840&lt;&gt;"",V1840&lt;&gt;1,Y1840&lt;&gt;"",AT1840&lt;&gt;""),"수정","원본")</f>
        <v/>
      </c>
      <c r="D1840" s="18" t="n">
        <v>537</v>
      </c>
      <c r="E1840" s="18" t="inlineStr">
        <is>
          <t>두빅굴</t>
        </is>
      </c>
      <c r="F1840" s="18" t="inlineStr">
        <is>
          <t>seismitoad</t>
        </is>
      </c>
      <c r="G1840" s="18" t="inlineStr">
        <is>
          <t>seismitoad</t>
        </is>
      </c>
      <c r="H1840" s="18" t="inlineStr"/>
      <c r="I1840" s="18" t="n">
        <v>5</v>
      </c>
      <c r="J1840" s="18" t="n"/>
      <c r="K1840" s="18" t="n">
        <v>5</v>
      </c>
      <c r="L1840" s="18" t="inlineStr">
        <is>
          <t>cobbleventure:generation_5</t>
        </is>
      </c>
      <c r="M1840" s="19" t="inlineStr">
        <is>
          <t>cobbleventure:generation_5</t>
        </is>
      </c>
      <c r="N1840" s="18" t="inlineStr">
        <is>
          <t>region_02</t>
        </is>
      </c>
      <c r="O1840" s="19" t="inlineStr"/>
      <c r="P1840" s="18" t="inlineStr">
        <is>
          <t>#cobblemon:is_swamp</t>
        </is>
      </c>
      <c r="Q1840" s="19" t="inlineStr"/>
      <c r="R1840" s="18">
        <f>IF(Q1840="",P1840,Q1840)</f>
        <v/>
      </c>
      <c r="S1840" s="18" t="inlineStr">
        <is>
          <t>#cobblemon:has_block/mud</t>
        </is>
      </c>
      <c r="T1840" s="18" t="inlineStr">
        <is>
          <t>common</t>
        </is>
      </c>
      <c r="U1840" s="20" t="n">
        <v>0.2</v>
      </c>
      <c r="V1840" s="21" t="n">
        <v>1</v>
      </c>
      <c r="W1840" s="20">
        <f>IF(OR(U1840="",V1840=""),U1840,U1840*V1840)</f>
        <v/>
      </c>
      <c r="X1840" s="18" t="inlineStr">
        <is>
          <t>20-43</t>
        </is>
      </c>
      <c r="Y1840" s="19" t="inlineStr"/>
      <c r="Z1840" s="18">
        <f>IF(Y1840="",X1840,Y1840)</f>
        <v/>
      </c>
      <c r="AA1840" s="18" t="inlineStr">
        <is>
          <t>grounded</t>
        </is>
      </c>
      <c r="AB1840" s="18" t="inlineStr"/>
      <c r="AC1840" s="18" t="inlineStr">
        <is>
          <t>비=True</t>
        </is>
      </c>
      <c r="AD1840" s="18" t="inlineStr"/>
      <c r="AE1840" s="18" t="inlineStr">
        <is>
          <t>sky 8-15</t>
        </is>
      </c>
      <c r="AF1840" s="18" t="inlineStr"/>
      <c r="AG1840" s="18" t="inlineStr"/>
      <c r="AH1840" s="18" t="inlineStr"/>
      <c r="AI1840" s="18" t="inlineStr"/>
      <c r="AJ1840" s="18" t="inlineStr">
        <is>
          <t>COBBLEVERSE 추가</t>
        </is>
      </c>
      <c r="AK1840" s="18" t="inlineStr">
        <is>
          <t>사용</t>
        </is>
      </c>
      <c r="AL1840" s="18" t="inlineStr">
        <is>
          <t>COBBLEVERSE 1.7.42 / DP v31</t>
        </is>
      </c>
      <c r="AM1840" s="18" t="inlineStr">
        <is>
          <t>data/cobblemon/spawn_pool_world/0537_seismitoad.json</t>
        </is>
      </c>
      <c r="AN1840" s="18" t="inlineStr">
        <is>
          <t>seismitoad-5</t>
        </is>
      </c>
      <c r="AO1840" s="18" t="inlineStr">
        <is>
          <t>pokemon</t>
        </is>
      </c>
      <c r="AP1840" s="18" t="inlineStr">
        <is>
          <t>natural</t>
        </is>
      </c>
      <c r="AQ1840" s="18" t="inlineStr">
        <is>
          <t>{"biomes":["#cobblemon:is_swamp"],"isRaining":true,"maxSkyLight":15,"minSkyLight":8}</t>
        </is>
      </c>
      <c r="AR1840" s="18" t="inlineStr">
        <is>
          <t>{"biomes":["#cobblemon:has_block/mud"]}</t>
        </is>
      </c>
      <c r="AS1840" s="18" t="inlineStr"/>
      <c r="AT1840" s="19" t="inlineStr"/>
    </row>
    <row r="1841" ht="32" customHeight="1">
      <c r="A1841" s="18" t="inlineStr">
        <is>
          <t>0537_seismitoad.json::seismitoad-6::006</t>
        </is>
      </c>
      <c r="B1841" s="19" t="inlineStr">
        <is>
          <t>사용</t>
        </is>
      </c>
      <c r="C1841" s="18">
        <f>IF(OR(B1841&lt;&gt;AK1841,M1841&lt;&gt;L1841,O1841&lt;&gt;"",Q1841&lt;&gt;"",V1841&lt;&gt;1,Y1841&lt;&gt;"",AT1841&lt;&gt;""),"수정","원본")</f>
        <v/>
      </c>
      <c r="D1841" s="18" t="n">
        <v>537</v>
      </c>
      <c r="E1841" s="18" t="inlineStr">
        <is>
          <t>두빅굴</t>
        </is>
      </c>
      <c r="F1841" s="18" t="inlineStr">
        <is>
          <t>seismitoad</t>
        </is>
      </c>
      <c r="G1841" s="18" t="inlineStr">
        <is>
          <t>seismitoad</t>
        </is>
      </c>
      <c r="H1841" s="18" t="inlineStr"/>
      <c r="I1841" s="18" t="n">
        <v>5</v>
      </c>
      <c r="J1841" s="18" t="n"/>
      <c r="K1841" s="18" t="n">
        <v>5</v>
      </c>
      <c r="L1841" s="18" t="inlineStr">
        <is>
          <t>cobbleventure:generation_5</t>
        </is>
      </c>
      <c r="M1841" s="19" t="inlineStr">
        <is>
          <t>cobbleventure:generation_5</t>
        </is>
      </c>
      <c r="N1841" s="18" t="inlineStr">
        <is>
          <t>region_02</t>
        </is>
      </c>
      <c r="O1841" s="19" t="inlineStr"/>
      <c r="P1841" s="18" t="inlineStr">
        <is>
          <t>#cobblemon:is_swamp</t>
        </is>
      </c>
      <c r="Q1841" s="19" t="inlineStr"/>
      <c r="R1841" s="18">
        <f>IF(Q1841="",P1841,Q1841)</f>
        <v/>
      </c>
      <c r="S1841" s="18" t="inlineStr">
        <is>
          <t>#cobblemon:has_block/mud</t>
        </is>
      </c>
      <c r="T1841" s="18" t="inlineStr">
        <is>
          <t>common</t>
        </is>
      </c>
      <c r="U1841" s="20" t="n">
        <v>0.2</v>
      </c>
      <c r="V1841" s="21" t="n">
        <v>1</v>
      </c>
      <c r="W1841" s="20">
        <f>IF(OR(U1841="",V1841=""),U1841,U1841*V1841)</f>
        <v/>
      </c>
      <c r="X1841" s="18" t="inlineStr">
        <is>
          <t>20-43</t>
        </is>
      </c>
      <c r="Y1841" s="19" t="inlineStr"/>
      <c r="Z1841" s="18">
        <f>IF(Y1841="",X1841,Y1841)</f>
        <v/>
      </c>
      <c r="AA1841" s="18" t="inlineStr">
        <is>
          <t>submerged</t>
        </is>
      </c>
      <c r="AB1841" s="18" t="inlineStr"/>
      <c r="AC1841" s="18" t="inlineStr"/>
      <c r="AD1841" s="18" t="inlineStr"/>
      <c r="AE1841" s="18" t="inlineStr"/>
      <c r="AF1841" s="18" t="inlineStr">
        <is>
          <t>True</t>
        </is>
      </c>
      <c r="AG1841" s="18" t="inlineStr"/>
      <c r="AH1841" s="18" t="inlineStr"/>
      <c r="AI1841" s="18" t="inlineStr"/>
      <c r="AJ1841" s="18" t="inlineStr">
        <is>
          <t>COBBLEVERSE 추가</t>
        </is>
      </c>
      <c r="AK1841" s="18" t="inlineStr">
        <is>
          <t>사용</t>
        </is>
      </c>
      <c r="AL1841" s="18" t="inlineStr">
        <is>
          <t>COBBLEVERSE 1.7.42 / DP v31</t>
        </is>
      </c>
      <c r="AM1841" s="18" t="inlineStr">
        <is>
          <t>data/cobblemon/spawn_pool_world/0537_seismitoad.json</t>
        </is>
      </c>
      <c r="AN1841" s="18" t="inlineStr">
        <is>
          <t>seismitoad-6</t>
        </is>
      </c>
      <c r="AO1841" s="18" t="inlineStr">
        <is>
          <t>pokemon</t>
        </is>
      </c>
      <c r="AP1841" s="18" t="inlineStr">
        <is>
          <t>water</t>
        </is>
      </c>
      <c r="AQ1841" s="18" t="inlineStr">
        <is>
          <t>{"biomes":["#cobblemon:is_swamp"],"canSeeSky":true}</t>
        </is>
      </c>
      <c r="AR1841" s="18" t="inlineStr">
        <is>
          <t>{"biomes":["#cobblemon:has_block/mud"]}</t>
        </is>
      </c>
      <c r="AS1841" s="18" t="inlineStr"/>
      <c r="AT1841" s="19" t="inlineStr"/>
    </row>
    <row r="1842" ht="32" customHeight="1">
      <c r="A1842" s="18" t="inlineStr">
        <is>
          <t>0537_seismitoad.json::seismitoad-7::007</t>
        </is>
      </c>
      <c r="B1842" s="19" t="inlineStr">
        <is>
          <t>사용</t>
        </is>
      </c>
      <c r="C1842" s="18">
        <f>IF(OR(B1842&lt;&gt;AK1842,M1842&lt;&gt;L1842,O1842&lt;&gt;"",Q1842&lt;&gt;"",V1842&lt;&gt;1,Y1842&lt;&gt;"",AT1842&lt;&gt;""),"수정","원본")</f>
        <v/>
      </c>
      <c r="D1842" s="18" t="n">
        <v>537</v>
      </c>
      <c r="E1842" s="18" t="inlineStr">
        <is>
          <t>두빅굴</t>
        </is>
      </c>
      <c r="F1842" s="18" t="inlineStr">
        <is>
          <t>seismitoad</t>
        </is>
      </c>
      <c r="G1842" s="18" t="inlineStr">
        <is>
          <t>seismitoad</t>
        </is>
      </c>
      <c r="H1842" s="18" t="inlineStr"/>
      <c r="I1842" s="18" t="n">
        <v>5</v>
      </c>
      <c r="J1842" s="18" t="n"/>
      <c r="K1842" s="18" t="n">
        <v>5</v>
      </c>
      <c r="L1842" s="18" t="inlineStr">
        <is>
          <t>cobbleventure:generation_5</t>
        </is>
      </c>
      <c r="M1842" s="19" t="inlineStr">
        <is>
          <t>cobbleventure:generation_5</t>
        </is>
      </c>
      <c r="N1842" s="18" t="inlineStr">
        <is>
          <t>region_01; region_02</t>
        </is>
      </c>
      <c r="O1842" s="19" t="inlineStr"/>
      <c r="P1842" s="18" t="inlineStr">
        <is>
          <t>#aether:is_aether; #cobblemon:is_overworld</t>
        </is>
      </c>
      <c r="Q1842" s="19" t="inlineStr"/>
      <c r="R1842" s="18">
        <f>IF(Q1842="",P1842,Q1842)</f>
        <v/>
      </c>
      <c r="S1842" s="18" t="inlineStr">
        <is>
          <t>#cobblemon:is_lush</t>
        </is>
      </c>
      <c r="T1842" s="18" t="inlineStr">
        <is>
          <t>common</t>
        </is>
      </c>
      <c r="U1842" s="20" t="n">
        <v>1</v>
      </c>
      <c r="V1842" s="21" t="n">
        <v>1</v>
      </c>
      <c r="W1842" s="20">
        <f>IF(OR(U1842="",V1842=""),U1842,U1842*V1842)</f>
        <v/>
      </c>
      <c r="X1842" s="18" t="inlineStr">
        <is>
          <t>20-43</t>
        </is>
      </c>
      <c r="Y1842" s="19" t="inlineStr"/>
      <c r="Z1842" s="18">
        <f>IF(Y1842="",X1842,Y1842)</f>
        <v/>
      </c>
      <c r="AA1842" s="18" t="inlineStr">
        <is>
          <t>fishing</t>
        </is>
      </c>
      <c r="AB1842" s="18" t="inlineStr"/>
      <c r="AC1842" s="18" t="inlineStr"/>
      <c r="AD1842" s="18" t="inlineStr"/>
      <c r="AE1842" s="18" t="inlineStr">
        <is>
          <t>sky 0-7</t>
        </is>
      </c>
      <c r="AF1842" s="18" t="inlineStr"/>
      <c r="AG1842" s="18" t="inlineStr"/>
      <c r="AH1842" s="18" t="inlineStr"/>
      <c r="AI1842" s="18" t="inlineStr"/>
      <c r="AJ1842" s="18" t="inlineStr">
        <is>
          <t>COBBLEVERSE 추가</t>
        </is>
      </c>
      <c r="AK1842" s="18" t="inlineStr">
        <is>
          <t>사용</t>
        </is>
      </c>
      <c r="AL1842" s="18" t="inlineStr">
        <is>
          <t>COBBLEVERSE 1.7.42 / DP v31</t>
        </is>
      </c>
      <c r="AM1842" s="18" t="inlineStr">
        <is>
          <t>data/cobblemon/spawn_pool_world/0537_seismitoad.json</t>
        </is>
      </c>
      <c r="AN1842" s="18" t="inlineStr">
        <is>
          <t>seismitoad-7</t>
        </is>
      </c>
      <c r="AO1842" s="18" t="inlineStr">
        <is>
          <t>pokemon</t>
        </is>
      </c>
      <c r="AP1842" s="18" t="inlineStr"/>
      <c r="AQ1842" s="18" t="inlineStr">
        <is>
          <t>{"biomes":["#aether:is_aether","#cobblemon:is_overworld"],"maxSkyLight":7,"minSkyLight":0}</t>
        </is>
      </c>
      <c r="AR1842" s="18" t="inlineStr">
        <is>
          <t>{"biomes":["#cobblemon:is_lush"]}</t>
        </is>
      </c>
      <c r="AS1842" s="18" t="inlineStr"/>
      <c r="AT1842" s="19" t="inlineStr"/>
    </row>
    <row r="1843" ht="32" customHeight="1">
      <c r="A1843" s="18" t="inlineStr">
        <is>
          <t>0537_seismitoad.json::seismitoad-8::008</t>
        </is>
      </c>
      <c r="B1843" s="19" t="inlineStr">
        <is>
          <t>사용</t>
        </is>
      </c>
      <c r="C1843" s="18">
        <f>IF(OR(B1843&lt;&gt;AK1843,M1843&lt;&gt;L1843,O1843&lt;&gt;"",Q1843&lt;&gt;"",V1843&lt;&gt;1,Y1843&lt;&gt;"",AT1843&lt;&gt;""),"수정","원본")</f>
        <v/>
      </c>
      <c r="D1843" s="18" t="n">
        <v>537</v>
      </c>
      <c r="E1843" s="18" t="inlineStr">
        <is>
          <t>두빅굴</t>
        </is>
      </c>
      <c r="F1843" s="18" t="inlineStr">
        <is>
          <t>seismitoad</t>
        </is>
      </c>
      <c r="G1843" s="18" t="inlineStr">
        <is>
          <t>seismitoad</t>
        </is>
      </c>
      <c r="H1843" s="18" t="inlineStr"/>
      <c r="I1843" s="18" t="n">
        <v>5</v>
      </c>
      <c r="J1843" s="18" t="n"/>
      <c r="K1843" s="18" t="n">
        <v>5</v>
      </c>
      <c r="L1843" s="18" t="inlineStr">
        <is>
          <t>cobbleventure:generation_5</t>
        </is>
      </c>
      <c r="M1843" s="19" t="inlineStr">
        <is>
          <t>cobbleventure:generation_5</t>
        </is>
      </c>
      <c r="N1843" s="18" t="inlineStr">
        <is>
          <t>region_02</t>
        </is>
      </c>
      <c r="O1843" s="19" t="inlineStr"/>
      <c r="P1843" s="18" t="inlineStr">
        <is>
          <t>#cobblemon:is_mushroom; #cobblemon:is_swamp</t>
        </is>
      </c>
      <c r="Q1843" s="19" t="inlineStr"/>
      <c r="R1843" s="18">
        <f>IF(Q1843="",P1843,Q1843)</f>
        <v/>
      </c>
      <c r="S1843" s="18" t="inlineStr">
        <is>
          <t>#cobblemon:has_block/mud</t>
        </is>
      </c>
      <c r="T1843" s="18" t="inlineStr">
        <is>
          <t>common</t>
        </is>
      </c>
      <c r="U1843" s="20" t="n">
        <v>0.2</v>
      </c>
      <c r="V1843" s="21" t="n">
        <v>1</v>
      </c>
      <c r="W1843" s="20">
        <f>IF(OR(U1843="",V1843=""),U1843,U1843*V1843)</f>
        <v/>
      </c>
      <c r="X1843" s="18" t="inlineStr">
        <is>
          <t>20-43</t>
        </is>
      </c>
      <c r="Y1843" s="19" t="inlineStr"/>
      <c r="Z1843" s="18">
        <f>IF(Y1843="",X1843,Y1843)</f>
        <v/>
      </c>
      <c r="AA1843" s="18" t="inlineStr">
        <is>
          <t>fishing</t>
        </is>
      </c>
      <c r="AB1843" s="18" t="inlineStr"/>
      <c r="AC1843" s="18" t="inlineStr"/>
      <c r="AD1843" s="18" t="inlineStr"/>
      <c r="AE1843" s="18" t="inlineStr"/>
      <c r="AF1843" s="18" t="inlineStr">
        <is>
          <t>True</t>
        </is>
      </c>
      <c r="AG1843" s="18" t="inlineStr"/>
      <c r="AH1843" s="18" t="inlineStr"/>
      <c r="AI1843" s="18" t="inlineStr"/>
      <c r="AJ1843" s="18" t="inlineStr">
        <is>
          <t>COBBLEVERSE 추가</t>
        </is>
      </c>
      <c r="AK1843" s="18" t="inlineStr">
        <is>
          <t>사용</t>
        </is>
      </c>
      <c r="AL1843" s="18" t="inlineStr">
        <is>
          <t>COBBLEVERSE 1.7.42 / DP v31</t>
        </is>
      </c>
      <c r="AM1843" s="18" t="inlineStr">
        <is>
          <t>data/cobblemon/spawn_pool_world/0537_seismitoad.json</t>
        </is>
      </c>
      <c r="AN1843" s="18" t="inlineStr">
        <is>
          <t>seismitoad-8</t>
        </is>
      </c>
      <c r="AO1843" s="18" t="inlineStr">
        <is>
          <t>pokemon</t>
        </is>
      </c>
      <c r="AP1843" s="18" t="inlineStr"/>
      <c r="AQ1843" s="18" t="inlineStr">
        <is>
          <t>{"biomes":["#cobblemon:is_mushroom","#cobblemon:is_swamp"],"canSeeSky":true}</t>
        </is>
      </c>
      <c r="AR1843" s="18" t="inlineStr">
        <is>
          <t>{"biomes":["#cobblemon:has_block/mud"]}</t>
        </is>
      </c>
      <c r="AS1843" s="18" t="inlineStr">
        <is>
          <t>{"weightMultipliers":[{"condition":{"maxLureLevel":2,"minLureLevel":2},"multiplier":3.0},{"condition":{"minLureLevel":3},"multiplier":5.0}]}</t>
        </is>
      </c>
      <c r="AT1843" s="19" t="inlineStr"/>
    </row>
    <row r="1844" ht="32" customHeight="1">
      <c r="A1844" s="18" t="inlineStr">
        <is>
          <t>0537_seismitoad.json::seismitoad-9::009</t>
        </is>
      </c>
      <c r="B1844" s="19" t="inlineStr">
        <is>
          <t>사용</t>
        </is>
      </c>
      <c r="C1844" s="18">
        <f>IF(OR(B1844&lt;&gt;AK1844,M1844&lt;&gt;L1844,O1844&lt;&gt;"",Q1844&lt;&gt;"",V1844&lt;&gt;1,Y1844&lt;&gt;"",AT1844&lt;&gt;""),"수정","원본")</f>
        <v/>
      </c>
      <c r="D1844" s="18" t="n">
        <v>537</v>
      </c>
      <c r="E1844" s="18" t="inlineStr">
        <is>
          <t>두빅굴</t>
        </is>
      </c>
      <c r="F1844" s="18" t="inlineStr">
        <is>
          <t>seismitoad</t>
        </is>
      </c>
      <c r="G1844" s="18" t="inlineStr">
        <is>
          <t>seismitoad</t>
        </is>
      </c>
      <c r="H1844" s="18" t="inlineStr"/>
      <c r="I1844" s="18" t="n">
        <v>5</v>
      </c>
      <c r="J1844" s="18" t="n"/>
      <c r="K1844" s="18" t="n">
        <v>5</v>
      </c>
      <c r="L1844" s="18" t="inlineStr">
        <is>
          <t>cobbleventure:generation_5</t>
        </is>
      </c>
      <c r="M1844" s="19" t="inlineStr">
        <is>
          <t>cobbleventure:generation_5</t>
        </is>
      </c>
      <c r="N1844" s="18" t="inlineStr">
        <is>
          <t>region_02</t>
        </is>
      </c>
      <c r="O1844" s="19" t="inlineStr"/>
      <c r="P1844" s="18" t="inlineStr">
        <is>
          <t>#cobblemon:is_swamp</t>
        </is>
      </c>
      <c r="Q1844" s="19" t="inlineStr"/>
      <c r="R1844" s="18">
        <f>IF(Q1844="",P1844,Q1844)</f>
        <v/>
      </c>
      <c r="S1844" s="18" t="inlineStr">
        <is>
          <t>#cobblemon:has_block/mud</t>
        </is>
      </c>
      <c r="T1844" s="18" t="inlineStr">
        <is>
          <t>common</t>
        </is>
      </c>
      <c r="U1844" s="20" t="n">
        <v>0.2</v>
      </c>
      <c r="V1844" s="21" t="n">
        <v>1</v>
      </c>
      <c r="W1844" s="20">
        <f>IF(OR(U1844="",V1844=""),U1844,U1844*V1844)</f>
        <v/>
      </c>
      <c r="X1844" s="18" t="inlineStr">
        <is>
          <t>20-43</t>
        </is>
      </c>
      <c r="Y1844" s="19" t="inlineStr"/>
      <c r="Z1844" s="18">
        <f>IF(Y1844="",X1844,Y1844)</f>
        <v/>
      </c>
      <c r="AA1844" s="18" t="inlineStr">
        <is>
          <t>submerged</t>
        </is>
      </c>
      <c r="AB1844" s="18" t="inlineStr"/>
      <c r="AC1844" s="18" t="inlineStr"/>
      <c r="AD1844" s="18" t="inlineStr"/>
      <c r="AE1844" s="18" t="inlineStr">
        <is>
          <t>sky 8-15</t>
        </is>
      </c>
      <c r="AF1844" s="18" t="inlineStr">
        <is>
          <t>False</t>
        </is>
      </c>
      <c r="AG1844" s="18" t="inlineStr"/>
      <c r="AH1844" s="18" t="inlineStr"/>
      <c r="AI1844" s="18" t="inlineStr"/>
      <c r="AJ1844" s="18" t="inlineStr">
        <is>
          <t>COBBLEVERSE 추가</t>
        </is>
      </c>
      <c r="AK1844" s="18" t="inlineStr">
        <is>
          <t>사용</t>
        </is>
      </c>
      <c r="AL1844" s="18" t="inlineStr">
        <is>
          <t>COBBLEVERSE 1.7.42 / DP v31</t>
        </is>
      </c>
      <c r="AM1844" s="18" t="inlineStr">
        <is>
          <t>data/cobblemon/spawn_pool_world/0537_seismitoad.json</t>
        </is>
      </c>
      <c r="AN1844" s="18" t="inlineStr">
        <is>
          <t>seismitoad-9</t>
        </is>
      </c>
      <c r="AO1844" s="18" t="inlineStr">
        <is>
          <t>pokemon</t>
        </is>
      </c>
      <c r="AP1844" s="18" t="inlineStr">
        <is>
          <t>water</t>
        </is>
      </c>
      <c r="AQ1844" s="18" t="inlineStr">
        <is>
          <t>{"biomes":["#cobblemon:is_swamp"],"canSeeSky":false,"maxSkyLight":15,"minSkyLight":8}</t>
        </is>
      </c>
      <c r="AR1844" s="18" t="inlineStr">
        <is>
          <t>{"biomes":["#cobblemon:has_block/mud"]}</t>
        </is>
      </c>
      <c r="AS1844" s="18" t="inlineStr"/>
      <c r="AT1844" s="19" t="inlineStr"/>
    </row>
    <row r="1845" ht="32" customHeight="1">
      <c r="A1845" s="18" t="inlineStr">
        <is>
          <t>0537_seismitoad.json::seismitoad-10::010</t>
        </is>
      </c>
      <c r="B1845" s="19" t="inlineStr">
        <is>
          <t>사용</t>
        </is>
      </c>
      <c r="C1845" s="18">
        <f>IF(OR(B1845&lt;&gt;AK1845,M1845&lt;&gt;L1845,O1845&lt;&gt;"",Q1845&lt;&gt;"",V1845&lt;&gt;1,Y1845&lt;&gt;"",AT1845&lt;&gt;""),"수정","원본")</f>
        <v/>
      </c>
      <c r="D1845" s="18" t="n">
        <v>537</v>
      </c>
      <c r="E1845" s="18" t="inlineStr">
        <is>
          <t>두빅굴</t>
        </is>
      </c>
      <c r="F1845" s="18" t="inlineStr">
        <is>
          <t>seismitoad</t>
        </is>
      </c>
      <c r="G1845" s="18" t="inlineStr">
        <is>
          <t>seismitoad</t>
        </is>
      </c>
      <c r="H1845" s="18" t="inlineStr"/>
      <c r="I1845" s="18" t="n">
        <v>5</v>
      </c>
      <c r="J1845" s="18" t="n"/>
      <c r="K1845" s="18" t="n">
        <v>5</v>
      </c>
      <c r="L1845" s="18" t="inlineStr">
        <is>
          <t>cobbleventure:generation_5</t>
        </is>
      </c>
      <c r="M1845" s="19" t="inlineStr">
        <is>
          <t>cobbleventure:generation_5</t>
        </is>
      </c>
      <c r="N1845" s="18" t="inlineStr">
        <is>
          <t>region_02</t>
        </is>
      </c>
      <c r="O1845" s="19" t="inlineStr"/>
      <c r="P1845" s="18" t="inlineStr">
        <is>
          <t>#cobblemon:is_mushroom; #cobblemon:is_swamp</t>
        </is>
      </c>
      <c r="Q1845" s="19" t="inlineStr"/>
      <c r="R1845" s="18">
        <f>IF(Q1845="",P1845,Q1845)</f>
        <v/>
      </c>
      <c r="S1845" s="18" t="inlineStr">
        <is>
          <t>#cobblemon:has_block/mud</t>
        </is>
      </c>
      <c r="T1845" s="18" t="inlineStr">
        <is>
          <t>common</t>
        </is>
      </c>
      <c r="U1845" s="20" t="n">
        <v>0.2</v>
      </c>
      <c r="V1845" s="21" t="n">
        <v>1</v>
      </c>
      <c r="W1845" s="20">
        <f>IF(OR(U1845="",V1845=""),U1845,U1845*V1845)</f>
        <v/>
      </c>
      <c r="X1845" s="18" t="inlineStr">
        <is>
          <t>20-43</t>
        </is>
      </c>
      <c r="Y1845" s="19" t="inlineStr"/>
      <c r="Z1845" s="18">
        <f>IF(Y1845="",X1845,Y1845)</f>
        <v/>
      </c>
      <c r="AA1845" s="18" t="inlineStr">
        <is>
          <t>fishing</t>
        </is>
      </c>
      <c r="AB1845" s="18" t="inlineStr"/>
      <c r="AC1845" s="18" t="inlineStr"/>
      <c r="AD1845" s="18" t="inlineStr"/>
      <c r="AE1845" s="18" t="inlineStr">
        <is>
          <t>sky 8-15</t>
        </is>
      </c>
      <c r="AF1845" s="18" t="inlineStr">
        <is>
          <t>False</t>
        </is>
      </c>
      <c r="AG1845" s="18" t="inlineStr"/>
      <c r="AH1845" s="18" t="inlineStr"/>
      <c r="AI1845" s="18" t="inlineStr"/>
      <c r="AJ1845" s="18" t="inlineStr">
        <is>
          <t>COBBLEVERSE 추가</t>
        </is>
      </c>
      <c r="AK1845" s="18" t="inlineStr">
        <is>
          <t>사용</t>
        </is>
      </c>
      <c r="AL1845" s="18" t="inlineStr">
        <is>
          <t>COBBLEVERSE 1.7.42 / DP v31</t>
        </is>
      </c>
      <c r="AM1845" s="18" t="inlineStr">
        <is>
          <t>data/cobblemon/spawn_pool_world/0537_seismitoad.json</t>
        </is>
      </c>
      <c r="AN1845" s="18" t="inlineStr">
        <is>
          <t>seismitoad-10</t>
        </is>
      </c>
      <c r="AO1845" s="18" t="inlineStr">
        <is>
          <t>pokemon</t>
        </is>
      </c>
      <c r="AP1845" s="18" t="inlineStr"/>
      <c r="AQ1845" s="18" t="inlineStr">
        <is>
          <t>{"biomes":["#cobblemon:is_mushroom","#cobblemon:is_swamp"],"canSeeSky":false,"maxSkyLight":15,"minSkyLight":8}</t>
        </is>
      </c>
      <c r="AR1845" s="18" t="inlineStr">
        <is>
          <t>{"biomes":["#cobblemon:has_block/mud"]}</t>
        </is>
      </c>
      <c r="AS1845" s="18" t="inlineStr">
        <is>
          <t>{"weightMultipliers":[{"condition":{"maxLureLevel":2,"minLureLevel":2},"multiplier":3.0},{"condition":{"minLureLevel":3},"multiplier":5.0}]}</t>
        </is>
      </c>
      <c r="AT1845" s="19" t="inlineStr"/>
    </row>
    <row r="1846" ht="32" customHeight="1">
      <c r="A1846" s="18" t="inlineStr">
        <is>
          <t>0537_seismitoad.json::seismitoad-11::011</t>
        </is>
      </c>
      <c r="B1846" s="19" t="inlineStr">
        <is>
          <t>사용</t>
        </is>
      </c>
      <c r="C1846" s="18">
        <f>IF(OR(B1846&lt;&gt;AK1846,M1846&lt;&gt;L1846,O1846&lt;&gt;"",Q1846&lt;&gt;"",V1846&lt;&gt;1,Y1846&lt;&gt;"",AT1846&lt;&gt;""),"수정","원본")</f>
        <v/>
      </c>
      <c r="D1846" s="18" t="n">
        <v>537</v>
      </c>
      <c r="E1846" s="18" t="inlineStr">
        <is>
          <t>두빅굴</t>
        </is>
      </c>
      <c r="F1846" s="18" t="inlineStr">
        <is>
          <t>seismitoad</t>
        </is>
      </c>
      <c r="G1846" s="18" t="inlineStr">
        <is>
          <t>seismitoad</t>
        </is>
      </c>
      <c r="H1846" s="18" t="inlineStr"/>
      <c r="I1846" s="18" t="n">
        <v>5</v>
      </c>
      <c r="J1846" s="18" t="n"/>
      <c r="K1846" s="18" t="n">
        <v>5</v>
      </c>
      <c r="L1846" s="18" t="inlineStr">
        <is>
          <t>cobbleventure:generation_5</t>
        </is>
      </c>
      <c r="M1846" s="19" t="inlineStr">
        <is>
          <t>cobbleventure:generation_5</t>
        </is>
      </c>
      <c r="N1846" s="18" t="inlineStr">
        <is>
          <t>region_01; region_02</t>
        </is>
      </c>
      <c r="O1846" s="19" t="inlineStr"/>
      <c r="P1846" s="18" t="inlineStr">
        <is>
          <t>#cobblemon:is_overworld</t>
        </is>
      </c>
      <c r="Q1846" s="19" t="inlineStr"/>
      <c r="R1846" s="18">
        <f>IF(Q1846="",P1846,Q1846)</f>
        <v/>
      </c>
      <c r="S1846" s="18" t="inlineStr">
        <is>
          <t>#cobblemon:is_lush</t>
        </is>
      </c>
      <c r="T1846" s="18" t="inlineStr">
        <is>
          <t>common</t>
        </is>
      </c>
      <c r="U1846" s="20" t="n">
        <v>1</v>
      </c>
      <c r="V1846" s="21" t="n">
        <v>1</v>
      </c>
      <c r="W1846" s="20">
        <f>IF(OR(U1846="",V1846=""),U1846,U1846*V1846)</f>
        <v/>
      </c>
      <c r="X1846" s="18" t="inlineStr">
        <is>
          <t>20-43</t>
        </is>
      </c>
      <c r="Y1846" s="19" t="inlineStr"/>
      <c r="Z1846" s="18">
        <f>IF(Y1846="",X1846,Y1846)</f>
        <v/>
      </c>
      <c r="AA1846" s="18" t="inlineStr">
        <is>
          <t>grounded</t>
        </is>
      </c>
      <c r="AB1846" s="18" t="inlineStr"/>
      <c r="AC1846" s="18" t="inlineStr"/>
      <c r="AD1846" s="18" t="inlineStr">
        <is>
          <t>minY=-41, maxY=9</t>
        </is>
      </c>
      <c r="AE1846" s="18" t="inlineStr">
        <is>
          <t>sky 0-7</t>
        </is>
      </c>
      <c r="AF1846" s="18" t="inlineStr"/>
      <c r="AG1846" s="18" t="inlineStr">
        <is>
          <t>cobblemon:shipwreck_coves/lush_shipwreck_cove</t>
        </is>
      </c>
      <c r="AH1846" s="18" t="inlineStr"/>
      <c r="AI1846" s="18" t="inlineStr"/>
      <c r="AJ1846" s="18" t="inlineStr">
        <is>
          <t>COBBLEVERSE 추가</t>
        </is>
      </c>
      <c r="AK1846" s="18" t="inlineStr">
        <is>
          <t>사용</t>
        </is>
      </c>
      <c r="AL1846" s="18" t="inlineStr">
        <is>
          <t>COBBLEVERSE 1.7.42 / DP v31</t>
        </is>
      </c>
      <c r="AM1846" s="18" t="inlineStr">
        <is>
          <t>data/cobblemon/spawn_pool_world/0537_seismitoad.json</t>
        </is>
      </c>
      <c r="AN1846" s="18" t="inlineStr">
        <is>
          <t>seismitoad-11</t>
        </is>
      </c>
      <c r="AO1846" s="18" t="inlineStr">
        <is>
          <t>pokemon</t>
        </is>
      </c>
      <c r="AP1846" s="18" t="inlineStr">
        <is>
          <t>natural</t>
        </is>
      </c>
      <c r="AQ1846" s="18" t="inlineStr">
        <is>
          <t>{"biomes":["#cobblemon:is_overworld"],"maxSkyLight":7,"maxY":9,"minSkyLight":0,"minY":-41,"structures":["cobblemon:shipwreck_coves/lush_shipwreck_cove"]}</t>
        </is>
      </c>
      <c r="AR1846" s="18" t="inlineStr">
        <is>
          <t>{"biomes":["#cobblemon:is_lush"]}</t>
        </is>
      </c>
      <c r="AS1846" s="18" t="inlineStr"/>
      <c r="AT1846" s="19" t="inlineStr"/>
    </row>
    <row r="1847" ht="32" customHeight="1">
      <c r="A1847" s="18" t="inlineStr">
        <is>
          <t>0537_seismitoad.json::seismitoad-12::012</t>
        </is>
      </c>
      <c r="B1847" s="19" t="inlineStr">
        <is>
          <t>사용</t>
        </is>
      </c>
      <c r="C1847" s="18">
        <f>IF(OR(B1847&lt;&gt;AK1847,M1847&lt;&gt;L1847,O1847&lt;&gt;"",Q1847&lt;&gt;"",V1847&lt;&gt;1,Y1847&lt;&gt;"",AT1847&lt;&gt;""),"수정","원본")</f>
        <v/>
      </c>
      <c r="D1847" s="18" t="n">
        <v>537</v>
      </c>
      <c r="E1847" s="18" t="inlineStr">
        <is>
          <t>두빅굴</t>
        </is>
      </c>
      <c r="F1847" s="18" t="inlineStr">
        <is>
          <t>seismitoad</t>
        </is>
      </c>
      <c r="G1847" s="18" t="inlineStr">
        <is>
          <t>seismitoad</t>
        </is>
      </c>
      <c r="H1847" s="18" t="inlineStr"/>
      <c r="I1847" s="18" t="n">
        <v>5</v>
      </c>
      <c r="J1847" s="18" t="n"/>
      <c r="K1847" s="18" t="n">
        <v>5</v>
      </c>
      <c r="L1847" s="18" t="inlineStr">
        <is>
          <t>cobbleventure:generation_5</t>
        </is>
      </c>
      <c r="M1847" s="19" t="inlineStr">
        <is>
          <t>cobbleventure:generation_5</t>
        </is>
      </c>
      <c r="N1847" s="18" t="inlineStr">
        <is>
          <t>region_01; region_02</t>
        </is>
      </c>
      <c r="O1847" s="19" t="inlineStr"/>
      <c r="P1847" s="18" t="inlineStr">
        <is>
          <t>#cobblemon:is_overworld</t>
        </is>
      </c>
      <c r="Q1847" s="19" t="inlineStr"/>
      <c r="R1847" s="18">
        <f>IF(Q1847="",P1847,Q1847)</f>
        <v/>
      </c>
      <c r="S1847" s="18" t="inlineStr">
        <is>
          <t>#cobblemon:is_lush</t>
        </is>
      </c>
      <c r="T1847" s="18" t="inlineStr">
        <is>
          <t>common</t>
        </is>
      </c>
      <c r="U1847" s="20" t="n">
        <v>1</v>
      </c>
      <c r="V1847" s="21" t="n">
        <v>1</v>
      </c>
      <c r="W1847" s="20">
        <f>IF(OR(U1847="",V1847=""),U1847,U1847*V1847)</f>
        <v/>
      </c>
      <c r="X1847" s="18" t="inlineStr">
        <is>
          <t>20-43</t>
        </is>
      </c>
      <c r="Y1847" s="19" t="inlineStr"/>
      <c r="Z1847" s="18">
        <f>IF(Y1847="",X1847,Y1847)</f>
        <v/>
      </c>
      <c r="AA1847" s="18" t="inlineStr">
        <is>
          <t>submerged</t>
        </is>
      </c>
      <c r="AB1847" s="18" t="inlineStr"/>
      <c r="AC1847" s="18" t="inlineStr"/>
      <c r="AD1847" s="18" t="inlineStr">
        <is>
          <t>minY=-41, maxY=9</t>
        </is>
      </c>
      <c r="AE1847" s="18" t="inlineStr">
        <is>
          <t>sky 0-7</t>
        </is>
      </c>
      <c r="AF1847" s="18" t="inlineStr"/>
      <c r="AG1847" s="18" t="inlineStr">
        <is>
          <t>cobblemon:shipwreck_coves/lush_shipwreck_cove</t>
        </is>
      </c>
      <c r="AH1847" s="18" t="inlineStr"/>
      <c r="AI1847" s="18" t="inlineStr"/>
      <c r="AJ1847" s="18" t="inlineStr">
        <is>
          <t>COBBLEVERSE 추가</t>
        </is>
      </c>
      <c r="AK1847" s="18" t="inlineStr">
        <is>
          <t>사용</t>
        </is>
      </c>
      <c r="AL1847" s="18" t="inlineStr">
        <is>
          <t>COBBLEVERSE 1.7.42 / DP v31</t>
        </is>
      </c>
      <c r="AM1847" s="18" t="inlineStr">
        <is>
          <t>data/cobblemon/spawn_pool_world/0537_seismitoad.json</t>
        </is>
      </c>
      <c r="AN1847" s="18" t="inlineStr">
        <is>
          <t>seismitoad-12</t>
        </is>
      </c>
      <c r="AO1847" s="18" t="inlineStr">
        <is>
          <t>pokemon</t>
        </is>
      </c>
      <c r="AP1847" s="18" t="inlineStr">
        <is>
          <t>water</t>
        </is>
      </c>
      <c r="AQ1847" s="18" t="inlineStr">
        <is>
          <t>{"biomes":["#cobblemon:is_overworld"],"maxSkyLight":7,"maxY":9,"minSkyLight":0,"minY":-41,"structures":["cobblemon:shipwreck_coves/lush_shipwreck_cove"]}</t>
        </is>
      </c>
      <c r="AR1847" s="18" t="inlineStr">
        <is>
          <t>{"biomes":["#cobblemon:is_lush"]}</t>
        </is>
      </c>
      <c r="AS1847" s="18" t="inlineStr"/>
      <c r="AT1847" s="19" t="inlineStr"/>
    </row>
    <row r="1848" ht="32" customHeight="1">
      <c r="A1848" s="18" t="inlineStr">
        <is>
          <t>0537_seismitoad.json::seismitoad-13::013</t>
        </is>
      </c>
      <c r="B1848" s="19" t="inlineStr">
        <is>
          <t>사용</t>
        </is>
      </c>
      <c r="C1848" s="18">
        <f>IF(OR(B1848&lt;&gt;AK1848,M1848&lt;&gt;L1848,O1848&lt;&gt;"",Q1848&lt;&gt;"",V1848&lt;&gt;1,Y1848&lt;&gt;"",AT1848&lt;&gt;""),"수정","원본")</f>
        <v/>
      </c>
      <c r="D1848" s="18" t="n">
        <v>537</v>
      </c>
      <c r="E1848" s="18" t="inlineStr">
        <is>
          <t>두빅굴</t>
        </is>
      </c>
      <c r="F1848" s="18" t="inlineStr">
        <is>
          <t>seismitoad</t>
        </is>
      </c>
      <c r="G1848" s="18" t="inlineStr">
        <is>
          <t>seismitoad</t>
        </is>
      </c>
      <c r="H1848" s="18" t="inlineStr"/>
      <c r="I1848" s="18" t="n">
        <v>5</v>
      </c>
      <c r="J1848" s="18" t="n"/>
      <c r="K1848" s="18" t="n">
        <v>5</v>
      </c>
      <c r="L1848" s="18" t="inlineStr">
        <is>
          <t>cobbleventure:generation_5</t>
        </is>
      </c>
      <c r="M1848" s="19" t="inlineStr">
        <is>
          <t>cobbleventure:generation_5</t>
        </is>
      </c>
      <c r="N1848" s="18" t="inlineStr"/>
      <c r="O1848" s="19" t="inlineStr"/>
      <c r="P1848" s="18" t="inlineStr">
        <is>
          <t>#aether:is_aether</t>
        </is>
      </c>
      <c r="Q1848" s="19" t="inlineStr"/>
      <c r="R1848" s="18">
        <f>IF(Q1848="",P1848,Q1848)</f>
        <v/>
      </c>
      <c r="S1848" s="18" t="inlineStr"/>
      <c r="T1848" s="18" t="inlineStr">
        <is>
          <t>uncommon</t>
        </is>
      </c>
      <c r="U1848" s="20" t="n">
        <v>1.6</v>
      </c>
      <c r="V1848" s="21" t="n">
        <v>1</v>
      </c>
      <c r="W1848" s="20">
        <f>IF(OR(U1848="",V1848=""),U1848,U1848*V1848)</f>
        <v/>
      </c>
      <c r="X1848" s="18" t="inlineStr">
        <is>
          <t>20-43</t>
        </is>
      </c>
      <c r="Y1848" s="19" t="inlineStr"/>
      <c r="Z1848" s="18">
        <f>IF(Y1848="",X1848,Y1848)</f>
        <v/>
      </c>
      <c r="AA1848" s="18" t="inlineStr">
        <is>
          <t>grounded</t>
        </is>
      </c>
      <c r="AB1848" s="18" t="inlineStr"/>
      <c r="AC1848" s="18" t="inlineStr"/>
      <c r="AD1848" s="18" t="inlineStr"/>
      <c r="AE1848" s="18" t="inlineStr">
        <is>
          <t>sky 0-7</t>
        </is>
      </c>
      <c r="AF1848" s="18" t="inlineStr"/>
      <c r="AG1848" s="18" t="inlineStr"/>
      <c r="AH1848" s="18" t="inlineStr">
        <is>
          <t>주변=#minecraft:water</t>
        </is>
      </c>
      <c r="AI1848" s="18" t="inlineStr"/>
      <c r="AJ1848" s="18" t="inlineStr">
        <is>
          <t>COBBLEVERSE 추가</t>
        </is>
      </c>
      <c r="AK1848" s="18" t="inlineStr">
        <is>
          <t>사용</t>
        </is>
      </c>
      <c r="AL1848" s="18" t="inlineStr">
        <is>
          <t>COBBLEVERSE 1.7.42 / DP v31</t>
        </is>
      </c>
      <c r="AM1848" s="18" t="inlineStr">
        <is>
          <t>data/cobblemon/spawn_pool_world/0537_seismitoad.json</t>
        </is>
      </c>
      <c r="AN1848" s="18" t="inlineStr">
        <is>
          <t>seismitoad-13</t>
        </is>
      </c>
      <c r="AO1848" s="18" t="inlineStr">
        <is>
          <t>pokemon</t>
        </is>
      </c>
      <c r="AP1848" s="18" t="inlineStr">
        <is>
          <t>natural</t>
        </is>
      </c>
      <c r="AQ1848" s="18" t="inlineStr">
        <is>
          <t>{"biomes":["#aether:is_aether"],"maxSkyLight":7,"minSkyLight":0,"neededNearbyBlocks":["#minecraft:water"]}</t>
        </is>
      </c>
      <c r="AR1848" s="18" t="inlineStr"/>
      <c r="AS1848" s="18" t="inlineStr"/>
      <c r="AT1848" s="19" t="inlineStr"/>
    </row>
    <row r="1849" ht="32" customHeight="1">
      <c r="A1849" s="18" t="inlineStr">
        <is>
          <t>0537_seismitoad.json::seismitoad-14::014</t>
        </is>
      </c>
      <c r="B1849" s="19" t="inlineStr">
        <is>
          <t>사용</t>
        </is>
      </c>
      <c r="C1849" s="18">
        <f>IF(OR(B1849&lt;&gt;AK1849,M1849&lt;&gt;L1849,O1849&lt;&gt;"",Q1849&lt;&gt;"",V1849&lt;&gt;1,Y1849&lt;&gt;"",AT1849&lt;&gt;""),"수정","원본")</f>
        <v/>
      </c>
      <c r="D1849" s="18" t="n">
        <v>537</v>
      </c>
      <c r="E1849" s="18" t="inlineStr">
        <is>
          <t>두빅굴</t>
        </is>
      </c>
      <c r="F1849" s="18" t="inlineStr">
        <is>
          <t>seismitoad</t>
        </is>
      </c>
      <c r="G1849" s="18" t="inlineStr">
        <is>
          <t>seismitoad</t>
        </is>
      </c>
      <c r="H1849" s="18" t="inlineStr"/>
      <c r="I1849" s="18" t="n">
        <v>5</v>
      </c>
      <c r="J1849" s="18" t="n"/>
      <c r="K1849" s="18" t="n">
        <v>5</v>
      </c>
      <c r="L1849" s="18" t="inlineStr">
        <is>
          <t>cobbleventure:generation_5</t>
        </is>
      </c>
      <c r="M1849" s="19" t="inlineStr">
        <is>
          <t>cobbleventure:generation_5</t>
        </is>
      </c>
      <c r="N1849" s="18" t="inlineStr"/>
      <c r="O1849" s="19" t="inlineStr"/>
      <c r="P1849" s="18" t="inlineStr">
        <is>
          <t>#aether:is_aether</t>
        </is>
      </c>
      <c r="Q1849" s="19" t="inlineStr"/>
      <c r="R1849" s="18">
        <f>IF(Q1849="",P1849,Q1849)</f>
        <v/>
      </c>
      <c r="S1849" s="18" t="inlineStr"/>
      <c r="T1849" s="18" t="inlineStr">
        <is>
          <t>uncommon</t>
        </is>
      </c>
      <c r="U1849" s="20" t="n">
        <v>1.6</v>
      </c>
      <c r="V1849" s="21" t="n">
        <v>1</v>
      </c>
      <c r="W1849" s="20">
        <f>IF(OR(U1849="",V1849=""),U1849,U1849*V1849)</f>
        <v/>
      </c>
      <c r="X1849" s="18" t="inlineStr">
        <is>
          <t>20-43</t>
        </is>
      </c>
      <c r="Y1849" s="19" t="inlineStr"/>
      <c r="Z1849" s="18">
        <f>IF(Y1849="",X1849,Y1849)</f>
        <v/>
      </c>
      <c r="AA1849" s="18" t="inlineStr">
        <is>
          <t>submerged</t>
        </is>
      </c>
      <c r="AB1849" s="18" t="inlineStr"/>
      <c r="AC1849" s="18" t="inlineStr"/>
      <c r="AD1849" s="18" t="inlineStr"/>
      <c r="AE1849" s="18" t="inlineStr">
        <is>
          <t>sky 0-7</t>
        </is>
      </c>
      <c r="AF1849" s="18" t="inlineStr"/>
      <c r="AG1849" s="18" t="inlineStr"/>
      <c r="AH1849" s="18" t="inlineStr"/>
      <c r="AI1849" s="18" t="inlineStr"/>
      <c r="AJ1849" s="18" t="inlineStr">
        <is>
          <t>COBBLEVERSE 추가</t>
        </is>
      </c>
      <c r="AK1849" s="18" t="inlineStr">
        <is>
          <t>사용</t>
        </is>
      </c>
      <c r="AL1849" s="18" t="inlineStr">
        <is>
          <t>COBBLEVERSE 1.7.42 / DP v31</t>
        </is>
      </c>
      <c r="AM1849" s="18" t="inlineStr">
        <is>
          <t>data/cobblemon/spawn_pool_world/0537_seismitoad.json</t>
        </is>
      </c>
      <c r="AN1849" s="18" t="inlineStr">
        <is>
          <t>seismitoad-14</t>
        </is>
      </c>
      <c r="AO1849" s="18" t="inlineStr">
        <is>
          <t>pokemon</t>
        </is>
      </c>
      <c r="AP1849" s="18" t="inlineStr">
        <is>
          <t>water</t>
        </is>
      </c>
      <c r="AQ1849" s="18" t="inlineStr">
        <is>
          <t>{"biomes":["#aether:is_aether"],"maxSkyLight":7,"minSkyLight":0}</t>
        </is>
      </c>
      <c r="AR1849" s="18" t="inlineStr"/>
      <c r="AS1849" s="18" t="inlineStr"/>
      <c r="AT1849" s="19" t="inlineStr"/>
    </row>
    <row r="1850" ht="32" customHeight="1">
      <c r="A1850" s="18" t="inlineStr">
        <is>
          <t>0538_throh.json::throh-1::001</t>
        </is>
      </c>
      <c r="B1850" s="19" t="inlineStr">
        <is>
          <t>사용</t>
        </is>
      </c>
      <c r="C1850" s="18">
        <f>IF(OR(B1850&lt;&gt;AK1850,M1850&lt;&gt;L1850,O1850&lt;&gt;"",Q1850&lt;&gt;"",V1850&lt;&gt;1,Y1850&lt;&gt;"",AT1850&lt;&gt;""),"수정","원본")</f>
        <v/>
      </c>
      <c r="D1850" s="18" t="n">
        <v>538</v>
      </c>
      <c r="E1850" s="18" t="inlineStr">
        <is>
          <t>던지미</t>
        </is>
      </c>
      <c r="F1850" s="18" t="inlineStr">
        <is>
          <t>throh</t>
        </is>
      </c>
      <c r="G1850" s="18" t="inlineStr">
        <is>
          <t>throh</t>
        </is>
      </c>
      <c r="H1850" s="18" t="inlineStr"/>
      <c r="I1850" s="18" t="n">
        <v>5</v>
      </c>
      <c r="J1850" s="18" t="n"/>
      <c r="K1850" s="18" t="n">
        <v>5</v>
      </c>
      <c r="L1850" s="18" t="inlineStr">
        <is>
          <t>cobbleventure:generation_5</t>
        </is>
      </c>
      <c r="M1850" s="19" t="inlineStr">
        <is>
          <t>cobbleventure:generation_5</t>
        </is>
      </c>
      <c r="N1850" s="18" t="inlineStr">
        <is>
          <t>region_02</t>
        </is>
      </c>
      <c r="O1850" s="19" t="inlineStr"/>
      <c r="P1850" s="18" t="inlineStr">
        <is>
          <t>#cobblemon:is_arid</t>
        </is>
      </c>
      <c r="Q1850" s="19" t="inlineStr"/>
      <c r="R1850" s="18">
        <f>IF(Q1850="",P1850,Q1850)</f>
        <v/>
      </c>
      <c r="S1850" s="18" t="inlineStr"/>
      <c r="T1850" s="18" t="inlineStr">
        <is>
          <t>rare</t>
        </is>
      </c>
      <c r="U1850" s="20" t="n">
        <v>8</v>
      </c>
      <c r="V1850" s="21" t="n">
        <v>1</v>
      </c>
      <c r="W1850" s="20">
        <f>IF(OR(U1850="",V1850=""),U1850,U1850*V1850)</f>
        <v/>
      </c>
      <c r="X1850" s="18" t="inlineStr">
        <is>
          <t>36-63</t>
        </is>
      </c>
      <c r="Y1850" s="19" t="inlineStr"/>
      <c r="Z1850" s="18">
        <f>IF(Y1850="",X1850,Y1850)</f>
        <v/>
      </c>
      <c r="AA1850" s="18" t="inlineStr">
        <is>
          <t>grounded</t>
        </is>
      </c>
      <c r="AB1850" s="18" t="inlineStr"/>
      <c r="AC1850" s="18" t="inlineStr"/>
      <c r="AD1850" s="18" t="inlineStr"/>
      <c r="AE1850" s="18" t="inlineStr"/>
      <c r="AF1850" s="18" t="inlineStr"/>
      <c r="AG1850" s="18" t="inlineStr"/>
      <c r="AH1850" s="18" t="inlineStr"/>
      <c r="AI1850" s="18" t="inlineStr"/>
      <c r="AJ1850" s="18" t="inlineStr">
        <is>
          <t>COBBLEVERSE 수정</t>
        </is>
      </c>
      <c r="AK1850" s="18" t="inlineStr">
        <is>
          <t>사용</t>
        </is>
      </c>
      <c r="AL1850" s="18" t="inlineStr">
        <is>
          <t>COBBLEVERSE 1.7.42 / DP v31</t>
        </is>
      </c>
      <c r="AM1850" s="18" t="inlineStr">
        <is>
          <t>data/cobblemon/spawn_pool_world/0538_throh.json</t>
        </is>
      </c>
      <c r="AN1850" s="18" t="inlineStr">
        <is>
          <t>throh-1</t>
        </is>
      </c>
      <c r="AO1850" s="18" t="inlineStr">
        <is>
          <t>pokemon</t>
        </is>
      </c>
      <c r="AP1850" s="18" t="inlineStr">
        <is>
          <t>natural</t>
        </is>
      </c>
      <c r="AQ1850" s="18" t="inlineStr">
        <is>
          <t>{"biomes":["#cobblemon:is_arid"]}</t>
        </is>
      </c>
      <c r="AR1850" s="18" t="inlineStr"/>
      <c r="AS1850" s="18" t="inlineStr"/>
      <c r="AT1850" s="19" t="inlineStr"/>
    </row>
    <row r="1851" ht="32" customHeight="1">
      <c r="A1851" s="18" t="inlineStr">
        <is>
          <t>0539_sawk.json::sawk-1::001</t>
        </is>
      </c>
      <c r="B1851" s="19" t="inlineStr">
        <is>
          <t>사용</t>
        </is>
      </c>
      <c r="C1851" s="18">
        <f>IF(OR(B1851&lt;&gt;AK1851,M1851&lt;&gt;L1851,O1851&lt;&gt;"",Q1851&lt;&gt;"",V1851&lt;&gt;1,Y1851&lt;&gt;"",AT1851&lt;&gt;""),"수정","원본")</f>
        <v/>
      </c>
      <c r="D1851" s="18" t="n">
        <v>539</v>
      </c>
      <c r="E1851" s="18" t="inlineStr">
        <is>
          <t>타격귀</t>
        </is>
      </c>
      <c r="F1851" s="18" t="inlineStr">
        <is>
          <t>sawk</t>
        </is>
      </c>
      <c r="G1851" s="18" t="inlineStr">
        <is>
          <t>sawk</t>
        </is>
      </c>
      <c r="H1851" s="18" t="inlineStr"/>
      <c r="I1851" s="18" t="n">
        <v>5</v>
      </c>
      <c r="J1851" s="18" t="n"/>
      <c r="K1851" s="18" t="n">
        <v>5</v>
      </c>
      <c r="L1851" s="18" t="inlineStr">
        <is>
          <t>cobbleventure:generation_5</t>
        </is>
      </c>
      <c r="M1851" s="19" t="inlineStr">
        <is>
          <t>cobbleventure:generation_5</t>
        </is>
      </c>
      <c r="N1851" s="18" t="inlineStr">
        <is>
          <t>region_02</t>
        </is>
      </c>
      <c r="O1851" s="19" t="inlineStr"/>
      <c r="P1851" s="18" t="inlineStr">
        <is>
          <t>#cobblemon:is_arid</t>
        </is>
      </c>
      <c r="Q1851" s="19" t="inlineStr"/>
      <c r="R1851" s="18">
        <f>IF(Q1851="",P1851,Q1851)</f>
        <v/>
      </c>
      <c r="S1851" s="18" t="inlineStr"/>
      <c r="T1851" s="18" t="inlineStr">
        <is>
          <t>rare</t>
        </is>
      </c>
      <c r="U1851" s="20" t="n">
        <v>8</v>
      </c>
      <c r="V1851" s="21" t="n">
        <v>1</v>
      </c>
      <c r="W1851" s="20">
        <f>IF(OR(U1851="",V1851=""),U1851,U1851*V1851)</f>
        <v/>
      </c>
      <c r="X1851" s="18" t="inlineStr">
        <is>
          <t>36-63</t>
        </is>
      </c>
      <c r="Y1851" s="19" t="inlineStr"/>
      <c r="Z1851" s="18">
        <f>IF(Y1851="",X1851,Y1851)</f>
        <v/>
      </c>
      <c r="AA1851" s="18" t="inlineStr">
        <is>
          <t>grounded</t>
        </is>
      </c>
      <c r="AB1851" s="18" t="inlineStr"/>
      <c r="AC1851" s="18" t="inlineStr"/>
      <c r="AD1851" s="18" t="inlineStr"/>
      <c r="AE1851" s="18" t="inlineStr"/>
      <c r="AF1851" s="18" t="inlineStr"/>
      <c r="AG1851" s="18" t="inlineStr"/>
      <c r="AH1851" s="18" t="inlineStr"/>
      <c r="AI1851" s="18" t="inlineStr"/>
      <c r="AJ1851" s="18" t="inlineStr">
        <is>
          <t>COBBLEVERSE 수정</t>
        </is>
      </c>
      <c r="AK1851" s="18" t="inlineStr">
        <is>
          <t>사용</t>
        </is>
      </c>
      <c r="AL1851" s="18" t="inlineStr">
        <is>
          <t>COBBLEVERSE 1.7.42 / DP v31</t>
        </is>
      </c>
      <c r="AM1851" s="18" t="inlineStr">
        <is>
          <t>data/cobblemon/spawn_pool_world/0539_sawk.json</t>
        </is>
      </c>
      <c r="AN1851" s="18" t="inlineStr">
        <is>
          <t>sawk-1</t>
        </is>
      </c>
      <c r="AO1851" s="18" t="inlineStr">
        <is>
          <t>pokemon</t>
        </is>
      </c>
      <c r="AP1851" s="18" t="inlineStr">
        <is>
          <t>natural</t>
        </is>
      </c>
      <c r="AQ1851" s="18" t="inlineStr">
        <is>
          <t>{"biomes":["#cobblemon:is_arid"]}</t>
        </is>
      </c>
      <c r="AR1851" s="18" t="inlineStr"/>
      <c r="AS1851" s="18" t="inlineStr"/>
      <c r="AT1851" s="19" t="inlineStr"/>
    </row>
    <row r="1852" ht="32" customHeight="1">
      <c r="A1852" s="18" t="inlineStr">
        <is>
          <t>0540_sewaddle.json::sewaddle-1::001</t>
        </is>
      </c>
      <c r="B1852" s="19" t="inlineStr">
        <is>
          <t>사용</t>
        </is>
      </c>
      <c r="C1852" s="18">
        <f>IF(OR(B1852&lt;&gt;AK1852,M1852&lt;&gt;L1852,O1852&lt;&gt;"",Q1852&lt;&gt;"",V1852&lt;&gt;1,Y1852&lt;&gt;"",AT1852&lt;&gt;""),"수정","원본")</f>
        <v/>
      </c>
      <c r="D1852" s="18" t="n">
        <v>540</v>
      </c>
      <c r="E1852" s="18" t="inlineStr">
        <is>
          <t>두르보</t>
        </is>
      </c>
      <c r="F1852" s="18" t="inlineStr">
        <is>
          <t>sewaddle</t>
        </is>
      </c>
      <c r="G1852" s="18" t="inlineStr">
        <is>
          <t>sewaddle</t>
        </is>
      </c>
      <c r="H1852" s="18" t="inlineStr"/>
      <c r="I1852" s="18" t="n">
        <v>5</v>
      </c>
      <c r="J1852" s="18" t="n"/>
      <c r="K1852" s="18" t="n">
        <v>5</v>
      </c>
      <c r="L1852" s="18" t="inlineStr">
        <is>
          <t>cobbleventure:generation_5</t>
        </is>
      </c>
      <c r="M1852" s="19" t="inlineStr">
        <is>
          <t>cobbleventure:generation_5</t>
        </is>
      </c>
      <c r="N1852" s="18" t="inlineStr">
        <is>
          <t>region_01</t>
        </is>
      </c>
      <c r="O1852" s="19" t="inlineStr"/>
      <c r="P1852" s="18" t="inlineStr">
        <is>
          <t>#cobblemon:is_forest</t>
        </is>
      </c>
      <c r="Q1852" s="19" t="inlineStr"/>
      <c r="R1852" s="18">
        <f>IF(Q1852="",P1852,Q1852)</f>
        <v/>
      </c>
      <c r="S1852" s="18" t="inlineStr">
        <is>
          <t>#cobblemon:is_freezing; #cobblemon:is_spooky</t>
        </is>
      </c>
      <c r="T1852" s="18" t="inlineStr">
        <is>
          <t>common</t>
        </is>
      </c>
      <c r="U1852" s="20" t="n">
        <v>9</v>
      </c>
      <c r="V1852" s="21" t="n">
        <v>1</v>
      </c>
      <c r="W1852" s="20">
        <f>IF(OR(U1852="",V1852=""),U1852,U1852*V1852)</f>
        <v/>
      </c>
      <c r="X1852" s="18" t="inlineStr">
        <is>
          <t>6-31</t>
        </is>
      </c>
      <c r="Y1852" s="19" t="inlineStr"/>
      <c r="Z1852" s="18">
        <f>IF(Y1852="",X1852,Y1852)</f>
        <v/>
      </c>
      <c r="AA1852" s="18" t="inlineStr">
        <is>
          <t>grounded</t>
        </is>
      </c>
      <c r="AB1852" s="18" t="inlineStr"/>
      <c r="AC1852" s="18" t="inlineStr"/>
      <c r="AD1852" s="18" t="inlineStr"/>
      <c r="AE1852" s="18" t="inlineStr">
        <is>
          <t>sky 8-15</t>
        </is>
      </c>
      <c r="AF1852" s="18" t="inlineStr"/>
      <c r="AG1852" s="18" t="inlineStr"/>
      <c r="AH1852" s="18" t="inlineStr"/>
      <c r="AI1852" s="18" t="inlineStr"/>
      <c r="AJ1852" s="18" t="inlineStr">
        <is>
          <t>Cobblemon 동일</t>
        </is>
      </c>
      <c r="AK1852" s="18" t="inlineStr">
        <is>
          <t>사용</t>
        </is>
      </c>
      <c r="AL1852" s="18" t="inlineStr">
        <is>
          <t>COBBLEVERSE 1.7.42 / DP v31</t>
        </is>
      </c>
      <c r="AM1852" s="18" t="inlineStr">
        <is>
          <t>data/cobblemon/spawn_pool_world/0540_sewaddle.json</t>
        </is>
      </c>
      <c r="AN1852" s="18" t="inlineStr">
        <is>
          <t>sewaddle-1</t>
        </is>
      </c>
      <c r="AO1852" s="18" t="inlineStr">
        <is>
          <t>pokemon</t>
        </is>
      </c>
      <c r="AP1852" s="18" t="inlineStr">
        <is>
          <t>natural; wild</t>
        </is>
      </c>
      <c r="AQ1852" s="18" t="inlineStr">
        <is>
          <t>{"biomes":["#cobblemon:is_forest"],"maxSkyLight":15,"minSkyLight":8}</t>
        </is>
      </c>
      <c r="AR1852" s="18" t="inlineStr">
        <is>
          <t>{"biomes":["#cobblemon:is_freezing","#cobblemon:is_spooky"]}</t>
        </is>
      </c>
      <c r="AS1852" s="18" t="inlineStr"/>
      <c r="AT1852" s="19" t="inlineStr"/>
    </row>
    <row r="1853" ht="32" customHeight="1">
      <c r="A1853" s="18" t="inlineStr">
        <is>
          <t>0541_swadloon.json::swadloon-1::001</t>
        </is>
      </c>
      <c r="B1853" s="19" t="inlineStr">
        <is>
          <t>사용</t>
        </is>
      </c>
      <c r="C1853" s="18">
        <f>IF(OR(B1853&lt;&gt;AK1853,M1853&lt;&gt;L1853,O1853&lt;&gt;"",Q1853&lt;&gt;"",V1853&lt;&gt;1,Y1853&lt;&gt;"",AT1853&lt;&gt;""),"수정","원본")</f>
        <v/>
      </c>
      <c r="D1853" s="18" t="n">
        <v>541</v>
      </c>
      <c r="E1853" s="18" t="inlineStr">
        <is>
          <t>두르쿤</t>
        </is>
      </c>
      <c r="F1853" s="18" t="inlineStr">
        <is>
          <t>swadloon</t>
        </is>
      </c>
      <c r="G1853" s="18" t="inlineStr">
        <is>
          <t>swadloon</t>
        </is>
      </c>
      <c r="H1853" s="18" t="inlineStr"/>
      <c r="I1853" s="18" t="n">
        <v>5</v>
      </c>
      <c r="J1853" s="18" t="n"/>
      <c r="K1853" s="18" t="n">
        <v>5</v>
      </c>
      <c r="L1853" s="18" t="inlineStr">
        <is>
          <t>cobbleventure:generation_5</t>
        </is>
      </c>
      <c r="M1853" s="19" t="inlineStr">
        <is>
          <t>cobbleventure:generation_5</t>
        </is>
      </c>
      <c r="N1853" s="18" t="inlineStr">
        <is>
          <t>region_01</t>
        </is>
      </c>
      <c r="O1853" s="19" t="inlineStr"/>
      <c r="P1853" s="18" t="inlineStr">
        <is>
          <t>#cobblemon:is_forest</t>
        </is>
      </c>
      <c r="Q1853" s="19" t="inlineStr"/>
      <c r="R1853" s="18">
        <f>IF(Q1853="",P1853,Q1853)</f>
        <v/>
      </c>
      <c r="S1853" s="18" t="inlineStr">
        <is>
          <t>#cobblemon:is_freezing; #cobblemon:is_spooky</t>
        </is>
      </c>
      <c r="T1853" s="18" t="inlineStr">
        <is>
          <t>common</t>
        </is>
      </c>
      <c r="U1853" s="20" t="n">
        <v>0.9</v>
      </c>
      <c r="V1853" s="21" t="n">
        <v>1</v>
      </c>
      <c r="W1853" s="20">
        <f>IF(OR(U1853="",V1853=""),U1853,U1853*V1853)</f>
        <v/>
      </c>
      <c r="X1853" s="18" t="inlineStr">
        <is>
          <t>20-38</t>
        </is>
      </c>
      <c r="Y1853" s="19" t="inlineStr"/>
      <c r="Z1853" s="18">
        <f>IF(Y1853="",X1853,Y1853)</f>
        <v/>
      </c>
      <c r="AA1853" s="18" t="inlineStr">
        <is>
          <t>grounded</t>
        </is>
      </c>
      <c r="AB1853" s="18" t="inlineStr"/>
      <c r="AC1853" s="18" t="inlineStr"/>
      <c r="AD1853" s="18" t="inlineStr"/>
      <c r="AE1853" s="18" t="inlineStr">
        <is>
          <t>sky 8-15</t>
        </is>
      </c>
      <c r="AF1853" s="18" t="inlineStr"/>
      <c r="AG1853" s="18" t="inlineStr"/>
      <c r="AH1853" s="18" t="inlineStr"/>
      <c r="AI1853" s="18" t="inlineStr"/>
      <c r="AJ1853" s="18" t="inlineStr">
        <is>
          <t>Cobblemon 동일</t>
        </is>
      </c>
      <c r="AK1853" s="18" t="inlineStr">
        <is>
          <t>사용</t>
        </is>
      </c>
      <c r="AL1853" s="18" t="inlineStr">
        <is>
          <t>COBBLEVERSE 1.7.42 / DP v31</t>
        </is>
      </c>
      <c r="AM1853" s="18" t="inlineStr">
        <is>
          <t>data/cobblemon/spawn_pool_world/0541_swadloon.json</t>
        </is>
      </c>
      <c r="AN1853" s="18" t="inlineStr">
        <is>
          <t>swadloon-1</t>
        </is>
      </c>
      <c r="AO1853" s="18" t="inlineStr">
        <is>
          <t>pokemon</t>
        </is>
      </c>
      <c r="AP1853" s="18" t="inlineStr">
        <is>
          <t>natural; wild</t>
        </is>
      </c>
      <c r="AQ1853" s="18" t="inlineStr">
        <is>
          <t>{"biomes":["#cobblemon:is_forest"],"maxSkyLight":15,"minSkyLight":8}</t>
        </is>
      </c>
      <c r="AR1853" s="18" t="inlineStr">
        <is>
          <t>{"biomes":["#cobblemon:is_freezing","#cobblemon:is_spooky"]}</t>
        </is>
      </c>
      <c r="AS1853" s="18" t="inlineStr"/>
      <c r="AT1853" s="19" t="inlineStr"/>
    </row>
    <row r="1854" ht="32" customHeight="1">
      <c r="A1854" s="18" t="inlineStr">
        <is>
          <t>0542_leavanny.json::leavanny-1::001</t>
        </is>
      </c>
      <c r="B1854" s="19" t="inlineStr">
        <is>
          <t>사용</t>
        </is>
      </c>
      <c r="C1854" s="18">
        <f>IF(OR(B1854&lt;&gt;AK1854,M1854&lt;&gt;L1854,O1854&lt;&gt;"",Q1854&lt;&gt;"",V1854&lt;&gt;1,Y1854&lt;&gt;"",AT1854&lt;&gt;""),"수정","원본")</f>
        <v/>
      </c>
      <c r="D1854" s="18" t="n">
        <v>542</v>
      </c>
      <c r="E1854" s="18" t="inlineStr">
        <is>
          <t>모아머</t>
        </is>
      </c>
      <c r="F1854" s="18" t="inlineStr">
        <is>
          <t>leavanny</t>
        </is>
      </c>
      <c r="G1854" s="18" t="inlineStr">
        <is>
          <t>leavanny</t>
        </is>
      </c>
      <c r="H1854" s="18" t="inlineStr"/>
      <c r="I1854" s="18" t="n">
        <v>5</v>
      </c>
      <c r="J1854" s="18" t="n"/>
      <c r="K1854" s="18" t="n">
        <v>5</v>
      </c>
      <c r="L1854" s="18" t="inlineStr">
        <is>
          <t>cobbleventure:generation_5</t>
        </is>
      </c>
      <c r="M1854" s="19" t="inlineStr">
        <is>
          <t>cobbleventure:generation_5</t>
        </is>
      </c>
      <c r="N1854" s="18" t="inlineStr">
        <is>
          <t>region_01</t>
        </is>
      </c>
      <c r="O1854" s="19" t="inlineStr"/>
      <c r="P1854" s="18" t="inlineStr">
        <is>
          <t>#cobblemon:is_forest</t>
        </is>
      </c>
      <c r="Q1854" s="19" t="inlineStr"/>
      <c r="R1854" s="18">
        <f>IF(Q1854="",P1854,Q1854)</f>
        <v/>
      </c>
      <c r="S1854" s="18" t="inlineStr">
        <is>
          <t>#cobblemon:is_freezing; #cobblemon:is_spooky</t>
        </is>
      </c>
      <c r="T1854" s="18" t="inlineStr">
        <is>
          <t>common</t>
        </is>
      </c>
      <c r="U1854" s="20" t="n">
        <v>0.1</v>
      </c>
      <c r="V1854" s="21" t="n">
        <v>1</v>
      </c>
      <c r="W1854" s="20">
        <f>IF(OR(U1854="",V1854=""),U1854,U1854*V1854)</f>
        <v/>
      </c>
      <c r="X1854" s="18" t="inlineStr">
        <is>
          <t>33-50</t>
        </is>
      </c>
      <c r="Y1854" s="19" t="inlineStr"/>
      <c r="Z1854" s="18">
        <f>IF(Y1854="",X1854,Y1854)</f>
        <v/>
      </c>
      <c r="AA1854" s="18" t="inlineStr">
        <is>
          <t>grounded</t>
        </is>
      </c>
      <c r="AB1854" s="18" t="inlineStr"/>
      <c r="AC1854" s="18" t="inlineStr"/>
      <c r="AD1854" s="18" t="inlineStr"/>
      <c r="AE1854" s="18" t="inlineStr">
        <is>
          <t>sky 8-15</t>
        </is>
      </c>
      <c r="AF1854" s="18" t="inlineStr"/>
      <c r="AG1854" s="18" t="inlineStr"/>
      <c r="AH1854" s="18" t="inlineStr"/>
      <c r="AI1854" s="18" t="inlineStr"/>
      <c r="AJ1854" s="18" t="inlineStr">
        <is>
          <t>Cobblemon 동일</t>
        </is>
      </c>
      <c r="AK1854" s="18" t="inlineStr">
        <is>
          <t>사용</t>
        </is>
      </c>
      <c r="AL1854" s="18" t="inlineStr">
        <is>
          <t>COBBLEVERSE 1.7.42 / DP v31</t>
        </is>
      </c>
      <c r="AM1854" s="18" t="inlineStr">
        <is>
          <t>data/cobblemon/spawn_pool_world/0542_leavanny.json</t>
        </is>
      </c>
      <c r="AN1854" s="18" t="inlineStr">
        <is>
          <t>leavanny-1</t>
        </is>
      </c>
      <c r="AO1854" s="18" t="inlineStr">
        <is>
          <t>pokemon</t>
        </is>
      </c>
      <c r="AP1854" s="18" t="inlineStr">
        <is>
          <t>natural; wild</t>
        </is>
      </c>
      <c r="AQ1854" s="18" t="inlineStr">
        <is>
          <t>{"biomes":["#cobblemon:is_forest"],"maxSkyLight":15,"minSkyLight":8}</t>
        </is>
      </c>
      <c r="AR1854" s="18" t="inlineStr">
        <is>
          <t>{"biomes":["#cobblemon:is_freezing","#cobblemon:is_spooky"]}</t>
        </is>
      </c>
      <c r="AS1854" s="18" t="inlineStr"/>
      <c r="AT1854" s="19" t="inlineStr"/>
    </row>
    <row r="1855" ht="32" customHeight="1">
      <c r="A1855" s="18" t="inlineStr">
        <is>
          <t>0543_venipede.json::venipede-1::001</t>
        </is>
      </c>
      <c r="B1855" s="19" t="inlineStr">
        <is>
          <t>사용</t>
        </is>
      </c>
      <c r="C1855" s="18">
        <f>IF(OR(B1855&lt;&gt;AK1855,M1855&lt;&gt;L1855,O1855&lt;&gt;"",Q1855&lt;&gt;"",V1855&lt;&gt;1,Y1855&lt;&gt;"",AT1855&lt;&gt;""),"수정","원본")</f>
        <v/>
      </c>
      <c r="D1855" s="18" t="n">
        <v>543</v>
      </c>
      <c r="E1855" s="18" t="inlineStr">
        <is>
          <t>마디네</t>
        </is>
      </c>
      <c r="F1855" s="18" t="inlineStr">
        <is>
          <t>venipede</t>
        </is>
      </c>
      <c r="G1855" s="18" t="inlineStr">
        <is>
          <t>venipede</t>
        </is>
      </c>
      <c r="H1855" s="18" t="inlineStr"/>
      <c r="I1855" s="18" t="n">
        <v>5</v>
      </c>
      <c r="J1855" s="18" t="n"/>
      <c r="K1855" s="18" t="n">
        <v>5</v>
      </c>
      <c r="L1855" s="18" t="inlineStr">
        <is>
          <t>cobbleventure:generation_5</t>
        </is>
      </c>
      <c r="M1855" s="19" t="inlineStr">
        <is>
          <t>cobbleventure:generation_5</t>
        </is>
      </c>
      <c r="N1855" s="18" t="inlineStr">
        <is>
          <t>region_01</t>
        </is>
      </c>
      <c r="O1855" s="19" t="inlineStr"/>
      <c r="P1855" s="18" t="inlineStr">
        <is>
          <t>#cobblemon:is_forest</t>
        </is>
      </c>
      <c r="Q1855" s="19" t="inlineStr"/>
      <c r="R1855" s="18">
        <f>IF(Q1855="",P1855,Q1855)</f>
        <v/>
      </c>
      <c r="S1855" s="18" t="inlineStr"/>
      <c r="T1855" s="18" t="inlineStr">
        <is>
          <t>common</t>
        </is>
      </c>
      <c r="U1855" s="20" t="n">
        <v>1.8</v>
      </c>
      <c r="V1855" s="21" t="n">
        <v>1</v>
      </c>
      <c r="W1855" s="20">
        <f>IF(OR(U1855="",V1855=""),U1855,U1855*V1855)</f>
        <v/>
      </c>
      <c r="X1855" s="18" t="inlineStr">
        <is>
          <t>1-26</t>
        </is>
      </c>
      <c r="Y1855" s="19" t="inlineStr"/>
      <c r="Z1855" s="18">
        <f>IF(Y1855="",X1855,Y1855)</f>
        <v/>
      </c>
      <c r="AA1855" s="18" t="inlineStr">
        <is>
          <t>grounded</t>
        </is>
      </c>
      <c r="AB1855" s="18" t="inlineStr">
        <is>
          <t>night</t>
        </is>
      </c>
      <c r="AC1855" s="18" t="inlineStr"/>
      <c r="AD1855" s="18" t="inlineStr"/>
      <c r="AE1855" s="18" t="inlineStr"/>
      <c r="AF1855" s="18" t="inlineStr"/>
      <c r="AG1855" s="18" t="inlineStr"/>
      <c r="AH1855" s="18" t="inlineStr"/>
      <c r="AI1855" s="18" t="inlineStr"/>
      <c r="AJ1855" s="18" t="inlineStr">
        <is>
          <t>COBBLEVERSE 수정</t>
        </is>
      </c>
      <c r="AK1855" s="18" t="inlineStr">
        <is>
          <t>사용</t>
        </is>
      </c>
      <c r="AL1855" s="18" t="inlineStr">
        <is>
          <t>COBBLEVERSE 1.7.42 / DP v31</t>
        </is>
      </c>
      <c r="AM1855" s="18" t="inlineStr">
        <is>
          <t>data/cobblemon/spawn_pool_world/0543_venipede.json</t>
        </is>
      </c>
      <c r="AN1855" s="18" t="inlineStr">
        <is>
          <t>venipede-1</t>
        </is>
      </c>
      <c r="AO1855" s="18" t="inlineStr">
        <is>
          <t>pokemon</t>
        </is>
      </c>
      <c r="AP1855" s="18" t="inlineStr">
        <is>
          <t>natural; wild</t>
        </is>
      </c>
      <c r="AQ1855" s="18" t="inlineStr">
        <is>
          <t>{"biomes":["#cobblemon:is_forest"],"timeRange":"night"}</t>
        </is>
      </c>
      <c r="AR1855" s="18" t="inlineStr"/>
      <c r="AS1855" s="18" t="inlineStr"/>
      <c r="AT1855" s="19" t="inlineStr"/>
    </row>
    <row r="1856" ht="32" customHeight="1">
      <c r="A1856" s="18" t="inlineStr">
        <is>
          <t>0543_venipede.json::venipede-2::002</t>
        </is>
      </c>
      <c r="B1856" s="19" t="inlineStr">
        <is>
          <t>사용</t>
        </is>
      </c>
      <c r="C1856" s="18">
        <f>IF(OR(B1856&lt;&gt;AK1856,M1856&lt;&gt;L1856,O1856&lt;&gt;"",Q1856&lt;&gt;"",V1856&lt;&gt;1,Y1856&lt;&gt;"",AT1856&lt;&gt;""),"수정","원본")</f>
        <v/>
      </c>
      <c r="D1856" s="18" t="n">
        <v>543</v>
      </c>
      <c r="E1856" s="18" t="inlineStr">
        <is>
          <t>마디네</t>
        </is>
      </c>
      <c r="F1856" s="18" t="inlineStr">
        <is>
          <t>venipede</t>
        </is>
      </c>
      <c r="G1856" s="18" t="inlineStr">
        <is>
          <t>venipede</t>
        </is>
      </c>
      <c r="H1856" s="18" t="inlineStr"/>
      <c r="I1856" s="18" t="n">
        <v>5</v>
      </c>
      <c r="J1856" s="18" t="n"/>
      <c r="K1856" s="18" t="n">
        <v>5</v>
      </c>
      <c r="L1856" s="18" t="inlineStr">
        <is>
          <t>cobbleventure:generation_5</t>
        </is>
      </c>
      <c r="M1856" s="19" t="inlineStr">
        <is>
          <t>cobbleventure:generation_5</t>
        </is>
      </c>
      <c r="N1856" s="18" t="inlineStr"/>
      <c r="O1856" s="19" t="inlineStr"/>
      <c r="P1856" s="18" t="inlineStr">
        <is>
          <t>#cobblemon:is_jungle</t>
        </is>
      </c>
      <c r="Q1856" s="19" t="inlineStr"/>
      <c r="R1856" s="18">
        <f>IF(Q1856="",P1856,Q1856)</f>
        <v/>
      </c>
      <c r="S1856" s="18" t="inlineStr"/>
      <c r="T1856" s="18" t="inlineStr">
        <is>
          <t>common</t>
        </is>
      </c>
      <c r="U1856" s="20" t="n">
        <v>5.4</v>
      </c>
      <c r="V1856" s="21" t="n">
        <v>1</v>
      </c>
      <c r="W1856" s="20">
        <f>IF(OR(U1856="",V1856=""),U1856,U1856*V1856)</f>
        <v/>
      </c>
      <c r="X1856" s="18" t="inlineStr">
        <is>
          <t>1-26</t>
        </is>
      </c>
      <c r="Y1856" s="19" t="inlineStr"/>
      <c r="Z1856" s="18">
        <f>IF(Y1856="",X1856,Y1856)</f>
        <v/>
      </c>
      <c r="AA1856" s="18" t="inlineStr">
        <is>
          <t>grounded</t>
        </is>
      </c>
      <c r="AB1856" s="18" t="inlineStr">
        <is>
          <t>night</t>
        </is>
      </c>
      <c r="AC1856" s="18" t="inlineStr"/>
      <c r="AD1856" s="18" t="inlineStr"/>
      <c r="AE1856" s="18" t="inlineStr"/>
      <c r="AF1856" s="18" t="inlineStr"/>
      <c r="AG1856" s="18" t="inlineStr"/>
      <c r="AH1856" s="18" t="inlineStr"/>
      <c r="AI1856" s="18" t="inlineStr"/>
      <c r="AJ1856" s="18" t="inlineStr">
        <is>
          <t>COBBLEVERSE 수정</t>
        </is>
      </c>
      <c r="AK1856" s="18" t="inlineStr">
        <is>
          <t>사용</t>
        </is>
      </c>
      <c r="AL1856" s="18" t="inlineStr">
        <is>
          <t>COBBLEVERSE 1.7.42 / DP v31</t>
        </is>
      </c>
      <c r="AM1856" s="18" t="inlineStr">
        <is>
          <t>data/cobblemon/spawn_pool_world/0543_venipede.json</t>
        </is>
      </c>
      <c r="AN1856" s="18" t="inlineStr">
        <is>
          <t>venipede-2</t>
        </is>
      </c>
      <c r="AO1856" s="18" t="inlineStr">
        <is>
          <t>pokemon</t>
        </is>
      </c>
      <c r="AP1856" s="18" t="inlineStr">
        <is>
          <t>natural; wild</t>
        </is>
      </c>
      <c r="AQ1856" s="18" t="inlineStr">
        <is>
          <t>{"biomes":["#cobblemon:is_jungle"],"timeRange":"night"}</t>
        </is>
      </c>
      <c r="AR1856" s="18" t="inlineStr"/>
      <c r="AS1856" s="18" t="inlineStr"/>
      <c r="AT1856" s="19" t="inlineStr"/>
    </row>
    <row r="1857" ht="32" customHeight="1">
      <c r="A1857" s="18" t="inlineStr">
        <is>
          <t>0543_venipede.json::venipede-3::003</t>
        </is>
      </c>
      <c r="B1857" s="19" t="inlineStr">
        <is>
          <t>사용</t>
        </is>
      </c>
      <c r="C1857" s="18">
        <f>IF(OR(B1857&lt;&gt;AK1857,M1857&lt;&gt;L1857,O1857&lt;&gt;"",Q1857&lt;&gt;"",V1857&lt;&gt;1,Y1857&lt;&gt;"",AT1857&lt;&gt;""),"수정","원본")</f>
        <v/>
      </c>
      <c r="D1857" s="18" t="n">
        <v>543</v>
      </c>
      <c r="E1857" s="18" t="inlineStr">
        <is>
          <t>마디네</t>
        </is>
      </c>
      <c r="F1857" s="18" t="inlineStr">
        <is>
          <t>venipede</t>
        </is>
      </c>
      <c r="G1857" s="18" t="inlineStr">
        <is>
          <t>venipede</t>
        </is>
      </c>
      <c r="H1857" s="18" t="inlineStr"/>
      <c r="I1857" s="18" t="n">
        <v>5</v>
      </c>
      <c r="J1857" s="18" t="n"/>
      <c r="K1857" s="18" t="n">
        <v>5</v>
      </c>
      <c r="L1857" s="18" t="inlineStr">
        <is>
          <t>cobbleventure:generation_5</t>
        </is>
      </c>
      <c r="M1857" s="19" t="inlineStr">
        <is>
          <t>cobbleventure:generation_5</t>
        </is>
      </c>
      <c r="N1857" s="18" t="inlineStr"/>
      <c r="O1857" s="19" t="inlineStr"/>
      <c r="P1857" s="18" t="inlineStr">
        <is>
          <t>#cobblemon:is_lush</t>
        </is>
      </c>
      <c r="Q1857" s="19" t="inlineStr"/>
      <c r="R1857" s="18">
        <f>IF(Q1857="",P1857,Q1857)</f>
        <v/>
      </c>
      <c r="S1857" s="18" t="inlineStr"/>
      <c r="T1857" s="18" t="inlineStr">
        <is>
          <t>common</t>
        </is>
      </c>
      <c r="U1857" s="20" t="n">
        <v>1.8</v>
      </c>
      <c r="V1857" s="21" t="n">
        <v>1</v>
      </c>
      <c r="W1857" s="20">
        <f>IF(OR(U1857="",V1857=""),U1857,U1857*V1857)</f>
        <v/>
      </c>
      <c r="X1857" s="18" t="inlineStr">
        <is>
          <t>1-26</t>
        </is>
      </c>
      <c r="Y1857" s="19" t="inlineStr"/>
      <c r="Z1857" s="18">
        <f>IF(Y1857="",X1857,Y1857)</f>
        <v/>
      </c>
      <c r="AA1857" s="18" t="inlineStr">
        <is>
          <t>grounded</t>
        </is>
      </c>
      <c r="AB1857" s="18" t="inlineStr"/>
      <c r="AC1857" s="18" t="inlineStr"/>
      <c r="AD1857" s="18" t="inlineStr"/>
      <c r="AE1857" s="18" t="inlineStr">
        <is>
          <t>sky 0-7</t>
        </is>
      </c>
      <c r="AF1857" s="18" t="inlineStr"/>
      <c r="AG1857" s="18" t="inlineStr"/>
      <c r="AH1857" s="18" t="inlineStr"/>
      <c r="AI1857" s="18" t="inlineStr"/>
      <c r="AJ1857" s="18" t="inlineStr">
        <is>
          <t>COBBLEVERSE 수정</t>
        </is>
      </c>
      <c r="AK1857" s="18" t="inlineStr">
        <is>
          <t>사용</t>
        </is>
      </c>
      <c r="AL1857" s="18" t="inlineStr">
        <is>
          <t>COBBLEVERSE 1.7.42 / DP v31</t>
        </is>
      </c>
      <c r="AM1857" s="18" t="inlineStr">
        <is>
          <t>data/cobblemon/spawn_pool_world/0543_venipede.json</t>
        </is>
      </c>
      <c r="AN1857" s="18" t="inlineStr">
        <is>
          <t>venipede-3</t>
        </is>
      </c>
      <c r="AO1857" s="18" t="inlineStr">
        <is>
          <t>pokemon</t>
        </is>
      </c>
      <c r="AP1857" s="18" t="inlineStr">
        <is>
          <t>natural</t>
        </is>
      </c>
      <c r="AQ1857" s="18" t="inlineStr">
        <is>
          <t>{"biomes":["#cobblemon:is_lush"],"maxSkyLight":7,"minSkyLight":0}</t>
        </is>
      </c>
      <c r="AR1857" s="18" t="inlineStr">
        <is>
          <t>{"maxY":9,"minY":-41,"structures":["cobblemon:shipwreck_coves/lush_shipwreck_cove"]}</t>
        </is>
      </c>
      <c r="AS1857" s="18" t="inlineStr"/>
      <c r="AT1857" s="19" t="inlineStr"/>
    </row>
    <row r="1858" ht="32" customHeight="1">
      <c r="A1858" s="18" t="inlineStr">
        <is>
          <t>0543_venipede.json::venipede-4::004</t>
        </is>
      </c>
      <c r="B1858" s="19" t="inlineStr">
        <is>
          <t>사용</t>
        </is>
      </c>
      <c r="C1858" s="18">
        <f>IF(OR(B1858&lt;&gt;AK1858,M1858&lt;&gt;L1858,O1858&lt;&gt;"",Q1858&lt;&gt;"",V1858&lt;&gt;1,Y1858&lt;&gt;"",AT1858&lt;&gt;""),"수정","원본")</f>
        <v/>
      </c>
      <c r="D1858" s="18" t="n">
        <v>543</v>
      </c>
      <c r="E1858" s="18" t="inlineStr">
        <is>
          <t>마디네</t>
        </is>
      </c>
      <c r="F1858" s="18" t="inlineStr">
        <is>
          <t>venipede</t>
        </is>
      </c>
      <c r="G1858" s="18" t="inlineStr">
        <is>
          <t>venipede</t>
        </is>
      </c>
      <c r="H1858" s="18" t="inlineStr"/>
      <c r="I1858" s="18" t="n">
        <v>5</v>
      </c>
      <c r="J1858" s="18" t="n"/>
      <c r="K1858" s="18" t="n">
        <v>5</v>
      </c>
      <c r="L1858" s="18" t="inlineStr">
        <is>
          <t>cobbleventure:generation_5</t>
        </is>
      </c>
      <c r="M1858" s="19" t="inlineStr">
        <is>
          <t>cobbleventure:generation_5</t>
        </is>
      </c>
      <c r="N1858" s="18" t="inlineStr"/>
      <c r="O1858" s="19" t="inlineStr"/>
      <c r="P1858" s="18" t="inlineStr">
        <is>
          <t>#cobblemon:nether/is_forest; #cobblemon:nether/is_fungus</t>
        </is>
      </c>
      <c r="Q1858" s="19" t="inlineStr"/>
      <c r="R1858" s="18">
        <f>IF(Q1858="",P1858,Q1858)</f>
        <v/>
      </c>
      <c r="S1858" s="18" t="inlineStr"/>
      <c r="T1858" s="18" t="inlineStr">
        <is>
          <t>common</t>
        </is>
      </c>
      <c r="U1858" s="20" t="n">
        <v>5.4</v>
      </c>
      <c r="V1858" s="21" t="n">
        <v>1</v>
      </c>
      <c r="W1858" s="20">
        <f>IF(OR(U1858="",V1858=""),U1858,U1858*V1858)</f>
        <v/>
      </c>
      <c r="X1858" s="18" t="inlineStr">
        <is>
          <t>1-26</t>
        </is>
      </c>
      <c r="Y1858" s="19" t="inlineStr"/>
      <c r="Z1858" s="18">
        <f>IF(Y1858="",X1858,Y1858)</f>
        <v/>
      </c>
      <c r="AA1858" s="18" t="inlineStr">
        <is>
          <t>grounded</t>
        </is>
      </c>
      <c r="AB1858" s="18" t="inlineStr"/>
      <c r="AC1858" s="18" t="inlineStr"/>
      <c r="AD1858" s="18" t="inlineStr"/>
      <c r="AE1858" s="18" t="inlineStr"/>
      <c r="AF1858" s="18" t="inlineStr"/>
      <c r="AG1858" s="18" t="inlineStr"/>
      <c r="AH1858" s="18" t="inlineStr"/>
      <c r="AI1858" s="18" t="inlineStr"/>
      <c r="AJ1858" s="18" t="inlineStr">
        <is>
          <t>COBBLEVERSE 수정</t>
        </is>
      </c>
      <c r="AK1858" s="18" t="inlineStr">
        <is>
          <t>사용</t>
        </is>
      </c>
      <c r="AL1858" s="18" t="inlineStr">
        <is>
          <t>COBBLEVERSE 1.7.42 / DP v31</t>
        </is>
      </c>
      <c r="AM1858" s="18" t="inlineStr">
        <is>
          <t>data/cobblemon/spawn_pool_world/0543_venipede.json</t>
        </is>
      </c>
      <c r="AN1858" s="18" t="inlineStr">
        <is>
          <t>venipede-4</t>
        </is>
      </c>
      <c r="AO1858" s="18" t="inlineStr">
        <is>
          <t>pokemon</t>
        </is>
      </c>
      <c r="AP1858" s="18" t="inlineStr">
        <is>
          <t>natural; wild</t>
        </is>
      </c>
      <c r="AQ1858" s="18" t="inlineStr">
        <is>
          <t>{"biomes":["#cobblemon:nether/is_forest","#cobblemon:nether/is_fungus"]}</t>
        </is>
      </c>
      <c r="AR1858" s="18" t="inlineStr"/>
      <c r="AS1858" s="18" t="inlineStr"/>
      <c r="AT1858" s="19" t="inlineStr"/>
    </row>
    <row r="1859" ht="32" customHeight="1">
      <c r="A1859" s="18" t="inlineStr">
        <is>
          <t>0543_venipede.json::venipede-5::005</t>
        </is>
      </c>
      <c r="B1859" s="19" t="inlineStr">
        <is>
          <t>사용</t>
        </is>
      </c>
      <c r="C1859" s="18">
        <f>IF(OR(B1859&lt;&gt;AK1859,M1859&lt;&gt;L1859,O1859&lt;&gt;"",Q1859&lt;&gt;"",V1859&lt;&gt;1,Y1859&lt;&gt;"",AT1859&lt;&gt;""),"수정","원본")</f>
        <v/>
      </c>
      <c r="D1859" s="18" t="n">
        <v>543</v>
      </c>
      <c r="E1859" s="18" t="inlineStr">
        <is>
          <t>마디네</t>
        </is>
      </c>
      <c r="F1859" s="18" t="inlineStr">
        <is>
          <t>venipede</t>
        </is>
      </c>
      <c r="G1859" s="18" t="inlineStr">
        <is>
          <t>venipede</t>
        </is>
      </c>
      <c r="H1859" s="18" t="inlineStr"/>
      <c r="I1859" s="18" t="n">
        <v>5</v>
      </c>
      <c r="J1859" s="18" t="n"/>
      <c r="K1859" s="18" t="n">
        <v>5</v>
      </c>
      <c r="L1859" s="18" t="inlineStr">
        <is>
          <t>cobbleventure:generation_5</t>
        </is>
      </c>
      <c r="M1859" s="19" t="inlineStr">
        <is>
          <t>cobbleventure:generation_5</t>
        </is>
      </c>
      <c r="N1859" s="18" t="inlineStr">
        <is>
          <t>region_01; region_02</t>
        </is>
      </c>
      <c r="O1859" s="19" t="inlineStr"/>
      <c r="P1859" s="18" t="inlineStr">
        <is>
          <t>#cobblemon:is_overworld</t>
        </is>
      </c>
      <c r="Q1859" s="19" t="inlineStr"/>
      <c r="R1859" s="18">
        <f>IF(Q1859="",P1859,Q1859)</f>
        <v/>
      </c>
      <c r="S1859" s="18" t="inlineStr">
        <is>
          <t>#cobblemon:is_lush</t>
        </is>
      </c>
      <c r="T1859" s="18" t="inlineStr">
        <is>
          <t>common</t>
        </is>
      </c>
      <c r="U1859" s="20" t="n">
        <v>1.8</v>
      </c>
      <c r="V1859" s="21" t="n">
        <v>1</v>
      </c>
      <c r="W1859" s="20">
        <f>IF(OR(U1859="",V1859=""),U1859,U1859*V1859)</f>
        <v/>
      </c>
      <c r="X1859" s="18" t="inlineStr">
        <is>
          <t>1-26</t>
        </is>
      </c>
      <c r="Y1859" s="19" t="inlineStr"/>
      <c r="Z1859" s="18">
        <f>IF(Y1859="",X1859,Y1859)</f>
        <v/>
      </c>
      <c r="AA1859" s="18" t="inlineStr">
        <is>
          <t>grounded</t>
        </is>
      </c>
      <c r="AB1859" s="18" t="inlineStr"/>
      <c r="AC1859" s="18" t="inlineStr"/>
      <c r="AD1859" s="18" t="inlineStr">
        <is>
          <t>minY=-41, maxY=9</t>
        </is>
      </c>
      <c r="AE1859" s="18" t="inlineStr">
        <is>
          <t>sky 0-7</t>
        </is>
      </c>
      <c r="AF1859" s="18" t="inlineStr"/>
      <c r="AG1859" s="18" t="inlineStr">
        <is>
          <t>cobblemon:shipwreck_coves/lush_shipwreck_cove</t>
        </is>
      </c>
      <c r="AH1859" s="18" t="inlineStr"/>
      <c r="AI1859" s="18" t="inlineStr"/>
      <c r="AJ1859" s="18" t="inlineStr">
        <is>
          <t>COBBLEVERSE 수정</t>
        </is>
      </c>
      <c r="AK1859" s="18" t="inlineStr">
        <is>
          <t>사용</t>
        </is>
      </c>
      <c r="AL1859" s="18" t="inlineStr">
        <is>
          <t>COBBLEVERSE 1.7.42 / DP v31</t>
        </is>
      </c>
      <c r="AM1859" s="18" t="inlineStr">
        <is>
          <t>data/cobblemon/spawn_pool_world/0543_venipede.json</t>
        </is>
      </c>
      <c r="AN1859" s="18" t="inlineStr">
        <is>
          <t>venipede-5</t>
        </is>
      </c>
      <c r="AO1859" s="18" t="inlineStr">
        <is>
          <t>pokemon</t>
        </is>
      </c>
      <c r="AP1859" s="18" t="inlineStr">
        <is>
          <t>natural</t>
        </is>
      </c>
      <c r="AQ1859" s="18" t="inlineStr">
        <is>
          <t>{"biomes":["#cobblemon:is_overworld"],"maxSkyLight":7,"maxY":9,"minSkyLight":0,"minY":-41,"structures":["cobblemon:shipwreck_coves/lush_shipwreck_cove"]}</t>
        </is>
      </c>
      <c r="AR1859" s="18" t="inlineStr">
        <is>
          <t>{"biomes":["#cobblemon:is_lush"]}</t>
        </is>
      </c>
      <c r="AS1859" s="18" t="inlineStr"/>
      <c r="AT1859" s="19" t="inlineStr"/>
    </row>
    <row r="1860" ht="32" customHeight="1">
      <c r="A1860" s="18" t="inlineStr">
        <is>
          <t>0544_whirlipede.json::whirlipede-1::001</t>
        </is>
      </c>
      <c r="B1860" s="19" t="inlineStr">
        <is>
          <t>사용</t>
        </is>
      </c>
      <c r="C1860" s="18">
        <f>IF(OR(B1860&lt;&gt;AK1860,M1860&lt;&gt;L1860,O1860&lt;&gt;"",Q1860&lt;&gt;"",V1860&lt;&gt;1,Y1860&lt;&gt;"",AT1860&lt;&gt;""),"수정","원본")</f>
        <v/>
      </c>
      <c r="D1860" s="18" t="n">
        <v>544</v>
      </c>
      <c r="E1860" s="18" t="inlineStr">
        <is>
          <t>휠구</t>
        </is>
      </c>
      <c r="F1860" s="18" t="inlineStr">
        <is>
          <t>whirlipede</t>
        </is>
      </c>
      <c r="G1860" s="18" t="inlineStr">
        <is>
          <t>whirlipede</t>
        </is>
      </c>
      <c r="H1860" s="18" t="inlineStr"/>
      <c r="I1860" s="18" t="n">
        <v>5</v>
      </c>
      <c r="J1860" s="18" t="n"/>
      <c r="K1860" s="18" t="n">
        <v>5</v>
      </c>
      <c r="L1860" s="18" t="inlineStr">
        <is>
          <t>cobbleventure:generation_5</t>
        </is>
      </c>
      <c r="M1860" s="19" t="inlineStr">
        <is>
          <t>cobbleventure:generation_5</t>
        </is>
      </c>
      <c r="N1860" s="18" t="inlineStr">
        <is>
          <t>region_01</t>
        </is>
      </c>
      <c r="O1860" s="19" t="inlineStr"/>
      <c r="P1860" s="18" t="inlineStr">
        <is>
          <t>#cobblemon:is_forest</t>
        </is>
      </c>
      <c r="Q1860" s="19" t="inlineStr"/>
      <c r="R1860" s="18">
        <f>IF(Q1860="",P1860,Q1860)</f>
        <v/>
      </c>
      <c r="S1860" s="18" t="inlineStr"/>
      <c r="T1860" s="18" t="inlineStr">
        <is>
          <t>common</t>
        </is>
      </c>
      <c r="U1860" s="20" t="n">
        <v>0.18</v>
      </c>
      <c r="V1860" s="21" t="n">
        <v>1</v>
      </c>
      <c r="W1860" s="20">
        <f>IF(OR(U1860="",V1860=""),U1860,U1860*V1860)</f>
        <v/>
      </c>
      <c r="X1860" s="18" t="inlineStr">
        <is>
          <t>22-36</t>
        </is>
      </c>
      <c r="Y1860" s="19" t="inlineStr"/>
      <c r="Z1860" s="18">
        <f>IF(Y1860="",X1860,Y1860)</f>
        <v/>
      </c>
      <c r="AA1860" s="18" t="inlineStr">
        <is>
          <t>grounded</t>
        </is>
      </c>
      <c r="AB1860" s="18" t="inlineStr">
        <is>
          <t>night</t>
        </is>
      </c>
      <c r="AC1860" s="18" t="inlineStr"/>
      <c r="AD1860" s="18" t="inlineStr"/>
      <c r="AE1860" s="18" t="inlineStr">
        <is>
          <t>sky 8-15</t>
        </is>
      </c>
      <c r="AF1860" s="18" t="inlineStr"/>
      <c r="AG1860" s="18" t="inlineStr"/>
      <c r="AH1860" s="18" t="inlineStr"/>
      <c r="AI1860" s="18" t="inlineStr"/>
      <c r="AJ1860" s="18" t="inlineStr">
        <is>
          <t>Cobblemon 동일</t>
        </is>
      </c>
      <c r="AK1860" s="18" t="inlineStr">
        <is>
          <t>사용</t>
        </is>
      </c>
      <c r="AL1860" s="18" t="inlineStr">
        <is>
          <t>COBBLEVERSE 1.7.42 / DP v31</t>
        </is>
      </c>
      <c r="AM1860" s="18" t="inlineStr">
        <is>
          <t>data/cobblemon/spawn_pool_world/0544_whirlipede.json</t>
        </is>
      </c>
      <c r="AN1860" s="18" t="inlineStr">
        <is>
          <t>whirlipede-1</t>
        </is>
      </c>
      <c r="AO1860" s="18" t="inlineStr">
        <is>
          <t>pokemon</t>
        </is>
      </c>
      <c r="AP1860" s="18" t="inlineStr">
        <is>
          <t>natural; wild</t>
        </is>
      </c>
      <c r="AQ1860" s="18" t="inlineStr">
        <is>
          <t>{"biomes":["#cobblemon:is_forest"],"maxSkyLight":15,"minSkyLight":8,"timeRange":"night"}</t>
        </is>
      </c>
      <c r="AR1860" s="18" t="inlineStr"/>
      <c r="AS1860" s="18" t="inlineStr"/>
      <c r="AT1860" s="19" t="inlineStr"/>
    </row>
    <row r="1861" ht="32" customHeight="1">
      <c r="A1861" s="18" t="inlineStr">
        <is>
          <t>0544_whirlipede.json::whirlipede-2::002</t>
        </is>
      </c>
      <c r="B1861" s="19" t="inlineStr">
        <is>
          <t>사용</t>
        </is>
      </c>
      <c r="C1861" s="18">
        <f>IF(OR(B1861&lt;&gt;AK1861,M1861&lt;&gt;L1861,O1861&lt;&gt;"",Q1861&lt;&gt;"",V1861&lt;&gt;1,Y1861&lt;&gt;"",AT1861&lt;&gt;""),"수정","원본")</f>
        <v/>
      </c>
      <c r="D1861" s="18" t="n">
        <v>544</v>
      </c>
      <c r="E1861" s="18" t="inlineStr">
        <is>
          <t>휠구</t>
        </is>
      </c>
      <c r="F1861" s="18" t="inlineStr">
        <is>
          <t>whirlipede</t>
        </is>
      </c>
      <c r="G1861" s="18" t="inlineStr">
        <is>
          <t>whirlipede</t>
        </is>
      </c>
      <c r="H1861" s="18" t="inlineStr"/>
      <c r="I1861" s="18" t="n">
        <v>5</v>
      </c>
      <c r="J1861" s="18" t="n"/>
      <c r="K1861" s="18" t="n">
        <v>5</v>
      </c>
      <c r="L1861" s="18" t="inlineStr">
        <is>
          <t>cobbleventure:generation_5</t>
        </is>
      </c>
      <c r="M1861" s="19" t="inlineStr">
        <is>
          <t>cobbleventure:generation_5</t>
        </is>
      </c>
      <c r="N1861" s="18" t="inlineStr"/>
      <c r="O1861" s="19" t="inlineStr"/>
      <c r="P1861" s="18" t="inlineStr">
        <is>
          <t>#cobblemon:is_jungle</t>
        </is>
      </c>
      <c r="Q1861" s="19" t="inlineStr"/>
      <c r="R1861" s="18">
        <f>IF(Q1861="",P1861,Q1861)</f>
        <v/>
      </c>
      <c r="S1861" s="18" t="inlineStr"/>
      <c r="T1861" s="18" t="inlineStr">
        <is>
          <t>common</t>
        </is>
      </c>
      <c r="U1861" s="20" t="n">
        <v>0.54</v>
      </c>
      <c r="V1861" s="21" t="n">
        <v>1</v>
      </c>
      <c r="W1861" s="20">
        <f>IF(OR(U1861="",V1861=""),U1861,U1861*V1861)</f>
        <v/>
      </c>
      <c r="X1861" s="18" t="inlineStr">
        <is>
          <t>22-36</t>
        </is>
      </c>
      <c r="Y1861" s="19" t="inlineStr"/>
      <c r="Z1861" s="18">
        <f>IF(Y1861="",X1861,Y1861)</f>
        <v/>
      </c>
      <c r="AA1861" s="18" t="inlineStr">
        <is>
          <t>grounded</t>
        </is>
      </c>
      <c r="AB1861" s="18" t="inlineStr">
        <is>
          <t>night</t>
        </is>
      </c>
      <c r="AC1861" s="18" t="inlineStr"/>
      <c r="AD1861" s="18" t="inlineStr"/>
      <c r="AE1861" s="18" t="inlineStr">
        <is>
          <t>sky 8-15</t>
        </is>
      </c>
      <c r="AF1861" s="18" t="inlineStr"/>
      <c r="AG1861" s="18" t="inlineStr"/>
      <c r="AH1861" s="18" t="inlineStr"/>
      <c r="AI1861" s="18" t="inlineStr"/>
      <c r="AJ1861" s="18" t="inlineStr">
        <is>
          <t>Cobblemon 동일</t>
        </is>
      </c>
      <c r="AK1861" s="18" t="inlineStr">
        <is>
          <t>사용</t>
        </is>
      </c>
      <c r="AL1861" s="18" t="inlineStr">
        <is>
          <t>COBBLEVERSE 1.7.42 / DP v31</t>
        </is>
      </c>
      <c r="AM1861" s="18" t="inlineStr">
        <is>
          <t>data/cobblemon/spawn_pool_world/0544_whirlipede.json</t>
        </is>
      </c>
      <c r="AN1861" s="18" t="inlineStr">
        <is>
          <t>whirlipede-2</t>
        </is>
      </c>
      <c r="AO1861" s="18" t="inlineStr">
        <is>
          <t>pokemon</t>
        </is>
      </c>
      <c r="AP1861" s="18" t="inlineStr">
        <is>
          <t>natural; wild</t>
        </is>
      </c>
      <c r="AQ1861" s="18" t="inlineStr">
        <is>
          <t>{"biomes":["#cobblemon:is_jungle"],"maxSkyLight":15,"minSkyLight":8,"timeRange":"night"}</t>
        </is>
      </c>
      <c r="AR1861" s="18" t="inlineStr"/>
      <c r="AS1861" s="18" t="inlineStr"/>
      <c r="AT1861" s="19" t="inlineStr"/>
    </row>
    <row r="1862" ht="32" customHeight="1">
      <c r="A1862" s="18" t="inlineStr">
        <is>
          <t>0544_whirlipede.json::whirlipede-3::003</t>
        </is>
      </c>
      <c r="B1862" s="19" t="inlineStr">
        <is>
          <t>사용</t>
        </is>
      </c>
      <c r="C1862" s="18">
        <f>IF(OR(B1862&lt;&gt;AK1862,M1862&lt;&gt;L1862,O1862&lt;&gt;"",Q1862&lt;&gt;"",V1862&lt;&gt;1,Y1862&lt;&gt;"",AT1862&lt;&gt;""),"수정","원본")</f>
        <v/>
      </c>
      <c r="D1862" s="18" t="n">
        <v>544</v>
      </c>
      <c r="E1862" s="18" t="inlineStr">
        <is>
          <t>휠구</t>
        </is>
      </c>
      <c r="F1862" s="18" t="inlineStr">
        <is>
          <t>whirlipede</t>
        </is>
      </c>
      <c r="G1862" s="18" t="inlineStr">
        <is>
          <t>whirlipede</t>
        </is>
      </c>
      <c r="H1862" s="18" t="inlineStr"/>
      <c r="I1862" s="18" t="n">
        <v>5</v>
      </c>
      <c r="J1862" s="18" t="n"/>
      <c r="K1862" s="18" t="n">
        <v>5</v>
      </c>
      <c r="L1862" s="18" t="inlineStr">
        <is>
          <t>cobbleventure:generation_5</t>
        </is>
      </c>
      <c r="M1862" s="19" t="inlineStr">
        <is>
          <t>cobbleventure:generation_5</t>
        </is>
      </c>
      <c r="N1862" s="18" t="inlineStr"/>
      <c r="O1862" s="19" t="inlineStr"/>
      <c r="P1862" s="18" t="inlineStr">
        <is>
          <t>#cobblemon:is_lush</t>
        </is>
      </c>
      <c r="Q1862" s="19" t="inlineStr"/>
      <c r="R1862" s="18">
        <f>IF(Q1862="",P1862,Q1862)</f>
        <v/>
      </c>
      <c r="S1862" s="18" t="inlineStr"/>
      <c r="T1862" s="18" t="inlineStr">
        <is>
          <t>common</t>
        </is>
      </c>
      <c r="U1862" s="20" t="n">
        <v>0.18</v>
      </c>
      <c r="V1862" s="21" t="n">
        <v>1</v>
      </c>
      <c r="W1862" s="20">
        <f>IF(OR(U1862="",V1862=""),U1862,U1862*V1862)</f>
        <v/>
      </c>
      <c r="X1862" s="18" t="inlineStr">
        <is>
          <t>22-36</t>
        </is>
      </c>
      <c r="Y1862" s="19" t="inlineStr"/>
      <c r="Z1862" s="18">
        <f>IF(Y1862="",X1862,Y1862)</f>
        <v/>
      </c>
      <c r="AA1862" s="18" t="inlineStr">
        <is>
          <t>grounded</t>
        </is>
      </c>
      <c r="AB1862" s="18" t="inlineStr"/>
      <c r="AC1862" s="18" t="inlineStr"/>
      <c r="AD1862" s="18" t="inlineStr"/>
      <c r="AE1862" s="18" t="inlineStr">
        <is>
          <t>sky 0-7</t>
        </is>
      </c>
      <c r="AF1862" s="18" t="inlineStr"/>
      <c r="AG1862" s="18" t="inlineStr"/>
      <c r="AH1862" s="18" t="inlineStr"/>
      <c r="AI1862" s="18" t="inlineStr"/>
      <c r="AJ1862" s="18" t="inlineStr">
        <is>
          <t>Cobblemon 동일</t>
        </is>
      </c>
      <c r="AK1862" s="18" t="inlineStr">
        <is>
          <t>사용</t>
        </is>
      </c>
      <c r="AL1862" s="18" t="inlineStr">
        <is>
          <t>COBBLEVERSE 1.7.42 / DP v31</t>
        </is>
      </c>
      <c r="AM1862" s="18" t="inlineStr">
        <is>
          <t>data/cobblemon/spawn_pool_world/0544_whirlipede.json</t>
        </is>
      </c>
      <c r="AN1862" s="18" t="inlineStr">
        <is>
          <t>whirlipede-3</t>
        </is>
      </c>
      <c r="AO1862" s="18" t="inlineStr">
        <is>
          <t>pokemon</t>
        </is>
      </c>
      <c r="AP1862" s="18" t="inlineStr">
        <is>
          <t>natural</t>
        </is>
      </c>
      <c r="AQ1862" s="18" t="inlineStr">
        <is>
          <t>{"biomes":["#cobblemon:is_lush"],"maxSkyLight":7,"minSkyLight":0}</t>
        </is>
      </c>
      <c r="AR1862" s="18" t="inlineStr">
        <is>
          <t>{"maxY":9,"minY":-41,"structures":["cobblemon:shipwreck_coves/lush_shipwreck_cove"]}</t>
        </is>
      </c>
      <c r="AS1862" s="18" t="inlineStr"/>
      <c r="AT1862" s="19" t="inlineStr"/>
    </row>
    <row r="1863" ht="32" customHeight="1">
      <c r="A1863" s="18" t="inlineStr">
        <is>
          <t>0544_whirlipede.json::whirlipede-4::004</t>
        </is>
      </c>
      <c r="B1863" s="19" t="inlineStr">
        <is>
          <t>사용</t>
        </is>
      </c>
      <c r="C1863" s="18">
        <f>IF(OR(B1863&lt;&gt;AK1863,M1863&lt;&gt;L1863,O1863&lt;&gt;"",Q1863&lt;&gt;"",V1863&lt;&gt;1,Y1863&lt;&gt;"",AT1863&lt;&gt;""),"수정","원본")</f>
        <v/>
      </c>
      <c r="D1863" s="18" t="n">
        <v>544</v>
      </c>
      <c r="E1863" s="18" t="inlineStr">
        <is>
          <t>휠구</t>
        </is>
      </c>
      <c r="F1863" s="18" t="inlineStr">
        <is>
          <t>whirlipede</t>
        </is>
      </c>
      <c r="G1863" s="18" t="inlineStr">
        <is>
          <t>whirlipede</t>
        </is>
      </c>
      <c r="H1863" s="18" t="inlineStr"/>
      <c r="I1863" s="18" t="n">
        <v>5</v>
      </c>
      <c r="J1863" s="18" t="n"/>
      <c r="K1863" s="18" t="n">
        <v>5</v>
      </c>
      <c r="L1863" s="18" t="inlineStr">
        <is>
          <t>cobbleventure:generation_5</t>
        </is>
      </c>
      <c r="M1863" s="19" t="inlineStr">
        <is>
          <t>cobbleventure:generation_5</t>
        </is>
      </c>
      <c r="N1863" s="18" t="inlineStr"/>
      <c r="O1863" s="19" t="inlineStr"/>
      <c r="P1863" s="18" t="inlineStr">
        <is>
          <t>#cobblemon:nether/is_forest; #cobblemon:nether/is_fungus</t>
        </is>
      </c>
      <c r="Q1863" s="19" t="inlineStr"/>
      <c r="R1863" s="18">
        <f>IF(Q1863="",P1863,Q1863)</f>
        <v/>
      </c>
      <c r="S1863" s="18" t="inlineStr"/>
      <c r="T1863" s="18" t="inlineStr">
        <is>
          <t>common</t>
        </is>
      </c>
      <c r="U1863" s="20" t="n">
        <v>0.54</v>
      </c>
      <c r="V1863" s="21" t="n">
        <v>1</v>
      </c>
      <c r="W1863" s="20">
        <f>IF(OR(U1863="",V1863=""),U1863,U1863*V1863)</f>
        <v/>
      </c>
      <c r="X1863" s="18" t="inlineStr">
        <is>
          <t>22-36</t>
        </is>
      </c>
      <c r="Y1863" s="19" t="inlineStr"/>
      <c r="Z1863" s="18">
        <f>IF(Y1863="",X1863,Y1863)</f>
        <v/>
      </c>
      <c r="AA1863" s="18" t="inlineStr">
        <is>
          <t>grounded</t>
        </is>
      </c>
      <c r="AB1863" s="18" t="inlineStr"/>
      <c r="AC1863" s="18" t="inlineStr"/>
      <c r="AD1863" s="18" t="inlineStr"/>
      <c r="AE1863" s="18" t="inlineStr"/>
      <c r="AF1863" s="18" t="inlineStr"/>
      <c r="AG1863" s="18" t="inlineStr"/>
      <c r="AH1863" s="18" t="inlineStr"/>
      <c r="AI1863" s="18" t="inlineStr"/>
      <c r="AJ1863" s="18" t="inlineStr">
        <is>
          <t>Cobblemon 동일</t>
        </is>
      </c>
      <c r="AK1863" s="18" t="inlineStr">
        <is>
          <t>사용</t>
        </is>
      </c>
      <c r="AL1863" s="18" t="inlineStr">
        <is>
          <t>COBBLEVERSE 1.7.42 / DP v31</t>
        </is>
      </c>
      <c r="AM1863" s="18" t="inlineStr">
        <is>
          <t>data/cobblemon/spawn_pool_world/0544_whirlipede.json</t>
        </is>
      </c>
      <c r="AN1863" s="18" t="inlineStr">
        <is>
          <t>whirlipede-4</t>
        </is>
      </c>
      <c r="AO1863" s="18" t="inlineStr">
        <is>
          <t>pokemon</t>
        </is>
      </c>
      <c r="AP1863" s="18" t="inlineStr">
        <is>
          <t>natural; wild</t>
        </is>
      </c>
      <c r="AQ1863" s="18" t="inlineStr">
        <is>
          <t>{"biomes":["#cobblemon:nether/is_forest","#cobblemon:nether/is_fungus"]}</t>
        </is>
      </c>
      <c r="AR1863" s="18" t="inlineStr"/>
      <c r="AS1863" s="18" t="inlineStr"/>
      <c r="AT1863" s="19" t="inlineStr"/>
    </row>
    <row r="1864" ht="32" customHeight="1">
      <c r="A1864" s="18" t="inlineStr">
        <is>
          <t>0544_whirlipede.json::whirlipede-5::005</t>
        </is>
      </c>
      <c r="B1864" s="19" t="inlineStr">
        <is>
          <t>사용</t>
        </is>
      </c>
      <c r="C1864" s="18">
        <f>IF(OR(B1864&lt;&gt;AK1864,M1864&lt;&gt;L1864,O1864&lt;&gt;"",Q1864&lt;&gt;"",V1864&lt;&gt;1,Y1864&lt;&gt;"",AT1864&lt;&gt;""),"수정","원본")</f>
        <v/>
      </c>
      <c r="D1864" s="18" t="n">
        <v>544</v>
      </c>
      <c r="E1864" s="18" t="inlineStr">
        <is>
          <t>휠구</t>
        </is>
      </c>
      <c r="F1864" s="18" t="inlineStr">
        <is>
          <t>whirlipede</t>
        </is>
      </c>
      <c r="G1864" s="18" t="inlineStr">
        <is>
          <t>whirlipede</t>
        </is>
      </c>
      <c r="H1864" s="18" t="inlineStr"/>
      <c r="I1864" s="18" t="n">
        <v>5</v>
      </c>
      <c r="J1864" s="18" t="n"/>
      <c r="K1864" s="18" t="n">
        <v>5</v>
      </c>
      <c r="L1864" s="18" t="inlineStr">
        <is>
          <t>cobbleventure:generation_5</t>
        </is>
      </c>
      <c r="M1864" s="19" t="inlineStr">
        <is>
          <t>cobbleventure:generation_5</t>
        </is>
      </c>
      <c r="N1864" s="18" t="inlineStr">
        <is>
          <t>region_01; region_02</t>
        </is>
      </c>
      <c r="O1864" s="19" t="inlineStr"/>
      <c r="P1864" s="18" t="inlineStr">
        <is>
          <t>#cobblemon:is_overworld</t>
        </is>
      </c>
      <c r="Q1864" s="19" t="inlineStr"/>
      <c r="R1864" s="18">
        <f>IF(Q1864="",P1864,Q1864)</f>
        <v/>
      </c>
      <c r="S1864" s="18" t="inlineStr">
        <is>
          <t>#cobblemon:is_lush</t>
        </is>
      </c>
      <c r="T1864" s="18" t="inlineStr">
        <is>
          <t>common</t>
        </is>
      </c>
      <c r="U1864" s="20" t="n">
        <v>0.18</v>
      </c>
      <c r="V1864" s="21" t="n">
        <v>1</v>
      </c>
      <c r="W1864" s="20">
        <f>IF(OR(U1864="",V1864=""),U1864,U1864*V1864)</f>
        <v/>
      </c>
      <c r="X1864" s="18" t="inlineStr">
        <is>
          <t>22-36</t>
        </is>
      </c>
      <c r="Y1864" s="19" t="inlineStr"/>
      <c r="Z1864" s="18">
        <f>IF(Y1864="",X1864,Y1864)</f>
        <v/>
      </c>
      <c r="AA1864" s="18" t="inlineStr">
        <is>
          <t>grounded</t>
        </is>
      </c>
      <c r="AB1864" s="18" t="inlineStr"/>
      <c r="AC1864" s="18" t="inlineStr"/>
      <c r="AD1864" s="18" t="inlineStr">
        <is>
          <t>minY=-41, maxY=9</t>
        </is>
      </c>
      <c r="AE1864" s="18" t="inlineStr">
        <is>
          <t>sky 0-7</t>
        </is>
      </c>
      <c r="AF1864" s="18" t="inlineStr"/>
      <c r="AG1864" s="18" t="inlineStr">
        <is>
          <t>cobblemon:shipwreck_coves/lush_shipwreck_cove</t>
        </is>
      </c>
      <c r="AH1864" s="18" t="inlineStr"/>
      <c r="AI1864" s="18" t="inlineStr"/>
      <c r="AJ1864" s="18" t="inlineStr">
        <is>
          <t>Cobblemon 동일</t>
        </is>
      </c>
      <c r="AK1864" s="18" t="inlineStr">
        <is>
          <t>사용</t>
        </is>
      </c>
      <c r="AL1864" s="18" t="inlineStr">
        <is>
          <t>COBBLEVERSE 1.7.42 / DP v31</t>
        </is>
      </c>
      <c r="AM1864" s="18" t="inlineStr">
        <is>
          <t>data/cobblemon/spawn_pool_world/0544_whirlipede.json</t>
        </is>
      </c>
      <c r="AN1864" s="18" t="inlineStr">
        <is>
          <t>whirlipede-5</t>
        </is>
      </c>
      <c r="AO1864" s="18" t="inlineStr">
        <is>
          <t>pokemon</t>
        </is>
      </c>
      <c r="AP1864" s="18" t="inlineStr">
        <is>
          <t>natural</t>
        </is>
      </c>
      <c r="AQ1864" s="18" t="inlineStr">
        <is>
          <t>{"biomes":["#cobblemon:is_overworld"],"maxSkyLight":7,"maxY":9,"minSkyLight":0,"minY":-41,"structures":["cobblemon:shipwreck_coves/lush_shipwreck_cove"]}</t>
        </is>
      </c>
      <c r="AR1864" s="18" t="inlineStr">
        <is>
          <t>{"biomes":["#cobblemon:is_lush"]}</t>
        </is>
      </c>
      <c r="AS1864" s="18" t="inlineStr"/>
      <c r="AT1864" s="19" t="inlineStr"/>
    </row>
    <row r="1865" ht="32" customHeight="1">
      <c r="A1865" s="18" t="inlineStr">
        <is>
          <t>0545_scolipede.json::scolipede-1::001</t>
        </is>
      </c>
      <c r="B1865" s="19" t="inlineStr">
        <is>
          <t>사용</t>
        </is>
      </c>
      <c r="C1865" s="18">
        <f>IF(OR(B1865&lt;&gt;AK1865,M1865&lt;&gt;L1865,O1865&lt;&gt;"",Q1865&lt;&gt;"",V1865&lt;&gt;1,Y1865&lt;&gt;"",AT1865&lt;&gt;""),"수정","원본")</f>
        <v/>
      </c>
      <c r="D1865" s="18" t="n">
        <v>545</v>
      </c>
      <c r="E1865" s="18" t="inlineStr">
        <is>
          <t>펜드라</t>
        </is>
      </c>
      <c r="F1865" s="18" t="inlineStr">
        <is>
          <t>scolipede</t>
        </is>
      </c>
      <c r="G1865" s="18" t="inlineStr">
        <is>
          <t>scolipede</t>
        </is>
      </c>
      <c r="H1865" s="18" t="inlineStr"/>
      <c r="I1865" s="18" t="n">
        <v>5</v>
      </c>
      <c r="J1865" s="18" t="n"/>
      <c r="K1865" s="18" t="n">
        <v>5</v>
      </c>
      <c r="L1865" s="18" t="inlineStr">
        <is>
          <t>cobbleventure:generation_5</t>
        </is>
      </c>
      <c r="M1865" s="19" t="inlineStr">
        <is>
          <t>cobbleventure:generation_5</t>
        </is>
      </c>
      <c r="N1865" s="18" t="inlineStr">
        <is>
          <t>region_01</t>
        </is>
      </c>
      <c r="O1865" s="19" t="inlineStr"/>
      <c r="P1865" s="18" t="inlineStr">
        <is>
          <t>#cobblemon:is_forest</t>
        </is>
      </c>
      <c r="Q1865" s="19" t="inlineStr"/>
      <c r="R1865" s="18">
        <f>IF(Q1865="",P1865,Q1865)</f>
        <v/>
      </c>
      <c r="S1865" s="18" t="inlineStr"/>
      <c r="T1865" s="18" t="inlineStr">
        <is>
          <t>common</t>
        </is>
      </c>
      <c r="U1865" s="20" t="n">
        <v>0.02</v>
      </c>
      <c r="V1865" s="21" t="n">
        <v>1</v>
      </c>
      <c r="W1865" s="20">
        <f>IF(OR(U1865="",V1865=""),U1865,U1865*V1865)</f>
        <v/>
      </c>
      <c r="X1865" s="18" t="inlineStr">
        <is>
          <t>30-49</t>
        </is>
      </c>
      <c r="Y1865" s="19" t="inlineStr"/>
      <c r="Z1865" s="18">
        <f>IF(Y1865="",X1865,Y1865)</f>
        <v/>
      </c>
      <c r="AA1865" s="18" t="inlineStr">
        <is>
          <t>grounded</t>
        </is>
      </c>
      <c r="AB1865" s="18" t="inlineStr">
        <is>
          <t>night</t>
        </is>
      </c>
      <c r="AC1865" s="18" t="inlineStr"/>
      <c r="AD1865" s="18" t="inlineStr"/>
      <c r="AE1865" s="18" t="inlineStr">
        <is>
          <t>sky 8-15</t>
        </is>
      </c>
      <c r="AF1865" s="18" t="inlineStr"/>
      <c r="AG1865" s="18" t="inlineStr"/>
      <c r="AH1865" s="18" t="inlineStr"/>
      <c r="AI1865" s="18" t="inlineStr"/>
      <c r="AJ1865" s="18" t="inlineStr">
        <is>
          <t>Cobblemon 동일</t>
        </is>
      </c>
      <c r="AK1865" s="18" t="inlineStr">
        <is>
          <t>사용</t>
        </is>
      </c>
      <c r="AL1865" s="18" t="inlineStr">
        <is>
          <t>COBBLEVERSE 1.7.42 / DP v31</t>
        </is>
      </c>
      <c r="AM1865" s="18" t="inlineStr">
        <is>
          <t>data/cobblemon/spawn_pool_world/0545_scolipede.json</t>
        </is>
      </c>
      <c r="AN1865" s="18" t="inlineStr">
        <is>
          <t>scolipede-1</t>
        </is>
      </c>
      <c r="AO1865" s="18" t="inlineStr">
        <is>
          <t>pokemon</t>
        </is>
      </c>
      <c r="AP1865" s="18" t="inlineStr">
        <is>
          <t>natural; wild</t>
        </is>
      </c>
      <c r="AQ1865" s="18" t="inlineStr">
        <is>
          <t>{"biomes":["#cobblemon:is_forest"],"maxSkyLight":15,"minSkyLight":8,"timeRange":"night"}</t>
        </is>
      </c>
      <c r="AR1865" s="18" t="inlineStr"/>
      <c r="AS1865" s="18" t="inlineStr"/>
      <c r="AT1865" s="19" t="inlineStr"/>
    </row>
    <row r="1866" ht="32" customHeight="1">
      <c r="A1866" s="18" t="inlineStr">
        <is>
          <t>0545_scolipede.json::scolipede-2::002</t>
        </is>
      </c>
      <c r="B1866" s="19" t="inlineStr">
        <is>
          <t>사용</t>
        </is>
      </c>
      <c r="C1866" s="18">
        <f>IF(OR(B1866&lt;&gt;AK1866,M1866&lt;&gt;L1866,O1866&lt;&gt;"",Q1866&lt;&gt;"",V1866&lt;&gt;1,Y1866&lt;&gt;"",AT1866&lt;&gt;""),"수정","원본")</f>
        <v/>
      </c>
      <c r="D1866" s="18" t="n">
        <v>545</v>
      </c>
      <c r="E1866" s="18" t="inlineStr">
        <is>
          <t>펜드라</t>
        </is>
      </c>
      <c r="F1866" s="18" t="inlineStr">
        <is>
          <t>scolipede</t>
        </is>
      </c>
      <c r="G1866" s="18" t="inlineStr">
        <is>
          <t>scolipede</t>
        </is>
      </c>
      <c r="H1866" s="18" t="inlineStr"/>
      <c r="I1866" s="18" t="n">
        <v>5</v>
      </c>
      <c r="J1866" s="18" t="n"/>
      <c r="K1866" s="18" t="n">
        <v>5</v>
      </c>
      <c r="L1866" s="18" t="inlineStr">
        <is>
          <t>cobbleventure:generation_5</t>
        </is>
      </c>
      <c r="M1866" s="19" t="inlineStr">
        <is>
          <t>cobbleventure:generation_5</t>
        </is>
      </c>
      <c r="N1866" s="18" t="inlineStr"/>
      <c r="O1866" s="19" t="inlineStr"/>
      <c r="P1866" s="18" t="inlineStr">
        <is>
          <t>#cobblemon:is_jungle</t>
        </is>
      </c>
      <c r="Q1866" s="19" t="inlineStr"/>
      <c r="R1866" s="18">
        <f>IF(Q1866="",P1866,Q1866)</f>
        <v/>
      </c>
      <c r="S1866" s="18" t="inlineStr"/>
      <c r="T1866" s="18" t="inlineStr">
        <is>
          <t>common</t>
        </is>
      </c>
      <c r="U1866" s="20" t="n">
        <v>0.06</v>
      </c>
      <c r="V1866" s="21" t="n">
        <v>1</v>
      </c>
      <c r="W1866" s="20">
        <f>IF(OR(U1866="",V1866=""),U1866,U1866*V1866)</f>
        <v/>
      </c>
      <c r="X1866" s="18" t="inlineStr">
        <is>
          <t>30-49</t>
        </is>
      </c>
      <c r="Y1866" s="19" t="inlineStr"/>
      <c r="Z1866" s="18">
        <f>IF(Y1866="",X1866,Y1866)</f>
        <v/>
      </c>
      <c r="AA1866" s="18" t="inlineStr">
        <is>
          <t>grounded</t>
        </is>
      </c>
      <c r="AB1866" s="18" t="inlineStr">
        <is>
          <t>night</t>
        </is>
      </c>
      <c r="AC1866" s="18" t="inlineStr"/>
      <c r="AD1866" s="18" t="inlineStr"/>
      <c r="AE1866" s="18" t="inlineStr">
        <is>
          <t>sky 8-15</t>
        </is>
      </c>
      <c r="AF1866" s="18" t="inlineStr"/>
      <c r="AG1866" s="18" t="inlineStr"/>
      <c r="AH1866" s="18" t="inlineStr"/>
      <c r="AI1866" s="18" t="inlineStr"/>
      <c r="AJ1866" s="18" t="inlineStr">
        <is>
          <t>Cobblemon 동일</t>
        </is>
      </c>
      <c r="AK1866" s="18" t="inlineStr">
        <is>
          <t>사용</t>
        </is>
      </c>
      <c r="AL1866" s="18" t="inlineStr">
        <is>
          <t>COBBLEVERSE 1.7.42 / DP v31</t>
        </is>
      </c>
      <c r="AM1866" s="18" t="inlineStr">
        <is>
          <t>data/cobblemon/spawn_pool_world/0545_scolipede.json</t>
        </is>
      </c>
      <c r="AN1866" s="18" t="inlineStr">
        <is>
          <t>scolipede-2</t>
        </is>
      </c>
      <c r="AO1866" s="18" t="inlineStr">
        <is>
          <t>pokemon</t>
        </is>
      </c>
      <c r="AP1866" s="18" t="inlineStr">
        <is>
          <t>natural; wild</t>
        </is>
      </c>
      <c r="AQ1866" s="18" t="inlineStr">
        <is>
          <t>{"biomes":["#cobblemon:is_jungle"],"maxSkyLight":15,"minSkyLight":8,"timeRange":"night"}</t>
        </is>
      </c>
      <c r="AR1866" s="18" t="inlineStr"/>
      <c r="AS1866" s="18" t="inlineStr"/>
      <c r="AT1866" s="19" t="inlineStr"/>
    </row>
    <row r="1867" ht="32" customHeight="1">
      <c r="A1867" s="18" t="inlineStr">
        <is>
          <t>0545_scolipede.json::scolipede-3::003</t>
        </is>
      </c>
      <c r="B1867" s="19" t="inlineStr">
        <is>
          <t>사용</t>
        </is>
      </c>
      <c r="C1867" s="18">
        <f>IF(OR(B1867&lt;&gt;AK1867,M1867&lt;&gt;L1867,O1867&lt;&gt;"",Q1867&lt;&gt;"",V1867&lt;&gt;1,Y1867&lt;&gt;"",AT1867&lt;&gt;""),"수정","원본")</f>
        <v/>
      </c>
      <c r="D1867" s="18" t="n">
        <v>545</v>
      </c>
      <c r="E1867" s="18" t="inlineStr">
        <is>
          <t>펜드라</t>
        </is>
      </c>
      <c r="F1867" s="18" t="inlineStr">
        <is>
          <t>scolipede</t>
        </is>
      </c>
      <c r="G1867" s="18" t="inlineStr">
        <is>
          <t>scolipede</t>
        </is>
      </c>
      <c r="H1867" s="18" t="inlineStr"/>
      <c r="I1867" s="18" t="n">
        <v>5</v>
      </c>
      <c r="J1867" s="18" t="n"/>
      <c r="K1867" s="18" t="n">
        <v>5</v>
      </c>
      <c r="L1867" s="18" t="inlineStr">
        <is>
          <t>cobbleventure:generation_5</t>
        </is>
      </c>
      <c r="M1867" s="19" t="inlineStr">
        <is>
          <t>cobbleventure:generation_5</t>
        </is>
      </c>
      <c r="N1867" s="18" t="inlineStr"/>
      <c r="O1867" s="19" t="inlineStr"/>
      <c r="P1867" s="18" t="inlineStr">
        <is>
          <t>#cobblemon:is_lush</t>
        </is>
      </c>
      <c r="Q1867" s="19" t="inlineStr"/>
      <c r="R1867" s="18">
        <f>IF(Q1867="",P1867,Q1867)</f>
        <v/>
      </c>
      <c r="S1867" s="18" t="inlineStr"/>
      <c r="T1867" s="18" t="inlineStr">
        <is>
          <t>common</t>
        </is>
      </c>
      <c r="U1867" s="20" t="n">
        <v>0.02</v>
      </c>
      <c r="V1867" s="21" t="n">
        <v>1</v>
      </c>
      <c r="W1867" s="20">
        <f>IF(OR(U1867="",V1867=""),U1867,U1867*V1867)</f>
        <v/>
      </c>
      <c r="X1867" s="18" t="inlineStr">
        <is>
          <t>30-49</t>
        </is>
      </c>
      <c r="Y1867" s="19" t="inlineStr"/>
      <c r="Z1867" s="18">
        <f>IF(Y1867="",X1867,Y1867)</f>
        <v/>
      </c>
      <c r="AA1867" s="18" t="inlineStr">
        <is>
          <t>grounded</t>
        </is>
      </c>
      <c r="AB1867" s="18" t="inlineStr"/>
      <c r="AC1867" s="18" t="inlineStr"/>
      <c r="AD1867" s="18" t="inlineStr"/>
      <c r="AE1867" s="18" t="inlineStr">
        <is>
          <t>sky 0-7</t>
        </is>
      </c>
      <c r="AF1867" s="18" t="inlineStr"/>
      <c r="AG1867" s="18" t="inlineStr"/>
      <c r="AH1867" s="18" t="inlineStr"/>
      <c r="AI1867" s="18" t="inlineStr"/>
      <c r="AJ1867" s="18" t="inlineStr">
        <is>
          <t>Cobblemon 동일</t>
        </is>
      </c>
      <c r="AK1867" s="18" t="inlineStr">
        <is>
          <t>사용</t>
        </is>
      </c>
      <c r="AL1867" s="18" t="inlineStr">
        <is>
          <t>COBBLEVERSE 1.7.42 / DP v31</t>
        </is>
      </c>
      <c r="AM1867" s="18" t="inlineStr">
        <is>
          <t>data/cobblemon/spawn_pool_world/0545_scolipede.json</t>
        </is>
      </c>
      <c r="AN1867" s="18" t="inlineStr">
        <is>
          <t>scolipede-3</t>
        </is>
      </c>
      <c r="AO1867" s="18" t="inlineStr">
        <is>
          <t>pokemon</t>
        </is>
      </c>
      <c r="AP1867" s="18" t="inlineStr">
        <is>
          <t>natural</t>
        </is>
      </c>
      <c r="AQ1867" s="18" t="inlineStr">
        <is>
          <t>{"biomes":["#cobblemon:is_lush"],"maxSkyLight":7,"minSkyLight":0}</t>
        </is>
      </c>
      <c r="AR1867" s="18" t="inlineStr">
        <is>
          <t>{"maxY":9,"minY":-41,"structures":["cobblemon:shipwreck_coves/lush_shipwreck_cove"]}</t>
        </is>
      </c>
      <c r="AS1867" s="18" t="inlineStr"/>
      <c r="AT1867" s="19" t="inlineStr"/>
    </row>
    <row r="1868" ht="32" customHeight="1">
      <c r="A1868" s="18" t="inlineStr">
        <is>
          <t>0545_scolipede.json::scolipede-4::004</t>
        </is>
      </c>
      <c r="B1868" s="19" t="inlineStr">
        <is>
          <t>사용</t>
        </is>
      </c>
      <c r="C1868" s="18">
        <f>IF(OR(B1868&lt;&gt;AK1868,M1868&lt;&gt;L1868,O1868&lt;&gt;"",Q1868&lt;&gt;"",V1868&lt;&gt;1,Y1868&lt;&gt;"",AT1868&lt;&gt;""),"수정","원본")</f>
        <v/>
      </c>
      <c r="D1868" s="18" t="n">
        <v>545</v>
      </c>
      <c r="E1868" s="18" t="inlineStr">
        <is>
          <t>펜드라</t>
        </is>
      </c>
      <c r="F1868" s="18" t="inlineStr">
        <is>
          <t>scolipede</t>
        </is>
      </c>
      <c r="G1868" s="18" t="inlineStr">
        <is>
          <t>scolipede</t>
        </is>
      </c>
      <c r="H1868" s="18" t="inlineStr"/>
      <c r="I1868" s="18" t="n">
        <v>5</v>
      </c>
      <c r="J1868" s="18" t="n"/>
      <c r="K1868" s="18" t="n">
        <v>5</v>
      </c>
      <c r="L1868" s="18" t="inlineStr">
        <is>
          <t>cobbleventure:generation_5</t>
        </is>
      </c>
      <c r="M1868" s="19" t="inlineStr">
        <is>
          <t>cobbleventure:generation_5</t>
        </is>
      </c>
      <c r="N1868" s="18" t="inlineStr"/>
      <c r="O1868" s="19" t="inlineStr"/>
      <c r="P1868" s="18" t="inlineStr">
        <is>
          <t>#cobblemon:nether/is_forest; #cobblemon:nether/is_fungus</t>
        </is>
      </c>
      <c r="Q1868" s="19" t="inlineStr"/>
      <c r="R1868" s="18">
        <f>IF(Q1868="",P1868,Q1868)</f>
        <v/>
      </c>
      <c r="S1868" s="18" t="inlineStr"/>
      <c r="T1868" s="18" t="inlineStr">
        <is>
          <t>common</t>
        </is>
      </c>
      <c r="U1868" s="20" t="n">
        <v>0.06</v>
      </c>
      <c r="V1868" s="21" t="n">
        <v>1</v>
      </c>
      <c r="W1868" s="20">
        <f>IF(OR(U1868="",V1868=""),U1868,U1868*V1868)</f>
        <v/>
      </c>
      <c r="X1868" s="18" t="inlineStr">
        <is>
          <t>30-49</t>
        </is>
      </c>
      <c r="Y1868" s="19" t="inlineStr"/>
      <c r="Z1868" s="18">
        <f>IF(Y1868="",X1868,Y1868)</f>
        <v/>
      </c>
      <c r="AA1868" s="18" t="inlineStr">
        <is>
          <t>grounded</t>
        </is>
      </c>
      <c r="AB1868" s="18" t="inlineStr"/>
      <c r="AC1868" s="18" t="inlineStr"/>
      <c r="AD1868" s="18" t="inlineStr"/>
      <c r="AE1868" s="18" t="inlineStr"/>
      <c r="AF1868" s="18" t="inlineStr"/>
      <c r="AG1868" s="18" t="inlineStr"/>
      <c r="AH1868" s="18" t="inlineStr"/>
      <c r="AI1868" s="18" t="inlineStr"/>
      <c r="AJ1868" s="18" t="inlineStr">
        <is>
          <t>Cobblemon 동일</t>
        </is>
      </c>
      <c r="AK1868" s="18" t="inlineStr">
        <is>
          <t>사용</t>
        </is>
      </c>
      <c r="AL1868" s="18" t="inlineStr">
        <is>
          <t>COBBLEVERSE 1.7.42 / DP v31</t>
        </is>
      </c>
      <c r="AM1868" s="18" t="inlineStr">
        <is>
          <t>data/cobblemon/spawn_pool_world/0545_scolipede.json</t>
        </is>
      </c>
      <c r="AN1868" s="18" t="inlineStr">
        <is>
          <t>scolipede-4</t>
        </is>
      </c>
      <c r="AO1868" s="18" t="inlineStr">
        <is>
          <t>pokemon</t>
        </is>
      </c>
      <c r="AP1868" s="18" t="inlineStr">
        <is>
          <t>natural; wild</t>
        </is>
      </c>
      <c r="AQ1868" s="18" t="inlineStr">
        <is>
          <t>{"biomes":["#cobblemon:nether/is_forest","#cobblemon:nether/is_fungus"]}</t>
        </is>
      </c>
      <c r="AR1868" s="18" t="inlineStr"/>
      <c r="AS1868" s="18" t="inlineStr"/>
      <c r="AT1868" s="19" t="inlineStr"/>
    </row>
    <row r="1869" ht="32" customHeight="1">
      <c r="A1869" s="18" t="inlineStr">
        <is>
          <t>0545_scolipede.json::scolipede-5::005</t>
        </is>
      </c>
      <c r="B1869" s="19" t="inlineStr">
        <is>
          <t>사용</t>
        </is>
      </c>
      <c r="C1869" s="18">
        <f>IF(OR(B1869&lt;&gt;AK1869,M1869&lt;&gt;L1869,O1869&lt;&gt;"",Q1869&lt;&gt;"",V1869&lt;&gt;1,Y1869&lt;&gt;"",AT1869&lt;&gt;""),"수정","원본")</f>
        <v/>
      </c>
      <c r="D1869" s="18" t="n">
        <v>545</v>
      </c>
      <c r="E1869" s="18" t="inlineStr">
        <is>
          <t>펜드라</t>
        </is>
      </c>
      <c r="F1869" s="18" t="inlineStr">
        <is>
          <t>scolipede</t>
        </is>
      </c>
      <c r="G1869" s="18" t="inlineStr">
        <is>
          <t>scolipede</t>
        </is>
      </c>
      <c r="H1869" s="18" t="inlineStr"/>
      <c r="I1869" s="18" t="n">
        <v>5</v>
      </c>
      <c r="J1869" s="18" t="n"/>
      <c r="K1869" s="18" t="n">
        <v>5</v>
      </c>
      <c r="L1869" s="18" t="inlineStr">
        <is>
          <t>cobbleventure:generation_5</t>
        </is>
      </c>
      <c r="M1869" s="19" t="inlineStr">
        <is>
          <t>cobbleventure:generation_5</t>
        </is>
      </c>
      <c r="N1869" s="18" t="inlineStr">
        <is>
          <t>region_01; region_02</t>
        </is>
      </c>
      <c r="O1869" s="19" t="inlineStr"/>
      <c r="P1869" s="18" t="inlineStr">
        <is>
          <t>#cobblemon:is_overworld</t>
        </is>
      </c>
      <c r="Q1869" s="19" t="inlineStr"/>
      <c r="R1869" s="18">
        <f>IF(Q1869="",P1869,Q1869)</f>
        <v/>
      </c>
      <c r="S1869" s="18" t="inlineStr">
        <is>
          <t>#cobblemon:is_lush</t>
        </is>
      </c>
      <c r="T1869" s="18" t="inlineStr">
        <is>
          <t>common</t>
        </is>
      </c>
      <c r="U1869" s="20" t="n">
        <v>0.02</v>
      </c>
      <c r="V1869" s="21" t="n">
        <v>1</v>
      </c>
      <c r="W1869" s="20">
        <f>IF(OR(U1869="",V1869=""),U1869,U1869*V1869)</f>
        <v/>
      </c>
      <c r="X1869" s="18" t="inlineStr">
        <is>
          <t>30-49</t>
        </is>
      </c>
      <c r="Y1869" s="19" t="inlineStr"/>
      <c r="Z1869" s="18">
        <f>IF(Y1869="",X1869,Y1869)</f>
        <v/>
      </c>
      <c r="AA1869" s="18" t="inlineStr">
        <is>
          <t>grounded</t>
        </is>
      </c>
      <c r="AB1869" s="18" t="inlineStr"/>
      <c r="AC1869" s="18" t="inlineStr"/>
      <c r="AD1869" s="18" t="inlineStr">
        <is>
          <t>minY=-41, maxY=9</t>
        </is>
      </c>
      <c r="AE1869" s="18" t="inlineStr">
        <is>
          <t>sky 0-7</t>
        </is>
      </c>
      <c r="AF1869" s="18" t="inlineStr"/>
      <c r="AG1869" s="18" t="inlineStr">
        <is>
          <t>cobblemon:shipwreck_coves/lush_shipwreck_cove</t>
        </is>
      </c>
      <c r="AH1869" s="18" t="inlineStr"/>
      <c r="AI1869" s="18" t="inlineStr"/>
      <c r="AJ1869" s="18" t="inlineStr">
        <is>
          <t>Cobblemon 동일</t>
        </is>
      </c>
      <c r="AK1869" s="18" t="inlineStr">
        <is>
          <t>사용</t>
        </is>
      </c>
      <c r="AL1869" s="18" t="inlineStr">
        <is>
          <t>COBBLEVERSE 1.7.42 / DP v31</t>
        </is>
      </c>
      <c r="AM1869" s="18" t="inlineStr">
        <is>
          <t>data/cobblemon/spawn_pool_world/0545_scolipede.json</t>
        </is>
      </c>
      <c r="AN1869" s="18" t="inlineStr">
        <is>
          <t>scolipede-5</t>
        </is>
      </c>
      <c r="AO1869" s="18" t="inlineStr">
        <is>
          <t>pokemon</t>
        </is>
      </c>
      <c r="AP1869" s="18" t="inlineStr">
        <is>
          <t>natural</t>
        </is>
      </c>
      <c r="AQ1869" s="18" t="inlineStr">
        <is>
          <t>{"biomes":["#cobblemon:is_overworld"],"maxSkyLight":7,"maxY":9,"minSkyLight":0,"minY":-41,"structures":["cobblemon:shipwreck_coves/lush_shipwreck_cove"]}</t>
        </is>
      </c>
      <c r="AR1869" s="18" t="inlineStr">
        <is>
          <t>{"biomes":["#cobblemon:is_lush"]}</t>
        </is>
      </c>
      <c r="AS1869" s="18" t="inlineStr"/>
      <c r="AT1869" s="19" t="inlineStr"/>
    </row>
    <row r="1870" ht="32" customHeight="1">
      <c r="A1870" s="18" t="inlineStr">
        <is>
          <t>0546_cottonee.json::cottonee-1::001</t>
        </is>
      </c>
      <c r="B1870" s="19" t="inlineStr">
        <is>
          <t>사용</t>
        </is>
      </c>
      <c r="C1870" s="18">
        <f>IF(OR(B1870&lt;&gt;AK1870,M1870&lt;&gt;L1870,O1870&lt;&gt;"",Q1870&lt;&gt;"",V1870&lt;&gt;1,Y1870&lt;&gt;"",AT1870&lt;&gt;""),"수정","원본")</f>
        <v/>
      </c>
      <c r="D1870" s="18" t="n">
        <v>546</v>
      </c>
      <c r="E1870" s="18" t="inlineStr">
        <is>
          <t>소미안</t>
        </is>
      </c>
      <c r="F1870" s="18" t="inlineStr">
        <is>
          <t>cottonee</t>
        </is>
      </c>
      <c r="G1870" s="18" t="inlineStr">
        <is>
          <t>cottonee</t>
        </is>
      </c>
      <c r="H1870" s="18" t="inlineStr"/>
      <c r="I1870" s="18" t="n">
        <v>5</v>
      </c>
      <c r="J1870" s="18" t="n"/>
      <c r="K1870" s="18" t="n">
        <v>5</v>
      </c>
      <c r="L1870" s="18" t="inlineStr">
        <is>
          <t>cobbleventure:generation_5</t>
        </is>
      </c>
      <c r="M1870" s="19" t="inlineStr">
        <is>
          <t>cobbleventure:generation_5</t>
        </is>
      </c>
      <c r="N1870" s="18" t="inlineStr">
        <is>
          <t>region_01</t>
        </is>
      </c>
      <c r="O1870" s="19" t="inlineStr"/>
      <c r="P1870" s="18" t="inlineStr">
        <is>
          <t>#cobblemon:is_plains</t>
        </is>
      </c>
      <c r="Q1870" s="19" t="inlineStr"/>
      <c r="R1870" s="18">
        <f>IF(Q1870="",P1870,Q1870)</f>
        <v/>
      </c>
      <c r="S1870" s="18" t="inlineStr"/>
      <c r="T1870" s="18" t="inlineStr">
        <is>
          <t>common</t>
        </is>
      </c>
      <c r="U1870" s="20" t="n">
        <v>5.7</v>
      </c>
      <c r="V1870" s="21" t="n">
        <v>1</v>
      </c>
      <c r="W1870" s="20">
        <f>IF(OR(U1870="",V1870=""),U1870,U1870*V1870)</f>
        <v/>
      </c>
      <c r="X1870" s="18" t="inlineStr">
        <is>
          <t>3-28</t>
        </is>
      </c>
      <c r="Y1870" s="19" t="inlineStr"/>
      <c r="Z1870" s="18">
        <f>IF(Y1870="",X1870,Y1870)</f>
        <v/>
      </c>
      <c r="AA1870" s="18" t="inlineStr">
        <is>
          <t>grounded</t>
        </is>
      </c>
      <c r="AB1870" s="18" t="inlineStr"/>
      <c r="AC1870" s="18" t="inlineStr">
        <is>
          <t>비=False</t>
        </is>
      </c>
      <c r="AD1870" s="18" t="inlineStr"/>
      <c r="AE1870" s="18" t="inlineStr">
        <is>
          <t>sky 8-15</t>
        </is>
      </c>
      <c r="AF1870" s="18" t="inlineStr"/>
      <c r="AG1870" s="18" t="inlineStr"/>
      <c r="AH1870" s="18" t="inlineStr"/>
      <c r="AI1870" s="18" t="inlineStr"/>
      <c r="AJ1870" s="18" t="inlineStr">
        <is>
          <t>Cobblemon 동일</t>
        </is>
      </c>
      <c r="AK1870" s="18" t="inlineStr">
        <is>
          <t>사용</t>
        </is>
      </c>
      <c r="AL1870" s="18" t="inlineStr">
        <is>
          <t>COBBLEVERSE 1.7.42 / DP v31</t>
        </is>
      </c>
      <c r="AM1870" s="18" t="inlineStr">
        <is>
          <t>data/cobblemon/spawn_pool_world/0546_cottonee.json</t>
        </is>
      </c>
      <c r="AN1870" s="18" t="inlineStr">
        <is>
          <t>cottonee-1</t>
        </is>
      </c>
      <c r="AO1870" s="18" t="inlineStr">
        <is>
          <t>pokemon</t>
        </is>
      </c>
      <c r="AP1870" s="18" t="inlineStr">
        <is>
          <t>natural</t>
        </is>
      </c>
      <c r="AQ1870" s="18" t="inlineStr">
        <is>
          <t>{"biomes":["#cobblemon:is_plains"],"isRaining":false,"maxSkyLight":15,"minSkyLight":8}</t>
        </is>
      </c>
      <c r="AR1870" s="18" t="inlineStr"/>
      <c r="AS1870" s="18" t="inlineStr">
        <is>
          <t>{"weightMultiplier":{"condition":{"timeRange":"night"},"multiplier":0.25}}</t>
        </is>
      </c>
      <c r="AT1870" s="19" t="inlineStr"/>
    </row>
    <row r="1871" ht="32" customHeight="1">
      <c r="A1871" s="18" t="inlineStr">
        <is>
          <t>0546_cottonee.json::cottonee-3::002</t>
        </is>
      </c>
      <c r="B1871" s="19" t="inlineStr">
        <is>
          <t>사용</t>
        </is>
      </c>
      <c r="C1871" s="18">
        <f>IF(OR(B1871&lt;&gt;AK1871,M1871&lt;&gt;L1871,O1871&lt;&gt;"",Q1871&lt;&gt;"",V1871&lt;&gt;1,Y1871&lt;&gt;"",AT1871&lt;&gt;""),"수정","원본")</f>
        <v/>
      </c>
      <c r="D1871" s="18" t="n">
        <v>546</v>
      </c>
      <c r="E1871" s="18" t="inlineStr">
        <is>
          <t>소미안</t>
        </is>
      </c>
      <c r="F1871" s="18" t="inlineStr">
        <is>
          <t>cottonee</t>
        </is>
      </c>
      <c r="G1871" s="18" t="inlineStr">
        <is>
          <t>cottonee</t>
        </is>
      </c>
      <c r="H1871" s="18" t="inlineStr"/>
      <c r="I1871" s="18" t="n">
        <v>5</v>
      </c>
      <c r="J1871" s="18" t="n"/>
      <c r="K1871" s="18" t="n">
        <v>5</v>
      </c>
      <c r="L1871" s="18" t="inlineStr">
        <is>
          <t>cobbleventure:generation_5</t>
        </is>
      </c>
      <c r="M1871" s="19" t="inlineStr">
        <is>
          <t>cobbleventure:generation_5</t>
        </is>
      </c>
      <c r="N1871" s="18" t="inlineStr"/>
      <c r="O1871" s="19" t="inlineStr"/>
      <c r="P1871" s="18" t="inlineStr">
        <is>
          <t>aether:skyroot_grove; aether:skyroot_meadow</t>
        </is>
      </c>
      <c r="Q1871" s="19" t="inlineStr"/>
      <c r="R1871" s="18">
        <f>IF(Q1871="",P1871,Q1871)</f>
        <v/>
      </c>
      <c r="S1871" s="18" t="inlineStr"/>
      <c r="T1871" s="18" t="inlineStr">
        <is>
          <t>common</t>
        </is>
      </c>
      <c r="U1871" s="20" t="n">
        <v>9.5</v>
      </c>
      <c r="V1871" s="21" t="n">
        <v>1</v>
      </c>
      <c r="W1871" s="20">
        <f>IF(OR(U1871="",V1871=""),U1871,U1871*V1871)</f>
        <v/>
      </c>
      <c r="X1871" s="18" t="inlineStr">
        <is>
          <t>3-28</t>
        </is>
      </c>
      <c r="Y1871" s="19" t="inlineStr"/>
      <c r="Z1871" s="18">
        <f>IF(Y1871="",X1871,Y1871)</f>
        <v/>
      </c>
      <c r="AA1871" s="18" t="inlineStr">
        <is>
          <t>grounded</t>
        </is>
      </c>
      <c r="AB1871" s="18" t="inlineStr"/>
      <c r="AC1871" s="18" t="inlineStr"/>
      <c r="AD1871" s="18" t="inlineStr"/>
      <c r="AE1871" s="18" t="inlineStr">
        <is>
          <t>sky 8-15</t>
        </is>
      </c>
      <c r="AF1871" s="18" t="inlineStr"/>
      <c r="AG1871" s="18" t="inlineStr"/>
      <c r="AH1871" s="18" t="inlineStr"/>
      <c r="AI1871" s="18" t="inlineStr"/>
      <c r="AJ1871" s="18" t="inlineStr">
        <is>
          <t>Cobblemon 동일</t>
        </is>
      </c>
      <c r="AK1871" s="18" t="inlineStr">
        <is>
          <t>사용</t>
        </is>
      </c>
      <c r="AL1871" s="18" t="inlineStr">
        <is>
          <t>COBBLEVERSE 1.7.42 / DP v31</t>
        </is>
      </c>
      <c r="AM1871" s="18" t="inlineStr">
        <is>
          <t>data/cobblemon/spawn_pool_world/0546_cottonee.json</t>
        </is>
      </c>
      <c r="AN1871" s="18" t="inlineStr">
        <is>
          <t>cottonee-3</t>
        </is>
      </c>
      <c r="AO1871" s="18" t="inlineStr">
        <is>
          <t>pokemon</t>
        </is>
      </c>
      <c r="AP1871" s="18" t="inlineStr">
        <is>
          <t>natural</t>
        </is>
      </c>
      <c r="AQ1871" s="18" t="inlineStr">
        <is>
          <t>{"biomes":["aether:skyroot_grove","aether:skyroot_meadow"],"maxSkyLight":15,"minSkyLight":8}</t>
        </is>
      </c>
      <c r="AR1871" s="18" t="inlineStr"/>
      <c r="AS1871" s="18" t="inlineStr"/>
      <c r="AT1871" s="19" t="inlineStr"/>
    </row>
    <row r="1872" ht="32" customHeight="1">
      <c r="A1872" s="18" t="inlineStr">
        <is>
          <t>0547_whimsicott.json::whimsicott-1::001</t>
        </is>
      </c>
      <c r="B1872" s="19" t="inlineStr">
        <is>
          <t>사용</t>
        </is>
      </c>
      <c r="C1872" s="18">
        <f>IF(OR(B1872&lt;&gt;AK1872,M1872&lt;&gt;L1872,O1872&lt;&gt;"",Q1872&lt;&gt;"",V1872&lt;&gt;1,Y1872&lt;&gt;"",AT1872&lt;&gt;""),"수정","원본")</f>
        <v/>
      </c>
      <c r="D1872" s="18" t="n">
        <v>547</v>
      </c>
      <c r="E1872" s="18" t="inlineStr">
        <is>
          <t>엘풍</t>
        </is>
      </c>
      <c r="F1872" s="18" t="inlineStr">
        <is>
          <t>whimsicott</t>
        </is>
      </c>
      <c r="G1872" s="18" t="inlineStr">
        <is>
          <t>whimsicott</t>
        </is>
      </c>
      <c r="H1872" s="18" t="inlineStr"/>
      <c r="I1872" s="18" t="n">
        <v>5</v>
      </c>
      <c r="J1872" s="18" t="n"/>
      <c r="K1872" s="18" t="n">
        <v>5</v>
      </c>
      <c r="L1872" s="18" t="inlineStr">
        <is>
          <t>cobbleventure:generation_5</t>
        </is>
      </c>
      <c r="M1872" s="19" t="inlineStr">
        <is>
          <t>cobbleventure:generation_5</t>
        </is>
      </c>
      <c r="N1872" s="18" t="inlineStr">
        <is>
          <t>region_01</t>
        </is>
      </c>
      <c r="O1872" s="19" t="inlineStr"/>
      <c r="P1872" s="18" t="inlineStr">
        <is>
          <t>#cobblemon:is_plains</t>
        </is>
      </c>
      <c r="Q1872" s="19" t="inlineStr"/>
      <c r="R1872" s="18">
        <f>IF(Q1872="",P1872,Q1872)</f>
        <v/>
      </c>
      <c r="S1872" s="18" t="inlineStr"/>
      <c r="T1872" s="18" t="inlineStr">
        <is>
          <t>common</t>
        </is>
      </c>
      <c r="U1872" s="20" t="n">
        <v>0.3</v>
      </c>
      <c r="V1872" s="21" t="n">
        <v>1</v>
      </c>
      <c r="W1872" s="20">
        <f>IF(OR(U1872="",V1872=""),U1872,U1872*V1872)</f>
        <v/>
      </c>
      <c r="X1872" s="18" t="inlineStr">
        <is>
          <t>23-48</t>
        </is>
      </c>
      <c r="Y1872" s="19" t="inlineStr"/>
      <c r="Z1872" s="18">
        <f>IF(Y1872="",X1872,Y1872)</f>
        <v/>
      </c>
      <c r="AA1872" s="18" t="inlineStr">
        <is>
          <t>grounded</t>
        </is>
      </c>
      <c r="AB1872" s="18" t="inlineStr"/>
      <c r="AC1872" s="18" t="inlineStr">
        <is>
          <t>비=False</t>
        </is>
      </c>
      <c r="AD1872" s="18" t="inlineStr"/>
      <c r="AE1872" s="18" t="inlineStr">
        <is>
          <t>sky 8-15</t>
        </is>
      </c>
      <c r="AF1872" s="18" t="inlineStr"/>
      <c r="AG1872" s="18" t="inlineStr"/>
      <c r="AH1872" s="18" t="inlineStr"/>
      <c r="AI1872" s="18" t="inlineStr"/>
      <c r="AJ1872" s="18" t="inlineStr">
        <is>
          <t>Cobblemon 동일</t>
        </is>
      </c>
      <c r="AK1872" s="18" t="inlineStr">
        <is>
          <t>사용</t>
        </is>
      </c>
      <c r="AL1872" s="18" t="inlineStr">
        <is>
          <t>COBBLEVERSE 1.7.42 / DP v31</t>
        </is>
      </c>
      <c r="AM1872" s="18" t="inlineStr">
        <is>
          <t>data/cobblemon/spawn_pool_world/0547_whimsicott.json</t>
        </is>
      </c>
      <c r="AN1872" s="18" t="inlineStr">
        <is>
          <t>whimsicott-1</t>
        </is>
      </c>
      <c r="AO1872" s="18" t="inlineStr">
        <is>
          <t>pokemon</t>
        </is>
      </c>
      <c r="AP1872" s="18" t="inlineStr">
        <is>
          <t>natural</t>
        </is>
      </c>
      <c r="AQ1872" s="18" t="inlineStr">
        <is>
          <t>{"biomes":["#cobblemon:is_plains"],"isRaining":false,"maxSkyLight":15,"minSkyLight":8}</t>
        </is>
      </c>
      <c r="AR1872" s="18" t="inlineStr"/>
      <c r="AS1872" s="18" t="inlineStr">
        <is>
          <t>{"weightMultiplier":{"condition":{"timeRange":"night"},"multiplier":0.25}}</t>
        </is>
      </c>
      <c r="AT1872" s="19" t="inlineStr"/>
    </row>
    <row r="1873" ht="32" customHeight="1">
      <c r="A1873" s="18" t="inlineStr">
        <is>
          <t>0547_whimsicott.json::whimsicott-3::002</t>
        </is>
      </c>
      <c r="B1873" s="19" t="inlineStr">
        <is>
          <t>사용</t>
        </is>
      </c>
      <c r="C1873" s="18">
        <f>IF(OR(B1873&lt;&gt;AK1873,M1873&lt;&gt;L1873,O1873&lt;&gt;"",Q1873&lt;&gt;"",V1873&lt;&gt;1,Y1873&lt;&gt;"",AT1873&lt;&gt;""),"수정","원본")</f>
        <v/>
      </c>
      <c r="D1873" s="18" t="n">
        <v>547</v>
      </c>
      <c r="E1873" s="18" t="inlineStr">
        <is>
          <t>엘풍</t>
        </is>
      </c>
      <c r="F1873" s="18" t="inlineStr">
        <is>
          <t>whimsicott</t>
        </is>
      </c>
      <c r="G1873" s="18" t="inlineStr">
        <is>
          <t>whimsicott</t>
        </is>
      </c>
      <c r="H1873" s="18" t="inlineStr"/>
      <c r="I1873" s="18" t="n">
        <v>5</v>
      </c>
      <c r="J1873" s="18" t="n"/>
      <c r="K1873" s="18" t="n">
        <v>5</v>
      </c>
      <c r="L1873" s="18" t="inlineStr">
        <is>
          <t>cobbleventure:generation_5</t>
        </is>
      </c>
      <c r="M1873" s="19" t="inlineStr">
        <is>
          <t>cobbleventure:generation_5</t>
        </is>
      </c>
      <c r="N1873" s="18" t="inlineStr"/>
      <c r="O1873" s="19" t="inlineStr"/>
      <c r="P1873" s="18" t="inlineStr">
        <is>
          <t>aether:skyroot_grove; aether:skyroot_meadow</t>
        </is>
      </c>
      <c r="Q1873" s="19" t="inlineStr"/>
      <c r="R1873" s="18">
        <f>IF(Q1873="",P1873,Q1873)</f>
        <v/>
      </c>
      <c r="S1873" s="18" t="inlineStr"/>
      <c r="T1873" s="18" t="inlineStr">
        <is>
          <t>common</t>
        </is>
      </c>
      <c r="U1873" s="20" t="n">
        <v>0.5</v>
      </c>
      <c r="V1873" s="21" t="n">
        <v>1</v>
      </c>
      <c r="W1873" s="20">
        <f>IF(OR(U1873="",V1873=""),U1873,U1873*V1873)</f>
        <v/>
      </c>
      <c r="X1873" s="18" t="inlineStr">
        <is>
          <t>23-48</t>
        </is>
      </c>
      <c r="Y1873" s="19" t="inlineStr"/>
      <c r="Z1873" s="18">
        <f>IF(Y1873="",X1873,Y1873)</f>
        <v/>
      </c>
      <c r="AA1873" s="18" t="inlineStr">
        <is>
          <t>grounded</t>
        </is>
      </c>
      <c r="AB1873" s="18" t="inlineStr"/>
      <c r="AC1873" s="18" t="inlineStr"/>
      <c r="AD1873" s="18" t="inlineStr"/>
      <c r="AE1873" s="18" t="inlineStr">
        <is>
          <t>sky 8-15</t>
        </is>
      </c>
      <c r="AF1873" s="18" t="inlineStr"/>
      <c r="AG1873" s="18" t="inlineStr"/>
      <c r="AH1873" s="18" t="inlineStr"/>
      <c r="AI1873" s="18" t="inlineStr"/>
      <c r="AJ1873" s="18" t="inlineStr">
        <is>
          <t>Cobblemon 동일</t>
        </is>
      </c>
      <c r="AK1873" s="18" t="inlineStr">
        <is>
          <t>사용</t>
        </is>
      </c>
      <c r="AL1873" s="18" t="inlineStr">
        <is>
          <t>COBBLEVERSE 1.7.42 / DP v31</t>
        </is>
      </c>
      <c r="AM1873" s="18" t="inlineStr">
        <is>
          <t>data/cobblemon/spawn_pool_world/0547_whimsicott.json</t>
        </is>
      </c>
      <c r="AN1873" s="18" t="inlineStr">
        <is>
          <t>whimsicott-3</t>
        </is>
      </c>
      <c r="AO1873" s="18" t="inlineStr">
        <is>
          <t>pokemon</t>
        </is>
      </c>
      <c r="AP1873" s="18" t="inlineStr">
        <is>
          <t>natural</t>
        </is>
      </c>
      <c r="AQ1873" s="18" t="inlineStr">
        <is>
          <t>{"biomes":["aether:skyroot_grove","aether:skyroot_meadow"],"maxSkyLight":15,"minSkyLight":8}</t>
        </is>
      </c>
      <c r="AR1873" s="18" t="inlineStr"/>
      <c r="AS1873" s="18" t="inlineStr"/>
      <c r="AT1873" s="19" t="inlineStr"/>
    </row>
    <row r="1874" ht="32" customHeight="1">
      <c r="A1874" s="18" t="inlineStr">
        <is>
          <t>0548_petilil.json::petilil-1::001</t>
        </is>
      </c>
      <c r="B1874" s="19" t="inlineStr">
        <is>
          <t>사용</t>
        </is>
      </c>
      <c r="C1874" s="18">
        <f>IF(OR(B1874&lt;&gt;AK1874,M1874&lt;&gt;L1874,O1874&lt;&gt;"",Q1874&lt;&gt;"",V1874&lt;&gt;1,Y1874&lt;&gt;"",AT1874&lt;&gt;""),"수정","원본")</f>
        <v/>
      </c>
      <c r="D1874" s="18" t="n">
        <v>548</v>
      </c>
      <c r="E1874" s="18" t="inlineStr">
        <is>
          <t>치릴리</t>
        </is>
      </c>
      <c r="F1874" s="18" t="inlineStr">
        <is>
          <t>petilil</t>
        </is>
      </c>
      <c r="G1874" s="18" t="inlineStr">
        <is>
          <t>petilil</t>
        </is>
      </c>
      <c r="H1874" s="18" t="inlineStr"/>
      <c r="I1874" s="18" t="n">
        <v>5</v>
      </c>
      <c r="J1874" s="18" t="n"/>
      <c r="K1874" s="18" t="n">
        <v>5</v>
      </c>
      <c r="L1874" s="18" t="inlineStr">
        <is>
          <t>cobbleventure:generation_5</t>
        </is>
      </c>
      <c r="M1874" s="19" t="inlineStr">
        <is>
          <t>cobbleventure:generation_5</t>
        </is>
      </c>
      <c r="N1874" s="18" t="inlineStr"/>
      <c r="O1874" s="19" t="inlineStr"/>
      <c r="P1874" s="18" t="inlineStr">
        <is>
          <t>#cobblemon:is_floral</t>
        </is>
      </c>
      <c r="Q1874" s="19" t="inlineStr"/>
      <c r="R1874" s="18">
        <f>IF(Q1874="",P1874,Q1874)</f>
        <v/>
      </c>
      <c r="S1874" s="18" t="inlineStr">
        <is>
          <t>#cobblemon:is_hills</t>
        </is>
      </c>
      <c r="T1874" s="18" t="inlineStr">
        <is>
          <t>common</t>
        </is>
      </c>
      <c r="U1874" s="20" t="n">
        <v>9.5</v>
      </c>
      <c r="V1874" s="21" t="n">
        <v>1</v>
      </c>
      <c r="W1874" s="20">
        <f>IF(OR(U1874="",V1874=""),U1874,U1874*V1874)</f>
        <v/>
      </c>
      <c r="X1874" s="18" t="inlineStr">
        <is>
          <t>3-28</t>
        </is>
      </c>
      <c r="Y1874" s="19" t="inlineStr"/>
      <c r="Z1874" s="18">
        <f>IF(Y1874="",X1874,Y1874)</f>
        <v/>
      </c>
      <c r="AA1874" s="18" t="inlineStr">
        <is>
          <t>grounded</t>
        </is>
      </c>
      <c r="AB1874" s="18" t="inlineStr"/>
      <c r="AC1874" s="18" t="inlineStr"/>
      <c r="AD1874" s="18" t="inlineStr"/>
      <c r="AE1874" s="18" t="inlineStr">
        <is>
          <t>sky 8-15</t>
        </is>
      </c>
      <c r="AF1874" s="18" t="inlineStr"/>
      <c r="AG1874" s="18" t="inlineStr"/>
      <c r="AH1874" s="18" t="inlineStr"/>
      <c r="AI1874" s="18" t="inlineStr"/>
      <c r="AJ1874" s="18" t="inlineStr">
        <is>
          <t>Cobblemon 동일</t>
        </is>
      </c>
      <c r="AK1874" s="18" t="inlineStr">
        <is>
          <t>사용</t>
        </is>
      </c>
      <c r="AL1874" s="18" t="inlineStr">
        <is>
          <t>COBBLEVERSE 1.7.42 / DP v31</t>
        </is>
      </c>
      <c r="AM1874" s="18" t="inlineStr">
        <is>
          <t>data/cobblemon/spawn_pool_world/0548_petilil.json</t>
        </is>
      </c>
      <c r="AN1874" s="18" t="inlineStr">
        <is>
          <t>petilil-1</t>
        </is>
      </c>
      <c r="AO1874" s="18" t="inlineStr">
        <is>
          <t>pokemon</t>
        </is>
      </c>
      <c r="AP1874" s="18" t="inlineStr">
        <is>
          <t>natural; wild</t>
        </is>
      </c>
      <c r="AQ1874" s="18" t="inlineStr">
        <is>
          <t>{"biomes":["#cobblemon:is_floral"],"maxSkyLight":15,"minSkyLight":8}</t>
        </is>
      </c>
      <c r="AR1874" s="18" t="inlineStr">
        <is>
          <t>{"biomes":["#cobblemon:is_hills"]}</t>
        </is>
      </c>
      <c r="AS1874" s="18" t="inlineStr">
        <is>
          <t>{"weightMultiplier":{"condition":{"timeRange":"night"},"multiplier":0.25}}</t>
        </is>
      </c>
      <c r="AT1874" s="19" t="inlineStr"/>
    </row>
    <row r="1875" ht="32" customHeight="1">
      <c r="A1875" s="18" t="inlineStr">
        <is>
          <t>0548_petilil.json::petilil-2::002</t>
        </is>
      </c>
      <c r="B1875" s="19" t="inlineStr">
        <is>
          <t>사용</t>
        </is>
      </c>
      <c r="C1875" s="18">
        <f>IF(OR(B1875&lt;&gt;AK1875,M1875&lt;&gt;L1875,O1875&lt;&gt;"",Q1875&lt;&gt;"",V1875&lt;&gt;1,Y1875&lt;&gt;"",AT1875&lt;&gt;""),"수정","원본")</f>
        <v/>
      </c>
      <c r="D1875" s="18" t="n">
        <v>548</v>
      </c>
      <c r="E1875" s="18" t="inlineStr">
        <is>
          <t>치릴리</t>
        </is>
      </c>
      <c r="F1875" s="18" t="inlineStr">
        <is>
          <t>petilil</t>
        </is>
      </c>
      <c r="G1875" s="18" t="inlineStr">
        <is>
          <t>petilil</t>
        </is>
      </c>
      <c r="H1875" s="18" t="inlineStr"/>
      <c r="I1875" s="18" t="n">
        <v>5</v>
      </c>
      <c r="J1875" s="18" t="n"/>
      <c r="K1875" s="18" t="n">
        <v>5</v>
      </c>
      <c r="L1875" s="18" t="inlineStr">
        <is>
          <t>cobbleventure:generation_5</t>
        </is>
      </c>
      <c r="M1875" s="19" t="inlineStr">
        <is>
          <t>cobbleventure:generation_5</t>
        </is>
      </c>
      <c r="N1875" s="18" t="inlineStr">
        <is>
          <t>region_01</t>
        </is>
      </c>
      <c r="O1875" s="19" t="inlineStr"/>
      <c r="P1875" s="18" t="inlineStr">
        <is>
          <t>#cobblemon:is_forest; #cobblemon:is_tropical_island</t>
        </is>
      </c>
      <c r="Q1875" s="19" t="inlineStr"/>
      <c r="R1875" s="18">
        <f>IF(Q1875="",P1875,Q1875)</f>
        <v/>
      </c>
      <c r="S1875" s="18" t="inlineStr">
        <is>
          <t>#cobblemon:is_hills; #cobblemon:is_freezing; #cobblemon:is_spooky</t>
        </is>
      </c>
      <c r="T1875" s="18" t="inlineStr">
        <is>
          <t>common</t>
        </is>
      </c>
      <c r="U1875" s="20" t="n">
        <v>1.9</v>
      </c>
      <c r="V1875" s="21" t="n">
        <v>1</v>
      </c>
      <c r="W1875" s="20">
        <f>IF(OR(U1875="",V1875=""),U1875,U1875*V1875)</f>
        <v/>
      </c>
      <c r="X1875" s="18" t="inlineStr">
        <is>
          <t>3-28</t>
        </is>
      </c>
      <c r="Y1875" s="19" t="inlineStr"/>
      <c r="Z1875" s="18">
        <f>IF(Y1875="",X1875,Y1875)</f>
        <v/>
      </c>
      <c r="AA1875" s="18" t="inlineStr">
        <is>
          <t>grounded</t>
        </is>
      </c>
      <c r="AB1875" s="18" t="inlineStr"/>
      <c r="AC1875" s="18" t="inlineStr"/>
      <c r="AD1875" s="18" t="inlineStr"/>
      <c r="AE1875" s="18" t="inlineStr">
        <is>
          <t>sky 8-15</t>
        </is>
      </c>
      <c r="AF1875" s="18" t="inlineStr"/>
      <c r="AG1875" s="18" t="inlineStr"/>
      <c r="AH1875" s="18" t="inlineStr"/>
      <c r="AI1875" s="18" t="inlineStr"/>
      <c r="AJ1875" s="18" t="inlineStr">
        <is>
          <t>Cobblemon 동일</t>
        </is>
      </c>
      <c r="AK1875" s="18" t="inlineStr">
        <is>
          <t>사용</t>
        </is>
      </c>
      <c r="AL1875" s="18" t="inlineStr">
        <is>
          <t>COBBLEVERSE 1.7.42 / DP v31</t>
        </is>
      </c>
      <c r="AM1875" s="18" t="inlineStr">
        <is>
          <t>data/cobblemon/spawn_pool_world/0548_petilil.json</t>
        </is>
      </c>
      <c r="AN1875" s="18" t="inlineStr">
        <is>
          <t>petilil-2</t>
        </is>
      </c>
      <c r="AO1875" s="18" t="inlineStr">
        <is>
          <t>pokemon</t>
        </is>
      </c>
      <c r="AP1875" s="18" t="inlineStr">
        <is>
          <t>natural; wild</t>
        </is>
      </c>
      <c r="AQ1875" s="18" t="inlineStr">
        <is>
          <t>{"biomes":["#cobblemon:is_forest","#cobblemon:is_tropical_island"],"maxSkyLight":15,"minSkyLight":8}</t>
        </is>
      </c>
      <c r="AR1875" s="18" t="inlineStr">
        <is>
          <t>{"biomes":["#cobblemon:is_hills","#cobblemon:is_freezing","#cobblemon:is_spooky"]}</t>
        </is>
      </c>
      <c r="AS1875" s="18" t="inlineStr">
        <is>
          <t>{"weightMultiplier":{"condition":{"timeRange":"night"},"multiplier":0.25}}</t>
        </is>
      </c>
      <c r="AT1875" s="19" t="inlineStr"/>
    </row>
    <row r="1876" ht="32" customHeight="1">
      <c r="A1876" s="18" t="inlineStr">
        <is>
          <t>0548_petilil.json::petilil-3::003</t>
        </is>
      </c>
      <c r="B1876" s="19" t="inlineStr">
        <is>
          <t>사용</t>
        </is>
      </c>
      <c r="C1876" s="18">
        <f>IF(OR(B1876&lt;&gt;AK1876,M1876&lt;&gt;L1876,O1876&lt;&gt;"",Q1876&lt;&gt;"",V1876&lt;&gt;1,Y1876&lt;&gt;"",AT1876&lt;&gt;""),"수정","원본")</f>
        <v/>
      </c>
      <c r="D1876" s="18" t="n">
        <v>548</v>
      </c>
      <c r="E1876" s="18" t="inlineStr">
        <is>
          <t>치릴리</t>
        </is>
      </c>
      <c r="F1876" s="18" t="inlineStr">
        <is>
          <t>petilil</t>
        </is>
      </c>
      <c r="G1876" s="18" t="inlineStr">
        <is>
          <t>petilil</t>
        </is>
      </c>
      <c r="H1876" s="18" t="inlineStr"/>
      <c r="I1876" s="18" t="n">
        <v>5</v>
      </c>
      <c r="J1876" s="18" t="n"/>
      <c r="K1876" s="18" t="n">
        <v>5</v>
      </c>
      <c r="L1876" s="18" t="inlineStr">
        <is>
          <t>cobbleventure:generation_5</t>
        </is>
      </c>
      <c r="M1876" s="19" t="inlineStr">
        <is>
          <t>cobbleventure:generation_5</t>
        </is>
      </c>
      <c r="N1876" s="18" t="inlineStr"/>
      <c r="O1876" s="19" t="inlineStr"/>
      <c r="P1876" s="18" t="inlineStr">
        <is>
          <t>the_bumblezone:floral_meadow</t>
        </is>
      </c>
      <c r="Q1876" s="19" t="inlineStr"/>
      <c r="R1876" s="18">
        <f>IF(Q1876="",P1876,Q1876)</f>
        <v/>
      </c>
      <c r="S1876" s="18" t="inlineStr"/>
      <c r="T1876" s="18" t="inlineStr">
        <is>
          <t>common</t>
        </is>
      </c>
      <c r="U1876" s="20" t="n">
        <v>9.5</v>
      </c>
      <c r="V1876" s="21" t="n">
        <v>1</v>
      </c>
      <c r="W1876" s="20">
        <f>IF(OR(U1876="",V1876=""),U1876,U1876*V1876)</f>
        <v/>
      </c>
      <c r="X1876" s="18" t="inlineStr">
        <is>
          <t>3-28</t>
        </is>
      </c>
      <c r="Y1876" s="19" t="inlineStr"/>
      <c r="Z1876" s="18">
        <f>IF(Y1876="",X1876,Y1876)</f>
        <v/>
      </c>
      <c r="AA1876" s="18" t="inlineStr">
        <is>
          <t>grounded</t>
        </is>
      </c>
      <c r="AB1876" s="18" t="inlineStr"/>
      <c r="AC1876" s="18" t="inlineStr"/>
      <c r="AD1876" s="18" t="inlineStr"/>
      <c r="AE1876" s="18" t="inlineStr"/>
      <c r="AF1876" s="18" t="inlineStr"/>
      <c r="AG1876" s="18" t="inlineStr"/>
      <c r="AH1876" s="18" t="inlineStr"/>
      <c r="AI1876" s="18" t="inlineStr"/>
      <c r="AJ1876" s="18" t="inlineStr">
        <is>
          <t>Cobblemon 동일</t>
        </is>
      </c>
      <c r="AK1876" s="18" t="inlineStr">
        <is>
          <t>사용</t>
        </is>
      </c>
      <c r="AL1876" s="18" t="inlineStr">
        <is>
          <t>COBBLEVERSE 1.7.42 / DP v31</t>
        </is>
      </c>
      <c r="AM1876" s="18" t="inlineStr">
        <is>
          <t>data/cobblemon/spawn_pool_world/0548_petilil.json</t>
        </is>
      </c>
      <c r="AN1876" s="18" t="inlineStr">
        <is>
          <t>petilil-3</t>
        </is>
      </c>
      <c r="AO1876" s="18" t="inlineStr">
        <is>
          <t>pokemon</t>
        </is>
      </c>
      <c r="AP1876" s="18" t="inlineStr"/>
      <c r="AQ1876" s="18" t="inlineStr">
        <is>
          <t>{"biomes":["the_bumblezone:floral_meadow"]}</t>
        </is>
      </c>
      <c r="AR1876" s="18" t="inlineStr">
        <is>
          <t>{"structures":["#the_bumblezone:sempiternal_sanctums"]}</t>
        </is>
      </c>
      <c r="AS1876" s="18" t="inlineStr"/>
      <c r="AT1876" s="19" t="inlineStr"/>
    </row>
    <row r="1877" ht="32" customHeight="1">
      <c r="A1877" s="18" t="inlineStr">
        <is>
          <t>0548_petilil.json::petilil-hisui-4::004</t>
        </is>
      </c>
      <c r="B1877" s="19" t="inlineStr">
        <is>
          <t>사용</t>
        </is>
      </c>
      <c r="C1877" s="18">
        <f>IF(OR(B1877&lt;&gt;AK1877,M1877&lt;&gt;L1877,O1877&lt;&gt;"",Q1877&lt;&gt;"",V1877&lt;&gt;1,Y1877&lt;&gt;"",AT1877&lt;&gt;""),"수정","원본")</f>
        <v/>
      </c>
      <c r="D1877" s="18" t="n">
        <v>548</v>
      </c>
      <c r="E1877" s="18" t="inlineStr">
        <is>
          <t>치릴리</t>
        </is>
      </c>
      <c r="F1877" s="18" t="inlineStr">
        <is>
          <t>petilil</t>
        </is>
      </c>
      <c r="G1877" s="18" t="inlineStr">
        <is>
          <t>petilil region_bias=hisui</t>
        </is>
      </c>
      <c r="H1877" s="18" t="inlineStr">
        <is>
          <t>region_bias=hisui</t>
        </is>
      </c>
      <c r="I1877" s="18" t="n">
        <v>5</v>
      </c>
      <c r="J1877" s="18" t="n">
        <v>8</v>
      </c>
      <c r="K1877" s="18" t="n">
        <v>8</v>
      </c>
      <c r="L1877" s="18" t="inlineStr">
        <is>
          <t>cobbleventure:generation_8</t>
        </is>
      </c>
      <c r="M1877" s="19" t="inlineStr">
        <is>
          <t>cobbleventure:generation_8</t>
        </is>
      </c>
      <c r="N1877" s="18" t="inlineStr"/>
      <c r="O1877" s="19" t="inlineStr"/>
      <c r="P1877" s="18" t="inlineStr">
        <is>
          <t>#cobblemon:is_hills</t>
        </is>
      </c>
      <c r="Q1877" s="19" t="inlineStr"/>
      <c r="R1877" s="18">
        <f>IF(Q1877="",P1877,Q1877)</f>
        <v/>
      </c>
      <c r="S1877" s="18" t="inlineStr">
        <is>
          <t>#cobblemon:is_arid; #cobblemon:is_freezing; #cobblemon:is_spooky</t>
        </is>
      </c>
      <c r="T1877" s="18" t="inlineStr">
        <is>
          <t>common</t>
        </is>
      </c>
      <c r="U1877" s="20" t="n">
        <v>5.7</v>
      </c>
      <c r="V1877" s="21" t="n">
        <v>1</v>
      </c>
      <c r="W1877" s="20">
        <f>IF(OR(U1877="",V1877=""),U1877,U1877*V1877)</f>
        <v/>
      </c>
      <c r="X1877" s="18" t="inlineStr">
        <is>
          <t>3-28</t>
        </is>
      </c>
      <c r="Y1877" s="19" t="inlineStr"/>
      <c r="Z1877" s="18">
        <f>IF(Y1877="",X1877,Y1877)</f>
        <v/>
      </c>
      <c r="AA1877" s="18" t="inlineStr">
        <is>
          <t>grounded</t>
        </is>
      </c>
      <c r="AB1877" s="18" t="inlineStr"/>
      <c r="AC1877" s="18" t="inlineStr"/>
      <c r="AD1877" s="18" t="inlineStr"/>
      <c r="AE1877" s="18" t="inlineStr">
        <is>
          <t>sky 8-15</t>
        </is>
      </c>
      <c r="AF1877" s="18" t="inlineStr"/>
      <c r="AG1877" s="18" t="inlineStr"/>
      <c r="AH1877" s="18" t="inlineStr"/>
      <c r="AI1877" s="18" t="inlineStr"/>
      <c r="AJ1877" s="18" t="inlineStr">
        <is>
          <t>Cobblemon 동일</t>
        </is>
      </c>
      <c r="AK1877" s="18" t="inlineStr">
        <is>
          <t>사용</t>
        </is>
      </c>
      <c r="AL1877" s="18" t="inlineStr">
        <is>
          <t>COBBLEVERSE 1.7.42 / DP v31</t>
        </is>
      </c>
      <c r="AM1877" s="18" t="inlineStr">
        <is>
          <t>data/cobblemon/spawn_pool_world/0548_petilil.json</t>
        </is>
      </c>
      <c r="AN1877" s="18" t="inlineStr">
        <is>
          <t>petilil-hisui-4</t>
        </is>
      </c>
      <c r="AO1877" s="18" t="inlineStr">
        <is>
          <t>pokemon</t>
        </is>
      </c>
      <c r="AP1877" s="18" t="inlineStr">
        <is>
          <t>natural; wild</t>
        </is>
      </c>
      <c r="AQ1877" s="18" t="inlineStr">
        <is>
          <t>{"biomes":["#cobblemon:is_hills"],"maxSkyLight":15,"minSkyLight":8}</t>
        </is>
      </c>
      <c r="AR1877" s="18" t="inlineStr">
        <is>
          <t>{"biomes":["#cobblemon:is_arid","#cobblemon:is_freezing","#cobblemon:is_spooky"]}</t>
        </is>
      </c>
      <c r="AS1877" s="18" t="inlineStr">
        <is>
          <t>{"weightMultiplier":{"condition":{"timeRange":"night"},"multiplier":0.25}}</t>
        </is>
      </c>
      <c r="AT1877" s="19" t="inlineStr"/>
    </row>
    <row r="1878" ht="32" customHeight="1">
      <c r="A1878" s="18" t="inlineStr">
        <is>
          <t>0548_petilil.json::petilil-hisui-5::005</t>
        </is>
      </c>
      <c r="B1878" s="19" t="inlineStr">
        <is>
          <t>사용</t>
        </is>
      </c>
      <c r="C1878" s="18">
        <f>IF(OR(B1878&lt;&gt;AK1878,M1878&lt;&gt;L1878,O1878&lt;&gt;"",Q1878&lt;&gt;"",V1878&lt;&gt;1,Y1878&lt;&gt;"",AT1878&lt;&gt;""),"수정","원본")</f>
        <v/>
      </c>
      <c r="D1878" s="18" t="n">
        <v>548</v>
      </c>
      <c r="E1878" s="18" t="inlineStr">
        <is>
          <t>치릴리</t>
        </is>
      </c>
      <c r="F1878" s="18" t="inlineStr">
        <is>
          <t>petilil</t>
        </is>
      </c>
      <c r="G1878" s="18" t="inlineStr">
        <is>
          <t>petilil region_bias=hisui</t>
        </is>
      </c>
      <c r="H1878" s="18" t="inlineStr">
        <is>
          <t>region_bias=hisui</t>
        </is>
      </c>
      <c r="I1878" s="18" t="n">
        <v>5</v>
      </c>
      <c r="J1878" s="18" t="n">
        <v>8</v>
      </c>
      <c r="K1878" s="18" t="n">
        <v>8</v>
      </c>
      <c r="L1878" s="18" t="inlineStr">
        <is>
          <t>cobbleventure:generation_8</t>
        </is>
      </c>
      <c r="M1878" s="19" t="inlineStr">
        <is>
          <t>cobbleventure:generation_8</t>
        </is>
      </c>
      <c r="N1878" s="18" t="inlineStr"/>
      <c r="O1878" s="19" t="inlineStr"/>
      <c r="P1878" s="18" t="inlineStr">
        <is>
          <t>#aether:is_aether</t>
        </is>
      </c>
      <c r="Q1878" s="19" t="inlineStr"/>
      <c r="R1878" s="18">
        <f>IF(Q1878="",P1878,Q1878)</f>
        <v/>
      </c>
      <c r="S1878" s="18" t="inlineStr"/>
      <c r="T1878" s="18" t="inlineStr">
        <is>
          <t>common</t>
        </is>
      </c>
      <c r="U1878" s="20" t="n">
        <v>5.7</v>
      </c>
      <c r="V1878" s="21" t="n">
        <v>1</v>
      </c>
      <c r="W1878" s="20">
        <f>IF(OR(U1878="",V1878=""),U1878,U1878*V1878)</f>
        <v/>
      </c>
      <c r="X1878" s="18" t="inlineStr">
        <is>
          <t>3-28</t>
        </is>
      </c>
      <c r="Y1878" s="19" t="inlineStr"/>
      <c r="Z1878" s="18">
        <f>IF(Y1878="",X1878,Y1878)</f>
        <v/>
      </c>
      <c r="AA1878" s="18" t="inlineStr">
        <is>
          <t>grounded</t>
        </is>
      </c>
      <c r="AB1878" s="18" t="inlineStr"/>
      <c r="AC1878" s="18" t="inlineStr"/>
      <c r="AD1878" s="18" t="inlineStr"/>
      <c r="AE1878" s="18" t="inlineStr">
        <is>
          <t>sky 8-15</t>
        </is>
      </c>
      <c r="AF1878" s="18" t="inlineStr"/>
      <c r="AG1878" s="18" t="inlineStr"/>
      <c r="AH1878" s="18" t="inlineStr"/>
      <c r="AI1878" s="18" t="inlineStr"/>
      <c r="AJ1878" s="18" t="inlineStr">
        <is>
          <t>Cobblemon 동일</t>
        </is>
      </c>
      <c r="AK1878" s="18" t="inlineStr">
        <is>
          <t>사용</t>
        </is>
      </c>
      <c r="AL1878" s="18" t="inlineStr">
        <is>
          <t>COBBLEVERSE 1.7.42 / DP v31</t>
        </is>
      </c>
      <c r="AM1878" s="18" t="inlineStr">
        <is>
          <t>data/cobblemon/spawn_pool_world/0548_petilil.json</t>
        </is>
      </c>
      <c r="AN1878" s="18" t="inlineStr">
        <is>
          <t>petilil-hisui-5</t>
        </is>
      </c>
      <c r="AO1878" s="18" t="inlineStr">
        <is>
          <t>pokemon</t>
        </is>
      </c>
      <c r="AP1878" s="18" t="inlineStr">
        <is>
          <t>natural</t>
        </is>
      </c>
      <c r="AQ1878" s="18" t="inlineStr">
        <is>
          <t>{"biomes":["#aether:is_aether"],"maxSkyLight":15,"minSkyLight":8}</t>
        </is>
      </c>
      <c r="AR1878" s="18" t="inlineStr"/>
      <c r="AS1878" s="18" t="inlineStr"/>
      <c r="AT1878" s="19" t="inlineStr"/>
    </row>
    <row r="1879" ht="32" customHeight="1">
      <c r="A1879" s="18" t="inlineStr">
        <is>
          <t>0549_lilligant.json::lilligant-1::001</t>
        </is>
      </c>
      <c r="B1879" s="19" t="inlineStr">
        <is>
          <t>사용</t>
        </is>
      </c>
      <c r="C1879" s="18">
        <f>IF(OR(B1879&lt;&gt;AK1879,M1879&lt;&gt;L1879,O1879&lt;&gt;"",Q1879&lt;&gt;"",V1879&lt;&gt;1,Y1879&lt;&gt;"",AT1879&lt;&gt;""),"수정","원본")</f>
        <v/>
      </c>
      <c r="D1879" s="18" t="n">
        <v>549</v>
      </c>
      <c r="E1879" s="18" t="inlineStr">
        <is>
          <t>드레디어</t>
        </is>
      </c>
      <c r="F1879" s="18" t="inlineStr">
        <is>
          <t>lilligant</t>
        </is>
      </c>
      <c r="G1879" s="18" t="inlineStr">
        <is>
          <t>lilligant</t>
        </is>
      </c>
      <c r="H1879" s="18" t="inlineStr"/>
      <c r="I1879" s="18" t="n">
        <v>5</v>
      </c>
      <c r="J1879" s="18" t="n"/>
      <c r="K1879" s="18" t="n">
        <v>5</v>
      </c>
      <c r="L1879" s="18" t="inlineStr">
        <is>
          <t>cobbleventure:generation_5</t>
        </is>
      </c>
      <c r="M1879" s="19" t="inlineStr">
        <is>
          <t>cobbleventure:generation_5</t>
        </is>
      </c>
      <c r="N1879" s="18" t="inlineStr"/>
      <c r="O1879" s="19" t="inlineStr"/>
      <c r="P1879" s="18" t="inlineStr">
        <is>
          <t>#cobblemon:is_floral</t>
        </is>
      </c>
      <c r="Q1879" s="19" t="inlineStr"/>
      <c r="R1879" s="18">
        <f>IF(Q1879="",P1879,Q1879)</f>
        <v/>
      </c>
      <c r="S1879" s="18" t="inlineStr">
        <is>
          <t>#cobblemon:is_hills</t>
        </is>
      </c>
      <c r="T1879" s="18" t="inlineStr">
        <is>
          <t>common</t>
        </is>
      </c>
      <c r="U1879" s="20" t="n">
        <v>0.5</v>
      </c>
      <c r="V1879" s="21" t="n">
        <v>1</v>
      </c>
      <c r="W1879" s="20">
        <f>IF(OR(U1879="",V1879=""),U1879,U1879*V1879)</f>
        <v/>
      </c>
      <c r="X1879" s="18" t="inlineStr">
        <is>
          <t>23-48</t>
        </is>
      </c>
      <c r="Y1879" s="19" t="inlineStr"/>
      <c r="Z1879" s="18">
        <f>IF(Y1879="",X1879,Y1879)</f>
        <v/>
      </c>
      <c r="AA1879" s="18" t="inlineStr">
        <is>
          <t>grounded</t>
        </is>
      </c>
      <c r="AB1879" s="18" t="inlineStr"/>
      <c r="AC1879" s="18" t="inlineStr"/>
      <c r="AD1879" s="18" t="inlineStr"/>
      <c r="AE1879" s="18" t="inlineStr">
        <is>
          <t>sky 8-15</t>
        </is>
      </c>
      <c r="AF1879" s="18" t="inlineStr"/>
      <c r="AG1879" s="18" t="inlineStr"/>
      <c r="AH1879" s="18" t="inlineStr"/>
      <c r="AI1879" s="18" t="inlineStr"/>
      <c r="AJ1879" s="18" t="inlineStr">
        <is>
          <t>Cobblemon 동일</t>
        </is>
      </c>
      <c r="AK1879" s="18" t="inlineStr">
        <is>
          <t>사용</t>
        </is>
      </c>
      <c r="AL1879" s="18" t="inlineStr">
        <is>
          <t>COBBLEVERSE 1.7.42 / DP v31</t>
        </is>
      </c>
      <c r="AM1879" s="18" t="inlineStr">
        <is>
          <t>data/cobblemon/spawn_pool_world/0549_lilligant.json</t>
        </is>
      </c>
      <c r="AN1879" s="18" t="inlineStr">
        <is>
          <t>lilligant-1</t>
        </is>
      </c>
      <c r="AO1879" s="18" t="inlineStr">
        <is>
          <t>pokemon</t>
        </is>
      </c>
      <c r="AP1879" s="18" t="inlineStr">
        <is>
          <t>natural; wild</t>
        </is>
      </c>
      <c r="AQ1879" s="18" t="inlineStr">
        <is>
          <t>{"biomes":["#cobblemon:is_floral"],"maxSkyLight":15,"minSkyLight":8}</t>
        </is>
      </c>
      <c r="AR1879" s="18" t="inlineStr">
        <is>
          <t>{"biomes":["#cobblemon:is_hills"]}</t>
        </is>
      </c>
      <c r="AS1879" s="18" t="inlineStr">
        <is>
          <t>{"weightMultiplier":{"condition":{"timeRange":"night"},"multiplier":0.25}}</t>
        </is>
      </c>
      <c r="AT1879" s="19" t="inlineStr"/>
    </row>
    <row r="1880" ht="32" customHeight="1">
      <c r="A1880" s="18" t="inlineStr">
        <is>
          <t>0549_lilligant.json::lilligant-2::002</t>
        </is>
      </c>
      <c r="B1880" s="19" t="inlineStr">
        <is>
          <t>사용</t>
        </is>
      </c>
      <c r="C1880" s="18">
        <f>IF(OR(B1880&lt;&gt;AK1880,M1880&lt;&gt;L1880,O1880&lt;&gt;"",Q1880&lt;&gt;"",V1880&lt;&gt;1,Y1880&lt;&gt;"",AT1880&lt;&gt;""),"수정","원본")</f>
        <v/>
      </c>
      <c r="D1880" s="18" t="n">
        <v>549</v>
      </c>
      <c r="E1880" s="18" t="inlineStr">
        <is>
          <t>드레디어</t>
        </is>
      </c>
      <c r="F1880" s="18" t="inlineStr">
        <is>
          <t>lilligant</t>
        </is>
      </c>
      <c r="G1880" s="18" t="inlineStr">
        <is>
          <t>lilligant</t>
        </is>
      </c>
      <c r="H1880" s="18" t="inlineStr"/>
      <c r="I1880" s="18" t="n">
        <v>5</v>
      </c>
      <c r="J1880" s="18" t="n"/>
      <c r="K1880" s="18" t="n">
        <v>5</v>
      </c>
      <c r="L1880" s="18" t="inlineStr">
        <is>
          <t>cobbleventure:generation_5</t>
        </is>
      </c>
      <c r="M1880" s="19" t="inlineStr">
        <is>
          <t>cobbleventure:generation_5</t>
        </is>
      </c>
      <c r="N1880" s="18" t="inlineStr">
        <is>
          <t>region_01</t>
        </is>
      </c>
      <c r="O1880" s="19" t="inlineStr"/>
      <c r="P1880" s="18" t="inlineStr">
        <is>
          <t>#cobblemon:is_forest; #cobblemon:is_tropical_island</t>
        </is>
      </c>
      <c r="Q1880" s="19" t="inlineStr"/>
      <c r="R1880" s="18">
        <f>IF(Q1880="",P1880,Q1880)</f>
        <v/>
      </c>
      <c r="S1880" s="18" t="inlineStr">
        <is>
          <t>#cobblemon:is_hills; #cobblemon:is_freezing; #cobblemon:is_spooky</t>
        </is>
      </c>
      <c r="T1880" s="18" t="inlineStr">
        <is>
          <t>common</t>
        </is>
      </c>
      <c r="U1880" s="20" t="n">
        <v>0.1</v>
      </c>
      <c r="V1880" s="21" t="n">
        <v>1</v>
      </c>
      <c r="W1880" s="20">
        <f>IF(OR(U1880="",V1880=""),U1880,U1880*V1880)</f>
        <v/>
      </c>
      <c r="X1880" s="18" t="inlineStr">
        <is>
          <t>23-48</t>
        </is>
      </c>
      <c r="Y1880" s="19" t="inlineStr"/>
      <c r="Z1880" s="18">
        <f>IF(Y1880="",X1880,Y1880)</f>
        <v/>
      </c>
      <c r="AA1880" s="18" t="inlineStr">
        <is>
          <t>grounded</t>
        </is>
      </c>
      <c r="AB1880" s="18" t="inlineStr"/>
      <c r="AC1880" s="18" t="inlineStr"/>
      <c r="AD1880" s="18" t="inlineStr"/>
      <c r="AE1880" s="18" t="inlineStr">
        <is>
          <t>sky 8-15</t>
        </is>
      </c>
      <c r="AF1880" s="18" t="inlineStr"/>
      <c r="AG1880" s="18" t="inlineStr"/>
      <c r="AH1880" s="18" t="inlineStr"/>
      <c r="AI1880" s="18" t="inlineStr"/>
      <c r="AJ1880" s="18" t="inlineStr">
        <is>
          <t>Cobblemon 동일</t>
        </is>
      </c>
      <c r="AK1880" s="18" t="inlineStr">
        <is>
          <t>사용</t>
        </is>
      </c>
      <c r="AL1880" s="18" t="inlineStr">
        <is>
          <t>COBBLEVERSE 1.7.42 / DP v31</t>
        </is>
      </c>
      <c r="AM1880" s="18" t="inlineStr">
        <is>
          <t>data/cobblemon/spawn_pool_world/0549_lilligant.json</t>
        </is>
      </c>
      <c r="AN1880" s="18" t="inlineStr">
        <is>
          <t>lilligant-2</t>
        </is>
      </c>
      <c r="AO1880" s="18" t="inlineStr">
        <is>
          <t>pokemon</t>
        </is>
      </c>
      <c r="AP1880" s="18" t="inlineStr">
        <is>
          <t>natural; wild</t>
        </is>
      </c>
      <c r="AQ1880" s="18" t="inlineStr">
        <is>
          <t>{"biomes":["#cobblemon:is_forest","#cobblemon:is_tropical_island"],"maxSkyLight":15,"minSkyLight":8}</t>
        </is>
      </c>
      <c r="AR1880" s="18" t="inlineStr">
        <is>
          <t>{"biomes":["#cobblemon:is_hills","#cobblemon:is_freezing","#cobblemon:is_spooky"]}</t>
        </is>
      </c>
      <c r="AS1880" s="18" t="inlineStr">
        <is>
          <t>{"weightMultiplier":{"condition":{"timeRange":"night"},"multiplier":0.25}}</t>
        </is>
      </c>
      <c r="AT1880" s="19" t="inlineStr"/>
    </row>
    <row r="1881" ht="32" customHeight="1">
      <c r="A1881" s="18" t="inlineStr">
        <is>
          <t>0549_lilligant.json::lilligant-3::003</t>
        </is>
      </c>
      <c r="B1881" s="19" t="inlineStr">
        <is>
          <t>사용</t>
        </is>
      </c>
      <c r="C1881" s="18">
        <f>IF(OR(B1881&lt;&gt;AK1881,M1881&lt;&gt;L1881,O1881&lt;&gt;"",Q1881&lt;&gt;"",V1881&lt;&gt;1,Y1881&lt;&gt;"",AT1881&lt;&gt;""),"수정","원본")</f>
        <v/>
      </c>
      <c r="D1881" s="18" t="n">
        <v>549</v>
      </c>
      <c r="E1881" s="18" t="inlineStr">
        <is>
          <t>드레디어</t>
        </is>
      </c>
      <c r="F1881" s="18" t="inlineStr">
        <is>
          <t>lilligant</t>
        </is>
      </c>
      <c r="G1881" s="18" t="inlineStr">
        <is>
          <t>lilligant</t>
        </is>
      </c>
      <c r="H1881" s="18" t="inlineStr"/>
      <c r="I1881" s="18" t="n">
        <v>5</v>
      </c>
      <c r="J1881" s="18" t="n"/>
      <c r="K1881" s="18" t="n">
        <v>5</v>
      </c>
      <c r="L1881" s="18" t="inlineStr">
        <is>
          <t>cobbleventure:generation_5</t>
        </is>
      </c>
      <c r="M1881" s="19" t="inlineStr">
        <is>
          <t>cobbleventure:generation_5</t>
        </is>
      </c>
      <c r="N1881" s="18" t="inlineStr"/>
      <c r="O1881" s="19" t="inlineStr"/>
      <c r="P1881" s="18" t="inlineStr">
        <is>
          <t>the_bumblezone:floral_meadow</t>
        </is>
      </c>
      <c r="Q1881" s="19" t="inlineStr"/>
      <c r="R1881" s="18">
        <f>IF(Q1881="",P1881,Q1881)</f>
        <v/>
      </c>
      <c r="S1881" s="18" t="inlineStr"/>
      <c r="T1881" s="18" t="inlineStr">
        <is>
          <t>common</t>
        </is>
      </c>
      <c r="U1881" s="20" t="n">
        <v>0.5</v>
      </c>
      <c r="V1881" s="21" t="n">
        <v>1</v>
      </c>
      <c r="W1881" s="20">
        <f>IF(OR(U1881="",V1881=""),U1881,U1881*V1881)</f>
        <v/>
      </c>
      <c r="X1881" s="18" t="inlineStr">
        <is>
          <t>23-48</t>
        </is>
      </c>
      <c r="Y1881" s="19" t="inlineStr"/>
      <c r="Z1881" s="18">
        <f>IF(Y1881="",X1881,Y1881)</f>
        <v/>
      </c>
      <c r="AA1881" s="18" t="inlineStr">
        <is>
          <t>grounded</t>
        </is>
      </c>
      <c r="AB1881" s="18" t="inlineStr"/>
      <c r="AC1881" s="18" t="inlineStr"/>
      <c r="AD1881" s="18" t="inlineStr"/>
      <c r="AE1881" s="18" t="inlineStr"/>
      <c r="AF1881" s="18" t="inlineStr"/>
      <c r="AG1881" s="18" t="inlineStr"/>
      <c r="AH1881" s="18" t="inlineStr"/>
      <c r="AI1881" s="18" t="inlineStr"/>
      <c r="AJ1881" s="18" t="inlineStr">
        <is>
          <t>Cobblemon 동일</t>
        </is>
      </c>
      <c r="AK1881" s="18" t="inlineStr">
        <is>
          <t>사용</t>
        </is>
      </c>
      <c r="AL1881" s="18" t="inlineStr">
        <is>
          <t>COBBLEVERSE 1.7.42 / DP v31</t>
        </is>
      </c>
      <c r="AM1881" s="18" t="inlineStr">
        <is>
          <t>data/cobblemon/spawn_pool_world/0549_lilligant.json</t>
        </is>
      </c>
      <c r="AN1881" s="18" t="inlineStr">
        <is>
          <t>lilligant-3</t>
        </is>
      </c>
      <c r="AO1881" s="18" t="inlineStr">
        <is>
          <t>pokemon</t>
        </is>
      </c>
      <c r="AP1881" s="18" t="inlineStr"/>
      <c r="AQ1881" s="18" t="inlineStr">
        <is>
          <t>{"biomes":["the_bumblezone:floral_meadow"]}</t>
        </is>
      </c>
      <c r="AR1881" s="18" t="inlineStr">
        <is>
          <t>{"structures":["#the_bumblezone:sempiternal_sanctums"]}</t>
        </is>
      </c>
      <c r="AS1881" s="18" t="inlineStr"/>
      <c r="AT1881" s="19" t="inlineStr"/>
    </row>
    <row r="1882" ht="32" customHeight="1">
      <c r="A1882" s="18" t="inlineStr">
        <is>
          <t>0549_lilligant.json::lilligant-hisuian-4::004</t>
        </is>
      </c>
      <c r="B1882" s="19" t="inlineStr">
        <is>
          <t>사용</t>
        </is>
      </c>
      <c r="C1882" s="18">
        <f>IF(OR(B1882&lt;&gt;AK1882,M1882&lt;&gt;L1882,O1882&lt;&gt;"",Q1882&lt;&gt;"",V1882&lt;&gt;1,Y1882&lt;&gt;"",AT1882&lt;&gt;""),"수정","원본")</f>
        <v/>
      </c>
      <c r="D1882" s="18" t="n">
        <v>549</v>
      </c>
      <c r="E1882" s="18" t="inlineStr">
        <is>
          <t>드레디어</t>
        </is>
      </c>
      <c r="F1882" s="18" t="inlineStr">
        <is>
          <t>lilligant</t>
        </is>
      </c>
      <c r="G1882" s="18" t="inlineStr">
        <is>
          <t>lilligant hisuian</t>
        </is>
      </c>
      <c r="H1882" s="18" t="inlineStr">
        <is>
          <t>hisuian</t>
        </is>
      </c>
      <c r="I1882" s="18" t="n">
        <v>5</v>
      </c>
      <c r="J1882" s="18" t="n">
        <v>8</v>
      </c>
      <c r="K1882" s="18" t="n">
        <v>8</v>
      </c>
      <c r="L1882" s="18" t="inlineStr">
        <is>
          <t>cobbleventure:generation_8</t>
        </is>
      </c>
      <c r="M1882" s="19" t="inlineStr">
        <is>
          <t>cobbleventure:generation_8</t>
        </is>
      </c>
      <c r="N1882" s="18" t="inlineStr"/>
      <c r="O1882" s="19" t="inlineStr"/>
      <c r="P1882" s="18" t="inlineStr">
        <is>
          <t>#cobblemon:is_hills</t>
        </is>
      </c>
      <c r="Q1882" s="19" t="inlineStr"/>
      <c r="R1882" s="18">
        <f>IF(Q1882="",P1882,Q1882)</f>
        <v/>
      </c>
      <c r="S1882" s="18" t="inlineStr">
        <is>
          <t>#cobblemon:is_arid; #cobblemon:is_freezing; #cobblemon:is_spooky</t>
        </is>
      </c>
      <c r="T1882" s="18" t="inlineStr">
        <is>
          <t>common</t>
        </is>
      </c>
      <c r="U1882" s="20" t="n">
        <v>0.3</v>
      </c>
      <c r="V1882" s="21" t="n">
        <v>1</v>
      </c>
      <c r="W1882" s="20">
        <f>IF(OR(U1882="",V1882=""),U1882,U1882*V1882)</f>
        <v/>
      </c>
      <c r="X1882" s="18" t="inlineStr">
        <is>
          <t>23-48</t>
        </is>
      </c>
      <c r="Y1882" s="19" t="inlineStr"/>
      <c r="Z1882" s="18">
        <f>IF(Y1882="",X1882,Y1882)</f>
        <v/>
      </c>
      <c r="AA1882" s="18" t="inlineStr">
        <is>
          <t>grounded</t>
        </is>
      </c>
      <c r="AB1882" s="18" t="inlineStr"/>
      <c r="AC1882" s="18" t="inlineStr"/>
      <c r="AD1882" s="18" t="inlineStr"/>
      <c r="AE1882" s="18" t="inlineStr">
        <is>
          <t>sky 8-15</t>
        </is>
      </c>
      <c r="AF1882" s="18" t="inlineStr"/>
      <c r="AG1882" s="18" t="inlineStr"/>
      <c r="AH1882" s="18" t="inlineStr"/>
      <c r="AI1882" s="18" t="inlineStr"/>
      <c r="AJ1882" s="18" t="inlineStr">
        <is>
          <t>Cobblemon 동일</t>
        </is>
      </c>
      <c r="AK1882" s="18" t="inlineStr">
        <is>
          <t>사용</t>
        </is>
      </c>
      <c r="AL1882" s="18" t="inlineStr">
        <is>
          <t>COBBLEVERSE 1.7.42 / DP v31</t>
        </is>
      </c>
      <c r="AM1882" s="18" t="inlineStr">
        <is>
          <t>data/cobblemon/spawn_pool_world/0549_lilligant.json</t>
        </is>
      </c>
      <c r="AN1882" s="18" t="inlineStr">
        <is>
          <t>lilligant-hisuian-4</t>
        </is>
      </c>
      <c r="AO1882" s="18" t="inlineStr">
        <is>
          <t>pokemon</t>
        </is>
      </c>
      <c r="AP1882" s="18" t="inlineStr">
        <is>
          <t>natural; wild</t>
        </is>
      </c>
      <c r="AQ1882" s="18" t="inlineStr">
        <is>
          <t>{"biomes":["#cobblemon:is_hills"],"maxSkyLight":15,"minSkyLight":8}</t>
        </is>
      </c>
      <c r="AR1882" s="18" t="inlineStr">
        <is>
          <t>{"biomes":["#cobblemon:is_arid","#cobblemon:is_freezing","#cobblemon:is_spooky"]}</t>
        </is>
      </c>
      <c r="AS1882" s="18" t="inlineStr">
        <is>
          <t>{"weightMultiplier":{"condition":{"timeRange":"night"},"multiplier":0.25}}</t>
        </is>
      </c>
      <c r="AT1882" s="19" t="inlineStr"/>
    </row>
    <row r="1883" ht="32" customHeight="1">
      <c r="A1883" s="18" t="inlineStr">
        <is>
          <t>0549_lilligant.json::lilligant-hisuian-5::005</t>
        </is>
      </c>
      <c r="B1883" s="19" t="inlineStr">
        <is>
          <t>사용</t>
        </is>
      </c>
      <c r="C1883" s="18">
        <f>IF(OR(B1883&lt;&gt;AK1883,M1883&lt;&gt;L1883,O1883&lt;&gt;"",Q1883&lt;&gt;"",V1883&lt;&gt;1,Y1883&lt;&gt;"",AT1883&lt;&gt;""),"수정","원본")</f>
        <v/>
      </c>
      <c r="D1883" s="18" t="n">
        <v>549</v>
      </c>
      <c r="E1883" s="18" t="inlineStr">
        <is>
          <t>드레디어</t>
        </is>
      </c>
      <c r="F1883" s="18" t="inlineStr">
        <is>
          <t>lilligant</t>
        </is>
      </c>
      <c r="G1883" s="18" t="inlineStr">
        <is>
          <t>lilligant hisuian</t>
        </is>
      </c>
      <c r="H1883" s="18" t="inlineStr">
        <is>
          <t>hisuian</t>
        </is>
      </c>
      <c r="I1883" s="18" t="n">
        <v>5</v>
      </c>
      <c r="J1883" s="18" t="n">
        <v>8</v>
      </c>
      <c r="K1883" s="18" t="n">
        <v>8</v>
      </c>
      <c r="L1883" s="18" t="inlineStr">
        <is>
          <t>cobbleventure:generation_8</t>
        </is>
      </c>
      <c r="M1883" s="19" t="inlineStr">
        <is>
          <t>cobbleventure:generation_8</t>
        </is>
      </c>
      <c r="N1883" s="18" t="inlineStr"/>
      <c r="O1883" s="19" t="inlineStr"/>
      <c r="P1883" s="18" t="inlineStr">
        <is>
          <t>#aether:is_aether</t>
        </is>
      </c>
      <c r="Q1883" s="19" t="inlineStr"/>
      <c r="R1883" s="18">
        <f>IF(Q1883="",P1883,Q1883)</f>
        <v/>
      </c>
      <c r="S1883" s="18" t="inlineStr"/>
      <c r="T1883" s="18" t="inlineStr">
        <is>
          <t>common</t>
        </is>
      </c>
      <c r="U1883" s="20" t="n">
        <v>0.3</v>
      </c>
      <c r="V1883" s="21" t="n">
        <v>1</v>
      </c>
      <c r="W1883" s="20">
        <f>IF(OR(U1883="",V1883=""),U1883,U1883*V1883)</f>
        <v/>
      </c>
      <c r="X1883" s="18" t="inlineStr">
        <is>
          <t>23-48</t>
        </is>
      </c>
      <c r="Y1883" s="19" t="inlineStr"/>
      <c r="Z1883" s="18">
        <f>IF(Y1883="",X1883,Y1883)</f>
        <v/>
      </c>
      <c r="AA1883" s="18" t="inlineStr">
        <is>
          <t>grounded</t>
        </is>
      </c>
      <c r="AB1883" s="18" t="inlineStr"/>
      <c r="AC1883" s="18" t="inlineStr"/>
      <c r="AD1883" s="18" t="inlineStr"/>
      <c r="AE1883" s="18" t="inlineStr">
        <is>
          <t>sky 8-15</t>
        </is>
      </c>
      <c r="AF1883" s="18" t="inlineStr"/>
      <c r="AG1883" s="18" t="inlineStr"/>
      <c r="AH1883" s="18" t="inlineStr"/>
      <c r="AI1883" s="18" t="inlineStr"/>
      <c r="AJ1883" s="18" t="inlineStr">
        <is>
          <t>Cobblemon 동일</t>
        </is>
      </c>
      <c r="AK1883" s="18" t="inlineStr">
        <is>
          <t>사용</t>
        </is>
      </c>
      <c r="AL1883" s="18" t="inlineStr">
        <is>
          <t>COBBLEVERSE 1.7.42 / DP v31</t>
        </is>
      </c>
      <c r="AM1883" s="18" t="inlineStr">
        <is>
          <t>data/cobblemon/spawn_pool_world/0549_lilligant.json</t>
        </is>
      </c>
      <c r="AN1883" s="18" t="inlineStr">
        <is>
          <t>lilligant-hisuian-5</t>
        </is>
      </c>
      <c r="AO1883" s="18" t="inlineStr">
        <is>
          <t>pokemon</t>
        </is>
      </c>
      <c r="AP1883" s="18" t="inlineStr">
        <is>
          <t>natural</t>
        </is>
      </c>
      <c r="AQ1883" s="18" t="inlineStr">
        <is>
          <t>{"biomes":["#aether:is_aether"],"maxSkyLight":15,"minSkyLight":8}</t>
        </is>
      </c>
      <c r="AR1883" s="18" t="inlineStr"/>
      <c r="AS1883" s="18" t="inlineStr"/>
      <c r="AT1883" s="19" t="inlineStr"/>
    </row>
    <row r="1884" ht="32" customHeight="1">
      <c r="A1884" s="18" t="inlineStr">
        <is>
          <t>0550_basculin.json::basculin-blue-1::001</t>
        </is>
      </c>
      <c r="B1884" s="19" t="inlineStr">
        <is>
          <t>사용</t>
        </is>
      </c>
      <c r="C1884" s="18">
        <f>IF(OR(B1884&lt;&gt;AK1884,M1884&lt;&gt;L1884,O1884&lt;&gt;"",Q1884&lt;&gt;"",V1884&lt;&gt;1,Y1884&lt;&gt;"",AT1884&lt;&gt;""),"수정","원본")</f>
        <v/>
      </c>
      <c r="D1884" s="18" t="n">
        <v>550</v>
      </c>
      <c r="E1884" s="18" t="inlineStr">
        <is>
          <t>배쓰나이</t>
        </is>
      </c>
      <c r="F1884" s="18" t="inlineStr">
        <is>
          <t>basculin</t>
        </is>
      </c>
      <c r="G1884" s="18" t="inlineStr">
        <is>
          <t>basculin striped=blue</t>
        </is>
      </c>
      <c r="H1884" s="18" t="inlineStr">
        <is>
          <t>striped=blue</t>
        </is>
      </c>
      <c r="I1884" s="18" t="n">
        <v>5</v>
      </c>
      <c r="J1884" s="18" t="n"/>
      <c r="K1884" s="18" t="n">
        <v>5</v>
      </c>
      <c r="L1884" s="18" t="inlineStr">
        <is>
          <t>cobbleventure:generation_5</t>
        </is>
      </c>
      <c r="M1884" s="19" t="inlineStr">
        <is>
          <t>cobbleventure:generation_5</t>
        </is>
      </c>
      <c r="N1884" s="18" t="inlineStr">
        <is>
          <t>region_02</t>
        </is>
      </c>
      <c r="O1884" s="19" t="inlineStr"/>
      <c r="P1884" s="18" t="inlineStr">
        <is>
          <t>#cobblemon:is_freshwater</t>
        </is>
      </c>
      <c r="Q1884" s="19" t="inlineStr"/>
      <c r="R1884" s="18">
        <f>IF(Q1884="",P1884,Q1884)</f>
        <v/>
      </c>
      <c r="S1884" s="18" t="inlineStr"/>
      <c r="T1884" s="18" t="inlineStr">
        <is>
          <t>common</t>
        </is>
      </c>
      <c r="U1884" s="20" t="n">
        <v>10</v>
      </c>
      <c r="V1884" s="21" t="n">
        <v>1</v>
      </c>
      <c r="W1884" s="20">
        <f>IF(OR(U1884="",V1884=""),U1884,U1884*V1884)</f>
        <v/>
      </c>
      <c r="X1884" s="18" t="inlineStr">
        <is>
          <t>21-46</t>
        </is>
      </c>
      <c r="Y1884" s="19" t="inlineStr"/>
      <c r="Z1884" s="18">
        <f>IF(Y1884="",X1884,Y1884)</f>
        <v/>
      </c>
      <c r="AA1884" s="18" t="inlineStr">
        <is>
          <t>submerged</t>
        </is>
      </c>
      <c r="AB1884" s="18" t="inlineStr"/>
      <c r="AC1884" s="18" t="inlineStr"/>
      <c r="AD1884" s="18" t="inlineStr"/>
      <c r="AE1884" s="18" t="inlineStr"/>
      <c r="AF1884" s="18" t="inlineStr">
        <is>
          <t>True</t>
        </is>
      </c>
      <c r="AG1884" s="18" t="inlineStr"/>
      <c r="AH1884" s="18" t="inlineStr"/>
      <c r="AI1884" s="18" t="inlineStr">
        <is>
          <t>{"condition":{"moonPhase":"1,2,3"}}</t>
        </is>
      </c>
      <c r="AJ1884" s="18" t="inlineStr">
        <is>
          <t>Cobblemon 동일</t>
        </is>
      </c>
      <c r="AK1884" s="18" t="inlineStr">
        <is>
          <t>사용</t>
        </is>
      </c>
      <c r="AL1884" s="18" t="inlineStr">
        <is>
          <t>COBBLEVERSE 1.7.42 / DP v31</t>
        </is>
      </c>
      <c r="AM1884" s="18" t="inlineStr">
        <is>
          <t>data/cobblemon/spawn_pool_world/0550_basculin.json</t>
        </is>
      </c>
      <c r="AN1884" s="18" t="inlineStr">
        <is>
          <t>basculin-blue-1</t>
        </is>
      </c>
      <c r="AO1884" s="18" t="inlineStr">
        <is>
          <t>pokemon</t>
        </is>
      </c>
      <c r="AP1884" s="18" t="inlineStr">
        <is>
          <t>water</t>
        </is>
      </c>
      <c r="AQ1884" s="18" t="inlineStr">
        <is>
          <t>{"biomes":["#cobblemon:is_freshwater"],"canSeeSky":true,"moonPhase":"1,2,3"}</t>
        </is>
      </c>
      <c r="AR1884" s="18" t="inlineStr"/>
      <c r="AS1884" s="18" t="inlineStr"/>
      <c r="AT1884" s="19" t="inlineStr"/>
    </row>
    <row r="1885" ht="32" customHeight="1">
      <c r="A1885" s="18" t="inlineStr">
        <is>
          <t>0550_basculin.json::basculin-blue-2::002</t>
        </is>
      </c>
      <c r="B1885" s="19" t="inlineStr">
        <is>
          <t>사용</t>
        </is>
      </c>
      <c r="C1885" s="18">
        <f>IF(OR(B1885&lt;&gt;AK1885,M1885&lt;&gt;L1885,O1885&lt;&gt;"",Q1885&lt;&gt;"",V1885&lt;&gt;1,Y1885&lt;&gt;"",AT1885&lt;&gt;""),"수정","원본")</f>
        <v/>
      </c>
      <c r="D1885" s="18" t="n">
        <v>550</v>
      </c>
      <c r="E1885" s="18" t="inlineStr">
        <is>
          <t>배쓰나이</t>
        </is>
      </c>
      <c r="F1885" s="18" t="inlineStr">
        <is>
          <t>basculin</t>
        </is>
      </c>
      <c r="G1885" s="18" t="inlineStr">
        <is>
          <t>basculin striped=blue</t>
        </is>
      </c>
      <c r="H1885" s="18" t="inlineStr">
        <is>
          <t>striped=blue</t>
        </is>
      </c>
      <c r="I1885" s="18" t="n">
        <v>5</v>
      </c>
      <c r="J1885" s="18" t="n"/>
      <c r="K1885" s="18" t="n">
        <v>5</v>
      </c>
      <c r="L1885" s="18" t="inlineStr">
        <is>
          <t>cobbleventure:generation_5</t>
        </is>
      </c>
      <c r="M1885" s="19" t="inlineStr">
        <is>
          <t>cobbleventure:generation_5</t>
        </is>
      </c>
      <c r="N1885" s="18" t="inlineStr">
        <is>
          <t>region_02</t>
        </is>
      </c>
      <c r="O1885" s="19" t="inlineStr"/>
      <c r="P1885" s="18" t="inlineStr">
        <is>
          <t>#cobblemon:is_freshwater</t>
        </is>
      </c>
      <c r="Q1885" s="19" t="inlineStr"/>
      <c r="R1885" s="18">
        <f>IF(Q1885="",P1885,Q1885)</f>
        <v/>
      </c>
      <c r="S1885" s="18" t="inlineStr"/>
      <c r="T1885" s="18" t="inlineStr">
        <is>
          <t>common</t>
        </is>
      </c>
      <c r="U1885" s="20" t="n">
        <v>2</v>
      </c>
      <c r="V1885" s="21" t="n">
        <v>1</v>
      </c>
      <c r="W1885" s="20">
        <f>IF(OR(U1885="",V1885=""),U1885,U1885*V1885)</f>
        <v/>
      </c>
      <c r="X1885" s="18" t="inlineStr">
        <is>
          <t>21-46</t>
        </is>
      </c>
      <c r="Y1885" s="19" t="inlineStr"/>
      <c r="Z1885" s="18">
        <f>IF(Y1885="",X1885,Y1885)</f>
        <v/>
      </c>
      <c r="AA1885" s="18" t="inlineStr">
        <is>
          <t>submerged</t>
        </is>
      </c>
      <c r="AB1885" s="18" t="inlineStr"/>
      <c r="AC1885" s="18" t="inlineStr"/>
      <c r="AD1885" s="18" t="inlineStr"/>
      <c r="AE1885" s="18" t="inlineStr"/>
      <c r="AF1885" s="18" t="inlineStr">
        <is>
          <t>True</t>
        </is>
      </c>
      <c r="AG1885" s="18" t="inlineStr"/>
      <c r="AH1885" s="18" t="inlineStr"/>
      <c r="AI1885" s="18" t="inlineStr">
        <is>
          <t>{"condition":{"moonPhase":"5,6,7"}}</t>
        </is>
      </c>
      <c r="AJ1885" s="18" t="inlineStr">
        <is>
          <t>Cobblemon 동일</t>
        </is>
      </c>
      <c r="AK1885" s="18" t="inlineStr">
        <is>
          <t>사용</t>
        </is>
      </c>
      <c r="AL1885" s="18" t="inlineStr">
        <is>
          <t>COBBLEVERSE 1.7.42 / DP v31</t>
        </is>
      </c>
      <c r="AM1885" s="18" t="inlineStr">
        <is>
          <t>data/cobblemon/spawn_pool_world/0550_basculin.json</t>
        </is>
      </c>
      <c r="AN1885" s="18" t="inlineStr">
        <is>
          <t>basculin-blue-2</t>
        </is>
      </c>
      <c r="AO1885" s="18" t="inlineStr">
        <is>
          <t>pokemon</t>
        </is>
      </c>
      <c r="AP1885" s="18" t="inlineStr">
        <is>
          <t>water</t>
        </is>
      </c>
      <c r="AQ1885" s="18" t="inlineStr">
        <is>
          <t>{"biomes":["#cobblemon:is_freshwater"],"canSeeSky":true,"moonPhase":"5,6,7"}</t>
        </is>
      </c>
      <c r="AR1885" s="18" t="inlineStr"/>
      <c r="AS1885" s="18" t="inlineStr"/>
      <c r="AT1885" s="19" t="inlineStr"/>
    </row>
    <row r="1886" ht="32" customHeight="1">
      <c r="A1886" s="18" t="inlineStr">
        <is>
          <t>0550_basculin.json::basculin-blue-3::003</t>
        </is>
      </c>
      <c r="B1886" s="19" t="inlineStr">
        <is>
          <t>사용</t>
        </is>
      </c>
      <c r="C1886" s="18">
        <f>IF(OR(B1886&lt;&gt;AK1886,M1886&lt;&gt;L1886,O1886&lt;&gt;"",Q1886&lt;&gt;"",V1886&lt;&gt;1,Y1886&lt;&gt;"",AT1886&lt;&gt;""),"수정","원본")</f>
        <v/>
      </c>
      <c r="D1886" s="18" t="n">
        <v>550</v>
      </c>
      <c r="E1886" s="18" t="inlineStr">
        <is>
          <t>배쓰나이</t>
        </is>
      </c>
      <c r="F1886" s="18" t="inlineStr">
        <is>
          <t>basculin</t>
        </is>
      </c>
      <c r="G1886" s="18" t="inlineStr">
        <is>
          <t>basculin striped=blue</t>
        </is>
      </c>
      <c r="H1886" s="18" t="inlineStr">
        <is>
          <t>striped=blue</t>
        </is>
      </c>
      <c r="I1886" s="18" t="n">
        <v>5</v>
      </c>
      <c r="J1886" s="18" t="n"/>
      <c r="K1886" s="18" t="n">
        <v>5</v>
      </c>
      <c r="L1886" s="18" t="inlineStr">
        <is>
          <t>cobbleventure:generation_5</t>
        </is>
      </c>
      <c r="M1886" s="19" t="inlineStr">
        <is>
          <t>cobbleventure:generation_5</t>
        </is>
      </c>
      <c r="N1886" s="18" t="inlineStr">
        <is>
          <t>region_02</t>
        </is>
      </c>
      <c r="O1886" s="19" t="inlineStr"/>
      <c r="P1886" s="18" t="inlineStr">
        <is>
          <t>#cobblemon:is_freshwater</t>
        </is>
      </c>
      <c r="Q1886" s="19" t="inlineStr"/>
      <c r="R1886" s="18">
        <f>IF(Q1886="",P1886,Q1886)</f>
        <v/>
      </c>
      <c r="S1886" s="18" t="inlineStr"/>
      <c r="T1886" s="18" t="inlineStr">
        <is>
          <t>common</t>
        </is>
      </c>
      <c r="U1886" s="20" t="n">
        <v>5</v>
      </c>
      <c r="V1886" s="21" t="n">
        <v>1</v>
      </c>
      <c r="W1886" s="20">
        <f>IF(OR(U1886="",V1886=""),U1886,U1886*V1886)</f>
        <v/>
      </c>
      <c r="X1886" s="18" t="inlineStr">
        <is>
          <t>21-46</t>
        </is>
      </c>
      <c r="Y1886" s="19" t="inlineStr"/>
      <c r="Z1886" s="18">
        <f>IF(Y1886="",X1886,Y1886)</f>
        <v/>
      </c>
      <c r="AA1886" s="18" t="inlineStr">
        <is>
          <t>submerged</t>
        </is>
      </c>
      <c r="AB1886" s="18" t="inlineStr"/>
      <c r="AC1886" s="18" t="inlineStr"/>
      <c r="AD1886" s="18" t="inlineStr"/>
      <c r="AE1886" s="18" t="inlineStr"/>
      <c r="AF1886" s="18" t="inlineStr">
        <is>
          <t>True</t>
        </is>
      </c>
      <c r="AG1886" s="18" t="inlineStr"/>
      <c r="AH1886" s="18" t="inlineStr"/>
      <c r="AI1886" s="18" t="inlineStr">
        <is>
          <t>{"condition":{"moonPhase":"0,4"}}</t>
        </is>
      </c>
      <c r="AJ1886" s="18" t="inlineStr">
        <is>
          <t>Cobblemon 동일</t>
        </is>
      </c>
      <c r="AK1886" s="18" t="inlineStr">
        <is>
          <t>사용</t>
        </is>
      </c>
      <c r="AL1886" s="18" t="inlineStr">
        <is>
          <t>COBBLEVERSE 1.7.42 / DP v31</t>
        </is>
      </c>
      <c r="AM1886" s="18" t="inlineStr">
        <is>
          <t>data/cobblemon/spawn_pool_world/0550_basculin.json</t>
        </is>
      </c>
      <c r="AN1886" s="18" t="inlineStr">
        <is>
          <t>basculin-blue-3</t>
        </is>
      </c>
      <c r="AO1886" s="18" t="inlineStr">
        <is>
          <t>pokemon</t>
        </is>
      </c>
      <c r="AP1886" s="18" t="inlineStr">
        <is>
          <t>water</t>
        </is>
      </c>
      <c r="AQ1886" s="18" t="inlineStr">
        <is>
          <t>{"biomes":["#cobblemon:is_freshwater"],"canSeeSky":true,"moonPhase":"0,4"}</t>
        </is>
      </c>
      <c r="AR1886" s="18" t="inlineStr"/>
      <c r="AS1886" s="18" t="inlineStr"/>
      <c r="AT1886" s="19" t="inlineStr"/>
    </row>
    <row r="1887" ht="32" customHeight="1">
      <c r="A1887" s="18" t="inlineStr">
        <is>
          <t>0550_basculin.json::basculin-blue-4::004</t>
        </is>
      </c>
      <c r="B1887" s="19" t="inlineStr">
        <is>
          <t>사용</t>
        </is>
      </c>
      <c r="C1887" s="18">
        <f>IF(OR(B1887&lt;&gt;AK1887,M1887&lt;&gt;L1887,O1887&lt;&gt;"",Q1887&lt;&gt;"",V1887&lt;&gt;1,Y1887&lt;&gt;"",AT1887&lt;&gt;""),"수정","원본")</f>
        <v/>
      </c>
      <c r="D1887" s="18" t="n">
        <v>550</v>
      </c>
      <c r="E1887" s="18" t="inlineStr">
        <is>
          <t>배쓰나이</t>
        </is>
      </c>
      <c r="F1887" s="18" t="inlineStr">
        <is>
          <t>basculin</t>
        </is>
      </c>
      <c r="G1887" s="18" t="inlineStr">
        <is>
          <t>basculin striped=blue</t>
        </is>
      </c>
      <c r="H1887" s="18" t="inlineStr">
        <is>
          <t>striped=blue</t>
        </is>
      </c>
      <c r="I1887" s="18" t="n">
        <v>5</v>
      </c>
      <c r="J1887" s="18" t="n"/>
      <c r="K1887" s="18" t="n">
        <v>5</v>
      </c>
      <c r="L1887" s="18" t="inlineStr">
        <is>
          <t>cobbleventure:generation_5</t>
        </is>
      </c>
      <c r="M1887" s="19" t="inlineStr">
        <is>
          <t>cobbleventure:generation_5</t>
        </is>
      </c>
      <c r="N1887" s="18" t="inlineStr">
        <is>
          <t>region_01; region_02</t>
        </is>
      </c>
      <c r="O1887" s="19" t="inlineStr"/>
      <c r="P1887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87" s="19" t="inlineStr"/>
      <c r="R1887" s="18">
        <f>IF(Q1887="",P1887,Q1887)</f>
        <v/>
      </c>
      <c r="S1887" s="18" t="inlineStr"/>
      <c r="T1887" s="18" t="inlineStr">
        <is>
          <t>common</t>
        </is>
      </c>
      <c r="U1887" s="20" t="n">
        <v>10</v>
      </c>
      <c r="V1887" s="21" t="n">
        <v>1</v>
      </c>
      <c r="W1887" s="20">
        <f>IF(OR(U1887="",V1887=""),U1887,U1887*V1887)</f>
        <v/>
      </c>
      <c r="X1887" s="18" t="inlineStr">
        <is>
          <t>21-46</t>
        </is>
      </c>
      <c r="Y1887" s="19" t="inlineStr"/>
      <c r="Z1887" s="18">
        <f>IF(Y1887="",X1887,Y1887)</f>
        <v/>
      </c>
      <c r="AA1887" s="18" t="inlineStr">
        <is>
          <t>fishing</t>
        </is>
      </c>
      <c r="AB1887" s="18" t="inlineStr"/>
      <c r="AC1887" s="18" t="inlineStr"/>
      <c r="AD1887" s="18" t="inlineStr"/>
      <c r="AE1887" s="18" t="inlineStr"/>
      <c r="AF1887" s="18" t="inlineStr">
        <is>
          <t>True</t>
        </is>
      </c>
      <c r="AG1887" s="18" t="inlineStr"/>
      <c r="AH1887" s="18" t="inlineStr"/>
      <c r="AI1887" s="18" t="inlineStr">
        <is>
          <t>{"condition":{"moonPhase":"1,2,3"}}</t>
        </is>
      </c>
      <c r="AJ1887" s="18" t="inlineStr">
        <is>
          <t>Cobblemon 동일</t>
        </is>
      </c>
      <c r="AK1887" s="18" t="inlineStr">
        <is>
          <t>사용</t>
        </is>
      </c>
      <c r="AL1887" s="18" t="inlineStr">
        <is>
          <t>COBBLEVERSE 1.7.42 / DP v31</t>
        </is>
      </c>
      <c r="AM1887" s="18" t="inlineStr">
        <is>
          <t>data/cobblemon/spawn_pool_world/0550_basculin.json</t>
        </is>
      </c>
      <c r="AN1887" s="18" t="inlineStr">
        <is>
          <t>basculin-blue-4</t>
        </is>
      </c>
      <c r="AO1887" s="18" t="inlineStr">
        <is>
          <t>pokemon</t>
        </is>
      </c>
      <c r="AP1887" s="18" t="inlineStr"/>
      <c r="AQ1887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{"biomes":["#cobblemon:is_arid","#cobblemon:is_forest","#cobblemon:is_freshwater","#cobblemon:is_grassland","#cobblemon:is_jungle","#cobblemon:is_mountain","#cobblemon:is_snowy_forest","#cobblemon:is_taiga","#cobblemon:is_tundra"],"canSeeSky":true,"moonPhase":"1,2,3"}</t>
        </is>
      </c>
      <c r="AR1887" s="18" t="inlineStr"/>
      <c r="AS1887" s="18" t="inlineStr"/>
      <c r="AT1887" s="19" t="inlineStr"/>
    </row>
    <row r="1888" ht="32" customHeight="1">
      <c r="A1888" s="18" t="inlineStr">
        <is>
          <t>0550_basculin.json::basculin-blue-5::005</t>
        </is>
      </c>
      <c r="B1888" s="19" t="inlineStr">
        <is>
          <t>사용</t>
        </is>
      </c>
      <c r="C1888" s="18">
        <f>IF(OR(B1888&lt;&gt;AK1888,M1888&lt;&gt;L1888,O1888&lt;&gt;"",Q1888&lt;&gt;"",V1888&lt;&gt;1,Y1888&lt;&gt;"",AT1888&lt;&gt;""),"수정","원본")</f>
        <v/>
      </c>
      <c r="D1888" s="18" t="n">
        <v>550</v>
      </c>
      <c r="E1888" s="18" t="inlineStr">
        <is>
          <t>배쓰나이</t>
        </is>
      </c>
      <c r="F1888" s="18" t="inlineStr">
        <is>
          <t>basculin</t>
        </is>
      </c>
      <c r="G1888" s="18" t="inlineStr">
        <is>
          <t>basculin striped=blue</t>
        </is>
      </c>
      <c r="H1888" s="18" t="inlineStr">
        <is>
          <t>striped=blue</t>
        </is>
      </c>
      <c r="I1888" s="18" t="n">
        <v>5</v>
      </c>
      <c r="J1888" s="18" t="n"/>
      <c r="K1888" s="18" t="n">
        <v>5</v>
      </c>
      <c r="L1888" s="18" t="inlineStr">
        <is>
          <t>cobbleventure:generation_5</t>
        </is>
      </c>
      <c r="M1888" s="19" t="inlineStr">
        <is>
          <t>cobbleventure:generation_5</t>
        </is>
      </c>
      <c r="N1888" s="18" t="inlineStr">
        <is>
          <t>region_01; region_02</t>
        </is>
      </c>
      <c r="O1888" s="19" t="inlineStr"/>
      <c r="P1888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88" s="19" t="inlineStr"/>
      <c r="R1888" s="18">
        <f>IF(Q1888="",P1888,Q1888)</f>
        <v/>
      </c>
      <c r="S1888" s="18" t="inlineStr"/>
      <c r="T1888" s="18" t="inlineStr">
        <is>
          <t>common</t>
        </is>
      </c>
      <c r="U1888" s="20" t="n">
        <v>2</v>
      </c>
      <c r="V1888" s="21" t="n">
        <v>1</v>
      </c>
      <c r="W1888" s="20">
        <f>IF(OR(U1888="",V1888=""),U1888,U1888*V1888)</f>
        <v/>
      </c>
      <c r="X1888" s="18" t="inlineStr">
        <is>
          <t>21-46</t>
        </is>
      </c>
      <c r="Y1888" s="19" t="inlineStr"/>
      <c r="Z1888" s="18">
        <f>IF(Y1888="",X1888,Y1888)</f>
        <v/>
      </c>
      <c r="AA1888" s="18" t="inlineStr">
        <is>
          <t>fishing</t>
        </is>
      </c>
      <c r="AB1888" s="18" t="inlineStr"/>
      <c r="AC1888" s="18" t="inlineStr"/>
      <c r="AD1888" s="18" t="inlineStr"/>
      <c r="AE1888" s="18" t="inlineStr"/>
      <c r="AF1888" s="18" t="inlineStr">
        <is>
          <t>True</t>
        </is>
      </c>
      <c r="AG1888" s="18" t="inlineStr"/>
      <c r="AH1888" s="18" t="inlineStr"/>
      <c r="AI1888" s="18" t="inlineStr">
        <is>
          <t>{"condition":{"moonPhase":"5,6,7"}}</t>
        </is>
      </c>
      <c r="AJ1888" s="18" t="inlineStr">
        <is>
          <t>Cobblemon 동일</t>
        </is>
      </c>
      <c r="AK1888" s="18" t="inlineStr">
        <is>
          <t>사용</t>
        </is>
      </c>
      <c r="AL1888" s="18" t="inlineStr">
        <is>
          <t>COBBLEVERSE 1.7.42 / DP v31</t>
        </is>
      </c>
      <c r="AM1888" s="18" t="inlineStr">
        <is>
          <t>data/cobblemon/spawn_pool_world/0550_basculin.json</t>
        </is>
      </c>
      <c r="AN1888" s="18" t="inlineStr">
        <is>
          <t>basculin-blue-5</t>
        </is>
      </c>
      <c r="AO1888" s="18" t="inlineStr">
        <is>
          <t>pokemon</t>
        </is>
      </c>
      <c r="AP1888" s="18" t="inlineStr"/>
      <c r="AQ1888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{"biomes":["#cobblemon:is_arid","#cobblemon:is_forest","#cobblemon:is_freshwater","#cobblemon:is_grassland","#cobblemon:is_jungle","#cobblemon:is_mountain","#cobblemon:is_snowy_forest","#cobblemon:is_taiga","#cobblemon:is_tundra"],"canSeeSky":true,"moonPhase":"5,6,7"}</t>
        </is>
      </c>
      <c r="AR1888" s="18" t="inlineStr"/>
      <c r="AS1888" s="18" t="inlineStr"/>
      <c r="AT1888" s="19" t="inlineStr"/>
    </row>
    <row r="1889" ht="32" customHeight="1">
      <c r="A1889" s="18" t="inlineStr">
        <is>
          <t>0550_basculin.json::basculin-blue-6::006</t>
        </is>
      </c>
      <c r="B1889" s="19" t="inlineStr">
        <is>
          <t>사용</t>
        </is>
      </c>
      <c r="C1889" s="18">
        <f>IF(OR(B1889&lt;&gt;AK1889,M1889&lt;&gt;L1889,O1889&lt;&gt;"",Q1889&lt;&gt;"",V1889&lt;&gt;1,Y1889&lt;&gt;"",AT1889&lt;&gt;""),"수정","원본")</f>
        <v/>
      </c>
      <c r="D1889" s="18" t="n">
        <v>550</v>
      </c>
      <c r="E1889" s="18" t="inlineStr">
        <is>
          <t>배쓰나이</t>
        </is>
      </c>
      <c r="F1889" s="18" t="inlineStr">
        <is>
          <t>basculin</t>
        </is>
      </c>
      <c r="G1889" s="18" t="inlineStr">
        <is>
          <t>basculin striped=blue</t>
        </is>
      </c>
      <c r="H1889" s="18" t="inlineStr">
        <is>
          <t>striped=blue</t>
        </is>
      </c>
      <c r="I1889" s="18" t="n">
        <v>5</v>
      </c>
      <c r="J1889" s="18" t="n"/>
      <c r="K1889" s="18" t="n">
        <v>5</v>
      </c>
      <c r="L1889" s="18" t="inlineStr">
        <is>
          <t>cobbleventure:generation_5</t>
        </is>
      </c>
      <c r="M1889" s="19" t="inlineStr">
        <is>
          <t>cobbleventure:generation_5</t>
        </is>
      </c>
      <c r="N1889" s="18" t="inlineStr">
        <is>
          <t>region_01; region_02</t>
        </is>
      </c>
      <c r="O1889" s="19" t="inlineStr"/>
      <c r="P1889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89" s="19" t="inlineStr"/>
      <c r="R1889" s="18">
        <f>IF(Q1889="",P1889,Q1889)</f>
        <v/>
      </c>
      <c r="S1889" s="18" t="inlineStr"/>
      <c r="T1889" s="18" t="inlineStr">
        <is>
          <t>common</t>
        </is>
      </c>
      <c r="U1889" s="20" t="n">
        <v>5</v>
      </c>
      <c r="V1889" s="21" t="n">
        <v>1</v>
      </c>
      <c r="W1889" s="20">
        <f>IF(OR(U1889="",V1889=""),U1889,U1889*V1889)</f>
        <v/>
      </c>
      <c r="X1889" s="18" t="inlineStr">
        <is>
          <t>21-46</t>
        </is>
      </c>
      <c r="Y1889" s="19" t="inlineStr"/>
      <c r="Z1889" s="18">
        <f>IF(Y1889="",X1889,Y1889)</f>
        <v/>
      </c>
      <c r="AA1889" s="18" t="inlineStr">
        <is>
          <t>fishing</t>
        </is>
      </c>
      <c r="AB1889" s="18" t="inlineStr"/>
      <c r="AC1889" s="18" t="inlineStr"/>
      <c r="AD1889" s="18" t="inlineStr"/>
      <c r="AE1889" s="18" t="inlineStr"/>
      <c r="AF1889" s="18" t="inlineStr">
        <is>
          <t>True</t>
        </is>
      </c>
      <c r="AG1889" s="18" t="inlineStr"/>
      <c r="AH1889" s="18" t="inlineStr"/>
      <c r="AI1889" s="18" t="inlineStr">
        <is>
          <t>{"condition":{"moonPhase":"0,4"}}</t>
        </is>
      </c>
      <c r="AJ1889" s="18" t="inlineStr">
        <is>
          <t>Cobblemon 동일</t>
        </is>
      </c>
      <c r="AK1889" s="18" t="inlineStr">
        <is>
          <t>사용</t>
        </is>
      </c>
      <c r="AL1889" s="18" t="inlineStr">
        <is>
          <t>COBBLEVERSE 1.7.42 / DP v31</t>
        </is>
      </c>
      <c r="AM1889" s="18" t="inlineStr">
        <is>
          <t>data/cobblemon/spawn_pool_world/0550_basculin.json</t>
        </is>
      </c>
      <c r="AN1889" s="18" t="inlineStr">
        <is>
          <t>basculin-blue-6</t>
        </is>
      </c>
      <c r="AO1889" s="18" t="inlineStr">
        <is>
          <t>pokemon</t>
        </is>
      </c>
      <c r="AP1889" s="18" t="inlineStr"/>
      <c r="AQ1889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{"biomes":["#cobblemon:is_arid","#cobblemon:is_forest","#cobblemon:is_freshwater","#cobblemon:is_grassland","#cobblemon:is_jungle","#cobblemon:is_mountain","#cobblemon:is_snowy_forest","#cobblemon:is_taiga","#cobblemon:is_tundra"],"canSeeSky":true,"moonPhase":"0,4"}</t>
        </is>
      </c>
      <c r="AR1889" s="18" t="inlineStr"/>
      <c r="AS1889" s="18" t="inlineStr"/>
      <c r="AT1889" s="19" t="inlineStr"/>
    </row>
    <row r="1890" ht="32" customHeight="1">
      <c r="A1890" s="18" t="inlineStr">
        <is>
          <t>0550_basculin.json::basculin-red-7::007</t>
        </is>
      </c>
      <c r="B1890" s="19" t="inlineStr">
        <is>
          <t>사용</t>
        </is>
      </c>
      <c r="C1890" s="18">
        <f>IF(OR(B1890&lt;&gt;AK1890,M1890&lt;&gt;L1890,O1890&lt;&gt;"",Q1890&lt;&gt;"",V1890&lt;&gt;1,Y1890&lt;&gt;"",AT1890&lt;&gt;""),"수정","원본")</f>
        <v/>
      </c>
      <c r="D1890" s="18" t="n">
        <v>550</v>
      </c>
      <c r="E1890" s="18" t="inlineStr">
        <is>
          <t>배쓰나이</t>
        </is>
      </c>
      <c r="F1890" s="18" t="inlineStr">
        <is>
          <t>basculin</t>
        </is>
      </c>
      <c r="G1890" s="18" t="inlineStr">
        <is>
          <t>basculin striped=red</t>
        </is>
      </c>
      <c r="H1890" s="18" t="inlineStr">
        <is>
          <t>striped=red</t>
        </is>
      </c>
      <c r="I1890" s="18" t="n">
        <v>5</v>
      </c>
      <c r="J1890" s="18" t="n"/>
      <c r="K1890" s="18" t="n">
        <v>5</v>
      </c>
      <c r="L1890" s="18" t="inlineStr">
        <is>
          <t>cobbleventure:generation_5</t>
        </is>
      </c>
      <c r="M1890" s="19" t="inlineStr">
        <is>
          <t>cobbleventure:generation_5</t>
        </is>
      </c>
      <c r="N1890" s="18" t="inlineStr">
        <is>
          <t>region_02</t>
        </is>
      </c>
      <c r="O1890" s="19" t="inlineStr"/>
      <c r="P1890" s="18" t="inlineStr">
        <is>
          <t>#cobblemon:is_freshwater</t>
        </is>
      </c>
      <c r="Q1890" s="19" t="inlineStr"/>
      <c r="R1890" s="18">
        <f>IF(Q1890="",P1890,Q1890)</f>
        <v/>
      </c>
      <c r="S1890" s="18" t="inlineStr"/>
      <c r="T1890" s="18" t="inlineStr">
        <is>
          <t>common</t>
        </is>
      </c>
      <c r="U1890" s="20" t="n">
        <v>10</v>
      </c>
      <c r="V1890" s="21" t="n">
        <v>1</v>
      </c>
      <c r="W1890" s="20">
        <f>IF(OR(U1890="",V1890=""),U1890,U1890*V1890)</f>
        <v/>
      </c>
      <c r="X1890" s="18" t="inlineStr">
        <is>
          <t>21-46</t>
        </is>
      </c>
      <c r="Y1890" s="19" t="inlineStr"/>
      <c r="Z1890" s="18">
        <f>IF(Y1890="",X1890,Y1890)</f>
        <v/>
      </c>
      <c r="AA1890" s="18" t="inlineStr">
        <is>
          <t>submerged</t>
        </is>
      </c>
      <c r="AB1890" s="18" t="inlineStr"/>
      <c r="AC1890" s="18" t="inlineStr"/>
      <c r="AD1890" s="18" t="inlineStr"/>
      <c r="AE1890" s="18" t="inlineStr"/>
      <c r="AF1890" s="18" t="inlineStr">
        <is>
          <t>True</t>
        </is>
      </c>
      <c r="AG1890" s="18" t="inlineStr"/>
      <c r="AH1890" s="18" t="inlineStr"/>
      <c r="AI1890" s="18" t="inlineStr">
        <is>
          <t>{"condition":{"moonPhase":"5,6,7"}}</t>
        </is>
      </c>
      <c r="AJ1890" s="18" t="inlineStr">
        <is>
          <t>Cobblemon 동일</t>
        </is>
      </c>
      <c r="AK1890" s="18" t="inlineStr">
        <is>
          <t>사용</t>
        </is>
      </c>
      <c r="AL1890" s="18" t="inlineStr">
        <is>
          <t>COBBLEVERSE 1.7.42 / DP v31</t>
        </is>
      </c>
      <c r="AM1890" s="18" t="inlineStr">
        <is>
          <t>data/cobblemon/spawn_pool_world/0550_basculin.json</t>
        </is>
      </c>
      <c r="AN1890" s="18" t="inlineStr">
        <is>
          <t>basculin-red-7</t>
        </is>
      </c>
      <c r="AO1890" s="18" t="inlineStr">
        <is>
          <t>pokemon</t>
        </is>
      </c>
      <c r="AP1890" s="18" t="inlineStr">
        <is>
          <t>water</t>
        </is>
      </c>
      <c r="AQ1890" s="18" t="inlineStr">
        <is>
          <t>{"biomes":["#cobblemon:is_freshwater"],"canSeeSky":true,"moonPhase":"5,6,7"}</t>
        </is>
      </c>
      <c r="AR1890" s="18" t="inlineStr"/>
      <c r="AS1890" s="18" t="inlineStr"/>
      <c r="AT1890" s="19" t="inlineStr"/>
    </row>
    <row r="1891" ht="32" customHeight="1">
      <c r="A1891" s="18" t="inlineStr">
        <is>
          <t>0550_basculin.json::basculin-red-8::008</t>
        </is>
      </c>
      <c r="B1891" s="19" t="inlineStr">
        <is>
          <t>사용</t>
        </is>
      </c>
      <c r="C1891" s="18">
        <f>IF(OR(B1891&lt;&gt;AK1891,M1891&lt;&gt;L1891,O1891&lt;&gt;"",Q1891&lt;&gt;"",V1891&lt;&gt;1,Y1891&lt;&gt;"",AT1891&lt;&gt;""),"수정","원본")</f>
        <v/>
      </c>
      <c r="D1891" s="18" t="n">
        <v>550</v>
      </c>
      <c r="E1891" s="18" t="inlineStr">
        <is>
          <t>배쓰나이</t>
        </is>
      </c>
      <c r="F1891" s="18" t="inlineStr">
        <is>
          <t>basculin</t>
        </is>
      </c>
      <c r="G1891" s="18" t="inlineStr">
        <is>
          <t>basculin striped=red</t>
        </is>
      </c>
      <c r="H1891" s="18" t="inlineStr">
        <is>
          <t>striped=red</t>
        </is>
      </c>
      <c r="I1891" s="18" t="n">
        <v>5</v>
      </c>
      <c r="J1891" s="18" t="n"/>
      <c r="K1891" s="18" t="n">
        <v>5</v>
      </c>
      <c r="L1891" s="18" t="inlineStr">
        <is>
          <t>cobbleventure:generation_5</t>
        </is>
      </c>
      <c r="M1891" s="19" t="inlineStr">
        <is>
          <t>cobbleventure:generation_5</t>
        </is>
      </c>
      <c r="N1891" s="18" t="inlineStr">
        <is>
          <t>region_02</t>
        </is>
      </c>
      <c r="O1891" s="19" t="inlineStr"/>
      <c r="P1891" s="18" t="inlineStr">
        <is>
          <t>#cobblemon:is_freshwater</t>
        </is>
      </c>
      <c r="Q1891" s="19" t="inlineStr"/>
      <c r="R1891" s="18">
        <f>IF(Q1891="",P1891,Q1891)</f>
        <v/>
      </c>
      <c r="S1891" s="18" t="inlineStr"/>
      <c r="T1891" s="18" t="inlineStr">
        <is>
          <t>common</t>
        </is>
      </c>
      <c r="U1891" s="20" t="n">
        <v>2</v>
      </c>
      <c r="V1891" s="21" t="n">
        <v>1</v>
      </c>
      <c r="W1891" s="20">
        <f>IF(OR(U1891="",V1891=""),U1891,U1891*V1891)</f>
        <v/>
      </c>
      <c r="X1891" s="18" t="inlineStr">
        <is>
          <t>21-46</t>
        </is>
      </c>
      <c r="Y1891" s="19" t="inlineStr"/>
      <c r="Z1891" s="18">
        <f>IF(Y1891="",X1891,Y1891)</f>
        <v/>
      </c>
      <c r="AA1891" s="18" t="inlineStr">
        <is>
          <t>submerged</t>
        </is>
      </c>
      <c r="AB1891" s="18" t="inlineStr"/>
      <c r="AC1891" s="18" t="inlineStr"/>
      <c r="AD1891" s="18" t="inlineStr"/>
      <c r="AE1891" s="18" t="inlineStr"/>
      <c r="AF1891" s="18" t="inlineStr">
        <is>
          <t>True</t>
        </is>
      </c>
      <c r="AG1891" s="18" t="inlineStr"/>
      <c r="AH1891" s="18" t="inlineStr"/>
      <c r="AI1891" s="18" t="inlineStr">
        <is>
          <t>{"condition":{"moonPhase":"1,2,3"}}</t>
        </is>
      </c>
      <c r="AJ1891" s="18" t="inlineStr">
        <is>
          <t>Cobblemon 동일</t>
        </is>
      </c>
      <c r="AK1891" s="18" t="inlineStr">
        <is>
          <t>사용</t>
        </is>
      </c>
      <c r="AL1891" s="18" t="inlineStr">
        <is>
          <t>COBBLEVERSE 1.7.42 / DP v31</t>
        </is>
      </c>
      <c r="AM1891" s="18" t="inlineStr">
        <is>
          <t>data/cobblemon/spawn_pool_world/0550_basculin.json</t>
        </is>
      </c>
      <c r="AN1891" s="18" t="inlineStr">
        <is>
          <t>basculin-red-8</t>
        </is>
      </c>
      <c r="AO1891" s="18" t="inlineStr">
        <is>
          <t>pokemon</t>
        </is>
      </c>
      <c r="AP1891" s="18" t="inlineStr">
        <is>
          <t>water</t>
        </is>
      </c>
      <c r="AQ1891" s="18" t="inlineStr">
        <is>
          <t>{"biomes":["#cobblemon:is_freshwater"],"canSeeSky":true,"moonPhase":"1,2,3"}</t>
        </is>
      </c>
      <c r="AR1891" s="18" t="inlineStr"/>
      <c r="AS1891" s="18" t="inlineStr"/>
      <c r="AT1891" s="19" t="inlineStr"/>
    </row>
    <row r="1892" ht="32" customHeight="1">
      <c r="A1892" s="18" t="inlineStr">
        <is>
          <t>0550_basculin.json::basculin-red-9::009</t>
        </is>
      </c>
      <c r="B1892" s="19" t="inlineStr">
        <is>
          <t>사용</t>
        </is>
      </c>
      <c r="C1892" s="18">
        <f>IF(OR(B1892&lt;&gt;AK1892,M1892&lt;&gt;L1892,O1892&lt;&gt;"",Q1892&lt;&gt;"",V1892&lt;&gt;1,Y1892&lt;&gt;"",AT1892&lt;&gt;""),"수정","원본")</f>
        <v/>
      </c>
      <c r="D1892" s="18" t="n">
        <v>550</v>
      </c>
      <c r="E1892" s="18" t="inlineStr">
        <is>
          <t>배쓰나이</t>
        </is>
      </c>
      <c r="F1892" s="18" t="inlineStr">
        <is>
          <t>basculin</t>
        </is>
      </c>
      <c r="G1892" s="18" t="inlineStr">
        <is>
          <t>basculin striped=red</t>
        </is>
      </c>
      <c r="H1892" s="18" t="inlineStr">
        <is>
          <t>striped=red</t>
        </is>
      </c>
      <c r="I1892" s="18" t="n">
        <v>5</v>
      </c>
      <c r="J1892" s="18" t="n"/>
      <c r="K1892" s="18" t="n">
        <v>5</v>
      </c>
      <c r="L1892" s="18" t="inlineStr">
        <is>
          <t>cobbleventure:generation_5</t>
        </is>
      </c>
      <c r="M1892" s="19" t="inlineStr">
        <is>
          <t>cobbleventure:generation_5</t>
        </is>
      </c>
      <c r="N1892" s="18" t="inlineStr">
        <is>
          <t>region_02</t>
        </is>
      </c>
      <c r="O1892" s="19" t="inlineStr"/>
      <c r="P1892" s="18" t="inlineStr">
        <is>
          <t>#cobblemon:is_freshwater</t>
        </is>
      </c>
      <c r="Q1892" s="19" t="inlineStr"/>
      <c r="R1892" s="18">
        <f>IF(Q1892="",P1892,Q1892)</f>
        <v/>
      </c>
      <c r="S1892" s="18" t="inlineStr"/>
      <c r="T1892" s="18" t="inlineStr">
        <is>
          <t>common</t>
        </is>
      </c>
      <c r="U1892" s="20" t="n">
        <v>5</v>
      </c>
      <c r="V1892" s="21" t="n">
        <v>1</v>
      </c>
      <c r="W1892" s="20">
        <f>IF(OR(U1892="",V1892=""),U1892,U1892*V1892)</f>
        <v/>
      </c>
      <c r="X1892" s="18" t="inlineStr">
        <is>
          <t>21-46</t>
        </is>
      </c>
      <c r="Y1892" s="19" t="inlineStr"/>
      <c r="Z1892" s="18">
        <f>IF(Y1892="",X1892,Y1892)</f>
        <v/>
      </c>
      <c r="AA1892" s="18" t="inlineStr">
        <is>
          <t>submerged</t>
        </is>
      </c>
      <c r="AB1892" s="18" t="inlineStr"/>
      <c r="AC1892" s="18" t="inlineStr"/>
      <c r="AD1892" s="18" t="inlineStr"/>
      <c r="AE1892" s="18" t="inlineStr"/>
      <c r="AF1892" s="18" t="inlineStr">
        <is>
          <t>True</t>
        </is>
      </c>
      <c r="AG1892" s="18" t="inlineStr"/>
      <c r="AH1892" s="18" t="inlineStr"/>
      <c r="AI1892" s="18" t="inlineStr">
        <is>
          <t>{"condition":{"moonPhase":"0,4"}}</t>
        </is>
      </c>
      <c r="AJ1892" s="18" t="inlineStr">
        <is>
          <t>Cobblemon 동일</t>
        </is>
      </c>
      <c r="AK1892" s="18" t="inlineStr">
        <is>
          <t>사용</t>
        </is>
      </c>
      <c r="AL1892" s="18" t="inlineStr">
        <is>
          <t>COBBLEVERSE 1.7.42 / DP v31</t>
        </is>
      </c>
      <c r="AM1892" s="18" t="inlineStr">
        <is>
          <t>data/cobblemon/spawn_pool_world/0550_basculin.json</t>
        </is>
      </c>
      <c r="AN1892" s="18" t="inlineStr">
        <is>
          <t>basculin-red-9</t>
        </is>
      </c>
      <c r="AO1892" s="18" t="inlineStr">
        <is>
          <t>pokemon</t>
        </is>
      </c>
      <c r="AP1892" s="18" t="inlineStr">
        <is>
          <t>water</t>
        </is>
      </c>
      <c r="AQ1892" s="18" t="inlineStr">
        <is>
          <t>{"biomes":["#cobblemon:is_freshwater"],"canSeeSky":true,"moonPhase":"0,4"}</t>
        </is>
      </c>
      <c r="AR1892" s="18" t="inlineStr"/>
      <c r="AS1892" s="18" t="inlineStr"/>
      <c r="AT1892" s="19" t="inlineStr"/>
    </row>
    <row r="1893" ht="32" customHeight="1">
      <c r="A1893" s="18" t="inlineStr">
        <is>
          <t>0550_basculin.json::basculin-red-10::010</t>
        </is>
      </c>
      <c r="B1893" s="19" t="inlineStr">
        <is>
          <t>사용</t>
        </is>
      </c>
      <c r="C1893" s="18">
        <f>IF(OR(B1893&lt;&gt;AK1893,M1893&lt;&gt;L1893,O1893&lt;&gt;"",Q1893&lt;&gt;"",V1893&lt;&gt;1,Y1893&lt;&gt;"",AT1893&lt;&gt;""),"수정","원본")</f>
        <v/>
      </c>
      <c r="D1893" s="18" t="n">
        <v>550</v>
      </c>
      <c r="E1893" s="18" t="inlineStr">
        <is>
          <t>배쓰나이</t>
        </is>
      </c>
      <c r="F1893" s="18" t="inlineStr">
        <is>
          <t>basculin</t>
        </is>
      </c>
      <c r="G1893" s="18" t="inlineStr">
        <is>
          <t>basculin striped=red</t>
        </is>
      </c>
      <c r="H1893" s="18" t="inlineStr">
        <is>
          <t>striped=red</t>
        </is>
      </c>
      <c r="I1893" s="18" t="n">
        <v>5</v>
      </c>
      <c r="J1893" s="18" t="n"/>
      <c r="K1893" s="18" t="n">
        <v>5</v>
      </c>
      <c r="L1893" s="18" t="inlineStr">
        <is>
          <t>cobbleventure:generation_5</t>
        </is>
      </c>
      <c r="M1893" s="19" t="inlineStr">
        <is>
          <t>cobbleventure:generation_5</t>
        </is>
      </c>
      <c r="N1893" s="18" t="inlineStr">
        <is>
          <t>region_01; region_02</t>
        </is>
      </c>
      <c r="O1893" s="19" t="inlineStr"/>
      <c r="P1893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93" s="19" t="inlineStr"/>
      <c r="R1893" s="18">
        <f>IF(Q1893="",P1893,Q1893)</f>
        <v/>
      </c>
      <c r="S1893" s="18" t="inlineStr"/>
      <c r="T1893" s="18" t="inlineStr">
        <is>
          <t>common</t>
        </is>
      </c>
      <c r="U1893" s="20" t="n">
        <v>10</v>
      </c>
      <c r="V1893" s="21" t="n">
        <v>1</v>
      </c>
      <c r="W1893" s="20">
        <f>IF(OR(U1893="",V1893=""),U1893,U1893*V1893)</f>
        <v/>
      </c>
      <c r="X1893" s="18" t="inlineStr">
        <is>
          <t>21-46</t>
        </is>
      </c>
      <c r="Y1893" s="19" t="inlineStr"/>
      <c r="Z1893" s="18">
        <f>IF(Y1893="",X1893,Y1893)</f>
        <v/>
      </c>
      <c r="AA1893" s="18" t="inlineStr">
        <is>
          <t>fishing</t>
        </is>
      </c>
      <c r="AB1893" s="18" t="inlineStr"/>
      <c r="AC1893" s="18" t="inlineStr"/>
      <c r="AD1893" s="18" t="inlineStr"/>
      <c r="AE1893" s="18" t="inlineStr"/>
      <c r="AF1893" s="18" t="inlineStr">
        <is>
          <t>True</t>
        </is>
      </c>
      <c r="AG1893" s="18" t="inlineStr"/>
      <c r="AH1893" s="18" t="inlineStr"/>
      <c r="AI1893" s="18" t="inlineStr">
        <is>
          <t>{"condition":{"moonPhase":"5,6,7"}}</t>
        </is>
      </c>
      <c r="AJ1893" s="18" t="inlineStr">
        <is>
          <t>Cobblemon 동일</t>
        </is>
      </c>
      <c r="AK1893" s="18" t="inlineStr">
        <is>
          <t>사용</t>
        </is>
      </c>
      <c r="AL1893" s="18" t="inlineStr">
        <is>
          <t>COBBLEVERSE 1.7.42 / DP v31</t>
        </is>
      </c>
      <c r="AM1893" s="18" t="inlineStr">
        <is>
          <t>data/cobblemon/spawn_pool_world/0550_basculin.json</t>
        </is>
      </c>
      <c r="AN1893" s="18" t="inlineStr">
        <is>
          <t>basculin-red-10</t>
        </is>
      </c>
      <c r="AO1893" s="18" t="inlineStr">
        <is>
          <t>pokemon</t>
        </is>
      </c>
      <c r="AP1893" s="18" t="inlineStr"/>
      <c r="AQ1893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{"biomes":["#cobblemon:is_arid","#cobblemon:is_forest","#cobblemon:is_freshwater","#cobblemon:is_grassland","#cobblemon:is_jungle","#cobblemon:is_mountain","#cobblemon:is_snowy_forest","#cobblemon:is_taiga","#cobblemon:is_tundra"],"canSeeSky":true,"moonPhase":"5,6,7"}</t>
        </is>
      </c>
      <c r="AR1893" s="18" t="inlineStr"/>
      <c r="AS1893" s="18" t="inlineStr"/>
      <c r="AT1893" s="19" t="inlineStr"/>
    </row>
    <row r="1894" ht="32" customHeight="1">
      <c r="A1894" s="18" t="inlineStr">
        <is>
          <t>0550_basculin.json::basculin-red-11::011</t>
        </is>
      </c>
      <c r="B1894" s="19" t="inlineStr">
        <is>
          <t>사용</t>
        </is>
      </c>
      <c r="C1894" s="18">
        <f>IF(OR(B1894&lt;&gt;AK1894,M1894&lt;&gt;L1894,O1894&lt;&gt;"",Q1894&lt;&gt;"",V1894&lt;&gt;1,Y1894&lt;&gt;"",AT1894&lt;&gt;""),"수정","원본")</f>
        <v/>
      </c>
      <c r="D1894" s="18" t="n">
        <v>550</v>
      </c>
      <c r="E1894" s="18" t="inlineStr">
        <is>
          <t>배쓰나이</t>
        </is>
      </c>
      <c r="F1894" s="18" t="inlineStr">
        <is>
          <t>basculin</t>
        </is>
      </c>
      <c r="G1894" s="18" t="inlineStr">
        <is>
          <t>basculin striped=red</t>
        </is>
      </c>
      <c r="H1894" s="18" t="inlineStr">
        <is>
          <t>striped=red</t>
        </is>
      </c>
      <c r="I1894" s="18" t="n">
        <v>5</v>
      </c>
      <c r="J1894" s="18" t="n"/>
      <c r="K1894" s="18" t="n">
        <v>5</v>
      </c>
      <c r="L1894" s="18" t="inlineStr">
        <is>
          <t>cobbleventure:generation_5</t>
        </is>
      </c>
      <c r="M1894" s="19" t="inlineStr">
        <is>
          <t>cobbleventure:generation_5</t>
        </is>
      </c>
      <c r="N1894" s="18" t="inlineStr">
        <is>
          <t>region_01; region_02</t>
        </is>
      </c>
      <c r="O1894" s="19" t="inlineStr"/>
      <c r="P1894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94" s="19" t="inlineStr"/>
      <c r="R1894" s="18">
        <f>IF(Q1894="",P1894,Q1894)</f>
        <v/>
      </c>
      <c r="S1894" s="18" t="inlineStr"/>
      <c r="T1894" s="18" t="inlineStr">
        <is>
          <t>common</t>
        </is>
      </c>
      <c r="U1894" s="20" t="n">
        <v>2</v>
      </c>
      <c r="V1894" s="21" t="n">
        <v>1</v>
      </c>
      <c r="W1894" s="20">
        <f>IF(OR(U1894="",V1894=""),U1894,U1894*V1894)</f>
        <v/>
      </c>
      <c r="X1894" s="18" t="inlineStr">
        <is>
          <t>21-46</t>
        </is>
      </c>
      <c r="Y1894" s="19" t="inlineStr"/>
      <c r="Z1894" s="18">
        <f>IF(Y1894="",X1894,Y1894)</f>
        <v/>
      </c>
      <c r="AA1894" s="18" t="inlineStr">
        <is>
          <t>fishing</t>
        </is>
      </c>
      <c r="AB1894" s="18" t="inlineStr"/>
      <c r="AC1894" s="18" t="inlineStr"/>
      <c r="AD1894" s="18" t="inlineStr"/>
      <c r="AE1894" s="18" t="inlineStr"/>
      <c r="AF1894" s="18" t="inlineStr">
        <is>
          <t>True</t>
        </is>
      </c>
      <c r="AG1894" s="18" t="inlineStr"/>
      <c r="AH1894" s="18" t="inlineStr"/>
      <c r="AI1894" s="18" t="inlineStr">
        <is>
          <t>{"condition":{"moonPhase":"1,2,3"}}</t>
        </is>
      </c>
      <c r="AJ1894" s="18" t="inlineStr">
        <is>
          <t>Cobblemon 동일</t>
        </is>
      </c>
      <c r="AK1894" s="18" t="inlineStr">
        <is>
          <t>사용</t>
        </is>
      </c>
      <c r="AL1894" s="18" t="inlineStr">
        <is>
          <t>COBBLEVERSE 1.7.42 / DP v31</t>
        </is>
      </c>
      <c r="AM1894" s="18" t="inlineStr">
        <is>
          <t>data/cobblemon/spawn_pool_world/0550_basculin.json</t>
        </is>
      </c>
      <c r="AN1894" s="18" t="inlineStr">
        <is>
          <t>basculin-red-11</t>
        </is>
      </c>
      <c r="AO1894" s="18" t="inlineStr">
        <is>
          <t>pokemon</t>
        </is>
      </c>
      <c r="AP1894" s="18" t="inlineStr"/>
      <c r="AQ1894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{"biomes":["#cobblemon:is_arid","#cobblemon:is_forest","#cobblemon:is_freshwater","#cobblemon:is_grassland","#cobblemon:is_jungle","#cobblemon:is_mountain","#cobblemon:is_snowy_forest","#cobblemon:is_taiga","#cobblemon:is_tundra"],"canSeeSky":true,"moonPhase":"1,2,3"}</t>
        </is>
      </c>
      <c r="AR1894" s="18" t="inlineStr"/>
      <c r="AS1894" s="18" t="inlineStr"/>
      <c r="AT1894" s="19" t="inlineStr"/>
    </row>
    <row r="1895" ht="32" customHeight="1">
      <c r="A1895" s="18" t="inlineStr">
        <is>
          <t>0550_basculin.json::basculin-red-12::012</t>
        </is>
      </c>
      <c r="B1895" s="19" t="inlineStr">
        <is>
          <t>사용</t>
        </is>
      </c>
      <c r="C1895" s="18">
        <f>IF(OR(B1895&lt;&gt;AK1895,M1895&lt;&gt;L1895,O1895&lt;&gt;"",Q1895&lt;&gt;"",V1895&lt;&gt;1,Y1895&lt;&gt;"",AT1895&lt;&gt;""),"수정","원본")</f>
        <v/>
      </c>
      <c r="D1895" s="18" t="n">
        <v>550</v>
      </c>
      <c r="E1895" s="18" t="inlineStr">
        <is>
          <t>배쓰나이</t>
        </is>
      </c>
      <c r="F1895" s="18" t="inlineStr">
        <is>
          <t>basculin</t>
        </is>
      </c>
      <c r="G1895" s="18" t="inlineStr">
        <is>
          <t>basculin striped=red</t>
        </is>
      </c>
      <c r="H1895" s="18" t="inlineStr">
        <is>
          <t>striped=red</t>
        </is>
      </c>
      <c r="I1895" s="18" t="n">
        <v>5</v>
      </c>
      <c r="J1895" s="18" t="n"/>
      <c r="K1895" s="18" t="n">
        <v>5</v>
      </c>
      <c r="L1895" s="18" t="inlineStr">
        <is>
          <t>cobbleventure:generation_5</t>
        </is>
      </c>
      <c r="M1895" s="19" t="inlineStr">
        <is>
          <t>cobbleventure:generation_5</t>
        </is>
      </c>
      <c r="N1895" s="18" t="inlineStr">
        <is>
          <t>region_01; region_02</t>
        </is>
      </c>
      <c r="O1895" s="19" t="inlineStr"/>
      <c r="P1895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95" s="19" t="inlineStr"/>
      <c r="R1895" s="18">
        <f>IF(Q1895="",P1895,Q1895)</f>
        <v/>
      </c>
      <c r="S1895" s="18" t="inlineStr"/>
      <c r="T1895" s="18" t="inlineStr">
        <is>
          <t>common</t>
        </is>
      </c>
      <c r="U1895" s="20" t="n">
        <v>5</v>
      </c>
      <c r="V1895" s="21" t="n">
        <v>1</v>
      </c>
      <c r="W1895" s="20">
        <f>IF(OR(U1895="",V1895=""),U1895,U1895*V1895)</f>
        <v/>
      </c>
      <c r="X1895" s="18" t="inlineStr">
        <is>
          <t>21-46</t>
        </is>
      </c>
      <c r="Y1895" s="19" t="inlineStr"/>
      <c r="Z1895" s="18">
        <f>IF(Y1895="",X1895,Y1895)</f>
        <v/>
      </c>
      <c r="AA1895" s="18" t="inlineStr">
        <is>
          <t>fishing</t>
        </is>
      </c>
      <c r="AB1895" s="18" t="inlineStr"/>
      <c r="AC1895" s="18" t="inlineStr"/>
      <c r="AD1895" s="18" t="inlineStr"/>
      <c r="AE1895" s="18" t="inlineStr"/>
      <c r="AF1895" s="18" t="inlineStr">
        <is>
          <t>True</t>
        </is>
      </c>
      <c r="AG1895" s="18" t="inlineStr"/>
      <c r="AH1895" s="18" t="inlineStr"/>
      <c r="AI1895" s="18" t="inlineStr">
        <is>
          <t>{"condition":{"moonPhase":"0,4"}}</t>
        </is>
      </c>
      <c r="AJ1895" s="18" t="inlineStr">
        <is>
          <t>Cobblemon 동일</t>
        </is>
      </c>
      <c r="AK1895" s="18" t="inlineStr">
        <is>
          <t>사용</t>
        </is>
      </c>
      <c r="AL1895" s="18" t="inlineStr">
        <is>
          <t>COBBLEVERSE 1.7.42 / DP v31</t>
        </is>
      </c>
      <c r="AM1895" s="18" t="inlineStr">
        <is>
          <t>data/cobblemon/spawn_pool_world/0550_basculin.json</t>
        </is>
      </c>
      <c r="AN1895" s="18" t="inlineStr">
        <is>
          <t>basculin-red-12</t>
        </is>
      </c>
      <c r="AO1895" s="18" t="inlineStr">
        <is>
          <t>pokemon</t>
        </is>
      </c>
      <c r="AP1895" s="18" t="inlineStr"/>
      <c r="AQ1895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{"biomes":["#cobblemon:is_arid","#cobblemon:is_forest","#cobblemon:is_freshwater","#cobblemon:is_grassland","#cobblemon:is_jungle","#cobblemon:is_mountain","#cobblemon:is_snowy_forest","#cobblemon:is_taiga","#cobblemon:is_tundra"],"canSeeSky":true,"moonPhase":"0,4"}</t>
        </is>
      </c>
      <c r="AR1895" s="18" t="inlineStr"/>
      <c r="AS1895" s="18" t="inlineStr"/>
      <c r="AT1895" s="19" t="inlineStr"/>
    </row>
    <row r="1896" ht="32" customHeight="1">
      <c r="A1896" s="18" t="inlineStr">
        <is>
          <t>0550_basculin.json::basculin-blue-15::013</t>
        </is>
      </c>
      <c r="B1896" s="19" t="inlineStr">
        <is>
          <t>사용</t>
        </is>
      </c>
      <c r="C1896" s="18">
        <f>IF(OR(B1896&lt;&gt;AK1896,M1896&lt;&gt;L1896,O1896&lt;&gt;"",Q1896&lt;&gt;"",V1896&lt;&gt;1,Y1896&lt;&gt;"",AT1896&lt;&gt;""),"수정","원본")</f>
        <v/>
      </c>
      <c r="D1896" s="18" t="n">
        <v>550</v>
      </c>
      <c r="E1896" s="18" t="inlineStr">
        <is>
          <t>배쓰나이</t>
        </is>
      </c>
      <c r="F1896" s="18" t="inlineStr">
        <is>
          <t>basculin</t>
        </is>
      </c>
      <c r="G1896" s="18" t="inlineStr">
        <is>
          <t>basculin striped=blue</t>
        </is>
      </c>
      <c r="H1896" s="18" t="inlineStr">
        <is>
          <t>striped=blue</t>
        </is>
      </c>
      <c r="I1896" s="18" t="n">
        <v>5</v>
      </c>
      <c r="J1896" s="18" t="n"/>
      <c r="K1896" s="18" t="n">
        <v>5</v>
      </c>
      <c r="L1896" s="18" t="inlineStr">
        <is>
          <t>cobbleventure:generation_5</t>
        </is>
      </c>
      <c r="M1896" s="19" t="inlineStr">
        <is>
          <t>cobbleventure:generation_5</t>
        </is>
      </c>
      <c r="N1896" s="18" t="inlineStr">
        <is>
          <t>region_02</t>
        </is>
      </c>
      <c r="O1896" s="19" t="inlineStr"/>
      <c r="P1896" s="18" t="inlineStr">
        <is>
          <t>#cobblemon:is_freshwater</t>
        </is>
      </c>
      <c r="Q1896" s="19" t="inlineStr"/>
      <c r="R1896" s="18">
        <f>IF(Q1896="",P1896,Q1896)</f>
        <v/>
      </c>
      <c r="S1896" s="18" t="inlineStr"/>
      <c r="T1896" s="18" t="inlineStr">
        <is>
          <t>common</t>
        </is>
      </c>
      <c r="U1896" s="20" t="n">
        <v>10</v>
      </c>
      <c r="V1896" s="21" t="n">
        <v>1</v>
      </c>
      <c r="W1896" s="20">
        <f>IF(OR(U1896="",V1896=""),U1896,U1896*V1896)</f>
        <v/>
      </c>
      <c r="X1896" s="18" t="inlineStr">
        <is>
          <t>21-46</t>
        </is>
      </c>
      <c r="Y1896" s="19" t="inlineStr"/>
      <c r="Z1896" s="18">
        <f>IF(Y1896="",X1896,Y1896)</f>
        <v/>
      </c>
      <c r="AA1896" s="18" t="inlineStr">
        <is>
          <t>submerged</t>
        </is>
      </c>
      <c r="AB1896" s="18" t="inlineStr"/>
      <c r="AC1896" s="18" t="inlineStr"/>
      <c r="AD1896" s="18" t="inlineStr"/>
      <c r="AE1896" s="18" t="inlineStr">
        <is>
          <t>sky 8-15</t>
        </is>
      </c>
      <c r="AF1896" s="18" t="inlineStr">
        <is>
          <t>False</t>
        </is>
      </c>
      <c r="AG1896" s="18" t="inlineStr"/>
      <c r="AH1896" s="18" t="inlineStr"/>
      <c r="AI1896" s="18" t="inlineStr">
        <is>
          <t>{"condition":{"moonPhase":"1,2,3"}}</t>
        </is>
      </c>
      <c r="AJ1896" s="18" t="inlineStr">
        <is>
          <t>Cobblemon 동일</t>
        </is>
      </c>
      <c r="AK1896" s="18" t="inlineStr">
        <is>
          <t>사용</t>
        </is>
      </c>
      <c r="AL1896" s="18" t="inlineStr">
        <is>
          <t>COBBLEVERSE 1.7.42 / DP v31</t>
        </is>
      </c>
      <c r="AM1896" s="18" t="inlineStr">
        <is>
          <t>data/cobblemon/spawn_pool_world/0550_basculin.json</t>
        </is>
      </c>
      <c r="AN1896" s="18" t="inlineStr">
        <is>
          <t>basculin-blue-15</t>
        </is>
      </c>
      <c r="AO1896" s="18" t="inlineStr">
        <is>
          <t>pokemon</t>
        </is>
      </c>
      <c r="AP1896" s="18" t="inlineStr">
        <is>
          <t>water</t>
        </is>
      </c>
      <c r="AQ1896" s="18" t="inlineStr">
        <is>
          <t>{"biomes":["#cobblemon:is_freshwater"],"canSeeSky":false,"maxSkyLight":15,"minSkyLight":8,"moonPhase":"1,2,3"}</t>
        </is>
      </c>
      <c r="AR1896" s="18" t="inlineStr"/>
      <c r="AS1896" s="18" t="inlineStr"/>
      <c r="AT1896" s="19" t="inlineStr"/>
    </row>
    <row r="1897" ht="32" customHeight="1">
      <c r="A1897" s="18" t="inlineStr">
        <is>
          <t>0550_basculin.json::basculin-blue-16::014</t>
        </is>
      </c>
      <c r="B1897" s="19" t="inlineStr">
        <is>
          <t>사용</t>
        </is>
      </c>
      <c r="C1897" s="18">
        <f>IF(OR(B1897&lt;&gt;AK1897,M1897&lt;&gt;L1897,O1897&lt;&gt;"",Q1897&lt;&gt;"",V1897&lt;&gt;1,Y1897&lt;&gt;"",AT1897&lt;&gt;""),"수정","원본")</f>
        <v/>
      </c>
      <c r="D1897" s="18" t="n">
        <v>550</v>
      </c>
      <c r="E1897" s="18" t="inlineStr">
        <is>
          <t>배쓰나이</t>
        </is>
      </c>
      <c r="F1897" s="18" t="inlineStr">
        <is>
          <t>basculin</t>
        </is>
      </c>
      <c r="G1897" s="18" t="inlineStr">
        <is>
          <t>basculin striped=blue</t>
        </is>
      </c>
      <c r="H1897" s="18" t="inlineStr">
        <is>
          <t>striped=blue</t>
        </is>
      </c>
      <c r="I1897" s="18" t="n">
        <v>5</v>
      </c>
      <c r="J1897" s="18" t="n"/>
      <c r="K1897" s="18" t="n">
        <v>5</v>
      </c>
      <c r="L1897" s="18" t="inlineStr">
        <is>
          <t>cobbleventure:generation_5</t>
        </is>
      </c>
      <c r="M1897" s="19" t="inlineStr">
        <is>
          <t>cobbleventure:generation_5</t>
        </is>
      </c>
      <c r="N1897" s="18" t="inlineStr">
        <is>
          <t>region_02</t>
        </is>
      </c>
      <c r="O1897" s="19" t="inlineStr"/>
      <c r="P1897" s="18" t="inlineStr">
        <is>
          <t>#cobblemon:is_freshwater</t>
        </is>
      </c>
      <c r="Q1897" s="19" t="inlineStr"/>
      <c r="R1897" s="18">
        <f>IF(Q1897="",P1897,Q1897)</f>
        <v/>
      </c>
      <c r="S1897" s="18" t="inlineStr"/>
      <c r="T1897" s="18" t="inlineStr">
        <is>
          <t>common</t>
        </is>
      </c>
      <c r="U1897" s="20" t="n">
        <v>2</v>
      </c>
      <c r="V1897" s="21" t="n">
        <v>1</v>
      </c>
      <c r="W1897" s="20">
        <f>IF(OR(U1897="",V1897=""),U1897,U1897*V1897)</f>
        <v/>
      </c>
      <c r="X1897" s="18" t="inlineStr">
        <is>
          <t>21-46</t>
        </is>
      </c>
      <c r="Y1897" s="19" t="inlineStr"/>
      <c r="Z1897" s="18">
        <f>IF(Y1897="",X1897,Y1897)</f>
        <v/>
      </c>
      <c r="AA1897" s="18" t="inlineStr">
        <is>
          <t>submerged</t>
        </is>
      </c>
      <c r="AB1897" s="18" t="inlineStr"/>
      <c r="AC1897" s="18" t="inlineStr"/>
      <c r="AD1897" s="18" t="inlineStr"/>
      <c r="AE1897" s="18" t="inlineStr">
        <is>
          <t>sky 8-15</t>
        </is>
      </c>
      <c r="AF1897" s="18" t="inlineStr">
        <is>
          <t>False</t>
        </is>
      </c>
      <c r="AG1897" s="18" t="inlineStr"/>
      <c r="AH1897" s="18" t="inlineStr"/>
      <c r="AI1897" s="18" t="inlineStr">
        <is>
          <t>{"condition":{"moonPhase":"5,6,7"}}</t>
        </is>
      </c>
      <c r="AJ1897" s="18" t="inlineStr">
        <is>
          <t>Cobblemon 동일</t>
        </is>
      </c>
      <c r="AK1897" s="18" t="inlineStr">
        <is>
          <t>사용</t>
        </is>
      </c>
      <c r="AL1897" s="18" t="inlineStr">
        <is>
          <t>COBBLEVERSE 1.7.42 / DP v31</t>
        </is>
      </c>
      <c r="AM1897" s="18" t="inlineStr">
        <is>
          <t>data/cobblemon/spawn_pool_world/0550_basculin.json</t>
        </is>
      </c>
      <c r="AN1897" s="18" t="inlineStr">
        <is>
          <t>basculin-blue-16</t>
        </is>
      </c>
      <c r="AO1897" s="18" t="inlineStr">
        <is>
          <t>pokemon</t>
        </is>
      </c>
      <c r="AP1897" s="18" t="inlineStr">
        <is>
          <t>water</t>
        </is>
      </c>
      <c r="AQ1897" s="18" t="inlineStr">
        <is>
          <t>{"biomes":["#cobblemon:is_freshwater"],"canSeeSky":false,"maxSkyLight":15,"minSkyLight":8,"moonPhase":"5,6,7"}</t>
        </is>
      </c>
      <c r="AR1897" s="18" t="inlineStr"/>
      <c r="AS1897" s="18" t="inlineStr"/>
      <c r="AT1897" s="19" t="inlineStr"/>
    </row>
    <row r="1898" ht="32" customHeight="1">
      <c r="A1898" s="18" t="inlineStr">
        <is>
          <t>0550_basculin.json::basculin-blue-17::015</t>
        </is>
      </c>
      <c r="B1898" s="19" t="inlineStr">
        <is>
          <t>사용</t>
        </is>
      </c>
      <c r="C1898" s="18">
        <f>IF(OR(B1898&lt;&gt;AK1898,M1898&lt;&gt;L1898,O1898&lt;&gt;"",Q1898&lt;&gt;"",V1898&lt;&gt;1,Y1898&lt;&gt;"",AT1898&lt;&gt;""),"수정","원본")</f>
        <v/>
      </c>
      <c r="D1898" s="18" t="n">
        <v>550</v>
      </c>
      <c r="E1898" s="18" t="inlineStr">
        <is>
          <t>배쓰나이</t>
        </is>
      </c>
      <c r="F1898" s="18" t="inlineStr">
        <is>
          <t>basculin</t>
        </is>
      </c>
      <c r="G1898" s="18" t="inlineStr">
        <is>
          <t>basculin striped=blue</t>
        </is>
      </c>
      <c r="H1898" s="18" t="inlineStr">
        <is>
          <t>striped=blue</t>
        </is>
      </c>
      <c r="I1898" s="18" t="n">
        <v>5</v>
      </c>
      <c r="J1898" s="18" t="n"/>
      <c r="K1898" s="18" t="n">
        <v>5</v>
      </c>
      <c r="L1898" s="18" t="inlineStr">
        <is>
          <t>cobbleventure:generation_5</t>
        </is>
      </c>
      <c r="M1898" s="19" t="inlineStr">
        <is>
          <t>cobbleventure:generation_5</t>
        </is>
      </c>
      <c r="N1898" s="18" t="inlineStr">
        <is>
          <t>region_02</t>
        </is>
      </c>
      <c r="O1898" s="19" t="inlineStr"/>
      <c r="P1898" s="18" t="inlineStr">
        <is>
          <t>#cobblemon:is_freshwater</t>
        </is>
      </c>
      <c r="Q1898" s="19" t="inlineStr"/>
      <c r="R1898" s="18">
        <f>IF(Q1898="",P1898,Q1898)</f>
        <v/>
      </c>
      <c r="S1898" s="18" t="inlineStr"/>
      <c r="T1898" s="18" t="inlineStr">
        <is>
          <t>common</t>
        </is>
      </c>
      <c r="U1898" s="20" t="n">
        <v>5</v>
      </c>
      <c r="V1898" s="21" t="n">
        <v>1</v>
      </c>
      <c r="W1898" s="20">
        <f>IF(OR(U1898="",V1898=""),U1898,U1898*V1898)</f>
        <v/>
      </c>
      <c r="X1898" s="18" t="inlineStr">
        <is>
          <t>21-46</t>
        </is>
      </c>
      <c r="Y1898" s="19" t="inlineStr"/>
      <c r="Z1898" s="18">
        <f>IF(Y1898="",X1898,Y1898)</f>
        <v/>
      </c>
      <c r="AA1898" s="18" t="inlineStr">
        <is>
          <t>submerged</t>
        </is>
      </c>
      <c r="AB1898" s="18" t="inlineStr"/>
      <c r="AC1898" s="18" t="inlineStr"/>
      <c r="AD1898" s="18" t="inlineStr"/>
      <c r="AE1898" s="18" t="inlineStr">
        <is>
          <t>sky 8-15</t>
        </is>
      </c>
      <c r="AF1898" s="18" t="inlineStr">
        <is>
          <t>False</t>
        </is>
      </c>
      <c r="AG1898" s="18" t="inlineStr"/>
      <c r="AH1898" s="18" t="inlineStr"/>
      <c r="AI1898" s="18" t="inlineStr">
        <is>
          <t>{"condition":{"moonPhase":"0,4"}}</t>
        </is>
      </c>
      <c r="AJ1898" s="18" t="inlineStr">
        <is>
          <t>Cobblemon 동일</t>
        </is>
      </c>
      <c r="AK1898" s="18" t="inlineStr">
        <is>
          <t>사용</t>
        </is>
      </c>
      <c r="AL1898" s="18" t="inlineStr">
        <is>
          <t>COBBLEVERSE 1.7.42 / DP v31</t>
        </is>
      </c>
      <c r="AM1898" s="18" t="inlineStr">
        <is>
          <t>data/cobblemon/spawn_pool_world/0550_basculin.json</t>
        </is>
      </c>
      <c r="AN1898" s="18" t="inlineStr">
        <is>
          <t>basculin-blue-17</t>
        </is>
      </c>
      <c r="AO1898" s="18" t="inlineStr">
        <is>
          <t>pokemon</t>
        </is>
      </c>
      <c r="AP1898" s="18" t="inlineStr">
        <is>
          <t>water</t>
        </is>
      </c>
      <c r="AQ1898" s="18" t="inlineStr">
        <is>
          <t>{"biomes":["#cobblemon:is_freshwater"],"canSeeSky":false,"maxSkyLight":15,"minSkyLight":8,"moonPhase":"0,4"}</t>
        </is>
      </c>
      <c r="AR1898" s="18" t="inlineStr"/>
      <c r="AS1898" s="18" t="inlineStr"/>
      <c r="AT1898" s="19" t="inlineStr"/>
    </row>
    <row r="1899" ht="32" customHeight="1">
      <c r="A1899" s="18" t="inlineStr">
        <is>
          <t>0550_basculin.json::basculin-blue-18::016</t>
        </is>
      </c>
      <c r="B1899" s="19" t="inlineStr">
        <is>
          <t>사용</t>
        </is>
      </c>
      <c r="C1899" s="18">
        <f>IF(OR(B1899&lt;&gt;AK1899,M1899&lt;&gt;L1899,O1899&lt;&gt;"",Q1899&lt;&gt;"",V1899&lt;&gt;1,Y1899&lt;&gt;"",AT1899&lt;&gt;""),"수정","원본")</f>
        <v/>
      </c>
      <c r="D1899" s="18" t="n">
        <v>550</v>
      </c>
      <c r="E1899" s="18" t="inlineStr">
        <is>
          <t>배쓰나이</t>
        </is>
      </c>
      <c r="F1899" s="18" t="inlineStr">
        <is>
          <t>basculin</t>
        </is>
      </c>
      <c r="G1899" s="18" t="inlineStr">
        <is>
          <t>basculin striped=blue</t>
        </is>
      </c>
      <c r="H1899" s="18" t="inlineStr">
        <is>
          <t>striped=blue</t>
        </is>
      </c>
      <c r="I1899" s="18" t="n">
        <v>5</v>
      </c>
      <c r="J1899" s="18" t="n"/>
      <c r="K1899" s="18" t="n">
        <v>5</v>
      </c>
      <c r="L1899" s="18" t="inlineStr">
        <is>
          <t>cobbleventure:generation_5</t>
        </is>
      </c>
      <c r="M1899" s="19" t="inlineStr">
        <is>
          <t>cobbleventure:generation_5</t>
        </is>
      </c>
      <c r="N1899" s="18" t="inlineStr">
        <is>
          <t>region_01; region_02</t>
        </is>
      </c>
      <c r="O1899" s="19" t="inlineStr"/>
      <c r="P1899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899" s="19" t="inlineStr"/>
      <c r="R1899" s="18">
        <f>IF(Q1899="",P1899,Q1899)</f>
        <v/>
      </c>
      <c r="S1899" s="18" t="inlineStr"/>
      <c r="T1899" s="18" t="inlineStr">
        <is>
          <t>common</t>
        </is>
      </c>
      <c r="U1899" s="20" t="n">
        <v>10</v>
      </c>
      <c r="V1899" s="21" t="n">
        <v>1</v>
      </c>
      <c r="W1899" s="20">
        <f>IF(OR(U1899="",V1899=""),U1899,U1899*V1899)</f>
        <v/>
      </c>
      <c r="X1899" s="18" t="inlineStr">
        <is>
          <t>21-46</t>
        </is>
      </c>
      <c r="Y1899" s="19" t="inlineStr"/>
      <c r="Z1899" s="18">
        <f>IF(Y1899="",X1899,Y1899)</f>
        <v/>
      </c>
      <c r="AA1899" s="18" t="inlineStr">
        <is>
          <t>fishing</t>
        </is>
      </c>
      <c r="AB1899" s="18" t="inlineStr"/>
      <c r="AC1899" s="18" t="inlineStr"/>
      <c r="AD1899" s="18" t="inlineStr"/>
      <c r="AE1899" s="18" t="inlineStr">
        <is>
          <t>sky 8-15</t>
        </is>
      </c>
      <c r="AF1899" s="18" t="inlineStr">
        <is>
          <t>False</t>
        </is>
      </c>
      <c r="AG1899" s="18" t="inlineStr"/>
      <c r="AH1899" s="18" t="inlineStr"/>
      <c r="AI1899" s="18" t="inlineStr">
        <is>
          <t>{"condition":{"moonPhase":"1,2,3"}}</t>
        </is>
      </c>
      <c r="AJ1899" s="18" t="inlineStr">
        <is>
          <t>Cobblemon 동일</t>
        </is>
      </c>
      <c r="AK1899" s="18" t="inlineStr">
        <is>
          <t>사용</t>
        </is>
      </c>
      <c r="AL1899" s="18" t="inlineStr">
        <is>
          <t>COBBLEVERSE 1.7.42 / DP v31</t>
        </is>
      </c>
      <c r="AM1899" s="18" t="inlineStr">
        <is>
          <t>data/cobblemon/spawn_pool_world/0550_basculin.json</t>
        </is>
      </c>
      <c r="AN1899" s="18" t="inlineStr">
        <is>
          <t>basculin-blue-18</t>
        </is>
      </c>
      <c r="AO1899" s="18" t="inlineStr">
        <is>
          <t>pokemon</t>
        </is>
      </c>
      <c r="AP1899" s="18" t="inlineStr"/>
      <c r="AQ1899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1,2,3"}</t>
        </is>
      </c>
      <c r="AR1899" s="18" t="inlineStr"/>
      <c r="AS1899" s="18" t="inlineStr"/>
      <c r="AT1899" s="19" t="inlineStr"/>
    </row>
    <row r="1900" ht="32" customHeight="1">
      <c r="A1900" s="18" t="inlineStr">
        <is>
          <t>0550_basculin.json::basculin-blue-19::017</t>
        </is>
      </c>
      <c r="B1900" s="19" t="inlineStr">
        <is>
          <t>사용</t>
        </is>
      </c>
      <c r="C1900" s="18">
        <f>IF(OR(B1900&lt;&gt;AK1900,M1900&lt;&gt;L1900,O1900&lt;&gt;"",Q1900&lt;&gt;"",V1900&lt;&gt;1,Y1900&lt;&gt;"",AT1900&lt;&gt;""),"수정","원본")</f>
        <v/>
      </c>
      <c r="D1900" s="18" t="n">
        <v>550</v>
      </c>
      <c r="E1900" s="18" t="inlineStr">
        <is>
          <t>배쓰나이</t>
        </is>
      </c>
      <c r="F1900" s="18" t="inlineStr">
        <is>
          <t>basculin</t>
        </is>
      </c>
      <c r="G1900" s="18" t="inlineStr">
        <is>
          <t>basculin striped=blue</t>
        </is>
      </c>
      <c r="H1900" s="18" t="inlineStr">
        <is>
          <t>striped=blue</t>
        </is>
      </c>
      <c r="I1900" s="18" t="n">
        <v>5</v>
      </c>
      <c r="J1900" s="18" t="n"/>
      <c r="K1900" s="18" t="n">
        <v>5</v>
      </c>
      <c r="L1900" s="18" t="inlineStr">
        <is>
          <t>cobbleventure:generation_5</t>
        </is>
      </c>
      <c r="M1900" s="19" t="inlineStr">
        <is>
          <t>cobbleventure:generation_5</t>
        </is>
      </c>
      <c r="N1900" s="18" t="inlineStr">
        <is>
          <t>region_01; region_02</t>
        </is>
      </c>
      <c r="O1900" s="19" t="inlineStr"/>
      <c r="P1900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00" s="19" t="inlineStr"/>
      <c r="R1900" s="18">
        <f>IF(Q1900="",P1900,Q1900)</f>
        <v/>
      </c>
      <c r="S1900" s="18" t="inlineStr"/>
      <c r="T1900" s="18" t="inlineStr">
        <is>
          <t>common</t>
        </is>
      </c>
      <c r="U1900" s="20" t="n">
        <v>2</v>
      </c>
      <c r="V1900" s="21" t="n">
        <v>1</v>
      </c>
      <c r="W1900" s="20">
        <f>IF(OR(U1900="",V1900=""),U1900,U1900*V1900)</f>
        <v/>
      </c>
      <c r="X1900" s="18" t="inlineStr">
        <is>
          <t>21-46</t>
        </is>
      </c>
      <c r="Y1900" s="19" t="inlineStr"/>
      <c r="Z1900" s="18">
        <f>IF(Y1900="",X1900,Y1900)</f>
        <v/>
      </c>
      <c r="AA1900" s="18" t="inlineStr">
        <is>
          <t>fishing</t>
        </is>
      </c>
      <c r="AB1900" s="18" t="inlineStr"/>
      <c r="AC1900" s="18" t="inlineStr"/>
      <c r="AD1900" s="18" t="inlineStr"/>
      <c r="AE1900" s="18" t="inlineStr">
        <is>
          <t>sky 8-15</t>
        </is>
      </c>
      <c r="AF1900" s="18" t="inlineStr">
        <is>
          <t>False</t>
        </is>
      </c>
      <c r="AG1900" s="18" t="inlineStr"/>
      <c r="AH1900" s="18" t="inlineStr"/>
      <c r="AI1900" s="18" t="inlineStr">
        <is>
          <t>{"condition":{"moonPhase":"5,6,7"}}</t>
        </is>
      </c>
      <c r="AJ1900" s="18" t="inlineStr">
        <is>
          <t>Cobblemon 동일</t>
        </is>
      </c>
      <c r="AK1900" s="18" t="inlineStr">
        <is>
          <t>사용</t>
        </is>
      </c>
      <c r="AL1900" s="18" t="inlineStr">
        <is>
          <t>COBBLEVERSE 1.7.42 / DP v31</t>
        </is>
      </c>
      <c r="AM1900" s="18" t="inlineStr">
        <is>
          <t>data/cobblemon/spawn_pool_world/0550_basculin.json</t>
        </is>
      </c>
      <c r="AN1900" s="18" t="inlineStr">
        <is>
          <t>basculin-blue-19</t>
        </is>
      </c>
      <c r="AO1900" s="18" t="inlineStr">
        <is>
          <t>pokemon</t>
        </is>
      </c>
      <c r="AP1900" s="18" t="inlineStr"/>
      <c r="AQ1900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5,6,7"}</t>
        </is>
      </c>
      <c r="AR1900" s="18" t="inlineStr"/>
      <c r="AS1900" s="18" t="inlineStr"/>
      <c r="AT1900" s="19" t="inlineStr"/>
    </row>
    <row r="1901" ht="32" customHeight="1">
      <c r="A1901" s="18" t="inlineStr">
        <is>
          <t>0550_basculin.json::basculin-blue-20::018</t>
        </is>
      </c>
      <c r="B1901" s="19" t="inlineStr">
        <is>
          <t>사용</t>
        </is>
      </c>
      <c r="C1901" s="18">
        <f>IF(OR(B1901&lt;&gt;AK1901,M1901&lt;&gt;L1901,O1901&lt;&gt;"",Q1901&lt;&gt;"",V1901&lt;&gt;1,Y1901&lt;&gt;"",AT1901&lt;&gt;""),"수정","원본")</f>
        <v/>
      </c>
      <c r="D1901" s="18" t="n">
        <v>550</v>
      </c>
      <c r="E1901" s="18" t="inlineStr">
        <is>
          <t>배쓰나이</t>
        </is>
      </c>
      <c r="F1901" s="18" t="inlineStr">
        <is>
          <t>basculin</t>
        </is>
      </c>
      <c r="G1901" s="18" t="inlineStr">
        <is>
          <t>basculin striped=blue</t>
        </is>
      </c>
      <c r="H1901" s="18" t="inlineStr">
        <is>
          <t>striped=blue</t>
        </is>
      </c>
      <c r="I1901" s="18" t="n">
        <v>5</v>
      </c>
      <c r="J1901" s="18" t="n"/>
      <c r="K1901" s="18" t="n">
        <v>5</v>
      </c>
      <c r="L1901" s="18" t="inlineStr">
        <is>
          <t>cobbleventure:generation_5</t>
        </is>
      </c>
      <c r="M1901" s="19" t="inlineStr">
        <is>
          <t>cobbleventure:generation_5</t>
        </is>
      </c>
      <c r="N1901" s="18" t="inlineStr">
        <is>
          <t>region_01; region_02</t>
        </is>
      </c>
      <c r="O1901" s="19" t="inlineStr"/>
      <c r="P1901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01" s="19" t="inlineStr"/>
      <c r="R1901" s="18">
        <f>IF(Q1901="",P1901,Q1901)</f>
        <v/>
      </c>
      <c r="S1901" s="18" t="inlineStr"/>
      <c r="T1901" s="18" t="inlineStr">
        <is>
          <t>common</t>
        </is>
      </c>
      <c r="U1901" s="20" t="n">
        <v>5</v>
      </c>
      <c r="V1901" s="21" t="n">
        <v>1</v>
      </c>
      <c r="W1901" s="20">
        <f>IF(OR(U1901="",V1901=""),U1901,U1901*V1901)</f>
        <v/>
      </c>
      <c r="X1901" s="18" t="inlineStr">
        <is>
          <t>21-46</t>
        </is>
      </c>
      <c r="Y1901" s="19" t="inlineStr"/>
      <c r="Z1901" s="18">
        <f>IF(Y1901="",X1901,Y1901)</f>
        <v/>
      </c>
      <c r="AA1901" s="18" t="inlineStr">
        <is>
          <t>fishing</t>
        </is>
      </c>
      <c r="AB1901" s="18" t="inlineStr"/>
      <c r="AC1901" s="18" t="inlineStr"/>
      <c r="AD1901" s="18" t="inlineStr"/>
      <c r="AE1901" s="18" t="inlineStr">
        <is>
          <t>sky 8-15</t>
        </is>
      </c>
      <c r="AF1901" s="18" t="inlineStr">
        <is>
          <t>False</t>
        </is>
      </c>
      <c r="AG1901" s="18" t="inlineStr"/>
      <c r="AH1901" s="18" t="inlineStr"/>
      <c r="AI1901" s="18" t="inlineStr">
        <is>
          <t>{"condition":{"moonPhase":"0,4"}}</t>
        </is>
      </c>
      <c r="AJ1901" s="18" t="inlineStr">
        <is>
          <t>Cobblemon 동일</t>
        </is>
      </c>
      <c r="AK1901" s="18" t="inlineStr">
        <is>
          <t>사용</t>
        </is>
      </c>
      <c r="AL1901" s="18" t="inlineStr">
        <is>
          <t>COBBLEVERSE 1.7.42 / DP v31</t>
        </is>
      </c>
      <c r="AM1901" s="18" t="inlineStr">
        <is>
          <t>data/cobblemon/spawn_pool_world/0550_basculin.json</t>
        </is>
      </c>
      <c r="AN1901" s="18" t="inlineStr">
        <is>
          <t>basculin-blue-20</t>
        </is>
      </c>
      <c r="AO1901" s="18" t="inlineStr">
        <is>
          <t>pokemon</t>
        </is>
      </c>
      <c r="AP1901" s="18" t="inlineStr"/>
      <c r="AQ1901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0,4"}</t>
        </is>
      </c>
      <c r="AR1901" s="18" t="inlineStr"/>
      <c r="AS1901" s="18" t="inlineStr"/>
      <c r="AT1901" s="19" t="inlineStr"/>
    </row>
    <row r="1902" ht="32" customHeight="1">
      <c r="A1902" s="18" t="inlineStr">
        <is>
          <t>0550_basculin.json::basculin-red-21::019</t>
        </is>
      </c>
      <c r="B1902" s="19" t="inlineStr">
        <is>
          <t>사용</t>
        </is>
      </c>
      <c r="C1902" s="18">
        <f>IF(OR(B1902&lt;&gt;AK1902,M1902&lt;&gt;L1902,O1902&lt;&gt;"",Q1902&lt;&gt;"",V1902&lt;&gt;1,Y1902&lt;&gt;"",AT1902&lt;&gt;""),"수정","원본")</f>
        <v/>
      </c>
      <c r="D1902" s="18" t="n">
        <v>550</v>
      </c>
      <c r="E1902" s="18" t="inlineStr">
        <is>
          <t>배쓰나이</t>
        </is>
      </c>
      <c r="F1902" s="18" t="inlineStr">
        <is>
          <t>basculin</t>
        </is>
      </c>
      <c r="G1902" s="18" t="inlineStr">
        <is>
          <t>basculin striped=red</t>
        </is>
      </c>
      <c r="H1902" s="18" t="inlineStr">
        <is>
          <t>striped=red</t>
        </is>
      </c>
      <c r="I1902" s="18" t="n">
        <v>5</v>
      </c>
      <c r="J1902" s="18" t="n"/>
      <c r="K1902" s="18" t="n">
        <v>5</v>
      </c>
      <c r="L1902" s="18" t="inlineStr">
        <is>
          <t>cobbleventure:generation_5</t>
        </is>
      </c>
      <c r="M1902" s="19" t="inlineStr">
        <is>
          <t>cobbleventure:generation_5</t>
        </is>
      </c>
      <c r="N1902" s="18" t="inlineStr">
        <is>
          <t>region_02</t>
        </is>
      </c>
      <c r="O1902" s="19" t="inlineStr"/>
      <c r="P1902" s="18" t="inlineStr">
        <is>
          <t>#cobblemon:is_freshwater</t>
        </is>
      </c>
      <c r="Q1902" s="19" t="inlineStr"/>
      <c r="R1902" s="18">
        <f>IF(Q1902="",P1902,Q1902)</f>
        <v/>
      </c>
      <c r="S1902" s="18" t="inlineStr"/>
      <c r="T1902" s="18" t="inlineStr">
        <is>
          <t>common</t>
        </is>
      </c>
      <c r="U1902" s="20" t="n">
        <v>10</v>
      </c>
      <c r="V1902" s="21" t="n">
        <v>1</v>
      </c>
      <c r="W1902" s="20">
        <f>IF(OR(U1902="",V1902=""),U1902,U1902*V1902)</f>
        <v/>
      </c>
      <c r="X1902" s="18" t="inlineStr">
        <is>
          <t>21-46</t>
        </is>
      </c>
      <c r="Y1902" s="19" t="inlineStr"/>
      <c r="Z1902" s="18">
        <f>IF(Y1902="",X1902,Y1902)</f>
        <v/>
      </c>
      <c r="AA1902" s="18" t="inlineStr">
        <is>
          <t>submerged</t>
        </is>
      </c>
      <c r="AB1902" s="18" t="inlineStr"/>
      <c r="AC1902" s="18" t="inlineStr"/>
      <c r="AD1902" s="18" t="inlineStr"/>
      <c r="AE1902" s="18" t="inlineStr">
        <is>
          <t>sky 8-15</t>
        </is>
      </c>
      <c r="AF1902" s="18" t="inlineStr">
        <is>
          <t>False</t>
        </is>
      </c>
      <c r="AG1902" s="18" t="inlineStr"/>
      <c r="AH1902" s="18" t="inlineStr"/>
      <c r="AI1902" s="18" t="inlineStr">
        <is>
          <t>{"condition":{"moonPhase":"5,6,7"}}</t>
        </is>
      </c>
      <c r="AJ1902" s="18" t="inlineStr">
        <is>
          <t>Cobblemon 동일</t>
        </is>
      </c>
      <c r="AK1902" s="18" t="inlineStr">
        <is>
          <t>사용</t>
        </is>
      </c>
      <c r="AL1902" s="18" t="inlineStr">
        <is>
          <t>COBBLEVERSE 1.7.42 / DP v31</t>
        </is>
      </c>
      <c r="AM1902" s="18" t="inlineStr">
        <is>
          <t>data/cobblemon/spawn_pool_world/0550_basculin.json</t>
        </is>
      </c>
      <c r="AN1902" s="18" t="inlineStr">
        <is>
          <t>basculin-red-21</t>
        </is>
      </c>
      <c r="AO1902" s="18" t="inlineStr">
        <is>
          <t>pokemon</t>
        </is>
      </c>
      <c r="AP1902" s="18" t="inlineStr">
        <is>
          <t>water</t>
        </is>
      </c>
      <c r="AQ1902" s="18" t="inlineStr">
        <is>
          <t>{"biomes":["#cobblemon:is_freshwater"],"canSeeSky":false,"maxSkyLight":15,"minSkyLight":8,"moonPhase":"5,6,7"}</t>
        </is>
      </c>
      <c r="AR1902" s="18" t="inlineStr"/>
      <c r="AS1902" s="18" t="inlineStr"/>
      <c r="AT1902" s="19" t="inlineStr"/>
    </row>
    <row r="1903" ht="32" customHeight="1">
      <c r="A1903" s="18" t="inlineStr">
        <is>
          <t>0550_basculin.json::basculin-red-22::020</t>
        </is>
      </c>
      <c r="B1903" s="19" t="inlineStr">
        <is>
          <t>사용</t>
        </is>
      </c>
      <c r="C1903" s="18">
        <f>IF(OR(B1903&lt;&gt;AK1903,M1903&lt;&gt;L1903,O1903&lt;&gt;"",Q1903&lt;&gt;"",V1903&lt;&gt;1,Y1903&lt;&gt;"",AT1903&lt;&gt;""),"수정","원본")</f>
        <v/>
      </c>
      <c r="D1903" s="18" t="n">
        <v>550</v>
      </c>
      <c r="E1903" s="18" t="inlineStr">
        <is>
          <t>배쓰나이</t>
        </is>
      </c>
      <c r="F1903" s="18" t="inlineStr">
        <is>
          <t>basculin</t>
        </is>
      </c>
      <c r="G1903" s="18" t="inlineStr">
        <is>
          <t>basculin striped=red</t>
        </is>
      </c>
      <c r="H1903" s="18" t="inlineStr">
        <is>
          <t>striped=red</t>
        </is>
      </c>
      <c r="I1903" s="18" t="n">
        <v>5</v>
      </c>
      <c r="J1903" s="18" t="n"/>
      <c r="K1903" s="18" t="n">
        <v>5</v>
      </c>
      <c r="L1903" s="18" t="inlineStr">
        <is>
          <t>cobbleventure:generation_5</t>
        </is>
      </c>
      <c r="M1903" s="19" t="inlineStr">
        <is>
          <t>cobbleventure:generation_5</t>
        </is>
      </c>
      <c r="N1903" s="18" t="inlineStr">
        <is>
          <t>region_02</t>
        </is>
      </c>
      <c r="O1903" s="19" t="inlineStr"/>
      <c r="P1903" s="18" t="inlineStr">
        <is>
          <t>#cobblemon:is_freshwater</t>
        </is>
      </c>
      <c r="Q1903" s="19" t="inlineStr"/>
      <c r="R1903" s="18">
        <f>IF(Q1903="",P1903,Q1903)</f>
        <v/>
      </c>
      <c r="S1903" s="18" t="inlineStr"/>
      <c r="T1903" s="18" t="inlineStr">
        <is>
          <t>common</t>
        </is>
      </c>
      <c r="U1903" s="20" t="n">
        <v>2</v>
      </c>
      <c r="V1903" s="21" t="n">
        <v>1</v>
      </c>
      <c r="W1903" s="20">
        <f>IF(OR(U1903="",V1903=""),U1903,U1903*V1903)</f>
        <v/>
      </c>
      <c r="X1903" s="18" t="inlineStr">
        <is>
          <t>21-46</t>
        </is>
      </c>
      <c r="Y1903" s="19" t="inlineStr"/>
      <c r="Z1903" s="18">
        <f>IF(Y1903="",X1903,Y1903)</f>
        <v/>
      </c>
      <c r="AA1903" s="18" t="inlineStr">
        <is>
          <t>submerged</t>
        </is>
      </c>
      <c r="AB1903" s="18" t="inlineStr"/>
      <c r="AC1903" s="18" t="inlineStr"/>
      <c r="AD1903" s="18" t="inlineStr"/>
      <c r="AE1903" s="18" t="inlineStr">
        <is>
          <t>sky 8-15</t>
        </is>
      </c>
      <c r="AF1903" s="18" t="inlineStr">
        <is>
          <t>False</t>
        </is>
      </c>
      <c r="AG1903" s="18" t="inlineStr"/>
      <c r="AH1903" s="18" t="inlineStr"/>
      <c r="AI1903" s="18" t="inlineStr">
        <is>
          <t>{"condition":{"moonPhase":"1,2,3"}}</t>
        </is>
      </c>
      <c r="AJ1903" s="18" t="inlineStr">
        <is>
          <t>Cobblemon 동일</t>
        </is>
      </c>
      <c r="AK1903" s="18" t="inlineStr">
        <is>
          <t>사용</t>
        </is>
      </c>
      <c r="AL1903" s="18" t="inlineStr">
        <is>
          <t>COBBLEVERSE 1.7.42 / DP v31</t>
        </is>
      </c>
      <c r="AM1903" s="18" t="inlineStr">
        <is>
          <t>data/cobblemon/spawn_pool_world/0550_basculin.json</t>
        </is>
      </c>
      <c r="AN1903" s="18" t="inlineStr">
        <is>
          <t>basculin-red-22</t>
        </is>
      </c>
      <c r="AO1903" s="18" t="inlineStr">
        <is>
          <t>pokemon</t>
        </is>
      </c>
      <c r="AP1903" s="18" t="inlineStr">
        <is>
          <t>water</t>
        </is>
      </c>
      <c r="AQ1903" s="18" t="inlineStr">
        <is>
          <t>{"biomes":["#cobblemon:is_freshwater"],"canSeeSky":false,"maxSkyLight":15,"minSkyLight":8,"moonPhase":"1,2,3"}</t>
        </is>
      </c>
      <c r="AR1903" s="18" t="inlineStr"/>
      <c r="AS1903" s="18" t="inlineStr"/>
      <c r="AT1903" s="19" t="inlineStr"/>
    </row>
    <row r="1904" ht="32" customHeight="1">
      <c r="A1904" s="18" t="inlineStr">
        <is>
          <t>0550_basculin.json::basculin-red-23::021</t>
        </is>
      </c>
      <c r="B1904" s="19" t="inlineStr">
        <is>
          <t>사용</t>
        </is>
      </c>
      <c r="C1904" s="18">
        <f>IF(OR(B1904&lt;&gt;AK1904,M1904&lt;&gt;L1904,O1904&lt;&gt;"",Q1904&lt;&gt;"",V1904&lt;&gt;1,Y1904&lt;&gt;"",AT1904&lt;&gt;""),"수정","원본")</f>
        <v/>
      </c>
      <c r="D1904" s="18" t="n">
        <v>550</v>
      </c>
      <c r="E1904" s="18" t="inlineStr">
        <is>
          <t>배쓰나이</t>
        </is>
      </c>
      <c r="F1904" s="18" t="inlineStr">
        <is>
          <t>basculin</t>
        </is>
      </c>
      <c r="G1904" s="18" t="inlineStr">
        <is>
          <t>basculin striped=red</t>
        </is>
      </c>
      <c r="H1904" s="18" t="inlineStr">
        <is>
          <t>striped=red</t>
        </is>
      </c>
      <c r="I1904" s="18" t="n">
        <v>5</v>
      </c>
      <c r="J1904" s="18" t="n"/>
      <c r="K1904" s="18" t="n">
        <v>5</v>
      </c>
      <c r="L1904" s="18" t="inlineStr">
        <is>
          <t>cobbleventure:generation_5</t>
        </is>
      </c>
      <c r="M1904" s="19" t="inlineStr">
        <is>
          <t>cobbleventure:generation_5</t>
        </is>
      </c>
      <c r="N1904" s="18" t="inlineStr">
        <is>
          <t>region_02</t>
        </is>
      </c>
      <c r="O1904" s="19" t="inlineStr"/>
      <c r="P1904" s="18" t="inlineStr">
        <is>
          <t>#cobblemon:is_freshwater</t>
        </is>
      </c>
      <c r="Q1904" s="19" t="inlineStr"/>
      <c r="R1904" s="18">
        <f>IF(Q1904="",P1904,Q1904)</f>
        <v/>
      </c>
      <c r="S1904" s="18" t="inlineStr"/>
      <c r="T1904" s="18" t="inlineStr">
        <is>
          <t>common</t>
        </is>
      </c>
      <c r="U1904" s="20" t="n">
        <v>5</v>
      </c>
      <c r="V1904" s="21" t="n">
        <v>1</v>
      </c>
      <c r="W1904" s="20">
        <f>IF(OR(U1904="",V1904=""),U1904,U1904*V1904)</f>
        <v/>
      </c>
      <c r="X1904" s="18" t="inlineStr">
        <is>
          <t>21-46</t>
        </is>
      </c>
      <c r="Y1904" s="19" t="inlineStr"/>
      <c r="Z1904" s="18">
        <f>IF(Y1904="",X1904,Y1904)</f>
        <v/>
      </c>
      <c r="AA1904" s="18" t="inlineStr">
        <is>
          <t>submerged</t>
        </is>
      </c>
      <c r="AB1904" s="18" t="inlineStr"/>
      <c r="AC1904" s="18" t="inlineStr"/>
      <c r="AD1904" s="18" t="inlineStr"/>
      <c r="AE1904" s="18" t="inlineStr">
        <is>
          <t>sky 8-15</t>
        </is>
      </c>
      <c r="AF1904" s="18" t="inlineStr">
        <is>
          <t>False</t>
        </is>
      </c>
      <c r="AG1904" s="18" t="inlineStr"/>
      <c r="AH1904" s="18" t="inlineStr"/>
      <c r="AI1904" s="18" t="inlineStr">
        <is>
          <t>{"condition":{"moonPhase":"0,4"}}</t>
        </is>
      </c>
      <c r="AJ1904" s="18" t="inlineStr">
        <is>
          <t>Cobblemon 동일</t>
        </is>
      </c>
      <c r="AK1904" s="18" t="inlineStr">
        <is>
          <t>사용</t>
        </is>
      </c>
      <c r="AL1904" s="18" t="inlineStr">
        <is>
          <t>COBBLEVERSE 1.7.42 / DP v31</t>
        </is>
      </c>
      <c r="AM1904" s="18" t="inlineStr">
        <is>
          <t>data/cobblemon/spawn_pool_world/0550_basculin.json</t>
        </is>
      </c>
      <c r="AN1904" s="18" t="inlineStr">
        <is>
          <t>basculin-red-23</t>
        </is>
      </c>
      <c r="AO1904" s="18" t="inlineStr">
        <is>
          <t>pokemon</t>
        </is>
      </c>
      <c r="AP1904" s="18" t="inlineStr">
        <is>
          <t>water</t>
        </is>
      </c>
      <c r="AQ1904" s="18" t="inlineStr">
        <is>
          <t>{"biomes":["#cobblemon:is_freshwater"],"canSeeSky":false,"maxSkyLight":15,"minSkyLight":8,"moonPhase":"0,4"}</t>
        </is>
      </c>
      <c r="AR1904" s="18" t="inlineStr"/>
      <c r="AS1904" s="18" t="inlineStr"/>
      <c r="AT1904" s="19" t="inlineStr"/>
    </row>
    <row r="1905" ht="32" customHeight="1">
      <c r="A1905" s="18" t="inlineStr">
        <is>
          <t>0550_basculin.json::basculin-red-24::022</t>
        </is>
      </c>
      <c r="B1905" s="19" t="inlineStr">
        <is>
          <t>사용</t>
        </is>
      </c>
      <c r="C1905" s="18">
        <f>IF(OR(B1905&lt;&gt;AK1905,M1905&lt;&gt;L1905,O1905&lt;&gt;"",Q1905&lt;&gt;"",V1905&lt;&gt;1,Y1905&lt;&gt;"",AT1905&lt;&gt;""),"수정","원본")</f>
        <v/>
      </c>
      <c r="D1905" s="18" t="n">
        <v>550</v>
      </c>
      <c r="E1905" s="18" t="inlineStr">
        <is>
          <t>배쓰나이</t>
        </is>
      </c>
      <c r="F1905" s="18" t="inlineStr">
        <is>
          <t>basculin</t>
        </is>
      </c>
      <c r="G1905" s="18" t="inlineStr">
        <is>
          <t>basculin striped=red</t>
        </is>
      </c>
      <c r="H1905" s="18" t="inlineStr">
        <is>
          <t>striped=red</t>
        </is>
      </c>
      <c r="I1905" s="18" t="n">
        <v>5</v>
      </c>
      <c r="J1905" s="18" t="n"/>
      <c r="K1905" s="18" t="n">
        <v>5</v>
      </c>
      <c r="L1905" s="18" t="inlineStr">
        <is>
          <t>cobbleventure:generation_5</t>
        </is>
      </c>
      <c r="M1905" s="19" t="inlineStr">
        <is>
          <t>cobbleventure:generation_5</t>
        </is>
      </c>
      <c r="N1905" s="18" t="inlineStr">
        <is>
          <t>region_01; region_02</t>
        </is>
      </c>
      <c r="O1905" s="19" t="inlineStr"/>
      <c r="P1905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05" s="19" t="inlineStr"/>
      <c r="R1905" s="18">
        <f>IF(Q1905="",P1905,Q1905)</f>
        <v/>
      </c>
      <c r="S1905" s="18" t="inlineStr"/>
      <c r="T1905" s="18" t="inlineStr">
        <is>
          <t>common</t>
        </is>
      </c>
      <c r="U1905" s="20" t="n">
        <v>10</v>
      </c>
      <c r="V1905" s="21" t="n">
        <v>1</v>
      </c>
      <c r="W1905" s="20">
        <f>IF(OR(U1905="",V1905=""),U1905,U1905*V1905)</f>
        <v/>
      </c>
      <c r="X1905" s="18" t="inlineStr">
        <is>
          <t>21-46</t>
        </is>
      </c>
      <c r="Y1905" s="19" t="inlineStr"/>
      <c r="Z1905" s="18">
        <f>IF(Y1905="",X1905,Y1905)</f>
        <v/>
      </c>
      <c r="AA1905" s="18" t="inlineStr">
        <is>
          <t>fishing</t>
        </is>
      </c>
      <c r="AB1905" s="18" t="inlineStr"/>
      <c r="AC1905" s="18" t="inlineStr"/>
      <c r="AD1905" s="18" t="inlineStr"/>
      <c r="AE1905" s="18" t="inlineStr">
        <is>
          <t>sky 8-15</t>
        </is>
      </c>
      <c r="AF1905" s="18" t="inlineStr">
        <is>
          <t>False</t>
        </is>
      </c>
      <c r="AG1905" s="18" t="inlineStr"/>
      <c r="AH1905" s="18" t="inlineStr"/>
      <c r="AI1905" s="18" t="inlineStr">
        <is>
          <t>{"condition":{"moonPhase":"5,6,7"}}</t>
        </is>
      </c>
      <c r="AJ1905" s="18" t="inlineStr">
        <is>
          <t>Cobblemon 동일</t>
        </is>
      </c>
      <c r="AK1905" s="18" t="inlineStr">
        <is>
          <t>사용</t>
        </is>
      </c>
      <c r="AL1905" s="18" t="inlineStr">
        <is>
          <t>COBBLEVERSE 1.7.42 / DP v31</t>
        </is>
      </c>
      <c r="AM1905" s="18" t="inlineStr">
        <is>
          <t>data/cobblemon/spawn_pool_world/0550_basculin.json</t>
        </is>
      </c>
      <c r="AN1905" s="18" t="inlineStr">
        <is>
          <t>basculin-red-24</t>
        </is>
      </c>
      <c r="AO1905" s="18" t="inlineStr">
        <is>
          <t>pokemon</t>
        </is>
      </c>
      <c r="AP1905" s="18" t="inlineStr"/>
      <c r="AQ1905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5,6,7"}</t>
        </is>
      </c>
      <c r="AR1905" s="18" t="inlineStr"/>
      <c r="AS1905" s="18" t="inlineStr"/>
      <c r="AT1905" s="19" t="inlineStr"/>
    </row>
    <row r="1906" ht="32" customHeight="1">
      <c r="A1906" s="18" t="inlineStr">
        <is>
          <t>0550_basculin.json::basculin-red-25::023</t>
        </is>
      </c>
      <c r="B1906" s="19" t="inlineStr">
        <is>
          <t>사용</t>
        </is>
      </c>
      <c r="C1906" s="18">
        <f>IF(OR(B1906&lt;&gt;AK1906,M1906&lt;&gt;L1906,O1906&lt;&gt;"",Q1906&lt;&gt;"",V1906&lt;&gt;1,Y1906&lt;&gt;"",AT1906&lt;&gt;""),"수정","원본")</f>
        <v/>
      </c>
      <c r="D1906" s="18" t="n">
        <v>550</v>
      </c>
      <c r="E1906" s="18" t="inlineStr">
        <is>
          <t>배쓰나이</t>
        </is>
      </c>
      <c r="F1906" s="18" t="inlineStr">
        <is>
          <t>basculin</t>
        </is>
      </c>
      <c r="G1906" s="18" t="inlineStr">
        <is>
          <t>basculin striped=red</t>
        </is>
      </c>
      <c r="H1906" s="18" t="inlineStr">
        <is>
          <t>striped=red</t>
        </is>
      </c>
      <c r="I1906" s="18" t="n">
        <v>5</v>
      </c>
      <c r="J1906" s="18" t="n"/>
      <c r="K1906" s="18" t="n">
        <v>5</v>
      </c>
      <c r="L1906" s="18" t="inlineStr">
        <is>
          <t>cobbleventure:generation_5</t>
        </is>
      </c>
      <c r="M1906" s="19" t="inlineStr">
        <is>
          <t>cobbleventure:generation_5</t>
        </is>
      </c>
      <c r="N1906" s="18" t="inlineStr">
        <is>
          <t>region_01; region_02</t>
        </is>
      </c>
      <c r="O1906" s="19" t="inlineStr"/>
      <c r="P1906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06" s="19" t="inlineStr"/>
      <c r="R1906" s="18">
        <f>IF(Q1906="",P1906,Q1906)</f>
        <v/>
      </c>
      <c r="S1906" s="18" t="inlineStr"/>
      <c r="T1906" s="18" t="inlineStr">
        <is>
          <t>common</t>
        </is>
      </c>
      <c r="U1906" s="20" t="n">
        <v>2</v>
      </c>
      <c r="V1906" s="21" t="n">
        <v>1</v>
      </c>
      <c r="W1906" s="20">
        <f>IF(OR(U1906="",V1906=""),U1906,U1906*V1906)</f>
        <v/>
      </c>
      <c r="X1906" s="18" t="inlineStr">
        <is>
          <t>21-46</t>
        </is>
      </c>
      <c r="Y1906" s="19" t="inlineStr"/>
      <c r="Z1906" s="18">
        <f>IF(Y1906="",X1906,Y1906)</f>
        <v/>
      </c>
      <c r="AA1906" s="18" t="inlineStr">
        <is>
          <t>fishing</t>
        </is>
      </c>
      <c r="AB1906" s="18" t="inlineStr"/>
      <c r="AC1906" s="18" t="inlineStr"/>
      <c r="AD1906" s="18" t="inlineStr"/>
      <c r="AE1906" s="18" t="inlineStr">
        <is>
          <t>sky 8-15</t>
        </is>
      </c>
      <c r="AF1906" s="18" t="inlineStr">
        <is>
          <t>False</t>
        </is>
      </c>
      <c r="AG1906" s="18" t="inlineStr"/>
      <c r="AH1906" s="18" t="inlineStr"/>
      <c r="AI1906" s="18" t="inlineStr">
        <is>
          <t>{"condition":{"moonPhase":"1,2,3"}}</t>
        </is>
      </c>
      <c r="AJ1906" s="18" t="inlineStr">
        <is>
          <t>Cobblemon 동일</t>
        </is>
      </c>
      <c r="AK1906" s="18" t="inlineStr">
        <is>
          <t>사용</t>
        </is>
      </c>
      <c r="AL1906" s="18" t="inlineStr">
        <is>
          <t>COBBLEVERSE 1.7.42 / DP v31</t>
        </is>
      </c>
      <c r="AM1906" s="18" t="inlineStr">
        <is>
          <t>data/cobblemon/spawn_pool_world/0550_basculin.json</t>
        </is>
      </c>
      <c r="AN1906" s="18" t="inlineStr">
        <is>
          <t>basculin-red-25</t>
        </is>
      </c>
      <c r="AO1906" s="18" t="inlineStr">
        <is>
          <t>pokemon</t>
        </is>
      </c>
      <c r="AP1906" s="18" t="inlineStr"/>
      <c r="AQ1906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1,2,3"}</t>
        </is>
      </c>
      <c r="AR1906" s="18" t="inlineStr"/>
      <c r="AS1906" s="18" t="inlineStr"/>
      <c r="AT1906" s="19" t="inlineStr"/>
    </row>
    <row r="1907" ht="32" customHeight="1">
      <c r="A1907" s="18" t="inlineStr">
        <is>
          <t>0550_basculin.json::basculin-red-26::024</t>
        </is>
      </c>
      <c r="B1907" s="19" t="inlineStr">
        <is>
          <t>사용</t>
        </is>
      </c>
      <c r="C1907" s="18">
        <f>IF(OR(B1907&lt;&gt;AK1907,M1907&lt;&gt;L1907,O1907&lt;&gt;"",Q1907&lt;&gt;"",V1907&lt;&gt;1,Y1907&lt;&gt;"",AT1907&lt;&gt;""),"수정","원본")</f>
        <v/>
      </c>
      <c r="D1907" s="18" t="n">
        <v>550</v>
      </c>
      <c r="E1907" s="18" t="inlineStr">
        <is>
          <t>배쓰나이</t>
        </is>
      </c>
      <c r="F1907" s="18" t="inlineStr">
        <is>
          <t>basculin</t>
        </is>
      </c>
      <c r="G1907" s="18" t="inlineStr">
        <is>
          <t>basculin striped=red</t>
        </is>
      </c>
      <c r="H1907" s="18" t="inlineStr">
        <is>
          <t>striped=red</t>
        </is>
      </c>
      <c r="I1907" s="18" t="n">
        <v>5</v>
      </c>
      <c r="J1907" s="18" t="n"/>
      <c r="K1907" s="18" t="n">
        <v>5</v>
      </c>
      <c r="L1907" s="18" t="inlineStr">
        <is>
          <t>cobbleventure:generation_5</t>
        </is>
      </c>
      <c r="M1907" s="19" t="inlineStr">
        <is>
          <t>cobbleventure:generation_5</t>
        </is>
      </c>
      <c r="N1907" s="18" t="inlineStr">
        <is>
          <t>region_01; region_02</t>
        </is>
      </c>
      <c r="O1907" s="19" t="inlineStr"/>
      <c r="P1907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07" s="19" t="inlineStr"/>
      <c r="R1907" s="18">
        <f>IF(Q1907="",P1907,Q1907)</f>
        <v/>
      </c>
      <c r="S1907" s="18" t="inlineStr"/>
      <c r="T1907" s="18" t="inlineStr">
        <is>
          <t>common</t>
        </is>
      </c>
      <c r="U1907" s="20" t="n">
        <v>5</v>
      </c>
      <c r="V1907" s="21" t="n">
        <v>1</v>
      </c>
      <c r="W1907" s="20">
        <f>IF(OR(U1907="",V1907=""),U1907,U1907*V1907)</f>
        <v/>
      </c>
      <c r="X1907" s="18" t="inlineStr">
        <is>
          <t>21-46</t>
        </is>
      </c>
      <c r="Y1907" s="19" t="inlineStr"/>
      <c r="Z1907" s="18">
        <f>IF(Y1907="",X1907,Y1907)</f>
        <v/>
      </c>
      <c r="AA1907" s="18" t="inlineStr">
        <is>
          <t>fishing</t>
        </is>
      </c>
      <c r="AB1907" s="18" t="inlineStr"/>
      <c r="AC1907" s="18" t="inlineStr"/>
      <c r="AD1907" s="18" t="inlineStr"/>
      <c r="AE1907" s="18" t="inlineStr">
        <is>
          <t>sky 8-15</t>
        </is>
      </c>
      <c r="AF1907" s="18" t="inlineStr">
        <is>
          <t>False</t>
        </is>
      </c>
      <c r="AG1907" s="18" t="inlineStr"/>
      <c r="AH1907" s="18" t="inlineStr"/>
      <c r="AI1907" s="18" t="inlineStr">
        <is>
          <t>{"condition":{"moonPhase":"0,4"}}</t>
        </is>
      </c>
      <c r="AJ1907" s="18" t="inlineStr">
        <is>
          <t>Cobblemon 동일</t>
        </is>
      </c>
      <c r="AK1907" s="18" t="inlineStr">
        <is>
          <t>사용</t>
        </is>
      </c>
      <c r="AL1907" s="18" t="inlineStr">
        <is>
          <t>COBBLEVERSE 1.7.42 / DP v31</t>
        </is>
      </c>
      <c r="AM1907" s="18" t="inlineStr">
        <is>
          <t>data/cobblemon/spawn_pool_world/0550_basculin.json</t>
        </is>
      </c>
      <c r="AN1907" s="18" t="inlineStr">
        <is>
          <t>basculin-red-26</t>
        </is>
      </c>
      <c r="AO1907" s="18" t="inlineStr">
        <is>
          <t>pokemon</t>
        </is>
      </c>
      <c r="AP1907" s="18" t="inlineStr"/>
      <c r="AQ1907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0,4"}</t>
        </is>
      </c>
      <c r="AR1907" s="18" t="inlineStr"/>
      <c r="AS1907" s="18" t="inlineStr"/>
      <c r="AT1907" s="19" t="inlineStr"/>
    </row>
    <row r="1908" ht="32" customHeight="1">
      <c r="A1908" s="18" t="inlineStr">
        <is>
          <t>0550_basculin.json::basculin-white-13::025</t>
        </is>
      </c>
      <c r="B1908" s="19" t="inlineStr">
        <is>
          <t>사용</t>
        </is>
      </c>
      <c r="C1908" s="18">
        <f>IF(OR(B1908&lt;&gt;AK1908,M1908&lt;&gt;L1908,O1908&lt;&gt;"",Q1908&lt;&gt;"",V1908&lt;&gt;1,Y1908&lt;&gt;"",AT1908&lt;&gt;""),"수정","원본")</f>
        <v/>
      </c>
      <c r="D1908" s="18" t="n">
        <v>550</v>
      </c>
      <c r="E1908" s="18" t="inlineStr">
        <is>
          <t>배쓰나이</t>
        </is>
      </c>
      <c r="F1908" s="18" t="inlineStr">
        <is>
          <t>basculin</t>
        </is>
      </c>
      <c r="G1908" s="18" t="inlineStr">
        <is>
          <t>basculin striped=white</t>
        </is>
      </c>
      <c r="H1908" s="18" t="inlineStr">
        <is>
          <t>striped=white</t>
        </is>
      </c>
      <c r="I1908" s="18" t="n">
        <v>5</v>
      </c>
      <c r="J1908" s="18" t="n"/>
      <c r="K1908" s="18" t="n">
        <v>5</v>
      </c>
      <c r="L1908" s="18" t="inlineStr">
        <is>
          <t>cobbleventure:generation_5</t>
        </is>
      </c>
      <c r="M1908" s="19" t="inlineStr">
        <is>
          <t>cobbleventure:generation_5</t>
        </is>
      </c>
      <c r="N1908" s="18" t="inlineStr">
        <is>
          <t>region_02</t>
        </is>
      </c>
      <c r="O1908" s="19" t="inlineStr"/>
      <c r="P1908" s="18" t="inlineStr">
        <is>
          <t>#cobblemon:is_freshwater</t>
        </is>
      </c>
      <c r="Q1908" s="19" t="inlineStr"/>
      <c r="R1908" s="18">
        <f>IF(Q1908="",P1908,Q1908)</f>
        <v/>
      </c>
      <c r="S1908" s="18" t="inlineStr"/>
      <c r="T1908" s="18" t="inlineStr">
        <is>
          <t>common</t>
        </is>
      </c>
      <c r="U1908" s="20" t="n">
        <v>1.8</v>
      </c>
      <c r="V1908" s="21" t="n">
        <v>1</v>
      </c>
      <c r="W1908" s="20">
        <f>IF(OR(U1908="",V1908=""),U1908,U1908*V1908)</f>
        <v/>
      </c>
      <c r="X1908" s="18" t="inlineStr">
        <is>
          <t>21-46</t>
        </is>
      </c>
      <c r="Y1908" s="19" t="inlineStr"/>
      <c r="Z1908" s="18">
        <f>IF(Y1908="",X1908,Y1908)</f>
        <v/>
      </c>
      <c r="AA1908" s="18" t="inlineStr">
        <is>
          <t>submerged</t>
        </is>
      </c>
      <c r="AB1908" s="18" t="inlineStr"/>
      <c r="AC1908" s="18" t="inlineStr"/>
      <c r="AD1908" s="18" t="inlineStr"/>
      <c r="AE1908" s="18" t="inlineStr"/>
      <c r="AF1908" s="18" t="inlineStr">
        <is>
          <t>True</t>
        </is>
      </c>
      <c r="AG1908" s="18" t="inlineStr"/>
      <c r="AH1908" s="18" t="inlineStr"/>
      <c r="AI1908" s="18" t="inlineStr">
        <is>
          <t>{"condition":{"moonPhase":"0,4"}}</t>
        </is>
      </c>
      <c r="AJ1908" s="18" t="inlineStr">
        <is>
          <t>Cobblemon 동일</t>
        </is>
      </c>
      <c r="AK1908" s="18" t="inlineStr">
        <is>
          <t>사용</t>
        </is>
      </c>
      <c r="AL1908" s="18" t="inlineStr">
        <is>
          <t>COBBLEVERSE 1.7.42 / DP v31</t>
        </is>
      </c>
      <c r="AM1908" s="18" t="inlineStr">
        <is>
          <t>data/cobblemon/spawn_pool_world/0550_basculin.json</t>
        </is>
      </c>
      <c r="AN1908" s="18" t="inlineStr">
        <is>
          <t>basculin-white-13</t>
        </is>
      </c>
      <c r="AO1908" s="18" t="inlineStr">
        <is>
          <t>pokemon</t>
        </is>
      </c>
      <c r="AP1908" s="18" t="inlineStr">
        <is>
          <t>water</t>
        </is>
      </c>
      <c r="AQ1908" s="18" t="inlineStr">
        <is>
          <t>{"biomes":["#cobblemon:is_freshwater"],"canSeeSky":true,"moonPhase":"0,4"}</t>
        </is>
      </c>
      <c r="AR1908" s="18" t="inlineStr"/>
      <c r="AS1908" s="18" t="inlineStr"/>
      <c r="AT1908" s="19" t="inlineStr"/>
    </row>
    <row r="1909" ht="32" customHeight="1">
      <c r="A1909" s="18" t="inlineStr">
        <is>
          <t>0550_basculin.json::basculin-white-14::026</t>
        </is>
      </c>
      <c r="B1909" s="19" t="inlineStr">
        <is>
          <t>사용</t>
        </is>
      </c>
      <c r="C1909" s="18">
        <f>IF(OR(B1909&lt;&gt;AK1909,M1909&lt;&gt;L1909,O1909&lt;&gt;"",Q1909&lt;&gt;"",V1909&lt;&gt;1,Y1909&lt;&gt;"",AT1909&lt;&gt;""),"수정","원본")</f>
        <v/>
      </c>
      <c r="D1909" s="18" t="n">
        <v>550</v>
      </c>
      <c r="E1909" s="18" t="inlineStr">
        <is>
          <t>배쓰나이</t>
        </is>
      </c>
      <c r="F1909" s="18" t="inlineStr">
        <is>
          <t>basculin</t>
        </is>
      </c>
      <c r="G1909" s="18" t="inlineStr">
        <is>
          <t>basculin striped=white</t>
        </is>
      </c>
      <c r="H1909" s="18" t="inlineStr">
        <is>
          <t>striped=white</t>
        </is>
      </c>
      <c r="I1909" s="18" t="n">
        <v>5</v>
      </c>
      <c r="J1909" s="18" t="n"/>
      <c r="K1909" s="18" t="n">
        <v>5</v>
      </c>
      <c r="L1909" s="18" t="inlineStr">
        <is>
          <t>cobbleventure:generation_5</t>
        </is>
      </c>
      <c r="M1909" s="19" t="inlineStr">
        <is>
          <t>cobbleventure:generation_5</t>
        </is>
      </c>
      <c r="N1909" s="18" t="inlineStr">
        <is>
          <t>region_01; region_02</t>
        </is>
      </c>
      <c r="O1909" s="19" t="inlineStr"/>
      <c r="P1909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09" s="19" t="inlineStr"/>
      <c r="R1909" s="18">
        <f>IF(Q1909="",P1909,Q1909)</f>
        <v/>
      </c>
      <c r="S1909" s="18" t="inlineStr"/>
      <c r="T1909" s="18" t="inlineStr">
        <is>
          <t>common</t>
        </is>
      </c>
      <c r="U1909" s="20" t="n">
        <v>1.8</v>
      </c>
      <c r="V1909" s="21" t="n">
        <v>1</v>
      </c>
      <c r="W1909" s="20">
        <f>IF(OR(U1909="",V1909=""),U1909,U1909*V1909)</f>
        <v/>
      </c>
      <c r="X1909" s="18" t="inlineStr">
        <is>
          <t>21-46</t>
        </is>
      </c>
      <c r="Y1909" s="19" t="inlineStr"/>
      <c r="Z1909" s="18">
        <f>IF(Y1909="",X1909,Y1909)</f>
        <v/>
      </c>
      <c r="AA1909" s="18" t="inlineStr">
        <is>
          <t>fishing</t>
        </is>
      </c>
      <c r="AB1909" s="18" t="inlineStr"/>
      <c r="AC1909" s="18" t="inlineStr"/>
      <c r="AD1909" s="18" t="inlineStr"/>
      <c r="AE1909" s="18" t="inlineStr"/>
      <c r="AF1909" s="18" t="inlineStr">
        <is>
          <t>True</t>
        </is>
      </c>
      <c r="AG1909" s="18" t="inlineStr"/>
      <c r="AH1909" s="18" t="inlineStr"/>
      <c r="AI1909" s="18" t="inlineStr">
        <is>
          <t>{"condition":{"moonPhase":"0,4"}}</t>
        </is>
      </c>
      <c r="AJ1909" s="18" t="inlineStr">
        <is>
          <t>Cobblemon 동일</t>
        </is>
      </c>
      <c r="AK1909" s="18" t="inlineStr">
        <is>
          <t>사용</t>
        </is>
      </c>
      <c r="AL1909" s="18" t="inlineStr">
        <is>
          <t>COBBLEVERSE 1.7.42 / DP v31</t>
        </is>
      </c>
      <c r="AM1909" s="18" t="inlineStr">
        <is>
          <t>data/cobblemon/spawn_pool_world/0550_basculin.json</t>
        </is>
      </c>
      <c r="AN1909" s="18" t="inlineStr">
        <is>
          <t>basculin-white-14</t>
        </is>
      </c>
      <c r="AO1909" s="18" t="inlineStr">
        <is>
          <t>pokemon</t>
        </is>
      </c>
      <c r="AP1909" s="18" t="inlineStr"/>
      <c r="AQ1909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{"biomes":["#cobblemon:is_arid","#cobblemon:is_forest","#cobblemon:is_freshwater","#cobblemon:is_grassland","#cobblemon:is_jungle","#cobblemon:is_mountain","#cobblemon:is_snowy_forest","#cobblemon:is_taiga","#cobblemon:is_tundra"],"canSeeSky":true,"moonPhase":"0,4"}</t>
        </is>
      </c>
      <c r="AR1909" s="18" t="inlineStr"/>
      <c r="AS1909" s="18" t="inlineStr"/>
      <c r="AT1909" s="19" t="inlineStr"/>
    </row>
    <row r="1910" ht="32" customHeight="1">
      <c r="A1910" s="18" t="inlineStr">
        <is>
          <t>0550_basculin.json::basculin-white-27::027</t>
        </is>
      </c>
      <c r="B1910" s="19" t="inlineStr">
        <is>
          <t>사용</t>
        </is>
      </c>
      <c r="C1910" s="18">
        <f>IF(OR(B1910&lt;&gt;AK1910,M1910&lt;&gt;L1910,O1910&lt;&gt;"",Q1910&lt;&gt;"",V1910&lt;&gt;1,Y1910&lt;&gt;"",AT1910&lt;&gt;""),"수정","원본")</f>
        <v/>
      </c>
      <c r="D1910" s="18" t="n">
        <v>550</v>
      </c>
      <c r="E1910" s="18" t="inlineStr">
        <is>
          <t>배쓰나이</t>
        </is>
      </c>
      <c r="F1910" s="18" t="inlineStr">
        <is>
          <t>basculin</t>
        </is>
      </c>
      <c r="G1910" s="18" t="inlineStr">
        <is>
          <t>basculin striped=white</t>
        </is>
      </c>
      <c r="H1910" s="18" t="inlineStr">
        <is>
          <t>striped=white</t>
        </is>
      </c>
      <c r="I1910" s="18" t="n">
        <v>5</v>
      </c>
      <c r="J1910" s="18" t="n"/>
      <c r="K1910" s="18" t="n">
        <v>5</v>
      </c>
      <c r="L1910" s="18" t="inlineStr">
        <is>
          <t>cobbleventure:generation_5</t>
        </is>
      </c>
      <c r="M1910" s="19" t="inlineStr">
        <is>
          <t>cobbleventure:generation_5</t>
        </is>
      </c>
      <c r="N1910" s="18" t="inlineStr">
        <is>
          <t>region_02</t>
        </is>
      </c>
      <c r="O1910" s="19" t="inlineStr"/>
      <c r="P1910" s="18" t="inlineStr">
        <is>
          <t>#cobblemon:is_freshwater</t>
        </is>
      </c>
      <c r="Q1910" s="19" t="inlineStr"/>
      <c r="R1910" s="18">
        <f>IF(Q1910="",P1910,Q1910)</f>
        <v/>
      </c>
      <c r="S1910" s="18" t="inlineStr"/>
      <c r="T1910" s="18" t="inlineStr">
        <is>
          <t>common</t>
        </is>
      </c>
      <c r="U1910" s="20" t="n">
        <v>1.8</v>
      </c>
      <c r="V1910" s="21" t="n">
        <v>1</v>
      </c>
      <c r="W1910" s="20">
        <f>IF(OR(U1910="",V1910=""),U1910,U1910*V1910)</f>
        <v/>
      </c>
      <c r="X1910" s="18" t="inlineStr">
        <is>
          <t>21-46</t>
        </is>
      </c>
      <c r="Y1910" s="19" t="inlineStr"/>
      <c r="Z1910" s="18">
        <f>IF(Y1910="",X1910,Y1910)</f>
        <v/>
      </c>
      <c r="AA1910" s="18" t="inlineStr">
        <is>
          <t>submerged</t>
        </is>
      </c>
      <c r="AB1910" s="18" t="inlineStr"/>
      <c r="AC1910" s="18" t="inlineStr"/>
      <c r="AD1910" s="18" t="inlineStr"/>
      <c r="AE1910" s="18" t="inlineStr">
        <is>
          <t>sky 8-15</t>
        </is>
      </c>
      <c r="AF1910" s="18" t="inlineStr">
        <is>
          <t>False</t>
        </is>
      </c>
      <c r="AG1910" s="18" t="inlineStr"/>
      <c r="AH1910" s="18" t="inlineStr"/>
      <c r="AI1910" s="18" t="inlineStr">
        <is>
          <t>{"condition":{"moonPhase":"0,4"}}</t>
        </is>
      </c>
      <c r="AJ1910" s="18" t="inlineStr">
        <is>
          <t>Cobblemon 동일</t>
        </is>
      </c>
      <c r="AK1910" s="18" t="inlineStr">
        <is>
          <t>사용</t>
        </is>
      </c>
      <c r="AL1910" s="18" t="inlineStr">
        <is>
          <t>COBBLEVERSE 1.7.42 / DP v31</t>
        </is>
      </c>
      <c r="AM1910" s="18" t="inlineStr">
        <is>
          <t>data/cobblemon/spawn_pool_world/0550_basculin.json</t>
        </is>
      </c>
      <c r="AN1910" s="18" t="inlineStr">
        <is>
          <t>basculin-white-27</t>
        </is>
      </c>
      <c r="AO1910" s="18" t="inlineStr">
        <is>
          <t>pokemon</t>
        </is>
      </c>
      <c r="AP1910" s="18" t="inlineStr">
        <is>
          <t>water</t>
        </is>
      </c>
      <c r="AQ1910" s="18" t="inlineStr">
        <is>
          <t>{"biomes":["#cobblemon:is_freshwater"],"canSeeSky":false,"maxSkyLight":15,"minSkyLight":8,"moonPhase":"0,4"}</t>
        </is>
      </c>
      <c r="AR1910" s="18" t="inlineStr"/>
      <c r="AS1910" s="18" t="inlineStr"/>
      <c r="AT1910" s="19" t="inlineStr"/>
    </row>
    <row r="1911" ht="32" customHeight="1">
      <c r="A1911" s="18" t="inlineStr">
        <is>
          <t>0550_basculin.json::basculin-white-28::028</t>
        </is>
      </c>
      <c r="B1911" s="19" t="inlineStr">
        <is>
          <t>사용</t>
        </is>
      </c>
      <c r="C1911" s="18">
        <f>IF(OR(B1911&lt;&gt;AK1911,M1911&lt;&gt;L1911,O1911&lt;&gt;"",Q1911&lt;&gt;"",V1911&lt;&gt;1,Y1911&lt;&gt;"",AT1911&lt;&gt;""),"수정","원본")</f>
        <v/>
      </c>
      <c r="D1911" s="18" t="n">
        <v>550</v>
      </c>
      <c r="E1911" s="18" t="inlineStr">
        <is>
          <t>배쓰나이</t>
        </is>
      </c>
      <c r="F1911" s="18" t="inlineStr">
        <is>
          <t>basculin</t>
        </is>
      </c>
      <c r="G1911" s="18" t="inlineStr">
        <is>
          <t>basculin striped=white</t>
        </is>
      </c>
      <c r="H1911" s="18" t="inlineStr">
        <is>
          <t>striped=white</t>
        </is>
      </c>
      <c r="I1911" s="18" t="n">
        <v>5</v>
      </c>
      <c r="J1911" s="18" t="n"/>
      <c r="K1911" s="18" t="n">
        <v>5</v>
      </c>
      <c r="L1911" s="18" t="inlineStr">
        <is>
          <t>cobbleventure:generation_5</t>
        </is>
      </c>
      <c r="M1911" s="19" t="inlineStr">
        <is>
          <t>cobbleventure:generation_5</t>
        </is>
      </c>
      <c r="N1911" s="18" t="inlineStr">
        <is>
          <t>region_01; region_02</t>
        </is>
      </c>
      <c r="O1911" s="19" t="inlineStr"/>
      <c r="P1911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1911" s="19" t="inlineStr"/>
      <c r="R1911" s="18">
        <f>IF(Q1911="",P1911,Q1911)</f>
        <v/>
      </c>
      <c r="S1911" s="18" t="inlineStr"/>
      <c r="T1911" s="18" t="inlineStr">
        <is>
          <t>common</t>
        </is>
      </c>
      <c r="U1911" s="20" t="n">
        <v>1.8</v>
      </c>
      <c r="V1911" s="21" t="n">
        <v>1</v>
      </c>
      <c r="W1911" s="20">
        <f>IF(OR(U1911="",V1911=""),U1911,U1911*V1911)</f>
        <v/>
      </c>
      <c r="X1911" s="18" t="inlineStr">
        <is>
          <t>21-46</t>
        </is>
      </c>
      <c r="Y1911" s="19" t="inlineStr"/>
      <c r="Z1911" s="18">
        <f>IF(Y1911="",X1911,Y1911)</f>
        <v/>
      </c>
      <c r="AA1911" s="18" t="inlineStr">
        <is>
          <t>fishing</t>
        </is>
      </c>
      <c r="AB1911" s="18" t="inlineStr"/>
      <c r="AC1911" s="18" t="inlineStr"/>
      <c r="AD1911" s="18" t="inlineStr"/>
      <c r="AE1911" s="18" t="inlineStr">
        <is>
          <t>sky 8-15</t>
        </is>
      </c>
      <c r="AF1911" s="18" t="inlineStr">
        <is>
          <t>False</t>
        </is>
      </c>
      <c r="AG1911" s="18" t="inlineStr"/>
      <c r="AH1911" s="18" t="inlineStr"/>
      <c r="AI1911" s="18" t="inlineStr">
        <is>
          <t>{"condition":{"moonPhase":"0,4"}}</t>
        </is>
      </c>
      <c r="AJ1911" s="18" t="inlineStr">
        <is>
          <t>Cobblemon 동일</t>
        </is>
      </c>
      <c r="AK1911" s="18" t="inlineStr">
        <is>
          <t>사용</t>
        </is>
      </c>
      <c r="AL1911" s="18" t="inlineStr">
        <is>
          <t>COBBLEVERSE 1.7.42 / DP v31</t>
        </is>
      </c>
      <c r="AM1911" s="18" t="inlineStr">
        <is>
          <t>data/cobblemon/spawn_pool_world/0550_basculin.json</t>
        </is>
      </c>
      <c r="AN1911" s="18" t="inlineStr">
        <is>
          <t>basculin-white-28</t>
        </is>
      </c>
      <c r="AO1911" s="18" t="inlineStr">
        <is>
          <t>pokemon</t>
        </is>
      </c>
      <c r="AP1911" s="18" t="inlineStr"/>
      <c r="AQ1911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0,4"}</t>
        </is>
      </c>
      <c r="AR1911" s="18" t="inlineStr"/>
      <c r="AS1911" s="18" t="inlineStr"/>
      <c r="AT1911" s="19" t="inlineStr"/>
    </row>
    <row r="1912" ht="32" customHeight="1">
      <c r="A1912" s="18" t="inlineStr">
        <is>
          <t>0551_sandile.json::sandile-1::001</t>
        </is>
      </c>
      <c r="B1912" s="19" t="inlineStr">
        <is>
          <t>사용</t>
        </is>
      </c>
      <c r="C1912" s="18">
        <f>IF(OR(B1912&lt;&gt;AK1912,M1912&lt;&gt;L1912,O1912&lt;&gt;"",Q1912&lt;&gt;"",V1912&lt;&gt;1,Y1912&lt;&gt;"",AT1912&lt;&gt;""),"수정","원본")</f>
        <v/>
      </c>
      <c r="D1912" s="18" t="n">
        <v>551</v>
      </c>
      <c r="E1912" s="18" t="inlineStr">
        <is>
          <t>깜눈크</t>
        </is>
      </c>
      <c r="F1912" s="18" t="inlineStr">
        <is>
          <t>sandile</t>
        </is>
      </c>
      <c r="G1912" s="18" t="inlineStr">
        <is>
          <t>sandile</t>
        </is>
      </c>
      <c r="H1912" s="18" t="inlineStr"/>
      <c r="I1912" s="18" t="n">
        <v>5</v>
      </c>
      <c r="J1912" s="18" t="n"/>
      <c r="K1912" s="18" t="n">
        <v>5</v>
      </c>
      <c r="L1912" s="18" t="inlineStr">
        <is>
          <t>cobbleventure:generation_5</t>
        </is>
      </c>
      <c r="M1912" s="19" t="inlineStr">
        <is>
          <t>cobbleventure:generation_5</t>
        </is>
      </c>
      <c r="N1912" s="18" t="inlineStr">
        <is>
          <t>region_02</t>
        </is>
      </c>
      <c r="O1912" s="19" t="inlineStr"/>
      <c r="P1912" s="18" t="inlineStr">
        <is>
          <t>#cobblemon:is_desert</t>
        </is>
      </c>
      <c r="Q1912" s="19" t="inlineStr"/>
      <c r="R1912" s="18">
        <f>IF(Q1912="",P1912,Q1912)</f>
        <v/>
      </c>
      <c r="S1912" s="18" t="inlineStr"/>
      <c r="T1912" s="18" t="inlineStr">
        <is>
          <t>common</t>
        </is>
      </c>
      <c r="U1912" s="20" t="n">
        <v>1.8</v>
      </c>
      <c r="V1912" s="21" t="n">
        <v>1</v>
      </c>
      <c r="W1912" s="20">
        <f>IF(OR(U1912="",V1912=""),U1912,U1912*V1912)</f>
        <v/>
      </c>
      <c r="X1912" s="18" t="inlineStr">
        <is>
          <t>4-29</t>
        </is>
      </c>
      <c r="Y1912" s="19" t="inlineStr"/>
      <c r="Z1912" s="18">
        <f>IF(Y1912="",X1912,Y1912)</f>
        <v/>
      </c>
      <c r="AA1912" s="18" t="inlineStr">
        <is>
          <t>grounded</t>
        </is>
      </c>
      <c r="AB1912" s="18" t="inlineStr"/>
      <c r="AC1912" s="18" t="inlineStr"/>
      <c r="AD1912" s="18" t="inlineStr"/>
      <c r="AE1912" s="18" t="inlineStr">
        <is>
          <t>sky 8-15</t>
        </is>
      </c>
      <c r="AF1912" s="18" t="inlineStr"/>
      <c r="AG1912" s="18" t="inlineStr"/>
      <c r="AH1912" s="18" t="inlineStr"/>
      <c r="AI1912" s="18" t="inlineStr"/>
      <c r="AJ1912" s="18" t="inlineStr">
        <is>
          <t>Cobblemon 동일</t>
        </is>
      </c>
      <c r="AK1912" s="18" t="inlineStr">
        <is>
          <t>사용</t>
        </is>
      </c>
      <c r="AL1912" s="18" t="inlineStr">
        <is>
          <t>COBBLEVERSE 1.7.42 / DP v31</t>
        </is>
      </c>
      <c r="AM1912" s="18" t="inlineStr">
        <is>
          <t>data/cobblemon/spawn_pool_world/0551_sandile.json</t>
        </is>
      </c>
      <c r="AN1912" s="18" t="inlineStr">
        <is>
          <t>sandile-1</t>
        </is>
      </c>
      <c r="AO1912" s="18" t="inlineStr">
        <is>
          <t>pokemon</t>
        </is>
      </c>
      <c r="AP1912" s="18" t="inlineStr">
        <is>
          <t>natural; wild</t>
        </is>
      </c>
      <c r="AQ1912" s="18" t="inlineStr">
        <is>
          <t>{"biomes":["#cobblemon:is_desert"],"maxSkyLight":15,"minSkyLight":8}</t>
        </is>
      </c>
      <c r="AR1912" s="18" t="inlineStr"/>
      <c r="AS1912" s="18" t="inlineStr"/>
      <c r="AT1912" s="19" t="inlineStr"/>
    </row>
    <row r="1913" ht="32" customHeight="1">
      <c r="A1913" s="18" t="inlineStr">
        <is>
          <t>0552_krokorok.json::krokorok-1::001</t>
        </is>
      </c>
      <c r="B1913" s="19" t="inlineStr">
        <is>
          <t>사용</t>
        </is>
      </c>
      <c r="C1913" s="18">
        <f>IF(OR(B1913&lt;&gt;AK1913,M1913&lt;&gt;L1913,O1913&lt;&gt;"",Q1913&lt;&gt;"",V1913&lt;&gt;1,Y1913&lt;&gt;"",AT1913&lt;&gt;""),"수정","원본")</f>
        <v/>
      </c>
      <c r="D1913" s="18" t="n">
        <v>552</v>
      </c>
      <c r="E1913" s="18" t="inlineStr">
        <is>
          <t>악비르</t>
        </is>
      </c>
      <c r="F1913" s="18" t="inlineStr">
        <is>
          <t>krokorok</t>
        </is>
      </c>
      <c r="G1913" s="18" t="inlineStr">
        <is>
          <t>krokorok</t>
        </is>
      </c>
      <c r="H1913" s="18" t="inlineStr"/>
      <c r="I1913" s="18" t="n">
        <v>5</v>
      </c>
      <c r="J1913" s="18" t="n"/>
      <c r="K1913" s="18" t="n">
        <v>5</v>
      </c>
      <c r="L1913" s="18" t="inlineStr">
        <is>
          <t>cobbleventure:generation_5</t>
        </is>
      </c>
      <c r="M1913" s="19" t="inlineStr">
        <is>
          <t>cobbleventure:generation_5</t>
        </is>
      </c>
      <c r="N1913" s="18" t="inlineStr">
        <is>
          <t>region_02</t>
        </is>
      </c>
      <c r="O1913" s="19" t="inlineStr"/>
      <c r="P1913" s="18" t="inlineStr">
        <is>
          <t>#cobblemon:is_desert</t>
        </is>
      </c>
      <c r="Q1913" s="19" t="inlineStr"/>
      <c r="R1913" s="18">
        <f>IF(Q1913="",P1913,Q1913)</f>
        <v/>
      </c>
      <c r="S1913" s="18" t="inlineStr"/>
      <c r="T1913" s="18" t="inlineStr">
        <is>
          <t>common</t>
        </is>
      </c>
      <c r="U1913" s="20" t="n">
        <v>0.18</v>
      </c>
      <c r="V1913" s="21" t="n">
        <v>1</v>
      </c>
      <c r="W1913" s="20">
        <f>IF(OR(U1913="",V1913=""),U1913,U1913*V1913)</f>
        <v/>
      </c>
      <c r="X1913" s="18" t="inlineStr">
        <is>
          <t>29-35</t>
        </is>
      </c>
      <c r="Y1913" s="19" t="inlineStr"/>
      <c r="Z1913" s="18">
        <f>IF(Y1913="",X1913,Y1913)</f>
        <v/>
      </c>
      <c r="AA1913" s="18" t="inlineStr">
        <is>
          <t>grounded</t>
        </is>
      </c>
      <c r="AB1913" s="18" t="inlineStr"/>
      <c r="AC1913" s="18" t="inlineStr"/>
      <c r="AD1913" s="18" t="inlineStr"/>
      <c r="AE1913" s="18" t="inlineStr">
        <is>
          <t>sky 8-15</t>
        </is>
      </c>
      <c r="AF1913" s="18" t="inlineStr"/>
      <c r="AG1913" s="18" t="inlineStr"/>
      <c r="AH1913" s="18" t="inlineStr"/>
      <c r="AI1913" s="18" t="inlineStr"/>
      <c r="AJ1913" s="18" t="inlineStr">
        <is>
          <t>Cobblemon 동일</t>
        </is>
      </c>
      <c r="AK1913" s="18" t="inlineStr">
        <is>
          <t>사용</t>
        </is>
      </c>
      <c r="AL1913" s="18" t="inlineStr">
        <is>
          <t>COBBLEVERSE 1.7.42 / DP v31</t>
        </is>
      </c>
      <c r="AM1913" s="18" t="inlineStr">
        <is>
          <t>data/cobblemon/spawn_pool_world/0552_krokorok.json</t>
        </is>
      </c>
      <c r="AN1913" s="18" t="inlineStr">
        <is>
          <t>krokorok-1</t>
        </is>
      </c>
      <c r="AO1913" s="18" t="inlineStr">
        <is>
          <t>pokemon</t>
        </is>
      </c>
      <c r="AP1913" s="18" t="inlineStr">
        <is>
          <t>natural; wild</t>
        </is>
      </c>
      <c r="AQ1913" s="18" t="inlineStr">
        <is>
          <t>{"biomes":["#cobblemon:is_desert"],"maxSkyLight":15,"minSkyLight":8}</t>
        </is>
      </c>
      <c r="AR1913" s="18" t="inlineStr"/>
      <c r="AS1913" s="18" t="inlineStr"/>
      <c r="AT1913" s="19" t="inlineStr"/>
    </row>
    <row r="1914" ht="32" customHeight="1">
      <c r="A1914" s="18" t="inlineStr">
        <is>
          <t>0553_krookodile.json::krookodile-1::001</t>
        </is>
      </c>
      <c r="B1914" s="19" t="inlineStr">
        <is>
          <t>사용</t>
        </is>
      </c>
      <c r="C1914" s="18">
        <f>IF(OR(B1914&lt;&gt;AK1914,M1914&lt;&gt;L1914,O1914&lt;&gt;"",Q1914&lt;&gt;"",V1914&lt;&gt;1,Y1914&lt;&gt;"",AT1914&lt;&gt;""),"수정","원본")</f>
        <v/>
      </c>
      <c r="D1914" s="18" t="n">
        <v>553</v>
      </c>
      <c r="E1914" s="18" t="inlineStr">
        <is>
          <t>악비아르</t>
        </is>
      </c>
      <c r="F1914" s="18" t="inlineStr">
        <is>
          <t>krookodile</t>
        </is>
      </c>
      <c r="G1914" s="18" t="inlineStr">
        <is>
          <t>krookodile</t>
        </is>
      </c>
      <c r="H1914" s="18" t="inlineStr"/>
      <c r="I1914" s="18" t="n">
        <v>5</v>
      </c>
      <c r="J1914" s="18" t="n"/>
      <c r="K1914" s="18" t="n">
        <v>5</v>
      </c>
      <c r="L1914" s="18" t="inlineStr">
        <is>
          <t>cobbleventure:generation_5</t>
        </is>
      </c>
      <c r="M1914" s="19" t="inlineStr">
        <is>
          <t>cobbleventure:generation_5</t>
        </is>
      </c>
      <c r="N1914" s="18" t="inlineStr">
        <is>
          <t>region_02</t>
        </is>
      </c>
      <c r="O1914" s="19" t="inlineStr"/>
      <c r="P1914" s="18" t="inlineStr">
        <is>
          <t>#cobblemon:is_desert</t>
        </is>
      </c>
      <c r="Q1914" s="19" t="inlineStr"/>
      <c r="R1914" s="18">
        <f>IF(Q1914="",P1914,Q1914)</f>
        <v/>
      </c>
      <c r="S1914" s="18" t="inlineStr"/>
      <c r="T1914" s="18" t="inlineStr">
        <is>
          <t>common</t>
        </is>
      </c>
      <c r="U1914" s="20" t="n">
        <v>0.02</v>
      </c>
      <c r="V1914" s="21" t="n">
        <v>1</v>
      </c>
      <c r="W1914" s="20">
        <f>IF(OR(U1914="",V1914=""),U1914,U1914*V1914)</f>
        <v/>
      </c>
      <c r="X1914" s="18" t="inlineStr">
        <is>
          <t>40-52</t>
        </is>
      </c>
      <c r="Y1914" s="19" t="inlineStr"/>
      <c r="Z1914" s="18">
        <f>IF(Y1914="",X1914,Y1914)</f>
        <v/>
      </c>
      <c r="AA1914" s="18" t="inlineStr">
        <is>
          <t>grounded</t>
        </is>
      </c>
      <c r="AB1914" s="18" t="inlineStr"/>
      <c r="AC1914" s="18" t="inlineStr"/>
      <c r="AD1914" s="18" t="inlineStr"/>
      <c r="AE1914" s="18" t="inlineStr">
        <is>
          <t>sky 8-15</t>
        </is>
      </c>
      <c r="AF1914" s="18" t="inlineStr"/>
      <c r="AG1914" s="18" t="inlineStr"/>
      <c r="AH1914" s="18" t="inlineStr"/>
      <c r="AI1914" s="18" t="inlineStr"/>
      <c r="AJ1914" s="18" t="inlineStr">
        <is>
          <t>Cobblemon 동일</t>
        </is>
      </c>
      <c r="AK1914" s="18" t="inlineStr">
        <is>
          <t>사용</t>
        </is>
      </c>
      <c r="AL1914" s="18" t="inlineStr">
        <is>
          <t>COBBLEVERSE 1.7.42 / DP v31</t>
        </is>
      </c>
      <c r="AM1914" s="18" t="inlineStr">
        <is>
          <t>data/cobblemon/spawn_pool_world/0553_krookodile.json</t>
        </is>
      </c>
      <c r="AN1914" s="18" t="inlineStr">
        <is>
          <t>krookodile-1</t>
        </is>
      </c>
      <c r="AO1914" s="18" t="inlineStr">
        <is>
          <t>pokemon</t>
        </is>
      </c>
      <c r="AP1914" s="18" t="inlineStr">
        <is>
          <t>natural; wild</t>
        </is>
      </c>
      <c r="AQ1914" s="18" t="inlineStr">
        <is>
          <t>{"biomes":["#cobblemon:is_desert"],"maxSkyLight":15,"minSkyLight":8}</t>
        </is>
      </c>
      <c r="AR1914" s="18" t="inlineStr"/>
      <c r="AS1914" s="18" t="inlineStr"/>
      <c r="AT1914" s="19" t="inlineStr"/>
    </row>
    <row r="1915" ht="32" customHeight="1">
      <c r="A1915" s="18" t="inlineStr">
        <is>
          <t>0554_darumaka.json::darumaka-1::001</t>
        </is>
      </c>
      <c r="B1915" s="19" t="inlineStr">
        <is>
          <t>사용</t>
        </is>
      </c>
      <c r="C1915" s="18">
        <f>IF(OR(B1915&lt;&gt;AK1915,M1915&lt;&gt;L1915,O1915&lt;&gt;"",Q1915&lt;&gt;"",V1915&lt;&gt;1,Y1915&lt;&gt;"",AT1915&lt;&gt;""),"수정","원본")</f>
        <v/>
      </c>
      <c r="D1915" s="18" t="n">
        <v>554</v>
      </c>
      <c r="E1915" s="18" t="inlineStr">
        <is>
          <t>달막화</t>
        </is>
      </c>
      <c r="F1915" s="18" t="inlineStr">
        <is>
          <t>darumaka</t>
        </is>
      </c>
      <c r="G1915" s="18" t="inlineStr">
        <is>
          <t>darumaka</t>
        </is>
      </c>
      <c r="H1915" s="18" t="inlineStr"/>
      <c r="I1915" s="18" t="n">
        <v>5</v>
      </c>
      <c r="J1915" s="18" t="n"/>
      <c r="K1915" s="18" t="n">
        <v>5</v>
      </c>
      <c r="L1915" s="18" t="inlineStr">
        <is>
          <t>cobbleventure:generation_5</t>
        </is>
      </c>
      <c r="M1915" s="19" t="inlineStr">
        <is>
          <t>cobbleventure:generation_5</t>
        </is>
      </c>
      <c r="N1915" s="18" t="inlineStr">
        <is>
          <t>region_02</t>
        </is>
      </c>
      <c r="O1915" s="19" t="inlineStr"/>
      <c r="P1915" s="18" t="inlineStr">
        <is>
          <t>#cobblemon:is_desert; #cobblemon:is_jungle</t>
        </is>
      </c>
      <c r="Q1915" s="19" t="inlineStr"/>
      <c r="R1915" s="18">
        <f>IF(Q1915="",P1915,Q1915)</f>
        <v/>
      </c>
      <c r="S1915" s="18" t="inlineStr"/>
      <c r="T1915" s="18" t="inlineStr">
        <is>
          <t>common</t>
        </is>
      </c>
      <c r="U1915" s="20" t="n">
        <v>10</v>
      </c>
      <c r="V1915" s="21" t="n">
        <v>1</v>
      </c>
      <c r="W1915" s="20">
        <f>IF(OR(U1915="",V1915=""),U1915,U1915*V1915)</f>
        <v/>
      </c>
      <c r="X1915" s="18" t="inlineStr">
        <is>
          <t>7-32</t>
        </is>
      </c>
      <c r="Y1915" s="19" t="inlineStr"/>
      <c r="Z1915" s="18">
        <f>IF(Y1915="",X1915,Y1915)</f>
        <v/>
      </c>
      <c r="AA1915" s="18" t="inlineStr">
        <is>
          <t>grounded</t>
        </is>
      </c>
      <c r="AB1915" s="18" t="inlineStr"/>
      <c r="AC1915" s="18" t="inlineStr"/>
      <c r="AD1915" s="18" t="inlineStr"/>
      <c r="AE1915" s="18" t="inlineStr">
        <is>
          <t>sky 8-15</t>
        </is>
      </c>
      <c r="AF1915" s="18" t="inlineStr"/>
      <c r="AG1915" s="18" t="inlineStr"/>
      <c r="AH1915" s="18" t="inlineStr"/>
      <c r="AI1915" s="18" t="inlineStr"/>
      <c r="AJ1915" s="18" t="inlineStr">
        <is>
          <t>COBBLEVERSE 수정</t>
        </is>
      </c>
      <c r="AK1915" s="18" t="inlineStr">
        <is>
          <t>사용</t>
        </is>
      </c>
      <c r="AL1915" s="18" t="inlineStr">
        <is>
          <t>COBBLEVERSE 1.7.42 / DP v31</t>
        </is>
      </c>
      <c r="AM1915" s="18" t="inlineStr">
        <is>
          <t>data/cobblemon/spawn_pool_world/0554_darumaka.json</t>
        </is>
      </c>
      <c r="AN1915" s="18" t="inlineStr">
        <is>
          <t>darumaka-1</t>
        </is>
      </c>
      <c r="AO1915" s="18" t="inlineStr">
        <is>
          <t>pokemon</t>
        </is>
      </c>
      <c r="AP1915" s="18" t="inlineStr">
        <is>
          <t>natural</t>
        </is>
      </c>
      <c r="AQ1915" s="18" t="inlineStr">
        <is>
          <t>{"biomes":["#cobblemon:is_desert","#cobblemon:is_jungle"],"maxSkyLight":15,"minSkyLight":8}</t>
        </is>
      </c>
      <c r="AR1915" s="18" t="inlineStr"/>
      <c r="AS1915" s="18" t="inlineStr"/>
      <c r="AT1915" s="19" t="inlineStr"/>
    </row>
    <row r="1916" ht="32" customHeight="1">
      <c r="A1916" s="18" t="inlineStr">
        <is>
          <t>0554_darumaka.json::darumaka-2::002</t>
        </is>
      </c>
      <c r="B1916" s="19" t="inlineStr">
        <is>
          <t>사용</t>
        </is>
      </c>
      <c r="C1916" s="18">
        <f>IF(OR(B1916&lt;&gt;AK1916,M1916&lt;&gt;L1916,O1916&lt;&gt;"",Q1916&lt;&gt;"",V1916&lt;&gt;1,Y1916&lt;&gt;"",AT1916&lt;&gt;""),"수정","원본")</f>
        <v/>
      </c>
      <c r="D1916" s="18" t="n">
        <v>554</v>
      </c>
      <c r="E1916" s="18" t="inlineStr">
        <is>
          <t>달막화</t>
        </is>
      </c>
      <c r="F1916" s="18" t="inlineStr">
        <is>
          <t>darumaka</t>
        </is>
      </c>
      <c r="G1916" s="18" t="inlineStr">
        <is>
          <t>darumaka</t>
        </is>
      </c>
      <c r="H1916" s="18" t="inlineStr"/>
      <c r="I1916" s="18" t="n">
        <v>5</v>
      </c>
      <c r="J1916" s="18" t="n"/>
      <c r="K1916" s="18" t="n">
        <v>5</v>
      </c>
      <c r="L1916" s="18" t="inlineStr">
        <is>
          <t>cobbleventure:generation_5</t>
        </is>
      </c>
      <c r="M1916" s="19" t="inlineStr">
        <is>
          <t>cobbleventure:generation_5</t>
        </is>
      </c>
      <c r="N1916" s="18" t="inlineStr">
        <is>
          <t>region_02</t>
        </is>
      </c>
      <c r="O1916" s="19" t="inlineStr"/>
      <c r="P1916" s="18" t="inlineStr">
        <is>
          <t>#cobblemon:is_desert</t>
        </is>
      </c>
      <c r="Q1916" s="19" t="inlineStr"/>
      <c r="R1916" s="18">
        <f>IF(Q1916="",P1916,Q1916)</f>
        <v/>
      </c>
      <c r="S1916" s="18" t="inlineStr"/>
      <c r="T1916" s="18" t="inlineStr">
        <is>
          <t>common</t>
        </is>
      </c>
      <c r="U1916" s="20" t="n">
        <v>54</v>
      </c>
      <c r="V1916" s="21" t="n">
        <v>1</v>
      </c>
      <c r="W1916" s="20">
        <f>IF(OR(U1916="",V1916=""),U1916,U1916*V1916)</f>
        <v/>
      </c>
      <c r="X1916" s="18" t="inlineStr">
        <is>
          <t>7-32</t>
        </is>
      </c>
      <c r="Y1916" s="19" t="inlineStr"/>
      <c r="Z1916" s="18">
        <f>IF(Y1916="",X1916,Y1916)</f>
        <v/>
      </c>
      <c r="AA1916" s="18" t="inlineStr">
        <is>
          <t>grounded</t>
        </is>
      </c>
      <c r="AB1916" s="18" t="inlineStr"/>
      <c r="AC1916" s="18" t="inlineStr"/>
      <c r="AD1916" s="18" t="inlineStr"/>
      <c r="AE1916" s="18" t="inlineStr">
        <is>
          <t>sky 8-15</t>
        </is>
      </c>
      <c r="AF1916" s="18" t="inlineStr"/>
      <c r="AG1916" s="18" t="inlineStr"/>
      <c r="AH1916" s="18" t="inlineStr"/>
      <c r="AI1916" s="18" t="inlineStr"/>
      <c r="AJ1916" s="18" t="inlineStr">
        <is>
          <t>COBBLEVERSE 수정</t>
        </is>
      </c>
      <c r="AK1916" s="18" t="inlineStr">
        <is>
          <t>사용</t>
        </is>
      </c>
      <c r="AL1916" s="18" t="inlineStr">
        <is>
          <t>COBBLEVERSE 1.7.42 / DP v31</t>
        </is>
      </c>
      <c r="AM1916" s="18" t="inlineStr">
        <is>
          <t>data/cobblemon/spawn_pool_world/0554_darumaka.json</t>
        </is>
      </c>
      <c r="AN1916" s="18" t="inlineStr">
        <is>
          <t>darumaka-2</t>
        </is>
      </c>
      <c r="AO1916" s="18" t="inlineStr">
        <is>
          <t>pokemon</t>
        </is>
      </c>
      <c r="AP1916" s="18" t="inlineStr">
        <is>
          <t>natural; desert_pyramid</t>
        </is>
      </c>
      <c r="AQ1916" s="18" t="inlineStr">
        <is>
          <t>{"biomes":["#cobblemon:is_desert"],"maxSkyLight":15,"minSkyLight":8}</t>
        </is>
      </c>
      <c r="AR1916" s="18" t="inlineStr"/>
      <c r="AS1916" s="18" t="inlineStr"/>
      <c r="AT1916" s="19" t="inlineStr"/>
    </row>
    <row r="1917" ht="32" customHeight="1">
      <c r="A1917" s="18" t="inlineStr">
        <is>
          <t>0554_darumaka.json::darumaka-3::003</t>
        </is>
      </c>
      <c r="B1917" s="19" t="inlineStr">
        <is>
          <t>사용</t>
        </is>
      </c>
      <c r="C1917" s="18">
        <f>IF(OR(B1917&lt;&gt;AK1917,M1917&lt;&gt;L1917,O1917&lt;&gt;"",Q1917&lt;&gt;"",V1917&lt;&gt;1,Y1917&lt;&gt;"",AT1917&lt;&gt;""),"수정","원본")</f>
        <v/>
      </c>
      <c r="D1917" s="18" t="n">
        <v>554</v>
      </c>
      <c r="E1917" s="18" t="inlineStr">
        <is>
          <t>달막화</t>
        </is>
      </c>
      <c r="F1917" s="18" t="inlineStr">
        <is>
          <t>darumaka</t>
        </is>
      </c>
      <c r="G1917" s="18" t="inlineStr">
        <is>
          <t>darumaka</t>
        </is>
      </c>
      <c r="H1917" s="18" t="inlineStr"/>
      <c r="I1917" s="18" t="n">
        <v>5</v>
      </c>
      <c r="J1917" s="18" t="n"/>
      <c r="K1917" s="18" t="n">
        <v>5</v>
      </c>
      <c r="L1917" s="18" t="inlineStr">
        <is>
          <t>cobbleventure:generation_5</t>
        </is>
      </c>
      <c r="M1917" s="19" t="inlineStr">
        <is>
          <t>cobbleventure:generation_5</t>
        </is>
      </c>
      <c r="N1917" s="18" t="inlineStr"/>
      <c r="O1917" s="19" t="inlineStr"/>
      <c r="P1917" s="18" t="inlineStr">
        <is>
          <t>#cobblemon:is_jungle</t>
        </is>
      </c>
      <c r="Q1917" s="19" t="inlineStr"/>
      <c r="R1917" s="18">
        <f>IF(Q1917="",P1917,Q1917)</f>
        <v/>
      </c>
      <c r="S1917" s="18" t="inlineStr"/>
      <c r="T1917" s="18" t="inlineStr">
        <is>
          <t>common</t>
        </is>
      </c>
      <c r="U1917" s="20" t="n">
        <v>54</v>
      </c>
      <c r="V1917" s="21" t="n">
        <v>1</v>
      </c>
      <c r="W1917" s="20">
        <f>IF(OR(U1917="",V1917=""),U1917,U1917*V1917)</f>
        <v/>
      </c>
      <c r="X1917" s="18" t="inlineStr">
        <is>
          <t>7-32</t>
        </is>
      </c>
      <c r="Y1917" s="19" t="inlineStr"/>
      <c r="Z1917" s="18">
        <f>IF(Y1917="",X1917,Y1917)</f>
        <v/>
      </c>
      <c r="AA1917" s="18" t="inlineStr">
        <is>
          <t>grounded</t>
        </is>
      </c>
      <c r="AB1917" s="18" t="inlineStr"/>
      <c r="AC1917" s="18" t="inlineStr"/>
      <c r="AD1917" s="18" t="inlineStr"/>
      <c r="AE1917" s="18" t="inlineStr">
        <is>
          <t>sky 8-15</t>
        </is>
      </c>
      <c r="AF1917" s="18" t="inlineStr"/>
      <c r="AG1917" s="18" t="inlineStr"/>
      <c r="AH1917" s="18" t="inlineStr"/>
      <c r="AI1917" s="18" t="inlineStr"/>
      <c r="AJ1917" s="18" t="inlineStr">
        <is>
          <t>COBBLEVERSE 수정</t>
        </is>
      </c>
      <c r="AK1917" s="18" t="inlineStr">
        <is>
          <t>사용</t>
        </is>
      </c>
      <c r="AL1917" s="18" t="inlineStr">
        <is>
          <t>COBBLEVERSE 1.7.42 / DP v31</t>
        </is>
      </c>
      <c r="AM1917" s="18" t="inlineStr">
        <is>
          <t>data/cobblemon/spawn_pool_world/0554_darumaka.json</t>
        </is>
      </c>
      <c r="AN1917" s="18" t="inlineStr">
        <is>
          <t>darumaka-3</t>
        </is>
      </c>
      <c r="AO1917" s="18" t="inlineStr">
        <is>
          <t>pokemon</t>
        </is>
      </c>
      <c r="AP1917" s="18" t="inlineStr">
        <is>
          <t>natural; jungle_pyramid</t>
        </is>
      </c>
      <c r="AQ1917" s="18" t="inlineStr">
        <is>
          <t>{"biomes":["#cobblemon:is_jungle"],"maxSkyLight":15,"minSkyLight":8}</t>
        </is>
      </c>
      <c r="AR1917" s="18" t="inlineStr"/>
      <c r="AS1917" s="18" t="inlineStr"/>
      <c r="AT1917" s="19" t="inlineStr"/>
    </row>
    <row r="1918" ht="32" customHeight="1">
      <c r="A1918" s="18" t="inlineStr">
        <is>
          <t>0554_darumaka.json::darumaka-4::004</t>
        </is>
      </c>
      <c r="B1918" s="19" t="inlineStr">
        <is>
          <t>사용</t>
        </is>
      </c>
      <c r="C1918" s="18">
        <f>IF(OR(B1918&lt;&gt;AK1918,M1918&lt;&gt;L1918,O1918&lt;&gt;"",Q1918&lt;&gt;"",V1918&lt;&gt;1,Y1918&lt;&gt;"",AT1918&lt;&gt;""),"수정","원본")</f>
        <v/>
      </c>
      <c r="D1918" s="18" t="n">
        <v>554</v>
      </c>
      <c r="E1918" s="18" t="inlineStr">
        <is>
          <t>달막화</t>
        </is>
      </c>
      <c r="F1918" s="18" t="inlineStr">
        <is>
          <t>darumaka</t>
        </is>
      </c>
      <c r="G1918" s="18" t="inlineStr">
        <is>
          <t>darumaka</t>
        </is>
      </c>
      <c r="H1918" s="18" t="inlineStr"/>
      <c r="I1918" s="18" t="n">
        <v>5</v>
      </c>
      <c r="J1918" s="18" t="n"/>
      <c r="K1918" s="18" t="n">
        <v>5</v>
      </c>
      <c r="L1918" s="18" t="inlineStr">
        <is>
          <t>cobbleventure:generation_5</t>
        </is>
      </c>
      <c r="M1918" s="19" t="inlineStr">
        <is>
          <t>cobbleventure:generation_5</t>
        </is>
      </c>
      <c r="N1918" s="18" t="inlineStr"/>
      <c r="O1918" s="19" t="inlineStr"/>
      <c r="P1918" s="18" t="inlineStr">
        <is>
          <t>#minecraft:is_nether</t>
        </is>
      </c>
      <c r="Q1918" s="19" t="inlineStr"/>
      <c r="R1918" s="18">
        <f>IF(Q1918="",P1918,Q1918)</f>
        <v/>
      </c>
      <c r="S1918" s="18" t="inlineStr">
        <is>
          <t>#cobblemon:nether/is_frozen; #cobblemon:nether/is_quartz; #cobblemon:nether/is_toxic</t>
        </is>
      </c>
      <c r="T1918" s="18" t="inlineStr">
        <is>
          <t>common</t>
        </is>
      </c>
      <c r="U1918" s="20" t="n">
        <v>5.4</v>
      </c>
      <c r="V1918" s="21" t="n">
        <v>1</v>
      </c>
      <c r="W1918" s="20">
        <f>IF(OR(U1918="",V1918=""),U1918,U1918*V1918)</f>
        <v/>
      </c>
      <c r="X1918" s="18" t="inlineStr">
        <is>
          <t>7-32</t>
        </is>
      </c>
      <c r="Y1918" s="19" t="inlineStr"/>
      <c r="Z1918" s="18">
        <f>IF(Y1918="",X1918,Y1918)</f>
        <v/>
      </c>
      <c r="AA1918" s="18" t="inlineStr">
        <is>
          <t>grounded</t>
        </is>
      </c>
      <c r="AB1918" s="18" t="inlineStr"/>
      <c r="AC1918" s="18" t="inlineStr"/>
      <c r="AD1918" s="18" t="inlineStr"/>
      <c r="AE1918" s="18" t="inlineStr"/>
      <c r="AF1918" s="18" t="inlineStr"/>
      <c r="AG1918" s="18" t="inlineStr"/>
      <c r="AH1918" s="18" t="inlineStr"/>
      <c r="AI1918" s="18" t="inlineStr"/>
      <c r="AJ1918" s="18" t="inlineStr">
        <is>
          <t>COBBLEVERSE 수정</t>
        </is>
      </c>
      <c r="AK1918" s="18" t="inlineStr">
        <is>
          <t>사용</t>
        </is>
      </c>
      <c r="AL1918" s="18" t="inlineStr">
        <is>
          <t>COBBLEVERSE 1.7.42 / DP v31</t>
        </is>
      </c>
      <c r="AM1918" s="18" t="inlineStr">
        <is>
          <t>data/cobblemon/spawn_pool_world/0554_darumaka.json</t>
        </is>
      </c>
      <c r="AN1918" s="18" t="inlineStr">
        <is>
          <t>darumaka-4</t>
        </is>
      </c>
      <c r="AO1918" s="18" t="inlineStr">
        <is>
          <t>pokemon</t>
        </is>
      </c>
      <c r="AP1918" s="18" t="inlineStr">
        <is>
          <t>natural</t>
        </is>
      </c>
      <c r="AQ1918" s="18" t="inlineStr">
        <is>
          <t>{"biomes":["#minecraft:is_nether"]}</t>
        </is>
      </c>
      <c r="AR1918" s="18" t="inlineStr">
        <is>
          <t>{"biomes":["#cobblemon:nether/is_frozen","#cobblemon:nether/is_quartz","#cobblemon:nether/is_toxic"]}</t>
        </is>
      </c>
      <c r="AS1918" s="18" t="inlineStr"/>
      <c r="AT1918" s="19" t="inlineStr"/>
    </row>
    <row r="1919" ht="32" customHeight="1">
      <c r="A1919" s="18" t="inlineStr">
        <is>
          <t>0554_darumaka_galarian.json::darumaka-galarian-1::001</t>
        </is>
      </c>
      <c r="B1919" s="19" t="inlineStr">
        <is>
          <t>사용</t>
        </is>
      </c>
      <c r="C1919" s="18">
        <f>IF(OR(B1919&lt;&gt;AK1919,M1919&lt;&gt;L1919,O1919&lt;&gt;"",Q1919&lt;&gt;"",V1919&lt;&gt;1,Y1919&lt;&gt;"",AT1919&lt;&gt;""),"수정","원본")</f>
        <v/>
      </c>
      <c r="D1919" s="18" t="n">
        <v>554</v>
      </c>
      <c r="E1919" s="18" t="inlineStr">
        <is>
          <t>달막화</t>
        </is>
      </c>
      <c r="F1919" s="18" t="inlineStr">
        <is>
          <t>darumaka</t>
        </is>
      </c>
      <c r="G1919" s="18" t="inlineStr">
        <is>
          <t>darumaka galarian</t>
        </is>
      </c>
      <c r="H1919" s="18" t="inlineStr">
        <is>
          <t>galarian</t>
        </is>
      </c>
      <c r="I1919" s="18" t="n">
        <v>5</v>
      </c>
      <c r="J1919" s="18" t="n">
        <v>8</v>
      </c>
      <c r="K1919" s="18" t="n">
        <v>8</v>
      </c>
      <c r="L1919" s="18" t="inlineStr">
        <is>
          <t>cobbleventure:generation_8</t>
        </is>
      </c>
      <c r="M1919" s="19" t="inlineStr">
        <is>
          <t>cobbleventure:generation_8</t>
        </is>
      </c>
      <c r="N1919" s="18" t="inlineStr"/>
      <c r="O1919" s="19" t="inlineStr"/>
      <c r="P1919" s="18" t="inlineStr">
        <is>
          <t>minecraft:frozen_peaks; minecraft:ice_spikes; #cobblemon:is_freezing; #cobblemon:is_cold</t>
        </is>
      </c>
      <c r="Q1919" s="19" t="inlineStr"/>
      <c r="R1919" s="18">
        <f>IF(Q1919="",P1919,Q1919)</f>
        <v/>
      </c>
      <c r="S1919" s="18" t="inlineStr"/>
      <c r="T1919" s="18" t="inlineStr">
        <is>
          <t>uncommon</t>
        </is>
      </c>
      <c r="U1919" s="20" t="n">
        <v>2</v>
      </c>
      <c r="V1919" s="21" t="n">
        <v>1</v>
      </c>
      <c r="W1919" s="20">
        <f>IF(OR(U1919="",V1919=""),U1919,U1919*V1919)</f>
        <v/>
      </c>
      <c r="X1919" s="18" t="inlineStr">
        <is>
          <t>25-45</t>
        </is>
      </c>
      <c r="Y1919" s="19" t="inlineStr"/>
      <c r="Z1919" s="18">
        <f>IF(Y1919="",X1919,Y1919)</f>
        <v/>
      </c>
      <c r="AA1919" s="18" t="inlineStr">
        <is>
          <t>grounded</t>
        </is>
      </c>
      <c r="AB1919" s="18" t="inlineStr"/>
      <c r="AC1919" s="18" t="inlineStr"/>
      <c r="AD1919" s="18" t="inlineStr"/>
      <c r="AE1919" s="18" t="inlineStr"/>
      <c r="AF1919" s="18" t="inlineStr">
        <is>
          <t>True</t>
        </is>
      </c>
      <c r="AG1919" s="18" t="inlineStr"/>
      <c r="AH1919" s="18" t="inlineStr"/>
      <c r="AI1919" s="18" t="inlineStr"/>
      <c r="AJ1919" s="18" t="inlineStr">
        <is>
          <t>COBBLEVERSE 추가</t>
        </is>
      </c>
      <c r="AK1919" s="18" t="inlineStr">
        <is>
          <t>사용</t>
        </is>
      </c>
      <c r="AL1919" s="18" t="inlineStr">
        <is>
          <t>COBBLEVERSE 1.7.42 / DP v31</t>
        </is>
      </c>
      <c r="AM1919" s="18" t="inlineStr">
        <is>
          <t>data/cobblemon/spawn_pool_world/0554_darumaka_galarian.json</t>
        </is>
      </c>
      <c r="AN1919" s="18" t="inlineStr">
        <is>
          <t>darumaka-galarian-1</t>
        </is>
      </c>
      <c r="AO1919" s="18" t="inlineStr">
        <is>
          <t>pokemon</t>
        </is>
      </c>
      <c r="AP1919" s="18" t="inlineStr">
        <is>
          <t>natural</t>
        </is>
      </c>
      <c r="AQ1919" s="18" t="inlineStr">
        <is>
          <t>{"biomes":["minecraft:frozen_peaks","minecraft:ice_spikes","#cobblemon:is_freezing","#cobblemon:is_cold"],"canSeeSky":true}</t>
        </is>
      </c>
      <c r="AR1919" s="18" t="inlineStr"/>
      <c r="AS1919" s="18" t="inlineStr"/>
      <c r="AT1919" s="19" t="inlineStr"/>
    </row>
    <row r="1920" ht="32" customHeight="1">
      <c r="A1920" s="18" t="inlineStr">
        <is>
          <t>0555_darmanitan.json::darmanitan-1::001</t>
        </is>
      </c>
      <c r="B1920" s="19" t="inlineStr">
        <is>
          <t>사용</t>
        </is>
      </c>
      <c r="C1920" s="18">
        <f>IF(OR(B1920&lt;&gt;AK1920,M1920&lt;&gt;L1920,O1920&lt;&gt;"",Q1920&lt;&gt;"",V1920&lt;&gt;1,Y1920&lt;&gt;"",AT1920&lt;&gt;""),"수정","원본")</f>
        <v/>
      </c>
      <c r="D1920" s="18" t="n">
        <v>555</v>
      </c>
      <c r="E1920" s="18" t="inlineStr">
        <is>
          <t>불비달마</t>
        </is>
      </c>
      <c r="F1920" s="18" t="inlineStr">
        <is>
          <t>darmanitan</t>
        </is>
      </c>
      <c r="G1920" s="18" t="inlineStr">
        <is>
          <t>darmanitan</t>
        </is>
      </c>
      <c r="H1920" s="18" t="inlineStr"/>
      <c r="I1920" s="18" t="n">
        <v>5</v>
      </c>
      <c r="J1920" s="18" t="n"/>
      <c r="K1920" s="18" t="n">
        <v>5</v>
      </c>
      <c r="L1920" s="18" t="inlineStr">
        <is>
          <t>cobbleventure:generation_5</t>
        </is>
      </c>
      <c r="M1920" s="19" t="inlineStr">
        <is>
          <t>cobbleventure:generation_5</t>
        </is>
      </c>
      <c r="N1920" s="18" t="inlineStr">
        <is>
          <t>region_02</t>
        </is>
      </c>
      <c r="O1920" s="19" t="inlineStr"/>
      <c r="P1920" s="18" t="inlineStr">
        <is>
          <t>#cobblemon:is_desert; #cobblemon:is_jungle</t>
        </is>
      </c>
      <c r="Q1920" s="19" t="inlineStr"/>
      <c r="R1920" s="18">
        <f>IF(Q1920="",P1920,Q1920)</f>
        <v/>
      </c>
      <c r="S1920" s="18" t="inlineStr"/>
      <c r="T1920" s="18" t="inlineStr">
        <is>
          <t>common</t>
        </is>
      </c>
      <c r="U1920" s="20" t="n">
        <v>5.4</v>
      </c>
      <c r="V1920" s="21" t="n">
        <v>1</v>
      </c>
      <c r="W1920" s="20">
        <f>IF(OR(U1920="",V1920=""),U1920,U1920*V1920)</f>
        <v/>
      </c>
      <c r="X1920" s="18" t="inlineStr">
        <is>
          <t>35-54</t>
        </is>
      </c>
      <c r="Y1920" s="19" t="inlineStr"/>
      <c r="Z1920" s="18">
        <f>IF(Y1920="",X1920,Y1920)</f>
        <v/>
      </c>
      <c r="AA1920" s="18" t="inlineStr">
        <is>
          <t>grounded</t>
        </is>
      </c>
      <c r="AB1920" s="18" t="inlineStr"/>
      <c r="AC1920" s="18" t="inlineStr"/>
      <c r="AD1920" s="18" t="inlineStr"/>
      <c r="AE1920" s="18" t="inlineStr">
        <is>
          <t>sky 8-15</t>
        </is>
      </c>
      <c r="AF1920" s="18" t="inlineStr"/>
      <c r="AG1920" s="18" t="inlineStr">
        <is>
          <t>#cobblemon:ruin</t>
        </is>
      </c>
      <c r="AH1920" s="18" t="inlineStr"/>
      <c r="AI1920" s="18" t="inlineStr"/>
      <c r="AJ1920" s="18" t="inlineStr">
        <is>
          <t>Cobblemon 동일</t>
        </is>
      </c>
      <c r="AK1920" s="18" t="inlineStr">
        <is>
          <t>사용</t>
        </is>
      </c>
      <c r="AL1920" s="18" t="inlineStr">
        <is>
          <t>COBBLEVERSE 1.7.42 / DP v31</t>
        </is>
      </c>
      <c r="AM1920" s="18" t="inlineStr">
        <is>
          <t>data/cobblemon/spawn_pool_world/0555_darmanitan.json</t>
        </is>
      </c>
      <c r="AN1920" s="18" t="inlineStr">
        <is>
          <t>darmanitan-1</t>
        </is>
      </c>
      <c r="AO1920" s="18" t="inlineStr">
        <is>
          <t>pokemon</t>
        </is>
      </c>
      <c r="AP1920" s="18" t="inlineStr">
        <is>
          <t>natural</t>
        </is>
      </c>
      <c r="AQ1920" s="18" t="inlineStr">
        <is>
          <t>{"biomes":["#cobblemon:is_desert","#cobblemon:is_jungle"],"maxSkyLight":15,"minSkyLight":8,"structures":["#cobblemon:ruin"]}</t>
        </is>
      </c>
      <c r="AR1920" s="18" t="inlineStr"/>
      <c r="AS1920" s="18" t="inlineStr"/>
      <c r="AT1920" s="19" t="inlineStr"/>
    </row>
    <row r="1921" ht="32" customHeight="1">
      <c r="A1921" s="18" t="inlineStr">
        <is>
          <t>0555_darmanitan.json::darmanitan-2::002</t>
        </is>
      </c>
      <c r="B1921" s="19" t="inlineStr">
        <is>
          <t>사용</t>
        </is>
      </c>
      <c r="C1921" s="18">
        <f>IF(OR(B1921&lt;&gt;AK1921,M1921&lt;&gt;L1921,O1921&lt;&gt;"",Q1921&lt;&gt;"",V1921&lt;&gt;1,Y1921&lt;&gt;"",AT1921&lt;&gt;""),"수정","원본")</f>
        <v/>
      </c>
      <c r="D1921" s="18" t="n">
        <v>555</v>
      </c>
      <c r="E1921" s="18" t="inlineStr">
        <is>
          <t>불비달마</t>
        </is>
      </c>
      <c r="F1921" s="18" t="inlineStr">
        <is>
          <t>darmanitan</t>
        </is>
      </c>
      <c r="G1921" s="18" t="inlineStr">
        <is>
          <t>darmanitan</t>
        </is>
      </c>
      <c r="H1921" s="18" t="inlineStr"/>
      <c r="I1921" s="18" t="n">
        <v>5</v>
      </c>
      <c r="J1921" s="18" t="n"/>
      <c r="K1921" s="18" t="n">
        <v>5</v>
      </c>
      <c r="L1921" s="18" t="inlineStr">
        <is>
          <t>cobbleventure:generation_5</t>
        </is>
      </c>
      <c r="M1921" s="19" t="inlineStr">
        <is>
          <t>cobbleventure:generation_5</t>
        </is>
      </c>
      <c r="N1921" s="18" t="inlineStr">
        <is>
          <t>region_02</t>
        </is>
      </c>
      <c r="O1921" s="19" t="inlineStr"/>
      <c r="P1921" s="18" t="inlineStr">
        <is>
          <t>#cobblemon:is_desert</t>
        </is>
      </c>
      <c r="Q1921" s="19" t="inlineStr"/>
      <c r="R1921" s="18">
        <f>IF(Q1921="",P1921,Q1921)</f>
        <v/>
      </c>
      <c r="S1921" s="18" t="inlineStr"/>
      <c r="T1921" s="18" t="inlineStr">
        <is>
          <t>common</t>
        </is>
      </c>
      <c r="U1921" s="20" t="n">
        <v>5.4</v>
      </c>
      <c r="V1921" s="21" t="n">
        <v>1</v>
      </c>
      <c r="W1921" s="20">
        <f>IF(OR(U1921="",V1921=""),U1921,U1921*V1921)</f>
        <v/>
      </c>
      <c r="X1921" s="18" t="inlineStr">
        <is>
          <t>35-54</t>
        </is>
      </c>
      <c r="Y1921" s="19" t="inlineStr"/>
      <c r="Z1921" s="18">
        <f>IF(Y1921="",X1921,Y1921)</f>
        <v/>
      </c>
      <c r="AA1921" s="18" t="inlineStr">
        <is>
          <t>grounded</t>
        </is>
      </c>
      <c r="AB1921" s="18" t="inlineStr"/>
      <c r="AC1921" s="18" t="inlineStr"/>
      <c r="AD1921" s="18" t="inlineStr"/>
      <c r="AE1921" s="18" t="inlineStr">
        <is>
          <t>sky 8-15</t>
        </is>
      </c>
      <c r="AF1921" s="18" t="inlineStr"/>
      <c r="AG1921" s="18" t="inlineStr"/>
      <c r="AH1921" s="18" t="inlineStr"/>
      <c r="AI1921" s="18" t="inlineStr"/>
      <c r="AJ1921" s="18" t="inlineStr">
        <is>
          <t>Cobblemon 동일</t>
        </is>
      </c>
      <c r="AK1921" s="18" t="inlineStr">
        <is>
          <t>사용</t>
        </is>
      </c>
      <c r="AL1921" s="18" t="inlineStr">
        <is>
          <t>COBBLEVERSE 1.7.42 / DP v31</t>
        </is>
      </c>
      <c r="AM1921" s="18" t="inlineStr">
        <is>
          <t>data/cobblemon/spawn_pool_world/0555_darmanitan.json</t>
        </is>
      </c>
      <c r="AN1921" s="18" t="inlineStr">
        <is>
          <t>darmanitan-2</t>
        </is>
      </c>
      <c r="AO1921" s="18" t="inlineStr">
        <is>
          <t>pokemon</t>
        </is>
      </c>
      <c r="AP1921" s="18" t="inlineStr">
        <is>
          <t>natural; desert_pyramid</t>
        </is>
      </c>
      <c r="AQ1921" s="18" t="inlineStr">
        <is>
          <t>{"biomes":["#cobblemon:is_desert"],"maxSkyLight":15,"minSkyLight":8}</t>
        </is>
      </c>
      <c r="AR1921" s="18" t="inlineStr"/>
      <c r="AS1921" s="18" t="inlineStr"/>
      <c r="AT1921" s="19" t="inlineStr"/>
    </row>
    <row r="1922" ht="32" customHeight="1">
      <c r="A1922" s="18" t="inlineStr">
        <is>
          <t>0555_darmanitan.json::darmanitan-3::003</t>
        </is>
      </c>
      <c r="B1922" s="19" t="inlineStr">
        <is>
          <t>사용</t>
        </is>
      </c>
      <c r="C1922" s="18">
        <f>IF(OR(B1922&lt;&gt;AK1922,M1922&lt;&gt;L1922,O1922&lt;&gt;"",Q1922&lt;&gt;"",V1922&lt;&gt;1,Y1922&lt;&gt;"",AT1922&lt;&gt;""),"수정","원본")</f>
        <v/>
      </c>
      <c r="D1922" s="18" t="n">
        <v>555</v>
      </c>
      <c r="E1922" s="18" t="inlineStr">
        <is>
          <t>불비달마</t>
        </is>
      </c>
      <c r="F1922" s="18" t="inlineStr">
        <is>
          <t>darmanitan</t>
        </is>
      </c>
      <c r="G1922" s="18" t="inlineStr">
        <is>
          <t>darmanitan</t>
        </is>
      </c>
      <c r="H1922" s="18" t="inlineStr"/>
      <c r="I1922" s="18" t="n">
        <v>5</v>
      </c>
      <c r="J1922" s="18" t="n"/>
      <c r="K1922" s="18" t="n">
        <v>5</v>
      </c>
      <c r="L1922" s="18" t="inlineStr">
        <is>
          <t>cobbleventure:generation_5</t>
        </is>
      </c>
      <c r="M1922" s="19" t="inlineStr">
        <is>
          <t>cobbleventure:generation_5</t>
        </is>
      </c>
      <c r="N1922" s="18" t="inlineStr"/>
      <c r="O1922" s="19" t="inlineStr"/>
      <c r="P1922" s="18" t="inlineStr">
        <is>
          <t>#cobblemon:is_jungle</t>
        </is>
      </c>
      <c r="Q1922" s="19" t="inlineStr"/>
      <c r="R1922" s="18">
        <f>IF(Q1922="",P1922,Q1922)</f>
        <v/>
      </c>
      <c r="S1922" s="18" t="inlineStr"/>
      <c r="T1922" s="18" t="inlineStr">
        <is>
          <t>common</t>
        </is>
      </c>
      <c r="U1922" s="20" t="n">
        <v>5.4</v>
      </c>
      <c r="V1922" s="21" t="n">
        <v>1</v>
      </c>
      <c r="W1922" s="20">
        <f>IF(OR(U1922="",V1922=""),U1922,U1922*V1922)</f>
        <v/>
      </c>
      <c r="X1922" s="18" t="inlineStr">
        <is>
          <t>35-54</t>
        </is>
      </c>
      <c r="Y1922" s="19" t="inlineStr"/>
      <c r="Z1922" s="18">
        <f>IF(Y1922="",X1922,Y1922)</f>
        <v/>
      </c>
      <c r="AA1922" s="18" t="inlineStr">
        <is>
          <t>grounded</t>
        </is>
      </c>
      <c r="AB1922" s="18" t="inlineStr"/>
      <c r="AC1922" s="18" t="inlineStr"/>
      <c r="AD1922" s="18" t="inlineStr"/>
      <c r="AE1922" s="18" t="inlineStr">
        <is>
          <t>sky 8-15</t>
        </is>
      </c>
      <c r="AF1922" s="18" t="inlineStr"/>
      <c r="AG1922" s="18" t="inlineStr"/>
      <c r="AH1922" s="18" t="inlineStr"/>
      <c r="AI1922" s="18" t="inlineStr"/>
      <c r="AJ1922" s="18" t="inlineStr">
        <is>
          <t>Cobblemon 동일</t>
        </is>
      </c>
      <c r="AK1922" s="18" t="inlineStr">
        <is>
          <t>사용</t>
        </is>
      </c>
      <c r="AL1922" s="18" t="inlineStr">
        <is>
          <t>COBBLEVERSE 1.7.42 / DP v31</t>
        </is>
      </c>
      <c r="AM1922" s="18" t="inlineStr">
        <is>
          <t>data/cobblemon/spawn_pool_world/0555_darmanitan.json</t>
        </is>
      </c>
      <c r="AN1922" s="18" t="inlineStr">
        <is>
          <t>darmanitan-3</t>
        </is>
      </c>
      <c r="AO1922" s="18" t="inlineStr">
        <is>
          <t>pokemon</t>
        </is>
      </c>
      <c r="AP1922" s="18" t="inlineStr">
        <is>
          <t>natural; jungle_pyramid</t>
        </is>
      </c>
      <c r="AQ1922" s="18" t="inlineStr">
        <is>
          <t>{"biomes":["#cobblemon:is_jungle"],"maxSkyLight":15,"minSkyLight":8}</t>
        </is>
      </c>
      <c r="AR1922" s="18" t="inlineStr"/>
      <c r="AS1922" s="18" t="inlineStr"/>
      <c r="AT1922" s="19" t="inlineStr"/>
    </row>
    <row r="1923" ht="32" customHeight="1">
      <c r="A1923" s="18" t="inlineStr">
        <is>
          <t>0555_darmanitan.json::darmanitan-4::004</t>
        </is>
      </c>
      <c r="B1923" s="19" t="inlineStr">
        <is>
          <t>사용</t>
        </is>
      </c>
      <c r="C1923" s="18">
        <f>IF(OR(B1923&lt;&gt;AK1923,M1923&lt;&gt;L1923,O1923&lt;&gt;"",Q1923&lt;&gt;"",V1923&lt;&gt;1,Y1923&lt;&gt;"",AT1923&lt;&gt;""),"수정","원본")</f>
        <v/>
      </c>
      <c r="D1923" s="18" t="n">
        <v>555</v>
      </c>
      <c r="E1923" s="18" t="inlineStr">
        <is>
          <t>불비달마</t>
        </is>
      </c>
      <c r="F1923" s="18" t="inlineStr">
        <is>
          <t>darmanitan</t>
        </is>
      </c>
      <c r="G1923" s="18" t="inlineStr">
        <is>
          <t>darmanitan</t>
        </is>
      </c>
      <c r="H1923" s="18" t="inlineStr"/>
      <c r="I1923" s="18" t="n">
        <v>5</v>
      </c>
      <c r="J1923" s="18" t="n"/>
      <c r="K1923" s="18" t="n">
        <v>5</v>
      </c>
      <c r="L1923" s="18" t="inlineStr">
        <is>
          <t>cobbleventure:generation_5</t>
        </is>
      </c>
      <c r="M1923" s="19" t="inlineStr">
        <is>
          <t>cobbleventure:generation_5</t>
        </is>
      </c>
      <c r="N1923" s="18" t="inlineStr"/>
      <c r="O1923" s="19" t="inlineStr"/>
      <c r="P1923" s="18" t="inlineStr">
        <is>
          <t>#minecraft:is_nether</t>
        </is>
      </c>
      <c r="Q1923" s="19" t="inlineStr"/>
      <c r="R1923" s="18">
        <f>IF(Q1923="",P1923,Q1923)</f>
        <v/>
      </c>
      <c r="S1923" s="18" t="inlineStr">
        <is>
          <t>#cobblemon:nether/is_frozen; #cobblemon:nether/is_quartz; #cobblemon:nether/is_toxic</t>
        </is>
      </c>
      <c r="T1923" s="18" t="inlineStr">
        <is>
          <t>common</t>
        </is>
      </c>
      <c r="U1923" s="20" t="n">
        <v>0.6</v>
      </c>
      <c r="V1923" s="21" t="n">
        <v>1</v>
      </c>
      <c r="W1923" s="20">
        <f>IF(OR(U1923="",V1923=""),U1923,U1923*V1923)</f>
        <v/>
      </c>
      <c r="X1923" s="18" t="inlineStr">
        <is>
          <t>35-54</t>
        </is>
      </c>
      <c r="Y1923" s="19" t="inlineStr"/>
      <c r="Z1923" s="18">
        <f>IF(Y1923="",X1923,Y1923)</f>
        <v/>
      </c>
      <c r="AA1923" s="18" t="inlineStr">
        <is>
          <t>grounded</t>
        </is>
      </c>
      <c r="AB1923" s="18" t="inlineStr"/>
      <c r="AC1923" s="18" t="inlineStr"/>
      <c r="AD1923" s="18" t="inlineStr"/>
      <c r="AE1923" s="18" t="inlineStr"/>
      <c r="AF1923" s="18" t="inlineStr"/>
      <c r="AG1923" s="18" t="inlineStr"/>
      <c r="AH1923" s="18" t="inlineStr"/>
      <c r="AI1923" s="18" t="inlineStr"/>
      <c r="AJ1923" s="18" t="inlineStr">
        <is>
          <t>Cobblemon 동일</t>
        </is>
      </c>
      <c r="AK1923" s="18" t="inlineStr">
        <is>
          <t>사용</t>
        </is>
      </c>
      <c r="AL1923" s="18" t="inlineStr">
        <is>
          <t>COBBLEVERSE 1.7.42 / DP v31</t>
        </is>
      </c>
      <c r="AM1923" s="18" t="inlineStr">
        <is>
          <t>data/cobblemon/spawn_pool_world/0555_darmanitan.json</t>
        </is>
      </c>
      <c r="AN1923" s="18" t="inlineStr">
        <is>
          <t>darmanitan-4</t>
        </is>
      </c>
      <c r="AO1923" s="18" t="inlineStr">
        <is>
          <t>pokemon</t>
        </is>
      </c>
      <c r="AP1923" s="18" t="inlineStr">
        <is>
          <t>natural</t>
        </is>
      </c>
      <c r="AQ1923" s="18" t="inlineStr">
        <is>
          <t>{"biomes":["#minecraft:is_nether"]}</t>
        </is>
      </c>
      <c r="AR1923" s="18" t="inlineStr">
        <is>
          <t>{"biomes":["#cobblemon:nether/is_frozen","#cobblemon:nether/is_quartz","#cobblemon:nether/is_toxic"]}</t>
        </is>
      </c>
      <c r="AS1923" s="18" t="inlineStr"/>
      <c r="AT1923" s="19" t="inlineStr"/>
    </row>
    <row r="1924" ht="32" customHeight="1">
      <c r="A1924" s="18" t="inlineStr">
        <is>
          <t>0555_darmanitan_galarian.json::darmanitan-galarian-1::001</t>
        </is>
      </c>
      <c r="B1924" s="19" t="inlineStr">
        <is>
          <t>사용</t>
        </is>
      </c>
      <c r="C1924" s="18">
        <f>IF(OR(B1924&lt;&gt;AK1924,M1924&lt;&gt;L1924,O1924&lt;&gt;"",Q1924&lt;&gt;"",V1924&lt;&gt;1,Y1924&lt;&gt;"",AT1924&lt;&gt;""),"수정","원본")</f>
        <v/>
      </c>
      <c r="D1924" s="18" t="n">
        <v>555</v>
      </c>
      <c r="E1924" s="18" t="inlineStr">
        <is>
          <t>불비달마</t>
        </is>
      </c>
      <c r="F1924" s="18" t="inlineStr">
        <is>
          <t>darmanitan</t>
        </is>
      </c>
      <c r="G1924" s="18" t="inlineStr">
        <is>
          <t>darmanitan galarian</t>
        </is>
      </c>
      <c r="H1924" s="18" t="inlineStr">
        <is>
          <t>galarian</t>
        </is>
      </c>
      <c r="I1924" s="18" t="n">
        <v>5</v>
      </c>
      <c r="J1924" s="18" t="n">
        <v>8</v>
      </c>
      <c r="K1924" s="18" t="n">
        <v>8</v>
      </c>
      <c r="L1924" s="18" t="inlineStr">
        <is>
          <t>cobbleventure:generation_8</t>
        </is>
      </c>
      <c r="M1924" s="19" t="inlineStr">
        <is>
          <t>cobbleventure:generation_8</t>
        </is>
      </c>
      <c r="N1924" s="18" t="inlineStr"/>
      <c r="O1924" s="19" t="inlineStr"/>
      <c r="P1924" s="18" t="inlineStr">
        <is>
          <t>minecraft:frozen_peaks; minecraft:ice_spikes; #cobblemon:is_freezing; #cobblemon:is_cold</t>
        </is>
      </c>
      <c r="Q1924" s="19" t="inlineStr"/>
      <c r="R1924" s="18">
        <f>IF(Q1924="",P1924,Q1924)</f>
        <v/>
      </c>
      <c r="S1924" s="18" t="inlineStr"/>
      <c r="T1924" s="18" t="inlineStr">
        <is>
          <t>rare</t>
        </is>
      </c>
      <c r="U1924" s="20" t="n">
        <v>3</v>
      </c>
      <c r="V1924" s="21" t="n">
        <v>1</v>
      </c>
      <c r="W1924" s="20">
        <f>IF(OR(U1924="",V1924=""),U1924,U1924*V1924)</f>
        <v/>
      </c>
      <c r="X1924" s="18" t="inlineStr">
        <is>
          <t>45-50</t>
        </is>
      </c>
      <c r="Y1924" s="19" t="inlineStr"/>
      <c r="Z1924" s="18">
        <f>IF(Y1924="",X1924,Y1924)</f>
        <v/>
      </c>
      <c r="AA1924" s="18" t="inlineStr">
        <is>
          <t>grounded</t>
        </is>
      </c>
      <c r="AB1924" s="18" t="inlineStr"/>
      <c r="AC1924" s="18" t="inlineStr"/>
      <c r="AD1924" s="18" t="inlineStr"/>
      <c r="AE1924" s="18" t="inlineStr"/>
      <c r="AF1924" s="18" t="inlineStr">
        <is>
          <t>True</t>
        </is>
      </c>
      <c r="AG1924" s="18" t="inlineStr"/>
      <c r="AH1924" s="18" t="inlineStr"/>
      <c r="AI1924" s="18" t="inlineStr"/>
      <c r="AJ1924" s="18" t="inlineStr">
        <is>
          <t>COBBLEVERSE 추가</t>
        </is>
      </c>
      <c r="AK1924" s="18" t="inlineStr">
        <is>
          <t>사용</t>
        </is>
      </c>
      <c r="AL1924" s="18" t="inlineStr">
        <is>
          <t>COBBLEVERSE 1.7.42 / DP v31</t>
        </is>
      </c>
      <c r="AM1924" s="18" t="inlineStr">
        <is>
          <t>data/cobblemon/spawn_pool_world/0555_darmanitan_galarian.json</t>
        </is>
      </c>
      <c r="AN1924" s="18" t="inlineStr">
        <is>
          <t>darmanitan-galarian-1</t>
        </is>
      </c>
      <c r="AO1924" s="18" t="inlineStr">
        <is>
          <t>pokemon</t>
        </is>
      </c>
      <c r="AP1924" s="18" t="inlineStr">
        <is>
          <t>natural</t>
        </is>
      </c>
      <c r="AQ1924" s="18" t="inlineStr">
        <is>
          <t>{"biomes":["minecraft:frozen_peaks","minecraft:ice_spikes","#cobblemon:is_freezing","#cobblemon:is_cold"],"canSeeSky":true}</t>
        </is>
      </c>
      <c r="AR1924" s="18" t="inlineStr"/>
      <c r="AS1924" s="18" t="inlineStr"/>
      <c r="AT1924" s="19" t="inlineStr"/>
    </row>
    <row r="1925" ht="32" customHeight="1">
      <c r="A1925" s="18" t="inlineStr">
        <is>
          <t>0556_maractus.json::maractus-1::001</t>
        </is>
      </c>
      <c r="B1925" s="19" t="inlineStr">
        <is>
          <t>사용</t>
        </is>
      </c>
      <c r="C1925" s="18">
        <f>IF(OR(B1925&lt;&gt;AK1925,M1925&lt;&gt;L1925,O1925&lt;&gt;"",Q1925&lt;&gt;"",V1925&lt;&gt;1,Y1925&lt;&gt;"",AT1925&lt;&gt;""),"수정","원본")</f>
        <v/>
      </c>
      <c r="D1925" s="18" t="n">
        <v>556</v>
      </c>
      <c r="E1925" s="18" t="inlineStr">
        <is>
          <t>마라카치</t>
        </is>
      </c>
      <c r="F1925" s="18" t="inlineStr">
        <is>
          <t>maractus</t>
        </is>
      </c>
      <c r="G1925" s="18" t="inlineStr">
        <is>
          <t>maractus</t>
        </is>
      </c>
      <c r="H1925" s="18" t="inlineStr"/>
      <c r="I1925" s="18" t="n">
        <v>5</v>
      </c>
      <c r="J1925" s="18" t="n"/>
      <c r="K1925" s="18" t="n">
        <v>5</v>
      </c>
      <c r="L1925" s="18" t="inlineStr">
        <is>
          <t>cobbleventure:generation_5</t>
        </is>
      </c>
      <c r="M1925" s="19" t="inlineStr">
        <is>
          <t>cobbleventure:generation_5</t>
        </is>
      </c>
      <c r="N1925" s="18" t="inlineStr">
        <is>
          <t>region_02</t>
        </is>
      </c>
      <c r="O1925" s="19" t="inlineStr"/>
      <c r="P1925" s="18" t="inlineStr">
        <is>
          <t>#cobblemon:is_badlands; #cobblemon:is_desert</t>
        </is>
      </c>
      <c r="Q1925" s="19" t="inlineStr"/>
      <c r="R1925" s="18">
        <f>IF(Q1925="",P1925,Q1925)</f>
        <v/>
      </c>
      <c r="S1925" s="18" t="inlineStr"/>
      <c r="T1925" s="18" t="inlineStr">
        <is>
          <t>common</t>
        </is>
      </c>
      <c r="U1925" s="20" t="n">
        <v>10</v>
      </c>
      <c r="V1925" s="21" t="n">
        <v>1</v>
      </c>
      <c r="W1925" s="20">
        <f>IF(OR(U1925="",V1925=""),U1925,U1925*V1925)</f>
        <v/>
      </c>
      <c r="X1925" s="18" t="inlineStr">
        <is>
          <t>21-46</t>
        </is>
      </c>
      <c r="Y1925" s="19" t="inlineStr"/>
      <c r="Z1925" s="18">
        <f>IF(Y1925="",X1925,Y1925)</f>
        <v/>
      </c>
      <c r="AA1925" s="18" t="inlineStr">
        <is>
          <t>grounded</t>
        </is>
      </c>
      <c r="AB1925" s="18" t="inlineStr"/>
      <c r="AC1925" s="18" t="inlineStr"/>
      <c r="AD1925" s="18" t="inlineStr"/>
      <c r="AE1925" s="18" t="inlineStr">
        <is>
          <t>sky 8-15</t>
        </is>
      </c>
      <c r="AF1925" s="18" t="inlineStr"/>
      <c r="AG1925" s="18" t="inlineStr"/>
      <c r="AH1925" s="18" t="inlineStr"/>
      <c r="AI1925" s="18" t="inlineStr"/>
      <c r="AJ1925" s="18" t="inlineStr">
        <is>
          <t>Cobblemon 동일</t>
        </is>
      </c>
      <c r="AK1925" s="18" t="inlineStr">
        <is>
          <t>사용</t>
        </is>
      </c>
      <c r="AL1925" s="18" t="inlineStr">
        <is>
          <t>COBBLEVERSE 1.7.42 / DP v31</t>
        </is>
      </c>
      <c r="AM1925" s="18" t="inlineStr">
        <is>
          <t>data/cobblemon/spawn_pool_world/0556_maractus.json</t>
        </is>
      </c>
      <c r="AN1925" s="18" t="inlineStr">
        <is>
          <t>maractus-1</t>
        </is>
      </c>
      <c r="AO1925" s="18" t="inlineStr">
        <is>
          <t>pokemon</t>
        </is>
      </c>
      <c r="AP1925" s="18" t="inlineStr">
        <is>
          <t>natural</t>
        </is>
      </c>
      <c r="AQ1925" s="18" t="inlineStr">
        <is>
          <t>{"biomes":["#cobblemon:is_badlands","#cobblemon:is_desert"],"maxSkyLight":15,"minSkyLight":8}</t>
        </is>
      </c>
      <c r="AR1925" s="18" t="inlineStr"/>
      <c r="AS1925" s="18" t="inlineStr">
        <is>
          <t>{"weightMultiplier":{"condition":{"timeRange":"night"},"multiplier":0.25}}</t>
        </is>
      </c>
      <c r="AT1925" s="19" t="inlineStr"/>
    </row>
    <row r="1926" ht="32" customHeight="1">
      <c r="A1926" s="18" t="inlineStr">
        <is>
          <t>0557_dwebble.json::dwebble-1::001</t>
        </is>
      </c>
      <c r="B1926" s="19" t="inlineStr">
        <is>
          <t>사용</t>
        </is>
      </c>
      <c r="C1926" s="18">
        <f>IF(OR(B1926&lt;&gt;AK1926,M1926&lt;&gt;L1926,O1926&lt;&gt;"",Q1926&lt;&gt;"",V1926&lt;&gt;1,Y1926&lt;&gt;"",AT1926&lt;&gt;""),"수정","원본")</f>
        <v/>
      </c>
      <c r="D1926" s="18" t="n">
        <v>557</v>
      </c>
      <c r="E1926" s="18" t="inlineStr">
        <is>
          <t>돌살이</t>
        </is>
      </c>
      <c r="F1926" s="18" t="inlineStr">
        <is>
          <t>dwebble</t>
        </is>
      </c>
      <c r="G1926" s="18" t="inlineStr">
        <is>
          <t>dwebble</t>
        </is>
      </c>
      <c r="H1926" s="18" t="inlineStr"/>
      <c r="I1926" s="18" t="n">
        <v>5</v>
      </c>
      <c r="J1926" s="18" t="n"/>
      <c r="K1926" s="18" t="n">
        <v>5</v>
      </c>
      <c r="L1926" s="18" t="inlineStr">
        <is>
          <t>cobbleventure:generation_5</t>
        </is>
      </c>
      <c r="M1926" s="19" t="inlineStr">
        <is>
          <t>cobbleventure:generation_5</t>
        </is>
      </c>
      <c r="N1926" s="18" t="inlineStr"/>
      <c r="O1926" s="19" t="inlineStr"/>
      <c r="P1926" s="18" t="inlineStr">
        <is>
          <t>#cobblemon:is_badlands</t>
        </is>
      </c>
      <c r="Q1926" s="19" t="inlineStr"/>
      <c r="R1926" s="18">
        <f>IF(Q1926="",P1926,Q1926)</f>
        <v/>
      </c>
      <c r="S1926" s="18" t="inlineStr"/>
      <c r="T1926" s="18" t="inlineStr">
        <is>
          <t>common</t>
        </is>
      </c>
      <c r="U1926" s="20" t="n">
        <v>9</v>
      </c>
      <c r="V1926" s="21" t="n">
        <v>1</v>
      </c>
      <c r="W1926" s="20">
        <f>IF(OR(U1926="",V1926=""),U1926,U1926*V1926)</f>
        <v/>
      </c>
      <c r="X1926" s="18" t="inlineStr">
        <is>
          <t>8-33</t>
        </is>
      </c>
      <c r="Y1926" s="19" t="inlineStr"/>
      <c r="Z1926" s="18">
        <f>IF(Y1926="",X1926,Y1926)</f>
        <v/>
      </c>
      <c r="AA1926" s="18" t="inlineStr">
        <is>
          <t>grounded</t>
        </is>
      </c>
      <c r="AB1926" s="18" t="inlineStr"/>
      <c r="AC1926" s="18" t="inlineStr"/>
      <c r="AD1926" s="18" t="inlineStr"/>
      <c r="AE1926" s="18" t="inlineStr"/>
      <c r="AF1926" s="18" t="inlineStr"/>
      <c r="AG1926" s="18" t="inlineStr"/>
      <c r="AH1926" s="18" t="inlineStr"/>
      <c r="AI1926" s="18" t="inlineStr"/>
      <c r="AJ1926" s="18" t="inlineStr">
        <is>
          <t>Cobblemon 동일</t>
        </is>
      </c>
      <c r="AK1926" s="18" t="inlineStr">
        <is>
          <t>사용</t>
        </is>
      </c>
      <c r="AL1926" s="18" t="inlineStr">
        <is>
          <t>COBBLEVERSE 1.7.42 / DP v31</t>
        </is>
      </c>
      <c r="AM1926" s="18" t="inlineStr">
        <is>
          <t>data/cobblemon/spawn_pool_world/0557_dwebble.json</t>
        </is>
      </c>
      <c r="AN1926" s="18" t="inlineStr">
        <is>
          <t>dwebble-1</t>
        </is>
      </c>
      <c r="AO1926" s="18" t="inlineStr">
        <is>
          <t>pokemon</t>
        </is>
      </c>
      <c r="AP1926" s="18" t="inlineStr">
        <is>
          <t>natural</t>
        </is>
      </c>
      <c r="AQ1926" s="18" t="inlineStr">
        <is>
          <t>{"biomes":["#cobblemon:is_badlands"]}</t>
        </is>
      </c>
      <c r="AR1926" s="18" t="inlineStr"/>
      <c r="AS1926" s="18" t="inlineStr"/>
      <c r="AT1926" s="19" t="inlineStr"/>
    </row>
    <row r="1927" ht="32" customHeight="1">
      <c r="A1927" s="18" t="inlineStr">
        <is>
          <t>0558_crustle.json::crustle-1::001</t>
        </is>
      </c>
      <c r="B1927" s="19" t="inlineStr">
        <is>
          <t>사용</t>
        </is>
      </c>
      <c r="C1927" s="18">
        <f>IF(OR(B1927&lt;&gt;AK1927,M1927&lt;&gt;L1927,O1927&lt;&gt;"",Q1927&lt;&gt;"",V1927&lt;&gt;1,Y1927&lt;&gt;"",AT1927&lt;&gt;""),"수정","원본")</f>
        <v/>
      </c>
      <c r="D1927" s="18" t="n">
        <v>558</v>
      </c>
      <c r="E1927" s="18" t="inlineStr">
        <is>
          <t>암팰리스</t>
        </is>
      </c>
      <c r="F1927" s="18" t="inlineStr">
        <is>
          <t>crustle</t>
        </is>
      </c>
      <c r="G1927" s="18" t="inlineStr">
        <is>
          <t>crustle</t>
        </is>
      </c>
      <c r="H1927" s="18" t="inlineStr"/>
      <c r="I1927" s="18" t="n">
        <v>5</v>
      </c>
      <c r="J1927" s="18" t="n"/>
      <c r="K1927" s="18" t="n">
        <v>5</v>
      </c>
      <c r="L1927" s="18" t="inlineStr">
        <is>
          <t>cobbleventure:generation_5</t>
        </is>
      </c>
      <c r="M1927" s="19" t="inlineStr">
        <is>
          <t>cobbleventure:generation_5</t>
        </is>
      </c>
      <c r="N1927" s="18" t="inlineStr"/>
      <c r="O1927" s="19" t="inlineStr"/>
      <c r="P1927" s="18" t="inlineStr">
        <is>
          <t>#cobblemon:is_badlands</t>
        </is>
      </c>
      <c r="Q1927" s="19" t="inlineStr"/>
      <c r="R1927" s="18">
        <f>IF(Q1927="",P1927,Q1927)</f>
        <v/>
      </c>
      <c r="S1927" s="18" t="inlineStr"/>
      <c r="T1927" s="18" t="inlineStr">
        <is>
          <t>common</t>
        </is>
      </c>
      <c r="U1927" s="20" t="n">
        <v>1</v>
      </c>
      <c r="V1927" s="21" t="n">
        <v>1</v>
      </c>
      <c r="W1927" s="20">
        <f>IF(OR(U1927="",V1927=""),U1927,U1927*V1927)</f>
        <v/>
      </c>
      <c r="X1927" s="18" t="inlineStr">
        <is>
          <t>34-49</t>
        </is>
      </c>
      <c r="Y1927" s="19" t="inlineStr"/>
      <c r="Z1927" s="18">
        <f>IF(Y1927="",X1927,Y1927)</f>
        <v/>
      </c>
      <c r="AA1927" s="18" t="inlineStr">
        <is>
          <t>grounded</t>
        </is>
      </c>
      <c r="AB1927" s="18" t="inlineStr"/>
      <c r="AC1927" s="18" t="inlineStr"/>
      <c r="AD1927" s="18" t="inlineStr"/>
      <c r="AE1927" s="18" t="inlineStr"/>
      <c r="AF1927" s="18" t="inlineStr"/>
      <c r="AG1927" s="18" t="inlineStr"/>
      <c r="AH1927" s="18" t="inlineStr"/>
      <c r="AI1927" s="18" t="inlineStr"/>
      <c r="AJ1927" s="18" t="inlineStr">
        <is>
          <t>Cobblemon 동일</t>
        </is>
      </c>
      <c r="AK1927" s="18" t="inlineStr">
        <is>
          <t>사용</t>
        </is>
      </c>
      <c r="AL1927" s="18" t="inlineStr">
        <is>
          <t>COBBLEVERSE 1.7.42 / DP v31</t>
        </is>
      </c>
      <c r="AM1927" s="18" t="inlineStr">
        <is>
          <t>data/cobblemon/spawn_pool_world/0558_crustle.json</t>
        </is>
      </c>
      <c r="AN1927" s="18" t="inlineStr">
        <is>
          <t>crustle-1</t>
        </is>
      </c>
      <c r="AO1927" s="18" t="inlineStr">
        <is>
          <t>pokemon</t>
        </is>
      </c>
      <c r="AP1927" s="18" t="inlineStr">
        <is>
          <t>natural</t>
        </is>
      </c>
      <c r="AQ1927" s="18" t="inlineStr">
        <is>
          <t>{"biomes":["#cobblemon:is_badlands"]}</t>
        </is>
      </c>
      <c r="AR1927" s="18" t="inlineStr"/>
      <c r="AS1927" s="18" t="inlineStr"/>
      <c r="AT1927" s="19" t="inlineStr"/>
    </row>
    <row r="1928" ht="32" customHeight="1">
      <c r="A1928" s="18" t="inlineStr">
        <is>
          <t>0559_scraggy.json::scraggy-1::001</t>
        </is>
      </c>
      <c r="B1928" s="19" t="inlineStr">
        <is>
          <t>사용</t>
        </is>
      </c>
      <c r="C1928" s="18">
        <f>IF(OR(B1928&lt;&gt;AK1928,M1928&lt;&gt;L1928,O1928&lt;&gt;"",Q1928&lt;&gt;"",V1928&lt;&gt;1,Y1928&lt;&gt;"",AT1928&lt;&gt;""),"수정","원본")</f>
        <v/>
      </c>
      <c r="D1928" s="18" t="n">
        <v>559</v>
      </c>
      <c r="E1928" s="18" t="inlineStr">
        <is>
          <t>곤율랭</t>
        </is>
      </c>
      <c r="F1928" s="18" t="inlineStr">
        <is>
          <t>scraggy</t>
        </is>
      </c>
      <c r="G1928" s="18" t="inlineStr">
        <is>
          <t>scraggy</t>
        </is>
      </c>
      <c r="H1928" s="18" t="inlineStr"/>
      <c r="I1928" s="18" t="n">
        <v>5</v>
      </c>
      <c r="J1928" s="18" t="n"/>
      <c r="K1928" s="18" t="n">
        <v>5</v>
      </c>
      <c r="L1928" s="18" t="inlineStr">
        <is>
          <t>cobbleventure:generation_5</t>
        </is>
      </c>
      <c r="M1928" s="19" t="inlineStr">
        <is>
          <t>cobbleventure:generation_5</t>
        </is>
      </c>
      <c r="N1928" s="18" t="inlineStr"/>
      <c r="O1928" s="19" t="inlineStr"/>
      <c r="P1928" s="18" t="inlineStr">
        <is>
          <t>#cobblemon:is_badlands</t>
        </is>
      </c>
      <c r="Q1928" s="19" t="inlineStr"/>
      <c r="R1928" s="18">
        <f>IF(Q1928="",P1928,Q1928)</f>
        <v/>
      </c>
      <c r="S1928" s="18" t="inlineStr"/>
      <c r="T1928" s="18" t="inlineStr">
        <is>
          <t>common</t>
        </is>
      </c>
      <c r="U1928" s="20" t="n">
        <v>9</v>
      </c>
      <c r="V1928" s="21" t="n">
        <v>1</v>
      </c>
      <c r="W1928" s="20">
        <f>IF(OR(U1928="",V1928=""),U1928,U1928*V1928)</f>
        <v/>
      </c>
      <c r="X1928" s="18" t="inlineStr">
        <is>
          <t>10-35</t>
        </is>
      </c>
      <c r="Y1928" s="19" t="inlineStr"/>
      <c r="Z1928" s="18">
        <f>IF(Y1928="",X1928,Y1928)</f>
        <v/>
      </c>
      <c r="AA1928" s="18" t="inlineStr">
        <is>
          <t>grounded</t>
        </is>
      </c>
      <c r="AB1928" s="18" t="inlineStr"/>
      <c r="AC1928" s="18" t="inlineStr"/>
      <c r="AD1928" s="18" t="inlineStr"/>
      <c r="AE1928" s="18" t="inlineStr">
        <is>
          <t>sky 8-15</t>
        </is>
      </c>
      <c r="AF1928" s="18" t="inlineStr"/>
      <c r="AG1928" s="18" t="inlineStr"/>
      <c r="AH1928" s="18" t="inlineStr"/>
      <c r="AI1928" s="18" t="inlineStr"/>
      <c r="AJ1928" s="18" t="inlineStr">
        <is>
          <t>COBBLEVERSE 수정</t>
        </is>
      </c>
      <c r="AK1928" s="18" t="inlineStr">
        <is>
          <t>사용</t>
        </is>
      </c>
      <c r="AL1928" s="18" t="inlineStr">
        <is>
          <t>COBBLEVERSE 1.7.42 / DP v31</t>
        </is>
      </c>
      <c r="AM1928" s="18" t="inlineStr">
        <is>
          <t>data/cobblemon/spawn_pool_world/0559_scraggy.json</t>
        </is>
      </c>
      <c r="AN1928" s="18" t="inlineStr">
        <is>
          <t>scraggy-1</t>
        </is>
      </c>
      <c r="AO1928" s="18" t="inlineStr">
        <is>
          <t>pokemon</t>
        </is>
      </c>
      <c r="AP1928" s="18" t="inlineStr"/>
      <c r="AQ1928" s="18" t="inlineStr">
        <is>
          <t>{"biomes":["#cobblemon:is_badlands"],"maxSkyLight":15,"minSkyLight":8}</t>
        </is>
      </c>
      <c r="AR1928" s="18" t="inlineStr"/>
      <c r="AS1928" s="18" t="inlineStr"/>
      <c r="AT1928" s="19" t="inlineStr"/>
    </row>
    <row r="1929" ht="32" customHeight="1">
      <c r="A1929" s="18" t="inlineStr">
        <is>
          <t>0559_scraggy.json::scraggy-2::002</t>
        </is>
      </c>
      <c r="B1929" s="19" t="inlineStr">
        <is>
          <t>사용</t>
        </is>
      </c>
      <c r="C1929" s="18">
        <f>IF(OR(B1929&lt;&gt;AK1929,M1929&lt;&gt;L1929,O1929&lt;&gt;"",Q1929&lt;&gt;"",V1929&lt;&gt;1,Y1929&lt;&gt;"",AT1929&lt;&gt;""),"수정","원본")</f>
        <v/>
      </c>
      <c r="D1929" s="18" t="n">
        <v>559</v>
      </c>
      <c r="E1929" s="18" t="inlineStr">
        <is>
          <t>곤율랭</t>
        </is>
      </c>
      <c r="F1929" s="18" t="inlineStr">
        <is>
          <t>scraggy</t>
        </is>
      </c>
      <c r="G1929" s="18" t="inlineStr">
        <is>
          <t>scraggy</t>
        </is>
      </c>
      <c r="H1929" s="18" t="inlineStr"/>
      <c r="I1929" s="18" t="n">
        <v>5</v>
      </c>
      <c r="J1929" s="18" t="n"/>
      <c r="K1929" s="18" t="n">
        <v>5</v>
      </c>
      <c r="L1929" s="18" t="inlineStr">
        <is>
          <t>cobbleventure:generation_5</t>
        </is>
      </c>
      <c r="M1929" s="19" t="inlineStr">
        <is>
          <t>cobbleventure:generation_5</t>
        </is>
      </c>
      <c r="N1929" s="18" t="inlineStr">
        <is>
          <t>region_02</t>
        </is>
      </c>
      <c r="O1929" s="19" t="inlineStr"/>
      <c r="P1929" s="18" t="inlineStr">
        <is>
          <t>#cobblemon:is_arid</t>
        </is>
      </c>
      <c r="Q1929" s="19" t="inlineStr"/>
      <c r="R1929" s="18">
        <f>IF(Q1929="",P1929,Q1929)</f>
        <v/>
      </c>
      <c r="S1929" s="18" t="inlineStr">
        <is>
          <t>#cobblemon:is_badlands</t>
        </is>
      </c>
      <c r="T1929" s="18" t="inlineStr">
        <is>
          <t>common</t>
        </is>
      </c>
      <c r="U1929" s="20" t="n">
        <v>5.4</v>
      </c>
      <c r="V1929" s="21" t="n">
        <v>1</v>
      </c>
      <c r="W1929" s="20">
        <f>IF(OR(U1929="",V1929=""),U1929,U1929*V1929)</f>
        <v/>
      </c>
      <c r="X1929" s="18" t="inlineStr">
        <is>
          <t>10-35</t>
        </is>
      </c>
      <c r="Y1929" s="19" t="inlineStr"/>
      <c r="Z1929" s="18">
        <f>IF(Y1929="",X1929,Y1929)</f>
        <v/>
      </c>
      <c r="AA1929" s="18" t="inlineStr">
        <is>
          <t>grounded</t>
        </is>
      </c>
      <c r="AB1929" s="18" t="inlineStr"/>
      <c r="AC1929" s="18" t="inlineStr"/>
      <c r="AD1929" s="18" t="inlineStr"/>
      <c r="AE1929" s="18" t="inlineStr">
        <is>
          <t>sky 8-15</t>
        </is>
      </c>
      <c r="AF1929" s="18" t="inlineStr"/>
      <c r="AG1929" s="18" t="inlineStr"/>
      <c r="AH1929" s="18" t="inlineStr"/>
      <c r="AI1929" s="18" t="inlineStr"/>
      <c r="AJ1929" s="18" t="inlineStr">
        <is>
          <t>COBBLEVERSE 수정</t>
        </is>
      </c>
      <c r="AK1929" s="18" t="inlineStr">
        <is>
          <t>사용</t>
        </is>
      </c>
      <c r="AL1929" s="18" t="inlineStr">
        <is>
          <t>COBBLEVERSE 1.7.42 / DP v31</t>
        </is>
      </c>
      <c r="AM1929" s="18" t="inlineStr">
        <is>
          <t>data/cobblemon/spawn_pool_world/0559_scraggy.json</t>
        </is>
      </c>
      <c r="AN1929" s="18" t="inlineStr">
        <is>
          <t>scraggy-2</t>
        </is>
      </c>
      <c r="AO1929" s="18" t="inlineStr">
        <is>
          <t>pokemon</t>
        </is>
      </c>
      <c r="AP1929" s="18" t="inlineStr">
        <is>
          <t>natural; urban</t>
        </is>
      </c>
      <c r="AQ1929" s="18" t="inlineStr">
        <is>
          <t>{"biomes":["#cobblemon:is_arid"],"maxSkyLight":15,"minSkyLight":8}</t>
        </is>
      </c>
      <c r="AR1929" s="18" t="inlineStr">
        <is>
          <t>{"biomes":["#cobblemon:is_badlands"]}</t>
        </is>
      </c>
      <c r="AS1929" s="18" t="inlineStr"/>
      <c r="AT1929" s="19" t="inlineStr"/>
    </row>
    <row r="1930" ht="32" customHeight="1">
      <c r="A1930" s="18" t="inlineStr">
        <is>
          <t>0559_scraggy.json::scraggy-3::003</t>
        </is>
      </c>
      <c r="B1930" s="19" t="inlineStr">
        <is>
          <t>사용</t>
        </is>
      </c>
      <c r="C1930" s="18">
        <f>IF(OR(B1930&lt;&gt;AK1930,M1930&lt;&gt;L1930,O1930&lt;&gt;"",Q1930&lt;&gt;"",V1930&lt;&gt;1,Y1930&lt;&gt;"",AT1930&lt;&gt;""),"수정","원본")</f>
        <v/>
      </c>
      <c r="D1930" s="18" t="n">
        <v>559</v>
      </c>
      <c r="E1930" s="18" t="inlineStr">
        <is>
          <t>곤율랭</t>
        </is>
      </c>
      <c r="F1930" s="18" t="inlineStr">
        <is>
          <t>scraggy</t>
        </is>
      </c>
      <c r="G1930" s="18" t="inlineStr">
        <is>
          <t>scraggy</t>
        </is>
      </c>
      <c r="H1930" s="18" t="inlineStr"/>
      <c r="I1930" s="18" t="n">
        <v>5</v>
      </c>
      <c r="J1930" s="18" t="n"/>
      <c r="K1930" s="18" t="n">
        <v>5</v>
      </c>
      <c r="L1930" s="18" t="inlineStr">
        <is>
          <t>cobbleventure:generation_5</t>
        </is>
      </c>
      <c r="M1930" s="19" t="inlineStr">
        <is>
          <t>cobbleventure:generation_5</t>
        </is>
      </c>
      <c r="N1930" s="18" t="inlineStr">
        <is>
          <t>region_02</t>
        </is>
      </c>
      <c r="O1930" s="19" t="inlineStr"/>
      <c r="P1930" s="18" t="inlineStr">
        <is>
          <t>#cobblemon:is_arid</t>
        </is>
      </c>
      <c r="Q1930" s="19" t="inlineStr"/>
      <c r="R1930" s="18">
        <f>IF(Q1930="",P1930,Q1930)</f>
        <v/>
      </c>
      <c r="S1930" s="18" t="inlineStr">
        <is>
          <t>#cobblemon:is_badlands</t>
        </is>
      </c>
      <c r="T1930" s="18" t="inlineStr">
        <is>
          <t>common</t>
        </is>
      </c>
      <c r="U1930" s="20" t="n">
        <v>5.4</v>
      </c>
      <c r="V1930" s="21" t="n">
        <v>1</v>
      </c>
      <c r="W1930" s="20">
        <f>IF(OR(U1930="",V1930=""),U1930,U1930*V1930)</f>
        <v/>
      </c>
      <c r="X1930" s="18" t="inlineStr">
        <is>
          <t>10-35</t>
        </is>
      </c>
      <c r="Y1930" s="19" t="inlineStr"/>
      <c r="Z1930" s="18">
        <f>IF(Y1930="",X1930,Y1930)</f>
        <v/>
      </c>
      <c r="AA1930" s="18" t="inlineStr">
        <is>
          <t>grounded</t>
        </is>
      </c>
      <c r="AB1930" s="18" t="inlineStr"/>
      <c r="AC1930" s="18" t="inlineStr"/>
      <c r="AD1930" s="18" t="inlineStr"/>
      <c r="AE1930" s="18" t="inlineStr">
        <is>
          <t>sky 8-15</t>
        </is>
      </c>
      <c r="AF1930" s="18" t="inlineStr"/>
      <c r="AG1930" s="18" t="inlineStr">
        <is>
          <t>#minecraft:village</t>
        </is>
      </c>
      <c r="AH1930" s="18" t="inlineStr"/>
      <c r="AI1930" s="18" t="inlineStr"/>
      <c r="AJ1930" s="18" t="inlineStr">
        <is>
          <t>COBBLEVERSE 수정</t>
        </is>
      </c>
      <c r="AK1930" s="18" t="inlineStr">
        <is>
          <t>사용</t>
        </is>
      </c>
      <c r="AL1930" s="18" t="inlineStr">
        <is>
          <t>COBBLEVERSE 1.7.42 / DP v31</t>
        </is>
      </c>
      <c r="AM1930" s="18" t="inlineStr">
        <is>
          <t>data/cobblemon/spawn_pool_world/0559_scraggy.json</t>
        </is>
      </c>
      <c r="AN1930" s="18" t="inlineStr">
        <is>
          <t>scraggy-3</t>
        </is>
      </c>
      <c r="AO1930" s="18" t="inlineStr">
        <is>
          <t>pokemon</t>
        </is>
      </c>
      <c r="AP1930" s="18" t="inlineStr">
        <is>
          <t>natural</t>
        </is>
      </c>
      <c r="AQ1930" s="18" t="inlineStr">
        <is>
          <t>{"biomes":["#cobblemon:is_arid"],"maxSkyLight":15,"minSkyLight":8,"structures":["#minecraft:village"]}</t>
        </is>
      </c>
      <c r="AR1930" s="18" t="inlineStr">
        <is>
          <t>{"biomes":["#cobblemon:is_badlands"]}</t>
        </is>
      </c>
      <c r="AS1930" s="18" t="inlineStr"/>
      <c r="AT1930" s="19" t="inlineStr"/>
    </row>
    <row r="1931" ht="32" customHeight="1">
      <c r="A1931" s="18" t="inlineStr">
        <is>
          <t>0560_scrafty.json::scrafty-1::001</t>
        </is>
      </c>
      <c r="B1931" s="19" t="inlineStr">
        <is>
          <t>사용</t>
        </is>
      </c>
      <c r="C1931" s="18">
        <f>IF(OR(B1931&lt;&gt;AK1931,M1931&lt;&gt;L1931,O1931&lt;&gt;"",Q1931&lt;&gt;"",V1931&lt;&gt;1,Y1931&lt;&gt;"",AT1931&lt;&gt;""),"수정","원본")</f>
        <v/>
      </c>
      <c r="D1931" s="18" t="n">
        <v>560</v>
      </c>
      <c r="E1931" s="18" t="inlineStr">
        <is>
          <t>곤율거니</t>
        </is>
      </c>
      <c r="F1931" s="18" t="inlineStr">
        <is>
          <t>scrafty</t>
        </is>
      </c>
      <c r="G1931" s="18" t="inlineStr">
        <is>
          <t>scrafty</t>
        </is>
      </c>
      <c r="H1931" s="18" t="inlineStr"/>
      <c r="I1931" s="18" t="n">
        <v>5</v>
      </c>
      <c r="J1931" s="18" t="n"/>
      <c r="K1931" s="18" t="n">
        <v>5</v>
      </c>
      <c r="L1931" s="18" t="inlineStr">
        <is>
          <t>cobbleventure:generation_5</t>
        </is>
      </c>
      <c r="M1931" s="19" t="inlineStr">
        <is>
          <t>cobbleventure:generation_5</t>
        </is>
      </c>
      <c r="N1931" s="18" t="inlineStr"/>
      <c r="O1931" s="19" t="inlineStr"/>
      <c r="P1931" s="18" t="inlineStr">
        <is>
          <t>#cobblemon:is_badlands</t>
        </is>
      </c>
      <c r="Q1931" s="19" t="inlineStr"/>
      <c r="R1931" s="18">
        <f>IF(Q1931="",P1931,Q1931)</f>
        <v/>
      </c>
      <c r="S1931" s="18" t="inlineStr"/>
      <c r="T1931" s="18" t="inlineStr">
        <is>
          <t>common</t>
        </is>
      </c>
      <c r="U1931" s="20" t="n">
        <v>1</v>
      </c>
      <c r="V1931" s="21" t="n">
        <v>1</v>
      </c>
      <c r="W1931" s="20">
        <f>IF(OR(U1931="",V1931=""),U1931,U1931*V1931)</f>
        <v/>
      </c>
      <c r="X1931" s="18" t="inlineStr">
        <is>
          <t>39-49</t>
        </is>
      </c>
      <c r="Y1931" s="19" t="inlineStr"/>
      <c r="Z1931" s="18">
        <f>IF(Y1931="",X1931,Y1931)</f>
        <v/>
      </c>
      <c r="AA1931" s="18" t="inlineStr">
        <is>
          <t>grounded</t>
        </is>
      </c>
      <c r="AB1931" s="18" t="inlineStr"/>
      <c r="AC1931" s="18" t="inlineStr"/>
      <c r="AD1931" s="18" t="inlineStr"/>
      <c r="AE1931" s="18" t="inlineStr">
        <is>
          <t>sky 8-15</t>
        </is>
      </c>
      <c r="AF1931" s="18" t="inlineStr"/>
      <c r="AG1931" s="18" t="inlineStr"/>
      <c r="AH1931" s="18" t="inlineStr"/>
      <c r="AI1931" s="18" t="inlineStr"/>
      <c r="AJ1931" s="18" t="inlineStr">
        <is>
          <t>COBBLEVERSE 수정</t>
        </is>
      </c>
      <c r="AK1931" s="18" t="inlineStr">
        <is>
          <t>사용</t>
        </is>
      </c>
      <c r="AL1931" s="18" t="inlineStr">
        <is>
          <t>COBBLEVERSE 1.7.42 / DP v31</t>
        </is>
      </c>
      <c r="AM1931" s="18" t="inlineStr">
        <is>
          <t>data/cobblemon/spawn_pool_world/0560_scrafty.json</t>
        </is>
      </c>
      <c r="AN1931" s="18" t="inlineStr">
        <is>
          <t>scrafty-1</t>
        </is>
      </c>
      <c r="AO1931" s="18" t="inlineStr">
        <is>
          <t>pokemon</t>
        </is>
      </c>
      <c r="AP1931" s="18" t="inlineStr"/>
      <c r="AQ1931" s="18" t="inlineStr">
        <is>
          <t>{"biomes":["#cobblemon:is_badlands"],"maxSkyLight":15,"minSkyLight":8}</t>
        </is>
      </c>
      <c r="AR1931" s="18" t="inlineStr"/>
      <c r="AS1931" s="18" t="inlineStr"/>
      <c r="AT1931" s="19" t="inlineStr"/>
    </row>
    <row r="1932" ht="32" customHeight="1">
      <c r="A1932" s="18" t="inlineStr">
        <is>
          <t>0560_scrafty.json::scrafty-2::002</t>
        </is>
      </c>
      <c r="B1932" s="19" t="inlineStr">
        <is>
          <t>사용</t>
        </is>
      </c>
      <c r="C1932" s="18">
        <f>IF(OR(B1932&lt;&gt;AK1932,M1932&lt;&gt;L1932,O1932&lt;&gt;"",Q1932&lt;&gt;"",V1932&lt;&gt;1,Y1932&lt;&gt;"",AT1932&lt;&gt;""),"수정","원본")</f>
        <v/>
      </c>
      <c r="D1932" s="18" t="n">
        <v>560</v>
      </c>
      <c r="E1932" s="18" t="inlineStr">
        <is>
          <t>곤율거니</t>
        </is>
      </c>
      <c r="F1932" s="18" t="inlineStr">
        <is>
          <t>scrafty</t>
        </is>
      </c>
      <c r="G1932" s="18" t="inlineStr">
        <is>
          <t>scrafty</t>
        </is>
      </c>
      <c r="H1932" s="18" t="inlineStr"/>
      <c r="I1932" s="18" t="n">
        <v>5</v>
      </c>
      <c r="J1932" s="18" t="n"/>
      <c r="K1932" s="18" t="n">
        <v>5</v>
      </c>
      <c r="L1932" s="18" t="inlineStr">
        <is>
          <t>cobbleventure:generation_5</t>
        </is>
      </c>
      <c r="M1932" s="19" t="inlineStr">
        <is>
          <t>cobbleventure:generation_5</t>
        </is>
      </c>
      <c r="N1932" s="18" t="inlineStr">
        <is>
          <t>region_02</t>
        </is>
      </c>
      <c r="O1932" s="19" t="inlineStr"/>
      <c r="P1932" s="18" t="inlineStr">
        <is>
          <t>#cobblemon:is_arid</t>
        </is>
      </c>
      <c r="Q1932" s="19" t="inlineStr"/>
      <c r="R1932" s="18">
        <f>IF(Q1932="",P1932,Q1932)</f>
        <v/>
      </c>
      <c r="S1932" s="18" t="inlineStr">
        <is>
          <t>#cobblemon:is_badlands</t>
        </is>
      </c>
      <c r="T1932" s="18" t="inlineStr">
        <is>
          <t>common</t>
        </is>
      </c>
      <c r="U1932" s="20" t="n">
        <v>0.6</v>
      </c>
      <c r="V1932" s="21" t="n">
        <v>1</v>
      </c>
      <c r="W1932" s="20">
        <f>IF(OR(U1932="",V1932=""),U1932,U1932*V1932)</f>
        <v/>
      </c>
      <c r="X1932" s="18" t="inlineStr">
        <is>
          <t>39-49</t>
        </is>
      </c>
      <c r="Y1932" s="19" t="inlineStr"/>
      <c r="Z1932" s="18">
        <f>IF(Y1932="",X1932,Y1932)</f>
        <v/>
      </c>
      <c r="AA1932" s="18" t="inlineStr">
        <is>
          <t>grounded</t>
        </is>
      </c>
      <c r="AB1932" s="18" t="inlineStr"/>
      <c r="AC1932" s="18" t="inlineStr"/>
      <c r="AD1932" s="18" t="inlineStr"/>
      <c r="AE1932" s="18" t="inlineStr">
        <is>
          <t>sky 8-15</t>
        </is>
      </c>
      <c r="AF1932" s="18" t="inlineStr"/>
      <c r="AG1932" s="18" t="inlineStr"/>
      <c r="AH1932" s="18" t="inlineStr"/>
      <c r="AI1932" s="18" t="inlineStr"/>
      <c r="AJ1932" s="18" t="inlineStr">
        <is>
          <t>COBBLEVERSE 수정</t>
        </is>
      </c>
      <c r="AK1932" s="18" t="inlineStr">
        <is>
          <t>사용</t>
        </is>
      </c>
      <c r="AL1932" s="18" t="inlineStr">
        <is>
          <t>COBBLEVERSE 1.7.42 / DP v31</t>
        </is>
      </c>
      <c r="AM1932" s="18" t="inlineStr">
        <is>
          <t>data/cobblemon/spawn_pool_world/0560_scrafty.json</t>
        </is>
      </c>
      <c r="AN1932" s="18" t="inlineStr">
        <is>
          <t>scrafty-2</t>
        </is>
      </c>
      <c r="AO1932" s="18" t="inlineStr">
        <is>
          <t>pokemon</t>
        </is>
      </c>
      <c r="AP1932" s="18" t="inlineStr">
        <is>
          <t>natural; urban</t>
        </is>
      </c>
      <c r="AQ1932" s="18" t="inlineStr">
        <is>
          <t>{"biomes":["#cobblemon:is_arid"],"maxSkyLight":15,"minSkyLight":8}</t>
        </is>
      </c>
      <c r="AR1932" s="18" t="inlineStr">
        <is>
          <t>{"biomes":["#cobblemon:is_badlands"]}</t>
        </is>
      </c>
      <c r="AS1932" s="18" t="inlineStr"/>
      <c r="AT1932" s="19" t="inlineStr"/>
    </row>
    <row r="1933" ht="32" customHeight="1">
      <c r="A1933" s="18" t="inlineStr">
        <is>
          <t>0560_scrafty.json::scrafty-3::003</t>
        </is>
      </c>
      <c r="B1933" s="19" t="inlineStr">
        <is>
          <t>사용</t>
        </is>
      </c>
      <c r="C1933" s="18">
        <f>IF(OR(B1933&lt;&gt;AK1933,M1933&lt;&gt;L1933,O1933&lt;&gt;"",Q1933&lt;&gt;"",V1933&lt;&gt;1,Y1933&lt;&gt;"",AT1933&lt;&gt;""),"수정","원본")</f>
        <v/>
      </c>
      <c r="D1933" s="18" t="n">
        <v>560</v>
      </c>
      <c r="E1933" s="18" t="inlineStr">
        <is>
          <t>곤율거니</t>
        </is>
      </c>
      <c r="F1933" s="18" t="inlineStr">
        <is>
          <t>scrafty</t>
        </is>
      </c>
      <c r="G1933" s="18" t="inlineStr">
        <is>
          <t>scrafty</t>
        </is>
      </c>
      <c r="H1933" s="18" t="inlineStr"/>
      <c r="I1933" s="18" t="n">
        <v>5</v>
      </c>
      <c r="J1933" s="18" t="n"/>
      <c r="K1933" s="18" t="n">
        <v>5</v>
      </c>
      <c r="L1933" s="18" t="inlineStr">
        <is>
          <t>cobbleventure:generation_5</t>
        </is>
      </c>
      <c r="M1933" s="19" t="inlineStr">
        <is>
          <t>cobbleventure:generation_5</t>
        </is>
      </c>
      <c r="N1933" s="18" t="inlineStr">
        <is>
          <t>region_02</t>
        </is>
      </c>
      <c r="O1933" s="19" t="inlineStr"/>
      <c r="P1933" s="18" t="inlineStr">
        <is>
          <t>#cobblemon:is_arid</t>
        </is>
      </c>
      <c r="Q1933" s="19" t="inlineStr"/>
      <c r="R1933" s="18">
        <f>IF(Q1933="",P1933,Q1933)</f>
        <v/>
      </c>
      <c r="S1933" s="18" t="inlineStr">
        <is>
          <t>#cobblemon:is_badlands</t>
        </is>
      </c>
      <c r="T1933" s="18" t="inlineStr">
        <is>
          <t>common</t>
        </is>
      </c>
      <c r="U1933" s="20" t="n">
        <v>0.6</v>
      </c>
      <c r="V1933" s="21" t="n">
        <v>1</v>
      </c>
      <c r="W1933" s="20">
        <f>IF(OR(U1933="",V1933=""),U1933,U1933*V1933)</f>
        <v/>
      </c>
      <c r="X1933" s="18" t="inlineStr">
        <is>
          <t>39-49</t>
        </is>
      </c>
      <c r="Y1933" s="19" t="inlineStr"/>
      <c r="Z1933" s="18">
        <f>IF(Y1933="",X1933,Y1933)</f>
        <v/>
      </c>
      <c r="AA1933" s="18" t="inlineStr">
        <is>
          <t>grounded</t>
        </is>
      </c>
      <c r="AB1933" s="18" t="inlineStr"/>
      <c r="AC1933" s="18" t="inlineStr"/>
      <c r="AD1933" s="18" t="inlineStr"/>
      <c r="AE1933" s="18" t="inlineStr">
        <is>
          <t>sky 8-15</t>
        </is>
      </c>
      <c r="AF1933" s="18" t="inlineStr"/>
      <c r="AG1933" s="18" t="inlineStr">
        <is>
          <t>#minecraft:village</t>
        </is>
      </c>
      <c r="AH1933" s="18" t="inlineStr"/>
      <c r="AI1933" s="18" t="inlineStr"/>
      <c r="AJ1933" s="18" t="inlineStr">
        <is>
          <t>COBBLEVERSE 수정</t>
        </is>
      </c>
      <c r="AK1933" s="18" t="inlineStr">
        <is>
          <t>사용</t>
        </is>
      </c>
      <c r="AL1933" s="18" t="inlineStr">
        <is>
          <t>COBBLEVERSE 1.7.42 / DP v31</t>
        </is>
      </c>
      <c r="AM1933" s="18" t="inlineStr">
        <is>
          <t>data/cobblemon/spawn_pool_world/0560_scrafty.json</t>
        </is>
      </c>
      <c r="AN1933" s="18" t="inlineStr">
        <is>
          <t>scrafty-3</t>
        </is>
      </c>
      <c r="AO1933" s="18" t="inlineStr">
        <is>
          <t>pokemon</t>
        </is>
      </c>
      <c r="AP1933" s="18" t="inlineStr">
        <is>
          <t>natural</t>
        </is>
      </c>
      <c r="AQ1933" s="18" t="inlineStr">
        <is>
          <t>{"biomes":["#cobblemon:is_arid"],"maxSkyLight":15,"minSkyLight":8,"structures":["#minecraft:village"]}</t>
        </is>
      </c>
      <c r="AR1933" s="18" t="inlineStr">
        <is>
          <t>{"biomes":["#cobblemon:is_badlands"]}</t>
        </is>
      </c>
      <c r="AS1933" s="18" t="inlineStr"/>
      <c r="AT1933" s="19" t="inlineStr"/>
    </row>
    <row r="1934" ht="32" customHeight="1">
      <c r="A1934" s="18" t="inlineStr">
        <is>
          <t>0561_sigilyph.json::sigilyph-1::001</t>
        </is>
      </c>
      <c r="B1934" s="19" t="inlineStr">
        <is>
          <t>사용</t>
        </is>
      </c>
      <c r="C1934" s="18">
        <f>IF(OR(B1934&lt;&gt;AK1934,M1934&lt;&gt;L1934,O1934&lt;&gt;"",Q1934&lt;&gt;"",V1934&lt;&gt;1,Y1934&lt;&gt;"",AT1934&lt;&gt;""),"수정","원본")</f>
        <v/>
      </c>
      <c r="D1934" s="18" t="n">
        <v>561</v>
      </c>
      <c r="E1934" s="18" t="inlineStr">
        <is>
          <t>심보러</t>
        </is>
      </c>
      <c r="F1934" s="18" t="inlineStr">
        <is>
          <t>sigilyph</t>
        </is>
      </c>
      <c r="G1934" s="18" t="inlineStr">
        <is>
          <t>sigilyph</t>
        </is>
      </c>
      <c r="H1934" s="18" t="inlineStr"/>
      <c r="I1934" s="18" t="n">
        <v>5</v>
      </c>
      <c r="J1934" s="18" t="n"/>
      <c r="K1934" s="18" t="n">
        <v>5</v>
      </c>
      <c r="L1934" s="18" t="inlineStr">
        <is>
          <t>cobbleventure:generation_5</t>
        </is>
      </c>
      <c r="M1934" s="19" t="inlineStr">
        <is>
          <t>cobbleventure:generation_5</t>
        </is>
      </c>
      <c r="N1934" s="18" t="inlineStr">
        <is>
          <t>region_02</t>
        </is>
      </c>
      <c r="O1934" s="19" t="inlineStr"/>
      <c r="P1934" s="18" t="inlineStr">
        <is>
          <t>#cobblemon:is_badlands; #cobblemon:is_desert</t>
        </is>
      </c>
      <c r="Q1934" s="19" t="inlineStr"/>
      <c r="R1934" s="18">
        <f>IF(Q1934="",P1934,Q1934)</f>
        <v/>
      </c>
      <c r="S1934" s="18" t="inlineStr"/>
      <c r="T1934" s="18" t="inlineStr">
        <is>
          <t>uncommon</t>
        </is>
      </c>
      <c r="U1934" s="20" t="n">
        <v>60</v>
      </c>
      <c r="V1934" s="21" t="n">
        <v>1</v>
      </c>
      <c r="W1934" s="20">
        <f>IF(OR(U1934="",V1934=""),U1934,U1934*V1934)</f>
        <v/>
      </c>
      <c r="X1934" s="18" t="inlineStr">
        <is>
          <t>24-49</t>
        </is>
      </c>
      <c r="Y1934" s="19" t="inlineStr"/>
      <c r="Z1934" s="18">
        <f>IF(Y1934="",X1934,Y1934)</f>
        <v/>
      </c>
      <c r="AA1934" s="18" t="inlineStr">
        <is>
          <t>grounded</t>
        </is>
      </c>
      <c r="AB1934" s="18" t="inlineStr"/>
      <c r="AC1934" s="18" t="inlineStr"/>
      <c r="AD1934" s="18" t="inlineStr"/>
      <c r="AE1934" s="18" t="inlineStr">
        <is>
          <t>sky 8-15</t>
        </is>
      </c>
      <c r="AF1934" s="18" t="inlineStr"/>
      <c r="AG1934" s="18" t="inlineStr"/>
      <c r="AH1934" s="18" t="inlineStr"/>
      <c r="AI1934" s="18" t="inlineStr"/>
      <c r="AJ1934" s="18" t="inlineStr">
        <is>
          <t>COBBLEVERSE 수정</t>
        </is>
      </c>
      <c r="AK1934" s="18" t="inlineStr">
        <is>
          <t>사용</t>
        </is>
      </c>
      <c r="AL1934" s="18" t="inlineStr">
        <is>
          <t>COBBLEVERSE 1.7.42 / DP v31</t>
        </is>
      </c>
      <c r="AM1934" s="18" t="inlineStr">
        <is>
          <t>data/cobblemon/spawn_pool_world/0561_sigilyph.json</t>
        </is>
      </c>
      <c r="AN1934" s="18" t="inlineStr">
        <is>
          <t>sigilyph-1</t>
        </is>
      </c>
      <c r="AO1934" s="18" t="inlineStr">
        <is>
          <t>pokemon</t>
        </is>
      </c>
      <c r="AP1934" s="18" t="inlineStr">
        <is>
          <t>natural</t>
        </is>
      </c>
      <c r="AQ1934" s="18" t="inlineStr">
        <is>
          <t>{"biomes":["#cobblemon:is_badlands","#cobblemon:is_desert"],"maxSkyLight":15,"minSkyLight":8}</t>
        </is>
      </c>
      <c r="AR1934" s="18" t="inlineStr"/>
      <c r="AS1934" s="18" t="inlineStr"/>
      <c r="AT1934" s="19" t="inlineStr"/>
    </row>
    <row r="1935" ht="32" customHeight="1">
      <c r="A1935" s="18" t="inlineStr">
        <is>
          <t>0561_sigilyph.json::sigilyph-2::002</t>
        </is>
      </c>
      <c r="B1935" s="19" t="inlineStr">
        <is>
          <t>사용</t>
        </is>
      </c>
      <c r="C1935" s="18">
        <f>IF(OR(B1935&lt;&gt;AK1935,M1935&lt;&gt;L1935,O1935&lt;&gt;"",Q1935&lt;&gt;"",V1935&lt;&gt;1,Y1935&lt;&gt;"",AT1935&lt;&gt;""),"수정","원본")</f>
        <v/>
      </c>
      <c r="D1935" s="18" t="n">
        <v>561</v>
      </c>
      <c r="E1935" s="18" t="inlineStr">
        <is>
          <t>심보러</t>
        </is>
      </c>
      <c r="F1935" s="18" t="inlineStr">
        <is>
          <t>sigilyph</t>
        </is>
      </c>
      <c r="G1935" s="18" t="inlineStr">
        <is>
          <t>sigilyph</t>
        </is>
      </c>
      <c r="H1935" s="18" t="inlineStr"/>
      <c r="I1935" s="18" t="n">
        <v>5</v>
      </c>
      <c r="J1935" s="18" t="n"/>
      <c r="K1935" s="18" t="n">
        <v>5</v>
      </c>
      <c r="L1935" s="18" t="inlineStr">
        <is>
          <t>cobbleventure:generation_5</t>
        </is>
      </c>
      <c r="M1935" s="19" t="inlineStr">
        <is>
          <t>cobbleventure:generation_5</t>
        </is>
      </c>
      <c r="N1935" s="18" t="inlineStr">
        <is>
          <t>region_01; region_02</t>
        </is>
      </c>
      <c r="O1935" s="19" t="inlineStr"/>
      <c r="P1935" s="18" t="inlineStr">
        <is>
          <t>#cobblemon:is_overworld</t>
        </is>
      </c>
      <c r="Q1935" s="19" t="inlineStr"/>
      <c r="R1935" s="18">
        <f>IF(Q1935="",P1935,Q1935)</f>
        <v/>
      </c>
      <c r="S1935" s="18" t="inlineStr"/>
      <c r="T1935" s="18" t="inlineStr">
        <is>
          <t>common</t>
        </is>
      </c>
      <c r="U1935" s="20" t="n">
        <v>60</v>
      </c>
      <c r="V1935" s="21" t="n">
        <v>1</v>
      </c>
      <c r="W1935" s="20">
        <f>IF(OR(U1935="",V1935=""),U1935,U1935*V1935)</f>
        <v/>
      </c>
      <c r="X1935" s="18" t="inlineStr">
        <is>
          <t>24-49</t>
        </is>
      </c>
      <c r="Y1935" s="19" t="inlineStr"/>
      <c r="Z1935" s="18">
        <f>IF(Y1935="",X1935,Y1935)</f>
        <v/>
      </c>
      <c r="AA1935" s="18" t="inlineStr">
        <is>
          <t>grounded</t>
        </is>
      </c>
      <c r="AB1935" s="18" t="inlineStr"/>
      <c r="AC1935" s="18" t="inlineStr"/>
      <c r="AD1935" s="18" t="inlineStr"/>
      <c r="AE1935" s="18" t="inlineStr">
        <is>
          <t>sky 8-15</t>
        </is>
      </c>
      <c r="AF1935" s="18" t="inlineStr"/>
      <c r="AG1935" s="18" t="inlineStr">
        <is>
          <t>minecraft:desert_well</t>
        </is>
      </c>
      <c r="AH1935" s="18" t="inlineStr"/>
      <c r="AI1935" s="18" t="inlineStr"/>
      <c r="AJ1935" s="18" t="inlineStr">
        <is>
          <t>COBBLEVERSE 수정</t>
        </is>
      </c>
      <c r="AK1935" s="18" t="inlineStr">
        <is>
          <t>사용</t>
        </is>
      </c>
      <c r="AL1935" s="18" t="inlineStr">
        <is>
          <t>COBBLEVERSE 1.7.42 / DP v31</t>
        </is>
      </c>
      <c r="AM1935" s="18" t="inlineStr">
        <is>
          <t>data/cobblemon/spawn_pool_world/0561_sigilyph.json</t>
        </is>
      </c>
      <c r="AN1935" s="18" t="inlineStr">
        <is>
          <t>sigilyph-2</t>
        </is>
      </c>
      <c r="AO1935" s="18" t="inlineStr">
        <is>
          <t>pokemon</t>
        </is>
      </c>
      <c r="AP1935" s="18" t="inlineStr">
        <is>
          <t>natural; desert_pyramid</t>
        </is>
      </c>
      <c r="AQ1935" s="18" t="inlineStr">
        <is>
          <t>{"biomes":["#cobblemon:is_overworld"],"maxSkyLight":15,"minSkyLight":8,"structures":["minecraft:desert_well"]}</t>
        </is>
      </c>
      <c r="AR1935" s="18" t="inlineStr"/>
      <c r="AS1935" s="18" t="inlineStr"/>
      <c r="AT1935" s="19" t="inlineStr"/>
    </row>
    <row r="1936" ht="32" customHeight="1">
      <c r="A1936" s="18" t="inlineStr">
        <is>
          <t>0561_sigilyph.json::sigilyph-3::003</t>
        </is>
      </c>
      <c r="B1936" s="19" t="inlineStr">
        <is>
          <t>사용</t>
        </is>
      </c>
      <c r="C1936" s="18">
        <f>IF(OR(B1936&lt;&gt;AK1936,M1936&lt;&gt;L1936,O1936&lt;&gt;"",Q1936&lt;&gt;"",V1936&lt;&gt;1,Y1936&lt;&gt;"",AT1936&lt;&gt;""),"수정","원본")</f>
        <v/>
      </c>
      <c r="D1936" s="18" t="n">
        <v>561</v>
      </c>
      <c r="E1936" s="18" t="inlineStr">
        <is>
          <t>심보러</t>
        </is>
      </c>
      <c r="F1936" s="18" t="inlineStr">
        <is>
          <t>sigilyph</t>
        </is>
      </c>
      <c r="G1936" s="18" t="inlineStr">
        <is>
          <t>sigilyph</t>
        </is>
      </c>
      <c r="H1936" s="18" t="inlineStr"/>
      <c r="I1936" s="18" t="n">
        <v>5</v>
      </c>
      <c r="J1936" s="18" t="n"/>
      <c r="K1936" s="18" t="n">
        <v>5</v>
      </c>
      <c r="L1936" s="18" t="inlineStr">
        <is>
          <t>cobbleventure:generation_5</t>
        </is>
      </c>
      <c r="M1936" s="19" t="inlineStr">
        <is>
          <t>cobbleventure:generation_5</t>
        </is>
      </c>
      <c r="N1936" s="18" t="inlineStr">
        <is>
          <t>region_01; region_02</t>
        </is>
      </c>
      <c r="O1936" s="19" t="inlineStr"/>
      <c r="P1936" s="18" t="inlineStr">
        <is>
          <t>#cobblemon:is_overworld</t>
        </is>
      </c>
      <c r="Q1936" s="19" t="inlineStr"/>
      <c r="R1936" s="18">
        <f>IF(Q1936="",P1936,Q1936)</f>
        <v/>
      </c>
      <c r="S1936" s="18" t="inlineStr"/>
      <c r="T1936" s="18" t="inlineStr">
        <is>
          <t>common</t>
        </is>
      </c>
      <c r="U1936" s="20" t="n">
        <v>60</v>
      </c>
      <c r="V1936" s="21" t="n">
        <v>1</v>
      </c>
      <c r="W1936" s="20">
        <f>IF(OR(U1936="",V1936=""),U1936,U1936*V1936)</f>
        <v/>
      </c>
      <c r="X1936" s="18" t="inlineStr">
        <is>
          <t>24-49</t>
        </is>
      </c>
      <c r="Y1936" s="19" t="inlineStr"/>
      <c r="Z1936" s="18">
        <f>IF(Y1936="",X1936,Y1936)</f>
        <v/>
      </c>
      <c r="AA1936" s="18" t="inlineStr">
        <is>
          <t>grounded</t>
        </is>
      </c>
      <c r="AB1936" s="18" t="inlineStr"/>
      <c r="AC1936" s="18" t="inlineStr"/>
      <c r="AD1936" s="18" t="inlineStr"/>
      <c r="AE1936" s="18" t="inlineStr">
        <is>
          <t>sky 8-15</t>
        </is>
      </c>
      <c r="AF1936" s="18" t="inlineStr"/>
      <c r="AG1936" s="18" t="inlineStr"/>
      <c r="AH1936" s="18" t="inlineStr"/>
      <c r="AI1936" s="18" t="inlineStr"/>
      <c r="AJ1936" s="18" t="inlineStr">
        <is>
          <t>COBBLEVERSE 수정</t>
        </is>
      </c>
      <c r="AK1936" s="18" t="inlineStr">
        <is>
          <t>사용</t>
        </is>
      </c>
      <c r="AL1936" s="18" t="inlineStr">
        <is>
          <t>COBBLEVERSE 1.7.42 / DP v31</t>
        </is>
      </c>
      <c r="AM1936" s="18" t="inlineStr">
        <is>
          <t>data/cobblemon/spawn_pool_world/0561_sigilyph.json</t>
        </is>
      </c>
      <c r="AN1936" s="18" t="inlineStr">
        <is>
          <t>sigilyph-3</t>
        </is>
      </c>
      <c r="AO1936" s="18" t="inlineStr">
        <is>
          <t>pokemon</t>
        </is>
      </c>
      <c r="AP1936" s="18" t="inlineStr">
        <is>
          <t>natural; jungle_pyramid</t>
        </is>
      </c>
      <c r="AQ1936" s="18" t="inlineStr">
        <is>
          <t>{"biomes":["#cobblemon:is_overworld"],"maxSkyLight":15,"minSkyLight":8}</t>
        </is>
      </c>
      <c r="AR1936" s="18" t="inlineStr"/>
      <c r="AS1936" s="18" t="inlineStr"/>
      <c r="AT1936" s="19" t="inlineStr"/>
    </row>
    <row r="1937" ht="32" customHeight="1">
      <c r="A1937" s="18" t="inlineStr">
        <is>
          <t>0561_sigilyph.json::sigilyph-4::004</t>
        </is>
      </c>
      <c r="B1937" s="19" t="inlineStr">
        <is>
          <t>사용</t>
        </is>
      </c>
      <c r="C1937" s="18">
        <f>IF(OR(B1937&lt;&gt;AK1937,M1937&lt;&gt;L1937,O1937&lt;&gt;"",Q1937&lt;&gt;"",V1937&lt;&gt;1,Y1937&lt;&gt;"",AT1937&lt;&gt;""),"수정","원본")</f>
        <v/>
      </c>
      <c r="D1937" s="18" t="n">
        <v>561</v>
      </c>
      <c r="E1937" s="18" t="inlineStr">
        <is>
          <t>심보러</t>
        </is>
      </c>
      <c r="F1937" s="18" t="inlineStr">
        <is>
          <t>sigilyph</t>
        </is>
      </c>
      <c r="G1937" s="18" t="inlineStr">
        <is>
          <t>sigilyph</t>
        </is>
      </c>
      <c r="H1937" s="18" t="inlineStr"/>
      <c r="I1937" s="18" t="n">
        <v>5</v>
      </c>
      <c r="J1937" s="18" t="n"/>
      <c r="K1937" s="18" t="n">
        <v>5</v>
      </c>
      <c r="L1937" s="18" t="inlineStr">
        <is>
          <t>cobbleventure:generation_5</t>
        </is>
      </c>
      <c r="M1937" s="19" t="inlineStr">
        <is>
          <t>cobbleventure:generation_5</t>
        </is>
      </c>
      <c r="N1937" s="18" t="inlineStr">
        <is>
          <t>region_01; region_02</t>
        </is>
      </c>
      <c r="O1937" s="19" t="inlineStr"/>
      <c r="P1937" s="18" t="inlineStr">
        <is>
          <t>#cobblemon:is_overworld</t>
        </is>
      </c>
      <c r="Q1937" s="19" t="inlineStr"/>
      <c r="R1937" s="18">
        <f>IF(Q1937="",P1937,Q1937)</f>
        <v/>
      </c>
      <c r="S1937" s="18" t="inlineStr"/>
      <c r="T1937" s="18" t="inlineStr">
        <is>
          <t>common</t>
        </is>
      </c>
      <c r="U1937" s="20" t="n">
        <v>60</v>
      </c>
      <c r="V1937" s="21" t="n">
        <v>1</v>
      </c>
      <c r="W1937" s="20">
        <f>IF(OR(U1937="",V1937=""),U1937,U1937*V1937)</f>
        <v/>
      </c>
      <c r="X1937" s="18" t="inlineStr">
        <is>
          <t>24-49</t>
        </is>
      </c>
      <c r="Y1937" s="19" t="inlineStr"/>
      <c r="Z1937" s="18">
        <f>IF(Y1937="",X1937,Y1937)</f>
        <v/>
      </c>
      <c r="AA1937" s="18" t="inlineStr">
        <is>
          <t>grounded</t>
        </is>
      </c>
      <c r="AB1937" s="18" t="inlineStr"/>
      <c r="AC1937" s="18" t="inlineStr"/>
      <c r="AD1937" s="18" t="inlineStr"/>
      <c r="AE1937" s="18" t="inlineStr">
        <is>
          <t>sky 8-15</t>
        </is>
      </c>
      <c r="AF1937" s="18" t="inlineStr"/>
      <c r="AG1937" s="18" t="inlineStr"/>
      <c r="AH1937" s="18" t="inlineStr"/>
      <c r="AI1937" s="18" t="inlineStr"/>
      <c r="AJ1937" s="18" t="inlineStr">
        <is>
          <t>COBBLEVERSE 수정</t>
        </is>
      </c>
      <c r="AK1937" s="18" t="inlineStr">
        <is>
          <t>사용</t>
        </is>
      </c>
      <c r="AL1937" s="18" t="inlineStr">
        <is>
          <t>COBBLEVERSE 1.7.42 / DP v31</t>
        </is>
      </c>
      <c r="AM1937" s="18" t="inlineStr">
        <is>
          <t>data/cobblemon/spawn_pool_world/0561_sigilyph.json</t>
        </is>
      </c>
      <c r="AN1937" s="18" t="inlineStr">
        <is>
          <t>sigilyph-4</t>
        </is>
      </c>
      <c r="AO1937" s="18" t="inlineStr">
        <is>
          <t>pokemon</t>
        </is>
      </c>
      <c r="AP1937" s="18" t="inlineStr">
        <is>
          <t>trail_ruins</t>
        </is>
      </c>
      <c r="AQ1937" s="18" t="inlineStr">
        <is>
          <t>{"biomes":["#cobblemon:is_overworld"],"maxSkyLight":15,"minSkyLight":8}</t>
        </is>
      </c>
      <c r="AR1937" s="18" t="inlineStr"/>
      <c r="AS1937" s="18" t="inlineStr"/>
      <c r="AT1937" s="19" t="inlineStr"/>
    </row>
    <row r="1938" ht="32" customHeight="1">
      <c r="A1938" s="18" t="inlineStr">
        <is>
          <t>0561_sigilyph.json::sigilyph-5::005</t>
        </is>
      </c>
      <c r="B1938" s="19" t="inlineStr">
        <is>
          <t>사용</t>
        </is>
      </c>
      <c r="C1938" s="18">
        <f>IF(OR(B1938&lt;&gt;AK1938,M1938&lt;&gt;L1938,O1938&lt;&gt;"",Q1938&lt;&gt;"",V1938&lt;&gt;1,Y1938&lt;&gt;"",AT1938&lt;&gt;""),"수정","원본")</f>
        <v/>
      </c>
      <c r="D1938" s="18" t="n">
        <v>561</v>
      </c>
      <c r="E1938" s="18" t="inlineStr">
        <is>
          <t>심보러</t>
        </is>
      </c>
      <c r="F1938" s="18" t="inlineStr">
        <is>
          <t>sigilyph</t>
        </is>
      </c>
      <c r="G1938" s="18" t="inlineStr">
        <is>
          <t>sigilyph</t>
        </is>
      </c>
      <c r="H1938" s="18" t="inlineStr"/>
      <c r="I1938" s="18" t="n">
        <v>5</v>
      </c>
      <c r="J1938" s="18" t="n"/>
      <c r="K1938" s="18" t="n">
        <v>5</v>
      </c>
      <c r="L1938" s="18" t="inlineStr">
        <is>
          <t>cobbleventure:generation_5</t>
        </is>
      </c>
      <c r="M1938" s="19" t="inlineStr">
        <is>
          <t>cobbleventure:generation_5</t>
        </is>
      </c>
      <c r="N1938" s="18" t="inlineStr"/>
      <c r="O1938" s="19" t="inlineStr"/>
      <c r="P1938" s="18" t="inlineStr">
        <is>
          <t>#cobblemon:is_end</t>
        </is>
      </c>
      <c r="Q1938" s="19" t="inlineStr"/>
      <c r="R1938" s="18">
        <f>IF(Q1938="",P1938,Q1938)</f>
        <v/>
      </c>
      <c r="S1938" s="18" t="inlineStr"/>
      <c r="T1938" s="18" t="inlineStr">
        <is>
          <t>uncommon</t>
        </is>
      </c>
      <c r="U1938" s="20" t="n">
        <v>6</v>
      </c>
      <c r="V1938" s="21" t="n">
        <v>1</v>
      </c>
      <c r="W1938" s="20">
        <f>IF(OR(U1938="",V1938=""),U1938,U1938*V1938)</f>
        <v/>
      </c>
      <c r="X1938" s="18" t="inlineStr">
        <is>
          <t>24-49</t>
        </is>
      </c>
      <c r="Y1938" s="19" t="inlineStr"/>
      <c r="Z1938" s="18">
        <f>IF(Y1938="",X1938,Y1938)</f>
        <v/>
      </c>
      <c r="AA1938" s="18" t="inlineStr">
        <is>
          <t>grounded</t>
        </is>
      </c>
      <c r="AB1938" s="18" t="inlineStr"/>
      <c r="AC1938" s="18" t="inlineStr"/>
      <c r="AD1938" s="18" t="inlineStr"/>
      <c r="AE1938" s="18" t="inlineStr"/>
      <c r="AF1938" s="18" t="inlineStr"/>
      <c r="AG1938" s="18" t="inlineStr"/>
      <c r="AH1938" s="18" t="inlineStr"/>
      <c r="AI1938" s="18" t="inlineStr"/>
      <c r="AJ1938" s="18" t="inlineStr">
        <is>
          <t>COBBLEVERSE 수정</t>
        </is>
      </c>
      <c r="AK1938" s="18" t="inlineStr">
        <is>
          <t>사용</t>
        </is>
      </c>
      <c r="AL1938" s="18" t="inlineStr">
        <is>
          <t>COBBLEVERSE 1.7.42 / DP v31</t>
        </is>
      </c>
      <c r="AM1938" s="18" t="inlineStr">
        <is>
          <t>data/cobblemon/spawn_pool_world/0561_sigilyph.json</t>
        </is>
      </c>
      <c r="AN1938" s="18" t="inlineStr">
        <is>
          <t>sigilyph-5</t>
        </is>
      </c>
      <c r="AO1938" s="18" t="inlineStr">
        <is>
          <t>pokemon</t>
        </is>
      </c>
      <c r="AP1938" s="18" t="inlineStr">
        <is>
          <t>natural; end_city</t>
        </is>
      </c>
      <c r="AQ1938" s="18" t="inlineStr">
        <is>
          <t>{"biomes":["#cobblemon:is_end"]}</t>
        </is>
      </c>
      <c r="AR1938" s="18" t="inlineStr"/>
      <c r="AS1938" s="18" t="inlineStr"/>
      <c r="AT1938" s="19" t="inlineStr"/>
    </row>
    <row r="1939" ht="32" customHeight="1">
      <c r="A1939" s="18" t="inlineStr">
        <is>
          <t>0561_sigilyph.json::sigilyph-7::006</t>
        </is>
      </c>
      <c r="B1939" s="19" t="inlineStr">
        <is>
          <t>사용</t>
        </is>
      </c>
      <c r="C1939" s="18">
        <f>IF(OR(B1939&lt;&gt;AK1939,M1939&lt;&gt;L1939,O1939&lt;&gt;"",Q1939&lt;&gt;"",V1939&lt;&gt;1,Y1939&lt;&gt;"",AT1939&lt;&gt;""),"수정","원본")</f>
        <v/>
      </c>
      <c r="D1939" s="18" t="n">
        <v>561</v>
      </c>
      <c r="E1939" s="18" t="inlineStr">
        <is>
          <t>심보러</t>
        </is>
      </c>
      <c r="F1939" s="18" t="inlineStr">
        <is>
          <t>sigilyph</t>
        </is>
      </c>
      <c r="G1939" s="18" t="inlineStr">
        <is>
          <t>sigilyph</t>
        </is>
      </c>
      <c r="H1939" s="18" t="inlineStr"/>
      <c r="I1939" s="18" t="n">
        <v>5</v>
      </c>
      <c r="J1939" s="18" t="n"/>
      <c r="K1939" s="18" t="n">
        <v>5</v>
      </c>
      <c r="L1939" s="18" t="inlineStr">
        <is>
          <t>cobbleventure:generation_5</t>
        </is>
      </c>
      <c r="M1939" s="19" t="inlineStr">
        <is>
          <t>cobbleventure:generation_5</t>
        </is>
      </c>
      <c r="N1939" s="18" t="inlineStr"/>
      <c r="O1939" s="19" t="inlineStr"/>
      <c r="P1939" s="18" t="inlineStr">
        <is>
          <t>#aether:is_aether</t>
        </is>
      </c>
      <c r="Q1939" s="19" t="inlineStr"/>
      <c r="R1939" s="18">
        <f>IF(Q1939="",P1939,Q1939)</f>
        <v/>
      </c>
      <c r="S1939" s="18" t="inlineStr"/>
      <c r="T1939" s="18" t="inlineStr">
        <is>
          <t>uncommon</t>
        </is>
      </c>
      <c r="U1939" s="20" t="n">
        <v>10</v>
      </c>
      <c r="V1939" s="21" t="n">
        <v>1</v>
      </c>
      <c r="W1939" s="20">
        <f>IF(OR(U1939="",V1939=""),U1939,U1939*V1939)</f>
        <v/>
      </c>
      <c r="X1939" s="18" t="inlineStr">
        <is>
          <t>24-49</t>
        </is>
      </c>
      <c r="Y1939" s="19" t="inlineStr"/>
      <c r="Z1939" s="18">
        <f>IF(Y1939="",X1939,Y1939)</f>
        <v/>
      </c>
      <c r="AA1939" s="18" t="inlineStr">
        <is>
          <t>grounded</t>
        </is>
      </c>
      <c r="AB1939" s="18" t="inlineStr"/>
      <c r="AC1939" s="18" t="inlineStr"/>
      <c r="AD1939" s="18" t="inlineStr"/>
      <c r="AE1939" s="18" t="inlineStr"/>
      <c r="AF1939" s="18" t="inlineStr"/>
      <c r="AG1939" s="18" t="inlineStr">
        <is>
          <t>#aether:dungeons</t>
        </is>
      </c>
      <c r="AH1939" s="18" t="inlineStr"/>
      <c r="AI1939" s="18" t="inlineStr"/>
      <c r="AJ1939" s="18" t="inlineStr">
        <is>
          <t>COBBLEVERSE 수정</t>
        </is>
      </c>
      <c r="AK1939" s="18" t="inlineStr">
        <is>
          <t>사용</t>
        </is>
      </c>
      <c r="AL1939" s="18" t="inlineStr">
        <is>
          <t>COBBLEVERSE 1.7.42 / DP v31</t>
        </is>
      </c>
      <c r="AM1939" s="18" t="inlineStr">
        <is>
          <t>data/cobblemon/spawn_pool_world/0561_sigilyph.json</t>
        </is>
      </c>
      <c r="AN1939" s="18" t="inlineStr">
        <is>
          <t>sigilyph-7</t>
        </is>
      </c>
      <c r="AO1939" s="18" t="inlineStr">
        <is>
          <t>pokemon</t>
        </is>
      </c>
      <c r="AP1939" s="18" t="inlineStr"/>
      <c r="AQ1939" s="18" t="inlineStr">
        <is>
          <t>{"biomes":["#aether:is_aether"],"structures":["#aether:dungeons"]}</t>
        </is>
      </c>
      <c r="AR1939" s="18" t="inlineStr"/>
      <c r="AS1939" s="18" t="inlineStr"/>
      <c r="AT1939" s="19" t="inlineStr"/>
    </row>
    <row r="1940" ht="32" customHeight="1">
      <c r="A1940" s="18" t="inlineStr">
        <is>
          <t>0561_sigilyph.json::sigilyph-8::007</t>
        </is>
      </c>
      <c r="B1940" s="19" t="inlineStr">
        <is>
          <t>사용</t>
        </is>
      </c>
      <c r="C1940" s="18">
        <f>IF(OR(B1940&lt;&gt;AK1940,M1940&lt;&gt;L1940,O1940&lt;&gt;"",Q1940&lt;&gt;"",V1940&lt;&gt;1,Y1940&lt;&gt;"",AT1940&lt;&gt;""),"수정","원본")</f>
        <v/>
      </c>
      <c r="D1940" s="18" t="n">
        <v>561</v>
      </c>
      <c r="E1940" s="18" t="inlineStr">
        <is>
          <t>심보러</t>
        </is>
      </c>
      <c r="F1940" s="18" t="inlineStr">
        <is>
          <t>sigilyph</t>
        </is>
      </c>
      <c r="G1940" s="18" t="inlineStr">
        <is>
          <t>sigilyph</t>
        </is>
      </c>
      <c r="H1940" s="18" t="inlineStr"/>
      <c r="I1940" s="18" t="n">
        <v>5</v>
      </c>
      <c r="J1940" s="18" t="n"/>
      <c r="K1940" s="18" t="n">
        <v>5</v>
      </c>
      <c r="L1940" s="18" t="inlineStr">
        <is>
          <t>cobbleventure:generation_5</t>
        </is>
      </c>
      <c r="M1940" s="19" t="inlineStr">
        <is>
          <t>cobbleventure:generation_5</t>
        </is>
      </c>
      <c r="N1940" s="18" t="inlineStr"/>
      <c r="O1940" s="19" t="inlineStr"/>
      <c r="P1940" s="18" t="inlineStr">
        <is>
          <t>the_bumblezone:howling_constructs</t>
        </is>
      </c>
      <c r="Q1940" s="19" t="inlineStr"/>
      <c r="R1940" s="18">
        <f>IF(Q1940="",P1940,Q1940)</f>
        <v/>
      </c>
      <c r="S1940" s="18" t="inlineStr"/>
      <c r="T1940" s="18" t="inlineStr">
        <is>
          <t>common</t>
        </is>
      </c>
      <c r="U1940" s="20" t="n">
        <v>6</v>
      </c>
      <c r="V1940" s="21" t="n">
        <v>1</v>
      </c>
      <c r="W1940" s="20">
        <f>IF(OR(U1940="",V1940=""),U1940,U1940*V1940)</f>
        <v/>
      </c>
      <c r="X1940" s="18" t="inlineStr">
        <is>
          <t>24-49</t>
        </is>
      </c>
      <c r="Y1940" s="19" t="inlineStr"/>
      <c r="Z1940" s="18">
        <f>IF(Y1940="",X1940,Y1940)</f>
        <v/>
      </c>
      <c r="AA1940" s="18" t="inlineStr">
        <is>
          <t>grounded</t>
        </is>
      </c>
      <c r="AB1940" s="18" t="inlineStr"/>
      <c r="AC1940" s="18" t="inlineStr"/>
      <c r="AD1940" s="18" t="inlineStr"/>
      <c r="AE1940" s="18" t="inlineStr"/>
      <c r="AF1940" s="18" t="inlineStr"/>
      <c r="AG1940" s="18" t="inlineStr"/>
      <c r="AH1940" s="18" t="inlineStr"/>
      <c r="AI1940" s="18" t="inlineStr"/>
      <c r="AJ1940" s="18" t="inlineStr">
        <is>
          <t>COBBLEVERSE 수정</t>
        </is>
      </c>
      <c r="AK1940" s="18" t="inlineStr">
        <is>
          <t>사용</t>
        </is>
      </c>
      <c r="AL1940" s="18" t="inlineStr">
        <is>
          <t>COBBLEVERSE 1.7.42 / DP v31</t>
        </is>
      </c>
      <c r="AM1940" s="18" t="inlineStr">
        <is>
          <t>data/cobblemon/spawn_pool_world/0561_sigilyph.json</t>
        </is>
      </c>
      <c r="AN1940" s="18" t="inlineStr">
        <is>
          <t>sigilyph-8</t>
        </is>
      </c>
      <c r="AO1940" s="18" t="inlineStr">
        <is>
          <t>pokemon</t>
        </is>
      </c>
      <c r="AP1940" s="18" t="inlineStr"/>
      <c r="AQ1940" s="18" t="inlineStr">
        <is>
          <t>{"biomes":["the_bumblezone:howling_constructs"]}</t>
        </is>
      </c>
      <c r="AR1940" s="18" t="inlineStr">
        <is>
          <t>{"structures":["#the_bumblezone:sempiternal_sanctums"]}</t>
        </is>
      </c>
      <c r="AS1940" s="18" t="inlineStr"/>
      <c r="AT1940" s="19" t="inlineStr"/>
    </row>
    <row r="1941" ht="32" customHeight="1">
      <c r="A1941" s="18" t="inlineStr">
        <is>
          <t>0562_yamask.json::yamask-1::001</t>
        </is>
      </c>
      <c r="B1941" s="19" t="inlineStr">
        <is>
          <t>사용</t>
        </is>
      </c>
      <c r="C1941" s="18">
        <f>IF(OR(B1941&lt;&gt;AK1941,M1941&lt;&gt;L1941,O1941&lt;&gt;"",Q1941&lt;&gt;"",V1941&lt;&gt;1,Y1941&lt;&gt;"",AT1941&lt;&gt;""),"수정","원본")</f>
        <v/>
      </c>
      <c r="D1941" s="18" t="n">
        <v>562</v>
      </c>
      <c r="E1941" s="18" t="inlineStr">
        <is>
          <t>데스마스</t>
        </is>
      </c>
      <c r="F1941" s="18" t="inlineStr">
        <is>
          <t>yamask</t>
        </is>
      </c>
      <c r="G1941" s="18" t="inlineStr">
        <is>
          <t>yamask</t>
        </is>
      </c>
      <c r="H1941" s="18" t="inlineStr"/>
      <c r="I1941" s="18" t="n">
        <v>5</v>
      </c>
      <c r="J1941" s="18" t="n"/>
      <c r="K1941" s="18" t="n">
        <v>5</v>
      </c>
      <c r="L1941" s="18" t="inlineStr">
        <is>
          <t>cobbleventure:generation_5</t>
        </is>
      </c>
      <c r="M1941" s="19" t="inlineStr">
        <is>
          <t>cobbleventure:generation_5</t>
        </is>
      </c>
      <c r="N1941" s="18" t="inlineStr">
        <is>
          <t>region_02</t>
        </is>
      </c>
      <c r="O1941" s="19" t="inlineStr"/>
      <c r="P1941" s="18" t="inlineStr">
        <is>
          <t>#cobblemon:is_desert</t>
        </is>
      </c>
      <c r="Q1941" s="19" t="inlineStr"/>
      <c r="R1941" s="18">
        <f>IF(Q1941="",P1941,Q1941)</f>
        <v/>
      </c>
      <c r="S1941" s="18" t="inlineStr">
        <is>
          <t>#cobblemon:is_deep_dark</t>
        </is>
      </c>
      <c r="T1941" s="18" t="inlineStr">
        <is>
          <t>uncommon</t>
        </is>
      </c>
      <c r="U1941" s="20" t="n">
        <v>1.68</v>
      </c>
      <c r="V1941" s="21" t="n">
        <v>1</v>
      </c>
      <c r="W1941" s="20">
        <f>IF(OR(U1941="",V1941=""),U1941,U1941*V1941)</f>
        <v/>
      </c>
      <c r="X1941" s="18" t="inlineStr">
        <is>
          <t>5-30</t>
        </is>
      </c>
      <c r="Y1941" s="19" t="inlineStr"/>
      <c r="Z1941" s="18">
        <f>IF(Y1941="",X1941,Y1941)</f>
        <v/>
      </c>
      <c r="AA1941" s="18" t="inlineStr">
        <is>
          <t>grounded</t>
        </is>
      </c>
      <c r="AB1941" s="18" t="inlineStr"/>
      <c r="AC1941" s="18" t="inlineStr"/>
      <c r="AD1941" s="18" t="inlineStr">
        <is>
          <t>minY=0</t>
        </is>
      </c>
      <c r="AE1941" s="18" t="inlineStr">
        <is>
          <t>sky 0-7</t>
        </is>
      </c>
      <c r="AF1941" s="18" t="inlineStr"/>
      <c r="AG1941" s="18" t="inlineStr"/>
      <c r="AH1941" s="18" t="inlineStr"/>
      <c r="AI1941" s="18" t="inlineStr"/>
      <c r="AJ1941" s="18" t="inlineStr">
        <is>
          <t>Cobblemon 동일</t>
        </is>
      </c>
      <c r="AK1941" s="18" t="inlineStr">
        <is>
          <t>사용</t>
        </is>
      </c>
      <c r="AL1941" s="18" t="inlineStr">
        <is>
          <t>COBBLEVERSE 1.7.42 / DP v31</t>
        </is>
      </c>
      <c r="AM1941" s="18" t="inlineStr">
        <is>
          <t>data/cobblemon/spawn_pool_world/0562_yamask.json</t>
        </is>
      </c>
      <c r="AN1941" s="18" t="inlineStr">
        <is>
          <t>yamask-1</t>
        </is>
      </c>
      <c r="AO1941" s="18" t="inlineStr">
        <is>
          <t>pokemon</t>
        </is>
      </c>
      <c r="AP1941" s="18" t="inlineStr">
        <is>
          <t>natural</t>
        </is>
      </c>
      <c r="AQ1941" s="18" t="inlineStr">
        <is>
          <t>{"biomes":["#cobblemon:is_desert"],"maxSkyLight":7,"minSkyLight":0,"minY":0}</t>
        </is>
      </c>
      <c r="AR1941" s="18" t="inlineStr">
        <is>
          <t>{"biomes":["#cobblemon:is_deep_dark"]}</t>
        </is>
      </c>
      <c r="AS1941" s="18" t="inlineStr"/>
      <c r="AT1941" s="19" t="inlineStr"/>
    </row>
    <row r="1942" ht="32" customHeight="1">
      <c r="A1942" s="18" t="inlineStr">
        <is>
          <t>0562_yamask.json::yamask-2::002</t>
        </is>
      </c>
      <c r="B1942" s="19" t="inlineStr">
        <is>
          <t>사용</t>
        </is>
      </c>
      <c r="C1942" s="18">
        <f>IF(OR(B1942&lt;&gt;AK1942,M1942&lt;&gt;L1942,O1942&lt;&gt;"",Q1942&lt;&gt;"",V1942&lt;&gt;1,Y1942&lt;&gt;"",AT1942&lt;&gt;""),"수정","원본")</f>
        <v/>
      </c>
      <c r="D1942" s="18" t="n">
        <v>562</v>
      </c>
      <c r="E1942" s="18" t="inlineStr">
        <is>
          <t>데스마스</t>
        </is>
      </c>
      <c r="F1942" s="18" t="inlineStr">
        <is>
          <t>yamask</t>
        </is>
      </c>
      <c r="G1942" s="18" t="inlineStr">
        <is>
          <t>yamask</t>
        </is>
      </c>
      <c r="H1942" s="18" t="inlineStr"/>
      <c r="I1942" s="18" t="n">
        <v>5</v>
      </c>
      <c r="J1942" s="18" t="n"/>
      <c r="K1942" s="18" t="n">
        <v>5</v>
      </c>
      <c r="L1942" s="18" t="inlineStr">
        <is>
          <t>cobbleventure:generation_5</t>
        </is>
      </c>
      <c r="M1942" s="19" t="inlineStr">
        <is>
          <t>cobbleventure:generation_5</t>
        </is>
      </c>
      <c r="N1942" s="18" t="inlineStr">
        <is>
          <t>region_01; region_02</t>
        </is>
      </c>
      <c r="O1942" s="19" t="inlineStr"/>
      <c r="P1942" s="18" t="inlineStr">
        <is>
          <t>#cobblemon:is_overworld</t>
        </is>
      </c>
      <c r="Q1942" s="19" t="inlineStr"/>
      <c r="R1942" s="18">
        <f>IF(Q1942="",P1942,Q1942)</f>
        <v/>
      </c>
      <c r="S1942" s="18" t="inlineStr"/>
      <c r="T1942" s="18" t="inlineStr">
        <is>
          <t>common</t>
        </is>
      </c>
      <c r="U1942" s="20" t="n">
        <v>90</v>
      </c>
      <c r="V1942" s="21" t="n">
        <v>1</v>
      </c>
      <c r="W1942" s="20">
        <f>IF(OR(U1942="",V1942=""),U1942,U1942*V1942)</f>
        <v/>
      </c>
      <c r="X1942" s="18" t="inlineStr">
        <is>
          <t>5-30</t>
        </is>
      </c>
      <c r="Y1942" s="19" t="inlineStr"/>
      <c r="Z1942" s="18">
        <f>IF(Y1942="",X1942,Y1942)</f>
        <v/>
      </c>
      <c r="AA1942" s="18" t="inlineStr">
        <is>
          <t>grounded</t>
        </is>
      </c>
      <c r="AB1942" s="18" t="inlineStr"/>
      <c r="AC1942" s="18" t="inlineStr"/>
      <c r="AD1942" s="18" t="inlineStr">
        <is>
          <t>minY=48</t>
        </is>
      </c>
      <c r="AE1942" s="18" t="inlineStr"/>
      <c r="AF1942" s="18" t="inlineStr">
        <is>
          <t>False</t>
        </is>
      </c>
      <c r="AG1942" s="18" t="inlineStr"/>
      <c r="AH1942" s="18" t="inlineStr"/>
      <c r="AI1942" s="18" t="inlineStr"/>
      <c r="AJ1942" s="18" t="inlineStr">
        <is>
          <t>Cobblemon 동일</t>
        </is>
      </c>
      <c r="AK1942" s="18" t="inlineStr">
        <is>
          <t>사용</t>
        </is>
      </c>
      <c r="AL1942" s="18" t="inlineStr">
        <is>
          <t>COBBLEVERSE 1.7.42 / DP v31</t>
        </is>
      </c>
      <c r="AM1942" s="18" t="inlineStr">
        <is>
          <t>data/cobblemon/spawn_pool_world/0562_yamask.json</t>
        </is>
      </c>
      <c r="AN1942" s="18" t="inlineStr">
        <is>
          <t>yamask-2</t>
        </is>
      </c>
      <c r="AO1942" s="18" t="inlineStr">
        <is>
          <t>pokemon</t>
        </is>
      </c>
      <c r="AP1942" s="18" t="inlineStr">
        <is>
          <t>natural; desert_pyramid</t>
        </is>
      </c>
      <c r="AQ1942" s="18" t="inlineStr">
        <is>
          <t>{"biomes":["#cobblemon:is_overworld"],"canSeeSky":false,"minY":48}</t>
        </is>
      </c>
      <c r="AR1942" s="18" t="inlineStr"/>
      <c r="AS1942" s="18" t="inlineStr"/>
      <c r="AT1942" s="19" t="inlineStr"/>
    </row>
    <row r="1943" ht="32" customHeight="1">
      <c r="A1943" s="18" t="inlineStr">
        <is>
          <t>0563_cofagrigus.json::cofagrigus-1::001</t>
        </is>
      </c>
      <c r="B1943" s="19" t="inlineStr">
        <is>
          <t>사용</t>
        </is>
      </c>
      <c r="C1943" s="18">
        <f>IF(OR(B1943&lt;&gt;AK1943,M1943&lt;&gt;L1943,O1943&lt;&gt;"",Q1943&lt;&gt;"",V1943&lt;&gt;1,Y1943&lt;&gt;"",AT1943&lt;&gt;""),"수정","원본")</f>
        <v/>
      </c>
      <c r="D1943" s="18" t="n">
        <v>563</v>
      </c>
      <c r="E1943" s="18" t="inlineStr">
        <is>
          <t>데스니칸</t>
        </is>
      </c>
      <c r="F1943" s="18" t="inlineStr">
        <is>
          <t>cofagrigus</t>
        </is>
      </c>
      <c r="G1943" s="18" t="inlineStr">
        <is>
          <t>cofagrigus</t>
        </is>
      </c>
      <c r="H1943" s="18" t="inlineStr"/>
      <c r="I1943" s="18" t="n">
        <v>5</v>
      </c>
      <c r="J1943" s="18" t="n"/>
      <c r="K1943" s="18" t="n">
        <v>5</v>
      </c>
      <c r="L1943" s="18" t="inlineStr">
        <is>
          <t>cobbleventure:generation_5</t>
        </is>
      </c>
      <c r="M1943" s="19" t="inlineStr">
        <is>
          <t>cobbleventure:generation_5</t>
        </is>
      </c>
      <c r="N1943" s="18" t="inlineStr">
        <is>
          <t>region_02</t>
        </is>
      </c>
      <c r="O1943" s="19" t="inlineStr"/>
      <c r="P1943" s="18" t="inlineStr">
        <is>
          <t>#cobblemon:is_desert</t>
        </is>
      </c>
      <c r="Q1943" s="19" t="inlineStr"/>
      <c r="R1943" s="18">
        <f>IF(Q1943="",P1943,Q1943)</f>
        <v/>
      </c>
      <c r="S1943" s="18" t="inlineStr">
        <is>
          <t>#cobblemon:is_deep_dark</t>
        </is>
      </c>
      <c r="T1943" s="18" t="inlineStr">
        <is>
          <t>uncommon</t>
        </is>
      </c>
      <c r="U1943" s="20" t="n">
        <v>0.32</v>
      </c>
      <c r="V1943" s="21" t="n">
        <v>1</v>
      </c>
      <c r="W1943" s="20">
        <f>IF(OR(U1943="",V1943=""),U1943,U1943*V1943)</f>
        <v/>
      </c>
      <c r="X1943" s="18" t="inlineStr">
        <is>
          <t>34-48</t>
        </is>
      </c>
      <c r="Y1943" s="19" t="inlineStr"/>
      <c r="Z1943" s="18">
        <f>IF(Y1943="",X1943,Y1943)</f>
        <v/>
      </c>
      <c r="AA1943" s="18" t="inlineStr">
        <is>
          <t>grounded</t>
        </is>
      </c>
      <c r="AB1943" s="18" t="inlineStr"/>
      <c r="AC1943" s="18" t="inlineStr"/>
      <c r="AD1943" s="18" t="inlineStr">
        <is>
          <t>minY=0</t>
        </is>
      </c>
      <c r="AE1943" s="18" t="inlineStr">
        <is>
          <t>sky 0-7</t>
        </is>
      </c>
      <c r="AF1943" s="18" t="inlineStr"/>
      <c r="AG1943" s="18" t="inlineStr"/>
      <c r="AH1943" s="18" t="inlineStr"/>
      <c r="AI1943" s="18" t="inlineStr"/>
      <c r="AJ1943" s="18" t="inlineStr">
        <is>
          <t>Cobblemon 동일</t>
        </is>
      </c>
      <c r="AK1943" s="18" t="inlineStr">
        <is>
          <t>사용</t>
        </is>
      </c>
      <c r="AL1943" s="18" t="inlineStr">
        <is>
          <t>COBBLEVERSE 1.7.42 / DP v31</t>
        </is>
      </c>
      <c r="AM1943" s="18" t="inlineStr">
        <is>
          <t>data/cobblemon/spawn_pool_world/0563_cofagrigus.json</t>
        </is>
      </c>
      <c r="AN1943" s="18" t="inlineStr">
        <is>
          <t>cofagrigus-1</t>
        </is>
      </c>
      <c r="AO1943" s="18" t="inlineStr">
        <is>
          <t>pokemon</t>
        </is>
      </c>
      <c r="AP1943" s="18" t="inlineStr">
        <is>
          <t>natural</t>
        </is>
      </c>
      <c r="AQ1943" s="18" t="inlineStr">
        <is>
          <t>{"biomes":["#cobblemon:is_desert"],"maxSkyLight":7,"minSkyLight":0,"minY":0}</t>
        </is>
      </c>
      <c r="AR1943" s="18" t="inlineStr">
        <is>
          <t>{"biomes":["#cobblemon:is_deep_dark"]}</t>
        </is>
      </c>
      <c r="AS1943" s="18" t="inlineStr"/>
      <c r="AT1943" s="19" t="inlineStr"/>
    </row>
    <row r="1944" ht="32" customHeight="1">
      <c r="A1944" s="18" t="inlineStr">
        <is>
          <t>0563_cofagrigus.json::cofagrigus-2::002</t>
        </is>
      </c>
      <c r="B1944" s="19" t="inlineStr">
        <is>
          <t>사용</t>
        </is>
      </c>
      <c r="C1944" s="18">
        <f>IF(OR(B1944&lt;&gt;AK1944,M1944&lt;&gt;L1944,O1944&lt;&gt;"",Q1944&lt;&gt;"",V1944&lt;&gt;1,Y1944&lt;&gt;"",AT1944&lt;&gt;""),"수정","원본")</f>
        <v/>
      </c>
      <c r="D1944" s="18" t="n">
        <v>563</v>
      </c>
      <c r="E1944" s="18" t="inlineStr">
        <is>
          <t>데스니칸</t>
        </is>
      </c>
      <c r="F1944" s="18" t="inlineStr">
        <is>
          <t>cofagrigus</t>
        </is>
      </c>
      <c r="G1944" s="18" t="inlineStr">
        <is>
          <t>cofagrigus</t>
        </is>
      </c>
      <c r="H1944" s="18" t="inlineStr"/>
      <c r="I1944" s="18" t="n">
        <v>5</v>
      </c>
      <c r="J1944" s="18" t="n"/>
      <c r="K1944" s="18" t="n">
        <v>5</v>
      </c>
      <c r="L1944" s="18" t="inlineStr">
        <is>
          <t>cobbleventure:generation_5</t>
        </is>
      </c>
      <c r="M1944" s="19" t="inlineStr">
        <is>
          <t>cobbleventure:generation_5</t>
        </is>
      </c>
      <c r="N1944" s="18" t="inlineStr">
        <is>
          <t>region_01; region_02</t>
        </is>
      </c>
      <c r="O1944" s="19" t="inlineStr"/>
      <c r="P1944" s="18" t="inlineStr">
        <is>
          <t>#cobblemon:is_overworld</t>
        </is>
      </c>
      <c r="Q1944" s="19" t="inlineStr"/>
      <c r="R1944" s="18">
        <f>IF(Q1944="",P1944,Q1944)</f>
        <v/>
      </c>
      <c r="S1944" s="18" t="inlineStr"/>
      <c r="T1944" s="18" t="inlineStr">
        <is>
          <t>common</t>
        </is>
      </c>
      <c r="U1944" s="20" t="n">
        <v>10</v>
      </c>
      <c r="V1944" s="21" t="n">
        <v>1</v>
      </c>
      <c r="W1944" s="20">
        <f>IF(OR(U1944="",V1944=""),U1944,U1944*V1944)</f>
        <v/>
      </c>
      <c r="X1944" s="18" t="inlineStr">
        <is>
          <t>34-48</t>
        </is>
      </c>
      <c r="Y1944" s="19" t="inlineStr"/>
      <c r="Z1944" s="18">
        <f>IF(Y1944="",X1944,Y1944)</f>
        <v/>
      </c>
      <c r="AA1944" s="18" t="inlineStr">
        <is>
          <t>grounded</t>
        </is>
      </c>
      <c r="AB1944" s="18" t="inlineStr"/>
      <c r="AC1944" s="18" t="inlineStr"/>
      <c r="AD1944" s="18" t="inlineStr">
        <is>
          <t>minY=48</t>
        </is>
      </c>
      <c r="AE1944" s="18" t="inlineStr"/>
      <c r="AF1944" s="18" t="inlineStr">
        <is>
          <t>False</t>
        </is>
      </c>
      <c r="AG1944" s="18" t="inlineStr"/>
      <c r="AH1944" s="18" t="inlineStr"/>
      <c r="AI1944" s="18" t="inlineStr"/>
      <c r="AJ1944" s="18" t="inlineStr">
        <is>
          <t>Cobblemon 동일</t>
        </is>
      </c>
      <c r="AK1944" s="18" t="inlineStr">
        <is>
          <t>사용</t>
        </is>
      </c>
      <c r="AL1944" s="18" t="inlineStr">
        <is>
          <t>COBBLEVERSE 1.7.42 / DP v31</t>
        </is>
      </c>
      <c r="AM1944" s="18" t="inlineStr">
        <is>
          <t>data/cobblemon/spawn_pool_world/0563_cofagrigus.json</t>
        </is>
      </c>
      <c r="AN1944" s="18" t="inlineStr">
        <is>
          <t>cofagrigus-2</t>
        </is>
      </c>
      <c r="AO1944" s="18" t="inlineStr">
        <is>
          <t>pokemon</t>
        </is>
      </c>
      <c r="AP1944" s="18" t="inlineStr">
        <is>
          <t>natural; desert_pyramid</t>
        </is>
      </c>
      <c r="AQ1944" s="18" t="inlineStr">
        <is>
          <t>{"biomes":["#cobblemon:is_overworld"],"canSeeSky":false,"minY":48}</t>
        </is>
      </c>
      <c r="AR1944" s="18" t="inlineStr"/>
      <c r="AS1944" s="18" t="inlineStr"/>
      <c r="AT1944" s="19" t="inlineStr"/>
    </row>
    <row r="1945" ht="32" customHeight="1">
      <c r="A1945" s="18" t="inlineStr">
        <is>
          <t>0564_tirtouga.json::tirtouga-1::001</t>
        </is>
      </c>
      <c r="B1945" s="19" t="inlineStr">
        <is>
          <t>사용</t>
        </is>
      </c>
      <c r="C1945" s="18">
        <f>IF(OR(B1945&lt;&gt;AK1945,M1945&lt;&gt;L1945,O1945&lt;&gt;"",Q1945&lt;&gt;"",V1945&lt;&gt;1,Y1945&lt;&gt;"",AT1945&lt;&gt;""),"수정","원본")</f>
        <v/>
      </c>
      <c r="D1945" s="18" t="n">
        <v>564</v>
      </c>
      <c r="E1945" s="18" t="inlineStr">
        <is>
          <t>프로토가</t>
        </is>
      </c>
      <c r="F1945" s="18" t="inlineStr">
        <is>
          <t>tirtouga</t>
        </is>
      </c>
      <c r="G1945" s="18" t="inlineStr">
        <is>
          <t>tirtouga</t>
        </is>
      </c>
      <c r="H1945" s="18" t="inlineStr"/>
      <c r="I1945" s="18" t="n">
        <v>5</v>
      </c>
      <c r="J1945" s="18" t="n"/>
      <c r="K1945" s="18" t="n">
        <v>5</v>
      </c>
      <c r="L1945" s="18" t="inlineStr">
        <is>
          <t>cobbleventure:generation_5</t>
        </is>
      </c>
      <c r="M1945" s="19" t="inlineStr">
        <is>
          <t>cobbleventure:generation_5</t>
        </is>
      </c>
      <c r="N1945" s="18" t="inlineStr"/>
      <c r="O1945" s="19" t="inlineStr"/>
      <c r="P1945" s="18" t="inlineStr">
        <is>
          <t>#cobblemon:is_lush</t>
        </is>
      </c>
      <c r="Q1945" s="19" t="inlineStr"/>
      <c r="R1945" s="18">
        <f>IF(Q1945="",P1945,Q1945)</f>
        <v/>
      </c>
      <c r="S1945" s="18" t="inlineStr"/>
      <c r="T1945" s="18" t="inlineStr">
        <is>
          <t>ultra-rare</t>
        </is>
      </c>
      <c r="U1945" s="20" t="n">
        <v>6</v>
      </c>
      <c r="V1945" s="21" t="n">
        <v>1</v>
      </c>
      <c r="W1945" s="20">
        <f>IF(OR(U1945="",V1945=""),U1945,U1945*V1945)</f>
        <v/>
      </c>
      <c r="X1945" s="18" t="inlineStr">
        <is>
          <t>15-40</t>
        </is>
      </c>
      <c r="Y1945" s="19" t="inlineStr"/>
      <c r="Z1945" s="18">
        <f>IF(Y1945="",X1945,Y1945)</f>
        <v/>
      </c>
      <c r="AA1945" s="18" t="inlineStr">
        <is>
          <t>grounded</t>
        </is>
      </c>
      <c r="AB1945" s="18" t="inlineStr"/>
      <c r="AC1945" s="18" t="inlineStr"/>
      <c r="AD1945" s="18" t="inlineStr"/>
      <c r="AE1945" s="18" t="inlineStr">
        <is>
          <t>sky 0-7</t>
        </is>
      </c>
      <c r="AF1945" s="18" t="inlineStr"/>
      <c r="AG1945" s="18" t="inlineStr"/>
      <c r="AH1945" s="18" t="inlineStr"/>
      <c r="AI1945" s="18" t="inlineStr"/>
      <c r="AJ1945" s="18" t="inlineStr">
        <is>
          <t>Cobblemon 동일</t>
        </is>
      </c>
      <c r="AK1945" s="18" t="inlineStr">
        <is>
          <t>사용</t>
        </is>
      </c>
      <c r="AL1945" s="18" t="inlineStr">
        <is>
          <t>COBBLEVERSE 1.7.42 / DP v31</t>
        </is>
      </c>
      <c r="AM1945" s="18" t="inlineStr">
        <is>
          <t>data/cobblemon/spawn_pool_world/0564_tirtouga.json</t>
        </is>
      </c>
      <c r="AN1945" s="18" t="inlineStr">
        <is>
          <t>tirtouga-1</t>
        </is>
      </c>
      <c r="AO1945" s="18" t="inlineStr">
        <is>
          <t>pokemon</t>
        </is>
      </c>
      <c r="AP1945" s="18" t="inlineStr">
        <is>
          <t>natural</t>
        </is>
      </c>
      <c r="AQ1945" s="18" t="inlineStr">
        <is>
          <t>{"biomes":["#cobblemon:is_lush"],"maxSkyLight":7,"minSkyLight":0}</t>
        </is>
      </c>
      <c r="AR1945" s="18" t="inlineStr"/>
      <c r="AS1945" s="18" t="inlineStr"/>
      <c r="AT1945" s="19" t="inlineStr"/>
    </row>
    <row r="1946" ht="32" customHeight="1">
      <c r="A1946" s="18" t="inlineStr">
        <is>
          <t>0564_tirtouga.json::tirtouga-2::002</t>
        </is>
      </c>
      <c r="B1946" s="19" t="inlineStr">
        <is>
          <t>사용</t>
        </is>
      </c>
      <c r="C1946" s="18">
        <f>IF(OR(B1946&lt;&gt;AK1946,M1946&lt;&gt;L1946,O1946&lt;&gt;"",Q1946&lt;&gt;"",V1946&lt;&gt;1,Y1946&lt;&gt;"",AT1946&lt;&gt;""),"수정","원본")</f>
        <v/>
      </c>
      <c r="D1946" s="18" t="n">
        <v>564</v>
      </c>
      <c r="E1946" s="18" t="inlineStr">
        <is>
          <t>프로토가</t>
        </is>
      </c>
      <c r="F1946" s="18" t="inlineStr">
        <is>
          <t>tirtouga</t>
        </is>
      </c>
      <c r="G1946" s="18" t="inlineStr">
        <is>
          <t>tirtouga</t>
        </is>
      </c>
      <c r="H1946" s="18" t="inlineStr"/>
      <c r="I1946" s="18" t="n">
        <v>5</v>
      </c>
      <c r="J1946" s="18" t="n"/>
      <c r="K1946" s="18" t="n">
        <v>5</v>
      </c>
      <c r="L1946" s="18" t="inlineStr">
        <is>
          <t>cobbleventure:generation_5</t>
        </is>
      </c>
      <c r="M1946" s="19" t="inlineStr">
        <is>
          <t>cobbleventure:generation_5</t>
        </is>
      </c>
      <c r="N1946" s="18" t="inlineStr"/>
      <c r="O1946" s="19" t="inlineStr"/>
      <c r="P1946" s="18" t="inlineStr">
        <is>
          <t>#cobblemon:is_lush</t>
        </is>
      </c>
      <c r="Q1946" s="19" t="inlineStr"/>
      <c r="R1946" s="18">
        <f>IF(Q1946="",P1946,Q1946)</f>
        <v/>
      </c>
      <c r="S1946" s="18" t="inlineStr"/>
      <c r="T1946" s="18" t="inlineStr">
        <is>
          <t>ultra-rare</t>
        </is>
      </c>
      <c r="U1946" s="20" t="n">
        <v>6</v>
      </c>
      <c r="V1946" s="21" t="n">
        <v>1</v>
      </c>
      <c r="W1946" s="20">
        <f>IF(OR(U1946="",V1946=""),U1946,U1946*V1946)</f>
        <v/>
      </c>
      <c r="X1946" s="18" t="inlineStr">
        <is>
          <t>15-40</t>
        </is>
      </c>
      <c r="Y1946" s="19" t="inlineStr"/>
      <c r="Z1946" s="18">
        <f>IF(Y1946="",X1946,Y1946)</f>
        <v/>
      </c>
      <c r="AA1946" s="18" t="inlineStr">
        <is>
          <t>submerged</t>
        </is>
      </c>
      <c r="AB1946" s="18" t="inlineStr"/>
      <c r="AC1946" s="18" t="inlineStr"/>
      <c r="AD1946" s="18" t="inlineStr"/>
      <c r="AE1946" s="18" t="inlineStr">
        <is>
          <t>sky 0-7</t>
        </is>
      </c>
      <c r="AF1946" s="18" t="inlineStr"/>
      <c r="AG1946" s="18" t="inlineStr"/>
      <c r="AH1946" s="18" t="inlineStr"/>
      <c r="AI1946" s="18" t="inlineStr"/>
      <c r="AJ1946" s="18" t="inlineStr">
        <is>
          <t>Cobblemon 동일</t>
        </is>
      </c>
      <c r="AK1946" s="18" t="inlineStr">
        <is>
          <t>사용</t>
        </is>
      </c>
      <c r="AL1946" s="18" t="inlineStr">
        <is>
          <t>COBBLEVERSE 1.7.42 / DP v31</t>
        </is>
      </c>
      <c r="AM1946" s="18" t="inlineStr">
        <is>
          <t>data/cobblemon/spawn_pool_world/0564_tirtouga.json</t>
        </is>
      </c>
      <c r="AN1946" s="18" t="inlineStr">
        <is>
          <t>tirtouga-2</t>
        </is>
      </c>
      <c r="AO1946" s="18" t="inlineStr">
        <is>
          <t>pokemon</t>
        </is>
      </c>
      <c r="AP1946" s="18" t="inlineStr">
        <is>
          <t>water</t>
        </is>
      </c>
      <c r="AQ1946" s="18" t="inlineStr">
        <is>
          <t>{"biomes":["#cobblemon:is_lush"],"maxSkyLight":7,"minSkyLight":0}</t>
        </is>
      </c>
      <c r="AR1946" s="18" t="inlineStr"/>
      <c r="AS1946" s="18" t="inlineStr"/>
      <c r="AT1946" s="19" t="inlineStr"/>
    </row>
    <row r="1947" ht="32" customHeight="1">
      <c r="A1947" s="18" t="inlineStr">
        <is>
          <t>0565_carracosta.json::carracosta-1::001</t>
        </is>
      </c>
      <c r="B1947" s="19" t="inlineStr">
        <is>
          <t>사용</t>
        </is>
      </c>
      <c r="C1947" s="18">
        <f>IF(OR(B1947&lt;&gt;AK1947,M1947&lt;&gt;L1947,O1947&lt;&gt;"",Q1947&lt;&gt;"",V1947&lt;&gt;1,Y1947&lt;&gt;"",AT1947&lt;&gt;""),"수정","원본")</f>
        <v/>
      </c>
      <c r="D1947" s="18" t="n">
        <v>565</v>
      </c>
      <c r="E1947" s="18" t="inlineStr">
        <is>
          <t>늑골라</t>
        </is>
      </c>
      <c r="F1947" s="18" t="inlineStr">
        <is>
          <t>carracosta</t>
        </is>
      </c>
      <c r="G1947" s="18" t="inlineStr">
        <is>
          <t>carracosta</t>
        </is>
      </c>
      <c r="H1947" s="18" t="inlineStr"/>
      <c r="I1947" s="18" t="n">
        <v>5</v>
      </c>
      <c r="J1947" s="18" t="n"/>
      <c r="K1947" s="18" t="n">
        <v>5</v>
      </c>
      <c r="L1947" s="18" t="inlineStr">
        <is>
          <t>cobbleventure:generation_5</t>
        </is>
      </c>
      <c r="M1947" s="19" t="inlineStr">
        <is>
          <t>cobbleventure:generation_5</t>
        </is>
      </c>
      <c r="N1947" s="18" t="inlineStr"/>
      <c r="O1947" s="19" t="inlineStr"/>
      <c r="P1947" s="18" t="inlineStr">
        <is>
          <t>#cobblemon:is_lush</t>
        </is>
      </c>
      <c r="Q1947" s="19" t="inlineStr"/>
      <c r="R1947" s="18">
        <f>IF(Q1947="",P1947,Q1947)</f>
        <v/>
      </c>
      <c r="S1947" s="18" t="inlineStr"/>
      <c r="T1947" s="18" t="inlineStr">
        <is>
          <t>ultra-rare</t>
        </is>
      </c>
      <c r="U1947" s="20" t="n">
        <v>4</v>
      </c>
      <c r="V1947" s="21" t="n">
        <v>1</v>
      </c>
      <c r="W1947" s="20">
        <f>IF(OR(U1947="",V1947=""),U1947,U1947*V1947)</f>
        <v/>
      </c>
      <c r="X1947" s="18" t="inlineStr">
        <is>
          <t>37-57</t>
        </is>
      </c>
      <c r="Y1947" s="19" t="inlineStr"/>
      <c r="Z1947" s="18">
        <f>IF(Y1947="",X1947,Y1947)</f>
        <v/>
      </c>
      <c r="AA1947" s="18" t="inlineStr">
        <is>
          <t>grounded</t>
        </is>
      </c>
      <c r="AB1947" s="18" t="inlineStr"/>
      <c r="AC1947" s="18" t="inlineStr"/>
      <c r="AD1947" s="18" t="inlineStr"/>
      <c r="AE1947" s="18" t="inlineStr">
        <is>
          <t>sky 0-7</t>
        </is>
      </c>
      <c r="AF1947" s="18" t="inlineStr"/>
      <c r="AG1947" s="18" t="inlineStr"/>
      <c r="AH1947" s="18" t="inlineStr"/>
      <c r="AI1947" s="18" t="inlineStr"/>
      <c r="AJ1947" s="18" t="inlineStr">
        <is>
          <t>Cobblemon 동일</t>
        </is>
      </c>
      <c r="AK1947" s="18" t="inlineStr">
        <is>
          <t>사용</t>
        </is>
      </c>
      <c r="AL1947" s="18" t="inlineStr">
        <is>
          <t>COBBLEVERSE 1.7.42 / DP v31</t>
        </is>
      </c>
      <c r="AM1947" s="18" t="inlineStr">
        <is>
          <t>data/cobblemon/spawn_pool_world/0565_carracosta.json</t>
        </is>
      </c>
      <c r="AN1947" s="18" t="inlineStr">
        <is>
          <t>carracosta-1</t>
        </is>
      </c>
      <c r="AO1947" s="18" t="inlineStr">
        <is>
          <t>pokemon</t>
        </is>
      </c>
      <c r="AP1947" s="18" t="inlineStr">
        <is>
          <t>natural</t>
        </is>
      </c>
      <c r="AQ1947" s="18" t="inlineStr">
        <is>
          <t>{"biomes":["#cobblemon:is_lush"],"maxSkyLight":7,"minSkyLight":0}</t>
        </is>
      </c>
      <c r="AR1947" s="18" t="inlineStr"/>
      <c r="AS1947" s="18" t="inlineStr"/>
      <c r="AT1947" s="19" t="inlineStr"/>
    </row>
    <row r="1948" ht="32" customHeight="1">
      <c r="A1948" s="18" t="inlineStr">
        <is>
          <t>0565_carracosta.json::carracosta-2::002</t>
        </is>
      </c>
      <c r="B1948" s="19" t="inlineStr">
        <is>
          <t>사용</t>
        </is>
      </c>
      <c r="C1948" s="18">
        <f>IF(OR(B1948&lt;&gt;AK1948,M1948&lt;&gt;L1948,O1948&lt;&gt;"",Q1948&lt;&gt;"",V1948&lt;&gt;1,Y1948&lt;&gt;"",AT1948&lt;&gt;""),"수정","원본")</f>
        <v/>
      </c>
      <c r="D1948" s="18" t="n">
        <v>565</v>
      </c>
      <c r="E1948" s="18" t="inlineStr">
        <is>
          <t>늑골라</t>
        </is>
      </c>
      <c r="F1948" s="18" t="inlineStr">
        <is>
          <t>carracosta</t>
        </is>
      </c>
      <c r="G1948" s="18" t="inlineStr">
        <is>
          <t>carracosta</t>
        </is>
      </c>
      <c r="H1948" s="18" t="inlineStr"/>
      <c r="I1948" s="18" t="n">
        <v>5</v>
      </c>
      <c r="J1948" s="18" t="n"/>
      <c r="K1948" s="18" t="n">
        <v>5</v>
      </c>
      <c r="L1948" s="18" t="inlineStr">
        <is>
          <t>cobbleventure:generation_5</t>
        </is>
      </c>
      <c r="M1948" s="19" t="inlineStr">
        <is>
          <t>cobbleventure:generation_5</t>
        </is>
      </c>
      <c r="N1948" s="18" t="inlineStr"/>
      <c r="O1948" s="19" t="inlineStr"/>
      <c r="P1948" s="18" t="inlineStr">
        <is>
          <t>#cobblemon:is_lush</t>
        </is>
      </c>
      <c r="Q1948" s="19" t="inlineStr"/>
      <c r="R1948" s="18">
        <f>IF(Q1948="",P1948,Q1948)</f>
        <v/>
      </c>
      <c r="S1948" s="18" t="inlineStr"/>
      <c r="T1948" s="18" t="inlineStr">
        <is>
          <t>ultra-rare</t>
        </is>
      </c>
      <c r="U1948" s="20" t="n">
        <v>4</v>
      </c>
      <c r="V1948" s="21" t="n">
        <v>1</v>
      </c>
      <c r="W1948" s="20">
        <f>IF(OR(U1948="",V1948=""),U1948,U1948*V1948)</f>
        <v/>
      </c>
      <c r="X1948" s="18" t="inlineStr">
        <is>
          <t>37-57</t>
        </is>
      </c>
      <c r="Y1948" s="19" t="inlineStr"/>
      <c r="Z1948" s="18">
        <f>IF(Y1948="",X1948,Y1948)</f>
        <v/>
      </c>
      <c r="AA1948" s="18" t="inlineStr">
        <is>
          <t>submerged</t>
        </is>
      </c>
      <c r="AB1948" s="18" t="inlineStr"/>
      <c r="AC1948" s="18" t="inlineStr"/>
      <c r="AD1948" s="18" t="inlineStr"/>
      <c r="AE1948" s="18" t="inlineStr">
        <is>
          <t>sky 0-7</t>
        </is>
      </c>
      <c r="AF1948" s="18" t="inlineStr"/>
      <c r="AG1948" s="18" t="inlineStr"/>
      <c r="AH1948" s="18" t="inlineStr"/>
      <c r="AI1948" s="18" t="inlineStr"/>
      <c r="AJ1948" s="18" t="inlineStr">
        <is>
          <t>Cobblemon 동일</t>
        </is>
      </c>
      <c r="AK1948" s="18" t="inlineStr">
        <is>
          <t>사용</t>
        </is>
      </c>
      <c r="AL1948" s="18" t="inlineStr">
        <is>
          <t>COBBLEVERSE 1.7.42 / DP v31</t>
        </is>
      </c>
      <c r="AM1948" s="18" t="inlineStr">
        <is>
          <t>data/cobblemon/spawn_pool_world/0565_carracosta.json</t>
        </is>
      </c>
      <c r="AN1948" s="18" t="inlineStr">
        <is>
          <t>carracosta-2</t>
        </is>
      </c>
      <c r="AO1948" s="18" t="inlineStr">
        <is>
          <t>pokemon</t>
        </is>
      </c>
      <c r="AP1948" s="18" t="inlineStr">
        <is>
          <t>water</t>
        </is>
      </c>
      <c r="AQ1948" s="18" t="inlineStr">
        <is>
          <t>{"biomes":["#cobblemon:is_lush"],"maxSkyLight":7,"minSkyLight":0}</t>
        </is>
      </c>
      <c r="AR1948" s="18" t="inlineStr"/>
      <c r="AS1948" s="18" t="inlineStr"/>
      <c r="AT1948" s="19" t="inlineStr"/>
    </row>
    <row r="1949" ht="32" customHeight="1">
      <c r="A1949" s="18" t="inlineStr">
        <is>
          <t>0566_archen.json::archen-1::001</t>
        </is>
      </c>
      <c r="B1949" s="19" t="inlineStr">
        <is>
          <t>사용</t>
        </is>
      </c>
      <c r="C1949" s="18">
        <f>IF(OR(B1949&lt;&gt;AK1949,M1949&lt;&gt;L1949,O1949&lt;&gt;"",Q1949&lt;&gt;"",V1949&lt;&gt;1,Y1949&lt;&gt;"",AT1949&lt;&gt;""),"수정","원본")</f>
        <v/>
      </c>
      <c r="D1949" s="18" t="n">
        <v>566</v>
      </c>
      <c r="E1949" s="18" t="inlineStr">
        <is>
          <t>아켄</t>
        </is>
      </c>
      <c r="F1949" s="18" t="inlineStr">
        <is>
          <t>archen</t>
        </is>
      </c>
      <c r="G1949" s="18" t="inlineStr">
        <is>
          <t>archen</t>
        </is>
      </c>
      <c r="H1949" s="18" t="inlineStr"/>
      <c r="I1949" s="18" t="n">
        <v>5</v>
      </c>
      <c r="J1949" s="18" t="n"/>
      <c r="K1949" s="18" t="n">
        <v>5</v>
      </c>
      <c r="L1949" s="18" t="inlineStr">
        <is>
          <t>cobbleventure:generation_5</t>
        </is>
      </c>
      <c r="M1949" s="19" t="inlineStr">
        <is>
          <t>cobbleventure:generation_5</t>
        </is>
      </c>
      <c r="N1949" s="18" t="inlineStr"/>
      <c r="O1949" s="19" t="inlineStr"/>
      <c r="P1949" s="18" t="inlineStr">
        <is>
          <t>#cobblemon:is_lush</t>
        </is>
      </c>
      <c r="Q1949" s="19" t="inlineStr"/>
      <c r="R1949" s="18">
        <f>IF(Q1949="",P1949,Q1949)</f>
        <v/>
      </c>
      <c r="S1949" s="18" t="inlineStr"/>
      <c r="T1949" s="18" t="inlineStr">
        <is>
          <t>ultra-rare</t>
        </is>
      </c>
      <c r="U1949" s="20" t="n">
        <v>6</v>
      </c>
      <c r="V1949" s="21" t="n">
        <v>1</v>
      </c>
      <c r="W1949" s="20">
        <f>IF(OR(U1949="",V1949=""),U1949,U1949*V1949)</f>
        <v/>
      </c>
      <c r="X1949" s="18" t="inlineStr">
        <is>
          <t>15-40</t>
        </is>
      </c>
      <c r="Y1949" s="19" t="inlineStr"/>
      <c r="Z1949" s="18">
        <f>IF(Y1949="",X1949,Y1949)</f>
        <v/>
      </c>
      <c r="AA1949" s="18" t="inlineStr">
        <is>
          <t>grounded</t>
        </is>
      </c>
      <c r="AB1949" s="18" t="inlineStr"/>
      <c r="AC1949" s="18" t="inlineStr"/>
      <c r="AD1949" s="18" t="inlineStr"/>
      <c r="AE1949" s="18" t="inlineStr">
        <is>
          <t>sky 0-7</t>
        </is>
      </c>
      <c r="AF1949" s="18" t="inlineStr"/>
      <c r="AG1949" s="18" t="inlineStr"/>
      <c r="AH1949" s="18" t="inlineStr"/>
      <c r="AI1949" s="18" t="inlineStr"/>
      <c r="AJ1949" s="18" t="inlineStr">
        <is>
          <t>Cobblemon 동일</t>
        </is>
      </c>
      <c r="AK1949" s="18" t="inlineStr">
        <is>
          <t>사용</t>
        </is>
      </c>
      <c r="AL1949" s="18" t="inlineStr">
        <is>
          <t>COBBLEVERSE 1.7.42 / DP v31</t>
        </is>
      </c>
      <c r="AM1949" s="18" t="inlineStr">
        <is>
          <t>data/cobblemon/spawn_pool_world/0566_archen.json</t>
        </is>
      </c>
      <c r="AN1949" s="18" t="inlineStr">
        <is>
          <t>archen-1</t>
        </is>
      </c>
      <c r="AO1949" s="18" t="inlineStr">
        <is>
          <t>pokemon</t>
        </is>
      </c>
      <c r="AP1949" s="18" t="inlineStr">
        <is>
          <t>natural</t>
        </is>
      </c>
      <c r="AQ1949" s="18" t="inlineStr">
        <is>
          <t>{"biomes":["#cobblemon:is_lush"],"maxSkyLight":7,"minSkyLight":0}</t>
        </is>
      </c>
      <c r="AR1949" s="18" t="inlineStr"/>
      <c r="AS1949" s="18" t="inlineStr"/>
      <c r="AT1949" s="19" t="inlineStr"/>
    </row>
    <row r="1950" ht="32" customHeight="1">
      <c r="A1950" s="18" t="inlineStr">
        <is>
          <t>0567_archeops.json::archeops-1::001</t>
        </is>
      </c>
      <c r="B1950" s="19" t="inlineStr">
        <is>
          <t>사용</t>
        </is>
      </c>
      <c r="C1950" s="18">
        <f>IF(OR(B1950&lt;&gt;AK1950,M1950&lt;&gt;L1950,O1950&lt;&gt;"",Q1950&lt;&gt;"",V1950&lt;&gt;1,Y1950&lt;&gt;"",AT1950&lt;&gt;""),"수정","원본")</f>
        <v/>
      </c>
      <c r="D1950" s="18" t="n">
        <v>567</v>
      </c>
      <c r="E1950" s="18" t="inlineStr">
        <is>
          <t>아케오스</t>
        </is>
      </c>
      <c r="F1950" s="18" t="inlineStr">
        <is>
          <t>archeops</t>
        </is>
      </c>
      <c r="G1950" s="18" t="inlineStr">
        <is>
          <t>archeops</t>
        </is>
      </c>
      <c r="H1950" s="18" t="inlineStr"/>
      <c r="I1950" s="18" t="n">
        <v>5</v>
      </c>
      <c r="J1950" s="18" t="n"/>
      <c r="K1950" s="18" t="n">
        <v>5</v>
      </c>
      <c r="L1950" s="18" t="inlineStr">
        <is>
          <t>cobbleventure:generation_5</t>
        </is>
      </c>
      <c r="M1950" s="19" t="inlineStr">
        <is>
          <t>cobbleventure:generation_5</t>
        </is>
      </c>
      <c r="N1950" s="18" t="inlineStr"/>
      <c r="O1950" s="19" t="inlineStr"/>
      <c r="P1950" s="18" t="inlineStr">
        <is>
          <t>#cobblemon:is_lush</t>
        </is>
      </c>
      <c r="Q1950" s="19" t="inlineStr"/>
      <c r="R1950" s="18">
        <f>IF(Q1950="",P1950,Q1950)</f>
        <v/>
      </c>
      <c r="S1950" s="18" t="inlineStr"/>
      <c r="T1950" s="18" t="inlineStr">
        <is>
          <t>ultra-rare</t>
        </is>
      </c>
      <c r="U1950" s="20" t="n">
        <v>4</v>
      </c>
      <c r="V1950" s="21" t="n">
        <v>1</v>
      </c>
      <c r="W1950" s="20">
        <f>IF(OR(U1950="",V1950=""),U1950,U1950*V1950)</f>
        <v/>
      </c>
      <c r="X1950" s="18" t="inlineStr">
        <is>
          <t>37-57</t>
        </is>
      </c>
      <c r="Y1950" s="19" t="inlineStr"/>
      <c r="Z1950" s="18">
        <f>IF(Y1950="",X1950,Y1950)</f>
        <v/>
      </c>
      <c r="AA1950" s="18" t="inlineStr">
        <is>
          <t>grounded</t>
        </is>
      </c>
      <c r="AB1950" s="18" t="inlineStr"/>
      <c r="AC1950" s="18" t="inlineStr"/>
      <c r="AD1950" s="18" t="inlineStr"/>
      <c r="AE1950" s="18" t="inlineStr">
        <is>
          <t>sky 0-7</t>
        </is>
      </c>
      <c r="AF1950" s="18" t="inlineStr"/>
      <c r="AG1950" s="18" t="inlineStr"/>
      <c r="AH1950" s="18" t="inlineStr"/>
      <c r="AI1950" s="18" t="inlineStr"/>
      <c r="AJ1950" s="18" t="inlineStr">
        <is>
          <t>Cobblemon 동일</t>
        </is>
      </c>
      <c r="AK1950" s="18" t="inlineStr">
        <is>
          <t>사용</t>
        </is>
      </c>
      <c r="AL1950" s="18" t="inlineStr">
        <is>
          <t>COBBLEVERSE 1.7.42 / DP v31</t>
        </is>
      </c>
      <c r="AM1950" s="18" t="inlineStr">
        <is>
          <t>data/cobblemon/spawn_pool_world/0567_archeops.json</t>
        </is>
      </c>
      <c r="AN1950" s="18" t="inlineStr">
        <is>
          <t>archeops-1</t>
        </is>
      </c>
      <c r="AO1950" s="18" t="inlineStr">
        <is>
          <t>pokemon</t>
        </is>
      </c>
      <c r="AP1950" s="18" t="inlineStr">
        <is>
          <t>natural</t>
        </is>
      </c>
      <c r="AQ1950" s="18" t="inlineStr">
        <is>
          <t>{"biomes":["#cobblemon:is_lush"],"maxSkyLight":7,"minSkyLight":0}</t>
        </is>
      </c>
      <c r="AR1950" s="18" t="inlineStr"/>
      <c r="AS1950" s="18" t="inlineStr"/>
      <c r="AT1950" s="19" t="inlineStr"/>
    </row>
    <row r="1951" ht="32" customHeight="1">
      <c r="A1951" s="18" t="inlineStr">
        <is>
          <t>0568_trubbish.json::trubbish-1::001</t>
        </is>
      </c>
      <c r="B1951" s="19" t="inlineStr">
        <is>
          <t>사용</t>
        </is>
      </c>
      <c r="C1951" s="18">
        <f>IF(OR(B1951&lt;&gt;AK1951,M1951&lt;&gt;L1951,O1951&lt;&gt;"",Q1951&lt;&gt;"",V1951&lt;&gt;1,Y1951&lt;&gt;"",AT1951&lt;&gt;""),"수정","원본")</f>
        <v/>
      </c>
      <c r="D1951" s="18" t="n">
        <v>568</v>
      </c>
      <c r="E1951" s="18" t="inlineStr">
        <is>
          <t>깨봉이</t>
        </is>
      </c>
      <c r="F1951" s="18" t="inlineStr">
        <is>
          <t>trubbish</t>
        </is>
      </c>
      <c r="G1951" s="18" t="inlineStr">
        <is>
          <t>trubbish</t>
        </is>
      </c>
      <c r="H1951" s="18" t="inlineStr"/>
      <c r="I1951" s="18" t="n">
        <v>5</v>
      </c>
      <c r="J1951" s="18" t="n"/>
      <c r="K1951" s="18" t="n">
        <v>5</v>
      </c>
      <c r="L1951" s="18" t="inlineStr">
        <is>
          <t>cobbleventure:generation_5</t>
        </is>
      </c>
      <c r="M1951" s="19" t="inlineStr">
        <is>
          <t>cobbleventure:generation_5</t>
        </is>
      </c>
      <c r="N1951" s="18" t="inlineStr">
        <is>
          <t>region_02</t>
        </is>
      </c>
      <c r="O1951" s="19" t="inlineStr"/>
      <c r="P1951" s="18" t="inlineStr">
        <is>
          <t>#cobblemon:is_swamp</t>
        </is>
      </c>
      <c r="Q1951" s="19" t="inlineStr"/>
      <c r="R1951" s="18">
        <f>IF(Q1951="",P1951,Q1951)</f>
        <v/>
      </c>
      <c r="S1951" s="18" t="inlineStr"/>
      <c r="T1951" s="18" t="inlineStr">
        <is>
          <t>common</t>
        </is>
      </c>
      <c r="U1951" s="20" t="n">
        <v>1.8</v>
      </c>
      <c r="V1951" s="21" t="n">
        <v>1</v>
      </c>
      <c r="W1951" s="20">
        <f>IF(OR(U1951="",V1951=""),U1951,U1951*V1951)</f>
        <v/>
      </c>
      <c r="X1951" s="18" t="inlineStr">
        <is>
          <t>8-33</t>
        </is>
      </c>
      <c r="Y1951" s="19" t="inlineStr"/>
      <c r="Z1951" s="18">
        <f>IF(Y1951="",X1951,Y1951)</f>
        <v/>
      </c>
      <c r="AA1951" s="18" t="inlineStr">
        <is>
          <t>grounded</t>
        </is>
      </c>
      <c r="AB1951" s="18" t="inlineStr"/>
      <c r="AC1951" s="18" t="inlineStr"/>
      <c r="AD1951" s="18" t="inlineStr"/>
      <c r="AE1951" s="18" t="inlineStr"/>
      <c r="AF1951" s="18" t="inlineStr"/>
      <c r="AG1951" s="18" t="inlineStr"/>
      <c r="AH1951" s="18" t="inlineStr"/>
      <c r="AI1951" s="18" t="inlineStr"/>
      <c r="AJ1951" s="18" t="inlineStr">
        <is>
          <t>COBBLEVERSE 수정</t>
        </is>
      </c>
      <c r="AK1951" s="18" t="inlineStr">
        <is>
          <t>사용</t>
        </is>
      </c>
      <c r="AL1951" s="18" t="inlineStr">
        <is>
          <t>COBBLEVERSE 1.7.42 / DP v31</t>
        </is>
      </c>
      <c r="AM1951" s="18" t="inlineStr">
        <is>
          <t>data/cobblemon/spawn_pool_world/0568_trubbish.json</t>
        </is>
      </c>
      <c r="AN1951" s="18" t="inlineStr">
        <is>
          <t>trubbish-1</t>
        </is>
      </c>
      <c r="AO1951" s="18" t="inlineStr">
        <is>
          <t>pokemon</t>
        </is>
      </c>
      <c r="AP1951" s="18" t="inlineStr">
        <is>
          <t>natural</t>
        </is>
      </c>
      <c r="AQ1951" s="18" t="inlineStr">
        <is>
          <t>{"biomes":["#cobblemon:is_swamp"]}</t>
        </is>
      </c>
      <c r="AR1951" s="18" t="inlineStr"/>
      <c r="AS1951" s="18" t="inlineStr">
        <is>
          <t>{"weightMultiplier":{"condition":{"timeRange":"night"},"multiplier":5.0}}</t>
        </is>
      </c>
      <c r="AT1951" s="19" t="inlineStr"/>
    </row>
    <row r="1952" ht="32" customHeight="1">
      <c r="A1952" s="18" t="inlineStr">
        <is>
          <t>0568_trubbish.json::trubbish-2::002</t>
        </is>
      </c>
      <c r="B1952" s="19" t="inlineStr">
        <is>
          <t>사용</t>
        </is>
      </c>
      <c r="C1952" s="18">
        <f>IF(OR(B1952&lt;&gt;AK1952,M1952&lt;&gt;L1952,O1952&lt;&gt;"",Q1952&lt;&gt;"",V1952&lt;&gt;1,Y1952&lt;&gt;"",AT1952&lt;&gt;""),"수정","원본")</f>
        <v/>
      </c>
      <c r="D1952" s="18" t="n">
        <v>568</v>
      </c>
      <c r="E1952" s="18" t="inlineStr">
        <is>
          <t>깨봉이</t>
        </is>
      </c>
      <c r="F1952" s="18" t="inlineStr">
        <is>
          <t>trubbish</t>
        </is>
      </c>
      <c r="G1952" s="18" t="inlineStr">
        <is>
          <t>trubbish</t>
        </is>
      </c>
      <c r="H1952" s="18" t="inlineStr"/>
      <c r="I1952" s="18" t="n">
        <v>5</v>
      </c>
      <c r="J1952" s="18" t="n"/>
      <c r="K1952" s="18" t="n">
        <v>5</v>
      </c>
      <c r="L1952" s="18" t="inlineStr">
        <is>
          <t>cobbleventure:generation_5</t>
        </is>
      </c>
      <c r="M1952" s="19" t="inlineStr">
        <is>
          <t>cobbleventure:generation_5</t>
        </is>
      </c>
      <c r="N1952" s="18" t="inlineStr">
        <is>
          <t>region_01; region_02</t>
        </is>
      </c>
      <c r="O1952" s="19" t="inlineStr"/>
      <c r="P1952" s="18" t="inlineStr">
        <is>
          <t>#cobblemon:is_overworld</t>
        </is>
      </c>
      <c r="Q1952" s="19" t="inlineStr"/>
      <c r="R1952" s="18">
        <f>IF(Q1952="",P1952,Q1952)</f>
        <v/>
      </c>
      <c r="S1952" s="18" t="inlineStr"/>
      <c r="T1952" s="18" t="inlineStr">
        <is>
          <t>common</t>
        </is>
      </c>
      <c r="U1952" s="20" t="n">
        <v>1.8</v>
      </c>
      <c r="V1952" s="21" t="n">
        <v>1</v>
      </c>
      <c r="W1952" s="20">
        <f>IF(OR(U1952="",V1952=""),U1952,U1952*V1952)</f>
        <v/>
      </c>
      <c r="X1952" s="18" t="inlineStr">
        <is>
          <t>8-33</t>
        </is>
      </c>
      <c r="Y1952" s="19" t="inlineStr"/>
      <c r="Z1952" s="18">
        <f>IF(Y1952="",X1952,Y1952)</f>
        <v/>
      </c>
      <c r="AA1952" s="18" t="inlineStr">
        <is>
          <t>grounded</t>
        </is>
      </c>
      <c r="AB1952" s="18" t="inlineStr"/>
      <c r="AC1952" s="18" t="inlineStr"/>
      <c r="AD1952" s="18" t="inlineStr"/>
      <c r="AE1952" s="18" t="inlineStr">
        <is>
          <t>sky 8-15</t>
        </is>
      </c>
      <c r="AF1952" s="18" t="inlineStr"/>
      <c r="AG1952" s="18" t="inlineStr">
        <is>
          <t>#minecraft:village</t>
        </is>
      </c>
      <c r="AH1952" s="18" t="inlineStr"/>
      <c r="AI1952" s="18" t="inlineStr"/>
      <c r="AJ1952" s="18" t="inlineStr">
        <is>
          <t>COBBLEVERSE 수정</t>
        </is>
      </c>
      <c r="AK1952" s="18" t="inlineStr">
        <is>
          <t>사용</t>
        </is>
      </c>
      <c r="AL1952" s="18" t="inlineStr">
        <is>
          <t>COBBLEVERSE 1.7.42 / DP v31</t>
        </is>
      </c>
      <c r="AM1952" s="18" t="inlineStr">
        <is>
          <t>data/cobblemon/spawn_pool_world/0568_trubbish.json</t>
        </is>
      </c>
      <c r="AN1952" s="18" t="inlineStr">
        <is>
          <t>trubbish-2</t>
        </is>
      </c>
      <c r="AO1952" s="18" t="inlineStr">
        <is>
          <t>pokemon</t>
        </is>
      </c>
      <c r="AP1952" s="18" t="inlineStr">
        <is>
          <t>natural</t>
        </is>
      </c>
      <c r="AQ1952" s="18" t="inlineStr">
        <is>
          <t>{"biomes":["#cobblemon:is_overworld"],"maxSkyLight":15,"minSkyLight":8,"structures":["#minecraft:village"]}</t>
        </is>
      </c>
      <c r="AR1952" s="18" t="inlineStr"/>
      <c r="AS1952" s="18" t="inlineStr">
        <is>
          <t>{"weightMultiplier":{"condition":{"timeRange":"night"},"multiplier":5.0}}</t>
        </is>
      </c>
      <c r="AT1952" s="19" t="inlineStr"/>
    </row>
    <row r="1953" ht="32" customHeight="1">
      <c r="A1953" s="18" t="inlineStr">
        <is>
          <t>0569_garbodor.json::garbodor-1::001</t>
        </is>
      </c>
      <c r="B1953" s="19" t="inlineStr">
        <is>
          <t>사용</t>
        </is>
      </c>
      <c r="C1953" s="18">
        <f>IF(OR(B1953&lt;&gt;AK1953,M1953&lt;&gt;L1953,O1953&lt;&gt;"",Q1953&lt;&gt;"",V1953&lt;&gt;1,Y1953&lt;&gt;"",AT1953&lt;&gt;""),"수정","원본")</f>
        <v/>
      </c>
      <c r="D1953" s="18" t="n">
        <v>569</v>
      </c>
      <c r="E1953" s="18" t="inlineStr">
        <is>
          <t>더스트나</t>
        </is>
      </c>
      <c r="F1953" s="18" t="inlineStr">
        <is>
          <t>garbodor</t>
        </is>
      </c>
      <c r="G1953" s="18" t="inlineStr">
        <is>
          <t>garbodor</t>
        </is>
      </c>
      <c r="H1953" s="18" t="inlineStr"/>
      <c r="I1953" s="18" t="n">
        <v>5</v>
      </c>
      <c r="J1953" s="18" t="n"/>
      <c r="K1953" s="18" t="n">
        <v>5</v>
      </c>
      <c r="L1953" s="18" t="inlineStr">
        <is>
          <t>cobbleventure:generation_5</t>
        </is>
      </c>
      <c r="M1953" s="19" t="inlineStr">
        <is>
          <t>cobbleventure:generation_5</t>
        </is>
      </c>
      <c r="N1953" s="18" t="inlineStr">
        <is>
          <t>region_02</t>
        </is>
      </c>
      <c r="O1953" s="19" t="inlineStr"/>
      <c r="P1953" s="18" t="inlineStr">
        <is>
          <t>#cobblemon:is_swamp</t>
        </is>
      </c>
      <c r="Q1953" s="19" t="inlineStr"/>
      <c r="R1953" s="18">
        <f>IF(Q1953="",P1953,Q1953)</f>
        <v/>
      </c>
      <c r="S1953" s="18" t="inlineStr"/>
      <c r="T1953" s="18" t="inlineStr">
        <is>
          <t>common</t>
        </is>
      </c>
      <c r="U1953" s="20" t="n">
        <v>0.2</v>
      </c>
      <c r="V1953" s="21" t="n">
        <v>1</v>
      </c>
      <c r="W1953" s="20">
        <f>IF(OR(U1953="",V1953=""),U1953,U1953*V1953)</f>
        <v/>
      </c>
      <c r="X1953" s="18" t="inlineStr">
        <is>
          <t>36-47</t>
        </is>
      </c>
      <c r="Y1953" s="19" t="inlineStr"/>
      <c r="Z1953" s="18">
        <f>IF(Y1953="",X1953,Y1953)</f>
        <v/>
      </c>
      <c r="AA1953" s="18" t="inlineStr">
        <is>
          <t>grounded</t>
        </is>
      </c>
      <c r="AB1953" s="18" t="inlineStr"/>
      <c r="AC1953" s="18" t="inlineStr"/>
      <c r="AD1953" s="18" t="inlineStr"/>
      <c r="AE1953" s="18" t="inlineStr">
        <is>
          <t>sky 8-15</t>
        </is>
      </c>
      <c r="AF1953" s="18" t="inlineStr"/>
      <c r="AG1953" s="18" t="inlineStr"/>
      <c r="AH1953" s="18" t="inlineStr"/>
      <c r="AI1953" s="18" t="inlineStr"/>
      <c r="AJ1953" s="18" t="inlineStr">
        <is>
          <t>COBBLEVERSE 수정</t>
        </is>
      </c>
      <c r="AK1953" s="18" t="inlineStr">
        <is>
          <t>사용</t>
        </is>
      </c>
      <c r="AL1953" s="18" t="inlineStr">
        <is>
          <t>COBBLEVERSE 1.7.42 / DP v31</t>
        </is>
      </c>
      <c r="AM1953" s="18" t="inlineStr">
        <is>
          <t>data/cobblemon/spawn_pool_world/0569_garbodor.json</t>
        </is>
      </c>
      <c r="AN1953" s="18" t="inlineStr">
        <is>
          <t>garbodor-1</t>
        </is>
      </c>
      <c r="AO1953" s="18" t="inlineStr">
        <is>
          <t>pokemon</t>
        </is>
      </c>
      <c r="AP1953" s="18" t="inlineStr">
        <is>
          <t>natural</t>
        </is>
      </c>
      <c r="AQ1953" s="18" t="inlineStr">
        <is>
          <t>{"biomes":["#cobblemon:is_swamp"],"maxSkyLight":15,"minSkyLight":8}</t>
        </is>
      </c>
      <c r="AR1953" s="18" t="inlineStr"/>
      <c r="AS1953" s="18" t="inlineStr">
        <is>
          <t>{"weightMultiplier":{"condition":{"timeRange":"night"},"multiplier":5.0}}</t>
        </is>
      </c>
      <c r="AT1953" s="19" t="inlineStr"/>
    </row>
    <row r="1954" ht="32" customHeight="1">
      <c r="A1954" s="18" t="inlineStr">
        <is>
          <t>0569_garbodor.json::garbodor-2::002</t>
        </is>
      </c>
      <c r="B1954" s="19" t="inlineStr">
        <is>
          <t>사용</t>
        </is>
      </c>
      <c r="C1954" s="18">
        <f>IF(OR(B1954&lt;&gt;AK1954,M1954&lt;&gt;L1954,O1954&lt;&gt;"",Q1954&lt;&gt;"",V1954&lt;&gt;1,Y1954&lt;&gt;"",AT1954&lt;&gt;""),"수정","원본")</f>
        <v/>
      </c>
      <c r="D1954" s="18" t="n">
        <v>569</v>
      </c>
      <c r="E1954" s="18" t="inlineStr">
        <is>
          <t>더스트나</t>
        </is>
      </c>
      <c r="F1954" s="18" t="inlineStr">
        <is>
          <t>garbodor</t>
        </is>
      </c>
      <c r="G1954" s="18" t="inlineStr">
        <is>
          <t>garbodor</t>
        </is>
      </c>
      <c r="H1954" s="18" t="inlineStr"/>
      <c r="I1954" s="18" t="n">
        <v>5</v>
      </c>
      <c r="J1954" s="18" t="n"/>
      <c r="K1954" s="18" t="n">
        <v>5</v>
      </c>
      <c r="L1954" s="18" t="inlineStr">
        <is>
          <t>cobbleventure:generation_5</t>
        </is>
      </c>
      <c r="M1954" s="19" t="inlineStr">
        <is>
          <t>cobbleventure:generation_5</t>
        </is>
      </c>
      <c r="N1954" s="18" t="inlineStr">
        <is>
          <t>region_01; region_02</t>
        </is>
      </c>
      <c r="O1954" s="19" t="inlineStr"/>
      <c r="P1954" s="18" t="inlineStr">
        <is>
          <t>#cobblemon:is_overworld</t>
        </is>
      </c>
      <c r="Q1954" s="19" t="inlineStr"/>
      <c r="R1954" s="18">
        <f>IF(Q1954="",P1954,Q1954)</f>
        <v/>
      </c>
      <c r="S1954" s="18" t="inlineStr"/>
      <c r="T1954" s="18" t="inlineStr">
        <is>
          <t>common</t>
        </is>
      </c>
      <c r="U1954" s="20" t="n">
        <v>0.2</v>
      </c>
      <c r="V1954" s="21" t="n">
        <v>1</v>
      </c>
      <c r="W1954" s="20">
        <f>IF(OR(U1954="",V1954=""),U1954,U1954*V1954)</f>
        <v/>
      </c>
      <c r="X1954" s="18" t="inlineStr">
        <is>
          <t>36-47</t>
        </is>
      </c>
      <c r="Y1954" s="19" t="inlineStr"/>
      <c r="Z1954" s="18">
        <f>IF(Y1954="",X1954,Y1954)</f>
        <v/>
      </c>
      <c r="AA1954" s="18" t="inlineStr">
        <is>
          <t>grounded</t>
        </is>
      </c>
      <c r="AB1954" s="18" t="inlineStr"/>
      <c r="AC1954" s="18" t="inlineStr"/>
      <c r="AD1954" s="18" t="inlineStr"/>
      <c r="AE1954" s="18" t="inlineStr">
        <is>
          <t>sky 8-15</t>
        </is>
      </c>
      <c r="AF1954" s="18" t="inlineStr"/>
      <c r="AG1954" s="18" t="inlineStr">
        <is>
          <t>#minecraft:village</t>
        </is>
      </c>
      <c r="AH1954" s="18" t="inlineStr"/>
      <c r="AI1954" s="18" t="inlineStr"/>
      <c r="AJ1954" s="18" t="inlineStr">
        <is>
          <t>COBBLEVERSE 수정</t>
        </is>
      </c>
      <c r="AK1954" s="18" t="inlineStr">
        <is>
          <t>사용</t>
        </is>
      </c>
      <c r="AL1954" s="18" t="inlineStr">
        <is>
          <t>COBBLEVERSE 1.7.42 / DP v31</t>
        </is>
      </c>
      <c r="AM1954" s="18" t="inlineStr">
        <is>
          <t>data/cobblemon/spawn_pool_world/0569_garbodor.json</t>
        </is>
      </c>
      <c r="AN1954" s="18" t="inlineStr">
        <is>
          <t>garbodor-2</t>
        </is>
      </c>
      <c r="AO1954" s="18" t="inlineStr">
        <is>
          <t>pokemon</t>
        </is>
      </c>
      <c r="AP1954" s="18" t="inlineStr">
        <is>
          <t>natural</t>
        </is>
      </c>
      <c r="AQ1954" s="18" t="inlineStr">
        <is>
          <t>{"biomes":["#cobblemon:is_overworld"],"maxSkyLight":15,"minSkyLight":8,"structures":["#minecraft:village"]}</t>
        </is>
      </c>
      <c r="AR1954" s="18" t="inlineStr"/>
      <c r="AS1954" s="18" t="inlineStr">
        <is>
          <t>{"weightMultiplier":{"condition":{"timeRange":"night"},"multiplier":5.0}}</t>
        </is>
      </c>
      <c r="AT1954" s="19" t="inlineStr"/>
    </row>
    <row r="1955" ht="32" customHeight="1">
      <c r="A1955" s="18" t="inlineStr">
        <is>
          <t>0570_zorua.json::zorua-1::001</t>
        </is>
      </c>
      <c r="B1955" s="19" t="inlineStr">
        <is>
          <t>사용</t>
        </is>
      </c>
      <c r="C1955" s="18">
        <f>IF(OR(B1955&lt;&gt;AK1955,M1955&lt;&gt;L1955,O1955&lt;&gt;"",Q1955&lt;&gt;"",V1955&lt;&gt;1,Y1955&lt;&gt;"",AT1955&lt;&gt;""),"수정","원본")</f>
        <v/>
      </c>
      <c r="D1955" s="18" t="n">
        <v>570</v>
      </c>
      <c r="E1955" s="18" t="inlineStr">
        <is>
          <t>조로아</t>
        </is>
      </c>
      <c r="F1955" s="18" t="inlineStr">
        <is>
          <t>zorua</t>
        </is>
      </c>
      <c r="G1955" s="18" t="inlineStr">
        <is>
          <t>zorua</t>
        </is>
      </c>
      <c r="H1955" s="18" t="inlineStr"/>
      <c r="I1955" s="18" t="n">
        <v>5</v>
      </c>
      <c r="J1955" s="18" t="n"/>
      <c r="K1955" s="18" t="n">
        <v>5</v>
      </c>
      <c r="L1955" s="18" t="inlineStr">
        <is>
          <t>cobbleventure:generation_5</t>
        </is>
      </c>
      <c r="M1955" s="19" t="inlineStr">
        <is>
          <t>cobbleventure:generation_5</t>
        </is>
      </c>
      <c r="N1955" s="18" t="inlineStr">
        <is>
          <t>region_01</t>
        </is>
      </c>
      <c r="O1955" s="19" t="inlineStr"/>
      <c r="P1955" s="18" t="inlineStr">
        <is>
          <t>#cobblemon:is_forest</t>
        </is>
      </c>
      <c r="Q1955" s="19" t="inlineStr"/>
      <c r="R1955" s="18">
        <f>IF(Q1955="",P1955,Q1955)</f>
        <v/>
      </c>
      <c r="S1955" s="18" t="inlineStr">
        <is>
          <t>#cobblemon:is_freezing</t>
        </is>
      </c>
      <c r="T1955" s="18" t="inlineStr">
        <is>
          <t>uncommon</t>
        </is>
      </c>
      <c r="U1955" s="20" t="n">
        <v>5.04</v>
      </c>
      <c r="V1955" s="21" t="n">
        <v>1</v>
      </c>
      <c r="W1955" s="20">
        <f>IF(OR(U1955="",V1955=""),U1955,U1955*V1955)</f>
        <v/>
      </c>
      <c r="X1955" s="18" t="inlineStr">
        <is>
          <t>8-33</t>
        </is>
      </c>
      <c r="Y1955" s="19" t="inlineStr"/>
      <c r="Z1955" s="18">
        <f>IF(Y1955="",X1955,Y1955)</f>
        <v/>
      </c>
      <c r="AA1955" s="18" t="inlineStr">
        <is>
          <t>grounded</t>
        </is>
      </c>
      <c r="AB1955" s="18" t="inlineStr">
        <is>
          <t>night</t>
        </is>
      </c>
      <c r="AC1955" s="18" t="inlineStr"/>
      <c r="AD1955" s="18" t="inlineStr"/>
      <c r="AE1955" s="18" t="inlineStr">
        <is>
          <t>sky 8-15</t>
        </is>
      </c>
      <c r="AF1955" s="18" t="inlineStr"/>
      <c r="AG1955" s="18" t="inlineStr"/>
      <c r="AH1955" s="18" t="inlineStr"/>
      <c r="AI1955" s="18" t="inlineStr"/>
      <c r="AJ1955" s="18" t="inlineStr">
        <is>
          <t>Cobblemon 동일</t>
        </is>
      </c>
      <c r="AK1955" s="18" t="inlineStr">
        <is>
          <t>사용</t>
        </is>
      </c>
      <c r="AL1955" s="18" t="inlineStr">
        <is>
          <t>COBBLEVERSE 1.7.42 / DP v31</t>
        </is>
      </c>
      <c r="AM1955" s="18" t="inlineStr">
        <is>
          <t>data/cobblemon/spawn_pool_world/0570_zorua.json</t>
        </is>
      </c>
      <c r="AN1955" s="18" t="inlineStr">
        <is>
          <t>zorua-1</t>
        </is>
      </c>
      <c r="AO1955" s="18" t="inlineStr">
        <is>
          <t>pokemon</t>
        </is>
      </c>
      <c r="AP1955" s="18" t="inlineStr">
        <is>
          <t>natural; wild</t>
        </is>
      </c>
      <c r="AQ1955" s="18" t="inlineStr">
        <is>
          <t>{"biomes":["#cobblemon:is_forest"],"maxSkyLight":15,"minSkyLight":8,"timeRange":"night"}</t>
        </is>
      </c>
      <c r="AR1955" s="18" t="inlineStr">
        <is>
          <t>{"biomes":["#cobblemon:is_freezing"]}</t>
        </is>
      </c>
      <c r="AS1955" s="18" t="inlineStr">
        <is>
          <t>{"weightMultiplier":{"condition":{"moonPhase":4},"multiplier":5.0}}</t>
        </is>
      </c>
      <c r="AT1955" s="19" t="inlineStr"/>
    </row>
    <row r="1956" ht="32" customHeight="1">
      <c r="A1956" s="18" t="inlineStr">
        <is>
          <t>0570_zorua.json::zorua-hisuian-1::002</t>
        </is>
      </c>
      <c r="B1956" s="19" t="inlineStr">
        <is>
          <t>사용</t>
        </is>
      </c>
      <c r="C1956" s="18">
        <f>IF(OR(B1956&lt;&gt;AK1956,M1956&lt;&gt;L1956,O1956&lt;&gt;"",Q1956&lt;&gt;"",V1956&lt;&gt;1,Y1956&lt;&gt;"",AT1956&lt;&gt;""),"수정","원본")</f>
        <v/>
      </c>
      <c r="D1956" s="18" t="n">
        <v>570</v>
      </c>
      <c r="E1956" s="18" t="inlineStr">
        <is>
          <t>조로아</t>
        </is>
      </c>
      <c r="F1956" s="18" t="inlineStr">
        <is>
          <t>zorua</t>
        </is>
      </c>
      <c r="G1956" s="18" t="inlineStr">
        <is>
          <t>zorua hisuian</t>
        </is>
      </c>
      <c r="H1956" s="18" t="inlineStr">
        <is>
          <t>hisuian</t>
        </is>
      </c>
      <c r="I1956" s="18" t="n">
        <v>5</v>
      </c>
      <c r="J1956" s="18" t="n">
        <v>8</v>
      </c>
      <c r="K1956" s="18" t="n">
        <v>8</v>
      </c>
      <c r="L1956" s="18" t="inlineStr">
        <is>
          <t>cobbleventure:generation_8</t>
        </is>
      </c>
      <c r="M1956" s="19" t="inlineStr">
        <is>
          <t>cobbleventure:generation_8</t>
        </is>
      </c>
      <c r="N1956" s="18" t="inlineStr"/>
      <c r="O1956" s="19" t="inlineStr"/>
      <c r="P1956" s="18" t="inlineStr">
        <is>
          <t>#cobblemon:is_snowy_forest; #cobblemon:is_snowy_taiga</t>
        </is>
      </c>
      <c r="Q1956" s="19" t="inlineStr"/>
      <c r="R1956" s="18">
        <f>IF(Q1956="",P1956,Q1956)</f>
        <v/>
      </c>
      <c r="S1956" s="18" t="inlineStr"/>
      <c r="T1956" s="18" t="inlineStr">
        <is>
          <t>uncommon</t>
        </is>
      </c>
      <c r="U1956" s="20" t="n">
        <v>5.04</v>
      </c>
      <c r="V1956" s="21" t="n">
        <v>1</v>
      </c>
      <c r="W1956" s="20">
        <f>IF(OR(U1956="",V1956=""),U1956,U1956*V1956)</f>
        <v/>
      </c>
      <c r="X1956" s="18" t="inlineStr">
        <is>
          <t>8-33</t>
        </is>
      </c>
      <c r="Y1956" s="19" t="inlineStr"/>
      <c r="Z1956" s="18">
        <f>IF(Y1956="",X1956,Y1956)</f>
        <v/>
      </c>
      <c r="AA1956" s="18" t="inlineStr">
        <is>
          <t>grounded</t>
        </is>
      </c>
      <c r="AB1956" s="18" t="inlineStr">
        <is>
          <t>night</t>
        </is>
      </c>
      <c r="AC1956" s="18" t="inlineStr"/>
      <c r="AD1956" s="18" t="inlineStr"/>
      <c r="AE1956" s="18" t="inlineStr">
        <is>
          <t>sky 8-15</t>
        </is>
      </c>
      <c r="AF1956" s="18" t="inlineStr"/>
      <c r="AG1956" s="18" t="inlineStr"/>
      <c r="AH1956" s="18" t="inlineStr"/>
      <c r="AI1956" s="18" t="inlineStr"/>
      <c r="AJ1956" s="18" t="inlineStr">
        <is>
          <t>Cobblemon 동일</t>
        </is>
      </c>
      <c r="AK1956" s="18" t="inlineStr">
        <is>
          <t>사용</t>
        </is>
      </c>
      <c r="AL1956" s="18" t="inlineStr">
        <is>
          <t>COBBLEVERSE 1.7.42 / DP v31</t>
        </is>
      </c>
      <c r="AM1956" s="18" t="inlineStr">
        <is>
          <t>data/cobblemon/spawn_pool_world/0570_zorua.json</t>
        </is>
      </c>
      <c r="AN1956" s="18" t="inlineStr">
        <is>
          <t>zorua-hisuian-1</t>
        </is>
      </c>
      <c r="AO1956" s="18" t="inlineStr">
        <is>
          <t>pokemon</t>
        </is>
      </c>
      <c r="AP1956" s="18" t="inlineStr">
        <is>
          <t>natural; wild</t>
        </is>
      </c>
      <c r="AQ1956" s="18" t="inlineStr">
        <is>
          <t>{"biomes":["#cobblemon:is_snowy_forest","#cobblemon:is_snowy_taiga"],"maxSkyLight":15,"minSkyLight":8,"timeRange":"night"}</t>
        </is>
      </c>
      <c r="AR1956" s="18" t="inlineStr"/>
      <c r="AS1956" s="18" t="inlineStr">
        <is>
          <t>{"weightMultiplier":{"condition":{"moonPhase":4},"multiplier":5.0}}</t>
        </is>
      </c>
      <c r="AT1956" s="19" t="inlineStr"/>
    </row>
    <row r="1957" ht="32" customHeight="1">
      <c r="A1957" s="18" t="inlineStr">
        <is>
          <t>0570_zorua.json::zorua-hisuian-2::003</t>
        </is>
      </c>
      <c r="B1957" s="19" t="inlineStr">
        <is>
          <t>사용</t>
        </is>
      </c>
      <c r="C1957" s="18">
        <f>IF(OR(B1957&lt;&gt;AK1957,M1957&lt;&gt;L1957,O1957&lt;&gt;"",Q1957&lt;&gt;"",V1957&lt;&gt;1,Y1957&lt;&gt;"",AT1957&lt;&gt;""),"수정","원본")</f>
        <v/>
      </c>
      <c r="D1957" s="18" t="n">
        <v>570</v>
      </c>
      <c r="E1957" s="18" t="inlineStr">
        <is>
          <t>조로아</t>
        </is>
      </c>
      <c r="F1957" s="18" t="inlineStr">
        <is>
          <t>zorua</t>
        </is>
      </c>
      <c r="G1957" s="18" t="inlineStr">
        <is>
          <t>zorua hisuian</t>
        </is>
      </c>
      <c r="H1957" s="18" t="inlineStr">
        <is>
          <t>hisuian</t>
        </is>
      </c>
      <c r="I1957" s="18" t="n">
        <v>5</v>
      </c>
      <c r="J1957" s="18" t="n">
        <v>8</v>
      </c>
      <c r="K1957" s="18" t="n">
        <v>8</v>
      </c>
      <c r="L1957" s="18" t="inlineStr">
        <is>
          <t>cobbleventure:generation_8</t>
        </is>
      </c>
      <c r="M1957" s="19" t="inlineStr">
        <is>
          <t>cobbleventure:generation_8</t>
        </is>
      </c>
      <c r="N1957" s="18" t="inlineStr"/>
      <c r="O1957" s="19" t="inlineStr"/>
      <c r="P1957" s="18" t="inlineStr">
        <is>
          <t>#minecraft:is_nether</t>
        </is>
      </c>
      <c r="Q1957" s="19" t="inlineStr"/>
      <c r="R1957" s="18">
        <f>IF(Q1957="",P1957,Q1957)</f>
        <v/>
      </c>
      <c r="S1957" s="18" t="inlineStr"/>
      <c r="T1957" s="18" t="inlineStr">
        <is>
          <t>uncommon</t>
        </is>
      </c>
      <c r="U1957" s="20" t="n">
        <v>84</v>
      </c>
      <c r="V1957" s="21" t="n">
        <v>1</v>
      </c>
      <c r="W1957" s="20">
        <f>IF(OR(U1957="",V1957=""),U1957,U1957*V1957)</f>
        <v/>
      </c>
      <c r="X1957" s="18" t="inlineStr">
        <is>
          <t>8-33</t>
        </is>
      </c>
      <c r="Y1957" s="19" t="inlineStr"/>
      <c r="Z1957" s="18">
        <f>IF(Y1957="",X1957,Y1957)</f>
        <v/>
      </c>
      <c r="AA1957" s="18" t="inlineStr">
        <is>
          <t>grounded</t>
        </is>
      </c>
      <c r="AB1957" s="18" t="inlineStr"/>
      <c r="AC1957" s="18" t="inlineStr"/>
      <c r="AD1957" s="18" t="inlineStr"/>
      <c r="AE1957" s="18" t="inlineStr"/>
      <c r="AF1957" s="18" t="inlineStr"/>
      <c r="AG1957" s="18" t="inlineStr"/>
      <c r="AH1957" s="18" t="inlineStr"/>
      <c r="AI1957" s="18" t="inlineStr"/>
      <c r="AJ1957" s="18" t="inlineStr">
        <is>
          <t>Cobblemon 동일</t>
        </is>
      </c>
      <c r="AK1957" s="18" t="inlineStr">
        <is>
          <t>사용</t>
        </is>
      </c>
      <c r="AL1957" s="18" t="inlineStr">
        <is>
          <t>COBBLEVERSE 1.7.42 / DP v31</t>
        </is>
      </c>
      <c r="AM1957" s="18" t="inlineStr">
        <is>
          <t>data/cobblemon/spawn_pool_world/0570_zorua.json</t>
        </is>
      </c>
      <c r="AN1957" s="18" t="inlineStr">
        <is>
          <t>zorua-hisuian-2</t>
        </is>
      </c>
      <c r="AO1957" s="18" t="inlineStr">
        <is>
          <t>pokemon</t>
        </is>
      </c>
      <c r="AP1957" s="18" t="inlineStr">
        <is>
          <t>natural; nether_fossil</t>
        </is>
      </c>
      <c r="AQ1957" s="18" t="inlineStr">
        <is>
          <t>{"biomes":["#minecraft:is_nether"]}</t>
        </is>
      </c>
      <c r="AR1957" s="18" t="inlineStr"/>
      <c r="AS1957" s="18" t="inlineStr"/>
      <c r="AT1957" s="19" t="inlineStr"/>
    </row>
    <row r="1958" ht="32" customHeight="1">
      <c r="A1958" s="18" t="inlineStr">
        <is>
          <t>0571_zoroark.json::zoroark-1::001</t>
        </is>
      </c>
      <c r="B1958" s="19" t="inlineStr">
        <is>
          <t>사용</t>
        </is>
      </c>
      <c r="C1958" s="18">
        <f>IF(OR(B1958&lt;&gt;AK1958,M1958&lt;&gt;L1958,O1958&lt;&gt;"",Q1958&lt;&gt;"",V1958&lt;&gt;1,Y1958&lt;&gt;"",AT1958&lt;&gt;""),"수정","원본")</f>
        <v/>
      </c>
      <c r="D1958" s="18" t="n">
        <v>571</v>
      </c>
      <c r="E1958" s="18" t="inlineStr">
        <is>
          <t>조로아크</t>
        </is>
      </c>
      <c r="F1958" s="18" t="inlineStr">
        <is>
          <t>zoroark</t>
        </is>
      </c>
      <c r="G1958" s="18" t="inlineStr">
        <is>
          <t>zoroark</t>
        </is>
      </c>
      <c r="H1958" s="18" t="inlineStr"/>
      <c r="I1958" s="18" t="n">
        <v>5</v>
      </c>
      <c r="J1958" s="18" t="n"/>
      <c r="K1958" s="18" t="n">
        <v>5</v>
      </c>
      <c r="L1958" s="18" t="inlineStr">
        <is>
          <t>cobbleventure:generation_5</t>
        </is>
      </c>
      <c r="M1958" s="19" t="inlineStr">
        <is>
          <t>cobbleventure:generation_5</t>
        </is>
      </c>
      <c r="N1958" s="18" t="inlineStr">
        <is>
          <t>region_01</t>
        </is>
      </c>
      <c r="O1958" s="19" t="inlineStr"/>
      <c r="P1958" s="18" t="inlineStr">
        <is>
          <t>#cobblemon:is_forest</t>
        </is>
      </c>
      <c r="Q1958" s="19" t="inlineStr"/>
      <c r="R1958" s="18">
        <f>IF(Q1958="",P1958,Q1958)</f>
        <v/>
      </c>
      <c r="S1958" s="18" t="inlineStr">
        <is>
          <t>#cobblemon:is_freezing</t>
        </is>
      </c>
      <c r="T1958" s="18" t="inlineStr">
        <is>
          <t>uncommon</t>
        </is>
      </c>
      <c r="U1958" s="20" t="n">
        <v>0.96</v>
      </c>
      <c r="V1958" s="21" t="n">
        <v>1</v>
      </c>
      <c r="W1958" s="20">
        <f>IF(OR(U1958="",V1958=""),U1958,U1958*V1958)</f>
        <v/>
      </c>
      <c r="X1958" s="18" t="inlineStr">
        <is>
          <t>30-51</t>
        </is>
      </c>
      <c r="Y1958" s="19" t="inlineStr"/>
      <c r="Z1958" s="18">
        <f>IF(Y1958="",X1958,Y1958)</f>
        <v/>
      </c>
      <c r="AA1958" s="18" t="inlineStr">
        <is>
          <t>grounded</t>
        </is>
      </c>
      <c r="AB1958" s="18" t="inlineStr">
        <is>
          <t>night</t>
        </is>
      </c>
      <c r="AC1958" s="18" t="inlineStr"/>
      <c r="AD1958" s="18" t="inlineStr"/>
      <c r="AE1958" s="18" t="inlineStr">
        <is>
          <t>sky 8-15</t>
        </is>
      </c>
      <c r="AF1958" s="18" t="inlineStr"/>
      <c r="AG1958" s="18" t="inlineStr"/>
      <c r="AH1958" s="18" t="inlineStr"/>
      <c r="AI1958" s="18" t="inlineStr"/>
      <c r="AJ1958" s="18" t="inlineStr">
        <is>
          <t>Cobblemon 동일</t>
        </is>
      </c>
      <c r="AK1958" s="18" t="inlineStr">
        <is>
          <t>사용</t>
        </is>
      </c>
      <c r="AL1958" s="18" t="inlineStr">
        <is>
          <t>COBBLEVERSE 1.7.42 / DP v31</t>
        </is>
      </c>
      <c r="AM1958" s="18" t="inlineStr">
        <is>
          <t>data/cobblemon/spawn_pool_world/0571_zoroark.json</t>
        </is>
      </c>
      <c r="AN1958" s="18" t="inlineStr">
        <is>
          <t>zoroark-1</t>
        </is>
      </c>
      <c r="AO1958" s="18" t="inlineStr">
        <is>
          <t>pokemon</t>
        </is>
      </c>
      <c r="AP1958" s="18" t="inlineStr">
        <is>
          <t>natural; wild</t>
        </is>
      </c>
      <c r="AQ1958" s="18" t="inlineStr">
        <is>
          <t>{"biomes":["#cobblemon:is_forest"],"maxSkyLight":15,"minSkyLight":8,"timeRange":"night"}</t>
        </is>
      </c>
      <c r="AR1958" s="18" t="inlineStr">
        <is>
          <t>{"biomes":["#cobblemon:is_freezing"]}</t>
        </is>
      </c>
      <c r="AS1958" s="18" t="inlineStr">
        <is>
          <t>{"weightMultiplier":{"condition":{"moonPhase":4},"multiplier":5.0}}</t>
        </is>
      </c>
      <c r="AT1958" s="19" t="inlineStr"/>
    </row>
    <row r="1959" ht="32" customHeight="1">
      <c r="A1959" s="18" t="inlineStr">
        <is>
          <t>0571_zoroark.json::zoroark-hisuian-1::002</t>
        </is>
      </c>
      <c r="B1959" s="19" t="inlineStr">
        <is>
          <t>사용</t>
        </is>
      </c>
      <c r="C1959" s="18">
        <f>IF(OR(B1959&lt;&gt;AK1959,M1959&lt;&gt;L1959,O1959&lt;&gt;"",Q1959&lt;&gt;"",V1959&lt;&gt;1,Y1959&lt;&gt;"",AT1959&lt;&gt;""),"수정","원본")</f>
        <v/>
      </c>
      <c r="D1959" s="18" t="n">
        <v>571</v>
      </c>
      <c r="E1959" s="18" t="inlineStr">
        <is>
          <t>조로아크</t>
        </is>
      </c>
      <c r="F1959" s="18" t="inlineStr">
        <is>
          <t>zoroark</t>
        </is>
      </c>
      <c r="G1959" s="18" t="inlineStr">
        <is>
          <t>zoroark hisuian</t>
        </is>
      </c>
      <c r="H1959" s="18" t="inlineStr">
        <is>
          <t>hisuian</t>
        </is>
      </c>
      <c r="I1959" s="18" t="n">
        <v>5</v>
      </c>
      <c r="J1959" s="18" t="n">
        <v>8</v>
      </c>
      <c r="K1959" s="18" t="n">
        <v>8</v>
      </c>
      <c r="L1959" s="18" t="inlineStr">
        <is>
          <t>cobbleventure:generation_8</t>
        </is>
      </c>
      <c r="M1959" s="19" t="inlineStr">
        <is>
          <t>cobbleventure:generation_8</t>
        </is>
      </c>
      <c r="N1959" s="18" t="inlineStr"/>
      <c r="O1959" s="19" t="inlineStr"/>
      <c r="P1959" s="18" t="inlineStr">
        <is>
          <t>#cobblemon:is_snowy_forest; #cobblemon:is_snowy_taiga</t>
        </is>
      </c>
      <c r="Q1959" s="19" t="inlineStr"/>
      <c r="R1959" s="18">
        <f>IF(Q1959="",P1959,Q1959)</f>
        <v/>
      </c>
      <c r="S1959" s="18" t="inlineStr"/>
      <c r="T1959" s="18" t="inlineStr">
        <is>
          <t>uncommon</t>
        </is>
      </c>
      <c r="U1959" s="20" t="n">
        <v>0.96</v>
      </c>
      <c r="V1959" s="21" t="n">
        <v>1</v>
      </c>
      <c r="W1959" s="20">
        <f>IF(OR(U1959="",V1959=""),U1959,U1959*V1959)</f>
        <v/>
      </c>
      <c r="X1959" s="18" t="inlineStr">
        <is>
          <t>30-51</t>
        </is>
      </c>
      <c r="Y1959" s="19" t="inlineStr"/>
      <c r="Z1959" s="18">
        <f>IF(Y1959="",X1959,Y1959)</f>
        <v/>
      </c>
      <c r="AA1959" s="18" t="inlineStr">
        <is>
          <t>grounded</t>
        </is>
      </c>
      <c r="AB1959" s="18" t="inlineStr">
        <is>
          <t>night</t>
        </is>
      </c>
      <c r="AC1959" s="18" t="inlineStr"/>
      <c r="AD1959" s="18" t="inlineStr"/>
      <c r="AE1959" s="18" t="inlineStr">
        <is>
          <t>sky 8-15</t>
        </is>
      </c>
      <c r="AF1959" s="18" t="inlineStr"/>
      <c r="AG1959" s="18" t="inlineStr"/>
      <c r="AH1959" s="18" t="inlineStr"/>
      <c r="AI1959" s="18" t="inlineStr"/>
      <c r="AJ1959" s="18" t="inlineStr">
        <is>
          <t>Cobblemon 동일</t>
        </is>
      </c>
      <c r="AK1959" s="18" t="inlineStr">
        <is>
          <t>사용</t>
        </is>
      </c>
      <c r="AL1959" s="18" t="inlineStr">
        <is>
          <t>COBBLEVERSE 1.7.42 / DP v31</t>
        </is>
      </c>
      <c r="AM1959" s="18" t="inlineStr">
        <is>
          <t>data/cobblemon/spawn_pool_world/0571_zoroark.json</t>
        </is>
      </c>
      <c r="AN1959" s="18" t="inlineStr">
        <is>
          <t>zoroark-hisuian-1</t>
        </is>
      </c>
      <c r="AO1959" s="18" t="inlineStr">
        <is>
          <t>pokemon</t>
        </is>
      </c>
      <c r="AP1959" s="18" t="inlineStr">
        <is>
          <t>natural; wild</t>
        </is>
      </c>
      <c r="AQ1959" s="18" t="inlineStr">
        <is>
          <t>{"biomes":["#cobblemon:is_snowy_forest","#cobblemon:is_snowy_taiga"],"maxSkyLight":15,"minSkyLight":8,"timeRange":"night"}</t>
        </is>
      </c>
      <c r="AR1959" s="18" t="inlineStr"/>
      <c r="AS1959" s="18" t="inlineStr">
        <is>
          <t>{"weightMultiplier":{"condition":{"moonPhase":4},"multiplier":5.0}}</t>
        </is>
      </c>
      <c r="AT1959" s="19" t="inlineStr"/>
    </row>
    <row r="1960" ht="32" customHeight="1">
      <c r="A1960" s="18" t="inlineStr">
        <is>
          <t>0571_zoroark.json::zoroark-hisuian-2::003</t>
        </is>
      </c>
      <c r="B1960" s="19" t="inlineStr">
        <is>
          <t>사용</t>
        </is>
      </c>
      <c r="C1960" s="18">
        <f>IF(OR(B1960&lt;&gt;AK1960,M1960&lt;&gt;L1960,O1960&lt;&gt;"",Q1960&lt;&gt;"",V1960&lt;&gt;1,Y1960&lt;&gt;"",AT1960&lt;&gt;""),"수정","원본")</f>
        <v/>
      </c>
      <c r="D1960" s="18" t="n">
        <v>571</v>
      </c>
      <c r="E1960" s="18" t="inlineStr">
        <is>
          <t>조로아크</t>
        </is>
      </c>
      <c r="F1960" s="18" t="inlineStr">
        <is>
          <t>zoroark</t>
        </is>
      </c>
      <c r="G1960" s="18" t="inlineStr">
        <is>
          <t>zoroark hisuian</t>
        </is>
      </c>
      <c r="H1960" s="18" t="inlineStr">
        <is>
          <t>hisuian</t>
        </is>
      </c>
      <c r="I1960" s="18" t="n">
        <v>5</v>
      </c>
      <c r="J1960" s="18" t="n">
        <v>8</v>
      </c>
      <c r="K1960" s="18" t="n">
        <v>8</v>
      </c>
      <c r="L1960" s="18" t="inlineStr">
        <is>
          <t>cobbleventure:generation_8</t>
        </is>
      </c>
      <c r="M1960" s="19" t="inlineStr">
        <is>
          <t>cobbleventure:generation_8</t>
        </is>
      </c>
      <c r="N1960" s="18" t="inlineStr"/>
      <c r="O1960" s="19" t="inlineStr"/>
      <c r="P1960" s="18" t="inlineStr">
        <is>
          <t>#minecraft:is_nether</t>
        </is>
      </c>
      <c r="Q1960" s="19" t="inlineStr"/>
      <c r="R1960" s="18">
        <f>IF(Q1960="",P1960,Q1960)</f>
        <v/>
      </c>
      <c r="S1960" s="18" t="inlineStr"/>
      <c r="T1960" s="18" t="inlineStr">
        <is>
          <t>uncommon</t>
        </is>
      </c>
      <c r="U1960" s="20" t="n">
        <v>16</v>
      </c>
      <c r="V1960" s="21" t="n">
        <v>1</v>
      </c>
      <c r="W1960" s="20">
        <f>IF(OR(U1960="",V1960=""),U1960,U1960*V1960)</f>
        <v/>
      </c>
      <c r="X1960" s="18" t="inlineStr">
        <is>
          <t>30-51</t>
        </is>
      </c>
      <c r="Y1960" s="19" t="inlineStr"/>
      <c r="Z1960" s="18">
        <f>IF(Y1960="",X1960,Y1960)</f>
        <v/>
      </c>
      <c r="AA1960" s="18" t="inlineStr">
        <is>
          <t>grounded</t>
        </is>
      </c>
      <c r="AB1960" s="18" t="inlineStr"/>
      <c r="AC1960" s="18" t="inlineStr"/>
      <c r="AD1960" s="18" t="inlineStr"/>
      <c r="AE1960" s="18" t="inlineStr"/>
      <c r="AF1960" s="18" t="inlineStr"/>
      <c r="AG1960" s="18" t="inlineStr"/>
      <c r="AH1960" s="18" t="inlineStr"/>
      <c r="AI1960" s="18" t="inlineStr"/>
      <c r="AJ1960" s="18" t="inlineStr">
        <is>
          <t>Cobblemon 동일</t>
        </is>
      </c>
      <c r="AK1960" s="18" t="inlineStr">
        <is>
          <t>사용</t>
        </is>
      </c>
      <c r="AL1960" s="18" t="inlineStr">
        <is>
          <t>COBBLEVERSE 1.7.42 / DP v31</t>
        </is>
      </c>
      <c r="AM1960" s="18" t="inlineStr">
        <is>
          <t>data/cobblemon/spawn_pool_world/0571_zoroark.json</t>
        </is>
      </c>
      <c r="AN1960" s="18" t="inlineStr">
        <is>
          <t>zoroark-hisuian-2</t>
        </is>
      </c>
      <c r="AO1960" s="18" t="inlineStr">
        <is>
          <t>pokemon</t>
        </is>
      </c>
      <c r="AP1960" s="18" t="inlineStr">
        <is>
          <t>natural; nether_fossil</t>
        </is>
      </c>
      <c r="AQ1960" s="18" t="inlineStr">
        <is>
          <t>{"biomes":["#minecraft:is_nether"]}</t>
        </is>
      </c>
      <c r="AR1960" s="18" t="inlineStr"/>
      <c r="AS1960" s="18" t="inlineStr"/>
      <c r="AT1960" s="19" t="inlineStr"/>
    </row>
    <row r="1961" ht="32" customHeight="1">
      <c r="A1961" s="18" t="inlineStr">
        <is>
          <t>0572_minccino.json::minccino-1::001</t>
        </is>
      </c>
      <c r="B1961" s="19" t="inlineStr">
        <is>
          <t>사용</t>
        </is>
      </c>
      <c r="C1961" s="18">
        <f>IF(OR(B1961&lt;&gt;AK1961,M1961&lt;&gt;L1961,O1961&lt;&gt;"",Q1961&lt;&gt;"",V1961&lt;&gt;1,Y1961&lt;&gt;"",AT1961&lt;&gt;""),"수정","원본")</f>
        <v/>
      </c>
      <c r="D1961" s="18" t="n">
        <v>572</v>
      </c>
      <c r="E1961" s="18" t="inlineStr">
        <is>
          <t>치라미</t>
        </is>
      </c>
      <c r="F1961" s="18" t="inlineStr">
        <is>
          <t>minccino</t>
        </is>
      </c>
      <c r="G1961" s="18" t="inlineStr">
        <is>
          <t>minccino</t>
        </is>
      </c>
      <c r="H1961" s="18" t="inlineStr"/>
      <c r="I1961" s="18" t="n">
        <v>5</v>
      </c>
      <c r="J1961" s="18" t="n"/>
      <c r="K1961" s="18" t="n">
        <v>5</v>
      </c>
      <c r="L1961" s="18" t="inlineStr">
        <is>
          <t>cobbleventure:generation_5</t>
        </is>
      </c>
      <c r="M1961" s="19" t="inlineStr">
        <is>
          <t>cobbleventure:generation_5</t>
        </is>
      </c>
      <c r="N1961" s="18" t="inlineStr"/>
      <c r="O1961" s="19" t="inlineStr"/>
      <c r="P1961" s="18" t="inlineStr">
        <is>
          <t>#cobblemon:is_magical</t>
        </is>
      </c>
      <c r="Q1961" s="19" t="inlineStr"/>
      <c r="R1961" s="18">
        <f>IF(Q1961="",P1961,Q1961)</f>
        <v/>
      </c>
      <c r="S1961" s="18" t="inlineStr"/>
      <c r="T1961" s="18" t="inlineStr">
        <is>
          <t>common</t>
        </is>
      </c>
      <c r="U1961" s="20" t="n">
        <v>1.9</v>
      </c>
      <c r="V1961" s="21" t="n">
        <v>1</v>
      </c>
      <c r="W1961" s="20">
        <f>IF(OR(U1961="",V1961=""),U1961,U1961*V1961)</f>
        <v/>
      </c>
      <c r="X1961" s="18" t="inlineStr">
        <is>
          <t>5-30</t>
        </is>
      </c>
      <c r="Y1961" s="19" t="inlineStr"/>
      <c r="Z1961" s="18">
        <f>IF(Y1961="",X1961,Y1961)</f>
        <v/>
      </c>
      <c r="AA1961" s="18" t="inlineStr">
        <is>
          <t>grounded</t>
        </is>
      </c>
      <c r="AB1961" s="18" t="inlineStr"/>
      <c r="AC1961" s="18" t="inlineStr"/>
      <c r="AD1961" s="18" t="inlineStr"/>
      <c r="AE1961" s="18" t="inlineStr">
        <is>
          <t>sky 8-15</t>
        </is>
      </c>
      <c r="AF1961" s="18" t="inlineStr"/>
      <c r="AG1961" s="18" t="inlineStr"/>
      <c r="AH1961" s="18" t="inlineStr"/>
      <c r="AI1961" s="18" t="inlineStr"/>
      <c r="AJ1961" s="18" t="inlineStr">
        <is>
          <t>Cobblemon 동일</t>
        </is>
      </c>
      <c r="AK1961" s="18" t="inlineStr">
        <is>
          <t>사용</t>
        </is>
      </c>
      <c r="AL1961" s="18" t="inlineStr">
        <is>
          <t>COBBLEVERSE 1.7.42 / DP v31</t>
        </is>
      </c>
      <c r="AM1961" s="18" t="inlineStr">
        <is>
          <t>data/cobblemon/spawn_pool_world/0572_minccino.json</t>
        </is>
      </c>
      <c r="AN1961" s="18" t="inlineStr">
        <is>
          <t>minccino-1</t>
        </is>
      </c>
      <c r="AO1961" s="18" t="inlineStr">
        <is>
          <t>pokemon</t>
        </is>
      </c>
      <c r="AP1961" s="18" t="inlineStr">
        <is>
          <t>natural</t>
        </is>
      </c>
      <c r="AQ1961" s="18" t="inlineStr">
        <is>
          <t>{"biomes":["#cobblemon:is_magical"],"maxSkyLight":15,"minSkyLight":8}</t>
        </is>
      </c>
      <c r="AR1961" s="18" t="inlineStr"/>
      <c r="AS1961" s="18" t="inlineStr"/>
      <c r="AT1961" s="19" t="inlineStr"/>
    </row>
    <row r="1962" ht="32" customHeight="1">
      <c r="A1962" s="18" t="inlineStr">
        <is>
          <t>0572_minccino.json::minccino-2::002</t>
        </is>
      </c>
      <c r="B1962" s="19" t="inlineStr">
        <is>
          <t>사용</t>
        </is>
      </c>
      <c r="C1962" s="18">
        <f>IF(OR(B1962&lt;&gt;AK1962,M1962&lt;&gt;L1962,O1962&lt;&gt;"",Q1962&lt;&gt;"",V1962&lt;&gt;1,Y1962&lt;&gt;"",AT1962&lt;&gt;""),"수정","원본")</f>
        <v/>
      </c>
      <c r="D1962" s="18" t="n">
        <v>572</v>
      </c>
      <c r="E1962" s="18" t="inlineStr">
        <is>
          <t>치라미</t>
        </is>
      </c>
      <c r="F1962" s="18" t="inlineStr">
        <is>
          <t>minccino</t>
        </is>
      </c>
      <c r="G1962" s="18" t="inlineStr">
        <is>
          <t>minccino</t>
        </is>
      </c>
      <c r="H1962" s="18" t="inlineStr"/>
      <c r="I1962" s="18" t="n">
        <v>5</v>
      </c>
      <c r="J1962" s="18" t="n"/>
      <c r="K1962" s="18" t="n">
        <v>5</v>
      </c>
      <c r="L1962" s="18" t="inlineStr">
        <is>
          <t>cobbleventure:generation_5</t>
        </is>
      </c>
      <c r="M1962" s="19" t="inlineStr">
        <is>
          <t>cobbleventure:generation_5</t>
        </is>
      </c>
      <c r="N1962" s="18" t="inlineStr">
        <is>
          <t>region_01</t>
        </is>
      </c>
      <c r="O1962" s="19" t="inlineStr"/>
      <c r="P1962" s="18" t="inlineStr">
        <is>
          <t>#cobblemon:is_overworld</t>
        </is>
      </c>
      <c r="Q1962" s="19" t="inlineStr"/>
      <c r="R1962" s="18">
        <f>IF(Q1962="",P1962,Q1962)</f>
        <v/>
      </c>
      <c r="S1962" s="18" t="inlineStr">
        <is>
          <t>#cobblemon:is_sandy; #cobblemon:is_tundra</t>
        </is>
      </c>
      <c r="T1962" s="18" t="inlineStr">
        <is>
          <t>common</t>
        </is>
      </c>
      <c r="U1962" s="20" t="n">
        <v>5.7</v>
      </c>
      <c r="V1962" s="21" t="n">
        <v>1</v>
      </c>
      <c r="W1962" s="20">
        <f>IF(OR(U1962="",V1962=""),U1962,U1962*V1962)</f>
        <v/>
      </c>
      <c r="X1962" s="18" t="inlineStr">
        <is>
          <t>5-30</t>
        </is>
      </c>
      <c r="Y1962" s="19" t="inlineStr"/>
      <c r="Z1962" s="18">
        <f>IF(Y1962="",X1962,Y1962)</f>
        <v/>
      </c>
      <c r="AA1962" s="18" t="inlineStr">
        <is>
          <t>grounded</t>
        </is>
      </c>
      <c r="AB1962" s="18" t="inlineStr"/>
      <c r="AC1962" s="18" t="inlineStr"/>
      <c r="AD1962" s="18" t="inlineStr"/>
      <c r="AE1962" s="18" t="inlineStr">
        <is>
          <t>sky 8-15</t>
        </is>
      </c>
      <c r="AF1962" s="18" t="inlineStr"/>
      <c r="AG1962" s="18" t="inlineStr"/>
      <c r="AH1962" s="18" t="inlineStr"/>
      <c r="AI1962" s="18" t="inlineStr"/>
      <c r="AJ1962" s="18" t="inlineStr">
        <is>
          <t>Cobblemon 동일</t>
        </is>
      </c>
      <c r="AK1962" s="18" t="inlineStr">
        <is>
          <t>사용</t>
        </is>
      </c>
      <c r="AL1962" s="18" t="inlineStr">
        <is>
          <t>COBBLEVERSE 1.7.42 / DP v31</t>
        </is>
      </c>
      <c r="AM1962" s="18" t="inlineStr">
        <is>
          <t>data/cobblemon/spawn_pool_world/0572_minccino.json</t>
        </is>
      </c>
      <c r="AN1962" s="18" t="inlineStr">
        <is>
          <t>minccino-2</t>
        </is>
      </c>
      <c r="AO1962" s="18" t="inlineStr">
        <is>
          <t>pokemon</t>
        </is>
      </c>
      <c r="AP1962" s="18" t="inlineStr">
        <is>
          <t>natural; urban</t>
        </is>
      </c>
      <c r="AQ1962" s="18" t="inlineStr">
        <is>
          <t>{"biomes":["#cobblemon:is_overworld"],"maxSkyLight":15,"minSkyLight":8}</t>
        </is>
      </c>
      <c r="AR1962" s="18" t="inlineStr">
        <is>
          <t>{"biomes":["#cobblemon:is_sandy","#cobblemon:is_tundra"]}</t>
        </is>
      </c>
      <c r="AS1962" s="18" t="inlineStr"/>
      <c r="AT1962" s="19" t="inlineStr"/>
    </row>
    <row r="1963" ht="32" customHeight="1">
      <c r="A1963" s="18" t="inlineStr">
        <is>
          <t>0572_minccino.json::minccino-3::003</t>
        </is>
      </c>
      <c r="B1963" s="19" t="inlineStr">
        <is>
          <t>사용</t>
        </is>
      </c>
      <c r="C1963" s="18">
        <f>IF(OR(B1963&lt;&gt;AK1963,M1963&lt;&gt;L1963,O1963&lt;&gt;"",Q1963&lt;&gt;"",V1963&lt;&gt;1,Y1963&lt;&gt;"",AT1963&lt;&gt;""),"수정","원본")</f>
        <v/>
      </c>
      <c r="D1963" s="18" t="n">
        <v>572</v>
      </c>
      <c r="E1963" s="18" t="inlineStr">
        <is>
          <t>치라미</t>
        </is>
      </c>
      <c r="F1963" s="18" t="inlineStr">
        <is>
          <t>minccino</t>
        </is>
      </c>
      <c r="G1963" s="18" t="inlineStr">
        <is>
          <t>minccino</t>
        </is>
      </c>
      <c r="H1963" s="18" t="inlineStr"/>
      <c r="I1963" s="18" t="n">
        <v>5</v>
      </c>
      <c r="J1963" s="18" t="n"/>
      <c r="K1963" s="18" t="n">
        <v>5</v>
      </c>
      <c r="L1963" s="18" t="inlineStr">
        <is>
          <t>cobbleventure:generation_5</t>
        </is>
      </c>
      <c r="M1963" s="19" t="inlineStr">
        <is>
          <t>cobbleventure:generation_5</t>
        </is>
      </c>
      <c r="N1963" s="18" t="inlineStr">
        <is>
          <t>region_01</t>
        </is>
      </c>
      <c r="O1963" s="19" t="inlineStr"/>
      <c r="P1963" s="18" t="inlineStr">
        <is>
          <t>#cobblemon:is_overworld</t>
        </is>
      </c>
      <c r="Q1963" s="19" t="inlineStr"/>
      <c r="R1963" s="18">
        <f>IF(Q1963="",P1963,Q1963)</f>
        <v/>
      </c>
      <c r="S1963" s="18" t="inlineStr">
        <is>
          <t>#cobblemon:is_sandy; #cobblemon:is_tundra</t>
        </is>
      </c>
      <c r="T1963" s="18" t="inlineStr">
        <is>
          <t>common</t>
        </is>
      </c>
      <c r="U1963" s="20" t="n">
        <v>5.7</v>
      </c>
      <c r="V1963" s="21" t="n">
        <v>1</v>
      </c>
      <c r="W1963" s="20">
        <f>IF(OR(U1963="",V1963=""),U1963,U1963*V1963)</f>
        <v/>
      </c>
      <c r="X1963" s="18" t="inlineStr">
        <is>
          <t>5-30</t>
        </is>
      </c>
      <c r="Y1963" s="19" t="inlineStr"/>
      <c r="Z1963" s="18">
        <f>IF(Y1963="",X1963,Y1963)</f>
        <v/>
      </c>
      <c r="AA1963" s="18" t="inlineStr">
        <is>
          <t>grounded</t>
        </is>
      </c>
      <c r="AB1963" s="18" t="inlineStr"/>
      <c r="AC1963" s="18" t="inlineStr"/>
      <c r="AD1963" s="18" t="inlineStr"/>
      <c r="AE1963" s="18" t="inlineStr">
        <is>
          <t>sky 8-15</t>
        </is>
      </c>
      <c r="AF1963" s="18" t="inlineStr"/>
      <c r="AG1963" s="18" t="inlineStr">
        <is>
          <t>#minecraft:village</t>
        </is>
      </c>
      <c r="AH1963" s="18" t="inlineStr"/>
      <c r="AI1963" s="18" t="inlineStr"/>
      <c r="AJ1963" s="18" t="inlineStr">
        <is>
          <t>Cobblemon 동일</t>
        </is>
      </c>
      <c r="AK1963" s="18" t="inlineStr">
        <is>
          <t>사용</t>
        </is>
      </c>
      <c r="AL1963" s="18" t="inlineStr">
        <is>
          <t>COBBLEVERSE 1.7.42 / DP v31</t>
        </is>
      </c>
      <c r="AM1963" s="18" t="inlineStr">
        <is>
          <t>data/cobblemon/spawn_pool_world/0572_minccino.json</t>
        </is>
      </c>
      <c r="AN1963" s="18" t="inlineStr">
        <is>
          <t>minccino-3</t>
        </is>
      </c>
      <c r="AO1963" s="18" t="inlineStr">
        <is>
          <t>pokemon</t>
        </is>
      </c>
      <c r="AP1963" s="18" t="inlineStr">
        <is>
          <t>natural</t>
        </is>
      </c>
      <c r="AQ1963" s="18" t="inlineStr">
        <is>
          <t>{"biomes":["#cobblemon:is_overworld"],"maxSkyLight":15,"minSkyLight":8,"structures":["#minecraft:village"]}</t>
        </is>
      </c>
      <c r="AR1963" s="18" t="inlineStr">
        <is>
          <t>{"biomes":["#cobblemon:is_sandy","#cobblemon:is_tundra"]}</t>
        </is>
      </c>
      <c r="AS1963" s="18" t="inlineStr"/>
      <c r="AT1963" s="19" t="inlineStr"/>
    </row>
    <row r="1964" ht="32" customHeight="1">
      <c r="A1964" s="18" t="inlineStr">
        <is>
          <t>0572_minccino.json::minccino-4::004</t>
        </is>
      </c>
      <c r="B1964" s="19" t="inlineStr">
        <is>
          <t>사용</t>
        </is>
      </c>
      <c r="C1964" s="18">
        <f>IF(OR(B1964&lt;&gt;AK1964,M1964&lt;&gt;L1964,O1964&lt;&gt;"",Q1964&lt;&gt;"",V1964&lt;&gt;1,Y1964&lt;&gt;"",AT1964&lt;&gt;""),"수정","원본")</f>
        <v/>
      </c>
      <c r="D1964" s="18" t="n">
        <v>572</v>
      </c>
      <c r="E1964" s="18" t="inlineStr">
        <is>
          <t>치라미</t>
        </is>
      </c>
      <c r="F1964" s="18" t="inlineStr">
        <is>
          <t>minccino</t>
        </is>
      </c>
      <c r="G1964" s="18" t="inlineStr">
        <is>
          <t>minccino</t>
        </is>
      </c>
      <c r="H1964" s="18" t="inlineStr"/>
      <c r="I1964" s="18" t="n">
        <v>5</v>
      </c>
      <c r="J1964" s="18" t="n"/>
      <c r="K1964" s="18" t="n">
        <v>5</v>
      </c>
      <c r="L1964" s="18" t="inlineStr">
        <is>
          <t>cobbleventure:generation_5</t>
        </is>
      </c>
      <c r="M1964" s="19" t="inlineStr">
        <is>
          <t>cobbleventure:generation_5</t>
        </is>
      </c>
      <c r="N1964" s="18" t="inlineStr">
        <is>
          <t>region_01; region_02</t>
        </is>
      </c>
      <c r="O1964" s="19" t="inlineStr"/>
      <c r="P1964" s="18" t="inlineStr">
        <is>
          <t>#cobblemon:is_overworld</t>
        </is>
      </c>
      <c r="Q1964" s="19" t="inlineStr"/>
      <c r="R1964" s="18">
        <f>IF(Q1964="",P1964,Q1964)</f>
        <v/>
      </c>
      <c r="S1964" s="18" t="inlineStr"/>
      <c r="T1964" s="18" t="inlineStr">
        <is>
          <t>common</t>
        </is>
      </c>
      <c r="U1964" s="20" t="n">
        <v>9.5</v>
      </c>
      <c r="V1964" s="21" t="n">
        <v>1</v>
      </c>
      <c r="W1964" s="20">
        <f>IF(OR(U1964="",V1964=""),U1964,U1964*V1964)</f>
        <v/>
      </c>
      <c r="X1964" s="18" t="inlineStr">
        <is>
          <t>5-30</t>
        </is>
      </c>
      <c r="Y1964" s="19" t="inlineStr"/>
      <c r="Z1964" s="18">
        <f>IF(Y1964="",X1964,Y1964)</f>
        <v/>
      </c>
      <c r="AA1964" s="18" t="inlineStr">
        <is>
          <t>grounded</t>
        </is>
      </c>
      <c r="AB1964" s="18" t="inlineStr"/>
      <c r="AC1964" s="18" t="inlineStr"/>
      <c r="AD1964" s="18" t="inlineStr"/>
      <c r="AE1964" s="18" t="inlineStr"/>
      <c r="AF1964" s="18" t="inlineStr">
        <is>
          <t>False</t>
        </is>
      </c>
      <c r="AG1964" s="18" t="inlineStr"/>
      <c r="AH1964" s="18" t="inlineStr"/>
      <c r="AI1964" s="18" t="inlineStr"/>
      <c r="AJ1964" s="18" t="inlineStr">
        <is>
          <t>Cobblemon 동일</t>
        </is>
      </c>
      <c r="AK1964" s="18" t="inlineStr">
        <is>
          <t>사용</t>
        </is>
      </c>
      <c r="AL1964" s="18" t="inlineStr">
        <is>
          <t>COBBLEVERSE 1.7.42 / DP v31</t>
        </is>
      </c>
      <c r="AM1964" s="18" t="inlineStr">
        <is>
          <t>data/cobblemon/spawn_pool_world/0572_minccino.json</t>
        </is>
      </c>
      <c r="AN1964" s="18" t="inlineStr">
        <is>
          <t>minccino-4</t>
        </is>
      </c>
      <c r="AO1964" s="18" t="inlineStr">
        <is>
          <t>pokemon</t>
        </is>
      </c>
      <c r="AP1964" s="18" t="inlineStr">
        <is>
          <t>mansion</t>
        </is>
      </c>
      <c r="AQ1964" s="18" t="inlineStr">
        <is>
          <t>{"biomes":["#cobblemon:is_overworld"],"canSeeSky":false}</t>
        </is>
      </c>
      <c r="AR1964" s="18" t="inlineStr"/>
      <c r="AS1964" s="18" t="inlineStr"/>
      <c r="AT1964" s="19" t="inlineStr"/>
    </row>
    <row r="1965" ht="32" customHeight="1">
      <c r="A1965" s="18" t="inlineStr">
        <is>
          <t>0573_cinccino.json::cinccino-1::001</t>
        </is>
      </c>
      <c r="B1965" s="19" t="inlineStr">
        <is>
          <t>사용</t>
        </is>
      </c>
      <c r="C1965" s="18">
        <f>IF(OR(B1965&lt;&gt;AK1965,M1965&lt;&gt;L1965,O1965&lt;&gt;"",Q1965&lt;&gt;"",V1965&lt;&gt;1,Y1965&lt;&gt;"",AT1965&lt;&gt;""),"수정","원본")</f>
        <v/>
      </c>
      <c r="D1965" s="18" t="n">
        <v>573</v>
      </c>
      <c r="E1965" s="18" t="inlineStr">
        <is>
          <t>치라치노</t>
        </is>
      </c>
      <c r="F1965" s="18" t="inlineStr">
        <is>
          <t>cinccino</t>
        </is>
      </c>
      <c r="G1965" s="18" t="inlineStr">
        <is>
          <t>cinccino</t>
        </is>
      </c>
      <c r="H1965" s="18" t="inlineStr"/>
      <c r="I1965" s="18" t="n">
        <v>5</v>
      </c>
      <c r="J1965" s="18" t="n"/>
      <c r="K1965" s="18" t="n">
        <v>5</v>
      </c>
      <c r="L1965" s="18" t="inlineStr">
        <is>
          <t>cobbleventure:generation_5</t>
        </is>
      </c>
      <c r="M1965" s="19" t="inlineStr">
        <is>
          <t>cobbleventure:generation_5</t>
        </is>
      </c>
      <c r="N1965" s="18" t="inlineStr"/>
      <c r="O1965" s="19" t="inlineStr"/>
      <c r="P1965" s="18" t="inlineStr">
        <is>
          <t>#cobblemon:is_magical</t>
        </is>
      </c>
      <c r="Q1965" s="19" t="inlineStr"/>
      <c r="R1965" s="18">
        <f>IF(Q1965="",P1965,Q1965)</f>
        <v/>
      </c>
      <c r="S1965" s="18" t="inlineStr"/>
      <c r="T1965" s="18" t="inlineStr">
        <is>
          <t>common</t>
        </is>
      </c>
      <c r="U1965" s="20" t="n">
        <v>0.1</v>
      </c>
      <c r="V1965" s="21" t="n">
        <v>1</v>
      </c>
      <c r="W1965" s="20">
        <f>IF(OR(U1965="",V1965=""),U1965,U1965*V1965)</f>
        <v/>
      </c>
      <c r="X1965" s="18" t="inlineStr">
        <is>
          <t>25-47</t>
        </is>
      </c>
      <c r="Y1965" s="19" t="inlineStr"/>
      <c r="Z1965" s="18">
        <f>IF(Y1965="",X1965,Y1965)</f>
        <v/>
      </c>
      <c r="AA1965" s="18" t="inlineStr">
        <is>
          <t>grounded</t>
        </is>
      </c>
      <c r="AB1965" s="18" t="inlineStr"/>
      <c r="AC1965" s="18" t="inlineStr"/>
      <c r="AD1965" s="18" t="inlineStr"/>
      <c r="AE1965" s="18" t="inlineStr">
        <is>
          <t>sky 8-15</t>
        </is>
      </c>
      <c r="AF1965" s="18" t="inlineStr"/>
      <c r="AG1965" s="18" t="inlineStr"/>
      <c r="AH1965" s="18" t="inlineStr"/>
      <c r="AI1965" s="18" t="inlineStr"/>
      <c r="AJ1965" s="18" t="inlineStr">
        <is>
          <t>Cobblemon 동일</t>
        </is>
      </c>
      <c r="AK1965" s="18" t="inlineStr">
        <is>
          <t>사용</t>
        </is>
      </c>
      <c r="AL1965" s="18" t="inlineStr">
        <is>
          <t>COBBLEVERSE 1.7.42 / DP v31</t>
        </is>
      </c>
      <c r="AM1965" s="18" t="inlineStr">
        <is>
          <t>data/cobblemon/spawn_pool_world/0573_cinccino.json</t>
        </is>
      </c>
      <c r="AN1965" s="18" t="inlineStr">
        <is>
          <t>cinccino-1</t>
        </is>
      </c>
      <c r="AO1965" s="18" t="inlineStr">
        <is>
          <t>pokemon</t>
        </is>
      </c>
      <c r="AP1965" s="18" t="inlineStr">
        <is>
          <t>natural</t>
        </is>
      </c>
      <c r="AQ1965" s="18" t="inlineStr">
        <is>
          <t>{"biomes":["#cobblemon:is_magical"],"maxSkyLight":15,"minSkyLight":8}</t>
        </is>
      </c>
      <c r="AR1965" s="18" t="inlineStr"/>
      <c r="AS1965" s="18" t="inlineStr"/>
      <c r="AT1965" s="19" t="inlineStr"/>
    </row>
    <row r="1966" ht="32" customHeight="1">
      <c r="A1966" s="18" t="inlineStr">
        <is>
          <t>0573_cinccino.json::cinccino-2::002</t>
        </is>
      </c>
      <c r="B1966" s="19" t="inlineStr">
        <is>
          <t>사용</t>
        </is>
      </c>
      <c r="C1966" s="18">
        <f>IF(OR(B1966&lt;&gt;AK1966,M1966&lt;&gt;L1966,O1966&lt;&gt;"",Q1966&lt;&gt;"",V1966&lt;&gt;1,Y1966&lt;&gt;"",AT1966&lt;&gt;""),"수정","원본")</f>
        <v/>
      </c>
      <c r="D1966" s="18" t="n">
        <v>573</v>
      </c>
      <c r="E1966" s="18" t="inlineStr">
        <is>
          <t>치라치노</t>
        </is>
      </c>
      <c r="F1966" s="18" t="inlineStr">
        <is>
          <t>cinccino</t>
        </is>
      </c>
      <c r="G1966" s="18" t="inlineStr">
        <is>
          <t>cinccino</t>
        </is>
      </c>
      <c r="H1966" s="18" t="inlineStr"/>
      <c r="I1966" s="18" t="n">
        <v>5</v>
      </c>
      <c r="J1966" s="18" t="n"/>
      <c r="K1966" s="18" t="n">
        <v>5</v>
      </c>
      <c r="L1966" s="18" t="inlineStr">
        <is>
          <t>cobbleventure:generation_5</t>
        </is>
      </c>
      <c r="M1966" s="19" t="inlineStr">
        <is>
          <t>cobbleventure:generation_5</t>
        </is>
      </c>
      <c r="N1966" s="18" t="inlineStr">
        <is>
          <t>region_01</t>
        </is>
      </c>
      <c r="O1966" s="19" t="inlineStr"/>
      <c r="P1966" s="18" t="inlineStr">
        <is>
          <t>#cobblemon:is_overworld</t>
        </is>
      </c>
      <c r="Q1966" s="19" t="inlineStr"/>
      <c r="R1966" s="18">
        <f>IF(Q1966="",P1966,Q1966)</f>
        <v/>
      </c>
      <c r="S1966" s="18" t="inlineStr">
        <is>
          <t>#cobblemon:is_sandy; #cobblemon:is_tundra</t>
        </is>
      </c>
      <c r="T1966" s="18" t="inlineStr">
        <is>
          <t>common</t>
        </is>
      </c>
      <c r="U1966" s="20" t="n">
        <v>0.3</v>
      </c>
      <c r="V1966" s="21" t="n">
        <v>1</v>
      </c>
      <c r="W1966" s="20">
        <f>IF(OR(U1966="",V1966=""),U1966,U1966*V1966)</f>
        <v/>
      </c>
      <c r="X1966" s="18" t="inlineStr">
        <is>
          <t>25-47</t>
        </is>
      </c>
      <c r="Y1966" s="19" t="inlineStr"/>
      <c r="Z1966" s="18">
        <f>IF(Y1966="",X1966,Y1966)</f>
        <v/>
      </c>
      <c r="AA1966" s="18" t="inlineStr">
        <is>
          <t>grounded</t>
        </is>
      </c>
      <c r="AB1966" s="18" t="inlineStr"/>
      <c r="AC1966" s="18" t="inlineStr"/>
      <c r="AD1966" s="18" t="inlineStr"/>
      <c r="AE1966" s="18" t="inlineStr">
        <is>
          <t>sky 8-15</t>
        </is>
      </c>
      <c r="AF1966" s="18" t="inlineStr"/>
      <c r="AG1966" s="18" t="inlineStr"/>
      <c r="AH1966" s="18" t="inlineStr"/>
      <c r="AI1966" s="18" t="inlineStr"/>
      <c r="AJ1966" s="18" t="inlineStr">
        <is>
          <t>Cobblemon 동일</t>
        </is>
      </c>
      <c r="AK1966" s="18" t="inlineStr">
        <is>
          <t>사용</t>
        </is>
      </c>
      <c r="AL1966" s="18" t="inlineStr">
        <is>
          <t>COBBLEVERSE 1.7.42 / DP v31</t>
        </is>
      </c>
      <c r="AM1966" s="18" t="inlineStr">
        <is>
          <t>data/cobblemon/spawn_pool_world/0573_cinccino.json</t>
        </is>
      </c>
      <c r="AN1966" s="18" t="inlineStr">
        <is>
          <t>cinccino-2</t>
        </is>
      </c>
      <c r="AO1966" s="18" t="inlineStr">
        <is>
          <t>pokemon</t>
        </is>
      </c>
      <c r="AP1966" s="18" t="inlineStr">
        <is>
          <t>natural; urban</t>
        </is>
      </c>
      <c r="AQ1966" s="18" t="inlineStr">
        <is>
          <t>{"biomes":["#cobblemon:is_overworld"],"maxSkyLight":15,"minSkyLight":8}</t>
        </is>
      </c>
      <c r="AR1966" s="18" t="inlineStr">
        <is>
          <t>{"biomes":["#cobblemon:is_sandy","#cobblemon:is_tundra"]}</t>
        </is>
      </c>
      <c r="AS1966" s="18" t="inlineStr"/>
      <c r="AT1966" s="19" t="inlineStr"/>
    </row>
    <row r="1967" ht="32" customHeight="1">
      <c r="A1967" s="18" t="inlineStr">
        <is>
          <t>0573_cinccino.json::cinccino-3::003</t>
        </is>
      </c>
      <c r="B1967" s="19" t="inlineStr">
        <is>
          <t>사용</t>
        </is>
      </c>
      <c r="C1967" s="18">
        <f>IF(OR(B1967&lt;&gt;AK1967,M1967&lt;&gt;L1967,O1967&lt;&gt;"",Q1967&lt;&gt;"",V1967&lt;&gt;1,Y1967&lt;&gt;"",AT1967&lt;&gt;""),"수정","원본")</f>
        <v/>
      </c>
      <c r="D1967" s="18" t="n">
        <v>573</v>
      </c>
      <c r="E1967" s="18" t="inlineStr">
        <is>
          <t>치라치노</t>
        </is>
      </c>
      <c r="F1967" s="18" t="inlineStr">
        <is>
          <t>cinccino</t>
        </is>
      </c>
      <c r="G1967" s="18" t="inlineStr">
        <is>
          <t>cinccino</t>
        </is>
      </c>
      <c r="H1967" s="18" t="inlineStr"/>
      <c r="I1967" s="18" t="n">
        <v>5</v>
      </c>
      <c r="J1967" s="18" t="n"/>
      <c r="K1967" s="18" t="n">
        <v>5</v>
      </c>
      <c r="L1967" s="18" t="inlineStr">
        <is>
          <t>cobbleventure:generation_5</t>
        </is>
      </c>
      <c r="M1967" s="19" t="inlineStr">
        <is>
          <t>cobbleventure:generation_5</t>
        </is>
      </c>
      <c r="N1967" s="18" t="inlineStr">
        <is>
          <t>region_01</t>
        </is>
      </c>
      <c r="O1967" s="19" t="inlineStr"/>
      <c r="P1967" s="18" t="inlineStr">
        <is>
          <t>#cobblemon:is_overworld</t>
        </is>
      </c>
      <c r="Q1967" s="19" t="inlineStr"/>
      <c r="R1967" s="18">
        <f>IF(Q1967="",P1967,Q1967)</f>
        <v/>
      </c>
      <c r="S1967" s="18" t="inlineStr">
        <is>
          <t>#cobblemon:is_sandy; #cobblemon:is_tundra</t>
        </is>
      </c>
      <c r="T1967" s="18" t="inlineStr">
        <is>
          <t>common</t>
        </is>
      </c>
      <c r="U1967" s="20" t="n">
        <v>0.3</v>
      </c>
      <c r="V1967" s="21" t="n">
        <v>1</v>
      </c>
      <c r="W1967" s="20">
        <f>IF(OR(U1967="",V1967=""),U1967,U1967*V1967)</f>
        <v/>
      </c>
      <c r="X1967" s="18" t="inlineStr">
        <is>
          <t>25-47</t>
        </is>
      </c>
      <c r="Y1967" s="19" t="inlineStr"/>
      <c r="Z1967" s="18">
        <f>IF(Y1967="",X1967,Y1967)</f>
        <v/>
      </c>
      <c r="AA1967" s="18" t="inlineStr">
        <is>
          <t>grounded</t>
        </is>
      </c>
      <c r="AB1967" s="18" t="inlineStr"/>
      <c r="AC1967" s="18" t="inlineStr"/>
      <c r="AD1967" s="18" t="inlineStr"/>
      <c r="AE1967" s="18" t="inlineStr">
        <is>
          <t>sky 8-15</t>
        </is>
      </c>
      <c r="AF1967" s="18" t="inlineStr"/>
      <c r="AG1967" s="18" t="inlineStr">
        <is>
          <t>#minecraft:village</t>
        </is>
      </c>
      <c r="AH1967" s="18" t="inlineStr"/>
      <c r="AI1967" s="18" t="inlineStr"/>
      <c r="AJ1967" s="18" t="inlineStr">
        <is>
          <t>Cobblemon 동일</t>
        </is>
      </c>
      <c r="AK1967" s="18" t="inlineStr">
        <is>
          <t>사용</t>
        </is>
      </c>
      <c r="AL1967" s="18" t="inlineStr">
        <is>
          <t>COBBLEVERSE 1.7.42 / DP v31</t>
        </is>
      </c>
      <c r="AM1967" s="18" t="inlineStr">
        <is>
          <t>data/cobblemon/spawn_pool_world/0573_cinccino.json</t>
        </is>
      </c>
      <c r="AN1967" s="18" t="inlineStr">
        <is>
          <t>cinccino-3</t>
        </is>
      </c>
      <c r="AO1967" s="18" t="inlineStr">
        <is>
          <t>pokemon</t>
        </is>
      </c>
      <c r="AP1967" s="18" t="inlineStr">
        <is>
          <t>natural</t>
        </is>
      </c>
      <c r="AQ1967" s="18" t="inlineStr">
        <is>
          <t>{"biomes":["#cobblemon:is_overworld"],"maxSkyLight":15,"minSkyLight":8,"structures":["#minecraft:village"]}</t>
        </is>
      </c>
      <c r="AR1967" s="18" t="inlineStr">
        <is>
          <t>{"biomes":["#cobblemon:is_sandy","#cobblemon:is_tundra"]}</t>
        </is>
      </c>
      <c r="AS1967" s="18" t="inlineStr"/>
      <c r="AT1967" s="19" t="inlineStr"/>
    </row>
    <row r="1968" ht="32" customHeight="1">
      <c r="A1968" s="18" t="inlineStr">
        <is>
          <t>0573_cinccino.json::cinccino-4::004</t>
        </is>
      </c>
      <c r="B1968" s="19" t="inlineStr">
        <is>
          <t>사용</t>
        </is>
      </c>
      <c r="C1968" s="18">
        <f>IF(OR(B1968&lt;&gt;AK1968,M1968&lt;&gt;L1968,O1968&lt;&gt;"",Q1968&lt;&gt;"",V1968&lt;&gt;1,Y1968&lt;&gt;"",AT1968&lt;&gt;""),"수정","원본")</f>
        <v/>
      </c>
      <c r="D1968" s="18" t="n">
        <v>573</v>
      </c>
      <c r="E1968" s="18" t="inlineStr">
        <is>
          <t>치라치노</t>
        </is>
      </c>
      <c r="F1968" s="18" t="inlineStr">
        <is>
          <t>cinccino</t>
        </is>
      </c>
      <c r="G1968" s="18" t="inlineStr">
        <is>
          <t>cinccino</t>
        </is>
      </c>
      <c r="H1968" s="18" t="inlineStr"/>
      <c r="I1968" s="18" t="n">
        <v>5</v>
      </c>
      <c r="J1968" s="18" t="n"/>
      <c r="K1968" s="18" t="n">
        <v>5</v>
      </c>
      <c r="L1968" s="18" t="inlineStr">
        <is>
          <t>cobbleventure:generation_5</t>
        </is>
      </c>
      <c r="M1968" s="19" t="inlineStr">
        <is>
          <t>cobbleventure:generation_5</t>
        </is>
      </c>
      <c r="N1968" s="18" t="inlineStr">
        <is>
          <t>region_01; region_02</t>
        </is>
      </c>
      <c r="O1968" s="19" t="inlineStr"/>
      <c r="P1968" s="18" t="inlineStr">
        <is>
          <t>#cobblemon:is_overworld</t>
        </is>
      </c>
      <c r="Q1968" s="19" t="inlineStr"/>
      <c r="R1968" s="18">
        <f>IF(Q1968="",P1968,Q1968)</f>
        <v/>
      </c>
      <c r="S1968" s="18" t="inlineStr"/>
      <c r="T1968" s="18" t="inlineStr">
        <is>
          <t>common</t>
        </is>
      </c>
      <c r="U1968" s="20" t="n">
        <v>0.5</v>
      </c>
      <c r="V1968" s="21" t="n">
        <v>1</v>
      </c>
      <c r="W1968" s="20">
        <f>IF(OR(U1968="",V1968=""),U1968,U1968*V1968)</f>
        <v/>
      </c>
      <c r="X1968" s="18" t="inlineStr">
        <is>
          <t>25-47</t>
        </is>
      </c>
      <c r="Y1968" s="19" t="inlineStr"/>
      <c r="Z1968" s="18">
        <f>IF(Y1968="",X1968,Y1968)</f>
        <v/>
      </c>
      <c r="AA1968" s="18" t="inlineStr">
        <is>
          <t>grounded</t>
        </is>
      </c>
      <c r="AB1968" s="18" t="inlineStr"/>
      <c r="AC1968" s="18" t="inlineStr"/>
      <c r="AD1968" s="18" t="inlineStr"/>
      <c r="AE1968" s="18" t="inlineStr"/>
      <c r="AF1968" s="18" t="inlineStr">
        <is>
          <t>False</t>
        </is>
      </c>
      <c r="AG1968" s="18" t="inlineStr"/>
      <c r="AH1968" s="18" t="inlineStr"/>
      <c r="AI1968" s="18" t="inlineStr"/>
      <c r="AJ1968" s="18" t="inlineStr">
        <is>
          <t>Cobblemon 동일</t>
        </is>
      </c>
      <c r="AK1968" s="18" t="inlineStr">
        <is>
          <t>사용</t>
        </is>
      </c>
      <c r="AL1968" s="18" t="inlineStr">
        <is>
          <t>COBBLEVERSE 1.7.42 / DP v31</t>
        </is>
      </c>
      <c r="AM1968" s="18" t="inlineStr">
        <is>
          <t>data/cobblemon/spawn_pool_world/0573_cinccino.json</t>
        </is>
      </c>
      <c r="AN1968" s="18" t="inlineStr">
        <is>
          <t>cinccino-4</t>
        </is>
      </c>
      <c r="AO1968" s="18" t="inlineStr">
        <is>
          <t>pokemon</t>
        </is>
      </c>
      <c r="AP1968" s="18" t="inlineStr">
        <is>
          <t>mansion</t>
        </is>
      </c>
      <c r="AQ1968" s="18" t="inlineStr">
        <is>
          <t>{"biomes":["#cobblemon:is_overworld"],"canSeeSky":false}</t>
        </is>
      </c>
      <c r="AR1968" s="18" t="inlineStr"/>
      <c r="AS1968" s="18" t="inlineStr"/>
      <c r="AT1968" s="19" t="inlineStr"/>
    </row>
    <row r="1969" ht="32" customHeight="1">
      <c r="A1969" s="18" t="inlineStr">
        <is>
          <t>0574_gothita.json::gothita-1::001</t>
        </is>
      </c>
      <c r="B1969" s="19" t="inlineStr">
        <is>
          <t>사용</t>
        </is>
      </c>
      <c r="C1969" s="18">
        <f>IF(OR(B1969&lt;&gt;AK1969,M1969&lt;&gt;L1969,O1969&lt;&gt;"",Q1969&lt;&gt;"",V1969&lt;&gt;1,Y1969&lt;&gt;"",AT1969&lt;&gt;""),"수정","원본")</f>
        <v/>
      </c>
      <c r="D1969" s="18" t="n">
        <v>574</v>
      </c>
      <c r="E1969" s="18" t="inlineStr">
        <is>
          <t>고디탱</t>
        </is>
      </c>
      <c r="F1969" s="18" t="inlineStr">
        <is>
          <t>gothita</t>
        </is>
      </c>
      <c r="G1969" s="18" t="inlineStr">
        <is>
          <t>gothita</t>
        </is>
      </c>
      <c r="H1969" s="18" t="inlineStr"/>
      <c r="I1969" s="18" t="n">
        <v>5</v>
      </c>
      <c r="J1969" s="18" t="n"/>
      <c r="K1969" s="18" t="n">
        <v>5</v>
      </c>
      <c r="L1969" s="18" t="inlineStr">
        <is>
          <t>cobbleventure:generation_5</t>
        </is>
      </c>
      <c r="M1969" s="19" t="inlineStr">
        <is>
          <t>cobbleventure:generation_5</t>
        </is>
      </c>
      <c r="N1969" s="18" t="inlineStr">
        <is>
          <t>region_01; region_02</t>
        </is>
      </c>
      <c r="O1969" s="19" t="inlineStr"/>
      <c r="P1969" s="18" t="inlineStr">
        <is>
          <t>#cobblemon:is_overworld</t>
        </is>
      </c>
      <c r="Q1969" s="19" t="inlineStr"/>
      <c r="R1969" s="18">
        <f>IF(Q1969="",P1969,Q1969)</f>
        <v/>
      </c>
      <c r="S1969" s="18" t="inlineStr"/>
      <c r="T1969" s="18" t="inlineStr">
        <is>
          <t>common</t>
        </is>
      </c>
      <c r="U1969" s="20" t="n">
        <v>5.4</v>
      </c>
      <c r="V1969" s="21" t="n">
        <v>1</v>
      </c>
      <c r="W1969" s="20">
        <f>IF(OR(U1969="",V1969=""),U1969,U1969*V1969)</f>
        <v/>
      </c>
      <c r="X1969" s="18" t="inlineStr">
        <is>
          <t>4-29</t>
        </is>
      </c>
      <c r="Y1969" s="19" t="inlineStr"/>
      <c r="Z1969" s="18">
        <f>IF(Y1969="",X1969,Y1969)</f>
        <v/>
      </c>
      <c r="AA1969" s="18" t="inlineStr">
        <is>
          <t>grounded</t>
        </is>
      </c>
      <c r="AB1969" s="18" t="inlineStr"/>
      <c r="AC1969" s="18" t="inlineStr"/>
      <c r="AD1969" s="18" t="inlineStr"/>
      <c r="AE1969" s="18" t="inlineStr"/>
      <c r="AF1969" s="18" t="inlineStr">
        <is>
          <t>False</t>
        </is>
      </c>
      <c r="AG1969" s="18" t="inlineStr"/>
      <c r="AH1969" s="18" t="inlineStr"/>
      <c r="AI1969" s="18" t="inlineStr"/>
      <c r="AJ1969" s="18" t="inlineStr">
        <is>
          <t>Cobblemon 동일</t>
        </is>
      </c>
      <c r="AK1969" s="18" t="inlineStr">
        <is>
          <t>사용</t>
        </is>
      </c>
      <c r="AL1969" s="18" t="inlineStr">
        <is>
          <t>COBBLEVERSE 1.7.42 / DP v31</t>
        </is>
      </c>
      <c r="AM1969" s="18" t="inlineStr">
        <is>
          <t>data/cobblemon/spawn_pool_world/0574_gothita.json</t>
        </is>
      </c>
      <c r="AN1969" s="18" t="inlineStr">
        <is>
          <t>gothita-1</t>
        </is>
      </c>
      <c r="AO1969" s="18" t="inlineStr">
        <is>
          <t>pokemon</t>
        </is>
      </c>
      <c r="AP1969" s="18" t="inlineStr">
        <is>
          <t>mansion</t>
        </is>
      </c>
      <c r="AQ1969" s="18" t="inlineStr">
        <is>
          <t>{"biomes":["#cobblemon:is_overworld"],"canSeeSky":false}</t>
        </is>
      </c>
      <c r="AR1969" s="18" t="inlineStr"/>
      <c r="AS1969" s="18" t="inlineStr"/>
      <c r="AT1969" s="19" t="inlineStr"/>
    </row>
    <row r="1970" ht="32" customHeight="1">
      <c r="A1970" s="18" t="inlineStr">
        <is>
          <t>0574_gothita.json::gothita-2::002</t>
        </is>
      </c>
      <c r="B1970" s="19" t="inlineStr">
        <is>
          <t>사용</t>
        </is>
      </c>
      <c r="C1970" s="18">
        <f>IF(OR(B1970&lt;&gt;AK1970,M1970&lt;&gt;L1970,O1970&lt;&gt;"",Q1970&lt;&gt;"",V1970&lt;&gt;1,Y1970&lt;&gt;"",AT1970&lt;&gt;""),"수정","원본")</f>
        <v/>
      </c>
      <c r="D1970" s="18" t="n">
        <v>574</v>
      </c>
      <c r="E1970" s="18" t="inlineStr">
        <is>
          <t>고디탱</t>
        </is>
      </c>
      <c r="F1970" s="18" t="inlineStr">
        <is>
          <t>gothita</t>
        </is>
      </c>
      <c r="G1970" s="18" t="inlineStr">
        <is>
          <t>gothita</t>
        </is>
      </c>
      <c r="H1970" s="18" t="inlineStr"/>
      <c r="I1970" s="18" t="n">
        <v>5</v>
      </c>
      <c r="J1970" s="18" t="n"/>
      <c r="K1970" s="18" t="n">
        <v>5</v>
      </c>
      <c r="L1970" s="18" t="inlineStr">
        <is>
          <t>cobbleventure:generation_5</t>
        </is>
      </c>
      <c r="M1970" s="19" t="inlineStr">
        <is>
          <t>cobbleventure:generation_5</t>
        </is>
      </c>
      <c r="N1970" s="18" t="inlineStr"/>
      <c r="O1970" s="19" t="inlineStr"/>
      <c r="P1970" s="18" t="inlineStr">
        <is>
          <t>#cobblemon:is_end</t>
        </is>
      </c>
      <c r="Q1970" s="19" t="inlineStr"/>
      <c r="R1970" s="18">
        <f>IF(Q1970="",P1970,Q1970)</f>
        <v/>
      </c>
      <c r="S1970" s="18" t="inlineStr"/>
      <c r="T1970" s="18" t="inlineStr">
        <is>
          <t>uncommon</t>
        </is>
      </c>
      <c r="U1970" s="20" t="n">
        <v>8.4</v>
      </c>
      <c r="V1970" s="21" t="n">
        <v>1</v>
      </c>
      <c r="W1970" s="20">
        <f>IF(OR(U1970="",V1970=""),U1970,U1970*V1970)</f>
        <v/>
      </c>
      <c r="X1970" s="18" t="inlineStr">
        <is>
          <t>4-29</t>
        </is>
      </c>
      <c r="Y1970" s="19" t="inlineStr"/>
      <c r="Z1970" s="18">
        <f>IF(Y1970="",X1970,Y1970)</f>
        <v/>
      </c>
      <c r="AA1970" s="18" t="inlineStr">
        <is>
          <t>grounded</t>
        </is>
      </c>
      <c r="AB1970" s="18" t="inlineStr"/>
      <c r="AC1970" s="18" t="inlineStr"/>
      <c r="AD1970" s="18" t="inlineStr"/>
      <c r="AE1970" s="18" t="inlineStr"/>
      <c r="AF1970" s="18" t="inlineStr"/>
      <c r="AG1970" s="18" t="inlineStr"/>
      <c r="AH1970" s="18" t="inlineStr"/>
      <c r="AI1970" s="18" t="inlineStr"/>
      <c r="AJ1970" s="18" t="inlineStr">
        <is>
          <t>Cobblemon 동일</t>
        </is>
      </c>
      <c r="AK1970" s="18" t="inlineStr">
        <is>
          <t>사용</t>
        </is>
      </c>
      <c r="AL1970" s="18" t="inlineStr">
        <is>
          <t>COBBLEVERSE 1.7.42 / DP v31</t>
        </is>
      </c>
      <c r="AM1970" s="18" t="inlineStr">
        <is>
          <t>data/cobblemon/spawn_pool_world/0574_gothita.json</t>
        </is>
      </c>
      <c r="AN1970" s="18" t="inlineStr">
        <is>
          <t>gothita-2</t>
        </is>
      </c>
      <c r="AO1970" s="18" t="inlineStr">
        <is>
          <t>pokemon</t>
        </is>
      </c>
      <c r="AP1970" s="18" t="inlineStr">
        <is>
          <t>end_city</t>
        </is>
      </c>
      <c r="AQ1970" s="18" t="inlineStr">
        <is>
          <t>{"biomes":["#cobblemon:is_end"]}</t>
        </is>
      </c>
      <c r="AR1970" s="18" t="inlineStr"/>
      <c r="AS1970" s="18" t="inlineStr"/>
      <c r="AT1970" s="19" t="inlineStr"/>
    </row>
    <row r="1971" ht="32" customHeight="1">
      <c r="A1971" s="18" t="inlineStr">
        <is>
          <t>0575_gothorita.json::gothorita-1::001</t>
        </is>
      </c>
      <c r="B1971" s="19" t="inlineStr">
        <is>
          <t>사용</t>
        </is>
      </c>
      <c r="C1971" s="18">
        <f>IF(OR(B1971&lt;&gt;AK1971,M1971&lt;&gt;L1971,O1971&lt;&gt;"",Q1971&lt;&gt;"",V1971&lt;&gt;1,Y1971&lt;&gt;"",AT1971&lt;&gt;""),"수정","원본")</f>
        <v/>
      </c>
      <c r="D1971" s="18" t="n">
        <v>575</v>
      </c>
      <c r="E1971" s="18" t="inlineStr">
        <is>
          <t>고디보미</t>
        </is>
      </c>
      <c r="F1971" s="18" t="inlineStr">
        <is>
          <t>gothorita</t>
        </is>
      </c>
      <c r="G1971" s="18" t="inlineStr">
        <is>
          <t>gothorita</t>
        </is>
      </c>
      <c r="H1971" s="18" t="inlineStr"/>
      <c r="I1971" s="18" t="n">
        <v>5</v>
      </c>
      <c r="J1971" s="18" t="n"/>
      <c r="K1971" s="18" t="n">
        <v>5</v>
      </c>
      <c r="L1971" s="18" t="inlineStr">
        <is>
          <t>cobbleventure:generation_5</t>
        </is>
      </c>
      <c r="M1971" s="19" t="inlineStr">
        <is>
          <t>cobbleventure:generation_5</t>
        </is>
      </c>
      <c r="N1971" s="18" t="inlineStr">
        <is>
          <t>region_01; region_02</t>
        </is>
      </c>
      <c r="O1971" s="19" t="inlineStr"/>
      <c r="P1971" s="18" t="inlineStr">
        <is>
          <t>#cobblemon:is_overworld</t>
        </is>
      </c>
      <c r="Q1971" s="19" t="inlineStr"/>
      <c r="R1971" s="18">
        <f>IF(Q1971="",P1971,Q1971)</f>
        <v/>
      </c>
      <c r="S1971" s="18" t="inlineStr"/>
      <c r="T1971" s="18" t="inlineStr">
        <is>
          <t>common</t>
        </is>
      </c>
      <c r="U1971" s="20" t="n">
        <v>0.54</v>
      </c>
      <c r="V1971" s="21" t="n">
        <v>1</v>
      </c>
      <c r="W1971" s="20">
        <f>IF(OR(U1971="",V1971=""),U1971,U1971*V1971)</f>
        <v/>
      </c>
      <c r="X1971" s="18" t="inlineStr">
        <is>
          <t>32-39</t>
        </is>
      </c>
      <c r="Y1971" s="19" t="inlineStr"/>
      <c r="Z1971" s="18">
        <f>IF(Y1971="",X1971,Y1971)</f>
        <v/>
      </c>
      <c r="AA1971" s="18" t="inlineStr">
        <is>
          <t>grounded</t>
        </is>
      </c>
      <c r="AB1971" s="18" t="inlineStr"/>
      <c r="AC1971" s="18" t="inlineStr"/>
      <c r="AD1971" s="18" t="inlineStr"/>
      <c r="AE1971" s="18" t="inlineStr"/>
      <c r="AF1971" s="18" t="inlineStr">
        <is>
          <t>False</t>
        </is>
      </c>
      <c r="AG1971" s="18" t="inlineStr"/>
      <c r="AH1971" s="18" t="inlineStr"/>
      <c r="AI1971" s="18" t="inlineStr"/>
      <c r="AJ1971" s="18" t="inlineStr">
        <is>
          <t>Cobblemon 동일</t>
        </is>
      </c>
      <c r="AK1971" s="18" t="inlineStr">
        <is>
          <t>사용</t>
        </is>
      </c>
      <c r="AL1971" s="18" t="inlineStr">
        <is>
          <t>COBBLEVERSE 1.7.42 / DP v31</t>
        </is>
      </c>
      <c r="AM1971" s="18" t="inlineStr">
        <is>
          <t>data/cobblemon/spawn_pool_world/0575_gothorita.json</t>
        </is>
      </c>
      <c r="AN1971" s="18" t="inlineStr">
        <is>
          <t>gothorita-1</t>
        </is>
      </c>
      <c r="AO1971" s="18" t="inlineStr">
        <is>
          <t>pokemon</t>
        </is>
      </c>
      <c r="AP1971" s="18" t="inlineStr">
        <is>
          <t>mansion</t>
        </is>
      </c>
      <c r="AQ1971" s="18" t="inlineStr">
        <is>
          <t>{"biomes":["#cobblemon:is_overworld"],"canSeeSky":false}</t>
        </is>
      </c>
      <c r="AR1971" s="18" t="inlineStr"/>
      <c r="AS1971" s="18" t="inlineStr"/>
      <c r="AT1971" s="19" t="inlineStr"/>
    </row>
    <row r="1972" ht="32" customHeight="1">
      <c r="A1972" s="18" t="inlineStr">
        <is>
          <t>0575_gothorita.json::gothorita-2::002</t>
        </is>
      </c>
      <c r="B1972" s="19" t="inlineStr">
        <is>
          <t>사용</t>
        </is>
      </c>
      <c r="C1972" s="18">
        <f>IF(OR(B1972&lt;&gt;AK1972,M1972&lt;&gt;L1972,O1972&lt;&gt;"",Q1972&lt;&gt;"",V1972&lt;&gt;1,Y1972&lt;&gt;"",AT1972&lt;&gt;""),"수정","원본")</f>
        <v/>
      </c>
      <c r="D1972" s="18" t="n">
        <v>575</v>
      </c>
      <c r="E1972" s="18" t="inlineStr">
        <is>
          <t>고디보미</t>
        </is>
      </c>
      <c r="F1972" s="18" t="inlineStr">
        <is>
          <t>gothorita</t>
        </is>
      </c>
      <c r="G1972" s="18" t="inlineStr">
        <is>
          <t>gothorita</t>
        </is>
      </c>
      <c r="H1972" s="18" t="inlineStr"/>
      <c r="I1972" s="18" t="n">
        <v>5</v>
      </c>
      <c r="J1972" s="18" t="n"/>
      <c r="K1972" s="18" t="n">
        <v>5</v>
      </c>
      <c r="L1972" s="18" t="inlineStr">
        <is>
          <t>cobbleventure:generation_5</t>
        </is>
      </c>
      <c r="M1972" s="19" t="inlineStr">
        <is>
          <t>cobbleventure:generation_5</t>
        </is>
      </c>
      <c r="N1972" s="18" t="inlineStr"/>
      <c r="O1972" s="19" t="inlineStr"/>
      <c r="P1972" s="18" t="inlineStr">
        <is>
          <t>#cobblemon:is_end</t>
        </is>
      </c>
      <c r="Q1972" s="19" t="inlineStr"/>
      <c r="R1972" s="18">
        <f>IF(Q1972="",P1972,Q1972)</f>
        <v/>
      </c>
      <c r="S1972" s="18" t="inlineStr"/>
      <c r="T1972" s="18" t="inlineStr">
        <is>
          <t>uncommon</t>
        </is>
      </c>
      <c r="U1972" s="20" t="n">
        <v>1.44</v>
      </c>
      <c r="V1972" s="21" t="n">
        <v>1</v>
      </c>
      <c r="W1972" s="20">
        <f>IF(OR(U1972="",V1972=""),U1972,U1972*V1972)</f>
        <v/>
      </c>
      <c r="X1972" s="18" t="inlineStr">
        <is>
          <t>32-39</t>
        </is>
      </c>
      <c r="Y1972" s="19" t="inlineStr"/>
      <c r="Z1972" s="18">
        <f>IF(Y1972="",X1972,Y1972)</f>
        <v/>
      </c>
      <c r="AA1972" s="18" t="inlineStr">
        <is>
          <t>grounded</t>
        </is>
      </c>
      <c r="AB1972" s="18" t="inlineStr"/>
      <c r="AC1972" s="18" t="inlineStr"/>
      <c r="AD1972" s="18" t="inlineStr"/>
      <c r="AE1972" s="18" t="inlineStr"/>
      <c r="AF1972" s="18" t="inlineStr"/>
      <c r="AG1972" s="18" t="inlineStr"/>
      <c r="AH1972" s="18" t="inlineStr"/>
      <c r="AI1972" s="18" t="inlineStr"/>
      <c r="AJ1972" s="18" t="inlineStr">
        <is>
          <t>Cobblemon 동일</t>
        </is>
      </c>
      <c r="AK1972" s="18" t="inlineStr">
        <is>
          <t>사용</t>
        </is>
      </c>
      <c r="AL1972" s="18" t="inlineStr">
        <is>
          <t>COBBLEVERSE 1.7.42 / DP v31</t>
        </is>
      </c>
      <c r="AM1972" s="18" t="inlineStr">
        <is>
          <t>data/cobblemon/spawn_pool_world/0575_gothorita.json</t>
        </is>
      </c>
      <c r="AN1972" s="18" t="inlineStr">
        <is>
          <t>gothorita-2</t>
        </is>
      </c>
      <c r="AO1972" s="18" t="inlineStr">
        <is>
          <t>pokemon</t>
        </is>
      </c>
      <c r="AP1972" s="18" t="inlineStr">
        <is>
          <t>end_city</t>
        </is>
      </c>
      <c r="AQ1972" s="18" t="inlineStr">
        <is>
          <t>{"biomes":["#cobblemon:is_end"]}</t>
        </is>
      </c>
      <c r="AR1972" s="18" t="inlineStr"/>
      <c r="AS1972" s="18" t="inlineStr"/>
      <c r="AT1972" s="19" t="inlineStr"/>
    </row>
    <row r="1973" ht="32" customHeight="1">
      <c r="A1973" s="18" t="inlineStr">
        <is>
          <t>0576_gothitelle.json::gothitelle-1::001</t>
        </is>
      </c>
      <c r="B1973" s="19" t="inlineStr">
        <is>
          <t>사용</t>
        </is>
      </c>
      <c r="C1973" s="18">
        <f>IF(OR(B1973&lt;&gt;AK1973,M1973&lt;&gt;L1973,O1973&lt;&gt;"",Q1973&lt;&gt;"",V1973&lt;&gt;1,Y1973&lt;&gt;"",AT1973&lt;&gt;""),"수정","원본")</f>
        <v/>
      </c>
      <c r="D1973" s="18" t="n">
        <v>576</v>
      </c>
      <c r="E1973" s="18" t="inlineStr">
        <is>
          <t>고디모아젤</t>
        </is>
      </c>
      <c r="F1973" s="18" t="inlineStr">
        <is>
          <t>gothitelle</t>
        </is>
      </c>
      <c r="G1973" s="18" t="inlineStr">
        <is>
          <t>gothitelle</t>
        </is>
      </c>
      <c r="H1973" s="18" t="inlineStr"/>
      <c r="I1973" s="18" t="n">
        <v>5</v>
      </c>
      <c r="J1973" s="18" t="n"/>
      <c r="K1973" s="18" t="n">
        <v>5</v>
      </c>
      <c r="L1973" s="18" t="inlineStr">
        <is>
          <t>cobbleventure:generation_5</t>
        </is>
      </c>
      <c r="M1973" s="19" t="inlineStr">
        <is>
          <t>cobbleventure:generation_5</t>
        </is>
      </c>
      <c r="N1973" s="18" t="inlineStr">
        <is>
          <t>region_01; region_02</t>
        </is>
      </c>
      <c r="O1973" s="19" t="inlineStr"/>
      <c r="P1973" s="18" t="inlineStr">
        <is>
          <t>#cobblemon:is_overworld</t>
        </is>
      </c>
      <c r="Q1973" s="19" t="inlineStr"/>
      <c r="R1973" s="18">
        <f>IF(Q1973="",P1973,Q1973)</f>
        <v/>
      </c>
      <c r="S1973" s="18" t="inlineStr"/>
      <c r="T1973" s="18" t="inlineStr">
        <is>
          <t>common</t>
        </is>
      </c>
      <c r="U1973" s="20" t="n">
        <v>0.06</v>
      </c>
      <c r="V1973" s="21" t="n">
        <v>1</v>
      </c>
      <c r="W1973" s="20">
        <f>IF(OR(U1973="",V1973=""),U1973,U1973*V1973)</f>
        <v/>
      </c>
      <c r="X1973" s="18" t="inlineStr">
        <is>
          <t>41-49</t>
        </is>
      </c>
      <c r="Y1973" s="19" t="inlineStr"/>
      <c r="Z1973" s="18">
        <f>IF(Y1973="",X1973,Y1973)</f>
        <v/>
      </c>
      <c r="AA1973" s="18" t="inlineStr">
        <is>
          <t>grounded</t>
        </is>
      </c>
      <c r="AB1973" s="18" t="inlineStr"/>
      <c r="AC1973" s="18" t="inlineStr"/>
      <c r="AD1973" s="18" t="inlineStr"/>
      <c r="AE1973" s="18" t="inlineStr"/>
      <c r="AF1973" s="18" t="inlineStr">
        <is>
          <t>False</t>
        </is>
      </c>
      <c r="AG1973" s="18" t="inlineStr"/>
      <c r="AH1973" s="18" t="inlineStr"/>
      <c r="AI1973" s="18" t="inlineStr"/>
      <c r="AJ1973" s="18" t="inlineStr">
        <is>
          <t>Cobblemon 동일</t>
        </is>
      </c>
      <c r="AK1973" s="18" t="inlineStr">
        <is>
          <t>사용</t>
        </is>
      </c>
      <c r="AL1973" s="18" t="inlineStr">
        <is>
          <t>COBBLEVERSE 1.7.42 / DP v31</t>
        </is>
      </c>
      <c r="AM1973" s="18" t="inlineStr">
        <is>
          <t>data/cobblemon/spawn_pool_world/0576_gothitelle.json</t>
        </is>
      </c>
      <c r="AN1973" s="18" t="inlineStr">
        <is>
          <t>gothitelle-1</t>
        </is>
      </c>
      <c r="AO1973" s="18" t="inlineStr">
        <is>
          <t>pokemon</t>
        </is>
      </c>
      <c r="AP1973" s="18" t="inlineStr">
        <is>
          <t>mansion</t>
        </is>
      </c>
      <c r="AQ1973" s="18" t="inlineStr">
        <is>
          <t>{"biomes":["#cobblemon:is_overworld"],"canSeeSky":false}</t>
        </is>
      </c>
      <c r="AR1973" s="18" t="inlineStr"/>
      <c r="AS1973" s="18" t="inlineStr"/>
      <c r="AT1973" s="19" t="inlineStr"/>
    </row>
    <row r="1974" ht="32" customHeight="1">
      <c r="A1974" s="18" t="inlineStr">
        <is>
          <t>0576_gothitelle.json::gothitelle-2::002</t>
        </is>
      </c>
      <c r="B1974" s="19" t="inlineStr">
        <is>
          <t>사용</t>
        </is>
      </c>
      <c r="C1974" s="18">
        <f>IF(OR(B1974&lt;&gt;AK1974,M1974&lt;&gt;L1974,O1974&lt;&gt;"",Q1974&lt;&gt;"",V1974&lt;&gt;1,Y1974&lt;&gt;"",AT1974&lt;&gt;""),"수정","원본")</f>
        <v/>
      </c>
      <c r="D1974" s="18" t="n">
        <v>576</v>
      </c>
      <c r="E1974" s="18" t="inlineStr">
        <is>
          <t>고디모아젤</t>
        </is>
      </c>
      <c r="F1974" s="18" t="inlineStr">
        <is>
          <t>gothitelle</t>
        </is>
      </c>
      <c r="G1974" s="18" t="inlineStr">
        <is>
          <t>gothitelle</t>
        </is>
      </c>
      <c r="H1974" s="18" t="inlineStr"/>
      <c r="I1974" s="18" t="n">
        <v>5</v>
      </c>
      <c r="J1974" s="18" t="n"/>
      <c r="K1974" s="18" t="n">
        <v>5</v>
      </c>
      <c r="L1974" s="18" t="inlineStr">
        <is>
          <t>cobbleventure:generation_5</t>
        </is>
      </c>
      <c r="M1974" s="19" t="inlineStr">
        <is>
          <t>cobbleventure:generation_5</t>
        </is>
      </c>
      <c r="N1974" s="18" t="inlineStr"/>
      <c r="O1974" s="19" t="inlineStr"/>
      <c r="P1974" s="18" t="inlineStr">
        <is>
          <t>#cobblemon:is_end</t>
        </is>
      </c>
      <c r="Q1974" s="19" t="inlineStr"/>
      <c r="R1974" s="18">
        <f>IF(Q1974="",P1974,Q1974)</f>
        <v/>
      </c>
      <c r="S1974" s="18" t="inlineStr"/>
      <c r="T1974" s="18" t="inlineStr">
        <is>
          <t>uncommon</t>
        </is>
      </c>
      <c r="U1974" s="20" t="n">
        <v>0.16</v>
      </c>
      <c r="V1974" s="21" t="n">
        <v>1</v>
      </c>
      <c r="W1974" s="20">
        <f>IF(OR(U1974="",V1974=""),U1974,U1974*V1974)</f>
        <v/>
      </c>
      <c r="X1974" s="18" t="inlineStr">
        <is>
          <t>41-49</t>
        </is>
      </c>
      <c r="Y1974" s="19" t="inlineStr"/>
      <c r="Z1974" s="18">
        <f>IF(Y1974="",X1974,Y1974)</f>
        <v/>
      </c>
      <c r="AA1974" s="18" t="inlineStr">
        <is>
          <t>grounded</t>
        </is>
      </c>
      <c r="AB1974" s="18" t="inlineStr"/>
      <c r="AC1974" s="18" t="inlineStr"/>
      <c r="AD1974" s="18" t="inlineStr"/>
      <c r="AE1974" s="18" t="inlineStr"/>
      <c r="AF1974" s="18" t="inlineStr"/>
      <c r="AG1974" s="18" t="inlineStr"/>
      <c r="AH1974" s="18" t="inlineStr"/>
      <c r="AI1974" s="18" t="inlineStr"/>
      <c r="AJ1974" s="18" t="inlineStr">
        <is>
          <t>Cobblemon 동일</t>
        </is>
      </c>
      <c r="AK1974" s="18" t="inlineStr">
        <is>
          <t>사용</t>
        </is>
      </c>
      <c r="AL1974" s="18" t="inlineStr">
        <is>
          <t>COBBLEVERSE 1.7.42 / DP v31</t>
        </is>
      </c>
      <c r="AM1974" s="18" t="inlineStr">
        <is>
          <t>data/cobblemon/spawn_pool_world/0576_gothitelle.json</t>
        </is>
      </c>
      <c r="AN1974" s="18" t="inlineStr">
        <is>
          <t>gothitelle-2</t>
        </is>
      </c>
      <c r="AO1974" s="18" t="inlineStr">
        <is>
          <t>pokemon</t>
        </is>
      </c>
      <c r="AP1974" s="18" t="inlineStr">
        <is>
          <t>end_city</t>
        </is>
      </c>
      <c r="AQ1974" s="18" t="inlineStr">
        <is>
          <t>{"biomes":["#cobblemon:is_end"]}</t>
        </is>
      </c>
      <c r="AR1974" s="18" t="inlineStr"/>
      <c r="AS1974" s="18" t="inlineStr"/>
      <c r="AT1974" s="19" t="inlineStr"/>
    </row>
    <row r="1975" ht="32" customHeight="1">
      <c r="A1975" s="18" t="inlineStr">
        <is>
          <t>0577_solosis.json::solosis-1::001</t>
        </is>
      </c>
      <c r="B1975" s="19" t="inlineStr">
        <is>
          <t>사용</t>
        </is>
      </c>
      <c r="C1975" s="18">
        <f>IF(OR(B1975&lt;&gt;AK1975,M1975&lt;&gt;L1975,O1975&lt;&gt;"",Q1975&lt;&gt;"",V1975&lt;&gt;1,Y1975&lt;&gt;"",AT1975&lt;&gt;""),"수정","원본")</f>
        <v/>
      </c>
      <c r="D1975" s="18" t="n">
        <v>577</v>
      </c>
      <c r="E1975" s="18" t="inlineStr">
        <is>
          <t>유니란</t>
        </is>
      </c>
      <c r="F1975" s="18" t="inlineStr">
        <is>
          <t>solosis</t>
        </is>
      </c>
      <c r="G1975" s="18" t="inlineStr">
        <is>
          <t>solosis</t>
        </is>
      </c>
      <c r="H1975" s="18" t="inlineStr"/>
      <c r="I1975" s="18" t="n">
        <v>5</v>
      </c>
      <c r="J1975" s="18" t="n"/>
      <c r="K1975" s="18" t="n">
        <v>5</v>
      </c>
      <c r="L1975" s="18" t="inlineStr">
        <is>
          <t>cobbleventure:generation_5</t>
        </is>
      </c>
      <c r="M1975" s="19" t="inlineStr">
        <is>
          <t>cobbleventure:generation_5</t>
        </is>
      </c>
      <c r="N1975" s="18" t="inlineStr"/>
      <c r="O1975" s="19" t="inlineStr"/>
      <c r="P1975" s="18" t="inlineStr">
        <is>
          <t>#cobblemon:is_lush</t>
        </is>
      </c>
      <c r="Q1975" s="19" t="inlineStr"/>
      <c r="R1975" s="18">
        <f>IF(Q1975="",P1975,Q1975)</f>
        <v/>
      </c>
      <c r="S1975" s="18" t="inlineStr"/>
      <c r="T1975" s="18" t="inlineStr">
        <is>
          <t>rare</t>
        </is>
      </c>
      <c r="U1975" s="20" t="n">
        <v>1.6</v>
      </c>
      <c r="V1975" s="21" t="n">
        <v>1</v>
      </c>
      <c r="W1975" s="20">
        <f>IF(OR(U1975="",V1975=""),U1975,U1975*V1975)</f>
        <v/>
      </c>
      <c r="X1975" s="18" t="inlineStr">
        <is>
          <t>4-29</t>
        </is>
      </c>
      <c r="Y1975" s="19" t="inlineStr"/>
      <c r="Z1975" s="18">
        <f>IF(Y1975="",X1975,Y1975)</f>
        <v/>
      </c>
      <c r="AA1975" s="18" t="inlineStr">
        <is>
          <t>grounded</t>
        </is>
      </c>
      <c r="AB1975" s="18" t="inlineStr"/>
      <c r="AC1975" s="18" t="inlineStr"/>
      <c r="AD1975" s="18" t="inlineStr"/>
      <c r="AE1975" s="18" t="inlineStr"/>
      <c r="AF1975" s="18" t="inlineStr"/>
      <c r="AG1975" s="18" t="inlineStr"/>
      <c r="AH1975" s="18" t="inlineStr"/>
      <c r="AI1975" s="18" t="inlineStr"/>
      <c r="AJ1975" s="18" t="inlineStr">
        <is>
          <t>COBBLEVERSE 수정</t>
        </is>
      </c>
      <c r="AK1975" s="18" t="inlineStr">
        <is>
          <t>사용</t>
        </is>
      </c>
      <c r="AL1975" s="18" t="inlineStr">
        <is>
          <t>COBBLEVERSE 1.7.42 / DP v31</t>
        </is>
      </c>
      <c r="AM1975" s="18" t="inlineStr">
        <is>
          <t>data/cobblemon/spawn_pool_world/0577_solosis.json</t>
        </is>
      </c>
      <c r="AN1975" s="18" t="inlineStr">
        <is>
          <t>solosis-1</t>
        </is>
      </c>
      <c r="AO1975" s="18" t="inlineStr">
        <is>
          <t>pokemon</t>
        </is>
      </c>
      <c r="AP1975" s="18" t="inlineStr">
        <is>
          <t>natural</t>
        </is>
      </c>
      <c r="AQ1975" s="18" t="inlineStr">
        <is>
          <t>{"biomes":["#cobblemon:is_lush"]}</t>
        </is>
      </c>
      <c r="AR1975" s="18" t="inlineStr"/>
      <c r="AS1975" s="18" t="inlineStr"/>
      <c r="AT1975" s="19" t="inlineStr"/>
    </row>
    <row r="1976" ht="32" customHeight="1">
      <c r="A1976" s="18" t="inlineStr">
        <is>
          <t>0577_solosis.json::solosis-2::002</t>
        </is>
      </c>
      <c r="B1976" s="19" t="inlineStr">
        <is>
          <t>사용</t>
        </is>
      </c>
      <c r="C1976" s="18">
        <f>IF(OR(B1976&lt;&gt;AK1976,M1976&lt;&gt;L1976,O1976&lt;&gt;"",Q1976&lt;&gt;"",V1976&lt;&gt;1,Y1976&lt;&gt;"",AT1976&lt;&gt;""),"수정","원본")</f>
        <v/>
      </c>
      <c r="D1976" s="18" t="n">
        <v>577</v>
      </c>
      <c r="E1976" s="18" t="inlineStr">
        <is>
          <t>유니란</t>
        </is>
      </c>
      <c r="F1976" s="18" t="inlineStr">
        <is>
          <t>solosis</t>
        </is>
      </c>
      <c r="G1976" s="18" t="inlineStr">
        <is>
          <t>solosis</t>
        </is>
      </c>
      <c r="H1976" s="18" t="inlineStr"/>
      <c r="I1976" s="18" t="n">
        <v>5</v>
      </c>
      <c r="J1976" s="18" t="n"/>
      <c r="K1976" s="18" t="n">
        <v>5</v>
      </c>
      <c r="L1976" s="18" t="inlineStr">
        <is>
          <t>cobbleventure:generation_5</t>
        </is>
      </c>
      <c r="M1976" s="19" t="inlineStr">
        <is>
          <t>cobbleventure:generation_5</t>
        </is>
      </c>
      <c r="N1976" s="18" t="inlineStr"/>
      <c r="O1976" s="19" t="inlineStr"/>
      <c r="P1976" s="18" t="inlineStr">
        <is>
          <t>#cobblemon:is_end</t>
        </is>
      </c>
      <c r="Q1976" s="19" t="inlineStr"/>
      <c r="R1976" s="18">
        <f>IF(Q1976="",P1976,Q1976)</f>
        <v/>
      </c>
      <c r="S1976" s="18" t="inlineStr"/>
      <c r="T1976" s="18" t="inlineStr">
        <is>
          <t>rare</t>
        </is>
      </c>
      <c r="U1976" s="20" t="n">
        <v>1.6</v>
      </c>
      <c r="V1976" s="21" t="n">
        <v>1</v>
      </c>
      <c r="W1976" s="20">
        <f>IF(OR(U1976="",V1976=""),U1976,U1976*V1976)</f>
        <v/>
      </c>
      <c r="X1976" s="18" t="inlineStr">
        <is>
          <t>4-29</t>
        </is>
      </c>
      <c r="Y1976" s="19" t="inlineStr"/>
      <c r="Z1976" s="18">
        <f>IF(Y1976="",X1976,Y1976)</f>
        <v/>
      </c>
      <c r="AA1976" s="18" t="inlineStr">
        <is>
          <t>grounded</t>
        </is>
      </c>
      <c r="AB1976" s="18" t="inlineStr"/>
      <c r="AC1976" s="18" t="inlineStr"/>
      <c r="AD1976" s="18" t="inlineStr"/>
      <c r="AE1976" s="18" t="inlineStr"/>
      <c r="AF1976" s="18" t="inlineStr"/>
      <c r="AG1976" s="18" t="inlineStr"/>
      <c r="AH1976" s="18" t="inlineStr"/>
      <c r="AI1976" s="18" t="inlineStr"/>
      <c r="AJ1976" s="18" t="inlineStr">
        <is>
          <t>COBBLEVERSE 수정</t>
        </is>
      </c>
      <c r="AK1976" s="18" t="inlineStr">
        <is>
          <t>사용</t>
        </is>
      </c>
      <c r="AL1976" s="18" t="inlineStr">
        <is>
          <t>COBBLEVERSE 1.7.42 / DP v31</t>
        </is>
      </c>
      <c r="AM1976" s="18" t="inlineStr">
        <is>
          <t>data/cobblemon/spawn_pool_world/0577_solosis.json</t>
        </is>
      </c>
      <c r="AN1976" s="18" t="inlineStr">
        <is>
          <t>solosis-2</t>
        </is>
      </c>
      <c r="AO1976" s="18" t="inlineStr">
        <is>
          <t>pokemon</t>
        </is>
      </c>
      <c r="AP1976" s="18" t="inlineStr">
        <is>
          <t>natural</t>
        </is>
      </c>
      <c r="AQ1976" s="18" t="inlineStr">
        <is>
          <t>{"biomes":["#cobblemon:is_end"]}</t>
        </is>
      </c>
      <c r="AR1976" s="18" t="inlineStr"/>
      <c r="AS1976" s="18" t="inlineStr"/>
      <c r="AT1976" s="19" t="inlineStr"/>
    </row>
    <row r="1977" ht="32" customHeight="1">
      <c r="A1977" s="18" t="inlineStr">
        <is>
          <t>0578_duosion.json::duosion-1::001</t>
        </is>
      </c>
      <c r="B1977" s="19" t="inlineStr">
        <is>
          <t>사용</t>
        </is>
      </c>
      <c r="C1977" s="18">
        <f>IF(OR(B1977&lt;&gt;AK1977,M1977&lt;&gt;L1977,O1977&lt;&gt;"",Q1977&lt;&gt;"",V1977&lt;&gt;1,Y1977&lt;&gt;"",AT1977&lt;&gt;""),"수정","원본")</f>
        <v/>
      </c>
      <c r="D1977" s="18" t="n">
        <v>578</v>
      </c>
      <c r="E1977" s="18" t="inlineStr">
        <is>
          <t>듀란</t>
        </is>
      </c>
      <c r="F1977" s="18" t="inlineStr">
        <is>
          <t>duosion</t>
        </is>
      </c>
      <c r="G1977" s="18" t="inlineStr">
        <is>
          <t>duosion</t>
        </is>
      </c>
      <c r="H1977" s="18" t="inlineStr"/>
      <c r="I1977" s="18" t="n">
        <v>5</v>
      </c>
      <c r="J1977" s="18" t="n"/>
      <c r="K1977" s="18" t="n">
        <v>5</v>
      </c>
      <c r="L1977" s="18" t="inlineStr">
        <is>
          <t>cobbleventure:generation_5</t>
        </is>
      </c>
      <c r="M1977" s="19" t="inlineStr">
        <is>
          <t>cobbleventure:generation_5</t>
        </is>
      </c>
      <c r="N1977" s="18" t="inlineStr"/>
      <c r="O1977" s="19" t="inlineStr"/>
      <c r="P1977" s="18" t="inlineStr">
        <is>
          <t>#cobblemon:lush</t>
        </is>
      </c>
      <c r="Q1977" s="19" t="inlineStr"/>
      <c r="R1977" s="18">
        <f>IF(Q1977="",P1977,Q1977)</f>
        <v/>
      </c>
      <c r="S1977" s="18" t="inlineStr"/>
      <c r="T1977" s="18" t="inlineStr">
        <is>
          <t>uncommon</t>
        </is>
      </c>
      <c r="U1977" s="20" t="n">
        <v>1.2</v>
      </c>
      <c r="V1977" s="21" t="n">
        <v>1</v>
      </c>
      <c r="W1977" s="20">
        <f>IF(OR(U1977="",V1977=""),U1977,U1977*V1977)</f>
        <v/>
      </c>
      <c r="X1977" s="18" t="inlineStr">
        <is>
          <t>32-37</t>
        </is>
      </c>
      <c r="Y1977" s="19" t="inlineStr"/>
      <c r="Z1977" s="18">
        <f>IF(Y1977="",X1977,Y1977)</f>
        <v/>
      </c>
      <c r="AA1977" s="18" t="inlineStr">
        <is>
          <t>grounded</t>
        </is>
      </c>
      <c r="AB1977" s="18" t="inlineStr"/>
      <c r="AC1977" s="18" t="inlineStr"/>
      <c r="AD1977" s="18" t="inlineStr"/>
      <c r="AE1977" s="18" t="inlineStr"/>
      <c r="AF1977" s="18" t="inlineStr"/>
      <c r="AG1977" s="18" t="inlineStr"/>
      <c r="AH1977" s="18" t="inlineStr"/>
      <c r="AI1977" s="18" t="inlineStr"/>
      <c r="AJ1977" s="18" t="inlineStr">
        <is>
          <t>COBBLEVERSE 수정</t>
        </is>
      </c>
      <c r="AK1977" s="18" t="inlineStr">
        <is>
          <t>사용</t>
        </is>
      </c>
      <c r="AL1977" s="18" t="inlineStr">
        <is>
          <t>COBBLEVERSE 1.7.42 / DP v31</t>
        </is>
      </c>
      <c r="AM1977" s="18" t="inlineStr">
        <is>
          <t>data/cobblemon/spawn_pool_world/0578_duosion.json</t>
        </is>
      </c>
      <c r="AN1977" s="18" t="inlineStr">
        <is>
          <t>duosion-1</t>
        </is>
      </c>
      <c r="AO1977" s="18" t="inlineStr">
        <is>
          <t>pokemon</t>
        </is>
      </c>
      <c r="AP1977" s="18" t="inlineStr">
        <is>
          <t>natural</t>
        </is>
      </c>
      <c r="AQ1977" s="18" t="inlineStr">
        <is>
          <t>{"biomes":["#cobblemon:lush"]}</t>
        </is>
      </c>
      <c r="AR1977" s="18" t="inlineStr"/>
      <c r="AS1977" s="18" t="inlineStr"/>
      <c r="AT1977" s="19" t="inlineStr"/>
    </row>
    <row r="1978" ht="32" customHeight="1">
      <c r="A1978" s="18" t="inlineStr">
        <is>
          <t>0578_duosion.json::duosion-2::002</t>
        </is>
      </c>
      <c r="B1978" s="19" t="inlineStr">
        <is>
          <t>사용</t>
        </is>
      </c>
      <c r="C1978" s="18">
        <f>IF(OR(B1978&lt;&gt;AK1978,M1978&lt;&gt;L1978,O1978&lt;&gt;"",Q1978&lt;&gt;"",V1978&lt;&gt;1,Y1978&lt;&gt;"",AT1978&lt;&gt;""),"수정","원본")</f>
        <v/>
      </c>
      <c r="D1978" s="18" t="n">
        <v>578</v>
      </c>
      <c r="E1978" s="18" t="inlineStr">
        <is>
          <t>듀란</t>
        </is>
      </c>
      <c r="F1978" s="18" t="inlineStr">
        <is>
          <t>duosion</t>
        </is>
      </c>
      <c r="G1978" s="18" t="inlineStr">
        <is>
          <t>duosion</t>
        </is>
      </c>
      <c r="H1978" s="18" t="inlineStr"/>
      <c r="I1978" s="18" t="n">
        <v>5</v>
      </c>
      <c r="J1978" s="18" t="n"/>
      <c r="K1978" s="18" t="n">
        <v>5</v>
      </c>
      <c r="L1978" s="18" t="inlineStr">
        <is>
          <t>cobbleventure:generation_5</t>
        </is>
      </c>
      <c r="M1978" s="19" t="inlineStr">
        <is>
          <t>cobbleventure:generation_5</t>
        </is>
      </c>
      <c r="N1978" s="18" t="inlineStr"/>
      <c r="O1978" s="19" t="inlineStr"/>
      <c r="P1978" s="18" t="inlineStr">
        <is>
          <t>#cobblemon:is_end</t>
        </is>
      </c>
      <c r="Q1978" s="19" t="inlineStr"/>
      <c r="R1978" s="18">
        <f>IF(Q1978="",P1978,Q1978)</f>
        <v/>
      </c>
      <c r="S1978" s="18" t="inlineStr"/>
      <c r="T1978" s="18" t="inlineStr">
        <is>
          <t>uncommon</t>
        </is>
      </c>
      <c r="U1978" s="20" t="n">
        <v>1.2</v>
      </c>
      <c r="V1978" s="21" t="n">
        <v>1</v>
      </c>
      <c r="W1978" s="20">
        <f>IF(OR(U1978="",V1978=""),U1978,U1978*V1978)</f>
        <v/>
      </c>
      <c r="X1978" s="18" t="inlineStr">
        <is>
          <t>32-37</t>
        </is>
      </c>
      <c r="Y1978" s="19" t="inlineStr"/>
      <c r="Z1978" s="18">
        <f>IF(Y1978="",X1978,Y1978)</f>
        <v/>
      </c>
      <c r="AA1978" s="18" t="inlineStr">
        <is>
          <t>grounded</t>
        </is>
      </c>
      <c r="AB1978" s="18" t="inlineStr"/>
      <c r="AC1978" s="18" t="inlineStr"/>
      <c r="AD1978" s="18" t="inlineStr"/>
      <c r="AE1978" s="18" t="inlineStr"/>
      <c r="AF1978" s="18" t="inlineStr"/>
      <c r="AG1978" s="18" t="inlineStr"/>
      <c r="AH1978" s="18" t="inlineStr"/>
      <c r="AI1978" s="18" t="inlineStr"/>
      <c r="AJ1978" s="18" t="inlineStr">
        <is>
          <t>COBBLEVERSE 수정</t>
        </is>
      </c>
      <c r="AK1978" s="18" t="inlineStr">
        <is>
          <t>사용</t>
        </is>
      </c>
      <c r="AL1978" s="18" t="inlineStr">
        <is>
          <t>COBBLEVERSE 1.7.42 / DP v31</t>
        </is>
      </c>
      <c r="AM1978" s="18" t="inlineStr">
        <is>
          <t>data/cobblemon/spawn_pool_world/0578_duosion.json</t>
        </is>
      </c>
      <c r="AN1978" s="18" t="inlineStr">
        <is>
          <t>duosion-2</t>
        </is>
      </c>
      <c r="AO1978" s="18" t="inlineStr">
        <is>
          <t>pokemon</t>
        </is>
      </c>
      <c r="AP1978" s="18" t="inlineStr">
        <is>
          <t>natural</t>
        </is>
      </c>
      <c r="AQ1978" s="18" t="inlineStr">
        <is>
          <t>{"biomes":["#cobblemon:is_end"]}</t>
        </is>
      </c>
      <c r="AR1978" s="18" t="inlineStr"/>
      <c r="AS1978" s="18" t="inlineStr"/>
      <c r="AT1978" s="19" t="inlineStr"/>
    </row>
    <row r="1979" ht="32" customHeight="1">
      <c r="A1979" s="18" t="inlineStr">
        <is>
          <t>0579_reuniclus.json::reuniclus-1::001</t>
        </is>
      </c>
      <c r="B1979" s="19" t="inlineStr">
        <is>
          <t>사용</t>
        </is>
      </c>
      <c r="C1979" s="18">
        <f>IF(OR(B1979&lt;&gt;AK1979,M1979&lt;&gt;L1979,O1979&lt;&gt;"",Q1979&lt;&gt;"",V1979&lt;&gt;1,Y1979&lt;&gt;"",AT1979&lt;&gt;""),"수정","원본")</f>
        <v/>
      </c>
      <c r="D1979" s="18" t="n">
        <v>579</v>
      </c>
      <c r="E1979" s="18" t="inlineStr">
        <is>
          <t>란쿨루스</t>
        </is>
      </c>
      <c r="F1979" s="18" t="inlineStr">
        <is>
          <t>reuniclus</t>
        </is>
      </c>
      <c r="G1979" s="18" t="inlineStr">
        <is>
          <t>reuniclus</t>
        </is>
      </c>
      <c r="H1979" s="18" t="inlineStr"/>
      <c r="I1979" s="18" t="n">
        <v>5</v>
      </c>
      <c r="J1979" s="18" t="n"/>
      <c r="K1979" s="18" t="n">
        <v>5</v>
      </c>
      <c r="L1979" s="18" t="inlineStr">
        <is>
          <t>cobbleventure:generation_5</t>
        </is>
      </c>
      <c r="M1979" s="19" t="inlineStr">
        <is>
          <t>cobbleventure:generation_5</t>
        </is>
      </c>
      <c r="N1979" s="18" t="inlineStr"/>
      <c r="O1979" s="19" t="inlineStr"/>
      <c r="P1979" s="18" t="inlineStr">
        <is>
          <t>#cobblemon:is_lush</t>
        </is>
      </c>
      <c r="Q1979" s="19" t="inlineStr"/>
      <c r="R1979" s="18">
        <f>IF(Q1979="",P1979,Q1979)</f>
        <v/>
      </c>
      <c r="S1979" s="18" t="inlineStr"/>
      <c r="T1979" s="18" t="inlineStr">
        <is>
          <t>uncommon</t>
        </is>
      </c>
      <c r="U1979" s="20" t="n">
        <v>0.3</v>
      </c>
      <c r="V1979" s="21" t="n">
        <v>1</v>
      </c>
      <c r="W1979" s="20">
        <f>IF(OR(U1979="",V1979=""),U1979,U1979*V1979)</f>
        <v/>
      </c>
      <c r="X1979" s="18" t="inlineStr">
        <is>
          <t>41-49</t>
        </is>
      </c>
      <c r="Y1979" s="19" t="inlineStr"/>
      <c r="Z1979" s="18">
        <f>IF(Y1979="",X1979,Y1979)</f>
        <v/>
      </c>
      <c r="AA1979" s="18" t="inlineStr">
        <is>
          <t>grounded</t>
        </is>
      </c>
      <c r="AB1979" s="18" t="inlineStr"/>
      <c r="AC1979" s="18" t="inlineStr"/>
      <c r="AD1979" s="18" t="inlineStr"/>
      <c r="AE1979" s="18" t="inlineStr"/>
      <c r="AF1979" s="18" t="inlineStr"/>
      <c r="AG1979" s="18" t="inlineStr"/>
      <c r="AH1979" s="18" t="inlineStr"/>
      <c r="AI1979" s="18" t="inlineStr"/>
      <c r="AJ1979" s="18" t="inlineStr">
        <is>
          <t>COBBLEVERSE 수정</t>
        </is>
      </c>
      <c r="AK1979" s="18" t="inlineStr">
        <is>
          <t>사용</t>
        </is>
      </c>
      <c r="AL1979" s="18" t="inlineStr">
        <is>
          <t>COBBLEVERSE 1.7.42 / DP v31</t>
        </is>
      </c>
      <c r="AM1979" s="18" t="inlineStr">
        <is>
          <t>data/cobblemon/spawn_pool_world/0579_reuniclus.json</t>
        </is>
      </c>
      <c r="AN1979" s="18" t="inlineStr">
        <is>
          <t>reuniclus-1</t>
        </is>
      </c>
      <c r="AO1979" s="18" t="inlineStr">
        <is>
          <t>pokemon</t>
        </is>
      </c>
      <c r="AP1979" s="18" t="inlineStr">
        <is>
          <t>natural</t>
        </is>
      </c>
      <c r="AQ1979" s="18" t="inlineStr">
        <is>
          <t>{"biomes":["#cobblemon:is_lush"]}</t>
        </is>
      </c>
      <c r="AR1979" s="18" t="inlineStr"/>
      <c r="AS1979" s="18" t="inlineStr"/>
      <c r="AT1979" s="19" t="inlineStr"/>
    </row>
    <row r="1980" ht="32" customHeight="1">
      <c r="A1980" s="18" t="inlineStr">
        <is>
          <t>0579_reuniclus.json::reuniclus-2::002</t>
        </is>
      </c>
      <c r="B1980" s="19" t="inlineStr">
        <is>
          <t>사용</t>
        </is>
      </c>
      <c r="C1980" s="18">
        <f>IF(OR(B1980&lt;&gt;AK1980,M1980&lt;&gt;L1980,O1980&lt;&gt;"",Q1980&lt;&gt;"",V1980&lt;&gt;1,Y1980&lt;&gt;"",AT1980&lt;&gt;""),"수정","원본")</f>
        <v/>
      </c>
      <c r="D1980" s="18" t="n">
        <v>579</v>
      </c>
      <c r="E1980" s="18" t="inlineStr">
        <is>
          <t>란쿨루스</t>
        </is>
      </c>
      <c r="F1980" s="18" t="inlineStr">
        <is>
          <t>reuniclus</t>
        </is>
      </c>
      <c r="G1980" s="18" t="inlineStr">
        <is>
          <t>reuniclus</t>
        </is>
      </c>
      <c r="H1980" s="18" t="inlineStr"/>
      <c r="I1980" s="18" t="n">
        <v>5</v>
      </c>
      <c r="J1980" s="18" t="n"/>
      <c r="K1980" s="18" t="n">
        <v>5</v>
      </c>
      <c r="L1980" s="18" t="inlineStr">
        <is>
          <t>cobbleventure:generation_5</t>
        </is>
      </c>
      <c r="M1980" s="19" t="inlineStr">
        <is>
          <t>cobbleventure:generation_5</t>
        </is>
      </c>
      <c r="N1980" s="18" t="inlineStr"/>
      <c r="O1980" s="19" t="inlineStr"/>
      <c r="P1980" s="18" t="inlineStr">
        <is>
          <t>#cobblemon:is_end</t>
        </is>
      </c>
      <c r="Q1980" s="19" t="inlineStr"/>
      <c r="R1980" s="18">
        <f>IF(Q1980="",P1980,Q1980)</f>
        <v/>
      </c>
      <c r="S1980" s="18" t="inlineStr"/>
      <c r="T1980" s="18" t="inlineStr">
        <is>
          <t>uncommon</t>
        </is>
      </c>
      <c r="U1980" s="20" t="n">
        <v>0.3</v>
      </c>
      <c r="V1980" s="21" t="n">
        <v>1</v>
      </c>
      <c r="W1980" s="20">
        <f>IF(OR(U1980="",V1980=""),U1980,U1980*V1980)</f>
        <v/>
      </c>
      <c r="X1980" s="18" t="inlineStr">
        <is>
          <t>41-49</t>
        </is>
      </c>
      <c r="Y1980" s="19" t="inlineStr"/>
      <c r="Z1980" s="18">
        <f>IF(Y1980="",X1980,Y1980)</f>
        <v/>
      </c>
      <c r="AA1980" s="18" t="inlineStr">
        <is>
          <t>grounded</t>
        </is>
      </c>
      <c r="AB1980" s="18" t="inlineStr"/>
      <c r="AC1980" s="18" t="inlineStr"/>
      <c r="AD1980" s="18" t="inlineStr"/>
      <c r="AE1980" s="18" t="inlineStr"/>
      <c r="AF1980" s="18" t="inlineStr"/>
      <c r="AG1980" s="18" t="inlineStr"/>
      <c r="AH1980" s="18" t="inlineStr"/>
      <c r="AI1980" s="18" t="inlineStr"/>
      <c r="AJ1980" s="18" t="inlineStr">
        <is>
          <t>COBBLEVERSE 수정</t>
        </is>
      </c>
      <c r="AK1980" s="18" t="inlineStr">
        <is>
          <t>사용</t>
        </is>
      </c>
      <c r="AL1980" s="18" t="inlineStr">
        <is>
          <t>COBBLEVERSE 1.7.42 / DP v31</t>
        </is>
      </c>
      <c r="AM1980" s="18" t="inlineStr">
        <is>
          <t>data/cobblemon/spawn_pool_world/0579_reuniclus.json</t>
        </is>
      </c>
      <c r="AN1980" s="18" t="inlineStr">
        <is>
          <t>reuniclus-2</t>
        </is>
      </c>
      <c r="AO1980" s="18" t="inlineStr">
        <is>
          <t>pokemon</t>
        </is>
      </c>
      <c r="AP1980" s="18" t="inlineStr">
        <is>
          <t>natural</t>
        </is>
      </c>
      <c r="AQ1980" s="18" t="inlineStr">
        <is>
          <t>{"biomes":["#cobblemon:is_end"]}</t>
        </is>
      </c>
      <c r="AR1980" s="18" t="inlineStr"/>
      <c r="AS1980" s="18" t="inlineStr"/>
      <c r="AT1980" s="19" t="inlineStr"/>
    </row>
    <row r="1981" ht="32" customHeight="1">
      <c r="A1981" s="18" t="inlineStr">
        <is>
          <t>0580_ducklett.json::ducklett-3::001</t>
        </is>
      </c>
      <c r="B1981" s="19" t="inlineStr">
        <is>
          <t>사용</t>
        </is>
      </c>
      <c r="C1981" s="18">
        <f>IF(OR(B1981&lt;&gt;AK1981,M1981&lt;&gt;L1981,O1981&lt;&gt;"",Q1981&lt;&gt;"",V1981&lt;&gt;1,Y1981&lt;&gt;"",AT1981&lt;&gt;""),"수정","원본")</f>
        <v/>
      </c>
      <c r="D1981" s="18" t="n">
        <v>580</v>
      </c>
      <c r="E1981" s="18" t="inlineStr">
        <is>
          <t>꼬지보리</t>
        </is>
      </c>
      <c r="F1981" s="18" t="inlineStr">
        <is>
          <t>ducklett</t>
        </is>
      </c>
      <c r="G1981" s="18" t="inlineStr">
        <is>
          <t>ducklett</t>
        </is>
      </c>
      <c r="H1981" s="18" t="inlineStr"/>
      <c r="I1981" s="18" t="n">
        <v>5</v>
      </c>
      <c r="J1981" s="18" t="n"/>
      <c r="K1981" s="18" t="n">
        <v>5</v>
      </c>
      <c r="L1981" s="18" t="inlineStr">
        <is>
          <t>cobbleventure:generation_5</t>
        </is>
      </c>
      <c r="M1981" s="19" t="inlineStr">
        <is>
          <t>cobbleventure:generation_5</t>
        </is>
      </c>
      <c r="N1981" s="18" t="inlineStr">
        <is>
          <t>region_02</t>
        </is>
      </c>
      <c r="O1981" s="19" t="inlineStr"/>
      <c r="P1981" s="18" t="inlineStr">
        <is>
          <t>#cobblemon:is_freshwater</t>
        </is>
      </c>
      <c r="Q1981" s="19" t="inlineStr"/>
      <c r="R1981" s="18">
        <f>IF(Q1981="",P1981,Q1981)</f>
        <v/>
      </c>
      <c r="S1981" s="18" t="inlineStr">
        <is>
          <t>#cobblemon:is_freezing</t>
        </is>
      </c>
      <c r="T1981" s="18" t="inlineStr">
        <is>
          <t>uncommon</t>
        </is>
      </c>
      <c r="U1981" s="20" t="n">
        <v>8.4</v>
      </c>
      <c r="V1981" s="21" t="n">
        <v>1</v>
      </c>
      <c r="W1981" s="20">
        <f>IF(OR(U1981="",V1981=""),U1981,U1981*V1981)</f>
        <v/>
      </c>
      <c r="X1981" s="18" t="inlineStr">
        <is>
          <t>6-31</t>
        </is>
      </c>
      <c r="Y1981" s="19" t="inlineStr"/>
      <c r="Z1981" s="18">
        <f>IF(Y1981="",X1981,Y1981)</f>
        <v/>
      </c>
      <c r="AA1981" s="18" t="inlineStr">
        <is>
          <t>surface</t>
        </is>
      </c>
      <c r="AB1981" s="18" t="inlineStr">
        <is>
          <t>day</t>
        </is>
      </c>
      <c r="AC1981" s="18" t="inlineStr"/>
      <c r="AD1981" s="18" t="inlineStr"/>
      <c r="AE1981" s="18" t="inlineStr">
        <is>
          <t>sky 8-15</t>
        </is>
      </c>
      <c r="AF1981" s="18" t="inlineStr"/>
      <c r="AG1981" s="18" t="inlineStr"/>
      <c r="AH1981" s="18" t="inlineStr"/>
      <c r="AI1981" s="18" t="inlineStr"/>
      <c r="AJ1981" s="18" t="inlineStr">
        <is>
          <t>Cobblemon 동일</t>
        </is>
      </c>
      <c r="AK1981" s="18" t="inlineStr">
        <is>
          <t>사용</t>
        </is>
      </c>
      <c r="AL1981" s="18" t="inlineStr">
        <is>
          <t>COBBLEVERSE 1.7.42 / DP v31</t>
        </is>
      </c>
      <c r="AM1981" s="18" t="inlineStr">
        <is>
          <t>data/cobblemon/spawn_pool_world/0580_ducklett.json</t>
        </is>
      </c>
      <c r="AN1981" s="18" t="inlineStr">
        <is>
          <t>ducklett-3</t>
        </is>
      </c>
      <c r="AO1981" s="18" t="inlineStr">
        <is>
          <t>pokemon</t>
        </is>
      </c>
      <c r="AP1981" s="18" t="inlineStr">
        <is>
          <t>water</t>
        </is>
      </c>
      <c r="AQ1981" s="18" t="inlineStr">
        <is>
          <t>{"biomes":["#cobblemon:is_freshwater"],"maxSkyLight":15,"minSkyLight":8,"timeRange":"day"}</t>
        </is>
      </c>
      <c r="AR1981" s="18" t="inlineStr">
        <is>
          <t>{"biomes":["#cobblemon:is_freezing"]}</t>
        </is>
      </c>
      <c r="AS1981" s="18" t="inlineStr"/>
      <c r="AT1981" s="19" t="inlineStr"/>
    </row>
    <row r="1982" ht="32" customHeight="1">
      <c r="A1982" s="18" t="inlineStr">
        <is>
          <t>0580_ducklett.json::ducklett-1::002</t>
        </is>
      </c>
      <c r="B1982" s="19" t="inlineStr">
        <is>
          <t>사용</t>
        </is>
      </c>
      <c r="C1982" s="18">
        <f>IF(OR(B1982&lt;&gt;AK1982,M1982&lt;&gt;L1982,O1982&lt;&gt;"",Q1982&lt;&gt;"",V1982&lt;&gt;1,Y1982&lt;&gt;"",AT1982&lt;&gt;""),"수정","원본")</f>
        <v/>
      </c>
      <c r="D1982" s="18" t="n">
        <v>580</v>
      </c>
      <c r="E1982" s="18" t="inlineStr">
        <is>
          <t>꼬지보리</t>
        </is>
      </c>
      <c r="F1982" s="18" t="inlineStr">
        <is>
          <t>ducklett</t>
        </is>
      </c>
      <c r="G1982" s="18" t="inlineStr">
        <is>
          <t>ducklett</t>
        </is>
      </c>
      <c r="H1982" s="18" t="inlineStr"/>
      <c r="I1982" s="18" t="n">
        <v>5</v>
      </c>
      <c r="J1982" s="18" t="n"/>
      <c r="K1982" s="18" t="n">
        <v>5</v>
      </c>
      <c r="L1982" s="18" t="inlineStr">
        <is>
          <t>cobbleventure:generation_5</t>
        </is>
      </c>
      <c r="M1982" s="19" t="inlineStr">
        <is>
          <t>cobbleventure:generation_5</t>
        </is>
      </c>
      <c r="N1982" s="18" t="inlineStr">
        <is>
          <t>region_02</t>
        </is>
      </c>
      <c r="O1982" s="19" t="inlineStr"/>
      <c r="P1982" s="18" t="inlineStr">
        <is>
          <t>#cobblemon:is_freshwater</t>
        </is>
      </c>
      <c r="Q1982" s="19" t="inlineStr"/>
      <c r="R1982" s="18">
        <f>IF(Q1982="",P1982,Q1982)</f>
        <v/>
      </c>
      <c r="S1982" s="18" t="inlineStr">
        <is>
          <t>#cobblemon:is_freezing</t>
        </is>
      </c>
      <c r="T1982" s="18" t="inlineStr">
        <is>
          <t>common</t>
        </is>
      </c>
      <c r="U1982" s="20" t="n">
        <v>9</v>
      </c>
      <c r="V1982" s="21" t="n">
        <v>1</v>
      </c>
      <c r="W1982" s="20">
        <f>IF(OR(U1982="",V1982=""),U1982,U1982*V1982)</f>
        <v/>
      </c>
      <c r="X1982" s="18" t="inlineStr">
        <is>
          <t>6-31</t>
        </is>
      </c>
      <c r="Y1982" s="19" t="inlineStr"/>
      <c r="Z1982" s="18">
        <f>IF(Y1982="",X1982,Y1982)</f>
        <v/>
      </c>
      <c r="AA1982" s="18" t="inlineStr">
        <is>
          <t>grounded</t>
        </is>
      </c>
      <c r="AB1982" s="18" t="inlineStr"/>
      <c r="AC1982" s="18" t="inlineStr"/>
      <c r="AD1982" s="18" t="inlineStr"/>
      <c r="AE1982" s="18" t="inlineStr">
        <is>
          <t>sky 8-15</t>
        </is>
      </c>
      <c r="AF1982" s="18" t="inlineStr"/>
      <c r="AG1982" s="18" t="inlineStr"/>
      <c r="AH1982" s="18" t="inlineStr"/>
      <c r="AI1982" s="18" t="inlineStr"/>
      <c r="AJ1982" s="18" t="inlineStr">
        <is>
          <t>Cobblemon 동일</t>
        </is>
      </c>
      <c r="AK1982" s="18" t="inlineStr">
        <is>
          <t>사용</t>
        </is>
      </c>
      <c r="AL1982" s="18" t="inlineStr">
        <is>
          <t>COBBLEVERSE 1.7.42 / DP v31</t>
        </is>
      </c>
      <c r="AM1982" s="18" t="inlineStr">
        <is>
          <t>data/cobblemon/spawn_pool_world/0580_ducklett.json</t>
        </is>
      </c>
      <c r="AN1982" s="18" t="inlineStr">
        <is>
          <t>ducklett-1</t>
        </is>
      </c>
      <c r="AO1982" s="18" t="inlineStr">
        <is>
          <t>pokemon</t>
        </is>
      </c>
      <c r="AP1982" s="18" t="inlineStr">
        <is>
          <t>natural</t>
        </is>
      </c>
      <c r="AQ1982" s="18" t="inlineStr">
        <is>
          <t>{"biomes":["#cobblemon:is_freshwater"],"maxSkyLight":15,"minSkyLight":8}</t>
        </is>
      </c>
      <c r="AR1982" s="18" t="inlineStr">
        <is>
          <t>{"biomes":["#cobblemon:is_freezing"]}</t>
        </is>
      </c>
      <c r="AS1982" s="18" t="inlineStr">
        <is>
          <t>{"weightMultiplier":{"condition":{"timeRange":"night"},"multiplier":0.25}}</t>
        </is>
      </c>
      <c r="AT1982" s="19" t="inlineStr"/>
    </row>
    <row r="1983" ht="32" customHeight="1">
      <c r="A1983" s="18" t="inlineStr">
        <is>
          <t>0580_ducklett.json::ducklett-4::003</t>
        </is>
      </c>
      <c r="B1983" s="19" t="inlineStr">
        <is>
          <t>사용</t>
        </is>
      </c>
      <c r="C1983" s="18">
        <f>IF(OR(B1983&lt;&gt;AK1983,M1983&lt;&gt;L1983,O1983&lt;&gt;"",Q1983&lt;&gt;"",V1983&lt;&gt;1,Y1983&lt;&gt;"",AT1983&lt;&gt;""),"수정","원본")</f>
        <v/>
      </c>
      <c r="D1983" s="18" t="n">
        <v>580</v>
      </c>
      <c r="E1983" s="18" t="inlineStr">
        <is>
          <t>꼬지보리</t>
        </is>
      </c>
      <c r="F1983" s="18" t="inlineStr">
        <is>
          <t>ducklett</t>
        </is>
      </c>
      <c r="G1983" s="18" t="inlineStr">
        <is>
          <t>ducklett</t>
        </is>
      </c>
      <c r="H1983" s="18" t="inlineStr"/>
      <c r="I1983" s="18" t="n">
        <v>5</v>
      </c>
      <c r="J1983" s="18" t="n"/>
      <c r="K1983" s="18" t="n">
        <v>5</v>
      </c>
      <c r="L1983" s="18" t="inlineStr">
        <is>
          <t>cobbleventure:generation_5</t>
        </is>
      </c>
      <c r="M1983" s="19" t="inlineStr">
        <is>
          <t>cobbleventure:generation_5</t>
        </is>
      </c>
      <c r="N1983" s="18" t="inlineStr"/>
      <c r="O1983" s="19" t="inlineStr"/>
      <c r="P1983" s="18" t="inlineStr">
        <is>
          <t>#cobblemon:is_sky</t>
        </is>
      </c>
      <c r="Q1983" s="19" t="inlineStr"/>
      <c r="R1983" s="18">
        <f>IF(Q1983="",P1983,Q1983)</f>
        <v/>
      </c>
      <c r="S1983" s="18" t="inlineStr"/>
      <c r="T1983" s="18" t="inlineStr">
        <is>
          <t>uncommon</t>
        </is>
      </c>
      <c r="U1983" s="20" t="n">
        <v>8.4</v>
      </c>
      <c r="V1983" s="21" t="n">
        <v>1</v>
      </c>
      <c r="W1983" s="20">
        <f>IF(OR(U1983="",V1983=""),U1983,U1983*V1983)</f>
        <v/>
      </c>
      <c r="X1983" s="18" t="inlineStr">
        <is>
          <t>6-31</t>
        </is>
      </c>
      <c r="Y1983" s="19" t="inlineStr"/>
      <c r="Z1983" s="18">
        <f>IF(Y1983="",X1983,Y1983)</f>
        <v/>
      </c>
      <c r="AA1983" s="18" t="inlineStr">
        <is>
          <t>surface</t>
        </is>
      </c>
      <c r="AB1983" s="18" t="inlineStr">
        <is>
          <t>day</t>
        </is>
      </c>
      <c r="AC1983" s="18" t="inlineStr"/>
      <c r="AD1983" s="18" t="inlineStr"/>
      <c r="AE1983" s="18" t="inlineStr">
        <is>
          <t>sky 8-15</t>
        </is>
      </c>
      <c r="AF1983" s="18" t="inlineStr"/>
      <c r="AG1983" s="18" t="inlineStr"/>
      <c r="AH1983" s="18" t="inlineStr"/>
      <c r="AI1983" s="18" t="inlineStr"/>
      <c r="AJ1983" s="18" t="inlineStr">
        <is>
          <t>Cobblemon 동일</t>
        </is>
      </c>
      <c r="AK1983" s="18" t="inlineStr">
        <is>
          <t>사용</t>
        </is>
      </c>
      <c r="AL1983" s="18" t="inlineStr">
        <is>
          <t>COBBLEVERSE 1.7.42 / DP v31</t>
        </is>
      </c>
      <c r="AM1983" s="18" t="inlineStr">
        <is>
          <t>data/cobblemon/spawn_pool_world/0580_ducklett.json</t>
        </is>
      </c>
      <c r="AN1983" s="18" t="inlineStr">
        <is>
          <t>ducklett-4</t>
        </is>
      </c>
      <c r="AO1983" s="18" t="inlineStr">
        <is>
          <t>pokemon</t>
        </is>
      </c>
      <c r="AP1983" s="18" t="inlineStr">
        <is>
          <t>water</t>
        </is>
      </c>
      <c r="AQ1983" s="18" t="inlineStr">
        <is>
          <t>{"biomes":["#cobblemon:is_sky"],"maxSkyLight":15,"minSkyLight":8,"timeRange":"day"}</t>
        </is>
      </c>
      <c r="AR1983" s="18" t="inlineStr"/>
      <c r="AS1983" s="18" t="inlineStr"/>
      <c r="AT1983" s="19" t="inlineStr"/>
    </row>
    <row r="1984" ht="32" customHeight="1">
      <c r="A1984" s="18" t="inlineStr">
        <is>
          <t>0580_ducklett.json::ducklett-2::004</t>
        </is>
      </c>
      <c r="B1984" s="19" t="inlineStr">
        <is>
          <t>사용</t>
        </is>
      </c>
      <c r="C1984" s="18">
        <f>IF(OR(B1984&lt;&gt;AK1984,M1984&lt;&gt;L1984,O1984&lt;&gt;"",Q1984&lt;&gt;"",V1984&lt;&gt;1,Y1984&lt;&gt;"",AT1984&lt;&gt;""),"수정","원본")</f>
        <v/>
      </c>
      <c r="D1984" s="18" t="n">
        <v>580</v>
      </c>
      <c r="E1984" s="18" t="inlineStr">
        <is>
          <t>꼬지보리</t>
        </is>
      </c>
      <c r="F1984" s="18" t="inlineStr">
        <is>
          <t>ducklett</t>
        </is>
      </c>
      <c r="G1984" s="18" t="inlineStr">
        <is>
          <t>ducklett</t>
        </is>
      </c>
      <c r="H1984" s="18" t="inlineStr"/>
      <c r="I1984" s="18" t="n">
        <v>5</v>
      </c>
      <c r="J1984" s="18" t="n"/>
      <c r="K1984" s="18" t="n">
        <v>5</v>
      </c>
      <c r="L1984" s="18" t="inlineStr">
        <is>
          <t>cobbleventure:generation_5</t>
        </is>
      </c>
      <c r="M1984" s="19" t="inlineStr">
        <is>
          <t>cobbleventure:generation_5</t>
        </is>
      </c>
      <c r="N1984" s="18" t="inlineStr"/>
      <c r="O1984" s="19" t="inlineStr"/>
      <c r="P1984" s="18" t="inlineStr">
        <is>
          <t>#cobblemon:is_sky</t>
        </is>
      </c>
      <c r="Q1984" s="19" t="inlineStr"/>
      <c r="R1984" s="18">
        <f>IF(Q1984="",P1984,Q1984)</f>
        <v/>
      </c>
      <c r="S1984" s="18" t="inlineStr"/>
      <c r="T1984" s="18" t="inlineStr">
        <is>
          <t>common</t>
        </is>
      </c>
      <c r="U1984" s="20" t="n">
        <v>9</v>
      </c>
      <c r="V1984" s="21" t="n">
        <v>1</v>
      </c>
      <c r="W1984" s="20">
        <f>IF(OR(U1984="",V1984=""),U1984,U1984*V1984)</f>
        <v/>
      </c>
      <c r="X1984" s="18" t="inlineStr">
        <is>
          <t>6-31</t>
        </is>
      </c>
      <c r="Y1984" s="19" t="inlineStr"/>
      <c r="Z1984" s="18">
        <f>IF(Y1984="",X1984,Y1984)</f>
        <v/>
      </c>
      <c r="AA1984" s="18" t="inlineStr">
        <is>
          <t>grounded</t>
        </is>
      </c>
      <c r="AB1984" s="18" t="inlineStr"/>
      <c r="AC1984" s="18" t="inlineStr"/>
      <c r="AD1984" s="18" t="inlineStr"/>
      <c r="AE1984" s="18" t="inlineStr">
        <is>
          <t>sky 8-15</t>
        </is>
      </c>
      <c r="AF1984" s="18" t="inlineStr"/>
      <c r="AG1984" s="18" t="inlineStr"/>
      <c r="AH1984" s="18" t="inlineStr"/>
      <c r="AI1984" s="18" t="inlineStr"/>
      <c r="AJ1984" s="18" t="inlineStr">
        <is>
          <t>Cobblemon 동일</t>
        </is>
      </c>
      <c r="AK1984" s="18" t="inlineStr">
        <is>
          <t>사용</t>
        </is>
      </c>
      <c r="AL1984" s="18" t="inlineStr">
        <is>
          <t>COBBLEVERSE 1.7.42 / DP v31</t>
        </is>
      </c>
      <c r="AM1984" s="18" t="inlineStr">
        <is>
          <t>data/cobblemon/spawn_pool_world/0580_ducklett.json</t>
        </is>
      </c>
      <c r="AN1984" s="18" t="inlineStr">
        <is>
          <t>ducklett-2</t>
        </is>
      </c>
      <c r="AO1984" s="18" t="inlineStr">
        <is>
          <t>pokemon</t>
        </is>
      </c>
      <c r="AP1984" s="18" t="inlineStr">
        <is>
          <t>natural</t>
        </is>
      </c>
      <c r="AQ1984" s="18" t="inlineStr">
        <is>
          <t>{"biomes":["#cobblemon:is_sky"],"maxSkyLight":15,"minSkyLight":8}</t>
        </is>
      </c>
      <c r="AR1984" s="18" t="inlineStr"/>
      <c r="AS1984" s="18" t="inlineStr">
        <is>
          <t>{"weightMultiplier":{"condition":{"timeRange":"night"},"multiplier":0.25}}</t>
        </is>
      </c>
      <c r="AT1984" s="19" t="inlineStr"/>
    </row>
    <row r="1985" ht="32" customHeight="1">
      <c r="A1985" s="18" t="inlineStr">
        <is>
          <t>0580_ducklett.json::ducklett-7::005</t>
        </is>
      </c>
      <c r="B1985" s="19" t="inlineStr">
        <is>
          <t>사용</t>
        </is>
      </c>
      <c r="C1985" s="18">
        <f>IF(OR(B1985&lt;&gt;AK1985,M1985&lt;&gt;L1985,O1985&lt;&gt;"",Q1985&lt;&gt;"",V1985&lt;&gt;1,Y1985&lt;&gt;"",AT1985&lt;&gt;""),"수정","원본")</f>
        <v/>
      </c>
      <c r="D1985" s="18" t="n">
        <v>580</v>
      </c>
      <c r="E1985" s="18" t="inlineStr">
        <is>
          <t>꼬지보리</t>
        </is>
      </c>
      <c r="F1985" s="18" t="inlineStr">
        <is>
          <t>ducklett</t>
        </is>
      </c>
      <c r="G1985" s="18" t="inlineStr">
        <is>
          <t>ducklett</t>
        </is>
      </c>
      <c r="H1985" s="18" t="inlineStr"/>
      <c r="I1985" s="18" t="n">
        <v>5</v>
      </c>
      <c r="J1985" s="18" t="n"/>
      <c r="K1985" s="18" t="n">
        <v>5</v>
      </c>
      <c r="L1985" s="18" t="inlineStr">
        <is>
          <t>cobbleventure:generation_5</t>
        </is>
      </c>
      <c r="M1985" s="19" t="inlineStr">
        <is>
          <t>cobbleventure:generation_5</t>
        </is>
      </c>
      <c r="N1985" s="18" t="inlineStr"/>
      <c r="O1985" s="19" t="inlineStr"/>
      <c r="P1985" s="18" t="inlineStr">
        <is>
          <t>#aether:is_aether</t>
        </is>
      </c>
      <c r="Q1985" s="19" t="inlineStr"/>
      <c r="R1985" s="18">
        <f>IF(Q1985="",P1985,Q1985)</f>
        <v/>
      </c>
      <c r="S1985" s="18" t="inlineStr"/>
      <c r="T1985" s="18" t="inlineStr">
        <is>
          <t>common</t>
        </is>
      </c>
      <c r="U1985" s="20" t="n">
        <v>9</v>
      </c>
      <c r="V1985" s="21" t="n">
        <v>1</v>
      </c>
      <c r="W1985" s="20">
        <f>IF(OR(U1985="",V1985=""),U1985,U1985*V1985)</f>
        <v/>
      </c>
      <c r="X1985" s="18" t="inlineStr">
        <is>
          <t>6-31</t>
        </is>
      </c>
      <c r="Y1985" s="19" t="inlineStr"/>
      <c r="Z1985" s="18">
        <f>IF(Y1985="",X1985,Y1985)</f>
        <v/>
      </c>
      <c r="AA1985" s="18" t="inlineStr">
        <is>
          <t>grounded</t>
        </is>
      </c>
      <c r="AB1985" s="18" t="inlineStr"/>
      <c r="AC1985" s="18" t="inlineStr"/>
      <c r="AD1985" s="18" t="inlineStr"/>
      <c r="AE1985" s="18" t="inlineStr">
        <is>
          <t>sky 8-15</t>
        </is>
      </c>
      <c r="AF1985" s="18" t="inlineStr"/>
      <c r="AG1985" s="18" t="inlineStr"/>
      <c r="AH1985" s="18" t="inlineStr">
        <is>
          <t>주변=minecraft:water</t>
        </is>
      </c>
      <c r="AI1985" s="18" t="inlineStr"/>
      <c r="AJ1985" s="18" t="inlineStr">
        <is>
          <t>Cobblemon 동일</t>
        </is>
      </c>
      <c r="AK1985" s="18" t="inlineStr">
        <is>
          <t>사용</t>
        </is>
      </c>
      <c r="AL1985" s="18" t="inlineStr">
        <is>
          <t>COBBLEVERSE 1.7.42 / DP v31</t>
        </is>
      </c>
      <c r="AM1985" s="18" t="inlineStr">
        <is>
          <t>data/cobblemon/spawn_pool_world/0580_ducklett.json</t>
        </is>
      </c>
      <c r="AN1985" s="18" t="inlineStr">
        <is>
          <t>ducklett-7</t>
        </is>
      </c>
      <c r="AO1985" s="18" t="inlineStr">
        <is>
          <t>pokemon</t>
        </is>
      </c>
      <c r="AP1985" s="18" t="inlineStr">
        <is>
          <t>natural</t>
        </is>
      </c>
      <c r="AQ1985" s="18" t="inlineStr">
        <is>
          <t>{"biomes":["#aether:is_aether"],"maxSkyLight":15,"minSkyLight":8,"neededNearbyBlocks":["minecraft:water"]}</t>
        </is>
      </c>
      <c r="AR1985" s="18" t="inlineStr"/>
      <c r="AS1985" s="18" t="inlineStr"/>
      <c r="AT1985" s="19" t="inlineStr"/>
    </row>
    <row r="1986" ht="32" customHeight="1">
      <c r="A1986" s="18" t="inlineStr">
        <is>
          <t>0580_ducklett.json::ducklett-8::006</t>
        </is>
      </c>
      <c r="B1986" s="19" t="inlineStr">
        <is>
          <t>사용</t>
        </is>
      </c>
      <c r="C1986" s="18">
        <f>IF(OR(B1986&lt;&gt;AK1986,M1986&lt;&gt;L1986,O1986&lt;&gt;"",Q1986&lt;&gt;"",V1986&lt;&gt;1,Y1986&lt;&gt;"",AT1986&lt;&gt;""),"수정","원본")</f>
        <v/>
      </c>
      <c r="D1986" s="18" t="n">
        <v>580</v>
      </c>
      <c r="E1986" s="18" t="inlineStr">
        <is>
          <t>꼬지보리</t>
        </is>
      </c>
      <c r="F1986" s="18" t="inlineStr">
        <is>
          <t>ducklett</t>
        </is>
      </c>
      <c r="G1986" s="18" t="inlineStr">
        <is>
          <t>ducklett</t>
        </is>
      </c>
      <c r="H1986" s="18" t="inlineStr"/>
      <c r="I1986" s="18" t="n">
        <v>5</v>
      </c>
      <c r="J1986" s="18" t="n"/>
      <c r="K1986" s="18" t="n">
        <v>5</v>
      </c>
      <c r="L1986" s="18" t="inlineStr">
        <is>
          <t>cobbleventure:generation_5</t>
        </is>
      </c>
      <c r="M1986" s="19" t="inlineStr">
        <is>
          <t>cobbleventure:generation_5</t>
        </is>
      </c>
      <c r="N1986" s="18" t="inlineStr"/>
      <c r="O1986" s="19" t="inlineStr"/>
      <c r="P1986" s="18" t="inlineStr">
        <is>
          <t>#aether:is_aether</t>
        </is>
      </c>
      <c r="Q1986" s="19" t="inlineStr"/>
      <c r="R1986" s="18">
        <f>IF(Q1986="",P1986,Q1986)</f>
        <v/>
      </c>
      <c r="S1986" s="18" t="inlineStr"/>
      <c r="T1986" s="18" t="inlineStr">
        <is>
          <t>uncommon</t>
        </is>
      </c>
      <c r="U1986" s="20" t="n">
        <v>8.4</v>
      </c>
      <c r="V1986" s="21" t="n">
        <v>1</v>
      </c>
      <c r="W1986" s="20">
        <f>IF(OR(U1986="",V1986=""),U1986,U1986*V1986)</f>
        <v/>
      </c>
      <c r="X1986" s="18" t="inlineStr">
        <is>
          <t>6-31</t>
        </is>
      </c>
      <c r="Y1986" s="19" t="inlineStr"/>
      <c r="Z1986" s="18">
        <f>IF(Y1986="",X1986,Y1986)</f>
        <v/>
      </c>
      <c r="AA1986" s="18" t="inlineStr">
        <is>
          <t>surface</t>
        </is>
      </c>
      <c r="AB1986" s="18" t="inlineStr"/>
      <c r="AC1986" s="18" t="inlineStr"/>
      <c r="AD1986" s="18" t="inlineStr"/>
      <c r="AE1986" s="18" t="inlineStr">
        <is>
          <t>sky 8-15</t>
        </is>
      </c>
      <c r="AF1986" s="18" t="inlineStr"/>
      <c r="AG1986" s="18" t="inlineStr"/>
      <c r="AH1986" s="18" t="inlineStr"/>
      <c r="AI1986" s="18" t="inlineStr"/>
      <c r="AJ1986" s="18" t="inlineStr">
        <is>
          <t>Cobblemon 동일</t>
        </is>
      </c>
      <c r="AK1986" s="18" t="inlineStr">
        <is>
          <t>사용</t>
        </is>
      </c>
      <c r="AL1986" s="18" t="inlineStr">
        <is>
          <t>COBBLEVERSE 1.7.42 / DP v31</t>
        </is>
      </c>
      <c r="AM1986" s="18" t="inlineStr">
        <is>
          <t>data/cobblemon/spawn_pool_world/0580_ducklett.json</t>
        </is>
      </c>
      <c r="AN1986" s="18" t="inlineStr">
        <is>
          <t>ducklett-8</t>
        </is>
      </c>
      <c r="AO1986" s="18" t="inlineStr">
        <is>
          <t>pokemon</t>
        </is>
      </c>
      <c r="AP1986" s="18" t="inlineStr">
        <is>
          <t>water</t>
        </is>
      </c>
      <c r="AQ1986" s="18" t="inlineStr">
        <is>
          <t>{"biomes":["#aether:is_aether"],"maxSkyLight":15,"minSkyLight":8}</t>
        </is>
      </c>
      <c r="AR1986" s="18" t="inlineStr"/>
      <c r="AS1986" s="18" t="inlineStr"/>
      <c r="AT1986" s="19" t="inlineStr"/>
    </row>
    <row r="1987" ht="32" customHeight="1">
      <c r="A1987" s="18" t="inlineStr">
        <is>
          <t>0581_swanna.json::swanna-3::001</t>
        </is>
      </c>
      <c r="B1987" s="19" t="inlineStr">
        <is>
          <t>사용</t>
        </is>
      </c>
      <c r="C1987" s="18">
        <f>IF(OR(B1987&lt;&gt;AK1987,M1987&lt;&gt;L1987,O1987&lt;&gt;"",Q1987&lt;&gt;"",V1987&lt;&gt;1,Y1987&lt;&gt;"",AT1987&lt;&gt;""),"수정","원본")</f>
        <v/>
      </c>
      <c r="D1987" s="18" t="n">
        <v>581</v>
      </c>
      <c r="E1987" s="18" t="inlineStr">
        <is>
          <t>스완나</t>
        </is>
      </c>
      <c r="F1987" s="18" t="inlineStr">
        <is>
          <t>swanna</t>
        </is>
      </c>
      <c r="G1987" s="18" t="inlineStr">
        <is>
          <t>swanna</t>
        </is>
      </c>
      <c r="H1987" s="18" t="inlineStr"/>
      <c r="I1987" s="18" t="n">
        <v>5</v>
      </c>
      <c r="J1987" s="18" t="n"/>
      <c r="K1987" s="18" t="n">
        <v>5</v>
      </c>
      <c r="L1987" s="18" t="inlineStr">
        <is>
          <t>cobbleventure:generation_5</t>
        </is>
      </c>
      <c r="M1987" s="19" t="inlineStr">
        <is>
          <t>cobbleventure:generation_5</t>
        </is>
      </c>
      <c r="N1987" s="18" t="inlineStr">
        <is>
          <t>region_02</t>
        </is>
      </c>
      <c r="O1987" s="19" t="inlineStr"/>
      <c r="P1987" s="18" t="inlineStr">
        <is>
          <t>#cobblemon:is_freshwater</t>
        </is>
      </c>
      <c r="Q1987" s="19" t="inlineStr"/>
      <c r="R1987" s="18">
        <f>IF(Q1987="",P1987,Q1987)</f>
        <v/>
      </c>
      <c r="S1987" s="18" t="inlineStr">
        <is>
          <t>#cobblemon:is_freezing</t>
        </is>
      </c>
      <c r="T1987" s="18" t="inlineStr">
        <is>
          <t>uncommon</t>
        </is>
      </c>
      <c r="U1987" s="20" t="n">
        <v>1.6</v>
      </c>
      <c r="V1987" s="21" t="n">
        <v>1</v>
      </c>
      <c r="W1987" s="20">
        <f>IF(OR(U1987="",V1987=""),U1987,U1987*V1987)</f>
        <v/>
      </c>
      <c r="X1987" s="18" t="inlineStr">
        <is>
          <t>35-47</t>
        </is>
      </c>
      <c r="Y1987" s="19" t="inlineStr"/>
      <c r="Z1987" s="18">
        <f>IF(Y1987="",X1987,Y1987)</f>
        <v/>
      </c>
      <c r="AA1987" s="18" t="inlineStr">
        <is>
          <t>surface</t>
        </is>
      </c>
      <c r="AB1987" s="18" t="inlineStr">
        <is>
          <t>day</t>
        </is>
      </c>
      <c r="AC1987" s="18" t="inlineStr"/>
      <c r="AD1987" s="18" t="inlineStr"/>
      <c r="AE1987" s="18" t="inlineStr">
        <is>
          <t>sky 8-15</t>
        </is>
      </c>
      <c r="AF1987" s="18" t="inlineStr"/>
      <c r="AG1987" s="18" t="inlineStr"/>
      <c r="AH1987" s="18" t="inlineStr"/>
      <c r="AI1987" s="18" t="inlineStr"/>
      <c r="AJ1987" s="18" t="inlineStr">
        <is>
          <t>Cobblemon 동일</t>
        </is>
      </c>
      <c r="AK1987" s="18" t="inlineStr">
        <is>
          <t>사용</t>
        </is>
      </c>
      <c r="AL1987" s="18" t="inlineStr">
        <is>
          <t>COBBLEVERSE 1.7.42 / DP v31</t>
        </is>
      </c>
      <c r="AM1987" s="18" t="inlineStr">
        <is>
          <t>data/cobblemon/spawn_pool_world/0581_swanna.json</t>
        </is>
      </c>
      <c r="AN1987" s="18" t="inlineStr">
        <is>
          <t>swanna-3</t>
        </is>
      </c>
      <c r="AO1987" s="18" t="inlineStr">
        <is>
          <t>pokemon</t>
        </is>
      </c>
      <c r="AP1987" s="18" t="inlineStr">
        <is>
          <t>water</t>
        </is>
      </c>
      <c r="AQ1987" s="18" t="inlineStr">
        <is>
          <t>{"biomes":["#cobblemon:is_freshwater"],"maxSkyLight":15,"minSkyLight":8,"timeRange":"day"}</t>
        </is>
      </c>
      <c r="AR1987" s="18" t="inlineStr">
        <is>
          <t>{"biomes":["#cobblemon:is_freezing"]}</t>
        </is>
      </c>
      <c r="AS1987" s="18" t="inlineStr"/>
      <c r="AT1987" s="19" t="inlineStr"/>
    </row>
    <row r="1988" ht="32" customHeight="1">
      <c r="A1988" s="18" t="inlineStr">
        <is>
          <t>0581_swanna.json::swanna-1::002</t>
        </is>
      </c>
      <c r="B1988" s="19" t="inlineStr">
        <is>
          <t>사용</t>
        </is>
      </c>
      <c r="C1988" s="18">
        <f>IF(OR(B1988&lt;&gt;AK1988,M1988&lt;&gt;L1988,O1988&lt;&gt;"",Q1988&lt;&gt;"",V1988&lt;&gt;1,Y1988&lt;&gt;"",AT1988&lt;&gt;""),"수정","원본")</f>
        <v/>
      </c>
      <c r="D1988" s="18" t="n">
        <v>581</v>
      </c>
      <c r="E1988" s="18" t="inlineStr">
        <is>
          <t>스완나</t>
        </is>
      </c>
      <c r="F1988" s="18" t="inlineStr">
        <is>
          <t>swanna</t>
        </is>
      </c>
      <c r="G1988" s="18" t="inlineStr">
        <is>
          <t>swanna</t>
        </is>
      </c>
      <c r="H1988" s="18" t="inlineStr"/>
      <c r="I1988" s="18" t="n">
        <v>5</v>
      </c>
      <c r="J1988" s="18" t="n"/>
      <c r="K1988" s="18" t="n">
        <v>5</v>
      </c>
      <c r="L1988" s="18" t="inlineStr">
        <is>
          <t>cobbleventure:generation_5</t>
        </is>
      </c>
      <c r="M1988" s="19" t="inlineStr">
        <is>
          <t>cobbleventure:generation_5</t>
        </is>
      </c>
      <c r="N1988" s="18" t="inlineStr">
        <is>
          <t>region_02</t>
        </is>
      </c>
      <c r="O1988" s="19" t="inlineStr"/>
      <c r="P1988" s="18" t="inlineStr">
        <is>
          <t>#cobblemon:is_freshwater</t>
        </is>
      </c>
      <c r="Q1988" s="19" t="inlineStr"/>
      <c r="R1988" s="18">
        <f>IF(Q1988="",P1988,Q1988)</f>
        <v/>
      </c>
      <c r="S1988" s="18" t="inlineStr">
        <is>
          <t>#cobblemon:is_freezing</t>
        </is>
      </c>
      <c r="T1988" s="18" t="inlineStr">
        <is>
          <t>common</t>
        </is>
      </c>
      <c r="U1988" s="20" t="n">
        <v>1</v>
      </c>
      <c r="V1988" s="21" t="n">
        <v>1</v>
      </c>
      <c r="W1988" s="20">
        <f>IF(OR(U1988="",V1988=""),U1988,U1988*V1988)</f>
        <v/>
      </c>
      <c r="X1988" s="18" t="inlineStr">
        <is>
          <t>35-47</t>
        </is>
      </c>
      <c r="Y1988" s="19" t="inlineStr"/>
      <c r="Z1988" s="18">
        <f>IF(Y1988="",X1988,Y1988)</f>
        <v/>
      </c>
      <c r="AA1988" s="18" t="inlineStr">
        <is>
          <t>grounded</t>
        </is>
      </c>
      <c r="AB1988" s="18" t="inlineStr"/>
      <c r="AC1988" s="18" t="inlineStr"/>
      <c r="AD1988" s="18" t="inlineStr"/>
      <c r="AE1988" s="18" t="inlineStr">
        <is>
          <t>sky 8-15</t>
        </is>
      </c>
      <c r="AF1988" s="18" t="inlineStr"/>
      <c r="AG1988" s="18" t="inlineStr"/>
      <c r="AH1988" s="18" t="inlineStr"/>
      <c r="AI1988" s="18" t="inlineStr"/>
      <c r="AJ1988" s="18" t="inlineStr">
        <is>
          <t>Cobblemon 동일</t>
        </is>
      </c>
      <c r="AK1988" s="18" t="inlineStr">
        <is>
          <t>사용</t>
        </is>
      </c>
      <c r="AL1988" s="18" t="inlineStr">
        <is>
          <t>COBBLEVERSE 1.7.42 / DP v31</t>
        </is>
      </c>
      <c r="AM1988" s="18" t="inlineStr">
        <is>
          <t>data/cobblemon/spawn_pool_world/0581_swanna.json</t>
        </is>
      </c>
      <c r="AN1988" s="18" t="inlineStr">
        <is>
          <t>swanna-1</t>
        </is>
      </c>
      <c r="AO1988" s="18" t="inlineStr">
        <is>
          <t>pokemon</t>
        </is>
      </c>
      <c r="AP1988" s="18" t="inlineStr">
        <is>
          <t>natural</t>
        </is>
      </c>
      <c r="AQ1988" s="18" t="inlineStr">
        <is>
          <t>{"biomes":["#cobblemon:is_freshwater"],"maxSkyLight":15,"minSkyLight":8}</t>
        </is>
      </c>
      <c r="AR1988" s="18" t="inlineStr">
        <is>
          <t>{"biomes":["#cobblemon:is_freezing"]}</t>
        </is>
      </c>
      <c r="AS1988" s="18" t="inlineStr">
        <is>
          <t>{"weightMultiplier":{"condition":{"timeRange":"night"},"multiplier":0.25}}</t>
        </is>
      </c>
      <c r="AT1988" s="19" t="inlineStr"/>
    </row>
    <row r="1989" ht="32" customHeight="1">
      <c r="A1989" s="18" t="inlineStr">
        <is>
          <t>0581_swanna.json::swanna-4::003</t>
        </is>
      </c>
      <c r="B1989" s="19" t="inlineStr">
        <is>
          <t>사용</t>
        </is>
      </c>
      <c r="C1989" s="18">
        <f>IF(OR(B1989&lt;&gt;AK1989,M1989&lt;&gt;L1989,O1989&lt;&gt;"",Q1989&lt;&gt;"",V1989&lt;&gt;1,Y1989&lt;&gt;"",AT1989&lt;&gt;""),"수정","원본")</f>
        <v/>
      </c>
      <c r="D1989" s="18" t="n">
        <v>581</v>
      </c>
      <c r="E1989" s="18" t="inlineStr">
        <is>
          <t>스완나</t>
        </is>
      </c>
      <c r="F1989" s="18" t="inlineStr">
        <is>
          <t>swanna</t>
        </is>
      </c>
      <c r="G1989" s="18" t="inlineStr">
        <is>
          <t>swanna</t>
        </is>
      </c>
      <c r="H1989" s="18" t="inlineStr"/>
      <c r="I1989" s="18" t="n">
        <v>5</v>
      </c>
      <c r="J1989" s="18" t="n"/>
      <c r="K1989" s="18" t="n">
        <v>5</v>
      </c>
      <c r="L1989" s="18" t="inlineStr">
        <is>
          <t>cobbleventure:generation_5</t>
        </is>
      </c>
      <c r="M1989" s="19" t="inlineStr">
        <is>
          <t>cobbleventure:generation_5</t>
        </is>
      </c>
      <c r="N1989" s="18" t="inlineStr"/>
      <c r="O1989" s="19" t="inlineStr"/>
      <c r="P1989" s="18" t="inlineStr">
        <is>
          <t>#cobblemon:is_sky</t>
        </is>
      </c>
      <c r="Q1989" s="19" t="inlineStr"/>
      <c r="R1989" s="18">
        <f>IF(Q1989="",P1989,Q1989)</f>
        <v/>
      </c>
      <c r="S1989" s="18" t="inlineStr"/>
      <c r="T1989" s="18" t="inlineStr">
        <is>
          <t>uncommon</t>
        </is>
      </c>
      <c r="U1989" s="20" t="n">
        <v>1.6</v>
      </c>
      <c r="V1989" s="21" t="n">
        <v>1</v>
      </c>
      <c r="W1989" s="20">
        <f>IF(OR(U1989="",V1989=""),U1989,U1989*V1989)</f>
        <v/>
      </c>
      <c r="X1989" s="18" t="inlineStr">
        <is>
          <t>35-47</t>
        </is>
      </c>
      <c r="Y1989" s="19" t="inlineStr"/>
      <c r="Z1989" s="18">
        <f>IF(Y1989="",X1989,Y1989)</f>
        <v/>
      </c>
      <c r="AA1989" s="18" t="inlineStr">
        <is>
          <t>surface</t>
        </is>
      </c>
      <c r="AB1989" s="18" t="inlineStr">
        <is>
          <t>day</t>
        </is>
      </c>
      <c r="AC1989" s="18" t="inlineStr"/>
      <c r="AD1989" s="18" t="inlineStr"/>
      <c r="AE1989" s="18" t="inlineStr">
        <is>
          <t>sky 8-15</t>
        </is>
      </c>
      <c r="AF1989" s="18" t="inlineStr"/>
      <c r="AG1989" s="18" t="inlineStr"/>
      <c r="AH1989" s="18" t="inlineStr"/>
      <c r="AI1989" s="18" t="inlineStr"/>
      <c r="AJ1989" s="18" t="inlineStr">
        <is>
          <t>Cobblemon 동일</t>
        </is>
      </c>
      <c r="AK1989" s="18" t="inlineStr">
        <is>
          <t>사용</t>
        </is>
      </c>
      <c r="AL1989" s="18" t="inlineStr">
        <is>
          <t>COBBLEVERSE 1.7.42 / DP v31</t>
        </is>
      </c>
      <c r="AM1989" s="18" t="inlineStr">
        <is>
          <t>data/cobblemon/spawn_pool_world/0581_swanna.json</t>
        </is>
      </c>
      <c r="AN1989" s="18" t="inlineStr">
        <is>
          <t>swanna-4</t>
        </is>
      </c>
      <c r="AO1989" s="18" t="inlineStr">
        <is>
          <t>pokemon</t>
        </is>
      </c>
      <c r="AP1989" s="18" t="inlineStr">
        <is>
          <t>water</t>
        </is>
      </c>
      <c r="AQ1989" s="18" t="inlineStr">
        <is>
          <t>{"biomes":["#cobblemon:is_sky"],"maxSkyLight":15,"minSkyLight":8,"timeRange":"day"}</t>
        </is>
      </c>
      <c r="AR1989" s="18" t="inlineStr"/>
      <c r="AS1989" s="18" t="inlineStr"/>
      <c r="AT1989" s="19" t="inlineStr"/>
    </row>
    <row r="1990" ht="32" customHeight="1">
      <c r="A1990" s="18" t="inlineStr">
        <is>
          <t>0581_swanna.json::swanna-2::004</t>
        </is>
      </c>
      <c r="B1990" s="19" t="inlineStr">
        <is>
          <t>사용</t>
        </is>
      </c>
      <c r="C1990" s="18">
        <f>IF(OR(B1990&lt;&gt;AK1990,M1990&lt;&gt;L1990,O1990&lt;&gt;"",Q1990&lt;&gt;"",V1990&lt;&gt;1,Y1990&lt;&gt;"",AT1990&lt;&gt;""),"수정","원본")</f>
        <v/>
      </c>
      <c r="D1990" s="18" t="n">
        <v>581</v>
      </c>
      <c r="E1990" s="18" t="inlineStr">
        <is>
          <t>스완나</t>
        </is>
      </c>
      <c r="F1990" s="18" t="inlineStr">
        <is>
          <t>swanna</t>
        </is>
      </c>
      <c r="G1990" s="18" t="inlineStr">
        <is>
          <t>swanna</t>
        </is>
      </c>
      <c r="H1990" s="18" t="inlineStr"/>
      <c r="I1990" s="18" t="n">
        <v>5</v>
      </c>
      <c r="J1990" s="18" t="n"/>
      <c r="K1990" s="18" t="n">
        <v>5</v>
      </c>
      <c r="L1990" s="18" t="inlineStr">
        <is>
          <t>cobbleventure:generation_5</t>
        </is>
      </c>
      <c r="M1990" s="19" t="inlineStr">
        <is>
          <t>cobbleventure:generation_5</t>
        </is>
      </c>
      <c r="N1990" s="18" t="inlineStr"/>
      <c r="O1990" s="19" t="inlineStr"/>
      <c r="P1990" s="18" t="inlineStr">
        <is>
          <t>#cobblemon:is_sky</t>
        </is>
      </c>
      <c r="Q1990" s="19" t="inlineStr"/>
      <c r="R1990" s="18">
        <f>IF(Q1990="",P1990,Q1990)</f>
        <v/>
      </c>
      <c r="S1990" s="18" t="inlineStr"/>
      <c r="T1990" s="18" t="inlineStr">
        <is>
          <t>common</t>
        </is>
      </c>
      <c r="U1990" s="20" t="n">
        <v>1</v>
      </c>
      <c r="V1990" s="21" t="n">
        <v>1</v>
      </c>
      <c r="W1990" s="20">
        <f>IF(OR(U1990="",V1990=""),U1990,U1990*V1990)</f>
        <v/>
      </c>
      <c r="X1990" s="18" t="inlineStr">
        <is>
          <t>35-47</t>
        </is>
      </c>
      <c r="Y1990" s="19" t="inlineStr"/>
      <c r="Z1990" s="18">
        <f>IF(Y1990="",X1990,Y1990)</f>
        <v/>
      </c>
      <c r="AA1990" s="18" t="inlineStr">
        <is>
          <t>grounded</t>
        </is>
      </c>
      <c r="AB1990" s="18" t="inlineStr"/>
      <c r="AC1990" s="18" t="inlineStr"/>
      <c r="AD1990" s="18" t="inlineStr"/>
      <c r="AE1990" s="18" t="inlineStr">
        <is>
          <t>sky 8-15</t>
        </is>
      </c>
      <c r="AF1990" s="18" t="inlineStr"/>
      <c r="AG1990" s="18" t="inlineStr"/>
      <c r="AH1990" s="18" t="inlineStr"/>
      <c r="AI1990" s="18" t="inlineStr"/>
      <c r="AJ1990" s="18" t="inlineStr">
        <is>
          <t>Cobblemon 동일</t>
        </is>
      </c>
      <c r="AK1990" s="18" t="inlineStr">
        <is>
          <t>사용</t>
        </is>
      </c>
      <c r="AL1990" s="18" t="inlineStr">
        <is>
          <t>COBBLEVERSE 1.7.42 / DP v31</t>
        </is>
      </c>
      <c r="AM1990" s="18" t="inlineStr">
        <is>
          <t>data/cobblemon/spawn_pool_world/0581_swanna.json</t>
        </is>
      </c>
      <c r="AN1990" s="18" t="inlineStr">
        <is>
          <t>swanna-2</t>
        </is>
      </c>
      <c r="AO1990" s="18" t="inlineStr">
        <is>
          <t>pokemon</t>
        </is>
      </c>
      <c r="AP1990" s="18" t="inlineStr"/>
      <c r="AQ1990" s="18" t="inlineStr">
        <is>
          <t>{"biomes":["#cobblemon:is_sky"],"maxSkyLight":15,"minSkyLight":8}</t>
        </is>
      </c>
      <c r="AR1990" s="18" t="inlineStr"/>
      <c r="AS1990" s="18" t="inlineStr">
        <is>
          <t>{"weightMultiplier":{"condition":{"timeRange":"night"},"multiplier":0.25}}</t>
        </is>
      </c>
      <c r="AT1990" s="19" t="inlineStr"/>
    </row>
    <row r="1991" ht="32" customHeight="1">
      <c r="A1991" s="18" t="inlineStr">
        <is>
          <t>0581_swanna.json::swanna-7::005</t>
        </is>
      </c>
      <c r="B1991" s="19" t="inlineStr">
        <is>
          <t>사용</t>
        </is>
      </c>
      <c r="C1991" s="18">
        <f>IF(OR(B1991&lt;&gt;AK1991,M1991&lt;&gt;L1991,O1991&lt;&gt;"",Q1991&lt;&gt;"",V1991&lt;&gt;1,Y1991&lt;&gt;"",AT1991&lt;&gt;""),"수정","원본")</f>
        <v/>
      </c>
      <c r="D1991" s="18" t="n">
        <v>581</v>
      </c>
      <c r="E1991" s="18" t="inlineStr">
        <is>
          <t>스완나</t>
        </is>
      </c>
      <c r="F1991" s="18" t="inlineStr">
        <is>
          <t>swanna</t>
        </is>
      </c>
      <c r="G1991" s="18" t="inlineStr">
        <is>
          <t>swanna</t>
        </is>
      </c>
      <c r="H1991" s="18" t="inlineStr"/>
      <c r="I1991" s="18" t="n">
        <v>5</v>
      </c>
      <c r="J1991" s="18" t="n"/>
      <c r="K1991" s="18" t="n">
        <v>5</v>
      </c>
      <c r="L1991" s="18" t="inlineStr">
        <is>
          <t>cobbleventure:generation_5</t>
        </is>
      </c>
      <c r="M1991" s="19" t="inlineStr">
        <is>
          <t>cobbleventure:generation_5</t>
        </is>
      </c>
      <c r="N1991" s="18" t="inlineStr"/>
      <c r="O1991" s="19" t="inlineStr"/>
      <c r="P1991" s="18" t="inlineStr">
        <is>
          <t>#aether:is_aether</t>
        </is>
      </c>
      <c r="Q1991" s="19" t="inlineStr"/>
      <c r="R1991" s="18">
        <f>IF(Q1991="",P1991,Q1991)</f>
        <v/>
      </c>
      <c r="S1991" s="18" t="inlineStr"/>
      <c r="T1991" s="18" t="inlineStr">
        <is>
          <t>common</t>
        </is>
      </c>
      <c r="U1991" s="20" t="n">
        <v>1</v>
      </c>
      <c r="V1991" s="21" t="n">
        <v>1</v>
      </c>
      <c r="W1991" s="20">
        <f>IF(OR(U1991="",V1991=""),U1991,U1991*V1991)</f>
        <v/>
      </c>
      <c r="X1991" s="18" t="inlineStr">
        <is>
          <t>35-47</t>
        </is>
      </c>
      <c r="Y1991" s="19" t="inlineStr"/>
      <c r="Z1991" s="18">
        <f>IF(Y1991="",X1991,Y1991)</f>
        <v/>
      </c>
      <c r="AA1991" s="18" t="inlineStr">
        <is>
          <t>grounded</t>
        </is>
      </c>
      <c r="AB1991" s="18" t="inlineStr"/>
      <c r="AC1991" s="18" t="inlineStr"/>
      <c r="AD1991" s="18" t="inlineStr"/>
      <c r="AE1991" s="18" t="inlineStr">
        <is>
          <t>sky 8-15</t>
        </is>
      </c>
      <c r="AF1991" s="18" t="inlineStr"/>
      <c r="AG1991" s="18" t="inlineStr"/>
      <c r="AH1991" s="18" t="inlineStr">
        <is>
          <t>주변=minecraft:water</t>
        </is>
      </c>
      <c r="AI1991" s="18" t="inlineStr"/>
      <c r="AJ1991" s="18" t="inlineStr">
        <is>
          <t>Cobblemon 동일</t>
        </is>
      </c>
      <c r="AK1991" s="18" t="inlineStr">
        <is>
          <t>사용</t>
        </is>
      </c>
      <c r="AL1991" s="18" t="inlineStr">
        <is>
          <t>COBBLEVERSE 1.7.42 / DP v31</t>
        </is>
      </c>
      <c r="AM1991" s="18" t="inlineStr">
        <is>
          <t>data/cobblemon/spawn_pool_world/0581_swanna.json</t>
        </is>
      </c>
      <c r="AN1991" s="18" t="inlineStr">
        <is>
          <t>swanna-7</t>
        </is>
      </c>
      <c r="AO1991" s="18" t="inlineStr">
        <is>
          <t>pokemon</t>
        </is>
      </c>
      <c r="AP1991" s="18" t="inlineStr">
        <is>
          <t>natural</t>
        </is>
      </c>
      <c r="AQ1991" s="18" t="inlineStr">
        <is>
          <t>{"biomes":["#aether:is_aether"],"maxSkyLight":15,"minSkyLight":8,"neededNearbyBlocks":["minecraft:water"]}</t>
        </is>
      </c>
      <c r="AR1991" s="18" t="inlineStr"/>
      <c r="AS1991" s="18" t="inlineStr"/>
      <c r="AT1991" s="19" t="inlineStr"/>
    </row>
    <row r="1992" ht="32" customHeight="1">
      <c r="A1992" s="18" t="inlineStr">
        <is>
          <t>0581_swanna.json::swanna-8::006</t>
        </is>
      </c>
      <c r="B1992" s="19" t="inlineStr">
        <is>
          <t>사용</t>
        </is>
      </c>
      <c r="C1992" s="18">
        <f>IF(OR(B1992&lt;&gt;AK1992,M1992&lt;&gt;L1992,O1992&lt;&gt;"",Q1992&lt;&gt;"",V1992&lt;&gt;1,Y1992&lt;&gt;"",AT1992&lt;&gt;""),"수정","원본")</f>
        <v/>
      </c>
      <c r="D1992" s="18" t="n">
        <v>581</v>
      </c>
      <c r="E1992" s="18" t="inlineStr">
        <is>
          <t>스완나</t>
        </is>
      </c>
      <c r="F1992" s="18" t="inlineStr">
        <is>
          <t>swanna</t>
        </is>
      </c>
      <c r="G1992" s="18" t="inlineStr">
        <is>
          <t>swanna</t>
        </is>
      </c>
      <c r="H1992" s="18" t="inlineStr"/>
      <c r="I1992" s="18" t="n">
        <v>5</v>
      </c>
      <c r="J1992" s="18" t="n"/>
      <c r="K1992" s="18" t="n">
        <v>5</v>
      </c>
      <c r="L1992" s="18" t="inlineStr">
        <is>
          <t>cobbleventure:generation_5</t>
        </is>
      </c>
      <c r="M1992" s="19" t="inlineStr">
        <is>
          <t>cobbleventure:generation_5</t>
        </is>
      </c>
      <c r="N1992" s="18" t="inlineStr"/>
      <c r="O1992" s="19" t="inlineStr"/>
      <c r="P1992" s="18" t="inlineStr">
        <is>
          <t>#aether:is_aether</t>
        </is>
      </c>
      <c r="Q1992" s="19" t="inlineStr"/>
      <c r="R1992" s="18">
        <f>IF(Q1992="",P1992,Q1992)</f>
        <v/>
      </c>
      <c r="S1992" s="18" t="inlineStr"/>
      <c r="T1992" s="18" t="inlineStr">
        <is>
          <t>uncommon</t>
        </is>
      </c>
      <c r="U1992" s="20" t="n">
        <v>1.6</v>
      </c>
      <c r="V1992" s="21" t="n">
        <v>1</v>
      </c>
      <c r="W1992" s="20">
        <f>IF(OR(U1992="",V1992=""),U1992,U1992*V1992)</f>
        <v/>
      </c>
      <c r="X1992" s="18" t="inlineStr">
        <is>
          <t>35-47</t>
        </is>
      </c>
      <c r="Y1992" s="19" t="inlineStr"/>
      <c r="Z1992" s="18">
        <f>IF(Y1992="",X1992,Y1992)</f>
        <v/>
      </c>
      <c r="AA1992" s="18" t="inlineStr">
        <is>
          <t>surface</t>
        </is>
      </c>
      <c r="AB1992" s="18" t="inlineStr"/>
      <c r="AC1992" s="18" t="inlineStr"/>
      <c r="AD1992" s="18" t="inlineStr"/>
      <c r="AE1992" s="18" t="inlineStr">
        <is>
          <t>sky 8-15</t>
        </is>
      </c>
      <c r="AF1992" s="18" t="inlineStr"/>
      <c r="AG1992" s="18" t="inlineStr"/>
      <c r="AH1992" s="18" t="inlineStr"/>
      <c r="AI1992" s="18" t="inlineStr"/>
      <c r="AJ1992" s="18" t="inlineStr">
        <is>
          <t>Cobblemon 동일</t>
        </is>
      </c>
      <c r="AK1992" s="18" t="inlineStr">
        <is>
          <t>사용</t>
        </is>
      </c>
      <c r="AL1992" s="18" t="inlineStr">
        <is>
          <t>COBBLEVERSE 1.7.42 / DP v31</t>
        </is>
      </c>
      <c r="AM1992" s="18" t="inlineStr">
        <is>
          <t>data/cobblemon/spawn_pool_world/0581_swanna.json</t>
        </is>
      </c>
      <c r="AN1992" s="18" t="inlineStr">
        <is>
          <t>swanna-8</t>
        </is>
      </c>
      <c r="AO1992" s="18" t="inlineStr">
        <is>
          <t>pokemon</t>
        </is>
      </c>
      <c r="AP1992" s="18" t="inlineStr">
        <is>
          <t>water</t>
        </is>
      </c>
      <c r="AQ1992" s="18" t="inlineStr">
        <is>
          <t>{"biomes":["#aether:is_aether"],"maxSkyLight":15,"minSkyLight":8}</t>
        </is>
      </c>
      <c r="AR1992" s="18" t="inlineStr"/>
      <c r="AS1992" s="18" t="inlineStr"/>
      <c r="AT1992" s="19" t="inlineStr"/>
    </row>
    <row r="1993" ht="32" customHeight="1">
      <c r="A1993" s="18" t="inlineStr">
        <is>
          <t>0582_vanillite.json::vanillite-1::001</t>
        </is>
      </c>
      <c r="B1993" s="19" t="inlineStr">
        <is>
          <t>사용</t>
        </is>
      </c>
      <c r="C1993" s="18">
        <f>IF(OR(B1993&lt;&gt;AK1993,M1993&lt;&gt;L1993,O1993&lt;&gt;"",Q1993&lt;&gt;"",V1993&lt;&gt;1,Y1993&lt;&gt;"",AT1993&lt;&gt;""),"수정","원본")</f>
        <v/>
      </c>
      <c r="D1993" s="18" t="n">
        <v>582</v>
      </c>
      <c r="E1993" s="18" t="inlineStr">
        <is>
          <t>바닐프티</t>
        </is>
      </c>
      <c r="F1993" s="18" t="inlineStr">
        <is>
          <t>vanillite</t>
        </is>
      </c>
      <c r="G1993" s="18" t="inlineStr">
        <is>
          <t>vanillite</t>
        </is>
      </c>
      <c r="H1993" s="18" t="inlineStr"/>
      <c r="I1993" s="18" t="n">
        <v>5</v>
      </c>
      <c r="J1993" s="18" t="n"/>
      <c r="K1993" s="18" t="n">
        <v>5</v>
      </c>
      <c r="L1993" s="18" t="inlineStr">
        <is>
          <t>cobbleventure:generation_5</t>
        </is>
      </c>
      <c r="M1993" s="19" t="inlineStr">
        <is>
          <t>cobbleventure:generation_5</t>
        </is>
      </c>
      <c r="N1993" s="18" t="inlineStr"/>
      <c r="O1993" s="19" t="inlineStr"/>
      <c r="P1993" s="18" t="inlineStr">
        <is>
          <t>#cobblemon:is_freezing</t>
        </is>
      </c>
      <c r="Q1993" s="19" t="inlineStr"/>
      <c r="R1993" s="18">
        <f>IF(Q1993="",P1993,Q1993)</f>
        <v/>
      </c>
      <c r="S1993" s="18" t="inlineStr"/>
      <c r="T1993" s="18" t="inlineStr">
        <is>
          <t>common</t>
        </is>
      </c>
      <c r="U1993" s="20" t="n">
        <v>1.8</v>
      </c>
      <c r="V1993" s="21" t="n">
        <v>1</v>
      </c>
      <c r="W1993" s="20">
        <f>IF(OR(U1993="",V1993=""),U1993,U1993*V1993)</f>
        <v/>
      </c>
      <c r="X1993" s="18" t="inlineStr">
        <is>
          <t>6-31</t>
        </is>
      </c>
      <c r="Y1993" s="19" t="inlineStr"/>
      <c r="Z1993" s="18">
        <f>IF(Y1993="",X1993,Y1993)</f>
        <v/>
      </c>
      <c r="AA1993" s="18" t="inlineStr">
        <is>
          <t>grounded</t>
        </is>
      </c>
      <c r="AB1993" s="18" t="inlineStr"/>
      <c r="AC1993" s="18" t="inlineStr"/>
      <c r="AD1993" s="18" t="inlineStr"/>
      <c r="AE1993" s="18" t="inlineStr">
        <is>
          <t>sky 8-15</t>
        </is>
      </c>
      <c r="AF1993" s="18" t="inlineStr"/>
      <c r="AG1993" s="18" t="inlineStr"/>
      <c r="AH1993" s="18" t="inlineStr"/>
      <c r="AI1993" s="18" t="inlineStr"/>
      <c r="AJ1993" s="18" t="inlineStr">
        <is>
          <t>Cobblemon 동일</t>
        </is>
      </c>
      <c r="AK1993" s="18" t="inlineStr">
        <is>
          <t>사용</t>
        </is>
      </c>
      <c r="AL1993" s="18" t="inlineStr">
        <is>
          <t>COBBLEVERSE 1.7.42 / DP v31</t>
        </is>
      </c>
      <c r="AM1993" s="18" t="inlineStr">
        <is>
          <t>data/cobblemon/spawn_pool_world/0582_vanillite.json</t>
        </is>
      </c>
      <c r="AN1993" s="18" t="inlineStr">
        <is>
          <t>vanillite-1</t>
        </is>
      </c>
      <c r="AO1993" s="18" t="inlineStr">
        <is>
          <t>pokemon</t>
        </is>
      </c>
      <c r="AP1993" s="18" t="inlineStr">
        <is>
          <t>natural</t>
        </is>
      </c>
      <c r="AQ1993" s="18" t="inlineStr">
        <is>
          <t>{"biomes":["#cobblemon:is_freezing"],"maxSkyLight":15,"minSkyLight":8}</t>
        </is>
      </c>
      <c r="AR1993" s="18" t="inlineStr"/>
      <c r="AS1993" s="18" t="inlineStr">
        <is>
          <t>{"weightMultiplier":{"condition":{"timeRange":"dawn"},"multiplier":5.0}}</t>
        </is>
      </c>
      <c r="AT1993" s="19" t="inlineStr"/>
    </row>
    <row r="1994" ht="32" customHeight="1">
      <c r="A1994" s="18" t="inlineStr">
        <is>
          <t>0582_vanillite.json::vanillite-2::002</t>
        </is>
      </c>
      <c r="B1994" s="19" t="inlineStr">
        <is>
          <t>사용</t>
        </is>
      </c>
      <c r="C1994" s="18">
        <f>IF(OR(B1994&lt;&gt;AK1994,M1994&lt;&gt;L1994,O1994&lt;&gt;"",Q1994&lt;&gt;"",V1994&lt;&gt;1,Y1994&lt;&gt;"",AT1994&lt;&gt;""),"수정","원본")</f>
        <v/>
      </c>
      <c r="D1994" s="18" t="n">
        <v>582</v>
      </c>
      <c r="E1994" s="18" t="inlineStr">
        <is>
          <t>바닐프티</t>
        </is>
      </c>
      <c r="F1994" s="18" t="inlineStr">
        <is>
          <t>vanillite</t>
        </is>
      </c>
      <c r="G1994" s="18" t="inlineStr">
        <is>
          <t>vanillite</t>
        </is>
      </c>
      <c r="H1994" s="18" t="inlineStr"/>
      <c r="I1994" s="18" t="n">
        <v>5</v>
      </c>
      <c r="J1994" s="18" t="n"/>
      <c r="K1994" s="18" t="n">
        <v>5</v>
      </c>
      <c r="L1994" s="18" t="inlineStr">
        <is>
          <t>cobbleventure:generation_5</t>
        </is>
      </c>
      <c r="M1994" s="19" t="inlineStr">
        <is>
          <t>cobbleventure:generation_5</t>
        </is>
      </c>
      <c r="N1994" s="18" t="inlineStr"/>
      <c r="O1994" s="19" t="inlineStr"/>
      <c r="P1994" s="18" t="inlineStr">
        <is>
          <t>#cobblemon:is_freezing</t>
        </is>
      </c>
      <c r="Q1994" s="19" t="inlineStr"/>
      <c r="R1994" s="18">
        <f>IF(Q1994="",P1994,Q1994)</f>
        <v/>
      </c>
      <c r="S1994" s="18" t="inlineStr"/>
      <c r="T1994" s="18" t="inlineStr">
        <is>
          <t>uncommon</t>
        </is>
      </c>
      <c r="U1994" s="20" t="n">
        <v>5.04</v>
      </c>
      <c r="V1994" s="21" t="n">
        <v>1</v>
      </c>
      <c r="W1994" s="20">
        <f>IF(OR(U1994="",V1994=""),U1994,U1994*V1994)</f>
        <v/>
      </c>
      <c r="X1994" s="18" t="inlineStr">
        <is>
          <t>6-31</t>
        </is>
      </c>
      <c r="Y1994" s="19" t="inlineStr"/>
      <c r="Z1994" s="18">
        <f>IF(Y1994="",X1994,Y1994)</f>
        <v/>
      </c>
      <c r="AA1994" s="18" t="inlineStr">
        <is>
          <t>grounded</t>
        </is>
      </c>
      <c r="AB1994" s="18" t="inlineStr"/>
      <c r="AC1994" s="18" t="inlineStr"/>
      <c r="AD1994" s="18" t="inlineStr">
        <is>
          <t>minY=0</t>
        </is>
      </c>
      <c r="AE1994" s="18" t="inlineStr">
        <is>
          <t>sky 0-7</t>
        </is>
      </c>
      <c r="AF1994" s="18" t="inlineStr"/>
      <c r="AG1994" s="18" t="inlineStr"/>
      <c r="AH1994" s="18" t="inlineStr"/>
      <c r="AI1994" s="18" t="inlineStr"/>
      <c r="AJ1994" s="18" t="inlineStr">
        <is>
          <t>Cobblemon 동일</t>
        </is>
      </c>
      <c r="AK1994" s="18" t="inlineStr">
        <is>
          <t>사용</t>
        </is>
      </c>
      <c r="AL1994" s="18" t="inlineStr">
        <is>
          <t>COBBLEVERSE 1.7.42 / DP v31</t>
        </is>
      </c>
      <c r="AM1994" s="18" t="inlineStr">
        <is>
          <t>data/cobblemon/spawn_pool_world/0582_vanillite.json</t>
        </is>
      </c>
      <c r="AN1994" s="18" t="inlineStr">
        <is>
          <t>vanillite-2</t>
        </is>
      </c>
      <c r="AO1994" s="18" t="inlineStr">
        <is>
          <t>pokemon</t>
        </is>
      </c>
      <c r="AP1994" s="18" t="inlineStr">
        <is>
          <t>natural</t>
        </is>
      </c>
      <c r="AQ1994" s="18" t="inlineStr">
        <is>
          <t>{"biomes":["#cobblemon:is_freezing"],"maxSkyLight":7,"minSkyLight":0,"minY":0}</t>
        </is>
      </c>
      <c r="AR1994" s="18" t="inlineStr"/>
      <c r="AS1994" s="18" t="inlineStr"/>
      <c r="AT1994" s="19" t="inlineStr"/>
    </row>
    <row r="1995" ht="32" customHeight="1">
      <c r="A1995" s="18" t="inlineStr">
        <is>
          <t>0582_vanillite.json::vanillite-3::003</t>
        </is>
      </c>
      <c r="B1995" s="19" t="inlineStr">
        <is>
          <t>사용</t>
        </is>
      </c>
      <c r="C1995" s="18">
        <f>IF(OR(B1995&lt;&gt;AK1995,M1995&lt;&gt;L1995,O1995&lt;&gt;"",Q1995&lt;&gt;"",V1995&lt;&gt;1,Y1995&lt;&gt;"",AT1995&lt;&gt;""),"수정","원본")</f>
        <v/>
      </c>
      <c r="D1995" s="18" t="n">
        <v>582</v>
      </c>
      <c r="E1995" s="18" t="inlineStr">
        <is>
          <t>바닐프티</t>
        </is>
      </c>
      <c r="F1995" s="18" t="inlineStr">
        <is>
          <t>vanillite</t>
        </is>
      </c>
      <c r="G1995" s="18" t="inlineStr">
        <is>
          <t>vanillite</t>
        </is>
      </c>
      <c r="H1995" s="18" t="inlineStr"/>
      <c r="I1995" s="18" t="n">
        <v>5</v>
      </c>
      <c r="J1995" s="18" t="n"/>
      <c r="K1995" s="18" t="n">
        <v>5</v>
      </c>
      <c r="L1995" s="18" t="inlineStr">
        <is>
          <t>cobbleventure:generation_5</t>
        </is>
      </c>
      <c r="M1995" s="19" t="inlineStr">
        <is>
          <t>cobbleventure:generation_5</t>
        </is>
      </c>
      <c r="N1995" s="18" t="inlineStr"/>
      <c r="O1995" s="19" t="inlineStr"/>
      <c r="P1995" s="18" t="inlineStr">
        <is>
          <t>#cobblemon:nether/is_frozen</t>
        </is>
      </c>
      <c r="Q1995" s="19" t="inlineStr"/>
      <c r="R1995" s="18">
        <f>IF(Q1995="",P1995,Q1995)</f>
        <v/>
      </c>
      <c r="S1995" s="18" t="inlineStr"/>
      <c r="T1995" s="18" t="inlineStr">
        <is>
          <t>common</t>
        </is>
      </c>
      <c r="U1995" s="20" t="n">
        <v>5.4</v>
      </c>
      <c r="V1995" s="21" t="n">
        <v>1</v>
      </c>
      <c r="W1995" s="20">
        <f>IF(OR(U1995="",V1995=""),U1995,U1995*V1995)</f>
        <v/>
      </c>
      <c r="X1995" s="18" t="inlineStr">
        <is>
          <t>6-31</t>
        </is>
      </c>
      <c r="Y1995" s="19" t="inlineStr"/>
      <c r="Z1995" s="18">
        <f>IF(Y1995="",X1995,Y1995)</f>
        <v/>
      </c>
      <c r="AA1995" s="18" t="inlineStr">
        <is>
          <t>grounded</t>
        </is>
      </c>
      <c r="AB1995" s="18" t="inlineStr"/>
      <c r="AC1995" s="18" t="inlineStr"/>
      <c r="AD1995" s="18" t="inlineStr"/>
      <c r="AE1995" s="18" t="inlineStr"/>
      <c r="AF1995" s="18" t="inlineStr"/>
      <c r="AG1995" s="18" t="inlineStr"/>
      <c r="AH1995" s="18" t="inlineStr"/>
      <c r="AI1995" s="18" t="inlineStr"/>
      <c r="AJ1995" s="18" t="inlineStr">
        <is>
          <t>Cobblemon 동일</t>
        </is>
      </c>
      <c r="AK1995" s="18" t="inlineStr">
        <is>
          <t>사용</t>
        </is>
      </c>
      <c r="AL1995" s="18" t="inlineStr">
        <is>
          <t>COBBLEVERSE 1.7.42 / DP v31</t>
        </is>
      </c>
      <c r="AM1995" s="18" t="inlineStr">
        <is>
          <t>data/cobblemon/spawn_pool_world/0582_vanillite.json</t>
        </is>
      </c>
      <c r="AN1995" s="18" t="inlineStr">
        <is>
          <t>vanillite-3</t>
        </is>
      </c>
      <c r="AO1995" s="18" t="inlineStr">
        <is>
          <t>pokemon</t>
        </is>
      </c>
      <c r="AP1995" s="18" t="inlineStr">
        <is>
          <t>natural</t>
        </is>
      </c>
      <c r="AQ1995" s="18" t="inlineStr">
        <is>
          <t>{"biomes":["#cobblemon:nether/is_frozen"]}</t>
        </is>
      </c>
      <c r="AR1995" s="18" t="inlineStr"/>
      <c r="AS1995" s="18" t="inlineStr"/>
      <c r="AT1995" s="19" t="inlineStr"/>
    </row>
    <row r="1996" ht="32" customHeight="1">
      <c r="A1996" s="18" t="inlineStr">
        <is>
          <t>0583_vanillish.json::vanillish-1::001</t>
        </is>
      </c>
      <c r="B1996" s="19" t="inlineStr">
        <is>
          <t>사용</t>
        </is>
      </c>
      <c r="C1996" s="18">
        <f>IF(OR(B1996&lt;&gt;AK1996,M1996&lt;&gt;L1996,O1996&lt;&gt;"",Q1996&lt;&gt;"",V1996&lt;&gt;1,Y1996&lt;&gt;"",AT1996&lt;&gt;""),"수정","원본")</f>
        <v/>
      </c>
      <c r="D1996" s="18" t="n">
        <v>583</v>
      </c>
      <c r="E1996" s="18" t="inlineStr">
        <is>
          <t>바닐리치</t>
        </is>
      </c>
      <c r="F1996" s="18" t="inlineStr">
        <is>
          <t>vanillish</t>
        </is>
      </c>
      <c r="G1996" s="18" t="inlineStr">
        <is>
          <t>vanillish</t>
        </is>
      </c>
      <c r="H1996" s="18" t="inlineStr"/>
      <c r="I1996" s="18" t="n">
        <v>5</v>
      </c>
      <c r="J1996" s="18" t="n"/>
      <c r="K1996" s="18" t="n">
        <v>5</v>
      </c>
      <c r="L1996" s="18" t="inlineStr">
        <is>
          <t>cobbleventure:generation_5</t>
        </is>
      </c>
      <c r="M1996" s="19" t="inlineStr">
        <is>
          <t>cobbleventure:generation_5</t>
        </is>
      </c>
      <c r="N1996" s="18" t="inlineStr"/>
      <c r="O1996" s="19" t="inlineStr"/>
      <c r="P1996" s="18" t="inlineStr">
        <is>
          <t>#cobblemon:is_freezing</t>
        </is>
      </c>
      <c r="Q1996" s="19" t="inlineStr"/>
      <c r="R1996" s="18">
        <f>IF(Q1996="",P1996,Q1996)</f>
        <v/>
      </c>
      <c r="S1996" s="18" t="inlineStr"/>
      <c r="T1996" s="18" t="inlineStr">
        <is>
          <t>common</t>
        </is>
      </c>
      <c r="U1996" s="20" t="n">
        <v>0.18</v>
      </c>
      <c r="V1996" s="21" t="n">
        <v>1</v>
      </c>
      <c r="W1996" s="20">
        <f>IF(OR(U1996="",V1996=""),U1996,U1996*V1996)</f>
        <v/>
      </c>
      <c r="X1996" s="18" t="inlineStr">
        <is>
          <t>35-40</t>
        </is>
      </c>
      <c r="Y1996" s="19" t="inlineStr"/>
      <c r="Z1996" s="18">
        <f>IF(Y1996="",X1996,Y1996)</f>
        <v/>
      </c>
      <c r="AA1996" s="18" t="inlineStr">
        <is>
          <t>grounded</t>
        </is>
      </c>
      <c r="AB1996" s="18" t="inlineStr"/>
      <c r="AC1996" s="18" t="inlineStr"/>
      <c r="AD1996" s="18" t="inlineStr"/>
      <c r="AE1996" s="18" t="inlineStr">
        <is>
          <t>sky 8-15</t>
        </is>
      </c>
      <c r="AF1996" s="18" t="inlineStr"/>
      <c r="AG1996" s="18" t="inlineStr"/>
      <c r="AH1996" s="18" t="inlineStr"/>
      <c r="AI1996" s="18" t="inlineStr"/>
      <c r="AJ1996" s="18" t="inlineStr">
        <is>
          <t>Cobblemon 동일</t>
        </is>
      </c>
      <c r="AK1996" s="18" t="inlineStr">
        <is>
          <t>사용</t>
        </is>
      </c>
      <c r="AL1996" s="18" t="inlineStr">
        <is>
          <t>COBBLEVERSE 1.7.42 / DP v31</t>
        </is>
      </c>
      <c r="AM1996" s="18" t="inlineStr">
        <is>
          <t>data/cobblemon/spawn_pool_world/0583_vanillish.json</t>
        </is>
      </c>
      <c r="AN1996" s="18" t="inlineStr">
        <is>
          <t>vanillish-1</t>
        </is>
      </c>
      <c r="AO1996" s="18" t="inlineStr">
        <is>
          <t>pokemon</t>
        </is>
      </c>
      <c r="AP1996" s="18" t="inlineStr">
        <is>
          <t>natural</t>
        </is>
      </c>
      <c r="AQ1996" s="18" t="inlineStr">
        <is>
          <t>{"biomes":["#cobblemon:is_freezing"],"maxSkyLight":15,"minSkyLight":8}</t>
        </is>
      </c>
      <c r="AR1996" s="18" t="inlineStr"/>
      <c r="AS1996" s="18" t="inlineStr">
        <is>
          <t>{"weightMultiplier":{"condition":{"timeRange":"dawn"},"multiplier":5.0}}</t>
        </is>
      </c>
      <c r="AT1996" s="19" t="inlineStr"/>
    </row>
    <row r="1997" ht="32" customHeight="1">
      <c r="A1997" s="18" t="inlineStr">
        <is>
          <t>0583_vanillish.json::vanillish-2::002</t>
        </is>
      </c>
      <c r="B1997" s="19" t="inlineStr">
        <is>
          <t>사용</t>
        </is>
      </c>
      <c r="C1997" s="18">
        <f>IF(OR(B1997&lt;&gt;AK1997,M1997&lt;&gt;L1997,O1997&lt;&gt;"",Q1997&lt;&gt;"",V1997&lt;&gt;1,Y1997&lt;&gt;"",AT1997&lt;&gt;""),"수정","원본")</f>
        <v/>
      </c>
      <c r="D1997" s="18" t="n">
        <v>583</v>
      </c>
      <c r="E1997" s="18" t="inlineStr">
        <is>
          <t>바닐리치</t>
        </is>
      </c>
      <c r="F1997" s="18" t="inlineStr">
        <is>
          <t>vanillish</t>
        </is>
      </c>
      <c r="G1997" s="18" t="inlineStr">
        <is>
          <t>vanillish</t>
        </is>
      </c>
      <c r="H1997" s="18" t="inlineStr"/>
      <c r="I1997" s="18" t="n">
        <v>5</v>
      </c>
      <c r="J1997" s="18" t="n"/>
      <c r="K1997" s="18" t="n">
        <v>5</v>
      </c>
      <c r="L1997" s="18" t="inlineStr">
        <is>
          <t>cobbleventure:generation_5</t>
        </is>
      </c>
      <c r="M1997" s="19" t="inlineStr">
        <is>
          <t>cobbleventure:generation_5</t>
        </is>
      </c>
      <c r="N1997" s="18" t="inlineStr"/>
      <c r="O1997" s="19" t="inlineStr"/>
      <c r="P1997" s="18" t="inlineStr">
        <is>
          <t>#cobblemon:is_freezing</t>
        </is>
      </c>
      <c r="Q1997" s="19" t="inlineStr"/>
      <c r="R1997" s="18">
        <f>IF(Q1997="",P1997,Q1997)</f>
        <v/>
      </c>
      <c r="S1997" s="18" t="inlineStr"/>
      <c r="T1997" s="18" t="inlineStr">
        <is>
          <t>uncommon</t>
        </is>
      </c>
      <c r="U1997" s="20" t="n">
        <v>0.864</v>
      </c>
      <c r="V1997" s="21" t="n">
        <v>1</v>
      </c>
      <c r="W1997" s="20">
        <f>IF(OR(U1997="",V1997=""),U1997,U1997*V1997)</f>
        <v/>
      </c>
      <c r="X1997" s="18" t="inlineStr">
        <is>
          <t>35-40</t>
        </is>
      </c>
      <c r="Y1997" s="19" t="inlineStr"/>
      <c r="Z1997" s="18">
        <f>IF(Y1997="",X1997,Y1997)</f>
        <v/>
      </c>
      <c r="AA1997" s="18" t="inlineStr">
        <is>
          <t>grounded</t>
        </is>
      </c>
      <c r="AB1997" s="18" t="inlineStr"/>
      <c r="AC1997" s="18" t="inlineStr"/>
      <c r="AD1997" s="18" t="inlineStr">
        <is>
          <t>minY=0</t>
        </is>
      </c>
      <c r="AE1997" s="18" t="inlineStr">
        <is>
          <t>sky 0-7</t>
        </is>
      </c>
      <c r="AF1997" s="18" t="inlineStr"/>
      <c r="AG1997" s="18" t="inlineStr"/>
      <c r="AH1997" s="18" t="inlineStr"/>
      <c r="AI1997" s="18" t="inlineStr"/>
      <c r="AJ1997" s="18" t="inlineStr">
        <is>
          <t>Cobblemon 동일</t>
        </is>
      </c>
      <c r="AK1997" s="18" t="inlineStr">
        <is>
          <t>사용</t>
        </is>
      </c>
      <c r="AL1997" s="18" t="inlineStr">
        <is>
          <t>COBBLEVERSE 1.7.42 / DP v31</t>
        </is>
      </c>
      <c r="AM1997" s="18" t="inlineStr">
        <is>
          <t>data/cobblemon/spawn_pool_world/0583_vanillish.json</t>
        </is>
      </c>
      <c r="AN1997" s="18" t="inlineStr">
        <is>
          <t>vanillish-2</t>
        </is>
      </c>
      <c r="AO1997" s="18" t="inlineStr">
        <is>
          <t>pokemon</t>
        </is>
      </c>
      <c r="AP1997" s="18" t="inlineStr">
        <is>
          <t>natural</t>
        </is>
      </c>
      <c r="AQ1997" s="18" t="inlineStr">
        <is>
          <t>{"biomes":["#cobblemon:is_freezing"],"maxSkyLight":7,"minSkyLight":0,"minY":0}</t>
        </is>
      </c>
      <c r="AR1997" s="18" t="inlineStr"/>
      <c r="AS1997" s="18" t="inlineStr"/>
      <c r="AT1997" s="19" t="inlineStr"/>
    </row>
    <row r="1998" ht="32" customHeight="1">
      <c r="A1998" s="18" t="inlineStr">
        <is>
          <t>0583_vanillish.json::vanillish-3::003</t>
        </is>
      </c>
      <c r="B1998" s="19" t="inlineStr">
        <is>
          <t>사용</t>
        </is>
      </c>
      <c r="C1998" s="18">
        <f>IF(OR(B1998&lt;&gt;AK1998,M1998&lt;&gt;L1998,O1998&lt;&gt;"",Q1998&lt;&gt;"",V1998&lt;&gt;1,Y1998&lt;&gt;"",AT1998&lt;&gt;""),"수정","원본")</f>
        <v/>
      </c>
      <c r="D1998" s="18" t="n">
        <v>583</v>
      </c>
      <c r="E1998" s="18" t="inlineStr">
        <is>
          <t>바닐리치</t>
        </is>
      </c>
      <c r="F1998" s="18" t="inlineStr">
        <is>
          <t>vanillish</t>
        </is>
      </c>
      <c r="G1998" s="18" t="inlineStr">
        <is>
          <t>vanillish</t>
        </is>
      </c>
      <c r="H1998" s="18" t="inlineStr"/>
      <c r="I1998" s="18" t="n">
        <v>5</v>
      </c>
      <c r="J1998" s="18" t="n"/>
      <c r="K1998" s="18" t="n">
        <v>5</v>
      </c>
      <c r="L1998" s="18" t="inlineStr">
        <is>
          <t>cobbleventure:generation_5</t>
        </is>
      </c>
      <c r="M1998" s="19" t="inlineStr">
        <is>
          <t>cobbleventure:generation_5</t>
        </is>
      </c>
      <c r="N1998" s="18" t="inlineStr"/>
      <c r="O1998" s="19" t="inlineStr"/>
      <c r="P1998" s="18" t="inlineStr">
        <is>
          <t>#cobblemon:nether/is_frozen</t>
        </is>
      </c>
      <c r="Q1998" s="19" t="inlineStr"/>
      <c r="R1998" s="18">
        <f>IF(Q1998="",P1998,Q1998)</f>
        <v/>
      </c>
      <c r="S1998" s="18" t="inlineStr"/>
      <c r="T1998" s="18" t="inlineStr">
        <is>
          <t>common</t>
        </is>
      </c>
      <c r="U1998" s="20" t="n">
        <v>0.54</v>
      </c>
      <c r="V1998" s="21" t="n">
        <v>1</v>
      </c>
      <c r="W1998" s="20">
        <f>IF(OR(U1998="",V1998=""),U1998,U1998*V1998)</f>
        <v/>
      </c>
      <c r="X1998" s="18" t="inlineStr">
        <is>
          <t>35-40</t>
        </is>
      </c>
      <c r="Y1998" s="19" t="inlineStr"/>
      <c r="Z1998" s="18">
        <f>IF(Y1998="",X1998,Y1998)</f>
        <v/>
      </c>
      <c r="AA1998" s="18" t="inlineStr">
        <is>
          <t>grounded</t>
        </is>
      </c>
      <c r="AB1998" s="18" t="inlineStr"/>
      <c r="AC1998" s="18" t="inlineStr"/>
      <c r="AD1998" s="18" t="inlineStr"/>
      <c r="AE1998" s="18" t="inlineStr"/>
      <c r="AF1998" s="18" t="inlineStr"/>
      <c r="AG1998" s="18" t="inlineStr"/>
      <c r="AH1998" s="18" t="inlineStr"/>
      <c r="AI1998" s="18" t="inlineStr"/>
      <c r="AJ1998" s="18" t="inlineStr">
        <is>
          <t>Cobblemon 동일</t>
        </is>
      </c>
      <c r="AK1998" s="18" t="inlineStr">
        <is>
          <t>사용</t>
        </is>
      </c>
      <c r="AL1998" s="18" t="inlineStr">
        <is>
          <t>COBBLEVERSE 1.7.42 / DP v31</t>
        </is>
      </c>
      <c r="AM1998" s="18" t="inlineStr">
        <is>
          <t>data/cobblemon/spawn_pool_world/0583_vanillish.json</t>
        </is>
      </c>
      <c r="AN1998" s="18" t="inlineStr">
        <is>
          <t>vanillish-3</t>
        </is>
      </c>
      <c r="AO1998" s="18" t="inlineStr">
        <is>
          <t>pokemon</t>
        </is>
      </c>
      <c r="AP1998" s="18" t="inlineStr">
        <is>
          <t>natural</t>
        </is>
      </c>
      <c r="AQ1998" s="18" t="inlineStr">
        <is>
          <t>{"biomes":["#cobblemon:nether/is_frozen"]}</t>
        </is>
      </c>
      <c r="AR1998" s="18" t="inlineStr"/>
      <c r="AS1998" s="18" t="inlineStr"/>
      <c r="AT1998" s="19" t="inlineStr"/>
    </row>
    <row r="1999" ht="32" customHeight="1">
      <c r="A1999" s="18" t="inlineStr">
        <is>
          <t>0584_vanilluxe.json::vanilluxe-1::001</t>
        </is>
      </c>
      <c r="B1999" s="19" t="inlineStr">
        <is>
          <t>사용</t>
        </is>
      </c>
      <c r="C1999" s="18">
        <f>IF(OR(B1999&lt;&gt;AK1999,M1999&lt;&gt;L1999,O1999&lt;&gt;"",Q1999&lt;&gt;"",V1999&lt;&gt;1,Y1999&lt;&gt;"",AT1999&lt;&gt;""),"수정","원본")</f>
        <v/>
      </c>
      <c r="D1999" s="18" t="n">
        <v>584</v>
      </c>
      <c r="E1999" s="18" t="inlineStr">
        <is>
          <t>배바닐라</t>
        </is>
      </c>
      <c r="F1999" s="18" t="inlineStr">
        <is>
          <t>vanilluxe</t>
        </is>
      </c>
      <c r="G1999" s="18" t="inlineStr">
        <is>
          <t>vanilluxe</t>
        </is>
      </c>
      <c r="H1999" s="18" t="inlineStr"/>
      <c r="I1999" s="18" t="n">
        <v>5</v>
      </c>
      <c r="J1999" s="18" t="n"/>
      <c r="K1999" s="18" t="n">
        <v>5</v>
      </c>
      <c r="L1999" s="18" t="inlineStr">
        <is>
          <t>cobbleventure:generation_5</t>
        </is>
      </c>
      <c r="M1999" s="19" t="inlineStr">
        <is>
          <t>cobbleventure:generation_5</t>
        </is>
      </c>
      <c r="N1999" s="18" t="inlineStr"/>
      <c r="O1999" s="19" t="inlineStr"/>
      <c r="P1999" s="18" t="inlineStr">
        <is>
          <t>#cobblemon:is_freezing</t>
        </is>
      </c>
      <c r="Q1999" s="19" t="inlineStr"/>
      <c r="R1999" s="18">
        <f>IF(Q1999="",P1999,Q1999)</f>
        <v/>
      </c>
      <c r="S1999" s="18" t="inlineStr"/>
      <c r="T1999" s="18" t="inlineStr">
        <is>
          <t>common</t>
        </is>
      </c>
      <c r="U1999" s="20" t="n">
        <v>0.02</v>
      </c>
      <c r="V1999" s="21" t="n">
        <v>1</v>
      </c>
      <c r="W1999" s="20">
        <f>IF(OR(U1999="",V1999=""),U1999,U1999*V1999)</f>
        <v/>
      </c>
      <c r="X1999" s="18" t="inlineStr">
        <is>
          <t>47-54</t>
        </is>
      </c>
      <c r="Y1999" s="19" t="inlineStr"/>
      <c r="Z1999" s="18">
        <f>IF(Y1999="",X1999,Y1999)</f>
        <v/>
      </c>
      <c r="AA1999" s="18" t="inlineStr">
        <is>
          <t>grounded</t>
        </is>
      </c>
      <c r="AB1999" s="18" t="inlineStr"/>
      <c r="AC1999" s="18" t="inlineStr"/>
      <c r="AD1999" s="18" t="inlineStr"/>
      <c r="AE1999" s="18" t="inlineStr">
        <is>
          <t>sky 8-15</t>
        </is>
      </c>
      <c r="AF1999" s="18" t="inlineStr"/>
      <c r="AG1999" s="18" t="inlineStr"/>
      <c r="AH1999" s="18" t="inlineStr"/>
      <c r="AI1999" s="18" t="inlineStr"/>
      <c r="AJ1999" s="18" t="inlineStr">
        <is>
          <t>Cobblemon 동일</t>
        </is>
      </c>
      <c r="AK1999" s="18" t="inlineStr">
        <is>
          <t>사용</t>
        </is>
      </c>
      <c r="AL1999" s="18" t="inlineStr">
        <is>
          <t>COBBLEVERSE 1.7.42 / DP v31</t>
        </is>
      </c>
      <c r="AM1999" s="18" t="inlineStr">
        <is>
          <t>data/cobblemon/spawn_pool_world/0584_vanilluxe.json</t>
        </is>
      </c>
      <c r="AN1999" s="18" t="inlineStr">
        <is>
          <t>vanilluxe-1</t>
        </is>
      </c>
      <c r="AO1999" s="18" t="inlineStr">
        <is>
          <t>pokemon</t>
        </is>
      </c>
      <c r="AP1999" s="18" t="inlineStr">
        <is>
          <t>natural</t>
        </is>
      </c>
      <c r="AQ1999" s="18" t="inlineStr">
        <is>
          <t>{"biomes":["#cobblemon:is_freezing"],"maxSkyLight":15,"minSkyLight":8}</t>
        </is>
      </c>
      <c r="AR1999" s="18" t="inlineStr"/>
      <c r="AS1999" s="18" t="inlineStr">
        <is>
          <t>{"weightMultiplier":{"condition":{"timeRange":"dawn"},"multiplier":5.0}}</t>
        </is>
      </c>
      <c r="AT1999" s="19" t="inlineStr"/>
    </row>
    <row r="2000" ht="32" customHeight="1">
      <c r="A2000" s="18" t="inlineStr">
        <is>
          <t>0584_vanilluxe.json::vanilluxe-2::002</t>
        </is>
      </c>
      <c r="B2000" s="19" t="inlineStr">
        <is>
          <t>사용</t>
        </is>
      </c>
      <c r="C2000" s="18">
        <f>IF(OR(B2000&lt;&gt;AK2000,M2000&lt;&gt;L2000,O2000&lt;&gt;"",Q2000&lt;&gt;"",V2000&lt;&gt;1,Y2000&lt;&gt;"",AT2000&lt;&gt;""),"수정","원본")</f>
        <v/>
      </c>
      <c r="D2000" s="18" t="n">
        <v>584</v>
      </c>
      <c r="E2000" s="18" t="inlineStr">
        <is>
          <t>배바닐라</t>
        </is>
      </c>
      <c r="F2000" s="18" t="inlineStr">
        <is>
          <t>vanilluxe</t>
        </is>
      </c>
      <c r="G2000" s="18" t="inlineStr">
        <is>
          <t>vanilluxe</t>
        </is>
      </c>
      <c r="H2000" s="18" t="inlineStr"/>
      <c r="I2000" s="18" t="n">
        <v>5</v>
      </c>
      <c r="J2000" s="18" t="n"/>
      <c r="K2000" s="18" t="n">
        <v>5</v>
      </c>
      <c r="L2000" s="18" t="inlineStr">
        <is>
          <t>cobbleventure:generation_5</t>
        </is>
      </c>
      <c r="M2000" s="19" t="inlineStr">
        <is>
          <t>cobbleventure:generation_5</t>
        </is>
      </c>
      <c r="N2000" s="18" t="inlineStr"/>
      <c r="O2000" s="19" t="inlineStr"/>
      <c r="P2000" s="18" t="inlineStr">
        <is>
          <t>#cobblemon:is_freezing</t>
        </is>
      </c>
      <c r="Q2000" s="19" t="inlineStr"/>
      <c r="R2000" s="18">
        <f>IF(Q2000="",P2000,Q2000)</f>
        <v/>
      </c>
      <c r="S2000" s="18" t="inlineStr"/>
      <c r="T2000" s="18" t="inlineStr">
        <is>
          <t>uncommon</t>
        </is>
      </c>
      <c r="U2000" s="20" t="n">
        <v>0.096</v>
      </c>
      <c r="V2000" s="21" t="n">
        <v>1</v>
      </c>
      <c r="W2000" s="20">
        <f>IF(OR(U2000="",V2000=""),U2000,U2000*V2000)</f>
        <v/>
      </c>
      <c r="X2000" s="18" t="inlineStr">
        <is>
          <t>47-54</t>
        </is>
      </c>
      <c r="Y2000" s="19" t="inlineStr"/>
      <c r="Z2000" s="18">
        <f>IF(Y2000="",X2000,Y2000)</f>
        <v/>
      </c>
      <c r="AA2000" s="18" t="inlineStr">
        <is>
          <t>grounded</t>
        </is>
      </c>
      <c r="AB2000" s="18" t="inlineStr"/>
      <c r="AC2000" s="18" t="inlineStr"/>
      <c r="AD2000" s="18" t="inlineStr">
        <is>
          <t>minY=0</t>
        </is>
      </c>
      <c r="AE2000" s="18" t="inlineStr">
        <is>
          <t>sky 0-7</t>
        </is>
      </c>
      <c r="AF2000" s="18" t="inlineStr"/>
      <c r="AG2000" s="18" t="inlineStr"/>
      <c r="AH2000" s="18" t="inlineStr"/>
      <c r="AI2000" s="18" t="inlineStr"/>
      <c r="AJ2000" s="18" t="inlineStr">
        <is>
          <t>Cobblemon 동일</t>
        </is>
      </c>
      <c r="AK2000" s="18" t="inlineStr">
        <is>
          <t>사용</t>
        </is>
      </c>
      <c r="AL2000" s="18" t="inlineStr">
        <is>
          <t>COBBLEVERSE 1.7.42 / DP v31</t>
        </is>
      </c>
      <c r="AM2000" s="18" t="inlineStr">
        <is>
          <t>data/cobblemon/spawn_pool_world/0584_vanilluxe.json</t>
        </is>
      </c>
      <c r="AN2000" s="18" t="inlineStr">
        <is>
          <t>vanilluxe-2</t>
        </is>
      </c>
      <c r="AO2000" s="18" t="inlineStr">
        <is>
          <t>pokemon</t>
        </is>
      </c>
      <c r="AP2000" s="18" t="inlineStr">
        <is>
          <t>natural</t>
        </is>
      </c>
      <c r="AQ2000" s="18" t="inlineStr">
        <is>
          <t>{"biomes":["#cobblemon:is_freezing"],"maxSkyLight":7,"minSkyLight":0,"minY":0}</t>
        </is>
      </c>
      <c r="AR2000" s="18" t="inlineStr"/>
      <c r="AS2000" s="18" t="inlineStr"/>
      <c r="AT2000" s="19" t="inlineStr"/>
    </row>
    <row r="2001" ht="32" customHeight="1">
      <c r="A2001" s="18" t="inlineStr">
        <is>
          <t>0584_vanilluxe.json::vanilluxe-3::003</t>
        </is>
      </c>
      <c r="B2001" s="19" t="inlineStr">
        <is>
          <t>사용</t>
        </is>
      </c>
      <c r="C2001" s="18">
        <f>IF(OR(B2001&lt;&gt;AK2001,M2001&lt;&gt;L2001,O2001&lt;&gt;"",Q2001&lt;&gt;"",V2001&lt;&gt;1,Y2001&lt;&gt;"",AT2001&lt;&gt;""),"수정","원본")</f>
        <v/>
      </c>
      <c r="D2001" s="18" t="n">
        <v>584</v>
      </c>
      <c r="E2001" s="18" t="inlineStr">
        <is>
          <t>배바닐라</t>
        </is>
      </c>
      <c r="F2001" s="18" t="inlineStr">
        <is>
          <t>vanilluxe</t>
        </is>
      </c>
      <c r="G2001" s="18" t="inlineStr">
        <is>
          <t>vanilluxe</t>
        </is>
      </c>
      <c r="H2001" s="18" t="inlineStr"/>
      <c r="I2001" s="18" t="n">
        <v>5</v>
      </c>
      <c r="J2001" s="18" t="n"/>
      <c r="K2001" s="18" t="n">
        <v>5</v>
      </c>
      <c r="L2001" s="18" t="inlineStr">
        <is>
          <t>cobbleventure:generation_5</t>
        </is>
      </c>
      <c r="M2001" s="19" t="inlineStr">
        <is>
          <t>cobbleventure:generation_5</t>
        </is>
      </c>
      <c r="N2001" s="18" t="inlineStr"/>
      <c r="O2001" s="19" t="inlineStr"/>
      <c r="P2001" s="18" t="inlineStr">
        <is>
          <t>#cobblemon:nether/is_frozen</t>
        </is>
      </c>
      <c r="Q2001" s="19" t="inlineStr"/>
      <c r="R2001" s="18">
        <f>IF(Q2001="",P2001,Q2001)</f>
        <v/>
      </c>
      <c r="S2001" s="18" t="inlineStr"/>
      <c r="T2001" s="18" t="inlineStr">
        <is>
          <t>common</t>
        </is>
      </c>
      <c r="U2001" s="20" t="n">
        <v>0.06</v>
      </c>
      <c r="V2001" s="21" t="n">
        <v>1</v>
      </c>
      <c r="W2001" s="20">
        <f>IF(OR(U2001="",V2001=""),U2001,U2001*V2001)</f>
        <v/>
      </c>
      <c r="X2001" s="18" t="inlineStr">
        <is>
          <t>47-54</t>
        </is>
      </c>
      <c r="Y2001" s="19" t="inlineStr"/>
      <c r="Z2001" s="18">
        <f>IF(Y2001="",X2001,Y2001)</f>
        <v/>
      </c>
      <c r="AA2001" s="18" t="inlineStr">
        <is>
          <t>grounded</t>
        </is>
      </c>
      <c r="AB2001" s="18" t="inlineStr"/>
      <c r="AC2001" s="18" t="inlineStr"/>
      <c r="AD2001" s="18" t="inlineStr"/>
      <c r="AE2001" s="18" t="inlineStr"/>
      <c r="AF2001" s="18" t="inlineStr"/>
      <c r="AG2001" s="18" t="inlineStr"/>
      <c r="AH2001" s="18" t="inlineStr"/>
      <c r="AI2001" s="18" t="inlineStr"/>
      <c r="AJ2001" s="18" t="inlineStr">
        <is>
          <t>Cobblemon 동일</t>
        </is>
      </c>
      <c r="AK2001" s="18" t="inlineStr">
        <is>
          <t>사용</t>
        </is>
      </c>
      <c r="AL2001" s="18" t="inlineStr">
        <is>
          <t>COBBLEVERSE 1.7.42 / DP v31</t>
        </is>
      </c>
      <c r="AM2001" s="18" t="inlineStr">
        <is>
          <t>data/cobblemon/spawn_pool_world/0584_vanilluxe.json</t>
        </is>
      </c>
      <c r="AN2001" s="18" t="inlineStr">
        <is>
          <t>vanilluxe-3</t>
        </is>
      </c>
      <c r="AO2001" s="18" t="inlineStr">
        <is>
          <t>pokemon</t>
        </is>
      </c>
      <c r="AP2001" s="18" t="inlineStr">
        <is>
          <t>natural</t>
        </is>
      </c>
      <c r="AQ2001" s="18" t="inlineStr">
        <is>
          <t>{"biomes":["#cobblemon:nether/is_frozen"]}</t>
        </is>
      </c>
      <c r="AR2001" s="18" t="inlineStr"/>
      <c r="AS2001" s="18" t="inlineStr"/>
      <c r="AT2001" s="19" t="inlineStr"/>
    </row>
    <row r="2002" ht="32" customHeight="1">
      <c r="A2002" s="18" t="inlineStr">
        <is>
          <t>0585_deerling.json::deerling-1::001</t>
        </is>
      </c>
      <c r="B2002" s="19" t="inlineStr">
        <is>
          <t>사용</t>
        </is>
      </c>
      <c r="C2002" s="18">
        <f>IF(OR(B2002&lt;&gt;AK2002,M2002&lt;&gt;L2002,O2002&lt;&gt;"",Q2002&lt;&gt;"",V2002&lt;&gt;1,Y2002&lt;&gt;"",AT2002&lt;&gt;""),"수정","원본")</f>
        <v/>
      </c>
      <c r="D2002" s="18" t="n">
        <v>585</v>
      </c>
      <c r="E2002" s="18" t="inlineStr">
        <is>
          <t>사철록</t>
        </is>
      </c>
      <c r="F2002" s="18" t="inlineStr">
        <is>
          <t>deerling</t>
        </is>
      </c>
      <c r="G2002" s="18" t="inlineStr">
        <is>
          <t>deerling</t>
        </is>
      </c>
      <c r="H2002" s="18" t="inlineStr"/>
      <c r="I2002" s="18" t="n">
        <v>5</v>
      </c>
      <c r="J2002" s="18" t="n"/>
      <c r="K2002" s="18" t="n">
        <v>5</v>
      </c>
      <c r="L2002" s="18" t="inlineStr">
        <is>
          <t>cobbleventure:generation_5</t>
        </is>
      </c>
      <c r="M2002" s="19" t="inlineStr">
        <is>
          <t>cobbleventure:generation_5</t>
        </is>
      </c>
      <c r="N2002" s="18" t="inlineStr">
        <is>
          <t>region_01</t>
        </is>
      </c>
      <c r="O2002" s="19" t="inlineStr"/>
      <c r="P2002" s="18" t="inlineStr">
        <is>
          <t>#cobblemon:is_floral; #cobblemon:is_forest; #cobblemon:is_hills; #cobblemon:is_plains; #cobblemon:is_snowy_forest; #cobblemon:is_taiga</t>
        </is>
      </c>
      <c r="Q2002" s="19" t="inlineStr"/>
      <c r="R2002" s="18">
        <f>IF(Q2002="",P2002,Q2002)</f>
        <v/>
      </c>
      <c r="S2002" s="18" t="inlineStr">
        <is>
          <t>#cobblemon:is_savanna</t>
        </is>
      </c>
      <c r="T2002" s="18" t="inlineStr">
        <is>
          <t>common</t>
        </is>
      </c>
      <c r="U2002" s="20" t="n">
        <v>1.8</v>
      </c>
      <c r="V2002" s="21" t="n">
        <v>1</v>
      </c>
      <c r="W2002" s="20">
        <f>IF(OR(U2002="",V2002=""),U2002,U2002*V2002)</f>
        <v/>
      </c>
      <c r="X2002" s="18" t="inlineStr">
        <is>
          <t>9-34</t>
        </is>
      </c>
      <c r="Y2002" s="19" t="inlineStr"/>
      <c r="Z2002" s="18">
        <f>IF(Y2002="",X2002,Y2002)</f>
        <v/>
      </c>
      <c r="AA2002" s="18" t="inlineStr">
        <is>
          <t>grounded</t>
        </is>
      </c>
      <c r="AB2002" s="18" t="inlineStr"/>
      <c r="AC2002" s="18" t="inlineStr"/>
      <c r="AD2002" s="18" t="inlineStr"/>
      <c r="AE2002" s="18" t="inlineStr">
        <is>
          <t>sky 8-15</t>
        </is>
      </c>
      <c r="AF2002" s="18" t="inlineStr"/>
      <c r="AG2002" s="18" t="inlineStr"/>
      <c r="AH2002" s="18" t="inlineStr"/>
      <c r="AI2002" s="18" t="inlineStr"/>
      <c r="AJ2002" s="18" t="inlineStr">
        <is>
          <t>Cobblemon 동일</t>
        </is>
      </c>
      <c r="AK2002" s="18" t="inlineStr">
        <is>
          <t>사용</t>
        </is>
      </c>
      <c r="AL2002" s="18" t="inlineStr">
        <is>
          <t>COBBLEVERSE 1.7.42 / DP v31</t>
        </is>
      </c>
      <c r="AM2002" s="18" t="inlineStr">
        <is>
          <t>data/cobblemon/spawn_pool_world/0585_deerling.json</t>
        </is>
      </c>
      <c r="AN2002" s="18" t="inlineStr">
        <is>
          <t>deerling-1</t>
        </is>
      </c>
      <c r="AO2002" s="18" t="inlineStr">
        <is>
          <t>pokemon</t>
        </is>
      </c>
      <c r="AP2002" s="18" t="inlineStr">
        <is>
          <t>natural; wild</t>
        </is>
      </c>
      <c r="AQ2002" s="18" t="inlineStr">
        <is>
          <t>{"biomes":["#cobblemon:is_floral","#cobblemon:is_forest","#cobblemon:is_hills","#cobblemon:is_plains","#cobblemon:is_snowy_forest","#cobblemon:is_taiga"],"maxSkyLight":15,"minSkyLight":8}</t>
        </is>
      </c>
      <c r="AR2002" s="18" t="inlineStr">
        <is>
          <t>{"biomes":["#cobblemon:is_savanna"]}</t>
        </is>
      </c>
      <c r="AS2002" s="18" t="inlineStr">
        <is>
          <t>{"weightMultiplier":{"condition":{"timeRange":"night"},"multiplier":0.25}}</t>
        </is>
      </c>
      <c r="AT2002" s="19" t="inlineStr"/>
    </row>
    <row r="2003" ht="32" customHeight="1">
      <c r="A2003" s="18" t="inlineStr">
        <is>
          <t>0585_deerling.json::deerling-2::002</t>
        </is>
      </c>
      <c r="B2003" s="19" t="inlineStr">
        <is>
          <t>사용</t>
        </is>
      </c>
      <c r="C2003" s="18">
        <f>IF(OR(B2003&lt;&gt;AK2003,M2003&lt;&gt;L2003,O2003&lt;&gt;"",Q2003&lt;&gt;"",V2003&lt;&gt;1,Y2003&lt;&gt;"",AT2003&lt;&gt;""),"수정","원본")</f>
        <v/>
      </c>
      <c r="D2003" s="18" t="n">
        <v>585</v>
      </c>
      <c r="E2003" s="18" t="inlineStr">
        <is>
          <t>사철록</t>
        </is>
      </c>
      <c r="F2003" s="18" t="inlineStr">
        <is>
          <t>deerling</t>
        </is>
      </c>
      <c r="G2003" s="18" t="inlineStr">
        <is>
          <t>deerling</t>
        </is>
      </c>
      <c r="H2003" s="18" t="inlineStr"/>
      <c r="I2003" s="18" t="n">
        <v>5</v>
      </c>
      <c r="J2003" s="18" t="n"/>
      <c r="K2003" s="18" t="n">
        <v>5</v>
      </c>
      <c r="L2003" s="18" t="inlineStr">
        <is>
          <t>cobbleventure:generation_5</t>
        </is>
      </c>
      <c r="M2003" s="19" t="inlineStr">
        <is>
          <t>cobbleventure:generation_5</t>
        </is>
      </c>
      <c r="N2003" s="18" t="inlineStr"/>
      <c r="O2003" s="19" t="inlineStr"/>
      <c r="P2003" s="18" t="inlineStr">
        <is>
          <t>#aether:is_aether</t>
        </is>
      </c>
      <c r="Q2003" s="19" t="inlineStr"/>
      <c r="R2003" s="18">
        <f>IF(Q2003="",P2003,Q2003)</f>
        <v/>
      </c>
      <c r="S2003" s="18" t="inlineStr"/>
      <c r="T2003" s="18" t="inlineStr">
        <is>
          <t>common</t>
        </is>
      </c>
      <c r="U2003" s="20" t="n">
        <v>1.8</v>
      </c>
      <c r="V2003" s="21" t="n">
        <v>1</v>
      </c>
      <c r="W2003" s="20">
        <f>IF(OR(U2003="",V2003=""),U2003,U2003*V2003)</f>
        <v/>
      </c>
      <c r="X2003" s="18" t="inlineStr">
        <is>
          <t>9-34</t>
        </is>
      </c>
      <c r="Y2003" s="19" t="inlineStr"/>
      <c r="Z2003" s="18">
        <f>IF(Y2003="",X2003,Y2003)</f>
        <v/>
      </c>
      <c r="AA2003" s="18" t="inlineStr">
        <is>
          <t>grounded</t>
        </is>
      </c>
      <c r="AB2003" s="18" t="inlineStr"/>
      <c r="AC2003" s="18" t="inlineStr"/>
      <c r="AD2003" s="18" t="inlineStr"/>
      <c r="AE2003" s="18" t="inlineStr">
        <is>
          <t>sky 8-15</t>
        </is>
      </c>
      <c r="AF2003" s="18" t="inlineStr"/>
      <c r="AG2003" s="18" t="inlineStr"/>
      <c r="AH2003" s="18" t="inlineStr"/>
      <c r="AI2003" s="18" t="inlineStr"/>
      <c r="AJ2003" s="18" t="inlineStr">
        <is>
          <t>Cobblemon 동일</t>
        </is>
      </c>
      <c r="AK2003" s="18" t="inlineStr">
        <is>
          <t>사용</t>
        </is>
      </c>
      <c r="AL2003" s="18" t="inlineStr">
        <is>
          <t>COBBLEVERSE 1.7.42 / DP v31</t>
        </is>
      </c>
      <c r="AM2003" s="18" t="inlineStr">
        <is>
          <t>data/cobblemon/spawn_pool_world/0585_deerling.json</t>
        </is>
      </c>
      <c r="AN2003" s="18" t="inlineStr">
        <is>
          <t>deerling-2</t>
        </is>
      </c>
      <c r="AO2003" s="18" t="inlineStr">
        <is>
          <t>pokemon</t>
        </is>
      </c>
      <c r="AP2003" s="18" t="inlineStr">
        <is>
          <t>natural</t>
        </is>
      </c>
      <c r="AQ2003" s="18" t="inlineStr">
        <is>
          <t>{"biomes":["#aether:is_aether"],"maxSkyLight":15,"minSkyLight":8}</t>
        </is>
      </c>
      <c r="AR2003" s="18" t="inlineStr"/>
      <c r="AS2003" s="18" t="inlineStr"/>
      <c r="AT2003" s="19" t="inlineStr"/>
    </row>
    <row r="2004" ht="32" customHeight="1">
      <c r="A2004" s="18" t="inlineStr">
        <is>
          <t>0585_deerling.json::deerling-3::003</t>
        </is>
      </c>
      <c r="B2004" s="19" t="inlineStr">
        <is>
          <t>사용</t>
        </is>
      </c>
      <c r="C2004" s="18">
        <f>IF(OR(B2004&lt;&gt;AK2004,M2004&lt;&gt;L2004,O2004&lt;&gt;"",Q2004&lt;&gt;"",V2004&lt;&gt;1,Y2004&lt;&gt;"",AT2004&lt;&gt;""),"수정","원본")</f>
        <v/>
      </c>
      <c r="D2004" s="18" t="n">
        <v>585</v>
      </c>
      <c r="E2004" s="18" t="inlineStr">
        <is>
          <t>사철록</t>
        </is>
      </c>
      <c r="F2004" s="18" t="inlineStr">
        <is>
          <t>deerling</t>
        </is>
      </c>
      <c r="G2004" s="18" t="inlineStr">
        <is>
          <t>deerling</t>
        </is>
      </c>
      <c r="H2004" s="18" t="inlineStr"/>
      <c r="I2004" s="18" t="n">
        <v>5</v>
      </c>
      <c r="J2004" s="18" t="n"/>
      <c r="K2004" s="18" t="n">
        <v>5</v>
      </c>
      <c r="L2004" s="18" t="inlineStr">
        <is>
          <t>cobbleventure:generation_5</t>
        </is>
      </c>
      <c r="M2004" s="19" t="inlineStr">
        <is>
          <t>cobbleventure:generation_5</t>
        </is>
      </c>
      <c r="N2004" s="18" t="inlineStr"/>
      <c r="O2004" s="19" t="inlineStr"/>
      <c r="P2004" s="18" t="inlineStr">
        <is>
          <t>the_bumblezone:floral_meadow</t>
        </is>
      </c>
      <c r="Q2004" s="19" t="inlineStr"/>
      <c r="R2004" s="18">
        <f>IF(Q2004="",P2004,Q2004)</f>
        <v/>
      </c>
      <c r="S2004" s="18" t="inlineStr"/>
      <c r="T2004" s="18" t="inlineStr">
        <is>
          <t>uncommon</t>
        </is>
      </c>
      <c r="U2004" s="20" t="n">
        <v>8.4</v>
      </c>
      <c r="V2004" s="21" t="n">
        <v>1</v>
      </c>
      <c r="W2004" s="20">
        <f>IF(OR(U2004="",V2004=""),U2004,U2004*V2004)</f>
        <v/>
      </c>
      <c r="X2004" s="18" t="inlineStr">
        <is>
          <t>9-34</t>
        </is>
      </c>
      <c r="Y2004" s="19" t="inlineStr"/>
      <c r="Z2004" s="18">
        <f>IF(Y2004="",X2004,Y2004)</f>
        <v/>
      </c>
      <c r="AA2004" s="18" t="inlineStr">
        <is>
          <t>grounded</t>
        </is>
      </c>
      <c r="AB2004" s="18" t="inlineStr"/>
      <c r="AC2004" s="18" t="inlineStr"/>
      <c r="AD2004" s="18" t="inlineStr"/>
      <c r="AE2004" s="18" t="inlineStr"/>
      <c r="AF2004" s="18" t="inlineStr"/>
      <c r="AG2004" s="18" t="inlineStr"/>
      <c r="AH2004" s="18" t="inlineStr"/>
      <c r="AI2004" s="18" t="inlineStr"/>
      <c r="AJ2004" s="18" t="inlineStr">
        <is>
          <t>Cobblemon 동일</t>
        </is>
      </c>
      <c r="AK2004" s="18" t="inlineStr">
        <is>
          <t>사용</t>
        </is>
      </c>
      <c r="AL2004" s="18" t="inlineStr">
        <is>
          <t>COBBLEVERSE 1.7.42 / DP v31</t>
        </is>
      </c>
      <c r="AM2004" s="18" t="inlineStr">
        <is>
          <t>data/cobblemon/spawn_pool_world/0585_deerling.json</t>
        </is>
      </c>
      <c r="AN2004" s="18" t="inlineStr">
        <is>
          <t>deerling-3</t>
        </is>
      </c>
      <c r="AO2004" s="18" t="inlineStr">
        <is>
          <t>pokemon</t>
        </is>
      </c>
      <c r="AP2004" s="18" t="inlineStr"/>
      <c r="AQ2004" s="18" t="inlineStr">
        <is>
          <t>{"biomes":["the_bumblezone:floral_meadow"]}</t>
        </is>
      </c>
      <c r="AR2004" s="18" t="inlineStr">
        <is>
          <t>{"structures":["#the_bumblezone:sempiternal_sanctums"]}</t>
        </is>
      </c>
      <c r="AS2004" s="18" t="inlineStr"/>
      <c r="AT2004" s="19" t="inlineStr"/>
    </row>
    <row r="2005" ht="32" customHeight="1">
      <c r="A2005" s="18" t="inlineStr">
        <is>
          <t>0586_sawsbuck.json::sawsbuck-1::001</t>
        </is>
      </c>
      <c r="B2005" s="19" t="inlineStr">
        <is>
          <t>사용</t>
        </is>
      </c>
      <c r="C2005" s="18">
        <f>IF(OR(B2005&lt;&gt;AK2005,M2005&lt;&gt;L2005,O2005&lt;&gt;"",Q2005&lt;&gt;"",V2005&lt;&gt;1,Y2005&lt;&gt;"",AT2005&lt;&gt;""),"수정","원본")</f>
        <v/>
      </c>
      <c r="D2005" s="18" t="n">
        <v>586</v>
      </c>
      <c r="E2005" s="18" t="inlineStr">
        <is>
          <t>바라철록</t>
        </is>
      </c>
      <c r="F2005" s="18" t="inlineStr">
        <is>
          <t>sawsbuck</t>
        </is>
      </c>
      <c r="G2005" s="18" t="inlineStr">
        <is>
          <t>sawsbuck</t>
        </is>
      </c>
      <c r="H2005" s="18" t="inlineStr"/>
      <c r="I2005" s="18" t="n">
        <v>5</v>
      </c>
      <c r="J2005" s="18" t="n"/>
      <c r="K2005" s="18" t="n">
        <v>5</v>
      </c>
      <c r="L2005" s="18" t="inlineStr">
        <is>
          <t>cobbleventure:generation_5</t>
        </is>
      </c>
      <c r="M2005" s="19" t="inlineStr">
        <is>
          <t>cobbleventure:generation_5</t>
        </is>
      </c>
      <c r="N2005" s="18" t="inlineStr">
        <is>
          <t>region_01</t>
        </is>
      </c>
      <c r="O2005" s="19" t="inlineStr"/>
      <c r="P2005" s="18" t="inlineStr">
        <is>
          <t>#cobblemon:is_floral; #cobblemon:is_forest; #cobblemon:is_hills; #cobblemon:is_plains; #cobblemon:is_snowy_forest; #cobblemon:is_taiga</t>
        </is>
      </c>
      <c r="Q2005" s="19" t="inlineStr"/>
      <c r="R2005" s="18">
        <f>IF(Q2005="",P2005,Q2005)</f>
        <v/>
      </c>
      <c r="S2005" s="18" t="inlineStr">
        <is>
          <t>#cobblemon:is_savanna</t>
        </is>
      </c>
      <c r="T2005" s="18" t="inlineStr">
        <is>
          <t>common</t>
        </is>
      </c>
      <c r="U2005" s="20" t="n">
        <v>0.2</v>
      </c>
      <c r="V2005" s="21" t="n">
        <v>1</v>
      </c>
      <c r="W2005" s="20">
        <f>IF(OR(U2005="",V2005=""),U2005,U2005*V2005)</f>
        <v/>
      </c>
      <c r="X2005" s="18" t="inlineStr">
        <is>
          <t>34-48</t>
        </is>
      </c>
      <c r="Y2005" s="19" t="inlineStr"/>
      <c r="Z2005" s="18">
        <f>IF(Y2005="",X2005,Y2005)</f>
        <v/>
      </c>
      <c r="AA2005" s="18" t="inlineStr">
        <is>
          <t>grounded</t>
        </is>
      </c>
      <c r="AB2005" s="18" t="inlineStr"/>
      <c r="AC2005" s="18" t="inlineStr"/>
      <c r="AD2005" s="18" t="inlineStr"/>
      <c r="AE2005" s="18" t="inlineStr">
        <is>
          <t>sky 8-15</t>
        </is>
      </c>
      <c r="AF2005" s="18" t="inlineStr"/>
      <c r="AG2005" s="18" t="inlineStr"/>
      <c r="AH2005" s="18" t="inlineStr"/>
      <c r="AI2005" s="18" t="inlineStr"/>
      <c r="AJ2005" s="18" t="inlineStr">
        <is>
          <t>Cobblemon 동일</t>
        </is>
      </c>
      <c r="AK2005" s="18" t="inlineStr">
        <is>
          <t>사용</t>
        </is>
      </c>
      <c r="AL2005" s="18" t="inlineStr">
        <is>
          <t>COBBLEVERSE 1.7.42 / DP v31</t>
        </is>
      </c>
      <c r="AM2005" s="18" t="inlineStr">
        <is>
          <t>data/cobblemon/spawn_pool_world/0586_sawsbuck.json</t>
        </is>
      </c>
      <c r="AN2005" s="18" t="inlineStr">
        <is>
          <t>sawsbuck-1</t>
        </is>
      </c>
      <c r="AO2005" s="18" t="inlineStr">
        <is>
          <t>pokemon</t>
        </is>
      </c>
      <c r="AP2005" s="18" t="inlineStr">
        <is>
          <t>natural; wild</t>
        </is>
      </c>
      <c r="AQ2005" s="18" t="inlineStr">
        <is>
          <t>{"biomes":["#cobblemon:is_floral","#cobblemon:is_forest","#cobblemon:is_hills","#cobblemon:is_plains","#cobblemon:is_snowy_forest","#cobblemon:is_taiga"],"maxSkyLight":15,"minSkyLight":8}</t>
        </is>
      </c>
      <c r="AR2005" s="18" t="inlineStr">
        <is>
          <t>{"biomes":["#cobblemon:is_savanna"]}</t>
        </is>
      </c>
      <c r="AS2005" s="18" t="inlineStr">
        <is>
          <t>{"weightMultiplier":{"condition":{"timeRange":"night"},"multiplier":0.25}}</t>
        </is>
      </c>
      <c r="AT2005" s="19" t="inlineStr"/>
    </row>
    <row r="2006" ht="32" customHeight="1">
      <c r="A2006" s="18" t="inlineStr">
        <is>
          <t>0586_sawsbuck.json::sawsbuck-2::002</t>
        </is>
      </c>
      <c r="B2006" s="19" t="inlineStr">
        <is>
          <t>사용</t>
        </is>
      </c>
      <c r="C2006" s="18">
        <f>IF(OR(B2006&lt;&gt;AK2006,M2006&lt;&gt;L2006,O2006&lt;&gt;"",Q2006&lt;&gt;"",V2006&lt;&gt;1,Y2006&lt;&gt;"",AT2006&lt;&gt;""),"수정","원본")</f>
        <v/>
      </c>
      <c r="D2006" s="18" t="n">
        <v>586</v>
      </c>
      <c r="E2006" s="18" t="inlineStr">
        <is>
          <t>바라철록</t>
        </is>
      </c>
      <c r="F2006" s="18" t="inlineStr">
        <is>
          <t>sawsbuck</t>
        </is>
      </c>
      <c r="G2006" s="18" t="inlineStr">
        <is>
          <t>sawsbuck</t>
        </is>
      </c>
      <c r="H2006" s="18" t="inlineStr"/>
      <c r="I2006" s="18" t="n">
        <v>5</v>
      </c>
      <c r="J2006" s="18" t="n"/>
      <c r="K2006" s="18" t="n">
        <v>5</v>
      </c>
      <c r="L2006" s="18" t="inlineStr">
        <is>
          <t>cobbleventure:generation_5</t>
        </is>
      </c>
      <c r="M2006" s="19" t="inlineStr">
        <is>
          <t>cobbleventure:generation_5</t>
        </is>
      </c>
      <c r="N2006" s="18" t="inlineStr"/>
      <c r="O2006" s="19" t="inlineStr"/>
      <c r="P2006" s="18" t="inlineStr">
        <is>
          <t>#aether:is_aether</t>
        </is>
      </c>
      <c r="Q2006" s="19" t="inlineStr"/>
      <c r="R2006" s="18">
        <f>IF(Q2006="",P2006,Q2006)</f>
        <v/>
      </c>
      <c r="S2006" s="18" t="inlineStr"/>
      <c r="T2006" s="18" t="inlineStr">
        <is>
          <t>common</t>
        </is>
      </c>
      <c r="U2006" s="20" t="n">
        <v>0.2</v>
      </c>
      <c r="V2006" s="21" t="n">
        <v>1</v>
      </c>
      <c r="W2006" s="20">
        <f>IF(OR(U2006="",V2006=""),U2006,U2006*V2006)</f>
        <v/>
      </c>
      <c r="X2006" s="18" t="inlineStr">
        <is>
          <t>34-48</t>
        </is>
      </c>
      <c r="Y2006" s="19" t="inlineStr"/>
      <c r="Z2006" s="18">
        <f>IF(Y2006="",X2006,Y2006)</f>
        <v/>
      </c>
      <c r="AA2006" s="18" t="inlineStr">
        <is>
          <t>grounded</t>
        </is>
      </c>
      <c r="AB2006" s="18" t="inlineStr"/>
      <c r="AC2006" s="18" t="inlineStr"/>
      <c r="AD2006" s="18" t="inlineStr"/>
      <c r="AE2006" s="18" t="inlineStr">
        <is>
          <t>sky 8-15</t>
        </is>
      </c>
      <c r="AF2006" s="18" t="inlineStr"/>
      <c r="AG2006" s="18" t="inlineStr"/>
      <c r="AH2006" s="18" t="inlineStr"/>
      <c r="AI2006" s="18" t="inlineStr"/>
      <c r="AJ2006" s="18" t="inlineStr">
        <is>
          <t>Cobblemon 동일</t>
        </is>
      </c>
      <c r="AK2006" s="18" t="inlineStr">
        <is>
          <t>사용</t>
        </is>
      </c>
      <c r="AL2006" s="18" t="inlineStr">
        <is>
          <t>COBBLEVERSE 1.7.42 / DP v31</t>
        </is>
      </c>
      <c r="AM2006" s="18" t="inlineStr">
        <is>
          <t>data/cobblemon/spawn_pool_world/0586_sawsbuck.json</t>
        </is>
      </c>
      <c r="AN2006" s="18" t="inlineStr">
        <is>
          <t>sawsbuck-2</t>
        </is>
      </c>
      <c r="AO2006" s="18" t="inlineStr">
        <is>
          <t>pokemon</t>
        </is>
      </c>
      <c r="AP2006" s="18" t="inlineStr">
        <is>
          <t>natural</t>
        </is>
      </c>
      <c r="AQ2006" s="18" t="inlineStr">
        <is>
          <t>{"biomes":["#aether:is_aether"],"maxSkyLight":15,"minSkyLight":8}</t>
        </is>
      </c>
      <c r="AR2006" s="18" t="inlineStr"/>
      <c r="AS2006" s="18" t="inlineStr"/>
      <c r="AT2006" s="19" t="inlineStr"/>
    </row>
    <row r="2007" ht="32" customHeight="1">
      <c r="A2007" s="18" t="inlineStr">
        <is>
          <t>0586_sawsbuck.json::sawsbuck-3::003</t>
        </is>
      </c>
      <c r="B2007" s="19" t="inlineStr">
        <is>
          <t>사용</t>
        </is>
      </c>
      <c r="C2007" s="18">
        <f>IF(OR(B2007&lt;&gt;AK2007,M2007&lt;&gt;L2007,O2007&lt;&gt;"",Q2007&lt;&gt;"",V2007&lt;&gt;1,Y2007&lt;&gt;"",AT2007&lt;&gt;""),"수정","원본")</f>
        <v/>
      </c>
      <c r="D2007" s="18" t="n">
        <v>586</v>
      </c>
      <c r="E2007" s="18" t="inlineStr">
        <is>
          <t>바라철록</t>
        </is>
      </c>
      <c r="F2007" s="18" t="inlineStr">
        <is>
          <t>sawsbuck</t>
        </is>
      </c>
      <c r="G2007" s="18" t="inlineStr">
        <is>
          <t>sawsbuck</t>
        </is>
      </c>
      <c r="H2007" s="18" t="inlineStr"/>
      <c r="I2007" s="18" t="n">
        <v>5</v>
      </c>
      <c r="J2007" s="18" t="n"/>
      <c r="K2007" s="18" t="n">
        <v>5</v>
      </c>
      <c r="L2007" s="18" t="inlineStr">
        <is>
          <t>cobbleventure:generation_5</t>
        </is>
      </c>
      <c r="M2007" s="19" t="inlineStr">
        <is>
          <t>cobbleventure:generation_5</t>
        </is>
      </c>
      <c r="N2007" s="18" t="inlineStr"/>
      <c r="O2007" s="19" t="inlineStr"/>
      <c r="P2007" s="18" t="inlineStr">
        <is>
          <t>the_bumblezone:floral_meadow</t>
        </is>
      </c>
      <c r="Q2007" s="19" t="inlineStr"/>
      <c r="R2007" s="18">
        <f>IF(Q2007="",P2007,Q2007)</f>
        <v/>
      </c>
      <c r="S2007" s="18" t="inlineStr"/>
      <c r="T2007" s="18" t="inlineStr">
        <is>
          <t>uncommon</t>
        </is>
      </c>
      <c r="U2007" s="20" t="n">
        <v>1.6</v>
      </c>
      <c r="V2007" s="21" t="n">
        <v>1</v>
      </c>
      <c r="W2007" s="20">
        <f>IF(OR(U2007="",V2007=""),U2007,U2007*V2007)</f>
        <v/>
      </c>
      <c r="X2007" s="18" t="inlineStr">
        <is>
          <t>34-48</t>
        </is>
      </c>
      <c r="Y2007" s="19" t="inlineStr"/>
      <c r="Z2007" s="18">
        <f>IF(Y2007="",X2007,Y2007)</f>
        <v/>
      </c>
      <c r="AA2007" s="18" t="inlineStr">
        <is>
          <t>grounded</t>
        </is>
      </c>
      <c r="AB2007" s="18" t="inlineStr"/>
      <c r="AC2007" s="18" t="inlineStr"/>
      <c r="AD2007" s="18" t="inlineStr"/>
      <c r="AE2007" s="18" t="inlineStr"/>
      <c r="AF2007" s="18" t="inlineStr"/>
      <c r="AG2007" s="18" t="inlineStr"/>
      <c r="AH2007" s="18" t="inlineStr"/>
      <c r="AI2007" s="18" t="inlineStr"/>
      <c r="AJ2007" s="18" t="inlineStr">
        <is>
          <t>Cobblemon 동일</t>
        </is>
      </c>
      <c r="AK2007" s="18" t="inlineStr">
        <is>
          <t>사용</t>
        </is>
      </c>
      <c r="AL2007" s="18" t="inlineStr">
        <is>
          <t>COBBLEVERSE 1.7.42 / DP v31</t>
        </is>
      </c>
      <c r="AM2007" s="18" t="inlineStr">
        <is>
          <t>data/cobblemon/spawn_pool_world/0586_sawsbuck.json</t>
        </is>
      </c>
      <c r="AN2007" s="18" t="inlineStr">
        <is>
          <t>sawsbuck-3</t>
        </is>
      </c>
      <c r="AO2007" s="18" t="inlineStr">
        <is>
          <t>pokemon</t>
        </is>
      </c>
      <c r="AP2007" s="18" t="inlineStr"/>
      <c r="AQ2007" s="18" t="inlineStr">
        <is>
          <t>{"biomes":["the_bumblezone:floral_meadow"]}</t>
        </is>
      </c>
      <c r="AR2007" s="18" t="inlineStr">
        <is>
          <t>{"structures":["#the_bumblezone:sempiternal_sanctums"]}</t>
        </is>
      </c>
      <c r="AS2007" s="18" t="inlineStr"/>
      <c r="AT2007" s="19" t="inlineStr"/>
    </row>
    <row r="2008" ht="32" customHeight="1">
      <c r="A2008" s="18" t="inlineStr">
        <is>
          <t>0587_emolga.json::emolga-1::001</t>
        </is>
      </c>
      <c r="B2008" s="19" t="inlineStr">
        <is>
          <t>사용</t>
        </is>
      </c>
      <c r="C2008" s="18">
        <f>IF(OR(B2008&lt;&gt;AK2008,M2008&lt;&gt;L2008,O2008&lt;&gt;"",Q2008&lt;&gt;"",V2008&lt;&gt;1,Y2008&lt;&gt;"",AT2008&lt;&gt;""),"수정","원본")</f>
        <v/>
      </c>
      <c r="D2008" s="18" t="n">
        <v>587</v>
      </c>
      <c r="E2008" s="18" t="inlineStr">
        <is>
          <t>에몽가</t>
        </is>
      </c>
      <c r="F2008" s="18" t="inlineStr">
        <is>
          <t>emolga</t>
        </is>
      </c>
      <c r="G2008" s="18" t="inlineStr">
        <is>
          <t>emolga</t>
        </is>
      </c>
      <c r="H2008" s="18" t="inlineStr"/>
      <c r="I2008" s="18" t="n">
        <v>5</v>
      </c>
      <c r="J2008" s="18" t="n"/>
      <c r="K2008" s="18" t="n">
        <v>5</v>
      </c>
      <c r="L2008" s="18" t="inlineStr">
        <is>
          <t>cobbleventure:generation_5</t>
        </is>
      </c>
      <c r="M2008" s="19" t="inlineStr">
        <is>
          <t>cobbleventure:generation_5</t>
        </is>
      </c>
      <c r="N2008" s="18" t="inlineStr"/>
      <c r="O2008" s="19" t="inlineStr"/>
      <c r="P2008" s="18" t="inlineStr">
        <is>
          <t>#cobblemon:is_taiga</t>
        </is>
      </c>
      <c r="Q2008" s="19" t="inlineStr"/>
      <c r="R2008" s="18">
        <f>IF(Q2008="",P2008,Q2008)</f>
        <v/>
      </c>
      <c r="S2008" s="18" t="inlineStr"/>
      <c r="T2008" s="18" t="inlineStr">
        <is>
          <t>uncommon</t>
        </is>
      </c>
      <c r="U2008" s="20" t="n">
        <v>10</v>
      </c>
      <c r="V2008" s="21" t="n">
        <v>1</v>
      </c>
      <c r="W2008" s="20">
        <f>IF(OR(U2008="",V2008=""),U2008,U2008*V2008)</f>
        <v/>
      </c>
      <c r="X2008" s="18" t="inlineStr">
        <is>
          <t>18-43</t>
        </is>
      </c>
      <c r="Y2008" s="19" t="inlineStr"/>
      <c r="Z2008" s="18">
        <f>IF(Y2008="",X2008,Y2008)</f>
        <v/>
      </c>
      <c r="AA2008" s="18" t="inlineStr">
        <is>
          <t>grounded</t>
        </is>
      </c>
      <c r="AB2008" s="18" t="inlineStr"/>
      <c r="AC2008" s="18" t="inlineStr"/>
      <c r="AD2008" s="18" t="inlineStr"/>
      <c r="AE2008" s="18" t="inlineStr">
        <is>
          <t>sky 8-15</t>
        </is>
      </c>
      <c r="AF2008" s="18" t="inlineStr"/>
      <c r="AG2008" s="18" t="inlineStr"/>
      <c r="AH2008" s="18" t="inlineStr"/>
      <c r="AI2008" s="18" t="inlineStr"/>
      <c r="AJ2008" s="18" t="inlineStr">
        <is>
          <t>Cobblemon 동일</t>
        </is>
      </c>
      <c r="AK2008" s="18" t="inlineStr">
        <is>
          <t>사용</t>
        </is>
      </c>
      <c r="AL2008" s="18" t="inlineStr">
        <is>
          <t>COBBLEVERSE 1.7.42 / DP v31</t>
        </is>
      </c>
      <c r="AM2008" s="18" t="inlineStr">
        <is>
          <t>data/cobblemon/spawn_pool_world/0587_emolga.json</t>
        </is>
      </c>
      <c r="AN2008" s="18" t="inlineStr">
        <is>
          <t>emolga-1</t>
        </is>
      </c>
      <c r="AO2008" s="18" t="inlineStr">
        <is>
          <t>pokemon</t>
        </is>
      </c>
      <c r="AP2008" s="18" t="inlineStr">
        <is>
          <t>natural; treetop</t>
        </is>
      </c>
      <c r="AQ2008" s="18" t="inlineStr">
        <is>
          <t>{"biomes":["#cobblemon:is_taiga"],"maxSkyLight":15,"minSkyLight":8}</t>
        </is>
      </c>
      <c r="AR2008" s="18" t="inlineStr"/>
      <c r="AS2008" s="18" t="inlineStr">
        <is>
          <t>{"weightMultiplier":{"condition":{"isThundering":true},"multiplier":5.0}}</t>
        </is>
      </c>
      <c r="AT2008" s="19" t="inlineStr"/>
    </row>
    <row r="2009" ht="32" customHeight="1">
      <c r="A2009" s="18" t="inlineStr">
        <is>
          <t>0588_karrablast.json::karrablast-1::001</t>
        </is>
      </c>
      <c r="B2009" s="19" t="inlineStr">
        <is>
          <t>사용</t>
        </is>
      </c>
      <c r="C2009" s="18">
        <f>IF(OR(B2009&lt;&gt;AK2009,M2009&lt;&gt;L2009,O2009&lt;&gt;"",Q2009&lt;&gt;"",V2009&lt;&gt;1,Y2009&lt;&gt;"",AT2009&lt;&gt;""),"수정","원본")</f>
        <v/>
      </c>
      <c r="D2009" s="18" t="n">
        <v>588</v>
      </c>
      <c r="E2009" s="18" t="inlineStr">
        <is>
          <t>딱정곤</t>
        </is>
      </c>
      <c r="F2009" s="18" t="inlineStr">
        <is>
          <t>karrablast</t>
        </is>
      </c>
      <c r="G2009" s="18" t="inlineStr">
        <is>
          <t>karrablast</t>
        </is>
      </c>
      <c r="H2009" s="18" t="inlineStr"/>
      <c r="I2009" s="18" t="n">
        <v>5</v>
      </c>
      <c r="J2009" s="18" t="n"/>
      <c r="K2009" s="18" t="n">
        <v>5</v>
      </c>
      <c r="L2009" s="18" t="inlineStr">
        <is>
          <t>cobbleventure:generation_5</t>
        </is>
      </c>
      <c r="M2009" s="19" t="inlineStr">
        <is>
          <t>cobbleventure:generation_5</t>
        </is>
      </c>
      <c r="N2009" s="18" t="inlineStr">
        <is>
          <t>region_02</t>
        </is>
      </c>
      <c r="O2009" s="19" t="inlineStr"/>
      <c r="P2009" s="18" t="inlineStr">
        <is>
          <t>#cobblemon:is_swamp</t>
        </is>
      </c>
      <c r="Q2009" s="19" t="inlineStr"/>
      <c r="R2009" s="18">
        <f>IF(Q2009="",P2009,Q2009)</f>
        <v/>
      </c>
      <c r="S2009" s="18" t="inlineStr"/>
      <c r="T2009" s="18" t="inlineStr">
        <is>
          <t>common</t>
        </is>
      </c>
      <c r="U2009" s="20" t="n">
        <v>5.7</v>
      </c>
      <c r="V2009" s="21" t="n">
        <v>1</v>
      </c>
      <c r="W2009" s="20">
        <f>IF(OR(U2009="",V2009=""),U2009,U2009*V2009)</f>
        <v/>
      </c>
      <c r="X2009" s="18" t="inlineStr">
        <is>
          <t>7-32</t>
        </is>
      </c>
      <c r="Y2009" s="19" t="inlineStr"/>
      <c r="Z2009" s="18">
        <f>IF(Y2009="",X2009,Y2009)</f>
        <v/>
      </c>
      <c r="AA2009" s="18" t="inlineStr">
        <is>
          <t>grounded</t>
        </is>
      </c>
      <c r="AB2009" s="18" t="inlineStr"/>
      <c r="AC2009" s="18" t="inlineStr"/>
      <c r="AD2009" s="18" t="inlineStr"/>
      <c r="AE2009" s="18" t="inlineStr">
        <is>
          <t>sky 8-15</t>
        </is>
      </c>
      <c r="AF2009" s="18" t="inlineStr"/>
      <c r="AG2009" s="18" t="inlineStr"/>
      <c r="AH2009" s="18" t="inlineStr"/>
      <c r="AI2009" s="18" t="inlineStr"/>
      <c r="AJ2009" s="18" t="inlineStr">
        <is>
          <t>Cobblemon 동일</t>
        </is>
      </c>
      <c r="AK2009" s="18" t="inlineStr">
        <is>
          <t>사용</t>
        </is>
      </c>
      <c r="AL2009" s="18" t="inlineStr">
        <is>
          <t>COBBLEVERSE 1.7.42 / DP v31</t>
        </is>
      </c>
      <c r="AM2009" s="18" t="inlineStr">
        <is>
          <t>data/cobblemon/spawn_pool_world/0588_karrablast.json</t>
        </is>
      </c>
      <c r="AN2009" s="18" t="inlineStr">
        <is>
          <t>karrablast-1</t>
        </is>
      </c>
      <c r="AO2009" s="18" t="inlineStr">
        <is>
          <t>pokemon</t>
        </is>
      </c>
      <c r="AP2009" s="18" t="inlineStr">
        <is>
          <t>natural</t>
        </is>
      </c>
      <c r="AQ2009" s="18" t="inlineStr">
        <is>
          <t>{"biomes":["#cobblemon:is_swamp"],"maxSkyLight":15,"minSkyLight":8}</t>
        </is>
      </c>
      <c r="AR2009" s="18" t="inlineStr"/>
      <c r="AS2009" s="18" t="inlineStr"/>
      <c r="AT2009" s="19" t="inlineStr"/>
    </row>
    <row r="2010" ht="32" customHeight="1">
      <c r="A2010" s="18" t="inlineStr">
        <is>
          <t>0589_escavalier.json::escavalier-1::001</t>
        </is>
      </c>
      <c r="B2010" s="19" t="inlineStr">
        <is>
          <t>사용</t>
        </is>
      </c>
      <c r="C2010" s="18">
        <f>IF(OR(B2010&lt;&gt;AK2010,M2010&lt;&gt;L2010,O2010&lt;&gt;"",Q2010&lt;&gt;"",V2010&lt;&gt;1,Y2010&lt;&gt;"",AT2010&lt;&gt;""),"수정","원본")</f>
        <v/>
      </c>
      <c r="D2010" s="18" t="n">
        <v>589</v>
      </c>
      <c r="E2010" s="18" t="inlineStr">
        <is>
          <t>슈바르고</t>
        </is>
      </c>
      <c r="F2010" s="18" t="inlineStr">
        <is>
          <t>escavalier</t>
        </is>
      </c>
      <c r="G2010" s="18" t="inlineStr">
        <is>
          <t>escavalier</t>
        </is>
      </c>
      <c r="H2010" s="18" t="inlineStr"/>
      <c r="I2010" s="18" t="n">
        <v>5</v>
      </c>
      <c r="J2010" s="18" t="n"/>
      <c r="K2010" s="18" t="n">
        <v>5</v>
      </c>
      <c r="L2010" s="18" t="inlineStr">
        <is>
          <t>cobbleventure:generation_5</t>
        </is>
      </c>
      <c r="M2010" s="19" t="inlineStr">
        <is>
          <t>cobbleventure:generation_5</t>
        </is>
      </c>
      <c r="N2010" s="18" t="inlineStr">
        <is>
          <t>region_02</t>
        </is>
      </c>
      <c r="O2010" s="19" t="inlineStr"/>
      <c r="P2010" s="18" t="inlineStr">
        <is>
          <t>#cobblemon:is_swamp</t>
        </is>
      </c>
      <c r="Q2010" s="19" t="inlineStr"/>
      <c r="R2010" s="18">
        <f>IF(Q2010="",P2010,Q2010)</f>
        <v/>
      </c>
      <c r="S2010" s="18" t="inlineStr"/>
      <c r="T2010" s="18" t="inlineStr">
        <is>
          <t>common</t>
        </is>
      </c>
      <c r="U2010" s="20" t="n">
        <v>0.3</v>
      </c>
      <c r="V2010" s="21" t="n">
        <v>1</v>
      </c>
      <c r="W2010" s="20">
        <f>IF(OR(U2010="",V2010=""),U2010,U2010*V2010)</f>
        <v/>
      </c>
      <c r="X2010" s="18" t="inlineStr">
        <is>
          <t>27-50</t>
        </is>
      </c>
      <c r="Y2010" s="19" t="inlineStr"/>
      <c r="Z2010" s="18">
        <f>IF(Y2010="",X2010,Y2010)</f>
        <v/>
      </c>
      <c r="AA2010" s="18" t="inlineStr">
        <is>
          <t>grounded</t>
        </is>
      </c>
      <c r="AB2010" s="18" t="inlineStr"/>
      <c r="AC2010" s="18" t="inlineStr"/>
      <c r="AD2010" s="18" t="inlineStr"/>
      <c r="AE2010" s="18" t="inlineStr">
        <is>
          <t>sky 8-15</t>
        </is>
      </c>
      <c r="AF2010" s="18" t="inlineStr"/>
      <c r="AG2010" s="18" t="inlineStr"/>
      <c r="AH2010" s="18" t="inlineStr"/>
      <c r="AI2010" s="18" t="inlineStr"/>
      <c r="AJ2010" s="18" t="inlineStr">
        <is>
          <t>Cobblemon 동일</t>
        </is>
      </c>
      <c r="AK2010" s="18" t="inlineStr">
        <is>
          <t>사용</t>
        </is>
      </c>
      <c r="AL2010" s="18" t="inlineStr">
        <is>
          <t>COBBLEVERSE 1.7.42 / DP v31</t>
        </is>
      </c>
      <c r="AM2010" s="18" t="inlineStr">
        <is>
          <t>data/cobblemon/spawn_pool_world/0589_escavalier.json</t>
        </is>
      </c>
      <c r="AN2010" s="18" t="inlineStr">
        <is>
          <t>escavalier-1</t>
        </is>
      </c>
      <c r="AO2010" s="18" t="inlineStr">
        <is>
          <t>pokemon</t>
        </is>
      </c>
      <c r="AP2010" s="18" t="inlineStr">
        <is>
          <t>natural</t>
        </is>
      </c>
      <c r="AQ2010" s="18" t="inlineStr">
        <is>
          <t>{"biomes":["#cobblemon:is_swamp"],"maxSkyLight":15,"minSkyLight":8}</t>
        </is>
      </c>
      <c r="AR2010" s="18" t="inlineStr"/>
      <c r="AS2010" s="18" t="inlineStr"/>
      <c r="AT2010" s="19" t="inlineStr"/>
    </row>
    <row r="2011" ht="32" customHeight="1">
      <c r="A2011" s="18" t="inlineStr">
        <is>
          <t>0590_foongus.json::foongus-1::001</t>
        </is>
      </c>
      <c r="B2011" s="19" t="inlineStr">
        <is>
          <t>사용</t>
        </is>
      </c>
      <c r="C2011" s="18">
        <f>IF(OR(B2011&lt;&gt;AK2011,M2011&lt;&gt;L2011,O2011&lt;&gt;"",Q2011&lt;&gt;"",V2011&lt;&gt;1,Y2011&lt;&gt;"",AT2011&lt;&gt;""),"수정","원본")</f>
        <v/>
      </c>
      <c r="D2011" s="18" t="n">
        <v>590</v>
      </c>
      <c r="E2011" s="18" t="inlineStr">
        <is>
          <t>깜놀버슬</t>
        </is>
      </c>
      <c r="F2011" s="18" t="inlineStr">
        <is>
          <t>foongus</t>
        </is>
      </c>
      <c r="G2011" s="18" t="inlineStr">
        <is>
          <t>foongus</t>
        </is>
      </c>
      <c r="H2011" s="18" t="inlineStr"/>
      <c r="I2011" s="18" t="n">
        <v>5</v>
      </c>
      <c r="J2011" s="18" t="n"/>
      <c r="K2011" s="18" t="n">
        <v>5</v>
      </c>
      <c r="L2011" s="18" t="inlineStr">
        <is>
          <t>cobbleventure:generation_5</t>
        </is>
      </c>
      <c r="M2011" s="19" t="inlineStr">
        <is>
          <t>cobbleventure:generation_5</t>
        </is>
      </c>
      <c r="N2011" s="18" t="inlineStr">
        <is>
          <t>region_02</t>
        </is>
      </c>
      <c r="O2011" s="19" t="inlineStr"/>
      <c r="P2011" s="18" t="inlineStr">
        <is>
          <t>#cobblemon:is_mushroom; #cobblemon:is_swamp</t>
        </is>
      </c>
      <c r="Q2011" s="19" t="inlineStr"/>
      <c r="R2011" s="18">
        <f>IF(Q2011="",P2011,Q2011)</f>
        <v/>
      </c>
      <c r="S2011" s="18" t="inlineStr"/>
      <c r="T2011" s="18" t="inlineStr">
        <is>
          <t>common</t>
        </is>
      </c>
      <c r="U2011" s="20" t="n">
        <v>9</v>
      </c>
      <c r="V2011" s="21" t="n">
        <v>1</v>
      </c>
      <c r="W2011" s="20">
        <f>IF(OR(U2011="",V2011=""),U2011,U2011*V2011)</f>
        <v/>
      </c>
      <c r="X2011" s="18" t="inlineStr">
        <is>
          <t>4-29</t>
        </is>
      </c>
      <c r="Y2011" s="19" t="inlineStr"/>
      <c r="Z2011" s="18">
        <f>IF(Y2011="",X2011,Y2011)</f>
        <v/>
      </c>
      <c r="AA2011" s="18" t="inlineStr">
        <is>
          <t>grounded</t>
        </is>
      </c>
      <c r="AB2011" s="18" t="inlineStr"/>
      <c r="AC2011" s="18" t="inlineStr"/>
      <c r="AD2011" s="18" t="inlineStr"/>
      <c r="AE2011" s="18" t="inlineStr">
        <is>
          <t>sky 0-7</t>
        </is>
      </c>
      <c r="AF2011" s="18" t="inlineStr"/>
      <c r="AG2011" s="18" t="inlineStr"/>
      <c r="AH2011" s="18" t="inlineStr"/>
      <c r="AI2011" s="18" t="inlineStr"/>
      <c r="AJ2011" s="18" t="inlineStr">
        <is>
          <t>COBBLEVERSE 수정</t>
        </is>
      </c>
      <c r="AK2011" s="18" t="inlineStr">
        <is>
          <t>사용</t>
        </is>
      </c>
      <c r="AL2011" s="18" t="inlineStr">
        <is>
          <t>COBBLEVERSE 1.7.42 / DP v31</t>
        </is>
      </c>
      <c r="AM2011" s="18" t="inlineStr">
        <is>
          <t>data/cobblemon/spawn_pool_world/0590_foongus.json</t>
        </is>
      </c>
      <c r="AN2011" s="18" t="inlineStr">
        <is>
          <t>foongus-1</t>
        </is>
      </c>
      <c r="AO2011" s="18" t="inlineStr">
        <is>
          <t>pokemon</t>
        </is>
      </c>
      <c r="AP2011" s="18" t="inlineStr">
        <is>
          <t>natural</t>
        </is>
      </c>
      <c r="AQ2011" s="18" t="inlineStr">
        <is>
          <t>{"biomes":["#cobblemon:is_mushroom","#cobblemon:is_swamp"],"maxSkyLight":7,"minSkyLight":0}</t>
        </is>
      </c>
      <c r="AR2011" s="18" t="inlineStr"/>
      <c r="AS2011" s="18" t="inlineStr"/>
      <c r="AT2011" s="19" t="inlineStr"/>
    </row>
    <row r="2012" ht="32" customHeight="1">
      <c r="A2012" s="18" t="inlineStr">
        <is>
          <t>0590_foongus.json::foongus-2::002</t>
        </is>
      </c>
      <c r="B2012" s="19" t="inlineStr">
        <is>
          <t>사용</t>
        </is>
      </c>
      <c r="C2012" s="18">
        <f>IF(OR(B2012&lt;&gt;AK2012,M2012&lt;&gt;L2012,O2012&lt;&gt;"",Q2012&lt;&gt;"",V2012&lt;&gt;1,Y2012&lt;&gt;"",AT2012&lt;&gt;""),"수정","원본")</f>
        <v/>
      </c>
      <c r="D2012" s="18" t="n">
        <v>590</v>
      </c>
      <c r="E2012" s="18" t="inlineStr">
        <is>
          <t>깜놀버슬</t>
        </is>
      </c>
      <c r="F2012" s="18" t="inlineStr">
        <is>
          <t>foongus</t>
        </is>
      </c>
      <c r="G2012" s="18" t="inlineStr">
        <is>
          <t>foongus</t>
        </is>
      </c>
      <c r="H2012" s="18" t="inlineStr"/>
      <c r="I2012" s="18" t="n">
        <v>5</v>
      </c>
      <c r="J2012" s="18" t="n"/>
      <c r="K2012" s="18" t="n">
        <v>5</v>
      </c>
      <c r="L2012" s="18" t="inlineStr">
        <is>
          <t>cobbleventure:generation_5</t>
        </is>
      </c>
      <c r="M2012" s="19" t="inlineStr">
        <is>
          <t>cobbleventure:generation_5</t>
        </is>
      </c>
      <c r="N2012" s="18" t="inlineStr"/>
      <c r="O2012" s="19" t="inlineStr"/>
      <c r="P2012" s="18" t="inlineStr">
        <is>
          <t>#cobblemon:is_mushroom</t>
        </is>
      </c>
      <c r="Q2012" s="19" t="inlineStr"/>
      <c r="R2012" s="18">
        <f>IF(Q2012="",P2012,Q2012)</f>
        <v/>
      </c>
      <c r="S2012" s="18" t="inlineStr"/>
      <c r="T2012" s="18" t="inlineStr">
        <is>
          <t>common</t>
        </is>
      </c>
      <c r="U2012" s="20" t="n">
        <v>9</v>
      </c>
      <c r="V2012" s="21" t="n">
        <v>1</v>
      </c>
      <c r="W2012" s="20">
        <f>IF(OR(U2012="",V2012=""),U2012,U2012*V2012)</f>
        <v/>
      </c>
      <c r="X2012" s="18" t="inlineStr">
        <is>
          <t>4-29</t>
        </is>
      </c>
      <c r="Y2012" s="19" t="inlineStr"/>
      <c r="Z2012" s="18">
        <f>IF(Y2012="",X2012,Y2012)</f>
        <v/>
      </c>
      <c r="AA2012" s="18" t="inlineStr">
        <is>
          <t>grounded</t>
        </is>
      </c>
      <c r="AB2012" s="18" t="inlineStr"/>
      <c r="AC2012" s="18" t="inlineStr"/>
      <c r="AD2012" s="18" t="inlineStr"/>
      <c r="AE2012" s="18" t="inlineStr">
        <is>
          <t>sky 8-15</t>
        </is>
      </c>
      <c r="AF2012" s="18" t="inlineStr"/>
      <c r="AG2012" s="18" t="inlineStr"/>
      <c r="AH2012" s="18" t="inlineStr"/>
      <c r="AI2012" s="18" t="inlineStr"/>
      <c r="AJ2012" s="18" t="inlineStr">
        <is>
          <t>COBBLEVERSE 수정</t>
        </is>
      </c>
      <c r="AK2012" s="18" t="inlineStr">
        <is>
          <t>사용</t>
        </is>
      </c>
      <c r="AL2012" s="18" t="inlineStr">
        <is>
          <t>COBBLEVERSE 1.7.42 / DP v31</t>
        </is>
      </c>
      <c r="AM2012" s="18" t="inlineStr">
        <is>
          <t>data/cobblemon/spawn_pool_world/0590_foongus.json</t>
        </is>
      </c>
      <c r="AN2012" s="18" t="inlineStr">
        <is>
          <t>foongus-2</t>
        </is>
      </c>
      <c r="AO2012" s="18" t="inlineStr">
        <is>
          <t>pokemon</t>
        </is>
      </c>
      <c r="AP2012" s="18" t="inlineStr">
        <is>
          <t>natural</t>
        </is>
      </c>
      <c r="AQ2012" s="18" t="inlineStr">
        <is>
          <t>{"biomes":["#cobblemon:is_mushroom"],"maxSkyLight":15,"minSkyLight":8}</t>
        </is>
      </c>
      <c r="AR2012" s="18" t="inlineStr"/>
      <c r="AS2012" s="18" t="inlineStr">
        <is>
          <t>{"weightMultiplier":{"condition":{"timeRange":"day"},"multiplier":0.25}}</t>
        </is>
      </c>
      <c r="AT2012" s="19" t="inlineStr"/>
    </row>
    <row r="2013" ht="32" customHeight="1">
      <c r="A2013" s="18" t="inlineStr">
        <is>
          <t>0591_amoonguss.json::amoonguss-1::001</t>
        </is>
      </c>
      <c r="B2013" s="19" t="inlineStr">
        <is>
          <t>사용</t>
        </is>
      </c>
      <c r="C2013" s="18">
        <f>IF(OR(B2013&lt;&gt;AK2013,M2013&lt;&gt;L2013,O2013&lt;&gt;"",Q2013&lt;&gt;"",V2013&lt;&gt;1,Y2013&lt;&gt;"",AT2013&lt;&gt;""),"수정","원본")</f>
        <v/>
      </c>
      <c r="D2013" s="18" t="n">
        <v>591</v>
      </c>
      <c r="E2013" s="18" t="inlineStr">
        <is>
          <t>뽀록나</t>
        </is>
      </c>
      <c r="F2013" s="18" t="inlineStr">
        <is>
          <t>amoonguss</t>
        </is>
      </c>
      <c r="G2013" s="18" t="inlineStr">
        <is>
          <t>amoonguss</t>
        </is>
      </c>
      <c r="H2013" s="18" t="inlineStr"/>
      <c r="I2013" s="18" t="n">
        <v>5</v>
      </c>
      <c r="J2013" s="18" t="n"/>
      <c r="K2013" s="18" t="n">
        <v>5</v>
      </c>
      <c r="L2013" s="18" t="inlineStr">
        <is>
          <t>cobbleventure:generation_5</t>
        </is>
      </c>
      <c r="M2013" s="19" t="inlineStr">
        <is>
          <t>cobbleventure:generation_5</t>
        </is>
      </c>
      <c r="N2013" s="18" t="inlineStr">
        <is>
          <t>region_02</t>
        </is>
      </c>
      <c r="O2013" s="19" t="inlineStr"/>
      <c r="P2013" s="18" t="inlineStr">
        <is>
          <t>#cobblemon:is_mushroom; #cobblemon:is_swamp</t>
        </is>
      </c>
      <c r="Q2013" s="19" t="inlineStr"/>
      <c r="R2013" s="18">
        <f>IF(Q2013="",P2013,Q2013)</f>
        <v/>
      </c>
      <c r="S2013" s="18" t="inlineStr"/>
      <c r="T2013" s="18" t="inlineStr">
        <is>
          <t>common</t>
        </is>
      </c>
      <c r="U2013" s="20" t="n">
        <v>1</v>
      </c>
      <c r="V2013" s="21" t="n">
        <v>1</v>
      </c>
      <c r="W2013" s="20">
        <f>IF(OR(U2013="",V2013=""),U2013,U2013*V2013)</f>
        <v/>
      </c>
      <c r="X2013" s="18" t="inlineStr">
        <is>
          <t>39-46</t>
        </is>
      </c>
      <c r="Y2013" s="19" t="inlineStr"/>
      <c r="Z2013" s="18">
        <f>IF(Y2013="",X2013,Y2013)</f>
        <v/>
      </c>
      <c r="AA2013" s="18" t="inlineStr">
        <is>
          <t>grounded</t>
        </is>
      </c>
      <c r="AB2013" s="18" t="inlineStr"/>
      <c r="AC2013" s="18" t="inlineStr"/>
      <c r="AD2013" s="18" t="inlineStr"/>
      <c r="AE2013" s="18" t="inlineStr">
        <is>
          <t>sky 0-7</t>
        </is>
      </c>
      <c r="AF2013" s="18" t="inlineStr"/>
      <c r="AG2013" s="18" t="inlineStr"/>
      <c r="AH2013" s="18" t="inlineStr"/>
      <c r="AI2013" s="18" t="inlineStr"/>
      <c r="AJ2013" s="18" t="inlineStr">
        <is>
          <t>COBBLEVERSE 수정</t>
        </is>
      </c>
      <c r="AK2013" s="18" t="inlineStr">
        <is>
          <t>사용</t>
        </is>
      </c>
      <c r="AL2013" s="18" t="inlineStr">
        <is>
          <t>COBBLEVERSE 1.7.42 / DP v31</t>
        </is>
      </c>
      <c r="AM2013" s="18" t="inlineStr">
        <is>
          <t>data/cobblemon/spawn_pool_world/0591_amoonguss.json</t>
        </is>
      </c>
      <c r="AN2013" s="18" t="inlineStr">
        <is>
          <t>amoonguss-1</t>
        </is>
      </c>
      <c r="AO2013" s="18" t="inlineStr">
        <is>
          <t>pokemon</t>
        </is>
      </c>
      <c r="AP2013" s="18" t="inlineStr">
        <is>
          <t>natural</t>
        </is>
      </c>
      <c r="AQ2013" s="18" t="inlineStr">
        <is>
          <t>{"biomes":["#cobblemon:is_mushroom","#cobblemon:is_swamp"],"maxSkyLight":7,"minSkyLight":0}</t>
        </is>
      </c>
      <c r="AR2013" s="18" t="inlineStr"/>
      <c r="AS2013" s="18" t="inlineStr"/>
      <c r="AT2013" s="19" t="inlineStr"/>
    </row>
    <row r="2014" ht="32" customHeight="1">
      <c r="A2014" s="18" t="inlineStr">
        <is>
          <t>0591_amoonguss.json::amoonguss-2::002</t>
        </is>
      </c>
      <c r="B2014" s="19" t="inlineStr">
        <is>
          <t>사용</t>
        </is>
      </c>
      <c r="C2014" s="18">
        <f>IF(OR(B2014&lt;&gt;AK2014,M2014&lt;&gt;L2014,O2014&lt;&gt;"",Q2014&lt;&gt;"",V2014&lt;&gt;1,Y2014&lt;&gt;"",AT2014&lt;&gt;""),"수정","원본")</f>
        <v/>
      </c>
      <c r="D2014" s="18" t="n">
        <v>591</v>
      </c>
      <c r="E2014" s="18" t="inlineStr">
        <is>
          <t>뽀록나</t>
        </is>
      </c>
      <c r="F2014" s="18" t="inlineStr">
        <is>
          <t>amoonguss</t>
        </is>
      </c>
      <c r="G2014" s="18" t="inlineStr">
        <is>
          <t>amoonguss</t>
        </is>
      </c>
      <c r="H2014" s="18" t="inlineStr"/>
      <c r="I2014" s="18" t="n">
        <v>5</v>
      </c>
      <c r="J2014" s="18" t="n"/>
      <c r="K2014" s="18" t="n">
        <v>5</v>
      </c>
      <c r="L2014" s="18" t="inlineStr">
        <is>
          <t>cobbleventure:generation_5</t>
        </is>
      </c>
      <c r="M2014" s="19" t="inlineStr">
        <is>
          <t>cobbleventure:generation_5</t>
        </is>
      </c>
      <c r="N2014" s="18" t="inlineStr"/>
      <c r="O2014" s="19" t="inlineStr"/>
      <c r="P2014" s="18" t="inlineStr">
        <is>
          <t>#cobblemon:is_mushroom</t>
        </is>
      </c>
      <c r="Q2014" s="19" t="inlineStr"/>
      <c r="R2014" s="18">
        <f>IF(Q2014="",P2014,Q2014)</f>
        <v/>
      </c>
      <c r="S2014" s="18" t="inlineStr"/>
      <c r="T2014" s="18" t="inlineStr">
        <is>
          <t>common</t>
        </is>
      </c>
      <c r="U2014" s="20" t="n">
        <v>1</v>
      </c>
      <c r="V2014" s="21" t="n">
        <v>1</v>
      </c>
      <c r="W2014" s="20">
        <f>IF(OR(U2014="",V2014=""),U2014,U2014*V2014)</f>
        <v/>
      </c>
      <c r="X2014" s="18" t="inlineStr">
        <is>
          <t>39-46</t>
        </is>
      </c>
      <c r="Y2014" s="19" t="inlineStr"/>
      <c r="Z2014" s="18">
        <f>IF(Y2014="",X2014,Y2014)</f>
        <v/>
      </c>
      <c r="AA2014" s="18" t="inlineStr">
        <is>
          <t>grounded</t>
        </is>
      </c>
      <c r="AB2014" s="18" t="inlineStr"/>
      <c r="AC2014" s="18" t="inlineStr"/>
      <c r="AD2014" s="18" t="inlineStr"/>
      <c r="AE2014" s="18" t="inlineStr">
        <is>
          <t>sky 8-15</t>
        </is>
      </c>
      <c r="AF2014" s="18" t="inlineStr"/>
      <c r="AG2014" s="18" t="inlineStr"/>
      <c r="AH2014" s="18" t="inlineStr"/>
      <c r="AI2014" s="18" t="inlineStr"/>
      <c r="AJ2014" s="18" t="inlineStr">
        <is>
          <t>COBBLEVERSE 수정</t>
        </is>
      </c>
      <c r="AK2014" s="18" t="inlineStr">
        <is>
          <t>사용</t>
        </is>
      </c>
      <c r="AL2014" s="18" t="inlineStr">
        <is>
          <t>COBBLEVERSE 1.7.42 / DP v31</t>
        </is>
      </c>
      <c r="AM2014" s="18" t="inlineStr">
        <is>
          <t>data/cobblemon/spawn_pool_world/0591_amoonguss.json</t>
        </is>
      </c>
      <c r="AN2014" s="18" t="inlineStr">
        <is>
          <t>amoonguss-2</t>
        </is>
      </c>
      <c r="AO2014" s="18" t="inlineStr">
        <is>
          <t>pokemon</t>
        </is>
      </c>
      <c r="AP2014" s="18" t="inlineStr">
        <is>
          <t>natural</t>
        </is>
      </c>
      <c r="AQ2014" s="18" t="inlineStr">
        <is>
          <t>{"biomes":["#cobblemon:is_mushroom"],"maxSkyLight":15,"minSkyLight":8}</t>
        </is>
      </c>
      <c r="AR2014" s="18" t="inlineStr"/>
      <c r="AS2014" s="18" t="inlineStr">
        <is>
          <t>{"weightMultiplier":{"condition":{"timeRange":"day"},"multiplier":0.25}}</t>
        </is>
      </c>
      <c r="AT2014" s="19" t="inlineStr"/>
    </row>
    <row r="2015" ht="32" customHeight="1">
      <c r="A2015" s="18" t="inlineStr">
        <is>
          <t>0592_frillish.json::frillish-1::001</t>
        </is>
      </c>
      <c r="B2015" s="19" t="inlineStr">
        <is>
          <t>사용</t>
        </is>
      </c>
      <c r="C2015" s="18">
        <f>IF(OR(B2015&lt;&gt;AK2015,M2015&lt;&gt;L2015,O2015&lt;&gt;"",Q2015&lt;&gt;"",V2015&lt;&gt;1,Y2015&lt;&gt;"",AT2015&lt;&gt;""),"수정","원본")</f>
        <v/>
      </c>
      <c r="D2015" s="18" t="n">
        <v>592</v>
      </c>
      <c r="E2015" s="18" t="inlineStr">
        <is>
          <t>탱그릴</t>
        </is>
      </c>
      <c r="F2015" s="18" t="inlineStr">
        <is>
          <t>frillish</t>
        </is>
      </c>
      <c r="G2015" s="18" t="inlineStr">
        <is>
          <t>frillish</t>
        </is>
      </c>
      <c r="H2015" s="18" t="inlineStr"/>
      <c r="I2015" s="18" t="n">
        <v>5</v>
      </c>
      <c r="J2015" s="18" t="n"/>
      <c r="K2015" s="18" t="n">
        <v>5</v>
      </c>
      <c r="L2015" s="18" t="inlineStr">
        <is>
          <t>cobbleventure:generation_5</t>
        </is>
      </c>
      <c r="M2015" s="19" t="inlineStr">
        <is>
          <t>cobbleventure:generation_5</t>
        </is>
      </c>
      <c r="N2015" s="18" t="inlineStr"/>
      <c r="O2015" s="19" t="inlineStr"/>
      <c r="P2015" s="18" t="inlineStr">
        <is>
          <t>#cobblemon:is_ocean</t>
        </is>
      </c>
      <c r="Q2015" s="19" t="inlineStr"/>
      <c r="R2015" s="18">
        <f>IF(Q2015="",P2015,Q2015)</f>
        <v/>
      </c>
      <c r="S2015" s="18" t="inlineStr"/>
      <c r="T2015" s="18" t="inlineStr">
        <is>
          <t>common</t>
        </is>
      </c>
      <c r="U2015" s="20" t="n">
        <v>5.4</v>
      </c>
      <c r="V2015" s="21" t="n">
        <v>1</v>
      </c>
      <c r="W2015" s="20">
        <f>IF(OR(U2015="",V2015=""),U2015,U2015*V2015)</f>
        <v/>
      </c>
      <c r="X2015" s="18" t="inlineStr">
        <is>
          <t>9-34</t>
        </is>
      </c>
      <c r="Y2015" s="19" t="inlineStr"/>
      <c r="Z2015" s="18">
        <f>IF(Y2015="",X2015,Y2015)</f>
        <v/>
      </c>
      <c r="AA2015" s="18" t="inlineStr">
        <is>
          <t>submerged</t>
        </is>
      </c>
      <c r="AB2015" s="18" t="inlineStr"/>
      <c r="AC2015" s="18" t="inlineStr"/>
      <c r="AD2015" s="18" t="inlineStr">
        <is>
          <t>maxY=48</t>
        </is>
      </c>
      <c r="AE2015" s="18" t="inlineStr"/>
      <c r="AF2015" s="18" t="inlineStr">
        <is>
          <t>True</t>
        </is>
      </c>
      <c r="AG2015" s="18" t="inlineStr"/>
      <c r="AH2015" s="18" t="inlineStr"/>
      <c r="AI2015" s="18" t="inlineStr"/>
      <c r="AJ2015" s="18" t="inlineStr">
        <is>
          <t>COBBLEVERSE 수정</t>
        </is>
      </c>
      <c r="AK2015" s="18" t="inlineStr">
        <is>
          <t>사용</t>
        </is>
      </c>
      <c r="AL2015" s="18" t="inlineStr">
        <is>
          <t>COBBLEVERSE 1.7.42 / DP v31</t>
        </is>
      </c>
      <c r="AM2015" s="18" t="inlineStr">
        <is>
          <t>data/cobblemon/spawn_pool_world/0592_frillish.json</t>
        </is>
      </c>
      <c r="AN2015" s="18" t="inlineStr">
        <is>
          <t>frillish-1</t>
        </is>
      </c>
      <c r="AO2015" s="18" t="inlineStr">
        <is>
          <t>pokemon</t>
        </is>
      </c>
      <c r="AP2015" s="18" t="inlineStr">
        <is>
          <t>water</t>
        </is>
      </c>
      <c r="AQ2015" s="18" t="inlineStr">
        <is>
          <t>{"biomes":["#cobblemon:is_ocean"],"canSeeSky":true,"maxY":48}</t>
        </is>
      </c>
      <c r="AR2015" s="18" t="inlineStr"/>
      <c r="AS2015" s="18" t="inlineStr">
        <is>
          <t>{"weightMultiplier":{"condition":{"structures":["#minecraft:shipwreck"]},"multiplier":10.0}}</t>
        </is>
      </c>
      <c r="AT2015" s="19" t="inlineStr"/>
    </row>
    <row r="2016" ht="32" customHeight="1">
      <c r="A2016" s="18" t="inlineStr">
        <is>
          <t>0592_frillish.json::frillish-2::002</t>
        </is>
      </c>
      <c r="B2016" s="19" t="inlineStr">
        <is>
          <t>사용</t>
        </is>
      </c>
      <c r="C2016" s="18">
        <f>IF(OR(B2016&lt;&gt;AK2016,M2016&lt;&gt;L2016,O2016&lt;&gt;"",Q2016&lt;&gt;"",V2016&lt;&gt;1,Y2016&lt;&gt;"",AT2016&lt;&gt;""),"수정","원본")</f>
        <v/>
      </c>
      <c r="D2016" s="18" t="n">
        <v>592</v>
      </c>
      <c r="E2016" s="18" t="inlineStr">
        <is>
          <t>탱그릴</t>
        </is>
      </c>
      <c r="F2016" s="18" t="inlineStr">
        <is>
          <t>frillish</t>
        </is>
      </c>
      <c r="G2016" s="18" t="inlineStr">
        <is>
          <t>frillish</t>
        </is>
      </c>
      <c r="H2016" s="18" t="inlineStr"/>
      <c r="I2016" s="18" t="n">
        <v>5</v>
      </c>
      <c r="J2016" s="18" t="n"/>
      <c r="K2016" s="18" t="n">
        <v>5</v>
      </c>
      <c r="L2016" s="18" t="inlineStr">
        <is>
          <t>cobbleventure:generation_5</t>
        </is>
      </c>
      <c r="M2016" s="19" t="inlineStr">
        <is>
          <t>cobbleventure:generation_5</t>
        </is>
      </c>
      <c r="N2016" s="18" t="inlineStr"/>
      <c r="O2016" s="19" t="inlineStr"/>
      <c r="P2016" s="18" t="inlineStr">
        <is>
          <t>#cobblemon:is_ocean</t>
        </is>
      </c>
      <c r="Q2016" s="19" t="inlineStr"/>
      <c r="R2016" s="18">
        <f>IF(Q2016="",P2016,Q2016)</f>
        <v/>
      </c>
      <c r="S2016" s="18" t="inlineStr"/>
      <c r="T2016" s="18" t="inlineStr">
        <is>
          <t>common</t>
        </is>
      </c>
      <c r="U2016" s="20" t="n">
        <v>5.4</v>
      </c>
      <c r="V2016" s="21" t="n">
        <v>1</v>
      </c>
      <c r="W2016" s="20">
        <f>IF(OR(U2016="",V2016=""),U2016,U2016*V2016)</f>
        <v/>
      </c>
      <c r="X2016" s="18" t="inlineStr">
        <is>
          <t>9-34</t>
        </is>
      </c>
      <c r="Y2016" s="19" t="inlineStr"/>
      <c r="Z2016" s="18">
        <f>IF(Y2016="",X2016,Y2016)</f>
        <v/>
      </c>
      <c r="AA2016" s="18" t="inlineStr">
        <is>
          <t>surface</t>
        </is>
      </c>
      <c r="AB2016" s="18" t="inlineStr">
        <is>
          <t>night</t>
        </is>
      </c>
      <c r="AC2016" s="18" t="inlineStr"/>
      <c r="AD2016" s="18" t="inlineStr"/>
      <c r="AE2016" s="18" t="inlineStr">
        <is>
          <t>sky 8-15</t>
        </is>
      </c>
      <c r="AF2016" s="18" t="inlineStr"/>
      <c r="AG2016" s="18" t="inlineStr"/>
      <c r="AH2016" s="18" t="inlineStr"/>
      <c r="AI2016" s="18" t="inlineStr"/>
      <c r="AJ2016" s="18" t="inlineStr">
        <is>
          <t>COBBLEVERSE 수정</t>
        </is>
      </c>
      <c r="AK2016" s="18" t="inlineStr">
        <is>
          <t>사용</t>
        </is>
      </c>
      <c r="AL2016" s="18" t="inlineStr">
        <is>
          <t>COBBLEVERSE 1.7.42 / DP v31</t>
        </is>
      </c>
      <c r="AM2016" s="18" t="inlineStr">
        <is>
          <t>data/cobblemon/spawn_pool_world/0592_frillish.json</t>
        </is>
      </c>
      <c r="AN2016" s="18" t="inlineStr">
        <is>
          <t>frillish-2</t>
        </is>
      </c>
      <c r="AO2016" s="18" t="inlineStr">
        <is>
          <t>pokemon</t>
        </is>
      </c>
      <c r="AP2016" s="18" t="inlineStr">
        <is>
          <t>water</t>
        </is>
      </c>
      <c r="AQ2016" s="18" t="inlineStr">
        <is>
          <t>{"biomes":["#cobblemon:is_ocean"],"maxSkyLight":15,"minSkyLight":8,"timeRange":"night"}</t>
        </is>
      </c>
      <c r="AR2016" s="18" t="inlineStr"/>
      <c r="AS2016" s="18" t="inlineStr"/>
      <c r="AT2016" s="19" t="inlineStr"/>
    </row>
    <row r="2017" ht="32" customHeight="1">
      <c r="A2017" s="18" t="inlineStr">
        <is>
          <t>0592_frillish.json::frillish-3::003</t>
        </is>
      </c>
      <c r="B2017" s="19" t="inlineStr">
        <is>
          <t>사용</t>
        </is>
      </c>
      <c r="C2017" s="18">
        <f>IF(OR(B2017&lt;&gt;AK2017,M2017&lt;&gt;L2017,O2017&lt;&gt;"",Q2017&lt;&gt;"",V2017&lt;&gt;1,Y2017&lt;&gt;"",AT2017&lt;&gt;""),"수정","원본")</f>
        <v/>
      </c>
      <c r="D2017" s="18" t="n">
        <v>592</v>
      </c>
      <c r="E2017" s="18" t="inlineStr">
        <is>
          <t>탱그릴</t>
        </is>
      </c>
      <c r="F2017" s="18" t="inlineStr">
        <is>
          <t>frillish</t>
        </is>
      </c>
      <c r="G2017" s="18" t="inlineStr">
        <is>
          <t>frillish</t>
        </is>
      </c>
      <c r="H2017" s="18" t="inlineStr"/>
      <c r="I2017" s="18" t="n">
        <v>5</v>
      </c>
      <c r="J2017" s="18" t="n"/>
      <c r="K2017" s="18" t="n">
        <v>5</v>
      </c>
      <c r="L2017" s="18" t="inlineStr">
        <is>
          <t>cobbleventure:generation_5</t>
        </is>
      </c>
      <c r="M2017" s="19" t="inlineStr">
        <is>
          <t>cobbleventure:generation_5</t>
        </is>
      </c>
      <c r="N2017" s="18" t="inlineStr"/>
      <c r="O2017" s="19" t="inlineStr"/>
      <c r="P2017" s="18" t="inlineStr">
        <is>
          <t>#cobblemon:is_ocean</t>
        </is>
      </c>
      <c r="Q2017" s="19" t="inlineStr"/>
      <c r="R2017" s="18">
        <f>IF(Q2017="",P2017,Q2017)</f>
        <v/>
      </c>
      <c r="S2017" s="18" t="inlineStr"/>
      <c r="T2017" s="18" t="inlineStr">
        <is>
          <t>common</t>
        </is>
      </c>
      <c r="U2017" s="20" t="n">
        <v>9</v>
      </c>
      <c r="V2017" s="21" t="n">
        <v>1</v>
      </c>
      <c r="W2017" s="20">
        <f>IF(OR(U2017="",V2017=""),U2017,U2017*V2017)</f>
        <v/>
      </c>
      <c r="X2017" s="18" t="inlineStr">
        <is>
          <t>9-34</t>
        </is>
      </c>
      <c r="Y2017" s="19" t="inlineStr"/>
      <c r="Z2017" s="18">
        <f>IF(Y2017="",X2017,Y2017)</f>
        <v/>
      </c>
      <c r="AA2017" s="18" t="inlineStr">
        <is>
          <t>fishing</t>
        </is>
      </c>
      <c r="AB2017" s="18" t="inlineStr"/>
      <c r="AC2017" s="18" t="inlineStr"/>
      <c r="AD2017" s="18" t="inlineStr"/>
      <c r="AE2017" s="18" t="inlineStr"/>
      <c r="AF2017" s="18" t="inlineStr">
        <is>
          <t>True</t>
        </is>
      </c>
      <c r="AG2017" s="18" t="inlineStr"/>
      <c r="AH2017" s="18" t="inlineStr"/>
      <c r="AI2017" s="18" t="inlineStr"/>
      <c r="AJ2017" s="18" t="inlineStr">
        <is>
          <t>COBBLEVERSE 수정</t>
        </is>
      </c>
      <c r="AK2017" s="18" t="inlineStr">
        <is>
          <t>사용</t>
        </is>
      </c>
      <c r="AL2017" s="18" t="inlineStr">
        <is>
          <t>COBBLEVERSE 1.7.42 / DP v31</t>
        </is>
      </c>
      <c r="AM2017" s="18" t="inlineStr">
        <is>
          <t>data/cobblemon/spawn_pool_world/0592_frillish.json</t>
        </is>
      </c>
      <c r="AN2017" s="18" t="inlineStr">
        <is>
          <t>frillish-3</t>
        </is>
      </c>
      <c r="AO2017" s="18" t="inlineStr">
        <is>
          <t>pokemon</t>
        </is>
      </c>
      <c r="AP2017" s="18" t="inlineStr"/>
      <c r="AQ2017" s="18" t="inlineStr">
        <is>
          <t>{"biomes":["#cobblemon:is_ocean"],"canSeeSky":true}</t>
        </is>
      </c>
      <c r="AR2017" s="18" t="inlineStr"/>
      <c r="AS2017" s="18" t="inlineStr">
        <is>
          <t>{"weightMultipliers":[{"condition":{"structures":["#minecraft:shipwreck"]},"multiplier":10.0},{"condition":{"maxLureLevel":1,"minLureLevel":0},"multiplier":0.6}]}</t>
        </is>
      </c>
      <c r="AT2017" s="19" t="inlineStr"/>
    </row>
    <row r="2018" ht="32" customHeight="1">
      <c r="A2018" s="18" t="inlineStr">
        <is>
          <t>0592_frillish.json::frillish-4::004</t>
        </is>
      </c>
      <c r="B2018" s="19" t="inlineStr">
        <is>
          <t>사용</t>
        </is>
      </c>
      <c r="C2018" s="18">
        <f>IF(OR(B2018&lt;&gt;AK2018,M2018&lt;&gt;L2018,O2018&lt;&gt;"",Q2018&lt;&gt;"",V2018&lt;&gt;1,Y2018&lt;&gt;"",AT2018&lt;&gt;""),"수정","원본")</f>
        <v/>
      </c>
      <c r="D2018" s="18" t="n">
        <v>592</v>
      </c>
      <c r="E2018" s="18" t="inlineStr">
        <is>
          <t>탱그릴</t>
        </is>
      </c>
      <c r="F2018" s="18" t="inlineStr">
        <is>
          <t>frillish</t>
        </is>
      </c>
      <c r="G2018" s="18" t="inlineStr">
        <is>
          <t>frillish</t>
        </is>
      </c>
      <c r="H2018" s="18" t="inlineStr"/>
      <c r="I2018" s="18" t="n">
        <v>5</v>
      </c>
      <c r="J2018" s="18" t="n"/>
      <c r="K2018" s="18" t="n">
        <v>5</v>
      </c>
      <c r="L2018" s="18" t="inlineStr">
        <is>
          <t>cobbleventure:generation_5</t>
        </is>
      </c>
      <c r="M2018" s="19" t="inlineStr">
        <is>
          <t>cobbleventure:generation_5</t>
        </is>
      </c>
      <c r="N2018" s="18" t="inlineStr"/>
      <c r="O2018" s="19" t="inlineStr"/>
      <c r="P2018" s="18" t="inlineStr">
        <is>
          <t>#cobblemon:is_ocean</t>
        </is>
      </c>
      <c r="Q2018" s="19" t="inlineStr"/>
      <c r="R2018" s="18">
        <f>IF(Q2018="",P2018,Q2018)</f>
        <v/>
      </c>
      <c r="S2018" s="18" t="inlineStr"/>
      <c r="T2018" s="18" t="inlineStr">
        <is>
          <t>common</t>
        </is>
      </c>
      <c r="U2018" s="20" t="n">
        <v>5.4</v>
      </c>
      <c r="V2018" s="21" t="n">
        <v>1</v>
      </c>
      <c r="W2018" s="20">
        <f>IF(OR(U2018="",V2018=""),U2018,U2018*V2018)</f>
        <v/>
      </c>
      <c r="X2018" s="18" t="inlineStr">
        <is>
          <t>9-34</t>
        </is>
      </c>
      <c r="Y2018" s="19" t="inlineStr"/>
      <c r="Z2018" s="18">
        <f>IF(Y2018="",X2018,Y2018)</f>
        <v/>
      </c>
      <c r="AA2018" s="18" t="inlineStr">
        <is>
          <t>submerged</t>
        </is>
      </c>
      <c r="AB2018" s="18" t="inlineStr"/>
      <c r="AC2018" s="18" t="inlineStr"/>
      <c r="AD2018" s="18" t="inlineStr">
        <is>
          <t>maxY=48</t>
        </is>
      </c>
      <c r="AE2018" s="18" t="inlineStr">
        <is>
          <t>sky 8-15</t>
        </is>
      </c>
      <c r="AF2018" s="18" t="inlineStr">
        <is>
          <t>False</t>
        </is>
      </c>
      <c r="AG2018" s="18" t="inlineStr"/>
      <c r="AH2018" s="18" t="inlineStr"/>
      <c r="AI2018" s="18" t="inlineStr"/>
      <c r="AJ2018" s="18" t="inlineStr">
        <is>
          <t>COBBLEVERSE 수정</t>
        </is>
      </c>
      <c r="AK2018" s="18" t="inlineStr">
        <is>
          <t>사용</t>
        </is>
      </c>
      <c r="AL2018" s="18" t="inlineStr">
        <is>
          <t>COBBLEVERSE 1.7.42 / DP v31</t>
        </is>
      </c>
      <c r="AM2018" s="18" t="inlineStr">
        <is>
          <t>data/cobblemon/spawn_pool_world/0592_frillish.json</t>
        </is>
      </c>
      <c r="AN2018" s="18" t="inlineStr">
        <is>
          <t>frillish-4</t>
        </is>
      </c>
      <c r="AO2018" s="18" t="inlineStr">
        <is>
          <t>pokemon</t>
        </is>
      </c>
      <c r="AP2018" s="18" t="inlineStr">
        <is>
          <t>water</t>
        </is>
      </c>
      <c r="AQ2018" s="18" t="inlineStr">
        <is>
          <t>{"biomes":["#cobblemon:is_ocean"],"canSeeSky":false,"maxSkyLight":15,"maxY":48,"minSkyLight":8}</t>
        </is>
      </c>
      <c r="AR2018" s="18" t="inlineStr"/>
      <c r="AS2018" s="18" t="inlineStr">
        <is>
          <t>{"weightMultiplier":{"condition":{"structures":["#minecraft:shipwreck"]},"multiplier":10.0}}</t>
        </is>
      </c>
      <c r="AT2018" s="19" t="inlineStr"/>
    </row>
    <row r="2019" ht="32" customHeight="1">
      <c r="A2019" s="18" t="inlineStr">
        <is>
          <t>0592_frillish.json::frillish-5::005</t>
        </is>
      </c>
      <c r="B2019" s="19" t="inlineStr">
        <is>
          <t>사용</t>
        </is>
      </c>
      <c r="C2019" s="18">
        <f>IF(OR(B2019&lt;&gt;AK2019,M2019&lt;&gt;L2019,O2019&lt;&gt;"",Q2019&lt;&gt;"",V2019&lt;&gt;1,Y2019&lt;&gt;"",AT2019&lt;&gt;""),"수정","원본")</f>
        <v/>
      </c>
      <c r="D2019" s="18" t="n">
        <v>592</v>
      </c>
      <c r="E2019" s="18" t="inlineStr">
        <is>
          <t>탱그릴</t>
        </is>
      </c>
      <c r="F2019" s="18" t="inlineStr">
        <is>
          <t>frillish</t>
        </is>
      </c>
      <c r="G2019" s="18" t="inlineStr">
        <is>
          <t>frillish</t>
        </is>
      </c>
      <c r="H2019" s="18" t="inlineStr"/>
      <c r="I2019" s="18" t="n">
        <v>5</v>
      </c>
      <c r="J2019" s="18" t="n"/>
      <c r="K2019" s="18" t="n">
        <v>5</v>
      </c>
      <c r="L2019" s="18" t="inlineStr">
        <is>
          <t>cobbleventure:generation_5</t>
        </is>
      </c>
      <c r="M2019" s="19" t="inlineStr">
        <is>
          <t>cobbleventure:generation_5</t>
        </is>
      </c>
      <c r="N2019" s="18" t="inlineStr"/>
      <c r="O2019" s="19" t="inlineStr"/>
      <c r="P2019" s="18" t="inlineStr">
        <is>
          <t>#cobblemon:is_ocean</t>
        </is>
      </c>
      <c r="Q2019" s="19" t="inlineStr"/>
      <c r="R2019" s="18">
        <f>IF(Q2019="",P2019,Q2019)</f>
        <v/>
      </c>
      <c r="S2019" s="18" t="inlineStr"/>
      <c r="T2019" s="18" t="inlineStr">
        <is>
          <t>common</t>
        </is>
      </c>
      <c r="U2019" s="20" t="n">
        <v>9</v>
      </c>
      <c r="V2019" s="21" t="n">
        <v>1</v>
      </c>
      <c r="W2019" s="20">
        <f>IF(OR(U2019="",V2019=""),U2019,U2019*V2019)</f>
        <v/>
      </c>
      <c r="X2019" s="18" t="inlineStr">
        <is>
          <t>9-34</t>
        </is>
      </c>
      <c r="Y2019" s="19" t="inlineStr"/>
      <c r="Z2019" s="18">
        <f>IF(Y2019="",X2019,Y2019)</f>
        <v/>
      </c>
      <c r="AA2019" s="18" t="inlineStr">
        <is>
          <t>fishing</t>
        </is>
      </c>
      <c r="AB2019" s="18" t="inlineStr"/>
      <c r="AC2019" s="18" t="inlineStr"/>
      <c r="AD2019" s="18" t="inlineStr"/>
      <c r="AE2019" s="18" t="inlineStr">
        <is>
          <t>sky 8-15</t>
        </is>
      </c>
      <c r="AF2019" s="18" t="inlineStr">
        <is>
          <t>False</t>
        </is>
      </c>
      <c r="AG2019" s="18" t="inlineStr"/>
      <c r="AH2019" s="18" t="inlineStr"/>
      <c r="AI2019" s="18" t="inlineStr"/>
      <c r="AJ2019" s="18" t="inlineStr">
        <is>
          <t>COBBLEVERSE 수정</t>
        </is>
      </c>
      <c r="AK2019" s="18" t="inlineStr">
        <is>
          <t>사용</t>
        </is>
      </c>
      <c r="AL2019" s="18" t="inlineStr">
        <is>
          <t>COBBLEVERSE 1.7.42 / DP v31</t>
        </is>
      </c>
      <c r="AM2019" s="18" t="inlineStr">
        <is>
          <t>data/cobblemon/spawn_pool_world/0592_frillish.json</t>
        </is>
      </c>
      <c r="AN2019" s="18" t="inlineStr">
        <is>
          <t>frillish-5</t>
        </is>
      </c>
      <c r="AO2019" s="18" t="inlineStr">
        <is>
          <t>pokemon</t>
        </is>
      </c>
      <c r="AP2019" s="18" t="inlineStr"/>
      <c r="AQ2019" s="18" t="inlineStr">
        <is>
          <t>{"biomes":["#cobblemon:is_ocean"],"canSeeSky":false,"maxSkyLight":15,"minSkyLight":8}</t>
        </is>
      </c>
      <c r="AR2019" s="18" t="inlineStr"/>
      <c r="AS2019" s="18" t="inlineStr">
        <is>
          <t>{"weightMultipliers":[{"condition":{"structures":["#minecraft:shipwreck"]},"multiplier":10.0},{"condition":{"maxLureLevel":1,"minLureLevel":0},"multiplier":0.6}]}</t>
        </is>
      </c>
      <c r="AT2019" s="19" t="inlineStr"/>
    </row>
    <row r="2020" ht="32" customHeight="1">
      <c r="A2020" s="18" t="inlineStr">
        <is>
          <t>0592_frillish.json::frillish-6::006</t>
        </is>
      </c>
      <c r="B2020" s="19" t="inlineStr">
        <is>
          <t>사용</t>
        </is>
      </c>
      <c r="C2020" s="18">
        <f>IF(OR(B2020&lt;&gt;AK2020,M2020&lt;&gt;L2020,O2020&lt;&gt;"",Q2020&lt;&gt;"",V2020&lt;&gt;1,Y2020&lt;&gt;"",AT2020&lt;&gt;""),"수정","원본")</f>
        <v/>
      </c>
      <c r="D2020" s="18" t="n">
        <v>592</v>
      </c>
      <c r="E2020" s="18" t="inlineStr">
        <is>
          <t>탱그릴</t>
        </is>
      </c>
      <c r="F2020" s="18" t="inlineStr">
        <is>
          <t>frillish</t>
        </is>
      </c>
      <c r="G2020" s="18" t="inlineStr">
        <is>
          <t>frillish</t>
        </is>
      </c>
      <c r="H2020" s="18" t="inlineStr"/>
      <c r="I2020" s="18" t="n">
        <v>5</v>
      </c>
      <c r="J2020" s="18" t="n"/>
      <c r="K2020" s="18" t="n">
        <v>5</v>
      </c>
      <c r="L2020" s="18" t="inlineStr">
        <is>
          <t>cobbleventure:generation_5</t>
        </is>
      </c>
      <c r="M2020" s="19" t="inlineStr">
        <is>
          <t>cobbleventure:generation_5</t>
        </is>
      </c>
      <c r="N2020" s="18" t="inlineStr">
        <is>
          <t>region_01; region_02</t>
        </is>
      </c>
      <c r="O2020" s="19" t="inlineStr"/>
      <c r="P2020" s="18" t="inlineStr">
        <is>
          <t>#cobblemon:is_overworld</t>
        </is>
      </c>
      <c r="Q2020" s="19" t="inlineStr"/>
      <c r="R2020" s="18">
        <f>IF(Q2020="",P2020,Q2020)</f>
        <v/>
      </c>
      <c r="S2020" s="18" t="inlineStr"/>
      <c r="T2020" s="18" t="inlineStr">
        <is>
          <t>common</t>
        </is>
      </c>
      <c r="U2020" s="20" t="n">
        <v>54</v>
      </c>
      <c r="V2020" s="21" t="n">
        <v>1</v>
      </c>
      <c r="W2020" s="20">
        <f>IF(OR(U2020="",V2020=""),U2020,U2020*V2020)</f>
        <v/>
      </c>
      <c r="X2020" s="18" t="inlineStr">
        <is>
          <t>9-34</t>
        </is>
      </c>
      <c r="Y2020" s="19" t="inlineStr"/>
      <c r="Z2020" s="18">
        <f>IF(Y2020="",X2020,Y2020)</f>
        <v/>
      </c>
      <c r="AA2020" s="18" t="inlineStr">
        <is>
          <t>submerged</t>
        </is>
      </c>
      <c r="AB2020" s="18" t="inlineStr"/>
      <c r="AC2020" s="18" t="inlineStr"/>
      <c r="AD2020" s="18" t="inlineStr">
        <is>
          <t>minY=-60, maxY=13</t>
        </is>
      </c>
      <c r="AE2020" s="18" t="inlineStr"/>
      <c r="AF2020" s="18" t="inlineStr">
        <is>
          <t>False</t>
        </is>
      </c>
      <c r="AG2020" s="18" t="inlineStr">
        <is>
          <t>cobblemon:shipwreck_coves/submerged_shipwreck_cove</t>
        </is>
      </c>
      <c r="AH2020" s="18" t="inlineStr"/>
      <c r="AI2020" s="18" t="inlineStr"/>
      <c r="AJ2020" s="18" t="inlineStr">
        <is>
          <t>COBBLEVERSE 수정</t>
        </is>
      </c>
      <c r="AK2020" s="18" t="inlineStr">
        <is>
          <t>사용</t>
        </is>
      </c>
      <c r="AL2020" s="18" t="inlineStr">
        <is>
          <t>COBBLEVERSE 1.7.42 / DP v31</t>
        </is>
      </c>
      <c r="AM2020" s="18" t="inlineStr">
        <is>
          <t>data/cobblemon/spawn_pool_world/0592_frillish.json</t>
        </is>
      </c>
      <c r="AN2020" s="18" t="inlineStr">
        <is>
          <t>frillish-6</t>
        </is>
      </c>
      <c r="AO2020" s="18" t="inlineStr">
        <is>
          <t>pokemon</t>
        </is>
      </c>
      <c r="AP2020" s="18" t="inlineStr">
        <is>
          <t>water</t>
        </is>
      </c>
      <c r="AQ2020" s="18" t="inlineStr">
        <is>
          <t>{"biomes":["#cobblemon:is_overworld"],"canSeeSky":false,"maxY":13,"minY":-60,"structures":["cobblemon:shipwreck_coves/submerged_shipwreck_cove"]}</t>
        </is>
      </c>
      <c r="AR2020" s="18" t="inlineStr"/>
      <c r="AS2020" s="18" t="inlineStr"/>
      <c r="AT2020" s="19" t="inlineStr"/>
    </row>
    <row r="2021" ht="32" customHeight="1">
      <c r="A2021" s="18" t="inlineStr">
        <is>
          <t>0592_frillish.json::frillish-7::007</t>
        </is>
      </c>
      <c r="B2021" s="19" t="inlineStr">
        <is>
          <t>사용</t>
        </is>
      </c>
      <c r="C2021" s="18">
        <f>IF(OR(B2021&lt;&gt;AK2021,M2021&lt;&gt;L2021,O2021&lt;&gt;"",Q2021&lt;&gt;"",V2021&lt;&gt;1,Y2021&lt;&gt;"",AT2021&lt;&gt;""),"수정","원본")</f>
        <v/>
      </c>
      <c r="D2021" s="18" t="n">
        <v>592</v>
      </c>
      <c r="E2021" s="18" t="inlineStr">
        <is>
          <t>탱그릴</t>
        </is>
      </c>
      <c r="F2021" s="18" t="inlineStr">
        <is>
          <t>frillish</t>
        </is>
      </c>
      <c r="G2021" s="18" t="inlineStr">
        <is>
          <t>frillish</t>
        </is>
      </c>
      <c r="H2021" s="18" t="inlineStr"/>
      <c r="I2021" s="18" t="n">
        <v>5</v>
      </c>
      <c r="J2021" s="18" t="n"/>
      <c r="K2021" s="18" t="n">
        <v>5</v>
      </c>
      <c r="L2021" s="18" t="inlineStr">
        <is>
          <t>cobbleventure:generation_5</t>
        </is>
      </c>
      <c r="M2021" s="19" t="inlineStr">
        <is>
          <t>cobbleventure:generation_5</t>
        </is>
      </c>
      <c r="N2021" s="18" t="inlineStr">
        <is>
          <t>region_01; region_02</t>
        </is>
      </c>
      <c r="O2021" s="19" t="inlineStr"/>
      <c r="P2021" s="18" t="inlineStr">
        <is>
          <t>#cobblemon:is_overworld</t>
        </is>
      </c>
      <c r="Q2021" s="19" t="inlineStr"/>
      <c r="R2021" s="18">
        <f>IF(Q2021="",P2021,Q2021)</f>
        <v/>
      </c>
      <c r="S2021" s="18" t="inlineStr"/>
      <c r="T2021" s="18" t="inlineStr">
        <is>
          <t>common</t>
        </is>
      </c>
      <c r="U2021" s="20" t="n">
        <v>54</v>
      </c>
      <c r="V2021" s="21" t="n">
        <v>1</v>
      </c>
      <c r="W2021" s="20">
        <f>IF(OR(U2021="",V2021=""),U2021,U2021*V2021)</f>
        <v/>
      </c>
      <c r="X2021" s="18" t="inlineStr">
        <is>
          <t>9-34</t>
        </is>
      </c>
      <c r="Y2021" s="19" t="inlineStr"/>
      <c r="Z2021" s="18">
        <f>IF(Y2021="",X2021,Y2021)</f>
        <v/>
      </c>
      <c r="AA2021" s="18" t="inlineStr">
        <is>
          <t>fishing</t>
        </is>
      </c>
      <c r="AB2021" s="18" t="inlineStr"/>
      <c r="AC2021" s="18" t="inlineStr"/>
      <c r="AD2021" s="18" t="inlineStr">
        <is>
          <t>minY=-60, maxY=13</t>
        </is>
      </c>
      <c r="AE2021" s="18" t="inlineStr"/>
      <c r="AF2021" s="18" t="inlineStr">
        <is>
          <t>False</t>
        </is>
      </c>
      <c r="AG2021" s="18" t="inlineStr">
        <is>
          <t>cobblemon:shipwreck_coves/submerged_shipwreck_cove</t>
        </is>
      </c>
      <c r="AH2021" s="18" t="inlineStr"/>
      <c r="AI2021" s="18" t="inlineStr"/>
      <c r="AJ2021" s="18" t="inlineStr">
        <is>
          <t>COBBLEVERSE 수정</t>
        </is>
      </c>
      <c r="AK2021" s="18" t="inlineStr">
        <is>
          <t>사용</t>
        </is>
      </c>
      <c r="AL2021" s="18" t="inlineStr">
        <is>
          <t>COBBLEVERSE 1.7.42 / DP v31</t>
        </is>
      </c>
      <c r="AM2021" s="18" t="inlineStr">
        <is>
          <t>data/cobblemon/spawn_pool_world/0592_frillish.json</t>
        </is>
      </c>
      <c r="AN2021" s="18" t="inlineStr">
        <is>
          <t>frillish-7</t>
        </is>
      </c>
      <c r="AO2021" s="18" t="inlineStr">
        <is>
          <t>pokemon</t>
        </is>
      </c>
      <c r="AP2021" s="18" t="inlineStr"/>
      <c r="AQ2021" s="18" t="inlineStr">
        <is>
          <t>{"biomes":["#cobblemon:is_overworld"],"canSeeSky":false,"maxY":13,"minY":-60,"structures":["cobblemon:shipwreck_coves/submerged_shipwreck_cove"]}</t>
        </is>
      </c>
      <c r="AR2021" s="18" t="inlineStr"/>
      <c r="AS2021" s="18" t="inlineStr"/>
      <c r="AT2021" s="19" t="inlineStr"/>
    </row>
    <row r="2022" ht="32" customHeight="1">
      <c r="A2022" s="18" t="inlineStr">
        <is>
          <t>0593_jellicent.json::jellicent-1::001</t>
        </is>
      </c>
      <c r="B2022" s="19" t="inlineStr">
        <is>
          <t>사용</t>
        </is>
      </c>
      <c r="C2022" s="18">
        <f>IF(OR(B2022&lt;&gt;AK2022,M2022&lt;&gt;L2022,O2022&lt;&gt;"",Q2022&lt;&gt;"",V2022&lt;&gt;1,Y2022&lt;&gt;"",AT2022&lt;&gt;""),"수정","원본")</f>
        <v/>
      </c>
      <c r="D2022" s="18" t="n">
        <v>593</v>
      </c>
      <c r="E2022" s="18" t="inlineStr">
        <is>
          <t>탱탱겔</t>
        </is>
      </c>
      <c r="F2022" s="18" t="inlineStr">
        <is>
          <t>jellicent</t>
        </is>
      </c>
      <c r="G2022" s="18" t="inlineStr">
        <is>
          <t>jellicent</t>
        </is>
      </c>
      <c r="H2022" s="18" t="inlineStr"/>
      <c r="I2022" s="18" t="n">
        <v>5</v>
      </c>
      <c r="J2022" s="18" t="n"/>
      <c r="K2022" s="18" t="n">
        <v>5</v>
      </c>
      <c r="L2022" s="18" t="inlineStr">
        <is>
          <t>cobbleventure:generation_5</t>
        </is>
      </c>
      <c r="M2022" s="19" t="inlineStr">
        <is>
          <t>cobbleventure:generation_5</t>
        </is>
      </c>
      <c r="N2022" s="18" t="inlineStr"/>
      <c r="O2022" s="19" t="inlineStr"/>
      <c r="P2022" s="18" t="inlineStr">
        <is>
          <t>#cobblemon:is_ocean</t>
        </is>
      </c>
      <c r="Q2022" s="19" t="inlineStr"/>
      <c r="R2022" s="18">
        <f>IF(Q2022="",P2022,Q2022)</f>
        <v/>
      </c>
      <c r="S2022" s="18" t="inlineStr"/>
      <c r="T2022" s="18" t="inlineStr">
        <is>
          <t>common</t>
        </is>
      </c>
      <c r="U2022" s="20" t="n">
        <v>0.6</v>
      </c>
      <c r="V2022" s="21" t="n">
        <v>1</v>
      </c>
      <c r="W2022" s="20">
        <f>IF(OR(U2022="",V2022=""),U2022,U2022*V2022)</f>
        <v/>
      </c>
      <c r="X2022" s="18" t="inlineStr">
        <is>
          <t>40-48</t>
        </is>
      </c>
      <c r="Y2022" s="19" t="inlineStr"/>
      <c r="Z2022" s="18">
        <f>IF(Y2022="",X2022,Y2022)</f>
        <v/>
      </c>
      <c r="AA2022" s="18" t="inlineStr">
        <is>
          <t>submerged</t>
        </is>
      </c>
      <c r="AB2022" s="18" t="inlineStr"/>
      <c r="AC2022" s="18" t="inlineStr"/>
      <c r="AD2022" s="18" t="inlineStr">
        <is>
          <t>maxY=48</t>
        </is>
      </c>
      <c r="AE2022" s="18" t="inlineStr"/>
      <c r="AF2022" s="18" t="inlineStr">
        <is>
          <t>True</t>
        </is>
      </c>
      <c r="AG2022" s="18" t="inlineStr"/>
      <c r="AH2022" s="18" t="inlineStr"/>
      <c r="AI2022" s="18" t="inlineStr"/>
      <c r="AJ2022" s="18" t="inlineStr">
        <is>
          <t>COBBLEVERSE 수정</t>
        </is>
      </c>
      <c r="AK2022" s="18" t="inlineStr">
        <is>
          <t>사용</t>
        </is>
      </c>
      <c r="AL2022" s="18" t="inlineStr">
        <is>
          <t>COBBLEVERSE 1.7.42 / DP v31</t>
        </is>
      </c>
      <c r="AM2022" s="18" t="inlineStr">
        <is>
          <t>data/cobblemon/spawn_pool_world/0593_jellicent.json</t>
        </is>
      </c>
      <c r="AN2022" s="18" t="inlineStr">
        <is>
          <t>jellicent-1</t>
        </is>
      </c>
      <c r="AO2022" s="18" t="inlineStr">
        <is>
          <t>pokemon</t>
        </is>
      </c>
      <c r="AP2022" s="18" t="inlineStr">
        <is>
          <t>water</t>
        </is>
      </c>
      <c r="AQ2022" s="18" t="inlineStr">
        <is>
          <t>{"biomes":["#cobblemon:is_ocean"],"canSeeSky":true,"maxY":48}</t>
        </is>
      </c>
      <c r="AR2022" s="18" t="inlineStr"/>
      <c r="AS2022" s="18" t="inlineStr">
        <is>
          <t>{"weightMultiplier":{"condition":{"structures":["#minecraft:shipwreck"]},"multiplier":10.0}}</t>
        </is>
      </c>
      <c r="AT2022" s="19" t="inlineStr"/>
    </row>
    <row r="2023" ht="32" customHeight="1">
      <c r="A2023" s="18" t="inlineStr">
        <is>
          <t>0593_jellicent.json::jellicent-2::002</t>
        </is>
      </c>
      <c r="B2023" s="19" t="inlineStr">
        <is>
          <t>사용</t>
        </is>
      </c>
      <c r="C2023" s="18">
        <f>IF(OR(B2023&lt;&gt;AK2023,M2023&lt;&gt;L2023,O2023&lt;&gt;"",Q2023&lt;&gt;"",V2023&lt;&gt;1,Y2023&lt;&gt;"",AT2023&lt;&gt;""),"수정","원본")</f>
        <v/>
      </c>
      <c r="D2023" s="18" t="n">
        <v>593</v>
      </c>
      <c r="E2023" s="18" t="inlineStr">
        <is>
          <t>탱탱겔</t>
        </is>
      </c>
      <c r="F2023" s="18" t="inlineStr">
        <is>
          <t>jellicent</t>
        </is>
      </c>
      <c r="G2023" s="18" t="inlineStr">
        <is>
          <t>jellicent</t>
        </is>
      </c>
      <c r="H2023" s="18" t="inlineStr"/>
      <c r="I2023" s="18" t="n">
        <v>5</v>
      </c>
      <c r="J2023" s="18" t="n"/>
      <c r="K2023" s="18" t="n">
        <v>5</v>
      </c>
      <c r="L2023" s="18" t="inlineStr">
        <is>
          <t>cobbleventure:generation_5</t>
        </is>
      </c>
      <c r="M2023" s="19" t="inlineStr">
        <is>
          <t>cobbleventure:generation_5</t>
        </is>
      </c>
      <c r="N2023" s="18" t="inlineStr"/>
      <c r="O2023" s="19" t="inlineStr"/>
      <c r="P2023" s="18" t="inlineStr">
        <is>
          <t>#cobblemon:is_ocean</t>
        </is>
      </c>
      <c r="Q2023" s="19" t="inlineStr"/>
      <c r="R2023" s="18">
        <f>IF(Q2023="",P2023,Q2023)</f>
        <v/>
      </c>
      <c r="S2023" s="18" t="inlineStr"/>
      <c r="T2023" s="18" t="inlineStr">
        <is>
          <t>common</t>
        </is>
      </c>
      <c r="U2023" s="20" t="n">
        <v>0.6</v>
      </c>
      <c r="V2023" s="21" t="n">
        <v>1</v>
      </c>
      <c r="W2023" s="20">
        <f>IF(OR(U2023="",V2023=""),U2023,U2023*V2023)</f>
        <v/>
      </c>
      <c r="X2023" s="18" t="inlineStr">
        <is>
          <t>40-48</t>
        </is>
      </c>
      <c r="Y2023" s="19" t="inlineStr"/>
      <c r="Z2023" s="18">
        <f>IF(Y2023="",X2023,Y2023)</f>
        <v/>
      </c>
      <c r="AA2023" s="18" t="inlineStr">
        <is>
          <t>surface</t>
        </is>
      </c>
      <c r="AB2023" s="18" t="inlineStr">
        <is>
          <t>night</t>
        </is>
      </c>
      <c r="AC2023" s="18" t="inlineStr"/>
      <c r="AD2023" s="18" t="inlineStr"/>
      <c r="AE2023" s="18" t="inlineStr">
        <is>
          <t>sky 8-15</t>
        </is>
      </c>
      <c r="AF2023" s="18" t="inlineStr"/>
      <c r="AG2023" s="18" t="inlineStr"/>
      <c r="AH2023" s="18" t="inlineStr"/>
      <c r="AI2023" s="18" t="inlineStr"/>
      <c r="AJ2023" s="18" t="inlineStr">
        <is>
          <t>COBBLEVERSE 수정</t>
        </is>
      </c>
      <c r="AK2023" s="18" t="inlineStr">
        <is>
          <t>사용</t>
        </is>
      </c>
      <c r="AL2023" s="18" t="inlineStr">
        <is>
          <t>COBBLEVERSE 1.7.42 / DP v31</t>
        </is>
      </c>
      <c r="AM2023" s="18" t="inlineStr">
        <is>
          <t>data/cobblemon/spawn_pool_world/0593_jellicent.json</t>
        </is>
      </c>
      <c r="AN2023" s="18" t="inlineStr">
        <is>
          <t>jellicent-2</t>
        </is>
      </c>
      <c r="AO2023" s="18" t="inlineStr">
        <is>
          <t>pokemon</t>
        </is>
      </c>
      <c r="AP2023" s="18" t="inlineStr">
        <is>
          <t>water</t>
        </is>
      </c>
      <c r="AQ2023" s="18" t="inlineStr">
        <is>
          <t>{"biomes":["#cobblemon:is_ocean"],"maxSkyLight":15,"minSkyLight":8,"timeRange":"night"}</t>
        </is>
      </c>
      <c r="AR2023" s="18" t="inlineStr"/>
      <c r="AS2023" s="18" t="inlineStr"/>
      <c r="AT2023" s="19" t="inlineStr"/>
    </row>
    <row r="2024" ht="32" customHeight="1">
      <c r="A2024" s="18" t="inlineStr">
        <is>
          <t>0593_jellicent.json::jellicent-3::003</t>
        </is>
      </c>
      <c r="B2024" s="19" t="inlineStr">
        <is>
          <t>사용</t>
        </is>
      </c>
      <c r="C2024" s="18">
        <f>IF(OR(B2024&lt;&gt;AK2024,M2024&lt;&gt;L2024,O2024&lt;&gt;"",Q2024&lt;&gt;"",V2024&lt;&gt;1,Y2024&lt;&gt;"",AT2024&lt;&gt;""),"수정","원본")</f>
        <v/>
      </c>
      <c r="D2024" s="18" t="n">
        <v>593</v>
      </c>
      <c r="E2024" s="18" t="inlineStr">
        <is>
          <t>탱탱겔</t>
        </is>
      </c>
      <c r="F2024" s="18" t="inlineStr">
        <is>
          <t>jellicent</t>
        </is>
      </c>
      <c r="G2024" s="18" t="inlineStr">
        <is>
          <t>jellicent</t>
        </is>
      </c>
      <c r="H2024" s="18" t="inlineStr"/>
      <c r="I2024" s="18" t="n">
        <v>5</v>
      </c>
      <c r="J2024" s="18" t="n"/>
      <c r="K2024" s="18" t="n">
        <v>5</v>
      </c>
      <c r="L2024" s="18" t="inlineStr">
        <is>
          <t>cobbleventure:generation_5</t>
        </is>
      </c>
      <c r="M2024" s="19" t="inlineStr">
        <is>
          <t>cobbleventure:generation_5</t>
        </is>
      </c>
      <c r="N2024" s="18" t="inlineStr"/>
      <c r="O2024" s="19" t="inlineStr"/>
      <c r="P2024" s="18" t="inlineStr">
        <is>
          <t>#cobblemon:is_ocean</t>
        </is>
      </c>
      <c r="Q2024" s="19" t="inlineStr"/>
      <c r="R2024" s="18">
        <f>IF(Q2024="",P2024,Q2024)</f>
        <v/>
      </c>
      <c r="S2024" s="18" t="inlineStr"/>
      <c r="T2024" s="18" t="inlineStr">
        <is>
          <t>common</t>
        </is>
      </c>
      <c r="U2024" s="20" t="n">
        <v>1</v>
      </c>
      <c r="V2024" s="21" t="n">
        <v>1</v>
      </c>
      <c r="W2024" s="20">
        <f>IF(OR(U2024="",V2024=""),U2024,U2024*V2024)</f>
        <v/>
      </c>
      <c r="X2024" s="18" t="inlineStr">
        <is>
          <t>40-48</t>
        </is>
      </c>
      <c r="Y2024" s="19" t="inlineStr"/>
      <c r="Z2024" s="18">
        <f>IF(Y2024="",X2024,Y2024)</f>
        <v/>
      </c>
      <c r="AA2024" s="18" t="inlineStr">
        <is>
          <t>fishing</t>
        </is>
      </c>
      <c r="AB2024" s="18" t="inlineStr"/>
      <c r="AC2024" s="18" t="inlineStr"/>
      <c r="AD2024" s="18" t="inlineStr"/>
      <c r="AE2024" s="18" t="inlineStr"/>
      <c r="AF2024" s="18" t="inlineStr">
        <is>
          <t>True</t>
        </is>
      </c>
      <c r="AG2024" s="18" t="inlineStr"/>
      <c r="AH2024" s="18" t="inlineStr"/>
      <c r="AI2024" s="18" t="inlineStr"/>
      <c r="AJ2024" s="18" t="inlineStr">
        <is>
          <t>COBBLEVERSE 수정</t>
        </is>
      </c>
      <c r="AK2024" s="18" t="inlineStr">
        <is>
          <t>사용</t>
        </is>
      </c>
      <c r="AL2024" s="18" t="inlineStr">
        <is>
          <t>COBBLEVERSE 1.7.42 / DP v31</t>
        </is>
      </c>
      <c r="AM2024" s="18" t="inlineStr">
        <is>
          <t>data/cobblemon/spawn_pool_world/0593_jellicent.json</t>
        </is>
      </c>
      <c r="AN2024" s="18" t="inlineStr">
        <is>
          <t>jellicent-3</t>
        </is>
      </c>
      <c r="AO2024" s="18" t="inlineStr">
        <is>
          <t>pokemon</t>
        </is>
      </c>
      <c r="AP2024" s="18" t="inlineStr"/>
      <c r="AQ2024" s="18" t="inlineStr">
        <is>
          <t>{"biomes":["#cobblemon:is_ocean"],"canSeeSky":true}</t>
        </is>
      </c>
      <c r="AR2024" s="18" t="inlineStr"/>
      <c r="AS2024" s="18" t="inlineStr">
        <is>
          <t>{"weightMultipliers":[{"condition":{"structures":["#minecraft:shipwreck"]},"multiplier":10.0},{"condition":{"maxLureLevel":1,"minLureLevel":0},"multiplier":0.6}]}</t>
        </is>
      </c>
      <c r="AT2024" s="19" t="inlineStr"/>
    </row>
    <row r="2025" ht="32" customHeight="1">
      <c r="A2025" s="18" t="inlineStr">
        <is>
          <t>0593_jellicent.json::jellicent-4::004</t>
        </is>
      </c>
      <c r="B2025" s="19" t="inlineStr">
        <is>
          <t>사용</t>
        </is>
      </c>
      <c r="C2025" s="18">
        <f>IF(OR(B2025&lt;&gt;AK2025,M2025&lt;&gt;L2025,O2025&lt;&gt;"",Q2025&lt;&gt;"",V2025&lt;&gt;1,Y2025&lt;&gt;"",AT2025&lt;&gt;""),"수정","원본")</f>
        <v/>
      </c>
      <c r="D2025" s="18" t="n">
        <v>593</v>
      </c>
      <c r="E2025" s="18" t="inlineStr">
        <is>
          <t>탱탱겔</t>
        </is>
      </c>
      <c r="F2025" s="18" t="inlineStr">
        <is>
          <t>jellicent</t>
        </is>
      </c>
      <c r="G2025" s="18" t="inlineStr">
        <is>
          <t>jellicent</t>
        </is>
      </c>
      <c r="H2025" s="18" t="inlineStr"/>
      <c r="I2025" s="18" t="n">
        <v>5</v>
      </c>
      <c r="J2025" s="18" t="n"/>
      <c r="K2025" s="18" t="n">
        <v>5</v>
      </c>
      <c r="L2025" s="18" t="inlineStr">
        <is>
          <t>cobbleventure:generation_5</t>
        </is>
      </c>
      <c r="M2025" s="19" t="inlineStr">
        <is>
          <t>cobbleventure:generation_5</t>
        </is>
      </c>
      <c r="N2025" s="18" t="inlineStr"/>
      <c r="O2025" s="19" t="inlineStr"/>
      <c r="P2025" s="18" t="inlineStr">
        <is>
          <t>#cobblemon:is_ocean</t>
        </is>
      </c>
      <c r="Q2025" s="19" t="inlineStr"/>
      <c r="R2025" s="18">
        <f>IF(Q2025="",P2025,Q2025)</f>
        <v/>
      </c>
      <c r="S2025" s="18" t="inlineStr"/>
      <c r="T2025" s="18" t="inlineStr">
        <is>
          <t>common</t>
        </is>
      </c>
      <c r="U2025" s="20" t="n">
        <v>0.6</v>
      </c>
      <c r="V2025" s="21" t="n">
        <v>1</v>
      </c>
      <c r="W2025" s="20">
        <f>IF(OR(U2025="",V2025=""),U2025,U2025*V2025)</f>
        <v/>
      </c>
      <c r="X2025" s="18" t="inlineStr">
        <is>
          <t>40-48</t>
        </is>
      </c>
      <c r="Y2025" s="19" t="inlineStr"/>
      <c r="Z2025" s="18">
        <f>IF(Y2025="",X2025,Y2025)</f>
        <v/>
      </c>
      <c r="AA2025" s="18" t="inlineStr">
        <is>
          <t>submerged</t>
        </is>
      </c>
      <c r="AB2025" s="18" t="inlineStr"/>
      <c r="AC2025" s="18" t="inlineStr"/>
      <c r="AD2025" s="18" t="inlineStr">
        <is>
          <t>maxY=48</t>
        </is>
      </c>
      <c r="AE2025" s="18" t="inlineStr">
        <is>
          <t>sky 8-15</t>
        </is>
      </c>
      <c r="AF2025" s="18" t="inlineStr">
        <is>
          <t>False</t>
        </is>
      </c>
      <c r="AG2025" s="18" t="inlineStr"/>
      <c r="AH2025" s="18" t="inlineStr"/>
      <c r="AI2025" s="18" t="inlineStr"/>
      <c r="AJ2025" s="18" t="inlineStr">
        <is>
          <t>COBBLEVERSE 수정</t>
        </is>
      </c>
      <c r="AK2025" s="18" t="inlineStr">
        <is>
          <t>사용</t>
        </is>
      </c>
      <c r="AL2025" s="18" t="inlineStr">
        <is>
          <t>COBBLEVERSE 1.7.42 / DP v31</t>
        </is>
      </c>
      <c r="AM2025" s="18" t="inlineStr">
        <is>
          <t>data/cobblemon/spawn_pool_world/0593_jellicent.json</t>
        </is>
      </c>
      <c r="AN2025" s="18" t="inlineStr">
        <is>
          <t>jellicent-4</t>
        </is>
      </c>
      <c r="AO2025" s="18" t="inlineStr">
        <is>
          <t>pokemon</t>
        </is>
      </c>
      <c r="AP2025" s="18" t="inlineStr">
        <is>
          <t>water</t>
        </is>
      </c>
      <c r="AQ2025" s="18" t="inlineStr">
        <is>
          <t>{"biomes":["#cobblemon:is_ocean"],"canSeeSky":false,"maxSkyLight":15,"maxY":48,"minSkyLight":8}</t>
        </is>
      </c>
      <c r="AR2025" s="18" t="inlineStr"/>
      <c r="AS2025" s="18" t="inlineStr">
        <is>
          <t>{"weightMultiplier":{"condition":{"structures":["#minecraft:shipwreck"]},"multiplier":10.0}}</t>
        </is>
      </c>
      <c r="AT2025" s="19" t="inlineStr"/>
    </row>
    <row r="2026" ht="32" customHeight="1">
      <c r="A2026" s="18" t="inlineStr">
        <is>
          <t>0593_jellicent.json::jellicent-5::005</t>
        </is>
      </c>
      <c r="B2026" s="19" t="inlineStr">
        <is>
          <t>사용</t>
        </is>
      </c>
      <c r="C2026" s="18">
        <f>IF(OR(B2026&lt;&gt;AK2026,M2026&lt;&gt;L2026,O2026&lt;&gt;"",Q2026&lt;&gt;"",V2026&lt;&gt;1,Y2026&lt;&gt;"",AT2026&lt;&gt;""),"수정","원본")</f>
        <v/>
      </c>
      <c r="D2026" s="18" t="n">
        <v>593</v>
      </c>
      <c r="E2026" s="18" t="inlineStr">
        <is>
          <t>탱탱겔</t>
        </is>
      </c>
      <c r="F2026" s="18" t="inlineStr">
        <is>
          <t>jellicent</t>
        </is>
      </c>
      <c r="G2026" s="18" t="inlineStr">
        <is>
          <t>jellicent</t>
        </is>
      </c>
      <c r="H2026" s="18" t="inlineStr"/>
      <c r="I2026" s="18" t="n">
        <v>5</v>
      </c>
      <c r="J2026" s="18" t="n"/>
      <c r="K2026" s="18" t="n">
        <v>5</v>
      </c>
      <c r="L2026" s="18" t="inlineStr">
        <is>
          <t>cobbleventure:generation_5</t>
        </is>
      </c>
      <c r="M2026" s="19" t="inlineStr">
        <is>
          <t>cobbleventure:generation_5</t>
        </is>
      </c>
      <c r="N2026" s="18" t="inlineStr"/>
      <c r="O2026" s="19" t="inlineStr"/>
      <c r="P2026" s="18" t="inlineStr">
        <is>
          <t>#cobblemon:is_ocean</t>
        </is>
      </c>
      <c r="Q2026" s="19" t="inlineStr"/>
      <c r="R2026" s="18">
        <f>IF(Q2026="",P2026,Q2026)</f>
        <v/>
      </c>
      <c r="S2026" s="18" t="inlineStr"/>
      <c r="T2026" s="18" t="inlineStr">
        <is>
          <t>common</t>
        </is>
      </c>
      <c r="U2026" s="20" t="n">
        <v>1</v>
      </c>
      <c r="V2026" s="21" t="n">
        <v>1</v>
      </c>
      <c r="W2026" s="20">
        <f>IF(OR(U2026="",V2026=""),U2026,U2026*V2026)</f>
        <v/>
      </c>
      <c r="X2026" s="18" t="inlineStr">
        <is>
          <t>40-48</t>
        </is>
      </c>
      <c r="Y2026" s="19" t="inlineStr"/>
      <c r="Z2026" s="18">
        <f>IF(Y2026="",X2026,Y2026)</f>
        <v/>
      </c>
      <c r="AA2026" s="18" t="inlineStr">
        <is>
          <t>fishing</t>
        </is>
      </c>
      <c r="AB2026" s="18" t="inlineStr"/>
      <c r="AC2026" s="18" t="inlineStr"/>
      <c r="AD2026" s="18" t="inlineStr"/>
      <c r="AE2026" s="18" t="inlineStr">
        <is>
          <t>sky 8-15</t>
        </is>
      </c>
      <c r="AF2026" s="18" t="inlineStr">
        <is>
          <t>False</t>
        </is>
      </c>
      <c r="AG2026" s="18" t="inlineStr"/>
      <c r="AH2026" s="18" t="inlineStr"/>
      <c r="AI2026" s="18" t="inlineStr"/>
      <c r="AJ2026" s="18" t="inlineStr">
        <is>
          <t>COBBLEVERSE 수정</t>
        </is>
      </c>
      <c r="AK2026" s="18" t="inlineStr">
        <is>
          <t>사용</t>
        </is>
      </c>
      <c r="AL2026" s="18" t="inlineStr">
        <is>
          <t>COBBLEVERSE 1.7.42 / DP v31</t>
        </is>
      </c>
      <c r="AM2026" s="18" t="inlineStr">
        <is>
          <t>data/cobblemon/spawn_pool_world/0593_jellicent.json</t>
        </is>
      </c>
      <c r="AN2026" s="18" t="inlineStr">
        <is>
          <t>jellicent-5</t>
        </is>
      </c>
      <c r="AO2026" s="18" t="inlineStr">
        <is>
          <t>pokemon</t>
        </is>
      </c>
      <c r="AP2026" s="18" t="inlineStr"/>
      <c r="AQ2026" s="18" t="inlineStr">
        <is>
          <t>{"biomes":["#cobblemon:is_ocean"],"canSeeSky":false,"maxSkyLight":15,"minSkyLight":8}</t>
        </is>
      </c>
      <c r="AR2026" s="18" t="inlineStr"/>
      <c r="AS2026" s="18" t="inlineStr">
        <is>
          <t>{"weightMultipliers":[{"condition":{"structures":["#minecraft:shipwreck"]},"multiplier":10.0},{"condition":{"maxLureLevel":1,"minLureLevel":0},"multiplier":0.6}]}</t>
        </is>
      </c>
      <c r="AT2026" s="19" t="inlineStr"/>
    </row>
    <row r="2027" ht="32" customHeight="1">
      <c r="A2027" s="18" t="inlineStr">
        <is>
          <t>0593_jellicent.json::jellicent-6::006</t>
        </is>
      </c>
      <c r="B2027" s="19" t="inlineStr">
        <is>
          <t>사용</t>
        </is>
      </c>
      <c r="C2027" s="18">
        <f>IF(OR(B2027&lt;&gt;AK2027,M2027&lt;&gt;L2027,O2027&lt;&gt;"",Q2027&lt;&gt;"",V2027&lt;&gt;1,Y2027&lt;&gt;"",AT2027&lt;&gt;""),"수정","원본")</f>
        <v/>
      </c>
      <c r="D2027" s="18" t="n">
        <v>593</v>
      </c>
      <c r="E2027" s="18" t="inlineStr">
        <is>
          <t>탱탱겔</t>
        </is>
      </c>
      <c r="F2027" s="18" t="inlineStr">
        <is>
          <t>jellicent</t>
        </is>
      </c>
      <c r="G2027" s="18" t="inlineStr">
        <is>
          <t>jellicent</t>
        </is>
      </c>
      <c r="H2027" s="18" t="inlineStr"/>
      <c r="I2027" s="18" t="n">
        <v>5</v>
      </c>
      <c r="J2027" s="18" t="n"/>
      <c r="K2027" s="18" t="n">
        <v>5</v>
      </c>
      <c r="L2027" s="18" t="inlineStr">
        <is>
          <t>cobbleventure:generation_5</t>
        </is>
      </c>
      <c r="M2027" s="19" t="inlineStr">
        <is>
          <t>cobbleventure:generation_5</t>
        </is>
      </c>
      <c r="N2027" s="18" t="inlineStr">
        <is>
          <t>region_01; region_02</t>
        </is>
      </c>
      <c r="O2027" s="19" t="inlineStr"/>
      <c r="P2027" s="18" t="inlineStr">
        <is>
          <t>#cobblemon:is_overworld</t>
        </is>
      </c>
      <c r="Q2027" s="19" t="inlineStr"/>
      <c r="R2027" s="18">
        <f>IF(Q2027="",P2027,Q2027)</f>
        <v/>
      </c>
      <c r="S2027" s="18" t="inlineStr"/>
      <c r="T2027" s="18" t="inlineStr">
        <is>
          <t>common</t>
        </is>
      </c>
      <c r="U2027" s="20" t="n">
        <v>6</v>
      </c>
      <c r="V2027" s="21" t="n">
        <v>1</v>
      </c>
      <c r="W2027" s="20">
        <f>IF(OR(U2027="",V2027=""),U2027,U2027*V2027)</f>
        <v/>
      </c>
      <c r="X2027" s="18" t="inlineStr">
        <is>
          <t>40-48</t>
        </is>
      </c>
      <c r="Y2027" s="19" t="inlineStr"/>
      <c r="Z2027" s="18">
        <f>IF(Y2027="",X2027,Y2027)</f>
        <v/>
      </c>
      <c r="AA2027" s="18" t="inlineStr">
        <is>
          <t>submerged</t>
        </is>
      </c>
      <c r="AB2027" s="18" t="inlineStr"/>
      <c r="AC2027" s="18" t="inlineStr"/>
      <c r="AD2027" s="18" t="inlineStr">
        <is>
          <t>minY=-60, maxY=13</t>
        </is>
      </c>
      <c r="AE2027" s="18" t="inlineStr"/>
      <c r="AF2027" s="18" t="inlineStr">
        <is>
          <t>False</t>
        </is>
      </c>
      <c r="AG2027" s="18" t="inlineStr">
        <is>
          <t>cobblemon:shipwreck_coves/submerged_shipwreck_cove</t>
        </is>
      </c>
      <c r="AH2027" s="18" t="inlineStr"/>
      <c r="AI2027" s="18" t="inlineStr"/>
      <c r="AJ2027" s="18" t="inlineStr">
        <is>
          <t>COBBLEVERSE 수정</t>
        </is>
      </c>
      <c r="AK2027" s="18" t="inlineStr">
        <is>
          <t>사용</t>
        </is>
      </c>
      <c r="AL2027" s="18" t="inlineStr">
        <is>
          <t>COBBLEVERSE 1.7.42 / DP v31</t>
        </is>
      </c>
      <c r="AM2027" s="18" t="inlineStr">
        <is>
          <t>data/cobblemon/spawn_pool_world/0593_jellicent.json</t>
        </is>
      </c>
      <c r="AN2027" s="18" t="inlineStr">
        <is>
          <t>jellicent-6</t>
        </is>
      </c>
      <c r="AO2027" s="18" t="inlineStr">
        <is>
          <t>pokemon</t>
        </is>
      </c>
      <c r="AP2027" s="18" t="inlineStr">
        <is>
          <t>water</t>
        </is>
      </c>
      <c r="AQ2027" s="18" t="inlineStr">
        <is>
          <t>{"biomes":["#cobblemon:is_overworld"],"canSeeSky":false,"maxY":13,"minY":-60,"structures":["cobblemon:shipwreck_coves/submerged_shipwreck_cove"]}</t>
        </is>
      </c>
      <c r="AR2027" s="18" t="inlineStr"/>
      <c r="AS2027" s="18" t="inlineStr"/>
      <c r="AT2027" s="19" t="inlineStr"/>
    </row>
    <row r="2028" ht="32" customHeight="1">
      <c r="A2028" s="18" t="inlineStr">
        <is>
          <t>0593_jellicent.json::jellicent-7::007</t>
        </is>
      </c>
      <c r="B2028" s="19" t="inlineStr">
        <is>
          <t>사용</t>
        </is>
      </c>
      <c r="C2028" s="18">
        <f>IF(OR(B2028&lt;&gt;AK2028,M2028&lt;&gt;L2028,O2028&lt;&gt;"",Q2028&lt;&gt;"",V2028&lt;&gt;1,Y2028&lt;&gt;"",AT2028&lt;&gt;""),"수정","원본")</f>
        <v/>
      </c>
      <c r="D2028" s="18" t="n">
        <v>593</v>
      </c>
      <c r="E2028" s="18" t="inlineStr">
        <is>
          <t>탱탱겔</t>
        </is>
      </c>
      <c r="F2028" s="18" t="inlineStr">
        <is>
          <t>jellicent</t>
        </is>
      </c>
      <c r="G2028" s="18" t="inlineStr">
        <is>
          <t>jellicent</t>
        </is>
      </c>
      <c r="H2028" s="18" t="inlineStr"/>
      <c r="I2028" s="18" t="n">
        <v>5</v>
      </c>
      <c r="J2028" s="18" t="n"/>
      <c r="K2028" s="18" t="n">
        <v>5</v>
      </c>
      <c r="L2028" s="18" t="inlineStr">
        <is>
          <t>cobbleventure:generation_5</t>
        </is>
      </c>
      <c r="M2028" s="19" t="inlineStr">
        <is>
          <t>cobbleventure:generation_5</t>
        </is>
      </c>
      <c r="N2028" s="18" t="inlineStr">
        <is>
          <t>region_01; region_02</t>
        </is>
      </c>
      <c r="O2028" s="19" t="inlineStr"/>
      <c r="P2028" s="18" t="inlineStr">
        <is>
          <t>#cobblemon:is_overworld</t>
        </is>
      </c>
      <c r="Q2028" s="19" t="inlineStr"/>
      <c r="R2028" s="18">
        <f>IF(Q2028="",P2028,Q2028)</f>
        <v/>
      </c>
      <c r="S2028" s="18" t="inlineStr"/>
      <c r="T2028" s="18" t="inlineStr">
        <is>
          <t>common</t>
        </is>
      </c>
      <c r="U2028" s="20" t="n">
        <v>6</v>
      </c>
      <c r="V2028" s="21" t="n">
        <v>1</v>
      </c>
      <c r="W2028" s="20">
        <f>IF(OR(U2028="",V2028=""),U2028,U2028*V2028)</f>
        <v/>
      </c>
      <c r="X2028" s="18" t="inlineStr">
        <is>
          <t>40-48</t>
        </is>
      </c>
      <c r="Y2028" s="19" t="inlineStr"/>
      <c r="Z2028" s="18">
        <f>IF(Y2028="",X2028,Y2028)</f>
        <v/>
      </c>
      <c r="AA2028" s="18" t="inlineStr">
        <is>
          <t>fishing</t>
        </is>
      </c>
      <c r="AB2028" s="18" t="inlineStr"/>
      <c r="AC2028" s="18" t="inlineStr"/>
      <c r="AD2028" s="18" t="inlineStr">
        <is>
          <t>minY=-60, maxY=13</t>
        </is>
      </c>
      <c r="AE2028" s="18" t="inlineStr"/>
      <c r="AF2028" s="18" t="inlineStr">
        <is>
          <t>False</t>
        </is>
      </c>
      <c r="AG2028" s="18" t="inlineStr">
        <is>
          <t>cobblemon:shipwreck_coves/submerged_shipwreck_cove</t>
        </is>
      </c>
      <c r="AH2028" s="18" t="inlineStr"/>
      <c r="AI2028" s="18" t="inlineStr"/>
      <c r="AJ2028" s="18" t="inlineStr">
        <is>
          <t>COBBLEVERSE 수정</t>
        </is>
      </c>
      <c r="AK2028" s="18" t="inlineStr">
        <is>
          <t>사용</t>
        </is>
      </c>
      <c r="AL2028" s="18" t="inlineStr">
        <is>
          <t>COBBLEVERSE 1.7.42 / DP v31</t>
        </is>
      </c>
      <c r="AM2028" s="18" t="inlineStr">
        <is>
          <t>data/cobblemon/spawn_pool_world/0593_jellicent.json</t>
        </is>
      </c>
      <c r="AN2028" s="18" t="inlineStr">
        <is>
          <t>jellicent-7</t>
        </is>
      </c>
      <c r="AO2028" s="18" t="inlineStr">
        <is>
          <t>pokemon</t>
        </is>
      </c>
      <c r="AP2028" s="18" t="inlineStr"/>
      <c r="AQ2028" s="18" t="inlineStr">
        <is>
          <t>{"biomes":["#cobblemon:is_overworld"],"canSeeSky":false,"maxY":13,"minY":-60,"structures":["cobblemon:shipwreck_coves/submerged_shipwreck_cove"]}</t>
        </is>
      </c>
      <c r="AR2028" s="18" t="inlineStr"/>
      <c r="AS2028" s="18" t="inlineStr"/>
      <c r="AT2028" s="19" t="inlineStr"/>
    </row>
    <row r="2029" ht="32" customHeight="1">
      <c r="A2029" s="18" t="inlineStr">
        <is>
          <t>0594_alomomola.json::alomomola-1::001</t>
        </is>
      </c>
      <c r="B2029" s="19" t="inlineStr">
        <is>
          <t>사용</t>
        </is>
      </c>
      <c r="C2029" s="18">
        <f>IF(OR(B2029&lt;&gt;AK2029,M2029&lt;&gt;L2029,O2029&lt;&gt;"",Q2029&lt;&gt;"",V2029&lt;&gt;1,Y2029&lt;&gt;"",AT2029&lt;&gt;""),"수정","원본")</f>
        <v/>
      </c>
      <c r="D2029" s="18" t="n">
        <v>594</v>
      </c>
      <c r="E2029" s="18" t="inlineStr">
        <is>
          <t>맘복치</t>
        </is>
      </c>
      <c r="F2029" s="18" t="inlineStr">
        <is>
          <t>alomomola</t>
        </is>
      </c>
      <c r="G2029" s="18" t="inlineStr">
        <is>
          <t>alomomola</t>
        </is>
      </c>
      <c r="H2029" s="18" t="inlineStr"/>
      <c r="I2029" s="18" t="n">
        <v>5</v>
      </c>
      <c r="J2029" s="18" t="n"/>
      <c r="K2029" s="18" t="n">
        <v>5</v>
      </c>
      <c r="L2029" s="18" t="inlineStr">
        <is>
          <t>cobbleventure:generation_5</t>
        </is>
      </c>
      <c r="M2029" s="19" t="inlineStr">
        <is>
          <t>cobbleventure:generation_5</t>
        </is>
      </c>
      <c r="N2029" s="18" t="inlineStr"/>
      <c r="O2029" s="19" t="inlineStr"/>
      <c r="P2029" s="18" t="inlineStr">
        <is>
          <t>#cobblemon:is_deep_ocean</t>
        </is>
      </c>
      <c r="Q2029" s="19" t="inlineStr"/>
      <c r="R2029" s="18">
        <f>IF(Q2029="",P2029,Q2029)</f>
        <v/>
      </c>
      <c r="S2029" s="18" t="inlineStr">
        <is>
          <t>#cobblemon:is_frozen_ocean</t>
        </is>
      </c>
      <c r="T2029" s="18" t="inlineStr">
        <is>
          <t>uncommon</t>
        </is>
      </c>
      <c r="U2029" s="20" t="n">
        <v>6</v>
      </c>
      <c r="V2029" s="21" t="n">
        <v>1</v>
      </c>
      <c r="W2029" s="20">
        <f>IF(OR(U2029="",V2029=""),U2029,U2029*V2029)</f>
        <v/>
      </c>
      <c r="X2029" s="18" t="inlineStr">
        <is>
          <t>22-47</t>
        </is>
      </c>
      <c r="Y2029" s="19" t="inlineStr"/>
      <c r="Z2029" s="18">
        <f>IF(Y2029="",X2029,Y2029)</f>
        <v/>
      </c>
      <c r="AA2029" s="18" t="inlineStr">
        <is>
          <t>submerged</t>
        </is>
      </c>
      <c r="AB2029" s="18" t="inlineStr"/>
      <c r="AC2029" s="18" t="inlineStr"/>
      <c r="AD2029" s="18" t="inlineStr"/>
      <c r="AE2029" s="18" t="inlineStr"/>
      <c r="AF2029" s="18" t="inlineStr">
        <is>
          <t>True</t>
        </is>
      </c>
      <c r="AG2029" s="18" t="inlineStr"/>
      <c r="AH2029" s="18" t="inlineStr"/>
      <c r="AI2029" s="18" t="inlineStr"/>
      <c r="AJ2029" s="18" t="inlineStr">
        <is>
          <t>Cobblemon 동일</t>
        </is>
      </c>
      <c r="AK2029" s="18" t="inlineStr">
        <is>
          <t>사용</t>
        </is>
      </c>
      <c r="AL2029" s="18" t="inlineStr">
        <is>
          <t>COBBLEVERSE 1.7.42 / DP v31</t>
        </is>
      </c>
      <c r="AM2029" s="18" t="inlineStr">
        <is>
          <t>data/cobblemon/spawn_pool_world/0594_alomomola.json</t>
        </is>
      </c>
      <c r="AN2029" s="18" t="inlineStr">
        <is>
          <t>alomomola-1</t>
        </is>
      </c>
      <c r="AO2029" s="18" t="inlineStr">
        <is>
          <t>pokemon</t>
        </is>
      </c>
      <c r="AP2029" s="18" t="inlineStr">
        <is>
          <t>water</t>
        </is>
      </c>
      <c r="AQ2029" s="18" t="inlineStr">
        <is>
          <t>{"biomes":["#cobblemon:is_deep_ocean"],"canSeeSky":true}</t>
        </is>
      </c>
      <c r="AR2029" s="18" t="inlineStr">
        <is>
          <t>{"biomes":["#cobblemon:is_frozen_ocean"]}</t>
        </is>
      </c>
      <c r="AS2029" s="18" t="inlineStr"/>
      <c r="AT2029" s="19" t="inlineStr"/>
    </row>
    <row r="2030" ht="32" customHeight="1">
      <c r="A2030" s="18" t="inlineStr">
        <is>
          <t>0594_alomomola.json::alomomola-2::002</t>
        </is>
      </c>
      <c r="B2030" s="19" t="inlineStr">
        <is>
          <t>사용</t>
        </is>
      </c>
      <c r="C2030" s="18">
        <f>IF(OR(B2030&lt;&gt;AK2030,M2030&lt;&gt;L2030,O2030&lt;&gt;"",Q2030&lt;&gt;"",V2030&lt;&gt;1,Y2030&lt;&gt;"",AT2030&lt;&gt;""),"수정","원본")</f>
        <v/>
      </c>
      <c r="D2030" s="18" t="n">
        <v>594</v>
      </c>
      <c r="E2030" s="18" t="inlineStr">
        <is>
          <t>맘복치</t>
        </is>
      </c>
      <c r="F2030" s="18" t="inlineStr">
        <is>
          <t>alomomola</t>
        </is>
      </c>
      <c r="G2030" s="18" t="inlineStr">
        <is>
          <t>alomomola</t>
        </is>
      </c>
      <c r="H2030" s="18" t="inlineStr"/>
      <c r="I2030" s="18" t="n">
        <v>5</v>
      </c>
      <c r="J2030" s="18" t="n"/>
      <c r="K2030" s="18" t="n">
        <v>5</v>
      </c>
      <c r="L2030" s="18" t="inlineStr">
        <is>
          <t>cobbleventure:generation_5</t>
        </is>
      </c>
      <c r="M2030" s="19" t="inlineStr">
        <is>
          <t>cobbleventure:generation_5</t>
        </is>
      </c>
      <c r="N2030" s="18" t="inlineStr"/>
      <c r="O2030" s="19" t="inlineStr"/>
      <c r="P2030" s="18" t="inlineStr">
        <is>
          <t>#cobblemon:is_ocean</t>
        </is>
      </c>
      <c r="Q2030" s="19" t="inlineStr"/>
      <c r="R2030" s="18">
        <f>IF(Q2030="",P2030,Q2030)</f>
        <v/>
      </c>
      <c r="S2030" s="18" t="inlineStr"/>
      <c r="T2030" s="18" t="inlineStr">
        <is>
          <t>uncommon</t>
        </is>
      </c>
      <c r="U2030" s="20" t="n">
        <v>6</v>
      </c>
      <c r="V2030" s="21" t="n">
        <v>1</v>
      </c>
      <c r="W2030" s="20">
        <f>IF(OR(U2030="",V2030=""),U2030,U2030*V2030)</f>
        <v/>
      </c>
      <c r="X2030" s="18" t="inlineStr">
        <is>
          <t>22-47</t>
        </is>
      </c>
      <c r="Y2030" s="19" t="inlineStr"/>
      <c r="Z2030" s="18">
        <f>IF(Y2030="",X2030,Y2030)</f>
        <v/>
      </c>
      <c r="AA2030" s="18" t="inlineStr">
        <is>
          <t>fishing</t>
        </is>
      </c>
      <c r="AB2030" s="18" t="inlineStr"/>
      <c r="AC2030" s="18" t="inlineStr"/>
      <c r="AD2030" s="18" t="inlineStr"/>
      <c r="AE2030" s="18" t="inlineStr"/>
      <c r="AF2030" s="18" t="inlineStr">
        <is>
          <t>True</t>
        </is>
      </c>
      <c r="AG2030" s="18" t="inlineStr"/>
      <c r="AH2030" s="18" t="inlineStr"/>
      <c r="AI2030" s="18" t="inlineStr"/>
      <c r="AJ2030" s="18" t="inlineStr">
        <is>
          <t>Cobblemon 동일</t>
        </is>
      </c>
      <c r="AK2030" s="18" t="inlineStr">
        <is>
          <t>사용</t>
        </is>
      </c>
      <c r="AL2030" s="18" t="inlineStr">
        <is>
          <t>COBBLEVERSE 1.7.42 / DP v31</t>
        </is>
      </c>
      <c r="AM2030" s="18" t="inlineStr">
        <is>
          <t>data/cobblemon/spawn_pool_world/0594_alomomola.json</t>
        </is>
      </c>
      <c r="AN2030" s="18" t="inlineStr">
        <is>
          <t>alomomola-2</t>
        </is>
      </c>
      <c r="AO2030" s="18" t="inlineStr">
        <is>
          <t>pokemon</t>
        </is>
      </c>
      <c r="AP2030" s="18" t="inlineStr"/>
      <c r="AQ2030" s="18" t="inlineStr">
        <is>
          <t>{"biomes":["#cobblemon:is_ocean"],"canSeeSky":true}</t>
        </is>
      </c>
      <c r="AR2030" s="18" t="inlineStr">
        <is>
          <t>{"minLureLevel":1}</t>
        </is>
      </c>
      <c r="AS2030" s="18" t="inlineStr"/>
      <c r="AT2030" s="19" t="inlineStr"/>
    </row>
    <row r="2031" ht="32" customHeight="1">
      <c r="A2031" s="18" t="inlineStr">
        <is>
          <t>0594_alomomola.json::alomomola-3::003</t>
        </is>
      </c>
      <c r="B2031" s="19" t="inlineStr">
        <is>
          <t>사용</t>
        </is>
      </c>
      <c r="C2031" s="18">
        <f>IF(OR(B2031&lt;&gt;AK2031,M2031&lt;&gt;L2031,O2031&lt;&gt;"",Q2031&lt;&gt;"",V2031&lt;&gt;1,Y2031&lt;&gt;"",AT2031&lt;&gt;""),"수정","원본")</f>
        <v/>
      </c>
      <c r="D2031" s="18" t="n">
        <v>594</v>
      </c>
      <c r="E2031" s="18" t="inlineStr">
        <is>
          <t>맘복치</t>
        </is>
      </c>
      <c r="F2031" s="18" t="inlineStr">
        <is>
          <t>alomomola</t>
        </is>
      </c>
      <c r="G2031" s="18" t="inlineStr">
        <is>
          <t>alomomola</t>
        </is>
      </c>
      <c r="H2031" s="18" t="inlineStr"/>
      <c r="I2031" s="18" t="n">
        <v>5</v>
      </c>
      <c r="J2031" s="18" t="n"/>
      <c r="K2031" s="18" t="n">
        <v>5</v>
      </c>
      <c r="L2031" s="18" t="inlineStr">
        <is>
          <t>cobbleventure:generation_5</t>
        </is>
      </c>
      <c r="M2031" s="19" t="inlineStr">
        <is>
          <t>cobbleventure:generation_5</t>
        </is>
      </c>
      <c r="N2031" s="18" t="inlineStr"/>
      <c r="O2031" s="19" t="inlineStr"/>
      <c r="P2031" s="18" t="inlineStr">
        <is>
          <t>#cobblemon:is_ocean</t>
        </is>
      </c>
      <c r="Q2031" s="19" t="inlineStr"/>
      <c r="R2031" s="18">
        <f>IF(Q2031="",P2031,Q2031)</f>
        <v/>
      </c>
      <c r="S2031" s="18" t="inlineStr"/>
      <c r="T2031" s="18" t="inlineStr">
        <is>
          <t>common</t>
        </is>
      </c>
      <c r="U2031" s="20" t="n">
        <v>2</v>
      </c>
      <c r="V2031" s="21" t="n">
        <v>1</v>
      </c>
      <c r="W2031" s="20">
        <f>IF(OR(U2031="",V2031=""),U2031,U2031*V2031)</f>
        <v/>
      </c>
      <c r="X2031" s="18" t="inlineStr">
        <is>
          <t>22-47</t>
        </is>
      </c>
      <c r="Y2031" s="19" t="inlineStr"/>
      <c r="Z2031" s="18">
        <f>IF(Y2031="",X2031,Y2031)</f>
        <v/>
      </c>
      <c r="AA2031" s="18" t="inlineStr">
        <is>
          <t>fishing</t>
        </is>
      </c>
      <c r="AB2031" s="18" t="inlineStr"/>
      <c r="AC2031" s="18" t="inlineStr"/>
      <c r="AD2031" s="18" t="inlineStr"/>
      <c r="AE2031" s="18" t="inlineStr"/>
      <c r="AF2031" s="18" t="inlineStr">
        <is>
          <t>True</t>
        </is>
      </c>
      <c r="AG2031" s="18" t="inlineStr"/>
      <c r="AH2031" s="18" t="inlineStr"/>
      <c r="AI2031" s="18" t="inlineStr">
        <is>
          <t>{"fishing":{"minLureLevel":1}}</t>
        </is>
      </c>
      <c r="AJ2031" s="18" t="inlineStr">
        <is>
          <t>Cobblemon 동일</t>
        </is>
      </c>
      <c r="AK2031" s="18" t="inlineStr">
        <is>
          <t>사용</t>
        </is>
      </c>
      <c r="AL2031" s="18" t="inlineStr">
        <is>
          <t>COBBLEVERSE 1.7.42 / DP v31</t>
        </is>
      </c>
      <c r="AM2031" s="18" t="inlineStr">
        <is>
          <t>data/cobblemon/spawn_pool_world/0594_alomomola.json</t>
        </is>
      </c>
      <c r="AN2031" s="18" t="inlineStr">
        <is>
          <t>alomomola-3</t>
        </is>
      </c>
      <c r="AO2031" s="18" t="inlineStr">
        <is>
          <t>pokemon</t>
        </is>
      </c>
      <c r="AP2031" s="18" t="inlineStr"/>
      <c r="AQ2031" s="18" t="inlineStr">
        <is>
          <t>{"biomes":["#cobblemon:is_ocean"],"canSeeSky":true,"minLureLevel":1}</t>
        </is>
      </c>
      <c r="AR2031" s="18" t="inlineStr"/>
      <c r="AS2031" s="18" t="inlineStr">
        <is>
          <t>{"weightMultiplier":{"condition":{"minLureLevel":3},"multiplier":3.0}}</t>
        </is>
      </c>
      <c r="AT2031" s="19" t="inlineStr"/>
    </row>
    <row r="2032" ht="32" customHeight="1">
      <c r="A2032" s="18" t="inlineStr">
        <is>
          <t>0594_alomomola.json::alomomola-4::004</t>
        </is>
      </c>
      <c r="B2032" s="19" t="inlineStr">
        <is>
          <t>사용</t>
        </is>
      </c>
      <c r="C2032" s="18">
        <f>IF(OR(B2032&lt;&gt;AK2032,M2032&lt;&gt;L2032,O2032&lt;&gt;"",Q2032&lt;&gt;"",V2032&lt;&gt;1,Y2032&lt;&gt;"",AT2032&lt;&gt;""),"수정","원본")</f>
        <v/>
      </c>
      <c r="D2032" s="18" t="n">
        <v>594</v>
      </c>
      <c r="E2032" s="18" t="inlineStr">
        <is>
          <t>맘복치</t>
        </is>
      </c>
      <c r="F2032" s="18" t="inlineStr">
        <is>
          <t>alomomola</t>
        </is>
      </c>
      <c r="G2032" s="18" t="inlineStr">
        <is>
          <t>alomomola</t>
        </is>
      </c>
      <c r="H2032" s="18" t="inlineStr"/>
      <c r="I2032" s="18" t="n">
        <v>5</v>
      </c>
      <c r="J2032" s="18" t="n"/>
      <c r="K2032" s="18" t="n">
        <v>5</v>
      </c>
      <c r="L2032" s="18" t="inlineStr">
        <is>
          <t>cobbleventure:generation_5</t>
        </is>
      </c>
      <c r="M2032" s="19" t="inlineStr">
        <is>
          <t>cobbleventure:generation_5</t>
        </is>
      </c>
      <c r="N2032" s="18" t="inlineStr"/>
      <c r="O2032" s="19" t="inlineStr"/>
      <c r="P2032" s="18" t="inlineStr">
        <is>
          <t>#cobblemon:is_deep_ocean</t>
        </is>
      </c>
      <c r="Q2032" s="19" t="inlineStr"/>
      <c r="R2032" s="18">
        <f>IF(Q2032="",P2032,Q2032)</f>
        <v/>
      </c>
      <c r="S2032" s="18" t="inlineStr">
        <is>
          <t>#cobblemon:is_frozen_ocean</t>
        </is>
      </c>
      <c r="T2032" s="18" t="inlineStr">
        <is>
          <t>uncommon</t>
        </is>
      </c>
      <c r="U2032" s="20" t="n">
        <v>6</v>
      </c>
      <c r="V2032" s="21" t="n">
        <v>1</v>
      </c>
      <c r="W2032" s="20">
        <f>IF(OR(U2032="",V2032=""),U2032,U2032*V2032)</f>
        <v/>
      </c>
      <c r="X2032" s="18" t="inlineStr">
        <is>
          <t>22-47</t>
        </is>
      </c>
      <c r="Y2032" s="19" t="inlineStr"/>
      <c r="Z2032" s="18">
        <f>IF(Y2032="",X2032,Y2032)</f>
        <v/>
      </c>
      <c r="AA2032" s="18" t="inlineStr">
        <is>
          <t>submerged</t>
        </is>
      </c>
      <c r="AB2032" s="18" t="inlineStr"/>
      <c r="AC2032" s="18" t="inlineStr"/>
      <c r="AD2032" s="18" t="inlineStr"/>
      <c r="AE2032" s="18" t="inlineStr">
        <is>
          <t>sky 8-15</t>
        </is>
      </c>
      <c r="AF2032" s="18" t="inlineStr">
        <is>
          <t>False</t>
        </is>
      </c>
      <c r="AG2032" s="18" t="inlineStr"/>
      <c r="AH2032" s="18" t="inlineStr"/>
      <c r="AI2032" s="18" t="inlineStr"/>
      <c r="AJ2032" s="18" t="inlineStr">
        <is>
          <t>Cobblemon 동일</t>
        </is>
      </c>
      <c r="AK2032" s="18" t="inlineStr">
        <is>
          <t>사용</t>
        </is>
      </c>
      <c r="AL2032" s="18" t="inlineStr">
        <is>
          <t>COBBLEVERSE 1.7.42 / DP v31</t>
        </is>
      </c>
      <c r="AM2032" s="18" t="inlineStr">
        <is>
          <t>data/cobblemon/spawn_pool_world/0594_alomomola.json</t>
        </is>
      </c>
      <c r="AN2032" s="18" t="inlineStr">
        <is>
          <t>alomomola-4</t>
        </is>
      </c>
      <c r="AO2032" s="18" t="inlineStr">
        <is>
          <t>pokemon</t>
        </is>
      </c>
      <c r="AP2032" s="18" t="inlineStr">
        <is>
          <t>water</t>
        </is>
      </c>
      <c r="AQ2032" s="18" t="inlineStr">
        <is>
          <t>{"biomes":["#cobblemon:is_deep_ocean"],"canSeeSky":false,"maxSkyLight":15,"minSkyLight":8}</t>
        </is>
      </c>
      <c r="AR2032" s="18" t="inlineStr">
        <is>
          <t>{"biomes":["#cobblemon:is_frozen_ocean"]}</t>
        </is>
      </c>
      <c r="AS2032" s="18" t="inlineStr"/>
      <c r="AT2032" s="19" t="inlineStr"/>
    </row>
    <row r="2033" ht="32" customHeight="1">
      <c r="A2033" s="18" t="inlineStr">
        <is>
          <t>0594_alomomola.json::alomomola-5::005</t>
        </is>
      </c>
      <c r="B2033" s="19" t="inlineStr">
        <is>
          <t>사용</t>
        </is>
      </c>
      <c r="C2033" s="18">
        <f>IF(OR(B2033&lt;&gt;AK2033,M2033&lt;&gt;L2033,O2033&lt;&gt;"",Q2033&lt;&gt;"",V2033&lt;&gt;1,Y2033&lt;&gt;"",AT2033&lt;&gt;""),"수정","원본")</f>
        <v/>
      </c>
      <c r="D2033" s="18" t="n">
        <v>594</v>
      </c>
      <c r="E2033" s="18" t="inlineStr">
        <is>
          <t>맘복치</t>
        </is>
      </c>
      <c r="F2033" s="18" t="inlineStr">
        <is>
          <t>alomomola</t>
        </is>
      </c>
      <c r="G2033" s="18" t="inlineStr">
        <is>
          <t>alomomola</t>
        </is>
      </c>
      <c r="H2033" s="18" t="inlineStr"/>
      <c r="I2033" s="18" t="n">
        <v>5</v>
      </c>
      <c r="J2033" s="18" t="n"/>
      <c r="K2033" s="18" t="n">
        <v>5</v>
      </c>
      <c r="L2033" s="18" t="inlineStr">
        <is>
          <t>cobbleventure:generation_5</t>
        </is>
      </c>
      <c r="M2033" s="19" t="inlineStr">
        <is>
          <t>cobbleventure:generation_5</t>
        </is>
      </c>
      <c r="N2033" s="18" t="inlineStr"/>
      <c r="O2033" s="19" t="inlineStr"/>
      <c r="P2033" s="18" t="inlineStr">
        <is>
          <t>#cobblemon:is_ocean</t>
        </is>
      </c>
      <c r="Q2033" s="19" t="inlineStr"/>
      <c r="R2033" s="18">
        <f>IF(Q2033="",P2033,Q2033)</f>
        <v/>
      </c>
      <c r="S2033" s="18" t="inlineStr"/>
      <c r="T2033" s="18" t="inlineStr">
        <is>
          <t>uncommon</t>
        </is>
      </c>
      <c r="U2033" s="20" t="n">
        <v>6</v>
      </c>
      <c r="V2033" s="21" t="n">
        <v>1</v>
      </c>
      <c r="W2033" s="20">
        <f>IF(OR(U2033="",V2033=""),U2033,U2033*V2033)</f>
        <v/>
      </c>
      <c r="X2033" s="18" t="inlineStr">
        <is>
          <t>22-47</t>
        </is>
      </c>
      <c r="Y2033" s="19" t="inlineStr"/>
      <c r="Z2033" s="18">
        <f>IF(Y2033="",X2033,Y2033)</f>
        <v/>
      </c>
      <c r="AA2033" s="18" t="inlineStr">
        <is>
          <t>fishing</t>
        </is>
      </c>
      <c r="AB2033" s="18" t="inlineStr"/>
      <c r="AC2033" s="18" t="inlineStr"/>
      <c r="AD2033" s="18" t="inlineStr"/>
      <c r="AE2033" s="18" t="inlineStr">
        <is>
          <t>sky 8-15</t>
        </is>
      </c>
      <c r="AF2033" s="18" t="inlineStr">
        <is>
          <t>False</t>
        </is>
      </c>
      <c r="AG2033" s="18" t="inlineStr"/>
      <c r="AH2033" s="18" t="inlineStr"/>
      <c r="AI2033" s="18" t="inlineStr"/>
      <c r="AJ2033" s="18" t="inlineStr">
        <is>
          <t>Cobblemon 동일</t>
        </is>
      </c>
      <c r="AK2033" s="18" t="inlineStr">
        <is>
          <t>사용</t>
        </is>
      </c>
      <c r="AL2033" s="18" t="inlineStr">
        <is>
          <t>COBBLEVERSE 1.7.42 / DP v31</t>
        </is>
      </c>
      <c r="AM2033" s="18" t="inlineStr">
        <is>
          <t>data/cobblemon/spawn_pool_world/0594_alomomola.json</t>
        </is>
      </c>
      <c r="AN2033" s="18" t="inlineStr">
        <is>
          <t>alomomola-5</t>
        </is>
      </c>
      <c r="AO2033" s="18" t="inlineStr">
        <is>
          <t>pokemon</t>
        </is>
      </c>
      <c r="AP2033" s="18" t="inlineStr"/>
      <c r="AQ2033" s="18" t="inlineStr">
        <is>
          <t>{"biomes":["#cobblemon:is_ocean"],"canSeeSky":false,"maxSkyLight":15,"minSkyLight":8}</t>
        </is>
      </c>
      <c r="AR2033" s="18" t="inlineStr">
        <is>
          <t>{"minLureLevel":1}</t>
        </is>
      </c>
      <c r="AS2033" s="18" t="inlineStr"/>
      <c r="AT2033" s="19" t="inlineStr"/>
    </row>
    <row r="2034" ht="32" customHeight="1">
      <c r="A2034" s="18" t="inlineStr">
        <is>
          <t>0594_alomomola.json::alomomola-6::006</t>
        </is>
      </c>
      <c r="B2034" s="19" t="inlineStr">
        <is>
          <t>사용</t>
        </is>
      </c>
      <c r="C2034" s="18">
        <f>IF(OR(B2034&lt;&gt;AK2034,M2034&lt;&gt;L2034,O2034&lt;&gt;"",Q2034&lt;&gt;"",V2034&lt;&gt;1,Y2034&lt;&gt;"",AT2034&lt;&gt;""),"수정","원본")</f>
        <v/>
      </c>
      <c r="D2034" s="18" t="n">
        <v>594</v>
      </c>
      <c r="E2034" s="18" t="inlineStr">
        <is>
          <t>맘복치</t>
        </is>
      </c>
      <c r="F2034" s="18" t="inlineStr">
        <is>
          <t>alomomola</t>
        </is>
      </c>
      <c r="G2034" s="18" t="inlineStr">
        <is>
          <t>alomomola</t>
        </is>
      </c>
      <c r="H2034" s="18" t="inlineStr"/>
      <c r="I2034" s="18" t="n">
        <v>5</v>
      </c>
      <c r="J2034" s="18" t="n"/>
      <c r="K2034" s="18" t="n">
        <v>5</v>
      </c>
      <c r="L2034" s="18" t="inlineStr">
        <is>
          <t>cobbleventure:generation_5</t>
        </is>
      </c>
      <c r="M2034" s="19" t="inlineStr">
        <is>
          <t>cobbleventure:generation_5</t>
        </is>
      </c>
      <c r="N2034" s="18" t="inlineStr"/>
      <c r="O2034" s="19" t="inlineStr"/>
      <c r="P2034" s="18" t="inlineStr">
        <is>
          <t>#cobblemon:is_ocean</t>
        </is>
      </c>
      <c r="Q2034" s="19" t="inlineStr"/>
      <c r="R2034" s="18">
        <f>IF(Q2034="",P2034,Q2034)</f>
        <v/>
      </c>
      <c r="S2034" s="18" t="inlineStr"/>
      <c r="T2034" s="18" t="inlineStr">
        <is>
          <t>common</t>
        </is>
      </c>
      <c r="U2034" s="20" t="n">
        <v>2</v>
      </c>
      <c r="V2034" s="21" t="n">
        <v>1</v>
      </c>
      <c r="W2034" s="20">
        <f>IF(OR(U2034="",V2034=""),U2034,U2034*V2034)</f>
        <v/>
      </c>
      <c r="X2034" s="18" t="inlineStr">
        <is>
          <t>22-47</t>
        </is>
      </c>
      <c r="Y2034" s="19" t="inlineStr"/>
      <c r="Z2034" s="18">
        <f>IF(Y2034="",X2034,Y2034)</f>
        <v/>
      </c>
      <c r="AA2034" s="18" t="inlineStr">
        <is>
          <t>fishing</t>
        </is>
      </c>
      <c r="AB2034" s="18" t="inlineStr"/>
      <c r="AC2034" s="18" t="inlineStr"/>
      <c r="AD2034" s="18" t="inlineStr"/>
      <c r="AE2034" s="18" t="inlineStr">
        <is>
          <t>sky 8-15</t>
        </is>
      </c>
      <c r="AF2034" s="18" t="inlineStr">
        <is>
          <t>False</t>
        </is>
      </c>
      <c r="AG2034" s="18" t="inlineStr"/>
      <c r="AH2034" s="18" t="inlineStr"/>
      <c r="AI2034" s="18" t="inlineStr">
        <is>
          <t>{"fishing":{"minLureLevel":1}}</t>
        </is>
      </c>
      <c r="AJ2034" s="18" t="inlineStr">
        <is>
          <t>Cobblemon 동일</t>
        </is>
      </c>
      <c r="AK2034" s="18" t="inlineStr">
        <is>
          <t>사용</t>
        </is>
      </c>
      <c r="AL2034" s="18" t="inlineStr">
        <is>
          <t>COBBLEVERSE 1.7.42 / DP v31</t>
        </is>
      </c>
      <c r="AM2034" s="18" t="inlineStr">
        <is>
          <t>data/cobblemon/spawn_pool_world/0594_alomomola.json</t>
        </is>
      </c>
      <c r="AN2034" s="18" t="inlineStr">
        <is>
          <t>alomomola-6</t>
        </is>
      </c>
      <c r="AO2034" s="18" t="inlineStr">
        <is>
          <t>pokemon</t>
        </is>
      </c>
      <c r="AP2034" s="18" t="inlineStr"/>
      <c r="AQ2034" s="18" t="inlineStr">
        <is>
          <t>{"biomes":["#cobblemon:is_ocean"],"canSeeSky":false,"maxSkyLight":15,"minLureLevel":1,"minSkyLight":8}</t>
        </is>
      </c>
      <c r="AR2034" s="18" t="inlineStr"/>
      <c r="AS2034" s="18" t="inlineStr">
        <is>
          <t>{"weightMultiplier":{"condition":{"minLureLevel":3},"multiplier":3.0}}</t>
        </is>
      </c>
      <c r="AT2034" s="19" t="inlineStr"/>
    </row>
    <row r="2035" ht="32" customHeight="1">
      <c r="A2035" s="18" t="inlineStr">
        <is>
          <t>0595_joltik.json::joltik-1::001</t>
        </is>
      </c>
      <c r="B2035" s="19" t="inlineStr">
        <is>
          <t>사용</t>
        </is>
      </c>
      <c r="C2035" s="18">
        <f>IF(OR(B2035&lt;&gt;AK2035,M2035&lt;&gt;L2035,O2035&lt;&gt;"",Q2035&lt;&gt;"",V2035&lt;&gt;1,Y2035&lt;&gt;"",AT2035&lt;&gt;""),"수정","원본")</f>
        <v/>
      </c>
      <c r="D2035" s="18" t="n">
        <v>595</v>
      </c>
      <c r="E2035" s="18" t="inlineStr">
        <is>
          <t>파쪼옥</t>
        </is>
      </c>
      <c r="F2035" s="18" t="inlineStr">
        <is>
          <t>joltik</t>
        </is>
      </c>
      <c r="G2035" s="18" t="inlineStr">
        <is>
          <t>joltik</t>
        </is>
      </c>
      <c r="H2035" s="18" t="inlineStr"/>
      <c r="I2035" s="18" t="n">
        <v>5</v>
      </c>
      <c r="J2035" s="18" t="n"/>
      <c r="K2035" s="18" t="n">
        <v>5</v>
      </c>
      <c r="L2035" s="18" t="inlineStr">
        <is>
          <t>cobbleventure:generation_5</t>
        </is>
      </c>
      <c r="M2035" s="19" t="inlineStr">
        <is>
          <t>cobbleventure:generation_5</t>
        </is>
      </c>
      <c r="N2035" s="18" t="inlineStr"/>
      <c r="O2035" s="19" t="inlineStr"/>
      <c r="P2035" s="18" t="inlineStr">
        <is>
          <t>#cobblemon:is_badlands; #cobblemon:is_jungle; #cobblemon:is_savanna</t>
        </is>
      </c>
      <c r="Q2035" s="19" t="inlineStr"/>
      <c r="R2035" s="18">
        <f>IF(Q2035="",P2035,Q2035)</f>
        <v/>
      </c>
      <c r="S2035" s="18" t="inlineStr"/>
      <c r="T2035" s="18" t="inlineStr">
        <is>
          <t>common</t>
        </is>
      </c>
      <c r="U2035" s="20" t="n">
        <v>5.4</v>
      </c>
      <c r="V2035" s="21" t="n">
        <v>1</v>
      </c>
      <c r="W2035" s="20">
        <f>IF(OR(U2035="",V2035=""),U2035,U2035*V2035)</f>
        <v/>
      </c>
      <c r="X2035" s="18" t="inlineStr">
        <is>
          <t>7-32</t>
        </is>
      </c>
      <c r="Y2035" s="19" t="inlineStr"/>
      <c r="Z2035" s="18">
        <f>IF(Y2035="",X2035,Y2035)</f>
        <v/>
      </c>
      <c r="AA2035" s="18" t="inlineStr">
        <is>
          <t>grounded</t>
        </is>
      </c>
      <c r="AB2035" s="18" t="inlineStr">
        <is>
          <t>night</t>
        </is>
      </c>
      <c r="AC2035" s="18" t="inlineStr"/>
      <c r="AD2035" s="18" t="inlineStr"/>
      <c r="AE2035" s="18" t="inlineStr">
        <is>
          <t>sky 8-15</t>
        </is>
      </c>
      <c r="AF2035" s="18" t="inlineStr"/>
      <c r="AG2035" s="18" t="inlineStr"/>
      <c r="AH2035" s="18" t="inlineStr"/>
      <c r="AI2035" s="18" t="inlineStr"/>
      <c r="AJ2035" s="18" t="inlineStr">
        <is>
          <t>Cobblemon 동일</t>
        </is>
      </c>
      <c r="AK2035" s="18" t="inlineStr">
        <is>
          <t>사용</t>
        </is>
      </c>
      <c r="AL2035" s="18" t="inlineStr">
        <is>
          <t>COBBLEVERSE 1.7.42 / DP v31</t>
        </is>
      </c>
      <c r="AM2035" s="18" t="inlineStr">
        <is>
          <t>data/cobblemon/spawn_pool_world/0595_joltik.json</t>
        </is>
      </c>
      <c r="AN2035" s="18" t="inlineStr">
        <is>
          <t>joltik-1</t>
        </is>
      </c>
      <c r="AO2035" s="18" t="inlineStr">
        <is>
          <t>pokemon</t>
        </is>
      </c>
      <c r="AP2035" s="18" t="inlineStr">
        <is>
          <t>natural</t>
        </is>
      </c>
      <c r="AQ2035" s="18" t="inlineStr">
        <is>
          <t>{"biomes":["#cobblemon:is_badlands","#cobblemon:is_jungle","#cobblemon:is_savanna"],"maxSkyLight":15,"minSkyLight":8,"timeRange":"night"}</t>
        </is>
      </c>
      <c r="AR2035" s="18" t="inlineStr"/>
      <c r="AS2035" s="18" t="inlineStr">
        <is>
          <t>{"weightMultiplier":{"condition":{"isThundering":true},"multiplier":5.0}}</t>
        </is>
      </c>
      <c r="AT2035" s="19" t="inlineStr"/>
    </row>
    <row r="2036" ht="32" customHeight="1">
      <c r="A2036" s="18" t="inlineStr">
        <is>
          <t>0595_joltik.json::joltik-2::002</t>
        </is>
      </c>
      <c r="B2036" s="19" t="inlineStr">
        <is>
          <t>사용</t>
        </is>
      </c>
      <c r="C2036" s="18">
        <f>IF(OR(B2036&lt;&gt;AK2036,M2036&lt;&gt;L2036,O2036&lt;&gt;"",Q2036&lt;&gt;"",V2036&lt;&gt;1,Y2036&lt;&gt;"",AT2036&lt;&gt;""),"수정","원본")</f>
        <v/>
      </c>
      <c r="D2036" s="18" t="n">
        <v>595</v>
      </c>
      <c r="E2036" s="18" t="inlineStr">
        <is>
          <t>파쪼옥</t>
        </is>
      </c>
      <c r="F2036" s="18" t="inlineStr">
        <is>
          <t>joltik</t>
        </is>
      </c>
      <c r="G2036" s="18" t="inlineStr">
        <is>
          <t>joltik</t>
        </is>
      </c>
      <c r="H2036" s="18" t="inlineStr"/>
      <c r="I2036" s="18" t="n">
        <v>5</v>
      </c>
      <c r="J2036" s="18" t="n"/>
      <c r="K2036" s="18" t="n">
        <v>5</v>
      </c>
      <c r="L2036" s="18" t="inlineStr">
        <is>
          <t>cobbleventure:generation_5</t>
        </is>
      </c>
      <c r="M2036" s="19" t="inlineStr">
        <is>
          <t>cobbleventure:generation_5</t>
        </is>
      </c>
      <c r="N2036" s="18" t="inlineStr">
        <is>
          <t>region_01; region_02</t>
        </is>
      </c>
      <c r="O2036" s="19" t="inlineStr"/>
      <c r="P2036" s="18" t="inlineStr">
        <is>
          <t>#cobblemon:is_overworld</t>
        </is>
      </c>
      <c r="Q2036" s="19" t="inlineStr"/>
      <c r="R2036" s="18">
        <f>IF(Q2036="",P2036,Q2036)</f>
        <v/>
      </c>
      <c r="S2036" s="18" t="inlineStr">
        <is>
          <t>#cobblemon:is_deep_dark</t>
        </is>
      </c>
      <c r="T2036" s="18" t="inlineStr">
        <is>
          <t>common</t>
        </is>
      </c>
      <c r="U2036" s="20" t="n">
        <v>5.4</v>
      </c>
      <c r="V2036" s="21" t="n">
        <v>1</v>
      </c>
      <c r="W2036" s="20">
        <f>IF(OR(U2036="",V2036=""),U2036,U2036*V2036)</f>
        <v/>
      </c>
      <c r="X2036" s="18" t="inlineStr">
        <is>
          <t>7-32</t>
        </is>
      </c>
      <c r="Y2036" s="19" t="inlineStr"/>
      <c r="Z2036" s="18">
        <f>IF(Y2036="",X2036,Y2036)</f>
        <v/>
      </c>
      <c r="AA2036" s="18" t="inlineStr">
        <is>
          <t>grounded</t>
        </is>
      </c>
      <c r="AB2036" s="18" t="inlineStr"/>
      <c r="AC2036" s="18" t="inlineStr"/>
      <c r="AD2036" s="18" t="inlineStr"/>
      <c r="AE2036" s="18" t="inlineStr">
        <is>
          <t>sky 0-7</t>
        </is>
      </c>
      <c r="AF2036" s="18" t="inlineStr"/>
      <c r="AG2036" s="18" t="inlineStr"/>
      <c r="AH2036" s="18" t="inlineStr"/>
      <c r="AI2036" s="18" t="inlineStr"/>
      <c r="AJ2036" s="18" t="inlineStr">
        <is>
          <t>Cobblemon 동일</t>
        </is>
      </c>
      <c r="AK2036" s="18" t="inlineStr">
        <is>
          <t>사용</t>
        </is>
      </c>
      <c r="AL2036" s="18" t="inlineStr">
        <is>
          <t>COBBLEVERSE 1.7.42 / DP v31</t>
        </is>
      </c>
      <c r="AM2036" s="18" t="inlineStr">
        <is>
          <t>data/cobblemon/spawn_pool_world/0595_joltik.json</t>
        </is>
      </c>
      <c r="AN2036" s="18" t="inlineStr">
        <is>
          <t>joltik-2</t>
        </is>
      </c>
      <c r="AO2036" s="18" t="inlineStr">
        <is>
          <t>pokemon</t>
        </is>
      </c>
      <c r="AP2036" s="18" t="inlineStr">
        <is>
          <t>natural</t>
        </is>
      </c>
      <c r="AQ2036" s="18" t="inlineStr">
        <is>
          <t>{"biomes":["#cobblemon:is_overworld"],"maxSkyLight":7,"minSkyLight":0}</t>
        </is>
      </c>
      <c r="AR2036" s="18" t="inlineStr">
        <is>
          <t>{"biomes":["#cobblemon:is_deep_dark"]}</t>
        </is>
      </c>
      <c r="AS2036" s="18" t="inlineStr"/>
      <c r="AT2036" s="19" t="inlineStr"/>
    </row>
    <row r="2037" ht="32" customHeight="1">
      <c r="A2037" s="18" t="inlineStr">
        <is>
          <t>0595_joltik.json::joltik-3::003</t>
        </is>
      </c>
      <c r="B2037" s="19" t="inlineStr">
        <is>
          <t>사용</t>
        </is>
      </c>
      <c r="C2037" s="18">
        <f>IF(OR(B2037&lt;&gt;AK2037,M2037&lt;&gt;L2037,O2037&lt;&gt;"",Q2037&lt;&gt;"",V2037&lt;&gt;1,Y2037&lt;&gt;"",AT2037&lt;&gt;""),"수정","원본")</f>
        <v/>
      </c>
      <c r="D2037" s="18" t="n">
        <v>595</v>
      </c>
      <c r="E2037" s="18" t="inlineStr">
        <is>
          <t>파쪼옥</t>
        </is>
      </c>
      <c r="F2037" s="18" t="inlineStr">
        <is>
          <t>joltik</t>
        </is>
      </c>
      <c r="G2037" s="18" t="inlineStr">
        <is>
          <t>joltik</t>
        </is>
      </c>
      <c r="H2037" s="18" t="inlineStr"/>
      <c r="I2037" s="18" t="n">
        <v>5</v>
      </c>
      <c r="J2037" s="18" t="n"/>
      <c r="K2037" s="18" t="n">
        <v>5</v>
      </c>
      <c r="L2037" s="18" t="inlineStr">
        <is>
          <t>cobbleventure:generation_5</t>
        </is>
      </c>
      <c r="M2037" s="19" t="inlineStr">
        <is>
          <t>cobbleventure:generation_5</t>
        </is>
      </c>
      <c r="N2037" s="18" t="inlineStr">
        <is>
          <t>region_01; region_02</t>
        </is>
      </c>
      <c r="O2037" s="19" t="inlineStr"/>
      <c r="P2037" s="18" t="inlineStr"/>
      <c r="Q2037" s="19" t="inlineStr"/>
      <c r="R2037" s="18">
        <f>IF(Q2037="",P2037,Q2037)</f>
        <v/>
      </c>
      <c r="S2037" s="18" t="inlineStr"/>
      <c r="T2037" s="18" t="inlineStr">
        <is>
          <t>common</t>
        </is>
      </c>
      <c r="U2037" s="20" t="n">
        <v>9</v>
      </c>
      <c r="V2037" s="21" t="n">
        <v>1</v>
      </c>
      <c r="W2037" s="20">
        <f>IF(OR(U2037="",V2037=""),U2037,U2037*V2037)</f>
        <v/>
      </c>
      <c r="X2037" s="18" t="inlineStr">
        <is>
          <t>7-32</t>
        </is>
      </c>
      <c r="Y2037" s="19" t="inlineStr"/>
      <c r="Z2037" s="18">
        <f>IF(Y2037="",X2037,Y2037)</f>
        <v/>
      </c>
      <c r="AA2037" s="18" t="inlineStr">
        <is>
          <t>grounded</t>
        </is>
      </c>
      <c r="AB2037" s="18" t="inlineStr"/>
      <c r="AC2037" s="18" t="inlineStr"/>
      <c r="AD2037" s="18" t="inlineStr"/>
      <c r="AE2037" s="18" t="inlineStr">
        <is>
          <t>sky 0-7</t>
        </is>
      </c>
      <c r="AF2037" s="18" t="inlineStr"/>
      <c r="AG2037" s="18" t="inlineStr"/>
      <c r="AH2037" s="18" t="inlineStr"/>
      <c r="AI2037" s="18" t="inlineStr"/>
      <c r="AJ2037" s="18" t="inlineStr">
        <is>
          <t>Cobblemon 동일</t>
        </is>
      </c>
      <c r="AK2037" s="18" t="inlineStr">
        <is>
          <t>사용</t>
        </is>
      </c>
      <c r="AL2037" s="18" t="inlineStr">
        <is>
          <t>COBBLEVERSE 1.7.42 / DP v31</t>
        </is>
      </c>
      <c r="AM2037" s="18" t="inlineStr">
        <is>
          <t>data/cobblemon/spawn_pool_world/0595_joltik.json</t>
        </is>
      </c>
      <c r="AN2037" s="18" t="inlineStr">
        <is>
          <t>joltik-3</t>
        </is>
      </c>
      <c r="AO2037" s="18" t="inlineStr">
        <is>
          <t>pokemon</t>
        </is>
      </c>
      <c r="AP2037" s="18" t="inlineStr">
        <is>
          <t>webs; natural</t>
        </is>
      </c>
      <c r="AQ2037" s="18" t="inlineStr">
        <is>
          <t>{"maxSkyLight":7,"minSkyLight":0}</t>
        </is>
      </c>
      <c r="AR2037" s="18" t="inlineStr"/>
      <c r="AS2037" s="18" t="inlineStr"/>
      <c r="AT2037" s="19" t="inlineStr"/>
    </row>
    <row r="2038" ht="32" customHeight="1">
      <c r="A2038" s="18" t="inlineStr">
        <is>
          <t>0595_joltik.json::joltik-4::004</t>
        </is>
      </c>
      <c r="B2038" s="19" t="inlineStr">
        <is>
          <t>사용</t>
        </is>
      </c>
      <c r="C2038" s="18">
        <f>IF(OR(B2038&lt;&gt;AK2038,M2038&lt;&gt;L2038,O2038&lt;&gt;"",Q2038&lt;&gt;"",V2038&lt;&gt;1,Y2038&lt;&gt;"",AT2038&lt;&gt;""),"수정","원본")</f>
        <v/>
      </c>
      <c r="D2038" s="18" t="n">
        <v>595</v>
      </c>
      <c r="E2038" s="18" t="inlineStr">
        <is>
          <t>파쪼옥</t>
        </is>
      </c>
      <c r="F2038" s="18" t="inlineStr">
        <is>
          <t>joltik</t>
        </is>
      </c>
      <c r="G2038" s="18" t="inlineStr">
        <is>
          <t>joltik</t>
        </is>
      </c>
      <c r="H2038" s="18" t="inlineStr"/>
      <c r="I2038" s="18" t="n">
        <v>5</v>
      </c>
      <c r="J2038" s="18" t="n"/>
      <c r="K2038" s="18" t="n">
        <v>5</v>
      </c>
      <c r="L2038" s="18" t="inlineStr">
        <is>
          <t>cobbleventure:generation_5</t>
        </is>
      </c>
      <c r="M2038" s="19" t="inlineStr">
        <is>
          <t>cobbleventure:generation_5</t>
        </is>
      </c>
      <c r="N2038" s="18" t="inlineStr">
        <is>
          <t>region_01; region_02</t>
        </is>
      </c>
      <c r="O2038" s="19" t="inlineStr"/>
      <c r="P2038" s="18" t="inlineStr">
        <is>
          <t>#cobblemon:is_overworld</t>
        </is>
      </c>
      <c r="Q2038" s="19" t="inlineStr"/>
      <c r="R2038" s="18">
        <f>IF(Q2038="",P2038,Q2038)</f>
        <v/>
      </c>
      <c r="S2038" s="18" t="inlineStr"/>
      <c r="T2038" s="18" t="inlineStr">
        <is>
          <t>common</t>
        </is>
      </c>
      <c r="U2038" s="20" t="n">
        <v>1.8</v>
      </c>
      <c r="V2038" s="21" t="n">
        <v>1</v>
      </c>
      <c r="W2038" s="20">
        <f>IF(OR(U2038="",V2038=""),U2038,U2038*V2038)</f>
        <v/>
      </c>
      <c r="X2038" s="18" t="inlineStr">
        <is>
          <t>7-32</t>
        </is>
      </c>
      <c r="Y2038" s="19" t="inlineStr"/>
      <c r="Z2038" s="18">
        <f>IF(Y2038="",X2038,Y2038)</f>
        <v/>
      </c>
      <c r="AA2038" s="18" t="inlineStr">
        <is>
          <t>grounded</t>
        </is>
      </c>
      <c r="AB2038" s="18" t="inlineStr">
        <is>
          <t>night</t>
        </is>
      </c>
      <c r="AC2038" s="18" t="inlineStr"/>
      <c r="AD2038" s="18" t="inlineStr"/>
      <c r="AE2038" s="18" t="inlineStr">
        <is>
          <t>sky 8-15</t>
        </is>
      </c>
      <c r="AF2038" s="18" t="inlineStr"/>
      <c r="AG2038" s="18" t="inlineStr"/>
      <c r="AH2038" s="18" t="inlineStr">
        <is>
          <t>주변=minecraft:lightning_rod</t>
        </is>
      </c>
      <c r="AI2038" s="18" t="inlineStr"/>
      <c r="AJ2038" s="18" t="inlineStr">
        <is>
          <t>Cobblemon 동일</t>
        </is>
      </c>
      <c r="AK2038" s="18" t="inlineStr">
        <is>
          <t>사용</t>
        </is>
      </c>
      <c r="AL2038" s="18" t="inlineStr">
        <is>
          <t>COBBLEVERSE 1.7.42 / DP v31</t>
        </is>
      </c>
      <c r="AM2038" s="18" t="inlineStr">
        <is>
          <t>data/cobblemon/spawn_pool_world/0595_joltik.json</t>
        </is>
      </c>
      <c r="AN2038" s="18" t="inlineStr">
        <is>
          <t>joltik-4</t>
        </is>
      </c>
      <c r="AO2038" s="18" t="inlineStr">
        <is>
          <t>pokemon</t>
        </is>
      </c>
      <c r="AP2038" s="18" t="inlineStr">
        <is>
          <t>natural</t>
        </is>
      </c>
      <c r="AQ2038" s="18" t="inlineStr">
        <is>
          <t>{"biomes":["#cobblemon:is_overworld"],"maxSkyLight":15,"minSkyLight":8,"neededNearbyBlocks":["minecraft:lightning_rod"],"timeRange":"night"}</t>
        </is>
      </c>
      <c r="AR2038" s="18" t="inlineStr"/>
      <c r="AS2038" s="18" t="inlineStr">
        <is>
          <t>{"weightMultiplier":{"condition":{"isThundering":true},"multiplier":5.0}}</t>
        </is>
      </c>
      <c r="AT2038" s="19" t="inlineStr"/>
    </row>
    <row r="2039" ht="32" customHeight="1">
      <c r="A2039" s="18" t="inlineStr">
        <is>
          <t>0596_galvantula.json::galvantula-1::001</t>
        </is>
      </c>
      <c r="B2039" s="19" t="inlineStr">
        <is>
          <t>사용</t>
        </is>
      </c>
      <c r="C2039" s="18">
        <f>IF(OR(B2039&lt;&gt;AK2039,M2039&lt;&gt;L2039,O2039&lt;&gt;"",Q2039&lt;&gt;"",V2039&lt;&gt;1,Y2039&lt;&gt;"",AT2039&lt;&gt;""),"수정","원본")</f>
        <v/>
      </c>
      <c r="D2039" s="18" t="n">
        <v>596</v>
      </c>
      <c r="E2039" s="18" t="inlineStr">
        <is>
          <t>전툴라</t>
        </is>
      </c>
      <c r="F2039" s="18" t="inlineStr">
        <is>
          <t>galvantula</t>
        </is>
      </c>
      <c r="G2039" s="18" t="inlineStr">
        <is>
          <t>galvantula</t>
        </is>
      </c>
      <c r="H2039" s="18" t="inlineStr"/>
      <c r="I2039" s="18" t="n">
        <v>5</v>
      </c>
      <c r="J2039" s="18" t="n"/>
      <c r="K2039" s="18" t="n">
        <v>5</v>
      </c>
      <c r="L2039" s="18" t="inlineStr">
        <is>
          <t>cobbleventure:generation_5</t>
        </is>
      </c>
      <c r="M2039" s="19" t="inlineStr">
        <is>
          <t>cobbleventure:generation_5</t>
        </is>
      </c>
      <c r="N2039" s="18" t="inlineStr"/>
      <c r="O2039" s="19" t="inlineStr"/>
      <c r="P2039" s="18" t="inlineStr">
        <is>
          <t>#cobblemon:is_badlands; #cobblemon:is_jungle; #cobblemon:is_savanna</t>
        </is>
      </c>
      <c r="Q2039" s="19" t="inlineStr"/>
      <c r="R2039" s="18">
        <f>IF(Q2039="",P2039,Q2039)</f>
        <v/>
      </c>
      <c r="S2039" s="18" t="inlineStr"/>
      <c r="T2039" s="18" t="inlineStr">
        <is>
          <t>common</t>
        </is>
      </c>
      <c r="U2039" s="20" t="n">
        <v>0.6</v>
      </c>
      <c r="V2039" s="21" t="n">
        <v>1</v>
      </c>
      <c r="W2039" s="20">
        <f>IF(OR(U2039="",V2039=""),U2039,U2039*V2039)</f>
        <v/>
      </c>
      <c r="X2039" s="18" t="inlineStr">
        <is>
          <t>36-47</t>
        </is>
      </c>
      <c r="Y2039" s="19" t="inlineStr"/>
      <c r="Z2039" s="18">
        <f>IF(Y2039="",X2039,Y2039)</f>
        <v/>
      </c>
      <c r="AA2039" s="18" t="inlineStr">
        <is>
          <t>grounded</t>
        </is>
      </c>
      <c r="AB2039" s="18" t="inlineStr">
        <is>
          <t>night</t>
        </is>
      </c>
      <c r="AC2039" s="18" t="inlineStr"/>
      <c r="AD2039" s="18" t="inlineStr"/>
      <c r="AE2039" s="18" t="inlineStr">
        <is>
          <t>sky 8-15</t>
        </is>
      </c>
      <c r="AF2039" s="18" t="inlineStr"/>
      <c r="AG2039" s="18" t="inlineStr"/>
      <c r="AH2039" s="18" t="inlineStr"/>
      <c r="AI2039" s="18" t="inlineStr"/>
      <c r="AJ2039" s="18" t="inlineStr">
        <is>
          <t>Cobblemon 동일</t>
        </is>
      </c>
      <c r="AK2039" s="18" t="inlineStr">
        <is>
          <t>사용</t>
        </is>
      </c>
      <c r="AL2039" s="18" t="inlineStr">
        <is>
          <t>COBBLEVERSE 1.7.42 / DP v31</t>
        </is>
      </c>
      <c r="AM2039" s="18" t="inlineStr">
        <is>
          <t>data/cobblemon/spawn_pool_world/0596_galvantula.json</t>
        </is>
      </c>
      <c r="AN2039" s="18" t="inlineStr">
        <is>
          <t>galvantula-1</t>
        </is>
      </c>
      <c r="AO2039" s="18" t="inlineStr">
        <is>
          <t>pokemon</t>
        </is>
      </c>
      <c r="AP2039" s="18" t="inlineStr">
        <is>
          <t>natural</t>
        </is>
      </c>
      <c r="AQ2039" s="18" t="inlineStr">
        <is>
          <t>{"biomes":["#cobblemon:is_badlands","#cobblemon:is_jungle","#cobblemon:is_savanna"],"maxSkyLight":15,"minSkyLight":8,"timeRange":"night"}</t>
        </is>
      </c>
      <c r="AR2039" s="18" t="inlineStr"/>
      <c r="AS2039" s="18" t="inlineStr">
        <is>
          <t>{"weightMultiplier":{"condition":{"isThundering":true},"multiplier":5.0}}</t>
        </is>
      </c>
      <c r="AT2039" s="19" t="inlineStr"/>
    </row>
    <row r="2040" ht="32" customHeight="1">
      <c r="A2040" s="18" t="inlineStr">
        <is>
          <t>0596_galvantula.json::galvantula-2::002</t>
        </is>
      </c>
      <c r="B2040" s="19" t="inlineStr">
        <is>
          <t>사용</t>
        </is>
      </c>
      <c r="C2040" s="18">
        <f>IF(OR(B2040&lt;&gt;AK2040,M2040&lt;&gt;L2040,O2040&lt;&gt;"",Q2040&lt;&gt;"",V2040&lt;&gt;1,Y2040&lt;&gt;"",AT2040&lt;&gt;""),"수정","원본")</f>
        <v/>
      </c>
      <c r="D2040" s="18" t="n">
        <v>596</v>
      </c>
      <c r="E2040" s="18" t="inlineStr">
        <is>
          <t>전툴라</t>
        </is>
      </c>
      <c r="F2040" s="18" t="inlineStr">
        <is>
          <t>galvantula</t>
        </is>
      </c>
      <c r="G2040" s="18" t="inlineStr">
        <is>
          <t>galvantula</t>
        </is>
      </c>
      <c r="H2040" s="18" t="inlineStr"/>
      <c r="I2040" s="18" t="n">
        <v>5</v>
      </c>
      <c r="J2040" s="18" t="n"/>
      <c r="K2040" s="18" t="n">
        <v>5</v>
      </c>
      <c r="L2040" s="18" t="inlineStr">
        <is>
          <t>cobbleventure:generation_5</t>
        </is>
      </c>
      <c r="M2040" s="19" t="inlineStr">
        <is>
          <t>cobbleventure:generation_5</t>
        </is>
      </c>
      <c r="N2040" s="18" t="inlineStr">
        <is>
          <t>region_01; region_02</t>
        </is>
      </c>
      <c r="O2040" s="19" t="inlineStr"/>
      <c r="P2040" s="18" t="inlineStr">
        <is>
          <t>#cobblemon:is_overworld</t>
        </is>
      </c>
      <c r="Q2040" s="19" t="inlineStr"/>
      <c r="R2040" s="18">
        <f>IF(Q2040="",P2040,Q2040)</f>
        <v/>
      </c>
      <c r="S2040" s="18" t="inlineStr">
        <is>
          <t>#cobblemon:is_deep_dark</t>
        </is>
      </c>
      <c r="T2040" s="18" t="inlineStr">
        <is>
          <t>common</t>
        </is>
      </c>
      <c r="U2040" s="20" t="n">
        <v>0.6</v>
      </c>
      <c r="V2040" s="21" t="n">
        <v>1</v>
      </c>
      <c r="W2040" s="20">
        <f>IF(OR(U2040="",V2040=""),U2040,U2040*V2040)</f>
        <v/>
      </c>
      <c r="X2040" s="18" t="inlineStr">
        <is>
          <t>36-47</t>
        </is>
      </c>
      <c r="Y2040" s="19" t="inlineStr"/>
      <c r="Z2040" s="18">
        <f>IF(Y2040="",X2040,Y2040)</f>
        <v/>
      </c>
      <c r="AA2040" s="18" t="inlineStr">
        <is>
          <t>grounded</t>
        </is>
      </c>
      <c r="AB2040" s="18" t="inlineStr"/>
      <c r="AC2040" s="18" t="inlineStr"/>
      <c r="AD2040" s="18" t="inlineStr"/>
      <c r="AE2040" s="18" t="inlineStr">
        <is>
          <t>sky 0-7</t>
        </is>
      </c>
      <c r="AF2040" s="18" t="inlineStr"/>
      <c r="AG2040" s="18" t="inlineStr"/>
      <c r="AH2040" s="18" t="inlineStr"/>
      <c r="AI2040" s="18" t="inlineStr"/>
      <c r="AJ2040" s="18" t="inlineStr">
        <is>
          <t>Cobblemon 동일</t>
        </is>
      </c>
      <c r="AK2040" s="18" t="inlineStr">
        <is>
          <t>사용</t>
        </is>
      </c>
      <c r="AL2040" s="18" t="inlineStr">
        <is>
          <t>COBBLEVERSE 1.7.42 / DP v31</t>
        </is>
      </c>
      <c r="AM2040" s="18" t="inlineStr">
        <is>
          <t>data/cobblemon/spawn_pool_world/0596_galvantula.json</t>
        </is>
      </c>
      <c r="AN2040" s="18" t="inlineStr">
        <is>
          <t>galvantula-2</t>
        </is>
      </c>
      <c r="AO2040" s="18" t="inlineStr">
        <is>
          <t>pokemon</t>
        </is>
      </c>
      <c r="AP2040" s="18" t="inlineStr">
        <is>
          <t>natural</t>
        </is>
      </c>
      <c r="AQ2040" s="18" t="inlineStr">
        <is>
          <t>{"biomes":["#cobblemon:is_overworld"],"maxSkyLight":7,"minSkyLight":0}</t>
        </is>
      </c>
      <c r="AR2040" s="18" t="inlineStr">
        <is>
          <t>{"biomes":["#cobblemon:is_deep_dark"]}</t>
        </is>
      </c>
      <c r="AS2040" s="18" t="inlineStr"/>
      <c r="AT2040" s="19" t="inlineStr"/>
    </row>
    <row r="2041" ht="32" customHeight="1">
      <c r="A2041" s="18" t="inlineStr">
        <is>
          <t>0596_galvantula.json::galvantula-3::003</t>
        </is>
      </c>
      <c r="B2041" s="19" t="inlineStr">
        <is>
          <t>사용</t>
        </is>
      </c>
      <c r="C2041" s="18">
        <f>IF(OR(B2041&lt;&gt;AK2041,M2041&lt;&gt;L2041,O2041&lt;&gt;"",Q2041&lt;&gt;"",V2041&lt;&gt;1,Y2041&lt;&gt;"",AT2041&lt;&gt;""),"수정","원본")</f>
        <v/>
      </c>
      <c r="D2041" s="18" t="n">
        <v>596</v>
      </c>
      <c r="E2041" s="18" t="inlineStr">
        <is>
          <t>전툴라</t>
        </is>
      </c>
      <c r="F2041" s="18" t="inlineStr">
        <is>
          <t>galvantula</t>
        </is>
      </c>
      <c r="G2041" s="18" t="inlineStr">
        <is>
          <t>galvantula</t>
        </is>
      </c>
      <c r="H2041" s="18" t="inlineStr"/>
      <c r="I2041" s="18" t="n">
        <v>5</v>
      </c>
      <c r="J2041" s="18" t="n"/>
      <c r="K2041" s="18" t="n">
        <v>5</v>
      </c>
      <c r="L2041" s="18" t="inlineStr">
        <is>
          <t>cobbleventure:generation_5</t>
        </is>
      </c>
      <c r="M2041" s="19" t="inlineStr">
        <is>
          <t>cobbleventure:generation_5</t>
        </is>
      </c>
      <c r="N2041" s="18" t="inlineStr">
        <is>
          <t>region_01; region_02</t>
        </is>
      </c>
      <c r="O2041" s="19" t="inlineStr"/>
      <c r="P2041" s="18" t="inlineStr"/>
      <c r="Q2041" s="19" t="inlineStr"/>
      <c r="R2041" s="18">
        <f>IF(Q2041="",P2041,Q2041)</f>
        <v/>
      </c>
      <c r="S2041" s="18" t="inlineStr"/>
      <c r="T2041" s="18" t="inlineStr">
        <is>
          <t>common</t>
        </is>
      </c>
      <c r="U2041" s="20" t="n">
        <v>1</v>
      </c>
      <c r="V2041" s="21" t="n">
        <v>1</v>
      </c>
      <c r="W2041" s="20">
        <f>IF(OR(U2041="",V2041=""),U2041,U2041*V2041)</f>
        <v/>
      </c>
      <c r="X2041" s="18" t="inlineStr">
        <is>
          <t>36-47</t>
        </is>
      </c>
      <c r="Y2041" s="19" t="inlineStr"/>
      <c r="Z2041" s="18">
        <f>IF(Y2041="",X2041,Y2041)</f>
        <v/>
      </c>
      <c r="AA2041" s="18" t="inlineStr">
        <is>
          <t>grounded</t>
        </is>
      </c>
      <c r="AB2041" s="18" t="inlineStr"/>
      <c r="AC2041" s="18" t="inlineStr"/>
      <c r="AD2041" s="18" t="inlineStr"/>
      <c r="AE2041" s="18" t="inlineStr">
        <is>
          <t>sky 0-7</t>
        </is>
      </c>
      <c r="AF2041" s="18" t="inlineStr"/>
      <c r="AG2041" s="18" t="inlineStr"/>
      <c r="AH2041" s="18" t="inlineStr"/>
      <c r="AI2041" s="18" t="inlineStr"/>
      <c r="AJ2041" s="18" t="inlineStr">
        <is>
          <t>Cobblemon 동일</t>
        </is>
      </c>
      <c r="AK2041" s="18" t="inlineStr">
        <is>
          <t>사용</t>
        </is>
      </c>
      <c r="AL2041" s="18" t="inlineStr">
        <is>
          <t>COBBLEVERSE 1.7.42 / DP v31</t>
        </is>
      </c>
      <c r="AM2041" s="18" t="inlineStr">
        <is>
          <t>data/cobblemon/spawn_pool_world/0596_galvantula.json</t>
        </is>
      </c>
      <c r="AN2041" s="18" t="inlineStr">
        <is>
          <t>galvantula-3</t>
        </is>
      </c>
      <c r="AO2041" s="18" t="inlineStr">
        <is>
          <t>pokemon</t>
        </is>
      </c>
      <c r="AP2041" s="18" t="inlineStr">
        <is>
          <t>webs; natural</t>
        </is>
      </c>
      <c r="AQ2041" s="18" t="inlineStr">
        <is>
          <t>{"maxSkyLight":7,"minSkyLight":0}</t>
        </is>
      </c>
      <c r="AR2041" s="18" t="inlineStr"/>
      <c r="AS2041" s="18" t="inlineStr"/>
      <c r="AT2041" s="19" t="inlineStr"/>
    </row>
    <row r="2042" ht="32" customHeight="1">
      <c r="A2042" s="18" t="inlineStr">
        <is>
          <t>0596_galvantula.json::galvantula-4::004</t>
        </is>
      </c>
      <c r="B2042" s="19" t="inlineStr">
        <is>
          <t>사용</t>
        </is>
      </c>
      <c r="C2042" s="18">
        <f>IF(OR(B2042&lt;&gt;AK2042,M2042&lt;&gt;L2042,O2042&lt;&gt;"",Q2042&lt;&gt;"",V2042&lt;&gt;1,Y2042&lt;&gt;"",AT2042&lt;&gt;""),"수정","원본")</f>
        <v/>
      </c>
      <c r="D2042" s="18" t="n">
        <v>596</v>
      </c>
      <c r="E2042" s="18" t="inlineStr">
        <is>
          <t>전툴라</t>
        </is>
      </c>
      <c r="F2042" s="18" t="inlineStr">
        <is>
          <t>galvantula</t>
        </is>
      </c>
      <c r="G2042" s="18" t="inlineStr">
        <is>
          <t>galvantula</t>
        </is>
      </c>
      <c r="H2042" s="18" t="inlineStr"/>
      <c r="I2042" s="18" t="n">
        <v>5</v>
      </c>
      <c r="J2042" s="18" t="n"/>
      <c r="K2042" s="18" t="n">
        <v>5</v>
      </c>
      <c r="L2042" s="18" t="inlineStr">
        <is>
          <t>cobbleventure:generation_5</t>
        </is>
      </c>
      <c r="M2042" s="19" t="inlineStr">
        <is>
          <t>cobbleventure:generation_5</t>
        </is>
      </c>
      <c r="N2042" s="18" t="inlineStr">
        <is>
          <t>region_01; region_02</t>
        </is>
      </c>
      <c r="O2042" s="19" t="inlineStr"/>
      <c r="P2042" s="18" t="inlineStr">
        <is>
          <t>#cobblemon:is_overworld</t>
        </is>
      </c>
      <c r="Q2042" s="19" t="inlineStr"/>
      <c r="R2042" s="18">
        <f>IF(Q2042="",P2042,Q2042)</f>
        <v/>
      </c>
      <c r="S2042" s="18" t="inlineStr"/>
      <c r="T2042" s="18" t="inlineStr">
        <is>
          <t>common</t>
        </is>
      </c>
      <c r="U2042" s="20" t="n">
        <v>0.2</v>
      </c>
      <c r="V2042" s="21" t="n">
        <v>1</v>
      </c>
      <c r="W2042" s="20">
        <f>IF(OR(U2042="",V2042=""),U2042,U2042*V2042)</f>
        <v/>
      </c>
      <c r="X2042" s="18" t="inlineStr">
        <is>
          <t>36-47</t>
        </is>
      </c>
      <c r="Y2042" s="19" t="inlineStr"/>
      <c r="Z2042" s="18">
        <f>IF(Y2042="",X2042,Y2042)</f>
        <v/>
      </c>
      <c r="AA2042" s="18" t="inlineStr">
        <is>
          <t>grounded</t>
        </is>
      </c>
      <c r="AB2042" s="18" t="inlineStr">
        <is>
          <t>night</t>
        </is>
      </c>
      <c r="AC2042" s="18" t="inlineStr"/>
      <c r="AD2042" s="18" t="inlineStr"/>
      <c r="AE2042" s="18" t="inlineStr">
        <is>
          <t>sky 8-15</t>
        </is>
      </c>
      <c r="AF2042" s="18" t="inlineStr"/>
      <c r="AG2042" s="18" t="inlineStr"/>
      <c r="AH2042" s="18" t="inlineStr">
        <is>
          <t>주변=minecraft:lightning_rod</t>
        </is>
      </c>
      <c r="AI2042" s="18" t="inlineStr"/>
      <c r="AJ2042" s="18" t="inlineStr">
        <is>
          <t>Cobblemon 동일</t>
        </is>
      </c>
      <c r="AK2042" s="18" t="inlineStr">
        <is>
          <t>사용</t>
        </is>
      </c>
      <c r="AL2042" s="18" t="inlineStr">
        <is>
          <t>COBBLEVERSE 1.7.42 / DP v31</t>
        </is>
      </c>
      <c r="AM2042" s="18" t="inlineStr">
        <is>
          <t>data/cobblemon/spawn_pool_world/0596_galvantula.json</t>
        </is>
      </c>
      <c r="AN2042" s="18" t="inlineStr">
        <is>
          <t>galvantula-4</t>
        </is>
      </c>
      <c r="AO2042" s="18" t="inlineStr">
        <is>
          <t>pokemon</t>
        </is>
      </c>
      <c r="AP2042" s="18" t="inlineStr">
        <is>
          <t>natural</t>
        </is>
      </c>
      <c r="AQ2042" s="18" t="inlineStr">
        <is>
          <t>{"biomes":["#cobblemon:is_overworld"],"maxSkyLight":15,"minSkyLight":8,"neededNearbyBlocks":["minecraft:lightning_rod"],"timeRange":"night"}</t>
        </is>
      </c>
      <c r="AR2042" s="18" t="inlineStr"/>
      <c r="AS2042" s="18" t="inlineStr">
        <is>
          <t>{"weightMultiplier":{"condition":{"isThundering":true},"multiplier":5.0}}</t>
        </is>
      </c>
      <c r="AT2042" s="19" t="inlineStr"/>
    </row>
    <row r="2043" ht="32" customHeight="1">
      <c r="A2043" s="18" t="inlineStr">
        <is>
          <t>0597_ferroseed.json::ferroseed-1::001</t>
        </is>
      </c>
      <c r="B2043" s="19" t="inlineStr">
        <is>
          <t>사용</t>
        </is>
      </c>
      <c r="C2043" s="18">
        <f>IF(OR(B2043&lt;&gt;AK2043,M2043&lt;&gt;L2043,O2043&lt;&gt;"",Q2043&lt;&gt;"",V2043&lt;&gt;1,Y2043&lt;&gt;"",AT2043&lt;&gt;""),"수정","원본")</f>
        <v/>
      </c>
      <c r="D2043" s="18" t="n">
        <v>597</v>
      </c>
      <c r="E2043" s="18" t="inlineStr">
        <is>
          <t>철시드</t>
        </is>
      </c>
      <c r="F2043" s="18" t="inlineStr">
        <is>
          <t>ferroseed</t>
        </is>
      </c>
      <c r="G2043" s="18" t="inlineStr">
        <is>
          <t>ferroseed</t>
        </is>
      </c>
      <c r="H2043" s="18" t="inlineStr"/>
      <c r="I2043" s="18" t="n">
        <v>5</v>
      </c>
      <c r="J2043" s="18" t="n"/>
      <c r="K2043" s="18" t="n">
        <v>5</v>
      </c>
      <c r="L2043" s="18" t="inlineStr">
        <is>
          <t>cobbleventure:generation_5</t>
        </is>
      </c>
      <c r="M2043" s="19" t="inlineStr">
        <is>
          <t>cobbleventure:generation_5</t>
        </is>
      </c>
      <c r="N2043" s="18" t="inlineStr"/>
      <c r="O2043" s="19" t="inlineStr"/>
      <c r="P2043" s="18" t="inlineStr">
        <is>
          <t>#cobblemon:is_lush</t>
        </is>
      </c>
      <c r="Q2043" s="19" t="inlineStr"/>
      <c r="R2043" s="18">
        <f>IF(Q2043="",P2043,Q2043)</f>
        <v/>
      </c>
      <c r="S2043" s="18" t="inlineStr"/>
      <c r="T2043" s="18" t="inlineStr">
        <is>
          <t>common</t>
        </is>
      </c>
      <c r="U2043" s="20" t="n">
        <v>9</v>
      </c>
      <c r="V2043" s="21" t="n">
        <v>1</v>
      </c>
      <c r="W2043" s="20">
        <f>IF(OR(U2043="",V2043=""),U2043,U2043*V2043)</f>
        <v/>
      </c>
      <c r="X2043" s="18" t="inlineStr">
        <is>
          <t>6-31</t>
        </is>
      </c>
      <c r="Y2043" s="19" t="inlineStr"/>
      <c r="Z2043" s="18">
        <f>IF(Y2043="",X2043,Y2043)</f>
        <v/>
      </c>
      <c r="AA2043" s="18" t="inlineStr">
        <is>
          <t>grounded</t>
        </is>
      </c>
      <c r="AB2043" s="18" t="inlineStr"/>
      <c r="AC2043" s="18" t="inlineStr"/>
      <c r="AD2043" s="18" t="inlineStr"/>
      <c r="AE2043" s="18" t="inlineStr"/>
      <c r="AF2043" s="18" t="inlineStr"/>
      <c r="AG2043" s="18" t="inlineStr"/>
      <c r="AH2043" s="18" t="inlineStr"/>
      <c r="AI2043" s="18" t="inlineStr"/>
      <c r="AJ2043" s="18" t="inlineStr">
        <is>
          <t>COBBLEVERSE 수정</t>
        </is>
      </c>
      <c r="AK2043" s="18" t="inlineStr">
        <is>
          <t>사용</t>
        </is>
      </c>
      <c r="AL2043" s="18" t="inlineStr">
        <is>
          <t>COBBLEVERSE 1.7.42 / DP v31</t>
        </is>
      </c>
      <c r="AM2043" s="18" t="inlineStr">
        <is>
          <t>data/cobblemon/spawn_pool_world/0597_ferroseed.json</t>
        </is>
      </c>
      <c r="AN2043" s="18" t="inlineStr">
        <is>
          <t>ferroseed-1</t>
        </is>
      </c>
      <c r="AO2043" s="18" t="inlineStr">
        <is>
          <t>pokemon</t>
        </is>
      </c>
      <c r="AP2043" s="18" t="inlineStr">
        <is>
          <t>natural</t>
        </is>
      </c>
      <c r="AQ2043" s="18" t="inlineStr">
        <is>
          <t>{"biomes":["#cobblemon:is_lush"]}</t>
        </is>
      </c>
      <c r="AR2043" s="18" t="inlineStr">
        <is>
          <t>{"maxY":9,"minY":-41,"structures":["cobblemon:shipwreck_coves/lush_shipwreck_cove"]}</t>
        </is>
      </c>
      <c r="AS2043" s="18" t="inlineStr"/>
      <c r="AT2043" s="19" t="inlineStr"/>
    </row>
    <row r="2044" ht="32" customHeight="1">
      <c r="A2044" s="18" t="inlineStr">
        <is>
          <t>0597_ferroseed.json::ferroseed-2::002</t>
        </is>
      </c>
      <c r="B2044" s="19" t="inlineStr">
        <is>
          <t>사용</t>
        </is>
      </c>
      <c r="C2044" s="18">
        <f>IF(OR(B2044&lt;&gt;AK2044,M2044&lt;&gt;L2044,O2044&lt;&gt;"",Q2044&lt;&gt;"",V2044&lt;&gt;1,Y2044&lt;&gt;"",AT2044&lt;&gt;""),"수정","원본")</f>
        <v/>
      </c>
      <c r="D2044" s="18" t="n">
        <v>597</v>
      </c>
      <c r="E2044" s="18" t="inlineStr">
        <is>
          <t>철시드</t>
        </is>
      </c>
      <c r="F2044" s="18" t="inlineStr">
        <is>
          <t>ferroseed</t>
        </is>
      </c>
      <c r="G2044" s="18" t="inlineStr">
        <is>
          <t>ferroseed</t>
        </is>
      </c>
      <c r="H2044" s="18" t="inlineStr"/>
      <c r="I2044" s="18" t="n">
        <v>5</v>
      </c>
      <c r="J2044" s="18" t="n"/>
      <c r="K2044" s="18" t="n">
        <v>5</v>
      </c>
      <c r="L2044" s="18" t="inlineStr">
        <is>
          <t>cobbleventure:generation_5</t>
        </is>
      </c>
      <c r="M2044" s="19" t="inlineStr">
        <is>
          <t>cobbleventure:generation_5</t>
        </is>
      </c>
      <c r="N2044" s="18" t="inlineStr">
        <is>
          <t>region_01; region_02</t>
        </is>
      </c>
      <c r="O2044" s="19" t="inlineStr"/>
      <c r="P2044" s="18" t="inlineStr">
        <is>
          <t>#cobblemon:is_overworld</t>
        </is>
      </c>
      <c r="Q2044" s="19" t="inlineStr"/>
      <c r="R2044" s="18">
        <f>IF(Q2044="",P2044,Q2044)</f>
        <v/>
      </c>
      <c r="S2044" s="18" t="inlineStr">
        <is>
          <t>#cobblemon:is_lush</t>
        </is>
      </c>
      <c r="T2044" s="18" t="inlineStr">
        <is>
          <t>common</t>
        </is>
      </c>
      <c r="U2044" s="20" t="n">
        <v>9</v>
      </c>
      <c r="V2044" s="21" t="n">
        <v>1</v>
      </c>
      <c r="W2044" s="20">
        <f>IF(OR(U2044="",V2044=""),U2044,U2044*V2044)</f>
        <v/>
      </c>
      <c r="X2044" s="18" t="inlineStr">
        <is>
          <t>6-31</t>
        </is>
      </c>
      <c r="Y2044" s="19" t="inlineStr"/>
      <c r="Z2044" s="18">
        <f>IF(Y2044="",X2044,Y2044)</f>
        <v/>
      </c>
      <c r="AA2044" s="18" t="inlineStr">
        <is>
          <t>grounded</t>
        </is>
      </c>
      <c r="AB2044" s="18" t="inlineStr"/>
      <c r="AC2044" s="18" t="inlineStr"/>
      <c r="AD2044" s="18" t="inlineStr">
        <is>
          <t>minY=-41, maxY=9</t>
        </is>
      </c>
      <c r="AE2044" s="18" t="inlineStr">
        <is>
          <t>sky 0-7</t>
        </is>
      </c>
      <c r="AF2044" s="18" t="inlineStr"/>
      <c r="AG2044" s="18" t="inlineStr">
        <is>
          <t>cobblemon:shipwreck_coves/lush_shipwreck_cove</t>
        </is>
      </c>
      <c r="AH2044" s="18" t="inlineStr"/>
      <c r="AI2044" s="18" t="inlineStr"/>
      <c r="AJ2044" s="18" t="inlineStr">
        <is>
          <t>COBBLEVERSE 수정</t>
        </is>
      </c>
      <c r="AK2044" s="18" t="inlineStr">
        <is>
          <t>사용</t>
        </is>
      </c>
      <c r="AL2044" s="18" t="inlineStr">
        <is>
          <t>COBBLEVERSE 1.7.42 / DP v31</t>
        </is>
      </c>
      <c r="AM2044" s="18" t="inlineStr">
        <is>
          <t>data/cobblemon/spawn_pool_world/0597_ferroseed.json</t>
        </is>
      </c>
      <c r="AN2044" s="18" t="inlineStr">
        <is>
          <t>ferroseed-2</t>
        </is>
      </c>
      <c r="AO2044" s="18" t="inlineStr">
        <is>
          <t>pokemon</t>
        </is>
      </c>
      <c r="AP2044" s="18" t="inlineStr">
        <is>
          <t>natural</t>
        </is>
      </c>
      <c r="AQ2044" s="18" t="inlineStr">
        <is>
          <t>{"biomes":["#cobblemon:is_overworld"],"maxSkyLight":7,"maxY":9,"minSkyLight":0,"minY":-41,"structures":["cobblemon:shipwreck_coves/lush_shipwreck_cove"]}</t>
        </is>
      </c>
      <c r="AR2044" s="18" t="inlineStr">
        <is>
          <t>{"biomes":["#cobblemon:is_lush"]}</t>
        </is>
      </c>
      <c r="AS2044" s="18" t="inlineStr"/>
      <c r="AT2044" s="19" t="inlineStr"/>
    </row>
    <row r="2045" ht="32" customHeight="1">
      <c r="A2045" s="18" t="inlineStr">
        <is>
          <t>0598_ferrothorn.json::ferrothorn-1::001</t>
        </is>
      </c>
      <c r="B2045" s="19" t="inlineStr">
        <is>
          <t>사용</t>
        </is>
      </c>
      <c r="C2045" s="18">
        <f>IF(OR(B2045&lt;&gt;AK2045,M2045&lt;&gt;L2045,O2045&lt;&gt;"",Q2045&lt;&gt;"",V2045&lt;&gt;1,Y2045&lt;&gt;"",AT2045&lt;&gt;""),"수정","원본")</f>
        <v/>
      </c>
      <c r="D2045" s="18" t="n">
        <v>598</v>
      </c>
      <c r="E2045" s="18" t="inlineStr">
        <is>
          <t>너트령</t>
        </is>
      </c>
      <c r="F2045" s="18" t="inlineStr">
        <is>
          <t>ferrothorn</t>
        </is>
      </c>
      <c r="G2045" s="18" t="inlineStr">
        <is>
          <t>ferrothorn</t>
        </is>
      </c>
      <c r="H2045" s="18" t="inlineStr"/>
      <c r="I2045" s="18" t="n">
        <v>5</v>
      </c>
      <c r="J2045" s="18" t="n"/>
      <c r="K2045" s="18" t="n">
        <v>5</v>
      </c>
      <c r="L2045" s="18" t="inlineStr">
        <is>
          <t>cobbleventure:generation_5</t>
        </is>
      </c>
      <c r="M2045" s="19" t="inlineStr">
        <is>
          <t>cobbleventure:generation_5</t>
        </is>
      </c>
      <c r="N2045" s="18" t="inlineStr"/>
      <c r="O2045" s="19" t="inlineStr"/>
      <c r="P2045" s="18" t="inlineStr">
        <is>
          <t>#cobblemon:is_lush</t>
        </is>
      </c>
      <c r="Q2045" s="19" t="inlineStr"/>
      <c r="R2045" s="18">
        <f>IF(Q2045="",P2045,Q2045)</f>
        <v/>
      </c>
      <c r="S2045" s="18" t="inlineStr"/>
      <c r="T2045" s="18" t="inlineStr">
        <is>
          <t>common</t>
        </is>
      </c>
      <c r="U2045" s="20" t="n">
        <v>1</v>
      </c>
      <c r="V2045" s="21" t="n">
        <v>1</v>
      </c>
      <c r="W2045" s="20">
        <f>IF(OR(U2045="",V2045=""),U2045,U2045*V2045)</f>
        <v/>
      </c>
      <c r="X2045" s="18" t="inlineStr">
        <is>
          <t>40-49</t>
        </is>
      </c>
      <c r="Y2045" s="19" t="inlineStr"/>
      <c r="Z2045" s="18">
        <f>IF(Y2045="",X2045,Y2045)</f>
        <v/>
      </c>
      <c r="AA2045" s="18" t="inlineStr">
        <is>
          <t>grounded</t>
        </is>
      </c>
      <c r="AB2045" s="18" t="inlineStr"/>
      <c r="AC2045" s="18" t="inlineStr"/>
      <c r="AD2045" s="18" t="inlineStr"/>
      <c r="AE2045" s="18" t="inlineStr"/>
      <c r="AF2045" s="18" t="inlineStr"/>
      <c r="AG2045" s="18" t="inlineStr"/>
      <c r="AH2045" s="18" t="inlineStr"/>
      <c r="AI2045" s="18" t="inlineStr"/>
      <c r="AJ2045" s="18" t="inlineStr">
        <is>
          <t>COBBLEVERSE 수정</t>
        </is>
      </c>
      <c r="AK2045" s="18" t="inlineStr">
        <is>
          <t>사용</t>
        </is>
      </c>
      <c r="AL2045" s="18" t="inlineStr">
        <is>
          <t>COBBLEVERSE 1.7.42 / DP v31</t>
        </is>
      </c>
      <c r="AM2045" s="18" t="inlineStr">
        <is>
          <t>data/cobblemon/spawn_pool_world/0598_ferrothorn.json</t>
        </is>
      </c>
      <c r="AN2045" s="18" t="inlineStr">
        <is>
          <t>ferrothorn-1</t>
        </is>
      </c>
      <c r="AO2045" s="18" t="inlineStr">
        <is>
          <t>pokemon</t>
        </is>
      </c>
      <c r="AP2045" s="18" t="inlineStr">
        <is>
          <t>natural</t>
        </is>
      </c>
      <c r="AQ2045" s="18" t="inlineStr">
        <is>
          <t>{"biomes":["#cobblemon:is_lush"]}</t>
        </is>
      </c>
      <c r="AR2045" s="18" t="inlineStr">
        <is>
          <t>{"maxY":9,"minY":-41,"structures":["cobblemon:shipwreck_coves/lush_shipwreck_cove"]}</t>
        </is>
      </c>
      <c r="AS2045" s="18" t="inlineStr"/>
      <c r="AT2045" s="19" t="inlineStr"/>
    </row>
    <row r="2046" ht="32" customHeight="1">
      <c r="A2046" s="18" t="inlineStr">
        <is>
          <t>0598_ferrothorn.json::ferrothorn-2::002</t>
        </is>
      </c>
      <c r="B2046" s="19" t="inlineStr">
        <is>
          <t>사용</t>
        </is>
      </c>
      <c r="C2046" s="18">
        <f>IF(OR(B2046&lt;&gt;AK2046,M2046&lt;&gt;L2046,O2046&lt;&gt;"",Q2046&lt;&gt;"",V2046&lt;&gt;1,Y2046&lt;&gt;"",AT2046&lt;&gt;""),"수정","원본")</f>
        <v/>
      </c>
      <c r="D2046" s="18" t="n">
        <v>598</v>
      </c>
      <c r="E2046" s="18" t="inlineStr">
        <is>
          <t>너트령</t>
        </is>
      </c>
      <c r="F2046" s="18" t="inlineStr">
        <is>
          <t>ferrothorn</t>
        </is>
      </c>
      <c r="G2046" s="18" t="inlineStr">
        <is>
          <t>ferrothorn</t>
        </is>
      </c>
      <c r="H2046" s="18" t="inlineStr"/>
      <c r="I2046" s="18" t="n">
        <v>5</v>
      </c>
      <c r="J2046" s="18" t="n"/>
      <c r="K2046" s="18" t="n">
        <v>5</v>
      </c>
      <c r="L2046" s="18" t="inlineStr">
        <is>
          <t>cobbleventure:generation_5</t>
        </is>
      </c>
      <c r="M2046" s="19" t="inlineStr">
        <is>
          <t>cobbleventure:generation_5</t>
        </is>
      </c>
      <c r="N2046" s="18" t="inlineStr">
        <is>
          <t>region_01; region_02</t>
        </is>
      </c>
      <c r="O2046" s="19" t="inlineStr"/>
      <c r="P2046" s="18" t="inlineStr">
        <is>
          <t>#cobblemon:is_overworld</t>
        </is>
      </c>
      <c r="Q2046" s="19" t="inlineStr"/>
      <c r="R2046" s="18">
        <f>IF(Q2046="",P2046,Q2046)</f>
        <v/>
      </c>
      <c r="S2046" s="18" t="inlineStr">
        <is>
          <t>#cobblemon:is_lush</t>
        </is>
      </c>
      <c r="T2046" s="18" t="inlineStr">
        <is>
          <t>common</t>
        </is>
      </c>
      <c r="U2046" s="20" t="n">
        <v>1</v>
      </c>
      <c r="V2046" s="21" t="n">
        <v>1</v>
      </c>
      <c r="W2046" s="20">
        <f>IF(OR(U2046="",V2046=""),U2046,U2046*V2046)</f>
        <v/>
      </c>
      <c r="X2046" s="18" t="inlineStr">
        <is>
          <t>40-49</t>
        </is>
      </c>
      <c r="Y2046" s="19" t="inlineStr"/>
      <c r="Z2046" s="18">
        <f>IF(Y2046="",X2046,Y2046)</f>
        <v/>
      </c>
      <c r="AA2046" s="18" t="inlineStr">
        <is>
          <t>grounded</t>
        </is>
      </c>
      <c r="AB2046" s="18" t="inlineStr"/>
      <c r="AC2046" s="18" t="inlineStr"/>
      <c r="AD2046" s="18" t="inlineStr">
        <is>
          <t>minY=-41, maxY=9</t>
        </is>
      </c>
      <c r="AE2046" s="18" t="inlineStr">
        <is>
          <t>sky 0-7</t>
        </is>
      </c>
      <c r="AF2046" s="18" t="inlineStr"/>
      <c r="AG2046" s="18" t="inlineStr">
        <is>
          <t>cobblemon:shipwreck_coves/lush_shipwreck_cove</t>
        </is>
      </c>
      <c r="AH2046" s="18" t="inlineStr"/>
      <c r="AI2046" s="18" t="inlineStr"/>
      <c r="AJ2046" s="18" t="inlineStr">
        <is>
          <t>COBBLEVERSE 수정</t>
        </is>
      </c>
      <c r="AK2046" s="18" t="inlineStr">
        <is>
          <t>사용</t>
        </is>
      </c>
      <c r="AL2046" s="18" t="inlineStr">
        <is>
          <t>COBBLEVERSE 1.7.42 / DP v31</t>
        </is>
      </c>
      <c r="AM2046" s="18" t="inlineStr">
        <is>
          <t>data/cobblemon/spawn_pool_world/0598_ferrothorn.json</t>
        </is>
      </c>
      <c r="AN2046" s="18" t="inlineStr">
        <is>
          <t>ferrothorn-2</t>
        </is>
      </c>
      <c r="AO2046" s="18" t="inlineStr">
        <is>
          <t>pokemon</t>
        </is>
      </c>
      <c r="AP2046" s="18" t="inlineStr">
        <is>
          <t>natural</t>
        </is>
      </c>
      <c r="AQ2046" s="18" t="inlineStr">
        <is>
          <t>{"biomes":["#cobblemon:is_overworld"],"maxSkyLight":7,"maxY":9,"minSkyLight":0,"minY":-41,"structures":["cobblemon:shipwreck_coves/lush_shipwreck_cove"]}</t>
        </is>
      </c>
      <c r="AR2046" s="18" t="inlineStr">
        <is>
          <t>{"biomes":["#cobblemon:is_lush"]}</t>
        </is>
      </c>
      <c r="AS2046" s="18" t="inlineStr"/>
      <c r="AT2046" s="19" t="inlineStr"/>
    </row>
    <row r="2047" ht="32" customHeight="1">
      <c r="A2047" s="18" t="inlineStr">
        <is>
          <t>0599_klink.json::klink-1::001</t>
        </is>
      </c>
      <c r="B2047" s="19" t="inlineStr">
        <is>
          <t>사용</t>
        </is>
      </c>
      <c r="C2047" s="18">
        <f>IF(OR(B2047&lt;&gt;AK2047,M2047&lt;&gt;L2047,O2047&lt;&gt;"",Q2047&lt;&gt;"",V2047&lt;&gt;1,Y2047&lt;&gt;"",AT2047&lt;&gt;""),"수정","원본")</f>
        <v/>
      </c>
      <c r="D2047" s="18" t="n">
        <v>599</v>
      </c>
      <c r="E2047" s="18" t="inlineStr">
        <is>
          <t>기어르</t>
        </is>
      </c>
      <c r="F2047" s="18" t="inlineStr">
        <is>
          <t>klink</t>
        </is>
      </c>
      <c r="G2047" s="18" t="inlineStr">
        <is>
          <t>klink</t>
        </is>
      </c>
      <c r="H2047" s="18" t="inlineStr"/>
      <c r="I2047" s="18" t="n">
        <v>5</v>
      </c>
      <c r="J2047" s="18" t="n"/>
      <c r="K2047" s="18" t="n">
        <v>5</v>
      </c>
      <c r="L2047" s="18" t="inlineStr">
        <is>
          <t>cobbleventure:generation_5</t>
        </is>
      </c>
      <c r="M2047" s="19" t="inlineStr">
        <is>
          <t>cobbleventure:generation_5</t>
        </is>
      </c>
      <c r="N2047" s="18" t="inlineStr"/>
      <c r="O2047" s="19" t="inlineStr"/>
      <c r="P2047" s="18" t="inlineStr">
        <is>
          <t>#cobblemon:is_badlands</t>
        </is>
      </c>
      <c r="Q2047" s="19" t="inlineStr"/>
      <c r="R2047" s="18">
        <f>IF(Q2047="",P2047,Q2047)</f>
        <v/>
      </c>
      <c r="S2047" s="18" t="inlineStr"/>
      <c r="T2047" s="18" t="inlineStr">
        <is>
          <t>common</t>
        </is>
      </c>
      <c r="U2047" s="20" t="n">
        <v>9</v>
      </c>
      <c r="V2047" s="21" t="n">
        <v>1</v>
      </c>
      <c r="W2047" s="20">
        <f>IF(OR(U2047="",V2047=""),U2047,U2047*V2047)</f>
        <v/>
      </c>
      <c r="X2047" s="18" t="inlineStr">
        <is>
          <t>5-30</t>
        </is>
      </c>
      <c r="Y2047" s="19" t="inlineStr"/>
      <c r="Z2047" s="18">
        <f>IF(Y2047="",X2047,Y2047)</f>
        <v/>
      </c>
      <c r="AA2047" s="18" t="inlineStr">
        <is>
          <t>grounded</t>
        </is>
      </c>
      <c r="AB2047" s="18" t="inlineStr"/>
      <c r="AC2047" s="18" t="inlineStr"/>
      <c r="AD2047" s="18" t="inlineStr"/>
      <c r="AE2047" s="18" t="inlineStr"/>
      <c r="AF2047" s="18" t="inlineStr"/>
      <c r="AG2047" s="18" t="inlineStr"/>
      <c r="AH2047" s="18" t="inlineStr"/>
      <c r="AI2047" s="18" t="inlineStr"/>
      <c r="AJ2047" s="18" t="inlineStr">
        <is>
          <t>COBBLEVERSE 수정</t>
        </is>
      </c>
      <c r="AK2047" s="18" t="inlineStr">
        <is>
          <t>사용</t>
        </is>
      </c>
      <c r="AL2047" s="18" t="inlineStr">
        <is>
          <t>COBBLEVERSE 1.7.42 / DP v31</t>
        </is>
      </c>
      <c r="AM2047" s="18" t="inlineStr">
        <is>
          <t>data/cobblemon/spawn_pool_world/0599_klink.json</t>
        </is>
      </c>
      <c r="AN2047" s="18" t="inlineStr">
        <is>
          <t>klink-1</t>
        </is>
      </c>
      <c r="AO2047" s="18" t="inlineStr">
        <is>
          <t>pokemon</t>
        </is>
      </c>
      <c r="AP2047" s="18" t="inlineStr">
        <is>
          <t>natural</t>
        </is>
      </c>
      <c r="AQ2047" s="18" t="inlineStr">
        <is>
          <t>{"biomes":["#cobblemon:is_badlands"]}</t>
        </is>
      </c>
      <c r="AR2047" s="18" t="inlineStr"/>
      <c r="AS2047" s="18" t="inlineStr"/>
      <c r="AT2047" s="19" t="inlineStr"/>
    </row>
    <row r="2048" ht="32" customHeight="1">
      <c r="A2048" s="18" t="inlineStr">
        <is>
          <t>0599_klink.json::klink-2::002</t>
        </is>
      </c>
      <c r="B2048" s="19" t="inlineStr">
        <is>
          <t>사용</t>
        </is>
      </c>
      <c r="C2048" s="18">
        <f>IF(OR(B2048&lt;&gt;AK2048,M2048&lt;&gt;L2048,O2048&lt;&gt;"",Q2048&lt;&gt;"",V2048&lt;&gt;1,Y2048&lt;&gt;"",AT2048&lt;&gt;""),"수정","원본")</f>
        <v/>
      </c>
      <c r="D2048" s="18" t="n">
        <v>599</v>
      </c>
      <c r="E2048" s="18" t="inlineStr">
        <is>
          <t>기어르</t>
        </is>
      </c>
      <c r="F2048" s="18" t="inlineStr">
        <is>
          <t>klink</t>
        </is>
      </c>
      <c r="G2048" s="18" t="inlineStr">
        <is>
          <t>klink</t>
        </is>
      </c>
      <c r="H2048" s="18" t="inlineStr"/>
      <c r="I2048" s="18" t="n">
        <v>5</v>
      </c>
      <c r="J2048" s="18" t="n"/>
      <c r="K2048" s="18" t="n">
        <v>5</v>
      </c>
      <c r="L2048" s="18" t="inlineStr">
        <is>
          <t>cobbleventure:generation_5</t>
        </is>
      </c>
      <c r="M2048" s="19" t="inlineStr">
        <is>
          <t>cobbleventure:generation_5</t>
        </is>
      </c>
      <c r="N2048" s="18" t="inlineStr"/>
      <c r="O2048" s="19" t="inlineStr"/>
      <c r="P2048" s="18" t="inlineStr">
        <is>
          <t>#cobblemon:is_cave</t>
        </is>
      </c>
      <c r="Q2048" s="19" t="inlineStr"/>
      <c r="R2048" s="18">
        <f>IF(Q2048="",P2048,Q2048)</f>
        <v/>
      </c>
      <c r="S2048" s="18" t="inlineStr"/>
      <c r="T2048" s="18" t="inlineStr">
        <is>
          <t>common</t>
        </is>
      </c>
      <c r="U2048" s="20" t="n">
        <v>9</v>
      </c>
      <c r="V2048" s="21" t="n">
        <v>1</v>
      </c>
      <c r="W2048" s="20">
        <f>IF(OR(U2048="",V2048=""),U2048,U2048*V2048)</f>
        <v/>
      </c>
      <c r="X2048" s="18" t="inlineStr">
        <is>
          <t>5-30</t>
        </is>
      </c>
      <c r="Y2048" s="19" t="inlineStr"/>
      <c r="Z2048" s="18">
        <f>IF(Y2048="",X2048,Y2048)</f>
        <v/>
      </c>
      <c r="AA2048" s="18" t="inlineStr">
        <is>
          <t>grounded</t>
        </is>
      </c>
      <c r="AB2048" s="18" t="inlineStr"/>
      <c r="AC2048" s="18" t="inlineStr"/>
      <c r="AD2048" s="18" t="inlineStr"/>
      <c r="AE2048" s="18" t="inlineStr">
        <is>
          <t>sky 0-7</t>
        </is>
      </c>
      <c r="AF2048" s="18" t="inlineStr"/>
      <c r="AG2048" s="18" t="inlineStr"/>
      <c r="AH2048" s="18" t="inlineStr"/>
      <c r="AI2048" s="18" t="inlineStr"/>
      <c r="AJ2048" s="18" t="inlineStr">
        <is>
          <t>COBBLEVERSE 수정</t>
        </is>
      </c>
      <c r="AK2048" s="18" t="inlineStr">
        <is>
          <t>사용</t>
        </is>
      </c>
      <c r="AL2048" s="18" t="inlineStr">
        <is>
          <t>COBBLEVERSE 1.7.42 / DP v31</t>
        </is>
      </c>
      <c r="AM2048" s="18" t="inlineStr">
        <is>
          <t>data/cobblemon/spawn_pool_world/0599_klink.json</t>
        </is>
      </c>
      <c r="AN2048" s="18" t="inlineStr">
        <is>
          <t>klink-2</t>
        </is>
      </c>
      <c r="AO2048" s="18" t="inlineStr">
        <is>
          <t>pokemon</t>
        </is>
      </c>
      <c r="AP2048" s="18" t="inlineStr">
        <is>
          <t>natural</t>
        </is>
      </c>
      <c r="AQ2048" s="18" t="inlineStr">
        <is>
          <t>{"biomes":["#cobblemon:is_cave"],"maxSkyLight":7,"minSkyLight":0}</t>
        </is>
      </c>
      <c r="AR2048" s="18" t="inlineStr"/>
      <c r="AS2048" s="18" t="inlineStr"/>
      <c r="AT2048" s="19" t="inlineStr"/>
    </row>
    <row r="2049" ht="32" customHeight="1">
      <c r="A2049" s="18" t="inlineStr">
        <is>
          <t>0600_klang.json::klang-1::001</t>
        </is>
      </c>
      <c r="B2049" s="19" t="inlineStr">
        <is>
          <t>사용</t>
        </is>
      </c>
      <c r="C2049" s="18">
        <f>IF(OR(B2049&lt;&gt;AK2049,M2049&lt;&gt;L2049,O2049&lt;&gt;"",Q2049&lt;&gt;"",V2049&lt;&gt;1,Y2049&lt;&gt;"",AT2049&lt;&gt;""),"수정","원본")</f>
        <v/>
      </c>
      <c r="D2049" s="18" t="n">
        <v>600</v>
      </c>
      <c r="E2049" s="18" t="inlineStr">
        <is>
          <t>기기어르</t>
        </is>
      </c>
      <c r="F2049" s="18" t="inlineStr">
        <is>
          <t>klang</t>
        </is>
      </c>
      <c r="G2049" s="18" t="inlineStr">
        <is>
          <t>klang</t>
        </is>
      </c>
      <c r="H2049" s="18" t="inlineStr"/>
      <c r="I2049" s="18" t="n">
        <v>5</v>
      </c>
      <c r="J2049" s="18" t="n"/>
      <c r="K2049" s="18" t="n">
        <v>5</v>
      </c>
      <c r="L2049" s="18" t="inlineStr">
        <is>
          <t>cobbleventure:generation_5</t>
        </is>
      </c>
      <c r="M2049" s="19" t="inlineStr">
        <is>
          <t>cobbleventure:generation_5</t>
        </is>
      </c>
      <c r="N2049" s="18" t="inlineStr"/>
      <c r="O2049" s="19" t="inlineStr"/>
      <c r="P2049" s="18" t="inlineStr">
        <is>
          <t>#cobblemon:is_badlands</t>
        </is>
      </c>
      <c r="Q2049" s="19" t="inlineStr"/>
      <c r="R2049" s="18">
        <f>IF(Q2049="",P2049,Q2049)</f>
        <v/>
      </c>
      <c r="S2049" s="18" t="inlineStr"/>
      <c r="T2049" s="18" t="inlineStr">
        <is>
          <t>common</t>
        </is>
      </c>
      <c r="U2049" s="20" t="n">
        <v>0.9</v>
      </c>
      <c r="V2049" s="21" t="n">
        <v>1</v>
      </c>
      <c r="W2049" s="20">
        <f>IF(OR(U2049="",V2049=""),U2049,U2049*V2049)</f>
        <v/>
      </c>
      <c r="X2049" s="18" t="inlineStr">
        <is>
          <t>38-44</t>
        </is>
      </c>
      <c r="Y2049" s="19" t="inlineStr"/>
      <c r="Z2049" s="18">
        <f>IF(Y2049="",X2049,Y2049)</f>
        <v/>
      </c>
      <c r="AA2049" s="18" t="inlineStr">
        <is>
          <t>grounded</t>
        </is>
      </c>
      <c r="AB2049" s="18" t="inlineStr"/>
      <c r="AC2049" s="18" t="inlineStr"/>
      <c r="AD2049" s="18" t="inlineStr"/>
      <c r="AE2049" s="18" t="inlineStr"/>
      <c r="AF2049" s="18" t="inlineStr"/>
      <c r="AG2049" s="18" t="inlineStr"/>
      <c r="AH2049" s="18" t="inlineStr"/>
      <c r="AI2049" s="18" t="inlineStr"/>
      <c r="AJ2049" s="18" t="inlineStr">
        <is>
          <t>COBBLEVERSE 수정</t>
        </is>
      </c>
      <c r="AK2049" s="18" t="inlineStr">
        <is>
          <t>사용</t>
        </is>
      </c>
      <c r="AL2049" s="18" t="inlineStr">
        <is>
          <t>COBBLEVERSE 1.7.42 / DP v31</t>
        </is>
      </c>
      <c r="AM2049" s="18" t="inlineStr">
        <is>
          <t>data/cobblemon/spawn_pool_world/0600_klang.json</t>
        </is>
      </c>
      <c r="AN2049" s="18" t="inlineStr">
        <is>
          <t>klang-1</t>
        </is>
      </c>
      <c r="AO2049" s="18" t="inlineStr">
        <is>
          <t>pokemon</t>
        </is>
      </c>
      <c r="AP2049" s="18" t="inlineStr">
        <is>
          <t>natural</t>
        </is>
      </c>
      <c r="AQ2049" s="18" t="inlineStr">
        <is>
          <t>{"biomes":["#cobblemon:is_badlands"]}</t>
        </is>
      </c>
      <c r="AR2049" s="18" t="inlineStr"/>
      <c r="AS2049" s="18" t="inlineStr"/>
      <c r="AT2049" s="19" t="inlineStr"/>
    </row>
    <row r="2050" ht="32" customHeight="1">
      <c r="A2050" s="18" t="inlineStr">
        <is>
          <t>0600_klang.json::klang-2::002</t>
        </is>
      </c>
      <c r="B2050" s="19" t="inlineStr">
        <is>
          <t>사용</t>
        </is>
      </c>
      <c r="C2050" s="18">
        <f>IF(OR(B2050&lt;&gt;AK2050,M2050&lt;&gt;L2050,O2050&lt;&gt;"",Q2050&lt;&gt;"",V2050&lt;&gt;1,Y2050&lt;&gt;"",AT2050&lt;&gt;""),"수정","원본")</f>
        <v/>
      </c>
      <c r="D2050" s="18" t="n">
        <v>600</v>
      </c>
      <c r="E2050" s="18" t="inlineStr">
        <is>
          <t>기기어르</t>
        </is>
      </c>
      <c r="F2050" s="18" t="inlineStr">
        <is>
          <t>klang</t>
        </is>
      </c>
      <c r="G2050" s="18" t="inlineStr">
        <is>
          <t>klang</t>
        </is>
      </c>
      <c r="H2050" s="18" t="inlineStr"/>
      <c r="I2050" s="18" t="n">
        <v>5</v>
      </c>
      <c r="J2050" s="18" t="n"/>
      <c r="K2050" s="18" t="n">
        <v>5</v>
      </c>
      <c r="L2050" s="18" t="inlineStr">
        <is>
          <t>cobbleventure:generation_5</t>
        </is>
      </c>
      <c r="M2050" s="19" t="inlineStr">
        <is>
          <t>cobbleventure:generation_5</t>
        </is>
      </c>
      <c r="N2050" s="18" t="inlineStr"/>
      <c r="O2050" s="19" t="inlineStr"/>
      <c r="P2050" s="18" t="inlineStr">
        <is>
          <t>#cobblemon:is_cave</t>
        </is>
      </c>
      <c r="Q2050" s="19" t="inlineStr"/>
      <c r="R2050" s="18">
        <f>IF(Q2050="",P2050,Q2050)</f>
        <v/>
      </c>
      <c r="S2050" s="18" t="inlineStr"/>
      <c r="T2050" s="18" t="inlineStr">
        <is>
          <t>common</t>
        </is>
      </c>
      <c r="U2050" s="20" t="n">
        <v>0.18</v>
      </c>
      <c r="V2050" s="21" t="n">
        <v>1</v>
      </c>
      <c r="W2050" s="20">
        <f>IF(OR(U2050="",V2050=""),U2050,U2050*V2050)</f>
        <v/>
      </c>
      <c r="X2050" s="18" t="inlineStr">
        <is>
          <t>38-44</t>
        </is>
      </c>
      <c r="Y2050" s="19" t="inlineStr"/>
      <c r="Z2050" s="18">
        <f>IF(Y2050="",X2050,Y2050)</f>
        <v/>
      </c>
      <c r="AA2050" s="18" t="inlineStr">
        <is>
          <t>grounded</t>
        </is>
      </c>
      <c r="AB2050" s="18" t="inlineStr"/>
      <c r="AC2050" s="18" t="inlineStr"/>
      <c r="AD2050" s="18" t="inlineStr"/>
      <c r="AE2050" s="18" t="inlineStr"/>
      <c r="AF2050" s="18" t="inlineStr"/>
      <c r="AG2050" s="18" t="inlineStr"/>
      <c r="AH2050" s="18" t="inlineStr"/>
      <c r="AI2050" s="18" t="inlineStr"/>
      <c r="AJ2050" s="18" t="inlineStr">
        <is>
          <t>COBBLEVERSE 수정</t>
        </is>
      </c>
      <c r="AK2050" s="18" t="inlineStr">
        <is>
          <t>사용</t>
        </is>
      </c>
      <c r="AL2050" s="18" t="inlineStr">
        <is>
          <t>COBBLEVERSE 1.7.42 / DP v31</t>
        </is>
      </c>
      <c r="AM2050" s="18" t="inlineStr">
        <is>
          <t>data/cobblemon/spawn_pool_world/0600_klang.json</t>
        </is>
      </c>
      <c r="AN2050" s="18" t="inlineStr">
        <is>
          <t>klang-2</t>
        </is>
      </c>
      <c r="AO2050" s="18" t="inlineStr">
        <is>
          <t>pokemon</t>
        </is>
      </c>
      <c r="AP2050" s="18" t="inlineStr">
        <is>
          <t>natural</t>
        </is>
      </c>
      <c r="AQ2050" s="18" t="inlineStr">
        <is>
          <t>{"biomes":["#cobblemon:is_cave"]}</t>
        </is>
      </c>
      <c r="AR2050" s="18" t="inlineStr"/>
      <c r="AS2050" s="18" t="inlineStr"/>
      <c r="AT2050" s="19" t="inlineStr"/>
    </row>
    <row r="2051" ht="32" customHeight="1">
      <c r="A2051" s="18" t="inlineStr">
        <is>
          <t>0601_klinklang.json::klinklang-1::001</t>
        </is>
      </c>
      <c r="B2051" s="19" t="inlineStr">
        <is>
          <t>사용</t>
        </is>
      </c>
      <c r="C2051" s="18">
        <f>IF(OR(B2051&lt;&gt;AK2051,M2051&lt;&gt;L2051,O2051&lt;&gt;"",Q2051&lt;&gt;"",V2051&lt;&gt;1,Y2051&lt;&gt;"",AT2051&lt;&gt;""),"수정","원본")</f>
        <v/>
      </c>
      <c r="D2051" s="18" t="n">
        <v>601</v>
      </c>
      <c r="E2051" s="18" t="inlineStr">
        <is>
          <t>기기기어르</t>
        </is>
      </c>
      <c r="F2051" s="18" t="inlineStr">
        <is>
          <t>klinklang</t>
        </is>
      </c>
      <c r="G2051" s="18" t="inlineStr">
        <is>
          <t>klinklang</t>
        </is>
      </c>
      <c r="H2051" s="18" t="inlineStr"/>
      <c r="I2051" s="18" t="n">
        <v>5</v>
      </c>
      <c r="J2051" s="18" t="n"/>
      <c r="K2051" s="18" t="n">
        <v>5</v>
      </c>
      <c r="L2051" s="18" t="inlineStr">
        <is>
          <t>cobbleventure:generation_5</t>
        </is>
      </c>
      <c r="M2051" s="19" t="inlineStr">
        <is>
          <t>cobbleventure:generation_5</t>
        </is>
      </c>
      <c r="N2051" s="18" t="inlineStr"/>
      <c r="O2051" s="19" t="inlineStr"/>
      <c r="P2051" s="18" t="inlineStr">
        <is>
          <t>#cobblemon:is_badlands</t>
        </is>
      </c>
      <c r="Q2051" s="19" t="inlineStr"/>
      <c r="R2051" s="18">
        <f>IF(Q2051="",P2051,Q2051)</f>
        <v/>
      </c>
      <c r="S2051" s="18" t="inlineStr"/>
      <c r="T2051" s="18" t="inlineStr">
        <is>
          <t>common</t>
        </is>
      </c>
      <c r="U2051" s="20" t="n">
        <v>0.1</v>
      </c>
      <c r="V2051" s="21" t="n">
        <v>1</v>
      </c>
      <c r="W2051" s="20">
        <f>IF(OR(U2051="",V2051=""),U2051,U2051*V2051)</f>
        <v/>
      </c>
      <c r="X2051" s="18" t="inlineStr">
        <is>
          <t>49-52</t>
        </is>
      </c>
      <c r="Y2051" s="19" t="inlineStr"/>
      <c r="Z2051" s="18">
        <f>IF(Y2051="",X2051,Y2051)</f>
        <v/>
      </c>
      <c r="AA2051" s="18" t="inlineStr">
        <is>
          <t>grounded</t>
        </is>
      </c>
      <c r="AB2051" s="18" t="inlineStr"/>
      <c r="AC2051" s="18" t="inlineStr"/>
      <c r="AD2051" s="18" t="inlineStr"/>
      <c r="AE2051" s="18" t="inlineStr"/>
      <c r="AF2051" s="18" t="inlineStr"/>
      <c r="AG2051" s="18" t="inlineStr"/>
      <c r="AH2051" s="18" t="inlineStr"/>
      <c r="AI2051" s="18" t="inlineStr"/>
      <c r="AJ2051" s="18" t="inlineStr">
        <is>
          <t>COBBLEVERSE 수정</t>
        </is>
      </c>
      <c r="AK2051" s="18" t="inlineStr">
        <is>
          <t>사용</t>
        </is>
      </c>
      <c r="AL2051" s="18" t="inlineStr">
        <is>
          <t>COBBLEVERSE 1.7.42 / DP v31</t>
        </is>
      </c>
      <c r="AM2051" s="18" t="inlineStr">
        <is>
          <t>data/cobblemon/spawn_pool_world/0601_klinklang.json</t>
        </is>
      </c>
      <c r="AN2051" s="18" t="inlineStr">
        <is>
          <t>klinklang-1</t>
        </is>
      </c>
      <c r="AO2051" s="18" t="inlineStr">
        <is>
          <t>pokemon</t>
        </is>
      </c>
      <c r="AP2051" s="18" t="inlineStr">
        <is>
          <t>natural</t>
        </is>
      </c>
      <c r="AQ2051" s="18" t="inlineStr">
        <is>
          <t>{"biomes":["#cobblemon:is_badlands"]}</t>
        </is>
      </c>
      <c r="AR2051" s="18" t="inlineStr"/>
      <c r="AS2051" s="18" t="inlineStr"/>
      <c r="AT2051" s="19" t="inlineStr"/>
    </row>
    <row r="2052" ht="32" customHeight="1">
      <c r="A2052" s="18" t="inlineStr">
        <is>
          <t>0601_klinklang.json::klinklang-2::002</t>
        </is>
      </c>
      <c r="B2052" s="19" t="inlineStr">
        <is>
          <t>사용</t>
        </is>
      </c>
      <c r="C2052" s="18">
        <f>IF(OR(B2052&lt;&gt;AK2052,M2052&lt;&gt;L2052,O2052&lt;&gt;"",Q2052&lt;&gt;"",V2052&lt;&gt;1,Y2052&lt;&gt;"",AT2052&lt;&gt;""),"수정","원본")</f>
        <v/>
      </c>
      <c r="D2052" s="18" t="n">
        <v>601</v>
      </c>
      <c r="E2052" s="18" t="inlineStr">
        <is>
          <t>기기기어르</t>
        </is>
      </c>
      <c r="F2052" s="18" t="inlineStr">
        <is>
          <t>klinklang</t>
        </is>
      </c>
      <c r="G2052" s="18" t="inlineStr">
        <is>
          <t>klinklang</t>
        </is>
      </c>
      <c r="H2052" s="18" t="inlineStr"/>
      <c r="I2052" s="18" t="n">
        <v>5</v>
      </c>
      <c r="J2052" s="18" t="n"/>
      <c r="K2052" s="18" t="n">
        <v>5</v>
      </c>
      <c r="L2052" s="18" t="inlineStr">
        <is>
          <t>cobbleventure:generation_5</t>
        </is>
      </c>
      <c r="M2052" s="19" t="inlineStr">
        <is>
          <t>cobbleventure:generation_5</t>
        </is>
      </c>
      <c r="N2052" s="18" t="inlineStr"/>
      <c r="O2052" s="19" t="inlineStr"/>
      <c r="P2052" s="18" t="inlineStr">
        <is>
          <t>#cobblemon:is_cave</t>
        </is>
      </c>
      <c r="Q2052" s="19" t="inlineStr"/>
      <c r="R2052" s="18">
        <f>IF(Q2052="",P2052,Q2052)</f>
        <v/>
      </c>
      <c r="S2052" s="18" t="inlineStr"/>
      <c r="T2052" s="18" t="inlineStr">
        <is>
          <t>common</t>
        </is>
      </c>
      <c r="U2052" s="20" t="n">
        <v>0.02</v>
      </c>
      <c r="V2052" s="21" t="n">
        <v>1</v>
      </c>
      <c r="W2052" s="20">
        <f>IF(OR(U2052="",V2052=""),U2052,U2052*V2052)</f>
        <v/>
      </c>
      <c r="X2052" s="18" t="inlineStr">
        <is>
          <t>49-52</t>
        </is>
      </c>
      <c r="Y2052" s="19" t="inlineStr"/>
      <c r="Z2052" s="18">
        <f>IF(Y2052="",X2052,Y2052)</f>
        <v/>
      </c>
      <c r="AA2052" s="18" t="inlineStr">
        <is>
          <t>grounded</t>
        </is>
      </c>
      <c r="AB2052" s="18" t="inlineStr"/>
      <c r="AC2052" s="18" t="inlineStr"/>
      <c r="AD2052" s="18" t="inlineStr"/>
      <c r="AE2052" s="18" t="inlineStr"/>
      <c r="AF2052" s="18" t="inlineStr"/>
      <c r="AG2052" s="18" t="inlineStr"/>
      <c r="AH2052" s="18" t="inlineStr"/>
      <c r="AI2052" s="18" t="inlineStr"/>
      <c r="AJ2052" s="18" t="inlineStr">
        <is>
          <t>COBBLEVERSE 수정</t>
        </is>
      </c>
      <c r="AK2052" s="18" t="inlineStr">
        <is>
          <t>사용</t>
        </is>
      </c>
      <c r="AL2052" s="18" t="inlineStr">
        <is>
          <t>COBBLEVERSE 1.7.42 / DP v31</t>
        </is>
      </c>
      <c r="AM2052" s="18" t="inlineStr">
        <is>
          <t>data/cobblemon/spawn_pool_world/0601_klinklang.json</t>
        </is>
      </c>
      <c r="AN2052" s="18" t="inlineStr">
        <is>
          <t>klinklang-2</t>
        </is>
      </c>
      <c r="AO2052" s="18" t="inlineStr">
        <is>
          <t>pokemon</t>
        </is>
      </c>
      <c r="AP2052" s="18" t="inlineStr">
        <is>
          <t>natural</t>
        </is>
      </c>
      <c r="AQ2052" s="18" t="inlineStr">
        <is>
          <t>{"biomes":["#cobblemon:is_cave"]}</t>
        </is>
      </c>
      <c r="AR2052" s="18" t="inlineStr"/>
      <c r="AS2052" s="18" t="inlineStr"/>
      <c r="AT2052" s="19" t="inlineStr"/>
    </row>
    <row r="2053" ht="32" customHeight="1">
      <c r="A2053" s="18" t="inlineStr">
        <is>
          <t>0602_tynamo.json::tynamo-4::001</t>
        </is>
      </c>
      <c r="B2053" s="19" t="inlineStr">
        <is>
          <t>사용</t>
        </is>
      </c>
      <c r="C2053" s="18">
        <f>IF(OR(B2053&lt;&gt;AK2053,M2053&lt;&gt;L2053,O2053&lt;&gt;"",Q2053&lt;&gt;"",V2053&lt;&gt;1,Y2053&lt;&gt;"",AT2053&lt;&gt;""),"수정","원본")</f>
        <v/>
      </c>
      <c r="D2053" s="18" t="n">
        <v>602</v>
      </c>
      <c r="E2053" s="18" t="inlineStr">
        <is>
          <t>저리어</t>
        </is>
      </c>
      <c r="F2053" s="18" t="inlineStr">
        <is>
          <t>tynamo</t>
        </is>
      </c>
      <c r="G2053" s="18" t="inlineStr">
        <is>
          <t>tynamo</t>
        </is>
      </c>
      <c r="H2053" s="18" t="inlineStr"/>
      <c r="I2053" s="18" t="n">
        <v>5</v>
      </c>
      <c r="J2053" s="18" t="n"/>
      <c r="K2053" s="18" t="n">
        <v>5</v>
      </c>
      <c r="L2053" s="18" t="inlineStr">
        <is>
          <t>cobbleventure:generation_5</t>
        </is>
      </c>
      <c r="M2053" s="19" t="inlineStr">
        <is>
          <t>cobbleventure:generation_5</t>
        </is>
      </c>
      <c r="N2053" s="18" t="inlineStr"/>
      <c r="O2053" s="19" t="inlineStr"/>
      <c r="P2053" s="18" t="inlineStr">
        <is>
          <t>#cobblemon:is_ocean</t>
        </is>
      </c>
      <c r="Q2053" s="19" t="inlineStr"/>
      <c r="R2053" s="18">
        <f>IF(Q2053="",P2053,Q2053)</f>
        <v/>
      </c>
      <c r="S2053" s="18" t="inlineStr"/>
      <c r="T2053" s="18" t="inlineStr">
        <is>
          <t>common</t>
        </is>
      </c>
      <c r="U2053" s="20" t="n">
        <v>1.8</v>
      </c>
      <c r="V2053" s="21" t="n">
        <v>1</v>
      </c>
      <c r="W2053" s="20">
        <f>IF(OR(U2053="",V2053=""),U2053,U2053*V2053)</f>
        <v/>
      </c>
      <c r="X2053" s="18" t="inlineStr">
        <is>
          <t>3-28</t>
        </is>
      </c>
      <c r="Y2053" s="19" t="inlineStr"/>
      <c r="Z2053" s="18">
        <f>IF(Y2053="",X2053,Y2053)</f>
        <v/>
      </c>
      <c r="AA2053" s="18" t="inlineStr">
        <is>
          <t>fishing</t>
        </is>
      </c>
      <c r="AB2053" s="18" t="inlineStr"/>
      <c r="AC2053" s="18" t="inlineStr"/>
      <c r="AD2053" s="18" t="inlineStr"/>
      <c r="AE2053" s="18" t="inlineStr"/>
      <c r="AF2053" s="18" t="inlineStr">
        <is>
          <t>True</t>
        </is>
      </c>
      <c r="AG2053" s="18" t="inlineStr"/>
      <c r="AH2053" s="18" t="inlineStr"/>
      <c r="AI2053" s="18" t="inlineStr"/>
      <c r="AJ2053" s="18" t="inlineStr">
        <is>
          <t>Cobblemon 동일</t>
        </is>
      </c>
      <c r="AK2053" s="18" t="inlineStr">
        <is>
          <t>사용</t>
        </is>
      </c>
      <c r="AL2053" s="18" t="inlineStr">
        <is>
          <t>COBBLEVERSE 1.7.42 / DP v31</t>
        </is>
      </c>
      <c r="AM2053" s="18" t="inlineStr">
        <is>
          <t>data/cobblemon/spawn_pool_world/0602_tynamo.json</t>
        </is>
      </c>
      <c r="AN2053" s="18" t="inlineStr">
        <is>
          <t>tynamo-4</t>
        </is>
      </c>
      <c r="AO2053" s="18" t="inlineStr">
        <is>
          <t>pokemon</t>
        </is>
      </c>
      <c r="AP2053" s="18" t="inlineStr"/>
      <c r="AQ2053" s="18" t="inlineStr">
        <is>
          <t>{"biomes":["#cobblemon:is_ocean"],"canSeeSky":true}</t>
        </is>
      </c>
      <c r="AR2053" s="18" t="inlineStr"/>
      <c r="AS2053" s="18" t="inlineStr">
        <is>
          <t>{"weightMultipliers":[{"condition":{"maxLureLevel":2,"minLureLevel":2},"multiplier":3.0},{"condition":{"minLureLevel":3},"multiplier":5.0}]}</t>
        </is>
      </c>
      <c r="AT2053" s="19" t="inlineStr"/>
    </row>
    <row r="2054" ht="32" customHeight="1">
      <c r="A2054" s="18" t="inlineStr">
        <is>
          <t>0602_tynamo.json::tynamo-5::002</t>
        </is>
      </c>
      <c r="B2054" s="19" t="inlineStr">
        <is>
          <t>사용</t>
        </is>
      </c>
      <c r="C2054" s="18">
        <f>IF(OR(B2054&lt;&gt;AK2054,M2054&lt;&gt;L2054,O2054&lt;&gt;"",Q2054&lt;&gt;"",V2054&lt;&gt;1,Y2054&lt;&gt;"",AT2054&lt;&gt;""),"수정","원본")</f>
        <v/>
      </c>
      <c r="D2054" s="18" t="n">
        <v>602</v>
      </c>
      <c r="E2054" s="18" t="inlineStr">
        <is>
          <t>저리어</t>
        </is>
      </c>
      <c r="F2054" s="18" t="inlineStr">
        <is>
          <t>tynamo</t>
        </is>
      </c>
      <c r="G2054" s="18" t="inlineStr">
        <is>
          <t>tynamo</t>
        </is>
      </c>
      <c r="H2054" s="18" t="inlineStr"/>
      <c r="I2054" s="18" t="n">
        <v>5</v>
      </c>
      <c r="J2054" s="18" t="n"/>
      <c r="K2054" s="18" t="n">
        <v>5</v>
      </c>
      <c r="L2054" s="18" t="inlineStr">
        <is>
          <t>cobbleventure:generation_5</t>
        </is>
      </c>
      <c r="M2054" s="19" t="inlineStr">
        <is>
          <t>cobbleventure:generation_5</t>
        </is>
      </c>
      <c r="N2054" s="18" t="inlineStr">
        <is>
          <t>region_01; region_02</t>
        </is>
      </c>
      <c r="O2054" s="19" t="inlineStr"/>
      <c r="P2054" s="18" t="inlineStr">
        <is>
          <t>#cobblemon:is_overworld</t>
        </is>
      </c>
      <c r="Q2054" s="19" t="inlineStr"/>
      <c r="R2054" s="18">
        <f>IF(Q2054="",P2054,Q2054)</f>
        <v/>
      </c>
      <c r="S2054" s="18" t="inlineStr">
        <is>
          <t>#cobblemon:is_lush</t>
        </is>
      </c>
      <c r="T2054" s="18" t="inlineStr">
        <is>
          <t>common</t>
        </is>
      </c>
      <c r="U2054" s="20" t="n">
        <v>9</v>
      </c>
      <c r="V2054" s="21" t="n">
        <v>1</v>
      </c>
      <c r="W2054" s="20">
        <f>IF(OR(U2054="",V2054=""),U2054,U2054*V2054)</f>
        <v/>
      </c>
      <c r="X2054" s="18" t="inlineStr">
        <is>
          <t>3-28</t>
        </is>
      </c>
      <c r="Y2054" s="19" t="inlineStr"/>
      <c r="Z2054" s="18">
        <f>IF(Y2054="",X2054,Y2054)</f>
        <v/>
      </c>
      <c r="AA2054" s="18" t="inlineStr">
        <is>
          <t>fishing</t>
        </is>
      </c>
      <c r="AB2054" s="18" t="inlineStr"/>
      <c r="AC2054" s="18" t="inlineStr"/>
      <c r="AD2054" s="18" t="inlineStr"/>
      <c r="AE2054" s="18" t="inlineStr">
        <is>
          <t>sky 0-7</t>
        </is>
      </c>
      <c r="AF2054" s="18" t="inlineStr"/>
      <c r="AG2054" s="18" t="inlineStr"/>
      <c r="AH2054" s="18" t="inlineStr"/>
      <c r="AI2054" s="18" t="inlineStr"/>
      <c r="AJ2054" s="18" t="inlineStr">
        <is>
          <t>Cobblemon 동일</t>
        </is>
      </c>
      <c r="AK2054" s="18" t="inlineStr">
        <is>
          <t>사용</t>
        </is>
      </c>
      <c r="AL2054" s="18" t="inlineStr">
        <is>
          <t>COBBLEVERSE 1.7.42 / DP v31</t>
        </is>
      </c>
      <c r="AM2054" s="18" t="inlineStr">
        <is>
          <t>data/cobblemon/spawn_pool_world/0602_tynamo.json</t>
        </is>
      </c>
      <c r="AN2054" s="18" t="inlineStr">
        <is>
          <t>tynamo-5</t>
        </is>
      </c>
      <c r="AO2054" s="18" t="inlineStr">
        <is>
          <t>pokemon</t>
        </is>
      </c>
      <c r="AP2054" s="18" t="inlineStr"/>
      <c r="AQ2054" s="18" t="inlineStr">
        <is>
          <t>{"biomes":["#cobblemon:is_overworld"],"maxSkyLight":7,"minSkyLight":0}</t>
        </is>
      </c>
      <c r="AR2054" s="18" t="inlineStr">
        <is>
          <t>{"biomes":["#cobblemon:is_lush"]}</t>
        </is>
      </c>
      <c r="AS2054" s="18" t="inlineStr">
        <is>
          <t>{"weightMultiplier":{"condition":{"maxLureLevel":1,"minLureLevel":0},"multiplier":0.6}}</t>
        </is>
      </c>
      <c r="AT2054" s="19" t="inlineStr"/>
    </row>
    <row r="2055" ht="32" customHeight="1">
      <c r="A2055" s="18" t="inlineStr">
        <is>
          <t>0602_tynamo.json::tynamo-6::003</t>
        </is>
      </c>
      <c r="B2055" s="19" t="inlineStr">
        <is>
          <t>사용</t>
        </is>
      </c>
      <c r="C2055" s="18">
        <f>IF(OR(B2055&lt;&gt;AK2055,M2055&lt;&gt;L2055,O2055&lt;&gt;"",Q2055&lt;&gt;"",V2055&lt;&gt;1,Y2055&lt;&gt;"",AT2055&lt;&gt;""),"수정","원본")</f>
        <v/>
      </c>
      <c r="D2055" s="18" t="n">
        <v>602</v>
      </c>
      <c r="E2055" s="18" t="inlineStr">
        <is>
          <t>저리어</t>
        </is>
      </c>
      <c r="F2055" s="18" t="inlineStr">
        <is>
          <t>tynamo</t>
        </is>
      </c>
      <c r="G2055" s="18" t="inlineStr">
        <is>
          <t>tynamo</t>
        </is>
      </c>
      <c r="H2055" s="18" t="inlineStr"/>
      <c r="I2055" s="18" t="n">
        <v>5</v>
      </c>
      <c r="J2055" s="18" t="n"/>
      <c r="K2055" s="18" t="n">
        <v>5</v>
      </c>
      <c r="L2055" s="18" t="inlineStr">
        <is>
          <t>cobbleventure:generation_5</t>
        </is>
      </c>
      <c r="M2055" s="19" t="inlineStr">
        <is>
          <t>cobbleventure:generation_5</t>
        </is>
      </c>
      <c r="N2055" s="18" t="inlineStr"/>
      <c r="O2055" s="19" t="inlineStr"/>
      <c r="P2055" s="18" t="inlineStr">
        <is>
          <t>#cobblemon:is_ocean</t>
        </is>
      </c>
      <c r="Q2055" s="19" t="inlineStr"/>
      <c r="R2055" s="18">
        <f>IF(Q2055="",P2055,Q2055)</f>
        <v/>
      </c>
      <c r="S2055" s="18" t="inlineStr"/>
      <c r="T2055" s="18" t="inlineStr">
        <is>
          <t>common</t>
        </is>
      </c>
      <c r="U2055" s="20" t="n">
        <v>1.8</v>
      </c>
      <c r="V2055" s="21" t="n">
        <v>1</v>
      </c>
      <c r="W2055" s="20">
        <f>IF(OR(U2055="",V2055=""),U2055,U2055*V2055)</f>
        <v/>
      </c>
      <c r="X2055" s="18" t="inlineStr">
        <is>
          <t>3-28</t>
        </is>
      </c>
      <c r="Y2055" s="19" t="inlineStr"/>
      <c r="Z2055" s="18">
        <f>IF(Y2055="",X2055,Y2055)</f>
        <v/>
      </c>
      <c r="AA2055" s="18" t="inlineStr">
        <is>
          <t>fishing</t>
        </is>
      </c>
      <c r="AB2055" s="18" t="inlineStr"/>
      <c r="AC2055" s="18" t="inlineStr"/>
      <c r="AD2055" s="18" t="inlineStr"/>
      <c r="AE2055" s="18" t="inlineStr">
        <is>
          <t>sky 8-15</t>
        </is>
      </c>
      <c r="AF2055" s="18" t="inlineStr">
        <is>
          <t>False</t>
        </is>
      </c>
      <c r="AG2055" s="18" t="inlineStr"/>
      <c r="AH2055" s="18" t="inlineStr"/>
      <c r="AI2055" s="18" t="inlineStr"/>
      <c r="AJ2055" s="18" t="inlineStr">
        <is>
          <t>Cobblemon 동일</t>
        </is>
      </c>
      <c r="AK2055" s="18" t="inlineStr">
        <is>
          <t>사용</t>
        </is>
      </c>
      <c r="AL2055" s="18" t="inlineStr">
        <is>
          <t>COBBLEVERSE 1.7.42 / DP v31</t>
        </is>
      </c>
      <c r="AM2055" s="18" t="inlineStr">
        <is>
          <t>data/cobblemon/spawn_pool_world/0602_tynamo.json</t>
        </is>
      </c>
      <c r="AN2055" s="18" t="inlineStr">
        <is>
          <t>tynamo-6</t>
        </is>
      </c>
      <c r="AO2055" s="18" t="inlineStr">
        <is>
          <t>pokemon</t>
        </is>
      </c>
      <c r="AP2055" s="18" t="inlineStr"/>
      <c r="AQ2055" s="18" t="inlineStr">
        <is>
          <t>{"biomes":["#cobblemon:is_ocean"],"canSeeSky":false,"maxSkyLight":15,"minSkyLight":8}</t>
        </is>
      </c>
      <c r="AR2055" s="18" t="inlineStr"/>
      <c r="AS2055" s="18" t="inlineStr">
        <is>
          <t>{"weightMultipliers":[{"condition":{"maxLureLevel":2,"minLureLevel":2},"multiplier":3.0},{"condition":{"minLureLevel":3},"multiplier":5.0}]}</t>
        </is>
      </c>
      <c r="AT2055" s="19" t="inlineStr"/>
    </row>
    <row r="2056" ht="32" customHeight="1">
      <c r="A2056" s="18" t="inlineStr">
        <is>
          <t>0602_tynamo.json::tynamo-1::004</t>
        </is>
      </c>
      <c r="B2056" s="19" t="inlineStr">
        <is>
          <t>사용</t>
        </is>
      </c>
      <c r="C2056" s="18">
        <f>IF(OR(B2056&lt;&gt;AK2056,M2056&lt;&gt;L2056,O2056&lt;&gt;"",Q2056&lt;&gt;"",V2056&lt;&gt;1,Y2056&lt;&gt;"",AT2056&lt;&gt;""),"수정","원본")</f>
        <v/>
      </c>
      <c r="D2056" s="18" t="n">
        <v>602</v>
      </c>
      <c r="E2056" s="18" t="inlineStr">
        <is>
          <t>저리어</t>
        </is>
      </c>
      <c r="F2056" s="18" t="inlineStr">
        <is>
          <t>tynamo</t>
        </is>
      </c>
      <c r="G2056" s="18" t="inlineStr">
        <is>
          <t>tynamo</t>
        </is>
      </c>
      <c r="H2056" s="18" t="inlineStr"/>
      <c r="I2056" s="18" t="n">
        <v>5</v>
      </c>
      <c r="J2056" s="18" t="n"/>
      <c r="K2056" s="18" t="n">
        <v>5</v>
      </c>
      <c r="L2056" s="18" t="inlineStr">
        <is>
          <t>cobbleventure:generation_5</t>
        </is>
      </c>
      <c r="M2056" s="19" t="inlineStr">
        <is>
          <t>cobbleventure:generation_5</t>
        </is>
      </c>
      <c r="N2056" s="18" t="inlineStr"/>
      <c r="O2056" s="19" t="inlineStr"/>
      <c r="P2056" s="18" t="inlineStr">
        <is>
          <t>#cobblemon:is_ocean</t>
        </is>
      </c>
      <c r="Q2056" s="19" t="inlineStr"/>
      <c r="R2056" s="18">
        <f>IF(Q2056="",P2056,Q2056)</f>
        <v/>
      </c>
      <c r="S2056" s="18" t="inlineStr"/>
      <c r="T2056" s="18" t="inlineStr">
        <is>
          <t>common</t>
        </is>
      </c>
      <c r="U2056" s="20" t="n">
        <v>1.8</v>
      </c>
      <c r="V2056" s="21" t="n">
        <v>1</v>
      </c>
      <c r="W2056" s="20">
        <f>IF(OR(U2056="",V2056=""),U2056,U2056*V2056)</f>
        <v/>
      </c>
      <c r="X2056" s="18" t="inlineStr">
        <is>
          <t>3-28</t>
        </is>
      </c>
      <c r="Y2056" s="19" t="inlineStr"/>
      <c r="Z2056" s="18">
        <f>IF(Y2056="",X2056,Y2056)</f>
        <v/>
      </c>
      <c r="AA2056" s="18" t="inlineStr">
        <is>
          <t>submerged</t>
        </is>
      </c>
      <c r="AB2056" s="18" t="inlineStr"/>
      <c r="AC2056" s="18" t="inlineStr"/>
      <c r="AD2056" s="18" t="inlineStr">
        <is>
          <t>maxY=48</t>
        </is>
      </c>
      <c r="AE2056" s="18" t="inlineStr"/>
      <c r="AF2056" s="18" t="inlineStr"/>
      <c r="AG2056" s="18" t="inlineStr"/>
      <c r="AH2056" s="18" t="inlineStr"/>
      <c r="AI2056" s="18" t="inlineStr"/>
      <c r="AJ2056" s="18" t="inlineStr">
        <is>
          <t>Cobblemon 동일</t>
        </is>
      </c>
      <c r="AK2056" s="18" t="inlineStr">
        <is>
          <t>사용</t>
        </is>
      </c>
      <c r="AL2056" s="18" t="inlineStr">
        <is>
          <t>COBBLEVERSE 1.7.42 / DP v31</t>
        </is>
      </c>
      <c r="AM2056" s="18" t="inlineStr">
        <is>
          <t>data/cobblemon/spawn_pool_world/0602_tynamo.json</t>
        </is>
      </c>
      <c r="AN2056" s="18" t="inlineStr">
        <is>
          <t>tynamo-1</t>
        </is>
      </c>
      <c r="AO2056" s="18" t="inlineStr">
        <is>
          <t>pokemon</t>
        </is>
      </c>
      <c r="AP2056" s="18" t="inlineStr">
        <is>
          <t>water</t>
        </is>
      </c>
      <c r="AQ2056" s="18" t="inlineStr">
        <is>
          <t>{"biomes":["#cobblemon:is_ocean"],"maxY":48}</t>
        </is>
      </c>
      <c r="AR2056" s="18" t="inlineStr"/>
      <c r="AS2056" s="18" t="inlineStr"/>
      <c r="AT2056" s="19" t="inlineStr"/>
    </row>
    <row r="2057" ht="32" customHeight="1">
      <c r="A2057" s="18" t="inlineStr">
        <is>
          <t>0602_tynamo.json::tynamo-2::005</t>
        </is>
      </c>
      <c r="B2057" s="19" t="inlineStr">
        <is>
          <t>사용</t>
        </is>
      </c>
      <c r="C2057" s="18">
        <f>IF(OR(B2057&lt;&gt;AK2057,M2057&lt;&gt;L2057,O2057&lt;&gt;"",Q2057&lt;&gt;"",V2057&lt;&gt;1,Y2057&lt;&gt;"",AT2057&lt;&gt;""),"수정","원본")</f>
        <v/>
      </c>
      <c r="D2057" s="18" t="n">
        <v>602</v>
      </c>
      <c r="E2057" s="18" t="inlineStr">
        <is>
          <t>저리어</t>
        </is>
      </c>
      <c r="F2057" s="18" t="inlineStr">
        <is>
          <t>tynamo</t>
        </is>
      </c>
      <c r="G2057" s="18" t="inlineStr">
        <is>
          <t>tynamo</t>
        </is>
      </c>
      <c r="H2057" s="18" t="inlineStr"/>
      <c r="I2057" s="18" t="n">
        <v>5</v>
      </c>
      <c r="J2057" s="18" t="n"/>
      <c r="K2057" s="18" t="n">
        <v>5</v>
      </c>
      <c r="L2057" s="18" t="inlineStr">
        <is>
          <t>cobbleventure:generation_5</t>
        </is>
      </c>
      <c r="M2057" s="19" t="inlineStr">
        <is>
          <t>cobbleventure:generation_5</t>
        </is>
      </c>
      <c r="N2057" s="18" t="inlineStr">
        <is>
          <t>region_01; region_02</t>
        </is>
      </c>
      <c r="O2057" s="19" t="inlineStr"/>
      <c r="P2057" s="18" t="inlineStr">
        <is>
          <t>#cobblemon:is_overworld</t>
        </is>
      </c>
      <c r="Q2057" s="19" t="inlineStr"/>
      <c r="R2057" s="18">
        <f>IF(Q2057="",P2057,Q2057)</f>
        <v/>
      </c>
      <c r="S2057" s="18" t="inlineStr">
        <is>
          <t>#cobblemon:is_lush</t>
        </is>
      </c>
      <c r="T2057" s="18" t="inlineStr">
        <is>
          <t>uncommon</t>
        </is>
      </c>
      <c r="U2057" s="20" t="n">
        <v>5.04</v>
      </c>
      <c r="V2057" s="21" t="n">
        <v>1</v>
      </c>
      <c r="W2057" s="20">
        <f>IF(OR(U2057="",V2057=""),U2057,U2057*V2057)</f>
        <v/>
      </c>
      <c r="X2057" s="18" t="inlineStr">
        <is>
          <t>3-28</t>
        </is>
      </c>
      <c r="Y2057" s="19" t="inlineStr"/>
      <c r="Z2057" s="18">
        <f>IF(Y2057="",X2057,Y2057)</f>
        <v/>
      </c>
      <c r="AA2057" s="18" t="inlineStr">
        <is>
          <t>submerged</t>
        </is>
      </c>
      <c r="AB2057" s="18" t="inlineStr"/>
      <c r="AC2057" s="18" t="inlineStr"/>
      <c r="AD2057" s="18" t="inlineStr">
        <is>
          <t>maxY=48</t>
        </is>
      </c>
      <c r="AE2057" s="18" t="inlineStr">
        <is>
          <t>sky 0-7</t>
        </is>
      </c>
      <c r="AF2057" s="18" t="inlineStr"/>
      <c r="AG2057" s="18" t="inlineStr"/>
      <c r="AH2057" s="18" t="inlineStr"/>
      <c r="AI2057" s="18" t="inlineStr"/>
      <c r="AJ2057" s="18" t="inlineStr">
        <is>
          <t>Cobblemon 동일</t>
        </is>
      </c>
      <c r="AK2057" s="18" t="inlineStr">
        <is>
          <t>사용</t>
        </is>
      </c>
      <c r="AL2057" s="18" t="inlineStr">
        <is>
          <t>COBBLEVERSE 1.7.42 / DP v31</t>
        </is>
      </c>
      <c r="AM2057" s="18" t="inlineStr">
        <is>
          <t>data/cobblemon/spawn_pool_world/0602_tynamo.json</t>
        </is>
      </c>
      <c r="AN2057" s="18" t="inlineStr">
        <is>
          <t>tynamo-2</t>
        </is>
      </c>
      <c r="AO2057" s="18" t="inlineStr">
        <is>
          <t>pokemon</t>
        </is>
      </c>
      <c r="AP2057" s="18" t="inlineStr">
        <is>
          <t>water</t>
        </is>
      </c>
      <c r="AQ2057" s="18" t="inlineStr">
        <is>
          <t>{"biomes":["#cobblemon:is_overworld"],"maxSkyLight":7,"maxY":48,"minSkyLight":0}</t>
        </is>
      </c>
      <c r="AR2057" s="18" t="inlineStr">
        <is>
          <t>{"biomes":["#cobblemon:is_lush"],"maxY":13,"minY":-60,"structures":["#cobblemon:shipwreck_cove"]}</t>
        </is>
      </c>
      <c r="AS2057" s="18" t="inlineStr"/>
      <c r="AT2057" s="19" t="inlineStr"/>
    </row>
    <row r="2058" ht="32" customHeight="1">
      <c r="A2058" s="18" t="inlineStr">
        <is>
          <t>0602_tynamo.json::tynamo-3::006</t>
        </is>
      </c>
      <c r="B2058" s="19" t="inlineStr">
        <is>
          <t>사용</t>
        </is>
      </c>
      <c r="C2058" s="18">
        <f>IF(OR(B2058&lt;&gt;AK2058,M2058&lt;&gt;L2058,O2058&lt;&gt;"",Q2058&lt;&gt;"",V2058&lt;&gt;1,Y2058&lt;&gt;"",AT2058&lt;&gt;""),"수정","원본")</f>
        <v/>
      </c>
      <c r="D2058" s="18" t="n">
        <v>602</v>
      </c>
      <c r="E2058" s="18" t="inlineStr">
        <is>
          <t>저리어</t>
        </is>
      </c>
      <c r="F2058" s="18" t="inlineStr">
        <is>
          <t>tynamo</t>
        </is>
      </c>
      <c r="G2058" s="18" t="inlineStr">
        <is>
          <t>tynamo</t>
        </is>
      </c>
      <c r="H2058" s="18" t="inlineStr"/>
      <c r="I2058" s="18" t="n">
        <v>5</v>
      </c>
      <c r="J2058" s="18" t="n"/>
      <c r="K2058" s="18" t="n">
        <v>5</v>
      </c>
      <c r="L2058" s="18" t="inlineStr">
        <is>
          <t>cobbleventure:generation_5</t>
        </is>
      </c>
      <c r="M2058" s="19" t="inlineStr">
        <is>
          <t>cobbleventure:generation_5</t>
        </is>
      </c>
      <c r="N2058" s="18" t="inlineStr">
        <is>
          <t>region_01; region_02</t>
        </is>
      </c>
      <c r="O2058" s="19" t="inlineStr"/>
      <c r="P2058" s="18" t="inlineStr">
        <is>
          <t>#cobblemon:is_overworld</t>
        </is>
      </c>
      <c r="Q2058" s="19" t="inlineStr"/>
      <c r="R2058" s="18">
        <f>IF(Q2058="",P2058,Q2058)</f>
        <v/>
      </c>
      <c r="S2058" s="18" t="inlineStr"/>
      <c r="T2058" s="18" t="inlineStr">
        <is>
          <t>common</t>
        </is>
      </c>
      <c r="U2058" s="20" t="n">
        <v>5.4</v>
      </c>
      <c r="V2058" s="21" t="n">
        <v>1</v>
      </c>
      <c r="W2058" s="20">
        <f>IF(OR(U2058="",V2058=""),U2058,U2058*V2058)</f>
        <v/>
      </c>
      <c r="X2058" s="18" t="inlineStr">
        <is>
          <t>3-28</t>
        </is>
      </c>
      <c r="Y2058" s="19" t="inlineStr"/>
      <c r="Z2058" s="18">
        <f>IF(Y2058="",X2058,Y2058)</f>
        <v/>
      </c>
      <c r="AA2058" s="18" t="inlineStr">
        <is>
          <t>submerged</t>
        </is>
      </c>
      <c r="AB2058" s="18" t="inlineStr"/>
      <c r="AC2058" s="18" t="inlineStr"/>
      <c r="AD2058" s="18" t="inlineStr">
        <is>
          <t>minY=-60, maxY=13</t>
        </is>
      </c>
      <c r="AE2058" s="18" t="inlineStr"/>
      <c r="AF2058" s="18" t="inlineStr">
        <is>
          <t>False</t>
        </is>
      </c>
      <c r="AG2058" s="18" t="inlineStr">
        <is>
          <t>cobblemon:shipwreck_coves/submerged_shipwreck_cove</t>
        </is>
      </c>
      <c r="AH2058" s="18" t="inlineStr"/>
      <c r="AI2058" s="18" t="inlineStr"/>
      <c r="AJ2058" s="18" t="inlineStr">
        <is>
          <t>Cobblemon 동일</t>
        </is>
      </c>
      <c r="AK2058" s="18" t="inlineStr">
        <is>
          <t>사용</t>
        </is>
      </c>
      <c r="AL2058" s="18" t="inlineStr">
        <is>
          <t>COBBLEVERSE 1.7.42 / DP v31</t>
        </is>
      </c>
      <c r="AM2058" s="18" t="inlineStr">
        <is>
          <t>data/cobblemon/spawn_pool_world/0602_tynamo.json</t>
        </is>
      </c>
      <c r="AN2058" s="18" t="inlineStr">
        <is>
          <t>tynamo-3</t>
        </is>
      </c>
      <c r="AO2058" s="18" t="inlineStr">
        <is>
          <t>pokemon</t>
        </is>
      </c>
      <c r="AP2058" s="18" t="inlineStr">
        <is>
          <t>water</t>
        </is>
      </c>
      <c r="AQ2058" s="18" t="inlineStr">
        <is>
          <t>{"biomes":["#cobblemon:is_overworld"],"canSeeSky":false,"maxY":13,"minY":-60,"structures":["cobblemon:shipwreck_coves/submerged_shipwreck_cove"]}</t>
        </is>
      </c>
      <c r="AR2058" s="18" t="inlineStr"/>
      <c r="AS2058" s="18" t="inlineStr"/>
      <c r="AT2058" s="19" t="inlineStr"/>
    </row>
    <row r="2059" ht="32" customHeight="1">
      <c r="A2059" s="18" t="inlineStr">
        <is>
          <t>0603_eelektrik.json::eelektrik-4::001</t>
        </is>
      </c>
      <c r="B2059" s="19" t="inlineStr">
        <is>
          <t>사용</t>
        </is>
      </c>
      <c r="C2059" s="18">
        <f>IF(OR(B2059&lt;&gt;AK2059,M2059&lt;&gt;L2059,O2059&lt;&gt;"",Q2059&lt;&gt;"",V2059&lt;&gt;1,Y2059&lt;&gt;"",AT2059&lt;&gt;""),"수정","원본")</f>
        <v/>
      </c>
      <c r="D2059" s="18" t="n">
        <v>603</v>
      </c>
      <c r="E2059" s="18" t="inlineStr">
        <is>
          <t>저리릴</t>
        </is>
      </c>
      <c r="F2059" s="18" t="inlineStr">
        <is>
          <t>eelektrik</t>
        </is>
      </c>
      <c r="G2059" s="18" t="inlineStr">
        <is>
          <t>eelektrik</t>
        </is>
      </c>
      <c r="H2059" s="18" t="inlineStr"/>
      <c r="I2059" s="18" t="n">
        <v>5</v>
      </c>
      <c r="J2059" s="18" t="n"/>
      <c r="K2059" s="18" t="n">
        <v>5</v>
      </c>
      <c r="L2059" s="18" t="inlineStr">
        <is>
          <t>cobbleventure:generation_5</t>
        </is>
      </c>
      <c r="M2059" s="19" t="inlineStr">
        <is>
          <t>cobbleventure:generation_5</t>
        </is>
      </c>
      <c r="N2059" s="18" t="inlineStr"/>
      <c r="O2059" s="19" t="inlineStr"/>
      <c r="P2059" s="18" t="inlineStr">
        <is>
          <t>#cobblemon:is_ocean</t>
        </is>
      </c>
      <c r="Q2059" s="19" t="inlineStr"/>
      <c r="R2059" s="18">
        <f>IF(Q2059="",P2059,Q2059)</f>
        <v/>
      </c>
      <c r="S2059" s="18" t="inlineStr"/>
      <c r="T2059" s="18" t="inlineStr">
        <is>
          <t>common</t>
        </is>
      </c>
      <c r="U2059" s="20" t="n">
        <v>0.19</v>
      </c>
      <c r="V2059" s="21" t="n">
        <v>1</v>
      </c>
      <c r="W2059" s="20">
        <f>IF(OR(U2059="",V2059=""),U2059,U2059*V2059)</f>
        <v/>
      </c>
      <c r="X2059" s="18" t="inlineStr">
        <is>
          <t>39-41</t>
        </is>
      </c>
      <c r="Y2059" s="19" t="inlineStr"/>
      <c r="Z2059" s="18">
        <f>IF(Y2059="",X2059,Y2059)</f>
        <v/>
      </c>
      <c r="AA2059" s="18" t="inlineStr">
        <is>
          <t>fishing</t>
        </is>
      </c>
      <c r="AB2059" s="18" t="inlineStr"/>
      <c r="AC2059" s="18" t="inlineStr"/>
      <c r="AD2059" s="18" t="inlineStr"/>
      <c r="AE2059" s="18" t="inlineStr"/>
      <c r="AF2059" s="18" t="inlineStr">
        <is>
          <t>True</t>
        </is>
      </c>
      <c r="AG2059" s="18" t="inlineStr"/>
      <c r="AH2059" s="18" t="inlineStr"/>
      <c r="AI2059" s="18" t="inlineStr"/>
      <c r="AJ2059" s="18" t="inlineStr">
        <is>
          <t>Cobblemon 동일</t>
        </is>
      </c>
      <c r="AK2059" s="18" t="inlineStr">
        <is>
          <t>사용</t>
        </is>
      </c>
      <c r="AL2059" s="18" t="inlineStr">
        <is>
          <t>COBBLEVERSE 1.7.42 / DP v31</t>
        </is>
      </c>
      <c r="AM2059" s="18" t="inlineStr">
        <is>
          <t>data/cobblemon/spawn_pool_world/0603_eelektrik.json</t>
        </is>
      </c>
      <c r="AN2059" s="18" t="inlineStr">
        <is>
          <t>eelektrik-4</t>
        </is>
      </c>
      <c r="AO2059" s="18" t="inlineStr">
        <is>
          <t>pokemon</t>
        </is>
      </c>
      <c r="AP2059" s="18" t="inlineStr"/>
      <c r="AQ2059" s="18" t="inlineStr">
        <is>
          <t>{"biomes":["#cobblemon:is_ocean"],"canSeeSky":true}</t>
        </is>
      </c>
      <c r="AR2059" s="18" t="inlineStr"/>
      <c r="AS2059" s="18" t="inlineStr">
        <is>
          <t>{"weightMultipliers":[{"condition":{"maxLureLevel":2,"minLureLevel":2},"multiplier":3.0},{"condition":{"minLureLevel":3},"multiplier":5.0}]}</t>
        </is>
      </c>
      <c r="AT2059" s="19" t="inlineStr"/>
    </row>
    <row r="2060" ht="32" customHeight="1">
      <c r="A2060" s="18" t="inlineStr">
        <is>
          <t>0603_eelektrik.json::eelektrik-5::002</t>
        </is>
      </c>
      <c r="B2060" s="19" t="inlineStr">
        <is>
          <t>사용</t>
        </is>
      </c>
      <c r="C2060" s="18">
        <f>IF(OR(B2060&lt;&gt;AK2060,M2060&lt;&gt;L2060,O2060&lt;&gt;"",Q2060&lt;&gt;"",V2060&lt;&gt;1,Y2060&lt;&gt;"",AT2060&lt;&gt;""),"수정","원본")</f>
        <v/>
      </c>
      <c r="D2060" s="18" t="n">
        <v>603</v>
      </c>
      <c r="E2060" s="18" t="inlineStr">
        <is>
          <t>저리릴</t>
        </is>
      </c>
      <c r="F2060" s="18" t="inlineStr">
        <is>
          <t>eelektrik</t>
        </is>
      </c>
      <c r="G2060" s="18" t="inlineStr">
        <is>
          <t>eelektrik</t>
        </is>
      </c>
      <c r="H2060" s="18" t="inlineStr"/>
      <c r="I2060" s="18" t="n">
        <v>5</v>
      </c>
      <c r="J2060" s="18" t="n"/>
      <c r="K2060" s="18" t="n">
        <v>5</v>
      </c>
      <c r="L2060" s="18" t="inlineStr">
        <is>
          <t>cobbleventure:generation_5</t>
        </is>
      </c>
      <c r="M2060" s="19" t="inlineStr">
        <is>
          <t>cobbleventure:generation_5</t>
        </is>
      </c>
      <c r="N2060" s="18" t="inlineStr">
        <is>
          <t>region_01; region_02</t>
        </is>
      </c>
      <c r="O2060" s="19" t="inlineStr"/>
      <c r="P2060" s="18" t="inlineStr">
        <is>
          <t>#cobblemon:is_overworld</t>
        </is>
      </c>
      <c r="Q2060" s="19" t="inlineStr"/>
      <c r="R2060" s="18">
        <f>IF(Q2060="",P2060,Q2060)</f>
        <v/>
      </c>
      <c r="S2060" s="18" t="inlineStr">
        <is>
          <t>#cobblemon:is_lush</t>
        </is>
      </c>
      <c r="T2060" s="18" t="inlineStr">
        <is>
          <t>common</t>
        </is>
      </c>
      <c r="U2060" s="20" t="n">
        <v>0.95</v>
      </c>
      <c r="V2060" s="21" t="n">
        <v>1</v>
      </c>
      <c r="W2060" s="20">
        <f>IF(OR(U2060="",V2060=""),U2060,U2060*V2060)</f>
        <v/>
      </c>
      <c r="X2060" s="18" t="inlineStr">
        <is>
          <t>39-41</t>
        </is>
      </c>
      <c r="Y2060" s="19" t="inlineStr"/>
      <c r="Z2060" s="18">
        <f>IF(Y2060="",X2060,Y2060)</f>
        <v/>
      </c>
      <c r="AA2060" s="18" t="inlineStr">
        <is>
          <t>fishing</t>
        </is>
      </c>
      <c r="AB2060" s="18" t="inlineStr"/>
      <c r="AC2060" s="18" t="inlineStr"/>
      <c r="AD2060" s="18" t="inlineStr"/>
      <c r="AE2060" s="18" t="inlineStr">
        <is>
          <t>sky 0-7</t>
        </is>
      </c>
      <c r="AF2060" s="18" t="inlineStr"/>
      <c r="AG2060" s="18" t="inlineStr"/>
      <c r="AH2060" s="18" t="inlineStr"/>
      <c r="AI2060" s="18" t="inlineStr"/>
      <c r="AJ2060" s="18" t="inlineStr">
        <is>
          <t>Cobblemon 동일</t>
        </is>
      </c>
      <c r="AK2060" s="18" t="inlineStr">
        <is>
          <t>사용</t>
        </is>
      </c>
      <c r="AL2060" s="18" t="inlineStr">
        <is>
          <t>COBBLEVERSE 1.7.42 / DP v31</t>
        </is>
      </c>
      <c r="AM2060" s="18" t="inlineStr">
        <is>
          <t>data/cobblemon/spawn_pool_world/0603_eelektrik.json</t>
        </is>
      </c>
      <c r="AN2060" s="18" t="inlineStr">
        <is>
          <t>eelektrik-5</t>
        </is>
      </c>
      <c r="AO2060" s="18" t="inlineStr">
        <is>
          <t>pokemon</t>
        </is>
      </c>
      <c r="AP2060" s="18" t="inlineStr"/>
      <c r="AQ2060" s="18" t="inlineStr">
        <is>
          <t>{"biomes":["#cobblemon:is_overworld"],"maxSkyLight":7,"minSkyLight":0}</t>
        </is>
      </c>
      <c r="AR2060" s="18" t="inlineStr">
        <is>
          <t>{"biomes":["#cobblemon:is_lush"]}</t>
        </is>
      </c>
      <c r="AS2060" s="18" t="inlineStr">
        <is>
          <t>{"weightMultiplier":{"condition":{"maxLureLevel":1,"minLureLevel":0},"multiplier":0.6}}</t>
        </is>
      </c>
      <c r="AT2060" s="19" t="inlineStr"/>
    </row>
    <row r="2061" ht="32" customHeight="1">
      <c r="A2061" s="18" t="inlineStr">
        <is>
          <t>0603_eelektrik.json::eelektrik-6::003</t>
        </is>
      </c>
      <c r="B2061" s="19" t="inlineStr">
        <is>
          <t>사용</t>
        </is>
      </c>
      <c r="C2061" s="18">
        <f>IF(OR(B2061&lt;&gt;AK2061,M2061&lt;&gt;L2061,O2061&lt;&gt;"",Q2061&lt;&gt;"",V2061&lt;&gt;1,Y2061&lt;&gt;"",AT2061&lt;&gt;""),"수정","원본")</f>
        <v/>
      </c>
      <c r="D2061" s="18" t="n">
        <v>603</v>
      </c>
      <c r="E2061" s="18" t="inlineStr">
        <is>
          <t>저리릴</t>
        </is>
      </c>
      <c r="F2061" s="18" t="inlineStr">
        <is>
          <t>eelektrik</t>
        </is>
      </c>
      <c r="G2061" s="18" t="inlineStr">
        <is>
          <t>eelektrik</t>
        </is>
      </c>
      <c r="H2061" s="18" t="inlineStr"/>
      <c r="I2061" s="18" t="n">
        <v>5</v>
      </c>
      <c r="J2061" s="18" t="n"/>
      <c r="K2061" s="18" t="n">
        <v>5</v>
      </c>
      <c r="L2061" s="18" t="inlineStr">
        <is>
          <t>cobbleventure:generation_5</t>
        </is>
      </c>
      <c r="M2061" s="19" t="inlineStr">
        <is>
          <t>cobbleventure:generation_5</t>
        </is>
      </c>
      <c r="N2061" s="18" t="inlineStr"/>
      <c r="O2061" s="19" t="inlineStr"/>
      <c r="P2061" s="18" t="inlineStr">
        <is>
          <t>#cobblemon:is_ocean</t>
        </is>
      </c>
      <c r="Q2061" s="19" t="inlineStr"/>
      <c r="R2061" s="18">
        <f>IF(Q2061="",P2061,Q2061)</f>
        <v/>
      </c>
      <c r="S2061" s="18" t="inlineStr"/>
      <c r="T2061" s="18" t="inlineStr">
        <is>
          <t>common</t>
        </is>
      </c>
      <c r="U2061" s="20" t="n">
        <v>0.19</v>
      </c>
      <c r="V2061" s="21" t="n">
        <v>1</v>
      </c>
      <c r="W2061" s="20">
        <f>IF(OR(U2061="",V2061=""),U2061,U2061*V2061)</f>
        <v/>
      </c>
      <c r="X2061" s="18" t="inlineStr">
        <is>
          <t>39-41</t>
        </is>
      </c>
      <c r="Y2061" s="19" t="inlineStr"/>
      <c r="Z2061" s="18">
        <f>IF(Y2061="",X2061,Y2061)</f>
        <v/>
      </c>
      <c r="AA2061" s="18" t="inlineStr">
        <is>
          <t>fishing</t>
        </is>
      </c>
      <c r="AB2061" s="18" t="inlineStr"/>
      <c r="AC2061" s="18" t="inlineStr"/>
      <c r="AD2061" s="18" t="inlineStr"/>
      <c r="AE2061" s="18" t="inlineStr">
        <is>
          <t>sky 8-15</t>
        </is>
      </c>
      <c r="AF2061" s="18" t="inlineStr">
        <is>
          <t>False</t>
        </is>
      </c>
      <c r="AG2061" s="18" t="inlineStr"/>
      <c r="AH2061" s="18" t="inlineStr"/>
      <c r="AI2061" s="18" t="inlineStr"/>
      <c r="AJ2061" s="18" t="inlineStr">
        <is>
          <t>Cobblemon 동일</t>
        </is>
      </c>
      <c r="AK2061" s="18" t="inlineStr">
        <is>
          <t>사용</t>
        </is>
      </c>
      <c r="AL2061" s="18" t="inlineStr">
        <is>
          <t>COBBLEVERSE 1.7.42 / DP v31</t>
        </is>
      </c>
      <c r="AM2061" s="18" t="inlineStr">
        <is>
          <t>data/cobblemon/spawn_pool_world/0603_eelektrik.json</t>
        </is>
      </c>
      <c r="AN2061" s="18" t="inlineStr">
        <is>
          <t>eelektrik-6</t>
        </is>
      </c>
      <c r="AO2061" s="18" t="inlineStr">
        <is>
          <t>pokemon</t>
        </is>
      </c>
      <c r="AP2061" s="18" t="inlineStr"/>
      <c r="AQ2061" s="18" t="inlineStr">
        <is>
          <t>{"biomes":["#cobblemon:is_ocean"],"canSeeSky":false,"maxSkyLight":15,"minSkyLight":8}</t>
        </is>
      </c>
      <c r="AR2061" s="18" t="inlineStr"/>
      <c r="AS2061" s="18" t="inlineStr">
        <is>
          <t>{"weightMultipliers":[{"condition":{"maxLureLevel":2,"minLureLevel":2},"multiplier":3.0},{"condition":{"minLureLevel":3},"multiplier":5.0}]}</t>
        </is>
      </c>
      <c r="AT2061" s="19" t="inlineStr"/>
    </row>
    <row r="2062" ht="32" customHeight="1">
      <c r="A2062" s="18" t="inlineStr">
        <is>
          <t>0603_eelektrik.json::eelektrik-1::004</t>
        </is>
      </c>
      <c r="B2062" s="19" t="inlineStr">
        <is>
          <t>사용</t>
        </is>
      </c>
      <c r="C2062" s="18">
        <f>IF(OR(B2062&lt;&gt;AK2062,M2062&lt;&gt;L2062,O2062&lt;&gt;"",Q2062&lt;&gt;"",V2062&lt;&gt;1,Y2062&lt;&gt;"",AT2062&lt;&gt;""),"수정","원본")</f>
        <v/>
      </c>
      <c r="D2062" s="18" t="n">
        <v>603</v>
      </c>
      <c r="E2062" s="18" t="inlineStr">
        <is>
          <t>저리릴</t>
        </is>
      </c>
      <c r="F2062" s="18" t="inlineStr">
        <is>
          <t>eelektrik</t>
        </is>
      </c>
      <c r="G2062" s="18" t="inlineStr">
        <is>
          <t>eelektrik</t>
        </is>
      </c>
      <c r="H2062" s="18" t="inlineStr"/>
      <c r="I2062" s="18" t="n">
        <v>5</v>
      </c>
      <c r="J2062" s="18" t="n"/>
      <c r="K2062" s="18" t="n">
        <v>5</v>
      </c>
      <c r="L2062" s="18" t="inlineStr">
        <is>
          <t>cobbleventure:generation_5</t>
        </is>
      </c>
      <c r="M2062" s="19" t="inlineStr">
        <is>
          <t>cobbleventure:generation_5</t>
        </is>
      </c>
      <c r="N2062" s="18" t="inlineStr"/>
      <c r="O2062" s="19" t="inlineStr"/>
      <c r="P2062" s="18" t="inlineStr">
        <is>
          <t>#cobblemon:is_ocean</t>
        </is>
      </c>
      <c r="Q2062" s="19" t="inlineStr"/>
      <c r="R2062" s="18">
        <f>IF(Q2062="",P2062,Q2062)</f>
        <v/>
      </c>
      <c r="S2062" s="18" t="inlineStr"/>
      <c r="T2062" s="18" t="inlineStr">
        <is>
          <t>common</t>
        </is>
      </c>
      <c r="U2062" s="20" t="n">
        <v>0.19</v>
      </c>
      <c r="V2062" s="21" t="n">
        <v>1</v>
      </c>
      <c r="W2062" s="20">
        <f>IF(OR(U2062="",V2062=""),U2062,U2062*V2062)</f>
        <v/>
      </c>
      <c r="X2062" s="18" t="inlineStr">
        <is>
          <t>39-41</t>
        </is>
      </c>
      <c r="Y2062" s="19" t="inlineStr"/>
      <c r="Z2062" s="18">
        <f>IF(Y2062="",X2062,Y2062)</f>
        <v/>
      </c>
      <c r="AA2062" s="18" t="inlineStr">
        <is>
          <t>submerged</t>
        </is>
      </c>
      <c r="AB2062" s="18" t="inlineStr"/>
      <c r="AC2062" s="18" t="inlineStr"/>
      <c r="AD2062" s="18" t="inlineStr">
        <is>
          <t>maxY=48</t>
        </is>
      </c>
      <c r="AE2062" s="18" t="inlineStr"/>
      <c r="AF2062" s="18" t="inlineStr"/>
      <c r="AG2062" s="18" t="inlineStr"/>
      <c r="AH2062" s="18" t="inlineStr"/>
      <c r="AI2062" s="18" t="inlineStr"/>
      <c r="AJ2062" s="18" t="inlineStr">
        <is>
          <t>Cobblemon 동일</t>
        </is>
      </c>
      <c r="AK2062" s="18" t="inlineStr">
        <is>
          <t>사용</t>
        </is>
      </c>
      <c r="AL2062" s="18" t="inlineStr">
        <is>
          <t>COBBLEVERSE 1.7.42 / DP v31</t>
        </is>
      </c>
      <c r="AM2062" s="18" t="inlineStr">
        <is>
          <t>data/cobblemon/spawn_pool_world/0603_eelektrik.json</t>
        </is>
      </c>
      <c r="AN2062" s="18" t="inlineStr">
        <is>
          <t>eelektrik-1</t>
        </is>
      </c>
      <c r="AO2062" s="18" t="inlineStr">
        <is>
          <t>pokemon</t>
        </is>
      </c>
      <c r="AP2062" s="18" t="inlineStr">
        <is>
          <t>water</t>
        </is>
      </c>
      <c r="AQ2062" s="18" t="inlineStr">
        <is>
          <t>{"biomes":["#cobblemon:is_ocean"],"maxY":48}</t>
        </is>
      </c>
      <c r="AR2062" s="18" t="inlineStr"/>
      <c r="AS2062" s="18" t="inlineStr"/>
      <c r="AT2062" s="19" t="inlineStr"/>
    </row>
    <row r="2063" ht="32" customHeight="1">
      <c r="A2063" s="18" t="inlineStr">
        <is>
          <t>0603_eelektrik.json::eelektrik-2::005</t>
        </is>
      </c>
      <c r="B2063" s="19" t="inlineStr">
        <is>
          <t>사용</t>
        </is>
      </c>
      <c r="C2063" s="18">
        <f>IF(OR(B2063&lt;&gt;AK2063,M2063&lt;&gt;L2063,O2063&lt;&gt;"",Q2063&lt;&gt;"",V2063&lt;&gt;1,Y2063&lt;&gt;"",AT2063&lt;&gt;""),"수정","원본")</f>
        <v/>
      </c>
      <c r="D2063" s="18" t="n">
        <v>603</v>
      </c>
      <c r="E2063" s="18" t="inlineStr">
        <is>
          <t>저리릴</t>
        </is>
      </c>
      <c r="F2063" s="18" t="inlineStr">
        <is>
          <t>eelektrik</t>
        </is>
      </c>
      <c r="G2063" s="18" t="inlineStr">
        <is>
          <t>eelektrik</t>
        </is>
      </c>
      <c r="H2063" s="18" t="inlineStr"/>
      <c r="I2063" s="18" t="n">
        <v>5</v>
      </c>
      <c r="J2063" s="18" t="n"/>
      <c r="K2063" s="18" t="n">
        <v>5</v>
      </c>
      <c r="L2063" s="18" t="inlineStr">
        <is>
          <t>cobbleventure:generation_5</t>
        </is>
      </c>
      <c r="M2063" s="19" t="inlineStr">
        <is>
          <t>cobbleventure:generation_5</t>
        </is>
      </c>
      <c r="N2063" s="18" t="inlineStr">
        <is>
          <t>region_01; region_02</t>
        </is>
      </c>
      <c r="O2063" s="19" t="inlineStr"/>
      <c r="P2063" s="18" t="inlineStr">
        <is>
          <t>#cobblemon:is_overworld</t>
        </is>
      </c>
      <c r="Q2063" s="19" t="inlineStr"/>
      <c r="R2063" s="18">
        <f>IF(Q2063="",P2063,Q2063)</f>
        <v/>
      </c>
      <c r="S2063" s="18" t="inlineStr">
        <is>
          <t>#cobblemon:is_lush</t>
        </is>
      </c>
      <c r="T2063" s="18" t="inlineStr">
        <is>
          <t>uncommon</t>
        </is>
      </c>
      <c r="U2063" s="20" t="n">
        <v>0.712</v>
      </c>
      <c r="V2063" s="21" t="n">
        <v>1</v>
      </c>
      <c r="W2063" s="20">
        <f>IF(OR(U2063="",V2063=""),U2063,U2063*V2063)</f>
        <v/>
      </c>
      <c r="X2063" s="18" t="inlineStr">
        <is>
          <t>39-41</t>
        </is>
      </c>
      <c r="Y2063" s="19" t="inlineStr"/>
      <c r="Z2063" s="18">
        <f>IF(Y2063="",X2063,Y2063)</f>
        <v/>
      </c>
      <c r="AA2063" s="18" t="inlineStr">
        <is>
          <t>submerged</t>
        </is>
      </c>
      <c r="AB2063" s="18" t="inlineStr"/>
      <c r="AC2063" s="18" t="inlineStr"/>
      <c r="AD2063" s="18" t="inlineStr">
        <is>
          <t>maxY=48</t>
        </is>
      </c>
      <c r="AE2063" s="18" t="inlineStr">
        <is>
          <t>sky 0-7</t>
        </is>
      </c>
      <c r="AF2063" s="18" t="inlineStr"/>
      <c r="AG2063" s="18" t="inlineStr"/>
      <c r="AH2063" s="18" t="inlineStr"/>
      <c r="AI2063" s="18" t="inlineStr"/>
      <c r="AJ2063" s="18" t="inlineStr">
        <is>
          <t>Cobblemon 동일</t>
        </is>
      </c>
      <c r="AK2063" s="18" t="inlineStr">
        <is>
          <t>사용</t>
        </is>
      </c>
      <c r="AL2063" s="18" t="inlineStr">
        <is>
          <t>COBBLEVERSE 1.7.42 / DP v31</t>
        </is>
      </c>
      <c r="AM2063" s="18" t="inlineStr">
        <is>
          <t>data/cobblemon/spawn_pool_world/0603_eelektrik.json</t>
        </is>
      </c>
      <c r="AN2063" s="18" t="inlineStr">
        <is>
          <t>eelektrik-2</t>
        </is>
      </c>
      <c r="AO2063" s="18" t="inlineStr">
        <is>
          <t>pokemon</t>
        </is>
      </c>
      <c r="AP2063" s="18" t="inlineStr">
        <is>
          <t>water</t>
        </is>
      </c>
      <c r="AQ2063" s="18" t="inlineStr">
        <is>
          <t>{"biomes":["#cobblemon:is_overworld"],"maxSkyLight":7,"maxY":48,"minSkyLight":0}</t>
        </is>
      </c>
      <c r="AR2063" s="18" t="inlineStr">
        <is>
          <t>{"biomes":["#cobblemon:is_lush"],"maxY":13,"minY":-60,"structures":["#cobblemon:shipwreck_cove"]}</t>
        </is>
      </c>
      <c r="AS2063" s="18" t="inlineStr"/>
      <c r="AT2063" s="19" t="inlineStr"/>
    </row>
    <row r="2064" ht="32" customHeight="1">
      <c r="A2064" s="18" t="inlineStr">
        <is>
          <t>0603_eelektrik.json::eelektrik-3::006</t>
        </is>
      </c>
      <c r="B2064" s="19" t="inlineStr">
        <is>
          <t>사용</t>
        </is>
      </c>
      <c r="C2064" s="18">
        <f>IF(OR(B2064&lt;&gt;AK2064,M2064&lt;&gt;L2064,O2064&lt;&gt;"",Q2064&lt;&gt;"",V2064&lt;&gt;1,Y2064&lt;&gt;"",AT2064&lt;&gt;""),"수정","원본")</f>
        <v/>
      </c>
      <c r="D2064" s="18" t="n">
        <v>603</v>
      </c>
      <c r="E2064" s="18" t="inlineStr">
        <is>
          <t>저리릴</t>
        </is>
      </c>
      <c r="F2064" s="18" t="inlineStr">
        <is>
          <t>eelektrik</t>
        </is>
      </c>
      <c r="G2064" s="18" t="inlineStr">
        <is>
          <t>eelektrik</t>
        </is>
      </c>
      <c r="H2064" s="18" t="inlineStr"/>
      <c r="I2064" s="18" t="n">
        <v>5</v>
      </c>
      <c r="J2064" s="18" t="n"/>
      <c r="K2064" s="18" t="n">
        <v>5</v>
      </c>
      <c r="L2064" s="18" t="inlineStr">
        <is>
          <t>cobbleventure:generation_5</t>
        </is>
      </c>
      <c r="M2064" s="19" t="inlineStr">
        <is>
          <t>cobbleventure:generation_5</t>
        </is>
      </c>
      <c r="N2064" s="18" t="inlineStr">
        <is>
          <t>region_01; region_02</t>
        </is>
      </c>
      <c r="O2064" s="19" t="inlineStr"/>
      <c r="P2064" s="18" t="inlineStr">
        <is>
          <t>#cobblemon:is_overworld</t>
        </is>
      </c>
      <c r="Q2064" s="19" t="inlineStr"/>
      <c r="R2064" s="18">
        <f>IF(Q2064="",P2064,Q2064)</f>
        <v/>
      </c>
      <c r="S2064" s="18" t="inlineStr"/>
      <c r="T2064" s="18" t="inlineStr">
        <is>
          <t>common</t>
        </is>
      </c>
      <c r="U2064" s="20" t="n">
        <v>0.57</v>
      </c>
      <c r="V2064" s="21" t="n">
        <v>1</v>
      </c>
      <c r="W2064" s="20">
        <f>IF(OR(U2064="",V2064=""),U2064,U2064*V2064)</f>
        <v/>
      </c>
      <c r="X2064" s="18" t="inlineStr">
        <is>
          <t>39-41</t>
        </is>
      </c>
      <c r="Y2064" s="19" t="inlineStr"/>
      <c r="Z2064" s="18">
        <f>IF(Y2064="",X2064,Y2064)</f>
        <v/>
      </c>
      <c r="AA2064" s="18" t="inlineStr">
        <is>
          <t>submerged</t>
        </is>
      </c>
      <c r="AB2064" s="18" t="inlineStr"/>
      <c r="AC2064" s="18" t="inlineStr"/>
      <c r="AD2064" s="18" t="inlineStr">
        <is>
          <t>minY=-60, maxY=13</t>
        </is>
      </c>
      <c r="AE2064" s="18" t="inlineStr"/>
      <c r="AF2064" s="18" t="inlineStr">
        <is>
          <t>False</t>
        </is>
      </c>
      <c r="AG2064" s="18" t="inlineStr">
        <is>
          <t>cobblemon:shipwreck_coves/submerged_shipwreck_cove</t>
        </is>
      </c>
      <c r="AH2064" s="18" t="inlineStr"/>
      <c r="AI2064" s="18" t="inlineStr"/>
      <c r="AJ2064" s="18" t="inlineStr">
        <is>
          <t>Cobblemon 동일</t>
        </is>
      </c>
      <c r="AK2064" s="18" t="inlineStr">
        <is>
          <t>사용</t>
        </is>
      </c>
      <c r="AL2064" s="18" t="inlineStr">
        <is>
          <t>COBBLEVERSE 1.7.42 / DP v31</t>
        </is>
      </c>
      <c r="AM2064" s="18" t="inlineStr">
        <is>
          <t>data/cobblemon/spawn_pool_world/0603_eelektrik.json</t>
        </is>
      </c>
      <c r="AN2064" s="18" t="inlineStr">
        <is>
          <t>eelektrik-3</t>
        </is>
      </c>
      <c r="AO2064" s="18" t="inlineStr">
        <is>
          <t>pokemon</t>
        </is>
      </c>
      <c r="AP2064" s="18" t="inlineStr">
        <is>
          <t>water</t>
        </is>
      </c>
      <c r="AQ2064" s="18" t="inlineStr">
        <is>
          <t>{"biomes":["#cobblemon:is_overworld"],"canSeeSky":false,"maxY":13,"minY":-60,"structures":["cobblemon:shipwreck_coves/submerged_shipwreck_cove"]}</t>
        </is>
      </c>
      <c r="AR2064" s="18" t="inlineStr"/>
      <c r="AS2064" s="18" t="inlineStr"/>
      <c r="AT2064" s="19" t="inlineStr"/>
    </row>
    <row r="2065" ht="32" customHeight="1">
      <c r="A2065" s="18" t="inlineStr">
        <is>
          <t>0604_eelektross.json::eelektross-4::001</t>
        </is>
      </c>
      <c r="B2065" s="19" t="inlineStr">
        <is>
          <t>사용</t>
        </is>
      </c>
      <c r="C2065" s="18">
        <f>IF(OR(B2065&lt;&gt;AK2065,M2065&lt;&gt;L2065,O2065&lt;&gt;"",Q2065&lt;&gt;"",V2065&lt;&gt;1,Y2065&lt;&gt;"",AT2065&lt;&gt;""),"수정","원본")</f>
        <v/>
      </c>
      <c r="D2065" s="18" t="n">
        <v>604</v>
      </c>
      <c r="E2065" s="18" t="inlineStr">
        <is>
          <t>저리더프</t>
        </is>
      </c>
      <c r="F2065" s="18" t="inlineStr">
        <is>
          <t>eelektross</t>
        </is>
      </c>
      <c r="G2065" s="18" t="inlineStr">
        <is>
          <t>eelektross</t>
        </is>
      </c>
      <c r="H2065" s="18" t="inlineStr"/>
      <c r="I2065" s="18" t="n">
        <v>5</v>
      </c>
      <c r="J2065" s="18" t="n"/>
      <c r="K2065" s="18" t="n">
        <v>5</v>
      </c>
      <c r="L2065" s="18" t="inlineStr">
        <is>
          <t>cobbleventure:generation_5</t>
        </is>
      </c>
      <c r="M2065" s="19" t="inlineStr">
        <is>
          <t>cobbleventure:generation_5</t>
        </is>
      </c>
      <c r="N2065" s="18" t="inlineStr"/>
      <c r="O2065" s="19" t="inlineStr"/>
      <c r="P2065" s="18" t="inlineStr">
        <is>
          <t>#cobblemon:is_ocean</t>
        </is>
      </c>
      <c r="Q2065" s="19" t="inlineStr"/>
      <c r="R2065" s="18">
        <f>IF(Q2065="",P2065,Q2065)</f>
        <v/>
      </c>
      <c r="S2065" s="18" t="inlineStr"/>
      <c r="T2065" s="18" t="inlineStr">
        <is>
          <t>common</t>
        </is>
      </c>
      <c r="U2065" s="20" t="n">
        <v>0.01</v>
      </c>
      <c r="V2065" s="21" t="n">
        <v>1</v>
      </c>
      <c r="W2065" s="20">
        <f>IF(OR(U2065="",V2065=""),U2065,U2065*V2065)</f>
        <v/>
      </c>
      <c r="X2065" s="18" t="inlineStr">
        <is>
          <t>36-52</t>
        </is>
      </c>
      <c r="Y2065" s="19" t="inlineStr"/>
      <c r="Z2065" s="18">
        <f>IF(Y2065="",X2065,Y2065)</f>
        <v/>
      </c>
      <c r="AA2065" s="18" t="inlineStr">
        <is>
          <t>fishing</t>
        </is>
      </c>
      <c r="AB2065" s="18" t="inlineStr"/>
      <c r="AC2065" s="18" t="inlineStr"/>
      <c r="AD2065" s="18" t="inlineStr"/>
      <c r="AE2065" s="18" t="inlineStr"/>
      <c r="AF2065" s="18" t="inlineStr">
        <is>
          <t>True</t>
        </is>
      </c>
      <c r="AG2065" s="18" t="inlineStr"/>
      <c r="AH2065" s="18" t="inlineStr"/>
      <c r="AI2065" s="18" t="inlineStr"/>
      <c r="AJ2065" s="18" t="inlineStr">
        <is>
          <t>Cobblemon 동일</t>
        </is>
      </c>
      <c r="AK2065" s="18" t="inlineStr">
        <is>
          <t>사용</t>
        </is>
      </c>
      <c r="AL2065" s="18" t="inlineStr">
        <is>
          <t>COBBLEVERSE 1.7.42 / DP v31</t>
        </is>
      </c>
      <c r="AM2065" s="18" t="inlineStr">
        <is>
          <t>data/cobblemon/spawn_pool_world/0604_eelektross.json</t>
        </is>
      </c>
      <c r="AN2065" s="18" t="inlineStr">
        <is>
          <t>eelektross-4</t>
        </is>
      </c>
      <c r="AO2065" s="18" t="inlineStr">
        <is>
          <t>pokemon</t>
        </is>
      </c>
      <c r="AP2065" s="18" t="inlineStr"/>
      <c r="AQ2065" s="18" t="inlineStr">
        <is>
          <t>{"biomes":["#cobblemon:is_ocean"],"canSeeSky":true}</t>
        </is>
      </c>
      <c r="AR2065" s="18" t="inlineStr"/>
      <c r="AS2065" s="18" t="inlineStr">
        <is>
          <t>{"weightMultipliers":[{"condition":{"maxLureLevel":2,"minLureLevel":2},"multiplier":3.0},{"condition":{"minLureLevel":3},"multiplier":5.0}]}</t>
        </is>
      </c>
      <c r="AT2065" s="19" t="inlineStr"/>
    </row>
    <row r="2066" ht="32" customHeight="1">
      <c r="A2066" s="18" t="inlineStr">
        <is>
          <t>0604_eelektross.json::eelektross-5::002</t>
        </is>
      </c>
      <c r="B2066" s="19" t="inlineStr">
        <is>
          <t>사용</t>
        </is>
      </c>
      <c r="C2066" s="18">
        <f>IF(OR(B2066&lt;&gt;AK2066,M2066&lt;&gt;L2066,O2066&lt;&gt;"",Q2066&lt;&gt;"",V2066&lt;&gt;1,Y2066&lt;&gt;"",AT2066&lt;&gt;""),"수정","원본")</f>
        <v/>
      </c>
      <c r="D2066" s="18" t="n">
        <v>604</v>
      </c>
      <c r="E2066" s="18" t="inlineStr">
        <is>
          <t>저리더프</t>
        </is>
      </c>
      <c r="F2066" s="18" t="inlineStr">
        <is>
          <t>eelektross</t>
        </is>
      </c>
      <c r="G2066" s="18" t="inlineStr">
        <is>
          <t>eelektross</t>
        </is>
      </c>
      <c r="H2066" s="18" t="inlineStr"/>
      <c r="I2066" s="18" t="n">
        <v>5</v>
      </c>
      <c r="J2066" s="18" t="n"/>
      <c r="K2066" s="18" t="n">
        <v>5</v>
      </c>
      <c r="L2066" s="18" t="inlineStr">
        <is>
          <t>cobbleventure:generation_5</t>
        </is>
      </c>
      <c r="M2066" s="19" t="inlineStr">
        <is>
          <t>cobbleventure:generation_5</t>
        </is>
      </c>
      <c r="N2066" s="18" t="inlineStr">
        <is>
          <t>region_01; region_02</t>
        </is>
      </c>
      <c r="O2066" s="19" t="inlineStr"/>
      <c r="P2066" s="18" t="inlineStr">
        <is>
          <t>#cobblemon:is_overworld</t>
        </is>
      </c>
      <c r="Q2066" s="19" t="inlineStr"/>
      <c r="R2066" s="18">
        <f>IF(Q2066="",P2066,Q2066)</f>
        <v/>
      </c>
      <c r="S2066" s="18" t="inlineStr">
        <is>
          <t>#cobblemon:is_lush</t>
        </is>
      </c>
      <c r="T2066" s="18" t="inlineStr">
        <is>
          <t>common</t>
        </is>
      </c>
      <c r="U2066" s="20" t="n">
        <v>0.05</v>
      </c>
      <c r="V2066" s="21" t="n">
        <v>1</v>
      </c>
      <c r="W2066" s="20">
        <f>IF(OR(U2066="",V2066=""),U2066,U2066*V2066)</f>
        <v/>
      </c>
      <c r="X2066" s="18" t="inlineStr">
        <is>
          <t>36-52</t>
        </is>
      </c>
      <c r="Y2066" s="19" t="inlineStr"/>
      <c r="Z2066" s="18">
        <f>IF(Y2066="",X2066,Y2066)</f>
        <v/>
      </c>
      <c r="AA2066" s="18" t="inlineStr">
        <is>
          <t>fishing</t>
        </is>
      </c>
      <c r="AB2066" s="18" t="inlineStr"/>
      <c r="AC2066" s="18" t="inlineStr"/>
      <c r="AD2066" s="18" t="inlineStr"/>
      <c r="AE2066" s="18" t="inlineStr">
        <is>
          <t>sky 0-7</t>
        </is>
      </c>
      <c r="AF2066" s="18" t="inlineStr"/>
      <c r="AG2066" s="18" t="inlineStr"/>
      <c r="AH2066" s="18" t="inlineStr"/>
      <c r="AI2066" s="18" t="inlineStr"/>
      <c r="AJ2066" s="18" t="inlineStr">
        <is>
          <t>Cobblemon 동일</t>
        </is>
      </c>
      <c r="AK2066" s="18" t="inlineStr">
        <is>
          <t>사용</t>
        </is>
      </c>
      <c r="AL2066" s="18" t="inlineStr">
        <is>
          <t>COBBLEVERSE 1.7.42 / DP v31</t>
        </is>
      </c>
      <c r="AM2066" s="18" t="inlineStr">
        <is>
          <t>data/cobblemon/spawn_pool_world/0604_eelektross.json</t>
        </is>
      </c>
      <c r="AN2066" s="18" t="inlineStr">
        <is>
          <t>eelektross-5</t>
        </is>
      </c>
      <c r="AO2066" s="18" t="inlineStr">
        <is>
          <t>pokemon</t>
        </is>
      </c>
      <c r="AP2066" s="18" t="inlineStr"/>
      <c r="AQ2066" s="18" t="inlineStr">
        <is>
          <t>{"biomes":["#cobblemon:is_overworld"],"maxSkyLight":7,"minSkyLight":0}</t>
        </is>
      </c>
      <c r="AR2066" s="18" t="inlineStr">
        <is>
          <t>{"biomes":["#cobblemon:is_lush"]}</t>
        </is>
      </c>
      <c r="AS2066" s="18" t="inlineStr">
        <is>
          <t>{"weightMultiplier":{"condition":{"maxLureLevel":1,"minLureLevel":0},"multiplier":0.6}}</t>
        </is>
      </c>
      <c r="AT2066" s="19" t="inlineStr"/>
    </row>
    <row r="2067" ht="32" customHeight="1">
      <c r="A2067" s="18" t="inlineStr">
        <is>
          <t>0604_eelektross.json::eelektross-6::003</t>
        </is>
      </c>
      <c r="B2067" s="19" t="inlineStr">
        <is>
          <t>사용</t>
        </is>
      </c>
      <c r="C2067" s="18">
        <f>IF(OR(B2067&lt;&gt;AK2067,M2067&lt;&gt;L2067,O2067&lt;&gt;"",Q2067&lt;&gt;"",V2067&lt;&gt;1,Y2067&lt;&gt;"",AT2067&lt;&gt;""),"수정","원본")</f>
        <v/>
      </c>
      <c r="D2067" s="18" t="n">
        <v>604</v>
      </c>
      <c r="E2067" s="18" t="inlineStr">
        <is>
          <t>저리더프</t>
        </is>
      </c>
      <c r="F2067" s="18" t="inlineStr">
        <is>
          <t>eelektross</t>
        </is>
      </c>
      <c r="G2067" s="18" t="inlineStr">
        <is>
          <t>eelektross</t>
        </is>
      </c>
      <c r="H2067" s="18" t="inlineStr"/>
      <c r="I2067" s="18" t="n">
        <v>5</v>
      </c>
      <c r="J2067" s="18" t="n"/>
      <c r="K2067" s="18" t="n">
        <v>5</v>
      </c>
      <c r="L2067" s="18" t="inlineStr">
        <is>
          <t>cobbleventure:generation_5</t>
        </is>
      </c>
      <c r="M2067" s="19" t="inlineStr">
        <is>
          <t>cobbleventure:generation_5</t>
        </is>
      </c>
      <c r="N2067" s="18" t="inlineStr"/>
      <c r="O2067" s="19" t="inlineStr"/>
      <c r="P2067" s="18" t="inlineStr">
        <is>
          <t>#cobblemon:is_ocean</t>
        </is>
      </c>
      <c r="Q2067" s="19" t="inlineStr"/>
      <c r="R2067" s="18">
        <f>IF(Q2067="",P2067,Q2067)</f>
        <v/>
      </c>
      <c r="S2067" s="18" t="inlineStr"/>
      <c r="T2067" s="18" t="inlineStr">
        <is>
          <t>common</t>
        </is>
      </c>
      <c r="U2067" s="20" t="n">
        <v>0.01</v>
      </c>
      <c r="V2067" s="21" t="n">
        <v>1</v>
      </c>
      <c r="W2067" s="20">
        <f>IF(OR(U2067="",V2067=""),U2067,U2067*V2067)</f>
        <v/>
      </c>
      <c r="X2067" s="18" t="inlineStr">
        <is>
          <t>36-52</t>
        </is>
      </c>
      <c r="Y2067" s="19" t="inlineStr"/>
      <c r="Z2067" s="18">
        <f>IF(Y2067="",X2067,Y2067)</f>
        <v/>
      </c>
      <c r="AA2067" s="18" t="inlineStr">
        <is>
          <t>fishing</t>
        </is>
      </c>
      <c r="AB2067" s="18" t="inlineStr"/>
      <c r="AC2067" s="18" t="inlineStr"/>
      <c r="AD2067" s="18" t="inlineStr"/>
      <c r="AE2067" s="18" t="inlineStr">
        <is>
          <t>sky 8-15</t>
        </is>
      </c>
      <c r="AF2067" s="18" t="inlineStr">
        <is>
          <t>False</t>
        </is>
      </c>
      <c r="AG2067" s="18" t="inlineStr"/>
      <c r="AH2067" s="18" t="inlineStr"/>
      <c r="AI2067" s="18" t="inlineStr"/>
      <c r="AJ2067" s="18" t="inlineStr">
        <is>
          <t>Cobblemon 동일</t>
        </is>
      </c>
      <c r="AK2067" s="18" t="inlineStr">
        <is>
          <t>사용</t>
        </is>
      </c>
      <c r="AL2067" s="18" t="inlineStr">
        <is>
          <t>COBBLEVERSE 1.7.42 / DP v31</t>
        </is>
      </c>
      <c r="AM2067" s="18" t="inlineStr">
        <is>
          <t>data/cobblemon/spawn_pool_world/0604_eelektross.json</t>
        </is>
      </c>
      <c r="AN2067" s="18" t="inlineStr">
        <is>
          <t>eelektross-6</t>
        </is>
      </c>
      <c r="AO2067" s="18" t="inlineStr">
        <is>
          <t>pokemon</t>
        </is>
      </c>
      <c r="AP2067" s="18" t="inlineStr"/>
      <c r="AQ2067" s="18" t="inlineStr">
        <is>
          <t>{"biomes":["#cobblemon:is_ocean"],"canSeeSky":false,"maxSkyLight":15,"minSkyLight":8}</t>
        </is>
      </c>
      <c r="AR2067" s="18" t="inlineStr"/>
      <c r="AS2067" s="18" t="inlineStr">
        <is>
          <t>{"weightMultipliers":[{"condition":{"maxLureLevel":2,"minLureLevel":2},"multiplier":3.0},{"condition":{"minLureLevel":3},"multiplier":5.0}]}</t>
        </is>
      </c>
      <c r="AT2067" s="19" t="inlineStr"/>
    </row>
    <row r="2068" ht="32" customHeight="1">
      <c r="A2068" s="18" t="inlineStr">
        <is>
          <t>0604_eelektross.json::eelektross-1::004</t>
        </is>
      </c>
      <c r="B2068" s="19" t="inlineStr">
        <is>
          <t>사용</t>
        </is>
      </c>
      <c r="C2068" s="18">
        <f>IF(OR(B2068&lt;&gt;AK2068,M2068&lt;&gt;L2068,O2068&lt;&gt;"",Q2068&lt;&gt;"",V2068&lt;&gt;1,Y2068&lt;&gt;"",AT2068&lt;&gt;""),"수정","원본")</f>
        <v/>
      </c>
      <c r="D2068" s="18" t="n">
        <v>604</v>
      </c>
      <c r="E2068" s="18" t="inlineStr">
        <is>
          <t>저리더프</t>
        </is>
      </c>
      <c r="F2068" s="18" t="inlineStr">
        <is>
          <t>eelektross</t>
        </is>
      </c>
      <c r="G2068" s="18" t="inlineStr">
        <is>
          <t>eelektross</t>
        </is>
      </c>
      <c r="H2068" s="18" t="inlineStr"/>
      <c r="I2068" s="18" t="n">
        <v>5</v>
      </c>
      <c r="J2068" s="18" t="n"/>
      <c r="K2068" s="18" t="n">
        <v>5</v>
      </c>
      <c r="L2068" s="18" t="inlineStr">
        <is>
          <t>cobbleventure:generation_5</t>
        </is>
      </c>
      <c r="M2068" s="19" t="inlineStr">
        <is>
          <t>cobbleventure:generation_5</t>
        </is>
      </c>
      <c r="N2068" s="18" t="inlineStr"/>
      <c r="O2068" s="19" t="inlineStr"/>
      <c r="P2068" s="18" t="inlineStr">
        <is>
          <t>#cobblemon:is_ocean</t>
        </is>
      </c>
      <c r="Q2068" s="19" t="inlineStr"/>
      <c r="R2068" s="18">
        <f>IF(Q2068="",P2068,Q2068)</f>
        <v/>
      </c>
      <c r="S2068" s="18" t="inlineStr"/>
      <c r="T2068" s="18" t="inlineStr">
        <is>
          <t>common</t>
        </is>
      </c>
      <c r="U2068" s="20" t="n">
        <v>0.01</v>
      </c>
      <c r="V2068" s="21" t="n">
        <v>1</v>
      </c>
      <c r="W2068" s="20">
        <f>IF(OR(U2068="",V2068=""),U2068,U2068*V2068)</f>
        <v/>
      </c>
      <c r="X2068" s="18" t="inlineStr">
        <is>
          <t>36-52</t>
        </is>
      </c>
      <c r="Y2068" s="19" t="inlineStr"/>
      <c r="Z2068" s="18">
        <f>IF(Y2068="",X2068,Y2068)</f>
        <v/>
      </c>
      <c r="AA2068" s="18" t="inlineStr">
        <is>
          <t>submerged</t>
        </is>
      </c>
      <c r="AB2068" s="18" t="inlineStr"/>
      <c r="AC2068" s="18" t="inlineStr"/>
      <c r="AD2068" s="18" t="inlineStr">
        <is>
          <t>maxY=48</t>
        </is>
      </c>
      <c r="AE2068" s="18" t="inlineStr"/>
      <c r="AF2068" s="18" t="inlineStr"/>
      <c r="AG2068" s="18" t="inlineStr"/>
      <c r="AH2068" s="18" t="inlineStr"/>
      <c r="AI2068" s="18" t="inlineStr"/>
      <c r="AJ2068" s="18" t="inlineStr">
        <is>
          <t>Cobblemon 동일</t>
        </is>
      </c>
      <c r="AK2068" s="18" t="inlineStr">
        <is>
          <t>사용</t>
        </is>
      </c>
      <c r="AL2068" s="18" t="inlineStr">
        <is>
          <t>COBBLEVERSE 1.7.42 / DP v31</t>
        </is>
      </c>
      <c r="AM2068" s="18" t="inlineStr">
        <is>
          <t>data/cobblemon/spawn_pool_world/0604_eelektross.json</t>
        </is>
      </c>
      <c r="AN2068" s="18" t="inlineStr">
        <is>
          <t>eelektross-1</t>
        </is>
      </c>
      <c r="AO2068" s="18" t="inlineStr">
        <is>
          <t>pokemon</t>
        </is>
      </c>
      <c r="AP2068" s="18" t="inlineStr">
        <is>
          <t>water</t>
        </is>
      </c>
      <c r="AQ2068" s="18" t="inlineStr">
        <is>
          <t>{"biomes":["#cobblemon:is_ocean"],"maxY":48}</t>
        </is>
      </c>
      <c r="AR2068" s="18" t="inlineStr"/>
      <c r="AS2068" s="18" t="inlineStr"/>
      <c r="AT2068" s="19" t="inlineStr"/>
    </row>
    <row r="2069" ht="32" customHeight="1">
      <c r="A2069" s="18" t="inlineStr">
        <is>
          <t>0604_eelektross.json::eelektross-2::005</t>
        </is>
      </c>
      <c r="B2069" s="19" t="inlineStr">
        <is>
          <t>사용</t>
        </is>
      </c>
      <c r="C2069" s="18">
        <f>IF(OR(B2069&lt;&gt;AK2069,M2069&lt;&gt;L2069,O2069&lt;&gt;"",Q2069&lt;&gt;"",V2069&lt;&gt;1,Y2069&lt;&gt;"",AT2069&lt;&gt;""),"수정","원본")</f>
        <v/>
      </c>
      <c r="D2069" s="18" t="n">
        <v>604</v>
      </c>
      <c r="E2069" s="18" t="inlineStr">
        <is>
          <t>저리더프</t>
        </is>
      </c>
      <c r="F2069" s="18" t="inlineStr">
        <is>
          <t>eelektross</t>
        </is>
      </c>
      <c r="G2069" s="18" t="inlineStr">
        <is>
          <t>eelektross</t>
        </is>
      </c>
      <c r="H2069" s="18" t="inlineStr"/>
      <c r="I2069" s="18" t="n">
        <v>5</v>
      </c>
      <c r="J2069" s="18" t="n"/>
      <c r="K2069" s="18" t="n">
        <v>5</v>
      </c>
      <c r="L2069" s="18" t="inlineStr">
        <is>
          <t>cobbleventure:generation_5</t>
        </is>
      </c>
      <c r="M2069" s="19" t="inlineStr">
        <is>
          <t>cobbleventure:generation_5</t>
        </is>
      </c>
      <c r="N2069" s="18" t="inlineStr">
        <is>
          <t>region_01; region_02</t>
        </is>
      </c>
      <c r="O2069" s="19" t="inlineStr"/>
      <c r="P2069" s="18" t="inlineStr">
        <is>
          <t>#cobblemon:is_overworld</t>
        </is>
      </c>
      <c r="Q2069" s="19" t="inlineStr"/>
      <c r="R2069" s="18">
        <f>IF(Q2069="",P2069,Q2069)</f>
        <v/>
      </c>
      <c r="S2069" s="18" t="inlineStr">
        <is>
          <t>#cobblemon:is_lush</t>
        </is>
      </c>
      <c r="T2069" s="18" t="inlineStr">
        <is>
          <t>uncommon</t>
        </is>
      </c>
      <c r="U2069" s="20" t="n">
        <v>0.048</v>
      </c>
      <c r="V2069" s="21" t="n">
        <v>1</v>
      </c>
      <c r="W2069" s="20">
        <f>IF(OR(U2069="",V2069=""),U2069,U2069*V2069)</f>
        <v/>
      </c>
      <c r="X2069" s="18" t="inlineStr">
        <is>
          <t>36-52</t>
        </is>
      </c>
      <c r="Y2069" s="19" t="inlineStr"/>
      <c r="Z2069" s="18">
        <f>IF(Y2069="",X2069,Y2069)</f>
        <v/>
      </c>
      <c r="AA2069" s="18" t="inlineStr">
        <is>
          <t>submerged</t>
        </is>
      </c>
      <c r="AB2069" s="18" t="inlineStr"/>
      <c r="AC2069" s="18" t="inlineStr"/>
      <c r="AD2069" s="18" t="inlineStr">
        <is>
          <t>maxY=48</t>
        </is>
      </c>
      <c r="AE2069" s="18" t="inlineStr">
        <is>
          <t>sky 0-7</t>
        </is>
      </c>
      <c r="AF2069" s="18" t="inlineStr"/>
      <c r="AG2069" s="18" t="inlineStr"/>
      <c r="AH2069" s="18" t="inlineStr"/>
      <c r="AI2069" s="18" t="inlineStr"/>
      <c r="AJ2069" s="18" t="inlineStr">
        <is>
          <t>Cobblemon 동일</t>
        </is>
      </c>
      <c r="AK2069" s="18" t="inlineStr">
        <is>
          <t>사용</t>
        </is>
      </c>
      <c r="AL2069" s="18" t="inlineStr">
        <is>
          <t>COBBLEVERSE 1.7.42 / DP v31</t>
        </is>
      </c>
      <c r="AM2069" s="18" t="inlineStr">
        <is>
          <t>data/cobblemon/spawn_pool_world/0604_eelektross.json</t>
        </is>
      </c>
      <c r="AN2069" s="18" t="inlineStr">
        <is>
          <t>eelektross-2</t>
        </is>
      </c>
      <c r="AO2069" s="18" t="inlineStr">
        <is>
          <t>pokemon</t>
        </is>
      </c>
      <c r="AP2069" s="18" t="inlineStr">
        <is>
          <t>water</t>
        </is>
      </c>
      <c r="AQ2069" s="18" t="inlineStr">
        <is>
          <t>{"biomes":["#cobblemon:is_overworld"],"maxSkyLight":7,"maxY":48,"minSkyLight":0}</t>
        </is>
      </c>
      <c r="AR2069" s="18" t="inlineStr">
        <is>
          <t>{"biomes":["#cobblemon:is_lush"],"maxY":13,"minY":-60,"structures":["#cobblemon:shipwreck_cove"]}</t>
        </is>
      </c>
      <c r="AS2069" s="18" t="inlineStr"/>
      <c r="AT2069" s="19" t="inlineStr"/>
    </row>
    <row r="2070" ht="32" customHeight="1">
      <c r="A2070" s="18" t="inlineStr">
        <is>
          <t>0604_eelektross.json::eelektross-3::006</t>
        </is>
      </c>
      <c r="B2070" s="19" t="inlineStr">
        <is>
          <t>사용</t>
        </is>
      </c>
      <c r="C2070" s="18">
        <f>IF(OR(B2070&lt;&gt;AK2070,M2070&lt;&gt;L2070,O2070&lt;&gt;"",Q2070&lt;&gt;"",V2070&lt;&gt;1,Y2070&lt;&gt;"",AT2070&lt;&gt;""),"수정","원본")</f>
        <v/>
      </c>
      <c r="D2070" s="18" t="n">
        <v>604</v>
      </c>
      <c r="E2070" s="18" t="inlineStr">
        <is>
          <t>저리더프</t>
        </is>
      </c>
      <c r="F2070" s="18" t="inlineStr">
        <is>
          <t>eelektross</t>
        </is>
      </c>
      <c r="G2070" s="18" t="inlineStr">
        <is>
          <t>eelektross</t>
        </is>
      </c>
      <c r="H2070" s="18" t="inlineStr"/>
      <c r="I2070" s="18" t="n">
        <v>5</v>
      </c>
      <c r="J2070" s="18" t="n"/>
      <c r="K2070" s="18" t="n">
        <v>5</v>
      </c>
      <c r="L2070" s="18" t="inlineStr">
        <is>
          <t>cobbleventure:generation_5</t>
        </is>
      </c>
      <c r="M2070" s="19" t="inlineStr">
        <is>
          <t>cobbleventure:generation_5</t>
        </is>
      </c>
      <c r="N2070" s="18" t="inlineStr">
        <is>
          <t>region_01; region_02</t>
        </is>
      </c>
      <c r="O2070" s="19" t="inlineStr"/>
      <c r="P2070" s="18" t="inlineStr">
        <is>
          <t>#cobblemon:is_overworld</t>
        </is>
      </c>
      <c r="Q2070" s="19" t="inlineStr"/>
      <c r="R2070" s="18">
        <f>IF(Q2070="",P2070,Q2070)</f>
        <v/>
      </c>
      <c r="S2070" s="18" t="inlineStr"/>
      <c r="T2070" s="18" t="inlineStr">
        <is>
          <t>common</t>
        </is>
      </c>
      <c r="U2070" s="20" t="n">
        <v>0.03</v>
      </c>
      <c r="V2070" s="21" t="n">
        <v>1</v>
      </c>
      <c r="W2070" s="20">
        <f>IF(OR(U2070="",V2070=""),U2070,U2070*V2070)</f>
        <v/>
      </c>
      <c r="X2070" s="18" t="inlineStr">
        <is>
          <t>36-52</t>
        </is>
      </c>
      <c r="Y2070" s="19" t="inlineStr"/>
      <c r="Z2070" s="18">
        <f>IF(Y2070="",X2070,Y2070)</f>
        <v/>
      </c>
      <c r="AA2070" s="18" t="inlineStr">
        <is>
          <t>submerged</t>
        </is>
      </c>
      <c r="AB2070" s="18" t="inlineStr"/>
      <c r="AC2070" s="18" t="inlineStr"/>
      <c r="AD2070" s="18" t="inlineStr">
        <is>
          <t>minY=-60, maxY=13</t>
        </is>
      </c>
      <c r="AE2070" s="18" t="inlineStr"/>
      <c r="AF2070" s="18" t="inlineStr">
        <is>
          <t>False</t>
        </is>
      </c>
      <c r="AG2070" s="18" t="inlineStr">
        <is>
          <t>cobblemon:shipwreck_coves/submerged_shipwreck_cove</t>
        </is>
      </c>
      <c r="AH2070" s="18" t="inlineStr"/>
      <c r="AI2070" s="18" t="inlineStr"/>
      <c r="AJ2070" s="18" t="inlineStr">
        <is>
          <t>Cobblemon 동일</t>
        </is>
      </c>
      <c r="AK2070" s="18" t="inlineStr">
        <is>
          <t>사용</t>
        </is>
      </c>
      <c r="AL2070" s="18" t="inlineStr">
        <is>
          <t>COBBLEVERSE 1.7.42 / DP v31</t>
        </is>
      </c>
      <c r="AM2070" s="18" t="inlineStr">
        <is>
          <t>data/cobblemon/spawn_pool_world/0604_eelektross.json</t>
        </is>
      </c>
      <c r="AN2070" s="18" t="inlineStr">
        <is>
          <t>eelektross-3</t>
        </is>
      </c>
      <c r="AO2070" s="18" t="inlineStr">
        <is>
          <t>pokemon</t>
        </is>
      </c>
      <c r="AP2070" s="18" t="inlineStr">
        <is>
          <t>water</t>
        </is>
      </c>
      <c r="AQ2070" s="18" t="inlineStr">
        <is>
          <t>{"biomes":["#cobblemon:is_overworld"],"canSeeSky":false,"maxY":13,"minY":-60,"structures":["cobblemon:shipwreck_coves/submerged_shipwreck_cove"]}</t>
        </is>
      </c>
      <c r="AR2070" s="18" t="inlineStr"/>
      <c r="AS2070" s="18" t="inlineStr"/>
      <c r="AT2070" s="19" t="inlineStr"/>
    </row>
    <row r="2071" ht="32" customHeight="1">
      <c r="A2071" s="18" t="inlineStr">
        <is>
          <t>0605_elgyem.json::elgyem-1::001</t>
        </is>
      </c>
      <c r="B2071" s="19" t="inlineStr">
        <is>
          <t>사용</t>
        </is>
      </c>
      <c r="C2071" s="18">
        <f>IF(OR(B2071&lt;&gt;AK2071,M2071&lt;&gt;L2071,O2071&lt;&gt;"",Q2071&lt;&gt;"",V2071&lt;&gt;1,Y2071&lt;&gt;"",AT2071&lt;&gt;""),"수정","원본")</f>
        <v/>
      </c>
      <c r="D2071" s="18" t="n">
        <v>605</v>
      </c>
      <c r="E2071" s="18" t="inlineStr">
        <is>
          <t>리그레</t>
        </is>
      </c>
      <c r="F2071" s="18" t="inlineStr">
        <is>
          <t>elgyem</t>
        </is>
      </c>
      <c r="G2071" s="18" t="inlineStr">
        <is>
          <t>elgyem</t>
        </is>
      </c>
      <c r="H2071" s="18" t="inlineStr"/>
      <c r="I2071" s="18" t="n">
        <v>5</v>
      </c>
      <c r="J2071" s="18" t="n"/>
      <c r="K2071" s="18" t="n">
        <v>5</v>
      </c>
      <c r="L2071" s="18" t="inlineStr">
        <is>
          <t>cobbleventure:generation_5</t>
        </is>
      </c>
      <c r="M2071" s="19" t="inlineStr">
        <is>
          <t>cobbleventure:generation_5</t>
        </is>
      </c>
      <c r="N2071" s="18" t="inlineStr"/>
      <c r="O2071" s="19" t="inlineStr"/>
      <c r="P2071" s="18" t="inlineStr">
        <is>
          <t>#cobblemon:is_end</t>
        </is>
      </c>
      <c r="Q2071" s="19" t="inlineStr"/>
      <c r="R2071" s="18">
        <f>IF(Q2071="",P2071,Q2071)</f>
        <v/>
      </c>
      <c r="S2071" s="18" t="inlineStr"/>
      <c r="T2071" s="18" t="inlineStr">
        <is>
          <t>uncommon</t>
        </is>
      </c>
      <c r="U2071" s="20" t="n">
        <v>8.4</v>
      </c>
      <c r="V2071" s="21" t="n">
        <v>1</v>
      </c>
      <c r="W2071" s="20">
        <f>IF(OR(U2071="",V2071=""),U2071,U2071*V2071)</f>
        <v/>
      </c>
      <c r="X2071" s="18" t="inlineStr">
        <is>
          <t>9-34</t>
        </is>
      </c>
      <c r="Y2071" s="19" t="inlineStr"/>
      <c r="Z2071" s="18">
        <f>IF(Y2071="",X2071,Y2071)</f>
        <v/>
      </c>
      <c r="AA2071" s="18" t="inlineStr">
        <is>
          <t>grounded</t>
        </is>
      </c>
      <c r="AB2071" s="18" t="inlineStr"/>
      <c r="AC2071" s="18" t="inlineStr"/>
      <c r="AD2071" s="18" t="inlineStr"/>
      <c r="AE2071" s="18" t="inlineStr"/>
      <c r="AF2071" s="18" t="inlineStr"/>
      <c r="AG2071" s="18" t="inlineStr"/>
      <c r="AH2071" s="18" t="inlineStr"/>
      <c r="AI2071" s="18" t="inlineStr">
        <is>
          <t>{"spawn":{"drops":{"amount":4,"entries":[{"item":"minecraft:ender_pearl","quantityRange":"0-1"},{"item":"minecraft:chorus_fruit","quantityRange":"0-1"},{"item":"cobblemon:light_clay","percentage":2.5},{"item":"cobblemon:colbur_berry","percentage":2.5}]}}}</t>
        </is>
      </c>
      <c r="AJ2071" s="18" t="inlineStr">
        <is>
          <t>COBBLEVERSE 수정</t>
        </is>
      </c>
      <c r="AK2071" s="18" t="inlineStr">
        <is>
          <t>사용</t>
        </is>
      </c>
      <c r="AL2071" s="18" t="inlineStr">
        <is>
          <t>COBBLEVERSE 1.7.42 / DP v31</t>
        </is>
      </c>
      <c r="AM2071" s="18" t="inlineStr">
        <is>
          <t>data/cobblemon/spawn_pool_world/0605_elgyem.json</t>
        </is>
      </c>
      <c r="AN2071" s="18" t="inlineStr">
        <is>
          <t>elgyem-1</t>
        </is>
      </c>
      <c r="AO2071" s="18" t="inlineStr">
        <is>
          <t>pokemon</t>
        </is>
      </c>
      <c r="AP2071" s="18" t="inlineStr">
        <is>
          <t>natural</t>
        </is>
      </c>
      <c r="AQ2071" s="18" t="inlineStr">
        <is>
          <t>{"biomes":["#cobblemon:is_end"]}</t>
        </is>
      </c>
      <c r="AR2071" s="18" t="inlineStr"/>
      <c r="AS2071" s="18" t="inlineStr"/>
      <c r="AT2071" s="19" t="inlineStr"/>
    </row>
    <row r="2072" ht="32" customHeight="1">
      <c r="A2072" s="18" t="inlineStr">
        <is>
          <t>0605_elgyem.json::elgyem-5::002</t>
        </is>
      </c>
      <c r="B2072" s="19" t="inlineStr">
        <is>
          <t>사용</t>
        </is>
      </c>
      <c r="C2072" s="18">
        <f>IF(OR(B2072&lt;&gt;AK2072,M2072&lt;&gt;L2072,O2072&lt;&gt;"",Q2072&lt;&gt;"",V2072&lt;&gt;1,Y2072&lt;&gt;"",AT2072&lt;&gt;""),"수정","원본")</f>
        <v/>
      </c>
      <c r="D2072" s="18" t="n">
        <v>605</v>
      </c>
      <c r="E2072" s="18" t="inlineStr">
        <is>
          <t>리그레</t>
        </is>
      </c>
      <c r="F2072" s="18" t="inlineStr">
        <is>
          <t>elgyem</t>
        </is>
      </c>
      <c r="G2072" s="18" t="inlineStr">
        <is>
          <t>elgyem</t>
        </is>
      </c>
      <c r="H2072" s="18" t="inlineStr"/>
      <c r="I2072" s="18" t="n">
        <v>5</v>
      </c>
      <c r="J2072" s="18" t="n"/>
      <c r="K2072" s="18" t="n">
        <v>5</v>
      </c>
      <c r="L2072" s="18" t="inlineStr">
        <is>
          <t>cobbleventure:generation_5</t>
        </is>
      </c>
      <c r="M2072" s="19" t="inlineStr">
        <is>
          <t>cobbleventure:generation_5</t>
        </is>
      </c>
      <c r="N2072" s="18" t="inlineStr"/>
      <c r="O2072" s="19" t="inlineStr"/>
      <c r="P2072" s="18" t="inlineStr">
        <is>
          <t>the_bumblezone:howling_constructs</t>
        </is>
      </c>
      <c r="Q2072" s="19" t="inlineStr"/>
      <c r="R2072" s="18">
        <f>IF(Q2072="",P2072,Q2072)</f>
        <v/>
      </c>
      <c r="S2072" s="18" t="inlineStr"/>
      <c r="T2072" s="18" t="inlineStr">
        <is>
          <t>common</t>
        </is>
      </c>
      <c r="U2072" s="20" t="n">
        <v>5.4</v>
      </c>
      <c r="V2072" s="21" t="n">
        <v>1</v>
      </c>
      <c r="W2072" s="20">
        <f>IF(OR(U2072="",V2072=""),U2072,U2072*V2072)</f>
        <v/>
      </c>
      <c r="X2072" s="18" t="inlineStr">
        <is>
          <t>9-34</t>
        </is>
      </c>
      <c r="Y2072" s="19" t="inlineStr"/>
      <c r="Z2072" s="18">
        <f>IF(Y2072="",X2072,Y2072)</f>
        <v/>
      </c>
      <c r="AA2072" s="18" t="inlineStr">
        <is>
          <t>grounded</t>
        </is>
      </c>
      <c r="AB2072" s="18" t="inlineStr"/>
      <c r="AC2072" s="18" t="inlineStr"/>
      <c r="AD2072" s="18" t="inlineStr"/>
      <c r="AE2072" s="18" t="inlineStr"/>
      <c r="AF2072" s="18" t="inlineStr"/>
      <c r="AG2072" s="18" t="inlineStr"/>
      <c r="AH2072" s="18" t="inlineStr"/>
      <c r="AI2072" s="18" t="inlineStr"/>
      <c r="AJ2072" s="18" t="inlineStr">
        <is>
          <t>COBBLEVERSE 수정</t>
        </is>
      </c>
      <c r="AK2072" s="18" t="inlineStr">
        <is>
          <t>사용</t>
        </is>
      </c>
      <c r="AL2072" s="18" t="inlineStr">
        <is>
          <t>COBBLEVERSE 1.7.42 / DP v31</t>
        </is>
      </c>
      <c r="AM2072" s="18" t="inlineStr">
        <is>
          <t>data/cobblemon/spawn_pool_world/0605_elgyem.json</t>
        </is>
      </c>
      <c r="AN2072" s="18" t="inlineStr">
        <is>
          <t>elgyem-5</t>
        </is>
      </c>
      <c r="AO2072" s="18" t="inlineStr">
        <is>
          <t>pokemon</t>
        </is>
      </c>
      <c r="AP2072" s="18" t="inlineStr"/>
      <c r="AQ2072" s="18" t="inlineStr">
        <is>
          <t>{"biomes":["the_bumblezone:howling_constructs"]}</t>
        </is>
      </c>
      <c r="AR2072" s="18" t="inlineStr">
        <is>
          <t>{"structures":["#the_bumblezone:sempiternal_sanctums"]}</t>
        </is>
      </c>
      <c r="AS2072" s="18" t="inlineStr"/>
      <c r="AT2072" s="19" t="inlineStr"/>
    </row>
    <row r="2073" ht="32" customHeight="1">
      <c r="A2073" s="18" t="inlineStr">
        <is>
          <t>0606_beheeyem.json::beheeyem-1::001</t>
        </is>
      </c>
      <c r="B2073" s="19" t="inlineStr">
        <is>
          <t>사용</t>
        </is>
      </c>
      <c r="C2073" s="18">
        <f>IF(OR(B2073&lt;&gt;AK2073,M2073&lt;&gt;L2073,O2073&lt;&gt;"",Q2073&lt;&gt;"",V2073&lt;&gt;1,Y2073&lt;&gt;"",AT2073&lt;&gt;""),"수정","원본")</f>
        <v/>
      </c>
      <c r="D2073" s="18" t="n">
        <v>606</v>
      </c>
      <c r="E2073" s="18" t="inlineStr">
        <is>
          <t>벰크</t>
        </is>
      </c>
      <c r="F2073" s="18" t="inlineStr">
        <is>
          <t>beheeyem</t>
        </is>
      </c>
      <c r="G2073" s="18" t="inlineStr">
        <is>
          <t>beheeyem</t>
        </is>
      </c>
      <c r="H2073" s="18" t="inlineStr"/>
      <c r="I2073" s="18" t="n">
        <v>5</v>
      </c>
      <c r="J2073" s="18" t="n"/>
      <c r="K2073" s="18" t="n">
        <v>5</v>
      </c>
      <c r="L2073" s="18" t="inlineStr">
        <is>
          <t>cobbleventure:generation_5</t>
        </is>
      </c>
      <c r="M2073" s="19" t="inlineStr">
        <is>
          <t>cobbleventure:generation_5</t>
        </is>
      </c>
      <c r="N2073" s="18" t="inlineStr"/>
      <c r="O2073" s="19" t="inlineStr"/>
      <c r="P2073" s="18" t="inlineStr">
        <is>
          <t>#cobblemon:is_end</t>
        </is>
      </c>
      <c r="Q2073" s="19" t="inlineStr"/>
      <c r="R2073" s="18">
        <f>IF(Q2073="",P2073,Q2073)</f>
        <v/>
      </c>
      <c r="S2073" s="18" t="inlineStr"/>
      <c r="T2073" s="18" t="inlineStr">
        <is>
          <t>uncommon</t>
        </is>
      </c>
      <c r="U2073" s="20" t="n">
        <v>1.6</v>
      </c>
      <c r="V2073" s="21" t="n">
        <v>1</v>
      </c>
      <c r="W2073" s="20">
        <f>IF(OR(U2073="",V2073=""),U2073,U2073*V2073)</f>
        <v/>
      </c>
      <c r="X2073" s="18" t="inlineStr">
        <is>
          <t>42-49</t>
        </is>
      </c>
      <c r="Y2073" s="19" t="inlineStr"/>
      <c r="Z2073" s="18">
        <f>IF(Y2073="",X2073,Y2073)</f>
        <v/>
      </c>
      <c r="AA2073" s="18" t="inlineStr">
        <is>
          <t>grounded</t>
        </is>
      </c>
      <c r="AB2073" s="18" t="inlineStr"/>
      <c r="AC2073" s="18" t="inlineStr"/>
      <c r="AD2073" s="18" t="inlineStr"/>
      <c r="AE2073" s="18" t="inlineStr"/>
      <c r="AF2073" s="18" t="inlineStr"/>
      <c r="AG2073" s="18" t="inlineStr"/>
      <c r="AH2073" s="18" t="inlineStr"/>
      <c r="AI2073" s="18" t="inlineStr">
        <is>
          <t>{"spawn":{"drops":{"amount":6,"entries":[{"item":"minecraft:ender_pearl","quantityRange":"0-2"},{"item":"minecraft:chorus_fruit","quantityRange":"0-2"},{"item":"cobblemon:light_clay","percentage":5.0},{"item":"cobblemon:colbur_berry","percentage":5.0}]}}}</t>
        </is>
      </c>
      <c r="AJ2073" s="18" t="inlineStr">
        <is>
          <t>COBBLEVERSE 수정</t>
        </is>
      </c>
      <c r="AK2073" s="18" t="inlineStr">
        <is>
          <t>사용</t>
        </is>
      </c>
      <c r="AL2073" s="18" t="inlineStr">
        <is>
          <t>COBBLEVERSE 1.7.42 / DP v31</t>
        </is>
      </c>
      <c r="AM2073" s="18" t="inlineStr">
        <is>
          <t>data/cobblemon/spawn_pool_world/0606_beheeyem.json</t>
        </is>
      </c>
      <c r="AN2073" s="18" t="inlineStr">
        <is>
          <t>beheeyem-1</t>
        </is>
      </c>
      <c r="AO2073" s="18" t="inlineStr">
        <is>
          <t>pokemon</t>
        </is>
      </c>
      <c r="AP2073" s="18" t="inlineStr">
        <is>
          <t>natural</t>
        </is>
      </c>
      <c r="AQ2073" s="18" t="inlineStr">
        <is>
          <t>{"biomes":["#cobblemon:is_end"]}</t>
        </is>
      </c>
      <c r="AR2073" s="18" t="inlineStr"/>
      <c r="AS2073" s="18" t="inlineStr"/>
      <c r="AT2073" s="19" t="inlineStr"/>
    </row>
    <row r="2074" ht="32" customHeight="1">
      <c r="A2074" s="18" t="inlineStr">
        <is>
          <t>0606_beheeyem.json::beheeyem-5::002</t>
        </is>
      </c>
      <c r="B2074" s="19" t="inlineStr">
        <is>
          <t>사용</t>
        </is>
      </c>
      <c r="C2074" s="18">
        <f>IF(OR(B2074&lt;&gt;AK2074,M2074&lt;&gt;L2074,O2074&lt;&gt;"",Q2074&lt;&gt;"",V2074&lt;&gt;1,Y2074&lt;&gt;"",AT2074&lt;&gt;""),"수정","원본")</f>
        <v/>
      </c>
      <c r="D2074" s="18" t="n">
        <v>606</v>
      </c>
      <c r="E2074" s="18" t="inlineStr">
        <is>
          <t>벰크</t>
        </is>
      </c>
      <c r="F2074" s="18" t="inlineStr">
        <is>
          <t>beheeyem</t>
        </is>
      </c>
      <c r="G2074" s="18" t="inlineStr">
        <is>
          <t>beheeyem</t>
        </is>
      </c>
      <c r="H2074" s="18" t="inlineStr"/>
      <c r="I2074" s="18" t="n">
        <v>5</v>
      </c>
      <c r="J2074" s="18" t="n"/>
      <c r="K2074" s="18" t="n">
        <v>5</v>
      </c>
      <c r="L2074" s="18" t="inlineStr">
        <is>
          <t>cobbleventure:generation_5</t>
        </is>
      </c>
      <c r="M2074" s="19" t="inlineStr">
        <is>
          <t>cobbleventure:generation_5</t>
        </is>
      </c>
      <c r="N2074" s="18" t="inlineStr"/>
      <c r="O2074" s="19" t="inlineStr"/>
      <c r="P2074" s="18" t="inlineStr">
        <is>
          <t>the_bumblezone:howling_constructs</t>
        </is>
      </c>
      <c r="Q2074" s="19" t="inlineStr"/>
      <c r="R2074" s="18">
        <f>IF(Q2074="",P2074,Q2074)</f>
        <v/>
      </c>
      <c r="S2074" s="18" t="inlineStr"/>
      <c r="T2074" s="18" t="inlineStr">
        <is>
          <t>common</t>
        </is>
      </c>
      <c r="U2074" s="20" t="n">
        <v>0.6</v>
      </c>
      <c r="V2074" s="21" t="n">
        <v>1</v>
      </c>
      <c r="W2074" s="20">
        <f>IF(OR(U2074="",V2074=""),U2074,U2074*V2074)</f>
        <v/>
      </c>
      <c r="X2074" s="18" t="inlineStr">
        <is>
          <t>42-49</t>
        </is>
      </c>
      <c r="Y2074" s="19" t="inlineStr"/>
      <c r="Z2074" s="18">
        <f>IF(Y2074="",X2074,Y2074)</f>
        <v/>
      </c>
      <c r="AA2074" s="18" t="inlineStr">
        <is>
          <t>grounded</t>
        </is>
      </c>
      <c r="AB2074" s="18" t="inlineStr"/>
      <c r="AC2074" s="18" t="inlineStr"/>
      <c r="AD2074" s="18" t="inlineStr"/>
      <c r="AE2074" s="18" t="inlineStr"/>
      <c r="AF2074" s="18" t="inlineStr"/>
      <c r="AG2074" s="18" t="inlineStr"/>
      <c r="AH2074" s="18" t="inlineStr"/>
      <c r="AI2074" s="18" t="inlineStr"/>
      <c r="AJ2074" s="18" t="inlineStr">
        <is>
          <t>COBBLEVERSE 수정</t>
        </is>
      </c>
      <c r="AK2074" s="18" t="inlineStr">
        <is>
          <t>사용</t>
        </is>
      </c>
      <c r="AL2074" s="18" t="inlineStr">
        <is>
          <t>COBBLEVERSE 1.7.42 / DP v31</t>
        </is>
      </c>
      <c r="AM2074" s="18" t="inlineStr">
        <is>
          <t>data/cobblemon/spawn_pool_world/0606_beheeyem.json</t>
        </is>
      </c>
      <c r="AN2074" s="18" t="inlineStr">
        <is>
          <t>beheeyem-5</t>
        </is>
      </c>
      <c r="AO2074" s="18" t="inlineStr">
        <is>
          <t>pokemon</t>
        </is>
      </c>
      <c r="AP2074" s="18" t="inlineStr"/>
      <c r="AQ2074" s="18" t="inlineStr">
        <is>
          <t>{"biomes":["the_bumblezone:howling_constructs"]}</t>
        </is>
      </c>
      <c r="AR2074" s="18" t="inlineStr">
        <is>
          <t>{"structures":["#the_bumblezone:sempiternal_sanctums"]}</t>
        </is>
      </c>
      <c r="AS2074" s="18" t="inlineStr"/>
      <c r="AT2074" s="19" t="inlineStr"/>
    </row>
    <row r="2075" ht="32" customHeight="1">
      <c r="A2075" s="18" t="inlineStr">
        <is>
          <t>0607_litwick.json::litwick-1::001</t>
        </is>
      </c>
      <c r="B2075" s="19" t="inlineStr">
        <is>
          <t>사용</t>
        </is>
      </c>
      <c r="C2075" s="18">
        <f>IF(OR(B2075&lt;&gt;AK2075,M2075&lt;&gt;L2075,O2075&lt;&gt;"",Q2075&lt;&gt;"",V2075&lt;&gt;1,Y2075&lt;&gt;"",AT2075&lt;&gt;""),"수정","원본")</f>
        <v/>
      </c>
      <c r="D2075" s="18" t="n">
        <v>607</v>
      </c>
      <c r="E2075" s="18" t="inlineStr">
        <is>
          <t>불켜미</t>
        </is>
      </c>
      <c r="F2075" s="18" t="inlineStr">
        <is>
          <t>litwick</t>
        </is>
      </c>
      <c r="G2075" s="18" t="inlineStr">
        <is>
          <t>litwick</t>
        </is>
      </c>
      <c r="H2075" s="18" t="inlineStr"/>
      <c r="I2075" s="18" t="n">
        <v>5</v>
      </c>
      <c r="J2075" s="18" t="n"/>
      <c r="K2075" s="18" t="n">
        <v>5</v>
      </c>
      <c r="L2075" s="18" t="inlineStr">
        <is>
          <t>cobbleventure:generation_5</t>
        </is>
      </c>
      <c r="M2075" s="19" t="inlineStr">
        <is>
          <t>cobbleventure:generation_5</t>
        </is>
      </c>
      <c r="N2075" s="18" t="inlineStr"/>
      <c r="O2075" s="19" t="inlineStr"/>
      <c r="P2075" s="18" t="inlineStr">
        <is>
          <t>#cobblemon:nether/is_soul_fire</t>
        </is>
      </c>
      <c r="Q2075" s="19" t="inlineStr"/>
      <c r="R2075" s="18">
        <f>IF(Q2075="",P2075,Q2075)</f>
        <v/>
      </c>
      <c r="S2075" s="18" t="inlineStr"/>
      <c r="T2075" s="18" t="inlineStr">
        <is>
          <t>common</t>
        </is>
      </c>
      <c r="U2075" s="20" t="n">
        <v>1.8</v>
      </c>
      <c r="V2075" s="21" t="n">
        <v>1</v>
      </c>
      <c r="W2075" s="20">
        <f>IF(OR(U2075="",V2075=""),U2075,U2075*V2075)</f>
        <v/>
      </c>
      <c r="X2075" s="18" t="inlineStr">
        <is>
          <t>3-28</t>
        </is>
      </c>
      <c r="Y2075" s="19" t="inlineStr"/>
      <c r="Z2075" s="18">
        <f>IF(Y2075="",X2075,Y2075)</f>
        <v/>
      </c>
      <c r="AA2075" s="18" t="inlineStr">
        <is>
          <t>grounded</t>
        </is>
      </c>
      <c r="AB2075" s="18" t="inlineStr"/>
      <c r="AC2075" s="18" t="inlineStr"/>
      <c r="AD2075" s="18" t="inlineStr"/>
      <c r="AE2075" s="18" t="inlineStr"/>
      <c r="AF2075" s="18" t="inlineStr"/>
      <c r="AG2075" s="18" t="inlineStr"/>
      <c r="AH2075" s="18" t="inlineStr"/>
      <c r="AI2075" s="18" t="inlineStr"/>
      <c r="AJ2075" s="18" t="inlineStr">
        <is>
          <t>Cobblemon 동일</t>
        </is>
      </c>
      <c r="AK2075" s="18" t="inlineStr">
        <is>
          <t>사용</t>
        </is>
      </c>
      <c r="AL2075" s="18" t="inlineStr">
        <is>
          <t>COBBLEVERSE 1.7.42 / DP v31</t>
        </is>
      </c>
      <c r="AM2075" s="18" t="inlineStr">
        <is>
          <t>data/cobblemon/spawn_pool_world/0607_litwick.json</t>
        </is>
      </c>
      <c r="AN2075" s="18" t="inlineStr">
        <is>
          <t>litwick-1</t>
        </is>
      </c>
      <c r="AO2075" s="18" t="inlineStr">
        <is>
          <t>pokemon</t>
        </is>
      </c>
      <c r="AP2075" s="18" t="inlineStr">
        <is>
          <t>natural</t>
        </is>
      </c>
      <c r="AQ2075" s="18" t="inlineStr">
        <is>
          <t>{"biomes":["#cobblemon:nether/is_soul_fire"]}</t>
        </is>
      </c>
      <c r="AR2075" s="18" t="inlineStr"/>
      <c r="AS2075" s="18" t="inlineStr"/>
      <c r="AT2075" s="19" t="inlineStr"/>
    </row>
    <row r="2076" ht="32" customHeight="1">
      <c r="A2076" s="18" t="inlineStr">
        <is>
          <t>0607_litwick.json::litwick-2::002</t>
        </is>
      </c>
      <c r="B2076" s="19" t="inlineStr">
        <is>
          <t>사용</t>
        </is>
      </c>
      <c r="C2076" s="18">
        <f>IF(OR(B2076&lt;&gt;AK2076,M2076&lt;&gt;L2076,O2076&lt;&gt;"",Q2076&lt;&gt;"",V2076&lt;&gt;1,Y2076&lt;&gt;"",AT2076&lt;&gt;""),"수정","원본")</f>
        <v/>
      </c>
      <c r="D2076" s="18" t="n">
        <v>607</v>
      </c>
      <c r="E2076" s="18" t="inlineStr">
        <is>
          <t>불켜미</t>
        </is>
      </c>
      <c r="F2076" s="18" t="inlineStr">
        <is>
          <t>litwick</t>
        </is>
      </c>
      <c r="G2076" s="18" t="inlineStr">
        <is>
          <t>litwick</t>
        </is>
      </c>
      <c r="H2076" s="18" t="inlineStr"/>
      <c r="I2076" s="18" t="n">
        <v>5</v>
      </c>
      <c r="J2076" s="18" t="n"/>
      <c r="K2076" s="18" t="n">
        <v>5</v>
      </c>
      <c r="L2076" s="18" t="inlineStr">
        <is>
          <t>cobbleventure:generation_5</t>
        </is>
      </c>
      <c r="M2076" s="19" t="inlineStr">
        <is>
          <t>cobbleventure:generation_5</t>
        </is>
      </c>
      <c r="N2076" s="18" t="inlineStr">
        <is>
          <t>region_01; region_02</t>
        </is>
      </c>
      <c r="O2076" s="19" t="inlineStr"/>
      <c r="P2076" s="18" t="inlineStr">
        <is>
          <t>#cobblemon:is_overworld</t>
        </is>
      </c>
      <c r="Q2076" s="19" t="inlineStr"/>
      <c r="R2076" s="18">
        <f>IF(Q2076="",P2076,Q2076)</f>
        <v/>
      </c>
      <c r="S2076" s="18" t="inlineStr"/>
      <c r="T2076" s="18" t="inlineStr">
        <is>
          <t>common</t>
        </is>
      </c>
      <c r="U2076" s="20" t="n">
        <v>9</v>
      </c>
      <c r="V2076" s="21" t="n">
        <v>1</v>
      </c>
      <c r="W2076" s="20">
        <f>IF(OR(U2076="",V2076=""),U2076,U2076*V2076)</f>
        <v/>
      </c>
      <c r="X2076" s="18" t="inlineStr">
        <is>
          <t>3-28</t>
        </is>
      </c>
      <c r="Y2076" s="19" t="inlineStr"/>
      <c r="Z2076" s="18">
        <f>IF(Y2076="",X2076,Y2076)</f>
        <v/>
      </c>
      <c r="AA2076" s="18" t="inlineStr">
        <is>
          <t>grounded</t>
        </is>
      </c>
      <c r="AB2076" s="18" t="inlineStr">
        <is>
          <t>night</t>
        </is>
      </c>
      <c r="AC2076" s="18" t="inlineStr"/>
      <c r="AD2076" s="18" t="inlineStr"/>
      <c r="AE2076" s="18" t="inlineStr"/>
      <c r="AF2076" s="18" t="inlineStr">
        <is>
          <t>False</t>
        </is>
      </c>
      <c r="AG2076" s="18" t="inlineStr"/>
      <c r="AH2076" s="18" t="inlineStr"/>
      <c r="AI2076" s="18" t="inlineStr"/>
      <c r="AJ2076" s="18" t="inlineStr">
        <is>
          <t>Cobblemon 동일</t>
        </is>
      </c>
      <c r="AK2076" s="18" t="inlineStr">
        <is>
          <t>사용</t>
        </is>
      </c>
      <c r="AL2076" s="18" t="inlineStr">
        <is>
          <t>COBBLEVERSE 1.7.42 / DP v31</t>
        </is>
      </c>
      <c r="AM2076" s="18" t="inlineStr">
        <is>
          <t>data/cobblemon/spawn_pool_world/0607_litwick.json</t>
        </is>
      </c>
      <c r="AN2076" s="18" t="inlineStr">
        <is>
          <t>litwick-2</t>
        </is>
      </c>
      <c r="AO2076" s="18" t="inlineStr">
        <is>
          <t>pokemon</t>
        </is>
      </c>
      <c r="AP2076" s="18" t="inlineStr">
        <is>
          <t>mansion</t>
        </is>
      </c>
      <c r="AQ2076" s="18" t="inlineStr">
        <is>
          <t>{"biomes":["#cobblemon:is_overworld"],"canSeeSky":false,"timeRange":"night"}</t>
        </is>
      </c>
      <c r="AR2076" s="18" t="inlineStr"/>
      <c r="AS2076" s="18" t="inlineStr"/>
      <c r="AT2076" s="19" t="inlineStr"/>
    </row>
    <row r="2077" ht="32" customHeight="1">
      <c r="A2077" s="18" t="inlineStr">
        <is>
          <t>0608_lampent.json::lampent-1::001</t>
        </is>
      </c>
      <c r="B2077" s="19" t="inlineStr">
        <is>
          <t>사용</t>
        </is>
      </c>
      <c r="C2077" s="18">
        <f>IF(OR(B2077&lt;&gt;AK2077,M2077&lt;&gt;L2077,O2077&lt;&gt;"",Q2077&lt;&gt;"",V2077&lt;&gt;1,Y2077&lt;&gt;"",AT2077&lt;&gt;""),"수정","원본")</f>
        <v/>
      </c>
      <c r="D2077" s="18" t="n">
        <v>608</v>
      </c>
      <c r="E2077" s="18" t="inlineStr">
        <is>
          <t>램프라</t>
        </is>
      </c>
      <c r="F2077" s="18" t="inlineStr">
        <is>
          <t>lampent</t>
        </is>
      </c>
      <c r="G2077" s="18" t="inlineStr">
        <is>
          <t>lampent</t>
        </is>
      </c>
      <c r="H2077" s="18" t="inlineStr"/>
      <c r="I2077" s="18" t="n">
        <v>5</v>
      </c>
      <c r="J2077" s="18" t="n"/>
      <c r="K2077" s="18" t="n">
        <v>5</v>
      </c>
      <c r="L2077" s="18" t="inlineStr">
        <is>
          <t>cobbleventure:generation_5</t>
        </is>
      </c>
      <c r="M2077" s="19" t="inlineStr">
        <is>
          <t>cobbleventure:generation_5</t>
        </is>
      </c>
      <c r="N2077" s="18" t="inlineStr"/>
      <c r="O2077" s="19" t="inlineStr"/>
      <c r="P2077" s="18" t="inlineStr">
        <is>
          <t>#cobblemon:nether/is_soul_fire</t>
        </is>
      </c>
      <c r="Q2077" s="19" t="inlineStr"/>
      <c r="R2077" s="18">
        <f>IF(Q2077="",P2077,Q2077)</f>
        <v/>
      </c>
      <c r="S2077" s="18" t="inlineStr"/>
      <c r="T2077" s="18" t="inlineStr">
        <is>
          <t>common</t>
        </is>
      </c>
      <c r="U2077" s="20" t="n">
        <v>0.19</v>
      </c>
      <c r="V2077" s="21" t="n">
        <v>1</v>
      </c>
      <c r="W2077" s="20">
        <f>IF(OR(U2077="",V2077=""),U2077,U2077*V2077)</f>
        <v/>
      </c>
      <c r="X2077" s="18" t="inlineStr">
        <is>
          <t>41-46</t>
        </is>
      </c>
      <c r="Y2077" s="19" t="inlineStr"/>
      <c r="Z2077" s="18">
        <f>IF(Y2077="",X2077,Y2077)</f>
        <v/>
      </c>
      <c r="AA2077" s="18" t="inlineStr">
        <is>
          <t>grounded</t>
        </is>
      </c>
      <c r="AB2077" s="18" t="inlineStr"/>
      <c r="AC2077" s="18" t="inlineStr"/>
      <c r="AD2077" s="18" t="inlineStr"/>
      <c r="AE2077" s="18" t="inlineStr"/>
      <c r="AF2077" s="18" t="inlineStr"/>
      <c r="AG2077" s="18" t="inlineStr"/>
      <c r="AH2077" s="18" t="inlineStr"/>
      <c r="AI2077" s="18" t="inlineStr"/>
      <c r="AJ2077" s="18" t="inlineStr">
        <is>
          <t>Cobblemon 동일</t>
        </is>
      </c>
      <c r="AK2077" s="18" t="inlineStr">
        <is>
          <t>사용</t>
        </is>
      </c>
      <c r="AL2077" s="18" t="inlineStr">
        <is>
          <t>COBBLEVERSE 1.7.42 / DP v31</t>
        </is>
      </c>
      <c r="AM2077" s="18" t="inlineStr">
        <is>
          <t>data/cobblemon/spawn_pool_world/0608_lampent.json</t>
        </is>
      </c>
      <c r="AN2077" s="18" t="inlineStr">
        <is>
          <t>lampent-1</t>
        </is>
      </c>
      <c r="AO2077" s="18" t="inlineStr">
        <is>
          <t>pokemon</t>
        </is>
      </c>
      <c r="AP2077" s="18" t="inlineStr">
        <is>
          <t>natural</t>
        </is>
      </c>
      <c r="AQ2077" s="18" t="inlineStr">
        <is>
          <t>{"biomes":["#cobblemon:nether/is_soul_fire"]}</t>
        </is>
      </c>
      <c r="AR2077" s="18" t="inlineStr"/>
      <c r="AS2077" s="18" t="inlineStr"/>
      <c r="AT2077" s="19" t="inlineStr"/>
    </row>
    <row r="2078" ht="32" customHeight="1">
      <c r="A2078" s="18" t="inlineStr">
        <is>
          <t>0608_lampent.json::lampent-2::002</t>
        </is>
      </c>
      <c r="B2078" s="19" t="inlineStr">
        <is>
          <t>사용</t>
        </is>
      </c>
      <c r="C2078" s="18">
        <f>IF(OR(B2078&lt;&gt;AK2078,M2078&lt;&gt;L2078,O2078&lt;&gt;"",Q2078&lt;&gt;"",V2078&lt;&gt;1,Y2078&lt;&gt;"",AT2078&lt;&gt;""),"수정","원본")</f>
        <v/>
      </c>
      <c r="D2078" s="18" t="n">
        <v>608</v>
      </c>
      <c r="E2078" s="18" t="inlineStr">
        <is>
          <t>램프라</t>
        </is>
      </c>
      <c r="F2078" s="18" t="inlineStr">
        <is>
          <t>lampent</t>
        </is>
      </c>
      <c r="G2078" s="18" t="inlineStr">
        <is>
          <t>lampent</t>
        </is>
      </c>
      <c r="H2078" s="18" t="inlineStr"/>
      <c r="I2078" s="18" t="n">
        <v>5</v>
      </c>
      <c r="J2078" s="18" t="n"/>
      <c r="K2078" s="18" t="n">
        <v>5</v>
      </c>
      <c r="L2078" s="18" t="inlineStr">
        <is>
          <t>cobbleventure:generation_5</t>
        </is>
      </c>
      <c r="M2078" s="19" t="inlineStr">
        <is>
          <t>cobbleventure:generation_5</t>
        </is>
      </c>
      <c r="N2078" s="18" t="inlineStr">
        <is>
          <t>region_01; region_02</t>
        </is>
      </c>
      <c r="O2078" s="19" t="inlineStr"/>
      <c r="P2078" s="18" t="inlineStr">
        <is>
          <t>#cobblemon:is_overworld</t>
        </is>
      </c>
      <c r="Q2078" s="19" t="inlineStr"/>
      <c r="R2078" s="18">
        <f>IF(Q2078="",P2078,Q2078)</f>
        <v/>
      </c>
      <c r="S2078" s="18" t="inlineStr"/>
      <c r="T2078" s="18" t="inlineStr">
        <is>
          <t>common</t>
        </is>
      </c>
      <c r="U2078" s="20" t="n">
        <v>0.95</v>
      </c>
      <c r="V2078" s="21" t="n">
        <v>1</v>
      </c>
      <c r="W2078" s="20">
        <f>IF(OR(U2078="",V2078=""),U2078,U2078*V2078)</f>
        <v/>
      </c>
      <c r="X2078" s="18" t="inlineStr">
        <is>
          <t>41-46</t>
        </is>
      </c>
      <c r="Y2078" s="19" t="inlineStr"/>
      <c r="Z2078" s="18">
        <f>IF(Y2078="",X2078,Y2078)</f>
        <v/>
      </c>
      <c r="AA2078" s="18" t="inlineStr">
        <is>
          <t>grounded</t>
        </is>
      </c>
      <c r="AB2078" s="18" t="inlineStr">
        <is>
          <t>night</t>
        </is>
      </c>
      <c r="AC2078" s="18" t="inlineStr"/>
      <c r="AD2078" s="18" t="inlineStr"/>
      <c r="AE2078" s="18" t="inlineStr"/>
      <c r="AF2078" s="18" t="inlineStr">
        <is>
          <t>False</t>
        </is>
      </c>
      <c r="AG2078" s="18" t="inlineStr"/>
      <c r="AH2078" s="18" t="inlineStr"/>
      <c r="AI2078" s="18" t="inlineStr"/>
      <c r="AJ2078" s="18" t="inlineStr">
        <is>
          <t>Cobblemon 동일</t>
        </is>
      </c>
      <c r="AK2078" s="18" t="inlineStr">
        <is>
          <t>사용</t>
        </is>
      </c>
      <c r="AL2078" s="18" t="inlineStr">
        <is>
          <t>COBBLEVERSE 1.7.42 / DP v31</t>
        </is>
      </c>
      <c r="AM2078" s="18" t="inlineStr">
        <is>
          <t>data/cobblemon/spawn_pool_world/0608_lampent.json</t>
        </is>
      </c>
      <c r="AN2078" s="18" t="inlineStr">
        <is>
          <t>lampent-2</t>
        </is>
      </c>
      <c r="AO2078" s="18" t="inlineStr">
        <is>
          <t>pokemon</t>
        </is>
      </c>
      <c r="AP2078" s="18" t="inlineStr">
        <is>
          <t>mansion</t>
        </is>
      </c>
      <c r="AQ2078" s="18" t="inlineStr">
        <is>
          <t>{"biomes":["#cobblemon:is_overworld"],"canSeeSky":false,"timeRange":"night"}</t>
        </is>
      </c>
      <c r="AR2078" s="18" t="inlineStr"/>
      <c r="AS2078" s="18" t="inlineStr"/>
      <c r="AT2078" s="19" t="inlineStr"/>
    </row>
    <row r="2079" ht="32" customHeight="1">
      <c r="A2079" s="18" t="inlineStr">
        <is>
          <t>0609_chandelure.json::chandelure-1::001</t>
        </is>
      </c>
      <c r="B2079" s="19" t="inlineStr">
        <is>
          <t>사용</t>
        </is>
      </c>
      <c r="C2079" s="18">
        <f>IF(OR(B2079&lt;&gt;AK2079,M2079&lt;&gt;L2079,O2079&lt;&gt;"",Q2079&lt;&gt;"",V2079&lt;&gt;1,Y2079&lt;&gt;"",AT2079&lt;&gt;""),"수정","원본")</f>
        <v/>
      </c>
      <c r="D2079" s="18" t="n">
        <v>609</v>
      </c>
      <c r="E2079" s="18" t="inlineStr">
        <is>
          <t>샹델라</t>
        </is>
      </c>
      <c r="F2079" s="18" t="inlineStr">
        <is>
          <t>chandelure</t>
        </is>
      </c>
      <c r="G2079" s="18" t="inlineStr">
        <is>
          <t>chandelure</t>
        </is>
      </c>
      <c r="H2079" s="18" t="inlineStr"/>
      <c r="I2079" s="18" t="n">
        <v>5</v>
      </c>
      <c r="J2079" s="18" t="n"/>
      <c r="K2079" s="18" t="n">
        <v>5</v>
      </c>
      <c r="L2079" s="18" t="inlineStr">
        <is>
          <t>cobbleventure:generation_5</t>
        </is>
      </c>
      <c r="M2079" s="19" t="inlineStr">
        <is>
          <t>cobbleventure:generation_5</t>
        </is>
      </c>
      <c r="N2079" s="18" t="inlineStr"/>
      <c r="O2079" s="19" t="inlineStr"/>
      <c r="P2079" s="18" t="inlineStr">
        <is>
          <t>#cobblemon:nether/is_soul_fire</t>
        </is>
      </c>
      <c r="Q2079" s="19" t="inlineStr"/>
      <c r="R2079" s="18">
        <f>IF(Q2079="",P2079,Q2079)</f>
        <v/>
      </c>
      <c r="S2079" s="18" t="inlineStr"/>
      <c r="T2079" s="18" t="inlineStr">
        <is>
          <t>common</t>
        </is>
      </c>
      <c r="U2079" s="20" t="n">
        <v>0.01</v>
      </c>
      <c r="V2079" s="21" t="n">
        <v>1</v>
      </c>
      <c r="W2079" s="20">
        <f>IF(OR(U2079="",V2079=""),U2079,U2079*V2079)</f>
        <v/>
      </c>
      <c r="X2079" s="18" t="inlineStr">
        <is>
          <t>41-52</t>
        </is>
      </c>
      <c r="Y2079" s="19" t="inlineStr"/>
      <c r="Z2079" s="18">
        <f>IF(Y2079="",X2079,Y2079)</f>
        <v/>
      </c>
      <c r="AA2079" s="18" t="inlineStr">
        <is>
          <t>grounded</t>
        </is>
      </c>
      <c r="AB2079" s="18" t="inlineStr"/>
      <c r="AC2079" s="18" t="inlineStr"/>
      <c r="AD2079" s="18" t="inlineStr"/>
      <c r="AE2079" s="18" t="inlineStr"/>
      <c r="AF2079" s="18" t="inlineStr"/>
      <c r="AG2079" s="18" t="inlineStr"/>
      <c r="AH2079" s="18" t="inlineStr"/>
      <c r="AI2079" s="18" t="inlineStr"/>
      <c r="AJ2079" s="18" t="inlineStr">
        <is>
          <t>Cobblemon 동일</t>
        </is>
      </c>
      <c r="AK2079" s="18" t="inlineStr">
        <is>
          <t>사용</t>
        </is>
      </c>
      <c r="AL2079" s="18" t="inlineStr">
        <is>
          <t>COBBLEVERSE 1.7.42 / DP v31</t>
        </is>
      </c>
      <c r="AM2079" s="18" t="inlineStr">
        <is>
          <t>data/cobblemon/spawn_pool_world/0609_chandelure.json</t>
        </is>
      </c>
      <c r="AN2079" s="18" t="inlineStr">
        <is>
          <t>chandelure-1</t>
        </is>
      </c>
      <c r="AO2079" s="18" t="inlineStr">
        <is>
          <t>pokemon</t>
        </is>
      </c>
      <c r="AP2079" s="18" t="inlineStr">
        <is>
          <t>natural</t>
        </is>
      </c>
      <c r="AQ2079" s="18" t="inlineStr">
        <is>
          <t>{"biomes":["#cobblemon:nether/is_soul_fire"]}</t>
        </is>
      </c>
      <c r="AR2079" s="18" t="inlineStr"/>
      <c r="AS2079" s="18" t="inlineStr"/>
      <c r="AT2079" s="19" t="inlineStr"/>
    </row>
    <row r="2080" ht="32" customHeight="1">
      <c r="A2080" s="18" t="inlineStr">
        <is>
          <t>0609_chandelure.json::chandelure-2::002</t>
        </is>
      </c>
      <c r="B2080" s="19" t="inlineStr">
        <is>
          <t>사용</t>
        </is>
      </c>
      <c r="C2080" s="18">
        <f>IF(OR(B2080&lt;&gt;AK2080,M2080&lt;&gt;L2080,O2080&lt;&gt;"",Q2080&lt;&gt;"",V2080&lt;&gt;1,Y2080&lt;&gt;"",AT2080&lt;&gt;""),"수정","원본")</f>
        <v/>
      </c>
      <c r="D2080" s="18" t="n">
        <v>609</v>
      </c>
      <c r="E2080" s="18" t="inlineStr">
        <is>
          <t>샹델라</t>
        </is>
      </c>
      <c r="F2080" s="18" t="inlineStr">
        <is>
          <t>chandelure</t>
        </is>
      </c>
      <c r="G2080" s="18" t="inlineStr">
        <is>
          <t>chandelure</t>
        </is>
      </c>
      <c r="H2080" s="18" t="inlineStr"/>
      <c r="I2080" s="18" t="n">
        <v>5</v>
      </c>
      <c r="J2080" s="18" t="n"/>
      <c r="K2080" s="18" t="n">
        <v>5</v>
      </c>
      <c r="L2080" s="18" t="inlineStr">
        <is>
          <t>cobbleventure:generation_5</t>
        </is>
      </c>
      <c r="M2080" s="19" t="inlineStr">
        <is>
          <t>cobbleventure:generation_5</t>
        </is>
      </c>
      <c r="N2080" s="18" t="inlineStr">
        <is>
          <t>region_01; region_02</t>
        </is>
      </c>
      <c r="O2080" s="19" t="inlineStr"/>
      <c r="P2080" s="18" t="inlineStr">
        <is>
          <t>#cobblemon:is_overworld</t>
        </is>
      </c>
      <c r="Q2080" s="19" t="inlineStr"/>
      <c r="R2080" s="18">
        <f>IF(Q2080="",P2080,Q2080)</f>
        <v/>
      </c>
      <c r="S2080" s="18" t="inlineStr"/>
      <c r="T2080" s="18" t="inlineStr">
        <is>
          <t>common</t>
        </is>
      </c>
      <c r="U2080" s="20" t="n">
        <v>0.05</v>
      </c>
      <c r="V2080" s="21" t="n">
        <v>1</v>
      </c>
      <c r="W2080" s="20">
        <f>IF(OR(U2080="",V2080=""),U2080,U2080*V2080)</f>
        <v/>
      </c>
      <c r="X2080" s="18" t="inlineStr">
        <is>
          <t>41-52</t>
        </is>
      </c>
      <c r="Y2080" s="19" t="inlineStr"/>
      <c r="Z2080" s="18">
        <f>IF(Y2080="",X2080,Y2080)</f>
        <v/>
      </c>
      <c r="AA2080" s="18" t="inlineStr">
        <is>
          <t>grounded</t>
        </is>
      </c>
      <c r="AB2080" s="18" t="inlineStr">
        <is>
          <t>night</t>
        </is>
      </c>
      <c r="AC2080" s="18" t="inlineStr"/>
      <c r="AD2080" s="18" t="inlineStr"/>
      <c r="AE2080" s="18" t="inlineStr"/>
      <c r="AF2080" s="18" t="inlineStr">
        <is>
          <t>False</t>
        </is>
      </c>
      <c r="AG2080" s="18" t="inlineStr"/>
      <c r="AH2080" s="18" t="inlineStr"/>
      <c r="AI2080" s="18" t="inlineStr"/>
      <c r="AJ2080" s="18" t="inlineStr">
        <is>
          <t>Cobblemon 동일</t>
        </is>
      </c>
      <c r="AK2080" s="18" t="inlineStr">
        <is>
          <t>사용</t>
        </is>
      </c>
      <c r="AL2080" s="18" t="inlineStr">
        <is>
          <t>COBBLEVERSE 1.7.42 / DP v31</t>
        </is>
      </c>
      <c r="AM2080" s="18" t="inlineStr">
        <is>
          <t>data/cobblemon/spawn_pool_world/0609_chandelure.json</t>
        </is>
      </c>
      <c r="AN2080" s="18" t="inlineStr">
        <is>
          <t>chandelure-2</t>
        </is>
      </c>
      <c r="AO2080" s="18" t="inlineStr">
        <is>
          <t>pokemon</t>
        </is>
      </c>
      <c r="AP2080" s="18" t="inlineStr">
        <is>
          <t>mansion</t>
        </is>
      </c>
      <c r="AQ2080" s="18" t="inlineStr">
        <is>
          <t>{"biomes":["#cobblemon:is_overworld"],"canSeeSky":false,"timeRange":"night"}</t>
        </is>
      </c>
      <c r="AR2080" s="18" t="inlineStr"/>
      <c r="AS2080" s="18" t="inlineStr"/>
      <c r="AT2080" s="19" t="inlineStr"/>
    </row>
    <row r="2081" ht="32" customHeight="1">
      <c r="A2081" s="18" t="inlineStr">
        <is>
          <t>0610_axew.json::axew-1::001</t>
        </is>
      </c>
      <c r="B2081" s="19" t="inlineStr">
        <is>
          <t>사용</t>
        </is>
      </c>
      <c r="C2081" s="18">
        <f>IF(OR(B2081&lt;&gt;AK2081,M2081&lt;&gt;L2081,O2081&lt;&gt;"",Q2081&lt;&gt;"",V2081&lt;&gt;1,Y2081&lt;&gt;"",AT2081&lt;&gt;""),"수정","원본")</f>
        <v/>
      </c>
      <c r="D2081" s="18" t="n">
        <v>610</v>
      </c>
      <c r="E2081" s="18" t="inlineStr">
        <is>
          <t>터검니</t>
        </is>
      </c>
      <c r="F2081" s="18" t="inlineStr">
        <is>
          <t>axew</t>
        </is>
      </c>
      <c r="G2081" s="18" t="inlineStr">
        <is>
          <t>axew</t>
        </is>
      </c>
      <c r="H2081" s="18" t="inlineStr"/>
      <c r="I2081" s="18" t="n">
        <v>5</v>
      </c>
      <c r="J2081" s="18" t="n"/>
      <c r="K2081" s="18" t="n">
        <v>5</v>
      </c>
      <c r="L2081" s="18" t="inlineStr">
        <is>
          <t>cobbleventure:generation_5</t>
        </is>
      </c>
      <c r="M2081" s="19" t="inlineStr">
        <is>
          <t>cobbleventure:generation_5</t>
        </is>
      </c>
      <c r="N2081" s="18" t="inlineStr"/>
      <c r="O2081" s="19" t="inlineStr"/>
      <c r="P2081" s="18" t="inlineStr">
        <is>
          <t>#cobblemon:is_mountain</t>
        </is>
      </c>
      <c r="Q2081" s="19" t="inlineStr"/>
      <c r="R2081" s="18">
        <f>IF(Q2081="",P2081,Q2081)</f>
        <v/>
      </c>
      <c r="S2081" s="18" t="inlineStr"/>
      <c r="T2081" s="18" t="inlineStr">
        <is>
          <t>ultra-rare</t>
        </is>
      </c>
      <c r="U2081" s="20" t="n">
        <v>6</v>
      </c>
      <c r="V2081" s="21" t="n">
        <v>1</v>
      </c>
      <c r="W2081" s="20">
        <f>IF(OR(U2081="",V2081=""),U2081,U2081*V2081)</f>
        <v/>
      </c>
      <c r="X2081" s="18" t="inlineStr">
        <is>
          <t>7-32</t>
        </is>
      </c>
      <c r="Y2081" s="19" t="inlineStr"/>
      <c r="Z2081" s="18">
        <f>IF(Y2081="",X2081,Y2081)</f>
        <v/>
      </c>
      <c r="AA2081" s="18" t="inlineStr">
        <is>
          <t>grounded</t>
        </is>
      </c>
      <c r="AB2081" s="18" t="inlineStr"/>
      <c r="AC2081" s="18" t="inlineStr"/>
      <c r="AD2081" s="18" t="inlineStr"/>
      <c r="AE2081" s="18" t="inlineStr"/>
      <c r="AF2081" s="18" t="inlineStr"/>
      <c r="AG2081" s="18" t="inlineStr"/>
      <c r="AH2081" s="18" t="inlineStr"/>
      <c r="AI2081" s="18" t="inlineStr"/>
      <c r="AJ2081" s="18" t="inlineStr">
        <is>
          <t>Cobblemon 동일</t>
        </is>
      </c>
      <c r="AK2081" s="18" t="inlineStr">
        <is>
          <t>사용</t>
        </is>
      </c>
      <c r="AL2081" s="18" t="inlineStr">
        <is>
          <t>COBBLEVERSE 1.7.42 / DP v31</t>
        </is>
      </c>
      <c r="AM2081" s="18" t="inlineStr">
        <is>
          <t>data/cobblemon/spawn_pool_world/0610_axew.json</t>
        </is>
      </c>
      <c r="AN2081" s="18" t="inlineStr">
        <is>
          <t>axew-1</t>
        </is>
      </c>
      <c r="AO2081" s="18" t="inlineStr">
        <is>
          <t>pokemon</t>
        </is>
      </c>
      <c r="AP2081" s="18" t="inlineStr">
        <is>
          <t>natural; wild</t>
        </is>
      </c>
      <c r="AQ2081" s="18" t="inlineStr">
        <is>
          <t>{"biomes":["#cobblemon:is_mountain"]}</t>
        </is>
      </c>
      <c r="AR2081" s="18" t="inlineStr"/>
      <c r="AS2081" s="18" t="inlineStr"/>
      <c r="AT2081" s="19" t="inlineStr"/>
    </row>
    <row r="2082" ht="32" customHeight="1">
      <c r="A2082" s="18" t="inlineStr">
        <is>
          <t>0611_fraxure.json::fraxure-1::001</t>
        </is>
      </c>
      <c r="B2082" s="19" t="inlineStr">
        <is>
          <t>사용</t>
        </is>
      </c>
      <c r="C2082" s="18">
        <f>IF(OR(B2082&lt;&gt;AK2082,M2082&lt;&gt;L2082,O2082&lt;&gt;"",Q2082&lt;&gt;"",V2082&lt;&gt;1,Y2082&lt;&gt;"",AT2082&lt;&gt;""),"수정","원본")</f>
        <v/>
      </c>
      <c r="D2082" s="18" t="n">
        <v>611</v>
      </c>
      <c r="E2082" s="18" t="inlineStr">
        <is>
          <t>액슨도</t>
        </is>
      </c>
      <c r="F2082" s="18" t="inlineStr">
        <is>
          <t>fraxure</t>
        </is>
      </c>
      <c r="G2082" s="18" t="inlineStr">
        <is>
          <t>fraxure</t>
        </is>
      </c>
      <c r="H2082" s="18" t="inlineStr"/>
      <c r="I2082" s="18" t="n">
        <v>5</v>
      </c>
      <c r="J2082" s="18" t="n"/>
      <c r="K2082" s="18" t="n">
        <v>5</v>
      </c>
      <c r="L2082" s="18" t="inlineStr">
        <is>
          <t>cobbleventure:generation_5</t>
        </is>
      </c>
      <c r="M2082" s="19" t="inlineStr">
        <is>
          <t>cobbleventure:generation_5</t>
        </is>
      </c>
      <c r="N2082" s="18" t="inlineStr"/>
      <c r="O2082" s="19" t="inlineStr"/>
      <c r="P2082" s="18" t="inlineStr">
        <is>
          <t>#cobblemon:is_mountain</t>
        </is>
      </c>
      <c r="Q2082" s="19" t="inlineStr"/>
      <c r="R2082" s="18">
        <f>IF(Q2082="",P2082,Q2082)</f>
        <v/>
      </c>
      <c r="S2082" s="18" t="inlineStr"/>
      <c r="T2082" s="18" t="inlineStr">
        <is>
          <t>ultra-rare</t>
        </is>
      </c>
      <c r="U2082" s="20" t="n">
        <v>3.6</v>
      </c>
      <c r="V2082" s="21" t="n">
        <v>1</v>
      </c>
      <c r="W2082" s="20">
        <f>IF(OR(U2082="",V2082=""),U2082,U2082*V2082)</f>
        <v/>
      </c>
      <c r="X2082" s="18" t="inlineStr">
        <is>
          <t>38-41</t>
        </is>
      </c>
      <c r="Y2082" s="19" t="inlineStr"/>
      <c r="Z2082" s="18">
        <f>IF(Y2082="",X2082,Y2082)</f>
        <v/>
      </c>
      <c r="AA2082" s="18" t="inlineStr">
        <is>
          <t>grounded</t>
        </is>
      </c>
      <c r="AB2082" s="18" t="inlineStr"/>
      <c r="AC2082" s="18" t="inlineStr"/>
      <c r="AD2082" s="18" t="inlineStr"/>
      <c r="AE2082" s="18" t="inlineStr"/>
      <c r="AF2082" s="18" t="inlineStr"/>
      <c r="AG2082" s="18" t="inlineStr"/>
      <c r="AH2082" s="18" t="inlineStr"/>
      <c r="AI2082" s="18" t="inlineStr"/>
      <c r="AJ2082" s="18" t="inlineStr">
        <is>
          <t>Cobblemon 동일</t>
        </is>
      </c>
      <c r="AK2082" s="18" t="inlineStr">
        <is>
          <t>사용</t>
        </is>
      </c>
      <c r="AL2082" s="18" t="inlineStr">
        <is>
          <t>COBBLEVERSE 1.7.42 / DP v31</t>
        </is>
      </c>
      <c r="AM2082" s="18" t="inlineStr">
        <is>
          <t>data/cobblemon/spawn_pool_world/0611_fraxure.json</t>
        </is>
      </c>
      <c r="AN2082" s="18" t="inlineStr">
        <is>
          <t>fraxure-1</t>
        </is>
      </c>
      <c r="AO2082" s="18" t="inlineStr">
        <is>
          <t>pokemon</t>
        </is>
      </c>
      <c r="AP2082" s="18" t="inlineStr">
        <is>
          <t>natural; wild</t>
        </is>
      </c>
      <c r="AQ2082" s="18" t="inlineStr">
        <is>
          <t>{"biomes":["#cobblemon:is_mountain"]}</t>
        </is>
      </c>
      <c r="AR2082" s="18" t="inlineStr"/>
      <c r="AS2082" s="18" t="inlineStr"/>
      <c r="AT2082" s="19" t="inlineStr"/>
    </row>
    <row r="2083" ht="32" customHeight="1">
      <c r="A2083" s="18" t="inlineStr">
        <is>
          <t>0612_haxorus.json::haxorus-1::001</t>
        </is>
      </c>
      <c r="B2083" s="19" t="inlineStr">
        <is>
          <t>사용</t>
        </is>
      </c>
      <c r="C2083" s="18">
        <f>IF(OR(B2083&lt;&gt;AK2083,M2083&lt;&gt;L2083,O2083&lt;&gt;"",Q2083&lt;&gt;"",V2083&lt;&gt;1,Y2083&lt;&gt;"",AT2083&lt;&gt;""),"수정","원본")</f>
        <v/>
      </c>
      <c r="D2083" s="18" t="n">
        <v>612</v>
      </c>
      <c r="E2083" s="18" t="inlineStr">
        <is>
          <t>액스라이즈</t>
        </is>
      </c>
      <c r="F2083" s="18" t="inlineStr">
        <is>
          <t>haxorus</t>
        </is>
      </c>
      <c r="G2083" s="18" t="inlineStr">
        <is>
          <t>haxorus</t>
        </is>
      </c>
      <c r="H2083" s="18" t="inlineStr"/>
      <c r="I2083" s="18" t="n">
        <v>5</v>
      </c>
      <c r="J2083" s="18" t="n"/>
      <c r="K2083" s="18" t="n">
        <v>5</v>
      </c>
      <c r="L2083" s="18" t="inlineStr">
        <is>
          <t>cobbleventure:generation_5</t>
        </is>
      </c>
      <c r="M2083" s="19" t="inlineStr">
        <is>
          <t>cobbleventure:generation_5</t>
        </is>
      </c>
      <c r="N2083" s="18" t="inlineStr"/>
      <c r="O2083" s="19" t="inlineStr"/>
      <c r="P2083" s="18" t="inlineStr">
        <is>
          <t>#cobblemon:is_mountain</t>
        </is>
      </c>
      <c r="Q2083" s="19" t="inlineStr"/>
      <c r="R2083" s="18">
        <f>IF(Q2083="",P2083,Q2083)</f>
        <v/>
      </c>
      <c r="S2083" s="18" t="inlineStr"/>
      <c r="T2083" s="18" t="inlineStr">
        <is>
          <t>ultra-rare</t>
        </is>
      </c>
      <c r="U2083" s="20" t="n">
        <v>0.4</v>
      </c>
      <c r="V2083" s="21" t="n">
        <v>1</v>
      </c>
      <c r="W2083" s="20">
        <f>IF(OR(U2083="",V2083=""),U2083,U2083*V2083)</f>
        <v/>
      </c>
      <c r="X2083" s="18" t="inlineStr">
        <is>
          <t>48-54</t>
        </is>
      </c>
      <c r="Y2083" s="19" t="inlineStr"/>
      <c r="Z2083" s="18">
        <f>IF(Y2083="",X2083,Y2083)</f>
        <v/>
      </c>
      <c r="AA2083" s="18" t="inlineStr">
        <is>
          <t>grounded</t>
        </is>
      </c>
      <c r="AB2083" s="18" t="inlineStr"/>
      <c r="AC2083" s="18" t="inlineStr"/>
      <c r="AD2083" s="18" t="inlineStr"/>
      <c r="AE2083" s="18" t="inlineStr"/>
      <c r="AF2083" s="18" t="inlineStr"/>
      <c r="AG2083" s="18" t="inlineStr"/>
      <c r="AH2083" s="18" t="inlineStr"/>
      <c r="AI2083" s="18" t="inlineStr"/>
      <c r="AJ2083" s="18" t="inlineStr">
        <is>
          <t>Cobblemon 동일</t>
        </is>
      </c>
      <c r="AK2083" s="18" t="inlineStr">
        <is>
          <t>사용</t>
        </is>
      </c>
      <c r="AL2083" s="18" t="inlineStr">
        <is>
          <t>COBBLEVERSE 1.7.42 / DP v31</t>
        </is>
      </c>
      <c r="AM2083" s="18" t="inlineStr">
        <is>
          <t>data/cobblemon/spawn_pool_world/0612_haxorus.json</t>
        </is>
      </c>
      <c r="AN2083" s="18" t="inlineStr">
        <is>
          <t>haxorus-1</t>
        </is>
      </c>
      <c r="AO2083" s="18" t="inlineStr">
        <is>
          <t>pokemon</t>
        </is>
      </c>
      <c r="AP2083" s="18" t="inlineStr">
        <is>
          <t>natural; wild</t>
        </is>
      </c>
      <c r="AQ2083" s="18" t="inlineStr">
        <is>
          <t>{"biomes":["#cobblemon:is_mountain"]}</t>
        </is>
      </c>
      <c r="AR2083" s="18" t="inlineStr"/>
      <c r="AS2083" s="18" t="inlineStr"/>
      <c r="AT2083" s="19" t="inlineStr"/>
    </row>
    <row r="2084" ht="32" customHeight="1">
      <c r="A2084" s="18" t="inlineStr">
        <is>
          <t>0613_cubchoo.json::cubchoo-1::001</t>
        </is>
      </c>
      <c r="B2084" s="19" t="inlineStr">
        <is>
          <t>사용</t>
        </is>
      </c>
      <c r="C2084" s="18">
        <f>IF(OR(B2084&lt;&gt;AK2084,M2084&lt;&gt;L2084,O2084&lt;&gt;"",Q2084&lt;&gt;"",V2084&lt;&gt;1,Y2084&lt;&gt;"",AT2084&lt;&gt;""),"수정","원본")</f>
        <v/>
      </c>
      <c r="D2084" s="18" t="n">
        <v>613</v>
      </c>
      <c r="E2084" s="18" t="inlineStr">
        <is>
          <t>코고미</t>
        </is>
      </c>
      <c r="F2084" s="18" t="inlineStr">
        <is>
          <t>cubchoo</t>
        </is>
      </c>
      <c r="G2084" s="18" t="inlineStr">
        <is>
          <t>cubchoo</t>
        </is>
      </c>
      <c r="H2084" s="18" t="inlineStr"/>
      <c r="I2084" s="18" t="n">
        <v>5</v>
      </c>
      <c r="J2084" s="18" t="n"/>
      <c r="K2084" s="18" t="n">
        <v>5</v>
      </c>
      <c r="L2084" s="18" t="inlineStr">
        <is>
          <t>cobbleventure:generation_5</t>
        </is>
      </c>
      <c r="M2084" s="19" t="inlineStr">
        <is>
          <t>cobbleventure:generation_5</t>
        </is>
      </c>
      <c r="N2084" s="18" t="inlineStr"/>
      <c r="O2084" s="19" t="inlineStr"/>
      <c r="P2084" s="18" t="inlineStr">
        <is>
          <t>#cobblemon:is_frozen_ocean</t>
        </is>
      </c>
      <c r="Q2084" s="19" t="inlineStr"/>
      <c r="R2084" s="18">
        <f>IF(Q2084="",P2084,Q2084)</f>
        <v/>
      </c>
      <c r="S2084" s="18" t="inlineStr"/>
      <c r="T2084" s="18" t="inlineStr">
        <is>
          <t>common</t>
        </is>
      </c>
      <c r="U2084" s="20" t="n">
        <v>1.8</v>
      </c>
      <c r="V2084" s="21" t="n">
        <v>1</v>
      </c>
      <c r="W2084" s="20">
        <f>IF(OR(U2084="",V2084=""),U2084,U2084*V2084)</f>
        <v/>
      </c>
      <c r="X2084" s="18" t="inlineStr">
        <is>
          <t>6-31</t>
        </is>
      </c>
      <c r="Y2084" s="19" t="inlineStr"/>
      <c r="Z2084" s="18">
        <f>IF(Y2084="",X2084,Y2084)</f>
        <v/>
      </c>
      <c r="AA2084" s="18" t="inlineStr">
        <is>
          <t>grounded</t>
        </is>
      </c>
      <c r="AB2084" s="18" t="inlineStr"/>
      <c r="AC2084" s="18" t="inlineStr"/>
      <c r="AD2084" s="18" t="inlineStr"/>
      <c r="AE2084" s="18" t="inlineStr">
        <is>
          <t>sky 8-15</t>
        </is>
      </c>
      <c r="AF2084" s="18" t="inlineStr"/>
      <c r="AG2084" s="18" t="inlineStr"/>
      <c r="AH2084" s="18" t="inlineStr"/>
      <c r="AI2084" s="18" t="inlineStr"/>
      <c r="AJ2084" s="18" t="inlineStr">
        <is>
          <t>Cobblemon 동일</t>
        </is>
      </c>
      <c r="AK2084" s="18" t="inlineStr">
        <is>
          <t>사용</t>
        </is>
      </c>
      <c r="AL2084" s="18" t="inlineStr">
        <is>
          <t>COBBLEVERSE 1.7.42 / DP v31</t>
        </is>
      </c>
      <c r="AM2084" s="18" t="inlineStr">
        <is>
          <t>data/cobblemon/spawn_pool_world/0613_cubchoo.json</t>
        </is>
      </c>
      <c r="AN2084" s="18" t="inlineStr">
        <is>
          <t>cubchoo-1</t>
        </is>
      </c>
      <c r="AO2084" s="18" t="inlineStr">
        <is>
          <t>pokemon</t>
        </is>
      </c>
      <c r="AP2084" s="18" t="inlineStr">
        <is>
          <t>natural; wild</t>
        </is>
      </c>
      <c r="AQ2084" s="18" t="inlineStr">
        <is>
          <t>{"biomes":["#cobblemon:is_frozen_ocean"],"maxSkyLight":15,"minSkyLight":8}</t>
        </is>
      </c>
      <c r="AR2084" s="18" t="inlineStr"/>
      <c r="AS2084" s="18" t="inlineStr"/>
      <c r="AT2084" s="19" t="inlineStr"/>
    </row>
    <row r="2085" ht="32" customHeight="1">
      <c r="A2085" s="18" t="inlineStr">
        <is>
          <t>0614_beartic.json::beartic-1::001</t>
        </is>
      </c>
      <c r="B2085" s="19" t="inlineStr">
        <is>
          <t>사용</t>
        </is>
      </c>
      <c r="C2085" s="18">
        <f>IF(OR(B2085&lt;&gt;AK2085,M2085&lt;&gt;L2085,O2085&lt;&gt;"",Q2085&lt;&gt;"",V2085&lt;&gt;1,Y2085&lt;&gt;"",AT2085&lt;&gt;""),"수정","원본")</f>
        <v/>
      </c>
      <c r="D2085" s="18" t="n">
        <v>614</v>
      </c>
      <c r="E2085" s="18" t="inlineStr">
        <is>
          <t>툰베어</t>
        </is>
      </c>
      <c r="F2085" s="18" t="inlineStr">
        <is>
          <t>beartic</t>
        </is>
      </c>
      <c r="G2085" s="18" t="inlineStr">
        <is>
          <t>beartic</t>
        </is>
      </c>
      <c r="H2085" s="18" t="inlineStr"/>
      <c r="I2085" s="18" t="n">
        <v>5</v>
      </c>
      <c r="J2085" s="18" t="n"/>
      <c r="K2085" s="18" t="n">
        <v>5</v>
      </c>
      <c r="L2085" s="18" t="inlineStr">
        <is>
          <t>cobbleventure:generation_5</t>
        </is>
      </c>
      <c r="M2085" s="19" t="inlineStr">
        <is>
          <t>cobbleventure:generation_5</t>
        </is>
      </c>
      <c r="N2085" s="18" t="inlineStr"/>
      <c r="O2085" s="19" t="inlineStr"/>
      <c r="P2085" s="18" t="inlineStr">
        <is>
          <t>#cobblemon:is_frozen_ocean</t>
        </is>
      </c>
      <c r="Q2085" s="19" t="inlineStr"/>
      <c r="R2085" s="18">
        <f>IF(Q2085="",P2085,Q2085)</f>
        <v/>
      </c>
      <c r="S2085" s="18" t="inlineStr"/>
      <c r="T2085" s="18" t="inlineStr">
        <is>
          <t>common</t>
        </is>
      </c>
      <c r="U2085" s="20" t="n">
        <v>0.2</v>
      </c>
      <c r="V2085" s="21" t="n">
        <v>1</v>
      </c>
      <c r="W2085" s="20">
        <f>IF(OR(U2085="",V2085=""),U2085,U2085*V2085)</f>
        <v/>
      </c>
      <c r="X2085" s="18" t="inlineStr">
        <is>
          <t>37-51</t>
        </is>
      </c>
      <c r="Y2085" s="19" t="inlineStr"/>
      <c r="Z2085" s="18">
        <f>IF(Y2085="",X2085,Y2085)</f>
        <v/>
      </c>
      <c r="AA2085" s="18" t="inlineStr">
        <is>
          <t>grounded</t>
        </is>
      </c>
      <c r="AB2085" s="18" t="inlineStr"/>
      <c r="AC2085" s="18" t="inlineStr"/>
      <c r="AD2085" s="18" t="inlineStr"/>
      <c r="AE2085" s="18" t="inlineStr">
        <is>
          <t>sky 8-15</t>
        </is>
      </c>
      <c r="AF2085" s="18" t="inlineStr"/>
      <c r="AG2085" s="18" t="inlineStr"/>
      <c r="AH2085" s="18" t="inlineStr"/>
      <c r="AI2085" s="18" t="inlineStr"/>
      <c r="AJ2085" s="18" t="inlineStr">
        <is>
          <t>Cobblemon 동일</t>
        </is>
      </c>
      <c r="AK2085" s="18" t="inlineStr">
        <is>
          <t>사용</t>
        </is>
      </c>
      <c r="AL2085" s="18" t="inlineStr">
        <is>
          <t>COBBLEVERSE 1.7.42 / DP v31</t>
        </is>
      </c>
      <c r="AM2085" s="18" t="inlineStr">
        <is>
          <t>data/cobblemon/spawn_pool_world/0614_beartic.json</t>
        </is>
      </c>
      <c r="AN2085" s="18" t="inlineStr">
        <is>
          <t>beartic-1</t>
        </is>
      </c>
      <c r="AO2085" s="18" t="inlineStr">
        <is>
          <t>pokemon</t>
        </is>
      </c>
      <c r="AP2085" s="18" t="inlineStr">
        <is>
          <t>natural; wild</t>
        </is>
      </c>
      <c r="AQ2085" s="18" t="inlineStr">
        <is>
          <t>{"biomes":["#cobblemon:is_frozen_ocean"],"maxSkyLight":15,"minSkyLight":8}</t>
        </is>
      </c>
      <c r="AR2085" s="18" t="inlineStr"/>
      <c r="AS2085" s="18" t="inlineStr"/>
      <c r="AT2085" s="19" t="inlineStr"/>
    </row>
    <row r="2086" ht="32" customHeight="1">
      <c r="A2086" s="18" t="inlineStr">
        <is>
          <t>0615_cryogonal.json::cryogonal-1::001</t>
        </is>
      </c>
      <c r="B2086" s="19" t="inlineStr">
        <is>
          <t>사용</t>
        </is>
      </c>
      <c r="C2086" s="18">
        <f>IF(OR(B2086&lt;&gt;AK2086,M2086&lt;&gt;L2086,O2086&lt;&gt;"",Q2086&lt;&gt;"",V2086&lt;&gt;1,Y2086&lt;&gt;"",AT2086&lt;&gt;""),"수정","원본")</f>
        <v/>
      </c>
      <c r="D2086" s="18" t="n">
        <v>615</v>
      </c>
      <c r="E2086" s="18" t="inlineStr">
        <is>
          <t>프리지오</t>
        </is>
      </c>
      <c r="F2086" s="18" t="inlineStr">
        <is>
          <t>cryogonal</t>
        </is>
      </c>
      <c r="G2086" s="18" t="inlineStr">
        <is>
          <t>cryogonal</t>
        </is>
      </c>
      <c r="H2086" s="18" t="inlineStr"/>
      <c r="I2086" s="18" t="n">
        <v>5</v>
      </c>
      <c r="J2086" s="18" t="n"/>
      <c r="K2086" s="18" t="n">
        <v>5</v>
      </c>
      <c r="L2086" s="18" t="inlineStr">
        <is>
          <t>cobbleventure:generation_5</t>
        </is>
      </c>
      <c r="M2086" s="19" t="inlineStr">
        <is>
          <t>cobbleventure:generation_5</t>
        </is>
      </c>
      <c r="N2086" s="18" t="inlineStr"/>
      <c r="O2086" s="19" t="inlineStr"/>
      <c r="P2086" s="18" t="inlineStr">
        <is>
          <t>#cobblemon:is_freezing</t>
        </is>
      </c>
      <c r="Q2086" s="19" t="inlineStr"/>
      <c r="R2086" s="18">
        <f>IF(Q2086="",P2086,Q2086)</f>
        <v/>
      </c>
      <c r="S2086" s="18" t="inlineStr"/>
      <c r="T2086" s="18" t="inlineStr">
        <is>
          <t>uncommon</t>
        </is>
      </c>
      <c r="U2086" s="20" t="n">
        <v>2</v>
      </c>
      <c r="V2086" s="21" t="n">
        <v>1</v>
      </c>
      <c r="W2086" s="20">
        <f>IF(OR(U2086="",V2086=""),U2086,U2086*V2086)</f>
        <v/>
      </c>
      <c r="X2086" s="18" t="inlineStr">
        <is>
          <t>27-52</t>
        </is>
      </c>
      <c r="Y2086" s="19" t="inlineStr"/>
      <c r="Z2086" s="18">
        <f>IF(Y2086="",X2086,Y2086)</f>
        <v/>
      </c>
      <c r="AA2086" s="18" t="inlineStr">
        <is>
          <t>grounded</t>
        </is>
      </c>
      <c r="AB2086" s="18" t="inlineStr"/>
      <c r="AC2086" s="18" t="inlineStr"/>
      <c r="AD2086" s="18" t="inlineStr"/>
      <c r="AE2086" s="18" t="inlineStr">
        <is>
          <t>sky 8-15</t>
        </is>
      </c>
      <c r="AF2086" s="18" t="inlineStr"/>
      <c r="AG2086" s="18" t="inlineStr"/>
      <c r="AH2086" s="18" t="inlineStr"/>
      <c r="AI2086" s="18" t="inlineStr"/>
      <c r="AJ2086" s="18" t="inlineStr">
        <is>
          <t>Cobblemon 동일</t>
        </is>
      </c>
      <c r="AK2086" s="18" t="inlineStr">
        <is>
          <t>사용</t>
        </is>
      </c>
      <c r="AL2086" s="18" t="inlineStr">
        <is>
          <t>COBBLEVERSE 1.7.42 / DP v31</t>
        </is>
      </c>
      <c r="AM2086" s="18" t="inlineStr">
        <is>
          <t>data/cobblemon/spawn_pool_world/0615_cryogonal.json</t>
        </is>
      </c>
      <c r="AN2086" s="18" t="inlineStr">
        <is>
          <t>cryogonal-1</t>
        </is>
      </c>
      <c r="AO2086" s="18" t="inlineStr">
        <is>
          <t>pokemon</t>
        </is>
      </c>
      <c r="AP2086" s="18" t="inlineStr">
        <is>
          <t>natural</t>
        </is>
      </c>
      <c r="AQ2086" s="18" t="inlineStr">
        <is>
          <t>{"biomes":["#cobblemon:is_freezing"],"maxSkyLight":15,"minSkyLight":8}</t>
        </is>
      </c>
      <c r="AR2086" s="18" t="inlineStr"/>
      <c r="AS2086" s="18" t="inlineStr">
        <is>
          <t>{"weightMultiplier":{"condition":{"isRaining":true},"multiplier":5.0}}</t>
        </is>
      </c>
      <c r="AT2086" s="19" t="inlineStr"/>
    </row>
    <row r="2087" ht="32" customHeight="1">
      <c r="A2087" s="18" t="inlineStr">
        <is>
          <t>0615_cryogonal.json::cryogonal-2::002</t>
        </is>
      </c>
      <c r="B2087" s="19" t="inlineStr">
        <is>
          <t>사용</t>
        </is>
      </c>
      <c r="C2087" s="18">
        <f>IF(OR(B2087&lt;&gt;AK2087,M2087&lt;&gt;L2087,O2087&lt;&gt;"",Q2087&lt;&gt;"",V2087&lt;&gt;1,Y2087&lt;&gt;"",AT2087&lt;&gt;""),"수정","원본")</f>
        <v/>
      </c>
      <c r="D2087" s="18" t="n">
        <v>615</v>
      </c>
      <c r="E2087" s="18" t="inlineStr">
        <is>
          <t>프리지오</t>
        </is>
      </c>
      <c r="F2087" s="18" t="inlineStr">
        <is>
          <t>cryogonal</t>
        </is>
      </c>
      <c r="G2087" s="18" t="inlineStr">
        <is>
          <t>cryogonal</t>
        </is>
      </c>
      <c r="H2087" s="18" t="inlineStr"/>
      <c r="I2087" s="18" t="n">
        <v>5</v>
      </c>
      <c r="J2087" s="18" t="n"/>
      <c r="K2087" s="18" t="n">
        <v>5</v>
      </c>
      <c r="L2087" s="18" t="inlineStr">
        <is>
          <t>cobbleventure:generation_5</t>
        </is>
      </c>
      <c r="M2087" s="19" t="inlineStr">
        <is>
          <t>cobbleventure:generation_5</t>
        </is>
      </c>
      <c r="N2087" s="18" t="inlineStr"/>
      <c r="O2087" s="19" t="inlineStr"/>
      <c r="P2087" s="18" t="inlineStr">
        <is>
          <t>#cobblemon:nether/is_frozen</t>
        </is>
      </c>
      <c r="Q2087" s="19" t="inlineStr"/>
      <c r="R2087" s="18">
        <f>IF(Q2087="",P2087,Q2087)</f>
        <v/>
      </c>
      <c r="S2087" s="18" t="inlineStr"/>
      <c r="T2087" s="18" t="inlineStr">
        <is>
          <t>common</t>
        </is>
      </c>
      <c r="U2087" s="20" t="n">
        <v>2</v>
      </c>
      <c r="V2087" s="21" t="n">
        <v>1</v>
      </c>
      <c r="W2087" s="20">
        <f>IF(OR(U2087="",V2087=""),U2087,U2087*V2087)</f>
        <v/>
      </c>
      <c r="X2087" s="18" t="inlineStr">
        <is>
          <t>27-52</t>
        </is>
      </c>
      <c r="Y2087" s="19" t="inlineStr"/>
      <c r="Z2087" s="18">
        <f>IF(Y2087="",X2087,Y2087)</f>
        <v/>
      </c>
      <c r="AA2087" s="18" t="inlineStr">
        <is>
          <t>grounded</t>
        </is>
      </c>
      <c r="AB2087" s="18" t="inlineStr"/>
      <c r="AC2087" s="18" t="inlineStr"/>
      <c r="AD2087" s="18" t="inlineStr"/>
      <c r="AE2087" s="18" t="inlineStr"/>
      <c r="AF2087" s="18" t="inlineStr"/>
      <c r="AG2087" s="18" t="inlineStr"/>
      <c r="AH2087" s="18" t="inlineStr"/>
      <c r="AI2087" s="18" t="inlineStr"/>
      <c r="AJ2087" s="18" t="inlineStr">
        <is>
          <t>Cobblemon 동일</t>
        </is>
      </c>
      <c r="AK2087" s="18" t="inlineStr">
        <is>
          <t>사용</t>
        </is>
      </c>
      <c r="AL2087" s="18" t="inlineStr">
        <is>
          <t>COBBLEVERSE 1.7.42 / DP v31</t>
        </is>
      </c>
      <c r="AM2087" s="18" t="inlineStr">
        <is>
          <t>data/cobblemon/spawn_pool_world/0615_cryogonal.json</t>
        </is>
      </c>
      <c r="AN2087" s="18" t="inlineStr">
        <is>
          <t>cryogonal-2</t>
        </is>
      </c>
      <c r="AO2087" s="18" t="inlineStr">
        <is>
          <t>pokemon</t>
        </is>
      </c>
      <c r="AP2087" s="18" t="inlineStr">
        <is>
          <t>natural</t>
        </is>
      </c>
      <c r="AQ2087" s="18" t="inlineStr">
        <is>
          <t>{"biomes":["#cobblemon:nether/is_frozen"]}</t>
        </is>
      </c>
      <c r="AR2087" s="18" t="inlineStr"/>
      <c r="AS2087" s="18" t="inlineStr"/>
      <c r="AT2087" s="19" t="inlineStr"/>
    </row>
    <row r="2088" ht="32" customHeight="1">
      <c r="A2088" s="18" t="inlineStr">
        <is>
          <t>0616_shelmet.json::shelmet-1::001</t>
        </is>
      </c>
      <c r="B2088" s="19" t="inlineStr">
        <is>
          <t>사용</t>
        </is>
      </c>
      <c r="C2088" s="18">
        <f>IF(OR(B2088&lt;&gt;AK2088,M2088&lt;&gt;L2088,O2088&lt;&gt;"",Q2088&lt;&gt;"",V2088&lt;&gt;1,Y2088&lt;&gt;"",AT2088&lt;&gt;""),"수정","원본")</f>
        <v/>
      </c>
      <c r="D2088" s="18" t="n">
        <v>616</v>
      </c>
      <c r="E2088" s="18" t="inlineStr">
        <is>
          <t>쪼마리</t>
        </is>
      </c>
      <c r="F2088" s="18" t="inlineStr">
        <is>
          <t>shelmet</t>
        </is>
      </c>
      <c r="G2088" s="18" t="inlineStr">
        <is>
          <t>shelmet</t>
        </is>
      </c>
      <c r="H2088" s="18" t="inlineStr"/>
      <c r="I2088" s="18" t="n">
        <v>5</v>
      </c>
      <c r="J2088" s="18" t="n"/>
      <c r="K2088" s="18" t="n">
        <v>5</v>
      </c>
      <c r="L2088" s="18" t="inlineStr">
        <is>
          <t>cobbleventure:generation_5</t>
        </is>
      </c>
      <c r="M2088" s="19" t="inlineStr">
        <is>
          <t>cobbleventure:generation_5</t>
        </is>
      </c>
      <c r="N2088" s="18" t="inlineStr">
        <is>
          <t>region_02</t>
        </is>
      </c>
      <c r="O2088" s="19" t="inlineStr"/>
      <c r="P2088" s="18" t="inlineStr">
        <is>
          <t>#cobblemon:is_swamp</t>
        </is>
      </c>
      <c r="Q2088" s="19" t="inlineStr"/>
      <c r="R2088" s="18">
        <f>IF(Q2088="",P2088,Q2088)</f>
        <v/>
      </c>
      <c r="S2088" s="18" t="inlineStr"/>
      <c r="T2088" s="18" t="inlineStr">
        <is>
          <t>common</t>
        </is>
      </c>
      <c r="U2088" s="20" t="n">
        <v>1.9</v>
      </c>
      <c r="V2088" s="21" t="n">
        <v>1</v>
      </c>
      <c r="W2088" s="20">
        <f>IF(OR(U2088="",V2088=""),U2088,U2088*V2088)</f>
        <v/>
      </c>
      <c r="X2088" s="18" t="inlineStr">
        <is>
          <t>6-31</t>
        </is>
      </c>
      <c r="Y2088" s="19" t="inlineStr"/>
      <c r="Z2088" s="18">
        <f>IF(Y2088="",X2088,Y2088)</f>
        <v/>
      </c>
      <c r="AA2088" s="18" t="inlineStr">
        <is>
          <t>grounded</t>
        </is>
      </c>
      <c r="AB2088" s="18" t="inlineStr"/>
      <c r="AC2088" s="18" t="inlineStr"/>
      <c r="AD2088" s="18" t="inlineStr"/>
      <c r="AE2088" s="18" t="inlineStr">
        <is>
          <t>sky 8-15</t>
        </is>
      </c>
      <c r="AF2088" s="18" t="inlineStr"/>
      <c r="AG2088" s="18" t="inlineStr"/>
      <c r="AH2088" s="18" t="inlineStr"/>
      <c r="AI2088" s="18" t="inlineStr"/>
      <c r="AJ2088" s="18" t="inlineStr">
        <is>
          <t>Cobblemon 동일</t>
        </is>
      </c>
      <c r="AK2088" s="18" t="inlineStr">
        <is>
          <t>사용</t>
        </is>
      </c>
      <c r="AL2088" s="18" t="inlineStr">
        <is>
          <t>COBBLEVERSE 1.7.42 / DP v31</t>
        </is>
      </c>
      <c r="AM2088" s="18" t="inlineStr">
        <is>
          <t>data/cobblemon/spawn_pool_world/0616_shelmet.json</t>
        </is>
      </c>
      <c r="AN2088" s="18" t="inlineStr">
        <is>
          <t>shelmet-1</t>
        </is>
      </c>
      <c r="AO2088" s="18" t="inlineStr">
        <is>
          <t>pokemon</t>
        </is>
      </c>
      <c r="AP2088" s="18" t="inlineStr">
        <is>
          <t>natural</t>
        </is>
      </c>
      <c r="AQ2088" s="18" t="inlineStr">
        <is>
          <t>{"biomes":["#cobblemon:is_swamp"],"maxSkyLight":15,"minSkyLight":8}</t>
        </is>
      </c>
      <c r="AR2088" s="18" t="inlineStr"/>
      <c r="AS2088" s="18" t="inlineStr">
        <is>
          <t>{"weightMultiplier":{"condition":{"isRaining":true},"multiplier":5.0}}</t>
        </is>
      </c>
      <c r="AT2088" s="19" t="inlineStr"/>
    </row>
    <row r="2089" ht="32" customHeight="1">
      <c r="A2089" s="18" t="inlineStr">
        <is>
          <t>0617_accelgor.json::accelgor-1::001</t>
        </is>
      </c>
      <c r="B2089" s="19" t="inlineStr">
        <is>
          <t>사용</t>
        </is>
      </c>
      <c r="C2089" s="18">
        <f>IF(OR(B2089&lt;&gt;AK2089,M2089&lt;&gt;L2089,O2089&lt;&gt;"",Q2089&lt;&gt;"",V2089&lt;&gt;1,Y2089&lt;&gt;"",AT2089&lt;&gt;""),"수정","원본")</f>
        <v/>
      </c>
      <c r="D2089" s="18" t="n">
        <v>617</v>
      </c>
      <c r="E2089" s="18" t="inlineStr">
        <is>
          <t>어지리더</t>
        </is>
      </c>
      <c r="F2089" s="18" t="inlineStr">
        <is>
          <t>accelgor</t>
        </is>
      </c>
      <c r="G2089" s="18" t="inlineStr">
        <is>
          <t>accelgor</t>
        </is>
      </c>
      <c r="H2089" s="18" t="inlineStr"/>
      <c r="I2089" s="18" t="n">
        <v>5</v>
      </c>
      <c r="J2089" s="18" t="n"/>
      <c r="K2089" s="18" t="n">
        <v>5</v>
      </c>
      <c r="L2089" s="18" t="inlineStr">
        <is>
          <t>cobbleventure:generation_5</t>
        </is>
      </c>
      <c r="M2089" s="19" t="inlineStr">
        <is>
          <t>cobbleventure:generation_5</t>
        </is>
      </c>
      <c r="N2089" s="18" t="inlineStr">
        <is>
          <t>region_02</t>
        </is>
      </c>
      <c r="O2089" s="19" t="inlineStr"/>
      <c r="P2089" s="18" t="inlineStr">
        <is>
          <t>#cobblemon:is_swamp</t>
        </is>
      </c>
      <c r="Q2089" s="19" t="inlineStr"/>
      <c r="R2089" s="18">
        <f>IF(Q2089="",P2089,Q2089)</f>
        <v/>
      </c>
      <c r="S2089" s="18" t="inlineStr"/>
      <c r="T2089" s="18" t="inlineStr">
        <is>
          <t>common</t>
        </is>
      </c>
      <c r="U2089" s="20" t="n">
        <v>0.1</v>
      </c>
      <c r="V2089" s="21" t="n">
        <v>1</v>
      </c>
      <c r="W2089" s="20">
        <f>IF(OR(U2089="",V2089=""),U2089,U2089*V2089)</f>
        <v/>
      </c>
      <c r="X2089" s="18" t="inlineStr">
        <is>
          <t>26-50</t>
        </is>
      </c>
      <c r="Y2089" s="19" t="inlineStr"/>
      <c r="Z2089" s="18">
        <f>IF(Y2089="",X2089,Y2089)</f>
        <v/>
      </c>
      <c r="AA2089" s="18" t="inlineStr">
        <is>
          <t>grounded</t>
        </is>
      </c>
      <c r="AB2089" s="18" t="inlineStr"/>
      <c r="AC2089" s="18" t="inlineStr"/>
      <c r="AD2089" s="18" t="inlineStr"/>
      <c r="AE2089" s="18" t="inlineStr">
        <is>
          <t>sky 8-15</t>
        </is>
      </c>
      <c r="AF2089" s="18" t="inlineStr"/>
      <c r="AG2089" s="18" t="inlineStr"/>
      <c r="AH2089" s="18" t="inlineStr"/>
      <c r="AI2089" s="18" t="inlineStr"/>
      <c r="AJ2089" s="18" t="inlineStr">
        <is>
          <t>Cobblemon 동일</t>
        </is>
      </c>
      <c r="AK2089" s="18" t="inlineStr">
        <is>
          <t>사용</t>
        </is>
      </c>
      <c r="AL2089" s="18" t="inlineStr">
        <is>
          <t>COBBLEVERSE 1.7.42 / DP v31</t>
        </is>
      </c>
      <c r="AM2089" s="18" t="inlineStr">
        <is>
          <t>data/cobblemon/spawn_pool_world/0617_accelgor.json</t>
        </is>
      </c>
      <c r="AN2089" s="18" t="inlineStr">
        <is>
          <t>accelgor-1</t>
        </is>
      </c>
      <c r="AO2089" s="18" t="inlineStr">
        <is>
          <t>pokemon</t>
        </is>
      </c>
      <c r="AP2089" s="18" t="inlineStr">
        <is>
          <t>natural</t>
        </is>
      </c>
      <c r="AQ2089" s="18" t="inlineStr">
        <is>
          <t>{"biomes":["#cobblemon:is_swamp"],"maxSkyLight":15,"minSkyLight":8}</t>
        </is>
      </c>
      <c r="AR2089" s="18" t="inlineStr"/>
      <c r="AS2089" s="18" t="inlineStr">
        <is>
          <t>{"weightMultiplier":{"condition":{"isRaining":true},"multiplier":5.0}}</t>
        </is>
      </c>
      <c r="AT2089" s="19" t="inlineStr"/>
    </row>
    <row r="2090" ht="32" customHeight="1">
      <c r="A2090" s="18" t="inlineStr">
        <is>
          <t>0618_stunfisk.json::stunfisk-2::001</t>
        </is>
      </c>
      <c r="B2090" s="19" t="inlineStr">
        <is>
          <t>사용</t>
        </is>
      </c>
      <c r="C2090" s="18">
        <f>IF(OR(B2090&lt;&gt;AK2090,M2090&lt;&gt;L2090,O2090&lt;&gt;"",Q2090&lt;&gt;"",V2090&lt;&gt;1,Y2090&lt;&gt;"",AT2090&lt;&gt;""),"수정","원본")</f>
        <v/>
      </c>
      <c r="D2090" s="18" t="n">
        <v>618</v>
      </c>
      <c r="E2090" s="18" t="inlineStr">
        <is>
          <t>메더</t>
        </is>
      </c>
      <c r="F2090" s="18" t="inlineStr">
        <is>
          <t>stunfisk</t>
        </is>
      </c>
      <c r="G2090" s="18" t="inlineStr">
        <is>
          <t>stunfisk</t>
        </is>
      </c>
      <c r="H2090" s="18" t="inlineStr"/>
      <c r="I2090" s="18" t="n">
        <v>5</v>
      </c>
      <c r="J2090" s="18" t="n"/>
      <c r="K2090" s="18" t="n">
        <v>5</v>
      </c>
      <c r="L2090" s="18" t="inlineStr">
        <is>
          <t>cobbleventure:generation_5</t>
        </is>
      </c>
      <c r="M2090" s="19" t="inlineStr">
        <is>
          <t>cobbleventure:generation_5</t>
        </is>
      </c>
      <c r="N2090" s="18" t="inlineStr">
        <is>
          <t>region_02</t>
        </is>
      </c>
      <c r="O2090" s="19" t="inlineStr"/>
      <c r="P2090" s="18" t="inlineStr">
        <is>
          <t>#cobblemon:is_arid; #cobblemon:is_jungle; #cobblemon:is_swamp</t>
        </is>
      </c>
      <c r="Q2090" s="19" t="inlineStr"/>
      <c r="R2090" s="18">
        <f>IF(Q2090="",P2090,Q2090)</f>
        <v/>
      </c>
      <c r="S2090" s="18" t="inlineStr"/>
      <c r="T2090" s="18" t="inlineStr">
        <is>
          <t>common</t>
        </is>
      </c>
      <c r="U2090" s="20" t="n">
        <v>2</v>
      </c>
      <c r="V2090" s="21" t="n">
        <v>1</v>
      </c>
      <c r="W2090" s="20">
        <f>IF(OR(U2090="",V2090=""),U2090,U2090*V2090)</f>
        <v/>
      </c>
      <c r="X2090" s="18" t="inlineStr">
        <is>
          <t>22-47</t>
        </is>
      </c>
      <c r="Y2090" s="19" t="inlineStr"/>
      <c r="Z2090" s="18">
        <f>IF(Y2090="",X2090,Y2090)</f>
        <v/>
      </c>
      <c r="AA2090" s="18" t="inlineStr">
        <is>
          <t>fishing</t>
        </is>
      </c>
      <c r="AB2090" s="18" t="inlineStr"/>
      <c r="AC2090" s="18" t="inlineStr"/>
      <c r="AD2090" s="18" t="inlineStr"/>
      <c r="AE2090" s="18" t="inlineStr"/>
      <c r="AF2090" s="18" t="inlineStr">
        <is>
          <t>True</t>
        </is>
      </c>
      <c r="AG2090" s="18" t="inlineStr"/>
      <c r="AH2090" s="18" t="inlineStr"/>
      <c r="AI2090" s="18" t="inlineStr"/>
      <c r="AJ2090" s="18" t="inlineStr">
        <is>
          <t>Cobblemon 동일</t>
        </is>
      </c>
      <c r="AK2090" s="18" t="inlineStr">
        <is>
          <t>사용</t>
        </is>
      </c>
      <c r="AL2090" s="18" t="inlineStr">
        <is>
          <t>COBBLEVERSE 1.7.42 / DP v31</t>
        </is>
      </c>
      <c r="AM2090" s="18" t="inlineStr">
        <is>
          <t>data/cobblemon/spawn_pool_world/0618_stunfisk.json</t>
        </is>
      </c>
      <c r="AN2090" s="18" t="inlineStr">
        <is>
          <t>stunfisk-2</t>
        </is>
      </c>
      <c r="AO2090" s="18" t="inlineStr">
        <is>
          <t>pokemon</t>
        </is>
      </c>
      <c r="AP2090" s="18" t="inlineStr"/>
      <c r="AQ2090" s="18" t="inlineStr">
        <is>
          <t>{"biomes":["#cobblemon:is_arid","#cobblemon:is_jungle","#cobblemon:is_swamp"],"canSeeSky":true}</t>
        </is>
      </c>
      <c r="AR2090" s="18" t="inlineStr"/>
      <c r="AS2090" s="18" t="inlineStr">
        <is>
          <t>{"weightMultipliers":[{"condition":{"maxLureLevel":2,"minLureLevel":2},"multiplier":3.0},{"condition":{"minLureLevel":3},"multiplier":5.0}]}</t>
        </is>
      </c>
      <c r="AT2090" s="19" t="inlineStr"/>
    </row>
    <row r="2091" ht="32" customHeight="1">
      <c r="A2091" s="18" t="inlineStr">
        <is>
          <t>0618_stunfisk.json::stunfisk-3::002</t>
        </is>
      </c>
      <c r="B2091" s="19" t="inlineStr">
        <is>
          <t>사용</t>
        </is>
      </c>
      <c r="C2091" s="18">
        <f>IF(OR(B2091&lt;&gt;AK2091,M2091&lt;&gt;L2091,O2091&lt;&gt;"",Q2091&lt;&gt;"",V2091&lt;&gt;1,Y2091&lt;&gt;"",AT2091&lt;&gt;""),"수정","원본")</f>
        <v/>
      </c>
      <c r="D2091" s="18" t="n">
        <v>618</v>
      </c>
      <c r="E2091" s="18" t="inlineStr">
        <is>
          <t>메더</t>
        </is>
      </c>
      <c r="F2091" s="18" t="inlineStr">
        <is>
          <t>stunfisk</t>
        </is>
      </c>
      <c r="G2091" s="18" t="inlineStr">
        <is>
          <t>stunfisk</t>
        </is>
      </c>
      <c r="H2091" s="18" t="inlineStr"/>
      <c r="I2091" s="18" t="n">
        <v>5</v>
      </c>
      <c r="J2091" s="18" t="n"/>
      <c r="K2091" s="18" t="n">
        <v>5</v>
      </c>
      <c r="L2091" s="18" t="inlineStr">
        <is>
          <t>cobbleventure:generation_5</t>
        </is>
      </c>
      <c r="M2091" s="19" t="inlineStr">
        <is>
          <t>cobbleventure:generation_5</t>
        </is>
      </c>
      <c r="N2091" s="18" t="inlineStr">
        <is>
          <t>region_02</t>
        </is>
      </c>
      <c r="O2091" s="19" t="inlineStr"/>
      <c r="P2091" s="18" t="inlineStr">
        <is>
          <t>#cobblemon:is_arid; #cobblemon:is_jungle; #cobblemon:is_swamp</t>
        </is>
      </c>
      <c r="Q2091" s="19" t="inlineStr"/>
      <c r="R2091" s="18">
        <f>IF(Q2091="",P2091,Q2091)</f>
        <v/>
      </c>
      <c r="S2091" s="18" t="inlineStr"/>
      <c r="T2091" s="18" t="inlineStr">
        <is>
          <t>common</t>
        </is>
      </c>
      <c r="U2091" s="20" t="n">
        <v>2</v>
      </c>
      <c r="V2091" s="21" t="n">
        <v>1</v>
      </c>
      <c r="W2091" s="20">
        <f>IF(OR(U2091="",V2091=""),U2091,U2091*V2091)</f>
        <v/>
      </c>
      <c r="X2091" s="18" t="inlineStr">
        <is>
          <t>22-47</t>
        </is>
      </c>
      <c r="Y2091" s="19" t="inlineStr"/>
      <c r="Z2091" s="18">
        <f>IF(Y2091="",X2091,Y2091)</f>
        <v/>
      </c>
      <c r="AA2091" s="18" t="inlineStr">
        <is>
          <t>fishing</t>
        </is>
      </c>
      <c r="AB2091" s="18" t="inlineStr"/>
      <c r="AC2091" s="18" t="inlineStr"/>
      <c r="AD2091" s="18" t="inlineStr"/>
      <c r="AE2091" s="18" t="inlineStr">
        <is>
          <t>sky 8-15</t>
        </is>
      </c>
      <c r="AF2091" s="18" t="inlineStr">
        <is>
          <t>False</t>
        </is>
      </c>
      <c r="AG2091" s="18" t="inlineStr"/>
      <c r="AH2091" s="18" t="inlineStr"/>
      <c r="AI2091" s="18" t="inlineStr"/>
      <c r="AJ2091" s="18" t="inlineStr">
        <is>
          <t>Cobblemon 동일</t>
        </is>
      </c>
      <c r="AK2091" s="18" t="inlineStr">
        <is>
          <t>사용</t>
        </is>
      </c>
      <c r="AL2091" s="18" t="inlineStr">
        <is>
          <t>COBBLEVERSE 1.7.42 / DP v31</t>
        </is>
      </c>
      <c r="AM2091" s="18" t="inlineStr">
        <is>
          <t>data/cobblemon/spawn_pool_world/0618_stunfisk.json</t>
        </is>
      </c>
      <c r="AN2091" s="18" t="inlineStr">
        <is>
          <t>stunfisk-3</t>
        </is>
      </c>
      <c r="AO2091" s="18" t="inlineStr">
        <is>
          <t>pokemon</t>
        </is>
      </c>
      <c r="AP2091" s="18" t="inlineStr"/>
      <c r="AQ2091" s="18" t="inlineStr">
        <is>
          <t>{"biomes":["#cobblemon:is_arid","#cobblemon:is_jungle","#cobblemon:is_swamp"],"canSeeSky":false,"maxSkyLight":15,"minSkyLight":8}</t>
        </is>
      </c>
      <c r="AR2091" s="18" t="inlineStr"/>
      <c r="AS2091" s="18" t="inlineStr">
        <is>
          <t>{"weightMultipliers":[{"condition":{"maxLureLevel":2,"minLureLevel":2},"multiplier":3.0},{"condition":{"minLureLevel":3},"multiplier":5.0}]}</t>
        </is>
      </c>
      <c r="AT2091" s="19" t="inlineStr"/>
    </row>
    <row r="2092" ht="32" customHeight="1">
      <c r="A2092" s="18" t="inlineStr">
        <is>
          <t>0618_stunfisk.json::stunfisk-1::003</t>
        </is>
      </c>
      <c r="B2092" s="19" t="inlineStr">
        <is>
          <t>사용</t>
        </is>
      </c>
      <c r="C2092" s="18">
        <f>IF(OR(B2092&lt;&gt;AK2092,M2092&lt;&gt;L2092,O2092&lt;&gt;"",Q2092&lt;&gt;"",V2092&lt;&gt;1,Y2092&lt;&gt;"",AT2092&lt;&gt;""),"수정","원본")</f>
        <v/>
      </c>
      <c r="D2092" s="18" t="n">
        <v>618</v>
      </c>
      <c r="E2092" s="18" t="inlineStr">
        <is>
          <t>메더</t>
        </is>
      </c>
      <c r="F2092" s="18" t="inlineStr">
        <is>
          <t>stunfisk</t>
        </is>
      </c>
      <c r="G2092" s="18" t="inlineStr">
        <is>
          <t>stunfisk</t>
        </is>
      </c>
      <c r="H2092" s="18" t="inlineStr"/>
      <c r="I2092" s="18" t="n">
        <v>5</v>
      </c>
      <c r="J2092" s="18" t="n"/>
      <c r="K2092" s="18" t="n">
        <v>5</v>
      </c>
      <c r="L2092" s="18" t="inlineStr">
        <is>
          <t>cobbleventure:generation_5</t>
        </is>
      </c>
      <c r="M2092" s="19" t="inlineStr">
        <is>
          <t>cobbleventure:generation_5</t>
        </is>
      </c>
      <c r="N2092" s="18" t="inlineStr">
        <is>
          <t>region_02</t>
        </is>
      </c>
      <c r="O2092" s="19" t="inlineStr"/>
      <c r="P2092" s="18" t="inlineStr">
        <is>
          <t>#cobblemon:is_swamp</t>
        </is>
      </c>
      <c r="Q2092" s="19" t="inlineStr"/>
      <c r="R2092" s="18">
        <f>IF(Q2092="",P2092,Q2092)</f>
        <v/>
      </c>
      <c r="S2092" s="18" t="inlineStr"/>
      <c r="T2092" s="18" t="inlineStr">
        <is>
          <t>common</t>
        </is>
      </c>
      <c r="U2092" s="20" t="n">
        <v>2</v>
      </c>
      <c r="V2092" s="21" t="n">
        <v>1</v>
      </c>
      <c r="W2092" s="20">
        <f>IF(OR(U2092="",V2092=""),U2092,U2092*V2092)</f>
        <v/>
      </c>
      <c r="X2092" s="18" t="inlineStr">
        <is>
          <t>22-47</t>
        </is>
      </c>
      <c r="Y2092" s="19" t="inlineStr"/>
      <c r="Z2092" s="18">
        <f>IF(Y2092="",X2092,Y2092)</f>
        <v/>
      </c>
      <c r="AA2092" s="18" t="inlineStr">
        <is>
          <t>seafloor</t>
        </is>
      </c>
      <c r="AB2092" s="18" t="inlineStr"/>
      <c r="AC2092" s="18" t="inlineStr"/>
      <c r="AD2092" s="18" t="inlineStr"/>
      <c r="AE2092" s="18" t="inlineStr"/>
      <c r="AF2092" s="18" t="inlineStr">
        <is>
          <t>True</t>
        </is>
      </c>
      <c r="AG2092" s="18" t="inlineStr"/>
      <c r="AH2092" s="18" t="inlineStr"/>
      <c r="AI2092" s="18" t="inlineStr"/>
      <c r="AJ2092" s="18" t="inlineStr">
        <is>
          <t>Cobblemon 동일</t>
        </is>
      </c>
      <c r="AK2092" s="18" t="inlineStr">
        <is>
          <t>사용</t>
        </is>
      </c>
      <c r="AL2092" s="18" t="inlineStr">
        <is>
          <t>COBBLEVERSE 1.7.42 / DP v31</t>
        </is>
      </c>
      <c r="AM2092" s="18" t="inlineStr">
        <is>
          <t>data/cobblemon/spawn_pool_world/0618_stunfisk.json</t>
        </is>
      </c>
      <c r="AN2092" s="18" t="inlineStr">
        <is>
          <t>stunfisk-1</t>
        </is>
      </c>
      <c r="AO2092" s="18" t="inlineStr">
        <is>
          <t>pokemon</t>
        </is>
      </c>
      <c r="AP2092" s="18" t="inlineStr">
        <is>
          <t>water</t>
        </is>
      </c>
      <c r="AQ2092" s="18" t="inlineStr">
        <is>
          <t>{"biomes":["#cobblemon:is_swamp"],"canSeeSky":true}</t>
        </is>
      </c>
      <c r="AR2092" s="18" t="inlineStr"/>
      <c r="AS2092" s="18" t="inlineStr"/>
      <c r="AT2092" s="19" t="inlineStr"/>
    </row>
    <row r="2093" ht="32" customHeight="1">
      <c r="A2093" s="18" t="inlineStr">
        <is>
          <t>0618_stunfisk.json::stunfisk-galarian-4::004</t>
        </is>
      </c>
      <c r="B2093" s="19" t="inlineStr">
        <is>
          <t>사용</t>
        </is>
      </c>
      <c r="C2093" s="18">
        <f>IF(OR(B2093&lt;&gt;AK2093,M2093&lt;&gt;L2093,O2093&lt;&gt;"",Q2093&lt;&gt;"",V2093&lt;&gt;1,Y2093&lt;&gt;"",AT2093&lt;&gt;""),"수정","원본")</f>
        <v/>
      </c>
      <c r="D2093" s="18" t="n">
        <v>618</v>
      </c>
      <c r="E2093" s="18" t="inlineStr">
        <is>
          <t>메더</t>
        </is>
      </c>
      <c r="F2093" s="18" t="inlineStr">
        <is>
          <t>stunfisk</t>
        </is>
      </c>
      <c r="G2093" s="18" t="inlineStr">
        <is>
          <t>stunfisk galarian</t>
        </is>
      </c>
      <c r="H2093" s="18" t="inlineStr">
        <is>
          <t>galarian</t>
        </is>
      </c>
      <c r="I2093" s="18" t="n">
        <v>5</v>
      </c>
      <c r="J2093" s="18" t="n">
        <v>8</v>
      </c>
      <c r="K2093" s="18" t="n">
        <v>8</v>
      </c>
      <c r="L2093" s="18" t="inlineStr">
        <is>
          <t>cobbleventure:generation_8</t>
        </is>
      </c>
      <c r="M2093" s="19" t="inlineStr">
        <is>
          <t>cobbleventure:generation_8</t>
        </is>
      </c>
      <c r="N2093" s="18" t="inlineStr">
        <is>
          <t>region_02</t>
        </is>
      </c>
      <c r="O2093" s="19" t="inlineStr"/>
      <c r="P2093" s="18" t="inlineStr">
        <is>
          <t>#cobblemon:is_swamp</t>
        </is>
      </c>
      <c r="Q2093" s="19" t="inlineStr"/>
      <c r="R2093" s="18">
        <f>IF(Q2093="",P2093,Q2093)</f>
        <v/>
      </c>
      <c r="S2093" s="18" t="inlineStr"/>
      <c r="T2093" s="18" t="inlineStr">
        <is>
          <t>common</t>
        </is>
      </c>
      <c r="U2093" s="20" t="n">
        <v>2</v>
      </c>
      <c r="V2093" s="21" t="n">
        <v>1</v>
      </c>
      <c r="W2093" s="20">
        <f>IF(OR(U2093="",V2093=""),U2093,U2093*V2093)</f>
        <v/>
      </c>
      <c r="X2093" s="18" t="inlineStr">
        <is>
          <t>22-47</t>
        </is>
      </c>
      <c r="Y2093" s="19" t="inlineStr"/>
      <c r="Z2093" s="18">
        <f>IF(Y2093="",X2093,Y2093)</f>
        <v/>
      </c>
      <c r="AA2093" s="18" t="inlineStr">
        <is>
          <t>grounded</t>
        </is>
      </c>
      <c r="AB2093" s="18" t="inlineStr"/>
      <c r="AC2093" s="18" t="inlineStr"/>
      <c r="AD2093" s="18" t="inlineStr"/>
      <c r="AE2093" s="18" t="inlineStr">
        <is>
          <t>sky 8-15</t>
        </is>
      </c>
      <c r="AF2093" s="18" t="inlineStr"/>
      <c r="AG2093" s="18" t="inlineStr"/>
      <c r="AH2093" s="18" t="inlineStr"/>
      <c r="AI2093" s="18" t="inlineStr"/>
      <c r="AJ2093" s="18" t="inlineStr">
        <is>
          <t>Cobblemon 동일</t>
        </is>
      </c>
      <c r="AK2093" s="18" t="inlineStr">
        <is>
          <t>사용</t>
        </is>
      </c>
      <c r="AL2093" s="18" t="inlineStr">
        <is>
          <t>COBBLEVERSE 1.7.42 / DP v31</t>
        </is>
      </c>
      <c r="AM2093" s="18" t="inlineStr">
        <is>
          <t>data/cobblemon/spawn_pool_world/0618_stunfisk.json</t>
        </is>
      </c>
      <c r="AN2093" s="18" t="inlineStr">
        <is>
          <t>stunfisk-galarian-4</t>
        </is>
      </c>
      <c r="AO2093" s="18" t="inlineStr">
        <is>
          <t>pokemon</t>
        </is>
      </c>
      <c r="AP2093" s="18" t="inlineStr">
        <is>
          <t>natural</t>
        </is>
      </c>
      <c r="AQ2093" s="18" t="inlineStr">
        <is>
          <t>{"biomes":["#cobblemon:is_swamp"],"maxSkyLight":15,"minSkyLight":8}</t>
        </is>
      </c>
      <c r="AR2093" s="18" t="inlineStr"/>
      <c r="AS2093" s="18" t="inlineStr"/>
      <c r="AT2093" s="19" t="inlineStr"/>
    </row>
    <row r="2094" ht="32" customHeight="1">
      <c r="A2094" s="18" t="inlineStr">
        <is>
          <t>0619_mienfoo.json::mienfoo-1::001</t>
        </is>
      </c>
      <c r="B2094" s="19" t="inlineStr">
        <is>
          <t>사용</t>
        </is>
      </c>
      <c r="C2094" s="18">
        <f>IF(OR(B2094&lt;&gt;AK2094,M2094&lt;&gt;L2094,O2094&lt;&gt;"",Q2094&lt;&gt;"",V2094&lt;&gt;1,Y2094&lt;&gt;"",AT2094&lt;&gt;""),"수정","원본")</f>
        <v/>
      </c>
      <c r="D2094" s="18" t="n">
        <v>619</v>
      </c>
      <c r="E2094" s="18" t="inlineStr">
        <is>
          <t>비조푸</t>
        </is>
      </c>
      <c r="F2094" s="18" t="inlineStr">
        <is>
          <t>mienfoo</t>
        </is>
      </c>
      <c r="G2094" s="18" t="inlineStr">
        <is>
          <t>mienfoo</t>
        </is>
      </c>
      <c r="H2094" s="18" t="inlineStr"/>
      <c r="I2094" s="18" t="n">
        <v>5</v>
      </c>
      <c r="J2094" s="18" t="n"/>
      <c r="K2094" s="18" t="n">
        <v>5</v>
      </c>
      <c r="L2094" s="18" t="inlineStr">
        <is>
          <t>cobbleventure:generation_5</t>
        </is>
      </c>
      <c r="M2094" s="19" t="inlineStr">
        <is>
          <t>cobbleventure:generation_5</t>
        </is>
      </c>
      <c r="N2094" s="18" t="inlineStr"/>
      <c r="O2094" s="19" t="inlineStr"/>
      <c r="P2094" s="18" t="inlineStr">
        <is>
          <t>#cobblemon:is_mountain</t>
        </is>
      </c>
      <c r="Q2094" s="19" t="inlineStr"/>
      <c r="R2094" s="18">
        <f>IF(Q2094="",P2094,Q2094)</f>
        <v/>
      </c>
      <c r="S2094" s="18" t="inlineStr">
        <is>
          <t>#cobblemon:is_hills</t>
        </is>
      </c>
      <c r="T2094" s="18" t="inlineStr">
        <is>
          <t>uncommon</t>
        </is>
      </c>
      <c r="U2094" s="20" t="n">
        <v>8.4</v>
      </c>
      <c r="V2094" s="21" t="n">
        <v>1</v>
      </c>
      <c r="W2094" s="20">
        <f>IF(OR(U2094="",V2094=""),U2094,U2094*V2094)</f>
        <v/>
      </c>
      <c r="X2094" s="18" t="inlineStr">
        <is>
          <t>10-35</t>
        </is>
      </c>
      <c r="Y2094" s="19" t="inlineStr"/>
      <c r="Z2094" s="18">
        <f>IF(Y2094="",X2094,Y2094)</f>
        <v/>
      </c>
      <c r="AA2094" s="18" t="inlineStr">
        <is>
          <t>grounded</t>
        </is>
      </c>
      <c r="AB2094" s="18" t="inlineStr"/>
      <c r="AC2094" s="18" t="inlineStr"/>
      <c r="AD2094" s="18" t="inlineStr"/>
      <c r="AE2094" s="18" t="inlineStr">
        <is>
          <t>sky 8-15</t>
        </is>
      </c>
      <c r="AF2094" s="18" t="inlineStr"/>
      <c r="AG2094" s="18" t="inlineStr"/>
      <c r="AH2094" s="18" t="inlineStr"/>
      <c r="AI2094" s="18" t="inlineStr"/>
      <c r="AJ2094" s="18" t="inlineStr">
        <is>
          <t>Cobblemon 동일</t>
        </is>
      </c>
      <c r="AK2094" s="18" t="inlineStr">
        <is>
          <t>사용</t>
        </is>
      </c>
      <c r="AL2094" s="18" t="inlineStr">
        <is>
          <t>COBBLEVERSE 1.7.42 / DP v31</t>
        </is>
      </c>
      <c r="AM2094" s="18" t="inlineStr">
        <is>
          <t>data/cobblemon/spawn_pool_world/0619_mienfoo.json</t>
        </is>
      </c>
      <c r="AN2094" s="18" t="inlineStr">
        <is>
          <t>mienfoo-1</t>
        </is>
      </c>
      <c r="AO2094" s="18" t="inlineStr">
        <is>
          <t>pokemon</t>
        </is>
      </c>
      <c r="AP2094" s="18" t="inlineStr">
        <is>
          <t>natural; wild</t>
        </is>
      </c>
      <c r="AQ2094" s="18" t="inlineStr">
        <is>
          <t>{"biomes":["#cobblemon:is_mountain"],"maxSkyLight":15,"minSkyLight":8}</t>
        </is>
      </c>
      <c r="AR2094" s="18" t="inlineStr">
        <is>
          <t>{"biomes":["#cobblemon:is_hills"]}</t>
        </is>
      </c>
      <c r="AS2094" s="18" t="inlineStr">
        <is>
          <t>{"weightMultiplier":{"condition":{"timeRange":"night"},"multiplier":0.25}}</t>
        </is>
      </c>
      <c r="AT2094" s="19" t="inlineStr"/>
    </row>
    <row r="2095" ht="32" customHeight="1">
      <c r="A2095" s="18" t="inlineStr">
        <is>
          <t>0620_mienshao.json::mienshao-1::001</t>
        </is>
      </c>
      <c r="B2095" s="19" t="inlineStr">
        <is>
          <t>사용</t>
        </is>
      </c>
      <c r="C2095" s="18">
        <f>IF(OR(B2095&lt;&gt;AK2095,M2095&lt;&gt;L2095,O2095&lt;&gt;"",Q2095&lt;&gt;"",V2095&lt;&gt;1,Y2095&lt;&gt;"",AT2095&lt;&gt;""),"수정","원본")</f>
        <v/>
      </c>
      <c r="D2095" s="18" t="n">
        <v>620</v>
      </c>
      <c r="E2095" s="18" t="inlineStr">
        <is>
          <t>비조도</t>
        </is>
      </c>
      <c r="F2095" s="18" t="inlineStr">
        <is>
          <t>mienshao</t>
        </is>
      </c>
      <c r="G2095" s="18" t="inlineStr">
        <is>
          <t>mienshao</t>
        </is>
      </c>
      <c r="H2095" s="18" t="inlineStr"/>
      <c r="I2095" s="18" t="n">
        <v>5</v>
      </c>
      <c r="J2095" s="18" t="n"/>
      <c r="K2095" s="18" t="n">
        <v>5</v>
      </c>
      <c r="L2095" s="18" t="inlineStr">
        <is>
          <t>cobbleventure:generation_5</t>
        </is>
      </c>
      <c r="M2095" s="19" t="inlineStr">
        <is>
          <t>cobbleventure:generation_5</t>
        </is>
      </c>
      <c r="N2095" s="18" t="inlineStr"/>
      <c r="O2095" s="19" t="inlineStr"/>
      <c r="P2095" s="18" t="inlineStr">
        <is>
          <t>#cobblemon:is_mountain</t>
        </is>
      </c>
      <c r="Q2095" s="19" t="inlineStr"/>
      <c r="R2095" s="18">
        <f>IF(Q2095="",P2095,Q2095)</f>
        <v/>
      </c>
      <c r="S2095" s="18" t="inlineStr">
        <is>
          <t>#cobblemon:is_hills</t>
        </is>
      </c>
      <c r="T2095" s="18" t="inlineStr">
        <is>
          <t>uncommon</t>
        </is>
      </c>
      <c r="U2095" s="20" t="n">
        <v>1.6</v>
      </c>
      <c r="V2095" s="21" t="n">
        <v>1</v>
      </c>
      <c r="W2095" s="20">
        <f>IF(OR(U2095="",V2095=""),U2095,U2095*V2095)</f>
        <v/>
      </c>
      <c r="X2095" s="18" t="inlineStr">
        <is>
          <t>50-51</t>
        </is>
      </c>
      <c r="Y2095" s="19" t="inlineStr"/>
      <c r="Z2095" s="18">
        <f>IF(Y2095="",X2095,Y2095)</f>
        <v/>
      </c>
      <c r="AA2095" s="18" t="inlineStr">
        <is>
          <t>grounded</t>
        </is>
      </c>
      <c r="AB2095" s="18" t="inlineStr"/>
      <c r="AC2095" s="18" t="inlineStr"/>
      <c r="AD2095" s="18" t="inlineStr"/>
      <c r="AE2095" s="18" t="inlineStr">
        <is>
          <t>sky 8-15</t>
        </is>
      </c>
      <c r="AF2095" s="18" t="inlineStr"/>
      <c r="AG2095" s="18" t="inlineStr"/>
      <c r="AH2095" s="18" t="inlineStr"/>
      <c r="AI2095" s="18" t="inlineStr"/>
      <c r="AJ2095" s="18" t="inlineStr">
        <is>
          <t>Cobblemon 동일</t>
        </is>
      </c>
      <c r="AK2095" s="18" t="inlineStr">
        <is>
          <t>사용</t>
        </is>
      </c>
      <c r="AL2095" s="18" t="inlineStr">
        <is>
          <t>COBBLEVERSE 1.7.42 / DP v31</t>
        </is>
      </c>
      <c r="AM2095" s="18" t="inlineStr">
        <is>
          <t>data/cobblemon/spawn_pool_world/0620_mienshao.json</t>
        </is>
      </c>
      <c r="AN2095" s="18" t="inlineStr">
        <is>
          <t>mienshao-1</t>
        </is>
      </c>
      <c r="AO2095" s="18" t="inlineStr">
        <is>
          <t>pokemon</t>
        </is>
      </c>
      <c r="AP2095" s="18" t="inlineStr">
        <is>
          <t>natural; wild</t>
        </is>
      </c>
      <c r="AQ2095" s="18" t="inlineStr">
        <is>
          <t>{"biomes":["#cobblemon:is_mountain"],"maxSkyLight":15,"minSkyLight":8}</t>
        </is>
      </c>
      <c r="AR2095" s="18" t="inlineStr">
        <is>
          <t>{"biomes":["#cobblemon:is_hills"]}</t>
        </is>
      </c>
      <c r="AS2095" s="18" t="inlineStr">
        <is>
          <t>{"weightMultiplier":{"condition":{"timeRange":"night"},"multiplier":0.25}}</t>
        </is>
      </c>
      <c r="AT2095" s="19" t="inlineStr"/>
    </row>
    <row r="2096" ht="32" customHeight="1">
      <c r="A2096" s="18" t="inlineStr">
        <is>
          <t>0621_druddigon.json::druddigon-1::001</t>
        </is>
      </c>
      <c r="B2096" s="19" t="inlineStr">
        <is>
          <t>사용</t>
        </is>
      </c>
      <c r="C2096" s="18">
        <f>IF(OR(B2096&lt;&gt;AK2096,M2096&lt;&gt;L2096,O2096&lt;&gt;"",Q2096&lt;&gt;"",V2096&lt;&gt;1,Y2096&lt;&gt;"",AT2096&lt;&gt;""),"수정","원본")</f>
        <v/>
      </c>
      <c r="D2096" s="18" t="n">
        <v>621</v>
      </c>
      <c r="E2096" s="18" t="inlineStr">
        <is>
          <t>크리만</t>
        </is>
      </c>
      <c r="F2096" s="18" t="inlineStr">
        <is>
          <t>druddigon</t>
        </is>
      </c>
      <c r="G2096" s="18" t="inlineStr">
        <is>
          <t>druddigon</t>
        </is>
      </c>
      <c r="H2096" s="18" t="inlineStr"/>
      <c r="I2096" s="18" t="n">
        <v>5</v>
      </c>
      <c r="J2096" s="18" t="n"/>
      <c r="K2096" s="18" t="n">
        <v>5</v>
      </c>
      <c r="L2096" s="18" t="inlineStr">
        <is>
          <t>cobbleventure:generation_5</t>
        </is>
      </c>
      <c r="M2096" s="19" t="inlineStr">
        <is>
          <t>cobbleventure:generation_5</t>
        </is>
      </c>
      <c r="N2096" s="18" t="inlineStr">
        <is>
          <t>region_01; region_02</t>
        </is>
      </c>
      <c r="O2096" s="19" t="inlineStr"/>
      <c r="P2096" s="18" t="inlineStr">
        <is>
          <t>#cobblemon:is_overworld</t>
        </is>
      </c>
      <c r="Q2096" s="19" t="inlineStr"/>
      <c r="R2096" s="18">
        <f>IF(Q2096="",P2096,Q2096)</f>
        <v/>
      </c>
      <c r="S2096" s="18" t="inlineStr">
        <is>
          <t>#cobblemon:is_deep_dark; #cobblemon:is_mountain</t>
        </is>
      </c>
      <c r="T2096" s="18" t="inlineStr">
        <is>
          <t>rare</t>
        </is>
      </c>
      <c r="U2096" s="20" t="n">
        <v>10</v>
      </c>
      <c r="V2096" s="21" t="n">
        <v>1</v>
      </c>
      <c r="W2096" s="20">
        <f>IF(OR(U2096="",V2096=""),U2096,U2096*V2096)</f>
        <v/>
      </c>
      <c r="X2096" s="18" t="inlineStr">
        <is>
          <t>24-49</t>
        </is>
      </c>
      <c r="Y2096" s="19" t="inlineStr"/>
      <c r="Z2096" s="18">
        <f>IF(Y2096="",X2096,Y2096)</f>
        <v/>
      </c>
      <c r="AA2096" s="18" t="inlineStr">
        <is>
          <t>grounded</t>
        </is>
      </c>
      <c r="AB2096" s="18" t="inlineStr"/>
      <c r="AC2096" s="18" t="inlineStr"/>
      <c r="AD2096" s="18" t="inlineStr"/>
      <c r="AE2096" s="18" t="inlineStr">
        <is>
          <t>sky 0-7</t>
        </is>
      </c>
      <c r="AF2096" s="18" t="inlineStr"/>
      <c r="AG2096" s="18" t="inlineStr"/>
      <c r="AH2096" s="18" t="inlineStr"/>
      <c r="AI2096" s="18" t="inlineStr"/>
      <c r="AJ2096" s="18" t="inlineStr">
        <is>
          <t>Cobblemon 동일</t>
        </is>
      </c>
      <c r="AK2096" s="18" t="inlineStr">
        <is>
          <t>사용</t>
        </is>
      </c>
      <c r="AL2096" s="18" t="inlineStr">
        <is>
          <t>COBBLEVERSE 1.7.42 / DP v31</t>
        </is>
      </c>
      <c r="AM2096" s="18" t="inlineStr">
        <is>
          <t>data/cobblemon/spawn_pool_world/0621_druddigon.json</t>
        </is>
      </c>
      <c r="AN2096" s="18" t="inlineStr">
        <is>
          <t>druddigon-1</t>
        </is>
      </c>
      <c r="AO2096" s="18" t="inlineStr">
        <is>
          <t>pokemon</t>
        </is>
      </c>
      <c r="AP2096" s="18" t="inlineStr">
        <is>
          <t>natural</t>
        </is>
      </c>
      <c r="AQ2096" s="18" t="inlineStr">
        <is>
          <t>{"biomes":["#cobblemon:is_overworld"],"maxSkyLight":7,"minSkyLight":0}</t>
        </is>
      </c>
      <c r="AR2096" s="18" t="inlineStr">
        <is>
          <t>{"biomes":["#cobblemon:is_deep_dark","#cobblemon:is_mountain"]}</t>
        </is>
      </c>
      <c r="AS2096" s="18" t="inlineStr"/>
      <c r="AT2096" s="19" t="inlineStr"/>
    </row>
    <row r="2097" ht="32" customHeight="1">
      <c r="A2097" s="18" t="inlineStr">
        <is>
          <t>0621_druddigon.json::druddigon-2::002</t>
        </is>
      </c>
      <c r="B2097" s="19" t="inlineStr">
        <is>
          <t>사용</t>
        </is>
      </c>
      <c r="C2097" s="18">
        <f>IF(OR(B2097&lt;&gt;AK2097,M2097&lt;&gt;L2097,O2097&lt;&gt;"",Q2097&lt;&gt;"",V2097&lt;&gt;1,Y2097&lt;&gt;"",AT2097&lt;&gt;""),"수정","원본")</f>
        <v/>
      </c>
      <c r="D2097" s="18" t="n">
        <v>621</v>
      </c>
      <c r="E2097" s="18" t="inlineStr">
        <is>
          <t>크리만</t>
        </is>
      </c>
      <c r="F2097" s="18" t="inlineStr">
        <is>
          <t>druddigon</t>
        </is>
      </c>
      <c r="G2097" s="18" t="inlineStr">
        <is>
          <t>druddigon</t>
        </is>
      </c>
      <c r="H2097" s="18" t="inlineStr"/>
      <c r="I2097" s="18" t="n">
        <v>5</v>
      </c>
      <c r="J2097" s="18" t="n"/>
      <c r="K2097" s="18" t="n">
        <v>5</v>
      </c>
      <c r="L2097" s="18" t="inlineStr">
        <is>
          <t>cobbleventure:generation_5</t>
        </is>
      </c>
      <c r="M2097" s="19" t="inlineStr">
        <is>
          <t>cobbleventure:generation_5</t>
        </is>
      </c>
      <c r="N2097" s="18" t="inlineStr"/>
      <c r="O2097" s="19" t="inlineStr"/>
      <c r="P2097" s="18" t="inlineStr">
        <is>
          <t>#cobblemon:is_mountain</t>
        </is>
      </c>
      <c r="Q2097" s="19" t="inlineStr"/>
      <c r="R2097" s="18">
        <f>IF(Q2097="",P2097,Q2097)</f>
        <v/>
      </c>
      <c r="S2097" s="18" t="inlineStr">
        <is>
          <t>#cobblemon:is_deep_dark</t>
        </is>
      </c>
      <c r="T2097" s="18" t="inlineStr">
        <is>
          <t>uncommon</t>
        </is>
      </c>
      <c r="U2097" s="20" t="n">
        <v>10</v>
      </c>
      <c r="V2097" s="21" t="n">
        <v>1</v>
      </c>
      <c r="W2097" s="20">
        <f>IF(OR(U2097="",V2097=""),U2097,U2097*V2097)</f>
        <v/>
      </c>
      <c r="X2097" s="18" t="inlineStr">
        <is>
          <t>24-49</t>
        </is>
      </c>
      <c r="Y2097" s="19" t="inlineStr"/>
      <c r="Z2097" s="18">
        <f>IF(Y2097="",X2097,Y2097)</f>
        <v/>
      </c>
      <c r="AA2097" s="18" t="inlineStr">
        <is>
          <t>grounded</t>
        </is>
      </c>
      <c r="AB2097" s="18" t="inlineStr"/>
      <c r="AC2097" s="18" t="inlineStr"/>
      <c r="AD2097" s="18" t="inlineStr"/>
      <c r="AE2097" s="18" t="inlineStr">
        <is>
          <t>sky 0-7</t>
        </is>
      </c>
      <c r="AF2097" s="18" t="inlineStr"/>
      <c r="AG2097" s="18" t="inlineStr"/>
      <c r="AH2097" s="18" t="inlineStr"/>
      <c r="AI2097" s="18" t="inlineStr"/>
      <c r="AJ2097" s="18" t="inlineStr">
        <is>
          <t>Cobblemon 동일</t>
        </is>
      </c>
      <c r="AK2097" s="18" t="inlineStr">
        <is>
          <t>사용</t>
        </is>
      </c>
      <c r="AL2097" s="18" t="inlineStr">
        <is>
          <t>COBBLEVERSE 1.7.42 / DP v31</t>
        </is>
      </c>
      <c r="AM2097" s="18" t="inlineStr">
        <is>
          <t>data/cobblemon/spawn_pool_world/0621_druddigon.json</t>
        </is>
      </c>
      <c r="AN2097" s="18" t="inlineStr">
        <is>
          <t>druddigon-2</t>
        </is>
      </c>
      <c r="AO2097" s="18" t="inlineStr">
        <is>
          <t>pokemon</t>
        </is>
      </c>
      <c r="AP2097" s="18" t="inlineStr">
        <is>
          <t>natural</t>
        </is>
      </c>
      <c r="AQ2097" s="18" t="inlineStr">
        <is>
          <t>{"biomes":["#cobblemon:is_mountain"],"maxSkyLight":7,"minSkyLight":0}</t>
        </is>
      </c>
      <c r="AR2097" s="18" t="inlineStr">
        <is>
          <t>{"biomes":["#cobblemon:is_deep_dark"]}</t>
        </is>
      </c>
      <c r="AS2097" s="18" t="inlineStr"/>
      <c r="AT2097" s="19" t="inlineStr"/>
    </row>
    <row r="2098" ht="32" customHeight="1">
      <c r="A2098" s="18" t="inlineStr">
        <is>
          <t>0621_druddigon.json::druddigon-3::003</t>
        </is>
      </c>
      <c r="B2098" s="19" t="inlineStr">
        <is>
          <t>사용</t>
        </is>
      </c>
      <c r="C2098" s="18">
        <f>IF(OR(B2098&lt;&gt;AK2098,M2098&lt;&gt;L2098,O2098&lt;&gt;"",Q2098&lt;&gt;"",V2098&lt;&gt;1,Y2098&lt;&gt;"",AT2098&lt;&gt;""),"수정","원본")</f>
        <v/>
      </c>
      <c r="D2098" s="18" t="n">
        <v>621</v>
      </c>
      <c r="E2098" s="18" t="inlineStr">
        <is>
          <t>크리만</t>
        </is>
      </c>
      <c r="F2098" s="18" t="inlineStr">
        <is>
          <t>druddigon</t>
        </is>
      </c>
      <c r="G2098" s="18" t="inlineStr">
        <is>
          <t>druddigon</t>
        </is>
      </c>
      <c r="H2098" s="18" t="inlineStr"/>
      <c r="I2098" s="18" t="n">
        <v>5</v>
      </c>
      <c r="J2098" s="18" t="n"/>
      <c r="K2098" s="18" t="n">
        <v>5</v>
      </c>
      <c r="L2098" s="18" t="inlineStr">
        <is>
          <t>cobbleventure:generation_5</t>
        </is>
      </c>
      <c r="M2098" s="19" t="inlineStr">
        <is>
          <t>cobbleventure:generation_5</t>
        </is>
      </c>
      <c r="N2098" s="18" t="inlineStr"/>
      <c r="O2098" s="19" t="inlineStr"/>
      <c r="P2098" s="18" t="inlineStr">
        <is>
          <t>#cobblemon:is_mountain</t>
        </is>
      </c>
      <c r="Q2098" s="19" t="inlineStr"/>
      <c r="R2098" s="18">
        <f>IF(Q2098="",P2098,Q2098)</f>
        <v/>
      </c>
      <c r="S2098" s="18" t="inlineStr"/>
      <c r="T2098" s="18" t="inlineStr">
        <is>
          <t>rare</t>
        </is>
      </c>
      <c r="U2098" s="20" t="n">
        <v>10</v>
      </c>
      <c r="V2098" s="21" t="n">
        <v>1</v>
      </c>
      <c r="W2098" s="20">
        <f>IF(OR(U2098="",V2098=""),U2098,U2098*V2098)</f>
        <v/>
      </c>
      <c r="X2098" s="18" t="inlineStr">
        <is>
          <t>24-49</t>
        </is>
      </c>
      <c r="Y2098" s="19" t="inlineStr"/>
      <c r="Z2098" s="18">
        <f>IF(Y2098="",X2098,Y2098)</f>
        <v/>
      </c>
      <c r="AA2098" s="18" t="inlineStr">
        <is>
          <t>grounded</t>
        </is>
      </c>
      <c r="AB2098" s="18" t="inlineStr">
        <is>
          <t>day</t>
        </is>
      </c>
      <c r="AC2098" s="18" t="inlineStr"/>
      <c r="AD2098" s="18" t="inlineStr"/>
      <c r="AE2098" s="18" t="inlineStr">
        <is>
          <t>sky 8-15</t>
        </is>
      </c>
      <c r="AF2098" s="18" t="inlineStr"/>
      <c r="AG2098" s="18" t="inlineStr"/>
      <c r="AH2098" s="18" t="inlineStr"/>
      <c r="AI2098" s="18" t="inlineStr"/>
      <c r="AJ2098" s="18" t="inlineStr">
        <is>
          <t>Cobblemon 동일</t>
        </is>
      </c>
      <c r="AK2098" s="18" t="inlineStr">
        <is>
          <t>사용</t>
        </is>
      </c>
      <c r="AL2098" s="18" t="inlineStr">
        <is>
          <t>COBBLEVERSE 1.7.42 / DP v31</t>
        </is>
      </c>
      <c r="AM2098" s="18" t="inlineStr">
        <is>
          <t>data/cobblemon/spawn_pool_world/0621_druddigon.json</t>
        </is>
      </c>
      <c r="AN2098" s="18" t="inlineStr">
        <is>
          <t>druddigon-3</t>
        </is>
      </c>
      <c r="AO2098" s="18" t="inlineStr">
        <is>
          <t>pokemon</t>
        </is>
      </c>
      <c r="AP2098" s="18" t="inlineStr">
        <is>
          <t>natural; wild</t>
        </is>
      </c>
      <c r="AQ2098" s="18" t="inlineStr">
        <is>
          <t>{"biomes":["#cobblemon:is_mountain"],"maxSkyLight":15,"minSkyLight":8,"timeRange":"day"}</t>
        </is>
      </c>
      <c r="AR2098" s="18" t="inlineStr"/>
      <c r="AS2098" s="18" t="inlineStr"/>
      <c r="AT2098" s="19" t="inlineStr"/>
    </row>
    <row r="2099" ht="32" customHeight="1">
      <c r="A2099" s="18" t="inlineStr">
        <is>
          <t>0622_golett.json::golett-1::001</t>
        </is>
      </c>
      <c r="B2099" s="19" t="inlineStr">
        <is>
          <t>사용</t>
        </is>
      </c>
      <c r="C2099" s="18">
        <f>IF(OR(B2099&lt;&gt;AK2099,M2099&lt;&gt;L2099,O2099&lt;&gt;"",Q2099&lt;&gt;"",V2099&lt;&gt;1,Y2099&lt;&gt;"",AT2099&lt;&gt;""),"수정","원본")</f>
        <v/>
      </c>
      <c r="D2099" s="18" t="n">
        <v>622</v>
      </c>
      <c r="E2099" s="18" t="inlineStr">
        <is>
          <t>골비람</t>
        </is>
      </c>
      <c r="F2099" s="18" t="inlineStr">
        <is>
          <t>golett</t>
        </is>
      </c>
      <c r="G2099" s="18" t="inlineStr">
        <is>
          <t>golett</t>
        </is>
      </c>
      <c r="H2099" s="18" t="inlineStr"/>
      <c r="I2099" s="18" t="n">
        <v>5</v>
      </c>
      <c r="J2099" s="18" t="n"/>
      <c r="K2099" s="18" t="n">
        <v>5</v>
      </c>
      <c r="L2099" s="18" t="inlineStr">
        <is>
          <t>cobbleventure:generation_5</t>
        </is>
      </c>
      <c r="M2099" s="19" t="inlineStr">
        <is>
          <t>cobbleventure:generation_5</t>
        </is>
      </c>
      <c r="N2099" s="18" t="inlineStr"/>
      <c r="O2099" s="19" t="inlineStr"/>
      <c r="P2099" s="18" t="inlineStr">
        <is>
          <t>#cobblemon:is_deep_dark</t>
        </is>
      </c>
      <c r="Q2099" s="19" t="inlineStr"/>
      <c r="R2099" s="18">
        <f>IF(Q2099="",P2099,Q2099)</f>
        <v/>
      </c>
      <c r="S2099" s="18" t="inlineStr"/>
      <c r="T2099" s="18" t="inlineStr">
        <is>
          <t>uncommon</t>
        </is>
      </c>
      <c r="U2099" s="20" t="n">
        <v>84</v>
      </c>
      <c r="V2099" s="21" t="n">
        <v>1</v>
      </c>
      <c r="W2099" s="20">
        <f>IF(OR(U2099="",V2099=""),U2099,U2099*V2099)</f>
        <v/>
      </c>
      <c r="X2099" s="18" t="inlineStr">
        <is>
          <t>5-30</t>
        </is>
      </c>
      <c r="Y2099" s="19" t="inlineStr"/>
      <c r="Z2099" s="18">
        <f>IF(Y2099="",X2099,Y2099)</f>
        <v/>
      </c>
      <c r="AA2099" s="18" t="inlineStr">
        <is>
          <t>grounded</t>
        </is>
      </c>
      <c r="AB2099" s="18" t="inlineStr"/>
      <c r="AC2099" s="18" t="inlineStr"/>
      <c r="AD2099" s="18" t="inlineStr"/>
      <c r="AE2099" s="18" t="inlineStr">
        <is>
          <t>sky 0-7</t>
        </is>
      </c>
      <c r="AF2099" s="18" t="inlineStr"/>
      <c r="AG2099" s="18" t="inlineStr"/>
      <c r="AH2099" s="18" t="inlineStr"/>
      <c r="AI2099" s="18" t="inlineStr"/>
      <c r="AJ2099" s="18" t="inlineStr">
        <is>
          <t>Cobblemon 동일</t>
        </is>
      </c>
      <c r="AK2099" s="18" t="inlineStr">
        <is>
          <t>사용</t>
        </is>
      </c>
      <c r="AL2099" s="18" t="inlineStr">
        <is>
          <t>COBBLEVERSE 1.7.42 / DP v31</t>
        </is>
      </c>
      <c r="AM2099" s="18" t="inlineStr">
        <is>
          <t>data/cobblemon/spawn_pool_world/0622_golett.json</t>
        </is>
      </c>
      <c r="AN2099" s="18" t="inlineStr">
        <is>
          <t>golett-1</t>
        </is>
      </c>
      <c r="AO2099" s="18" t="inlineStr">
        <is>
          <t>pokemon</t>
        </is>
      </c>
      <c r="AP2099" s="18" t="inlineStr">
        <is>
          <t>ancient_city</t>
        </is>
      </c>
      <c r="AQ2099" s="18" t="inlineStr">
        <is>
          <t>{"biomes":["#cobblemon:is_deep_dark"],"maxSkyLight":7,"minSkyLight":0}</t>
        </is>
      </c>
      <c r="AR2099" s="18" t="inlineStr"/>
      <c r="AS2099" s="18" t="inlineStr"/>
      <c r="AT2099" s="19" t="inlineStr"/>
    </row>
    <row r="2100" ht="32" customHeight="1">
      <c r="A2100" s="18" t="inlineStr">
        <is>
          <t>0622_golett.json::golett-2::002</t>
        </is>
      </c>
      <c r="B2100" s="19" t="inlineStr">
        <is>
          <t>사용</t>
        </is>
      </c>
      <c r="C2100" s="18">
        <f>IF(OR(B2100&lt;&gt;AK2100,M2100&lt;&gt;L2100,O2100&lt;&gt;"",Q2100&lt;&gt;"",V2100&lt;&gt;1,Y2100&lt;&gt;"",AT2100&lt;&gt;""),"수정","원본")</f>
        <v/>
      </c>
      <c r="D2100" s="18" t="n">
        <v>622</v>
      </c>
      <c r="E2100" s="18" t="inlineStr">
        <is>
          <t>골비람</t>
        </is>
      </c>
      <c r="F2100" s="18" t="inlineStr">
        <is>
          <t>golett</t>
        </is>
      </c>
      <c r="G2100" s="18" t="inlineStr">
        <is>
          <t>golett</t>
        </is>
      </c>
      <c r="H2100" s="18" t="inlineStr"/>
      <c r="I2100" s="18" t="n">
        <v>5</v>
      </c>
      <c r="J2100" s="18" t="n"/>
      <c r="K2100" s="18" t="n">
        <v>5</v>
      </c>
      <c r="L2100" s="18" t="inlineStr">
        <is>
          <t>cobbleventure:generation_5</t>
        </is>
      </c>
      <c r="M2100" s="19" t="inlineStr">
        <is>
          <t>cobbleventure:generation_5</t>
        </is>
      </c>
      <c r="N2100" s="18" t="inlineStr">
        <is>
          <t>region_01; region_02</t>
        </is>
      </c>
      <c r="O2100" s="19" t="inlineStr"/>
      <c r="P2100" s="18" t="inlineStr">
        <is>
          <t>#cobblemon:is_overworld</t>
        </is>
      </c>
      <c r="Q2100" s="19" t="inlineStr"/>
      <c r="R2100" s="18">
        <f>IF(Q2100="",P2100,Q2100)</f>
        <v/>
      </c>
      <c r="S2100" s="18" t="inlineStr"/>
      <c r="T2100" s="18" t="inlineStr">
        <is>
          <t>rare</t>
        </is>
      </c>
      <c r="U2100" s="20" t="n">
        <v>15</v>
      </c>
      <c r="V2100" s="21" t="n">
        <v>1</v>
      </c>
      <c r="W2100" s="20">
        <f>IF(OR(U2100="",V2100=""),U2100,U2100*V2100)</f>
        <v/>
      </c>
      <c r="X2100" s="18" t="inlineStr">
        <is>
          <t>5-30</t>
        </is>
      </c>
      <c r="Y2100" s="19" t="inlineStr"/>
      <c r="Z2100" s="18">
        <f>IF(Y2100="",X2100,Y2100)</f>
        <v/>
      </c>
      <c r="AA2100" s="18" t="inlineStr">
        <is>
          <t>grounded</t>
        </is>
      </c>
      <c r="AB2100" s="18" t="inlineStr"/>
      <c r="AC2100" s="18" t="inlineStr"/>
      <c r="AD2100" s="18" t="inlineStr"/>
      <c r="AE2100" s="18" t="inlineStr">
        <is>
          <t>sky 8-15</t>
        </is>
      </c>
      <c r="AF2100" s="18" t="inlineStr"/>
      <c r="AG2100" s="18" t="inlineStr">
        <is>
          <t>#cobblemon:ruin</t>
        </is>
      </c>
      <c r="AH2100" s="18" t="inlineStr"/>
      <c r="AI2100" s="18" t="inlineStr"/>
      <c r="AJ2100" s="18" t="inlineStr">
        <is>
          <t>Cobblemon 동일</t>
        </is>
      </c>
      <c r="AK2100" s="18" t="inlineStr">
        <is>
          <t>사용</t>
        </is>
      </c>
      <c r="AL2100" s="18" t="inlineStr">
        <is>
          <t>COBBLEVERSE 1.7.42 / DP v31</t>
        </is>
      </c>
      <c r="AM2100" s="18" t="inlineStr">
        <is>
          <t>data/cobblemon/spawn_pool_world/0622_golett.json</t>
        </is>
      </c>
      <c r="AN2100" s="18" t="inlineStr">
        <is>
          <t>golett-2</t>
        </is>
      </c>
      <c r="AO2100" s="18" t="inlineStr">
        <is>
          <t>pokemon</t>
        </is>
      </c>
      <c r="AP2100" s="18" t="inlineStr">
        <is>
          <t>natural</t>
        </is>
      </c>
      <c r="AQ2100" s="18" t="inlineStr">
        <is>
          <t>{"biomes":["#cobblemon:is_overworld"],"maxSkyLight":15,"minSkyLight":8,"structures":["#cobblemon:ruin"]}</t>
        </is>
      </c>
      <c r="AR2100" s="18" t="inlineStr"/>
      <c r="AS2100" s="18" t="inlineStr"/>
      <c r="AT2100" s="19" t="inlineStr"/>
    </row>
    <row r="2101" ht="32" customHeight="1">
      <c r="A2101" s="18" t="inlineStr">
        <is>
          <t>0622_golett.json::golett-3::003</t>
        </is>
      </c>
      <c r="B2101" s="19" t="inlineStr">
        <is>
          <t>사용</t>
        </is>
      </c>
      <c r="C2101" s="18">
        <f>IF(OR(B2101&lt;&gt;AK2101,M2101&lt;&gt;L2101,O2101&lt;&gt;"",Q2101&lt;&gt;"",V2101&lt;&gt;1,Y2101&lt;&gt;"",AT2101&lt;&gt;""),"수정","원본")</f>
        <v/>
      </c>
      <c r="D2101" s="18" t="n">
        <v>622</v>
      </c>
      <c r="E2101" s="18" t="inlineStr">
        <is>
          <t>골비람</t>
        </is>
      </c>
      <c r="F2101" s="18" t="inlineStr">
        <is>
          <t>golett</t>
        </is>
      </c>
      <c r="G2101" s="18" t="inlineStr">
        <is>
          <t>golett</t>
        </is>
      </c>
      <c r="H2101" s="18" t="inlineStr"/>
      <c r="I2101" s="18" t="n">
        <v>5</v>
      </c>
      <c r="J2101" s="18" t="n"/>
      <c r="K2101" s="18" t="n">
        <v>5</v>
      </c>
      <c r="L2101" s="18" t="inlineStr">
        <is>
          <t>cobbleventure:generation_5</t>
        </is>
      </c>
      <c r="M2101" s="19" t="inlineStr">
        <is>
          <t>cobbleventure:generation_5</t>
        </is>
      </c>
      <c r="N2101" s="18" t="inlineStr">
        <is>
          <t>region_01; region_02</t>
        </is>
      </c>
      <c r="O2101" s="19" t="inlineStr"/>
      <c r="P2101" s="18" t="inlineStr">
        <is>
          <t>#cobblemon:is_overworld</t>
        </is>
      </c>
      <c r="Q2101" s="19" t="inlineStr"/>
      <c r="R2101" s="18">
        <f>IF(Q2101="",P2101,Q2101)</f>
        <v/>
      </c>
      <c r="S2101" s="18" t="inlineStr"/>
      <c r="T2101" s="18" t="inlineStr">
        <is>
          <t>common</t>
        </is>
      </c>
      <c r="U2101" s="20" t="n">
        <v>18</v>
      </c>
      <c r="V2101" s="21" t="n">
        <v>1</v>
      </c>
      <c r="W2101" s="20">
        <f>IF(OR(U2101="",V2101=""),U2101,U2101*V2101)</f>
        <v/>
      </c>
      <c r="X2101" s="18" t="inlineStr">
        <is>
          <t>5-30</t>
        </is>
      </c>
      <c r="Y2101" s="19" t="inlineStr"/>
      <c r="Z2101" s="18">
        <f>IF(Y2101="",X2101,Y2101)</f>
        <v/>
      </c>
      <c r="AA2101" s="18" t="inlineStr">
        <is>
          <t>grounded</t>
        </is>
      </c>
      <c r="AB2101" s="18" t="inlineStr"/>
      <c r="AC2101" s="18" t="inlineStr"/>
      <c r="AD2101" s="18" t="inlineStr"/>
      <c r="AE2101" s="18" t="inlineStr">
        <is>
          <t>sky 8-15</t>
        </is>
      </c>
      <c r="AF2101" s="18" t="inlineStr"/>
      <c r="AG2101" s="18" t="inlineStr"/>
      <c r="AH2101" s="18" t="inlineStr"/>
      <c r="AI2101" s="18" t="inlineStr"/>
      <c r="AJ2101" s="18" t="inlineStr">
        <is>
          <t>Cobblemon 동일</t>
        </is>
      </c>
      <c r="AK2101" s="18" t="inlineStr">
        <is>
          <t>사용</t>
        </is>
      </c>
      <c r="AL2101" s="18" t="inlineStr">
        <is>
          <t>COBBLEVERSE 1.7.42 / DP v31</t>
        </is>
      </c>
      <c r="AM2101" s="18" t="inlineStr">
        <is>
          <t>data/cobblemon/spawn_pool_world/0622_golett.json</t>
        </is>
      </c>
      <c r="AN2101" s="18" t="inlineStr">
        <is>
          <t>golett-3</t>
        </is>
      </c>
      <c r="AO2101" s="18" t="inlineStr">
        <is>
          <t>pokemon</t>
        </is>
      </c>
      <c r="AP2101" s="18" t="inlineStr">
        <is>
          <t>trail_ruins</t>
        </is>
      </c>
      <c r="AQ2101" s="18" t="inlineStr">
        <is>
          <t>{"biomes":["#cobblemon:is_overworld"],"maxSkyLight":15,"minSkyLight":8}</t>
        </is>
      </c>
      <c r="AR2101" s="18" t="inlineStr"/>
      <c r="AS2101" s="18" t="inlineStr"/>
      <c r="AT2101" s="19" t="inlineStr"/>
    </row>
    <row r="2102" ht="32" customHeight="1">
      <c r="A2102" s="18" t="inlineStr">
        <is>
          <t>0622_golett.json::golett-4::004</t>
        </is>
      </c>
      <c r="B2102" s="19" t="inlineStr">
        <is>
          <t>사용</t>
        </is>
      </c>
      <c r="C2102" s="18">
        <f>IF(OR(B2102&lt;&gt;AK2102,M2102&lt;&gt;L2102,O2102&lt;&gt;"",Q2102&lt;&gt;"",V2102&lt;&gt;1,Y2102&lt;&gt;"",AT2102&lt;&gt;""),"수정","원본")</f>
        <v/>
      </c>
      <c r="D2102" s="18" t="n">
        <v>622</v>
      </c>
      <c r="E2102" s="18" t="inlineStr">
        <is>
          <t>골비람</t>
        </is>
      </c>
      <c r="F2102" s="18" t="inlineStr">
        <is>
          <t>golett</t>
        </is>
      </c>
      <c r="G2102" s="18" t="inlineStr">
        <is>
          <t>golett</t>
        </is>
      </c>
      <c r="H2102" s="18" t="inlineStr"/>
      <c r="I2102" s="18" t="n">
        <v>5</v>
      </c>
      <c r="J2102" s="18" t="n"/>
      <c r="K2102" s="18" t="n">
        <v>5</v>
      </c>
      <c r="L2102" s="18" t="inlineStr">
        <is>
          <t>cobbleventure:generation_5</t>
        </is>
      </c>
      <c r="M2102" s="19" t="inlineStr">
        <is>
          <t>cobbleventure:generation_5</t>
        </is>
      </c>
      <c r="N2102" s="18" t="inlineStr">
        <is>
          <t>region_02</t>
        </is>
      </c>
      <c r="O2102" s="19" t="inlineStr"/>
      <c r="P2102" s="18" t="inlineStr">
        <is>
          <t>#cobblemon:is_desert</t>
        </is>
      </c>
      <c r="Q2102" s="19" t="inlineStr"/>
      <c r="R2102" s="18">
        <f>IF(Q2102="",P2102,Q2102)</f>
        <v/>
      </c>
      <c r="S2102" s="18" t="inlineStr"/>
      <c r="T2102" s="18" t="inlineStr">
        <is>
          <t>common</t>
        </is>
      </c>
      <c r="U2102" s="20" t="n">
        <v>18</v>
      </c>
      <c r="V2102" s="21" t="n">
        <v>1</v>
      </c>
      <c r="W2102" s="20">
        <f>IF(OR(U2102="",V2102=""),U2102,U2102*V2102)</f>
        <v/>
      </c>
      <c r="X2102" s="18" t="inlineStr">
        <is>
          <t>5-30</t>
        </is>
      </c>
      <c r="Y2102" s="19" t="inlineStr"/>
      <c r="Z2102" s="18">
        <f>IF(Y2102="",X2102,Y2102)</f>
        <v/>
      </c>
      <c r="AA2102" s="18" t="inlineStr">
        <is>
          <t>grounded</t>
        </is>
      </c>
      <c r="AB2102" s="18" t="inlineStr"/>
      <c r="AC2102" s="18" t="inlineStr"/>
      <c r="AD2102" s="18" t="inlineStr"/>
      <c r="AE2102" s="18" t="inlineStr"/>
      <c r="AF2102" s="18" t="inlineStr"/>
      <c r="AG2102" s="18" t="inlineStr"/>
      <c r="AH2102" s="18" t="inlineStr"/>
      <c r="AI2102" s="18" t="inlineStr"/>
      <c r="AJ2102" s="18" t="inlineStr">
        <is>
          <t>Cobblemon 동일</t>
        </is>
      </c>
      <c r="AK2102" s="18" t="inlineStr">
        <is>
          <t>사용</t>
        </is>
      </c>
      <c r="AL2102" s="18" t="inlineStr">
        <is>
          <t>COBBLEVERSE 1.7.42 / DP v31</t>
        </is>
      </c>
      <c r="AM2102" s="18" t="inlineStr">
        <is>
          <t>data/cobblemon/spawn_pool_world/0622_golett.json</t>
        </is>
      </c>
      <c r="AN2102" s="18" t="inlineStr">
        <is>
          <t>golett-4</t>
        </is>
      </c>
      <c r="AO2102" s="18" t="inlineStr">
        <is>
          <t>pokemon</t>
        </is>
      </c>
      <c r="AP2102" s="18" t="inlineStr">
        <is>
          <t>natural; desert_pyramid</t>
        </is>
      </c>
      <c r="AQ2102" s="18" t="inlineStr">
        <is>
          <t>{"biomes":["#cobblemon:is_desert"]}</t>
        </is>
      </c>
      <c r="AR2102" s="18" t="inlineStr"/>
      <c r="AS2102" s="18" t="inlineStr"/>
      <c r="AT2102" s="19" t="inlineStr"/>
    </row>
    <row r="2103" ht="32" customHeight="1">
      <c r="A2103" s="18" t="inlineStr">
        <is>
          <t>0622_golett.json::golett-5::005</t>
        </is>
      </c>
      <c r="B2103" s="19" t="inlineStr">
        <is>
          <t>사용</t>
        </is>
      </c>
      <c r="C2103" s="18">
        <f>IF(OR(B2103&lt;&gt;AK2103,M2103&lt;&gt;L2103,O2103&lt;&gt;"",Q2103&lt;&gt;"",V2103&lt;&gt;1,Y2103&lt;&gt;"",AT2103&lt;&gt;""),"수정","원본")</f>
        <v/>
      </c>
      <c r="D2103" s="18" t="n">
        <v>622</v>
      </c>
      <c r="E2103" s="18" t="inlineStr">
        <is>
          <t>골비람</t>
        </is>
      </c>
      <c r="F2103" s="18" t="inlineStr">
        <is>
          <t>golett</t>
        </is>
      </c>
      <c r="G2103" s="18" t="inlineStr">
        <is>
          <t>golett</t>
        </is>
      </c>
      <c r="H2103" s="18" t="inlineStr"/>
      <c r="I2103" s="18" t="n">
        <v>5</v>
      </c>
      <c r="J2103" s="18" t="n"/>
      <c r="K2103" s="18" t="n">
        <v>5</v>
      </c>
      <c r="L2103" s="18" t="inlineStr">
        <is>
          <t>cobbleventure:generation_5</t>
        </is>
      </c>
      <c r="M2103" s="19" t="inlineStr">
        <is>
          <t>cobbleventure:generation_5</t>
        </is>
      </c>
      <c r="N2103" s="18" t="inlineStr"/>
      <c r="O2103" s="19" t="inlineStr"/>
      <c r="P2103" s="18" t="inlineStr">
        <is>
          <t>#cobblemon:is_jungle</t>
        </is>
      </c>
      <c r="Q2103" s="19" t="inlineStr"/>
      <c r="R2103" s="18">
        <f>IF(Q2103="",P2103,Q2103)</f>
        <v/>
      </c>
      <c r="S2103" s="18" t="inlineStr"/>
      <c r="T2103" s="18" t="inlineStr">
        <is>
          <t>common</t>
        </is>
      </c>
      <c r="U2103" s="20" t="n">
        <v>18</v>
      </c>
      <c r="V2103" s="21" t="n">
        <v>1</v>
      </c>
      <c r="W2103" s="20">
        <f>IF(OR(U2103="",V2103=""),U2103,U2103*V2103)</f>
        <v/>
      </c>
      <c r="X2103" s="18" t="inlineStr">
        <is>
          <t>5-30</t>
        </is>
      </c>
      <c r="Y2103" s="19" t="inlineStr"/>
      <c r="Z2103" s="18">
        <f>IF(Y2103="",X2103,Y2103)</f>
        <v/>
      </c>
      <c r="AA2103" s="18" t="inlineStr">
        <is>
          <t>grounded</t>
        </is>
      </c>
      <c r="AB2103" s="18" t="inlineStr"/>
      <c r="AC2103" s="18" t="inlineStr"/>
      <c r="AD2103" s="18" t="inlineStr"/>
      <c r="AE2103" s="18" t="inlineStr"/>
      <c r="AF2103" s="18" t="inlineStr"/>
      <c r="AG2103" s="18" t="inlineStr"/>
      <c r="AH2103" s="18" t="inlineStr"/>
      <c r="AI2103" s="18" t="inlineStr"/>
      <c r="AJ2103" s="18" t="inlineStr">
        <is>
          <t>Cobblemon 동일</t>
        </is>
      </c>
      <c r="AK2103" s="18" t="inlineStr">
        <is>
          <t>사용</t>
        </is>
      </c>
      <c r="AL2103" s="18" t="inlineStr">
        <is>
          <t>COBBLEVERSE 1.7.42 / DP v31</t>
        </is>
      </c>
      <c r="AM2103" s="18" t="inlineStr">
        <is>
          <t>data/cobblemon/spawn_pool_world/0622_golett.json</t>
        </is>
      </c>
      <c r="AN2103" s="18" t="inlineStr">
        <is>
          <t>golett-5</t>
        </is>
      </c>
      <c r="AO2103" s="18" t="inlineStr">
        <is>
          <t>pokemon</t>
        </is>
      </c>
      <c r="AP2103" s="18" t="inlineStr">
        <is>
          <t>natural; jungle_pyramid</t>
        </is>
      </c>
      <c r="AQ2103" s="18" t="inlineStr">
        <is>
          <t>{"biomes":["#cobblemon:is_jungle"]}</t>
        </is>
      </c>
      <c r="AR2103" s="18" t="inlineStr"/>
      <c r="AS2103" s="18" t="inlineStr"/>
      <c r="AT2103" s="19" t="inlineStr"/>
    </row>
    <row r="2104" ht="32" customHeight="1">
      <c r="A2104" s="18" t="inlineStr">
        <is>
          <t>0622_golett.json::golett-6::006</t>
        </is>
      </c>
      <c r="B2104" s="19" t="inlineStr">
        <is>
          <t>사용</t>
        </is>
      </c>
      <c r="C2104" s="18">
        <f>IF(OR(B2104&lt;&gt;AK2104,M2104&lt;&gt;L2104,O2104&lt;&gt;"",Q2104&lt;&gt;"",V2104&lt;&gt;1,Y2104&lt;&gt;"",AT2104&lt;&gt;""),"수정","원본")</f>
        <v/>
      </c>
      <c r="D2104" s="18" t="n">
        <v>622</v>
      </c>
      <c r="E2104" s="18" t="inlineStr">
        <is>
          <t>골비람</t>
        </is>
      </c>
      <c r="F2104" s="18" t="inlineStr">
        <is>
          <t>golett</t>
        </is>
      </c>
      <c r="G2104" s="18" t="inlineStr">
        <is>
          <t>golett</t>
        </is>
      </c>
      <c r="H2104" s="18" t="inlineStr"/>
      <c r="I2104" s="18" t="n">
        <v>5</v>
      </c>
      <c r="J2104" s="18" t="n"/>
      <c r="K2104" s="18" t="n">
        <v>5</v>
      </c>
      <c r="L2104" s="18" t="inlineStr">
        <is>
          <t>cobbleventure:generation_5</t>
        </is>
      </c>
      <c r="M2104" s="19" t="inlineStr">
        <is>
          <t>cobbleventure:generation_5</t>
        </is>
      </c>
      <c r="N2104" s="18" t="inlineStr"/>
      <c r="O2104" s="19" t="inlineStr"/>
      <c r="P2104" s="18" t="inlineStr">
        <is>
          <t>the_bumblezone:howling_constructs</t>
        </is>
      </c>
      <c r="Q2104" s="19" t="inlineStr"/>
      <c r="R2104" s="18">
        <f>IF(Q2104="",P2104,Q2104)</f>
        <v/>
      </c>
      <c r="S2104" s="18" t="inlineStr"/>
      <c r="T2104" s="18" t="inlineStr">
        <is>
          <t>common</t>
        </is>
      </c>
      <c r="U2104" s="20" t="n">
        <v>5.4</v>
      </c>
      <c r="V2104" s="21" t="n">
        <v>1</v>
      </c>
      <c r="W2104" s="20">
        <f>IF(OR(U2104="",V2104=""),U2104,U2104*V2104)</f>
        <v/>
      </c>
      <c r="X2104" s="18" t="inlineStr">
        <is>
          <t>5-30</t>
        </is>
      </c>
      <c r="Y2104" s="19" t="inlineStr"/>
      <c r="Z2104" s="18">
        <f>IF(Y2104="",X2104,Y2104)</f>
        <v/>
      </c>
      <c r="AA2104" s="18" t="inlineStr">
        <is>
          <t>grounded</t>
        </is>
      </c>
      <c r="AB2104" s="18" t="inlineStr"/>
      <c r="AC2104" s="18" t="inlineStr"/>
      <c r="AD2104" s="18" t="inlineStr"/>
      <c r="AE2104" s="18" t="inlineStr"/>
      <c r="AF2104" s="18" t="inlineStr"/>
      <c r="AG2104" s="18" t="inlineStr"/>
      <c r="AH2104" s="18" t="inlineStr"/>
      <c r="AI2104" s="18" t="inlineStr"/>
      <c r="AJ2104" s="18" t="inlineStr">
        <is>
          <t>Cobblemon 동일</t>
        </is>
      </c>
      <c r="AK2104" s="18" t="inlineStr">
        <is>
          <t>사용</t>
        </is>
      </c>
      <c r="AL2104" s="18" t="inlineStr">
        <is>
          <t>COBBLEVERSE 1.7.42 / DP v31</t>
        </is>
      </c>
      <c r="AM2104" s="18" t="inlineStr">
        <is>
          <t>data/cobblemon/spawn_pool_world/0622_golett.json</t>
        </is>
      </c>
      <c r="AN2104" s="18" t="inlineStr">
        <is>
          <t>golett-6</t>
        </is>
      </c>
      <c r="AO2104" s="18" t="inlineStr">
        <is>
          <t>pokemon</t>
        </is>
      </c>
      <c r="AP2104" s="18" t="inlineStr"/>
      <c r="AQ2104" s="18" t="inlineStr">
        <is>
          <t>{"biomes":["the_bumblezone:howling_constructs"]}</t>
        </is>
      </c>
      <c r="AR2104" s="18" t="inlineStr">
        <is>
          <t>{"structures":["#the_bumblezone:sempiternal_sanctums"]}</t>
        </is>
      </c>
      <c r="AS2104" s="18" t="inlineStr"/>
      <c r="AT2104" s="19" t="inlineStr"/>
    </row>
    <row r="2105" ht="32" customHeight="1">
      <c r="A2105" s="18" t="inlineStr">
        <is>
          <t>0623_golurk.json::golurk-1::001</t>
        </is>
      </c>
      <c r="B2105" s="19" t="inlineStr">
        <is>
          <t>사용</t>
        </is>
      </c>
      <c r="C2105" s="18">
        <f>IF(OR(B2105&lt;&gt;AK2105,M2105&lt;&gt;L2105,O2105&lt;&gt;"",Q2105&lt;&gt;"",V2105&lt;&gt;1,Y2105&lt;&gt;"",AT2105&lt;&gt;""),"수정","원본")</f>
        <v/>
      </c>
      <c r="D2105" s="18" t="n">
        <v>623</v>
      </c>
      <c r="E2105" s="18" t="inlineStr">
        <is>
          <t>골루그</t>
        </is>
      </c>
      <c r="F2105" s="18" t="inlineStr">
        <is>
          <t>golurk</t>
        </is>
      </c>
      <c r="G2105" s="18" t="inlineStr">
        <is>
          <t>golurk</t>
        </is>
      </c>
      <c r="H2105" s="18" t="inlineStr"/>
      <c r="I2105" s="18" t="n">
        <v>5</v>
      </c>
      <c r="J2105" s="18" t="n"/>
      <c r="K2105" s="18" t="n">
        <v>5</v>
      </c>
      <c r="L2105" s="18" t="inlineStr">
        <is>
          <t>cobbleventure:generation_5</t>
        </is>
      </c>
      <c r="M2105" s="19" t="inlineStr">
        <is>
          <t>cobbleventure:generation_5</t>
        </is>
      </c>
      <c r="N2105" s="18" t="inlineStr"/>
      <c r="O2105" s="19" t="inlineStr"/>
      <c r="P2105" s="18" t="inlineStr">
        <is>
          <t>#cobblemon:is_deep_dark</t>
        </is>
      </c>
      <c r="Q2105" s="19" t="inlineStr"/>
      <c r="R2105" s="18">
        <f>IF(Q2105="",P2105,Q2105)</f>
        <v/>
      </c>
      <c r="S2105" s="18" t="inlineStr"/>
      <c r="T2105" s="18" t="inlineStr">
        <is>
          <t>uncommon</t>
        </is>
      </c>
      <c r="U2105" s="20" t="n">
        <v>16</v>
      </c>
      <c r="V2105" s="21" t="n">
        <v>1</v>
      </c>
      <c r="W2105" s="20">
        <f>IF(OR(U2105="",V2105=""),U2105,U2105*V2105)</f>
        <v/>
      </c>
      <c r="X2105" s="18" t="inlineStr">
        <is>
          <t>43-48</t>
        </is>
      </c>
      <c r="Y2105" s="19" t="inlineStr"/>
      <c r="Z2105" s="18">
        <f>IF(Y2105="",X2105,Y2105)</f>
        <v/>
      </c>
      <c r="AA2105" s="18" t="inlineStr">
        <is>
          <t>grounded</t>
        </is>
      </c>
      <c r="AB2105" s="18" t="inlineStr"/>
      <c r="AC2105" s="18" t="inlineStr"/>
      <c r="AD2105" s="18" t="inlineStr"/>
      <c r="AE2105" s="18" t="inlineStr">
        <is>
          <t>sky 0-7</t>
        </is>
      </c>
      <c r="AF2105" s="18" t="inlineStr"/>
      <c r="AG2105" s="18" t="inlineStr"/>
      <c r="AH2105" s="18" t="inlineStr"/>
      <c r="AI2105" s="18" t="inlineStr"/>
      <c r="AJ2105" s="18" t="inlineStr">
        <is>
          <t>Cobblemon 동일</t>
        </is>
      </c>
      <c r="AK2105" s="18" t="inlineStr">
        <is>
          <t>사용</t>
        </is>
      </c>
      <c r="AL2105" s="18" t="inlineStr">
        <is>
          <t>COBBLEVERSE 1.7.42 / DP v31</t>
        </is>
      </c>
      <c r="AM2105" s="18" t="inlineStr">
        <is>
          <t>data/cobblemon/spawn_pool_world/0623_golurk.json</t>
        </is>
      </c>
      <c r="AN2105" s="18" t="inlineStr">
        <is>
          <t>golurk-1</t>
        </is>
      </c>
      <c r="AO2105" s="18" t="inlineStr">
        <is>
          <t>pokemon</t>
        </is>
      </c>
      <c r="AP2105" s="18" t="inlineStr">
        <is>
          <t>ancient_city</t>
        </is>
      </c>
      <c r="AQ2105" s="18" t="inlineStr">
        <is>
          <t>{"biomes":["#cobblemon:is_deep_dark"],"maxSkyLight":7,"minSkyLight":0}</t>
        </is>
      </c>
      <c r="AR2105" s="18" t="inlineStr"/>
      <c r="AS2105" s="18" t="inlineStr"/>
      <c r="AT2105" s="19" t="inlineStr"/>
    </row>
    <row r="2106" ht="32" customHeight="1">
      <c r="A2106" s="18" t="inlineStr">
        <is>
          <t>0623_golurk.json::golurk-2::002</t>
        </is>
      </c>
      <c r="B2106" s="19" t="inlineStr">
        <is>
          <t>사용</t>
        </is>
      </c>
      <c r="C2106" s="18">
        <f>IF(OR(B2106&lt;&gt;AK2106,M2106&lt;&gt;L2106,O2106&lt;&gt;"",Q2106&lt;&gt;"",V2106&lt;&gt;1,Y2106&lt;&gt;"",AT2106&lt;&gt;""),"수정","원본")</f>
        <v/>
      </c>
      <c r="D2106" s="18" t="n">
        <v>623</v>
      </c>
      <c r="E2106" s="18" t="inlineStr">
        <is>
          <t>골루그</t>
        </is>
      </c>
      <c r="F2106" s="18" t="inlineStr">
        <is>
          <t>golurk</t>
        </is>
      </c>
      <c r="G2106" s="18" t="inlineStr">
        <is>
          <t>golurk</t>
        </is>
      </c>
      <c r="H2106" s="18" t="inlineStr"/>
      <c r="I2106" s="18" t="n">
        <v>5</v>
      </c>
      <c r="J2106" s="18" t="n"/>
      <c r="K2106" s="18" t="n">
        <v>5</v>
      </c>
      <c r="L2106" s="18" t="inlineStr">
        <is>
          <t>cobbleventure:generation_5</t>
        </is>
      </c>
      <c r="M2106" s="19" t="inlineStr">
        <is>
          <t>cobbleventure:generation_5</t>
        </is>
      </c>
      <c r="N2106" s="18" t="inlineStr">
        <is>
          <t>region_01; region_02</t>
        </is>
      </c>
      <c r="O2106" s="19" t="inlineStr"/>
      <c r="P2106" s="18" t="inlineStr">
        <is>
          <t>#cobblemon:is_overworld</t>
        </is>
      </c>
      <c r="Q2106" s="19" t="inlineStr"/>
      <c r="R2106" s="18">
        <f>IF(Q2106="",P2106,Q2106)</f>
        <v/>
      </c>
      <c r="S2106" s="18" t="inlineStr"/>
      <c r="T2106" s="18" t="inlineStr">
        <is>
          <t>rare</t>
        </is>
      </c>
      <c r="U2106" s="20" t="n">
        <v>5</v>
      </c>
      <c r="V2106" s="21" t="n">
        <v>1</v>
      </c>
      <c r="W2106" s="20">
        <f>IF(OR(U2106="",V2106=""),U2106,U2106*V2106)</f>
        <v/>
      </c>
      <c r="X2106" s="18" t="inlineStr">
        <is>
          <t>43-48</t>
        </is>
      </c>
      <c r="Y2106" s="19" t="inlineStr"/>
      <c r="Z2106" s="18">
        <f>IF(Y2106="",X2106,Y2106)</f>
        <v/>
      </c>
      <c r="AA2106" s="18" t="inlineStr">
        <is>
          <t>grounded</t>
        </is>
      </c>
      <c r="AB2106" s="18" t="inlineStr"/>
      <c r="AC2106" s="18" t="inlineStr"/>
      <c r="AD2106" s="18" t="inlineStr"/>
      <c r="AE2106" s="18" t="inlineStr">
        <is>
          <t>sky 8-15</t>
        </is>
      </c>
      <c r="AF2106" s="18" t="inlineStr"/>
      <c r="AG2106" s="18" t="inlineStr">
        <is>
          <t>#cobblemon:ruin</t>
        </is>
      </c>
      <c r="AH2106" s="18" t="inlineStr"/>
      <c r="AI2106" s="18" t="inlineStr"/>
      <c r="AJ2106" s="18" t="inlineStr">
        <is>
          <t>Cobblemon 동일</t>
        </is>
      </c>
      <c r="AK2106" s="18" t="inlineStr">
        <is>
          <t>사용</t>
        </is>
      </c>
      <c r="AL2106" s="18" t="inlineStr">
        <is>
          <t>COBBLEVERSE 1.7.42 / DP v31</t>
        </is>
      </c>
      <c r="AM2106" s="18" t="inlineStr">
        <is>
          <t>data/cobblemon/spawn_pool_world/0623_golurk.json</t>
        </is>
      </c>
      <c r="AN2106" s="18" t="inlineStr">
        <is>
          <t>golurk-2</t>
        </is>
      </c>
      <c r="AO2106" s="18" t="inlineStr">
        <is>
          <t>pokemon</t>
        </is>
      </c>
      <c r="AP2106" s="18" t="inlineStr">
        <is>
          <t>natural</t>
        </is>
      </c>
      <c r="AQ2106" s="18" t="inlineStr">
        <is>
          <t>{"biomes":["#cobblemon:is_overworld"],"maxSkyLight":15,"minSkyLight":8,"structures":["#cobblemon:ruin"]}</t>
        </is>
      </c>
      <c r="AR2106" s="18" t="inlineStr"/>
      <c r="AS2106" s="18" t="inlineStr"/>
      <c r="AT2106" s="19" t="inlineStr"/>
    </row>
    <row r="2107" ht="32" customHeight="1">
      <c r="A2107" s="18" t="inlineStr">
        <is>
          <t>0623_golurk.json::golurk-3::003</t>
        </is>
      </c>
      <c r="B2107" s="19" t="inlineStr">
        <is>
          <t>사용</t>
        </is>
      </c>
      <c r="C2107" s="18">
        <f>IF(OR(B2107&lt;&gt;AK2107,M2107&lt;&gt;L2107,O2107&lt;&gt;"",Q2107&lt;&gt;"",V2107&lt;&gt;1,Y2107&lt;&gt;"",AT2107&lt;&gt;""),"수정","원본")</f>
        <v/>
      </c>
      <c r="D2107" s="18" t="n">
        <v>623</v>
      </c>
      <c r="E2107" s="18" t="inlineStr">
        <is>
          <t>골루그</t>
        </is>
      </c>
      <c r="F2107" s="18" t="inlineStr">
        <is>
          <t>golurk</t>
        </is>
      </c>
      <c r="G2107" s="18" t="inlineStr">
        <is>
          <t>golurk</t>
        </is>
      </c>
      <c r="H2107" s="18" t="inlineStr"/>
      <c r="I2107" s="18" t="n">
        <v>5</v>
      </c>
      <c r="J2107" s="18" t="n"/>
      <c r="K2107" s="18" t="n">
        <v>5</v>
      </c>
      <c r="L2107" s="18" t="inlineStr">
        <is>
          <t>cobbleventure:generation_5</t>
        </is>
      </c>
      <c r="M2107" s="19" t="inlineStr">
        <is>
          <t>cobbleventure:generation_5</t>
        </is>
      </c>
      <c r="N2107" s="18" t="inlineStr">
        <is>
          <t>region_01; region_02</t>
        </is>
      </c>
      <c r="O2107" s="19" t="inlineStr"/>
      <c r="P2107" s="18" t="inlineStr">
        <is>
          <t>#cobblemon:is_overworld</t>
        </is>
      </c>
      <c r="Q2107" s="19" t="inlineStr"/>
      <c r="R2107" s="18">
        <f>IF(Q2107="",P2107,Q2107)</f>
        <v/>
      </c>
      <c r="S2107" s="18" t="inlineStr"/>
      <c r="T2107" s="18" t="inlineStr">
        <is>
          <t>common</t>
        </is>
      </c>
      <c r="U2107" s="20" t="n">
        <v>2</v>
      </c>
      <c r="V2107" s="21" t="n">
        <v>1</v>
      </c>
      <c r="W2107" s="20">
        <f>IF(OR(U2107="",V2107=""),U2107,U2107*V2107)</f>
        <v/>
      </c>
      <c r="X2107" s="18" t="inlineStr">
        <is>
          <t>43-48</t>
        </is>
      </c>
      <c r="Y2107" s="19" t="inlineStr"/>
      <c r="Z2107" s="18">
        <f>IF(Y2107="",X2107,Y2107)</f>
        <v/>
      </c>
      <c r="AA2107" s="18" t="inlineStr">
        <is>
          <t>grounded</t>
        </is>
      </c>
      <c r="AB2107" s="18" t="inlineStr"/>
      <c r="AC2107" s="18" t="inlineStr"/>
      <c r="AD2107" s="18" t="inlineStr"/>
      <c r="AE2107" s="18" t="inlineStr">
        <is>
          <t>sky 8-15</t>
        </is>
      </c>
      <c r="AF2107" s="18" t="inlineStr"/>
      <c r="AG2107" s="18" t="inlineStr"/>
      <c r="AH2107" s="18" t="inlineStr"/>
      <c r="AI2107" s="18" t="inlineStr"/>
      <c r="AJ2107" s="18" t="inlineStr">
        <is>
          <t>Cobblemon 동일</t>
        </is>
      </c>
      <c r="AK2107" s="18" t="inlineStr">
        <is>
          <t>사용</t>
        </is>
      </c>
      <c r="AL2107" s="18" t="inlineStr">
        <is>
          <t>COBBLEVERSE 1.7.42 / DP v31</t>
        </is>
      </c>
      <c r="AM2107" s="18" t="inlineStr">
        <is>
          <t>data/cobblemon/spawn_pool_world/0623_golurk.json</t>
        </is>
      </c>
      <c r="AN2107" s="18" t="inlineStr">
        <is>
          <t>golurk-3</t>
        </is>
      </c>
      <c r="AO2107" s="18" t="inlineStr">
        <is>
          <t>pokemon</t>
        </is>
      </c>
      <c r="AP2107" s="18" t="inlineStr">
        <is>
          <t>trail_ruins</t>
        </is>
      </c>
      <c r="AQ2107" s="18" t="inlineStr">
        <is>
          <t>{"biomes":["#cobblemon:is_overworld"],"maxSkyLight":15,"minSkyLight":8}</t>
        </is>
      </c>
      <c r="AR2107" s="18" t="inlineStr"/>
      <c r="AS2107" s="18" t="inlineStr"/>
      <c r="AT2107" s="19" t="inlineStr"/>
    </row>
    <row r="2108" ht="32" customHeight="1">
      <c r="A2108" s="18" t="inlineStr">
        <is>
          <t>0623_golurk.json::golurk-4::004</t>
        </is>
      </c>
      <c r="B2108" s="19" t="inlineStr">
        <is>
          <t>사용</t>
        </is>
      </c>
      <c r="C2108" s="18">
        <f>IF(OR(B2108&lt;&gt;AK2108,M2108&lt;&gt;L2108,O2108&lt;&gt;"",Q2108&lt;&gt;"",V2108&lt;&gt;1,Y2108&lt;&gt;"",AT2108&lt;&gt;""),"수정","원본")</f>
        <v/>
      </c>
      <c r="D2108" s="18" t="n">
        <v>623</v>
      </c>
      <c r="E2108" s="18" t="inlineStr">
        <is>
          <t>골루그</t>
        </is>
      </c>
      <c r="F2108" s="18" t="inlineStr">
        <is>
          <t>golurk</t>
        </is>
      </c>
      <c r="G2108" s="18" t="inlineStr">
        <is>
          <t>golurk</t>
        </is>
      </c>
      <c r="H2108" s="18" t="inlineStr"/>
      <c r="I2108" s="18" t="n">
        <v>5</v>
      </c>
      <c r="J2108" s="18" t="n"/>
      <c r="K2108" s="18" t="n">
        <v>5</v>
      </c>
      <c r="L2108" s="18" t="inlineStr">
        <is>
          <t>cobbleventure:generation_5</t>
        </is>
      </c>
      <c r="M2108" s="19" t="inlineStr">
        <is>
          <t>cobbleventure:generation_5</t>
        </is>
      </c>
      <c r="N2108" s="18" t="inlineStr">
        <is>
          <t>region_02</t>
        </is>
      </c>
      <c r="O2108" s="19" t="inlineStr"/>
      <c r="P2108" s="18" t="inlineStr">
        <is>
          <t>#cobblemon:is_desert</t>
        </is>
      </c>
      <c r="Q2108" s="19" t="inlineStr"/>
      <c r="R2108" s="18">
        <f>IF(Q2108="",P2108,Q2108)</f>
        <v/>
      </c>
      <c r="S2108" s="18" t="inlineStr"/>
      <c r="T2108" s="18" t="inlineStr">
        <is>
          <t>common</t>
        </is>
      </c>
      <c r="U2108" s="20" t="n">
        <v>2</v>
      </c>
      <c r="V2108" s="21" t="n">
        <v>1</v>
      </c>
      <c r="W2108" s="20">
        <f>IF(OR(U2108="",V2108=""),U2108,U2108*V2108)</f>
        <v/>
      </c>
      <c r="X2108" s="18" t="inlineStr">
        <is>
          <t>43-48</t>
        </is>
      </c>
      <c r="Y2108" s="19" t="inlineStr"/>
      <c r="Z2108" s="18">
        <f>IF(Y2108="",X2108,Y2108)</f>
        <v/>
      </c>
      <c r="AA2108" s="18" t="inlineStr">
        <is>
          <t>grounded</t>
        </is>
      </c>
      <c r="AB2108" s="18" t="inlineStr"/>
      <c r="AC2108" s="18" t="inlineStr"/>
      <c r="AD2108" s="18" t="inlineStr"/>
      <c r="AE2108" s="18" t="inlineStr"/>
      <c r="AF2108" s="18" t="inlineStr"/>
      <c r="AG2108" s="18" t="inlineStr"/>
      <c r="AH2108" s="18" t="inlineStr"/>
      <c r="AI2108" s="18" t="inlineStr"/>
      <c r="AJ2108" s="18" t="inlineStr">
        <is>
          <t>Cobblemon 동일</t>
        </is>
      </c>
      <c r="AK2108" s="18" t="inlineStr">
        <is>
          <t>사용</t>
        </is>
      </c>
      <c r="AL2108" s="18" t="inlineStr">
        <is>
          <t>COBBLEVERSE 1.7.42 / DP v31</t>
        </is>
      </c>
      <c r="AM2108" s="18" t="inlineStr">
        <is>
          <t>data/cobblemon/spawn_pool_world/0623_golurk.json</t>
        </is>
      </c>
      <c r="AN2108" s="18" t="inlineStr">
        <is>
          <t>golurk-4</t>
        </is>
      </c>
      <c r="AO2108" s="18" t="inlineStr">
        <is>
          <t>pokemon</t>
        </is>
      </c>
      <c r="AP2108" s="18" t="inlineStr">
        <is>
          <t>natural; desert_pyramid</t>
        </is>
      </c>
      <c r="AQ2108" s="18" t="inlineStr">
        <is>
          <t>{"biomes":["#cobblemon:is_desert"]}</t>
        </is>
      </c>
      <c r="AR2108" s="18" t="inlineStr"/>
      <c r="AS2108" s="18" t="inlineStr"/>
      <c r="AT2108" s="19" t="inlineStr"/>
    </row>
    <row r="2109" ht="32" customHeight="1">
      <c r="A2109" s="18" t="inlineStr">
        <is>
          <t>0623_golurk.json::golurk-5::005</t>
        </is>
      </c>
      <c r="B2109" s="19" t="inlineStr">
        <is>
          <t>사용</t>
        </is>
      </c>
      <c r="C2109" s="18">
        <f>IF(OR(B2109&lt;&gt;AK2109,M2109&lt;&gt;L2109,O2109&lt;&gt;"",Q2109&lt;&gt;"",V2109&lt;&gt;1,Y2109&lt;&gt;"",AT2109&lt;&gt;""),"수정","원본")</f>
        <v/>
      </c>
      <c r="D2109" s="18" t="n">
        <v>623</v>
      </c>
      <c r="E2109" s="18" t="inlineStr">
        <is>
          <t>골루그</t>
        </is>
      </c>
      <c r="F2109" s="18" t="inlineStr">
        <is>
          <t>golurk</t>
        </is>
      </c>
      <c r="G2109" s="18" t="inlineStr">
        <is>
          <t>golurk</t>
        </is>
      </c>
      <c r="H2109" s="18" t="inlineStr"/>
      <c r="I2109" s="18" t="n">
        <v>5</v>
      </c>
      <c r="J2109" s="18" t="n"/>
      <c r="K2109" s="18" t="n">
        <v>5</v>
      </c>
      <c r="L2109" s="18" t="inlineStr">
        <is>
          <t>cobbleventure:generation_5</t>
        </is>
      </c>
      <c r="M2109" s="19" t="inlineStr">
        <is>
          <t>cobbleventure:generation_5</t>
        </is>
      </c>
      <c r="N2109" s="18" t="inlineStr"/>
      <c r="O2109" s="19" t="inlineStr"/>
      <c r="P2109" s="18" t="inlineStr">
        <is>
          <t>#cobblemon:is_jungle</t>
        </is>
      </c>
      <c r="Q2109" s="19" t="inlineStr"/>
      <c r="R2109" s="18">
        <f>IF(Q2109="",P2109,Q2109)</f>
        <v/>
      </c>
      <c r="S2109" s="18" t="inlineStr"/>
      <c r="T2109" s="18" t="inlineStr">
        <is>
          <t>common</t>
        </is>
      </c>
      <c r="U2109" s="20" t="n">
        <v>2</v>
      </c>
      <c r="V2109" s="21" t="n">
        <v>1</v>
      </c>
      <c r="W2109" s="20">
        <f>IF(OR(U2109="",V2109=""),U2109,U2109*V2109)</f>
        <v/>
      </c>
      <c r="X2109" s="18" t="inlineStr">
        <is>
          <t>43-48</t>
        </is>
      </c>
      <c r="Y2109" s="19" t="inlineStr"/>
      <c r="Z2109" s="18">
        <f>IF(Y2109="",X2109,Y2109)</f>
        <v/>
      </c>
      <c r="AA2109" s="18" t="inlineStr">
        <is>
          <t>grounded</t>
        </is>
      </c>
      <c r="AB2109" s="18" t="inlineStr"/>
      <c r="AC2109" s="18" t="inlineStr"/>
      <c r="AD2109" s="18" t="inlineStr"/>
      <c r="AE2109" s="18" t="inlineStr"/>
      <c r="AF2109" s="18" t="inlineStr"/>
      <c r="AG2109" s="18" t="inlineStr"/>
      <c r="AH2109" s="18" t="inlineStr"/>
      <c r="AI2109" s="18" t="inlineStr"/>
      <c r="AJ2109" s="18" t="inlineStr">
        <is>
          <t>Cobblemon 동일</t>
        </is>
      </c>
      <c r="AK2109" s="18" t="inlineStr">
        <is>
          <t>사용</t>
        </is>
      </c>
      <c r="AL2109" s="18" t="inlineStr">
        <is>
          <t>COBBLEVERSE 1.7.42 / DP v31</t>
        </is>
      </c>
      <c r="AM2109" s="18" t="inlineStr">
        <is>
          <t>data/cobblemon/spawn_pool_world/0623_golurk.json</t>
        </is>
      </c>
      <c r="AN2109" s="18" t="inlineStr">
        <is>
          <t>golurk-5</t>
        </is>
      </c>
      <c r="AO2109" s="18" t="inlineStr">
        <is>
          <t>pokemon</t>
        </is>
      </c>
      <c r="AP2109" s="18" t="inlineStr">
        <is>
          <t>natural; jungle_pyramid</t>
        </is>
      </c>
      <c r="AQ2109" s="18" t="inlineStr">
        <is>
          <t>{"biomes":["#cobblemon:is_jungle"]}</t>
        </is>
      </c>
      <c r="AR2109" s="18" t="inlineStr"/>
      <c r="AS2109" s="18" t="inlineStr"/>
      <c r="AT2109" s="19" t="inlineStr"/>
    </row>
    <row r="2110" ht="32" customHeight="1">
      <c r="A2110" s="18" t="inlineStr">
        <is>
          <t>0623_golurk.json::golurk-6::006</t>
        </is>
      </c>
      <c r="B2110" s="19" t="inlineStr">
        <is>
          <t>사용</t>
        </is>
      </c>
      <c r="C2110" s="18">
        <f>IF(OR(B2110&lt;&gt;AK2110,M2110&lt;&gt;L2110,O2110&lt;&gt;"",Q2110&lt;&gt;"",V2110&lt;&gt;1,Y2110&lt;&gt;"",AT2110&lt;&gt;""),"수정","원본")</f>
        <v/>
      </c>
      <c r="D2110" s="18" t="n">
        <v>623</v>
      </c>
      <c r="E2110" s="18" t="inlineStr">
        <is>
          <t>골루그</t>
        </is>
      </c>
      <c r="F2110" s="18" t="inlineStr">
        <is>
          <t>golurk</t>
        </is>
      </c>
      <c r="G2110" s="18" t="inlineStr">
        <is>
          <t>golurk</t>
        </is>
      </c>
      <c r="H2110" s="18" t="inlineStr"/>
      <c r="I2110" s="18" t="n">
        <v>5</v>
      </c>
      <c r="J2110" s="18" t="n"/>
      <c r="K2110" s="18" t="n">
        <v>5</v>
      </c>
      <c r="L2110" s="18" t="inlineStr">
        <is>
          <t>cobbleventure:generation_5</t>
        </is>
      </c>
      <c r="M2110" s="19" t="inlineStr">
        <is>
          <t>cobbleventure:generation_5</t>
        </is>
      </c>
      <c r="N2110" s="18" t="inlineStr"/>
      <c r="O2110" s="19" t="inlineStr"/>
      <c r="P2110" s="18" t="inlineStr">
        <is>
          <t>the_bumblezone:howling_constructs</t>
        </is>
      </c>
      <c r="Q2110" s="19" t="inlineStr"/>
      <c r="R2110" s="18">
        <f>IF(Q2110="",P2110,Q2110)</f>
        <v/>
      </c>
      <c r="S2110" s="18" t="inlineStr"/>
      <c r="T2110" s="18" t="inlineStr">
        <is>
          <t>common</t>
        </is>
      </c>
      <c r="U2110" s="20" t="n">
        <v>0.6</v>
      </c>
      <c r="V2110" s="21" t="n">
        <v>1</v>
      </c>
      <c r="W2110" s="20">
        <f>IF(OR(U2110="",V2110=""),U2110,U2110*V2110)</f>
        <v/>
      </c>
      <c r="X2110" s="18" t="inlineStr">
        <is>
          <t>43-48</t>
        </is>
      </c>
      <c r="Y2110" s="19" t="inlineStr"/>
      <c r="Z2110" s="18">
        <f>IF(Y2110="",X2110,Y2110)</f>
        <v/>
      </c>
      <c r="AA2110" s="18" t="inlineStr">
        <is>
          <t>grounded</t>
        </is>
      </c>
      <c r="AB2110" s="18" t="inlineStr"/>
      <c r="AC2110" s="18" t="inlineStr"/>
      <c r="AD2110" s="18" t="inlineStr"/>
      <c r="AE2110" s="18" t="inlineStr"/>
      <c r="AF2110" s="18" t="inlineStr"/>
      <c r="AG2110" s="18" t="inlineStr"/>
      <c r="AH2110" s="18" t="inlineStr"/>
      <c r="AI2110" s="18" t="inlineStr"/>
      <c r="AJ2110" s="18" t="inlineStr">
        <is>
          <t>Cobblemon 동일</t>
        </is>
      </c>
      <c r="AK2110" s="18" t="inlineStr">
        <is>
          <t>사용</t>
        </is>
      </c>
      <c r="AL2110" s="18" t="inlineStr">
        <is>
          <t>COBBLEVERSE 1.7.42 / DP v31</t>
        </is>
      </c>
      <c r="AM2110" s="18" t="inlineStr">
        <is>
          <t>data/cobblemon/spawn_pool_world/0623_golurk.json</t>
        </is>
      </c>
      <c r="AN2110" s="18" t="inlineStr">
        <is>
          <t>golurk-6</t>
        </is>
      </c>
      <c r="AO2110" s="18" t="inlineStr">
        <is>
          <t>pokemon</t>
        </is>
      </c>
      <c r="AP2110" s="18" t="inlineStr"/>
      <c r="AQ2110" s="18" t="inlineStr">
        <is>
          <t>{"biomes":["the_bumblezone:howling_constructs"]}</t>
        </is>
      </c>
      <c r="AR2110" s="18" t="inlineStr">
        <is>
          <t>{"structures":["#the_bumblezone:sempiternal_sanctums"]}</t>
        </is>
      </c>
      <c r="AS2110" s="18" t="inlineStr"/>
      <c r="AT2110" s="19" t="inlineStr"/>
    </row>
    <row r="2111" ht="32" customHeight="1">
      <c r="A2111" s="18" t="inlineStr">
        <is>
          <t>0624_pawniard.json::pawniard-1::001</t>
        </is>
      </c>
      <c r="B2111" s="19" t="inlineStr">
        <is>
          <t>사용</t>
        </is>
      </c>
      <c r="C2111" s="18">
        <f>IF(OR(B2111&lt;&gt;AK2111,M2111&lt;&gt;L2111,O2111&lt;&gt;"",Q2111&lt;&gt;"",V2111&lt;&gt;1,Y2111&lt;&gt;"",AT2111&lt;&gt;""),"수정","원본")</f>
        <v/>
      </c>
      <c r="D2111" s="18" t="n">
        <v>624</v>
      </c>
      <c r="E2111" s="18" t="inlineStr">
        <is>
          <t>자망칼</t>
        </is>
      </c>
      <c r="F2111" s="18" t="inlineStr">
        <is>
          <t>pawniard</t>
        </is>
      </c>
      <c r="G2111" s="18" t="inlineStr">
        <is>
          <t>pawniard</t>
        </is>
      </c>
      <c r="H2111" s="18" t="inlineStr"/>
      <c r="I2111" s="18" t="n">
        <v>5</v>
      </c>
      <c r="J2111" s="18" t="n"/>
      <c r="K2111" s="18" t="n">
        <v>5</v>
      </c>
      <c r="L2111" s="18" t="inlineStr">
        <is>
          <t>cobbleventure:generation_5</t>
        </is>
      </c>
      <c r="M2111" s="19" t="inlineStr">
        <is>
          <t>cobbleventure:generation_5</t>
        </is>
      </c>
      <c r="N2111" s="18" t="inlineStr"/>
      <c r="O2111" s="19" t="inlineStr"/>
      <c r="P2111" s="18" t="inlineStr">
        <is>
          <t>minecraft:bamboo_jungle</t>
        </is>
      </c>
      <c r="Q2111" s="19" t="inlineStr"/>
      <c r="R2111" s="18">
        <f>IF(Q2111="",P2111,Q2111)</f>
        <v/>
      </c>
      <c r="S2111" s="18" t="inlineStr"/>
      <c r="T2111" s="18" t="inlineStr">
        <is>
          <t>uncommon</t>
        </is>
      </c>
      <c r="U2111" s="20" t="n">
        <v>4.4</v>
      </c>
      <c r="V2111" s="21" t="n">
        <v>1</v>
      </c>
      <c r="W2111" s="20">
        <f>IF(OR(U2111="",V2111=""),U2111,U2111*V2111)</f>
        <v/>
      </c>
      <c r="X2111" s="18" t="inlineStr">
        <is>
          <t>10-38</t>
        </is>
      </c>
      <c r="Y2111" s="19" t="inlineStr"/>
      <c r="Z2111" s="18">
        <f>IF(Y2111="",X2111,Y2111)</f>
        <v/>
      </c>
      <c r="AA2111" s="18" t="inlineStr">
        <is>
          <t>grounded</t>
        </is>
      </c>
      <c r="AB2111" s="18" t="inlineStr"/>
      <c r="AC2111" s="18" t="inlineStr"/>
      <c r="AD2111" s="18" t="inlineStr"/>
      <c r="AE2111" s="18" t="inlineStr"/>
      <c r="AF2111" s="18" t="inlineStr"/>
      <c r="AG2111" s="18" t="inlineStr"/>
      <c r="AH2111" s="18" t="inlineStr"/>
      <c r="AI2111" s="18" t="inlineStr"/>
      <c r="AJ2111" s="18" t="inlineStr">
        <is>
          <t>COBBLEVERSE 추가</t>
        </is>
      </c>
      <c r="AK2111" s="18" t="inlineStr">
        <is>
          <t>사용</t>
        </is>
      </c>
      <c r="AL2111" s="18" t="inlineStr">
        <is>
          <t>COBBLEVERSE 1.7.42 / DP v31</t>
        </is>
      </c>
      <c r="AM2111" s="18" t="inlineStr">
        <is>
          <t>data/cobblemon/spawn_pool_world/0624_pawniard.json</t>
        </is>
      </c>
      <c r="AN2111" s="18" t="inlineStr">
        <is>
          <t>pawniard-1</t>
        </is>
      </c>
      <c r="AO2111" s="18" t="inlineStr">
        <is>
          <t>pokemon</t>
        </is>
      </c>
      <c r="AP2111" s="18" t="inlineStr">
        <is>
          <t>natural</t>
        </is>
      </c>
      <c r="AQ2111" s="18" t="inlineStr">
        <is>
          <t>{"biomes":["minecraft:bamboo_jungle"]}</t>
        </is>
      </c>
      <c r="AR2111" s="18" t="inlineStr"/>
      <c r="AS2111" s="18" t="inlineStr">
        <is>
          <t>{"weightMultipliers":[{"condition":{"timeRange":"night"},"multiplier":2.5}]}</t>
        </is>
      </c>
      <c r="AT2111" s="19" t="inlineStr"/>
    </row>
    <row r="2112" ht="32" customHeight="1">
      <c r="A2112" s="18" t="inlineStr">
        <is>
          <t>0625_bisharp.json::bisharp-1::001</t>
        </is>
      </c>
      <c r="B2112" s="19" t="inlineStr">
        <is>
          <t>사용</t>
        </is>
      </c>
      <c r="C2112" s="18">
        <f>IF(OR(B2112&lt;&gt;AK2112,M2112&lt;&gt;L2112,O2112&lt;&gt;"",Q2112&lt;&gt;"",V2112&lt;&gt;1,Y2112&lt;&gt;"",AT2112&lt;&gt;""),"수정","원본")</f>
        <v/>
      </c>
      <c r="D2112" s="18" t="n">
        <v>625</v>
      </c>
      <c r="E2112" s="18" t="inlineStr">
        <is>
          <t>절각참</t>
        </is>
      </c>
      <c r="F2112" s="18" t="inlineStr">
        <is>
          <t>bisharp</t>
        </is>
      </c>
      <c r="G2112" s="18" t="inlineStr">
        <is>
          <t>bisharp</t>
        </is>
      </c>
      <c r="H2112" s="18" t="inlineStr"/>
      <c r="I2112" s="18" t="n">
        <v>5</v>
      </c>
      <c r="J2112" s="18" t="n"/>
      <c r="K2112" s="18" t="n">
        <v>5</v>
      </c>
      <c r="L2112" s="18" t="inlineStr">
        <is>
          <t>cobbleventure:generation_5</t>
        </is>
      </c>
      <c r="M2112" s="19" t="inlineStr">
        <is>
          <t>cobbleventure:generation_5</t>
        </is>
      </c>
      <c r="N2112" s="18" t="inlineStr"/>
      <c r="O2112" s="19" t="inlineStr"/>
      <c r="P2112" s="18" t="inlineStr">
        <is>
          <t>minecraft:bamboo_jungle</t>
        </is>
      </c>
      <c r="Q2112" s="19" t="inlineStr"/>
      <c r="R2112" s="18">
        <f>IF(Q2112="",P2112,Q2112)</f>
        <v/>
      </c>
      <c r="S2112" s="18" t="inlineStr"/>
      <c r="T2112" s="18" t="inlineStr">
        <is>
          <t>rare</t>
        </is>
      </c>
      <c r="U2112" s="20" t="n">
        <v>4</v>
      </c>
      <c r="V2112" s="21" t="n">
        <v>1</v>
      </c>
      <c r="W2112" s="20">
        <f>IF(OR(U2112="",V2112=""),U2112,U2112*V2112)</f>
        <v/>
      </c>
      <c r="X2112" s="18" t="inlineStr">
        <is>
          <t>52-78</t>
        </is>
      </c>
      <c r="Y2112" s="19" t="inlineStr"/>
      <c r="Z2112" s="18">
        <f>IF(Y2112="",X2112,Y2112)</f>
        <v/>
      </c>
      <c r="AA2112" s="18" t="inlineStr">
        <is>
          <t>grounded</t>
        </is>
      </c>
      <c r="AB2112" s="18" t="inlineStr"/>
      <c r="AC2112" s="18" t="inlineStr"/>
      <c r="AD2112" s="18" t="inlineStr"/>
      <c r="AE2112" s="18" t="inlineStr"/>
      <c r="AF2112" s="18" t="inlineStr"/>
      <c r="AG2112" s="18" t="inlineStr"/>
      <c r="AH2112" s="18" t="inlineStr"/>
      <c r="AI2112" s="18" t="inlineStr"/>
      <c r="AJ2112" s="18" t="inlineStr">
        <is>
          <t>COBBLEVERSE 추가</t>
        </is>
      </c>
      <c r="AK2112" s="18" t="inlineStr">
        <is>
          <t>사용</t>
        </is>
      </c>
      <c r="AL2112" s="18" t="inlineStr">
        <is>
          <t>COBBLEVERSE 1.7.42 / DP v31</t>
        </is>
      </c>
      <c r="AM2112" s="18" t="inlineStr">
        <is>
          <t>data/cobblemon/spawn_pool_world/0625_bisharp.json</t>
        </is>
      </c>
      <c r="AN2112" s="18" t="inlineStr">
        <is>
          <t>bisharp-1</t>
        </is>
      </c>
      <c r="AO2112" s="18" t="inlineStr">
        <is>
          <t>pokemon</t>
        </is>
      </c>
      <c r="AP2112" s="18" t="inlineStr">
        <is>
          <t>natural</t>
        </is>
      </c>
      <c r="AQ2112" s="18" t="inlineStr">
        <is>
          <t>{"biomes":["minecraft:bamboo_jungle"]}</t>
        </is>
      </c>
      <c r="AR2112" s="18" t="inlineStr"/>
      <c r="AS2112" s="18" t="inlineStr">
        <is>
          <t>{"weightMultipliers":[{"condition":{"timeRange":"night"},"multiplier":2.5}]}</t>
        </is>
      </c>
      <c r="AT2112" s="19" t="inlineStr"/>
    </row>
    <row r="2113" ht="32" customHeight="1">
      <c r="A2113" s="18" t="inlineStr">
        <is>
          <t>0626_bouffalant.json::bouffalant-1::001</t>
        </is>
      </c>
      <c r="B2113" s="19" t="inlineStr">
        <is>
          <t>사용</t>
        </is>
      </c>
      <c r="C2113" s="18">
        <f>IF(OR(B2113&lt;&gt;AK2113,M2113&lt;&gt;L2113,O2113&lt;&gt;"",Q2113&lt;&gt;"",V2113&lt;&gt;1,Y2113&lt;&gt;"",AT2113&lt;&gt;""),"수정","원본")</f>
        <v/>
      </c>
      <c r="D2113" s="18" t="n">
        <v>626</v>
      </c>
      <c r="E2113" s="18" t="inlineStr">
        <is>
          <t>버프론</t>
        </is>
      </c>
      <c r="F2113" s="18" t="inlineStr">
        <is>
          <t>bouffalant</t>
        </is>
      </c>
      <c r="G2113" s="18" t="inlineStr">
        <is>
          <t>bouffalant</t>
        </is>
      </c>
      <c r="H2113" s="18" t="inlineStr"/>
      <c r="I2113" s="18" t="n">
        <v>5</v>
      </c>
      <c r="J2113" s="18" t="n"/>
      <c r="K2113" s="18" t="n">
        <v>5</v>
      </c>
      <c r="L2113" s="18" t="inlineStr">
        <is>
          <t>cobbleventure:generation_5</t>
        </is>
      </c>
      <c r="M2113" s="19" t="inlineStr">
        <is>
          <t>cobbleventure:generation_5</t>
        </is>
      </c>
      <c r="N2113" s="18" t="inlineStr">
        <is>
          <t>region_01</t>
        </is>
      </c>
      <c r="O2113" s="19" t="inlineStr"/>
      <c r="P2113" s="18" t="inlineStr">
        <is>
          <t>#cobblemon:is_plains</t>
        </is>
      </c>
      <c r="Q2113" s="19" t="inlineStr"/>
      <c r="R2113" s="18">
        <f>IF(Q2113="",P2113,Q2113)</f>
        <v/>
      </c>
      <c r="S2113" s="18" t="inlineStr"/>
      <c r="T2113" s="18" t="inlineStr">
        <is>
          <t>common</t>
        </is>
      </c>
      <c r="U2113" s="20" t="n">
        <v>10</v>
      </c>
      <c r="V2113" s="21" t="n">
        <v>1</v>
      </c>
      <c r="W2113" s="20">
        <f>IF(OR(U2113="",V2113=""),U2113,U2113*V2113)</f>
        <v/>
      </c>
      <c r="X2113" s="18" t="inlineStr">
        <is>
          <t>24-49</t>
        </is>
      </c>
      <c r="Y2113" s="19" t="inlineStr"/>
      <c r="Z2113" s="18">
        <f>IF(Y2113="",X2113,Y2113)</f>
        <v/>
      </c>
      <c r="AA2113" s="18" t="inlineStr">
        <is>
          <t>grounded</t>
        </is>
      </c>
      <c r="AB2113" s="18" t="inlineStr"/>
      <c r="AC2113" s="18" t="inlineStr"/>
      <c r="AD2113" s="18" t="inlineStr"/>
      <c r="AE2113" s="18" t="inlineStr">
        <is>
          <t>sky 8-15</t>
        </is>
      </c>
      <c r="AF2113" s="18" t="inlineStr"/>
      <c r="AG2113" s="18" t="inlineStr"/>
      <c r="AH2113" s="18" t="inlineStr"/>
      <c r="AI2113" s="18" t="inlineStr"/>
      <c r="AJ2113" s="18" t="inlineStr">
        <is>
          <t>Cobblemon 동일</t>
        </is>
      </c>
      <c r="AK2113" s="18" t="inlineStr">
        <is>
          <t>사용</t>
        </is>
      </c>
      <c r="AL2113" s="18" t="inlineStr">
        <is>
          <t>COBBLEVERSE 1.7.42 / DP v31</t>
        </is>
      </c>
      <c r="AM2113" s="18" t="inlineStr">
        <is>
          <t>data/cobblemon/spawn_pool_world/0626_bouffalant.json</t>
        </is>
      </c>
      <c r="AN2113" s="18" t="inlineStr">
        <is>
          <t>bouffalant-1</t>
        </is>
      </c>
      <c r="AO2113" s="18" t="inlineStr">
        <is>
          <t>pokemon</t>
        </is>
      </c>
      <c r="AP2113" s="18" t="inlineStr">
        <is>
          <t>natural; wild</t>
        </is>
      </c>
      <c r="AQ2113" s="18" t="inlineStr">
        <is>
          <t>{"biomes":["#cobblemon:is_plains"],"maxSkyLight":15,"minSkyLight":8}</t>
        </is>
      </c>
      <c r="AR2113" s="18" t="inlineStr"/>
      <c r="AS2113" s="18" t="inlineStr">
        <is>
          <t>{"weightMultiplier":{"condition":{"timeRange":"night"},"multiplier":0.25}}</t>
        </is>
      </c>
      <c r="AT2113" s="19" t="inlineStr"/>
    </row>
    <row r="2114" ht="32" customHeight="1">
      <c r="A2114" s="18" t="inlineStr">
        <is>
          <t>0627_rufflet.json::rufflet-1::001</t>
        </is>
      </c>
      <c r="B2114" s="19" t="inlineStr">
        <is>
          <t>사용</t>
        </is>
      </c>
      <c r="C2114" s="18">
        <f>IF(OR(B2114&lt;&gt;AK2114,M2114&lt;&gt;L2114,O2114&lt;&gt;"",Q2114&lt;&gt;"",V2114&lt;&gt;1,Y2114&lt;&gt;"",AT2114&lt;&gt;""),"수정","원본")</f>
        <v/>
      </c>
      <c r="D2114" s="18" t="n">
        <v>627</v>
      </c>
      <c r="E2114" s="18" t="inlineStr">
        <is>
          <t>수리둥보</t>
        </is>
      </c>
      <c r="F2114" s="18" t="inlineStr">
        <is>
          <t>rufflet</t>
        </is>
      </c>
      <c r="G2114" s="18" t="inlineStr">
        <is>
          <t>rufflet</t>
        </is>
      </c>
      <c r="H2114" s="18" t="inlineStr"/>
      <c r="I2114" s="18" t="n">
        <v>5</v>
      </c>
      <c r="J2114" s="18" t="n"/>
      <c r="K2114" s="18" t="n">
        <v>5</v>
      </c>
      <c r="L2114" s="18" t="inlineStr">
        <is>
          <t>cobbleventure:generation_5</t>
        </is>
      </c>
      <c r="M2114" s="19" t="inlineStr">
        <is>
          <t>cobbleventure:generation_5</t>
        </is>
      </c>
      <c r="N2114" s="18" t="inlineStr"/>
      <c r="O2114" s="19" t="inlineStr"/>
      <c r="P2114" s="18" t="inlineStr">
        <is>
          <t>#cobblemon:is_badlands; #cobblemon:is_hills</t>
        </is>
      </c>
      <c r="Q2114" s="19" t="inlineStr"/>
      <c r="R2114" s="18">
        <f>IF(Q2114="",P2114,Q2114)</f>
        <v/>
      </c>
      <c r="S2114" s="18" t="inlineStr"/>
      <c r="T2114" s="18" t="inlineStr">
        <is>
          <t>uncommon</t>
        </is>
      </c>
      <c r="U2114" s="20" t="n">
        <v>8.4</v>
      </c>
      <c r="V2114" s="21" t="n">
        <v>1</v>
      </c>
      <c r="W2114" s="20">
        <f>IF(OR(U2114="",V2114=""),U2114,U2114*V2114)</f>
        <v/>
      </c>
      <c r="X2114" s="18" t="inlineStr">
        <is>
          <t>10-35</t>
        </is>
      </c>
      <c r="Y2114" s="19" t="inlineStr"/>
      <c r="Z2114" s="18">
        <f>IF(Y2114="",X2114,Y2114)</f>
        <v/>
      </c>
      <c r="AA2114" s="18" t="inlineStr">
        <is>
          <t>grounded</t>
        </is>
      </c>
      <c r="AB2114" s="18" t="inlineStr">
        <is>
          <t>day</t>
        </is>
      </c>
      <c r="AC2114" s="18" t="inlineStr"/>
      <c r="AD2114" s="18" t="inlineStr"/>
      <c r="AE2114" s="18" t="inlineStr">
        <is>
          <t>sky 8-15</t>
        </is>
      </c>
      <c r="AF2114" s="18" t="inlineStr"/>
      <c r="AG2114" s="18" t="inlineStr"/>
      <c r="AH2114" s="18" t="inlineStr"/>
      <c r="AI2114" s="18" t="inlineStr"/>
      <c r="AJ2114" s="18" t="inlineStr">
        <is>
          <t>Cobblemon 동일</t>
        </is>
      </c>
      <c r="AK2114" s="18" t="inlineStr">
        <is>
          <t>사용</t>
        </is>
      </c>
      <c r="AL2114" s="18" t="inlineStr">
        <is>
          <t>COBBLEVERSE 1.7.42 / DP v31</t>
        </is>
      </c>
      <c r="AM2114" s="18" t="inlineStr">
        <is>
          <t>data/cobblemon/spawn_pool_world/0627_rufflet.json</t>
        </is>
      </c>
      <c r="AN2114" s="18" t="inlineStr">
        <is>
          <t>rufflet-1</t>
        </is>
      </c>
      <c r="AO2114" s="18" t="inlineStr">
        <is>
          <t>pokemon</t>
        </is>
      </c>
      <c r="AP2114" s="18" t="inlineStr">
        <is>
          <t>natural; treetop; wild</t>
        </is>
      </c>
      <c r="AQ2114" s="18" t="inlineStr">
        <is>
          <t>{"biomes":["#cobblemon:is_badlands","#cobblemon:is_hills"],"maxSkyLight":15,"minSkyLight":8,"timeRange":"day"}</t>
        </is>
      </c>
      <c r="AR2114" s="18" t="inlineStr"/>
      <c r="AS2114" s="18" t="inlineStr"/>
      <c r="AT2114" s="19" t="inlineStr"/>
    </row>
    <row r="2115" ht="32" customHeight="1">
      <c r="A2115" s="18" t="inlineStr">
        <is>
          <t>0627_rufflet.json::rufflet-2::002</t>
        </is>
      </c>
      <c r="B2115" s="19" t="inlineStr">
        <is>
          <t>사용</t>
        </is>
      </c>
      <c r="C2115" s="18">
        <f>IF(OR(B2115&lt;&gt;AK2115,M2115&lt;&gt;L2115,O2115&lt;&gt;"",Q2115&lt;&gt;"",V2115&lt;&gt;1,Y2115&lt;&gt;"",AT2115&lt;&gt;""),"수정","원본")</f>
        <v/>
      </c>
      <c r="D2115" s="18" t="n">
        <v>627</v>
      </c>
      <c r="E2115" s="18" t="inlineStr">
        <is>
          <t>수리둥보</t>
        </is>
      </c>
      <c r="F2115" s="18" t="inlineStr">
        <is>
          <t>rufflet</t>
        </is>
      </c>
      <c r="G2115" s="18" t="inlineStr">
        <is>
          <t>rufflet</t>
        </is>
      </c>
      <c r="H2115" s="18" t="inlineStr"/>
      <c r="I2115" s="18" t="n">
        <v>5</v>
      </c>
      <c r="J2115" s="18" t="n"/>
      <c r="K2115" s="18" t="n">
        <v>5</v>
      </c>
      <c r="L2115" s="18" t="inlineStr">
        <is>
          <t>cobbleventure:generation_5</t>
        </is>
      </c>
      <c r="M2115" s="19" t="inlineStr">
        <is>
          <t>cobbleventure:generation_5</t>
        </is>
      </c>
      <c r="N2115" s="18" t="inlineStr"/>
      <c r="O2115" s="19" t="inlineStr"/>
      <c r="P2115" s="18" t="inlineStr">
        <is>
          <t>#cobblemon:is_sky</t>
        </is>
      </c>
      <c r="Q2115" s="19" t="inlineStr"/>
      <c r="R2115" s="18">
        <f>IF(Q2115="",P2115,Q2115)</f>
        <v/>
      </c>
      <c r="S2115" s="18" t="inlineStr"/>
      <c r="T2115" s="18" t="inlineStr">
        <is>
          <t>common</t>
        </is>
      </c>
      <c r="U2115" s="20" t="n">
        <v>9</v>
      </c>
      <c r="V2115" s="21" t="n">
        <v>1</v>
      </c>
      <c r="W2115" s="20">
        <f>IF(OR(U2115="",V2115=""),U2115,U2115*V2115)</f>
        <v/>
      </c>
      <c r="X2115" s="18" t="inlineStr">
        <is>
          <t>10-35</t>
        </is>
      </c>
      <c r="Y2115" s="19" t="inlineStr"/>
      <c r="Z2115" s="18">
        <f>IF(Y2115="",X2115,Y2115)</f>
        <v/>
      </c>
      <c r="AA2115" s="18" t="inlineStr">
        <is>
          <t>grounded</t>
        </is>
      </c>
      <c r="AB2115" s="18" t="inlineStr">
        <is>
          <t>day</t>
        </is>
      </c>
      <c r="AC2115" s="18" t="inlineStr"/>
      <c r="AD2115" s="18" t="inlineStr"/>
      <c r="AE2115" s="18" t="inlineStr">
        <is>
          <t>sky 8-15</t>
        </is>
      </c>
      <c r="AF2115" s="18" t="inlineStr"/>
      <c r="AG2115" s="18" t="inlineStr"/>
      <c r="AH2115" s="18" t="inlineStr"/>
      <c r="AI2115" s="18" t="inlineStr"/>
      <c r="AJ2115" s="18" t="inlineStr">
        <is>
          <t>Cobblemon 동일</t>
        </is>
      </c>
      <c r="AK2115" s="18" t="inlineStr">
        <is>
          <t>사용</t>
        </is>
      </c>
      <c r="AL2115" s="18" t="inlineStr">
        <is>
          <t>COBBLEVERSE 1.7.42 / DP v31</t>
        </is>
      </c>
      <c r="AM2115" s="18" t="inlineStr">
        <is>
          <t>data/cobblemon/spawn_pool_world/0627_rufflet.json</t>
        </is>
      </c>
      <c r="AN2115" s="18" t="inlineStr">
        <is>
          <t>rufflet-2</t>
        </is>
      </c>
      <c r="AO2115" s="18" t="inlineStr">
        <is>
          <t>pokemon</t>
        </is>
      </c>
      <c r="AP2115" s="18" t="inlineStr">
        <is>
          <t>natural; treetop; wild</t>
        </is>
      </c>
      <c r="AQ2115" s="18" t="inlineStr">
        <is>
          <t>{"biomes":["#cobblemon:is_sky"],"maxSkyLight":15,"minSkyLight":8,"timeRange":"day"}</t>
        </is>
      </c>
      <c r="AR2115" s="18" t="inlineStr"/>
      <c r="AS2115" s="18" t="inlineStr"/>
      <c r="AT2115" s="19" t="inlineStr"/>
    </row>
    <row r="2116" ht="32" customHeight="1">
      <c r="A2116" s="18" t="inlineStr">
        <is>
          <t>0627_rufflet.json::rufflet-hisui-5::003</t>
        </is>
      </c>
      <c r="B2116" s="19" t="inlineStr">
        <is>
          <t>사용</t>
        </is>
      </c>
      <c r="C2116" s="18">
        <f>IF(OR(B2116&lt;&gt;AK2116,M2116&lt;&gt;L2116,O2116&lt;&gt;"",Q2116&lt;&gt;"",V2116&lt;&gt;1,Y2116&lt;&gt;"",AT2116&lt;&gt;""),"수정","원본")</f>
        <v/>
      </c>
      <c r="D2116" s="18" t="n">
        <v>627</v>
      </c>
      <c r="E2116" s="18" t="inlineStr">
        <is>
          <t>수리둥보</t>
        </is>
      </c>
      <c r="F2116" s="18" t="inlineStr">
        <is>
          <t>rufflet</t>
        </is>
      </c>
      <c r="G2116" s="18" t="inlineStr">
        <is>
          <t>rufflet region_bias=hisui</t>
        </is>
      </c>
      <c r="H2116" s="18" t="inlineStr">
        <is>
          <t>region_bias=hisui</t>
        </is>
      </c>
      <c r="I2116" s="18" t="n">
        <v>5</v>
      </c>
      <c r="J2116" s="18" t="n">
        <v>8</v>
      </c>
      <c r="K2116" s="18" t="n">
        <v>8</v>
      </c>
      <c r="L2116" s="18" t="inlineStr">
        <is>
          <t>cobbleventure:generation_8</t>
        </is>
      </c>
      <c r="M2116" s="19" t="inlineStr">
        <is>
          <t>cobbleventure:generation_8</t>
        </is>
      </c>
      <c r="N2116" s="18" t="inlineStr"/>
      <c r="O2116" s="19" t="inlineStr"/>
      <c r="P2116" s="18" t="inlineStr">
        <is>
          <t>#cobblemon:is_mountain</t>
        </is>
      </c>
      <c r="Q2116" s="19" t="inlineStr"/>
      <c r="R2116" s="18">
        <f>IF(Q2116="",P2116,Q2116)</f>
        <v/>
      </c>
      <c r="S2116" s="18" t="inlineStr">
        <is>
          <t>#cobblemon:is_badlands; #cobblemon:is_hills; #cobblemon:is_volcanic</t>
        </is>
      </c>
      <c r="T2116" s="18" t="inlineStr">
        <is>
          <t>uncommon</t>
        </is>
      </c>
      <c r="U2116" s="20" t="n">
        <v>8.4</v>
      </c>
      <c r="V2116" s="21" t="n">
        <v>1</v>
      </c>
      <c r="W2116" s="20">
        <f>IF(OR(U2116="",V2116=""),U2116,U2116*V2116)</f>
        <v/>
      </c>
      <c r="X2116" s="18" t="inlineStr">
        <is>
          <t>10-35</t>
        </is>
      </c>
      <c r="Y2116" s="19" t="inlineStr"/>
      <c r="Z2116" s="18">
        <f>IF(Y2116="",X2116,Y2116)</f>
        <v/>
      </c>
      <c r="AA2116" s="18" t="inlineStr">
        <is>
          <t>grounded</t>
        </is>
      </c>
      <c r="AB2116" s="18" t="inlineStr"/>
      <c r="AC2116" s="18" t="inlineStr"/>
      <c r="AD2116" s="18" t="inlineStr"/>
      <c r="AE2116" s="18" t="inlineStr">
        <is>
          <t>sky 8-15</t>
        </is>
      </c>
      <c r="AF2116" s="18" t="inlineStr"/>
      <c r="AG2116" s="18" t="inlineStr"/>
      <c r="AH2116" s="18" t="inlineStr"/>
      <c r="AI2116" s="18" t="inlineStr"/>
      <c r="AJ2116" s="18" t="inlineStr">
        <is>
          <t>Cobblemon 동일</t>
        </is>
      </c>
      <c r="AK2116" s="18" t="inlineStr">
        <is>
          <t>사용</t>
        </is>
      </c>
      <c r="AL2116" s="18" t="inlineStr">
        <is>
          <t>COBBLEVERSE 1.7.42 / DP v31</t>
        </is>
      </c>
      <c r="AM2116" s="18" t="inlineStr">
        <is>
          <t>data/cobblemon/spawn_pool_world/0627_rufflet.json</t>
        </is>
      </c>
      <c r="AN2116" s="18" t="inlineStr">
        <is>
          <t>rufflet-hisui-5</t>
        </is>
      </c>
      <c r="AO2116" s="18" t="inlineStr">
        <is>
          <t>pokemon</t>
        </is>
      </c>
      <c r="AP2116" s="18" t="inlineStr">
        <is>
          <t>natural; treetop; wild</t>
        </is>
      </c>
      <c r="AQ2116" s="18" t="inlineStr">
        <is>
          <t>{"biomes":["#cobblemon:is_mountain"],"maxSkyLight":15,"minSkyLight":8}</t>
        </is>
      </c>
      <c r="AR2116" s="18" t="inlineStr">
        <is>
          <t>{"biomes":["#cobblemon:is_badlands","#cobblemon:is_hills","#cobblemon:is_volcanic"]}</t>
        </is>
      </c>
      <c r="AS2116" s="18" t="inlineStr">
        <is>
          <t>{"weightMultiplier":{"condition":{"timeRange":"night"},"multiplier":0.25}}</t>
        </is>
      </c>
      <c r="AT2116" s="19" t="inlineStr"/>
    </row>
    <row r="2117" ht="32" customHeight="1">
      <c r="A2117" s="18" t="inlineStr">
        <is>
          <t>0627_rufflet.json::rufflet-hisui-6::004</t>
        </is>
      </c>
      <c r="B2117" s="19" t="inlineStr">
        <is>
          <t>사용</t>
        </is>
      </c>
      <c r="C2117" s="18">
        <f>IF(OR(B2117&lt;&gt;AK2117,M2117&lt;&gt;L2117,O2117&lt;&gt;"",Q2117&lt;&gt;"",V2117&lt;&gt;1,Y2117&lt;&gt;"",AT2117&lt;&gt;""),"수정","원본")</f>
        <v/>
      </c>
      <c r="D2117" s="18" t="n">
        <v>627</v>
      </c>
      <c r="E2117" s="18" t="inlineStr">
        <is>
          <t>수리둥보</t>
        </is>
      </c>
      <c r="F2117" s="18" t="inlineStr">
        <is>
          <t>rufflet</t>
        </is>
      </c>
      <c r="G2117" s="18" t="inlineStr">
        <is>
          <t>rufflet region_bias=hisui</t>
        </is>
      </c>
      <c r="H2117" s="18" t="inlineStr">
        <is>
          <t>region_bias=hisui</t>
        </is>
      </c>
      <c r="I2117" s="18" t="n">
        <v>5</v>
      </c>
      <c r="J2117" s="18" t="n">
        <v>8</v>
      </c>
      <c r="K2117" s="18" t="n">
        <v>8</v>
      </c>
      <c r="L2117" s="18" t="inlineStr">
        <is>
          <t>cobbleventure:generation_8</t>
        </is>
      </c>
      <c r="M2117" s="19" t="inlineStr">
        <is>
          <t>cobbleventure:generation_8</t>
        </is>
      </c>
      <c r="N2117" s="18" t="inlineStr"/>
      <c r="O2117" s="19" t="inlineStr"/>
      <c r="P2117" s="18" t="inlineStr">
        <is>
          <t>#cobblemon:is_sky</t>
        </is>
      </c>
      <c r="Q2117" s="19" t="inlineStr"/>
      <c r="R2117" s="18">
        <f>IF(Q2117="",P2117,Q2117)</f>
        <v/>
      </c>
      <c r="S2117" s="18" t="inlineStr"/>
      <c r="T2117" s="18" t="inlineStr">
        <is>
          <t>common</t>
        </is>
      </c>
      <c r="U2117" s="20" t="n">
        <v>9</v>
      </c>
      <c r="V2117" s="21" t="n">
        <v>1</v>
      </c>
      <c r="W2117" s="20">
        <f>IF(OR(U2117="",V2117=""),U2117,U2117*V2117)</f>
        <v/>
      </c>
      <c r="X2117" s="18" t="inlineStr">
        <is>
          <t>10-35</t>
        </is>
      </c>
      <c r="Y2117" s="19" t="inlineStr"/>
      <c r="Z2117" s="18">
        <f>IF(Y2117="",X2117,Y2117)</f>
        <v/>
      </c>
      <c r="AA2117" s="18" t="inlineStr">
        <is>
          <t>grounded</t>
        </is>
      </c>
      <c r="AB2117" s="18" t="inlineStr"/>
      <c r="AC2117" s="18" t="inlineStr"/>
      <c r="AD2117" s="18" t="inlineStr"/>
      <c r="AE2117" s="18" t="inlineStr">
        <is>
          <t>sky 8-15</t>
        </is>
      </c>
      <c r="AF2117" s="18" t="inlineStr"/>
      <c r="AG2117" s="18" t="inlineStr"/>
      <c r="AH2117" s="18" t="inlineStr"/>
      <c r="AI2117" s="18" t="inlineStr"/>
      <c r="AJ2117" s="18" t="inlineStr">
        <is>
          <t>Cobblemon 동일</t>
        </is>
      </c>
      <c r="AK2117" s="18" t="inlineStr">
        <is>
          <t>사용</t>
        </is>
      </c>
      <c r="AL2117" s="18" t="inlineStr">
        <is>
          <t>COBBLEVERSE 1.7.42 / DP v31</t>
        </is>
      </c>
      <c r="AM2117" s="18" t="inlineStr">
        <is>
          <t>data/cobblemon/spawn_pool_world/0627_rufflet.json</t>
        </is>
      </c>
      <c r="AN2117" s="18" t="inlineStr">
        <is>
          <t>rufflet-hisui-6</t>
        </is>
      </c>
      <c r="AO2117" s="18" t="inlineStr">
        <is>
          <t>pokemon</t>
        </is>
      </c>
      <c r="AP2117" s="18" t="inlineStr">
        <is>
          <t>natural; treetop; wild</t>
        </is>
      </c>
      <c r="AQ2117" s="18" t="inlineStr">
        <is>
          <t>{"biomes":["#cobblemon:is_sky"],"maxSkyLight":15,"minSkyLight":8}</t>
        </is>
      </c>
      <c r="AR2117" s="18" t="inlineStr"/>
      <c r="AS2117" s="18" t="inlineStr">
        <is>
          <t>{"weightMultiplier":{"condition":{"timeRange":"night"},"multiplier":0.25}}</t>
        </is>
      </c>
      <c r="AT2117" s="19" t="inlineStr"/>
    </row>
    <row r="2118" ht="32" customHeight="1">
      <c r="A2118" s="18" t="inlineStr">
        <is>
          <t>0628_braviary.json::braviary-1::001</t>
        </is>
      </c>
      <c r="B2118" s="19" t="inlineStr">
        <is>
          <t>사용</t>
        </is>
      </c>
      <c r="C2118" s="18">
        <f>IF(OR(B2118&lt;&gt;AK2118,M2118&lt;&gt;L2118,O2118&lt;&gt;"",Q2118&lt;&gt;"",V2118&lt;&gt;1,Y2118&lt;&gt;"",AT2118&lt;&gt;""),"수정","원본")</f>
        <v/>
      </c>
      <c r="D2118" s="18" t="n">
        <v>628</v>
      </c>
      <c r="E2118" s="18" t="inlineStr">
        <is>
          <t>워글</t>
        </is>
      </c>
      <c r="F2118" s="18" t="inlineStr">
        <is>
          <t>braviary</t>
        </is>
      </c>
      <c r="G2118" s="18" t="inlineStr">
        <is>
          <t>braviary</t>
        </is>
      </c>
      <c r="H2118" s="18" t="inlineStr"/>
      <c r="I2118" s="18" t="n">
        <v>5</v>
      </c>
      <c r="J2118" s="18" t="n"/>
      <c r="K2118" s="18" t="n">
        <v>5</v>
      </c>
      <c r="L2118" s="18" t="inlineStr">
        <is>
          <t>cobbleventure:generation_5</t>
        </is>
      </c>
      <c r="M2118" s="19" t="inlineStr">
        <is>
          <t>cobbleventure:generation_5</t>
        </is>
      </c>
      <c r="N2118" s="18" t="inlineStr"/>
      <c r="O2118" s="19" t="inlineStr"/>
      <c r="P2118" s="18" t="inlineStr">
        <is>
          <t>#cobblemon:is_badlands; #cobblemon:is_hills</t>
        </is>
      </c>
      <c r="Q2118" s="19" t="inlineStr"/>
      <c r="R2118" s="18">
        <f>IF(Q2118="",P2118,Q2118)</f>
        <v/>
      </c>
      <c r="S2118" s="18" t="inlineStr"/>
      <c r="T2118" s="18" t="inlineStr">
        <is>
          <t>uncommon</t>
        </is>
      </c>
      <c r="U2118" s="20" t="n">
        <v>1.6</v>
      </c>
      <c r="V2118" s="21" t="n">
        <v>1</v>
      </c>
      <c r="W2118" s="20">
        <f>IF(OR(U2118="",V2118=""),U2118,U2118*V2118)</f>
        <v/>
      </c>
      <c r="X2118" s="18" t="inlineStr">
        <is>
          <t>54-59</t>
        </is>
      </c>
      <c r="Y2118" s="19" t="inlineStr"/>
      <c r="Z2118" s="18">
        <f>IF(Y2118="",X2118,Y2118)</f>
        <v/>
      </c>
      <c r="AA2118" s="18" t="inlineStr">
        <is>
          <t>grounded</t>
        </is>
      </c>
      <c r="AB2118" s="18" t="inlineStr">
        <is>
          <t>day</t>
        </is>
      </c>
      <c r="AC2118" s="18" t="inlineStr"/>
      <c r="AD2118" s="18" t="inlineStr"/>
      <c r="AE2118" s="18" t="inlineStr">
        <is>
          <t>sky 8-15</t>
        </is>
      </c>
      <c r="AF2118" s="18" t="inlineStr"/>
      <c r="AG2118" s="18" t="inlineStr"/>
      <c r="AH2118" s="18" t="inlineStr"/>
      <c r="AI2118" s="18" t="inlineStr"/>
      <c r="AJ2118" s="18" t="inlineStr">
        <is>
          <t>Cobblemon 동일</t>
        </is>
      </c>
      <c r="AK2118" s="18" t="inlineStr">
        <is>
          <t>사용</t>
        </is>
      </c>
      <c r="AL2118" s="18" t="inlineStr">
        <is>
          <t>COBBLEVERSE 1.7.42 / DP v31</t>
        </is>
      </c>
      <c r="AM2118" s="18" t="inlineStr">
        <is>
          <t>data/cobblemon/spawn_pool_world/0628_braviary.json</t>
        </is>
      </c>
      <c r="AN2118" s="18" t="inlineStr">
        <is>
          <t>braviary-1</t>
        </is>
      </c>
      <c r="AO2118" s="18" t="inlineStr">
        <is>
          <t>pokemon</t>
        </is>
      </c>
      <c r="AP2118" s="18" t="inlineStr">
        <is>
          <t>natural; treetop; wild</t>
        </is>
      </c>
      <c r="AQ2118" s="18" t="inlineStr">
        <is>
          <t>{"biomes":["#cobblemon:is_badlands","#cobblemon:is_hills"],"maxSkyLight":15,"minSkyLight":8,"timeRange":"day"}</t>
        </is>
      </c>
      <c r="AR2118" s="18" t="inlineStr"/>
      <c r="AS2118" s="18" t="inlineStr"/>
      <c r="AT2118" s="19" t="inlineStr"/>
    </row>
    <row r="2119" ht="32" customHeight="1">
      <c r="A2119" s="18" t="inlineStr">
        <is>
          <t>0628_braviary.json::braviary-2::002</t>
        </is>
      </c>
      <c r="B2119" s="19" t="inlineStr">
        <is>
          <t>사용</t>
        </is>
      </c>
      <c r="C2119" s="18">
        <f>IF(OR(B2119&lt;&gt;AK2119,M2119&lt;&gt;L2119,O2119&lt;&gt;"",Q2119&lt;&gt;"",V2119&lt;&gt;1,Y2119&lt;&gt;"",AT2119&lt;&gt;""),"수정","원본")</f>
        <v/>
      </c>
      <c r="D2119" s="18" t="n">
        <v>628</v>
      </c>
      <c r="E2119" s="18" t="inlineStr">
        <is>
          <t>워글</t>
        </is>
      </c>
      <c r="F2119" s="18" t="inlineStr">
        <is>
          <t>braviary</t>
        </is>
      </c>
      <c r="G2119" s="18" t="inlineStr">
        <is>
          <t>braviary</t>
        </is>
      </c>
      <c r="H2119" s="18" t="inlineStr"/>
      <c r="I2119" s="18" t="n">
        <v>5</v>
      </c>
      <c r="J2119" s="18" t="n"/>
      <c r="K2119" s="18" t="n">
        <v>5</v>
      </c>
      <c r="L2119" s="18" t="inlineStr">
        <is>
          <t>cobbleventure:generation_5</t>
        </is>
      </c>
      <c r="M2119" s="19" t="inlineStr">
        <is>
          <t>cobbleventure:generation_5</t>
        </is>
      </c>
      <c r="N2119" s="18" t="inlineStr"/>
      <c r="O2119" s="19" t="inlineStr"/>
      <c r="P2119" s="18" t="inlineStr">
        <is>
          <t>#cobblemon:is_sky</t>
        </is>
      </c>
      <c r="Q2119" s="19" t="inlineStr"/>
      <c r="R2119" s="18">
        <f>IF(Q2119="",P2119,Q2119)</f>
        <v/>
      </c>
      <c r="S2119" s="18" t="inlineStr"/>
      <c r="T2119" s="18" t="inlineStr">
        <is>
          <t>common</t>
        </is>
      </c>
      <c r="U2119" s="20" t="n">
        <v>1</v>
      </c>
      <c r="V2119" s="21" t="n">
        <v>1</v>
      </c>
      <c r="W2119" s="20">
        <f>IF(OR(U2119="",V2119=""),U2119,U2119*V2119)</f>
        <v/>
      </c>
      <c r="X2119" s="18" t="inlineStr">
        <is>
          <t>54-59</t>
        </is>
      </c>
      <c r="Y2119" s="19" t="inlineStr"/>
      <c r="Z2119" s="18">
        <f>IF(Y2119="",X2119,Y2119)</f>
        <v/>
      </c>
      <c r="AA2119" s="18" t="inlineStr">
        <is>
          <t>grounded</t>
        </is>
      </c>
      <c r="AB2119" s="18" t="inlineStr">
        <is>
          <t>day</t>
        </is>
      </c>
      <c r="AC2119" s="18" t="inlineStr"/>
      <c r="AD2119" s="18" t="inlineStr"/>
      <c r="AE2119" s="18" t="inlineStr">
        <is>
          <t>sky 8-15</t>
        </is>
      </c>
      <c r="AF2119" s="18" t="inlineStr"/>
      <c r="AG2119" s="18" t="inlineStr"/>
      <c r="AH2119" s="18" t="inlineStr"/>
      <c r="AI2119" s="18" t="inlineStr"/>
      <c r="AJ2119" s="18" t="inlineStr">
        <is>
          <t>Cobblemon 동일</t>
        </is>
      </c>
      <c r="AK2119" s="18" t="inlineStr">
        <is>
          <t>사용</t>
        </is>
      </c>
      <c r="AL2119" s="18" t="inlineStr">
        <is>
          <t>COBBLEVERSE 1.7.42 / DP v31</t>
        </is>
      </c>
      <c r="AM2119" s="18" t="inlineStr">
        <is>
          <t>data/cobblemon/spawn_pool_world/0628_braviary.json</t>
        </is>
      </c>
      <c r="AN2119" s="18" t="inlineStr">
        <is>
          <t>braviary-2</t>
        </is>
      </c>
      <c r="AO2119" s="18" t="inlineStr">
        <is>
          <t>pokemon</t>
        </is>
      </c>
      <c r="AP2119" s="18" t="inlineStr">
        <is>
          <t>natural; treetop; wild</t>
        </is>
      </c>
      <c r="AQ2119" s="18" t="inlineStr">
        <is>
          <t>{"biomes":["#cobblemon:is_sky"],"maxSkyLight":15,"minSkyLight":8,"timeRange":"day"}</t>
        </is>
      </c>
      <c r="AR2119" s="18" t="inlineStr"/>
      <c r="AS2119" s="18" t="inlineStr"/>
      <c r="AT2119" s="19" t="inlineStr"/>
    </row>
    <row r="2120" ht="32" customHeight="1">
      <c r="A2120" s="18" t="inlineStr">
        <is>
          <t>0628_braviary.json::braviary-hisuian-5::003</t>
        </is>
      </c>
      <c r="B2120" s="19" t="inlineStr">
        <is>
          <t>사용</t>
        </is>
      </c>
      <c r="C2120" s="18">
        <f>IF(OR(B2120&lt;&gt;AK2120,M2120&lt;&gt;L2120,O2120&lt;&gt;"",Q2120&lt;&gt;"",V2120&lt;&gt;1,Y2120&lt;&gt;"",AT2120&lt;&gt;""),"수정","원본")</f>
        <v/>
      </c>
      <c r="D2120" s="18" t="n">
        <v>628</v>
      </c>
      <c r="E2120" s="18" t="inlineStr">
        <is>
          <t>워글</t>
        </is>
      </c>
      <c r="F2120" s="18" t="inlineStr">
        <is>
          <t>braviary</t>
        </is>
      </c>
      <c r="G2120" s="18" t="inlineStr">
        <is>
          <t>braviary hisuian</t>
        </is>
      </c>
      <c r="H2120" s="18" t="inlineStr">
        <is>
          <t>hisuian</t>
        </is>
      </c>
      <c r="I2120" s="18" t="n">
        <v>5</v>
      </c>
      <c r="J2120" s="18" t="n">
        <v>8</v>
      </c>
      <c r="K2120" s="18" t="n">
        <v>8</v>
      </c>
      <c r="L2120" s="18" t="inlineStr">
        <is>
          <t>cobbleventure:generation_8</t>
        </is>
      </c>
      <c r="M2120" s="19" t="inlineStr">
        <is>
          <t>cobbleventure:generation_8</t>
        </is>
      </c>
      <c r="N2120" s="18" t="inlineStr"/>
      <c r="O2120" s="19" t="inlineStr"/>
      <c r="P2120" s="18" t="inlineStr">
        <is>
          <t>#cobblemon:is_mountain</t>
        </is>
      </c>
      <c r="Q2120" s="19" t="inlineStr"/>
      <c r="R2120" s="18">
        <f>IF(Q2120="",P2120,Q2120)</f>
        <v/>
      </c>
      <c r="S2120" s="18" t="inlineStr">
        <is>
          <t>#cobblemon:is_badlands; #cobblemon:is_hills; #cobblemon:is_volcanic</t>
        </is>
      </c>
      <c r="T2120" s="18" t="inlineStr">
        <is>
          <t>uncommon</t>
        </is>
      </c>
      <c r="U2120" s="20" t="n">
        <v>1.6</v>
      </c>
      <c r="V2120" s="21" t="n">
        <v>1</v>
      </c>
      <c r="W2120" s="20">
        <f>IF(OR(U2120="",V2120=""),U2120,U2120*V2120)</f>
        <v/>
      </c>
      <c r="X2120" s="18" t="inlineStr">
        <is>
          <t>54-59</t>
        </is>
      </c>
      <c r="Y2120" s="19" t="inlineStr"/>
      <c r="Z2120" s="18">
        <f>IF(Y2120="",X2120,Y2120)</f>
        <v/>
      </c>
      <c r="AA2120" s="18" t="inlineStr">
        <is>
          <t>grounded</t>
        </is>
      </c>
      <c r="AB2120" s="18" t="inlineStr"/>
      <c r="AC2120" s="18" t="inlineStr"/>
      <c r="AD2120" s="18" t="inlineStr"/>
      <c r="AE2120" s="18" t="inlineStr">
        <is>
          <t>sky 8-15</t>
        </is>
      </c>
      <c r="AF2120" s="18" t="inlineStr"/>
      <c r="AG2120" s="18" t="inlineStr"/>
      <c r="AH2120" s="18" t="inlineStr"/>
      <c r="AI2120" s="18" t="inlineStr"/>
      <c r="AJ2120" s="18" t="inlineStr">
        <is>
          <t>Cobblemon 동일</t>
        </is>
      </c>
      <c r="AK2120" s="18" t="inlineStr">
        <is>
          <t>사용</t>
        </is>
      </c>
      <c r="AL2120" s="18" t="inlineStr">
        <is>
          <t>COBBLEVERSE 1.7.42 / DP v31</t>
        </is>
      </c>
      <c r="AM2120" s="18" t="inlineStr">
        <is>
          <t>data/cobblemon/spawn_pool_world/0628_braviary.json</t>
        </is>
      </c>
      <c r="AN2120" s="18" t="inlineStr">
        <is>
          <t>braviary-hisuian-5</t>
        </is>
      </c>
      <c r="AO2120" s="18" t="inlineStr">
        <is>
          <t>pokemon</t>
        </is>
      </c>
      <c r="AP2120" s="18" t="inlineStr">
        <is>
          <t>natural; treetop; wild</t>
        </is>
      </c>
      <c r="AQ2120" s="18" t="inlineStr">
        <is>
          <t>{"biomes":["#cobblemon:is_mountain"],"maxSkyLight":15,"minSkyLight":8}</t>
        </is>
      </c>
      <c r="AR2120" s="18" t="inlineStr">
        <is>
          <t>{"biomes":["#cobblemon:is_badlands","#cobblemon:is_hills","#cobblemon:is_volcanic"]}</t>
        </is>
      </c>
      <c r="AS2120" s="18" t="inlineStr">
        <is>
          <t>{"weightMultiplier":{"condition":{"timeRange":"night"},"multiplier":0.25}}</t>
        </is>
      </c>
      <c r="AT2120" s="19" t="inlineStr"/>
    </row>
    <row r="2121" ht="32" customHeight="1">
      <c r="A2121" s="18" t="inlineStr">
        <is>
          <t>0628_braviary.json::braviary-hisuian-6::004</t>
        </is>
      </c>
      <c r="B2121" s="19" t="inlineStr">
        <is>
          <t>사용</t>
        </is>
      </c>
      <c r="C2121" s="18">
        <f>IF(OR(B2121&lt;&gt;AK2121,M2121&lt;&gt;L2121,O2121&lt;&gt;"",Q2121&lt;&gt;"",V2121&lt;&gt;1,Y2121&lt;&gt;"",AT2121&lt;&gt;""),"수정","원본")</f>
        <v/>
      </c>
      <c r="D2121" s="18" t="n">
        <v>628</v>
      </c>
      <c r="E2121" s="18" t="inlineStr">
        <is>
          <t>워글</t>
        </is>
      </c>
      <c r="F2121" s="18" t="inlineStr">
        <is>
          <t>braviary</t>
        </is>
      </c>
      <c r="G2121" s="18" t="inlineStr">
        <is>
          <t>braviary hisuian</t>
        </is>
      </c>
      <c r="H2121" s="18" t="inlineStr">
        <is>
          <t>hisuian</t>
        </is>
      </c>
      <c r="I2121" s="18" t="n">
        <v>5</v>
      </c>
      <c r="J2121" s="18" t="n">
        <v>8</v>
      </c>
      <c r="K2121" s="18" t="n">
        <v>8</v>
      </c>
      <c r="L2121" s="18" t="inlineStr">
        <is>
          <t>cobbleventure:generation_8</t>
        </is>
      </c>
      <c r="M2121" s="19" t="inlineStr">
        <is>
          <t>cobbleventure:generation_8</t>
        </is>
      </c>
      <c r="N2121" s="18" t="inlineStr"/>
      <c r="O2121" s="19" t="inlineStr"/>
      <c r="P2121" s="18" t="inlineStr">
        <is>
          <t>#cobblemon:is_sky</t>
        </is>
      </c>
      <c r="Q2121" s="19" t="inlineStr"/>
      <c r="R2121" s="18">
        <f>IF(Q2121="",P2121,Q2121)</f>
        <v/>
      </c>
      <c r="S2121" s="18" t="inlineStr"/>
      <c r="T2121" s="18" t="inlineStr">
        <is>
          <t>common</t>
        </is>
      </c>
      <c r="U2121" s="20" t="n">
        <v>1</v>
      </c>
      <c r="V2121" s="21" t="n">
        <v>1</v>
      </c>
      <c r="W2121" s="20">
        <f>IF(OR(U2121="",V2121=""),U2121,U2121*V2121)</f>
        <v/>
      </c>
      <c r="X2121" s="18" t="inlineStr">
        <is>
          <t>54-59</t>
        </is>
      </c>
      <c r="Y2121" s="19" t="inlineStr"/>
      <c r="Z2121" s="18">
        <f>IF(Y2121="",X2121,Y2121)</f>
        <v/>
      </c>
      <c r="AA2121" s="18" t="inlineStr">
        <is>
          <t>grounded</t>
        </is>
      </c>
      <c r="AB2121" s="18" t="inlineStr"/>
      <c r="AC2121" s="18" t="inlineStr"/>
      <c r="AD2121" s="18" t="inlineStr"/>
      <c r="AE2121" s="18" t="inlineStr">
        <is>
          <t>sky 8-15</t>
        </is>
      </c>
      <c r="AF2121" s="18" t="inlineStr"/>
      <c r="AG2121" s="18" t="inlineStr"/>
      <c r="AH2121" s="18" t="inlineStr"/>
      <c r="AI2121" s="18" t="inlineStr"/>
      <c r="AJ2121" s="18" t="inlineStr">
        <is>
          <t>Cobblemon 동일</t>
        </is>
      </c>
      <c r="AK2121" s="18" t="inlineStr">
        <is>
          <t>사용</t>
        </is>
      </c>
      <c r="AL2121" s="18" t="inlineStr">
        <is>
          <t>COBBLEVERSE 1.7.42 / DP v31</t>
        </is>
      </c>
      <c r="AM2121" s="18" t="inlineStr">
        <is>
          <t>data/cobblemon/spawn_pool_world/0628_braviary.json</t>
        </is>
      </c>
      <c r="AN2121" s="18" t="inlineStr">
        <is>
          <t>braviary-hisuian-6</t>
        </is>
      </c>
      <c r="AO2121" s="18" t="inlineStr">
        <is>
          <t>pokemon</t>
        </is>
      </c>
      <c r="AP2121" s="18" t="inlineStr">
        <is>
          <t>natural; treetop; wild</t>
        </is>
      </c>
      <c r="AQ2121" s="18" t="inlineStr">
        <is>
          <t>{"biomes":["#cobblemon:is_sky"],"maxSkyLight":15,"minSkyLight":8}</t>
        </is>
      </c>
      <c r="AR2121" s="18" t="inlineStr"/>
      <c r="AS2121" s="18" t="inlineStr">
        <is>
          <t>{"weightMultiplier":{"condition":{"timeRange":"night"},"multiplier":0.25}}</t>
        </is>
      </c>
      <c r="AT2121" s="19" t="inlineStr"/>
    </row>
    <row r="2122" ht="32" customHeight="1">
      <c r="A2122" s="18" t="inlineStr">
        <is>
          <t>0629_vullaby.json::vullaby-1::001</t>
        </is>
      </c>
      <c r="B2122" s="19" t="inlineStr">
        <is>
          <t>사용</t>
        </is>
      </c>
      <c r="C2122" s="18">
        <f>IF(OR(B2122&lt;&gt;AK2122,M2122&lt;&gt;L2122,O2122&lt;&gt;"",Q2122&lt;&gt;"",V2122&lt;&gt;1,Y2122&lt;&gt;"",AT2122&lt;&gt;""),"수정","원본")</f>
        <v/>
      </c>
      <c r="D2122" s="18" t="n">
        <v>629</v>
      </c>
      <c r="E2122" s="18" t="inlineStr">
        <is>
          <t>벌차이</t>
        </is>
      </c>
      <c r="F2122" s="18" t="inlineStr">
        <is>
          <t>vullaby</t>
        </is>
      </c>
      <c r="G2122" s="18" t="inlineStr">
        <is>
          <t>vullaby</t>
        </is>
      </c>
      <c r="H2122" s="18" t="inlineStr"/>
      <c r="I2122" s="18" t="n">
        <v>5</v>
      </c>
      <c r="J2122" s="18" t="n"/>
      <c r="K2122" s="18" t="n">
        <v>5</v>
      </c>
      <c r="L2122" s="18" t="inlineStr">
        <is>
          <t>cobbleventure:generation_5</t>
        </is>
      </c>
      <c r="M2122" s="19" t="inlineStr">
        <is>
          <t>cobbleventure:generation_5</t>
        </is>
      </c>
      <c r="N2122" s="18" t="inlineStr">
        <is>
          <t>region_02</t>
        </is>
      </c>
      <c r="O2122" s="19" t="inlineStr"/>
      <c r="P2122" s="18" t="inlineStr">
        <is>
          <t>#cobblemon:is_badlands; #cobblemon:is_desert</t>
        </is>
      </c>
      <c r="Q2122" s="19" t="inlineStr"/>
      <c r="R2122" s="18">
        <f>IF(Q2122="",P2122,Q2122)</f>
        <v/>
      </c>
      <c r="S2122" s="18" t="inlineStr"/>
      <c r="T2122" s="18" t="inlineStr">
        <is>
          <t>common</t>
        </is>
      </c>
      <c r="U2122" s="20" t="n">
        <v>3.5</v>
      </c>
      <c r="V2122" s="21" t="n">
        <v>1</v>
      </c>
      <c r="W2122" s="20">
        <f>IF(OR(U2122="",V2122=""),U2122,U2122*V2122)</f>
        <v/>
      </c>
      <c r="X2122" s="18" t="inlineStr">
        <is>
          <t>15-44</t>
        </is>
      </c>
      <c r="Y2122" s="19" t="inlineStr"/>
      <c r="Z2122" s="18">
        <f>IF(Y2122="",X2122,Y2122)</f>
        <v/>
      </c>
      <c r="AA2122" s="18" t="inlineStr"/>
      <c r="AB2122" s="18" t="inlineStr"/>
      <c r="AC2122" s="18" t="inlineStr"/>
      <c r="AD2122" s="18" t="inlineStr"/>
      <c r="AE2122" s="18" t="inlineStr"/>
      <c r="AF2122" s="18" t="inlineStr">
        <is>
          <t>True</t>
        </is>
      </c>
      <c r="AG2122" s="18" t="inlineStr"/>
      <c r="AH2122" s="18" t="inlineStr"/>
      <c r="AI2122" s="18" t="inlineStr">
        <is>
          <t>{"spawn":{"context":"grounded"}}</t>
        </is>
      </c>
      <c r="AJ2122" s="18" t="inlineStr">
        <is>
          <t>COBBLEVERSE 추가</t>
        </is>
      </c>
      <c r="AK2122" s="18" t="inlineStr">
        <is>
          <t>사용</t>
        </is>
      </c>
      <c r="AL2122" s="18" t="inlineStr">
        <is>
          <t>COBBLEVERSE 1.7.42 / DP v31</t>
        </is>
      </c>
      <c r="AM2122" s="18" t="inlineStr">
        <is>
          <t>data/cobblemon/spawn_pool_world/0629_vullaby.json</t>
        </is>
      </c>
      <c r="AN2122" s="18" t="inlineStr">
        <is>
          <t>vullaby-1</t>
        </is>
      </c>
      <c r="AO2122" s="18" t="inlineStr">
        <is>
          <t>pokemon</t>
        </is>
      </c>
      <c r="AP2122" s="18" t="inlineStr">
        <is>
          <t>natural</t>
        </is>
      </c>
      <c r="AQ2122" s="18" t="inlineStr">
        <is>
          <t>{"biomes":["#cobblemon:is_badlands","#cobblemon:is_desert"],"canSeeSky":true}</t>
        </is>
      </c>
      <c r="AR2122" s="18" t="inlineStr"/>
      <c r="AS2122" s="18" t="inlineStr"/>
      <c r="AT2122" s="19" t="inlineStr"/>
    </row>
    <row r="2123" ht="32" customHeight="1">
      <c r="A2123" s="18" t="inlineStr">
        <is>
          <t>0630_mandibuzz.json::mandibuzz-1::001</t>
        </is>
      </c>
      <c r="B2123" s="19" t="inlineStr">
        <is>
          <t>사용</t>
        </is>
      </c>
      <c r="C2123" s="18">
        <f>IF(OR(B2123&lt;&gt;AK2123,M2123&lt;&gt;L2123,O2123&lt;&gt;"",Q2123&lt;&gt;"",V2123&lt;&gt;1,Y2123&lt;&gt;"",AT2123&lt;&gt;""),"수정","원본")</f>
        <v/>
      </c>
      <c r="D2123" s="18" t="n">
        <v>630</v>
      </c>
      <c r="E2123" s="18" t="inlineStr">
        <is>
          <t>버랜지나</t>
        </is>
      </c>
      <c r="F2123" s="18" t="inlineStr">
        <is>
          <t>mandibuzz</t>
        </is>
      </c>
      <c r="G2123" s="18" t="inlineStr">
        <is>
          <t>mandibuzz</t>
        </is>
      </c>
      <c r="H2123" s="18" t="inlineStr"/>
      <c r="I2123" s="18" t="n">
        <v>5</v>
      </c>
      <c r="J2123" s="18" t="n"/>
      <c r="K2123" s="18" t="n">
        <v>5</v>
      </c>
      <c r="L2123" s="18" t="inlineStr">
        <is>
          <t>cobbleventure:generation_5</t>
        </is>
      </c>
      <c r="M2123" s="19" t="inlineStr">
        <is>
          <t>cobbleventure:generation_5</t>
        </is>
      </c>
      <c r="N2123" s="18" t="inlineStr">
        <is>
          <t>region_02</t>
        </is>
      </c>
      <c r="O2123" s="19" t="inlineStr"/>
      <c r="P2123" s="18" t="inlineStr">
        <is>
          <t>#cobblemon:is_badlands; #cobblemon:is_desert</t>
        </is>
      </c>
      <c r="Q2123" s="19" t="inlineStr"/>
      <c r="R2123" s="18">
        <f>IF(Q2123="",P2123,Q2123)</f>
        <v/>
      </c>
      <c r="S2123" s="18" t="inlineStr"/>
      <c r="T2123" s="18" t="inlineStr">
        <is>
          <t>uncommon</t>
        </is>
      </c>
      <c r="U2123" s="20" t="n">
        <v>1.7</v>
      </c>
      <c r="V2123" s="21" t="n">
        <v>1</v>
      </c>
      <c r="W2123" s="20">
        <f>IF(OR(U2123="",V2123=""),U2123,U2123*V2123)</f>
        <v/>
      </c>
      <c r="X2123" s="18" t="inlineStr">
        <is>
          <t>54-72</t>
        </is>
      </c>
      <c r="Y2123" s="19" t="inlineStr"/>
      <c r="Z2123" s="18">
        <f>IF(Y2123="",X2123,Y2123)</f>
        <v/>
      </c>
      <c r="AA2123" s="18" t="inlineStr">
        <is>
          <t>grounded</t>
        </is>
      </c>
      <c r="AB2123" s="18" t="inlineStr"/>
      <c r="AC2123" s="18" t="inlineStr"/>
      <c r="AD2123" s="18" t="inlineStr"/>
      <c r="AE2123" s="18" t="inlineStr"/>
      <c r="AF2123" s="18" t="inlineStr">
        <is>
          <t>True</t>
        </is>
      </c>
      <c r="AG2123" s="18" t="inlineStr"/>
      <c r="AH2123" s="18" t="inlineStr"/>
      <c r="AI2123" s="18" t="inlineStr"/>
      <c r="AJ2123" s="18" t="inlineStr">
        <is>
          <t>COBBLEVERSE 추가</t>
        </is>
      </c>
      <c r="AK2123" s="18" t="inlineStr">
        <is>
          <t>사용</t>
        </is>
      </c>
      <c r="AL2123" s="18" t="inlineStr">
        <is>
          <t>COBBLEVERSE 1.7.42 / DP v31</t>
        </is>
      </c>
      <c r="AM2123" s="18" t="inlineStr">
        <is>
          <t>data/cobblemon/spawn_pool_world/0630_mandibuzz.json</t>
        </is>
      </c>
      <c r="AN2123" s="18" t="inlineStr">
        <is>
          <t>mandibuzz-1</t>
        </is>
      </c>
      <c r="AO2123" s="18" t="inlineStr">
        <is>
          <t>pokemon</t>
        </is>
      </c>
      <c r="AP2123" s="18" t="inlineStr">
        <is>
          <t>natural</t>
        </is>
      </c>
      <c r="AQ2123" s="18" t="inlineStr">
        <is>
          <t>{"biomes":["#cobblemon:is_badlands","#cobblemon:is_desert"],"canSeeSky":true}</t>
        </is>
      </c>
      <c r="AR2123" s="18" t="inlineStr"/>
      <c r="AS2123" s="18" t="inlineStr"/>
      <c r="AT2123" s="19" t="inlineStr"/>
    </row>
    <row r="2124" ht="32" customHeight="1">
      <c r="A2124" s="18" t="inlineStr">
        <is>
          <t>0631_heatmor.json::heatmor-1::001</t>
        </is>
      </c>
      <c r="B2124" s="19" t="inlineStr">
        <is>
          <t>사용</t>
        </is>
      </c>
      <c r="C2124" s="18">
        <f>IF(OR(B2124&lt;&gt;AK2124,M2124&lt;&gt;L2124,O2124&lt;&gt;"",Q2124&lt;&gt;"",V2124&lt;&gt;1,Y2124&lt;&gt;"",AT2124&lt;&gt;""),"수정","원본")</f>
        <v/>
      </c>
      <c r="D2124" s="18" t="n">
        <v>631</v>
      </c>
      <c r="E2124" s="18" t="inlineStr">
        <is>
          <t>앤티골</t>
        </is>
      </c>
      <c r="F2124" s="18" t="inlineStr">
        <is>
          <t>heatmor</t>
        </is>
      </c>
      <c r="G2124" s="18" t="inlineStr">
        <is>
          <t>heatmor</t>
        </is>
      </c>
      <c r="H2124" s="18" t="inlineStr"/>
      <c r="I2124" s="18" t="n">
        <v>5</v>
      </c>
      <c r="J2124" s="18" t="n"/>
      <c r="K2124" s="18" t="n">
        <v>5</v>
      </c>
      <c r="L2124" s="18" t="inlineStr">
        <is>
          <t>cobbleventure:generation_5</t>
        </is>
      </c>
      <c r="M2124" s="19" t="inlineStr">
        <is>
          <t>cobbleventure:generation_5</t>
        </is>
      </c>
      <c r="N2124" s="18" t="inlineStr"/>
      <c r="O2124" s="19" t="inlineStr"/>
      <c r="P2124" s="18" t="inlineStr">
        <is>
          <t>#cobblemon:is_badlands; #cobblemon:is_hills</t>
        </is>
      </c>
      <c r="Q2124" s="19" t="inlineStr"/>
      <c r="R2124" s="18">
        <f>IF(Q2124="",P2124,Q2124)</f>
        <v/>
      </c>
      <c r="S2124" s="18" t="inlineStr"/>
      <c r="T2124" s="18" t="inlineStr">
        <is>
          <t>uncommon</t>
        </is>
      </c>
      <c r="U2124" s="20" t="n">
        <v>6</v>
      </c>
      <c r="V2124" s="21" t="n">
        <v>1</v>
      </c>
      <c r="W2124" s="20">
        <f>IF(OR(U2124="",V2124=""),U2124,U2124*V2124)</f>
        <v/>
      </c>
      <c r="X2124" s="18" t="inlineStr">
        <is>
          <t>23-48</t>
        </is>
      </c>
      <c r="Y2124" s="19" t="inlineStr"/>
      <c r="Z2124" s="18">
        <f>IF(Y2124="",X2124,Y2124)</f>
        <v/>
      </c>
      <c r="AA2124" s="18" t="inlineStr">
        <is>
          <t>grounded</t>
        </is>
      </c>
      <c r="AB2124" s="18" t="inlineStr"/>
      <c r="AC2124" s="18" t="inlineStr"/>
      <c r="AD2124" s="18" t="inlineStr"/>
      <c r="AE2124" s="18" t="inlineStr">
        <is>
          <t>sky 8-15</t>
        </is>
      </c>
      <c r="AF2124" s="18" t="inlineStr"/>
      <c r="AG2124" s="18" t="inlineStr"/>
      <c r="AH2124" s="18" t="inlineStr"/>
      <c r="AI2124" s="18" t="inlineStr"/>
      <c r="AJ2124" s="18" t="inlineStr">
        <is>
          <t>Cobblemon 동일</t>
        </is>
      </c>
      <c r="AK2124" s="18" t="inlineStr">
        <is>
          <t>사용</t>
        </is>
      </c>
      <c r="AL2124" s="18" t="inlineStr">
        <is>
          <t>COBBLEVERSE 1.7.42 / DP v31</t>
        </is>
      </c>
      <c r="AM2124" s="18" t="inlineStr">
        <is>
          <t>data/cobblemon/spawn_pool_world/0631_heatmor.json</t>
        </is>
      </c>
      <c r="AN2124" s="18" t="inlineStr">
        <is>
          <t>heatmor-1</t>
        </is>
      </c>
      <c r="AO2124" s="18" t="inlineStr">
        <is>
          <t>pokemon</t>
        </is>
      </c>
      <c r="AP2124" s="18" t="inlineStr">
        <is>
          <t>natural; wild</t>
        </is>
      </c>
      <c r="AQ2124" s="18" t="inlineStr">
        <is>
          <t>{"biomes":["#cobblemon:is_badlands","#cobblemon:is_hills"],"maxSkyLight":15,"minSkyLight":8}</t>
        </is>
      </c>
      <c r="AR2124" s="18" t="inlineStr"/>
      <c r="AS2124" s="18" t="inlineStr">
        <is>
          <t>{"weightMultiplier":{"condition":{"timeRange":"night"},"multiplier":0.25}}</t>
        </is>
      </c>
      <c r="AT2124" s="19" t="inlineStr"/>
    </row>
    <row r="2125" ht="32" customHeight="1">
      <c r="A2125" s="18" t="inlineStr">
        <is>
          <t>0631_heatmor.json::heatmor-2::002</t>
        </is>
      </c>
      <c r="B2125" s="19" t="inlineStr">
        <is>
          <t>사용</t>
        </is>
      </c>
      <c r="C2125" s="18">
        <f>IF(OR(B2125&lt;&gt;AK2125,M2125&lt;&gt;L2125,O2125&lt;&gt;"",Q2125&lt;&gt;"",V2125&lt;&gt;1,Y2125&lt;&gt;"",AT2125&lt;&gt;""),"수정","원본")</f>
        <v/>
      </c>
      <c r="D2125" s="18" t="n">
        <v>631</v>
      </c>
      <c r="E2125" s="18" t="inlineStr">
        <is>
          <t>앤티골</t>
        </is>
      </c>
      <c r="F2125" s="18" t="inlineStr">
        <is>
          <t>heatmor</t>
        </is>
      </c>
      <c r="G2125" s="18" t="inlineStr">
        <is>
          <t>heatmor</t>
        </is>
      </c>
      <c r="H2125" s="18" t="inlineStr"/>
      <c r="I2125" s="18" t="n">
        <v>5</v>
      </c>
      <c r="J2125" s="18" t="n"/>
      <c r="K2125" s="18" t="n">
        <v>5</v>
      </c>
      <c r="L2125" s="18" t="inlineStr">
        <is>
          <t>cobbleventure:generation_5</t>
        </is>
      </c>
      <c r="M2125" s="19" t="inlineStr">
        <is>
          <t>cobbleventure:generation_5</t>
        </is>
      </c>
      <c r="N2125" s="18" t="inlineStr"/>
      <c r="O2125" s="19" t="inlineStr"/>
      <c r="P2125" s="18" t="inlineStr">
        <is>
          <t>#cobblemon:nether/is_mountain</t>
        </is>
      </c>
      <c r="Q2125" s="19" t="inlineStr"/>
      <c r="R2125" s="18">
        <f>IF(Q2125="",P2125,Q2125)</f>
        <v/>
      </c>
      <c r="S2125" s="18" t="inlineStr"/>
      <c r="T2125" s="18" t="inlineStr">
        <is>
          <t>common</t>
        </is>
      </c>
      <c r="U2125" s="20" t="n">
        <v>2</v>
      </c>
      <c r="V2125" s="21" t="n">
        <v>1</v>
      </c>
      <c r="W2125" s="20">
        <f>IF(OR(U2125="",V2125=""),U2125,U2125*V2125)</f>
        <v/>
      </c>
      <c r="X2125" s="18" t="inlineStr">
        <is>
          <t>23-48</t>
        </is>
      </c>
      <c r="Y2125" s="19" t="inlineStr"/>
      <c r="Z2125" s="18">
        <f>IF(Y2125="",X2125,Y2125)</f>
        <v/>
      </c>
      <c r="AA2125" s="18" t="inlineStr">
        <is>
          <t>grounded</t>
        </is>
      </c>
      <c r="AB2125" s="18" t="inlineStr"/>
      <c r="AC2125" s="18" t="inlineStr"/>
      <c r="AD2125" s="18" t="inlineStr"/>
      <c r="AE2125" s="18" t="inlineStr"/>
      <c r="AF2125" s="18" t="inlineStr"/>
      <c r="AG2125" s="18" t="inlineStr"/>
      <c r="AH2125" s="18" t="inlineStr"/>
      <c r="AI2125" s="18" t="inlineStr">
        <is>
          <t>{"spawn":{"drops":{"amount":3,"entries":[{"item":"cobblemon:flame_orb","percentage":5.0},{"item":"minecraft:blaze_powder","percentage":10.0},{"item":"cobblemon:rawst_berry","percentage":5.0}]}}}</t>
        </is>
      </c>
      <c r="AJ2125" s="18" t="inlineStr">
        <is>
          <t>Cobblemon 동일</t>
        </is>
      </c>
      <c r="AK2125" s="18" t="inlineStr">
        <is>
          <t>사용</t>
        </is>
      </c>
      <c r="AL2125" s="18" t="inlineStr">
        <is>
          <t>COBBLEVERSE 1.7.42 / DP v31</t>
        </is>
      </c>
      <c r="AM2125" s="18" t="inlineStr">
        <is>
          <t>data/cobblemon/spawn_pool_world/0631_heatmor.json</t>
        </is>
      </c>
      <c r="AN2125" s="18" t="inlineStr">
        <is>
          <t>heatmor-2</t>
        </is>
      </c>
      <c r="AO2125" s="18" t="inlineStr">
        <is>
          <t>pokemon</t>
        </is>
      </c>
      <c r="AP2125" s="18" t="inlineStr">
        <is>
          <t>natural; wild</t>
        </is>
      </c>
      <c r="AQ2125" s="18" t="inlineStr">
        <is>
          <t>{"biomes":["#cobblemon:nether/is_mountain"]}</t>
        </is>
      </c>
      <c r="AR2125" s="18" t="inlineStr"/>
      <c r="AS2125" s="18" t="inlineStr"/>
      <c r="AT2125" s="19" t="inlineStr"/>
    </row>
    <row r="2126" ht="32" customHeight="1">
      <c r="A2126" s="18" t="inlineStr">
        <is>
          <t>0632_durant.json::durant-1::001</t>
        </is>
      </c>
      <c r="B2126" s="19" t="inlineStr">
        <is>
          <t>사용</t>
        </is>
      </c>
      <c r="C2126" s="18">
        <f>IF(OR(B2126&lt;&gt;AK2126,M2126&lt;&gt;L2126,O2126&lt;&gt;"",Q2126&lt;&gt;"",V2126&lt;&gt;1,Y2126&lt;&gt;"",AT2126&lt;&gt;""),"수정","원본")</f>
        <v/>
      </c>
      <c r="D2126" s="18" t="n">
        <v>632</v>
      </c>
      <c r="E2126" s="18" t="inlineStr">
        <is>
          <t>아이앤트</t>
        </is>
      </c>
      <c r="F2126" s="18" t="inlineStr">
        <is>
          <t>durant</t>
        </is>
      </c>
      <c r="G2126" s="18" t="inlineStr">
        <is>
          <t>durant</t>
        </is>
      </c>
      <c r="H2126" s="18" t="inlineStr"/>
      <c r="I2126" s="18" t="n">
        <v>5</v>
      </c>
      <c r="J2126" s="18" t="n"/>
      <c r="K2126" s="18" t="n">
        <v>5</v>
      </c>
      <c r="L2126" s="18" t="inlineStr">
        <is>
          <t>cobbleventure:generation_5</t>
        </is>
      </c>
      <c r="M2126" s="19" t="inlineStr">
        <is>
          <t>cobbleventure:generation_5</t>
        </is>
      </c>
      <c r="N2126" s="18" t="inlineStr"/>
      <c r="O2126" s="19" t="inlineStr"/>
      <c r="P2126" s="18" t="inlineStr">
        <is>
          <t>#cobblemon:is_badlands; #cobblemon:is_hills</t>
        </is>
      </c>
      <c r="Q2126" s="19" t="inlineStr"/>
      <c r="R2126" s="18">
        <f>IF(Q2126="",P2126,Q2126)</f>
        <v/>
      </c>
      <c r="S2126" s="18" t="inlineStr"/>
      <c r="T2126" s="18" t="inlineStr">
        <is>
          <t>common</t>
        </is>
      </c>
      <c r="U2126" s="20" t="n">
        <v>2</v>
      </c>
      <c r="V2126" s="21" t="n">
        <v>1</v>
      </c>
      <c r="W2126" s="20">
        <f>IF(OR(U2126="",V2126=""),U2126,U2126*V2126)</f>
        <v/>
      </c>
      <c r="X2126" s="18" t="inlineStr">
        <is>
          <t>23-48</t>
        </is>
      </c>
      <c r="Y2126" s="19" t="inlineStr"/>
      <c r="Z2126" s="18">
        <f>IF(Y2126="",X2126,Y2126)</f>
        <v/>
      </c>
      <c r="AA2126" s="18" t="inlineStr">
        <is>
          <t>grounded</t>
        </is>
      </c>
      <c r="AB2126" s="18" t="inlineStr"/>
      <c r="AC2126" s="18" t="inlineStr"/>
      <c r="AD2126" s="18" t="inlineStr"/>
      <c r="AE2126" s="18" t="inlineStr">
        <is>
          <t>sky 8-15</t>
        </is>
      </c>
      <c r="AF2126" s="18" t="inlineStr"/>
      <c r="AG2126" s="18" t="inlineStr"/>
      <c r="AH2126" s="18" t="inlineStr"/>
      <c r="AI2126" s="18" t="inlineStr"/>
      <c r="AJ2126" s="18" t="inlineStr">
        <is>
          <t>Cobblemon 동일</t>
        </is>
      </c>
      <c r="AK2126" s="18" t="inlineStr">
        <is>
          <t>사용</t>
        </is>
      </c>
      <c r="AL2126" s="18" t="inlineStr">
        <is>
          <t>COBBLEVERSE 1.7.42 / DP v31</t>
        </is>
      </c>
      <c r="AM2126" s="18" t="inlineStr">
        <is>
          <t>data/cobblemon/spawn_pool_world/0632_durant.json</t>
        </is>
      </c>
      <c r="AN2126" s="18" t="inlineStr">
        <is>
          <t>durant-1</t>
        </is>
      </c>
      <c r="AO2126" s="18" t="inlineStr">
        <is>
          <t>pokemon</t>
        </is>
      </c>
      <c r="AP2126" s="18" t="inlineStr">
        <is>
          <t>natural</t>
        </is>
      </c>
      <c r="AQ2126" s="18" t="inlineStr">
        <is>
          <t>{"biomes":["#cobblemon:is_badlands","#cobblemon:is_hills"],"maxSkyLight":15,"minSkyLight":8}</t>
        </is>
      </c>
      <c r="AR2126" s="18" t="inlineStr"/>
      <c r="AS2126" s="18" t="inlineStr"/>
      <c r="AT2126" s="19" t="inlineStr"/>
    </row>
    <row r="2127" ht="32" customHeight="1">
      <c r="A2127" s="18" t="inlineStr">
        <is>
          <t>0632_durant.json::durant-2::002</t>
        </is>
      </c>
      <c r="B2127" s="19" t="inlineStr">
        <is>
          <t>사용</t>
        </is>
      </c>
      <c r="C2127" s="18">
        <f>IF(OR(B2127&lt;&gt;AK2127,M2127&lt;&gt;L2127,O2127&lt;&gt;"",Q2127&lt;&gt;"",V2127&lt;&gt;1,Y2127&lt;&gt;"",AT2127&lt;&gt;""),"수정","원본")</f>
        <v/>
      </c>
      <c r="D2127" s="18" t="n">
        <v>632</v>
      </c>
      <c r="E2127" s="18" t="inlineStr">
        <is>
          <t>아이앤트</t>
        </is>
      </c>
      <c r="F2127" s="18" t="inlineStr">
        <is>
          <t>durant</t>
        </is>
      </c>
      <c r="G2127" s="18" t="inlineStr">
        <is>
          <t>durant</t>
        </is>
      </c>
      <c r="H2127" s="18" t="inlineStr"/>
      <c r="I2127" s="18" t="n">
        <v>5</v>
      </c>
      <c r="J2127" s="18" t="n"/>
      <c r="K2127" s="18" t="n">
        <v>5</v>
      </c>
      <c r="L2127" s="18" t="inlineStr">
        <is>
          <t>cobbleventure:generation_5</t>
        </is>
      </c>
      <c r="M2127" s="19" t="inlineStr">
        <is>
          <t>cobbleventure:generation_5</t>
        </is>
      </c>
      <c r="N2127" s="18" t="inlineStr"/>
      <c r="O2127" s="19" t="inlineStr"/>
      <c r="P2127" s="18" t="inlineStr">
        <is>
          <t>#cobblemon:is_badlands; #cobblemon:is_hills</t>
        </is>
      </c>
      <c r="Q2127" s="19" t="inlineStr"/>
      <c r="R2127" s="18">
        <f>IF(Q2127="",P2127,Q2127)</f>
        <v/>
      </c>
      <c r="S2127" s="18" t="inlineStr"/>
      <c r="T2127" s="18" t="inlineStr">
        <is>
          <t>common</t>
        </is>
      </c>
      <c r="U2127" s="20" t="n">
        <v>10</v>
      </c>
      <c r="V2127" s="21" t="n">
        <v>1</v>
      </c>
      <c r="W2127" s="20">
        <f>IF(OR(U2127="",V2127=""),U2127,U2127*V2127)</f>
        <v/>
      </c>
      <c r="X2127" s="18" t="inlineStr">
        <is>
          <t>23-48</t>
        </is>
      </c>
      <c r="Y2127" s="19" t="inlineStr"/>
      <c r="Z2127" s="18">
        <f>IF(Y2127="",X2127,Y2127)</f>
        <v/>
      </c>
      <c r="AA2127" s="18" t="inlineStr">
        <is>
          <t>grounded</t>
        </is>
      </c>
      <c r="AB2127" s="18" t="inlineStr"/>
      <c r="AC2127" s="18" t="inlineStr"/>
      <c r="AD2127" s="18" t="inlineStr"/>
      <c r="AE2127" s="18" t="inlineStr">
        <is>
          <t>sky 0-7</t>
        </is>
      </c>
      <c r="AF2127" s="18" t="inlineStr"/>
      <c r="AG2127" s="18" t="inlineStr"/>
      <c r="AH2127" s="18" t="inlineStr"/>
      <c r="AI2127" s="18" t="inlineStr"/>
      <c r="AJ2127" s="18" t="inlineStr">
        <is>
          <t>Cobblemon 동일</t>
        </is>
      </c>
      <c r="AK2127" s="18" t="inlineStr">
        <is>
          <t>사용</t>
        </is>
      </c>
      <c r="AL2127" s="18" t="inlineStr">
        <is>
          <t>COBBLEVERSE 1.7.42 / DP v31</t>
        </is>
      </c>
      <c r="AM2127" s="18" t="inlineStr">
        <is>
          <t>data/cobblemon/spawn_pool_world/0632_durant.json</t>
        </is>
      </c>
      <c r="AN2127" s="18" t="inlineStr">
        <is>
          <t>durant-2</t>
        </is>
      </c>
      <c r="AO2127" s="18" t="inlineStr">
        <is>
          <t>pokemon</t>
        </is>
      </c>
      <c r="AP2127" s="18" t="inlineStr">
        <is>
          <t>natural</t>
        </is>
      </c>
      <c r="AQ2127" s="18" t="inlineStr">
        <is>
          <t>{"biomes":["#cobblemon:is_badlands","#cobblemon:is_hills"],"maxSkyLight":7,"minSkyLight":0}</t>
        </is>
      </c>
      <c r="AR2127" s="18" t="inlineStr"/>
      <c r="AS2127" s="18" t="inlineStr"/>
      <c r="AT2127" s="19" t="inlineStr"/>
    </row>
    <row r="2128" ht="32" customHeight="1">
      <c r="A2128" s="18" t="inlineStr">
        <is>
          <t>0632_durant.json::durant-3::003</t>
        </is>
      </c>
      <c r="B2128" s="19" t="inlineStr">
        <is>
          <t>사용</t>
        </is>
      </c>
      <c r="C2128" s="18">
        <f>IF(OR(B2128&lt;&gt;AK2128,M2128&lt;&gt;L2128,O2128&lt;&gt;"",Q2128&lt;&gt;"",V2128&lt;&gt;1,Y2128&lt;&gt;"",AT2128&lt;&gt;""),"수정","원본")</f>
        <v/>
      </c>
      <c r="D2128" s="18" t="n">
        <v>632</v>
      </c>
      <c r="E2128" s="18" t="inlineStr">
        <is>
          <t>아이앤트</t>
        </is>
      </c>
      <c r="F2128" s="18" t="inlineStr">
        <is>
          <t>durant</t>
        </is>
      </c>
      <c r="G2128" s="18" t="inlineStr">
        <is>
          <t>durant</t>
        </is>
      </c>
      <c r="H2128" s="18" t="inlineStr"/>
      <c r="I2128" s="18" t="n">
        <v>5</v>
      </c>
      <c r="J2128" s="18" t="n"/>
      <c r="K2128" s="18" t="n">
        <v>5</v>
      </c>
      <c r="L2128" s="18" t="inlineStr">
        <is>
          <t>cobbleventure:generation_5</t>
        </is>
      </c>
      <c r="M2128" s="19" t="inlineStr">
        <is>
          <t>cobbleventure:generation_5</t>
        </is>
      </c>
      <c r="N2128" s="18" t="inlineStr"/>
      <c r="O2128" s="19" t="inlineStr"/>
      <c r="P2128" s="18" t="inlineStr">
        <is>
          <t>#cobblemon:nether/is_mountain</t>
        </is>
      </c>
      <c r="Q2128" s="19" t="inlineStr"/>
      <c r="R2128" s="18">
        <f>IF(Q2128="",P2128,Q2128)</f>
        <v/>
      </c>
      <c r="S2128" s="18" t="inlineStr"/>
      <c r="T2128" s="18" t="inlineStr">
        <is>
          <t>common</t>
        </is>
      </c>
      <c r="U2128" s="20" t="n">
        <v>10</v>
      </c>
      <c r="V2128" s="21" t="n">
        <v>1</v>
      </c>
      <c r="W2128" s="20">
        <f>IF(OR(U2128="",V2128=""),U2128,U2128*V2128)</f>
        <v/>
      </c>
      <c r="X2128" s="18" t="inlineStr">
        <is>
          <t>23-48</t>
        </is>
      </c>
      <c r="Y2128" s="19" t="inlineStr"/>
      <c r="Z2128" s="18">
        <f>IF(Y2128="",X2128,Y2128)</f>
        <v/>
      </c>
      <c r="AA2128" s="18" t="inlineStr">
        <is>
          <t>grounded</t>
        </is>
      </c>
      <c r="AB2128" s="18" t="inlineStr"/>
      <c r="AC2128" s="18" t="inlineStr"/>
      <c r="AD2128" s="18" t="inlineStr"/>
      <c r="AE2128" s="18" t="inlineStr"/>
      <c r="AF2128" s="18" t="inlineStr"/>
      <c r="AG2128" s="18" t="inlineStr"/>
      <c r="AH2128" s="18" t="inlineStr"/>
      <c r="AI2128" s="18" t="inlineStr"/>
      <c r="AJ2128" s="18" t="inlineStr">
        <is>
          <t>Cobblemon 동일</t>
        </is>
      </c>
      <c r="AK2128" s="18" t="inlineStr">
        <is>
          <t>사용</t>
        </is>
      </c>
      <c r="AL2128" s="18" t="inlineStr">
        <is>
          <t>COBBLEVERSE 1.7.42 / DP v31</t>
        </is>
      </c>
      <c r="AM2128" s="18" t="inlineStr">
        <is>
          <t>data/cobblemon/spawn_pool_world/0632_durant.json</t>
        </is>
      </c>
      <c r="AN2128" s="18" t="inlineStr">
        <is>
          <t>durant-3</t>
        </is>
      </c>
      <c r="AO2128" s="18" t="inlineStr">
        <is>
          <t>pokemon</t>
        </is>
      </c>
      <c r="AP2128" s="18" t="inlineStr">
        <is>
          <t>natural</t>
        </is>
      </c>
      <c r="AQ2128" s="18" t="inlineStr">
        <is>
          <t>{"biomes":["#cobblemon:nether/is_mountain"]}</t>
        </is>
      </c>
      <c r="AR2128" s="18" t="inlineStr"/>
      <c r="AS2128" s="18" t="inlineStr"/>
      <c r="AT2128" s="19" t="inlineStr"/>
    </row>
    <row r="2129" ht="32" customHeight="1">
      <c r="A2129" s="18" t="inlineStr">
        <is>
          <t>0633_deino.json::deino-1::001</t>
        </is>
      </c>
      <c r="B2129" s="19" t="inlineStr">
        <is>
          <t>사용</t>
        </is>
      </c>
      <c r="C2129" s="18">
        <f>IF(OR(B2129&lt;&gt;AK2129,M2129&lt;&gt;L2129,O2129&lt;&gt;"",Q2129&lt;&gt;"",V2129&lt;&gt;1,Y2129&lt;&gt;"",AT2129&lt;&gt;""),"수정","원본")</f>
        <v/>
      </c>
      <c r="D2129" s="18" t="n">
        <v>633</v>
      </c>
      <c r="E2129" s="18" t="inlineStr">
        <is>
          <t>모노두</t>
        </is>
      </c>
      <c r="F2129" s="18" t="inlineStr">
        <is>
          <t>deino</t>
        </is>
      </c>
      <c r="G2129" s="18" t="inlineStr">
        <is>
          <t>deino</t>
        </is>
      </c>
      <c r="H2129" s="18" t="inlineStr"/>
      <c r="I2129" s="18" t="n">
        <v>5</v>
      </c>
      <c r="J2129" s="18" t="n"/>
      <c r="K2129" s="18" t="n">
        <v>5</v>
      </c>
      <c r="L2129" s="18" t="inlineStr">
        <is>
          <t>cobbleventure:generation_5</t>
        </is>
      </c>
      <c r="M2129" s="19" t="inlineStr">
        <is>
          <t>cobbleventure:generation_5</t>
        </is>
      </c>
      <c r="N2129" s="18" t="inlineStr"/>
      <c r="O2129" s="19" t="inlineStr"/>
      <c r="P2129" s="18" t="inlineStr">
        <is>
          <t>#cobblemon:is_deep_dark</t>
        </is>
      </c>
      <c r="Q2129" s="19" t="inlineStr"/>
      <c r="R2129" s="18">
        <f>IF(Q2129="",P2129,Q2129)</f>
        <v/>
      </c>
      <c r="S2129" s="18" t="inlineStr"/>
      <c r="T2129" s="18" t="inlineStr">
        <is>
          <t>rare</t>
        </is>
      </c>
      <c r="U2129" s="20" t="n">
        <v>7.5</v>
      </c>
      <c r="V2129" s="21" t="n">
        <v>1</v>
      </c>
      <c r="W2129" s="20">
        <f>IF(OR(U2129="",V2129=""),U2129,U2129*V2129)</f>
        <v/>
      </c>
      <c r="X2129" s="18" t="inlineStr">
        <is>
          <t>5-30</t>
        </is>
      </c>
      <c r="Y2129" s="19" t="inlineStr"/>
      <c r="Z2129" s="18">
        <f>IF(Y2129="",X2129,Y2129)</f>
        <v/>
      </c>
      <c r="AA2129" s="18" t="inlineStr">
        <is>
          <t>grounded</t>
        </is>
      </c>
      <c r="AB2129" s="18" t="inlineStr"/>
      <c r="AC2129" s="18" t="inlineStr"/>
      <c r="AD2129" s="18" t="inlineStr"/>
      <c r="AE2129" s="18" t="inlineStr">
        <is>
          <t>sky 0-7</t>
        </is>
      </c>
      <c r="AF2129" s="18" t="inlineStr"/>
      <c r="AG2129" s="18" t="inlineStr"/>
      <c r="AH2129" s="18" t="inlineStr"/>
      <c r="AI2129" s="18" t="inlineStr"/>
      <c r="AJ2129" s="18" t="inlineStr">
        <is>
          <t>Cobblemon 동일</t>
        </is>
      </c>
      <c r="AK2129" s="18" t="inlineStr">
        <is>
          <t>사용</t>
        </is>
      </c>
      <c r="AL2129" s="18" t="inlineStr">
        <is>
          <t>COBBLEVERSE 1.7.42 / DP v31</t>
        </is>
      </c>
      <c r="AM2129" s="18" t="inlineStr">
        <is>
          <t>data/cobblemon/spawn_pool_world/0633_deino.json</t>
        </is>
      </c>
      <c r="AN2129" s="18" t="inlineStr">
        <is>
          <t>deino-1</t>
        </is>
      </c>
      <c r="AO2129" s="18" t="inlineStr">
        <is>
          <t>pokemon</t>
        </is>
      </c>
      <c r="AP2129" s="18" t="inlineStr">
        <is>
          <t>natural</t>
        </is>
      </c>
      <c r="AQ2129" s="18" t="inlineStr">
        <is>
          <t>{"biomes":["#cobblemon:is_deep_dark"],"maxSkyLight":7,"minSkyLight":0}</t>
        </is>
      </c>
      <c r="AR2129" s="18" t="inlineStr"/>
      <c r="AS2129" s="18" t="inlineStr"/>
      <c r="AT2129" s="19" t="inlineStr"/>
    </row>
    <row r="2130" ht="32" customHeight="1">
      <c r="A2130" s="18" t="inlineStr">
        <is>
          <t>0633_deino.json::deino-2::002</t>
        </is>
      </c>
      <c r="B2130" s="19" t="inlineStr">
        <is>
          <t>사용</t>
        </is>
      </c>
      <c r="C2130" s="18">
        <f>IF(OR(B2130&lt;&gt;AK2130,M2130&lt;&gt;L2130,O2130&lt;&gt;"",Q2130&lt;&gt;"",V2130&lt;&gt;1,Y2130&lt;&gt;"",AT2130&lt;&gt;""),"수정","원본")</f>
        <v/>
      </c>
      <c r="D2130" s="18" t="n">
        <v>633</v>
      </c>
      <c r="E2130" s="18" t="inlineStr">
        <is>
          <t>모노두</t>
        </is>
      </c>
      <c r="F2130" s="18" t="inlineStr">
        <is>
          <t>deino</t>
        </is>
      </c>
      <c r="G2130" s="18" t="inlineStr">
        <is>
          <t>deino</t>
        </is>
      </c>
      <c r="H2130" s="18" t="inlineStr"/>
      <c r="I2130" s="18" t="n">
        <v>5</v>
      </c>
      <c r="J2130" s="18" t="n"/>
      <c r="K2130" s="18" t="n">
        <v>5</v>
      </c>
      <c r="L2130" s="18" t="inlineStr">
        <is>
          <t>cobbleventure:generation_5</t>
        </is>
      </c>
      <c r="M2130" s="19" t="inlineStr">
        <is>
          <t>cobbleventure:generation_5</t>
        </is>
      </c>
      <c r="N2130" s="18" t="inlineStr">
        <is>
          <t>region_01; region_02</t>
        </is>
      </c>
      <c r="O2130" s="19" t="inlineStr"/>
      <c r="P2130" s="18" t="inlineStr">
        <is>
          <t>#cobblemon:is_overworld</t>
        </is>
      </c>
      <c r="Q2130" s="19" t="inlineStr"/>
      <c r="R2130" s="18">
        <f>IF(Q2130="",P2130,Q2130)</f>
        <v/>
      </c>
      <c r="S2130" s="18" t="inlineStr">
        <is>
          <t>#cobblemon:is_deep_dark</t>
        </is>
      </c>
      <c r="T2130" s="18" t="inlineStr">
        <is>
          <t>ultra-rare</t>
        </is>
      </c>
      <c r="U2130" s="20" t="n">
        <v>6</v>
      </c>
      <c r="V2130" s="21" t="n">
        <v>1</v>
      </c>
      <c r="W2130" s="20">
        <f>IF(OR(U2130="",V2130=""),U2130,U2130*V2130)</f>
        <v/>
      </c>
      <c r="X2130" s="18" t="inlineStr">
        <is>
          <t>5-30</t>
        </is>
      </c>
      <c r="Y2130" s="19" t="inlineStr"/>
      <c r="Z2130" s="18">
        <f>IF(Y2130="",X2130,Y2130)</f>
        <v/>
      </c>
      <c r="AA2130" s="18" t="inlineStr">
        <is>
          <t>grounded</t>
        </is>
      </c>
      <c r="AB2130" s="18" t="inlineStr"/>
      <c r="AC2130" s="18" t="inlineStr"/>
      <c r="AD2130" s="18" t="inlineStr">
        <is>
          <t>maxY=0</t>
        </is>
      </c>
      <c r="AE2130" s="18" t="inlineStr">
        <is>
          <t>sky 0-7</t>
        </is>
      </c>
      <c r="AF2130" s="18" t="inlineStr"/>
      <c r="AG2130" s="18" t="inlineStr"/>
      <c r="AH2130" s="18" t="inlineStr"/>
      <c r="AI2130" s="18" t="inlineStr"/>
      <c r="AJ2130" s="18" t="inlineStr">
        <is>
          <t>Cobblemon 동일</t>
        </is>
      </c>
      <c r="AK2130" s="18" t="inlineStr">
        <is>
          <t>사용</t>
        </is>
      </c>
      <c r="AL2130" s="18" t="inlineStr">
        <is>
          <t>COBBLEVERSE 1.7.42 / DP v31</t>
        </is>
      </c>
      <c r="AM2130" s="18" t="inlineStr">
        <is>
          <t>data/cobblemon/spawn_pool_world/0633_deino.json</t>
        </is>
      </c>
      <c r="AN2130" s="18" t="inlineStr">
        <is>
          <t>deino-2</t>
        </is>
      </c>
      <c r="AO2130" s="18" t="inlineStr">
        <is>
          <t>pokemon</t>
        </is>
      </c>
      <c r="AP2130" s="18" t="inlineStr">
        <is>
          <t>natural</t>
        </is>
      </c>
      <c r="AQ2130" s="18" t="inlineStr">
        <is>
          <t>{"biomes":["#cobblemon:is_overworld"],"maxSkyLight":7,"maxY":0,"minSkyLight":0}</t>
        </is>
      </c>
      <c r="AR2130" s="18" t="inlineStr">
        <is>
          <t>{"biomes":["#cobblemon:is_deep_dark"]}</t>
        </is>
      </c>
      <c r="AS2130" s="18" t="inlineStr"/>
      <c r="AT2130" s="19" t="inlineStr"/>
    </row>
    <row r="2131" ht="32" customHeight="1">
      <c r="A2131" s="18" t="inlineStr">
        <is>
          <t>0633_deino.json::deino-3::003</t>
        </is>
      </c>
      <c r="B2131" s="19" t="inlineStr">
        <is>
          <t>사용</t>
        </is>
      </c>
      <c r="C2131" s="18">
        <f>IF(OR(B2131&lt;&gt;AK2131,M2131&lt;&gt;L2131,O2131&lt;&gt;"",Q2131&lt;&gt;"",V2131&lt;&gt;1,Y2131&lt;&gt;"",AT2131&lt;&gt;""),"수정","원본")</f>
        <v/>
      </c>
      <c r="D2131" s="18" t="n">
        <v>633</v>
      </c>
      <c r="E2131" s="18" t="inlineStr">
        <is>
          <t>모노두</t>
        </is>
      </c>
      <c r="F2131" s="18" t="inlineStr">
        <is>
          <t>deino</t>
        </is>
      </c>
      <c r="G2131" s="18" t="inlineStr">
        <is>
          <t>deino</t>
        </is>
      </c>
      <c r="H2131" s="18" t="inlineStr"/>
      <c r="I2131" s="18" t="n">
        <v>5</v>
      </c>
      <c r="J2131" s="18" t="n"/>
      <c r="K2131" s="18" t="n">
        <v>5</v>
      </c>
      <c r="L2131" s="18" t="inlineStr">
        <is>
          <t>cobbleventure:generation_5</t>
        </is>
      </c>
      <c r="M2131" s="19" t="inlineStr">
        <is>
          <t>cobbleventure:generation_5</t>
        </is>
      </c>
      <c r="N2131" s="18" t="inlineStr"/>
      <c r="O2131" s="19" t="inlineStr"/>
      <c r="P2131" s="18" t="inlineStr">
        <is>
          <t>#aether:is_aether</t>
        </is>
      </c>
      <c r="Q2131" s="19" t="inlineStr"/>
      <c r="R2131" s="18">
        <f>IF(Q2131="",P2131,Q2131)</f>
        <v/>
      </c>
      <c r="S2131" s="18" t="inlineStr"/>
      <c r="T2131" s="18" t="inlineStr">
        <is>
          <t>rare</t>
        </is>
      </c>
      <c r="U2131" s="20" t="n">
        <v>7.5</v>
      </c>
      <c r="V2131" s="21" t="n">
        <v>1</v>
      </c>
      <c r="W2131" s="20">
        <f>IF(OR(U2131="",V2131=""),U2131,U2131*V2131)</f>
        <v/>
      </c>
      <c r="X2131" s="18" t="inlineStr">
        <is>
          <t>5-30</t>
        </is>
      </c>
      <c r="Y2131" s="19" t="inlineStr"/>
      <c r="Z2131" s="18">
        <f>IF(Y2131="",X2131,Y2131)</f>
        <v/>
      </c>
      <c r="AA2131" s="18" t="inlineStr">
        <is>
          <t>grounded</t>
        </is>
      </c>
      <c r="AB2131" s="18" t="inlineStr"/>
      <c r="AC2131" s="18" t="inlineStr"/>
      <c r="AD2131" s="18" t="inlineStr"/>
      <c r="AE2131" s="18" t="inlineStr">
        <is>
          <t>sky 0-7</t>
        </is>
      </c>
      <c r="AF2131" s="18" t="inlineStr"/>
      <c r="AG2131" s="18" t="inlineStr"/>
      <c r="AH2131" s="18" t="inlineStr"/>
      <c r="AI2131" s="18" t="inlineStr"/>
      <c r="AJ2131" s="18" t="inlineStr">
        <is>
          <t>Cobblemon 동일</t>
        </is>
      </c>
      <c r="AK2131" s="18" t="inlineStr">
        <is>
          <t>사용</t>
        </is>
      </c>
      <c r="AL2131" s="18" t="inlineStr">
        <is>
          <t>COBBLEVERSE 1.7.42 / DP v31</t>
        </is>
      </c>
      <c r="AM2131" s="18" t="inlineStr">
        <is>
          <t>data/cobblemon/spawn_pool_world/0633_deino.json</t>
        </is>
      </c>
      <c r="AN2131" s="18" t="inlineStr">
        <is>
          <t>deino-3</t>
        </is>
      </c>
      <c r="AO2131" s="18" t="inlineStr">
        <is>
          <t>pokemon</t>
        </is>
      </c>
      <c r="AP2131" s="18" t="inlineStr">
        <is>
          <t>natural</t>
        </is>
      </c>
      <c r="AQ2131" s="18" t="inlineStr">
        <is>
          <t>{"biomes":["#aether:is_aether"],"maxSkyLight":7,"minSkyLight":0}</t>
        </is>
      </c>
      <c r="AR2131" s="18" t="inlineStr"/>
      <c r="AS2131" s="18" t="inlineStr"/>
      <c r="AT2131" s="19" t="inlineStr"/>
    </row>
    <row r="2132" ht="32" customHeight="1">
      <c r="A2132" s="18" t="inlineStr">
        <is>
          <t>0634_zweilous.json::zweilous-1::001</t>
        </is>
      </c>
      <c r="B2132" s="19" t="inlineStr">
        <is>
          <t>사용</t>
        </is>
      </c>
      <c r="C2132" s="18">
        <f>IF(OR(B2132&lt;&gt;AK2132,M2132&lt;&gt;L2132,O2132&lt;&gt;"",Q2132&lt;&gt;"",V2132&lt;&gt;1,Y2132&lt;&gt;"",AT2132&lt;&gt;""),"수정","원본")</f>
        <v/>
      </c>
      <c r="D2132" s="18" t="n">
        <v>634</v>
      </c>
      <c r="E2132" s="18" t="inlineStr">
        <is>
          <t>디헤드</t>
        </is>
      </c>
      <c r="F2132" s="18" t="inlineStr">
        <is>
          <t>zweilous</t>
        </is>
      </c>
      <c r="G2132" s="18" t="inlineStr">
        <is>
          <t>zweilous</t>
        </is>
      </c>
      <c r="H2132" s="18" t="inlineStr"/>
      <c r="I2132" s="18" t="n">
        <v>5</v>
      </c>
      <c r="J2132" s="18" t="n"/>
      <c r="K2132" s="18" t="n">
        <v>5</v>
      </c>
      <c r="L2132" s="18" t="inlineStr">
        <is>
          <t>cobbleventure:generation_5</t>
        </is>
      </c>
      <c r="M2132" s="19" t="inlineStr">
        <is>
          <t>cobbleventure:generation_5</t>
        </is>
      </c>
      <c r="N2132" s="18" t="inlineStr"/>
      <c r="O2132" s="19" t="inlineStr"/>
      <c r="P2132" s="18" t="inlineStr">
        <is>
          <t>#cobblemon:is_deep_dark</t>
        </is>
      </c>
      <c r="Q2132" s="19" t="inlineStr"/>
      <c r="R2132" s="18">
        <f>IF(Q2132="",P2132,Q2132)</f>
        <v/>
      </c>
      <c r="S2132" s="18" t="inlineStr"/>
      <c r="T2132" s="18" t="inlineStr">
        <is>
          <t>rare</t>
        </is>
      </c>
      <c r="U2132" s="20" t="n">
        <v>2.25</v>
      </c>
      <c r="V2132" s="21" t="n">
        <v>1</v>
      </c>
      <c r="W2132" s="20">
        <f>IF(OR(U2132="",V2132=""),U2132,U2132*V2132)</f>
        <v/>
      </c>
      <c r="X2132" s="18" t="inlineStr">
        <is>
          <t>50-55</t>
        </is>
      </c>
      <c r="Y2132" s="19" t="inlineStr"/>
      <c r="Z2132" s="18">
        <f>IF(Y2132="",X2132,Y2132)</f>
        <v/>
      </c>
      <c r="AA2132" s="18" t="inlineStr">
        <is>
          <t>grounded</t>
        </is>
      </c>
      <c r="AB2132" s="18" t="inlineStr"/>
      <c r="AC2132" s="18" t="inlineStr"/>
      <c r="AD2132" s="18" t="inlineStr"/>
      <c r="AE2132" s="18" t="inlineStr">
        <is>
          <t>sky 0-7</t>
        </is>
      </c>
      <c r="AF2132" s="18" t="inlineStr"/>
      <c r="AG2132" s="18" t="inlineStr"/>
      <c r="AH2132" s="18" t="inlineStr"/>
      <c r="AI2132" s="18" t="inlineStr"/>
      <c r="AJ2132" s="18" t="inlineStr">
        <is>
          <t>Cobblemon 동일</t>
        </is>
      </c>
      <c r="AK2132" s="18" t="inlineStr">
        <is>
          <t>사용</t>
        </is>
      </c>
      <c r="AL2132" s="18" t="inlineStr">
        <is>
          <t>COBBLEVERSE 1.7.42 / DP v31</t>
        </is>
      </c>
      <c r="AM2132" s="18" t="inlineStr">
        <is>
          <t>data/cobblemon/spawn_pool_world/0634_zweilous.json</t>
        </is>
      </c>
      <c r="AN2132" s="18" t="inlineStr">
        <is>
          <t>zweilous-1</t>
        </is>
      </c>
      <c r="AO2132" s="18" t="inlineStr">
        <is>
          <t>pokemon</t>
        </is>
      </c>
      <c r="AP2132" s="18" t="inlineStr">
        <is>
          <t>natural</t>
        </is>
      </c>
      <c r="AQ2132" s="18" t="inlineStr">
        <is>
          <t>{"biomes":["#cobblemon:is_deep_dark"],"maxSkyLight":7,"minSkyLight":0}</t>
        </is>
      </c>
      <c r="AR2132" s="18" t="inlineStr"/>
      <c r="AS2132" s="18" t="inlineStr"/>
      <c r="AT2132" s="19" t="inlineStr"/>
    </row>
    <row r="2133" ht="32" customHeight="1">
      <c r="A2133" s="18" t="inlineStr">
        <is>
          <t>0634_zweilous.json::zweilous-2::002</t>
        </is>
      </c>
      <c r="B2133" s="19" t="inlineStr">
        <is>
          <t>사용</t>
        </is>
      </c>
      <c r="C2133" s="18">
        <f>IF(OR(B2133&lt;&gt;AK2133,M2133&lt;&gt;L2133,O2133&lt;&gt;"",Q2133&lt;&gt;"",V2133&lt;&gt;1,Y2133&lt;&gt;"",AT2133&lt;&gt;""),"수정","원본")</f>
        <v/>
      </c>
      <c r="D2133" s="18" t="n">
        <v>634</v>
      </c>
      <c r="E2133" s="18" t="inlineStr">
        <is>
          <t>디헤드</t>
        </is>
      </c>
      <c r="F2133" s="18" t="inlineStr">
        <is>
          <t>zweilous</t>
        </is>
      </c>
      <c r="G2133" s="18" t="inlineStr">
        <is>
          <t>zweilous</t>
        </is>
      </c>
      <c r="H2133" s="18" t="inlineStr"/>
      <c r="I2133" s="18" t="n">
        <v>5</v>
      </c>
      <c r="J2133" s="18" t="n"/>
      <c r="K2133" s="18" t="n">
        <v>5</v>
      </c>
      <c r="L2133" s="18" t="inlineStr">
        <is>
          <t>cobbleventure:generation_5</t>
        </is>
      </c>
      <c r="M2133" s="19" t="inlineStr">
        <is>
          <t>cobbleventure:generation_5</t>
        </is>
      </c>
      <c r="N2133" s="18" t="inlineStr">
        <is>
          <t>region_01; region_02</t>
        </is>
      </c>
      <c r="O2133" s="19" t="inlineStr"/>
      <c r="P2133" s="18" t="inlineStr">
        <is>
          <t>#cobblemon:is_overworld</t>
        </is>
      </c>
      <c r="Q2133" s="19" t="inlineStr"/>
      <c r="R2133" s="18">
        <f>IF(Q2133="",P2133,Q2133)</f>
        <v/>
      </c>
      <c r="S2133" s="18" t="inlineStr">
        <is>
          <t>#cobblemon:is_deep_dark</t>
        </is>
      </c>
      <c r="T2133" s="18" t="inlineStr">
        <is>
          <t>ultra-rare</t>
        </is>
      </c>
      <c r="U2133" s="20" t="n">
        <v>3.6</v>
      </c>
      <c r="V2133" s="21" t="n">
        <v>1</v>
      </c>
      <c r="W2133" s="20">
        <f>IF(OR(U2133="",V2133=""),U2133,U2133*V2133)</f>
        <v/>
      </c>
      <c r="X2133" s="18" t="inlineStr">
        <is>
          <t>50-55</t>
        </is>
      </c>
      <c r="Y2133" s="19" t="inlineStr"/>
      <c r="Z2133" s="18">
        <f>IF(Y2133="",X2133,Y2133)</f>
        <v/>
      </c>
      <c r="AA2133" s="18" t="inlineStr">
        <is>
          <t>grounded</t>
        </is>
      </c>
      <c r="AB2133" s="18" t="inlineStr"/>
      <c r="AC2133" s="18" t="inlineStr"/>
      <c r="AD2133" s="18" t="inlineStr">
        <is>
          <t>maxY=0</t>
        </is>
      </c>
      <c r="AE2133" s="18" t="inlineStr">
        <is>
          <t>sky 0-7</t>
        </is>
      </c>
      <c r="AF2133" s="18" t="inlineStr"/>
      <c r="AG2133" s="18" t="inlineStr"/>
      <c r="AH2133" s="18" t="inlineStr"/>
      <c r="AI2133" s="18" t="inlineStr"/>
      <c r="AJ2133" s="18" t="inlineStr">
        <is>
          <t>Cobblemon 동일</t>
        </is>
      </c>
      <c r="AK2133" s="18" t="inlineStr">
        <is>
          <t>사용</t>
        </is>
      </c>
      <c r="AL2133" s="18" t="inlineStr">
        <is>
          <t>COBBLEVERSE 1.7.42 / DP v31</t>
        </is>
      </c>
      <c r="AM2133" s="18" t="inlineStr">
        <is>
          <t>data/cobblemon/spawn_pool_world/0634_zweilous.json</t>
        </is>
      </c>
      <c r="AN2133" s="18" t="inlineStr">
        <is>
          <t>zweilous-2</t>
        </is>
      </c>
      <c r="AO2133" s="18" t="inlineStr">
        <is>
          <t>pokemon</t>
        </is>
      </c>
      <c r="AP2133" s="18" t="inlineStr">
        <is>
          <t>natural</t>
        </is>
      </c>
      <c r="AQ2133" s="18" t="inlineStr">
        <is>
          <t>{"biomes":["#cobblemon:is_overworld"],"maxSkyLight":7,"maxY":0,"minSkyLight":0}</t>
        </is>
      </c>
      <c r="AR2133" s="18" t="inlineStr">
        <is>
          <t>{"biomes":["#cobblemon:is_deep_dark"]}</t>
        </is>
      </c>
      <c r="AS2133" s="18" t="inlineStr"/>
      <c r="AT2133" s="19" t="inlineStr"/>
    </row>
    <row r="2134" ht="32" customHeight="1">
      <c r="A2134" s="18" t="inlineStr">
        <is>
          <t>0634_zweilous.json::zweilous-3::003</t>
        </is>
      </c>
      <c r="B2134" s="19" t="inlineStr">
        <is>
          <t>사용</t>
        </is>
      </c>
      <c r="C2134" s="18">
        <f>IF(OR(B2134&lt;&gt;AK2134,M2134&lt;&gt;L2134,O2134&lt;&gt;"",Q2134&lt;&gt;"",V2134&lt;&gt;1,Y2134&lt;&gt;"",AT2134&lt;&gt;""),"수정","원본")</f>
        <v/>
      </c>
      <c r="D2134" s="18" t="n">
        <v>634</v>
      </c>
      <c r="E2134" s="18" t="inlineStr">
        <is>
          <t>디헤드</t>
        </is>
      </c>
      <c r="F2134" s="18" t="inlineStr">
        <is>
          <t>zweilous</t>
        </is>
      </c>
      <c r="G2134" s="18" t="inlineStr">
        <is>
          <t>zweilous</t>
        </is>
      </c>
      <c r="H2134" s="18" t="inlineStr"/>
      <c r="I2134" s="18" t="n">
        <v>5</v>
      </c>
      <c r="J2134" s="18" t="n"/>
      <c r="K2134" s="18" t="n">
        <v>5</v>
      </c>
      <c r="L2134" s="18" t="inlineStr">
        <is>
          <t>cobbleventure:generation_5</t>
        </is>
      </c>
      <c r="M2134" s="19" t="inlineStr">
        <is>
          <t>cobbleventure:generation_5</t>
        </is>
      </c>
      <c r="N2134" s="18" t="inlineStr"/>
      <c r="O2134" s="19" t="inlineStr"/>
      <c r="P2134" s="18" t="inlineStr">
        <is>
          <t>#aether:is_aether</t>
        </is>
      </c>
      <c r="Q2134" s="19" t="inlineStr"/>
      <c r="R2134" s="18">
        <f>IF(Q2134="",P2134,Q2134)</f>
        <v/>
      </c>
      <c r="S2134" s="18" t="inlineStr"/>
      <c r="T2134" s="18" t="inlineStr">
        <is>
          <t>rare</t>
        </is>
      </c>
      <c r="U2134" s="20" t="n">
        <v>2.25</v>
      </c>
      <c r="V2134" s="21" t="n">
        <v>1</v>
      </c>
      <c r="W2134" s="20">
        <f>IF(OR(U2134="",V2134=""),U2134,U2134*V2134)</f>
        <v/>
      </c>
      <c r="X2134" s="18" t="inlineStr">
        <is>
          <t>50-55</t>
        </is>
      </c>
      <c r="Y2134" s="19" t="inlineStr"/>
      <c r="Z2134" s="18">
        <f>IF(Y2134="",X2134,Y2134)</f>
        <v/>
      </c>
      <c r="AA2134" s="18" t="inlineStr">
        <is>
          <t>grounded</t>
        </is>
      </c>
      <c r="AB2134" s="18" t="inlineStr"/>
      <c r="AC2134" s="18" t="inlineStr"/>
      <c r="AD2134" s="18" t="inlineStr"/>
      <c r="AE2134" s="18" t="inlineStr">
        <is>
          <t>sky 0-7</t>
        </is>
      </c>
      <c r="AF2134" s="18" t="inlineStr"/>
      <c r="AG2134" s="18" t="inlineStr"/>
      <c r="AH2134" s="18" t="inlineStr"/>
      <c r="AI2134" s="18" t="inlineStr"/>
      <c r="AJ2134" s="18" t="inlineStr">
        <is>
          <t>Cobblemon 동일</t>
        </is>
      </c>
      <c r="AK2134" s="18" t="inlineStr">
        <is>
          <t>사용</t>
        </is>
      </c>
      <c r="AL2134" s="18" t="inlineStr">
        <is>
          <t>COBBLEVERSE 1.7.42 / DP v31</t>
        </is>
      </c>
      <c r="AM2134" s="18" t="inlineStr">
        <is>
          <t>data/cobblemon/spawn_pool_world/0634_zweilous.json</t>
        </is>
      </c>
      <c r="AN2134" s="18" t="inlineStr">
        <is>
          <t>zweilous-3</t>
        </is>
      </c>
      <c r="AO2134" s="18" t="inlineStr">
        <is>
          <t>pokemon</t>
        </is>
      </c>
      <c r="AP2134" s="18" t="inlineStr">
        <is>
          <t>natural</t>
        </is>
      </c>
      <c r="AQ2134" s="18" t="inlineStr">
        <is>
          <t>{"biomes":["#aether:is_aether"],"maxSkyLight":7,"minSkyLight":0}</t>
        </is>
      </c>
      <c r="AR2134" s="18" t="inlineStr"/>
      <c r="AS2134" s="18" t="inlineStr"/>
      <c r="AT2134" s="19" t="inlineStr"/>
    </row>
    <row r="2135" ht="32" customHeight="1">
      <c r="A2135" s="18" t="inlineStr">
        <is>
          <t>0635_hydreigon.json::hydreigon-1::001</t>
        </is>
      </c>
      <c r="B2135" s="19" t="inlineStr">
        <is>
          <t>사용</t>
        </is>
      </c>
      <c r="C2135" s="18">
        <f>IF(OR(B2135&lt;&gt;AK2135,M2135&lt;&gt;L2135,O2135&lt;&gt;"",Q2135&lt;&gt;"",V2135&lt;&gt;1,Y2135&lt;&gt;"",AT2135&lt;&gt;""),"수정","원본")</f>
        <v/>
      </c>
      <c r="D2135" s="18" t="n">
        <v>635</v>
      </c>
      <c r="E2135" s="18" t="inlineStr">
        <is>
          <t>삼삼드래</t>
        </is>
      </c>
      <c r="F2135" s="18" t="inlineStr">
        <is>
          <t>hydreigon</t>
        </is>
      </c>
      <c r="G2135" s="18" t="inlineStr">
        <is>
          <t>hydreigon</t>
        </is>
      </c>
      <c r="H2135" s="18" t="inlineStr"/>
      <c r="I2135" s="18" t="n">
        <v>5</v>
      </c>
      <c r="J2135" s="18" t="n"/>
      <c r="K2135" s="18" t="n">
        <v>5</v>
      </c>
      <c r="L2135" s="18" t="inlineStr">
        <is>
          <t>cobbleventure:generation_5</t>
        </is>
      </c>
      <c r="M2135" s="19" t="inlineStr">
        <is>
          <t>cobbleventure:generation_5</t>
        </is>
      </c>
      <c r="N2135" s="18" t="inlineStr"/>
      <c r="O2135" s="19" t="inlineStr"/>
      <c r="P2135" s="18" t="inlineStr">
        <is>
          <t>#cobblemon:is_deep_dark</t>
        </is>
      </c>
      <c r="Q2135" s="19" t="inlineStr"/>
      <c r="R2135" s="18">
        <f>IF(Q2135="",P2135,Q2135)</f>
        <v/>
      </c>
      <c r="S2135" s="18" t="inlineStr"/>
      <c r="T2135" s="18" t="inlineStr">
        <is>
          <t>rare</t>
        </is>
      </c>
      <c r="U2135" s="20" t="n">
        <v>0.25</v>
      </c>
      <c r="V2135" s="21" t="n">
        <v>1</v>
      </c>
      <c r="W2135" s="20">
        <f>IF(OR(U2135="",V2135=""),U2135,U2135*V2135)</f>
        <v/>
      </c>
      <c r="X2135" s="18" t="inlineStr">
        <is>
          <t>64-69</t>
        </is>
      </c>
      <c r="Y2135" s="19" t="inlineStr"/>
      <c r="Z2135" s="18">
        <f>IF(Y2135="",X2135,Y2135)</f>
        <v/>
      </c>
      <c r="AA2135" s="18" t="inlineStr">
        <is>
          <t>grounded</t>
        </is>
      </c>
      <c r="AB2135" s="18" t="inlineStr"/>
      <c r="AC2135" s="18" t="inlineStr"/>
      <c r="AD2135" s="18" t="inlineStr"/>
      <c r="AE2135" s="18" t="inlineStr">
        <is>
          <t>sky 0-7</t>
        </is>
      </c>
      <c r="AF2135" s="18" t="inlineStr"/>
      <c r="AG2135" s="18" t="inlineStr"/>
      <c r="AH2135" s="18" t="inlineStr"/>
      <c r="AI2135" s="18" t="inlineStr"/>
      <c r="AJ2135" s="18" t="inlineStr">
        <is>
          <t>Cobblemon 동일</t>
        </is>
      </c>
      <c r="AK2135" s="18" t="inlineStr">
        <is>
          <t>사용</t>
        </is>
      </c>
      <c r="AL2135" s="18" t="inlineStr">
        <is>
          <t>COBBLEVERSE 1.7.42 / DP v31</t>
        </is>
      </c>
      <c r="AM2135" s="18" t="inlineStr">
        <is>
          <t>data/cobblemon/spawn_pool_world/0635_hydreigon.json</t>
        </is>
      </c>
      <c r="AN2135" s="18" t="inlineStr">
        <is>
          <t>hydreigon-1</t>
        </is>
      </c>
      <c r="AO2135" s="18" t="inlineStr">
        <is>
          <t>pokemon</t>
        </is>
      </c>
      <c r="AP2135" s="18" t="inlineStr">
        <is>
          <t>natural</t>
        </is>
      </c>
      <c r="AQ2135" s="18" t="inlineStr">
        <is>
          <t>{"biomes":["#cobblemon:is_deep_dark"],"maxSkyLight":7,"minSkyLight":0}</t>
        </is>
      </c>
      <c r="AR2135" s="18" t="inlineStr"/>
      <c r="AS2135" s="18" t="inlineStr"/>
      <c r="AT2135" s="19" t="inlineStr"/>
    </row>
    <row r="2136" ht="32" customHeight="1">
      <c r="A2136" s="18" t="inlineStr">
        <is>
          <t>0635_hydreigon.json::hydreigon-2::002</t>
        </is>
      </c>
      <c r="B2136" s="19" t="inlineStr">
        <is>
          <t>사용</t>
        </is>
      </c>
      <c r="C2136" s="18">
        <f>IF(OR(B2136&lt;&gt;AK2136,M2136&lt;&gt;L2136,O2136&lt;&gt;"",Q2136&lt;&gt;"",V2136&lt;&gt;1,Y2136&lt;&gt;"",AT2136&lt;&gt;""),"수정","원본")</f>
        <v/>
      </c>
      <c r="D2136" s="18" t="n">
        <v>635</v>
      </c>
      <c r="E2136" s="18" t="inlineStr">
        <is>
          <t>삼삼드래</t>
        </is>
      </c>
      <c r="F2136" s="18" t="inlineStr">
        <is>
          <t>hydreigon</t>
        </is>
      </c>
      <c r="G2136" s="18" t="inlineStr">
        <is>
          <t>hydreigon</t>
        </is>
      </c>
      <c r="H2136" s="18" t="inlineStr"/>
      <c r="I2136" s="18" t="n">
        <v>5</v>
      </c>
      <c r="J2136" s="18" t="n"/>
      <c r="K2136" s="18" t="n">
        <v>5</v>
      </c>
      <c r="L2136" s="18" t="inlineStr">
        <is>
          <t>cobbleventure:generation_5</t>
        </is>
      </c>
      <c r="M2136" s="19" t="inlineStr">
        <is>
          <t>cobbleventure:generation_5</t>
        </is>
      </c>
      <c r="N2136" s="18" t="inlineStr">
        <is>
          <t>region_01; region_02</t>
        </is>
      </c>
      <c r="O2136" s="19" t="inlineStr"/>
      <c r="P2136" s="18" t="inlineStr">
        <is>
          <t>#cobblemon:is_overworld</t>
        </is>
      </c>
      <c r="Q2136" s="19" t="inlineStr"/>
      <c r="R2136" s="18">
        <f>IF(Q2136="",P2136,Q2136)</f>
        <v/>
      </c>
      <c r="S2136" s="18" t="inlineStr">
        <is>
          <t>#cobblemon:is_deep_dark</t>
        </is>
      </c>
      <c r="T2136" s="18" t="inlineStr">
        <is>
          <t>ultra-rare</t>
        </is>
      </c>
      <c r="U2136" s="20" t="n">
        <v>0.4</v>
      </c>
      <c r="V2136" s="21" t="n">
        <v>1</v>
      </c>
      <c r="W2136" s="20">
        <f>IF(OR(U2136="",V2136=""),U2136,U2136*V2136)</f>
        <v/>
      </c>
      <c r="X2136" s="18" t="inlineStr">
        <is>
          <t>64-69</t>
        </is>
      </c>
      <c r="Y2136" s="19" t="inlineStr"/>
      <c r="Z2136" s="18">
        <f>IF(Y2136="",X2136,Y2136)</f>
        <v/>
      </c>
      <c r="AA2136" s="18" t="inlineStr">
        <is>
          <t>grounded</t>
        </is>
      </c>
      <c r="AB2136" s="18" t="inlineStr"/>
      <c r="AC2136" s="18" t="inlineStr"/>
      <c r="AD2136" s="18" t="inlineStr">
        <is>
          <t>maxY=0</t>
        </is>
      </c>
      <c r="AE2136" s="18" t="inlineStr">
        <is>
          <t>sky 0-7</t>
        </is>
      </c>
      <c r="AF2136" s="18" t="inlineStr"/>
      <c r="AG2136" s="18" t="inlineStr"/>
      <c r="AH2136" s="18" t="inlineStr"/>
      <c r="AI2136" s="18" t="inlineStr"/>
      <c r="AJ2136" s="18" t="inlineStr">
        <is>
          <t>Cobblemon 동일</t>
        </is>
      </c>
      <c r="AK2136" s="18" t="inlineStr">
        <is>
          <t>사용</t>
        </is>
      </c>
      <c r="AL2136" s="18" t="inlineStr">
        <is>
          <t>COBBLEVERSE 1.7.42 / DP v31</t>
        </is>
      </c>
      <c r="AM2136" s="18" t="inlineStr">
        <is>
          <t>data/cobblemon/spawn_pool_world/0635_hydreigon.json</t>
        </is>
      </c>
      <c r="AN2136" s="18" t="inlineStr">
        <is>
          <t>hydreigon-2</t>
        </is>
      </c>
      <c r="AO2136" s="18" t="inlineStr">
        <is>
          <t>pokemon</t>
        </is>
      </c>
      <c r="AP2136" s="18" t="inlineStr">
        <is>
          <t>natural</t>
        </is>
      </c>
      <c r="AQ2136" s="18" t="inlineStr">
        <is>
          <t>{"biomes":["#cobblemon:is_overworld"],"maxSkyLight":7,"maxY":0,"minSkyLight":0}</t>
        </is>
      </c>
      <c r="AR2136" s="18" t="inlineStr">
        <is>
          <t>{"biomes":["#cobblemon:is_deep_dark"]}</t>
        </is>
      </c>
      <c r="AS2136" s="18" t="inlineStr"/>
      <c r="AT2136" s="19" t="inlineStr"/>
    </row>
    <row r="2137" ht="32" customHeight="1">
      <c r="A2137" s="18" t="inlineStr">
        <is>
          <t>0635_hydreigon.json::hydreigon-3::003</t>
        </is>
      </c>
      <c r="B2137" s="19" t="inlineStr">
        <is>
          <t>사용</t>
        </is>
      </c>
      <c r="C2137" s="18">
        <f>IF(OR(B2137&lt;&gt;AK2137,M2137&lt;&gt;L2137,O2137&lt;&gt;"",Q2137&lt;&gt;"",V2137&lt;&gt;1,Y2137&lt;&gt;"",AT2137&lt;&gt;""),"수정","원본")</f>
        <v/>
      </c>
      <c r="D2137" s="18" t="n">
        <v>635</v>
      </c>
      <c r="E2137" s="18" t="inlineStr">
        <is>
          <t>삼삼드래</t>
        </is>
      </c>
      <c r="F2137" s="18" t="inlineStr">
        <is>
          <t>hydreigon</t>
        </is>
      </c>
      <c r="G2137" s="18" t="inlineStr">
        <is>
          <t>hydreigon</t>
        </is>
      </c>
      <c r="H2137" s="18" t="inlineStr"/>
      <c r="I2137" s="18" t="n">
        <v>5</v>
      </c>
      <c r="J2137" s="18" t="n"/>
      <c r="K2137" s="18" t="n">
        <v>5</v>
      </c>
      <c r="L2137" s="18" t="inlineStr">
        <is>
          <t>cobbleventure:generation_5</t>
        </is>
      </c>
      <c r="M2137" s="19" t="inlineStr">
        <is>
          <t>cobbleventure:generation_5</t>
        </is>
      </c>
      <c r="N2137" s="18" t="inlineStr"/>
      <c r="O2137" s="19" t="inlineStr"/>
      <c r="P2137" s="18" t="inlineStr">
        <is>
          <t>#aether:is_aether</t>
        </is>
      </c>
      <c r="Q2137" s="19" t="inlineStr"/>
      <c r="R2137" s="18">
        <f>IF(Q2137="",P2137,Q2137)</f>
        <v/>
      </c>
      <c r="S2137" s="18" t="inlineStr"/>
      <c r="T2137" s="18" t="inlineStr">
        <is>
          <t>rare</t>
        </is>
      </c>
      <c r="U2137" s="20" t="n">
        <v>0.25</v>
      </c>
      <c r="V2137" s="21" t="n">
        <v>1</v>
      </c>
      <c r="W2137" s="20">
        <f>IF(OR(U2137="",V2137=""),U2137,U2137*V2137)</f>
        <v/>
      </c>
      <c r="X2137" s="18" t="inlineStr">
        <is>
          <t>64-69</t>
        </is>
      </c>
      <c r="Y2137" s="19" t="inlineStr"/>
      <c r="Z2137" s="18">
        <f>IF(Y2137="",X2137,Y2137)</f>
        <v/>
      </c>
      <c r="AA2137" s="18" t="inlineStr">
        <is>
          <t>grounded</t>
        </is>
      </c>
      <c r="AB2137" s="18" t="inlineStr"/>
      <c r="AC2137" s="18" t="inlineStr"/>
      <c r="AD2137" s="18" t="inlineStr"/>
      <c r="AE2137" s="18" t="inlineStr">
        <is>
          <t>sky 0-7</t>
        </is>
      </c>
      <c r="AF2137" s="18" t="inlineStr"/>
      <c r="AG2137" s="18" t="inlineStr"/>
      <c r="AH2137" s="18" t="inlineStr"/>
      <c r="AI2137" s="18" t="inlineStr"/>
      <c r="AJ2137" s="18" t="inlineStr">
        <is>
          <t>Cobblemon 동일</t>
        </is>
      </c>
      <c r="AK2137" s="18" t="inlineStr">
        <is>
          <t>사용</t>
        </is>
      </c>
      <c r="AL2137" s="18" t="inlineStr">
        <is>
          <t>COBBLEVERSE 1.7.42 / DP v31</t>
        </is>
      </c>
      <c r="AM2137" s="18" t="inlineStr">
        <is>
          <t>data/cobblemon/spawn_pool_world/0635_hydreigon.json</t>
        </is>
      </c>
      <c r="AN2137" s="18" t="inlineStr">
        <is>
          <t>hydreigon-3</t>
        </is>
      </c>
      <c r="AO2137" s="18" t="inlineStr">
        <is>
          <t>pokemon</t>
        </is>
      </c>
      <c r="AP2137" s="18" t="inlineStr">
        <is>
          <t>natural</t>
        </is>
      </c>
      <c r="AQ2137" s="18" t="inlineStr">
        <is>
          <t>{"biomes":["#aether:is_aether"],"maxSkyLight":7,"minSkyLight":0}</t>
        </is>
      </c>
      <c r="AR2137" s="18" t="inlineStr"/>
      <c r="AS2137" s="18" t="inlineStr"/>
      <c r="AT2137" s="19" t="inlineStr"/>
    </row>
    <row r="2138" ht="32" customHeight="1">
      <c r="A2138" s="18" t="inlineStr">
        <is>
          <t>0636_larvesta.json::larvesta-1::001</t>
        </is>
      </c>
      <c r="B2138" s="19" t="inlineStr">
        <is>
          <t>사용</t>
        </is>
      </c>
      <c r="C2138" s="18">
        <f>IF(OR(B2138&lt;&gt;AK2138,M2138&lt;&gt;L2138,O2138&lt;&gt;"",Q2138&lt;&gt;"",V2138&lt;&gt;1,Y2138&lt;&gt;"",AT2138&lt;&gt;""),"수정","원본")</f>
        <v/>
      </c>
      <c r="D2138" s="18" t="n">
        <v>636</v>
      </c>
      <c r="E2138" s="18" t="inlineStr">
        <is>
          <t>활화르바</t>
        </is>
      </c>
      <c r="F2138" s="18" t="inlineStr">
        <is>
          <t>larvesta</t>
        </is>
      </c>
      <c r="G2138" s="18" t="inlineStr">
        <is>
          <t>larvesta</t>
        </is>
      </c>
      <c r="H2138" s="18" t="inlineStr"/>
      <c r="I2138" s="18" t="n">
        <v>5</v>
      </c>
      <c r="J2138" s="18" t="n"/>
      <c r="K2138" s="18" t="n">
        <v>5</v>
      </c>
      <c r="L2138" s="18" t="inlineStr">
        <is>
          <t>cobbleventure:generation_5</t>
        </is>
      </c>
      <c r="M2138" s="19" t="inlineStr">
        <is>
          <t>cobbleventure:generation_5</t>
        </is>
      </c>
      <c r="N2138" s="18" t="inlineStr">
        <is>
          <t>region_02</t>
        </is>
      </c>
      <c r="O2138" s="19" t="inlineStr"/>
      <c r="P2138" s="18" t="inlineStr">
        <is>
          <t>#cobblemon:is_desert</t>
        </is>
      </c>
      <c r="Q2138" s="19" t="inlineStr"/>
      <c r="R2138" s="18">
        <f>IF(Q2138="",P2138,Q2138)</f>
        <v/>
      </c>
      <c r="S2138" s="18" t="inlineStr"/>
      <c r="T2138" s="18" t="inlineStr">
        <is>
          <t>uncommon</t>
        </is>
      </c>
      <c r="U2138" s="20" t="n">
        <v>84</v>
      </c>
      <c r="V2138" s="21" t="n">
        <v>1</v>
      </c>
      <c r="W2138" s="20">
        <f>IF(OR(U2138="",V2138=""),U2138,U2138*V2138)</f>
        <v/>
      </c>
      <c r="X2138" s="18" t="inlineStr">
        <is>
          <t>11-36</t>
        </is>
      </c>
      <c r="Y2138" s="19" t="inlineStr"/>
      <c r="Z2138" s="18">
        <f>IF(Y2138="",X2138,Y2138)</f>
        <v/>
      </c>
      <c r="AA2138" s="18" t="inlineStr">
        <is>
          <t>grounded</t>
        </is>
      </c>
      <c r="AB2138" s="18" t="inlineStr"/>
      <c r="AC2138" s="18" t="inlineStr"/>
      <c r="AD2138" s="18" t="inlineStr">
        <is>
          <t>minY=48</t>
        </is>
      </c>
      <c r="AE2138" s="18" t="inlineStr"/>
      <c r="AF2138" s="18" t="inlineStr">
        <is>
          <t>False</t>
        </is>
      </c>
      <c r="AG2138" s="18" t="inlineStr"/>
      <c r="AH2138" s="18" t="inlineStr"/>
      <c r="AI2138" s="18" t="inlineStr"/>
      <c r="AJ2138" s="18" t="inlineStr">
        <is>
          <t>Cobblemon 동일</t>
        </is>
      </c>
      <c r="AK2138" s="18" t="inlineStr">
        <is>
          <t>사용</t>
        </is>
      </c>
      <c r="AL2138" s="18" t="inlineStr">
        <is>
          <t>COBBLEVERSE 1.7.42 / DP v31</t>
        </is>
      </c>
      <c r="AM2138" s="18" t="inlineStr">
        <is>
          <t>data/cobblemon/spawn_pool_world/0636_larvesta.json</t>
        </is>
      </c>
      <c r="AN2138" s="18" t="inlineStr">
        <is>
          <t>larvesta-1</t>
        </is>
      </c>
      <c r="AO2138" s="18" t="inlineStr">
        <is>
          <t>pokemon</t>
        </is>
      </c>
      <c r="AP2138" s="18" t="inlineStr">
        <is>
          <t>natural; desert_pyramid</t>
        </is>
      </c>
      <c r="AQ2138" s="18" t="inlineStr">
        <is>
          <t>{"biomes":["#cobblemon:is_desert"],"canSeeSky":false,"minY":48}</t>
        </is>
      </c>
      <c r="AR2138" s="18" t="inlineStr"/>
      <c r="AS2138" s="18" t="inlineStr"/>
      <c r="AT2138" s="19" t="inlineStr"/>
    </row>
    <row r="2139" ht="32" customHeight="1">
      <c r="A2139" s="18" t="inlineStr">
        <is>
          <t>0636_larvesta.json::larvesta-2::002</t>
        </is>
      </c>
      <c r="B2139" s="19" t="inlineStr">
        <is>
          <t>사용</t>
        </is>
      </c>
      <c r="C2139" s="18">
        <f>IF(OR(B2139&lt;&gt;AK2139,M2139&lt;&gt;L2139,O2139&lt;&gt;"",Q2139&lt;&gt;"",V2139&lt;&gt;1,Y2139&lt;&gt;"",AT2139&lt;&gt;""),"수정","원본")</f>
        <v/>
      </c>
      <c r="D2139" s="18" t="n">
        <v>636</v>
      </c>
      <c r="E2139" s="18" t="inlineStr">
        <is>
          <t>활화르바</t>
        </is>
      </c>
      <c r="F2139" s="18" t="inlineStr">
        <is>
          <t>larvesta</t>
        </is>
      </c>
      <c r="G2139" s="18" t="inlineStr">
        <is>
          <t>larvesta</t>
        </is>
      </c>
      <c r="H2139" s="18" t="inlineStr"/>
      <c r="I2139" s="18" t="n">
        <v>5</v>
      </c>
      <c r="J2139" s="18" t="n"/>
      <c r="K2139" s="18" t="n">
        <v>5</v>
      </c>
      <c r="L2139" s="18" t="inlineStr">
        <is>
          <t>cobbleventure:generation_5</t>
        </is>
      </c>
      <c r="M2139" s="19" t="inlineStr">
        <is>
          <t>cobbleventure:generation_5</t>
        </is>
      </c>
      <c r="N2139" s="18" t="inlineStr"/>
      <c r="O2139" s="19" t="inlineStr"/>
      <c r="P2139" s="18" t="inlineStr">
        <is>
          <t>#cobblemon:is_jungle</t>
        </is>
      </c>
      <c r="Q2139" s="19" t="inlineStr"/>
      <c r="R2139" s="18">
        <f>IF(Q2139="",P2139,Q2139)</f>
        <v/>
      </c>
      <c r="S2139" s="18" t="inlineStr"/>
      <c r="T2139" s="18" t="inlineStr">
        <is>
          <t>uncommon</t>
        </is>
      </c>
      <c r="U2139" s="20" t="n">
        <v>84</v>
      </c>
      <c r="V2139" s="21" t="n">
        <v>1</v>
      </c>
      <c r="W2139" s="20">
        <f>IF(OR(U2139="",V2139=""),U2139,U2139*V2139)</f>
        <v/>
      </c>
      <c r="X2139" s="18" t="inlineStr">
        <is>
          <t>11-36</t>
        </is>
      </c>
      <c r="Y2139" s="19" t="inlineStr"/>
      <c r="Z2139" s="18">
        <f>IF(Y2139="",X2139,Y2139)</f>
        <v/>
      </c>
      <c r="AA2139" s="18" t="inlineStr">
        <is>
          <t>grounded</t>
        </is>
      </c>
      <c r="AB2139" s="18" t="inlineStr"/>
      <c r="AC2139" s="18" t="inlineStr"/>
      <c r="AD2139" s="18" t="inlineStr">
        <is>
          <t>minY=48</t>
        </is>
      </c>
      <c r="AE2139" s="18" t="inlineStr"/>
      <c r="AF2139" s="18" t="inlineStr">
        <is>
          <t>False</t>
        </is>
      </c>
      <c r="AG2139" s="18" t="inlineStr"/>
      <c r="AH2139" s="18" t="inlineStr"/>
      <c r="AI2139" s="18" t="inlineStr"/>
      <c r="AJ2139" s="18" t="inlineStr">
        <is>
          <t>Cobblemon 동일</t>
        </is>
      </c>
      <c r="AK2139" s="18" t="inlineStr">
        <is>
          <t>사용</t>
        </is>
      </c>
      <c r="AL2139" s="18" t="inlineStr">
        <is>
          <t>COBBLEVERSE 1.7.42 / DP v31</t>
        </is>
      </c>
      <c r="AM2139" s="18" t="inlineStr">
        <is>
          <t>data/cobblemon/spawn_pool_world/0636_larvesta.json</t>
        </is>
      </c>
      <c r="AN2139" s="18" t="inlineStr">
        <is>
          <t>larvesta-2</t>
        </is>
      </c>
      <c r="AO2139" s="18" t="inlineStr">
        <is>
          <t>pokemon</t>
        </is>
      </c>
      <c r="AP2139" s="18" t="inlineStr">
        <is>
          <t>natural; jungle_pyramid</t>
        </is>
      </c>
      <c r="AQ2139" s="18" t="inlineStr">
        <is>
          <t>{"biomes":["#cobblemon:is_jungle"],"canSeeSky":false,"minY":48}</t>
        </is>
      </c>
      <c r="AR2139" s="18" t="inlineStr"/>
      <c r="AS2139" s="18" t="inlineStr"/>
      <c r="AT2139" s="19" t="inlineStr"/>
    </row>
    <row r="2140" ht="32" customHeight="1">
      <c r="A2140" s="18" t="inlineStr">
        <is>
          <t>0636_larvesta.json::larvesta-3::003</t>
        </is>
      </c>
      <c r="B2140" s="19" t="inlineStr">
        <is>
          <t>사용</t>
        </is>
      </c>
      <c r="C2140" s="18">
        <f>IF(OR(B2140&lt;&gt;AK2140,M2140&lt;&gt;L2140,O2140&lt;&gt;"",Q2140&lt;&gt;"",V2140&lt;&gt;1,Y2140&lt;&gt;"",AT2140&lt;&gt;""),"수정","원본")</f>
        <v/>
      </c>
      <c r="D2140" s="18" t="n">
        <v>636</v>
      </c>
      <c r="E2140" s="18" t="inlineStr">
        <is>
          <t>활화르바</t>
        </is>
      </c>
      <c r="F2140" s="18" t="inlineStr">
        <is>
          <t>larvesta</t>
        </is>
      </c>
      <c r="G2140" s="18" t="inlineStr">
        <is>
          <t>larvesta</t>
        </is>
      </c>
      <c r="H2140" s="18" t="inlineStr"/>
      <c r="I2140" s="18" t="n">
        <v>5</v>
      </c>
      <c r="J2140" s="18" t="n"/>
      <c r="K2140" s="18" t="n">
        <v>5</v>
      </c>
      <c r="L2140" s="18" t="inlineStr">
        <is>
          <t>cobbleventure:generation_5</t>
        </is>
      </c>
      <c r="M2140" s="19" t="inlineStr">
        <is>
          <t>cobbleventure:generation_5</t>
        </is>
      </c>
      <c r="N2140" s="18" t="inlineStr"/>
      <c r="O2140" s="19" t="inlineStr"/>
      <c r="P2140" s="18" t="inlineStr">
        <is>
          <t>#cobblemon:nether/is_crimson; #cobblemon:nether/is_forest</t>
        </is>
      </c>
      <c r="Q2140" s="19" t="inlineStr"/>
      <c r="R2140" s="18">
        <f>IF(Q2140="",P2140,Q2140)</f>
        <v/>
      </c>
      <c r="S2140" s="18" t="inlineStr"/>
      <c r="T2140" s="18" t="inlineStr">
        <is>
          <t>uncommon</t>
        </is>
      </c>
      <c r="U2140" s="20" t="n">
        <v>8.4</v>
      </c>
      <c r="V2140" s="21" t="n">
        <v>1</v>
      </c>
      <c r="W2140" s="20">
        <f>IF(OR(U2140="",V2140=""),U2140,U2140*V2140)</f>
        <v/>
      </c>
      <c r="X2140" s="18" t="inlineStr">
        <is>
          <t>11-36</t>
        </is>
      </c>
      <c r="Y2140" s="19" t="inlineStr"/>
      <c r="Z2140" s="18">
        <f>IF(Y2140="",X2140,Y2140)</f>
        <v/>
      </c>
      <c r="AA2140" s="18" t="inlineStr">
        <is>
          <t>grounded</t>
        </is>
      </c>
      <c r="AB2140" s="18" t="inlineStr"/>
      <c r="AC2140" s="18" t="inlineStr"/>
      <c r="AD2140" s="18" t="inlineStr"/>
      <c r="AE2140" s="18" t="inlineStr"/>
      <c r="AF2140" s="18" t="inlineStr"/>
      <c r="AG2140" s="18" t="inlineStr"/>
      <c r="AH2140" s="18" t="inlineStr"/>
      <c r="AI2140" s="18" t="inlineStr">
        <is>
          <t>{"spawn":{"drops":{"amount":4,"entries":[{"item":"minecraft:string","quantityRange":"0-1"},{"item":"minecraft:blaze_powder","percentage":5.0},{"item":"cobblemon:silver_powder","percentage":2.5},{"item":"cobblemon:charti_berry","percentage":2.5}]}}}</t>
        </is>
      </c>
      <c r="AJ2140" s="18" t="inlineStr">
        <is>
          <t>Cobblemon 동일</t>
        </is>
      </c>
      <c r="AK2140" s="18" t="inlineStr">
        <is>
          <t>사용</t>
        </is>
      </c>
      <c r="AL2140" s="18" t="inlineStr">
        <is>
          <t>COBBLEVERSE 1.7.42 / DP v31</t>
        </is>
      </c>
      <c r="AM2140" s="18" t="inlineStr">
        <is>
          <t>data/cobblemon/spawn_pool_world/0636_larvesta.json</t>
        </is>
      </c>
      <c r="AN2140" s="18" t="inlineStr">
        <is>
          <t>larvesta-3</t>
        </is>
      </c>
      <c r="AO2140" s="18" t="inlineStr">
        <is>
          <t>pokemon</t>
        </is>
      </c>
      <c r="AP2140" s="18" t="inlineStr">
        <is>
          <t>natural; treetop</t>
        </is>
      </c>
      <c r="AQ2140" s="18" t="inlineStr">
        <is>
          <t>{"biomes":["#cobblemon:nether/is_crimson","#cobblemon:nether/is_forest"]}</t>
        </is>
      </c>
      <c r="AR2140" s="18" t="inlineStr"/>
      <c r="AS2140" s="18" t="inlineStr"/>
      <c r="AT2140" s="19" t="inlineStr"/>
    </row>
    <row r="2141" ht="32" customHeight="1">
      <c r="A2141" s="18" t="inlineStr">
        <is>
          <t>0636_larvesta.json::larvesta-4::004</t>
        </is>
      </c>
      <c r="B2141" s="19" t="inlineStr">
        <is>
          <t>사용</t>
        </is>
      </c>
      <c r="C2141" s="18">
        <f>IF(OR(B2141&lt;&gt;AK2141,M2141&lt;&gt;L2141,O2141&lt;&gt;"",Q2141&lt;&gt;"",V2141&lt;&gt;1,Y2141&lt;&gt;"",AT2141&lt;&gt;""),"수정","원본")</f>
        <v/>
      </c>
      <c r="D2141" s="18" t="n">
        <v>636</v>
      </c>
      <c r="E2141" s="18" t="inlineStr">
        <is>
          <t>활화르바</t>
        </is>
      </c>
      <c r="F2141" s="18" t="inlineStr">
        <is>
          <t>larvesta</t>
        </is>
      </c>
      <c r="G2141" s="18" t="inlineStr">
        <is>
          <t>larvesta</t>
        </is>
      </c>
      <c r="H2141" s="18" t="inlineStr"/>
      <c r="I2141" s="18" t="n">
        <v>5</v>
      </c>
      <c r="J2141" s="18" t="n"/>
      <c r="K2141" s="18" t="n">
        <v>5</v>
      </c>
      <c r="L2141" s="18" t="inlineStr">
        <is>
          <t>cobbleventure:generation_5</t>
        </is>
      </c>
      <c r="M2141" s="19" t="inlineStr">
        <is>
          <t>cobbleventure:generation_5</t>
        </is>
      </c>
      <c r="N2141" s="18" t="inlineStr"/>
      <c r="O2141" s="19" t="inlineStr"/>
      <c r="P2141" s="18" t="inlineStr">
        <is>
          <t>#aether:is_aether</t>
        </is>
      </c>
      <c r="Q2141" s="19" t="inlineStr"/>
      <c r="R2141" s="18">
        <f>IF(Q2141="",P2141,Q2141)</f>
        <v/>
      </c>
      <c r="S2141" s="18" t="inlineStr"/>
      <c r="T2141" s="18" t="inlineStr">
        <is>
          <t>uncommon</t>
        </is>
      </c>
      <c r="U2141" s="20" t="n">
        <v>9</v>
      </c>
      <c r="V2141" s="21" t="n">
        <v>1</v>
      </c>
      <c r="W2141" s="20">
        <f>IF(OR(U2141="",V2141=""),U2141,U2141*V2141)</f>
        <v/>
      </c>
      <c r="X2141" s="18" t="inlineStr">
        <is>
          <t>11-36</t>
        </is>
      </c>
      <c r="Y2141" s="19" t="inlineStr"/>
      <c r="Z2141" s="18">
        <f>IF(Y2141="",X2141,Y2141)</f>
        <v/>
      </c>
      <c r="AA2141" s="18" t="inlineStr">
        <is>
          <t>grounded</t>
        </is>
      </c>
      <c r="AB2141" s="18" t="inlineStr"/>
      <c r="AC2141" s="18" t="inlineStr"/>
      <c r="AD2141" s="18" t="inlineStr"/>
      <c r="AE2141" s="18" t="inlineStr">
        <is>
          <t>sky 0-7</t>
        </is>
      </c>
      <c r="AF2141" s="18" t="inlineStr"/>
      <c r="AG2141" s="18" t="inlineStr">
        <is>
          <t>#aether:dungeons</t>
        </is>
      </c>
      <c r="AH2141" s="18" t="inlineStr"/>
      <c r="AI2141" s="18" t="inlineStr"/>
      <c r="AJ2141" s="18" t="inlineStr">
        <is>
          <t>Cobblemon 동일</t>
        </is>
      </c>
      <c r="AK2141" s="18" t="inlineStr">
        <is>
          <t>사용</t>
        </is>
      </c>
      <c r="AL2141" s="18" t="inlineStr">
        <is>
          <t>COBBLEVERSE 1.7.42 / DP v31</t>
        </is>
      </c>
      <c r="AM2141" s="18" t="inlineStr">
        <is>
          <t>data/cobblemon/spawn_pool_world/0636_larvesta.json</t>
        </is>
      </c>
      <c r="AN2141" s="18" t="inlineStr">
        <is>
          <t>larvesta-4</t>
        </is>
      </c>
      <c r="AO2141" s="18" t="inlineStr">
        <is>
          <t>pokemon</t>
        </is>
      </c>
      <c r="AP2141" s="18" t="inlineStr"/>
      <c r="AQ2141" s="18" t="inlineStr">
        <is>
          <t>{"biomes":["#aether:is_aether"],"maxSkyLight":7,"minSkyLight":0,"structures":["#aether:dungeons"]}</t>
        </is>
      </c>
      <c r="AR2141" s="18" t="inlineStr"/>
      <c r="AS2141" s="18" t="inlineStr"/>
      <c r="AT2141" s="19" t="inlineStr"/>
    </row>
    <row r="2142" ht="32" customHeight="1">
      <c r="A2142" s="18" t="inlineStr">
        <is>
          <t>0637_volcarona.json::volcarona-1::001</t>
        </is>
      </c>
      <c r="B2142" s="19" t="inlineStr">
        <is>
          <t>사용</t>
        </is>
      </c>
      <c r="C2142" s="18">
        <f>IF(OR(B2142&lt;&gt;AK2142,M2142&lt;&gt;L2142,O2142&lt;&gt;"",Q2142&lt;&gt;"",V2142&lt;&gt;1,Y2142&lt;&gt;"",AT2142&lt;&gt;""),"수정","원본")</f>
        <v/>
      </c>
      <c r="D2142" s="18" t="n">
        <v>637</v>
      </c>
      <c r="E2142" s="18" t="inlineStr">
        <is>
          <t>불카모스</t>
        </is>
      </c>
      <c r="F2142" s="18" t="inlineStr">
        <is>
          <t>volcarona</t>
        </is>
      </c>
      <c r="G2142" s="18" t="inlineStr">
        <is>
          <t>volcarona</t>
        </is>
      </c>
      <c r="H2142" s="18" t="inlineStr"/>
      <c r="I2142" s="18" t="n">
        <v>5</v>
      </c>
      <c r="J2142" s="18" t="n"/>
      <c r="K2142" s="18" t="n">
        <v>5</v>
      </c>
      <c r="L2142" s="18" t="inlineStr">
        <is>
          <t>cobbleventure:generation_5</t>
        </is>
      </c>
      <c r="M2142" s="19" t="inlineStr">
        <is>
          <t>cobbleventure:generation_5</t>
        </is>
      </c>
      <c r="N2142" s="18" t="inlineStr">
        <is>
          <t>region_02</t>
        </is>
      </c>
      <c r="O2142" s="19" t="inlineStr"/>
      <c r="P2142" s="18" t="inlineStr">
        <is>
          <t>#cobblemon:is_desert</t>
        </is>
      </c>
      <c r="Q2142" s="19" t="inlineStr"/>
      <c r="R2142" s="18">
        <f>IF(Q2142="",P2142,Q2142)</f>
        <v/>
      </c>
      <c r="S2142" s="18" t="inlineStr"/>
      <c r="T2142" s="18" t="inlineStr">
        <is>
          <t>uncommon</t>
        </is>
      </c>
      <c r="U2142" s="20" t="n">
        <v>16</v>
      </c>
      <c r="V2142" s="21" t="n">
        <v>1</v>
      </c>
      <c r="W2142" s="20">
        <f>IF(OR(U2142="",V2142=""),U2142,U2142*V2142)</f>
        <v/>
      </c>
      <c r="X2142" s="18" t="inlineStr">
        <is>
          <t>59-64</t>
        </is>
      </c>
      <c r="Y2142" s="19" t="inlineStr"/>
      <c r="Z2142" s="18">
        <f>IF(Y2142="",X2142,Y2142)</f>
        <v/>
      </c>
      <c r="AA2142" s="18" t="inlineStr">
        <is>
          <t>grounded</t>
        </is>
      </c>
      <c r="AB2142" s="18" t="inlineStr"/>
      <c r="AC2142" s="18" t="inlineStr"/>
      <c r="AD2142" s="18" t="inlineStr">
        <is>
          <t>minY=48</t>
        </is>
      </c>
      <c r="AE2142" s="18" t="inlineStr"/>
      <c r="AF2142" s="18" t="inlineStr">
        <is>
          <t>False</t>
        </is>
      </c>
      <c r="AG2142" s="18" t="inlineStr"/>
      <c r="AH2142" s="18" t="inlineStr"/>
      <c r="AI2142" s="18" t="inlineStr"/>
      <c r="AJ2142" s="18" t="inlineStr">
        <is>
          <t>Cobblemon 동일</t>
        </is>
      </c>
      <c r="AK2142" s="18" t="inlineStr">
        <is>
          <t>사용</t>
        </is>
      </c>
      <c r="AL2142" s="18" t="inlineStr">
        <is>
          <t>COBBLEVERSE 1.7.42 / DP v31</t>
        </is>
      </c>
      <c r="AM2142" s="18" t="inlineStr">
        <is>
          <t>data/cobblemon/spawn_pool_world/0637_volcarona.json</t>
        </is>
      </c>
      <c r="AN2142" s="18" t="inlineStr">
        <is>
          <t>volcarona-1</t>
        </is>
      </c>
      <c r="AO2142" s="18" t="inlineStr">
        <is>
          <t>pokemon</t>
        </is>
      </c>
      <c r="AP2142" s="18" t="inlineStr">
        <is>
          <t>natural; desert_pyramid</t>
        </is>
      </c>
      <c r="AQ2142" s="18" t="inlineStr">
        <is>
          <t>{"biomes":["#cobblemon:is_desert"],"canSeeSky":false,"minY":48}</t>
        </is>
      </c>
      <c r="AR2142" s="18" t="inlineStr"/>
      <c r="AS2142" s="18" t="inlineStr"/>
      <c r="AT2142" s="19" t="inlineStr"/>
    </row>
    <row r="2143" ht="32" customHeight="1">
      <c r="A2143" s="18" t="inlineStr">
        <is>
          <t>0637_volcarona.json::volcarona-2::002</t>
        </is>
      </c>
      <c r="B2143" s="19" t="inlineStr">
        <is>
          <t>사용</t>
        </is>
      </c>
      <c r="C2143" s="18">
        <f>IF(OR(B2143&lt;&gt;AK2143,M2143&lt;&gt;L2143,O2143&lt;&gt;"",Q2143&lt;&gt;"",V2143&lt;&gt;1,Y2143&lt;&gt;"",AT2143&lt;&gt;""),"수정","원본")</f>
        <v/>
      </c>
      <c r="D2143" s="18" t="n">
        <v>637</v>
      </c>
      <c r="E2143" s="18" t="inlineStr">
        <is>
          <t>불카모스</t>
        </is>
      </c>
      <c r="F2143" s="18" t="inlineStr">
        <is>
          <t>volcarona</t>
        </is>
      </c>
      <c r="G2143" s="18" t="inlineStr">
        <is>
          <t>volcarona</t>
        </is>
      </c>
      <c r="H2143" s="18" t="inlineStr"/>
      <c r="I2143" s="18" t="n">
        <v>5</v>
      </c>
      <c r="J2143" s="18" t="n"/>
      <c r="K2143" s="18" t="n">
        <v>5</v>
      </c>
      <c r="L2143" s="18" t="inlineStr">
        <is>
          <t>cobbleventure:generation_5</t>
        </is>
      </c>
      <c r="M2143" s="19" t="inlineStr">
        <is>
          <t>cobbleventure:generation_5</t>
        </is>
      </c>
      <c r="N2143" s="18" t="inlineStr"/>
      <c r="O2143" s="19" t="inlineStr"/>
      <c r="P2143" s="18" t="inlineStr">
        <is>
          <t>#cobblemon:is_jungle</t>
        </is>
      </c>
      <c r="Q2143" s="19" t="inlineStr"/>
      <c r="R2143" s="18">
        <f>IF(Q2143="",P2143,Q2143)</f>
        <v/>
      </c>
      <c r="S2143" s="18" t="inlineStr"/>
      <c r="T2143" s="18" t="inlineStr">
        <is>
          <t>uncommon</t>
        </is>
      </c>
      <c r="U2143" s="20" t="n">
        <v>16</v>
      </c>
      <c r="V2143" s="21" t="n">
        <v>1</v>
      </c>
      <c r="W2143" s="20">
        <f>IF(OR(U2143="",V2143=""),U2143,U2143*V2143)</f>
        <v/>
      </c>
      <c r="X2143" s="18" t="inlineStr">
        <is>
          <t>59-64</t>
        </is>
      </c>
      <c r="Y2143" s="19" t="inlineStr"/>
      <c r="Z2143" s="18">
        <f>IF(Y2143="",X2143,Y2143)</f>
        <v/>
      </c>
      <c r="AA2143" s="18" t="inlineStr">
        <is>
          <t>grounded</t>
        </is>
      </c>
      <c r="AB2143" s="18" t="inlineStr"/>
      <c r="AC2143" s="18" t="inlineStr"/>
      <c r="AD2143" s="18" t="inlineStr">
        <is>
          <t>minY=48</t>
        </is>
      </c>
      <c r="AE2143" s="18" t="inlineStr"/>
      <c r="AF2143" s="18" t="inlineStr">
        <is>
          <t>False</t>
        </is>
      </c>
      <c r="AG2143" s="18" t="inlineStr"/>
      <c r="AH2143" s="18" t="inlineStr"/>
      <c r="AI2143" s="18" t="inlineStr"/>
      <c r="AJ2143" s="18" t="inlineStr">
        <is>
          <t>Cobblemon 동일</t>
        </is>
      </c>
      <c r="AK2143" s="18" t="inlineStr">
        <is>
          <t>사용</t>
        </is>
      </c>
      <c r="AL2143" s="18" t="inlineStr">
        <is>
          <t>COBBLEVERSE 1.7.42 / DP v31</t>
        </is>
      </c>
      <c r="AM2143" s="18" t="inlineStr">
        <is>
          <t>data/cobblemon/spawn_pool_world/0637_volcarona.json</t>
        </is>
      </c>
      <c r="AN2143" s="18" t="inlineStr">
        <is>
          <t>volcarona-2</t>
        </is>
      </c>
      <c r="AO2143" s="18" t="inlineStr">
        <is>
          <t>pokemon</t>
        </is>
      </c>
      <c r="AP2143" s="18" t="inlineStr">
        <is>
          <t>natural; jungle_pyramid</t>
        </is>
      </c>
      <c r="AQ2143" s="18" t="inlineStr">
        <is>
          <t>{"biomes":["#cobblemon:is_jungle"],"canSeeSky":false,"minY":48}</t>
        </is>
      </c>
      <c r="AR2143" s="18" t="inlineStr"/>
      <c r="AS2143" s="18" t="inlineStr"/>
      <c r="AT2143" s="19" t="inlineStr"/>
    </row>
    <row r="2144" ht="32" customHeight="1">
      <c r="A2144" s="18" t="inlineStr">
        <is>
          <t>0637_volcarona.json::volcarona-3::003</t>
        </is>
      </c>
      <c r="B2144" s="19" t="inlineStr">
        <is>
          <t>사용</t>
        </is>
      </c>
      <c r="C2144" s="18">
        <f>IF(OR(B2144&lt;&gt;AK2144,M2144&lt;&gt;L2144,O2144&lt;&gt;"",Q2144&lt;&gt;"",V2144&lt;&gt;1,Y2144&lt;&gt;"",AT2144&lt;&gt;""),"수정","원본")</f>
        <v/>
      </c>
      <c r="D2144" s="18" t="n">
        <v>637</v>
      </c>
      <c r="E2144" s="18" t="inlineStr">
        <is>
          <t>불카모스</t>
        </is>
      </c>
      <c r="F2144" s="18" t="inlineStr">
        <is>
          <t>volcarona</t>
        </is>
      </c>
      <c r="G2144" s="18" t="inlineStr">
        <is>
          <t>volcarona</t>
        </is>
      </c>
      <c r="H2144" s="18" t="inlineStr"/>
      <c r="I2144" s="18" t="n">
        <v>5</v>
      </c>
      <c r="J2144" s="18" t="n"/>
      <c r="K2144" s="18" t="n">
        <v>5</v>
      </c>
      <c r="L2144" s="18" t="inlineStr">
        <is>
          <t>cobbleventure:generation_5</t>
        </is>
      </c>
      <c r="M2144" s="19" t="inlineStr">
        <is>
          <t>cobbleventure:generation_5</t>
        </is>
      </c>
      <c r="N2144" s="18" t="inlineStr"/>
      <c r="O2144" s="19" t="inlineStr"/>
      <c r="P2144" s="18" t="inlineStr">
        <is>
          <t>#cobblemon:nether/is_crimson; #cobblemon:nether/is_forest</t>
        </is>
      </c>
      <c r="Q2144" s="19" t="inlineStr"/>
      <c r="R2144" s="18">
        <f>IF(Q2144="",P2144,Q2144)</f>
        <v/>
      </c>
      <c r="S2144" s="18" t="inlineStr"/>
      <c r="T2144" s="18" t="inlineStr">
        <is>
          <t>uncommon</t>
        </is>
      </c>
      <c r="U2144" s="20" t="n">
        <v>1.6</v>
      </c>
      <c r="V2144" s="21" t="n">
        <v>1</v>
      </c>
      <c r="W2144" s="20">
        <f>IF(OR(U2144="",V2144=""),U2144,U2144*V2144)</f>
        <v/>
      </c>
      <c r="X2144" s="18" t="inlineStr">
        <is>
          <t>59-64</t>
        </is>
      </c>
      <c r="Y2144" s="19" t="inlineStr"/>
      <c r="Z2144" s="18">
        <f>IF(Y2144="",X2144,Y2144)</f>
        <v/>
      </c>
      <c r="AA2144" s="18" t="inlineStr">
        <is>
          <t>grounded</t>
        </is>
      </c>
      <c r="AB2144" s="18" t="inlineStr"/>
      <c r="AC2144" s="18" t="inlineStr"/>
      <c r="AD2144" s="18" t="inlineStr"/>
      <c r="AE2144" s="18" t="inlineStr"/>
      <c r="AF2144" s="18" t="inlineStr"/>
      <c r="AG2144" s="18" t="inlineStr"/>
      <c r="AH2144" s="18" t="inlineStr"/>
      <c r="AI2144" s="18" t="inlineStr">
        <is>
          <t>{"spawn":{"drops":{"amount":3,"entries":[{"item":"minecraft:blaze_powder","percentage":10.0},{"item":"cobblemon:silver_powder","percentage":5.0},{"item":"cobblemon:charti_berry","percentage":5.0}]}}}</t>
        </is>
      </c>
      <c r="AJ2144" s="18" t="inlineStr">
        <is>
          <t>Cobblemon 동일</t>
        </is>
      </c>
      <c r="AK2144" s="18" t="inlineStr">
        <is>
          <t>사용</t>
        </is>
      </c>
      <c r="AL2144" s="18" t="inlineStr">
        <is>
          <t>COBBLEVERSE 1.7.42 / DP v31</t>
        </is>
      </c>
      <c r="AM2144" s="18" t="inlineStr">
        <is>
          <t>data/cobblemon/spawn_pool_world/0637_volcarona.json</t>
        </is>
      </c>
      <c r="AN2144" s="18" t="inlineStr">
        <is>
          <t>volcarona-3</t>
        </is>
      </c>
      <c r="AO2144" s="18" t="inlineStr">
        <is>
          <t>pokemon</t>
        </is>
      </c>
      <c r="AP2144" s="18" t="inlineStr">
        <is>
          <t>natural; treetop</t>
        </is>
      </c>
      <c r="AQ2144" s="18" t="inlineStr">
        <is>
          <t>{"biomes":["#cobblemon:nether/is_crimson","#cobblemon:nether/is_forest"]}</t>
        </is>
      </c>
      <c r="AR2144" s="18" t="inlineStr"/>
      <c r="AS2144" s="18" t="inlineStr"/>
      <c r="AT2144" s="19" t="inlineStr"/>
    </row>
    <row r="2145" ht="32" customHeight="1">
      <c r="A2145" s="18" t="inlineStr">
        <is>
          <t>0637_volcarona.json::volcarona-4::004</t>
        </is>
      </c>
      <c r="B2145" s="19" t="inlineStr">
        <is>
          <t>사용</t>
        </is>
      </c>
      <c r="C2145" s="18">
        <f>IF(OR(B2145&lt;&gt;AK2145,M2145&lt;&gt;L2145,O2145&lt;&gt;"",Q2145&lt;&gt;"",V2145&lt;&gt;1,Y2145&lt;&gt;"",AT2145&lt;&gt;""),"수정","원본")</f>
        <v/>
      </c>
      <c r="D2145" s="18" t="n">
        <v>637</v>
      </c>
      <c r="E2145" s="18" t="inlineStr">
        <is>
          <t>불카모스</t>
        </is>
      </c>
      <c r="F2145" s="18" t="inlineStr">
        <is>
          <t>volcarona</t>
        </is>
      </c>
      <c r="G2145" s="18" t="inlineStr">
        <is>
          <t>volcarona</t>
        </is>
      </c>
      <c r="H2145" s="18" t="inlineStr"/>
      <c r="I2145" s="18" t="n">
        <v>5</v>
      </c>
      <c r="J2145" s="18" t="n"/>
      <c r="K2145" s="18" t="n">
        <v>5</v>
      </c>
      <c r="L2145" s="18" t="inlineStr">
        <is>
          <t>cobbleventure:generation_5</t>
        </is>
      </c>
      <c r="M2145" s="19" t="inlineStr">
        <is>
          <t>cobbleventure:generation_5</t>
        </is>
      </c>
      <c r="N2145" s="18" t="inlineStr"/>
      <c r="O2145" s="19" t="inlineStr"/>
      <c r="P2145" s="18" t="inlineStr">
        <is>
          <t>#aether:is_aether</t>
        </is>
      </c>
      <c r="Q2145" s="19" t="inlineStr"/>
      <c r="R2145" s="18">
        <f>IF(Q2145="",P2145,Q2145)</f>
        <v/>
      </c>
      <c r="S2145" s="18" t="inlineStr"/>
      <c r="T2145" s="18" t="inlineStr">
        <is>
          <t>uncommon</t>
        </is>
      </c>
      <c r="U2145" s="20" t="n">
        <v>1</v>
      </c>
      <c r="V2145" s="21" t="n">
        <v>1</v>
      </c>
      <c r="W2145" s="20">
        <f>IF(OR(U2145="",V2145=""),U2145,U2145*V2145)</f>
        <v/>
      </c>
      <c r="X2145" s="18" t="inlineStr">
        <is>
          <t>59-64</t>
        </is>
      </c>
      <c r="Y2145" s="19" t="inlineStr"/>
      <c r="Z2145" s="18">
        <f>IF(Y2145="",X2145,Y2145)</f>
        <v/>
      </c>
      <c r="AA2145" s="18" t="inlineStr">
        <is>
          <t>grounded</t>
        </is>
      </c>
      <c r="AB2145" s="18" t="inlineStr"/>
      <c r="AC2145" s="18" t="inlineStr"/>
      <c r="AD2145" s="18" t="inlineStr"/>
      <c r="AE2145" s="18" t="inlineStr">
        <is>
          <t>sky 0-7</t>
        </is>
      </c>
      <c r="AF2145" s="18" t="inlineStr"/>
      <c r="AG2145" s="18" t="inlineStr">
        <is>
          <t>#aether:dungeons</t>
        </is>
      </c>
      <c r="AH2145" s="18" t="inlineStr"/>
      <c r="AI2145" s="18" t="inlineStr"/>
      <c r="AJ2145" s="18" t="inlineStr">
        <is>
          <t>Cobblemon 동일</t>
        </is>
      </c>
      <c r="AK2145" s="18" t="inlineStr">
        <is>
          <t>사용</t>
        </is>
      </c>
      <c r="AL2145" s="18" t="inlineStr">
        <is>
          <t>COBBLEVERSE 1.7.42 / DP v31</t>
        </is>
      </c>
      <c r="AM2145" s="18" t="inlineStr">
        <is>
          <t>data/cobblemon/spawn_pool_world/0637_volcarona.json</t>
        </is>
      </c>
      <c r="AN2145" s="18" t="inlineStr">
        <is>
          <t>volcarona-4</t>
        </is>
      </c>
      <c r="AO2145" s="18" t="inlineStr">
        <is>
          <t>pokemon</t>
        </is>
      </c>
      <c r="AP2145" s="18" t="inlineStr"/>
      <c r="AQ2145" s="18" t="inlineStr">
        <is>
          <t>{"biomes":["#aether:is_aether"],"maxSkyLight":7,"minSkyLight":0,"structures":["#aether:dungeons"]}</t>
        </is>
      </c>
      <c r="AR2145" s="18" t="inlineStr"/>
      <c r="AS2145" s="18" t="inlineStr"/>
      <c r="AT2145" s="19" t="inlineStr"/>
    </row>
    <row r="2146" ht="32" customHeight="1">
      <c r="A2146" s="18" t="inlineStr">
        <is>
          <t>0638_cobalion.json::cobalion-1::001</t>
        </is>
      </c>
      <c r="B2146" s="19" t="inlineStr">
        <is>
          <t>사용</t>
        </is>
      </c>
      <c r="C2146" s="18">
        <f>IF(OR(B2146&lt;&gt;AK2146,M2146&lt;&gt;L2146,O2146&lt;&gt;"",Q2146&lt;&gt;"",V2146&lt;&gt;1,Y2146&lt;&gt;"",AT2146&lt;&gt;""),"수정","원본")</f>
        <v/>
      </c>
      <c r="D2146" s="18" t="n">
        <v>638</v>
      </c>
      <c r="E2146" s="18" t="inlineStr">
        <is>
          <t>코바르온</t>
        </is>
      </c>
      <c r="F2146" s="18" t="inlineStr">
        <is>
          <t>cobalion</t>
        </is>
      </c>
      <c r="G2146" s="18" t="inlineStr">
        <is>
          <t>cobalion</t>
        </is>
      </c>
      <c r="H2146" s="18" t="inlineStr"/>
      <c r="I2146" s="18" t="n">
        <v>5</v>
      </c>
      <c r="J2146" s="18" t="n"/>
      <c r="K2146" s="18" t="n">
        <v>5</v>
      </c>
      <c r="L2146" s="18" t="inlineStr">
        <is>
          <t>cobbleventure:generation_5</t>
        </is>
      </c>
      <c r="M2146" s="19" t="inlineStr">
        <is>
          <t>cobbleventure:generation_5</t>
        </is>
      </c>
      <c r="N2146" s="18" t="inlineStr"/>
      <c r="O2146" s="19" t="inlineStr"/>
      <c r="P2146" s="18" t="inlineStr">
        <is>
          <t>minecraft:windswept_forest</t>
        </is>
      </c>
      <c r="Q2146" s="19" t="inlineStr"/>
      <c r="R2146" s="18">
        <f>IF(Q2146="",P2146,Q2146)</f>
        <v/>
      </c>
      <c r="S2146" s="18" t="inlineStr"/>
      <c r="T2146" s="18" t="inlineStr">
        <is>
          <t>ultra-rare</t>
        </is>
      </c>
      <c r="U2146" s="20" t="n">
        <v>1.5</v>
      </c>
      <c r="V2146" s="21" t="n">
        <v>1</v>
      </c>
      <c r="W2146" s="20">
        <f>IF(OR(U2146="",V2146=""),U2146,U2146*V2146)</f>
        <v/>
      </c>
      <c r="X2146" s="18" t="inlineStr">
        <is>
          <t>50-70</t>
        </is>
      </c>
      <c r="Y2146" s="19" t="inlineStr"/>
      <c r="Z2146" s="18">
        <f>IF(Y2146="",X2146,Y2146)</f>
        <v/>
      </c>
      <c r="AA2146" s="18" t="inlineStr">
        <is>
          <t>grounded</t>
        </is>
      </c>
      <c r="AB2146" s="18" t="inlineStr"/>
      <c r="AC2146" s="18" t="inlineStr"/>
      <c r="AD2146" s="18" t="inlineStr"/>
      <c r="AE2146" s="18" t="inlineStr"/>
      <c r="AF2146" s="18" t="inlineStr">
        <is>
          <t>True</t>
        </is>
      </c>
      <c r="AG2146" s="18" t="inlineStr"/>
      <c r="AH2146" s="18" t="inlineStr"/>
      <c r="AI2146" s="18" t="inlineStr"/>
      <c r="AJ2146" s="18" t="inlineStr">
        <is>
          <t>COBBLEVERSE 추가</t>
        </is>
      </c>
      <c r="AK2146" s="18" t="inlineStr">
        <is>
          <t>사용</t>
        </is>
      </c>
      <c r="AL2146" s="18" t="inlineStr">
        <is>
          <t>COBBLEVERSE 1.7.42 / DP v31</t>
        </is>
      </c>
      <c r="AM2146" s="18" t="inlineStr">
        <is>
          <t>data/cobblemon/spawn_pool_world/0638_cobalion.json</t>
        </is>
      </c>
      <c r="AN2146" s="18" t="inlineStr">
        <is>
          <t>cobalion-1</t>
        </is>
      </c>
      <c r="AO2146" s="18" t="inlineStr">
        <is>
          <t>pokemon</t>
        </is>
      </c>
      <c r="AP2146" s="18" t="inlineStr">
        <is>
          <t>natural</t>
        </is>
      </c>
      <c r="AQ2146" s="18" t="inlineStr">
        <is>
          <t>{"biomes":["minecraft:windswept_forest"],"canSeeSky":true}</t>
        </is>
      </c>
      <c r="AR2146" s="18" t="inlineStr"/>
      <c r="AS2146" s="18" t="inlineStr"/>
      <c r="AT2146" s="19" t="inlineStr"/>
    </row>
    <row r="2147" ht="32" customHeight="1">
      <c r="A2147" s="18" t="inlineStr">
        <is>
          <t>0639_terrakion.json::terrakion-1::001</t>
        </is>
      </c>
      <c r="B2147" s="19" t="inlineStr">
        <is>
          <t>사용</t>
        </is>
      </c>
      <c r="C2147" s="18">
        <f>IF(OR(B2147&lt;&gt;AK2147,M2147&lt;&gt;L2147,O2147&lt;&gt;"",Q2147&lt;&gt;"",V2147&lt;&gt;1,Y2147&lt;&gt;"",AT2147&lt;&gt;""),"수정","원본")</f>
        <v/>
      </c>
      <c r="D2147" s="18" t="n">
        <v>639</v>
      </c>
      <c r="E2147" s="18" t="inlineStr">
        <is>
          <t>테라키온</t>
        </is>
      </c>
      <c r="F2147" s="18" t="inlineStr">
        <is>
          <t>terrakion</t>
        </is>
      </c>
      <c r="G2147" s="18" t="inlineStr">
        <is>
          <t>terrakion</t>
        </is>
      </c>
      <c r="H2147" s="18" t="inlineStr"/>
      <c r="I2147" s="18" t="n">
        <v>5</v>
      </c>
      <c r="J2147" s="18" t="n"/>
      <c r="K2147" s="18" t="n">
        <v>5</v>
      </c>
      <c r="L2147" s="18" t="inlineStr">
        <is>
          <t>cobbleventure:generation_5</t>
        </is>
      </c>
      <c r="M2147" s="19" t="inlineStr">
        <is>
          <t>cobbleventure:generation_5</t>
        </is>
      </c>
      <c r="N2147" s="18" t="inlineStr"/>
      <c r="O2147" s="19" t="inlineStr"/>
      <c r="P2147" s="18" t="inlineStr">
        <is>
          <t>#cobblemon:is_savanna</t>
        </is>
      </c>
      <c r="Q2147" s="19" t="inlineStr"/>
      <c r="R2147" s="18">
        <f>IF(Q2147="",P2147,Q2147)</f>
        <v/>
      </c>
      <c r="S2147" s="18" t="inlineStr"/>
      <c r="T2147" s="18" t="inlineStr">
        <is>
          <t>ultra-rare</t>
        </is>
      </c>
      <c r="U2147" s="20" t="n">
        <v>1.5</v>
      </c>
      <c r="V2147" s="21" t="n">
        <v>1</v>
      </c>
      <c r="W2147" s="20">
        <f>IF(OR(U2147="",V2147=""),U2147,U2147*V2147)</f>
        <v/>
      </c>
      <c r="X2147" s="18" t="inlineStr">
        <is>
          <t>50-70</t>
        </is>
      </c>
      <c r="Y2147" s="19" t="inlineStr"/>
      <c r="Z2147" s="18">
        <f>IF(Y2147="",X2147,Y2147)</f>
        <v/>
      </c>
      <c r="AA2147" s="18" t="inlineStr">
        <is>
          <t>grounded</t>
        </is>
      </c>
      <c r="AB2147" s="18" t="inlineStr"/>
      <c r="AC2147" s="18" t="inlineStr"/>
      <c r="AD2147" s="18" t="inlineStr"/>
      <c r="AE2147" s="18" t="inlineStr"/>
      <c r="AF2147" s="18" t="inlineStr"/>
      <c r="AG2147" s="18" t="inlineStr"/>
      <c r="AH2147" s="18" t="inlineStr"/>
      <c r="AI2147" s="18" t="inlineStr"/>
      <c r="AJ2147" s="18" t="inlineStr">
        <is>
          <t>COBBLEVERSE 추가</t>
        </is>
      </c>
      <c r="AK2147" s="18" t="inlineStr">
        <is>
          <t>사용</t>
        </is>
      </c>
      <c r="AL2147" s="18" t="inlineStr">
        <is>
          <t>COBBLEVERSE 1.7.42 / DP v31</t>
        </is>
      </c>
      <c r="AM2147" s="18" t="inlineStr">
        <is>
          <t>data/cobblemon/spawn_pool_world/0639_terrakion.json</t>
        </is>
      </c>
      <c r="AN2147" s="18" t="inlineStr">
        <is>
          <t>terrakion-1</t>
        </is>
      </c>
      <c r="AO2147" s="18" t="inlineStr">
        <is>
          <t>pokemon</t>
        </is>
      </c>
      <c r="AP2147" s="18" t="inlineStr">
        <is>
          <t>natural</t>
        </is>
      </c>
      <c r="AQ2147" s="18" t="inlineStr">
        <is>
          <t>{"biomes":["#cobblemon:is_savanna"]}</t>
        </is>
      </c>
      <c r="AR2147" s="18" t="inlineStr"/>
      <c r="AS2147" s="18" t="inlineStr"/>
      <c r="AT2147" s="19" t="inlineStr"/>
    </row>
    <row r="2148" ht="32" customHeight="1">
      <c r="A2148" s="18" t="inlineStr">
        <is>
          <t>0640_virizion.json::virizion-1::001</t>
        </is>
      </c>
      <c r="B2148" s="19" t="inlineStr">
        <is>
          <t>사용</t>
        </is>
      </c>
      <c r="C2148" s="18">
        <f>IF(OR(B2148&lt;&gt;AK2148,M2148&lt;&gt;L2148,O2148&lt;&gt;"",Q2148&lt;&gt;"",V2148&lt;&gt;1,Y2148&lt;&gt;"",AT2148&lt;&gt;""),"수정","원본")</f>
        <v/>
      </c>
      <c r="D2148" s="18" t="n">
        <v>640</v>
      </c>
      <c r="E2148" s="18" t="inlineStr">
        <is>
          <t>비리디온</t>
        </is>
      </c>
      <c r="F2148" s="18" t="inlineStr">
        <is>
          <t>virizion</t>
        </is>
      </c>
      <c r="G2148" s="18" t="inlineStr">
        <is>
          <t>virizion</t>
        </is>
      </c>
      <c r="H2148" s="18" t="inlineStr"/>
      <c r="I2148" s="18" t="n">
        <v>5</v>
      </c>
      <c r="J2148" s="18" t="n"/>
      <c r="K2148" s="18" t="n">
        <v>5</v>
      </c>
      <c r="L2148" s="18" t="inlineStr">
        <is>
          <t>cobbleventure:generation_5</t>
        </is>
      </c>
      <c r="M2148" s="19" t="inlineStr">
        <is>
          <t>cobbleventure:generation_5</t>
        </is>
      </c>
      <c r="N2148" s="18" t="inlineStr">
        <is>
          <t>region_01</t>
        </is>
      </c>
      <c r="O2148" s="19" t="inlineStr"/>
      <c r="P2148" s="18" t="inlineStr">
        <is>
          <t>#cobblemon:is_forest</t>
        </is>
      </c>
      <c r="Q2148" s="19" t="inlineStr"/>
      <c r="R2148" s="18">
        <f>IF(Q2148="",P2148,Q2148)</f>
        <v/>
      </c>
      <c r="S2148" s="18" t="inlineStr"/>
      <c r="T2148" s="18" t="inlineStr">
        <is>
          <t>ultra-rare</t>
        </is>
      </c>
      <c r="U2148" s="20" t="n">
        <v>1.5</v>
      </c>
      <c r="V2148" s="21" t="n">
        <v>1</v>
      </c>
      <c r="W2148" s="20">
        <f>IF(OR(U2148="",V2148=""),U2148,U2148*V2148)</f>
        <v/>
      </c>
      <c r="X2148" s="18" t="inlineStr">
        <is>
          <t>50-70</t>
        </is>
      </c>
      <c r="Y2148" s="19" t="inlineStr"/>
      <c r="Z2148" s="18">
        <f>IF(Y2148="",X2148,Y2148)</f>
        <v/>
      </c>
      <c r="AA2148" s="18" t="inlineStr">
        <is>
          <t>grounded</t>
        </is>
      </c>
      <c r="AB2148" s="18" t="inlineStr"/>
      <c r="AC2148" s="18" t="inlineStr"/>
      <c r="AD2148" s="18" t="inlineStr"/>
      <c r="AE2148" s="18" t="inlineStr"/>
      <c r="AF2148" s="18" t="inlineStr"/>
      <c r="AG2148" s="18" t="inlineStr"/>
      <c r="AH2148" s="18" t="inlineStr"/>
      <c r="AI2148" s="18" t="inlineStr"/>
      <c r="AJ2148" s="18" t="inlineStr">
        <is>
          <t>COBBLEVERSE 추가</t>
        </is>
      </c>
      <c r="AK2148" s="18" t="inlineStr">
        <is>
          <t>사용</t>
        </is>
      </c>
      <c r="AL2148" s="18" t="inlineStr">
        <is>
          <t>COBBLEVERSE 1.7.42 / DP v31</t>
        </is>
      </c>
      <c r="AM2148" s="18" t="inlineStr">
        <is>
          <t>data/cobblemon/spawn_pool_world/0640_virizion.json</t>
        </is>
      </c>
      <c r="AN2148" s="18" t="inlineStr">
        <is>
          <t>virizion-1</t>
        </is>
      </c>
      <c r="AO2148" s="18" t="inlineStr">
        <is>
          <t>pokemon</t>
        </is>
      </c>
      <c r="AP2148" s="18" t="inlineStr">
        <is>
          <t>natural</t>
        </is>
      </c>
      <c r="AQ2148" s="18" t="inlineStr">
        <is>
          <t>{"biomes":["#cobblemon:is_forest"]}</t>
        </is>
      </c>
      <c r="AR2148" s="18" t="inlineStr"/>
      <c r="AS2148" s="18" t="inlineStr"/>
      <c r="AT2148" s="19" t="inlineStr"/>
    </row>
    <row r="2149" ht="32" customHeight="1">
      <c r="A2149" s="18" t="inlineStr">
        <is>
          <t>0641_tornadus.json::tornadus-1::001</t>
        </is>
      </c>
      <c r="B2149" s="19" t="inlineStr">
        <is>
          <t>사용</t>
        </is>
      </c>
      <c r="C2149" s="18">
        <f>IF(OR(B2149&lt;&gt;AK2149,M2149&lt;&gt;L2149,O2149&lt;&gt;"",Q2149&lt;&gt;"",V2149&lt;&gt;1,Y2149&lt;&gt;"",AT2149&lt;&gt;""),"수정","원본")</f>
        <v/>
      </c>
      <c r="D2149" s="18" t="n">
        <v>641</v>
      </c>
      <c r="E2149" s="18" t="inlineStr">
        <is>
          <t>토네로스</t>
        </is>
      </c>
      <c r="F2149" s="18" t="inlineStr">
        <is>
          <t>tornadus</t>
        </is>
      </c>
      <c r="G2149" s="18" t="inlineStr">
        <is>
          <t>tornadus</t>
        </is>
      </c>
      <c r="H2149" s="18" t="inlineStr"/>
      <c r="I2149" s="18" t="n">
        <v>5</v>
      </c>
      <c r="J2149" s="18" t="n"/>
      <c r="K2149" s="18" t="n">
        <v>5</v>
      </c>
      <c r="L2149" s="18" t="inlineStr">
        <is>
          <t>cobbleventure:generation_5</t>
        </is>
      </c>
      <c r="M2149" s="19" t="inlineStr">
        <is>
          <t>cobbleventure:generation_5</t>
        </is>
      </c>
      <c r="N2149" s="18" t="inlineStr"/>
      <c r="O2149" s="19" t="inlineStr"/>
      <c r="P2149" s="18" t="inlineStr">
        <is>
          <t>#cobblemon:is_ocean</t>
        </is>
      </c>
      <c r="Q2149" s="19" t="inlineStr"/>
      <c r="R2149" s="18">
        <f>IF(Q2149="",P2149,Q2149)</f>
        <v/>
      </c>
      <c r="S2149" s="18" t="inlineStr"/>
      <c r="T2149" s="18" t="inlineStr">
        <is>
          <t>ultra-rare</t>
        </is>
      </c>
      <c r="U2149" s="20" t="n">
        <v>1</v>
      </c>
      <c r="V2149" s="21" t="n">
        <v>1</v>
      </c>
      <c r="W2149" s="20">
        <f>IF(OR(U2149="",V2149=""),U2149,U2149*V2149)</f>
        <v/>
      </c>
      <c r="X2149" s="18" t="inlineStr">
        <is>
          <t>50-60</t>
        </is>
      </c>
      <c r="Y2149" s="19" t="inlineStr"/>
      <c r="Z2149" s="18">
        <f>IF(Y2149="",X2149,Y2149)</f>
        <v/>
      </c>
      <c r="AA2149" s="18" t="inlineStr">
        <is>
          <t>surface</t>
        </is>
      </c>
      <c r="AB2149" s="18" t="inlineStr"/>
      <c r="AC2149" s="18" t="inlineStr"/>
      <c r="AD2149" s="18" t="inlineStr"/>
      <c r="AE2149" s="18" t="inlineStr"/>
      <c r="AF2149" s="18" t="inlineStr"/>
      <c r="AG2149" s="18" t="inlineStr"/>
      <c r="AH2149" s="18" t="inlineStr"/>
      <c r="AI2149" s="18" t="inlineStr"/>
      <c r="AJ2149" s="18" t="inlineStr">
        <is>
          <t>COBBLEVERSE 추가</t>
        </is>
      </c>
      <c r="AK2149" s="18" t="inlineStr">
        <is>
          <t>사용</t>
        </is>
      </c>
      <c r="AL2149" s="18" t="inlineStr">
        <is>
          <t>COBBLEVERSE 1.7.42 / DP v31</t>
        </is>
      </c>
      <c r="AM2149" s="18" t="inlineStr">
        <is>
          <t>data/cobblemon/spawn_pool_world/0641_tornadus.json</t>
        </is>
      </c>
      <c r="AN2149" s="18" t="inlineStr">
        <is>
          <t>tornadus-1</t>
        </is>
      </c>
      <c r="AO2149" s="18" t="inlineStr">
        <is>
          <t>pokemon</t>
        </is>
      </c>
      <c r="AP2149" s="18" t="inlineStr"/>
      <c r="AQ2149" s="18" t="inlineStr">
        <is>
          <t>{"biomes":["#cobblemon:is_ocean"]}</t>
        </is>
      </c>
      <c r="AR2149" s="18" t="inlineStr"/>
      <c r="AS2149" s="18" t="inlineStr">
        <is>
          <t>{"weightMultipliers":[{"condition":{"isRaining":true},"multiplier":3.0}]}</t>
        </is>
      </c>
      <c r="AT2149" s="19" t="inlineStr"/>
    </row>
    <row r="2150" ht="32" customHeight="1">
      <c r="A2150" s="18" t="inlineStr">
        <is>
          <t>0642_thundurus.json::thundurus-1::001</t>
        </is>
      </c>
      <c r="B2150" s="19" t="inlineStr">
        <is>
          <t>사용</t>
        </is>
      </c>
      <c r="C2150" s="18">
        <f>IF(OR(B2150&lt;&gt;AK2150,M2150&lt;&gt;L2150,O2150&lt;&gt;"",Q2150&lt;&gt;"",V2150&lt;&gt;1,Y2150&lt;&gt;"",AT2150&lt;&gt;""),"수정","원본")</f>
        <v/>
      </c>
      <c r="D2150" s="18" t="n">
        <v>642</v>
      </c>
      <c r="E2150" s="18" t="inlineStr">
        <is>
          <t>볼트로스</t>
        </is>
      </c>
      <c r="F2150" s="18" t="inlineStr">
        <is>
          <t>thundurus</t>
        </is>
      </c>
      <c r="G2150" s="18" t="inlineStr">
        <is>
          <t>thundurus</t>
        </is>
      </c>
      <c r="H2150" s="18" t="inlineStr"/>
      <c r="I2150" s="18" t="n">
        <v>5</v>
      </c>
      <c r="J2150" s="18" t="n"/>
      <c r="K2150" s="18" t="n">
        <v>5</v>
      </c>
      <c r="L2150" s="18" t="inlineStr">
        <is>
          <t>cobbleventure:generation_5</t>
        </is>
      </c>
      <c r="M2150" s="19" t="inlineStr">
        <is>
          <t>cobbleventure:generation_5</t>
        </is>
      </c>
      <c r="N2150" s="18" t="inlineStr"/>
      <c r="O2150" s="19" t="inlineStr"/>
      <c r="P2150" s="18" t="inlineStr">
        <is>
          <t>#cobblemon:is_mountain</t>
        </is>
      </c>
      <c r="Q2150" s="19" t="inlineStr"/>
      <c r="R2150" s="18">
        <f>IF(Q2150="",P2150,Q2150)</f>
        <v/>
      </c>
      <c r="S2150" s="18" t="inlineStr"/>
      <c r="T2150" s="18" t="inlineStr">
        <is>
          <t>ultra-rare</t>
        </is>
      </c>
      <c r="U2150" s="20" t="n">
        <v>1</v>
      </c>
      <c r="V2150" s="21" t="n">
        <v>1</v>
      </c>
      <c r="W2150" s="20">
        <f>IF(OR(U2150="",V2150=""),U2150,U2150*V2150)</f>
        <v/>
      </c>
      <c r="X2150" s="18" t="inlineStr">
        <is>
          <t>50-60</t>
        </is>
      </c>
      <c r="Y2150" s="19" t="inlineStr"/>
      <c r="Z2150" s="18">
        <f>IF(Y2150="",X2150,Y2150)</f>
        <v/>
      </c>
      <c r="AA2150" s="18" t="inlineStr">
        <is>
          <t>grounded</t>
        </is>
      </c>
      <c r="AB2150" s="18" t="inlineStr"/>
      <c r="AC2150" s="18" t="inlineStr"/>
      <c r="AD2150" s="18" t="inlineStr"/>
      <c r="AE2150" s="18" t="inlineStr"/>
      <c r="AF2150" s="18" t="inlineStr"/>
      <c r="AG2150" s="18" t="inlineStr"/>
      <c r="AH2150" s="18" t="inlineStr"/>
      <c r="AI2150" s="18" t="inlineStr"/>
      <c r="AJ2150" s="18" t="inlineStr">
        <is>
          <t>COBBLEVERSE 추가</t>
        </is>
      </c>
      <c r="AK2150" s="18" t="inlineStr">
        <is>
          <t>사용</t>
        </is>
      </c>
      <c r="AL2150" s="18" t="inlineStr">
        <is>
          <t>COBBLEVERSE 1.7.42 / DP v31</t>
        </is>
      </c>
      <c r="AM2150" s="18" t="inlineStr">
        <is>
          <t>data/cobblemon/spawn_pool_world/0642_thundurus.json</t>
        </is>
      </c>
      <c r="AN2150" s="18" t="inlineStr">
        <is>
          <t>thundurus-1</t>
        </is>
      </c>
      <c r="AO2150" s="18" t="inlineStr">
        <is>
          <t>pokemon</t>
        </is>
      </c>
      <c r="AP2150" s="18" t="inlineStr">
        <is>
          <t>natural</t>
        </is>
      </c>
      <c r="AQ2150" s="18" t="inlineStr">
        <is>
          <t>{"biomes":["#cobblemon:is_mountain"]}</t>
        </is>
      </c>
      <c r="AR2150" s="18" t="inlineStr"/>
      <c r="AS2150" s="18" t="inlineStr">
        <is>
          <t>{"weightMultipliers":[{"condition":{"isThundering":true},"multiplier":3.0}]}</t>
        </is>
      </c>
      <c r="AT2150" s="19" t="inlineStr"/>
    </row>
    <row r="2151" ht="32" customHeight="1">
      <c r="A2151" s="18" t="inlineStr">
        <is>
          <t>0643_reshiram.json::reshiram-1::001</t>
        </is>
      </c>
      <c r="B2151" s="19" t="inlineStr">
        <is>
          <t>사용</t>
        </is>
      </c>
      <c r="C2151" s="18">
        <f>IF(OR(B2151&lt;&gt;AK2151,M2151&lt;&gt;L2151,O2151&lt;&gt;"",Q2151&lt;&gt;"",V2151&lt;&gt;1,Y2151&lt;&gt;"",AT2151&lt;&gt;""),"수정","원본")</f>
        <v/>
      </c>
      <c r="D2151" s="18" t="n">
        <v>643</v>
      </c>
      <c r="E2151" s="18" t="inlineStr">
        <is>
          <t>레시라무</t>
        </is>
      </c>
      <c r="F2151" s="18" t="inlineStr">
        <is>
          <t>reshiram</t>
        </is>
      </c>
      <c r="G2151" s="18" t="inlineStr">
        <is>
          <t>reshiram</t>
        </is>
      </c>
      <c r="H2151" s="18" t="inlineStr"/>
      <c r="I2151" s="18" t="n">
        <v>5</v>
      </c>
      <c r="J2151" s="18" t="n"/>
      <c r="K2151" s="18" t="n">
        <v>5</v>
      </c>
      <c r="L2151" s="18" t="inlineStr">
        <is>
          <t>cobbleventure:generation_5</t>
        </is>
      </c>
      <c r="M2151" s="19" t="inlineStr">
        <is>
          <t>cobbleventure:generation_5</t>
        </is>
      </c>
      <c r="N2151" s="18" t="inlineStr"/>
      <c r="O2151" s="19" t="inlineStr"/>
      <c r="P2151" s="18" t="inlineStr">
        <is>
          <t>#cobblemon:is_mountain</t>
        </is>
      </c>
      <c r="Q2151" s="19" t="inlineStr"/>
      <c r="R2151" s="18">
        <f>IF(Q2151="",P2151,Q2151)</f>
        <v/>
      </c>
      <c r="S2151" s="18" t="inlineStr"/>
      <c r="T2151" s="18" t="inlineStr">
        <is>
          <t>ultra-rare</t>
        </is>
      </c>
      <c r="U2151" s="20" t="n">
        <v>2</v>
      </c>
      <c r="V2151" s="21" t="n">
        <v>1</v>
      </c>
      <c r="W2151" s="20">
        <f>IF(OR(U2151="",V2151=""),U2151,U2151*V2151)</f>
        <v/>
      </c>
      <c r="X2151" s="18" t="inlineStr">
        <is>
          <t>70-84</t>
        </is>
      </c>
      <c r="Y2151" s="19" t="inlineStr"/>
      <c r="Z2151" s="18">
        <f>IF(Y2151="",X2151,Y2151)</f>
        <v/>
      </c>
      <c r="AA2151" s="18" t="inlineStr">
        <is>
          <t>grounded</t>
        </is>
      </c>
      <c r="AB2151" s="18" t="inlineStr"/>
      <c r="AC2151" s="18" t="inlineStr">
        <is>
          <t>비=False</t>
        </is>
      </c>
      <c r="AD2151" s="18" t="inlineStr"/>
      <c r="AE2151" s="18" t="inlineStr"/>
      <c r="AF2151" s="18" t="inlineStr"/>
      <c r="AG2151" s="18" t="inlineStr"/>
      <c r="AH2151" s="18" t="inlineStr"/>
      <c r="AI2151" s="18" t="inlineStr"/>
      <c r="AJ2151" s="18" t="inlineStr">
        <is>
          <t>COBBLEVERSE 추가</t>
        </is>
      </c>
      <c r="AK2151" s="18" t="inlineStr">
        <is>
          <t>사용</t>
        </is>
      </c>
      <c r="AL2151" s="18" t="inlineStr">
        <is>
          <t>COBBLEVERSE 1.7.42 / DP v31</t>
        </is>
      </c>
      <c r="AM2151" s="18" t="inlineStr">
        <is>
          <t>data/cobblemon/spawn_pool_world/0643_reshiram.json</t>
        </is>
      </c>
      <c r="AN2151" s="18" t="inlineStr">
        <is>
          <t>reshiram-1</t>
        </is>
      </c>
      <c r="AO2151" s="18" t="inlineStr">
        <is>
          <t>pokemon</t>
        </is>
      </c>
      <c r="AP2151" s="18" t="inlineStr">
        <is>
          <t>natural</t>
        </is>
      </c>
      <c r="AQ2151" s="18" t="inlineStr">
        <is>
          <t>{"biomes":["#cobblemon:is_mountain"],"isRaining":false}</t>
        </is>
      </c>
      <c r="AR2151" s="18" t="inlineStr"/>
      <c r="AS2151" s="18" t="inlineStr"/>
      <c r="AT2151" s="19" t="inlineStr"/>
    </row>
    <row r="2152" ht="32" customHeight="1">
      <c r="A2152" s="18" t="inlineStr">
        <is>
          <t>0644_zekrom.json::zekrom-1::001</t>
        </is>
      </c>
      <c r="B2152" s="19" t="inlineStr">
        <is>
          <t>사용</t>
        </is>
      </c>
      <c r="C2152" s="18">
        <f>IF(OR(B2152&lt;&gt;AK2152,M2152&lt;&gt;L2152,O2152&lt;&gt;"",Q2152&lt;&gt;"",V2152&lt;&gt;1,Y2152&lt;&gt;"",AT2152&lt;&gt;""),"수정","원본")</f>
        <v/>
      </c>
      <c r="D2152" s="18" t="n">
        <v>644</v>
      </c>
      <c r="E2152" s="18" t="inlineStr">
        <is>
          <t>제크로무</t>
        </is>
      </c>
      <c r="F2152" s="18" t="inlineStr">
        <is>
          <t>zekrom</t>
        </is>
      </c>
      <c r="G2152" s="18" t="inlineStr">
        <is>
          <t>zekrom</t>
        </is>
      </c>
      <c r="H2152" s="18" t="inlineStr"/>
      <c r="I2152" s="18" t="n">
        <v>5</v>
      </c>
      <c r="J2152" s="18" t="n"/>
      <c r="K2152" s="18" t="n">
        <v>5</v>
      </c>
      <c r="L2152" s="18" t="inlineStr">
        <is>
          <t>cobbleventure:generation_5</t>
        </is>
      </c>
      <c r="M2152" s="19" t="inlineStr">
        <is>
          <t>cobbleventure:generation_5</t>
        </is>
      </c>
      <c r="N2152" s="18" t="inlineStr"/>
      <c r="O2152" s="19" t="inlineStr"/>
      <c r="P2152" s="18" t="inlineStr">
        <is>
          <t>#cobblemon:is_mountain</t>
        </is>
      </c>
      <c r="Q2152" s="19" t="inlineStr"/>
      <c r="R2152" s="18">
        <f>IF(Q2152="",P2152,Q2152)</f>
        <v/>
      </c>
      <c r="S2152" s="18" t="inlineStr"/>
      <c r="T2152" s="18" t="inlineStr">
        <is>
          <t>ultra-rare</t>
        </is>
      </c>
      <c r="U2152" s="20" t="n">
        <v>2</v>
      </c>
      <c r="V2152" s="21" t="n">
        <v>1</v>
      </c>
      <c r="W2152" s="20">
        <f>IF(OR(U2152="",V2152=""),U2152,U2152*V2152)</f>
        <v/>
      </c>
      <c r="X2152" s="18" t="inlineStr">
        <is>
          <t>70-84</t>
        </is>
      </c>
      <c r="Y2152" s="19" t="inlineStr"/>
      <c r="Z2152" s="18">
        <f>IF(Y2152="",X2152,Y2152)</f>
        <v/>
      </c>
      <c r="AA2152" s="18" t="inlineStr">
        <is>
          <t>grounded</t>
        </is>
      </c>
      <c r="AB2152" s="18" t="inlineStr"/>
      <c r="AC2152" s="18" t="inlineStr">
        <is>
          <t>천둥=True</t>
        </is>
      </c>
      <c r="AD2152" s="18" t="inlineStr"/>
      <c r="AE2152" s="18" t="inlineStr"/>
      <c r="AF2152" s="18" t="inlineStr"/>
      <c r="AG2152" s="18" t="inlineStr"/>
      <c r="AH2152" s="18" t="inlineStr"/>
      <c r="AI2152" s="18" t="inlineStr"/>
      <c r="AJ2152" s="18" t="inlineStr">
        <is>
          <t>COBBLEVERSE 추가</t>
        </is>
      </c>
      <c r="AK2152" s="18" t="inlineStr">
        <is>
          <t>사용</t>
        </is>
      </c>
      <c r="AL2152" s="18" t="inlineStr">
        <is>
          <t>COBBLEVERSE 1.7.42 / DP v31</t>
        </is>
      </c>
      <c r="AM2152" s="18" t="inlineStr">
        <is>
          <t>data/cobblemon/spawn_pool_world/0644_zekrom.json</t>
        </is>
      </c>
      <c r="AN2152" s="18" t="inlineStr">
        <is>
          <t>zekrom-1</t>
        </is>
      </c>
      <c r="AO2152" s="18" t="inlineStr">
        <is>
          <t>pokemon</t>
        </is>
      </c>
      <c r="AP2152" s="18" t="inlineStr">
        <is>
          <t>natural</t>
        </is>
      </c>
      <c r="AQ2152" s="18" t="inlineStr">
        <is>
          <t>{"biomes":["#cobblemon:is_mountain"],"isThundering":true}</t>
        </is>
      </c>
      <c r="AR2152" s="18" t="inlineStr"/>
      <c r="AS2152" s="18" t="inlineStr"/>
      <c r="AT2152" s="19" t="inlineStr"/>
    </row>
    <row r="2153" ht="32" customHeight="1">
      <c r="A2153" s="18" t="inlineStr">
        <is>
          <t>0645_landorus.json::landorus-1::001</t>
        </is>
      </c>
      <c r="B2153" s="19" t="inlineStr">
        <is>
          <t>사용</t>
        </is>
      </c>
      <c r="C2153" s="18">
        <f>IF(OR(B2153&lt;&gt;AK2153,M2153&lt;&gt;L2153,O2153&lt;&gt;"",Q2153&lt;&gt;"",V2153&lt;&gt;1,Y2153&lt;&gt;"",AT2153&lt;&gt;""),"수정","원본")</f>
        <v/>
      </c>
      <c r="D2153" s="18" t="n">
        <v>645</v>
      </c>
      <c r="E2153" s="18" t="inlineStr">
        <is>
          <t>랜드로스</t>
        </is>
      </c>
      <c r="F2153" s="18" t="inlineStr">
        <is>
          <t>landorus</t>
        </is>
      </c>
      <c r="G2153" s="18" t="inlineStr">
        <is>
          <t>landorus</t>
        </is>
      </c>
      <c r="H2153" s="18" t="inlineStr"/>
      <c r="I2153" s="18" t="n">
        <v>5</v>
      </c>
      <c r="J2153" s="18" t="n"/>
      <c r="K2153" s="18" t="n">
        <v>5</v>
      </c>
      <c r="L2153" s="18" t="inlineStr">
        <is>
          <t>cobbleventure:generation_5</t>
        </is>
      </c>
      <c r="M2153" s="19" t="inlineStr">
        <is>
          <t>cobbleventure:generation_5</t>
        </is>
      </c>
      <c r="N2153" s="18" t="inlineStr"/>
      <c r="O2153" s="19" t="inlineStr"/>
      <c r="P2153" s="18" t="inlineStr">
        <is>
          <t>#cobblemon:is_badlands</t>
        </is>
      </c>
      <c r="Q2153" s="19" t="inlineStr"/>
      <c r="R2153" s="18">
        <f>IF(Q2153="",P2153,Q2153)</f>
        <v/>
      </c>
      <c r="S2153" s="18" t="inlineStr"/>
      <c r="T2153" s="18" t="inlineStr">
        <is>
          <t>ultra-rare</t>
        </is>
      </c>
      <c r="U2153" s="20" t="n">
        <v>1.5</v>
      </c>
      <c r="V2153" s="21" t="n">
        <v>1</v>
      </c>
      <c r="W2153" s="20">
        <f>IF(OR(U2153="",V2153=""),U2153,U2153*V2153)</f>
        <v/>
      </c>
      <c r="X2153" s="18" t="inlineStr">
        <is>
          <t>50-60</t>
        </is>
      </c>
      <c r="Y2153" s="19" t="inlineStr"/>
      <c r="Z2153" s="18">
        <f>IF(Y2153="",X2153,Y2153)</f>
        <v/>
      </c>
      <c r="AA2153" s="18" t="inlineStr">
        <is>
          <t>grounded</t>
        </is>
      </c>
      <c r="AB2153" s="18" t="inlineStr"/>
      <c r="AC2153" s="18" t="inlineStr">
        <is>
          <t>비=False</t>
        </is>
      </c>
      <c r="AD2153" s="18" t="inlineStr"/>
      <c r="AE2153" s="18" t="inlineStr"/>
      <c r="AF2153" s="18" t="inlineStr"/>
      <c r="AG2153" s="18" t="inlineStr"/>
      <c r="AH2153" s="18" t="inlineStr"/>
      <c r="AI2153" s="18" t="inlineStr"/>
      <c r="AJ2153" s="18" t="inlineStr">
        <is>
          <t>COBBLEVERSE 추가</t>
        </is>
      </c>
      <c r="AK2153" s="18" t="inlineStr">
        <is>
          <t>사용</t>
        </is>
      </c>
      <c r="AL2153" s="18" t="inlineStr">
        <is>
          <t>COBBLEVERSE 1.7.42 / DP v31</t>
        </is>
      </c>
      <c r="AM2153" s="18" t="inlineStr">
        <is>
          <t>data/cobblemon/spawn_pool_world/0645_landorus.json</t>
        </is>
      </c>
      <c r="AN2153" s="18" t="inlineStr">
        <is>
          <t>landorus-1</t>
        </is>
      </c>
      <c r="AO2153" s="18" t="inlineStr">
        <is>
          <t>pokemon</t>
        </is>
      </c>
      <c r="AP2153" s="18" t="inlineStr">
        <is>
          <t>natural</t>
        </is>
      </c>
      <c r="AQ2153" s="18" t="inlineStr">
        <is>
          <t>{"biomes":["#cobblemon:is_badlands"],"isRaining":false}</t>
        </is>
      </c>
      <c r="AR2153" s="18" t="inlineStr"/>
      <c r="AS2153" s="18" t="inlineStr"/>
      <c r="AT2153" s="19" t="inlineStr"/>
    </row>
    <row r="2154" ht="32" customHeight="1">
      <c r="A2154" s="18" t="inlineStr">
        <is>
          <t>0646_kyurem.json::kyurem-1::001</t>
        </is>
      </c>
      <c r="B2154" s="19" t="inlineStr">
        <is>
          <t>사용</t>
        </is>
      </c>
      <c r="C2154" s="18">
        <f>IF(OR(B2154&lt;&gt;AK2154,M2154&lt;&gt;L2154,O2154&lt;&gt;"",Q2154&lt;&gt;"",V2154&lt;&gt;1,Y2154&lt;&gt;"",AT2154&lt;&gt;""),"수정","원본")</f>
        <v/>
      </c>
      <c r="D2154" s="18" t="n">
        <v>646</v>
      </c>
      <c r="E2154" s="18" t="inlineStr">
        <is>
          <t>큐레무</t>
        </is>
      </c>
      <c r="F2154" s="18" t="inlineStr">
        <is>
          <t>kyurem</t>
        </is>
      </c>
      <c r="G2154" s="18" t="inlineStr">
        <is>
          <t>kyurem</t>
        </is>
      </c>
      <c r="H2154" s="18" t="inlineStr"/>
      <c r="I2154" s="18" t="n">
        <v>5</v>
      </c>
      <c r="J2154" s="18" t="n"/>
      <c r="K2154" s="18" t="n">
        <v>5</v>
      </c>
      <c r="L2154" s="18" t="inlineStr">
        <is>
          <t>cobbleventure:generation_5</t>
        </is>
      </c>
      <c r="M2154" s="19" t="inlineStr">
        <is>
          <t>cobbleventure:generation_5</t>
        </is>
      </c>
      <c r="N2154" s="18" t="inlineStr"/>
      <c r="O2154" s="19" t="inlineStr"/>
      <c r="P2154" s="18" t="inlineStr">
        <is>
          <t>minecraft:ice_spikes</t>
        </is>
      </c>
      <c r="Q2154" s="19" t="inlineStr"/>
      <c r="R2154" s="18">
        <f>IF(Q2154="",P2154,Q2154)</f>
        <v/>
      </c>
      <c r="S2154" s="18" t="inlineStr"/>
      <c r="T2154" s="18" t="inlineStr">
        <is>
          <t>ultra-rare</t>
        </is>
      </c>
      <c r="U2154" s="20" t="n">
        <v>2</v>
      </c>
      <c r="V2154" s="21" t="n">
        <v>1</v>
      </c>
      <c r="W2154" s="20">
        <f>IF(OR(U2154="",V2154=""),U2154,U2154*V2154)</f>
        <v/>
      </c>
      <c r="X2154" s="18" t="inlineStr">
        <is>
          <t>66-78</t>
        </is>
      </c>
      <c r="Y2154" s="19" t="inlineStr"/>
      <c r="Z2154" s="18">
        <f>IF(Y2154="",X2154,Y2154)</f>
        <v/>
      </c>
      <c r="AA2154" s="18" t="inlineStr">
        <is>
          <t>grounded</t>
        </is>
      </c>
      <c r="AB2154" s="18" t="inlineStr"/>
      <c r="AC2154" s="18" t="inlineStr">
        <is>
          <t>비=True</t>
        </is>
      </c>
      <c r="AD2154" s="18" t="inlineStr"/>
      <c r="AE2154" s="18" t="inlineStr"/>
      <c r="AF2154" s="18" t="inlineStr"/>
      <c r="AG2154" s="18" t="inlineStr"/>
      <c r="AH2154" s="18" t="inlineStr"/>
      <c r="AI2154" s="18" t="inlineStr"/>
      <c r="AJ2154" s="18" t="inlineStr">
        <is>
          <t>COBBLEVERSE 추가</t>
        </is>
      </c>
      <c r="AK2154" s="18" t="inlineStr">
        <is>
          <t>사용</t>
        </is>
      </c>
      <c r="AL2154" s="18" t="inlineStr">
        <is>
          <t>COBBLEVERSE 1.7.42 / DP v31</t>
        </is>
      </c>
      <c r="AM2154" s="18" t="inlineStr">
        <is>
          <t>data/cobblemon/spawn_pool_world/0646_kyurem.json</t>
        </is>
      </c>
      <c r="AN2154" s="18" t="inlineStr">
        <is>
          <t>kyurem-1</t>
        </is>
      </c>
      <c r="AO2154" s="18" t="inlineStr">
        <is>
          <t>pokemon</t>
        </is>
      </c>
      <c r="AP2154" s="18" t="inlineStr">
        <is>
          <t>natural</t>
        </is>
      </c>
      <c r="AQ2154" s="18" t="inlineStr">
        <is>
          <t>{"biomes":["minecraft:ice_spikes"],"isRaining":true}</t>
        </is>
      </c>
      <c r="AR2154" s="18" t="inlineStr"/>
      <c r="AS2154" s="18" t="inlineStr"/>
      <c r="AT2154" s="19" t="inlineStr"/>
    </row>
    <row r="2155" ht="32" customHeight="1">
      <c r="A2155" s="18" t="inlineStr">
        <is>
          <t>0647_keldeo.json::keldeo-1::001</t>
        </is>
      </c>
      <c r="B2155" s="19" t="inlineStr">
        <is>
          <t>사용</t>
        </is>
      </c>
      <c r="C2155" s="18">
        <f>IF(OR(B2155&lt;&gt;AK2155,M2155&lt;&gt;L2155,O2155&lt;&gt;"",Q2155&lt;&gt;"",V2155&lt;&gt;1,Y2155&lt;&gt;"",AT2155&lt;&gt;""),"수정","원본")</f>
        <v/>
      </c>
      <c r="D2155" s="18" t="n">
        <v>647</v>
      </c>
      <c r="E2155" s="18" t="inlineStr">
        <is>
          <t>케르디오</t>
        </is>
      </c>
      <c r="F2155" s="18" t="inlineStr">
        <is>
          <t>keldeo</t>
        </is>
      </c>
      <c r="G2155" s="18" t="inlineStr">
        <is>
          <t>keldeo sword_form=ordinary</t>
        </is>
      </c>
      <c r="H2155" s="18" t="inlineStr">
        <is>
          <t>sword_form=ordinary</t>
        </is>
      </c>
      <c r="I2155" s="18" t="n">
        <v>5</v>
      </c>
      <c r="J2155" s="18" t="n"/>
      <c r="K2155" s="18" t="n">
        <v>5</v>
      </c>
      <c r="L2155" s="18" t="inlineStr">
        <is>
          <t>cobbleventure:generation_5</t>
        </is>
      </c>
      <c r="M2155" s="19" t="inlineStr">
        <is>
          <t>cobbleventure:generation_5</t>
        </is>
      </c>
      <c r="N2155" s="18" t="inlineStr"/>
      <c r="O2155" s="19" t="inlineStr"/>
      <c r="P2155" s="18" t="inlineStr">
        <is>
          <t>terralith:sakura_grove; terralith:sakura_valley</t>
        </is>
      </c>
      <c r="Q2155" s="19" t="inlineStr"/>
      <c r="R2155" s="18">
        <f>IF(Q2155="",P2155,Q2155)</f>
        <v/>
      </c>
      <c r="S2155" s="18" t="inlineStr"/>
      <c r="T2155" s="18" t="inlineStr">
        <is>
          <t>ultra-rare</t>
        </is>
      </c>
      <c r="U2155" s="20" t="n">
        <v>3.3</v>
      </c>
      <c r="V2155" s="21" t="n">
        <v>1</v>
      </c>
      <c r="W2155" s="20">
        <f>IF(OR(U2155="",V2155=""),U2155,U2155*V2155)</f>
        <v/>
      </c>
      <c r="X2155" s="18" t="inlineStr">
        <is>
          <t>60</t>
        </is>
      </c>
      <c r="Y2155" s="19" t="inlineStr"/>
      <c r="Z2155" s="18">
        <f>IF(Y2155="",X2155,Y2155)</f>
        <v/>
      </c>
      <c r="AA2155" s="18" t="inlineStr">
        <is>
          <t>grounded</t>
        </is>
      </c>
      <c r="AB2155" s="18" t="inlineStr"/>
      <c r="AC2155" s="18" t="inlineStr"/>
      <c r="AD2155" s="18" t="inlineStr"/>
      <c r="AE2155" s="18" t="inlineStr">
        <is>
          <t>sky 8-15</t>
        </is>
      </c>
      <c r="AF2155" s="18" t="inlineStr"/>
      <c r="AG2155" s="18" t="inlineStr"/>
      <c r="AH2155" s="18" t="inlineStr"/>
      <c r="AI2155" s="18" t="inlineStr"/>
      <c r="AJ2155" s="18" t="inlineStr">
        <is>
          <t>COBBLEVERSE 추가</t>
        </is>
      </c>
      <c r="AK2155" s="18" t="inlineStr">
        <is>
          <t>사용</t>
        </is>
      </c>
      <c r="AL2155" s="18" t="inlineStr">
        <is>
          <t>COBBLEVERSE 1.7.42 / DP v31</t>
        </is>
      </c>
      <c r="AM2155" s="18" t="inlineStr">
        <is>
          <t>data/cobblemon/spawn_pool_world/0647_keldeo.json</t>
        </is>
      </c>
      <c r="AN2155" s="18" t="inlineStr">
        <is>
          <t>keldeo-1</t>
        </is>
      </c>
      <c r="AO2155" s="18" t="inlineStr">
        <is>
          <t>pokemon</t>
        </is>
      </c>
      <c r="AP2155" s="18" t="inlineStr">
        <is>
          <t>natural</t>
        </is>
      </c>
      <c r="AQ2155" s="18" t="inlineStr">
        <is>
          <t>{"biomes":["terralith:sakura_grove","terralith:sakura_valley"],"maxSkyLight":15,"minSkyLight":8}</t>
        </is>
      </c>
      <c r="AR2155" s="18" t="inlineStr"/>
      <c r="AS2155" s="18" t="inlineStr"/>
      <c r="AT2155" s="19" t="inlineStr"/>
    </row>
    <row r="2156" ht="32" customHeight="1">
      <c r="A2156" s="18" t="inlineStr">
        <is>
          <t>0647_keldeo.json::keldeo-1::002</t>
        </is>
      </c>
      <c r="B2156" s="19" t="inlineStr">
        <is>
          <t>사용</t>
        </is>
      </c>
      <c r="C2156" s="18">
        <f>IF(OR(B2156&lt;&gt;AK2156,M2156&lt;&gt;L2156,O2156&lt;&gt;"",Q2156&lt;&gt;"",V2156&lt;&gt;1,Y2156&lt;&gt;"",AT2156&lt;&gt;""),"수정","원본")</f>
        <v/>
      </c>
      <c r="D2156" s="18" t="n">
        <v>647</v>
      </c>
      <c r="E2156" s="18" t="inlineStr">
        <is>
          <t>케르디오</t>
        </is>
      </c>
      <c r="F2156" s="18" t="inlineStr">
        <is>
          <t>keldeo</t>
        </is>
      </c>
      <c r="G2156" s="18" t="inlineStr">
        <is>
          <t>keldeo sword_form=resolute</t>
        </is>
      </c>
      <c r="H2156" s="18" t="inlineStr">
        <is>
          <t>sword_form=resolute</t>
        </is>
      </c>
      <c r="I2156" s="18" t="n">
        <v>5</v>
      </c>
      <c r="J2156" s="18" t="n"/>
      <c r="K2156" s="18" t="n">
        <v>5</v>
      </c>
      <c r="L2156" s="18" t="inlineStr">
        <is>
          <t>cobbleventure:generation_5</t>
        </is>
      </c>
      <c r="M2156" s="19" t="inlineStr">
        <is>
          <t>cobbleventure:generation_5</t>
        </is>
      </c>
      <c r="N2156" s="18" t="inlineStr"/>
      <c r="O2156" s="19" t="inlineStr"/>
      <c r="P2156" s="18" t="inlineStr">
        <is>
          <t>terralith:sakura_grove; terralith:sakura_valley</t>
        </is>
      </c>
      <c r="Q2156" s="19" t="inlineStr"/>
      <c r="R2156" s="18">
        <f>IF(Q2156="",P2156,Q2156)</f>
        <v/>
      </c>
      <c r="S2156" s="18" t="inlineStr"/>
      <c r="T2156" s="18" t="inlineStr">
        <is>
          <t>ultra-rare</t>
        </is>
      </c>
      <c r="U2156" s="20" t="n">
        <v>0.3</v>
      </c>
      <c r="V2156" s="21" t="n">
        <v>1</v>
      </c>
      <c r="W2156" s="20">
        <f>IF(OR(U2156="",V2156=""),U2156,U2156*V2156)</f>
        <v/>
      </c>
      <c r="X2156" s="18" t="inlineStr">
        <is>
          <t>80</t>
        </is>
      </c>
      <c r="Y2156" s="19" t="inlineStr"/>
      <c r="Z2156" s="18">
        <f>IF(Y2156="",X2156,Y2156)</f>
        <v/>
      </c>
      <c r="AA2156" s="18" t="inlineStr">
        <is>
          <t>grounded</t>
        </is>
      </c>
      <c r="AB2156" s="18" t="inlineStr"/>
      <c r="AC2156" s="18" t="inlineStr"/>
      <c r="AD2156" s="18" t="inlineStr"/>
      <c r="AE2156" s="18" t="inlineStr">
        <is>
          <t>sky 8-15</t>
        </is>
      </c>
      <c r="AF2156" s="18" t="inlineStr"/>
      <c r="AG2156" s="18" t="inlineStr"/>
      <c r="AH2156" s="18" t="inlineStr"/>
      <c r="AI2156" s="18" t="inlineStr"/>
      <c r="AJ2156" s="18" t="inlineStr">
        <is>
          <t>COBBLEVERSE 추가</t>
        </is>
      </c>
      <c r="AK2156" s="18" t="inlineStr">
        <is>
          <t>사용</t>
        </is>
      </c>
      <c r="AL2156" s="18" t="inlineStr">
        <is>
          <t>COBBLEVERSE 1.7.42 / DP v31</t>
        </is>
      </c>
      <c r="AM2156" s="18" t="inlineStr">
        <is>
          <t>data/cobblemon/spawn_pool_world/0647_keldeo.json</t>
        </is>
      </c>
      <c r="AN2156" s="18" t="inlineStr">
        <is>
          <t>keldeo-1</t>
        </is>
      </c>
      <c r="AO2156" s="18" t="inlineStr">
        <is>
          <t>pokemon</t>
        </is>
      </c>
      <c r="AP2156" s="18" t="inlineStr">
        <is>
          <t>natural</t>
        </is>
      </c>
      <c r="AQ2156" s="18" t="inlineStr">
        <is>
          <t>{"biomes":["terralith:sakura_grove","terralith:sakura_valley"],"maxSkyLight":15,"minSkyLight":8}</t>
        </is>
      </c>
      <c r="AR2156" s="18" t="inlineStr"/>
      <c r="AS2156" s="18" t="inlineStr"/>
      <c r="AT2156" s="19" t="inlineStr"/>
    </row>
    <row r="2157" ht="32" customHeight="1">
      <c r="A2157" s="18" t="inlineStr">
        <is>
          <t>0648_meloetta.json::meloetta-1::001</t>
        </is>
      </c>
      <c r="B2157" s="19" t="inlineStr">
        <is>
          <t>사용</t>
        </is>
      </c>
      <c r="C2157" s="18">
        <f>IF(OR(B2157&lt;&gt;AK2157,M2157&lt;&gt;L2157,O2157&lt;&gt;"",Q2157&lt;&gt;"",V2157&lt;&gt;1,Y2157&lt;&gt;"",AT2157&lt;&gt;""),"수정","원본")</f>
        <v/>
      </c>
      <c r="D2157" s="18" t="n">
        <v>648</v>
      </c>
      <c r="E2157" s="18" t="inlineStr">
        <is>
          <t>메로엣타</t>
        </is>
      </c>
      <c r="F2157" s="18" t="inlineStr">
        <is>
          <t>meloetta</t>
        </is>
      </c>
      <c r="G2157" s="18" t="inlineStr">
        <is>
          <t>meloetta</t>
        </is>
      </c>
      <c r="H2157" s="18" t="inlineStr"/>
      <c r="I2157" s="18" t="n">
        <v>5</v>
      </c>
      <c r="J2157" s="18" t="n"/>
      <c r="K2157" s="18" t="n">
        <v>5</v>
      </c>
      <c r="L2157" s="18" t="inlineStr">
        <is>
          <t>cobbleventure:generation_5</t>
        </is>
      </c>
      <c r="M2157" s="19" t="inlineStr">
        <is>
          <t>cobbleventure:generation_5</t>
        </is>
      </c>
      <c r="N2157" s="18" t="inlineStr"/>
      <c r="O2157" s="19" t="inlineStr"/>
      <c r="P2157" s="18" t="inlineStr">
        <is>
          <t>minecraft:sunflower_plains</t>
        </is>
      </c>
      <c r="Q2157" s="19" t="inlineStr"/>
      <c r="R2157" s="18">
        <f>IF(Q2157="",P2157,Q2157)</f>
        <v/>
      </c>
      <c r="S2157" s="18" t="inlineStr"/>
      <c r="T2157" s="18" t="inlineStr">
        <is>
          <t>rare</t>
        </is>
      </c>
      <c r="U2157" s="20" t="n">
        <v>1</v>
      </c>
      <c r="V2157" s="21" t="n">
        <v>1</v>
      </c>
      <c r="W2157" s="20">
        <f>IF(OR(U2157="",V2157=""),U2157,U2157*V2157)</f>
        <v/>
      </c>
      <c r="X2157" s="18" t="inlineStr">
        <is>
          <t>50-55</t>
        </is>
      </c>
      <c r="Y2157" s="19" t="inlineStr"/>
      <c r="Z2157" s="18">
        <f>IF(Y2157="",X2157,Y2157)</f>
        <v/>
      </c>
      <c r="AA2157" s="18" t="inlineStr">
        <is>
          <t>grounded</t>
        </is>
      </c>
      <c r="AB2157" s="18" t="inlineStr"/>
      <c r="AC2157" s="18" t="inlineStr"/>
      <c r="AD2157" s="18" t="inlineStr"/>
      <c r="AE2157" s="18" t="inlineStr"/>
      <c r="AF2157" s="18" t="inlineStr"/>
      <c r="AG2157" s="18" t="inlineStr"/>
      <c r="AH2157" s="18" t="inlineStr"/>
      <c r="AI2157" s="18" t="inlineStr"/>
      <c r="AJ2157" s="18" t="inlineStr">
        <is>
          <t>COBBLEVERSE 추가</t>
        </is>
      </c>
      <c r="AK2157" s="18" t="inlineStr">
        <is>
          <t>사용</t>
        </is>
      </c>
      <c r="AL2157" s="18" t="inlineStr">
        <is>
          <t>COBBLEVERSE 1.7.42 / DP v31</t>
        </is>
      </c>
      <c r="AM2157" s="18" t="inlineStr">
        <is>
          <t>data/cobblemon/spawn_pool_world/0648_meloetta.json</t>
        </is>
      </c>
      <c r="AN2157" s="18" t="inlineStr">
        <is>
          <t>meloetta-1</t>
        </is>
      </c>
      <c r="AO2157" s="18" t="inlineStr">
        <is>
          <t>pokemon</t>
        </is>
      </c>
      <c r="AP2157" s="18" t="inlineStr"/>
      <c r="AQ2157" s="18" t="inlineStr">
        <is>
          <t>{"biomes":["minecraft:sunflower_plains"]}</t>
        </is>
      </c>
      <c r="AR2157" s="18" t="inlineStr"/>
      <c r="AS2157" s="18" t="inlineStr"/>
      <c r="AT2157" s="19" t="inlineStr"/>
    </row>
    <row r="2158" ht="32" customHeight="1">
      <c r="A2158" s="18" t="inlineStr">
        <is>
          <t>0649_genesect.json::genesect-1::001</t>
        </is>
      </c>
      <c r="B2158" s="19" t="inlineStr">
        <is>
          <t>사용</t>
        </is>
      </c>
      <c r="C2158" s="18">
        <f>IF(OR(B2158&lt;&gt;AK2158,M2158&lt;&gt;L2158,O2158&lt;&gt;"",Q2158&lt;&gt;"",V2158&lt;&gt;1,Y2158&lt;&gt;"",AT2158&lt;&gt;""),"수정","원본")</f>
        <v/>
      </c>
      <c r="D2158" s="18" t="n">
        <v>649</v>
      </c>
      <c r="E2158" s="18" t="inlineStr">
        <is>
          <t>게노세크트</t>
        </is>
      </c>
      <c r="F2158" s="18" t="inlineStr">
        <is>
          <t>genesect</t>
        </is>
      </c>
      <c r="G2158" s="18" t="inlineStr">
        <is>
          <t>genesect</t>
        </is>
      </c>
      <c r="H2158" s="18" t="inlineStr"/>
      <c r="I2158" s="18" t="n">
        <v>5</v>
      </c>
      <c r="J2158" s="18" t="n"/>
      <c r="K2158" s="18" t="n">
        <v>5</v>
      </c>
      <c r="L2158" s="18" t="inlineStr">
        <is>
          <t>cobbleventure:generation_5</t>
        </is>
      </c>
      <c r="M2158" s="19" t="inlineStr">
        <is>
          <t>cobbleventure:generation_5</t>
        </is>
      </c>
      <c r="N2158" s="18" t="inlineStr"/>
      <c r="O2158" s="19" t="inlineStr"/>
      <c r="P2158" s="18" t="inlineStr">
        <is>
          <t>#cobblemon:is_dripstone</t>
        </is>
      </c>
      <c r="Q2158" s="19" t="inlineStr"/>
      <c r="R2158" s="18">
        <f>IF(Q2158="",P2158,Q2158)</f>
        <v/>
      </c>
      <c r="S2158" s="18" t="inlineStr"/>
      <c r="T2158" s="18" t="inlineStr">
        <is>
          <t>ultra-rare</t>
        </is>
      </c>
      <c r="U2158" s="20" t="n">
        <v>4</v>
      </c>
      <c r="V2158" s="21" t="n">
        <v>1</v>
      </c>
      <c r="W2158" s="20">
        <f>IF(OR(U2158="",V2158=""),U2158,U2158*V2158)</f>
        <v/>
      </c>
      <c r="X2158" s="18" t="inlineStr">
        <is>
          <t>48-68</t>
        </is>
      </c>
      <c r="Y2158" s="19" t="inlineStr"/>
      <c r="Z2158" s="18">
        <f>IF(Y2158="",X2158,Y2158)</f>
        <v/>
      </c>
      <c r="AA2158" s="18" t="inlineStr">
        <is>
          <t>grounded</t>
        </is>
      </c>
      <c r="AB2158" s="18" t="inlineStr"/>
      <c r="AC2158" s="18" t="inlineStr"/>
      <c r="AD2158" s="18" t="inlineStr"/>
      <c r="AE2158" s="18" t="inlineStr"/>
      <c r="AF2158" s="18" t="inlineStr"/>
      <c r="AG2158" s="18" t="inlineStr"/>
      <c r="AH2158" s="18" t="inlineStr"/>
      <c r="AI2158" s="18" t="inlineStr"/>
      <c r="AJ2158" s="18" t="inlineStr">
        <is>
          <t>COBBLEVERSE 추가</t>
        </is>
      </c>
      <c r="AK2158" s="18" t="inlineStr">
        <is>
          <t>사용</t>
        </is>
      </c>
      <c r="AL2158" s="18" t="inlineStr">
        <is>
          <t>COBBLEVERSE 1.7.42 / DP v31</t>
        </is>
      </c>
      <c r="AM2158" s="18" t="inlineStr">
        <is>
          <t>data/cobblemon/spawn_pool_world/0649_genesect.json</t>
        </is>
      </c>
      <c r="AN2158" s="18" t="inlineStr">
        <is>
          <t>genesect-1</t>
        </is>
      </c>
      <c r="AO2158" s="18" t="inlineStr">
        <is>
          <t>pokemon</t>
        </is>
      </c>
      <c r="AP2158" s="18" t="inlineStr"/>
      <c r="AQ2158" s="18" t="inlineStr">
        <is>
          <t>{"biomes":["#cobblemon:is_dripstone"]}</t>
        </is>
      </c>
      <c r="AR2158" s="18" t="inlineStr"/>
      <c r="AS2158" s="18" t="inlineStr"/>
      <c r="AT2158" s="19" t="inlineStr"/>
    </row>
    <row r="2159" ht="32" customHeight="1">
      <c r="A2159" s="18" t="inlineStr">
        <is>
          <t>0650_chespin.json::chespin-1::001</t>
        </is>
      </c>
      <c r="B2159" s="19" t="inlineStr">
        <is>
          <t>사용</t>
        </is>
      </c>
      <c r="C2159" s="18">
        <f>IF(OR(B2159&lt;&gt;AK2159,M2159&lt;&gt;L2159,O2159&lt;&gt;"",Q2159&lt;&gt;"",V2159&lt;&gt;1,Y2159&lt;&gt;"",AT2159&lt;&gt;""),"수정","원본")</f>
        <v/>
      </c>
      <c r="D2159" s="18" t="n">
        <v>650</v>
      </c>
      <c r="E2159" s="18" t="inlineStr">
        <is>
          <t>도치마론</t>
        </is>
      </c>
      <c r="F2159" s="18" t="inlineStr">
        <is>
          <t>chespin</t>
        </is>
      </c>
      <c r="G2159" s="18" t="inlineStr">
        <is>
          <t>chespin</t>
        </is>
      </c>
      <c r="H2159" s="18" t="inlineStr"/>
      <c r="I2159" s="18" t="n">
        <v>6</v>
      </c>
      <c r="J2159" s="18" t="n"/>
      <c r="K2159" s="18" t="n">
        <v>6</v>
      </c>
      <c r="L2159" s="18" t="inlineStr">
        <is>
          <t>cobbleventure:generation_6</t>
        </is>
      </c>
      <c r="M2159" s="19" t="inlineStr">
        <is>
          <t>cobbleventure:generation_6</t>
        </is>
      </c>
      <c r="N2159" s="18" t="inlineStr">
        <is>
          <t>region_01</t>
        </is>
      </c>
      <c r="O2159" s="19" t="inlineStr"/>
      <c r="P2159" s="18" t="inlineStr">
        <is>
          <t>#cobblemon:is_forest</t>
        </is>
      </c>
      <c r="Q2159" s="19" t="inlineStr"/>
      <c r="R2159" s="18">
        <f>IF(Q2159="",P2159,Q2159)</f>
        <v/>
      </c>
      <c r="S2159" s="18" t="inlineStr">
        <is>
          <t>#cobblemon:is_spooky</t>
        </is>
      </c>
      <c r="T2159" s="18" t="inlineStr">
        <is>
          <t>ultra-rare</t>
        </is>
      </c>
      <c r="U2159" s="20" t="n">
        <v>6</v>
      </c>
      <c r="V2159" s="21" t="n">
        <v>1</v>
      </c>
      <c r="W2159" s="20">
        <f>IF(OR(U2159="",V2159=""),U2159,U2159*V2159)</f>
        <v/>
      </c>
      <c r="X2159" s="18" t="inlineStr">
        <is>
          <t>5-31</t>
        </is>
      </c>
      <c r="Y2159" s="19" t="inlineStr"/>
      <c r="Z2159" s="18">
        <f>IF(Y2159="",X2159,Y2159)</f>
        <v/>
      </c>
      <c r="AA2159" s="18" t="inlineStr">
        <is>
          <t>grounded</t>
        </is>
      </c>
      <c r="AB2159" s="18" t="inlineStr"/>
      <c r="AC2159" s="18" t="inlineStr"/>
      <c r="AD2159" s="18" t="inlineStr"/>
      <c r="AE2159" s="18" t="inlineStr">
        <is>
          <t>sky 8-15</t>
        </is>
      </c>
      <c r="AF2159" s="18" t="inlineStr"/>
      <c r="AG2159" s="18" t="inlineStr"/>
      <c r="AH2159" s="18" t="inlineStr"/>
      <c r="AI2159" s="18" t="inlineStr"/>
      <c r="AJ2159" s="18" t="inlineStr">
        <is>
          <t>Cobblemon 동일</t>
        </is>
      </c>
      <c r="AK2159" s="18" t="inlineStr">
        <is>
          <t>사용</t>
        </is>
      </c>
      <c r="AL2159" s="18" t="inlineStr">
        <is>
          <t>COBBLEVERSE 1.7.42 / DP v31</t>
        </is>
      </c>
      <c r="AM2159" s="18" t="inlineStr">
        <is>
          <t>data/cobblemon/spawn_pool_world/0650_chespin.json</t>
        </is>
      </c>
      <c r="AN2159" s="18" t="inlineStr">
        <is>
          <t>chespin-1</t>
        </is>
      </c>
      <c r="AO2159" s="18" t="inlineStr">
        <is>
          <t>pokemon</t>
        </is>
      </c>
      <c r="AP2159" s="18" t="inlineStr">
        <is>
          <t>natural</t>
        </is>
      </c>
      <c r="AQ2159" s="18" t="inlineStr">
        <is>
          <t>{"biomes":["#cobblemon:is_forest"],"maxSkyLight":15,"minSkyLight":8}</t>
        </is>
      </c>
      <c r="AR2159" s="18" t="inlineStr">
        <is>
          <t>{"biomes":["#cobblemon:is_spooky"]}</t>
        </is>
      </c>
      <c r="AS2159" s="18" t="inlineStr"/>
      <c r="AT2159" s="19" t="inlineStr"/>
    </row>
    <row r="2160" ht="32" customHeight="1">
      <c r="A2160" s="18" t="inlineStr">
        <is>
          <t>0651_quilladin.json::quilladin-1::001</t>
        </is>
      </c>
      <c r="B2160" s="19" t="inlineStr">
        <is>
          <t>사용</t>
        </is>
      </c>
      <c r="C2160" s="18">
        <f>IF(OR(B2160&lt;&gt;AK2160,M2160&lt;&gt;L2160,O2160&lt;&gt;"",Q2160&lt;&gt;"",V2160&lt;&gt;1,Y2160&lt;&gt;"",AT2160&lt;&gt;""),"수정","원본")</f>
        <v/>
      </c>
      <c r="D2160" s="18" t="n">
        <v>651</v>
      </c>
      <c r="E2160" s="18" t="inlineStr">
        <is>
          <t>도치보구</t>
        </is>
      </c>
      <c r="F2160" s="18" t="inlineStr">
        <is>
          <t>quilladin</t>
        </is>
      </c>
      <c r="G2160" s="18" t="inlineStr">
        <is>
          <t>quilladin</t>
        </is>
      </c>
      <c r="H2160" s="18" t="inlineStr"/>
      <c r="I2160" s="18" t="n">
        <v>6</v>
      </c>
      <c r="J2160" s="18" t="n"/>
      <c r="K2160" s="18" t="n">
        <v>6</v>
      </c>
      <c r="L2160" s="18" t="inlineStr">
        <is>
          <t>cobbleventure:generation_6</t>
        </is>
      </c>
      <c r="M2160" s="19" t="inlineStr">
        <is>
          <t>cobbleventure:generation_6</t>
        </is>
      </c>
      <c r="N2160" s="18" t="inlineStr">
        <is>
          <t>region_01</t>
        </is>
      </c>
      <c r="O2160" s="19" t="inlineStr"/>
      <c r="P2160" s="18" t="inlineStr">
        <is>
          <t>#cobblemon:is_forest</t>
        </is>
      </c>
      <c r="Q2160" s="19" t="inlineStr"/>
      <c r="R2160" s="18">
        <f>IF(Q2160="",P2160,Q2160)</f>
        <v/>
      </c>
      <c r="S2160" s="18" t="inlineStr">
        <is>
          <t>#cobblemon:is_spooky</t>
        </is>
      </c>
      <c r="T2160" s="18" t="inlineStr">
        <is>
          <t>ultra-rare</t>
        </is>
      </c>
      <c r="U2160" s="20" t="n">
        <v>3.6</v>
      </c>
      <c r="V2160" s="21" t="n">
        <v>1</v>
      </c>
      <c r="W2160" s="20">
        <f>IF(OR(U2160="",V2160=""),U2160,U2160*V2160)</f>
        <v/>
      </c>
      <c r="X2160" s="18" t="inlineStr">
        <is>
          <t>16-41</t>
        </is>
      </c>
      <c r="Y2160" s="19" t="inlineStr"/>
      <c r="Z2160" s="18">
        <f>IF(Y2160="",X2160,Y2160)</f>
        <v/>
      </c>
      <c r="AA2160" s="18" t="inlineStr">
        <is>
          <t>grounded</t>
        </is>
      </c>
      <c r="AB2160" s="18" t="inlineStr"/>
      <c r="AC2160" s="18" t="inlineStr"/>
      <c r="AD2160" s="18" t="inlineStr"/>
      <c r="AE2160" s="18" t="inlineStr">
        <is>
          <t>sky 8-15</t>
        </is>
      </c>
      <c r="AF2160" s="18" t="inlineStr"/>
      <c r="AG2160" s="18" t="inlineStr"/>
      <c r="AH2160" s="18" t="inlineStr"/>
      <c r="AI2160" s="18" t="inlineStr"/>
      <c r="AJ2160" s="18" t="inlineStr">
        <is>
          <t>Cobblemon 동일</t>
        </is>
      </c>
      <c r="AK2160" s="18" t="inlineStr">
        <is>
          <t>사용</t>
        </is>
      </c>
      <c r="AL2160" s="18" t="inlineStr">
        <is>
          <t>COBBLEVERSE 1.7.42 / DP v31</t>
        </is>
      </c>
      <c r="AM2160" s="18" t="inlineStr">
        <is>
          <t>data/cobblemon/spawn_pool_world/0651_quilladin.json</t>
        </is>
      </c>
      <c r="AN2160" s="18" t="inlineStr">
        <is>
          <t>quilladin-1</t>
        </is>
      </c>
      <c r="AO2160" s="18" t="inlineStr">
        <is>
          <t>pokemon</t>
        </is>
      </c>
      <c r="AP2160" s="18" t="inlineStr">
        <is>
          <t>natural</t>
        </is>
      </c>
      <c r="AQ2160" s="18" t="inlineStr">
        <is>
          <t>{"biomes":["#cobblemon:is_forest"],"maxSkyLight":15,"minSkyLight":8}</t>
        </is>
      </c>
      <c r="AR2160" s="18" t="inlineStr">
        <is>
          <t>{"biomes":["#cobblemon:is_spooky"]}</t>
        </is>
      </c>
      <c r="AS2160" s="18" t="inlineStr"/>
      <c r="AT2160" s="19" t="inlineStr"/>
    </row>
    <row r="2161" ht="32" customHeight="1">
      <c r="A2161" s="18" t="inlineStr">
        <is>
          <t>0652_chesnaught.json::chesnaught-1::001</t>
        </is>
      </c>
      <c r="B2161" s="19" t="inlineStr">
        <is>
          <t>사용</t>
        </is>
      </c>
      <c r="C2161" s="18">
        <f>IF(OR(B2161&lt;&gt;AK2161,M2161&lt;&gt;L2161,O2161&lt;&gt;"",Q2161&lt;&gt;"",V2161&lt;&gt;1,Y2161&lt;&gt;"",AT2161&lt;&gt;""),"수정","원본")</f>
        <v/>
      </c>
      <c r="D2161" s="18" t="n">
        <v>652</v>
      </c>
      <c r="E2161" s="18" t="inlineStr">
        <is>
          <t>브리가론</t>
        </is>
      </c>
      <c r="F2161" s="18" t="inlineStr">
        <is>
          <t>chesnaught</t>
        </is>
      </c>
      <c r="G2161" s="18" t="inlineStr">
        <is>
          <t>chesnaught</t>
        </is>
      </c>
      <c r="H2161" s="18" t="inlineStr"/>
      <c r="I2161" s="18" t="n">
        <v>6</v>
      </c>
      <c r="J2161" s="18" t="n"/>
      <c r="K2161" s="18" t="n">
        <v>6</v>
      </c>
      <c r="L2161" s="18" t="inlineStr">
        <is>
          <t>cobbleventure:generation_6</t>
        </is>
      </c>
      <c r="M2161" s="19" t="inlineStr">
        <is>
          <t>cobbleventure:generation_6</t>
        </is>
      </c>
      <c r="N2161" s="18" t="inlineStr">
        <is>
          <t>region_01</t>
        </is>
      </c>
      <c r="O2161" s="19" t="inlineStr"/>
      <c r="P2161" s="18" t="inlineStr">
        <is>
          <t>#cobblemon:is_forest</t>
        </is>
      </c>
      <c r="Q2161" s="19" t="inlineStr"/>
      <c r="R2161" s="18">
        <f>IF(Q2161="",P2161,Q2161)</f>
        <v/>
      </c>
      <c r="S2161" s="18" t="inlineStr">
        <is>
          <t>#cobblemon:is_spooky</t>
        </is>
      </c>
      <c r="T2161" s="18" t="inlineStr">
        <is>
          <t>ultra-rare</t>
        </is>
      </c>
      <c r="U2161" s="20" t="n">
        <v>0.4</v>
      </c>
      <c r="V2161" s="21" t="n">
        <v>1</v>
      </c>
      <c r="W2161" s="20">
        <f>IF(OR(U2161="",V2161=""),U2161,U2161*V2161)</f>
        <v/>
      </c>
      <c r="X2161" s="18" t="inlineStr">
        <is>
          <t>36-53</t>
        </is>
      </c>
      <c r="Y2161" s="19" t="inlineStr"/>
      <c r="Z2161" s="18">
        <f>IF(Y2161="",X2161,Y2161)</f>
        <v/>
      </c>
      <c r="AA2161" s="18" t="inlineStr">
        <is>
          <t>grounded</t>
        </is>
      </c>
      <c r="AB2161" s="18" t="inlineStr"/>
      <c r="AC2161" s="18" t="inlineStr"/>
      <c r="AD2161" s="18" t="inlineStr"/>
      <c r="AE2161" s="18" t="inlineStr">
        <is>
          <t>sky 8-15</t>
        </is>
      </c>
      <c r="AF2161" s="18" t="inlineStr"/>
      <c r="AG2161" s="18" t="inlineStr"/>
      <c r="AH2161" s="18" t="inlineStr"/>
      <c r="AI2161" s="18" t="inlineStr"/>
      <c r="AJ2161" s="18" t="inlineStr">
        <is>
          <t>Cobblemon 동일</t>
        </is>
      </c>
      <c r="AK2161" s="18" t="inlineStr">
        <is>
          <t>사용</t>
        </is>
      </c>
      <c r="AL2161" s="18" t="inlineStr">
        <is>
          <t>COBBLEVERSE 1.7.42 / DP v31</t>
        </is>
      </c>
      <c r="AM2161" s="18" t="inlineStr">
        <is>
          <t>data/cobblemon/spawn_pool_world/0652_chesnaught.json</t>
        </is>
      </c>
      <c r="AN2161" s="18" t="inlineStr">
        <is>
          <t>chesnaught-1</t>
        </is>
      </c>
      <c r="AO2161" s="18" t="inlineStr">
        <is>
          <t>pokemon</t>
        </is>
      </c>
      <c r="AP2161" s="18" t="inlineStr">
        <is>
          <t>natural</t>
        </is>
      </c>
      <c r="AQ2161" s="18" t="inlineStr">
        <is>
          <t>{"biomes":["#cobblemon:is_forest"],"maxSkyLight":15,"minSkyLight":8}</t>
        </is>
      </c>
      <c r="AR2161" s="18" t="inlineStr">
        <is>
          <t>{"biomes":["#cobblemon:is_spooky"]}</t>
        </is>
      </c>
      <c r="AS2161" s="18" t="inlineStr"/>
      <c r="AT2161" s="19" t="inlineStr"/>
    </row>
    <row r="2162" ht="32" customHeight="1">
      <c r="A2162" s="18" t="inlineStr">
        <is>
          <t>0653_fennekin.json::fennekin-1::001</t>
        </is>
      </c>
      <c r="B2162" s="19" t="inlineStr">
        <is>
          <t>사용</t>
        </is>
      </c>
      <c r="C2162" s="18">
        <f>IF(OR(B2162&lt;&gt;AK2162,M2162&lt;&gt;L2162,O2162&lt;&gt;"",Q2162&lt;&gt;"",V2162&lt;&gt;1,Y2162&lt;&gt;"",AT2162&lt;&gt;""),"수정","원본")</f>
        <v/>
      </c>
      <c r="D2162" s="18" t="n">
        <v>653</v>
      </c>
      <c r="E2162" s="18" t="inlineStr">
        <is>
          <t>푸호꼬</t>
        </is>
      </c>
      <c r="F2162" s="18" t="inlineStr">
        <is>
          <t>fennekin</t>
        </is>
      </c>
      <c r="G2162" s="18" t="inlineStr">
        <is>
          <t>fennekin</t>
        </is>
      </c>
      <c r="H2162" s="18" t="inlineStr"/>
      <c r="I2162" s="18" t="n">
        <v>6</v>
      </c>
      <c r="J2162" s="18" t="n"/>
      <c r="K2162" s="18" t="n">
        <v>6</v>
      </c>
      <c r="L2162" s="18" t="inlineStr">
        <is>
          <t>cobbleventure:generation_6</t>
        </is>
      </c>
      <c r="M2162" s="19" t="inlineStr">
        <is>
          <t>cobbleventure:generation_6</t>
        </is>
      </c>
      <c r="N2162" s="18" t="inlineStr">
        <is>
          <t>region_02</t>
        </is>
      </c>
      <c r="O2162" s="19" t="inlineStr"/>
      <c r="P2162" s="18" t="inlineStr">
        <is>
          <t>#cobblemon:is_desert</t>
        </is>
      </c>
      <c r="Q2162" s="19" t="inlineStr"/>
      <c r="R2162" s="18">
        <f>IF(Q2162="",P2162,Q2162)</f>
        <v/>
      </c>
      <c r="S2162" s="18" t="inlineStr"/>
      <c r="T2162" s="18" t="inlineStr">
        <is>
          <t>ultra-rare</t>
        </is>
      </c>
      <c r="U2162" s="20" t="n">
        <v>6</v>
      </c>
      <c r="V2162" s="21" t="n">
        <v>1</v>
      </c>
      <c r="W2162" s="20">
        <f>IF(OR(U2162="",V2162=""),U2162,U2162*V2162)</f>
        <v/>
      </c>
      <c r="X2162" s="18" t="inlineStr">
        <is>
          <t>5-31</t>
        </is>
      </c>
      <c r="Y2162" s="19" t="inlineStr"/>
      <c r="Z2162" s="18">
        <f>IF(Y2162="",X2162,Y2162)</f>
        <v/>
      </c>
      <c r="AA2162" s="18" t="inlineStr">
        <is>
          <t>grounded</t>
        </is>
      </c>
      <c r="AB2162" s="18" t="inlineStr"/>
      <c r="AC2162" s="18" t="inlineStr"/>
      <c r="AD2162" s="18" t="inlineStr"/>
      <c r="AE2162" s="18" t="inlineStr">
        <is>
          <t>sky 8-15</t>
        </is>
      </c>
      <c r="AF2162" s="18" t="inlineStr"/>
      <c r="AG2162" s="18" t="inlineStr"/>
      <c r="AH2162" s="18" t="inlineStr"/>
      <c r="AI2162" s="18" t="inlineStr"/>
      <c r="AJ2162" s="18" t="inlineStr">
        <is>
          <t>Cobblemon 동일</t>
        </is>
      </c>
      <c r="AK2162" s="18" t="inlineStr">
        <is>
          <t>사용</t>
        </is>
      </c>
      <c r="AL2162" s="18" t="inlineStr">
        <is>
          <t>COBBLEVERSE 1.7.42 / DP v31</t>
        </is>
      </c>
      <c r="AM2162" s="18" t="inlineStr">
        <is>
          <t>data/cobblemon/spawn_pool_world/0653_fennekin.json</t>
        </is>
      </c>
      <c r="AN2162" s="18" t="inlineStr">
        <is>
          <t>fennekin-1</t>
        </is>
      </c>
      <c r="AO2162" s="18" t="inlineStr">
        <is>
          <t>pokemon</t>
        </is>
      </c>
      <c r="AP2162" s="18" t="inlineStr">
        <is>
          <t>natural</t>
        </is>
      </c>
      <c r="AQ2162" s="18" t="inlineStr">
        <is>
          <t>{"biomes":["#cobblemon:is_desert"],"maxSkyLight":15,"minSkyLight":8}</t>
        </is>
      </c>
      <c r="AR2162" s="18" t="inlineStr"/>
      <c r="AS2162" s="18" t="inlineStr"/>
      <c r="AT2162" s="19" t="inlineStr"/>
    </row>
    <row r="2163" ht="32" customHeight="1">
      <c r="A2163" s="18" t="inlineStr">
        <is>
          <t>0654_braixen.json::braixen-1::001</t>
        </is>
      </c>
      <c r="B2163" s="19" t="inlineStr">
        <is>
          <t>사용</t>
        </is>
      </c>
      <c r="C2163" s="18">
        <f>IF(OR(B2163&lt;&gt;AK2163,M2163&lt;&gt;L2163,O2163&lt;&gt;"",Q2163&lt;&gt;"",V2163&lt;&gt;1,Y2163&lt;&gt;"",AT2163&lt;&gt;""),"수정","원본")</f>
        <v/>
      </c>
      <c r="D2163" s="18" t="n">
        <v>654</v>
      </c>
      <c r="E2163" s="18" t="inlineStr">
        <is>
          <t>테르나</t>
        </is>
      </c>
      <c r="F2163" s="18" t="inlineStr">
        <is>
          <t>braixen</t>
        </is>
      </c>
      <c r="G2163" s="18" t="inlineStr">
        <is>
          <t>braixen</t>
        </is>
      </c>
      <c r="H2163" s="18" t="inlineStr"/>
      <c r="I2163" s="18" t="n">
        <v>6</v>
      </c>
      <c r="J2163" s="18" t="n"/>
      <c r="K2163" s="18" t="n">
        <v>6</v>
      </c>
      <c r="L2163" s="18" t="inlineStr">
        <is>
          <t>cobbleventure:generation_6</t>
        </is>
      </c>
      <c r="M2163" s="19" t="inlineStr">
        <is>
          <t>cobbleventure:generation_6</t>
        </is>
      </c>
      <c r="N2163" s="18" t="inlineStr">
        <is>
          <t>region_02</t>
        </is>
      </c>
      <c r="O2163" s="19" t="inlineStr"/>
      <c r="P2163" s="18" t="inlineStr">
        <is>
          <t>#cobblemon:is_desert</t>
        </is>
      </c>
      <c r="Q2163" s="19" t="inlineStr"/>
      <c r="R2163" s="18">
        <f>IF(Q2163="",P2163,Q2163)</f>
        <v/>
      </c>
      <c r="S2163" s="18" t="inlineStr"/>
      <c r="T2163" s="18" t="inlineStr">
        <is>
          <t>ultra-rare</t>
        </is>
      </c>
      <c r="U2163" s="20" t="n">
        <v>3.6</v>
      </c>
      <c r="V2163" s="21" t="n">
        <v>1</v>
      </c>
      <c r="W2163" s="20">
        <f>IF(OR(U2163="",V2163=""),U2163,U2163*V2163)</f>
        <v/>
      </c>
      <c r="X2163" s="18" t="inlineStr">
        <is>
          <t>16-41</t>
        </is>
      </c>
      <c r="Y2163" s="19" t="inlineStr"/>
      <c r="Z2163" s="18">
        <f>IF(Y2163="",X2163,Y2163)</f>
        <v/>
      </c>
      <c r="AA2163" s="18" t="inlineStr">
        <is>
          <t>grounded</t>
        </is>
      </c>
      <c r="AB2163" s="18" t="inlineStr"/>
      <c r="AC2163" s="18" t="inlineStr"/>
      <c r="AD2163" s="18" t="inlineStr"/>
      <c r="AE2163" s="18" t="inlineStr">
        <is>
          <t>sky 8-15</t>
        </is>
      </c>
      <c r="AF2163" s="18" t="inlineStr"/>
      <c r="AG2163" s="18" t="inlineStr"/>
      <c r="AH2163" s="18" t="inlineStr"/>
      <c r="AI2163" s="18" t="inlineStr"/>
      <c r="AJ2163" s="18" t="inlineStr">
        <is>
          <t>Cobblemon 동일</t>
        </is>
      </c>
      <c r="AK2163" s="18" t="inlineStr">
        <is>
          <t>사용</t>
        </is>
      </c>
      <c r="AL2163" s="18" t="inlineStr">
        <is>
          <t>COBBLEVERSE 1.7.42 / DP v31</t>
        </is>
      </c>
      <c r="AM2163" s="18" t="inlineStr">
        <is>
          <t>data/cobblemon/spawn_pool_world/0654_braixen.json</t>
        </is>
      </c>
      <c r="AN2163" s="18" t="inlineStr">
        <is>
          <t>braixen-1</t>
        </is>
      </c>
      <c r="AO2163" s="18" t="inlineStr">
        <is>
          <t>pokemon</t>
        </is>
      </c>
      <c r="AP2163" s="18" t="inlineStr">
        <is>
          <t>natural</t>
        </is>
      </c>
      <c r="AQ2163" s="18" t="inlineStr">
        <is>
          <t>{"biomes":["#cobblemon:is_desert"],"maxSkyLight":15,"minSkyLight":8}</t>
        </is>
      </c>
      <c r="AR2163" s="18" t="inlineStr"/>
      <c r="AS2163" s="18" t="inlineStr"/>
      <c r="AT2163" s="19" t="inlineStr"/>
    </row>
    <row r="2164" ht="32" customHeight="1">
      <c r="A2164" s="18" t="inlineStr">
        <is>
          <t>0655_delphox.json::delphox-1::001</t>
        </is>
      </c>
      <c r="B2164" s="19" t="inlineStr">
        <is>
          <t>사용</t>
        </is>
      </c>
      <c r="C2164" s="18">
        <f>IF(OR(B2164&lt;&gt;AK2164,M2164&lt;&gt;L2164,O2164&lt;&gt;"",Q2164&lt;&gt;"",V2164&lt;&gt;1,Y2164&lt;&gt;"",AT2164&lt;&gt;""),"수정","원본")</f>
        <v/>
      </c>
      <c r="D2164" s="18" t="n">
        <v>655</v>
      </c>
      <c r="E2164" s="18" t="inlineStr">
        <is>
          <t>마폭시</t>
        </is>
      </c>
      <c r="F2164" s="18" t="inlineStr">
        <is>
          <t>delphox</t>
        </is>
      </c>
      <c r="G2164" s="18" t="inlineStr">
        <is>
          <t>delphox</t>
        </is>
      </c>
      <c r="H2164" s="18" t="inlineStr"/>
      <c r="I2164" s="18" t="n">
        <v>6</v>
      </c>
      <c r="J2164" s="18" t="n"/>
      <c r="K2164" s="18" t="n">
        <v>6</v>
      </c>
      <c r="L2164" s="18" t="inlineStr">
        <is>
          <t>cobbleventure:generation_6</t>
        </is>
      </c>
      <c r="M2164" s="19" t="inlineStr">
        <is>
          <t>cobbleventure:generation_6</t>
        </is>
      </c>
      <c r="N2164" s="18" t="inlineStr">
        <is>
          <t>region_02</t>
        </is>
      </c>
      <c r="O2164" s="19" t="inlineStr"/>
      <c r="P2164" s="18" t="inlineStr">
        <is>
          <t>#cobblemon:is_desert</t>
        </is>
      </c>
      <c r="Q2164" s="19" t="inlineStr"/>
      <c r="R2164" s="18">
        <f>IF(Q2164="",P2164,Q2164)</f>
        <v/>
      </c>
      <c r="S2164" s="18" t="inlineStr"/>
      <c r="T2164" s="18" t="inlineStr">
        <is>
          <t>ultra-rare</t>
        </is>
      </c>
      <c r="U2164" s="20" t="n">
        <v>0.4</v>
      </c>
      <c r="V2164" s="21" t="n">
        <v>1</v>
      </c>
      <c r="W2164" s="20">
        <f>IF(OR(U2164="",V2164=""),U2164,U2164*V2164)</f>
        <v/>
      </c>
      <c r="X2164" s="18" t="inlineStr">
        <is>
          <t>36-53</t>
        </is>
      </c>
      <c r="Y2164" s="19" t="inlineStr"/>
      <c r="Z2164" s="18">
        <f>IF(Y2164="",X2164,Y2164)</f>
        <v/>
      </c>
      <c r="AA2164" s="18" t="inlineStr">
        <is>
          <t>grounded</t>
        </is>
      </c>
      <c r="AB2164" s="18" t="inlineStr"/>
      <c r="AC2164" s="18" t="inlineStr"/>
      <c r="AD2164" s="18" t="inlineStr"/>
      <c r="AE2164" s="18" t="inlineStr">
        <is>
          <t>sky 8-15</t>
        </is>
      </c>
      <c r="AF2164" s="18" t="inlineStr"/>
      <c r="AG2164" s="18" t="inlineStr"/>
      <c r="AH2164" s="18" t="inlineStr"/>
      <c r="AI2164" s="18" t="inlineStr"/>
      <c r="AJ2164" s="18" t="inlineStr">
        <is>
          <t>Cobblemon 동일</t>
        </is>
      </c>
      <c r="AK2164" s="18" t="inlineStr">
        <is>
          <t>사용</t>
        </is>
      </c>
      <c r="AL2164" s="18" t="inlineStr">
        <is>
          <t>COBBLEVERSE 1.7.42 / DP v31</t>
        </is>
      </c>
      <c r="AM2164" s="18" t="inlineStr">
        <is>
          <t>data/cobblemon/spawn_pool_world/0655_delphox.json</t>
        </is>
      </c>
      <c r="AN2164" s="18" t="inlineStr">
        <is>
          <t>delphox-1</t>
        </is>
      </c>
      <c r="AO2164" s="18" t="inlineStr">
        <is>
          <t>pokemon</t>
        </is>
      </c>
      <c r="AP2164" s="18" t="inlineStr">
        <is>
          <t>natural</t>
        </is>
      </c>
      <c r="AQ2164" s="18" t="inlineStr">
        <is>
          <t>{"biomes":["#cobblemon:is_desert"],"maxSkyLight":15,"minSkyLight":8}</t>
        </is>
      </c>
      <c r="AR2164" s="18" t="inlineStr"/>
      <c r="AS2164" s="18" t="inlineStr"/>
      <c r="AT2164" s="19" t="inlineStr"/>
    </row>
    <row r="2165" ht="32" customHeight="1">
      <c r="A2165" s="18" t="inlineStr">
        <is>
          <t>0656_froakie.json::froakie-1::001</t>
        </is>
      </c>
      <c r="B2165" s="19" t="inlineStr">
        <is>
          <t>사용</t>
        </is>
      </c>
      <c r="C2165" s="18">
        <f>IF(OR(B2165&lt;&gt;AK2165,M2165&lt;&gt;L2165,O2165&lt;&gt;"",Q2165&lt;&gt;"",V2165&lt;&gt;1,Y2165&lt;&gt;"",AT2165&lt;&gt;""),"수정","원본")</f>
        <v/>
      </c>
      <c r="D2165" s="18" t="n">
        <v>656</v>
      </c>
      <c r="E2165" s="18" t="inlineStr">
        <is>
          <t>개구마르</t>
        </is>
      </c>
      <c r="F2165" s="18" t="inlineStr">
        <is>
          <t>froakie</t>
        </is>
      </c>
      <c r="G2165" s="18" t="inlineStr">
        <is>
          <t>froakie</t>
        </is>
      </c>
      <c r="H2165" s="18" t="inlineStr"/>
      <c r="I2165" s="18" t="n">
        <v>6</v>
      </c>
      <c r="J2165" s="18" t="n"/>
      <c r="K2165" s="18" t="n">
        <v>6</v>
      </c>
      <c r="L2165" s="18" t="inlineStr">
        <is>
          <t>cobbleventure:generation_6</t>
        </is>
      </c>
      <c r="M2165" s="19" t="inlineStr">
        <is>
          <t>cobbleventure:generation_6</t>
        </is>
      </c>
      <c r="N2165" s="18" t="inlineStr">
        <is>
          <t>region_02</t>
        </is>
      </c>
      <c r="O2165" s="19" t="inlineStr"/>
      <c r="P2165" s="18" t="inlineStr">
        <is>
          <t>#cobblemon:is_freshwater</t>
        </is>
      </c>
      <c r="Q2165" s="19" t="inlineStr"/>
      <c r="R2165" s="18">
        <f>IF(Q2165="",P2165,Q2165)</f>
        <v/>
      </c>
      <c r="S2165" s="18" t="inlineStr">
        <is>
          <t>#cobblemon:is_freezing</t>
        </is>
      </c>
      <c r="T2165" s="18" t="inlineStr">
        <is>
          <t>ultra-rare</t>
        </is>
      </c>
      <c r="U2165" s="20" t="n">
        <v>6</v>
      </c>
      <c r="V2165" s="21" t="n">
        <v>1</v>
      </c>
      <c r="W2165" s="20">
        <f>IF(OR(U2165="",V2165=""),U2165,U2165*V2165)</f>
        <v/>
      </c>
      <c r="X2165" s="18" t="inlineStr">
        <is>
          <t>5-31</t>
        </is>
      </c>
      <c r="Y2165" s="19" t="inlineStr"/>
      <c r="Z2165" s="18">
        <f>IF(Y2165="",X2165,Y2165)</f>
        <v/>
      </c>
      <c r="AA2165" s="18" t="inlineStr">
        <is>
          <t>grounded</t>
        </is>
      </c>
      <c r="AB2165" s="18" t="inlineStr"/>
      <c r="AC2165" s="18" t="inlineStr"/>
      <c r="AD2165" s="18" t="inlineStr"/>
      <c r="AE2165" s="18" t="inlineStr">
        <is>
          <t>sky 8-15</t>
        </is>
      </c>
      <c r="AF2165" s="18" t="inlineStr"/>
      <c r="AG2165" s="18" t="inlineStr"/>
      <c r="AH2165" s="18" t="inlineStr"/>
      <c r="AI2165" s="18" t="inlineStr"/>
      <c r="AJ2165" s="18" t="inlineStr">
        <is>
          <t>Cobblemon 동일</t>
        </is>
      </c>
      <c r="AK2165" s="18" t="inlineStr">
        <is>
          <t>사용</t>
        </is>
      </c>
      <c r="AL2165" s="18" t="inlineStr">
        <is>
          <t>COBBLEVERSE 1.7.42 / DP v31</t>
        </is>
      </c>
      <c r="AM2165" s="18" t="inlineStr">
        <is>
          <t>data/cobblemon/spawn_pool_world/0656_froakie.json</t>
        </is>
      </c>
      <c r="AN2165" s="18" t="inlineStr">
        <is>
          <t>froakie-1</t>
        </is>
      </c>
      <c r="AO2165" s="18" t="inlineStr">
        <is>
          <t>pokemon</t>
        </is>
      </c>
      <c r="AP2165" s="18" t="inlineStr">
        <is>
          <t>natural</t>
        </is>
      </c>
      <c r="AQ2165" s="18" t="inlineStr">
        <is>
          <t>{"biomes":["#cobblemon:is_freshwater"],"maxSkyLight":15,"minSkyLight":8}</t>
        </is>
      </c>
      <c r="AR2165" s="18" t="inlineStr">
        <is>
          <t>{"biomes":["#cobblemon:is_freezing"]}</t>
        </is>
      </c>
      <c r="AS2165" s="18" t="inlineStr"/>
      <c r="AT2165" s="19" t="inlineStr"/>
    </row>
    <row r="2166" ht="32" customHeight="1">
      <c r="A2166" s="18" t="inlineStr">
        <is>
          <t>0656_froakie.json::froakie-2::002</t>
        </is>
      </c>
      <c r="B2166" s="19" t="inlineStr">
        <is>
          <t>사용</t>
        </is>
      </c>
      <c r="C2166" s="18">
        <f>IF(OR(B2166&lt;&gt;AK2166,M2166&lt;&gt;L2166,O2166&lt;&gt;"",Q2166&lt;&gt;"",V2166&lt;&gt;1,Y2166&lt;&gt;"",AT2166&lt;&gt;""),"수정","원본")</f>
        <v/>
      </c>
      <c r="D2166" s="18" t="n">
        <v>656</v>
      </c>
      <c r="E2166" s="18" t="inlineStr">
        <is>
          <t>개구마르</t>
        </is>
      </c>
      <c r="F2166" s="18" t="inlineStr">
        <is>
          <t>froakie</t>
        </is>
      </c>
      <c r="G2166" s="18" t="inlineStr">
        <is>
          <t>froakie</t>
        </is>
      </c>
      <c r="H2166" s="18" t="inlineStr"/>
      <c r="I2166" s="18" t="n">
        <v>6</v>
      </c>
      <c r="J2166" s="18" t="n"/>
      <c r="K2166" s="18" t="n">
        <v>6</v>
      </c>
      <c r="L2166" s="18" t="inlineStr">
        <is>
          <t>cobbleventure:generation_6</t>
        </is>
      </c>
      <c r="M2166" s="19" t="inlineStr">
        <is>
          <t>cobbleventure:generation_6</t>
        </is>
      </c>
      <c r="N2166" s="18" t="inlineStr">
        <is>
          <t>region_02</t>
        </is>
      </c>
      <c r="O2166" s="19" t="inlineStr"/>
      <c r="P2166" s="18" t="inlineStr">
        <is>
          <t>#cobblemon:is_freshwater</t>
        </is>
      </c>
      <c r="Q2166" s="19" t="inlineStr"/>
      <c r="R2166" s="18">
        <f>IF(Q2166="",P2166,Q2166)</f>
        <v/>
      </c>
      <c r="S2166" s="18" t="inlineStr">
        <is>
          <t>#cobblemon:is_freezing</t>
        </is>
      </c>
      <c r="T2166" s="18" t="inlineStr">
        <is>
          <t>ultra-rare</t>
        </is>
      </c>
      <c r="U2166" s="20" t="n">
        <v>6</v>
      </c>
      <c r="V2166" s="21" t="n">
        <v>1</v>
      </c>
      <c r="W2166" s="20">
        <f>IF(OR(U2166="",V2166=""),U2166,U2166*V2166)</f>
        <v/>
      </c>
      <c r="X2166" s="18" t="inlineStr">
        <is>
          <t>5-31</t>
        </is>
      </c>
      <c r="Y2166" s="19" t="inlineStr"/>
      <c r="Z2166" s="18">
        <f>IF(Y2166="",X2166,Y2166)</f>
        <v/>
      </c>
      <c r="AA2166" s="18" t="inlineStr">
        <is>
          <t>submerged</t>
        </is>
      </c>
      <c r="AB2166" s="18" t="inlineStr"/>
      <c r="AC2166" s="18" t="inlineStr"/>
      <c r="AD2166" s="18" t="inlineStr"/>
      <c r="AE2166" s="18" t="inlineStr">
        <is>
          <t>sky 8-15</t>
        </is>
      </c>
      <c r="AF2166" s="18" t="inlineStr"/>
      <c r="AG2166" s="18" t="inlineStr"/>
      <c r="AH2166" s="18" t="inlineStr"/>
      <c r="AI2166" s="18" t="inlineStr"/>
      <c r="AJ2166" s="18" t="inlineStr">
        <is>
          <t>Cobblemon 동일</t>
        </is>
      </c>
      <c r="AK2166" s="18" t="inlineStr">
        <is>
          <t>사용</t>
        </is>
      </c>
      <c r="AL2166" s="18" t="inlineStr">
        <is>
          <t>COBBLEVERSE 1.7.42 / DP v31</t>
        </is>
      </c>
      <c r="AM2166" s="18" t="inlineStr">
        <is>
          <t>data/cobblemon/spawn_pool_world/0656_froakie.json</t>
        </is>
      </c>
      <c r="AN2166" s="18" t="inlineStr">
        <is>
          <t>froakie-2</t>
        </is>
      </c>
      <c r="AO2166" s="18" t="inlineStr">
        <is>
          <t>pokemon</t>
        </is>
      </c>
      <c r="AP2166" s="18" t="inlineStr">
        <is>
          <t>water</t>
        </is>
      </c>
      <c r="AQ2166" s="18" t="inlineStr">
        <is>
          <t>{"biomes":["#cobblemon:is_freshwater"],"maxSkyLight":15,"minSkyLight":8}</t>
        </is>
      </c>
      <c r="AR2166" s="18" t="inlineStr">
        <is>
          <t>{"biomes":["#cobblemon:is_freezing"]}</t>
        </is>
      </c>
      <c r="AS2166" s="18" t="inlineStr"/>
      <c r="AT2166" s="19" t="inlineStr"/>
    </row>
    <row r="2167" ht="32" customHeight="1">
      <c r="A2167" s="18" t="inlineStr">
        <is>
          <t>0656_froakie.json::froakie-3::003</t>
        </is>
      </c>
      <c r="B2167" s="19" t="inlineStr">
        <is>
          <t>사용</t>
        </is>
      </c>
      <c r="C2167" s="18">
        <f>IF(OR(B2167&lt;&gt;AK2167,M2167&lt;&gt;L2167,O2167&lt;&gt;"",Q2167&lt;&gt;"",V2167&lt;&gt;1,Y2167&lt;&gt;"",AT2167&lt;&gt;""),"수정","원본")</f>
        <v/>
      </c>
      <c r="D2167" s="18" t="n">
        <v>656</v>
      </c>
      <c r="E2167" s="18" t="inlineStr">
        <is>
          <t>개구마르</t>
        </is>
      </c>
      <c r="F2167" s="18" t="inlineStr">
        <is>
          <t>froakie</t>
        </is>
      </c>
      <c r="G2167" s="18" t="inlineStr">
        <is>
          <t>froakie</t>
        </is>
      </c>
      <c r="H2167" s="18" t="inlineStr"/>
      <c r="I2167" s="18" t="n">
        <v>6</v>
      </c>
      <c r="J2167" s="18" t="n"/>
      <c r="K2167" s="18" t="n">
        <v>6</v>
      </c>
      <c r="L2167" s="18" t="inlineStr">
        <is>
          <t>cobbleventure:generation_6</t>
        </is>
      </c>
      <c r="M2167" s="19" t="inlineStr">
        <is>
          <t>cobbleventure:generation_6</t>
        </is>
      </c>
      <c r="N2167" s="18" t="inlineStr"/>
      <c r="O2167" s="19" t="inlineStr"/>
      <c r="P2167" s="18" t="inlineStr">
        <is>
          <t>#cobblemon:is_bamboo; #cobblemon:is_jungle</t>
        </is>
      </c>
      <c r="Q2167" s="19" t="inlineStr"/>
      <c r="R2167" s="18">
        <f>IF(Q2167="",P2167,Q2167)</f>
        <v/>
      </c>
      <c r="S2167" s="18" t="inlineStr"/>
      <c r="T2167" s="18" t="inlineStr">
        <is>
          <t>ultra-rare</t>
        </is>
      </c>
      <c r="U2167" s="20" t="n">
        <v>6</v>
      </c>
      <c r="V2167" s="21" t="n">
        <v>1</v>
      </c>
      <c r="W2167" s="20">
        <f>IF(OR(U2167="",V2167=""),U2167,U2167*V2167)</f>
        <v/>
      </c>
      <c r="X2167" s="18" t="inlineStr">
        <is>
          <t>5-31</t>
        </is>
      </c>
      <c r="Y2167" s="19" t="inlineStr"/>
      <c r="Z2167" s="18">
        <f>IF(Y2167="",X2167,Y2167)</f>
        <v/>
      </c>
      <c r="AA2167" s="18" t="inlineStr">
        <is>
          <t>grounded</t>
        </is>
      </c>
      <c r="AB2167" s="18" t="inlineStr"/>
      <c r="AC2167" s="18" t="inlineStr"/>
      <c r="AD2167" s="18" t="inlineStr"/>
      <c r="AE2167" s="18" t="inlineStr">
        <is>
          <t>sky 8-15</t>
        </is>
      </c>
      <c r="AF2167" s="18" t="inlineStr"/>
      <c r="AG2167" s="18" t="inlineStr"/>
      <c r="AH2167" s="18" t="inlineStr">
        <is>
          <t>주변=minecraft:water</t>
        </is>
      </c>
      <c r="AI2167" s="18" t="inlineStr"/>
      <c r="AJ2167" s="18" t="inlineStr">
        <is>
          <t>Cobblemon 동일</t>
        </is>
      </c>
      <c r="AK2167" s="18" t="inlineStr">
        <is>
          <t>사용</t>
        </is>
      </c>
      <c r="AL2167" s="18" t="inlineStr">
        <is>
          <t>COBBLEVERSE 1.7.42 / DP v31</t>
        </is>
      </c>
      <c r="AM2167" s="18" t="inlineStr">
        <is>
          <t>data/cobblemon/spawn_pool_world/0656_froakie.json</t>
        </is>
      </c>
      <c r="AN2167" s="18" t="inlineStr">
        <is>
          <t>froakie-3</t>
        </is>
      </c>
      <c r="AO2167" s="18" t="inlineStr">
        <is>
          <t>pokemon</t>
        </is>
      </c>
      <c r="AP2167" s="18" t="inlineStr">
        <is>
          <t>natural</t>
        </is>
      </c>
      <c r="AQ2167" s="18" t="inlineStr">
        <is>
          <t>{"biomes":["#cobblemon:is_bamboo","#cobblemon:is_jungle"],"maxSkyLight":15,"minSkyLight":8,"neededNearbyBlocks":["minecraft:water"]}</t>
        </is>
      </c>
      <c r="AR2167" s="18" t="inlineStr"/>
      <c r="AS2167" s="18" t="inlineStr"/>
      <c r="AT2167" s="19" t="inlineStr"/>
    </row>
    <row r="2168" ht="32" customHeight="1">
      <c r="A2168" s="18" t="inlineStr">
        <is>
          <t>0656_froakie.json::froakie-4::004</t>
        </is>
      </c>
      <c r="B2168" s="19" t="inlineStr">
        <is>
          <t>사용</t>
        </is>
      </c>
      <c r="C2168" s="18">
        <f>IF(OR(B2168&lt;&gt;AK2168,M2168&lt;&gt;L2168,O2168&lt;&gt;"",Q2168&lt;&gt;"",V2168&lt;&gt;1,Y2168&lt;&gt;"",AT2168&lt;&gt;""),"수정","원본")</f>
        <v/>
      </c>
      <c r="D2168" s="18" t="n">
        <v>656</v>
      </c>
      <c r="E2168" s="18" t="inlineStr">
        <is>
          <t>개구마르</t>
        </is>
      </c>
      <c r="F2168" s="18" t="inlineStr">
        <is>
          <t>froakie</t>
        </is>
      </c>
      <c r="G2168" s="18" t="inlineStr">
        <is>
          <t>froakie</t>
        </is>
      </c>
      <c r="H2168" s="18" t="inlineStr"/>
      <c r="I2168" s="18" t="n">
        <v>6</v>
      </c>
      <c r="J2168" s="18" t="n"/>
      <c r="K2168" s="18" t="n">
        <v>6</v>
      </c>
      <c r="L2168" s="18" t="inlineStr">
        <is>
          <t>cobbleventure:generation_6</t>
        </is>
      </c>
      <c r="M2168" s="19" t="inlineStr">
        <is>
          <t>cobbleventure:generation_6</t>
        </is>
      </c>
      <c r="N2168" s="18" t="inlineStr"/>
      <c r="O2168" s="19" t="inlineStr"/>
      <c r="P2168" s="18" t="inlineStr">
        <is>
          <t>#cobblemon:is_bamboo; #cobblemon:is_jungle</t>
        </is>
      </c>
      <c r="Q2168" s="19" t="inlineStr"/>
      <c r="R2168" s="18">
        <f>IF(Q2168="",P2168,Q2168)</f>
        <v/>
      </c>
      <c r="S2168" s="18" t="inlineStr"/>
      <c r="T2168" s="18" t="inlineStr">
        <is>
          <t>ultra-rare</t>
        </is>
      </c>
      <c r="U2168" s="20" t="n">
        <v>6</v>
      </c>
      <c r="V2168" s="21" t="n">
        <v>1</v>
      </c>
      <c r="W2168" s="20">
        <f>IF(OR(U2168="",V2168=""),U2168,U2168*V2168)</f>
        <v/>
      </c>
      <c r="X2168" s="18" t="inlineStr">
        <is>
          <t>5-31</t>
        </is>
      </c>
      <c r="Y2168" s="19" t="inlineStr"/>
      <c r="Z2168" s="18">
        <f>IF(Y2168="",X2168,Y2168)</f>
        <v/>
      </c>
      <c r="AA2168" s="18" t="inlineStr">
        <is>
          <t>submerged</t>
        </is>
      </c>
      <c r="AB2168" s="18" t="inlineStr"/>
      <c r="AC2168" s="18" t="inlineStr"/>
      <c r="AD2168" s="18" t="inlineStr"/>
      <c r="AE2168" s="18" t="inlineStr">
        <is>
          <t>sky 8-15</t>
        </is>
      </c>
      <c r="AF2168" s="18" t="inlineStr"/>
      <c r="AG2168" s="18" t="inlineStr"/>
      <c r="AH2168" s="18" t="inlineStr"/>
      <c r="AI2168" s="18" t="inlineStr"/>
      <c r="AJ2168" s="18" t="inlineStr">
        <is>
          <t>Cobblemon 동일</t>
        </is>
      </c>
      <c r="AK2168" s="18" t="inlineStr">
        <is>
          <t>사용</t>
        </is>
      </c>
      <c r="AL2168" s="18" t="inlineStr">
        <is>
          <t>COBBLEVERSE 1.7.42 / DP v31</t>
        </is>
      </c>
      <c r="AM2168" s="18" t="inlineStr">
        <is>
          <t>data/cobblemon/spawn_pool_world/0656_froakie.json</t>
        </is>
      </c>
      <c r="AN2168" s="18" t="inlineStr">
        <is>
          <t>froakie-4</t>
        </is>
      </c>
      <c r="AO2168" s="18" t="inlineStr">
        <is>
          <t>pokemon</t>
        </is>
      </c>
      <c r="AP2168" s="18" t="inlineStr">
        <is>
          <t>water</t>
        </is>
      </c>
      <c r="AQ2168" s="18" t="inlineStr">
        <is>
          <t>{"biomes":["#cobblemon:is_bamboo","#cobblemon:is_jungle"],"maxSkyLight":15,"minSkyLight":8}</t>
        </is>
      </c>
      <c r="AR2168" s="18" t="inlineStr"/>
      <c r="AS2168" s="18" t="inlineStr"/>
      <c r="AT2168" s="19" t="inlineStr"/>
    </row>
    <row r="2169" ht="32" customHeight="1">
      <c r="A2169" s="18" t="inlineStr">
        <is>
          <t>0656_froakie.json::froakie-5::005</t>
        </is>
      </c>
      <c r="B2169" s="19" t="inlineStr">
        <is>
          <t>사용</t>
        </is>
      </c>
      <c r="C2169" s="18">
        <f>IF(OR(B2169&lt;&gt;AK2169,M2169&lt;&gt;L2169,O2169&lt;&gt;"",Q2169&lt;&gt;"",V2169&lt;&gt;1,Y2169&lt;&gt;"",AT2169&lt;&gt;""),"수정","원본")</f>
        <v/>
      </c>
      <c r="D2169" s="18" t="n">
        <v>656</v>
      </c>
      <c r="E2169" s="18" t="inlineStr">
        <is>
          <t>개구마르</t>
        </is>
      </c>
      <c r="F2169" s="18" t="inlineStr">
        <is>
          <t>froakie</t>
        </is>
      </c>
      <c r="G2169" s="18" t="inlineStr">
        <is>
          <t>froakie</t>
        </is>
      </c>
      <c r="H2169" s="18" t="inlineStr"/>
      <c r="I2169" s="18" t="n">
        <v>6</v>
      </c>
      <c r="J2169" s="18" t="n"/>
      <c r="K2169" s="18" t="n">
        <v>6</v>
      </c>
      <c r="L2169" s="18" t="inlineStr">
        <is>
          <t>cobbleventure:generation_6</t>
        </is>
      </c>
      <c r="M2169" s="19" t="inlineStr">
        <is>
          <t>cobbleventure:generation_6</t>
        </is>
      </c>
      <c r="N2169" s="18" t="inlineStr">
        <is>
          <t>region_02</t>
        </is>
      </c>
      <c r="O2169" s="19" t="inlineStr"/>
      <c r="P2169" s="18" t="inlineStr">
        <is>
          <t>#cobblemon:is_bamboo; #cobblemon:is_freshwater; #cobblemon:is_jungle</t>
        </is>
      </c>
      <c r="Q2169" s="19" t="inlineStr"/>
      <c r="R2169" s="18">
        <f>IF(Q2169="",P2169,Q2169)</f>
        <v/>
      </c>
      <c r="S2169" s="18" t="inlineStr">
        <is>
          <t>#cobblemon:is_freezing</t>
        </is>
      </c>
      <c r="T2169" s="18" t="inlineStr">
        <is>
          <t>ultra-rare</t>
        </is>
      </c>
      <c r="U2169" s="20" t="n">
        <v>6</v>
      </c>
      <c r="V2169" s="21" t="n">
        <v>1</v>
      </c>
      <c r="W2169" s="20">
        <f>IF(OR(U2169="",V2169=""),U2169,U2169*V2169)</f>
        <v/>
      </c>
      <c r="X2169" s="18" t="inlineStr">
        <is>
          <t>5-31</t>
        </is>
      </c>
      <c r="Y2169" s="19" t="inlineStr"/>
      <c r="Z2169" s="18">
        <f>IF(Y2169="",X2169,Y2169)</f>
        <v/>
      </c>
      <c r="AA2169" s="18" t="inlineStr">
        <is>
          <t>fishing</t>
        </is>
      </c>
      <c r="AB2169" s="18" t="inlineStr"/>
      <c r="AC2169" s="18" t="inlineStr"/>
      <c r="AD2169" s="18" t="inlineStr"/>
      <c r="AE2169" s="18" t="inlineStr">
        <is>
          <t>sky 8-15</t>
        </is>
      </c>
      <c r="AF2169" s="18" t="inlineStr"/>
      <c r="AG2169" s="18" t="inlineStr"/>
      <c r="AH2169" s="18" t="inlineStr"/>
      <c r="AI2169" s="18" t="inlineStr"/>
      <c r="AJ2169" s="18" t="inlineStr">
        <is>
          <t>Cobblemon 동일</t>
        </is>
      </c>
      <c r="AK2169" s="18" t="inlineStr">
        <is>
          <t>사용</t>
        </is>
      </c>
      <c r="AL2169" s="18" t="inlineStr">
        <is>
          <t>COBBLEVERSE 1.7.42 / DP v31</t>
        </is>
      </c>
      <c r="AM2169" s="18" t="inlineStr">
        <is>
          <t>data/cobblemon/spawn_pool_world/0656_froakie.json</t>
        </is>
      </c>
      <c r="AN2169" s="18" t="inlineStr">
        <is>
          <t>froakie-5</t>
        </is>
      </c>
      <c r="AO2169" s="18" t="inlineStr">
        <is>
          <t>pokemon</t>
        </is>
      </c>
      <c r="AP2169" s="18" t="inlineStr"/>
      <c r="AQ2169" s="18" t="inlineStr">
        <is>
          <t>{"biomes":["#cobblemon:is_bamboo","#cobblemon:is_freshwater","#cobblemon:is_jungle"],"maxSkyLight":15,"minSkyLight":8}</t>
        </is>
      </c>
      <c r="AR2169" s="18" t="inlineStr">
        <is>
          <t>{"biomes":["#cobblemon:is_freezing"]}</t>
        </is>
      </c>
      <c r="AS2169" s="18" t="inlineStr"/>
      <c r="AT2169" s="19" t="inlineStr"/>
    </row>
    <row r="2170" ht="32" customHeight="1">
      <c r="A2170" s="18" t="inlineStr">
        <is>
          <t>0657_frogadier.json::frogadier-1::001</t>
        </is>
      </c>
      <c r="B2170" s="19" t="inlineStr">
        <is>
          <t>사용</t>
        </is>
      </c>
      <c r="C2170" s="18">
        <f>IF(OR(B2170&lt;&gt;AK2170,M2170&lt;&gt;L2170,O2170&lt;&gt;"",Q2170&lt;&gt;"",V2170&lt;&gt;1,Y2170&lt;&gt;"",AT2170&lt;&gt;""),"수정","원본")</f>
        <v/>
      </c>
      <c r="D2170" s="18" t="n">
        <v>657</v>
      </c>
      <c r="E2170" s="18" t="inlineStr">
        <is>
          <t>개굴반장</t>
        </is>
      </c>
      <c r="F2170" s="18" t="inlineStr">
        <is>
          <t>frogadier</t>
        </is>
      </c>
      <c r="G2170" s="18" t="inlineStr">
        <is>
          <t>frogadier</t>
        </is>
      </c>
      <c r="H2170" s="18" t="inlineStr"/>
      <c r="I2170" s="18" t="n">
        <v>6</v>
      </c>
      <c r="J2170" s="18" t="n"/>
      <c r="K2170" s="18" t="n">
        <v>6</v>
      </c>
      <c r="L2170" s="18" t="inlineStr">
        <is>
          <t>cobbleventure:generation_6</t>
        </is>
      </c>
      <c r="M2170" s="19" t="inlineStr">
        <is>
          <t>cobbleventure:generation_6</t>
        </is>
      </c>
      <c r="N2170" s="18" t="inlineStr">
        <is>
          <t>region_02</t>
        </is>
      </c>
      <c r="O2170" s="19" t="inlineStr"/>
      <c r="P2170" s="18" t="inlineStr">
        <is>
          <t>#cobblemon:is_freshwater</t>
        </is>
      </c>
      <c r="Q2170" s="19" t="inlineStr"/>
      <c r="R2170" s="18">
        <f>IF(Q2170="",P2170,Q2170)</f>
        <v/>
      </c>
      <c r="S2170" s="18" t="inlineStr">
        <is>
          <t>#cobblemon:is_freezing</t>
        </is>
      </c>
      <c r="T2170" s="18" t="inlineStr">
        <is>
          <t>ultra-rare</t>
        </is>
      </c>
      <c r="U2170" s="20" t="n">
        <v>3.6</v>
      </c>
      <c r="V2170" s="21" t="n">
        <v>1</v>
      </c>
      <c r="W2170" s="20">
        <f>IF(OR(U2170="",V2170=""),U2170,U2170*V2170)</f>
        <v/>
      </c>
      <c r="X2170" s="18" t="inlineStr">
        <is>
          <t>16-41</t>
        </is>
      </c>
      <c r="Y2170" s="19" t="inlineStr"/>
      <c r="Z2170" s="18">
        <f>IF(Y2170="",X2170,Y2170)</f>
        <v/>
      </c>
      <c r="AA2170" s="18" t="inlineStr">
        <is>
          <t>grounded</t>
        </is>
      </c>
      <c r="AB2170" s="18" t="inlineStr"/>
      <c r="AC2170" s="18" t="inlineStr"/>
      <c r="AD2170" s="18" t="inlineStr"/>
      <c r="AE2170" s="18" t="inlineStr">
        <is>
          <t>sky 8-15</t>
        </is>
      </c>
      <c r="AF2170" s="18" t="inlineStr"/>
      <c r="AG2170" s="18" t="inlineStr"/>
      <c r="AH2170" s="18" t="inlineStr"/>
      <c r="AI2170" s="18" t="inlineStr"/>
      <c r="AJ2170" s="18" t="inlineStr">
        <is>
          <t>Cobblemon 동일</t>
        </is>
      </c>
      <c r="AK2170" s="18" t="inlineStr">
        <is>
          <t>사용</t>
        </is>
      </c>
      <c r="AL2170" s="18" t="inlineStr">
        <is>
          <t>COBBLEVERSE 1.7.42 / DP v31</t>
        </is>
      </c>
      <c r="AM2170" s="18" t="inlineStr">
        <is>
          <t>data/cobblemon/spawn_pool_world/0657_frogadier.json</t>
        </is>
      </c>
      <c r="AN2170" s="18" t="inlineStr">
        <is>
          <t>frogadier-1</t>
        </is>
      </c>
      <c r="AO2170" s="18" t="inlineStr">
        <is>
          <t>pokemon</t>
        </is>
      </c>
      <c r="AP2170" s="18" t="inlineStr">
        <is>
          <t>natural</t>
        </is>
      </c>
      <c r="AQ2170" s="18" t="inlineStr">
        <is>
          <t>{"biomes":["#cobblemon:is_freshwater"],"maxSkyLight":15,"minSkyLight":8}</t>
        </is>
      </c>
      <c r="AR2170" s="18" t="inlineStr">
        <is>
          <t>{"biomes":["#cobblemon:is_freezing"]}</t>
        </is>
      </c>
      <c r="AS2170" s="18" t="inlineStr"/>
      <c r="AT2170" s="19" t="inlineStr"/>
    </row>
    <row r="2171" ht="32" customHeight="1">
      <c r="A2171" s="18" t="inlineStr">
        <is>
          <t>0657_frogadier.json::frogadier-2::002</t>
        </is>
      </c>
      <c r="B2171" s="19" t="inlineStr">
        <is>
          <t>사용</t>
        </is>
      </c>
      <c r="C2171" s="18">
        <f>IF(OR(B2171&lt;&gt;AK2171,M2171&lt;&gt;L2171,O2171&lt;&gt;"",Q2171&lt;&gt;"",V2171&lt;&gt;1,Y2171&lt;&gt;"",AT2171&lt;&gt;""),"수정","원본")</f>
        <v/>
      </c>
      <c r="D2171" s="18" t="n">
        <v>657</v>
      </c>
      <c r="E2171" s="18" t="inlineStr">
        <is>
          <t>개굴반장</t>
        </is>
      </c>
      <c r="F2171" s="18" t="inlineStr">
        <is>
          <t>frogadier</t>
        </is>
      </c>
      <c r="G2171" s="18" t="inlineStr">
        <is>
          <t>frogadier</t>
        </is>
      </c>
      <c r="H2171" s="18" t="inlineStr"/>
      <c r="I2171" s="18" t="n">
        <v>6</v>
      </c>
      <c r="J2171" s="18" t="n"/>
      <c r="K2171" s="18" t="n">
        <v>6</v>
      </c>
      <c r="L2171" s="18" t="inlineStr">
        <is>
          <t>cobbleventure:generation_6</t>
        </is>
      </c>
      <c r="M2171" s="19" t="inlineStr">
        <is>
          <t>cobbleventure:generation_6</t>
        </is>
      </c>
      <c r="N2171" s="18" t="inlineStr">
        <is>
          <t>region_02</t>
        </is>
      </c>
      <c r="O2171" s="19" t="inlineStr"/>
      <c r="P2171" s="18" t="inlineStr">
        <is>
          <t>#cobblemon:is_freshwater</t>
        </is>
      </c>
      <c r="Q2171" s="19" t="inlineStr"/>
      <c r="R2171" s="18">
        <f>IF(Q2171="",P2171,Q2171)</f>
        <v/>
      </c>
      <c r="S2171" s="18" t="inlineStr">
        <is>
          <t>#cobblemon:is_freezing</t>
        </is>
      </c>
      <c r="T2171" s="18" t="inlineStr">
        <is>
          <t>ultra-rare</t>
        </is>
      </c>
      <c r="U2171" s="20" t="n">
        <v>3.6</v>
      </c>
      <c r="V2171" s="21" t="n">
        <v>1</v>
      </c>
      <c r="W2171" s="20">
        <f>IF(OR(U2171="",V2171=""),U2171,U2171*V2171)</f>
        <v/>
      </c>
      <c r="X2171" s="18" t="inlineStr">
        <is>
          <t>16-41</t>
        </is>
      </c>
      <c r="Y2171" s="19" t="inlineStr"/>
      <c r="Z2171" s="18">
        <f>IF(Y2171="",X2171,Y2171)</f>
        <v/>
      </c>
      <c r="AA2171" s="18" t="inlineStr">
        <is>
          <t>submerged</t>
        </is>
      </c>
      <c r="AB2171" s="18" t="inlineStr"/>
      <c r="AC2171" s="18" t="inlineStr"/>
      <c r="AD2171" s="18" t="inlineStr"/>
      <c r="AE2171" s="18" t="inlineStr">
        <is>
          <t>sky 8-15</t>
        </is>
      </c>
      <c r="AF2171" s="18" t="inlineStr"/>
      <c r="AG2171" s="18" t="inlineStr"/>
      <c r="AH2171" s="18" t="inlineStr"/>
      <c r="AI2171" s="18" t="inlineStr"/>
      <c r="AJ2171" s="18" t="inlineStr">
        <is>
          <t>Cobblemon 동일</t>
        </is>
      </c>
      <c r="AK2171" s="18" t="inlineStr">
        <is>
          <t>사용</t>
        </is>
      </c>
      <c r="AL2171" s="18" t="inlineStr">
        <is>
          <t>COBBLEVERSE 1.7.42 / DP v31</t>
        </is>
      </c>
      <c r="AM2171" s="18" t="inlineStr">
        <is>
          <t>data/cobblemon/spawn_pool_world/0657_frogadier.json</t>
        </is>
      </c>
      <c r="AN2171" s="18" t="inlineStr">
        <is>
          <t>frogadier-2</t>
        </is>
      </c>
      <c r="AO2171" s="18" t="inlineStr">
        <is>
          <t>pokemon</t>
        </is>
      </c>
      <c r="AP2171" s="18" t="inlineStr">
        <is>
          <t>water</t>
        </is>
      </c>
      <c r="AQ2171" s="18" t="inlineStr">
        <is>
          <t>{"biomes":["#cobblemon:is_freshwater"],"maxSkyLight":15,"minSkyLight":8}</t>
        </is>
      </c>
      <c r="AR2171" s="18" t="inlineStr">
        <is>
          <t>{"biomes":["#cobblemon:is_freezing"]}</t>
        </is>
      </c>
      <c r="AS2171" s="18" t="inlineStr"/>
      <c r="AT2171" s="19" t="inlineStr"/>
    </row>
    <row r="2172" ht="32" customHeight="1">
      <c r="A2172" s="18" t="inlineStr">
        <is>
          <t>0657_frogadier.json::frogadier-3::003</t>
        </is>
      </c>
      <c r="B2172" s="19" t="inlineStr">
        <is>
          <t>사용</t>
        </is>
      </c>
      <c r="C2172" s="18">
        <f>IF(OR(B2172&lt;&gt;AK2172,M2172&lt;&gt;L2172,O2172&lt;&gt;"",Q2172&lt;&gt;"",V2172&lt;&gt;1,Y2172&lt;&gt;"",AT2172&lt;&gt;""),"수정","원본")</f>
        <v/>
      </c>
      <c r="D2172" s="18" t="n">
        <v>657</v>
      </c>
      <c r="E2172" s="18" t="inlineStr">
        <is>
          <t>개굴반장</t>
        </is>
      </c>
      <c r="F2172" s="18" t="inlineStr">
        <is>
          <t>frogadier</t>
        </is>
      </c>
      <c r="G2172" s="18" t="inlineStr">
        <is>
          <t>frogadier</t>
        </is>
      </c>
      <c r="H2172" s="18" t="inlineStr"/>
      <c r="I2172" s="18" t="n">
        <v>6</v>
      </c>
      <c r="J2172" s="18" t="n"/>
      <c r="K2172" s="18" t="n">
        <v>6</v>
      </c>
      <c r="L2172" s="18" t="inlineStr">
        <is>
          <t>cobbleventure:generation_6</t>
        </is>
      </c>
      <c r="M2172" s="19" t="inlineStr">
        <is>
          <t>cobbleventure:generation_6</t>
        </is>
      </c>
      <c r="N2172" s="18" t="inlineStr"/>
      <c r="O2172" s="19" t="inlineStr"/>
      <c r="P2172" s="18" t="inlineStr">
        <is>
          <t>#cobblemon:is_bamboo; #cobblemon:is_jungle</t>
        </is>
      </c>
      <c r="Q2172" s="19" t="inlineStr"/>
      <c r="R2172" s="18">
        <f>IF(Q2172="",P2172,Q2172)</f>
        <v/>
      </c>
      <c r="S2172" s="18" t="inlineStr"/>
      <c r="T2172" s="18" t="inlineStr">
        <is>
          <t>ultra-rare</t>
        </is>
      </c>
      <c r="U2172" s="20" t="n">
        <v>3.6</v>
      </c>
      <c r="V2172" s="21" t="n">
        <v>1</v>
      </c>
      <c r="W2172" s="20">
        <f>IF(OR(U2172="",V2172=""),U2172,U2172*V2172)</f>
        <v/>
      </c>
      <c r="X2172" s="18" t="inlineStr">
        <is>
          <t>16-41</t>
        </is>
      </c>
      <c r="Y2172" s="19" t="inlineStr"/>
      <c r="Z2172" s="18">
        <f>IF(Y2172="",X2172,Y2172)</f>
        <v/>
      </c>
      <c r="AA2172" s="18" t="inlineStr">
        <is>
          <t>grounded</t>
        </is>
      </c>
      <c r="AB2172" s="18" t="inlineStr"/>
      <c r="AC2172" s="18" t="inlineStr"/>
      <c r="AD2172" s="18" t="inlineStr"/>
      <c r="AE2172" s="18" t="inlineStr">
        <is>
          <t>sky 8-15</t>
        </is>
      </c>
      <c r="AF2172" s="18" t="inlineStr"/>
      <c r="AG2172" s="18" t="inlineStr"/>
      <c r="AH2172" s="18" t="inlineStr">
        <is>
          <t>주변=minecraft:water</t>
        </is>
      </c>
      <c r="AI2172" s="18" t="inlineStr"/>
      <c r="AJ2172" s="18" t="inlineStr">
        <is>
          <t>Cobblemon 동일</t>
        </is>
      </c>
      <c r="AK2172" s="18" t="inlineStr">
        <is>
          <t>사용</t>
        </is>
      </c>
      <c r="AL2172" s="18" t="inlineStr">
        <is>
          <t>COBBLEVERSE 1.7.42 / DP v31</t>
        </is>
      </c>
      <c r="AM2172" s="18" t="inlineStr">
        <is>
          <t>data/cobblemon/spawn_pool_world/0657_frogadier.json</t>
        </is>
      </c>
      <c r="AN2172" s="18" t="inlineStr">
        <is>
          <t>frogadier-3</t>
        </is>
      </c>
      <c r="AO2172" s="18" t="inlineStr">
        <is>
          <t>pokemon</t>
        </is>
      </c>
      <c r="AP2172" s="18" t="inlineStr">
        <is>
          <t>natural</t>
        </is>
      </c>
      <c r="AQ2172" s="18" t="inlineStr">
        <is>
          <t>{"biomes":["#cobblemon:is_bamboo","#cobblemon:is_jungle"],"maxSkyLight":15,"minSkyLight":8,"neededNearbyBlocks":["minecraft:water"]}</t>
        </is>
      </c>
      <c r="AR2172" s="18" t="inlineStr"/>
      <c r="AS2172" s="18" t="inlineStr"/>
      <c r="AT2172" s="19" t="inlineStr"/>
    </row>
    <row r="2173" ht="32" customHeight="1">
      <c r="A2173" s="18" t="inlineStr">
        <is>
          <t>0657_frogadier.json::frogadier-4::004</t>
        </is>
      </c>
      <c r="B2173" s="19" t="inlineStr">
        <is>
          <t>사용</t>
        </is>
      </c>
      <c r="C2173" s="18">
        <f>IF(OR(B2173&lt;&gt;AK2173,M2173&lt;&gt;L2173,O2173&lt;&gt;"",Q2173&lt;&gt;"",V2173&lt;&gt;1,Y2173&lt;&gt;"",AT2173&lt;&gt;""),"수정","원본")</f>
        <v/>
      </c>
      <c r="D2173" s="18" t="n">
        <v>657</v>
      </c>
      <c r="E2173" s="18" t="inlineStr">
        <is>
          <t>개굴반장</t>
        </is>
      </c>
      <c r="F2173" s="18" t="inlineStr">
        <is>
          <t>frogadier</t>
        </is>
      </c>
      <c r="G2173" s="18" t="inlineStr">
        <is>
          <t>frogadier</t>
        </is>
      </c>
      <c r="H2173" s="18" t="inlineStr"/>
      <c r="I2173" s="18" t="n">
        <v>6</v>
      </c>
      <c r="J2173" s="18" t="n"/>
      <c r="K2173" s="18" t="n">
        <v>6</v>
      </c>
      <c r="L2173" s="18" t="inlineStr">
        <is>
          <t>cobbleventure:generation_6</t>
        </is>
      </c>
      <c r="M2173" s="19" t="inlineStr">
        <is>
          <t>cobbleventure:generation_6</t>
        </is>
      </c>
      <c r="N2173" s="18" t="inlineStr"/>
      <c r="O2173" s="19" t="inlineStr"/>
      <c r="P2173" s="18" t="inlineStr">
        <is>
          <t>#cobblemon:is_bamboo; #cobblemon:is_jungle</t>
        </is>
      </c>
      <c r="Q2173" s="19" t="inlineStr"/>
      <c r="R2173" s="18">
        <f>IF(Q2173="",P2173,Q2173)</f>
        <v/>
      </c>
      <c r="S2173" s="18" t="inlineStr"/>
      <c r="T2173" s="18" t="inlineStr">
        <is>
          <t>ultra-rare</t>
        </is>
      </c>
      <c r="U2173" s="20" t="n">
        <v>3.6</v>
      </c>
      <c r="V2173" s="21" t="n">
        <v>1</v>
      </c>
      <c r="W2173" s="20">
        <f>IF(OR(U2173="",V2173=""),U2173,U2173*V2173)</f>
        <v/>
      </c>
      <c r="X2173" s="18" t="inlineStr">
        <is>
          <t>16-41</t>
        </is>
      </c>
      <c r="Y2173" s="19" t="inlineStr"/>
      <c r="Z2173" s="18">
        <f>IF(Y2173="",X2173,Y2173)</f>
        <v/>
      </c>
      <c r="AA2173" s="18" t="inlineStr">
        <is>
          <t>submerged</t>
        </is>
      </c>
      <c r="AB2173" s="18" t="inlineStr"/>
      <c r="AC2173" s="18" t="inlineStr"/>
      <c r="AD2173" s="18" t="inlineStr"/>
      <c r="AE2173" s="18" t="inlineStr">
        <is>
          <t>sky 8-15</t>
        </is>
      </c>
      <c r="AF2173" s="18" t="inlineStr"/>
      <c r="AG2173" s="18" t="inlineStr"/>
      <c r="AH2173" s="18" t="inlineStr"/>
      <c r="AI2173" s="18" t="inlineStr"/>
      <c r="AJ2173" s="18" t="inlineStr">
        <is>
          <t>Cobblemon 동일</t>
        </is>
      </c>
      <c r="AK2173" s="18" t="inlineStr">
        <is>
          <t>사용</t>
        </is>
      </c>
      <c r="AL2173" s="18" t="inlineStr">
        <is>
          <t>COBBLEVERSE 1.7.42 / DP v31</t>
        </is>
      </c>
      <c r="AM2173" s="18" t="inlineStr">
        <is>
          <t>data/cobblemon/spawn_pool_world/0657_frogadier.json</t>
        </is>
      </c>
      <c r="AN2173" s="18" t="inlineStr">
        <is>
          <t>frogadier-4</t>
        </is>
      </c>
      <c r="AO2173" s="18" t="inlineStr">
        <is>
          <t>pokemon</t>
        </is>
      </c>
      <c r="AP2173" s="18" t="inlineStr">
        <is>
          <t>water</t>
        </is>
      </c>
      <c r="AQ2173" s="18" t="inlineStr">
        <is>
          <t>{"biomes":["#cobblemon:is_bamboo","#cobblemon:is_jungle"],"maxSkyLight":15,"minSkyLight":8}</t>
        </is>
      </c>
      <c r="AR2173" s="18" t="inlineStr"/>
      <c r="AS2173" s="18" t="inlineStr"/>
      <c r="AT2173" s="19" t="inlineStr"/>
    </row>
    <row r="2174" ht="32" customHeight="1">
      <c r="A2174" s="18" t="inlineStr">
        <is>
          <t>0657_frogadier.json::frogadier-5::005</t>
        </is>
      </c>
      <c r="B2174" s="19" t="inlineStr">
        <is>
          <t>사용</t>
        </is>
      </c>
      <c r="C2174" s="18">
        <f>IF(OR(B2174&lt;&gt;AK2174,M2174&lt;&gt;L2174,O2174&lt;&gt;"",Q2174&lt;&gt;"",V2174&lt;&gt;1,Y2174&lt;&gt;"",AT2174&lt;&gt;""),"수정","원본")</f>
        <v/>
      </c>
      <c r="D2174" s="18" t="n">
        <v>657</v>
      </c>
      <c r="E2174" s="18" t="inlineStr">
        <is>
          <t>개굴반장</t>
        </is>
      </c>
      <c r="F2174" s="18" t="inlineStr">
        <is>
          <t>frogadier</t>
        </is>
      </c>
      <c r="G2174" s="18" t="inlineStr">
        <is>
          <t>frogadier</t>
        </is>
      </c>
      <c r="H2174" s="18" t="inlineStr"/>
      <c r="I2174" s="18" t="n">
        <v>6</v>
      </c>
      <c r="J2174" s="18" t="n"/>
      <c r="K2174" s="18" t="n">
        <v>6</v>
      </c>
      <c r="L2174" s="18" t="inlineStr">
        <is>
          <t>cobbleventure:generation_6</t>
        </is>
      </c>
      <c r="M2174" s="19" t="inlineStr">
        <is>
          <t>cobbleventure:generation_6</t>
        </is>
      </c>
      <c r="N2174" s="18" t="inlineStr">
        <is>
          <t>region_02</t>
        </is>
      </c>
      <c r="O2174" s="19" t="inlineStr"/>
      <c r="P2174" s="18" t="inlineStr">
        <is>
          <t>#cobblemon:is_bamboo; #cobblemon:is_freshwater; #cobblemon:is_jungle</t>
        </is>
      </c>
      <c r="Q2174" s="19" t="inlineStr"/>
      <c r="R2174" s="18">
        <f>IF(Q2174="",P2174,Q2174)</f>
        <v/>
      </c>
      <c r="S2174" s="18" t="inlineStr">
        <is>
          <t>#cobblemon:is_freezing</t>
        </is>
      </c>
      <c r="T2174" s="18" t="inlineStr">
        <is>
          <t>ultra-rare</t>
        </is>
      </c>
      <c r="U2174" s="20" t="n">
        <v>3.6</v>
      </c>
      <c r="V2174" s="21" t="n">
        <v>1</v>
      </c>
      <c r="W2174" s="20">
        <f>IF(OR(U2174="",V2174=""),U2174,U2174*V2174)</f>
        <v/>
      </c>
      <c r="X2174" s="18" t="inlineStr">
        <is>
          <t>16-41</t>
        </is>
      </c>
      <c r="Y2174" s="19" t="inlineStr"/>
      <c r="Z2174" s="18">
        <f>IF(Y2174="",X2174,Y2174)</f>
        <v/>
      </c>
      <c r="AA2174" s="18" t="inlineStr">
        <is>
          <t>fishing</t>
        </is>
      </c>
      <c r="AB2174" s="18" t="inlineStr"/>
      <c r="AC2174" s="18" t="inlineStr"/>
      <c r="AD2174" s="18" t="inlineStr"/>
      <c r="AE2174" s="18" t="inlineStr">
        <is>
          <t>sky 8-15</t>
        </is>
      </c>
      <c r="AF2174" s="18" t="inlineStr"/>
      <c r="AG2174" s="18" t="inlineStr"/>
      <c r="AH2174" s="18" t="inlineStr"/>
      <c r="AI2174" s="18" t="inlineStr"/>
      <c r="AJ2174" s="18" t="inlineStr">
        <is>
          <t>Cobblemon 동일</t>
        </is>
      </c>
      <c r="AK2174" s="18" t="inlineStr">
        <is>
          <t>사용</t>
        </is>
      </c>
      <c r="AL2174" s="18" t="inlineStr">
        <is>
          <t>COBBLEVERSE 1.7.42 / DP v31</t>
        </is>
      </c>
      <c r="AM2174" s="18" t="inlineStr">
        <is>
          <t>data/cobblemon/spawn_pool_world/0657_frogadier.json</t>
        </is>
      </c>
      <c r="AN2174" s="18" t="inlineStr">
        <is>
          <t>frogadier-5</t>
        </is>
      </c>
      <c r="AO2174" s="18" t="inlineStr">
        <is>
          <t>pokemon</t>
        </is>
      </c>
      <c r="AP2174" s="18" t="inlineStr"/>
      <c r="AQ2174" s="18" t="inlineStr">
        <is>
          <t>{"biomes":["#cobblemon:is_bamboo","#cobblemon:is_freshwater","#cobblemon:is_jungle"],"maxSkyLight":15,"minSkyLight":8}</t>
        </is>
      </c>
      <c r="AR2174" s="18" t="inlineStr">
        <is>
          <t>{"biomes":["#cobblemon:is_freezing"]}</t>
        </is>
      </c>
      <c r="AS2174" s="18" t="inlineStr"/>
      <c r="AT2174" s="19" t="inlineStr"/>
    </row>
    <row r="2175" ht="32" customHeight="1">
      <c r="A2175" s="18" t="inlineStr">
        <is>
          <t>0658_greninja.json::greninja-1::001</t>
        </is>
      </c>
      <c r="B2175" s="19" t="inlineStr">
        <is>
          <t>사용</t>
        </is>
      </c>
      <c r="C2175" s="18">
        <f>IF(OR(B2175&lt;&gt;AK2175,M2175&lt;&gt;L2175,O2175&lt;&gt;"",Q2175&lt;&gt;"",V2175&lt;&gt;1,Y2175&lt;&gt;"",AT2175&lt;&gt;""),"수정","원본")</f>
        <v/>
      </c>
      <c r="D2175" s="18" t="n">
        <v>658</v>
      </c>
      <c r="E2175" s="18" t="inlineStr">
        <is>
          <t>개굴닌자</t>
        </is>
      </c>
      <c r="F2175" s="18" t="inlineStr">
        <is>
          <t>greninja</t>
        </is>
      </c>
      <c r="G2175" s="18" t="inlineStr">
        <is>
          <t>greninja</t>
        </is>
      </c>
      <c r="H2175" s="18" t="inlineStr"/>
      <c r="I2175" s="18" t="n">
        <v>6</v>
      </c>
      <c r="J2175" s="18" t="n"/>
      <c r="K2175" s="18" t="n">
        <v>6</v>
      </c>
      <c r="L2175" s="18" t="inlineStr">
        <is>
          <t>cobbleventure:generation_6</t>
        </is>
      </c>
      <c r="M2175" s="19" t="inlineStr">
        <is>
          <t>cobbleventure:generation_6</t>
        </is>
      </c>
      <c r="N2175" s="18" t="inlineStr">
        <is>
          <t>region_02</t>
        </is>
      </c>
      <c r="O2175" s="19" t="inlineStr"/>
      <c r="P2175" s="18" t="inlineStr">
        <is>
          <t>#cobblemon:is_freshwater</t>
        </is>
      </c>
      <c r="Q2175" s="19" t="inlineStr"/>
      <c r="R2175" s="18">
        <f>IF(Q2175="",P2175,Q2175)</f>
        <v/>
      </c>
      <c r="S2175" s="18" t="inlineStr">
        <is>
          <t>#cobblemon:is_freezing</t>
        </is>
      </c>
      <c r="T2175" s="18" t="inlineStr">
        <is>
          <t>ultra-rare</t>
        </is>
      </c>
      <c r="U2175" s="20" t="n">
        <v>0.4</v>
      </c>
      <c r="V2175" s="21" t="n">
        <v>1</v>
      </c>
      <c r="W2175" s="20">
        <f>IF(OR(U2175="",V2175=""),U2175,U2175*V2175)</f>
        <v/>
      </c>
      <c r="X2175" s="18" t="inlineStr">
        <is>
          <t>36-53</t>
        </is>
      </c>
      <c r="Y2175" s="19" t="inlineStr"/>
      <c r="Z2175" s="18">
        <f>IF(Y2175="",X2175,Y2175)</f>
        <v/>
      </c>
      <c r="AA2175" s="18" t="inlineStr">
        <is>
          <t>grounded</t>
        </is>
      </c>
      <c r="AB2175" s="18" t="inlineStr"/>
      <c r="AC2175" s="18" t="inlineStr"/>
      <c r="AD2175" s="18" t="inlineStr"/>
      <c r="AE2175" s="18" t="inlineStr">
        <is>
          <t>sky 8-15</t>
        </is>
      </c>
      <c r="AF2175" s="18" t="inlineStr"/>
      <c r="AG2175" s="18" t="inlineStr"/>
      <c r="AH2175" s="18" t="inlineStr"/>
      <c r="AI2175" s="18" t="inlineStr"/>
      <c r="AJ2175" s="18" t="inlineStr">
        <is>
          <t>Cobblemon 동일</t>
        </is>
      </c>
      <c r="AK2175" s="18" t="inlineStr">
        <is>
          <t>사용</t>
        </is>
      </c>
      <c r="AL2175" s="18" t="inlineStr">
        <is>
          <t>COBBLEVERSE 1.7.42 / DP v31</t>
        </is>
      </c>
      <c r="AM2175" s="18" t="inlineStr">
        <is>
          <t>data/cobblemon/spawn_pool_world/0658_greninja.json</t>
        </is>
      </c>
      <c r="AN2175" s="18" t="inlineStr">
        <is>
          <t>greninja-1</t>
        </is>
      </c>
      <c r="AO2175" s="18" t="inlineStr">
        <is>
          <t>pokemon</t>
        </is>
      </c>
      <c r="AP2175" s="18" t="inlineStr">
        <is>
          <t>natural</t>
        </is>
      </c>
      <c r="AQ2175" s="18" t="inlineStr">
        <is>
          <t>{"biomes":["#cobblemon:is_freshwater"],"maxSkyLight":15,"minSkyLight":8}</t>
        </is>
      </c>
      <c r="AR2175" s="18" t="inlineStr">
        <is>
          <t>{"biomes":["#cobblemon:is_freezing"]}</t>
        </is>
      </c>
      <c r="AS2175" s="18" t="inlineStr"/>
      <c r="AT2175" s="19" t="inlineStr"/>
    </row>
    <row r="2176" ht="32" customHeight="1">
      <c r="A2176" s="18" t="inlineStr">
        <is>
          <t>0658_greninja.json::greninja-2::002</t>
        </is>
      </c>
      <c r="B2176" s="19" t="inlineStr">
        <is>
          <t>사용</t>
        </is>
      </c>
      <c r="C2176" s="18">
        <f>IF(OR(B2176&lt;&gt;AK2176,M2176&lt;&gt;L2176,O2176&lt;&gt;"",Q2176&lt;&gt;"",V2176&lt;&gt;1,Y2176&lt;&gt;"",AT2176&lt;&gt;""),"수정","원본")</f>
        <v/>
      </c>
      <c r="D2176" s="18" t="n">
        <v>658</v>
      </c>
      <c r="E2176" s="18" t="inlineStr">
        <is>
          <t>개굴닌자</t>
        </is>
      </c>
      <c r="F2176" s="18" t="inlineStr">
        <is>
          <t>greninja</t>
        </is>
      </c>
      <c r="G2176" s="18" t="inlineStr">
        <is>
          <t>greninja</t>
        </is>
      </c>
      <c r="H2176" s="18" t="inlineStr"/>
      <c r="I2176" s="18" t="n">
        <v>6</v>
      </c>
      <c r="J2176" s="18" t="n"/>
      <c r="K2176" s="18" t="n">
        <v>6</v>
      </c>
      <c r="L2176" s="18" t="inlineStr">
        <is>
          <t>cobbleventure:generation_6</t>
        </is>
      </c>
      <c r="M2176" s="19" t="inlineStr">
        <is>
          <t>cobbleventure:generation_6</t>
        </is>
      </c>
      <c r="N2176" s="18" t="inlineStr">
        <is>
          <t>region_02</t>
        </is>
      </c>
      <c r="O2176" s="19" t="inlineStr"/>
      <c r="P2176" s="18" t="inlineStr">
        <is>
          <t>#cobblemon:is_freshwater</t>
        </is>
      </c>
      <c r="Q2176" s="19" t="inlineStr"/>
      <c r="R2176" s="18">
        <f>IF(Q2176="",P2176,Q2176)</f>
        <v/>
      </c>
      <c r="S2176" s="18" t="inlineStr">
        <is>
          <t>#cobblemon:is_freezing</t>
        </is>
      </c>
      <c r="T2176" s="18" t="inlineStr">
        <is>
          <t>ultra-rare</t>
        </is>
      </c>
      <c r="U2176" s="20" t="n">
        <v>0.4</v>
      </c>
      <c r="V2176" s="21" t="n">
        <v>1</v>
      </c>
      <c r="W2176" s="20">
        <f>IF(OR(U2176="",V2176=""),U2176,U2176*V2176)</f>
        <v/>
      </c>
      <c r="X2176" s="18" t="inlineStr">
        <is>
          <t>36-53</t>
        </is>
      </c>
      <c r="Y2176" s="19" t="inlineStr"/>
      <c r="Z2176" s="18">
        <f>IF(Y2176="",X2176,Y2176)</f>
        <v/>
      </c>
      <c r="AA2176" s="18" t="inlineStr">
        <is>
          <t>submerged</t>
        </is>
      </c>
      <c r="AB2176" s="18" t="inlineStr"/>
      <c r="AC2176" s="18" t="inlineStr"/>
      <c r="AD2176" s="18" t="inlineStr"/>
      <c r="AE2176" s="18" t="inlineStr">
        <is>
          <t>sky 8-15</t>
        </is>
      </c>
      <c r="AF2176" s="18" t="inlineStr"/>
      <c r="AG2176" s="18" t="inlineStr"/>
      <c r="AH2176" s="18" t="inlineStr"/>
      <c r="AI2176" s="18" t="inlineStr"/>
      <c r="AJ2176" s="18" t="inlineStr">
        <is>
          <t>Cobblemon 동일</t>
        </is>
      </c>
      <c r="AK2176" s="18" t="inlineStr">
        <is>
          <t>사용</t>
        </is>
      </c>
      <c r="AL2176" s="18" t="inlineStr">
        <is>
          <t>COBBLEVERSE 1.7.42 / DP v31</t>
        </is>
      </c>
      <c r="AM2176" s="18" t="inlineStr">
        <is>
          <t>data/cobblemon/spawn_pool_world/0658_greninja.json</t>
        </is>
      </c>
      <c r="AN2176" s="18" t="inlineStr">
        <is>
          <t>greninja-2</t>
        </is>
      </c>
      <c r="AO2176" s="18" t="inlineStr">
        <is>
          <t>pokemon</t>
        </is>
      </c>
      <c r="AP2176" s="18" t="inlineStr">
        <is>
          <t>water</t>
        </is>
      </c>
      <c r="AQ2176" s="18" t="inlineStr">
        <is>
          <t>{"biomes":["#cobblemon:is_freshwater"],"maxSkyLight":15,"minSkyLight":8}</t>
        </is>
      </c>
      <c r="AR2176" s="18" t="inlineStr">
        <is>
          <t>{"biomes":["#cobblemon:is_freezing"]}</t>
        </is>
      </c>
      <c r="AS2176" s="18" t="inlineStr"/>
      <c r="AT2176" s="19" t="inlineStr"/>
    </row>
    <row r="2177" ht="32" customHeight="1">
      <c r="A2177" s="18" t="inlineStr">
        <is>
          <t>0658_greninja.json::greninja-3::003</t>
        </is>
      </c>
      <c r="B2177" s="19" t="inlineStr">
        <is>
          <t>사용</t>
        </is>
      </c>
      <c r="C2177" s="18">
        <f>IF(OR(B2177&lt;&gt;AK2177,M2177&lt;&gt;L2177,O2177&lt;&gt;"",Q2177&lt;&gt;"",V2177&lt;&gt;1,Y2177&lt;&gt;"",AT2177&lt;&gt;""),"수정","원본")</f>
        <v/>
      </c>
      <c r="D2177" s="18" t="n">
        <v>658</v>
      </c>
      <c r="E2177" s="18" t="inlineStr">
        <is>
          <t>개굴닌자</t>
        </is>
      </c>
      <c r="F2177" s="18" t="inlineStr">
        <is>
          <t>greninja</t>
        </is>
      </c>
      <c r="G2177" s="18" t="inlineStr">
        <is>
          <t>greninja</t>
        </is>
      </c>
      <c r="H2177" s="18" t="inlineStr"/>
      <c r="I2177" s="18" t="n">
        <v>6</v>
      </c>
      <c r="J2177" s="18" t="n"/>
      <c r="K2177" s="18" t="n">
        <v>6</v>
      </c>
      <c r="L2177" s="18" t="inlineStr">
        <is>
          <t>cobbleventure:generation_6</t>
        </is>
      </c>
      <c r="M2177" s="19" t="inlineStr">
        <is>
          <t>cobbleventure:generation_6</t>
        </is>
      </c>
      <c r="N2177" s="18" t="inlineStr"/>
      <c r="O2177" s="19" t="inlineStr"/>
      <c r="P2177" s="18" t="inlineStr">
        <is>
          <t>#cobblemon:is_bamboo; #cobblemon:is_jungle</t>
        </is>
      </c>
      <c r="Q2177" s="19" t="inlineStr"/>
      <c r="R2177" s="18">
        <f>IF(Q2177="",P2177,Q2177)</f>
        <v/>
      </c>
      <c r="S2177" s="18" t="inlineStr"/>
      <c r="T2177" s="18" t="inlineStr">
        <is>
          <t>ultra-rare</t>
        </is>
      </c>
      <c r="U2177" s="20" t="n">
        <v>0.4</v>
      </c>
      <c r="V2177" s="21" t="n">
        <v>1</v>
      </c>
      <c r="W2177" s="20">
        <f>IF(OR(U2177="",V2177=""),U2177,U2177*V2177)</f>
        <v/>
      </c>
      <c r="X2177" s="18" t="inlineStr">
        <is>
          <t>36-53</t>
        </is>
      </c>
      <c r="Y2177" s="19" t="inlineStr"/>
      <c r="Z2177" s="18">
        <f>IF(Y2177="",X2177,Y2177)</f>
        <v/>
      </c>
      <c r="AA2177" s="18" t="inlineStr">
        <is>
          <t>grounded</t>
        </is>
      </c>
      <c r="AB2177" s="18" t="inlineStr"/>
      <c r="AC2177" s="18" t="inlineStr"/>
      <c r="AD2177" s="18" t="inlineStr"/>
      <c r="AE2177" s="18" t="inlineStr">
        <is>
          <t>sky 8-15</t>
        </is>
      </c>
      <c r="AF2177" s="18" t="inlineStr"/>
      <c r="AG2177" s="18" t="inlineStr"/>
      <c r="AH2177" s="18" t="inlineStr">
        <is>
          <t>주변=minecraft:water</t>
        </is>
      </c>
      <c r="AI2177" s="18" t="inlineStr"/>
      <c r="AJ2177" s="18" t="inlineStr">
        <is>
          <t>Cobblemon 동일</t>
        </is>
      </c>
      <c r="AK2177" s="18" t="inlineStr">
        <is>
          <t>사용</t>
        </is>
      </c>
      <c r="AL2177" s="18" t="inlineStr">
        <is>
          <t>COBBLEVERSE 1.7.42 / DP v31</t>
        </is>
      </c>
      <c r="AM2177" s="18" t="inlineStr">
        <is>
          <t>data/cobblemon/spawn_pool_world/0658_greninja.json</t>
        </is>
      </c>
      <c r="AN2177" s="18" t="inlineStr">
        <is>
          <t>greninja-3</t>
        </is>
      </c>
      <c r="AO2177" s="18" t="inlineStr">
        <is>
          <t>pokemon</t>
        </is>
      </c>
      <c r="AP2177" s="18" t="inlineStr">
        <is>
          <t>natural</t>
        </is>
      </c>
      <c r="AQ2177" s="18" t="inlineStr">
        <is>
          <t>{"biomes":["#cobblemon:is_bamboo","#cobblemon:is_jungle"],"maxSkyLight":15,"minSkyLight":8,"neededNearbyBlocks":["minecraft:water"]}</t>
        </is>
      </c>
      <c r="AR2177" s="18" t="inlineStr"/>
      <c r="AS2177" s="18" t="inlineStr"/>
      <c r="AT2177" s="19" t="inlineStr"/>
    </row>
    <row r="2178" ht="32" customHeight="1">
      <c r="A2178" s="18" t="inlineStr">
        <is>
          <t>0658_greninja.json::greninja-4::004</t>
        </is>
      </c>
      <c r="B2178" s="19" t="inlineStr">
        <is>
          <t>사용</t>
        </is>
      </c>
      <c r="C2178" s="18">
        <f>IF(OR(B2178&lt;&gt;AK2178,M2178&lt;&gt;L2178,O2178&lt;&gt;"",Q2178&lt;&gt;"",V2178&lt;&gt;1,Y2178&lt;&gt;"",AT2178&lt;&gt;""),"수정","원본")</f>
        <v/>
      </c>
      <c r="D2178" s="18" t="n">
        <v>658</v>
      </c>
      <c r="E2178" s="18" t="inlineStr">
        <is>
          <t>개굴닌자</t>
        </is>
      </c>
      <c r="F2178" s="18" t="inlineStr">
        <is>
          <t>greninja</t>
        </is>
      </c>
      <c r="G2178" s="18" t="inlineStr">
        <is>
          <t>greninja</t>
        </is>
      </c>
      <c r="H2178" s="18" t="inlineStr"/>
      <c r="I2178" s="18" t="n">
        <v>6</v>
      </c>
      <c r="J2178" s="18" t="n"/>
      <c r="K2178" s="18" t="n">
        <v>6</v>
      </c>
      <c r="L2178" s="18" t="inlineStr">
        <is>
          <t>cobbleventure:generation_6</t>
        </is>
      </c>
      <c r="M2178" s="19" t="inlineStr">
        <is>
          <t>cobbleventure:generation_6</t>
        </is>
      </c>
      <c r="N2178" s="18" t="inlineStr"/>
      <c r="O2178" s="19" t="inlineStr"/>
      <c r="P2178" s="18" t="inlineStr">
        <is>
          <t>#cobblemon:is_bamboo; #cobblemon:is_jungle</t>
        </is>
      </c>
      <c r="Q2178" s="19" t="inlineStr"/>
      <c r="R2178" s="18">
        <f>IF(Q2178="",P2178,Q2178)</f>
        <v/>
      </c>
      <c r="S2178" s="18" t="inlineStr"/>
      <c r="T2178" s="18" t="inlineStr">
        <is>
          <t>ultra-rare</t>
        </is>
      </c>
      <c r="U2178" s="20" t="n">
        <v>0.4</v>
      </c>
      <c r="V2178" s="21" t="n">
        <v>1</v>
      </c>
      <c r="W2178" s="20">
        <f>IF(OR(U2178="",V2178=""),U2178,U2178*V2178)</f>
        <v/>
      </c>
      <c r="X2178" s="18" t="inlineStr">
        <is>
          <t>36-53</t>
        </is>
      </c>
      <c r="Y2178" s="19" t="inlineStr"/>
      <c r="Z2178" s="18">
        <f>IF(Y2178="",X2178,Y2178)</f>
        <v/>
      </c>
      <c r="AA2178" s="18" t="inlineStr">
        <is>
          <t>submerged</t>
        </is>
      </c>
      <c r="AB2178" s="18" t="inlineStr"/>
      <c r="AC2178" s="18" t="inlineStr"/>
      <c r="AD2178" s="18" t="inlineStr"/>
      <c r="AE2178" s="18" t="inlineStr">
        <is>
          <t>sky 8-15</t>
        </is>
      </c>
      <c r="AF2178" s="18" t="inlineStr"/>
      <c r="AG2178" s="18" t="inlineStr"/>
      <c r="AH2178" s="18" t="inlineStr"/>
      <c r="AI2178" s="18" t="inlineStr"/>
      <c r="AJ2178" s="18" t="inlineStr">
        <is>
          <t>Cobblemon 동일</t>
        </is>
      </c>
      <c r="AK2178" s="18" t="inlineStr">
        <is>
          <t>사용</t>
        </is>
      </c>
      <c r="AL2178" s="18" t="inlineStr">
        <is>
          <t>COBBLEVERSE 1.7.42 / DP v31</t>
        </is>
      </c>
      <c r="AM2178" s="18" t="inlineStr">
        <is>
          <t>data/cobblemon/spawn_pool_world/0658_greninja.json</t>
        </is>
      </c>
      <c r="AN2178" s="18" t="inlineStr">
        <is>
          <t>greninja-4</t>
        </is>
      </c>
      <c r="AO2178" s="18" t="inlineStr">
        <is>
          <t>pokemon</t>
        </is>
      </c>
      <c r="AP2178" s="18" t="inlineStr">
        <is>
          <t>water</t>
        </is>
      </c>
      <c r="AQ2178" s="18" t="inlineStr">
        <is>
          <t>{"biomes":["#cobblemon:is_bamboo","#cobblemon:is_jungle"],"maxSkyLight":15,"minSkyLight":8}</t>
        </is>
      </c>
      <c r="AR2178" s="18" t="inlineStr"/>
      <c r="AS2178" s="18" t="inlineStr"/>
      <c r="AT2178" s="19" t="inlineStr"/>
    </row>
    <row r="2179" ht="32" customHeight="1">
      <c r="A2179" s="18" t="inlineStr">
        <is>
          <t>0658_greninja.json::greninja-5::005</t>
        </is>
      </c>
      <c r="B2179" s="19" t="inlineStr">
        <is>
          <t>사용</t>
        </is>
      </c>
      <c r="C2179" s="18">
        <f>IF(OR(B2179&lt;&gt;AK2179,M2179&lt;&gt;L2179,O2179&lt;&gt;"",Q2179&lt;&gt;"",V2179&lt;&gt;1,Y2179&lt;&gt;"",AT2179&lt;&gt;""),"수정","원본")</f>
        <v/>
      </c>
      <c r="D2179" s="18" t="n">
        <v>658</v>
      </c>
      <c r="E2179" s="18" t="inlineStr">
        <is>
          <t>개굴닌자</t>
        </is>
      </c>
      <c r="F2179" s="18" t="inlineStr">
        <is>
          <t>greninja</t>
        </is>
      </c>
      <c r="G2179" s="18" t="inlineStr">
        <is>
          <t>greninja</t>
        </is>
      </c>
      <c r="H2179" s="18" t="inlineStr"/>
      <c r="I2179" s="18" t="n">
        <v>6</v>
      </c>
      <c r="J2179" s="18" t="n"/>
      <c r="K2179" s="18" t="n">
        <v>6</v>
      </c>
      <c r="L2179" s="18" t="inlineStr">
        <is>
          <t>cobbleventure:generation_6</t>
        </is>
      </c>
      <c r="M2179" s="19" t="inlineStr">
        <is>
          <t>cobbleventure:generation_6</t>
        </is>
      </c>
      <c r="N2179" s="18" t="inlineStr">
        <is>
          <t>region_02</t>
        </is>
      </c>
      <c r="O2179" s="19" t="inlineStr"/>
      <c r="P2179" s="18" t="inlineStr">
        <is>
          <t>#cobblemon:is_bamboo; #cobblemon:is_freshwater; #cobblemon:is_jungle</t>
        </is>
      </c>
      <c r="Q2179" s="19" t="inlineStr"/>
      <c r="R2179" s="18">
        <f>IF(Q2179="",P2179,Q2179)</f>
        <v/>
      </c>
      <c r="S2179" s="18" t="inlineStr">
        <is>
          <t>#cobblemon:is_freezing</t>
        </is>
      </c>
      <c r="T2179" s="18" t="inlineStr">
        <is>
          <t>ultra-rare</t>
        </is>
      </c>
      <c r="U2179" s="20" t="n">
        <v>0.4</v>
      </c>
      <c r="V2179" s="21" t="n">
        <v>1</v>
      </c>
      <c r="W2179" s="20">
        <f>IF(OR(U2179="",V2179=""),U2179,U2179*V2179)</f>
        <v/>
      </c>
      <c r="X2179" s="18" t="inlineStr">
        <is>
          <t>36-53</t>
        </is>
      </c>
      <c r="Y2179" s="19" t="inlineStr"/>
      <c r="Z2179" s="18">
        <f>IF(Y2179="",X2179,Y2179)</f>
        <v/>
      </c>
      <c r="AA2179" s="18" t="inlineStr">
        <is>
          <t>fishing</t>
        </is>
      </c>
      <c r="AB2179" s="18" t="inlineStr"/>
      <c r="AC2179" s="18" t="inlineStr"/>
      <c r="AD2179" s="18" t="inlineStr"/>
      <c r="AE2179" s="18" t="inlineStr">
        <is>
          <t>sky 8-15</t>
        </is>
      </c>
      <c r="AF2179" s="18" t="inlineStr"/>
      <c r="AG2179" s="18" t="inlineStr"/>
      <c r="AH2179" s="18" t="inlineStr"/>
      <c r="AI2179" s="18" t="inlineStr"/>
      <c r="AJ2179" s="18" t="inlineStr">
        <is>
          <t>Cobblemon 동일</t>
        </is>
      </c>
      <c r="AK2179" s="18" t="inlineStr">
        <is>
          <t>사용</t>
        </is>
      </c>
      <c r="AL2179" s="18" t="inlineStr">
        <is>
          <t>COBBLEVERSE 1.7.42 / DP v31</t>
        </is>
      </c>
      <c r="AM2179" s="18" t="inlineStr">
        <is>
          <t>data/cobblemon/spawn_pool_world/0658_greninja.json</t>
        </is>
      </c>
      <c r="AN2179" s="18" t="inlineStr">
        <is>
          <t>greninja-5</t>
        </is>
      </c>
      <c r="AO2179" s="18" t="inlineStr">
        <is>
          <t>pokemon</t>
        </is>
      </c>
      <c r="AP2179" s="18" t="inlineStr"/>
      <c r="AQ2179" s="18" t="inlineStr">
        <is>
          <t>{"biomes":["#cobblemon:is_bamboo","#cobblemon:is_freshwater","#cobblemon:is_jungle"],"maxSkyLight":15,"minSkyLight":8}</t>
        </is>
      </c>
      <c r="AR2179" s="18" t="inlineStr">
        <is>
          <t>{"biomes":["#cobblemon:is_freezing"]}</t>
        </is>
      </c>
      <c r="AS2179" s="18" t="inlineStr"/>
      <c r="AT2179" s="19" t="inlineStr"/>
    </row>
    <row r="2180" ht="32" customHeight="1">
      <c r="A2180" s="18" t="inlineStr">
        <is>
          <t>0659_bunnelby.json::bunnelby-1::001</t>
        </is>
      </c>
      <c r="B2180" s="19" t="inlineStr">
        <is>
          <t>사용</t>
        </is>
      </c>
      <c r="C2180" s="18">
        <f>IF(OR(B2180&lt;&gt;AK2180,M2180&lt;&gt;L2180,O2180&lt;&gt;"",Q2180&lt;&gt;"",V2180&lt;&gt;1,Y2180&lt;&gt;"",AT2180&lt;&gt;""),"수정","원본")</f>
        <v/>
      </c>
      <c r="D2180" s="18" t="n">
        <v>659</v>
      </c>
      <c r="E2180" s="18" t="inlineStr">
        <is>
          <t>파르빗</t>
        </is>
      </c>
      <c r="F2180" s="18" t="inlineStr">
        <is>
          <t>bunnelby</t>
        </is>
      </c>
      <c r="G2180" s="18" t="inlineStr">
        <is>
          <t>bunnelby</t>
        </is>
      </c>
      <c r="H2180" s="18" t="inlineStr"/>
      <c r="I2180" s="18" t="n">
        <v>6</v>
      </c>
      <c r="J2180" s="18" t="n"/>
      <c r="K2180" s="18" t="n">
        <v>6</v>
      </c>
      <c r="L2180" s="18" t="inlineStr">
        <is>
          <t>cobbleventure:generation_6</t>
        </is>
      </c>
      <c r="M2180" s="19" t="inlineStr">
        <is>
          <t>cobbleventure:generation_6</t>
        </is>
      </c>
      <c r="N2180" s="18" t="inlineStr">
        <is>
          <t>region_01</t>
        </is>
      </c>
      <c r="O2180" s="19" t="inlineStr"/>
      <c r="P2180" s="18" t="inlineStr">
        <is>
          <t>#cobblemon:is_hills; #cobblemon:is_temperate</t>
        </is>
      </c>
      <c r="Q2180" s="19" t="inlineStr"/>
      <c r="R2180" s="18">
        <f>IF(Q2180="",P2180,Q2180)</f>
        <v/>
      </c>
      <c r="S2180" s="18" t="inlineStr"/>
      <c r="T2180" s="18" t="inlineStr">
        <is>
          <t>common</t>
        </is>
      </c>
      <c r="U2180" s="20" t="n">
        <v>5.4</v>
      </c>
      <c r="V2180" s="21" t="n">
        <v>1</v>
      </c>
      <c r="W2180" s="20">
        <f>IF(OR(U2180="",V2180=""),U2180,U2180*V2180)</f>
        <v/>
      </c>
      <c r="X2180" s="18" t="inlineStr">
        <is>
          <t>1-24</t>
        </is>
      </c>
      <c r="Y2180" s="19" t="inlineStr"/>
      <c r="Z2180" s="18">
        <f>IF(Y2180="",X2180,Y2180)</f>
        <v/>
      </c>
      <c r="AA2180" s="18" t="inlineStr">
        <is>
          <t>grounded</t>
        </is>
      </c>
      <c r="AB2180" s="18" t="inlineStr"/>
      <c r="AC2180" s="18" t="inlineStr"/>
      <c r="AD2180" s="18" t="inlineStr">
        <is>
          <t>minY=32</t>
        </is>
      </c>
      <c r="AE2180" s="18" t="inlineStr"/>
      <c r="AF2180" s="18" t="inlineStr"/>
      <c r="AG2180" s="18" t="inlineStr"/>
      <c r="AH2180" s="18" t="inlineStr"/>
      <c r="AI2180" s="18" t="inlineStr"/>
      <c r="AJ2180" s="18" t="inlineStr">
        <is>
          <t>Cobblemon 동일</t>
        </is>
      </c>
      <c r="AK2180" s="18" t="inlineStr">
        <is>
          <t>사용</t>
        </is>
      </c>
      <c r="AL2180" s="18" t="inlineStr">
        <is>
          <t>COBBLEVERSE 1.7.42 / DP v31</t>
        </is>
      </c>
      <c r="AM2180" s="18" t="inlineStr">
        <is>
          <t>data/cobblemon/spawn_pool_world/0659_bunnelby.json</t>
        </is>
      </c>
      <c r="AN2180" s="18" t="inlineStr">
        <is>
          <t>bunnelby-1</t>
        </is>
      </c>
      <c r="AO2180" s="18" t="inlineStr">
        <is>
          <t>pokemon</t>
        </is>
      </c>
      <c r="AP2180" s="18" t="inlineStr">
        <is>
          <t>natural</t>
        </is>
      </c>
      <c r="AQ2180" s="18" t="inlineStr">
        <is>
          <t>{"biomes":["#cobblemon:is_hills","#cobblemon:is_temperate"],"minY":32}</t>
        </is>
      </c>
      <c r="AR2180" s="18" t="inlineStr"/>
      <c r="AS2180" s="18" t="inlineStr"/>
      <c r="AT2180" s="19" t="inlineStr"/>
    </row>
    <row r="2181" ht="32" customHeight="1">
      <c r="A2181" s="18" t="inlineStr">
        <is>
          <t>0660_diggersby.json::diggersby-1::001</t>
        </is>
      </c>
      <c r="B2181" s="19" t="inlineStr">
        <is>
          <t>사용</t>
        </is>
      </c>
      <c r="C2181" s="18">
        <f>IF(OR(B2181&lt;&gt;AK2181,M2181&lt;&gt;L2181,O2181&lt;&gt;"",Q2181&lt;&gt;"",V2181&lt;&gt;1,Y2181&lt;&gt;"",AT2181&lt;&gt;""),"수정","원본")</f>
        <v/>
      </c>
      <c r="D2181" s="18" t="n">
        <v>660</v>
      </c>
      <c r="E2181" s="18" t="inlineStr">
        <is>
          <t>파르토</t>
        </is>
      </c>
      <c r="F2181" s="18" t="inlineStr">
        <is>
          <t>diggersby</t>
        </is>
      </c>
      <c r="G2181" s="18" t="inlineStr">
        <is>
          <t>diggersby</t>
        </is>
      </c>
      <c r="H2181" s="18" t="inlineStr"/>
      <c r="I2181" s="18" t="n">
        <v>6</v>
      </c>
      <c r="J2181" s="18" t="n"/>
      <c r="K2181" s="18" t="n">
        <v>6</v>
      </c>
      <c r="L2181" s="18" t="inlineStr">
        <is>
          <t>cobbleventure:generation_6</t>
        </is>
      </c>
      <c r="M2181" s="19" t="inlineStr">
        <is>
          <t>cobbleventure:generation_6</t>
        </is>
      </c>
      <c r="N2181" s="18" t="inlineStr">
        <is>
          <t>region_01</t>
        </is>
      </c>
      <c r="O2181" s="19" t="inlineStr"/>
      <c r="P2181" s="18" t="inlineStr">
        <is>
          <t>#cobblemon:is_hills; #cobblemon:is_temperate</t>
        </is>
      </c>
      <c r="Q2181" s="19" t="inlineStr"/>
      <c r="R2181" s="18">
        <f>IF(Q2181="",P2181,Q2181)</f>
        <v/>
      </c>
      <c r="S2181" s="18" t="inlineStr"/>
      <c r="T2181" s="18" t="inlineStr">
        <is>
          <t>common</t>
        </is>
      </c>
      <c r="U2181" s="20" t="n">
        <v>0.6</v>
      </c>
      <c r="V2181" s="21" t="n">
        <v>1</v>
      </c>
      <c r="W2181" s="20">
        <f>IF(OR(U2181="",V2181=""),U2181,U2181*V2181)</f>
        <v/>
      </c>
      <c r="X2181" s="18" t="inlineStr">
        <is>
          <t>20-42</t>
        </is>
      </c>
      <c r="Y2181" s="19" t="inlineStr"/>
      <c r="Z2181" s="18">
        <f>IF(Y2181="",X2181,Y2181)</f>
        <v/>
      </c>
      <c r="AA2181" s="18" t="inlineStr">
        <is>
          <t>grounded</t>
        </is>
      </c>
      <c r="AB2181" s="18" t="inlineStr"/>
      <c r="AC2181" s="18" t="inlineStr"/>
      <c r="AD2181" s="18" t="inlineStr">
        <is>
          <t>minY=32</t>
        </is>
      </c>
      <c r="AE2181" s="18" t="inlineStr"/>
      <c r="AF2181" s="18" t="inlineStr"/>
      <c r="AG2181" s="18" t="inlineStr"/>
      <c r="AH2181" s="18" t="inlineStr"/>
      <c r="AI2181" s="18" t="inlineStr"/>
      <c r="AJ2181" s="18" t="inlineStr">
        <is>
          <t>Cobblemon 동일</t>
        </is>
      </c>
      <c r="AK2181" s="18" t="inlineStr">
        <is>
          <t>사용</t>
        </is>
      </c>
      <c r="AL2181" s="18" t="inlineStr">
        <is>
          <t>COBBLEVERSE 1.7.42 / DP v31</t>
        </is>
      </c>
      <c r="AM2181" s="18" t="inlineStr">
        <is>
          <t>data/cobblemon/spawn_pool_world/0660_diggersby.json</t>
        </is>
      </c>
      <c r="AN2181" s="18" t="inlineStr">
        <is>
          <t>diggersby-1</t>
        </is>
      </c>
      <c r="AO2181" s="18" t="inlineStr">
        <is>
          <t>pokemon</t>
        </is>
      </c>
      <c r="AP2181" s="18" t="inlineStr">
        <is>
          <t>natural</t>
        </is>
      </c>
      <c r="AQ2181" s="18" t="inlineStr">
        <is>
          <t>{"biomes":["#cobblemon:is_hills","#cobblemon:is_temperate"],"minY":32}</t>
        </is>
      </c>
      <c r="AR2181" s="18" t="inlineStr"/>
      <c r="AS2181" s="18" t="inlineStr"/>
      <c r="AT2181" s="19" t="inlineStr"/>
    </row>
    <row r="2182" ht="32" customHeight="1">
      <c r="A2182" s="18" t="inlineStr">
        <is>
          <t>0661_fletchling.json::fletchling-1::001</t>
        </is>
      </c>
      <c r="B2182" s="19" t="inlineStr">
        <is>
          <t>사용</t>
        </is>
      </c>
      <c r="C2182" s="18">
        <f>IF(OR(B2182&lt;&gt;AK2182,M2182&lt;&gt;L2182,O2182&lt;&gt;"",Q2182&lt;&gt;"",V2182&lt;&gt;1,Y2182&lt;&gt;"",AT2182&lt;&gt;""),"수정","원본")</f>
        <v/>
      </c>
      <c r="D2182" s="18" t="n">
        <v>661</v>
      </c>
      <c r="E2182" s="18" t="inlineStr">
        <is>
          <t>화살꼬빈</t>
        </is>
      </c>
      <c r="F2182" s="18" t="inlineStr">
        <is>
          <t>fletchling</t>
        </is>
      </c>
      <c r="G2182" s="18" t="inlineStr">
        <is>
          <t>fletchling</t>
        </is>
      </c>
      <c r="H2182" s="18" t="inlineStr"/>
      <c r="I2182" s="18" t="n">
        <v>6</v>
      </c>
      <c r="J2182" s="18" t="n"/>
      <c r="K2182" s="18" t="n">
        <v>6</v>
      </c>
      <c r="L2182" s="18" t="inlineStr">
        <is>
          <t>cobbleventure:generation_6</t>
        </is>
      </c>
      <c r="M2182" s="19" t="inlineStr">
        <is>
          <t>cobbleventure:generation_6</t>
        </is>
      </c>
      <c r="N2182" s="18" t="inlineStr">
        <is>
          <t>region_01</t>
        </is>
      </c>
      <c r="O2182" s="19" t="inlineStr"/>
      <c r="P2182" s="18" t="inlineStr">
        <is>
          <t>#cobblemon:is_forest; #cobblemon:is_sky; #cobblemon:is_taiga</t>
        </is>
      </c>
      <c r="Q2182" s="19" t="inlineStr"/>
      <c r="R2182" s="18">
        <f>IF(Q2182="",P2182,Q2182)</f>
        <v/>
      </c>
      <c r="S2182" s="18" t="inlineStr"/>
      <c r="T2182" s="18" t="inlineStr">
        <is>
          <t>common</t>
        </is>
      </c>
      <c r="U2182" s="20" t="n">
        <v>5.4</v>
      </c>
      <c r="V2182" s="21" t="n">
        <v>1</v>
      </c>
      <c r="W2182" s="20">
        <f>IF(OR(U2182="",V2182=""),U2182,U2182*V2182)</f>
        <v/>
      </c>
      <c r="X2182" s="18" t="inlineStr">
        <is>
          <t>3-28</t>
        </is>
      </c>
      <c r="Y2182" s="19" t="inlineStr"/>
      <c r="Z2182" s="18">
        <f>IF(Y2182="",X2182,Y2182)</f>
        <v/>
      </c>
      <c r="AA2182" s="18" t="inlineStr">
        <is>
          <t>grounded</t>
        </is>
      </c>
      <c r="AB2182" s="18" t="inlineStr">
        <is>
          <t>day</t>
        </is>
      </c>
      <c r="AC2182" s="18" t="inlineStr"/>
      <c r="AD2182" s="18" t="inlineStr"/>
      <c r="AE2182" s="18" t="inlineStr">
        <is>
          <t>sky 8-15</t>
        </is>
      </c>
      <c r="AF2182" s="18" t="inlineStr"/>
      <c r="AG2182" s="18" t="inlineStr"/>
      <c r="AH2182" s="18" t="inlineStr"/>
      <c r="AI2182" s="18" t="inlineStr"/>
      <c r="AJ2182" s="18" t="inlineStr">
        <is>
          <t>Cobblemon 동일</t>
        </is>
      </c>
      <c r="AK2182" s="18" t="inlineStr">
        <is>
          <t>사용</t>
        </is>
      </c>
      <c r="AL2182" s="18" t="inlineStr">
        <is>
          <t>COBBLEVERSE 1.7.42 / DP v31</t>
        </is>
      </c>
      <c r="AM2182" s="18" t="inlineStr">
        <is>
          <t>data/cobblemon/spawn_pool_world/0661_fletchling.json</t>
        </is>
      </c>
      <c r="AN2182" s="18" t="inlineStr">
        <is>
          <t>fletchling-1</t>
        </is>
      </c>
      <c r="AO2182" s="18" t="inlineStr">
        <is>
          <t>pokemon</t>
        </is>
      </c>
      <c r="AP2182" s="18" t="inlineStr">
        <is>
          <t>natural; treetop</t>
        </is>
      </c>
      <c r="AQ2182" s="18" t="inlineStr">
        <is>
          <t>{"biomes":["#cobblemon:is_forest","#cobblemon:is_sky","#cobblemon:is_taiga"],"maxSkyLight":15,"minSkyLight":8,"timeRange":"day"}</t>
        </is>
      </c>
      <c r="AR2182" s="18" t="inlineStr"/>
      <c r="AS2182" s="18" t="inlineStr"/>
      <c r="AT2182" s="19" t="inlineStr"/>
    </row>
    <row r="2183" ht="32" customHeight="1">
      <c r="A2183" s="18" t="inlineStr">
        <is>
          <t>0661_fletchling.json::fletchling-3::002</t>
        </is>
      </c>
      <c r="B2183" s="19" t="inlineStr">
        <is>
          <t>사용</t>
        </is>
      </c>
      <c r="C2183" s="18">
        <f>IF(OR(B2183&lt;&gt;AK2183,M2183&lt;&gt;L2183,O2183&lt;&gt;"",Q2183&lt;&gt;"",V2183&lt;&gt;1,Y2183&lt;&gt;"",AT2183&lt;&gt;""),"수정","원본")</f>
        <v/>
      </c>
      <c r="D2183" s="18" t="n">
        <v>661</v>
      </c>
      <c r="E2183" s="18" t="inlineStr">
        <is>
          <t>화살꼬빈</t>
        </is>
      </c>
      <c r="F2183" s="18" t="inlineStr">
        <is>
          <t>fletchling</t>
        </is>
      </c>
      <c r="G2183" s="18" t="inlineStr">
        <is>
          <t>fletchling</t>
        </is>
      </c>
      <c r="H2183" s="18" t="inlineStr"/>
      <c r="I2183" s="18" t="n">
        <v>6</v>
      </c>
      <c r="J2183" s="18" t="n"/>
      <c r="K2183" s="18" t="n">
        <v>6</v>
      </c>
      <c r="L2183" s="18" t="inlineStr">
        <is>
          <t>cobbleventure:generation_6</t>
        </is>
      </c>
      <c r="M2183" s="19" t="inlineStr">
        <is>
          <t>cobbleventure:generation_6</t>
        </is>
      </c>
      <c r="N2183" s="18" t="inlineStr"/>
      <c r="O2183" s="19" t="inlineStr"/>
      <c r="P2183" s="18" t="inlineStr">
        <is>
          <t>#cobblemon:nether/is_forest; #cobblemon:nether/is_fungus</t>
        </is>
      </c>
      <c r="Q2183" s="19" t="inlineStr"/>
      <c r="R2183" s="18">
        <f>IF(Q2183="",P2183,Q2183)</f>
        <v/>
      </c>
      <c r="S2183" s="18" t="inlineStr">
        <is>
          <t>#cobblemon:nether/is_warped</t>
        </is>
      </c>
      <c r="T2183" s="18" t="inlineStr">
        <is>
          <t>common</t>
        </is>
      </c>
      <c r="U2183" s="20" t="n">
        <v>5.4</v>
      </c>
      <c r="V2183" s="21" t="n">
        <v>1</v>
      </c>
      <c r="W2183" s="20">
        <f>IF(OR(U2183="",V2183=""),U2183,U2183*V2183)</f>
        <v/>
      </c>
      <c r="X2183" s="18" t="inlineStr">
        <is>
          <t>3-28</t>
        </is>
      </c>
      <c r="Y2183" s="19" t="inlineStr"/>
      <c r="Z2183" s="18">
        <f>IF(Y2183="",X2183,Y2183)</f>
        <v/>
      </c>
      <c r="AA2183" s="18" t="inlineStr">
        <is>
          <t>grounded</t>
        </is>
      </c>
      <c r="AB2183" s="18" t="inlineStr"/>
      <c r="AC2183" s="18" t="inlineStr"/>
      <c r="AD2183" s="18" t="inlineStr"/>
      <c r="AE2183" s="18" t="inlineStr"/>
      <c r="AF2183" s="18" t="inlineStr"/>
      <c r="AG2183" s="18" t="inlineStr"/>
      <c r="AH2183" s="18" t="inlineStr"/>
      <c r="AI2183" s="18" t="inlineStr"/>
      <c r="AJ2183" s="18" t="inlineStr">
        <is>
          <t>Cobblemon 동일</t>
        </is>
      </c>
      <c r="AK2183" s="18" t="inlineStr">
        <is>
          <t>사용</t>
        </is>
      </c>
      <c r="AL2183" s="18" t="inlineStr">
        <is>
          <t>COBBLEVERSE 1.7.42 / DP v31</t>
        </is>
      </c>
      <c r="AM2183" s="18" t="inlineStr">
        <is>
          <t>data/cobblemon/spawn_pool_world/0661_fletchling.json</t>
        </is>
      </c>
      <c r="AN2183" s="18" t="inlineStr">
        <is>
          <t>fletchling-3</t>
        </is>
      </c>
      <c r="AO2183" s="18" t="inlineStr">
        <is>
          <t>pokemon</t>
        </is>
      </c>
      <c r="AP2183" s="18" t="inlineStr">
        <is>
          <t>natural; treetop</t>
        </is>
      </c>
      <c r="AQ2183" s="18" t="inlineStr">
        <is>
          <t>{"biomes":["#cobblemon:nether/is_forest","#cobblemon:nether/is_fungus"]}</t>
        </is>
      </c>
      <c r="AR2183" s="18" t="inlineStr">
        <is>
          <t>{"biomes":["#cobblemon:nether/is_warped"]}</t>
        </is>
      </c>
      <c r="AS2183" s="18" t="inlineStr"/>
      <c r="AT2183" s="19" t="inlineStr"/>
    </row>
    <row r="2184" ht="32" customHeight="1">
      <c r="A2184" s="18" t="inlineStr">
        <is>
          <t>0661_fletchling.json::fletchling-4::003</t>
        </is>
      </c>
      <c r="B2184" s="19" t="inlineStr">
        <is>
          <t>사용</t>
        </is>
      </c>
      <c r="C2184" s="18">
        <f>IF(OR(B2184&lt;&gt;AK2184,M2184&lt;&gt;L2184,O2184&lt;&gt;"",Q2184&lt;&gt;"",V2184&lt;&gt;1,Y2184&lt;&gt;"",AT2184&lt;&gt;""),"수정","원본")</f>
        <v/>
      </c>
      <c r="D2184" s="18" t="n">
        <v>661</v>
      </c>
      <c r="E2184" s="18" t="inlineStr">
        <is>
          <t>화살꼬빈</t>
        </is>
      </c>
      <c r="F2184" s="18" t="inlineStr">
        <is>
          <t>fletchling</t>
        </is>
      </c>
      <c r="G2184" s="18" t="inlineStr">
        <is>
          <t>fletchling</t>
        </is>
      </c>
      <c r="H2184" s="18" t="inlineStr"/>
      <c r="I2184" s="18" t="n">
        <v>6</v>
      </c>
      <c r="J2184" s="18" t="n"/>
      <c r="K2184" s="18" t="n">
        <v>6</v>
      </c>
      <c r="L2184" s="18" t="inlineStr">
        <is>
          <t>cobbleventure:generation_6</t>
        </is>
      </c>
      <c r="M2184" s="19" t="inlineStr">
        <is>
          <t>cobbleventure:generation_6</t>
        </is>
      </c>
      <c r="N2184" s="18" t="inlineStr"/>
      <c r="O2184" s="19" t="inlineStr"/>
      <c r="P2184" s="18" t="inlineStr">
        <is>
          <t>aether:skyroot_forest; aether:skyroot_woodland</t>
        </is>
      </c>
      <c r="Q2184" s="19" t="inlineStr"/>
      <c r="R2184" s="18">
        <f>IF(Q2184="",P2184,Q2184)</f>
        <v/>
      </c>
      <c r="S2184" s="18" t="inlineStr"/>
      <c r="T2184" s="18" t="inlineStr">
        <is>
          <t>common</t>
        </is>
      </c>
      <c r="U2184" s="20" t="n">
        <v>5.4</v>
      </c>
      <c r="V2184" s="21" t="n">
        <v>1</v>
      </c>
      <c r="W2184" s="20">
        <f>IF(OR(U2184="",V2184=""),U2184,U2184*V2184)</f>
        <v/>
      </c>
      <c r="X2184" s="18" t="inlineStr">
        <is>
          <t>3-28</t>
        </is>
      </c>
      <c r="Y2184" s="19" t="inlineStr"/>
      <c r="Z2184" s="18">
        <f>IF(Y2184="",X2184,Y2184)</f>
        <v/>
      </c>
      <c r="AA2184" s="18" t="inlineStr">
        <is>
          <t>grounded</t>
        </is>
      </c>
      <c r="AB2184" s="18" t="inlineStr"/>
      <c r="AC2184" s="18" t="inlineStr"/>
      <c r="AD2184" s="18" t="inlineStr"/>
      <c r="AE2184" s="18" t="inlineStr">
        <is>
          <t>sky 8-15</t>
        </is>
      </c>
      <c r="AF2184" s="18" t="inlineStr"/>
      <c r="AG2184" s="18" t="inlineStr"/>
      <c r="AH2184" s="18" t="inlineStr"/>
      <c r="AI2184" s="18" t="inlineStr"/>
      <c r="AJ2184" s="18" t="inlineStr">
        <is>
          <t>Cobblemon 동일</t>
        </is>
      </c>
      <c r="AK2184" s="18" t="inlineStr">
        <is>
          <t>사용</t>
        </is>
      </c>
      <c r="AL2184" s="18" t="inlineStr">
        <is>
          <t>COBBLEVERSE 1.7.42 / DP v31</t>
        </is>
      </c>
      <c r="AM2184" s="18" t="inlineStr">
        <is>
          <t>data/cobblemon/spawn_pool_world/0661_fletchling.json</t>
        </is>
      </c>
      <c r="AN2184" s="18" t="inlineStr">
        <is>
          <t>fletchling-4</t>
        </is>
      </c>
      <c r="AO2184" s="18" t="inlineStr">
        <is>
          <t>pokemon</t>
        </is>
      </c>
      <c r="AP2184" s="18" t="inlineStr">
        <is>
          <t>natural; treetop</t>
        </is>
      </c>
      <c r="AQ2184" s="18" t="inlineStr">
        <is>
          <t>{"biomes":["aether:skyroot_forest","aether:skyroot_woodland"],"maxSkyLight":15,"minSkyLight":8}</t>
        </is>
      </c>
      <c r="AR2184" s="18" t="inlineStr"/>
      <c r="AS2184" s="18" t="inlineStr"/>
      <c r="AT2184" s="19" t="inlineStr"/>
    </row>
    <row r="2185" ht="32" customHeight="1">
      <c r="A2185" s="18" t="inlineStr">
        <is>
          <t>0662_fletchinder.json::fletchinder-1::001</t>
        </is>
      </c>
      <c r="B2185" s="19" t="inlineStr">
        <is>
          <t>사용</t>
        </is>
      </c>
      <c r="C2185" s="18">
        <f>IF(OR(B2185&lt;&gt;AK2185,M2185&lt;&gt;L2185,O2185&lt;&gt;"",Q2185&lt;&gt;"",V2185&lt;&gt;1,Y2185&lt;&gt;"",AT2185&lt;&gt;""),"수정","원본")</f>
        <v/>
      </c>
      <c r="D2185" s="18" t="n">
        <v>662</v>
      </c>
      <c r="E2185" s="18" t="inlineStr">
        <is>
          <t>불화살빈</t>
        </is>
      </c>
      <c r="F2185" s="18" t="inlineStr">
        <is>
          <t>fletchinder</t>
        </is>
      </c>
      <c r="G2185" s="18" t="inlineStr">
        <is>
          <t>fletchinder</t>
        </is>
      </c>
      <c r="H2185" s="18" t="inlineStr"/>
      <c r="I2185" s="18" t="n">
        <v>6</v>
      </c>
      <c r="J2185" s="18" t="n"/>
      <c r="K2185" s="18" t="n">
        <v>6</v>
      </c>
      <c r="L2185" s="18" t="inlineStr">
        <is>
          <t>cobbleventure:generation_6</t>
        </is>
      </c>
      <c r="M2185" s="19" t="inlineStr">
        <is>
          <t>cobbleventure:generation_6</t>
        </is>
      </c>
      <c r="N2185" s="18" t="inlineStr">
        <is>
          <t>region_01</t>
        </is>
      </c>
      <c r="O2185" s="19" t="inlineStr"/>
      <c r="P2185" s="18" t="inlineStr">
        <is>
          <t>#cobblemon:is_forest; #cobblemon:is_sky; #cobblemon:is_taiga</t>
        </is>
      </c>
      <c r="Q2185" s="19" t="inlineStr"/>
      <c r="R2185" s="18">
        <f>IF(Q2185="",P2185,Q2185)</f>
        <v/>
      </c>
      <c r="S2185" s="18" t="inlineStr"/>
      <c r="T2185" s="18" t="inlineStr">
        <is>
          <t>common</t>
        </is>
      </c>
      <c r="U2185" s="20" t="n">
        <v>0.54</v>
      </c>
      <c r="V2185" s="21" t="n">
        <v>1</v>
      </c>
      <c r="W2185" s="20">
        <f>IF(OR(U2185="",V2185=""),U2185,U2185*V2185)</f>
        <v/>
      </c>
      <c r="X2185" s="18" t="inlineStr">
        <is>
          <t>17-38</t>
        </is>
      </c>
      <c r="Y2185" s="19" t="inlineStr"/>
      <c r="Z2185" s="18">
        <f>IF(Y2185="",X2185,Y2185)</f>
        <v/>
      </c>
      <c r="AA2185" s="18" t="inlineStr">
        <is>
          <t>grounded</t>
        </is>
      </c>
      <c r="AB2185" s="18" t="inlineStr">
        <is>
          <t>day</t>
        </is>
      </c>
      <c r="AC2185" s="18" t="inlineStr"/>
      <c r="AD2185" s="18" t="inlineStr"/>
      <c r="AE2185" s="18" t="inlineStr">
        <is>
          <t>sky 8-15</t>
        </is>
      </c>
      <c r="AF2185" s="18" t="inlineStr"/>
      <c r="AG2185" s="18" t="inlineStr"/>
      <c r="AH2185" s="18" t="inlineStr"/>
      <c r="AI2185" s="18" t="inlineStr"/>
      <c r="AJ2185" s="18" t="inlineStr">
        <is>
          <t>Cobblemon 동일</t>
        </is>
      </c>
      <c r="AK2185" s="18" t="inlineStr">
        <is>
          <t>사용</t>
        </is>
      </c>
      <c r="AL2185" s="18" t="inlineStr">
        <is>
          <t>COBBLEVERSE 1.7.42 / DP v31</t>
        </is>
      </c>
      <c r="AM2185" s="18" t="inlineStr">
        <is>
          <t>data/cobblemon/spawn_pool_world/0662_fletchinder.json</t>
        </is>
      </c>
      <c r="AN2185" s="18" t="inlineStr">
        <is>
          <t>fletchinder-1</t>
        </is>
      </c>
      <c r="AO2185" s="18" t="inlineStr">
        <is>
          <t>pokemon</t>
        </is>
      </c>
      <c r="AP2185" s="18" t="inlineStr">
        <is>
          <t>natural; treetop</t>
        </is>
      </c>
      <c r="AQ2185" s="18" t="inlineStr">
        <is>
          <t>{"biomes":["#cobblemon:is_forest","#cobblemon:is_sky","#cobblemon:is_taiga"],"maxSkyLight":15,"minSkyLight":8,"timeRange":"day"}</t>
        </is>
      </c>
      <c r="AR2185" s="18" t="inlineStr"/>
      <c r="AS2185" s="18" t="inlineStr"/>
      <c r="AT2185" s="19" t="inlineStr"/>
    </row>
    <row r="2186" ht="32" customHeight="1">
      <c r="A2186" s="18" t="inlineStr">
        <is>
          <t>0662_fletchinder.json::fletchinder-3::002</t>
        </is>
      </c>
      <c r="B2186" s="19" t="inlineStr">
        <is>
          <t>사용</t>
        </is>
      </c>
      <c r="C2186" s="18">
        <f>IF(OR(B2186&lt;&gt;AK2186,M2186&lt;&gt;L2186,O2186&lt;&gt;"",Q2186&lt;&gt;"",V2186&lt;&gt;1,Y2186&lt;&gt;"",AT2186&lt;&gt;""),"수정","원본")</f>
        <v/>
      </c>
      <c r="D2186" s="18" t="n">
        <v>662</v>
      </c>
      <c r="E2186" s="18" t="inlineStr">
        <is>
          <t>불화살빈</t>
        </is>
      </c>
      <c r="F2186" s="18" t="inlineStr">
        <is>
          <t>fletchinder</t>
        </is>
      </c>
      <c r="G2186" s="18" t="inlineStr">
        <is>
          <t>fletchinder</t>
        </is>
      </c>
      <c r="H2186" s="18" t="inlineStr"/>
      <c r="I2186" s="18" t="n">
        <v>6</v>
      </c>
      <c r="J2186" s="18" t="n"/>
      <c r="K2186" s="18" t="n">
        <v>6</v>
      </c>
      <c r="L2186" s="18" t="inlineStr">
        <is>
          <t>cobbleventure:generation_6</t>
        </is>
      </c>
      <c r="M2186" s="19" t="inlineStr">
        <is>
          <t>cobbleventure:generation_6</t>
        </is>
      </c>
      <c r="N2186" s="18" t="inlineStr"/>
      <c r="O2186" s="19" t="inlineStr"/>
      <c r="P2186" s="18" t="inlineStr">
        <is>
          <t>#cobblemon:nether/is_forest; #cobblemon:nether/is_fungus</t>
        </is>
      </c>
      <c r="Q2186" s="19" t="inlineStr"/>
      <c r="R2186" s="18">
        <f>IF(Q2186="",P2186,Q2186)</f>
        <v/>
      </c>
      <c r="S2186" s="18" t="inlineStr">
        <is>
          <t>#cobblemon:nether/is_warped</t>
        </is>
      </c>
      <c r="T2186" s="18" t="inlineStr">
        <is>
          <t>common</t>
        </is>
      </c>
      <c r="U2186" s="20" t="n">
        <v>0.54</v>
      </c>
      <c r="V2186" s="21" t="n">
        <v>1</v>
      </c>
      <c r="W2186" s="20">
        <f>IF(OR(U2186="",V2186=""),U2186,U2186*V2186)</f>
        <v/>
      </c>
      <c r="X2186" s="18" t="inlineStr">
        <is>
          <t>17-38</t>
        </is>
      </c>
      <c r="Y2186" s="19" t="inlineStr"/>
      <c r="Z2186" s="18">
        <f>IF(Y2186="",X2186,Y2186)</f>
        <v/>
      </c>
      <c r="AA2186" s="18" t="inlineStr">
        <is>
          <t>grounded</t>
        </is>
      </c>
      <c r="AB2186" s="18" t="inlineStr"/>
      <c r="AC2186" s="18" t="inlineStr"/>
      <c r="AD2186" s="18" t="inlineStr"/>
      <c r="AE2186" s="18" t="inlineStr"/>
      <c r="AF2186" s="18" t="inlineStr"/>
      <c r="AG2186" s="18" t="inlineStr"/>
      <c r="AH2186" s="18" t="inlineStr"/>
      <c r="AI2186" s="18" t="inlineStr"/>
      <c r="AJ2186" s="18" t="inlineStr">
        <is>
          <t>Cobblemon 동일</t>
        </is>
      </c>
      <c r="AK2186" s="18" t="inlineStr">
        <is>
          <t>사용</t>
        </is>
      </c>
      <c r="AL2186" s="18" t="inlineStr">
        <is>
          <t>COBBLEVERSE 1.7.42 / DP v31</t>
        </is>
      </c>
      <c r="AM2186" s="18" t="inlineStr">
        <is>
          <t>data/cobblemon/spawn_pool_world/0662_fletchinder.json</t>
        </is>
      </c>
      <c r="AN2186" s="18" t="inlineStr">
        <is>
          <t>fletchinder-3</t>
        </is>
      </c>
      <c r="AO2186" s="18" t="inlineStr">
        <is>
          <t>pokemon</t>
        </is>
      </c>
      <c r="AP2186" s="18" t="inlineStr">
        <is>
          <t>natural; treetop</t>
        </is>
      </c>
      <c r="AQ2186" s="18" t="inlineStr">
        <is>
          <t>{"biomes":["#cobblemon:nether/is_forest","#cobblemon:nether/is_fungus"]}</t>
        </is>
      </c>
      <c r="AR2186" s="18" t="inlineStr">
        <is>
          <t>{"biomes":["#cobblemon:nether/is_warped"]}</t>
        </is>
      </c>
      <c r="AS2186" s="18" t="inlineStr"/>
      <c r="AT2186" s="19" t="inlineStr"/>
    </row>
    <row r="2187" ht="32" customHeight="1">
      <c r="A2187" s="18" t="inlineStr">
        <is>
          <t>0662_fletchinder.json::fletchinder-4::003</t>
        </is>
      </c>
      <c r="B2187" s="19" t="inlineStr">
        <is>
          <t>사용</t>
        </is>
      </c>
      <c r="C2187" s="18">
        <f>IF(OR(B2187&lt;&gt;AK2187,M2187&lt;&gt;L2187,O2187&lt;&gt;"",Q2187&lt;&gt;"",V2187&lt;&gt;1,Y2187&lt;&gt;"",AT2187&lt;&gt;""),"수정","원본")</f>
        <v/>
      </c>
      <c r="D2187" s="18" t="n">
        <v>662</v>
      </c>
      <c r="E2187" s="18" t="inlineStr">
        <is>
          <t>불화살빈</t>
        </is>
      </c>
      <c r="F2187" s="18" t="inlineStr">
        <is>
          <t>fletchinder</t>
        </is>
      </c>
      <c r="G2187" s="18" t="inlineStr">
        <is>
          <t>fletchinder</t>
        </is>
      </c>
      <c r="H2187" s="18" t="inlineStr"/>
      <c r="I2187" s="18" t="n">
        <v>6</v>
      </c>
      <c r="J2187" s="18" t="n"/>
      <c r="K2187" s="18" t="n">
        <v>6</v>
      </c>
      <c r="L2187" s="18" t="inlineStr">
        <is>
          <t>cobbleventure:generation_6</t>
        </is>
      </c>
      <c r="M2187" s="19" t="inlineStr">
        <is>
          <t>cobbleventure:generation_6</t>
        </is>
      </c>
      <c r="N2187" s="18" t="inlineStr"/>
      <c r="O2187" s="19" t="inlineStr"/>
      <c r="P2187" s="18" t="inlineStr">
        <is>
          <t>aether:skyroot_forest; aether:skyroot_woodland</t>
        </is>
      </c>
      <c r="Q2187" s="19" t="inlineStr"/>
      <c r="R2187" s="18">
        <f>IF(Q2187="",P2187,Q2187)</f>
        <v/>
      </c>
      <c r="S2187" s="18" t="inlineStr"/>
      <c r="T2187" s="18" t="inlineStr">
        <is>
          <t>common</t>
        </is>
      </c>
      <c r="U2187" s="20" t="n">
        <v>0.54</v>
      </c>
      <c r="V2187" s="21" t="n">
        <v>1</v>
      </c>
      <c r="W2187" s="20">
        <f>IF(OR(U2187="",V2187=""),U2187,U2187*V2187)</f>
        <v/>
      </c>
      <c r="X2187" s="18" t="inlineStr">
        <is>
          <t>17-38</t>
        </is>
      </c>
      <c r="Y2187" s="19" t="inlineStr"/>
      <c r="Z2187" s="18">
        <f>IF(Y2187="",X2187,Y2187)</f>
        <v/>
      </c>
      <c r="AA2187" s="18" t="inlineStr">
        <is>
          <t>grounded</t>
        </is>
      </c>
      <c r="AB2187" s="18" t="inlineStr"/>
      <c r="AC2187" s="18" t="inlineStr"/>
      <c r="AD2187" s="18" t="inlineStr"/>
      <c r="AE2187" s="18" t="inlineStr">
        <is>
          <t>sky 8-15</t>
        </is>
      </c>
      <c r="AF2187" s="18" t="inlineStr"/>
      <c r="AG2187" s="18" t="inlineStr"/>
      <c r="AH2187" s="18" t="inlineStr"/>
      <c r="AI2187" s="18" t="inlineStr"/>
      <c r="AJ2187" s="18" t="inlineStr">
        <is>
          <t>Cobblemon 동일</t>
        </is>
      </c>
      <c r="AK2187" s="18" t="inlineStr">
        <is>
          <t>사용</t>
        </is>
      </c>
      <c r="AL2187" s="18" t="inlineStr">
        <is>
          <t>COBBLEVERSE 1.7.42 / DP v31</t>
        </is>
      </c>
      <c r="AM2187" s="18" t="inlineStr">
        <is>
          <t>data/cobblemon/spawn_pool_world/0662_fletchinder.json</t>
        </is>
      </c>
      <c r="AN2187" s="18" t="inlineStr">
        <is>
          <t>fletchinder-4</t>
        </is>
      </c>
      <c r="AO2187" s="18" t="inlineStr">
        <is>
          <t>pokemon</t>
        </is>
      </c>
      <c r="AP2187" s="18" t="inlineStr">
        <is>
          <t>natural; treetop</t>
        </is>
      </c>
      <c r="AQ2187" s="18" t="inlineStr">
        <is>
          <t>{"biomes":["aether:skyroot_forest","aether:skyroot_woodland"],"maxSkyLight":15,"minSkyLight":8}</t>
        </is>
      </c>
      <c r="AR2187" s="18" t="inlineStr"/>
      <c r="AS2187" s="18" t="inlineStr"/>
      <c r="AT2187" s="19" t="inlineStr"/>
    </row>
    <row r="2188" ht="32" customHeight="1">
      <c r="A2188" s="18" t="inlineStr">
        <is>
          <t>0663_talonflame.json::talonflame-1::001</t>
        </is>
      </c>
      <c r="B2188" s="19" t="inlineStr">
        <is>
          <t>사용</t>
        </is>
      </c>
      <c r="C2188" s="18">
        <f>IF(OR(B2188&lt;&gt;AK2188,M2188&lt;&gt;L2188,O2188&lt;&gt;"",Q2188&lt;&gt;"",V2188&lt;&gt;1,Y2188&lt;&gt;"",AT2188&lt;&gt;""),"수정","원본")</f>
        <v/>
      </c>
      <c r="D2188" s="18" t="n">
        <v>663</v>
      </c>
      <c r="E2188" s="18" t="inlineStr">
        <is>
          <t>파이어로</t>
        </is>
      </c>
      <c r="F2188" s="18" t="inlineStr">
        <is>
          <t>talonflame</t>
        </is>
      </c>
      <c r="G2188" s="18" t="inlineStr">
        <is>
          <t>talonflame</t>
        </is>
      </c>
      <c r="H2188" s="18" t="inlineStr"/>
      <c r="I2188" s="18" t="n">
        <v>6</v>
      </c>
      <c r="J2188" s="18" t="n"/>
      <c r="K2188" s="18" t="n">
        <v>6</v>
      </c>
      <c r="L2188" s="18" t="inlineStr">
        <is>
          <t>cobbleventure:generation_6</t>
        </is>
      </c>
      <c r="M2188" s="19" t="inlineStr">
        <is>
          <t>cobbleventure:generation_6</t>
        </is>
      </c>
      <c r="N2188" s="18" t="inlineStr">
        <is>
          <t>region_01</t>
        </is>
      </c>
      <c r="O2188" s="19" t="inlineStr"/>
      <c r="P2188" s="18" t="inlineStr">
        <is>
          <t>#cobblemon:is_forest; #cobblemon:is_sky; #cobblemon:is_taiga</t>
        </is>
      </c>
      <c r="Q2188" s="19" t="inlineStr"/>
      <c r="R2188" s="18">
        <f>IF(Q2188="",P2188,Q2188)</f>
        <v/>
      </c>
      <c r="S2188" s="18" t="inlineStr"/>
      <c r="T2188" s="18" t="inlineStr">
        <is>
          <t>common</t>
        </is>
      </c>
      <c r="U2188" s="20" t="n">
        <v>0.06</v>
      </c>
      <c r="V2188" s="21" t="n">
        <v>1</v>
      </c>
      <c r="W2188" s="20">
        <f>IF(OR(U2188="",V2188=""),U2188,U2188*V2188)</f>
        <v/>
      </c>
      <c r="X2188" s="18" t="inlineStr">
        <is>
          <t>35-50</t>
        </is>
      </c>
      <c r="Y2188" s="19" t="inlineStr"/>
      <c r="Z2188" s="18">
        <f>IF(Y2188="",X2188,Y2188)</f>
        <v/>
      </c>
      <c r="AA2188" s="18" t="inlineStr">
        <is>
          <t>grounded</t>
        </is>
      </c>
      <c r="AB2188" s="18" t="inlineStr">
        <is>
          <t>day</t>
        </is>
      </c>
      <c r="AC2188" s="18" t="inlineStr"/>
      <c r="AD2188" s="18" t="inlineStr"/>
      <c r="AE2188" s="18" t="inlineStr">
        <is>
          <t>sky 8-15</t>
        </is>
      </c>
      <c r="AF2188" s="18" t="inlineStr"/>
      <c r="AG2188" s="18" t="inlineStr"/>
      <c r="AH2188" s="18" t="inlineStr"/>
      <c r="AI2188" s="18" t="inlineStr"/>
      <c r="AJ2188" s="18" t="inlineStr">
        <is>
          <t>Cobblemon 동일</t>
        </is>
      </c>
      <c r="AK2188" s="18" t="inlineStr">
        <is>
          <t>사용</t>
        </is>
      </c>
      <c r="AL2188" s="18" t="inlineStr">
        <is>
          <t>COBBLEVERSE 1.7.42 / DP v31</t>
        </is>
      </c>
      <c r="AM2188" s="18" t="inlineStr">
        <is>
          <t>data/cobblemon/spawn_pool_world/0663_talonflame.json</t>
        </is>
      </c>
      <c r="AN2188" s="18" t="inlineStr">
        <is>
          <t>talonflame-1</t>
        </is>
      </c>
      <c r="AO2188" s="18" t="inlineStr">
        <is>
          <t>pokemon</t>
        </is>
      </c>
      <c r="AP2188" s="18" t="inlineStr">
        <is>
          <t>natural; treetop</t>
        </is>
      </c>
      <c r="AQ2188" s="18" t="inlineStr">
        <is>
          <t>{"biomes":["#cobblemon:is_forest","#cobblemon:is_sky","#cobblemon:is_taiga"],"maxSkyLight":15,"minSkyLight":8,"timeRange":"day"}</t>
        </is>
      </c>
      <c r="AR2188" s="18" t="inlineStr"/>
      <c r="AS2188" s="18" t="inlineStr"/>
      <c r="AT2188" s="19" t="inlineStr"/>
    </row>
    <row r="2189" ht="32" customHeight="1">
      <c r="A2189" s="18" t="inlineStr">
        <is>
          <t>0663_talonflame.json::talonflame-3::002</t>
        </is>
      </c>
      <c r="B2189" s="19" t="inlineStr">
        <is>
          <t>사용</t>
        </is>
      </c>
      <c r="C2189" s="18">
        <f>IF(OR(B2189&lt;&gt;AK2189,M2189&lt;&gt;L2189,O2189&lt;&gt;"",Q2189&lt;&gt;"",V2189&lt;&gt;1,Y2189&lt;&gt;"",AT2189&lt;&gt;""),"수정","원본")</f>
        <v/>
      </c>
      <c r="D2189" s="18" t="n">
        <v>663</v>
      </c>
      <c r="E2189" s="18" t="inlineStr">
        <is>
          <t>파이어로</t>
        </is>
      </c>
      <c r="F2189" s="18" t="inlineStr">
        <is>
          <t>talonflame</t>
        </is>
      </c>
      <c r="G2189" s="18" t="inlineStr">
        <is>
          <t>talonflame</t>
        </is>
      </c>
      <c r="H2189" s="18" t="inlineStr"/>
      <c r="I2189" s="18" t="n">
        <v>6</v>
      </c>
      <c r="J2189" s="18" t="n"/>
      <c r="K2189" s="18" t="n">
        <v>6</v>
      </c>
      <c r="L2189" s="18" t="inlineStr">
        <is>
          <t>cobbleventure:generation_6</t>
        </is>
      </c>
      <c r="M2189" s="19" t="inlineStr">
        <is>
          <t>cobbleventure:generation_6</t>
        </is>
      </c>
      <c r="N2189" s="18" t="inlineStr"/>
      <c r="O2189" s="19" t="inlineStr"/>
      <c r="P2189" s="18" t="inlineStr">
        <is>
          <t>#cobblemon:nether/is_forest; #cobblemon:nether/is_fungus</t>
        </is>
      </c>
      <c r="Q2189" s="19" t="inlineStr"/>
      <c r="R2189" s="18">
        <f>IF(Q2189="",P2189,Q2189)</f>
        <v/>
      </c>
      <c r="S2189" s="18" t="inlineStr">
        <is>
          <t>#cobblemon:nether/is_warped</t>
        </is>
      </c>
      <c r="T2189" s="18" t="inlineStr">
        <is>
          <t>common</t>
        </is>
      </c>
      <c r="U2189" s="20" t="n">
        <v>0.06</v>
      </c>
      <c r="V2189" s="21" t="n">
        <v>1</v>
      </c>
      <c r="W2189" s="20">
        <f>IF(OR(U2189="",V2189=""),U2189,U2189*V2189)</f>
        <v/>
      </c>
      <c r="X2189" s="18" t="inlineStr">
        <is>
          <t>35-50</t>
        </is>
      </c>
      <c r="Y2189" s="19" t="inlineStr"/>
      <c r="Z2189" s="18">
        <f>IF(Y2189="",X2189,Y2189)</f>
        <v/>
      </c>
      <c r="AA2189" s="18" t="inlineStr">
        <is>
          <t>grounded</t>
        </is>
      </c>
      <c r="AB2189" s="18" t="inlineStr"/>
      <c r="AC2189" s="18" t="inlineStr"/>
      <c r="AD2189" s="18" t="inlineStr"/>
      <c r="AE2189" s="18" t="inlineStr"/>
      <c r="AF2189" s="18" t="inlineStr"/>
      <c r="AG2189" s="18" t="inlineStr"/>
      <c r="AH2189" s="18" t="inlineStr"/>
      <c r="AI2189" s="18" t="inlineStr"/>
      <c r="AJ2189" s="18" t="inlineStr">
        <is>
          <t>Cobblemon 동일</t>
        </is>
      </c>
      <c r="AK2189" s="18" t="inlineStr">
        <is>
          <t>사용</t>
        </is>
      </c>
      <c r="AL2189" s="18" t="inlineStr">
        <is>
          <t>COBBLEVERSE 1.7.42 / DP v31</t>
        </is>
      </c>
      <c r="AM2189" s="18" t="inlineStr">
        <is>
          <t>data/cobblemon/spawn_pool_world/0663_talonflame.json</t>
        </is>
      </c>
      <c r="AN2189" s="18" t="inlineStr">
        <is>
          <t>talonflame-3</t>
        </is>
      </c>
      <c r="AO2189" s="18" t="inlineStr">
        <is>
          <t>pokemon</t>
        </is>
      </c>
      <c r="AP2189" s="18" t="inlineStr">
        <is>
          <t>natural; treetop</t>
        </is>
      </c>
      <c r="AQ2189" s="18" t="inlineStr">
        <is>
          <t>{"biomes":["#cobblemon:nether/is_forest","#cobblemon:nether/is_fungus"]}</t>
        </is>
      </c>
      <c r="AR2189" s="18" t="inlineStr">
        <is>
          <t>{"biomes":["#cobblemon:nether/is_warped"]}</t>
        </is>
      </c>
      <c r="AS2189" s="18" t="inlineStr"/>
      <c r="AT2189" s="19" t="inlineStr"/>
    </row>
    <row r="2190" ht="32" customHeight="1">
      <c r="A2190" s="18" t="inlineStr">
        <is>
          <t>0663_talonflame.json::talonflame-4::003</t>
        </is>
      </c>
      <c r="B2190" s="19" t="inlineStr">
        <is>
          <t>사용</t>
        </is>
      </c>
      <c r="C2190" s="18">
        <f>IF(OR(B2190&lt;&gt;AK2190,M2190&lt;&gt;L2190,O2190&lt;&gt;"",Q2190&lt;&gt;"",V2190&lt;&gt;1,Y2190&lt;&gt;"",AT2190&lt;&gt;""),"수정","원본")</f>
        <v/>
      </c>
      <c r="D2190" s="18" t="n">
        <v>663</v>
      </c>
      <c r="E2190" s="18" t="inlineStr">
        <is>
          <t>파이어로</t>
        </is>
      </c>
      <c r="F2190" s="18" t="inlineStr">
        <is>
          <t>talonflame</t>
        </is>
      </c>
      <c r="G2190" s="18" t="inlineStr">
        <is>
          <t>talonflame</t>
        </is>
      </c>
      <c r="H2190" s="18" t="inlineStr"/>
      <c r="I2190" s="18" t="n">
        <v>6</v>
      </c>
      <c r="J2190" s="18" t="n"/>
      <c r="K2190" s="18" t="n">
        <v>6</v>
      </c>
      <c r="L2190" s="18" t="inlineStr">
        <is>
          <t>cobbleventure:generation_6</t>
        </is>
      </c>
      <c r="M2190" s="19" t="inlineStr">
        <is>
          <t>cobbleventure:generation_6</t>
        </is>
      </c>
      <c r="N2190" s="18" t="inlineStr"/>
      <c r="O2190" s="19" t="inlineStr"/>
      <c r="P2190" s="18" t="inlineStr">
        <is>
          <t>aether:skyroot_forest; aether:skyroot_woodland</t>
        </is>
      </c>
      <c r="Q2190" s="19" t="inlineStr"/>
      <c r="R2190" s="18">
        <f>IF(Q2190="",P2190,Q2190)</f>
        <v/>
      </c>
      <c r="S2190" s="18" t="inlineStr"/>
      <c r="T2190" s="18" t="inlineStr">
        <is>
          <t>common</t>
        </is>
      </c>
      <c r="U2190" s="20" t="n">
        <v>0.06</v>
      </c>
      <c r="V2190" s="21" t="n">
        <v>1</v>
      </c>
      <c r="W2190" s="20">
        <f>IF(OR(U2190="",V2190=""),U2190,U2190*V2190)</f>
        <v/>
      </c>
      <c r="X2190" s="18" t="inlineStr">
        <is>
          <t>35-50</t>
        </is>
      </c>
      <c r="Y2190" s="19" t="inlineStr"/>
      <c r="Z2190" s="18">
        <f>IF(Y2190="",X2190,Y2190)</f>
        <v/>
      </c>
      <c r="AA2190" s="18" t="inlineStr">
        <is>
          <t>grounded</t>
        </is>
      </c>
      <c r="AB2190" s="18" t="inlineStr"/>
      <c r="AC2190" s="18" t="inlineStr"/>
      <c r="AD2190" s="18" t="inlineStr"/>
      <c r="AE2190" s="18" t="inlineStr">
        <is>
          <t>sky 8-15</t>
        </is>
      </c>
      <c r="AF2190" s="18" t="inlineStr"/>
      <c r="AG2190" s="18" t="inlineStr"/>
      <c r="AH2190" s="18" t="inlineStr"/>
      <c r="AI2190" s="18" t="inlineStr"/>
      <c r="AJ2190" s="18" t="inlineStr">
        <is>
          <t>Cobblemon 동일</t>
        </is>
      </c>
      <c r="AK2190" s="18" t="inlineStr">
        <is>
          <t>사용</t>
        </is>
      </c>
      <c r="AL2190" s="18" t="inlineStr">
        <is>
          <t>COBBLEVERSE 1.7.42 / DP v31</t>
        </is>
      </c>
      <c r="AM2190" s="18" t="inlineStr">
        <is>
          <t>data/cobblemon/spawn_pool_world/0663_talonflame.json</t>
        </is>
      </c>
      <c r="AN2190" s="18" t="inlineStr">
        <is>
          <t>talonflame-4</t>
        </is>
      </c>
      <c r="AO2190" s="18" t="inlineStr">
        <is>
          <t>pokemon</t>
        </is>
      </c>
      <c r="AP2190" s="18" t="inlineStr">
        <is>
          <t>natural; treetop</t>
        </is>
      </c>
      <c r="AQ2190" s="18" t="inlineStr">
        <is>
          <t>{"biomes":["aether:skyroot_forest","aether:skyroot_woodland"],"maxSkyLight":15,"minSkyLight":8}</t>
        </is>
      </c>
      <c r="AR2190" s="18" t="inlineStr"/>
      <c r="AS2190" s="18" t="inlineStr"/>
      <c r="AT2190" s="19" t="inlineStr"/>
    </row>
    <row r="2191" ht="32" customHeight="1">
      <c r="A2191" s="18" t="inlineStr">
        <is>
          <t>0664_scatterbug.json::scatterbug-1::001</t>
        </is>
      </c>
      <c r="B2191" s="19" t="inlineStr">
        <is>
          <t>사용</t>
        </is>
      </c>
      <c r="C2191" s="18">
        <f>IF(OR(B2191&lt;&gt;AK2191,M2191&lt;&gt;L2191,O2191&lt;&gt;"",Q2191&lt;&gt;"",V2191&lt;&gt;1,Y2191&lt;&gt;"",AT2191&lt;&gt;""),"수정","원본")</f>
        <v/>
      </c>
      <c r="D2191" s="18" t="n">
        <v>664</v>
      </c>
      <c r="E2191" s="18" t="inlineStr">
        <is>
          <t>분이벌레</t>
        </is>
      </c>
      <c r="F2191" s="18" t="inlineStr">
        <is>
          <t>scatterbug</t>
        </is>
      </c>
      <c r="G2191" s="18" t="inlineStr">
        <is>
          <t>scatterbug</t>
        </is>
      </c>
      <c r="H2191" s="18" t="inlineStr"/>
      <c r="I2191" s="18" t="n">
        <v>6</v>
      </c>
      <c r="J2191" s="18" t="n"/>
      <c r="K2191" s="18" t="n">
        <v>6</v>
      </c>
      <c r="L2191" s="18" t="inlineStr">
        <is>
          <t>cobbleventure:generation_6</t>
        </is>
      </c>
      <c r="M2191" s="19" t="inlineStr">
        <is>
          <t>cobbleventure:generation_6</t>
        </is>
      </c>
      <c r="N2191" s="18" t="inlineStr">
        <is>
          <t>region_01</t>
        </is>
      </c>
      <c r="O2191" s="19" t="inlineStr"/>
      <c r="P2191" s="18" t="inlineStr">
        <is>
          <t>#aether:is_aether; #cobblemon:is_floral; #cobblemon:is_plains; #cobblemon:is_savanna</t>
        </is>
      </c>
      <c r="Q2191" s="19" t="inlineStr"/>
      <c r="R2191" s="18">
        <f>IF(Q2191="",P2191,Q2191)</f>
        <v/>
      </c>
      <c r="S2191" s="18" t="inlineStr"/>
      <c r="T2191" s="18" t="inlineStr">
        <is>
          <t>common</t>
        </is>
      </c>
      <c r="U2191" s="20" t="n">
        <v>7</v>
      </c>
      <c r="V2191" s="21" t="n">
        <v>1</v>
      </c>
      <c r="W2191" s="20">
        <f>IF(OR(U2191="",V2191=""),U2191,U2191*V2191)</f>
        <v/>
      </c>
      <c r="X2191" s="18" t="inlineStr">
        <is>
          <t>1-20</t>
        </is>
      </c>
      <c r="Y2191" s="19" t="inlineStr"/>
      <c r="Z2191" s="18">
        <f>IF(Y2191="",X2191,Y2191)</f>
        <v/>
      </c>
      <c r="AA2191" s="18" t="inlineStr">
        <is>
          <t>grounded</t>
        </is>
      </c>
      <c r="AB2191" s="18" t="inlineStr"/>
      <c r="AC2191" s="18" t="inlineStr"/>
      <c r="AD2191" s="18" t="inlineStr"/>
      <c r="AE2191" s="18" t="inlineStr">
        <is>
          <t>sky 8-15</t>
        </is>
      </c>
      <c r="AF2191" s="18" t="inlineStr"/>
      <c r="AG2191" s="18" t="inlineStr"/>
      <c r="AH2191" s="18" t="inlineStr"/>
      <c r="AI2191" s="18" t="inlineStr"/>
      <c r="AJ2191" s="18" t="inlineStr">
        <is>
          <t>Cobblemon 동일</t>
        </is>
      </c>
      <c r="AK2191" s="18" t="inlineStr">
        <is>
          <t>사용</t>
        </is>
      </c>
      <c r="AL2191" s="18" t="inlineStr">
        <is>
          <t>COBBLEVERSE 1.7.42 / DP v31</t>
        </is>
      </c>
      <c r="AM2191" s="18" t="inlineStr">
        <is>
          <t>data/cobblemon/spawn_pool_world/0664_scatterbug.json</t>
        </is>
      </c>
      <c r="AN2191" s="18" t="inlineStr">
        <is>
          <t>scatterbug-1</t>
        </is>
      </c>
      <c r="AO2191" s="18" t="inlineStr">
        <is>
          <t>pokemon</t>
        </is>
      </c>
      <c r="AP2191" s="18" t="inlineStr">
        <is>
          <t>natural; foliage</t>
        </is>
      </c>
      <c r="AQ2191" s="18" t="inlineStr">
        <is>
          <t>{"biomes":["#aether:is_aether","#cobblemon:is_floral","#cobblemon:is_plains","#cobblemon:is_savanna"],"maxSkyLight":15,"minSkyLight":8}</t>
        </is>
      </c>
      <c r="AR2191" s="18" t="inlineStr"/>
      <c r="AS2191" s="18" t="inlineStr"/>
      <c r="AT2191" s="19" t="inlineStr"/>
    </row>
    <row r="2192" ht="32" customHeight="1">
      <c r="A2192" s="18" t="inlineStr">
        <is>
          <t>0664_scatterbug.json::scatterbug-2::002</t>
        </is>
      </c>
      <c r="B2192" s="19" t="inlineStr">
        <is>
          <t>사용</t>
        </is>
      </c>
      <c r="C2192" s="18">
        <f>IF(OR(B2192&lt;&gt;AK2192,M2192&lt;&gt;L2192,O2192&lt;&gt;"",Q2192&lt;&gt;"",V2192&lt;&gt;1,Y2192&lt;&gt;"",AT2192&lt;&gt;""),"수정","원본")</f>
        <v/>
      </c>
      <c r="D2192" s="18" t="n">
        <v>664</v>
      </c>
      <c r="E2192" s="18" t="inlineStr">
        <is>
          <t>분이벌레</t>
        </is>
      </c>
      <c r="F2192" s="18" t="inlineStr">
        <is>
          <t>scatterbug</t>
        </is>
      </c>
      <c r="G2192" s="18" t="inlineStr">
        <is>
          <t>scatterbug</t>
        </is>
      </c>
      <c r="H2192" s="18" t="inlineStr"/>
      <c r="I2192" s="18" t="n">
        <v>6</v>
      </c>
      <c r="J2192" s="18" t="n"/>
      <c r="K2192" s="18" t="n">
        <v>6</v>
      </c>
      <c r="L2192" s="18" t="inlineStr">
        <is>
          <t>cobbleventure:generation_6</t>
        </is>
      </c>
      <c r="M2192" s="19" t="inlineStr">
        <is>
          <t>cobbleventure:generation_6</t>
        </is>
      </c>
      <c r="N2192" s="18" t="inlineStr"/>
      <c r="O2192" s="19" t="inlineStr"/>
      <c r="P2192" s="18" t="inlineStr">
        <is>
          <t>the_bumblezone:floral_meadow</t>
        </is>
      </c>
      <c r="Q2192" s="19" t="inlineStr"/>
      <c r="R2192" s="18">
        <f>IF(Q2192="",P2192,Q2192)</f>
        <v/>
      </c>
      <c r="S2192" s="18" t="inlineStr"/>
      <c r="T2192" s="18" t="inlineStr">
        <is>
          <t>common</t>
        </is>
      </c>
      <c r="U2192" s="20" t="n">
        <v>4.5</v>
      </c>
      <c r="V2192" s="21" t="n">
        <v>1</v>
      </c>
      <c r="W2192" s="20">
        <f>IF(OR(U2192="",V2192=""),U2192,U2192*V2192)</f>
        <v/>
      </c>
      <c r="X2192" s="18" t="inlineStr">
        <is>
          <t>1-20</t>
        </is>
      </c>
      <c r="Y2192" s="19" t="inlineStr"/>
      <c r="Z2192" s="18">
        <f>IF(Y2192="",X2192,Y2192)</f>
        <v/>
      </c>
      <c r="AA2192" s="18" t="inlineStr">
        <is>
          <t>grounded</t>
        </is>
      </c>
      <c r="AB2192" s="18" t="inlineStr"/>
      <c r="AC2192" s="18" t="inlineStr"/>
      <c r="AD2192" s="18" t="inlineStr"/>
      <c r="AE2192" s="18" t="inlineStr"/>
      <c r="AF2192" s="18" t="inlineStr"/>
      <c r="AG2192" s="18" t="inlineStr"/>
      <c r="AH2192" s="18" t="inlineStr"/>
      <c r="AI2192" s="18" t="inlineStr"/>
      <c r="AJ2192" s="18" t="inlineStr">
        <is>
          <t>Cobblemon 동일</t>
        </is>
      </c>
      <c r="AK2192" s="18" t="inlineStr">
        <is>
          <t>사용</t>
        </is>
      </c>
      <c r="AL2192" s="18" t="inlineStr">
        <is>
          <t>COBBLEVERSE 1.7.42 / DP v31</t>
        </is>
      </c>
      <c r="AM2192" s="18" t="inlineStr">
        <is>
          <t>data/cobblemon/spawn_pool_world/0664_scatterbug.json</t>
        </is>
      </c>
      <c r="AN2192" s="18" t="inlineStr">
        <is>
          <t>scatterbug-2</t>
        </is>
      </c>
      <c r="AO2192" s="18" t="inlineStr">
        <is>
          <t>pokemon</t>
        </is>
      </c>
      <c r="AP2192" s="18" t="inlineStr"/>
      <c r="AQ2192" s="18" t="inlineStr">
        <is>
          <t>{"biomes":["the_bumblezone:floral_meadow"]}</t>
        </is>
      </c>
      <c r="AR2192" s="18" t="inlineStr">
        <is>
          <t>{"structures":["#the_bumblezone:sempiternal_sanctums"]}</t>
        </is>
      </c>
      <c r="AS2192" s="18" t="inlineStr"/>
      <c r="AT2192" s="19" t="inlineStr"/>
    </row>
    <row r="2193" ht="32" customHeight="1">
      <c r="A2193" s="18" t="inlineStr">
        <is>
          <t>0665_spewpa.json::spewpa-1::001</t>
        </is>
      </c>
      <c r="B2193" s="19" t="inlineStr">
        <is>
          <t>사용</t>
        </is>
      </c>
      <c r="C2193" s="18">
        <f>IF(OR(B2193&lt;&gt;AK2193,M2193&lt;&gt;L2193,O2193&lt;&gt;"",Q2193&lt;&gt;"",V2193&lt;&gt;1,Y2193&lt;&gt;"",AT2193&lt;&gt;""),"수정","원본")</f>
        <v/>
      </c>
      <c r="D2193" s="18" t="n">
        <v>665</v>
      </c>
      <c r="E2193" s="18" t="inlineStr">
        <is>
          <t>분떠도리</t>
        </is>
      </c>
      <c r="F2193" s="18" t="inlineStr">
        <is>
          <t>spewpa</t>
        </is>
      </c>
      <c r="G2193" s="18" t="inlineStr">
        <is>
          <t>spewpa</t>
        </is>
      </c>
      <c r="H2193" s="18" t="inlineStr"/>
      <c r="I2193" s="18" t="n">
        <v>6</v>
      </c>
      <c r="J2193" s="18" t="n"/>
      <c r="K2193" s="18" t="n">
        <v>6</v>
      </c>
      <c r="L2193" s="18" t="inlineStr">
        <is>
          <t>cobbleventure:generation_6</t>
        </is>
      </c>
      <c r="M2193" s="19" t="inlineStr">
        <is>
          <t>cobbleventure:generation_6</t>
        </is>
      </c>
      <c r="N2193" s="18" t="inlineStr">
        <is>
          <t>region_01</t>
        </is>
      </c>
      <c r="O2193" s="19" t="inlineStr"/>
      <c r="P2193" s="18" t="inlineStr">
        <is>
          <t>#aether:is_aether; #cobblemon:is_floral; #cobblemon:is_plains; #cobblemon:is_savanna</t>
        </is>
      </c>
      <c r="Q2193" s="19" t="inlineStr"/>
      <c r="R2193" s="18">
        <f>IF(Q2193="",P2193,Q2193)</f>
        <v/>
      </c>
      <c r="S2193" s="18" t="inlineStr"/>
      <c r="T2193" s="18" t="inlineStr">
        <is>
          <t>common</t>
        </is>
      </c>
      <c r="U2193" s="20" t="n">
        <v>3</v>
      </c>
      <c r="V2193" s="21" t="n">
        <v>1</v>
      </c>
      <c r="W2193" s="20">
        <f>IF(OR(U2193="",V2193=""),U2193,U2193*V2193)</f>
        <v/>
      </c>
      <c r="X2193" s="18" t="inlineStr">
        <is>
          <t>9-21</t>
        </is>
      </c>
      <c r="Y2193" s="19" t="inlineStr"/>
      <c r="Z2193" s="18">
        <f>IF(Y2193="",X2193,Y2193)</f>
        <v/>
      </c>
      <c r="AA2193" s="18" t="inlineStr">
        <is>
          <t>grounded</t>
        </is>
      </c>
      <c r="AB2193" s="18" t="inlineStr"/>
      <c r="AC2193" s="18" t="inlineStr"/>
      <c r="AD2193" s="18" t="inlineStr"/>
      <c r="AE2193" s="18" t="inlineStr">
        <is>
          <t>sky 8-15</t>
        </is>
      </c>
      <c r="AF2193" s="18" t="inlineStr"/>
      <c r="AG2193" s="18" t="inlineStr"/>
      <c r="AH2193" s="18" t="inlineStr"/>
      <c r="AI2193" s="18" t="inlineStr"/>
      <c r="AJ2193" s="18" t="inlineStr">
        <is>
          <t>Cobblemon 동일</t>
        </is>
      </c>
      <c r="AK2193" s="18" t="inlineStr">
        <is>
          <t>사용</t>
        </is>
      </c>
      <c r="AL2193" s="18" t="inlineStr">
        <is>
          <t>COBBLEVERSE 1.7.42 / DP v31</t>
        </is>
      </c>
      <c r="AM2193" s="18" t="inlineStr">
        <is>
          <t>data/cobblemon/spawn_pool_world/0665_spewpa.json</t>
        </is>
      </c>
      <c r="AN2193" s="18" t="inlineStr">
        <is>
          <t>spewpa-1</t>
        </is>
      </c>
      <c r="AO2193" s="18" t="inlineStr">
        <is>
          <t>pokemon</t>
        </is>
      </c>
      <c r="AP2193" s="18" t="inlineStr">
        <is>
          <t>natural; foliage</t>
        </is>
      </c>
      <c r="AQ2193" s="18" t="inlineStr">
        <is>
          <t>{"biomes":["#aether:is_aether","#cobblemon:is_floral","#cobblemon:is_plains","#cobblemon:is_savanna"],"maxSkyLight":15,"minSkyLight":8}</t>
        </is>
      </c>
      <c r="AR2193" s="18" t="inlineStr"/>
      <c r="AS2193" s="18" t="inlineStr"/>
      <c r="AT2193" s="19" t="inlineStr"/>
    </row>
    <row r="2194" ht="32" customHeight="1">
      <c r="A2194" s="18" t="inlineStr">
        <is>
          <t>0665_spewpa.json::spewpa-2::002</t>
        </is>
      </c>
      <c r="B2194" s="19" t="inlineStr">
        <is>
          <t>사용</t>
        </is>
      </c>
      <c r="C2194" s="18">
        <f>IF(OR(B2194&lt;&gt;AK2194,M2194&lt;&gt;L2194,O2194&lt;&gt;"",Q2194&lt;&gt;"",V2194&lt;&gt;1,Y2194&lt;&gt;"",AT2194&lt;&gt;""),"수정","원본")</f>
        <v/>
      </c>
      <c r="D2194" s="18" t="n">
        <v>665</v>
      </c>
      <c r="E2194" s="18" t="inlineStr">
        <is>
          <t>분떠도리</t>
        </is>
      </c>
      <c r="F2194" s="18" t="inlineStr">
        <is>
          <t>spewpa</t>
        </is>
      </c>
      <c r="G2194" s="18" t="inlineStr">
        <is>
          <t>spewpa</t>
        </is>
      </c>
      <c r="H2194" s="18" t="inlineStr"/>
      <c r="I2194" s="18" t="n">
        <v>6</v>
      </c>
      <c r="J2194" s="18" t="n"/>
      <c r="K2194" s="18" t="n">
        <v>6</v>
      </c>
      <c r="L2194" s="18" t="inlineStr">
        <is>
          <t>cobbleventure:generation_6</t>
        </is>
      </c>
      <c r="M2194" s="19" t="inlineStr">
        <is>
          <t>cobbleventure:generation_6</t>
        </is>
      </c>
      <c r="N2194" s="18" t="inlineStr"/>
      <c r="O2194" s="19" t="inlineStr"/>
      <c r="P2194" s="18" t="inlineStr">
        <is>
          <t>the_bumblezone:floral_meadow</t>
        </is>
      </c>
      <c r="Q2194" s="19" t="inlineStr"/>
      <c r="R2194" s="18">
        <f>IF(Q2194="",P2194,Q2194)</f>
        <v/>
      </c>
      <c r="S2194" s="18" t="inlineStr"/>
      <c r="T2194" s="18" t="inlineStr">
        <is>
          <t>common</t>
        </is>
      </c>
      <c r="U2194" s="20" t="n">
        <v>1</v>
      </c>
      <c r="V2194" s="21" t="n">
        <v>1</v>
      </c>
      <c r="W2194" s="20">
        <f>IF(OR(U2194="",V2194=""),U2194,U2194*V2194)</f>
        <v/>
      </c>
      <c r="X2194" s="18" t="inlineStr">
        <is>
          <t>9-21</t>
        </is>
      </c>
      <c r="Y2194" s="19" t="inlineStr"/>
      <c r="Z2194" s="18">
        <f>IF(Y2194="",X2194,Y2194)</f>
        <v/>
      </c>
      <c r="AA2194" s="18" t="inlineStr">
        <is>
          <t>grounded</t>
        </is>
      </c>
      <c r="AB2194" s="18" t="inlineStr"/>
      <c r="AC2194" s="18" t="inlineStr"/>
      <c r="AD2194" s="18" t="inlineStr"/>
      <c r="AE2194" s="18" t="inlineStr"/>
      <c r="AF2194" s="18" t="inlineStr"/>
      <c r="AG2194" s="18" t="inlineStr"/>
      <c r="AH2194" s="18" t="inlineStr"/>
      <c r="AI2194" s="18" t="inlineStr"/>
      <c r="AJ2194" s="18" t="inlineStr">
        <is>
          <t>Cobblemon 동일</t>
        </is>
      </c>
      <c r="AK2194" s="18" t="inlineStr">
        <is>
          <t>사용</t>
        </is>
      </c>
      <c r="AL2194" s="18" t="inlineStr">
        <is>
          <t>COBBLEVERSE 1.7.42 / DP v31</t>
        </is>
      </c>
      <c r="AM2194" s="18" t="inlineStr">
        <is>
          <t>data/cobblemon/spawn_pool_world/0665_spewpa.json</t>
        </is>
      </c>
      <c r="AN2194" s="18" t="inlineStr">
        <is>
          <t>spewpa-2</t>
        </is>
      </c>
      <c r="AO2194" s="18" t="inlineStr">
        <is>
          <t>pokemon</t>
        </is>
      </c>
      <c r="AP2194" s="18" t="inlineStr"/>
      <c r="AQ2194" s="18" t="inlineStr">
        <is>
          <t>{"biomes":["the_bumblezone:floral_meadow"]}</t>
        </is>
      </c>
      <c r="AR2194" s="18" t="inlineStr">
        <is>
          <t>{"structures":["#the_bumblezone:sempiternal_sanctums"]}</t>
        </is>
      </c>
      <c r="AS2194" s="18" t="inlineStr"/>
      <c r="AT2194" s="19" t="inlineStr"/>
    </row>
    <row r="2195" ht="32" customHeight="1">
      <c r="A2195" s="18" t="inlineStr">
        <is>
          <t>0666_vivillon.json::vivillon-high-plains-1::001</t>
        </is>
      </c>
      <c r="B2195" s="19" t="inlineStr">
        <is>
          <t>사용</t>
        </is>
      </c>
      <c r="C2195" s="18">
        <f>IF(OR(B2195&lt;&gt;AK2195,M2195&lt;&gt;L2195,O2195&lt;&gt;"",Q2195&lt;&gt;"",V2195&lt;&gt;1,Y2195&lt;&gt;"",AT2195&lt;&gt;""),"수정","원본")</f>
        <v/>
      </c>
      <c r="D2195" s="18" t="n">
        <v>666</v>
      </c>
      <c r="E2195" s="18" t="inlineStr">
        <is>
          <t>비비용</t>
        </is>
      </c>
      <c r="F2195" s="18" t="inlineStr">
        <is>
          <t>vivillon</t>
        </is>
      </c>
      <c r="G2195" s="18" t="inlineStr">
        <is>
          <t>vivillon vivillon_wings=high-plains</t>
        </is>
      </c>
      <c r="H2195" s="18" t="inlineStr">
        <is>
          <t>vivillon_wings=high-plains</t>
        </is>
      </c>
      <c r="I2195" s="18" t="n">
        <v>6</v>
      </c>
      <c r="J2195" s="18" t="n"/>
      <c r="K2195" s="18" t="n">
        <v>6</v>
      </c>
      <c r="L2195" s="18" t="inlineStr">
        <is>
          <t>cobbleventure:generation_6</t>
        </is>
      </c>
      <c r="M2195" s="19" t="inlineStr">
        <is>
          <t>cobbleventure:generation_6</t>
        </is>
      </c>
      <c r="N2195" s="18" t="inlineStr"/>
      <c r="O2195" s="19" t="inlineStr"/>
      <c r="P2195" s="18" t="inlineStr">
        <is>
          <t>#cobblemon:is_badlands</t>
        </is>
      </c>
      <c r="Q2195" s="19" t="inlineStr"/>
      <c r="R2195" s="18">
        <f>IF(Q2195="",P2195,Q2195)</f>
        <v/>
      </c>
      <c r="S2195" s="18" t="inlineStr"/>
      <c r="T2195" s="18" t="inlineStr">
        <is>
          <t>common</t>
        </is>
      </c>
      <c r="U2195" s="20" t="n">
        <v>2</v>
      </c>
      <c r="V2195" s="21" t="n">
        <v>1</v>
      </c>
      <c r="W2195" s="20">
        <f>IF(OR(U2195="",V2195=""),U2195,U2195*V2195)</f>
        <v/>
      </c>
      <c r="X2195" s="18" t="inlineStr">
        <is>
          <t>12-41</t>
        </is>
      </c>
      <c r="Y2195" s="19" t="inlineStr"/>
      <c r="Z2195" s="18">
        <f>IF(Y2195="",X2195,Y2195)</f>
        <v/>
      </c>
      <c r="AA2195" s="18" t="inlineStr">
        <is>
          <t>grounded</t>
        </is>
      </c>
      <c r="AB2195" s="18" t="inlineStr">
        <is>
          <t>day</t>
        </is>
      </c>
      <c r="AC2195" s="18" t="inlineStr"/>
      <c r="AD2195" s="18" t="inlineStr"/>
      <c r="AE2195" s="18" t="inlineStr">
        <is>
          <t>sky 8-15</t>
        </is>
      </c>
      <c r="AF2195" s="18" t="inlineStr"/>
      <c r="AG2195" s="18" t="inlineStr"/>
      <c r="AH2195" s="18" t="inlineStr">
        <is>
          <t>주변=#cobblemon:flowers</t>
        </is>
      </c>
      <c r="AI2195" s="18" t="inlineStr"/>
      <c r="AJ2195" s="18" t="inlineStr">
        <is>
          <t>Cobblemon 동일</t>
        </is>
      </c>
      <c r="AK2195" s="18" t="inlineStr">
        <is>
          <t>사용</t>
        </is>
      </c>
      <c r="AL2195" s="18" t="inlineStr">
        <is>
          <t>COBBLEVERSE 1.7.42 / DP v31</t>
        </is>
      </c>
      <c r="AM2195" s="18" t="inlineStr">
        <is>
          <t>data/cobblemon/spawn_pool_world/0666_vivillon.json</t>
        </is>
      </c>
      <c r="AN2195" s="18" t="inlineStr">
        <is>
          <t>vivillon-high-plains-1</t>
        </is>
      </c>
      <c r="AO2195" s="18" t="inlineStr">
        <is>
          <t>pokemon</t>
        </is>
      </c>
      <c r="AP2195" s="18" t="inlineStr">
        <is>
          <t>natural</t>
        </is>
      </c>
      <c r="AQ2195" s="18" t="inlineStr">
        <is>
          <t>{"biomes":["#cobblemon:is_badlands"],"maxSkyLight":15,"minSkyLight":8,"neededNearbyBlocks":["#cobblemon:flowers"],"timeRange":"day"}</t>
        </is>
      </c>
      <c r="AR2195" s="18" t="inlineStr">
        <is>
          <t>{"structures":["#minecraft:village"]}</t>
        </is>
      </c>
      <c r="AS2195" s="18" t="inlineStr"/>
      <c r="AT2195" s="19" t="inlineStr"/>
    </row>
    <row r="2196" ht="32" customHeight="1">
      <c r="A2196" s="18" t="inlineStr">
        <is>
          <t>0666_vivillon.json::vivillon-fancy-2::002</t>
        </is>
      </c>
      <c r="B2196" s="19" t="inlineStr">
        <is>
          <t>사용</t>
        </is>
      </c>
      <c r="C2196" s="18">
        <f>IF(OR(B2196&lt;&gt;AK2196,M2196&lt;&gt;L2196,O2196&lt;&gt;"",Q2196&lt;&gt;"",V2196&lt;&gt;1,Y2196&lt;&gt;"",AT2196&lt;&gt;""),"수정","원본")</f>
        <v/>
      </c>
      <c r="D2196" s="18" t="n">
        <v>666</v>
      </c>
      <c r="E2196" s="18" t="inlineStr">
        <is>
          <t>비비용</t>
        </is>
      </c>
      <c r="F2196" s="18" t="inlineStr">
        <is>
          <t>vivillon</t>
        </is>
      </c>
      <c r="G2196" s="18" t="inlineStr">
        <is>
          <t>vivillon vivillon_wings=fancy</t>
        </is>
      </c>
      <c r="H2196" s="18" t="inlineStr">
        <is>
          <t>vivillon_wings=fancy</t>
        </is>
      </c>
      <c r="I2196" s="18" t="n">
        <v>6</v>
      </c>
      <c r="J2196" s="18" t="n"/>
      <c r="K2196" s="18" t="n">
        <v>6</v>
      </c>
      <c r="L2196" s="18" t="inlineStr">
        <is>
          <t>cobbleventure:generation_6</t>
        </is>
      </c>
      <c r="M2196" s="19" t="inlineStr">
        <is>
          <t>cobbleventure:generation_6</t>
        </is>
      </c>
      <c r="N2196" s="18" t="inlineStr"/>
      <c r="O2196" s="19" t="inlineStr"/>
      <c r="P2196" s="18" t="inlineStr">
        <is>
          <t>#cobblemon:is_cherry_blossom</t>
        </is>
      </c>
      <c r="Q2196" s="19" t="inlineStr"/>
      <c r="R2196" s="18">
        <f>IF(Q2196="",P2196,Q2196)</f>
        <v/>
      </c>
      <c r="S2196" s="18" t="inlineStr"/>
      <c r="T2196" s="18" t="inlineStr">
        <is>
          <t>common</t>
        </is>
      </c>
      <c r="U2196" s="20" t="n">
        <v>2</v>
      </c>
      <c r="V2196" s="21" t="n">
        <v>1</v>
      </c>
      <c r="W2196" s="20">
        <f>IF(OR(U2196="",V2196=""),U2196,U2196*V2196)</f>
        <v/>
      </c>
      <c r="X2196" s="18" t="inlineStr">
        <is>
          <t>12-41</t>
        </is>
      </c>
      <c r="Y2196" s="19" t="inlineStr"/>
      <c r="Z2196" s="18">
        <f>IF(Y2196="",X2196,Y2196)</f>
        <v/>
      </c>
      <c r="AA2196" s="18" t="inlineStr">
        <is>
          <t>grounded</t>
        </is>
      </c>
      <c r="AB2196" s="18" t="inlineStr">
        <is>
          <t>day</t>
        </is>
      </c>
      <c r="AC2196" s="18" t="inlineStr">
        <is>
          <t>비=False</t>
        </is>
      </c>
      <c r="AD2196" s="18" t="inlineStr"/>
      <c r="AE2196" s="18" t="inlineStr">
        <is>
          <t>sky 8-15</t>
        </is>
      </c>
      <c r="AF2196" s="18" t="inlineStr"/>
      <c r="AG2196" s="18" t="inlineStr"/>
      <c r="AH2196" s="18" t="inlineStr">
        <is>
          <t>주변=#cobblemon:flowers</t>
        </is>
      </c>
      <c r="AI2196" s="18" t="inlineStr"/>
      <c r="AJ2196" s="18" t="inlineStr">
        <is>
          <t>Cobblemon 동일</t>
        </is>
      </c>
      <c r="AK2196" s="18" t="inlineStr">
        <is>
          <t>사용</t>
        </is>
      </c>
      <c r="AL2196" s="18" t="inlineStr">
        <is>
          <t>COBBLEVERSE 1.7.42 / DP v31</t>
        </is>
      </c>
      <c r="AM2196" s="18" t="inlineStr">
        <is>
          <t>data/cobblemon/spawn_pool_world/0666_vivillon.json</t>
        </is>
      </c>
      <c r="AN2196" s="18" t="inlineStr">
        <is>
          <t>vivillon-fancy-2</t>
        </is>
      </c>
      <c r="AO2196" s="18" t="inlineStr">
        <is>
          <t>pokemon</t>
        </is>
      </c>
      <c r="AP2196" s="18" t="inlineStr">
        <is>
          <t>natural</t>
        </is>
      </c>
      <c r="AQ2196" s="18" t="inlineStr">
        <is>
          <t>{"biomes":["#cobblemon:is_cherry_blossom"],"isRaining":false,"maxSkyLight":15,"minSkyLight":8,"neededNearbyBlocks":["#cobblemon:flowers"],"timeRange":"day"}</t>
        </is>
      </c>
      <c r="AR2196" s="18" t="inlineStr">
        <is>
          <t>{"structures":["#minecraft:village"]}</t>
        </is>
      </c>
      <c r="AS2196" s="18" t="inlineStr"/>
      <c r="AT2196" s="19" t="inlineStr"/>
    </row>
    <row r="2197" ht="32" customHeight="1">
      <c r="A2197" s="18" t="inlineStr">
        <is>
          <t>0666_vivillon.json::vivillon-ocean-3::003</t>
        </is>
      </c>
      <c r="B2197" s="19" t="inlineStr">
        <is>
          <t>사용</t>
        </is>
      </c>
      <c r="C2197" s="18">
        <f>IF(OR(B2197&lt;&gt;AK2197,M2197&lt;&gt;L2197,O2197&lt;&gt;"",Q2197&lt;&gt;"",V2197&lt;&gt;1,Y2197&lt;&gt;"",AT2197&lt;&gt;""),"수정","원본")</f>
        <v/>
      </c>
      <c r="D2197" s="18" t="n">
        <v>666</v>
      </c>
      <c r="E2197" s="18" t="inlineStr">
        <is>
          <t>비비용</t>
        </is>
      </c>
      <c r="F2197" s="18" t="inlineStr">
        <is>
          <t>vivillon</t>
        </is>
      </c>
      <c r="G2197" s="18" t="inlineStr">
        <is>
          <t>vivillon vivillon_wings=ocean</t>
        </is>
      </c>
      <c r="H2197" s="18" t="inlineStr">
        <is>
          <t>vivillon_wings=ocean</t>
        </is>
      </c>
      <c r="I2197" s="18" t="n">
        <v>6</v>
      </c>
      <c r="J2197" s="18" t="n"/>
      <c r="K2197" s="18" t="n">
        <v>6</v>
      </c>
      <c r="L2197" s="18" t="inlineStr">
        <is>
          <t>cobbleventure:generation_6</t>
        </is>
      </c>
      <c r="M2197" s="19" t="inlineStr">
        <is>
          <t>cobbleventure:generation_6</t>
        </is>
      </c>
      <c r="N2197" s="18" t="inlineStr"/>
      <c r="O2197" s="19" t="inlineStr"/>
      <c r="P2197" s="18" t="inlineStr">
        <is>
          <t>#cobblemon:is_coast; #cobblemon:is_warm_ocean</t>
        </is>
      </c>
      <c r="Q2197" s="19" t="inlineStr"/>
      <c r="R2197" s="18">
        <f>IF(Q2197="",P2197,Q2197)</f>
        <v/>
      </c>
      <c r="S2197" s="18" t="inlineStr">
        <is>
          <t>#cobblemon:is_cold_ocean; #cobblemon:is_frozen_ocean; #cobblemon:is_lukewarm_ocean; #cobblemon:is_temperate_ocean</t>
        </is>
      </c>
      <c r="T2197" s="18" t="inlineStr">
        <is>
          <t>common</t>
        </is>
      </c>
      <c r="U2197" s="20" t="n">
        <v>2</v>
      </c>
      <c r="V2197" s="21" t="n">
        <v>1</v>
      </c>
      <c r="W2197" s="20">
        <f>IF(OR(U2197="",V2197=""),U2197,U2197*V2197)</f>
        <v/>
      </c>
      <c r="X2197" s="18" t="inlineStr">
        <is>
          <t>12-41</t>
        </is>
      </c>
      <c r="Y2197" s="19" t="inlineStr"/>
      <c r="Z2197" s="18">
        <f>IF(Y2197="",X2197,Y2197)</f>
        <v/>
      </c>
      <c r="AA2197" s="18" t="inlineStr">
        <is>
          <t>grounded</t>
        </is>
      </c>
      <c r="AB2197" s="18" t="inlineStr">
        <is>
          <t>day</t>
        </is>
      </c>
      <c r="AC2197" s="18" t="inlineStr">
        <is>
          <t>비=False</t>
        </is>
      </c>
      <c r="AD2197" s="18" t="inlineStr"/>
      <c r="AE2197" s="18" t="inlineStr">
        <is>
          <t>sky 8-15</t>
        </is>
      </c>
      <c r="AF2197" s="18" t="inlineStr"/>
      <c r="AG2197" s="18" t="inlineStr"/>
      <c r="AH2197" s="18" t="inlineStr">
        <is>
          <t>주변=#cobblemon:flowers</t>
        </is>
      </c>
      <c r="AI2197" s="18" t="inlineStr"/>
      <c r="AJ2197" s="18" t="inlineStr">
        <is>
          <t>Cobblemon 동일</t>
        </is>
      </c>
      <c r="AK2197" s="18" t="inlineStr">
        <is>
          <t>사용</t>
        </is>
      </c>
      <c r="AL2197" s="18" t="inlineStr">
        <is>
          <t>COBBLEVERSE 1.7.42 / DP v31</t>
        </is>
      </c>
      <c r="AM2197" s="18" t="inlineStr">
        <is>
          <t>data/cobblemon/spawn_pool_world/0666_vivillon.json</t>
        </is>
      </c>
      <c r="AN2197" s="18" t="inlineStr">
        <is>
          <t>vivillon-ocean-3</t>
        </is>
      </c>
      <c r="AO2197" s="18" t="inlineStr">
        <is>
          <t>pokemon</t>
        </is>
      </c>
      <c r="AP2197" s="18" t="inlineStr">
        <is>
          <t>natural</t>
        </is>
      </c>
      <c r="AQ2197" s="18" t="inlineStr">
        <is>
          <t>{"biomes":["#cobblemon:is_coast","#cobblemon:is_warm_ocean"],"isRaining":false,"maxSkyLight":15,"minSkyLight":8,"neededNearbyBlocks":["#cobblemon:flowers"],"timeRange":"day"}</t>
        </is>
      </c>
      <c r="AR2197" s="18" t="inlineStr">
        <is>
          <t>{"biomes":["#cobblemon:is_cold_ocean","#cobblemon:is_frozen_ocean","#cobblemon:is_lukewarm_ocean","#cobblemon:is_temperate_ocean"],"structures":["#minecraft:village"]}</t>
        </is>
      </c>
      <c r="AS2197" s="18" t="inlineStr"/>
      <c r="AT2197" s="19" t="inlineStr"/>
    </row>
    <row r="2198" ht="32" customHeight="1">
      <c r="A2198" s="18" t="inlineStr">
        <is>
          <t>0666_vivillon.json::vivillon-sandstorm-4::004</t>
        </is>
      </c>
      <c r="B2198" s="19" t="inlineStr">
        <is>
          <t>사용</t>
        </is>
      </c>
      <c r="C2198" s="18">
        <f>IF(OR(B2198&lt;&gt;AK2198,M2198&lt;&gt;L2198,O2198&lt;&gt;"",Q2198&lt;&gt;"",V2198&lt;&gt;1,Y2198&lt;&gt;"",AT2198&lt;&gt;""),"수정","원본")</f>
        <v/>
      </c>
      <c r="D2198" s="18" t="n">
        <v>666</v>
      </c>
      <c r="E2198" s="18" t="inlineStr">
        <is>
          <t>비비용</t>
        </is>
      </c>
      <c r="F2198" s="18" t="inlineStr">
        <is>
          <t>vivillon</t>
        </is>
      </c>
      <c r="G2198" s="18" t="inlineStr">
        <is>
          <t>vivillon vivillon_wings=sandstorm</t>
        </is>
      </c>
      <c r="H2198" s="18" t="inlineStr">
        <is>
          <t>vivillon_wings=sandstorm</t>
        </is>
      </c>
      <c r="I2198" s="18" t="n">
        <v>6</v>
      </c>
      <c r="J2198" s="18" t="n"/>
      <c r="K2198" s="18" t="n">
        <v>6</v>
      </c>
      <c r="L2198" s="18" t="inlineStr">
        <is>
          <t>cobbleventure:generation_6</t>
        </is>
      </c>
      <c r="M2198" s="19" t="inlineStr">
        <is>
          <t>cobbleventure:generation_6</t>
        </is>
      </c>
      <c r="N2198" s="18" t="inlineStr">
        <is>
          <t>region_02</t>
        </is>
      </c>
      <c r="O2198" s="19" t="inlineStr"/>
      <c r="P2198" s="18" t="inlineStr">
        <is>
          <t>#cobblemon:is_desert</t>
        </is>
      </c>
      <c r="Q2198" s="19" t="inlineStr"/>
      <c r="R2198" s="18">
        <f>IF(Q2198="",P2198,Q2198)</f>
        <v/>
      </c>
      <c r="S2198" s="18" t="inlineStr">
        <is>
          <t>#cobblemon:is_badlands</t>
        </is>
      </c>
      <c r="T2198" s="18" t="inlineStr">
        <is>
          <t>common</t>
        </is>
      </c>
      <c r="U2198" s="20" t="n">
        <v>2</v>
      </c>
      <c r="V2198" s="21" t="n">
        <v>1</v>
      </c>
      <c r="W2198" s="20">
        <f>IF(OR(U2198="",V2198=""),U2198,U2198*V2198)</f>
        <v/>
      </c>
      <c r="X2198" s="18" t="inlineStr">
        <is>
          <t>12-41</t>
        </is>
      </c>
      <c r="Y2198" s="19" t="inlineStr"/>
      <c r="Z2198" s="18">
        <f>IF(Y2198="",X2198,Y2198)</f>
        <v/>
      </c>
      <c r="AA2198" s="18" t="inlineStr">
        <is>
          <t>grounded</t>
        </is>
      </c>
      <c r="AB2198" s="18" t="inlineStr">
        <is>
          <t>day</t>
        </is>
      </c>
      <c r="AC2198" s="18" t="inlineStr"/>
      <c r="AD2198" s="18" t="inlineStr"/>
      <c r="AE2198" s="18" t="inlineStr">
        <is>
          <t>sky 8-15</t>
        </is>
      </c>
      <c r="AF2198" s="18" t="inlineStr"/>
      <c r="AG2198" s="18" t="inlineStr"/>
      <c r="AH2198" s="18" t="inlineStr">
        <is>
          <t>주변=#cobblemon:flowers</t>
        </is>
      </c>
      <c r="AI2198" s="18" t="inlineStr"/>
      <c r="AJ2198" s="18" t="inlineStr">
        <is>
          <t>Cobblemon 동일</t>
        </is>
      </c>
      <c r="AK2198" s="18" t="inlineStr">
        <is>
          <t>사용</t>
        </is>
      </c>
      <c r="AL2198" s="18" t="inlineStr">
        <is>
          <t>COBBLEVERSE 1.7.42 / DP v31</t>
        </is>
      </c>
      <c r="AM2198" s="18" t="inlineStr">
        <is>
          <t>data/cobblemon/spawn_pool_world/0666_vivillon.json</t>
        </is>
      </c>
      <c r="AN2198" s="18" t="inlineStr">
        <is>
          <t>vivillon-sandstorm-4</t>
        </is>
      </c>
      <c r="AO2198" s="18" t="inlineStr">
        <is>
          <t>pokemon</t>
        </is>
      </c>
      <c r="AP2198" s="18" t="inlineStr">
        <is>
          <t>natural</t>
        </is>
      </c>
      <c r="AQ2198" s="18" t="inlineStr">
        <is>
          <t>{"biomes":["#cobblemon:is_desert"],"maxSkyLight":15,"minSkyLight":8,"neededNearbyBlocks":["#cobblemon:flowers"],"timeRange":"day"}</t>
        </is>
      </c>
      <c r="AR2198" s="18" t="inlineStr">
        <is>
          <t>{"biomes":["#cobblemon:is_badlands"],"structures":["#minecraft:village"]}</t>
        </is>
      </c>
      <c r="AS2198" s="18" t="inlineStr"/>
      <c r="AT2198" s="19" t="inlineStr"/>
    </row>
    <row r="2199" ht="32" customHeight="1">
      <c r="A2199" s="18" t="inlineStr">
        <is>
          <t>0666_vivillon.json::vivillon-meadow-5::005</t>
        </is>
      </c>
      <c r="B2199" s="19" t="inlineStr">
        <is>
          <t>사용</t>
        </is>
      </c>
      <c r="C2199" s="18">
        <f>IF(OR(B2199&lt;&gt;AK2199,M2199&lt;&gt;L2199,O2199&lt;&gt;"",Q2199&lt;&gt;"",V2199&lt;&gt;1,Y2199&lt;&gt;"",AT2199&lt;&gt;""),"수정","원본")</f>
        <v/>
      </c>
      <c r="D2199" s="18" t="n">
        <v>666</v>
      </c>
      <c r="E2199" s="18" t="inlineStr">
        <is>
          <t>비비용</t>
        </is>
      </c>
      <c r="F2199" s="18" t="inlineStr">
        <is>
          <t>vivillon</t>
        </is>
      </c>
      <c r="G2199" s="18" t="inlineStr">
        <is>
          <t>vivillon vivillon_wings=meadow</t>
        </is>
      </c>
      <c r="H2199" s="18" t="inlineStr">
        <is>
          <t>vivillon_wings=meadow</t>
        </is>
      </c>
      <c r="I2199" s="18" t="n">
        <v>6</v>
      </c>
      <c r="J2199" s="18" t="n"/>
      <c r="K2199" s="18" t="n">
        <v>6</v>
      </c>
      <c r="L2199" s="18" t="inlineStr">
        <is>
          <t>cobbleventure:generation_6</t>
        </is>
      </c>
      <c r="M2199" s="19" t="inlineStr">
        <is>
          <t>cobbleventure:generation_6</t>
        </is>
      </c>
      <c r="N2199" s="18" t="inlineStr"/>
      <c r="O2199" s="19" t="inlineStr"/>
      <c r="P2199" s="18" t="inlineStr">
        <is>
          <t>#cobblemon:is_floral</t>
        </is>
      </c>
      <c r="Q2199" s="19" t="inlineStr"/>
      <c r="R2199" s="18">
        <f>IF(Q2199="",P2199,Q2199)</f>
        <v/>
      </c>
      <c r="S2199" s="18" t="inlineStr">
        <is>
          <t>#cobblemon:is_cherry_blossom; #cobblemon:is_magical; minecraft:sunflower_plains</t>
        </is>
      </c>
      <c r="T2199" s="18" t="inlineStr">
        <is>
          <t>common</t>
        </is>
      </c>
      <c r="U2199" s="20" t="n">
        <v>2</v>
      </c>
      <c r="V2199" s="21" t="n">
        <v>1</v>
      </c>
      <c r="W2199" s="20">
        <f>IF(OR(U2199="",V2199=""),U2199,U2199*V2199)</f>
        <v/>
      </c>
      <c r="X2199" s="18" t="inlineStr">
        <is>
          <t>12-41</t>
        </is>
      </c>
      <c r="Y2199" s="19" t="inlineStr"/>
      <c r="Z2199" s="18">
        <f>IF(Y2199="",X2199,Y2199)</f>
        <v/>
      </c>
      <c r="AA2199" s="18" t="inlineStr">
        <is>
          <t>grounded</t>
        </is>
      </c>
      <c r="AB2199" s="18" t="inlineStr">
        <is>
          <t>day</t>
        </is>
      </c>
      <c r="AC2199" s="18" t="inlineStr">
        <is>
          <t>비=False</t>
        </is>
      </c>
      <c r="AD2199" s="18" t="inlineStr"/>
      <c r="AE2199" s="18" t="inlineStr">
        <is>
          <t>sky 8-15</t>
        </is>
      </c>
      <c r="AF2199" s="18" t="inlineStr"/>
      <c r="AG2199" s="18" t="inlineStr"/>
      <c r="AH2199" s="18" t="inlineStr">
        <is>
          <t>주변=#cobblemon:flowers</t>
        </is>
      </c>
      <c r="AI2199" s="18" t="inlineStr"/>
      <c r="AJ2199" s="18" t="inlineStr">
        <is>
          <t>Cobblemon 동일</t>
        </is>
      </c>
      <c r="AK2199" s="18" t="inlineStr">
        <is>
          <t>사용</t>
        </is>
      </c>
      <c r="AL2199" s="18" t="inlineStr">
        <is>
          <t>COBBLEVERSE 1.7.42 / DP v31</t>
        </is>
      </c>
      <c r="AM2199" s="18" t="inlineStr">
        <is>
          <t>data/cobblemon/spawn_pool_world/0666_vivillon.json</t>
        </is>
      </c>
      <c r="AN2199" s="18" t="inlineStr">
        <is>
          <t>vivillon-meadow-5</t>
        </is>
      </c>
      <c r="AO2199" s="18" t="inlineStr">
        <is>
          <t>pokemon</t>
        </is>
      </c>
      <c r="AP2199" s="18" t="inlineStr">
        <is>
          <t>natural</t>
        </is>
      </c>
      <c r="AQ2199" s="18" t="inlineStr">
        <is>
          <t>{"biomes":["#cobblemon:is_floral"],"isRaining":false,"maxSkyLight":15,"minSkyLight":8,"neededNearbyBlocks":["#cobblemon:flowers"],"timeRange":"day"}</t>
        </is>
      </c>
      <c r="AR2199" s="18" t="inlineStr">
        <is>
          <t>{"biomes":["#cobblemon:is_cherry_blossom","#cobblemon:is_magical","minecraft:sunflower_plains"],"structures":["#minecraft:village"]}</t>
        </is>
      </c>
      <c r="AS2199" s="18" t="inlineStr"/>
      <c r="AT2199" s="19" t="inlineStr"/>
    </row>
    <row r="2200" ht="32" customHeight="1">
      <c r="A2200" s="18" t="inlineStr">
        <is>
          <t>0666_vivillon.json::vivillon-meadow-6::006</t>
        </is>
      </c>
      <c r="B2200" s="19" t="inlineStr">
        <is>
          <t>사용</t>
        </is>
      </c>
      <c r="C2200" s="18">
        <f>IF(OR(B2200&lt;&gt;AK2200,M2200&lt;&gt;L2200,O2200&lt;&gt;"",Q2200&lt;&gt;"",V2200&lt;&gt;1,Y2200&lt;&gt;"",AT2200&lt;&gt;""),"수정","원본")</f>
        <v/>
      </c>
      <c r="D2200" s="18" t="n">
        <v>666</v>
      </c>
      <c r="E2200" s="18" t="inlineStr">
        <is>
          <t>비비용</t>
        </is>
      </c>
      <c r="F2200" s="18" t="inlineStr">
        <is>
          <t>vivillon</t>
        </is>
      </c>
      <c r="G2200" s="18" t="inlineStr">
        <is>
          <t>vivillon vivillon_wings=meadow</t>
        </is>
      </c>
      <c r="H2200" s="18" t="inlineStr">
        <is>
          <t>vivillon_wings=meadow</t>
        </is>
      </c>
      <c r="I2200" s="18" t="n">
        <v>6</v>
      </c>
      <c r="J2200" s="18" t="n"/>
      <c r="K2200" s="18" t="n">
        <v>6</v>
      </c>
      <c r="L2200" s="18" t="inlineStr">
        <is>
          <t>cobbleventure:generation_6</t>
        </is>
      </c>
      <c r="M2200" s="19" t="inlineStr">
        <is>
          <t>cobbleventure:generation_6</t>
        </is>
      </c>
      <c r="N2200" s="18" t="inlineStr"/>
      <c r="O2200" s="19" t="inlineStr"/>
      <c r="P2200" s="18" t="inlineStr">
        <is>
          <t>the_bumblezone:floral_meadow</t>
        </is>
      </c>
      <c r="Q2200" s="19" t="inlineStr"/>
      <c r="R2200" s="18">
        <f>IF(Q2200="",P2200,Q2200)</f>
        <v/>
      </c>
      <c r="S2200" s="18" t="inlineStr"/>
      <c r="T2200" s="18" t="inlineStr">
        <is>
          <t>common</t>
        </is>
      </c>
      <c r="U2200" s="20" t="n">
        <v>5</v>
      </c>
      <c r="V2200" s="21" t="n">
        <v>1</v>
      </c>
      <c r="W2200" s="20">
        <f>IF(OR(U2200="",V2200=""),U2200,U2200*V2200)</f>
        <v/>
      </c>
      <c r="X2200" s="18" t="inlineStr">
        <is>
          <t>12-41</t>
        </is>
      </c>
      <c r="Y2200" s="19" t="inlineStr"/>
      <c r="Z2200" s="18">
        <f>IF(Y2200="",X2200,Y2200)</f>
        <v/>
      </c>
      <c r="AA2200" s="18" t="inlineStr">
        <is>
          <t>grounded</t>
        </is>
      </c>
      <c r="AB2200" s="18" t="inlineStr"/>
      <c r="AC2200" s="18" t="inlineStr"/>
      <c r="AD2200" s="18" t="inlineStr"/>
      <c r="AE2200" s="18" t="inlineStr"/>
      <c r="AF2200" s="18" t="inlineStr"/>
      <c r="AG2200" s="18" t="inlineStr"/>
      <c r="AH2200" s="18" t="inlineStr"/>
      <c r="AI2200" s="18" t="inlineStr"/>
      <c r="AJ2200" s="18" t="inlineStr">
        <is>
          <t>Cobblemon 동일</t>
        </is>
      </c>
      <c r="AK2200" s="18" t="inlineStr">
        <is>
          <t>사용</t>
        </is>
      </c>
      <c r="AL2200" s="18" t="inlineStr">
        <is>
          <t>COBBLEVERSE 1.7.42 / DP v31</t>
        </is>
      </c>
      <c r="AM2200" s="18" t="inlineStr">
        <is>
          <t>data/cobblemon/spawn_pool_world/0666_vivillon.json</t>
        </is>
      </c>
      <c r="AN2200" s="18" t="inlineStr">
        <is>
          <t>vivillon-meadow-6</t>
        </is>
      </c>
      <c r="AO2200" s="18" t="inlineStr">
        <is>
          <t>pokemon</t>
        </is>
      </c>
      <c r="AP2200" s="18" t="inlineStr"/>
      <c r="AQ2200" s="18" t="inlineStr">
        <is>
          <t>{"biomes":["the_bumblezone:floral_meadow"]}</t>
        </is>
      </c>
      <c r="AR2200" s="18" t="inlineStr">
        <is>
          <t>{"structures":["#the_bumblezone:sempiternal_sanctums"]}</t>
        </is>
      </c>
      <c r="AS2200" s="18" t="inlineStr"/>
      <c r="AT2200" s="19" t="inlineStr"/>
    </row>
    <row r="2201" ht="32" customHeight="1">
      <c r="A2201" s="18" t="inlineStr">
        <is>
          <t>0666_vivillon.json::vivillon-garden-7::007</t>
        </is>
      </c>
      <c r="B2201" s="19" t="inlineStr">
        <is>
          <t>사용</t>
        </is>
      </c>
      <c r="C2201" s="18">
        <f>IF(OR(B2201&lt;&gt;AK2201,M2201&lt;&gt;L2201,O2201&lt;&gt;"",Q2201&lt;&gt;"",V2201&lt;&gt;1,Y2201&lt;&gt;"",AT2201&lt;&gt;""),"수정","원본")</f>
        <v/>
      </c>
      <c r="D2201" s="18" t="n">
        <v>666</v>
      </c>
      <c r="E2201" s="18" t="inlineStr">
        <is>
          <t>비비용</t>
        </is>
      </c>
      <c r="F2201" s="18" t="inlineStr">
        <is>
          <t>vivillon</t>
        </is>
      </c>
      <c r="G2201" s="18" t="inlineStr">
        <is>
          <t>vivillon vivillon_wings=garden</t>
        </is>
      </c>
      <c r="H2201" s="18" t="inlineStr">
        <is>
          <t>vivillon_wings=garden</t>
        </is>
      </c>
      <c r="I2201" s="18" t="n">
        <v>6</v>
      </c>
      <c r="J2201" s="18" t="n"/>
      <c r="K2201" s="18" t="n">
        <v>6</v>
      </c>
      <c r="L2201" s="18" t="inlineStr">
        <is>
          <t>cobbleventure:generation_6</t>
        </is>
      </c>
      <c r="M2201" s="19" t="inlineStr">
        <is>
          <t>cobbleventure:generation_6</t>
        </is>
      </c>
      <c r="N2201" s="18" t="inlineStr"/>
      <c r="O2201" s="19" t="inlineStr"/>
      <c r="P2201" s="18" t="inlineStr">
        <is>
          <t>#cobblemon:is_forest</t>
        </is>
      </c>
      <c r="Q2201" s="19" t="inlineStr"/>
      <c r="R2201" s="18">
        <f>IF(Q2201="",P2201,Q2201)</f>
        <v/>
      </c>
      <c r="S2201" s="18" t="inlineStr">
        <is>
          <t>#cobblemon:is_cherry_blossom; #cobblemon:is_floral; #cobblemon:is_jungle; #cobblemon:is_magical; #cobblemon:is_mountain; #cobblemon:is_mushroom; #cobblemon:is_plains; #cobblemon:is_spooky; #cobblemon:is_swamp</t>
        </is>
      </c>
      <c r="T2201" s="18" t="inlineStr">
        <is>
          <t>common</t>
        </is>
      </c>
      <c r="U2201" s="20" t="n">
        <v>2</v>
      </c>
      <c r="V2201" s="21" t="n">
        <v>1</v>
      </c>
      <c r="W2201" s="20">
        <f>IF(OR(U2201="",V2201=""),U2201,U2201*V2201)</f>
        <v/>
      </c>
      <c r="X2201" s="18" t="inlineStr">
        <is>
          <t>12-41</t>
        </is>
      </c>
      <c r="Y2201" s="19" t="inlineStr"/>
      <c r="Z2201" s="18">
        <f>IF(Y2201="",X2201,Y2201)</f>
        <v/>
      </c>
      <c r="AA2201" s="18" t="inlineStr">
        <is>
          <t>grounded</t>
        </is>
      </c>
      <c r="AB2201" s="18" t="inlineStr">
        <is>
          <t>day</t>
        </is>
      </c>
      <c r="AC2201" s="18" t="inlineStr">
        <is>
          <t>비=False</t>
        </is>
      </c>
      <c r="AD2201" s="18" t="inlineStr"/>
      <c r="AE2201" s="18" t="inlineStr">
        <is>
          <t>sky 8-15</t>
        </is>
      </c>
      <c r="AF2201" s="18" t="inlineStr"/>
      <c r="AG2201" s="18" t="inlineStr"/>
      <c r="AH2201" s="18" t="inlineStr">
        <is>
          <t>주변=#cobblemon:flowers</t>
        </is>
      </c>
      <c r="AI2201" s="18" t="inlineStr"/>
      <c r="AJ2201" s="18" t="inlineStr">
        <is>
          <t>Cobblemon 동일</t>
        </is>
      </c>
      <c r="AK2201" s="18" t="inlineStr">
        <is>
          <t>사용</t>
        </is>
      </c>
      <c r="AL2201" s="18" t="inlineStr">
        <is>
          <t>COBBLEVERSE 1.7.42 / DP v31</t>
        </is>
      </c>
      <c r="AM2201" s="18" t="inlineStr">
        <is>
          <t>data/cobblemon/spawn_pool_world/0666_vivillon.json</t>
        </is>
      </c>
      <c r="AN2201" s="18" t="inlineStr">
        <is>
          <t>vivillon-garden-7</t>
        </is>
      </c>
      <c r="AO2201" s="18" t="inlineStr">
        <is>
          <t>pokemon</t>
        </is>
      </c>
      <c r="AP2201" s="18" t="inlineStr">
        <is>
          <t>natural</t>
        </is>
      </c>
      <c r="AQ2201" s="18" t="inlineStr">
        <is>
          <t>{"biomes":["#cobblemon:is_forest"],"isRaining":false,"maxSkyLight":15,"minSkyLight":8,"neededNearbyBlocks":["#cobblemon:flowers"],"timeRange":"day"}</t>
        </is>
      </c>
      <c r="AR2201" s="18" t="inlineStr">
        <is>
          <t>{"biomes":["#cobblemon:is_cherry_blossom","#cobblemon:is_floral","#cobblemon:is_jungle","#cobblemon:is_magical","#cobblemon:is_mountain","#cobblemon:is_mushroom","#cobblemon:is_plains","#cobblemon:is_spooky","#cobblemon:is_swamp"],"structures":["#minecraft:village"]}</t>
        </is>
      </c>
      <c r="AS2201" s="18" t="inlineStr"/>
      <c r="AT2201" s="19" t="inlineStr"/>
    </row>
    <row r="2202" ht="32" customHeight="1">
      <c r="A2202" s="18" t="inlineStr">
        <is>
          <t>0666_vivillon.json::vivillon-river-8::008</t>
        </is>
      </c>
      <c r="B2202" s="19" t="inlineStr">
        <is>
          <t>사용</t>
        </is>
      </c>
      <c r="C2202" s="18">
        <f>IF(OR(B2202&lt;&gt;AK2202,M2202&lt;&gt;L2202,O2202&lt;&gt;"",Q2202&lt;&gt;"",V2202&lt;&gt;1,Y2202&lt;&gt;"",AT2202&lt;&gt;""),"수정","원본")</f>
        <v/>
      </c>
      <c r="D2202" s="18" t="n">
        <v>666</v>
      </c>
      <c r="E2202" s="18" t="inlineStr">
        <is>
          <t>비비용</t>
        </is>
      </c>
      <c r="F2202" s="18" t="inlineStr">
        <is>
          <t>vivillon</t>
        </is>
      </c>
      <c r="G2202" s="18" t="inlineStr">
        <is>
          <t>vivillon vivillon_wings=river</t>
        </is>
      </c>
      <c r="H2202" s="18" t="inlineStr">
        <is>
          <t>vivillon_wings=river</t>
        </is>
      </c>
      <c r="I2202" s="18" t="n">
        <v>6</v>
      </c>
      <c r="J2202" s="18" t="n"/>
      <c r="K2202" s="18" t="n">
        <v>6</v>
      </c>
      <c r="L2202" s="18" t="inlineStr">
        <is>
          <t>cobbleventure:generation_6</t>
        </is>
      </c>
      <c r="M2202" s="19" t="inlineStr">
        <is>
          <t>cobbleventure:generation_6</t>
        </is>
      </c>
      <c r="N2202" s="18" t="inlineStr">
        <is>
          <t>region_02</t>
        </is>
      </c>
      <c r="O2202" s="19" t="inlineStr"/>
      <c r="P2202" s="18" t="inlineStr">
        <is>
          <t>#cobblemon:is_freshwater</t>
        </is>
      </c>
      <c r="Q2202" s="19" t="inlineStr"/>
      <c r="R2202" s="18">
        <f>IF(Q2202="",P2202,Q2202)</f>
        <v/>
      </c>
      <c r="S2202" s="18" t="inlineStr">
        <is>
          <t>#cobblemon:is_forest; #cobblemon:is_jungle; #cobblemon:is_magical; #cobblemon:is_spooky</t>
        </is>
      </c>
      <c r="T2202" s="18" t="inlineStr">
        <is>
          <t>common</t>
        </is>
      </c>
      <c r="U2202" s="20" t="n">
        <v>2</v>
      </c>
      <c r="V2202" s="21" t="n">
        <v>1</v>
      </c>
      <c r="W2202" s="20">
        <f>IF(OR(U2202="",V2202=""),U2202,U2202*V2202)</f>
        <v/>
      </c>
      <c r="X2202" s="18" t="inlineStr">
        <is>
          <t>12-41</t>
        </is>
      </c>
      <c r="Y2202" s="19" t="inlineStr"/>
      <c r="Z2202" s="18">
        <f>IF(Y2202="",X2202,Y2202)</f>
        <v/>
      </c>
      <c r="AA2202" s="18" t="inlineStr">
        <is>
          <t>grounded</t>
        </is>
      </c>
      <c r="AB2202" s="18" t="inlineStr">
        <is>
          <t>day</t>
        </is>
      </c>
      <c r="AC2202" s="18" t="inlineStr">
        <is>
          <t>비=False</t>
        </is>
      </c>
      <c r="AD2202" s="18" t="inlineStr"/>
      <c r="AE2202" s="18" t="inlineStr">
        <is>
          <t>sky 8-15</t>
        </is>
      </c>
      <c r="AF2202" s="18" t="inlineStr"/>
      <c r="AG2202" s="18" t="inlineStr"/>
      <c r="AH2202" s="18" t="inlineStr"/>
      <c r="AI2202" s="18" t="inlineStr"/>
      <c r="AJ2202" s="18" t="inlineStr">
        <is>
          <t>Cobblemon 동일</t>
        </is>
      </c>
      <c r="AK2202" s="18" t="inlineStr">
        <is>
          <t>사용</t>
        </is>
      </c>
      <c r="AL2202" s="18" t="inlineStr">
        <is>
          <t>COBBLEVERSE 1.7.42 / DP v31</t>
        </is>
      </c>
      <c r="AM2202" s="18" t="inlineStr">
        <is>
          <t>data/cobblemon/spawn_pool_world/0666_vivillon.json</t>
        </is>
      </c>
      <c r="AN2202" s="18" t="inlineStr">
        <is>
          <t>vivillon-river-8</t>
        </is>
      </c>
      <c r="AO2202" s="18" t="inlineStr">
        <is>
          <t>pokemon</t>
        </is>
      </c>
      <c r="AP2202" s="18" t="inlineStr">
        <is>
          <t>natural</t>
        </is>
      </c>
      <c r="AQ2202" s="18" t="inlineStr">
        <is>
          <t>{"biomes":["#cobblemon:is_freshwater"],"isRaining":false,"maxSkyLight":15,"minSkyLight":8,"timeRange":"day"}</t>
        </is>
      </c>
      <c r="AR2202" s="18" t="inlineStr">
        <is>
          <t>{"biomes":["#cobblemon:is_forest","#cobblemon:is_jungle","#cobblemon:is_magical","#cobblemon:is_spooky"],"structures":["#minecraft:village"]}</t>
        </is>
      </c>
      <c r="AS2202" s="18" t="inlineStr"/>
      <c r="AT2202" s="19" t="inlineStr"/>
    </row>
    <row r="2203" ht="32" customHeight="1">
      <c r="A2203" s="18" t="inlineStr">
        <is>
          <t>0666_vivillon.json::vivillon-polar-9::009</t>
        </is>
      </c>
      <c r="B2203" s="19" t="inlineStr">
        <is>
          <t>사용</t>
        </is>
      </c>
      <c r="C2203" s="18">
        <f>IF(OR(B2203&lt;&gt;AK2203,M2203&lt;&gt;L2203,O2203&lt;&gt;"",Q2203&lt;&gt;"",V2203&lt;&gt;1,Y2203&lt;&gt;"",AT2203&lt;&gt;""),"수정","원본")</f>
        <v/>
      </c>
      <c r="D2203" s="18" t="n">
        <v>666</v>
      </c>
      <c r="E2203" s="18" t="inlineStr">
        <is>
          <t>비비용</t>
        </is>
      </c>
      <c r="F2203" s="18" t="inlineStr">
        <is>
          <t>vivillon</t>
        </is>
      </c>
      <c r="G2203" s="18" t="inlineStr">
        <is>
          <t>vivillon vivillon_wings=polar</t>
        </is>
      </c>
      <c r="H2203" s="18" t="inlineStr">
        <is>
          <t>vivillon_wings=polar</t>
        </is>
      </c>
      <c r="I2203" s="18" t="n">
        <v>6</v>
      </c>
      <c r="J2203" s="18" t="n"/>
      <c r="K2203" s="18" t="n">
        <v>6</v>
      </c>
      <c r="L2203" s="18" t="inlineStr">
        <is>
          <t>cobbleventure:generation_6</t>
        </is>
      </c>
      <c r="M2203" s="19" t="inlineStr">
        <is>
          <t>cobbleventure:generation_6</t>
        </is>
      </c>
      <c r="N2203" s="18" t="inlineStr"/>
      <c r="O2203" s="19" t="inlineStr"/>
      <c r="P2203" s="18" t="inlineStr">
        <is>
          <t>#cobblemon:is_frozen_ocean</t>
        </is>
      </c>
      <c r="Q2203" s="19" t="inlineStr"/>
      <c r="R2203" s="18">
        <f>IF(Q2203="",P2203,Q2203)</f>
        <v/>
      </c>
      <c r="S2203" s="18" t="inlineStr"/>
      <c r="T2203" s="18" t="inlineStr">
        <is>
          <t>common</t>
        </is>
      </c>
      <c r="U2203" s="20" t="n">
        <v>2</v>
      </c>
      <c r="V2203" s="21" t="n">
        <v>1</v>
      </c>
      <c r="W2203" s="20">
        <f>IF(OR(U2203="",V2203=""),U2203,U2203*V2203)</f>
        <v/>
      </c>
      <c r="X2203" s="18" t="inlineStr">
        <is>
          <t>12-41</t>
        </is>
      </c>
      <c r="Y2203" s="19" t="inlineStr"/>
      <c r="Z2203" s="18">
        <f>IF(Y2203="",X2203,Y2203)</f>
        <v/>
      </c>
      <c r="AA2203" s="18" t="inlineStr">
        <is>
          <t>grounded</t>
        </is>
      </c>
      <c r="AB2203" s="18" t="inlineStr">
        <is>
          <t>day</t>
        </is>
      </c>
      <c r="AC2203" s="18" t="inlineStr">
        <is>
          <t>비=False</t>
        </is>
      </c>
      <c r="AD2203" s="18" t="inlineStr"/>
      <c r="AE2203" s="18" t="inlineStr">
        <is>
          <t>sky 8-15</t>
        </is>
      </c>
      <c r="AF2203" s="18" t="inlineStr"/>
      <c r="AG2203" s="18" t="inlineStr"/>
      <c r="AH2203" s="18" t="inlineStr">
        <is>
          <t>주변=#cobblemon:flowers</t>
        </is>
      </c>
      <c r="AI2203" s="18" t="inlineStr"/>
      <c r="AJ2203" s="18" t="inlineStr">
        <is>
          <t>Cobblemon 동일</t>
        </is>
      </c>
      <c r="AK2203" s="18" t="inlineStr">
        <is>
          <t>사용</t>
        </is>
      </c>
      <c r="AL2203" s="18" t="inlineStr">
        <is>
          <t>COBBLEVERSE 1.7.42 / DP v31</t>
        </is>
      </c>
      <c r="AM2203" s="18" t="inlineStr">
        <is>
          <t>data/cobblemon/spawn_pool_world/0666_vivillon.json</t>
        </is>
      </c>
      <c r="AN2203" s="18" t="inlineStr">
        <is>
          <t>vivillon-polar-9</t>
        </is>
      </c>
      <c r="AO2203" s="18" t="inlineStr">
        <is>
          <t>pokemon</t>
        </is>
      </c>
      <c r="AP2203" s="18" t="inlineStr">
        <is>
          <t>natural</t>
        </is>
      </c>
      <c r="AQ2203" s="18" t="inlineStr">
        <is>
          <t>{"biomes":["#cobblemon:is_frozen_ocean"],"isRaining":false,"maxSkyLight":15,"minSkyLight":8,"neededNearbyBlocks":["#cobblemon:flowers"],"timeRange":"day"}</t>
        </is>
      </c>
      <c r="AR2203" s="18" t="inlineStr">
        <is>
          <t>{"structures":["#minecraft:village"]}</t>
        </is>
      </c>
      <c r="AS2203" s="18" t="inlineStr"/>
      <c r="AT2203" s="19" t="inlineStr"/>
    </row>
    <row r="2204" ht="32" customHeight="1">
      <c r="A2204" s="18" t="inlineStr">
        <is>
          <t>0666_vivillon.json::vivillon-tundra-10::010</t>
        </is>
      </c>
      <c r="B2204" s="19" t="inlineStr">
        <is>
          <t>사용</t>
        </is>
      </c>
      <c r="C2204" s="18">
        <f>IF(OR(B2204&lt;&gt;AK2204,M2204&lt;&gt;L2204,O2204&lt;&gt;"",Q2204&lt;&gt;"",V2204&lt;&gt;1,Y2204&lt;&gt;"",AT2204&lt;&gt;""),"수정","원본")</f>
        <v/>
      </c>
      <c r="D2204" s="18" t="n">
        <v>666</v>
      </c>
      <c r="E2204" s="18" t="inlineStr">
        <is>
          <t>비비용</t>
        </is>
      </c>
      <c r="F2204" s="18" t="inlineStr">
        <is>
          <t>vivillon</t>
        </is>
      </c>
      <c r="G2204" s="18" t="inlineStr">
        <is>
          <t>vivillon vivillon_wings=tundra</t>
        </is>
      </c>
      <c r="H2204" s="18" t="inlineStr">
        <is>
          <t>vivillon_wings=tundra</t>
        </is>
      </c>
      <c r="I2204" s="18" t="n">
        <v>6</v>
      </c>
      <c r="J2204" s="18" t="n"/>
      <c r="K2204" s="18" t="n">
        <v>6</v>
      </c>
      <c r="L2204" s="18" t="inlineStr">
        <is>
          <t>cobbleventure:generation_6</t>
        </is>
      </c>
      <c r="M2204" s="19" t="inlineStr">
        <is>
          <t>cobbleventure:generation_6</t>
        </is>
      </c>
      <c r="N2204" s="18" t="inlineStr"/>
      <c r="O2204" s="19" t="inlineStr"/>
      <c r="P2204" s="18" t="inlineStr">
        <is>
          <t>#cobblemon:is_glacial; #cobblemon:is_snowy_forest; #cobblemon:is_tundra</t>
        </is>
      </c>
      <c r="Q2204" s="19" t="inlineStr"/>
      <c r="R2204" s="18">
        <f>IF(Q2204="",P2204,Q2204)</f>
        <v/>
      </c>
      <c r="S2204" s="18" t="inlineStr">
        <is>
          <t>#cobblemon:is_mountain</t>
        </is>
      </c>
      <c r="T2204" s="18" t="inlineStr">
        <is>
          <t>common</t>
        </is>
      </c>
      <c r="U2204" s="20" t="n">
        <v>2</v>
      </c>
      <c r="V2204" s="21" t="n">
        <v>1</v>
      </c>
      <c r="W2204" s="20">
        <f>IF(OR(U2204="",V2204=""),U2204,U2204*V2204)</f>
        <v/>
      </c>
      <c r="X2204" s="18" t="inlineStr">
        <is>
          <t>12-41</t>
        </is>
      </c>
      <c r="Y2204" s="19" t="inlineStr"/>
      <c r="Z2204" s="18">
        <f>IF(Y2204="",X2204,Y2204)</f>
        <v/>
      </c>
      <c r="AA2204" s="18" t="inlineStr">
        <is>
          <t>grounded</t>
        </is>
      </c>
      <c r="AB2204" s="18" t="inlineStr">
        <is>
          <t>day</t>
        </is>
      </c>
      <c r="AC2204" s="18" t="inlineStr">
        <is>
          <t>비=False</t>
        </is>
      </c>
      <c r="AD2204" s="18" t="inlineStr"/>
      <c r="AE2204" s="18" t="inlineStr">
        <is>
          <t>sky 8-15</t>
        </is>
      </c>
      <c r="AF2204" s="18" t="inlineStr"/>
      <c r="AG2204" s="18" t="inlineStr"/>
      <c r="AH2204" s="18" t="inlineStr">
        <is>
          <t>주변=#cobblemon:flowers</t>
        </is>
      </c>
      <c r="AI2204" s="18" t="inlineStr"/>
      <c r="AJ2204" s="18" t="inlineStr">
        <is>
          <t>Cobblemon 동일</t>
        </is>
      </c>
      <c r="AK2204" s="18" t="inlineStr">
        <is>
          <t>사용</t>
        </is>
      </c>
      <c r="AL2204" s="18" t="inlineStr">
        <is>
          <t>COBBLEVERSE 1.7.42 / DP v31</t>
        </is>
      </c>
      <c r="AM2204" s="18" t="inlineStr">
        <is>
          <t>data/cobblemon/spawn_pool_world/0666_vivillon.json</t>
        </is>
      </c>
      <c r="AN2204" s="18" t="inlineStr">
        <is>
          <t>vivillon-tundra-10</t>
        </is>
      </c>
      <c r="AO2204" s="18" t="inlineStr">
        <is>
          <t>pokemon</t>
        </is>
      </c>
      <c r="AP2204" s="18" t="inlineStr">
        <is>
          <t>natural</t>
        </is>
      </c>
      <c r="AQ2204" s="18" t="inlineStr">
        <is>
          <t>{"biomes":["#cobblemon:is_glacial","#cobblemon:is_snowy_forest","#cobblemon:is_tundra"],"isRaining":false,"maxSkyLight":15,"minSkyLight":8,"neededNearbyBlocks":["#cobblemon:flowers"],"timeRange":"day"}</t>
        </is>
      </c>
      <c r="AR2204" s="18" t="inlineStr">
        <is>
          <t>{"biomes":["#cobblemon:is_mountain"],"structures":["#minecraft:village"]}</t>
        </is>
      </c>
      <c r="AS2204" s="18" t="inlineStr"/>
      <c r="AT2204" s="19" t="inlineStr"/>
    </row>
    <row r="2205" ht="32" customHeight="1">
      <c r="A2205" s="18" t="inlineStr">
        <is>
          <t>0666_vivillon.json::vivillon-jungle-11::011</t>
        </is>
      </c>
      <c r="B2205" s="19" t="inlineStr">
        <is>
          <t>사용</t>
        </is>
      </c>
      <c r="C2205" s="18">
        <f>IF(OR(B2205&lt;&gt;AK2205,M2205&lt;&gt;L2205,O2205&lt;&gt;"",Q2205&lt;&gt;"",V2205&lt;&gt;1,Y2205&lt;&gt;"",AT2205&lt;&gt;""),"수정","원본")</f>
        <v/>
      </c>
      <c r="D2205" s="18" t="n">
        <v>666</v>
      </c>
      <c r="E2205" s="18" t="inlineStr">
        <is>
          <t>비비용</t>
        </is>
      </c>
      <c r="F2205" s="18" t="inlineStr">
        <is>
          <t>vivillon</t>
        </is>
      </c>
      <c r="G2205" s="18" t="inlineStr">
        <is>
          <t>vivillon vivillon_wings=jungle</t>
        </is>
      </c>
      <c r="H2205" s="18" t="inlineStr">
        <is>
          <t>vivillon_wings=jungle</t>
        </is>
      </c>
      <c r="I2205" s="18" t="n">
        <v>6</v>
      </c>
      <c r="J2205" s="18" t="n"/>
      <c r="K2205" s="18" t="n">
        <v>6</v>
      </c>
      <c r="L2205" s="18" t="inlineStr">
        <is>
          <t>cobbleventure:generation_6</t>
        </is>
      </c>
      <c r="M2205" s="19" t="inlineStr">
        <is>
          <t>cobbleventure:generation_6</t>
        </is>
      </c>
      <c r="N2205" s="18" t="inlineStr"/>
      <c r="O2205" s="19" t="inlineStr"/>
      <c r="P2205" s="18" t="inlineStr">
        <is>
          <t>#cobblemon:is_jungle</t>
        </is>
      </c>
      <c r="Q2205" s="19" t="inlineStr"/>
      <c r="R2205" s="18">
        <f>IF(Q2205="",P2205,Q2205)</f>
        <v/>
      </c>
      <c r="S2205" s="18" t="inlineStr">
        <is>
          <t>#cobblemon:is_mountain</t>
        </is>
      </c>
      <c r="T2205" s="18" t="inlineStr">
        <is>
          <t>common</t>
        </is>
      </c>
      <c r="U2205" s="20" t="n">
        <v>2</v>
      </c>
      <c r="V2205" s="21" t="n">
        <v>1</v>
      </c>
      <c r="W2205" s="20">
        <f>IF(OR(U2205="",V2205=""),U2205,U2205*V2205)</f>
        <v/>
      </c>
      <c r="X2205" s="18" t="inlineStr">
        <is>
          <t>12-41</t>
        </is>
      </c>
      <c r="Y2205" s="19" t="inlineStr"/>
      <c r="Z2205" s="18">
        <f>IF(Y2205="",X2205,Y2205)</f>
        <v/>
      </c>
      <c r="AA2205" s="18" t="inlineStr">
        <is>
          <t>grounded</t>
        </is>
      </c>
      <c r="AB2205" s="18" t="inlineStr">
        <is>
          <t>day</t>
        </is>
      </c>
      <c r="AC2205" s="18" t="inlineStr">
        <is>
          <t>비=False</t>
        </is>
      </c>
      <c r="AD2205" s="18" t="inlineStr"/>
      <c r="AE2205" s="18" t="inlineStr">
        <is>
          <t>sky 8-15</t>
        </is>
      </c>
      <c r="AF2205" s="18" t="inlineStr"/>
      <c r="AG2205" s="18" t="inlineStr"/>
      <c r="AH2205" s="18" t="inlineStr">
        <is>
          <t>주변=#cobblemon:flowers</t>
        </is>
      </c>
      <c r="AI2205" s="18" t="inlineStr"/>
      <c r="AJ2205" s="18" t="inlineStr">
        <is>
          <t>Cobblemon 동일</t>
        </is>
      </c>
      <c r="AK2205" s="18" t="inlineStr">
        <is>
          <t>사용</t>
        </is>
      </c>
      <c r="AL2205" s="18" t="inlineStr">
        <is>
          <t>COBBLEVERSE 1.7.42 / DP v31</t>
        </is>
      </c>
      <c r="AM2205" s="18" t="inlineStr">
        <is>
          <t>data/cobblemon/spawn_pool_world/0666_vivillon.json</t>
        </is>
      </c>
      <c r="AN2205" s="18" t="inlineStr">
        <is>
          <t>vivillon-jungle-11</t>
        </is>
      </c>
      <c r="AO2205" s="18" t="inlineStr">
        <is>
          <t>pokemon</t>
        </is>
      </c>
      <c r="AP2205" s="18" t="inlineStr">
        <is>
          <t>natural</t>
        </is>
      </c>
      <c r="AQ2205" s="18" t="inlineStr">
        <is>
          <t>{"biomes":["#cobblemon:is_jungle"],"isRaining":false,"maxSkyLight":15,"minSkyLight":8,"neededNearbyBlocks":["#cobblemon:flowers"],"timeRange":"day"}</t>
        </is>
      </c>
      <c r="AR2205" s="18" t="inlineStr">
        <is>
          <t>{"biomes":["#cobblemon:is_mountain"],"structures":["#minecraft:village"]}</t>
        </is>
      </c>
      <c r="AS2205" s="18" t="inlineStr"/>
      <c r="AT2205" s="19" t="inlineStr"/>
    </row>
    <row r="2206" ht="32" customHeight="1">
      <c r="A2206" s="18" t="inlineStr">
        <is>
          <t>0666_vivillon.json::vivillon-monsoon-12::012</t>
        </is>
      </c>
      <c r="B2206" s="19" t="inlineStr">
        <is>
          <t>사용</t>
        </is>
      </c>
      <c r="C2206" s="18">
        <f>IF(OR(B2206&lt;&gt;AK2206,M2206&lt;&gt;L2206,O2206&lt;&gt;"",Q2206&lt;&gt;"",V2206&lt;&gt;1,Y2206&lt;&gt;"",AT2206&lt;&gt;""),"수정","원본")</f>
        <v/>
      </c>
      <c r="D2206" s="18" t="n">
        <v>666</v>
      </c>
      <c r="E2206" s="18" t="inlineStr">
        <is>
          <t>비비용</t>
        </is>
      </c>
      <c r="F2206" s="18" t="inlineStr">
        <is>
          <t>vivillon</t>
        </is>
      </c>
      <c r="G2206" s="18" t="inlineStr">
        <is>
          <t>vivillon vivillon_wings=monsoon</t>
        </is>
      </c>
      <c r="H2206" s="18" t="inlineStr">
        <is>
          <t>vivillon_wings=monsoon</t>
        </is>
      </c>
      <c r="I2206" s="18" t="n">
        <v>6</v>
      </c>
      <c r="J2206" s="18" t="n"/>
      <c r="K2206" s="18" t="n">
        <v>6</v>
      </c>
      <c r="L2206" s="18" t="inlineStr">
        <is>
          <t>cobbleventure:generation_6</t>
        </is>
      </c>
      <c r="M2206" s="19" t="inlineStr">
        <is>
          <t>cobbleventure:generation_6</t>
        </is>
      </c>
      <c r="N2206" s="18" t="inlineStr"/>
      <c r="O2206" s="19" t="inlineStr"/>
      <c r="P2206" s="18" t="inlineStr">
        <is>
          <t>#cobblemon:is_mountain</t>
        </is>
      </c>
      <c r="Q2206" s="19" t="inlineStr"/>
      <c r="R2206" s="18">
        <f>IF(Q2206="",P2206,Q2206)</f>
        <v/>
      </c>
      <c r="S2206" s="18" t="inlineStr">
        <is>
          <t>#cobblemon:is_badlands; #cobblemon:is_desert; #cobblemon:is_floral; #cobblemon:is_mushroom; #cobblemon:is_tropical_island; #cobblemon:is_volcanic</t>
        </is>
      </c>
      <c r="T2206" s="18" t="inlineStr">
        <is>
          <t>common</t>
        </is>
      </c>
      <c r="U2206" s="20" t="n">
        <v>2</v>
      </c>
      <c r="V2206" s="21" t="n">
        <v>1</v>
      </c>
      <c r="W2206" s="20">
        <f>IF(OR(U2206="",V2206=""),U2206,U2206*V2206)</f>
        <v/>
      </c>
      <c r="X2206" s="18" t="inlineStr">
        <is>
          <t>12-41</t>
        </is>
      </c>
      <c r="Y2206" s="19" t="inlineStr"/>
      <c r="Z2206" s="18">
        <f>IF(Y2206="",X2206,Y2206)</f>
        <v/>
      </c>
      <c r="AA2206" s="18" t="inlineStr">
        <is>
          <t>grounded</t>
        </is>
      </c>
      <c r="AB2206" s="18" t="inlineStr">
        <is>
          <t>day</t>
        </is>
      </c>
      <c r="AC2206" s="18" t="inlineStr">
        <is>
          <t>비=False</t>
        </is>
      </c>
      <c r="AD2206" s="18" t="inlineStr"/>
      <c r="AE2206" s="18" t="inlineStr">
        <is>
          <t>sky 8-15</t>
        </is>
      </c>
      <c r="AF2206" s="18" t="inlineStr"/>
      <c r="AG2206" s="18" t="inlineStr"/>
      <c r="AH2206" s="18" t="inlineStr">
        <is>
          <t>주변=#cobblemon:flowers</t>
        </is>
      </c>
      <c r="AI2206" s="18" t="inlineStr"/>
      <c r="AJ2206" s="18" t="inlineStr">
        <is>
          <t>Cobblemon 동일</t>
        </is>
      </c>
      <c r="AK2206" s="18" t="inlineStr">
        <is>
          <t>사용</t>
        </is>
      </c>
      <c r="AL2206" s="18" t="inlineStr">
        <is>
          <t>COBBLEVERSE 1.7.42 / DP v31</t>
        </is>
      </c>
      <c r="AM2206" s="18" t="inlineStr">
        <is>
          <t>data/cobblemon/spawn_pool_world/0666_vivillon.json</t>
        </is>
      </c>
      <c r="AN2206" s="18" t="inlineStr">
        <is>
          <t>vivillon-monsoon-12</t>
        </is>
      </c>
      <c r="AO2206" s="18" t="inlineStr">
        <is>
          <t>pokemon</t>
        </is>
      </c>
      <c r="AP2206" s="18" t="inlineStr">
        <is>
          <t>natural</t>
        </is>
      </c>
      <c r="AQ2206" s="18" t="inlineStr">
        <is>
          <t>{"biomes":["#cobblemon:is_mountain"],"isRaining":false,"maxSkyLight":15,"minSkyLight":8,"neededNearbyBlocks":["#cobblemon:flowers"],"timeRange":"day"}</t>
        </is>
      </c>
      <c r="AR2206" s="18" t="inlineStr">
        <is>
          <t>{"biomes":["#cobblemon:is_badlands","#cobblemon:is_desert","#cobblemon:is_floral","#cobblemon:is_mushroom","#cobblemon:is_tropical_island","#cobblemon:is_volcanic"],"structures":["#minecraft:village"]}</t>
        </is>
      </c>
      <c r="AS2206" s="18" t="inlineStr"/>
      <c r="AT2206" s="19" t="inlineStr"/>
    </row>
    <row r="2207" ht="32" customHeight="1">
      <c r="A2207" s="18" t="inlineStr">
        <is>
          <t>0666_vivillon.json::vivillon-archipelago-13::013</t>
        </is>
      </c>
      <c r="B2207" s="19" t="inlineStr">
        <is>
          <t>사용</t>
        </is>
      </c>
      <c r="C2207" s="18">
        <f>IF(OR(B2207&lt;&gt;AK2207,M2207&lt;&gt;L2207,O2207&lt;&gt;"",Q2207&lt;&gt;"",V2207&lt;&gt;1,Y2207&lt;&gt;"",AT2207&lt;&gt;""),"수정","원본")</f>
        <v/>
      </c>
      <c r="D2207" s="18" t="n">
        <v>666</v>
      </c>
      <c r="E2207" s="18" t="inlineStr">
        <is>
          <t>비비용</t>
        </is>
      </c>
      <c r="F2207" s="18" t="inlineStr">
        <is>
          <t>vivillon</t>
        </is>
      </c>
      <c r="G2207" s="18" t="inlineStr">
        <is>
          <t>vivillon vivillon_wings=archipelago</t>
        </is>
      </c>
      <c r="H2207" s="18" t="inlineStr">
        <is>
          <t>vivillon_wings=archipelago</t>
        </is>
      </c>
      <c r="I2207" s="18" t="n">
        <v>6</v>
      </c>
      <c r="J2207" s="18" t="n"/>
      <c r="K2207" s="18" t="n">
        <v>6</v>
      </c>
      <c r="L2207" s="18" t="inlineStr">
        <is>
          <t>cobbleventure:generation_6</t>
        </is>
      </c>
      <c r="M2207" s="19" t="inlineStr">
        <is>
          <t>cobbleventure:generation_6</t>
        </is>
      </c>
      <c r="N2207" s="18" t="inlineStr"/>
      <c r="O2207" s="19" t="inlineStr"/>
      <c r="P2207" s="18" t="inlineStr">
        <is>
          <t>#cobblemon:is_mushroom</t>
        </is>
      </c>
      <c r="Q2207" s="19" t="inlineStr"/>
      <c r="R2207" s="18">
        <f>IF(Q2207="",P2207,Q2207)</f>
        <v/>
      </c>
      <c r="S2207" s="18" t="inlineStr">
        <is>
          <t>#cobblemon:is_magical; #cobblemon:is_spooky; #cobblemon:is_swamp</t>
        </is>
      </c>
      <c r="T2207" s="18" t="inlineStr">
        <is>
          <t>common</t>
        </is>
      </c>
      <c r="U2207" s="20" t="n">
        <v>2</v>
      </c>
      <c r="V2207" s="21" t="n">
        <v>1</v>
      </c>
      <c r="W2207" s="20">
        <f>IF(OR(U2207="",V2207=""),U2207,U2207*V2207)</f>
        <v/>
      </c>
      <c r="X2207" s="18" t="inlineStr">
        <is>
          <t>12-41</t>
        </is>
      </c>
      <c r="Y2207" s="19" t="inlineStr"/>
      <c r="Z2207" s="18">
        <f>IF(Y2207="",X2207,Y2207)</f>
        <v/>
      </c>
      <c r="AA2207" s="18" t="inlineStr">
        <is>
          <t>grounded</t>
        </is>
      </c>
      <c r="AB2207" s="18" t="inlineStr">
        <is>
          <t>day</t>
        </is>
      </c>
      <c r="AC2207" s="18" t="inlineStr">
        <is>
          <t>비=False</t>
        </is>
      </c>
      <c r="AD2207" s="18" t="inlineStr"/>
      <c r="AE2207" s="18" t="inlineStr">
        <is>
          <t>sky 8-15</t>
        </is>
      </c>
      <c r="AF2207" s="18" t="inlineStr"/>
      <c r="AG2207" s="18" t="inlineStr"/>
      <c r="AH2207" s="18" t="inlineStr">
        <is>
          <t>주변=#cobblemon:flowers</t>
        </is>
      </c>
      <c r="AI2207" s="18" t="inlineStr"/>
      <c r="AJ2207" s="18" t="inlineStr">
        <is>
          <t>Cobblemon 동일</t>
        </is>
      </c>
      <c r="AK2207" s="18" t="inlineStr">
        <is>
          <t>사용</t>
        </is>
      </c>
      <c r="AL2207" s="18" t="inlineStr">
        <is>
          <t>COBBLEVERSE 1.7.42 / DP v31</t>
        </is>
      </c>
      <c r="AM2207" s="18" t="inlineStr">
        <is>
          <t>data/cobblemon/spawn_pool_world/0666_vivillon.json</t>
        </is>
      </c>
      <c r="AN2207" s="18" t="inlineStr">
        <is>
          <t>vivillon-archipelago-13</t>
        </is>
      </c>
      <c r="AO2207" s="18" t="inlineStr">
        <is>
          <t>pokemon</t>
        </is>
      </c>
      <c r="AP2207" s="18" t="inlineStr">
        <is>
          <t>natural</t>
        </is>
      </c>
      <c r="AQ2207" s="18" t="inlineStr">
        <is>
          <t>{"biomes":["#cobblemon:is_mushroom"],"isRaining":false,"maxSkyLight":15,"minSkyLight":8,"neededNearbyBlocks":["#cobblemon:flowers"],"timeRange":"day"}</t>
        </is>
      </c>
      <c r="AR2207" s="18" t="inlineStr">
        <is>
          <t>{"biomes":["#cobblemon:is_magical","#cobblemon:is_spooky","#cobblemon:is_swamp"],"structures":["#minecraft:village"]}</t>
        </is>
      </c>
      <c r="AS2207" s="18" t="inlineStr"/>
      <c r="AT2207" s="19" t="inlineStr"/>
    </row>
    <row r="2208" ht="32" customHeight="1">
      <c r="A2208" s="18" t="inlineStr">
        <is>
          <t>0666_vivillon.json::vivillon-marine-14::014</t>
        </is>
      </c>
      <c r="B2208" s="19" t="inlineStr">
        <is>
          <t>사용</t>
        </is>
      </c>
      <c r="C2208" s="18">
        <f>IF(OR(B2208&lt;&gt;AK2208,M2208&lt;&gt;L2208,O2208&lt;&gt;"",Q2208&lt;&gt;"",V2208&lt;&gt;1,Y2208&lt;&gt;"",AT2208&lt;&gt;""),"수정","원본")</f>
        <v/>
      </c>
      <c r="D2208" s="18" t="n">
        <v>666</v>
      </c>
      <c r="E2208" s="18" t="inlineStr">
        <is>
          <t>비비용</t>
        </is>
      </c>
      <c r="F2208" s="18" t="inlineStr">
        <is>
          <t>vivillon</t>
        </is>
      </c>
      <c r="G2208" s="18" t="inlineStr">
        <is>
          <t>vivillon vivillon_wings=marine</t>
        </is>
      </c>
      <c r="H2208" s="18" t="inlineStr">
        <is>
          <t>vivillon_wings=marine</t>
        </is>
      </c>
      <c r="I2208" s="18" t="n">
        <v>6</v>
      </c>
      <c r="J2208" s="18" t="n"/>
      <c r="K2208" s="18" t="n">
        <v>6</v>
      </c>
      <c r="L2208" s="18" t="inlineStr">
        <is>
          <t>cobbleventure:generation_6</t>
        </is>
      </c>
      <c r="M2208" s="19" t="inlineStr">
        <is>
          <t>cobbleventure:generation_6</t>
        </is>
      </c>
      <c r="N2208" s="18" t="inlineStr"/>
      <c r="O2208" s="19" t="inlineStr"/>
      <c r="P2208" s="18" t="inlineStr">
        <is>
          <t>#cobblemon:is_ocean</t>
        </is>
      </c>
      <c r="Q2208" s="19" t="inlineStr"/>
      <c r="R2208" s="18">
        <f>IF(Q2208="",P2208,Q2208)</f>
        <v/>
      </c>
      <c r="S2208" s="18" t="inlineStr">
        <is>
          <t>#cobblemon:is_frozen_ocean; #cobblemon:is_warm_ocean</t>
        </is>
      </c>
      <c r="T2208" s="18" t="inlineStr">
        <is>
          <t>common</t>
        </is>
      </c>
      <c r="U2208" s="20" t="n">
        <v>2</v>
      </c>
      <c r="V2208" s="21" t="n">
        <v>1</v>
      </c>
      <c r="W2208" s="20">
        <f>IF(OR(U2208="",V2208=""),U2208,U2208*V2208)</f>
        <v/>
      </c>
      <c r="X2208" s="18" t="inlineStr">
        <is>
          <t>12-41</t>
        </is>
      </c>
      <c r="Y2208" s="19" t="inlineStr"/>
      <c r="Z2208" s="18">
        <f>IF(Y2208="",X2208,Y2208)</f>
        <v/>
      </c>
      <c r="AA2208" s="18" t="inlineStr">
        <is>
          <t>grounded</t>
        </is>
      </c>
      <c r="AB2208" s="18" t="inlineStr">
        <is>
          <t>day</t>
        </is>
      </c>
      <c r="AC2208" s="18" t="inlineStr">
        <is>
          <t>비=False</t>
        </is>
      </c>
      <c r="AD2208" s="18" t="inlineStr"/>
      <c r="AE2208" s="18" t="inlineStr">
        <is>
          <t>sky 8-15</t>
        </is>
      </c>
      <c r="AF2208" s="18" t="inlineStr"/>
      <c r="AG2208" s="18" t="inlineStr"/>
      <c r="AH2208" s="18" t="inlineStr">
        <is>
          <t>주변=#cobblemon:flowers</t>
        </is>
      </c>
      <c r="AI2208" s="18" t="inlineStr"/>
      <c r="AJ2208" s="18" t="inlineStr">
        <is>
          <t>Cobblemon 동일</t>
        </is>
      </c>
      <c r="AK2208" s="18" t="inlineStr">
        <is>
          <t>사용</t>
        </is>
      </c>
      <c r="AL2208" s="18" t="inlineStr">
        <is>
          <t>COBBLEVERSE 1.7.42 / DP v31</t>
        </is>
      </c>
      <c r="AM2208" s="18" t="inlineStr">
        <is>
          <t>data/cobblemon/spawn_pool_world/0666_vivillon.json</t>
        </is>
      </c>
      <c r="AN2208" s="18" t="inlineStr">
        <is>
          <t>vivillon-marine-14</t>
        </is>
      </c>
      <c r="AO2208" s="18" t="inlineStr">
        <is>
          <t>pokemon</t>
        </is>
      </c>
      <c r="AP2208" s="18" t="inlineStr">
        <is>
          <t>natural</t>
        </is>
      </c>
      <c r="AQ2208" s="18" t="inlineStr">
        <is>
          <t>{"biomes":["#cobblemon:is_ocean"],"isRaining":false,"maxSkyLight":15,"minSkyLight":8,"neededNearbyBlocks":["#cobblemon:flowers"],"timeRange":"day"}</t>
        </is>
      </c>
      <c r="AR2208" s="18" t="inlineStr">
        <is>
          <t>{"biomes":["#cobblemon:is_frozen_ocean","#cobblemon:is_warm_ocean"],"structures":["#minecraft:village"]}</t>
        </is>
      </c>
      <c r="AS2208" s="18" t="inlineStr"/>
      <c r="AT2208" s="19" t="inlineStr"/>
    </row>
    <row r="2209" ht="32" customHeight="1">
      <c r="A2209" s="18" t="inlineStr">
        <is>
          <t>0666_vivillon.json::vivillon-modern-15::015</t>
        </is>
      </c>
      <c r="B2209" s="19" t="inlineStr">
        <is>
          <t>사용</t>
        </is>
      </c>
      <c r="C2209" s="18">
        <f>IF(OR(B2209&lt;&gt;AK2209,M2209&lt;&gt;L2209,O2209&lt;&gt;"",Q2209&lt;&gt;"",V2209&lt;&gt;1,Y2209&lt;&gt;"",AT2209&lt;&gt;""),"수정","원본")</f>
        <v/>
      </c>
      <c r="D2209" s="18" t="n">
        <v>666</v>
      </c>
      <c r="E2209" s="18" t="inlineStr">
        <is>
          <t>비비용</t>
        </is>
      </c>
      <c r="F2209" s="18" t="inlineStr">
        <is>
          <t>vivillon</t>
        </is>
      </c>
      <c r="G2209" s="18" t="inlineStr">
        <is>
          <t>vivillon vivillon_wings=modern</t>
        </is>
      </c>
      <c r="H2209" s="18" t="inlineStr">
        <is>
          <t>vivillon_wings=modern</t>
        </is>
      </c>
      <c r="I2209" s="18" t="n">
        <v>6</v>
      </c>
      <c r="J2209" s="18" t="n"/>
      <c r="K2209" s="18" t="n">
        <v>6</v>
      </c>
      <c r="L2209" s="18" t="inlineStr">
        <is>
          <t>cobbleventure:generation_6</t>
        </is>
      </c>
      <c r="M2209" s="19" t="inlineStr">
        <is>
          <t>cobbleventure:generation_6</t>
        </is>
      </c>
      <c r="N2209" s="18" t="inlineStr">
        <is>
          <t>region_01; region_02</t>
        </is>
      </c>
      <c r="O2209" s="19" t="inlineStr"/>
      <c r="P2209" s="18" t="inlineStr">
        <is>
          <t>#cobblemon:is_overworld</t>
        </is>
      </c>
      <c r="Q2209" s="19" t="inlineStr"/>
      <c r="R2209" s="18">
        <f>IF(Q2209="",P2209,Q2209)</f>
        <v/>
      </c>
      <c r="S2209" s="18" t="inlineStr"/>
      <c r="T2209" s="18" t="inlineStr">
        <is>
          <t>common</t>
        </is>
      </c>
      <c r="U2209" s="20" t="n">
        <v>2</v>
      </c>
      <c r="V2209" s="21" t="n">
        <v>1</v>
      </c>
      <c r="W2209" s="20">
        <f>IF(OR(U2209="",V2209=""),U2209,U2209*V2209)</f>
        <v/>
      </c>
      <c r="X2209" s="18" t="inlineStr">
        <is>
          <t>12-41</t>
        </is>
      </c>
      <c r="Y2209" s="19" t="inlineStr"/>
      <c r="Z2209" s="18">
        <f>IF(Y2209="",X2209,Y2209)</f>
        <v/>
      </c>
      <c r="AA2209" s="18" t="inlineStr">
        <is>
          <t>grounded</t>
        </is>
      </c>
      <c r="AB2209" s="18" t="inlineStr">
        <is>
          <t>day</t>
        </is>
      </c>
      <c r="AC2209" s="18" t="inlineStr">
        <is>
          <t>비=False</t>
        </is>
      </c>
      <c r="AD2209" s="18" t="inlineStr"/>
      <c r="AE2209" s="18" t="inlineStr">
        <is>
          <t>sky 8-15</t>
        </is>
      </c>
      <c r="AF2209" s="18" t="inlineStr"/>
      <c r="AG2209" s="18" t="inlineStr">
        <is>
          <t>#minecraft:village</t>
        </is>
      </c>
      <c r="AH2209" s="18" t="inlineStr"/>
      <c r="AI2209" s="18" t="inlineStr"/>
      <c r="AJ2209" s="18" t="inlineStr">
        <is>
          <t>Cobblemon 동일</t>
        </is>
      </c>
      <c r="AK2209" s="18" t="inlineStr">
        <is>
          <t>사용</t>
        </is>
      </c>
      <c r="AL2209" s="18" t="inlineStr">
        <is>
          <t>COBBLEVERSE 1.7.42 / DP v31</t>
        </is>
      </c>
      <c r="AM2209" s="18" t="inlineStr">
        <is>
          <t>data/cobblemon/spawn_pool_world/0666_vivillon.json</t>
        </is>
      </c>
      <c r="AN2209" s="18" t="inlineStr">
        <is>
          <t>vivillon-modern-15</t>
        </is>
      </c>
      <c r="AO2209" s="18" t="inlineStr">
        <is>
          <t>pokemon</t>
        </is>
      </c>
      <c r="AP2209" s="18" t="inlineStr">
        <is>
          <t>natural</t>
        </is>
      </c>
      <c r="AQ2209" s="18" t="inlineStr">
        <is>
          <t>{"biomes":["#cobblemon:is_overworld"],"isRaining":false,"maxSkyLight":15,"minSkyLight":8,"structures":["#minecraft:village"],"timeRange":"day"}</t>
        </is>
      </c>
      <c r="AR2209" s="18" t="inlineStr"/>
      <c r="AS2209" s="18" t="inlineStr"/>
      <c r="AT2209" s="19" t="inlineStr"/>
    </row>
    <row r="2210" ht="32" customHeight="1">
      <c r="A2210" s="18" t="inlineStr">
        <is>
          <t>0666_vivillon.json::vivillon-modern-15::016</t>
        </is>
      </c>
      <c r="B2210" s="19" t="inlineStr">
        <is>
          <t>사용</t>
        </is>
      </c>
      <c r="C2210" s="18">
        <f>IF(OR(B2210&lt;&gt;AK2210,M2210&lt;&gt;L2210,O2210&lt;&gt;"",Q2210&lt;&gt;"",V2210&lt;&gt;1,Y2210&lt;&gt;"",AT2210&lt;&gt;""),"수정","원본")</f>
        <v/>
      </c>
      <c r="D2210" s="18" t="n">
        <v>666</v>
      </c>
      <c r="E2210" s="18" t="inlineStr">
        <is>
          <t>비비용</t>
        </is>
      </c>
      <c r="F2210" s="18" t="inlineStr">
        <is>
          <t>vivillon</t>
        </is>
      </c>
      <c r="G2210" s="18" t="inlineStr">
        <is>
          <t>vivillon vivillon_wings=modern</t>
        </is>
      </c>
      <c r="H2210" s="18" t="inlineStr">
        <is>
          <t>vivillon_wings=modern</t>
        </is>
      </c>
      <c r="I2210" s="18" t="n">
        <v>6</v>
      </c>
      <c r="J2210" s="18" t="n"/>
      <c r="K2210" s="18" t="n">
        <v>6</v>
      </c>
      <c r="L2210" s="18" t="inlineStr">
        <is>
          <t>cobbleventure:generation_6</t>
        </is>
      </c>
      <c r="M2210" s="19" t="inlineStr">
        <is>
          <t>cobbleventure:generation_6</t>
        </is>
      </c>
      <c r="N2210" s="18" t="inlineStr">
        <is>
          <t>region_01; region_02</t>
        </is>
      </c>
      <c r="O2210" s="19" t="inlineStr"/>
      <c r="P2210" s="18" t="inlineStr">
        <is>
          <t>#cobblemon:is_overworld</t>
        </is>
      </c>
      <c r="Q2210" s="19" t="inlineStr"/>
      <c r="R2210" s="18">
        <f>IF(Q2210="",P2210,Q2210)</f>
        <v/>
      </c>
      <c r="S2210" s="18" t="inlineStr"/>
      <c r="T2210" s="18" t="inlineStr">
        <is>
          <t>common</t>
        </is>
      </c>
      <c r="U2210" s="20" t="n">
        <v>2</v>
      </c>
      <c r="V2210" s="21" t="n">
        <v>1</v>
      </c>
      <c r="W2210" s="20">
        <f>IF(OR(U2210="",V2210=""),U2210,U2210*V2210)</f>
        <v/>
      </c>
      <c r="X2210" s="18" t="inlineStr">
        <is>
          <t>12-41</t>
        </is>
      </c>
      <c r="Y2210" s="19" t="inlineStr"/>
      <c r="Z2210" s="18">
        <f>IF(Y2210="",X2210,Y2210)</f>
        <v/>
      </c>
      <c r="AA2210" s="18" t="inlineStr">
        <is>
          <t>grounded</t>
        </is>
      </c>
      <c r="AB2210" s="18" t="inlineStr">
        <is>
          <t>day</t>
        </is>
      </c>
      <c r="AC2210" s="18" t="inlineStr">
        <is>
          <t>비=False</t>
        </is>
      </c>
      <c r="AD2210" s="18" t="inlineStr"/>
      <c r="AE2210" s="18" t="inlineStr">
        <is>
          <t>sky 8-15</t>
        </is>
      </c>
      <c r="AF2210" s="18" t="inlineStr"/>
      <c r="AG2210" s="18" t="inlineStr"/>
      <c r="AH2210" s="18" t="inlineStr"/>
      <c r="AI2210" s="18" t="inlineStr"/>
      <c r="AJ2210" s="18" t="inlineStr">
        <is>
          <t>Cobblemon 동일</t>
        </is>
      </c>
      <c r="AK2210" s="18" t="inlineStr">
        <is>
          <t>사용</t>
        </is>
      </c>
      <c r="AL2210" s="18" t="inlineStr">
        <is>
          <t>COBBLEVERSE 1.7.42 / DP v31</t>
        </is>
      </c>
      <c r="AM2210" s="18" t="inlineStr">
        <is>
          <t>data/cobblemon/spawn_pool_world/0666_vivillon.json</t>
        </is>
      </c>
      <c r="AN2210" s="18" t="inlineStr">
        <is>
          <t>vivillon-modern-15</t>
        </is>
      </c>
      <c r="AO2210" s="18" t="inlineStr">
        <is>
          <t>pokemon</t>
        </is>
      </c>
      <c r="AP2210" s="18" t="inlineStr">
        <is>
          <t>natural; urban</t>
        </is>
      </c>
      <c r="AQ2210" s="18" t="inlineStr">
        <is>
          <t>{"biomes":["#cobblemon:is_overworld"],"isRaining":false,"maxSkyLight":15,"minSkyLight":8,"timeRange":"day"}</t>
        </is>
      </c>
      <c r="AR2210" s="18" t="inlineStr"/>
      <c r="AS2210" s="18" t="inlineStr"/>
      <c r="AT2210" s="19" t="inlineStr"/>
    </row>
    <row r="2211" ht="32" customHeight="1">
      <c r="A2211" s="18" t="inlineStr">
        <is>
          <t>0666_vivillon.json::vivillon-continental-16::017</t>
        </is>
      </c>
      <c r="B2211" s="19" t="inlineStr">
        <is>
          <t>사용</t>
        </is>
      </c>
      <c r="C2211" s="18">
        <f>IF(OR(B2211&lt;&gt;AK2211,M2211&lt;&gt;L2211,O2211&lt;&gt;"",Q2211&lt;&gt;"",V2211&lt;&gt;1,Y2211&lt;&gt;"",AT2211&lt;&gt;""),"수정","원본")</f>
        <v/>
      </c>
      <c r="D2211" s="18" t="n">
        <v>666</v>
      </c>
      <c r="E2211" s="18" t="inlineStr">
        <is>
          <t>비비용</t>
        </is>
      </c>
      <c r="F2211" s="18" t="inlineStr">
        <is>
          <t>vivillon</t>
        </is>
      </c>
      <c r="G2211" s="18" t="inlineStr">
        <is>
          <t>vivillon vivillon_wings=continental</t>
        </is>
      </c>
      <c r="H2211" s="18" t="inlineStr">
        <is>
          <t>vivillon_wings=continental</t>
        </is>
      </c>
      <c r="I2211" s="18" t="n">
        <v>6</v>
      </c>
      <c r="J2211" s="18" t="n"/>
      <c r="K2211" s="18" t="n">
        <v>6</v>
      </c>
      <c r="L2211" s="18" t="inlineStr">
        <is>
          <t>cobbleventure:generation_6</t>
        </is>
      </c>
      <c r="M2211" s="19" t="inlineStr">
        <is>
          <t>cobbleventure:generation_6</t>
        </is>
      </c>
      <c r="N2211" s="18" t="inlineStr">
        <is>
          <t>region_01</t>
        </is>
      </c>
      <c r="O2211" s="19" t="inlineStr"/>
      <c r="P2211" s="18" t="inlineStr">
        <is>
          <t>#cobblemon:is_plains</t>
        </is>
      </c>
      <c r="Q2211" s="19" t="inlineStr"/>
      <c r="R2211" s="18">
        <f>IF(Q2211="",P2211,Q2211)</f>
        <v/>
      </c>
      <c r="S2211" s="18" t="inlineStr">
        <is>
          <t>#cobblemon:is_floral; #cobblemon:is_mushroom; #cobblemon:is_savanna; minecraft:sunflower_plains</t>
        </is>
      </c>
      <c r="T2211" s="18" t="inlineStr">
        <is>
          <t>common</t>
        </is>
      </c>
      <c r="U2211" s="20" t="n">
        <v>2</v>
      </c>
      <c r="V2211" s="21" t="n">
        <v>1</v>
      </c>
      <c r="W2211" s="20">
        <f>IF(OR(U2211="",V2211=""),U2211,U2211*V2211)</f>
        <v/>
      </c>
      <c r="X2211" s="18" t="inlineStr">
        <is>
          <t>12-41</t>
        </is>
      </c>
      <c r="Y2211" s="19" t="inlineStr"/>
      <c r="Z2211" s="18">
        <f>IF(Y2211="",X2211,Y2211)</f>
        <v/>
      </c>
      <c r="AA2211" s="18" t="inlineStr">
        <is>
          <t>grounded</t>
        </is>
      </c>
      <c r="AB2211" s="18" t="inlineStr">
        <is>
          <t>day</t>
        </is>
      </c>
      <c r="AC2211" s="18" t="inlineStr">
        <is>
          <t>비=False</t>
        </is>
      </c>
      <c r="AD2211" s="18" t="inlineStr"/>
      <c r="AE2211" s="18" t="inlineStr">
        <is>
          <t>sky 8-15</t>
        </is>
      </c>
      <c r="AF2211" s="18" t="inlineStr"/>
      <c r="AG2211" s="18" t="inlineStr"/>
      <c r="AH2211" s="18" t="inlineStr">
        <is>
          <t>주변=#cobblemon:flowers</t>
        </is>
      </c>
      <c r="AI2211" s="18" t="inlineStr"/>
      <c r="AJ2211" s="18" t="inlineStr">
        <is>
          <t>Cobblemon 동일</t>
        </is>
      </c>
      <c r="AK2211" s="18" t="inlineStr">
        <is>
          <t>사용</t>
        </is>
      </c>
      <c r="AL2211" s="18" t="inlineStr">
        <is>
          <t>COBBLEVERSE 1.7.42 / DP v31</t>
        </is>
      </c>
      <c r="AM2211" s="18" t="inlineStr">
        <is>
          <t>data/cobblemon/spawn_pool_world/0666_vivillon.json</t>
        </is>
      </c>
      <c r="AN2211" s="18" t="inlineStr">
        <is>
          <t>vivillon-continental-16</t>
        </is>
      </c>
      <c r="AO2211" s="18" t="inlineStr">
        <is>
          <t>pokemon</t>
        </is>
      </c>
      <c r="AP2211" s="18" t="inlineStr">
        <is>
          <t>natural</t>
        </is>
      </c>
      <c r="AQ2211" s="18" t="inlineStr">
        <is>
          <t>{"biomes":["#cobblemon:is_plains"],"isRaining":false,"maxSkyLight":15,"minSkyLight":8,"neededNearbyBlocks":["#cobblemon:flowers"],"timeRange":"day"}</t>
        </is>
      </c>
      <c r="AR2211" s="18" t="inlineStr">
        <is>
          <t>{"biomes":["#cobblemon:is_floral","#cobblemon:is_mushroom","#cobblemon:is_savanna","minecraft:sunflower_plains"],"structures":["#minecraft:village"]}</t>
        </is>
      </c>
      <c r="AS2211" s="18" t="inlineStr"/>
      <c r="AT2211" s="19" t="inlineStr"/>
    </row>
    <row r="2212" ht="32" customHeight="1">
      <c r="A2212" s="18" t="inlineStr">
        <is>
          <t>0666_vivillon.json::vivillon-savanna-17::018</t>
        </is>
      </c>
      <c r="B2212" s="19" t="inlineStr">
        <is>
          <t>사용</t>
        </is>
      </c>
      <c r="C2212" s="18">
        <f>IF(OR(B2212&lt;&gt;AK2212,M2212&lt;&gt;L2212,O2212&lt;&gt;"",Q2212&lt;&gt;"",V2212&lt;&gt;1,Y2212&lt;&gt;"",AT2212&lt;&gt;""),"수정","원본")</f>
        <v/>
      </c>
      <c r="D2212" s="18" t="n">
        <v>666</v>
      </c>
      <c r="E2212" s="18" t="inlineStr">
        <is>
          <t>비비용</t>
        </is>
      </c>
      <c r="F2212" s="18" t="inlineStr">
        <is>
          <t>vivillon</t>
        </is>
      </c>
      <c r="G2212" s="18" t="inlineStr">
        <is>
          <t>vivillon vivillon_wings=savanna</t>
        </is>
      </c>
      <c r="H2212" s="18" t="inlineStr">
        <is>
          <t>vivillon_wings=savanna</t>
        </is>
      </c>
      <c r="I2212" s="18" t="n">
        <v>6</v>
      </c>
      <c r="J2212" s="18" t="n"/>
      <c r="K2212" s="18" t="n">
        <v>6</v>
      </c>
      <c r="L2212" s="18" t="inlineStr">
        <is>
          <t>cobbleventure:generation_6</t>
        </is>
      </c>
      <c r="M2212" s="19" t="inlineStr">
        <is>
          <t>cobbleventure:generation_6</t>
        </is>
      </c>
      <c r="N2212" s="18" t="inlineStr"/>
      <c r="O2212" s="19" t="inlineStr"/>
      <c r="P2212" s="18" t="inlineStr">
        <is>
          <t>#cobblemon:is_savanna</t>
        </is>
      </c>
      <c r="Q2212" s="19" t="inlineStr"/>
      <c r="R2212" s="18">
        <f>IF(Q2212="",P2212,Q2212)</f>
        <v/>
      </c>
      <c r="S2212" s="18" t="inlineStr">
        <is>
          <t>#cobblemon:is_badlands; #cobblemon:is_desert; #cobblemon:is_floral; #cobblemon:is_mountain</t>
        </is>
      </c>
      <c r="T2212" s="18" t="inlineStr">
        <is>
          <t>common</t>
        </is>
      </c>
      <c r="U2212" s="20" t="n">
        <v>2</v>
      </c>
      <c r="V2212" s="21" t="n">
        <v>1</v>
      </c>
      <c r="W2212" s="20">
        <f>IF(OR(U2212="",V2212=""),U2212,U2212*V2212)</f>
        <v/>
      </c>
      <c r="X2212" s="18" t="inlineStr">
        <is>
          <t>12-41</t>
        </is>
      </c>
      <c r="Y2212" s="19" t="inlineStr"/>
      <c r="Z2212" s="18">
        <f>IF(Y2212="",X2212,Y2212)</f>
        <v/>
      </c>
      <c r="AA2212" s="18" t="inlineStr">
        <is>
          <t>grounded</t>
        </is>
      </c>
      <c r="AB2212" s="18" t="inlineStr">
        <is>
          <t>day</t>
        </is>
      </c>
      <c r="AC2212" s="18" t="inlineStr"/>
      <c r="AD2212" s="18" t="inlineStr"/>
      <c r="AE2212" s="18" t="inlineStr">
        <is>
          <t>sky 8-15</t>
        </is>
      </c>
      <c r="AF2212" s="18" t="inlineStr"/>
      <c r="AG2212" s="18" t="inlineStr"/>
      <c r="AH2212" s="18" t="inlineStr">
        <is>
          <t>주변=#cobblemon:flowers</t>
        </is>
      </c>
      <c r="AI2212" s="18" t="inlineStr"/>
      <c r="AJ2212" s="18" t="inlineStr">
        <is>
          <t>Cobblemon 동일</t>
        </is>
      </c>
      <c r="AK2212" s="18" t="inlineStr">
        <is>
          <t>사용</t>
        </is>
      </c>
      <c r="AL2212" s="18" t="inlineStr">
        <is>
          <t>COBBLEVERSE 1.7.42 / DP v31</t>
        </is>
      </c>
      <c r="AM2212" s="18" t="inlineStr">
        <is>
          <t>data/cobblemon/spawn_pool_world/0666_vivillon.json</t>
        </is>
      </c>
      <c r="AN2212" s="18" t="inlineStr">
        <is>
          <t>vivillon-savanna-17</t>
        </is>
      </c>
      <c r="AO2212" s="18" t="inlineStr">
        <is>
          <t>pokemon</t>
        </is>
      </c>
      <c r="AP2212" s="18" t="inlineStr">
        <is>
          <t>natural</t>
        </is>
      </c>
      <c r="AQ2212" s="18" t="inlineStr">
        <is>
          <t>{"biomes":["#cobblemon:is_savanna"],"maxSkyLight":15,"minSkyLight":8,"neededNearbyBlocks":["#cobblemon:flowers"],"timeRange":"day"}</t>
        </is>
      </c>
      <c r="AR2212" s="18" t="inlineStr">
        <is>
          <t>{"biomes":["#cobblemon:is_badlands","#cobblemon:is_desert","#cobblemon:is_floral","#cobblemon:is_mountain"],"structures":["#minecraft:village"]}</t>
        </is>
      </c>
      <c r="AS2212" s="18" t="inlineStr"/>
      <c r="AT2212" s="19" t="inlineStr"/>
    </row>
    <row r="2213" ht="32" customHeight="1">
      <c r="A2213" s="18" t="inlineStr">
        <is>
          <t>0666_vivillon.json::vivillon-sun-18::019</t>
        </is>
      </c>
      <c r="B2213" s="19" t="inlineStr">
        <is>
          <t>사용</t>
        </is>
      </c>
      <c r="C2213" s="18">
        <f>IF(OR(B2213&lt;&gt;AK2213,M2213&lt;&gt;L2213,O2213&lt;&gt;"",Q2213&lt;&gt;"",V2213&lt;&gt;1,Y2213&lt;&gt;"",AT2213&lt;&gt;""),"수정","원본")</f>
        <v/>
      </c>
      <c r="D2213" s="18" t="n">
        <v>666</v>
      </c>
      <c r="E2213" s="18" t="inlineStr">
        <is>
          <t>비비용</t>
        </is>
      </c>
      <c r="F2213" s="18" t="inlineStr">
        <is>
          <t>vivillon</t>
        </is>
      </c>
      <c r="G2213" s="18" t="inlineStr">
        <is>
          <t>vivillon vivillon_wings=sun</t>
        </is>
      </c>
      <c r="H2213" s="18" t="inlineStr">
        <is>
          <t>vivillon_wings=sun</t>
        </is>
      </c>
      <c r="I2213" s="18" t="n">
        <v>6</v>
      </c>
      <c r="J2213" s="18" t="n"/>
      <c r="K2213" s="18" t="n">
        <v>6</v>
      </c>
      <c r="L2213" s="18" t="inlineStr">
        <is>
          <t>cobbleventure:generation_6</t>
        </is>
      </c>
      <c r="M2213" s="19" t="inlineStr">
        <is>
          <t>cobbleventure:generation_6</t>
        </is>
      </c>
      <c r="N2213" s="18" t="inlineStr"/>
      <c r="O2213" s="19" t="inlineStr"/>
      <c r="P2213" s="18" t="inlineStr">
        <is>
          <t>minecraft:sunflower_plains; #cobblemon:is_sky; #cobblemon:is_tropical_island</t>
        </is>
      </c>
      <c r="Q2213" s="19" t="inlineStr"/>
      <c r="R2213" s="18">
        <f>IF(Q2213="",P2213,Q2213)</f>
        <v/>
      </c>
      <c r="S2213" s="18" t="inlineStr"/>
      <c r="T2213" s="18" t="inlineStr">
        <is>
          <t>common</t>
        </is>
      </c>
      <c r="U2213" s="20" t="n">
        <v>2</v>
      </c>
      <c r="V2213" s="21" t="n">
        <v>1</v>
      </c>
      <c r="W2213" s="20">
        <f>IF(OR(U2213="",V2213=""),U2213,U2213*V2213)</f>
        <v/>
      </c>
      <c r="X2213" s="18" t="inlineStr">
        <is>
          <t>12-41</t>
        </is>
      </c>
      <c r="Y2213" s="19" t="inlineStr"/>
      <c r="Z2213" s="18">
        <f>IF(Y2213="",X2213,Y2213)</f>
        <v/>
      </c>
      <c r="AA2213" s="18" t="inlineStr">
        <is>
          <t>grounded</t>
        </is>
      </c>
      <c r="AB2213" s="18" t="inlineStr">
        <is>
          <t>day</t>
        </is>
      </c>
      <c r="AC2213" s="18" t="inlineStr">
        <is>
          <t>비=False</t>
        </is>
      </c>
      <c r="AD2213" s="18" t="inlineStr"/>
      <c r="AE2213" s="18" t="inlineStr">
        <is>
          <t>sky 8-15</t>
        </is>
      </c>
      <c r="AF2213" s="18" t="inlineStr"/>
      <c r="AG2213" s="18" t="inlineStr"/>
      <c r="AH2213" s="18" t="inlineStr">
        <is>
          <t>주변=#cobblemon:flowers</t>
        </is>
      </c>
      <c r="AI2213" s="18" t="inlineStr"/>
      <c r="AJ2213" s="18" t="inlineStr">
        <is>
          <t>Cobblemon 동일</t>
        </is>
      </c>
      <c r="AK2213" s="18" t="inlineStr">
        <is>
          <t>사용</t>
        </is>
      </c>
      <c r="AL2213" s="18" t="inlineStr">
        <is>
          <t>COBBLEVERSE 1.7.42 / DP v31</t>
        </is>
      </c>
      <c r="AM2213" s="18" t="inlineStr">
        <is>
          <t>data/cobblemon/spawn_pool_world/0666_vivillon.json</t>
        </is>
      </c>
      <c r="AN2213" s="18" t="inlineStr">
        <is>
          <t>vivillon-sun-18</t>
        </is>
      </c>
      <c r="AO2213" s="18" t="inlineStr">
        <is>
          <t>pokemon</t>
        </is>
      </c>
      <c r="AP2213" s="18" t="inlineStr">
        <is>
          <t>natural</t>
        </is>
      </c>
      <c r="AQ2213" s="18" t="inlineStr">
        <is>
          <t>{"biomes":["minecraft:sunflower_plains","#cobblemon:is_sky","#cobblemon:is_tropical_island"],"isRaining":false,"maxSkyLight":15,"minSkyLight":8,"neededNearbyBlocks":["#cobblemon:flowers"],"timeRange":"day"}</t>
        </is>
      </c>
      <c r="AR2213" s="18" t="inlineStr">
        <is>
          <t>{"structures":["#minecraft:village"]}</t>
        </is>
      </c>
      <c r="AS2213" s="18" t="inlineStr"/>
      <c r="AT2213" s="19" t="inlineStr"/>
    </row>
    <row r="2214" ht="32" customHeight="1">
      <c r="A2214" s="18" t="inlineStr">
        <is>
          <t>0666_vivillon.json::vivillon-elegant-19::020</t>
        </is>
      </c>
      <c r="B2214" s="19" t="inlineStr">
        <is>
          <t>사용</t>
        </is>
      </c>
      <c r="C2214" s="18">
        <f>IF(OR(B2214&lt;&gt;AK2214,M2214&lt;&gt;L2214,O2214&lt;&gt;"",Q2214&lt;&gt;"",V2214&lt;&gt;1,Y2214&lt;&gt;"",AT2214&lt;&gt;""),"수정","원본")</f>
        <v/>
      </c>
      <c r="D2214" s="18" t="n">
        <v>666</v>
      </c>
      <c r="E2214" s="18" t="inlineStr">
        <is>
          <t>비비용</t>
        </is>
      </c>
      <c r="F2214" s="18" t="inlineStr">
        <is>
          <t>vivillon</t>
        </is>
      </c>
      <c r="G2214" s="18" t="inlineStr">
        <is>
          <t>vivillon vivillon_wings=elegant</t>
        </is>
      </c>
      <c r="H2214" s="18" t="inlineStr">
        <is>
          <t>vivillon_wings=elegant</t>
        </is>
      </c>
      <c r="I2214" s="18" t="n">
        <v>6</v>
      </c>
      <c r="J2214" s="18" t="n"/>
      <c r="K2214" s="18" t="n">
        <v>6</v>
      </c>
      <c r="L2214" s="18" t="inlineStr">
        <is>
          <t>cobbleventure:generation_6</t>
        </is>
      </c>
      <c r="M2214" s="19" t="inlineStr">
        <is>
          <t>cobbleventure:generation_6</t>
        </is>
      </c>
      <c r="N2214" s="18" t="inlineStr"/>
      <c r="O2214" s="19" t="inlineStr"/>
      <c r="P2214" s="18" t="inlineStr">
        <is>
          <t>#cobblemon:is_magical; #cobblemon:is_spooky</t>
        </is>
      </c>
      <c r="Q2214" s="19" t="inlineStr"/>
      <c r="R2214" s="18">
        <f>IF(Q2214="",P2214,Q2214)</f>
        <v/>
      </c>
      <c r="S2214" s="18" t="inlineStr">
        <is>
          <t>#cobblemon:is_mountain</t>
        </is>
      </c>
      <c r="T2214" s="18" t="inlineStr">
        <is>
          <t>common</t>
        </is>
      </c>
      <c r="U2214" s="20" t="n">
        <v>2</v>
      </c>
      <c r="V2214" s="21" t="n">
        <v>1</v>
      </c>
      <c r="W2214" s="20">
        <f>IF(OR(U2214="",V2214=""),U2214,U2214*V2214)</f>
        <v/>
      </c>
      <c r="X2214" s="18" t="inlineStr">
        <is>
          <t>12-41</t>
        </is>
      </c>
      <c r="Y2214" s="19" t="inlineStr"/>
      <c r="Z2214" s="18">
        <f>IF(Y2214="",X2214,Y2214)</f>
        <v/>
      </c>
      <c r="AA2214" s="18" t="inlineStr">
        <is>
          <t>grounded</t>
        </is>
      </c>
      <c r="AB2214" s="18" t="inlineStr">
        <is>
          <t>day</t>
        </is>
      </c>
      <c r="AC2214" s="18" t="inlineStr">
        <is>
          <t>비=False</t>
        </is>
      </c>
      <c r="AD2214" s="18" t="inlineStr"/>
      <c r="AE2214" s="18" t="inlineStr">
        <is>
          <t>sky 8-15</t>
        </is>
      </c>
      <c r="AF2214" s="18" t="inlineStr"/>
      <c r="AG2214" s="18" t="inlineStr"/>
      <c r="AH2214" s="18" t="inlineStr">
        <is>
          <t>주변=#cobblemon:flowers</t>
        </is>
      </c>
      <c r="AI2214" s="18" t="inlineStr"/>
      <c r="AJ2214" s="18" t="inlineStr">
        <is>
          <t>Cobblemon 동일</t>
        </is>
      </c>
      <c r="AK2214" s="18" t="inlineStr">
        <is>
          <t>사용</t>
        </is>
      </c>
      <c r="AL2214" s="18" t="inlineStr">
        <is>
          <t>COBBLEVERSE 1.7.42 / DP v31</t>
        </is>
      </c>
      <c r="AM2214" s="18" t="inlineStr">
        <is>
          <t>data/cobblemon/spawn_pool_world/0666_vivillon.json</t>
        </is>
      </c>
      <c r="AN2214" s="18" t="inlineStr">
        <is>
          <t>vivillon-elegant-19</t>
        </is>
      </c>
      <c r="AO2214" s="18" t="inlineStr">
        <is>
          <t>pokemon</t>
        </is>
      </c>
      <c r="AP2214" s="18" t="inlineStr">
        <is>
          <t>natural</t>
        </is>
      </c>
      <c r="AQ2214" s="18" t="inlineStr">
        <is>
          <t>{"biomes":["#cobblemon:is_magical","#cobblemon:is_spooky"],"isRaining":false,"maxSkyLight":15,"minSkyLight":8,"neededNearbyBlocks":["#cobblemon:flowers"],"timeRange":"day"}</t>
        </is>
      </c>
      <c r="AR2214" s="18" t="inlineStr">
        <is>
          <t>{"biomes":["#cobblemon:is_mountain"],"structures":["#minecraft:village"]}</t>
        </is>
      </c>
      <c r="AS2214" s="18" t="inlineStr"/>
      <c r="AT2214" s="19" t="inlineStr"/>
    </row>
    <row r="2215" ht="32" customHeight="1">
      <c r="A2215" s="18" t="inlineStr">
        <is>
          <t>0666_vivillon.json::vivillon-icy-snow-20::021</t>
        </is>
      </c>
      <c r="B2215" s="19" t="inlineStr">
        <is>
          <t>사용</t>
        </is>
      </c>
      <c r="C2215" s="18">
        <f>IF(OR(B2215&lt;&gt;AK2215,M2215&lt;&gt;L2215,O2215&lt;&gt;"",Q2215&lt;&gt;"",V2215&lt;&gt;1,Y2215&lt;&gt;"",AT2215&lt;&gt;""),"수정","원본")</f>
        <v/>
      </c>
      <c r="D2215" s="18" t="n">
        <v>666</v>
      </c>
      <c r="E2215" s="18" t="inlineStr">
        <is>
          <t>비비용</t>
        </is>
      </c>
      <c r="F2215" s="18" t="inlineStr">
        <is>
          <t>vivillon</t>
        </is>
      </c>
      <c r="G2215" s="18" t="inlineStr">
        <is>
          <t>vivillon vivillon_wings=icy-snow</t>
        </is>
      </c>
      <c r="H2215" s="18" t="inlineStr">
        <is>
          <t>vivillon_wings=icy-snow</t>
        </is>
      </c>
      <c r="I2215" s="18" t="n">
        <v>6</v>
      </c>
      <c r="J2215" s="18" t="n"/>
      <c r="K2215" s="18" t="n">
        <v>6</v>
      </c>
      <c r="L2215" s="18" t="inlineStr">
        <is>
          <t>cobbleventure:generation_6</t>
        </is>
      </c>
      <c r="M2215" s="19" t="inlineStr">
        <is>
          <t>cobbleventure:generation_6</t>
        </is>
      </c>
      <c r="N2215" s="18" t="inlineStr"/>
      <c r="O2215" s="19" t="inlineStr"/>
      <c r="P2215" s="18" t="inlineStr">
        <is>
          <t>#cobblemon:is_taiga</t>
        </is>
      </c>
      <c r="Q2215" s="19" t="inlineStr"/>
      <c r="R2215" s="18">
        <f>IF(Q2215="",P2215,Q2215)</f>
        <v/>
      </c>
      <c r="S2215" s="18" t="inlineStr">
        <is>
          <t>#cobblemon:is_mountain</t>
        </is>
      </c>
      <c r="T2215" s="18" t="inlineStr">
        <is>
          <t>common</t>
        </is>
      </c>
      <c r="U2215" s="20" t="n">
        <v>2</v>
      </c>
      <c r="V2215" s="21" t="n">
        <v>1</v>
      </c>
      <c r="W2215" s="20">
        <f>IF(OR(U2215="",V2215=""),U2215,U2215*V2215)</f>
        <v/>
      </c>
      <c r="X2215" s="18" t="inlineStr">
        <is>
          <t>12-41</t>
        </is>
      </c>
      <c r="Y2215" s="19" t="inlineStr"/>
      <c r="Z2215" s="18">
        <f>IF(Y2215="",X2215,Y2215)</f>
        <v/>
      </c>
      <c r="AA2215" s="18" t="inlineStr">
        <is>
          <t>grounded</t>
        </is>
      </c>
      <c r="AB2215" s="18" t="inlineStr">
        <is>
          <t>day</t>
        </is>
      </c>
      <c r="AC2215" s="18" t="inlineStr">
        <is>
          <t>비=False</t>
        </is>
      </c>
      <c r="AD2215" s="18" t="inlineStr"/>
      <c r="AE2215" s="18" t="inlineStr">
        <is>
          <t>sky 8-15</t>
        </is>
      </c>
      <c r="AF2215" s="18" t="inlineStr"/>
      <c r="AG2215" s="18" t="inlineStr"/>
      <c r="AH2215" s="18" t="inlineStr">
        <is>
          <t>주변=#cobblemon:flowers</t>
        </is>
      </c>
      <c r="AI2215" s="18" t="inlineStr"/>
      <c r="AJ2215" s="18" t="inlineStr">
        <is>
          <t>Cobblemon 동일</t>
        </is>
      </c>
      <c r="AK2215" s="18" t="inlineStr">
        <is>
          <t>사용</t>
        </is>
      </c>
      <c r="AL2215" s="18" t="inlineStr">
        <is>
          <t>COBBLEVERSE 1.7.42 / DP v31</t>
        </is>
      </c>
      <c r="AM2215" s="18" t="inlineStr">
        <is>
          <t>data/cobblemon/spawn_pool_world/0666_vivillon.json</t>
        </is>
      </c>
      <c r="AN2215" s="18" t="inlineStr">
        <is>
          <t>vivillon-icy-snow-20</t>
        </is>
      </c>
      <c r="AO2215" s="18" t="inlineStr">
        <is>
          <t>pokemon</t>
        </is>
      </c>
      <c r="AP2215" s="18" t="inlineStr">
        <is>
          <t>natural</t>
        </is>
      </c>
      <c r="AQ2215" s="18" t="inlineStr">
        <is>
          <t>{"biomes":["#cobblemon:is_taiga"],"isRaining":false,"maxSkyLight":15,"minSkyLight":8,"neededNearbyBlocks":["#cobblemon:flowers"],"timeRange":"day"}</t>
        </is>
      </c>
      <c r="AR2215" s="18" t="inlineStr">
        <is>
          <t>{"biomes":["#cobblemon:is_mountain"],"structures":["#minecraft:village"]}</t>
        </is>
      </c>
      <c r="AS2215" s="18" t="inlineStr"/>
      <c r="AT2215" s="19" t="inlineStr"/>
    </row>
    <row r="2216" ht="32" customHeight="1">
      <c r="A2216" s="18" t="inlineStr">
        <is>
          <t>0666_vivillon.json::vivillon-fancy-21::022</t>
        </is>
      </c>
      <c r="B2216" s="19" t="inlineStr">
        <is>
          <t>사용</t>
        </is>
      </c>
      <c r="C2216" s="18">
        <f>IF(OR(B2216&lt;&gt;AK2216,M2216&lt;&gt;L2216,O2216&lt;&gt;"",Q2216&lt;&gt;"",V2216&lt;&gt;1,Y2216&lt;&gt;"",AT2216&lt;&gt;""),"수정","원본")</f>
        <v/>
      </c>
      <c r="D2216" s="18" t="n">
        <v>666</v>
      </c>
      <c r="E2216" s="18" t="inlineStr">
        <is>
          <t>비비용</t>
        </is>
      </c>
      <c r="F2216" s="18" t="inlineStr">
        <is>
          <t>vivillon</t>
        </is>
      </c>
      <c r="G2216" s="18" t="inlineStr">
        <is>
          <t>vivillon vivillon_wings=fancy</t>
        </is>
      </c>
      <c r="H2216" s="18" t="inlineStr">
        <is>
          <t>vivillon_wings=fancy</t>
        </is>
      </c>
      <c r="I2216" s="18" t="n">
        <v>6</v>
      </c>
      <c r="J2216" s="18" t="n"/>
      <c r="K2216" s="18" t="n">
        <v>6</v>
      </c>
      <c r="L2216" s="18" t="inlineStr">
        <is>
          <t>cobbleventure:generation_6</t>
        </is>
      </c>
      <c r="M2216" s="19" t="inlineStr">
        <is>
          <t>cobbleventure:generation_6</t>
        </is>
      </c>
      <c r="N2216" s="18" t="inlineStr"/>
      <c r="O2216" s="19" t="inlineStr"/>
      <c r="P2216" s="18" t="inlineStr">
        <is>
          <t>#aether:is_aether</t>
        </is>
      </c>
      <c r="Q2216" s="19" t="inlineStr"/>
      <c r="R2216" s="18">
        <f>IF(Q2216="",P2216,Q2216)</f>
        <v/>
      </c>
      <c r="S2216" s="18" t="inlineStr"/>
      <c r="T2216" s="18" t="inlineStr">
        <is>
          <t>common</t>
        </is>
      </c>
      <c r="U2216" s="20" t="n">
        <v>2</v>
      </c>
      <c r="V2216" s="21" t="n">
        <v>1</v>
      </c>
      <c r="W2216" s="20">
        <f>IF(OR(U2216="",V2216=""),U2216,U2216*V2216)</f>
        <v/>
      </c>
      <c r="X2216" s="18" t="inlineStr">
        <is>
          <t>12-41</t>
        </is>
      </c>
      <c r="Y2216" s="19" t="inlineStr"/>
      <c r="Z2216" s="18">
        <f>IF(Y2216="",X2216,Y2216)</f>
        <v/>
      </c>
      <c r="AA2216" s="18" t="inlineStr">
        <is>
          <t>grounded</t>
        </is>
      </c>
      <c r="AB2216" s="18" t="inlineStr"/>
      <c r="AC2216" s="18" t="inlineStr"/>
      <c r="AD2216" s="18" t="inlineStr"/>
      <c r="AE2216" s="18" t="inlineStr">
        <is>
          <t>sky 8-15</t>
        </is>
      </c>
      <c r="AF2216" s="18" t="inlineStr"/>
      <c r="AG2216" s="18" t="inlineStr"/>
      <c r="AH2216" s="18" t="inlineStr">
        <is>
          <t>주변=#cobblemon:flowers</t>
        </is>
      </c>
      <c r="AI2216" s="18" t="inlineStr"/>
      <c r="AJ2216" s="18" t="inlineStr">
        <is>
          <t>Cobblemon 동일</t>
        </is>
      </c>
      <c r="AK2216" s="18" t="inlineStr">
        <is>
          <t>사용</t>
        </is>
      </c>
      <c r="AL2216" s="18" t="inlineStr">
        <is>
          <t>COBBLEVERSE 1.7.42 / DP v31</t>
        </is>
      </c>
      <c r="AM2216" s="18" t="inlineStr">
        <is>
          <t>data/cobblemon/spawn_pool_world/0666_vivillon.json</t>
        </is>
      </c>
      <c r="AN2216" s="18" t="inlineStr">
        <is>
          <t>vivillon-fancy-21</t>
        </is>
      </c>
      <c r="AO2216" s="18" t="inlineStr">
        <is>
          <t>pokemon</t>
        </is>
      </c>
      <c r="AP2216" s="18" t="inlineStr">
        <is>
          <t>natural</t>
        </is>
      </c>
      <c r="AQ2216" s="18" t="inlineStr">
        <is>
          <t>{"biomes":["#aether:is_aether"],"maxSkyLight":15,"minSkyLight":8,"neededNearbyBlocks":["#cobblemon:flowers"]}</t>
        </is>
      </c>
      <c r="AR2216" s="18" t="inlineStr"/>
      <c r="AS2216" s="18" t="inlineStr"/>
      <c r="AT2216" s="19" t="inlineStr"/>
    </row>
    <row r="2217" ht="32" customHeight="1">
      <c r="A2217" s="18" t="inlineStr">
        <is>
          <t>0667_litleo.json::litleo-1::001</t>
        </is>
      </c>
      <c r="B2217" s="19" t="inlineStr">
        <is>
          <t>사용</t>
        </is>
      </c>
      <c r="C2217" s="18">
        <f>IF(OR(B2217&lt;&gt;AK2217,M2217&lt;&gt;L2217,O2217&lt;&gt;"",Q2217&lt;&gt;"",V2217&lt;&gt;1,Y2217&lt;&gt;"",AT2217&lt;&gt;""),"수정","원본")</f>
        <v/>
      </c>
      <c r="D2217" s="18" t="n">
        <v>667</v>
      </c>
      <c r="E2217" s="18" t="inlineStr">
        <is>
          <t>레오꼬</t>
        </is>
      </c>
      <c r="F2217" s="18" t="inlineStr">
        <is>
          <t>litleo</t>
        </is>
      </c>
      <c r="G2217" s="18" t="inlineStr">
        <is>
          <t>litleo</t>
        </is>
      </c>
      <c r="H2217" s="18" t="inlineStr"/>
      <c r="I2217" s="18" t="n">
        <v>6</v>
      </c>
      <c r="J2217" s="18" t="n"/>
      <c r="K2217" s="18" t="n">
        <v>6</v>
      </c>
      <c r="L2217" s="18" t="inlineStr">
        <is>
          <t>cobbleventure:generation_6</t>
        </is>
      </c>
      <c r="M2217" s="19" t="inlineStr">
        <is>
          <t>cobbleventure:generation_6</t>
        </is>
      </c>
      <c r="N2217" s="18" t="inlineStr"/>
      <c r="O2217" s="19" t="inlineStr"/>
      <c r="P2217" s="18" t="inlineStr">
        <is>
          <t>#cobblemon:is_badlands; #cobblemon:is_savanna; #cobblemon:is_jungle</t>
        </is>
      </c>
      <c r="Q2217" s="19" t="inlineStr"/>
      <c r="R2217" s="18">
        <f>IF(Q2217="",P2217,Q2217)</f>
        <v/>
      </c>
      <c r="S2217" s="18" t="inlineStr"/>
      <c r="T2217" s="18" t="inlineStr">
        <is>
          <t>common</t>
        </is>
      </c>
      <c r="U2217" s="20" t="n">
        <v>8</v>
      </c>
      <c r="V2217" s="21" t="n">
        <v>1</v>
      </c>
      <c r="W2217" s="20">
        <f>IF(OR(U2217="",V2217=""),U2217,U2217*V2217)</f>
        <v/>
      </c>
      <c r="X2217" s="18" t="inlineStr">
        <is>
          <t>1-35</t>
        </is>
      </c>
      <c r="Y2217" s="19" t="inlineStr"/>
      <c r="Z2217" s="18">
        <f>IF(Y2217="",X2217,Y2217)</f>
        <v/>
      </c>
      <c r="AA2217" s="18" t="inlineStr">
        <is>
          <t>grounded</t>
        </is>
      </c>
      <c r="AB2217" s="18" t="inlineStr"/>
      <c r="AC2217" s="18" t="inlineStr"/>
      <c r="AD2217" s="18" t="inlineStr"/>
      <c r="AE2217" s="18" t="inlineStr"/>
      <c r="AF2217" s="18" t="inlineStr">
        <is>
          <t>True</t>
        </is>
      </c>
      <c r="AG2217" s="18" t="inlineStr"/>
      <c r="AH2217" s="18" t="inlineStr"/>
      <c r="AI2217" s="18" t="inlineStr"/>
      <c r="AJ2217" s="18" t="inlineStr">
        <is>
          <t>COBBLEVERSE 수정</t>
        </is>
      </c>
      <c r="AK2217" s="18" t="inlineStr">
        <is>
          <t>사용</t>
        </is>
      </c>
      <c r="AL2217" s="18" t="inlineStr">
        <is>
          <t>COBBLEVERSE 1.7.42 / DP v31</t>
        </is>
      </c>
      <c r="AM2217" s="18" t="inlineStr">
        <is>
          <t>data/cobblemon/spawn_pool_world/0667_litleo.json</t>
        </is>
      </c>
      <c r="AN2217" s="18" t="inlineStr">
        <is>
          <t>litleo-1</t>
        </is>
      </c>
      <c r="AO2217" s="18" t="inlineStr">
        <is>
          <t>pokemon</t>
        </is>
      </c>
      <c r="AP2217" s="18" t="inlineStr">
        <is>
          <t>natural</t>
        </is>
      </c>
      <c r="AQ2217" s="18" t="inlineStr">
        <is>
          <t>{"biomes":["#cobblemon:is_badlands","#cobblemon:is_savanna","#cobblemon:is_jungle"],"canSeeSky":true}</t>
        </is>
      </c>
      <c r="AR2217" s="18" t="inlineStr"/>
      <c r="AS2217" s="18" t="inlineStr"/>
      <c r="AT2217" s="19" t="inlineStr"/>
    </row>
    <row r="2218" ht="32" customHeight="1">
      <c r="A2218" s="18" t="inlineStr">
        <is>
          <t>0668_pyroar.json::pyroar-1::001</t>
        </is>
      </c>
      <c r="B2218" s="19" t="inlineStr">
        <is>
          <t>사용</t>
        </is>
      </c>
      <c r="C2218" s="18">
        <f>IF(OR(B2218&lt;&gt;AK2218,M2218&lt;&gt;L2218,O2218&lt;&gt;"",Q2218&lt;&gt;"",V2218&lt;&gt;1,Y2218&lt;&gt;"",AT2218&lt;&gt;""),"수정","원본")</f>
        <v/>
      </c>
      <c r="D2218" s="18" t="n">
        <v>668</v>
      </c>
      <c r="E2218" s="18" t="inlineStr">
        <is>
          <t>화염레오</t>
        </is>
      </c>
      <c r="F2218" s="18" t="inlineStr">
        <is>
          <t>pyroar</t>
        </is>
      </c>
      <c r="G2218" s="18" t="inlineStr">
        <is>
          <t>pyroar</t>
        </is>
      </c>
      <c r="H2218" s="18" t="inlineStr"/>
      <c r="I2218" s="18" t="n">
        <v>6</v>
      </c>
      <c r="J2218" s="18" t="n"/>
      <c r="K2218" s="18" t="n">
        <v>6</v>
      </c>
      <c r="L2218" s="18" t="inlineStr">
        <is>
          <t>cobbleventure:generation_6</t>
        </is>
      </c>
      <c r="M2218" s="19" t="inlineStr">
        <is>
          <t>cobbleventure:generation_6</t>
        </is>
      </c>
      <c r="N2218" s="18" t="inlineStr"/>
      <c r="O2218" s="19" t="inlineStr"/>
      <c r="P2218" s="18" t="inlineStr">
        <is>
          <t>#cobblemon:is_badlands; #cobblemon:is_savanna; #cobblemon:is_jungle</t>
        </is>
      </c>
      <c r="Q2218" s="19" t="inlineStr"/>
      <c r="R2218" s="18">
        <f>IF(Q2218="",P2218,Q2218)</f>
        <v/>
      </c>
      <c r="S2218" s="18" t="inlineStr"/>
      <c r="T2218" s="18" t="inlineStr">
        <is>
          <t>uncommon</t>
        </is>
      </c>
      <c r="U2218" s="20" t="n">
        <v>7.5</v>
      </c>
      <c r="V2218" s="21" t="n">
        <v>1</v>
      </c>
      <c r="W2218" s="20">
        <f>IF(OR(U2218="",V2218=""),U2218,U2218*V2218)</f>
        <v/>
      </c>
      <c r="X2218" s="18" t="inlineStr">
        <is>
          <t>37-65</t>
        </is>
      </c>
      <c r="Y2218" s="19" t="inlineStr"/>
      <c r="Z2218" s="18">
        <f>IF(Y2218="",X2218,Y2218)</f>
        <v/>
      </c>
      <c r="AA2218" s="18" t="inlineStr">
        <is>
          <t>grounded</t>
        </is>
      </c>
      <c r="AB2218" s="18" t="inlineStr"/>
      <c r="AC2218" s="18" t="inlineStr"/>
      <c r="AD2218" s="18" t="inlineStr"/>
      <c r="AE2218" s="18" t="inlineStr"/>
      <c r="AF2218" s="18" t="inlineStr">
        <is>
          <t>True</t>
        </is>
      </c>
      <c r="AG2218" s="18" t="inlineStr"/>
      <c r="AH2218" s="18" t="inlineStr"/>
      <c r="AI2218" s="18" t="inlineStr"/>
      <c r="AJ2218" s="18" t="inlineStr">
        <is>
          <t>COBBLEVERSE 수정</t>
        </is>
      </c>
      <c r="AK2218" s="18" t="inlineStr">
        <is>
          <t>사용</t>
        </is>
      </c>
      <c r="AL2218" s="18" t="inlineStr">
        <is>
          <t>COBBLEVERSE 1.7.42 / DP v31</t>
        </is>
      </c>
      <c r="AM2218" s="18" t="inlineStr">
        <is>
          <t>data/cobblemon/spawn_pool_world/0668_pyroar.json</t>
        </is>
      </c>
      <c r="AN2218" s="18" t="inlineStr">
        <is>
          <t>pyroar-1</t>
        </is>
      </c>
      <c r="AO2218" s="18" t="inlineStr">
        <is>
          <t>pokemon</t>
        </is>
      </c>
      <c r="AP2218" s="18" t="inlineStr">
        <is>
          <t>natural</t>
        </is>
      </c>
      <c r="AQ2218" s="18" t="inlineStr">
        <is>
          <t>{"biomes":["#cobblemon:is_badlands","#cobblemon:is_savanna","#cobblemon:is_jungle"],"canSeeSky":true}</t>
        </is>
      </c>
      <c r="AR2218" s="18" t="inlineStr"/>
      <c r="AS2218" s="18" t="inlineStr"/>
      <c r="AT2218" s="19" t="inlineStr"/>
    </row>
    <row r="2219" ht="32" customHeight="1">
      <c r="A2219" s="18" t="inlineStr">
        <is>
          <t>0669_flabebe.json::flabebe-red-1::001</t>
        </is>
      </c>
      <c r="B2219" s="19" t="inlineStr">
        <is>
          <t>사용</t>
        </is>
      </c>
      <c r="C2219" s="18">
        <f>IF(OR(B2219&lt;&gt;AK2219,M2219&lt;&gt;L2219,O2219&lt;&gt;"",Q2219&lt;&gt;"",V2219&lt;&gt;1,Y2219&lt;&gt;"",AT2219&lt;&gt;""),"수정","원본")</f>
        <v/>
      </c>
      <c r="D2219" s="18" t="n">
        <v>669</v>
      </c>
      <c r="E2219" s="18" t="inlineStr">
        <is>
          <t>플라베베</t>
        </is>
      </c>
      <c r="F2219" s="18" t="inlineStr">
        <is>
          <t>flabebe</t>
        </is>
      </c>
      <c r="G2219" s="18" t="inlineStr">
        <is>
          <t>flabebe flower=red</t>
        </is>
      </c>
      <c r="H2219" s="18" t="inlineStr">
        <is>
          <t>flower=red</t>
        </is>
      </c>
      <c r="I2219" s="18" t="n">
        <v>6</v>
      </c>
      <c r="J2219" s="18" t="n"/>
      <c r="K2219" s="18" t="n">
        <v>6</v>
      </c>
      <c r="L2219" s="18" t="inlineStr">
        <is>
          <t>cobbleventure:generation_6</t>
        </is>
      </c>
      <c r="M2219" s="19" t="inlineStr">
        <is>
          <t>cobbleventure:generation_6</t>
        </is>
      </c>
      <c r="N2219" s="18" t="inlineStr">
        <is>
          <t>region_01; region_02</t>
        </is>
      </c>
      <c r="O2219" s="19" t="inlineStr"/>
      <c r="P2219" s="18" t="inlineStr">
        <is>
          <t>#cobblemon:is_overworld</t>
        </is>
      </c>
      <c r="Q2219" s="19" t="inlineStr"/>
      <c r="R2219" s="18">
        <f>IF(Q2219="",P2219,Q2219)</f>
        <v/>
      </c>
      <c r="S2219" s="18" t="inlineStr"/>
      <c r="T2219" s="18" t="inlineStr">
        <is>
          <t>common</t>
        </is>
      </c>
      <c r="U2219" s="20" t="n">
        <v>9</v>
      </c>
      <c r="V2219" s="21" t="n">
        <v>1</v>
      </c>
      <c r="W2219" s="20">
        <f>IF(OR(U2219="",V2219=""),U2219,U2219*V2219)</f>
        <v/>
      </c>
      <c r="X2219" s="18" t="inlineStr">
        <is>
          <t>5-30</t>
        </is>
      </c>
      <c r="Y2219" s="19" t="inlineStr"/>
      <c r="Z2219" s="18">
        <f>IF(Y2219="",X2219,Y2219)</f>
        <v/>
      </c>
      <c r="AA2219" s="18" t="inlineStr">
        <is>
          <t>grounded</t>
        </is>
      </c>
      <c r="AB2219" s="18" t="inlineStr"/>
      <c r="AC2219" s="18" t="inlineStr"/>
      <c r="AD2219" s="18" t="inlineStr"/>
      <c r="AE2219" s="18" t="inlineStr">
        <is>
          <t>sky 8-15</t>
        </is>
      </c>
      <c r="AF2219" s="18" t="inlineStr"/>
      <c r="AG2219" s="18" t="inlineStr"/>
      <c r="AH2219" s="18" t="inlineStr">
        <is>
          <t>주변=#cobblemon:red_flowers</t>
        </is>
      </c>
      <c r="AI2219" s="18" t="inlineStr"/>
      <c r="AJ2219" s="18" t="inlineStr">
        <is>
          <t>Cobblemon 동일</t>
        </is>
      </c>
      <c r="AK2219" s="18" t="inlineStr">
        <is>
          <t>사용</t>
        </is>
      </c>
      <c r="AL2219" s="18" t="inlineStr">
        <is>
          <t>COBBLEVERSE 1.7.42 / DP v31</t>
        </is>
      </c>
      <c r="AM2219" s="18" t="inlineStr">
        <is>
          <t>data/cobblemon/spawn_pool_world/0669_flabebe.json</t>
        </is>
      </c>
      <c r="AN2219" s="18" t="inlineStr">
        <is>
          <t>flabebe-red-1</t>
        </is>
      </c>
      <c r="AO2219" s="18" t="inlineStr">
        <is>
          <t>pokemon</t>
        </is>
      </c>
      <c r="AP2219" s="18" t="inlineStr">
        <is>
          <t>natural</t>
        </is>
      </c>
      <c r="AQ2219" s="18" t="inlineStr">
        <is>
          <t>{"biomes":["#cobblemon:is_overworld"],"maxSkyLight":15,"minSkyLight":8,"neededNearbyBlocks":["#cobblemon:red_flowers"]}</t>
        </is>
      </c>
      <c r="AR2219" s="18" t="inlineStr"/>
      <c r="AS2219" s="18" t="inlineStr">
        <is>
          <t>{"weightMultiplier":{"condition":{"timeRange":"night"},"multiplier":0.25}}</t>
        </is>
      </c>
      <c r="AT2219" s="19" t="inlineStr"/>
    </row>
    <row r="2220" ht="32" customHeight="1">
      <c r="A2220" s="18" t="inlineStr">
        <is>
          <t>0669_flabebe.json::flabebe-yellow-2::002</t>
        </is>
      </c>
      <c r="B2220" s="19" t="inlineStr">
        <is>
          <t>사용</t>
        </is>
      </c>
      <c r="C2220" s="18">
        <f>IF(OR(B2220&lt;&gt;AK2220,M2220&lt;&gt;L2220,O2220&lt;&gt;"",Q2220&lt;&gt;"",V2220&lt;&gt;1,Y2220&lt;&gt;"",AT2220&lt;&gt;""),"수정","원본")</f>
        <v/>
      </c>
      <c r="D2220" s="18" t="n">
        <v>669</v>
      </c>
      <c r="E2220" s="18" t="inlineStr">
        <is>
          <t>플라베베</t>
        </is>
      </c>
      <c r="F2220" s="18" t="inlineStr">
        <is>
          <t>flabebe</t>
        </is>
      </c>
      <c r="G2220" s="18" t="inlineStr">
        <is>
          <t>flabebe flower=yellow</t>
        </is>
      </c>
      <c r="H2220" s="18" t="inlineStr">
        <is>
          <t>flower=yellow</t>
        </is>
      </c>
      <c r="I2220" s="18" t="n">
        <v>6</v>
      </c>
      <c r="J2220" s="18" t="n"/>
      <c r="K2220" s="18" t="n">
        <v>6</v>
      </c>
      <c r="L2220" s="18" t="inlineStr">
        <is>
          <t>cobbleventure:generation_6</t>
        </is>
      </c>
      <c r="M2220" s="19" t="inlineStr">
        <is>
          <t>cobbleventure:generation_6</t>
        </is>
      </c>
      <c r="N2220" s="18" t="inlineStr">
        <is>
          <t>region_01; region_02</t>
        </is>
      </c>
      <c r="O2220" s="19" t="inlineStr"/>
      <c r="P2220" s="18" t="inlineStr">
        <is>
          <t>#cobblemon:is_overworld</t>
        </is>
      </c>
      <c r="Q2220" s="19" t="inlineStr"/>
      <c r="R2220" s="18">
        <f>IF(Q2220="",P2220,Q2220)</f>
        <v/>
      </c>
      <c r="S2220" s="18" t="inlineStr"/>
      <c r="T2220" s="18" t="inlineStr">
        <is>
          <t>common</t>
        </is>
      </c>
      <c r="U2220" s="20" t="n">
        <v>9</v>
      </c>
      <c r="V2220" s="21" t="n">
        <v>1</v>
      </c>
      <c r="W2220" s="20">
        <f>IF(OR(U2220="",V2220=""),U2220,U2220*V2220)</f>
        <v/>
      </c>
      <c r="X2220" s="18" t="inlineStr">
        <is>
          <t>5-30</t>
        </is>
      </c>
      <c r="Y2220" s="19" t="inlineStr"/>
      <c r="Z2220" s="18">
        <f>IF(Y2220="",X2220,Y2220)</f>
        <v/>
      </c>
      <c r="AA2220" s="18" t="inlineStr">
        <is>
          <t>grounded</t>
        </is>
      </c>
      <c r="AB2220" s="18" t="inlineStr"/>
      <c r="AC2220" s="18" t="inlineStr"/>
      <c r="AD2220" s="18" t="inlineStr"/>
      <c r="AE2220" s="18" t="inlineStr">
        <is>
          <t>sky 8-15</t>
        </is>
      </c>
      <c r="AF2220" s="18" t="inlineStr"/>
      <c r="AG2220" s="18" t="inlineStr"/>
      <c r="AH2220" s="18" t="inlineStr">
        <is>
          <t>주변=#cobblemon:yellow_flowers</t>
        </is>
      </c>
      <c r="AI2220" s="18" t="inlineStr"/>
      <c r="AJ2220" s="18" t="inlineStr">
        <is>
          <t>Cobblemon 동일</t>
        </is>
      </c>
      <c r="AK2220" s="18" t="inlineStr">
        <is>
          <t>사용</t>
        </is>
      </c>
      <c r="AL2220" s="18" t="inlineStr">
        <is>
          <t>COBBLEVERSE 1.7.42 / DP v31</t>
        </is>
      </c>
      <c r="AM2220" s="18" t="inlineStr">
        <is>
          <t>data/cobblemon/spawn_pool_world/0669_flabebe.json</t>
        </is>
      </c>
      <c r="AN2220" s="18" t="inlineStr">
        <is>
          <t>flabebe-yellow-2</t>
        </is>
      </c>
      <c r="AO2220" s="18" t="inlineStr">
        <is>
          <t>pokemon</t>
        </is>
      </c>
      <c r="AP2220" s="18" t="inlineStr">
        <is>
          <t>natural</t>
        </is>
      </c>
      <c r="AQ2220" s="18" t="inlineStr">
        <is>
          <t>{"biomes":["#cobblemon:is_overworld"],"maxSkyLight":15,"minSkyLight":8,"neededNearbyBlocks":["#cobblemon:yellow_flowers"]}</t>
        </is>
      </c>
      <c r="AR2220" s="18" t="inlineStr"/>
      <c r="AS2220" s="18" t="inlineStr">
        <is>
          <t>{"weightMultiplier":{"condition":{"timeRange":"night"},"multiplier":0.25}}</t>
        </is>
      </c>
      <c r="AT2220" s="19" t="inlineStr"/>
    </row>
    <row r="2221" ht="32" customHeight="1">
      <c r="A2221" s="18" t="inlineStr">
        <is>
          <t>0669_flabebe.json::flabebe-orange-3::003</t>
        </is>
      </c>
      <c r="B2221" s="19" t="inlineStr">
        <is>
          <t>사용</t>
        </is>
      </c>
      <c r="C2221" s="18">
        <f>IF(OR(B2221&lt;&gt;AK2221,M2221&lt;&gt;L2221,O2221&lt;&gt;"",Q2221&lt;&gt;"",V2221&lt;&gt;1,Y2221&lt;&gt;"",AT2221&lt;&gt;""),"수정","원본")</f>
        <v/>
      </c>
      <c r="D2221" s="18" t="n">
        <v>669</v>
      </c>
      <c r="E2221" s="18" t="inlineStr">
        <is>
          <t>플라베베</t>
        </is>
      </c>
      <c r="F2221" s="18" t="inlineStr">
        <is>
          <t>flabebe</t>
        </is>
      </c>
      <c r="G2221" s="18" t="inlineStr">
        <is>
          <t>flabebe flower=orange</t>
        </is>
      </c>
      <c r="H2221" s="18" t="inlineStr">
        <is>
          <t>flower=orange</t>
        </is>
      </c>
      <c r="I2221" s="18" t="n">
        <v>6</v>
      </c>
      <c r="J2221" s="18" t="n"/>
      <c r="K2221" s="18" t="n">
        <v>6</v>
      </c>
      <c r="L2221" s="18" t="inlineStr">
        <is>
          <t>cobbleventure:generation_6</t>
        </is>
      </c>
      <c r="M2221" s="19" t="inlineStr">
        <is>
          <t>cobbleventure:generation_6</t>
        </is>
      </c>
      <c r="N2221" s="18" t="inlineStr">
        <is>
          <t>region_01; region_02</t>
        </is>
      </c>
      <c r="O2221" s="19" t="inlineStr"/>
      <c r="P2221" s="18" t="inlineStr">
        <is>
          <t>#cobblemon:is_overworld</t>
        </is>
      </c>
      <c r="Q2221" s="19" t="inlineStr"/>
      <c r="R2221" s="18">
        <f>IF(Q2221="",P2221,Q2221)</f>
        <v/>
      </c>
      <c r="S2221" s="18" t="inlineStr"/>
      <c r="T2221" s="18" t="inlineStr">
        <is>
          <t>common</t>
        </is>
      </c>
      <c r="U2221" s="20" t="n">
        <v>9</v>
      </c>
      <c r="V2221" s="21" t="n">
        <v>1</v>
      </c>
      <c r="W2221" s="20">
        <f>IF(OR(U2221="",V2221=""),U2221,U2221*V2221)</f>
        <v/>
      </c>
      <c r="X2221" s="18" t="inlineStr">
        <is>
          <t>5-30</t>
        </is>
      </c>
      <c r="Y2221" s="19" t="inlineStr"/>
      <c r="Z2221" s="18">
        <f>IF(Y2221="",X2221,Y2221)</f>
        <v/>
      </c>
      <c r="AA2221" s="18" t="inlineStr">
        <is>
          <t>grounded</t>
        </is>
      </c>
      <c r="AB2221" s="18" t="inlineStr"/>
      <c r="AC2221" s="18" t="inlineStr"/>
      <c r="AD2221" s="18" t="inlineStr"/>
      <c r="AE2221" s="18" t="inlineStr">
        <is>
          <t>sky 8-15</t>
        </is>
      </c>
      <c r="AF2221" s="18" t="inlineStr"/>
      <c r="AG2221" s="18" t="inlineStr"/>
      <c r="AH2221" s="18" t="inlineStr">
        <is>
          <t>주변=#cobblemon:orange_flowers</t>
        </is>
      </c>
      <c r="AI2221" s="18" t="inlineStr"/>
      <c r="AJ2221" s="18" t="inlineStr">
        <is>
          <t>Cobblemon 동일</t>
        </is>
      </c>
      <c r="AK2221" s="18" t="inlineStr">
        <is>
          <t>사용</t>
        </is>
      </c>
      <c r="AL2221" s="18" t="inlineStr">
        <is>
          <t>COBBLEVERSE 1.7.42 / DP v31</t>
        </is>
      </c>
      <c r="AM2221" s="18" t="inlineStr">
        <is>
          <t>data/cobblemon/spawn_pool_world/0669_flabebe.json</t>
        </is>
      </c>
      <c r="AN2221" s="18" t="inlineStr">
        <is>
          <t>flabebe-orange-3</t>
        </is>
      </c>
      <c r="AO2221" s="18" t="inlineStr">
        <is>
          <t>pokemon</t>
        </is>
      </c>
      <c r="AP2221" s="18" t="inlineStr">
        <is>
          <t>natural</t>
        </is>
      </c>
      <c r="AQ2221" s="18" t="inlineStr">
        <is>
          <t>{"biomes":["#cobblemon:is_overworld"],"maxSkyLight":15,"minSkyLight":8,"neededNearbyBlocks":["#cobblemon:orange_flowers"]}</t>
        </is>
      </c>
      <c r="AR2221" s="18" t="inlineStr"/>
      <c r="AS2221" s="18" t="inlineStr">
        <is>
          <t>{"weightMultiplier":{"condition":{"timeRange":"night"},"multiplier":0.25}}</t>
        </is>
      </c>
      <c r="AT2221" s="19" t="inlineStr"/>
    </row>
    <row r="2222" ht="32" customHeight="1">
      <c r="A2222" s="18" t="inlineStr">
        <is>
          <t>0669_flabebe.json::flabebe-blue-4::004</t>
        </is>
      </c>
      <c r="B2222" s="19" t="inlineStr">
        <is>
          <t>사용</t>
        </is>
      </c>
      <c r="C2222" s="18">
        <f>IF(OR(B2222&lt;&gt;AK2222,M2222&lt;&gt;L2222,O2222&lt;&gt;"",Q2222&lt;&gt;"",V2222&lt;&gt;1,Y2222&lt;&gt;"",AT2222&lt;&gt;""),"수정","원본")</f>
        <v/>
      </c>
      <c r="D2222" s="18" t="n">
        <v>669</v>
      </c>
      <c r="E2222" s="18" t="inlineStr">
        <is>
          <t>플라베베</t>
        </is>
      </c>
      <c r="F2222" s="18" t="inlineStr">
        <is>
          <t>flabebe</t>
        </is>
      </c>
      <c r="G2222" s="18" t="inlineStr">
        <is>
          <t>flabebe flower=blue</t>
        </is>
      </c>
      <c r="H2222" s="18" t="inlineStr">
        <is>
          <t>flower=blue</t>
        </is>
      </c>
      <c r="I2222" s="18" t="n">
        <v>6</v>
      </c>
      <c r="J2222" s="18" t="n"/>
      <c r="K2222" s="18" t="n">
        <v>6</v>
      </c>
      <c r="L2222" s="18" t="inlineStr">
        <is>
          <t>cobbleventure:generation_6</t>
        </is>
      </c>
      <c r="M2222" s="19" t="inlineStr">
        <is>
          <t>cobbleventure:generation_6</t>
        </is>
      </c>
      <c r="N2222" s="18" t="inlineStr">
        <is>
          <t>region_01; region_02</t>
        </is>
      </c>
      <c r="O2222" s="19" t="inlineStr"/>
      <c r="P2222" s="18" t="inlineStr">
        <is>
          <t>#cobblemon:is_overworld</t>
        </is>
      </c>
      <c r="Q2222" s="19" t="inlineStr"/>
      <c r="R2222" s="18">
        <f>IF(Q2222="",P2222,Q2222)</f>
        <v/>
      </c>
      <c r="S2222" s="18" t="inlineStr"/>
      <c r="T2222" s="18" t="inlineStr">
        <is>
          <t>common</t>
        </is>
      </c>
      <c r="U2222" s="20" t="n">
        <v>9</v>
      </c>
      <c r="V2222" s="21" t="n">
        <v>1</v>
      </c>
      <c r="W2222" s="20">
        <f>IF(OR(U2222="",V2222=""),U2222,U2222*V2222)</f>
        <v/>
      </c>
      <c r="X2222" s="18" t="inlineStr">
        <is>
          <t>5-30</t>
        </is>
      </c>
      <c r="Y2222" s="19" t="inlineStr"/>
      <c r="Z2222" s="18">
        <f>IF(Y2222="",X2222,Y2222)</f>
        <v/>
      </c>
      <c r="AA2222" s="18" t="inlineStr">
        <is>
          <t>grounded</t>
        </is>
      </c>
      <c r="AB2222" s="18" t="inlineStr"/>
      <c r="AC2222" s="18" t="inlineStr"/>
      <c r="AD2222" s="18" t="inlineStr"/>
      <c r="AE2222" s="18" t="inlineStr">
        <is>
          <t>sky 8-15</t>
        </is>
      </c>
      <c r="AF2222" s="18" t="inlineStr"/>
      <c r="AG2222" s="18" t="inlineStr"/>
      <c r="AH2222" s="18" t="inlineStr">
        <is>
          <t>주변=#cobblemon:blue_flowers</t>
        </is>
      </c>
      <c r="AI2222" s="18" t="inlineStr"/>
      <c r="AJ2222" s="18" t="inlineStr">
        <is>
          <t>Cobblemon 동일</t>
        </is>
      </c>
      <c r="AK2222" s="18" t="inlineStr">
        <is>
          <t>사용</t>
        </is>
      </c>
      <c r="AL2222" s="18" t="inlineStr">
        <is>
          <t>COBBLEVERSE 1.7.42 / DP v31</t>
        </is>
      </c>
      <c r="AM2222" s="18" t="inlineStr">
        <is>
          <t>data/cobblemon/spawn_pool_world/0669_flabebe.json</t>
        </is>
      </c>
      <c r="AN2222" s="18" t="inlineStr">
        <is>
          <t>flabebe-blue-4</t>
        </is>
      </c>
      <c r="AO2222" s="18" t="inlineStr">
        <is>
          <t>pokemon</t>
        </is>
      </c>
      <c r="AP2222" s="18" t="inlineStr">
        <is>
          <t>natural</t>
        </is>
      </c>
      <c r="AQ2222" s="18" t="inlineStr">
        <is>
          <t>{"biomes":["#cobblemon:is_overworld"],"maxSkyLight":15,"minSkyLight":8,"neededNearbyBlocks":["#cobblemon:blue_flowers"]}</t>
        </is>
      </c>
      <c r="AR2222" s="18" t="inlineStr"/>
      <c r="AS2222" s="18" t="inlineStr">
        <is>
          <t>{"weightMultiplier":{"condition":{"timeRange":"night"},"multiplier":0.25}}</t>
        </is>
      </c>
      <c r="AT2222" s="19" t="inlineStr"/>
    </row>
    <row r="2223" ht="32" customHeight="1">
      <c r="A2223" s="18" t="inlineStr">
        <is>
          <t>0669_flabebe.json::flabebe-white-5::005</t>
        </is>
      </c>
      <c r="B2223" s="19" t="inlineStr">
        <is>
          <t>사용</t>
        </is>
      </c>
      <c r="C2223" s="18">
        <f>IF(OR(B2223&lt;&gt;AK2223,M2223&lt;&gt;L2223,O2223&lt;&gt;"",Q2223&lt;&gt;"",V2223&lt;&gt;1,Y2223&lt;&gt;"",AT2223&lt;&gt;""),"수정","원본")</f>
        <v/>
      </c>
      <c r="D2223" s="18" t="n">
        <v>669</v>
      </c>
      <c r="E2223" s="18" t="inlineStr">
        <is>
          <t>플라베베</t>
        </is>
      </c>
      <c r="F2223" s="18" t="inlineStr">
        <is>
          <t>flabebe</t>
        </is>
      </c>
      <c r="G2223" s="18" t="inlineStr">
        <is>
          <t>flabebe flower=white</t>
        </is>
      </c>
      <c r="H2223" s="18" t="inlineStr">
        <is>
          <t>flower=white</t>
        </is>
      </c>
      <c r="I2223" s="18" t="n">
        <v>6</v>
      </c>
      <c r="J2223" s="18" t="n"/>
      <c r="K2223" s="18" t="n">
        <v>6</v>
      </c>
      <c r="L2223" s="18" t="inlineStr">
        <is>
          <t>cobbleventure:generation_6</t>
        </is>
      </c>
      <c r="M2223" s="19" t="inlineStr">
        <is>
          <t>cobbleventure:generation_6</t>
        </is>
      </c>
      <c r="N2223" s="18" t="inlineStr">
        <is>
          <t>region_01; region_02</t>
        </is>
      </c>
      <c r="O2223" s="19" t="inlineStr"/>
      <c r="P2223" s="18" t="inlineStr">
        <is>
          <t>#cobblemon:is_overworld</t>
        </is>
      </c>
      <c r="Q2223" s="19" t="inlineStr"/>
      <c r="R2223" s="18">
        <f>IF(Q2223="",P2223,Q2223)</f>
        <v/>
      </c>
      <c r="S2223" s="18" t="inlineStr"/>
      <c r="T2223" s="18" t="inlineStr">
        <is>
          <t>common</t>
        </is>
      </c>
      <c r="U2223" s="20" t="n">
        <v>9</v>
      </c>
      <c r="V2223" s="21" t="n">
        <v>1</v>
      </c>
      <c r="W2223" s="20">
        <f>IF(OR(U2223="",V2223=""),U2223,U2223*V2223)</f>
        <v/>
      </c>
      <c r="X2223" s="18" t="inlineStr">
        <is>
          <t>5-30</t>
        </is>
      </c>
      <c r="Y2223" s="19" t="inlineStr"/>
      <c r="Z2223" s="18">
        <f>IF(Y2223="",X2223,Y2223)</f>
        <v/>
      </c>
      <c r="AA2223" s="18" t="inlineStr">
        <is>
          <t>grounded</t>
        </is>
      </c>
      <c r="AB2223" s="18" t="inlineStr"/>
      <c r="AC2223" s="18" t="inlineStr"/>
      <c r="AD2223" s="18" t="inlineStr"/>
      <c r="AE2223" s="18" t="inlineStr">
        <is>
          <t>sky 8-15</t>
        </is>
      </c>
      <c r="AF2223" s="18" t="inlineStr"/>
      <c r="AG2223" s="18" t="inlineStr"/>
      <c r="AH2223" s="18" t="inlineStr">
        <is>
          <t>주변=#cobblemon:white_flowers</t>
        </is>
      </c>
      <c r="AI2223" s="18" t="inlineStr"/>
      <c r="AJ2223" s="18" t="inlineStr">
        <is>
          <t>Cobblemon 동일</t>
        </is>
      </c>
      <c r="AK2223" s="18" t="inlineStr">
        <is>
          <t>사용</t>
        </is>
      </c>
      <c r="AL2223" s="18" t="inlineStr">
        <is>
          <t>COBBLEVERSE 1.7.42 / DP v31</t>
        </is>
      </c>
      <c r="AM2223" s="18" t="inlineStr">
        <is>
          <t>data/cobblemon/spawn_pool_world/0669_flabebe.json</t>
        </is>
      </c>
      <c r="AN2223" s="18" t="inlineStr">
        <is>
          <t>flabebe-white-5</t>
        </is>
      </c>
      <c r="AO2223" s="18" t="inlineStr">
        <is>
          <t>pokemon</t>
        </is>
      </c>
      <c r="AP2223" s="18" t="inlineStr">
        <is>
          <t>natural</t>
        </is>
      </c>
      <c r="AQ2223" s="18" t="inlineStr">
        <is>
          <t>{"biomes":["#cobblemon:is_overworld"],"maxSkyLight":15,"minSkyLight":8,"neededNearbyBlocks":["#cobblemon:white_flowers"]}</t>
        </is>
      </c>
      <c r="AR2223" s="18" t="inlineStr"/>
      <c r="AS2223" s="18" t="inlineStr">
        <is>
          <t>{"weightMultiplier":{"condition":{"timeRange":"night"},"multiplier":0.25}}</t>
        </is>
      </c>
      <c r="AT2223" s="19" t="inlineStr"/>
    </row>
    <row r="2224" ht="32" customHeight="1">
      <c r="A2224" s="18" t="inlineStr">
        <is>
          <t>0669_flabebe.json::flabebe-pink-6::006</t>
        </is>
      </c>
      <c r="B2224" s="19" t="inlineStr">
        <is>
          <t>사용</t>
        </is>
      </c>
      <c r="C2224" s="18">
        <f>IF(OR(B2224&lt;&gt;AK2224,M2224&lt;&gt;L2224,O2224&lt;&gt;"",Q2224&lt;&gt;"",V2224&lt;&gt;1,Y2224&lt;&gt;"",AT2224&lt;&gt;""),"수정","원본")</f>
        <v/>
      </c>
      <c r="D2224" s="18" t="n">
        <v>669</v>
      </c>
      <c r="E2224" s="18" t="inlineStr">
        <is>
          <t>플라베베</t>
        </is>
      </c>
      <c r="F2224" s="18" t="inlineStr">
        <is>
          <t>flabebe</t>
        </is>
      </c>
      <c r="G2224" s="18" t="inlineStr">
        <is>
          <t>flabebe flower=pink</t>
        </is>
      </c>
      <c r="H2224" s="18" t="inlineStr">
        <is>
          <t>flower=pink</t>
        </is>
      </c>
      <c r="I2224" s="18" t="n">
        <v>6</v>
      </c>
      <c r="J2224" s="18" t="n"/>
      <c r="K2224" s="18" t="n">
        <v>6</v>
      </c>
      <c r="L2224" s="18" t="inlineStr">
        <is>
          <t>cobbleventure:generation_6</t>
        </is>
      </c>
      <c r="M2224" s="19" t="inlineStr">
        <is>
          <t>cobbleventure:generation_6</t>
        </is>
      </c>
      <c r="N2224" s="18" t="inlineStr">
        <is>
          <t>region_01; region_02</t>
        </is>
      </c>
      <c r="O2224" s="19" t="inlineStr"/>
      <c r="P2224" s="18" t="inlineStr">
        <is>
          <t>#cobblemon:is_overworld</t>
        </is>
      </c>
      <c r="Q2224" s="19" t="inlineStr"/>
      <c r="R2224" s="18">
        <f>IF(Q2224="",P2224,Q2224)</f>
        <v/>
      </c>
      <c r="S2224" s="18" t="inlineStr"/>
      <c r="T2224" s="18" t="inlineStr">
        <is>
          <t>common</t>
        </is>
      </c>
      <c r="U2224" s="20" t="n">
        <v>9</v>
      </c>
      <c r="V2224" s="21" t="n">
        <v>1</v>
      </c>
      <c r="W2224" s="20">
        <f>IF(OR(U2224="",V2224=""),U2224,U2224*V2224)</f>
        <v/>
      </c>
      <c r="X2224" s="18" t="inlineStr">
        <is>
          <t>5-30</t>
        </is>
      </c>
      <c r="Y2224" s="19" t="inlineStr"/>
      <c r="Z2224" s="18">
        <f>IF(Y2224="",X2224,Y2224)</f>
        <v/>
      </c>
      <c r="AA2224" s="18" t="inlineStr">
        <is>
          <t>grounded</t>
        </is>
      </c>
      <c r="AB2224" s="18" t="inlineStr"/>
      <c r="AC2224" s="18" t="inlineStr"/>
      <c r="AD2224" s="18" t="inlineStr"/>
      <c r="AE2224" s="18" t="inlineStr">
        <is>
          <t>sky 8-15</t>
        </is>
      </c>
      <c r="AF2224" s="18" t="inlineStr"/>
      <c r="AG2224" s="18" t="inlineStr"/>
      <c r="AH2224" s="18" t="inlineStr">
        <is>
          <t>주변=#cobblemon:pink_flowers</t>
        </is>
      </c>
      <c r="AI2224" s="18" t="inlineStr"/>
      <c r="AJ2224" s="18" t="inlineStr">
        <is>
          <t>Cobblemon 동일</t>
        </is>
      </c>
      <c r="AK2224" s="18" t="inlineStr">
        <is>
          <t>사용</t>
        </is>
      </c>
      <c r="AL2224" s="18" t="inlineStr">
        <is>
          <t>COBBLEVERSE 1.7.42 / DP v31</t>
        </is>
      </c>
      <c r="AM2224" s="18" t="inlineStr">
        <is>
          <t>data/cobblemon/spawn_pool_world/0669_flabebe.json</t>
        </is>
      </c>
      <c r="AN2224" s="18" t="inlineStr">
        <is>
          <t>flabebe-pink-6</t>
        </is>
      </c>
      <c r="AO2224" s="18" t="inlineStr">
        <is>
          <t>pokemon</t>
        </is>
      </c>
      <c r="AP2224" s="18" t="inlineStr">
        <is>
          <t>natural</t>
        </is>
      </c>
      <c r="AQ2224" s="18" t="inlineStr">
        <is>
          <t>{"biomes":["#cobblemon:is_overworld"],"maxSkyLight":15,"minSkyLight":8,"neededNearbyBlocks":["#cobblemon:pink_flowers"]}</t>
        </is>
      </c>
      <c r="AR2224" s="18" t="inlineStr"/>
      <c r="AS2224" s="18" t="inlineStr">
        <is>
          <t>{"weightMultiplier":{"condition":{"timeRange":"night"},"multiplier":0.25}}</t>
        </is>
      </c>
      <c r="AT2224" s="19" t="inlineStr"/>
    </row>
    <row r="2225" ht="32" customHeight="1">
      <c r="A2225" s="18" t="inlineStr">
        <is>
          <t>0669_flabebe.json::flabebe-white-7::007</t>
        </is>
      </c>
      <c r="B2225" s="19" t="inlineStr">
        <is>
          <t>사용</t>
        </is>
      </c>
      <c r="C2225" s="18">
        <f>IF(OR(B2225&lt;&gt;AK2225,M2225&lt;&gt;L2225,O2225&lt;&gt;"",Q2225&lt;&gt;"",V2225&lt;&gt;1,Y2225&lt;&gt;"",AT2225&lt;&gt;""),"수정","원본")</f>
        <v/>
      </c>
      <c r="D2225" s="18" t="n">
        <v>669</v>
      </c>
      <c r="E2225" s="18" t="inlineStr">
        <is>
          <t>플라베베</t>
        </is>
      </c>
      <c r="F2225" s="18" t="inlineStr">
        <is>
          <t>flabebe</t>
        </is>
      </c>
      <c r="G2225" s="18" t="inlineStr">
        <is>
          <t>flabebe flower=white</t>
        </is>
      </c>
      <c r="H2225" s="18" t="inlineStr">
        <is>
          <t>flower=white</t>
        </is>
      </c>
      <c r="I2225" s="18" t="n">
        <v>6</v>
      </c>
      <c r="J2225" s="18" t="n"/>
      <c r="K2225" s="18" t="n">
        <v>6</v>
      </c>
      <c r="L2225" s="18" t="inlineStr">
        <is>
          <t>cobbleventure:generation_6</t>
        </is>
      </c>
      <c r="M2225" s="19" t="inlineStr">
        <is>
          <t>cobbleventure:generation_6</t>
        </is>
      </c>
      <c r="N2225" s="18" t="inlineStr"/>
      <c r="O2225" s="19" t="inlineStr"/>
      <c r="P2225" s="18" t="inlineStr">
        <is>
          <t>#aether:is_aether</t>
        </is>
      </c>
      <c r="Q2225" s="19" t="inlineStr"/>
      <c r="R2225" s="18">
        <f>IF(Q2225="",P2225,Q2225)</f>
        <v/>
      </c>
      <c r="S2225" s="18" t="inlineStr"/>
      <c r="T2225" s="18" t="inlineStr">
        <is>
          <t>common</t>
        </is>
      </c>
      <c r="U2225" s="20" t="n">
        <v>9</v>
      </c>
      <c r="V2225" s="21" t="n">
        <v>1</v>
      </c>
      <c r="W2225" s="20">
        <f>IF(OR(U2225="",V2225=""),U2225,U2225*V2225)</f>
        <v/>
      </c>
      <c r="X2225" s="18" t="inlineStr">
        <is>
          <t>5-30</t>
        </is>
      </c>
      <c r="Y2225" s="19" t="inlineStr"/>
      <c r="Z2225" s="18">
        <f>IF(Y2225="",X2225,Y2225)</f>
        <v/>
      </c>
      <c r="AA2225" s="18" t="inlineStr">
        <is>
          <t>grounded</t>
        </is>
      </c>
      <c r="AB2225" s="18" t="inlineStr"/>
      <c r="AC2225" s="18" t="inlineStr"/>
      <c r="AD2225" s="18" t="inlineStr"/>
      <c r="AE2225" s="18" t="inlineStr">
        <is>
          <t>sky 8-15</t>
        </is>
      </c>
      <c r="AF2225" s="18" t="inlineStr"/>
      <c r="AG2225" s="18" t="inlineStr"/>
      <c r="AH2225" s="18" t="inlineStr">
        <is>
          <t>주변=#cobblemon:white_flowers</t>
        </is>
      </c>
      <c r="AI2225" s="18" t="inlineStr"/>
      <c r="AJ2225" s="18" t="inlineStr">
        <is>
          <t>Cobblemon 동일</t>
        </is>
      </c>
      <c r="AK2225" s="18" t="inlineStr">
        <is>
          <t>사용</t>
        </is>
      </c>
      <c r="AL2225" s="18" t="inlineStr">
        <is>
          <t>COBBLEVERSE 1.7.42 / DP v31</t>
        </is>
      </c>
      <c r="AM2225" s="18" t="inlineStr">
        <is>
          <t>data/cobblemon/spawn_pool_world/0669_flabebe.json</t>
        </is>
      </c>
      <c r="AN2225" s="18" t="inlineStr">
        <is>
          <t>flabebe-white-7</t>
        </is>
      </c>
      <c r="AO2225" s="18" t="inlineStr">
        <is>
          <t>pokemon</t>
        </is>
      </c>
      <c r="AP2225" s="18" t="inlineStr">
        <is>
          <t>natural</t>
        </is>
      </c>
      <c r="AQ2225" s="18" t="inlineStr">
        <is>
          <t>{"biomes":["#aether:is_aether"],"maxSkyLight":15,"minSkyLight":8,"neededNearbyBlocks":["#cobblemon:white_flowers"]}</t>
        </is>
      </c>
      <c r="AR2225" s="18" t="inlineStr"/>
      <c r="AS2225" s="18" t="inlineStr"/>
      <c r="AT2225" s="19" t="inlineStr"/>
    </row>
    <row r="2226" ht="32" customHeight="1">
      <c r="A2226" s="18" t="inlineStr">
        <is>
          <t>0669_flabebe.json::flabebe-red-8::008</t>
        </is>
      </c>
      <c r="B2226" s="19" t="inlineStr">
        <is>
          <t>사용</t>
        </is>
      </c>
      <c r="C2226" s="18">
        <f>IF(OR(B2226&lt;&gt;AK2226,M2226&lt;&gt;L2226,O2226&lt;&gt;"",Q2226&lt;&gt;"",V2226&lt;&gt;1,Y2226&lt;&gt;"",AT2226&lt;&gt;""),"수정","원본")</f>
        <v/>
      </c>
      <c r="D2226" s="18" t="n">
        <v>669</v>
      </c>
      <c r="E2226" s="18" t="inlineStr">
        <is>
          <t>플라베베</t>
        </is>
      </c>
      <c r="F2226" s="18" t="inlineStr">
        <is>
          <t>flabebe</t>
        </is>
      </c>
      <c r="G2226" s="18" t="inlineStr">
        <is>
          <t>flabebe flower=red</t>
        </is>
      </c>
      <c r="H2226" s="18" t="inlineStr">
        <is>
          <t>flower=red</t>
        </is>
      </c>
      <c r="I2226" s="18" t="n">
        <v>6</v>
      </c>
      <c r="J2226" s="18" t="n"/>
      <c r="K2226" s="18" t="n">
        <v>6</v>
      </c>
      <c r="L2226" s="18" t="inlineStr">
        <is>
          <t>cobbleventure:generation_6</t>
        </is>
      </c>
      <c r="M2226" s="19" t="inlineStr">
        <is>
          <t>cobbleventure:generation_6</t>
        </is>
      </c>
      <c r="N2226" s="18" t="inlineStr"/>
      <c r="O2226" s="19" t="inlineStr"/>
      <c r="P2226" s="18" t="inlineStr">
        <is>
          <t>the_bumblezone:floral_meadow</t>
        </is>
      </c>
      <c r="Q2226" s="19" t="inlineStr"/>
      <c r="R2226" s="18">
        <f>IF(Q2226="",P2226,Q2226)</f>
        <v/>
      </c>
      <c r="S2226" s="18" t="inlineStr"/>
      <c r="T2226" s="18" t="inlineStr">
        <is>
          <t>common</t>
        </is>
      </c>
      <c r="U2226" s="20" t="n">
        <v>1.5</v>
      </c>
      <c r="V2226" s="21" t="n">
        <v>1</v>
      </c>
      <c r="W2226" s="20">
        <f>IF(OR(U2226="",V2226=""),U2226,U2226*V2226)</f>
        <v/>
      </c>
      <c r="X2226" s="18" t="inlineStr">
        <is>
          <t>5-30</t>
        </is>
      </c>
      <c r="Y2226" s="19" t="inlineStr"/>
      <c r="Z2226" s="18">
        <f>IF(Y2226="",X2226,Y2226)</f>
        <v/>
      </c>
      <c r="AA2226" s="18" t="inlineStr">
        <is>
          <t>grounded</t>
        </is>
      </c>
      <c r="AB2226" s="18" t="inlineStr"/>
      <c r="AC2226" s="18" t="inlineStr"/>
      <c r="AD2226" s="18" t="inlineStr"/>
      <c r="AE2226" s="18" t="inlineStr"/>
      <c r="AF2226" s="18" t="inlineStr"/>
      <c r="AG2226" s="18" t="inlineStr"/>
      <c r="AH2226" s="18" t="inlineStr"/>
      <c r="AI2226" s="18" t="inlineStr"/>
      <c r="AJ2226" s="18" t="inlineStr">
        <is>
          <t>Cobblemon 동일</t>
        </is>
      </c>
      <c r="AK2226" s="18" t="inlineStr">
        <is>
          <t>사용</t>
        </is>
      </c>
      <c r="AL2226" s="18" t="inlineStr">
        <is>
          <t>COBBLEVERSE 1.7.42 / DP v31</t>
        </is>
      </c>
      <c r="AM2226" s="18" t="inlineStr">
        <is>
          <t>data/cobblemon/spawn_pool_world/0669_flabebe.json</t>
        </is>
      </c>
      <c r="AN2226" s="18" t="inlineStr">
        <is>
          <t>flabebe-red-8</t>
        </is>
      </c>
      <c r="AO2226" s="18" t="inlineStr">
        <is>
          <t>pokemon</t>
        </is>
      </c>
      <c r="AP2226" s="18" t="inlineStr"/>
      <c r="AQ2226" s="18" t="inlineStr">
        <is>
          <t>{"biomes":["the_bumblezone:floral_meadow"]}</t>
        </is>
      </c>
      <c r="AR2226" s="18" t="inlineStr">
        <is>
          <t>{"structures":["#the_bumblezone:sempiternal_sanctums"]}</t>
        </is>
      </c>
      <c r="AS2226" s="18" t="inlineStr">
        <is>
          <t>{"weightMultiplier":{"condition":{"timeRange":"night"},"multiplier":0.25}}</t>
        </is>
      </c>
      <c r="AT2226" s="19" t="inlineStr"/>
    </row>
    <row r="2227" ht="32" customHeight="1">
      <c r="A2227" s="18" t="inlineStr">
        <is>
          <t>0669_flabebe.json::flabebe-yellow-8::009</t>
        </is>
      </c>
      <c r="B2227" s="19" t="inlineStr">
        <is>
          <t>사용</t>
        </is>
      </c>
      <c r="C2227" s="18">
        <f>IF(OR(B2227&lt;&gt;AK2227,M2227&lt;&gt;L2227,O2227&lt;&gt;"",Q2227&lt;&gt;"",V2227&lt;&gt;1,Y2227&lt;&gt;"",AT2227&lt;&gt;""),"수정","원본")</f>
        <v/>
      </c>
      <c r="D2227" s="18" t="n">
        <v>669</v>
      </c>
      <c r="E2227" s="18" t="inlineStr">
        <is>
          <t>플라베베</t>
        </is>
      </c>
      <c r="F2227" s="18" t="inlineStr">
        <is>
          <t>flabebe</t>
        </is>
      </c>
      <c r="G2227" s="18" t="inlineStr">
        <is>
          <t>flabebe flower=yellow</t>
        </is>
      </c>
      <c r="H2227" s="18" t="inlineStr">
        <is>
          <t>flower=yellow</t>
        </is>
      </c>
      <c r="I2227" s="18" t="n">
        <v>6</v>
      </c>
      <c r="J2227" s="18" t="n"/>
      <c r="K2227" s="18" t="n">
        <v>6</v>
      </c>
      <c r="L2227" s="18" t="inlineStr">
        <is>
          <t>cobbleventure:generation_6</t>
        </is>
      </c>
      <c r="M2227" s="19" t="inlineStr">
        <is>
          <t>cobbleventure:generation_6</t>
        </is>
      </c>
      <c r="N2227" s="18" t="inlineStr"/>
      <c r="O2227" s="19" t="inlineStr"/>
      <c r="P2227" s="18" t="inlineStr">
        <is>
          <t>the_bumblezone:floral_meadow</t>
        </is>
      </c>
      <c r="Q2227" s="19" t="inlineStr"/>
      <c r="R2227" s="18">
        <f>IF(Q2227="",P2227,Q2227)</f>
        <v/>
      </c>
      <c r="S2227" s="18" t="inlineStr"/>
      <c r="T2227" s="18" t="inlineStr">
        <is>
          <t>common</t>
        </is>
      </c>
      <c r="U2227" s="20" t="n">
        <v>1.5</v>
      </c>
      <c r="V2227" s="21" t="n">
        <v>1</v>
      </c>
      <c r="W2227" s="20">
        <f>IF(OR(U2227="",V2227=""),U2227,U2227*V2227)</f>
        <v/>
      </c>
      <c r="X2227" s="18" t="inlineStr">
        <is>
          <t>5-30</t>
        </is>
      </c>
      <c r="Y2227" s="19" t="inlineStr"/>
      <c r="Z2227" s="18">
        <f>IF(Y2227="",X2227,Y2227)</f>
        <v/>
      </c>
      <c r="AA2227" s="18" t="inlineStr">
        <is>
          <t>grounded</t>
        </is>
      </c>
      <c r="AB2227" s="18" t="inlineStr"/>
      <c r="AC2227" s="18" t="inlineStr"/>
      <c r="AD2227" s="18" t="inlineStr"/>
      <c r="AE2227" s="18" t="inlineStr"/>
      <c r="AF2227" s="18" t="inlineStr"/>
      <c r="AG2227" s="18" t="inlineStr"/>
      <c r="AH2227" s="18" t="inlineStr"/>
      <c r="AI2227" s="18" t="inlineStr"/>
      <c r="AJ2227" s="18" t="inlineStr">
        <is>
          <t>Cobblemon 동일</t>
        </is>
      </c>
      <c r="AK2227" s="18" t="inlineStr">
        <is>
          <t>사용</t>
        </is>
      </c>
      <c r="AL2227" s="18" t="inlineStr">
        <is>
          <t>COBBLEVERSE 1.7.42 / DP v31</t>
        </is>
      </c>
      <c r="AM2227" s="18" t="inlineStr">
        <is>
          <t>data/cobblemon/spawn_pool_world/0669_flabebe.json</t>
        </is>
      </c>
      <c r="AN2227" s="18" t="inlineStr">
        <is>
          <t>flabebe-yellow-8</t>
        </is>
      </c>
      <c r="AO2227" s="18" t="inlineStr">
        <is>
          <t>pokemon</t>
        </is>
      </c>
      <c r="AP2227" s="18" t="inlineStr"/>
      <c r="AQ2227" s="18" t="inlineStr">
        <is>
          <t>{"biomes":["the_bumblezone:floral_meadow"]}</t>
        </is>
      </c>
      <c r="AR2227" s="18" t="inlineStr">
        <is>
          <t>{"structures":["#the_bumblezone:sempiternal_sanctums"]}</t>
        </is>
      </c>
      <c r="AS2227" s="18" t="inlineStr">
        <is>
          <t>{"weightMultiplier":{"condition":{"timeRange":"night"},"multiplier":0.25}}</t>
        </is>
      </c>
      <c r="AT2227" s="19" t="inlineStr"/>
    </row>
    <row r="2228" ht="32" customHeight="1">
      <c r="A2228" s="18" t="inlineStr">
        <is>
          <t>0669_flabebe.json::flabebe-orange-8::010</t>
        </is>
      </c>
      <c r="B2228" s="19" t="inlineStr">
        <is>
          <t>사용</t>
        </is>
      </c>
      <c r="C2228" s="18">
        <f>IF(OR(B2228&lt;&gt;AK2228,M2228&lt;&gt;L2228,O2228&lt;&gt;"",Q2228&lt;&gt;"",V2228&lt;&gt;1,Y2228&lt;&gt;"",AT2228&lt;&gt;""),"수정","원본")</f>
        <v/>
      </c>
      <c r="D2228" s="18" t="n">
        <v>669</v>
      </c>
      <c r="E2228" s="18" t="inlineStr">
        <is>
          <t>플라베베</t>
        </is>
      </c>
      <c r="F2228" s="18" t="inlineStr">
        <is>
          <t>flabebe</t>
        </is>
      </c>
      <c r="G2228" s="18" t="inlineStr">
        <is>
          <t>flabebe flower=orange</t>
        </is>
      </c>
      <c r="H2228" s="18" t="inlineStr">
        <is>
          <t>flower=orange</t>
        </is>
      </c>
      <c r="I2228" s="18" t="n">
        <v>6</v>
      </c>
      <c r="J2228" s="18" t="n"/>
      <c r="K2228" s="18" t="n">
        <v>6</v>
      </c>
      <c r="L2228" s="18" t="inlineStr">
        <is>
          <t>cobbleventure:generation_6</t>
        </is>
      </c>
      <c r="M2228" s="19" t="inlineStr">
        <is>
          <t>cobbleventure:generation_6</t>
        </is>
      </c>
      <c r="N2228" s="18" t="inlineStr"/>
      <c r="O2228" s="19" t="inlineStr"/>
      <c r="P2228" s="18" t="inlineStr">
        <is>
          <t>the_bumblezone:floral_meadow</t>
        </is>
      </c>
      <c r="Q2228" s="19" t="inlineStr"/>
      <c r="R2228" s="18">
        <f>IF(Q2228="",P2228,Q2228)</f>
        <v/>
      </c>
      <c r="S2228" s="18" t="inlineStr"/>
      <c r="T2228" s="18" t="inlineStr">
        <is>
          <t>common</t>
        </is>
      </c>
      <c r="U2228" s="20" t="n">
        <v>1.5</v>
      </c>
      <c r="V2228" s="21" t="n">
        <v>1</v>
      </c>
      <c r="W2228" s="20">
        <f>IF(OR(U2228="",V2228=""),U2228,U2228*V2228)</f>
        <v/>
      </c>
      <c r="X2228" s="18" t="inlineStr">
        <is>
          <t>5-30</t>
        </is>
      </c>
      <c r="Y2228" s="19" t="inlineStr"/>
      <c r="Z2228" s="18">
        <f>IF(Y2228="",X2228,Y2228)</f>
        <v/>
      </c>
      <c r="AA2228" s="18" t="inlineStr">
        <is>
          <t>grounded</t>
        </is>
      </c>
      <c r="AB2228" s="18" t="inlineStr"/>
      <c r="AC2228" s="18" t="inlineStr"/>
      <c r="AD2228" s="18" t="inlineStr"/>
      <c r="AE2228" s="18" t="inlineStr"/>
      <c r="AF2228" s="18" t="inlineStr"/>
      <c r="AG2228" s="18" t="inlineStr"/>
      <c r="AH2228" s="18" t="inlineStr"/>
      <c r="AI2228" s="18" t="inlineStr"/>
      <c r="AJ2228" s="18" t="inlineStr">
        <is>
          <t>Cobblemon 동일</t>
        </is>
      </c>
      <c r="AK2228" s="18" t="inlineStr">
        <is>
          <t>사용</t>
        </is>
      </c>
      <c r="AL2228" s="18" t="inlineStr">
        <is>
          <t>COBBLEVERSE 1.7.42 / DP v31</t>
        </is>
      </c>
      <c r="AM2228" s="18" t="inlineStr">
        <is>
          <t>data/cobblemon/spawn_pool_world/0669_flabebe.json</t>
        </is>
      </c>
      <c r="AN2228" s="18" t="inlineStr">
        <is>
          <t>flabebe-orange-8</t>
        </is>
      </c>
      <c r="AO2228" s="18" t="inlineStr">
        <is>
          <t>pokemon</t>
        </is>
      </c>
      <c r="AP2228" s="18" t="inlineStr"/>
      <c r="AQ2228" s="18" t="inlineStr">
        <is>
          <t>{"biomes":["the_bumblezone:floral_meadow"]}</t>
        </is>
      </c>
      <c r="AR2228" s="18" t="inlineStr">
        <is>
          <t>{"structures":["#the_bumblezone:sempiternal_sanctums"]}</t>
        </is>
      </c>
      <c r="AS2228" s="18" t="inlineStr">
        <is>
          <t>{"weightMultiplier":{"condition":{"timeRange":"night"},"multiplier":0.25}}</t>
        </is>
      </c>
      <c r="AT2228" s="19" t="inlineStr"/>
    </row>
    <row r="2229" ht="32" customHeight="1">
      <c r="A2229" s="18" t="inlineStr">
        <is>
          <t>0669_flabebe.json::flabebe-blue-8::011</t>
        </is>
      </c>
      <c r="B2229" s="19" t="inlineStr">
        <is>
          <t>사용</t>
        </is>
      </c>
      <c r="C2229" s="18">
        <f>IF(OR(B2229&lt;&gt;AK2229,M2229&lt;&gt;L2229,O2229&lt;&gt;"",Q2229&lt;&gt;"",V2229&lt;&gt;1,Y2229&lt;&gt;"",AT2229&lt;&gt;""),"수정","원본")</f>
        <v/>
      </c>
      <c r="D2229" s="18" t="n">
        <v>669</v>
      </c>
      <c r="E2229" s="18" t="inlineStr">
        <is>
          <t>플라베베</t>
        </is>
      </c>
      <c r="F2229" s="18" t="inlineStr">
        <is>
          <t>flabebe</t>
        </is>
      </c>
      <c r="G2229" s="18" t="inlineStr">
        <is>
          <t>flabebe flower=blue</t>
        </is>
      </c>
      <c r="H2229" s="18" t="inlineStr">
        <is>
          <t>flower=blue</t>
        </is>
      </c>
      <c r="I2229" s="18" t="n">
        <v>6</v>
      </c>
      <c r="J2229" s="18" t="n"/>
      <c r="K2229" s="18" t="n">
        <v>6</v>
      </c>
      <c r="L2229" s="18" t="inlineStr">
        <is>
          <t>cobbleventure:generation_6</t>
        </is>
      </c>
      <c r="M2229" s="19" t="inlineStr">
        <is>
          <t>cobbleventure:generation_6</t>
        </is>
      </c>
      <c r="N2229" s="18" t="inlineStr"/>
      <c r="O2229" s="19" t="inlineStr"/>
      <c r="P2229" s="18" t="inlineStr">
        <is>
          <t>the_bumblezone:floral_meadow</t>
        </is>
      </c>
      <c r="Q2229" s="19" t="inlineStr"/>
      <c r="R2229" s="18">
        <f>IF(Q2229="",P2229,Q2229)</f>
        <v/>
      </c>
      <c r="S2229" s="18" t="inlineStr"/>
      <c r="T2229" s="18" t="inlineStr">
        <is>
          <t>common</t>
        </is>
      </c>
      <c r="U2229" s="20" t="n">
        <v>1.5</v>
      </c>
      <c r="V2229" s="21" t="n">
        <v>1</v>
      </c>
      <c r="W2229" s="20">
        <f>IF(OR(U2229="",V2229=""),U2229,U2229*V2229)</f>
        <v/>
      </c>
      <c r="X2229" s="18" t="inlineStr">
        <is>
          <t>5-30</t>
        </is>
      </c>
      <c r="Y2229" s="19" t="inlineStr"/>
      <c r="Z2229" s="18">
        <f>IF(Y2229="",X2229,Y2229)</f>
        <v/>
      </c>
      <c r="AA2229" s="18" t="inlineStr">
        <is>
          <t>grounded</t>
        </is>
      </c>
      <c r="AB2229" s="18" t="inlineStr"/>
      <c r="AC2229" s="18" t="inlineStr"/>
      <c r="AD2229" s="18" t="inlineStr"/>
      <c r="AE2229" s="18" t="inlineStr"/>
      <c r="AF2229" s="18" t="inlineStr"/>
      <c r="AG2229" s="18" t="inlineStr"/>
      <c r="AH2229" s="18" t="inlineStr"/>
      <c r="AI2229" s="18" t="inlineStr"/>
      <c r="AJ2229" s="18" t="inlineStr">
        <is>
          <t>Cobblemon 동일</t>
        </is>
      </c>
      <c r="AK2229" s="18" t="inlineStr">
        <is>
          <t>사용</t>
        </is>
      </c>
      <c r="AL2229" s="18" t="inlineStr">
        <is>
          <t>COBBLEVERSE 1.7.42 / DP v31</t>
        </is>
      </c>
      <c r="AM2229" s="18" t="inlineStr">
        <is>
          <t>data/cobblemon/spawn_pool_world/0669_flabebe.json</t>
        </is>
      </c>
      <c r="AN2229" s="18" t="inlineStr">
        <is>
          <t>flabebe-blue-8</t>
        </is>
      </c>
      <c r="AO2229" s="18" t="inlineStr">
        <is>
          <t>pokemon</t>
        </is>
      </c>
      <c r="AP2229" s="18" t="inlineStr"/>
      <c r="AQ2229" s="18" t="inlineStr">
        <is>
          <t>{"biomes":["the_bumblezone:floral_meadow"]}</t>
        </is>
      </c>
      <c r="AR2229" s="18" t="inlineStr">
        <is>
          <t>{"structures":["#the_bumblezone:sempiternal_sanctums"]}</t>
        </is>
      </c>
      <c r="AS2229" s="18" t="inlineStr">
        <is>
          <t>{"weightMultiplier":{"condition":{"timeRange":"night"},"multiplier":0.25}}</t>
        </is>
      </c>
      <c r="AT2229" s="19" t="inlineStr"/>
    </row>
    <row r="2230" ht="32" customHeight="1">
      <c r="A2230" s="18" t="inlineStr">
        <is>
          <t>0669_flabebe.json::flabebe-white-8::012</t>
        </is>
      </c>
      <c r="B2230" s="19" t="inlineStr">
        <is>
          <t>사용</t>
        </is>
      </c>
      <c r="C2230" s="18">
        <f>IF(OR(B2230&lt;&gt;AK2230,M2230&lt;&gt;L2230,O2230&lt;&gt;"",Q2230&lt;&gt;"",V2230&lt;&gt;1,Y2230&lt;&gt;"",AT2230&lt;&gt;""),"수정","원본")</f>
        <v/>
      </c>
      <c r="D2230" s="18" t="n">
        <v>669</v>
      </c>
      <c r="E2230" s="18" t="inlineStr">
        <is>
          <t>플라베베</t>
        </is>
      </c>
      <c r="F2230" s="18" t="inlineStr">
        <is>
          <t>flabebe</t>
        </is>
      </c>
      <c r="G2230" s="18" t="inlineStr">
        <is>
          <t>flabebe flower=white</t>
        </is>
      </c>
      <c r="H2230" s="18" t="inlineStr">
        <is>
          <t>flower=white</t>
        </is>
      </c>
      <c r="I2230" s="18" t="n">
        <v>6</v>
      </c>
      <c r="J2230" s="18" t="n"/>
      <c r="K2230" s="18" t="n">
        <v>6</v>
      </c>
      <c r="L2230" s="18" t="inlineStr">
        <is>
          <t>cobbleventure:generation_6</t>
        </is>
      </c>
      <c r="M2230" s="19" t="inlineStr">
        <is>
          <t>cobbleventure:generation_6</t>
        </is>
      </c>
      <c r="N2230" s="18" t="inlineStr"/>
      <c r="O2230" s="19" t="inlineStr"/>
      <c r="P2230" s="18" t="inlineStr">
        <is>
          <t>the_bumblezone:floral_meadow</t>
        </is>
      </c>
      <c r="Q2230" s="19" t="inlineStr"/>
      <c r="R2230" s="18">
        <f>IF(Q2230="",P2230,Q2230)</f>
        <v/>
      </c>
      <c r="S2230" s="18" t="inlineStr"/>
      <c r="T2230" s="18" t="inlineStr">
        <is>
          <t>common</t>
        </is>
      </c>
      <c r="U2230" s="20" t="n">
        <v>1.5</v>
      </c>
      <c r="V2230" s="21" t="n">
        <v>1</v>
      </c>
      <c r="W2230" s="20">
        <f>IF(OR(U2230="",V2230=""),U2230,U2230*V2230)</f>
        <v/>
      </c>
      <c r="X2230" s="18" t="inlineStr">
        <is>
          <t>5-30</t>
        </is>
      </c>
      <c r="Y2230" s="19" t="inlineStr"/>
      <c r="Z2230" s="18">
        <f>IF(Y2230="",X2230,Y2230)</f>
        <v/>
      </c>
      <c r="AA2230" s="18" t="inlineStr">
        <is>
          <t>grounded</t>
        </is>
      </c>
      <c r="AB2230" s="18" t="inlineStr"/>
      <c r="AC2230" s="18" t="inlineStr"/>
      <c r="AD2230" s="18" t="inlineStr"/>
      <c r="AE2230" s="18" t="inlineStr"/>
      <c r="AF2230" s="18" t="inlineStr"/>
      <c r="AG2230" s="18" t="inlineStr"/>
      <c r="AH2230" s="18" t="inlineStr"/>
      <c r="AI2230" s="18" t="inlineStr"/>
      <c r="AJ2230" s="18" t="inlineStr">
        <is>
          <t>Cobblemon 동일</t>
        </is>
      </c>
      <c r="AK2230" s="18" t="inlineStr">
        <is>
          <t>사용</t>
        </is>
      </c>
      <c r="AL2230" s="18" t="inlineStr">
        <is>
          <t>COBBLEVERSE 1.7.42 / DP v31</t>
        </is>
      </c>
      <c r="AM2230" s="18" t="inlineStr">
        <is>
          <t>data/cobblemon/spawn_pool_world/0669_flabebe.json</t>
        </is>
      </c>
      <c r="AN2230" s="18" t="inlineStr">
        <is>
          <t>flabebe-white-8</t>
        </is>
      </c>
      <c r="AO2230" s="18" t="inlineStr">
        <is>
          <t>pokemon</t>
        </is>
      </c>
      <c r="AP2230" s="18" t="inlineStr"/>
      <c r="AQ2230" s="18" t="inlineStr">
        <is>
          <t>{"biomes":["the_bumblezone:floral_meadow"]}</t>
        </is>
      </c>
      <c r="AR2230" s="18" t="inlineStr">
        <is>
          <t>{"structures":["#the_bumblezone:sempiternal_sanctums"]}</t>
        </is>
      </c>
      <c r="AS2230" s="18" t="inlineStr">
        <is>
          <t>{"weightMultiplier":{"condition":{"timeRange":"night"},"multiplier":0.25}}</t>
        </is>
      </c>
      <c r="AT2230" s="19" t="inlineStr"/>
    </row>
    <row r="2231" ht="32" customHeight="1">
      <c r="A2231" s="18" t="inlineStr">
        <is>
          <t>0669_flabebe.json::flabebe-pink-8::013</t>
        </is>
      </c>
      <c r="B2231" s="19" t="inlineStr">
        <is>
          <t>사용</t>
        </is>
      </c>
      <c r="C2231" s="18">
        <f>IF(OR(B2231&lt;&gt;AK2231,M2231&lt;&gt;L2231,O2231&lt;&gt;"",Q2231&lt;&gt;"",V2231&lt;&gt;1,Y2231&lt;&gt;"",AT2231&lt;&gt;""),"수정","원본")</f>
        <v/>
      </c>
      <c r="D2231" s="18" t="n">
        <v>669</v>
      </c>
      <c r="E2231" s="18" t="inlineStr">
        <is>
          <t>플라베베</t>
        </is>
      </c>
      <c r="F2231" s="18" t="inlineStr">
        <is>
          <t>flabebe</t>
        </is>
      </c>
      <c r="G2231" s="18" t="inlineStr">
        <is>
          <t>flabebe flower=pink</t>
        </is>
      </c>
      <c r="H2231" s="18" t="inlineStr">
        <is>
          <t>flower=pink</t>
        </is>
      </c>
      <c r="I2231" s="18" t="n">
        <v>6</v>
      </c>
      <c r="J2231" s="18" t="n"/>
      <c r="K2231" s="18" t="n">
        <v>6</v>
      </c>
      <c r="L2231" s="18" t="inlineStr">
        <is>
          <t>cobbleventure:generation_6</t>
        </is>
      </c>
      <c r="M2231" s="19" t="inlineStr">
        <is>
          <t>cobbleventure:generation_6</t>
        </is>
      </c>
      <c r="N2231" s="18" t="inlineStr"/>
      <c r="O2231" s="19" t="inlineStr"/>
      <c r="P2231" s="18" t="inlineStr">
        <is>
          <t>the_bumblezone:floral_meadow</t>
        </is>
      </c>
      <c r="Q2231" s="19" t="inlineStr"/>
      <c r="R2231" s="18">
        <f>IF(Q2231="",P2231,Q2231)</f>
        <v/>
      </c>
      <c r="S2231" s="18" t="inlineStr"/>
      <c r="T2231" s="18" t="inlineStr">
        <is>
          <t>common</t>
        </is>
      </c>
      <c r="U2231" s="20" t="n">
        <v>1.5</v>
      </c>
      <c r="V2231" s="21" t="n">
        <v>1</v>
      </c>
      <c r="W2231" s="20">
        <f>IF(OR(U2231="",V2231=""),U2231,U2231*V2231)</f>
        <v/>
      </c>
      <c r="X2231" s="18" t="inlineStr">
        <is>
          <t>5-30</t>
        </is>
      </c>
      <c r="Y2231" s="19" t="inlineStr"/>
      <c r="Z2231" s="18">
        <f>IF(Y2231="",X2231,Y2231)</f>
        <v/>
      </c>
      <c r="AA2231" s="18" t="inlineStr">
        <is>
          <t>grounded</t>
        </is>
      </c>
      <c r="AB2231" s="18" t="inlineStr"/>
      <c r="AC2231" s="18" t="inlineStr"/>
      <c r="AD2231" s="18" t="inlineStr"/>
      <c r="AE2231" s="18" t="inlineStr"/>
      <c r="AF2231" s="18" t="inlineStr"/>
      <c r="AG2231" s="18" t="inlineStr"/>
      <c r="AH2231" s="18" t="inlineStr"/>
      <c r="AI2231" s="18" t="inlineStr"/>
      <c r="AJ2231" s="18" t="inlineStr">
        <is>
          <t>Cobblemon 동일</t>
        </is>
      </c>
      <c r="AK2231" s="18" t="inlineStr">
        <is>
          <t>사용</t>
        </is>
      </c>
      <c r="AL2231" s="18" t="inlineStr">
        <is>
          <t>COBBLEVERSE 1.7.42 / DP v31</t>
        </is>
      </c>
      <c r="AM2231" s="18" t="inlineStr">
        <is>
          <t>data/cobblemon/spawn_pool_world/0669_flabebe.json</t>
        </is>
      </c>
      <c r="AN2231" s="18" t="inlineStr">
        <is>
          <t>flabebe-pink-8</t>
        </is>
      </c>
      <c r="AO2231" s="18" t="inlineStr">
        <is>
          <t>pokemon</t>
        </is>
      </c>
      <c r="AP2231" s="18" t="inlineStr"/>
      <c r="AQ2231" s="18" t="inlineStr">
        <is>
          <t>{"biomes":["the_bumblezone:floral_meadow"]}</t>
        </is>
      </c>
      <c r="AR2231" s="18" t="inlineStr">
        <is>
          <t>{"structures":["#the_bumblezone:sempiternal_sanctums"]}</t>
        </is>
      </c>
      <c r="AS2231" s="18" t="inlineStr">
        <is>
          <t>{"weightMultiplier":{"condition":{"timeRange":"night"},"multiplier":0.25}}</t>
        </is>
      </c>
      <c r="AT2231" s="19" t="inlineStr"/>
    </row>
    <row r="2232" ht="32" customHeight="1">
      <c r="A2232" s="18" t="inlineStr">
        <is>
          <t>0670_floette.json::floette-red-1::001</t>
        </is>
      </c>
      <c r="B2232" s="19" t="inlineStr">
        <is>
          <t>사용</t>
        </is>
      </c>
      <c r="C2232" s="18">
        <f>IF(OR(B2232&lt;&gt;AK2232,M2232&lt;&gt;L2232,O2232&lt;&gt;"",Q2232&lt;&gt;"",V2232&lt;&gt;1,Y2232&lt;&gt;"",AT2232&lt;&gt;""),"수정","원본")</f>
        <v/>
      </c>
      <c r="D2232" s="18" t="n">
        <v>670</v>
      </c>
      <c r="E2232" s="18" t="inlineStr">
        <is>
          <t>플라엣테</t>
        </is>
      </c>
      <c r="F2232" s="18" t="inlineStr">
        <is>
          <t>floette</t>
        </is>
      </c>
      <c r="G2232" s="18" t="inlineStr">
        <is>
          <t>floette flower=red</t>
        </is>
      </c>
      <c r="H2232" s="18" t="inlineStr">
        <is>
          <t>flower=red</t>
        </is>
      </c>
      <c r="I2232" s="18" t="n">
        <v>6</v>
      </c>
      <c r="J2232" s="18" t="n"/>
      <c r="K2232" s="18" t="n">
        <v>6</v>
      </c>
      <c r="L2232" s="18" t="inlineStr">
        <is>
          <t>cobbleventure:generation_6</t>
        </is>
      </c>
      <c r="M2232" s="19" t="inlineStr">
        <is>
          <t>cobbleventure:generation_6</t>
        </is>
      </c>
      <c r="N2232" s="18" t="inlineStr">
        <is>
          <t>region_01; region_02</t>
        </is>
      </c>
      <c r="O2232" s="19" t="inlineStr"/>
      <c r="P2232" s="18" t="inlineStr">
        <is>
          <t>#cobblemon:is_overworld</t>
        </is>
      </c>
      <c r="Q2232" s="19" t="inlineStr"/>
      <c r="R2232" s="18">
        <f>IF(Q2232="",P2232,Q2232)</f>
        <v/>
      </c>
      <c r="S2232" s="18" t="inlineStr"/>
      <c r="T2232" s="18" t="inlineStr">
        <is>
          <t>common</t>
        </is>
      </c>
      <c r="U2232" s="20" t="n">
        <v>0.95</v>
      </c>
      <c r="V2232" s="21" t="n">
        <v>1</v>
      </c>
      <c r="W2232" s="20">
        <f>IF(OR(U2232="",V2232=""),U2232,U2232*V2232)</f>
        <v/>
      </c>
      <c r="X2232" s="18" t="inlineStr">
        <is>
          <t>19-37</t>
        </is>
      </c>
      <c r="Y2232" s="19" t="inlineStr"/>
      <c r="Z2232" s="18">
        <f>IF(Y2232="",X2232,Y2232)</f>
        <v/>
      </c>
      <c r="AA2232" s="18" t="inlineStr">
        <is>
          <t>grounded</t>
        </is>
      </c>
      <c r="AB2232" s="18" t="inlineStr"/>
      <c r="AC2232" s="18" t="inlineStr"/>
      <c r="AD2232" s="18" t="inlineStr"/>
      <c r="AE2232" s="18" t="inlineStr">
        <is>
          <t>sky 8-15</t>
        </is>
      </c>
      <c r="AF2232" s="18" t="inlineStr"/>
      <c r="AG2232" s="18" t="inlineStr"/>
      <c r="AH2232" s="18" t="inlineStr">
        <is>
          <t>주변=#cobblemon:red_flowers</t>
        </is>
      </c>
      <c r="AI2232" s="18" t="inlineStr"/>
      <c r="AJ2232" s="18" t="inlineStr">
        <is>
          <t>COBBLEVERSE 수정</t>
        </is>
      </c>
      <c r="AK2232" s="18" t="inlineStr">
        <is>
          <t>사용</t>
        </is>
      </c>
      <c r="AL2232" s="18" t="inlineStr">
        <is>
          <t>COBBLEVERSE 1.7.42 / DP v31</t>
        </is>
      </c>
      <c r="AM2232" s="18" t="inlineStr">
        <is>
          <t>data/cobblemon/spawn_pool_world/0670_floette.json</t>
        </is>
      </c>
      <c r="AN2232" s="18" t="inlineStr">
        <is>
          <t>floette-red-1</t>
        </is>
      </c>
      <c r="AO2232" s="18" t="inlineStr">
        <is>
          <t>pokemon</t>
        </is>
      </c>
      <c r="AP2232" s="18" t="inlineStr">
        <is>
          <t>natural</t>
        </is>
      </c>
      <c r="AQ2232" s="18" t="inlineStr">
        <is>
          <t>{"biomes":["#cobblemon:is_overworld"],"maxSkyLight":15,"minSkyLight":8,"neededNearbyBlocks":["#cobblemon:red_flowers"]}</t>
        </is>
      </c>
      <c r="AR2232" s="18" t="inlineStr"/>
      <c r="AS2232" s="18" t="inlineStr">
        <is>
          <t>{"weightMultiplier":{"condition":{"timeRange":"night"},"multiplier":0.25}}</t>
        </is>
      </c>
      <c r="AT2232" s="19" t="inlineStr"/>
    </row>
    <row r="2233" ht="32" customHeight="1">
      <c r="A2233" s="18" t="inlineStr">
        <is>
          <t>0670_floette.json::floette-yellow-2::002</t>
        </is>
      </c>
      <c r="B2233" s="19" t="inlineStr">
        <is>
          <t>사용</t>
        </is>
      </c>
      <c r="C2233" s="18">
        <f>IF(OR(B2233&lt;&gt;AK2233,M2233&lt;&gt;L2233,O2233&lt;&gt;"",Q2233&lt;&gt;"",V2233&lt;&gt;1,Y2233&lt;&gt;"",AT2233&lt;&gt;""),"수정","원본")</f>
        <v/>
      </c>
      <c r="D2233" s="18" t="n">
        <v>670</v>
      </c>
      <c r="E2233" s="18" t="inlineStr">
        <is>
          <t>플라엣테</t>
        </is>
      </c>
      <c r="F2233" s="18" t="inlineStr">
        <is>
          <t>floette</t>
        </is>
      </c>
      <c r="G2233" s="18" t="inlineStr">
        <is>
          <t>floette flower=yellow</t>
        </is>
      </c>
      <c r="H2233" s="18" t="inlineStr">
        <is>
          <t>flower=yellow</t>
        </is>
      </c>
      <c r="I2233" s="18" t="n">
        <v>6</v>
      </c>
      <c r="J2233" s="18" t="n"/>
      <c r="K2233" s="18" t="n">
        <v>6</v>
      </c>
      <c r="L2233" s="18" t="inlineStr">
        <is>
          <t>cobbleventure:generation_6</t>
        </is>
      </c>
      <c r="M2233" s="19" t="inlineStr">
        <is>
          <t>cobbleventure:generation_6</t>
        </is>
      </c>
      <c r="N2233" s="18" t="inlineStr">
        <is>
          <t>region_01; region_02</t>
        </is>
      </c>
      <c r="O2233" s="19" t="inlineStr"/>
      <c r="P2233" s="18" t="inlineStr">
        <is>
          <t>#cobblemon:is_overworld</t>
        </is>
      </c>
      <c r="Q2233" s="19" t="inlineStr"/>
      <c r="R2233" s="18">
        <f>IF(Q2233="",P2233,Q2233)</f>
        <v/>
      </c>
      <c r="S2233" s="18" t="inlineStr"/>
      <c r="T2233" s="18" t="inlineStr">
        <is>
          <t>common</t>
        </is>
      </c>
      <c r="U2233" s="20" t="n">
        <v>0.95</v>
      </c>
      <c r="V2233" s="21" t="n">
        <v>1</v>
      </c>
      <c r="W2233" s="20">
        <f>IF(OR(U2233="",V2233=""),U2233,U2233*V2233)</f>
        <v/>
      </c>
      <c r="X2233" s="18" t="inlineStr">
        <is>
          <t>19-37</t>
        </is>
      </c>
      <c r="Y2233" s="19" t="inlineStr"/>
      <c r="Z2233" s="18">
        <f>IF(Y2233="",X2233,Y2233)</f>
        <v/>
      </c>
      <c r="AA2233" s="18" t="inlineStr">
        <is>
          <t>grounded</t>
        </is>
      </c>
      <c r="AB2233" s="18" t="inlineStr"/>
      <c r="AC2233" s="18" t="inlineStr"/>
      <c r="AD2233" s="18" t="inlineStr"/>
      <c r="AE2233" s="18" t="inlineStr">
        <is>
          <t>sky 8-15</t>
        </is>
      </c>
      <c r="AF2233" s="18" t="inlineStr"/>
      <c r="AG2233" s="18" t="inlineStr"/>
      <c r="AH2233" s="18" t="inlineStr">
        <is>
          <t>주변=#cobblemon:yellow_flowers</t>
        </is>
      </c>
      <c r="AI2233" s="18" t="inlineStr"/>
      <c r="AJ2233" s="18" t="inlineStr">
        <is>
          <t>COBBLEVERSE 수정</t>
        </is>
      </c>
      <c r="AK2233" s="18" t="inlineStr">
        <is>
          <t>사용</t>
        </is>
      </c>
      <c r="AL2233" s="18" t="inlineStr">
        <is>
          <t>COBBLEVERSE 1.7.42 / DP v31</t>
        </is>
      </c>
      <c r="AM2233" s="18" t="inlineStr">
        <is>
          <t>data/cobblemon/spawn_pool_world/0670_floette.json</t>
        </is>
      </c>
      <c r="AN2233" s="18" t="inlineStr">
        <is>
          <t>floette-yellow-2</t>
        </is>
      </c>
      <c r="AO2233" s="18" t="inlineStr">
        <is>
          <t>pokemon</t>
        </is>
      </c>
      <c r="AP2233" s="18" t="inlineStr">
        <is>
          <t>natural</t>
        </is>
      </c>
      <c r="AQ2233" s="18" t="inlineStr">
        <is>
          <t>{"biomes":["#cobblemon:is_overworld"],"maxSkyLight":15,"minSkyLight":8,"neededNearbyBlocks":["#cobblemon:yellow_flowers"]}</t>
        </is>
      </c>
      <c r="AR2233" s="18" t="inlineStr"/>
      <c r="AS2233" s="18" t="inlineStr">
        <is>
          <t>{"weightMultiplier":{"condition":{"timeRange":"night"},"multiplier":0.25}}</t>
        </is>
      </c>
      <c r="AT2233" s="19" t="inlineStr"/>
    </row>
    <row r="2234" ht="32" customHeight="1">
      <c r="A2234" s="18" t="inlineStr">
        <is>
          <t>0670_floette.json::floette-orange-3::003</t>
        </is>
      </c>
      <c r="B2234" s="19" t="inlineStr">
        <is>
          <t>사용</t>
        </is>
      </c>
      <c r="C2234" s="18">
        <f>IF(OR(B2234&lt;&gt;AK2234,M2234&lt;&gt;L2234,O2234&lt;&gt;"",Q2234&lt;&gt;"",V2234&lt;&gt;1,Y2234&lt;&gt;"",AT2234&lt;&gt;""),"수정","원본")</f>
        <v/>
      </c>
      <c r="D2234" s="18" t="n">
        <v>670</v>
      </c>
      <c r="E2234" s="18" t="inlineStr">
        <is>
          <t>플라엣테</t>
        </is>
      </c>
      <c r="F2234" s="18" t="inlineStr">
        <is>
          <t>floette</t>
        </is>
      </c>
      <c r="G2234" s="18" t="inlineStr">
        <is>
          <t>floette flower=orange</t>
        </is>
      </c>
      <c r="H2234" s="18" t="inlineStr">
        <is>
          <t>flower=orange</t>
        </is>
      </c>
      <c r="I2234" s="18" t="n">
        <v>6</v>
      </c>
      <c r="J2234" s="18" t="n"/>
      <c r="K2234" s="18" t="n">
        <v>6</v>
      </c>
      <c r="L2234" s="18" t="inlineStr">
        <is>
          <t>cobbleventure:generation_6</t>
        </is>
      </c>
      <c r="M2234" s="19" t="inlineStr">
        <is>
          <t>cobbleventure:generation_6</t>
        </is>
      </c>
      <c r="N2234" s="18" t="inlineStr">
        <is>
          <t>region_01; region_02</t>
        </is>
      </c>
      <c r="O2234" s="19" t="inlineStr"/>
      <c r="P2234" s="18" t="inlineStr">
        <is>
          <t>#cobblemon:is_overworld</t>
        </is>
      </c>
      <c r="Q2234" s="19" t="inlineStr"/>
      <c r="R2234" s="18">
        <f>IF(Q2234="",P2234,Q2234)</f>
        <v/>
      </c>
      <c r="S2234" s="18" t="inlineStr"/>
      <c r="T2234" s="18" t="inlineStr">
        <is>
          <t>common</t>
        </is>
      </c>
      <c r="U2234" s="20" t="n">
        <v>0.95</v>
      </c>
      <c r="V2234" s="21" t="n">
        <v>1</v>
      </c>
      <c r="W2234" s="20">
        <f>IF(OR(U2234="",V2234=""),U2234,U2234*V2234)</f>
        <v/>
      </c>
      <c r="X2234" s="18" t="inlineStr">
        <is>
          <t>19-37</t>
        </is>
      </c>
      <c r="Y2234" s="19" t="inlineStr"/>
      <c r="Z2234" s="18">
        <f>IF(Y2234="",X2234,Y2234)</f>
        <v/>
      </c>
      <c r="AA2234" s="18" t="inlineStr">
        <is>
          <t>grounded</t>
        </is>
      </c>
      <c r="AB2234" s="18" t="inlineStr"/>
      <c r="AC2234" s="18" t="inlineStr"/>
      <c r="AD2234" s="18" t="inlineStr"/>
      <c r="AE2234" s="18" t="inlineStr">
        <is>
          <t>sky 8-15</t>
        </is>
      </c>
      <c r="AF2234" s="18" t="inlineStr"/>
      <c r="AG2234" s="18" t="inlineStr"/>
      <c r="AH2234" s="18" t="inlineStr">
        <is>
          <t>주변=#cobblemon:orange_flowers</t>
        </is>
      </c>
      <c r="AI2234" s="18" t="inlineStr"/>
      <c r="AJ2234" s="18" t="inlineStr">
        <is>
          <t>COBBLEVERSE 수정</t>
        </is>
      </c>
      <c r="AK2234" s="18" t="inlineStr">
        <is>
          <t>사용</t>
        </is>
      </c>
      <c r="AL2234" s="18" t="inlineStr">
        <is>
          <t>COBBLEVERSE 1.7.42 / DP v31</t>
        </is>
      </c>
      <c r="AM2234" s="18" t="inlineStr">
        <is>
          <t>data/cobblemon/spawn_pool_world/0670_floette.json</t>
        </is>
      </c>
      <c r="AN2234" s="18" t="inlineStr">
        <is>
          <t>floette-orange-3</t>
        </is>
      </c>
      <c r="AO2234" s="18" t="inlineStr">
        <is>
          <t>pokemon</t>
        </is>
      </c>
      <c r="AP2234" s="18" t="inlineStr">
        <is>
          <t>natural</t>
        </is>
      </c>
      <c r="AQ2234" s="18" t="inlineStr">
        <is>
          <t>{"biomes":["#cobblemon:is_overworld"],"maxSkyLight":15,"minSkyLight":8,"neededNearbyBlocks":["#cobblemon:orange_flowers"]}</t>
        </is>
      </c>
      <c r="AR2234" s="18" t="inlineStr"/>
      <c r="AS2234" s="18" t="inlineStr">
        <is>
          <t>{"weightMultiplier":{"condition":{"timeRange":"night"},"multiplier":0.25}}</t>
        </is>
      </c>
      <c r="AT2234" s="19" t="inlineStr"/>
    </row>
    <row r="2235" ht="32" customHeight="1">
      <c r="A2235" s="18" t="inlineStr">
        <is>
          <t>0670_floette.json::floette-blue-4::004</t>
        </is>
      </c>
      <c r="B2235" s="19" t="inlineStr">
        <is>
          <t>사용</t>
        </is>
      </c>
      <c r="C2235" s="18">
        <f>IF(OR(B2235&lt;&gt;AK2235,M2235&lt;&gt;L2235,O2235&lt;&gt;"",Q2235&lt;&gt;"",V2235&lt;&gt;1,Y2235&lt;&gt;"",AT2235&lt;&gt;""),"수정","원본")</f>
        <v/>
      </c>
      <c r="D2235" s="18" t="n">
        <v>670</v>
      </c>
      <c r="E2235" s="18" t="inlineStr">
        <is>
          <t>플라엣테</t>
        </is>
      </c>
      <c r="F2235" s="18" t="inlineStr">
        <is>
          <t>floette</t>
        </is>
      </c>
      <c r="G2235" s="18" t="inlineStr">
        <is>
          <t>floette flower=blue</t>
        </is>
      </c>
      <c r="H2235" s="18" t="inlineStr">
        <is>
          <t>flower=blue</t>
        </is>
      </c>
      <c r="I2235" s="18" t="n">
        <v>6</v>
      </c>
      <c r="J2235" s="18" t="n"/>
      <c r="K2235" s="18" t="n">
        <v>6</v>
      </c>
      <c r="L2235" s="18" t="inlineStr">
        <is>
          <t>cobbleventure:generation_6</t>
        </is>
      </c>
      <c r="M2235" s="19" t="inlineStr">
        <is>
          <t>cobbleventure:generation_6</t>
        </is>
      </c>
      <c r="N2235" s="18" t="inlineStr">
        <is>
          <t>region_01; region_02</t>
        </is>
      </c>
      <c r="O2235" s="19" t="inlineStr"/>
      <c r="P2235" s="18" t="inlineStr">
        <is>
          <t>#cobblemon:is_overworld</t>
        </is>
      </c>
      <c r="Q2235" s="19" t="inlineStr"/>
      <c r="R2235" s="18">
        <f>IF(Q2235="",P2235,Q2235)</f>
        <v/>
      </c>
      <c r="S2235" s="18" t="inlineStr"/>
      <c r="T2235" s="18" t="inlineStr">
        <is>
          <t>common</t>
        </is>
      </c>
      <c r="U2235" s="20" t="n">
        <v>0.95</v>
      </c>
      <c r="V2235" s="21" t="n">
        <v>1</v>
      </c>
      <c r="W2235" s="20">
        <f>IF(OR(U2235="",V2235=""),U2235,U2235*V2235)</f>
        <v/>
      </c>
      <c r="X2235" s="18" t="inlineStr">
        <is>
          <t>19-37</t>
        </is>
      </c>
      <c r="Y2235" s="19" t="inlineStr"/>
      <c r="Z2235" s="18">
        <f>IF(Y2235="",X2235,Y2235)</f>
        <v/>
      </c>
      <c r="AA2235" s="18" t="inlineStr">
        <is>
          <t>grounded</t>
        </is>
      </c>
      <c r="AB2235" s="18" t="inlineStr"/>
      <c r="AC2235" s="18" t="inlineStr"/>
      <c r="AD2235" s="18" t="inlineStr"/>
      <c r="AE2235" s="18" t="inlineStr">
        <is>
          <t>sky 8-15</t>
        </is>
      </c>
      <c r="AF2235" s="18" t="inlineStr"/>
      <c r="AG2235" s="18" t="inlineStr"/>
      <c r="AH2235" s="18" t="inlineStr">
        <is>
          <t>주변=#cobblemon:blue_flowers</t>
        </is>
      </c>
      <c r="AI2235" s="18" t="inlineStr"/>
      <c r="AJ2235" s="18" t="inlineStr">
        <is>
          <t>COBBLEVERSE 수정</t>
        </is>
      </c>
      <c r="AK2235" s="18" t="inlineStr">
        <is>
          <t>사용</t>
        </is>
      </c>
      <c r="AL2235" s="18" t="inlineStr">
        <is>
          <t>COBBLEVERSE 1.7.42 / DP v31</t>
        </is>
      </c>
      <c r="AM2235" s="18" t="inlineStr">
        <is>
          <t>data/cobblemon/spawn_pool_world/0670_floette.json</t>
        </is>
      </c>
      <c r="AN2235" s="18" t="inlineStr">
        <is>
          <t>floette-blue-4</t>
        </is>
      </c>
      <c r="AO2235" s="18" t="inlineStr">
        <is>
          <t>pokemon</t>
        </is>
      </c>
      <c r="AP2235" s="18" t="inlineStr">
        <is>
          <t>natural</t>
        </is>
      </c>
      <c r="AQ2235" s="18" t="inlineStr">
        <is>
          <t>{"biomes":["#cobblemon:is_overworld"],"maxSkyLight":15,"minSkyLight":8,"neededNearbyBlocks":["#cobblemon:blue_flowers"]}</t>
        </is>
      </c>
      <c r="AR2235" s="18" t="inlineStr"/>
      <c r="AS2235" s="18" t="inlineStr">
        <is>
          <t>{"weightMultiplier":{"condition":{"timeRange":"night"},"multiplier":0.25}}</t>
        </is>
      </c>
      <c r="AT2235" s="19" t="inlineStr"/>
    </row>
    <row r="2236" ht="32" customHeight="1">
      <c r="A2236" s="18" t="inlineStr">
        <is>
          <t>0670_floette.json::floette-white-5::005</t>
        </is>
      </c>
      <c r="B2236" s="19" t="inlineStr">
        <is>
          <t>사용</t>
        </is>
      </c>
      <c r="C2236" s="18">
        <f>IF(OR(B2236&lt;&gt;AK2236,M2236&lt;&gt;L2236,O2236&lt;&gt;"",Q2236&lt;&gt;"",V2236&lt;&gt;1,Y2236&lt;&gt;"",AT2236&lt;&gt;""),"수정","원본")</f>
        <v/>
      </c>
      <c r="D2236" s="18" t="n">
        <v>670</v>
      </c>
      <c r="E2236" s="18" t="inlineStr">
        <is>
          <t>플라엣테</t>
        </is>
      </c>
      <c r="F2236" s="18" t="inlineStr">
        <is>
          <t>floette</t>
        </is>
      </c>
      <c r="G2236" s="18" t="inlineStr">
        <is>
          <t>floette flower=white</t>
        </is>
      </c>
      <c r="H2236" s="18" t="inlineStr">
        <is>
          <t>flower=white</t>
        </is>
      </c>
      <c r="I2236" s="18" t="n">
        <v>6</v>
      </c>
      <c r="J2236" s="18" t="n"/>
      <c r="K2236" s="18" t="n">
        <v>6</v>
      </c>
      <c r="L2236" s="18" t="inlineStr">
        <is>
          <t>cobbleventure:generation_6</t>
        </is>
      </c>
      <c r="M2236" s="19" t="inlineStr">
        <is>
          <t>cobbleventure:generation_6</t>
        </is>
      </c>
      <c r="N2236" s="18" t="inlineStr">
        <is>
          <t>region_01; region_02</t>
        </is>
      </c>
      <c r="O2236" s="19" t="inlineStr"/>
      <c r="P2236" s="18" t="inlineStr">
        <is>
          <t>#cobblemon:is_overworld</t>
        </is>
      </c>
      <c r="Q2236" s="19" t="inlineStr"/>
      <c r="R2236" s="18">
        <f>IF(Q2236="",P2236,Q2236)</f>
        <v/>
      </c>
      <c r="S2236" s="18" t="inlineStr"/>
      <c r="T2236" s="18" t="inlineStr">
        <is>
          <t>common</t>
        </is>
      </c>
      <c r="U2236" s="20" t="n">
        <v>0.95</v>
      </c>
      <c r="V2236" s="21" t="n">
        <v>1</v>
      </c>
      <c r="W2236" s="20">
        <f>IF(OR(U2236="",V2236=""),U2236,U2236*V2236)</f>
        <v/>
      </c>
      <c r="X2236" s="18" t="inlineStr">
        <is>
          <t>19-37</t>
        </is>
      </c>
      <c r="Y2236" s="19" t="inlineStr"/>
      <c r="Z2236" s="18">
        <f>IF(Y2236="",X2236,Y2236)</f>
        <v/>
      </c>
      <c r="AA2236" s="18" t="inlineStr">
        <is>
          <t>grounded</t>
        </is>
      </c>
      <c r="AB2236" s="18" t="inlineStr"/>
      <c r="AC2236" s="18" t="inlineStr"/>
      <c r="AD2236" s="18" t="inlineStr"/>
      <c r="AE2236" s="18" t="inlineStr">
        <is>
          <t>sky 8-15</t>
        </is>
      </c>
      <c r="AF2236" s="18" t="inlineStr"/>
      <c r="AG2236" s="18" t="inlineStr"/>
      <c r="AH2236" s="18" t="inlineStr">
        <is>
          <t>주변=#cobblemon:white_flowers</t>
        </is>
      </c>
      <c r="AI2236" s="18" t="inlineStr"/>
      <c r="AJ2236" s="18" t="inlineStr">
        <is>
          <t>COBBLEVERSE 수정</t>
        </is>
      </c>
      <c r="AK2236" s="18" t="inlineStr">
        <is>
          <t>사용</t>
        </is>
      </c>
      <c r="AL2236" s="18" t="inlineStr">
        <is>
          <t>COBBLEVERSE 1.7.42 / DP v31</t>
        </is>
      </c>
      <c r="AM2236" s="18" t="inlineStr">
        <is>
          <t>data/cobblemon/spawn_pool_world/0670_floette.json</t>
        </is>
      </c>
      <c r="AN2236" s="18" t="inlineStr">
        <is>
          <t>floette-white-5</t>
        </is>
      </c>
      <c r="AO2236" s="18" t="inlineStr">
        <is>
          <t>pokemon</t>
        </is>
      </c>
      <c r="AP2236" s="18" t="inlineStr">
        <is>
          <t>natural</t>
        </is>
      </c>
      <c r="AQ2236" s="18" t="inlineStr">
        <is>
          <t>{"biomes":["#cobblemon:is_overworld"],"maxSkyLight":15,"minSkyLight":8,"neededNearbyBlocks":["#cobblemon:white_flowers"]}</t>
        </is>
      </c>
      <c r="AR2236" s="18" t="inlineStr"/>
      <c r="AS2236" s="18" t="inlineStr">
        <is>
          <t>{"weightMultiplier":{"condition":{"timeRange":"night"},"multiplier":0.25}}</t>
        </is>
      </c>
      <c r="AT2236" s="19" t="inlineStr"/>
    </row>
    <row r="2237" ht="32" customHeight="1">
      <c r="A2237" s="18" t="inlineStr">
        <is>
          <t>0670_floette.json::floette-pink-6::006</t>
        </is>
      </c>
      <c r="B2237" s="19" t="inlineStr">
        <is>
          <t>사용</t>
        </is>
      </c>
      <c r="C2237" s="18">
        <f>IF(OR(B2237&lt;&gt;AK2237,M2237&lt;&gt;L2237,O2237&lt;&gt;"",Q2237&lt;&gt;"",V2237&lt;&gt;1,Y2237&lt;&gt;"",AT2237&lt;&gt;""),"수정","원본")</f>
        <v/>
      </c>
      <c r="D2237" s="18" t="n">
        <v>670</v>
      </c>
      <c r="E2237" s="18" t="inlineStr">
        <is>
          <t>플라엣테</t>
        </is>
      </c>
      <c r="F2237" s="18" t="inlineStr">
        <is>
          <t>floette</t>
        </is>
      </c>
      <c r="G2237" s="18" t="inlineStr">
        <is>
          <t>floette flower=pink</t>
        </is>
      </c>
      <c r="H2237" s="18" t="inlineStr">
        <is>
          <t>flower=pink</t>
        </is>
      </c>
      <c r="I2237" s="18" t="n">
        <v>6</v>
      </c>
      <c r="J2237" s="18" t="n"/>
      <c r="K2237" s="18" t="n">
        <v>6</v>
      </c>
      <c r="L2237" s="18" t="inlineStr">
        <is>
          <t>cobbleventure:generation_6</t>
        </is>
      </c>
      <c r="M2237" s="19" t="inlineStr">
        <is>
          <t>cobbleventure:generation_6</t>
        </is>
      </c>
      <c r="N2237" s="18" t="inlineStr">
        <is>
          <t>region_01; region_02</t>
        </is>
      </c>
      <c r="O2237" s="19" t="inlineStr"/>
      <c r="P2237" s="18" t="inlineStr">
        <is>
          <t>#cobblemon:is_overworld</t>
        </is>
      </c>
      <c r="Q2237" s="19" t="inlineStr"/>
      <c r="R2237" s="18">
        <f>IF(Q2237="",P2237,Q2237)</f>
        <v/>
      </c>
      <c r="S2237" s="18" t="inlineStr"/>
      <c r="T2237" s="18" t="inlineStr">
        <is>
          <t>common</t>
        </is>
      </c>
      <c r="U2237" s="20" t="n">
        <v>0.95</v>
      </c>
      <c r="V2237" s="21" t="n">
        <v>1</v>
      </c>
      <c r="W2237" s="20">
        <f>IF(OR(U2237="",V2237=""),U2237,U2237*V2237)</f>
        <v/>
      </c>
      <c r="X2237" s="18" t="inlineStr">
        <is>
          <t>19-37</t>
        </is>
      </c>
      <c r="Y2237" s="19" t="inlineStr"/>
      <c r="Z2237" s="18">
        <f>IF(Y2237="",X2237,Y2237)</f>
        <v/>
      </c>
      <c r="AA2237" s="18" t="inlineStr">
        <is>
          <t>grounded</t>
        </is>
      </c>
      <c r="AB2237" s="18" t="inlineStr"/>
      <c r="AC2237" s="18" t="inlineStr"/>
      <c r="AD2237" s="18" t="inlineStr"/>
      <c r="AE2237" s="18" t="inlineStr">
        <is>
          <t>sky 8-15</t>
        </is>
      </c>
      <c r="AF2237" s="18" t="inlineStr"/>
      <c r="AG2237" s="18" t="inlineStr"/>
      <c r="AH2237" s="18" t="inlineStr">
        <is>
          <t>주변=#cobblemon:pink_flowers</t>
        </is>
      </c>
      <c r="AI2237" s="18" t="inlineStr"/>
      <c r="AJ2237" s="18" t="inlineStr">
        <is>
          <t>COBBLEVERSE 수정</t>
        </is>
      </c>
      <c r="AK2237" s="18" t="inlineStr">
        <is>
          <t>사용</t>
        </is>
      </c>
      <c r="AL2237" s="18" t="inlineStr">
        <is>
          <t>COBBLEVERSE 1.7.42 / DP v31</t>
        </is>
      </c>
      <c r="AM2237" s="18" t="inlineStr">
        <is>
          <t>data/cobblemon/spawn_pool_world/0670_floette.json</t>
        </is>
      </c>
      <c r="AN2237" s="18" t="inlineStr">
        <is>
          <t>floette-pink-6</t>
        </is>
      </c>
      <c r="AO2237" s="18" t="inlineStr">
        <is>
          <t>pokemon</t>
        </is>
      </c>
      <c r="AP2237" s="18" t="inlineStr">
        <is>
          <t>natural</t>
        </is>
      </c>
      <c r="AQ2237" s="18" t="inlineStr">
        <is>
          <t>{"biomes":["#cobblemon:is_overworld"],"maxSkyLight":15,"minSkyLight":8,"neededNearbyBlocks":["#cobblemon:pink_flowers"]}</t>
        </is>
      </c>
      <c r="AR2237" s="18" t="inlineStr"/>
      <c r="AS2237" s="18" t="inlineStr">
        <is>
          <t>{"weightMultiplier":{"condition":{"timeRange":"night"},"multiplier":0.25}}</t>
        </is>
      </c>
      <c r="AT2237" s="19" t="inlineStr"/>
    </row>
    <row r="2238" ht="32" customHeight="1">
      <c r="A2238" s="18" t="inlineStr">
        <is>
          <t>0670_floette.json::floette-white-7::007</t>
        </is>
      </c>
      <c r="B2238" s="19" t="inlineStr">
        <is>
          <t>사용</t>
        </is>
      </c>
      <c r="C2238" s="18">
        <f>IF(OR(B2238&lt;&gt;AK2238,M2238&lt;&gt;L2238,O2238&lt;&gt;"",Q2238&lt;&gt;"",V2238&lt;&gt;1,Y2238&lt;&gt;"",AT2238&lt;&gt;""),"수정","원본")</f>
        <v/>
      </c>
      <c r="D2238" s="18" t="n">
        <v>670</v>
      </c>
      <c r="E2238" s="18" t="inlineStr">
        <is>
          <t>플라엣테</t>
        </is>
      </c>
      <c r="F2238" s="18" t="inlineStr">
        <is>
          <t>floette</t>
        </is>
      </c>
      <c r="G2238" s="18" t="inlineStr">
        <is>
          <t>floette flower=white</t>
        </is>
      </c>
      <c r="H2238" s="18" t="inlineStr">
        <is>
          <t>flower=white</t>
        </is>
      </c>
      <c r="I2238" s="18" t="n">
        <v>6</v>
      </c>
      <c r="J2238" s="18" t="n"/>
      <c r="K2238" s="18" t="n">
        <v>6</v>
      </c>
      <c r="L2238" s="18" t="inlineStr">
        <is>
          <t>cobbleventure:generation_6</t>
        </is>
      </c>
      <c r="M2238" s="19" t="inlineStr">
        <is>
          <t>cobbleventure:generation_6</t>
        </is>
      </c>
      <c r="N2238" s="18" t="inlineStr"/>
      <c r="O2238" s="19" t="inlineStr"/>
      <c r="P2238" s="18" t="inlineStr">
        <is>
          <t>#aether:is_aether</t>
        </is>
      </c>
      <c r="Q2238" s="19" t="inlineStr"/>
      <c r="R2238" s="18">
        <f>IF(Q2238="",P2238,Q2238)</f>
        <v/>
      </c>
      <c r="S2238" s="18" t="inlineStr"/>
      <c r="T2238" s="18" t="inlineStr">
        <is>
          <t>common</t>
        </is>
      </c>
      <c r="U2238" s="20" t="n">
        <v>0.95</v>
      </c>
      <c r="V2238" s="21" t="n">
        <v>1</v>
      </c>
      <c r="W2238" s="20">
        <f>IF(OR(U2238="",V2238=""),U2238,U2238*V2238)</f>
        <v/>
      </c>
      <c r="X2238" s="18" t="inlineStr">
        <is>
          <t>19-37</t>
        </is>
      </c>
      <c r="Y2238" s="19" t="inlineStr"/>
      <c r="Z2238" s="18">
        <f>IF(Y2238="",X2238,Y2238)</f>
        <v/>
      </c>
      <c r="AA2238" s="18" t="inlineStr">
        <is>
          <t>grounded</t>
        </is>
      </c>
      <c r="AB2238" s="18" t="inlineStr"/>
      <c r="AC2238" s="18" t="inlineStr"/>
      <c r="AD2238" s="18" t="inlineStr"/>
      <c r="AE2238" s="18" t="inlineStr">
        <is>
          <t>sky 8-15</t>
        </is>
      </c>
      <c r="AF2238" s="18" t="inlineStr"/>
      <c r="AG2238" s="18" t="inlineStr"/>
      <c r="AH2238" s="18" t="inlineStr">
        <is>
          <t>주변=#cobblemon:white_flowers</t>
        </is>
      </c>
      <c r="AI2238" s="18" t="inlineStr"/>
      <c r="AJ2238" s="18" t="inlineStr">
        <is>
          <t>COBBLEVERSE 수정</t>
        </is>
      </c>
      <c r="AK2238" s="18" t="inlineStr">
        <is>
          <t>사용</t>
        </is>
      </c>
      <c r="AL2238" s="18" t="inlineStr">
        <is>
          <t>COBBLEVERSE 1.7.42 / DP v31</t>
        </is>
      </c>
      <c r="AM2238" s="18" t="inlineStr">
        <is>
          <t>data/cobblemon/spawn_pool_world/0670_floette.json</t>
        </is>
      </c>
      <c r="AN2238" s="18" t="inlineStr">
        <is>
          <t>floette-white-7</t>
        </is>
      </c>
      <c r="AO2238" s="18" t="inlineStr">
        <is>
          <t>pokemon</t>
        </is>
      </c>
      <c r="AP2238" s="18" t="inlineStr">
        <is>
          <t>natural</t>
        </is>
      </c>
      <c r="AQ2238" s="18" t="inlineStr">
        <is>
          <t>{"biomes":["#aether:is_aether"],"maxSkyLight":15,"minSkyLight":8,"neededNearbyBlocks":["#cobblemon:white_flowers"]}</t>
        </is>
      </c>
      <c r="AR2238" s="18" t="inlineStr"/>
      <c r="AS2238" s="18" t="inlineStr"/>
      <c r="AT2238" s="19" t="inlineStr"/>
    </row>
    <row r="2239" ht="32" customHeight="1">
      <c r="A2239" s="18" t="inlineStr">
        <is>
          <t>0670_floette.json::floette-eternal-1::008</t>
        </is>
      </c>
      <c r="B2239" s="19" t="inlineStr">
        <is>
          <t>사용</t>
        </is>
      </c>
      <c r="C2239" s="18">
        <f>IF(OR(B2239&lt;&gt;AK2239,M2239&lt;&gt;L2239,O2239&lt;&gt;"",Q2239&lt;&gt;"",V2239&lt;&gt;1,Y2239&lt;&gt;"",AT2239&lt;&gt;""),"수정","원본")</f>
        <v/>
      </c>
      <c r="D2239" s="18" t="n">
        <v>670</v>
      </c>
      <c r="E2239" s="18" t="inlineStr">
        <is>
          <t>플라엣테</t>
        </is>
      </c>
      <c r="F2239" s="18" t="inlineStr">
        <is>
          <t>floette</t>
        </is>
      </c>
      <c r="G2239" s="18" t="inlineStr">
        <is>
          <t>floette flower=eternal</t>
        </is>
      </c>
      <c r="H2239" s="18" t="inlineStr">
        <is>
          <t>flower=eternal</t>
        </is>
      </c>
      <c r="I2239" s="18" t="n">
        <v>6</v>
      </c>
      <c r="J2239" s="18" t="n"/>
      <c r="K2239" s="18" t="n">
        <v>6</v>
      </c>
      <c r="L2239" s="18" t="inlineStr">
        <is>
          <t>cobbleventure:generation_6</t>
        </is>
      </c>
      <c r="M2239" s="19" t="inlineStr">
        <is>
          <t>cobbleventure:generation_6</t>
        </is>
      </c>
      <c r="N2239" s="18" t="inlineStr">
        <is>
          <t>region_01; region_02</t>
        </is>
      </c>
      <c r="O2239" s="19" t="inlineStr"/>
      <c r="P2239" s="18" t="inlineStr">
        <is>
          <t>#cobblemon:is_overworld</t>
        </is>
      </c>
      <c r="Q2239" s="19" t="inlineStr"/>
      <c r="R2239" s="18">
        <f>IF(Q2239="",P2239,Q2239)</f>
        <v/>
      </c>
      <c r="S2239" s="18" t="inlineStr"/>
      <c r="T2239" s="18" t="inlineStr">
        <is>
          <t>ultra-rare</t>
        </is>
      </c>
      <c r="U2239" s="20" t="n">
        <v>0.95</v>
      </c>
      <c r="V2239" s="21" t="n">
        <v>1</v>
      </c>
      <c r="W2239" s="20">
        <f>IF(OR(U2239="",V2239=""),U2239,U2239*V2239)</f>
        <v/>
      </c>
      <c r="X2239" s="18" t="inlineStr">
        <is>
          <t>50-65</t>
        </is>
      </c>
      <c r="Y2239" s="19" t="inlineStr"/>
      <c r="Z2239" s="18">
        <f>IF(Y2239="",X2239,Y2239)</f>
        <v/>
      </c>
      <c r="AA2239" s="18" t="inlineStr">
        <is>
          <t>grounded</t>
        </is>
      </c>
      <c r="AB2239" s="18" t="inlineStr">
        <is>
          <t>night</t>
        </is>
      </c>
      <c r="AC2239" s="18" t="inlineStr"/>
      <c r="AD2239" s="18" t="inlineStr"/>
      <c r="AE2239" s="18" t="inlineStr"/>
      <c r="AF2239" s="18" t="inlineStr"/>
      <c r="AG2239" s="18" t="inlineStr"/>
      <c r="AH2239" s="18" t="inlineStr">
        <is>
          <t>주변=#cobblemon:red_flowers; #cobblemon:blue_flowers</t>
        </is>
      </c>
      <c r="AI2239" s="18" t="inlineStr"/>
      <c r="AJ2239" s="18" t="inlineStr">
        <is>
          <t>COBBLEVERSE 수정</t>
        </is>
      </c>
      <c r="AK2239" s="18" t="inlineStr">
        <is>
          <t>사용</t>
        </is>
      </c>
      <c r="AL2239" s="18" t="inlineStr">
        <is>
          <t>COBBLEVERSE 1.7.42 / DP v31</t>
        </is>
      </c>
      <c r="AM2239" s="18" t="inlineStr">
        <is>
          <t>data/cobblemon/spawn_pool_world/0670_floette.json</t>
        </is>
      </c>
      <c r="AN2239" s="18" t="inlineStr">
        <is>
          <t>floette-eternal-1</t>
        </is>
      </c>
      <c r="AO2239" s="18" t="inlineStr">
        <is>
          <t>pokemon</t>
        </is>
      </c>
      <c r="AP2239" s="18" t="inlineStr">
        <is>
          <t>natural</t>
        </is>
      </c>
      <c r="AQ2239" s="18" t="inlineStr">
        <is>
          <t>{"biomes":["#cobblemon:is_overworld"],"neededNearbyBlocks":["#cobblemon:red_flowers","#cobblemon:blue_flowers"],"timeRange":"night"}</t>
        </is>
      </c>
      <c r="AR2239" s="18" t="inlineStr"/>
      <c r="AS2239" s="18" t="inlineStr"/>
      <c r="AT2239" s="19" t="inlineStr"/>
    </row>
    <row r="2240" ht="32" customHeight="1">
      <c r="A2240" s="18" t="inlineStr">
        <is>
          <t>0671_florges.json::florges-red-1::001</t>
        </is>
      </c>
      <c r="B2240" s="19" t="inlineStr">
        <is>
          <t>사용</t>
        </is>
      </c>
      <c r="C2240" s="18">
        <f>IF(OR(B2240&lt;&gt;AK2240,M2240&lt;&gt;L2240,O2240&lt;&gt;"",Q2240&lt;&gt;"",V2240&lt;&gt;1,Y2240&lt;&gt;"",AT2240&lt;&gt;""),"수정","원본")</f>
        <v/>
      </c>
      <c r="D2240" s="18" t="n">
        <v>671</v>
      </c>
      <c r="E2240" s="18" t="inlineStr">
        <is>
          <t>플라제스</t>
        </is>
      </c>
      <c r="F2240" s="18" t="inlineStr">
        <is>
          <t>florges</t>
        </is>
      </c>
      <c r="G2240" s="18" t="inlineStr">
        <is>
          <t>florges flower=red</t>
        </is>
      </c>
      <c r="H2240" s="18" t="inlineStr">
        <is>
          <t>flower=red</t>
        </is>
      </c>
      <c r="I2240" s="18" t="n">
        <v>6</v>
      </c>
      <c r="J2240" s="18" t="n"/>
      <c r="K2240" s="18" t="n">
        <v>6</v>
      </c>
      <c r="L2240" s="18" t="inlineStr">
        <is>
          <t>cobbleventure:generation_6</t>
        </is>
      </c>
      <c r="M2240" s="19" t="inlineStr">
        <is>
          <t>cobbleventure:generation_6</t>
        </is>
      </c>
      <c r="N2240" s="18" t="inlineStr">
        <is>
          <t>region_01; region_02</t>
        </is>
      </c>
      <c r="O2240" s="19" t="inlineStr"/>
      <c r="P2240" s="18" t="inlineStr">
        <is>
          <t>#cobblemon:is_overworld</t>
        </is>
      </c>
      <c r="Q2240" s="19" t="inlineStr"/>
      <c r="R2240" s="18">
        <f>IF(Q2240="",P2240,Q2240)</f>
        <v/>
      </c>
      <c r="S2240" s="18" t="inlineStr"/>
      <c r="T2240" s="18" t="inlineStr">
        <is>
          <t>common</t>
        </is>
      </c>
      <c r="U2240" s="20" t="n">
        <v>0.05</v>
      </c>
      <c r="V2240" s="21" t="n">
        <v>1</v>
      </c>
      <c r="W2240" s="20">
        <f>IF(OR(U2240="",V2240=""),U2240,U2240*V2240)</f>
        <v/>
      </c>
      <c r="X2240" s="18" t="inlineStr">
        <is>
          <t>32-55</t>
        </is>
      </c>
      <c r="Y2240" s="19" t="inlineStr"/>
      <c r="Z2240" s="18">
        <f>IF(Y2240="",X2240,Y2240)</f>
        <v/>
      </c>
      <c r="AA2240" s="18" t="inlineStr">
        <is>
          <t>grounded</t>
        </is>
      </c>
      <c r="AB2240" s="18" t="inlineStr"/>
      <c r="AC2240" s="18" t="inlineStr"/>
      <c r="AD2240" s="18" t="inlineStr"/>
      <c r="AE2240" s="18" t="inlineStr">
        <is>
          <t>sky 8-15</t>
        </is>
      </c>
      <c r="AF2240" s="18" t="inlineStr"/>
      <c r="AG2240" s="18" t="inlineStr"/>
      <c r="AH2240" s="18" t="inlineStr">
        <is>
          <t>주변=#cobblemon:red_flowers</t>
        </is>
      </c>
      <c r="AI2240" s="18" t="inlineStr"/>
      <c r="AJ2240" s="18" t="inlineStr">
        <is>
          <t>Cobblemon 동일</t>
        </is>
      </c>
      <c r="AK2240" s="18" t="inlineStr">
        <is>
          <t>사용</t>
        </is>
      </c>
      <c r="AL2240" s="18" t="inlineStr">
        <is>
          <t>COBBLEVERSE 1.7.42 / DP v31</t>
        </is>
      </c>
      <c r="AM2240" s="18" t="inlineStr">
        <is>
          <t>data/cobblemon/spawn_pool_world/0671_florges.json</t>
        </is>
      </c>
      <c r="AN2240" s="18" t="inlineStr">
        <is>
          <t>florges-red-1</t>
        </is>
      </c>
      <c r="AO2240" s="18" t="inlineStr">
        <is>
          <t>pokemon</t>
        </is>
      </c>
      <c r="AP2240" s="18" t="inlineStr">
        <is>
          <t>natural</t>
        </is>
      </c>
      <c r="AQ2240" s="18" t="inlineStr">
        <is>
          <t>{"biomes":["#cobblemon:is_overworld"],"maxSkyLight":15,"minSkyLight":8,"neededNearbyBlocks":["#cobblemon:red_flowers"]}</t>
        </is>
      </c>
      <c r="AR2240" s="18" t="inlineStr"/>
      <c r="AS2240" s="18" t="inlineStr">
        <is>
          <t>{"weightMultiplier":{"condition":{"timeRange":"night"},"multiplier":0.25}}</t>
        </is>
      </c>
      <c r="AT2240" s="19" t="inlineStr"/>
    </row>
    <row r="2241" ht="32" customHeight="1">
      <c r="A2241" s="18" t="inlineStr">
        <is>
          <t>0671_florges.json::florges-yellow-2::002</t>
        </is>
      </c>
      <c r="B2241" s="19" t="inlineStr">
        <is>
          <t>사용</t>
        </is>
      </c>
      <c r="C2241" s="18">
        <f>IF(OR(B2241&lt;&gt;AK2241,M2241&lt;&gt;L2241,O2241&lt;&gt;"",Q2241&lt;&gt;"",V2241&lt;&gt;1,Y2241&lt;&gt;"",AT2241&lt;&gt;""),"수정","원본")</f>
        <v/>
      </c>
      <c r="D2241" s="18" t="n">
        <v>671</v>
      </c>
      <c r="E2241" s="18" t="inlineStr">
        <is>
          <t>플라제스</t>
        </is>
      </c>
      <c r="F2241" s="18" t="inlineStr">
        <is>
          <t>florges</t>
        </is>
      </c>
      <c r="G2241" s="18" t="inlineStr">
        <is>
          <t>florges flower=yellow</t>
        </is>
      </c>
      <c r="H2241" s="18" t="inlineStr">
        <is>
          <t>flower=yellow</t>
        </is>
      </c>
      <c r="I2241" s="18" t="n">
        <v>6</v>
      </c>
      <c r="J2241" s="18" t="n"/>
      <c r="K2241" s="18" t="n">
        <v>6</v>
      </c>
      <c r="L2241" s="18" t="inlineStr">
        <is>
          <t>cobbleventure:generation_6</t>
        </is>
      </c>
      <c r="M2241" s="19" t="inlineStr">
        <is>
          <t>cobbleventure:generation_6</t>
        </is>
      </c>
      <c r="N2241" s="18" t="inlineStr">
        <is>
          <t>region_01; region_02</t>
        </is>
      </c>
      <c r="O2241" s="19" t="inlineStr"/>
      <c r="P2241" s="18" t="inlineStr">
        <is>
          <t>#cobblemon:is_overworld</t>
        </is>
      </c>
      <c r="Q2241" s="19" t="inlineStr"/>
      <c r="R2241" s="18">
        <f>IF(Q2241="",P2241,Q2241)</f>
        <v/>
      </c>
      <c r="S2241" s="18" t="inlineStr"/>
      <c r="T2241" s="18" t="inlineStr">
        <is>
          <t>common</t>
        </is>
      </c>
      <c r="U2241" s="20" t="n">
        <v>0.05</v>
      </c>
      <c r="V2241" s="21" t="n">
        <v>1</v>
      </c>
      <c r="W2241" s="20">
        <f>IF(OR(U2241="",V2241=""),U2241,U2241*V2241)</f>
        <v/>
      </c>
      <c r="X2241" s="18" t="inlineStr">
        <is>
          <t>32-55</t>
        </is>
      </c>
      <c r="Y2241" s="19" t="inlineStr"/>
      <c r="Z2241" s="18">
        <f>IF(Y2241="",X2241,Y2241)</f>
        <v/>
      </c>
      <c r="AA2241" s="18" t="inlineStr">
        <is>
          <t>grounded</t>
        </is>
      </c>
      <c r="AB2241" s="18" t="inlineStr"/>
      <c r="AC2241" s="18" t="inlineStr"/>
      <c r="AD2241" s="18" t="inlineStr"/>
      <c r="AE2241" s="18" t="inlineStr">
        <is>
          <t>sky 8-15</t>
        </is>
      </c>
      <c r="AF2241" s="18" t="inlineStr"/>
      <c r="AG2241" s="18" t="inlineStr"/>
      <c r="AH2241" s="18" t="inlineStr">
        <is>
          <t>주변=#cobblemon:yellow_flowers</t>
        </is>
      </c>
      <c r="AI2241" s="18" t="inlineStr"/>
      <c r="AJ2241" s="18" t="inlineStr">
        <is>
          <t>Cobblemon 동일</t>
        </is>
      </c>
      <c r="AK2241" s="18" t="inlineStr">
        <is>
          <t>사용</t>
        </is>
      </c>
      <c r="AL2241" s="18" t="inlineStr">
        <is>
          <t>COBBLEVERSE 1.7.42 / DP v31</t>
        </is>
      </c>
      <c r="AM2241" s="18" t="inlineStr">
        <is>
          <t>data/cobblemon/spawn_pool_world/0671_florges.json</t>
        </is>
      </c>
      <c r="AN2241" s="18" t="inlineStr">
        <is>
          <t>florges-yellow-2</t>
        </is>
      </c>
      <c r="AO2241" s="18" t="inlineStr">
        <is>
          <t>pokemon</t>
        </is>
      </c>
      <c r="AP2241" s="18" t="inlineStr">
        <is>
          <t>natural</t>
        </is>
      </c>
      <c r="AQ2241" s="18" t="inlineStr">
        <is>
          <t>{"biomes":["#cobblemon:is_overworld"],"maxSkyLight":15,"minSkyLight":8,"neededNearbyBlocks":["#cobblemon:yellow_flowers"]}</t>
        </is>
      </c>
      <c r="AR2241" s="18" t="inlineStr"/>
      <c r="AS2241" s="18" t="inlineStr">
        <is>
          <t>{"weightMultiplier":{"condition":{"timeRange":"night"},"multiplier":0.25}}</t>
        </is>
      </c>
      <c r="AT2241" s="19" t="inlineStr"/>
    </row>
    <row r="2242" ht="32" customHeight="1">
      <c r="A2242" s="18" t="inlineStr">
        <is>
          <t>0671_florges.json::florges-orange-3::003</t>
        </is>
      </c>
      <c r="B2242" s="19" t="inlineStr">
        <is>
          <t>사용</t>
        </is>
      </c>
      <c r="C2242" s="18">
        <f>IF(OR(B2242&lt;&gt;AK2242,M2242&lt;&gt;L2242,O2242&lt;&gt;"",Q2242&lt;&gt;"",V2242&lt;&gt;1,Y2242&lt;&gt;"",AT2242&lt;&gt;""),"수정","원본")</f>
        <v/>
      </c>
      <c r="D2242" s="18" t="n">
        <v>671</v>
      </c>
      <c r="E2242" s="18" t="inlineStr">
        <is>
          <t>플라제스</t>
        </is>
      </c>
      <c r="F2242" s="18" t="inlineStr">
        <is>
          <t>florges</t>
        </is>
      </c>
      <c r="G2242" s="18" t="inlineStr">
        <is>
          <t>florges flower=orange</t>
        </is>
      </c>
      <c r="H2242" s="18" t="inlineStr">
        <is>
          <t>flower=orange</t>
        </is>
      </c>
      <c r="I2242" s="18" t="n">
        <v>6</v>
      </c>
      <c r="J2242" s="18" t="n"/>
      <c r="K2242" s="18" t="n">
        <v>6</v>
      </c>
      <c r="L2242" s="18" t="inlineStr">
        <is>
          <t>cobbleventure:generation_6</t>
        </is>
      </c>
      <c r="M2242" s="19" t="inlineStr">
        <is>
          <t>cobbleventure:generation_6</t>
        </is>
      </c>
      <c r="N2242" s="18" t="inlineStr">
        <is>
          <t>region_01; region_02</t>
        </is>
      </c>
      <c r="O2242" s="19" t="inlineStr"/>
      <c r="P2242" s="18" t="inlineStr">
        <is>
          <t>#cobblemon:is_overworld</t>
        </is>
      </c>
      <c r="Q2242" s="19" t="inlineStr"/>
      <c r="R2242" s="18">
        <f>IF(Q2242="",P2242,Q2242)</f>
        <v/>
      </c>
      <c r="S2242" s="18" t="inlineStr"/>
      <c r="T2242" s="18" t="inlineStr">
        <is>
          <t>common</t>
        </is>
      </c>
      <c r="U2242" s="20" t="n">
        <v>0.05</v>
      </c>
      <c r="V2242" s="21" t="n">
        <v>1</v>
      </c>
      <c r="W2242" s="20">
        <f>IF(OR(U2242="",V2242=""),U2242,U2242*V2242)</f>
        <v/>
      </c>
      <c r="X2242" s="18" t="inlineStr">
        <is>
          <t>32-55</t>
        </is>
      </c>
      <c r="Y2242" s="19" t="inlineStr"/>
      <c r="Z2242" s="18">
        <f>IF(Y2242="",X2242,Y2242)</f>
        <v/>
      </c>
      <c r="AA2242" s="18" t="inlineStr">
        <is>
          <t>grounded</t>
        </is>
      </c>
      <c r="AB2242" s="18" t="inlineStr"/>
      <c r="AC2242" s="18" t="inlineStr"/>
      <c r="AD2242" s="18" t="inlineStr"/>
      <c r="AE2242" s="18" t="inlineStr">
        <is>
          <t>sky 8-15</t>
        </is>
      </c>
      <c r="AF2242" s="18" t="inlineStr"/>
      <c r="AG2242" s="18" t="inlineStr"/>
      <c r="AH2242" s="18" t="inlineStr">
        <is>
          <t>주변=#cobblemon:orange_flowers</t>
        </is>
      </c>
      <c r="AI2242" s="18" t="inlineStr"/>
      <c r="AJ2242" s="18" t="inlineStr">
        <is>
          <t>Cobblemon 동일</t>
        </is>
      </c>
      <c r="AK2242" s="18" t="inlineStr">
        <is>
          <t>사용</t>
        </is>
      </c>
      <c r="AL2242" s="18" t="inlineStr">
        <is>
          <t>COBBLEVERSE 1.7.42 / DP v31</t>
        </is>
      </c>
      <c r="AM2242" s="18" t="inlineStr">
        <is>
          <t>data/cobblemon/spawn_pool_world/0671_florges.json</t>
        </is>
      </c>
      <c r="AN2242" s="18" t="inlineStr">
        <is>
          <t>florges-orange-3</t>
        </is>
      </c>
      <c r="AO2242" s="18" t="inlineStr">
        <is>
          <t>pokemon</t>
        </is>
      </c>
      <c r="AP2242" s="18" t="inlineStr">
        <is>
          <t>natural</t>
        </is>
      </c>
      <c r="AQ2242" s="18" t="inlineStr">
        <is>
          <t>{"biomes":["#cobblemon:is_overworld"],"maxSkyLight":15,"minSkyLight":8,"neededNearbyBlocks":["#cobblemon:orange_flowers"]}</t>
        </is>
      </c>
      <c r="AR2242" s="18" t="inlineStr"/>
      <c r="AS2242" s="18" t="inlineStr">
        <is>
          <t>{"weightMultiplier":{"condition":{"timeRange":"night"},"multiplier":0.25}}</t>
        </is>
      </c>
      <c r="AT2242" s="19" t="inlineStr"/>
    </row>
    <row r="2243" ht="32" customHeight="1">
      <c r="A2243" s="18" t="inlineStr">
        <is>
          <t>0671_florges.json::florges-blue-4::004</t>
        </is>
      </c>
      <c r="B2243" s="19" t="inlineStr">
        <is>
          <t>사용</t>
        </is>
      </c>
      <c r="C2243" s="18">
        <f>IF(OR(B2243&lt;&gt;AK2243,M2243&lt;&gt;L2243,O2243&lt;&gt;"",Q2243&lt;&gt;"",V2243&lt;&gt;1,Y2243&lt;&gt;"",AT2243&lt;&gt;""),"수정","원본")</f>
        <v/>
      </c>
      <c r="D2243" s="18" t="n">
        <v>671</v>
      </c>
      <c r="E2243" s="18" t="inlineStr">
        <is>
          <t>플라제스</t>
        </is>
      </c>
      <c r="F2243" s="18" t="inlineStr">
        <is>
          <t>florges</t>
        </is>
      </c>
      <c r="G2243" s="18" t="inlineStr">
        <is>
          <t>florges flower=blue</t>
        </is>
      </c>
      <c r="H2243" s="18" t="inlineStr">
        <is>
          <t>flower=blue</t>
        </is>
      </c>
      <c r="I2243" s="18" t="n">
        <v>6</v>
      </c>
      <c r="J2243" s="18" t="n"/>
      <c r="K2243" s="18" t="n">
        <v>6</v>
      </c>
      <c r="L2243" s="18" t="inlineStr">
        <is>
          <t>cobbleventure:generation_6</t>
        </is>
      </c>
      <c r="M2243" s="19" t="inlineStr">
        <is>
          <t>cobbleventure:generation_6</t>
        </is>
      </c>
      <c r="N2243" s="18" t="inlineStr">
        <is>
          <t>region_01; region_02</t>
        </is>
      </c>
      <c r="O2243" s="19" t="inlineStr"/>
      <c r="P2243" s="18" t="inlineStr">
        <is>
          <t>#cobblemon:is_overworld</t>
        </is>
      </c>
      <c r="Q2243" s="19" t="inlineStr"/>
      <c r="R2243" s="18">
        <f>IF(Q2243="",P2243,Q2243)</f>
        <v/>
      </c>
      <c r="S2243" s="18" t="inlineStr"/>
      <c r="T2243" s="18" t="inlineStr">
        <is>
          <t>common</t>
        </is>
      </c>
      <c r="U2243" s="20" t="n">
        <v>0.05</v>
      </c>
      <c r="V2243" s="21" t="n">
        <v>1</v>
      </c>
      <c r="W2243" s="20">
        <f>IF(OR(U2243="",V2243=""),U2243,U2243*V2243)</f>
        <v/>
      </c>
      <c r="X2243" s="18" t="inlineStr">
        <is>
          <t>32-55</t>
        </is>
      </c>
      <c r="Y2243" s="19" t="inlineStr"/>
      <c r="Z2243" s="18">
        <f>IF(Y2243="",X2243,Y2243)</f>
        <v/>
      </c>
      <c r="AA2243" s="18" t="inlineStr">
        <is>
          <t>grounded</t>
        </is>
      </c>
      <c r="AB2243" s="18" t="inlineStr"/>
      <c r="AC2243" s="18" t="inlineStr"/>
      <c r="AD2243" s="18" t="inlineStr"/>
      <c r="AE2243" s="18" t="inlineStr">
        <is>
          <t>sky 8-15</t>
        </is>
      </c>
      <c r="AF2243" s="18" t="inlineStr"/>
      <c r="AG2243" s="18" t="inlineStr"/>
      <c r="AH2243" s="18" t="inlineStr">
        <is>
          <t>주변=#cobblemon:blue_flowers</t>
        </is>
      </c>
      <c r="AI2243" s="18" t="inlineStr"/>
      <c r="AJ2243" s="18" t="inlineStr">
        <is>
          <t>Cobblemon 동일</t>
        </is>
      </c>
      <c r="AK2243" s="18" t="inlineStr">
        <is>
          <t>사용</t>
        </is>
      </c>
      <c r="AL2243" s="18" t="inlineStr">
        <is>
          <t>COBBLEVERSE 1.7.42 / DP v31</t>
        </is>
      </c>
      <c r="AM2243" s="18" t="inlineStr">
        <is>
          <t>data/cobblemon/spawn_pool_world/0671_florges.json</t>
        </is>
      </c>
      <c r="AN2243" s="18" t="inlineStr">
        <is>
          <t>florges-blue-4</t>
        </is>
      </c>
      <c r="AO2243" s="18" t="inlineStr">
        <is>
          <t>pokemon</t>
        </is>
      </c>
      <c r="AP2243" s="18" t="inlineStr">
        <is>
          <t>natural</t>
        </is>
      </c>
      <c r="AQ2243" s="18" t="inlineStr">
        <is>
          <t>{"biomes":["#cobblemon:is_overworld"],"maxSkyLight":15,"minSkyLight":8,"neededNearbyBlocks":["#cobblemon:blue_flowers"]}</t>
        </is>
      </c>
      <c r="AR2243" s="18" t="inlineStr"/>
      <c r="AS2243" s="18" t="inlineStr">
        <is>
          <t>{"weightMultiplier":{"condition":{"timeRange":"night"},"multiplier":0.25}}</t>
        </is>
      </c>
      <c r="AT2243" s="19" t="inlineStr"/>
    </row>
    <row r="2244" ht="32" customHeight="1">
      <c r="A2244" s="18" t="inlineStr">
        <is>
          <t>0671_florges.json::florges-white-5::005</t>
        </is>
      </c>
      <c r="B2244" s="19" t="inlineStr">
        <is>
          <t>사용</t>
        </is>
      </c>
      <c r="C2244" s="18">
        <f>IF(OR(B2244&lt;&gt;AK2244,M2244&lt;&gt;L2244,O2244&lt;&gt;"",Q2244&lt;&gt;"",V2244&lt;&gt;1,Y2244&lt;&gt;"",AT2244&lt;&gt;""),"수정","원본")</f>
        <v/>
      </c>
      <c r="D2244" s="18" t="n">
        <v>671</v>
      </c>
      <c r="E2244" s="18" t="inlineStr">
        <is>
          <t>플라제스</t>
        </is>
      </c>
      <c r="F2244" s="18" t="inlineStr">
        <is>
          <t>florges</t>
        </is>
      </c>
      <c r="G2244" s="18" t="inlineStr">
        <is>
          <t>florges flower=white</t>
        </is>
      </c>
      <c r="H2244" s="18" t="inlineStr">
        <is>
          <t>flower=white</t>
        </is>
      </c>
      <c r="I2244" s="18" t="n">
        <v>6</v>
      </c>
      <c r="J2244" s="18" t="n"/>
      <c r="K2244" s="18" t="n">
        <v>6</v>
      </c>
      <c r="L2244" s="18" t="inlineStr">
        <is>
          <t>cobbleventure:generation_6</t>
        </is>
      </c>
      <c r="M2244" s="19" t="inlineStr">
        <is>
          <t>cobbleventure:generation_6</t>
        </is>
      </c>
      <c r="N2244" s="18" t="inlineStr">
        <is>
          <t>region_01; region_02</t>
        </is>
      </c>
      <c r="O2244" s="19" t="inlineStr"/>
      <c r="P2244" s="18" t="inlineStr">
        <is>
          <t>#cobblemon:is_overworld</t>
        </is>
      </c>
      <c r="Q2244" s="19" t="inlineStr"/>
      <c r="R2244" s="18">
        <f>IF(Q2244="",P2244,Q2244)</f>
        <v/>
      </c>
      <c r="S2244" s="18" t="inlineStr"/>
      <c r="T2244" s="18" t="inlineStr">
        <is>
          <t>common</t>
        </is>
      </c>
      <c r="U2244" s="20" t="n">
        <v>0.05</v>
      </c>
      <c r="V2244" s="21" t="n">
        <v>1</v>
      </c>
      <c r="W2244" s="20">
        <f>IF(OR(U2244="",V2244=""),U2244,U2244*V2244)</f>
        <v/>
      </c>
      <c r="X2244" s="18" t="inlineStr">
        <is>
          <t>32-55</t>
        </is>
      </c>
      <c r="Y2244" s="19" t="inlineStr"/>
      <c r="Z2244" s="18">
        <f>IF(Y2244="",X2244,Y2244)</f>
        <v/>
      </c>
      <c r="AA2244" s="18" t="inlineStr">
        <is>
          <t>grounded</t>
        </is>
      </c>
      <c r="AB2244" s="18" t="inlineStr"/>
      <c r="AC2244" s="18" t="inlineStr"/>
      <c r="AD2244" s="18" t="inlineStr"/>
      <c r="AE2244" s="18" t="inlineStr">
        <is>
          <t>sky 8-15</t>
        </is>
      </c>
      <c r="AF2244" s="18" t="inlineStr"/>
      <c r="AG2244" s="18" t="inlineStr"/>
      <c r="AH2244" s="18" t="inlineStr">
        <is>
          <t>주변=#cobblemon:white_flowers</t>
        </is>
      </c>
      <c r="AI2244" s="18" t="inlineStr"/>
      <c r="AJ2244" s="18" t="inlineStr">
        <is>
          <t>Cobblemon 동일</t>
        </is>
      </c>
      <c r="AK2244" s="18" t="inlineStr">
        <is>
          <t>사용</t>
        </is>
      </c>
      <c r="AL2244" s="18" t="inlineStr">
        <is>
          <t>COBBLEVERSE 1.7.42 / DP v31</t>
        </is>
      </c>
      <c r="AM2244" s="18" t="inlineStr">
        <is>
          <t>data/cobblemon/spawn_pool_world/0671_florges.json</t>
        </is>
      </c>
      <c r="AN2244" s="18" t="inlineStr">
        <is>
          <t>florges-white-5</t>
        </is>
      </c>
      <c r="AO2244" s="18" t="inlineStr">
        <is>
          <t>pokemon</t>
        </is>
      </c>
      <c r="AP2244" s="18" t="inlineStr">
        <is>
          <t>natural</t>
        </is>
      </c>
      <c r="AQ2244" s="18" t="inlineStr">
        <is>
          <t>{"biomes":["#cobblemon:is_overworld"],"maxSkyLight":15,"minSkyLight":8,"neededNearbyBlocks":["#cobblemon:white_flowers"]}</t>
        </is>
      </c>
      <c r="AR2244" s="18" t="inlineStr"/>
      <c r="AS2244" s="18" t="inlineStr">
        <is>
          <t>{"weightMultiplier":{"condition":{"timeRange":"night"},"multiplier":0.25}}</t>
        </is>
      </c>
      <c r="AT2244" s="19" t="inlineStr"/>
    </row>
    <row r="2245" ht="32" customHeight="1">
      <c r="A2245" s="18" t="inlineStr">
        <is>
          <t>0671_florges.json::florges-pink-6::006</t>
        </is>
      </c>
      <c r="B2245" s="19" t="inlineStr">
        <is>
          <t>사용</t>
        </is>
      </c>
      <c r="C2245" s="18">
        <f>IF(OR(B2245&lt;&gt;AK2245,M2245&lt;&gt;L2245,O2245&lt;&gt;"",Q2245&lt;&gt;"",V2245&lt;&gt;1,Y2245&lt;&gt;"",AT2245&lt;&gt;""),"수정","원본")</f>
        <v/>
      </c>
      <c r="D2245" s="18" t="n">
        <v>671</v>
      </c>
      <c r="E2245" s="18" t="inlineStr">
        <is>
          <t>플라제스</t>
        </is>
      </c>
      <c r="F2245" s="18" t="inlineStr">
        <is>
          <t>florges</t>
        </is>
      </c>
      <c r="G2245" s="18" t="inlineStr">
        <is>
          <t>florges flower=pink</t>
        </is>
      </c>
      <c r="H2245" s="18" t="inlineStr">
        <is>
          <t>flower=pink</t>
        </is>
      </c>
      <c r="I2245" s="18" t="n">
        <v>6</v>
      </c>
      <c r="J2245" s="18" t="n"/>
      <c r="K2245" s="18" t="n">
        <v>6</v>
      </c>
      <c r="L2245" s="18" t="inlineStr">
        <is>
          <t>cobbleventure:generation_6</t>
        </is>
      </c>
      <c r="M2245" s="19" t="inlineStr">
        <is>
          <t>cobbleventure:generation_6</t>
        </is>
      </c>
      <c r="N2245" s="18" t="inlineStr">
        <is>
          <t>region_01; region_02</t>
        </is>
      </c>
      <c r="O2245" s="19" t="inlineStr"/>
      <c r="P2245" s="18" t="inlineStr">
        <is>
          <t>#cobblemon:is_overworld</t>
        </is>
      </c>
      <c r="Q2245" s="19" t="inlineStr"/>
      <c r="R2245" s="18">
        <f>IF(Q2245="",P2245,Q2245)</f>
        <v/>
      </c>
      <c r="S2245" s="18" t="inlineStr"/>
      <c r="T2245" s="18" t="inlineStr">
        <is>
          <t>common</t>
        </is>
      </c>
      <c r="U2245" s="20" t="n">
        <v>0.05</v>
      </c>
      <c r="V2245" s="21" t="n">
        <v>1</v>
      </c>
      <c r="W2245" s="20">
        <f>IF(OR(U2245="",V2245=""),U2245,U2245*V2245)</f>
        <v/>
      </c>
      <c r="X2245" s="18" t="inlineStr">
        <is>
          <t>32-55</t>
        </is>
      </c>
      <c r="Y2245" s="19" t="inlineStr"/>
      <c r="Z2245" s="18">
        <f>IF(Y2245="",X2245,Y2245)</f>
        <v/>
      </c>
      <c r="AA2245" s="18" t="inlineStr">
        <is>
          <t>grounded</t>
        </is>
      </c>
      <c r="AB2245" s="18" t="inlineStr"/>
      <c r="AC2245" s="18" t="inlineStr"/>
      <c r="AD2245" s="18" t="inlineStr"/>
      <c r="AE2245" s="18" t="inlineStr">
        <is>
          <t>sky 8-15</t>
        </is>
      </c>
      <c r="AF2245" s="18" t="inlineStr"/>
      <c r="AG2245" s="18" t="inlineStr"/>
      <c r="AH2245" s="18" t="inlineStr">
        <is>
          <t>주변=#cobblemon:pink_flowers</t>
        </is>
      </c>
      <c r="AI2245" s="18" t="inlineStr"/>
      <c r="AJ2245" s="18" t="inlineStr">
        <is>
          <t>Cobblemon 동일</t>
        </is>
      </c>
      <c r="AK2245" s="18" t="inlineStr">
        <is>
          <t>사용</t>
        </is>
      </c>
      <c r="AL2245" s="18" t="inlineStr">
        <is>
          <t>COBBLEVERSE 1.7.42 / DP v31</t>
        </is>
      </c>
      <c r="AM2245" s="18" t="inlineStr">
        <is>
          <t>data/cobblemon/spawn_pool_world/0671_florges.json</t>
        </is>
      </c>
      <c r="AN2245" s="18" t="inlineStr">
        <is>
          <t>florges-pink-6</t>
        </is>
      </c>
      <c r="AO2245" s="18" t="inlineStr">
        <is>
          <t>pokemon</t>
        </is>
      </c>
      <c r="AP2245" s="18" t="inlineStr">
        <is>
          <t>natural</t>
        </is>
      </c>
      <c r="AQ2245" s="18" t="inlineStr">
        <is>
          <t>{"biomes":["#cobblemon:is_overworld"],"maxSkyLight":15,"minSkyLight":8,"neededNearbyBlocks":["#cobblemon:pink_flowers"]}</t>
        </is>
      </c>
      <c r="AR2245" s="18" t="inlineStr"/>
      <c r="AS2245" s="18" t="inlineStr">
        <is>
          <t>{"weightMultiplier":{"condition":{"timeRange":"night"},"multiplier":0.25}}</t>
        </is>
      </c>
      <c r="AT2245" s="19" t="inlineStr"/>
    </row>
    <row r="2246" ht="32" customHeight="1">
      <c r="A2246" s="18" t="inlineStr">
        <is>
          <t>0671_florges.json::florges-white-7::007</t>
        </is>
      </c>
      <c r="B2246" s="19" t="inlineStr">
        <is>
          <t>사용</t>
        </is>
      </c>
      <c r="C2246" s="18">
        <f>IF(OR(B2246&lt;&gt;AK2246,M2246&lt;&gt;L2246,O2246&lt;&gt;"",Q2246&lt;&gt;"",V2246&lt;&gt;1,Y2246&lt;&gt;"",AT2246&lt;&gt;""),"수정","원본")</f>
        <v/>
      </c>
      <c r="D2246" s="18" t="n">
        <v>671</v>
      </c>
      <c r="E2246" s="18" t="inlineStr">
        <is>
          <t>플라제스</t>
        </is>
      </c>
      <c r="F2246" s="18" t="inlineStr">
        <is>
          <t>florges</t>
        </is>
      </c>
      <c r="G2246" s="18" t="inlineStr">
        <is>
          <t>florges flower=white</t>
        </is>
      </c>
      <c r="H2246" s="18" t="inlineStr">
        <is>
          <t>flower=white</t>
        </is>
      </c>
      <c r="I2246" s="18" t="n">
        <v>6</v>
      </c>
      <c r="J2246" s="18" t="n"/>
      <c r="K2246" s="18" t="n">
        <v>6</v>
      </c>
      <c r="L2246" s="18" t="inlineStr">
        <is>
          <t>cobbleventure:generation_6</t>
        </is>
      </c>
      <c r="M2246" s="19" t="inlineStr">
        <is>
          <t>cobbleventure:generation_6</t>
        </is>
      </c>
      <c r="N2246" s="18" t="inlineStr"/>
      <c r="O2246" s="19" t="inlineStr"/>
      <c r="P2246" s="18" t="inlineStr">
        <is>
          <t>#aether:is_aether</t>
        </is>
      </c>
      <c r="Q2246" s="19" t="inlineStr"/>
      <c r="R2246" s="18">
        <f>IF(Q2246="",P2246,Q2246)</f>
        <v/>
      </c>
      <c r="S2246" s="18" t="inlineStr"/>
      <c r="T2246" s="18" t="inlineStr">
        <is>
          <t>common</t>
        </is>
      </c>
      <c r="U2246" s="20" t="n">
        <v>0.05</v>
      </c>
      <c r="V2246" s="21" t="n">
        <v>1</v>
      </c>
      <c r="W2246" s="20">
        <f>IF(OR(U2246="",V2246=""),U2246,U2246*V2246)</f>
        <v/>
      </c>
      <c r="X2246" s="18" t="inlineStr">
        <is>
          <t>32-55</t>
        </is>
      </c>
      <c r="Y2246" s="19" t="inlineStr"/>
      <c r="Z2246" s="18">
        <f>IF(Y2246="",X2246,Y2246)</f>
        <v/>
      </c>
      <c r="AA2246" s="18" t="inlineStr">
        <is>
          <t>grounded</t>
        </is>
      </c>
      <c r="AB2246" s="18" t="inlineStr"/>
      <c r="AC2246" s="18" t="inlineStr"/>
      <c r="AD2246" s="18" t="inlineStr"/>
      <c r="AE2246" s="18" t="inlineStr">
        <is>
          <t>sky 8-15</t>
        </is>
      </c>
      <c r="AF2246" s="18" t="inlineStr"/>
      <c r="AG2246" s="18" t="inlineStr"/>
      <c r="AH2246" s="18" t="inlineStr">
        <is>
          <t>주변=#cobblemon:white_flowers</t>
        </is>
      </c>
      <c r="AI2246" s="18" t="inlineStr"/>
      <c r="AJ2246" s="18" t="inlineStr">
        <is>
          <t>Cobblemon 동일</t>
        </is>
      </c>
      <c r="AK2246" s="18" t="inlineStr">
        <is>
          <t>사용</t>
        </is>
      </c>
      <c r="AL2246" s="18" t="inlineStr">
        <is>
          <t>COBBLEVERSE 1.7.42 / DP v31</t>
        </is>
      </c>
      <c r="AM2246" s="18" t="inlineStr">
        <is>
          <t>data/cobblemon/spawn_pool_world/0671_florges.json</t>
        </is>
      </c>
      <c r="AN2246" s="18" t="inlineStr">
        <is>
          <t>florges-white-7</t>
        </is>
      </c>
      <c r="AO2246" s="18" t="inlineStr">
        <is>
          <t>pokemon</t>
        </is>
      </c>
      <c r="AP2246" s="18" t="inlineStr">
        <is>
          <t>natural</t>
        </is>
      </c>
      <c r="AQ2246" s="18" t="inlineStr">
        <is>
          <t>{"biomes":["#aether:is_aether"],"maxSkyLight":15,"minSkyLight":8,"neededNearbyBlocks":["#cobblemon:white_flowers"]}</t>
        </is>
      </c>
      <c r="AR2246" s="18" t="inlineStr"/>
      <c r="AS2246" s="18" t="inlineStr"/>
      <c r="AT2246" s="19" t="inlineStr"/>
    </row>
    <row r="2247" ht="32" customHeight="1">
      <c r="A2247" s="18" t="inlineStr">
        <is>
          <t>0671_florges.json::florges-red-8::008</t>
        </is>
      </c>
      <c r="B2247" s="19" t="inlineStr">
        <is>
          <t>사용</t>
        </is>
      </c>
      <c r="C2247" s="18">
        <f>IF(OR(B2247&lt;&gt;AK2247,M2247&lt;&gt;L2247,O2247&lt;&gt;"",Q2247&lt;&gt;"",V2247&lt;&gt;1,Y2247&lt;&gt;"",AT2247&lt;&gt;""),"수정","원본")</f>
        <v/>
      </c>
      <c r="D2247" s="18" t="n">
        <v>671</v>
      </c>
      <c r="E2247" s="18" t="inlineStr">
        <is>
          <t>플라제스</t>
        </is>
      </c>
      <c r="F2247" s="18" t="inlineStr">
        <is>
          <t>florges</t>
        </is>
      </c>
      <c r="G2247" s="18" t="inlineStr">
        <is>
          <t>florges flower=red</t>
        </is>
      </c>
      <c r="H2247" s="18" t="inlineStr">
        <is>
          <t>flower=red</t>
        </is>
      </c>
      <c r="I2247" s="18" t="n">
        <v>6</v>
      </c>
      <c r="J2247" s="18" t="n"/>
      <c r="K2247" s="18" t="n">
        <v>6</v>
      </c>
      <c r="L2247" s="18" t="inlineStr">
        <is>
          <t>cobbleventure:generation_6</t>
        </is>
      </c>
      <c r="M2247" s="19" t="inlineStr">
        <is>
          <t>cobbleventure:generation_6</t>
        </is>
      </c>
      <c r="N2247" s="18" t="inlineStr"/>
      <c r="O2247" s="19" t="inlineStr"/>
      <c r="P2247" s="18" t="inlineStr">
        <is>
          <t>the_bumblezone:floral_meadow</t>
        </is>
      </c>
      <c r="Q2247" s="19" t="inlineStr"/>
      <c r="R2247" s="18">
        <f>IF(Q2247="",P2247,Q2247)</f>
        <v/>
      </c>
      <c r="S2247" s="18" t="inlineStr"/>
      <c r="T2247" s="18" t="inlineStr">
        <is>
          <t>common</t>
        </is>
      </c>
      <c r="U2247" s="20" t="n">
        <v>0.008</v>
      </c>
      <c r="V2247" s="21" t="n">
        <v>1</v>
      </c>
      <c r="W2247" s="20">
        <f>IF(OR(U2247="",V2247=""),U2247,U2247*V2247)</f>
        <v/>
      </c>
      <c r="X2247" s="18" t="inlineStr">
        <is>
          <t>32-55</t>
        </is>
      </c>
      <c r="Y2247" s="19" t="inlineStr"/>
      <c r="Z2247" s="18">
        <f>IF(Y2247="",X2247,Y2247)</f>
        <v/>
      </c>
      <c r="AA2247" s="18" t="inlineStr">
        <is>
          <t>grounded</t>
        </is>
      </c>
      <c r="AB2247" s="18" t="inlineStr"/>
      <c r="AC2247" s="18" t="inlineStr"/>
      <c r="AD2247" s="18" t="inlineStr"/>
      <c r="AE2247" s="18" t="inlineStr"/>
      <c r="AF2247" s="18" t="inlineStr"/>
      <c r="AG2247" s="18" t="inlineStr"/>
      <c r="AH2247" s="18" t="inlineStr"/>
      <c r="AI2247" s="18" t="inlineStr"/>
      <c r="AJ2247" s="18" t="inlineStr">
        <is>
          <t>Cobblemon 동일</t>
        </is>
      </c>
      <c r="AK2247" s="18" t="inlineStr">
        <is>
          <t>사용</t>
        </is>
      </c>
      <c r="AL2247" s="18" t="inlineStr">
        <is>
          <t>COBBLEVERSE 1.7.42 / DP v31</t>
        </is>
      </c>
      <c r="AM2247" s="18" t="inlineStr">
        <is>
          <t>data/cobblemon/spawn_pool_world/0671_florges.json</t>
        </is>
      </c>
      <c r="AN2247" s="18" t="inlineStr">
        <is>
          <t>florges-red-8</t>
        </is>
      </c>
      <c r="AO2247" s="18" t="inlineStr">
        <is>
          <t>pokemon</t>
        </is>
      </c>
      <c r="AP2247" s="18" t="inlineStr"/>
      <c r="AQ2247" s="18" t="inlineStr">
        <is>
          <t>{"biomes":["the_bumblezone:floral_meadow"]}</t>
        </is>
      </c>
      <c r="AR2247" s="18" t="inlineStr">
        <is>
          <t>{"structures":["#the_bumblezone:sempiternal_sanctums"]}</t>
        </is>
      </c>
      <c r="AS2247" s="18" t="inlineStr">
        <is>
          <t>{"weightMultiplier":{"condition":{"timeRange":"night"},"multiplier":0.25}}</t>
        </is>
      </c>
      <c r="AT2247" s="19" t="inlineStr"/>
    </row>
    <row r="2248" ht="32" customHeight="1">
      <c r="A2248" s="18" t="inlineStr">
        <is>
          <t>0671_florges.json::florges-yellow-8::009</t>
        </is>
      </c>
      <c r="B2248" s="19" t="inlineStr">
        <is>
          <t>사용</t>
        </is>
      </c>
      <c r="C2248" s="18">
        <f>IF(OR(B2248&lt;&gt;AK2248,M2248&lt;&gt;L2248,O2248&lt;&gt;"",Q2248&lt;&gt;"",V2248&lt;&gt;1,Y2248&lt;&gt;"",AT2248&lt;&gt;""),"수정","원본")</f>
        <v/>
      </c>
      <c r="D2248" s="18" t="n">
        <v>671</v>
      </c>
      <c r="E2248" s="18" t="inlineStr">
        <is>
          <t>플라제스</t>
        </is>
      </c>
      <c r="F2248" s="18" t="inlineStr">
        <is>
          <t>florges</t>
        </is>
      </c>
      <c r="G2248" s="18" t="inlineStr">
        <is>
          <t>florges flower=yellow</t>
        </is>
      </c>
      <c r="H2248" s="18" t="inlineStr">
        <is>
          <t>flower=yellow</t>
        </is>
      </c>
      <c r="I2248" s="18" t="n">
        <v>6</v>
      </c>
      <c r="J2248" s="18" t="n"/>
      <c r="K2248" s="18" t="n">
        <v>6</v>
      </c>
      <c r="L2248" s="18" t="inlineStr">
        <is>
          <t>cobbleventure:generation_6</t>
        </is>
      </c>
      <c r="M2248" s="19" t="inlineStr">
        <is>
          <t>cobbleventure:generation_6</t>
        </is>
      </c>
      <c r="N2248" s="18" t="inlineStr"/>
      <c r="O2248" s="19" t="inlineStr"/>
      <c r="P2248" s="18" t="inlineStr">
        <is>
          <t>the_bumblezone:floral_meadow</t>
        </is>
      </c>
      <c r="Q2248" s="19" t="inlineStr"/>
      <c r="R2248" s="18">
        <f>IF(Q2248="",P2248,Q2248)</f>
        <v/>
      </c>
      <c r="S2248" s="18" t="inlineStr"/>
      <c r="T2248" s="18" t="inlineStr">
        <is>
          <t>common</t>
        </is>
      </c>
      <c r="U2248" s="20" t="n">
        <v>0.008</v>
      </c>
      <c r="V2248" s="21" t="n">
        <v>1</v>
      </c>
      <c r="W2248" s="20">
        <f>IF(OR(U2248="",V2248=""),U2248,U2248*V2248)</f>
        <v/>
      </c>
      <c r="X2248" s="18" t="inlineStr">
        <is>
          <t>32-55</t>
        </is>
      </c>
      <c r="Y2248" s="19" t="inlineStr"/>
      <c r="Z2248" s="18">
        <f>IF(Y2248="",X2248,Y2248)</f>
        <v/>
      </c>
      <c r="AA2248" s="18" t="inlineStr">
        <is>
          <t>grounded</t>
        </is>
      </c>
      <c r="AB2248" s="18" t="inlineStr"/>
      <c r="AC2248" s="18" t="inlineStr"/>
      <c r="AD2248" s="18" t="inlineStr"/>
      <c r="AE2248" s="18" t="inlineStr"/>
      <c r="AF2248" s="18" t="inlineStr"/>
      <c r="AG2248" s="18" t="inlineStr"/>
      <c r="AH2248" s="18" t="inlineStr"/>
      <c r="AI2248" s="18" t="inlineStr"/>
      <c r="AJ2248" s="18" t="inlineStr">
        <is>
          <t>Cobblemon 동일</t>
        </is>
      </c>
      <c r="AK2248" s="18" t="inlineStr">
        <is>
          <t>사용</t>
        </is>
      </c>
      <c r="AL2248" s="18" t="inlineStr">
        <is>
          <t>COBBLEVERSE 1.7.42 / DP v31</t>
        </is>
      </c>
      <c r="AM2248" s="18" t="inlineStr">
        <is>
          <t>data/cobblemon/spawn_pool_world/0671_florges.json</t>
        </is>
      </c>
      <c r="AN2248" s="18" t="inlineStr">
        <is>
          <t>florges-yellow-8</t>
        </is>
      </c>
      <c r="AO2248" s="18" t="inlineStr">
        <is>
          <t>pokemon</t>
        </is>
      </c>
      <c r="AP2248" s="18" t="inlineStr"/>
      <c r="AQ2248" s="18" t="inlineStr">
        <is>
          <t>{"biomes":["the_bumblezone:floral_meadow"]}</t>
        </is>
      </c>
      <c r="AR2248" s="18" t="inlineStr">
        <is>
          <t>{"structures":["#the_bumblezone:sempiternal_sanctums"]}</t>
        </is>
      </c>
      <c r="AS2248" s="18" t="inlineStr">
        <is>
          <t>{"weightMultiplier":{"condition":{"timeRange":"night"},"multiplier":0.25}}</t>
        </is>
      </c>
      <c r="AT2248" s="19" t="inlineStr"/>
    </row>
    <row r="2249" ht="32" customHeight="1">
      <c r="A2249" s="18" t="inlineStr">
        <is>
          <t>0671_florges.json::florges-orange-8::010</t>
        </is>
      </c>
      <c r="B2249" s="19" t="inlineStr">
        <is>
          <t>사용</t>
        </is>
      </c>
      <c r="C2249" s="18">
        <f>IF(OR(B2249&lt;&gt;AK2249,M2249&lt;&gt;L2249,O2249&lt;&gt;"",Q2249&lt;&gt;"",V2249&lt;&gt;1,Y2249&lt;&gt;"",AT2249&lt;&gt;""),"수정","원본")</f>
        <v/>
      </c>
      <c r="D2249" s="18" t="n">
        <v>671</v>
      </c>
      <c r="E2249" s="18" t="inlineStr">
        <is>
          <t>플라제스</t>
        </is>
      </c>
      <c r="F2249" s="18" t="inlineStr">
        <is>
          <t>florges</t>
        </is>
      </c>
      <c r="G2249" s="18" t="inlineStr">
        <is>
          <t>florges flower=orange</t>
        </is>
      </c>
      <c r="H2249" s="18" t="inlineStr">
        <is>
          <t>flower=orange</t>
        </is>
      </c>
      <c r="I2249" s="18" t="n">
        <v>6</v>
      </c>
      <c r="J2249" s="18" t="n"/>
      <c r="K2249" s="18" t="n">
        <v>6</v>
      </c>
      <c r="L2249" s="18" t="inlineStr">
        <is>
          <t>cobbleventure:generation_6</t>
        </is>
      </c>
      <c r="M2249" s="19" t="inlineStr">
        <is>
          <t>cobbleventure:generation_6</t>
        </is>
      </c>
      <c r="N2249" s="18" t="inlineStr"/>
      <c r="O2249" s="19" t="inlineStr"/>
      <c r="P2249" s="18" t="inlineStr">
        <is>
          <t>the_bumblezone:floral_meadow</t>
        </is>
      </c>
      <c r="Q2249" s="19" t="inlineStr"/>
      <c r="R2249" s="18">
        <f>IF(Q2249="",P2249,Q2249)</f>
        <v/>
      </c>
      <c r="S2249" s="18" t="inlineStr"/>
      <c r="T2249" s="18" t="inlineStr">
        <is>
          <t>common</t>
        </is>
      </c>
      <c r="U2249" s="20" t="n">
        <v>0.008</v>
      </c>
      <c r="V2249" s="21" t="n">
        <v>1</v>
      </c>
      <c r="W2249" s="20">
        <f>IF(OR(U2249="",V2249=""),U2249,U2249*V2249)</f>
        <v/>
      </c>
      <c r="X2249" s="18" t="inlineStr">
        <is>
          <t>32-55</t>
        </is>
      </c>
      <c r="Y2249" s="19" t="inlineStr"/>
      <c r="Z2249" s="18">
        <f>IF(Y2249="",X2249,Y2249)</f>
        <v/>
      </c>
      <c r="AA2249" s="18" t="inlineStr">
        <is>
          <t>grounded</t>
        </is>
      </c>
      <c r="AB2249" s="18" t="inlineStr"/>
      <c r="AC2249" s="18" t="inlineStr"/>
      <c r="AD2249" s="18" t="inlineStr"/>
      <c r="AE2249" s="18" t="inlineStr"/>
      <c r="AF2249" s="18" t="inlineStr"/>
      <c r="AG2249" s="18" t="inlineStr"/>
      <c r="AH2249" s="18" t="inlineStr"/>
      <c r="AI2249" s="18" t="inlineStr"/>
      <c r="AJ2249" s="18" t="inlineStr">
        <is>
          <t>Cobblemon 동일</t>
        </is>
      </c>
      <c r="AK2249" s="18" t="inlineStr">
        <is>
          <t>사용</t>
        </is>
      </c>
      <c r="AL2249" s="18" t="inlineStr">
        <is>
          <t>COBBLEVERSE 1.7.42 / DP v31</t>
        </is>
      </c>
      <c r="AM2249" s="18" t="inlineStr">
        <is>
          <t>data/cobblemon/spawn_pool_world/0671_florges.json</t>
        </is>
      </c>
      <c r="AN2249" s="18" t="inlineStr">
        <is>
          <t>florges-orange-8</t>
        </is>
      </c>
      <c r="AO2249" s="18" t="inlineStr">
        <is>
          <t>pokemon</t>
        </is>
      </c>
      <c r="AP2249" s="18" t="inlineStr"/>
      <c r="AQ2249" s="18" t="inlineStr">
        <is>
          <t>{"biomes":["the_bumblezone:floral_meadow"]}</t>
        </is>
      </c>
      <c r="AR2249" s="18" t="inlineStr">
        <is>
          <t>{"structures":["#the_bumblezone:sempiternal_sanctums"]}</t>
        </is>
      </c>
      <c r="AS2249" s="18" t="inlineStr">
        <is>
          <t>{"weightMultiplier":{"condition":{"timeRange":"night"},"multiplier":0.25}}</t>
        </is>
      </c>
      <c r="AT2249" s="19" t="inlineStr"/>
    </row>
    <row r="2250" ht="32" customHeight="1">
      <c r="A2250" s="18" t="inlineStr">
        <is>
          <t>0671_florges.json::florges-blue-8::011</t>
        </is>
      </c>
      <c r="B2250" s="19" t="inlineStr">
        <is>
          <t>사용</t>
        </is>
      </c>
      <c r="C2250" s="18">
        <f>IF(OR(B2250&lt;&gt;AK2250,M2250&lt;&gt;L2250,O2250&lt;&gt;"",Q2250&lt;&gt;"",V2250&lt;&gt;1,Y2250&lt;&gt;"",AT2250&lt;&gt;""),"수정","원본")</f>
        <v/>
      </c>
      <c r="D2250" s="18" t="n">
        <v>671</v>
      </c>
      <c r="E2250" s="18" t="inlineStr">
        <is>
          <t>플라제스</t>
        </is>
      </c>
      <c r="F2250" s="18" t="inlineStr">
        <is>
          <t>florges</t>
        </is>
      </c>
      <c r="G2250" s="18" t="inlineStr">
        <is>
          <t>florges flower=blue</t>
        </is>
      </c>
      <c r="H2250" s="18" t="inlineStr">
        <is>
          <t>flower=blue</t>
        </is>
      </c>
      <c r="I2250" s="18" t="n">
        <v>6</v>
      </c>
      <c r="J2250" s="18" t="n"/>
      <c r="K2250" s="18" t="n">
        <v>6</v>
      </c>
      <c r="L2250" s="18" t="inlineStr">
        <is>
          <t>cobbleventure:generation_6</t>
        </is>
      </c>
      <c r="M2250" s="19" t="inlineStr">
        <is>
          <t>cobbleventure:generation_6</t>
        </is>
      </c>
      <c r="N2250" s="18" t="inlineStr"/>
      <c r="O2250" s="19" t="inlineStr"/>
      <c r="P2250" s="18" t="inlineStr">
        <is>
          <t>the_bumblezone:floral_meadow</t>
        </is>
      </c>
      <c r="Q2250" s="19" t="inlineStr"/>
      <c r="R2250" s="18">
        <f>IF(Q2250="",P2250,Q2250)</f>
        <v/>
      </c>
      <c r="S2250" s="18" t="inlineStr"/>
      <c r="T2250" s="18" t="inlineStr">
        <is>
          <t>common</t>
        </is>
      </c>
      <c r="U2250" s="20" t="n">
        <v>0.008</v>
      </c>
      <c r="V2250" s="21" t="n">
        <v>1</v>
      </c>
      <c r="W2250" s="20">
        <f>IF(OR(U2250="",V2250=""),U2250,U2250*V2250)</f>
        <v/>
      </c>
      <c r="X2250" s="18" t="inlineStr">
        <is>
          <t>32-55</t>
        </is>
      </c>
      <c r="Y2250" s="19" t="inlineStr"/>
      <c r="Z2250" s="18">
        <f>IF(Y2250="",X2250,Y2250)</f>
        <v/>
      </c>
      <c r="AA2250" s="18" t="inlineStr">
        <is>
          <t>grounded</t>
        </is>
      </c>
      <c r="AB2250" s="18" t="inlineStr"/>
      <c r="AC2250" s="18" t="inlineStr"/>
      <c r="AD2250" s="18" t="inlineStr"/>
      <c r="AE2250" s="18" t="inlineStr"/>
      <c r="AF2250" s="18" t="inlineStr"/>
      <c r="AG2250" s="18" t="inlineStr"/>
      <c r="AH2250" s="18" t="inlineStr"/>
      <c r="AI2250" s="18" t="inlineStr"/>
      <c r="AJ2250" s="18" t="inlineStr">
        <is>
          <t>Cobblemon 동일</t>
        </is>
      </c>
      <c r="AK2250" s="18" t="inlineStr">
        <is>
          <t>사용</t>
        </is>
      </c>
      <c r="AL2250" s="18" t="inlineStr">
        <is>
          <t>COBBLEVERSE 1.7.42 / DP v31</t>
        </is>
      </c>
      <c r="AM2250" s="18" t="inlineStr">
        <is>
          <t>data/cobblemon/spawn_pool_world/0671_florges.json</t>
        </is>
      </c>
      <c r="AN2250" s="18" t="inlineStr">
        <is>
          <t>florges-blue-8</t>
        </is>
      </c>
      <c r="AO2250" s="18" t="inlineStr">
        <is>
          <t>pokemon</t>
        </is>
      </c>
      <c r="AP2250" s="18" t="inlineStr"/>
      <c r="AQ2250" s="18" t="inlineStr">
        <is>
          <t>{"biomes":["the_bumblezone:floral_meadow"]}</t>
        </is>
      </c>
      <c r="AR2250" s="18" t="inlineStr">
        <is>
          <t>{"structures":["#the_bumblezone:sempiternal_sanctums"]}</t>
        </is>
      </c>
      <c r="AS2250" s="18" t="inlineStr">
        <is>
          <t>{"weightMultiplier":{"condition":{"timeRange":"night"},"multiplier":0.25}}</t>
        </is>
      </c>
      <c r="AT2250" s="19" t="inlineStr"/>
    </row>
    <row r="2251" ht="32" customHeight="1">
      <c r="A2251" s="18" t="inlineStr">
        <is>
          <t>0671_florges.json::florges-white-8::012</t>
        </is>
      </c>
      <c r="B2251" s="19" t="inlineStr">
        <is>
          <t>사용</t>
        </is>
      </c>
      <c r="C2251" s="18">
        <f>IF(OR(B2251&lt;&gt;AK2251,M2251&lt;&gt;L2251,O2251&lt;&gt;"",Q2251&lt;&gt;"",V2251&lt;&gt;1,Y2251&lt;&gt;"",AT2251&lt;&gt;""),"수정","원본")</f>
        <v/>
      </c>
      <c r="D2251" s="18" t="n">
        <v>671</v>
      </c>
      <c r="E2251" s="18" t="inlineStr">
        <is>
          <t>플라제스</t>
        </is>
      </c>
      <c r="F2251" s="18" t="inlineStr">
        <is>
          <t>florges</t>
        </is>
      </c>
      <c r="G2251" s="18" t="inlineStr">
        <is>
          <t>florges flower=white</t>
        </is>
      </c>
      <c r="H2251" s="18" t="inlineStr">
        <is>
          <t>flower=white</t>
        </is>
      </c>
      <c r="I2251" s="18" t="n">
        <v>6</v>
      </c>
      <c r="J2251" s="18" t="n"/>
      <c r="K2251" s="18" t="n">
        <v>6</v>
      </c>
      <c r="L2251" s="18" t="inlineStr">
        <is>
          <t>cobbleventure:generation_6</t>
        </is>
      </c>
      <c r="M2251" s="19" t="inlineStr">
        <is>
          <t>cobbleventure:generation_6</t>
        </is>
      </c>
      <c r="N2251" s="18" t="inlineStr"/>
      <c r="O2251" s="19" t="inlineStr"/>
      <c r="P2251" s="18" t="inlineStr">
        <is>
          <t>the_bumblezone:floral_meadow</t>
        </is>
      </c>
      <c r="Q2251" s="19" t="inlineStr"/>
      <c r="R2251" s="18">
        <f>IF(Q2251="",P2251,Q2251)</f>
        <v/>
      </c>
      <c r="S2251" s="18" t="inlineStr"/>
      <c r="T2251" s="18" t="inlineStr">
        <is>
          <t>common</t>
        </is>
      </c>
      <c r="U2251" s="20" t="n">
        <v>0.008</v>
      </c>
      <c r="V2251" s="21" t="n">
        <v>1</v>
      </c>
      <c r="W2251" s="20">
        <f>IF(OR(U2251="",V2251=""),U2251,U2251*V2251)</f>
        <v/>
      </c>
      <c r="X2251" s="18" t="inlineStr">
        <is>
          <t>32-55</t>
        </is>
      </c>
      <c r="Y2251" s="19" t="inlineStr"/>
      <c r="Z2251" s="18">
        <f>IF(Y2251="",X2251,Y2251)</f>
        <v/>
      </c>
      <c r="AA2251" s="18" t="inlineStr">
        <is>
          <t>grounded</t>
        </is>
      </c>
      <c r="AB2251" s="18" t="inlineStr"/>
      <c r="AC2251" s="18" t="inlineStr"/>
      <c r="AD2251" s="18" t="inlineStr"/>
      <c r="AE2251" s="18" t="inlineStr"/>
      <c r="AF2251" s="18" t="inlineStr"/>
      <c r="AG2251" s="18" t="inlineStr"/>
      <c r="AH2251" s="18" t="inlineStr"/>
      <c r="AI2251" s="18" t="inlineStr"/>
      <c r="AJ2251" s="18" t="inlineStr">
        <is>
          <t>Cobblemon 동일</t>
        </is>
      </c>
      <c r="AK2251" s="18" t="inlineStr">
        <is>
          <t>사용</t>
        </is>
      </c>
      <c r="AL2251" s="18" t="inlineStr">
        <is>
          <t>COBBLEVERSE 1.7.42 / DP v31</t>
        </is>
      </c>
      <c r="AM2251" s="18" t="inlineStr">
        <is>
          <t>data/cobblemon/spawn_pool_world/0671_florges.json</t>
        </is>
      </c>
      <c r="AN2251" s="18" t="inlineStr">
        <is>
          <t>florges-white-8</t>
        </is>
      </c>
      <c r="AO2251" s="18" t="inlineStr">
        <is>
          <t>pokemon</t>
        </is>
      </c>
      <c r="AP2251" s="18" t="inlineStr"/>
      <c r="AQ2251" s="18" t="inlineStr">
        <is>
          <t>{"biomes":["the_bumblezone:floral_meadow"]}</t>
        </is>
      </c>
      <c r="AR2251" s="18" t="inlineStr">
        <is>
          <t>{"structures":["#the_bumblezone:sempiternal_sanctums"]}</t>
        </is>
      </c>
      <c r="AS2251" s="18" t="inlineStr">
        <is>
          <t>{"weightMultiplier":{"condition":{"timeRange":"night"},"multiplier":0.25}}</t>
        </is>
      </c>
      <c r="AT2251" s="19" t="inlineStr"/>
    </row>
    <row r="2252" ht="32" customHeight="1">
      <c r="A2252" s="18" t="inlineStr">
        <is>
          <t>0671_florges.json::florges-pink-8::013</t>
        </is>
      </c>
      <c r="B2252" s="19" t="inlineStr">
        <is>
          <t>사용</t>
        </is>
      </c>
      <c r="C2252" s="18">
        <f>IF(OR(B2252&lt;&gt;AK2252,M2252&lt;&gt;L2252,O2252&lt;&gt;"",Q2252&lt;&gt;"",V2252&lt;&gt;1,Y2252&lt;&gt;"",AT2252&lt;&gt;""),"수정","원본")</f>
        <v/>
      </c>
      <c r="D2252" s="18" t="n">
        <v>671</v>
      </c>
      <c r="E2252" s="18" t="inlineStr">
        <is>
          <t>플라제스</t>
        </is>
      </c>
      <c r="F2252" s="18" t="inlineStr">
        <is>
          <t>florges</t>
        </is>
      </c>
      <c r="G2252" s="18" t="inlineStr">
        <is>
          <t>florges flower=pink</t>
        </is>
      </c>
      <c r="H2252" s="18" t="inlineStr">
        <is>
          <t>flower=pink</t>
        </is>
      </c>
      <c r="I2252" s="18" t="n">
        <v>6</v>
      </c>
      <c r="J2252" s="18" t="n"/>
      <c r="K2252" s="18" t="n">
        <v>6</v>
      </c>
      <c r="L2252" s="18" t="inlineStr">
        <is>
          <t>cobbleventure:generation_6</t>
        </is>
      </c>
      <c r="M2252" s="19" t="inlineStr">
        <is>
          <t>cobbleventure:generation_6</t>
        </is>
      </c>
      <c r="N2252" s="18" t="inlineStr"/>
      <c r="O2252" s="19" t="inlineStr"/>
      <c r="P2252" s="18" t="inlineStr">
        <is>
          <t>the_bumblezone:floral_meadow</t>
        </is>
      </c>
      <c r="Q2252" s="19" t="inlineStr"/>
      <c r="R2252" s="18">
        <f>IF(Q2252="",P2252,Q2252)</f>
        <v/>
      </c>
      <c r="S2252" s="18" t="inlineStr"/>
      <c r="T2252" s="18" t="inlineStr">
        <is>
          <t>common</t>
        </is>
      </c>
      <c r="U2252" s="20" t="n">
        <v>0.008</v>
      </c>
      <c r="V2252" s="21" t="n">
        <v>1</v>
      </c>
      <c r="W2252" s="20">
        <f>IF(OR(U2252="",V2252=""),U2252,U2252*V2252)</f>
        <v/>
      </c>
      <c r="X2252" s="18" t="inlineStr">
        <is>
          <t>32-55</t>
        </is>
      </c>
      <c r="Y2252" s="19" t="inlineStr"/>
      <c r="Z2252" s="18">
        <f>IF(Y2252="",X2252,Y2252)</f>
        <v/>
      </c>
      <c r="AA2252" s="18" t="inlineStr">
        <is>
          <t>grounded</t>
        </is>
      </c>
      <c r="AB2252" s="18" t="inlineStr"/>
      <c r="AC2252" s="18" t="inlineStr"/>
      <c r="AD2252" s="18" t="inlineStr"/>
      <c r="AE2252" s="18" t="inlineStr"/>
      <c r="AF2252" s="18" t="inlineStr"/>
      <c r="AG2252" s="18" t="inlineStr"/>
      <c r="AH2252" s="18" t="inlineStr"/>
      <c r="AI2252" s="18" t="inlineStr"/>
      <c r="AJ2252" s="18" t="inlineStr">
        <is>
          <t>Cobblemon 동일</t>
        </is>
      </c>
      <c r="AK2252" s="18" t="inlineStr">
        <is>
          <t>사용</t>
        </is>
      </c>
      <c r="AL2252" s="18" t="inlineStr">
        <is>
          <t>COBBLEVERSE 1.7.42 / DP v31</t>
        </is>
      </c>
      <c r="AM2252" s="18" t="inlineStr">
        <is>
          <t>data/cobblemon/spawn_pool_world/0671_florges.json</t>
        </is>
      </c>
      <c r="AN2252" s="18" t="inlineStr">
        <is>
          <t>florges-pink-8</t>
        </is>
      </c>
      <c r="AO2252" s="18" t="inlineStr">
        <is>
          <t>pokemon</t>
        </is>
      </c>
      <c r="AP2252" s="18" t="inlineStr"/>
      <c r="AQ2252" s="18" t="inlineStr">
        <is>
          <t>{"biomes":["the_bumblezone:floral_meadow"]}</t>
        </is>
      </c>
      <c r="AR2252" s="18" t="inlineStr">
        <is>
          <t>{"structures":["#the_bumblezone:sempiternal_sanctums"]}</t>
        </is>
      </c>
      <c r="AS2252" s="18" t="inlineStr">
        <is>
          <t>{"weightMultiplier":{"condition":{"timeRange":"night"},"multiplier":0.25}}</t>
        </is>
      </c>
      <c r="AT2252" s="19" t="inlineStr"/>
    </row>
    <row r="2253" ht="32" customHeight="1">
      <c r="A2253" s="18" t="inlineStr">
        <is>
          <t>0672_skiddo.json::skiddo-1::001</t>
        </is>
      </c>
      <c r="B2253" s="19" t="inlineStr">
        <is>
          <t>사용</t>
        </is>
      </c>
      <c r="C2253" s="18">
        <f>IF(OR(B2253&lt;&gt;AK2253,M2253&lt;&gt;L2253,O2253&lt;&gt;"",Q2253&lt;&gt;"",V2253&lt;&gt;1,Y2253&lt;&gt;"",AT2253&lt;&gt;""),"수정","원본")</f>
        <v/>
      </c>
      <c r="D2253" s="18" t="n">
        <v>672</v>
      </c>
      <c r="E2253" s="18" t="inlineStr">
        <is>
          <t>메이클</t>
        </is>
      </c>
      <c r="F2253" s="18" t="inlineStr">
        <is>
          <t>skiddo</t>
        </is>
      </c>
      <c r="G2253" s="18" t="inlineStr">
        <is>
          <t>skiddo</t>
        </is>
      </c>
      <c r="H2253" s="18" t="inlineStr"/>
      <c r="I2253" s="18" t="n">
        <v>6</v>
      </c>
      <c r="J2253" s="18" t="n"/>
      <c r="K2253" s="18" t="n">
        <v>6</v>
      </c>
      <c r="L2253" s="18" t="inlineStr">
        <is>
          <t>cobbleventure:generation_6</t>
        </is>
      </c>
      <c r="M2253" s="19" t="inlineStr">
        <is>
          <t>cobbleventure:generation_6</t>
        </is>
      </c>
      <c r="N2253" s="18" t="inlineStr"/>
      <c r="O2253" s="19" t="inlineStr"/>
      <c r="P2253" s="18" t="inlineStr">
        <is>
          <t>#cobblemon:is_mountain</t>
        </is>
      </c>
      <c r="Q2253" s="19" t="inlineStr"/>
      <c r="R2253" s="18">
        <f>IF(Q2253="",P2253,Q2253)</f>
        <v/>
      </c>
      <c r="S2253" s="18" t="inlineStr">
        <is>
          <t>#cobblemon:is_volcanic</t>
        </is>
      </c>
      <c r="T2253" s="18" t="inlineStr">
        <is>
          <t>common</t>
        </is>
      </c>
      <c r="U2253" s="20" t="n">
        <v>9</v>
      </c>
      <c r="V2253" s="21" t="n">
        <v>1</v>
      </c>
      <c r="W2253" s="20">
        <f>IF(OR(U2253="",V2253=""),U2253,U2253*V2253)</f>
        <v/>
      </c>
      <c r="X2253" s="18" t="inlineStr">
        <is>
          <t>10-35</t>
        </is>
      </c>
      <c r="Y2253" s="19" t="inlineStr"/>
      <c r="Z2253" s="18">
        <f>IF(Y2253="",X2253,Y2253)</f>
        <v/>
      </c>
      <c r="AA2253" s="18" t="inlineStr">
        <is>
          <t>grounded</t>
        </is>
      </c>
      <c r="AB2253" s="18" t="inlineStr"/>
      <c r="AC2253" s="18" t="inlineStr"/>
      <c r="AD2253" s="18" t="inlineStr"/>
      <c r="AE2253" s="18" t="inlineStr">
        <is>
          <t>sky 8-15</t>
        </is>
      </c>
      <c r="AF2253" s="18" t="inlineStr"/>
      <c r="AG2253" s="18" t="inlineStr"/>
      <c r="AH2253" s="18" t="inlineStr"/>
      <c r="AI2253" s="18" t="inlineStr"/>
      <c r="AJ2253" s="18" t="inlineStr">
        <is>
          <t>Cobblemon 동일</t>
        </is>
      </c>
      <c r="AK2253" s="18" t="inlineStr">
        <is>
          <t>사용</t>
        </is>
      </c>
      <c r="AL2253" s="18" t="inlineStr">
        <is>
          <t>COBBLEVERSE 1.7.42 / DP v31</t>
        </is>
      </c>
      <c r="AM2253" s="18" t="inlineStr">
        <is>
          <t>data/cobblemon/spawn_pool_world/0672_skiddo.json</t>
        </is>
      </c>
      <c r="AN2253" s="18" t="inlineStr">
        <is>
          <t>skiddo-1</t>
        </is>
      </c>
      <c r="AO2253" s="18" t="inlineStr">
        <is>
          <t>pokemon</t>
        </is>
      </c>
      <c r="AP2253" s="18" t="inlineStr">
        <is>
          <t>natural</t>
        </is>
      </c>
      <c r="AQ2253" s="18" t="inlineStr">
        <is>
          <t>{"biomes":["#cobblemon:is_mountain"],"maxSkyLight":15,"minSkyLight":8}</t>
        </is>
      </c>
      <c r="AR2253" s="18" t="inlineStr">
        <is>
          <t>{"biomes":["#cobblemon:is_volcanic"]}</t>
        </is>
      </c>
      <c r="AS2253" s="18" t="inlineStr">
        <is>
          <t>{"weightMultiplier":{"condition":{"timeRange":"night"},"multiplier":0.25}}</t>
        </is>
      </c>
      <c r="AT2253" s="19" t="inlineStr"/>
    </row>
    <row r="2254" ht="32" customHeight="1">
      <c r="A2254" s="18" t="inlineStr">
        <is>
          <t>0673_gogoat.json::gogoat-1::001</t>
        </is>
      </c>
      <c r="B2254" s="19" t="inlineStr">
        <is>
          <t>사용</t>
        </is>
      </c>
      <c r="C2254" s="18">
        <f>IF(OR(B2254&lt;&gt;AK2254,M2254&lt;&gt;L2254,O2254&lt;&gt;"",Q2254&lt;&gt;"",V2254&lt;&gt;1,Y2254&lt;&gt;"",AT2254&lt;&gt;""),"수정","원본")</f>
        <v/>
      </c>
      <c r="D2254" s="18" t="n">
        <v>673</v>
      </c>
      <c r="E2254" s="18" t="inlineStr">
        <is>
          <t>고고트</t>
        </is>
      </c>
      <c r="F2254" s="18" t="inlineStr">
        <is>
          <t>gogoat</t>
        </is>
      </c>
      <c r="G2254" s="18" t="inlineStr">
        <is>
          <t>gogoat</t>
        </is>
      </c>
      <c r="H2254" s="18" t="inlineStr"/>
      <c r="I2254" s="18" t="n">
        <v>6</v>
      </c>
      <c r="J2254" s="18" t="n"/>
      <c r="K2254" s="18" t="n">
        <v>6</v>
      </c>
      <c r="L2254" s="18" t="inlineStr">
        <is>
          <t>cobbleventure:generation_6</t>
        </is>
      </c>
      <c r="M2254" s="19" t="inlineStr">
        <is>
          <t>cobbleventure:generation_6</t>
        </is>
      </c>
      <c r="N2254" s="18" t="inlineStr"/>
      <c r="O2254" s="19" t="inlineStr"/>
      <c r="P2254" s="18" t="inlineStr">
        <is>
          <t>#cobblemon:is_mountain</t>
        </is>
      </c>
      <c r="Q2254" s="19" t="inlineStr"/>
      <c r="R2254" s="18">
        <f>IF(Q2254="",P2254,Q2254)</f>
        <v/>
      </c>
      <c r="S2254" s="18" t="inlineStr">
        <is>
          <t>#cobblemon:is_volcanic</t>
        </is>
      </c>
      <c r="T2254" s="18" t="inlineStr">
        <is>
          <t>common</t>
        </is>
      </c>
      <c r="U2254" s="20" t="n">
        <v>1</v>
      </c>
      <c r="V2254" s="21" t="n">
        <v>1</v>
      </c>
      <c r="W2254" s="20">
        <f>IF(OR(U2254="",V2254=""),U2254,U2254*V2254)</f>
        <v/>
      </c>
      <c r="X2254" s="18" t="inlineStr">
        <is>
          <t>32-53</t>
        </is>
      </c>
      <c r="Y2254" s="19" t="inlineStr"/>
      <c r="Z2254" s="18">
        <f>IF(Y2254="",X2254,Y2254)</f>
        <v/>
      </c>
      <c r="AA2254" s="18" t="inlineStr">
        <is>
          <t>grounded</t>
        </is>
      </c>
      <c r="AB2254" s="18" t="inlineStr"/>
      <c r="AC2254" s="18" t="inlineStr"/>
      <c r="AD2254" s="18" t="inlineStr"/>
      <c r="AE2254" s="18" t="inlineStr">
        <is>
          <t>sky 8-15</t>
        </is>
      </c>
      <c r="AF2254" s="18" t="inlineStr"/>
      <c r="AG2254" s="18" t="inlineStr"/>
      <c r="AH2254" s="18" t="inlineStr"/>
      <c r="AI2254" s="18" t="inlineStr"/>
      <c r="AJ2254" s="18" t="inlineStr">
        <is>
          <t>Cobblemon 동일</t>
        </is>
      </c>
      <c r="AK2254" s="18" t="inlineStr">
        <is>
          <t>사용</t>
        </is>
      </c>
      <c r="AL2254" s="18" t="inlineStr">
        <is>
          <t>COBBLEVERSE 1.7.42 / DP v31</t>
        </is>
      </c>
      <c r="AM2254" s="18" t="inlineStr">
        <is>
          <t>data/cobblemon/spawn_pool_world/0673_gogoat.json</t>
        </is>
      </c>
      <c r="AN2254" s="18" t="inlineStr">
        <is>
          <t>gogoat-1</t>
        </is>
      </c>
      <c r="AO2254" s="18" t="inlineStr">
        <is>
          <t>pokemon</t>
        </is>
      </c>
      <c r="AP2254" s="18" t="inlineStr">
        <is>
          <t>natural</t>
        </is>
      </c>
      <c r="AQ2254" s="18" t="inlineStr">
        <is>
          <t>{"biomes":["#cobblemon:is_mountain"],"maxSkyLight":15,"minSkyLight":8}</t>
        </is>
      </c>
      <c r="AR2254" s="18" t="inlineStr">
        <is>
          <t>{"biomes":["#cobblemon:is_volcanic"]}</t>
        </is>
      </c>
      <c r="AS2254" s="18" t="inlineStr">
        <is>
          <t>{"weightMultiplier":{"condition":{"timeRange":"night"},"multiplier":0.25}}</t>
        </is>
      </c>
      <c r="AT2254" s="19" t="inlineStr"/>
    </row>
    <row r="2255" ht="32" customHeight="1">
      <c r="A2255" s="18" t="inlineStr">
        <is>
          <t>0674_pancham.json::pancham-1::001</t>
        </is>
      </c>
      <c r="B2255" s="19" t="inlineStr">
        <is>
          <t>사용</t>
        </is>
      </c>
      <c r="C2255" s="18">
        <f>IF(OR(B2255&lt;&gt;AK2255,M2255&lt;&gt;L2255,O2255&lt;&gt;"",Q2255&lt;&gt;"",V2255&lt;&gt;1,Y2255&lt;&gt;"",AT2255&lt;&gt;""),"수정","원본")</f>
        <v/>
      </c>
      <c r="D2255" s="18" t="n">
        <v>674</v>
      </c>
      <c r="E2255" s="18" t="inlineStr">
        <is>
          <t>판짱</t>
        </is>
      </c>
      <c r="F2255" s="18" t="inlineStr">
        <is>
          <t>pancham</t>
        </is>
      </c>
      <c r="G2255" s="18" t="inlineStr">
        <is>
          <t>pancham</t>
        </is>
      </c>
      <c r="H2255" s="18" t="inlineStr"/>
      <c r="I2255" s="18" t="n">
        <v>6</v>
      </c>
      <c r="J2255" s="18" t="n"/>
      <c r="K2255" s="18" t="n">
        <v>6</v>
      </c>
      <c r="L2255" s="18" t="inlineStr">
        <is>
          <t>cobbleventure:generation_6</t>
        </is>
      </c>
      <c r="M2255" s="19" t="inlineStr">
        <is>
          <t>cobbleventure:generation_6</t>
        </is>
      </c>
      <c r="N2255" s="18" t="inlineStr"/>
      <c r="O2255" s="19" t="inlineStr"/>
      <c r="P2255" s="18" t="inlineStr">
        <is>
          <t>#cobblemon:is_jungle</t>
        </is>
      </c>
      <c r="Q2255" s="19" t="inlineStr"/>
      <c r="R2255" s="18">
        <f>IF(Q2255="",P2255,Q2255)</f>
        <v/>
      </c>
      <c r="S2255" s="18" t="inlineStr"/>
      <c r="T2255" s="18" t="inlineStr">
        <is>
          <t>common</t>
        </is>
      </c>
      <c r="U2255" s="20" t="n">
        <v>7.4</v>
      </c>
      <c r="V2255" s="21" t="n">
        <v>1</v>
      </c>
      <c r="W2255" s="20">
        <f>IF(OR(U2255="",V2255=""),U2255,U2255*V2255)</f>
        <v/>
      </c>
      <c r="X2255" s="18" t="inlineStr">
        <is>
          <t>5-31</t>
        </is>
      </c>
      <c r="Y2255" s="19" t="inlineStr"/>
      <c r="Z2255" s="18">
        <f>IF(Y2255="",X2255,Y2255)</f>
        <v/>
      </c>
      <c r="AA2255" s="18" t="inlineStr">
        <is>
          <t>grounded</t>
        </is>
      </c>
      <c r="AB2255" s="18" t="inlineStr"/>
      <c r="AC2255" s="18" t="inlineStr"/>
      <c r="AD2255" s="18" t="inlineStr"/>
      <c r="AE2255" s="18" t="inlineStr"/>
      <c r="AF2255" s="18" t="inlineStr"/>
      <c r="AG2255" s="18" t="inlineStr"/>
      <c r="AH2255" s="18" t="inlineStr"/>
      <c r="AI2255" s="18" t="inlineStr"/>
      <c r="AJ2255" s="18" t="inlineStr">
        <is>
          <t>COBBLEVERSE 추가</t>
        </is>
      </c>
      <c r="AK2255" s="18" t="inlineStr">
        <is>
          <t>사용</t>
        </is>
      </c>
      <c r="AL2255" s="18" t="inlineStr">
        <is>
          <t>COBBLEVERSE 1.7.42 / DP v31</t>
        </is>
      </c>
      <c r="AM2255" s="18" t="inlineStr">
        <is>
          <t>data/cobblemon/spawn_pool_world/0674_pancham.json</t>
        </is>
      </c>
      <c r="AN2255" s="18" t="inlineStr">
        <is>
          <t>pancham-1</t>
        </is>
      </c>
      <c r="AO2255" s="18" t="inlineStr">
        <is>
          <t>pokemon</t>
        </is>
      </c>
      <c r="AP2255" s="18" t="inlineStr">
        <is>
          <t>natural</t>
        </is>
      </c>
      <c r="AQ2255" s="18" t="inlineStr">
        <is>
          <t>{"biomes":["#cobblemon:is_jungle"]}</t>
        </is>
      </c>
      <c r="AR2255" s="18" t="inlineStr"/>
      <c r="AS2255" s="18" t="inlineStr"/>
      <c r="AT2255" s="19" t="inlineStr"/>
    </row>
    <row r="2256" ht="32" customHeight="1">
      <c r="A2256" s="18" t="inlineStr">
        <is>
          <t>0674_pancham.json::pancham-2::002</t>
        </is>
      </c>
      <c r="B2256" s="19" t="inlineStr">
        <is>
          <t>사용</t>
        </is>
      </c>
      <c r="C2256" s="18">
        <f>IF(OR(B2256&lt;&gt;AK2256,M2256&lt;&gt;L2256,O2256&lt;&gt;"",Q2256&lt;&gt;"",V2256&lt;&gt;1,Y2256&lt;&gt;"",AT2256&lt;&gt;""),"수정","원본")</f>
        <v/>
      </c>
      <c r="D2256" s="18" t="n">
        <v>674</v>
      </c>
      <c r="E2256" s="18" t="inlineStr">
        <is>
          <t>판짱</t>
        </is>
      </c>
      <c r="F2256" s="18" t="inlineStr">
        <is>
          <t>pancham</t>
        </is>
      </c>
      <c r="G2256" s="18" t="inlineStr">
        <is>
          <t>pancham</t>
        </is>
      </c>
      <c r="H2256" s="18" t="inlineStr"/>
      <c r="I2256" s="18" t="n">
        <v>6</v>
      </c>
      <c r="J2256" s="18" t="n"/>
      <c r="K2256" s="18" t="n">
        <v>6</v>
      </c>
      <c r="L2256" s="18" t="inlineStr">
        <is>
          <t>cobbleventure:generation_6</t>
        </is>
      </c>
      <c r="M2256" s="19" t="inlineStr">
        <is>
          <t>cobbleventure:generation_6</t>
        </is>
      </c>
      <c r="N2256" s="18" t="inlineStr">
        <is>
          <t>region_01</t>
        </is>
      </c>
      <c r="O2256" s="19" t="inlineStr"/>
      <c r="P2256" s="18" t="inlineStr">
        <is>
          <t>#cobblemon:is_forest</t>
        </is>
      </c>
      <c r="Q2256" s="19" t="inlineStr"/>
      <c r="R2256" s="18">
        <f>IF(Q2256="",P2256,Q2256)</f>
        <v/>
      </c>
      <c r="S2256" s="18" t="inlineStr"/>
      <c r="T2256" s="18" t="inlineStr">
        <is>
          <t>rare</t>
        </is>
      </c>
      <c r="U2256" s="20" t="n">
        <v>5.3</v>
      </c>
      <c r="V2256" s="21" t="n">
        <v>1</v>
      </c>
      <c r="W2256" s="20">
        <f>IF(OR(U2256="",V2256=""),U2256,U2256*V2256)</f>
        <v/>
      </c>
      <c r="X2256" s="18" t="inlineStr">
        <is>
          <t>20-30</t>
        </is>
      </c>
      <c r="Y2256" s="19" t="inlineStr"/>
      <c r="Z2256" s="18">
        <f>IF(Y2256="",X2256,Y2256)</f>
        <v/>
      </c>
      <c r="AA2256" s="18" t="inlineStr">
        <is>
          <t>grounded</t>
        </is>
      </c>
      <c r="AB2256" s="18" t="inlineStr"/>
      <c r="AC2256" s="18" t="inlineStr"/>
      <c r="AD2256" s="18" t="inlineStr"/>
      <c r="AE2256" s="18" t="inlineStr"/>
      <c r="AF2256" s="18" t="inlineStr"/>
      <c r="AG2256" s="18" t="inlineStr"/>
      <c r="AH2256" s="18" t="inlineStr"/>
      <c r="AI2256" s="18" t="inlineStr"/>
      <c r="AJ2256" s="18" t="inlineStr">
        <is>
          <t>COBBLEVERSE 추가</t>
        </is>
      </c>
      <c r="AK2256" s="18" t="inlineStr">
        <is>
          <t>사용</t>
        </is>
      </c>
      <c r="AL2256" s="18" t="inlineStr">
        <is>
          <t>COBBLEVERSE 1.7.42 / DP v31</t>
        </is>
      </c>
      <c r="AM2256" s="18" t="inlineStr">
        <is>
          <t>data/cobblemon/spawn_pool_world/0674_pancham.json</t>
        </is>
      </c>
      <c r="AN2256" s="18" t="inlineStr">
        <is>
          <t>pancham-2</t>
        </is>
      </c>
      <c r="AO2256" s="18" t="inlineStr">
        <is>
          <t>pokemon</t>
        </is>
      </c>
      <c r="AP2256" s="18" t="inlineStr">
        <is>
          <t>natural</t>
        </is>
      </c>
      <c r="AQ2256" s="18" t="inlineStr">
        <is>
          <t>{"biomes":["#cobblemon:is_forest"]}</t>
        </is>
      </c>
      <c r="AR2256" s="18" t="inlineStr"/>
      <c r="AS2256" s="18" t="inlineStr"/>
      <c r="AT2256" s="19" t="inlineStr"/>
    </row>
    <row r="2257" ht="32" customHeight="1">
      <c r="A2257" s="18" t="inlineStr">
        <is>
          <t>0675_pangoro.json::pangoro-1::001</t>
        </is>
      </c>
      <c r="B2257" s="19" t="inlineStr">
        <is>
          <t>사용</t>
        </is>
      </c>
      <c r="C2257" s="18">
        <f>IF(OR(B2257&lt;&gt;AK2257,M2257&lt;&gt;L2257,O2257&lt;&gt;"",Q2257&lt;&gt;"",V2257&lt;&gt;1,Y2257&lt;&gt;"",AT2257&lt;&gt;""),"수정","원본")</f>
        <v/>
      </c>
      <c r="D2257" s="18" t="n">
        <v>675</v>
      </c>
      <c r="E2257" s="18" t="inlineStr">
        <is>
          <t>부란다</t>
        </is>
      </c>
      <c r="F2257" s="18" t="inlineStr">
        <is>
          <t>pangoro</t>
        </is>
      </c>
      <c r="G2257" s="18" t="inlineStr">
        <is>
          <t>pangoro</t>
        </is>
      </c>
      <c r="H2257" s="18" t="inlineStr"/>
      <c r="I2257" s="18" t="n">
        <v>6</v>
      </c>
      <c r="J2257" s="18" t="n"/>
      <c r="K2257" s="18" t="n">
        <v>6</v>
      </c>
      <c r="L2257" s="18" t="inlineStr">
        <is>
          <t>cobbleventure:generation_6</t>
        </is>
      </c>
      <c r="M2257" s="19" t="inlineStr">
        <is>
          <t>cobbleventure:generation_6</t>
        </is>
      </c>
      <c r="N2257" s="18" t="inlineStr"/>
      <c r="O2257" s="19" t="inlineStr"/>
      <c r="P2257" s="18" t="inlineStr">
        <is>
          <t>#cobblemon:is_jungle</t>
        </is>
      </c>
      <c r="Q2257" s="19" t="inlineStr"/>
      <c r="R2257" s="18">
        <f>IF(Q2257="",P2257,Q2257)</f>
        <v/>
      </c>
      <c r="S2257" s="18" t="inlineStr"/>
      <c r="T2257" s="18" t="inlineStr">
        <is>
          <t>uncommon</t>
        </is>
      </c>
      <c r="U2257" s="20" t="n">
        <v>4.7</v>
      </c>
      <c r="V2257" s="21" t="n">
        <v>1</v>
      </c>
      <c r="W2257" s="20">
        <f>IF(OR(U2257="",V2257=""),U2257,U2257*V2257)</f>
        <v/>
      </c>
      <c r="X2257" s="18" t="inlineStr">
        <is>
          <t>32-68</t>
        </is>
      </c>
      <c r="Y2257" s="19" t="inlineStr"/>
      <c r="Z2257" s="18">
        <f>IF(Y2257="",X2257,Y2257)</f>
        <v/>
      </c>
      <c r="AA2257" s="18" t="inlineStr">
        <is>
          <t>grounded</t>
        </is>
      </c>
      <c r="AB2257" s="18" t="inlineStr"/>
      <c r="AC2257" s="18" t="inlineStr"/>
      <c r="AD2257" s="18" t="inlineStr"/>
      <c r="AE2257" s="18" t="inlineStr"/>
      <c r="AF2257" s="18" t="inlineStr"/>
      <c r="AG2257" s="18" t="inlineStr"/>
      <c r="AH2257" s="18" t="inlineStr"/>
      <c r="AI2257" s="18" t="inlineStr"/>
      <c r="AJ2257" s="18" t="inlineStr">
        <is>
          <t>COBBLEVERSE 추가</t>
        </is>
      </c>
      <c r="AK2257" s="18" t="inlineStr">
        <is>
          <t>사용</t>
        </is>
      </c>
      <c r="AL2257" s="18" t="inlineStr">
        <is>
          <t>COBBLEVERSE 1.7.42 / DP v31</t>
        </is>
      </c>
      <c r="AM2257" s="18" t="inlineStr">
        <is>
          <t>data/cobblemon/spawn_pool_world/0675_pangoro.json</t>
        </is>
      </c>
      <c r="AN2257" s="18" t="inlineStr">
        <is>
          <t>pangoro-1</t>
        </is>
      </c>
      <c r="AO2257" s="18" t="inlineStr">
        <is>
          <t>pokemon</t>
        </is>
      </c>
      <c r="AP2257" s="18" t="inlineStr">
        <is>
          <t>natural</t>
        </is>
      </c>
      <c r="AQ2257" s="18" t="inlineStr">
        <is>
          <t>{"biomes":["#cobblemon:is_jungle"]}</t>
        </is>
      </c>
      <c r="AR2257" s="18" t="inlineStr"/>
      <c r="AS2257" s="18" t="inlineStr"/>
      <c r="AT2257" s="19" t="inlineStr"/>
    </row>
    <row r="2258" ht="32" customHeight="1">
      <c r="A2258" s="18" t="inlineStr">
        <is>
          <t>0675_pangoro.json::pangoro-2::002</t>
        </is>
      </c>
      <c r="B2258" s="19" t="inlineStr">
        <is>
          <t>사용</t>
        </is>
      </c>
      <c r="C2258" s="18">
        <f>IF(OR(B2258&lt;&gt;AK2258,M2258&lt;&gt;L2258,O2258&lt;&gt;"",Q2258&lt;&gt;"",V2258&lt;&gt;1,Y2258&lt;&gt;"",AT2258&lt;&gt;""),"수정","원본")</f>
        <v/>
      </c>
      <c r="D2258" s="18" t="n">
        <v>675</v>
      </c>
      <c r="E2258" s="18" t="inlineStr">
        <is>
          <t>부란다</t>
        </is>
      </c>
      <c r="F2258" s="18" t="inlineStr">
        <is>
          <t>pangoro</t>
        </is>
      </c>
      <c r="G2258" s="18" t="inlineStr">
        <is>
          <t>pangoro</t>
        </is>
      </c>
      <c r="H2258" s="18" t="inlineStr"/>
      <c r="I2258" s="18" t="n">
        <v>6</v>
      </c>
      <c r="J2258" s="18" t="n"/>
      <c r="K2258" s="18" t="n">
        <v>6</v>
      </c>
      <c r="L2258" s="18" t="inlineStr">
        <is>
          <t>cobbleventure:generation_6</t>
        </is>
      </c>
      <c r="M2258" s="19" t="inlineStr">
        <is>
          <t>cobbleventure:generation_6</t>
        </is>
      </c>
      <c r="N2258" s="18" t="inlineStr">
        <is>
          <t>region_01</t>
        </is>
      </c>
      <c r="O2258" s="19" t="inlineStr"/>
      <c r="P2258" s="18" t="inlineStr">
        <is>
          <t>#cobblemon:is_forest</t>
        </is>
      </c>
      <c r="Q2258" s="19" t="inlineStr"/>
      <c r="R2258" s="18">
        <f>IF(Q2258="",P2258,Q2258)</f>
        <v/>
      </c>
      <c r="S2258" s="18" t="inlineStr"/>
      <c r="T2258" s="18" t="inlineStr">
        <is>
          <t>rare</t>
        </is>
      </c>
      <c r="U2258" s="20" t="n">
        <v>1.2</v>
      </c>
      <c r="V2258" s="21" t="n">
        <v>1</v>
      </c>
      <c r="W2258" s="20">
        <f>IF(OR(U2258="",V2258=""),U2258,U2258*V2258)</f>
        <v/>
      </c>
      <c r="X2258" s="18" t="inlineStr">
        <is>
          <t>38-56</t>
        </is>
      </c>
      <c r="Y2258" s="19" t="inlineStr"/>
      <c r="Z2258" s="18">
        <f>IF(Y2258="",X2258,Y2258)</f>
        <v/>
      </c>
      <c r="AA2258" s="18" t="inlineStr">
        <is>
          <t>grounded</t>
        </is>
      </c>
      <c r="AB2258" s="18" t="inlineStr"/>
      <c r="AC2258" s="18" t="inlineStr"/>
      <c r="AD2258" s="18" t="inlineStr"/>
      <c r="AE2258" s="18" t="inlineStr"/>
      <c r="AF2258" s="18" t="inlineStr"/>
      <c r="AG2258" s="18" t="inlineStr"/>
      <c r="AH2258" s="18" t="inlineStr"/>
      <c r="AI2258" s="18" t="inlineStr"/>
      <c r="AJ2258" s="18" t="inlineStr">
        <is>
          <t>COBBLEVERSE 추가</t>
        </is>
      </c>
      <c r="AK2258" s="18" t="inlineStr">
        <is>
          <t>사용</t>
        </is>
      </c>
      <c r="AL2258" s="18" t="inlineStr">
        <is>
          <t>COBBLEVERSE 1.7.42 / DP v31</t>
        </is>
      </c>
      <c r="AM2258" s="18" t="inlineStr">
        <is>
          <t>data/cobblemon/spawn_pool_world/0675_pangoro.json</t>
        </is>
      </c>
      <c r="AN2258" s="18" t="inlineStr">
        <is>
          <t>pangoro-2</t>
        </is>
      </c>
      <c r="AO2258" s="18" t="inlineStr">
        <is>
          <t>pokemon</t>
        </is>
      </c>
      <c r="AP2258" s="18" t="inlineStr">
        <is>
          <t>natural</t>
        </is>
      </c>
      <c r="AQ2258" s="18" t="inlineStr">
        <is>
          <t>{"biomes":["#cobblemon:is_forest"]}</t>
        </is>
      </c>
      <c r="AR2258" s="18" t="inlineStr"/>
      <c r="AS2258" s="18" t="inlineStr"/>
      <c r="AT2258" s="19" t="inlineStr"/>
    </row>
    <row r="2259" ht="32" customHeight="1">
      <c r="A2259" s="18" t="inlineStr">
        <is>
          <t>0676_furfrou.json::furfrou-1::001</t>
        </is>
      </c>
      <c r="B2259" s="19" t="inlineStr">
        <is>
          <t>사용</t>
        </is>
      </c>
      <c r="C2259" s="18">
        <f>IF(OR(B2259&lt;&gt;AK2259,M2259&lt;&gt;L2259,O2259&lt;&gt;"",Q2259&lt;&gt;"",V2259&lt;&gt;1,Y2259&lt;&gt;"",AT2259&lt;&gt;""),"수정","원본")</f>
        <v/>
      </c>
      <c r="D2259" s="18" t="n">
        <v>676</v>
      </c>
      <c r="E2259" s="18" t="inlineStr">
        <is>
          <t>트리미앙</t>
        </is>
      </c>
      <c r="F2259" s="18" t="inlineStr">
        <is>
          <t>furfrou</t>
        </is>
      </c>
      <c r="G2259" s="18" t="inlineStr">
        <is>
          <t>furfrou</t>
        </is>
      </c>
      <c r="H2259" s="18" t="inlineStr"/>
      <c r="I2259" s="18" t="n">
        <v>6</v>
      </c>
      <c r="J2259" s="18" t="n"/>
      <c r="K2259" s="18" t="n">
        <v>6</v>
      </c>
      <c r="L2259" s="18" t="inlineStr">
        <is>
          <t>cobbleventure:generation_6</t>
        </is>
      </c>
      <c r="M2259" s="19" t="inlineStr">
        <is>
          <t>cobbleventure:generation_6</t>
        </is>
      </c>
      <c r="N2259" s="18" t="inlineStr"/>
      <c r="O2259" s="19" t="inlineStr"/>
      <c r="P2259" s="18" t="inlineStr">
        <is>
          <t>#cobblemon:is_floral</t>
        </is>
      </c>
      <c r="Q2259" s="19" t="inlineStr"/>
      <c r="R2259" s="18">
        <f>IF(Q2259="",P2259,Q2259)</f>
        <v/>
      </c>
      <c r="S2259" s="18" t="inlineStr"/>
      <c r="T2259" s="18" t="inlineStr">
        <is>
          <t>uncommon</t>
        </is>
      </c>
      <c r="U2259" s="20" t="n">
        <v>2.5</v>
      </c>
      <c r="V2259" s="21" t="n">
        <v>1</v>
      </c>
      <c r="W2259" s="20">
        <f>IF(OR(U2259="",V2259=""),U2259,U2259*V2259)</f>
        <v/>
      </c>
      <c r="X2259" s="18" t="inlineStr">
        <is>
          <t>22-47</t>
        </is>
      </c>
      <c r="Y2259" s="19" t="inlineStr"/>
      <c r="Z2259" s="18">
        <f>IF(Y2259="",X2259,Y2259)</f>
        <v/>
      </c>
      <c r="AA2259" s="18" t="inlineStr">
        <is>
          <t>grounded</t>
        </is>
      </c>
      <c r="AB2259" s="18" t="inlineStr"/>
      <c r="AC2259" s="18" t="inlineStr"/>
      <c r="AD2259" s="18" t="inlineStr"/>
      <c r="AE2259" s="18" t="inlineStr">
        <is>
          <t>sky 8-15</t>
        </is>
      </c>
      <c r="AF2259" s="18" t="inlineStr"/>
      <c r="AG2259" s="18" t="inlineStr"/>
      <c r="AH2259" s="18" t="inlineStr"/>
      <c r="AI2259" s="18" t="inlineStr"/>
      <c r="AJ2259" s="18" t="inlineStr">
        <is>
          <t>COBBLEVERSE 수정</t>
        </is>
      </c>
      <c r="AK2259" s="18" t="inlineStr">
        <is>
          <t>사용</t>
        </is>
      </c>
      <c r="AL2259" s="18" t="inlineStr">
        <is>
          <t>COBBLEVERSE 1.7.42 / DP v31</t>
        </is>
      </c>
      <c r="AM2259" s="18" t="inlineStr">
        <is>
          <t>data/cobblemon/spawn_pool_world/0676_furfrou.json</t>
        </is>
      </c>
      <c r="AN2259" s="18" t="inlineStr">
        <is>
          <t>furfrou-1</t>
        </is>
      </c>
      <c r="AO2259" s="18" t="inlineStr">
        <is>
          <t>pokemon</t>
        </is>
      </c>
      <c r="AP2259" s="18" t="inlineStr">
        <is>
          <t>natural</t>
        </is>
      </c>
      <c r="AQ2259" s="18" t="inlineStr">
        <is>
          <t>{"biomes":["#cobblemon:is_floral"],"maxSkyLight":15,"minSkyLight":8}</t>
        </is>
      </c>
      <c r="AR2259" s="18" t="inlineStr"/>
      <c r="AS2259" s="18" t="inlineStr"/>
      <c r="AT2259" s="19" t="inlineStr"/>
    </row>
    <row r="2260" ht="32" customHeight="1">
      <c r="A2260" s="18" t="inlineStr">
        <is>
          <t>0676_furfrou.json::furfrou-2::002</t>
        </is>
      </c>
      <c r="B2260" s="19" t="inlineStr">
        <is>
          <t>사용</t>
        </is>
      </c>
      <c r="C2260" s="18">
        <f>IF(OR(B2260&lt;&gt;AK2260,M2260&lt;&gt;L2260,O2260&lt;&gt;"",Q2260&lt;&gt;"",V2260&lt;&gt;1,Y2260&lt;&gt;"",AT2260&lt;&gt;""),"수정","원본")</f>
        <v/>
      </c>
      <c r="D2260" s="18" t="n">
        <v>676</v>
      </c>
      <c r="E2260" s="18" t="inlineStr">
        <is>
          <t>트리미앙</t>
        </is>
      </c>
      <c r="F2260" s="18" t="inlineStr">
        <is>
          <t>furfrou</t>
        </is>
      </c>
      <c r="G2260" s="18" t="inlineStr">
        <is>
          <t>furfrou</t>
        </is>
      </c>
      <c r="H2260" s="18" t="inlineStr"/>
      <c r="I2260" s="18" t="n">
        <v>6</v>
      </c>
      <c r="J2260" s="18" t="n"/>
      <c r="K2260" s="18" t="n">
        <v>6</v>
      </c>
      <c r="L2260" s="18" t="inlineStr">
        <is>
          <t>cobbleventure:generation_6</t>
        </is>
      </c>
      <c r="M2260" s="19" t="inlineStr">
        <is>
          <t>cobbleventure:generation_6</t>
        </is>
      </c>
      <c r="N2260" s="18" t="inlineStr">
        <is>
          <t>region_01; region_02</t>
        </is>
      </c>
      <c r="O2260" s="19" t="inlineStr"/>
      <c r="P2260" s="18" t="inlineStr">
        <is>
          <t>#cobblemon:is_overworld</t>
        </is>
      </c>
      <c r="Q2260" s="19" t="inlineStr"/>
      <c r="R2260" s="18">
        <f>IF(Q2260="",P2260,Q2260)</f>
        <v/>
      </c>
      <c r="S2260" s="18" t="inlineStr"/>
      <c r="T2260" s="18" t="inlineStr">
        <is>
          <t>common</t>
        </is>
      </c>
      <c r="U2260" s="20" t="n">
        <v>2</v>
      </c>
      <c r="V2260" s="21" t="n">
        <v>1</v>
      </c>
      <c r="W2260" s="20">
        <f>IF(OR(U2260="",V2260=""),U2260,U2260*V2260)</f>
        <v/>
      </c>
      <c r="X2260" s="18" t="inlineStr">
        <is>
          <t>22-47</t>
        </is>
      </c>
      <c r="Y2260" s="19" t="inlineStr"/>
      <c r="Z2260" s="18">
        <f>IF(Y2260="",X2260,Y2260)</f>
        <v/>
      </c>
      <c r="AA2260" s="18" t="inlineStr">
        <is>
          <t>grounded</t>
        </is>
      </c>
      <c r="AB2260" s="18" t="inlineStr"/>
      <c r="AC2260" s="18" t="inlineStr"/>
      <c r="AD2260" s="18" t="inlineStr"/>
      <c r="AE2260" s="18" t="inlineStr">
        <is>
          <t>sky 8-15</t>
        </is>
      </c>
      <c r="AF2260" s="18" t="inlineStr"/>
      <c r="AG2260" s="18" t="inlineStr">
        <is>
          <t>#minecraft:village</t>
        </is>
      </c>
      <c r="AH2260" s="18" t="inlineStr"/>
      <c r="AI2260" s="18" t="inlineStr"/>
      <c r="AJ2260" s="18" t="inlineStr">
        <is>
          <t>COBBLEVERSE 수정</t>
        </is>
      </c>
      <c r="AK2260" s="18" t="inlineStr">
        <is>
          <t>사용</t>
        </is>
      </c>
      <c r="AL2260" s="18" t="inlineStr">
        <is>
          <t>COBBLEVERSE 1.7.42 / DP v31</t>
        </is>
      </c>
      <c r="AM2260" s="18" t="inlineStr">
        <is>
          <t>data/cobblemon/spawn_pool_world/0676_furfrou.json</t>
        </is>
      </c>
      <c r="AN2260" s="18" t="inlineStr">
        <is>
          <t>furfrou-2</t>
        </is>
      </c>
      <c r="AO2260" s="18" t="inlineStr">
        <is>
          <t>pokemon</t>
        </is>
      </c>
      <c r="AP2260" s="18" t="inlineStr">
        <is>
          <t>natural</t>
        </is>
      </c>
      <c r="AQ2260" s="18" t="inlineStr">
        <is>
          <t>{"biomes":["#cobblemon:is_overworld"],"maxSkyLight":15,"minSkyLight":8,"structures":["#minecraft:village"]}</t>
        </is>
      </c>
      <c r="AR2260" s="18" t="inlineStr"/>
      <c r="AS2260" s="18" t="inlineStr"/>
      <c r="AT2260" s="19" t="inlineStr"/>
    </row>
    <row r="2261" ht="32" customHeight="1">
      <c r="A2261" s="18" t="inlineStr">
        <is>
          <t>0676_furfrou.json::furfrou-3::003</t>
        </is>
      </c>
      <c r="B2261" s="19" t="inlineStr">
        <is>
          <t>사용</t>
        </is>
      </c>
      <c r="C2261" s="18">
        <f>IF(OR(B2261&lt;&gt;AK2261,M2261&lt;&gt;L2261,O2261&lt;&gt;"",Q2261&lt;&gt;"",V2261&lt;&gt;1,Y2261&lt;&gt;"",AT2261&lt;&gt;""),"수정","원본")</f>
        <v/>
      </c>
      <c r="D2261" s="18" t="n">
        <v>676</v>
      </c>
      <c r="E2261" s="18" t="inlineStr">
        <is>
          <t>트리미앙</t>
        </is>
      </c>
      <c r="F2261" s="18" t="inlineStr">
        <is>
          <t>furfrou</t>
        </is>
      </c>
      <c r="G2261" s="18" t="inlineStr">
        <is>
          <t>furfrou</t>
        </is>
      </c>
      <c r="H2261" s="18" t="inlineStr"/>
      <c r="I2261" s="18" t="n">
        <v>6</v>
      </c>
      <c r="J2261" s="18" t="n"/>
      <c r="K2261" s="18" t="n">
        <v>6</v>
      </c>
      <c r="L2261" s="18" t="inlineStr">
        <is>
          <t>cobbleventure:generation_6</t>
        </is>
      </c>
      <c r="M2261" s="19" t="inlineStr">
        <is>
          <t>cobbleventure:generation_6</t>
        </is>
      </c>
      <c r="N2261" s="18" t="inlineStr">
        <is>
          <t>region_01; region_02</t>
        </is>
      </c>
      <c r="O2261" s="19" t="inlineStr"/>
      <c r="P2261" s="18" t="inlineStr">
        <is>
          <t>#cobblemon:is_overworld</t>
        </is>
      </c>
      <c r="Q2261" s="19" t="inlineStr"/>
      <c r="R2261" s="18">
        <f>IF(Q2261="",P2261,Q2261)</f>
        <v/>
      </c>
      <c r="S2261" s="18" t="inlineStr"/>
      <c r="T2261" s="18" t="inlineStr">
        <is>
          <t>common</t>
        </is>
      </c>
      <c r="U2261" s="20" t="n">
        <v>20</v>
      </c>
      <c r="V2261" s="21" t="n">
        <v>1</v>
      </c>
      <c r="W2261" s="20">
        <f>IF(OR(U2261="",V2261=""),U2261,U2261*V2261)</f>
        <v/>
      </c>
      <c r="X2261" s="18" t="inlineStr">
        <is>
          <t>22-47</t>
        </is>
      </c>
      <c r="Y2261" s="19" t="inlineStr"/>
      <c r="Z2261" s="18">
        <f>IF(Y2261="",X2261,Y2261)</f>
        <v/>
      </c>
      <c r="AA2261" s="18" t="inlineStr">
        <is>
          <t>grounded</t>
        </is>
      </c>
      <c r="AB2261" s="18" t="inlineStr"/>
      <c r="AC2261" s="18" t="inlineStr"/>
      <c r="AD2261" s="18" t="inlineStr"/>
      <c r="AE2261" s="18" t="inlineStr">
        <is>
          <t>sky 8-15</t>
        </is>
      </c>
      <c r="AF2261" s="18" t="inlineStr"/>
      <c r="AG2261" s="18" t="inlineStr"/>
      <c r="AH2261" s="18" t="inlineStr"/>
      <c r="AI2261" s="18" t="inlineStr"/>
      <c r="AJ2261" s="18" t="inlineStr">
        <is>
          <t>COBBLEVERSE 수정</t>
        </is>
      </c>
      <c r="AK2261" s="18" t="inlineStr">
        <is>
          <t>사용</t>
        </is>
      </c>
      <c r="AL2261" s="18" t="inlineStr">
        <is>
          <t>COBBLEVERSE 1.7.42 / DP v31</t>
        </is>
      </c>
      <c r="AM2261" s="18" t="inlineStr">
        <is>
          <t>data/cobblemon/spawn_pool_world/0676_furfrou.json</t>
        </is>
      </c>
      <c r="AN2261" s="18" t="inlineStr">
        <is>
          <t>furfrou-3</t>
        </is>
      </c>
      <c r="AO2261" s="18" t="inlineStr">
        <is>
          <t>pokemon</t>
        </is>
      </c>
      <c r="AP2261" s="18" t="inlineStr">
        <is>
          <t>natural; mansion</t>
        </is>
      </c>
      <c r="AQ2261" s="18" t="inlineStr">
        <is>
          <t>{"biomes":["#cobblemon:is_overworld"],"maxSkyLight":15,"minSkyLight":8}</t>
        </is>
      </c>
      <c r="AR2261" s="18" t="inlineStr"/>
      <c r="AS2261" s="18" t="inlineStr"/>
      <c r="AT2261" s="19" t="inlineStr"/>
    </row>
    <row r="2262" ht="32" customHeight="1">
      <c r="A2262" s="18" t="inlineStr">
        <is>
          <t>0677_espurr.json::espurr-1::001</t>
        </is>
      </c>
      <c r="B2262" s="19" t="inlineStr">
        <is>
          <t>사용</t>
        </is>
      </c>
      <c r="C2262" s="18">
        <f>IF(OR(B2262&lt;&gt;AK2262,M2262&lt;&gt;L2262,O2262&lt;&gt;"",Q2262&lt;&gt;"",V2262&lt;&gt;1,Y2262&lt;&gt;"",AT2262&lt;&gt;""),"수정","원본")</f>
        <v/>
      </c>
      <c r="D2262" s="18" t="n">
        <v>677</v>
      </c>
      <c r="E2262" s="18" t="inlineStr">
        <is>
          <t>냐스퍼</t>
        </is>
      </c>
      <c r="F2262" s="18" t="inlineStr">
        <is>
          <t>espurr</t>
        </is>
      </c>
      <c r="G2262" s="18" t="inlineStr">
        <is>
          <t>espurr</t>
        </is>
      </c>
      <c r="H2262" s="18" t="inlineStr"/>
      <c r="I2262" s="18" t="n">
        <v>6</v>
      </c>
      <c r="J2262" s="18" t="n"/>
      <c r="K2262" s="18" t="n">
        <v>6</v>
      </c>
      <c r="L2262" s="18" t="inlineStr">
        <is>
          <t>cobbleventure:generation_6</t>
        </is>
      </c>
      <c r="M2262" s="19" t="inlineStr">
        <is>
          <t>cobbleventure:generation_6</t>
        </is>
      </c>
      <c r="N2262" s="18" t="inlineStr"/>
      <c r="O2262" s="19" t="inlineStr"/>
      <c r="P2262" s="18" t="inlineStr">
        <is>
          <t>#cobblemon:is_end</t>
        </is>
      </c>
      <c r="Q2262" s="19" t="inlineStr"/>
      <c r="R2262" s="18">
        <f>IF(Q2262="",P2262,Q2262)</f>
        <v/>
      </c>
      <c r="S2262" s="18" t="inlineStr"/>
      <c r="T2262" s="18" t="inlineStr">
        <is>
          <t>common</t>
        </is>
      </c>
      <c r="U2262" s="20" t="n">
        <v>1.8</v>
      </c>
      <c r="V2262" s="21" t="n">
        <v>1</v>
      </c>
      <c r="W2262" s="20">
        <f>IF(OR(U2262="",V2262=""),U2262,U2262*V2262)</f>
        <v/>
      </c>
      <c r="X2262" s="18" t="inlineStr">
        <is>
          <t>11-36</t>
        </is>
      </c>
      <c r="Y2262" s="19" t="inlineStr"/>
      <c r="Z2262" s="18">
        <f>IF(Y2262="",X2262,Y2262)</f>
        <v/>
      </c>
      <c r="AA2262" s="18" t="inlineStr">
        <is>
          <t>grounded</t>
        </is>
      </c>
      <c r="AB2262" s="18" t="inlineStr"/>
      <c r="AC2262" s="18" t="inlineStr"/>
      <c r="AD2262" s="18" t="inlineStr"/>
      <c r="AE2262" s="18" t="inlineStr"/>
      <c r="AF2262" s="18" t="inlineStr"/>
      <c r="AG2262" s="18" t="inlineStr"/>
      <c r="AH2262" s="18" t="inlineStr"/>
      <c r="AI2262" s="18" t="inlineStr"/>
      <c r="AJ2262" s="18" t="inlineStr">
        <is>
          <t>COBBLEVERSE 수정</t>
        </is>
      </c>
      <c r="AK2262" s="18" t="inlineStr">
        <is>
          <t>사용</t>
        </is>
      </c>
      <c r="AL2262" s="18" t="inlineStr">
        <is>
          <t>COBBLEVERSE 1.7.42 / DP v31</t>
        </is>
      </c>
      <c r="AM2262" s="18" t="inlineStr">
        <is>
          <t>data/cobblemon/spawn_pool_world/0677_espurr.json</t>
        </is>
      </c>
      <c r="AN2262" s="18" t="inlineStr">
        <is>
          <t>espurr-1</t>
        </is>
      </c>
      <c r="AO2262" s="18" t="inlineStr">
        <is>
          <t>pokemon</t>
        </is>
      </c>
      <c r="AP2262" s="18" t="inlineStr">
        <is>
          <t>natural</t>
        </is>
      </c>
      <c r="AQ2262" s="18" t="inlineStr">
        <is>
          <t>{"biomes":["#cobblemon:is_end"]}</t>
        </is>
      </c>
      <c r="AR2262" s="18" t="inlineStr"/>
      <c r="AS2262" s="18" t="inlineStr"/>
      <c r="AT2262" s="19" t="inlineStr"/>
    </row>
    <row r="2263" ht="32" customHeight="1">
      <c r="A2263" s="18" t="inlineStr">
        <is>
          <t>0677_espurr.json::espurr-2::002</t>
        </is>
      </c>
      <c r="B2263" s="19" t="inlineStr">
        <is>
          <t>사용</t>
        </is>
      </c>
      <c r="C2263" s="18">
        <f>IF(OR(B2263&lt;&gt;AK2263,M2263&lt;&gt;L2263,O2263&lt;&gt;"",Q2263&lt;&gt;"",V2263&lt;&gt;1,Y2263&lt;&gt;"",AT2263&lt;&gt;""),"수정","원본")</f>
        <v/>
      </c>
      <c r="D2263" s="18" t="n">
        <v>677</v>
      </c>
      <c r="E2263" s="18" t="inlineStr">
        <is>
          <t>냐스퍼</t>
        </is>
      </c>
      <c r="F2263" s="18" t="inlineStr">
        <is>
          <t>espurr</t>
        </is>
      </c>
      <c r="G2263" s="18" t="inlineStr">
        <is>
          <t>espurr</t>
        </is>
      </c>
      <c r="H2263" s="18" t="inlineStr"/>
      <c r="I2263" s="18" t="n">
        <v>6</v>
      </c>
      <c r="J2263" s="18" t="n"/>
      <c r="K2263" s="18" t="n">
        <v>6</v>
      </c>
      <c r="L2263" s="18" t="inlineStr">
        <is>
          <t>cobbleventure:generation_6</t>
        </is>
      </c>
      <c r="M2263" s="19" t="inlineStr">
        <is>
          <t>cobbleventure:generation_6</t>
        </is>
      </c>
      <c r="N2263" s="18" t="inlineStr">
        <is>
          <t>region_01</t>
        </is>
      </c>
      <c r="O2263" s="19" t="inlineStr"/>
      <c r="P2263" s="18" t="inlineStr">
        <is>
          <t>#cobblemon:is_overworld</t>
        </is>
      </c>
      <c r="Q2263" s="19" t="inlineStr"/>
      <c r="R2263" s="18">
        <f>IF(Q2263="",P2263,Q2263)</f>
        <v/>
      </c>
      <c r="S2263" s="18" t="inlineStr">
        <is>
          <t>#cobblemon:is_arid; #cobblemon:is_freezing</t>
        </is>
      </c>
      <c r="T2263" s="18" t="inlineStr">
        <is>
          <t>common</t>
        </is>
      </c>
      <c r="U2263" s="20" t="n">
        <v>1.8</v>
      </c>
      <c r="V2263" s="21" t="n">
        <v>1</v>
      </c>
      <c r="W2263" s="20">
        <f>IF(OR(U2263="",V2263=""),U2263,U2263*V2263)</f>
        <v/>
      </c>
      <c r="X2263" s="18" t="inlineStr">
        <is>
          <t>11-36</t>
        </is>
      </c>
      <c r="Y2263" s="19" t="inlineStr"/>
      <c r="Z2263" s="18">
        <f>IF(Y2263="",X2263,Y2263)</f>
        <v/>
      </c>
      <c r="AA2263" s="18" t="inlineStr">
        <is>
          <t>grounded</t>
        </is>
      </c>
      <c r="AB2263" s="18" t="inlineStr"/>
      <c r="AC2263" s="18" t="inlineStr">
        <is>
          <t>비=False</t>
        </is>
      </c>
      <c r="AD2263" s="18" t="inlineStr"/>
      <c r="AE2263" s="18" t="inlineStr">
        <is>
          <t>sky 8-15</t>
        </is>
      </c>
      <c r="AF2263" s="18" t="inlineStr"/>
      <c r="AG2263" s="18" t="inlineStr">
        <is>
          <t>#minecraft:village</t>
        </is>
      </c>
      <c r="AH2263" s="18" t="inlineStr"/>
      <c r="AI2263" s="18" t="inlineStr"/>
      <c r="AJ2263" s="18" t="inlineStr">
        <is>
          <t>COBBLEVERSE 수정</t>
        </is>
      </c>
      <c r="AK2263" s="18" t="inlineStr">
        <is>
          <t>사용</t>
        </is>
      </c>
      <c r="AL2263" s="18" t="inlineStr">
        <is>
          <t>COBBLEVERSE 1.7.42 / DP v31</t>
        </is>
      </c>
      <c r="AM2263" s="18" t="inlineStr">
        <is>
          <t>data/cobblemon/spawn_pool_world/0677_espurr.json</t>
        </is>
      </c>
      <c r="AN2263" s="18" t="inlineStr">
        <is>
          <t>espurr-2</t>
        </is>
      </c>
      <c r="AO2263" s="18" t="inlineStr">
        <is>
          <t>pokemon</t>
        </is>
      </c>
      <c r="AP2263" s="18" t="inlineStr">
        <is>
          <t>natural</t>
        </is>
      </c>
      <c r="AQ2263" s="18" t="inlineStr">
        <is>
          <t>{"biomes":["#cobblemon:is_overworld"],"isRaining":false,"maxSkyLight":15,"minSkyLight":8,"structures":["#minecraft:village"]}</t>
        </is>
      </c>
      <c r="AR2263" s="18" t="inlineStr">
        <is>
          <t>{"biomes":["#cobblemon:is_arid","#cobblemon:is_freezing"]}</t>
        </is>
      </c>
      <c r="AS2263" s="18" t="inlineStr">
        <is>
          <t>{"weightMultiplier":{"condition":{"timeRange":"night"},"multiplier":1.5}}</t>
        </is>
      </c>
      <c r="AT2263" s="19" t="inlineStr"/>
    </row>
    <row r="2264" ht="32" customHeight="1">
      <c r="A2264" s="18" t="inlineStr">
        <is>
          <t>0677_espurr.json::espurr-3::003</t>
        </is>
      </c>
      <c r="B2264" s="19" t="inlineStr">
        <is>
          <t>사용</t>
        </is>
      </c>
      <c r="C2264" s="18">
        <f>IF(OR(B2264&lt;&gt;AK2264,M2264&lt;&gt;L2264,O2264&lt;&gt;"",Q2264&lt;&gt;"",V2264&lt;&gt;1,Y2264&lt;&gt;"",AT2264&lt;&gt;""),"수정","원본")</f>
        <v/>
      </c>
      <c r="D2264" s="18" t="n">
        <v>677</v>
      </c>
      <c r="E2264" s="18" t="inlineStr">
        <is>
          <t>냐스퍼</t>
        </is>
      </c>
      <c r="F2264" s="18" t="inlineStr">
        <is>
          <t>espurr</t>
        </is>
      </c>
      <c r="G2264" s="18" t="inlineStr">
        <is>
          <t>espurr</t>
        </is>
      </c>
      <c r="H2264" s="18" t="inlineStr"/>
      <c r="I2264" s="18" t="n">
        <v>6</v>
      </c>
      <c r="J2264" s="18" t="n"/>
      <c r="K2264" s="18" t="n">
        <v>6</v>
      </c>
      <c r="L2264" s="18" t="inlineStr">
        <is>
          <t>cobbleventure:generation_6</t>
        </is>
      </c>
      <c r="M2264" s="19" t="inlineStr">
        <is>
          <t>cobbleventure:generation_6</t>
        </is>
      </c>
      <c r="N2264" s="18" t="inlineStr">
        <is>
          <t>region_02</t>
        </is>
      </c>
      <c r="O2264" s="19" t="inlineStr"/>
      <c r="P2264" s="18" t="inlineStr">
        <is>
          <t>#cobblemon:is_arid; #cobblemon:is_freezing</t>
        </is>
      </c>
      <c r="Q2264" s="19" t="inlineStr"/>
      <c r="R2264" s="18">
        <f>IF(Q2264="",P2264,Q2264)</f>
        <v/>
      </c>
      <c r="S2264" s="18" t="inlineStr"/>
      <c r="T2264" s="18" t="inlineStr">
        <is>
          <t>common</t>
        </is>
      </c>
      <c r="U2264" s="20" t="n">
        <v>1.8</v>
      </c>
      <c r="V2264" s="21" t="n">
        <v>1</v>
      </c>
      <c r="W2264" s="20">
        <f>IF(OR(U2264="",V2264=""),U2264,U2264*V2264)</f>
        <v/>
      </c>
      <c r="X2264" s="18" t="inlineStr">
        <is>
          <t>11-36</t>
        </is>
      </c>
      <c r="Y2264" s="19" t="inlineStr"/>
      <c r="Z2264" s="18">
        <f>IF(Y2264="",X2264,Y2264)</f>
        <v/>
      </c>
      <c r="AA2264" s="18" t="inlineStr">
        <is>
          <t>grounded</t>
        </is>
      </c>
      <c r="AB2264" s="18" t="inlineStr"/>
      <c r="AC2264" s="18" t="inlineStr"/>
      <c r="AD2264" s="18" t="inlineStr"/>
      <c r="AE2264" s="18" t="inlineStr">
        <is>
          <t>sky 8-15</t>
        </is>
      </c>
      <c r="AF2264" s="18" t="inlineStr"/>
      <c r="AG2264" s="18" t="inlineStr"/>
      <c r="AH2264" s="18" t="inlineStr"/>
      <c r="AI2264" s="18" t="inlineStr"/>
      <c r="AJ2264" s="18" t="inlineStr">
        <is>
          <t>COBBLEVERSE 수정</t>
        </is>
      </c>
      <c r="AK2264" s="18" t="inlineStr">
        <is>
          <t>사용</t>
        </is>
      </c>
      <c r="AL2264" s="18" t="inlineStr">
        <is>
          <t>COBBLEVERSE 1.7.42 / DP v31</t>
        </is>
      </c>
      <c r="AM2264" s="18" t="inlineStr">
        <is>
          <t>data/cobblemon/spawn_pool_world/0677_espurr.json</t>
        </is>
      </c>
      <c r="AN2264" s="18" t="inlineStr">
        <is>
          <t>espurr-3</t>
        </is>
      </c>
      <c r="AO2264" s="18" t="inlineStr">
        <is>
          <t>pokemon</t>
        </is>
      </c>
      <c r="AP2264" s="18" t="inlineStr">
        <is>
          <t>natural; urban</t>
        </is>
      </c>
      <c r="AQ2264" s="18" t="inlineStr">
        <is>
          <t>{"biomes":["#cobblemon:is_arid","#cobblemon:is_freezing"],"maxSkyLight":15,"minSkyLight":8}</t>
        </is>
      </c>
      <c r="AR2264" s="18" t="inlineStr"/>
      <c r="AS2264" s="18" t="inlineStr">
        <is>
          <t>{"weightMultiplier":{"condition":{"timeRange":"night"},"multiplier":1.5}}</t>
        </is>
      </c>
      <c r="AT2264" s="19" t="inlineStr"/>
    </row>
    <row r="2265" ht="32" customHeight="1">
      <c r="A2265" s="18" t="inlineStr">
        <is>
          <t>0677_espurr.json::espurr-4::004</t>
        </is>
      </c>
      <c r="B2265" s="19" t="inlineStr">
        <is>
          <t>사용</t>
        </is>
      </c>
      <c r="C2265" s="18">
        <f>IF(OR(B2265&lt;&gt;AK2265,M2265&lt;&gt;L2265,O2265&lt;&gt;"",Q2265&lt;&gt;"",V2265&lt;&gt;1,Y2265&lt;&gt;"",AT2265&lt;&gt;""),"수정","원본")</f>
        <v/>
      </c>
      <c r="D2265" s="18" t="n">
        <v>677</v>
      </c>
      <c r="E2265" s="18" t="inlineStr">
        <is>
          <t>냐스퍼</t>
        </is>
      </c>
      <c r="F2265" s="18" t="inlineStr">
        <is>
          <t>espurr</t>
        </is>
      </c>
      <c r="G2265" s="18" t="inlineStr">
        <is>
          <t>espurr</t>
        </is>
      </c>
      <c r="H2265" s="18" t="inlineStr"/>
      <c r="I2265" s="18" t="n">
        <v>6</v>
      </c>
      <c r="J2265" s="18" t="n"/>
      <c r="K2265" s="18" t="n">
        <v>6</v>
      </c>
      <c r="L2265" s="18" t="inlineStr">
        <is>
          <t>cobbleventure:generation_6</t>
        </is>
      </c>
      <c r="M2265" s="19" t="inlineStr">
        <is>
          <t>cobbleventure:generation_6</t>
        </is>
      </c>
      <c r="N2265" s="18" t="inlineStr">
        <is>
          <t>region_02</t>
        </is>
      </c>
      <c r="O2265" s="19" t="inlineStr"/>
      <c r="P2265" s="18" t="inlineStr">
        <is>
          <t>#cobblemon:is_arid; #cobblemon:is_freezing</t>
        </is>
      </c>
      <c r="Q2265" s="19" t="inlineStr"/>
      <c r="R2265" s="18">
        <f>IF(Q2265="",P2265,Q2265)</f>
        <v/>
      </c>
      <c r="S2265" s="18" t="inlineStr"/>
      <c r="T2265" s="18" t="inlineStr">
        <is>
          <t>common</t>
        </is>
      </c>
      <c r="U2265" s="20" t="n">
        <v>1.8</v>
      </c>
      <c r="V2265" s="21" t="n">
        <v>1</v>
      </c>
      <c r="W2265" s="20">
        <f>IF(OR(U2265="",V2265=""),U2265,U2265*V2265)</f>
        <v/>
      </c>
      <c r="X2265" s="18" t="inlineStr">
        <is>
          <t>11-36</t>
        </is>
      </c>
      <c r="Y2265" s="19" t="inlineStr"/>
      <c r="Z2265" s="18">
        <f>IF(Y2265="",X2265,Y2265)</f>
        <v/>
      </c>
      <c r="AA2265" s="18" t="inlineStr">
        <is>
          <t>grounded</t>
        </is>
      </c>
      <c r="AB2265" s="18" t="inlineStr"/>
      <c r="AC2265" s="18" t="inlineStr"/>
      <c r="AD2265" s="18" t="inlineStr"/>
      <c r="AE2265" s="18" t="inlineStr">
        <is>
          <t>sky 8-15</t>
        </is>
      </c>
      <c r="AF2265" s="18" t="inlineStr"/>
      <c r="AG2265" s="18" t="inlineStr">
        <is>
          <t>#minecraft:village</t>
        </is>
      </c>
      <c r="AH2265" s="18" t="inlineStr"/>
      <c r="AI2265" s="18" t="inlineStr"/>
      <c r="AJ2265" s="18" t="inlineStr">
        <is>
          <t>COBBLEVERSE 수정</t>
        </is>
      </c>
      <c r="AK2265" s="18" t="inlineStr">
        <is>
          <t>사용</t>
        </is>
      </c>
      <c r="AL2265" s="18" t="inlineStr">
        <is>
          <t>COBBLEVERSE 1.7.42 / DP v31</t>
        </is>
      </c>
      <c r="AM2265" s="18" t="inlineStr">
        <is>
          <t>data/cobblemon/spawn_pool_world/0677_espurr.json</t>
        </is>
      </c>
      <c r="AN2265" s="18" t="inlineStr">
        <is>
          <t>espurr-4</t>
        </is>
      </c>
      <c r="AO2265" s="18" t="inlineStr">
        <is>
          <t>pokemon</t>
        </is>
      </c>
      <c r="AP2265" s="18" t="inlineStr">
        <is>
          <t>natural</t>
        </is>
      </c>
      <c r="AQ2265" s="18" t="inlineStr">
        <is>
          <t>{"biomes":["#cobblemon:is_arid","#cobblemon:is_freezing"],"maxSkyLight":15,"minSkyLight":8,"structures":["#minecraft:village"]}</t>
        </is>
      </c>
      <c r="AR2265" s="18" t="inlineStr"/>
      <c r="AS2265" s="18" t="inlineStr">
        <is>
          <t>{"weightMultiplier":{"condition":{"timeRange":"night"},"multiplier":1.5}}</t>
        </is>
      </c>
      <c r="AT2265" s="19" t="inlineStr"/>
    </row>
    <row r="2266" ht="32" customHeight="1">
      <c r="A2266" s="18" t="inlineStr">
        <is>
          <t>0677_espurr.json::espurr-5::005</t>
        </is>
      </c>
      <c r="B2266" s="19" t="inlineStr">
        <is>
          <t>사용</t>
        </is>
      </c>
      <c r="C2266" s="18">
        <f>IF(OR(B2266&lt;&gt;AK2266,M2266&lt;&gt;L2266,O2266&lt;&gt;"",Q2266&lt;&gt;"",V2266&lt;&gt;1,Y2266&lt;&gt;"",AT2266&lt;&gt;""),"수정","원본")</f>
        <v/>
      </c>
      <c r="D2266" s="18" t="n">
        <v>677</v>
      </c>
      <c r="E2266" s="18" t="inlineStr">
        <is>
          <t>냐스퍼</t>
        </is>
      </c>
      <c r="F2266" s="18" t="inlineStr">
        <is>
          <t>espurr</t>
        </is>
      </c>
      <c r="G2266" s="18" t="inlineStr">
        <is>
          <t>espurr</t>
        </is>
      </c>
      <c r="H2266" s="18" t="inlineStr"/>
      <c r="I2266" s="18" t="n">
        <v>6</v>
      </c>
      <c r="J2266" s="18" t="n"/>
      <c r="K2266" s="18" t="n">
        <v>6</v>
      </c>
      <c r="L2266" s="18" t="inlineStr">
        <is>
          <t>cobbleventure:generation_6</t>
        </is>
      </c>
      <c r="M2266" s="19" t="inlineStr">
        <is>
          <t>cobbleventure:generation_6</t>
        </is>
      </c>
      <c r="N2266" s="18" t="inlineStr">
        <is>
          <t>region_01; region_02</t>
        </is>
      </c>
      <c r="O2266" s="19" t="inlineStr"/>
      <c r="P2266" s="18" t="inlineStr">
        <is>
          <t>#cobblemon:is_overworld</t>
        </is>
      </c>
      <c r="Q2266" s="19" t="inlineStr"/>
      <c r="R2266" s="18">
        <f>IF(Q2266="",P2266,Q2266)</f>
        <v/>
      </c>
      <c r="S2266" s="18" t="inlineStr"/>
      <c r="T2266" s="18" t="inlineStr">
        <is>
          <t>common</t>
        </is>
      </c>
      <c r="U2266" s="20" t="n">
        <v>9</v>
      </c>
      <c r="V2266" s="21" t="n">
        <v>1</v>
      </c>
      <c r="W2266" s="20">
        <f>IF(OR(U2266="",V2266=""),U2266,U2266*V2266)</f>
        <v/>
      </c>
      <c r="X2266" s="18" t="inlineStr">
        <is>
          <t>11-36</t>
        </is>
      </c>
      <c r="Y2266" s="19" t="inlineStr"/>
      <c r="Z2266" s="18">
        <f>IF(Y2266="",X2266,Y2266)</f>
        <v/>
      </c>
      <c r="AA2266" s="18" t="inlineStr">
        <is>
          <t>grounded</t>
        </is>
      </c>
      <c r="AB2266" s="18" t="inlineStr"/>
      <c r="AC2266" s="18" t="inlineStr"/>
      <c r="AD2266" s="18" t="inlineStr"/>
      <c r="AE2266" s="18" t="inlineStr"/>
      <c r="AF2266" s="18" t="inlineStr">
        <is>
          <t>False</t>
        </is>
      </c>
      <c r="AG2266" s="18" t="inlineStr"/>
      <c r="AH2266" s="18" t="inlineStr"/>
      <c r="AI2266" s="18" t="inlineStr"/>
      <c r="AJ2266" s="18" t="inlineStr">
        <is>
          <t>COBBLEVERSE 수정</t>
        </is>
      </c>
      <c r="AK2266" s="18" t="inlineStr">
        <is>
          <t>사용</t>
        </is>
      </c>
      <c r="AL2266" s="18" t="inlineStr">
        <is>
          <t>COBBLEVERSE 1.7.42 / DP v31</t>
        </is>
      </c>
      <c r="AM2266" s="18" t="inlineStr">
        <is>
          <t>data/cobblemon/spawn_pool_world/0677_espurr.json</t>
        </is>
      </c>
      <c r="AN2266" s="18" t="inlineStr">
        <is>
          <t>espurr-5</t>
        </is>
      </c>
      <c r="AO2266" s="18" t="inlineStr">
        <is>
          <t>pokemon</t>
        </is>
      </c>
      <c r="AP2266" s="18" t="inlineStr">
        <is>
          <t>mansion</t>
        </is>
      </c>
      <c r="AQ2266" s="18" t="inlineStr">
        <is>
          <t>{"biomes":["#cobblemon:is_overworld"],"canSeeSky":false}</t>
        </is>
      </c>
      <c r="AR2266" s="18" t="inlineStr"/>
      <c r="AS2266" s="18" t="inlineStr"/>
      <c r="AT2266" s="19" t="inlineStr"/>
    </row>
    <row r="2267" ht="32" customHeight="1">
      <c r="A2267" s="18" t="inlineStr">
        <is>
          <t>0678_meowstic.json::meowstic-1::001</t>
        </is>
      </c>
      <c r="B2267" s="19" t="inlineStr">
        <is>
          <t>사용</t>
        </is>
      </c>
      <c r="C2267" s="18">
        <f>IF(OR(B2267&lt;&gt;AK2267,M2267&lt;&gt;L2267,O2267&lt;&gt;"",Q2267&lt;&gt;"",V2267&lt;&gt;1,Y2267&lt;&gt;"",AT2267&lt;&gt;""),"수정","원본")</f>
        <v/>
      </c>
      <c r="D2267" s="18" t="n">
        <v>678</v>
      </c>
      <c r="E2267" s="18" t="inlineStr">
        <is>
          <t>냐오닉스</t>
        </is>
      </c>
      <c r="F2267" s="18" t="inlineStr">
        <is>
          <t>meowstic</t>
        </is>
      </c>
      <c r="G2267" s="18" t="inlineStr">
        <is>
          <t>meowstic</t>
        </is>
      </c>
      <c r="H2267" s="18" t="inlineStr"/>
      <c r="I2267" s="18" t="n">
        <v>6</v>
      </c>
      <c r="J2267" s="18" t="n"/>
      <c r="K2267" s="18" t="n">
        <v>6</v>
      </c>
      <c r="L2267" s="18" t="inlineStr">
        <is>
          <t>cobbleventure:generation_6</t>
        </is>
      </c>
      <c r="M2267" s="19" t="inlineStr">
        <is>
          <t>cobbleventure:generation_6</t>
        </is>
      </c>
      <c r="N2267" s="18" t="inlineStr"/>
      <c r="O2267" s="19" t="inlineStr"/>
      <c r="P2267" s="18" t="inlineStr">
        <is>
          <t>#cobblemon:is_end</t>
        </is>
      </c>
      <c r="Q2267" s="19" t="inlineStr"/>
      <c r="R2267" s="18">
        <f>IF(Q2267="",P2267,Q2267)</f>
        <v/>
      </c>
      <c r="S2267" s="18" t="inlineStr"/>
      <c r="T2267" s="18" t="inlineStr">
        <is>
          <t>common</t>
        </is>
      </c>
      <c r="U2267" s="20" t="n">
        <v>0.2</v>
      </c>
      <c r="V2267" s="21" t="n">
        <v>1</v>
      </c>
      <c r="W2267" s="20">
        <f>IF(OR(U2267="",V2267=""),U2267,U2267*V2267)</f>
        <v/>
      </c>
      <c r="X2267" s="18" t="inlineStr">
        <is>
          <t>25-47</t>
        </is>
      </c>
      <c r="Y2267" s="19" t="inlineStr"/>
      <c r="Z2267" s="18">
        <f>IF(Y2267="",X2267,Y2267)</f>
        <v/>
      </c>
      <c r="AA2267" s="18" t="inlineStr">
        <is>
          <t>grounded</t>
        </is>
      </c>
      <c r="AB2267" s="18" t="inlineStr"/>
      <c r="AC2267" s="18" t="inlineStr"/>
      <c r="AD2267" s="18" t="inlineStr"/>
      <c r="AE2267" s="18" t="inlineStr"/>
      <c r="AF2267" s="18" t="inlineStr"/>
      <c r="AG2267" s="18" t="inlineStr"/>
      <c r="AH2267" s="18" t="inlineStr"/>
      <c r="AI2267" s="18" t="inlineStr"/>
      <c r="AJ2267" s="18" t="inlineStr">
        <is>
          <t>COBBLEVERSE 수정</t>
        </is>
      </c>
      <c r="AK2267" s="18" t="inlineStr">
        <is>
          <t>사용</t>
        </is>
      </c>
      <c r="AL2267" s="18" t="inlineStr">
        <is>
          <t>COBBLEVERSE 1.7.42 / DP v31</t>
        </is>
      </c>
      <c r="AM2267" s="18" t="inlineStr">
        <is>
          <t>data/cobblemon/spawn_pool_world/0678_meowstic.json</t>
        </is>
      </c>
      <c r="AN2267" s="18" t="inlineStr">
        <is>
          <t>meowstic-1</t>
        </is>
      </c>
      <c r="AO2267" s="18" t="inlineStr">
        <is>
          <t>pokemon</t>
        </is>
      </c>
      <c r="AP2267" s="18" t="inlineStr">
        <is>
          <t>natural</t>
        </is>
      </c>
      <c r="AQ2267" s="18" t="inlineStr">
        <is>
          <t>{"biomes":["#cobblemon:is_end"]}</t>
        </is>
      </c>
      <c r="AR2267" s="18" t="inlineStr"/>
      <c r="AS2267" s="18" t="inlineStr"/>
      <c r="AT2267" s="19" t="inlineStr"/>
    </row>
    <row r="2268" ht="32" customHeight="1">
      <c r="A2268" s="18" t="inlineStr">
        <is>
          <t>0678_meowstic.json::meowstic-2::002</t>
        </is>
      </c>
      <c r="B2268" s="19" t="inlineStr">
        <is>
          <t>사용</t>
        </is>
      </c>
      <c r="C2268" s="18">
        <f>IF(OR(B2268&lt;&gt;AK2268,M2268&lt;&gt;L2268,O2268&lt;&gt;"",Q2268&lt;&gt;"",V2268&lt;&gt;1,Y2268&lt;&gt;"",AT2268&lt;&gt;""),"수정","원본")</f>
        <v/>
      </c>
      <c r="D2268" s="18" t="n">
        <v>678</v>
      </c>
      <c r="E2268" s="18" t="inlineStr">
        <is>
          <t>냐오닉스</t>
        </is>
      </c>
      <c r="F2268" s="18" t="inlineStr">
        <is>
          <t>meowstic</t>
        </is>
      </c>
      <c r="G2268" s="18" t="inlineStr">
        <is>
          <t>meowstic</t>
        </is>
      </c>
      <c r="H2268" s="18" t="inlineStr"/>
      <c r="I2268" s="18" t="n">
        <v>6</v>
      </c>
      <c r="J2268" s="18" t="n"/>
      <c r="K2268" s="18" t="n">
        <v>6</v>
      </c>
      <c r="L2268" s="18" t="inlineStr">
        <is>
          <t>cobbleventure:generation_6</t>
        </is>
      </c>
      <c r="M2268" s="19" t="inlineStr">
        <is>
          <t>cobbleventure:generation_6</t>
        </is>
      </c>
      <c r="N2268" s="18" t="inlineStr">
        <is>
          <t>region_01</t>
        </is>
      </c>
      <c r="O2268" s="19" t="inlineStr"/>
      <c r="P2268" s="18" t="inlineStr">
        <is>
          <t>#cobblemon:is_overworld</t>
        </is>
      </c>
      <c r="Q2268" s="19" t="inlineStr"/>
      <c r="R2268" s="18">
        <f>IF(Q2268="",P2268,Q2268)</f>
        <v/>
      </c>
      <c r="S2268" s="18" t="inlineStr">
        <is>
          <t>#cobblemon:is_arid; #cobblemon:is_freezing</t>
        </is>
      </c>
      <c r="T2268" s="18" t="inlineStr">
        <is>
          <t>common</t>
        </is>
      </c>
      <c r="U2268" s="20" t="n">
        <v>0.2</v>
      </c>
      <c r="V2268" s="21" t="n">
        <v>1</v>
      </c>
      <c r="W2268" s="20">
        <f>IF(OR(U2268="",V2268=""),U2268,U2268*V2268)</f>
        <v/>
      </c>
      <c r="X2268" s="18" t="inlineStr">
        <is>
          <t>25-47</t>
        </is>
      </c>
      <c r="Y2268" s="19" t="inlineStr"/>
      <c r="Z2268" s="18">
        <f>IF(Y2268="",X2268,Y2268)</f>
        <v/>
      </c>
      <c r="AA2268" s="18" t="inlineStr">
        <is>
          <t>grounded</t>
        </is>
      </c>
      <c r="AB2268" s="18" t="inlineStr"/>
      <c r="AC2268" s="18" t="inlineStr">
        <is>
          <t>비=False</t>
        </is>
      </c>
      <c r="AD2268" s="18" t="inlineStr"/>
      <c r="AE2268" s="18" t="inlineStr">
        <is>
          <t>sky 8-15</t>
        </is>
      </c>
      <c r="AF2268" s="18" t="inlineStr"/>
      <c r="AG2268" s="18" t="inlineStr">
        <is>
          <t>#minecraft:village</t>
        </is>
      </c>
      <c r="AH2268" s="18" t="inlineStr"/>
      <c r="AI2268" s="18" t="inlineStr"/>
      <c r="AJ2268" s="18" t="inlineStr">
        <is>
          <t>COBBLEVERSE 수정</t>
        </is>
      </c>
      <c r="AK2268" s="18" t="inlineStr">
        <is>
          <t>사용</t>
        </is>
      </c>
      <c r="AL2268" s="18" t="inlineStr">
        <is>
          <t>COBBLEVERSE 1.7.42 / DP v31</t>
        </is>
      </c>
      <c r="AM2268" s="18" t="inlineStr">
        <is>
          <t>data/cobblemon/spawn_pool_world/0678_meowstic.json</t>
        </is>
      </c>
      <c r="AN2268" s="18" t="inlineStr">
        <is>
          <t>meowstic-2</t>
        </is>
      </c>
      <c r="AO2268" s="18" t="inlineStr">
        <is>
          <t>pokemon</t>
        </is>
      </c>
      <c r="AP2268" s="18" t="inlineStr">
        <is>
          <t>natural</t>
        </is>
      </c>
      <c r="AQ2268" s="18" t="inlineStr">
        <is>
          <t>{"biomes":["#cobblemon:is_overworld"],"isRaining":false,"maxSkyLight":15,"minSkyLight":8,"structures":["#minecraft:village"]}</t>
        </is>
      </c>
      <c r="AR2268" s="18" t="inlineStr">
        <is>
          <t>{"biomes":["#cobblemon:is_arid","#cobblemon:is_freezing"]}</t>
        </is>
      </c>
      <c r="AS2268" s="18" t="inlineStr">
        <is>
          <t>{"weightMultiplier":{"condition":{"timeRange":"night"},"multiplier":1.5}}</t>
        </is>
      </c>
      <c r="AT2268" s="19" t="inlineStr"/>
    </row>
    <row r="2269" ht="32" customHeight="1">
      <c r="A2269" s="18" t="inlineStr">
        <is>
          <t>0678_meowstic.json::meowstic-3::003</t>
        </is>
      </c>
      <c r="B2269" s="19" t="inlineStr">
        <is>
          <t>사용</t>
        </is>
      </c>
      <c r="C2269" s="18">
        <f>IF(OR(B2269&lt;&gt;AK2269,M2269&lt;&gt;L2269,O2269&lt;&gt;"",Q2269&lt;&gt;"",V2269&lt;&gt;1,Y2269&lt;&gt;"",AT2269&lt;&gt;""),"수정","원본")</f>
        <v/>
      </c>
      <c r="D2269" s="18" t="n">
        <v>678</v>
      </c>
      <c r="E2269" s="18" t="inlineStr">
        <is>
          <t>냐오닉스</t>
        </is>
      </c>
      <c r="F2269" s="18" t="inlineStr">
        <is>
          <t>meowstic</t>
        </is>
      </c>
      <c r="G2269" s="18" t="inlineStr">
        <is>
          <t>meowstic</t>
        </is>
      </c>
      <c r="H2269" s="18" t="inlineStr"/>
      <c r="I2269" s="18" t="n">
        <v>6</v>
      </c>
      <c r="J2269" s="18" t="n"/>
      <c r="K2269" s="18" t="n">
        <v>6</v>
      </c>
      <c r="L2269" s="18" t="inlineStr">
        <is>
          <t>cobbleventure:generation_6</t>
        </is>
      </c>
      <c r="M2269" s="19" t="inlineStr">
        <is>
          <t>cobbleventure:generation_6</t>
        </is>
      </c>
      <c r="N2269" s="18" t="inlineStr">
        <is>
          <t>region_02</t>
        </is>
      </c>
      <c r="O2269" s="19" t="inlineStr"/>
      <c r="P2269" s="18" t="inlineStr">
        <is>
          <t>#cobblemon:is_arid; #cobblemon:is_freezing</t>
        </is>
      </c>
      <c r="Q2269" s="19" t="inlineStr"/>
      <c r="R2269" s="18">
        <f>IF(Q2269="",P2269,Q2269)</f>
        <v/>
      </c>
      <c r="S2269" s="18" t="inlineStr"/>
      <c r="T2269" s="18" t="inlineStr">
        <is>
          <t>common</t>
        </is>
      </c>
      <c r="U2269" s="20" t="n">
        <v>0.2</v>
      </c>
      <c r="V2269" s="21" t="n">
        <v>1</v>
      </c>
      <c r="W2269" s="20">
        <f>IF(OR(U2269="",V2269=""),U2269,U2269*V2269)</f>
        <v/>
      </c>
      <c r="X2269" s="18" t="inlineStr">
        <is>
          <t>25-47</t>
        </is>
      </c>
      <c r="Y2269" s="19" t="inlineStr"/>
      <c r="Z2269" s="18">
        <f>IF(Y2269="",X2269,Y2269)</f>
        <v/>
      </c>
      <c r="AA2269" s="18" t="inlineStr">
        <is>
          <t>grounded</t>
        </is>
      </c>
      <c r="AB2269" s="18" t="inlineStr"/>
      <c r="AC2269" s="18" t="inlineStr"/>
      <c r="AD2269" s="18" t="inlineStr"/>
      <c r="AE2269" s="18" t="inlineStr">
        <is>
          <t>sky 8-15</t>
        </is>
      </c>
      <c r="AF2269" s="18" t="inlineStr"/>
      <c r="AG2269" s="18" t="inlineStr"/>
      <c r="AH2269" s="18" t="inlineStr"/>
      <c r="AI2269" s="18" t="inlineStr"/>
      <c r="AJ2269" s="18" t="inlineStr">
        <is>
          <t>COBBLEVERSE 수정</t>
        </is>
      </c>
      <c r="AK2269" s="18" t="inlineStr">
        <is>
          <t>사용</t>
        </is>
      </c>
      <c r="AL2269" s="18" t="inlineStr">
        <is>
          <t>COBBLEVERSE 1.7.42 / DP v31</t>
        </is>
      </c>
      <c r="AM2269" s="18" t="inlineStr">
        <is>
          <t>data/cobblemon/spawn_pool_world/0678_meowstic.json</t>
        </is>
      </c>
      <c r="AN2269" s="18" t="inlineStr">
        <is>
          <t>meowstic-3</t>
        </is>
      </c>
      <c r="AO2269" s="18" t="inlineStr">
        <is>
          <t>pokemon</t>
        </is>
      </c>
      <c r="AP2269" s="18" t="inlineStr">
        <is>
          <t>natural; urban</t>
        </is>
      </c>
      <c r="AQ2269" s="18" t="inlineStr">
        <is>
          <t>{"biomes":["#cobblemon:is_arid","#cobblemon:is_freezing"],"maxSkyLight":15,"minSkyLight":8}</t>
        </is>
      </c>
      <c r="AR2269" s="18" t="inlineStr"/>
      <c r="AS2269" s="18" t="inlineStr">
        <is>
          <t>{"weightMultiplier":{"condition":{"timeRange":"night"},"multiplier":1.5}}</t>
        </is>
      </c>
      <c r="AT2269" s="19" t="inlineStr"/>
    </row>
    <row r="2270" ht="32" customHeight="1">
      <c r="A2270" s="18" t="inlineStr">
        <is>
          <t>0678_meowstic.json::meowstic-4::004</t>
        </is>
      </c>
      <c r="B2270" s="19" t="inlineStr">
        <is>
          <t>사용</t>
        </is>
      </c>
      <c r="C2270" s="18">
        <f>IF(OR(B2270&lt;&gt;AK2270,M2270&lt;&gt;L2270,O2270&lt;&gt;"",Q2270&lt;&gt;"",V2270&lt;&gt;1,Y2270&lt;&gt;"",AT2270&lt;&gt;""),"수정","원본")</f>
        <v/>
      </c>
      <c r="D2270" s="18" t="n">
        <v>678</v>
      </c>
      <c r="E2270" s="18" t="inlineStr">
        <is>
          <t>냐오닉스</t>
        </is>
      </c>
      <c r="F2270" s="18" t="inlineStr">
        <is>
          <t>meowstic</t>
        </is>
      </c>
      <c r="G2270" s="18" t="inlineStr">
        <is>
          <t>meowstic</t>
        </is>
      </c>
      <c r="H2270" s="18" t="inlineStr"/>
      <c r="I2270" s="18" t="n">
        <v>6</v>
      </c>
      <c r="J2270" s="18" t="n"/>
      <c r="K2270" s="18" t="n">
        <v>6</v>
      </c>
      <c r="L2270" s="18" t="inlineStr">
        <is>
          <t>cobbleventure:generation_6</t>
        </is>
      </c>
      <c r="M2270" s="19" t="inlineStr">
        <is>
          <t>cobbleventure:generation_6</t>
        </is>
      </c>
      <c r="N2270" s="18" t="inlineStr">
        <is>
          <t>region_02</t>
        </is>
      </c>
      <c r="O2270" s="19" t="inlineStr"/>
      <c r="P2270" s="18" t="inlineStr">
        <is>
          <t>#cobblemon:is_arid; #cobblemon:is_freezing</t>
        </is>
      </c>
      <c r="Q2270" s="19" t="inlineStr"/>
      <c r="R2270" s="18">
        <f>IF(Q2270="",P2270,Q2270)</f>
        <v/>
      </c>
      <c r="S2270" s="18" t="inlineStr"/>
      <c r="T2270" s="18" t="inlineStr">
        <is>
          <t>common</t>
        </is>
      </c>
      <c r="U2270" s="20" t="n">
        <v>0.2</v>
      </c>
      <c r="V2270" s="21" t="n">
        <v>1</v>
      </c>
      <c r="W2270" s="20">
        <f>IF(OR(U2270="",V2270=""),U2270,U2270*V2270)</f>
        <v/>
      </c>
      <c r="X2270" s="18" t="inlineStr">
        <is>
          <t>25-47</t>
        </is>
      </c>
      <c r="Y2270" s="19" t="inlineStr"/>
      <c r="Z2270" s="18">
        <f>IF(Y2270="",X2270,Y2270)</f>
        <v/>
      </c>
      <c r="AA2270" s="18" t="inlineStr">
        <is>
          <t>grounded</t>
        </is>
      </c>
      <c r="AB2270" s="18" t="inlineStr"/>
      <c r="AC2270" s="18" t="inlineStr"/>
      <c r="AD2270" s="18" t="inlineStr"/>
      <c r="AE2270" s="18" t="inlineStr">
        <is>
          <t>sky 8-15</t>
        </is>
      </c>
      <c r="AF2270" s="18" t="inlineStr"/>
      <c r="AG2270" s="18" t="inlineStr">
        <is>
          <t>#minecraft:village</t>
        </is>
      </c>
      <c r="AH2270" s="18" t="inlineStr"/>
      <c r="AI2270" s="18" t="inlineStr"/>
      <c r="AJ2270" s="18" t="inlineStr">
        <is>
          <t>COBBLEVERSE 수정</t>
        </is>
      </c>
      <c r="AK2270" s="18" t="inlineStr">
        <is>
          <t>사용</t>
        </is>
      </c>
      <c r="AL2270" s="18" t="inlineStr">
        <is>
          <t>COBBLEVERSE 1.7.42 / DP v31</t>
        </is>
      </c>
      <c r="AM2270" s="18" t="inlineStr">
        <is>
          <t>data/cobblemon/spawn_pool_world/0678_meowstic.json</t>
        </is>
      </c>
      <c r="AN2270" s="18" t="inlineStr">
        <is>
          <t>meowstic-4</t>
        </is>
      </c>
      <c r="AO2270" s="18" t="inlineStr">
        <is>
          <t>pokemon</t>
        </is>
      </c>
      <c r="AP2270" s="18" t="inlineStr">
        <is>
          <t>natural</t>
        </is>
      </c>
      <c r="AQ2270" s="18" t="inlineStr">
        <is>
          <t>{"biomes":["#cobblemon:is_arid","#cobblemon:is_freezing"],"maxSkyLight":15,"minSkyLight":8,"structures":["#minecraft:village"]}</t>
        </is>
      </c>
      <c r="AR2270" s="18" t="inlineStr"/>
      <c r="AS2270" s="18" t="inlineStr">
        <is>
          <t>{"weightMultiplier":{"condition":{"timeRange":"night"},"multiplier":1.5}}</t>
        </is>
      </c>
      <c r="AT2270" s="19" t="inlineStr"/>
    </row>
    <row r="2271" ht="32" customHeight="1">
      <c r="A2271" s="18" t="inlineStr">
        <is>
          <t>0678_meowstic.json::meowstic-5::005</t>
        </is>
      </c>
      <c r="B2271" s="19" t="inlineStr">
        <is>
          <t>사용</t>
        </is>
      </c>
      <c r="C2271" s="18">
        <f>IF(OR(B2271&lt;&gt;AK2271,M2271&lt;&gt;L2271,O2271&lt;&gt;"",Q2271&lt;&gt;"",V2271&lt;&gt;1,Y2271&lt;&gt;"",AT2271&lt;&gt;""),"수정","원본")</f>
        <v/>
      </c>
      <c r="D2271" s="18" t="n">
        <v>678</v>
      </c>
      <c r="E2271" s="18" t="inlineStr">
        <is>
          <t>냐오닉스</t>
        </is>
      </c>
      <c r="F2271" s="18" t="inlineStr">
        <is>
          <t>meowstic</t>
        </is>
      </c>
      <c r="G2271" s="18" t="inlineStr">
        <is>
          <t>meowstic</t>
        </is>
      </c>
      <c r="H2271" s="18" t="inlineStr"/>
      <c r="I2271" s="18" t="n">
        <v>6</v>
      </c>
      <c r="J2271" s="18" t="n"/>
      <c r="K2271" s="18" t="n">
        <v>6</v>
      </c>
      <c r="L2271" s="18" t="inlineStr">
        <is>
          <t>cobbleventure:generation_6</t>
        </is>
      </c>
      <c r="M2271" s="19" t="inlineStr">
        <is>
          <t>cobbleventure:generation_6</t>
        </is>
      </c>
      <c r="N2271" s="18" t="inlineStr">
        <is>
          <t>region_01; region_02</t>
        </is>
      </c>
      <c r="O2271" s="19" t="inlineStr"/>
      <c r="P2271" s="18" t="inlineStr">
        <is>
          <t>#cobblemon:is_overworld</t>
        </is>
      </c>
      <c r="Q2271" s="19" t="inlineStr"/>
      <c r="R2271" s="18">
        <f>IF(Q2271="",P2271,Q2271)</f>
        <v/>
      </c>
      <c r="S2271" s="18" t="inlineStr"/>
      <c r="T2271" s="18" t="inlineStr">
        <is>
          <t>common</t>
        </is>
      </c>
      <c r="U2271" s="20" t="n">
        <v>1</v>
      </c>
      <c r="V2271" s="21" t="n">
        <v>1</v>
      </c>
      <c r="W2271" s="20">
        <f>IF(OR(U2271="",V2271=""),U2271,U2271*V2271)</f>
        <v/>
      </c>
      <c r="X2271" s="18" t="inlineStr">
        <is>
          <t>25-47</t>
        </is>
      </c>
      <c r="Y2271" s="19" t="inlineStr"/>
      <c r="Z2271" s="18">
        <f>IF(Y2271="",X2271,Y2271)</f>
        <v/>
      </c>
      <c r="AA2271" s="18" t="inlineStr">
        <is>
          <t>grounded</t>
        </is>
      </c>
      <c r="AB2271" s="18" t="inlineStr"/>
      <c r="AC2271" s="18" t="inlineStr"/>
      <c r="AD2271" s="18" t="inlineStr"/>
      <c r="AE2271" s="18" t="inlineStr"/>
      <c r="AF2271" s="18" t="inlineStr">
        <is>
          <t>False</t>
        </is>
      </c>
      <c r="AG2271" s="18" t="inlineStr"/>
      <c r="AH2271" s="18" t="inlineStr"/>
      <c r="AI2271" s="18" t="inlineStr"/>
      <c r="AJ2271" s="18" t="inlineStr">
        <is>
          <t>COBBLEVERSE 수정</t>
        </is>
      </c>
      <c r="AK2271" s="18" t="inlineStr">
        <is>
          <t>사용</t>
        </is>
      </c>
      <c r="AL2271" s="18" t="inlineStr">
        <is>
          <t>COBBLEVERSE 1.7.42 / DP v31</t>
        </is>
      </c>
      <c r="AM2271" s="18" t="inlineStr">
        <is>
          <t>data/cobblemon/spawn_pool_world/0678_meowstic.json</t>
        </is>
      </c>
      <c r="AN2271" s="18" t="inlineStr">
        <is>
          <t>meowstic-5</t>
        </is>
      </c>
      <c r="AO2271" s="18" t="inlineStr">
        <is>
          <t>pokemon</t>
        </is>
      </c>
      <c r="AP2271" s="18" t="inlineStr">
        <is>
          <t>mansion</t>
        </is>
      </c>
      <c r="AQ2271" s="18" t="inlineStr">
        <is>
          <t>{"biomes":["#cobblemon:is_overworld"],"canSeeSky":false}</t>
        </is>
      </c>
      <c r="AR2271" s="18" t="inlineStr"/>
      <c r="AS2271" s="18" t="inlineStr"/>
      <c r="AT2271" s="19" t="inlineStr"/>
    </row>
    <row r="2272" ht="32" customHeight="1">
      <c r="A2272" s="18" t="inlineStr">
        <is>
          <t>0679_honedge.json::honedge-1::001</t>
        </is>
      </c>
      <c r="B2272" s="19" t="inlineStr">
        <is>
          <t>사용</t>
        </is>
      </c>
      <c r="C2272" s="18">
        <f>IF(OR(B2272&lt;&gt;AK2272,M2272&lt;&gt;L2272,O2272&lt;&gt;"",Q2272&lt;&gt;"",V2272&lt;&gt;1,Y2272&lt;&gt;"",AT2272&lt;&gt;""),"수정","원본")</f>
        <v/>
      </c>
      <c r="D2272" s="18" t="n">
        <v>679</v>
      </c>
      <c r="E2272" s="18" t="inlineStr">
        <is>
          <t>단칼빙</t>
        </is>
      </c>
      <c r="F2272" s="18" t="inlineStr">
        <is>
          <t>honedge</t>
        </is>
      </c>
      <c r="G2272" s="18" t="inlineStr">
        <is>
          <t>honedge</t>
        </is>
      </c>
      <c r="H2272" s="18" t="inlineStr"/>
      <c r="I2272" s="18" t="n">
        <v>6</v>
      </c>
      <c r="J2272" s="18" t="n"/>
      <c r="K2272" s="18" t="n">
        <v>6</v>
      </c>
      <c r="L2272" s="18" t="inlineStr">
        <is>
          <t>cobbleventure:generation_6</t>
        </is>
      </c>
      <c r="M2272" s="19" t="inlineStr">
        <is>
          <t>cobbleventure:generation_6</t>
        </is>
      </c>
      <c r="N2272" s="18" t="inlineStr"/>
      <c r="O2272" s="19" t="inlineStr"/>
      <c r="P2272" s="18" t="inlineStr">
        <is>
          <t>#minecraft:is_nether</t>
        </is>
      </c>
      <c r="Q2272" s="19" t="inlineStr"/>
      <c r="R2272" s="18">
        <f>IF(Q2272="",P2272,Q2272)</f>
        <v/>
      </c>
      <c r="S2272" s="18" t="inlineStr"/>
      <c r="T2272" s="18" t="inlineStr">
        <is>
          <t>uncommon</t>
        </is>
      </c>
      <c r="U2272" s="20" t="n">
        <v>84</v>
      </c>
      <c r="V2272" s="21" t="n">
        <v>1</v>
      </c>
      <c r="W2272" s="20">
        <f>IF(OR(U2272="",V2272=""),U2272,U2272*V2272)</f>
        <v/>
      </c>
      <c r="X2272" s="18" t="inlineStr">
        <is>
          <t>8-33</t>
        </is>
      </c>
      <c r="Y2272" s="19" t="inlineStr"/>
      <c r="Z2272" s="18">
        <f>IF(Y2272="",X2272,Y2272)</f>
        <v/>
      </c>
      <c r="AA2272" s="18" t="inlineStr">
        <is>
          <t>grounded</t>
        </is>
      </c>
      <c r="AB2272" s="18" t="inlineStr"/>
      <c r="AC2272" s="18" t="inlineStr"/>
      <c r="AD2272" s="18" t="inlineStr"/>
      <c r="AE2272" s="18" t="inlineStr"/>
      <c r="AF2272" s="18" t="inlineStr"/>
      <c r="AG2272" s="18" t="inlineStr"/>
      <c r="AH2272" s="18" t="inlineStr"/>
      <c r="AI2272" s="18" t="inlineStr"/>
      <c r="AJ2272" s="18" t="inlineStr">
        <is>
          <t>COBBLEVERSE 수정</t>
        </is>
      </c>
      <c r="AK2272" s="18" t="inlineStr">
        <is>
          <t>사용</t>
        </is>
      </c>
      <c r="AL2272" s="18" t="inlineStr">
        <is>
          <t>COBBLEVERSE 1.7.42 / DP v31</t>
        </is>
      </c>
      <c r="AM2272" s="18" t="inlineStr">
        <is>
          <t>data/cobblemon/spawn_pool_world/0679_honedge.json</t>
        </is>
      </c>
      <c r="AN2272" s="18" t="inlineStr">
        <is>
          <t>honedge-1</t>
        </is>
      </c>
      <c r="AO2272" s="18" t="inlineStr">
        <is>
          <t>pokemon</t>
        </is>
      </c>
      <c r="AP2272" s="18" t="inlineStr">
        <is>
          <t>natural</t>
        </is>
      </c>
      <c r="AQ2272" s="18" t="inlineStr">
        <is>
          <t>{"biomes":["#minecraft:is_nether"]}</t>
        </is>
      </c>
      <c r="AR2272" s="18" t="inlineStr"/>
      <c r="AS2272" s="18" t="inlineStr"/>
      <c r="AT2272" s="19" t="inlineStr"/>
    </row>
    <row r="2273" ht="32" customHeight="1">
      <c r="A2273" s="18" t="inlineStr">
        <is>
          <t>0679_honedge.json::honedge-2::002</t>
        </is>
      </c>
      <c r="B2273" s="19" t="inlineStr">
        <is>
          <t>사용</t>
        </is>
      </c>
      <c r="C2273" s="18">
        <f>IF(OR(B2273&lt;&gt;AK2273,M2273&lt;&gt;L2273,O2273&lt;&gt;"",Q2273&lt;&gt;"",V2273&lt;&gt;1,Y2273&lt;&gt;"",AT2273&lt;&gt;""),"수정","원본")</f>
        <v/>
      </c>
      <c r="D2273" s="18" t="n">
        <v>679</v>
      </c>
      <c r="E2273" s="18" t="inlineStr">
        <is>
          <t>단칼빙</t>
        </is>
      </c>
      <c r="F2273" s="18" t="inlineStr">
        <is>
          <t>honedge</t>
        </is>
      </c>
      <c r="G2273" s="18" t="inlineStr">
        <is>
          <t>honedge</t>
        </is>
      </c>
      <c r="H2273" s="18" t="inlineStr"/>
      <c r="I2273" s="18" t="n">
        <v>6</v>
      </c>
      <c r="J2273" s="18" t="n"/>
      <c r="K2273" s="18" t="n">
        <v>6</v>
      </c>
      <c r="L2273" s="18" t="inlineStr">
        <is>
          <t>cobbleventure:generation_6</t>
        </is>
      </c>
      <c r="M2273" s="19" t="inlineStr">
        <is>
          <t>cobbleventure:generation_6</t>
        </is>
      </c>
      <c r="N2273" s="18" t="inlineStr">
        <is>
          <t>region_01; region_02</t>
        </is>
      </c>
      <c r="O2273" s="19" t="inlineStr"/>
      <c r="P2273" s="18" t="inlineStr">
        <is>
          <t>#cobblemon:is_overworld</t>
        </is>
      </c>
      <c r="Q2273" s="19" t="inlineStr"/>
      <c r="R2273" s="18">
        <f>IF(Q2273="",P2273,Q2273)</f>
        <v/>
      </c>
      <c r="S2273" s="18" t="inlineStr"/>
      <c r="T2273" s="18" t="inlineStr">
        <is>
          <t>uncommon</t>
        </is>
      </c>
      <c r="U2273" s="20" t="n">
        <v>50.4</v>
      </c>
      <c r="V2273" s="21" t="n">
        <v>1</v>
      </c>
      <c r="W2273" s="20">
        <f>IF(OR(U2273="",V2273=""),U2273,U2273*V2273)</f>
        <v/>
      </c>
      <c r="X2273" s="18" t="inlineStr">
        <is>
          <t>8-33</t>
        </is>
      </c>
      <c r="Y2273" s="19" t="inlineStr"/>
      <c r="Z2273" s="18">
        <f>IF(Y2273="",X2273,Y2273)</f>
        <v/>
      </c>
      <c r="AA2273" s="18" t="inlineStr">
        <is>
          <t>grounded</t>
        </is>
      </c>
      <c r="AB2273" s="18" t="inlineStr"/>
      <c r="AC2273" s="18" t="inlineStr"/>
      <c r="AD2273" s="18" t="inlineStr"/>
      <c r="AE2273" s="18" t="inlineStr">
        <is>
          <t>sky 8-15</t>
        </is>
      </c>
      <c r="AF2273" s="18" t="inlineStr"/>
      <c r="AG2273" s="18" t="inlineStr">
        <is>
          <t>#cobblemon:ruin</t>
        </is>
      </c>
      <c r="AH2273" s="18" t="inlineStr"/>
      <c r="AI2273" s="18" t="inlineStr"/>
      <c r="AJ2273" s="18" t="inlineStr">
        <is>
          <t>COBBLEVERSE 수정</t>
        </is>
      </c>
      <c r="AK2273" s="18" t="inlineStr">
        <is>
          <t>사용</t>
        </is>
      </c>
      <c r="AL2273" s="18" t="inlineStr">
        <is>
          <t>COBBLEVERSE 1.7.42 / DP v31</t>
        </is>
      </c>
      <c r="AM2273" s="18" t="inlineStr">
        <is>
          <t>data/cobblemon/spawn_pool_world/0679_honedge.json</t>
        </is>
      </c>
      <c r="AN2273" s="18" t="inlineStr">
        <is>
          <t>honedge-2</t>
        </is>
      </c>
      <c r="AO2273" s="18" t="inlineStr">
        <is>
          <t>pokemon</t>
        </is>
      </c>
      <c r="AP2273" s="18" t="inlineStr"/>
      <c r="AQ2273" s="18" t="inlineStr">
        <is>
          <t>{"biomes":["#cobblemon:is_overworld"],"maxSkyLight":15,"minSkyLight":8,"structures":["#cobblemon:ruin"]}</t>
        </is>
      </c>
      <c r="AR2273" s="18" t="inlineStr"/>
      <c r="AS2273" s="18" t="inlineStr"/>
      <c r="AT2273" s="19" t="inlineStr"/>
    </row>
    <row r="2274" ht="32" customHeight="1">
      <c r="A2274" s="18" t="inlineStr">
        <is>
          <t>0679_honedge.json::honedge-3::003</t>
        </is>
      </c>
      <c r="B2274" s="19" t="inlineStr">
        <is>
          <t>사용</t>
        </is>
      </c>
      <c r="C2274" s="18">
        <f>IF(OR(B2274&lt;&gt;AK2274,M2274&lt;&gt;L2274,O2274&lt;&gt;"",Q2274&lt;&gt;"",V2274&lt;&gt;1,Y2274&lt;&gt;"",AT2274&lt;&gt;""),"수정","원본")</f>
        <v/>
      </c>
      <c r="D2274" s="18" t="n">
        <v>679</v>
      </c>
      <c r="E2274" s="18" t="inlineStr">
        <is>
          <t>단칼빙</t>
        </is>
      </c>
      <c r="F2274" s="18" t="inlineStr">
        <is>
          <t>honedge</t>
        </is>
      </c>
      <c r="G2274" s="18" t="inlineStr">
        <is>
          <t>honedge</t>
        </is>
      </c>
      <c r="H2274" s="18" t="inlineStr"/>
      <c r="I2274" s="18" t="n">
        <v>6</v>
      </c>
      <c r="J2274" s="18" t="n"/>
      <c r="K2274" s="18" t="n">
        <v>6</v>
      </c>
      <c r="L2274" s="18" t="inlineStr">
        <is>
          <t>cobbleventure:generation_6</t>
        </is>
      </c>
      <c r="M2274" s="19" t="inlineStr">
        <is>
          <t>cobbleventure:generation_6</t>
        </is>
      </c>
      <c r="N2274" s="18" t="inlineStr">
        <is>
          <t>region_01; region_02</t>
        </is>
      </c>
      <c r="O2274" s="19" t="inlineStr"/>
      <c r="P2274" s="18" t="inlineStr">
        <is>
          <t>#cobblemon:is_overworld</t>
        </is>
      </c>
      <c r="Q2274" s="19" t="inlineStr"/>
      <c r="R2274" s="18">
        <f>IF(Q2274="",P2274,Q2274)</f>
        <v/>
      </c>
      <c r="S2274" s="18" t="inlineStr"/>
      <c r="T2274" s="18" t="inlineStr">
        <is>
          <t>uncommon</t>
        </is>
      </c>
      <c r="U2274" s="20" t="n">
        <v>84</v>
      </c>
      <c r="V2274" s="21" t="n">
        <v>1</v>
      </c>
      <c r="W2274" s="20">
        <f>IF(OR(U2274="",V2274=""),U2274,U2274*V2274)</f>
        <v/>
      </c>
      <c r="X2274" s="18" t="inlineStr">
        <is>
          <t>8-33</t>
        </is>
      </c>
      <c r="Y2274" s="19" t="inlineStr"/>
      <c r="Z2274" s="18">
        <f>IF(Y2274="",X2274,Y2274)</f>
        <v/>
      </c>
      <c r="AA2274" s="18" t="inlineStr">
        <is>
          <t>grounded</t>
        </is>
      </c>
      <c r="AB2274" s="18" t="inlineStr"/>
      <c r="AC2274" s="18" t="inlineStr"/>
      <c r="AD2274" s="18" t="inlineStr"/>
      <c r="AE2274" s="18" t="inlineStr">
        <is>
          <t>sky 0-7</t>
        </is>
      </c>
      <c r="AF2274" s="18" t="inlineStr"/>
      <c r="AG2274" s="18" t="inlineStr"/>
      <c r="AH2274" s="18" t="inlineStr"/>
      <c r="AI2274" s="18" t="inlineStr"/>
      <c r="AJ2274" s="18" t="inlineStr">
        <is>
          <t>COBBLEVERSE 수정</t>
        </is>
      </c>
      <c r="AK2274" s="18" t="inlineStr">
        <is>
          <t>사용</t>
        </is>
      </c>
      <c r="AL2274" s="18" t="inlineStr">
        <is>
          <t>COBBLEVERSE 1.7.42 / DP v31</t>
        </is>
      </c>
      <c r="AM2274" s="18" t="inlineStr">
        <is>
          <t>data/cobblemon/spawn_pool_world/0679_honedge.json</t>
        </is>
      </c>
      <c r="AN2274" s="18" t="inlineStr">
        <is>
          <t>honedge-3</t>
        </is>
      </c>
      <c r="AO2274" s="18" t="inlineStr">
        <is>
          <t>pokemon</t>
        </is>
      </c>
      <c r="AP2274" s="18" t="inlineStr">
        <is>
          <t>stronghold</t>
        </is>
      </c>
      <c r="AQ2274" s="18" t="inlineStr">
        <is>
          <t>{"biomes":["#cobblemon:is_overworld"],"maxSkyLight":7,"minSkyLight":0}</t>
        </is>
      </c>
      <c r="AR2274" s="18" t="inlineStr"/>
      <c r="AS2274" s="18" t="inlineStr"/>
      <c r="AT2274" s="19" t="inlineStr"/>
    </row>
    <row r="2275" ht="32" customHeight="1">
      <c r="A2275" s="18" t="inlineStr">
        <is>
          <t>0679_honedge.json::honedge-4::004</t>
        </is>
      </c>
      <c r="B2275" s="19" t="inlineStr">
        <is>
          <t>사용</t>
        </is>
      </c>
      <c r="C2275" s="18">
        <f>IF(OR(B2275&lt;&gt;AK2275,M2275&lt;&gt;L2275,O2275&lt;&gt;"",Q2275&lt;&gt;"",V2275&lt;&gt;1,Y2275&lt;&gt;"",AT2275&lt;&gt;""),"수정","원본")</f>
        <v/>
      </c>
      <c r="D2275" s="18" t="n">
        <v>679</v>
      </c>
      <c r="E2275" s="18" t="inlineStr">
        <is>
          <t>단칼빙</t>
        </is>
      </c>
      <c r="F2275" s="18" t="inlineStr">
        <is>
          <t>honedge</t>
        </is>
      </c>
      <c r="G2275" s="18" t="inlineStr">
        <is>
          <t>honedge</t>
        </is>
      </c>
      <c r="H2275" s="18" t="inlineStr"/>
      <c r="I2275" s="18" t="n">
        <v>6</v>
      </c>
      <c r="J2275" s="18" t="n"/>
      <c r="K2275" s="18" t="n">
        <v>6</v>
      </c>
      <c r="L2275" s="18" t="inlineStr">
        <is>
          <t>cobbleventure:generation_6</t>
        </is>
      </c>
      <c r="M2275" s="19" t="inlineStr">
        <is>
          <t>cobbleventure:generation_6</t>
        </is>
      </c>
      <c r="N2275" s="18" t="inlineStr"/>
      <c r="O2275" s="19" t="inlineStr"/>
      <c r="P2275" s="18" t="inlineStr">
        <is>
          <t>#aether:is_aether</t>
        </is>
      </c>
      <c r="Q2275" s="19" t="inlineStr"/>
      <c r="R2275" s="18">
        <f>IF(Q2275="",P2275,Q2275)</f>
        <v/>
      </c>
      <c r="S2275" s="18" t="inlineStr"/>
      <c r="T2275" s="18" t="inlineStr">
        <is>
          <t>uncommon</t>
        </is>
      </c>
      <c r="U2275" s="20" t="n">
        <v>5.04</v>
      </c>
      <c r="V2275" s="21" t="n">
        <v>1</v>
      </c>
      <c r="W2275" s="20">
        <f>IF(OR(U2275="",V2275=""),U2275,U2275*V2275)</f>
        <v/>
      </c>
      <c r="X2275" s="18" t="inlineStr">
        <is>
          <t>8-33</t>
        </is>
      </c>
      <c r="Y2275" s="19" t="inlineStr"/>
      <c r="Z2275" s="18">
        <f>IF(Y2275="",X2275,Y2275)</f>
        <v/>
      </c>
      <c r="AA2275" s="18" t="inlineStr">
        <is>
          <t>grounded</t>
        </is>
      </c>
      <c r="AB2275" s="18" t="inlineStr"/>
      <c r="AC2275" s="18" t="inlineStr"/>
      <c r="AD2275" s="18" t="inlineStr"/>
      <c r="AE2275" s="18" t="inlineStr">
        <is>
          <t>sky 0-7</t>
        </is>
      </c>
      <c r="AF2275" s="18" t="inlineStr"/>
      <c r="AG2275" s="18" t="inlineStr">
        <is>
          <t>#aether:dungeons</t>
        </is>
      </c>
      <c r="AH2275" s="18" t="inlineStr"/>
      <c r="AI2275" s="18" t="inlineStr"/>
      <c r="AJ2275" s="18" t="inlineStr">
        <is>
          <t>COBBLEVERSE 수정</t>
        </is>
      </c>
      <c r="AK2275" s="18" t="inlineStr">
        <is>
          <t>사용</t>
        </is>
      </c>
      <c r="AL2275" s="18" t="inlineStr">
        <is>
          <t>COBBLEVERSE 1.7.42 / DP v31</t>
        </is>
      </c>
      <c r="AM2275" s="18" t="inlineStr">
        <is>
          <t>data/cobblemon/spawn_pool_world/0679_honedge.json</t>
        </is>
      </c>
      <c r="AN2275" s="18" t="inlineStr">
        <is>
          <t>honedge-4</t>
        </is>
      </c>
      <c r="AO2275" s="18" t="inlineStr">
        <is>
          <t>pokemon</t>
        </is>
      </c>
      <c r="AP2275" s="18" t="inlineStr"/>
      <c r="AQ2275" s="18" t="inlineStr">
        <is>
          <t>{"biomes":["#aether:is_aether"],"maxSkyLight":7,"minSkyLight":0,"structures":["#aether:dungeons"]}</t>
        </is>
      </c>
      <c r="AR2275" s="18" t="inlineStr"/>
      <c r="AS2275" s="18" t="inlineStr"/>
      <c r="AT2275" s="19" t="inlineStr"/>
    </row>
    <row r="2276" ht="32" customHeight="1">
      <c r="A2276" s="18" t="inlineStr">
        <is>
          <t>0680_doublade.json::doublade-1::001</t>
        </is>
      </c>
      <c r="B2276" s="19" t="inlineStr">
        <is>
          <t>사용</t>
        </is>
      </c>
      <c r="C2276" s="18">
        <f>IF(OR(B2276&lt;&gt;AK2276,M2276&lt;&gt;L2276,O2276&lt;&gt;"",Q2276&lt;&gt;"",V2276&lt;&gt;1,Y2276&lt;&gt;"",AT2276&lt;&gt;""),"수정","원본")</f>
        <v/>
      </c>
      <c r="D2276" s="18" t="n">
        <v>680</v>
      </c>
      <c r="E2276" s="18" t="inlineStr">
        <is>
          <t>쌍검킬</t>
        </is>
      </c>
      <c r="F2276" s="18" t="inlineStr">
        <is>
          <t>doublade</t>
        </is>
      </c>
      <c r="G2276" s="18" t="inlineStr">
        <is>
          <t>doublade</t>
        </is>
      </c>
      <c r="H2276" s="18" t="inlineStr"/>
      <c r="I2276" s="18" t="n">
        <v>6</v>
      </c>
      <c r="J2276" s="18" t="n"/>
      <c r="K2276" s="18" t="n">
        <v>6</v>
      </c>
      <c r="L2276" s="18" t="inlineStr">
        <is>
          <t>cobbleventure:generation_6</t>
        </is>
      </c>
      <c r="M2276" s="19" t="inlineStr">
        <is>
          <t>cobbleventure:generation_6</t>
        </is>
      </c>
      <c r="N2276" s="18" t="inlineStr"/>
      <c r="O2276" s="19" t="inlineStr"/>
      <c r="P2276" s="18" t="inlineStr">
        <is>
          <t>#minecraft:is_nether</t>
        </is>
      </c>
      <c r="Q2276" s="19" t="inlineStr"/>
      <c r="R2276" s="18">
        <f>IF(Q2276="",P2276,Q2276)</f>
        <v/>
      </c>
      <c r="S2276" s="18" t="inlineStr"/>
      <c r="T2276" s="18" t="inlineStr">
        <is>
          <t>uncommon</t>
        </is>
      </c>
      <c r="U2276" s="20" t="n">
        <v>15.2</v>
      </c>
      <c r="V2276" s="21" t="n">
        <v>1</v>
      </c>
      <c r="W2276" s="20">
        <f>IF(OR(U2276="",V2276=""),U2276,U2276*V2276)</f>
        <v/>
      </c>
      <c r="X2276" s="18" t="inlineStr">
        <is>
          <t>35-45</t>
        </is>
      </c>
      <c r="Y2276" s="19" t="inlineStr"/>
      <c r="Z2276" s="18">
        <f>IF(Y2276="",X2276,Y2276)</f>
        <v/>
      </c>
      <c r="AA2276" s="18" t="inlineStr">
        <is>
          <t>grounded</t>
        </is>
      </c>
      <c r="AB2276" s="18" t="inlineStr"/>
      <c r="AC2276" s="18" t="inlineStr"/>
      <c r="AD2276" s="18" t="inlineStr"/>
      <c r="AE2276" s="18" t="inlineStr"/>
      <c r="AF2276" s="18" t="inlineStr"/>
      <c r="AG2276" s="18" t="inlineStr"/>
      <c r="AH2276" s="18" t="inlineStr"/>
      <c r="AI2276" s="18" t="inlineStr"/>
      <c r="AJ2276" s="18" t="inlineStr">
        <is>
          <t>COBBLEVERSE 수정</t>
        </is>
      </c>
      <c r="AK2276" s="18" t="inlineStr">
        <is>
          <t>사용</t>
        </is>
      </c>
      <c r="AL2276" s="18" t="inlineStr">
        <is>
          <t>COBBLEVERSE 1.7.42 / DP v31</t>
        </is>
      </c>
      <c r="AM2276" s="18" t="inlineStr">
        <is>
          <t>data/cobblemon/spawn_pool_world/0680_doublade.json</t>
        </is>
      </c>
      <c r="AN2276" s="18" t="inlineStr">
        <is>
          <t>doublade-1</t>
        </is>
      </c>
      <c r="AO2276" s="18" t="inlineStr">
        <is>
          <t>pokemon</t>
        </is>
      </c>
      <c r="AP2276" s="18" t="inlineStr">
        <is>
          <t>natural</t>
        </is>
      </c>
      <c r="AQ2276" s="18" t="inlineStr">
        <is>
          <t>{"biomes":["#minecraft:is_nether"]}</t>
        </is>
      </c>
      <c r="AR2276" s="18" t="inlineStr"/>
      <c r="AS2276" s="18" t="inlineStr"/>
      <c r="AT2276" s="19" t="inlineStr"/>
    </row>
    <row r="2277" ht="32" customHeight="1">
      <c r="A2277" s="18" t="inlineStr">
        <is>
          <t>0680_doublade.json::doublade-2::002</t>
        </is>
      </c>
      <c r="B2277" s="19" t="inlineStr">
        <is>
          <t>사용</t>
        </is>
      </c>
      <c r="C2277" s="18">
        <f>IF(OR(B2277&lt;&gt;AK2277,M2277&lt;&gt;L2277,O2277&lt;&gt;"",Q2277&lt;&gt;"",V2277&lt;&gt;1,Y2277&lt;&gt;"",AT2277&lt;&gt;""),"수정","원본")</f>
        <v/>
      </c>
      <c r="D2277" s="18" t="n">
        <v>680</v>
      </c>
      <c r="E2277" s="18" t="inlineStr">
        <is>
          <t>쌍검킬</t>
        </is>
      </c>
      <c r="F2277" s="18" t="inlineStr">
        <is>
          <t>doublade</t>
        </is>
      </c>
      <c r="G2277" s="18" t="inlineStr">
        <is>
          <t>doublade</t>
        </is>
      </c>
      <c r="H2277" s="18" t="inlineStr"/>
      <c r="I2277" s="18" t="n">
        <v>6</v>
      </c>
      <c r="J2277" s="18" t="n"/>
      <c r="K2277" s="18" t="n">
        <v>6</v>
      </c>
      <c r="L2277" s="18" t="inlineStr">
        <is>
          <t>cobbleventure:generation_6</t>
        </is>
      </c>
      <c r="M2277" s="19" t="inlineStr">
        <is>
          <t>cobbleventure:generation_6</t>
        </is>
      </c>
      <c r="N2277" s="18" t="inlineStr">
        <is>
          <t>region_01; region_02</t>
        </is>
      </c>
      <c r="O2277" s="19" t="inlineStr"/>
      <c r="P2277" s="18" t="inlineStr">
        <is>
          <t>#cobblemon:is_overworld</t>
        </is>
      </c>
      <c r="Q2277" s="19" t="inlineStr"/>
      <c r="R2277" s="18">
        <f>IF(Q2277="",P2277,Q2277)</f>
        <v/>
      </c>
      <c r="S2277" s="18" t="inlineStr"/>
      <c r="T2277" s="18" t="inlineStr">
        <is>
          <t>uncommon</t>
        </is>
      </c>
      <c r="U2277" s="20" t="n">
        <v>7.12</v>
      </c>
      <c r="V2277" s="21" t="n">
        <v>1</v>
      </c>
      <c r="W2277" s="20">
        <f>IF(OR(U2277="",V2277=""),U2277,U2277*V2277)</f>
        <v/>
      </c>
      <c r="X2277" s="18" t="inlineStr">
        <is>
          <t>35-45</t>
        </is>
      </c>
      <c r="Y2277" s="19" t="inlineStr"/>
      <c r="Z2277" s="18">
        <f>IF(Y2277="",X2277,Y2277)</f>
        <v/>
      </c>
      <c r="AA2277" s="18" t="inlineStr">
        <is>
          <t>grounded</t>
        </is>
      </c>
      <c r="AB2277" s="18" t="inlineStr"/>
      <c r="AC2277" s="18" t="inlineStr"/>
      <c r="AD2277" s="18" t="inlineStr"/>
      <c r="AE2277" s="18" t="inlineStr">
        <is>
          <t>sky 8-15</t>
        </is>
      </c>
      <c r="AF2277" s="18" t="inlineStr"/>
      <c r="AG2277" s="18" t="inlineStr">
        <is>
          <t>#cobblemon:ruin</t>
        </is>
      </c>
      <c r="AH2277" s="18" t="inlineStr"/>
      <c r="AI2277" s="18" t="inlineStr"/>
      <c r="AJ2277" s="18" t="inlineStr">
        <is>
          <t>COBBLEVERSE 수정</t>
        </is>
      </c>
      <c r="AK2277" s="18" t="inlineStr">
        <is>
          <t>사용</t>
        </is>
      </c>
      <c r="AL2277" s="18" t="inlineStr">
        <is>
          <t>COBBLEVERSE 1.7.42 / DP v31</t>
        </is>
      </c>
      <c r="AM2277" s="18" t="inlineStr">
        <is>
          <t>data/cobblemon/spawn_pool_world/0680_doublade.json</t>
        </is>
      </c>
      <c r="AN2277" s="18" t="inlineStr">
        <is>
          <t>doublade-2</t>
        </is>
      </c>
      <c r="AO2277" s="18" t="inlineStr">
        <is>
          <t>pokemon</t>
        </is>
      </c>
      <c r="AP2277" s="18" t="inlineStr"/>
      <c r="AQ2277" s="18" t="inlineStr">
        <is>
          <t>{"biomes":["#cobblemon:is_overworld"],"maxSkyLight":15,"minSkyLight":8,"structures":["#cobblemon:ruin"]}</t>
        </is>
      </c>
      <c r="AR2277" s="18" t="inlineStr"/>
      <c r="AS2277" s="18" t="inlineStr"/>
      <c r="AT2277" s="19" t="inlineStr"/>
    </row>
    <row r="2278" ht="32" customHeight="1">
      <c r="A2278" s="18" t="inlineStr">
        <is>
          <t>0680_doublade.json::doublade-3::003</t>
        </is>
      </c>
      <c r="B2278" s="19" t="inlineStr">
        <is>
          <t>사용</t>
        </is>
      </c>
      <c r="C2278" s="18">
        <f>IF(OR(B2278&lt;&gt;AK2278,M2278&lt;&gt;L2278,O2278&lt;&gt;"",Q2278&lt;&gt;"",V2278&lt;&gt;1,Y2278&lt;&gt;"",AT2278&lt;&gt;""),"수정","원본")</f>
        <v/>
      </c>
      <c r="D2278" s="18" t="n">
        <v>680</v>
      </c>
      <c r="E2278" s="18" t="inlineStr">
        <is>
          <t>쌍검킬</t>
        </is>
      </c>
      <c r="F2278" s="18" t="inlineStr">
        <is>
          <t>doublade</t>
        </is>
      </c>
      <c r="G2278" s="18" t="inlineStr">
        <is>
          <t>doublade</t>
        </is>
      </c>
      <c r="H2278" s="18" t="inlineStr"/>
      <c r="I2278" s="18" t="n">
        <v>6</v>
      </c>
      <c r="J2278" s="18" t="n"/>
      <c r="K2278" s="18" t="n">
        <v>6</v>
      </c>
      <c r="L2278" s="18" t="inlineStr">
        <is>
          <t>cobbleventure:generation_6</t>
        </is>
      </c>
      <c r="M2278" s="19" t="inlineStr">
        <is>
          <t>cobbleventure:generation_6</t>
        </is>
      </c>
      <c r="N2278" s="18" t="inlineStr">
        <is>
          <t>region_01; region_02</t>
        </is>
      </c>
      <c r="O2278" s="19" t="inlineStr"/>
      <c r="P2278" s="18" t="inlineStr">
        <is>
          <t>#cobblemon:is_overworld</t>
        </is>
      </c>
      <c r="Q2278" s="19" t="inlineStr"/>
      <c r="R2278" s="18">
        <f>IF(Q2278="",P2278,Q2278)</f>
        <v/>
      </c>
      <c r="S2278" s="18" t="inlineStr"/>
      <c r="T2278" s="18" t="inlineStr">
        <is>
          <t>uncommon</t>
        </is>
      </c>
      <c r="U2278" s="20" t="n">
        <v>15.2</v>
      </c>
      <c r="V2278" s="21" t="n">
        <v>1</v>
      </c>
      <c r="W2278" s="20">
        <f>IF(OR(U2278="",V2278=""),U2278,U2278*V2278)</f>
        <v/>
      </c>
      <c r="X2278" s="18" t="inlineStr">
        <is>
          <t>35-45</t>
        </is>
      </c>
      <c r="Y2278" s="19" t="inlineStr"/>
      <c r="Z2278" s="18">
        <f>IF(Y2278="",X2278,Y2278)</f>
        <v/>
      </c>
      <c r="AA2278" s="18" t="inlineStr">
        <is>
          <t>grounded</t>
        </is>
      </c>
      <c r="AB2278" s="18" t="inlineStr"/>
      <c r="AC2278" s="18" t="inlineStr"/>
      <c r="AD2278" s="18" t="inlineStr"/>
      <c r="AE2278" s="18" t="inlineStr">
        <is>
          <t>sky 0-7</t>
        </is>
      </c>
      <c r="AF2278" s="18" t="inlineStr"/>
      <c r="AG2278" s="18" t="inlineStr"/>
      <c r="AH2278" s="18" t="inlineStr"/>
      <c r="AI2278" s="18" t="inlineStr"/>
      <c r="AJ2278" s="18" t="inlineStr">
        <is>
          <t>COBBLEVERSE 수정</t>
        </is>
      </c>
      <c r="AK2278" s="18" t="inlineStr">
        <is>
          <t>사용</t>
        </is>
      </c>
      <c r="AL2278" s="18" t="inlineStr">
        <is>
          <t>COBBLEVERSE 1.7.42 / DP v31</t>
        </is>
      </c>
      <c r="AM2278" s="18" t="inlineStr">
        <is>
          <t>data/cobblemon/spawn_pool_world/0680_doublade.json</t>
        </is>
      </c>
      <c r="AN2278" s="18" t="inlineStr">
        <is>
          <t>doublade-3</t>
        </is>
      </c>
      <c r="AO2278" s="18" t="inlineStr">
        <is>
          <t>pokemon</t>
        </is>
      </c>
      <c r="AP2278" s="18" t="inlineStr">
        <is>
          <t>stronghold</t>
        </is>
      </c>
      <c r="AQ2278" s="18" t="inlineStr">
        <is>
          <t>{"biomes":["#cobblemon:is_overworld"],"maxSkyLight":7,"minSkyLight":0}</t>
        </is>
      </c>
      <c r="AR2278" s="18" t="inlineStr"/>
      <c r="AS2278" s="18" t="inlineStr"/>
      <c r="AT2278" s="19" t="inlineStr"/>
    </row>
    <row r="2279" ht="32" customHeight="1">
      <c r="A2279" s="18" t="inlineStr">
        <is>
          <t>0680_doublade.json::doublade-4::004</t>
        </is>
      </c>
      <c r="B2279" s="19" t="inlineStr">
        <is>
          <t>사용</t>
        </is>
      </c>
      <c r="C2279" s="18">
        <f>IF(OR(B2279&lt;&gt;AK2279,M2279&lt;&gt;L2279,O2279&lt;&gt;"",Q2279&lt;&gt;"",V2279&lt;&gt;1,Y2279&lt;&gt;"",AT2279&lt;&gt;""),"수정","원본")</f>
        <v/>
      </c>
      <c r="D2279" s="18" t="n">
        <v>680</v>
      </c>
      <c r="E2279" s="18" t="inlineStr">
        <is>
          <t>쌍검킬</t>
        </is>
      </c>
      <c r="F2279" s="18" t="inlineStr">
        <is>
          <t>doublade</t>
        </is>
      </c>
      <c r="G2279" s="18" t="inlineStr">
        <is>
          <t>doublade</t>
        </is>
      </c>
      <c r="H2279" s="18" t="inlineStr"/>
      <c r="I2279" s="18" t="n">
        <v>6</v>
      </c>
      <c r="J2279" s="18" t="n"/>
      <c r="K2279" s="18" t="n">
        <v>6</v>
      </c>
      <c r="L2279" s="18" t="inlineStr">
        <is>
          <t>cobbleventure:generation_6</t>
        </is>
      </c>
      <c r="M2279" s="19" t="inlineStr">
        <is>
          <t>cobbleventure:generation_6</t>
        </is>
      </c>
      <c r="N2279" s="18" t="inlineStr"/>
      <c r="O2279" s="19" t="inlineStr"/>
      <c r="P2279" s="18" t="inlineStr">
        <is>
          <t>#aether:is_aether</t>
        </is>
      </c>
      <c r="Q2279" s="19" t="inlineStr"/>
      <c r="R2279" s="18">
        <f>IF(Q2279="",P2279,Q2279)</f>
        <v/>
      </c>
      <c r="S2279" s="18" t="inlineStr"/>
      <c r="T2279" s="18" t="inlineStr">
        <is>
          <t>uncommon</t>
        </is>
      </c>
      <c r="U2279" s="20" t="n">
        <v>0.712</v>
      </c>
      <c r="V2279" s="21" t="n">
        <v>1</v>
      </c>
      <c r="W2279" s="20">
        <f>IF(OR(U2279="",V2279=""),U2279,U2279*V2279)</f>
        <v/>
      </c>
      <c r="X2279" s="18" t="inlineStr">
        <is>
          <t>35-45</t>
        </is>
      </c>
      <c r="Y2279" s="19" t="inlineStr"/>
      <c r="Z2279" s="18">
        <f>IF(Y2279="",X2279,Y2279)</f>
        <v/>
      </c>
      <c r="AA2279" s="18" t="inlineStr">
        <is>
          <t>grounded</t>
        </is>
      </c>
      <c r="AB2279" s="18" t="inlineStr"/>
      <c r="AC2279" s="18" t="inlineStr"/>
      <c r="AD2279" s="18" t="inlineStr"/>
      <c r="AE2279" s="18" t="inlineStr">
        <is>
          <t>sky 0-7</t>
        </is>
      </c>
      <c r="AF2279" s="18" t="inlineStr"/>
      <c r="AG2279" s="18" t="inlineStr">
        <is>
          <t>#aether:dungeons</t>
        </is>
      </c>
      <c r="AH2279" s="18" t="inlineStr"/>
      <c r="AI2279" s="18" t="inlineStr"/>
      <c r="AJ2279" s="18" t="inlineStr">
        <is>
          <t>COBBLEVERSE 수정</t>
        </is>
      </c>
      <c r="AK2279" s="18" t="inlineStr">
        <is>
          <t>사용</t>
        </is>
      </c>
      <c r="AL2279" s="18" t="inlineStr">
        <is>
          <t>COBBLEVERSE 1.7.42 / DP v31</t>
        </is>
      </c>
      <c r="AM2279" s="18" t="inlineStr">
        <is>
          <t>data/cobblemon/spawn_pool_world/0680_doublade.json</t>
        </is>
      </c>
      <c r="AN2279" s="18" t="inlineStr">
        <is>
          <t>doublade-4</t>
        </is>
      </c>
      <c r="AO2279" s="18" t="inlineStr">
        <is>
          <t>pokemon</t>
        </is>
      </c>
      <c r="AP2279" s="18" t="inlineStr"/>
      <c r="AQ2279" s="18" t="inlineStr">
        <is>
          <t>{"biomes":["#aether:is_aether"],"maxSkyLight":7,"minSkyLight":0,"structures":["#aether:dungeons"]}</t>
        </is>
      </c>
      <c r="AR2279" s="18" t="inlineStr"/>
      <c r="AS2279" s="18" t="inlineStr"/>
      <c r="AT2279" s="19" t="inlineStr"/>
    </row>
    <row r="2280" ht="32" customHeight="1">
      <c r="A2280" s="18" t="inlineStr">
        <is>
          <t>0681_aegislash.json::aegislash-1::001</t>
        </is>
      </c>
      <c r="B2280" s="19" t="inlineStr">
        <is>
          <t>사용</t>
        </is>
      </c>
      <c r="C2280" s="18">
        <f>IF(OR(B2280&lt;&gt;AK2280,M2280&lt;&gt;L2280,O2280&lt;&gt;"",Q2280&lt;&gt;"",V2280&lt;&gt;1,Y2280&lt;&gt;"",AT2280&lt;&gt;""),"수정","원본")</f>
        <v/>
      </c>
      <c r="D2280" s="18" t="n">
        <v>681</v>
      </c>
      <c r="E2280" s="18" t="inlineStr">
        <is>
          <t>킬가르도</t>
        </is>
      </c>
      <c r="F2280" s="18" t="inlineStr">
        <is>
          <t>aegislash</t>
        </is>
      </c>
      <c r="G2280" s="18" t="inlineStr">
        <is>
          <t>aegislash</t>
        </is>
      </c>
      <c r="H2280" s="18" t="inlineStr"/>
      <c r="I2280" s="18" t="n">
        <v>6</v>
      </c>
      <c r="J2280" s="18" t="n"/>
      <c r="K2280" s="18" t="n">
        <v>6</v>
      </c>
      <c r="L2280" s="18" t="inlineStr">
        <is>
          <t>cobbleventure:generation_6</t>
        </is>
      </c>
      <c r="M2280" s="19" t="inlineStr">
        <is>
          <t>cobbleventure:generation_6</t>
        </is>
      </c>
      <c r="N2280" s="18" t="inlineStr"/>
      <c r="O2280" s="19" t="inlineStr"/>
      <c r="P2280" s="18" t="inlineStr">
        <is>
          <t>#minecraft:is_nether</t>
        </is>
      </c>
      <c r="Q2280" s="19" t="inlineStr"/>
      <c r="R2280" s="18">
        <f>IF(Q2280="",P2280,Q2280)</f>
        <v/>
      </c>
      <c r="S2280" s="18" t="inlineStr"/>
      <c r="T2280" s="18" t="inlineStr">
        <is>
          <t>uncommon</t>
        </is>
      </c>
      <c r="U2280" s="20" t="n">
        <v>0.8</v>
      </c>
      <c r="V2280" s="21" t="n">
        <v>1</v>
      </c>
      <c r="W2280" s="20">
        <f>IF(OR(U2280="",V2280=""),U2280,U2280*V2280)</f>
        <v/>
      </c>
      <c r="X2280" s="18" t="inlineStr">
        <is>
          <t>40-50</t>
        </is>
      </c>
      <c r="Y2280" s="19" t="inlineStr"/>
      <c r="Z2280" s="18">
        <f>IF(Y2280="",X2280,Y2280)</f>
        <v/>
      </c>
      <c r="AA2280" s="18" t="inlineStr">
        <is>
          <t>grounded</t>
        </is>
      </c>
      <c r="AB2280" s="18" t="inlineStr"/>
      <c r="AC2280" s="18" t="inlineStr"/>
      <c r="AD2280" s="18" t="inlineStr"/>
      <c r="AE2280" s="18" t="inlineStr"/>
      <c r="AF2280" s="18" t="inlineStr"/>
      <c r="AG2280" s="18" t="inlineStr"/>
      <c r="AH2280" s="18" t="inlineStr"/>
      <c r="AI2280" s="18" t="inlineStr"/>
      <c r="AJ2280" s="18" t="inlineStr">
        <is>
          <t>Cobblemon 동일</t>
        </is>
      </c>
      <c r="AK2280" s="18" t="inlineStr">
        <is>
          <t>사용</t>
        </is>
      </c>
      <c r="AL2280" s="18" t="inlineStr">
        <is>
          <t>COBBLEVERSE 1.7.42 / DP v31</t>
        </is>
      </c>
      <c r="AM2280" s="18" t="inlineStr">
        <is>
          <t>data/cobblemon/spawn_pool_world/0681_aegislash.json</t>
        </is>
      </c>
      <c r="AN2280" s="18" t="inlineStr">
        <is>
          <t>aegislash-1</t>
        </is>
      </c>
      <c r="AO2280" s="18" t="inlineStr">
        <is>
          <t>pokemon</t>
        </is>
      </c>
      <c r="AP2280" s="18" t="inlineStr">
        <is>
          <t>natural; nether_structures</t>
        </is>
      </c>
      <c r="AQ2280" s="18" t="inlineStr">
        <is>
          <t>{"biomes":["#minecraft:is_nether"]}</t>
        </is>
      </c>
      <c r="AR2280" s="18" t="inlineStr"/>
      <c r="AS2280" s="18" t="inlineStr"/>
      <c r="AT2280" s="19" t="inlineStr"/>
    </row>
    <row r="2281" ht="32" customHeight="1">
      <c r="A2281" s="18" t="inlineStr">
        <is>
          <t>0681_aegislash.json::aegislash-2::002</t>
        </is>
      </c>
      <c r="B2281" s="19" t="inlineStr">
        <is>
          <t>사용</t>
        </is>
      </c>
      <c r="C2281" s="18">
        <f>IF(OR(B2281&lt;&gt;AK2281,M2281&lt;&gt;L2281,O2281&lt;&gt;"",Q2281&lt;&gt;"",V2281&lt;&gt;1,Y2281&lt;&gt;"",AT2281&lt;&gt;""),"수정","원본")</f>
        <v/>
      </c>
      <c r="D2281" s="18" t="n">
        <v>681</v>
      </c>
      <c r="E2281" s="18" t="inlineStr">
        <is>
          <t>킬가르도</t>
        </is>
      </c>
      <c r="F2281" s="18" t="inlineStr">
        <is>
          <t>aegislash</t>
        </is>
      </c>
      <c r="G2281" s="18" t="inlineStr">
        <is>
          <t>aegislash</t>
        </is>
      </c>
      <c r="H2281" s="18" t="inlineStr"/>
      <c r="I2281" s="18" t="n">
        <v>6</v>
      </c>
      <c r="J2281" s="18" t="n"/>
      <c r="K2281" s="18" t="n">
        <v>6</v>
      </c>
      <c r="L2281" s="18" t="inlineStr">
        <is>
          <t>cobbleventure:generation_6</t>
        </is>
      </c>
      <c r="M2281" s="19" t="inlineStr">
        <is>
          <t>cobbleventure:generation_6</t>
        </is>
      </c>
      <c r="N2281" s="18" t="inlineStr">
        <is>
          <t>region_01; region_02</t>
        </is>
      </c>
      <c r="O2281" s="19" t="inlineStr"/>
      <c r="P2281" s="18" t="inlineStr">
        <is>
          <t>#cobblemon:is_overworld</t>
        </is>
      </c>
      <c r="Q2281" s="19" t="inlineStr"/>
      <c r="R2281" s="18">
        <f>IF(Q2281="",P2281,Q2281)</f>
        <v/>
      </c>
      <c r="S2281" s="18" t="inlineStr"/>
      <c r="T2281" s="18" t="inlineStr">
        <is>
          <t>uncommon</t>
        </is>
      </c>
      <c r="U2281" s="20" t="n">
        <v>0.48</v>
      </c>
      <c r="V2281" s="21" t="n">
        <v>1</v>
      </c>
      <c r="W2281" s="20">
        <f>IF(OR(U2281="",V2281=""),U2281,U2281*V2281)</f>
        <v/>
      </c>
      <c r="X2281" s="18" t="inlineStr">
        <is>
          <t>40-50</t>
        </is>
      </c>
      <c r="Y2281" s="19" t="inlineStr"/>
      <c r="Z2281" s="18">
        <f>IF(Y2281="",X2281,Y2281)</f>
        <v/>
      </c>
      <c r="AA2281" s="18" t="inlineStr">
        <is>
          <t>grounded</t>
        </is>
      </c>
      <c r="AB2281" s="18" t="inlineStr"/>
      <c r="AC2281" s="18" t="inlineStr"/>
      <c r="AD2281" s="18" t="inlineStr"/>
      <c r="AE2281" s="18" t="inlineStr">
        <is>
          <t>sky 8-15</t>
        </is>
      </c>
      <c r="AF2281" s="18" t="inlineStr"/>
      <c r="AG2281" s="18" t="inlineStr">
        <is>
          <t>#cobblemon:ruin</t>
        </is>
      </c>
      <c r="AH2281" s="18" t="inlineStr"/>
      <c r="AI2281" s="18" t="inlineStr"/>
      <c r="AJ2281" s="18" t="inlineStr">
        <is>
          <t>Cobblemon 동일</t>
        </is>
      </c>
      <c r="AK2281" s="18" t="inlineStr">
        <is>
          <t>사용</t>
        </is>
      </c>
      <c r="AL2281" s="18" t="inlineStr">
        <is>
          <t>COBBLEVERSE 1.7.42 / DP v31</t>
        </is>
      </c>
      <c r="AM2281" s="18" t="inlineStr">
        <is>
          <t>data/cobblemon/spawn_pool_world/0681_aegislash.json</t>
        </is>
      </c>
      <c r="AN2281" s="18" t="inlineStr">
        <is>
          <t>aegislash-2</t>
        </is>
      </c>
      <c r="AO2281" s="18" t="inlineStr">
        <is>
          <t>pokemon</t>
        </is>
      </c>
      <c r="AP2281" s="18" t="inlineStr"/>
      <c r="AQ2281" s="18" t="inlineStr">
        <is>
          <t>{"biomes":["#cobblemon:is_overworld"],"maxSkyLight":15,"minSkyLight":8,"structures":["#cobblemon:ruin"]}</t>
        </is>
      </c>
      <c r="AR2281" s="18" t="inlineStr"/>
      <c r="AS2281" s="18" t="inlineStr"/>
      <c r="AT2281" s="19" t="inlineStr"/>
    </row>
    <row r="2282" ht="32" customHeight="1">
      <c r="A2282" s="18" t="inlineStr">
        <is>
          <t>0681_aegislash.json::aegislash-3::003</t>
        </is>
      </c>
      <c r="B2282" s="19" t="inlineStr">
        <is>
          <t>사용</t>
        </is>
      </c>
      <c r="C2282" s="18">
        <f>IF(OR(B2282&lt;&gt;AK2282,M2282&lt;&gt;L2282,O2282&lt;&gt;"",Q2282&lt;&gt;"",V2282&lt;&gt;1,Y2282&lt;&gt;"",AT2282&lt;&gt;""),"수정","원본")</f>
        <v/>
      </c>
      <c r="D2282" s="18" t="n">
        <v>681</v>
      </c>
      <c r="E2282" s="18" t="inlineStr">
        <is>
          <t>킬가르도</t>
        </is>
      </c>
      <c r="F2282" s="18" t="inlineStr">
        <is>
          <t>aegislash</t>
        </is>
      </c>
      <c r="G2282" s="18" t="inlineStr">
        <is>
          <t>aegislash</t>
        </is>
      </c>
      <c r="H2282" s="18" t="inlineStr"/>
      <c r="I2282" s="18" t="n">
        <v>6</v>
      </c>
      <c r="J2282" s="18" t="n"/>
      <c r="K2282" s="18" t="n">
        <v>6</v>
      </c>
      <c r="L2282" s="18" t="inlineStr">
        <is>
          <t>cobbleventure:generation_6</t>
        </is>
      </c>
      <c r="M2282" s="19" t="inlineStr">
        <is>
          <t>cobbleventure:generation_6</t>
        </is>
      </c>
      <c r="N2282" s="18" t="inlineStr">
        <is>
          <t>region_01; region_02</t>
        </is>
      </c>
      <c r="O2282" s="19" t="inlineStr"/>
      <c r="P2282" s="18" t="inlineStr">
        <is>
          <t>#cobblemon:is_overworld</t>
        </is>
      </c>
      <c r="Q2282" s="19" t="inlineStr"/>
      <c r="R2282" s="18">
        <f>IF(Q2282="",P2282,Q2282)</f>
        <v/>
      </c>
      <c r="S2282" s="18" t="inlineStr"/>
      <c r="T2282" s="18" t="inlineStr">
        <is>
          <t>uncommon</t>
        </is>
      </c>
      <c r="U2282" s="20" t="n">
        <v>0.8</v>
      </c>
      <c r="V2282" s="21" t="n">
        <v>1</v>
      </c>
      <c r="W2282" s="20">
        <f>IF(OR(U2282="",V2282=""),U2282,U2282*V2282)</f>
        <v/>
      </c>
      <c r="X2282" s="18" t="inlineStr">
        <is>
          <t>40-50</t>
        </is>
      </c>
      <c r="Y2282" s="19" t="inlineStr"/>
      <c r="Z2282" s="18">
        <f>IF(Y2282="",X2282,Y2282)</f>
        <v/>
      </c>
      <c r="AA2282" s="18" t="inlineStr">
        <is>
          <t>grounded</t>
        </is>
      </c>
      <c r="AB2282" s="18" t="inlineStr"/>
      <c r="AC2282" s="18" t="inlineStr"/>
      <c r="AD2282" s="18" t="inlineStr"/>
      <c r="AE2282" s="18" t="inlineStr">
        <is>
          <t>sky 0-7</t>
        </is>
      </c>
      <c r="AF2282" s="18" t="inlineStr"/>
      <c r="AG2282" s="18" t="inlineStr"/>
      <c r="AH2282" s="18" t="inlineStr"/>
      <c r="AI2282" s="18" t="inlineStr"/>
      <c r="AJ2282" s="18" t="inlineStr">
        <is>
          <t>Cobblemon 동일</t>
        </is>
      </c>
      <c r="AK2282" s="18" t="inlineStr">
        <is>
          <t>사용</t>
        </is>
      </c>
      <c r="AL2282" s="18" t="inlineStr">
        <is>
          <t>COBBLEVERSE 1.7.42 / DP v31</t>
        </is>
      </c>
      <c r="AM2282" s="18" t="inlineStr">
        <is>
          <t>data/cobblemon/spawn_pool_world/0681_aegislash.json</t>
        </is>
      </c>
      <c r="AN2282" s="18" t="inlineStr">
        <is>
          <t>aegislash-3</t>
        </is>
      </c>
      <c r="AO2282" s="18" t="inlineStr">
        <is>
          <t>pokemon</t>
        </is>
      </c>
      <c r="AP2282" s="18" t="inlineStr">
        <is>
          <t>stronghold</t>
        </is>
      </c>
      <c r="AQ2282" s="18" t="inlineStr">
        <is>
          <t>{"biomes":["#cobblemon:is_overworld"],"maxSkyLight":7,"minSkyLight":0}</t>
        </is>
      </c>
      <c r="AR2282" s="18" t="inlineStr"/>
      <c r="AS2282" s="18" t="inlineStr"/>
      <c r="AT2282" s="19" t="inlineStr"/>
    </row>
    <row r="2283" ht="32" customHeight="1">
      <c r="A2283" s="18" t="inlineStr">
        <is>
          <t>0681_aegislash.json::aegislash-4::004</t>
        </is>
      </c>
      <c r="B2283" s="19" t="inlineStr">
        <is>
          <t>사용</t>
        </is>
      </c>
      <c r="C2283" s="18">
        <f>IF(OR(B2283&lt;&gt;AK2283,M2283&lt;&gt;L2283,O2283&lt;&gt;"",Q2283&lt;&gt;"",V2283&lt;&gt;1,Y2283&lt;&gt;"",AT2283&lt;&gt;""),"수정","원본")</f>
        <v/>
      </c>
      <c r="D2283" s="18" t="n">
        <v>681</v>
      </c>
      <c r="E2283" s="18" t="inlineStr">
        <is>
          <t>킬가르도</t>
        </is>
      </c>
      <c r="F2283" s="18" t="inlineStr">
        <is>
          <t>aegislash</t>
        </is>
      </c>
      <c r="G2283" s="18" t="inlineStr">
        <is>
          <t>aegislash</t>
        </is>
      </c>
      <c r="H2283" s="18" t="inlineStr"/>
      <c r="I2283" s="18" t="n">
        <v>6</v>
      </c>
      <c r="J2283" s="18" t="n"/>
      <c r="K2283" s="18" t="n">
        <v>6</v>
      </c>
      <c r="L2283" s="18" t="inlineStr">
        <is>
          <t>cobbleventure:generation_6</t>
        </is>
      </c>
      <c r="M2283" s="19" t="inlineStr">
        <is>
          <t>cobbleventure:generation_6</t>
        </is>
      </c>
      <c r="N2283" s="18" t="inlineStr"/>
      <c r="O2283" s="19" t="inlineStr"/>
      <c r="P2283" s="18" t="inlineStr">
        <is>
          <t>#aether:is_aether</t>
        </is>
      </c>
      <c r="Q2283" s="19" t="inlineStr"/>
      <c r="R2283" s="18">
        <f>IF(Q2283="",P2283,Q2283)</f>
        <v/>
      </c>
      <c r="S2283" s="18" t="inlineStr"/>
      <c r="T2283" s="18" t="inlineStr">
        <is>
          <t>uncommon</t>
        </is>
      </c>
      <c r="U2283" s="20" t="n">
        <v>0.048</v>
      </c>
      <c r="V2283" s="21" t="n">
        <v>1</v>
      </c>
      <c r="W2283" s="20">
        <f>IF(OR(U2283="",V2283=""),U2283,U2283*V2283)</f>
        <v/>
      </c>
      <c r="X2283" s="18" t="inlineStr">
        <is>
          <t>40-50</t>
        </is>
      </c>
      <c r="Y2283" s="19" t="inlineStr"/>
      <c r="Z2283" s="18">
        <f>IF(Y2283="",X2283,Y2283)</f>
        <v/>
      </c>
      <c r="AA2283" s="18" t="inlineStr">
        <is>
          <t>grounded</t>
        </is>
      </c>
      <c r="AB2283" s="18" t="inlineStr"/>
      <c r="AC2283" s="18" t="inlineStr"/>
      <c r="AD2283" s="18" t="inlineStr"/>
      <c r="AE2283" s="18" t="inlineStr">
        <is>
          <t>sky 0-7</t>
        </is>
      </c>
      <c r="AF2283" s="18" t="inlineStr"/>
      <c r="AG2283" s="18" t="inlineStr">
        <is>
          <t>#aether:dungeons</t>
        </is>
      </c>
      <c r="AH2283" s="18" t="inlineStr"/>
      <c r="AI2283" s="18" t="inlineStr"/>
      <c r="AJ2283" s="18" t="inlineStr">
        <is>
          <t>Cobblemon 동일</t>
        </is>
      </c>
      <c r="AK2283" s="18" t="inlineStr">
        <is>
          <t>사용</t>
        </is>
      </c>
      <c r="AL2283" s="18" t="inlineStr">
        <is>
          <t>COBBLEVERSE 1.7.42 / DP v31</t>
        </is>
      </c>
      <c r="AM2283" s="18" t="inlineStr">
        <is>
          <t>data/cobblemon/spawn_pool_world/0681_aegislash.json</t>
        </is>
      </c>
      <c r="AN2283" s="18" t="inlineStr">
        <is>
          <t>aegislash-4</t>
        </is>
      </c>
      <c r="AO2283" s="18" t="inlineStr">
        <is>
          <t>pokemon</t>
        </is>
      </c>
      <c r="AP2283" s="18" t="inlineStr"/>
      <c r="AQ2283" s="18" t="inlineStr">
        <is>
          <t>{"biomes":["#aether:is_aether"],"maxSkyLight":7,"minSkyLight":0,"structures":["#aether:dungeons"]}</t>
        </is>
      </c>
      <c r="AR2283" s="18" t="inlineStr"/>
      <c r="AS2283" s="18" t="inlineStr"/>
      <c r="AT2283" s="19" t="inlineStr"/>
    </row>
    <row r="2284" ht="32" customHeight="1">
      <c r="A2284" s="18" t="inlineStr">
        <is>
          <t>0682_spritzee.json::spritzee-1::001</t>
        </is>
      </c>
      <c r="B2284" s="19" t="inlineStr">
        <is>
          <t>사용</t>
        </is>
      </c>
      <c r="C2284" s="18">
        <f>IF(OR(B2284&lt;&gt;AK2284,M2284&lt;&gt;L2284,O2284&lt;&gt;"",Q2284&lt;&gt;"",V2284&lt;&gt;1,Y2284&lt;&gt;"",AT2284&lt;&gt;""),"수정","원본")</f>
        <v/>
      </c>
      <c r="D2284" s="18" t="n">
        <v>682</v>
      </c>
      <c r="E2284" s="18" t="inlineStr">
        <is>
          <t>슈쁘</t>
        </is>
      </c>
      <c r="F2284" s="18" t="inlineStr">
        <is>
          <t>spritzee</t>
        </is>
      </c>
      <c r="G2284" s="18" t="inlineStr">
        <is>
          <t>spritzee</t>
        </is>
      </c>
      <c r="H2284" s="18" t="inlineStr"/>
      <c r="I2284" s="18" t="n">
        <v>6</v>
      </c>
      <c r="J2284" s="18" t="n"/>
      <c r="K2284" s="18" t="n">
        <v>6</v>
      </c>
      <c r="L2284" s="18" t="inlineStr">
        <is>
          <t>cobbleventure:generation_6</t>
        </is>
      </c>
      <c r="M2284" s="19" t="inlineStr">
        <is>
          <t>cobbleventure:generation_6</t>
        </is>
      </c>
      <c r="N2284" s="18" t="inlineStr"/>
      <c r="O2284" s="19" t="inlineStr"/>
      <c r="P2284" s="18" t="inlineStr">
        <is>
          <t>#cobblemon:is_floral</t>
        </is>
      </c>
      <c r="Q2284" s="19" t="inlineStr"/>
      <c r="R2284" s="18">
        <f>IF(Q2284="",P2284,Q2284)</f>
        <v/>
      </c>
      <c r="S2284" s="18" t="inlineStr"/>
      <c r="T2284" s="18" t="inlineStr">
        <is>
          <t>common</t>
        </is>
      </c>
      <c r="U2284" s="20" t="n">
        <v>8.199999999999999</v>
      </c>
      <c r="V2284" s="21" t="n">
        <v>1</v>
      </c>
      <c r="W2284" s="20">
        <f>IF(OR(U2284="",V2284=""),U2284,U2284*V2284)</f>
        <v/>
      </c>
      <c r="X2284" s="18" t="inlineStr">
        <is>
          <t>14-34</t>
        </is>
      </c>
      <c r="Y2284" s="19" t="inlineStr"/>
      <c r="Z2284" s="18">
        <f>IF(Y2284="",X2284,Y2284)</f>
        <v/>
      </c>
      <c r="AA2284" s="18" t="inlineStr">
        <is>
          <t>grounded</t>
        </is>
      </c>
      <c r="AB2284" s="18" t="inlineStr"/>
      <c r="AC2284" s="18" t="inlineStr"/>
      <c r="AD2284" s="18" t="inlineStr"/>
      <c r="AE2284" s="18" t="inlineStr"/>
      <c r="AF2284" s="18" t="inlineStr"/>
      <c r="AG2284" s="18" t="inlineStr"/>
      <c r="AH2284" s="18" t="inlineStr"/>
      <c r="AI2284" s="18" t="inlineStr"/>
      <c r="AJ2284" s="18" t="inlineStr">
        <is>
          <t>COBBLEVERSE 수정</t>
        </is>
      </c>
      <c r="AK2284" s="18" t="inlineStr">
        <is>
          <t>사용</t>
        </is>
      </c>
      <c r="AL2284" s="18" t="inlineStr">
        <is>
          <t>COBBLEVERSE 1.7.42 / DP v31</t>
        </is>
      </c>
      <c r="AM2284" s="18" t="inlineStr">
        <is>
          <t>data/cobblemon/spawn_pool_world/0682_spritzee.json</t>
        </is>
      </c>
      <c r="AN2284" s="18" t="inlineStr">
        <is>
          <t>spritzee-1</t>
        </is>
      </c>
      <c r="AO2284" s="18" t="inlineStr">
        <is>
          <t>pokemon</t>
        </is>
      </c>
      <c r="AP2284" s="18" t="inlineStr">
        <is>
          <t>natural</t>
        </is>
      </c>
      <c r="AQ2284" s="18" t="inlineStr">
        <is>
          <t>{"biomes":["#cobblemon:is_floral"]}</t>
        </is>
      </c>
      <c r="AR2284" s="18" t="inlineStr"/>
      <c r="AS2284" s="18" t="inlineStr"/>
      <c r="AT2284" s="19" t="inlineStr"/>
    </row>
    <row r="2285" ht="32" customHeight="1">
      <c r="A2285" s="18" t="inlineStr">
        <is>
          <t>0682_spritzee.json::spritzee-2::002</t>
        </is>
      </c>
      <c r="B2285" s="19" t="inlineStr">
        <is>
          <t>사용</t>
        </is>
      </c>
      <c r="C2285" s="18">
        <f>IF(OR(B2285&lt;&gt;AK2285,M2285&lt;&gt;L2285,O2285&lt;&gt;"",Q2285&lt;&gt;"",V2285&lt;&gt;1,Y2285&lt;&gt;"",AT2285&lt;&gt;""),"수정","원본")</f>
        <v/>
      </c>
      <c r="D2285" s="18" t="n">
        <v>682</v>
      </c>
      <c r="E2285" s="18" t="inlineStr">
        <is>
          <t>슈쁘</t>
        </is>
      </c>
      <c r="F2285" s="18" t="inlineStr">
        <is>
          <t>spritzee</t>
        </is>
      </c>
      <c r="G2285" s="18" t="inlineStr">
        <is>
          <t>spritzee</t>
        </is>
      </c>
      <c r="H2285" s="18" t="inlineStr"/>
      <c r="I2285" s="18" t="n">
        <v>6</v>
      </c>
      <c r="J2285" s="18" t="n"/>
      <c r="K2285" s="18" t="n">
        <v>6</v>
      </c>
      <c r="L2285" s="18" t="inlineStr">
        <is>
          <t>cobbleventure:generation_6</t>
        </is>
      </c>
      <c r="M2285" s="19" t="inlineStr">
        <is>
          <t>cobbleventure:generation_6</t>
        </is>
      </c>
      <c r="N2285" s="18" t="inlineStr">
        <is>
          <t>region_01</t>
        </is>
      </c>
      <c r="O2285" s="19" t="inlineStr"/>
      <c r="P2285" s="18" t="inlineStr">
        <is>
          <t>#cobblemon:is_forest</t>
        </is>
      </c>
      <c r="Q2285" s="19" t="inlineStr"/>
      <c r="R2285" s="18">
        <f>IF(Q2285="",P2285,Q2285)</f>
        <v/>
      </c>
      <c r="S2285" s="18" t="inlineStr"/>
      <c r="T2285" s="18" t="inlineStr">
        <is>
          <t>common</t>
        </is>
      </c>
      <c r="U2285" s="20" t="n">
        <v>3.6</v>
      </c>
      <c r="V2285" s="21" t="n">
        <v>1</v>
      </c>
      <c r="W2285" s="20">
        <f>IF(OR(U2285="",V2285=""),U2285,U2285*V2285)</f>
        <v/>
      </c>
      <c r="X2285" s="18" t="inlineStr">
        <is>
          <t>17-35</t>
        </is>
      </c>
      <c r="Y2285" s="19" t="inlineStr"/>
      <c r="Z2285" s="18">
        <f>IF(Y2285="",X2285,Y2285)</f>
        <v/>
      </c>
      <c r="AA2285" s="18" t="inlineStr">
        <is>
          <t>grounded</t>
        </is>
      </c>
      <c r="AB2285" s="18" t="inlineStr"/>
      <c r="AC2285" s="18" t="inlineStr"/>
      <c r="AD2285" s="18" t="inlineStr"/>
      <c r="AE2285" s="18" t="inlineStr"/>
      <c r="AF2285" s="18" t="inlineStr"/>
      <c r="AG2285" s="18" t="inlineStr"/>
      <c r="AH2285" s="18" t="inlineStr"/>
      <c r="AI2285" s="18" t="inlineStr"/>
      <c r="AJ2285" s="18" t="inlineStr">
        <is>
          <t>COBBLEVERSE 수정</t>
        </is>
      </c>
      <c r="AK2285" s="18" t="inlineStr">
        <is>
          <t>사용</t>
        </is>
      </c>
      <c r="AL2285" s="18" t="inlineStr">
        <is>
          <t>COBBLEVERSE 1.7.42 / DP v31</t>
        </is>
      </c>
      <c r="AM2285" s="18" t="inlineStr">
        <is>
          <t>data/cobblemon/spawn_pool_world/0682_spritzee.json</t>
        </is>
      </c>
      <c r="AN2285" s="18" t="inlineStr">
        <is>
          <t>spritzee-2</t>
        </is>
      </c>
      <c r="AO2285" s="18" t="inlineStr">
        <is>
          <t>pokemon</t>
        </is>
      </c>
      <c r="AP2285" s="18" t="inlineStr">
        <is>
          <t>natural</t>
        </is>
      </c>
      <c r="AQ2285" s="18" t="inlineStr">
        <is>
          <t>{"biomes":["#cobblemon:is_forest"]}</t>
        </is>
      </c>
      <c r="AR2285" s="18" t="inlineStr"/>
      <c r="AS2285" s="18" t="inlineStr"/>
      <c r="AT2285" s="19" t="inlineStr"/>
    </row>
    <row r="2286" ht="32" customHeight="1">
      <c r="A2286" s="18" t="inlineStr">
        <is>
          <t>0683_aromatisse.json::aromatisse-1::001</t>
        </is>
      </c>
      <c r="B2286" s="19" t="inlineStr">
        <is>
          <t>사용</t>
        </is>
      </c>
      <c r="C2286" s="18">
        <f>IF(OR(B2286&lt;&gt;AK2286,M2286&lt;&gt;L2286,O2286&lt;&gt;"",Q2286&lt;&gt;"",V2286&lt;&gt;1,Y2286&lt;&gt;"",AT2286&lt;&gt;""),"수정","원본")</f>
        <v/>
      </c>
      <c r="D2286" s="18" t="n">
        <v>683</v>
      </c>
      <c r="E2286" s="18" t="inlineStr">
        <is>
          <t>프레프티르</t>
        </is>
      </c>
      <c r="F2286" s="18" t="inlineStr">
        <is>
          <t>aromatisse</t>
        </is>
      </c>
      <c r="G2286" s="18" t="inlineStr">
        <is>
          <t>aromatisse</t>
        </is>
      </c>
      <c r="H2286" s="18" t="inlineStr"/>
      <c r="I2286" s="18" t="n">
        <v>6</v>
      </c>
      <c r="J2286" s="18" t="n"/>
      <c r="K2286" s="18" t="n">
        <v>6</v>
      </c>
      <c r="L2286" s="18" t="inlineStr">
        <is>
          <t>cobbleventure:generation_6</t>
        </is>
      </c>
      <c r="M2286" s="19" t="inlineStr">
        <is>
          <t>cobbleventure:generation_6</t>
        </is>
      </c>
      <c r="N2286" s="18" t="inlineStr"/>
      <c r="O2286" s="19" t="inlineStr"/>
      <c r="P2286" s="18" t="inlineStr">
        <is>
          <t>#cobblemon:is_floral</t>
        </is>
      </c>
      <c r="Q2286" s="19" t="inlineStr"/>
      <c r="R2286" s="18">
        <f>IF(Q2286="",P2286,Q2286)</f>
        <v/>
      </c>
      <c r="S2286" s="18" t="inlineStr"/>
      <c r="T2286" s="18" t="inlineStr">
        <is>
          <t>uncommon</t>
        </is>
      </c>
      <c r="U2286" s="20" t="n">
        <v>8.199999999999999</v>
      </c>
      <c r="V2286" s="21" t="n">
        <v>1</v>
      </c>
      <c r="W2286" s="20">
        <f>IF(OR(U2286="",V2286=""),U2286,U2286*V2286)</f>
        <v/>
      </c>
      <c r="X2286" s="18" t="inlineStr">
        <is>
          <t>35-47</t>
        </is>
      </c>
      <c r="Y2286" s="19" t="inlineStr"/>
      <c r="Z2286" s="18">
        <f>IF(Y2286="",X2286,Y2286)</f>
        <v/>
      </c>
      <c r="AA2286" s="18" t="inlineStr">
        <is>
          <t>grounded</t>
        </is>
      </c>
      <c r="AB2286" s="18" t="inlineStr"/>
      <c r="AC2286" s="18" t="inlineStr"/>
      <c r="AD2286" s="18" t="inlineStr"/>
      <c r="AE2286" s="18" t="inlineStr"/>
      <c r="AF2286" s="18" t="inlineStr"/>
      <c r="AG2286" s="18" t="inlineStr"/>
      <c r="AH2286" s="18" t="inlineStr"/>
      <c r="AI2286" s="18" t="inlineStr"/>
      <c r="AJ2286" s="18" t="inlineStr">
        <is>
          <t>COBBLEVERSE 수정</t>
        </is>
      </c>
      <c r="AK2286" s="18" t="inlineStr">
        <is>
          <t>사용</t>
        </is>
      </c>
      <c r="AL2286" s="18" t="inlineStr">
        <is>
          <t>COBBLEVERSE 1.7.42 / DP v31</t>
        </is>
      </c>
      <c r="AM2286" s="18" t="inlineStr">
        <is>
          <t>data/cobblemon/spawn_pool_world/0683_aromatisse.json</t>
        </is>
      </c>
      <c r="AN2286" s="18" t="inlineStr">
        <is>
          <t>aromatisse-1</t>
        </is>
      </c>
      <c r="AO2286" s="18" t="inlineStr">
        <is>
          <t>pokemon</t>
        </is>
      </c>
      <c r="AP2286" s="18" t="inlineStr">
        <is>
          <t>natural</t>
        </is>
      </c>
      <c r="AQ2286" s="18" t="inlineStr">
        <is>
          <t>{"biomes":["#cobblemon:is_floral"]}</t>
        </is>
      </c>
      <c r="AR2286" s="18" t="inlineStr"/>
      <c r="AS2286" s="18" t="inlineStr"/>
      <c r="AT2286" s="19" t="inlineStr"/>
    </row>
    <row r="2287" ht="32" customHeight="1">
      <c r="A2287" s="18" t="inlineStr">
        <is>
          <t>0683_aromatisse.json::aromatisse-2::002</t>
        </is>
      </c>
      <c r="B2287" s="19" t="inlineStr">
        <is>
          <t>사용</t>
        </is>
      </c>
      <c r="C2287" s="18">
        <f>IF(OR(B2287&lt;&gt;AK2287,M2287&lt;&gt;L2287,O2287&lt;&gt;"",Q2287&lt;&gt;"",V2287&lt;&gt;1,Y2287&lt;&gt;"",AT2287&lt;&gt;""),"수정","원본")</f>
        <v/>
      </c>
      <c r="D2287" s="18" t="n">
        <v>683</v>
      </c>
      <c r="E2287" s="18" t="inlineStr">
        <is>
          <t>프레프티르</t>
        </is>
      </c>
      <c r="F2287" s="18" t="inlineStr">
        <is>
          <t>aromatisse</t>
        </is>
      </c>
      <c r="G2287" s="18" t="inlineStr">
        <is>
          <t>aromatisse</t>
        </is>
      </c>
      <c r="H2287" s="18" t="inlineStr"/>
      <c r="I2287" s="18" t="n">
        <v>6</v>
      </c>
      <c r="J2287" s="18" t="n"/>
      <c r="K2287" s="18" t="n">
        <v>6</v>
      </c>
      <c r="L2287" s="18" t="inlineStr">
        <is>
          <t>cobbleventure:generation_6</t>
        </is>
      </c>
      <c r="M2287" s="19" t="inlineStr">
        <is>
          <t>cobbleventure:generation_6</t>
        </is>
      </c>
      <c r="N2287" s="18" t="inlineStr">
        <is>
          <t>region_01</t>
        </is>
      </c>
      <c r="O2287" s="19" t="inlineStr"/>
      <c r="P2287" s="18" t="inlineStr">
        <is>
          <t>#cobblemon:is_forest</t>
        </is>
      </c>
      <c r="Q2287" s="19" t="inlineStr"/>
      <c r="R2287" s="18">
        <f>IF(Q2287="",P2287,Q2287)</f>
        <v/>
      </c>
      <c r="S2287" s="18" t="inlineStr"/>
      <c r="T2287" s="18" t="inlineStr">
        <is>
          <t>uncommon</t>
        </is>
      </c>
      <c r="U2287" s="20" t="n">
        <v>3.4</v>
      </c>
      <c r="V2287" s="21" t="n">
        <v>1</v>
      </c>
      <c r="W2287" s="20">
        <f>IF(OR(U2287="",V2287=""),U2287,U2287*V2287)</f>
        <v/>
      </c>
      <c r="X2287" s="18" t="inlineStr">
        <is>
          <t>36-48</t>
        </is>
      </c>
      <c r="Y2287" s="19" t="inlineStr"/>
      <c r="Z2287" s="18">
        <f>IF(Y2287="",X2287,Y2287)</f>
        <v/>
      </c>
      <c r="AA2287" s="18" t="inlineStr">
        <is>
          <t>grounded</t>
        </is>
      </c>
      <c r="AB2287" s="18" t="inlineStr"/>
      <c r="AC2287" s="18" t="inlineStr"/>
      <c r="AD2287" s="18" t="inlineStr"/>
      <c r="AE2287" s="18" t="inlineStr"/>
      <c r="AF2287" s="18" t="inlineStr"/>
      <c r="AG2287" s="18" t="inlineStr"/>
      <c r="AH2287" s="18" t="inlineStr"/>
      <c r="AI2287" s="18" t="inlineStr"/>
      <c r="AJ2287" s="18" t="inlineStr">
        <is>
          <t>COBBLEVERSE 수정</t>
        </is>
      </c>
      <c r="AK2287" s="18" t="inlineStr">
        <is>
          <t>사용</t>
        </is>
      </c>
      <c r="AL2287" s="18" t="inlineStr">
        <is>
          <t>COBBLEVERSE 1.7.42 / DP v31</t>
        </is>
      </c>
      <c r="AM2287" s="18" t="inlineStr">
        <is>
          <t>data/cobblemon/spawn_pool_world/0683_aromatisse.json</t>
        </is>
      </c>
      <c r="AN2287" s="18" t="inlineStr">
        <is>
          <t>aromatisse-2</t>
        </is>
      </c>
      <c r="AO2287" s="18" t="inlineStr">
        <is>
          <t>pokemon</t>
        </is>
      </c>
      <c r="AP2287" s="18" t="inlineStr">
        <is>
          <t>natural</t>
        </is>
      </c>
      <c r="AQ2287" s="18" t="inlineStr">
        <is>
          <t>{"biomes":["#cobblemon:is_forest"]}</t>
        </is>
      </c>
      <c r="AR2287" s="18" t="inlineStr"/>
      <c r="AS2287" s="18" t="inlineStr"/>
      <c r="AT2287" s="19" t="inlineStr"/>
    </row>
    <row r="2288" ht="32" customHeight="1">
      <c r="A2288" s="18" t="inlineStr">
        <is>
          <t>0684_swirlix.json::swirlix-1::001</t>
        </is>
      </c>
      <c r="B2288" s="19" t="inlineStr">
        <is>
          <t>사용</t>
        </is>
      </c>
      <c r="C2288" s="18">
        <f>IF(OR(B2288&lt;&gt;AK2288,M2288&lt;&gt;L2288,O2288&lt;&gt;"",Q2288&lt;&gt;"",V2288&lt;&gt;1,Y2288&lt;&gt;"",AT2288&lt;&gt;""),"수정","원본")</f>
        <v/>
      </c>
      <c r="D2288" s="18" t="n">
        <v>684</v>
      </c>
      <c r="E2288" s="18" t="inlineStr">
        <is>
          <t>나룸퍼프</t>
        </is>
      </c>
      <c r="F2288" s="18" t="inlineStr">
        <is>
          <t>swirlix</t>
        </is>
      </c>
      <c r="G2288" s="18" t="inlineStr">
        <is>
          <t>swirlix</t>
        </is>
      </c>
      <c r="H2288" s="18" t="inlineStr"/>
      <c r="I2288" s="18" t="n">
        <v>6</v>
      </c>
      <c r="J2288" s="18" t="n"/>
      <c r="K2288" s="18" t="n">
        <v>6</v>
      </c>
      <c r="L2288" s="18" t="inlineStr">
        <is>
          <t>cobbleventure:generation_6</t>
        </is>
      </c>
      <c r="M2288" s="19" t="inlineStr">
        <is>
          <t>cobbleventure:generation_6</t>
        </is>
      </c>
      <c r="N2288" s="18" t="inlineStr"/>
      <c r="O2288" s="19" t="inlineStr"/>
      <c r="P2288" s="18" t="inlineStr">
        <is>
          <t>minecraft:cherry_grove; minecraft:flower_forest</t>
        </is>
      </c>
      <c r="Q2288" s="19" t="inlineStr"/>
      <c r="R2288" s="18">
        <f>IF(Q2288="",P2288,Q2288)</f>
        <v/>
      </c>
      <c r="S2288" s="18" t="inlineStr"/>
      <c r="T2288" s="18" t="inlineStr">
        <is>
          <t>common</t>
        </is>
      </c>
      <c r="U2288" s="20" t="n">
        <v>6</v>
      </c>
      <c r="V2288" s="21" t="n">
        <v>1</v>
      </c>
      <c r="W2288" s="20">
        <f>IF(OR(U2288="",V2288=""),U2288,U2288*V2288)</f>
        <v/>
      </c>
      <c r="X2288" s="18" t="inlineStr">
        <is>
          <t>10-35</t>
        </is>
      </c>
      <c r="Y2288" s="19" t="inlineStr"/>
      <c r="Z2288" s="18">
        <f>IF(Y2288="",X2288,Y2288)</f>
        <v/>
      </c>
      <c r="AA2288" s="18" t="inlineStr">
        <is>
          <t>grounded</t>
        </is>
      </c>
      <c r="AB2288" s="18" t="inlineStr"/>
      <c r="AC2288" s="18" t="inlineStr"/>
      <c r="AD2288" s="18" t="inlineStr"/>
      <c r="AE2288" s="18" t="inlineStr">
        <is>
          <t>sky 8-15</t>
        </is>
      </c>
      <c r="AF2288" s="18" t="inlineStr"/>
      <c r="AG2288" s="18" t="inlineStr"/>
      <c r="AH2288" s="18" t="inlineStr"/>
      <c r="AI2288" s="18" t="inlineStr"/>
      <c r="AJ2288" s="18" t="inlineStr">
        <is>
          <t>COBBLEVERSE 수정</t>
        </is>
      </c>
      <c r="AK2288" s="18" t="inlineStr">
        <is>
          <t>사용</t>
        </is>
      </c>
      <c r="AL2288" s="18" t="inlineStr">
        <is>
          <t>COBBLEVERSE 1.7.42 / DP v31</t>
        </is>
      </c>
      <c r="AM2288" s="18" t="inlineStr">
        <is>
          <t>data/cobblemon/spawn_pool_world/0684_swirlix.json</t>
        </is>
      </c>
      <c r="AN2288" s="18" t="inlineStr">
        <is>
          <t>swirlix-1</t>
        </is>
      </c>
      <c r="AO2288" s="18" t="inlineStr">
        <is>
          <t>pokemon</t>
        </is>
      </c>
      <c r="AP2288" s="18" t="inlineStr">
        <is>
          <t>natural; wild</t>
        </is>
      </c>
      <c r="AQ2288" s="18" t="inlineStr">
        <is>
          <t>{"biomes":["minecraft:cherry_grove","minecraft:flower_forest"],"maxSkyLight":15,"minSkyLight":8}</t>
        </is>
      </c>
      <c r="AR2288" s="18" t="inlineStr"/>
      <c r="AS2288" s="18" t="inlineStr"/>
      <c r="AT2288" s="19" t="inlineStr"/>
    </row>
    <row r="2289" ht="32" customHeight="1">
      <c r="A2289" s="18" t="inlineStr">
        <is>
          <t>0685_slurpuff.json::slurpuff-1::001</t>
        </is>
      </c>
      <c r="B2289" s="19" t="inlineStr">
        <is>
          <t>사용</t>
        </is>
      </c>
      <c r="C2289" s="18">
        <f>IF(OR(B2289&lt;&gt;AK2289,M2289&lt;&gt;L2289,O2289&lt;&gt;"",Q2289&lt;&gt;"",V2289&lt;&gt;1,Y2289&lt;&gt;"",AT2289&lt;&gt;""),"수정","원본")</f>
        <v/>
      </c>
      <c r="D2289" s="18" t="n">
        <v>685</v>
      </c>
      <c r="E2289" s="18" t="inlineStr">
        <is>
          <t>나루림</t>
        </is>
      </c>
      <c r="F2289" s="18" t="inlineStr">
        <is>
          <t>slurpuff</t>
        </is>
      </c>
      <c r="G2289" s="18" t="inlineStr">
        <is>
          <t>slurpuff</t>
        </is>
      </c>
      <c r="H2289" s="18" t="inlineStr"/>
      <c r="I2289" s="18" t="n">
        <v>6</v>
      </c>
      <c r="J2289" s="18" t="n"/>
      <c r="K2289" s="18" t="n">
        <v>6</v>
      </c>
      <c r="L2289" s="18" t="inlineStr">
        <is>
          <t>cobbleventure:generation_6</t>
        </is>
      </c>
      <c r="M2289" s="19" t="inlineStr">
        <is>
          <t>cobbleventure:generation_6</t>
        </is>
      </c>
      <c r="N2289" s="18" t="inlineStr"/>
      <c r="O2289" s="19" t="inlineStr"/>
      <c r="P2289" s="18" t="inlineStr">
        <is>
          <t>minecraft:cherry_grove; minecraft:flower_forest</t>
        </is>
      </c>
      <c r="Q2289" s="19" t="inlineStr"/>
      <c r="R2289" s="18">
        <f>IF(Q2289="",P2289,Q2289)</f>
        <v/>
      </c>
      <c r="S2289" s="18" t="inlineStr"/>
      <c r="T2289" s="18" t="inlineStr">
        <is>
          <t>rare</t>
        </is>
      </c>
      <c r="U2289" s="20" t="n">
        <v>2</v>
      </c>
      <c r="V2289" s="21" t="n">
        <v>1</v>
      </c>
      <c r="W2289" s="20">
        <f>IF(OR(U2289="",V2289=""),U2289,U2289*V2289)</f>
        <v/>
      </c>
      <c r="X2289" s="18" t="inlineStr">
        <is>
          <t>35-45</t>
        </is>
      </c>
      <c r="Y2289" s="19" t="inlineStr"/>
      <c r="Z2289" s="18">
        <f>IF(Y2289="",X2289,Y2289)</f>
        <v/>
      </c>
      <c r="AA2289" s="18" t="inlineStr">
        <is>
          <t>grounded</t>
        </is>
      </c>
      <c r="AB2289" s="18" t="inlineStr"/>
      <c r="AC2289" s="18" t="inlineStr"/>
      <c r="AD2289" s="18" t="inlineStr"/>
      <c r="AE2289" s="18" t="inlineStr">
        <is>
          <t>sky 8-15</t>
        </is>
      </c>
      <c r="AF2289" s="18" t="inlineStr"/>
      <c r="AG2289" s="18" t="inlineStr"/>
      <c r="AH2289" s="18" t="inlineStr"/>
      <c r="AI2289" s="18" t="inlineStr"/>
      <c r="AJ2289" s="18" t="inlineStr">
        <is>
          <t>COBBLEVERSE 수정</t>
        </is>
      </c>
      <c r="AK2289" s="18" t="inlineStr">
        <is>
          <t>사용</t>
        </is>
      </c>
      <c r="AL2289" s="18" t="inlineStr">
        <is>
          <t>COBBLEVERSE 1.7.42 / DP v31</t>
        </is>
      </c>
      <c r="AM2289" s="18" t="inlineStr">
        <is>
          <t>data/cobblemon/spawn_pool_world/0685_slurpuff.json</t>
        </is>
      </c>
      <c r="AN2289" s="18" t="inlineStr">
        <is>
          <t>slurpuff-1</t>
        </is>
      </c>
      <c r="AO2289" s="18" t="inlineStr">
        <is>
          <t>pokemon</t>
        </is>
      </c>
      <c r="AP2289" s="18" t="inlineStr">
        <is>
          <t>natural; wild</t>
        </is>
      </c>
      <c r="AQ2289" s="18" t="inlineStr">
        <is>
          <t>{"biomes":["minecraft:cherry_grove","minecraft:flower_forest"],"maxSkyLight":15,"minSkyLight":8}</t>
        </is>
      </c>
      <c r="AR2289" s="18" t="inlineStr"/>
      <c r="AS2289" s="18" t="inlineStr"/>
      <c r="AT2289" s="19" t="inlineStr"/>
    </row>
    <row r="2290" ht="32" customHeight="1">
      <c r="A2290" s="18" t="inlineStr">
        <is>
          <t>0686_inkay.json::inkay-6::001</t>
        </is>
      </c>
      <c r="B2290" s="19" t="inlineStr">
        <is>
          <t>사용</t>
        </is>
      </c>
      <c r="C2290" s="18">
        <f>IF(OR(B2290&lt;&gt;AK2290,M2290&lt;&gt;L2290,O2290&lt;&gt;"",Q2290&lt;&gt;"",V2290&lt;&gt;1,Y2290&lt;&gt;"",AT2290&lt;&gt;""),"수정","원본")</f>
        <v/>
      </c>
      <c r="D2290" s="18" t="n">
        <v>686</v>
      </c>
      <c r="E2290" s="18" t="inlineStr">
        <is>
          <t>오케이징</t>
        </is>
      </c>
      <c r="F2290" s="18" t="inlineStr">
        <is>
          <t>inkay</t>
        </is>
      </c>
      <c r="G2290" s="18" t="inlineStr">
        <is>
          <t>inkay</t>
        </is>
      </c>
      <c r="H2290" s="18" t="inlineStr"/>
      <c r="I2290" s="18" t="n">
        <v>6</v>
      </c>
      <c r="J2290" s="18" t="n"/>
      <c r="K2290" s="18" t="n">
        <v>6</v>
      </c>
      <c r="L2290" s="18" t="inlineStr">
        <is>
          <t>cobbleventure:generation_6</t>
        </is>
      </c>
      <c r="M2290" s="19" t="inlineStr">
        <is>
          <t>cobbleventure:generation_6</t>
        </is>
      </c>
      <c r="N2290" s="18" t="inlineStr"/>
      <c r="O2290" s="19" t="inlineStr"/>
      <c r="P2290" s="18" t="inlineStr">
        <is>
          <t>#cobblemon:is_coast; #cobblemon:is_ocean</t>
        </is>
      </c>
      <c r="Q2290" s="19" t="inlineStr"/>
      <c r="R2290" s="18">
        <f>IF(Q2290="",P2290,Q2290)</f>
        <v/>
      </c>
      <c r="S2290" s="18" t="inlineStr">
        <is>
          <t>#cobblemon:is_beach</t>
        </is>
      </c>
      <c r="T2290" s="18" t="inlineStr">
        <is>
          <t>uncommon</t>
        </is>
      </c>
      <c r="U2290" s="20" t="n">
        <v>5.04</v>
      </c>
      <c r="V2290" s="21" t="n">
        <v>1</v>
      </c>
      <c r="W2290" s="20">
        <f>IF(OR(U2290="",V2290=""),U2290,U2290*V2290)</f>
        <v/>
      </c>
      <c r="X2290" s="18" t="inlineStr">
        <is>
          <t>4-29</t>
        </is>
      </c>
      <c r="Y2290" s="19" t="inlineStr"/>
      <c r="Z2290" s="18">
        <f>IF(Y2290="",X2290,Y2290)</f>
        <v/>
      </c>
      <c r="AA2290" s="18" t="inlineStr">
        <is>
          <t>fishing</t>
        </is>
      </c>
      <c r="AB2290" s="18" t="inlineStr"/>
      <c r="AC2290" s="18" t="inlineStr"/>
      <c r="AD2290" s="18" t="inlineStr"/>
      <c r="AE2290" s="18" t="inlineStr"/>
      <c r="AF2290" s="18" t="inlineStr">
        <is>
          <t>True</t>
        </is>
      </c>
      <c r="AG2290" s="18" t="inlineStr"/>
      <c r="AH2290" s="18" t="inlineStr"/>
      <c r="AI2290" s="18" t="inlineStr"/>
      <c r="AJ2290" s="18" t="inlineStr">
        <is>
          <t>COBBLEVERSE 수정</t>
        </is>
      </c>
      <c r="AK2290" s="18" t="inlineStr">
        <is>
          <t>사용</t>
        </is>
      </c>
      <c r="AL2290" s="18" t="inlineStr">
        <is>
          <t>COBBLEVERSE 1.7.42 / DP v31</t>
        </is>
      </c>
      <c r="AM2290" s="18" t="inlineStr">
        <is>
          <t>data/cobblemon/spawn_pool_world/0686_inkay.json</t>
        </is>
      </c>
      <c r="AN2290" s="18" t="inlineStr">
        <is>
          <t>inkay-6</t>
        </is>
      </c>
      <c r="AO2290" s="18" t="inlineStr">
        <is>
          <t>pokemon</t>
        </is>
      </c>
      <c r="AP2290" s="18" t="inlineStr"/>
      <c r="AQ2290" s="18" t="inlineStr">
        <is>
          <t>{"biomes":["#cobblemon:is_coast","#cobblemon:is_ocean"],"canSeeSky":true}</t>
        </is>
      </c>
      <c r="AR2290" s="18" t="inlineStr">
        <is>
          <t>{"biomes":["#cobblemon:is_beach"],"minLureLevel":1}</t>
        </is>
      </c>
      <c r="AS2290" s="18" t="inlineStr"/>
      <c r="AT2290" s="19" t="inlineStr"/>
    </row>
    <row r="2291" ht="32" customHeight="1">
      <c r="A2291" s="18" t="inlineStr">
        <is>
          <t>0686_inkay.json::inkay-7::002</t>
        </is>
      </c>
      <c r="B2291" s="19" t="inlineStr">
        <is>
          <t>사용</t>
        </is>
      </c>
      <c r="C2291" s="18">
        <f>IF(OR(B2291&lt;&gt;AK2291,M2291&lt;&gt;L2291,O2291&lt;&gt;"",Q2291&lt;&gt;"",V2291&lt;&gt;1,Y2291&lt;&gt;"",AT2291&lt;&gt;""),"수정","원본")</f>
        <v/>
      </c>
      <c r="D2291" s="18" t="n">
        <v>686</v>
      </c>
      <c r="E2291" s="18" t="inlineStr">
        <is>
          <t>오케이징</t>
        </is>
      </c>
      <c r="F2291" s="18" t="inlineStr">
        <is>
          <t>inkay</t>
        </is>
      </c>
      <c r="G2291" s="18" t="inlineStr">
        <is>
          <t>inkay</t>
        </is>
      </c>
      <c r="H2291" s="18" t="inlineStr"/>
      <c r="I2291" s="18" t="n">
        <v>6</v>
      </c>
      <c r="J2291" s="18" t="n"/>
      <c r="K2291" s="18" t="n">
        <v>6</v>
      </c>
      <c r="L2291" s="18" t="inlineStr">
        <is>
          <t>cobbleventure:generation_6</t>
        </is>
      </c>
      <c r="M2291" s="19" t="inlineStr">
        <is>
          <t>cobbleventure:generation_6</t>
        </is>
      </c>
      <c r="N2291" s="18" t="inlineStr"/>
      <c r="O2291" s="19" t="inlineStr"/>
      <c r="P2291" s="18" t="inlineStr">
        <is>
          <t>#cobblemon:is_coast; #cobblemon:is_ocean</t>
        </is>
      </c>
      <c r="Q2291" s="19" t="inlineStr"/>
      <c r="R2291" s="18">
        <f>IF(Q2291="",P2291,Q2291)</f>
        <v/>
      </c>
      <c r="S2291" s="18" t="inlineStr">
        <is>
          <t>#cobblemon:is_beach</t>
        </is>
      </c>
      <c r="T2291" s="18" t="inlineStr">
        <is>
          <t>common</t>
        </is>
      </c>
      <c r="U2291" s="20" t="n">
        <v>1.8</v>
      </c>
      <c r="V2291" s="21" t="n">
        <v>1</v>
      </c>
      <c r="W2291" s="20">
        <f>IF(OR(U2291="",V2291=""),U2291,U2291*V2291)</f>
        <v/>
      </c>
      <c r="X2291" s="18" t="inlineStr">
        <is>
          <t>4-29</t>
        </is>
      </c>
      <c r="Y2291" s="19" t="inlineStr"/>
      <c r="Z2291" s="18">
        <f>IF(Y2291="",X2291,Y2291)</f>
        <v/>
      </c>
      <c r="AA2291" s="18" t="inlineStr">
        <is>
          <t>fishing</t>
        </is>
      </c>
      <c r="AB2291" s="18" t="inlineStr"/>
      <c r="AC2291" s="18" t="inlineStr"/>
      <c r="AD2291" s="18" t="inlineStr"/>
      <c r="AE2291" s="18" t="inlineStr"/>
      <c r="AF2291" s="18" t="inlineStr">
        <is>
          <t>True</t>
        </is>
      </c>
      <c r="AG2291" s="18" t="inlineStr"/>
      <c r="AH2291" s="18" t="inlineStr"/>
      <c r="AI2291" s="18" t="inlineStr">
        <is>
          <t>{"fishing":{"minLureLevel":1}}</t>
        </is>
      </c>
      <c r="AJ2291" s="18" t="inlineStr">
        <is>
          <t>COBBLEVERSE 수정</t>
        </is>
      </c>
      <c r="AK2291" s="18" t="inlineStr">
        <is>
          <t>사용</t>
        </is>
      </c>
      <c r="AL2291" s="18" t="inlineStr">
        <is>
          <t>COBBLEVERSE 1.7.42 / DP v31</t>
        </is>
      </c>
      <c r="AM2291" s="18" t="inlineStr">
        <is>
          <t>data/cobblemon/spawn_pool_world/0686_inkay.json</t>
        </is>
      </c>
      <c r="AN2291" s="18" t="inlineStr">
        <is>
          <t>inkay-7</t>
        </is>
      </c>
      <c r="AO2291" s="18" t="inlineStr">
        <is>
          <t>pokemon</t>
        </is>
      </c>
      <c r="AP2291" s="18" t="inlineStr"/>
      <c r="AQ2291" s="18" t="inlineStr">
        <is>
          <t>{"biomes":["#cobblemon:is_coast","#cobblemon:is_ocean"],"canSeeSky":true,"minLureLevel":1}</t>
        </is>
      </c>
      <c r="AR2291" s="18" t="inlineStr">
        <is>
          <t>{"biomes":["#cobblemon:is_beach"]}</t>
        </is>
      </c>
      <c r="AS2291" s="18" t="inlineStr">
        <is>
          <t>{"weightMultiplier":{"condition":{"minLureLevel":3},"multiplier":3.0}}</t>
        </is>
      </c>
      <c r="AT2291" s="19" t="inlineStr"/>
    </row>
    <row r="2292" ht="32" customHeight="1">
      <c r="A2292" s="18" t="inlineStr">
        <is>
          <t>0686_inkay.json::inkay-8::003</t>
        </is>
      </c>
      <c r="B2292" s="19" t="inlineStr">
        <is>
          <t>사용</t>
        </is>
      </c>
      <c r="C2292" s="18">
        <f>IF(OR(B2292&lt;&gt;AK2292,M2292&lt;&gt;L2292,O2292&lt;&gt;"",Q2292&lt;&gt;"",V2292&lt;&gt;1,Y2292&lt;&gt;"",AT2292&lt;&gt;""),"수정","원본")</f>
        <v/>
      </c>
      <c r="D2292" s="18" t="n">
        <v>686</v>
      </c>
      <c r="E2292" s="18" t="inlineStr">
        <is>
          <t>오케이징</t>
        </is>
      </c>
      <c r="F2292" s="18" t="inlineStr">
        <is>
          <t>inkay</t>
        </is>
      </c>
      <c r="G2292" s="18" t="inlineStr">
        <is>
          <t>inkay</t>
        </is>
      </c>
      <c r="H2292" s="18" t="inlineStr"/>
      <c r="I2292" s="18" t="n">
        <v>6</v>
      </c>
      <c r="J2292" s="18" t="n"/>
      <c r="K2292" s="18" t="n">
        <v>6</v>
      </c>
      <c r="L2292" s="18" t="inlineStr">
        <is>
          <t>cobbleventure:generation_6</t>
        </is>
      </c>
      <c r="M2292" s="19" t="inlineStr">
        <is>
          <t>cobbleventure:generation_6</t>
        </is>
      </c>
      <c r="N2292" s="18" t="inlineStr"/>
      <c r="O2292" s="19" t="inlineStr"/>
      <c r="P2292" s="18" t="inlineStr">
        <is>
          <t>#cobblemon:is_coast; #cobblemon:is_ocean</t>
        </is>
      </c>
      <c r="Q2292" s="19" t="inlineStr"/>
      <c r="R2292" s="18">
        <f>IF(Q2292="",P2292,Q2292)</f>
        <v/>
      </c>
      <c r="S2292" s="18" t="inlineStr">
        <is>
          <t>#cobblemon:is_beach</t>
        </is>
      </c>
      <c r="T2292" s="18" t="inlineStr">
        <is>
          <t>uncommon</t>
        </is>
      </c>
      <c r="U2292" s="20" t="n">
        <v>5.04</v>
      </c>
      <c r="V2292" s="21" t="n">
        <v>1</v>
      </c>
      <c r="W2292" s="20">
        <f>IF(OR(U2292="",V2292=""),U2292,U2292*V2292)</f>
        <v/>
      </c>
      <c r="X2292" s="18" t="inlineStr">
        <is>
          <t>4-29</t>
        </is>
      </c>
      <c r="Y2292" s="19" t="inlineStr"/>
      <c r="Z2292" s="18">
        <f>IF(Y2292="",X2292,Y2292)</f>
        <v/>
      </c>
      <c r="AA2292" s="18" t="inlineStr">
        <is>
          <t>fishing</t>
        </is>
      </c>
      <c r="AB2292" s="18" t="inlineStr"/>
      <c r="AC2292" s="18" t="inlineStr"/>
      <c r="AD2292" s="18" t="inlineStr"/>
      <c r="AE2292" s="18" t="inlineStr">
        <is>
          <t>sky 8-15</t>
        </is>
      </c>
      <c r="AF2292" s="18" t="inlineStr">
        <is>
          <t>False</t>
        </is>
      </c>
      <c r="AG2292" s="18" t="inlineStr"/>
      <c r="AH2292" s="18" t="inlineStr"/>
      <c r="AI2292" s="18" t="inlineStr"/>
      <c r="AJ2292" s="18" t="inlineStr">
        <is>
          <t>COBBLEVERSE 수정</t>
        </is>
      </c>
      <c r="AK2292" s="18" t="inlineStr">
        <is>
          <t>사용</t>
        </is>
      </c>
      <c r="AL2292" s="18" t="inlineStr">
        <is>
          <t>COBBLEVERSE 1.7.42 / DP v31</t>
        </is>
      </c>
      <c r="AM2292" s="18" t="inlineStr">
        <is>
          <t>data/cobblemon/spawn_pool_world/0686_inkay.json</t>
        </is>
      </c>
      <c r="AN2292" s="18" t="inlineStr">
        <is>
          <t>inkay-8</t>
        </is>
      </c>
      <c r="AO2292" s="18" t="inlineStr">
        <is>
          <t>pokemon</t>
        </is>
      </c>
      <c r="AP2292" s="18" t="inlineStr"/>
      <c r="AQ2292" s="18" t="inlineStr">
        <is>
          <t>{"biomes":["#cobblemon:is_coast","#cobblemon:is_ocean"],"canSeeSky":false,"maxSkyLight":15,"minSkyLight":8}</t>
        </is>
      </c>
      <c r="AR2292" s="18" t="inlineStr">
        <is>
          <t>{"biomes":["#cobblemon:is_beach"],"minLureLevel":1}</t>
        </is>
      </c>
      <c r="AS2292" s="18" t="inlineStr"/>
      <c r="AT2292" s="19" t="inlineStr"/>
    </row>
    <row r="2293" ht="32" customHeight="1">
      <c r="A2293" s="18" t="inlineStr">
        <is>
          <t>0686_inkay.json::inkay-9::004</t>
        </is>
      </c>
      <c r="B2293" s="19" t="inlineStr">
        <is>
          <t>사용</t>
        </is>
      </c>
      <c r="C2293" s="18">
        <f>IF(OR(B2293&lt;&gt;AK2293,M2293&lt;&gt;L2293,O2293&lt;&gt;"",Q2293&lt;&gt;"",V2293&lt;&gt;1,Y2293&lt;&gt;"",AT2293&lt;&gt;""),"수정","원본")</f>
        <v/>
      </c>
      <c r="D2293" s="18" t="n">
        <v>686</v>
      </c>
      <c r="E2293" s="18" t="inlineStr">
        <is>
          <t>오케이징</t>
        </is>
      </c>
      <c r="F2293" s="18" t="inlineStr">
        <is>
          <t>inkay</t>
        </is>
      </c>
      <c r="G2293" s="18" t="inlineStr">
        <is>
          <t>inkay</t>
        </is>
      </c>
      <c r="H2293" s="18" t="inlineStr"/>
      <c r="I2293" s="18" t="n">
        <v>6</v>
      </c>
      <c r="J2293" s="18" t="n"/>
      <c r="K2293" s="18" t="n">
        <v>6</v>
      </c>
      <c r="L2293" s="18" t="inlineStr">
        <is>
          <t>cobbleventure:generation_6</t>
        </is>
      </c>
      <c r="M2293" s="19" t="inlineStr">
        <is>
          <t>cobbleventure:generation_6</t>
        </is>
      </c>
      <c r="N2293" s="18" t="inlineStr"/>
      <c r="O2293" s="19" t="inlineStr"/>
      <c r="P2293" s="18" t="inlineStr">
        <is>
          <t>#cobblemon:is_coast; #cobblemon:is_ocean</t>
        </is>
      </c>
      <c r="Q2293" s="19" t="inlineStr"/>
      <c r="R2293" s="18">
        <f>IF(Q2293="",P2293,Q2293)</f>
        <v/>
      </c>
      <c r="S2293" s="18" t="inlineStr">
        <is>
          <t>#cobblemon:is_beach</t>
        </is>
      </c>
      <c r="T2293" s="18" t="inlineStr">
        <is>
          <t>common</t>
        </is>
      </c>
      <c r="U2293" s="20" t="n">
        <v>1.8</v>
      </c>
      <c r="V2293" s="21" t="n">
        <v>1</v>
      </c>
      <c r="W2293" s="20">
        <f>IF(OR(U2293="",V2293=""),U2293,U2293*V2293)</f>
        <v/>
      </c>
      <c r="X2293" s="18" t="inlineStr">
        <is>
          <t>4-29</t>
        </is>
      </c>
      <c r="Y2293" s="19" t="inlineStr"/>
      <c r="Z2293" s="18">
        <f>IF(Y2293="",X2293,Y2293)</f>
        <v/>
      </c>
      <c r="AA2293" s="18" t="inlineStr">
        <is>
          <t>fishing</t>
        </is>
      </c>
      <c r="AB2293" s="18" t="inlineStr"/>
      <c r="AC2293" s="18" t="inlineStr"/>
      <c r="AD2293" s="18" t="inlineStr"/>
      <c r="AE2293" s="18" t="inlineStr">
        <is>
          <t>sky 8-15</t>
        </is>
      </c>
      <c r="AF2293" s="18" t="inlineStr">
        <is>
          <t>False</t>
        </is>
      </c>
      <c r="AG2293" s="18" t="inlineStr"/>
      <c r="AH2293" s="18" t="inlineStr"/>
      <c r="AI2293" s="18" t="inlineStr">
        <is>
          <t>{"fishing":{"minLureLevel":1}}</t>
        </is>
      </c>
      <c r="AJ2293" s="18" t="inlineStr">
        <is>
          <t>COBBLEVERSE 수정</t>
        </is>
      </c>
      <c r="AK2293" s="18" t="inlineStr">
        <is>
          <t>사용</t>
        </is>
      </c>
      <c r="AL2293" s="18" t="inlineStr">
        <is>
          <t>COBBLEVERSE 1.7.42 / DP v31</t>
        </is>
      </c>
      <c r="AM2293" s="18" t="inlineStr">
        <is>
          <t>data/cobblemon/spawn_pool_world/0686_inkay.json</t>
        </is>
      </c>
      <c r="AN2293" s="18" t="inlineStr">
        <is>
          <t>inkay-9</t>
        </is>
      </c>
      <c r="AO2293" s="18" t="inlineStr">
        <is>
          <t>pokemon</t>
        </is>
      </c>
      <c r="AP2293" s="18" t="inlineStr"/>
      <c r="AQ2293" s="18" t="inlineStr">
        <is>
          <t>{"biomes":["#cobblemon:is_coast","#cobblemon:is_ocean"],"canSeeSky":false,"maxSkyLight":15,"minLureLevel":1,"minSkyLight":8}</t>
        </is>
      </c>
      <c r="AR2293" s="18" t="inlineStr">
        <is>
          <t>{"biomes":["#cobblemon:is_beach"]}</t>
        </is>
      </c>
      <c r="AS2293" s="18" t="inlineStr">
        <is>
          <t>{"weightMultiplier":{"condition":{"minLureLevel":3},"multiplier":3.0}}</t>
        </is>
      </c>
      <c r="AT2293" s="19" t="inlineStr"/>
    </row>
    <row r="2294" ht="32" customHeight="1">
      <c r="A2294" s="18" t="inlineStr">
        <is>
          <t>0686_inkay.json::inkay-1::005</t>
        </is>
      </c>
      <c r="B2294" s="19" t="inlineStr">
        <is>
          <t>사용</t>
        </is>
      </c>
      <c r="C2294" s="18">
        <f>IF(OR(B2294&lt;&gt;AK2294,M2294&lt;&gt;L2294,O2294&lt;&gt;"",Q2294&lt;&gt;"",V2294&lt;&gt;1,Y2294&lt;&gt;"",AT2294&lt;&gt;""),"수정","원본")</f>
        <v/>
      </c>
      <c r="D2294" s="18" t="n">
        <v>686</v>
      </c>
      <c r="E2294" s="18" t="inlineStr">
        <is>
          <t>오케이징</t>
        </is>
      </c>
      <c r="F2294" s="18" t="inlineStr">
        <is>
          <t>inkay</t>
        </is>
      </c>
      <c r="G2294" s="18" t="inlineStr">
        <is>
          <t>inkay</t>
        </is>
      </c>
      <c r="H2294" s="18" t="inlineStr"/>
      <c r="I2294" s="18" t="n">
        <v>6</v>
      </c>
      <c r="J2294" s="18" t="n"/>
      <c r="K2294" s="18" t="n">
        <v>6</v>
      </c>
      <c r="L2294" s="18" t="inlineStr">
        <is>
          <t>cobbleventure:generation_6</t>
        </is>
      </c>
      <c r="M2294" s="19" t="inlineStr">
        <is>
          <t>cobbleventure:generation_6</t>
        </is>
      </c>
      <c r="N2294" s="18" t="inlineStr"/>
      <c r="O2294" s="19" t="inlineStr"/>
      <c r="P2294" s="18" t="inlineStr">
        <is>
          <t>#cobblemon:is_coast; #cobblemon:is_ocean</t>
        </is>
      </c>
      <c r="Q2294" s="19" t="inlineStr"/>
      <c r="R2294" s="18">
        <f>IF(Q2294="",P2294,Q2294)</f>
        <v/>
      </c>
      <c r="S2294" s="18" t="inlineStr">
        <is>
          <t>#cobblemon:is_beach</t>
        </is>
      </c>
      <c r="T2294" s="18" t="inlineStr">
        <is>
          <t>uncommon</t>
        </is>
      </c>
      <c r="U2294" s="20" t="n">
        <v>1.68</v>
      </c>
      <c r="V2294" s="21" t="n">
        <v>1</v>
      </c>
      <c r="W2294" s="20">
        <f>IF(OR(U2294="",V2294=""),U2294,U2294*V2294)</f>
        <v/>
      </c>
      <c r="X2294" s="18" t="inlineStr">
        <is>
          <t>4-29</t>
        </is>
      </c>
      <c r="Y2294" s="19" t="inlineStr"/>
      <c r="Z2294" s="18">
        <f>IF(Y2294="",X2294,Y2294)</f>
        <v/>
      </c>
      <c r="AA2294" s="18" t="inlineStr">
        <is>
          <t>grounded</t>
        </is>
      </c>
      <c r="AB2294" s="18" t="inlineStr"/>
      <c r="AC2294" s="18" t="inlineStr"/>
      <c r="AD2294" s="18" t="inlineStr"/>
      <c r="AE2294" s="18" t="inlineStr">
        <is>
          <t>sky 8-15</t>
        </is>
      </c>
      <c r="AF2294" s="18" t="inlineStr"/>
      <c r="AG2294" s="18" t="inlineStr"/>
      <c r="AH2294" s="18" t="inlineStr"/>
      <c r="AI2294" s="18" t="inlineStr"/>
      <c r="AJ2294" s="18" t="inlineStr">
        <is>
          <t>COBBLEVERSE 수정</t>
        </is>
      </c>
      <c r="AK2294" s="18" t="inlineStr">
        <is>
          <t>사용</t>
        </is>
      </c>
      <c r="AL2294" s="18" t="inlineStr">
        <is>
          <t>COBBLEVERSE 1.7.42 / DP v31</t>
        </is>
      </c>
      <c r="AM2294" s="18" t="inlineStr">
        <is>
          <t>data/cobblemon/spawn_pool_world/0686_inkay.json</t>
        </is>
      </c>
      <c r="AN2294" s="18" t="inlineStr">
        <is>
          <t>inkay-1</t>
        </is>
      </c>
      <c r="AO2294" s="18" t="inlineStr">
        <is>
          <t>pokemon</t>
        </is>
      </c>
      <c r="AP2294" s="18" t="inlineStr">
        <is>
          <t>natural; wild</t>
        </is>
      </c>
      <c r="AQ2294" s="18" t="inlineStr">
        <is>
          <t>{"biomes":["#cobblemon:is_coast","#cobblemon:is_ocean"],"maxSkyLight":15,"minSkyLight":8}</t>
        </is>
      </c>
      <c r="AR2294" s="18" t="inlineStr">
        <is>
          <t>{"biomes":["#cobblemon:is_beach"]}</t>
        </is>
      </c>
      <c r="AS2294" s="18" t="inlineStr"/>
      <c r="AT2294" s="19" t="inlineStr"/>
    </row>
    <row r="2295" ht="32" customHeight="1">
      <c r="A2295" s="18" t="inlineStr">
        <is>
          <t>0686_inkay.json::inkay-2::006</t>
        </is>
      </c>
      <c r="B2295" s="19" t="inlineStr">
        <is>
          <t>사용</t>
        </is>
      </c>
      <c r="C2295" s="18">
        <f>IF(OR(B2295&lt;&gt;AK2295,M2295&lt;&gt;L2295,O2295&lt;&gt;"",Q2295&lt;&gt;"",V2295&lt;&gt;1,Y2295&lt;&gt;"",AT2295&lt;&gt;""),"수정","원본")</f>
        <v/>
      </c>
      <c r="D2295" s="18" t="n">
        <v>686</v>
      </c>
      <c r="E2295" s="18" t="inlineStr">
        <is>
          <t>오케이징</t>
        </is>
      </c>
      <c r="F2295" s="18" t="inlineStr">
        <is>
          <t>inkay</t>
        </is>
      </c>
      <c r="G2295" s="18" t="inlineStr">
        <is>
          <t>inkay</t>
        </is>
      </c>
      <c r="H2295" s="18" t="inlineStr"/>
      <c r="I2295" s="18" t="n">
        <v>6</v>
      </c>
      <c r="J2295" s="18" t="n"/>
      <c r="K2295" s="18" t="n">
        <v>6</v>
      </c>
      <c r="L2295" s="18" t="inlineStr">
        <is>
          <t>cobbleventure:generation_6</t>
        </is>
      </c>
      <c r="M2295" s="19" t="inlineStr">
        <is>
          <t>cobbleventure:generation_6</t>
        </is>
      </c>
      <c r="N2295" s="18" t="inlineStr"/>
      <c r="O2295" s="19" t="inlineStr"/>
      <c r="P2295" s="18" t="inlineStr">
        <is>
          <t>#cobblemon:is_end</t>
        </is>
      </c>
      <c r="Q2295" s="19" t="inlineStr"/>
      <c r="R2295" s="18">
        <f>IF(Q2295="",P2295,Q2295)</f>
        <v/>
      </c>
      <c r="S2295" s="18" t="inlineStr"/>
      <c r="T2295" s="18" t="inlineStr">
        <is>
          <t>uncommon</t>
        </is>
      </c>
      <c r="U2295" s="20" t="n">
        <v>1.68</v>
      </c>
      <c r="V2295" s="21" t="n">
        <v>1</v>
      </c>
      <c r="W2295" s="20">
        <f>IF(OR(U2295="",V2295=""),U2295,U2295*V2295)</f>
        <v/>
      </c>
      <c r="X2295" s="18" t="inlineStr">
        <is>
          <t>4-29</t>
        </is>
      </c>
      <c r="Y2295" s="19" t="inlineStr"/>
      <c r="Z2295" s="18">
        <f>IF(Y2295="",X2295,Y2295)</f>
        <v/>
      </c>
      <c r="AA2295" s="18" t="inlineStr">
        <is>
          <t>grounded</t>
        </is>
      </c>
      <c r="AB2295" s="18" t="inlineStr"/>
      <c r="AC2295" s="18" t="inlineStr"/>
      <c r="AD2295" s="18" t="inlineStr"/>
      <c r="AE2295" s="18" t="inlineStr"/>
      <c r="AF2295" s="18" t="inlineStr"/>
      <c r="AG2295" s="18" t="inlineStr"/>
      <c r="AH2295" s="18" t="inlineStr"/>
      <c r="AI2295" s="18" t="inlineStr"/>
      <c r="AJ2295" s="18" t="inlineStr">
        <is>
          <t>COBBLEVERSE 수정</t>
        </is>
      </c>
      <c r="AK2295" s="18" t="inlineStr">
        <is>
          <t>사용</t>
        </is>
      </c>
      <c r="AL2295" s="18" t="inlineStr">
        <is>
          <t>COBBLEVERSE 1.7.42 / DP v31</t>
        </is>
      </c>
      <c r="AM2295" s="18" t="inlineStr">
        <is>
          <t>data/cobblemon/spawn_pool_world/0686_inkay.json</t>
        </is>
      </c>
      <c r="AN2295" s="18" t="inlineStr">
        <is>
          <t>inkay-2</t>
        </is>
      </c>
      <c r="AO2295" s="18" t="inlineStr">
        <is>
          <t>pokemon</t>
        </is>
      </c>
      <c r="AP2295" s="18" t="inlineStr">
        <is>
          <t>natural; wild</t>
        </is>
      </c>
      <c r="AQ2295" s="18" t="inlineStr">
        <is>
          <t>{"biomes":["#cobblemon:is_end"]}</t>
        </is>
      </c>
      <c r="AR2295" s="18" t="inlineStr"/>
      <c r="AS2295" s="18" t="inlineStr"/>
      <c r="AT2295" s="19" t="inlineStr"/>
    </row>
    <row r="2296" ht="32" customHeight="1">
      <c r="A2296" s="18" t="inlineStr">
        <is>
          <t>0686_inkay.json::inkay-3::007</t>
        </is>
      </c>
      <c r="B2296" s="19" t="inlineStr">
        <is>
          <t>사용</t>
        </is>
      </c>
      <c r="C2296" s="18">
        <f>IF(OR(B2296&lt;&gt;AK2296,M2296&lt;&gt;L2296,O2296&lt;&gt;"",Q2296&lt;&gt;"",V2296&lt;&gt;1,Y2296&lt;&gt;"",AT2296&lt;&gt;""),"수정","원본")</f>
        <v/>
      </c>
      <c r="D2296" s="18" t="n">
        <v>686</v>
      </c>
      <c r="E2296" s="18" t="inlineStr">
        <is>
          <t>오케이징</t>
        </is>
      </c>
      <c r="F2296" s="18" t="inlineStr">
        <is>
          <t>inkay</t>
        </is>
      </c>
      <c r="G2296" s="18" t="inlineStr">
        <is>
          <t>inkay</t>
        </is>
      </c>
      <c r="H2296" s="18" t="inlineStr"/>
      <c r="I2296" s="18" t="n">
        <v>6</v>
      </c>
      <c r="J2296" s="18" t="n"/>
      <c r="K2296" s="18" t="n">
        <v>6</v>
      </c>
      <c r="L2296" s="18" t="inlineStr">
        <is>
          <t>cobbleventure:generation_6</t>
        </is>
      </c>
      <c r="M2296" s="19" t="inlineStr">
        <is>
          <t>cobbleventure:generation_6</t>
        </is>
      </c>
      <c r="N2296" s="18" t="inlineStr"/>
      <c r="O2296" s="19" t="inlineStr"/>
      <c r="P2296" s="18" t="inlineStr">
        <is>
          <t>#cobblemon:is_ocean</t>
        </is>
      </c>
      <c r="Q2296" s="19" t="inlineStr"/>
      <c r="R2296" s="18">
        <f>IF(Q2296="",P2296,Q2296)</f>
        <v/>
      </c>
      <c r="S2296" s="18" t="inlineStr"/>
      <c r="T2296" s="18" t="inlineStr">
        <is>
          <t>uncommon</t>
        </is>
      </c>
      <c r="U2296" s="20" t="n">
        <v>5.04</v>
      </c>
      <c r="V2296" s="21" t="n">
        <v>1</v>
      </c>
      <c r="W2296" s="20">
        <f>IF(OR(U2296="",V2296=""),U2296,U2296*V2296)</f>
        <v/>
      </c>
      <c r="X2296" s="18" t="inlineStr">
        <is>
          <t>4-29</t>
        </is>
      </c>
      <c r="Y2296" s="19" t="inlineStr"/>
      <c r="Z2296" s="18">
        <f>IF(Y2296="",X2296,Y2296)</f>
        <v/>
      </c>
      <c r="AA2296" s="18" t="inlineStr">
        <is>
          <t>submerged</t>
        </is>
      </c>
      <c r="AB2296" s="18" t="inlineStr"/>
      <c r="AC2296" s="18" t="inlineStr"/>
      <c r="AD2296" s="18" t="inlineStr"/>
      <c r="AE2296" s="18" t="inlineStr"/>
      <c r="AF2296" s="18" t="inlineStr">
        <is>
          <t>True</t>
        </is>
      </c>
      <c r="AG2296" s="18" t="inlineStr"/>
      <c r="AH2296" s="18" t="inlineStr"/>
      <c r="AI2296" s="18" t="inlineStr"/>
      <c r="AJ2296" s="18" t="inlineStr">
        <is>
          <t>COBBLEVERSE 수정</t>
        </is>
      </c>
      <c r="AK2296" s="18" t="inlineStr">
        <is>
          <t>사용</t>
        </is>
      </c>
      <c r="AL2296" s="18" t="inlineStr">
        <is>
          <t>COBBLEVERSE 1.7.42 / DP v31</t>
        </is>
      </c>
      <c r="AM2296" s="18" t="inlineStr">
        <is>
          <t>data/cobblemon/spawn_pool_world/0686_inkay.json</t>
        </is>
      </c>
      <c r="AN2296" s="18" t="inlineStr">
        <is>
          <t>inkay-3</t>
        </is>
      </c>
      <c r="AO2296" s="18" t="inlineStr">
        <is>
          <t>pokemon</t>
        </is>
      </c>
      <c r="AP2296" s="18" t="inlineStr">
        <is>
          <t>water</t>
        </is>
      </c>
      <c r="AQ2296" s="18" t="inlineStr">
        <is>
          <t>{"biomes":["#cobblemon:is_ocean"],"canSeeSky":true}</t>
        </is>
      </c>
      <c r="AR2296" s="18" t="inlineStr"/>
      <c r="AS2296" s="18" t="inlineStr"/>
      <c r="AT2296" s="19" t="inlineStr"/>
    </row>
    <row r="2297" ht="32" customHeight="1">
      <c r="A2297" s="18" t="inlineStr">
        <is>
          <t>0686_inkay.json::inkay-4::008</t>
        </is>
      </c>
      <c r="B2297" s="19" t="inlineStr">
        <is>
          <t>사용</t>
        </is>
      </c>
      <c r="C2297" s="18">
        <f>IF(OR(B2297&lt;&gt;AK2297,M2297&lt;&gt;L2297,O2297&lt;&gt;"",Q2297&lt;&gt;"",V2297&lt;&gt;1,Y2297&lt;&gt;"",AT2297&lt;&gt;""),"수정","원본")</f>
        <v/>
      </c>
      <c r="D2297" s="18" t="n">
        <v>686</v>
      </c>
      <c r="E2297" s="18" t="inlineStr">
        <is>
          <t>오케이징</t>
        </is>
      </c>
      <c r="F2297" s="18" t="inlineStr">
        <is>
          <t>inkay</t>
        </is>
      </c>
      <c r="G2297" s="18" t="inlineStr">
        <is>
          <t>inkay</t>
        </is>
      </c>
      <c r="H2297" s="18" t="inlineStr"/>
      <c r="I2297" s="18" t="n">
        <v>6</v>
      </c>
      <c r="J2297" s="18" t="n"/>
      <c r="K2297" s="18" t="n">
        <v>6</v>
      </c>
      <c r="L2297" s="18" t="inlineStr">
        <is>
          <t>cobbleventure:generation_6</t>
        </is>
      </c>
      <c r="M2297" s="19" t="inlineStr">
        <is>
          <t>cobbleventure:generation_6</t>
        </is>
      </c>
      <c r="N2297" s="18" t="inlineStr"/>
      <c r="O2297" s="19" t="inlineStr"/>
      <c r="P2297" s="18" t="inlineStr">
        <is>
          <t>#cobblemon:is_ocean</t>
        </is>
      </c>
      <c r="Q2297" s="19" t="inlineStr"/>
      <c r="R2297" s="18">
        <f>IF(Q2297="",P2297,Q2297)</f>
        <v/>
      </c>
      <c r="S2297" s="18" t="inlineStr"/>
      <c r="T2297" s="18" t="inlineStr">
        <is>
          <t>uncommon</t>
        </is>
      </c>
      <c r="U2297" s="20" t="n">
        <v>5.04</v>
      </c>
      <c r="V2297" s="21" t="n">
        <v>1</v>
      </c>
      <c r="W2297" s="20">
        <f>IF(OR(U2297="",V2297=""),U2297,U2297*V2297)</f>
        <v/>
      </c>
      <c r="X2297" s="18" t="inlineStr">
        <is>
          <t>4-29</t>
        </is>
      </c>
      <c r="Y2297" s="19" t="inlineStr"/>
      <c r="Z2297" s="18">
        <f>IF(Y2297="",X2297,Y2297)</f>
        <v/>
      </c>
      <c r="AA2297" s="18" t="inlineStr">
        <is>
          <t>submerged</t>
        </is>
      </c>
      <c r="AB2297" s="18" t="inlineStr"/>
      <c r="AC2297" s="18" t="inlineStr"/>
      <c r="AD2297" s="18" t="inlineStr"/>
      <c r="AE2297" s="18" t="inlineStr">
        <is>
          <t>sky 8-15</t>
        </is>
      </c>
      <c r="AF2297" s="18" t="inlineStr">
        <is>
          <t>False</t>
        </is>
      </c>
      <c r="AG2297" s="18" t="inlineStr"/>
      <c r="AH2297" s="18" t="inlineStr"/>
      <c r="AI2297" s="18" t="inlineStr"/>
      <c r="AJ2297" s="18" t="inlineStr">
        <is>
          <t>COBBLEVERSE 수정</t>
        </is>
      </c>
      <c r="AK2297" s="18" t="inlineStr">
        <is>
          <t>사용</t>
        </is>
      </c>
      <c r="AL2297" s="18" t="inlineStr">
        <is>
          <t>COBBLEVERSE 1.7.42 / DP v31</t>
        </is>
      </c>
      <c r="AM2297" s="18" t="inlineStr">
        <is>
          <t>data/cobblemon/spawn_pool_world/0686_inkay.json</t>
        </is>
      </c>
      <c r="AN2297" s="18" t="inlineStr">
        <is>
          <t>inkay-4</t>
        </is>
      </c>
      <c r="AO2297" s="18" t="inlineStr">
        <is>
          <t>pokemon</t>
        </is>
      </c>
      <c r="AP2297" s="18" t="inlineStr">
        <is>
          <t>water</t>
        </is>
      </c>
      <c r="AQ2297" s="18" t="inlineStr">
        <is>
          <t>{"biomes":["#cobblemon:is_ocean"],"canSeeSky":false,"maxSkyLight":15,"minSkyLight":8}</t>
        </is>
      </c>
      <c r="AR2297" s="18" t="inlineStr"/>
      <c r="AS2297" s="18" t="inlineStr"/>
      <c r="AT2297" s="19" t="inlineStr"/>
    </row>
    <row r="2298" ht="32" customHeight="1">
      <c r="A2298" s="18" t="inlineStr">
        <is>
          <t>0686_inkay.json::inkay-5::009</t>
        </is>
      </c>
      <c r="B2298" s="19" t="inlineStr">
        <is>
          <t>사용</t>
        </is>
      </c>
      <c r="C2298" s="18">
        <f>IF(OR(B2298&lt;&gt;AK2298,M2298&lt;&gt;L2298,O2298&lt;&gt;"",Q2298&lt;&gt;"",V2298&lt;&gt;1,Y2298&lt;&gt;"",AT2298&lt;&gt;""),"수정","원본")</f>
        <v/>
      </c>
      <c r="D2298" s="18" t="n">
        <v>686</v>
      </c>
      <c r="E2298" s="18" t="inlineStr">
        <is>
          <t>오케이징</t>
        </is>
      </c>
      <c r="F2298" s="18" t="inlineStr">
        <is>
          <t>inkay</t>
        </is>
      </c>
      <c r="G2298" s="18" t="inlineStr">
        <is>
          <t>inkay</t>
        </is>
      </c>
      <c r="H2298" s="18" t="inlineStr"/>
      <c r="I2298" s="18" t="n">
        <v>6</v>
      </c>
      <c r="J2298" s="18" t="n"/>
      <c r="K2298" s="18" t="n">
        <v>6</v>
      </c>
      <c r="L2298" s="18" t="inlineStr">
        <is>
          <t>cobbleventure:generation_6</t>
        </is>
      </c>
      <c r="M2298" s="19" t="inlineStr">
        <is>
          <t>cobbleventure:generation_6</t>
        </is>
      </c>
      <c r="N2298" s="18" t="inlineStr">
        <is>
          <t>region_01; region_02</t>
        </is>
      </c>
      <c r="O2298" s="19" t="inlineStr"/>
      <c r="P2298" s="18" t="inlineStr">
        <is>
          <t>#cobblemon:is_overworld</t>
        </is>
      </c>
      <c r="Q2298" s="19" t="inlineStr"/>
      <c r="R2298" s="18">
        <f>IF(Q2298="",P2298,Q2298)</f>
        <v/>
      </c>
      <c r="S2298" s="18" t="inlineStr"/>
      <c r="T2298" s="18" t="inlineStr">
        <is>
          <t>uncommon</t>
        </is>
      </c>
      <c r="U2298" s="20" t="n">
        <v>8.4</v>
      </c>
      <c r="V2298" s="21" t="n">
        <v>1</v>
      </c>
      <c r="W2298" s="20">
        <f>IF(OR(U2298="",V2298=""),U2298,U2298*V2298)</f>
        <v/>
      </c>
      <c r="X2298" s="18" t="inlineStr">
        <is>
          <t>4-29</t>
        </is>
      </c>
      <c r="Y2298" s="19" t="inlineStr"/>
      <c r="Z2298" s="18">
        <f>IF(Y2298="",X2298,Y2298)</f>
        <v/>
      </c>
      <c r="AA2298" s="18" t="inlineStr">
        <is>
          <t>submerged</t>
        </is>
      </c>
      <c r="AB2298" s="18" t="inlineStr"/>
      <c r="AC2298" s="18" t="inlineStr"/>
      <c r="AD2298" s="18" t="inlineStr">
        <is>
          <t>minY=-60, maxY=13</t>
        </is>
      </c>
      <c r="AE2298" s="18" t="inlineStr"/>
      <c r="AF2298" s="18" t="inlineStr">
        <is>
          <t>False</t>
        </is>
      </c>
      <c r="AG2298" s="18" t="inlineStr">
        <is>
          <t>cobblemon:shipwreck_coves/submerged_shipwreck_cove</t>
        </is>
      </c>
      <c r="AH2298" s="18" t="inlineStr"/>
      <c r="AI2298" s="18" t="inlineStr"/>
      <c r="AJ2298" s="18" t="inlineStr">
        <is>
          <t>COBBLEVERSE 수정</t>
        </is>
      </c>
      <c r="AK2298" s="18" t="inlineStr">
        <is>
          <t>사용</t>
        </is>
      </c>
      <c r="AL2298" s="18" t="inlineStr">
        <is>
          <t>COBBLEVERSE 1.7.42 / DP v31</t>
        </is>
      </c>
      <c r="AM2298" s="18" t="inlineStr">
        <is>
          <t>data/cobblemon/spawn_pool_world/0686_inkay.json</t>
        </is>
      </c>
      <c r="AN2298" s="18" t="inlineStr">
        <is>
          <t>inkay-5</t>
        </is>
      </c>
      <c r="AO2298" s="18" t="inlineStr">
        <is>
          <t>pokemon</t>
        </is>
      </c>
      <c r="AP2298" s="18" t="inlineStr">
        <is>
          <t>water</t>
        </is>
      </c>
      <c r="AQ2298" s="18" t="inlineStr">
        <is>
          <t>{"biomes":["#cobblemon:is_overworld"],"canSeeSky":false,"maxY":13,"minY":-60,"structures":["cobblemon:shipwreck_coves/submerged_shipwreck_cove"]}</t>
        </is>
      </c>
      <c r="AR2298" s="18" t="inlineStr"/>
      <c r="AS2298" s="18" t="inlineStr"/>
      <c r="AT2298" s="19" t="inlineStr"/>
    </row>
    <row r="2299" ht="32" customHeight="1">
      <c r="A2299" s="18" t="inlineStr">
        <is>
          <t>0686_inkay.json::inkay-10::010</t>
        </is>
      </c>
      <c r="B2299" s="19" t="inlineStr">
        <is>
          <t>사용</t>
        </is>
      </c>
      <c r="C2299" s="18">
        <f>IF(OR(B2299&lt;&gt;AK2299,M2299&lt;&gt;L2299,O2299&lt;&gt;"",Q2299&lt;&gt;"",V2299&lt;&gt;1,Y2299&lt;&gt;"",AT2299&lt;&gt;""),"수정","원본")</f>
        <v/>
      </c>
      <c r="D2299" s="18" t="n">
        <v>686</v>
      </c>
      <c r="E2299" s="18" t="inlineStr">
        <is>
          <t>오케이징</t>
        </is>
      </c>
      <c r="F2299" s="18" t="inlineStr">
        <is>
          <t>inkay</t>
        </is>
      </c>
      <c r="G2299" s="18" t="inlineStr">
        <is>
          <t>inkay</t>
        </is>
      </c>
      <c r="H2299" s="18" t="inlineStr"/>
      <c r="I2299" s="18" t="n">
        <v>6</v>
      </c>
      <c r="J2299" s="18" t="n"/>
      <c r="K2299" s="18" t="n">
        <v>6</v>
      </c>
      <c r="L2299" s="18" t="inlineStr">
        <is>
          <t>cobbleventure:generation_6</t>
        </is>
      </c>
      <c r="M2299" s="19" t="inlineStr">
        <is>
          <t>cobbleventure:generation_6</t>
        </is>
      </c>
      <c r="N2299" s="18" t="inlineStr">
        <is>
          <t>region_01; region_02</t>
        </is>
      </c>
      <c r="O2299" s="19" t="inlineStr"/>
      <c r="P2299" s="18" t="inlineStr">
        <is>
          <t>#cobblemon:is_overworld</t>
        </is>
      </c>
      <c r="Q2299" s="19" t="inlineStr"/>
      <c r="R2299" s="18">
        <f>IF(Q2299="",P2299,Q2299)</f>
        <v/>
      </c>
      <c r="S2299" s="18" t="inlineStr"/>
      <c r="T2299" s="18" t="inlineStr">
        <is>
          <t>uncommon</t>
        </is>
      </c>
      <c r="U2299" s="20" t="n">
        <v>8.4</v>
      </c>
      <c r="V2299" s="21" t="n">
        <v>1</v>
      </c>
      <c r="W2299" s="20">
        <f>IF(OR(U2299="",V2299=""),U2299,U2299*V2299)</f>
        <v/>
      </c>
      <c r="X2299" s="18" t="inlineStr">
        <is>
          <t>4-29</t>
        </is>
      </c>
      <c r="Y2299" s="19" t="inlineStr"/>
      <c r="Z2299" s="18">
        <f>IF(Y2299="",X2299,Y2299)</f>
        <v/>
      </c>
      <c r="AA2299" s="18" t="inlineStr">
        <is>
          <t>fishing</t>
        </is>
      </c>
      <c r="AB2299" s="18" t="inlineStr"/>
      <c r="AC2299" s="18" t="inlineStr"/>
      <c r="AD2299" s="18" t="inlineStr">
        <is>
          <t>minY=-60, maxY=13</t>
        </is>
      </c>
      <c r="AE2299" s="18" t="inlineStr"/>
      <c r="AF2299" s="18" t="inlineStr">
        <is>
          <t>False</t>
        </is>
      </c>
      <c r="AG2299" s="18" t="inlineStr">
        <is>
          <t>cobblemon:shipwreck_coves/submerged_shipwreck_cove</t>
        </is>
      </c>
      <c r="AH2299" s="18" t="inlineStr"/>
      <c r="AI2299" s="18" t="inlineStr"/>
      <c r="AJ2299" s="18" t="inlineStr">
        <is>
          <t>COBBLEVERSE 수정</t>
        </is>
      </c>
      <c r="AK2299" s="18" t="inlineStr">
        <is>
          <t>사용</t>
        </is>
      </c>
      <c r="AL2299" s="18" t="inlineStr">
        <is>
          <t>COBBLEVERSE 1.7.42 / DP v31</t>
        </is>
      </c>
      <c r="AM2299" s="18" t="inlineStr">
        <is>
          <t>data/cobblemon/spawn_pool_world/0686_inkay.json</t>
        </is>
      </c>
      <c r="AN2299" s="18" t="inlineStr">
        <is>
          <t>inkay-10</t>
        </is>
      </c>
      <c r="AO2299" s="18" t="inlineStr">
        <is>
          <t>pokemon</t>
        </is>
      </c>
      <c r="AP2299" s="18" t="inlineStr"/>
      <c r="AQ2299" s="18" t="inlineStr">
        <is>
          <t>{"biomes":["#cobblemon:is_overworld"],"canSeeSky":false,"maxY":13,"minY":-60,"structures":["cobblemon:shipwreck_coves/submerged_shipwreck_cove"]}</t>
        </is>
      </c>
      <c r="AR2299" s="18" t="inlineStr">
        <is>
          <t>{"minLureLevel":1}</t>
        </is>
      </c>
      <c r="AS2299" s="18" t="inlineStr"/>
      <c r="AT2299" s="19" t="inlineStr"/>
    </row>
    <row r="2300" ht="32" customHeight="1">
      <c r="A2300" s="18" t="inlineStr">
        <is>
          <t>0686_inkay.json::inkay-11::011</t>
        </is>
      </c>
      <c r="B2300" s="19" t="inlineStr">
        <is>
          <t>사용</t>
        </is>
      </c>
      <c r="C2300" s="18">
        <f>IF(OR(B2300&lt;&gt;AK2300,M2300&lt;&gt;L2300,O2300&lt;&gt;"",Q2300&lt;&gt;"",V2300&lt;&gt;1,Y2300&lt;&gt;"",AT2300&lt;&gt;""),"수정","원본")</f>
        <v/>
      </c>
      <c r="D2300" s="18" t="n">
        <v>686</v>
      </c>
      <c r="E2300" s="18" t="inlineStr">
        <is>
          <t>오케이징</t>
        </is>
      </c>
      <c r="F2300" s="18" t="inlineStr">
        <is>
          <t>inkay</t>
        </is>
      </c>
      <c r="G2300" s="18" t="inlineStr">
        <is>
          <t>inkay</t>
        </is>
      </c>
      <c r="H2300" s="18" t="inlineStr"/>
      <c r="I2300" s="18" t="n">
        <v>6</v>
      </c>
      <c r="J2300" s="18" t="n"/>
      <c r="K2300" s="18" t="n">
        <v>6</v>
      </c>
      <c r="L2300" s="18" t="inlineStr">
        <is>
          <t>cobbleventure:generation_6</t>
        </is>
      </c>
      <c r="M2300" s="19" t="inlineStr">
        <is>
          <t>cobbleventure:generation_6</t>
        </is>
      </c>
      <c r="N2300" s="18" t="inlineStr">
        <is>
          <t>region_01; region_02</t>
        </is>
      </c>
      <c r="O2300" s="19" t="inlineStr"/>
      <c r="P2300" s="18" t="inlineStr">
        <is>
          <t>#cobblemon:is_overworld</t>
        </is>
      </c>
      <c r="Q2300" s="19" t="inlineStr"/>
      <c r="R2300" s="18">
        <f>IF(Q2300="",P2300,Q2300)</f>
        <v/>
      </c>
      <c r="S2300" s="18" t="inlineStr"/>
      <c r="T2300" s="18" t="inlineStr">
        <is>
          <t>common</t>
        </is>
      </c>
      <c r="U2300" s="20" t="n">
        <v>5.4</v>
      </c>
      <c r="V2300" s="21" t="n">
        <v>1</v>
      </c>
      <c r="W2300" s="20">
        <f>IF(OR(U2300="",V2300=""),U2300,U2300*V2300)</f>
        <v/>
      </c>
      <c r="X2300" s="18" t="inlineStr">
        <is>
          <t>4-29</t>
        </is>
      </c>
      <c r="Y2300" s="19" t="inlineStr"/>
      <c r="Z2300" s="18">
        <f>IF(Y2300="",X2300,Y2300)</f>
        <v/>
      </c>
      <c r="AA2300" s="18" t="inlineStr">
        <is>
          <t>fishing</t>
        </is>
      </c>
      <c r="AB2300" s="18" t="inlineStr"/>
      <c r="AC2300" s="18" t="inlineStr"/>
      <c r="AD2300" s="18" t="inlineStr">
        <is>
          <t>minY=-60, maxY=13</t>
        </is>
      </c>
      <c r="AE2300" s="18" t="inlineStr"/>
      <c r="AF2300" s="18" t="inlineStr">
        <is>
          <t>False</t>
        </is>
      </c>
      <c r="AG2300" s="18" t="inlineStr">
        <is>
          <t>cobblemon:shipwreck_coves/submerged_shipwreck_cove</t>
        </is>
      </c>
      <c r="AH2300" s="18" t="inlineStr"/>
      <c r="AI2300" s="18" t="inlineStr">
        <is>
          <t>{"fishing":{"minLureLevel":1}}</t>
        </is>
      </c>
      <c r="AJ2300" s="18" t="inlineStr">
        <is>
          <t>COBBLEVERSE 수정</t>
        </is>
      </c>
      <c r="AK2300" s="18" t="inlineStr">
        <is>
          <t>사용</t>
        </is>
      </c>
      <c r="AL2300" s="18" t="inlineStr">
        <is>
          <t>COBBLEVERSE 1.7.42 / DP v31</t>
        </is>
      </c>
      <c r="AM2300" s="18" t="inlineStr">
        <is>
          <t>data/cobblemon/spawn_pool_world/0686_inkay.json</t>
        </is>
      </c>
      <c r="AN2300" s="18" t="inlineStr">
        <is>
          <t>inkay-11</t>
        </is>
      </c>
      <c r="AO2300" s="18" t="inlineStr">
        <is>
          <t>pokemon</t>
        </is>
      </c>
      <c r="AP2300" s="18" t="inlineStr"/>
      <c r="AQ2300" s="18" t="inlineStr">
        <is>
          <t>{"biomes":["#cobblemon:is_overworld"],"canSeeSky":false,"maxY":13,"minLureLevel":1,"minY":-60,"structures":["cobblemon:shipwreck_coves/submerged_shipwreck_cove"]}</t>
        </is>
      </c>
      <c r="AR2300" s="18" t="inlineStr"/>
      <c r="AS2300" s="18" t="inlineStr">
        <is>
          <t>{"weightMultiplier":{"condition":{"minLureLevel":3},"multiplier":3.0}}</t>
        </is>
      </c>
      <c r="AT2300" s="19" t="inlineStr"/>
    </row>
    <row r="2301" ht="32" customHeight="1">
      <c r="A2301" s="18" t="inlineStr">
        <is>
          <t>0687_malamar.json::malamar-6::001</t>
        </is>
      </c>
      <c r="B2301" s="19" t="inlineStr">
        <is>
          <t>사용</t>
        </is>
      </c>
      <c r="C2301" s="18">
        <f>IF(OR(B2301&lt;&gt;AK2301,M2301&lt;&gt;L2301,O2301&lt;&gt;"",Q2301&lt;&gt;"",V2301&lt;&gt;1,Y2301&lt;&gt;"",AT2301&lt;&gt;""),"수정","원본")</f>
        <v/>
      </c>
      <c r="D2301" s="18" t="n">
        <v>687</v>
      </c>
      <c r="E2301" s="18" t="inlineStr">
        <is>
          <t>칼라마네로</t>
        </is>
      </c>
      <c r="F2301" s="18" t="inlineStr">
        <is>
          <t>malamar</t>
        </is>
      </c>
      <c r="G2301" s="18" t="inlineStr">
        <is>
          <t>malamar</t>
        </is>
      </c>
      <c r="H2301" s="18" t="inlineStr"/>
      <c r="I2301" s="18" t="n">
        <v>6</v>
      </c>
      <c r="J2301" s="18" t="n"/>
      <c r="K2301" s="18" t="n">
        <v>6</v>
      </c>
      <c r="L2301" s="18" t="inlineStr">
        <is>
          <t>cobbleventure:generation_6</t>
        </is>
      </c>
      <c r="M2301" s="19" t="inlineStr">
        <is>
          <t>cobbleventure:generation_6</t>
        </is>
      </c>
      <c r="N2301" s="18" t="inlineStr"/>
      <c r="O2301" s="19" t="inlineStr"/>
      <c r="P2301" s="18" t="inlineStr">
        <is>
          <t>#cobblemon:is_coast; #cobblemon:is_ocean</t>
        </is>
      </c>
      <c r="Q2301" s="19" t="inlineStr"/>
      <c r="R2301" s="18">
        <f>IF(Q2301="",P2301,Q2301)</f>
        <v/>
      </c>
      <c r="S2301" s="18" t="inlineStr">
        <is>
          <t>#cobblemon:is_beach</t>
        </is>
      </c>
      <c r="T2301" s="18" t="inlineStr">
        <is>
          <t>uncommon</t>
        </is>
      </c>
      <c r="U2301" s="20" t="n">
        <v>0.96</v>
      </c>
      <c r="V2301" s="21" t="n">
        <v>1</v>
      </c>
      <c r="W2301" s="20">
        <f>IF(OR(U2301="",V2301=""),U2301,U2301*V2301)</f>
        <v/>
      </c>
      <c r="X2301" s="18" t="inlineStr">
        <is>
          <t>30-48</t>
        </is>
      </c>
      <c r="Y2301" s="19" t="inlineStr"/>
      <c r="Z2301" s="18">
        <f>IF(Y2301="",X2301,Y2301)</f>
        <v/>
      </c>
      <c r="AA2301" s="18" t="inlineStr">
        <is>
          <t>fishing</t>
        </is>
      </c>
      <c r="AB2301" s="18" t="inlineStr"/>
      <c r="AC2301" s="18" t="inlineStr"/>
      <c r="AD2301" s="18" t="inlineStr"/>
      <c r="AE2301" s="18" t="inlineStr"/>
      <c r="AF2301" s="18" t="inlineStr">
        <is>
          <t>True</t>
        </is>
      </c>
      <c r="AG2301" s="18" t="inlineStr"/>
      <c r="AH2301" s="18" t="inlineStr"/>
      <c r="AI2301" s="18" t="inlineStr"/>
      <c r="AJ2301" s="18" t="inlineStr">
        <is>
          <t>COBBLEVERSE 수정</t>
        </is>
      </c>
      <c r="AK2301" s="18" t="inlineStr">
        <is>
          <t>사용</t>
        </is>
      </c>
      <c r="AL2301" s="18" t="inlineStr">
        <is>
          <t>COBBLEVERSE 1.7.42 / DP v31</t>
        </is>
      </c>
      <c r="AM2301" s="18" t="inlineStr">
        <is>
          <t>data/cobblemon/spawn_pool_world/0687_malamar.json</t>
        </is>
      </c>
      <c r="AN2301" s="18" t="inlineStr">
        <is>
          <t>malamar-6</t>
        </is>
      </c>
      <c r="AO2301" s="18" t="inlineStr">
        <is>
          <t>pokemon</t>
        </is>
      </c>
      <c r="AP2301" s="18" t="inlineStr"/>
      <c r="AQ2301" s="18" t="inlineStr">
        <is>
          <t>{"biomes":["#cobblemon:is_coast","#cobblemon:is_ocean"],"canSeeSky":true}</t>
        </is>
      </c>
      <c r="AR2301" s="18" t="inlineStr">
        <is>
          <t>{"biomes":["#cobblemon:is_beach"],"minLureLevel":1}</t>
        </is>
      </c>
      <c r="AS2301" s="18" t="inlineStr"/>
      <c r="AT2301" s="19" t="inlineStr"/>
    </row>
    <row r="2302" ht="32" customHeight="1">
      <c r="A2302" s="18" t="inlineStr">
        <is>
          <t>0687_malamar.json::malamar-7::002</t>
        </is>
      </c>
      <c r="B2302" s="19" t="inlineStr">
        <is>
          <t>사용</t>
        </is>
      </c>
      <c r="C2302" s="18">
        <f>IF(OR(B2302&lt;&gt;AK2302,M2302&lt;&gt;L2302,O2302&lt;&gt;"",Q2302&lt;&gt;"",V2302&lt;&gt;1,Y2302&lt;&gt;"",AT2302&lt;&gt;""),"수정","원본")</f>
        <v/>
      </c>
      <c r="D2302" s="18" t="n">
        <v>687</v>
      </c>
      <c r="E2302" s="18" t="inlineStr">
        <is>
          <t>칼라마네로</t>
        </is>
      </c>
      <c r="F2302" s="18" t="inlineStr">
        <is>
          <t>malamar</t>
        </is>
      </c>
      <c r="G2302" s="18" t="inlineStr">
        <is>
          <t>malamar</t>
        </is>
      </c>
      <c r="H2302" s="18" t="inlineStr"/>
      <c r="I2302" s="18" t="n">
        <v>6</v>
      </c>
      <c r="J2302" s="18" t="n"/>
      <c r="K2302" s="18" t="n">
        <v>6</v>
      </c>
      <c r="L2302" s="18" t="inlineStr">
        <is>
          <t>cobbleventure:generation_6</t>
        </is>
      </c>
      <c r="M2302" s="19" t="inlineStr">
        <is>
          <t>cobbleventure:generation_6</t>
        </is>
      </c>
      <c r="N2302" s="18" t="inlineStr"/>
      <c r="O2302" s="19" t="inlineStr"/>
      <c r="P2302" s="18" t="inlineStr">
        <is>
          <t>#cobblemon:is_coast; #cobblemon:is_ocean</t>
        </is>
      </c>
      <c r="Q2302" s="19" t="inlineStr"/>
      <c r="R2302" s="18">
        <f>IF(Q2302="",P2302,Q2302)</f>
        <v/>
      </c>
      <c r="S2302" s="18" t="inlineStr">
        <is>
          <t>#cobblemon:is_beach</t>
        </is>
      </c>
      <c r="T2302" s="18" t="inlineStr">
        <is>
          <t>common</t>
        </is>
      </c>
      <c r="U2302" s="20" t="n">
        <v>0.2</v>
      </c>
      <c r="V2302" s="21" t="n">
        <v>1</v>
      </c>
      <c r="W2302" s="20">
        <f>IF(OR(U2302="",V2302=""),U2302,U2302*V2302)</f>
        <v/>
      </c>
      <c r="X2302" s="18" t="inlineStr">
        <is>
          <t>30-48</t>
        </is>
      </c>
      <c r="Y2302" s="19" t="inlineStr"/>
      <c r="Z2302" s="18">
        <f>IF(Y2302="",X2302,Y2302)</f>
        <v/>
      </c>
      <c r="AA2302" s="18" t="inlineStr">
        <is>
          <t>fishing</t>
        </is>
      </c>
      <c r="AB2302" s="18" t="inlineStr"/>
      <c r="AC2302" s="18" t="inlineStr"/>
      <c r="AD2302" s="18" t="inlineStr"/>
      <c r="AE2302" s="18" t="inlineStr"/>
      <c r="AF2302" s="18" t="inlineStr">
        <is>
          <t>True</t>
        </is>
      </c>
      <c r="AG2302" s="18" t="inlineStr"/>
      <c r="AH2302" s="18" t="inlineStr"/>
      <c r="AI2302" s="18" t="inlineStr">
        <is>
          <t>{"fishing":{"minLureLevel":1}}</t>
        </is>
      </c>
      <c r="AJ2302" s="18" t="inlineStr">
        <is>
          <t>COBBLEVERSE 수정</t>
        </is>
      </c>
      <c r="AK2302" s="18" t="inlineStr">
        <is>
          <t>사용</t>
        </is>
      </c>
      <c r="AL2302" s="18" t="inlineStr">
        <is>
          <t>COBBLEVERSE 1.7.42 / DP v31</t>
        </is>
      </c>
      <c r="AM2302" s="18" t="inlineStr">
        <is>
          <t>data/cobblemon/spawn_pool_world/0687_malamar.json</t>
        </is>
      </c>
      <c r="AN2302" s="18" t="inlineStr">
        <is>
          <t>malamar-7</t>
        </is>
      </c>
      <c r="AO2302" s="18" t="inlineStr">
        <is>
          <t>pokemon</t>
        </is>
      </c>
      <c r="AP2302" s="18" t="inlineStr"/>
      <c r="AQ2302" s="18" t="inlineStr">
        <is>
          <t>{"biomes":["#cobblemon:is_coast","#cobblemon:is_ocean"],"canSeeSky":true,"minLureLevel":1}</t>
        </is>
      </c>
      <c r="AR2302" s="18" t="inlineStr">
        <is>
          <t>{"biomes":["#cobblemon:is_beach"]}</t>
        </is>
      </c>
      <c r="AS2302" s="18" t="inlineStr">
        <is>
          <t>{"weightMultiplier":{"condition":{"minLureLevel":3},"multiplier":3.0}}</t>
        </is>
      </c>
      <c r="AT2302" s="19" t="inlineStr"/>
    </row>
    <row r="2303" ht="32" customHeight="1">
      <c r="A2303" s="18" t="inlineStr">
        <is>
          <t>0687_malamar.json::malamar-8::003</t>
        </is>
      </c>
      <c r="B2303" s="19" t="inlineStr">
        <is>
          <t>사용</t>
        </is>
      </c>
      <c r="C2303" s="18">
        <f>IF(OR(B2303&lt;&gt;AK2303,M2303&lt;&gt;L2303,O2303&lt;&gt;"",Q2303&lt;&gt;"",V2303&lt;&gt;1,Y2303&lt;&gt;"",AT2303&lt;&gt;""),"수정","원본")</f>
        <v/>
      </c>
      <c r="D2303" s="18" t="n">
        <v>687</v>
      </c>
      <c r="E2303" s="18" t="inlineStr">
        <is>
          <t>칼라마네로</t>
        </is>
      </c>
      <c r="F2303" s="18" t="inlineStr">
        <is>
          <t>malamar</t>
        </is>
      </c>
      <c r="G2303" s="18" t="inlineStr">
        <is>
          <t>malamar</t>
        </is>
      </c>
      <c r="H2303" s="18" t="inlineStr"/>
      <c r="I2303" s="18" t="n">
        <v>6</v>
      </c>
      <c r="J2303" s="18" t="n"/>
      <c r="K2303" s="18" t="n">
        <v>6</v>
      </c>
      <c r="L2303" s="18" t="inlineStr">
        <is>
          <t>cobbleventure:generation_6</t>
        </is>
      </c>
      <c r="M2303" s="19" t="inlineStr">
        <is>
          <t>cobbleventure:generation_6</t>
        </is>
      </c>
      <c r="N2303" s="18" t="inlineStr"/>
      <c r="O2303" s="19" t="inlineStr"/>
      <c r="P2303" s="18" t="inlineStr">
        <is>
          <t>#cobblemon:is_coast; #cobblemon:is_ocean</t>
        </is>
      </c>
      <c r="Q2303" s="19" t="inlineStr"/>
      <c r="R2303" s="18">
        <f>IF(Q2303="",P2303,Q2303)</f>
        <v/>
      </c>
      <c r="S2303" s="18" t="inlineStr">
        <is>
          <t>#cobblemon:is_beach</t>
        </is>
      </c>
      <c r="T2303" s="18" t="inlineStr">
        <is>
          <t>uncommon</t>
        </is>
      </c>
      <c r="U2303" s="20" t="n">
        <v>0.96</v>
      </c>
      <c r="V2303" s="21" t="n">
        <v>1</v>
      </c>
      <c r="W2303" s="20">
        <f>IF(OR(U2303="",V2303=""),U2303,U2303*V2303)</f>
        <v/>
      </c>
      <c r="X2303" s="18" t="inlineStr">
        <is>
          <t>30-48</t>
        </is>
      </c>
      <c r="Y2303" s="19" t="inlineStr"/>
      <c r="Z2303" s="18">
        <f>IF(Y2303="",X2303,Y2303)</f>
        <v/>
      </c>
      <c r="AA2303" s="18" t="inlineStr">
        <is>
          <t>fishing</t>
        </is>
      </c>
      <c r="AB2303" s="18" t="inlineStr"/>
      <c r="AC2303" s="18" t="inlineStr"/>
      <c r="AD2303" s="18" t="inlineStr"/>
      <c r="AE2303" s="18" t="inlineStr">
        <is>
          <t>sky 8-15</t>
        </is>
      </c>
      <c r="AF2303" s="18" t="inlineStr">
        <is>
          <t>False</t>
        </is>
      </c>
      <c r="AG2303" s="18" t="inlineStr"/>
      <c r="AH2303" s="18" t="inlineStr"/>
      <c r="AI2303" s="18" t="inlineStr"/>
      <c r="AJ2303" s="18" t="inlineStr">
        <is>
          <t>COBBLEVERSE 수정</t>
        </is>
      </c>
      <c r="AK2303" s="18" t="inlineStr">
        <is>
          <t>사용</t>
        </is>
      </c>
      <c r="AL2303" s="18" t="inlineStr">
        <is>
          <t>COBBLEVERSE 1.7.42 / DP v31</t>
        </is>
      </c>
      <c r="AM2303" s="18" t="inlineStr">
        <is>
          <t>data/cobblemon/spawn_pool_world/0687_malamar.json</t>
        </is>
      </c>
      <c r="AN2303" s="18" t="inlineStr">
        <is>
          <t>malamar-8</t>
        </is>
      </c>
      <c r="AO2303" s="18" t="inlineStr">
        <is>
          <t>pokemon</t>
        </is>
      </c>
      <c r="AP2303" s="18" t="inlineStr"/>
      <c r="AQ2303" s="18" t="inlineStr">
        <is>
          <t>{"biomes":["#cobblemon:is_coast","#cobblemon:is_ocean"],"canSeeSky":false,"maxSkyLight":15,"minSkyLight":8}</t>
        </is>
      </c>
      <c r="AR2303" s="18" t="inlineStr">
        <is>
          <t>{"biomes":["#cobblemon:is_beach"],"minLureLevel":1}</t>
        </is>
      </c>
      <c r="AS2303" s="18" t="inlineStr"/>
      <c r="AT2303" s="19" t="inlineStr"/>
    </row>
    <row r="2304" ht="32" customHeight="1">
      <c r="A2304" s="18" t="inlineStr">
        <is>
          <t>0687_malamar.json::malamar-9::004</t>
        </is>
      </c>
      <c r="B2304" s="19" t="inlineStr">
        <is>
          <t>사용</t>
        </is>
      </c>
      <c r="C2304" s="18">
        <f>IF(OR(B2304&lt;&gt;AK2304,M2304&lt;&gt;L2304,O2304&lt;&gt;"",Q2304&lt;&gt;"",V2304&lt;&gt;1,Y2304&lt;&gt;"",AT2304&lt;&gt;""),"수정","원본")</f>
        <v/>
      </c>
      <c r="D2304" s="18" t="n">
        <v>687</v>
      </c>
      <c r="E2304" s="18" t="inlineStr">
        <is>
          <t>칼라마네로</t>
        </is>
      </c>
      <c r="F2304" s="18" t="inlineStr">
        <is>
          <t>malamar</t>
        </is>
      </c>
      <c r="G2304" s="18" t="inlineStr">
        <is>
          <t>malamar</t>
        </is>
      </c>
      <c r="H2304" s="18" t="inlineStr"/>
      <c r="I2304" s="18" t="n">
        <v>6</v>
      </c>
      <c r="J2304" s="18" t="n"/>
      <c r="K2304" s="18" t="n">
        <v>6</v>
      </c>
      <c r="L2304" s="18" t="inlineStr">
        <is>
          <t>cobbleventure:generation_6</t>
        </is>
      </c>
      <c r="M2304" s="19" t="inlineStr">
        <is>
          <t>cobbleventure:generation_6</t>
        </is>
      </c>
      <c r="N2304" s="18" t="inlineStr"/>
      <c r="O2304" s="19" t="inlineStr"/>
      <c r="P2304" s="18" t="inlineStr">
        <is>
          <t>#cobblemon:is_coast; #cobblemon:is_ocean</t>
        </is>
      </c>
      <c r="Q2304" s="19" t="inlineStr"/>
      <c r="R2304" s="18">
        <f>IF(Q2304="",P2304,Q2304)</f>
        <v/>
      </c>
      <c r="S2304" s="18" t="inlineStr">
        <is>
          <t>#cobblemon:is_beach</t>
        </is>
      </c>
      <c r="T2304" s="18" t="inlineStr">
        <is>
          <t>common</t>
        </is>
      </c>
      <c r="U2304" s="20" t="n">
        <v>0.2</v>
      </c>
      <c r="V2304" s="21" t="n">
        <v>1</v>
      </c>
      <c r="W2304" s="20">
        <f>IF(OR(U2304="",V2304=""),U2304,U2304*V2304)</f>
        <v/>
      </c>
      <c r="X2304" s="18" t="inlineStr">
        <is>
          <t>30-48</t>
        </is>
      </c>
      <c r="Y2304" s="19" t="inlineStr"/>
      <c r="Z2304" s="18">
        <f>IF(Y2304="",X2304,Y2304)</f>
        <v/>
      </c>
      <c r="AA2304" s="18" t="inlineStr">
        <is>
          <t>fishing</t>
        </is>
      </c>
      <c r="AB2304" s="18" t="inlineStr"/>
      <c r="AC2304" s="18" t="inlineStr"/>
      <c r="AD2304" s="18" t="inlineStr"/>
      <c r="AE2304" s="18" t="inlineStr">
        <is>
          <t>sky 8-15</t>
        </is>
      </c>
      <c r="AF2304" s="18" t="inlineStr">
        <is>
          <t>False</t>
        </is>
      </c>
      <c r="AG2304" s="18" t="inlineStr"/>
      <c r="AH2304" s="18" t="inlineStr"/>
      <c r="AI2304" s="18" t="inlineStr">
        <is>
          <t>{"fishing":{"minLureLevel":1}}</t>
        </is>
      </c>
      <c r="AJ2304" s="18" t="inlineStr">
        <is>
          <t>COBBLEVERSE 수정</t>
        </is>
      </c>
      <c r="AK2304" s="18" t="inlineStr">
        <is>
          <t>사용</t>
        </is>
      </c>
      <c r="AL2304" s="18" t="inlineStr">
        <is>
          <t>COBBLEVERSE 1.7.42 / DP v31</t>
        </is>
      </c>
      <c r="AM2304" s="18" t="inlineStr">
        <is>
          <t>data/cobblemon/spawn_pool_world/0687_malamar.json</t>
        </is>
      </c>
      <c r="AN2304" s="18" t="inlineStr">
        <is>
          <t>malamar-9</t>
        </is>
      </c>
      <c r="AO2304" s="18" t="inlineStr">
        <is>
          <t>pokemon</t>
        </is>
      </c>
      <c r="AP2304" s="18" t="inlineStr"/>
      <c r="AQ2304" s="18" t="inlineStr">
        <is>
          <t>{"biomes":["#cobblemon:is_coast","#cobblemon:is_ocean"],"canSeeSky":false,"maxSkyLight":15,"minLureLevel":1,"minSkyLight":8}</t>
        </is>
      </c>
      <c r="AR2304" s="18" t="inlineStr">
        <is>
          <t>{"biomes":["#cobblemon:is_beach"]}</t>
        </is>
      </c>
      <c r="AS2304" s="18" t="inlineStr">
        <is>
          <t>{"weightMultiplier":{"condition":{"minLureLevel":3},"multiplier":3.0}}</t>
        </is>
      </c>
      <c r="AT2304" s="19" t="inlineStr"/>
    </row>
    <row r="2305" ht="32" customHeight="1">
      <c r="A2305" s="18" t="inlineStr">
        <is>
          <t>0687_malamar.json::malamar-1::005</t>
        </is>
      </c>
      <c r="B2305" s="19" t="inlineStr">
        <is>
          <t>사용</t>
        </is>
      </c>
      <c r="C2305" s="18">
        <f>IF(OR(B2305&lt;&gt;AK2305,M2305&lt;&gt;L2305,O2305&lt;&gt;"",Q2305&lt;&gt;"",V2305&lt;&gt;1,Y2305&lt;&gt;"",AT2305&lt;&gt;""),"수정","원본")</f>
        <v/>
      </c>
      <c r="D2305" s="18" t="n">
        <v>687</v>
      </c>
      <c r="E2305" s="18" t="inlineStr">
        <is>
          <t>칼라마네로</t>
        </is>
      </c>
      <c r="F2305" s="18" t="inlineStr">
        <is>
          <t>malamar</t>
        </is>
      </c>
      <c r="G2305" s="18" t="inlineStr">
        <is>
          <t>malamar</t>
        </is>
      </c>
      <c r="H2305" s="18" t="inlineStr"/>
      <c r="I2305" s="18" t="n">
        <v>6</v>
      </c>
      <c r="J2305" s="18" t="n"/>
      <c r="K2305" s="18" t="n">
        <v>6</v>
      </c>
      <c r="L2305" s="18" t="inlineStr">
        <is>
          <t>cobbleventure:generation_6</t>
        </is>
      </c>
      <c r="M2305" s="19" t="inlineStr">
        <is>
          <t>cobbleventure:generation_6</t>
        </is>
      </c>
      <c r="N2305" s="18" t="inlineStr"/>
      <c r="O2305" s="19" t="inlineStr"/>
      <c r="P2305" s="18" t="inlineStr">
        <is>
          <t>#cobblemon:is_coast; #cobblemon:is_ocean</t>
        </is>
      </c>
      <c r="Q2305" s="19" t="inlineStr"/>
      <c r="R2305" s="18">
        <f>IF(Q2305="",P2305,Q2305)</f>
        <v/>
      </c>
      <c r="S2305" s="18" t="inlineStr">
        <is>
          <t>#cobblemon:is_beach</t>
        </is>
      </c>
      <c r="T2305" s="18" t="inlineStr">
        <is>
          <t>uncommon</t>
        </is>
      </c>
      <c r="U2305" s="20" t="n">
        <v>0.32</v>
      </c>
      <c r="V2305" s="21" t="n">
        <v>1</v>
      </c>
      <c r="W2305" s="20">
        <f>IF(OR(U2305="",V2305=""),U2305,U2305*V2305)</f>
        <v/>
      </c>
      <c r="X2305" s="18" t="inlineStr">
        <is>
          <t>30-48</t>
        </is>
      </c>
      <c r="Y2305" s="19" t="inlineStr"/>
      <c r="Z2305" s="18">
        <f>IF(Y2305="",X2305,Y2305)</f>
        <v/>
      </c>
      <c r="AA2305" s="18" t="inlineStr">
        <is>
          <t>grounded</t>
        </is>
      </c>
      <c r="AB2305" s="18" t="inlineStr"/>
      <c r="AC2305" s="18" t="inlineStr"/>
      <c r="AD2305" s="18" t="inlineStr"/>
      <c r="AE2305" s="18" t="inlineStr">
        <is>
          <t>sky 8-15</t>
        </is>
      </c>
      <c r="AF2305" s="18" t="inlineStr"/>
      <c r="AG2305" s="18" t="inlineStr"/>
      <c r="AH2305" s="18" t="inlineStr"/>
      <c r="AI2305" s="18" t="inlineStr"/>
      <c r="AJ2305" s="18" t="inlineStr">
        <is>
          <t>COBBLEVERSE 수정</t>
        </is>
      </c>
      <c r="AK2305" s="18" t="inlineStr">
        <is>
          <t>사용</t>
        </is>
      </c>
      <c r="AL2305" s="18" t="inlineStr">
        <is>
          <t>COBBLEVERSE 1.7.42 / DP v31</t>
        </is>
      </c>
      <c r="AM2305" s="18" t="inlineStr">
        <is>
          <t>data/cobblemon/spawn_pool_world/0687_malamar.json</t>
        </is>
      </c>
      <c r="AN2305" s="18" t="inlineStr">
        <is>
          <t>malamar-1</t>
        </is>
      </c>
      <c r="AO2305" s="18" t="inlineStr">
        <is>
          <t>pokemon</t>
        </is>
      </c>
      <c r="AP2305" s="18" t="inlineStr">
        <is>
          <t>natural; wild</t>
        </is>
      </c>
      <c r="AQ2305" s="18" t="inlineStr">
        <is>
          <t>{"biomes":["#cobblemon:is_coast","#cobblemon:is_ocean"],"maxSkyLight":15,"minSkyLight":8}</t>
        </is>
      </c>
      <c r="AR2305" s="18" t="inlineStr">
        <is>
          <t>{"biomes":["#cobblemon:is_beach"]}</t>
        </is>
      </c>
      <c r="AS2305" s="18" t="inlineStr"/>
      <c r="AT2305" s="19" t="inlineStr"/>
    </row>
    <row r="2306" ht="32" customHeight="1">
      <c r="A2306" s="18" t="inlineStr">
        <is>
          <t>0687_malamar.json::malamar-2::006</t>
        </is>
      </c>
      <c r="B2306" s="19" t="inlineStr">
        <is>
          <t>사용</t>
        </is>
      </c>
      <c r="C2306" s="18">
        <f>IF(OR(B2306&lt;&gt;AK2306,M2306&lt;&gt;L2306,O2306&lt;&gt;"",Q2306&lt;&gt;"",V2306&lt;&gt;1,Y2306&lt;&gt;"",AT2306&lt;&gt;""),"수정","원본")</f>
        <v/>
      </c>
      <c r="D2306" s="18" t="n">
        <v>687</v>
      </c>
      <c r="E2306" s="18" t="inlineStr">
        <is>
          <t>칼라마네로</t>
        </is>
      </c>
      <c r="F2306" s="18" t="inlineStr">
        <is>
          <t>malamar</t>
        </is>
      </c>
      <c r="G2306" s="18" t="inlineStr">
        <is>
          <t>malamar</t>
        </is>
      </c>
      <c r="H2306" s="18" t="inlineStr"/>
      <c r="I2306" s="18" t="n">
        <v>6</v>
      </c>
      <c r="J2306" s="18" t="n"/>
      <c r="K2306" s="18" t="n">
        <v>6</v>
      </c>
      <c r="L2306" s="18" t="inlineStr">
        <is>
          <t>cobbleventure:generation_6</t>
        </is>
      </c>
      <c r="M2306" s="19" t="inlineStr">
        <is>
          <t>cobbleventure:generation_6</t>
        </is>
      </c>
      <c r="N2306" s="18" t="inlineStr"/>
      <c r="O2306" s="19" t="inlineStr"/>
      <c r="P2306" s="18" t="inlineStr">
        <is>
          <t>#cobblemon:is_end</t>
        </is>
      </c>
      <c r="Q2306" s="19" t="inlineStr"/>
      <c r="R2306" s="18">
        <f>IF(Q2306="",P2306,Q2306)</f>
        <v/>
      </c>
      <c r="S2306" s="18" t="inlineStr"/>
      <c r="T2306" s="18" t="inlineStr">
        <is>
          <t>uncommon</t>
        </is>
      </c>
      <c r="U2306" s="20" t="n">
        <v>0.32</v>
      </c>
      <c r="V2306" s="21" t="n">
        <v>1</v>
      </c>
      <c r="W2306" s="20">
        <f>IF(OR(U2306="",V2306=""),U2306,U2306*V2306)</f>
        <v/>
      </c>
      <c r="X2306" s="18" t="inlineStr">
        <is>
          <t>30-48</t>
        </is>
      </c>
      <c r="Y2306" s="19" t="inlineStr"/>
      <c r="Z2306" s="18">
        <f>IF(Y2306="",X2306,Y2306)</f>
        <v/>
      </c>
      <c r="AA2306" s="18" t="inlineStr">
        <is>
          <t>grounded</t>
        </is>
      </c>
      <c r="AB2306" s="18" t="inlineStr"/>
      <c r="AC2306" s="18" t="inlineStr"/>
      <c r="AD2306" s="18" t="inlineStr"/>
      <c r="AE2306" s="18" t="inlineStr"/>
      <c r="AF2306" s="18" t="inlineStr"/>
      <c r="AG2306" s="18" t="inlineStr"/>
      <c r="AH2306" s="18" t="inlineStr"/>
      <c r="AI2306" s="18" t="inlineStr"/>
      <c r="AJ2306" s="18" t="inlineStr">
        <is>
          <t>COBBLEVERSE 수정</t>
        </is>
      </c>
      <c r="AK2306" s="18" t="inlineStr">
        <is>
          <t>사용</t>
        </is>
      </c>
      <c r="AL2306" s="18" t="inlineStr">
        <is>
          <t>COBBLEVERSE 1.7.42 / DP v31</t>
        </is>
      </c>
      <c r="AM2306" s="18" t="inlineStr">
        <is>
          <t>data/cobblemon/spawn_pool_world/0687_malamar.json</t>
        </is>
      </c>
      <c r="AN2306" s="18" t="inlineStr">
        <is>
          <t>malamar-2</t>
        </is>
      </c>
      <c r="AO2306" s="18" t="inlineStr">
        <is>
          <t>pokemon</t>
        </is>
      </c>
      <c r="AP2306" s="18" t="inlineStr">
        <is>
          <t>natural; wild</t>
        </is>
      </c>
      <c r="AQ2306" s="18" t="inlineStr">
        <is>
          <t>{"biomes":["#cobblemon:is_end"]}</t>
        </is>
      </c>
      <c r="AR2306" s="18" t="inlineStr"/>
      <c r="AS2306" s="18" t="inlineStr"/>
      <c r="AT2306" s="19" t="inlineStr"/>
    </row>
    <row r="2307" ht="32" customHeight="1">
      <c r="A2307" s="18" t="inlineStr">
        <is>
          <t>0687_malamar.json::malamar-3::007</t>
        </is>
      </c>
      <c r="B2307" s="19" t="inlineStr">
        <is>
          <t>사용</t>
        </is>
      </c>
      <c r="C2307" s="18">
        <f>IF(OR(B2307&lt;&gt;AK2307,M2307&lt;&gt;L2307,O2307&lt;&gt;"",Q2307&lt;&gt;"",V2307&lt;&gt;1,Y2307&lt;&gt;"",AT2307&lt;&gt;""),"수정","원본")</f>
        <v/>
      </c>
      <c r="D2307" s="18" t="n">
        <v>687</v>
      </c>
      <c r="E2307" s="18" t="inlineStr">
        <is>
          <t>칼라마네로</t>
        </is>
      </c>
      <c r="F2307" s="18" t="inlineStr">
        <is>
          <t>malamar</t>
        </is>
      </c>
      <c r="G2307" s="18" t="inlineStr">
        <is>
          <t>malamar</t>
        </is>
      </c>
      <c r="H2307" s="18" t="inlineStr"/>
      <c r="I2307" s="18" t="n">
        <v>6</v>
      </c>
      <c r="J2307" s="18" t="n"/>
      <c r="K2307" s="18" t="n">
        <v>6</v>
      </c>
      <c r="L2307" s="18" t="inlineStr">
        <is>
          <t>cobbleventure:generation_6</t>
        </is>
      </c>
      <c r="M2307" s="19" t="inlineStr">
        <is>
          <t>cobbleventure:generation_6</t>
        </is>
      </c>
      <c r="N2307" s="18" t="inlineStr"/>
      <c r="O2307" s="19" t="inlineStr"/>
      <c r="P2307" s="18" t="inlineStr">
        <is>
          <t>#cobblemon:is_ocean</t>
        </is>
      </c>
      <c r="Q2307" s="19" t="inlineStr"/>
      <c r="R2307" s="18">
        <f>IF(Q2307="",P2307,Q2307)</f>
        <v/>
      </c>
      <c r="S2307" s="18" t="inlineStr"/>
      <c r="T2307" s="18" t="inlineStr">
        <is>
          <t>uncommon</t>
        </is>
      </c>
      <c r="U2307" s="20" t="n">
        <v>0.96</v>
      </c>
      <c r="V2307" s="21" t="n">
        <v>1</v>
      </c>
      <c r="W2307" s="20">
        <f>IF(OR(U2307="",V2307=""),U2307,U2307*V2307)</f>
        <v/>
      </c>
      <c r="X2307" s="18" t="inlineStr">
        <is>
          <t>30-48</t>
        </is>
      </c>
      <c r="Y2307" s="19" t="inlineStr"/>
      <c r="Z2307" s="18">
        <f>IF(Y2307="",X2307,Y2307)</f>
        <v/>
      </c>
      <c r="AA2307" s="18" t="inlineStr">
        <is>
          <t>submerged</t>
        </is>
      </c>
      <c r="AB2307" s="18" t="inlineStr"/>
      <c r="AC2307" s="18" t="inlineStr"/>
      <c r="AD2307" s="18" t="inlineStr"/>
      <c r="AE2307" s="18" t="inlineStr"/>
      <c r="AF2307" s="18" t="inlineStr">
        <is>
          <t>True</t>
        </is>
      </c>
      <c r="AG2307" s="18" t="inlineStr"/>
      <c r="AH2307" s="18" t="inlineStr"/>
      <c r="AI2307" s="18" t="inlineStr"/>
      <c r="AJ2307" s="18" t="inlineStr">
        <is>
          <t>COBBLEVERSE 수정</t>
        </is>
      </c>
      <c r="AK2307" s="18" t="inlineStr">
        <is>
          <t>사용</t>
        </is>
      </c>
      <c r="AL2307" s="18" t="inlineStr">
        <is>
          <t>COBBLEVERSE 1.7.42 / DP v31</t>
        </is>
      </c>
      <c r="AM2307" s="18" t="inlineStr">
        <is>
          <t>data/cobblemon/spawn_pool_world/0687_malamar.json</t>
        </is>
      </c>
      <c r="AN2307" s="18" t="inlineStr">
        <is>
          <t>malamar-3</t>
        </is>
      </c>
      <c r="AO2307" s="18" t="inlineStr">
        <is>
          <t>pokemon</t>
        </is>
      </c>
      <c r="AP2307" s="18" t="inlineStr">
        <is>
          <t>water</t>
        </is>
      </c>
      <c r="AQ2307" s="18" t="inlineStr">
        <is>
          <t>{"biomes":["#cobblemon:is_ocean"],"canSeeSky":true}</t>
        </is>
      </c>
      <c r="AR2307" s="18" t="inlineStr"/>
      <c r="AS2307" s="18" t="inlineStr"/>
      <c r="AT2307" s="19" t="inlineStr"/>
    </row>
    <row r="2308" ht="32" customHeight="1">
      <c r="A2308" s="18" t="inlineStr">
        <is>
          <t>0687_malamar.json::malamar-4::008</t>
        </is>
      </c>
      <c r="B2308" s="19" t="inlineStr">
        <is>
          <t>사용</t>
        </is>
      </c>
      <c r="C2308" s="18">
        <f>IF(OR(B2308&lt;&gt;AK2308,M2308&lt;&gt;L2308,O2308&lt;&gt;"",Q2308&lt;&gt;"",V2308&lt;&gt;1,Y2308&lt;&gt;"",AT2308&lt;&gt;""),"수정","원본")</f>
        <v/>
      </c>
      <c r="D2308" s="18" t="n">
        <v>687</v>
      </c>
      <c r="E2308" s="18" t="inlineStr">
        <is>
          <t>칼라마네로</t>
        </is>
      </c>
      <c r="F2308" s="18" t="inlineStr">
        <is>
          <t>malamar</t>
        </is>
      </c>
      <c r="G2308" s="18" t="inlineStr">
        <is>
          <t>malamar</t>
        </is>
      </c>
      <c r="H2308" s="18" t="inlineStr"/>
      <c r="I2308" s="18" t="n">
        <v>6</v>
      </c>
      <c r="J2308" s="18" t="n"/>
      <c r="K2308" s="18" t="n">
        <v>6</v>
      </c>
      <c r="L2308" s="18" t="inlineStr">
        <is>
          <t>cobbleventure:generation_6</t>
        </is>
      </c>
      <c r="M2308" s="19" t="inlineStr">
        <is>
          <t>cobbleventure:generation_6</t>
        </is>
      </c>
      <c r="N2308" s="18" t="inlineStr"/>
      <c r="O2308" s="19" t="inlineStr"/>
      <c r="P2308" s="18" t="inlineStr">
        <is>
          <t>#cobblemon:is_ocean</t>
        </is>
      </c>
      <c r="Q2308" s="19" t="inlineStr"/>
      <c r="R2308" s="18">
        <f>IF(Q2308="",P2308,Q2308)</f>
        <v/>
      </c>
      <c r="S2308" s="18" t="inlineStr"/>
      <c r="T2308" s="18" t="inlineStr">
        <is>
          <t>uncommon</t>
        </is>
      </c>
      <c r="U2308" s="20" t="n">
        <v>0.96</v>
      </c>
      <c r="V2308" s="21" t="n">
        <v>1</v>
      </c>
      <c r="W2308" s="20">
        <f>IF(OR(U2308="",V2308=""),U2308,U2308*V2308)</f>
        <v/>
      </c>
      <c r="X2308" s="18" t="inlineStr">
        <is>
          <t>30-48</t>
        </is>
      </c>
      <c r="Y2308" s="19" t="inlineStr"/>
      <c r="Z2308" s="18">
        <f>IF(Y2308="",X2308,Y2308)</f>
        <v/>
      </c>
      <c r="AA2308" s="18" t="inlineStr">
        <is>
          <t>submerged</t>
        </is>
      </c>
      <c r="AB2308" s="18" t="inlineStr"/>
      <c r="AC2308" s="18" t="inlineStr"/>
      <c r="AD2308" s="18" t="inlineStr"/>
      <c r="AE2308" s="18" t="inlineStr">
        <is>
          <t>sky 8-15</t>
        </is>
      </c>
      <c r="AF2308" s="18" t="inlineStr">
        <is>
          <t>False</t>
        </is>
      </c>
      <c r="AG2308" s="18" t="inlineStr"/>
      <c r="AH2308" s="18" t="inlineStr"/>
      <c r="AI2308" s="18" t="inlineStr"/>
      <c r="AJ2308" s="18" t="inlineStr">
        <is>
          <t>COBBLEVERSE 수정</t>
        </is>
      </c>
      <c r="AK2308" s="18" t="inlineStr">
        <is>
          <t>사용</t>
        </is>
      </c>
      <c r="AL2308" s="18" t="inlineStr">
        <is>
          <t>COBBLEVERSE 1.7.42 / DP v31</t>
        </is>
      </c>
      <c r="AM2308" s="18" t="inlineStr">
        <is>
          <t>data/cobblemon/spawn_pool_world/0687_malamar.json</t>
        </is>
      </c>
      <c r="AN2308" s="18" t="inlineStr">
        <is>
          <t>malamar-4</t>
        </is>
      </c>
      <c r="AO2308" s="18" t="inlineStr">
        <is>
          <t>pokemon</t>
        </is>
      </c>
      <c r="AP2308" s="18" t="inlineStr">
        <is>
          <t>water</t>
        </is>
      </c>
      <c r="AQ2308" s="18" t="inlineStr">
        <is>
          <t>{"biomes":["#cobblemon:is_ocean"],"canSeeSky":false,"maxSkyLight":15,"minSkyLight":8}</t>
        </is>
      </c>
      <c r="AR2308" s="18" t="inlineStr"/>
      <c r="AS2308" s="18" t="inlineStr"/>
      <c r="AT2308" s="19" t="inlineStr"/>
    </row>
    <row r="2309" ht="32" customHeight="1">
      <c r="A2309" s="18" t="inlineStr">
        <is>
          <t>0687_malamar.json::malamar-5::009</t>
        </is>
      </c>
      <c r="B2309" s="19" t="inlineStr">
        <is>
          <t>사용</t>
        </is>
      </c>
      <c r="C2309" s="18">
        <f>IF(OR(B2309&lt;&gt;AK2309,M2309&lt;&gt;L2309,O2309&lt;&gt;"",Q2309&lt;&gt;"",V2309&lt;&gt;1,Y2309&lt;&gt;"",AT2309&lt;&gt;""),"수정","원본")</f>
        <v/>
      </c>
      <c r="D2309" s="18" t="n">
        <v>687</v>
      </c>
      <c r="E2309" s="18" t="inlineStr">
        <is>
          <t>칼라마네로</t>
        </is>
      </c>
      <c r="F2309" s="18" t="inlineStr">
        <is>
          <t>malamar</t>
        </is>
      </c>
      <c r="G2309" s="18" t="inlineStr">
        <is>
          <t>malamar</t>
        </is>
      </c>
      <c r="H2309" s="18" t="inlineStr"/>
      <c r="I2309" s="18" t="n">
        <v>6</v>
      </c>
      <c r="J2309" s="18" t="n"/>
      <c r="K2309" s="18" t="n">
        <v>6</v>
      </c>
      <c r="L2309" s="18" t="inlineStr">
        <is>
          <t>cobbleventure:generation_6</t>
        </is>
      </c>
      <c r="M2309" s="19" t="inlineStr">
        <is>
          <t>cobbleventure:generation_6</t>
        </is>
      </c>
      <c r="N2309" s="18" t="inlineStr">
        <is>
          <t>region_01; region_02</t>
        </is>
      </c>
      <c r="O2309" s="19" t="inlineStr"/>
      <c r="P2309" s="18" t="inlineStr">
        <is>
          <t>#cobblemon:is_overworld</t>
        </is>
      </c>
      <c r="Q2309" s="19" t="inlineStr"/>
      <c r="R2309" s="18">
        <f>IF(Q2309="",P2309,Q2309)</f>
        <v/>
      </c>
      <c r="S2309" s="18" t="inlineStr"/>
      <c r="T2309" s="18" t="inlineStr">
        <is>
          <t>uncommon</t>
        </is>
      </c>
      <c r="U2309" s="20" t="n">
        <v>1.6</v>
      </c>
      <c r="V2309" s="21" t="n">
        <v>1</v>
      </c>
      <c r="W2309" s="20">
        <f>IF(OR(U2309="",V2309=""),U2309,U2309*V2309)</f>
        <v/>
      </c>
      <c r="X2309" s="18" t="inlineStr">
        <is>
          <t>30-48</t>
        </is>
      </c>
      <c r="Y2309" s="19" t="inlineStr"/>
      <c r="Z2309" s="18">
        <f>IF(Y2309="",X2309,Y2309)</f>
        <v/>
      </c>
      <c r="AA2309" s="18" t="inlineStr">
        <is>
          <t>submerged</t>
        </is>
      </c>
      <c r="AB2309" s="18" t="inlineStr"/>
      <c r="AC2309" s="18" t="inlineStr"/>
      <c r="AD2309" s="18" t="inlineStr">
        <is>
          <t>minY=-60, maxY=13</t>
        </is>
      </c>
      <c r="AE2309" s="18" t="inlineStr"/>
      <c r="AF2309" s="18" t="inlineStr">
        <is>
          <t>False</t>
        </is>
      </c>
      <c r="AG2309" s="18" t="inlineStr">
        <is>
          <t>cobblemon:shipwreck_coves/submerged_shipwreck_cove</t>
        </is>
      </c>
      <c r="AH2309" s="18" t="inlineStr"/>
      <c r="AI2309" s="18" t="inlineStr"/>
      <c r="AJ2309" s="18" t="inlineStr">
        <is>
          <t>COBBLEVERSE 수정</t>
        </is>
      </c>
      <c r="AK2309" s="18" t="inlineStr">
        <is>
          <t>사용</t>
        </is>
      </c>
      <c r="AL2309" s="18" t="inlineStr">
        <is>
          <t>COBBLEVERSE 1.7.42 / DP v31</t>
        </is>
      </c>
      <c r="AM2309" s="18" t="inlineStr">
        <is>
          <t>data/cobblemon/spawn_pool_world/0687_malamar.json</t>
        </is>
      </c>
      <c r="AN2309" s="18" t="inlineStr">
        <is>
          <t>malamar-5</t>
        </is>
      </c>
      <c r="AO2309" s="18" t="inlineStr">
        <is>
          <t>pokemon</t>
        </is>
      </c>
      <c r="AP2309" s="18" t="inlineStr">
        <is>
          <t>water</t>
        </is>
      </c>
      <c r="AQ2309" s="18" t="inlineStr">
        <is>
          <t>{"biomes":["#cobblemon:is_overworld"],"canSeeSky":false,"maxY":13,"minY":-60,"structures":["cobblemon:shipwreck_coves/submerged_shipwreck_cove"]}</t>
        </is>
      </c>
      <c r="AR2309" s="18" t="inlineStr"/>
      <c r="AS2309" s="18" t="inlineStr"/>
      <c r="AT2309" s="19" t="inlineStr"/>
    </row>
    <row r="2310" ht="32" customHeight="1">
      <c r="A2310" s="18" t="inlineStr">
        <is>
          <t>0687_malamar.json::malamar-10::010</t>
        </is>
      </c>
      <c r="B2310" s="19" t="inlineStr">
        <is>
          <t>사용</t>
        </is>
      </c>
      <c r="C2310" s="18">
        <f>IF(OR(B2310&lt;&gt;AK2310,M2310&lt;&gt;L2310,O2310&lt;&gt;"",Q2310&lt;&gt;"",V2310&lt;&gt;1,Y2310&lt;&gt;"",AT2310&lt;&gt;""),"수정","원본")</f>
        <v/>
      </c>
      <c r="D2310" s="18" t="n">
        <v>687</v>
      </c>
      <c r="E2310" s="18" t="inlineStr">
        <is>
          <t>칼라마네로</t>
        </is>
      </c>
      <c r="F2310" s="18" t="inlineStr">
        <is>
          <t>malamar</t>
        </is>
      </c>
      <c r="G2310" s="18" t="inlineStr">
        <is>
          <t>malamar</t>
        </is>
      </c>
      <c r="H2310" s="18" t="inlineStr"/>
      <c r="I2310" s="18" t="n">
        <v>6</v>
      </c>
      <c r="J2310" s="18" t="n"/>
      <c r="K2310" s="18" t="n">
        <v>6</v>
      </c>
      <c r="L2310" s="18" t="inlineStr">
        <is>
          <t>cobbleventure:generation_6</t>
        </is>
      </c>
      <c r="M2310" s="19" t="inlineStr">
        <is>
          <t>cobbleventure:generation_6</t>
        </is>
      </c>
      <c r="N2310" s="18" t="inlineStr">
        <is>
          <t>region_01; region_02</t>
        </is>
      </c>
      <c r="O2310" s="19" t="inlineStr"/>
      <c r="P2310" s="18" t="inlineStr">
        <is>
          <t>#cobblemon:is_overworld</t>
        </is>
      </c>
      <c r="Q2310" s="19" t="inlineStr"/>
      <c r="R2310" s="18">
        <f>IF(Q2310="",P2310,Q2310)</f>
        <v/>
      </c>
      <c r="S2310" s="18" t="inlineStr"/>
      <c r="T2310" s="18" t="inlineStr">
        <is>
          <t>uncommon</t>
        </is>
      </c>
      <c r="U2310" s="20" t="n">
        <v>1.6</v>
      </c>
      <c r="V2310" s="21" t="n">
        <v>1</v>
      </c>
      <c r="W2310" s="20">
        <f>IF(OR(U2310="",V2310=""),U2310,U2310*V2310)</f>
        <v/>
      </c>
      <c r="X2310" s="18" t="inlineStr">
        <is>
          <t>30-48</t>
        </is>
      </c>
      <c r="Y2310" s="19" t="inlineStr"/>
      <c r="Z2310" s="18">
        <f>IF(Y2310="",X2310,Y2310)</f>
        <v/>
      </c>
      <c r="AA2310" s="18" t="inlineStr">
        <is>
          <t>fishing</t>
        </is>
      </c>
      <c r="AB2310" s="18" t="inlineStr"/>
      <c r="AC2310" s="18" t="inlineStr"/>
      <c r="AD2310" s="18" t="inlineStr">
        <is>
          <t>minY=-60, maxY=13</t>
        </is>
      </c>
      <c r="AE2310" s="18" t="inlineStr"/>
      <c r="AF2310" s="18" t="inlineStr">
        <is>
          <t>False</t>
        </is>
      </c>
      <c r="AG2310" s="18" t="inlineStr">
        <is>
          <t>cobblemon:shipwreck_coves/submerged_shipwreck_cove</t>
        </is>
      </c>
      <c r="AH2310" s="18" t="inlineStr"/>
      <c r="AI2310" s="18" t="inlineStr"/>
      <c r="AJ2310" s="18" t="inlineStr">
        <is>
          <t>COBBLEVERSE 수정</t>
        </is>
      </c>
      <c r="AK2310" s="18" t="inlineStr">
        <is>
          <t>사용</t>
        </is>
      </c>
      <c r="AL2310" s="18" t="inlineStr">
        <is>
          <t>COBBLEVERSE 1.7.42 / DP v31</t>
        </is>
      </c>
      <c r="AM2310" s="18" t="inlineStr">
        <is>
          <t>data/cobblemon/spawn_pool_world/0687_malamar.json</t>
        </is>
      </c>
      <c r="AN2310" s="18" t="inlineStr">
        <is>
          <t>malamar-10</t>
        </is>
      </c>
      <c r="AO2310" s="18" t="inlineStr">
        <is>
          <t>pokemon</t>
        </is>
      </c>
      <c r="AP2310" s="18" t="inlineStr"/>
      <c r="AQ2310" s="18" t="inlineStr">
        <is>
          <t>{"biomes":["#cobblemon:is_overworld"],"canSeeSky":false,"maxY":13,"minY":-60,"structures":["cobblemon:shipwreck_coves/submerged_shipwreck_cove"]}</t>
        </is>
      </c>
      <c r="AR2310" s="18" t="inlineStr">
        <is>
          <t>{"minLureLevel":1}</t>
        </is>
      </c>
      <c r="AS2310" s="18" t="inlineStr"/>
      <c r="AT2310" s="19" t="inlineStr"/>
    </row>
    <row r="2311" ht="32" customHeight="1">
      <c r="A2311" s="18" t="inlineStr">
        <is>
          <t>0687_malamar.json::malamar-11::011</t>
        </is>
      </c>
      <c r="B2311" s="19" t="inlineStr">
        <is>
          <t>사용</t>
        </is>
      </c>
      <c r="C2311" s="18">
        <f>IF(OR(B2311&lt;&gt;AK2311,M2311&lt;&gt;L2311,O2311&lt;&gt;"",Q2311&lt;&gt;"",V2311&lt;&gt;1,Y2311&lt;&gt;"",AT2311&lt;&gt;""),"수정","원본")</f>
        <v/>
      </c>
      <c r="D2311" s="18" t="n">
        <v>687</v>
      </c>
      <c r="E2311" s="18" t="inlineStr">
        <is>
          <t>칼라마네로</t>
        </is>
      </c>
      <c r="F2311" s="18" t="inlineStr">
        <is>
          <t>malamar</t>
        </is>
      </c>
      <c r="G2311" s="18" t="inlineStr">
        <is>
          <t>malamar</t>
        </is>
      </c>
      <c r="H2311" s="18" t="inlineStr"/>
      <c r="I2311" s="18" t="n">
        <v>6</v>
      </c>
      <c r="J2311" s="18" t="n"/>
      <c r="K2311" s="18" t="n">
        <v>6</v>
      </c>
      <c r="L2311" s="18" t="inlineStr">
        <is>
          <t>cobbleventure:generation_6</t>
        </is>
      </c>
      <c r="M2311" s="19" t="inlineStr">
        <is>
          <t>cobbleventure:generation_6</t>
        </is>
      </c>
      <c r="N2311" s="18" t="inlineStr">
        <is>
          <t>region_01; region_02</t>
        </is>
      </c>
      <c r="O2311" s="19" t="inlineStr"/>
      <c r="P2311" s="18" t="inlineStr">
        <is>
          <t>#cobblemon:is_overworld</t>
        </is>
      </c>
      <c r="Q2311" s="19" t="inlineStr"/>
      <c r="R2311" s="18">
        <f>IF(Q2311="",P2311,Q2311)</f>
        <v/>
      </c>
      <c r="S2311" s="18" t="inlineStr"/>
      <c r="T2311" s="18" t="inlineStr">
        <is>
          <t>common</t>
        </is>
      </c>
      <c r="U2311" s="20" t="n">
        <v>0.6</v>
      </c>
      <c r="V2311" s="21" t="n">
        <v>1</v>
      </c>
      <c r="W2311" s="20">
        <f>IF(OR(U2311="",V2311=""),U2311,U2311*V2311)</f>
        <v/>
      </c>
      <c r="X2311" s="18" t="inlineStr">
        <is>
          <t>30-48</t>
        </is>
      </c>
      <c r="Y2311" s="19" t="inlineStr"/>
      <c r="Z2311" s="18">
        <f>IF(Y2311="",X2311,Y2311)</f>
        <v/>
      </c>
      <c r="AA2311" s="18" t="inlineStr">
        <is>
          <t>fishing</t>
        </is>
      </c>
      <c r="AB2311" s="18" t="inlineStr"/>
      <c r="AC2311" s="18" t="inlineStr"/>
      <c r="AD2311" s="18" t="inlineStr">
        <is>
          <t>minY=-60, maxY=13</t>
        </is>
      </c>
      <c r="AE2311" s="18" t="inlineStr"/>
      <c r="AF2311" s="18" t="inlineStr">
        <is>
          <t>False</t>
        </is>
      </c>
      <c r="AG2311" s="18" t="inlineStr">
        <is>
          <t>cobblemon:shipwreck_coves/submerged_shipwreck_cove</t>
        </is>
      </c>
      <c r="AH2311" s="18" t="inlineStr"/>
      <c r="AI2311" s="18" t="inlineStr">
        <is>
          <t>{"fishing":{"minLureLevel":1}}</t>
        </is>
      </c>
      <c r="AJ2311" s="18" t="inlineStr">
        <is>
          <t>COBBLEVERSE 수정</t>
        </is>
      </c>
      <c r="AK2311" s="18" t="inlineStr">
        <is>
          <t>사용</t>
        </is>
      </c>
      <c r="AL2311" s="18" t="inlineStr">
        <is>
          <t>COBBLEVERSE 1.7.42 / DP v31</t>
        </is>
      </c>
      <c r="AM2311" s="18" t="inlineStr">
        <is>
          <t>data/cobblemon/spawn_pool_world/0687_malamar.json</t>
        </is>
      </c>
      <c r="AN2311" s="18" t="inlineStr">
        <is>
          <t>malamar-11</t>
        </is>
      </c>
      <c r="AO2311" s="18" t="inlineStr">
        <is>
          <t>pokemon</t>
        </is>
      </c>
      <c r="AP2311" s="18" t="inlineStr"/>
      <c r="AQ2311" s="18" t="inlineStr">
        <is>
          <t>{"biomes":["#cobblemon:is_overworld"],"canSeeSky":false,"maxY":13,"minLureLevel":1,"minY":-60,"structures":["cobblemon:shipwreck_coves/submerged_shipwreck_cove"]}</t>
        </is>
      </c>
      <c r="AR2311" s="18" t="inlineStr"/>
      <c r="AS2311" s="18" t="inlineStr">
        <is>
          <t>{"weightMultiplier":{"condition":{"minLureLevel":3},"multiplier":3.0}}</t>
        </is>
      </c>
      <c r="AT2311" s="19" t="inlineStr"/>
    </row>
    <row r="2312" ht="32" customHeight="1">
      <c r="A2312" s="18" t="inlineStr">
        <is>
          <t>0688_binacle.json::binacle-3::001</t>
        </is>
      </c>
      <c r="B2312" s="19" t="inlineStr">
        <is>
          <t>사용</t>
        </is>
      </c>
      <c r="C2312" s="18">
        <f>IF(OR(B2312&lt;&gt;AK2312,M2312&lt;&gt;L2312,O2312&lt;&gt;"",Q2312&lt;&gt;"",V2312&lt;&gt;1,Y2312&lt;&gt;"",AT2312&lt;&gt;""),"수정","원본")</f>
        <v/>
      </c>
      <c r="D2312" s="18" t="n">
        <v>688</v>
      </c>
      <c r="E2312" s="18" t="inlineStr">
        <is>
          <t>거북손손</t>
        </is>
      </c>
      <c r="F2312" s="18" t="inlineStr">
        <is>
          <t>binacle</t>
        </is>
      </c>
      <c r="G2312" s="18" t="inlineStr">
        <is>
          <t>binacle</t>
        </is>
      </c>
      <c r="H2312" s="18" t="inlineStr"/>
      <c r="I2312" s="18" t="n">
        <v>6</v>
      </c>
      <c r="J2312" s="18" t="n"/>
      <c r="K2312" s="18" t="n">
        <v>6</v>
      </c>
      <c r="L2312" s="18" t="inlineStr">
        <is>
          <t>cobbleventure:generation_6</t>
        </is>
      </c>
      <c r="M2312" s="19" t="inlineStr">
        <is>
          <t>cobbleventure:generation_6</t>
        </is>
      </c>
      <c r="N2312" s="18" t="inlineStr"/>
      <c r="O2312" s="19" t="inlineStr"/>
      <c r="P2312" s="18" t="inlineStr">
        <is>
          <t>#cobblemon:is_coast; #cobblemon:is_ocean</t>
        </is>
      </c>
      <c r="Q2312" s="19" t="inlineStr"/>
      <c r="R2312" s="18">
        <f>IF(Q2312="",P2312,Q2312)</f>
        <v/>
      </c>
      <c r="S2312" s="18" t="inlineStr"/>
      <c r="T2312" s="18" t="inlineStr">
        <is>
          <t>uncommon</t>
        </is>
      </c>
      <c r="U2312" s="20" t="n">
        <v>5.04</v>
      </c>
      <c r="V2312" s="21" t="n">
        <v>1</v>
      </c>
      <c r="W2312" s="20">
        <f>IF(OR(U2312="",V2312=""),U2312,U2312*V2312)</f>
        <v/>
      </c>
      <c r="X2312" s="18" t="inlineStr">
        <is>
          <t>6-31</t>
        </is>
      </c>
      <c r="Y2312" s="19" t="inlineStr"/>
      <c r="Z2312" s="18">
        <f>IF(Y2312="",X2312,Y2312)</f>
        <v/>
      </c>
      <c r="AA2312" s="18" t="inlineStr">
        <is>
          <t>fishing</t>
        </is>
      </c>
      <c r="AB2312" s="18" t="inlineStr"/>
      <c r="AC2312" s="18" t="inlineStr"/>
      <c r="AD2312" s="18" t="inlineStr"/>
      <c r="AE2312" s="18" t="inlineStr"/>
      <c r="AF2312" s="18" t="inlineStr"/>
      <c r="AG2312" s="18" t="inlineStr"/>
      <c r="AH2312" s="18" t="inlineStr"/>
      <c r="AI2312" s="18" t="inlineStr"/>
      <c r="AJ2312" s="18" t="inlineStr">
        <is>
          <t>Cobblemon 동일</t>
        </is>
      </c>
      <c r="AK2312" s="18" t="inlineStr">
        <is>
          <t>사용</t>
        </is>
      </c>
      <c r="AL2312" s="18" t="inlineStr">
        <is>
          <t>COBBLEVERSE 1.7.42 / DP v31</t>
        </is>
      </c>
      <c r="AM2312" s="18" t="inlineStr">
        <is>
          <t>data/cobblemon/spawn_pool_world/0688_binacle.json</t>
        </is>
      </c>
      <c r="AN2312" s="18" t="inlineStr">
        <is>
          <t>binacle-3</t>
        </is>
      </c>
      <c r="AO2312" s="18" t="inlineStr">
        <is>
          <t>pokemon</t>
        </is>
      </c>
      <c r="AP2312" s="18" t="inlineStr"/>
      <c r="AQ2312" s="18" t="inlineStr">
        <is>
          <t>{"biomes":["#cobblemon:is_coast","#cobblemon:is_ocean"]}</t>
        </is>
      </c>
      <c r="AR2312" s="18" t="inlineStr">
        <is>
          <t>{"minLureLevel":1}</t>
        </is>
      </c>
      <c r="AS2312" s="18" t="inlineStr"/>
      <c r="AT2312" s="19" t="inlineStr"/>
    </row>
    <row r="2313" ht="32" customHeight="1">
      <c r="A2313" s="18" t="inlineStr">
        <is>
          <t>0688_binacle.json::binacle-4::002</t>
        </is>
      </c>
      <c r="B2313" s="19" t="inlineStr">
        <is>
          <t>사용</t>
        </is>
      </c>
      <c r="C2313" s="18">
        <f>IF(OR(B2313&lt;&gt;AK2313,M2313&lt;&gt;L2313,O2313&lt;&gt;"",Q2313&lt;&gt;"",V2313&lt;&gt;1,Y2313&lt;&gt;"",AT2313&lt;&gt;""),"수정","원본")</f>
        <v/>
      </c>
      <c r="D2313" s="18" t="n">
        <v>688</v>
      </c>
      <c r="E2313" s="18" t="inlineStr">
        <is>
          <t>거북손손</t>
        </is>
      </c>
      <c r="F2313" s="18" t="inlineStr">
        <is>
          <t>binacle</t>
        </is>
      </c>
      <c r="G2313" s="18" t="inlineStr">
        <is>
          <t>binacle</t>
        </is>
      </c>
      <c r="H2313" s="18" t="inlineStr"/>
      <c r="I2313" s="18" t="n">
        <v>6</v>
      </c>
      <c r="J2313" s="18" t="n"/>
      <c r="K2313" s="18" t="n">
        <v>6</v>
      </c>
      <c r="L2313" s="18" t="inlineStr">
        <is>
          <t>cobbleventure:generation_6</t>
        </is>
      </c>
      <c r="M2313" s="19" t="inlineStr">
        <is>
          <t>cobbleventure:generation_6</t>
        </is>
      </c>
      <c r="N2313" s="18" t="inlineStr"/>
      <c r="O2313" s="19" t="inlineStr"/>
      <c r="P2313" s="18" t="inlineStr">
        <is>
          <t>#cobblemon:is_coast; #cobblemon:is_ocean</t>
        </is>
      </c>
      <c r="Q2313" s="19" t="inlineStr"/>
      <c r="R2313" s="18">
        <f>IF(Q2313="",P2313,Q2313)</f>
        <v/>
      </c>
      <c r="S2313" s="18" t="inlineStr"/>
      <c r="T2313" s="18" t="inlineStr">
        <is>
          <t>common</t>
        </is>
      </c>
      <c r="U2313" s="20" t="n">
        <v>1.8</v>
      </c>
      <c r="V2313" s="21" t="n">
        <v>1</v>
      </c>
      <c r="W2313" s="20">
        <f>IF(OR(U2313="",V2313=""),U2313,U2313*V2313)</f>
        <v/>
      </c>
      <c r="X2313" s="18" t="inlineStr">
        <is>
          <t>6-31</t>
        </is>
      </c>
      <c r="Y2313" s="19" t="inlineStr"/>
      <c r="Z2313" s="18">
        <f>IF(Y2313="",X2313,Y2313)</f>
        <v/>
      </c>
      <c r="AA2313" s="18" t="inlineStr">
        <is>
          <t>fishing</t>
        </is>
      </c>
      <c r="AB2313" s="18" t="inlineStr"/>
      <c r="AC2313" s="18" t="inlineStr"/>
      <c r="AD2313" s="18" t="inlineStr"/>
      <c r="AE2313" s="18" t="inlineStr"/>
      <c r="AF2313" s="18" t="inlineStr"/>
      <c r="AG2313" s="18" t="inlineStr"/>
      <c r="AH2313" s="18" t="inlineStr"/>
      <c r="AI2313" s="18" t="inlineStr">
        <is>
          <t>{"fishing":{"minLureLevel":1}}</t>
        </is>
      </c>
      <c r="AJ2313" s="18" t="inlineStr">
        <is>
          <t>Cobblemon 동일</t>
        </is>
      </c>
      <c r="AK2313" s="18" t="inlineStr">
        <is>
          <t>사용</t>
        </is>
      </c>
      <c r="AL2313" s="18" t="inlineStr">
        <is>
          <t>COBBLEVERSE 1.7.42 / DP v31</t>
        </is>
      </c>
      <c r="AM2313" s="18" t="inlineStr">
        <is>
          <t>data/cobblemon/spawn_pool_world/0688_binacle.json</t>
        </is>
      </c>
      <c r="AN2313" s="18" t="inlineStr">
        <is>
          <t>binacle-4</t>
        </is>
      </c>
      <c r="AO2313" s="18" t="inlineStr">
        <is>
          <t>pokemon</t>
        </is>
      </c>
      <c r="AP2313" s="18" t="inlineStr"/>
      <c r="AQ2313" s="18" t="inlineStr">
        <is>
          <t>{"biomes":["#cobblemon:is_coast","#cobblemon:is_ocean"],"minLureLevel":1}</t>
        </is>
      </c>
      <c r="AR2313" s="18" t="inlineStr"/>
      <c r="AS2313" s="18" t="inlineStr">
        <is>
          <t>{"weightMultiplier":{"condition":{"minLureLevel":3},"multiplier":3.0}}</t>
        </is>
      </c>
      <c r="AT2313" s="19" t="inlineStr"/>
    </row>
    <row r="2314" ht="32" customHeight="1">
      <c r="A2314" s="18" t="inlineStr">
        <is>
          <t>0688_binacle.json::binacle-1::003</t>
        </is>
      </c>
      <c r="B2314" s="19" t="inlineStr">
        <is>
          <t>사용</t>
        </is>
      </c>
      <c r="C2314" s="18">
        <f>IF(OR(B2314&lt;&gt;AK2314,M2314&lt;&gt;L2314,O2314&lt;&gt;"",Q2314&lt;&gt;"",V2314&lt;&gt;1,Y2314&lt;&gt;"",AT2314&lt;&gt;""),"수정","원본")</f>
        <v/>
      </c>
      <c r="D2314" s="18" t="n">
        <v>688</v>
      </c>
      <c r="E2314" s="18" t="inlineStr">
        <is>
          <t>거북손손</t>
        </is>
      </c>
      <c r="F2314" s="18" t="inlineStr">
        <is>
          <t>binacle</t>
        </is>
      </c>
      <c r="G2314" s="18" t="inlineStr">
        <is>
          <t>binacle</t>
        </is>
      </c>
      <c r="H2314" s="18" t="inlineStr"/>
      <c r="I2314" s="18" t="n">
        <v>6</v>
      </c>
      <c r="J2314" s="18" t="n"/>
      <c r="K2314" s="18" t="n">
        <v>6</v>
      </c>
      <c r="L2314" s="18" t="inlineStr">
        <is>
          <t>cobbleventure:generation_6</t>
        </is>
      </c>
      <c r="M2314" s="19" t="inlineStr">
        <is>
          <t>cobbleventure:generation_6</t>
        </is>
      </c>
      <c r="N2314" s="18" t="inlineStr"/>
      <c r="O2314" s="19" t="inlineStr"/>
      <c r="P2314" s="18" t="inlineStr">
        <is>
          <t>#cobblemon:is_coast</t>
        </is>
      </c>
      <c r="Q2314" s="19" t="inlineStr"/>
      <c r="R2314" s="18">
        <f>IF(Q2314="",P2314,Q2314)</f>
        <v/>
      </c>
      <c r="S2314" s="18" t="inlineStr"/>
      <c r="T2314" s="18" t="inlineStr">
        <is>
          <t>common</t>
        </is>
      </c>
      <c r="U2314" s="20" t="n">
        <v>1.8</v>
      </c>
      <c r="V2314" s="21" t="n">
        <v>1</v>
      </c>
      <c r="W2314" s="20">
        <f>IF(OR(U2314="",V2314=""),U2314,U2314*V2314)</f>
        <v/>
      </c>
      <c r="X2314" s="18" t="inlineStr">
        <is>
          <t>6-31</t>
        </is>
      </c>
      <c r="Y2314" s="19" t="inlineStr"/>
      <c r="Z2314" s="18">
        <f>IF(Y2314="",X2314,Y2314)</f>
        <v/>
      </c>
      <c r="AA2314" s="18" t="inlineStr">
        <is>
          <t>grounded</t>
        </is>
      </c>
      <c r="AB2314" s="18" t="inlineStr"/>
      <c r="AC2314" s="18" t="inlineStr"/>
      <c r="AD2314" s="18" t="inlineStr"/>
      <c r="AE2314" s="18" t="inlineStr"/>
      <c r="AF2314" s="18" t="inlineStr"/>
      <c r="AG2314" s="18" t="inlineStr"/>
      <c r="AH2314" s="18" t="inlineStr"/>
      <c r="AI2314" s="18" t="inlineStr"/>
      <c r="AJ2314" s="18" t="inlineStr">
        <is>
          <t>Cobblemon 동일</t>
        </is>
      </c>
      <c r="AK2314" s="18" t="inlineStr">
        <is>
          <t>사용</t>
        </is>
      </c>
      <c r="AL2314" s="18" t="inlineStr">
        <is>
          <t>COBBLEVERSE 1.7.42 / DP v31</t>
        </is>
      </c>
      <c r="AM2314" s="18" t="inlineStr">
        <is>
          <t>data/cobblemon/spawn_pool_world/0688_binacle.json</t>
        </is>
      </c>
      <c r="AN2314" s="18" t="inlineStr">
        <is>
          <t>binacle-1</t>
        </is>
      </c>
      <c r="AO2314" s="18" t="inlineStr">
        <is>
          <t>pokemon</t>
        </is>
      </c>
      <c r="AP2314" s="18" t="inlineStr"/>
      <c r="AQ2314" s="18" t="inlineStr">
        <is>
          <t>{"biomes":["#cobblemon:is_coast"]}</t>
        </is>
      </c>
      <c r="AR2314" s="18" t="inlineStr"/>
      <c r="AS2314" s="18" t="inlineStr"/>
      <c r="AT2314" s="19" t="inlineStr"/>
    </row>
    <row r="2315" ht="32" customHeight="1">
      <c r="A2315" s="18" t="inlineStr">
        <is>
          <t>0688_binacle.json::binacle-2::004</t>
        </is>
      </c>
      <c r="B2315" s="19" t="inlineStr">
        <is>
          <t>사용</t>
        </is>
      </c>
      <c r="C2315" s="18">
        <f>IF(OR(B2315&lt;&gt;AK2315,M2315&lt;&gt;L2315,O2315&lt;&gt;"",Q2315&lt;&gt;"",V2315&lt;&gt;1,Y2315&lt;&gt;"",AT2315&lt;&gt;""),"수정","원본")</f>
        <v/>
      </c>
      <c r="D2315" s="18" t="n">
        <v>688</v>
      </c>
      <c r="E2315" s="18" t="inlineStr">
        <is>
          <t>거북손손</t>
        </is>
      </c>
      <c r="F2315" s="18" t="inlineStr">
        <is>
          <t>binacle</t>
        </is>
      </c>
      <c r="G2315" s="18" t="inlineStr">
        <is>
          <t>binacle</t>
        </is>
      </c>
      <c r="H2315" s="18" t="inlineStr"/>
      <c r="I2315" s="18" t="n">
        <v>6</v>
      </c>
      <c r="J2315" s="18" t="n"/>
      <c r="K2315" s="18" t="n">
        <v>6</v>
      </c>
      <c r="L2315" s="18" t="inlineStr">
        <is>
          <t>cobbleventure:generation_6</t>
        </is>
      </c>
      <c r="M2315" s="19" t="inlineStr">
        <is>
          <t>cobbleventure:generation_6</t>
        </is>
      </c>
      <c r="N2315" s="18" t="inlineStr"/>
      <c r="O2315" s="19" t="inlineStr"/>
      <c r="P2315" s="18" t="inlineStr">
        <is>
          <t>#cobblemon:is_ocean</t>
        </is>
      </c>
      <c r="Q2315" s="19" t="inlineStr"/>
      <c r="R2315" s="18">
        <f>IF(Q2315="",P2315,Q2315)</f>
        <v/>
      </c>
      <c r="S2315" s="18" t="inlineStr"/>
      <c r="T2315" s="18" t="inlineStr">
        <is>
          <t>uncommon</t>
        </is>
      </c>
      <c r="U2315" s="20" t="n">
        <v>8.4</v>
      </c>
      <c r="V2315" s="21" t="n">
        <v>1</v>
      </c>
      <c r="W2315" s="20">
        <f>IF(OR(U2315="",V2315=""),U2315,U2315*V2315)</f>
        <v/>
      </c>
      <c r="X2315" s="18" t="inlineStr">
        <is>
          <t>6-31</t>
        </is>
      </c>
      <c r="Y2315" s="19" t="inlineStr"/>
      <c r="Z2315" s="18">
        <f>IF(Y2315="",X2315,Y2315)</f>
        <v/>
      </c>
      <c r="AA2315" s="18" t="inlineStr">
        <is>
          <t>seafloor</t>
        </is>
      </c>
      <c r="AB2315" s="18" t="inlineStr"/>
      <c r="AC2315" s="18" t="inlineStr"/>
      <c r="AD2315" s="18" t="inlineStr"/>
      <c r="AE2315" s="18" t="inlineStr"/>
      <c r="AF2315" s="18" t="inlineStr"/>
      <c r="AG2315" s="18" t="inlineStr"/>
      <c r="AH2315" s="18" t="inlineStr"/>
      <c r="AI2315" s="18" t="inlineStr"/>
      <c r="AJ2315" s="18" t="inlineStr">
        <is>
          <t>Cobblemon 동일</t>
        </is>
      </c>
      <c r="AK2315" s="18" t="inlineStr">
        <is>
          <t>사용</t>
        </is>
      </c>
      <c r="AL2315" s="18" t="inlineStr">
        <is>
          <t>COBBLEVERSE 1.7.42 / DP v31</t>
        </is>
      </c>
      <c r="AM2315" s="18" t="inlineStr">
        <is>
          <t>data/cobblemon/spawn_pool_world/0688_binacle.json</t>
        </is>
      </c>
      <c r="AN2315" s="18" t="inlineStr">
        <is>
          <t>binacle-2</t>
        </is>
      </c>
      <c r="AO2315" s="18" t="inlineStr">
        <is>
          <t>pokemon</t>
        </is>
      </c>
      <c r="AP2315" s="18" t="inlineStr">
        <is>
          <t>water</t>
        </is>
      </c>
      <c r="AQ2315" s="18" t="inlineStr">
        <is>
          <t>{"biomes":["#cobblemon:is_ocean"]}</t>
        </is>
      </c>
      <c r="AR2315" s="18" t="inlineStr"/>
      <c r="AS2315" s="18" t="inlineStr"/>
      <c r="AT2315" s="19" t="inlineStr"/>
    </row>
    <row r="2316" ht="32" customHeight="1">
      <c r="A2316" s="18" t="inlineStr">
        <is>
          <t>0689_barbaracle.json::barbaracle-3::001</t>
        </is>
      </c>
      <c r="B2316" s="19" t="inlineStr">
        <is>
          <t>사용</t>
        </is>
      </c>
      <c r="C2316" s="18">
        <f>IF(OR(B2316&lt;&gt;AK2316,M2316&lt;&gt;L2316,O2316&lt;&gt;"",Q2316&lt;&gt;"",V2316&lt;&gt;1,Y2316&lt;&gt;"",AT2316&lt;&gt;""),"수정","원본")</f>
        <v/>
      </c>
      <c r="D2316" s="18" t="n">
        <v>689</v>
      </c>
      <c r="E2316" s="18" t="inlineStr">
        <is>
          <t>거북손데스</t>
        </is>
      </c>
      <c r="F2316" s="18" t="inlineStr">
        <is>
          <t>barbaracle</t>
        </is>
      </c>
      <c r="G2316" s="18" t="inlineStr">
        <is>
          <t>barbaracle</t>
        </is>
      </c>
      <c r="H2316" s="18" t="inlineStr"/>
      <c r="I2316" s="18" t="n">
        <v>6</v>
      </c>
      <c r="J2316" s="18" t="n"/>
      <c r="K2316" s="18" t="n">
        <v>6</v>
      </c>
      <c r="L2316" s="18" t="inlineStr">
        <is>
          <t>cobbleventure:generation_6</t>
        </is>
      </c>
      <c r="M2316" s="19" t="inlineStr">
        <is>
          <t>cobbleventure:generation_6</t>
        </is>
      </c>
      <c r="N2316" s="18" t="inlineStr"/>
      <c r="O2316" s="19" t="inlineStr"/>
      <c r="P2316" s="18" t="inlineStr">
        <is>
          <t>#cobblemon:is_coast; #cobblemon:is_ocean</t>
        </is>
      </c>
      <c r="Q2316" s="19" t="inlineStr"/>
      <c r="R2316" s="18">
        <f>IF(Q2316="",P2316,Q2316)</f>
        <v/>
      </c>
      <c r="S2316" s="18" t="inlineStr"/>
      <c r="T2316" s="18" t="inlineStr">
        <is>
          <t>uncommon</t>
        </is>
      </c>
      <c r="U2316" s="20" t="n">
        <v>0.96</v>
      </c>
      <c r="V2316" s="21" t="n">
        <v>1</v>
      </c>
      <c r="W2316" s="20">
        <f>IF(OR(U2316="",V2316=""),U2316,U2316*V2316)</f>
        <v/>
      </c>
      <c r="X2316" s="18" t="inlineStr">
        <is>
          <t>39-50</t>
        </is>
      </c>
      <c r="Y2316" s="19" t="inlineStr"/>
      <c r="Z2316" s="18">
        <f>IF(Y2316="",X2316,Y2316)</f>
        <v/>
      </c>
      <c r="AA2316" s="18" t="inlineStr">
        <is>
          <t>fishing</t>
        </is>
      </c>
      <c r="AB2316" s="18" t="inlineStr"/>
      <c r="AC2316" s="18" t="inlineStr"/>
      <c r="AD2316" s="18" t="inlineStr"/>
      <c r="AE2316" s="18" t="inlineStr"/>
      <c r="AF2316" s="18" t="inlineStr"/>
      <c r="AG2316" s="18" t="inlineStr"/>
      <c r="AH2316" s="18" t="inlineStr"/>
      <c r="AI2316" s="18" t="inlineStr"/>
      <c r="AJ2316" s="18" t="inlineStr">
        <is>
          <t>Cobblemon 동일</t>
        </is>
      </c>
      <c r="AK2316" s="18" t="inlineStr">
        <is>
          <t>사용</t>
        </is>
      </c>
      <c r="AL2316" s="18" t="inlineStr">
        <is>
          <t>COBBLEVERSE 1.7.42 / DP v31</t>
        </is>
      </c>
      <c r="AM2316" s="18" t="inlineStr">
        <is>
          <t>data/cobblemon/spawn_pool_world/0689_barbaracle.json</t>
        </is>
      </c>
      <c r="AN2316" s="18" t="inlineStr">
        <is>
          <t>barbaracle-3</t>
        </is>
      </c>
      <c r="AO2316" s="18" t="inlineStr">
        <is>
          <t>pokemon</t>
        </is>
      </c>
      <c r="AP2316" s="18" t="inlineStr"/>
      <c r="AQ2316" s="18" t="inlineStr">
        <is>
          <t>{"biomes":["#cobblemon:is_coast","#cobblemon:is_ocean"]}</t>
        </is>
      </c>
      <c r="AR2316" s="18" t="inlineStr">
        <is>
          <t>{"minLureLevel":1}</t>
        </is>
      </c>
      <c r="AS2316" s="18" t="inlineStr"/>
      <c r="AT2316" s="19" t="inlineStr"/>
    </row>
    <row r="2317" ht="32" customHeight="1">
      <c r="A2317" s="18" t="inlineStr">
        <is>
          <t>0689_barbaracle.json::barbaracle-4::002</t>
        </is>
      </c>
      <c r="B2317" s="19" t="inlineStr">
        <is>
          <t>사용</t>
        </is>
      </c>
      <c r="C2317" s="18">
        <f>IF(OR(B2317&lt;&gt;AK2317,M2317&lt;&gt;L2317,O2317&lt;&gt;"",Q2317&lt;&gt;"",V2317&lt;&gt;1,Y2317&lt;&gt;"",AT2317&lt;&gt;""),"수정","원본")</f>
        <v/>
      </c>
      <c r="D2317" s="18" t="n">
        <v>689</v>
      </c>
      <c r="E2317" s="18" t="inlineStr">
        <is>
          <t>거북손데스</t>
        </is>
      </c>
      <c r="F2317" s="18" t="inlineStr">
        <is>
          <t>barbaracle</t>
        </is>
      </c>
      <c r="G2317" s="18" t="inlineStr">
        <is>
          <t>barbaracle</t>
        </is>
      </c>
      <c r="H2317" s="18" t="inlineStr"/>
      <c r="I2317" s="18" t="n">
        <v>6</v>
      </c>
      <c r="J2317" s="18" t="n"/>
      <c r="K2317" s="18" t="n">
        <v>6</v>
      </c>
      <c r="L2317" s="18" t="inlineStr">
        <is>
          <t>cobbleventure:generation_6</t>
        </is>
      </c>
      <c r="M2317" s="19" t="inlineStr">
        <is>
          <t>cobbleventure:generation_6</t>
        </is>
      </c>
      <c r="N2317" s="18" t="inlineStr"/>
      <c r="O2317" s="19" t="inlineStr"/>
      <c r="P2317" s="18" t="inlineStr">
        <is>
          <t>#cobblemon:is_coast; #cobblemon:is_ocean</t>
        </is>
      </c>
      <c r="Q2317" s="19" t="inlineStr"/>
      <c r="R2317" s="18">
        <f>IF(Q2317="",P2317,Q2317)</f>
        <v/>
      </c>
      <c r="S2317" s="18" t="inlineStr"/>
      <c r="T2317" s="18" t="inlineStr">
        <is>
          <t>common</t>
        </is>
      </c>
      <c r="U2317" s="20" t="n">
        <v>0.2</v>
      </c>
      <c r="V2317" s="21" t="n">
        <v>1</v>
      </c>
      <c r="W2317" s="20">
        <f>IF(OR(U2317="",V2317=""),U2317,U2317*V2317)</f>
        <v/>
      </c>
      <c r="X2317" s="18" t="inlineStr">
        <is>
          <t>39-50</t>
        </is>
      </c>
      <c r="Y2317" s="19" t="inlineStr"/>
      <c r="Z2317" s="18">
        <f>IF(Y2317="",X2317,Y2317)</f>
        <v/>
      </c>
      <c r="AA2317" s="18" t="inlineStr">
        <is>
          <t>fishing</t>
        </is>
      </c>
      <c r="AB2317" s="18" t="inlineStr"/>
      <c r="AC2317" s="18" t="inlineStr"/>
      <c r="AD2317" s="18" t="inlineStr"/>
      <c r="AE2317" s="18" t="inlineStr"/>
      <c r="AF2317" s="18" t="inlineStr"/>
      <c r="AG2317" s="18" t="inlineStr"/>
      <c r="AH2317" s="18" t="inlineStr"/>
      <c r="AI2317" s="18" t="inlineStr">
        <is>
          <t>{"fishing":{"minLureLevel":1}}</t>
        </is>
      </c>
      <c r="AJ2317" s="18" t="inlineStr">
        <is>
          <t>Cobblemon 동일</t>
        </is>
      </c>
      <c r="AK2317" s="18" t="inlineStr">
        <is>
          <t>사용</t>
        </is>
      </c>
      <c r="AL2317" s="18" t="inlineStr">
        <is>
          <t>COBBLEVERSE 1.7.42 / DP v31</t>
        </is>
      </c>
      <c r="AM2317" s="18" t="inlineStr">
        <is>
          <t>data/cobblemon/spawn_pool_world/0689_barbaracle.json</t>
        </is>
      </c>
      <c r="AN2317" s="18" t="inlineStr">
        <is>
          <t>barbaracle-4</t>
        </is>
      </c>
      <c r="AO2317" s="18" t="inlineStr">
        <is>
          <t>pokemon</t>
        </is>
      </c>
      <c r="AP2317" s="18" t="inlineStr"/>
      <c r="AQ2317" s="18" t="inlineStr">
        <is>
          <t>{"biomes":["#cobblemon:is_coast","#cobblemon:is_ocean"],"minLureLevel":1}</t>
        </is>
      </c>
      <c r="AR2317" s="18" t="inlineStr"/>
      <c r="AS2317" s="18" t="inlineStr">
        <is>
          <t>{"weightMultiplier":{"condition":{"minLureLevel":3},"multiplier":3.0}}</t>
        </is>
      </c>
      <c r="AT2317" s="19" t="inlineStr"/>
    </row>
    <row r="2318" ht="32" customHeight="1">
      <c r="A2318" s="18" t="inlineStr">
        <is>
          <t>0689_barbaracle.json::barbaracle-1::003</t>
        </is>
      </c>
      <c r="B2318" s="19" t="inlineStr">
        <is>
          <t>사용</t>
        </is>
      </c>
      <c r="C2318" s="18">
        <f>IF(OR(B2318&lt;&gt;AK2318,M2318&lt;&gt;L2318,O2318&lt;&gt;"",Q2318&lt;&gt;"",V2318&lt;&gt;1,Y2318&lt;&gt;"",AT2318&lt;&gt;""),"수정","원본")</f>
        <v/>
      </c>
      <c r="D2318" s="18" t="n">
        <v>689</v>
      </c>
      <c r="E2318" s="18" t="inlineStr">
        <is>
          <t>거북손데스</t>
        </is>
      </c>
      <c r="F2318" s="18" t="inlineStr">
        <is>
          <t>barbaracle</t>
        </is>
      </c>
      <c r="G2318" s="18" t="inlineStr">
        <is>
          <t>barbaracle</t>
        </is>
      </c>
      <c r="H2318" s="18" t="inlineStr"/>
      <c r="I2318" s="18" t="n">
        <v>6</v>
      </c>
      <c r="J2318" s="18" t="n"/>
      <c r="K2318" s="18" t="n">
        <v>6</v>
      </c>
      <c r="L2318" s="18" t="inlineStr">
        <is>
          <t>cobbleventure:generation_6</t>
        </is>
      </c>
      <c r="M2318" s="19" t="inlineStr">
        <is>
          <t>cobbleventure:generation_6</t>
        </is>
      </c>
      <c r="N2318" s="18" t="inlineStr"/>
      <c r="O2318" s="19" t="inlineStr"/>
      <c r="P2318" s="18" t="inlineStr">
        <is>
          <t>#cobblemon:is_coast</t>
        </is>
      </c>
      <c r="Q2318" s="19" t="inlineStr"/>
      <c r="R2318" s="18">
        <f>IF(Q2318="",P2318,Q2318)</f>
        <v/>
      </c>
      <c r="S2318" s="18" t="inlineStr"/>
      <c r="T2318" s="18" t="inlineStr">
        <is>
          <t>common</t>
        </is>
      </c>
      <c r="U2318" s="20" t="n">
        <v>0.2</v>
      </c>
      <c r="V2318" s="21" t="n">
        <v>1</v>
      </c>
      <c r="W2318" s="20">
        <f>IF(OR(U2318="",V2318=""),U2318,U2318*V2318)</f>
        <v/>
      </c>
      <c r="X2318" s="18" t="inlineStr">
        <is>
          <t>39-50</t>
        </is>
      </c>
      <c r="Y2318" s="19" t="inlineStr"/>
      <c r="Z2318" s="18">
        <f>IF(Y2318="",X2318,Y2318)</f>
        <v/>
      </c>
      <c r="AA2318" s="18" t="inlineStr">
        <is>
          <t>grounded</t>
        </is>
      </c>
      <c r="AB2318" s="18" t="inlineStr"/>
      <c r="AC2318" s="18" t="inlineStr"/>
      <c r="AD2318" s="18" t="inlineStr"/>
      <c r="AE2318" s="18" t="inlineStr"/>
      <c r="AF2318" s="18" t="inlineStr"/>
      <c r="AG2318" s="18" t="inlineStr"/>
      <c r="AH2318" s="18" t="inlineStr"/>
      <c r="AI2318" s="18" t="inlineStr"/>
      <c r="AJ2318" s="18" t="inlineStr">
        <is>
          <t>Cobblemon 동일</t>
        </is>
      </c>
      <c r="AK2318" s="18" t="inlineStr">
        <is>
          <t>사용</t>
        </is>
      </c>
      <c r="AL2318" s="18" t="inlineStr">
        <is>
          <t>COBBLEVERSE 1.7.42 / DP v31</t>
        </is>
      </c>
      <c r="AM2318" s="18" t="inlineStr">
        <is>
          <t>data/cobblemon/spawn_pool_world/0689_barbaracle.json</t>
        </is>
      </c>
      <c r="AN2318" s="18" t="inlineStr">
        <is>
          <t>barbaracle-1</t>
        </is>
      </c>
      <c r="AO2318" s="18" t="inlineStr">
        <is>
          <t>pokemon</t>
        </is>
      </c>
      <c r="AP2318" s="18" t="inlineStr"/>
      <c r="AQ2318" s="18" t="inlineStr">
        <is>
          <t>{"biomes":["#cobblemon:is_coast"]}</t>
        </is>
      </c>
      <c r="AR2318" s="18" t="inlineStr"/>
      <c r="AS2318" s="18" t="inlineStr"/>
      <c r="AT2318" s="19" t="inlineStr"/>
    </row>
    <row r="2319" ht="32" customHeight="1">
      <c r="A2319" s="18" t="inlineStr">
        <is>
          <t>0689_barbaracle.json::barbaracle-2::004</t>
        </is>
      </c>
      <c r="B2319" s="19" t="inlineStr">
        <is>
          <t>사용</t>
        </is>
      </c>
      <c r="C2319" s="18">
        <f>IF(OR(B2319&lt;&gt;AK2319,M2319&lt;&gt;L2319,O2319&lt;&gt;"",Q2319&lt;&gt;"",V2319&lt;&gt;1,Y2319&lt;&gt;"",AT2319&lt;&gt;""),"수정","원본")</f>
        <v/>
      </c>
      <c r="D2319" s="18" t="n">
        <v>689</v>
      </c>
      <c r="E2319" s="18" t="inlineStr">
        <is>
          <t>거북손데스</t>
        </is>
      </c>
      <c r="F2319" s="18" t="inlineStr">
        <is>
          <t>barbaracle</t>
        </is>
      </c>
      <c r="G2319" s="18" t="inlineStr">
        <is>
          <t>barbaracle</t>
        </is>
      </c>
      <c r="H2319" s="18" t="inlineStr"/>
      <c r="I2319" s="18" t="n">
        <v>6</v>
      </c>
      <c r="J2319" s="18" t="n"/>
      <c r="K2319" s="18" t="n">
        <v>6</v>
      </c>
      <c r="L2319" s="18" t="inlineStr">
        <is>
          <t>cobbleventure:generation_6</t>
        </is>
      </c>
      <c r="M2319" s="19" t="inlineStr">
        <is>
          <t>cobbleventure:generation_6</t>
        </is>
      </c>
      <c r="N2319" s="18" t="inlineStr"/>
      <c r="O2319" s="19" t="inlineStr"/>
      <c r="P2319" s="18" t="inlineStr">
        <is>
          <t>#cobblemon:is_ocean</t>
        </is>
      </c>
      <c r="Q2319" s="19" t="inlineStr"/>
      <c r="R2319" s="18">
        <f>IF(Q2319="",P2319,Q2319)</f>
        <v/>
      </c>
      <c r="S2319" s="18" t="inlineStr"/>
      <c r="T2319" s="18" t="inlineStr">
        <is>
          <t>uncommon</t>
        </is>
      </c>
      <c r="U2319" s="20" t="n">
        <v>1.6</v>
      </c>
      <c r="V2319" s="21" t="n">
        <v>1</v>
      </c>
      <c r="W2319" s="20">
        <f>IF(OR(U2319="",V2319=""),U2319,U2319*V2319)</f>
        <v/>
      </c>
      <c r="X2319" s="18" t="inlineStr">
        <is>
          <t>39-50</t>
        </is>
      </c>
      <c r="Y2319" s="19" t="inlineStr"/>
      <c r="Z2319" s="18">
        <f>IF(Y2319="",X2319,Y2319)</f>
        <v/>
      </c>
      <c r="AA2319" s="18" t="inlineStr">
        <is>
          <t>seafloor</t>
        </is>
      </c>
      <c r="AB2319" s="18" t="inlineStr"/>
      <c r="AC2319" s="18" t="inlineStr"/>
      <c r="AD2319" s="18" t="inlineStr"/>
      <c r="AE2319" s="18" t="inlineStr"/>
      <c r="AF2319" s="18" t="inlineStr"/>
      <c r="AG2319" s="18" t="inlineStr"/>
      <c r="AH2319" s="18" t="inlineStr"/>
      <c r="AI2319" s="18" t="inlineStr"/>
      <c r="AJ2319" s="18" t="inlineStr">
        <is>
          <t>Cobblemon 동일</t>
        </is>
      </c>
      <c r="AK2319" s="18" t="inlineStr">
        <is>
          <t>사용</t>
        </is>
      </c>
      <c r="AL2319" s="18" t="inlineStr">
        <is>
          <t>COBBLEVERSE 1.7.42 / DP v31</t>
        </is>
      </c>
      <c r="AM2319" s="18" t="inlineStr">
        <is>
          <t>data/cobblemon/spawn_pool_world/0689_barbaracle.json</t>
        </is>
      </c>
      <c r="AN2319" s="18" t="inlineStr">
        <is>
          <t>barbaracle-2</t>
        </is>
      </c>
      <c r="AO2319" s="18" t="inlineStr">
        <is>
          <t>pokemon</t>
        </is>
      </c>
      <c r="AP2319" s="18" t="inlineStr">
        <is>
          <t>water</t>
        </is>
      </c>
      <c r="AQ2319" s="18" t="inlineStr">
        <is>
          <t>{"biomes":["#cobblemon:is_ocean"]}</t>
        </is>
      </c>
      <c r="AR2319" s="18" t="inlineStr"/>
      <c r="AS2319" s="18" t="inlineStr"/>
      <c r="AT2319" s="19" t="inlineStr"/>
    </row>
    <row r="2320" ht="32" customHeight="1">
      <c r="A2320" s="18" t="inlineStr">
        <is>
          <t>0690_skrelp.json::skrelp-1::001</t>
        </is>
      </c>
      <c r="B2320" s="19" t="inlineStr">
        <is>
          <t>사용</t>
        </is>
      </c>
      <c r="C2320" s="18">
        <f>IF(OR(B2320&lt;&gt;AK2320,M2320&lt;&gt;L2320,O2320&lt;&gt;"",Q2320&lt;&gt;"",V2320&lt;&gt;1,Y2320&lt;&gt;"",AT2320&lt;&gt;""),"수정","원본")</f>
        <v/>
      </c>
      <c r="D2320" s="18" t="n">
        <v>690</v>
      </c>
      <c r="E2320" s="18" t="inlineStr">
        <is>
          <t>수레기</t>
        </is>
      </c>
      <c r="F2320" s="18" t="inlineStr">
        <is>
          <t>skrelp</t>
        </is>
      </c>
      <c r="G2320" s="18" t="inlineStr">
        <is>
          <t>skrelp</t>
        </is>
      </c>
      <c r="H2320" s="18" t="inlineStr"/>
      <c r="I2320" s="18" t="n">
        <v>6</v>
      </c>
      <c r="J2320" s="18" t="n"/>
      <c r="K2320" s="18" t="n">
        <v>6</v>
      </c>
      <c r="L2320" s="18" t="inlineStr">
        <is>
          <t>cobbleventure:generation_6</t>
        </is>
      </c>
      <c r="M2320" s="19" t="inlineStr">
        <is>
          <t>cobbleventure:generation_6</t>
        </is>
      </c>
      <c r="N2320" s="18" t="inlineStr"/>
      <c r="O2320" s="19" t="inlineStr"/>
      <c r="P2320" s="18" t="inlineStr">
        <is>
          <t>#cobblemon:is_ocean</t>
        </is>
      </c>
      <c r="Q2320" s="19" t="inlineStr"/>
      <c r="R2320" s="18">
        <f>IF(Q2320="",P2320,Q2320)</f>
        <v/>
      </c>
      <c r="S2320" s="18" t="inlineStr"/>
      <c r="T2320" s="18" t="inlineStr">
        <is>
          <t>common</t>
        </is>
      </c>
      <c r="U2320" s="20" t="n">
        <v>1.8</v>
      </c>
      <c r="V2320" s="21" t="n">
        <v>1</v>
      </c>
      <c r="W2320" s="20">
        <f>IF(OR(U2320="",V2320=""),U2320,U2320*V2320)</f>
        <v/>
      </c>
      <c r="X2320" s="18" t="inlineStr">
        <is>
          <t>7-32</t>
        </is>
      </c>
      <c r="Y2320" s="19" t="inlineStr"/>
      <c r="Z2320" s="18">
        <f>IF(Y2320="",X2320,Y2320)</f>
        <v/>
      </c>
      <c r="AA2320" s="18" t="inlineStr">
        <is>
          <t>submerged</t>
        </is>
      </c>
      <c r="AB2320" s="18" t="inlineStr"/>
      <c r="AC2320" s="18" t="inlineStr"/>
      <c r="AD2320" s="18" t="inlineStr"/>
      <c r="AE2320" s="18" t="inlineStr"/>
      <c r="AF2320" s="18" t="inlineStr">
        <is>
          <t>True</t>
        </is>
      </c>
      <c r="AG2320" s="18" t="inlineStr"/>
      <c r="AH2320" s="18" t="inlineStr">
        <is>
          <t>주변=minecraft:kelp_plant</t>
        </is>
      </c>
      <c r="AI2320" s="18" t="inlineStr"/>
      <c r="AJ2320" s="18" t="inlineStr">
        <is>
          <t>COBBLEVERSE 수정</t>
        </is>
      </c>
      <c r="AK2320" s="18" t="inlineStr">
        <is>
          <t>사용</t>
        </is>
      </c>
      <c r="AL2320" s="18" t="inlineStr">
        <is>
          <t>COBBLEVERSE 1.7.42 / DP v31</t>
        </is>
      </c>
      <c r="AM2320" s="18" t="inlineStr">
        <is>
          <t>data/cobblemon/spawn_pool_world/0690_skrelp.json</t>
        </is>
      </c>
      <c r="AN2320" s="18" t="inlineStr">
        <is>
          <t>skrelp-1</t>
        </is>
      </c>
      <c r="AO2320" s="18" t="inlineStr">
        <is>
          <t>pokemon</t>
        </is>
      </c>
      <c r="AP2320" s="18" t="inlineStr">
        <is>
          <t>water</t>
        </is>
      </c>
      <c r="AQ2320" s="18" t="inlineStr">
        <is>
          <t>{"biomes":["#cobblemon:is_ocean"],"canSeeSky":true,"neededNearbyBlocks":["minecraft:kelp_plant"]}</t>
        </is>
      </c>
      <c r="AR2320" s="18" t="inlineStr"/>
      <c r="AS2320" s="18" t="inlineStr"/>
      <c r="AT2320" s="19" t="inlineStr"/>
    </row>
    <row r="2321" ht="32" customHeight="1">
      <c r="A2321" s="18" t="inlineStr">
        <is>
          <t>0690_skrelp.json::skrelp-2::002</t>
        </is>
      </c>
      <c r="B2321" s="19" t="inlineStr">
        <is>
          <t>사용</t>
        </is>
      </c>
      <c r="C2321" s="18">
        <f>IF(OR(B2321&lt;&gt;AK2321,M2321&lt;&gt;L2321,O2321&lt;&gt;"",Q2321&lt;&gt;"",V2321&lt;&gt;1,Y2321&lt;&gt;"",AT2321&lt;&gt;""),"수정","원본")</f>
        <v/>
      </c>
      <c r="D2321" s="18" t="n">
        <v>690</v>
      </c>
      <c r="E2321" s="18" t="inlineStr">
        <is>
          <t>수레기</t>
        </is>
      </c>
      <c r="F2321" s="18" t="inlineStr">
        <is>
          <t>skrelp</t>
        </is>
      </c>
      <c r="G2321" s="18" t="inlineStr">
        <is>
          <t>skrelp</t>
        </is>
      </c>
      <c r="H2321" s="18" t="inlineStr"/>
      <c r="I2321" s="18" t="n">
        <v>6</v>
      </c>
      <c r="J2321" s="18" t="n"/>
      <c r="K2321" s="18" t="n">
        <v>6</v>
      </c>
      <c r="L2321" s="18" t="inlineStr">
        <is>
          <t>cobbleventure:generation_6</t>
        </is>
      </c>
      <c r="M2321" s="19" t="inlineStr">
        <is>
          <t>cobbleventure:generation_6</t>
        </is>
      </c>
      <c r="N2321" s="18" t="inlineStr"/>
      <c r="O2321" s="19" t="inlineStr"/>
      <c r="P2321" s="18" t="inlineStr">
        <is>
          <t>#cobblemon:is_coast; #cobblemon:is_ocean</t>
        </is>
      </c>
      <c r="Q2321" s="19" t="inlineStr"/>
      <c r="R2321" s="18">
        <f>IF(Q2321="",P2321,Q2321)</f>
        <v/>
      </c>
      <c r="S2321" s="18" t="inlineStr"/>
      <c r="T2321" s="18" t="inlineStr">
        <is>
          <t>common</t>
        </is>
      </c>
      <c r="U2321" s="20" t="n">
        <v>1.8</v>
      </c>
      <c r="V2321" s="21" t="n">
        <v>1</v>
      </c>
      <c r="W2321" s="20">
        <f>IF(OR(U2321="",V2321=""),U2321,U2321*V2321)</f>
        <v/>
      </c>
      <c r="X2321" s="18" t="inlineStr">
        <is>
          <t>7-32</t>
        </is>
      </c>
      <c r="Y2321" s="19" t="inlineStr"/>
      <c r="Z2321" s="18">
        <f>IF(Y2321="",X2321,Y2321)</f>
        <v/>
      </c>
      <c r="AA2321" s="18" t="inlineStr">
        <is>
          <t>fishing</t>
        </is>
      </c>
      <c r="AB2321" s="18" t="inlineStr"/>
      <c r="AC2321" s="18" t="inlineStr"/>
      <c r="AD2321" s="18" t="inlineStr"/>
      <c r="AE2321" s="18" t="inlineStr"/>
      <c r="AF2321" s="18" t="inlineStr">
        <is>
          <t>True</t>
        </is>
      </c>
      <c r="AG2321" s="18" t="inlineStr"/>
      <c r="AH2321" s="18" t="inlineStr"/>
      <c r="AI2321" s="18" t="inlineStr"/>
      <c r="AJ2321" s="18" t="inlineStr">
        <is>
          <t>COBBLEVERSE 수정</t>
        </is>
      </c>
      <c r="AK2321" s="18" t="inlineStr">
        <is>
          <t>사용</t>
        </is>
      </c>
      <c r="AL2321" s="18" t="inlineStr">
        <is>
          <t>COBBLEVERSE 1.7.42 / DP v31</t>
        </is>
      </c>
      <c r="AM2321" s="18" t="inlineStr">
        <is>
          <t>data/cobblemon/spawn_pool_world/0690_skrelp.json</t>
        </is>
      </c>
      <c r="AN2321" s="18" t="inlineStr">
        <is>
          <t>skrelp-2</t>
        </is>
      </c>
      <c r="AO2321" s="18" t="inlineStr">
        <is>
          <t>pokemon</t>
        </is>
      </c>
      <c r="AP2321" s="18" t="inlineStr"/>
      <c r="AQ2321" s="18" t="inlineStr">
        <is>
          <t>{"biomes":["#cobblemon:is_coast","#cobblemon:is_ocean"],"canSeeSky":true}</t>
        </is>
      </c>
      <c r="AR2321" s="18" t="inlineStr"/>
      <c r="AS2321" s="18" t="inlineStr">
        <is>
          <t>{"weightMultipliers":[{"condition":{"maxLureLevel":2,"minLureLevel":2},"multiplier":3.0},{"condition":{"minLureLevel":3},"multiplier":5.0}]}</t>
        </is>
      </c>
      <c r="AT2321" s="19" t="inlineStr"/>
    </row>
    <row r="2322" ht="32" customHeight="1">
      <c r="A2322" s="18" t="inlineStr">
        <is>
          <t>0690_skrelp.json::skrelp-3::003</t>
        </is>
      </c>
      <c r="B2322" s="19" t="inlineStr">
        <is>
          <t>사용</t>
        </is>
      </c>
      <c r="C2322" s="18">
        <f>IF(OR(B2322&lt;&gt;AK2322,M2322&lt;&gt;L2322,O2322&lt;&gt;"",Q2322&lt;&gt;"",V2322&lt;&gt;1,Y2322&lt;&gt;"",AT2322&lt;&gt;""),"수정","원본")</f>
        <v/>
      </c>
      <c r="D2322" s="18" t="n">
        <v>690</v>
      </c>
      <c r="E2322" s="18" t="inlineStr">
        <is>
          <t>수레기</t>
        </is>
      </c>
      <c r="F2322" s="18" t="inlineStr">
        <is>
          <t>skrelp</t>
        </is>
      </c>
      <c r="G2322" s="18" t="inlineStr">
        <is>
          <t>skrelp</t>
        </is>
      </c>
      <c r="H2322" s="18" t="inlineStr"/>
      <c r="I2322" s="18" t="n">
        <v>6</v>
      </c>
      <c r="J2322" s="18" t="n"/>
      <c r="K2322" s="18" t="n">
        <v>6</v>
      </c>
      <c r="L2322" s="18" t="inlineStr">
        <is>
          <t>cobbleventure:generation_6</t>
        </is>
      </c>
      <c r="M2322" s="19" t="inlineStr">
        <is>
          <t>cobbleventure:generation_6</t>
        </is>
      </c>
      <c r="N2322" s="18" t="inlineStr"/>
      <c r="O2322" s="19" t="inlineStr"/>
      <c r="P2322" s="18" t="inlineStr">
        <is>
          <t>#cobblemon:is_ocean</t>
        </is>
      </c>
      <c r="Q2322" s="19" t="inlineStr"/>
      <c r="R2322" s="18">
        <f>IF(Q2322="",P2322,Q2322)</f>
        <v/>
      </c>
      <c r="S2322" s="18" t="inlineStr"/>
      <c r="T2322" s="18" t="inlineStr">
        <is>
          <t>common</t>
        </is>
      </c>
      <c r="U2322" s="20" t="n">
        <v>1.8</v>
      </c>
      <c r="V2322" s="21" t="n">
        <v>1</v>
      </c>
      <c r="W2322" s="20">
        <f>IF(OR(U2322="",V2322=""),U2322,U2322*V2322)</f>
        <v/>
      </c>
      <c r="X2322" s="18" t="inlineStr">
        <is>
          <t>7-32</t>
        </is>
      </c>
      <c r="Y2322" s="19" t="inlineStr"/>
      <c r="Z2322" s="18">
        <f>IF(Y2322="",X2322,Y2322)</f>
        <v/>
      </c>
      <c r="AA2322" s="18" t="inlineStr">
        <is>
          <t>submerged</t>
        </is>
      </c>
      <c r="AB2322" s="18" t="inlineStr"/>
      <c r="AC2322" s="18" t="inlineStr"/>
      <c r="AD2322" s="18" t="inlineStr"/>
      <c r="AE2322" s="18" t="inlineStr">
        <is>
          <t>sky 8-15</t>
        </is>
      </c>
      <c r="AF2322" s="18" t="inlineStr">
        <is>
          <t>False</t>
        </is>
      </c>
      <c r="AG2322" s="18" t="inlineStr"/>
      <c r="AH2322" s="18" t="inlineStr">
        <is>
          <t>주변=minecraft:kelp_plant</t>
        </is>
      </c>
      <c r="AI2322" s="18" t="inlineStr"/>
      <c r="AJ2322" s="18" t="inlineStr">
        <is>
          <t>COBBLEVERSE 수정</t>
        </is>
      </c>
      <c r="AK2322" s="18" t="inlineStr">
        <is>
          <t>사용</t>
        </is>
      </c>
      <c r="AL2322" s="18" t="inlineStr">
        <is>
          <t>COBBLEVERSE 1.7.42 / DP v31</t>
        </is>
      </c>
      <c r="AM2322" s="18" t="inlineStr">
        <is>
          <t>data/cobblemon/spawn_pool_world/0690_skrelp.json</t>
        </is>
      </c>
      <c r="AN2322" s="18" t="inlineStr">
        <is>
          <t>skrelp-3</t>
        </is>
      </c>
      <c r="AO2322" s="18" t="inlineStr">
        <is>
          <t>pokemon</t>
        </is>
      </c>
      <c r="AP2322" s="18" t="inlineStr">
        <is>
          <t>water</t>
        </is>
      </c>
      <c r="AQ2322" s="18" t="inlineStr">
        <is>
          <t>{"biomes":["#cobblemon:is_ocean"],"canSeeSky":false,"maxSkyLight":15,"minSkyLight":8,"neededNearbyBlocks":["minecraft:kelp_plant"]}</t>
        </is>
      </c>
      <c r="AR2322" s="18" t="inlineStr"/>
      <c r="AS2322" s="18" t="inlineStr"/>
      <c r="AT2322" s="19" t="inlineStr"/>
    </row>
    <row r="2323" ht="32" customHeight="1">
      <c r="A2323" s="18" t="inlineStr">
        <is>
          <t>0690_skrelp.json::skrelp-4::004</t>
        </is>
      </c>
      <c r="B2323" s="19" t="inlineStr">
        <is>
          <t>사용</t>
        </is>
      </c>
      <c r="C2323" s="18">
        <f>IF(OR(B2323&lt;&gt;AK2323,M2323&lt;&gt;L2323,O2323&lt;&gt;"",Q2323&lt;&gt;"",V2323&lt;&gt;1,Y2323&lt;&gt;"",AT2323&lt;&gt;""),"수정","원본")</f>
        <v/>
      </c>
      <c r="D2323" s="18" t="n">
        <v>690</v>
      </c>
      <c r="E2323" s="18" t="inlineStr">
        <is>
          <t>수레기</t>
        </is>
      </c>
      <c r="F2323" s="18" t="inlineStr">
        <is>
          <t>skrelp</t>
        </is>
      </c>
      <c r="G2323" s="18" t="inlineStr">
        <is>
          <t>skrelp</t>
        </is>
      </c>
      <c r="H2323" s="18" t="inlineStr"/>
      <c r="I2323" s="18" t="n">
        <v>6</v>
      </c>
      <c r="J2323" s="18" t="n"/>
      <c r="K2323" s="18" t="n">
        <v>6</v>
      </c>
      <c r="L2323" s="18" t="inlineStr">
        <is>
          <t>cobbleventure:generation_6</t>
        </is>
      </c>
      <c r="M2323" s="19" t="inlineStr">
        <is>
          <t>cobbleventure:generation_6</t>
        </is>
      </c>
      <c r="N2323" s="18" t="inlineStr"/>
      <c r="O2323" s="19" t="inlineStr"/>
      <c r="P2323" s="18" t="inlineStr">
        <is>
          <t>#cobblemon:is_coast; #cobblemon:is_ocean</t>
        </is>
      </c>
      <c r="Q2323" s="19" t="inlineStr"/>
      <c r="R2323" s="18">
        <f>IF(Q2323="",P2323,Q2323)</f>
        <v/>
      </c>
      <c r="S2323" s="18" t="inlineStr"/>
      <c r="T2323" s="18" t="inlineStr">
        <is>
          <t>common</t>
        </is>
      </c>
      <c r="U2323" s="20" t="n">
        <v>1.8</v>
      </c>
      <c r="V2323" s="21" t="n">
        <v>1</v>
      </c>
      <c r="W2323" s="20">
        <f>IF(OR(U2323="",V2323=""),U2323,U2323*V2323)</f>
        <v/>
      </c>
      <c r="X2323" s="18" t="inlineStr">
        <is>
          <t>7-32</t>
        </is>
      </c>
      <c r="Y2323" s="19" t="inlineStr"/>
      <c r="Z2323" s="18">
        <f>IF(Y2323="",X2323,Y2323)</f>
        <v/>
      </c>
      <c r="AA2323" s="18" t="inlineStr">
        <is>
          <t>fishing</t>
        </is>
      </c>
      <c r="AB2323" s="18" t="inlineStr"/>
      <c r="AC2323" s="18" t="inlineStr"/>
      <c r="AD2323" s="18" t="inlineStr"/>
      <c r="AE2323" s="18" t="inlineStr">
        <is>
          <t>sky 8-15</t>
        </is>
      </c>
      <c r="AF2323" s="18" t="inlineStr">
        <is>
          <t>False</t>
        </is>
      </c>
      <c r="AG2323" s="18" t="inlineStr"/>
      <c r="AH2323" s="18" t="inlineStr">
        <is>
          <t>주변=minecraft:kelp_plant</t>
        </is>
      </c>
      <c r="AI2323" s="18" t="inlineStr"/>
      <c r="AJ2323" s="18" t="inlineStr">
        <is>
          <t>COBBLEVERSE 수정</t>
        </is>
      </c>
      <c r="AK2323" s="18" t="inlineStr">
        <is>
          <t>사용</t>
        </is>
      </c>
      <c r="AL2323" s="18" t="inlineStr">
        <is>
          <t>COBBLEVERSE 1.7.42 / DP v31</t>
        </is>
      </c>
      <c r="AM2323" s="18" t="inlineStr">
        <is>
          <t>data/cobblemon/spawn_pool_world/0690_skrelp.json</t>
        </is>
      </c>
      <c r="AN2323" s="18" t="inlineStr">
        <is>
          <t>skrelp-4</t>
        </is>
      </c>
      <c r="AO2323" s="18" t="inlineStr">
        <is>
          <t>pokemon</t>
        </is>
      </c>
      <c r="AP2323" s="18" t="inlineStr"/>
      <c r="AQ2323" s="18" t="inlineStr">
        <is>
          <t>{"biomes":["#cobblemon:is_coast","#cobblemon:is_ocean"],"canSeeSky":false,"maxSkyLight":15,"minSkyLight":8,"neededNearbyBlocks":["minecraft:kelp_plant"]}</t>
        </is>
      </c>
      <c r="AR2323" s="18" t="inlineStr"/>
      <c r="AS2323" s="18" t="inlineStr">
        <is>
          <t>{"weightMultipliers":[{"condition":{"maxLureLevel":2,"minLureLevel":2},"multiplier":3.0},{"condition":{"minLureLevel":3},"multiplier":5.0}]}</t>
        </is>
      </c>
      <c r="AT2323" s="19" t="inlineStr"/>
    </row>
    <row r="2324" ht="32" customHeight="1">
      <c r="A2324" s="18" t="inlineStr">
        <is>
          <t>0690_skrelp.json::skrelp-5::005</t>
        </is>
      </c>
      <c r="B2324" s="19" t="inlineStr">
        <is>
          <t>사용</t>
        </is>
      </c>
      <c r="C2324" s="18">
        <f>IF(OR(B2324&lt;&gt;AK2324,M2324&lt;&gt;L2324,O2324&lt;&gt;"",Q2324&lt;&gt;"",V2324&lt;&gt;1,Y2324&lt;&gt;"",AT2324&lt;&gt;""),"수정","원본")</f>
        <v/>
      </c>
      <c r="D2324" s="18" t="n">
        <v>690</v>
      </c>
      <c r="E2324" s="18" t="inlineStr">
        <is>
          <t>수레기</t>
        </is>
      </c>
      <c r="F2324" s="18" t="inlineStr">
        <is>
          <t>skrelp</t>
        </is>
      </c>
      <c r="G2324" s="18" t="inlineStr">
        <is>
          <t>skrelp</t>
        </is>
      </c>
      <c r="H2324" s="18" t="inlineStr"/>
      <c r="I2324" s="18" t="n">
        <v>6</v>
      </c>
      <c r="J2324" s="18" t="n"/>
      <c r="K2324" s="18" t="n">
        <v>6</v>
      </c>
      <c r="L2324" s="18" t="inlineStr">
        <is>
          <t>cobbleventure:generation_6</t>
        </is>
      </c>
      <c r="M2324" s="19" t="inlineStr">
        <is>
          <t>cobbleventure:generation_6</t>
        </is>
      </c>
      <c r="N2324" s="18" t="inlineStr">
        <is>
          <t>region_01; region_02</t>
        </is>
      </c>
      <c r="O2324" s="19" t="inlineStr"/>
      <c r="P2324" s="18" t="inlineStr">
        <is>
          <t>#cobblemon:is_overworld</t>
        </is>
      </c>
      <c r="Q2324" s="19" t="inlineStr"/>
      <c r="R2324" s="18">
        <f>IF(Q2324="",P2324,Q2324)</f>
        <v/>
      </c>
      <c r="S2324" s="18" t="inlineStr"/>
      <c r="T2324" s="18" t="inlineStr">
        <is>
          <t>common</t>
        </is>
      </c>
      <c r="U2324" s="20" t="n">
        <v>1.8</v>
      </c>
      <c r="V2324" s="21" t="n">
        <v>1</v>
      </c>
      <c r="W2324" s="20">
        <f>IF(OR(U2324="",V2324=""),U2324,U2324*V2324)</f>
        <v/>
      </c>
      <c r="X2324" s="18" t="inlineStr">
        <is>
          <t>7-32</t>
        </is>
      </c>
      <c r="Y2324" s="19" t="inlineStr"/>
      <c r="Z2324" s="18">
        <f>IF(Y2324="",X2324,Y2324)</f>
        <v/>
      </c>
      <c r="AA2324" s="18" t="inlineStr">
        <is>
          <t>submerged</t>
        </is>
      </c>
      <c r="AB2324" s="18" t="inlineStr"/>
      <c r="AC2324" s="18" t="inlineStr"/>
      <c r="AD2324" s="18" t="inlineStr">
        <is>
          <t>minY=-60, maxY=13</t>
        </is>
      </c>
      <c r="AE2324" s="18" t="inlineStr"/>
      <c r="AF2324" s="18" t="inlineStr">
        <is>
          <t>False</t>
        </is>
      </c>
      <c r="AG2324" s="18" t="inlineStr">
        <is>
          <t>cobblemon:shipwreck_coves/submerged_shipwreck_cove</t>
        </is>
      </c>
      <c r="AH2324" s="18" t="inlineStr"/>
      <c r="AI2324" s="18" t="inlineStr"/>
      <c r="AJ2324" s="18" t="inlineStr">
        <is>
          <t>COBBLEVERSE 수정</t>
        </is>
      </c>
      <c r="AK2324" s="18" t="inlineStr">
        <is>
          <t>사용</t>
        </is>
      </c>
      <c r="AL2324" s="18" t="inlineStr">
        <is>
          <t>COBBLEVERSE 1.7.42 / DP v31</t>
        </is>
      </c>
      <c r="AM2324" s="18" t="inlineStr">
        <is>
          <t>data/cobblemon/spawn_pool_world/0690_skrelp.json</t>
        </is>
      </c>
      <c r="AN2324" s="18" t="inlineStr">
        <is>
          <t>skrelp-5</t>
        </is>
      </c>
      <c r="AO2324" s="18" t="inlineStr">
        <is>
          <t>pokemon</t>
        </is>
      </c>
      <c r="AP2324" s="18" t="inlineStr">
        <is>
          <t>water</t>
        </is>
      </c>
      <c r="AQ2324" s="18" t="inlineStr">
        <is>
          <t>{"biomes":["#cobblemon:is_overworld"],"canSeeSky":false,"maxY":13,"minY":-60,"structures":["cobblemon:shipwreck_coves/submerged_shipwreck_cove"]}</t>
        </is>
      </c>
      <c r="AR2324" s="18" t="inlineStr"/>
      <c r="AS2324" s="18" t="inlineStr"/>
      <c r="AT2324" s="19" t="inlineStr"/>
    </row>
    <row r="2325" ht="32" customHeight="1">
      <c r="A2325" s="18" t="inlineStr">
        <is>
          <t>0690_skrelp.json::skrelp-6::006</t>
        </is>
      </c>
      <c r="B2325" s="19" t="inlineStr">
        <is>
          <t>사용</t>
        </is>
      </c>
      <c r="C2325" s="18">
        <f>IF(OR(B2325&lt;&gt;AK2325,M2325&lt;&gt;L2325,O2325&lt;&gt;"",Q2325&lt;&gt;"",V2325&lt;&gt;1,Y2325&lt;&gt;"",AT2325&lt;&gt;""),"수정","원본")</f>
        <v/>
      </c>
      <c r="D2325" s="18" t="n">
        <v>690</v>
      </c>
      <c r="E2325" s="18" t="inlineStr">
        <is>
          <t>수레기</t>
        </is>
      </c>
      <c r="F2325" s="18" t="inlineStr">
        <is>
          <t>skrelp</t>
        </is>
      </c>
      <c r="G2325" s="18" t="inlineStr">
        <is>
          <t>skrelp</t>
        </is>
      </c>
      <c r="H2325" s="18" t="inlineStr"/>
      <c r="I2325" s="18" t="n">
        <v>6</v>
      </c>
      <c r="J2325" s="18" t="n"/>
      <c r="K2325" s="18" t="n">
        <v>6</v>
      </c>
      <c r="L2325" s="18" t="inlineStr">
        <is>
          <t>cobbleventure:generation_6</t>
        </is>
      </c>
      <c r="M2325" s="19" t="inlineStr">
        <is>
          <t>cobbleventure:generation_6</t>
        </is>
      </c>
      <c r="N2325" s="18" t="inlineStr">
        <is>
          <t>region_01; region_02</t>
        </is>
      </c>
      <c r="O2325" s="19" t="inlineStr"/>
      <c r="P2325" s="18" t="inlineStr">
        <is>
          <t>#cobblemon:is_overworld</t>
        </is>
      </c>
      <c r="Q2325" s="19" t="inlineStr"/>
      <c r="R2325" s="18">
        <f>IF(Q2325="",P2325,Q2325)</f>
        <v/>
      </c>
      <c r="S2325" s="18" t="inlineStr"/>
      <c r="T2325" s="18" t="inlineStr">
        <is>
          <t>common</t>
        </is>
      </c>
      <c r="U2325" s="20" t="n">
        <v>1.8</v>
      </c>
      <c r="V2325" s="21" t="n">
        <v>1</v>
      </c>
      <c r="W2325" s="20">
        <f>IF(OR(U2325="",V2325=""),U2325,U2325*V2325)</f>
        <v/>
      </c>
      <c r="X2325" s="18" t="inlineStr">
        <is>
          <t>7-32</t>
        </is>
      </c>
      <c r="Y2325" s="19" t="inlineStr"/>
      <c r="Z2325" s="18">
        <f>IF(Y2325="",X2325,Y2325)</f>
        <v/>
      </c>
      <c r="AA2325" s="18" t="inlineStr">
        <is>
          <t>fishing</t>
        </is>
      </c>
      <c r="AB2325" s="18" t="inlineStr"/>
      <c r="AC2325" s="18" t="inlineStr"/>
      <c r="AD2325" s="18" t="inlineStr">
        <is>
          <t>minY=-60, maxY=13</t>
        </is>
      </c>
      <c r="AE2325" s="18" t="inlineStr"/>
      <c r="AF2325" s="18" t="inlineStr">
        <is>
          <t>False</t>
        </is>
      </c>
      <c r="AG2325" s="18" t="inlineStr">
        <is>
          <t>cobblemon:shipwreck_coves/submerged_shipwreck_cove</t>
        </is>
      </c>
      <c r="AH2325" s="18" t="inlineStr"/>
      <c r="AI2325" s="18" t="inlineStr"/>
      <c r="AJ2325" s="18" t="inlineStr">
        <is>
          <t>COBBLEVERSE 수정</t>
        </is>
      </c>
      <c r="AK2325" s="18" t="inlineStr">
        <is>
          <t>사용</t>
        </is>
      </c>
      <c r="AL2325" s="18" t="inlineStr">
        <is>
          <t>COBBLEVERSE 1.7.42 / DP v31</t>
        </is>
      </c>
      <c r="AM2325" s="18" t="inlineStr">
        <is>
          <t>data/cobblemon/spawn_pool_world/0690_skrelp.json</t>
        </is>
      </c>
      <c r="AN2325" s="18" t="inlineStr">
        <is>
          <t>skrelp-6</t>
        </is>
      </c>
      <c r="AO2325" s="18" t="inlineStr">
        <is>
          <t>pokemon</t>
        </is>
      </c>
      <c r="AP2325" s="18" t="inlineStr"/>
      <c r="AQ2325" s="18" t="inlineStr">
        <is>
          <t>{"biomes":["#cobblemon:is_overworld"],"canSeeSky":false,"maxY":13,"minY":-60,"structures":["cobblemon:shipwreck_coves/submerged_shipwreck_cove"]}</t>
        </is>
      </c>
      <c r="AR2325" s="18" t="inlineStr"/>
      <c r="AS2325" s="18" t="inlineStr">
        <is>
          <t>{"weightMultipliers":[{"condition":{"maxLureLevel":2,"minLureLevel":2},"multiplier":3.0},{"condition":{"minLureLevel":3},"multiplier":5.0}]}</t>
        </is>
      </c>
      <c r="AT2325" s="19" t="inlineStr"/>
    </row>
    <row r="2326" ht="32" customHeight="1">
      <c r="A2326" s="18" t="inlineStr">
        <is>
          <t>0691_dragalge.json::dragalge-1::001</t>
        </is>
      </c>
      <c r="B2326" s="19" t="inlineStr">
        <is>
          <t>사용</t>
        </is>
      </c>
      <c r="C2326" s="18">
        <f>IF(OR(B2326&lt;&gt;AK2326,M2326&lt;&gt;L2326,O2326&lt;&gt;"",Q2326&lt;&gt;"",V2326&lt;&gt;1,Y2326&lt;&gt;"",AT2326&lt;&gt;""),"수정","원본")</f>
        <v/>
      </c>
      <c r="D2326" s="18" t="n">
        <v>691</v>
      </c>
      <c r="E2326" s="18" t="inlineStr">
        <is>
          <t>드래캄</t>
        </is>
      </c>
      <c r="F2326" s="18" t="inlineStr">
        <is>
          <t>dragalge</t>
        </is>
      </c>
      <c r="G2326" s="18" t="inlineStr">
        <is>
          <t>dragalge</t>
        </is>
      </c>
      <c r="H2326" s="18" t="inlineStr"/>
      <c r="I2326" s="18" t="n">
        <v>6</v>
      </c>
      <c r="J2326" s="18" t="n"/>
      <c r="K2326" s="18" t="n">
        <v>6</v>
      </c>
      <c r="L2326" s="18" t="inlineStr">
        <is>
          <t>cobbleventure:generation_6</t>
        </is>
      </c>
      <c r="M2326" s="19" t="inlineStr">
        <is>
          <t>cobbleventure:generation_6</t>
        </is>
      </c>
      <c r="N2326" s="18" t="inlineStr"/>
      <c r="O2326" s="19" t="inlineStr"/>
      <c r="P2326" s="18" t="inlineStr">
        <is>
          <t>#cobblemon:is_ocean</t>
        </is>
      </c>
      <c r="Q2326" s="19" t="inlineStr"/>
      <c r="R2326" s="18">
        <f>IF(Q2326="",P2326,Q2326)</f>
        <v/>
      </c>
      <c r="S2326" s="18" t="inlineStr"/>
      <c r="T2326" s="18" t="inlineStr">
        <is>
          <t>common</t>
        </is>
      </c>
      <c r="U2326" s="20" t="n">
        <v>0.2</v>
      </c>
      <c r="V2326" s="21" t="n">
        <v>1</v>
      </c>
      <c r="W2326" s="20">
        <f>IF(OR(U2326="",V2326=""),U2326,U2326*V2326)</f>
        <v/>
      </c>
      <c r="X2326" s="18" t="inlineStr">
        <is>
          <t>48-49</t>
        </is>
      </c>
      <c r="Y2326" s="19" t="inlineStr"/>
      <c r="Z2326" s="18">
        <f>IF(Y2326="",X2326,Y2326)</f>
        <v/>
      </c>
      <c r="AA2326" s="18" t="inlineStr">
        <is>
          <t>submerged</t>
        </is>
      </c>
      <c r="AB2326" s="18" t="inlineStr"/>
      <c r="AC2326" s="18" t="inlineStr"/>
      <c r="AD2326" s="18" t="inlineStr"/>
      <c r="AE2326" s="18" t="inlineStr"/>
      <c r="AF2326" s="18" t="inlineStr">
        <is>
          <t>True</t>
        </is>
      </c>
      <c r="AG2326" s="18" t="inlineStr"/>
      <c r="AH2326" s="18" t="inlineStr">
        <is>
          <t>주변=minecraft:kelp_plant</t>
        </is>
      </c>
      <c r="AI2326" s="18" t="inlineStr"/>
      <c r="AJ2326" s="18" t="inlineStr">
        <is>
          <t>COBBLEVERSE 수정</t>
        </is>
      </c>
      <c r="AK2326" s="18" t="inlineStr">
        <is>
          <t>사용</t>
        </is>
      </c>
      <c r="AL2326" s="18" t="inlineStr">
        <is>
          <t>COBBLEVERSE 1.7.42 / DP v31</t>
        </is>
      </c>
      <c r="AM2326" s="18" t="inlineStr">
        <is>
          <t>data/cobblemon/spawn_pool_world/0691_dragalge.json</t>
        </is>
      </c>
      <c r="AN2326" s="18" t="inlineStr">
        <is>
          <t>dragalge-1</t>
        </is>
      </c>
      <c r="AO2326" s="18" t="inlineStr">
        <is>
          <t>pokemon</t>
        </is>
      </c>
      <c r="AP2326" s="18" t="inlineStr">
        <is>
          <t>water</t>
        </is>
      </c>
      <c r="AQ2326" s="18" t="inlineStr">
        <is>
          <t>{"biomes":["#cobblemon:is_ocean"],"canSeeSky":true,"neededNearbyBlocks":["minecraft:kelp_plant"]}</t>
        </is>
      </c>
      <c r="AR2326" s="18" t="inlineStr"/>
      <c r="AS2326" s="18" t="inlineStr"/>
      <c r="AT2326" s="19" t="inlineStr"/>
    </row>
    <row r="2327" ht="32" customHeight="1">
      <c r="A2327" s="18" t="inlineStr">
        <is>
          <t>0691_dragalge.json::dragalge-2::002</t>
        </is>
      </c>
      <c r="B2327" s="19" t="inlineStr">
        <is>
          <t>사용</t>
        </is>
      </c>
      <c r="C2327" s="18">
        <f>IF(OR(B2327&lt;&gt;AK2327,M2327&lt;&gt;L2327,O2327&lt;&gt;"",Q2327&lt;&gt;"",V2327&lt;&gt;1,Y2327&lt;&gt;"",AT2327&lt;&gt;""),"수정","원본")</f>
        <v/>
      </c>
      <c r="D2327" s="18" t="n">
        <v>691</v>
      </c>
      <c r="E2327" s="18" t="inlineStr">
        <is>
          <t>드래캄</t>
        </is>
      </c>
      <c r="F2327" s="18" t="inlineStr">
        <is>
          <t>dragalge</t>
        </is>
      </c>
      <c r="G2327" s="18" t="inlineStr">
        <is>
          <t>dragalge</t>
        </is>
      </c>
      <c r="H2327" s="18" t="inlineStr"/>
      <c r="I2327" s="18" t="n">
        <v>6</v>
      </c>
      <c r="J2327" s="18" t="n"/>
      <c r="K2327" s="18" t="n">
        <v>6</v>
      </c>
      <c r="L2327" s="18" t="inlineStr">
        <is>
          <t>cobbleventure:generation_6</t>
        </is>
      </c>
      <c r="M2327" s="19" t="inlineStr">
        <is>
          <t>cobbleventure:generation_6</t>
        </is>
      </c>
      <c r="N2327" s="18" t="inlineStr"/>
      <c r="O2327" s="19" t="inlineStr"/>
      <c r="P2327" s="18" t="inlineStr">
        <is>
          <t>#cobblemon:is_coast; #cobblemon:is_ocean</t>
        </is>
      </c>
      <c r="Q2327" s="19" t="inlineStr"/>
      <c r="R2327" s="18">
        <f>IF(Q2327="",P2327,Q2327)</f>
        <v/>
      </c>
      <c r="S2327" s="18" t="inlineStr"/>
      <c r="T2327" s="18" t="inlineStr">
        <is>
          <t>common</t>
        </is>
      </c>
      <c r="U2327" s="20" t="n">
        <v>0.2</v>
      </c>
      <c r="V2327" s="21" t="n">
        <v>1</v>
      </c>
      <c r="W2327" s="20">
        <f>IF(OR(U2327="",V2327=""),U2327,U2327*V2327)</f>
        <v/>
      </c>
      <c r="X2327" s="18" t="inlineStr">
        <is>
          <t>48-49</t>
        </is>
      </c>
      <c r="Y2327" s="19" t="inlineStr"/>
      <c r="Z2327" s="18">
        <f>IF(Y2327="",X2327,Y2327)</f>
        <v/>
      </c>
      <c r="AA2327" s="18" t="inlineStr">
        <is>
          <t>fishing</t>
        </is>
      </c>
      <c r="AB2327" s="18" t="inlineStr"/>
      <c r="AC2327" s="18" t="inlineStr"/>
      <c r="AD2327" s="18" t="inlineStr"/>
      <c r="AE2327" s="18" t="inlineStr"/>
      <c r="AF2327" s="18" t="inlineStr">
        <is>
          <t>True</t>
        </is>
      </c>
      <c r="AG2327" s="18" t="inlineStr"/>
      <c r="AH2327" s="18" t="inlineStr"/>
      <c r="AI2327" s="18" t="inlineStr"/>
      <c r="AJ2327" s="18" t="inlineStr">
        <is>
          <t>COBBLEVERSE 수정</t>
        </is>
      </c>
      <c r="AK2327" s="18" t="inlineStr">
        <is>
          <t>사용</t>
        </is>
      </c>
      <c r="AL2327" s="18" t="inlineStr">
        <is>
          <t>COBBLEVERSE 1.7.42 / DP v31</t>
        </is>
      </c>
      <c r="AM2327" s="18" t="inlineStr">
        <is>
          <t>data/cobblemon/spawn_pool_world/0691_dragalge.json</t>
        </is>
      </c>
      <c r="AN2327" s="18" t="inlineStr">
        <is>
          <t>dragalge-2</t>
        </is>
      </c>
      <c r="AO2327" s="18" t="inlineStr">
        <is>
          <t>pokemon</t>
        </is>
      </c>
      <c r="AP2327" s="18" t="inlineStr"/>
      <c r="AQ2327" s="18" t="inlineStr">
        <is>
          <t>{"biomes":["#cobblemon:is_coast","#cobblemon:is_ocean"],"canSeeSky":true}</t>
        </is>
      </c>
      <c r="AR2327" s="18" t="inlineStr"/>
      <c r="AS2327" s="18" t="inlineStr">
        <is>
          <t>{"weightMultipliers":[{"condition":{"maxLureLevel":2,"minLureLevel":2},"multiplier":3.0},{"condition":{"minLureLevel":3},"multiplier":5.0}]}</t>
        </is>
      </c>
      <c r="AT2327" s="19" t="inlineStr"/>
    </row>
    <row r="2328" ht="32" customHeight="1">
      <c r="A2328" s="18" t="inlineStr">
        <is>
          <t>0691_dragalge.json::dragalge-3::003</t>
        </is>
      </c>
      <c r="B2328" s="19" t="inlineStr">
        <is>
          <t>사용</t>
        </is>
      </c>
      <c r="C2328" s="18">
        <f>IF(OR(B2328&lt;&gt;AK2328,M2328&lt;&gt;L2328,O2328&lt;&gt;"",Q2328&lt;&gt;"",V2328&lt;&gt;1,Y2328&lt;&gt;"",AT2328&lt;&gt;""),"수정","원본")</f>
        <v/>
      </c>
      <c r="D2328" s="18" t="n">
        <v>691</v>
      </c>
      <c r="E2328" s="18" t="inlineStr">
        <is>
          <t>드래캄</t>
        </is>
      </c>
      <c r="F2328" s="18" t="inlineStr">
        <is>
          <t>dragalge</t>
        </is>
      </c>
      <c r="G2328" s="18" t="inlineStr">
        <is>
          <t>dragalge</t>
        </is>
      </c>
      <c r="H2328" s="18" t="inlineStr"/>
      <c r="I2328" s="18" t="n">
        <v>6</v>
      </c>
      <c r="J2328" s="18" t="n"/>
      <c r="K2328" s="18" t="n">
        <v>6</v>
      </c>
      <c r="L2328" s="18" t="inlineStr">
        <is>
          <t>cobbleventure:generation_6</t>
        </is>
      </c>
      <c r="M2328" s="19" t="inlineStr">
        <is>
          <t>cobbleventure:generation_6</t>
        </is>
      </c>
      <c r="N2328" s="18" t="inlineStr"/>
      <c r="O2328" s="19" t="inlineStr"/>
      <c r="P2328" s="18" t="inlineStr">
        <is>
          <t>#cobblemon:is_ocean</t>
        </is>
      </c>
      <c r="Q2328" s="19" t="inlineStr"/>
      <c r="R2328" s="18">
        <f>IF(Q2328="",P2328,Q2328)</f>
        <v/>
      </c>
      <c r="S2328" s="18" t="inlineStr"/>
      <c r="T2328" s="18" t="inlineStr">
        <is>
          <t>common</t>
        </is>
      </c>
      <c r="U2328" s="20" t="n">
        <v>0.2</v>
      </c>
      <c r="V2328" s="21" t="n">
        <v>1</v>
      </c>
      <c r="W2328" s="20">
        <f>IF(OR(U2328="",V2328=""),U2328,U2328*V2328)</f>
        <v/>
      </c>
      <c r="X2328" s="18" t="inlineStr">
        <is>
          <t>48-49</t>
        </is>
      </c>
      <c r="Y2328" s="19" t="inlineStr"/>
      <c r="Z2328" s="18">
        <f>IF(Y2328="",X2328,Y2328)</f>
        <v/>
      </c>
      <c r="AA2328" s="18" t="inlineStr">
        <is>
          <t>submerged</t>
        </is>
      </c>
      <c r="AB2328" s="18" t="inlineStr"/>
      <c r="AC2328" s="18" t="inlineStr"/>
      <c r="AD2328" s="18" t="inlineStr"/>
      <c r="AE2328" s="18" t="inlineStr">
        <is>
          <t>sky 8-15</t>
        </is>
      </c>
      <c r="AF2328" s="18" t="inlineStr">
        <is>
          <t>False</t>
        </is>
      </c>
      <c r="AG2328" s="18" t="inlineStr"/>
      <c r="AH2328" s="18" t="inlineStr">
        <is>
          <t>주변=minecraft:kelp_plant</t>
        </is>
      </c>
      <c r="AI2328" s="18" t="inlineStr"/>
      <c r="AJ2328" s="18" t="inlineStr">
        <is>
          <t>COBBLEVERSE 수정</t>
        </is>
      </c>
      <c r="AK2328" s="18" t="inlineStr">
        <is>
          <t>사용</t>
        </is>
      </c>
      <c r="AL2328" s="18" t="inlineStr">
        <is>
          <t>COBBLEVERSE 1.7.42 / DP v31</t>
        </is>
      </c>
      <c r="AM2328" s="18" t="inlineStr">
        <is>
          <t>data/cobblemon/spawn_pool_world/0691_dragalge.json</t>
        </is>
      </c>
      <c r="AN2328" s="18" t="inlineStr">
        <is>
          <t>dragalge-3</t>
        </is>
      </c>
      <c r="AO2328" s="18" t="inlineStr">
        <is>
          <t>pokemon</t>
        </is>
      </c>
      <c r="AP2328" s="18" t="inlineStr">
        <is>
          <t>water</t>
        </is>
      </c>
      <c r="AQ2328" s="18" t="inlineStr">
        <is>
          <t>{"biomes":["#cobblemon:is_ocean"],"canSeeSky":false,"maxSkyLight":15,"minSkyLight":8,"neededNearbyBlocks":["minecraft:kelp_plant"]}</t>
        </is>
      </c>
      <c r="AR2328" s="18" t="inlineStr"/>
      <c r="AS2328" s="18" t="inlineStr"/>
      <c r="AT2328" s="19" t="inlineStr"/>
    </row>
    <row r="2329" ht="32" customHeight="1">
      <c r="A2329" s="18" t="inlineStr">
        <is>
          <t>0691_dragalge.json::dragalge-4::004</t>
        </is>
      </c>
      <c r="B2329" s="19" t="inlineStr">
        <is>
          <t>사용</t>
        </is>
      </c>
      <c r="C2329" s="18">
        <f>IF(OR(B2329&lt;&gt;AK2329,M2329&lt;&gt;L2329,O2329&lt;&gt;"",Q2329&lt;&gt;"",V2329&lt;&gt;1,Y2329&lt;&gt;"",AT2329&lt;&gt;""),"수정","원본")</f>
        <v/>
      </c>
      <c r="D2329" s="18" t="n">
        <v>691</v>
      </c>
      <c r="E2329" s="18" t="inlineStr">
        <is>
          <t>드래캄</t>
        </is>
      </c>
      <c r="F2329" s="18" t="inlineStr">
        <is>
          <t>dragalge</t>
        </is>
      </c>
      <c r="G2329" s="18" t="inlineStr">
        <is>
          <t>dragalge</t>
        </is>
      </c>
      <c r="H2329" s="18" t="inlineStr"/>
      <c r="I2329" s="18" t="n">
        <v>6</v>
      </c>
      <c r="J2329" s="18" t="n"/>
      <c r="K2329" s="18" t="n">
        <v>6</v>
      </c>
      <c r="L2329" s="18" t="inlineStr">
        <is>
          <t>cobbleventure:generation_6</t>
        </is>
      </c>
      <c r="M2329" s="19" t="inlineStr">
        <is>
          <t>cobbleventure:generation_6</t>
        </is>
      </c>
      <c r="N2329" s="18" t="inlineStr"/>
      <c r="O2329" s="19" t="inlineStr"/>
      <c r="P2329" s="18" t="inlineStr">
        <is>
          <t>#cobblemon:is_coast; #cobblemon:is_ocean</t>
        </is>
      </c>
      <c r="Q2329" s="19" t="inlineStr"/>
      <c r="R2329" s="18">
        <f>IF(Q2329="",P2329,Q2329)</f>
        <v/>
      </c>
      <c r="S2329" s="18" t="inlineStr"/>
      <c r="T2329" s="18" t="inlineStr">
        <is>
          <t>common</t>
        </is>
      </c>
      <c r="U2329" s="20" t="n">
        <v>0.2</v>
      </c>
      <c r="V2329" s="21" t="n">
        <v>1</v>
      </c>
      <c r="W2329" s="20">
        <f>IF(OR(U2329="",V2329=""),U2329,U2329*V2329)</f>
        <v/>
      </c>
      <c r="X2329" s="18" t="inlineStr">
        <is>
          <t>48-49</t>
        </is>
      </c>
      <c r="Y2329" s="19" t="inlineStr"/>
      <c r="Z2329" s="18">
        <f>IF(Y2329="",X2329,Y2329)</f>
        <v/>
      </c>
      <c r="AA2329" s="18" t="inlineStr">
        <is>
          <t>fishing</t>
        </is>
      </c>
      <c r="AB2329" s="18" t="inlineStr"/>
      <c r="AC2329" s="18" t="inlineStr"/>
      <c r="AD2329" s="18" t="inlineStr"/>
      <c r="AE2329" s="18" t="inlineStr">
        <is>
          <t>sky 8-15</t>
        </is>
      </c>
      <c r="AF2329" s="18" t="inlineStr">
        <is>
          <t>False</t>
        </is>
      </c>
      <c r="AG2329" s="18" t="inlineStr"/>
      <c r="AH2329" s="18" t="inlineStr">
        <is>
          <t>주변=minecraft:kelp_plant</t>
        </is>
      </c>
      <c r="AI2329" s="18" t="inlineStr"/>
      <c r="AJ2329" s="18" t="inlineStr">
        <is>
          <t>COBBLEVERSE 수정</t>
        </is>
      </c>
      <c r="AK2329" s="18" t="inlineStr">
        <is>
          <t>사용</t>
        </is>
      </c>
      <c r="AL2329" s="18" t="inlineStr">
        <is>
          <t>COBBLEVERSE 1.7.42 / DP v31</t>
        </is>
      </c>
      <c r="AM2329" s="18" t="inlineStr">
        <is>
          <t>data/cobblemon/spawn_pool_world/0691_dragalge.json</t>
        </is>
      </c>
      <c r="AN2329" s="18" t="inlineStr">
        <is>
          <t>dragalge-4</t>
        </is>
      </c>
      <c r="AO2329" s="18" t="inlineStr">
        <is>
          <t>pokemon</t>
        </is>
      </c>
      <c r="AP2329" s="18" t="inlineStr"/>
      <c r="AQ2329" s="18" t="inlineStr">
        <is>
          <t>{"biomes":["#cobblemon:is_coast","#cobblemon:is_ocean"],"canSeeSky":false,"maxSkyLight":15,"minSkyLight":8,"neededNearbyBlocks":["minecraft:kelp_plant"]}</t>
        </is>
      </c>
      <c r="AR2329" s="18" t="inlineStr"/>
      <c r="AS2329" s="18" t="inlineStr">
        <is>
          <t>{"weightMultipliers":[{"condition":{"maxLureLevel":2,"minLureLevel":2},"multiplier":3.0},{"condition":{"minLureLevel":3},"multiplier":5.0}]}</t>
        </is>
      </c>
      <c r="AT2329" s="19" t="inlineStr"/>
    </row>
    <row r="2330" ht="32" customHeight="1">
      <c r="A2330" s="18" t="inlineStr">
        <is>
          <t>0691_dragalge.json::dragalge-5::005</t>
        </is>
      </c>
      <c r="B2330" s="19" t="inlineStr">
        <is>
          <t>사용</t>
        </is>
      </c>
      <c r="C2330" s="18">
        <f>IF(OR(B2330&lt;&gt;AK2330,M2330&lt;&gt;L2330,O2330&lt;&gt;"",Q2330&lt;&gt;"",V2330&lt;&gt;1,Y2330&lt;&gt;"",AT2330&lt;&gt;""),"수정","원본")</f>
        <v/>
      </c>
      <c r="D2330" s="18" t="n">
        <v>691</v>
      </c>
      <c r="E2330" s="18" t="inlineStr">
        <is>
          <t>드래캄</t>
        </is>
      </c>
      <c r="F2330" s="18" t="inlineStr">
        <is>
          <t>dragalge</t>
        </is>
      </c>
      <c r="G2330" s="18" t="inlineStr">
        <is>
          <t>dragalge</t>
        </is>
      </c>
      <c r="H2330" s="18" t="inlineStr"/>
      <c r="I2330" s="18" t="n">
        <v>6</v>
      </c>
      <c r="J2330" s="18" t="n"/>
      <c r="K2330" s="18" t="n">
        <v>6</v>
      </c>
      <c r="L2330" s="18" t="inlineStr">
        <is>
          <t>cobbleventure:generation_6</t>
        </is>
      </c>
      <c r="M2330" s="19" t="inlineStr">
        <is>
          <t>cobbleventure:generation_6</t>
        </is>
      </c>
      <c r="N2330" s="18" t="inlineStr">
        <is>
          <t>region_01; region_02</t>
        </is>
      </c>
      <c r="O2330" s="19" t="inlineStr"/>
      <c r="P2330" s="18" t="inlineStr">
        <is>
          <t>#cobblemon:is_overworld</t>
        </is>
      </c>
      <c r="Q2330" s="19" t="inlineStr"/>
      <c r="R2330" s="18">
        <f>IF(Q2330="",P2330,Q2330)</f>
        <v/>
      </c>
      <c r="S2330" s="18" t="inlineStr"/>
      <c r="T2330" s="18" t="inlineStr">
        <is>
          <t>common</t>
        </is>
      </c>
      <c r="U2330" s="20" t="n">
        <v>0.2</v>
      </c>
      <c r="V2330" s="21" t="n">
        <v>1</v>
      </c>
      <c r="W2330" s="20">
        <f>IF(OR(U2330="",V2330=""),U2330,U2330*V2330)</f>
        <v/>
      </c>
      <c r="X2330" s="18" t="inlineStr">
        <is>
          <t>48-49</t>
        </is>
      </c>
      <c r="Y2330" s="19" t="inlineStr"/>
      <c r="Z2330" s="18">
        <f>IF(Y2330="",X2330,Y2330)</f>
        <v/>
      </c>
      <c r="AA2330" s="18" t="inlineStr">
        <is>
          <t>submerged</t>
        </is>
      </c>
      <c r="AB2330" s="18" t="inlineStr"/>
      <c r="AC2330" s="18" t="inlineStr"/>
      <c r="AD2330" s="18" t="inlineStr">
        <is>
          <t>minY=-60, maxY=13</t>
        </is>
      </c>
      <c r="AE2330" s="18" t="inlineStr"/>
      <c r="AF2330" s="18" t="inlineStr">
        <is>
          <t>False</t>
        </is>
      </c>
      <c r="AG2330" s="18" t="inlineStr">
        <is>
          <t>cobblemon:shipwreck_coves/submerged_shipwreck_cove</t>
        </is>
      </c>
      <c r="AH2330" s="18" t="inlineStr"/>
      <c r="AI2330" s="18" t="inlineStr"/>
      <c r="AJ2330" s="18" t="inlineStr">
        <is>
          <t>COBBLEVERSE 수정</t>
        </is>
      </c>
      <c r="AK2330" s="18" t="inlineStr">
        <is>
          <t>사용</t>
        </is>
      </c>
      <c r="AL2330" s="18" t="inlineStr">
        <is>
          <t>COBBLEVERSE 1.7.42 / DP v31</t>
        </is>
      </c>
      <c r="AM2330" s="18" t="inlineStr">
        <is>
          <t>data/cobblemon/spawn_pool_world/0691_dragalge.json</t>
        </is>
      </c>
      <c r="AN2330" s="18" t="inlineStr">
        <is>
          <t>dragalge-5</t>
        </is>
      </c>
      <c r="AO2330" s="18" t="inlineStr">
        <is>
          <t>pokemon</t>
        </is>
      </c>
      <c r="AP2330" s="18" t="inlineStr">
        <is>
          <t>water</t>
        </is>
      </c>
      <c r="AQ2330" s="18" t="inlineStr">
        <is>
          <t>{"biomes":["#cobblemon:is_overworld"],"canSeeSky":false,"maxY":13,"minY":-60,"structures":["cobblemon:shipwreck_coves/submerged_shipwreck_cove"]}</t>
        </is>
      </c>
      <c r="AR2330" s="18" t="inlineStr"/>
      <c r="AS2330" s="18" t="inlineStr"/>
      <c r="AT2330" s="19" t="inlineStr"/>
    </row>
    <row r="2331" ht="32" customHeight="1">
      <c r="A2331" s="18" t="inlineStr">
        <is>
          <t>0691_dragalge.json::dragalge-6::006</t>
        </is>
      </c>
      <c r="B2331" s="19" t="inlineStr">
        <is>
          <t>사용</t>
        </is>
      </c>
      <c r="C2331" s="18">
        <f>IF(OR(B2331&lt;&gt;AK2331,M2331&lt;&gt;L2331,O2331&lt;&gt;"",Q2331&lt;&gt;"",V2331&lt;&gt;1,Y2331&lt;&gt;"",AT2331&lt;&gt;""),"수정","원본")</f>
        <v/>
      </c>
      <c r="D2331" s="18" t="n">
        <v>691</v>
      </c>
      <c r="E2331" s="18" t="inlineStr">
        <is>
          <t>드래캄</t>
        </is>
      </c>
      <c r="F2331" s="18" t="inlineStr">
        <is>
          <t>dragalge</t>
        </is>
      </c>
      <c r="G2331" s="18" t="inlineStr">
        <is>
          <t>dragalge</t>
        </is>
      </c>
      <c r="H2331" s="18" t="inlineStr"/>
      <c r="I2331" s="18" t="n">
        <v>6</v>
      </c>
      <c r="J2331" s="18" t="n"/>
      <c r="K2331" s="18" t="n">
        <v>6</v>
      </c>
      <c r="L2331" s="18" t="inlineStr">
        <is>
          <t>cobbleventure:generation_6</t>
        </is>
      </c>
      <c r="M2331" s="19" t="inlineStr">
        <is>
          <t>cobbleventure:generation_6</t>
        </is>
      </c>
      <c r="N2331" s="18" t="inlineStr">
        <is>
          <t>region_01; region_02</t>
        </is>
      </c>
      <c r="O2331" s="19" t="inlineStr"/>
      <c r="P2331" s="18" t="inlineStr">
        <is>
          <t>#cobblemon:is_overworld</t>
        </is>
      </c>
      <c r="Q2331" s="19" t="inlineStr"/>
      <c r="R2331" s="18">
        <f>IF(Q2331="",P2331,Q2331)</f>
        <v/>
      </c>
      <c r="S2331" s="18" t="inlineStr"/>
      <c r="T2331" s="18" t="inlineStr">
        <is>
          <t>common</t>
        </is>
      </c>
      <c r="U2331" s="20" t="n">
        <v>0.2</v>
      </c>
      <c r="V2331" s="21" t="n">
        <v>1</v>
      </c>
      <c r="W2331" s="20">
        <f>IF(OR(U2331="",V2331=""),U2331,U2331*V2331)</f>
        <v/>
      </c>
      <c r="X2331" s="18" t="inlineStr">
        <is>
          <t>48-49</t>
        </is>
      </c>
      <c r="Y2331" s="19" t="inlineStr"/>
      <c r="Z2331" s="18">
        <f>IF(Y2331="",X2331,Y2331)</f>
        <v/>
      </c>
      <c r="AA2331" s="18" t="inlineStr">
        <is>
          <t>fishing</t>
        </is>
      </c>
      <c r="AB2331" s="18" t="inlineStr"/>
      <c r="AC2331" s="18" t="inlineStr"/>
      <c r="AD2331" s="18" t="inlineStr">
        <is>
          <t>minY=-60, maxY=13</t>
        </is>
      </c>
      <c r="AE2331" s="18" t="inlineStr"/>
      <c r="AF2331" s="18" t="inlineStr">
        <is>
          <t>False</t>
        </is>
      </c>
      <c r="AG2331" s="18" t="inlineStr">
        <is>
          <t>cobblemon:shipwreck_coves/submerged_shipwreck_cove</t>
        </is>
      </c>
      <c r="AH2331" s="18" t="inlineStr"/>
      <c r="AI2331" s="18" t="inlineStr"/>
      <c r="AJ2331" s="18" t="inlineStr">
        <is>
          <t>COBBLEVERSE 수정</t>
        </is>
      </c>
      <c r="AK2331" s="18" t="inlineStr">
        <is>
          <t>사용</t>
        </is>
      </c>
      <c r="AL2331" s="18" t="inlineStr">
        <is>
          <t>COBBLEVERSE 1.7.42 / DP v31</t>
        </is>
      </c>
      <c r="AM2331" s="18" t="inlineStr">
        <is>
          <t>data/cobblemon/spawn_pool_world/0691_dragalge.json</t>
        </is>
      </c>
      <c r="AN2331" s="18" t="inlineStr">
        <is>
          <t>dragalge-6</t>
        </is>
      </c>
      <c r="AO2331" s="18" t="inlineStr">
        <is>
          <t>pokemon</t>
        </is>
      </c>
      <c r="AP2331" s="18" t="inlineStr"/>
      <c r="AQ2331" s="18" t="inlineStr">
        <is>
          <t>{"biomes":["#cobblemon:is_overworld"],"canSeeSky":false,"maxY":13,"minY":-60,"structures":["cobblemon:shipwreck_coves/submerged_shipwreck_cove"]}</t>
        </is>
      </c>
      <c r="AR2331" s="18" t="inlineStr"/>
      <c r="AS2331" s="18" t="inlineStr">
        <is>
          <t>{"weightMultipliers":[{"condition":{"maxLureLevel":2,"minLureLevel":2},"multiplier":3.0},{"condition":{"minLureLevel":3},"multiplier":5.0}]}</t>
        </is>
      </c>
      <c r="AT2331" s="19" t="inlineStr"/>
    </row>
    <row r="2332" ht="32" customHeight="1">
      <c r="A2332" s="18" t="inlineStr">
        <is>
          <t>0692_clauncher.json::clauncher-1::001</t>
        </is>
      </c>
      <c r="B2332" s="19" t="inlineStr">
        <is>
          <t>사용</t>
        </is>
      </c>
      <c r="C2332" s="18">
        <f>IF(OR(B2332&lt;&gt;AK2332,M2332&lt;&gt;L2332,O2332&lt;&gt;"",Q2332&lt;&gt;"",V2332&lt;&gt;1,Y2332&lt;&gt;"",AT2332&lt;&gt;""),"수정","원본")</f>
        <v/>
      </c>
      <c r="D2332" s="18" t="n">
        <v>692</v>
      </c>
      <c r="E2332" s="18" t="inlineStr">
        <is>
          <t>완철포</t>
        </is>
      </c>
      <c r="F2332" s="18" t="inlineStr">
        <is>
          <t>clauncher</t>
        </is>
      </c>
      <c r="G2332" s="18" t="inlineStr">
        <is>
          <t>clauncher</t>
        </is>
      </c>
      <c r="H2332" s="18" t="inlineStr"/>
      <c r="I2332" s="18" t="n">
        <v>6</v>
      </c>
      <c r="J2332" s="18" t="n"/>
      <c r="K2332" s="18" t="n">
        <v>6</v>
      </c>
      <c r="L2332" s="18" t="inlineStr">
        <is>
          <t>cobbleventure:generation_6</t>
        </is>
      </c>
      <c r="M2332" s="19" t="inlineStr">
        <is>
          <t>cobbleventure:generation_6</t>
        </is>
      </c>
      <c r="N2332" s="18" t="inlineStr"/>
      <c r="O2332" s="19" t="inlineStr"/>
      <c r="P2332" s="18" t="inlineStr">
        <is>
          <t>#cobblemon:is_ocean</t>
        </is>
      </c>
      <c r="Q2332" s="19" t="inlineStr"/>
      <c r="R2332" s="18">
        <f>IF(Q2332="",P2332,Q2332)</f>
        <v/>
      </c>
      <c r="S2332" s="18" t="inlineStr"/>
      <c r="T2332" s="18" t="inlineStr">
        <is>
          <t>common</t>
        </is>
      </c>
      <c r="U2332" s="20" t="n">
        <v>1.8</v>
      </c>
      <c r="V2332" s="21" t="n">
        <v>1</v>
      </c>
      <c r="W2332" s="20">
        <f>IF(OR(U2332="",V2332=""),U2332,U2332*V2332)</f>
        <v/>
      </c>
      <c r="X2332" s="18" t="inlineStr">
        <is>
          <t>8-33</t>
        </is>
      </c>
      <c r="Y2332" s="19" t="inlineStr"/>
      <c r="Z2332" s="18">
        <f>IF(Y2332="",X2332,Y2332)</f>
        <v/>
      </c>
      <c r="AA2332" s="18" t="inlineStr">
        <is>
          <t>seafloor</t>
        </is>
      </c>
      <c r="AB2332" s="18" t="inlineStr"/>
      <c r="AC2332" s="18" t="inlineStr"/>
      <c r="AD2332" s="18" t="inlineStr"/>
      <c r="AE2332" s="18" t="inlineStr"/>
      <c r="AF2332" s="18" t="inlineStr"/>
      <c r="AG2332" s="18" t="inlineStr"/>
      <c r="AH2332" s="18" t="inlineStr"/>
      <c r="AI2332" s="18" t="inlineStr"/>
      <c r="AJ2332" s="18" t="inlineStr">
        <is>
          <t>COBBLEVERSE 수정</t>
        </is>
      </c>
      <c r="AK2332" s="18" t="inlineStr">
        <is>
          <t>사용</t>
        </is>
      </c>
      <c r="AL2332" s="18" t="inlineStr">
        <is>
          <t>COBBLEVERSE 1.7.42 / DP v31</t>
        </is>
      </c>
      <c r="AM2332" s="18" t="inlineStr">
        <is>
          <t>data/cobblemon/spawn_pool_world/0692_clauncher.json</t>
        </is>
      </c>
      <c r="AN2332" s="18" t="inlineStr">
        <is>
          <t>clauncher-1</t>
        </is>
      </c>
      <c r="AO2332" s="18" t="inlineStr">
        <is>
          <t>pokemon</t>
        </is>
      </c>
      <c r="AP2332" s="18" t="inlineStr">
        <is>
          <t>water</t>
        </is>
      </c>
      <c r="AQ2332" s="18" t="inlineStr">
        <is>
          <t>{"biomes":["#cobblemon:is_ocean"]}</t>
        </is>
      </c>
      <c r="AR2332" s="18" t="inlineStr"/>
      <c r="AS2332" s="18" t="inlineStr"/>
      <c r="AT2332" s="19" t="inlineStr"/>
    </row>
    <row r="2333" ht="32" customHeight="1">
      <c r="A2333" s="18" t="inlineStr">
        <is>
          <t>0692_clauncher.json::clauncher-2::002</t>
        </is>
      </c>
      <c r="B2333" s="19" t="inlineStr">
        <is>
          <t>사용</t>
        </is>
      </c>
      <c r="C2333" s="18">
        <f>IF(OR(B2333&lt;&gt;AK2333,M2333&lt;&gt;L2333,O2333&lt;&gt;"",Q2333&lt;&gt;"",V2333&lt;&gt;1,Y2333&lt;&gt;"",AT2333&lt;&gt;""),"수정","원본")</f>
        <v/>
      </c>
      <c r="D2333" s="18" t="n">
        <v>692</v>
      </c>
      <c r="E2333" s="18" t="inlineStr">
        <is>
          <t>완철포</t>
        </is>
      </c>
      <c r="F2333" s="18" t="inlineStr">
        <is>
          <t>clauncher</t>
        </is>
      </c>
      <c r="G2333" s="18" t="inlineStr">
        <is>
          <t>clauncher</t>
        </is>
      </c>
      <c r="H2333" s="18" t="inlineStr"/>
      <c r="I2333" s="18" t="n">
        <v>6</v>
      </c>
      <c r="J2333" s="18" t="n"/>
      <c r="K2333" s="18" t="n">
        <v>6</v>
      </c>
      <c r="L2333" s="18" t="inlineStr">
        <is>
          <t>cobbleventure:generation_6</t>
        </is>
      </c>
      <c r="M2333" s="19" t="inlineStr">
        <is>
          <t>cobbleventure:generation_6</t>
        </is>
      </c>
      <c r="N2333" s="18" t="inlineStr"/>
      <c r="O2333" s="19" t="inlineStr"/>
      <c r="P2333" s="18" t="inlineStr">
        <is>
          <t>#cobblemon:is_coast; #cobblemon:is_ocean</t>
        </is>
      </c>
      <c r="Q2333" s="19" t="inlineStr"/>
      <c r="R2333" s="18">
        <f>IF(Q2333="",P2333,Q2333)</f>
        <v/>
      </c>
      <c r="S2333" s="18" t="inlineStr"/>
      <c r="T2333" s="18" t="inlineStr">
        <is>
          <t>common</t>
        </is>
      </c>
      <c r="U2333" s="20" t="n">
        <v>1.8</v>
      </c>
      <c r="V2333" s="21" t="n">
        <v>1</v>
      </c>
      <c r="W2333" s="20">
        <f>IF(OR(U2333="",V2333=""),U2333,U2333*V2333)</f>
        <v/>
      </c>
      <c r="X2333" s="18" t="inlineStr">
        <is>
          <t>8-33</t>
        </is>
      </c>
      <c r="Y2333" s="19" t="inlineStr"/>
      <c r="Z2333" s="18">
        <f>IF(Y2333="",X2333,Y2333)</f>
        <v/>
      </c>
      <c r="AA2333" s="18" t="inlineStr">
        <is>
          <t>fishing</t>
        </is>
      </c>
      <c r="AB2333" s="18" t="inlineStr"/>
      <c r="AC2333" s="18" t="inlineStr"/>
      <c r="AD2333" s="18" t="inlineStr"/>
      <c r="AE2333" s="18" t="inlineStr"/>
      <c r="AF2333" s="18" t="inlineStr">
        <is>
          <t>True</t>
        </is>
      </c>
      <c r="AG2333" s="18" t="inlineStr"/>
      <c r="AH2333" s="18" t="inlineStr"/>
      <c r="AI2333" s="18" t="inlineStr"/>
      <c r="AJ2333" s="18" t="inlineStr">
        <is>
          <t>COBBLEVERSE 수정</t>
        </is>
      </c>
      <c r="AK2333" s="18" t="inlineStr">
        <is>
          <t>사용</t>
        </is>
      </c>
      <c r="AL2333" s="18" t="inlineStr">
        <is>
          <t>COBBLEVERSE 1.7.42 / DP v31</t>
        </is>
      </c>
      <c r="AM2333" s="18" t="inlineStr">
        <is>
          <t>data/cobblemon/spawn_pool_world/0692_clauncher.json</t>
        </is>
      </c>
      <c r="AN2333" s="18" t="inlineStr">
        <is>
          <t>clauncher-2</t>
        </is>
      </c>
      <c r="AO2333" s="18" t="inlineStr">
        <is>
          <t>pokemon</t>
        </is>
      </c>
      <c r="AP2333" s="18" t="inlineStr"/>
      <c r="AQ2333" s="18" t="inlineStr">
        <is>
          <t>{"biomes":["#cobblemon:is_coast","#cobblemon:is_ocean"],"canSeeSky":true}</t>
        </is>
      </c>
      <c r="AR2333" s="18" t="inlineStr"/>
      <c r="AS2333" s="18" t="inlineStr">
        <is>
          <t>{"weightMultipliers":[{"condition":{"maxLureLevel":2,"minLureLevel":2},"multiplier":3.0},{"condition":{"minLureLevel":3},"multiplier":5.0}]}</t>
        </is>
      </c>
      <c r="AT2333" s="19" t="inlineStr"/>
    </row>
    <row r="2334" ht="32" customHeight="1">
      <c r="A2334" s="18" t="inlineStr">
        <is>
          <t>0692_clauncher.json::clauncher-3::003</t>
        </is>
      </c>
      <c r="B2334" s="19" t="inlineStr">
        <is>
          <t>사용</t>
        </is>
      </c>
      <c r="C2334" s="18">
        <f>IF(OR(B2334&lt;&gt;AK2334,M2334&lt;&gt;L2334,O2334&lt;&gt;"",Q2334&lt;&gt;"",V2334&lt;&gt;1,Y2334&lt;&gt;"",AT2334&lt;&gt;""),"수정","원본")</f>
        <v/>
      </c>
      <c r="D2334" s="18" t="n">
        <v>692</v>
      </c>
      <c r="E2334" s="18" t="inlineStr">
        <is>
          <t>완철포</t>
        </is>
      </c>
      <c r="F2334" s="18" t="inlineStr">
        <is>
          <t>clauncher</t>
        </is>
      </c>
      <c r="G2334" s="18" t="inlineStr">
        <is>
          <t>clauncher</t>
        </is>
      </c>
      <c r="H2334" s="18" t="inlineStr"/>
      <c r="I2334" s="18" t="n">
        <v>6</v>
      </c>
      <c r="J2334" s="18" t="n"/>
      <c r="K2334" s="18" t="n">
        <v>6</v>
      </c>
      <c r="L2334" s="18" t="inlineStr">
        <is>
          <t>cobbleventure:generation_6</t>
        </is>
      </c>
      <c r="M2334" s="19" t="inlineStr">
        <is>
          <t>cobbleventure:generation_6</t>
        </is>
      </c>
      <c r="N2334" s="18" t="inlineStr"/>
      <c r="O2334" s="19" t="inlineStr"/>
      <c r="P2334" s="18" t="inlineStr">
        <is>
          <t>#cobblemon:is_coast; #cobblemon:is_ocean</t>
        </is>
      </c>
      <c r="Q2334" s="19" t="inlineStr"/>
      <c r="R2334" s="18">
        <f>IF(Q2334="",P2334,Q2334)</f>
        <v/>
      </c>
      <c r="S2334" s="18" t="inlineStr"/>
      <c r="T2334" s="18" t="inlineStr">
        <is>
          <t>common</t>
        </is>
      </c>
      <c r="U2334" s="20" t="n">
        <v>1.8</v>
      </c>
      <c r="V2334" s="21" t="n">
        <v>1</v>
      </c>
      <c r="W2334" s="20">
        <f>IF(OR(U2334="",V2334=""),U2334,U2334*V2334)</f>
        <v/>
      </c>
      <c r="X2334" s="18" t="inlineStr">
        <is>
          <t>8-33</t>
        </is>
      </c>
      <c r="Y2334" s="19" t="inlineStr"/>
      <c r="Z2334" s="18">
        <f>IF(Y2334="",X2334,Y2334)</f>
        <v/>
      </c>
      <c r="AA2334" s="18" t="inlineStr">
        <is>
          <t>fishing</t>
        </is>
      </c>
      <c r="AB2334" s="18" t="inlineStr"/>
      <c r="AC2334" s="18" t="inlineStr"/>
      <c r="AD2334" s="18" t="inlineStr"/>
      <c r="AE2334" s="18" t="inlineStr">
        <is>
          <t>sky 8-15</t>
        </is>
      </c>
      <c r="AF2334" s="18" t="inlineStr">
        <is>
          <t>False</t>
        </is>
      </c>
      <c r="AG2334" s="18" t="inlineStr"/>
      <c r="AH2334" s="18" t="inlineStr"/>
      <c r="AI2334" s="18" t="inlineStr"/>
      <c r="AJ2334" s="18" t="inlineStr">
        <is>
          <t>COBBLEVERSE 수정</t>
        </is>
      </c>
      <c r="AK2334" s="18" t="inlineStr">
        <is>
          <t>사용</t>
        </is>
      </c>
      <c r="AL2334" s="18" t="inlineStr">
        <is>
          <t>COBBLEVERSE 1.7.42 / DP v31</t>
        </is>
      </c>
      <c r="AM2334" s="18" t="inlineStr">
        <is>
          <t>data/cobblemon/spawn_pool_world/0692_clauncher.json</t>
        </is>
      </c>
      <c r="AN2334" s="18" t="inlineStr">
        <is>
          <t>clauncher-3</t>
        </is>
      </c>
      <c r="AO2334" s="18" t="inlineStr">
        <is>
          <t>pokemon</t>
        </is>
      </c>
      <c r="AP2334" s="18" t="inlineStr"/>
      <c r="AQ2334" s="18" t="inlineStr">
        <is>
          <t>{"biomes":["#cobblemon:is_coast","#cobblemon:is_ocean"],"canSeeSky":false,"maxSkyLight":15,"minSkyLight":8}</t>
        </is>
      </c>
      <c r="AR2334" s="18" t="inlineStr"/>
      <c r="AS2334" s="18" t="inlineStr">
        <is>
          <t>{"weightMultipliers":[{"condition":{"maxLureLevel":2,"minLureLevel":2},"multiplier":3.0},{"condition":{"minLureLevel":3},"multiplier":5.0}]}</t>
        </is>
      </c>
      <c r="AT2334" s="19" t="inlineStr"/>
    </row>
    <row r="2335" ht="32" customHeight="1">
      <c r="A2335" s="18" t="inlineStr">
        <is>
          <t>0693_clawitzer.json::clawitzer-1::001</t>
        </is>
      </c>
      <c r="B2335" s="19" t="inlineStr">
        <is>
          <t>사용</t>
        </is>
      </c>
      <c r="C2335" s="18">
        <f>IF(OR(B2335&lt;&gt;AK2335,M2335&lt;&gt;L2335,O2335&lt;&gt;"",Q2335&lt;&gt;"",V2335&lt;&gt;1,Y2335&lt;&gt;"",AT2335&lt;&gt;""),"수정","원본")</f>
        <v/>
      </c>
      <c r="D2335" s="18" t="n">
        <v>693</v>
      </c>
      <c r="E2335" s="18" t="inlineStr">
        <is>
          <t>블로스터</t>
        </is>
      </c>
      <c r="F2335" s="18" t="inlineStr">
        <is>
          <t>clawitzer</t>
        </is>
      </c>
      <c r="G2335" s="18" t="inlineStr">
        <is>
          <t>clawitzer</t>
        </is>
      </c>
      <c r="H2335" s="18" t="inlineStr"/>
      <c r="I2335" s="18" t="n">
        <v>6</v>
      </c>
      <c r="J2335" s="18" t="n"/>
      <c r="K2335" s="18" t="n">
        <v>6</v>
      </c>
      <c r="L2335" s="18" t="inlineStr">
        <is>
          <t>cobbleventure:generation_6</t>
        </is>
      </c>
      <c r="M2335" s="19" t="inlineStr">
        <is>
          <t>cobbleventure:generation_6</t>
        </is>
      </c>
      <c r="N2335" s="18" t="inlineStr"/>
      <c r="O2335" s="19" t="inlineStr"/>
      <c r="P2335" s="18" t="inlineStr">
        <is>
          <t>#cobblemon:is_ocean</t>
        </is>
      </c>
      <c r="Q2335" s="19" t="inlineStr"/>
      <c r="R2335" s="18">
        <f>IF(Q2335="",P2335,Q2335)</f>
        <v/>
      </c>
      <c r="S2335" s="18" t="inlineStr"/>
      <c r="T2335" s="18" t="inlineStr">
        <is>
          <t>common</t>
        </is>
      </c>
      <c r="U2335" s="20" t="n">
        <v>0.2</v>
      </c>
      <c r="V2335" s="21" t="n">
        <v>1</v>
      </c>
      <c r="W2335" s="20">
        <f>IF(OR(U2335="",V2335=""),U2335,U2335*V2335)</f>
        <v/>
      </c>
      <c r="X2335" s="18" t="inlineStr">
        <is>
          <t>37-50</t>
        </is>
      </c>
      <c r="Y2335" s="19" t="inlineStr"/>
      <c r="Z2335" s="18">
        <f>IF(Y2335="",X2335,Y2335)</f>
        <v/>
      </c>
      <c r="AA2335" s="18" t="inlineStr">
        <is>
          <t>submerged</t>
        </is>
      </c>
      <c r="AB2335" s="18" t="inlineStr"/>
      <c r="AC2335" s="18" t="inlineStr"/>
      <c r="AD2335" s="18" t="inlineStr"/>
      <c r="AE2335" s="18" t="inlineStr"/>
      <c r="AF2335" s="18" t="inlineStr">
        <is>
          <t>True</t>
        </is>
      </c>
      <c r="AG2335" s="18" t="inlineStr"/>
      <c r="AH2335" s="18" t="inlineStr"/>
      <c r="AI2335" s="18" t="inlineStr"/>
      <c r="AJ2335" s="18" t="inlineStr">
        <is>
          <t>Cobblemon 동일</t>
        </is>
      </c>
      <c r="AK2335" s="18" t="inlineStr">
        <is>
          <t>사용</t>
        </is>
      </c>
      <c r="AL2335" s="18" t="inlineStr">
        <is>
          <t>COBBLEVERSE 1.7.42 / DP v31</t>
        </is>
      </c>
      <c r="AM2335" s="18" t="inlineStr">
        <is>
          <t>data/cobblemon/spawn_pool_world/0693_clawitzer.json</t>
        </is>
      </c>
      <c r="AN2335" s="18" t="inlineStr">
        <is>
          <t>clawitzer-1</t>
        </is>
      </c>
      <c r="AO2335" s="18" t="inlineStr">
        <is>
          <t>pokemon</t>
        </is>
      </c>
      <c r="AP2335" s="18" t="inlineStr">
        <is>
          <t>water</t>
        </is>
      </c>
      <c r="AQ2335" s="18" t="inlineStr">
        <is>
          <t>{"biomes":["#cobblemon:is_ocean"],"canSeeSky":true}</t>
        </is>
      </c>
      <c r="AR2335" s="18" t="inlineStr"/>
      <c r="AS2335" s="18" t="inlineStr"/>
      <c r="AT2335" s="19" t="inlineStr"/>
    </row>
    <row r="2336" ht="32" customHeight="1">
      <c r="A2336" s="18" t="inlineStr">
        <is>
          <t>0693_clawitzer.json::clawitzer-2::002</t>
        </is>
      </c>
      <c r="B2336" s="19" t="inlineStr">
        <is>
          <t>사용</t>
        </is>
      </c>
      <c r="C2336" s="18">
        <f>IF(OR(B2336&lt;&gt;AK2336,M2336&lt;&gt;L2336,O2336&lt;&gt;"",Q2336&lt;&gt;"",V2336&lt;&gt;1,Y2336&lt;&gt;"",AT2336&lt;&gt;""),"수정","원본")</f>
        <v/>
      </c>
      <c r="D2336" s="18" t="n">
        <v>693</v>
      </c>
      <c r="E2336" s="18" t="inlineStr">
        <is>
          <t>블로스터</t>
        </is>
      </c>
      <c r="F2336" s="18" t="inlineStr">
        <is>
          <t>clawitzer</t>
        </is>
      </c>
      <c r="G2336" s="18" t="inlineStr">
        <is>
          <t>clawitzer</t>
        </is>
      </c>
      <c r="H2336" s="18" t="inlineStr"/>
      <c r="I2336" s="18" t="n">
        <v>6</v>
      </c>
      <c r="J2336" s="18" t="n"/>
      <c r="K2336" s="18" t="n">
        <v>6</v>
      </c>
      <c r="L2336" s="18" t="inlineStr">
        <is>
          <t>cobbleventure:generation_6</t>
        </is>
      </c>
      <c r="M2336" s="19" t="inlineStr">
        <is>
          <t>cobbleventure:generation_6</t>
        </is>
      </c>
      <c r="N2336" s="18" t="inlineStr"/>
      <c r="O2336" s="19" t="inlineStr"/>
      <c r="P2336" s="18" t="inlineStr">
        <is>
          <t>#cobblemon:is_coast; #cobblemon:is_ocean</t>
        </is>
      </c>
      <c r="Q2336" s="19" t="inlineStr"/>
      <c r="R2336" s="18">
        <f>IF(Q2336="",P2336,Q2336)</f>
        <v/>
      </c>
      <c r="S2336" s="18" t="inlineStr"/>
      <c r="T2336" s="18" t="inlineStr">
        <is>
          <t>common</t>
        </is>
      </c>
      <c r="U2336" s="20" t="n">
        <v>0.2</v>
      </c>
      <c r="V2336" s="21" t="n">
        <v>1</v>
      </c>
      <c r="W2336" s="20">
        <f>IF(OR(U2336="",V2336=""),U2336,U2336*V2336)</f>
        <v/>
      </c>
      <c r="X2336" s="18" t="inlineStr">
        <is>
          <t>37-50</t>
        </is>
      </c>
      <c r="Y2336" s="19" t="inlineStr"/>
      <c r="Z2336" s="18">
        <f>IF(Y2336="",X2336,Y2336)</f>
        <v/>
      </c>
      <c r="AA2336" s="18" t="inlineStr">
        <is>
          <t>fishing</t>
        </is>
      </c>
      <c r="AB2336" s="18" t="inlineStr"/>
      <c r="AC2336" s="18" t="inlineStr"/>
      <c r="AD2336" s="18" t="inlineStr"/>
      <c r="AE2336" s="18" t="inlineStr"/>
      <c r="AF2336" s="18" t="inlineStr">
        <is>
          <t>True</t>
        </is>
      </c>
      <c r="AG2336" s="18" t="inlineStr"/>
      <c r="AH2336" s="18" t="inlineStr"/>
      <c r="AI2336" s="18" t="inlineStr"/>
      <c r="AJ2336" s="18" t="inlineStr">
        <is>
          <t>Cobblemon 동일</t>
        </is>
      </c>
      <c r="AK2336" s="18" t="inlineStr">
        <is>
          <t>사용</t>
        </is>
      </c>
      <c r="AL2336" s="18" t="inlineStr">
        <is>
          <t>COBBLEVERSE 1.7.42 / DP v31</t>
        </is>
      </c>
      <c r="AM2336" s="18" t="inlineStr">
        <is>
          <t>data/cobblemon/spawn_pool_world/0693_clawitzer.json</t>
        </is>
      </c>
      <c r="AN2336" s="18" t="inlineStr">
        <is>
          <t>clawitzer-2</t>
        </is>
      </c>
      <c r="AO2336" s="18" t="inlineStr">
        <is>
          <t>pokemon</t>
        </is>
      </c>
      <c r="AP2336" s="18" t="inlineStr"/>
      <c r="AQ2336" s="18" t="inlineStr">
        <is>
          <t>{"biomes":["#cobblemon:is_coast","#cobblemon:is_ocean"],"canSeeSky":true}</t>
        </is>
      </c>
      <c r="AR2336" s="18" t="inlineStr"/>
      <c r="AS2336" s="18" t="inlineStr">
        <is>
          <t>{"weightMultipliers":[{"condition":{"maxLureLevel":2,"minLureLevel":2},"multiplier":3.0},{"condition":{"minLureLevel":3},"multiplier":5.0}]}</t>
        </is>
      </c>
      <c r="AT2336" s="19" t="inlineStr"/>
    </row>
    <row r="2337" ht="32" customHeight="1">
      <c r="A2337" s="18" t="inlineStr">
        <is>
          <t>0693_clawitzer.json::clawitzer-3::003</t>
        </is>
      </c>
      <c r="B2337" s="19" t="inlineStr">
        <is>
          <t>사용</t>
        </is>
      </c>
      <c r="C2337" s="18">
        <f>IF(OR(B2337&lt;&gt;AK2337,M2337&lt;&gt;L2337,O2337&lt;&gt;"",Q2337&lt;&gt;"",V2337&lt;&gt;1,Y2337&lt;&gt;"",AT2337&lt;&gt;""),"수정","원본")</f>
        <v/>
      </c>
      <c r="D2337" s="18" t="n">
        <v>693</v>
      </c>
      <c r="E2337" s="18" t="inlineStr">
        <is>
          <t>블로스터</t>
        </is>
      </c>
      <c r="F2337" s="18" t="inlineStr">
        <is>
          <t>clawitzer</t>
        </is>
      </c>
      <c r="G2337" s="18" t="inlineStr">
        <is>
          <t>clawitzer</t>
        </is>
      </c>
      <c r="H2337" s="18" t="inlineStr"/>
      <c r="I2337" s="18" t="n">
        <v>6</v>
      </c>
      <c r="J2337" s="18" t="n"/>
      <c r="K2337" s="18" t="n">
        <v>6</v>
      </c>
      <c r="L2337" s="18" t="inlineStr">
        <is>
          <t>cobbleventure:generation_6</t>
        </is>
      </c>
      <c r="M2337" s="19" t="inlineStr">
        <is>
          <t>cobbleventure:generation_6</t>
        </is>
      </c>
      <c r="N2337" s="18" t="inlineStr"/>
      <c r="O2337" s="19" t="inlineStr"/>
      <c r="P2337" s="18" t="inlineStr">
        <is>
          <t>#cobblemon:is_ocean</t>
        </is>
      </c>
      <c r="Q2337" s="19" t="inlineStr"/>
      <c r="R2337" s="18">
        <f>IF(Q2337="",P2337,Q2337)</f>
        <v/>
      </c>
      <c r="S2337" s="18" t="inlineStr"/>
      <c r="T2337" s="18" t="inlineStr">
        <is>
          <t>common</t>
        </is>
      </c>
      <c r="U2337" s="20" t="n">
        <v>0.2</v>
      </c>
      <c r="V2337" s="21" t="n">
        <v>1</v>
      </c>
      <c r="W2337" s="20">
        <f>IF(OR(U2337="",V2337=""),U2337,U2337*V2337)</f>
        <v/>
      </c>
      <c r="X2337" s="18" t="inlineStr">
        <is>
          <t>37-50</t>
        </is>
      </c>
      <c r="Y2337" s="19" t="inlineStr"/>
      <c r="Z2337" s="18">
        <f>IF(Y2337="",X2337,Y2337)</f>
        <v/>
      </c>
      <c r="AA2337" s="18" t="inlineStr">
        <is>
          <t>submerged</t>
        </is>
      </c>
      <c r="AB2337" s="18" t="inlineStr"/>
      <c r="AC2337" s="18" t="inlineStr"/>
      <c r="AD2337" s="18" t="inlineStr"/>
      <c r="AE2337" s="18" t="inlineStr">
        <is>
          <t>sky 8-15</t>
        </is>
      </c>
      <c r="AF2337" s="18" t="inlineStr">
        <is>
          <t>False</t>
        </is>
      </c>
      <c r="AG2337" s="18" t="inlineStr"/>
      <c r="AH2337" s="18" t="inlineStr"/>
      <c r="AI2337" s="18" t="inlineStr"/>
      <c r="AJ2337" s="18" t="inlineStr">
        <is>
          <t>Cobblemon 동일</t>
        </is>
      </c>
      <c r="AK2337" s="18" t="inlineStr">
        <is>
          <t>사용</t>
        </is>
      </c>
      <c r="AL2337" s="18" t="inlineStr">
        <is>
          <t>COBBLEVERSE 1.7.42 / DP v31</t>
        </is>
      </c>
      <c r="AM2337" s="18" t="inlineStr">
        <is>
          <t>data/cobblemon/spawn_pool_world/0693_clawitzer.json</t>
        </is>
      </c>
      <c r="AN2337" s="18" t="inlineStr">
        <is>
          <t>clawitzer-3</t>
        </is>
      </c>
      <c r="AO2337" s="18" t="inlineStr">
        <is>
          <t>pokemon</t>
        </is>
      </c>
      <c r="AP2337" s="18" t="inlineStr">
        <is>
          <t>water</t>
        </is>
      </c>
      <c r="AQ2337" s="18" t="inlineStr">
        <is>
          <t>{"biomes":["#cobblemon:is_ocean"],"canSeeSky":false,"maxSkyLight":15,"minSkyLight":8}</t>
        </is>
      </c>
      <c r="AR2337" s="18" t="inlineStr"/>
      <c r="AS2337" s="18" t="inlineStr"/>
      <c r="AT2337" s="19" t="inlineStr"/>
    </row>
    <row r="2338" ht="32" customHeight="1">
      <c r="A2338" s="18" t="inlineStr">
        <is>
          <t>0693_clawitzer.json::clawitzer-4::004</t>
        </is>
      </c>
      <c r="B2338" s="19" t="inlineStr">
        <is>
          <t>사용</t>
        </is>
      </c>
      <c r="C2338" s="18">
        <f>IF(OR(B2338&lt;&gt;AK2338,M2338&lt;&gt;L2338,O2338&lt;&gt;"",Q2338&lt;&gt;"",V2338&lt;&gt;1,Y2338&lt;&gt;"",AT2338&lt;&gt;""),"수정","원본")</f>
        <v/>
      </c>
      <c r="D2338" s="18" t="n">
        <v>693</v>
      </c>
      <c r="E2338" s="18" t="inlineStr">
        <is>
          <t>블로스터</t>
        </is>
      </c>
      <c r="F2338" s="18" t="inlineStr">
        <is>
          <t>clawitzer</t>
        </is>
      </c>
      <c r="G2338" s="18" t="inlineStr">
        <is>
          <t>clawitzer</t>
        </is>
      </c>
      <c r="H2338" s="18" t="inlineStr"/>
      <c r="I2338" s="18" t="n">
        <v>6</v>
      </c>
      <c r="J2338" s="18" t="n"/>
      <c r="K2338" s="18" t="n">
        <v>6</v>
      </c>
      <c r="L2338" s="18" t="inlineStr">
        <is>
          <t>cobbleventure:generation_6</t>
        </is>
      </c>
      <c r="M2338" s="19" t="inlineStr">
        <is>
          <t>cobbleventure:generation_6</t>
        </is>
      </c>
      <c r="N2338" s="18" t="inlineStr"/>
      <c r="O2338" s="19" t="inlineStr"/>
      <c r="P2338" s="18" t="inlineStr">
        <is>
          <t>#cobblemon:is_coast; #cobblemon:is_ocean</t>
        </is>
      </c>
      <c r="Q2338" s="19" t="inlineStr"/>
      <c r="R2338" s="18">
        <f>IF(Q2338="",P2338,Q2338)</f>
        <v/>
      </c>
      <c r="S2338" s="18" t="inlineStr"/>
      <c r="T2338" s="18" t="inlineStr">
        <is>
          <t>common</t>
        </is>
      </c>
      <c r="U2338" s="20" t="n">
        <v>0.2</v>
      </c>
      <c r="V2338" s="21" t="n">
        <v>1</v>
      </c>
      <c r="W2338" s="20">
        <f>IF(OR(U2338="",V2338=""),U2338,U2338*V2338)</f>
        <v/>
      </c>
      <c r="X2338" s="18" t="inlineStr">
        <is>
          <t>37-50</t>
        </is>
      </c>
      <c r="Y2338" s="19" t="inlineStr"/>
      <c r="Z2338" s="18">
        <f>IF(Y2338="",X2338,Y2338)</f>
        <v/>
      </c>
      <c r="AA2338" s="18" t="inlineStr">
        <is>
          <t>fishing</t>
        </is>
      </c>
      <c r="AB2338" s="18" t="inlineStr"/>
      <c r="AC2338" s="18" t="inlineStr"/>
      <c r="AD2338" s="18" t="inlineStr"/>
      <c r="AE2338" s="18" t="inlineStr">
        <is>
          <t>sky 8-15</t>
        </is>
      </c>
      <c r="AF2338" s="18" t="inlineStr">
        <is>
          <t>False</t>
        </is>
      </c>
      <c r="AG2338" s="18" t="inlineStr"/>
      <c r="AH2338" s="18" t="inlineStr"/>
      <c r="AI2338" s="18" t="inlineStr"/>
      <c r="AJ2338" s="18" t="inlineStr">
        <is>
          <t>Cobblemon 동일</t>
        </is>
      </c>
      <c r="AK2338" s="18" t="inlineStr">
        <is>
          <t>사용</t>
        </is>
      </c>
      <c r="AL2338" s="18" t="inlineStr">
        <is>
          <t>COBBLEVERSE 1.7.42 / DP v31</t>
        </is>
      </c>
      <c r="AM2338" s="18" t="inlineStr">
        <is>
          <t>data/cobblemon/spawn_pool_world/0693_clawitzer.json</t>
        </is>
      </c>
      <c r="AN2338" s="18" t="inlineStr">
        <is>
          <t>clawitzer-4</t>
        </is>
      </c>
      <c r="AO2338" s="18" t="inlineStr">
        <is>
          <t>pokemon</t>
        </is>
      </c>
      <c r="AP2338" s="18" t="inlineStr"/>
      <c r="AQ2338" s="18" t="inlineStr">
        <is>
          <t>{"biomes":["#cobblemon:is_coast","#cobblemon:is_ocean"],"canSeeSky":false,"maxSkyLight":15,"minSkyLight":8}</t>
        </is>
      </c>
      <c r="AR2338" s="18" t="inlineStr"/>
      <c r="AS2338" s="18" t="inlineStr">
        <is>
          <t>{"weightMultipliers":[{"condition":{"maxLureLevel":2,"minLureLevel":2},"multiplier":3.0},{"condition":{"minLureLevel":3},"multiplier":5.0}]}</t>
        </is>
      </c>
      <c r="AT2338" s="19" t="inlineStr"/>
    </row>
    <row r="2339" ht="32" customHeight="1">
      <c r="A2339" s="18" t="inlineStr">
        <is>
          <t>0694_helioptile.json::helioptile-1::001</t>
        </is>
      </c>
      <c r="B2339" s="19" t="inlineStr">
        <is>
          <t>사용</t>
        </is>
      </c>
      <c r="C2339" s="18">
        <f>IF(OR(B2339&lt;&gt;AK2339,M2339&lt;&gt;L2339,O2339&lt;&gt;"",Q2339&lt;&gt;"",V2339&lt;&gt;1,Y2339&lt;&gt;"",AT2339&lt;&gt;""),"수정","원본")</f>
        <v/>
      </c>
      <c r="D2339" s="18" t="n">
        <v>694</v>
      </c>
      <c r="E2339" s="18" t="inlineStr">
        <is>
          <t>목도리키텔</t>
        </is>
      </c>
      <c r="F2339" s="18" t="inlineStr">
        <is>
          <t>helioptile</t>
        </is>
      </c>
      <c r="G2339" s="18" t="inlineStr">
        <is>
          <t>helioptile</t>
        </is>
      </c>
      <c r="H2339" s="18" t="inlineStr"/>
      <c r="I2339" s="18" t="n">
        <v>6</v>
      </c>
      <c r="J2339" s="18" t="n"/>
      <c r="K2339" s="18" t="n">
        <v>6</v>
      </c>
      <c r="L2339" s="18" t="inlineStr">
        <is>
          <t>cobbleventure:generation_6</t>
        </is>
      </c>
      <c r="M2339" s="19" t="inlineStr">
        <is>
          <t>cobbleventure:generation_6</t>
        </is>
      </c>
      <c r="N2339" s="18" t="inlineStr">
        <is>
          <t>region_02</t>
        </is>
      </c>
      <c r="O2339" s="19" t="inlineStr"/>
      <c r="P2339" s="18" t="inlineStr">
        <is>
          <t>#cobblemon:is_sandy</t>
        </is>
      </c>
      <c r="Q2339" s="19" t="inlineStr"/>
      <c r="R2339" s="18">
        <f>IF(Q2339="",P2339,Q2339)</f>
        <v/>
      </c>
      <c r="S2339" s="18" t="inlineStr"/>
      <c r="T2339" s="18" t="inlineStr">
        <is>
          <t>uncommon</t>
        </is>
      </c>
      <c r="U2339" s="20" t="n">
        <v>6</v>
      </c>
      <c r="V2339" s="21" t="n">
        <v>1</v>
      </c>
      <c r="W2339" s="20">
        <f>IF(OR(U2339="",V2339=""),U2339,U2339*V2339)</f>
        <v/>
      </c>
      <c r="X2339" s="18" t="inlineStr">
        <is>
          <t>8-35</t>
        </is>
      </c>
      <c r="Y2339" s="19" t="inlineStr"/>
      <c r="Z2339" s="18">
        <f>IF(Y2339="",X2339,Y2339)</f>
        <v/>
      </c>
      <c r="AA2339" s="18" t="inlineStr">
        <is>
          <t>grounded</t>
        </is>
      </c>
      <c r="AB2339" s="18" t="inlineStr">
        <is>
          <t>day</t>
        </is>
      </c>
      <c r="AC2339" s="18" t="inlineStr">
        <is>
          <t>비=False</t>
        </is>
      </c>
      <c r="AD2339" s="18" t="inlineStr"/>
      <c r="AE2339" s="18" t="inlineStr"/>
      <c r="AF2339" s="18" t="inlineStr">
        <is>
          <t>True</t>
        </is>
      </c>
      <c r="AG2339" s="18" t="inlineStr"/>
      <c r="AH2339" s="18" t="inlineStr"/>
      <c r="AI2339" s="18" t="inlineStr"/>
      <c r="AJ2339" s="18" t="inlineStr">
        <is>
          <t>COBBLEVERSE 추가</t>
        </is>
      </c>
      <c r="AK2339" s="18" t="inlineStr">
        <is>
          <t>사용</t>
        </is>
      </c>
      <c r="AL2339" s="18" t="inlineStr">
        <is>
          <t>COBBLEVERSE 1.7.42 / DP v31</t>
        </is>
      </c>
      <c r="AM2339" s="18" t="inlineStr">
        <is>
          <t>data/cobblemon/spawn_pool_world/0694_helioptile.json</t>
        </is>
      </c>
      <c r="AN2339" s="18" t="inlineStr">
        <is>
          <t>helioptile-1</t>
        </is>
      </c>
      <c r="AO2339" s="18" t="inlineStr">
        <is>
          <t>pokemon</t>
        </is>
      </c>
      <c r="AP2339" s="18" t="inlineStr">
        <is>
          <t>natural</t>
        </is>
      </c>
      <c r="AQ2339" s="18" t="inlineStr">
        <is>
          <t>{"biomes":["#cobblemon:is_sandy"],"canSeeSky":true,"isRaining":false,"timeRange":"day"}</t>
        </is>
      </c>
      <c r="AR2339" s="18" t="inlineStr"/>
      <c r="AS2339" s="18" t="inlineStr"/>
      <c r="AT2339" s="19" t="inlineStr"/>
    </row>
    <row r="2340" ht="32" customHeight="1">
      <c r="A2340" s="18" t="inlineStr">
        <is>
          <t>0695_heliolisk.json::heliolisk-1::001</t>
        </is>
      </c>
      <c r="B2340" s="19" t="inlineStr">
        <is>
          <t>사용</t>
        </is>
      </c>
      <c r="C2340" s="18">
        <f>IF(OR(B2340&lt;&gt;AK2340,M2340&lt;&gt;L2340,O2340&lt;&gt;"",Q2340&lt;&gt;"",V2340&lt;&gt;1,Y2340&lt;&gt;"",AT2340&lt;&gt;""),"수정","원본")</f>
        <v/>
      </c>
      <c r="D2340" s="18" t="n">
        <v>695</v>
      </c>
      <c r="E2340" s="18" t="inlineStr">
        <is>
          <t>일레도리자드</t>
        </is>
      </c>
      <c r="F2340" s="18" t="inlineStr">
        <is>
          <t>heliolisk</t>
        </is>
      </c>
      <c r="G2340" s="18" t="inlineStr">
        <is>
          <t>heliolisk</t>
        </is>
      </c>
      <c r="H2340" s="18" t="inlineStr"/>
      <c r="I2340" s="18" t="n">
        <v>6</v>
      </c>
      <c r="J2340" s="18" t="n"/>
      <c r="K2340" s="18" t="n">
        <v>6</v>
      </c>
      <c r="L2340" s="18" t="inlineStr">
        <is>
          <t>cobbleventure:generation_6</t>
        </is>
      </c>
      <c r="M2340" s="19" t="inlineStr">
        <is>
          <t>cobbleventure:generation_6</t>
        </is>
      </c>
      <c r="N2340" s="18" t="inlineStr">
        <is>
          <t>region_02</t>
        </is>
      </c>
      <c r="O2340" s="19" t="inlineStr"/>
      <c r="P2340" s="18" t="inlineStr">
        <is>
          <t>#cobblemon:is_sandy</t>
        </is>
      </c>
      <c r="Q2340" s="19" t="inlineStr"/>
      <c r="R2340" s="18">
        <f>IF(Q2340="",P2340,Q2340)</f>
        <v/>
      </c>
      <c r="S2340" s="18" t="inlineStr"/>
      <c r="T2340" s="18" t="inlineStr">
        <is>
          <t>rare</t>
        </is>
      </c>
      <c r="U2340" s="20" t="n">
        <v>3</v>
      </c>
      <c r="V2340" s="21" t="n">
        <v>1</v>
      </c>
      <c r="W2340" s="20">
        <f>IF(OR(U2340="",V2340=""),U2340,U2340*V2340)</f>
        <v/>
      </c>
      <c r="X2340" s="18" t="inlineStr">
        <is>
          <t>37-58</t>
        </is>
      </c>
      <c r="Y2340" s="19" t="inlineStr"/>
      <c r="Z2340" s="18">
        <f>IF(Y2340="",X2340,Y2340)</f>
        <v/>
      </c>
      <c r="AA2340" s="18" t="inlineStr">
        <is>
          <t>grounded</t>
        </is>
      </c>
      <c r="AB2340" s="18" t="inlineStr">
        <is>
          <t>day</t>
        </is>
      </c>
      <c r="AC2340" s="18" t="inlineStr">
        <is>
          <t>비=False</t>
        </is>
      </c>
      <c r="AD2340" s="18" t="inlineStr"/>
      <c r="AE2340" s="18" t="inlineStr"/>
      <c r="AF2340" s="18" t="inlineStr">
        <is>
          <t>True</t>
        </is>
      </c>
      <c r="AG2340" s="18" t="inlineStr"/>
      <c r="AH2340" s="18" t="inlineStr"/>
      <c r="AI2340" s="18" t="inlineStr"/>
      <c r="AJ2340" s="18" t="inlineStr">
        <is>
          <t>COBBLEVERSE 추가</t>
        </is>
      </c>
      <c r="AK2340" s="18" t="inlineStr">
        <is>
          <t>사용</t>
        </is>
      </c>
      <c r="AL2340" s="18" t="inlineStr">
        <is>
          <t>COBBLEVERSE 1.7.42 / DP v31</t>
        </is>
      </c>
      <c r="AM2340" s="18" t="inlineStr">
        <is>
          <t>data/cobblemon/spawn_pool_world/0695_heliolisk.json</t>
        </is>
      </c>
      <c r="AN2340" s="18" t="inlineStr">
        <is>
          <t>heliolisk-1</t>
        </is>
      </c>
      <c r="AO2340" s="18" t="inlineStr">
        <is>
          <t>pokemon</t>
        </is>
      </c>
      <c r="AP2340" s="18" t="inlineStr">
        <is>
          <t>natural</t>
        </is>
      </c>
      <c r="AQ2340" s="18" t="inlineStr">
        <is>
          <t>{"biomes":["#cobblemon:is_sandy"],"canSeeSky":true,"isRaining":false,"timeRange":"day"}</t>
        </is>
      </c>
      <c r="AR2340" s="18" t="inlineStr"/>
      <c r="AS2340" s="18" t="inlineStr"/>
      <c r="AT2340" s="19" t="inlineStr"/>
    </row>
    <row r="2341" ht="32" customHeight="1">
      <c r="A2341" s="18" t="inlineStr">
        <is>
          <t>0696_tyrunt.json::tyrunt-1::001</t>
        </is>
      </c>
      <c r="B2341" s="19" t="inlineStr">
        <is>
          <t>사용</t>
        </is>
      </c>
      <c r="C2341" s="18">
        <f>IF(OR(B2341&lt;&gt;AK2341,M2341&lt;&gt;L2341,O2341&lt;&gt;"",Q2341&lt;&gt;"",V2341&lt;&gt;1,Y2341&lt;&gt;"",AT2341&lt;&gt;""),"수정","원본")</f>
        <v/>
      </c>
      <c r="D2341" s="18" t="n">
        <v>696</v>
      </c>
      <c r="E2341" s="18" t="inlineStr">
        <is>
          <t>티고라스</t>
        </is>
      </c>
      <c r="F2341" s="18" t="inlineStr">
        <is>
          <t>tyrunt</t>
        </is>
      </c>
      <c r="G2341" s="18" t="inlineStr">
        <is>
          <t>tyrunt</t>
        </is>
      </c>
      <c r="H2341" s="18" t="inlineStr"/>
      <c r="I2341" s="18" t="n">
        <v>6</v>
      </c>
      <c r="J2341" s="18" t="n"/>
      <c r="K2341" s="18" t="n">
        <v>6</v>
      </c>
      <c r="L2341" s="18" t="inlineStr">
        <is>
          <t>cobbleventure:generation_6</t>
        </is>
      </c>
      <c r="M2341" s="19" t="inlineStr">
        <is>
          <t>cobbleventure:generation_6</t>
        </is>
      </c>
      <c r="N2341" s="18" t="inlineStr"/>
      <c r="O2341" s="19" t="inlineStr"/>
      <c r="P2341" s="18" t="inlineStr">
        <is>
          <t>#cobblemon:is_lush</t>
        </is>
      </c>
      <c r="Q2341" s="19" t="inlineStr"/>
      <c r="R2341" s="18">
        <f>IF(Q2341="",P2341,Q2341)</f>
        <v/>
      </c>
      <c r="S2341" s="18" t="inlineStr"/>
      <c r="T2341" s="18" t="inlineStr">
        <is>
          <t>ultra-rare</t>
        </is>
      </c>
      <c r="U2341" s="20" t="n">
        <v>6</v>
      </c>
      <c r="V2341" s="21" t="n">
        <v>1</v>
      </c>
      <c r="W2341" s="20">
        <f>IF(OR(U2341="",V2341=""),U2341,U2341*V2341)</f>
        <v/>
      </c>
      <c r="X2341" s="18" t="inlineStr">
        <is>
          <t>11-36</t>
        </is>
      </c>
      <c r="Y2341" s="19" t="inlineStr"/>
      <c r="Z2341" s="18">
        <f>IF(Y2341="",X2341,Y2341)</f>
        <v/>
      </c>
      <c r="AA2341" s="18" t="inlineStr">
        <is>
          <t>grounded</t>
        </is>
      </c>
      <c r="AB2341" s="18" t="inlineStr"/>
      <c r="AC2341" s="18" t="inlineStr"/>
      <c r="AD2341" s="18" t="inlineStr"/>
      <c r="AE2341" s="18" t="inlineStr">
        <is>
          <t>sky 0-7</t>
        </is>
      </c>
      <c r="AF2341" s="18" t="inlineStr"/>
      <c r="AG2341" s="18" t="inlineStr"/>
      <c r="AH2341" s="18" t="inlineStr"/>
      <c r="AI2341" s="18" t="inlineStr"/>
      <c r="AJ2341" s="18" t="inlineStr">
        <is>
          <t>Cobblemon 동일</t>
        </is>
      </c>
      <c r="AK2341" s="18" t="inlineStr">
        <is>
          <t>사용</t>
        </is>
      </c>
      <c r="AL2341" s="18" t="inlineStr">
        <is>
          <t>COBBLEVERSE 1.7.42 / DP v31</t>
        </is>
      </c>
      <c r="AM2341" s="18" t="inlineStr">
        <is>
          <t>data/cobblemon/spawn_pool_world/0696_tyrunt.json</t>
        </is>
      </c>
      <c r="AN2341" s="18" t="inlineStr">
        <is>
          <t>tyrunt-1</t>
        </is>
      </c>
      <c r="AO2341" s="18" t="inlineStr">
        <is>
          <t>pokemon</t>
        </is>
      </c>
      <c r="AP2341" s="18" t="inlineStr">
        <is>
          <t>natural</t>
        </is>
      </c>
      <c r="AQ2341" s="18" t="inlineStr">
        <is>
          <t>{"biomes":["#cobblemon:is_lush"],"maxSkyLight":7,"minSkyLight":0}</t>
        </is>
      </c>
      <c r="AR2341" s="18" t="inlineStr"/>
      <c r="AS2341" s="18" t="inlineStr"/>
      <c r="AT2341" s="19" t="inlineStr"/>
    </row>
    <row r="2342" ht="32" customHeight="1">
      <c r="A2342" s="18" t="inlineStr">
        <is>
          <t>0697_tyrantrum.json::tyrantrum-1::001</t>
        </is>
      </c>
      <c r="B2342" s="19" t="inlineStr">
        <is>
          <t>사용</t>
        </is>
      </c>
      <c r="C2342" s="18">
        <f>IF(OR(B2342&lt;&gt;AK2342,M2342&lt;&gt;L2342,O2342&lt;&gt;"",Q2342&lt;&gt;"",V2342&lt;&gt;1,Y2342&lt;&gt;"",AT2342&lt;&gt;""),"수정","원본")</f>
        <v/>
      </c>
      <c r="D2342" s="18" t="n">
        <v>697</v>
      </c>
      <c r="E2342" s="18" t="inlineStr">
        <is>
          <t>견고라스</t>
        </is>
      </c>
      <c r="F2342" s="18" t="inlineStr">
        <is>
          <t>tyrantrum</t>
        </is>
      </c>
      <c r="G2342" s="18" t="inlineStr">
        <is>
          <t>tyrantrum</t>
        </is>
      </c>
      <c r="H2342" s="18" t="inlineStr"/>
      <c r="I2342" s="18" t="n">
        <v>6</v>
      </c>
      <c r="J2342" s="18" t="n"/>
      <c r="K2342" s="18" t="n">
        <v>6</v>
      </c>
      <c r="L2342" s="18" t="inlineStr">
        <is>
          <t>cobbleventure:generation_6</t>
        </is>
      </c>
      <c r="M2342" s="19" t="inlineStr">
        <is>
          <t>cobbleventure:generation_6</t>
        </is>
      </c>
      <c r="N2342" s="18" t="inlineStr"/>
      <c r="O2342" s="19" t="inlineStr"/>
      <c r="P2342" s="18" t="inlineStr">
        <is>
          <t>#cobblemon:is_lush</t>
        </is>
      </c>
      <c r="Q2342" s="19" t="inlineStr"/>
      <c r="R2342" s="18">
        <f>IF(Q2342="",P2342,Q2342)</f>
        <v/>
      </c>
      <c r="S2342" s="18" t="inlineStr"/>
      <c r="T2342" s="18" t="inlineStr">
        <is>
          <t>ultra-rare</t>
        </is>
      </c>
      <c r="U2342" s="20" t="n">
        <v>4</v>
      </c>
      <c r="V2342" s="21" t="n">
        <v>1</v>
      </c>
      <c r="W2342" s="20">
        <f>IF(OR(U2342="",V2342=""),U2342,U2342*V2342)</f>
        <v/>
      </c>
      <c r="X2342" s="18" t="inlineStr">
        <is>
          <t>39-52</t>
        </is>
      </c>
      <c r="Y2342" s="19" t="inlineStr"/>
      <c r="Z2342" s="18">
        <f>IF(Y2342="",X2342,Y2342)</f>
        <v/>
      </c>
      <c r="AA2342" s="18" t="inlineStr">
        <is>
          <t>grounded</t>
        </is>
      </c>
      <c r="AB2342" s="18" t="inlineStr"/>
      <c r="AC2342" s="18" t="inlineStr"/>
      <c r="AD2342" s="18" t="inlineStr"/>
      <c r="AE2342" s="18" t="inlineStr">
        <is>
          <t>sky 0-7</t>
        </is>
      </c>
      <c r="AF2342" s="18" t="inlineStr"/>
      <c r="AG2342" s="18" t="inlineStr"/>
      <c r="AH2342" s="18" t="inlineStr"/>
      <c r="AI2342" s="18" t="inlineStr"/>
      <c r="AJ2342" s="18" t="inlineStr">
        <is>
          <t>Cobblemon 동일</t>
        </is>
      </c>
      <c r="AK2342" s="18" t="inlineStr">
        <is>
          <t>사용</t>
        </is>
      </c>
      <c r="AL2342" s="18" t="inlineStr">
        <is>
          <t>COBBLEVERSE 1.7.42 / DP v31</t>
        </is>
      </c>
      <c r="AM2342" s="18" t="inlineStr">
        <is>
          <t>data/cobblemon/spawn_pool_world/0697_tyrantrum.json</t>
        </is>
      </c>
      <c r="AN2342" s="18" t="inlineStr">
        <is>
          <t>tyrantrum-1</t>
        </is>
      </c>
      <c r="AO2342" s="18" t="inlineStr">
        <is>
          <t>pokemon</t>
        </is>
      </c>
      <c r="AP2342" s="18" t="inlineStr">
        <is>
          <t>natural</t>
        </is>
      </c>
      <c r="AQ2342" s="18" t="inlineStr">
        <is>
          <t>{"biomes":["#cobblemon:is_lush"],"maxSkyLight":7,"minSkyLight":0}</t>
        </is>
      </c>
      <c r="AR2342" s="18" t="inlineStr"/>
      <c r="AS2342" s="18" t="inlineStr"/>
      <c r="AT2342" s="19" t="inlineStr"/>
    </row>
    <row r="2343" ht="32" customHeight="1">
      <c r="A2343" s="18" t="inlineStr">
        <is>
          <t>0698_amaura.json::amaura-1::001</t>
        </is>
      </c>
      <c r="B2343" s="19" t="inlineStr">
        <is>
          <t>사용</t>
        </is>
      </c>
      <c r="C2343" s="18">
        <f>IF(OR(B2343&lt;&gt;AK2343,M2343&lt;&gt;L2343,O2343&lt;&gt;"",Q2343&lt;&gt;"",V2343&lt;&gt;1,Y2343&lt;&gt;"",AT2343&lt;&gt;""),"수정","원본")</f>
        <v/>
      </c>
      <c r="D2343" s="18" t="n">
        <v>698</v>
      </c>
      <c r="E2343" s="18" t="inlineStr">
        <is>
          <t>아마루스</t>
        </is>
      </c>
      <c r="F2343" s="18" t="inlineStr">
        <is>
          <t>amaura</t>
        </is>
      </c>
      <c r="G2343" s="18" t="inlineStr">
        <is>
          <t>amaura</t>
        </is>
      </c>
      <c r="H2343" s="18" t="inlineStr"/>
      <c r="I2343" s="18" t="n">
        <v>6</v>
      </c>
      <c r="J2343" s="18" t="n"/>
      <c r="K2343" s="18" t="n">
        <v>6</v>
      </c>
      <c r="L2343" s="18" t="inlineStr">
        <is>
          <t>cobbleventure:generation_6</t>
        </is>
      </c>
      <c r="M2343" s="19" t="inlineStr">
        <is>
          <t>cobbleventure:generation_6</t>
        </is>
      </c>
      <c r="N2343" s="18" t="inlineStr"/>
      <c r="O2343" s="19" t="inlineStr"/>
      <c r="P2343" s="18" t="inlineStr">
        <is>
          <t>#cobblemon:is_lush</t>
        </is>
      </c>
      <c r="Q2343" s="19" t="inlineStr"/>
      <c r="R2343" s="18">
        <f>IF(Q2343="",P2343,Q2343)</f>
        <v/>
      </c>
      <c r="S2343" s="18" t="inlineStr"/>
      <c r="T2343" s="18" t="inlineStr">
        <is>
          <t>ultra-rare</t>
        </is>
      </c>
      <c r="U2343" s="20" t="n">
        <v>6</v>
      </c>
      <c r="V2343" s="21" t="n">
        <v>1</v>
      </c>
      <c r="W2343" s="20">
        <f>IF(OR(U2343="",V2343=""),U2343,U2343*V2343)</f>
        <v/>
      </c>
      <c r="X2343" s="18" t="inlineStr">
        <is>
          <t>11-36</t>
        </is>
      </c>
      <c r="Y2343" s="19" t="inlineStr"/>
      <c r="Z2343" s="18">
        <f>IF(Y2343="",X2343,Y2343)</f>
        <v/>
      </c>
      <c r="AA2343" s="18" t="inlineStr">
        <is>
          <t>grounded</t>
        </is>
      </c>
      <c r="AB2343" s="18" t="inlineStr"/>
      <c r="AC2343" s="18" t="inlineStr"/>
      <c r="AD2343" s="18" t="inlineStr"/>
      <c r="AE2343" s="18" t="inlineStr">
        <is>
          <t>sky 0-7</t>
        </is>
      </c>
      <c r="AF2343" s="18" t="inlineStr"/>
      <c r="AG2343" s="18" t="inlineStr"/>
      <c r="AH2343" s="18" t="inlineStr"/>
      <c r="AI2343" s="18" t="inlineStr"/>
      <c r="AJ2343" s="18" t="inlineStr">
        <is>
          <t>Cobblemon 동일</t>
        </is>
      </c>
      <c r="AK2343" s="18" t="inlineStr">
        <is>
          <t>사용</t>
        </is>
      </c>
      <c r="AL2343" s="18" t="inlineStr">
        <is>
          <t>COBBLEVERSE 1.7.42 / DP v31</t>
        </is>
      </c>
      <c r="AM2343" s="18" t="inlineStr">
        <is>
          <t>data/cobblemon/spawn_pool_world/0698_amaura.json</t>
        </is>
      </c>
      <c r="AN2343" s="18" t="inlineStr">
        <is>
          <t>amaura-1</t>
        </is>
      </c>
      <c r="AO2343" s="18" t="inlineStr">
        <is>
          <t>pokemon</t>
        </is>
      </c>
      <c r="AP2343" s="18" t="inlineStr">
        <is>
          <t>natural</t>
        </is>
      </c>
      <c r="AQ2343" s="18" t="inlineStr">
        <is>
          <t>{"biomes":["#cobblemon:is_lush"],"maxSkyLight":7,"minSkyLight":0}</t>
        </is>
      </c>
      <c r="AR2343" s="18" t="inlineStr"/>
      <c r="AS2343" s="18" t="inlineStr"/>
      <c r="AT2343" s="19" t="inlineStr"/>
    </row>
    <row r="2344" ht="32" customHeight="1">
      <c r="A2344" s="18" t="inlineStr">
        <is>
          <t>0699_aurorus.json::aurorus-1::001</t>
        </is>
      </c>
      <c r="B2344" s="19" t="inlineStr">
        <is>
          <t>사용</t>
        </is>
      </c>
      <c r="C2344" s="18">
        <f>IF(OR(B2344&lt;&gt;AK2344,M2344&lt;&gt;L2344,O2344&lt;&gt;"",Q2344&lt;&gt;"",V2344&lt;&gt;1,Y2344&lt;&gt;"",AT2344&lt;&gt;""),"수정","원본")</f>
        <v/>
      </c>
      <c r="D2344" s="18" t="n">
        <v>699</v>
      </c>
      <c r="E2344" s="18" t="inlineStr">
        <is>
          <t>아마루르가</t>
        </is>
      </c>
      <c r="F2344" s="18" t="inlineStr">
        <is>
          <t>aurorus</t>
        </is>
      </c>
      <c r="G2344" s="18" t="inlineStr">
        <is>
          <t>aurorus</t>
        </is>
      </c>
      <c r="H2344" s="18" t="inlineStr"/>
      <c r="I2344" s="18" t="n">
        <v>6</v>
      </c>
      <c r="J2344" s="18" t="n"/>
      <c r="K2344" s="18" t="n">
        <v>6</v>
      </c>
      <c r="L2344" s="18" t="inlineStr">
        <is>
          <t>cobbleventure:generation_6</t>
        </is>
      </c>
      <c r="M2344" s="19" t="inlineStr">
        <is>
          <t>cobbleventure:generation_6</t>
        </is>
      </c>
      <c r="N2344" s="18" t="inlineStr"/>
      <c r="O2344" s="19" t="inlineStr"/>
      <c r="P2344" s="18" t="inlineStr">
        <is>
          <t>#cobblemon:is_lush</t>
        </is>
      </c>
      <c r="Q2344" s="19" t="inlineStr"/>
      <c r="R2344" s="18">
        <f>IF(Q2344="",P2344,Q2344)</f>
        <v/>
      </c>
      <c r="S2344" s="18" t="inlineStr"/>
      <c r="T2344" s="18" t="inlineStr">
        <is>
          <t>ultra-rare</t>
        </is>
      </c>
      <c r="U2344" s="20" t="n">
        <v>4</v>
      </c>
      <c r="V2344" s="21" t="n">
        <v>1</v>
      </c>
      <c r="W2344" s="20">
        <f>IF(OR(U2344="",V2344=""),U2344,U2344*V2344)</f>
        <v/>
      </c>
      <c r="X2344" s="18" t="inlineStr">
        <is>
          <t>39-52</t>
        </is>
      </c>
      <c r="Y2344" s="19" t="inlineStr"/>
      <c r="Z2344" s="18">
        <f>IF(Y2344="",X2344,Y2344)</f>
        <v/>
      </c>
      <c r="AA2344" s="18" t="inlineStr">
        <is>
          <t>grounded</t>
        </is>
      </c>
      <c r="AB2344" s="18" t="inlineStr"/>
      <c r="AC2344" s="18" t="inlineStr"/>
      <c r="AD2344" s="18" t="inlineStr"/>
      <c r="AE2344" s="18" t="inlineStr">
        <is>
          <t>sky 0-7</t>
        </is>
      </c>
      <c r="AF2344" s="18" t="inlineStr"/>
      <c r="AG2344" s="18" t="inlineStr"/>
      <c r="AH2344" s="18" t="inlineStr"/>
      <c r="AI2344" s="18" t="inlineStr"/>
      <c r="AJ2344" s="18" t="inlineStr">
        <is>
          <t>Cobblemon 동일</t>
        </is>
      </c>
      <c r="AK2344" s="18" t="inlineStr">
        <is>
          <t>사용</t>
        </is>
      </c>
      <c r="AL2344" s="18" t="inlineStr">
        <is>
          <t>COBBLEVERSE 1.7.42 / DP v31</t>
        </is>
      </c>
      <c r="AM2344" s="18" t="inlineStr">
        <is>
          <t>data/cobblemon/spawn_pool_world/0699_aurorus.json</t>
        </is>
      </c>
      <c r="AN2344" s="18" t="inlineStr">
        <is>
          <t>aurorus-1</t>
        </is>
      </c>
      <c r="AO2344" s="18" t="inlineStr">
        <is>
          <t>pokemon</t>
        </is>
      </c>
      <c r="AP2344" s="18" t="inlineStr">
        <is>
          <t>natural</t>
        </is>
      </c>
      <c r="AQ2344" s="18" t="inlineStr">
        <is>
          <t>{"biomes":["#cobblemon:is_lush"],"maxSkyLight":7,"minSkyLight":0}</t>
        </is>
      </c>
      <c r="AR2344" s="18" t="inlineStr"/>
      <c r="AS2344" s="18" t="inlineStr"/>
      <c r="AT2344" s="19" t="inlineStr"/>
    </row>
    <row r="2345" ht="32" customHeight="1">
      <c r="A2345" s="18" t="inlineStr">
        <is>
          <t>0700_sylveon.json::sylveon-1::001</t>
        </is>
      </c>
      <c r="B2345" s="19" t="inlineStr">
        <is>
          <t>사용</t>
        </is>
      </c>
      <c r="C2345" s="18">
        <f>IF(OR(B2345&lt;&gt;AK2345,M2345&lt;&gt;L2345,O2345&lt;&gt;"",Q2345&lt;&gt;"",V2345&lt;&gt;1,Y2345&lt;&gt;"",AT2345&lt;&gt;""),"수정","원본")</f>
        <v/>
      </c>
      <c r="D2345" s="18" t="n">
        <v>700</v>
      </c>
      <c r="E2345" s="18" t="inlineStr">
        <is>
          <t>님피아</t>
        </is>
      </c>
      <c r="F2345" s="18" t="inlineStr">
        <is>
          <t>sylveon</t>
        </is>
      </c>
      <c r="G2345" s="18" t="inlineStr">
        <is>
          <t>sylveon</t>
        </is>
      </c>
      <c r="H2345" s="18" t="inlineStr"/>
      <c r="I2345" s="18" t="n">
        <v>6</v>
      </c>
      <c r="J2345" s="18" t="n"/>
      <c r="K2345" s="18" t="n">
        <v>6</v>
      </c>
      <c r="L2345" s="18" t="inlineStr">
        <is>
          <t>cobbleventure:generation_6</t>
        </is>
      </c>
      <c r="M2345" s="19" t="inlineStr">
        <is>
          <t>cobbleventure:generation_6</t>
        </is>
      </c>
      <c r="N2345" s="18" t="inlineStr"/>
      <c r="O2345" s="19" t="inlineStr"/>
      <c r="P2345" s="18" t="inlineStr">
        <is>
          <t>#cobblemon:is_floral; #cobblemon:is_magical; aether:skyroot_grove; aether:skyroot_meadow</t>
        </is>
      </c>
      <c r="Q2345" s="19" t="inlineStr"/>
      <c r="R2345" s="18">
        <f>IF(Q2345="",P2345,Q2345)</f>
        <v/>
      </c>
      <c r="S2345" s="18" t="inlineStr">
        <is>
          <t>#cobblemon:is_spooky</t>
        </is>
      </c>
      <c r="T2345" s="18" t="inlineStr">
        <is>
          <t>ultra-rare</t>
        </is>
      </c>
      <c r="U2345" s="20" t="n">
        <v>1.2</v>
      </c>
      <c r="V2345" s="21" t="n">
        <v>1</v>
      </c>
      <c r="W2345" s="20">
        <f>IF(OR(U2345="",V2345=""),U2345,U2345*V2345)</f>
        <v/>
      </c>
      <c r="X2345" s="18" t="inlineStr">
        <is>
          <t>28-53</t>
        </is>
      </c>
      <c r="Y2345" s="19" t="inlineStr"/>
      <c r="Z2345" s="18">
        <f>IF(Y2345="",X2345,Y2345)</f>
        <v/>
      </c>
      <c r="AA2345" s="18" t="inlineStr">
        <is>
          <t>grounded</t>
        </is>
      </c>
      <c r="AB2345" s="18" t="inlineStr"/>
      <c r="AC2345" s="18" t="inlineStr"/>
      <c r="AD2345" s="18" t="inlineStr"/>
      <c r="AE2345" s="18" t="inlineStr">
        <is>
          <t>sky 8-15</t>
        </is>
      </c>
      <c r="AF2345" s="18" t="inlineStr"/>
      <c r="AG2345" s="18" t="inlineStr"/>
      <c r="AH2345" s="18" t="inlineStr"/>
      <c r="AI2345" s="18" t="inlineStr"/>
      <c r="AJ2345" s="18" t="inlineStr">
        <is>
          <t>Cobblemon 동일</t>
        </is>
      </c>
      <c r="AK2345" s="18" t="inlineStr">
        <is>
          <t>사용</t>
        </is>
      </c>
      <c r="AL2345" s="18" t="inlineStr">
        <is>
          <t>COBBLEVERSE 1.7.42 / DP v31</t>
        </is>
      </c>
      <c r="AM2345" s="18" t="inlineStr">
        <is>
          <t>data/cobblemon/spawn_pool_world/0700_sylveon.json</t>
        </is>
      </c>
      <c r="AN2345" s="18" t="inlineStr">
        <is>
          <t>sylveon-1</t>
        </is>
      </c>
      <c r="AO2345" s="18" t="inlineStr">
        <is>
          <t>pokemon</t>
        </is>
      </c>
      <c r="AP2345" s="18" t="inlineStr">
        <is>
          <t>natural</t>
        </is>
      </c>
      <c r="AQ2345" s="18" t="inlineStr">
        <is>
          <t>{"biomes":["#cobblemon:is_floral","#cobblemon:is_magical","aether:skyroot_grove","aether:skyroot_meadow"],"maxSkyLight":15,"minSkyLight":8}</t>
        </is>
      </c>
      <c r="AR2345" s="18" t="inlineStr">
        <is>
          <t>{"biomes":["#cobblemon:is_spooky"]}</t>
        </is>
      </c>
      <c r="AS2345" s="18" t="inlineStr"/>
      <c r="AT2345" s="19" t="inlineStr"/>
    </row>
    <row r="2346" ht="32" customHeight="1">
      <c r="A2346" s="18" t="inlineStr">
        <is>
          <t>0700_sylveon.json::sylveon-2::002</t>
        </is>
      </c>
      <c r="B2346" s="19" t="inlineStr">
        <is>
          <t>사용</t>
        </is>
      </c>
      <c r="C2346" s="18">
        <f>IF(OR(B2346&lt;&gt;AK2346,M2346&lt;&gt;L2346,O2346&lt;&gt;"",Q2346&lt;&gt;"",V2346&lt;&gt;1,Y2346&lt;&gt;"",AT2346&lt;&gt;""),"수정","원본")</f>
        <v/>
      </c>
      <c r="D2346" s="18" t="n">
        <v>700</v>
      </c>
      <c r="E2346" s="18" t="inlineStr">
        <is>
          <t>님피아</t>
        </is>
      </c>
      <c r="F2346" s="18" t="inlineStr">
        <is>
          <t>sylveon</t>
        </is>
      </c>
      <c r="G2346" s="18" t="inlineStr">
        <is>
          <t>sylveon</t>
        </is>
      </c>
      <c r="H2346" s="18" t="inlineStr"/>
      <c r="I2346" s="18" t="n">
        <v>6</v>
      </c>
      <c r="J2346" s="18" t="n"/>
      <c r="K2346" s="18" t="n">
        <v>6</v>
      </c>
      <c r="L2346" s="18" t="inlineStr">
        <is>
          <t>cobbleventure:generation_6</t>
        </is>
      </c>
      <c r="M2346" s="19" t="inlineStr">
        <is>
          <t>cobbleventure:generation_6</t>
        </is>
      </c>
      <c r="N2346" s="18" t="inlineStr">
        <is>
          <t>region_01; region_02</t>
        </is>
      </c>
      <c r="O2346" s="19" t="inlineStr"/>
      <c r="P2346" s="18" t="inlineStr">
        <is>
          <t>#cobblemon:is_overworld</t>
        </is>
      </c>
      <c r="Q2346" s="19" t="inlineStr"/>
      <c r="R2346" s="18">
        <f>IF(Q2346="",P2346,Q2346)</f>
        <v/>
      </c>
      <c r="S2346" s="18" t="inlineStr"/>
      <c r="T2346" s="18" t="inlineStr">
        <is>
          <t>uncommon</t>
        </is>
      </c>
      <c r="U2346" s="20" t="n">
        <v>0.025</v>
      </c>
      <c r="V2346" s="21" t="n">
        <v>1</v>
      </c>
      <c r="W2346" s="20">
        <f>IF(OR(U2346="",V2346=""),U2346,U2346*V2346)</f>
        <v/>
      </c>
      <c r="X2346" s="18" t="inlineStr">
        <is>
          <t>28-53</t>
        </is>
      </c>
      <c r="Y2346" s="19" t="inlineStr"/>
      <c r="Z2346" s="18">
        <f>IF(Y2346="",X2346,Y2346)</f>
        <v/>
      </c>
      <c r="AA2346" s="18" t="inlineStr">
        <is>
          <t>grounded</t>
        </is>
      </c>
      <c r="AB2346" s="18" t="inlineStr"/>
      <c r="AC2346" s="18" t="inlineStr"/>
      <c r="AD2346" s="18" t="inlineStr"/>
      <c r="AE2346" s="18" t="inlineStr">
        <is>
          <t>sky 8-15</t>
        </is>
      </c>
      <c r="AF2346" s="18" t="inlineStr"/>
      <c r="AG2346" s="18" t="inlineStr"/>
      <c r="AH2346" s="18" t="inlineStr"/>
      <c r="AI2346" s="18" t="inlineStr"/>
      <c r="AJ2346" s="18" t="inlineStr">
        <is>
          <t>Cobblemon 동일</t>
        </is>
      </c>
      <c r="AK2346" s="18" t="inlineStr">
        <is>
          <t>사용</t>
        </is>
      </c>
      <c r="AL2346" s="18" t="inlineStr">
        <is>
          <t>COBBLEVERSE 1.7.42 / DP v31</t>
        </is>
      </c>
      <c r="AM2346" s="18" t="inlineStr">
        <is>
          <t>data/cobblemon/spawn_pool_world/0700_sylveon.json</t>
        </is>
      </c>
      <c r="AN2346" s="18" t="inlineStr">
        <is>
          <t>sylveon-2</t>
        </is>
      </c>
      <c r="AO2346" s="18" t="inlineStr">
        <is>
          <t>pokemon</t>
        </is>
      </c>
      <c r="AP2346" s="18" t="inlineStr">
        <is>
          <t>natural; urban</t>
        </is>
      </c>
      <c r="AQ2346" s="18" t="inlineStr">
        <is>
          <t>{"biomes":["#cobblemon:is_overworld"],"maxSkyLight":15,"minSkyLight":8}</t>
        </is>
      </c>
      <c r="AR2346" s="18" t="inlineStr"/>
      <c r="AS2346" s="18" t="inlineStr"/>
      <c r="AT2346" s="19" t="inlineStr"/>
    </row>
    <row r="2347" ht="32" customHeight="1">
      <c r="A2347" s="18" t="inlineStr">
        <is>
          <t>0700_sylveon.json::sylveon-3::003</t>
        </is>
      </c>
      <c r="B2347" s="19" t="inlineStr">
        <is>
          <t>사용</t>
        </is>
      </c>
      <c r="C2347" s="18">
        <f>IF(OR(B2347&lt;&gt;AK2347,M2347&lt;&gt;L2347,O2347&lt;&gt;"",Q2347&lt;&gt;"",V2347&lt;&gt;1,Y2347&lt;&gt;"",AT2347&lt;&gt;""),"수정","원본")</f>
        <v/>
      </c>
      <c r="D2347" s="18" t="n">
        <v>700</v>
      </c>
      <c r="E2347" s="18" t="inlineStr">
        <is>
          <t>님피아</t>
        </is>
      </c>
      <c r="F2347" s="18" t="inlineStr">
        <is>
          <t>sylveon</t>
        </is>
      </c>
      <c r="G2347" s="18" t="inlineStr">
        <is>
          <t>sylveon</t>
        </is>
      </c>
      <c r="H2347" s="18" t="inlineStr"/>
      <c r="I2347" s="18" t="n">
        <v>6</v>
      </c>
      <c r="J2347" s="18" t="n"/>
      <c r="K2347" s="18" t="n">
        <v>6</v>
      </c>
      <c r="L2347" s="18" t="inlineStr">
        <is>
          <t>cobbleventure:generation_6</t>
        </is>
      </c>
      <c r="M2347" s="19" t="inlineStr">
        <is>
          <t>cobbleventure:generation_6</t>
        </is>
      </c>
      <c r="N2347" s="18" t="inlineStr">
        <is>
          <t>region_01; region_02</t>
        </is>
      </c>
      <c r="O2347" s="19" t="inlineStr"/>
      <c r="P2347" s="18" t="inlineStr">
        <is>
          <t>#cobblemon:is_overworld</t>
        </is>
      </c>
      <c r="Q2347" s="19" t="inlineStr"/>
      <c r="R2347" s="18">
        <f>IF(Q2347="",P2347,Q2347)</f>
        <v/>
      </c>
      <c r="S2347" s="18" t="inlineStr"/>
      <c r="T2347" s="18" t="inlineStr">
        <is>
          <t>uncommon</t>
        </is>
      </c>
      <c r="U2347" s="20" t="n">
        <v>0.025</v>
      </c>
      <c r="V2347" s="21" t="n">
        <v>1</v>
      </c>
      <c r="W2347" s="20">
        <f>IF(OR(U2347="",V2347=""),U2347,U2347*V2347)</f>
        <v/>
      </c>
      <c r="X2347" s="18" t="inlineStr">
        <is>
          <t>28-53</t>
        </is>
      </c>
      <c r="Y2347" s="19" t="inlineStr"/>
      <c r="Z2347" s="18">
        <f>IF(Y2347="",X2347,Y2347)</f>
        <v/>
      </c>
      <c r="AA2347" s="18" t="inlineStr">
        <is>
          <t>grounded</t>
        </is>
      </c>
      <c r="AB2347" s="18" t="inlineStr"/>
      <c r="AC2347" s="18" t="inlineStr"/>
      <c r="AD2347" s="18" t="inlineStr"/>
      <c r="AE2347" s="18" t="inlineStr">
        <is>
          <t>sky 8-15</t>
        </is>
      </c>
      <c r="AF2347" s="18" t="inlineStr"/>
      <c r="AG2347" s="18" t="inlineStr">
        <is>
          <t>#minecraft:village</t>
        </is>
      </c>
      <c r="AH2347" s="18" t="inlineStr"/>
      <c r="AI2347" s="18" t="inlineStr"/>
      <c r="AJ2347" s="18" t="inlineStr">
        <is>
          <t>Cobblemon 동일</t>
        </is>
      </c>
      <c r="AK2347" s="18" t="inlineStr">
        <is>
          <t>사용</t>
        </is>
      </c>
      <c r="AL2347" s="18" t="inlineStr">
        <is>
          <t>COBBLEVERSE 1.7.42 / DP v31</t>
        </is>
      </c>
      <c r="AM2347" s="18" t="inlineStr">
        <is>
          <t>data/cobblemon/spawn_pool_world/0700_sylveon.json</t>
        </is>
      </c>
      <c r="AN2347" s="18" t="inlineStr">
        <is>
          <t>sylveon-3</t>
        </is>
      </c>
      <c r="AO2347" s="18" t="inlineStr">
        <is>
          <t>pokemon</t>
        </is>
      </c>
      <c r="AP2347" s="18" t="inlineStr">
        <is>
          <t>natural</t>
        </is>
      </c>
      <c r="AQ2347" s="18" t="inlineStr">
        <is>
          <t>{"biomes":["#cobblemon:is_overworld"],"maxSkyLight":15,"minSkyLight":8,"structures":["#minecraft:village"]}</t>
        </is>
      </c>
      <c r="AR2347" s="18" t="inlineStr"/>
      <c r="AS2347" s="18" t="inlineStr"/>
      <c r="AT2347" s="19" t="inlineStr"/>
    </row>
    <row r="2348" ht="32" customHeight="1">
      <c r="A2348" s="18" t="inlineStr">
        <is>
          <t>0700_sylveon.json::sylveon-4::004</t>
        </is>
      </c>
      <c r="B2348" s="19" t="inlineStr">
        <is>
          <t>사용</t>
        </is>
      </c>
      <c r="C2348" s="18">
        <f>IF(OR(B2348&lt;&gt;AK2348,M2348&lt;&gt;L2348,O2348&lt;&gt;"",Q2348&lt;&gt;"",V2348&lt;&gt;1,Y2348&lt;&gt;"",AT2348&lt;&gt;""),"수정","원본")</f>
        <v/>
      </c>
      <c r="D2348" s="18" t="n">
        <v>700</v>
      </c>
      <c r="E2348" s="18" t="inlineStr">
        <is>
          <t>님피아</t>
        </is>
      </c>
      <c r="F2348" s="18" t="inlineStr">
        <is>
          <t>sylveon</t>
        </is>
      </c>
      <c r="G2348" s="18" t="inlineStr">
        <is>
          <t>sylveon</t>
        </is>
      </c>
      <c r="H2348" s="18" t="inlineStr"/>
      <c r="I2348" s="18" t="n">
        <v>6</v>
      </c>
      <c r="J2348" s="18" t="n"/>
      <c r="K2348" s="18" t="n">
        <v>6</v>
      </c>
      <c r="L2348" s="18" t="inlineStr">
        <is>
          <t>cobbleventure:generation_6</t>
        </is>
      </c>
      <c r="M2348" s="19" t="inlineStr">
        <is>
          <t>cobbleventure:generation_6</t>
        </is>
      </c>
      <c r="N2348" s="18" t="inlineStr">
        <is>
          <t>region_01; region_02</t>
        </is>
      </c>
      <c r="O2348" s="19" t="inlineStr"/>
      <c r="P2348" s="18" t="inlineStr">
        <is>
          <t>#cobblemon:is_overworld</t>
        </is>
      </c>
      <c r="Q2348" s="19" t="inlineStr"/>
      <c r="R2348" s="18">
        <f>IF(Q2348="",P2348,Q2348)</f>
        <v/>
      </c>
      <c r="S2348" s="18" t="inlineStr"/>
      <c r="T2348" s="18" t="inlineStr">
        <is>
          <t>uncommon</t>
        </is>
      </c>
      <c r="U2348" s="20" t="n">
        <v>0.125</v>
      </c>
      <c r="V2348" s="21" t="n">
        <v>1</v>
      </c>
      <c r="W2348" s="20">
        <f>IF(OR(U2348="",V2348=""),U2348,U2348*V2348)</f>
        <v/>
      </c>
      <c r="X2348" s="18" t="inlineStr">
        <is>
          <t>28-53</t>
        </is>
      </c>
      <c r="Y2348" s="19" t="inlineStr"/>
      <c r="Z2348" s="18">
        <f>IF(Y2348="",X2348,Y2348)</f>
        <v/>
      </c>
      <c r="AA2348" s="18" t="inlineStr">
        <is>
          <t>grounded</t>
        </is>
      </c>
      <c r="AB2348" s="18" t="inlineStr"/>
      <c r="AC2348" s="18" t="inlineStr"/>
      <c r="AD2348" s="18" t="inlineStr"/>
      <c r="AE2348" s="18" t="inlineStr"/>
      <c r="AF2348" s="18" t="inlineStr">
        <is>
          <t>False</t>
        </is>
      </c>
      <c r="AG2348" s="18" t="inlineStr"/>
      <c r="AH2348" s="18" t="inlineStr"/>
      <c r="AI2348" s="18" t="inlineStr"/>
      <c r="AJ2348" s="18" t="inlineStr">
        <is>
          <t>Cobblemon 동일</t>
        </is>
      </c>
      <c r="AK2348" s="18" t="inlineStr">
        <is>
          <t>사용</t>
        </is>
      </c>
      <c r="AL2348" s="18" t="inlineStr">
        <is>
          <t>COBBLEVERSE 1.7.42 / DP v31</t>
        </is>
      </c>
      <c r="AM2348" s="18" t="inlineStr">
        <is>
          <t>data/cobblemon/spawn_pool_world/0700_sylveon.json</t>
        </is>
      </c>
      <c r="AN2348" s="18" t="inlineStr">
        <is>
          <t>sylveon-4</t>
        </is>
      </c>
      <c r="AO2348" s="18" t="inlineStr">
        <is>
          <t>pokemon</t>
        </is>
      </c>
      <c r="AP2348" s="18" t="inlineStr">
        <is>
          <t>mansion</t>
        </is>
      </c>
      <c r="AQ2348" s="18" t="inlineStr">
        <is>
          <t>{"biomes":["#cobblemon:is_overworld"],"canSeeSky":false}</t>
        </is>
      </c>
      <c r="AR2348" s="18" t="inlineStr"/>
      <c r="AS2348" s="18" t="inlineStr"/>
      <c r="AT2348" s="19" t="inlineStr"/>
    </row>
    <row r="2349" ht="32" customHeight="1">
      <c r="A2349" s="18" t="inlineStr">
        <is>
          <t>0701_hawlucha.json::hawlucha-2::001</t>
        </is>
      </c>
      <c r="B2349" s="19" t="inlineStr">
        <is>
          <t>사용</t>
        </is>
      </c>
      <c r="C2349" s="18">
        <f>IF(OR(B2349&lt;&gt;AK2349,M2349&lt;&gt;L2349,O2349&lt;&gt;"",Q2349&lt;&gt;"",V2349&lt;&gt;1,Y2349&lt;&gt;"",AT2349&lt;&gt;""),"수정","원본")</f>
        <v/>
      </c>
      <c r="D2349" s="18" t="n">
        <v>701</v>
      </c>
      <c r="E2349" s="18" t="inlineStr">
        <is>
          <t>루차불</t>
        </is>
      </c>
      <c r="F2349" s="18" t="inlineStr">
        <is>
          <t>hawlucha</t>
        </is>
      </c>
      <c r="G2349" s="18" t="inlineStr">
        <is>
          <t>hawlucha</t>
        </is>
      </c>
      <c r="H2349" s="18" t="inlineStr"/>
      <c r="I2349" s="18" t="n">
        <v>6</v>
      </c>
      <c r="J2349" s="18" t="n"/>
      <c r="K2349" s="18" t="n">
        <v>6</v>
      </c>
      <c r="L2349" s="18" t="inlineStr">
        <is>
          <t>cobbleventure:generation_6</t>
        </is>
      </c>
      <c r="M2349" s="19" t="inlineStr">
        <is>
          <t>cobbleventure:generation_6</t>
        </is>
      </c>
      <c r="N2349" s="18" t="inlineStr">
        <is>
          <t>region_01; region_02</t>
        </is>
      </c>
      <c r="O2349" s="19" t="inlineStr"/>
      <c r="P2349" s="18" t="inlineStr">
        <is>
          <t>#cobblemon:is_overworld</t>
        </is>
      </c>
      <c r="Q2349" s="19" t="inlineStr"/>
      <c r="R2349" s="18">
        <f>IF(Q2349="",P2349,Q2349)</f>
        <v/>
      </c>
      <c r="S2349" s="18" t="inlineStr"/>
      <c r="T2349" s="18" t="inlineStr">
        <is>
          <t>common</t>
        </is>
      </c>
      <c r="U2349" s="20" t="n">
        <v>60</v>
      </c>
      <c r="V2349" s="21" t="n">
        <v>1</v>
      </c>
      <c r="W2349" s="20">
        <f>IF(OR(U2349="",V2349=""),U2349,U2349*V2349)</f>
        <v/>
      </c>
      <c r="X2349" s="18" t="inlineStr">
        <is>
          <t>25-50</t>
        </is>
      </c>
      <c r="Y2349" s="19" t="inlineStr"/>
      <c r="Z2349" s="18">
        <f>IF(Y2349="",X2349,Y2349)</f>
        <v/>
      </c>
      <c r="AA2349" s="18" t="inlineStr">
        <is>
          <t>grounded</t>
        </is>
      </c>
      <c r="AB2349" s="18" t="inlineStr"/>
      <c r="AC2349" s="18" t="inlineStr"/>
      <c r="AD2349" s="18" t="inlineStr"/>
      <c r="AE2349" s="18" t="inlineStr"/>
      <c r="AF2349" s="18" t="inlineStr"/>
      <c r="AG2349" s="18" t="inlineStr"/>
      <c r="AH2349" s="18" t="inlineStr"/>
      <c r="AI2349" s="18" t="inlineStr"/>
      <c r="AJ2349" s="18" t="inlineStr">
        <is>
          <t>COBBLEVERSE 수정</t>
        </is>
      </c>
      <c r="AK2349" s="18" t="inlineStr">
        <is>
          <t>사용</t>
        </is>
      </c>
      <c r="AL2349" s="18" t="inlineStr">
        <is>
          <t>COBBLEVERSE 1.7.42 / DP v31</t>
        </is>
      </c>
      <c r="AM2349" s="18" t="inlineStr">
        <is>
          <t>data/cobblemon/spawn_pool_world/0701_hawlucha.json</t>
        </is>
      </c>
      <c r="AN2349" s="18" t="inlineStr">
        <is>
          <t>hawlucha-2</t>
        </is>
      </c>
      <c r="AO2349" s="18" t="inlineStr">
        <is>
          <t>pokemon</t>
        </is>
      </c>
      <c r="AP2349" s="18" t="inlineStr">
        <is>
          <t>natural; jungle_pyramid</t>
        </is>
      </c>
      <c r="AQ2349" s="18" t="inlineStr">
        <is>
          <t>{"biomes":["#cobblemon:is_overworld"]}</t>
        </is>
      </c>
      <c r="AR2349" s="18" t="inlineStr"/>
      <c r="AS2349" s="18" t="inlineStr">
        <is>
          <t>{"weightMultiplier":{"condition":{"timeRange":"night"},"multiplier":0.25}}</t>
        </is>
      </c>
      <c r="AT2349" s="19" t="inlineStr"/>
    </row>
    <row r="2350" ht="32" customHeight="1">
      <c r="A2350" s="18" t="inlineStr">
        <is>
          <t>0701_hawlucha.json::hawlucha-1::002</t>
        </is>
      </c>
      <c r="B2350" s="19" t="inlineStr">
        <is>
          <t>사용</t>
        </is>
      </c>
      <c r="C2350" s="18">
        <f>IF(OR(B2350&lt;&gt;AK2350,M2350&lt;&gt;L2350,O2350&lt;&gt;"",Q2350&lt;&gt;"",V2350&lt;&gt;1,Y2350&lt;&gt;"",AT2350&lt;&gt;""),"수정","원본")</f>
        <v/>
      </c>
      <c r="D2350" s="18" t="n">
        <v>701</v>
      </c>
      <c r="E2350" s="18" t="inlineStr">
        <is>
          <t>루차불</t>
        </is>
      </c>
      <c r="F2350" s="18" t="inlineStr">
        <is>
          <t>hawlucha</t>
        </is>
      </c>
      <c r="G2350" s="18" t="inlineStr">
        <is>
          <t>hawlucha</t>
        </is>
      </c>
      <c r="H2350" s="18" t="inlineStr"/>
      <c r="I2350" s="18" t="n">
        <v>6</v>
      </c>
      <c r="J2350" s="18" t="n"/>
      <c r="K2350" s="18" t="n">
        <v>6</v>
      </c>
      <c r="L2350" s="18" t="inlineStr">
        <is>
          <t>cobbleventure:generation_6</t>
        </is>
      </c>
      <c r="M2350" s="19" t="inlineStr">
        <is>
          <t>cobbleventure:generation_6</t>
        </is>
      </c>
      <c r="N2350" s="18" t="inlineStr"/>
      <c r="O2350" s="19" t="inlineStr"/>
      <c r="P2350" s="18" t="inlineStr">
        <is>
          <t>#cobblemon:is_badlands; #cobblemon:is_jungle; #cobblemon:is_tropical_island</t>
        </is>
      </c>
      <c r="Q2350" s="19" t="inlineStr"/>
      <c r="R2350" s="18">
        <f>IF(Q2350="",P2350,Q2350)</f>
        <v/>
      </c>
      <c r="S2350" s="18" t="inlineStr"/>
      <c r="T2350" s="18" t="inlineStr">
        <is>
          <t>uncommon</t>
        </is>
      </c>
      <c r="U2350" s="20" t="n">
        <v>2</v>
      </c>
      <c r="V2350" s="21" t="n">
        <v>1</v>
      </c>
      <c r="W2350" s="20">
        <f>IF(OR(U2350="",V2350=""),U2350,U2350*V2350)</f>
        <v/>
      </c>
      <c r="X2350" s="18" t="inlineStr">
        <is>
          <t>25-50</t>
        </is>
      </c>
      <c r="Y2350" s="19" t="inlineStr"/>
      <c r="Z2350" s="18">
        <f>IF(Y2350="",X2350,Y2350)</f>
        <v/>
      </c>
      <c r="AA2350" s="18" t="inlineStr">
        <is>
          <t>grounded</t>
        </is>
      </c>
      <c r="AB2350" s="18" t="inlineStr"/>
      <c r="AC2350" s="18" t="inlineStr"/>
      <c r="AD2350" s="18" t="inlineStr"/>
      <c r="AE2350" s="18" t="inlineStr">
        <is>
          <t>sky 8-15</t>
        </is>
      </c>
      <c r="AF2350" s="18" t="inlineStr"/>
      <c r="AG2350" s="18" t="inlineStr"/>
      <c r="AH2350" s="18" t="inlineStr"/>
      <c r="AI2350" s="18" t="inlineStr"/>
      <c r="AJ2350" s="18" t="inlineStr">
        <is>
          <t>COBBLEVERSE 수정</t>
        </is>
      </c>
      <c r="AK2350" s="18" t="inlineStr">
        <is>
          <t>사용</t>
        </is>
      </c>
      <c r="AL2350" s="18" t="inlineStr">
        <is>
          <t>COBBLEVERSE 1.7.42 / DP v31</t>
        </is>
      </c>
      <c r="AM2350" s="18" t="inlineStr">
        <is>
          <t>data/cobblemon/spawn_pool_world/0701_hawlucha.json</t>
        </is>
      </c>
      <c r="AN2350" s="18" t="inlineStr">
        <is>
          <t>hawlucha-1</t>
        </is>
      </c>
      <c r="AO2350" s="18" t="inlineStr">
        <is>
          <t>pokemon</t>
        </is>
      </c>
      <c r="AP2350" s="18" t="inlineStr">
        <is>
          <t>natural</t>
        </is>
      </c>
      <c r="AQ2350" s="18" t="inlineStr">
        <is>
          <t>{"biomes":["#cobblemon:is_badlands","#cobblemon:is_jungle","#cobblemon:is_tropical_island"],"maxSkyLight":15,"minSkyLight":8}</t>
        </is>
      </c>
      <c r="AR2350" s="18" t="inlineStr"/>
      <c r="AS2350" s="18" t="inlineStr">
        <is>
          <t>{"weightMultiplier":{"condition":{"timeRange":"night"},"multiplier":0.25}}</t>
        </is>
      </c>
      <c r="AT2350" s="19" t="inlineStr"/>
    </row>
    <row r="2351" ht="32" customHeight="1">
      <c r="A2351" s="18" t="inlineStr">
        <is>
          <t>0702_dedenne.json::dedenne-1::001</t>
        </is>
      </c>
      <c r="B2351" s="19" t="inlineStr">
        <is>
          <t>사용</t>
        </is>
      </c>
      <c r="C2351" s="18">
        <f>IF(OR(B2351&lt;&gt;AK2351,M2351&lt;&gt;L2351,O2351&lt;&gt;"",Q2351&lt;&gt;"",V2351&lt;&gt;1,Y2351&lt;&gt;"",AT2351&lt;&gt;""),"수정","원본")</f>
        <v/>
      </c>
      <c r="D2351" s="18" t="n">
        <v>702</v>
      </c>
      <c r="E2351" s="18" t="inlineStr">
        <is>
          <t>데덴네</t>
        </is>
      </c>
      <c r="F2351" s="18" t="inlineStr">
        <is>
          <t>dedenne</t>
        </is>
      </c>
      <c r="G2351" s="18" t="inlineStr">
        <is>
          <t>dedenne</t>
        </is>
      </c>
      <c r="H2351" s="18" t="inlineStr"/>
      <c r="I2351" s="18" t="n">
        <v>6</v>
      </c>
      <c r="J2351" s="18" t="n"/>
      <c r="K2351" s="18" t="n">
        <v>6</v>
      </c>
      <c r="L2351" s="18" t="inlineStr">
        <is>
          <t>cobbleventure:generation_6</t>
        </is>
      </c>
      <c r="M2351" s="19" t="inlineStr">
        <is>
          <t>cobbleventure:generation_6</t>
        </is>
      </c>
      <c r="N2351" s="18" t="inlineStr"/>
      <c r="O2351" s="19" t="inlineStr"/>
      <c r="P2351" s="18" t="inlineStr">
        <is>
          <t>#cobblemon:is_savanna; #cobblemon:is_shrubland</t>
        </is>
      </c>
      <c r="Q2351" s="19" t="inlineStr"/>
      <c r="R2351" s="18">
        <f>IF(Q2351="",P2351,Q2351)</f>
        <v/>
      </c>
      <c r="S2351" s="18" t="inlineStr"/>
      <c r="T2351" s="18" t="inlineStr">
        <is>
          <t>uncommon</t>
        </is>
      </c>
      <c r="U2351" s="20" t="n">
        <v>10</v>
      </c>
      <c r="V2351" s="21" t="n">
        <v>1</v>
      </c>
      <c r="W2351" s="20">
        <f>IF(OR(U2351="",V2351=""),U2351,U2351*V2351)</f>
        <v/>
      </c>
      <c r="X2351" s="18" t="inlineStr">
        <is>
          <t>18-43</t>
        </is>
      </c>
      <c r="Y2351" s="19" t="inlineStr"/>
      <c r="Z2351" s="18">
        <f>IF(Y2351="",X2351,Y2351)</f>
        <v/>
      </c>
      <c r="AA2351" s="18" t="inlineStr">
        <is>
          <t>grounded</t>
        </is>
      </c>
      <c r="AB2351" s="18" t="inlineStr"/>
      <c r="AC2351" s="18" t="inlineStr"/>
      <c r="AD2351" s="18" t="inlineStr"/>
      <c r="AE2351" s="18" t="inlineStr">
        <is>
          <t>sky 8-15</t>
        </is>
      </c>
      <c r="AF2351" s="18" t="inlineStr"/>
      <c r="AG2351" s="18" t="inlineStr"/>
      <c r="AH2351" s="18" t="inlineStr"/>
      <c r="AI2351" s="18" t="inlineStr"/>
      <c r="AJ2351" s="18" t="inlineStr">
        <is>
          <t>Cobblemon 동일</t>
        </is>
      </c>
      <c r="AK2351" s="18" t="inlineStr">
        <is>
          <t>사용</t>
        </is>
      </c>
      <c r="AL2351" s="18" t="inlineStr">
        <is>
          <t>COBBLEVERSE 1.7.42 / DP v31</t>
        </is>
      </c>
      <c r="AM2351" s="18" t="inlineStr">
        <is>
          <t>data/cobblemon/spawn_pool_world/0702_dedenne.json</t>
        </is>
      </c>
      <c r="AN2351" s="18" t="inlineStr">
        <is>
          <t>dedenne-1</t>
        </is>
      </c>
      <c r="AO2351" s="18" t="inlineStr">
        <is>
          <t>pokemon</t>
        </is>
      </c>
      <c r="AP2351" s="18" t="inlineStr">
        <is>
          <t>natural</t>
        </is>
      </c>
      <c r="AQ2351" s="18" t="inlineStr">
        <is>
          <t>{"biomes":["#cobblemon:is_savanna","#cobblemon:is_shrubland"],"maxSkyLight":15,"minSkyLight":8}</t>
        </is>
      </c>
      <c r="AR2351" s="18" t="inlineStr"/>
      <c r="AS2351" s="18" t="inlineStr">
        <is>
          <t>{"weightMultiplier":{"condition":{"isThundering":true},"multiplier":5.0}}</t>
        </is>
      </c>
      <c r="AT2351" s="19" t="inlineStr"/>
    </row>
    <row r="2352" ht="32" customHeight="1">
      <c r="A2352" s="18" t="inlineStr">
        <is>
          <t>0703_carbink.json::carbink-1::001</t>
        </is>
      </c>
      <c r="B2352" s="19" t="inlineStr">
        <is>
          <t>사용</t>
        </is>
      </c>
      <c r="C2352" s="18">
        <f>IF(OR(B2352&lt;&gt;AK2352,M2352&lt;&gt;L2352,O2352&lt;&gt;"",Q2352&lt;&gt;"",V2352&lt;&gt;1,Y2352&lt;&gt;"",AT2352&lt;&gt;""),"수정","원본")</f>
        <v/>
      </c>
      <c r="D2352" s="18" t="n">
        <v>703</v>
      </c>
      <c r="E2352" s="18" t="inlineStr">
        <is>
          <t>멜리시</t>
        </is>
      </c>
      <c r="F2352" s="18" t="inlineStr">
        <is>
          <t>carbink</t>
        </is>
      </c>
      <c r="G2352" s="18" t="inlineStr">
        <is>
          <t>carbink</t>
        </is>
      </c>
      <c r="H2352" s="18" t="inlineStr"/>
      <c r="I2352" s="18" t="n">
        <v>6</v>
      </c>
      <c r="J2352" s="18" t="n"/>
      <c r="K2352" s="18" t="n">
        <v>6</v>
      </c>
      <c r="L2352" s="18" t="inlineStr">
        <is>
          <t>cobbleventure:generation_6</t>
        </is>
      </c>
      <c r="M2352" s="19" t="inlineStr">
        <is>
          <t>cobbleventure:generation_6</t>
        </is>
      </c>
      <c r="N2352" s="18" t="inlineStr">
        <is>
          <t>region_01; region_02</t>
        </is>
      </c>
      <c r="O2352" s="19" t="inlineStr"/>
      <c r="P2352" s="18" t="inlineStr">
        <is>
          <t>#cobblemon:is_overworld</t>
        </is>
      </c>
      <c r="Q2352" s="19" t="inlineStr"/>
      <c r="R2352" s="18">
        <f>IF(Q2352="",P2352,Q2352)</f>
        <v/>
      </c>
      <c r="S2352" s="18" t="inlineStr">
        <is>
          <t>#cobblemon:is_deep_dark</t>
        </is>
      </c>
      <c r="T2352" s="18" t="inlineStr">
        <is>
          <t>common</t>
        </is>
      </c>
      <c r="U2352" s="20" t="n">
        <v>100</v>
      </c>
      <c r="V2352" s="21" t="n">
        <v>1</v>
      </c>
      <c r="W2352" s="20">
        <f>IF(OR(U2352="",V2352=""),U2352,U2352*V2352)</f>
        <v/>
      </c>
      <c r="X2352" s="18" t="inlineStr">
        <is>
          <t>25-50</t>
        </is>
      </c>
      <c r="Y2352" s="19" t="inlineStr"/>
      <c r="Z2352" s="18">
        <f>IF(Y2352="",X2352,Y2352)</f>
        <v/>
      </c>
      <c r="AA2352" s="18" t="inlineStr">
        <is>
          <t>grounded</t>
        </is>
      </c>
      <c r="AB2352" s="18" t="inlineStr"/>
      <c r="AC2352" s="18" t="inlineStr"/>
      <c r="AD2352" s="18" t="inlineStr"/>
      <c r="AE2352" s="18" t="inlineStr">
        <is>
          <t>sky 0-7</t>
        </is>
      </c>
      <c r="AF2352" s="18" t="inlineStr"/>
      <c r="AG2352" s="18" t="inlineStr"/>
      <c r="AH2352" s="18" t="inlineStr">
        <is>
          <t>주변=#minecraft:diamond_ores</t>
        </is>
      </c>
      <c r="AI2352" s="18" t="inlineStr"/>
      <c r="AJ2352" s="18" t="inlineStr">
        <is>
          <t>COBBLEVERSE 수정</t>
        </is>
      </c>
      <c r="AK2352" s="18" t="inlineStr">
        <is>
          <t>사용</t>
        </is>
      </c>
      <c r="AL2352" s="18" t="inlineStr">
        <is>
          <t>COBBLEVERSE 1.7.42 / DP v31</t>
        </is>
      </c>
      <c r="AM2352" s="18" t="inlineStr">
        <is>
          <t>data/cobblemon/spawn_pool_world/0703_carbink.json</t>
        </is>
      </c>
      <c r="AN2352" s="18" t="inlineStr">
        <is>
          <t>carbink-1</t>
        </is>
      </c>
      <c r="AO2352" s="18" t="inlineStr">
        <is>
          <t>pokemon</t>
        </is>
      </c>
      <c r="AP2352" s="18" t="inlineStr">
        <is>
          <t>natural</t>
        </is>
      </c>
      <c r="AQ2352" s="18" t="inlineStr">
        <is>
          <t>{"biomes":["#cobblemon:is_overworld"],"maxSkyLight":7,"minSkyLight":0,"neededNearbyBlocks":["#minecraft:diamond_ores"]}</t>
        </is>
      </c>
      <c r="AR2352" s="18" t="inlineStr">
        <is>
          <t>{"biomes":["#cobblemon:is_deep_dark"]}</t>
        </is>
      </c>
      <c r="AS2352" s="18" t="inlineStr"/>
      <c r="AT2352" s="19" t="inlineStr"/>
    </row>
    <row r="2353" ht="32" customHeight="1">
      <c r="A2353" s="18" t="inlineStr">
        <is>
          <t>0703_carbink.json::carbink-2::002</t>
        </is>
      </c>
      <c r="B2353" s="19" t="inlineStr">
        <is>
          <t>사용</t>
        </is>
      </c>
      <c r="C2353" s="18">
        <f>IF(OR(B2353&lt;&gt;AK2353,M2353&lt;&gt;L2353,O2353&lt;&gt;"",Q2353&lt;&gt;"",V2353&lt;&gt;1,Y2353&lt;&gt;"",AT2353&lt;&gt;""),"수정","원본")</f>
        <v/>
      </c>
      <c r="D2353" s="18" t="n">
        <v>703</v>
      </c>
      <c r="E2353" s="18" t="inlineStr">
        <is>
          <t>멜리시</t>
        </is>
      </c>
      <c r="F2353" s="18" t="inlineStr">
        <is>
          <t>carbink</t>
        </is>
      </c>
      <c r="G2353" s="18" t="inlineStr">
        <is>
          <t>carbink</t>
        </is>
      </c>
      <c r="H2353" s="18" t="inlineStr"/>
      <c r="I2353" s="18" t="n">
        <v>6</v>
      </c>
      <c r="J2353" s="18" t="n"/>
      <c r="K2353" s="18" t="n">
        <v>6</v>
      </c>
      <c r="L2353" s="18" t="inlineStr">
        <is>
          <t>cobbleventure:generation_6</t>
        </is>
      </c>
      <c r="M2353" s="19" t="inlineStr">
        <is>
          <t>cobbleventure:generation_6</t>
        </is>
      </c>
      <c r="N2353" s="18" t="inlineStr"/>
      <c r="O2353" s="19" t="inlineStr"/>
      <c r="P2353" s="18" t="inlineStr">
        <is>
          <t>#cobblemon:nether/is_wasteland</t>
        </is>
      </c>
      <c r="Q2353" s="19" t="inlineStr"/>
      <c r="R2353" s="18">
        <f>IF(Q2353="",P2353,Q2353)</f>
        <v/>
      </c>
      <c r="S2353" s="18" t="inlineStr"/>
      <c r="T2353" s="18" t="inlineStr">
        <is>
          <t>uncommon</t>
        </is>
      </c>
      <c r="U2353" s="20" t="n">
        <v>10</v>
      </c>
      <c r="V2353" s="21" t="n">
        <v>1</v>
      </c>
      <c r="W2353" s="20">
        <f>IF(OR(U2353="",V2353=""),U2353,U2353*V2353)</f>
        <v/>
      </c>
      <c r="X2353" s="18" t="inlineStr">
        <is>
          <t>25-50</t>
        </is>
      </c>
      <c r="Y2353" s="19" t="inlineStr"/>
      <c r="Z2353" s="18">
        <f>IF(Y2353="",X2353,Y2353)</f>
        <v/>
      </c>
      <c r="AA2353" s="18" t="inlineStr">
        <is>
          <t>grounded</t>
        </is>
      </c>
      <c r="AB2353" s="18" t="inlineStr"/>
      <c r="AC2353" s="18" t="inlineStr"/>
      <c r="AD2353" s="18" t="inlineStr"/>
      <c r="AE2353" s="18" t="inlineStr"/>
      <c r="AF2353" s="18" t="inlineStr"/>
      <c r="AG2353" s="18" t="inlineStr"/>
      <c r="AH2353" s="18" t="inlineStr"/>
      <c r="AI2353" s="18" t="inlineStr"/>
      <c r="AJ2353" s="18" t="inlineStr">
        <is>
          <t>COBBLEVERSE 수정</t>
        </is>
      </c>
      <c r="AK2353" s="18" t="inlineStr">
        <is>
          <t>사용</t>
        </is>
      </c>
      <c r="AL2353" s="18" t="inlineStr">
        <is>
          <t>COBBLEVERSE 1.7.42 / DP v31</t>
        </is>
      </c>
      <c r="AM2353" s="18" t="inlineStr">
        <is>
          <t>data/cobblemon/spawn_pool_world/0703_carbink.json</t>
        </is>
      </c>
      <c r="AN2353" s="18" t="inlineStr">
        <is>
          <t>carbink-2</t>
        </is>
      </c>
      <c r="AO2353" s="18" t="inlineStr">
        <is>
          <t>pokemon</t>
        </is>
      </c>
      <c r="AP2353" s="18" t="inlineStr">
        <is>
          <t>natural</t>
        </is>
      </c>
      <c r="AQ2353" s="18" t="inlineStr">
        <is>
          <t>{"biomes":["#cobblemon:nether/is_wasteland"]}</t>
        </is>
      </c>
      <c r="AR2353" s="18" t="inlineStr"/>
      <c r="AS2353" s="18" t="inlineStr"/>
      <c r="AT2353" s="19" t="inlineStr"/>
    </row>
    <row r="2354" ht="32" customHeight="1">
      <c r="A2354" s="18" t="inlineStr">
        <is>
          <t>0703_carbink.json::carbink-3::003</t>
        </is>
      </c>
      <c r="B2354" s="19" t="inlineStr">
        <is>
          <t>사용</t>
        </is>
      </c>
      <c r="C2354" s="18">
        <f>IF(OR(B2354&lt;&gt;AK2354,M2354&lt;&gt;L2354,O2354&lt;&gt;"",Q2354&lt;&gt;"",V2354&lt;&gt;1,Y2354&lt;&gt;"",AT2354&lt;&gt;""),"수정","원본")</f>
        <v/>
      </c>
      <c r="D2354" s="18" t="n">
        <v>703</v>
      </c>
      <c r="E2354" s="18" t="inlineStr">
        <is>
          <t>멜리시</t>
        </is>
      </c>
      <c r="F2354" s="18" t="inlineStr">
        <is>
          <t>carbink</t>
        </is>
      </c>
      <c r="G2354" s="18" t="inlineStr">
        <is>
          <t>carbink</t>
        </is>
      </c>
      <c r="H2354" s="18" t="inlineStr"/>
      <c r="I2354" s="18" t="n">
        <v>6</v>
      </c>
      <c r="J2354" s="18" t="n"/>
      <c r="K2354" s="18" t="n">
        <v>6</v>
      </c>
      <c r="L2354" s="18" t="inlineStr">
        <is>
          <t>cobbleventure:generation_6</t>
        </is>
      </c>
      <c r="M2354" s="19" t="inlineStr">
        <is>
          <t>cobbleventure:generation_6</t>
        </is>
      </c>
      <c r="N2354" s="18" t="inlineStr"/>
      <c r="O2354" s="19" t="inlineStr"/>
      <c r="P2354" s="18" t="inlineStr">
        <is>
          <t>the_bumblezone:crystal_canyon</t>
        </is>
      </c>
      <c r="Q2354" s="19" t="inlineStr"/>
      <c r="R2354" s="18">
        <f>IF(Q2354="",P2354,Q2354)</f>
        <v/>
      </c>
      <c r="S2354" s="18" t="inlineStr"/>
      <c r="T2354" s="18" t="inlineStr">
        <is>
          <t>common</t>
        </is>
      </c>
      <c r="U2354" s="20" t="n">
        <v>10</v>
      </c>
      <c r="V2354" s="21" t="n">
        <v>1</v>
      </c>
      <c r="W2354" s="20">
        <f>IF(OR(U2354="",V2354=""),U2354,U2354*V2354)</f>
        <v/>
      </c>
      <c r="X2354" s="18" t="inlineStr">
        <is>
          <t>25-50</t>
        </is>
      </c>
      <c r="Y2354" s="19" t="inlineStr"/>
      <c r="Z2354" s="18">
        <f>IF(Y2354="",X2354,Y2354)</f>
        <v/>
      </c>
      <c r="AA2354" s="18" t="inlineStr">
        <is>
          <t>grounded</t>
        </is>
      </c>
      <c r="AB2354" s="18" t="inlineStr"/>
      <c r="AC2354" s="18" t="inlineStr"/>
      <c r="AD2354" s="18" t="inlineStr"/>
      <c r="AE2354" s="18" t="inlineStr"/>
      <c r="AF2354" s="18" t="inlineStr"/>
      <c r="AG2354" s="18" t="inlineStr"/>
      <c r="AH2354" s="18" t="inlineStr"/>
      <c r="AI2354" s="18" t="inlineStr"/>
      <c r="AJ2354" s="18" t="inlineStr">
        <is>
          <t>COBBLEVERSE 수정</t>
        </is>
      </c>
      <c r="AK2354" s="18" t="inlineStr">
        <is>
          <t>사용</t>
        </is>
      </c>
      <c r="AL2354" s="18" t="inlineStr">
        <is>
          <t>COBBLEVERSE 1.7.42 / DP v31</t>
        </is>
      </c>
      <c r="AM2354" s="18" t="inlineStr">
        <is>
          <t>data/cobblemon/spawn_pool_world/0703_carbink.json</t>
        </is>
      </c>
      <c r="AN2354" s="18" t="inlineStr">
        <is>
          <t>carbink-3</t>
        </is>
      </c>
      <c r="AO2354" s="18" t="inlineStr">
        <is>
          <t>pokemon</t>
        </is>
      </c>
      <c r="AP2354" s="18" t="inlineStr"/>
      <c r="AQ2354" s="18" t="inlineStr">
        <is>
          <t>{"biomes":["the_bumblezone:crystal_canyon"]}</t>
        </is>
      </c>
      <c r="AR2354" s="18" t="inlineStr">
        <is>
          <t>{"structures":["#the_bumblezone:sempiternal_sanctums"]}</t>
        </is>
      </c>
      <c r="AS2354" s="18" t="inlineStr"/>
      <c r="AT2354" s="19" t="inlineStr"/>
    </row>
    <row r="2355" ht="32" customHeight="1">
      <c r="A2355" s="18" t="inlineStr">
        <is>
          <t>0704_goomy.json::goomy-1::001</t>
        </is>
      </c>
      <c r="B2355" s="19" t="inlineStr">
        <is>
          <t>사용</t>
        </is>
      </c>
      <c r="C2355" s="18">
        <f>IF(OR(B2355&lt;&gt;AK2355,M2355&lt;&gt;L2355,O2355&lt;&gt;"",Q2355&lt;&gt;"",V2355&lt;&gt;1,Y2355&lt;&gt;"",AT2355&lt;&gt;""),"수정","원본")</f>
        <v/>
      </c>
      <c r="D2355" s="18" t="n">
        <v>704</v>
      </c>
      <c r="E2355" s="18" t="inlineStr">
        <is>
          <t>미끄메라</t>
        </is>
      </c>
      <c r="F2355" s="18" t="inlineStr">
        <is>
          <t>goomy</t>
        </is>
      </c>
      <c r="G2355" s="18" t="inlineStr">
        <is>
          <t>goomy</t>
        </is>
      </c>
      <c r="H2355" s="18" t="inlineStr"/>
      <c r="I2355" s="18" t="n">
        <v>6</v>
      </c>
      <c r="J2355" s="18" t="n"/>
      <c r="K2355" s="18" t="n">
        <v>6</v>
      </c>
      <c r="L2355" s="18" t="inlineStr">
        <is>
          <t>cobbleventure:generation_6</t>
        </is>
      </c>
      <c r="M2355" s="19" t="inlineStr">
        <is>
          <t>cobbleventure:generation_6</t>
        </is>
      </c>
      <c r="N2355" s="18" t="inlineStr">
        <is>
          <t>region_02</t>
        </is>
      </c>
      <c r="O2355" s="19" t="inlineStr"/>
      <c r="P2355" s="18" t="inlineStr">
        <is>
          <t>#cobblemon:is_swamp</t>
        </is>
      </c>
      <c r="Q2355" s="19" t="inlineStr"/>
      <c r="R2355" s="18">
        <f>IF(Q2355="",P2355,Q2355)</f>
        <v/>
      </c>
      <c r="S2355" s="18" t="inlineStr"/>
      <c r="T2355" s="18" t="inlineStr">
        <is>
          <t>rare</t>
        </is>
      </c>
      <c r="U2355" s="20" t="n">
        <v>7.5</v>
      </c>
      <c r="V2355" s="21" t="n">
        <v>1</v>
      </c>
      <c r="W2355" s="20">
        <f>IF(OR(U2355="",V2355=""),U2355,U2355*V2355)</f>
        <v/>
      </c>
      <c r="X2355" s="18" t="inlineStr">
        <is>
          <t>5-30</t>
        </is>
      </c>
      <c r="Y2355" s="19" t="inlineStr"/>
      <c r="Z2355" s="18">
        <f>IF(Y2355="",X2355,Y2355)</f>
        <v/>
      </c>
      <c r="AA2355" s="18" t="inlineStr">
        <is>
          <t>grounded</t>
        </is>
      </c>
      <c r="AB2355" s="18" t="inlineStr"/>
      <c r="AC2355" s="18" t="inlineStr">
        <is>
          <t>비=True</t>
        </is>
      </c>
      <c r="AD2355" s="18" t="inlineStr"/>
      <c r="AE2355" s="18" t="inlineStr">
        <is>
          <t>sky 8-15</t>
        </is>
      </c>
      <c r="AF2355" s="18" t="inlineStr"/>
      <c r="AG2355" s="18" t="inlineStr"/>
      <c r="AH2355" s="18" t="inlineStr"/>
      <c r="AI2355" s="18" t="inlineStr"/>
      <c r="AJ2355" s="18" t="inlineStr">
        <is>
          <t>Cobblemon 동일</t>
        </is>
      </c>
      <c r="AK2355" s="18" t="inlineStr">
        <is>
          <t>사용</t>
        </is>
      </c>
      <c r="AL2355" s="18" t="inlineStr">
        <is>
          <t>COBBLEVERSE 1.7.42 / DP v31</t>
        </is>
      </c>
      <c r="AM2355" s="18" t="inlineStr">
        <is>
          <t>data/cobblemon/spawn_pool_world/0704_goomy.json</t>
        </is>
      </c>
      <c r="AN2355" s="18" t="inlineStr">
        <is>
          <t>goomy-1</t>
        </is>
      </c>
      <c r="AO2355" s="18" t="inlineStr">
        <is>
          <t>pokemon</t>
        </is>
      </c>
      <c r="AP2355" s="18" t="inlineStr">
        <is>
          <t>natural; wild</t>
        </is>
      </c>
      <c r="AQ2355" s="18" t="inlineStr">
        <is>
          <t>{"biomes":["#cobblemon:is_swamp"],"isRaining":true,"maxSkyLight":15,"minSkyLight":8}</t>
        </is>
      </c>
      <c r="AR2355" s="18" t="inlineStr"/>
      <c r="AS2355" s="18" t="inlineStr"/>
      <c r="AT2355" s="19" t="inlineStr"/>
    </row>
    <row r="2356" ht="32" customHeight="1">
      <c r="A2356" s="18" t="inlineStr">
        <is>
          <t>0704_goomy.json::goomy-2::002</t>
        </is>
      </c>
      <c r="B2356" s="19" t="inlineStr">
        <is>
          <t>사용</t>
        </is>
      </c>
      <c r="C2356" s="18">
        <f>IF(OR(B2356&lt;&gt;AK2356,M2356&lt;&gt;L2356,O2356&lt;&gt;"",Q2356&lt;&gt;"",V2356&lt;&gt;1,Y2356&lt;&gt;"",AT2356&lt;&gt;""),"수정","원본")</f>
        <v/>
      </c>
      <c r="D2356" s="18" t="n">
        <v>704</v>
      </c>
      <c r="E2356" s="18" t="inlineStr">
        <is>
          <t>미끄메라</t>
        </is>
      </c>
      <c r="F2356" s="18" t="inlineStr">
        <is>
          <t>goomy</t>
        </is>
      </c>
      <c r="G2356" s="18" t="inlineStr">
        <is>
          <t>goomy</t>
        </is>
      </c>
      <c r="H2356" s="18" t="inlineStr"/>
      <c r="I2356" s="18" t="n">
        <v>6</v>
      </c>
      <c r="J2356" s="18" t="n"/>
      <c r="K2356" s="18" t="n">
        <v>6</v>
      </c>
      <c r="L2356" s="18" t="inlineStr">
        <is>
          <t>cobbleventure:generation_6</t>
        </is>
      </c>
      <c r="M2356" s="19" t="inlineStr">
        <is>
          <t>cobbleventure:generation_6</t>
        </is>
      </c>
      <c r="N2356" s="18" t="inlineStr">
        <is>
          <t>region_02</t>
        </is>
      </c>
      <c r="O2356" s="19" t="inlineStr"/>
      <c r="P2356" s="18" t="inlineStr">
        <is>
          <t>#cobblemon:is_swamp</t>
        </is>
      </c>
      <c r="Q2356" s="19" t="inlineStr"/>
      <c r="R2356" s="18">
        <f>IF(Q2356="",P2356,Q2356)</f>
        <v/>
      </c>
      <c r="S2356" s="18" t="inlineStr"/>
      <c r="T2356" s="18" t="inlineStr">
        <is>
          <t>ultra-rare</t>
        </is>
      </c>
      <c r="U2356" s="20" t="n">
        <v>6</v>
      </c>
      <c r="V2356" s="21" t="n">
        <v>1</v>
      </c>
      <c r="W2356" s="20">
        <f>IF(OR(U2356="",V2356=""),U2356,U2356*V2356)</f>
        <v/>
      </c>
      <c r="X2356" s="18" t="inlineStr">
        <is>
          <t>5-30</t>
        </is>
      </c>
      <c r="Y2356" s="19" t="inlineStr"/>
      <c r="Z2356" s="18">
        <f>IF(Y2356="",X2356,Y2356)</f>
        <v/>
      </c>
      <c r="AA2356" s="18" t="inlineStr">
        <is>
          <t>grounded</t>
        </is>
      </c>
      <c r="AB2356" s="18" t="inlineStr"/>
      <c r="AC2356" s="18" t="inlineStr">
        <is>
          <t>비=False</t>
        </is>
      </c>
      <c r="AD2356" s="18" t="inlineStr"/>
      <c r="AE2356" s="18" t="inlineStr">
        <is>
          <t>sky 8-15</t>
        </is>
      </c>
      <c r="AF2356" s="18" t="inlineStr"/>
      <c r="AG2356" s="18" t="inlineStr"/>
      <c r="AH2356" s="18" t="inlineStr"/>
      <c r="AI2356" s="18" t="inlineStr"/>
      <c r="AJ2356" s="18" t="inlineStr">
        <is>
          <t>Cobblemon 동일</t>
        </is>
      </c>
      <c r="AK2356" s="18" t="inlineStr">
        <is>
          <t>사용</t>
        </is>
      </c>
      <c r="AL2356" s="18" t="inlineStr">
        <is>
          <t>COBBLEVERSE 1.7.42 / DP v31</t>
        </is>
      </c>
      <c r="AM2356" s="18" t="inlineStr">
        <is>
          <t>data/cobblemon/spawn_pool_world/0704_goomy.json</t>
        </is>
      </c>
      <c r="AN2356" s="18" t="inlineStr">
        <is>
          <t>goomy-2</t>
        </is>
      </c>
      <c r="AO2356" s="18" t="inlineStr">
        <is>
          <t>pokemon</t>
        </is>
      </c>
      <c r="AP2356" s="18" t="inlineStr">
        <is>
          <t>natural; wild</t>
        </is>
      </c>
      <c r="AQ2356" s="18" t="inlineStr">
        <is>
          <t>{"biomes":["#cobblemon:is_swamp"],"isRaining":false,"maxSkyLight":15,"minSkyLight":8}</t>
        </is>
      </c>
      <c r="AR2356" s="18" t="inlineStr">
        <is>
          <t>{"isSlimeChunk":true}</t>
        </is>
      </c>
      <c r="AS2356" s="18" t="inlineStr"/>
      <c r="AT2356" s="19" t="inlineStr"/>
    </row>
    <row r="2357" ht="32" customHeight="1">
      <c r="A2357" s="18" t="inlineStr">
        <is>
          <t>0704_goomy.json::goomy-3::003</t>
        </is>
      </c>
      <c r="B2357" s="19" t="inlineStr">
        <is>
          <t>사용</t>
        </is>
      </c>
      <c r="C2357" s="18">
        <f>IF(OR(B2357&lt;&gt;AK2357,M2357&lt;&gt;L2357,O2357&lt;&gt;"",Q2357&lt;&gt;"",V2357&lt;&gt;1,Y2357&lt;&gt;"",AT2357&lt;&gt;""),"수정","원본")</f>
        <v/>
      </c>
      <c r="D2357" s="18" t="n">
        <v>704</v>
      </c>
      <c r="E2357" s="18" t="inlineStr">
        <is>
          <t>미끄메라</t>
        </is>
      </c>
      <c r="F2357" s="18" t="inlineStr">
        <is>
          <t>goomy</t>
        </is>
      </c>
      <c r="G2357" s="18" t="inlineStr">
        <is>
          <t>goomy</t>
        </is>
      </c>
      <c r="H2357" s="18" t="inlineStr"/>
      <c r="I2357" s="18" t="n">
        <v>6</v>
      </c>
      <c r="J2357" s="18" t="n"/>
      <c r="K2357" s="18" t="n">
        <v>6</v>
      </c>
      <c r="L2357" s="18" t="inlineStr">
        <is>
          <t>cobbleventure:generation_6</t>
        </is>
      </c>
      <c r="M2357" s="19" t="inlineStr">
        <is>
          <t>cobbleventure:generation_6</t>
        </is>
      </c>
      <c r="N2357" s="18" t="inlineStr">
        <is>
          <t>region_02</t>
        </is>
      </c>
      <c r="O2357" s="19" t="inlineStr"/>
      <c r="P2357" s="18" t="inlineStr">
        <is>
          <t>#cobblemon:is_swamp</t>
        </is>
      </c>
      <c r="Q2357" s="19" t="inlineStr"/>
      <c r="R2357" s="18">
        <f>IF(Q2357="",P2357,Q2357)</f>
        <v/>
      </c>
      <c r="S2357" s="18" t="inlineStr"/>
      <c r="T2357" s="18" t="inlineStr">
        <is>
          <t>rare</t>
        </is>
      </c>
      <c r="U2357" s="20" t="n">
        <v>7.5</v>
      </c>
      <c r="V2357" s="21" t="n">
        <v>1</v>
      </c>
      <c r="W2357" s="20">
        <f>IF(OR(U2357="",V2357=""),U2357,U2357*V2357)</f>
        <v/>
      </c>
      <c r="X2357" s="18" t="inlineStr">
        <is>
          <t>5-30</t>
        </is>
      </c>
      <c r="Y2357" s="19" t="inlineStr"/>
      <c r="Z2357" s="18">
        <f>IF(Y2357="",X2357,Y2357)</f>
        <v/>
      </c>
      <c r="AA2357" s="18" t="inlineStr">
        <is>
          <t>grounded</t>
        </is>
      </c>
      <c r="AB2357" s="18" t="inlineStr"/>
      <c r="AC2357" s="18" t="inlineStr">
        <is>
          <t>비=False</t>
        </is>
      </c>
      <c r="AD2357" s="18" t="inlineStr"/>
      <c r="AE2357" s="18" t="inlineStr">
        <is>
          <t>sky 8-15</t>
        </is>
      </c>
      <c r="AF2357" s="18" t="inlineStr"/>
      <c r="AG2357" s="18" t="inlineStr"/>
      <c r="AH2357" s="18" t="inlineStr"/>
      <c r="AI2357" s="18" t="inlineStr">
        <is>
          <t>{"condition":{"isSlimeChunk":true}}</t>
        </is>
      </c>
      <c r="AJ2357" s="18" t="inlineStr">
        <is>
          <t>Cobblemon 동일</t>
        </is>
      </c>
      <c r="AK2357" s="18" t="inlineStr">
        <is>
          <t>사용</t>
        </is>
      </c>
      <c r="AL2357" s="18" t="inlineStr">
        <is>
          <t>COBBLEVERSE 1.7.42 / DP v31</t>
        </is>
      </c>
      <c r="AM2357" s="18" t="inlineStr">
        <is>
          <t>data/cobblemon/spawn_pool_world/0704_goomy.json</t>
        </is>
      </c>
      <c r="AN2357" s="18" t="inlineStr">
        <is>
          <t>goomy-3</t>
        </is>
      </c>
      <c r="AO2357" s="18" t="inlineStr">
        <is>
          <t>pokemon</t>
        </is>
      </c>
      <c r="AP2357" s="18" t="inlineStr">
        <is>
          <t>natural; wild</t>
        </is>
      </c>
      <c r="AQ2357" s="18" t="inlineStr">
        <is>
          <t>{"biomes":["#cobblemon:is_swamp"],"isRaining":false,"isSlimeChunk":true,"maxSkyLight":15,"minSkyLight":8}</t>
        </is>
      </c>
      <c r="AR2357" s="18" t="inlineStr"/>
      <c r="AS2357" s="18" t="inlineStr"/>
      <c r="AT2357" s="19" t="inlineStr"/>
    </row>
    <row r="2358" ht="32" customHeight="1">
      <c r="A2358" s="18" t="inlineStr">
        <is>
          <t>0704_goomy.json::goomy-4::004</t>
        </is>
      </c>
      <c r="B2358" s="19" t="inlineStr">
        <is>
          <t>사용</t>
        </is>
      </c>
      <c r="C2358" s="18">
        <f>IF(OR(B2358&lt;&gt;AK2358,M2358&lt;&gt;L2358,O2358&lt;&gt;"",Q2358&lt;&gt;"",V2358&lt;&gt;1,Y2358&lt;&gt;"",AT2358&lt;&gt;""),"수정","원본")</f>
        <v/>
      </c>
      <c r="D2358" s="18" t="n">
        <v>704</v>
      </c>
      <c r="E2358" s="18" t="inlineStr">
        <is>
          <t>미끄메라</t>
        </is>
      </c>
      <c r="F2358" s="18" t="inlineStr">
        <is>
          <t>goomy</t>
        </is>
      </c>
      <c r="G2358" s="18" t="inlineStr">
        <is>
          <t>goomy</t>
        </is>
      </c>
      <c r="H2358" s="18" t="inlineStr"/>
      <c r="I2358" s="18" t="n">
        <v>6</v>
      </c>
      <c r="J2358" s="18" t="n"/>
      <c r="K2358" s="18" t="n">
        <v>6</v>
      </c>
      <c r="L2358" s="18" t="inlineStr">
        <is>
          <t>cobbleventure:generation_6</t>
        </is>
      </c>
      <c r="M2358" s="19" t="inlineStr">
        <is>
          <t>cobbleventure:generation_6</t>
        </is>
      </c>
      <c r="N2358" s="18" t="inlineStr">
        <is>
          <t>region_02</t>
        </is>
      </c>
      <c r="O2358" s="19" t="inlineStr"/>
      <c r="P2358" s="18" t="inlineStr">
        <is>
          <t>#cobblemon:is_swamp</t>
        </is>
      </c>
      <c r="Q2358" s="19" t="inlineStr"/>
      <c r="R2358" s="18">
        <f>IF(Q2358="",P2358,Q2358)</f>
        <v/>
      </c>
      <c r="S2358" s="18" t="inlineStr"/>
      <c r="T2358" s="18" t="inlineStr">
        <is>
          <t>ultra-rare</t>
        </is>
      </c>
      <c r="U2358" s="20" t="n">
        <v>6</v>
      </c>
      <c r="V2358" s="21" t="n">
        <v>1</v>
      </c>
      <c r="W2358" s="20">
        <f>IF(OR(U2358="",V2358=""),U2358,U2358*V2358)</f>
        <v/>
      </c>
      <c r="X2358" s="18" t="inlineStr">
        <is>
          <t>5-30</t>
        </is>
      </c>
      <c r="Y2358" s="19" t="inlineStr"/>
      <c r="Z2358" s="18">
        <f>IF(Y2358="",X2358,Y2358)</f>
        <v/>
      </c>
      <c r="AA2358" s="18" t="inlineStr">
        <is>
          <t>fishing</t>
        </is>
      </c>
      <c r="AB2358" s="18" t="inlineStr"/>
      <c r="AC2358" s="18" t="inlineStr"/>
      <c r="AD2358" s="18" t="inlineStr"/>
      <c r="AE2358" s="18" t="inlineStr">
        <is>
          <t>sky 8-15</t>
        </is>
      </c>
      <c r="AF2358" s="18" t="inlineStr"/>
      <c r="AG2358" s="18" t="inlineStr"/>
      <c r="AH2358" s="18" t="inlineStr"/>
      <c r="AI2358" s="18" t="inlineStr"/>
      <c r="AJ2358" s="18" t="inlineStr">
        <is>
          <t>Cobblemon 동일</t>
        </is>
      </c>
      <c r="AK2358" s="18" t="inlineStr">
        <is>
          <t>사용</t>
        </is>
      </c>
      <c r="AL2358" s="18" t="inlineStr">
        <is>
          <t>COBBLEVERSE 1.7.42 / DP v31</t>
        </is>
      </c>
      <c r="AM2358" s="18" t="inlineStr">
        <is>
          <t>data/cobblemon/spawn_pool_world/0704_goomy.json</t>
        </is>
      </c>
      <c r="AN2358" s="18" t="inlineStr">
        <is>
          <t>goomy-4</t>
        </is>
      </c>
      <c r="AO2358" s="18" t="inlineStr">
        <is>
          <t>pokemon</t>
        </is>
      </c>
      <c r="AP2358" s="18" t="inlineStr"/>
      <c r="AQ2358" s="18" t="inlineStr">
        <is>
          <t>{"biomes":["#cobblemon:is_swamp"],"maxSkyLight":15,"minSkyLight":8}</t>
        </is>
      </c>
      <c r="AR2358" s="18" t="inlineStr">
        <is>
          <t>{"isSlimeChunk":true}</t>
        </is>
      </c>
      <c r="AS2358" s="18" t="inlineStr"/>
      <c r="AT2358" s="19" t="inlineStr"/>
    </row>
    <row r="2359" ht="32" customHeight="1">
      <c r="A2359" s="18" t="inlineStr">
        <is>
          <t>0704_goomy.json::goomy-5::005</t>
        </is>
      </c>
      <c r="B2359" s="19" t="inlineStr">
        <is>
          <t>사용</t>
        </is>
      </c>
      <c r="C2359" s="18">
        <f>IF(OR(B2359&lt;&gt;AK2359,M2359&lt;&gt;L2359,O2359&lt;&gt;"",Q2359&lt;&gt;"",V2359&lt;&gt;1,Y2359&lt;&gt;"",AT2359&lt;&gt;""),"수정","원본")</f>
        <v/>
      </c>
      <c r="D2359" s="18" t="n">
        <v>704</v>
      </c>
      <c r="E2359" s="18" t="inlineStr">
        <is>
          <t>미끄메라</t>
        </is>
      </c>
      <c r="F2359" s="18" t="inlineStr">
        <is>
          <t>goomy</t>
        </is>
      </c>
      <c r="G2359" s="18" t="inlineStr">
        <is>
          <t>goomy</t>
        </is>
      </c>
      <c r="H2359" s="18" t="inlineStr"/>
      <c r="I2359" s="18" t="n">
        <v>6</v>
      </c>
      <c r="J2359" s="18" t="n"/>
      <c r="K2359" s="18" t="n">
        <v>6</v>
      </c>
      <c r="L2359" s="18" t="inlineStr">
        <is>
          <t>cobbleventure:generation_6</t>
        </is>
      </c>
      <c r="M2359" s="19" t="inlineStr">
        <is>
          <t>cobbleventure:generation_6</t>
        </is>
      </c>
      <c r="N2359" s="18" t="inlineStr">
        <is>
          <t>region_02</t>
        </is>
      </c>
      <c r="O2359" s="19" t="inlineStr"/>
      <c r="P2359" s="18" t="inlineStr">
        <is>
          <t>#cobblemon:is_swamp</t>
        </is>
      </c>
      <c r="Q2359" s="19" t="inlineStr"/>
      <c r="R2359" s="18">
        <f>IF(Q2359="",P2359,Q2359)</f>
        <v/>
      </c>
      <c r="S2359" s="18" t="inlineStr"/>
      <c r="T2359" s="18" t="inlineStr">
        <is>
          <t>rare</t>
        </is>
      </c>
      <c r="U2359" s="20" t="n">
        <v>7.5</v>
      </c>
      <c r="V2359" s="21" t="n">
        <v>1</v>
      </c>
      <c r="W2359" s="20">
        <f>IF(OR(U2359="",V2359=""),U2359,U2359*V2359)</f>
        <v/>
      </c>
      <c r="X2359" s="18" t="inlineStr">
        <is>
          <t>5-30</t>
        </is>
      </c>
      <c r="Y2359" s="19" t="inlineStr"/>
      <c r="Z2359" s="18">
        <f>IF(Y2359="",X2359,Y2359)</f>
        <v/>
      </c>
      <c r="AA2359" s="18" t="inlineStr">
        <is>
          <t>fishing</t>
        </is>
      </c>
      <c r="AB2359" s="18" t="inlineStr"/>
      <c r="AC2359" s="18" t="inlineStr"/>
      <c r="AD2359" s="18" t="inlineStr"/>
      <c r="AE2359" s="18" t="inlineStr">
        <is>
          <t>sky 8-15</t>
        </is>
      </c>
      <c r="AF2359" s="18" t="inlineStr"/>
      <c r="AG2359" s="18" t="inlineStr"/>
      <c r="AH2359" s="18" t="inlineStr"/>
      <c r="AI2359" s="18" t="inlineStr">
        <is>
          <t>{"condition":{"isSlimeChunk":true}}</t>
        </is>
      </c>
      <c r="AJ2359" s="18" t="inlineStr">
        <is>
          <t>Cobblemon 동일</t>
        </is>
      </c>
      <c r="AK2359" s="18" t="inlineStr">
        <is>
          <t>사용</t>
        </is>
      </c>
      <c r="AL2359" s="18" t="inlineStr">
        <is>
          <t>COBBLEVERSE 1.7.42 / DP v31</t>
        </is>
      </c>
      <c r="AM2359" s="18" t="inlineStr">
        <is>
          <t>data/cobblemon/spawn_pool_world/0704_goomy.json</t>
        </is>
      </c>
      <c r="AN2359" s="18" t="inlineStr">
        <is>
          <t>goomy-5</t>
        </is>
      </c>
      <c r="AO2359" s="18" t="inlineStr">
        <is>
          <t>pokemon</t>
        </is>
      </c>
      <c r="AP2359" s="18" t="inlineStr"/>
      <c r="AQ2359" s="18" t="inlineStr">
        <is>
          <t>{"biomes":["#cobblemon:is_swamp"],"isSlimeChunk":true,"maxSkyLight":15,"minSkyLight":8}</t>
        </is>
      </c>
      <c r="AR2359" s="18" t="inlineStr"/>
      <c r="AS2359" s="18" t="inlineStr"/>
      <c r="AT2359" s="19" t="inlineStr"/>
    </row>
    <row r="2360" ht="32" customHeight="1">
      <c r="A2360" s="18" t="inlineStr">
        <is>
          <t>0704_goomy.json::goomy-6::006</t>
        </is>
      </c>
      <c r="B2360" s="19" t="inlineStr">
        <is>
          <t>사용</t>
        </is>
      </c>
      <c r="C2360" s="18">
        <f>IF(OR(B2360&lt;&gt;AK2360,M2360&lt;&gt;L2360,O2360&lt;&gt;"",Q2360&lt;&gt;"",V2360&lt;&gt;1,Y2360&lt;&gt;"",AT2360&lt;&gt;""),"수정","원본")</f>
        <v/>
      </c>
      <c r="D2360" s="18" t="n">
        <v>704</v>
      </c>
      <c r="E2360" s="18" t="inlineStr">
        <is>
          <t>미끄메라</t>
        </is>
      </c>
      <c r="F2360" s="18" t="inlineStr">
        <is>
          <t>goomy</t>
        </is>
      </c>
      <c r="G2360" s="18" t="inlineStr">
        <is>
          <t>goomy</t>
        </is>
      </c>
      <c r="H2360" s="18" t="inlineStr"/>
      <c r="I2360" s="18" t="n">
        <v>6</v>
      </c>
      <c r="J2360" s="18" t="n"/>
      <c r="K2360" s="18" t="n">
        <v>6</v>
      </c>
      <c r="L2360" s="18" t="inlineStr">
        <is>
          <t>cobbleventure:generation_6</t>
        </is>
      </c>
      <c r="M2360" s="19" t="inlineStr">
        <is>
          <t>cobbleventure:generation_6</t>
        </is>
      </c>
      <c r="N2360" s="18" t="inlineStr">
        <is>
          <t>region_01</t>
        </is>
      </c>
      <c r="O2360" s="19" t="inlineStr"/>
      <c r="P2360" s="18" t="inlineStr">
        <is>
          <t>#cobblemon:is_overworld</t>
        </is>
      </c>
      <c r="Q2360" s="19" t="inlineStr"/>
      <c r="R2360" s="18">
        <f>IF(Q2360="",P2360,Q2360)</f>
        <v/>
      </c>
      <c r="S2360" s="18" t="inlineStr">
        <is>
          <t>#cobblemon:is_arid; #cobblemon:is_coast; #cobblemon:is_ocean; #cobblemon:is_freezing; #cobblemon:is_swamp</t>
        </is>
      </c>
      <c r="T2360" s="18" t="inlineStr">
        <is>
          <t>ultra-rare</t>
        </is>
      </c>
      <c r="U2360" s="20" t="n">
        <v>6</v>
      </c>
      <c r="V2360" s="21" t="n">
        <v>1</v>
      </c>
      <c r="W2360" s="20">
        <f>IF(OR(U2360="",V2360=""),U2360,U2360*V2360)</f>
        <v/>
      </c>
      <c r="X2360" s="18" t="inlineStr">
        <is>
          <t>5-30</t>
        </is>
      </c>
      <c r="Y2360" s="19" t="inlineStr"/>
      <c r="Z2360" s="18">
        <f>IF(Y2360="",X2360,Y2360)</f>
        <v/>
      </c>
      <c r="AA2360" s="18" t="inlineStr">
        <is>
          <t>fishing</t>
        </is>
      </c>
      <c r="AB2360" s="18" t="inlineStr"/>
      <c r="AC2360" s="18" t="inlineStr"/>
      <c r="AD2360" s="18" t="inlineStr"/>
      <c r="AE2360" s="18" t="inlineStr">
        <is>
          <t>sky 8-15</t>
        </is>
      </c>
      <c r="AF2360" s="18" t="inlineStr"/>
      <c r="AG2360" s="18" t="inlineStr"/>
      <c r="AH2360" s="18" t="inlineStr"/>
      <c r="AI2360" s="18" t="inlineStr">
        <is>
          <t>{"condition":{"isSlimeChunk":true}}</t>
        </is>
      </c>
      <c r="AJ2360" s="18" t="inlineStr">
        <is>
          <t>Cobblemon 동일</t>
        </is>
      </c>
      <c r="AK2360" s="18" t="inlineStr">
        <is>
          <t>사용</t>
        </is>
      </c>
      <c r="AL2360" s="18" t="inlineStr">
        <is>
          <t>COBBLEVERSE 1.7.42 / DP v31</t>
        </is>
      </c>
      <c r="AM2360" s="18" t="inlineStr">
        <is>
          <t>data/cobblemon/spawn_pool_world/0704_goomy.json</t>
        </is>
      </c>
      <c r="AN2360" s="18" t="inlineStr">
        <is>
          <t>goomy-6</t>
        </is>
      </c>
      <c r="AO2360" s="18" t="inlineStr">
        <is>
          <t>pokemon</t>
        </is>
      </c>
      <c r="AP2360" s="18" t="inlineStr"/>
      <c r="AQ2360" s="18" t="inlineStr">
        <is>
          <t>{"biomes":["#cobblemon:is_overworld"],"isSlimeChunk":true,"maxSkyLight":15,"minSkyLight":8}</t>
        </is>
      </c>
      <c r="AR2360" s="18" t="inlineStr">
        <is>
          <t>{"biomes":["#cobblemon:is_arid","#cobblemon:is_coast","#cobblemon:is_ocean","#cobblemon:is_freezing","#cobblemon:is_swamp"]}</t>
        </is>
      </c>
      <c r="AS2360" s="18" t="inlineStr"/>
      <c r="AT2360" s="19" t="inlineStr"/>
    </row>
    <row r="2361" ht="32" customHeight="1">
      <c r="A2361" s="18" t="inlineStr">
        <is>
          <t>0704_goomy.json::goomy-hisui-7::007</t>
        </is>
      </c>
      <c r="B2361" s="19" t="inlineStr">
        <is>
          <t>사용</t>
        </is>
      </c>
      <c r="C2361" s="18">
        <f>IF(OR(B2361&lt;&gt;AK2361,M2361&lt;&gt;L2361,O2361&lt;&gt;"",Q2361&lt;&gt;"",V2361&lt;&gt;1,Y2361&lt;&gt;"",AT2361&lt;&gt;""),"수정","원본")</f>
        <v/>
      </c>
      <c r="D2361" s="18" t="n">
        <v>704</v>
      </c>
      <c r="E2361" s="18" t="inlineStr">
        <is>
          <t>미끄메라</t>
        </is>
      </c>
      <c r="F2361" s="18" t="inlineStr">
        <is>
          <t>goomy</t>
        </is>
      </c>
      <c r="G2361" s="18" t="inlineStr">
        <is>
          <t>goomy region_bias=hisui</t>
        </is>
      </c>
      <c r="H2361" s="18" t="inlineStr">
        <is>
          <t>region_bias=hisui</t>
        </is>
      </c>
      <c r="I2361" s="18" t="n">
        <v>6</v>
      </c>
      <c r="J2361" s="18" t="n">
        <v>8</v>
      </c>
      <c r="K2361" s="18" t="n">
        <v>8</v>
      </c>
      <c r="L2361" s="18" t="inlineStr">
        <is>
          <t>cobbleventure:generation_8</t>
        </is>
      </c>
      <c r="M2361" s="19" t="inlineStr">
        <is>
          <t>cobbleventure:generation_8</t>
        </is>
      </c>
      <c r="N2361" s="18" t="inlineStr"/>
      <c r="O2361" s="19" t="inlineStr"/>
      <c r="P2361" s="18" t="inlineStr">
        <is>
          <t>#cobblemon:is_dripstone; #cobblemon:is_lush</t>
        </is>
      </c>
      <c r="Q2361" s="19" t="inlineStr"/>
      <c r="R2361" s="18">
        <f>IF(Q2361="",P2361,Q2361)</f>
        <v/>
      </c>
      <c r="S2361" s="18" t="inlineStr"/>
      <c r="T2361" s="18" t="inlineStr">
        <is>
          <t>rare</t>
        </is>
      </c>
      <c r="U2361" s="20" t="n">
        <v>7.5</v>
      </c>
      <c r="V2361" s="21" t="n">
        <v>1</v>
      </c>
      <c r="W2361" s="20">
        <f>IF(OR(U2361="",V2361=""),U2361,U2361*V2361)</f>
        <v/>
      </c>
      <c r="X2361" s="18" t="inlineStr">
        <is>
          <t>5-30</t>
        </is>
      </c>
      <c r="Y2361" s="19" t="inlineStr"/>
      <c r="Z2361" s="18">
        <f>IF(Y2361="",X2361,Y2361)</f>
        <v/>
      </c>
      <c r="AA2361" s="18" t="inlineStr">
        <is>
          <t>grounded</t>
        </is>
      </c>
      <c r="AB2361" s="18" t="inlineStr"/>
      <c r="AC2361" s="18" t="inlineStr"/>
      <c r="AD2361" s="18" t="inlineStr"/>
      <c r="AE2361" s="18" t="inlineStr">
        <is>
          <t>sky 0-7</t>
        </is>
      </c>
      <c r="AF2361" s="18" t="inlineStr"/>
      <c r="AG2361" s="18" t="inlineStr"/>
      <c r="AH2361" s="18" t="inlineStr"/>
      <c r="AI2361" s="18" t="inlineStr"/>
      <c r="AJ2361" s="18" t="inlineStr">
        <is>
          <t>Cobblemon 동일</t>
        </is>
      </c>
      <c r="AK2361" s="18" t="inlineStr">
        <is>
          <t>사용</t>
        </is>
      </c>
      <c r="AL2361" s="18" t="inlineStr">
        <is>
          <t>COBBLEVERSE 1.7.42 / DP v31</t>
        </is>
      </c>
      <c r="AM2361" s="18" t="inlineStr">
        <is>
          <t>data/cobblemon/spawn_pool_world/0704_goomy.json</t>
        </is>
      </c>
      <c r="AN2361" s="18" t="inlineStr">
        <is>
          <t>goomy-hisui-7</t>
        </is>
      </c>
      <c r="AO2361" s="18" t="inlineStr">
        <is>
          <t>pokemon</t>
        </is>
      </c>
      <c r="AP2361" s="18" t="inlineStr">
        <is>
          <t>natural</t>
        </is>
      </c>
      <c r="AQ2361" s="18" t="inlineStr">
        <is>
          <t>{"biomes":["#cobblemon:is_dripstone","#cobblemon:is_lush"],"maxSkyLight":7,"minSkyLight":0}</t>
        </is>
      </c>
      <c r="AR2361" s="18" t="inlineStr"/>
      <c r="AS2361" s="18" t="inlineStr"/>
      <c r="AT2361" s="19" t="inlineStr"/>
    </row>
    <row r="2362" ht="32" customHeight="1">
      <c r="A2362" s="18" t="inlineStr">
        <is>
          <t>0704_goomy.json::goomy-hisui-8::008</t>
        </is>
      </c>
      <c r="B2362" s="19" t="inlineStr">
        <is>
          <t>사용</t>
        </is>
      </c>
      <c r="C2362" s="18">
        <f>IF(OR(B2362&lt;&gt;AK2362,M2362&lt;&gt;L2362,O2362&lt;&gt;"",Q2362&lt;&gt;"",V2362&lt;&gt;1,Y2362&lt;&gt;"",AT2362&lt;&gt;""),"수정","원본")</f>
        <v/>
      </c>
      <c r="D2362" s="18" t="n">
        <v>704</v>
      </c>
      <c r="E2362" s="18" t="inlineStr">
        <is>
          <t>미끄메라</t>
        </is>
      </c>
      <c r="F2362" s="18" t="inlineStr">
        <is>
          <t>goomy</t>
        </is>
      </c>
      <c r="G2362" s="18" t="inlineStr">
        <is>
          <t>goomy region_bias=hisui</t>
        </is>
      </c>
      <c r="H2362" s="18" t="inlineStr">
        <is>
          <t>region_bias=hisui</t>
        </is>
      </c>
      <c r="I2362" s="18" t="n">
        <v>6</v>
      </c>
      <c r="J2362" s="18" t="n">
        <v>8</v>
      </c>
      <c r="K2362" s="18" t="n">
        <v>8</v>
      </c>
      <c r="L2362" s="18" t="inlineStr">
        <is>
          <t>cobbleventure:generation_8</t>
        </is>
      </c>
      <c r="M2362" s="19" t="inlineStr">
        <is>
          <t>cobbleventure:generation_8</t>
        </is>
      </c>
      <c r="N2362" s="18" t="inlineStr">
        <is>
          <t>region_01; region_02</t>
        </is>
      </c>
      <c r="O2362" s="19" t="inlineStr"/>
      <c r="P2362" s="18" t="inlineStr">
        <is>
          <t>#cobblemon:is_overworld</t>
        </is>
      </c>
      <c r="Q2362" s="19" t="inlineStr"/>
      <c r="R2362" s="18">
        <f>IF(Q2362="",P2362,Q2362)</f>
        <v/>
      </c>
      <c r="S2362" s="18" t="inlineStr">
        <is>
          <t>#cobblemon:is_dripstone; #cobblemon:is_lush</t>
        </is>
      </c>
      <c r="T2362" s="18" t="inlineStr">
        <is>
          <t>ultra-rare</t>
        </is>
      </c>
      <c r="U2362" s="20" t="n">
        <v>6</v>
      </c>
      <c r="V2362" s="21" t="n">
        <v>1</v>
      </c>
      <c r="W2362" s="20">
        <f>IF(OR(U2362="",V2362=""),U2362,U2362*V2362)</f>
        <v/>
      </c>
      <c r="X2362" s="18" t="inlineStr">
        <is>
          <t>5-30</t>
        </is>
      </c>
      <c r="Y2362" s="19" t="inlineStr"/>
      <c r="Z2362" s="18">
        <f>IF(Y2362="",X2362,Y2362)</f>
        <v/>
      </c>
      <c r="AA2362" s="18" t="inlineStr">
        <is>
          <t>grounded</t>
        </is>
      </c>
      <c r="AB2362" s="18" t="inlineStr"/>
      <c r="AC2362" s="18" t="inlineStr"/>
      <c r="AD2362" s="18" t="inlineStr"/>
      <c r="AE2362" s="18" t="inlineStr">
        <is>
          <t>sky 0-7</t>
        </is>
      </c>
      <c r="AF2362" s="18" t="inlineStr"/>
      <c r="AG2362" s="18" t="inlineStr"/>
      <c r="AH2362" s="18" t="inlineStr">
        <is>
          <t>주변=minecraft:water</t>
        </is>
      </c>
      <c r="AI2362" s="18" t="inlineStr"/>
      <c r="AJ2362" s="18" t="inlineStr">
        <is>
          <t>Cobblemon 동일</t>
        </is>
      </c>
      <c r="AK2362" s="18" t="inlineStr">
        <is>
          <t>사용</t>
        </is>
      </c>
      <c r="AL2362" s="18" t="inlineStr">
        <is>
          <t>COBBLEVERSE 1.7.42 / DP v31</t>
        </is>
      </c>
      <c r="AM2362" s="18" t="inlineStr">
        <is>
          <t>data/cobblemon/spawn_pool_world/0704_goomy.json</t>
        </is>
      </c>
      <c r="AN2362" s="18" t="inlineStr">
        <is>
          <t>goomy-hisui-8</t>
        </is>
      </c>
      <c r="AO2362" s="18" t="inlineStr">
        <is>
          <t>pokemon</t>
        </is>
      </c>
      <c r="AP2362" s="18" t="inlineStr">
        <is>
          <t>natural</t>
        </is>
      </c>
      <c r="AQ2362" s="18" t="inlineStr">
        <is>
          <t>{"biomes":["#cobblemon:is_overworld"],"maxSkyLight":7,"minSkyLight":0,"neededNearbyBlocks":["minecraft:water"]}</t>
        </is>
      </c>
      <c r="AR2362" s="18" t="inlineStr">
        <is>
          <t>{"biomes":["#cobblemon:is_dripstone","#cobblemon:is_lush"],"isSlimeChunk":true}</t>
        </is>
      </c>
      <c r="AS2362" s="18" t="inlineStr"/>
      <c r="AT2362" s="19" t="inlineStr"/>
    </row>
    <row r="2363" ht="32" customHeight="1">
      <c r="A2363" s="18" t="inlineStr">
        <is>
          <t>0704_goomy.json::goomy-hisui-9::009</t>
        </is>
      </c>
      <c r="B2363" s="19" t="inlineStr">
        <is>
          <t>사용</t>
        </is>
      </c>
      <c r="C2363" s="18">
        <f>IF(OR(B2363&lt;&gt;AK2363,M2363&lt;&gt;L2363,O2363&lt;&gt;"",Q2363&lt;&gt;"",V2363&lt;&gt;1,Y2363&lt;&gt;"",AT2363&lt;&gt;""),"수정","원본")</f>
        <v/>
      </c>
      <c r="D2363" s="18" t="n">
        <v>704</v>
      </c>
      <c r="E2363" s="18" t="inlineStr">
        <is>
          <t>미끄메라</t>
        </is>
      </c>
      <c r="F2363" s="18" t="inlineStr">
        <is>
          <t>goomy</t>
        </is>
      </c>
      <c r="G2363" s="18" t="inlineStr">
        <is>
          <t>goomy region_bias=hisui</t>
        </is>
      </c>
      <c r="H2363" s="18" t="inlineStr">
        <is>
          <t>region_bias=hisui</t>
        </is>
      </c>
      <c r="I2363" s="18" t="n">
        <v>6</v>
      </c>
      <c r="J2363" s="18" t="n">
        <v>8</v>
      </c>
      <c r="K2363" s="18" t="n">
        <v>8</v>
      </c>
      <c r="L2363" s="18" t="inlineStr">
        <is>
          <t>cobbleventure:generation_8</t>
        </is>
      </c>
      <c r="M2363" s="19" t="inlineStr">
        <is>
          <t>cobbleventure:generation_8</t>
        </is>
      </c>
      <c r="N2363" s="18" t="inlineStr">
        <is>
          <t>region_01; region_02</t>
        </is>
      </c>
      <c r="O2363" s="19" t="inlineStr"/>
      <c r="P2363" s="18" t="inlineStr">
        <is>
          <t>#cobblemon:is_overworld</t>
        </is>
      </c>
      <c r="Q2363" s="19" t="inlineStr"/>
      <c r="R2363" s="18">
        <f>IF(Q2363="",P2363,Q2363)</f>
        <v/>
      </c>
      <c r="S2363" s="18" t="inlineStr">
        <is>
          <t>#cobblemon:is_dripstone; #cobblemon:is_lush</t>
        </is>
      </c>
      <c r="T2363" s="18" t="inlineStr">
        <is>
          <t>rare</t>
        </is>
      </c>
      <c r="U2363" s="20" t="n">
        <v>7.5</v>
      </c>
      <c r="V2363" s="21" t="n">
        <v>1</v>
      </c>
      <c r="W2363" s="20">
        <f>IF(OR(U2363="",V2363=""),U2363,U2363*V2363)</f>
        <v/>
      </c>
      <c r="X2363" s="18" t="inlineStr">
        <is>
          <t>5-30</t>
        </is>
      </c>
      <c r="Y2363" s="19" t="inlineStr"/>
      <c r="Z2363" s="18">
        <f>IF(Y2363="",X2363,Y2363)</f>
        <v/>
      </c>
      <c r="AA2363" s="18" t="inlineStr">
        <is>
          <t>grounded</t>
        </is>
      </c>
      <c r="AB2363" s="18" t="inlineStr"/>
      <c r="AC2363" s="18" t="inlineStr"/>
      <c r="AD2363" s="18" t="inlineStr"/>
      <c r="AE2363" s="18" t="inlineStr">
        <is>
          <t>sky 0-7</t>
        </is>
      </c>
      <c r="AF2363" s="18" t="inlineStr"/>
      <c r="AG2363" s="18" t="inlineStr"/>
      <c r="AH2363" s="18" t="inlineStr"/>
      <c r="AI2363" s="18" t="inlineStr">
        <is>
          <t>{"condition":{"isSlimeChunk":true}}</t>
        </is>
      </c>
      <c r="AJ2363" s="18" t="inlineStr">
        <is>
          <t>Cobblemon 동일</t>
        </is>
      </c>
      <c r="AK2363" s="18" t="inlineStr">
        <is>
          <t>사용</t>
        </is>
      </c>
      <c r="AL2363" s="18" t="inlineStr">
        <is>
          <t>COBBLEVERSE 1.7.42 / DP v31</t>
        </is>
      </c>
      <c r="AM2363" s="18" t="inlineStr">
        <is>
          <t>data/cobblemon/spawn_pool_world/0704_goomy.json</t>
        </is>
      </c>
      <c r="AN2363" s="18" t="inlineStr">
        <is>
          <t>goomy-hisui-9</t>
        </is>
      </c>
      <c r="AO2363" s="18" t="inlineStr">
        <is>
          <t>pokemon</t>
        </is>
      </c>
      <c r="AP2363" s="18" t="inlineStr">
        <is>
          <t>natural</t>
        </is>
      </c>
      <c r="AQ2363" s="18" t="inlineStr">
        <is>
          <t>{"biomes":["#cobblemon:is_overworld"],"isSlimeChunk":true,"maxSkyLight":7,"minSkyLight":0}</t>
        </is>
      </c>
      <c r="AR2363" s="18" t="inlineStr">
        <is>
          <t>{"biomes":["#cobblemon:is_dripstone","#cobblemon:is_lush"]}</t>
        </is>
      </c>
      <c r="AS2363" s="18" t="inlineStr"/>
      <c r="AT2363" s="19" t="inlineStr"/>
    </row>
    <row r="2364" ht="32" customHeight="1">
      <c r="A2364" s="18" t="inlineStr">
        <is>
          <t>0704_goomy.json::goomy-hisui-10::010</t>
        </is>
      </c>
      <c r="B2364" s="19" t="inlineStr">
        <is>
          <t>사용</t>
        </is>
      </c>
      <c r="C2364" s="18">
        <f>IF(OR(B2364&lt;&gt;AK2364,M2364&lt;&gt;L2364,O2364&lt;&gt;"",Q2364&lt;&gt;"",V2364&lt;&gt;1,Y2364&lt;&gt;"",AT2364&lt;&gt;""),"수정","원본")</f>
        <v/>
      </c>
      <c r="D2364" s="18" t="n">
        <v>704</v>
      </c>
      <c r="E2364" s="18" t="inlineStr">
        <is>
          <t>미끄메라</t>
        </is>
      </c>
      <c r="F2364" s="18" t="inlineStr">
        <is>
          <t>goomy</t>
        </is>
      </c>
      <c r="G2364" s="18" t="inlineStr">
        <is>
          <t>goomy region_bias=hisui</t>
        </is>
      </c>
      <c r="H2364" s="18" t="inlineStr">
        <is>
          <t>region_bias=hisui</t>
        </is>
      </c>
      <c r="I2364" s="18" t="n">
        <v>6</v>
      </c>
      <c r="J2364" s="18" t="n">
        <v>8</v>
      </c>
      <c r="K2364" s="18" t="n">
        <v>8</v>
      </c>
      <c r="L2364" s="18" t="inlineStr">
        <is>
          <t>cobbleventure:generation_8</t>
        </is>
      </c>
      <c r="M2364" s="19" t="inlineStr">
        <is>
          <t>cobbleventure:generation_8</t>
        </is>
      </c>
      <c r="N2364" s="18" t="inlineStr"/>
      <c r="O2364" s="19" t="inlineStr"/>
      <c r="P2364" s="18" t="inlineStr">
        <is>
          <t>#cobblemon:is_dripstone; #cobblemon:is_lush</t>
        </is>
      </c>
      <c r="Q2364" s="19" t="inlineStr"/>
      <c r="R2364" s="18">
        <f>IF(Q2364="",P2364,Q2364)</f>
        <v/>
      </c>
      <c r="S2364" s="18" t="inlineStr"/>
      <c r="T2364" s="18" t="inlineStr">
        <is>
          <t>rare</t>
        </is>
      </c>
      <c r="U2364" s="20" t="n">
        <v>7.5</v>
      </c>
      <c r="V2364" s="21" t="n">
        <v>1</v>
      </c>
      <c r="W2364" s="20">
        <f>IF(OR(U2364="",V2364=""),U2364,U2364*V2364)</f>
        <v/>
      </c>
      <c r="X2364" s="18" t="inlineStr">
        <is>
          <t>5-30</t>
        </is>
      </c>
      <c r="Y2364" s="19" t="inlineStr"/>
      <c r="Z2364" s="18">
        <f>IF(Y2364="",X2364,Y2364)</f>
        <v/>
      </c>
      <c r="AA2364" s="18" t="inlineStr">
        <is>
          <t>fishing</t>
        </is>
      </c>
      <c r="AB2364" s="18" t="inlineStr"/>
      <c r="AC2364" s="18" t="inlineStr"/>
      <c r="AD2364" s="18" t="inlineStr"/>
      <c r="AE2364" s="18" t="inlineStr">
        <is>
          <t>sky 0-7</t>
        </is>
      </c>
      <c r="AF2364" s="18" t="inlineStr"/>
      <c r="AG2364" s="18" t="inlineStr"/>
      <c r="AH2364" s="18" t="inlineStr"/>
      <c r="AI2364" s="18" t="inlineStr"/>
      <c r="AJ2364" s="18" t="inlineStr">
        <is>
          <t>Cobblemon 동일</t>
        </is>
      </c>
      <c r="AK2364" s="18" t="inlineStr">
        <is>
          <t>사용</t>
        </is>
      </c>
      <c r="AL2364" s="18" t="inlineStr">
        <is>
          <t>COBBLEVERSE 1.7.42 / DP v31</t>
        </is>
      </c>
      <c r="AM2364" s="18" t="inlineStr">
        <is>
          <t>data/cobblemon/spawn_pool_world/0704_goomy.json</t>
        </is>
      </c>
      <c r="AN2364" s="18" t="inlineStr">
        <is>
          <t>goomy-hisui-10</t>
        </is>
      </c>
      <c r="AO2364" s="18" t="inlineStr">
        <is>
          <t>pokemon</t>
        </is>
      </c>
      <c r="AP2364" s="18" t="inlineStr">
        <is>
          <t>natural</t>
        </is>
      </c>
      <c r="AQ2364" s="18" t="inlineStr">
        <is>
          <t>{"biomes":["#cobblemon:is_dripstone","#cobblemon:is_lush"],"maxSkyLight":7,"minSkyLight":0}</t>
        </is>
      </c>
      <c r="AR2364" s="18" t="inlineStr">
        <is>
          <t>{"minLureLevel":2}</t>
        </is>
      </c>
      <c r="AS2364" s="18" t="inlineStr"/>
      <c r="AT2364" s="19" t="inlineStr"/>
    </row>
    <row r="2365" ht="32" customHeight="1">
      <c r="A2365" s="18" t="inlineStr">
        <is>
          <t>0704_goomy.json::goomy-hisui-11::011</t>
        </is>
      </c>
      <c r="B2365" s="19" t="inlineStr">
        <is>
          <t>사용</t>
        </is>
      </c>
      <c r="C2365" s="18">
        <f>IF(OR(B2365&lt;&gt;AK2365,M2365&lt;&gt;L2365,O2365&lt;&gt;"",Q2365&lt;&gt;"",V2365&lt;&gt;1,Y2365&lt;&gt;"",AT2365&lt;&gt;""),"수정","원본")</f>
        <v/>
      </c>
      <c r="D2365" s="18" t="n">
        <v>704</v>
      </c>
      <c r="E2365" s="18" t="inlineStr">
        <is>
          <t>미끄메라</t>
        </is>
      </c>
      <c r="F2365" s="18" t="inlineStr">
        <is>
          <t>goomy</t>
        </is>
      </c>
      <c r="G2365" s="18" t="inlineStr">
        <is>
          <t>goomy region_bias=hisui</t>
        </is>
      </c>
      <c r="H2365" s="18" t="inlineStr">
        <is>
          <t>region_bias=hisui</t>
        </is>
      </c>
      <c r="I2365" s="18" t="n">
        <v>6</v>
      </c>
      <c r="J2365" s="18" t="n">
        <v>8</v>
      </c>
      <c r="K2365" s="18" t="n">
        <v>8</v>
      </c>
      <c r="L2365" s="18" t="inlineStr">
        <is>
          <t>cobbleventure:generation_8</t>
        </is>
      </c>
      <c r="M2365" s="19" t="inlineStr">
        <is>
          <t>cobbleventure:generation_8</t>
        </is>
      </c>
      <c r="N2365" s="18" t="inlineStr"/>
      <c r="O2365" s="19" t="inlineStr"/>
      <c r="P2365" s="18" t="inlineStr">
        <is>
          <t>#cobblemon:is_dripstone; #cobblemon:is_lush</t>
        </is>
      </c>
      <c r="Q2365" s="19" t="inlineStr"/>
      <c r="R2365" s="18">
        <f>IF(Q2365="",P2365,Q2365)</f>
        <v/>
      </c>
      <c r="S2365" s="18" t="inlineStr"/>
      <c r="T2365" s="18" t="inlineStr">
        <is>
          <t>common</t>
        </is>
      </c>
      <c r="U2365" s="20" t="n">
        <v>1.8</v>
      </c>
      <c r="V2365" s="21" t="n">
        <v>1</v>
      </c>
      <c r="W2365" s="20">
        <f>IF(OR(U2365="",V2365=""),U2365,U2365*V2365)</f>
        <v/>
      </c>
      <c r="X2365" s="18" t="inlineStr">
        <is>
          <t>5-30</t>
        </is>
      </c>
      <c r="Y2365" s="19" t="inlineStr"/>
      <c r="Z2365" s="18">
        <f>IF(Y2365="",X2365,Y2365)</f>
        <v/>
      </c>
      <c r="AA2365" s="18" t="inlineStr">
        <is>
          <t>fishing</t>
        </is>
      </c>
      <c r="AB2365" s="18" t="inlineStr"/>
      <c r="AC2365" s="18" t="inlineStr"/>
      <c r="AD2365" s="18" t="inlineStr"/>
      <c r="AE2365" s="18" t="inlineStr">
        <is>
          <t>sky 0-7</t>
        </is>
      </c>
      <c r="AF2365" s="18" t="inlineStr"/>
      <c r="AG2365" s="18" t="inlineStr"/>
      <c r="AH2365" s="18" t="inlineStr"/>
      <c r="AI2365" s="18" t="inlineStr">
        <is>
          <t>{"fishing":{"minLureLevel":2}}</t>
        </is>
      </c>
      <c r="AJ2365" s="18" t="inlineStr">
        <is>
          <t>Cobblemon 동일</t>
        </is>
      </c>
      <c r="AK2365" s="18" t="inlineStr">
        <is>
          <t>사용</t>
        </is>
      </c>
      <c r="AL2365" s="18" t="inlineStr">
        <is>
          <t>COBBLEVERSE 1.7.42 / DP v31</t>
        </is>
      </c>
      <c r="AM2365" s="18" t="inlineStr">
        <is>
          <t>data/cobblemon/spawn_pool_world/0704_goomy.json</t>
        </is>
      </c>
      <c r="AN2365" s="18" t="inlineStr">
        <is>
          <t>goomy-hisui-11</t>
        </is>
      </c>
      <c r="AO2365" s="18" t="inlineStr">
        <is>
          <t>pokemon</t>
        </is>
      </c>
      <c r="AP2365" s="18" t="inlineStr">
        <is>
          <t>natural</t>
        </is>
      </c>
      <c r="AQ2365" s="18" t="inlineStr">
        <is>
          <t>{"biomes":["#cobblemon:is_dripstone","#cobblemon:is_lush"],"maxSkyLight":7,"minLureLevel":2,"minSkyLight":0}</t>
        </is>
      </c>
      <c r="AR2365" s="18" t="inlineStr"/>
      <c r="AS2365" s="18" t="inlineStr">
        <is>
          <t>{"weightMultiplier":{"condition":{"minLureLevel":3},"multiplier":3.0}}</t>
        </is>
      </c>
      <c r="AT2365" s="19" t="inlineStr"/>
    </row>
    <row r="2366" ht="32" customHeight="1">
      <c r="A2366" s="18" t="inlineStr">
        <is>
          <t>0704_goomy.json::goomy-hisui-12::012</t>
        </is>
      </c>
      <c r="B2366" s="19" t="inlineStr">
        <is>
          <t>사용</t>
        </is>
      </c>
      <c r="C2366" s="18">
        <f>IF(OR(B2366&lt;&gt;AK2366,M2366&lt;&gt;L2366,O2366&lt;&gt;"",Q2366&lt;&gt;"",V2366&lt;&gt;1,Y2366&lt;&gt;"",AT2366&lt;&gt;""),"수정","원본")</f>
        <v/>
      </c>
      <c r="D2366" s="18" t="n">
        <v>704</v>
      </c>
      <c r="E2366" s="18" t="inlineStr">
        <is>
          <t>미끄메라</t>
        </is>
      </c>
      <c r="F2366" s="18" t="inlineStr">
        <is>
          <t>goomy</t>
        </is>
      </c>
      <c r="G2366" s="18" t="inlineStr">
        <is>
          <t>goomy region_bias=hisui</t>
        </is>
      </c>
      <c r="H2366" s="18" t="inlineStr">
        <is>
          <t>region_bias=hisui</t>
        </is>
      </c>
      <c r="I2366" s="18" t="n">
        <v>6</v>
      </c>
      <c r="J2366" s="18" t="n">
        <v>8</v>
      </c>
      <c r="K2366" s="18" t="n">
        <v>8</v>
      </c>
      <c r="L2366" s="18" t="inlineStr">
        <is>
          <t>cobbleventure:generation_8</t>
        </is>
      </c>
      <c r="M2366" s="19" t="inlineStr">
        <is>
          <t>cobbleventure:generation_8</t>
        </is>
      </c>
      <c r="N2366" s="18" t="inlineStr">
        <is>
          <t>region_01; region_02</t>
        </is>
      </c>
      <c r="O2366" s="19" t="inlineStr"/>
      <c r="P2366" s="18" t="inlineStr">
        <is>
          <t>#cobblemon:is_overworld</t>
        </is>
      </c>
      <c r="Q2366" s="19" t="inlineStr"/>
      <c r="R2366" s="18">
        <f>IF(Q2366="",P2366,Q2366)</f>
        <v/>
      </c>
      <c r="S2366" s="18" t="inlineStr">
        <is>
          <t>#cobblemon:is_dripstone; #cobblemon:is_lush</t>
        </is>
      </c>
      <c r="T2366" s="18" t="inlineStr">
        <is>
          <t>ultra-rare</t>
        </is>
      </c>
      <c r="U2366" s="20" t="n">
        <v>6</v>
      </c>
      <c r="V2366" s="21" t="n">
        <v>1</v>
      </c>
      <c r="W2366" s="20">
        <f>IF(OR(U2366="",V2366=""),U2366,U2366*V2366)</f>
        <v/>
      </c>
      <c r="X2366" s="18" t="inlineStr">
        <is>
          <t>5-30</t>
        </is>
      </c>
      <c r="Y2366" s="19" t="inlineStr"/>
      <c r="Z2366" s="18">
        <f>IF(Y2366="",X2366,Y2366)</f>
        <v/>
      </c>
      <c r="AA2366" s="18" t="inlineStr">
        <is>
          <t>fishing</t>
        </is>
      </c>
      <c r="AB2366" s="18" t="inlineStr"/>
      <c r="AC2366" s="18" t="inlineStr"/>
      <c r="AD2366" s="18" t="inlineStr"/>
      <c r="AE2366" s="18" t="inlineStr">
        <is>
          <t>sky 0-7</t>
        </is>
      </c>
      <c r="AF2366" s="18" t="inlineStr"/>
      <c r="AG2366" s="18" t="inlineStr"/>
      <c r="AH2366" s="18" t="inlineStr"/>
      <c r="AI2366" s="18" t="inlineStr"/>
      <c r="AJ2366" s="18" t="inlineStr">
        <is>
          <t>Cobblemon 동일</t>
        </is>
      </c>
      <c r="AK2366" s="18" t="inlineStr">
        <is>
          <t>사용</t>
        </is>
      </c>
      <c r="AL2366" s="18" t="inlineStr">
        <is>
          <t>COBBLEVERSE 1.7.42 / DP v31</t>
        </is>
      </c>
      <c r="AM2366" s="18" t="inlineStr">
        <is>
          <t>data/cobblemon/spawn_pool_world/0704_goomy.json</t>
        </is>
      </c>
      <c r="AN2366" s="18" t="inlineStr">
        <is>
          <t>goomy-hisui-12</t>
        </is>
      </c>
      <c r="AO2366" s="18" t="inlineStr">
        <is>
          <t>pokemon</t>
        </is>
      </c>
      <c r="AP2366" s="18" t="inlineStr">
        <is>
          <t>natural</t>
        </is>
      </c>
      <c r="AQ2366" s="18" t="inlineStr">
        <is>
          <t>{"biomes":["#cobblemon:is_overworld"],"maxSkyLight":7,"minSkyLight":0}</t>
        </is>
      </c>
      <c r="AR2366" s="18" t="inlineStr">
        <is>
          <t>{"biomes":["#cobblemon:is_dripstone","#cobblemon:is_lush"],"isSlimeChunk":true,"minLureLevel":2}</t>
        </is>
      </c>
      <c r="AS2366" s="18" t="inlineStr"/>
      <c r="AT2366" s="19" t="inlineStr"/>
    </row>
    <row r="2367" ht="32" customHeight="1">
      <c r="A2367" s="18" t="inlineStr">
        <is>
          <t>0704_goomy.json::goomy-hisui-13::013</t>
        </is>
      </c>
      <c r="B2367" s="19" t="inlineStr">
        <is>
          <t>사용</t>
        </is>
      </c>
      <c r="C2367" s="18">
        <f>IF(OR(B2367&lt;&gt;AK2367,M2367&lt;&gt;L2367,O2367&lt;&gt;"",Q2367&lt;&gt;"",V2367&lt;&gt;1,Y2367&lt;&gt;"",AT2367&lt;&gt;""),"수정","원본")</f>
        <v/>
      </c>
      <c r="D2367" s="18" t="n">
        <v>704</v>
      </c>
      <c r="E2367" s="18" t="inlineStr">
        <is>
          <t>미끄메라</t>
        </is>
      </c>
      <c r="F2367" s="18" t="inlineStr">
        <is>
          <t>goomy</t>
        </is>
      </c>
      <c r="G2367" s="18" t="inlineStr">
        <is>
          <t>goomy region_bias=hisui</t>
        </is>
      </c>
      <c r="H2367" s="18" t="inlineStr">
        <is>
          <t>region_bias=hisui</t>
        </is>
      </c>
      <c r="I2367" s="18" t="n">
        <v>6</v>
      </c>
      <c r="J2367" s="18" t="n">
        <v>8</v>
      </c>
      <c r="K2367" s="18" t="n">
        <v>8</v>
      </c>
      <c r="L2367" s="18" t="inlineStr">
        <is>
          <t>cobbleventure:generation_8</t>
        </is>
      </c>
      <c r="M2367" s="19" t="inlineStr">
        <is>
          <t>cobbleventure:generation_8</t>
        </is>
      </c>
      <c r="N2367" s="18" t="inlineStr">
        <is>
          <t>region_01; region_02</t>
        </is>
      </c>
      <c r="O2367" s="19" t="inlineStr"/>
      <c r="P2367" s="18" t="inlineStr">
        <is>
          <t>#cobblemon:is_overworld</t>
        </is>
      </c>
      <c r="Q2367" s="19" t="inlineStr"/>
      <c r="R2367" s="18">
        <f>IF(Q2367="",P2367,Q2367)</f>
        <v/>
      </c>
      <c r="S2367" s="18" t="inlineStr">
        <is>
          <t>#cobblemon:is_dripstone; #cobblemon:is_lush</t>
        </is>
      </c>
      <c r="T2367" s="18" t="inlineStr">
        <is>
          <t>rare</t>
        </is>
      </c>
      <c r="U2367" s="20" t="n">
        <v>7.5</v>
      </c>
      <c r="V2367" s="21" t="n">
        <v>1</v>
      </c>
      <c r="W2367" s="20">
        <f>IF(OR(U2367="",V2367=""),U2367,U2367*V2367)</f>
        <v/>
      </c>
      <c r="X2367" s="18" t="inlineStr">
        <is>
          <t>5-30</t>
        </is>
      </c>
      <c r="Y2367" s="19" t="inlineStr"/>
      <c r="Z2367" s="18">
        <f>IF(Y2367="",X2367,Y2367)</f>
        <v/>
      </c>
      <c r="AA2367" s="18" t="inlineStr">
        <is>
          <t>fishing</t>
        </is>
      </c>
      <c r="AB2367" s="18" t="inlineStr"/>
      <c r="AC2367" s="18" t="inlineStr"/>
      <c r="AD2367" s="18" t="inlineStr"/>
      <c r="AE2367" s="18" t="inlineStr">
        <is>
          <t>sky 0-7</t>
        </is>
      </c>
      <c r="AF2367" s="18" t="inlineStr"/>
      <c r="AG2367" s="18" t="inlineStr"/>
      <c r="AH2367" s="18" t="inlineStr"/>
      <c r="AI2367" s="18" t="inlineStr">
        <is>
          <t>{"fishing":{"maxLureLevel":2,"minLureLevel":2}}</t>
        </is>
      </c>
      <c r="AJ2367" s="18" t="inlineStr">
        <is>
          <t>Cobblemon 동일</t>
        </is>
      </c>
      <c r="AK2367" s="18" t="inlineStr">
        <is>
          <t>사용</t>
        </is>
      </c>
      <c r="AL2367" s="18" t="inlineStr">
        <is>
          <t>COBBLEVERSE 1.7.42 / DP v31</t>
        </is>
      </c>
      <c r="AM2367" s="18" t="inlineStr">
        <is>
          <t>data/cobblemon/spawn_pool_world/0704_goomy.json</t>
        </is>
      </c>
      <c r="AN2367" s="18" t="inlineStr">
        <is>
          <t>goomy-hisui-13</t>
        </is>
      </c>
      <c r="AO2367" s="18" t="inlineStr">
        <is>
          <t>pokemon</t>
        </is>
      </c>
      <c r="AP2367" s="18" t="inlineStr">
        <is>
          <t>natural</t>
        </is>
      </c>
      <c r="AQ2367" s="18" t="inlineStr">
        <is>
          <t>{"biomes":["#cobblemon:is_overworld"],"maxLureLevel":2,"maxSkyLight":7,"minLureLevel":2,"minSkyLight":0}</t>
        </is>
      </c>
      <c r="AR2367" s="18" t="inlineStr">
        <is>
          <t>{"biomes":["#cobblemon:is_dripstone","#cobblemon:is_lush"],"isSlimeChunk":true}</t>
        </is>
      </c>
      <c r="AS2367" s="18" t="inlineStr"/>
      <c r="AT2367" s="19" t="inlineStr"/>
    </row>
    <row r="2368" ht="32" customHeight="1">
      <c r="A2368" s="18" t="inlineStr">
        <is>
          <t>0704_goomy.json::goomy-hisui-14::014</t>
        </is>
      </c>
      <c r="B2368" s="19" t="inlineStr">
        <is>
          <t>사용</t>
        </is>
      </c>
      <c r="C2368" s="18">
        <f>IF(OR(B2368&lt;&gt;AK2368,M2368&lt;&gt;L2368,O2368&lt;&gt;"",Q2368&lt;&gt;"",V2368&lt;&gt;1,Y2368&lt;&gt;"",AT2368&lt;&gt;""),"수정","원본")</f>
        <v/>
      </c>
      <c r="D2368" s="18" t="n">
        <v>704</v>
      </c>
      <c r="E2368" s="18" t="inlineStr">
        <is>
          <t>미끄메라</t>
        </is>
      </c>
      <c r="F2368" s="18" t="inlineStr">
        <is>
          <t>goomy</t>
        </is>
      </c>
      <c r="G2368" s="18" t="inlineStr">
        <is>
          <t>goomy region_bias=hisui</t>
        </is>
      </c>
      <c r="H2368" s="18" t="inlineStr">
        <is>
          <t>region_bias=hisui</t>
        </is>
      </c>
      <c r="I2368" s="18" t="n">
        <v>6</v>
      </c>
      <c r="J2368" s="18" t="n">
        <v>8</v>
      </c>
      <c r="K2368" s="18" t="n">
        <v>8</v>
      </c>
      <c r="L2368" s="18" t="inlineStr">
        <is>
          <t>cobbleventure:generation_8</t>
        </is>
      </c>
      <c r="M2368" s="19" t="inlineStr">
        <is>
          <t>cobbleventure:generation_8</t>
        </is>
      </c>
      <c r="N2368" s="18" t="inlineStr">
        <is>
          <t>region_01; region_02</t>
        </is>
      </c>
      <c r="O2368" s="19" t="inlineStr"/>
      <c r="P2368" s="18" t="inlineStr">
        <is>
          <t>#cobblemon:is_overworld</t>
        </is>
      </c>
      <c r="Q2368" s="19" t="inlineStr"/>
      <c r="R2368" s="18">
        <f>IF(Q2368="",P2368,Q2368)</f>
        <v/>
      </c>
      <c r="S2368" s="18" t="inlineStr">
        <is>
          <t>#cobblemon:is_dripstone; #cobblemon:is_lush</t>
        </is>
      </c>
      <c r="T2368" s="18" t="inlineStr">
        <is>
          <t>common</t>
        </is>
      </c>
      <c r="U2368" s="20" t="n">
        <v>1.8</v>
      </c>
      <c r="V2368" s="21" t="n">
        <v>1</v>
      </c>
      <c r="W2368" s="20">
        <f>IF(OR(U2368="",V2368=""),U2368,U2368*V2368)</f>
        <v/>
      </c>
      <c r="X2368" s="18" t="inlineStr">
        <is>
          <t>5-30</t>
        </is>
      </c>
      <c r="Y2368" s="19" t="inlineStr"/>
      <c r="Z2368" s="18">
        <f>IF(Y2368="",X2368,Y2368)</f>
        <v/>
      </c>
      <c r="AA2368" s="18" t="inlineStr">
        <is>
          <t>fishing</t>
        </is>
      </c>
      <c r="AB2368" s="18" t="inlineStr"/>
      <c r="AC2368" s="18" t="inlineStr"/>
      <c r="AD2368" s="18" t="inlineStr"/>
      <c r="AE2368" s="18" t="inlineStr">
        <is>
          <t>sky 0-7</t>
        </is>
      </c>
      <c r="AF2368" s="18" t="inlineStr"/>
      <c r="AG2368" s="18" t="inlineStr"/>
      <c r="AH2368" s="18" t="inlineStr"/>
      <c r="AI2368" s="18" t="inlineStr">
        <is>
          <t>{"fishing":{"minLureLevel":3}}</t>
        </is>
      </c>
      <c r="AJ2368" s="18" t="inlineStr">
        <is>
          <t>Cobblemon 동일</t>
        </is>
      </c>
      <c r="AK2368" s="18" t="inlineStr">
        <is>
          <t>사용</t>
        </is>
      </c>
      <c r="AL2368" s="18" t="inlineStr">
        <is>
          <t>COBBLEVERSE 1.7.42 / DP v31</t>
        </is>
      </c>
      <c r="AM2368" s="18" t="inlineStr">
        <is>
          <t>data/cobblemon/spawn_pool_world/0704_goomy.json</t>
        </is>
      </c>
      <c r="AN2368" s="18" t="inlineStr">
        <is>
          <t>goomy-hisui-14</t>
        </is>
      </c>
      <c r="AO2368" s="18" t="inlineStr">
        <is>
          <t>pokemon</t>
        </is>
      </c>
      <c r="AP2368" s="18" t="inlineStr">
        <is>
          <t>natural</t>
        </is>
      </c>
      <c r="AQ2368" s="18" t="inlineStr">
        <is>
          <t>{"biomes":["#cobblemon:is_overworld"],"maxSkyLight":7,"minLureLevel":3,"minSkyLight":0}</t>
        </is>
      </c>
      <c r="AR2368" s="18" t="inlineStr">
        <is>
          <t>{"biomes":["#cobblemon:is_dripstone","#cobblemon:is_lush"],"isSlimeChunk":true}</t>
        </is>
      </c>
      <c r="AS2368" s="18" t="inlineStr"/>
      <c r="AT2368" s="19" t="inlineStr"/>
    </row>
    <row r="2369" ht="32" customHeight="1">
      <c r="A2369" s="18" t="inlineStr">
        <is>
          <t>0704_goomy.json::goomy-hisui-15::015</t>
        </is>
      </c>
      <c r="B2369" s="19" t="inlineStr">
        <is>
          <t>사용</t>
        </is>
      </c>
      <c r="C2369" s="18">
        <f>IF(OR(B2369&lt;&gt;AK2369,M2369&lt;&gt;L2369,O2369&lt;&gt;"",Q2369&lt;&gt;"",V2369&lt;&gt;1,Y2369&lt;&gt;"",AT2369&lt;&gt;""),"수정","원본")</f>
        <v/>
      </c>
      <c r="D2369" s="18" t="n">
        <v>704</v>
      </c>
      <c r="E2369" s="18" t="inlineStr">
        <is>
          <t>미끄메라</t>
        </is>
      </c>
      <c r="F2369" s="18" t="inlineStr">
        <is>
          <t>goomy</t>
        </is>
      </c>
      <c r="G2369" s="18" t="inlineStr">
        <is>
          <t>goomy region_bias=hisui</t>
        </is>
      </c>
      <c r="H2369" s="18" t="inlineStr">
        <is>
          <t>region_bias=hisui</t>
        </is>
      </c>
      <c r="I2369" s="18" t="n">
        <v>6</v>
      </c>
      <c r="J2369" s="18" t="n">
        <v>8</v>
      </c>
      <c r="K2369" s="18" t="n">
        <v>8</v>
      </c>
      <c r="L2369" s="18" t="inlineStr">
        <is>
          <t>cobbleventure:generation_8</t>
        </is>
      </c>
      <c r="M2369" s="19" t="inlineStr">
        <is>
          <t>cobbleventure:generation_8</t>
        </is>
      </c>
      <c r="N2369" s="18" t="inlineStr">
        <is>
          <t>region_01; region_02</t>
        </is>
      </c>
      <c r="O2369" s="19" t="inlineStr"/>
      <c r="P2369" s="18" t="inlineStr">
        <is>
          <t>#cobblemon:is_overworld</t>
        </is>
      </c>
      <c r="Q2369" s="19" t="inlineStr"/>
      <c r="R2369" s="18">
        <f>IF(Q2369="",P2369,Q2369)</f>
        <v/>
      </c>
      <c r="S2369" s="18" t="inlineStr">
        <is>
          <t>#cobblemon:is_dripstone; #cobblemon:is_lush</t>
        </is>
      </c>
      <c r="T2369" s="18" t="inlineStr">
        <is>
          <t>rare</t>
        </is>
      </c>
      <c r="U2369" s="20" t="n">
        <v>7.5</v>
      </c>
      <c r="V2369" s="21" t="n">
        <v>1</v>
      </c>
      <c r="W2369" s="20">
        <f>IF(OR(U2369="",V2369=""),U2369,U2369*V2369)</f>
        <v/>
      </c>
      <c r="X2369" s="18" t="inlineStr">
        <is>
          <t>5-30</t>
        </is>
      </c>
      <c r="Y2369" s="19" t="inlineStr"/>
      <c r="Z2369" s="18">
        <f>IF(Y2369="",X2369,Y2369)</f>
        <v/>
      </c>
      <c r="AA2369" s="18" t="inlineStr">
        <is>
          <t>fishing</t>
        </is>
      </c>
      <c r="AB2369" s="18" t="inlineStr"/>
      <c r="AC2369" s="18" t="inlineStr"/>
      <c r="AD2369" s="18" t="inlineStr"/>
      <c r="AE2369" s="18" t="inlineStr">
        <is>
          <t>sky 0-7</t>
        </is>
      </c>
      <c r="AF2369" s="18" t="inlineStr"/>
      <c r="AG2369" s="18" t="inlineStr"/>
      <c r="AH2369" s="18" t="inlineStr"/>
      <c r="AI2369" s="18" t="inlineStr">
        <is>
          <t>{"condition":{"isSlimeChunk":true}}</t>
        </is>
      </c>
      <c r="AJ2369" s="18" t="inlineStr">
        <is>
          <t>Cobblemon 동일</t>
        </is>
      </c>
      <c r="AK2369" s="18" t="inlineStr">
        <is>
          <t>사용</t>
        </is>
      </c>
      <c r="AL2369" s="18" t="inlineStr">
        <is>
          <t>COBBLEVERSE 1.7.42 / DP v31</t>
        </is>
      </c>
      <c r="AM2369" s="18" t="inlineStr">
        <is>
          <t>data/cobblemon/spawn_pool_world/0704_goomy.json</t>
        </is>
      </c>
      <c r="AN2369" s="18" t="inlineStr">
        <is>
          <t>goomy-hisui-15</t>
        </is>
      </c>
      <c r="AO2369" s="18" t="inlineStr">
        <is>
          <t>pokemon</t>
        </is>
      </c>
      <c r="AP2369" s="18" t="inlineStr">
        <is>
          <t>natural</t>
        </is>
      </c>
      <c r="AQ2369" s="18" t="inlineStr">
        <is>
          <t>{"biomes":["#cobblemon:is_overworld"],"isSlimeChunk":true,"maxSkyLight":7,"minSkyLight":0}</t>
        </is>
      </c>
      <c r="AR2369" s="18" t="inlineStr">
        <is>
          <t>{"biomes":["#cobblemon:is_dripstone","#cobblemon:is_lush"],"minLureLevel":2}</t>
        </is>
      </c>
      <c r="AS2369" s="18" t="inlineStr"/>
      <c r="AT2369" s="19" t="inlineStr"/>
    </row>
    <row r="2370" ht="32" customHeight="1">
      <c r="A2370" s="18" t="inlineStr">
        <is>
          <t>0704_goomy.json::goomy-hisui-16::016</t>
        </is>
      </c>
      <c r="B2370" s="19" t="inlineStr">
        <is>
          <t>사용</t>
        </is>
      </c>
      <c r="C2370" s="18">
        <f>IF(OR(B2370&lt;&gt;AK2370,M2370&lt;&gt;L2370,O2370&lt;&gt;"",Q2370&lt;&gt;"",V2370&lt;&gt;1,Y2370&lt;&gt;"",AT2370&lt;&gt;""),"수정","원본")</f>
        <v/>
      </c>
      <c r="D2370" s="18" t="n">
        <v>704</v>
      </c>
      <c r="E2370" s="18" t="inlineStr">
        <is>
          <t>미끄메라</t>
        </is>
      </c>
      <c r="F2370" s="18" t="inlineStr">
        <is>
          <t>goomy</t>
        </is>
      </c>
      <c r="G2370" s="18" t="inlineStr">
        <is>
          <t>goomy region_bias=hisui</t>
        </is>
      </c>
      <c r="H2370" s="18" t="inlineStr">
        <is>
          <t>region_bias=hisui</t>
        </is>
      </c>
      <c r="I2370" s="18" t="n">
        <v>6</v>
      </c>
      <c r="J2370" s="18" t="n">
        <v>8</v>
      </c>
      <c r="K2370" s="18" t="n">
        <v>8</v>
      </c>
      <c r="L2370" s="18" t="inlineStr">
        <is>
          <t>cobbleventure:generation_8</t>
        </is>
      </c>
      <c r="M2370" s="19" t="inlineStr">
        <is>
          <t>cobbleventure:generation_8</t>
        </is>
      </c>
      <c r="N2370" s="18" t="inlineStr">
        <is>
          <t>region_01; region_02</t>
        </is>
      </c>
      <c r="O2370" s="19" t="inlineStr"/>
      <c r="P2370" s="18" t="inlineStr">
        <is>
          <t>#cobblemon:is_overworld</t>
        </is>
      </c>
      <c r="Q2370" s="19" t="inlineStr"/>
      <c r="R2370" s="18">
        <f>IF(Q2370="",P2370,Q2370)</f>
        <v/>
      </c>
      <c r="S2370" s="18" t="inlineStr">
        <is>
          <t>#cobblemon:is_dripstone; #cobblemon:is_lush</t>
        </is>
      </c>
      <c r="T2370" s="18" t="inlineStr">
        <is>
          <t>common</t>
        </is>
      </c>
      <c r="U2370" s="20" t="n">
        <v>1.8</v>
      </c>
      <c r="V2370" s="21" t="n">
        <v>1</v>
      </c>
      <c r="W2370" s="20">
        <f>IF(OR(U2370="",V2370=""),U2370,U2370*V2370)</f>
        <v/>
      </c>
      <c r="X2370" s="18" t="inlineStr">
        <is>
          <t>5-30</t>
        </is>
      </c>
      <c r="Y2370" s="19" t="inlineStr"/>
      <c r="Z2370" s="18">
        <f>IF(Y2370="",X2370,Y2370)</f>
        <v/>
      </c>
      <c r="AA2370" s="18" t="inlineStr">
        <is>
          <t>fishing</t>
        </is>
      </c>
      <c r="AB2370" s="18" t="inlineStr"/>
      <c r="AC2370" s="18" t="inlineStr"/>
      <c r="AD2370" s="18" t="inlineStr"/>
      <c r="AE2370" s="18" t="inlineStr">
        <is>
          <t>sky 0-7</t>
        </is>
      </c>
      <c r="AF2370" s="18" t="inlineStr"/>
      <c r="AG2370" s="18" t="inlineStr"/>
      <c r="AH2370" s="18" t="inlineStr"/>
      <c r="AI2370" s="18" t="inlineStr">
        <is>
          <t>{"condition":{"isSlimeChunk":true},"fishing":{"minLureLevel":2}}</t>
        </is>
      </c>
      <c r="AJ2370" s="18" t="inlineStr">
        <is>
          <t>Cobblemon 동일</t>
        </is>
      </c>
      <c r="AK2370" s="18" t="inlineStr">
        <is>
          <t>사용</t>
        </is>
      </c>
      <c r="AL2370" s="18" t="inlineStr">
        <is>
          <t>COBBLEVERSE 1.7.42 / DP v31</t>
        </is>
      </c>
      <c r="AM2370" s="18" t="inlineStr">
        <is>
          <t>data/cobblemon/spawn_pool_world/0704_goomy.json</t>
        </is>
      </c>
      <c r="AN2370" s="18" t="inlineStr">
        <is>
          <t>goomy-hisui-16</t>
        </is>
      </c>
      <c r="AO2370" s="18" t="inlineStr">
        <is>
          <t>pokemon</t>
        </is>
      </c>
      <c r="AP2370" s="18" t="inlineStr">
        <is>
          <t>natural</t>
        </is>
      </c>
      <c r="AQ2370" s="18" t="inlineStr">
        <is>
          <t>{"biomes":["#cobblemon:is_overworld"],"isSlimeChunk":true,"maxSkyLight":7,"minLureLevel":2,"minSkyLight":0}</t>
        </is>
      </c>
      <c r="AR2370" s="18" t="inlineStr">
        <is>
          <t>{"biomes":["#cobblemon:is_dripstone","#cobblemon:is_lush"]}</t>
        </is>
      </c>
      <c r="AS2370" s="18" t="inlineStr">
        <is>
          <t>{"weightMultiplier":{"condition":{"minLureLevel":3},"multiplier":3.0}}</t>
        </is>
      </c>
      <c r="AT2370" s="19" t="inlineStr"/>
    </row>
    <row r="2371" ht="32" customHeight="1">
      <c r="A2371" s="18" t="inlineStr">
        <is>
          <t>0705_sliggoo.json::sliggoo-1::001</t>
        </is>
      </c>
      <c r="B2371" s="19" t="inlineStr">
        <is>
          <t>사용</t>
        </is>
      </c>
      <c r="C2371" s="18">
        <f>IF(OR(B2371&lt;&gt;AK2371,M2371&lt;&gt;L2371,O2371&lt;&gt;"",Q2371&lt;&gt;"",V2371&lt;&gt;1,Y2371&lt;&gt;"",AT2371&lt;&gt;""),"수정","원본")</f>
        <v/>
      </c>
      <c r="D2371" s="18" t="n">
        <v>705</v>
      </c>
      <c r="E2371" s="18" t="inlineStr">
        <is>
          <t>미끄네일</t>
        </is>
      </c>
      <c r="F2371" s="18" t="inlineStr">
        <is>
          <t>sliggoo</t>
        </is>
      </c>
      <c r="G2371" s="18" t="inlineStr">
        <is>
          <t>sliggoo</t>
        </is>
      </c>
      <c r="H2371" s="18" t="inlineStr"/>
      <c r="I2371" s="18" t="n">
        <v>6</v>
      </c>
      <c r="J2371" s="18" t="n"/>
      <c r="K2371" s="18" t="n">
        <v>6</v>
      </c>
      <c r="L2371" s="18" t="inlineStr">
        <is>
          <t>cobbleventure:generation_6</t>
        </is>
      </c>
      <c r="M2371" s="19" t="inlineStr">
        <is>
          <t>cobbleventure:generation_6</t>
        </is>
      </c>
      <c r="N2371" s="18" t="inlineStr">
        <is>
          <t>region_02</t>
        </is>
      </c>
      <c r="O2371" s="19" t="inlineStr"/>
      <c r="P2371" s="18" t="inlineStr">
        <is>
          <t>#cobblemon:is_swamp</t>
        </is>
      </c>
      <c r="Q2371" s="19" t="inlineStr"/>
      <c r="R2371" s="18">
        <f>IF(Q2371="",P2371,Q2371)</f>
        <v/>
      </c>
      <c r="S2371" s="18" t="inlineStr"/>
      <c r="T2371" s="18" t="inlineStr">
        <is>
          <t>rare</t>
        </is>
      </c>
      <c r="U2371" s="20" t="n">
        <v>2.25</v>
      </c>
      <c r="V2371" s="21" t="n">
        <v>1</v>
      </c>
      <c r="W2371" s="20">
        <f>IF(OR(U2371="",V2371=""),U2371,U2371*V2371)</f>
        <v/>
      </c>
      <c r="X2371" s="18" t="inlineStr">
        <is>
          <t>40-45</t>
        </is>
      </c>
      <c r="Y2371" s="19" t="inlineStr"/>
      <c r="Z2371" s="18">
        <f>IF(Y2371="",X2371,Y2371)</f>
        <v/>
      </c>
      <c r="AA2371" s="18" t="inlineStr">
        <is>
          <t>grounded</t>
        </is>
      </c>
      <c r="AB2371" s="18" t="inlineStr"/>
      <c r="AC2371" s="18" t="inlineStr">
        <is>
          <t>비=True</t>
        </is>
      </c>
      <c r="AD2371" s="18" t="inlineStr"/>
      <c r="AE2371" s="18" t="inlineStr">
        <is>
          <t>sky 8-15</t>
        </is>
      </c>
      <c r="AF2371" s="18" t="inlineStr"/>
      <c r="AG2371" s="18" t="inlineStr"/>
      <c r="AH2371" s="18" t="inlineStr"/>
      <c r="AI2371" s="18" t="inlineStr"/>
      <c r="AJ2371" s="18" t="inlineStr">
        <is>
          <t>Cobblemon 동일</t>
        </is>
      </c>
      <c r="AK2371" s="18" t="inlineStr">
        <is>
          <t>사용</t>
        </is>
      </c>
      <c r="AL2371" s="18" t="inlineStr">
        <is>
          <t>COBBLEVERSE 1.7.42 / DP v31</t>
        </is>
      </c>
      <c r="AM2371" s="18" t="inlineStr">
        <is>
          <t>data/cobblemon/spawn_pool_world/0705_sliggoo.json</t>
        </is>
      </c>
      <c r="AN2371" s="18" t="inlineStr">
        <is>
          <t>sliggoo-1</t>
        </is>
      </c>
      <c r="AO2371" s="18" t="inlineStr">
        <is>
          <t>pokemon</t>
        </is>
      </c>
      <c r="AP2371" s="18" t="inlineStr">
        <is>
          <t>natural; wild</t>
        </is>
      </c>
      <c r="AQ2371" s="18" t="inlineStr">
        <is>
          <t>{"biomes":["#cobblemon:is_swamp"],"isRaining":true,"maxSkyLight":15,"minSkyLight":8}</t>
        </is>
      </c>
      <c r="AR2371" s="18" t="inlineStr"/>
      <c r="AS2371" s="18" t="inlineStr"/>
      <c r="AT2371" s="19" t="inlineStr"/>
    </row>
    <row r="2372" ht="32" customHeight="1">
      <c r="A2372" s="18" t="inlineStr">
        <is>
          <t>0705_sliggoo.json::sliggoo-2::002</t>
        </is>
      </c>
      <c r="B2372" s="19" t="inlineStr">
        <is>
          <t>사용</t>
        </is>
      </c>
      <c r="C2372" s="18">
        <f>IF(OR(B2372&lt;&gt;AK2372,M2372&lt;&gt;L2372,O2372&lt;&gt;"",Q2372&lt;&gt;"",V2372&lt;&gt;1,Y2372&lt;&gt;"",AT2372&lt;&gt;""),"수정","원본")</f>
        <v/>
      </c>
      <c r="D2372" s="18" t="n">
        <v>705</v>
      </c>
      <c r="E2372" s="18" t="inlineStr">
        <is>
          <t>미끄네일</t>
        </is>
      </c>
      <c r="F2372" s="18" t="inlineStr">
        <is>
          <t>sliggoo</t>
        </is>
      </c>
      <c r="G2372" s="18" t="inlineStr">
        <is>
          <t>sliggoo</t>
        </is>
      </c>
      <c r="H2372" s="18" t="inlineStr"/>
      <c r="I2372" s="18" t="n">
        <v>6</v>
      </c>
      <c r="J2372" s="18" t="n"/>
      <c r="K2372" s="18" t="n">
        <v>6</v>
      </c>
      <c r="L2372" s="18" t="inlineStr">
        <is>
          <t>cobbleventure:generation_6</t>
        </is>
      </c>
      <c r="M2372" s="19" t="inlineStr">
        <is>
          <t>cobbleventure:generation_6</t>
        </is>
      </c>
      <c r="N2372" s="18" t="inlineStr">
        <is>
          <t>region_02</t>
        </is>
      </c>
      <c r="O2372" s="19" t="inlineStr"/>
      <c r="P2372" s="18" t="inlineStr">
        <is>
          <t>#cobblemon:is_swamp</t>
        </is>
      </c>
      <c r="Q2372" s="19" t="inlineStr"/>
      <c r="R2372" s="18">
        <f>IF(Q2372="",P2372,Q2372)</f>
        <v/>
      </c>
      <c r="S2372" s="18" t="inlineStr"/>
      <c r="T2372" s="18" t="inlineStr">
        <is>
          <t>ultra-rare</t>
        </is>
      </c>
      <c r="U2372" s="20" t="n">
        <v>3.6</v>
      </c>
      <c r="V2372" s="21" t="n">
        <v>1</v>
      </c>
      <c r="W2372" s="20">
        <f>IF(OR(U2372="",V2372=""),U2372,U2372*V2372)</f>
        <v/>
      </c>
      <c r="X2372" s="18" t="inlineStr">
        <is>
          <t>40-45</t>
        </is>
      </c>
      <c r="Y2372" s="19" t="inlineStr"/>
      <c r="Z2372" s="18">
        <f>IF(Y2372="",X2372,Y2372)</f>
        <v/>
      </c>
      <c r="AA2372" s="18" t="inlineStr">
        <is>
          <t>grounded</t>
        </is>
      </c>
      <c r="AB2372" s="18" t="inlineStr"/>
      <c r="AC2372" s="18" t="inlineStr">
        <is>
          <t>비=False</t>
        </is>
      </c>
      <c r="AD2372" s="18" t="inlineStr"/>
      <c r="AE2372" s="18" t="inlineStr">
        <is>
          <t>sky 8-15</t>
        </is>
      </c>
      <c r="AF2372" s="18" t="inlineStr"/>
      <c r="AG2372" s="18" t="inlineStr"/>
      <c r="AH2372" s="18" t="inlineStr"/>
      <c r="AI2372" s="18" t="inlineStr"/>
      <c r="AJ2372" s="18" t="inlineStr">
        <is>
          <t>Cobblemon 동일</t>
        </is>
      </c>
      <c r="AK2372" s="18" t="inlineStr">
        <is>
          <t>사용</t>
        </is>
      </c>
      <c r="AL2372" s="18" t="inlineStr">
        <is>
          <t>COBBLEVERSE 1.7.42 / DP v31</t>
        </is>
      </c>
      <c r="AM2372" s="18" t="inlineStr">
        <is>
          <t>data/cobblemon/spawn_pool_world/0705_sliggoo.json</t>
        </is>
      </c>
      <c r="AN2372" s="18" t="inlineStr">
        <is>
          <t>sliggoo-2</t>
        </is>
      </c>
      <c r="AO2372" s="18" t="inlineStr">
        <is>
          <t>pokemon</t>
        </is>
      </c>
      <c r="AP2372" s="18" t="inlineStr">
        <is>
          <t>natural; wild</t>
        </is>
      </c>
      <c r="AQ2372" s="18" t="inlineStr">
        <is>
          <t>{"biomes":["#cobblemon:is_swamp"],"isRaining":false,"maxSkyLight":15,"minSkyLight":8}</t>
        </is>
      </c>
      <c r="AR2372" s="18" t="inlineStr">
        <is>
          <t>{"isSlimeChunk":true}</t>
        </is>
      </c>
      <c r="AS2372" s="18" t="inlineStr"/>
      <c r="AT2372" s="19" t="inlineStr"/>
    </row>
    <row r="2373" ht="32" customHeight="1">
      <c r="A2373" s="18" t="inlineStr">
        <is>
          <t>0705_sliggoo.json::sliggoo-3::003</t>
        </is>
      </c>
      <c r="B2373" s="19" t="inlineStr">
        <is>
          <t>사용</t>
        </is>
      </c>
      <c r="C2373" s="18">
        <f>IF(OR(B2373&lt;&gt;AK2373,M2373&lt;&gt;L2373,O2373&lt;&gt;"",Q2373&lt;&gt;"",V2373&lt;&gt;1,Y2373&lt;&gt;"",AT2373&lt;&gt;""),"수정","원본")</f>
        <v/>
      </c>
      <c r="D2373" s="18" t="n">
        <v>705</v>
      </c>
      <c r="E2373" s="18" t="inlineStr">
        <is>
          <t>미끄네일</t>
        </is>
      </c>
      <c r="F2373" s="18" t="inlineStr">
        <is>
          <t>sliggoo</t>
        </is>
      </c>
      <c r="G2373" s="18" t="inlineStr">
        <is>
          <t>sliggoo</t>
        </is>
      </c>
      <c r="H2373" s="18" t="inlineStr"/>
      <c r="I2373" s="18" t="n">
        <v>6</v>
      </c>
      <c r="J2373" s="18" t="n"/>
      <c r="K2373" s="18" t="n">
        <v>6</v>
      </c>
      <c r="L2373" s="18" t="inlineStr">
        <is>
          <t>cobbleventure:generation_6</t>
        </is>
      </c>
      <c r="M2373" s="19" t="inlineStr">
        <is>
          <t>cobbleventure:generation_6</t>
        </is>
      </c>
      <c r="N2373" s="18" t="inlineStr">
        <is>
          <t>region_02</t>
        </is>
      </c>
      <c r="O2373" s="19" t="inlineStr"/>
      <c r="P2373" s="18" t="inlineStr">
        <is>
          <t>#cobblemon:is_swamp</t>
        </is>
      </c>
      <c r="Q2373" s="19" t="inlineStr"/>
      <c r="R2373" s="18">
        <f>IF(Q2373="",P2373,Q2373)</f>
        <v/>
      </c>
      <c r="S2373" s="18" t="inlineStr"/>
      <c r="T2373" s="18" t="inlineStr">
        <is>
          <t>rare</t>
        </is>
      </c>
      <c r="U2373" s="20" t="n">
        <v>2.25</v>
      </c>
      <c r="V2373" s="21" t="n">
        <v>1</v>
      </c>
      <c r="W2373" s="20">
        <f>IF(OR(U2373="",V2373=""),U2373,U2373*V2373)</f>
        <v/>
      </c>
      <c r="X2373" s="18" t="inlineStr">
        <is>
          <t>40-45</t>
        </is>
      </c>
      <c r="Y2373" s="19" t="inlineStr"/>
      <c r="Z2373" s="18">
        <f>IF(Y2373="",X2373,Y2373)</f>
        <v/>
      </c>
      <c r="AA2373" s="18" t="inlineStr">
        <is>
          <t>grounded</t>
        </is>
      </c>
      <c r="AB2373" s="18" t="inlineStr"/>
      <c r="AC2373" s="18" t="inlineStr">
        <is>
          <t>비=False</t>
        </is>
      </c>
      <c r="AD2373" s="18" t="inlineStr"/>
      <c r="AE2373" s="18" t="inlineStr">
        <is>
          <t>sky 8-15</t>
        </is>
      </c>
      <c r="AF2373" s="18" t="inlineStr"/>
      <c r="AG2373" s="18" t="inlineStr"/>
      <c r="AH2373" s="18" t="inlineStr"/>
      <c r="AI2373" s="18" t="inlineStr">
        <is>
          <t>{"condition":{"isSlimeChunk":true}}</t>
        </is>
      </c>
      <c r="AJ2373" s="18" t="inlineStr">
        <is>
          <t>Cobblemon 동일</t>
        </is>
      </c>
      <c r="AK2373" s="18" t="inlineStr">
        <is>
          <t>사용</t>
        </is>
      </c>
      <c r="AL2373" s="18" t="inlineStr">
        <is>
          <t>COBBLEVERSE 1.7.42 / DP v31</t>
        </is>
      </c>
      <c r="AM2373" s="18" t="inlineStr">
        <is>
          <t>data/cobblemon/spawn_pool_world/0705_sliggoo.json</t>
        </is>
      </c>
      <c r="AN2373" s="18" t="inlineStr">
        <is>
          <t>sliggoo-3</t>
        </is>
      </c>
      <c r="AO2373" s="18" t="inlineStr">
        <is>
          <t>pokemon</t>
        </is>
      </c>
      <c r="AP2373" s="18" t="inlineStr">
        <is>
          <t>natural; wild</t>
        </is>
      </c>
      <c r="AQ2373" s="18" t="inlineStr">
        <is>
          <t>{"biomes":["#cobblemon:is_swamp"],"isRaining":false,"isSlimeChunk":true,"maxSkyLight":15,"minSkyLight":8}</t>
        </is>
      </c>
      <c r="AR2373" s="18" t="inlineStr"/>
      <c r="AS2373" s="18" t="inlineStr"/>
      <c r="AT2373" s="19" t="inlineStr"/>
    </row>
    <row r="2374" ht="32" customHeight="1">
      <c r="A2374" s="18" t="inlineStr">
        <is>
          <t>0705_sliggoo.json::sliggoo-4::004</t>
        </is>
      </c>
      <c r="B2374" s="19" t="inlineStr">
        <is>
          <t>사용</t>
        </is>
      </c>
      <c r="C2374" s="18">
        <f>IF(OR(B2374&lt;&gt;AK2374,M2374&lt;&gt;L2374,O2374&lt;&gt;"",Q2374&lt;&gt;"",V2374&lt;&gt;1,Y2374&lt;&gt;"",AT2374&lt;&gt;""),"수정","원본")</f>
        <v/>
      </c>
      <c r="D2374" s="18" t="n">
        <v>705</v>
      </c>
      <c r="E2374" s="18" t="inlineStr">
        <is>
          <t>미끄네일</t>
        </is>
      </c>
      <c r="F2374" s="18" t="inlineStr">
        <is>
          <t>sliggoo</t>
        </is>
      </c>
      <c r="G2374" s="18" t="inlineStr">
        <is>
          <t>sliggoo</t>
        </is>
      </c>
      <c r="H2374" s="18" t="inlineStr"/>
      <c r="I2374" s="18" t="n">
        <v>6</v>
      </c>
      <c r="J2374" s="18" t="n"/>
      <c r="K2374" s="18" t="n">
        <v>6</v>
      </c>
      <c r="L2374" s="18" t="inlineStr">
        <is>
          <t>cobbleventure:generation_6</t>
        </is>
      </c>
      <c r="M2374" s="19" t="inlineStr">
        <is>
          <t>cobbleventure:generation_6</t>
        </is>
      </c>
      <c r="N2374" s="18" t="inlineStr">
        <is>
          <t>region_02</t>
        </is>
      </c>
      <c r="O2374" s="19" t="inlineStr"/>
      <c r="P2374" s="18" t="inlineStr">
        <is>
          <t>#cobblemon:is_swamp</t>
        </is>
      </c>
      <c r="Q2374" s="19" t="inlineStr"/>
      <c r="R2374" s="18">
        <f>IF(Q2374="",P2374,Q2374)</f>
        <v/>
      </c>
      <c r="S2374" s="18" t="inlineStr"/>
      <c r="T2374" s="18" t="inlineStr">
        <is>
          <t>ultra-rare</t>
        </is>
      </c>
      <c r="U2374" s="20" t="n">
        <v>3.6</v>
      </c>
      <c r="V2374" s="21" t="n">
        <v>1</v>
      </c>
      <c r="W2374" s="20">
        <f>IF(OR(U2374="",V2374=""),U2374,U2374*V2374)</f>
        <v/>
      </c>
      <c r="X2374" s="18" t="inlineStr">
        <is>
          <t>40-45</t>
        </is>
      </c>
      <c r="Y2374" s="19" t="inlineStr"/>
      <c r="Z2374" s="18">
        <f>IF(Y2374="",X2374,Y2374)</f>
        <v/>
      </c>
      <c r="AA2374" s="18" t="inlineStr">
        <is>
          <t>fishing</t>
        </is>
      </c>
      <c r="AB2374" s="18" t="inlineStr"/>
      <c r="AC2374" s="18" t="inlineStr"/>
      <c r="AD2374" s="18" t="inlineStr"/>
      <c r="AE2374" s="18" t="inlineStr">
        <is>
          <t>sky 8-15</t>
        </is>
      </c>
      <c r="AF2374" s="18" t="inlineStr"/>
      <c r="AG2374" s="18" t="inlineStr"/>
      <c r="AH2374" s="18" t="inlineStr"/>
      <c r="AI2374" s="18" t="inlineStr"/>
      <c r="AJ2374" s="18" t="inlineStr">
        <is>
          <t>Cobblemon 동일</t>
        </is>
      </c>
      <c r="AK2374" s="18" t="inlineStr">
        <is>
          <t>사용</t>
        </is>
      </c>
      <c r="AL2374" s="18" t="inlineStr">
        <is>
          <t>COBBLEVERSE 1.7.42 / DP v31</t>
        </is>
      </c>
      <c r="AM2374" s="18" t="inlineStr">
        <is>
          <t>data/cobblemon/spawn_pool_world/0705_sliggoo.json</t>
        </is>
      </c>
      <c r="AN2374" s="18" t="inlineStr">
        <is>
          <t>sliggoo-4</t>
        </is>
      </c>
      <c r="AO2374" s="18" t="inlineStr">
        <is>
          <t>pokemon</t>
        </is>
      </c>
      <c r="AP2374" s="18" t="inlineStr"/>
      <c r="AQ2374" s="18" t="inlineStr">
        <is>
          <t>{"biomes":["#cobblemon:is_swamp"],"maxSkyLight":15,"minSkyLight":8}</t>
        </is>
      </c>
      <c r="AR2374" s="18" t="inlineStr">
        <is>
          <t>{"isSlimeChunk":true}</t>
        </is>
      </c>
      <c r="AS2374" s="18" t="inlineStr"/>
      <c r="AT2374" s="19" t="inlineStr"/>
    </row>
    <row r="2375" ht="32" customHeight="1">
      <c r="A2375" s="18" t="inlineStr">
        <is>
          <t>0705_sliggoo.json::sliggoo-5::005</t>
        </is>
      </c>
      <c r="B2375" s="19" t="inlineStr">
        <is>
          <t>사용</t>
        </is>
      </c>
      <c r="C2375" s="18">
        <f>IF(OR(B2375&lt;&gt;AK2375,M2375&lt;&gt;L2375,O2375&lt;&gt;"",Q2375&lt;&gt;"",V2375&lt;&gt;1,Y2375&lt;&gt;"",AT2375&lt;&gt;""),"수정","원본")</f>
        <v/>
      </c>
      <c r="D2375" s="18" t="n">
        <v>705</v>
      </c>
      <c r="E2375" s="18" t="inlineStr">
        <is>
          <t>미끄네일</t>
        </is>
      </c>
      <c r="F2375" s="18" t="inlineStr">
        <is>
          <t>sliggoo</t>
        </is>
      </c>
      <c r="G2375" s="18" t="inlineStr">
        <is>
          <t>sliggoo</t>
        </is>
      </c>
      <c r="H2375" s="18" t="inlineStr"/>
      <c r="I2375" s="18" t="n">
        <v>6</v>
      </c>
      <c r="J2375" s="18" t="n"/>
      <c r="K2375" s="18" t="n">
        <v>6</v>
      </c>
      <c r="L2375" s="18" t="inlineStr">
        <is>
          <t>cobbleventure:generation_6</t>
        </is>
      </c>
      <c r="M2375" s="19" t="inlineStr">
        <is>
          <t>cobbleventure:generation_6</t>
        </is>
      </c>
      <c r="N2375" s="18" t="inlineStr">
        <is>
          <t>region_02</t>
        </is>
      </c>
      <c r="O2375" s="19" t="inlineStr"/>
      <c r="P2375" s="18" t="inlineStr">
        <is>
          <t>#cobblemon:is_swamp</t>
        </is>
      </c>
      <c r="Q2375" s="19" t="inlineStr"/>
      <c r="R2375" s="18">
        <f>IF(Q2375="",P2375,Q2375)</f>
        <v/>
      </c>
      <c r="S2375" s="18" t="inlineStr"/>
      <c r="T2375" s="18" t="inlineStr">
        <is>
          <t>rare</t>
        </is>
      </c>
      <c r="U2375" s="20" t="n">
        <v>2.25</v>
      </c>
      <c r="V2375" s="21" t="n">
        <v>1</v>
      </c>
      <c r="W2375" s="20">
        <f>IF(OR(U2375="",V2375=""),U2375,U2375*V2375)</f>
        <v/>
      </c>
      <c r="X2375" s="18" t="inlineStr">
        <is>
          <t>40-45</t>
        </is>
      </c>
      <c r="Y2375" s="19" t="inlineStr"/>
      <c r="Z2375" s="18">
        <f>IF(Y2375="",X2375,Y2375)</f>
        <v/>
      </c>
      <c r="AA2375" s="18" t="inlineStr">
        <is>
          <t>fishing</t>
        </is>
      </c>
      <c r="AB2375" s="18" t="inlineStr"/>
      <c r="AC2375" s="18" t="inlineStr"/>
      <c r="AD2375" s="18" t="inlineStr"/>
      <c r="AE2375" s="18" t="inlineStr">
        <is>
          <t>sky 8-15</t>
        </is>
      </c>
      <c r="AF2375" s="18" t="inlineStr"/>
      <c r="AG2375" s="18" t="inlineStr"/>
      <c r="AH2375" s="18" t="inlineStr"/>
      <c r="AI2375" s="18" t="inlineStr">
        <is>
          <t>{"condition":{"isSlimeChunk":true}}</t>
        </is>
      </c>
      <c r="AJ2375" s="18" t="inlineStr">
        <is>
          <t>Cobblemon 동일</t>
        </is>
      </c>
      <c r="AK2375" s="18" t="inlineStr">
        <is>
          <t>사용</t>
        </is>
      </c>
      <c r="AL2375" s="18" t="inlineStr">
        <is>
          <t>COBBLEVERSE 1.7.42 / DP v31</t>
        </is>
      </c>
      <c r="AM2375" s="18" t="inlineStr">
        <is>
          <t>data/cobblemon/spawn_pool_world/0705_sliggoo.json</t>
        </is>
      </c>
      <c r="AN2375" s="18" t="inlineStr">
        <is>
          <t>sliggoo-5</t>
        </is>
      </c>
      <c r="AO2375" s="18" t="inlineStr">
        <is>
          <t>pokemon</t>
        </is>
      </c>
      <c r="AP2375" s="18" t="inlineStr"/>
      <c r="AQ2375" s="18" t="inlineStr">
        <is>
          <t>{"biomes":["#cobblemon:is_swamp"],"isSlimeChunk":true,"maxSkyLight":15,"minSkyLight":8}</t>
        </is>
      </c>
      <c r="AR2375" s="18" t="inlineStr"/>
      <c r="AS2375" s="18" t="inlineStr"/>
      <c r="AT2375" s="19" t="inlineStr"/>
    </row>
    <row r="2376" ht="32" customHeight="1">
      <c r="A2376" s="18" t="inlineStr">
        <is>
          <t>0705_sliggoo.json::sliggoo-6::006</t>
        </is>
      </c>
      <c r="B2376" s="19" t="inlineStr">
        <is>
          <t>사용</t>
        </is>
      </c>
      <c r="C2376" s="18">
        <f>IF(OR(B2376&lt;&gt;AK2376,M2376&lt;&gt;L2376,O2376&lt;&gt;"",Q2376&lt;&gt;"",V2376&lt;&gt;1,Y2376&lt;&gt;"",AT2376&lt;&gt;""),"수정","원본")</f>
        <v/>
      </c>
      <c r="D2376" s="18" t="n">
        <v>705</v>
      </c>
      <c r="E2376" s="18" t="inlineStr">
        <is>
          <t>미끄네일</t>
        </is>
      </c>
      <c r="F2376" s="18" t="inlineStr">
        <is>
          <t>sliggoo</t>
        </is>
      </c>
      <c r="G2376" s="18" t="inlineStr">
        <is>
          <t>sliggoo</t>
        </is>
      </c>
      <c r="H2376" s="18" t="inlineStr"/>
      <c r="I2376" s="18" t="n">
        <v>6</v>
      </c>
      <c r="J2376" s="18" t="n"/>
      <c r="K2376" s="18" t="n">
        <v>6</v>
      </c>
      <c r="L2376" s="18" t="inlineStr">
        <is>
          <t>cobbleventure:generation_6</t>
        </is>
      </c>
      <c r="M2376" s="19" t="inlineStr">
        <is>
          <t>cobbleventure:generation_6</t>
        </is>
      </c>
      <c r="N2376" s="18" t="inlineStr">
        <is>
          <t>region_01</t>
        </is>
      </c>
      <c r="O2376" s="19" t="inlineStr"/>
      <c r="P2376" s="18" t="inlineStr">
        <is>
          <t>#cobblemon:is_overworld</t>
        </is>
      </c>
      <c r="Q2376" s="19" t="inlineStr"/>
      <c r="R2376" s="18">
        <f>IF(Q2376="",P2376,Q2376)</f>
        <v/>
      </c>
      <c r="S2376" s="18" t="inlineStr">
        <is>
          <t>#cobblemon:is_arid; #cobblemon:is_coast; #cobblemon:is_ocean; #cobblemon:is_freezing; #cobblemon:is_swamp</t>
        </is>
      </c>
      <c r="T2376" s="18" t="inlineStr">
        <is>
          <t>ultra-rare</t>
        </is>
      </c>
      <c r="U2376" s="20" t="n">
        <v>3.6</v>
      </c>
      <c r="V2376" s="21" t="n">
        <v>1</v>
      </c>
      <c r="W2376" s="20">
        <f>IF(OR(U2376="",V2376=""),U2376,U2376*V2376)</f>
        <v/>
      </c>
      <c r="X2376" s="18" t="inlineStr">
        <is>
          <t>40-45</t>
        </is>
      </c>
      <c r="Y2376" s="19" t="inlineStr"/>
      <c r="Z2376" s="18">
        <f>IF(Y2376="",X2376,Y2376)</f>
        <v/>
      </c>
      <c r="AA2376" s="18" t="inlineStr">
        <is>
          <t>fishing</t>
        </is>
      </c>
      <c r="AB2376" s="18" t="inlineStr"/>
      <c r="AC2376" s="18" t="inlineStr"/>
      <c r="AD2376" s="18" t="inlineStr"/>
      <c r="AE2376" s="18" t="inlineStr">
        <is>
          <t>sky 8-15</t>
        </is>
      </c>
      <c r="AF2376" s="18" t="inlineStr"/>
      <c r="AG2376" s="18" t="inlineStr"/>
      <c r="AH2376" s="18" t="inlineStr"/>
      <c r="AI2376" s="18" t="inlineStr">
        <is>
          <t>{"condition":{"isSlimeChunk":true}}</t>
        </is>
      </c>
      <c r="AJ2376" s="18" t="inlineStr">
        <is>
          <t>Cobblemon 동일</t>
        </is>
      </c>
      <c r="AK2376" s="18" t="inlineStr">
        <is>
          <t>사용</t>
        </is>
      </c>
      <c r="AL2376" s="18" t="inlineStr">
        <is>
          <t>COBBLEVERSE 1.7.42 / DP v31</t>
        </is>
      </c>
      <c r="AM2376" s="18" t="inlineStr">
        <is>
          <t>data/cobblemon/spawn_pool_world/0705_sliggoo.json</t>
        </is>
      </c>
      <c r="AN2376" s="18" t="inlineStr">
        <is>
          <t>sliggoo-6</t>
        </is>
      </c>
      <c r="AO2376" s="18" t="inlineStr">
        <is>
          <t>pokemon</t>
        </is>
      </c>
      <c r="AP2376" s="18" t="inlineStr"/>
      <c r="AQ2376" s="18" t="inlineStr">
        <is>
          <t>{"biomes":["#cobblemon:is_overworld"],"isSlimeChunk":true,"maxSkyLight":15,"minSkyLight":8}</t>
        </is>
      </c>
      <c r="AR2376" s="18" t="inlineStr">
        <is>
          <t>{"biomes":["#cobblemon:is_arid","#cobblemon:is_coast","#cobblemon:is_ocean","#cobblemon:is_freezing","#cobblemon:is_swamp"]}</t>
        </is>
      </c>
      <c r="AS2376" s="18" t="inlineStr"/>
      <c r="AT2376" s="19" t="inlineStr"/>
    </row>
    <row r="2377" ht="32" customHeight="1">
      <c r="A2377" s="18" t="inlineStr">
        <is>
          <t>0705_sliggoo.json::sliggoo-hisuian-7::007</t>
        </is>
      </c>
      <c r="B2377" s="19" t="inlineStr">
        <is>
          <t>사용</t>
        </is>
      </c>
      <c r="C2377" s="18">
        <f>IF(OR(B2377&lt;&gt;AK2377,M2377&lt;&gt;L2377,O2377&lt;&gt;"",Q2377&lt;&gt;"",V2377&lt;&gt;1,Y2377&lt;&gt;"",AT2377&lt;&gt;""),"수정","원본")</f>
        <v/>
      </c>
      <c r="D2377" s="18" t="n">
        <v>705</v>
      </c>
      <c r="E2377" s="18" t="inlineStr">
        <is>
          <t>미끄네일</t>
        </is>
      </c>
      <c r="F2377" s="18" t="inlineStr">
        <is>
          <t>sliggoo</t>
        </is>
      </c>
      <c r="G2377" s="18" t="inlineStr">
        <is>
          <t>sliggoo hisuian</t>
        </is>
      </c>
      <c r="H2377" s="18" t="inlineStr">
        <is>
          <t>hisuian</t>
        </is>
      </c>
      <c r="I2377" s="18" t="n">
        <v>6</v>
      </c>
      <c r="J2377" s="18" t="n">
        <v>8</v>
      </c>
      <c r="K2377" s="18" t="n">
        <v>8</v>
      </c>
      <c r="L2377" s="18" t="inlineStr">
        <is>
          <t>cobbleventure:generation_8</t>
        </is>
      </c>
      <c r="M2377" s="19" t="inlineStr">
        <is>
          <t>cobbleventure:generation_8</t>
        </is>
      </c>
      <c r="N2377" s="18" t="inlineStr"/>
      <c r="O2377" s="19" t="inlineStr"/>
      <c r="P2377" s="18" t="inlineStr">
        <is>
          <t>#cobblemon:is_dripstone; #cobblemon:is_lush</t>
        </is>
      </c>
      <c r="Q2377" s="19" t="inlineStr"/>
      <c r="R2377" s="18">
        <f>IF(Q2377="",P2377,Q2377)</f>
        <v/>
      </c>
      <c r="S2377" s="18" t="inlineStr"/>
      <c r="T2377" s="18" t="inlineStr">
        <is>
          <t>rare</t>
        </is>
      </c>
      <c r="U2377" s="20" t="n">
        <v>2.25</v>
      </c>
      <c r="V2377" s="21" t="n">
        <v>1</v>
      </c>
      <c r="W2377" s="20">
        <f>IF(OR(U2377="",V2377=""),U2377,U2377*V2377)</f>
        <v/>
      </c>
      <c r="X2377" s="18" t="inlineStr">
        <is>
          <t>40-45</t>
        </is>
      </c>
      <c r="Y2377" s="19" t="inlineStr"/>
      <c r="Z2377" s="18">
        <f>IF(Y2377="",X2377,Y2377)</f>
        <v/>
      </c>
      <c r="AA2377" s="18" t="inlineStr">
        <is>
          <t>grounded</t>
        </is>
      </c>
      <c r="AB2377" s="18" t="inlineStr"/>
      <c r="AC2377" s="18" t="inlineStr"/>
      <c r="AD2377" s="18" t="inlineStr"/>
      <c r="AE2377" s="18" t="inlineStr">
        <is>
          <t>sky 0-7</t>
        </is>
      </c>
      <c r="AF2377" s="18" t="inlineStr"/>
      <c r="AG2377" s="18" t="inlineStr"/>
      <c r="AH2377" s="18" t="inlineStr"/>
      <c r="AI2377" s="18" t="inlineStr"/>
      <c r="AJ2377" s="18" t="inlineStr">
        <is>
          <t>Cobblemon 동일</t>
        </is>
      </c>
      <c r="AK2377" s="18" t="inlineStr">
        <is>
          <t>사용</t>
        </is>
      </c>
      <c r="AL2377" s="18" t="inlineStr">
        <is>
          <t>COBBLEVERSE 1.7.42 / DP v31</t>
        </is>
      </c>
      <c r="AM2377" s="18" t="inlineStr">
        <is>
          <t>data/cobblemon/spawn_pool_world/0705_sliggoo.json</t>
        </is>
      </c>
      <c r="AN2377" s="18" t="inlineStr">
        <is>
          <t>sliggoo-hisuian-7</t>
        </is>
      </c>
      <c r="AO2377" s="18" t="inlineStr">
        <is>
          <t>pokemon</t>
        </is>
      </c>
      <c r="AP2377" s="18" t="inlineStr">
        <is>
          <t>natural</t>
        </is>
      </c>
      <c r="AQ2377" s="18" t="inlineStr">
        <is>
          <t>{"biomes":["#cobblemon:is_dripstone","#cobblemon:is_lush"],"maxSkyLight":7,"minSkyLight":0}</t>
        </is>
      </c>
      <c r="AR2377" s="18" t="inlineStr"/>
      <c r="AS2377" s="18" t="inlineStr"/>
      <c r="AT2377" s="19" t="inlineStr"/>
    </row>
    <row r="2378" ht="32" customHeight="1">
      <c r="A2378" s="18" t="inlineStr">
        <is>
          <t>0705_sliggoo.json::sliggoo-hisuian-8::008</t>
        </is>
      </c>
      <c r="B2378" s="19" t="inlineStr">
        <is>
          <t>사용</t>
        </is>
      </c>
      <c r="C2378" s="18">
        <f>IF(OR(B2378&lt;&gt;AK2378,M2378&lt;&gt;L2378,O2378&lt;&gt;"",Q2378&lt;&gt;"",V2378&lt;&gt;1,Y2378&lt;&gt;"",AT2378&lt;&gt;""),"수정","원본")</f>
        <v/>
      </c>
      <c r="D2378" s="18" t="n">
        <v>705</v>
      </c>
      <c r="E2378" s="18" t="inlineStr">
        <is>
          <t>미끄네일</t>
        </is>
      </c>
      <c r="F2378" s="18" t="inlineStr">
        <is>
          <t>sliggoo</t>
        </is>
      </c>
      <c r="G2378" s="18" t="inlineStr">
        <is>
          <t>sliggoo hisuian</t>
        </is>
      </c>
      <c r="H2378" s="18" t="inlineStr">
        <is>
          <t>hisuian</t>
        </is>
      </c>
      <c r="I2378" s="18" t="n">
        <v>6</v>
      </c>
      <c r="J2378" s="18" t="n">
        <v>8</v>
      </c>
      <c r="K2378" s="18" t="n">
        <v>8</v>
      </c>
      <c r="L2378" s="18" t="inlineStr">
        <is>
          <t>cobbleventure:generation_8</t>
        </is>
      </c>
      <c r="M2378" s="19" t="inlineStr">
        <is>
          <t>cobbleventure:generation_8</t>
        </is>
      </c>
      <c r="N2378" s="18" t="inlineStr">
        <is>
          <t>region_01; region_02</t>
        </is>
      </c>
      <c r="O2378" s="19" t="inlineStr"/>
      <c r="P2378" s="18" t="inlineStr">
        <is>
          <t>#cobblemon:is_overworld</t>
        </is>
      </c>
      <c r="Q2378" s="19" t="inlineStr"/>
      <c r="R2378" s="18">
        <f>IF(Q2378="",P2378,Q2378)</f>
        <v/>
      </c>
      <c r="S2378" s="18" t="inlineStr">
        <is>
          <t>#cobblemon:is_dripstone; #cobblemon:is_lush</t>
        </is>
      </c>
      <c r="T2378" s="18" t="inlineStr">
        <is>
          <t>ultra-rare</t>
        </is>
      </c>
      <c r="U2378" s="20" t="n">
        <v>3.6</v>
      </c>
      <c r="V2378" s="21" t="n">
        <v>1</v>
      </c>
      <c r="W2378" s="20">
        <f>IF(OR(U2378="",V2378=""),U2378,U2378*V2378)</f>
        <v/>
      </c>
      <c r="X2378" s="18" t="inlineStr">
        <is>
          <t>40-45</t>
        </is>
      </c>
      <c r="Y2378" s="19" t="inlineStr"/>
      <c r="Z2378" s="18">
        <f>IF(Y2378="",X2378,Y2378)</f>
        <v/>
      </c>
      <c r="AA2378" s="18" t="inlineStr">
        <is>
          <t>grounded</t>
        </is>
      </c>
      <c r="AB2378" s="18" t="inlineStr"/>
      <c r="AC2378" s="18" t="inlineStr"/>
      <c r="AD2378" s="18" t="inlineStr"/>
      <c r="AE2378" s="18" t="inlineStr">
        <is>
          <t>sky 0-7</t>
        </is>
      </c>
      <c r="AF2378" s="18" t="inlineStr"/>
      <c r="AG2378" s="18" t="inlineStr"/>
      <c r="AH2378" s="18" t="inlineStr">
        <is>
          <t>주변=minecraft:water</t>
        </is>
      </c>
      <c r="AI2378" s="18" t="inlineStr"/>
      <c r="AJ2378" s="18" t="inlineStr">
        <is>
          <t>Cobblemon 동일</t>
        </is>
      </c>
      <c r="AK2378" s="18" t="inlineStr">
        <is>
          <t>사용</t>
        </is>
      </c>
      <c r="AL2378" s="18" t="inlineStr">
        <is>
          <t>COBBLEVERSE 1.7.42 / DP v31</t>
        </is>
      </c>
      <c r="AM2378" s="18" t="inlineStr">
        <is>
          <t>data/cobblemon/spawn_pool_world/0705_sliggoo.json</t>
        </is>
      </c>
      <c r="AN2378" s="18" t="inlineStr">
        <is>
          <t>sliggoo-hisuian-8</t>
        </is>
      </c>
      <c r="AO2378" s="18" t="inlineStr">
        <is>
          <t>pokemon</t>
        </is>
      </c>
      <c r="AP2378" s="18" t="inlineStr">
        <is>
          <t>natural</t>
        </is>
      </c>
      <c r="AQ2378" s="18" t="inlineStr">
        <is>
          <t>{"biomes":["#cobblemon:is_overworld"],"maxSkyLight":7,"minSkyLight":0,"neededNearbyBlocks":["minecraft:water"]}</t>
        </is>
      </c>
      <c r="AR2378" s="18" t="inlineStr">
        <is>
          <t>{"biomes":["#cobblemon:is_dripstone","#cobblemon:is_lush"],"isSlimeChunk":true}</t>
        </is>
      </c>
      <c r="AS2378" s="18" t="inlineStr"/>
      <c r="AT2378" s="19" t="inlineStr"/>
    </row>
    <row r="2379" ht="32" customHeight="1">
      <c r="A2379" s="18" t="inlineStr">
        <is>
          <t>0705_sliggoo.json::sliggoo-hisuian-9::009</t>
        </is>
      </c>
      <c r="B2379" s="19" t="inlineStr">
        <is>
          <t>사용</t>
        </is>
      </c>
      <c r="C2379" s="18">
        <f>IF(OR(B2379&lt;&gt;AK2379,M2379&lt;&gt;L2379,O2379&lt;&gt;"",Q2379&lt;&gt;"",V2379&lt;&gt;1,Y2379&lt;&gt;"",AT2379&lt;&gt;""),"수정","원본")</f>
        <v/>
      </c>
      <c r="D2379" s="18" t="n">
        <v>705</v>
      </c>
      <c r="E2379" s="18" t="inlineStr">
        <is>
          <t>미끄네일</t>
        </is>
      </c>
      <c r="F2379" s="18" t="inlineStr">
        <is>
          <t>sliggoo</t>
        </is>
      </c>
      <c r="G2379" s="18" t="inlineStr">
        <is>
          <t>sliggoo hisuian</t>
        </is>
      </c>
      <c r="H2379" s="18" t="inlineStr">
        <is>
          <t>hisuian</t>
        </is>
      </c>
      <c r="I2379" s="18" t="n">
        <v>6</v>
      </c>
      <c r="J2379" s="18" t="n">
        <v>8</v>
      </c>
      <c r="K2379" s="18" t="n">
        <v>8</v>
      </c>
      <c r="L2379" s="18" t="inlineStr">
        <is>
          <t>cobbleventure:generation_8</t>
        </is>
      </c>
      <c r="M2379" s="19" t="inlineStr">
        <is>
          <t>cobbleventure:generation_8</t>
        </is>
      </c>
      <c r="N2379" s="18" t="inlineStr">
        <is>
          <t>region_01; region_02</t>
        </is>
      </c>
      <c r="O2379" s="19" t="inlineStr"/>
      <c r="P2379" s="18" t="inlineStr">
        <is>
          <t>#cobblemon:is_overworld</t>
        </is>
      </c>
      <c r="Q2379" s="19" t="inlineStr"/>
      <c r="R2379" s="18">
        <f>IF(Q2379="",P2379,Q2379)</f>
        <v/>
      </c>
      <c r="S2379" s="18" t="inlineStr">
        <is>
          <t>#cobblemon:is_dripstone; #cobblemon:is_lush</t>
        </is>
      </c>
      <c r="T2379" s="18" t="inlineStr">
        <is>
          <t>rare</t>
        </is>
      </c>
      <c r="U2379" s="20" t="n">
        <v>2.25</v>
      </c>
      <c r="V2379" s="21" t="n">
        <v>1</v>
      </c>
      <c r="W2379" s="20">
        <f>IF(OR(U2379="",V2379=""),U2379,U2379*V2379)</f>
        <v/>
      </c>
      <c r="X2379" s="18" t="inlineStr">
        <is>
          <t>40-45</t>
        </is>
      </c>
      <c r="Y2379" s="19" t="inlineStr"/>
      <c r="Z2379" s="18">
        <f>IF(Y2379="",X2379,Y2379)</f>
        <v/>
      </c>
      <c r="AA2379" s="18" t="inlineStr">
        <is>
          <t>grounded</t>
        </is>
      </c>
      <c r="AB2379" s="18" t="inlineStr"/>
      <c r="AC2379" s="18" t="inlineStr"/>
      <c r="AD2379" s="18" t="inlineStr"/>
      <c r="AE2379" s="18" t="inlineStr">
        <is>
          <t>sky 0-7</t>
        </is>
      </c>
      <c r="AF2379" s="18" t="inlineStr"/>
      <c r="AG2379" s="18" t="inlineStr"/>
      <c r="AH2379" s="18" t="inlineStr"/>
      <c r="AI2379" s="18" t="inlineStr">
        <is>
          <t>{"condition":{"isSlimeChunk":true}}</t>
        </is>
      </c>
      <c r="AJ2379" s="18" t="inlineStr">
        <is>
          <t>Cobblemon 동일</t>
        </is>
      </c>
      <c r="AK2379" s="18" t="inlineStr">
        <is>
          <t>사용</t>
        </is>
      </c>
      <c r="AL2379" s="18" t="inlineStr">
        <is>
          <t>COBBLEVERSE 1.7.42 / DP v31</t>
        </is>
      </c>
      <c r="AM2379" s="18" t="inlineStr">
        <is>
          <t>data/cobblemon/spawn_pool_world/0705_sliggoo.json</t>
        </is>
      </c>
      <c r="AN2379" s="18" t="inlineStr">
        <is>
          <t>sliggoo-hisuian-9</t>
        </is>
      </c>
      <c r="AO2379" s="18" t="inlineStr">
        <is>
          <t>pokemon</t>
        </is>
      </c>
      <c r="AP2379" s="18" t="inlineStr">
        <is>
          <t>natural</t>
        </is>
      </c>
      <c r="AQ2379" s="18" t="inlineStr">
        <is>
          <t>{"biomes":["#cobblemon:is_overworld"],"isSlimeChunk":true,"maxSkyLight":7,"minSkyLight":0}</t>
        </is>
      </c>
      <c r="AR2379" s="18" t="inlineStr">
        <is>
          <t>{"biomes":["#cobblemon:is_dripstone","#cobblemon:is_lush"]}</t>
        </is>
      </c>
      <c r="AS2379" s="18" t="inlineStr"/>
      <c r="AT2379" s="19" t="inlineStr"/>
    </row>
    <row r="2380" ht="32" customHeight="1">
      <c r="A2380" s="18" t="inlineStr">
        <is>
          <t>0705_sliggoo.json::sliggoo-hisuian-10::010</t>
        </is>
      </c>
      <c r="B2380" s="19" t="inlineStr">
        <is>
          <t>사용</t>
        </is>
      </c>
      <c r="C2380" s="18">
        <f>IF(OR(B2380&lt;&gt;AK2380,M2380&lt;&gt;L2380,O2380&lt;&gt;"",Q2380&lt;&gt;"",V2380&lt;&gt;1,Y2380&lt;&gt;"",AT2380&lt;&gt;""),"수정","원본")</f>
        <v/>
      </c>
      <c r="D2380" s="18" t="n">
        <v>705</v>
      </c>
      <c r="E2380" s="18" t="inlineStr">
        <is>
          <t>미끄네일</t>
        </is>
      </c>
      <c r="F2380" s="18" t="inlineStr">
        <is>
          <t>sliggoo</t>
        </is>
      </c>
      <c r="G2380" s="18" t="inlineStr">
        <is>
          <t>sliggoo hisuian</t>
        </is>
      </c>
      <c r="H2380" s="18" t="inlineStr">
        <is>
          <t>hisuian</t>
        </is>
      </c>
      <c r="I2380" s="18" t="n">
        <v>6</v>
      </c>
      <c r="J2380" s="18" t="n">
        <v>8</v>
      </c>
      <c r="K2380" s="18" t="n">
        <v>8</v>
      </c>
      <c r="L2380" s="18" t="inlineStr">
        <is>
          <t>cobbleventure:generation_8</t>
        </is>
      </c>
      <c r="M2380" s="19" t="inlineStr">
        <is>
          <t>cobbleventure:generation_8</t>
        </is>
      </c>
      <c r="N2380" s="18" t="inlineStr"/>
      <c r="O2380" s="19" t="inlineStr"/>
      <c r="P2380" s="18" t="inlineStr">
        <is>
          <t>#cobblemon:is_dripstone; #cobblemon:is_lush</t>
        </is>
      </c>
      <c r="Q2380" s="19" t="inlineStr"/>
      <c r="R2380" s="18">
        <f>IF(Q2380="",P2380,Q2380)</f>
        <v/>
      </c>
      <c r="S2380" s="18" t="inlineStr"/>
      <c r="T2380" s="18" t="inlineStr">
        <is>
          <t>rare</t>
        </is>
      </c>
      <c r="U2380" s="20" t="n">
        <v>2.25</v>
      </c>
      <c r="V2380" s="21" t="n">
        <v>1</v>
      </c>
      <c r="W2380" s="20">
        <f>IF(OR(U2380="",V2380=""),U2380,U2380*V2380)</f>
        <v/>
      </c>
      <c r="X2380" s="18" t="inlineStr">
        <is>
          <t>40-45</t>
        </is>
      </c>
      <c r="Y2380" s="19" t="inlineStr"/>
      <c r="Z2380" s="18">
        <f>IF(Y2380="",X2380,Y2380)</f>
        <v/>
      </c>
      <c r="AA2380" s="18" t="inlineStr">
        <is>
          <t>fishing</t>
        </is>
      </c>
      <c r="AB2380" s="18" t="inlineStr"/>
      <c r="AC2380" s="18" t="inlineStr"/>
      <c r="AD2380" s="18" t="inlineStr"/>
      <c r="AE2380" s="18" t="inlineStr">
        <is>
          <t>sky 0-7</t>
        </is>
      </c>
      <c r="AF2380" s="18" t="inlineStr"/>
      <c r="AG2380" s="18" t="inlineStr"/>
      <c r="AH2380" s="18" t="inlineStr"/>
      <c r="AI2380" s="18" t="inlineStr"/>
      <c r="AJ2380" s="18" t="inlineStr">
        <is>
          <t>Cobblemon 동일</t>
        </is>
      </c>
      <c r="AK2380" s="18" t="inlineStr">
        <is>
          <t>사용</t>
        </is>
      </c>
      <c r="AL2380" s="18" t="inlineStr">
        <is>
          <t>COBBLEVERSE 1.7.42 / DP v31</t>
        </is>
      </c>
      <c r="AM2380" s="18" t="inlineStr">
        <is>
          <t>data/cobblemon/spawn_pool_world/0705_sliggoo.json</t>
        </is>
      </c>
      <c r="AN2380" s="18" t="inlineStr">
        <is>
          <t>sliggoo-hisuian-10</t>
        </is>
      </c>
      <c r="AO2380" s="18" t="inlineStr">
        <is>
          <t>pokemon</t>
        </is>
      </c>
      <c r="AP2380" s="18" t="inlineStr">
        <is>
          <t>natural</t>
        </is>
      </c>
      <c r="AQ2380" s="18" t="inlineStr">
        <is>
          <t>{"biomes":["#cobblemon:is_dripstone","#cobblemon:is_lush"],"maxSkyLight":7,"minSkyLight":0}</t>
        </is>
      </c>
      <c r="AR2380" s="18" t="inlineStr">
        <is>
          <t>{"minLureLevel":2}</t>
        </is>
      </c>
      <c r="AS2380" s="18" t="inlineStr"/>
      <c r="AT2380" s="19" t="inlineStr"/>
    </row>
    <row r="2381" ht="32" customHeight="1">
      <c r="A2381" s="18" t="inlineStr">
        <is>
          <t>0705_sliggoo.json::sliggoo-hisuian-11::011</t>
        </is>
      </c>
      <c r="B2381" s="19" t="inlineStr">
        <is>
          <t>사용</t>
        </is>
      </c>
      <c r="C2381" s="18">
        <f>IF(OR(B2381&lt;&gt;AK2381,M2381&lt;&gt;L2381,O2381&lt;&gt;"",Q2381&lt;&gt;"",V2381&lt;&gt;1,Y2381&lt;&gt;"",AT2381&lt;&gt;""),"수정","원본")</f>
        <v/>
      </c>
      <c r="D2381" s="18" t="n">
        <v>705</v>
      </c>
      <c r="E2381" s="18" t="inlineStr">
        <is>
          <t>미끄네일</t>
        </is>
      </c>
      <c r="F2381" s="18" t="inlineStr">
        <is>
          <t>sliggoo</t>
        </is>
      </c>
      <c r="G2381" s="18" t="inlineStr">
        <is>
          <t>sliggoo hisuian</t>
        </is>
      </c>
      <c r="H2381" s="18" t="inlineStr">
        <is>
          <t>hisuian</t>
        </is>
      </c>
      <c r="I2381" s="18" t="n">
        <v>6</v>
      </c>
      <c r="J2381" s="18" t="n">
        <v>8</v>
      </c>
      <c r="K2381" s="18" t="n">
        <v>8</v>
      </c>
      <c r="L2381" s="18" t="inlineStr">
        <is>
          <t>cobbleventure:generation_8</t>
        </is>
      </c>
      <c r="M2381" s="19" t="inlineStr">
        <is>
          <t>cobbleventure:generation_8</t>
        </is>
      </c>
      <c r="N2381" s="18" t="inlineStr"/>
      <c r="O2381" s="19" t="inlineStr"/>
      <c r="P2381" s="18" t="inlineStr">
        <is>
          <t>#cobblemon:is_dripstone; #cobblemon:is_lush</t>
        </is>
      </c>
      <c r="Q2381" s="19" t="inlineStr"/>
      <c r="R2381" s="18">
        <f>IF(Q2381="",P2381,Q2381)</f>
        <v/>
      </c>
      <c r="S2381" s="18" t="inlineStr"/>
      <c r="T2381" s="18" t="inlineStr">
        <is>
          <t>common</t>
        </is>
      </c>
      <c r="U2381" s="20" t="n">
        <v>0.18</v>
      </c>
      <c r="V2381" s="21" t="n">
        <v>1</v>
      </c>
      <c r="W2381" s="20">
        <f>IF(OR(U2381="",V2381=""),U2381,U2381*V2381)</f>
        <v/>
      </c>
      <c r="X2381" s="18" t="inlineStr">
        <is>
          <t>40-45</t>
        </is>
      </c>
      <c r="Y2381" s="19" t="inlineStr"/>
      <c r="Z2381" s="18">
        <f>IF(Y2381="",X2381,Y2381)</f>
        <v/>
      </c>
      <c r="AA2381" s="18" t="inlineStr">
        <is>
          <t>fishing</t>
        </is>
      </c>
      <c r="AB2381" s="18" t="inlineStr"/>
      <c r="AC2381" s="18" t="inlineStr"/>
      <c r="AD2381" s="18" t="inlineStr"/>
      <c r="AE2381" s="18" t="inlineStr">
        <is>
          <t>sky 0-7</t>
        </is>
      </c>
      <c r="AF2381" s="18" t="inlineStr"/>
      <c r="AG2381" s="18" t="inlineStr"/>
      <c r="AH2381" s="18" t="inlineStr"/>
      <c r="AI2381" s="18" t="inlineStr">
        <is>
          <t>{"fishing":{"minLureLevel":2}}</t>
        </is>
      </c>
      <c r="AJ2381" s="18" t="inlineStr">
        <is>
          <t>Cobblemon 동일</t>
        </is>
      </c>
      <c r="AK2381" s="18" t="inlineStr">
        <is>
          <t>사용</t>
        </is>
      </c>
      <c r="AL2381" s="18" t="inlineStr">
        <is>
          <t>COBBLEVERSE 1.7.42 / DP v31</t>
        </is>
      </c>
      <c r="AM2381" s="18" t="inlineStr">
        <is>
          <t>data/cobblemon/spawn_pool_world/0705_sliggoo.json</t>
        </is>
      </c>
      <c r="AN2381" s="18" t="inlineStr">
        <is>
          <t>sliggoo-hisuian-11</t>
        </is>
      </c>
      <c r="AO2381" s="18" t="inlineStr">
        <is>
          <t>pokemon</t>
        </is>
      </c>
      <c r="AP2381" s="18" t="inlineStr">
        <is>
          <t>natural</t>
        </is>
      </c>
      <c r="AQ2381" s="18" t="inlineStr">
        <is>
          <t>{"biomes":["#cobblemon:is_dripstone","#cobblemon:is_lush"],"maxSkyLight":7,"minLureLevel":2,"minSkyLight":0}</t>
        </is>
      </c>
      <c r="AR2381" s="18" t="inlineStr"/>
      <c r="AS2381" s="18" t="inlineStr">
        <is>
          <t>{"weightMultiplier":{"condition":{"minLureLevel":3},"multiplier":3.0}}</t>
        </is>
      </c>
      <c r="AT2381" s="19" t="inlineStr"/>
    </row>
    <row r="2382" ht="32" customHeight="1">
      <c r="A2382" s="18" t="inlineStr">
        <is>
          <t>0705_sliggoo.json::sliggoo-hisuian-12::012</t>
        </is>
      </c>
      <c r="B2382" s="19" t="inlineStr">
        <is>
          <t>사용</t>
        </is>
      </c>
      <c r="C2382" s="18">
        <f>IF(OR(B2382&lt;&gt;AK2382,M2382&lt;&gt;L2382,O2382&lt;&gt;"",Q2382&lt;&gt;"",V2382&lt;&gt;1,Y2382&lt;&gt;"",AT2382&lt;&gt;""),"수정","원본")</f>
        <v/>
      </c>
      <c r="D2382" s="18" t="n">
        <v>705</v>
      </c>
      <c r="E2382" s="18" t="inlineStr">
        <is>
          <t>미끄네일</t>
        </is>
      </c>
      <c r="F2382" s="18" t="inlineStr">
        <is>
          <t>sliggoo</t>
        </is>
      </c>
      <c r="G2382" s="18" t="inlineStr">
        <is>
          <t>sliggoo hisuian</t>
        </is>
      </c>
      <c r="H2382" s="18" t="inlineStr">
        <is>
          <t>hisuian</t>
        </is>
      </c>
      <c r="I2382" s="18" t="n">
        <v>6</v>
      </c>
      <c r="J2382" s="18" t="n">
        <v>8</v>
      </c>
      <c r="K2382" s="18" t="n">
        <v>8</v>
      </c>
      <c r="L2382" s="18" t="inlineStr">
        <is>
          <t>cobbleventure:generation_8</t>
        </is>
      </c>
      <c r="M2382" s="19" t="inlineStr">
        <is>
          <t>cobbleventure:generation_8</t>
        </is>
      </c>
      <c r="N2382" s="18" t="inlineStr">
        <is>
          <t>region_01; region_02</t>
        </is>
      </c>
      <c r="O2382" s="19" t="inlineStr"/>
      <c r="P2382" s="18" t="inlineStr">
        <is>
          <t>#cobblemon:is_overworld</t>
        </is>
      </c>
      <c r="Q2382" s="19" t="inlineStr"/>
      <c r="R2382" s="18">
        <f>IF(Q2382="",P2382,Q2382)</f>
        <v/>
      </c>
      <c r="S2382" s="18" t="inlineStr">
        <is>
          <t>#cobblemon:is_dripstone; #cobblemon:is_lush</t>
        </is>
      </c>
      <c r="T2382" s="18" t="inlineStr">
        <is>
          <t>ultra-rare</t>
        </is>
      </c>
      <c r="U2382" s="20" t="n">
        <v>3.6</v>
      </c>
      <c r="V2382" s="21" t="n">
        <v>1</v>
      </c>
      <c r="W2382" s="20">
        <f>IF(OR(U2382="",V2382=""),U2382,U2382*V2382)</f>
        <v/>
      </c>
      <c r="X2382" s="18" t="inlineStr">
        <is>
          <t>40-45</t>
        </is>
      </c>
      <c r="Y2382" s="19" t="inlineStr"/>
      <c r="Z2382" s="18">
        <f>IF(Y2382="",X2382,Y2382)</f>
        <v/>
      </c>
      <c r="AA2382" s="18" t="inlineStr">
        <is>
          <t>fishing</t>
        </is>
      </c>
      <c r="AB2382" s="18" t="inlineStr"/>
      <c r="AC2382" s="18" t="inlineStr"/>
      <c r="AD2382" s="18" t="inlineStr"/>
      <c r="AE2382" s="18" t="inlineStr">
        <is>
          <t>sky 0-7</t>
        </is>
      </c>
      <c r="AF2382" s="18" t="inlineStr"/>
      <c r="AG2382" s="18" t="inlineStr"/>
      <c r="AH2382" s="18" t="inlineStr"/>
      <c r="AI2382" s="18" t="inlineStr"/>
      <c r="AJ2382" s="18" t="inlineStr">
        <is>
          <t>Cobblemon 동일</t>
        </is>
      </c>
      <c r="AK2382" s="18" t="inlineStr">
        <is>
          <t>사용</t>
        </is>
      </c>
      <c r="AL2382" s="18" t="inlineStr">
        <is>
          <t>COBBLEVERSE 1.7.42 / DP v31</t>
        </is>
      </c>
      <c r="AM2382" s="18" t="inlineStr">
        <is>
          <t>data/cobblemon/spawn_pool_world/0705_sliggoo.json</t>
        </is>
      </c>
      <c r="AN2382" s="18" t="inlineStr">
        <is>
          <t>sliggoo-hisuian-12</t>
        </is>
      </c>
      <c r="AO2382" s="18" t="inlineStr">
        <is>
          <t>pokemon</t>
        </is>
      </c>
      <c r="AP2382" s="18" t="inlineStr">
        <is>
          <t>natural</t>
        </is>
      </c>
      <c r="AQ2382" s="18" t="inlineStr">
        <is>
          <t>{"biomes":["#cobblemon:is_overworld"],"maxSkyLight":7,"minSkyLight":0}</t>
        </is>
      </c>
      <c r="AR2382" s="18" t="inlineStr">
        <is>
          <t>{"biomes":["#cobblemon:is_dripstone","#cobblemon:is_lush"],"isSlimeChunk":true,"minLureLevel":2}</t>
        </is>
      </c>
      <c r="AS2382" s="18" t="inlineStr"/>
      <c r="AT2382" s="19" t="inlineStr"/>
    </row>
    <row r="2383" ht="32" customHeight="1">
      <c r="A2383" s="18" t="inlineStr">
        <is>
          <t>0705_sliggoo.json::sliggoo-hisuian-13::013</t>
        </is>
      </c>
      <c r="B2383" s="19" t="inlineStr">
        <is>
          <t>사용</t>
        </is>
      </c>
      <c r="C2383" s="18">
        <f>IF(OR(B2383&lt;&gt;AK2383,M2383&lt;&gt;L2383,O2383&lt;&gt;"",Q2383&lt;&gt;"",V2383&lt;&gt;1,Y2383&lt;&gt;"",AT2383&lt;&gt;""),"수정","원본")</f>
        <v/>
      </c>
      <c r="D2383" s="18" t="n">
        <v>705</v>
      </c>
      <c r="E2383" s="18" t="inlineStr">
        <is>
          <t>미끄네일</t>
        </is>
      </c>
      <c r="F2383" s="18" t="inlineStr">
        <is>
          <t>sliggoo</t>
        </is>
      </c>
      <c r="G2383" s="18" t="inlineStr">
        <is>
          <t>sliggoo hisuian</t>
        </is>
      </c>
      <c r="H2383" s="18" t="inlineStr">
        <is>
          <t>hisuian</t>
        </is>
      </c>
      <c r="I2383" s="18" t="n">
        <v>6</v>
      </c>
      <c r="J2383" s="18" t="n">
        <v>8</v>
      </c>
      <c r="K2383" s="18" t="n">
        <v>8</v>
      </c>
      <c r="L2383" s="18" t="inlineStr">
        <is>
          <t>cobbleventure:generation_8</t>
        </is>
      </c>
      <c r="M2383" s="19" t="inlineStr">
        <is>
          <t>cobbleventure:generation_8</t>
        </is>
      </c>
      <c r="N2383" s="18" t="inlineStr">
        <is>
          <t>region_01; region_02</t>
        </is>
      </c>
      <c r="O2383" s="19" t="inlineStr"/>
      <c r="P2383" s="18" t="inlineStr">
        <is>
          <t>#cobblemon:is_overworld</t>
        </is>
      </c>
      <c r="Q2383" s="19" t="inlineStr"/>
      <c r="R2383" s="18">
        <f>IF(Q2383="",P2383,Q2383)</f>
        <v/>
      </c>
      <c r="S2383" s="18" t="inlineStr">
        <is>
          <t>#cobblemon:is_dripstone; #cobblemon:is_lush</t>
        </is>
      </c>
      <c r="T2383" s="18" t="inlineStr">
        <is>
          <t>rare</t>
        </is>
      </c>
      <c r="U2383" s="20" t="n">
        <v>2.25</v>
      </c>
      <c r="V2383" s="21" t="n">
        <v>1</v>
      </c>
      <c r="W2383" s="20">
        <f>IF(OR(U2383="",V2383=""),U2383,U2383*V2383)</f>
        <v/>
      </c>
      <c r="X2383" s="18" t="inlineStr">
        <is>
          <t>40-45</t>
        </is>
      </c>
      <c r="Y2383" s="19" t="inlineStr"/>
      <c r="Z2383" s="18">
        <f>IF(Y2383="",X2383,Y2383)</f>
        <v/>
      </c>
      <c r="AA2383" s="18" t="inlineStr">
        <is>
          <t>fishing</t>
        </is>
      </c>
      <c r="AB2383" s="18" t="inlineStr"/>
      <c r="AC2383" s="18" t="inlineStr"/>
      <c r="AD2383" s="18" t="inlineStr"/>
      <c r="AE2383" s="18" t="inlineStr">
        <is>
          <t>sky 0-7</t>
        </is>
      </c>
      <c r="AF2383" s="18" t="inlineStr"/>
      <c r="AG2383" s="18" t="inlineStr"/>
      <c r="AH2383" s="18" t="inlineStr"/>
      <c r="AI2383" s="18" t="inlineStr">
        <is>
          <t>{"fishing":{"maxLureLevel":2,"minLureLevel":2}}</t>
        </is>
      </c>
      <c r="AJ2383" s="18" t="inlineStr">
        <is>
          <t>Cobblemon 동일</t>
        </is>
      </c>
      <c r="AK2383" s="18" t="inlineStr">
        <is>
          <t>사용</t>
        </is>
      </c>
      <c r="AL2383" s="18" t="inlineStr">
        <is>
          <t>COBBLEVERSE 1.7.42 / DP v31</t>
        </is>
      </c>
      <c r="AM2383" s="18" t="inlineStr">
        <is>
          <t>data/cobblemon/spawn_pool_world/0705_sliggoo.json</t>
        </is>
      </c>
      <c r="AN2383" s="18" t="inlineStr">
        <is>
          <t>sliggoo-hisuian-13</t>
        </is>
      </c>
      <c r="AO2383" s="18" t="inlineStr">
        <is>
          <t>pokemon</t>
        </is>
      </c>
      <c r="AP2383" s="18" t="inlineStr">
        <is>
          <t>natural</t>
        </is>
      </c>
      <c r="AQ2383" s="18" t="inlineStr">
        <is>
          <t>{"biomes":["#cobblemon:is_overworld"],"maxLureLevel":2,"maxSkyLight":7,"minLureLevel":2,"minSkyLight":0}</t>
        </is>
      </c>
      <c r="AR2383" s="18" t="inlineStr">
        <is>
          <t>{"biomes":["#cobblemon:is_dripstone","#cobblemon:is_lush"],"isSlimeChunk":true}</t>
        </is>
      </c>
      <c r="AS2383" s="18" t="inlineStr"/>
      <c r="AT2383" s="19" t="inlineStr"/>
    </row>
    <row r="2384" ht="32" customHeight="1">
      <c r="A2384" s="18" t="inlineStr">
        <is>
          <t>0705_sliggoo.json::sliggoo-hisuian-14::014</t>
        </is>
      </c>
      <c r="B2384" s="19" t="inlineStr">
        <is>
          <t>사용</t>
        </is>
      </c>
      <c r="C2384" s="18">
        <f>IF(OR(B2384&lt;&gt;AK2384,M2384&lt;&gt;L2384,O2384&lt;&gt;"",Q2384&lt;&gt;"",V2384&lt;&gt;1,Y2384&lt;&gt;"",AT2384&lt;&gt;""),"수정","원본")</f>
        <v/>
      </c>
      <c r="D2384" s="18" t="n">
        <v>705</v>
      </c>
      <c r="E2384" s="18" t="inlineStr">
        <is>
          <t>미끄네일</t>
        </is>
      </c>
      <c r="F2384" s="18" t="inlineStr">
        <is>
          <t>sliggoo</t>
        </is>
      </c>
      <c r="G2384" s="18" t="inlineStr">
        <is>
          <t>sliggoo hisuian</t>
        </is>
      </c>
      <c r="H2384" s="18" t="inlineStr">
        <is>
          <t>hisuian</t>
        </is>
      </c>
      <c r="I2384" s="18" t="n">
        <v>6</v>
      </c>
      <c r="J2384" s="18" t="n">
        <v>8</v>
      </c>
      <c r="K2384" s="18" t="n">
        <v>8</v>
      </c>
      <c r="L2384" s="18" t="inlineStr">
        <is>
          <t>cobbleventure:generation_8</t>
        </is>
      </c>
      <c r="M2384" s="19" t="inlineStr">
        <is>
          <t>cobbleventure:generation_8</t>
        </is>
      </c>
      <c r="N2384" s="18" t="inlineStr">
        <is>
          <t>region_01; region_02</t>
        </is>
      </c>
      <c r="O2384" s="19" t="inlineStr"/>
      <c r="P2384" s="18" t="inlineStr">
        <is>
          <t>#cobblemon:is_overworld</t>
        </is>
      </c>
      <c r="Q2384" s="19" t="inlineStr"/>
      <c r="R2384" s="18">
        <f>IF(Q2384="",P2384,Q2384)</f>
        <v/>
      </c>
      <c r="S2384" s="18" t="inlineStr">
        <is>
          <t>#cobblemon:is_dripstone; #cobblemon:is_lush</t>
        </is>
      </c>
      <c r="T2384" s="18" t="inlineStr">
        <is>
          <t>common</t>
        </is>
      </c>
      <c r="U2384" s="20" t="n">
        <v>0.18</v>
      </c>
      <c r="V2384" s="21" t="n">
        <v>1</v>
      </c>
      <c r="W2384" s="20">
        <f>IF(OR(U2384="",V2384=""),U2384,U2384*V2384)</f>
        <v/>
      </c>
      <c r="X2384" s="18" t="inlineStr">
        <is>
          <t>40-45</t>
        </is>
      </c>
      <c r="Y2384" s="19" t="inlineStr"/>
      <c r="Z2384" s="18">
        <f>IF(Y2384="",X2384,Y2384)</f>
        <v/>
      </c>
      <c r="AA2384" s="18" t="inlineStr">
        <is>
          <t>fishing</t>
        </is>
      </c>
      <c r="AB2384" s="18" t="inlineStr"/>
      <c r="AC2384" s="18" t="inlineStr"/>
      <c r="AD2384" s="18" t="inlineStr"/>
      <c r="AE2384" s="18" t="inlineStr">
        <is>
          <t>sky 0-7</t>
        </is>
      </c>
      <c r="AF2384" s="18" t="inlineStr"/>
      <c r="AG2384" s="18" t="inlineStr"/>
      <c r="AH2384" s="18" t="inlineStr"/>
      <c r="AI2384" s="18" t="inlineStr">
        <is>
          <t>{"fishing":{"minLureLevel":3}}</t>
        </is>
      </c>
      <c r="AJ2384" s="18" t="inlineStr">
        <is>
          <t>Cobblemon 동일</t>
        </is>
      </c>
      <c r="AK2384" s="18" t="inlineStr">
        <is>
          <t>사용</t>
        </is>
      </c>
      <c r="AL2384" s="18" t="inlineStr">
        <is>
          <t>COBBLEVERSE 1.7.42 / DP v31</t>
        </is>
      </c>
      <c r="AM2384" s="18" t="inlineStr">
        <is>
          <t>data/cobblemon/spawn_pool_world/0705_sliggoo.json</t>
        </is>
      </c>
      <c r="AN2384" s="18" t="inlineStr">
        <is>
          <t>sliggoo-hisuian-14</t>
        </is>
      </c>
      <c r="AO2384" s="18" t="inlineStr">
        <is>
          <t>pokemon</t>
        </is>
      </c>
      <c r="AP2384" s="18" t="inlineStr">
        <is>
          <t>natural</t>
        </is>
      </c>
      <c r="AQ2384" s="18" t="inlineStr">
        <is>
          <t>{"biomes":["#cobblemon:is_overworld"],"maxSkyLight":7,"minLureLevel":3,"minSkyLight":0}</t>
        </is>
      </c>
      <c r="AR2384" s="18" t="inlineStr">
        <is>
          <t>{"biomes":["#cobblemon:is_dripstone","#cobblemon:is_lush"],"isSlimeChunk":true}</t>
        </is>
      </c>
      <c r="AS2384" s="18" t="inlineStr"/>
      <c r="AT2384" s="19" t="inlineStr"/>
    </row>
    <row r="2385" ht="32" customHeight="1">
      <c r="A2385" s="18" t="inlineStr">
        <is>
          <t>0705_sliggoo.json::sliggoo-hisuian-15::015</t>
        </is>
      </c>
      <c r="B2385" s="19" t="inlineStr">
        <is>
          <t>사용</t>
        </is>
      </c>
      <c r="C2385" s="18">
        <f>IF(OR(B2385&lt;&gt;AK2385,M2385&lt;&gt;L2385,O2385&lt;&gt;"",Q2385&lt;&gt;"",V2385&lt;&gt;1,Y2385&lt;&gt;"",AT2385&lt;&gt;""),"수정","원본")</f>
        <v/>
      </c>
      <c r="D2385" s="18" t="n">
        <v>705</v>
      </c>
      <c r="E2385" s="18" t="inlineStr">
        <is>
          <t>미끄네일</t>
        </is>
      </c>
      <c r="F2385" s="18" t="inlineStr">
        <is>
          <t>sliggoo</t>
        </is>
      </c>
      <c r="G2385" s="18" t="inlineStr">
        <is>
          <t>sliggoo hisuian</t>
        </is>
      </c>
      <c r="H2385" s="18" t="inlineStr">
        <is>
          <t>hisuian</t>
        </is>
      </c>
      <c r="I2385" s="18" t="n">
        <v>6</v>
      </c>
      <c r="J2385" s="18" t="n">
        <v>8</v>
      </c>
      <c r="K2385" s="18" t="n">
        <v>8</v>
      </c>
      <c r="L2385" s="18" t="inlineStr">
        <is>
          <t>cobbleventure:generation_8</t>
        </is>
      </c>
      <c r="M2385" s="19" t="inlineStr">
        <is>
          <t>cobbleventure:generation_8</t>
        </is>
      </c>
      <c r="N2385" s="18" t="inlineStr">
        <is>
          <t>region_01; region_02</t>
        </is>
      </c>
      <c r="O2385" s="19" t="inlineStr"/>
      <c r="P2385" s="18" t="inlineStr">
        <is>
          <t>#cobblemon:is_overworld</t>
        </is>
      </c>
      <c r="Q2385" s="19" t="inlineStr"/>
      <c r="R2385" s="18">
        <f>IF(Q2385="",P2385,Q2385)</f>
        <v/>
      </c>
      <c r="S2385" s="18" t="inlineStr">
        <is>
          <t>#cobblemon:is_dripstone; #cobblemon:is_lush</t>
        </is>
      </c>
      <c r="T2385" s="18" t="inlineStr">
        <is>
          <t>rare</t>
        </is>
      </c>
      <c r="U2385" s="20" t="n">
        <v>2.25</v>
      </c>
      <c r="V2385" s="21" t="n">
        <v>1</v>
      </c>
      <c r="W2385" s="20">
        <f>IF(OR(U2385="",V2385=""),U2385,U2385*V2385)</f>
        <v/>
      </c>
      <c r="X2385" s="18" t="inlineStr">
        <is>
          <t>40-45</t>
        </is>
      </c>
      <c r="Y2385" s="19" t="inlineStr"/>
      <c r="Z2385" s="18">
        <f>IF(Y2385="",X2385,Y2385)</f>
        <v/>
      </c>
      <c r="AA2385" s="18" t="inlineStr">
        <is>
          <t>fishing</t>
        </is>
      </c>
      <c r="AB2385" s="18" t="inlineStr"/>
      <c r="AC2385" s="18" t="inlineStr"/>
      <c r="AD2385" s="18" t="inlineStr"/>
      <c r="AE2385" s="18" t="inlineStr">
        <is>
          <t>sky 0-7</t>
        </is>
      </c>
      <c r="AF2385" s="18" t="inlineStr"/>
      <c r="AG2385" s="18" t="inlineStr"/>
      <c r="AH2385" s="18" t="inlineStr"/>
      <c r="AI2385" s="18" t="inlineStr">
        <is>
          <t>{"condition":{"isSlimeChunk":true}}</t>
        </is>
      </c>
      <c r="AJ2385" s="18" t="inlineStr">
        <is>
          <t>Cobblemon 동일</t>
        </is>
      </c>
      <c r="AK2385" s="18" t="inlineStr">
        <is>
          <t>사용</t>
        </is>
      </c>
      <c r="AL2385" s="18" t="inlineStr">
        <is>
          <t>COBBLEVERSE 1.7.42 / DP v31</t>
        </is>
      </c>
      <c r="AM2385" s="18" t="inlineStr">
        <is>
          <t>data/cobblemon/spawn_pool_world/0705_sliggoo.json</t>
        </is>
      </c>
      <c r="AN2385" s="18" t="inlineStr">
        <is>
          <t>sliggoo-hisuian-15</t>
        </is>
      </c>
      <c r="AO2385" s="18" t="inlineStr">
        <is>
          <t>pokemon</t>
        </is>
      </c>
      <c r="AP2385" s="18" t="inlineStr">
        <is>
          <t>natural</t>
        </is>
      </c>
      <c r="AQ2385" s="18" t="inlineStr">
        <is>
          <t>{"biomes":["#cobblemon:is_overworld"],"isSlimeChunk":true,"maxSkyLight":7,"minSkyLight":0}</t>
        </is>
      </c>
      <c r="AR2385" s="18" t="inlineStr">
        <is>
          <t>{"biomes":["#cobblemon:is_dripstone","#cobblemon:is_lush"],"minLureLevel":2}</t>
        </is>
      </c>
      <c r="AS2385" s="18" t="inlineStr"/>
      <c r="AT2385" s="19" t="inlineStr"/>
    </row>
    <row r="2386" ht="32" customHeight="1">
      <c r="A2386" s="18" t="inlineStr">
        <is>
          <t>0705_sliggoo.json::sliggoo-hisuian-16::016</t>
        </is>
      </c>
      <c r="B2386" s="19" t="inlineStr">
        <is>
          <t>사용</t>
        </is>
      </c>
      <c r="C2386" s="18">
        <f>IF(OR(B2386&lt;&gt;AK2386,M2386&lt;&gt;L2386,O2386&lt;&gt;"",Q2386&lt;&gt;"",V2386&lt;&gt;1,Y2386&lt;&gt;"",AT2386&lt;&gt;""),"수정","원본")</f>
        <v/>
      </c>
      <c r="D2386" s="18" t="n">
        <v>705</v>
      </c>
      <c r="E2386" s="18" t="inlineStr">
        <is>
          <t>미끄네일</t>
        </is>
      </c>
      <c r="F2386" s="18" t="inlineStr">
        <is>
          <t>sliggoo</t>
        </is>
      </c>
      <c r="G2386" s="18" t="inlineStr">
        <is>
          <t>sliggoo hisuian</t>
        </is>
      </c>
      <c r="H2386" s="18" t="inlineStr">
        <is>
          <t>hisuian</t>
        </is>
      </c>
      <c r="I2386" s="18" t="n">
        <v>6</v>
      </c>
      <c r="J2386" s="18" t="n">
        <v>8</v>
      </c>
      <c r="K2386" s="18" t="n">
        <v>8</v>
      </c>
      <c r="L2386" s="18" t="inlineStr">
        <is>
          <t>cobbleventure:generation_8</t>
        </is>
      </c>
      <c r="M2386" s="19" t="inlineStr">
        <is>
          <t>cobbleventure:generation_8</t>
        </is>
      </c>
      <c r="N2386" s="18" t="inlineStr">
        <is>
          <t>region_01; region_02</t>
        </is>
      </c>
      <c r="O2386" s="19" t="inlineStr"/>
      <c r="P2386" s="18" t="inlineStr">
        <is>
          <t>#cobblemon:is_overworld</t>
        </is>
      </c>
      <c r="Q2386" s="19" t="inlineStr"/>
      <c r="R2386" s="18">
        <f>IF(Q2386="",P2386,Q2386)</f>
        <v/>
      </c>
      <c r="S2386" s="18" t="inlineStr">
        <is>
          <t>#cobblemon:is_dripstone; #cobblemon:is_lush</t>
        </is>
      </c>
      <c r="T2386" s="18" t="inlineStr">
        <is>
          <t>common</t>
        </is>
      </c>
      <c r="U2386" s="20" t="n">
        <v>0.18</v>
      </c>
      <c r="V2386" s="21" t="n">
        <v>1</v>
      </c>
      <c r="W2386" s="20">
        <f>IF(OR(U2386="",V2386=""),U2386,U2386*V2386)</f>
        <v/>
      </c>
      <c r="X2386" s="18" t="inlineStr">
        <is>
          <t>40-45</t>
        </is>
      </c>
      <c r="Y2386" s="19" t="inlineStr"/>
      <c r="Z2386" s="18">
        <f>IF(Y2386="",X2386,Y2386)</f>
        <v/>
      </c>
      <c r="AA2386" s="18" t="inlineStr">
        <is>
          <t>fishing</t>
        </is>
      </c>
      <c r="AB2386" s="18" t="inlineStr"/>
      <c r="AC2386" s="18" t="inlineStr"/>
      <c r="AD2386" s="18" t="inlineStr"/>
      <c r="AE2386" s="18" t="inlineStr">
        <is>
          <t>sky 0-7</t>
        </is>
      </c>
      <c r="AF2386" s="18" t="inlineStr"/>
      <c r="AG2386" s="18" t="inlineStr"/>
      <c r="AH2386" s="18" t="inlineStr"/>
      <c r="AI2386" s="18" t="inlineStr">
        <is>
          <t>{"condition":{"isSlimeChunk":true},"fishing":{"minLureLevel":2}}</t>
        </is>
      </c>
      <c r="AJ2386" s="18" t="inlineStr">
        <is>
          <t>Cobblemon 동일</t>
        </is>
      </c>
      <c r="AK2386" s="18" t="inlineStr">
        <is>
          <t>사용</t>
        </is>
      </c>
      <c r="AL2386" s="18" t="inlineStr">
        <is>
          <t>COBBLEVERSE 1.7.42 / DP v31</t>
        </is>
      </c>
      <c r="AM2386" s="18" t="inlineStr">
        <is>
          <t>data/cobblemon/spawn_pool_world/0705_sliggoo.json</t>
        </is>
      </c>
      <c r="AN2386" s="18" t="inlineStr">
        <is>
          <t>sliggoo-hisuian-16</t>
        </is>
      </c>
      <c r="AO2386" s="18" t="inlineStr">
        <is>
          <t>pokemon</t>
        </is>
      </c>
      <c r="AP2386" s="18" t="inlineStr">
        <is>
          <t>natural</t>
        </is>
      </c>
      <c r="AQ2386" s="18" t="inlineStr">
        <is>
          <t>{"biomes":["#cobblemon:is_overworld"],"isSlimeChunk":true,"maxSkyLight":7,"minLureLevel":2,"minSkyLight":0}</t>
        </is>
      </c>
      <c r="AR2386" s="18" t="inlineStr">
        <is>
          <t>{"biomes":["#cobblemon:is_dripstone","#cobblemon:is_lush"]}</t>
        </is>
      </c>
      <c r="AS2386" s="18" t="inlineStr">
        <is>
          <t>{"weightMultiplier":{"condition":{"minLureLevel":3},"multiplier":3.0}}</t>
        </is>
      </c>
      <c r="AT2386" s="19" t="inlineStr"/>
    </row>
    <row r="2387" ht="32" customHeight="1">
      <c r="A2387" s="18" t="inlineStr">
        <is>
          <t>0706_goodra.json::goodra-1::001</t>
        </is>
      </c>
      <c r="B2387" s="19" t="inlineStr">
        <is>
          <t>사용</t>
        </is>
      </c>
      <c r="C2387" s="18">
        <f>IF(OR(B2387&lt;&gt;AK2387,M2387&lt;&gt;L2387,O2387&lt;&gt;"",Q2387&lt;&gt;"",V2387&lt;&gt;1,Y2387&lt;&gt;"",AT2387&lt;&gt;""),"수정","원본")</f>
        <v/>
      </c>
      <c r="D2387" s="18" t="n">
        <v>706</v>
      </c>
      <c r="E2387" s="18" t="inlineStr">
        <is>
          <t>미끄래곤</t>
        </is>
      </c>
      <c r="F2387" s="18" t="inlineStr">
        <is>
          <t>goodra</t>
        </is>
      </c>
      <c r="G2387" s="18" t="inlineStr">
        <is>
          <t>goodra</t>
        </is>
      </c>
      <c r="H2387" s="18" t="inlineStr"/>
      <c r="I2387" s="18" t="n">
        <v>6</v>
      </c>
      <c r="J2387" s="18" t="n"/>
      <c r="K2387" s="18" t="n">
        <v>6</v>
      </c>
      <c r="L2387" s="18" t="inlineStr">
        <is>
          <t>cobbleventure:generation_6</t>
        </is>
      </c>
      <c r="M2387" s="19" t="inlineStr">
        <is>
          <t>cobbleventure:generation_6</t>
        </is>
      </c>
      <c r="N2387" s="18" t="inlineStr">
        <is>
          <t>region_02</t>
        </is>
      </c>
      <c r="O2387" s="19" t="inlineStr"/>
      <c r="P2387" s="18" t="inlineStr">
        <is>
          <t>#cobblemon:is_swamp</t>
        </is>
      </c>
      <c r="Q2387" s="19" t="inlineStr"/>
      <c r="R2387" s="18">
        <f>IF(Q2387="",P2387,Q2387)</f>
        <v/>
      </c>
      <c r="S2387" s="18" t="inlineStr"/>
      <c r="T2387" s="18" t="inlineStr">
        <is>
          <t>rare</t>
        </is>
      </c>
      <c r="U2387" s="20" t="n">
        <v>0.25</v>
      </c>
      <c r="V2387" s="21" t="n">
        <v>1</v>
      </c>
      <c r="W2387" s="20">
        <f>IF(OR(U2387="",V2387=""),U2387,U2387*V2387)</f>
        <v/>
      </c>
      <c r="X2387" s="18" t="inlineStr">
        <is>
          <t>50-60</t>
        </is>
      </c>
      <c r="Y2387" s="19" t="inlineStr"/>
      <c r="Z2387" s="18">
        <f>IF(Y2387="",X2387,Y2387)</f>
        <v/>
      </c>
      <c r="AA2387" s="18" t="inlineStr">
        <is>
          <t>grounded</t>
        </is>
      </c>
      <c r="AB2387" s="18" t="inlineStr"/>
      <c r="AC2387" s="18" t="inlineStr">
        <is>
          <t>비=True</t>
        </is>
      </c>
      <c r="AD2387" s="18" t="inlineStr"/>
      <c r="AE2387" s="18" t="inlineStr">
        <is>
          <t>sky 8-15</t>
        </is>
      </c>
      <c r="AF2387" s="18" t="inlineStr"/>
      <c r="AG2387" s="18" t="inlineStr"/>
      <c r="AH2387" s="18" t="inlineStr"/>
      <c r="AI2387" s="18" t="inlineStr"/>
      <c r="AJ2387" s="18" t="inlineStr">
        <is>
          <t>Cobblemon 동일</t>
        </is>
      </c>
      <c r="AK2387" s="18" t="inlineStr">
        <is>
          <t>사용</t>
        </is>
      </c>
      <c r="AL2387" s="18" t="inlineStr">
        <is>
          <t>COBBLEVERSE 1.7.42 / DP v31</t>
        </is>
      </c>
      <c r="AM2387" s="18" t="inlineStr">
        <is>
          <t>data/cobblemon/spawn_pool_world/0706_goodra.json</t>
        </is>
      </c>
      <c r="AN2387" s="18" t="inlineStr">
        <is>
          <t>goodra-1</t>
        </is>
      </c>
      <c r="AO2387" s="18" t="inlineStr">
        <is>
          <t>pokemon</t>
        </is>
      </c>
      <c r="AP2387" s="18" t="inlineStr">
        <is>
          <t>natural; wild</t>
        </is>
      </c>
      <c r="AQ2387" s="18" t="inlineStr">
        <is>
          <t>{"biomes":["#cobblemon:is_swamp"],"isRaining":true,"maxSkyLight":15,"minSkyLight":8}</t>
        </is>
      </c>
      <c r="AR2387" s="18" t="inlineStr"/>
      <c r="AS2387" s="18" t="inlineStr"/>
      <c r="AT2387" s="19" t="inlineStr"/>
    </row>
    <row r="2388" ht="32" customHeight="1">
      <c r="A2388" s="18" t="inlineStr">
        <is>
          <t>0706_goodra.json::goodra-2::002</t>
        </is>
      </c>
      <c r="B2388" s="19" t="inlineStr">
        <is>
          <t>사용</t>
        </is>
      </c>
      <c r="C2388" s="18">
        <f>IF(OR(B2388&lt;&gt;AK2388,M2388&lt;&gt;L2388,O2388&lt;&gt;"",Q2388&lt;&gt;"",V2388&lt;&gt;1,Y2388&lt;&gt;"",AT2388&lt;&gt;""),"수정","원본")</f>
        <v/>
      </c>
      <c r="D2388" s="18" t="n">
        <v>706</v>
      </c>
      <c r="E2388" s="18" t="inlineStr">
        <is>
          <t>미끄래곤</t>
        </is>
      </c>
      <c r="F2388" s="18" t="inlineStr">
        <is>
          <t>goodra</t>
        </is>
      </c>
      <c r="G2388" s="18" t="inlineStr">
        <is>
          <t>goodra</t>
        </is>
      </c>
      <c r="H2388" s="18" t="inlineStr"/>
      <c r="I2388" s="18" t="n">
        <v>6</v>
      </c>
      <c r="J2388" s="18" t="n"/>
      <c r="K2388" s="18" t="n">
        <v>6</v>
      </c>
      <c r="L2388" s="18" t="inlineStr">
        <is>
          <t>cobbleventure:generation_6</t>
        </is>
      </c>
      <c r="M2388" s="19" t="inlineStr">
        <is>
          <t>cobbleventure:generation_6</t>
        </is>
      </c>
      <c r="N2388" s="18" t="inlineStr">
        <is>
          <t>region_02</t>
        </is>
      </c>
      <c r="O2388" s="19" t="inlineStr"/>
      <c r="P2388" s="18" t="inlineStr">
        <is>
          <t>#cobblemon:is_swamp</t>
        </is>
      </c>
      <c r="Q2388" s="19" t="inlineStr"/>
      <c r="R2388" s="18">
        <f>IF(Q2388="",P2388,Q2388)</f>
        <v/>
      </c>
      <c r="S2388" s="18" t="inlineStr"/>
      <c r="T2388" s="18" t="inlineStr">
        <is>
          <t>ultra-rare</t>
        </is>
      </c>
      <c r="U2388" s="20" t="n">
        <v>0.4</v>
      </c>
      <c r="V2388" s="21" t="n">
        <v>1</v>
      </c>
      <c r="W2388" s="20">
        <f>IF(OR(U2388="",V2388=""),U2388,U2388*V2388)</f>
        <v/>
      </c>
      <c r="X2388" s="18" t="inlineStr">
        <is>
          <t>50-60</t>
        </is>
      </c>
      <c r="Y2388" s="19" t="inlineStr"/>
      <c r="Z2388" s="18">
        <f>IF(Y2388="",X2388,Y2388)</f>
        <v/>
      </c>
      <c r="AA2388" s="18" t="inlineStr">
        <is>
          <t>grounded</t>
        </is>
      </c>
      <c r="AB2388" s="18" t="inlineStr"/>
      <c r="AC2388" s="18" t="inlineStr">
        <is>
          <t>비=False</t>
        </is>
      </c>
      <c r="AD2388" s="18" t="inlineStr"/>
      <c r="AE2388" s="18" t="inlineStr">
        <is>
          <t>sky 8-15</t>
        </is>
      </c>
      <c r="AF2388" s="18" t="inlineStr"/>
      <c r="AG2388" s="18" t="inlineStr"/>
      <c r="AH2388" s="18" t="inlineStr"/>
      <c r="AI2388" s="18" t="inlineStr"/>
      <c r="AJ2388" s="18" t="inlineStr">
        <is>
          <t>Cobblemon 동일</t>
        </is>
      </c>
      <c r="AK2388" s="18" t="inlineStr">
        <is>
          <t>사용</t>
        </is>
      </c>
      <c r="AL2388" s="18" t="inlineStr">
        <is>
          <t>COBBLEVERSE 1.7.42 / DP v31</t>
        </is>
      </c>
      <c r="AM2388" s="18" t="inlineStr">
        <is>
          <t>data/cobblemon/spawn_pool_world/0706_goodra.json</t>
        </is>
      </c>
      <c r="AN2388" s="18" t="inlineStr">
        <is>
          <t>goodra-2</t>
        </is>
      </c>
      <c r="AO2388" s="18" t="inlineStr">
        <is>
          <t>pokemon</t>
        </is>
      </c>
      <c r="AP2388" s="18" t="inlineStr">
        <is>
          <t>natural; wild</t>
        </is>
      </c>
      <c r="AQ2388" s="18" t="inlineStr">
        <is>
          <t>{"biomes":["#cobblemon:is_swamp"],"isRaining":false,"maxSkyLight":15,"minSkyLight":8}</t>
        </is>
      </c>
      <c r="AR2388" s="18" t="inlineStr">
        <is>
          <t>{"isSlimeChunk":true}</t>
        </is>
      </c>
      <c r="AS2388" s="18" t="inlineStr"/>
      <c r="AT2388" s="19" t="inlineStr"/>
    </row>
    <row r="2389" ht="32" customHeight="1">
      <c r="A2389" s="18" t="inlineStr">
        <is>
          <t>0706_goodra.json::goodra-3::003</t>
        </is>
      </c>
      <c r="B2389" s="19" t="inlineStr">
        <is>
          <t>사용</t>
        </is>
      </c>
      <c r="C2389" s="18">
        <f>IF(OR(B2389&lt;&gt;AK2389,M2389&lt;&gt;L2389,O2389&lt;&gt;"",Q2389&lt;&gt;"",V2389&lt;&gt;1,Y2389&lt;&gt;"",AT2389&lt;&gt;""),"수정","원본")</f>
        <v/>
      </c>
      <c r="D2389" s="18" t="n">
        <v>706</v>
      </c>
      <c r="E2389" s="18" t="inlineStr">
        <is>
          <t>미끄래곤</t>
        </is>
      </c>
      <c r="F2389" s="18" t="inlineStr">
        <is>
          <t>goodra</t>
        </is>
      </c>
      <c r="G2389" s="18" t="inlineStr">
        <is>
          <t>goodra</t>
        </is>
      </c>
      <c r="H2389" s="18" t="inlineStr"/>
      <c r="I2389" s="18" t="n">
        <v>6</v>
      </c>
      <c r="J2389" s="18" t="n"/>
      <c r="K2389" s="18" t="n">
        <v>6</v>
      </c>
      <c r="L2389" s="18" t="inlineStr">
        <is>
          <t>cobbleventure:generation_6</t>
        </is>
      </c>
      <c r="M2389" s="19" t="inlineStr">
        <is>
          <t>cobbleventure:generation_6</t>
        </is>
      </c>
      <c r="N2389" s="18" t="inlineStr">
        <is>
          <t>region_02</t>
        </is>
      </c>
      <c r="O2389" s="19" t="inlineStr"/>
      <c r="P2389" s="18" t="inlineStr">
        <is>
          <t>#cobblemon:is_swamp</t>
        </is>
      </c>
      <c r="Q2389" s="19" t="inlineStr"/>
      <c r="R2389" s="18">
        <f>IF(Q2389="",P2389,Q2389)</f>
        <v/>
      </c>
      <c r="S2389" s="18" t="inlineStr"/>
      <c r="T2389" s="18" t="inlineStr">
        <is>
          <t>rare</t>
        </is>
      </c>
      <c r="U2389" s="20" t="n">
        <v>0.25</v>
      </c>
      <c r="V2389" s="21" t="n">
        <v>1</v>
      </c>
      <c r="W2389" s="20">
        <f>IF(OR(U2389="",V2389=""),U2389,U2389*V2389)</f>
        <v/>
      </c>
      <c r="X2389" s="18" t="inlineStr">
        <is>
          <t>50-60</t>
        </is>
      </c>
      <c r="Y2389" s="19" t="inlineStr"/>
      <c r="Z2389" s="18">
        <f>IF(Y2389="",X2389,Y2389)</f>
        <v/>
      </c>
      <c r="AA2389" s="18" t="inlineStr">
        <is>
          <t>grounded</t>
        </is>
      </c>
      <c r="AB2389" s="18" t="inlineStr"/>
      <c r="AC2389" s="18" t="inlineStr">
        <is>
          <t>비=False</t>
        </is>
      </c>
      <c r="AD2389" s="18" t="inlineStr"/>
      <c r="AE2389" s="18" t="inlineStr">
        <is>
          <t>sky 8-15</t>
        </is>
      </c>
      <c r="AF2389" s="18" t="inlineStr"/>
      <c r="AG2389" s="18" t="inlineStr"/>
      <c r="AH2389" s="18" t="inlineStr"/>
      <c r="AI2389" s="18" t="inlineStr">
        <is>
          <t>{"condition":{"isSlimeChunk":true}}</t>
        </is>
      </c>
      <c r="AJ2389" s="18" t="inlineStr">
        <is>
          <t>Cobblemon 동일</t>
        </is>
      </c>
      <c r="AK2389" s="18" t="inlineStr">
        <is>
          <t>사용</t>
        </is>
      </c>
      <c r="AL2389" s="18" t="inlineStr">
        <is>
          <t>COBBLEVERSE 1.7.42 / DP v31</t>
        </is>
      </c>
      <c r="AM2389" s="18" t="inlineStr">
        <is>
          <t>data/cobblemon/spawn_pool_world/0706_goodra.json</t>
        </is>
      </c>
      <c r="AN2389" s="18" t="inlineStr">
        <is>
          <t>goodra-3</t>
        </is>
      </c>
      <c r="AO2389" s="18" t="inlineStr">
        <is>
          <t>pokemon</t>
        </is>
      </c>
      <c r="AP2389" s="18" t="inlineStr">
        <is>
          <t>natural; wild</t>
        </is>
      </c>
      <c r="AQ2389" s="18" t="inlineStr">
        <is>
          <t>{"biomes":["#cobblemon:is_swamp"],"isRaining":false,"isSlimeChunk":true,"maxSkyLight":15,"minSkyLight":8}</t>
        </is>
      </c>
      <c r="AR2389" s="18" t="inlineStr"/>
      <c r="AS2389" s="18" t="inlineStr"/>
      <c r="AT2389" s="19" t="inlineStr"/>
    </row>
    <row r="2390" ht="32" customHeight="1">
      <c r="A2390" s="18" t="inlineStr">
        <is>
          <t>0706_goodra.json::goodra-4::004</t>
        </is>
      </c>
      <c r="B2390" s="19" t="inlineStr">
        <is>
          <t>사용</t>
        </is>
      </c>
      <c r="C2390" s="18">
        <f>IF(OR(B2390&lt;&gt;AK2390,M2390&lt;&gt;L2390,O2390&lt;&gt;"",Q2390&lt;&gt;"",V2390&lt;&gt;1,Y2390&lt;&gt;"",AT2390&lt;&gt;""),"수정","원본")</f>
        <v/>
      </c>
      <c r="D2390" s="18" t="n">
        <v>706</v>
      </c>
      <c r="E2390" s="18" t="inlineStr">
        <is>
          <t>미끄래곤</t>
        </is>
      </c>
      <c r="F2390" s="18" t="inlineStr">
        <is>
          <t>goodra</t>
        </is>
      </c>
      <c r="G2390" s="18" t="inlineStr">
        <is>
          <t>goodra</t>
        </is>
      </c>
      <c r="H2390" s="18" t="inlineStr"/>
      <c r="I2390" s="18" t="n">
        <v>6</v>
      </c>
      <c r="J2390" s="18" t="n"/>
      <c r="K2390" s="18" t="n">
        <v>6</v>
      </c>
      <c r="L2390" s="18" t="inlineStr">
        <is>
          <t>cobbleventure:generation_6</t>
        </is>
      </c>
      <c r="M2390" s="19" t="inlineStr">
        <is>
          <t>cobbleventure:generation_6</t>
        </is>
      </c>
      <c r="N2390" s="18" t="inlineStr">
        <is>
          <t>region_02</t>
        </is>
      </c>
      <c r="O2390" s="19" t="inlineStr"/>
      <c r="P2390" s="18" t="inlineStr">
        <is>
          <t>#cobblemon:is_swamp</t>
        </is>
      </c>
      <c r="Q2390" s="19" t="inlineStr"/>
      <c r="R2390" s="18">
        <f>IF(Q2390="",P2390,Q2390)</f>
        <v/>
      </c>
      <c r="S2390" s="18" t="inlineStr"/>
      <c r="T2390" s="18" t="inlineStr">
        <is>
          <t>ultra-rare</t>
        </is>
      </c>
      <c r="U2390" s="20" t="n">
        <v>0.4</v>
      </c>
      <c r="V2390" s="21" t="n">
        <v>1</v>
      </c>
      <c r="W2390" s="20">
        <f>IF(OR(U2390="",V2390=""),U2390,U2390*V2390)</f>
        <v/>
      </c>
      <c r="X2390" s="18" t="inlineStr">
        <is>
          <t>50-60</t>
        </is>
      </c>
      <c r="Y2390" s="19" t="inlineStr"/>
      <c r="Z2390" s="18">
        <f>IF(Y2390="",X2390,Y2390)</f>
        <v/>
      </c>
      <c r="AA2390" s="18" t="inlineStr">
        <is>
          <t>fishing</t>
        </is>
      </c>
      <c r="AB2390" s="18" t="inlineStr"/>
      <c r="AC2390" s="18" t="inlineStr"/>
      <c r="AD2390" s="18" t="inlineStr"/>
      <c r="AE2390" s="18" t="inlineStr">
        <is>
          <t>sky 8-15</t>
        </is>
      </c>
      <c r="AF2390" s="18" t="inlineStr"/>
      <c r="AG2390" s="18" t="inlineStr"/>
      <c r="AH2390" s="18" t="inlineStr"/>
      <c r="AI2390" s="18" t="inlineStr"/>
      <c r="AJ2390" s="18" t="inlineStr">
        <is>
          <t>Cobblemon 동일</t>
        </is>
      </c>
      <c r="AK2390" s="18" t="inlineStr">
        <is>
          <t>사용</t>
        </is>
      </c>
      <c r="AL2390" s="18" t="inlineStr">
        <is>
          <t>COBBLEVERSE 1.7.42 / DP v31</t>
        </is>
      </c>
      <c r="AM2390" s="18" t="inlineStr">
        <is>
          <t>data/cobblemon/spawn_pool_world/0706_goodra.json</t>
        </is>
      </c>
      <c r="AN2390" s="18" t="inlineStr">
        <is>
          <t>goodra-4</t>
        </is>
      </c>
      <c r="AO2390" s="18" t="inlineStr">
        <is>
          <t>pokemon</t>
        </is>
      </c>
      <c r="AP2390" s="18" t="inlineStr"/>
      <c r="AQ2390" s="18" t="inlineStr">
        <is>
          <t>{"biomes":["#cobblemon:is_swamp"],"maxSkyLight":15,"minSkyLight":8}</t>
        </is>
      </c>
      <c r="AR2390" s="18" t="inlineStr">
        <is>
          <t>{"isSlimeChunk":true}</t>
        </is>
      </c>
      <c r="AS2390" s="18" t="inlineStr"/>
      <c r="AT2390" s="19" t="inlineStr"/>
    </row>
    <row r="2391" ht="32" customHeight="1">
      <c r="A2391" s="18" t="inlineStr">
        <is>
          <t>0706_goodra.json::goodra-5::005</t>
        </is>
      </c>
      <c r="B2391" s="19" t="inlineStr">
        <is>
          <t>사용</t>
        </is>
      </c>
      <c r="C2391" s="18">
        <f>IF(OR(B2391&lt;&gt;AK2391,M2391&lt;&gt;L2391,O2391&lt;&gt;"",Q2391&lt;&gt;"",V2391&lt;&gt;1,Y2391&lt;&gt;"",AT2391&lt;&gt;""),"수정","원본")</f>
        <v/>
      </c>
      <c r="D2391" s="18" t="n">
        <v>706</v>
      </c>
      <c r="E2391" s="18" t="inlineStr">
        <is>
          <t>미끄래곤</t>
        </is>
      </c>
      <c r="F2391" s="18" t="inlineStr">
        <is>
          <t>goodra</t>
        </is>
      </c>
      <c r="G2391" s="18" t="inlineStr">
        <is>
          <t>goodra</t>
        </is>
      </c>
      <c r="H2391" s="18" t="inlineStr"/>
      <c r="I2391" s="18" t="n">
        <v>6</v>
      </c>
      <c r="J2391" s="18" t="n"/>
      <c r="K2391" s="18" t="n">
        <v>6</v>
      </c>
      <c r="L2391" s="18" t="inlineStr">
        <is>
          <t>cobbleventure:generation_6</t>
        </is>
      </c>
      <c r="M2391" s="19" t="inlineStr">
        <is>
          <t>cobbleventure:generation_6</t>
        </is>
      </c>
      <c r="N2391" s="18" t="inlineStr">
        <is>
          <t>region_02</t>
        </is>
      </c>
      <c r="O2391" s="19" t="inlineStr"/>
      <c r="P2391" s="18" t="inlineStr">
        <is>
          <t>#cobblemon:is_swamp</t>
        </is>
      </c>
      <c r="Q2391" s="19" t="inlineStr"/>
      <c r="R2391" s="18">
        <f>IF(Q2391="",P2391,Q2391)</f>
        <v/>
      </c>
      <c r="S2391" s="18" t="inlineStr"/>
      <c r="T2391" s="18" t="inlineStr">
        <is>
          <t>rare</t>
        </is>
      </c>
      <c r="U2391" s="20" t="n">
        <v>0.25</v>
      </c>
      <c r="V2391" s="21" t="n">
        <v>1</v>
      </c>
      <c r="W2391" s="20">
        <f>IF(OR(U2391="",V2391=""),U2391,U2391*V2391)</f>
        <v/>
      </c>
      <c r="X2391" s="18" t="inlineStr">
        <is>
          <t>50-60</t>
        </is>
      </c>
      <c r="Y2391" s="19" t="inlineStr"/>
      <c r="Z2391" s="18">
        <f>IF(Y2391="",X2391,Y2391)</f>
        <v/>
      </c>
      <c r="AA2391" s="18" t="inlineStr">
        <is>
          <t>fishing</t>
        </is>
      </c>
      <c r="AB2391" s="18" t="inlineStr"/>
      <c r="AC2391" s="18" t="inlineStr"/>
      <c r="AD2391" s="18" t="inlineStr"/>
      <c r="AE2391" s="18" t="inlineStr">
        <is>
          <t>sky 8-15</t>
        </is>
      </c>
      <c r="AF2391" s="18" t="inlineStr"/>
      <c r="AG2391" s="18" t="inlineStr"/>
      <c r="AH2391" s="18" t="inlineStr"/>
      <c r="AI2391" s="18" t="inlineStr">
        <is>
          <t>{"condition":{"isSlimeChunk":true}}</t>
        </is>
      </c>
      <c r="AJ2391" s="18" t="inlineStr">
        <is>
          <t>Cobblemon 동일</t>
        </is>
      </c>
      <c r="AK2391" s="18" t="inlineStr">
        <is>
          <t>사용</t>
        </is>
      </c>
      <c r="AL2391" s="18" t="inlineStr">
        <is>
          <t>COBBLEVERSE 1.7.42 / DP v31</t>
        </is>
      </c>
      <c r="AM2391" s="18" t="inlineStr">
        <is>
          <t>data/cobblemon/spawn_pool_world/0706_goodra.json</t>
        </is>
      </c>
      <c r="AN2391" s="18" t="inlineStr">
        <is>
          <t>goodra-5</t>
        </is>
      </c>
      <c r="AO2391" s="18" t="inlineStr">
        <is>
          <t>pokemon</t>
        </is>
      </c>
      <c r="AP2391" s="18" t="inlineStr"/>
      <c r="AQ2391" s="18" t="inlineStr">
        <is>
          <t>{"biomes":["#cobblemon:is_swamp"],"isSlimeChunk":true,"maxSkyLight":15,"minSkyLight":8}</t>
        </is>
      </c>
      <c r="AR2391" s="18" t="inlineStr"/>
      <c r="AS2391" s="18" t="inlineStr"/>
      <c r="AT2391" s="19" t="inlineStr"/>
    </row>
    <row r="2392" ht="32" customHeight="1">
      <c r="A2392" s="18" t="inlineStr">
        <is>
          <t>0706_goodra.json::goodra-6::006</t>
        </is>
      </c>
      <c r="B2392" s="19" t="inlineStr">
        <is>
          <t>사용</t>
        </is>
      </c>
      <c r="C2392" s="18">
        <f>IF(OR(B2392&lt;&gt;AK2392,M2392&lt;&gt;L2392,O2392&lt;&gt;"",Q2392&lt;&gt;"",V2392&lt;&gt;1,Y2392&lt;&gt;"",AT2392&lt;&gt;""),"수정","원본")</f>
        <v/>
      </c>
      <c r="D2392" s="18" t="n">
        <v>706</v>
      </c>
      <c r="E2392" s="18" t="inlineStr">
        <is>
          <t>미끄래곤</t>
        </is>
      </c>
      <c r="F2392" s="18" t="inlineStr">
        <is>
          <t>goodra</t>
        </is>
      </c>
      <c r="G2392" s="18" t="inlineStr">
        <is>
          <t>goodra</t>
        </is>
      </c>
      <c r="H2392" s="18" t="inlineStr"/>
      <c r="I2392" s="18" t="n">
        <v>6</v>
      </c>
      <c r="J2392" s="18" t="n"/>
      <c r="K2392" s="18" t="n">
        <v>6</v>
      </c>
      <c r="L2392" s="18" t="inlineStr">
        <is>
          <t>cobbleventure:generation_6</t>
        </is>
      </c>
      <c r="M2392" s="19" t="inlineStr">
        <is>
          <t>cobbleventure:generation_6</t>
        </is>
      </c>
      <c r="N2392" s="18" t="inlineStr">
        <is>
          <t>region_01</t>
        </is>
      </c>
      <c r="O2392" s="19" t="inlineStr"/>
      <c r="P2392" s="18" t="inlineStr">
        <is>
          <t>#cobblemon:is_overworld</t>
        </is>
      </c>
      <c r="Q2392" s="19" t="inlineStr"/>
      <c r="R2392" s="18">
        <f>IF(Q2392="",P2392,Q2392)</f>
        <v/>
      </c>
      <c r="S2392" s="18" t="inlineStr">
        <is>
          <t>#cobblemon:is_arid; #cobblemon:is_coast; #cobblemon:is_ocean; #cobblemon:is_freezing; #cobblemon:is_swamp</t>
        </is>
      </c>
      <c r="T2392" s="18" t="inlineStr">
        <is>
          <t>ultra-rare</t>
        </is>
      </c>
      <c r="U2392" s="20" t="n">
        <v>0.4</v>
      </c>
      <c r="V2392" s="21" t="n">
        <v>1</v>
      </c>
      <c r="W2392" s="20">
        <f>IF(OR(U2392="",V2392=""),U2392,U2392*V2392)</f>
        <v/>
      </c>
      <c r="X2392" s="18" t="inlineStr">
        <is>
          <t>50-60</t>
        </is>
      </c>
      <c r="Y2392" s="19" t="inlineStr"/>
      <c r="Z2392" s="18">
        <f>IF(Y2392="",X2392,Y2392)</f>
        <v/>
      </c>
      <c r="AA2392" s="18" t="inlineStr">
        <is>
          <t>fishing</t>
        </is>
      </c>
      <c r="AB2392" s="18" t="inlineStr"/>
      <c r="AC2392" s="18" t="inlineStr"/>
      <c r="AD2392" s="18" t="inlineStr"/>
      <c r="AE2392" s="18" t="inlineStr">
        <is>
          <t>sky 8-15</t>
        </is>
      </c>
      <c r="AF2392" s="18" t="inlineStr"/>
      <c r="AG2392" s="18" t="inlineStr"/>
      <c r="AH2392" s="18" t="inlineStr"/>
      <c r="AI2392" s="18" t="inlineStr">
        <is>
          <t>{"condition":{"isSlimeChunk":true}}</t>
        </is>
      </c>
      <c r="AJ2392" s="18" t="inlineStr">
        <is>
          <t>Cobblemon 동일</t>
        </is>
      </c>
      <c r="AK2392" s="18" t="inlineStr">
        <is>
          <t>사용</t>
        </is>
      </c>
      <c r="AL2392" s="18" t="inlineStr">
        <is>
          <t>COBBLEVERSE 1.7.42 / DP v31</t>
        </is>
      </c>
      <c r="AM2392" s="18" t="inlineStr">
        <is>
          <t>data/cobblemon/spawn_pool_world/0706_goodra.json</t>
        </is>
      </c>
      <c r="AN2392" s="18" t="inlineStr">
        <is>
          <t>goodra-6</t>
        </is>
      </c>
      <c r="AO2392" s="18" t="inlineStr">
        <is>
          <t>pokemon</t>
        </is>
      </c>
      <c r="AP2392" s="18" t="inlineStr"/>
      <c r="AQ2392" s="18" t="inlineStr">
        <is>
          <t>{"biomes":["#cobblemon:is_overworld"],"isSlimeChunk":true,"maxSkyLight":15,"minSkyLight":8}</t>
        </is>
      </c>
      <c r="AR2392" s="18" t="inlineStr">
        <is>
          <t>{"biomes":["#cobblemon:is_arid","#cobblemon:is_coast","#cobblemon:is_ocean","#cobblemon:is_freezing","#cobblemon:is_swamp"]}</t>
        </is>
      </c>
      <c r="AS2392" s="18" t="inlineStr"/>
      <c r="AT2392" s="19" t="inlineStr"/>
    </row>
    <row r="2393" ht="32" customHeight="1">
      <c r="A2393" s="18" t="inlineStr">
        <is>
          <t>0706_goodra.json::goodra-hisuian-7::007</t>
        </is>
      </c>
      <c r="B2393" s="19" t="inlineStr">
        <is>
          <t>사용</t>
        </is>
      </c>
      <c r="C2393" s="18">
        <f>IF(OR(B2393&lt;&gt;AK2393,M2393&lt;&gt;L2393,O2393&lt;&gt;"",Q2393&lt;&gt;"",V2393&lt;&gt;1,Y2393&lt;&gt;"",AT2393&lt;&gt;""),"수정","원본")</f>
        <v/>
      </c>
      <c r="D2393" s="18" t="n">
        <v>706</v>
      </c>
      <c r="E2393" s="18" t="inlineStr">
        <is>
          <t>미끄래곤</t>
        </is>
      </c>
      <c r="F2393" s="18" t="inlineStr">
        <is>
          <t>goodra</t>
        </is>
      </c>
      <c r="G2393" s="18" t="inlineStr">
        <is>
          <t>goodra hisuian</t>
        </is>
      </c>
      <c r="H2393" s="18" t="inlineStr">
        <is>
          <t>hisuian</t>
        </is>
      </c>
      <c r="I2393" s="18" t="n">
        <v>6</v>
      </c>
      <c r="J2393" s="18" t="n">
        <v>8</v>
      </c>
      <c r="K2393" s="18" t="n">
        <v>8</v>
      </c>
      <c r="L2393" s="18" t="inlineStr">
        <is>
          <t>cobbleventure:generation_8</t>
        </is>
      </c>
      <c r="M2393" s="19" t="inlineStr">
        <is>
          <t>cobbleventure:generation_8</t>
        </is>
      </c>
      <c r="N2393" s="18" t="inlineStr"/>
      <c r="O2393" s="19" t="inlineStr"/>
      <c r="P2393" s="18" t="inlineStr">
        <is>
          <t>#cobblemon:is_dripstone; #cobblemon:is_lush</t>
        </is>
      </c>
      <c r="Q2393" s="19" t="inlineStr"/>
      <c r="R2393" s="18">
        <f>IF(Q2393="",P2393,Q2393)</f>
        <v/>
      </c>
      <c r="S2393" s="18" t="inlineStr"/>
      <c r="T2393" s="18" t="inlineStr">
        <is>
          <t>rare</t>
        </is>
      </c>
      <c r="U2393" s="20" t="n">
        <v>0.25</v>
      </c>
      <c r="V2393" s="21" t="n">
        <v>1</v>
      </c>
      <c r="W2393" s="20">
        <f>IF(OR(U2393="",V2393=""),U2393,U2393*V2393)</f>
        <v/>
      </c>
      <c r="X2393" s="18" t="inlineStr">
        <is>
          <t>50-60</t>
        </is>
      </c>
      <c r="Y2393" s="19" t="inlineStr"/>
      <c r="Z2393" s="18">
        <f>IF(Y2393="",X2393,Y2393)</f>
        <v/>
      </c>
      <c r="AA2393" s="18" t="inlineStr">
        <is>
          <t>grounded</t>
        </is>
      </c>
      <c r="AB2393" s="18" t="inlineStr"/>
      <c r="AC2393" s="18" t="inlineStr"/>
      <c r="AD2393" s="18" t="inlineStr"/>
      <c r="AE2393" s="18" t="inlineStr">
        <is>
          <t>sky 0-7</t>
        </is>
      </c>
      <c r="AF2393" s="18" t="inlineStr"/>
      <c r="AG2393" s="18" t="inlineStr"/>
      <c r="AH2393" s="18" t="inlineStr"/>
      <c r="AI2393" s="18" t="inlineStr"/>
      <c r="AJ2393" s="18" t="inlineStr">
        <is>
          <t>Cobblemon 동일</t>
        </is>
      </c>
      <c r="AK2393" s="18" t="inlineStr">
        <is>
          <t>사용</t>
        </is>
      </c>
      <c r="AL2393" s="18" t="inlineStr">
        <is>
          <t>COBBLEVERSE 1.7.42 / DP v31</t>
        </is>
      </c>
      <c r="AM2393" s="18" t="inlineStr">
        <is>
          <t>data/cobblemon/spawn_pool_world/0706_goodra.json</t>
        </is>
      </c>
      <c r="AN2393" s="18" t="inlineStr">
        <is>
          <t>goodra-hisuian-7</t>
        </is>
      </c>
      <c r="AO2393" s="18" t="inlineStr">
        <is>
          <t>pokemon</t>
        </is>
      </c>
      <c r="AP2393" s="18" t="inlineStr">
        <is>
          <t>natural</t>
        </is>
      </c>
      <c r="AQ2393" s="18" t="inlineStr">
        <is>
          <t>{"biomes":["#cobblemon:is_dripstone","#cobblemon:is_lush"],"maxSkyLight":7,"minSkyLight":0}</t>
        </is>
      </c>
      <c r="AR2393" s="18" t="inlineStr"/>
      <c r="AS2393" s="18" t="inlineStr"/>
      <c r="AT2393" s="19" t="inlineStr"/>
    </row>
    <row r="2394" ht="32" customHeight="1">
      <c r="A2394" s="18" t="inlineStr">
        <is>
          <t>0706_goodra.json::goodra-hisuian-8::008</t>
        </is>
      </c>
      <c r="B2394" s="19" t="inlineStr">
        <is>
          <t>사용</t>
        </is>
      </c>
      <c r="C2394" s="18">
        <f>IF(OR(B2394&lt;&gt;AK2394,M2394&lt;&gt;L2394,O2394&lt;&gt;"",Q2394&lt;&gt;"",V2394&lt;&gt;1,Y2394&lt;&gt;"",AT2394&lt;&gt;""),"수정","원본")</f>
        <v/>
      </c>
      <c r="D2394" s="18" t="n">
        <v>706</v>
      </c>
      <c r="E2394" s="18" t="inlineStr">
        <is>
          <t>미끄래곤</t>
        </is>
      </c>
      <c r="F2394" s="18" t="inlineStr">
        <is>
          <t>goodra</t>
        </is>
      </c>
      <c r="G2394" s="18" t="inlineStr">
        <is>
          <t>goodra hisuian</t>
        </is>
      </c>
      <c r="H2394" s="18" t="inlineStr">
        <is>
          <t>hisuian</t>
        </is>
      </c>
      <c r="I2394" s="18" t="n">
        <v>6</v>
      </c>
      <c r="J2394" s="18" t="n">
        <v>8</v>
      </c>
      <c r="K2394" s="18" t="n">
        <v>8</v>
      </c>
      <c r="L2394" s="18" t="inlineStr">
        <is>
          <t>cobbleventure:generation_8</t>
        </is>
      </c>
      <c r="M2394" s="19" t="inlineStr">
        <is>
          <t>cobbleventure:generation_8</t>
        </is>
      </c>
      <c r="N2394" s="18" t="inlineStr">
        <is>
          <t>region_01; region_02</t>
        </is>
      </c>
      <c r="O2394" s="19" t="inlineStr"/>
      <c r="P2394" s="18" t="inlineStr">
        <is>
          <t>#cobblemon:is_overworld</t>
        </is>
      </c>
      <c r="Q2394" s="19" t="inlineStr"/>
      <c r="R2394" s="18">
        <f>IF(Q2394="",P2394,Q2394)</f>
        <v/>
      </c>
      <c r="S2394" s="18" t="inlineStr">
        <is>
          <t>#cobblemon:is_dripstone; #cobblemon:is_lush</t>
        </is>
      </c>
      <c r="T2394" s="18" t="inlineStr">
        <is>
          <t>ultra-rare</t>
        </is>
      </c>
      <c r="U2394" s="20" t="n">
        <v>0.4</v>
      </c>
      <c r="V2394" s="21" t="n">
        <v>1</v>
      </c>
      <c r="W2394" s="20">
        <f>IF(OR(U2394="",V2394=""),U2394,U2394*V2394)</f>
        <v/>
      </c>
      <c r="X2394" s="18" t="inlineStr">
        <is>
          <t>50-60</t>
        </is>
      </c>
      <c r="Y2394" s="19" t="inlineStr"/>
      <c r="Z2394" s="18">
        <f>IF(Y2394="",X2394,Y2394)</f>
        <v/>
      </c>
      <c r="AA2394" s="18" t="inlineStr">
        <is>
          <t>grounded</t>
        </is>
      </c>
      <c r="AB2394" s="18" t="inlineStr"/>
      <c r="AC2394" s="18" t="inlineStr"/>
      <c r="AD2394" s="18" t="inlineStr"/>
      <c r="AE2394" s="18" t="inlineStr">
        <is>
          <t>sky 0-7</t>
        </is>
      </c>
      <c r="AF2394" s="18" t="inlineStr"/>
      <c r="AG2394" s="18" t="inlineStr"/>
      <c r="AH2394" s="18" t="inlineStr">
        <is>
          <t>주변=minecraft:water</t>
        </is>
      </c>
      <c r="AI2394" s="18" t="inlineStr"/>
      <c r="AJ2394" s="18" t="inlineStr">
        <is>
          <t>Cobblemon 동일</t>
        </is>
      </c>
      <c r="AK2394" s="18" t="inlineStr">
        <is>
          <t>사용</t>
        </is>
      </c>
      <c r="AL2394" s="18" t="inlineStr">
        <is>
          <t>COBBLEVERSE 1.7.42 / DP v31</t>
        </is>
      </c>
      <c r="AM2394" s="18" t="inlineStr">
        <is>
          <t>data/cobblemon/spawn_pool_world/0706_goodra.json</t>
        </is>
      </c>
      <c r="AN2394" s="18" t="inlineStr">
        <is>
          <t>goodra-hisuian-8</t>
        </is>
      </c>
      <c r="AO2394" s="18" t="inlineStr">
        <is>
          <t>pokemon</t>
        </is>
      </c>
      <c r="AP2394" s="18" t="inlineStr">
        <is>
          <t>natural</t>
        </is>
      </c>
      <c r="AQ2394" s="18" t="inlineStr">
        <is>
          <t>{"biomes":["#cobblemon:is_overworld"],"maxSkyLight":7,"minSkyLight":0,"neededNearbyBlocks":["minecraft:water"]}</t>
        </is>
      </c>
      <c r="AR2394" s="18" t="inlineStr">
        <is>
          <t>{"biomes":["#cobblemon:is_dripstone","#cobblemon:is_lush"],"isSlimeChunk":true}</t>
        </is>
      </c>
      <c r="AS2394" s="18" t="inlineStr"/>
      <c r="AT2394" s="19" t="inlineStr"/>
    </row>
    <row r="2395" ht="32" customHeight="1">
      <c r="A2395" s="18" t="inlineStr">
        <is>
          <t>0706_goodra.json::goodra-hisuian-9::009</t>
        </is>
      </c>
      <c r="B2395" s="19" t="inlineStr">
        <is>
          <t>사용</t>
        </is>
      </c>
      <c r="C2395" s="18">
        <f>IF(OR(B2395&lt;&gt;AK2395,M2395&lt;&gt;L2395,O2395&lt;&gt;"",Q2395&lt;&gt;"",V2395&lt;&gt;1,Y2395&lt;&gt;"",AT2395&lt;&gt;""),"수정","원본")</f>
        <v/>
      </c>
      <c r="D2395" s="18" t="n">
        <v>706</v>
      </c>
      <c r="E2395" s="18" t="inlineStr">
        <is>
          <t>미끄래곤</t>
        </is>
      </c>
      <c r="F2395" s="18" t="inlineStr">
        <is>
          <t>goodra</t>
        </is>
      </c>
      <c r="G2395" s="18" t="inlineStr">
        <is>
          <t>goodra hisuian</t>
        </is>
      </c>
      <c r="H2395" s="18" t="inlineStr">
        <is>
          <t>hisuian</t>
        </is>
      </c>
      <c r="I2395" s="18" t="n">
        <v>6</v>
      </c>
      <c r="J2395" s="18" t="n">
        <v>8</v>
      </c>
      <c r="K2395" s="18" t="n">
        <v>8</v>
      </c>
      <c r="L2395" s="18" t="inlineStr">
        <is>
          <t>cobbleventure:generation_8</t>
        </is>
      </c>
      <c r="M2395" s="19" t="inlineStr">
        <is>
          <t>cobbleventure:generation_8</t>
        </is>
      </c>
      <c r="N2395" s="18" t="inlineStr">
        <is>
          <t>region_01; region_02</t>
        </is>
      </c>
      <c r="O2395" s="19" t="inlineStr"/>
      <c r="P2395" s="18" t="inlineStr">
        <is>
          <t>#cobblemon:is_overworld</t>
        </is>
      </c>
      <c r="Q2395" s="19" t="inlineStr"/>
      <c r="R2395" s="18">
        <f>IF(Q2395="",P2395,Q2395)</f>
        <v/>
      </c>
      <c r="S2395" s="18" t="inlineStr">
        <is>
          <t>#cobblemon:is_dripstone; #cobblemon:is_lush</t>
        </is>
      </c>
      <c r="T2395" s="18" t="inlineStr">
        <is>
          <t>rare</t>
        </is>
      </c>
      <c r="U2395" s="20" t="n">
        <v>0.25</v>
      </c>
      <c r="V2395" s="21" t="n">
        <v>1</v>
      </c>
      <c r="W2395" s="20">
        <f>IF(OR(U2395="",V2395=""),U2395,U2395*V2395)</f>
        <v/>
      </c>
      <c r="X2395" s="18" t="inlineStr">
        <is>
          <t>50-60</t>
        </is>
      </c>
      <c r="Y2395" s="19" t="inlineStr"/>
      <c r="Z2395" s="18">
        <f>IF(Y2395="",X2395,Y2395)</f>
        <v/>
      </c>
      <c r="AA2395" s="18" t="inlineStr">
        <is>
          <t>grounded</t>
        </is>
      </c>
      <c r="AB2395" s="18" t="inlineStr"/>
      <c r="AC2395" s="18" t="inlineStr"/>
      <c r="AD2395" s="18" t="inlineStr"/>
      <c r="AE2395" s="18" t="inlineStr">
        <is>
          <t>sky 0-7</t>
        </is>
      </c>
      <c r="AF2395" s="18" t="inlineStr"/>
      <c r="AG2395" s="18" t="inlineStr"/>
      <c r="AH2395" s="18" t="inlineStr"/>
      <c r="AI2395" s="18" t="inlineStr">
        <is>
          <t>{"condition":{"isSlimeChunk":true}}</t>
        </is>
      </c>
      <c r="AJ2395" s="18" t="inlineStr">
        <is>
          <t>Cobblemon 동일</t>
        </is>
      </c>
      <c r="AK2395" s="18" t="inlineStr">
        <is>
          <t>사용</t>
        </is>
      </c>
      <c r="AL2395" s="18" t="inlineStr">
        <is>
          <t>COBBLEVERSE 1.7.42 / DP v31</t>
        </is>
      </c>
      <c r="AM2395" s="18" t="inlineStr">
        <is>
          <t>data/cobblemon/spawn_pool_world/0706_goodra.json</t>
        </is>
      </c>
      <c r="AN2395" s="18" t="inlineStr">
        <is>
          <t>goodra-hisuian-9</t>
        </is>
      </c>
      <c r="AO2395" s="18" t="inlineStr">
        <is>
          <t>pokemon</t>
        </is>
      </c>
      <c r="AP2395" s="18" t="inlineStr">
        <is>
          <t>natural</t>
        </is>
      </c>
      <c r="AQ2395" s="18" t="inlineStr">
        <is>
          <t>{"biomes":["#cobblemon:is_overworld"],"isSlimeChunk":true,"maxSkyLight":7,"minSkyLight":0}</t>
        </is>
      </c>
      <c r="AR2395" s="18" t="inlineStr">
        <is>
          <t>{"biomes":["#cobblemon:is_dripstone","#cobblemon:is_lush"]}</t>
        </is>
      </c>
      <c r="AS2395" s="18" t="inlineStr"/>
      <c r="AT2395" s="19" t="inlineStr"/>
    </row>
    <row r="2396" ht="32" customHeight="1">
      <c r="A2396" s="18" t="inlineStr">
        <is>
          <t>0706_goodra.json::goodra-hisuian-10::010</t>
        </is>
      </c>
      <c r="B2396" s="19" t="inlineStr">
        <is>
          <t>사용</t>
        </is>
      </c>
      <c r="C2396" s="18">
        <f>IF(OR(B2396&lt;&gt;AK2396,M2396&lt;&gt;L2396,O2396&lt;&gt;"",Q2396&lt;&gt;"",V2396&lt;&gt;1,Y2396&lt;&gt;"",AT2396&lt;&gt;""),"수정","원본")</f>
        <v/>
      </c>
      <c r="D2396" s="18" t="n">
        <v>706</v>
      </c>
      <c r="E2396" s="18" t="inlineStr">
        <is>
          <t>미끄래곤</t>
        </is>
      </c>
      <c r="F2396" s="18" t="inlineStr">
        <is>
          <t>goodra</t>
        </is>
      </c>
      <c r="G2396" s="18" t="inlineStr">
        <is>
          <t>goodra hisuian</t>
        </is>
      </c>
      <c r="H2396" s="18" t="inlineStr">
        <is>
          <t>hisuian</t>
        </is>
      </c>
      <c r="I2396" s="18" t="n">
        <v>6</v>
      </c>
      <c r="J2396" s="18" t="n">
        <v>8</v>
      </c>
      <c r="K2396" s="18" t="n">
        <v>8</v>
      </c>
      <c r="L2396" s="18" t="inlineStr">
        <is>
          <t>cobbleventure:generation_8</t>
        </is>
      </c>
      <c r="M2396" s="19" t="inlineStr">
        <is>
          <t>cobbleventure:generation_8</t>
        </is>
      </c>
      <c r="N2396" s="18" t="inlineStr"/>
      <c r="O2396" s="19" t="inlineStr"/>
      <c r="P2396" s="18" t="inlineStr">
        <is>
          <t>#cobblemon:is_dripstone; #cobblemon:is_lush</t>
        </is>
      </c>
      <c r="Q2396" s="19" t="inlineStr"/>
      <c r="R2396" s="18">
        <f>IF(Q2396="",P2396,Q2396)</f>
        <v/>
      </c>
      <c r="S2396" s="18" t="inlineStr"/>
      <c r="T2396" s="18" t="inlineStr">
        <is>
          <t>rare</t>
        </is>
      </c>
      <c r="U2396" s="20" t="n">
        <v>0.25</v>
      </c>
      <c r="V2396" s="21" t="n">
        <v>1</v>
      </c>
      <c r="W2396" s="20">
        <f>IF(OR(U2396="",V2396=""),U2396,U2396*V2396)</f>
        <v/>
      </c>
      <c r="X2396" s="18" t="inlineStr">
        <is>
          <t>50-60</t>
        </is>
      </c>
      <c r="Y2396" s="19" t="inlineStr"/>
      <c r="Z2396" s="18">
        <f>IF(Y2396="",X2396,Y2396)</f>
        <v/>
      </c>
      <c r="AA2396" s="18" t="inlineStr">
        <is>
          <t>fishing</t>
        </is>
      </c>
      <c r="AB2396" s="18" t="inlineStr"/>
      <c r="AC2396" s="18" t="inlineStr"/>
      <c r="AD2396" s="18" t="inlineStr"/>
      <c r="AE2396" s="18" t="inlineStr">
        <is>
          <t>sky 0-7</t>
        </is>
      </c>
      <c r="AF2396" s="18" t="inlineStr"/>
      <c r="AG2396" s="18" t="inlineStr"/>
      <c r="AH2396" s="18" t="inlineStr"/>
      <c r="AI2396" s="18" t="inlineStr"/>
      <c r="AJ2396" s="18" t="inlineStr">
        <is>
          <t>Cobblemon 동일</t>
        </is>
      </c>
      <c r="AK2396" s="18" t="inlineStr">
        <is>
          <t>사용</t>
        </is>
      </c>
      <c r="AL2396" s="18" t="inlineStr">
        <is>
          <t>COBBLEVERSE 1.7.42 / DP v31</t>
        </is>
      </c>
      <c r="AM2396" s="18" t="inlineStr">
        <is>
          <t>data/cobblemon/spawn_pool_world/0706_goodra.json</t>
        </is>
      </c>
      <c r="AN2396" s="18" t="inlineStr">
        <is>
          <t>goodra-hisuian-10</t>
        </is>
      </c>
      <c r="AO2396" s="18" t="inlineStr">
        <is>
          <t>pokemon</t>
        </is>
      </c>
      <c r="AP2396" s="18" t="inlineStr">
        <is>
          <t>natural</t>
        </is>
      </c>
      <c r="AQ2396" s="18" t="inlineStr">
        <is>
          <t>{"biomes":["#cobblemon:is_dripstone","#cobblemon:is_lush"],"maxSkyLight":7,"minSkyLight":0}</t>
        </is>
      </c>
      <c r="AR2396" s="18" t="inlineStr">
        <is>
          <t>{"minLureLevel":2}</t>
        </is>
      </c>
      <c r="AS2396" s="18" t="inlineStr"/>
      <c r="AT2396" s="19" t="inlineStr"/>
    </row>
    <row r="2397" ht="32" customHeight="1">
      <c r="A2397" s="18" t="inlineStr">
        <is>
          <t>0706_goodra.json::goodra-hisuian-11::011</t>
        </is>
      </c>
      <c r="B2397" s="19" t="inlineStr">
        <is>
          <t>사용</t>
        </is>
      </c>
      <c r="C2397" s="18">
        <f>IF(OR(B2397&lt;&gt;AK2397,M2397&lt;&gt;L2397,O2397&lt;&gt;"",Q2397&lt;&gt;"",V2397&lt;&gt;1,Y2397&lt;&gt;"",AT2397&lt;&gt;""),"수정","원본")</f>
        <v/>
      </c>
      <c r="D2397" s="18" t="n">
        <v>706</v>
      </c>
      <c r="E2397" s="18" t="inlineStr">
        <is>
          <t>미끄래곤</t>
        </is>
      </c>
      <c r="F2397" s="18" t="inlineStr">
        <is>
          <t>goodra</t>
        </is>
      </c>
      <c r="G2397" s="18" t="inlineStr">
        <is>
          <t>goodra hisuian</t>
        </is>
      </c>
      <c r="H2397" s="18" t="inlineStr">
        <is>
          <t>hisuian</t>
        </is>
      </c>
      <c r="I2397" s="18" t="n">
        <v>6</v>
      </c>
      <c r="J2397" s="18" t="n">
        <v>8</v>
      </c>
      <c r="K2397" s="18" t="n">
        <v>8</v>
      </c>
      <c r="L2397" s="18" t="inlineStr">
        <is>
          <t>cobbleventure:generation_8</t>
        </is>
      </c>
      <c r="M2397" s="19" t="inlineStr">
        <is>
          <t>cobbleventure:generation_8</t>
        </is>
      </c>
      <c r="N2397" s="18" t="inlineStr"/>
      <c r="O2397" s="19" t="inlineStr"/>
      <c r="P2397" s="18" t="inlineStr">
        <is>
          <t>#cobblemon:is_dripstone; #cobblemon:is_lush</t>
        </is>
      </c>
      <c r="Q2397" s="19" t="inlineStr"/>
      <c r="R2397" s="18">
        <f>IF(Q2397="",P2397,Q2397)</f>
        <v/>
      </c>
      <c r="S2397" s="18" t="inlineStr"/>
      <c r="T2397" s="18" t="inlineStr">
        <is>
          <t>common</t>
        </is>
      </c>
      <c r="U2397" s="20" t="n">
        <v>0.02</v>
      </c>
      <c r="V2397" s="21" t="n">
        <v>1</v>
      </c>
      <c r="W2397" s="20">
        <f>IF(OR(U2397="",V2397=""),U2397,U2397*V2397)</f>
        <v/>
      </c>
      <c r="X2397" s="18" t="inlineStr">
        <is>
          <t>50-60</t>
        </is>
      </c>
      <c r="Y2397" s="19" t="inlineStr"/>
      <c r="Z2397" s="18">
        <f>IF(Y2397="",X2397,Y2397)</f>
        <v/>
      </c>
      <c r="AA2397" s="18" t="inlineStr">
        <is>
          <t>fishing</t>
        </is>
      </c>
      <c r="AB2397" s="18" t="inlineStr"/>
      <c r="AC2397" s="18" t="inlineStr"/>
      <c r="AD2397" s="18" t="inlineStr"/>
      <c r="AE2397" s="18" t="inlineStr">
        <is>
          <t>sky 0-7</t>
        </is>
      </c>
      <c r="AF2397" s="18" t="inlineStr"/>
      <c r="AG2397" s="18" t="inlineStr"/>
      <c r="AH2397" s="18" t="inlineStr"/>
      <c r="AI2397" s="18" t="inlineStr">
        <is>
          <t>{"fishing":{"minLureLevel":2}}</t>
        </is>
      </c>
      <c r="AJ2397" s="18" t="inlineStr">
        <is>
          <t>Cobblemon 동일</t>
        </is>
      </c>
      <c r="AK2397" s="18" t="inlineStr">
        <is>
          <t>사용</t>
        </is>
      </c>
      <c r="AL2397" s="18" t="inlineStr">
        <is>
          <t>COBBLEVERSE 1.7.42 / DP v31</t>
        </is>
      </c>
      <c r="AM2397" s="18" t="inlineStr">
        <is>
          <t>data/cobblemon/spawn_pool_world/0706_goodra.json</t>
        </is>
      </c>
      <c r="AN2397" s="18" t="inlineStr">
        <is>
          <t>goodra-hisuian-11</t>
        </is>
      </c>
      <c r="AO2397" s="18" t="inlineStr">
        <is>
          <t>pokemon</t>
        </is>
      </c>
      <c r="AP2397" s="18" t="inlineStr">
        <is>
          <t>natural</t>
        </is>
      </c>
      <c r="AQ2397" s="18" t="inlineStr">
        <is>
          <t>{"biomes":["#cobblemon:is_dripstone","#cobblemon:is_lush"],"maxSkyLight":7,"minLureLevel":2,"minSkyLight":0}</t>
        </is>
      </c>
      <c r="AR2397" s="18" t="inlineStr"/>
      <c r="AS2397" s="18" t="inlineStr">
        <is>
          <t>{"weightMultiplier":{"condition":{"minLureLevel":3},"multiplier":3.0}}</t>
        </is>
      </c>
      <c r="AT2397" s="19" t="inlineStr"/>
    </row>
    <row r="2398" ht="32" customHeight="1">
      <c r="A2398" s="18" t="inlineStr">
        <is>
          <t>0706_goodra.json::goodra-hisuian-12::012</t>
        </is>
      </c>
      <c r="B2398" s="19" t="inlineStr">
        <is>
          <t>사용</t>
        </is>
      </c>
      <c r="C2398" s="18">
        <f>IF(OR(B2398&lt;&gt;AK2398,M2398&lt;&gt;L2398,O2398&lt;&gt;"",Q2398&lt;&gt;"",V2398&lt;&gt;1,Y2398&lt;&gt;"",AT2398&lt;&gt;""),"수정","원본")</f>
        <v/>
      </c>
      <c r="D2398" s="18" t="n">
        <v>706</v>
      </c>
      <c r="E2398" s="18" t="inlineStr">
        <is>
          <t>미끄래곤</t>
        </is>
      </c>
      <c r="F2398" s="18" t="inlineStr">
        <is>
          <t>goodra</t>
        </is>
      </c>
      <c r="G2398" s="18" t="inlineStr">
        <is>
          <t>goodra hisuian</t>
        </is>
      </c>
      <c r="H2398" s="18" t="inlineStr">
        <is>
          <t>hisuian</t>
        </is>
      </c>
      <c r="I2398" s="18" t="n">
        <v>6</v>
      </c>
      <c r="J2398" s="18" t="n">
        <v>8</v>
      </c>
      <c r="K2398" s="18" t="n">
        <v>8</v>
      </c>
      <c r="L2398" s="18" t="inlineStr">
        <is>
          <t>cobbleventure:generation_8</t>
        </is>
      </c>
      <c r="M2398" s="19" t="inlineStr">
        <is>
          <t>cobbleventure:generation_8</t>
        </is>
      </c>
      <c r="N2398" s="18" t="inlineStr">
        <is>
          <t>region_01; region_02</t>
        </is>
      </c>
      <c r="O2398" s="19" t="inlineStr"/>
      <c r="P2398" s="18" t="inlineStr">
        <is>
          <t>#cobblemon:is_overworld</t>
        </is>
      </c>
      <c r="Q2398" s="19" t="inlineStr"/>
      <c r="R2398" s="18">
        <f>IF(Q2398="",P2398,Q2398)</f>
        <v/>
      </c>
      <c r="S2398" s="18" t="inlineStr">
        <is>
          <t>#cobblemon:is_dripstone; #cobblemon:is_lush</t>
        </is>
      </c>
      <c r="T2398" s="18" t="inlineStr">
        <is>
          <t>ultra-rare</t>
        </is>
      </c>
      <c r="U2398" s="20" t="n">
        <v>0.4</v>
      </c>
      <c r="V2398" s="21" t="n">
        <v>1</v>
      </c>
      <c r="W2398" s="20">
        <f>IF(OR(U2398="",V2398=""),U2398,U2398*V2398)</f>
        <v/>
      </c>
      <c r="X2398" s="18" t="inlineStr">
        <is>
          <t>50-60</t>
        </is>
      </c>
      <c r="Y2398" s="19" t="inlineStr"/>
      <c r="Z2398" s="18">
        <f>IF(Y2398="",X2398,Y2398)</f>
        <v/>
      </c>
      <c r="AA2398" s="18" t="inlineStr">
        <is>
          <t>fishing</t>
        </is>
      </c>
      <c r="AB2398" s="18" t="inlineStr"/>
      <c r="AC2398" s="18" t="inlineStr"/>
      <c r="AD2398" s="18" t="inlineStr"/>
      <c r="AE2398" s="18" t="inlineStr">
        <is>
          <t>sky 0-7</t>
        </is>
      </c>
      <c r="AF2398" s="18" t="inlineStr"/>
      <c r="AG2398" s="18" t="inlineStr"/>
      <c r="AH2398" s="18" t="inlineStr"/>
      <c r="AI2398" s="18" t="inlineStr"/>
      <c r="AJ2398" s="18" t="inlineStr">
        <is>
          <t>Cobblemon 동일</t>
        </is>
      </c>
      <c r="AK2398" s="18" t="inlineStr">
        <is>
          <t>사용</t>
        </is>
      </c>
      <c r="AL2398" s="18" t="inlineStr">
        <is>
          <t>COBBLEVERSE 1.7.42 / DP v31</t>
        </is>
      </c>
      <c r="AM2398" s="18" t="inlineStr">
        <is>
          <t>data/cobblemon/spawn_pool_world/0706_goodra.json</t>
        </is>
      </c>
      <c r="AN2398" s="18" t="inlineStr">
        <is>
          <t>goodra-hisuian-12</t>
        </is>
      </c>
      <c r="AO2398" s="18" t="inlineStr">
        <is>
          <t>pokemon</t>
        </is>
      </c>
      <c r="AP2398" s="18" t="inlineStr">
        <is>
          <t>natural</t>
        </is>
      </c>
      <c r="AQ2398" s="18" t="inlineStr">
        <is>
          <t>{"biomes":["#cobblemon:is_overworld"],"maxSkyLight":7,"minSkyLight":0}</t>
        </is>
      </c>
      <c r="AR2398" s="18" t="inlineStr">
        <is>
          <t>{"biomes":["#cobblemon:is_dripstone","#cobblemon:is_lush"],"isSlimeChunk":true,"minLureLevel":2}</t>
        </is>
      </c>
      <c r="AS2398" s="18" t="inlineStr"/>
      <c r="AT2398" s="19" t="inlineStr"/>
    </row>
    <row r="2399" ht="32" customHeight="1">
      <c r="A2399" s="18" t="inlineStr">
        <is>
          <t>0706_goodra.json::goodra-hisuian-13::013</t>
        </is>
      </c>
      <c r="B2399" s="19" t="inlineStr">
        <is>
          <t>사용</t>
        </is>
      </c>
      <c r="C2399" s="18">
        <f>IF(OR(B2399&lt;&gt;AK2399,M2399&lt;&gt;L2399,O2399&lt;&gt;"",Q2399&lt;&gt;"",V2399&lt;&gt;1,Y2399&lt;&gt;"",AT2399&lt;&gt;""),"수정","원본")</f>
        <v/>
      </c>
      <c r="D2399" s="18" t="n">
        <v>706</v>
      </c>
      <c r="E2399" s="18" t="inlineStr">
        <is>
          <t>미끄래곤</t>
        </is>
      </c>
      <c r="F2399" s="18" t="inlineStr">
        <is>
          <t>goodra</t>
        </is>
      </c>
      <c r="G2399" s="18" t="inlineStr">
        <is>
          <t>goodra hisuian</t>
        </is>
      </c>
      <c r="H2399" s="18" t="inlineStr">
        <is>
          <t>hisuian</t>
        </is>
      </c>
      <c r="I2399" s="18" t="n">
        <v>6</v>
      </c>
      <c r="J2399" s="18" t="n">
        <v>8</v>
      </c>
      <c r="K2399" s="18" t="n">
        <v>8</v>
      </c>
      <c r="L2399" s="18" t="inlineStr">
        <is>
          <t>cobbleventure:generation_8</t>
        </is>
      </c>
      <c r="M2399" s="19" t="inlineStr">
        <is>
          <t>cobbleventure:generation_8</t>
        </is>
      </c>
      <c r="N2399" s="18" t="inlineStr">
        <is>
          <t>region_01; region_02</t>
        </is>
      </c>
      <c r="O2399" s="19" t="inlineStr"/>
      <c r="P2399" s="18" t="inlineStr">
        <is>
          <t>#cobblemon:is_overworld</t>
        </is>
      </c>
      <c r="Q2399" s="19" t="inlineStr"/>
      <c r="R2399" s="18">
        <f>IF(Q2399="",P2399,Q2399)</f>
        <v/>
      </c>
      <c r="S2399" s="18" t="inlineStr">
        <is>
          <t>#cobblemon:is_dripstone; #cobblemon:is_lush</t>
        </is>
      </c>
      <c r="T2399" s="18" t="inlineStr">
        <is>
          <t>rare</t>
        </is>
      </c>
      <c r="U2399" s="20" t="n">
        <v>0.25</v>
      </c>
      <c r="V2399" s="21" t="n">
        <v>1</v>
      </c>
      <c r="W2399" s="20">
        <f>IF(OR(U2399="",V2399=""),U2399,U2399*V2399)</f>
        <v/>
      </c>
      <c r="X2399" s="18" t="inlineStr">
        <is>
          <t>50-60</t>
        </is>
      </c>
      <c r="Y2399" s="19" t="inlineStr"/>
      <c r="Z2399" s="18">
        <f>IF(Y2399="",X2399,Y2399)</f>
        <v/>
      </c>
      <c r="AA2399" s="18" t="inlineStr">
        <is>
          <t>fishing</t>
        </is>
      </c>
      <c r="AB2399" s="18" t="inlineStr"/>
      <c r="AC2399" s="18" t="inlineStr"/>
      <c r="AD2399" s="18" t="inlineStr"/>
      <c r="AE2399" s="18" t="inlineStr">
        <is>
          <t>sky 0-7</t>
        </is>
      </c>
      <c r="AF2399" s="18" t="inlineStr"/>
      <c r="AG2399" s="18" t="inlineStr"/>
      <c r="AH2399" s="18" t="inlineStr"/>
      <c r="AI2399" s="18" t="inlineStr">
        <is>
          <t>{"fishing":{"maxLureLevel":2,"minLureLevel":2}}</t>
        </is>
      </c>
      <c r="AJ2399" s="18" t="inlineStr">
        <is>
          <t>Cobblemon 동일</t>
        </is>
      </c>
      <c r="AK2399" s="18" t="inlineStr">
        <is>
          <t>사용</t>
        </is>
      </c>
      <c r="AL2399" s="18" t="inlineStr">
        <is>
          <t>COBBLEVERSE 1.7.42 / DP v31</t>
        </is>
      </c>
      <c r="AM2399" s="18" t="inlineStr">
        <is>
          <t>data/cobblemon/spawn_pool_world/0706_goodra.json</t>
        </is>
      </c>
      <c r="AN2399" s="18" t="inlineStr">
        <is>
          <t>goodra-hisuian-13</t>
        </is>
      </c>
      <c r="AO2399" s="18" t="inlineStr">
        <is>
          <t>pokemon</t>
        </is>
      </c>
      <c r="AP2399" s="18" t="inlineStr">
        <is>
          <t>natural</t>
        </is>
      </c>
      <c r="AQ2399" s="18" t="inlineStr">
        <is>
          <t>{"biomes":["#cobblemon:is_overworld"],"maxLureLevel":2,"maxSkyLight":7,"minLureLevel":2,"minSkyLight":0}</t>
        </is>
      </c>
      <c r="AR2399" s="18" t="inlineStr">
        <is>
          <t>{"biomes":["#cobblemon:is_dripstone","#cobblemon:is_lush"],"isSlimeChunk":true}</t>
        </is>
      </c>
      <c r="AS2399" s="18" t="inlineStr"/>
      <c r="AT2399" s="19" t="inlineStr"/>
    </row>
    <row r="2400" ht="32" customHeight="1">
      <c r="A2400" s="18" t="inlineStr">
        <is>
          <t>0706_goodra.json::goodra-hisuian-14::014</t>
        </is>
      </c>
      <c r="B2400" s="19" t="inlineStr">
        <is>
          <t>사용</t>
        </is>
      </c>
      <c r="C2400" s="18">
        <f>IF(OR(B2400&lt;&gt;AK2400,M2400&lt;&gt;L2400,O2400&lt;&gt;"",Q2400&lt;&gt;"",V2400&lt;&gt;1,Y2400&lt;&gt;"",AT2400&lt;&gt;""),"수정","원본")</f>
        <v/>
      </c>
      <c r="D2400" s="18" t="n">
        <v>706</v>
      </c>
      <c r="E2400" s="18" t="inlineStr">
        <is>
          <t>미끄래곤</t>
        </is>
      </c>
      <c r="F2400" s="18" t="inlineStr">
        <is>
          <t>goodra</t>
        </is>
      </c>
      <c r="G2400" s="18" t="inlineStr">
        <is>
          <t>goodra hisuian</t>
        </is>
      </c>
      <c r="H2400" s="18" t="inlineStr">
        <is>
          <t>hisuian</t>
        </is>
      </c>
      <c r="I2400" s="18" t="n">
        <v>6</v>
      </c>
      <c r="J2400" s="18" t="n">
        <v>8</v>
      </c>
      <c r="K2400" s="18" t="n">
        <v>8</v>
      </c>
      <c r="L2400" s="18" t="inlineStr">
        <is>
          <t>cobbleventure:generation_8</t>
        </is>
      </c>
      <c r="M2400" s="19" t="inlineStr">
        <is>
          <t>cobbleventure:generation_8</t>
        </is>
      </c>
      <c r="N2400" s="18" t="inlineStr">
        <is>
          <t>region_01; region_02</t>
        </is>
      </c>
      <c r="O2400" s="19" t="inlineStr"/>
      <c r="P2400" s="18" t="inlineStr">
        <is>
          <t>#cobblemon:is_overworld</t>
        </is>
      </c>
      <c r="Q2400" s="19" t="inlineStr"/>
      <c r="R2400" s="18">
        <f>IF(Q2400="",P2400,Q2400)</f>
        <v/>
      </c>
      <c r="S2400" s="18" t="inlineStr">
        <is>
          <t>#cobblemon:is_dripstone; #cobblemon:is_lush</t>
        </is>
      </c>
      <c r="T2400" s="18" t="inlineStr">
        <is>
          <t>common</t>
        </is>
      </c>
      <c r="U2400" s="20" t="n">
        <v>0.02</v>
      </c>
      <c r="V2400" s="21" t="n">
        <v>1</v>
      </c>
      <c r="W2400" s="20">
        <f>IF(OR(U2400="",V2400=""),U2400,U2400*V2400)</f>
        <v/>
      </c>
      <c r="X2400" s="18" t="inlineStr">
        <is>
          <t>50-60</t>
        </is>
      </c>
      <c r="Y2400" s="19" t="inlineStr"/>
      <c r="Z2400" s="18">
        <f>IF(Y2400="",X2400,Y2400)</f>
        <v/>
      </c>
      <c r="AA2400" s="18" t="inlineStr">
        <is>
          <t>fishing</t>
        </is>
      </c>
      <c r="AB2400" s="18" t="inlineStr"/>
      <c r="AC2400" s="18" t="inlineStr"/>
      <c r="AD2400" s="18" t="inlineStr"/>
      <c r="AE2400" s="18" t="inlineStr">
        <is>
          <t>sky 0-7</t>
        </is>
      </c>
      <c r="AF2400" s="18" t="inlineStr"/>
      <c r="AG2400" s="18" t="inlineStr"/>
      <c r="AH2400" s="18" t="inlineStr"/>
      <c r="AI2400" s="18" t="inlineStr">
        <is>
          <t>{"fishing":{"minLureLevel":3}}</t>
        </is>
      </c>
      <c r="AJ2400" s="18" t="inlineStr">
        <is>
          <t>Cobblemon 동일</t>
        </is>
      </c>
      <c r="AK2400" s="18" t="inlineStr">
        <is>
          <t>사용</t>
        </is>
      </c>
      <c r="AL2400" s="18" t="inlineStr">
        <is>
          <t>COBBLEVERSE 1.7.42 / DP v31</t>
        </is>
      </c>
      <c r="AM2400" s="18" t="inlineStr">
        <is>
          <t>data/cobblemon/spawn_pool_world/0706_goodra.json</t>
        </is>
      </c>
      <c r="AN2400" s="18" t="inlineStr">
        <is>
          <t>goodra-hisuian-14</t>
        </is>
      </c>
      <c r="AO2400" s="18" t="inlineStr">
        <is>
          <t>pokemon</t>
        </is>
      </c>
      <c r="AP2400" s="18" t="inlineStr">
        <is>
          <t>natural</t>
        </is>
      </c>
      <c r="AQ2400" s="18" t="inlineStr">
        <is>
          <t>{"biomes":["#cobblemon:is_overworld"],"maxSkyLight":7,"minLureLevel":3,"minSkyLight":0}</t>
        </is>
      </c>
      <c r="AR2400" s="18" t="inlineStr">
        <is>
          <t>{"biomes":["#cobblemon:is_dripstone","#cobblemon:is_lush"],"isSlimeChunk":true}</t>
        </is>
      </c>
      <c r="AS2400" s="18" t="inlineStr"/>
      <c r="AT2400" s="19" t="inlineStr"/>
    </row>
    <row r="2401" ht="32" customHeight="1">
      <c r="A2401" s="18" t="inlineStr">
        <is>
          <t>0706_goodra.json::goodra-hisuian-15::015</t>
        </is>
      </c>
      <c r="B2401" s="19" t="inlineStr">
        <is>
          <t>사용</t>
        </is>
      </c>
      <c r="C2401" s="18">
        <f>IF(OR(B2401&lt;&gt;AK2401,M2401&lt;&gt;L2401,O2401&lt;&gt;"",Q2401&lt;&gt;"",V2401&lt;&gt;1,Y2401&lt;&gt;"",AT2401&lt;&gt;""),"수정","원본")</f>
        <v/>
      </c>
      <c r="D2401" s="18" t="n">
        <v>706</v>
      </c>
      <c r="E2401" s="18" t="inlineStr">
        <is>
          <t>미끄래곤</t>
        </is>
      </c>
      <c r="F2401" s="18" t="inlineStr">
        <is>
          <t>goodra</t>
        </is>
      </c>
      <c r="G2401" s="18" t="inlineStr">
        <is>
          <t>goodra hisuian</t>
        </is>
      </c>
      <c r="H2401" s="18" t="inlineStr">
        <is>
          <t>hisuian</t>
        </is>
      </c>
      <c r="I2401" s="18" t="n">
        <v>6</v>
      </c>
      <c r="J2401" s="18" t="n">
        <v>8</v>
      </c>
      <c r="K2401" s="18" t="n">
        <v>8</v>
      </c>
      <c r="L2401" s="18" t="inlineStr">
        <is>
          <t>cobbleventure:generation_8</t>
        </is>
      </c>
      <c r="M2401" s="19" t="inlineStr">
        <is>
          <t>cobbleventure:generation_8</t>
        </is>
      </c>
      <c r="N2401" s="18" t="inlineStr">
        <is>
          <t>region_01; region_02</t>
        </is>
      </c>
      <c r="O2401" s="19" t="inlineStr"/>
      <c r="P2401" s="18" t="inlineStr">
        <is>
          <t>#cobblemon:is_overworld</t>
        </is>
      </c>
      <c r="Q2401" s="19" t="inlineStr"/>
      <c r="R2401" s="18">
        <f>IF(Q2401="",P2401,Q2401)</f>
        <v/>
      </c>
      <c r="S2401" s="18" t="inlineStr">
        <is>
          <t>#cobblemon:is_dripstone; #cobblemon:is_lush</t>
        </is>
      </c>
      <c r="T2401" s="18" t="inlineStr">
        <is>
          <t>rare</t>
        </is>
      </c>
      <c r="U2401" s="20" t="n">
        <v>0.25</v>
      </c>
      <c r="V2401" s="21" t="n">
        <v>1</v>
      </c>
      <c r="W2401" s="20">
        <f>IF(OR(U2401="",V2401=""),U2401,U2401*V2401)</f>
        <v/>
      </c>
      <c r="X2401" s="18" t="inlineStr">
        <is>
          <t>50-60</t>
        </is>
      </c>
      <c r="Y2401" s="19" t="inlineStr"/>
      <c r="Z2401" s="18">
        <f>IF(Y2401="",X2401,Y2401)</f>
        <v/>
      </c>
      <c r="AA2401" s="18" t="inlineStr">
        <is>
          <t>fishing</t>
        </is>
      </c>
      <c r="AB2401" s="18" t="inlineStr"/>
      <c r="AC2401" s="18" t="inlineStr"/>
      <c r="AD2401" s="18" t="inlineStr"/>
      <c r="AE2401" s="18" t="inlineStr">
        <is>
          <t>sky 0-7</t>
        </is>
      </c>
      <c r="AF2401" s="18" t="inlineStr"/>
      <c r="AG2401" s="18" t="inlineStr"/>
      <c r="AH2401" s="18" t="inlineStr"/>
      <c r="AI2401" s="18" t="inlineStr">
        <is>
          <t>{"condition":{"isSlimeChunk":true}}</t>
        </is>
      </c>
      <c r="AJ2401" s="18" t="inlineStr">
        <is>
          <t>Cobblemon 동일</t>
        </is>
      </c>
      <c r="AK2401" s="18" t="inlineStr">
        <is>
          <t>사용</t>
        </is>
      </c>
      <c r="AL2401" s="18" t="inlineStr">
        <is>
          <t>COBBLEVERSE 1.7.42 / DP v31</t>
        </is>
      </c>
      <c r="AM2401" s="18" t="inlineStr">
        <is>
          <t>data/cobblemon/spawn_pool_world/0706_goodra.json</t>
        </is>
      </c>
      <c r="AN2401" s="18" t="inlineStr">
        <is>
          <t>goodra-hisuian-15</t>
        </is>
      </c>
      <c r="AO2401" s="18" t="inlineStr">
        <is>
          <t>pokemon</t>
        </is>
      </c>
      <c r="AP2401" s="18" t="inlineStr">
        <is>
          <t>natural</t>
        </is>
      </c>
      <c r="AQ2401" s="18" t="inlineStr">
        <is>
          <t>{"biomes":["#cobblemon:is_overworld"],"isSlimeChunk":true,"maxSkyLight":7,"minSkyLight":0}</t>
        </is>
      </c>
      <c r="AR2401" s="18" t="inlineStr">
        <is>
          <t>{"biomes":["#cobblemon:is_dripstone","#cobblemon:is_lush"],"minLureLevel":2}</t>
        </is>
      </c>
      <c r="AS2401" s="18" t="inlineStr"/>
      <c r="AT2401" s="19" t="inlineStr"/>
    </row>
    <row r="2402" ht="32" customHeight="1">
      <c r="A2402" s="18" t="inlineStr">
        <is>
          <t>0706_goodra.json::goodra-hisuian-16::016</t>
        </is>
      </c>
      <c r="B2402" s="19" t="inlineStr">
        <is>
          <t>사용</t>
        </is>
      </c>
      <c r="C2402" s="18">
        <f>IF(OR(B2402&lt;&gt;AK2402,M2402&lt;&gt;L2402,O2402&lt;&gt;"",Q2402&lt;&gt;"",V2402&lt;&gt;1,Y2402&lt;&gt;"",AT2402&lt;&gt;""),"수정","원본")</f>
        <v/>
      </c>
      <c r="D2402" s="18" t="n">
        <v>706</v>
      </c>
      <c r="E2402" s="18" t="inlineStr">
        <is>
          <t>미끄래곤</t>
        </is>
      </c>
      <c r="F2402" s="18" t="inlineStr">
        <is>
          <t>goodra</t>
        </is>
      </c>
      <c r="G2402" s="18" t="inlineStr">
        <is>
          <t>goodra hisuian</t>
        </is>
      </c>
      <c r="H2402" s="18" t="inlineStr">
        <is>
          <t>hisuian</t>
        </is>
      </c>
      <c r="I2402" s="18" t="n">
        <v>6</v>
      </c>
      <c r="J2402" s="18" t="n">
        <v>8</v>
      </c>
      <c r="K2402" s="18" t="n">
        <v>8</v>
      </c>
      <c r="L2402" s="18" t="inlineStr">
        <is>
          <t>cobbleventure:generation_8</t>
        </is>
      </c>
      <c r="M2402" s="19" t="inlineStr">
        <is>
          <t>cobbleventure:generation_8</t>
        </is>
      </c>
      <c r="N2402" s="18" t="inlineStr">
        <is>
          <t>region_01; region_02</t>
        </is>
      </c>
      <c r="O2402" s="19" t="inlineStr"/>
      <c r="P2402" s="18" t="inlineStr">
        <is>
          <t>#cobblemon:is_overworld</t>
        </is>
      </c>
      <c r="Q2402" s="19" t="inlineStr"/>
      <c r="R2402" s="18">
        <f>IF(Q2402="",P2402,Q2402)</f>
        <v/>
      </c>
      <c r="S2402" s="18" t="inlineStr">
        <is>
          <t>#cobblemon:is_dripstone; #cobblemon:is_lush</t>
        </is>
      </c>
      <c r="T2402" s="18" t="inlineStr">
        <is>
          <t>common</t>
        </is>
      </c>
      <c r="U2402" s="20" t="n">
        <v>0.02</v>
      </c>
      <c r="V2402" s="21" t="n">
        <v>1</v>
      </c>
      <c r="W2402" s="20">
        <f>IF(OR(U2402="",V2402=""),U2402,U2402*V2402)</f>
        <v/>
      </c>
      <c r="X2402" s="18" t="inlineStr">
        <is>
          <t>50-60</t>
        </is>
      </c>
      <c r="Y2402" s="19" t="inlineStr"/>
      <c r="Z2402" s="18">
        <f>IF(Y2402="",X2402,Y2402)</f>
        <v/>
      </c>
      <c r="AA2402" s="18" t="inlineStr">
        <is>
          <t>fishing</t>
        </is>
      </c>
      <c r="AB2402" s="18" t="inlineStr"/>
      <c r="AC2402" s="18" t="inlineStr"/>
      <c r="AD2402" s="18" t="inlineStr"/>
      <c r="AE2402" s="18" t="inlineStr">
        <is>
          <t>sky 0-7</t>
        </is>
      </c>
      <c r="AF2402" s="18" t="inlineStr"/>
      <c r="AG2402" s="18" t="inlineStr"/>
      <c r="AH2402" s="18" t="inlineStr"/>
      <c r="AI2402" s="18" t="inlineStr">
        <is>
          <t>{"condition":{"isSlimeChunk":true},"fishing":{"minLureLevel":2}}</t>
        </is>
      </c>
      <c r="AJ2402" s="18" t="inlineStr">
        <is>
          <t>Cobblemon 동일</t>
        </is>
      </c>
      <c r="AK2402" s="18" t="inlineStr">
        <is>
          <t>사용</t>
        </is>
      </c>
      <c r="AL2402" s="18" t="inlineStr">
        <is>
          <t>COBBLEVERSE 1.7.42 / DP v31</t>
        </is>
      </c>
      <c r="AM2402" s="18" t="inlineStr">
        <is>
          <t>data/cobblemon/spawn_pool_world/0706_goodra.json</t>
        </is>
      </c>
      <c r="AN2402" s="18" t="inlineStr">
        <is>
          <t>goodra-hisuian-16</t>
        </is>
      </c>
      <c r="AO2402" s="18" t="inlineStr">
        <is>
          <t>pokemon</t>
        </is>
      </c>
      <c r="AP2402" s="18" t="inlineStr">
        <is>
          <t>natural</t>
        </is>
      </c>
      <c r="AQ2402" s="18" t="inlineStr">
        <is>
          <t>{"biomes":["#cobblemon:is_overworld"],"isSlimeChunk":true,"maxSkyLight":7,"minLureLevel":2,"minSkyLight":0}</t>
        </is>
      </c>
      <c r="AR2402" s="18" t="inlineStr">
        <is>
          <t>{"biomes":["#cobblemon:is_dripstone","#cobblemon:is_lush"]}</t>
        </is>
      </c>
      <c r="AS2402" s="18" t="inlineStr">
        <is>
          <t>{"weightMultiplier":{"condition":{"minLureLevel":3},"multiplier":3.0}}</t>
        </is>
      </c>
      <c r="AT2402" s="19" t="inlineStr"/>
    </row>
    <row r="2403" ht="32" customHeight="1">
      <c r="A2403" s="18" t="inlineStr">
        <is>
          <t>0707_klefki.json::klefki-1::001</t>
        </is>
      </c>
      <c r="B2403" s="19" t="inlineStr">
        <is>
          <t>사용</t>
        </is>
      </c>
      <c r="C2403" s="18">
        <f>IF(OR(B2403&lt;&gt;AK2403,M2403&lt;&gt;L2403,O2403&lt;&gt;"",Q2403&lt;&gt;"",V2403&lt;&gt;1,Y2403&lt;&gt;"",AT2403&lt;&gt;""),"수정","원본")</f>
        <v/>
      </c>
      <c r="D2403" s="18" t="n">
        <v>707</v>
      </c>
      <c r="E2403" s="18" t="inlineStr">
        <is>
          <t>클레피</t>
        </is>
      </c>
      <c r="F2403" s="18" t="inlineStr">
        <is>
          <t>klefki</t>
        </is>
      </c>
      <c r="G2403" s="18" t="inlineStr">
        <is>
          <t>klefki</t>
        </is>
      </c>
      <c r="H2403" s="18" t="inlineStr"/>
      <c r="I2403" s="18" t="n">
        <v>6</v>
      </c>
      <c r="J2403" s="18" t="n"/>
      <c r="K2403" s="18" t="n">
        <v>6</v>
      </c>
      <c r="L2403" s="18" t="inlineStr">
        <is>
          <t>cobbleventure:generation_6</t>
        </is>
      </c>
      <c r="M2403" s="19" t="inlineStr">
        <is>
          <t>cobbleventure:generation_6</t>
        </is>
      </c>
      <c r="N2403" s="18" t="inlineStr">
        <is>
          <t>region_01; region_02</t>
        </is>
      </c>
      <c r="O2403" s="19" t="inlineStr"/>
      <c r="P2403" s="18" t="inlineStr">
        <is>
          <t>#cobblemon:is_overworld</t>
        </is>
      </c>
      <c r="Q2403" s="19" t="inlineStr"/>
      <c r="R2403" s="18">
        <f>IF(Q2403="",P2403,Q2403)</f>
        <v/>
      </c>
      <c r="S2403" s="18" t="inlineStr"/>
      <c r="T2403" s="18" t="inlineStr">
        <is>
          <t>uncommon</t>
        </is>
      </c>
      <c r="U2403" s="20" t="n">
        <v>6</v>
      </c>
      <c r="V2403" s="21" t="n">
        <v>1</v>
      </c>
      <c r="W2403" s="20">
        <f>IF(OR(U2403="",V2403=""),U2403,U2403*V2403)</f>
        <v/>
      </c>
      <c r="X2403" s="18" t="inlineStr">
        <is>
          <t>22-47</t>
        </is>
      </c>
      <c r="Y2403" s="19" t="inlineStr"/>
      <c r="Z2403" s="18">
        <f>IF(Y2403="",X2403,Y2403)</f>
        <v/>
      </c>
      <c r="AA2403" s="18" t="inlineStr">
        <is>
          <t>grounded</t>
        </is>
      </c>
      <c r="AB2403" s="18" t="inlineStr"/>
      <c r="AC2403" s="18" t="inlineStr"/>
      <c r="AD2403" s="18" t="inlineStr"/>
      <c r="AE2403" s="18" t="inlineStr"/>
      <c r="AF2403" s="18" t="inlineStr"/>
      <c r="AG2403" s="18" t="inlineStr"/>
      <c r="AH2403" s="18" t="inlineStr"/>
      <c r="AI2403" s="18" t="inlineStr"/>
      <c r="AJ2403" s="18" t="inlineStr">
        <is>
          <t>COBBLEVERSE 수정</t>
        </is>
      </c>
      <c r="AK2403" s="18" t="inlineStr">
        <is>
          <t>사용</t>
        </is>
      </c>
      <c r="AL2403" s="18" t="inlineStr">
        <is>
          <t>COBBLEVERSE 1.7.42 / DP v31</t>
        </is>
      </c>
      <c r="AM2403" s="18" t="inlineStr">
        <is>
          <t>data/cobblemon/spawn_pool_world/0707_klefki.json</t>
        </is>
      </c>
      <c r="AN2403" s="18" t="inlineStr">
        <is>
          <t>klefki-1</t>
        </is>
      </c>
      <c r="AO2403" s="18" t="inlineStr">
        <is>
          <t>pokemon</t>
        </is>
      </c>
      <c r="AP2403" s="18" t="inlineStr">
        <is>
          <t>natural</t>
        </is>
      </c>
      <c r="AQ2403" s="18" t="inlineStr">
        <is>
          <t>{"biomes":["#cobblemon:is_overworld"]}</t>
        </is>
      </c>
      <c r="AR2403" s="18" t="inlineStr"/>
      <c r="AS2403" s="18" t="inlineStr"/>
      <c r="AT2403" s="19" t="inlineStr"/>
    </row>
    <row r="2404" ht="32" customHeight="1">
      <c r="A2404" s="18" t="inlineStr">
        <is>
          <t>0707_klefki.json::klefki-2::002</t>
        </is>
      </c>
      <c r="B2404" s="19" t="inlineStr">
        <is>
          <t>사용</t>
        </is>
      </c>
      <c r="C2404" s="18">
        <f>IF(OR(B2404&lt;&gt;AK2404,M2404&lt;&gt;L2404,O2404&lt;&gt;"",Q2404&lt;&gt;"",V2404&lt;&gt;1,Y2404&lt;&gt;"",AT2404&lt;&gt;""),"수정","원본")</f>
        <v/>
      </c>
      <c r="D2404" s="18" t="n">
        <v>707</v>
      </c>
      <c r="E2404" s="18" t="inlineStr">
        <is>
          <t>클레피</t>
        </is>
      </c>
      <c r="F2404" s="18" t="inlineStr">
        <is>
          <t>klefki</t>
        </is>
      </c>
      <c r="G2404" s="18" t="inlineStr">
        <is>
          <t>klefki</t>
        </is>
      </c>
      <c r="H2404" s="18" t="inlineStr"/>
      <c r="I2404" s="18" t="n">
        <v>6</v>
      </c>
      <c r="J2404" s="18" t="n"/>
      <c r="K2404" s="18" t="n">
        <v>6</v>
      </c>
      <c r="L2404" s="18" t="inlineStr">
        <is>
          <t>cobbleventure:generation_6</t>
        </is>
      </c>
      <c r="M2404" s="19" t="inlineStr">
        <is>
          <t>cobbleventure:generation_6</t>
        </is>
      </c>
      <c r="N2404" s="18" t="inlineStr">
        <is>
          <t>region_01; region_02</t>
        </is>
      </c>
      <c r="O2404" s="19" t="inlineStr"/>
      <c r="P2404" s="18" t="inlineStr">
        <is>
          <t>#cobblemon:is_overworld</t>
        </is>
      </c>
      <c r="Q2404" s="19" t="inlineStr"/>
      <c r="R2404" s="18">
        <f>IF(Q2404="",P2404,Q2404)</f>
        <v/>
      </c>
      <c r="S2404" s="18" t="inlineStr"/>
      <c r="T2404" s="18" t="inlineStr">
        <is>
          <t>uncommon</t>
        </is>
      </c>
      <c r="U2404" s="20" t="n">
        <v>6</v>
      </c>
      <c r="V2404" s="21" t="n">
        <v>1</v>
      </c>
      <c r="W2404" s="20">
        <f>IF(OR(U2404="",V2404=""),U2404,U2404*V2404)</f>
        <v/>
      </c>
      <c r="X2404" s="18" t="inlineStr">
        <is>
          <t>22-47</t>
        </is>
      </c>
      <c r="Y2404" s="19" t="inlineStr"/>
      <c r="Z2404" s="18">
        <f>IF(Y2404="",X2404,Y2404)</f>
        <v/>
      </c>
      <c r="AA2404" s="18" t="inlineStr">
        <is>
          <t>grounded</t>
        </is>
      </c>
      <c r="AB2404" s="18" t="inlineStr"/>
      <c r="AC2404" s="18" t="inlineStr"/>
      <c r="AD2404" s="18" t="inlineStr"/>
      <c r="AE2404" s="18" t="inlineStr"/>
      <c r="AF2404" s="18" t="inlineStr"/>
      <c r="AG2404" s="18" t="inlineStr">
        <is>
          <t>#minecraft:village</t>
        </is>
      </c>
      <c r="AH2404" s="18" t="inlineStr"/>
      <c r="AI2404" s="18" t="inlineStr"/>
      <c r="AJ2404" s="18" t="inlineStr">
        <is>
          <t>COBBLEVERSE 수정</t>
        </is>
      </c>
      <c r="AK2404" s="18" t="inlineStr">
        <is>
          <t>사용</t>
        </is>
      </c>
      <c r="AL2404" s="18" t="inlineStr">
        <is>
          <t>COBBLEVERSE 1.7.42 / DP v31</t>
        </is>
      </c>
      <c r="AM2404" s="18" t="inlineStr">
        <is>
          <t>data/cobblemon/spawn_pool_world/0707_klefki.json</t>
        </is>
      </c>
      <c r="AN2404" s="18" t="inlineStr">
        <is>
          <t>klefki-2</t>
        </is>
      </c>
      <c r="AO2404" s="18" t="inlineStr">
        <is>
          <t>pokemon</t>
        </is>
      </c>
      <c r="AP2404" s="18" t="inlineStr">
        <is>
          <t>natural</t>
        </is>
      </c>
      <c r="AQ2404" s="18" t="inlineStr">
        <is>
          <t>{"biomes":["#cobblemon:is_overworld"],"structures":["#minecraft:village"]}</t>
        </is>
      </c>
      <c r="AR2404" s="18" t="inlineStr"/>
      <c r="AS2404" s="18" t="inlineStr"/>
      <c r="AT2404" s="19" t="inlineStr"/>
    </row>
    <row r="2405" ht="32" customHeight="1">
      <c r="A2405" s="18" t="inlineStr">
        <is>
          <t>0707_klefki.json::klefki-3::003</t>
        </is>
      </c>
      <c r="B2405" s="19" t="inlineStr">
        <is>
          <t>사용</t>
        </is>
      </c>
      <c r="C2405" s="18">
        <f>IF(OR(B2405&lt;&gt;AK2405,M2405&lt;&gt;L2405,O2405&lt;&gt;"",Q2405&lt;&gt;"",V2405&lt;&gt;1,Y2405&lt;&gt;"",AT2405&lt;&gt;""),"수정","원본")</f>
        <v/>
      </c>
      <c r="D2405" s="18" t="n">
        <v>707</v>
      </c>
      <c r="E2405" s="18" t="inlineStr">
        <is>
          <t>클레피</t>
        </is>
      </c>
      <c r="F2405" s="18" t="inlineStr">
        <is>
          <t>klefki</t>
        </is>
      </c>
      <c r="G2405" s="18" t="inlineStr">
        <is>
          <t>klefki</t>
        </is>
      </c>
      <c r="H2405" s="18" t="inlineStr"/>
      <c r="I2405" s="18" t="n">
        <v>6</v>
      </c>
      <c r="J2405" s="18" t="n"/>
      <c r="K2405" s="18" t="n">
        <v>6</v>
      </c>
      <c r="L2405" s="18" t="inlineStr">
        <is>
          <t>cobbleventure:generation_6</t>
        </is>
      </c>
      <c r="M2405" s="19" t="inlineStr">
        <is>
          <t>cobbleventure:generation_6</t>
        </is>
      </c>
      <c r="N2405" s="18" t="inlineStr">
        <is>
          <t>region_01; region_02</t>
        </is>
      </c>
      <c r="O2405" s="19" t="inlineStr"/>
      <c r="P2405" s="18" t="inlineStr">
        <is>
          <t>#cobblemon:is_overworld</t>
        </is>
      </c>
      <c r="Q2405" s="19" t="inlineStr"/>
      <c r="R2405" s="18">
        <f>IF(Q2405="",P2405,Q2405)</f>
        <v/>
      </c>
      <c r="S2405" s="18" t="inlineStr"/>
      <c r="T2405" s="18" t="inlineStr">
        <is>
          <t>common</t>
        </is>
      </c>
      <c r="U2405" s="20" t="n">
        <v>2</v>
      </c>
      <c r="V2405" s="21" t="n">
        <v>1</v>
      </c>
      <c r="W2405" s="20">
        <f>IF(OR(U2405="",V2405=""),U2405,U2405*V2405)</f>
        <v/>
      </c>
      <c r="X2405" s="18" t="inlineStr">
        <is>
          <t>22-47</t>
        </is>
      </c>
      <c r="Y2405" s="19" t="inlineStr"/>
      <c r="Z2405" s="18">
        <f>IF(Y2405="",X2405,Y2405)</f>
        <v/>
      </c>
      <c r="AA2405" s="18" t="inlineStr">
        <is>
          <t>grounded</t>
        </is>
      </c>
      <c r="AB2405" s="18" t="inlineStr"/>
      <c r="AC2405" s="18" t="inlineStr"/>
      <c r="AD2405" s="18" t="inlineStr"/>
      <c r="AE2405" s="18" t="inlineStr"/>
      <c r="AF2405" s="18" t="inlineStr">
        <is>
          <t>False</t>
        </is>
      </c>
      <c r="AG2405" s="18" t="inlineStr"/>
      <c r="AH2405" s="18" t="inlineStr"/>
      <c r="AI2405" s="18" t="inlineStr"/>
      <c r="AJ2405" s="18" t="inlineStr">
        <is>
          <t>COBBLEVERSE 수정</t>
        </is>
      </c>
      <c r="AK2405" s="18" t="inlineStr">
        <is>
          <t>사용</t>
        </is>
      </c>
      <c r="AL2405" s="18" t="inlineStr">
        <is>
          <t>COBBLEVERSE 1.7.42 / DP v31</t>
        </is>
      </c>
      <c r="AM2405" s="18" t="inlineStr">
        <is>
          <t>data/cobblemon/spawn_pool_world/0707_klefki.json</t>
        </is>
      </c>
      <c r="AN2405" s="18" t="inlineStr">
        <is>
          <t>klefki-3</t>
        </is>
      </c>
      <c r="AO2405" s="18" t="inlineStr">
        <is>
          <t>pokemon</t>
        </is>
      </c>
      <c r="AP2405" s="18" t="inlineStr">
        <is>
          <t>mansion</t>
        </is>
      </c>
      <c r="AQ2405" s="18" t="inlineStr">
        <is>
          <t>{"biomes":["#cobblemon:is_overworld"],"canSeeSky":false}</t>
        </is>
      </c>
      <c r="AR2405" s="18" t="inlineStr"/>
      <c r="AS2405" s="18" t="inlineStr"/>
      <c r="AT2405" s="19" t="inlineStr"/>
    </row>
    <row r="2406" ht="32" customHeight="1">
      <c r="A2406" s="18" t="inlineStr">
        <is>
          <t>0708_phantump.json::phantump-1::001</t>
        </is>
      </c>
      <c r="B2406" s="19" t="inlineStr">
        <is>
          <t>사용</t>
        </is>
      </c>
      <c r="C2406" s="18">
        <f>IF(OR(B2406&lt;&gt;AK2406,M2406&lt;&gt;L2406,O2406&lt;&gt;"",Q2406&lt;&gt;"",V2406&lt;&gt;1,Y2406&lt;&gt;"",AT2406&lt;&gt;""),"수정","원본")</f>
        <v/>
      </c>
      <c r="D2406" s="18" t="n">
        <v>708</v>
      </c>
      <c r="E2406" s="18" t="inlineStr">
        <is>
          <t>나목령</t>
        </is>
      </c>
      <c r="F2406" s="18" t="inlineStr">
        <is>
          <t>phantump</t>
        </is>
      </c>
      <c r="G2406" s="18" t="inlineStr">
        <is>
          <t>phantump</t>
        </is>
      </c>
      <c r="H2406" s="18" t="inlineStr"/>
      <c r="I2406" s="18" t="n">
        <v>6</v>
      </c>
      <c r="J2406" s="18" t="n"/>
      <c r="K2406" s="18" t="n">
        <v>6</v>
      </c>
      <c r="L2406" s="18" t="inlineStr">
        <is>
          <t>cobbleventure:generation_6</t>
        </is>
      </c>
      <c r="M2406" s="19" t="inlineStr">
        <is>
          <t>cobbleventure:generation_6</t>
        </is>
      </c>
      <c r="N2406" s="18" t="inlineStr">
        <is>
          <t>region_01</t>
        </is>
      </c>
      <c r="O2406" s="19" t="inlineStr"/>
      <c r="P2406" s="18" t="inlineStr">
        <is>
          <t>#cobblemon:is_forest; #cobblemon:is_taiga</t>
        </is>
      </c>
      <c r="Q2406" s="19" t="inlineStr"/>
      <c r="R2406" s="18">
        <f>IF(Q2406="",P2406,Q2406)</f>
        <v/>
      </c>
      <c r="S2406" s="18" t="inlineStr"/>
      <c r="T2406" s="18" t="inlineStr">
        <is>
          <t>common</t>
        </is>
      </c>
      <c r="U2406" s="20" t="n">
        <v>1.9</v>
      </c>
      <c r="V2406" s="21" t="n">
        <v>1</v>
      </c>
      <c r="W2406" s="20">
        <f>IF(OR(U2406="",V2406=""),U2406,U2406*V2406)</f>
        <v/>
      </c>
      <c r="X2406" s="18" t="inlineStr">
        <is>
          <t>6-31</t>
        </is>
      </c>
      <c r="Y2406" s="19" t="inlineStr"/>
      <c r="Z2406" s="18">
        <f>IF(Y2406="",X2406,Y2406)</f>
        <v/>
      </c>
      <c r="AA2406" s="18" t="inlineStr">
        <is>
          <t>grounded</t>
        </is>
      </c>
      <c r="AB2406" s="18" t="inlineStr">
        <is>
          <t>night</t>
        </is>
      </c>
      <c r="AC2406" s="18" t="inlineStr"/>
      <c r="AD2406" s="18" t="inlineStr"/>
      <c r="AE2406" s="18" t="inlineStr">
        <is>
          <t>sky 8-15</t>
        </is>
      </c>
      <c r="AF2406" s="18" t="inlineStr"/>
      <c r="AG2406" s="18" t="inlineStr"/>
      <c r="AH2406" s="18" t="inlineStr"/>
      <c r="AI2406" s="18" t="inlineStr"/>
      <c r="AJ2406" s="18" t="inlineStr">
        <is>
          <t>Cobblemon 동일</t>
        </is>
      </c>
      <c r="AK2406" s="18" t="inlineStr">
        <is>
          <t>사용</t>
        </is>
      </c>
      <c r="AL2406" s="18" t="inlineStr">
        <is>
          <t>COBBLEVERSE 1.7.42 / DP v31</t>
        </is>
      </c>
      <c r="AM2406" s="18" t="inlineStr">
        <is>
          <t>data/cobblemon/spawn_pool_world/0708_phantump.json</t>
        </is>
      </c>
      <c r="AN2406" s="18" t="inlineStr">
        <is>
          <t>phantump-1</t>
        </is>
      </c>
      <c r="AO2406" s="18" t="inlineStr">
        <is>
          <t>pokemon</t>
        </is>
      </c>
      <c r="AP2406" s="18" t="inlineStr">
        <is>
          <t>natural; wild</t>
        </is>
      </c>
      <c r="AQ2406" s="18" t="inlineStr">
        <is>
          <t>{"biomes":["#cobblemon:is_forest","#cobblemon:is_taiga"],"maxSkyLight":15,"minSkyLight":8,"timeRange":"night"}</t>
        </is>
      </c>
      <c r="AR2406" s="18" t="inlineStr"/>
      <c r="AS2406" s="18" t="inlineStr"/>
      <c r="AT2406" s="19" t="inlineStr"/>
    </row>
    <row r="2407" ht="32" customHeight="1">
      <c r="A2407" s="18" t="inlineStr">
        <is>
          <t>0708_phantump.json::phantump-2::002</t>
        </is>
      </c>
      <c r="B2407" s="19" t="inlineStr">
        <is>
          <t>사용</t>
        </is>
      </c>
      <c r="C2407" s="18">
        <f>IF(OR(B2407&lt;&gt;AK2407,M2407&lt;&gt;L2407,O2407&lt;&gt;"",Q2407&lt;&gt;"",V2407&lt;&gt;1,Y2407&lt;&gt;"",AT2407&lt;&gt;""),"수정","원본")</f>
        <v/>
      </c>
      <c r="D2407" s="18" t="n">
        <v>708</v>
      </c>
      <c r="E2407" s="18" t="inlineStr">
        <is>
          <t>나목령</t>
        </is>
      </c>
      <c r="F2407" s="18" t="inlineStr">
        <is>
          <t>phantump</t>
        </is>
      </c>
      <c r="G2407" s="18" t="inlineStr">
        <is>
          <t>phantump</t>
        </is>
      </c>
      <c r="H2407" s="18" t="inlineStr"/>
      <c r="I2407" s="18" t="n">
        <v>6</v>
      </c>
      <c r="J2407" s="18" t="n"/>
      <c r="K2407" s="18" t="n">
        <v>6</v>
      </c>
      <c r="L2407" s="18" t="inlineStr">
        <is>
          <t>cobbleventure:generation_6</t>
        </is>
      </c>
      <c r="M2407" s="19" t="inlineStr">
        <is>
          <t>cobbleventure:generation_6</t>
        </is>
      </c>
      <c r="N2407" s="18" t="inlineStr"/>
      <c r="O2407" s="19" t="inlineStr"/>
      <c r="P2407" s="18" t="inlineStr">
        <is>
          <t>#cobblemon:is_spooky</t>
        </is>
      </c>
      <c r="Q2407" s="19" t="inlineStr"/>
      <c r="R2407" s="18">
        <f>IF(Q2407="",P2407,Q2407)</f>
        <v/>
      </c>
      <c r="S2407" s="18" t="inlineStr"/>
      <c r="T2407" s="18" t="inlineStr">
        <is>
          <t>common</t>
        </is>
      </c>
      <c r="U2407" s="20" t="n">
        <v>9.5</v>
      </c>
      <c r="V2407" s="21" t="n">
        <v>1</v>
      </c>
      <c r="W2407" s="20">
        <f>IF(OR(U2407="",V2407=""),U2407,U2407*V2407)</f>
        <v/>
      </c>
      <c r="X2407" s="18" t="inlineStr">
        <is>
          <t>6-31</t>
        </is>
      </c>
      <c r="Y2407" s="19" t="inlineStr"/>
      <c r="Z2407" s="18">
        <f>IF(Y2407="",X2407,Y2407)</f>
        <v/>
      </c>
      <c r="AA2407" s="18" t="inlineStr">
        <is>
          <t>grounded</t>
        </is>
      </c>
      <c r="AB2407" s="18" t="inlineStr">
        <is>
          <t>night</t>
        </is>
      </c>
      <c r="AC2407" s="18" t="inlineStr"/>
      <c r="AD2407" s="18" t="inlineStr"/>
      <c r="AE2407" s="18" t="inlineStr">
        <is>
          <t>sky 8-15</t>
        </is>
      </c>
      <c r="AF2407" s="18" t="inlineStr"/>
      <c r="AG2407" s="18" t="inlineStr"/>
      <c r="AH2407" s="18" t="inlineStr"/>
      <c r="AI2407" s="18" t="inlineStr"/>
      <c r="AJ2407" s="18" t="inlineStr">
        <is>
          <t>Cobblemon 동일</t>
        </is>
      </c>
      <c r="AK2407" s="18" t="inlineStr">
        <is>
          <t>사용</t>
        </is>
      </c>
      <c r="AL2407" s="18" t="inlineStr">
        <is>
          <t>COBBLEVERSE 1.7.42 / DP v31</t>
        </is>
      </c>
      <c r="AM2407" s="18" t="inlineStr">
        <is>
          <t>data/cobblemon/spawn_pool_world/0708_phantump.json</t>
        </is>
      </c>
      <c r="AN2407" s="18" t="inlineStr">
        <is>
          <t>phantump-2</t>
        </is>
      </c>
      <c r="AO2407" s="18" t="inlineStr">
        <is>
          <t>pokemon</t>
        </is>
      </c>
      <c r="AP2407" s="18" t="inlineStr">
        <is>
          <t>natural; wild</t>
        </is>
      </c>
      <c r="AQ2407" s="18" t="inlineStr">
        <is>
          <t>{"biomes":["#cobblemon:is_spooky"],"maxSkyLight":15,"minSkyLight":8,"timeRange":"night"}</t>
        </is>
      </c>
      <c r="AR2407" s="18" t="inlineStr"/>
      <c r="AS2407" s="18" t="inlineStr"/>
      <c r="AT2407" s="19" t="inlineStr"/>
    </row>
    <row r="2408" ht="32" customHeight="1">
      <c r="A2408" s="18" t="inlineStr">
        <is>
          <t>0709_trevenant.json::trevenant-1::001</t>
        </is>
      </c>
      <c r="B2408" s="19" t="inlineStr">
        <is>
          <t>사용</t>
        </is>
      </c>
      <c r="C2408" s="18">
        <f>IF(OR(B2408&lt;&gt;AK2408,M2408&lt;&gt;L2408,O2408&lt;&gt;"",Q2408&lt;&gt;"",V2408&lt;&gt;1,Y2408&lt;&gt;"",AT2408&lt;&gt;""),"수정","원본")</f>
        <v/>
      </c>
      <c r="D2408" s="18" t="n">
        <v>709</v>
      </c>
      <c r="E2408" s="18" t="inlineStr">
        <is>
          <t>대로트</t>
        </is>
      </c>
      <c r="F2408" s="18" t="inlineStr">
        <is>
          <t>trevenant</t>
        </is>
      </c>
      <c r="G2408" s="18" t="inlineStr">
        <is>
          <t>trevenant</t>
        </is>
      </c>
      <c r="H2408" s="18" t="inlineStr"/>
      <c r="I2408" s="18" t="n">
        <v>6</v>
      </c>
      <c r="J2408" s="18" t="n"/>
      <c r="K2408" s="18" t="n">
        <v>6</v>
      </c>
      <c r="L2408" s="18" t="inlineStr">
        <is>
          <t>cobbleventure:generation_6</t>
        </is>
      </c>
      <c r="M2408" s="19" t="inlineStr">
        <is>
          <t>cobbleventure:generation_6</t>
        </is>
      </c>
      <c r="N2408" s="18" t="inlineStr">
        <is>
          <t>region_01</t>
        </is>
      </c>
      <c r="O2408" s="19" t="inlineStr"/>
      <c r="P2408" s="18" t="inlineStr">
        <is>
          <t>#cobblemon:is_forest; #cobblemon:is_taiga; #cobblemon:is_spooky</t>
        </is>
      </c>
      <c r="Q2408" s="19" t="inlineStr"/>
      <c r="R2408" s="18">
        <f>IF(Q2408="",P2408,Q2408)</f>
        <v/>
      </c>
      <c r="S2408" s="18" t="inlineStr"/>
      <c r="T2408" s="18" t="inlineStr">
        <is>
          <t>common</t>
        </is>
      </c>
      <c r="U2408" s="20" t="n">
        <v>0.1</v>
      </c>
      <c r="V2408" s="21" t="n">
        <v>1</v>
      </c>
      <c r="W2408" s="20">
        <f>IF(OR(U2408="",V2408=""),U2408,U2408*V2408)</f>
        <v/>
      </c>
      <c r="X2408" s="18" t="inlineStr">
        <is>
          <t>26-47</t>
        </is>
      </c>
      <c r="Y2408" s="19" t="inlineStr"/>
      <c r="Z2408" s="18">
        <f>IF(Y2408="",X2408,Y2408)</f>
        <v/>
      </c>
      <c r="AA2408" s="18" t="inlineStr">
        <is>
          <t>grounded</t>
        </is>
      </c>
      <c r="AB2408" s="18" t="inlineStr">
        <is>
          <t>night</t>
        </is>
      </c>
      <c r="AC2408" s="18" t="inlineStr"/>
      <c r="AD2408" s="18" t="inlineStr"/>
      <c r="AE2408" s="18" t="inlineStr">
        <is>
          <t>sky 8-15</t>
        </is>
      </c>
      <c r="AF2408" s="18" t="inlineStr"/>
      <c r="AG2408" s="18" t="inlineStr"/>
      <c r="AH2408" s="18" t="inlineStr"/>
      <c r="AI2408" s="18" t="inlineStr"/>
      <c r="AJ2408" s="18" t="inlineStr">
        <is>
          <t>COBBLEVERSE 수정</t>
        </is>
      </c>
      <c r="AK2408" s="18" t="inlineStr">
        <is>
          <t>사용</t>
        </is>
      </c>
      <c r="AL2408" s="18" t="inlineStr">
        <is>
          <t>COBBLEVERSE 1.7.42 / DP v31</t>
        </is>
      </c>
      <c r="AM2408" s="18" t="inlineStr">
        <is>
          <t>data/cobblemon/spawn_pool_world/0709_trevenant.json</t>
        </is>
      </c>
      <c r="AN2408" s="18" t="inlineStr">
        <is>
          <t>trevenant-1</t>
        </is>
      </c>
      <c r="AO2408" s="18" t="inlineStr">
        <is>
          <t>pokemon</t>
        </is>
      </c>
      <c r="AP2408" s="18" t="inlineStr">
        <is>
          <t>natural; wild</t>
        </is>
      </c>
      <c r="AQ2408" s="18" t="inlineStr">
        <is>
          <t>{"biomes":["#cobblemon:is_forest","#cobblemon:is_taiga","#cobblemon:is_spooky"],"maxSkyLight":15,"minSkyLight":8,"timeRange":"night"}</t>
        </is>
      </c>
      <c r="AR2408" s="18" t="inlineStr"/>
      <c r="AS2408" s="18" t="inlineStr"/>
      <c r="AT2408" s="19" t="inlineStr"/>
    </row>
    <row r="2409" ht="32" customHeight="1">
      <c r="A2409" s="18" t="inlineStr">
        <is>
          <t>0709_trevenant.json::trevenant-2::002</t>
        </is>
      </c>
      <c r="B2409" s="19" t="inlineStr">
        <is>
          <t>사용</t>
        </is>
      </c>
      <c r="C2409" s="18">
        <f>IF(OR(B2409&lt;&gt;AK2409,M2409&lt;&gt;L2409,O2409&lt;&gt;"",Q2409&lt;&gt;"",V2409&lt;&gt;1,Y2409&lt;&gt;"",AT2409&lt;&gt;""),"수정","원본")</f>
        <v/>
      </c>
      <c r="D2409" s="18" t="n">
        <v>709</v>
      </c>
      <c r="E2409" s="18" t="inlineStr">
        <is>
          <t>대로트</t>
        </is>
      </c>
      <c r="F2409" s="18" t="inlineStr">
        <is>
          <t>trevenant</t>
        </is>
      </c>
      <c r="G2409" s="18" t="inlineStr">
        <is>
          <t>trevenant</t>
        </is>
      </c>
      <c r="H2409" s="18" t="inlineStr"/>
      <c r="I2409" s="18" t="n">
        <v>6</v>
      </c>
      <c r="J2409" s="18" t="n"/>
      <c r="K2409" s="18" t="n">
        <v>6</v>
      </c>
      <c r="L2409" s="18" t="inlineStr">
        <is>
          <t>cobbleventure:generation_6</t>
        </is>
      </c>
      <c r="M2409" s="19" t="inlineStr">
        <is>
          <t>cobbleventure:generation_6</t>
        </is>
      </c>
      <c r="N2409" s="18" t="inlineStr"/>
      <c r="O2409" s="19" t="inlineStr"/>
      <c r="P2409" s="18" t="inlineStr">
        <is>
          <t>minecraft:pale_garden</t>
        </is>
      </c>
      <c r="Q2409" s="19" t="inlineStr"/>
      <c r="R2409" s="18">
        <f>IF(Q2409="",P2409,Q2409)</f>
        <v/>
      </c>
      <c r="S2409" s="18" t="inlineStr"/>
      <c r="T2409" s="18" t="inlineStr">
        <is>
          <t>common</t>
        </is>
      </c>
      <c r="U2409" s="20" t="n">
        <v>0.5</v>
      </c>
      <c r="V2409" s="21" t="n">
        <v>1</v>
      </c>
      <c r="W2409" s="20">
        <f>IF(OR(U2409="",V2409=""),U2409,U2409*V2409)</f>
        <v/>
      </c>
      <c r="X2409" s="18" t="inlineStr">
        <is>
          <t>26-47</t>
        </is>
      </c>
      <c r="Y2409" s="19" t="inlineStr"/>
      <c r="Z2409" s="18">
        <f>IF(Y2409="",X2409,Y2409)</f>
        <v/>
      </c>
      <c r="AA2409" s="18" t="inlineStr">
        <is>
          <t>grounded</t>
        </is>
      </c>
      <c r="AB2409" s="18" t="inlineStr">
        <is>
          <t>night</t>
        </is>
      </c>
      <c r="AC2409" s="18" t="inlineStr"/>
      <c r="AD2409" s="18" t="inlineStr"/>
      <c r="AE2409" s="18" t="inlineStr">
        <is>
          <t>sky 8-15</t>
        </is>
      </c>
      <c r="AF2409" s="18" t="inlineStr"/>
      <c r="AG2409" s="18" t="inlineStr"/>
      <c r="AH2409" s="18" t="inlineStr"/>
      <c r="AI2409" s="18" t="inlineStr">
        <is>
          <t>{"spawn":{"drops":{"amount":4,"entries":[{"item":"minecraft:resin_clump","percentage":50.0}]}}}</t>
        </is>
      </c>
      <c r="AJ2409" s="18" t="inlineStr">
        <is>
          <t>COBBLEVERSE 수정</t>
        </is>
      </c>
      <c r="AK2409" s="18" t="inlineStr">
        <is>
          <t>사용</t>
        </is>
      </c>
      <c r="AL2409" s="18" t="inlineStr">
        <is>
          <t>COBBLEVERSE 1.7.42 / DP v31</t>
        </is>
      </c>
      <c r="AM2409" s="18" t="inlineStr">
        <is>
          <t>data/cobblemon/spawn_pool_world/0709_trevenant.json</t>
        </is>
      </c>
      <c r="AN2409" s="18" t="inlineStr">
        <is>
          <t>trevenant-2</t>
        </is>
      </c>
      <c r="AO2409" s="18" t="inlineStr">
        <is>
          <t>pokemon</t>
        </is>
      </c>
      <c r="AP2409" s="18" t="inlineStr">
        <is>
          <t>natural; wild</t>
        </is>
      </c>
      <c r="AQ2409" s="18" t="inlineStr">
        <is>
          <t>{"biomes":["minecraft:pale_garden"],"maxSkyLight":15,"minSkyLight":8,"timeRange":"night"}</t>
        </is>
      </c>
      <c r="AR2409" s="18" t="inlineStr"/>
      <c r="AS2409" s="18" t="inlineStr"/>
      <c r="AT2409" s="19" t="inlineStr"/>
    </row>
    <row r="2410" ht="32" customHeight="1">
      <c r="A2410" s="18" t="inlineStr">
        <is>
          <t>0710_pumpkaboo.json::pumpkaboo-1::001</t>
        </is>
      </c>
      <c r="B2410" s="19" t="inlineStr">
        <is>
          <t>사용</t>
        </is>
      </c>
      <c r="C2410" s="18">
        <f>IF(OR(B2410&lt;&gt;AK2410,M2410&lt;&gt;L2410,O2410&lt;&gt;"",Q2410&lt;&gt;"",V2410&lt;&gt;1,Y2410&lt;&gt;"",AT2410&lt;&gt;""),"수정","원본")</f>
        <v/>
      </c>
      <c r="D2410" s="18" t="n">
        <v>710</v>
      </c>
      <c r="E2410" s="18" t="inlineStr">
        <is>
          <t>호바귀</t>
        </is>
      </c>
      <c r="F2410" s="18" t="inlineStr">
        <is>
          <t>pumpkaboo</t>
        </is>
      </c>
      <c r="G2410" s="18" t="inlineStr">
        <is>
          <t>pumpkaboo</t>
        </is>
      </c>
      <c r="H2410" s="18" t="inlineStr"/>
      <c r="I2410" s="18" t="n">
        <v>6</v>
      </c>
      <c r="J2410" s="18" t="n"/>
      <c r="K2410" s="18" t="n">
        <v>6</v>
      </c>
      <c r="L2410" s="18" t="inlineStr">
        <is>
          <t>cobbleventure:generation_6</t>
        </is>
      </c>
      <c r="M2410" s="19" t="inlineStr">
        <is>
          <t>cobbleventure:generation_6</t>
        </is>
      </c>
      <c r="N2410" s="18" t="inlineStr">
        <is>
          <t>region_01; region_02</t>
        </is>
      </c>
      <c r="O2410" s="19" t="inlineStr"/>
      <c r="P2410" s="18" t="inlineStr">
        <is>
          <t>#cobblemon:is_overworld</t>
        </is>
      </c>
      <c r="Q2410" s="19" t="inlineStr"/>
      <c r="R2410" s="18">
        <f>IF(Q2410="",P2410,Q2410)</f>
        <v/>
      </c>
      <c r="S2410" s="18" t="inlineStr"/>
      <c r="T2410" s="18" t="inlineStr">
        <is>
          <t>common</t>
        </is>
      </c>
      <c r="U2410" s="20" t="n">
        <v>5.7</v>
      </c>
      <c r="V2410" s="21" t="n">
        <v>1</v>
      </c>
      <c r="W2410" s="20">
        <f>IF(OR(U2410="",V2410=""),U2410,U2410*V2410)</f>
        <v/>
      </c>
      <c r="X2410" s="18" t="inlineStr">
        <is>
          <t>9-34</t>
        </is>
      </c>
      <c r="Y2410" s="19" t="inlineStr"/>
      <c r="Z2410" s="18">
        <f>IF(Y2410="",X2410,Y2410)</f>
        <v/>
      </c>
      <c r="AA2410" s="18" t="inlineStr">
        <is>
          <t>grounded</t>
        </is>
      </c>
      <c r="AB2410" s="18" t="inlineStr">
        <is>
          <t>night</t>
        </is>
      </c>
      <c r="AC2410" s="18" t="inlineStr"/>
      <c r="AD2410" s="18" t="inlineStr"/>
      <c r="AE2410" s="18" t="inlineStr"/>
      <c r="AF2410" s="18" t="inlineStr"/>
      <c r="AG2410" s="18" t="inlineStr"/>
      <c r="AH2410" s="18" t="inlineStr">
        <is>
          <t>주변=minecraft:pumpkin; minecraft:carved_pumpkin</t>
        </is>
      </c>
      <c r="AI2410" s="18" t="inlineStr"/>
      <c r="AJ2410" s="18" t="inlineStr">
        <is>
          <t>Cobblemon 동일</t>
        </is>
      </c>
      <c r="AK2410" s="18" t="inlineStr">
        <is>
          <t>사용</t>
        </is>
      </c>
      <c r="AL2410" s="18" t="inlineStr">
        <is>
          <t>COBBLEVERSE 1.7.42 / DP v31</t>
        </is>
      </c>
      <c r="AM2410" s="18" t="inlineStr">
        <is>
          <t>data/cobblemon/spawn_pool_world/0710_pumpkaboo.json</t>
        </is>
      </c>
      <c r="AN2410" s="18" t="inlineStr">
        <is>
          <t>pumpkaboo-1</t>
        </is>
      </c>
      <c r="AO2410" s="18" t="inlineStr">
        <is>
          <t>pokemon</t>
        </is>
      </c>
      <c r="AP2410" s="18" t="inlineStr">
        <is>
          <t>natural</t>
        </is>
      </c>
      <c r="AQ2410" s="18" t="inlineStr">
        <is>
          <t>{"biomes":["#cobblemon:is_overworld"],"neededNearbyBlocks":["minecraft:pumpkin","minecraft:carved_pumpkin"],"timeRange":"night"}</t>
        </is>
      </c>
      <c r="AR2410" s="18" t="inlineStr"/>
      <c r="AS2410" s="18" t="inlineStr"/>
      <c r="AT2410" s="19" t="inlineStr"/>
    </row>
    <row r="2411" ht="32" customHeight="1">
      <c r="A2411" s="18" t="inlineStr">
        <is>
          <t>0710_pumpkaboo.json::pumpkaboo-2::002</t>
        </is>
      </c>
      <c r="B2411" s="19" t="inlineStr">
        <is>
          <t>사용</t>
        </is>
      </c>
      <c r="C2411" s="18">
        <f>IF(OR(B2411&lt;&gt;AK2411,M2411&lt;&gt;L2411,O2411&lt;&gt;"",Q2411&lt;&gt;"",V2411&lt;&gt;1,Y2411&lt;&gt;"",AT2411&lt;&gt;""),"수정","원본")</f>
        <v/>
      </c>
      <c r="D2411" s="18" t="n">
        <v>710</v>
      </c>
      <c r="E2411" s="18" t="inlineStr">
        <is>
          <t>호바귀</t>
        </is>
      </c>
      <c r="F2411" s="18" t="inlineStr">
        <is>
          <t>pumpkaboo</t>
        </is>
      </c>
      <c r="G2411" s="18" t="inlineStr">
        <is>
          <t>pumpkaboo</t>
        </is>
      </c>
      <c r="H2411" s="18" t="inlineStr"/>
      <c r="I2411" s="18" t="n">
        <v>6</v>
      </c>
      <c r="J2411" s="18" t="n"/>
      <c r="K2411" s="18" t="n">
        <v>6</v>
      </c>
      <c r="L2411" s="18" t="inlineStr">
        <is>
          <t>cobbleventure:generation_6</t>
        </is>
      </c>
      <c r="M2411" s="19" t="inlineStr">
        <is>
          <t>cobbleventure:generation_6</t>
        </is>
      </c>
      <c r="N2411" s="18" t="inlineStr"/>
      <c r="O2411" s="19" t="inlineStr"/>
      <c r="P2411" s="18" t="inlineStr">
        <is>
          <t>#cobblemon:nether/is_overgrowth</t>
        </is>
      </c>
      <c r="Q2411" s="19" t="inlineStr"/>
      <c r="R2411" s="18">
        <f>IF(Q2411="",P2411,Q2411)</f>
        <v/>
      </c>
      <c r="S2411" s="18" t="inlineStr"/>
      <c r="T2411" s="18" t="inlineStr">
        <is>
          <t>uncommon</t>
        </is>
      </c>
      <c r="U2411" s="20" t="n">
        <v>9.199999999999999</v>
      </c>
      <c r="V2411" s="21" t="n">
        <v>1</v>
      </c>
      <c r="W2411" s="20">
        <f>IF(OR(U2411="",V2411=""),U2411,U2411*V2411)</f>
        <v/>
      </c>
      <c r="X2411" s="18" t="inlineStr">
        <is>
          <t>9-34</t>
        </is>
      </c>
      <c r="Y2411" s="19" t="inlineStr"/>
      <c r="Z2411" s="18">
        <f>IF(Y2411="",X2411,Y2411)</f>
        <v/>
      </c>
      <c r="AA2411" s="18" t="inlineStr">
        <is>
          <t>grounded</t>
        </is>
      </c>
      <c r="AB2411" s="18" t="inlineStr"/>
      <c r="AC2411" s="18" t="inlineStr"/>
      <c r="AD2411" s="18" t="inlineStr"/>
      <c r="AE2411" s="18" t="inlineStr"/>
      <c r="AF2411" s="18" t="inlineStr"/>
      <c r="AG2411" s="18" t="inlineStr"/>
      <c r="AH2411" s="18" t="inlineStr"/>
      <c r="AI2411" s="18" t="inlineStr"/>
      <c r="AJ2411" s="18" t="inlineStr">
        <is>
          <t>Cobblemon 동일</t>
        </is>
      </c>
      <c r="AK2411" s="18" t="inlineStr">
        <is>
          <t>사용</t>
        </is>
      </c>
      <c r="AL2411" s="18" t="inlineStr">
        <is>
          <t>COBBLEVERSE 1.7.42 / DP v31</t>
        </is>
      </c>
      <c r="AM2411" s="18" t="inlineStr">
        <is>
          <t>data/cobblemon/spawn_pool_world/0710_pumpkaboo.json</t>
        </is>
      </c>
      <c r="AN2411" s="18" t="inlineStr">
        <is>
          <t>pumpkaboo-2</t>
        </is>
      </c>
      <c r="AO2411" s="18" t="inlineStr">
        <is>
          <t>pokemon</t>
        </is>
      </c>
      <c r="AP2411" s="18" t="inlineStr">
        <is>
          <t>natural</t>
        </is>
      </c>
      <c r="AQ2411" s="18" t="inlineStr">
        <is>
          <t>{"biomes":["#cobblemon:nether/is_overgrowth"]}</t>
        </is>
      </c>
      <c r="AR2411" s="18" t="inlineStr"/>
      <c r="AS2411" s="18" t="inlineStr"/>
      <c r="AT2411" s="19" t="inlineStr"/>
    </row>
    <row r="2412" ht="32" customHeight="1">
      <c r="A2412" s="18" t="inlineStr">
        <is>
          <t>0711_gourgeist.json::gourgeist-1::001</t>
        </is>
      </c>
      <c r="B2412" s="19" t="inlineStr">
        <is>
          <t>사용</t>
        </is>
      </c>
      <c r="C2412" s="18">
        <f>IF(OR(B2412&lt;&gt;AK2412,M2412&lt;&gt;L2412,O2412&lt;&gt;"",Q2412&lt;&gt;"",V2412&lt;&gt;1,Y2412&lt;&gt;"",AT2412&lt;&gt;""),"수정","원본")</f>
        <v/>
      </c>
      <c r="D2412" s="18" t="n">
        <v>711</v>
      </c>
      <c r="E2412" s="18" t="inlineStr">
        <is>
          <t>펌킨인</t>
        </is>
      </c>
      <c r="F2412" s="18" t="inlineStr">
        <is>
          <t>gourgeist</t>
        </is>
      </c>
      <c r="G2412" s="18" t="inlineStr">
        <is>
          <t>gourgeist</t>
        </is>
      </c>
      <c r="H2412" s="18" t="inlineStr"/>
      <c r="I2412" s="18" t="n">
        <v>6</v>
      </c>
      <c r="J2412" s="18" t="n"/>
      <c r="K2412" s="18" t="n">
        <v>6</v>
      </c>
      <c r="L2412" s="18" t="inlineStr">
        <is>
          <t>cobbleventure:generation_6</t>
        </is>
      </c>
      <c r="M2412" s="19" t="inlineStr">
        <is>
          <t>cobbleventure:generation_6</t>
        </is>
      </c>
      <c r="N2412" s="18" t="inlineStr">
        <is>
          <t>region_01; region_02</t>
        </is>
      </c>
      <c r="O2412" s="19" t="inlineStr"/>
      <c r="P2412" s="18" t="inlineStr">
        <is>
          <t>#cobblemon:is_overworld</t>
        </is>
      </c>
      <c r="Q2412" s="19" t="inlineStr"/>
      <c r="R2412" s="18">
        <f>IF(Q2412="",P2412,Q2412)</f>
        <v/>
      </c>
      <c r="S2412" s="18" t="inlineStr"/>
      <c r="T2412" s="18" t="inlineStr">
        <is>
          <t>common</t>
        </is>
      </c>
      <c r="U2412" s="20" t="n">
        <v>0.3</v>
      </c>
      <c r="V2412" s="21" t="n">
        <v>1</v>
      </c>
      <c r="W2412" s="20">
        <f>IF(OR(U2412="",V2412=""),U2412,U2412*V2412)</f>
        <v/>
      </c>
      <c r="X2412" s="18" t="inlineStr">
        <is>
          <t>29-49</t>
        </is>
      </c>
      <c r="Y2412" s="19" t="inlineStr"/>
      <c r="Z2412" s="18">
        <f>IF(Y2412="",X2412,Y2412)</f>
        <v/>
      </c>
      <c r="AA2412" s="18" t="inlineStr">
        <is>
          <t>grounded</t>
        </is>
      </c>
      <c r="AB2412" s="18" t="inlineStr">
        <is>
          <t>night</t>
        </is>
      </c>
      <c r="AC2412" s="18" t="inlineStr"/>
      <c r="AD2412" s="18" t="inlineStr"/>
      <c r="AE2412" s="18" t="inlineStr"/>
      <c r="AF2412" s="18" t="inlineStr"/>
      <c r="AG2412" s="18" t="inlineStr"/>
      <c r="AH2412" s="18" t="inlineStr">
        <is>
          <t>주변=minecraft:pumpkin; minecraft:carved_pumpkin</t>
        </is>
      </c>
      <c r="AI2412" s="18" t="inlineStr"/>
      <c r="AJ2412" s="18" t="inlineStr">
        <is>
          <t>Cobblemon 동일</t>
        </is>
      </c>
      <c r="AK2412" s="18" t="inlineStr">
        <is>
          <t>사용</t>
        </is>
      </c>
      <c r="AL2412" s="18" t="inlineStr">
        <is>
          <t>COBBLEVERSE 1.7.42 / DP v31</t>
        </is>
      </c>
      <c r="AM2412" s="18" t="inlineStr">
        <is>
          <t>data/cobblemon/spawn_pool_world/0711_gourgeist.json</t>
        </is>
      </c>
      <c r="AN2412" s="18" t="inlineStr">
        <is>
          <t>gourgeist-1</t>
        </is>
      </c>
      <c r="AO2412" s="18" t="inlineStr">
        <is>
          <t>pokemon</t>
        </is>
      </c>
      <c r="AP2412" s="18" t="inlineStr">
        <is>
          <t>natural</t>
        </is>
      </c>
      <c r="AQ2412" s="18" t="inlineStr">
        <is>
          <t>{"biomes":["#cobblemon:is_overworld"],"neededNearbyBlocks":["minecraft:pumpkin","minecraft:carved_pumpkin"],"timeRange":"night"}</t>
        </is>
      </c>
      <c r="AR2412" s="18" t="inlineStr"/>
      <c r="AS2412" s="18" t="inlineStr"/>
      <c r="AT2412" s="19" t="inlineStr"/>
    </row>
    <row r="2413" ht="32" customHeight="1">
      <c r="A2413" s="18" t="inlineStr">
        <is>
          <t>0711_gourgeist.json::gourgeist-2::002</t>
        </is>
      </c>
      <c r="B2413" s="19" t="inlineStr">
        <is>
          <t>사용</t>
        </is>
      </c>
      <c r="C2413" s="18">
        <f>IF(OR(B2413&lt;&gt;AK2413,M2413&lt;&gt;L2413,O2413&lt;&gt;"",Q2413&lt;&gt;"",V2413&lt;&gt;1,Y2413&lt;&gt;"",AT2413&lt;&gt;""),"수정","원본")</f>
        <v/>
      </c>
      <c r="D2413" s="18" t="n">
        <v>711</v>
      </c>
      <c r="E2413" s="18" t="inlineStr">
        <is>
          <t>펌킨인</t>
        </is>
      </c>
      <c r="F2413" s="18" t="inlineStr">
        <is>
          <t>gourgeist</t>
        </is>
      </c>
      <c r="G2413" s="18" t="inlineStr">
        <is>
          <t>gourgeist</t>
        </is>
      </c>
      <c r="H2413" s="18" t="inlineStr"/>
      <c r="I2413" s="18" t="n">
        <v>6</v>
      </c>
      <c r="J2413" s="18" t="n"/>
      <c r="K2413" s="18" t="n">
        <v>6</v>
      </c>
      <c r="L2413" s="18" t="inlineStr">
        <is>
          <t>cobbleventure:generation_6</t>
        </is>
      </c>
      <c r="M2413" s="19" t="inlineStr">
        <is>
          <t>cobbleventure:generation_6</t>
        </is>
      </c>
      <c r="N2413" s="18" t="inlineStr"/>
      <c r="O2413" s="19" t="inlineStr"/>
      <c r="P2413" s="18" t="inlineStr">
        <is>
          <t>#cobblemon:nether/is_overgrowth</t>
        </is>
      </c>
      <c r="Q2413" s="19" t="inlineStr"/>
      <c r="R2413" s="18">
        <f>IF(Q2413="",P2413,Q2413)</f>
        <v/>
      </c>
      <c r="S2413" s="18" t="inlineStr"/>
      <c r="T2413" s="18" t="inlineStr">
        <is>
          <t>uncommon</t>
        </is>
      </c>
      <c r="U2413" s="20" t="n">
        <v>0.8</v>
      </c>
      <c r="V2413" s="21" t="n">
        <v>1</v>
      </c>
      <c r="W2413" s="20">
        <f>IF(OR(U2413="",V2413=""),U2413,U2413*V2413)</f>
        <v/>
      </c>
      <c r="X2413" s="18" t="inlineStr">
        <is>
          <t>29-49</t>
        </is>
      </c>
      <c r="Y2413" s="19" t="inlineStr"/>
      <c r="Z2413" s="18">
        <f>IF(Y2413="",X2413,Y2413)</f>
        <v/>
      </c>
      <c r="AA2413" s="18" t="inlineStr">
        <is>
          <t>grounded</t>
        </is>
      </c>
      <c r="AB2413" s="18" t="inlineStr"/>
      <c r="AC2413" s="18" t="inlineStr"/>
      <c r="AD2413" s="18" t="inlineStr"/>
      <c r="AE2413" s="18" t="inlineStr"/>
      <c r="AF2413" s="18" t="inlineStr"/>
      <c r="AG2413" s="18" t="inlineStr"/>
      <c r="AH2413" s="18" t="inlineStr"/>
      <c r="AI2413" s="18" t="inlineStr"/>
      <c r="AJ2413" s="18" t="inlineStr">
        <is>
          <t>Cobblemon 동일</t>
        </is>
      </c>
      <c r="AK2413" s="18" t="inlineStr">
        <is>
          <t>사용</t>
        </is>
      </c>
      <c r="AL2413" s="18" t="inlineStr">
        <is>
          <t>COBBLEVERSE 1.7.42 / DP v31</t>
        </is>
      </c>
      <c r="AM2413" s="18" t="inlineStr">
        <is>
          <t>data/cobblemon/spawn_pool_world/0711_gourgeist.json</t>
        </is>
      </c>
      <c r="AN2413" s="18" t="inlineStr">
        <is>
          <t>gourgeist-2</t>
        </is>
      </c>
      <c r="AO2413" s="18" t="inlineStr">
        <is>
          <t>pokemon</t>
        </is>
      </c>
      <c r="AP2413" s="18" t="inlineStr">
        <is>
          <t>natural</t>
        </is>
      </c>
      <c r="AQ2413" s="18" t="inlineStr">
        <is>
          <t>{"biomes":["#cobblemon:nether/is_overgrowth"]}</t>
        </is>
      </c>
      <c r="AR2413" s="18" t="inlineStr"/>
      <c r="AS2413" s="18" t="inlineStr"/>
      <c r="AT2413" s="19" t="inlineStr"/>
    </row>
    <row r="2414" ht="32" customHeight="1">
      <c r="A2414" s="18" t="inlineStr">
        <is>
          <t>0712_bergmite.json::bergmite-1::001</t>
        </is>
      </c>
      <c r="B2414" s="19" t="inlineStr">
        <is>
          <t>사용</t>
        </is>
      </c>
      <c r="C2414" s="18">
        <f>IF(OR(B2414&lt;&gt;AK2414,M2414&lt;&gt;L2414,O2414&lt;&gt;"",Q2414&lt;&gt;"",V2414&lt;&gt;1,Y2414&lt;&gt;"",AT2414&lt;&gt;""),"수정","원본")</f>
        <v/>
      </c>
      <c r="D2414" s="18" t="n">
        <v>712</v>
      </c>
      <c r="E2414" s="18" t="inlineStr">
        <is>
          <t>꽁어름</t>
        </is>
      </c>
      <c r="F2414" s="18" t="inlineStr">
        <is>
          <t>bergmite</t>
        </is>
      </c>
      <c r="G2414" s="18" t="inlineStr">
        <is>
          <t>bergmite</t>
        </is>
      </c>
      <c r="H2414" s="18" t="inlineStr"/>
      <c r="I2414" s="18" t="n">
        <v>6</v>
      </c>
      <c r="J2414" s="18" t="n"/>
      <c r="K2414" s="18" t="n">
        <v>6</v>
      </c>
      <c r="L2414" s="18" t="inlineStr">
        <is>
          <t>cobbleventure:generation_6</t>
        </is>
      </c>
      <c r="M2414" s="19" t="inlineStr">
        <is>
          <t>cobbleventure:generation_6</t>
        </is>
      </c>
      <c r="N2414" s="18" t="inlineStr"/>
      <c r="O2414" s="19" t="inlineStr"/>
      <c r="P2414" s="18" t="inlineStr">
        <is>
          <t>#cobblemon:is_frozen_ocean</t>
        </is>
      </c>
      <c r="Q2414" s="19" t="inlineStr"/>
      <c r="R2414" s="18">
        <f>IF(Q2414="",P2414,Q2414)</f>
        <v/>
      </c>
      <c r="S2414" s="18" t="inlineStr"/>
      <c r="T2414" s="18" t="inlineStr">
        <is>
          <t>common</t>
        </is>
      </c>
      <c r="U2414" s="20" t="n">
        <v>8</v>
      </c>
      <c r="V2414" s="21" t="n">
        <v>1</v>
      </c>
      <c r="W2414" s="20">
        <f>IF(OR(U2414="",V2414=""),U2414,U2414*V2414)</f>
        <v/>
      </c>
      <c r="X2414" s="18" t="inlineStr">
        <is>
          <t>5-30</t>
        </is>
      </c>
      <c r="Y2414" s="19" t="inlineStr"/>
      <c r="Z2414" s="18">
        <f>IF(Y2414="",X2414,Y2414)</f>
        <v/>
      </c>
      <c r="AA2414" s="18" t="inlineStr">
        <is>
          <t>grounded</t>
        </is>
      </c>
      <c r="AB2414" s="18" t="inlineStr"/>
      <c r="AC2414" s="18" t="inlineStr"/>
      <c r="AD2414" s="18" t="inlineStr"/>
      <c r="AE2414" s="18" t="inlineStr">
        <is>
          <t>sky 8-15</t>
        </is>
      </c>
      <c r="AF2414" s="18" t="inlineStr"/>
      <c r="AG2414" s="18" t="inlineStr"/>
      <c r="AH2414" s="18" t="inlineStr"/>
      <c r="AI2414" s="18" t="inlineStr"/>
      <c r="AJ2414" s="18" t="inlineStr">
        <is>
          <t>COBBLEVERSE 수정</t>
        </is>
      </c>
      <c r="AK2414" s="18" t="inlineStr">
        <is>
          <t>사용</t>
        </is>
      </c>
      <c r="AL2414" s="18" t="inlineStr">
        <is>
          <t>COBBLEVERSE 1.7.42 / DP v31</t>
        </is>
      </c>
      <c r="AM2414" s="18" t="inlineStr">
        <is>
          <t>data/cobblemon/spawn_pool_world/0712_bergmite.json</t>
        </is>
      </c>
      <c r="AN2414" s="18" t="inlineStr">
        <is>
          <t>bergmite-1</t>
        </is>
      </c>
      <c r="AO2414" s="18" t="inlineStr">
        <is>
          <t>pokemon</t>
        </is>
      </c>
      <c r="AP2414" s="18" t="inlineStr">
        <is>
          <t>natural</t>
        </is>
      </c>
      <c r="AQ2414" s="18" t="inlineStr">
        <is>
          <t>{"biomes":["#cobblemon:is_frozen_ocean"],"maxSkyLight":15,"minSkyLight":8}</t>
        </is>
      </c>
      <c r="AR2414" s="18" t="inlineStr"/>
      <c r="AS2414" s="18" t="inlineStr"/>
      <c r="AT2414" s="19" t="inlineStr"/>
    </row>
    <row r="2415" ht="32" customHeight="1">
      <c r="A2415" s="18" t="inlineStr">
        <is>
          <t>0712_bergmite.json::bergmite-2::002</t>
        </is>
      </c>
      <c r="B2415" s="19" t="inlineStr">
        <is>
          <t>사용</t>
        </is>
      </c>
      <c r="C2415" s="18">
        <f>IF(OR(B2415&lt;&gt;AK2415,M2415&lt;&gt;L2415,O2415&lt;&gt;"",Q2415&lt;&gt;"",V2415&lt;&gt;1,Y2415&lt;&gt;"",AT2415&lt;&gt;""),"수정","원본")</f>
        <v/>
      </c>
      <c r="D2415" s="18" t="n">
        <v>712</v>
      </c>
      <c r="E2415" s="18" t="inlineStr">
        <is>
          <t>꽁어름</t>
        </is>
      </c>
      <c r="F2415" s="18" t="inlineStr">
        <is>
          <t>bergmite</t>
        </is>
      </c>
      <c r="G2415" s="18" t="inlineStr">
        <is>
          <t>bergmite</t>
        </is>
      </c>
      <c r="H2415" s="18" t="inlineStr"/>
      <c r="I2415" s="18" t="n">
        <v>6</v>
      </c>
      <c r="J2415" s="18" t="n"/>
      <c r="K2415" s="18" t="n">
        <v>6</v>
      </c>
      <c r="L2415" s="18" t="inlineStr">
        <is>
          <t>cobbleventure:generation_6</t>
        </is>
      </c>
      <c r="M2415" s="19" t="inlineStr">
        <is>
          <t>cobbleventure:generation_6</t>
        </is>
      </c>
      <c r="N2415" s="18" t="inlineStr"/>
      <c r="O2415" s="19" t="inlineStr"/>
      <c r="P2415" s="18" t="inlineStr">
        <is>
          <t>#cobblemon:is_frozen_ocean</t>
        </is>
      </c>
      <c r="Q2415" s="19" t="inlineStr"/>
      <c r="R2415" s="18">
        <f>IF(Q2415="",P2415,Q2415)</f>
        <v/>
      </c>
      <c r="S2415" s="18" t="inlineStr"/>
      <c r="T2415" s="18" t="inlineStr">
        <is>
          <t>common</t>
        </is>
      </c>
      <c r="U2415" s="20" t="n">
        <v>8</v>
      </c>
      <c r="V2415" s="21" t="n">
        <v>1</v>
      </c>
      <c r="W2415" s="20">
        <f>IF(OR(U2415="",V2415=""),U2415,U2415*V2415)</f>
        <v/>
      </c>
      <c r="X2415" s="18" t="inlineStr">
        <is>
          <t>5-30</t>
        </is>
      </c>
      <c r="Y2415" s="19" t="inlineStr"/>
      <c r="Z2415" s="18">
        <f>IF(Y2415="",X2415,Y2415)</f>
        <v/>
      </c>
      <c r="AA2415" s="18" t="inlineStr">
        <is>
          <t>surface</t>
        </is>
      </c>
      <c r="AB2415" s="18" t="inlineStr"/>
      <c r="AC2415" s="18" t="inlineStr"/>
      <c r="AD2415" s="18" t="inlineStr"/>
      <c r="AE2415" s="18" t="inlineStr">
        <is>
          <t>sky 8-15</t>
        </is>
      </c>
      <c r="AF2415" s="18" t="inlineStr"/>
      <c r="AG2415" s="18" t="inlineStr"/>
      <c r="AH2415" s="18" t="inlineStr"/>
      <c r="AI2415" s="18" t="inlineStr"/>
      <c r="AJ2415" s="18" t="inlineStr">
        <is>
          <t>COBBLEVERSE 수정</t>
        </is>
      </c>
      <c r="AK2415" s="18" t="inlineStr">
        <is>
          <t>사용</t>
        </is>
      </c>
      <c r="AL2415" s="18" t="inlineStr">
        <is>
          <t>COBBLEVERSE 1.7.42 / DP v31</t>
        </is>
      </c>
      <c r="AM2415" s="18" t="inlineStr">
        <is>
          <t>data/cobblemon/spawn_pool_world/0712_bergmite.json</t>
        </is>
      </c>
      <c r="AN2415" s="18" t="inlineStr">
        <is>
          <t>bergmite-2</t>
        </is>
      </c>
      <c r="AO2415" s="18" t="inlineStr">
        <is>
          <t>pokemon</t>
        </is>
      </c>
      <c r="AP2415" s="18" t="inlineStr">
        <is>
          <t>water</t>
        </is>
      </c>
      <c r="AQ2415" s="18" t="inlineStr">
        <is>
          <t>{"biomes":["#cobblemon:is_frozen_ocean"],"maxSkyLight":15,"minSkyLight":8}</t>
        </is>
      </c>
      <c r="AR2415" s="18" t="inlineStr"/>
      <c r="AS2415" s="18" t="inlineStr"/>
      <c r="AT2415" s="19" t="inlineStr"/>
    </row>
    <row r="2416" ht="32" customHeight="1">
      <c r="A2416" s="18" t="inlineStr">
        <is>
          <t>0712_bergmite.json::bergmite-3::003</t>
        </is>
      </c>
      <c r="B2416" s="19" t="inlineStr">
        <is>
          <t>사용</t>
        </is>
      </c>
      <c r="C2416" s="18">
        <f>IF(OR(B2416&lt;&gt;AK2416,M2416&lt;&gt;L2416,O2416&lt;&gt;"",Q2416&lt;&gt;"",V2416&lt;&gt;1,Y2416&lt;&gt;"",AT2416&lt;&gt;""),"수정","원본")</f>
        <v/>
      </c>
      <c r="D2416" s="18" t="n">
        <v>712</v>
      </c>
      <c r="E2416" s="18" t="inlineStr">
        <is>
          <t>꽁어름</t>
        </is>
      </c>
      <c r="F2416" s="18" t="inlineStr">
        <is>
          <t>bergmite</t>
        </is>
      </c>
      <c r="G2416" s="18" t="inlineStr">
        <is>
          <t>bergmite</t>
        </is>
      </c>
      <c r="H2416" s="18" t="inlineStr"/>
      <c r="I2416" s="18" t="n">
        <v>6</v>
      </c>
      <c r="J2416" s="18" t="n"/>
      <c r="K2416" s="18" t="n">
        <v>6</v>
      </c>
      <c r="L2416" s="18" t="inlineStr">
        <is>
          <t>cobbleventure:generation_6</t>
        </is>
      </c>
      <c r="M2416" s="19" t="inlineStr">
        <is>
          <t>cobbleventure:generation_6</t>
        </is>
      </c>
      <c r="N2416" s="18" t="inlineStr"/>
      <c r="O2416" s="19" t="inlineStr"/>
      <c r="P2416" s="18" t="inlineStr">
        <is>
          <t>#cobblemon:is_frozen_ocean</t>
        </is>
      </c>
      <c r="Q2416" s="19" t="inlineStr"/>
      <c r="R2416" s="18">
        <f>IF(Q2416="",P2416,Q2416)</f>
        <v/>
      </c>
      <c r="S2416" s="18" t="inlineStr"/>
      <c r="T2416" s="18" t="inlineStr">
        <is>
          <t>common</t>
        </is>
      </c>
      <c r="U2416" s="20" t="n">
        <v>9</v>
      </c>
      <c r="V2416" s="21" t="n">
        <v>1</v>
      </c>
      <c r="W2416" s="20">
        <f>IF(OR(U2416="",V2416=""),U2416,U2416*V2416)</f>
        <v/>
      </c>
      <c r="X2416" s="18" t="inlineStr">
        <is>
          <t>5-30</t>
        </is>
      </c>
      <c r="Y2416" s="19" t="inlineStr"/>
      <c r="Z2416" s="18">
        <f>IF(Y2416="",X2416,Y2416)</f>
        <v/>
      </c>
      <c r="AA2416" s="18" t="inlineStr">
        <is>
          <t>fishing</t>
        </is>
      </c>
      <c r="AB2416" s="18" t="inlineStr"/>
      <c r="AC2416" s="18" t="inlineStr"/>
      <c r="AD2416" s="18" t="inlineStr"/>
      <c r="AE2416" s="18" t="inlineStr"/>
      <c r="AF2416" s="18" t="inlineStr">
        <is>
          <t>True</t>
        </is>
      </c>
      <c r="AG2416" s="18" t="inlineStr"/>
      <c r="AH2416" s="18" t="inlineStr"/>
      <c r="AI2416" s="18" t="inlineStr"/>
      <c r="AJ2416" s="18" t="inlineStr">
        <is>
          <t>COBBLEVERSE 수정</t>
        </is>
      </c>
      <c r="AK2416" s="18" t="inlineStr">
        <is>
          <t>사용</t>
        </is>
      </c>
      <c r="AL2416" s="18" t="inlineStr">
        <is>
          <t>COBBLEVERSE 1.7.42 / DP v31</t>
        </is>
      </c>
      <c r="AM2416" s="18" t="inlineStr">
        <is>
          <t>data/cobblemon/spawn_pool_world/0712_bergmite.json</t>
        </is>
      </c>
      <c r="AN2416" s="18" t="inlineStr">
        <is>
          <t>bergmite-3</t>
        </is>
      </c>
      <c r="AO2416" s="18" t="inlineStr">
        <is>
          <t>pokemon</t>
        </is>
      </c>
      <c r="AP2416" s="18" t="inlineStr"/>
      <c r="AQ2416" s="18" t="inlineStr">
        <is>
          <t>{"biomes":["#cobblemon:is_frozen_ocean"],"canSeeSky":true}</t>
        </is>
      </c>
      <c r="AR2416" s="18" t="inlineStr"/>
      <c r="AS2416" s="18" t="inlineStr">
        <is>
          <t>{"weightMultiplier":{"condition":{"maxLureLevel":1,"minLureLevel":0},"multiplier":0.6}}</t>
        </is>
      </c>
      <c r="AT2416" s="19" t="inlineStr"/>
    </row>
    <row r="2417" ht="32" customHeight="1">
      <c r="A2417" s="18" t="inlineStr">
        <is>
          <t>0712_bergmite.json::bergmite-4::004</t>
        </is>
      </c>
      <c r="B2417" s="19" t="inlineStr">
        <is>
          <t>사용</t>
        </is>
      </c>
      <c r="C2417" s="18">
        <f>IF(OR(B2417&lt;&gt;AK2417,M2417&lt;&gt;L2417,O2417&lt;&gt;"",Q2417&lt;&gt;"",V2417&lt;&gt;1,Y2417&lt;&gt;"",AT2417&lt;&gt;""),"수정","원본")</f>
        <v/>
      </c>
      <c r="D2417" s="18" t="n">
        <v>712</v>
      </c>
      <c r="E2417" s="18" t="inlineStr">
        <is>
          <t>꽁어름</t>
        </is>
      </c>
      <c r="F2417" s="18" t="inlineStr">
        <is>
          <t>bergmite</t>
        </is>
      </c>
      <c r="G2417" s="18" t="inlineStr">
        <is>
          <t>bergmite</t>
        </is>
      </c>
      <c r="H2417" s="18" t="inlineStr"/>
      <c r="I2417" s="18" t="n">
        <v>6</v>
      </c>
      <c r="J2417" s="18" t="n"/>
      <c r="K2417" s="18" t="n">
        <v>6</v>
      </c>
      <c r="L2417" s="18" t="inlineStr">
        <is>
          <t>cobbleventure:generation_6</t>
        </is>
      </c>
      <c r="M2417" s="19" t="inlineStr">
        <is>
          <t>cobbleventure:generation_6</t>
        </is>
      </c>
      <c r="N2417" s="18" t="inlineStr"/>
      <c r="O2417" s="19" t="inlineStr"/>
      <c r="P2417" s="18" t="inlineStr">
        <is>
          <t>#cobblemon:nether/is_frozen</t>
        </is>
      </c>
      <c r="Q2417" s="19" t="inlineStr"/>
      <c r="R2417" s="18">
        <f>IF(Q2417="",P2417,Q2417)</f>
        <v/>
      </c>
      <c r="S2417" s="18" t="inlineStr"/>
      <c r="T2417" s="18" t="inlineStr">
        <is>
          <t>common</t>
        </is>
      </c>
      <c r="U2417" s="20" t="n">
        <v>9</v>
      </c>
      <c r="V2417" s="21" t="n">
        <v>1</v>
      </c>
      <c r="W2417" s="20">
        <f>IF(OR(U2417="",V2417=""),U2417,U2417*V2417)</f>
        <v/>
      </c>
      <c r="X2417" s="18" t="inlineStr">
        <is>
          <t>5-30</t>
        </is>
      </c>
      <c r="Y2417" s="19" t="inlineStr"/>
      <c r="Z2417" s="18">
        <f>IF(Y2417="",X2417,Y2417)</f>
        <v/>
      </c>
      <c r="AA2417" s="18" t="inlineStr">
        <is>
          <t>grounded</t>
        </is>
      </c>
      <c r="AB2417" s="18" t="inlineStr"/>
      <c r="AC2417" s="18" t="inlineStr"/>
      <c r="AD2417" s="18" t="inlineStr"/>
      <c r="AE2417" s="18" t="inlineStr"/>
      <c r="AF2417" s="18" t="inlineStr"/>
      <c r="AG2417" s="18" t="inlineStr"/>
      <c r="AH2417" s="18" t="inlineStr"/>
      <c r="AI2417" s="18" t="inlineStr"/>
      <c r="AJ2417" s="18" t="inlineStr">
        <is>
          <t>COBBLEVERSE 수정</t>
        </is>
      </c>
      <c r="AK2417" s="18" t="inlineStr">
        <is>
          <t>사용</t>
        </is>
      </c>
      <c r="AL2417" s="18" t="inlineStr">
        <is>
          <t>COBBLEVERSE 1.7.42 / DP v31</t>
        </is>
      </c>
      <c r="AM2417" s="18" t="inlineStr">
        <is>
          <t>data/cobblemon/spawn_pool_world/0712_bergmite.json</t>
        </is>
      </c>
      <c r="AN2417" s="18" t="inlineStr">
        <is>
          <t>bergmite-4</t>
        </is>
      </c>
      <c r="AO2417" s="18" t="inlineStr">
        <is>
          <t>pokemon</t>
        </is>
      </c>
      <c r="AP2417" s="18" t="inlineStr">
        <is>
          <t>natural</t>
        </is>
      </c>
      <c r="AQ2417" s="18" t="inlineStr">
        <is>
          <t>{"biomes":["#cobblemon:nether/is_frozen"]}</t>
        </is>
      </c>
      <c r="AR2417" s="18" t="inlineStr"/>
      <c r="AS2417" s="18" t="inlineStr"/>
      <c r="AT2417" s="19" t="inlineStr"/>
    </row>
    <row r="2418" ht="32" customHeight="1">
      <c r="A2418" s="18" t="inlineStr">
        <is>
          <t>0712_bergmite.json::bergmite-5::005</t>
        </is>
      </c>
      <c r="B2418" s="19" t="inlineStr">
        <is>
          <t>사용</t>
        </is>
      </c>
      <c r="C2418" s="18">
        <f>IF(OR(B2418&lt;&gt;AK2418,M2418&lt;&gt;L2418,O2418&lt;&gt;"",Q2418&lt;&gt;"",V2418&lt;&gt;1,Y2418&lt;&gt;"",AT2418&lt;&gt;""),"수정","원본")</f>
        <v/>
      </c>
      <c r="D2418" s="18" t="n">
        <v>712</v>
      </c>
      <c r="E2418" s="18" t="inlineStr">
        <is>
          <t>꽁어름</t>
        </is>
      </c>
      <c r="F2418" s="18" t="inlineStr">
        <is>
          <t>bergmite</t>
        </is>
      </c>
      <c r="G2418" s="18" t="inlineStr">
        <is>
          <t>bergmite</t>
        </is>
      </c>
      <c r="H2418" s="18" t="inlineStr"/>
      <c r="I2418" s="18" t="n">
        <v>6</v>
      </c>
      <c r="J2418" s="18" t="n"/>
      <c r="K2418" s="18" t="n">
        <v>6</v>
      </c>
      <c r="L2418" s="18" t="inlineStr">
        <is>
          <t>cobbleventure:generation_6</t>
        </is>
      </c>
      <c r="M2418" s="19" t="inlineStr">
        <is>
          <t>cobbleventure:generation_6</t>
        </is>
      </c>
      <c r="N2418" s="18" t="inlineStr"/>
      <c r="O2418" s="19" t="inlineStr"/>
      <c r="P2418" s="18" t="inlineStr">
        <is>
          <t>#cobblemon:is_frozen_ocean</t>
        </is>
      </c>
      <c r="Q2418" s="19" t="inlineStr"/>
      <c r="R2418" s="18">
        <f>IF(Q2418="",P2418,Q2418)</f>
        <v/>
      </c>
      <c r="S2418" s="18" t="inlineStr"/>
      <c r="T2418" s="18" t="inlineStr">
        <is>
          <t>common</t>
        </is>
      </c>
      <c r="U2418" s="20" t="n">
        <v>9</v>
      </c>
      <c r="V2418" s="21" t="n">
        <v>1</v>
      </c>
      <c r="W2418" s="20">
        <f>IF(OR(U2418="",V2418=""),U2418,U2418*V2418)</f>
        <v/>
      </c>
      <c r="X2418" s="18" t="inlineStr">
        <is>
          <t>5-30</t>
        </is>
      </c>
      <c r="Y2418" s="19" t="inlineStr"/>
      <c r="Z2418" s="18">
        <f>IF(Y2418="",X2418,Y2418)</f>
        <v/>
      </c>
      <c r="AA2418" s="18" t="inlineStr">
        <is>
          <t>fishing</t>
        </is>
      </c>
      <c r="AB2418" s="18" t="inlineStr"/>
      <c r="AC2418" s="18" t="inlineStr"/>
      <c r="AD2418" s="18" t="inlineStr"/>
      <c r="AE2418" s="18" t="inlineStr">
        <is>
          <t>sky 8-15</t>
        </is>
      </c>
      <c r="AF2418" s="18" t="inlineStr">
        <is>
          <t>False</t>
        </is>
      </c>
      <c r="AG2418" s="18" t="inlineStr"/>
      <c r="AH2418" s="18" t="inlineStr"/>
      <c r="AI2418" s="18" t="inlineStr"/>
      <c r="AJ2418" s="18" t="inlineStr">
        <is>
          <t>COBBLEVERSE 수정</t>
        </is>
      </c>
      <c r="AK2418" s="18" t="inlineStr">
        <is>
          <t>사용</t>
        </is>
      </c>
      <c r="AL2418" s="18" t="inlineStr">
        <is>
          <t>COBBLEVERSE 1.7.42 / DP v31</t>
        </is>
      </c>
      <c r="AM2418" s="18" t="inlineStr">
        <is>
          <t>data/cobblemon/spawn_pool_world/0712_bergmite.json</t>
        </is>
      </c>
      <c r="AN2418" s="18" t="inlineStr">
        <is>
          <t>bergmite-5</t>
        </is>
      </c>
      <c r="AO2418" s="18" t="inlineStr">
        <is>
          <t>pokemon</t>
        </is>
      </c>
      <c r="AP2418" s="18" t="inlineStr"/>
      <c r="AQ2418" s="18" t="inlineStr">
        <is>
          <t>{"biomes":["#cobblemon:is_frozen_ocean"],"canSeeSky":false,"maxSkyLight":15,"minSkyLight":8}</t>
        </is>
      </c>
      <c r="AR2418" s="18" t="inlineStr"/>
      <c r="AS2418" s="18" t="inlineStr">
        <is>
          <t>{"weightMultiplier":{"condition":{"maxLureLevel":1,"minLureLevel":0},"multiplier":0.6}}</t>
        </is>
      </c>
      <c r="AT2418" s="19" t="inlineStr"/>
    </row>
    <row r="2419" ht="32" customHeight="1">
      <c r="A2419" s="18" t="inlineStr">
        <is>
          <t>0712_bergmite.json::bergmite-hisui-6::006</t>
        </is>
      </c>
      <c r="B2419" s="19" t="inlineStr">
        <is>
          <t>사용</t>
        </is>
      </c>
      <c r="C2419" s="18">
        <f>IF(OR(B2419&lt;&gt;AK2419,M2419&lt;&gt;L2419,O2419&lt;&gt;"",Q2419&lt;&gt;"",V2419&lt;&gt;1,Y2419&lt;&gt;"",AT2419&lt;&gt;""),"수정","원본")</f>
        <v/>
      </c>
      <c r="D2419" s="18" t="n">
        <v>712</v>
      </c>
      <c r="E2419" s="18" t="inlineStr">
        <is>
          <t>꽁어름</t>
        </is>
      </c>
      <c r="F2419" s="18" t="inlineStr">
        <is>
          <t>bergmite</t>
        </is>
      </c>
      <c r="G2419" s="18" t="inlineStr">
        <is>
          <t>bergmite region_bias=hisui</t>
        </is>
      </c>
      <c r="H2419" s="18" t="inlineStr">
        <is>
          <t>region_bias=hisui</t>
        </is>
      </c>
      <c r="I2419" s="18" t="n">
        <v>6</v>
      </c>
      <c r="J2419" s="18" t="n">
        <v>8</v>
      </c>
      <c r="K2419" s="18" t="n">
        <v>8</v>
      </c>
      <c r="L2419" s="18" t="inlineStr">
        <is>
          <t>cobbleventure:generation_8</t>
        </is>
      </c>
      <c r="M2419" s="19" t="inlineStr">
        <is>
          <t>cobbleventure:generation_8</t>
        </is>
      </c>
      <c r="N2419" s="18" t="inlineStr"/>
      <c r="O2419" s="19" t="inlineStr"/>
      <c r="P2419" s="18" t="inlineStr">
        <is>
          <t>#cobblemon:is_freezing</t>
        </is>
      </c>
      <c r="Q2419" s="19" t="inlineStr"/>
      <c r="R2419" s="18">
        <f>IF(Q2419="",P2419,Q2419)</f>
        <v/>
      </c>
      <c r="S2419" s="18" t="inlineStr"/>
      <c r="T2419" s="18" t="inlineStr">
        <is>
          <t>uncommon</t>
        </is>
      </c>
      <c r="U2419" s="20" t="n">
        <v>6.5</v>
      </c>
      <c r="V2419" s="21" t="n">
        <v>1</v>
      </c>
      <c r="W2419" s="20">
        <f>IF(OR(U2419="",V2419=""),U2419,U2419*V2419)</f>
        <v/>
      </c>
      <c r="X2419" s="18" t="inlineStr">
        <is>
          <t>7-32</t>
        </is>
      </c>
      <c r="Y2419" s="19" t="inlineStr"/>
      <c r="Z2419" s="18">
        <f>IF(Y2419="",X2419,Y2419)</f>
        <v/>
      </c>
      <c r="AA2419" s="18" t="inlineStr">
        <is>
          <t>grounded</t>
        </is>
      </c>
      <c r="AB2419" s="18" t="inlineStr"/>
      <c r="AC2419" s="18" t="inlineStr"/>
      <c r="AD2419" s="18" t="inlineStr"/>
      <c r="AE2419" s="18" t="inlineStr">
        <is>
          <t>sky 8-15</t>
        </is>
      </c>
      <c r="AF2419" s="18" t="inlineStr"/>
      <c r="AG2419" s="18" t="inlineStr"/>
      <c r="AH2419" s="18" t="inlineStr"/>
      <c r="AI2419" s="18" t="inlineStr"/>
      <c r="AJ2419" s="18" t="inlineStr">
        <is>
          <t>COBBLEVERSE 수정</t>
        </is>
      </c>
      <c r="AK2419" s="18" t="inlineStr">
        <is>
          <t>사용</t>
        </is>
      </c>
      <c r="AL2419" s="18" t="inlineStr">
        <is>
          <t>COBBLEVERSE 1.7.42 / DP v31</t>
        </is>
      </c>
      <c r="AM2419" s="18" t="inlineStr">
        <is>
          <t>data/cobblemon/spawn_pool_world/0712_bergmite.json</t>
        </is>
      </c>
      <c r="AN2419" s="18" t="inlineStr">
        <is>
          <t>bergmite-hisui-6</t>
        </is>
      </c>
      <c r="AO2419" s="18" t="inlineStr">
        <is>
          <t>pokemon</t>
        </is>
      </c>
      <c r="AP2419" s="18" t="inlineStr">
        <is>
          <t>natural</t>
        </is>
      </c>
      <c r="AQ2419" s="18" t="inlineStr">
        <is>
          <t>{"biomes":["#cobblemon:is_freezing"],"maxSkyLight":15,"minSkyLight":8}</t>
        </is>
      </c>
      <c r="AR2419" s="18" t="inlineStr"/>
      <c r="AS2419" s="18" t="inlineStr"/>
      <c r="AT2419" s="19" t="inlineStr"/>
    </row>
    <row r="2420" ht="32" customHeight="1">
      <c r="A2420" s="18" t="inlineStr">
        <is>
          <t>0713_avalugg.json::avalugg-1::001</t>
        </is>
      </c>
      <c r="B2420" s="19" t="inlineStr">
        <is>
          <t>사용</t>
        </is>
      </c>
      <c r="C2420" s="18">
        <f>IF(OR(B2420&lt;&gt;AK2420,M2420&lt;&gt;L2420,O2420&lt;&gt;"",Q2420&lt;&gt;"",V2420&lt;&gt;1,Y2420&lt;&gt;"",AT2420&lt;&gt;""),"수정","원본")</f>
        <v/>
      </c>
      <c r="D2420" s="18" t="n">
        <v>713</v>
      </c>
      <c r="E2420" s="18" t="inlineStr">
        <is>
          <t>크레베이스</t>
        </is>
      </c>
      <c r="F2420" s="18" t="inlineStr">
        <is>
          <t>avalugg</t>
        </is>
      </c>
      <c r="G2420" s="18" t="inlineStr">
        <is>
          <t>avalugg</t>
        </is>
      </c>
      <c r="H2420" s="18" t="inlineStr"/>
      <c r="I2420" s="18" t="n">
        <v>6</v>
      </c>
      <c r="J2420" s="18" t="n"/>
      <c r="K2420" s="18" t="n">
        <v>6</v>
      </c>
      <c r="L2420" s="18" t="inlineStr">
        <is>
          <t>cobbleventure:generation_6</t>
        </is>
      </c>
      <c r="M2420" s="19" t="inlineStr">
        <is>
          <t>cobbleventure:generation_6</t>
        </is>
      </c>
      <c r="N2420" s="18" t="inlineStr"/>
      <c r="O2420" s="19" t="inlineStr"/>
      <c r="P2420" s="18" t="inlineStr">
        <is>
          <t>#cobblemon:is_frozen_ocean</t>
        </is>
      </c>
      <c r="Q2420" s="19" t="inlineStr"/>
      <c r="R2420" s="18">
        <f>IF(Q2420="",P2420,Q2420)</f>
        <v/>
      </c>
      <c r="S2420" s="18" t="inlineStr"/>
      <c r="T2420" s="18" t="inlineStr">
        <is>
          <t>common</t>
        </is>
      </c>
      <c r="U2420" s="20" t="n">
        <v>1</v>
      </c>
      <c r="V2420" s="21" t="n">
        <v>1</v>
      </c>
      <c r="W2420" s="20">
        <f>IF(OR(U2420="",V2420=""),U2420,U2420*V2420)</f>
        <v/>
      </c>
      <c r="X2420" s="18" t="inlineStr">
        <is>
          <t>37-51</t>
        </is>
      </c>
      <c r="Y2420" s="19" t="inlineStr"/>
      <c r="Z2420" s="18">
        <f>IF(Y2420="",X2420,Y2420)</f>
        <v/>
      </c>
      <c r="AA2420" s="18" t="inlineStr">
        <is>
          <t>grounded</t>
        </is>
      </c>
      <c r="AB2420" s="18" t="inlineStr"/>
      <c r="AC2420" s="18" t="inlineStr"/>
      <c r="AD2420" s="18" t="inlineStr"/>
      <c r="AE2420" s="18" t="inlineStr">
        <is>
          <t>sky 8-15</t>
        </is>
      </c>
      <c r="AF2420" s="18" t="inlineStr"/>
      <c r="AG2420" s="18" t="inlineStr"/>
      <c r="AH2420" s="18" t="inlineStr"/>
      <c r="AI2420" s="18" t="inlineStr"/>
      <c r="AJ2420" s="18" t="inlineStr">
        <is>
          <t>COBBLEVERSE 수정</t>
        </is>
      </c>
      <c r="AK2420" s="18" t="inlineStr">
        <is>
          <t>사용</t>
        </is>
      </c>
      <c r="AL2420" s="18" t="inlineStr">
        <is>
          <t>COBBLEVERSE 1.7.42 / DP v31</t>
        </is>
      </c>
      <c r="AM2420" s="18" t="inlineStr">
        <is>
          <t>data/cobblemon/spawn_pool_world/0713_avalugg.json</t>
        </is>
      </c>
      <c r="AN2420" s="18" t="inlineStr">
        <is>
          <t>avalugg-1</t>
        </is>
      </c>
      <c r="AO2420" s="18" t="inlineStr">
        <is>
          <t>pokemon</t>
        </is>
      </c>
      <c r="AP2420" s="18" t="inlineStr">
        <is>
          <t>natural</t>
        </is>
      </c>
      <c r="AQ2420" s="18" t="inlineStr">
        <is>
          <t>{"biomes":["#cobblemon:is_frozen_ocean"],"maxSkyLight":15,"minSkyLight":8}</t>
        </is>
      </c>
      <c r="AR2420" s="18" t="inlineStr"/>
      <c r="AS2420" s="18" t="inlineStr"/>
      <c r="AT2420" s="19" t="inlineStr"/>
    </row>
    <row r="2421" ht="32" customHeight="1">
      <c r="A2421" s="18" t="inlineStr">
        <is>
          <t>0713_avalugg.json::avalugg-2::002</t>
        </is>
      </c>
      <c r="B2421" s="19" t="inlineStr">
        <is>
          <t>사용</t>
        </is>
      </c>
      <c r="C2421" s="18">
        <f>IF(OR(B2421&lt;&gt;AK2421,M2421&lt;&gt;L2421,O2421&lt;&gt;"",Q2421&lt;&gt;"",V2421&lt;&gt;1,Y2421&lt;&gt;"",AT2421&lt;&gt;""),"수정","원본")</f>
        <v/>
      </c>
      <c r="D2421" s="18" t="n">
        <v>713</v>
      </c>
      <c r="E2421" s="18" t="inlineStr">
        <is>
          <t>크레베이스</t>
        </is>
      </c>
      <c r="F2421" s="18" t="inlineStr">
        <is>
          <t>avalugg</t>
        </is>
      </c>
      <c r="G2421" s="18" t="inlineStr">
        <is>
          <t>avalugg</t>
        </is>
      </c>
      <c r="H2421" s="18" t="inlineStr"/>
      <c r="I2421" s="18" t="n">
        <v>6</v>
      </c>
      <c r="J2421" s="18" t="n"/>
      <c r="K2421" s="18" t="n">
        <v>6</v>
      </c>
      <c r="L2421" s="18" t="inlineStr">
        <is>
          <t>cobbleventure:generation_6</t>
        </is>
      </c>
      <c r="M2421" s="19" t="inlineStr">
        <is>
          <t>cobbleventure:generation_6</t>
        </is>
      </c>
      <c r="N2421" s="18" t="inlineStr"/>
      <c r="O2421" s="19" t="inlineStr"/>
      <c r="P2421" s="18" t="inlineStr">
        <is>
          <t>#cobblemon:is_frozen_ocean</t>
        </is>
      </c>
      <c r="Q2421" s="19" t="inlineStr"/>
      <c r="R2421" s="18">
        <f>IF(Q2421="",P2421,Q2421)</f>
        <v/>
      </c>
      <c r="S2421" s="18" t="inlineStr"/>
      <c r="T2421" s="18" t="inlineStr">
        <is>
          <t>common</t>
        </is>
      </c>
      <c r="U2421" s="20" t="n">
        <v>1</v>
      </c>
      <c r="V2421" s="21" t="n">
        <v>1</v>
      </c>
      <c r="W2421" s="20">
        <f>IF(OR(U2421="",V2421=""),U2421,U2421*V2421)</f>
        <v/>
      </c>
      <c r="X2421" s="18" t="inlineStr">
        <is>
          <t>37-51</t>
        </is>
      </c>
      <c r="Y2421" s="19" t="inlineStr"/>
      <c r="Z2421" s="18">
        <f>IF(Y2421="",X2421,Y2421)</f>
        <v/>
      </c>
      <c r="AA2421" s="18" t="inlineStr">
        <is>
          <t>surface</t>
        </is>
      </c>
      <c r="AB2421" s="18" t="inlineStr"/>
      <c r="AC2421" s="18" t="inlineStr"/>
      <c r="AD2421" s="18" t="inlineStr"/>
      <c r="AE2421" s="18" t="inlineStr">
        <is>
          <t>sky 8-15</t>
        </is>
      </c>
      <c r="AF2421" s="18" t="inlineStr"/>
      <c r="AG2421" s="18" t="inlineStr"/>
      <c r="AH2421" s="18" t="inlineStr"/>
      <c r="AI2421" s="18" t="inlineStr"/>
      <c r="AJ2421" s="18" t="inlineStr">
        <is>
          <t>COBBLEVERSE 수정</t>
        </is>
      </c>
      <c r="AK2421" s="18" t="inlineStr">
        <is>
          <t>사용</t>
        </is>
      </c>
      <c r="AL2421" s="18" t="inlineStr">
        <is>
          <t>COBBLEVERSE 1.7.42 / DP v31</t>
        </is>
      </c>
      <c r="AM2421" s="18" t="inlineStr">
        <is>
          <t>data/cobblemon/spawn_pool_world/0713_avalugg.json</t>
        </is>
      </c>
      <c r="AN2421" s="18" t="inlineStr">
        <is>
          <t>avalugg-2</t>
        </is>
      </c>
      <c r="AO2421" s="18" t="inlineStr">
        <is>
          <t>pokemon</t>
        </is>
      </c>
      <c r="AP2421" s="18" t="inlineStr">
        <is>
          <t>water</t>
        </is>
      </c>
      <c r="AQ2421" s="18" t="inlineStr">
        <is>
          <t>{"biomes":["#cobblemon:is_frozen_ocean"],"maxSkyLight":15,"minSkyLight":8}</t>
        </is>
      </c>
      <c r="AR2421" s="18" t="inlineStr"/>
      <c r="AS2421" s="18" t="inlineStr"/>
      <c r="AT2421" s="19" t="inlineStr"/>
    </row>
    <row r="2422" ht="32" customHeight="1">
      <c r="A2422" s="18" t="inlineStr">
        <is>
          <t>0713_avalugg.json::avalugg-3::003</t>
        </is>
      </c>
      <c r="B2422" s="19" t="inlineStr">
        <is>
          <t>사용</t>
        </is>
      </c>
      <c r="C2422" s="18">
        <f>IF(OR(B2422&lt;&gt;AK2422,M2422&lt;&gt;L2422,O2422&lt;&gt;"",Q2422&lt;&gt;"",V2422&lt;&gt;1,Y2422&lt;&gt;"",AT2422&lt;&gt;""),"수정","원본")</f>
        <v/>
      </c>
      <c r="D2422" s="18" t="n">
        <v>713</v>
      </c>
      <c r="E2422" s="18" t="inlineStr">
        <is>
          <t>크레베이스</t>
        </is>
      </c>
      <c r="F2422" s="18" t="inlineStr">
        <is>
          <t>avalugg</t>
        </is>
      </c>
      <c r="G2422" s="18" t="inlineStr">
        <is>
          <t>avalugg</t>
        </is>
      </c>
      <c r="H2422" s="18" t="inlineStr"/>
      <c r="I2422" s="18" t="n">
        <v>6</v>
      </c>
      <c r="J2422" s="18" t="n"/>
      <c r="K2422" s="18" t="n">
        <v>6</v>
      </c>
      <c r="L2422" s="18" t="inlineStr">
        <is>
          <t>cobbleventure:generation_6</t>
        </is>
      </c>
      <c r="M2422" s="19" t="inlineStr">
        <is>
          <t>cobbleventure:generation_6</t>
        </is>
      </c>
      <c r="N2422" s="18" t="inlineStr"/>
      <c r="O2422" s="19" t="inlineStr"/>
      <c r="P2422" s="18" t="inlineStr">
        <is>
          <t>#cobblemon:is_frozen_ocean</t>
        </is>
      </c>
      <c r="Q2422" s="19" t="inlineStr"/>
      <c r="R2422" s="18">
        <f>IF(Q2422="",P2422,Q2422)</f>
        <v/>
      </c>
      <c r="S2422" s="18" t="inlineStr"/>
      <c r="T2422" s="18" t="inlineStr">
        <is>
          <t>common</t>
        </is>
      </c>
      <c r="U2422" s="20" t="n">
        <v>1</v>
      </c>
      <c r="V2422" s="21" t="n">
        <v>1</v>
      </c>
      <c r="W2422" s="20">
        <f>IF(OR(U2422="",V2422=""),U2422,U2422*V2422)</f>
        <v/>
      </c>
      <c r="X2422" s="18" t="inlineStr">
        <is>
          <t>37-51</t>
        </is>
      </c>
      <c r="Y2422" s="19" t="inlineStr"/>
      <c r="Z2422" s="18">
        <f>IF(Y2422="",X2422,Y2422)</f>
        <v/>
      </c>
      <c r="AA2422" s="18" t="inlineStr">
        <is>
          <t>fishing</t>
        </is>
      </c>
      <c r="AB2422" s="18" t="inlineStr"/>
      <c r="AC2422" s="18" t="inlineStr"/>
      <c r="AD2422" s="18" t="inlineStr"/>
      <c r="AE2422" s="18" t="inlineStr"/>
      <c r="AF2422" s="18" t="inlineStr">
        <is>
          <t>True</t>
        </is>
      </c>
      <c r="AG2422" s="18" t="inlineStr"/>
      <c r="AH2422" s="18" t="inlineStr"/>
      <c r="AI2422" s="18" t="inlineStr"/>
      <c r="AJ2422" s="18" t="inlineStr">
        <is>
          <t>COBBLEVERSE 수정</t>
        </is>
      </c>
      <c r="AK2422" s="18" t="inlineStr">
        <is>
          <t>사용</t>
        </is>
      </c>
      <c r="AL2422" s="18" t="inlineStr">
        <is>
          <t>COBBLEVERSE 1.7.42 / DP v31</t>
        </is>
      </c>
      <c r="AM2422" s="18" t="inlineStr">
        <is>
          <t>data/cobblemon/spawn_pool_world/0713_avalugg.json</t>
        </is>
      </c>
      <c r="AN2422" s="18" t="inlineStr">
        <is>
          <t>avalugg-3</t>
        </is>
      </c>
      <c r="AO2422" s="18" t="inlineStr">
        <is>
          <t>pokemon</t>
        </is>
      </c>
      <c r="AP2422" s="18" t="inlineStr"/>
      <c r="AQ2422" s="18" t="inlineStr">
        <is>
          <t>{"biomes":["#cobblemon:is_frozen_ocean"],"canSeeSky":true}</t>
        </is>
      </c>
      <c r="AR2422" s="18" t="inlineStr"/>
      <c r="AS2422" s="18" t="inlineStr">
        <is>
          <t>{"weightMultiplier":{"condition":{"maxLureLevel":1,"minLureLevel":0},"multiplier":0.6}}</t>
        </is>
      </c>
      <c r="AT2422" s="19" t="inlineStr"/>
    </row>
    <row r="2423" ht="32" customHeight="1">
      <c r="A2423" s="18" t="inlineStr">
        <is>
          <t>0713_avalugg.json::avalugg-4::004</t>
        </is>
      </c>
      <c r="B2423" s="19" t="inlineStr">
        <is>
          <t>사용</t>
        </is>
      </c>
      <c r="C2423" s="18">
        <f>IF(OR(B2423&lt;&gt;AK2423,M2423&lt;&gt;L2423,O2423&lt;&gt;"",Q2423&lt;&gt;"",V2423&lt;&gt;1,Y2423&lt;&gt;"",AT2423&lt;&gt;""),"수정","원본")</f>
        <v/>
      </c>
      <c r="D2423" s="18" t="n">
        <v>713</v>
      </c>
      <c r="E2423" s="18" t="inlineStr">
        <is>
          <t>크레베이스</t>
        </is>
      </c>
      <c r="F2423" s="18" t="inlineStr">
        <is>
          <t>avalugg</t>
        </is>
      </c>
      <c r="G2423" s="18" t="inlineStr">
        <is>
          <t>avalugg</t>
        </is>
      </c>
      <c r="H2423" s="18" t="inlineStr"/>
      <c r="I2423" s="18" t="n">
        <v>6</v>
      </c>
      <c r="J2423" s="18" t="n"/>
      <c r="K2423" s="18" t="n">
        <v>6</v>
      </c>
      <c r="L2423" s="18" t="inlineStr">
        <is>
          <t>cobbleventure:generation_6</t>
        </is>
      </c>
      <c r="M2423" s="19" t="inlineStr">
        <is>
          <t>cobbleventure:generation_6</t>
        </is>
      </c>
      <c r="N2423" s="18" t="inlineStr"/>
      <c r="O2423" s="19" t="inlineStr"/>
      <c r="P2423" s="18" t="inlineStr">
        <is>
          <t>#cobblemon:nether/is_frozen</t>
        </is>
      </c>
      <c r="Q2423" s="19" t="inlineStr"/>
      <c r="R2423" s="18">
        <f>IF(Q2423="",P2423,Q2423)</f>
        <v/>
      </c>
      <c r="S2423" s="18" t="inlineStr"/>
      <c r="T2423" s="18" t="inlineStr">
        <is>
          <t>common</t>
        </is>
      </c>
      <c r="U2423" s="20" t="n">
        <v>1</v>
      </c>
      <c r="V2423" s="21" t="n">
        <v>1</v>
      </c>
      <c r="W2423" s="20">
        <f>IF(OR(U2423="",V2423=""),U2423,U2423*V2423)</f>
        <v/>
      </c>
      <c r="X2423" s="18" t="inlineStr">
        <is>
          <t>37-51</t>
        </is>
      </c>
      <c r="Y2423" s="19" t="inlineStr"/>
      <c r="Z2423" s="18">
        <f>IF(Y2423="",X2423,Y2423)</f>
        <v/>
      </c>
      <c r="AA2423" s="18" t="inlineStr">
        <is>
          <t>grounded</t>
        </is>
      </c>
      <c r="AB2423" s="18" t="inlineStr"/>
      <c r="AC2423" s="18" t="inlineStr"/>
      <c r="AD2423" s="18" t="inlineStr"/>
      <c r="AE2423" s="18" t="inlineStr"/>
      <c r="AF2423" s="18" t="inlineStr"/>
      <c r="AG2423" s="18" t="inlineStr"/>
      <c r="AH2423" s="18" t="inlineStr"/>
      <c r="AI2423" s="18" t="inlineStr"/>
      <c r="AJ2423" s="18" t="inlineStr">
        <is>
          <t>COBBLEVERSE 수정</t>
        </is>
      </c>
      <c r="AK2423" s="18" t="inlineStr">
        <is>
          <t>사용</t>
        </is>
      </c>
      <c r="AL2423" s="18" t="inlineStr">
        <is>
          <t>COBBLEVERSE 1.7.42 / DP v31</t>
        </is>
      </c>
      <c r="AM2423" s="18" t="inlineStr">
        <is>
          <t>data/cobblemon/spawn_pool_world/0713_avalugg.json</t>
        </is>
      </c>
      <c r="AN2423" s="18" t="inlineStr">
        <is>
          <t>avalugg-4</t>
        </is>
      </c>
      <c r="AO2423" s="18" t="inlineStr">
        <is>
          <t>pokemon</t>
        </is>
      </c>
      <c r="AP2423" s="18" t="inlineStr">
        <is>
          <t>natural</t>
        </is>
      </c>
      <c r="AQ2423" s="18" t="inlineStr">
        <is>
          <t>{"biomes":["#cobblemon:nether/is_frozen"]}</t>
        </is>
      </c>
      <c r="AR2423" s="18" t="inlineStr"/>
      <c r="AS2423" s="18" t="inlineStr"/>
      <c r="AT2423" s="19" t="inlineStr"/>
    </row>
    <row r="2424" ht="32" customHeight="1">
      <c r="A2424" s="18" t="inlineStr">
        <is>
          <t>0713_avalugg.json::avalugg-5::005</t>
        </is>
      </c>
      <c r="B2424" s="19" t="inlineStr">
        <is>
          <t>사용</t>
        </is>
      </c>
      <c r="C2424" s="18">
        <f>IF(OR(B2424&lt;&gt;AK2424,M2424&lt;&gt;L2424,O2424&lt;&gt;"",Q2424&lt;&gt;"",V2424&lt;&gt;1,Y2424&lt;&gt;"",AT2424&lt;&gt;""),"수정","원본")</f>
        <v/>
      </c>
      <c r="D2424" s="18" t="n">
        <v>713</v>
      </c>
      <c r="E2424" s="18" t="inlineStr">
        <is>
          <t>크레베이스</t>
        </is>
      </c>
      <c r="F2424" s="18" t="inlineStr">
        <is>
          <t>avalugg</t>
        </is>
      </c>
      <c r="G2424" s="18" t="inlineStr">
        <is>
          <t>avalugg</t>
        </is>
      </c>
      <c r="H2424" s="18" t="inlineStr"/>
      <c r="I2424" s="18" t="n">
        <v>6</v>
      </c>
      <c r="J2424" s="18" t="n"/>
      <c r="K2424" s="18" t="n">
        <v>6</v>
      </c>
      <c r="L2424" s="18" t="inlineStr">
        <is>
          <t>cobbleventure:generation_6</t>
        </is>
      </c>
      <c r="M2424" s="19" t="inlineStr">
        <is>
          <t>cobbleventure:generation_6</t>
        </is>
      </c>
      <c r="N2424" s="18" t="inlineStr"/>
      <c r="O2424" s="19" t="inlineStr"/>
      <c r="P2424" s="18" t="inlineStr">
        <is>
          <t>#cobblemon:is_frozen_ocean</t>
        </is>
      </c>
      <c r="Q2424" s="19" t="inlineStr"/>
      <c r="R2424" s="18">
        <f>IF(Q2424="",P2424,Q2424)</f>
        <v/>
      </c>
      <c r="S2424" s="18" t="inlineStr"/>
      <c r="T2424" s="18" t="inlineStr">
        <is>
          <t>common</t>
        </is>
      </c>
      <c r="U2424" s="20" t="n">
        <v>1</v>
      </c>
      <c r="V2424" s="21" t="n">
        <v>1</v>
      </c>
      <c r="W2424" s="20">
        <f>IF(OR(U2424="",V2424=""),U2424,U2424*V2424)</f>
        <v/>
      </c>
      <c r="X2424" s="18" t="inlineStr">
        <is>
          <t>37-51</t>
        </is>
      </c>
      <c r="Y2424" s="19" t="inlineStr"/>
      <c r="Z2424" s="18">
        <f>IF(Y2424="",X2424,Y2424)</f>
        <v/>
      </c>
      <c r="AA2424" s="18" t="inlineStr">
        <is>
          <t>fishing</t>
        </is>
      </c>
      <c r="AB2424" s="18" t="inlineStr"/>
      <c r="AC2424" s="18" t="inlineStr"/>
      <c r="AD2424" s="18" t="inlineStr"/>
      <c r="AE2424" s="18" t="inlineStr">
        <is>
          <t>sky 8-15</t>
        </is>
      </c>
      <c r="AF2424" s="18" t="inlineStr">
        <is>
          <t>False</t>
        </is>
      </c>
      <c r="AG2424" s="18" t="inlineStr"/>
      <c r="AH2424" s="18" t="inlineStr"/>
      <c r="AI2424" s="18" t="inlineStr"/>
      <c r="AJ2424" s="18" t="inlineStr">
        <is>
          <t>COBBLEVERSE 수정</t>
        </is>
      </c>
      <c r="AK2424" s="18" t="inlineStr">
        <is>
          <t>사용</t>
        </is>
      </c>
      <c r="AL2424" s="18" t="inlineStr">
        <is>
          <t>COBBLEVERSE 1.7.42 / DP v31</t>
        </is>
      </c>
      <c r="AM2424" s="18" t="inlineStr">
        <is>
          <t>data/cobblemon/spawn_pool_world/0713_avalugg.json</t>
        </is>
      </c>
      <c r="AN2424" s="18" t="inlineStr">
        <is>
          <t>avalugg-5</t>
        </is>
      </c>
      <c r="AO2424" s="18" t="inlineStr">
        <is>
          <t>pokemon</t>
        </is>
      </c>
      <c r="AP2424" s="18" t="inlineStr"/>
      <c r="AQ2424" s="18" t="inlineStr">
        <is>
          <t>{"biomes":["#cobblemon:is_frozen_ocean"],"canSeeSky":false,"maxSkyLight":15,"minSkyLight":8}</t>
        </is>
      </c>
      <c r="AR2424" s="18" t="inlineStr"/>
      <c r="AS2424" s="18" t="inlineStr">
        <is>
          <t>{"weightMultiplier":{"condition":{"maxLureLevel":1,"minLureLevel":0},"multiplier":0.6}}</t>
        </is>
      </c>
      <c r="AT2424" s="19" t="inlineStr"/>
    </row>
    <row r="2425" ht="32" customHeight="1">
      <c r="A2425" s="18" t="inlineStr">
        <is>
          <t>0713_avalugg.json::avalugg-hisuian-4::006</t>
        </is>
      </c>
      <c r="B2425" s="19" t="inlineStr">
        <is>
          <t>사용</t>
        </is>
      </c>
      <c r="C2425" s="18">
        <f>IF(OR(B2425&lt;&gt;AK2425,M2425&lt;&gt;L2425,O2425&lt;&gt;"",Q2425&lt;&gt;"",V2425&lt;&gt;1,Y2425&lt;&gt;"",AT2425&lt;&gt;""),"수정","원본")</f>
        <v/>
      </c>
      <c r="D2425" s="18" t="n">
        <v>713</v>
      </c>
      <c r="E2425" s="18" t="inlineStr">
        <is>
          <t>크레베이스</t>
        </is>
      </c>
      <c r="F2425" s="18" t="inlineStr">
        <is>
          <t>avalugg</t>
        </is>
      </c>
      <c r="G2425" s="18" t="inlineStr">
        <is>
          <t>avalugg hisuian</t>
        </is>
      </c>
      <c r="H2425" s="18" t="inlineStr">
        <is>
          <t>hisuian</t>
        </is>
      </c>
      <c r="I2425" s="18" t="n">
        <v>6</v>
      </c>
      <c r="J2425" s="18" t="n">
        <v>8</v>
      </c>
      <c r="K2425" s="18" t="n">
        <v>8</v>
      </c>
      <c r="L2425" s="18" t="inlineStr">
        <is>
          <t>cobbleventure:generation_8</t>
        </is>
      </c>
      <c r="M2425" s="19" t="inlineStr">
        <is>
          <t>cobbleventure:generation_8</t>
        </is>
      </c>
      <c r="N2425" s="18" t="inlineStr"/>
      <c r="O2425" s="19" t="inlineStr"/>
      <c r="P2425" s="18" t="inlineStr">
        <is>
          <t>minecraft:frozen_peaks; minecraft:snowy_slopes</t>
        </is>
      </c>
      <c r="Q2425" s="19" t="inlineStr"/>
      <c r="R2425" s="18">
        <f>IF(Q2425="",P2425,Q2425)</f>
        <v/>
      </c>
      <c r="S2425" s="18" t="inlineStr"/>
      <c r="T2425" s="18" t="inlineStr">
        <is>
          <t>uncommon</t>
        </is>
      </c>
      <c r="U2425" s="20" t="n">
        <v>8</v>
      </c>
      <c r="V2425" s="21" t="n">
        <v>1</v>
      </c>
      <c r="W2425" s="20">
        <f>IF(OR(U2425="",V2425=""),U2425,U2425*V2425)</f>
        <v/>
      </c>
      <c r="X2425" s="18" t="inlineStr">
        <is>
          <t>30-60</t>
        </is>
      </c>
      <c r="Y2425" s="19" t="inlineStr"/>
      <c r="Z2425" s="18">
        <f>IF(Y2425="",X2425,Y2425)</f>
        <v/>
      </c>
      <c r="AA2425" s="18" t="inlineStr"/>
      <c r="AB2425" s="18" t="inlineStr"/>
      <c r="AC2425" s="18" t="inlineStr"/>
      <c r="AD2425" s="18" t="inlineStr"/>
      <c r="AE2425" s="18" t="inlineStr"/>
      <c r="AF2425" s="18" t="inlineStr"/>
      <c r="AG2425" s="18" t="inlineStr"/>
      <c r="AH2425" s="18" t="inlineStr"/>
      <c r="AI2425" s="18" t="inlineStr">
        <is>
          <t>{"spawn":{"context":"grounded"}}</t>
        </is>
      </c>
      <c r="AJ2425" s="18" t="inlineStr">
        <is>
          <t>COBBLEVERSE 수정</t>
        </is>
      </c>
      <c r="AK2425" s="18" t="inlineStr">
        <is>
          <t>사용</t>
        </is>
      </c>
      <c r="AL2425" s="18" t="inlineStr">
        <is>
          <t>COBBLEVERSE 1.7.42 / DP v31</t>
        </is>
      </c>
      <c r="AM2425" s="18" t="inlineStr">
        <is>
          <t>data/cobblemon/spawn_pool_world/0713_avalugg.json</t>
        </is>
      </c>
      <c r="AN2425" s="18" t="inlineStr">
        <is>
          <t>avalugg-hisuian-4</t>
        </is>
      </c>
      <c r="AO2425" s="18" t="inlineStr">
        <is>
          <t>pokemon</t>
        </is>
      </c>
      <c r="AP2425" s="18" t="inlineStr">
        <is>
          <t>natural</t>
        </is>
      </c>
      <c r="AQ2425" s="18" t="inlineStr">
        <is>
          <t>{"biomes":["minecraft:frozen_peaks","minecraft:snowy_slopes"]}</t>
        </is>
      </c>
      <c r="AR2425" s="18" t="inlineStr"/>
      <c r="AS2425" s="18" t="inlineStr"/>
      <c r="AT2425" s="19" t="inlineStr"/>
    </row>
    <row r="2426" ht="32" customHeight="1">
      <c r="A2426" s="18" t="inlineStr">
        <is>
          <t>0713_avalugg.json::avalugg-hisuian-5::007</t>
        </is>
      </c>
      <c r="B2426" s="19" t="inlineStr">
        <is>
          <t>사용</t>
        </is>
      </c>
      <c r="C2426" s="18">
        <f>IF(OR(B2426&lt;&gt;AK2426,M2426&lt;&gt;L2426,O2426&lt;&gt;"",Q2426&lt;&gt;"",V2426&lt;&gt;1,Y2426&lt;&gt;"",AT2426&lt;&gt;""),"수정","원본")</f>
        <v/>
      </c>
      <c r="D2426" s="18" t="n">
        <v>713</v>
      </c>
      <c r="E2426" s="18" t="inlineStr">
        <is>
          <t>크레베이스</t>
        </is>
      </c>
      <c r="F2426" s="18" t="inlineStr">
        <is>
          <t>avalugg</t>
        </is>
      </c>
      <c r="G2426" s="18" t="inlineStr">
        <is>
          <t>avalugg hisuian</t>
        </is>
      </c>
      <c r="H2426" s="18" t="inlineStr">
        <is>
          <t>hisuian</t>
        </is>
      </c>
      <c r="I2426" s="18" t="n">
        <v>6</v>
      </c>
      <c r="J2426" s="18" t="n">
        <v>8</v>
      </c>
      <c r="K2426" s="18" t="n">
        <v>8</v>
      </c>
      <c r="L2426" s="18" t="inlineStr">
        <is>
          <t>cobbleventure:generation_8</t>
        </is>
      </c>
      <c r="M2426" s="19" t="inlineStr">
        <is>
          <t>cobbleventure:generation_8</t>
        </is>
      </c>
      <c r="N2426" s="18" t="inlineStr"/>
      <c r="O2426" s="19" t="inlineStr"/>
      <c r="P2426" s="18" t="inlineStr">
        <is>
          <t>#cobblemon:is_snowy_forest</t>
        </is>
      </c>
      <c r="Q2426" s="19" t="inlineStr"/>
      <c r="R2426" s="18">
        <f>IF(Q2426="",P2426,Q2426)</f>
        <v/>
      </c>
      <c r="S2426" s="18" t="inlineStr"/>
      <c r="T2426" s="18" t="inlineStr">
        <is>
          <t>rare</t>
        </is>
      </c>
      <c r="U2426" s="20" t="n">
        <v>8</v>
      </c>
      <c r="V2426" s="21" t="n">
        <v>1</v>
      </c>
      <c r="W2426" s="20">
        <f>IF(OR(U2426="",V2426=""),U2426,U2426*V2426)</f>
        <v/>
      </c>
      <c r="X2426" s="18" t="inlineStr">
        <is>
          <t>30-60</t>
        </is>
      </c>
      <c r="Y2426" s="19" t="inlineStr"/>
      <c r="Z2426" s="18">
        <f>IF(Y2426="",X2426,Y2426)</f>
        <v/>
      </c>
      <c r="AA2426" s="18" t="inlineStr"/>
      <c r="AB2426" s="18" t="inlineStr"/>
      <c r="AC2426" s="18" t="inlineStr"/>
      <c r="AD2426" s="18" t="inlineStr"/>
      <c r="AE2426" s="18" t="inlineStr"/>
      <c r="AF2426" s="18" t="inlineStr"/>
      <c r="AG2426" s="18" t="inlineStr"/>
      <c r="AH2426" s="18" t="inlineStr"/>
      <c r="AI2426" s="18" t="inlineStr">
        <is>
          <t>{"spawn":{"context":"grounded"}}</t>
        </is>
      </c>
      <c r="AJ2426" s="18" t="inlineStr">
        <is>
          <t>COBBLEVERSE 수정</t>
        </is>
      </c>
      <c r="AK2426" s="18" t="inlineStr">
        <is>
          <t>사용</t>
        </is>
      </c>
      <c r="AL2426" s="18" t="inlineStr">
        <is>
          <t>COBBLEVERSE 1.7.42 / DP v31</t>
        </is>
      </c>
      <c r="AM2426" s="18" t="inlineStr">
        <is>
          <t>data/cobblemon/spawn_pool_world/0713_avalugg.json</t>
        </is>
      </c>
      <c r="AN2426" s="18" t="inlineStr">
        <is>
          <t>avalugg-hisuian-5</t>
        </is>
      </c>
      <c r="AO2426" s="18" t="inlineStr">
        <is>
          <t>pokemon</t>
        </is>
      </c>
      <c r="AP2426" s="18" t="inlineStr">
        <is>
          <t>natural</t>
        </is>
      </c>
      <c r="AQ2426" s="18" t="inlineStr">
        <is>
          <t>{"biomes":["#cobblemon:is_snowy_forest"]}</t>
        </is>
      </c>
      <c r="AR2426" s="18" t="inlineStr"/>
      <c r="AS2426" s="18" t="inlineStr"/>
      <c r="AT2426" s="19" t="inlineStr"/>
    </row>
    <row r="2427" ht="32" customHeight="1">
      <c r="A2427" s="18" t="inlineStr">
        <is>
          <t>0714_noibat.json::noibat-1::001</t>
        </is>
      </c>
      <c r="B2427" s="19" t="inlineStr">
        <is>
          <t>사용</t>
        </is>
      </c>
      <c r="C2427" s="18">
        <f>IF(OR(B2427&lt;&gt;AK2427,M2427&lt;&gt;L2427,O2427&lt;&gt;"",Q2427&lt;&gt;"",V2427&lt;&gt;1,Y2427&lt;&gt;"",AT2427&lt;&gt;""),"수정","원본")</f>
        <v/>
      </c>
      <c r="D2427" s="18" t="n">
        <v>714</v>
      </c>
      <c r="E2427" s="18" t="inlineStr">
        <is>
          <t>음뱃</t>
        </is>
      </c>
      <c r="F2427" s="18" t="inlineStr">
        <is>
          <t>noibat</t>
        </is>
      </c>
      <c r="G2427" s="18" t="inlineStr">
        <is>
          <t>noibat</t>
        </is>
      </c>
      <c r="H2427" s="18" t="inlineStr"/>
      <c r="I2427" s="18" t="n">
        <v>6</v>
      </c>
      <c r="J2427" s="18" t="n"/>
      <c r="K2427" s="18" t="n">
        <v>6</v>
      </c>
      <c r="L2427" s="18" t="inlineStr">
        <is>
          <t>cobbleventure:generation_6</t>
        </is>
      </c>
      <c r="M2427" s="19" t="inlineStr">
        <is>
          <t>cobbleventure:generation_6</t>
        </is>
      </c>
      <c r="N2427" s="18" t="inlineStr"/>
      <c r="O2427" s="19" t="inlineStr"/>
      <c r="P2427" s="18" t="inlineStr">
        <is>
          <t>#aether:is_aether; #cobblemon:is_deep_dark</t>
        </is>
      </c>
      <c r="Q2427" s="19" t="inlineStr"/>
      <c r="R2427" s="18">
        <f>IF(Q2427="",P2427,Q2427)</f>
        <v/>
      </c>
      <c r="S2427" s="18" t="inlineStr"/>
      <c r="T2427" s="18" t="inlineStr">
        <is>
          <t>uncommon</t>
        </is>
      </c>
      <c r="U2427" s="20" t="n">
        <v>8.4</v>
      </c>
      <c r="V2427" s="21" t="n">
        <v>1</v>
      </c>
      <c r="W2427" s="20">
        <f>IF(OR(U2427="",V2427=""),U2427,U2427*V2427)</f>
        <v/>
      </c>
      <c r="X2427" s="18" t="inlineStr">
        <is>
          <t>1-25</t>
        </is>
      </c>
      <c r="Y2427" s="19" t="inlineStr"/>
      <c r="Z2427" s="18">
        <f>IF(Y2427="",X2427,Y2427)</f>
        <v/>
      </c>
      <c r="AA2427" s="18" t="inlineStr">
        <is>
          <t>grounded</t>
        </is>
      </c>
      <c r="AB2427" s="18" t="inlineStr"/>
      <c r="AC2427" s="18" t="inlineStr"/>
      <c r="AD2427" s="18" t="inlineStr"/>
      <c r="AE2427" s="18" t="inlineStr">
        <is>
          <t>sky 0-7</t>
        </is>
      </c>
      <c r="AF2427" s="18" t="inlineStr"/>
      <c r="AG2427" s="18" t="inlineStr"/>
      <c r="AH2427" s="18" t="inlineStr"/>
      <c r="AI2427" s="18" t="inlineStr"/>
      <c r="AJ2427" s="18" t="inlineStr">
        <is>
          <t>Cobblemon 동일</t>
        </is>
      </c>
      <c r="AK2427" s="18" t="inlineStr">
        <is>
          <t>사용</t>
        </is>
      </c>
      <c r="AL2427" s="18" t="inlineStr">
        <is>
          <t>COBBLEVERSE 1.7.42 / DP v31</t>
        </is>
      </c>
      <c r="AM2427" s="18" t="inlineStr">
        <is>
          <t>data/cobblemon/spawn_pool_world/0714_noibat.json</t>
        </is>
      </c>
      <c r="AN2427" s="18" t="inlineStr">
        <is>
          <t>noibat-1</t>
        </is>
      </c>
      <c r="AO2427" s="18" t="inlineStr">
        <is>
          <t>pokemon</t>
        </is>
      </c>
      <c r="AP2427" s="18" t="inlineStr">
        <is>
          <t>natural</t>
        </is>
      </c>
      <c r="AQ2427" s="18" t="inlineStr">
        <is>
          <t>{"biomes":["#aether:is_aether","#cobblemon:is_deep_dark"],"maxSkyLight":7,"minSkyLight":0}</t>
        </is>
      </c>
      <c r="AR2427" s="18" t="inlineStr"/>
      <c r="AS2427" s="18" t="inlineStr"/>
      <c r="AT2427" s="19" t="inlineStr"/>
    </row>
    <row r="2428" ht="32" customHeight="1">
      <c r="A2428" s="18" t="inlineStr">
        <is>
          <t>0714_noibat.json::noibat-2::002</t>
        </is>
      </c>
      <c r="B2428" s="19" t="inlineStr">
        <is>
          <t>사용</t>
        </is>
      </c>
      <c r="C2428" s="18">
        <f>IF(OR(B2428&lt;&gt;AK2428,M2428&lt;&gt;L2428,O2428&lt;&gt;"",Q2428&lt;&gt;"",V2428&lt;&gt;1,Y2428&lt;&gt;"",AT2428&lt;&gt;""),"수정","원본")</f>
        <v/>
      </c>
      <c r="D2428" s="18" t="n">
        <v>714</v>
      </c>
      <c r="E2428" s="18" t="inlineStr">
        <is>
          <t>음뱃</t>
        </is>
      </c>
      <c r="F2428" s="18" t="inlineStr">
        <is>
          <t>noibat</t>
        </is>
      </c>
      <c r="G2428" s="18" t="inlineStr">
        <is>
          <t>noibat</t>
        </is>
      </c>
      <c r="H2428" s="18" t="inlineStr"/>
      <c r="I2428" s="18" t="n">
        <v>6</v>
      </c>
      <c r="J2428" s="18" t="n"/>
      <c r="K2428" s="18" t="n">
        <v>6</v>
      </c>
      <c r="L2428" s="18" t="inlineStr">
        <is>
          <t>cobbleventure:generation_6</t>
        </is>
      </c>
      <c r="M2428" s="19" t="inlineStr">
        <is>
          <t>cobbleventure:generation_6</t>
        </is>
      </c>
      <c r="N2428" s="18" t="inlineStr">
        <is>
          <t>region_01; region_02</t>
        </is>
      </c>
      <c r="O2428" s="19" t="inlineStr"/>
      <c r="P2428" s="18" t="inlineStr">
        <is>
          <t>#cobblemon:is_overworld</t>
        </is>
      </c>
      <c r="Q2428" s="19" t="inlineStr"/>
      <c r="R2428" s="18">
        <f>IF(Q2428="",P2428,Q2428)</f>
        <v/>
      </c>
      <c r="S2428" s="18" t="inlineStr">
        <is>
          <t>#cobblemon:is_deep_dark</t>
        </is>
      </c>
      <c r="T2428" s="18" t="inlineStr">
        <is>
          <t>rare</t>
        </is>
      </c>
      <c r="U2428" s="20" t="n">
        <v>7.5</v>
      </c>
      <c r="V2428" s="21" t="n">
        <v>1</v>
      </c>
      <c r="W2428" s="20">
        <f>IF(OR(U2428="",V2428=""),U2428,U2428*V2428)</f>
        <v/>
      </c>
      <c r="X2428" s="18" t="inlineStr">
        <is>
          <t>1-25</t>
        </is>
      </c>
      <c r="Y2428" s="19" t="inlineStr"/>
      <c r="Z2428" s="18">
        <f>IF(Y2428="",X2428,Y2428)</f>
        <v/>
      </c>
      <c r="AA2428" s="18" t="inlineStr">
        <is>
          <t>grounded</t>
        </is>
      </c>
      <c r="AB2428" s="18" t="inlineStr"/>
      <c r="AC2428" s="18" t="inlineStr"/>
      <c r="AD2428" s="18" t="inlineStr">
        <is>
          <t>maxY=0</t>
        </is>
      </c>
      <c r="AE2428" s="18" t="inlineStr">
        <is>
          <t>sky 0-7</t>
        </is>
      </c>
      <c r="AF2428" s="18" t="inlineStr"/>
      <c r="AG2428" s="18" t="inlineStr"/>
      <c r="AH2428" s="18" t="inlineStr"/>
      <c r="AI2428" s="18" t="inlineStr"/>
      <c r="AJ2428" s="18" t="inlineStr">
        <is>
          <t>Cobblemon 동일</t>
        </is>
      </c>
      <c r="AK2428" s="18" t="inlineStr">
        <is>
          <t>사용</t>
        </is>
      </c>
      <c r="AL2428" s="18" t="inlineStr">
        <is>
          <t>COBBLEVERSE 1.7.42 / DP v31</t>
        </is>
      </c>
      <c r="AM2428" s="18" t="inlineStr">
        <is>
          <t>data/cobblemon/spawn_pool_world/0714_noibat.json</t>
        </is>
      </c>
      <c r="AN2428" s="18" t="inlineStr">
        <is>
          <t>noibat-2</t>
        </is>
      </c>
      <c r="AO2428" s="18" t="inlineStr">
        <is>
          <t>pokemon</t>
        </is>
      </c>
      <c r="AP2428" s="18" t="inlineStr"/>
      <c r="AQ2428" s="18" t="inlineStr">
        <is>
          <t>{"biomes":["#cobblemon:is_overworld"],"maxSkyLight":7,"maxY":0,"minSkyLight":0}</t>
        </is>
      </c>
      <c r="AR2428" s="18" t="inlineStr">
        <is>
          <t>{"biomes":["#cobblemon:is_deep_dark"]}</t>
        </is>
      </c>
      <c r="AS2428" s="18" t="inlineStr"/>
      <c r="AT2428" s="19" t="inlineStr"/>
    </row>
    <row r="2429" ht="32" customHeight="1">
      <c r="A2429" s="18" t="inlineStr">
        <is>
          <t>0715_noivern.json::noivern-1::001</t>
        </is>
      </c>
      <c r="B2429" s="19" t="inlineStr">
        <is>
          <t>사용</t>
        </is>
      </c>
      <c r="C2429" s="18">
        <f>IF(OR(B2429&lt;&gt;AK2429,M2429&lt;&gt;L2429,O2429&lt;&gt;"",Q2429&lt;&gt;"",V2429&lt;&gt;1,Y2429&lt;&gt;"",AT2429&lt;&gt;""),"수정","원본")</f>
        <v/>
      </c>
      <c r="D2429" s="18" t="n">
        <v>715</v>
      </c>
      <c r="E2429" s="18" t="inlineStr">
        <is>
          <t>음번</t>
        </is>
      </c>
      <c r="F2429" s="18" t="inlineStr">
        <is>
          <t>noivern</t>
        </is>
      </c>
      <c r="G2429" s="18" t="inlineStr">
        <is>
          <t>noivern</t>
        </is>
      </c>
      <c r="H2429" s="18" t="inlineStr"/>
      <c r="I2429" s="18" t="n">
        <v>6</v>
      </c>
      <c r="J2429" s="18" t="n"/>
      <c r="K2429" s="18" t="n">
        <v>6</v>
      </c>
      <c r="L2429" s="18" t="inlineStr">
        <is>
          <t>cobbleventure:generation_6</t>
        </is>
      </c>
      <c r="M2429" s="19" t="inlineStr">
        <is>
          <t>cobbleventure:generation_6</t>
        </is>
      </c>
      <c r="N2429" s="18" t="inlineStr"/>
      <c r="O2429" s="19" t="inlineStr"/>
      <c r="P2429" s="18" t="inlineStr">
        <is>
          <t>#aether:is_aether; #cobblemon:is_deep_dark</t>
        </is>
      </c>
      <c r="Q2429" s="19" t="inlineStr"/>
      <c r="R2429" s="18">
        <f>IF(Q2429="",P2429,Q2429)</f>
        <v/>
      </c>
      <c r="S2429" s="18" t="inlineStr"/>
      <c r="T2429" s="18" t="inlineStr">
        <is>
          <t>uncommon</t>
        </is>
      </c>
      <c r="U2429" s="20" t="n">
        <v>1.6</v>
      </c>
      <c r="V2429" s="21" t="n">
        <v>1</v>
      </c>
      <c r="W2429" s="20">
        <f>IF(OR(U2429="",V2429=""),U2429,U2429*V2429)</f>
        <v/>
      </c>
      <c r="X2429" s="18" t="inlineStr">
        <is>
          <t>48-54</t>
        </is>
      </c>
      <c r="Y2429" s="19" t="inlineStr"/>
      <c r="Z2429" s="18">
        <f>IF(Y2429="",X2429,Y2429)</f>
        <v/>
      </c>
      <c r="AA2429" s="18" t="inlineStr">
        <is>
          <t>grounded</t>
        </is>
      </c>
      <c r="AB2429" s="18" t="inlineStr"/>
      <c r="AC2429" s="18" t="inlineStr"/>
      <c r="AD2429" s="18" t="inlineStr"/>
      <c r="AE2429" s="18" t="inlineStr">
        <is>
          <t>sky 0-7</t>
        </is>
      </c>
      <c r="AF2429" s="18" t="inlineStr"/>
      <c r="AG2429" s="18" t="inlineStr"/>
      <c r="AH2429" s="18" t="inlineStr"/>
      <c r="AI2429" s="18" t="inlineStr"/>
      <c r="AJ2429" s="18" t="inlineStr">
        <is>
          <t>Cobblemon 동일</t>
        </is>
      </c>
      <c r="AK2429" s="18" t="inlineStr">
        <is>
          <t>사용</t>
        </is>
      </c>
      <c r="AL2429" s="18" t="inlineStr">
        <is>
          <t>COBBLEVERSE 1.7.42 / DP v31</t>
        </is>
      </c>
      <c r="AM2429" s="18" t="inlineStr">
        <is>
          <t>data/cobblemon/spawn_pool_world/0715_noivern.json</t>
        </is>
      </c>
      <c r="AN2429" s="18" t="inlineStr">
        <is>
          <t>noivern-1</t>
        </is>
      </c>
      <c r="AO2429" s="18" t="inlineStr">
        <is>
          <t>pokemon</t>
        </is>
      </c>
      <c r="AP2429" s="18" t="inlineStr">
        <is>
          <t>natural</t>
        </is>
      </c>
      <c r="AQ2429" s="18" t="inlineStr">
        <is>
          <t>{"biomes":["#aether:is_aether","#cobblemon:is_deep_dark"],"maxSkyLight":7,"minSkyLight":0}</t>
        </is>
      </c>
      <c r="AR2429" s="18" t="inlineStr"/>
      <c r="AS2429" s="18" t="inlineStr"/>
      <c r="AT2429" s="19" t="inlineStr"/>
    </row>
    <row r="2430" ht="32" customHeight="1">
      <c r="A2430" s="18" t="inlineStr">
        <is>
          <t>0715_noivern.json::noivern-2::002</t>
        </is>
      </c>
      <c r="B2430" s="19" t="inlineStr">
        <is>
          <t>사용</t>
        </is>
      </c>
      <c r="C2430" s="18">
        <f>IF(OR(B2430&lt;&gt;AK2430,M2430&lt;&gt;L2430,O2430&lt;&gt;"",Q2430&lt;&gt;"",V2430&lt;&gt;1,Y2430&lt;&gt;"",AT2430&lt;&gt;""),"수정","원본")</f>
        <v/>
      </c>
      <c r="D2430" s="18" t="n">
        <v>715</v>
      </c>
      <c r="E2430" s="18" t="inlineStr">
        <is>
          <t>음번</t>
        </is>
      </c>
      <c r="F2430" s="18" t="inlineStr">
        <is>
          <t>noivern</t>
        </is>
      </c>
      <c r="G2430" s="18" t="inlineStr">
        <is>
          <t>noivern</t>
        </is>
      </c>
      <c r="H2430" s="18" t="inlineStr"/>
      <c r="I2430" s="18" t="n">
        <v>6</v>
      </c>
      <c r="J2430" s="18" t="n"/>
      <c r="K2430" s="18" t="n">
        <v>6</v>
      </c>
      <c r="L2430" s="18" t="inlineStr">
        <is>
          <t>cobbleventure:generation_6</t>
        </is>
      </c>
      <c r="M2430" s="19" t="inlineStr">
        <is>
          <t>cobbleventure:generation_6</t>
        </is>
      </c>
      <c r="N2430" s="18" t="inlineStr">
        <is>
          <t>region_01; region_02</t>
        </is>
      </c>
      <c r="O2430" s="19" t="inlineStr"/>
      <c r="P2430" s="18" t="inlineStr">
        <is>
          <t>#cobblemon:is_overworld</t>
        </is>
      </c>
      <c r="Q2430" s="19" t="inlineStr"/>
      <c r="R2430" s="18">
        <f>IF(Q2430="",P2430,Q2430)</f>
        <v/>
      </c>
      <c r="S2430" s="18" t="inlineStr">
        <is>
          <t>#cobblemon:is_deep_dark</t>
        </is>
      </c>
      <c r="T2430" s="18" t="inlineStr">
        <is>
          <t>rare</t>
        </is>
      </c>
      <c r="U2430" s="20" t="n">
        <v>2.5</v>
      </c>
      <c r="V2430" s="21" t="n">
        <v>1</v>
      </c>
      <c r="W2430" s="20">
        <f>IF(OR(U2430="",V2430=""),U2430,U2430*V2430)</f>
        <v/>
      </c>
      <c r="X2430" s="18" t="inlineStr">
        <is>
          <t>48-54</t>
        </is>
      </c>
      <c r="Y2430" s="19" t="inlineStr"/>
      <c r="Z2430" s="18">
        <f>IF(Y2430="",X2430,Y2430)</f>
        <v/>
      </c>
      <c r="AA2430" s="18" t="inlineStr">
        <is>
          <t>grounded</t>
        </is>
      </c>
      <c r="AB2430" s="18" t="inlineStr"/>
      <c r="AC2430" s="18" t="inlineStr"/>
      <c r="AD2430" s="18" t="inlineStr">
        <is>
          <t>maxY=0</t>
        </is>
      </c>
      <c r="AE2430" s="18" t="inlineStr">
        <is>
          <t>sky 0-7</t>
        </is>
      </c>
      <c r="AF2430" s="18" t="inlineStr"/>
      <c r="AG2430" s="18" t="inlineStr"/>
      <c r="AH2430" s="18" t="inlineStr"/>
      <c r="AI2430" s="18" t="inlineStr"/>
      <c r="AJ2430" s="18" t="inlineStr">
        <is>
          <t>Cobblemon 동일</t>
        </is>
      </c>
      <c r="AK2430" s="18" t="inlineStr">
        <is>
          <t>사용</t>
        </is>
      </c>
      <c r="AL2430" s="18" t="inlineStr">
        <is>
          <t>COBBLEVERSE 1.7.42 / DP v31</t>
        </is>
      </c>
      <c r="AM2430" s="18" t="inlineStr">
        <is>
          <t>data/cobblemon/spawn_pool_world/0715_noivern.json</t>
        </is>
      </c>
      <c r="AN2430" s="18" t="inlineStr">
        <is>
          <t>noivern-2</t>
        </is>
      </c>
      <c r="AO2430" s="18" t="inlineStr">
        <is>
          <t>pokemon</t>
        </is>
      </c>
      <c r="AP2430" s="18" t="inlineStr"/>
      <c r="AQ2430" s="18" t="inlineStr">
        <is>
          <t>{"biomes":["#cobblemon:is_overworld"],"maxSkyLight":7,"maxY":0,"minSkyLight":0}</t>
        </is>
      </c>
      <c r="AR2430" s="18" t="inlineStr">
        <is>
          <t>{"biomes":["#cobblemon:is_deep_dark"]}</t>
        </is>
      </c>
      <c r="AS2430" s="18" t="inlineStr"/>
      <c r="AT2430" s="19" t="inlineStr"/>
    </row>
    <row r="2431" ht="32" customHeight="1">
      <c r="A2431" s="18" t="inlineStr">
        <is>
          <t>0716_xerneas.json::xerneas-1::001</t>
        </is>
      </c>
      <c r="B2431" s="19" t="inlineStr">
        <is>
          <t>사용</t>
        </is>
      </c>
      <c r="C2431" s="18">
        <f>IF(OR(B2431&lt;&gt;AK2431,M2431&lt;&gt;L2431,O2431&lt;&gt;"",Q2431&lt;&gt;"",V2431&lt;&gt;1,Y2431&lt;&gt;"",AT2431&lt;&gt;""),"수정","원본")</f>
        <v/>
      </c>
      <c r="D2431" s="18" t="n">
        <v>716</v>
      </c>
      <c r="E2431" s="18" t="inlineStr">
        <is>
          <t>제르네아스</t>
        </is>
      </c>
      <c r="F2431" s="18" t="inlineStr">
        <is>
          <t>xerneas</t>
        </is>
      </c>
      <c r="G2431" s="18" t="inlineStr">
        <is>
          <t>xerneas</t>
        </is>
      </c>
      <c r="H2431" s="18" t="inlineStr"/>
      <c r="I2431" s="18" t="n">
        <v>6</v>
      </c>
      <c r="J2431" s="18" t="n"/>
      <c r="K2431" s="18" t="n">
        <v>6</v>
      </c>
      <c r="L2431" s="18" t="inlineStr">
        <is>
          <t>cobbleventure:generation_6</t>
        </is>
      </c>
      <c r="M2431" s="19" t="inlineStr">
        <is>
          <t>cobbleventure:generation_6</t>
        </is>
      </c>
      <c r="N2431" s="18" t="inlineStr"/>
      <c r="O2431" s="19" t="inlineStr"/>
      <c r="P2431" s="18" t="inlineStr">
        <is>
          <t>#cobblemon:is_floral</t>
        </is>
      </c>
      <c r="Q2431" s="19" t="inlineStr"/>
      <c r="R2431" s="18">
        <f>IF(Q2431="",P2431,Q2431)</f>
        <v/>
      </c>
      <c r="S2431" s="18" t="inlineStr"/>
      <c r="T2431" s="18" t="inlineStr">
        <is>
          <t>ultra-rare</t>
        </is>
      </c>
      <c r="U2431" s="20" t="n">
        <v>0.24</v>
      </c>
      <c r="V2431" s="21" t="n">
        <v>1</v>
      </c>
      <c r="W2431" s="20">
        <f>IF(OR(U2431="",V2431=""),U2431,U2431*V2431)</f>
        <v/>
      </c>
      <c r="X2431" s="18" t="inlineStr">
        <is>
          <t>65-75</t>
        </is>
      </c>
      <c r="Y2431" s="19" t="inlineStr"/>
      <c r="Z2431" s="18">
        <f>IF(Y2431="",X2431,Y2431)</f>
        <v/>
      </c>
      <c r="AA2431" s="18" t="inlineStr">
        <is>
          <t>grounded</t>
        </is>
      </c>
      <c r="AB2431" s="18" t="inlineStr">
        <is>
          <t>day</t>
        </is>
      </c>
      <c r="AC2431" s="18" t="inlineStr"/>
      <c r="AD2431" s="18" t="inlineStr"/>
      <c r="AE2431" s="18" t="inlineStr"/>
      <c r="AF2431" s="18" t="inlineStr"/>
      <c r="AG2431" s="18" t="inlineStr"/>
      <c r="AH2431" s="18" t="inlineStr"/>
      <c r="AI2431" s="18" t="inlineStr"/>
      <c r="AJ2431" s="18" t="inlineStr">
        <is>
          <t>COBBLEVERSE 추가</t>
        </is>
      </c>
      <c r="AK2431" s="18" t="inlineStr">
        <is>
          <t>사용</t>
        </is>
      </c>
      <c r="AL2431" s="18" t="inlineStr">
        <is>
          <t>COBBLEVERSE 1.7.42 / DP v31</t>
        </is>
      </c>
      <c r="AM2431" s="18" t="inlineStr">
        <is>
          <t>data/cobblemon/spawn_pool_world/0716_xerneas.json</t>
        </is>
      </c>
      <c r="AN2431" s="18" t="inlineStr">
        <is>
          <t>xerneas-1</t>
        </is>
      </c>
      <c r="AO2431" s="18" t="inlineStr">
        <is>
          <t>pokemon</t>
        </is>
      </c>
      <c r="AP2431" s="18" t="inlineStr">
        <is>
          <t>natural</t>
        </is>
      </c>
      <c r="AQ2431" s="18" t="inlineStr">
        <is>
          <t>{"biomes":["#cobblemon:is_floral"],"timeRange":"day"}</t>
        </is>
      </c>
      <c r="AR2431" s="18" t="inlineStr"/>
      <c r="AS2431" s="18" t="inlineStr"/>
      <c r="AT2431" s="19" t="inlineStr"/>
    </row>
    <row r="2432" ht="32" customHeight="1">
      <c r="A2432" s="18" t="inlineStr">
        <is>
          <t>0717_yveltal.json::yveltal-1::001</t>
        </is>
      </c>
      <c r="B2432" s="19" t="inlineStr">
        <is>
          <t>사용</t>
        </is>
      </c>
      <c r="C2432" s="18">
        <f>IF(OR(B2432&lt;&gt;AK2432,M2432&lt;&gt;L2432,O2432&lt;&gt;"",Q2432&lt;&gt;"",V2432&lt;&gt;1,Y2432&lt;&gt;"",AT2432&lt;&gt;""),"수정","원본")</f>
        <v/>
      </c>
      <c r="D2432" s="18" t="n">
        <v>717</v>
      </c>
      <c r="E2432" s="18" t="inlineStr">
        <is>
          <t>이벨타르</t>
        </is>
      </c>
      <c r="F2432" s="18" t="inlineStr">
        <is>
          <t>yveltal</t>
        </is>
      </c>
      <c r="G2432" s="18" t="inlineStr">
        <is>
          <t>yveltal</t>
        </is>
      </c>
      <c r="H2432" s="18" t="inlineStr"/>
      <c r="I2432" s="18" t="n">
        <v>6</v>
      </c>
      <c r="J2432" s="18" t="n"/>
      <c r="K2432" s="18" t="n">
        <v>6</v>
      </c>
      <c r="L2432" s="18" t="inlineStr">
        <is>
          <t>cobbleventure:generation_6</t>
        </is>
      </c>
      <c r="M2432" s="19" t="inlineStr">
        <is>
          <t>cobbleventure:generation_6</t>
        </is>
      </c>
      <c r="N2432" s="18" t="inlineStr"/>
      <c r="O2432" s="19" t="inlineStr"/>
      <c r="P2432" s="18" t="inlineStr">
        <is>
          <t>#cobblemon:is_spooky</t>
        </is>
      </c>
      <c r="Q2432" s="19" t="inlineStr"/>
      <c r="R2432" s="18">
        <f>IF(Q2432="",P2432,Q2432)</f>
        <v/>
      </c>
      <c r="S2432" s="18" t="inlineStr"/>
      <c r="T2432" s="18" t="inlineStr">
        <is>
          <t>ultra-rare</t>
        </is>
      </c>
      <c r="U2432" s="20" t="n">
        <v>0.24</v>
      </c>
      <c r="V2432" s="21" t="n">
        <v>1</v>
      </c>
      <c r="W2432" s="20">
        <f>IF(OR(U2432="",V2432=""),U2432,U2432*V2432)</f>
        <v/>
      </c>
      <c r="X2432" s="18" t="inlineStr">
        <is>
          <t>65-75</t>
        </is>
      </c>
      <c r="Y2432" s="19" t="inlineStr"/>
      <c r="Z2432" s="18">
        <f>IF(Y2432="",X2432,Y2432)</f>
        <v/>
      </c>
      <c r="AA2432" s="18" t="inlineStr">
        <is>
          <t>grounded</t>
        </is>
      </c>
      <c r="AB2432" s="18" t="inlineStr">
        <is>
          <t>night</t>
        </is>
      </c>
      <c r="AC2432" s="18" t="inlineStr"/>
      <c r="AD2432" s="18" t="inlineStr"/>
      <c r="AE2432" s="18" t="inlineStr"/>
      <c r="AF2432" s="18" t="inlineStr"/>
      <c r="AG2432" s="18" t="inlineStr"/>
      <c r="AH2432" s="18" t="inlineStr"/>
      <c r="AI2432" s="18" t="inlineStr"/>
      <c r="AJ2432" s="18" t="inlineStr">
        <is>
          <t>COBBLEVERSE 추가</t>
        </is>
      </c>
      <c r="AK2432" s="18" t="inlineStr">
        <is>
          <t>사용</t>
        </is>
      </c>
      <c r="AL2432" s="18" t="inlineStr">
        <is>
          <t>COBBLEVERSE 1.7.42 / DP v31</t>
        </is>
      </c>
      <c r="AM2432" s="18" t="inlineStr">
        <is>
          <t>data/cobblemon/spawn_pool_world/0717_yveltal.json</t>
        </is>
      </c>
      <c r="AN2432" s="18" t="inlineStr">
        <is>
          <t>yveltal-1</t>
        </is>
      </c>
      <c r="AO2432" s="18" t="inlineStr">
        <is>
          <t>pokemon</t>
        </is>
      </c>
      <c r="AP2432" s="18" t="inlineStr">
        <is>
          <t>natural</t>
        </is>
      </c>
      <c r="AQ2432" s="18" t="inlineStr">
        <is>
          <t>{"biomes":["#cobblemon:is_spooky"],"timeRange":"night"}</t>
        </is>
      </c>
      <c r="AR2432" s="18" t="inlineStr"/>
      <c r="AS2432" s="18" t="inlineStr"/>
      <c r="AT2432" s="19" t="inlineStr"/>
    </row>
    <row r="2433" ht="32" customHeight="1">
      <c r="A2433" s="18" t="inlineStr">
        <is>
          <t>0718_zygarde.json::zygarde-1::001</t>
        </is>
      </c>
      <c r="B2433" s="19" t="inlineStr">
        <is>
          <t>사용</t>
        </is>
      </c>
      <c r="C2433" s="18">
        <f>IF(OR(B2433&lt;&gt;AK2433,M2433&lt;&gt;L2433,O2433&lt;&gt;"",Q2433&lt;&gt;"",V2433&lt;&gt;1,Y2433&lt;&gt;"",AT2433&lt;&gt;""),"수정","원본")</f>
        <v/>
      </c>
      <c r="D2433" s="18" t="n">
        <v>718</v>
      </c>
      <c r="E2433" s="18" t="inlineStr">
        <is>
          <t>지가르데</t>
        </is>
      </c>
      <c r="F2433" s="18" t="inlineStr">
        <is>
          <t>zygarde</t>
        </is>
      </c>
      <c r="G2433" s="18" t="inlineStr">
        <is>
          <t>zygarde percent_cells=core</t>
        </is>
      </c>
      <c r="H2433" s="18" t="inlineStr">
        <is>
          <t>percent_cells=core</t>
        </is>
      </c>
      <c r="I2433" s="18" t="n">
        <v>6</v>
      </c>
      <c r="J2433" s="18" t="n"/>
      <c r="K2433" s="18" t="n">
        <v>6</v>
      </c>
      <c r="L2433" s="18" t="inlineStr">
        <is>
          <t>cobbleventure:generation_6</t>
        </is>
      </c>
      <c r="M2433" s="19" t="inlineStr">
        <is>
          <t>cobbleventure:generation_6</t>
        </is>
      </c>
      <c r="N2433" s="18" t="inlineStr"/>
      <c r="O2433" s="19" t="inlineStr"/>
      <c r="P2433" s="18" t="inlineStr">
        <is>
          <t>minecraft:dripstone_caves; minecraft:lush_caves</t>
        </is>
      </c>
      <c r="Q2433" s="19" t="inlineStr"/>
      <c r="R2433" s="18">
        <f>IF(Q2433="",P2433,Q2433)</f>
        <v/>
      </c>
      <c r="S2433" s="18" t="inlineStr"/>
      <c r="T2433" s="18" t="inlineStr">
        <is>
          <t>ultra-rare</t>
        </is>
      </c>
      <c r="U2433" s="20" t="n">
        <v>3.3</v>
      </c>
      <c r="V2433" s="21" t="n">
        <v>1</v>
      </c>
      <c r="W2433" s="20">
        <f>IF(OR(U2433="",V2433=""),U2433,U2433*V2433)</f>
        <v/>
      </c>
      <c r="X2433" s="18" t="inlineStr">
        <is>
          <t>1-10</t>
        </is>
      </c>
      <c r="Y2433" s="19" t="inlineStr"/>
      <c r="Z2433" s="18">
        <f>IF(Y2433="",X2433,Y2433)</f>
        <v/>
      </c>
      <c r="AA2433" s="18" t="inlineStr">
        <is>
          <t>grounded</t>
        </is>
      </c>
      <c r="AB2433" s="18" t="inlineStr"/>
      <c r="AC2433" s="18" t="inlineStr"/>
      <c r="AD2433" s="18" t="inlineStr"/>
      <c r="AE2433" s="18" t="inlineStr"/>
      <c r="AF2433" s="18" t="inlineStr">
        <is>
          <t>False</t>
        </is>
      </c>
      <c r="AG2433" s="18" t="inlineStr"/>
      <c r="AH2433" s="18" t="inlineStr"/>
      <c r="AI2433" s="18" t="inlineStr"/>
      <c r="AJ2433" s="18" t="inlineStr">
        <is>
          <t>COBBLEVERSE 추가</t>
        </is>
      </c>
      <c r="AK2433" s="18" t="inlineStr">
        <is>
          <t>사용</t>
        </is>
      </c>
      <c r="AL2433" s="18" t="inlineStr">
        <is>
          <t>COBBLEVERSE 1.7.42 / DP v31</t>
        </is>
      </c>
      <c r="AM2433" s="18" t="inlineStr">
        <is>
          <t>data/cobblemon/spawn_pool_world/0718_zygarde.json</t>
        </is>
      </c>
      <c r="AN2433" s="18" t="inlineStr">
        <is>
          <t>zygarde-1</t>
        </is>
      </c>
      <c r="AO2433" s="18" t="inlineStr">
        <is>
          <t>pokemon</t>
        </is>
      </c>
      <c r="AP2433" s="18" t="inlineStr">
        <is>
          <t>natural</t>
        </is>
      </c>
      <c r="AQ2433" s="18" t="inlineStr">
        <is>
          <t>{"biomes":["minecraft:dripstone_caves","minecraft:lush_caves"],"canSeeSky":false}</t>
        </is>
      </c>
      <c r="AR2433" s="18" t="inlineStr"/>
      <c r="AS2433" s="18" t="inlineStr"/>
      <c r="AT2433" s="19" t="inlineStr"/>
    </row>
    <row r="2434" ht="32" customHeight="1">
      <c r="A2434" s="18" t="inlineStr">
        <is>
          <t>0719_diancie.json::diancie-1::001</t>
        </is>
      </c>
      <c r="B2434" s="19" t="inlineStr">
        <is>
          <t>사용</t>
        </is>
      </c>
      <c r="C2434" s="18">
        <f>IF(OR(B2434&lt;&gt;AK2434,M2434&lt;&gt;L2434,O2434&lt;&gt;"",Q2434&lt;&gt;"",V2434&lt;&gt;1,Y2434&lt;&gt;"",AT2434&lt;&gt;""),"수정","원본")</f>
        <v/>
      </c>
      <c r="D2434" s="18" t="n">
        <v>719</v>
      </c>
      <c r="E2434" s="18" t="inlineStr">
        <is>
          <t>디안시</t>
        </is>
      </c>
      <c r="F2434" s="18" t="inlineStr">
        <is>
          <t>diancie</t>
        </is>
      </c>
      <c r="G2434" s="18" t="inlineStr">
        <is>
          <t>diancie</t>
        </is>
      </c>
      <c r="H2434" s="18" t="inlineStr"/>
      <c r="I2434" s="18" t="n">
        <v>6</v>
      </c>
      <c r="J2434" s="18" t="n"/>
      <c r="K2434" s="18" t="n">
        <v>6</v>
      </c>
      <c r="L2434" s="18" t="inlineStr">
        <is>
          <t>cobbleventure:generation_6</t>
        </is>
      </c>
      <c r="M2434" s="19" t="inlineStr">
        <is>
          <t>cobbleventure:generation_6</t>
        </is>
      </c>
      <c r="N2434" s="18" t="inlineStr"/>
      <c r="O2434" s="19" t="inlineStr"/>
      <c r="P2434" s="18" t="inlineStr">
        <is>
          <t>minecraft:lush_caves</t>
        </is>
      </c>
      <c r="Q2434" s="19" t="inlineStr"/>
      <c r="R2434" s="18">
        <f>IF(Q2434="",P2434,Q2434)</f>
        <v/>
      </c>
      <c r="S2434" s="18" t="inlineStr"/>
      <c r="T2434" s="18" t="inlineStr">
        <is>
          <t>ultra-rare</t>
        </is>
      </c>
      <c r="U2434" s="20" t="n">
        <v>2.3</v>
      </c>
      <c r="V2434" s="21" t="n">
        <v>1</v>
      </c>
      <c r="W2434" s="20">
        <f>IF(OR(U2434="",V2434=""),U2434,U2434*V2434)</f>
        <v/>
      </c>
      <c r="X2434" s="18" t="inlineStr">
        <is>
          <t>45-68</t>
        </is>
      </c>
      <c r="Y2434" s="19" t="inlineStr"/>
      <c r="Z2434" s="18">
        <f>IF(Y2434="",X2434,Y2434)</f>
        <v/>
      </c>
      <c r="AA2434" s="18" t="inlineStr">
        <is>
          <t>grounded</t>
        </is>
      </c>
      <c r="AB2434" s="18" t="inlineStr"/>
      <c r="AC2434" s="18" t="inlineStr"/>
      <c r="AD2434" s="18" t="inlineStr"/>
      <c r="AE2434" s="18" t="inlineStr"/>
      <c r="AF2434" s="18" t="inlineStr"/>
      <c r="AG2434" s="18" t="inlineStr"/>
      <c r="AH2434" s="18" t="inlineStr"/>
      <c r="AI2434" s="18" t="inlineStr"/>
      <c r="AJ2434" s="18" t="inlineStr">
        <is>
          <t>COBBLEVERSE 추가</t>
        </is>
      </c>
      <c r="AK2434" s="18" t="inlineStr">
        <is>
          <t>사용</t>
        </is>
      </c>
      <c r="AL2434" s="18" t="inlineStr">
        <is>
          <t>COBBLEVERSE 1.7.42 / DP v31</t>
        </is>
      </c>
      <c r="AM2434" s="18" t="inlineStr">
        <is>
          <t>data/cobblemon/spawn_pool_world/0719_diancie.json</t>
        </is>
      </c>
      <c r="AN2434" s="18" t="inlineStr">
        <is>
          <t>diancie-1</t>
        </is>
      </c>
      <c r="AO2434" s="18" t="inlineStr">
        <is>
          <t>pokemon</t>
        </is>
      </c>
      <c r="AP2434" s="18" t="inlineStr">
        <is>
          <t>natural</t>
        </is>
      </c>
      <c r="AQ2434" s="18" t="inlineStr">
        <is>
          <t>{"biomes":["minecraft:lush_caves"]}</t>
        </is>
      </c>
      <c r="AR2434" s="18" t="inlineStr"/>
      <c r="AS2434" s="18" t="inlineStr"/>
      <c r="AT2434" s="19" t="inlineStr"/>
    </row>
    <row r="2435" ht="32" customHeight="1">
      <c r="A2435" s="18" t="inlineStr">
        <is>
          <t>0720_hoopa.json::hoopa-1::001</t>
        </is>
      </c>
      <c r="B2435" s="19" t="inlineStr">
        <is>
          <t>사용</t>
        </is>
      </c>
      <c r="C2435" s="18">
        <f>IF(OR(B2435&lt;&gt;AK2435,M2435&lt;&gt;L2435,O2435&lt;&gt;"",Q2435&lt;&gt;"",V2435&lt;&gt;1,Y2435&lt;&gt;"",AT2435&lt;&gt;""),"수정","원본")</f>
        <v/>
      </c>
      <c r="D2435" s="18" t="n">
        <v>720</v>
      </c>
      <c r="E2435" s="18" t="inlineStr">
        <is>
          <t>후파</t>
        </is>
      </c>
      <c r="F2435" s="18" t="inlineStr">
        <is>
          <t>hoopa</t>
        </is>
      </c>
      <c r="G2435" s="18" t="inlineStr">
        <is>
          <t>hoopa</t>
        </is>
      </c>
      <c r="H2435" s="18" t="inlineStr"/>
      <c r="I2435" s="18" t="n">
        <v>6</v>
      </c>
      <c r="J2435" s="18" t="n"/>
      <c r="K2435" s="18" t="n">
        <v>6</v>
      </c>
      <c r="L2435" s="18" t="inlineStr">
        <is>
          <t>cobbleventure:generation_6</t>
        </is>
      </c>
      <c r="M2435" s="19" t="inlineStr">
        <is>
          <t>cobbleventure:generation_6</t>
        </is>
      </c>
      <c r="N2435" s="18" t="inlineStr"/>
      <c r="O2435" s="19" t="inlineStr"/>
      <c r="P2435" s="18" t="inlineStr">
        <is>
          <t>#cobblemon:is_end</t>
        </is>
      </c>
      <c r="Q2435" s="19" t="inlineStr"/>
      <c r="R2435" s="18">
        <f>IF(Q2435="",P2435,Q2435)</f>
        <v/>
      </c>
      <c r="S2435" s="18" t="inlineStr"/>
      <c r="T2435" s="18" t="inlineStr">
        <is>
          <t>ultra-rare</t>
        </is>
      </c>
      <c r="U2435" s="20" t="n">
        <v>1.5</v>
      </c>
      <c r="V2435" s="21" t="n">
        <v>1</v>
      </c>
      <c r="W2435" s="20">
        <f>IF(OR(U2435="",V2435=""),U2435,U2435*V2435)</f>
        <v/>
      </c>
      <c r="X2435" s="18" t="inlineStr">
        <is>
          <t>65-75</t>
        </is>
      </c>
      <c r="Y2435" s="19" t="inlineStr"/>
      <c r="Z2435" s="18">
        <f>IF(Y2435="",X2435,Y2435)</f>
        <v/>
      </c>
      <c r="AA2435" s="18" t="inlineStr">
        <is>
          <t>grounded</t>
        </is>
      </c>
      <c r="AB2435" s="18" t="inlineStr"/>
      <c r="AC2435" s="18" t="inlineStr"/>
      <c r="AD2435" s="18" t="inlineStr"/>
      <c r="AE2435" s="18" t="inlineStr"/>
      <c r="AF2435" s="18" t="inlineStr"/>
      <c r="AG2435" s="18" t="inlineStr"/>
      <c r="AH2435" s="18" t="inlineStr"/>
      <c r="AI2435" s="18" t="inlineStr"/>
      <c r="AJ2435" s="18" t="inlineStr">
        <is>
          <t>COBBLEVERSE 추가</t>
        </is>
      </c>
      <c r="AK2435" s="18" t="inlineStr">
        <is>
          <t>사용</t>
        </is>
      </c>
      <c r="AL2435" s="18" t="inlineStr">
        <is>
          <t>COBBLEVERSE 1.7.42 / DP v31</t>
        </is>
      </c>
      <c r="AM2435" s="18" t="inlineStr">
        <is>
          <t>data/cobblemon/spawn_pool_world/0720_hoopa.json</t>
        </is>
      </c>
      <c r="AN2435" s="18" t="inlineStr">
        <is>
          <t>hoopa-1</t>
        </is>
      </c>
      <c r="AO2435" s="18" t="inlineStr">
        <is>
          <t>pokemon</t>
        </is>
      </c>
      <c r="AP2435" s="18" t="inlineStr">
        <is>
          <t>natural</t>
        </is>
      </c>
      <c r="AQ2435" s="18" t="inlineStr">
        <is>
          <t>{"biomes":["#cobblemon:is_end"]}</t>
        </is>
      </c>
      <c r="AR2435" s="18" t="inlineStr"/>
      <c r="AS2435" s="18" t="inlineStr"/>
      <c r="AT2435" s="19" t="inlineStr"/>
    </row>
    <row r="2436" ht="32" customHeight="1">
      <c r="A2436" s="18" t="inlineStr">
        <is>
          <t>0721_volcanion.json::volcanion-1::001</t>
        </is>
      </c>
      <c r="B2436" s="19" t="inlineStr">
        <is>
          <t>사용</t>
        </is>
      </c>
      <c r="C2436" s="18">
        <f>IF(OR(B2436&lt;&gt;AK2436,M2436&lt;&gt;L2436,O2436&lt;&gt;"",Q2436&lt;&gt;"",V2436&lt;&gt;1,Y2436&lt;&gt;"",AT2436&lt;&gt;""),"수정","원본")</f>
        <v/>
      </c>
      <c r="D2436" s="18" t="n">
        <v>721</v>
      </c>
      <c r="E2436" s="18" t="inlineStr">
        <is>
          <t>볼케니온</t>
        </is>
      </c>
      <c r="F2436" s="18" t="inlineStr">
        <is>
          <t>volcanion</t>
        </is>
      </c>
      <c r="G2436" s="18" t="inlineStr">
        <is>
          <t>volcanion</t>
        </is>
      </c>
      <c r="H2436" s="18" t="inlineStr"/>
      <c r="I2436" s="18" t="n">
        <v>6</v>
      </c>
      <c r="J2436" s="18" t="n"/>
      <c r="K2436" s="18" t="n">
        <v>6</v>
      </c>
      <c r="L2436" s="18" t="inlineStr">
        <is>
          <t>cobbleventure:generation_6</t>
        </is>
      </c>
      <c r="M2436" s="19" t="inlineStr">
        <is>
          <t>cobbleventure:generation_6</t>
        </is>
      </c>
      <c r="N2436" s="18" t="inlineStr"/>
      <c r="O2436" s="19" t="inlineStr"/>
      <c r="P2436" s="18" t="inlineStr">
        <is>
          <t>#cobblemon:is_mountain</t>
        </is>
      </c>
      <c r="Q2436" s="19" t="inlineStr"/>
      <c r="R2436" s="18">
        <f>IF(Q2436="",P2436,Q2436)</f>
        <v/>
      </c>
      <c r="S2436" s="18" t="inlineStr"/>
      <c r="T2436" s="18" t="inlineStr">
        <is>
          <t>ultra-rare</t>
        </is>
      </c>
      <c r="U2436" s="20" t="n">
        <v>0.55</v>
      </c>
      <c r="V2436" s="21" t="n">
        <v>1</v>
      </c>
      <c r="W2436" s="20">
        <f>IF(OR(U2436="",V2436=""),U2436,U2436*V2436)</f>
        <v/>
      </c>
      <c r="X2436" s="18" t="inlineStr">
        <is>
          <t>70</t>
        </is>
      </c>
      <c r="Y2436" s="19" t="inlineStr"/>
      <c r="Z2436" s="18">
        <f>IF(Y2436="",X2436,Y2436)</f>
        <v/>
      </c>
      <c r="AA2436" s="18" t="inlineStr">
        <is>
          <t>grounded</t>
        </is>
      </c>
      <c r="AB2436" s="18" t="inlineStr"/>
      <c r="AC2436" s="18" t="inlineStr"/>
      <c r="AD2436" s="18" t="inlineStr"/>
      <c r="AE2436" s="18" t="inlineStr"/>
      <c r="AF2436" s="18" t="inlineStr">
        <is>
          <t>true</t>
        </is>
      </c>
      <c r="AG2436" s="18" t="inlineStr"/>
      <c r="AH2436" s="18" t="inlineStr"/>
      <c r="AI2436" s="18" t="inlineStr">
        <is>
          <t>{"spawn":{"canSeeSky":"true"}}</t>
        </is>
      </c>
      <c r="AJ2436" s="18" t="inlineStr">
        <is>
          <t>COBBLEVERSE 추가</t>
        </is>
      </c>
      <c r="AK2436" s="18" t="inlineStr">
        <is>
          <t>사용</t>
        </is>
      </c>
      <c r="AL2436" s="18" t="inlineStr">
        <is>
          <t>COBBLEVERSE 1.7.42 / DP v31</t>
        </is>
      </c>
      <c r="AM2436" s="18" t="inlineStr">
        <is>
          <t>data/cobblemon/spawn_pool_world/0721_volcanion.json</t>
        </is>
      </c>
      <c r="AN2436" s="18" t="inlineStr">
        <is>
          <t>volcanion-1</t>
        </is>
      </c>
      <c r="AO2436" s="18" t="inlineStr">
        <is>
          <t>pokemon</t>
        </is>
      </c>
      <c r="AP2436" s="18" t="inlineStr">
        <is>
          <t>natural</t>
        </is>
      </c>
      <c r="AQ2436" s="18" t="inlineStr">
        <is>
          <t>{"biomes":["#cobblemon:is_mountain"]}</t>
        </is>
      </c>
      <c r="AR2436" s="18" t="inlineStr"/>
      <c r="AS2436" s="18" t="inlineStr"/>
      <c r="AT2436" s="19" t="inlineStr"/>
    </row>
    <row r="2437" ht="32" customHeight="1">
      <c r="A2437" s="18" t="inlineStr">
        <is>
          <t>0722_rowlet.json::rowlet-1::001</t>
        </is>
      </c>
      <c r="B2437" s="19" t="inlineStr">
        <is>
          <t>사용</t>
        </is>
      </c>
      <c r="C2437" s="18">
        <f>IF(OR(B2437&lt;&gt;AK2437,M2437&lt;&gt;L2437,O2437&lt;&gt;"",Q2437&lt;&gt;"",V2437&lt;&gt;1,Y2437&lt;&gt;"",AT2437&lt;&gt;""),"수정","원본")</f>
        <v/>
      </c>
      <c r="D2437" s="18" t="n">
        <v>722</v>
      </c>
      <c r="E2437" s="18" t="inlineStr">
        <is>
          <t>나몰빼미</t>
        </is>
      </c>
      <c r="F2437" s="18" t="inlineStr">
        <is>
          <t>rowlet</t>
        </is>
      </c>
      <c r="G2437" s="18" t="inlineStr">
        <is>
          <t>rowlet</t>
        </is>
      </c>
      <c r="H2437" s="18" t="inlineStr"/>
      <c r="I2437" s="18" t="n">
        <v>7</v>
      </c>
      <c r="J2437" s="18" t="n"/>
      <c r="K2437" s="18" t="n">
        <v>7</v>
      </c>
      <c r="L2437" s="18" t="inlineStr">
        <is>
          <t>cobbleventure:generation_7</t>
        </is>
      </c>
      <c r="M2437" s="19" t="inlineStr">
        <is>
          <t>cobbleventure:generation_7</t>
        </is>
      </c>
      <c r="N2437" s="18" t="inlineStr">
        <is>
          <t>region_01</t>
        </is>
      </c>
      <c r="O2437" s="19" t="inlineStr"/>
      <c r="P2437" s="18" t="inlineStr">
        <is>
          <t>#cobblemon:is_forest; aether:skyroot_forest; aether:skyroot_woodland; #cobblemon:is_taiga</t>
        </is>
      </c>
      <c r="Q2437" s="19" t="inlineStr"/>
      <c r="R2437" s="18">
        <f>IF(Q2437="",P2437,Q2437)</f>
        <v/>
      </c>
      <c r="S2437" s="18" t="inlineStr">
        <is>
          <t>#cobblemon:is_freezing</t>
        </is>
      </c>
      <c r="T2437" s="18" t="inlineStr">
        <is>
          <t>ultra-rare</t>
        </is>
      </c>
      <c r="U2437" s="20" t="n">
        <v>6</v>
      </c>
      <c r="V2437" s="21" t="n">
        <v>1</v>
      </c>
      <c r="W2437" s="20">
        <f>IF(OR(U2437="",V2437=""),U2437,U2437*V2437)</f>
        <v/>
      </c>
      <c r="X2437" s="18" t="inlineStr">
        <is>
          <t>5-32</t>
        </is>
      </c>
      <c r="Y2437" s="19" t="inlineStr"/>
      <c r="Z2437" s="18">
        <f>IF(Y2437="",X2437,Y2437)</f>
        <v/>
      </c>
      <c r="AA2437" s="18" t="inlineStr">
        <is>
          <t>grounded</t>
        </is>
      </c>
      <c r="AB2437" s="18" t="inlineStr"/>
      <c r="AC2437" s="18" t="inlineStr"/>
      <c r="AD2437" s="18" t="inlineStr"/>
      <c r="AE2437" s="18" t="inlineStr">
        <is>
          <t>sky 8-15</t>
        </is>
      </c>
      <c r="AF2437" s="18" t="inlineStr"/>
      <c r="AG2437" s="18" t="inlineStr"/>
      <c r="AH2437" s="18" t="inlineStr"/>
      <c r="AI2437" s="18" t="inlineStr"/>
      <c r="AJ2437" s="18" t="inlineStr">
        <is>
          <t>Cobblemon 동일</t>
        </is>
      </c>
      <c r="AK2437" s="18" t="inlineStr">
        <is>
          <t>사용</t>
        </is>
      </c>
      <c r="AL2437" s="18" t="inlineStr">
        <is>
          <t>COBBLEVERSE 1.7.42 / DP v31</t>
        </is>
      </c>
      <c r="AM2437" s="18" t="inlineStr">
        <is>
          <t>data/cobblemon/spawn_pool_world/0722_rowlet.json</t>
        </is>
      </c>
      <c r="AN2437" s="18" t="inlineStr">
        <is>
          <t>rowlet-1</t>
        </is>
      </c>
      <c r="AO2437" s="18" t="inlineStr">
        <is>
          <t>pokemon</t>
        </is>
      </c>
      <c r="AP2437" s="18" t="inlineStr">
        <is>
          <t>natural; treetop</t>
        </is>
      </c>
      <c r="AQ2437" s="18" t="inlineStr">
        <is>
          <t>{"biomes":["#cobblemon:is_forest","aether:skyroot_forest","aether:skyroot_woodland","#cobblemon:is_taiga"],"maxSkyLight":15,"minSkyLight":8}</t>
        </is>
      </c>
      <c r="AR2437" s="18" t="inlineStr">
        <is>
          <t>{"biomes":["#cobblemon:is_freezing"]}</t>
        </is>
      </c>
      <c r="AS2437" s="18" t="inlineStr"/>
      <c r="AT2437" s="19" t="inlineStr"/>
    </row>
    <row r="2438" ht="32" customHeight="1">
      <c r="A2438" s="18" t="inlineStr">
        <is>
          <t>0722_rowlet.json::rowlet-hisui-3::002</t>
        </is>
      </c>
      <c r="B2438" s="19" t="inlineStr">
        <is>
          <t>사용</t>
        </is>
      </c>
      <c r="C2438" s="18">
        <f>IF(OR(B2438&lt;&gt;AK2438,M2438&lt;&gt;L2438,O2438&lt;&gt;"",Q2438&lt;&gt;"",V2438&lt;&gt;1,Y2438&lt;&gt;"",AT2438&lt;&gt;""),"수정","원본")</f>
        <v/>
      </c>
      <c r="D2438" s="18" t="n">
        <v>722</v>
      </c>
      <c r="E2438" s="18" t="inlineStr">
        <is>
          <t>나몰빼미</t>
        </is>
      </c>
      <c r="F2438" s="18" t="inlineStr">
        <is>
          <t>rowlet</t>
        </is>
      </c>
      <c r="G2438" s="18" t="inlineStr">
        <is>
          <t>rowlet region_bias=hisui</t>
        </is>
      </c>
      <c r="H2438" s="18" t="inlineStr">
        <is>
          <t>region_bias=hisui</t>
        </is>
      </c>
      <c r="I2438" s="18" t="n">
        <v>7</v>
      </c>
      <c r="J2438" s="18" t="n">
        <v>8</v>
      </c>
      <c r="K2438" s="18" t="n">
        <v>8</v>
      </c>
      <c r="L2438" s="18" t="inlineStr">
        <is>
          <t>cobbleventure:generation_8</t>
        </is>
      </c>
      <c r="M2438" s="19" t="inlineStr">
        <is>
          <t>cobbleventure:generation_8</t>
        </is>
      </c>
      <c r="N2438" s="18" t="inlineStr"/>
      <c r="O2438" s="19" t="inlineStr"/>
      <c r="P2438" s="18" t="inlineStr">
        <is>
          <t>#cobblemon:is_snowy_forest; #cobblemon:is_snowy_taiga</t>
        </is>
      </c>
      <c r="Q2438" s="19" t="inlineStr"/>
      <c r="R2438" s="18">
        <f>IF(Q2438="",P2438,Q2438)</f>
        <v/>
      </c>
      <c r="S2438" s="18" t="inlineStr"/>
      <c r="T2438" s="18" t="inlineStr">
        <is>
          <t>ultra-rare</t>
        </is>
      </c>
      <c r="U2438" s="20" t="n">
        <v>6</v>
      </c>
      <c r="V2438" s="21" t="n">
        <v>1</v>
      </c>
      <c r="W2438" s="20">
        <f>IF(OR(U2438="",V2438=""),U2438,U2438*V2438)</f>
        <v/>
      </c>
      <c r="X2438" s="18" t="inlineStr">
        <is>
          <t>5-32</t>
        </is>
      </c>
      <c r="Y2438" s="19" t="inlineStr"/>
      <c r="Z2438" s="18">
        <f>IF(Y2438="",X2438,Y2438)</f>
        <v/>
      </c>
      <c r="AA2438" s="18" t="inlineStr">
        <is>
          <t>grounded</t>
        </is>
      </c>
      <c r="AB2438" s="18" t="inlineStr"/>
      <c r="AC2438" s="18" t="inlineStr"/>
      <c r="AD2438" s="18" t="inlineStr"/>
      <c r="AE2438" s="18" t="inlineStr">
        <is>
          <t>sky 8-15</t>
        </is>
      </c>
      <c r="AF2438" s="18" t="inlineStr"/>
      <c r="AG2438" s="18" t="inlineStr"/>
      <c r="AH2438" s="18" t="inlineStr"/>
      <c r="AI2438" s="18" t="inlineStr"/>
      <c r="AJ2438" s="18" t="inlineStr">
        <is>
          <t>Cobblemon 동일</t>
        </is>
      </c>
      <c r="AK2438" s="18" t="inlineStr">
        <is>
          <t>사용</t>
        </is>
      </c>
      <c r="AL2438" s="18" t="inlineStr">
        <is>
          <t>COBBLEVERSE 1.7.42 / DP v31</t>
        </is>
      </c>
      <c r="AM2438" s="18" t="inlineStr">
        <is>
          <t>data/cobblemon/spawn_pool_world/0722_rowlet.json</t>
        </is>
      </c>
      <c r="AN2438" s="18" t="inlineStr">
        <is>
          <t>rowlet-hisui-3</t>
        </is>
      </c>
      <c r="AO2438" s="18" t="inlineStr">
        <is>
          <t>pokemon</t>
        </is>
      </c>
      <c r="AP2438" s="18" t="inlineStr">
        <is>
          <t>natural; treetop</t>
        </is>
      </c>
      <c r="AQ2438" s="18" t="inlineStr">
        <is>
          <t>{"biomes":["#cobblemon:is_snowy_forest","#cobblemon:is_snowy_taiga"],"maxSkyLight":15,"minSkyLight":8}</t>
        </is>
      </c>
      <c r="AR2438" s="18" t="inlineStr"/>
      <c r="AS2438" s="18" t="inlineStr"/>
      <c r="AT2438" s="19" t="inlineStr"/>
    </row>
    <row r="2439" ht="32" customHeight="1">
      <c r="A2439" s="18" t="inlineStr">
        <is>
          <t>0723_dartrix.json::dartrix-1::001</t>
        </is>
      </c>
      <c r="B2439" s="19" t="inlineStr">
        <is>
          <t>사용</t>
        </is>
      </c>
      <c r="C2439" s="18">
        <f>IF(OR(B2439&lt;&gt;AK2439,M2439&lt;&gt;L2439,O2439&lt;&gt;"",Q2439&lt;&gt;"",V2439&lt;&gt;1,Y2439&lt;&gt;"",AT2439&lt;&gt;""),"수정","원본")</f>
        <v/>
      </c>
      <c r="D2439" s="18" t="n">
        <v>723</v>
      </c>
      <c r="E2439" s="18" t="inlineStr">
        <is>
          <t>빼미스로우</t>
        </is>
      </c>
      <c r="F2439" s="18" t="inlineStr">
        <is>
          <t>dartrix</t>
        </is>
      </c>
      <c r="G2439" s="18" t="inlineStr">
        <is>
          <t>dartrix</t>
        </is>
      </c>
      <c r="H2439" s="18" t="inlineStr"/>
      <c r="I2439" s="18" t="n">
        <v>7</v>
      </c>
      <c r="J2439" s="18" t="n"/>
      <c r="K2439" s="18" t="n">
        <v>7</v>
      </c>
      <c r="L2439" s="18" t="inlineStr">
        <is>
          <t>cobbleventure:generation_7</t>
        </is>
      </c>
      <c r="M2439" s="19" t="inlineStr">
        <is>
          <t>cobbleventure:generation_7</t>
        </is>
      </c>
      <c r="N2439" s="18" t="inlineStr">
        <is>
          <t>region_01</t>
        </is>
      </c>
      <c r="O2439" s="19" t="inlineStr"/>
      <c r="P2439" s="18" t="inlineStr">
        <is>
          <t>#cobblemon:is_forest; aether:skyroot_forest; aether:skyroot_woodland; #cobblemon:is_taiga</t>
        </is>
      </c>
      <c r="Q2439" s="19" t="inlineStr"/>
      <c r="R2439" s="18">
        <f>IF(Q2439="",P2439,Q2439)</f>
        <v/>
      </c>
      <c r="S2439" s="18" t="inlineStr">
        <is>
          <t>#cobblemon:is_freezing</t>
        </is>
      </c>
      <c r="T2439" s="18" t="inlineStr">
        <is>
          <t>ultra-rare</t>
        </is>
      </c>
      <c r="U2439" s="20" t="n">
        <v>3.6</v>
      </c>
      <c r="V2439" s="21" t="n">
        <v>1</v>
      </c>
      <c r="W2439" s="20">
        <f>IF(OR(U2439="",V2439=""),U2439,U2439*V2439)</f>
        <v/>
      </c>
      <c r="X2439" s="18" t="inlineStr">
        <is>
          <t>17-42</t>
        </is>
      </c>
      <c r="Y2439" s="19" t="inlineStr"/>
      <c r="Z2439" s="18">
        <f>IF(Y2439="",X2439,Y2439)</f>
        <v/>
      </c>
      <c r="AA2439" s="18" t="inlineStr">
        <is>
          <t>grounded</t>
        </is>
      </c>
      <c r="AB2439" s="18" t="inlineStr"/>
      <c r="AC2439" s="18" t="inlineStr"/>
      <c r="AD2439" s="18" t="inlineStr"/>
      <c r="AE2439" s="18" t="inlineStr">
        <is>
          <t>sky 8-15</t>
        </is>
      </c>
      <c r="AF2439" s="18" t="inlineStr"/>
      <c r="AG2439" s="18" t="inlineStr"/>
      <c r="AH2439" s="18" t="inlineStr"/>
      <c r="AI2439" s="18" t="inlineStr"/>
      <c r="AJ2439" s="18" t="inlineStr">
        <is>
          <t>Cobblemon 동일</t>
        </is>
      </c>
      <c r="AK2439" s="18" t="inlineStr">
        <is>
          <t>사용</t>
        </is>
      </c>
      <c r="AL2439" s="18" t="inlineStr">
        <is>
          <t>COBBLEVERSE 1.7.42 / DP v31</t>
        </is>
      </c>
      <c r="AM2439" s="18" t="inlineStr">
        <is>
          <t>data/cobblemon/spawn_pool_world/0723_dartrix.json</t>
        </is>
      </c>
      <c r="AN2439" s="18" t="inlineStr">
        <is>
          <t>dartrix-1</t>
        </is>
      </c>
      <c r="AO2439" s="18" t="inlineStr">
        <is>
          <t>pokemon</t>
        </is>
      </c>
      <c r="AP2439" s="18" t="inlineStr">
        <is>
          <t>natural; treetop</t>
        </is>
      </c>
      <c r="AQ2439" s="18" t="inlineStr">
        <is>
          <t>{"biomes":["#cobblemon:is_forest","aether:skyroot_forest","aether:skyroot_woodland","#cobblemon:is_taiga"],"maxSkyLight":15,"minSkyLight":8}</t>
        </is>
      </c>
      <c r="AR2439" s="18" t="inlineStr">
        <is>
          <t>{"biomes":["#cobblemon:is_freezing"]}</t>
        </is>
      </c>
      <c r="AS2439" s="18" t="inlineStr"/>
      <c r="AT2439" s="19" t="inlineStr"/>
    </row>
    <row r="2440" ht="32" customHeight="1">
      <c r="A2440" s="18" t="inlineStr">
        <is>
          <t>0723_dartrix.json::dartrix-hisui-3::002</t>
        </is>
      </c>
      <c r="B2440" s="19" t="inlineStr">
        <is>
          <t>사용</t>
        </is>
      </c>
      <c r="C2440" s="18">
        <f>IF(OR(B2440&lt;&gt;AK2440,M2440&lt;&gt;L2440,O2440&lt;&gt;"",Q2440&lt;&gt;"",V2440&lt;&gt;1,Y2440&lt;&gt;"",AT2440&lt;&gt;""),"수정","원본")</f>
        <v/>
      </c>
      <c r="D2440" s="18" t="n">
        <v>723</v>
      </c>
      <c r="E2440" s="18" t="inlineStr">
        <is>
          <t>빼미스로우</t>
        </is>
      </c>
      <c r="F2440" s="18" t="inlineStr">
        <is>
          <t>dartrix</t>
        </is>
      </c>
      <c r="G2440" s="18" t="inlineStr">
        <is>
          <t>dartrix region_bias=hisui</t>
        </is>
      </c>
      <c r="H2440" s="18" t="inlineStr">
        <is>
          <t>region_bias=hisui</t>
        </is>
      </c>
      <c r="I2440" s="18" t="n">
        <v>7</v>
      </c>
      <c r="J2440" s="18" t="n">
        <v>8</v>
      </c>
      <c r="K2440" s="18" t="n">
        <v>8</v>
      </c>
      <c r="L2440" s="18" t="inlineStr">
        <is>
          <t>cobbleventure:generation_8</t>
        </is>
      </c>
      <c r="M2440" s="19" t="inlineStr">
        <is>
          <t>cobbleventure:generation_8</t>
        </is>
      </c>
      <c r="N2440" s="18" t="inlineStr"/>
      <c r="O2440" s="19" t="inlineStr"/>
      <c r="P2440" s="18" t="inlineStr">
        <is>
          <t>#cobblemon:is_snowy_forest; #cobblemon:is_snowy_taiga</t>
        </is>
      </c>
      <c r="Q2440" s="19" t="inlineStr"/>
      <c r="R2440" s="18">
        <f>IF(Q2440="",P2440,Q2440)</f>
        <v/>
      </c>
      <c r="S2440" s="18" t="inlineStr"/>
      <c r="T2440" s="18" t="inlineStr">
        <is>
          <t>ultra-rare</t>
        </is>
      </c>
      <c r="U2440" s="20" t="n">
        <v>3.6</v>
      </c>
      <c r="V2440" s="21" t="n">
        <v>1</v>
      </c>
      <c r="W2440" s="20">
        <f>IF(OR(U2440="",V2440=""),U2440,U2440*V2440)</f>
        <v/>
      </c>
      <c r="X2440" s="18" t="inlineStr">
        <is>
          <t>17-42</t>
        </is>
      </c>
      <c r="Y2440" s="19" t="inlineStr"/>
      <c r="Z2440" s="18">
        <f>IF(Y2440="",X2440,Y2440)</f>
        <v/>
      </c>
      <c r="AA2440" s="18" t="inlineStr">
        <is>
          <t>grounded</t>
        </is>
      </c>
      <c r="AB2440" s="18" t="inlineStr"/>
      <c r="AC2440" s="18" t="inlineStr"/>
      <c r="AD2440" s="18" t="inlineStr"/>
      <c r="AE2440" s="18" t="inlineStr">
        <is>
          <t>sky 8-15</t>
        </is>
      </c>
      <c r="AF2440" s="18" t="inlineStr"/>
      <c r="AG2440" s="18" t="inlineStr"/>
      <c r="AH2440" s="18" t="inlineStr"/>
      <c r="AI2440" s="18" t="inlineStr"/>
      <c r="AJ2440" s="18" t="inlineStr">
        <is>
          <t>Cobblemon 동일</t>
        </is>
      </c>
      <c r="AK2440" s="18" t="inlineStr">
        <is>
          <t>사용</t>
        </is>
      </c>
      <c r="AL2440" s="18" t="inlineStr">
        <is>
          <t>COBBLEVERSE 1.7.42 / DP v31</t>
        </is>
      </c>
      <c r="AM2440" s="18" t="inlineStr">
        <is>
          <t>data/cobblemon/spawn_pool_world/0723_dartrix.json</t>
        </is>
      </c>
      <c r="AN2440" s="18" t="inlineStr">
        <is>
          <t>dartrix-hisui-3</t>
        </is>
      </c>
      <c r="AO2440" s="18" t="inlineStr">
        <is>
          <t>pokemon</t>
        </is>
      </c>
      <c r="AP2440" s="18" t="inlineStr">
        <is>
          <t>natural; treetop</t>
        </is>
      </c>
      <c r="AQ2440" s="18" t="inlineStr">
        <is>
          <t>{"biomes":["#cobblemon:is_snowy_forest","#cobblemon:is_snowy_taiga"],"maxSkyLight":15,"minSkyLight":8}</t>
        </is>
      </c>
      <c r="AR2440" s="18" t="inlineStr"/>
      <c r="AS2440" s="18" t="inlineStr"/>
      <c r="AT2440" s="19" t="inlineStr"/>
    </row>
    <row r="2441" ht="32" customHeight="1">
      <c r="A2441" s="18" t="inlineStr">
        <is>
          <t>0724_decidueye.json::decidueye-1::001</t>
        </is>
      </c>
      <c r="B2441" s="19" t="inlineStr">
        <is>
          <t>사용</t>
        </is>
      </c>
      <c r="C2441" s="18">
        <f>IF(OR(B2441&lt;&gt;AK2441,M2441&lt;&gt;L2441,O2441&lt;&gt;"",Q2441&lt;&gt;"",V2441&lt;&gt;1,Y2441&lt;&gt;"",AT2441&lt;&gt;""),"수정","원본")</f>
        <v/>
      </c>
      <c r="D2441" s="18" t="n">
        <v>724</v>
      </c>
      <c r="E2441" s="18" t="inlineStr">
        <is>
          <t>모크나이퍼</t>
        </is>
      </c>
      <c r="F2441" s="18" t="inlineStr">
        <is>
          <t>decidueye</t>
        </is>
      </c>
      <c r="G2441" s="18" t="inlineStr">
        <is>
          <t>decidueye</t>
        </is>
      </c>
      <c r="H2441" s="18" t="inlineStr"/>
      <c r="I2441" s="18" t="n">
        <v>7</v>
      </c>
      <c r="J2441" s="18" t="n"/>
      <c r="K2441" s="18" t="n">
        <v>7</v>
      </c>
      <c r="L2441" s="18" t="inlineStr">
        <is>
          <t>cobbleventure:generation_7</t>
        </is>
      </c>
      <c r="M2441" s="19" t="inlineStr">
        <is>
          <t>cobbleventure:generation_7</t>
        </is>
      </c>
      <c r="N2441" s="18" t="inlineStr">
        <is>
          <t>region_01</t>
        </is>
      </c>
      <c r="O2441" s="19" t="inlineStr"/>
      <c r="P2441" s="18" t="inlineStr">
        <is>
          <t>#cobblemon:is_forest; aether:skyroot_forest; aether:skyroot_woodland; #cobblemon:is_taiga</t>
        </is>
      </c>
      <c r="Q2441" s="19" t="inlineStr"/>
      <c r="R2441" s="18">
        <f>IF(Q2441="",P2441,Q2441)</f>
        <v/>
      </c>
      <c r="S2441" s="18" t="inlineStr">
        <is>
          <t>#cobblemon:is_freezing</t>
        </is>
      </c>
      <c r="T2441" s="18" t="inlineStr">
        <is>
          <t>ultra-rare</t>
        </is>
      </c>
      <c r="U2441" s="20" t="n">
        <v>0.4</v>
      </c>
      <c r="V2441" s="21" t="n">
        <v>1</v>
      </c>
      <c r="W2441" s="20">
        <f>IF(OR(U2441="",V2441=""),U2441,U2441*V2441)</f>
        <v/>
      </c>
      <c r="X2441" s="18" t="inlineStr">
        <is>
          <t>34-53</t>
        </is>
      </c>
      <c r="Y2441" s="19" t="inlineStr"/>
      <c r="Z2441" s="18">
        <f>IF(Y2441="",X2441,Y2441)</f>
        <v/>
      </c>
      <c r="AA2441" s="18" t="inlineStr">
        <is>
          <t>grounded</t>
        </is>
      </c>
      <c r="AB2441" s="18" t="inlineStr"/>
      <c r="AC2441" s="18" t="inlineStr"/>
      <c r="AD2441" s="18" t="inlineStr"/>
      <c r="AE2441" s="18" t="inlineStr">
        <is>
          <t>sky 8-15</t>
        </is>
      </c>
      <c r="AF2441" s="18" t="inlineStr"/>
      <c r="AG2441" s="18" t="inlineStr"/>
      <c r="AH2441" s="18" t="inlineStr"/>
      <c r="AI2441" s="18" t="inlineStr"/>
      <c r="AJ2441" s="18" t="inlineStr">
        <is>
          <t>Cobblemon 동일</t>
        </is>
      </c>
      <c r="AK2441" s="18" t="inlineStr">
        <is>
          <t>사용</t>
        </is>
      </c>
      <c r="AL2441" s="18" t="inlineStr">
        <is>
          <t>COBBLEVERSE 1.7.42 / DP v31</t>
        </is>
      </c>
      <c r="AM2441" s="18" t="inlineStr">
        <is>
          <t>data/cobblemon/spawn_pool_world/0724_decidueye.json</t>
        </is>
      </c>
      <c r="AN2441" s="18" t="inlineStr">
        <is>
          <t>decidueye-1</t>
        </is>
      </c>
      <c r="AO2441" s="18" t="inlineStr">
        <is>
          <t>pokemon</t>
        </is>
      </c>
      <c r="AP2441" s="18" t="inlineStr">
        <is>
          <t>natural; treetop</t>
        </is>
      </c>
      <c r="AQ2441" s="18" t="inlineStr">
        <is>
          <t>{"biomes":["#cobblemon:is_forest","aether:skyroot_forest","aether:skyroot_woodland","#cobblemon:is_taiga"],"maxSkyLight":15,"minSkyLight":8}</t>
        </is>
      </c>
      <c r="AR2441" s="18" t="inlineStr">
        <is>
          <t>{"biomes":["#cobblemon:is_freezing"]}</t>
        </is>
      </c>
      <c r="AS2441" s="18" t="inlineStr"/>
      <c r="AT2441" s="19" t="inlineStr"/>
    </row>
    <row r="2442" ht="32" customHeight="1">
      <c r="A2442" s="18" t="inlineStr">
        <is>
          <t>0724_decidueye.json::decidueye-hisuian-3::002</t>
        </is>
      </c>
      <c r="B2442" s="19" t="inlineStr">
        <is>
          <t>사용</t>
        </is>
      </c>
      <c r="C2442" s="18">
        <f>IF(OR(B2442&lt;&gt;AK2442,M2442&lt;&gt;L2442,O2442&lt;&gt;"",Q2442&lt;&gt;"",V2442&lt;&gt;1,Y2442&lt;&gt;"",AT2442&lt;&gt;""),"수정","원본")</f>
        <v/>
      </c>
      <c r="D2442" s="18" t="n">
        <v>724</v>
      </c>
      <c r="E2442" s="18" t="inlineStr">
        <is>
          <t>모크나이퍼</t>
        </is>
      </c>
      <c r="F2442" s="18" t="inlineStr">
        <is>
          <t>decidueye</t>
        </is>
      </c>
      <c r="G2442" s="18" t="inlineStr">
        <is>
          <t>decidueye hisuian</t>
        </is>
      </c>
      <c r="H2442" s="18" t="inlineStr">
        <is>
          <t>hisuian</t>
        </is>
      </c>
      <c r="I2442" s="18" t="n">
        <v>7</v>
      </c>
      <c r="J2442" s="18" t="n">
        <v>8</v>
      </c>
      <c r="K2442" s="18" t="n">
        <v>8</v>
      </c>
      <c r="L2442" s="18" t="inlineStr">
        <is>
          <t>cobbleventure:generation_8</t>
        </is>
      </c>
      <c r="M2442" s="19" t="inlineStr">
        <is>
          <t>cobbleventure:generation_8</t>
        </is>
      </c>
      <c r="N2442" s="18" t="inlineStr"/>
      <c r="O2442" s="19" t="inlineStr"/>
      <c r="P2442" s="18" t="inlineStr">
        <is>
          <t>#cobblemon:is_snowy_forest; #cobblemon:is_snowy_taiga</t>
        </is>
      </c>
      <c r="Q2442" s="19" t="inlineStr"/>
      <c r="R2442" s="18">
        <f>IF(Q2442="",P2442,Q2442)</f>
        <v/>
      </c>
      <c r="S2442" s="18" t="inlineStr"/>
      <c r="T2442" s="18" t="inlineStr">
        <is>
          <t>ultra-rare</t>
        </is>
      </c>
      <c r="U2442" s="20" t="n">
        <v>0.4</v>
      </c>
      <c r="V2442" s="21" t="n">
        <v>1</v>
      </c>
      <c r="W2442" s="20">
        <f>IF(OR(U2442="",V2442=""),U2442,U2442*V2442)</f>
        <v/>
      </c>
      <c r="X2442" s="18" t="inlineStr">
        <is>
          <t>34-53</t>
        </is>
      </c>
      <c r="Y2442" s="19" t="inlineStr"/>
      <c r="Z2442" s="18">
        <f>IF(Y2442="",X2442,Y2442)</f>
        <v/>
      </c>
      <c r="AA2442" s="18" t="inlineStr">
        <is>
          <t>grounded</t>
        </is>
      </c>
      <c r="AB2442" s="18" t="inlineStr"/>
      <c r="AC2442" s="18" t="inlineStr"/>
      <c r="AD2442" s="18" t="inlineStr"/>
      <c r="AE2442" s="18" t="inlineStr">
        <is>
          <t>sky 8-15</t>
        </is>
      </c>
      <c r="AF2442" s="18" t="inlineStr"/>
      <c r="AG2442" s="18" t="inlineStr"/>
      <c r="AH2442" s="18" t="inlineStr"/>
      <c r="AI2442" s="18" t="inlineStr"/>
      <c r="AJ2442" s="18" t="inlineStr">
        <is>
          <t>Cobblemon 동일</t>
        </is>
      </c>
      <c r="AK2442" s="18" t="inlineStr">
        <is>
          <t>사용</t>
        </is>
      </c>
      <c r="AL2442" s="18" t="inlineStr">
        <is>
          <t>COBBLEVERSE 1.7.42 / DP v31</t>
        </is>
      </c>
      <c r="AM2442" s="18" t="inlineStr">
        <is>
          <t>data/cobblemon/spawn_pool_world/0724_decidueye.json</t>
        </is>
      </c>
      <c r="AN2442" s="18" t="inlineStr">
        <is>
          <t>decidueye-hisuian-3</t>
        </is>
      </c>
      <c r="AO2442" s="18" t="inlineStr">
        <is>
          <t>pokemon</t>
        </is>
      </c>
      <c r="AP2442" s="18" t="inlineStr">
        <is>
          <t>natural; treetop</t>
        </is>
      </c>
      <c r="AQ2442" s="18" t="inlineStr">
        <is>
          <t>{"biomes":["#cobblemon:is_snowy_forest","#cobblemon:is_snowy_taiga"],"maxSkyLight":15,"minSkyLight":8}</t>
        </is>
      </c>
      <c r="AR2442" s="18" t="inlineStr"/>
      <c r="AS2442" s="18" t="inlineStr"/>
      <c r="AT2442" s="19" t="inlineStr"/>
    </row>
    <row r="2443" ht="32" customHeight="1">
      <c r="A2443" s="18" t="inlineStr">
        <is>
          <t>0725_litten.json::litten-1::001</t>
        </is>
      </c>
      <c r="B2443" s="19" t="inlineStr">
        <is>
          <t>사용</t>
        </is>
      </c>
      <c r="C2443" s="18">
        <f>IF(OR(B2443&lt;&gt;AK2443,M2443&lt;&gt;L2443,O2443&lt;&gt;"",Q2443&lt;&gt;"",V2443&lt;&gt;1,Y2443&lt;&gt;"",AT2443&lt;&gt;""),"수정","원본")</f>
        <v/>
      </c>
      <c r="D2443" s="18" t="n">
        <v>725</v>
      </c>
      <c r="E2443" s="18" t="inlineStr">
        <is>
          <t>냐오불</t>
        </is>
      </c>
      <c r="F2443" s="18" t="inlineStr">
        <is>
          <t>litten</t>
        </is>
      </c>
      <c r="G2443" s="18" t="inlineStr">
        <is>
          <t>litten</t>
        </is>
      </c>
      <c r="H2443" s="18" t="inlineStr"/>
      <c r="I2443" s="18" t="n">
        <v>7</v>
      </c>
      <c r="J2443" s="18" t="n"/>
      <c r="K2443" s="18" t="n">
        <v>7</v>
      </c>
      <c r="L2443" s="18" t="inlineStr">
        <is>
          <t>cobbleventure:generation_7</t>
        </is>
      </c>
      <c r="M2443" s="19" t="inlineStr">
        <is>
          <t>cobbleventure:generation_7</t>
        </is>
      </c>
      <c r="N2443" s="18" t="inlineStr"/>
      <c r="O2443" s="19" t="inlineStr"/>
      <c r="P2443" s="18" t="inlineStr">
        <is>
          <t>#cobblemon:is_jungle</t>
        </is>
      </c>
      <c r="Q2443" s="19" t="inlineStr"/>
      <c r="R2443" s="18">
        <f>IF(Q2443="",P2443,Q2443)</f>
        <v/>
      </c>
      <c r="S2443" s="18" t="inlineStr"/>
      <c r="T2443" s="18" t="inlineStr">
        <is>
          <t>ultra-rare</t>
        </is>
      </c>
      <c r="U2443" s="20" t="n">
        <v>6</v>
      </c>
      <c r="V2443" s="21" t="n">
        <v>1</v>
      </c>
      <c r="W2443" s="20">
        <f>IF(OR(U2443="",V2443=""),U2443,U2443*V2443)</f>
        <v/>
      </c>
      <c r="X2443" s="18" t="inlineStr">
        <is>
          <t>5-32</t>
        </is>
      </c>
      <c r="Y2443" s="19" t="inlineStr"/>
      <c r="Z2443" s="18">
        <f>IF(Y2443="",X2443,Y2443)</f>
        <v/>
      </c>
      <c r="AA2443" s="18" t="inlineStr">
        <is>
          <t>grounded</t>
        </is>
      </c>
      <c r="AB2443" s="18" t="inlineStr"/>
      <c r="AC2443" s="18" t="inlineStr">
        <is>
          <t>비=False</t>
        </is>
      </c>
      <c r="AD2443" s="18" t="inlineStr"/>
      <c r="AE2443" s="18" t="inlineStr">
        <is>
          <t>sky 8-15</t>
        </is>
      </c>
      <c r="AF2443" s="18" t="inlineStr"/>
      <c r="AG2443" s="18" t="inlineStr"/>
      <c r="AH2443" s="18" t="inlineStr"/>
      <c r="AI2443" s="18" t="inlineStr"/>
      <c r="AJ2443" s="18" t="inlineStr">
        <is>
          <t>COBBLEVERSE 수정</t>
        </is>
      </c>
      <c r="AK2443" s="18" t="inlineStr">
        <is>
          <t>사용</t>
        </is>
      </c>
      <c r="AL2443" s="18" t="inlineStr">
        <is>
          <t>COBBLEVERSE 1.7.42 / DP v31</t>
        </is>
      </c>
      <c r="AM2443" s="18" t="inlineStr">
        <is>
          <t>data/cobblemon/spawn_pool_world/0725_litten.json</t>
        </is>
      </c>
      <c r="AN2443" s="18" t="inlineStr">
        <is>
          <t>litten-1</t>
        </is>
      </c>
      <c r="AO2443" s="18" t="inlineStr">
        <is>
          <t>pokemon</t>
        </is>
      </c>
      <c r="AP2443" s="18" t="inlineStr">
        <is>
          <t>natural</t>
        </is>
      </c>
      <c r="AQ2443" s="18" t="inlineStr">
        <is>
          <t>{"biomes":["#cobblemon:is_jungle"],"isRaining":false,"maxSkyLight":15,"minSkyLight":8}</t>
        </is>
      </c>
      <c r="AR2443" s="18" t="inlineStr"/>
      <c r="AS2443" s="18" t="inlineStr"/>
      <c r="AT2443" s="19" t="inlineStr"/>
    </row>
    <row r="2444" ht="32" customHeight="1">
      <c r="A2444" s="18" t="inlineStr">
        <is>
          <t>0725_litten.json::litten-2::002</t>
        </is>
      </c>
      <c r="B2444" s="19" t="inlineStr">
        <is>
          <t>사용</t>
        </is>
      </c>
      <c r="C2444" s="18">
        <f>IF(OR(B2444&lt;&gt;AK2444,M2444&lt;&gt;L2444,O2444&lt;&gt;"",Q2444&lt;&gt;"",V2444&lt;&gt;1,Y2444&lt;&gt;"",AT2444&lt;&gt;""),"수정","원본")</f>
        <v/>
      </c>
      <c r="D2444" s="18" t="n">
        <v>725</v>
      </c>
      <c r="E2444" s="18" t="inlineStr">
        <is>
          <t>냐오불</t>
        </is>
      </c>
      <c r="F2444" s="18" t="inlineStr">
        <is>
          <t>litten</t>
        </is>
      </c>
      <c r="G2444" s="18" t="inlineStr">
        <is>
          <t>litten</t>
        </is>
      </c>
      <c r="H2444" s="18" t="inlineStr"/>
      <c r="I2444" s="18" t="n">
        <v>7</v>
      </c>
      <c r="J2444" s="18" t="n"/>
      <c r="K2444" s="18" t="n">
        <v>7</v>
      </c>
      <c r="L2444" s="18" t="inlineStr">
        <is>
          <t>cobbleventure:generation_7</t>
        </is>
      </c>
      <c r="M2444" s="19" t="inlineStr">
        <is>
          <t>cobbleventure:generation_7</t>
        </is>
      </c>
      <c r="N2444" s="18" t="inlineStr"/>
      <c r="O2444" s="19" t="inlineStr"/>
      <c r="P2444" s="18" t="inlineStr">
        <is>
          <t>minecraft:crimson_forest</t>
        </is>
      </c>
      <c r="Q2444" s="19" t="inlineStr"/>
      <c r="R2444" s="18">
        <f>IF(Q2444="",P2444,Q2444)</f>
        <v/>
      </c>
      <c r="S2444" s="18" t="inlineStr"/>
      <c r="T2444" s="18" t="inlineStr">
        <is>
          <t>ultra-rare</t>
        </is>
      </c>
      <c r="U2444" s="20" t="n">
        <v>0.7</v>
      </c>
      <c r="V2444" s="21" t="n">
        <v>1</v>
      </c>
      <c r="W2444" s="20">
        <f>IF(OR(U2444="",V2444=""),U2444,U2444*V2444)</f>
        <v/>
      </c>
      <c r="X2444" s="18" t="inlineStr">
        <is>
          <t>34-52</t>
        </is>
      </c>
      <c r="Y2444" s="19" t="inlineStr"/>
      <c r="Z2444" s="18">
        <f>IF(Y2444="",X2444,Y2444)</f>
        <v/>
      </c>
      <c r="AA2444" s="18" t="inlineStr">
        <is>
          <t>grounded</t>
        </is>
      </c>
      <c r="AB2444" s="18" t="inlineStr"/>
      <c r="AC2444" s="18" t="inlineStr"/>
      <c r="AD2444" s="18" t="inlineStr"/>
      <c r="AE2444" s="18" t="inlineStr"/>
      <c r="AF2444" s="18" t="inlineStr"/>
      <c r="AG2444" s="18" t="inlineStr"/>
      <c r="AH2444" s="18" t="inlineStr"/>
      <c r="AI2444" s="18" t="inlineStr"/>
      <c r="AJ2444" s="18" t="inlineStr">
        <is>
          <t>COBBLEVERSE 수정</t>
        </is>
      </c>
      <c r="AK2444" s="18" t="inlineStr">
        <is>
          <t>사용</t>
        </is>
      </c>
      <c r="AL2444" s="18" t="inlineStr">
        <is>
          <t>COBBLEVERSE 1.7.42 / DP v31</t>
        </is>
      </c>
      <c r="AM2444" s="18" t="inlineStr">
        <is>
          <t>data/cobblemon/spawn_pool_world/0725_litten.json</t>
        </is>
      </c>
      <c r="AN2444" s="18" t="inlineStr">
        <is>
          <t>litten-2</t>
        </is>
      </c>
      <c r="AO2444" s="18" t="inlineStr">
        <is>
          <t>pokemon</t>
        </is>
      </c>
      <c r="AP2444" s="18" t="inlineStr">
        <is>
          <t>natural</t>
        </is>
      </c>
      <c r="AQ2444" s="18" t="inlineStr">
        <is>
          <t>{"biomes":["minecraft:crimson_forest"]}</t>
        </is>
      </c>
      <c r="AR2444" s="18" t="inlineStr"/>
      <c r="AS2444" s="18" t="inlineStr"/>
      <c r="AT2444" s="19" t="inlineStr"/>
    </row>
    <row r="2445" ht="32" customHeight="1">
      <c r="A2445" s="18" t="inlineStr">
        <is>
          <t>0726_torracat.json::torracat-1::001</t>
        </is>
      </c>
      <c r="B2445" s="19" t="inlineStr">
        <is>
          <t>사용</t>
        </is>
      </c>
      <c r="C2445" s="18">
        <f>IF(OR(B2445&lt;&gt;AK2445,M2445&lt;&gt;L2445,O2445&lt;&gt;"",Q2445&lt;&gt;"",V2445&lt;&gt;1,Y2445&lt;&gt;"",AT2445&lt;&gt;""),"수정","원본")</f>
        <v/>
      </c>
      <c r="D2445" s="18" t="n">
        <v>726</v>
      </c>
      <c r="E2445" s="18" t="inlineStr">
        <is>
          <t>냐오히트</t>
        </is>
      </c>
      <c r="F2445" s="18" t="inlineStr">
        <is>
          <t>torracat</t>
        </is>
      </c>
      <c r="G2445" s="18" t="inlineStr">
        <is>
          <t>torracat</t>
        </is>
      </c>
      <c r="H2445" s="18" t="inlineStr"/>
      <c r="I2445" s="18" t="n">
        <v>7</v>
      </c>
      <c r="J2445" s="18" t="n"/>
      <c r="K2445" s="18" t="n">
        <v>7</v>
      </c>
      <c r="L2445" s="18" t="inlineStr">
        <is>
          <t>cobbleventure:generation_7</t>
        </is>
      </c>
      <c r="M2445" s="19" t="inlineStr">
        <is>
          <t>cobbleventure:generation_7</t>
        </is>
      </c>
      <c r="N2445" s="18" t="inlineStr"/>
      <c r="O2445" s="19" t="inlineStr"/>
      <c r="P2445" s="18" t="inlineStr">
        <is>
          <t>#cobblemon:is_jungle</t>
        </is>
      </c>
      <c r="Q2445" s="19" t="inlineStr"/>
      <c r="R2445" s="18">
        <f>IF(Q2445="",P2445,Q2445)</f>
        <v/>
      </c>
      <c r="S2445" s="18" t="inlineStr"/>
      <c r="T2445" s="18" t="inlineStr">
        <is>
          <t>ultra-rare</t>
        </is>
      </c>
      <c r="U2445" s="20" t="n">
        <v>3.6</v>
      </c>
      <c r="V2445" s="21" t="n">
        <v>1</v>
      </c>
      <c r="W2445" s="20">
        <f>IF(OR(U2445="",V2445=""),U2445,U2445*V2445)</f>
        <v/>
      </c>
      <c r="X2445" s="18" t="inlineStr">
        <is>
          <t>17-42</t>
        </is>
      </c>
      <c r="Y2445" s="19" t="inlineStr"/>
      <c r="Z2445" s="18">
        <f>IF(Y2445="",X2445,Y2445)</f>
        <v/>
      </c>
      <c r="AA2445" s="18" t="inlineStr">
        <is>
          <t>grounded</t>
        </is>
      </c>
      <c r="AB2445" s="18" t="inlineStr"/>
      <c r="AC2445" s="18" t="inlineStr">
        <is>
          <t>비=False</t>
        </is>
      </c>
      <c r="AD2445" s="18" t="inlineStr"/>
      <c r="AE2445" s="18" t="inlineStr">
        <is>
          <t>sky 8-15</t>
        </is>
      </c>
      <c r="AF2445" s="18" t="inlineStr"/>
      <c r="AG2445" s="18" t="inlineStr"/>
      <c r="AH2445" s="18" t="inlineStr"/>
      <c r="AI2445" s="18" t="inlineStr"/>
      <c r="AJ2445" s="18" t="inlineStr">
        <is>
          <t>COBBLEVERSE 수정</t>
        </is>
      </c>
      <c r="AK2445" s="18" t="inlineStr">
        <is>
          <t>사용</t>
        </is>
      </c>
      <c r="AL2445" s="18" t="inlineStr">
        <is>
          <t>COBBLEVERSE 1.7.42 / DP v31</t>
        </is>
      </c>
      <c r="AM2445" s="18" t="inlineStr">
        <is>
          <t>data/cobblemon/spawn_pool_world/0726_torracat.json</t>
        </is>
      </c>
      <c r="AN2445" s="18" t="inlineStr">
        <is>
          <t>torracat-1</t>
        </is>
      </c>
      <c r="AO2445" s="18" t="inlineStr">
        <is>
          <t>pokemon</t>
        </is>
      </c>
      <c r="AP2445" s="18" t="inlineStr">
        <is>
          <t>natural</t>
        </is>
      </c>
      <c r="AQ2445" s="18" t="inlineStr">
        <is>
          <t>{"biomes":["#cobblemon:is_jungle"],"isRaining":false,"maxSkyLight":15,"minSkyLight":8}</t>
        </is>
      </c>
      <c r="AR2445" s="18" t="inlineStr"/>
      <c r="AS2445" s="18" t="inlineStr"/>
      <c r="AT2445" s="19" t="inlineStr"/>
    </row>
    <row r="2446" ht="32" customHeight="1">
      <c r="A2446" s="18" t="inlineStr">
        <is>
          <t>0726_torracat.json::torracat-2::002</t>
        </is>
      </c>
      <c r="B2446" s="19" t="inlineStr">
        <is>
          <t>사용</t>
        </is>
      </c>
      <c r="C2446" s="18">
        <f>IF(OR(B2446&lt;&gt;AK2446,M2446&lt;&gt;L2446,O2446&lt;&gt;"",Q2446&lt;&gt;"",V2446&lt;&gt;1,Y2446&lt;&gt;"",AT2446&lt;&gt;""),"수정","원본")</f>
        <v/>
      </c>
      <c r="D2446" s="18" t="n">
        <v>726</v>
      </c>
      <c r="E2446" s="18" t="inlineStr">
        <is>
          <t>냐오히트</t>
        </is>
      </c>
      <c r="F2446" s="18" t="inlineStr">
        <is>
          <t>torracat</t>
        </is>
      </c>
      <c r="G2446" s="18" t="inlineStr">
        <is>
          <t>torracat</t>
        </is>
      </c>
      <c r="H2446" s="18" t="inlineStr"/>
      <c r="I2446" s="18" t="n">
        <v>7</v>
      </c>
      <c r="J2446" s="18" t="n"/>
      <c r="K2446" s="18" t="n">
        <v>7</v>
      </c>
      <c r="L2446" s="18" t="inlineStr">
        <is>
          <t>cobbleventure:generation_7</t>
        </is>
      </c>
      <c r="M2446" s="19" t="inlineStr">
        <is>
          <t>cobbleventure:generation_7</t>
        </is>
      </c>
      <c r="N2446" s="18" t="inlineStr"/>
      <c r="O2446" s="19" t="inlineStr"/>
      <c r="P2446" s="18" t="inlineStr">
        <is>
          <t>minecraft:crimson_forest</t>
        </is>
      </c>
      <c r="Q2446" s="19" t="inlineStr"/>
      <c r="R2446" s="18">
        <f>IF(Q2446="",P2446,Q2446)</f>
        <v/>
      </c>
      <c r="S2446" s="18" t="inlineStr"/>
      <c r="T2446" s="18" t="inlineStr">
        <is>
          <t>ultra-rare</t>
        </is>
      </c>
      <c r="U2446" s="20" t="n">
        <v>0.7</v>
      </c>
      <c r="V2446" s="21" t="n">
        <v>1</v>
      </c>
      <c r="W2446" s="20">
        <f>IF(OR(U2446="",V2446=""),U2446,U2446*V2446)</f>
        <v/>
      </c>
      <c r="X2446" s="18" t="inlineStr">
        <is>
          <t>34-52</t>
        </is>
      </c>
      <c r="Y2446" s="19" t="inlineStr"/>
      <c r="Z2446" s="18">
        <f>IF(Y2446="",X2446,Y2446)</f>
        <v/>
      </c>
      <c r="AA2446" s="18" t="inlineStr">
        <is>
          <t>grounded</t>
        </is>
      </c>
      <c r="AB2446" s="18" t="inlineStr"/>
      <c r="AC2446" s="18" t="inlineStr"/>
      <c r="AD2446" s="18" t="inlineStr"/>
      <c r="AE2446" s="18" t="inlineStr"/>
      <c r="AF2446" s="18" t="inlineStr"/>
      <c r="AG2446" s="18" t="inlineStr"/>
      <c r="AH2446" s="18" t="inlineStr"/>
      <c r="AI2446" s="18" t="inlineStr"/>
      <c r="AJ2446" s="18" t="inlineStr">
        <is>
          <t>COBBLEVERSE 수정</t>
        </is>
      </c>
      <c r="AK2446" s="18" t="inlineStr">
        <is>
          <t>사용</t>
        </is>
      </c>
      <c r="AL2446" s="18" t="inlineStr">
        <is>
          <t>COBBLEVERSE 1.7.42 / DP v31</t>
        </is>
      </c>
      <c r="AM2446" s="18" t="inlineStr">
        <is>
          <t>data/cobblemon/spawn_pool_world/0726_torracat.json</t>
        </is>
      </c>
      <c r="AN2446" s="18" t="inlineStr">
        <is>
          <t>torracat-2</t>
        </is>
      </c>
      <c r="AO2446" s="18" t="inlineStr">
        <is>
          <t>pokemon</t>
        </is>
      </c>
      <c r="AP2446" s="18" t="inlineStr">
        <is>
          <t>natural</t>
        </is>
      </c>
      <c r="AQ2446" s="18" t="inlineStr">
        <is>
          <t>{"biomes":["minecraft:crimson_forest"]}</t>
        </is>
      </c>
      <c r="AR2446" s="18" t="inlineStr"/>
      <c r="AS2446" s="18" t="inlineStr"/>
      <c r="AT2446" s="19" t="inlineStr"/>
    </row>
    <row r="2447" ht="32" customHeight="1">
      <c r="A2447" s="18" t="inlineStr">
        <is>
          <t>0727_incineroar.json::incineroar-1::001</t>
        </is>
      </c>
      <c r="B2447" s="19" t="inlineStr">
        <is>
          <t>사용</t>
        </is>
      </c>
      <c r="C2447" s="18">
        <f>IF(OR(B2447&lt;&gt;AK2447,M2447&lt;&gt;L2447,O2447&lt;&gt;"",Q2447&lt;&gt;"",V2447&lt;&gt;1,Y2447&lt;&gt;"",AT2447&lt;&gt;""),"수정","원본")</f>
        <v/>
      </c>
      <c r="D2447" s="18" t="n">
        <v>727</v>
      </c>
      <c r="E2447" s="18" t="inlineStr">
        <is>
          <t>어흥염</t>
        </is>
      </c>
      <c r="F2447" s="18" t="inlineStr">
        <is>
          <t>incineroar</t>
        </is>
      </c>
      <c r="G2447" s="18" t="inlineStr">
        <is>
          <t>incineroar</t>
        </is>
      </c>
      <c r="H2447" s="18" t="inlineStr"/>
      <c r="I2447" s="18" t="n">
        <v>7</v>
      </c>
      <c r="J2447" s="18" t="n"/>
      <c r="K2447" s="18" t="n">
        <v>7</v>
      </c>
      <c r="L2447" s="18" t="inlineStr">
        <is>
          <t>cobbleventure:generation_7</t>
        </is>
      </c>
      <c r="M2447" s="19" t="inlineStr">
        <is>
          <t>cobbleventure:generation_7</t>
        </is>
      </c>
      <c r="N2447" s="18" t="inlineStr"/>
      <c r="O2447" s="19" t="inlineStr"/>
      <c r="P2447" s="18" t="inlineStr">
        <is>
          <t>#cobblemon:is_jungle</t>
        </is>
      </c>
      <c r="Q2447" s="19" t="inlineStr"/>
      <c r="R2447" s="18">
        <f>IF(Q2447="",P2447,Q2447)</f>
        <v/>
      </c>
      <c r="S2447" s="18" t="inlineStr"/>
      <c r="T2447" s="18" t="inlineStr">
        <is>
          <t>ultra-rare</t>
        </is>
      </c>
      <c r="U2447" s="20" t="n">
        <v>0.4</v>
      </c>
      <c r="V2447" s="21" t="n">
        <v>1</v>
      </c>
      <c r="W2447" s="20">
        <f>IF(OR(U2447="",V2447=""),U2447,U2447*V2447)</f>
        <v/>
      </c>
      <c r="X2447" s="18" t="inlineStr">
        <is>
          <t>34-53</t>
        </is>
      </c>
      <c r="Y2447" s="19" t="inlineStr"/>
      <c r="Z2447" s="18">
        <f>IF(Y2447="",X2447,Y2447)</f>
        <v/>
      </c>
      <c r="AA2447" s="18" t="inlineStr">
        <is>
          <t>grounded</t>
        </is>
      </c>
      <c r="AB2447" s="18" t="inlineStr"/>
      <c r="AC2447" s="18" t="inlineStr">
        <is>
          <t>비=False</t>
        </is>
      </c>
      <c r="AD2447" s="18" t="inlineStr"/>
      <c r="AE2447" s="18" t="inlineStr">
        <is>
          <t>sky 8-15</t>
        </is>
      </c>
      <c r="AF2447" s="18" t="inlineStr"/>
      <c r="AG2447" s="18" t="inlineStr"/>
      <c r="AH2447" s="18" t="inlineStr"/>
      <c r="AI2447" s="18" t="inlineStr"/>
      <c r="AJ2447" s="18" t="inlineStr">
        <is>
          <t>COBBLEVERSE 수정</t>
        </is>
      </c>
      <c r="AK2447" s="18" t="inlineStr">
        <is>
          <t>사용</t>
        </is>
      </c>
      <c r="AL2447" s="18" t="inlineStr">
        <is>
          <t>COBBLEVERSE 1.7.42 / DP v31</t>
        </is>
      </c>
      <c r="AM2447" s="18" t="inlineStr">
        <is>
          <t>data/cobblemon/spawn_pool_world/0727_incineroar.json</t>
        </is>
      </c>
      <c r="AN2447" s="18" t="inlineStr">
        <is>
          <t>incineroar-1</t>
        </is>
      </c>
      <c r="AO2447" s="18" t="inlineStr">
        <is>
          <t>pokemon</t>
        </is>
      </c>
      <c r="AP2447" s="18" t="inlineStr">
        <is>
          <t>natural</t>
        </is>
      </c>
      <c r="AQ2447" s="18" t="inlineStr">
        <is>
          <t>{"biomes":["#cobblemon:is_jungle"],"isRaining":false,"maxSkyLight":15,"minSkyLight":8}</t>
        </is>
      </c>
      <c r="AR2447" s="18" t="inlineStr"/>
      <c r="AS2447" s="18" t="inlineStr"/>
      <c r="AT2447" s="19" t="inlineStr"/>
    </row>
    <row r="2448" ht="32" customHeight="1">
      <c r="A2448" s="18" t="inlineStr">
        <is>
          <t>0727_incineroar.json::incineroar-2::002</t>
        </is>
      </c>
      <c r="B2448" s="19" t="inlineStr">
        <is>
          <t>사용</t>
        </is>
      </c>
      <c r="C2448" s="18">
        <f>IF(OR(B2448&lt;&gt;AK2448,M2448&lt;&gt;L2448,O2448&lt;&gt;"",Q2448&lt;&gt;"",V2448&lt;&gt;1,Y2448&lt;&gt;"",AT2448&lt;&gt;""),"수정","원본")</f>
        <v/>
      </c>
      <c r="D2448" s="18" t="n">
        <v>727</v>
      </c>
      <c r="E2448" s="18" t="inlineStr">
        <is>
          <t>어흥염</t>
        </is>
      </c>
      <c r="F2448" s="18" t="inlineStr">
        <is>
          <t>incineroar</t>
        </is>
      </c>
      <c r="G2448" s="18" t="inlineStr">
        <is>
          <t>incineroar</t>
        </is>
      </c>
      <c r="H2448" s="18" t="inlineStr"/>
      <c r="I2448" s="18" t="n">
        <v>7</v>
      </c>
      <c r="J2448" s="18" t="n"/>
      <c r="K2448" s="18" t="n">
        <v>7</v>
      </c>
      <c r="L2448" s="18" t="inlineStr">
        <is>
          <t>cobbleventure:generation_7</t>
        </is>
      </c>
      <c r="M2448" s="19" t="inlineStr">
        <is>
          <t>cobbleventure:generation_7</t>
        </is>
      </c>
      <c r="N2448" s="18" t="inlineStr"/>
      <c r="O2448" s="19" t="inlineStr"/>
      <c r="P2448" s="18" t="inlineStr">
        <is>
          <t>minecraft:crimson_forest</t>
        </is>
      </c>
      <c r="Q2448" s="19" t="inlineStr"/>
      <c r="R2448" s="18">
        <f>IF(Q2448="",P2448,Q2448)</f>
        <v/>
      </c>
      <c r="S2448" s="18" t="inlineStr"/>
      <c r="T2448" s="18" t="inlineStr">
        <is>
          <t>ultra-rare</t>
        </is>
      </c>
      <c r="U2448" s="20" t="n">
        <v>0.7</v>
      </c>
      <c r="V2448" s="21" t="n">
        <v>1</v>
      </c>
      <c r="W2448" s="20">
        <f>IF(OR(U2448="",V2448=""),U2448,U2448*V2448)</f>
        <v/>
      </c>
      <c r="X2448" s="18" t="inlineStr">
        <is>
          <t>34-52</t>
        </is>
      </c>
      <c r="Y2448" s="19" t="inlineStr"/>
      <c r="Z2448" s="18">
        <f>IF(Y2448="",X2448,Y2448)</f>
        <v/>
      </c>
      <c r="AA2448" s="18" t="inlineStr">
        <is>
          <t>grounded</t>
        </is>
      </c>
      <c r="AB2448" s="18" t="inlineStr"/>
      <c r="AC2448" s="18" t="inlineStr"/>
      <c r="AD2448" s="18" t="inlineStr"/>
      <c r="AE2448" s="18" t="inlineStr"/>
      <c r="AF2448" s="18" t="inlineStr"/>
      <c r="AG2448" s="18" t="inlineStr"/>
      <c r="AH2448" s="18" t="inlineStr"/>
      <c r="AI2448" s="18" t="inlineStr"/>
      <c r="AJ2448" s="18" t="inlineStr">
        <is>
          <t>COBBLEVERSE 수정</t>
        </is>
      </c>
      <c r="AK2448" s="18" t="inlineStr">
        <is>
          <t>사용</t>
        </is>
      </c>
      <c r="AL2448" s="18" t="inlineStr">
        <is>
          <t>COBBLEVERSE 1.7.42 / DP v31</t>
        </is>
      </c>
      <c r="AM2448" s="18" t="inlineStr">
        <is>
          <t>data/cobblemon/spawn_pool_world/0727_incineroar.json</t>
        </is>
      </c>
      <c r="AN2448" s="18" t="inlineStr">
        <is>
          <t>incineroar-2</t>
        </is>
      </c>
      <c r="AO2448" s="18" t="inlineStr">
        <is>
          <t>pokemon</t>
        </is>
      </c>
      <c r="AP2448" s="18" t="inlineStr">
        <is>
          <t>natural</t>
        </is>
      </c>
      <c r="AQ2448" s="18" t="inlineStr">
        <is>
          <t>{"biomes":["minecraft:crimson_forest"]}</t>
        </is>
      </c>
      <c r="AR2448" s="18" t="inlineStr"/>
      <c r="AS2448" s="18" t="inlineStr"/>
      <c r="AT2448" s="19" t="inlineStr"/>
    </row>
    <row r="2449" ht="32" customHeight="1">
      <c r="A2449" s="18" t="inlineStr">
        <is>
          <t>0728_popplio.json::popplio-1::001</t>
        </is>
      </c>
      <c r="B2449" s="19" t="inlineStr">
        <is>
          <t>사용</t>
        </is>
      </c>
      <c r="C2449" s="18">
        <f>IF(OR(B2449&lt;&gt;AK2449,M2449&lt;&gt;L2449,O2449&lt;&gt;"",Q2449&lt;&gt;"",V2449&lt;&gt;1,Y2449&lt;&gt;"",AT2449&lt;&gt;""),"수정","원본")</f>
        <v/>
      </c>
      <c r="D2449" s="18" t="n">
        <v>728</v>
      </c>
      <c r="E2449" s="18" t="inlineStr">
        <is>
          <t>누리공</t>
        </is>
      </c>
      <c r="F2449" s="18" t="inlineStr">
        <is>
          <t>popplio</t>
        </is>
      </c>
      <c r="G2449" s="18" t="inlineStr">
        <is>
          <t>popplio</t>
        </is>
      </c>
      <c r="H2449" s="18" t="inlineStr"/>
      <c r="I2449" s="18" t="n">
        <v>7</v>
      </c>
      <c r="J2449" s="18" t="n"/>
      <c r="K2449" s="18" t="n">
        <v>7</v>
      </c>
      <c r="L2449" s="18" t="inlineStr">
        <is>
          <t>cobbleventure:generation_7</t>
        </is>
      </c>
      <c r="M2449" s="19" t="inlineStr">
        <is>
          <t>cobbleventure:generation_7</t>
        </is>
      </c>
      <c r="N2449" s="18" t="inlineStr"/>
      <c r="O2449" s="19" t="inlineStr"/>
      <c r="P2449" s="18" t="inlineStr">
        <is>
          <t>#cobblemon:is_coast</t>
        </is>
      </c>
      <c r="Q2449" s="19" t="inlineStr"/>
      <c r="R2449" s="18">
        <f>IF(Q2449="",P2449,Q2449)</f>
        <v/>
      </c>
      <c r="S2449" s="18" t="inlineStr"/>
      <c r="T2449" s="18" t="inlineStr">
        <is>
          <t>ultra-rare</t>
        </is>
      </c>
      <c r="U2449" s="20" t="n">
        <v>6</v>
      </c>
      <c r="V2449" s="21" t="n">
        <v>1</v>
      </c>
      <c r="W2449" s="20">
        <f>IF(OR(U2449="",V2449=""),U2449,U2449*V2449)</f>
        <v/>
      </c>
      <c r="X2449" s="18" t="inlineStr">
        <is>
          <t>5-32</t>
        </is>
      </c>
      <c r="Y2449" s="19" t="inlineStr"/>
      <c r="Z2449" s="18">
        <f>IF(Y2449="",X2449,Y2449)</f>
        <v/>
      </c>
      <c r="AA2449" s="18" t="inlineStr">
        <is>
          <t>grounded</t>
        </is>
      </c>
      <c r="AB2449" s="18" t="inlineStr"/>
      <c r="AC2449" s="18" t="inlineStr"/>
      <c r="AD2449" s="18" t="inlineStr"/>
      <c r="AE2449" s="18" t="inlineStr">
        <is>
          <t>sky 8-15</t>
        </is>
      </c>
      <c r="AF2449" s="18" t="inlineStr"/>
      <c r="AG2449" s="18" t="inlineStr"/>
      <c r="AH2449" s="18" t="inlineStr"/>
      <c r="AI2449" s="18" t="inlineStr"/>
      <c r="AJ2449" s="18" t="inlineStr">
        <is>
          <t>Cobblemon 동일</t>
        </is>
      </c>
      <c r="AK2449" s="18" t="inlineStr">
        <is>
          <t>사용</t>
        </is>
      </c>
      <c r="AL2449" s="18" t="inlineStr">
        <is>
          <t>COBBLEVERSE 1.7.42 / DP v31</t>
        </is>
      </c>
      <c r="AM2449" s="18" t="inlineStr">
        <is>
          <t>data/cobblemon/spawn_pool_world/0728_popplio.json</t>
        </is>
      </c>
      <c r="AN2449" s="18" t="inlineStr">
        <is>
          <t>popplio-1</t>
        </is>
      </c>
      <c r="AO2449" s="18" t="inlineStr">
        <is>
          <t>pokemon</t>
        </is>
      </c>
      <c r="AP2449" s="18" t="inlineStr">
        <is>
          <t>natural</t>
        </is>
      </c>
      <c r="AQ2449" s="18" t="inlineStr">
        <is>
          <t>{"biomes":["#cobblemon:is_coast"],"maxSkyLight":15,"minSkyLight":8}</t>
        </is>
      </c>
      <c r="AR2449" s="18" t="inlineStr"/>
      <c r="AS2449" s="18" t="inlineStr"/>
      <c r="AT2449" s="19" t="inlineStr"/>
    </row>
    <row r="2450" ht="32" customHeight="1">
      <c r="A2450" s="18" t="inlineStr">
        <is>
          <t>0728_popplio.json::popplio-2::002</t>
        </is>
      </c>
      <c r="B2450" s="19" t="inlineStr">
        <is>
          <t>사용</t>
        </is>
      </c>
      <c r="C2450" s="18">
        <f>IF(OR(B2450&lt;&gt;AK2450,M2450&lt;&gt;L2450,O2450&lt;&gt;"",Q2450&lt;&gt;"",V2450&lt;&gt;1,Y2450&lt;&gt;"",AT2450&lt;&gt;""),"수정","원본")</f>
        <v/>
      </c>
      <c r="D2450" s="18" t="n">
        <v>728</v>
      </c>
      <c r="E2450" s="18" t="inlineStr">
        <is>
          <t>누리공</t>
        </is>
      </c>
      <c r="F2450" s="18" t="inlineStr">
        <is>
          <t>popplio</t>
        </is>
      </c>
      <c r="G2450" s="18" t="inlineStr">
        <is>
          <t>popplio</t>
        </is>
      </c>
      <c r="H2450" s="18" t="inlineStr"/>
      <c r="I2450" s="18" t="n">
        <v>7</v>
      </c>
      <c r="J2450" s="18" t="n"/>
      <c r="K2450" s="18" t="n">
        <v>7</v>
      </c>
      <c r="L2450" s="18" t="inlineStr">
        <is>
          <t>cobbleventure:generation_7</t>
        </is>
      </c>
      <c r="M2450" s="19" t="inlineStr">
        <is>
          <t>cobbleventure:generation_7</t>
        </is>
      </c>
      <c r="N2450" s="18" t="inlineStr"/>
      <c r="O2450" s="19" t="inlineStr"/>
      <c r="P2450" s="18" t="inlineStr">
        <is>
          <t>#cobblemon:is_coast</t>
        </is>
      </c>
      <c r="Q2450" s="19" t="inlineStr"/>
      <c r="R2450" s="18">
        <f>IF(Q2450="",P2450,Q2450)</f>
        <v/>
      </c>
      <c r="S2450" s="18" t="inlineStr"/>
      <c r="T2450" s="18" t="inlineStr">
        <is>
          <t>ultra-rare</t>
        </is>
      </c>
      <c r="U2450" s="20" t="n">
        <v>6</v>
      </c>
      <c r="V2450" s="21" t="n">
        <v>1</v>
      </c>
      <c r="W2450" s="20">
        <f>IF(OR(U2450="",V2450=""),U2450,U2450*V2450)</f>
        <v/>
      </c>
      <c r="X2450" s="18" t="inlineStr">
        <is>
          <t>5-32</t>
        </is>
      </c>
      <c r="Y2450" s="19" t="inlineStr"/>
      <c r="Z2450" s="18">
        <f>IF(Y2450="",X2450,Y2450)</f>
        <v/>
      </c>
      <c r="AA2450" s="18" t="inlineStr">
        <is>
          <t>submerged</t>
        </is>
      </c>
      <c r="AB2450" s="18" t="inlineStr"/>
      <c r="AC2450" s="18" t="inlineStr"/>
      <c r="AD2450" s="18" t="inlineStr"/>
      <c r="AE2450" s="18" t="inlineStr"/>
      <c r="AF2450" s="18" t="inlineStr">
        <is>
          <t>True</t>
        </is>
      </c>
      <c r="AG2450" s="18" t="inlineStr"/>
      <c r="AH2450" s="18" t="inlineStr"/>
      <c r="AI2450" s="18" t="inlineStr"/>
      <c r="AJ2450" s="18" t="inlineStr">
        <is>
          <t>Cobblemon 동일</t>
        </is>
      </c>
      <c r="AK2450" s="18" t="inlineStr">
        <is>
          <t>사용</t>
        </is>
      </c>
      <c r="AL2450" s="18" t="inlineStr">
        <is>
          <t>COBBLEVERSE 1.7.42 / DP v31</t>
        </is>
      </c>
      <c r="AM2450" s="18" t="inlineStr">
        <is>
          <t>data/cobblemon/spawn_pool_world/0728_popplio.json</t>
        </is>
      </c>
      <c r="AN2450" s="18" t="inlineStr">
        <is>
          <t>popplio-2</t>
        </is>
      </c>
      <c r="AO2450" s="18" t="inlineStr">
        <is>
          <t>pokemon</t>
        </is>
      </c>
      <c r="AP2450" s="18" t="inlineStr">
        <is>
          <t>water</t>
        </is>
      </c>
      <c r="AQ2450" s="18" t="inlineStr">
        <is>
          <t>{"biomes":["#cobblemon:is_coast"],"canSeeSky":true}</t>
        </is>
      </c>
      <c r="AR2450" s="18" t="inlineStr"/>
      <c r="AS2450" s="18" t="inlineStr"/>
      <c r="AT2450" s="19" t="inlineStr"/>
    </row>
    <row r="2451" ht="32" customHeight="1">
      <c r="A2451" s="18" t="inlineStr">
        <is>
          <t>0728_popplio.json::popplio-3::003</t>
        </is>
      </c>
      <c r="B2451" s="19" t="inlineStr">
        <is>
          <t>사용</t>
        </is>
      </c>
      <c r="C2451" s="18">
        <f>IF(OR(B2451&lt;&gt;AK2451,M2451&lt;&gt;L2451,O2451&lt;&gt;"",Q2451&lt;&gt;"",V2451&lt;&gt;1,Y2451&lt;&gt;"",AT2451&lt;&gt;""),"수정","원본")</f>
        <v/>
      </c>
      <c r="D2451" s="18" t="n">
        <v>728</v>
      </c>
      <c r="E2451" s="18" t="inlineStr">
        <is>
          <t>누리공</t>
        </is>
      </c>
      <c r="F2451" s="18" t="inlineStr">
        <is>
          <t>popplio</t>
        </is>
      </c>
      <c r="G2451" s="18" t="inlineStr">
        <is>
          <t>popplio</t>
        </is>
      </c>
      <c r="H2451" s="18" t="inlineStr"/>
      <c r="I2451" s="18" t="n">
        <v>7</v>
      </c>
      <c r="J2451" s="18" t="n"/>
      <c r="K2451" s="18" t="n">
        <v>7</v>
      </c>
      <c r="L2451" s="18" t="inlineStr">
        <is>
          <t>cobbleventure:generation_7</t>
        </is>
      </c>
      <c r="M2451" s="19" t="inlineStr">
        <is>
          <t>cobbleventure:generation_7</t>
        </is>
      </c>
      <c r="N2451" s="18" t="inlineStr"/>
      <c r="O2451" s="19" t="inlineStr"/>
      <c r="P2451" s="18" t="inlineStr">
        <is>
          <t>#cobblemon:is_coast; #cobblemon:is_ocean; #cobblemon:is_tropical_island</t>
        </is>
      </c>
      <c r="Q2451" s="19" t="inlineStr"/>
      <c r="R2451" s="18">
        <f>IF(Q2451="",P2451,Q2451)</f>
        <v/>
      </c>
      <c r="S2451" s="18" t="inlineStr">
        <is>
          <t>#cobblemon:is_freezing</t>
        </is>
      </c>
      <c r="T2451" s="18" t="inlineStr">
        <is>
          <t>ultra-rare</t>
        </is>
      </c>
      <c r="U2451" s="20" t="n">
        <v>6</v>
      </c>
      <c r="V2451" s="21" t="n">
        <v>1</v>
      </c>
      <c r="W2451" s="20">
        <f>IF(OR(U2451="",V2451=""),U2451,U2451*V2451)</f>
        <v/>
      </c>
      <c r="X2451" s="18" t="inlineStr">
        <is>
          <t>5-32</t>
        </is>
      </c>
      <c r="Y2451" s="19" t="inlineStr"/>
      <c r="Z2451" s="18">
        <f>IF(Y2451="",X2451,Y2451)</f>
        <v/>
      </c>
      <c r="AA2451" s="18" t="inlineStr">
        <is>
          <t>fishing</t>
        </is>
      </c>
      <c r="AB2451" s="18" t="inlineStr"/>
      <c r="AC2451" s="18" t="inlineStr"/>
      <c r="AD2451" s="18" t="inlineStr"/>
      <c r="AE2451" s="18" t="inlineStr"/>
      <c r="AF2451" s="18" t="inlineStr">
        <is>
          <t>True</t>
        </is>
      </c>
      <c r="AG2451" s="18" t="inlineStr"/>
      <c r="AH2451" s="18" t="inlineStr"/>
      <c r="AI2451" s="18" t="inlineStr"/>
      <c r="AJ2451" s="18" t="inlineStr">
        <is>
          <t>Cobblemon 동일</t>
        </is>
      </c>
      <c r="AK2451" s="18" t="inlineStr">
        <is>
          <t>사용</t>
        </is>
      </c>
      <c r="AL2451" s="18" t="inlineStr">
        <is>
          <t>COBBLEVERSE 1.7.42 / DP v31</t>
        </is>
      </c>
      <c r="AM2451" s="18" t="inlineStr">
        <is>
          <t>data/cobblemon/spawn_pool_world/0728_popplio.json</t>
        </is>
      </c>
      <c r="AN2451" s="18" t="inlineStr">
        <is>
          <t>popplio-3</t>
        </is>
      </c>
      <c r="AO2451" s="18" t="inlineStr">
        <is>
          <t>pokemon</t>
        </is>
      </c>
      <c r="AP2451" s="18" t="inlineStr"/>
      <c r="AQ2451" s="18" t="inlineStr">
        <is>
          <t>{"biomes":["#cobblemon:is_coast","#cobblemon:is_ocean","#cobblemon:is_tropical_island"],"canSeeSky":true}</t>
        </is>
      </c>
      <c r="AR2451" s="18" t="inlineStr">
        <is>
          <t>{"biomes":["#cobblemon:is_freezing"]}</t>
        </is>
      </c>
      <c r="AS2451" s="18" t="inlineStr"/>
      <c r="AT2451" s="19" t="inlineStr"/>
    </row>
    <row r="2452" ht="32" customHeight="1">
      <c r="A2452" s="18" t="inlineStr">
        <is>
          <t>0728_popplio.json::popplio-4::004</t>
        </is>
      </c>
      <c r="B2452" s="19" t="inlineStr">
        <is>
          <t>사용</t>
        </is>
      </c>
      <c r="C2452" s="18">
        <f>IF(OR(B2452&lt;&gt;AK2452,M2452&lt;&gt;L2452,O2452&lt;&gt;"",Q2452&lt;&gt;"",V2452&lt;&gt;1,Y2452&lt;&gt;"",AT2452&lt;&gt;""),"수정","원본")</f>
        <v/>
      </c>
      <c r="D2452" s="18" t="n">
        <v>728</v>
      </c>
      <c r="E2452" s="18" t="inlineStr">
        <is>
          <t>누리공</t>
        </is>
      </c>
      <c r="F2452" s="18" t="inlineStr">
        <is>
          <t>popplio</t>
        </is>
      </c>
      <c r="G2452" s="18" t="inlineStr">
        <is>
          <t>popplio</t>
        </is>
      </c>
      <c r="H2452" s="18" t="inlineStr"/>
      <c r="I2452" s="18" t="n">
        <v>7</v>
      </c>
      <c r="J2452" s="18" t="n"/>
      <c r="K2452" s="18" t="n">
        <v>7</v>
      </c>
      <c r="L2452" s="18" t="inlineStr">
        <is>
          <t>cobbleventure:generation_7</t>
        </is>
      </c>
      <c r="M2452" s="19" t="inlineStr">
        <is>
          <t>cobbleventure:generation_7</t>
        </is>
      </c>
      <c r="N2452" s="18" t="inlineStr"/>
      <c r="O2452" s="19" t="inlineStr"/>
      <c r="P2452" s="18" t="inlineStr">
        <is>
          <t>#cobblemon:is_coast</t>
        </is>
      </c>
      <c r="Q2452" s="19" t="inlineStr"/>
      <c r="R2452" s="18">
        <f>IF(Q2452="",P2452,Q2452)</f>
        <v/>
      </c>
      <c r="S2452" s="18" t="inlineStr"/>
      <c r="T2452" s="18" t="inlineStr">
        <is>
          <t>ultra-rare</t>
        </is>
      </c>
      <c r="U2452" s="20" t="n">
        <v>6</v>
      </c>
      <c r="V2452" s="21" t="n">
        <v>1</v>
      </c>
      <c r="W2452" s="20">
        <f>IF(OR(U2452="",V2452=""),U2452,U2452*V2452)</f>
        <v/>
      </c>
      <c r="X2452" s="18" t="inlineStr">
        <is>
          <t>5-32</t>
        </is>
      </c>
      <c r="Y2452" s="19" t="inlineStr"/>
      <c r="Z2452" s="18">
        <f>IF(Y2452="",X2452,Y2452)</f>
        <v/>
      </c>
      <c r="AA2452" s="18" t="inlineStr">
        <is>
          <t>submerged</t>
        </is>
      </c>
      <c r="AB2452" s="18" t="inlineStr"/>
      <c r="AC2452" s="18" t="inlineStr"/>
      <c r="AD2452" s="18" t="inlineStr"/>
      <c r="AE2452" s="18" t="inlineStr">
        <is>
          <t>sky 8-15</t>
        </is>
      </c>
      <c r="AF2452" s="18" t="inlineStr">
        <is>
          <t>False</t>
        </is>
      </c>
      <c r="AG2452" s="18" t="inlineStr"/>
      <c r="AH2452" s="18" t="inlineStr"/>
      <c r="AI2452" s="18" t="inlineStr"/>
      <c r="AJ2452" s="18" t="inlineStr">
        <is>
          <t>Cobblemon 동일</t>
        </is>
      </c>
      <c r="AK2452" s="18" t="inlineStr">
        <is>
          <t>사용</t>
        </is>
      </c>
      <c r="AL2452" s="18" t="inlineStr">
        <is>
          <t>COBBLEVERSE 1.7.42 / DP v31</t>
        </is>
      </c>
      <c r="AM2452" s="18" t="inlineStr">
        <is>
          <t>data/cobblemon/spawn_pool_world/0728_popplio.json</t>
        </is>
      </c>
      <c r="AN2452" s="18" t="inlineStr">
        <is>
          <t>popplio-4</t>
        </is>
      </c>
      <c r="AO2452" s="18" t="inlineStr">
        <is>
          <t>pokemon</t>
        </is>
      </c>
      <c r="AP2452" s="18" t="inlineStr">
        <is>
          <t>water</t>
        </is>
      </c>
      <c r="AQ2452" s="18" t="inlineStr">
        <is>
          <t>{"biomes":["#cobblemon:is_coast"],"canSeeSky":false,"maxSkyLight":15,"minSkyLight":8}</t>
        </is>
      </c>
      <c r="AR2452" s="18" t="inlineStr"/>
      <c r="AS2452" s="18" t="inlineStr"/>
      <c r="AT2452" s="19" t="inlineStr"/>
    </row>
    <row r="2453" ht="32" customHeight="1">
      <c r="A2453" s="18" t="inlineStr">
        <is>
          <t>0728_popplio.json::popplio-5::005</t>
        </is>
      </c>
      <c r="B2453" s="19" t="inlineStr">
        <is>
          <t>사용</t>
        </is>
      </c>
      <c r="C2453" s="18">
        <f>IF(OR(B2453&lt;&gt;AK2453,M2453&lt;&gt;L2453,O2453&lt;&gt;"",Q2453&lt;&gt;"",V2453&lt;&gt;1,Y2453&lt;&gt;"",AT2453&lt;&gt;""),"수정","원본")</f>
        <v/>
      </c>
      <c r="D2453" s="18" t="n">
        <v>728</v>
      </c>
      <c r="E2453" s="18" t="inlineStr">
        <is>
          <t>누리공</t>
        </is>
      </c>
      <c r="F2453" s="18" t="inlineStr">
        <is>
          <t>popplio</t>
        </is>
      </c>
      <c r="G2453" s="18" t="inlineStr">
        <is>
          <t>popplio</t>
        </is>
      </c>
      <c r="H2453" s="18" t="inlineStr"/>
      <c r="I2453" s="18" t="n">
        <v>7</v>
      </c>
      <c r="J2453" s="18" t="n"/>
      <c r="K2453" s="18" t="n">
        <v>7</v>
      </c>
      <c r="L2453" s="18" t="inlineStr">
        <is>
          <t>cobbleventure:generation_7</t>
        </is>
      </c>
      <c r="M2453" s="19" t="inlineStr">
        <is>
          <t>cobbleventure:generation_7</t>
        </is>
      </c>
      <c r="N2453" s="18" t="inlineStr"/>
      <c r="O2453" s="19" t="inlineStr"/>
      <c r="P2453" s="18" t="inlineStr">
        <is>
          <t>#cobblemon:is_coast; #cobblemon:is_ocean; #cobblemon:is_tropical_island</t>
        </is>
      </c>
      <c r="Q2453" s="19" t="inlineStr"/>
      <c r="R2453" s="18">
        <f>IF(Q2453="",P2453,Q2453)</f>
        <v/>
      </c>
      <c r="S2453" s="18" t="inlineStr">
        <is>
          <t>#cobblemon:is_freezing</t>
        </is>
      </c>
      <c r="T2453" s="18" t="inlineStr">
        <is>
          <t>ultra-rare</t>
        </is>
      </c>
      <c r="U2453" s="20" t="n">
        <v>6</v>
      </c>
      <c r="V2453" s="21" t="n">
        <v>1</v>
      </c>
      <c r="W2453" s="20">
        <f>IF(OR(U2453="",V2453=""),U2453,U2453*V2453)</f>
        <v/>
      </c>
      <c r="X2453" s="18" t="inlineStr">
        <is>
          <t>5-32</t>
        </is>
      </c>
      <c r="Y2453" s="19" t="inlineStr"/>
      <c r="Z2453" s="18">
        <f>IF(Y2453="",X2453,Y2453)</f>
        <v/>
      </c>
      <c r="AA2453" s="18" t="inlineStr">
        <is>
          <t>fishing</t>
        </is>
      </c>
      <c r="AB2453" s="18" t="inlineStr"/>
      <c r="AC2453" s="18" t="inlineStr"/>
      <c r="AD2453" s="18" t="inlineStr"/>
      <c r="AE2453" s="18" t="inlineStr">
        <is>
          <t>sky 8-15</t>
        </is>
      </c>
      <c r="AF2453" s="18" t="inlineStr">
        <is>
          <t>False</t>
        </is>
      </c>
      <c r="AG2453" s="18" t="inlineStr"/>
      <c r="AH2453" s="18" t="inlineStr"/>
      <c r="AI2453" s="18" t="inlineStr"/>
      <c r="AJ2453" s="18" t="inlineStr">
        <is>
          <t>Cobblemon 동일</t>
        </is>
      </c>
      <c r="AK2453" s="18" t="inlineStr">
        <is>
          <t>사용</t>
        </is>
      </c>
      <c r="AL2453" s="18" t="inlineStr">
        <is>
          <t>COBBLEVERSE 1.7.42 / DP v31</t>
        </is>
      </c>
      <c r="AM2453" s="18" t="inlineStr">
        <is>
          <t>data/cobblemon/spawn_pool_world/0728_popplio.json</t>
        </is>
      </c>
      <c r="AN2453" s="18" t="inlineStr">
        <is>
          <t>popplio-5</t>
        </is>
      </c>
      <c r="AO2453" s="18" t="inlineStr">
        <is>
          <t>pokemon</t>
        </is>
      </c>
      <c r="AP2453" s="18" t="inlineStr"/>
      <c r="AQ2453" s="18" t="inlineStr">
        <is>
          <t>{"biomes":["#cobblemon:is_coast","#cobblemon:is_ocean","#cobblemon:is_tropical_island"],"canSeeSky":false,"maxSkyLight":15,"minSkyLight":8}</t>
        </is>
      </c>
      <c r="AR2453" s="18" t="inlineStr">
        <is>
          <t>{"biomes":["#cobblemon:is_freezing"]}</t>
        </is>
      </c>
      <c r="AS2453" s="18" t="inlineStr"/>
      <c r="AT2453" s="19" t="inlineStr"/>
    </row>
    <row r="2454" ht="32" customHeight="1">
      <c r="A2454" s="18" t="inlineStr">
        <is>
          <t>0729_brionne.json::brionne-1::001</t>
        </is>
      </c>
      <c r="B2454" s="19" t="inlineStr">
        <is>
          <t>사용</t>
        </is>
      </c>
      <c r="C2454" s="18">
        <f>IF(OR(B2454&lt;&gt;AK2454,M2454&lt;&gt;L2454,O2454&lt;&gt;"",Q2454&lt;&gt;"",V2454&lt;&gt;1,Y2454&lt;&gt;"",AT2454&lt;&gt;""),"수정","원본")</f>
        <v/>
      </c>
      <c r="D2454" s="18" t="n">
        <v>729</v>
      </c>
      <c r="E2454" s="18" t="inlineStr">
        <is>
          <t>키요공</t>
        </is>
      </c>
      <c r="F2454" s="18" t="inlineStr">
        <is>
          <t>brionne</t>
        </is>
      </c>
      <c r="G2454" s="18" t="inlineStr">
        <is>
          <t>brionne</t>
        </is>
      </c>
      <c r="H2454" s="18" t="inlineStr"/>
      <c r="I2454" s="18" t="n">
        <v>7</v>
      </c>
      <c r="J2454" s="18" t="n"/>
      <c r="K2454" s="18" t="n">
        <v>7</v>
      </c>
      <c r="L2454" s="18" t="inlineStr">
        <is>
          <t>cobbleventure:generation_7</t>
        </is>
      </c>
      <c r="M2454" s="19" t="inlineStr">
        <is>
          <t>cobbleventure:generation_7</t>
        </is>
      </c>
      <c r="N2454" s="18" t="inlineStr"/>
      <c r="O2454" s="19" t="inlineStr"/>
      <c r="P2454" s="18" t="inlineStr">
        <is>
          <t>#cobblemon:is_coast</t>
        </is>
      </c>
      <c r="Q2454" s="19" t="inlineStr"/>
      <c r="R2454" s="18">
        <f>IF(Q2454="",P2454,Q2454)</f>
        <v/>
      </c>
      <c r="S2454" s="18" t="inlineStr"/>
      <c r="T2454" s="18" t="inlineStr">
        <is>
          <t>ultra-rare</t>
        </is>
      </c>
      <c r="U2454" s="20" t="n">
        <v>3.6</v>
      </c>
      <c r="V2454" s="21" t="n">
        <v>1</v>
      </c>
      <c r="W2454" s="20">
        <f>IF(OR(U2454="",V2454=""),U2454,U2454*V2454)</f>
        <v/>
      </c>
      <c r="X2454" s="18" t="inlineStr">
        <is>
          <t>17-42</t>
        </is>
      </c>
      <c r="Y2454" s="19" t="inlineStr"/>
      <c r="Z2454" s="18">
        <f>IF(Y2454="",X2454,Y2454)</f>
        <v/>
      </c>
      <c r="AA2454" s="18" t="inlineStr">
        <is>
          <t>grounded</t>
        </is>
      </c>
      <c r="AB2454" s="18" t="inlineStr"/>
      <c r="AC2454" s="18" t="inlineStr"/>
      <c r="AD2454" s="18" t="inlineStr"/>
      <c r="AE2454" s="18" t="inlineStr">
        <is>
          <t>sky 8-15</t>
        </is>
      </c>
      <c r="AF2454" s="18" t="inlineStr"/>
      <c r="AG2454" s="18" t="inlineStr"/>
      <c r="AH2454" s="18" t="inlineStr"/>
      <c r="AI2454" s="18" t="inlineStr"/>
      <c r="AJ2454" s="18" t="inlineStr">
        <is>
          <t>Cobblemon 동일</t>
        </is>
      </c>
      <c r="AK2454" s="18" t="inlineStr">
        <is>
          <t>사용</t>
        </is>
      </c>
      <c r="AL2454" s="18" t="inlineStr">
        <is>
          <t>COBBLEVERSE 1.7.42 / DP v31</t>
        </is>
      </c>
      <c r="AM2454" s="18" t="inlineStr">
        <is>
          <t>data/cobblemon/spawn_pool_world/0729_brionne.json</t>
        </is>
      </c>
      <c r="AN2454" s="18" t="inlineStr">
        <is>
          <t>brionne-1</t>
        </is>
      </c>
      <c r="AO2454" s="18" t="inlineStr">
        <is>
          <t>pokemon</t>
        </is>
      </c>
      <c r="AP2454" s="18" t="inlineStr">
        <is>
          <t>natural</t>
        </is>
      </c>
      <c r="AQ2454" s="18" t="inlineStr">
        <is>
          <t>{"biomes":["#cobblemon:is_coast"],"maxSkyLight":15,"minSkyLight":8}</t>
        </is>
      </c>
      <c r="AR2454" s="18" t="inlineStr"/>
      <c r="AS2454" s="18" t="inlineStr"/>
      <c r="AT2454" s="19" t="inlineStr"/>
    </row>
    <row r="2455" ht="32" customHeight="1">
      <c r="A2455" s="18" t="inlineStr">
        <is>
          <t>0729_brionne.json::brionne-2::002</t>
        </is>
      </c>
      <c r="B2455" s="19" t="inlineStr">
        <is>
          <t>사용</t>
        </is>
      </c>
      <c r="C2455" s="18">
        <f>IF(OR(B2455&lt;&gt;AK2455,M2455&lt;&gt;L2455,O2455&lt;&gt;"",Q2455&lt;&gt;"",V2455&lt;&gt;1,Y2455&lt;&gt;"",AT2455&lt;&gt;""),"수정","원본")</f>
        <v/>
      </c>
      <c r="D2455" s="18" t="n">
        <v>729</v>
      </c>
      <c r="E2455" s="18" t="inlineStr">
        <is>
          <t>키요공</t>
        </is>
      </c>
      <c r="F2455" s="18" t="inlineStr">
        <is>
          <t>brionne</t>
        </is>
      </c>
      <c r="G2455" s="18" t="inlineStr">
        <is>
          <t>brionne</t>
        </is>
      </c>
      <c r="H2455" s="18" t="inlineStr"/>
      <c r="I2455" s="18" t="n">
        <v>7</v>
      </c>
      <c r="J2455" s="18" t="n"/>
      <c r="K2455" s="18" t="n">
        <v>7</v>
      </c>
      <c r="L2455" s="18" t="inlineStr">
        <is>
          <t>cobbleventure:generation_7</t>
        </is>
      </c>
      <c r="M2455" s="19" t="inlineStr">
        <is>
          <t>cobbleventure:generation_7</t>
        </is>
      </c>
      <c r="N2455" s="18" t="inlineStr"/>
      <c r="O2455" s="19" t="inlineStr"/>
      <c r="P2455" s="18" t="inlineStr">
        <is>
          <t>#cobblemon:is_coast</t>
        </is>
      </c>
      <c r="Q2455" s="19" t="inlineStr"/>
      <c r="R2455" s="18">
        <f>IF(Q2455="",P2455,Q2455)</f>
        <v/>
      </c>
      <c r="S2455" s="18" t="inlineStr"/>
      <c r="T2455" s="18" t="inlineStr">
        <is>
          <t>ultra-rare</t>
        </is>
      </c>
      <c r="U2455" s="20" t="n">
        <v>3.6</v>
      </c>
      <c r="V2455" s="21" t="n">
        <v>1</v>
      </c>
      <c r="W2455" s="20">
        <f>IF(OR(U2455="",V2455=""),U2455,U2455*V2455)</f>
        <v/>
      </c>
      <c r="X2455" s="18" t="inlineStr">
        <is>
          <t>17-42</t>
        </is>
      </c>
      <c r="Y2455" s="19" t="inlineStr"/>
      <c r="Z2455" s="18">
        <f>IF(Y2455="",X2455,Y2455)</f>
        <v/>
      </c>
      <c r="AA2455" s="18" t="inlineStr">
        <is>
          <t>submerged</t>
        </is>
      </c>
      <c r="AB2455" s="18" t="inlineStr"/>
      <c r="AC2455" s="18" t="inlineStr"/>
      <c r="AD2455" s="18" t="inlineStr"/>
      <c r="AE2455" s="18" t="inlineStr"/>
      <c r="AF2455" s="18" t="inlineStr">
        <is>
          <t>True</t>
        </is>
      </c>
      <c r="AG2455" s="18" t="inlineStr"/>
      <c r="AH2455" s="18" t="inlineStr"/>
      <c r="AI2455" s="18" t="inlineStr"/>
      <c r="AJ2455" s="18" t="inlineStr">
        <is>
          <t>Cobblemon 동일</t>
        </is>
      </c>
      <c r="AK2455" s="18" t="inlineStr">
        <is>
          <t>사용</t>
        </is>
      </c>
      <c r="AL2455" s="18" t="inlineStr">
        <is>
          <t>COBBLEVERSE 1.7.42 / DP v31</t>
        </is>
      </c>
      <c r="AM2455" s="18" t="inlineStr">
        <is>
          <t>data/cobblemon/spawn_pool_world/0729_brionne.json</t>
        </is>
      </c>
      <c r="AN2455" s="18" t="inlineStr">
        <is>
          <t>brionne-2</t>
        </is>
      </c>
      <c r="AO2455" s="18" t="inlineStr">
        <is>
          <t>pokemon</t>
        </is>
      </c>
      <c r="AP2455" s="18" t="inlineStr">
        <is>
          <t>water</t>
        </is>
      </c>
      <c r="AQ2455" s="18" t="inlineStr">
        <is>
          <t>{"biomes":["#cobblemon:is_coast"],"canSeeSky":true}</t>
        </is>
      </c>
      <c r="AR2455" s="18" t="inlineStr"/>
      <c r="AS2455" s="18" t="inlineStr"/>
      <c r="AT2455" s="19" t="inlineStr"/>
    </row>
    <row r="2456" ht="32" customHeight="1">
      <c r="A2456" s="18" t="inlineStr">
        <is>
          <t>0729_brionne.json::brionne-3::003</t>
        </is>
      </c>
      <c r="B2456" s="19" t="inlineStr">
        <is>
          <t>사용</t>
        </is>
      </c>
      <c r="C2456" s="18">
        <f>IF(OR(B2456&lt;&gt;AK2456,M2456&lt;&gt;L2456,O2456&lt;&gt;"",Q2456&lt;&gt;"",V2456&lt;&gt;1,Y2456&lt;&gt;"",AT2456&lt;&gt;""),"수정","원본")</f>
        <v/>
      </c>
      <c r="D2456" s="18" t="n">
        <v>729</v>
      </c>
      <c r="E2456" s="18" t="inlineStr">
        <is>
          <t>키요공</t>
        </is>
      </c>
      <c r="F2456" s="18" t="inlineStr">
        <is>
          <t>brionne</t>
        </is>
      </c>
      <c r="G2456" s="18" t="inlineStr">
        <is>
          <t>brionne</t>
        </is>
      </c>
      <c r="H2456" s="18" t="inlineStr"/>
      <c r="I2456" s="18" t="n">
        <v>7</v>
      </c>
      <c r="J2456" s="18" t="n"/>
      <c r="K2456" s="18" t="n">
        <v>7</v>
      </c>
      <c r="L2456" s="18" t="inlineStr">
        <is>
          <t>cobbleventure:generation_7</t>
        </is>
      </c>
      <c r="M2456" s="19" t="inlineStr">
        <is>
          <t>cobbleventure:generation_7</t>
        </is>
      </c>
      <c r="N2456" s="18" t="inlineStr"/>
      <c r="O2456" s="19" t="inlineStr"/>
      <c r="P2456" s="18" t="inlineStr">
        <is>
          <t>#cobblemon:is_coast; #cobblemon:is_ocean; #cobblemon:is_tropical_island</t>
        </is>
      </c>
      <c r="Q2456" s="19" t="inlineStr"/>
      <c r="R2456" s="18">
        <f>IF(Q2456="",P2456,Q2456)</f>
        <v/>
      </c>
      <c r="S2456" s="18" t="inlineStr">
        <is>
          <t>#cobblemon:is_freezing</t>
        </is>
      </c>
      <c r="T2456" s="18" t="inlineStr">
        <is>
          <t>ultra-rare</t>
        </is>
      </c>
      <c r="U2456" s="20" t="n">
        <v>3.6</v>
      </c>
      <c r="V2456" s="21" t="n">
        <v>1</v>
      </c>
      <c r="W2456" s="20">
        <f>IF(OR(U2456="",V2456=""),U2456,U2456*V2456)</f>
        <v/>
      </c>
      <c r="X2456" s="18" t="inlineStr">
        <is>
          <t>17-42</t>
        </is>
      </c>
      <c r="Y2456" s="19" t="inlineStr"/>
      <c r="Z2456" s="18">
        <f>IF(Y2456="",X2456,Y2456)</f>
        <v/>
      </c>
      <c r="AA2456" s="18" t="inlineStr">
        <is>
          <t>fishing</t>
        </is>
      </c>
      <c r="AB2456" s="18" t="inlineStr"/>
      <c r="AC2456" s="18" t="inlineStr"/>
      <c r="AD2456" s="18" t="inlineStr"/>
      <c r="AE2456" s="18" t="inlineStr"/>
      <c r="AF2456" s="18" t="inlineStr">
        <is>
          <t>True</t>
        </is>
      </c>
      <c r="AG2456" s="18" t="inlineStr"/>
      <c r="AH2456" s="18" t="inlineStr"/>
      <c r="AI2456" s="18" t="inlineStr"/>
      <c r="AJ2456" s="18" t="inlineStr">
        <is>
          <t>Cobblemon 동일</t>
        </is>
      </c>
      <c r="AK2456" s="18" t="inlineStr">
        <is>
          <t>사용</t>
        </is>
      </c>
      <c r="AL2456" s="18" t="inlineStr">
        <is>
          <t>COBBLEVERSE 1.7.42 / DP v31</t>
        </is>
      </c>
      <c r="AM2456" s="18" t="inlineStr">
        <is>
          <t>data/cobblemon/spawn_pool_world/0729_brionne.json</t>
        </is>
      </c>
      <c r="AN2456" s="18" t="inlineStr">
        <is>
          <t>brionne-3</t>
        </is>
      </c>
      <c r="AO2456" s="18" t="inlineStr">
        <is>
          <t>pokemon</t>
        </is>
      </c>
      <c r="AP2456" s="18" t="inlineStr"/>
      <c r="AQ2456" s="18" t="inlineStr">
        <is>
          <t>{"biomes":["#cobblemon:is_coast","#cobblemon:is_ocean","#cobblemon:is_tropical_island"],"canSeeSky":true}</t>
        </is>
      </c>
      <c r="AR2456" s="18" t="inlineStr">
        <is>
          <t>{"biomes":["#cobblemon:is_freezing"]}</t>
        </is>
      </c>
      <c r="AS2456" s="18" t="inlineStr"/>
      <c r="AT2456" s="19" t="inlineStr"/>
    </row>
    <row r="2457" ht="32" customHeight="1">
      <c r="A2457" s="18" t="inlineStr">
        <is>
          <t>0729_brionne.json::brionne-4::004</t>
        </is>
      </c>
      <c r="B2457" s="19" t="inlineStr">
        <is>
          <t>사용</t>
        </is>
      </c>
      <c r="C2457" s="18">
        <f>IF(OR(B2457&lt;&gt;AK2457,M2457&lt;&gt;L2457,O2457&lt;&gt;"",Q2457&lt;&gt;"",V2457&lt;&gt;1,Y2457&lt;&gt;"",AT2457&lt;&gt;""),"수정","원본")</f>
        <v/>
      </c>
      <c r="D2457" s="18" t="n">
        <v>729</v>
      </c>
      <c r="E2457" s="18" t="inlineStr">
        <is>
          <t>키요공</t>
        </is>
      </c>
      <c r="F2457" s="18" t="inlineStr">
        <is>
          <t>brionne</t>
        </is>
      </c>
      <c r="G2457" s="18" t="inlineStr">
        <is>
          <t>brionne</t>
        </is>
      </c>
      <c r="H2457" s="18" t="inlineStr"/>
      <c r="I2457" s="18" t="n">
        <v>7</v>
      </c>
      <c r="J2457" s="18" t="n"/>
      <c r="K2457" s="18" t="n">
        <v>7</v>
      </c>
      <c r="L2457" s="18" t="inlineStr">
        <is>
          <t>cobbleventure:generation_7</t>
        </is>
      </c>
      <c r="M2457" s="19" t="inlineStr">
        <is>
          <t>cobbleventure:generation_7</t>
        </is>
      </c>
      <c r="N2457" s="18" t="inlineStr"/>
      <c r="O2457" s="19" t="inlineStr"/>
      <c r="P2457" s="18" t="inlineStr">
        <is>
          <t>#cobblemon:is_coast</t>
        </is>
      </c>
      <c r="Q2457" s="19" t="inlineStr"/>
      <c r="R2457" s="18">
        <f>IF(Q2457="",P2457,Q2457)</f>
        <v/>
      </c>
      <c r="S2457" s="18" t="inlineStr"/>
      <c r="T2457" s="18" t="inlineStr">
        <is>
          <t>ultra-rare</t>
        </is>
      </c>
      <c r="U2457" s="20" t="n">
        <v>3.6</v>
      </c>
      <c r="V2457" s="21" t="n">
        <v>1</v>
      </c>
      <c r="W2457" s="20">
        <f>IF(OR(U2457="",V2457=""),U2457,U2457*V2457)</f>
        <v/>
      </c>
      <c r="X2457" s="18" t="inlineStr">
        <is>
          <t>17-42</t>
        </is>
      </c>
      <c r="Y2457" s="19" t="inlineStr"/>
      <c r="Z2457" s="18">
        <f>IF(Y2457="",X2457,Y2457)</f>
        <v/>
      </c>
      <c r="AA2457" s="18" t="inlineStr">
        <is>
          <t>submerged</t>
        </is>
      </c>
      <c r="AB2457" s="18" t="inlineStr"/>
      <c r="AC2457" s="18" t="inlineStr"/>
      <c r="AD2457" s="18" t="inlineStr"/>
      <c r="AE2457" s="18" t="inlineStr">
        <is>
          <t>sky 8-15</t>
        </is>
      </c>
      <c r="AF2457" s="18" t="inlineStr">
        <is>
          <t>False</t>
        </is>
      </c>
      <c r="AG2457" s="18" t="inlineStr"/>
      <c r="AH2457" s="18" t="inlineStr"/>
      <c r="AI2457" s="18" t="inlineStr"/>
      <c r="AJ2457" s="18" t="inlineStr">
        <is>
          <t>Cobblemon 동일</t>
        </is>
      </c>
      <c r="AK2457" s="18" t="inlineStr">
        <is>
          <t>사용</t>
        </is>
      </c>
      <c r="AL2457" s="18" t="inlineStr">
        <is>
          <t>COBBLEVERSE 1.7.42 / DP v31</t>
        </is>
      </c>
      <c r="AM2457" s="18" t="inlineStr">
        <is>
          <t>data/cobblemon/spawn_pool_world/0729_brionne.json</t>
        </is>
      </c>
      <c r="AN2457" s="18" t="inlineStr">
        <is>
          <t>brionne-4</t>
        </is>
      </c>
      <c r="AO2457" s="18" t="inlineStr">
        <is>
          <t>pokemon</t>
        </is>
      </c>
      <c r="AP2457" s="18" t="inlineStr">
        <is>
          <t>water</t>
        </is>
      </c>
      <c r="AQ2457" s="18" t="inlineStr">
        <is>
          <t>{"biomes":["#cobblemon:is_coast"],"canSeeSky":false,"maxSkyLight":15,"minSkyLight":8}</t>
        </is>
      </c>
      <c r="AR2457" s="18" t="inlineStr"/>
      <c r="AS2457" s="18" t="inlineStr"/>
      <c r="AT2457" s="19" t="inlineStr"/>
    </row>
    <row r="2458" ht="32" customHeight="1">
      <c r="A2458" s="18" t="inlineStr">
        <is>
          <t>0729_brionne.json::brionne-5::005</t>
        </is>
      </c>
      <c r="B2458" s="19" t="inlineStr">
        <is>
          <t>사용</t>
        </is>
      </c>
      <c r="C2458" s="18">
        <f>IF(OR(B2458&lt;&gt;AK2458,M2458&lt;&gt;L2458,O2458&lt;&gt;"",Q2458&lt;&gt;"",V2458&lt;&gt;1,Y2458&lt;&gt;"",AT2458&lt;&gt;""),"수정","원본")</f>
        <v/>
      </c>
      <c r="D2458" s="18" t="n">
        <v>729</v>
      </c>
      <c r="E2458" s="18" t="inlineStr">
        <is>
          <t>키요공</t>
        </is>
      </c>
      <c r="F2458" s="18" t="inlineStr">
        <is>
          <t>brionne</t>
        </is>
      </c>
      <c r="G2458" s="18" t="inlineStr">
        <is>
          <t>brionne</t>
        </is>
      </c>
      <c r="H2458" s="18" t="inlineStr"/>
      <c r="I2458" s="18" t="n">
        <v>7</v>
      </c>
      <c r="J2458" s="18" t="n"/>
      <c r="K2458" s="18" t="n">
        <v>7</v>
      </c>
      <c r="L2458" s="18" t="inlineStr">
        <is>
          <t>cobbleventure:generation_7</t>
        </is>
      </c>
      <c r="M2458" s="19" t="inlineStr">
        <is>
          <t>cobbleventure:generation_7</t>
        </is>
      </c>
      <c r="N2458" s="18" t="inlineStr"/>
      <c r="O2458" s="19" t="inlineStr"/>
      <c r="P2458" s="18" t="inlineStr">
        <is>
          <t>#cobblemon:is_coast; #cobblemon:is_ocean; #cobblemon:is_tropical_island</t>
        </is>
      </c>
      <c r="Q2458" s="19" t="inlineStr"/>
      <c r="R2458" s="18">
        <f>IF(Q2458="",P2458,Q2458)</f>
        <v/>
      </c>
      <c r="S2458" s="18" t="inlineStr">
        <is>
          <t>#cobblemon:is_freezing</t>
        </is>
      </c>
      <c r="T2458" s="18" t="inlineStr">
        <is>
          <t>ultra-rare</t>
        </is>
      </c>
      <c r="U2458" s="20" t="n">
        <v>3.6</v>
      </c>
      <c r="V2458" s="21" t="n">
        <v>1</v>
      </c>
      <c r="W2458" s="20">
        <f>IF(OR(U2458="",V2458=""),U2458,U2458*V2458)</f>
        <v/>
      </c>
      <c r="X2458" s="18" t="inlineStr">
        <is>
          <t>17-42</t>
        </is>
      </c>
      <c r="Y2458" s="19" t="inlineStr"/>
      <c r="Z2458" s="18">
        <f>IF(Y2458="",X2458,Y2458)</f>
        <v/>
      </c>
      <c r="AA2458" s="18" t="inlineStr">
        <is>
          <t>fishing</t>
        </is>
      </c>
      <c r="AB2458" s="18" t="inlineStr"/>
      <c r="AC2458" s="18" t="inlineStr"/>
      <c r="AD2458" s="18" t="inlineStr"/>
      <c r="AE2458" s="18" t="inlineStr">
        <is>
          <t>sky 8-15</t>
        </is>
      </c>
      <c r="AF2458" s="18" t="inlineStr">
        <is>
          <t>False</t>
        </is>
      </c>
      <c r="AG2458" s="18" t="inlineStr"/>
      <c r="AH2458" s="18" t="inlineStr"/>
      <c r="AI2458" s="18" t="inlineStr"/>
      <c r="AJ2458" s="18" t="inlineStr">
        <is>
          <t>Cobblemon 동일</t>
        </is>
      </c>
      <c r="AK2458" s="18" t="inlineStr">
        <is>
          <t>사용</t>
        </is>
      </c>
      <c r="AL2458" s="18" t="inlineStr">
        <is>
          <t>COBBLEVERSE 1.7.42 / DP v31</t>
        </is>
      </c>
      <c r="AM2458" s="18" t="inlineStr">
        <is>
          <t>data/cobblemon/spawn_pool_world/0729_brionne.json</t>
        </is>
      </c>
      <c r="AN2458" s="18" t="inlineStr">
        <is>
          <t>brionne-5</t>
        </is>
      </c>
      <c r="AO2458" s="18" t="inlineStr">
        <is>
          <t>pokemon</t>
        </is>
      </c>
      <c r="AP2458" s="18" t="inlineStr"/>
      <c r="AQ2458" s="18" t="inlineStr">
        <is>
          <t>{"biomes":["#cobblemon:is_coast","#cobblemon:is_ocean","#cobblemon:is_tropical_island"],"canSeeSky":false,"maxSkyLight":15,"minSkyLight":8}</t>
        </is>
      </c>
      <c r="AR2458" s="18" t="inlineStr">
        <is>
          <t>{"biomes":["#cobblemon:is_freezing"]}</t>
        </is>
      </c>
      <c r="AS2458" s="18" t="inlineStr"/>
      <c r="AT2458" s="19" t="inlineStr"/>
    </row>
    <row r="2459" ht="32" customHeight="1">
      <c r="A2459" s="18" t="inlineStr">
        <is>
          <t>0730_primarina.json::primarina-1::001</t>
        </is>
      </c>
      <c r="B2459" s="19" t="inlineStr">
        <is>
          <t>사용</t>
        </is>
      </c>
      <c r="C2459" s="18">
        <f>IF(OR(B2459&lt;&gt;AK2459,M2459&lt;&gt;L2459,O2459&lt;&gt;"",Q2459&lt;&gt;"",V2459&lt;&gt;1,Y2459&lt;&gt;"",AT2459&lt;&gt;""),"수정","원본")</f>
        <v/>
      </c>
      <c r="D2459" s="18" t="n">
        <v>730</v>
      </c>
      <c r="E2459" s="18" t="inlineStr">
        <is>
          <t>누리레느</t>
        </is>
      </c>
      <c r="F2459" s="18" t="inlineStr">
        <is>
          <t>primarina</t>
        </is>
      </c>
      <c r="G2459" s="18" t="inlineStr">
        <is>
          <t>primarina</t>
        </is>
      </c>
      <c r="H2459" s="18" t="inlineStr"/>
      <c r="I2459" s="18" t="n">
        <v>7</v>
      </c>
      <c r="J2459" s="18" t="n"/>
      <c r="K2459" s="18" t="n">
        <v>7</v>
      </c>
      <c r="L2459" s="18" t="inlineStr">
        <is>
          <t>cobbleventure:generation_7</t>
        </is>
      </c>
      <c r="M2459" s="19" t="inlineStr">
        <is>
          <t>cobbleventure:generation_7</t>
        </is>
      </c>
      <c r="N2459" s="18" t="inlineStr"/>
      <c r="O2459" s="19" t="inlineStr"/>
      <c r="P2459" s="18" t="inlineStr">
        <is>
          <t>#cobblemon:is_coast</t>
        </is>
      </c>
      <c r="Q2459" s="19" t="inlineStr"/>
      <c r="R2459" s="18">
        <f>IF(Q2459="",P2459,Q2459)</f>
        <v/>
      </c>
      <c r="S2459" s="18" t="inlineStr"/>
      <c r="T2459" s="18" t="inlineStr">
        <is>
          <t>ultra-rare</t>
        </is>
      </c>
      <c r="U2459" s="20" t="n">
        <v>0.4</v>
      </c>
      <c r="V2459" s="21" t="n">
        <v>1</v>
      </c>
      <c r="W2459" s="20">
        <f>IF(OR(U2459="",V2459=""),U2459,U2459*V2459)</f>
        <v/>
      </c>
      <c r="X2459" s="18" t="inlineStr">
        <is>
          <t>34-53</t>
        </is>
      </c>
      <c r="Y2459" s="19" t="inlineStr"/>
      <c r="Z2459" s="18">
        <f>IF(Y2459="",X2459,Y2459)</f>
        <v/>
      </c>
      <c r="AA2459" s="18" t="inlineStr">
        <is>
          <t>grounded</t>
        </is>
      </c>
      <c r="AB2459" s="18" t="inlineStr"/>
      <c r="AC2459" s="18" t="inlineStr"/>
      <c r="AD2459" s="18" t="inlineStr"/>
      <c r="AE2459" s="18" t="inlineStr">
        <is>
          <t>sky 8-15</t>
        </is>
      </c>
      <c r="AF2459" s="18" t="inlineStr"/>
      <c r="AG2459" s="18" t="inlineStr"/>
      <c r="AH2459" s="18" t="inlineStr"/>
      <c r="AI2459" s="18" t="inlineStr"/>
      <c r="AJ2459" s="18" t="inlineStr">
        <is>
          <t>Cobblemon 동일</t>
        </is>
      </c>
      <c r="AK2459" s="18" t="inlineStr">
        <is>
          <t>사용</t>
        </is>
      </c>
      <c r="AL2459" s="18" t="inlineStr">
        <is>
          <t>COBBLEVERSE 1.7.42 / DP v31</t>
        </is>
      </c>
      <c r="AM2459" s="18" t="inlineStr">
        <is>
          <t>data/cobblemon/spawn_pool_world/0730_primarina.json</t>
        </is>
      </c>
      <c r="AN2459" s="18" t="inlineStr">
        <is>
          <t>primarina-1</t>
        </is>
      </c>
      <c r="AO2459" s="18" t="inlineStr">
        <is>
          <t>pokemon</t>
        </is>
      </c>
      <c r="AP2459" s="18" t="inlineStr">
        <is>
          <t>natural</t>
        </is>
      </c>
      <c r="AQ2459" s="18" t="inlineStr">
        <is>
          <t>{"biomes":["#cobblemon:is_coast"],"maxSkyLight":15,"minSkyLight":8}</t>
        </is>
      </c>
      <c r="AR2459" s="18" t="inlineStr"/>
      <c r="AS2459" s="18" t="inlineStr"/>
      <c r="AT2459" s="19" t="inlineStr"/>
    </row>
    <row r="2460" ht="32" customHeight="1">
      <c r="A2460" s="18" t="inlineStr">
        <is>
          <t>0730_primarina.json::primarina-2::002</t>
        </is>
      </c>
      <c r="B2460" s="19" t="inlineStr">
        <is>
          <t>사용</t>
        </is>
      </c>
      <c r="C2460" s="18">
        <f>IF(OR(B2460&lt;&gt;AK2460,M2460&lt;&gt;L2460,O2460&lt;&gt;"",Q2460&lt;&gt;"",V2460&lt;&gt;1,Y2460&lt;&gt;"",AT2460&lt;&gt;""),"수정","원본")</f>
        <v/>
      </c>
      <c r="D2460" s="18" t="n">
        <v>730</v>
      </c>
      <c r="E2460" s="18" t="inlineStr">
        <is>
          <t>누리레느</t>
        </is>
      </c>
      <c r="F2460" s="18" t="inlineStr">
        <is>
          <t>primarina</t>
        </is>
      </c>
      <c r="G2460" s="18" t="inlineStr">
        <is>
          <t>primarina</t>
        </is>
      </c>
      <c r="H2460" s="18" t="inlineStr"/>
      <c r="I2460" s="18" t="n">
        <v>7</v>
      </c>
      <c r="J2460" s="18" t="n"/>
      <c r="K2460" s="18" t="n">
        <v>7</v>
      </c>
      <c r="L2460" s="18" t="inlineStr">
        <is>
          <t>cobbleventure:generation_7</t>
        </is>
      </c>
      <c r="M2460" s="19" t="inlineStr">
        <is>
          <t>cobbleventure:generation_7</t>
        </is>
      </c>
      <c r="N2460" s="18" t="inlineStr"/>
      <c r="O2460" s="19" t="inlineStr"/>
      <c r="P2460" s="18" t="inlineStr">
        <is>
          <t>#cobblemon:is_coast</t>
        </is>
      </c>
      <c r="Q2460" s="19" t="inlineStr"/>
      <c r="R2460" s="18">
        <f>IF(Q2460="",P2460,Q2460)</f>
        <v/>
      </c>
      <c r="S2460" s="18" t="inlineStr"/>
      <c r="T2460" s="18" t="inlineStr">
        <is>
          <t>ultra-rare</t>
        </is>
      </c>
      <c r="U2460" s="20" t="n">
        <v>0.4</v>
      </c>
      <c r="V2460" s="21" t="n">
        <v>1</v>
      </c>
      <c r="W2460" s="20">
        <f>IF(OR(U2460="",V2460=""),U2460,U2460*V2460)</f>
        <v/>
      </c>
      <c r="X2460" s="18" t="inlineStr">
        <is>
          <t>34-53</t>
        </is>
      </c>
      <c r="Y2460" s="19" t="inlineStr"/>
      <c r="Z2460" s="18">
        <f>IF(Y2460="",X2460,Y2460)</f>
        <v/>
      </c>
      <c r="AA2460" s="18" t="inlineStr">
        <is>
          <t>submerged</t>
        </is>
      </c>
      <c r="AB2460" s="18" t="inlineStr"/>
      <c r="AC2460" s="18" t="inlineStr"/>
      <c r="AD2460" s="18" t="inlineStr"/>
      <c r="AE2460" s="18" t="inlineStr"/>
      <c r="AF2460" s="18" t="inlineStr">
        <is>
          <t>True</t>
        </is>
      </c>
      <c r="AG2460" s="18" t="inlineStr"/>
      <c r="AH2460" s="18" t="inlineStr"/>
      <c r="AI2460" s="18" t="inlineStr"/>
      <c r="AJ2460" s="18" t="inlineStr">
        <is>
          <t>Cobblemon 동일</t>
        </is>
      </c>
      <c r="AK2460" s="18" t="inlineStr">
        <is>
          <t>사용</t>
        </is>
      </c>
      <c r="AL2460" s="18" t="inlineStr">
        <is>
          <t>COBBLEVERSE 1.7.42 / DP v31</t>
        </is>
      </c>
      <c r="AM2460" s="18" t="inlineStr">
        <is>
          <t>data/cobblemon/spawn_pool_world/0730_primarina.json</t>
        </is>
      </c>
      <c r="AN2460" s="18" t="inlineStr">
        <is>
          <t>primarina-2</t>
        </is>
      </c>
      <c r="AO2460" s="18" t="inlineStr">
        <is>
          <t>pokemon</t>
        </is>
      </c>
      <c r="AP2460" s="18" t="inlineStr">
        <is>
          <t>water</t>
        </is>
      </c>
      <c r="AQ2460" s="18" t="inlineStr">
        <is>
          <t>{"biomes":["#cobblemon:is_coast"],"canSeeSky":true}</t>
        </is>
      </c>
      <c r="AR2460" s="18" t="inlineStr"/>
      <c r="AS2460" s="18" t="inlineStr"/>
      <c r="AT2460" s="19" t="inlineStr"/>
    </row>
    <row r="2461" ht="32" customHeight="1">
      <c r="A2461" s="18" t="inlineStr">
        <is>
          <t>0730_primarina.json::primarina-3::003</t>
        </is>
      </c>
      <c r="B2461" s="19" t="inlineStr">
        <is>
          <t>사용</t>
        </is>
      </c>
      <c r="C2461" s="18">
        <f>IF(OR(B2461&lt;&gt;AK2461,M2461&lt;&gt;L2461,O2461&lt;&gt;"",Q2461&lt;&gt;"",V2461&lt;&gt;1,Y2461&lt;&gt;"",AT2461&lt;&gt;""),"수정","원본")</f>
        <v/>
      </c>
      <c r="D2461" s="18" t="n">
        <v>730</v>
      </c>
      <c r="E2461" s="18" t="inlineStr">
        <is>
          <t>누리레느</t>
        </is>
      </c>
      <c r="F2461" s="18" t="inlineStr">
        <is>
          <t>primarina</t>
        </is>
      </c>
      <c r="G2461" s="18" t="inlineStr">
        <is>
          <t>primarina</t>
        </is>
      </c>
      <c r="H2461" s="18" t="inlineStr"/>
      <c r="I2461" s="18" t="n">
        <v>7</v>
      </c>
      <c r="J2461" s="18" t="n"/>
      <c r="K2461" s="18" t="n">
        <v>7</v>
      </c>
      <c r="L2461" s="18" t="inlineStr">
        <is>
          <t>cobbleventure:generation_7</t>
        </is>
      </c>
      <c r="M2461" s="19" t="inlineStr">
        <is>
          <t>cobbleventure:generation_7</t>
        </is>
      </c>
      <c r="N2461" s="18" t="inlineStr"/>
      <c r="O2461" s="19" t="inlineStr"/>
      <c r="P2461" s="18" t="inlineStr">
        <is>
          <t>#cobblemon:is_coast; #cobblemon:is_ocean; #cobblemon:is_tropical_island</t>
        </is>
      </c>
      <c r="Q2461" s="19" t="inlineStr"/>
      <c r="R2461" s="18">
        <f>IF(Q2461="",P2461,Q2461)</f>
        <v/>
      </c>
      <c r="S2461" s="18" t="inlineStr">
        <is>
          <t>#cobblemon:is_freezing</t>
        </is>
      </c>
      <c r="T2461" s="18" t="inlineStr">
        <is>
          <t>ultra-rare</t>
        </is>
      </c>
      <c r="U2461" s="20" t="n">
        <v>0.4</v>
      </c>
      <c r="V2461" s="21" t="n">
        <v>1</v>
      </c>
      <c r="W2461" s="20">
        <f>IF(OR(U2461="",V2461=""),U2461,U2461*V2461)</f>
        <v/>
      </c>
      <c r="X2461" s="18" t="inlineStr">
        <is>
          <t>34-53</t>
        </is>
      </c>
      <c r="Y2461" s="19" t="inlineStr"/>
      <c r="Z2461" s="18">
        <f>IF(Y2461="",X2461,Y2461)</f>
        <v/>
      </c>
      <c r="AA2461" s="18" t="inlineStr">
        <is>
          <t>fishing</t>
        </is>
      </c>
      <c r="AB2461" s="18" t="inlineStr"/>
      <c r="AC2461" s="18" t="inlineStr"/>
      <c r="AD2461" s="18" t="inlineStr"/>
      <c r="AE2461" s="18" t="inlineStr"/>
      <c r="AF2461" s="18" t="inlineStr">
        <is>
          <t>True</t>
        </is>
      </c>
      <c r="AG2461" s="18" t="inlineStr"/>
      <c r="AH2461" s="18" t="inlineStr"/>
      <c r="AI2461" s="18" t="inlineStr"/>
      <c r="AJ2461" s="18" t="inlineStr">
        <is>
          <t>Cobblemon 동일</t>
        </is>
      </c>
      <c r="AK2461" s="18" t="inlineStr">
        <is>
          <t>사용</t>
        </is>
      </c>
      <c r="AL2461" s="18" t="inlineStr">
        <is>
          <t>COBBLEVERSE 1.7.42 / DP v31</t>
        </is>
      </c>
      <c r="AM2461" s="18" t="inlineStr">
        <is>
          <t>data/cobblemon/spawn_pool_world/0730_primarina.json</t>
        </is>
      </c>
      <c r="AN2461" s="18" t="inlineStr">
        <is>
          <t>primarina-3</t>
        </is>
      </c>
      <c r="AO2461" s="18" t="inlineStr">
        <is>
          <t>pokemon</t>
        </is>
      </c>
      <c r="AP2461" s="18" t="inlineStr"/>
      <c r="AQ2461" s="18" t="inlineStr">
        <is>
          <t>{"biomes":["#cobblemon:is_coast","#cobblemon:is_ocean","#cobblemon:is_tropical_island"],"canSeeSky":true}</t>
        </is>
      </c>
      <c r="AR2461" s="18" t="inlineStr">
        <is>
          <t>{"biomes":["#cobblemon:is_freezing"]}</t>
        </is>
      </c>
      <c r="AS2461" s="18" t="inlineStr"/>
      <c r="AT2461" s="19" t="inlineStr"/>
    </row>
    <row r="2462" ht="32" customHeight="1">
      <c r="A2462" s="18" t="inlineStr">
        <is>
          <t>0730_primarina.json::primarina-4::004</t>
        </is>
      </c>
      <c r="B2462" s="19" t="inlineStr">
        <is>
          <t>사용</t>
        </is>
      </c>
      <c r="C2462" s="18">
        <f>IF(OR(B2462&lt;&gt;AK2462,M2462&lt;&gt;L2462,O2462&lt;&gt;"",Q2462&lt;&gt;"",V2462&lt;&gt;1,Y2462&lt;&gt;"",AT2462&lt;&gt;""),"수정","원본")</f>
        <v/>
      </c>
      <c r="D2462" s="18" t="n">
        <v>730</v>
      </c>
      <c r="E2462" s="18" t="inlineStr">
        <is>
          <t>누리레느</t>
        </is>
      </c>
      <c r="F2462" s="18" t="inlineStr">
        <is>
          <t>primarina</t>
        </is>
      </c>
      <c r="G2462" s="18" t="inlineStr">
        <is>
          <t>primarina</t>
        </is>
      </c>
      <c r="H2462" s="18" t="inlineStr"/>
      <c r="I2462" s="18" t="n">
        <v>7</v>
      </c>
      <c r="J2462" s="18" t="n"/>
      <c r="K2462" s="18" t="n">
        <v>7</v>
      </c>
      <c r="L2462" s="18" t="inlineStr">
        <is>
          <t>cobbleventure:generation_7</t>
        </is>
      </c>
      <c r="M2462" s="19" t="inlineStr">
        <is>
          <t>cobbleventure:generation_7</t>
        </is>
      </c>
      <c r="N2462" s="18" t="inlineStr"/>
      <c r="O2462" s="19" t="inlineStr"/>
      <c r="P2462" s="18" t="inlineStr">
        <is>
          <t>#cobblemon:is_coast</t>
        </is>
      </c>
      <c r="Q2462" s="19" t="inlineStr"/>
      <c r="R2462" s="18">
        <f>IF(Q2462="",P2462,Q2462)</f>
        <v/>
      </c>
      <c r="S2462" s="18" t="inlineStr"/>
      <c r="T2462" s="18" t="inlineStr">
        <is>
          <t>ultra-rare</t>
        </is>
      </c>
      <c r="U2462" s="20" t="n">
        <v>0.4</v>
      </c>
      <c r="V2462" s="21" t="n">
        <v>1</v>
      </c>
      <c r="W2462" s="20">
        <f>IF(OR(U2462="",V2462=""),U2462,U2462*V2462)</f>
        <v/>
      </c>
      <c r="X2462" s="18" t="inlineStr">
        <is>
          <t>34-53</t>
        </is>
      </c>
      <c r="Y2462" s="19" t="inlineStr"/>
      <c r="Z2462" s="18">
        <f>IF(Y2462="",X2462,Y2462)</f>
        <v/>
      </c>
      <c r="AA2462" s="18" t="inlineStr">
        <is>
          <t>submerged</t>
        </is>
      </c>
      <c r="AB2462" s="18" t="inlineStr"/>
      <c r="AC2462" s="18" t="inlineStr"/>
      <c r="AD2462" s="18" t="inlineStr"/>
      <c r="AE2462" s="18" t="inlineStr">
        <is>
          <t>sky 8-15</t>
        </is>
      </c>
      <c r="AF2462" s="18" t="inlineStr">
        <is>
          <t>False</t>
        </is>
      </c>
      <c r="AG2462" s="18" t="inlineStr"/>
      <c r="AH2462" s="18" t="inlineStr"/>
      <c r="AI2462" s="18" t="inlineStr"/>
      <c r="AJ2462" s="18" t="inlineStr">
        <is>
          <t>Cobblemon 동일</t>
        </is>
      </c>
      <c r="AK2462" s="18" t="inlineStr">
        <is>
          <t>사용</t>
        </is>
      </c>
      <c r="AL2462" s="18" t="inlineStr">
        <is>
          <t>COBBLEVERSE 1.7.42 / DP v31</t>
        </is>
      </c>
      <c r="AM2462" s="18" t="inlineStr">
        <is>
          <t>data/cobblemon/spawn_pool_world/0730_primarina.json</t>
        </is>
      </c>
      <c r="AN2462" s="18" t="inlineStr">
        <is>
          <t>primarina-4</t>
        </is>
      </c>
      <c r="AO2462" s="18" t="inlineStr">
        <is>
          <t>pokemon</t>
        </is>
      </c>
      <c r="AP2462" s="18" t="inlineStr">
        <is>
          <t>water</t>
        </is>
      </c>
      <c r="AQ2462" s="18" t="inlineStr">
        <is>
          <t>{"biomes":["#cobblemon:is_coast"],"canSeeSky":false,"maxSkyLight":15,"minSkyLight":8}</t>
        </is>
      </c>
      <c r="AR2462" s="18" t="inlineStr"/>
      <c r="AS2462" s="18" t="inlineStr"/>
      <c r="AT2462" s="19" t="inlineStr"/>
    </row>
    <row r="2463" ht="32" customHeight="1">
      <c r="A2463" s="18" t="inlineStr">
        <is>
          <t>0730_primarina.json::primarina-5::005</t>
        </is>
      </c>
      <c r="B2463" s="19" t="inlineStr">
        <is>
          <t>사용</t>
        </is>
      </c>
      <c r="C2463" s="18">
        <f>IF(OR(B2463&lt;&gt;AK2463,M2463&lt;&gt;L2463,O2463&lt;&gt;"",Q2463&lt;&gt;"",V2463&lt;&gt;1,Y2463&lt;&gt;"",AT2463&lt;&gt;""),"수정","원본")</f>
        <v/>
      </c>
      <c r="D2463" s="18" t="n">
        <v>730</v>
      </c>
      <c r="E2463" s="18" t="inlineStr">
        <is>
          <t>누리레느</t>
        </is>
      </c>
      <c r="F2463" s="18" t="inlineStr">
        <is>
          <t>primarina</t>
        </is>
      </c>
      <c r="G2463" s="18" t="inlineStr">
        <is>
          <t>primarina</t>
        </is>
      </c>
      <c r="H2463" s="18" t="inlineStr"/>
      <c r="I2463" s="18" t="n">
        <v>7</v>
      </c>
      <c r="J2463" s="18" t="n"/>
      <c r="K2463" s="18" t="n">
        <v>7</v>
      </c>
      <c r="L2463" s="18" t="inlineStr">
        <is>
          <t>cobbleventure:generation_7</t>
        </is>
      </c>
      <c r="M2463" s="19" t="inlineStr">
        <is>
          <t>cobbleventure:generation_7</t>
        </is>
      </c>
      <c r="N2463" s="18" t="inlineStr"/>
      <c r="O2463" s="19" t="inlineStr"/>
      <c r="P2463" s="18" t="inlineStr">
        <is>
          <t>#cobblemon:is_coast; #cobblemon:is_ocean; #cobblemon:is_tropical_island</t>
        </is>
      </c>
      <c r="Q2463" s="19" t="inlineStr"/>
      <c r="R2463" s="18">
        <f>IF(Q2463="",P2463,Q2463)</f>
        <v/>
      </c>
      <c r="S2463" s="18" t="inlineStr">
        <is>
          <t>#cobblemon:is_freezing</t>
        </is>
      </c>
      <c r="T2463" s="18" t="inlineStr">
        <is>
          <t>ultra-rare</t>
        </is>
      </c>
      <c r="U2463" s="20" t="n">
        <v>0.4</v>
      </c>
      <c r="V2463" s="21" t="n">
        <v>1</v>
      </c>
      <c r="W2463" s="20">
        <f>IF(OR(U2463="",V2463=""),U2463,U2463*V2463)</f>
        <v/>
      </c>
      <c r="X2463" s="18" t="inlineStr">
        <is>
          <t>34-53</t>
        </is>
      </c>
      <c r="Y2463" s="19" t="inlineStr"/>
      <c r="Z2463" s="18">
        <f>IF(Y2463="",X2463,Y2463)</f>
        <v/>
      </c>
      <c r="AA2463" s="18" t="inlineStr">
        <is>
          <t>fishing</t>
        </is>
      </c>
      <c r="AB2463" s="18" t="inlineStr"/>
      <c r="AC2463" s="18" t="inlineStr"/>
      <c r="AD2463" s="18" t="inlineStr"/>
      <c r="AE2463" s="18" t="inlineStr">
        <is>
          <t>sky 8-15</t>
        </is>
      </c>
      <c r="AF2463" s="18" t="inlineStr">
        <is>
          <t>False</t>
        </is>
      </c>
      <c r="AG2463" s="18" t="inlineStr"/>
      <c r="AH2463" s="18" t="inlineStr"/>
      <c r="AI2463" s="18" t="inlineStr"/>
      <c r="AJ2463" s="18" t="inlineStr">
        <is>
          <t>Cobblemon 동일</t>
        </is>
      </c>
      <c r="AK2463" s="18" t="inlineStr">
        <is>
          <t>사용</t>
        </is>
      </c>
      <c r="AL2463" s="18" t="inlineStr">
        <is>
          <t>COBBLEVERSE 1.7.42 / DP v31</t>
        </is>
      </c>
      <c r="AM2463" s="18" t="inlineStr">
        <is>
          <t>data/cobblemon/spawn_pool_world/0730_primarina.json</t>
        </is>
      </c>
      <c r="AN2463" s="18" t="inlineStr">
        <is>
          <t>primarina-5</t>
        </is>
      </c>
      <c r="AO2463" s="18" t="inlineStr">
        <is>
          <t>pokemon</t>
        </is>
      </c>
      <c r="AP2463" s="18" t="inlineStr"/>
      <c r="AQ2463" s="18" t="inlineStr">
        <is>
          <t>{"biomes":["#cobblemon:is_coast","#cobblemon:is_ocean","#cobblemon:is_tropical_island"],"canSeeSky":false,"maxSkyLight":15,"minSkyLight":8}</t>
        </is>
      </c>
      <c r="AR2463" s="18" t="inlineStr">
        <is>
          <t>{"biomes":["#cobblemon:is_freezing"]}</t>
        </is>
      </c>
      <c r="AS2463" s="18" t="inlineStr"/>
      <c r="AT2463" s="19" t="inlineStr"/>
    </row>
    <row r="2464" ht="32" customHeight="1">
      <c r="A2464" s="18" t="inlineStr">
        <is>
          <t>0731_pikipek.json::pikipek-1::001</t>
        </is>
      </c>
      <c r="B2464" s="19" t="inlineStr">
        <is>
          <t>사용</t>
        </is>
      </c>
      <c r="C2464" s="18">
        <f>IF(OR(B2464&lt;&gt;AK2464,M2464&lt;&gt;L2464,O2464&lt;&gt;"",Q2464&lt;&gt;"",V2464&lt;&gt;1,Y2464&lt;&gt;"",AT2464&lt;&gt;""),"수정","원본")</f>
        <v/>
      </c>
      <c r="D2464" s="18" t="n">
        <v>731</v>
      </c>
      <c r="E2464" s="18" t="inlineStr">
        <is>
          <t>콕코구리</t>
        </is>
      </c>
      <c r="F2464" s="18" t="inlineStr">
        <is>
          <t>pikipek</t>
        </is>
      </c>
      <c r="G2464" s="18" t="inlineStr">
        <is>
          <t>pikipek</t>
        </is>
      </c>
      <c r="H2464" s="18" t="inlineStr"/>
      <c r="I2464" s="18" t="n">
        <v>7</v>
      </c>
      <c r="J2464" s="18" t="n"/>
      <c r="K2464" s="18" t="n">
        <v>7</v>
      </c>
      <c r="L2464" s="18" t="inlineStr">
        <is>
          <t>cobbleventure:generation_7</t>
        </is>
      </c>
      <c r="M2464" s="19" t="inlineStr">
        <is>
          <t>cobbleventure:generation_7</t>
        </is>
      </c>
      <c r="N2464" s="18" t="inlineStr"/>
      <c r="O2464" s="19" t="inlineStr"/>
      <c r="P2464" s="18" t="inlineStr">
        <is>
          <t>#cobblemon:is_jungle; #cobblemon:is_sky; #cobblemon:is_tropical_island</t>
        </is>
      </c>
      <c r="Q2464" s="19" t="inlineStr"/>
      <c r="R2464" s="18">
        <f>IF(Q2464="",P2464,Q2464)</f>
        <v/>
      </c>
      <c r="S2464" s="18" t="inlineStr">
        <is>
          <t>#cobblemon:is_freezing</t>
        </is>
      </c>
      <c r="T2464" s="18" t="inlineStr">
        <is>
          <t>common</t>
        </is>
      </c>
      <c r="U2464" s="20" t="n">
        <v>9</v>
      </c>
      <c r="V2464" s="21" t="n">
        <v>1</v>
      </c>
      <c r="W2464" s="20">
        <f>IF(OR(U2464="",V2464=""),U2464,U2464*V2464)</f>
        <v/>
      </c>
      <c r="X2464" s="18" t="inlineStr">
        <is>
          <t>2-27</t>
        </is>
      </c>
      <c r="Y2464" s="19" t="inlineStr"/>
      <c r="Z2464" s="18">
        <f>IF(Y2464="",X2464,Y2464)</f>
        <v/>
      </c>
      <c r="AA2464" s="18" t="inlineStr">
        <is>
          <t>grounded</t>
        </is>
      </c>
      <c r="AB2464" s="18" t="inlineStr">
        <is>
          <t>day</t>
        </is>
      </c>
      <c r="AC2464" s="18" t="inlineStr"/>
      <c r="AD2464" s="18" t="inlineStr"/>
      <c r="AE2464" s="18" t="inlineStr">
        <is>
          <t>sky 8-15</t>
        </is>
      </c>
      <c r="AF2464" s="18" t="inlineStr"/>
      <c r="AG2464" s="18" t="inlineStr"/>
      <c r="AH2464" s="18" t="inlineStr"/>
      <c r="AI2464" s="18" t="inlineStr"/>
      <c r="AJ2464" s="18" t="inlineStr">
        <is>
          <t>Cobblemon 동일</t>
        </is>
      </c>
      <c r="AK2464" s="18" t="inlineStr">
        <is>
          <t>사용</t>
        </is>
      </c>
      <c r="AL2464" s="18" t="inlineStr">
        <is>
          <t>COBBLEVERSE 1.7.42 / DP v31</t>
        </is>
      </c>
      <c r="AM2464" s="18" t="inlineStr">
        <is>
          <t>data/cobblemon/spawn_pool_world/0731_pikipek.json</t>
        </is>
      </c>
      <c r="AN2464" s="18" t="inlineStr">
        <is>
          <t>pikipek-1</t>
        </is>
      </c>
      <c r="AO2464" s="18" t="inlineStr">
        <is>
          <t>pokemon</t>
        </is>
      </c>
      <c r="AP2464" s="18" t="inlineStr"/>
      <c r="AQ2464" s="18" t="inlineStr">
        <is>
          <t>{"biomes":["#cobblemon:is_jungle","#cobblemon:is_sky","#cobblemon:is_tropical_island"],"maxSkyLight":15,"minSkyLight":8,"timeRange":"day"}</t>
        </is>
      </c>
      <c r="AR2464" s="18" t="inlineStr">
        <is>
          <t>{"biomes":["#cobblemon:is_freezing"]}</t>
        </is>
      </c>
      <c r="AS2464" s="18" t="inlineStr"/>
      <c r="AT2464" s="19" t="inlineStr"/>
    </row>
    <row r="2465" ht="32" customHeight="1">
      <c r="A2465" s="18" t="inlineStr">
        <is>
          <t>0732_trumbeak.json::trumbeak-1::001</t>
        </is>
      </c>
      <c r="B2465" s="19" t="inlineStr">
        <is>
          <t>사용</t>
        </is>
      </c>
      <c r="C2465" s="18">
        <f>IF(OR(B2465&lt;&gt;AK2465,M2465&lt;&gt;L2465,O2465&lt;&gt;"",Q2465&lt;&gt;"",V2465&lt;&gt;1,Y2465&lt;&gt;"",AT2465&lt;&gt;""),"수정","원본")</f>
        <v/>
      </c>
      <c r="D2465" s="18" t="n">
        <v>732</v>
      </c>
      <c r="E2465" s="18" t="inlineStr">
        <is>
          <t>크라파</t>
        </is>
      </c>
      <c r="F2465" s="18" t="inlineStr">
        <is>
          <t>trumbeak</t>
        </is>
      </c>
      <c r="G2465" s="18" t="inlineStr">
        <is>
          <t>trumbeak</t>
        </is>
      </c>
      <c r="H2465" s="18" t="inlineStr"/>
      <c r="I2465" s="18" t="n">
        <v>7</v>
      </c>
      <c r="J2465" s="18" t="n"/>
      <c r="K2465" s="18" t="n">
        <v>7</v>
      </c>
      <c r="L2465" s="18" t="inlineStr">
        <is>
          <t>cobbleventure:generation_7</t>
        </is>
      </c>
      <c r="M2465" s="19" t="inlineStr">
        <is>
          <t>cobbleventure:generation_7</t>
        </is>
      </c>
      <c r="N2465" s="18" t="inlineStr"/>
      <c r="O2465" s="19" t="inlineStr"/>
      <c r="P2465" s="18" t="inlineStr">
        <is>
          <t>#cobblemon:is_jungle; #cobblemon:is_sky; #cobblemon:is_tropical_island</t>
        </is>
      </c>
      <c r="Q2465" s="19" t="inlineStr"/>
      <c r="R2465" s="18">
        <f>IF(Q2465="",P2465,Q2465)</f>
        <v/>
      </c>
      <c r="S2465" s="18" t="inlineStr">
        <is>
          <t>#cobblemon:is_freezing</t>
        </is>
      </c>
      <c r="T2465" s="18" t="inlineStr">
        <is>
          <t>common</t>
        </is>
      </c>
      <c r="U2465" s="20" t="n">
        <v>0.9</v>
      </c>
      <c r="V2465" s="21" t="n">
        <v>1</v>
      </c>
      <c r="W2465" s="20">
        <f>IF(OR(U2465="",V2465=""),U2465,U2465*V2465)</f>
        <v/>
      </c>
      <c r="X2465" s="18" t="inlineStr">
        <is>
          <t>14-36</t>
        </is>
      </c>
      <c r="Y2465" s="19" t="inlineStr"/>
      <c r="Z2465" s="18">
        <f>IF(Y2465="",X2465,Y2465)</f>
        <v/>
      </c>
      <c r="AA2465" s="18" t="inlineStr">
        <is>
          <t>grounded</t>
        </is>
      </c>
      <c r="AB2465" s="18" t="inlineStr">
        <is>
          <t>day</t>
        </is>
      </c>
      <c r="AC2465" s="18" t="inlineStr"/>
      <c r="AD2465" s="18" t="inlineStr"/>
      <c r="AE2465" s="18" t="inlineStr">
        <is>
          <t>sky 8-15</t>
        </is>
      </c>
      <c r="AF2465" s="18" t="inlineStr"/>
      <c r="AG2465" s="18" t="inlineStr"/>
      <c r="AH2465" s="18" t="inlineStr"/>
      <c r="AI2465" s="18" t="inlineStr"/>
      <c r="AJ2465" s="18" t="inlineStr">
        <is>
          <t>Cobblemon 동일</t>
        </is>
      </c>
      <c r="AK2465" s="18" t="inlineStr">
        <is>
          <t>사용</t>
        </is>
      </c>
      <c r="AL2465" s="18" t="inlineStr">
        <is>
          <t>COBBLEVERSE 1.7.42 / DP v31</t>
        </is>
      </c>
      <c r="AM2465" s="18" t="inlineStr">
        <is>
          <t>data/cobblemon/spawn_pool_world/0732_trumbeak.json</t>
        </is>
      </c>
      <c r="AN2465" s="18" t="inlineStr">
        <is>
          <t>trumbeak-1</t>
        </is>
      </c>
      <c r="AO2465" s="18" t="inlineStr">
        <is>
          <t>pokemon</t>
        </is>
      </c>
      <c r="AP2465" s="18" t="inlineStr"/>
      <c r="AQ2465" s="18" t="inlineStr">
        <is>
          <t>{"biomes":["#cobblemon:is_jungle","#cobblemon:is_sky","#cobblemon:is_tropical_island"],"maxSkyLight":15,"minSkyLight":8,"timeRange":"day"}</t>
        </is>
      </c>
      <c r="AR2465" s="18" t="inlineStr">
        <is>
          <t>{"biomes":["#cobblemon:is_freezing"]}</t>
        </is>
      </c>
      <c r="AS2465" s="18" t="inlineStr"/>
      <c r="AT2465" s="19" t="inlineStr"/>
    </row>
    <row r="2466" ht="32" customHeight="1">
      <c r="A2466" s="18" t="inlineStr">
        <is>
          <t>0733_toucannon.json::toucannon-1::001</t>
        </is>
      </c>
      <c r="B2466" s="19" t="inlineStr">
        <is>
          <t>사용</t>
        </is>
      </c>
      <c r="C2466" s="18">
        <f>IF(OR(B2466&lt;&gt;AK2466,M2466&lt;&gt;L2466,O2466&lt;&gt;"",Q2466&lt;&gt;"",V2466&lt;&gt;1,Y2466&lt;&gt;"",AT2466&lt;&gt;""),"수정","원본")</f>
        <v/>
      </c>
      <c r="D2466" s="18" t="n">
        <v>733</v>
      </c>
      <c r="E2466" s="18" t="inlineStr">
        <is>
          <t>왕큰부리</t>
        </is>
      </c>
      <c r="F2466" s="18" t="inlineStr">
        <is>
          <t>toucannon</t>
        </is>
      </c>
      <c r="G2466" s="18" t="inlineStr">
        <is>
          <t>toucannon</t>
        </is>
      </c>
      <c r="H2466" s="18" t="inlineStr"/>
      <c r="I2466" s="18" t="n">
        <v>7</v>
      </c>
      <c r="J2466" s="18" t="n"/>
      <c r="K2466" s="18" t="n">
        <v>7</v>
      </c>
      <c r="L2466" s="18" t="inlineStr">
        <is>
          <t>cobbleventure:generation_7</t>
        </is>
      </c>
      <c r="M2466" s="19" t="inlineStr">
        <is>
          <t>cobbleventure:generation_7</t>
        </is>
      </c>
      <c r="N2466" s="18" t="inlineStr"/>
      <c r="O2466" s="19" t="inlineStr"/>
      <c r="P2466" s="18" t="inlineStr">
        <is>
          <t>#cobblemon:is_jungle; #cobblemon:is_sky; #cobblemon:is_tropical_island</t>
        </is>
      </c>
      <c r="Q2466" s="19" t="inlineStr"/>
      <c r="R2466" s="18">
        <f>IF(Q2466="",P2466,Q2466)</f>
        <v/>
      </c>
      <c r="S2466" s="18" t="inlineStr">
        <is>
          <t>#cobblemon:is_freezing</t>
        </is>
      </c>
      <c r="T2466" s="18" t="inlineStr">
        <is>
          <t>common</t>
        </is>
      </c>
      <c r="U2466" s="20" t="n">
        <v>0.1</v>
      </c>
      <c r="V2466" s="21" t="n">
        <v>1</v>
      </c>
      <c r="W2466" s="20">
        <f>IF(OR(U2466="",V2466=""),U2466,U2466*V2466)</f>
        <v/>
      </c>
      <c r="X2466" s="18" t="inlineStr">
        <is>
          <t>28-49</t>
        </is>
      </c>
      <c r="Y2466" s="19" t="inlineStr"/>
      <c r="Z2466" s="18">
        <f>IF(Y2466="",X2466,Y2466)</f>
        <v/>
      </c>
      <c r="AA2466" s="18" t="inlineStr">
        <is>
          <t>grounded</t>
        </is>
      </c>
      <c r="AB2466" s="18" t="inlineStr">
        <is>
          <t>day</t>
        </is>
      </c>
      <c r="AC2466" s="18" t="inlineStr"/>
      <c r="AD2466" s="18" t="inlineStr"/>
      <c r="AE2466" s="18" t="inlineStr">
        <is>
          <t>sky 8-15</t>
        </is>
      </c>
      <c r="AF2466" s="18" t="inlineStr"/>
      <c r="AG2466" s="18" t="inlineStr"/>
      <c r="AH2466" s="18" t="inlineStr"/>
      <c r="AI2466" s="18" t="inlineStr"/>
      <c r="AJ2466" s="18" t="inlineStr">
        <is>
          <t>Cobblemon 동일</t>
        </is>
      </c>
      <c r="AK2466" s="18" t="inlineStr">
        <is>
          <t>사용</t>
        </is>
      </c>
      <c r="AL2466" s="18" t="inlineStr">
        <is>
          <t>COBBLEVERSE 1.7.42 / DP v31</t>
        </is>
      </c>
      <c r="AM2466" s="18" t="inlineStr">
        <is>
          <t>data/cobblemon/spawn_pool_world/0733_toucannon.json</t>
        </is>
      </c>
      <c r="AN2466" s="18" t="inlineStr">
        <is>
          <t>toucannon-1</t>
        </is>
      </c>
      <c r="AO2466" s="18" t="inlineStr">
        <is>
          <t>pokemon</t>
        </is>
      </c>
      <c r="AP2466" s="18" t="inlineStr"/>
      <c r="AQ2466" s="18" t="inlineStr">
        <is>
          <t>{"biomes":["#cobblemon:is_jungle","#cobblemon:is_sky","#cobblemon:is_tropical_island"],"maxSkyLight":15,"minSkyLight":8,"timeRange":"day"}</t>
        </is>
      </c>
      <c r="AR2466" s="18" t="inlineStr">
        <is>
          <t>{"biomes":["#cobblemon:is_freezing"]}</t>
        </is>
      </c>
      <c r="AS2466" s="18" t="inlineStr"/>
      <c r="AT2466" s="19" t="inlineStr"/>
    </row>
    <row r="2467" ht="32" customHeight="1">
      <c r="A2467" s="18" t="inlineStr">
        <is>
          <t>0734_yungoos.json::yungoos-1::001</t>
        </is>
      </c>
      <c r="B2467" s="19" t="inlineStr">
        <is>
          <t>사용</t>
        </is>
      </c>
      <c r="C2467" s="18">
        <f>IF(OR(B2467&lt;&gt;AK2467,M2467&lt;&gt;L2467,O2467&lt;&gt;"",Q2467&lt;&gt;"",V2467&lt;&gt;1,Y2467&lt;&gt;"",AT2467&lt;&gt;""),"수정","원본")</f>
        <v/>
      </c>
      <c r="D2467" s="18" t="n">
        <v>734</v>
      </c>
      <c r="E2467" s="18" t="inlineStr">
        <is>
          <t>영구스</t>
        </is>
      </c>
      <c r="F2467" s="18" t="inlineStr">
        <is>
          <t>yungoos</t>
        </is>
      </c>
      <c r="G2467" s="18" t="inlineStr">
        <is>
          <t>yungoos</t>
        </is>
      </c>
      <c r="H2467" s="18" t="inlineStr"/>
      <c r="I2467" s="18" t="n">
        <v>7</v>
      </c>
      <c r="J2467" s="18" t="n"/>
      <c r="K2467" s="18" t="n">
        <v>7</v>
      </c>
      <c r="L2467" s="18" t="inlineStr">
        <is>
          <t>cobbleventure:generation_7</t>
        </is>
      </c>
      <c r="M2467" s="19" t="inlineStr">
        <is>
          <t>cobbleventure:generation_7</t>
        </is>
      </c>
      <c r="N2467" s="18" t="inlineStr">
        <is>
          <t>region_01</t>
        </is>
      </c>
      <c r="O2467" s="19" t="inlineStr"/>
      <c r="P2467" s="18" t="inlineStr">
        <is>
          <t>#cobblemon:is_plains; #cobblemon:is_savanna</t>
        </is>
      </c>
      <c r="Q2467" s="19" t="inlineStr"/>
      <c r="R2467" s="18">
        <f>IF(Q2467="",P2467,Q2467)</f>
        <v/>
      </c>
      <c r="S2467" s="18" t="inlineStr"/>
      <c r="T2467" s="18" t="inlineStr">
        <is>
          <t>common</t>
        </is>
      </c>
      <c r="U2467" s="20" t="n">
        <v>5.4</v>
      </c>
      <c r="V2467" s="21" t="n">
        <v>1</v>
      </c>
      <c r="W2467" s="20">
        <f>IF(OR(U2467="",V2467=""),U2467,U2467*V2467)</f>
        <v/>
      </c>
      <c r="X2467" s="18" t="inlineStr">
        <is>
          <t>1-25</t>
        </is>
      </c>
      <c r="Y2467" s="19" t="inlineStr"/>
      <c r="Z2467" s="18">
        <f>IF(Y2467="",X2467,Y2467)</f>
        <v/>
      </c>
      <c r="AA2467" s="18" t="inlineStr">
        <is>
          <t>grounded</t>
        </is>
      </c>
      <c r="AB2467" s="18" t="inlineStr"/>
      <c r="AC2467" s="18" t="inlineStr"/>
      <c r="AD2467" s="18" t="inlineStr"/>
      <c r="AE2467" s="18" t="inlineStr">
        <is>
          <t>sky 8-15</t>
        </is>
      </c>
      <c r="AF2467" s="18" t="inlineStr"/>
      <c r="AG2467" s="18" t="inlineStr"/>
      <c r="AH2467" s="18" t="inlineStr"/>
      <c r="AI2467" s="18" t="inlineStr"/>
      <c r="AJ2467" s="18" t="inlineStr">
        <is>
          <t>COBBLEVERSE 수정</t>
        </is>
      </c>
      <c r="AK2467" s="18" t="inlineStr">
        <is>
          <t>사용</t>
        </is>
      </c>
      <c r="AL2467" s="18" t="inlineStr">
        <is>
          <t>COBBLEVERSE 1.7.42 / DP v31</t>
        </is>
      </c>
      <c r="AM2467" s="18" t="inlineStr">
        <is>
          <t>data/cobblemon/spawn_pool_world/0734_yungoos.json</t>
        </is>
      </c>
      <c r="AN2467" s="18" t="inlineStr">
        <is>
          <t>yungoos-1</t>
        </is>
      </c>
      <c r="AO2467" s="18" t="inlineStr">
        <is>
          <t>pokemon</t>
        </is>
      </c>
      <c r="AP2467" s="18" t="inlineStr">
        <is>
          <t>natural; wild</t>
        </is>
      </c>
      <c r="AQ2467" s="18" t="inlineStr">
        <is>
          <t>{"biomes":["#cobblemon:is_plains","#cobblemon:is_savanna"],"maxSkyLight":15,"minSkyLight":8}</t>
        </is>
      </c>
      <c r="AR2467" s="18" t="inlineStr"/>
      <c r="AS2467" s="18" t="inlineStr">
        <is>
          <t>{"weightMultiplier":{"condition":{"timeRange":"night"},"multiplier":0.25}}</t>
        </is>
      </c>
      <c r="AT2467" s="19" t="inlineStr"/>
    </row>
    <row r="2468" ht="32" customHeight="1">
      <c r="A2468" s="18" t="inlineStr">
        <is>
          <t>0735_gumshoos.json::gumshoos-1::001</t>
        </is>
      </c>
      <c r="B2468" s="19" t="inlineStr">
        <is>
          <t>사용</t>
        </is>
      </c>
      <c r="C2468" s="18">
        <f>IF(OR(B2468&lt;&gt;AK2468,M2468&lt;&gt;L2468,O2468&lt;&gt;"",Q2468&lt;&gt;"",V2468&lt;&gt;1,Y2468&lt;&gt;"",AT2468&lt;&gt;""),"수정","원본")</f>
        <v/>
      </c>
      <c r="D2468" s="18" t="n">
        <v>735</v>
      </c>
      <c r="E2468" s="18" t="inlineStr">
        <is>
          <t>형사구스</t>
        </is>
      </c>
      <c r="F2468" s="18" t="inlineStr">
        <is>
          <t>gumshoos</t>
        </is>
      </c>
      <c r="G2468" s="18" t="inlineStr">
        <is>
          <t>gumshoos</t>
        </is>
      </c>
      <c r="H2468" s="18" t="inlineStr"/>
      <c r="I2468" s="18" t="n">
        <v>7</v>
      </c>
      <c r="J2468" s="18" t="n"/>
      <c r="K2468" s="18" t="n">
        <v>7</v>
      </c>
      <c r="L2468" s="18" t="inlineStr">
        <is>
          <t>cobbleventure:generation_7</t>
        </is>
      </c>
      <c r="M2468" s="19" t="inlineStr">
        <is>
          <t>cobbleventure:generation_7</t>
        </is>
      </c>
      <c r="N2468" s="18" t="inlineStr">
        <is>
          <t>region_01</t>
        </is>
      </c>
      <c r="O2468" s="19" t="inlineStr"/>
      <c r="P2468" s="18" t="inlineStr">
        <is>
          <t>#cobblemon:is_plains; #cobblemon:is_savanna</t>
        </is>
      </c>
      <c r="Q2468" s="19" t="inlineStr"/>
      <c r="R2468" s="18">
        <f>IF(Q2468="",P2468,Q2468)</f>
        <v/>
      </c>
      <c r="S2468" s="18" t="inlineStr"/>
      <c r="T2468" s="18" t="inlineStr">
        <is>
          <t>common</t>
        </is>
      </c>
      <c r="U2468" s="20" t="n">
        <v>0.6</v>
      </c>
      <c r="V2468" s="21" t="n">
        <v>1</v>
      </c>
      <c r="W2468" s="20">
        <f>IF(OR(U2468="",V2468=""),U2468,U2468*V2468)</f>
        <v/>
      </c>
      <c r="X2468" s="18" t="inlineStr">
        <is>
          <t>20-42</t>
        </is>
      </c>
      <c r="Y2468" s="19" t="inlineStr"/>
      <c r="Z2468" s="18">
        <f>IF(Y2468="",X2468,Y2468)</f>
        <v/>
      </c>
      <c r="AA2468" s="18" t="inlineStr">
        <is>
          <t>grounded</t>
        </is>
      </c>
      <c r="AB2468" s="18" t="inlineStr"/>
      <c r="AC2468" s="18" t="inlineStr"/>
      <c r="AD2468" s="18" t="inlineStr"/>
      <c r="AE2468" s="18" t="inlineStr">
        <is>
          <t>sky 8-15</t>
        </is>
      </c>
      <c r="AF2468" s="18" t="inlineStr"/>
      <c r="AG2468" s="18" t="inlineStr"/>
      <c r="AH2468" s="18" t="inlineStr"/>
      <c r="AI2468" s="18" t="inlineStr"/>
      <c r="AJ2468" s="18" t="inlineStr">
        <is>
          <t>COBBLEVERSE 수정</t>
        </is>
      </c>
      <c r="AK2468" s="18" t="inlineStr">
        <is>
          <t>사용</t>
        </is>
      </c>
      <c r="AL2468" s="18" t="inlineStr">
        <is>
          <t>COBBLEVERSE 1.7.42 / DP v31</t>
        </is>
      </c>
      <c r="AM2468" s="18" t="inlineStr">
        <is>
          <t>data/cobblemon/spawn_pool_world/0735_gumshoos.json</t>
        </is>
      </c>
      <c r="AN2468" s="18" t="inlineStr">
        <is>
          <t>gumshoos-1</t>
        </is>
      </c>
      <c r="AO2468" s="18" t="inlineStr">
        <is>
          <t>pokemon</t>
        </is>
      </c>
      <c r="AP2468" s="18" t="inlineStr">
        <is>
          <t>natural; wild</t>
        </is>
      </c>
      <c r="AQ2468" s="18" t="inlineStr">
        <is>
          <t>{"biomes":["#cobblemon:is_plains","#cobblemon:is_savanna"],"maxSkyLight":15,"minSkyLight":8}</t>
        </is>
      </c>
      <c r="AR2468" s="18" t="inlineStr"/>
      <c r="AS2468" s="18" t="inlineStr">
        <is>
          <t>{"weightMultiplier":{"condition":{"timeRange":"night"},"multiplier":0.25}}</t>
        </is>
      </c>
      <c r="AT2468" s="19" t="inlineStr"/>
    </row>
    <row r="2469" ht="32" customHeight="1">
      <c r="A2469" s="18" t="inlineStr">
        <is>
          <t>0736_grubbin.json::grubbin-1::001</t>
        </is>
      </c>
      <c r="B2469" s="19" t="inlineStr">
        <is>
          <t>사용</t>
        </is>
      </c>
      <c r="C2469" s="18">
        <f>IF(OR(B2469&lt;&gt;AK2469,M2469&lt;&gt;L2469,O2469&lt;&gt;"",Q2469&lt;&gt;"",V2469&lt;&gt;1,Y2469&lt;&gt;"",AT2469&lt;&gt;""),"수정","원본")</f>
        <v/>
      </c>
      <c r="D2469" s="18" t="n">
        <v>736</v>
      </c>
      <c r="E2469" s="18" t="inlineStr">
        <is>
          <t>턱지충이</t>
        </is>
      </c>
      <c r="F2469" s="18" t="inlineStr">
        <is>
          <t>grubbin</t>
        </is>
      </c>
      <c r="G2469" s="18" t="inlineStr">
        <is>
          <t>grubbin</t>
        </is>
      </c>
      <c r="H2469" s="18" t="inlineStr"/>
      <c r="I2469" s="18" t="n">
        <v>7</v>
      </c>
      <c r="J2469" s="18" t="n"/>
      <c r="K2469" s="18" t="n">
        <v>7</v>
      </c>
      <c r="L2469" s="18" t="inlineStr">
        <is>
          <t>cobbleventure:generation_7</t>
        </is>
      </c>
      <c r="M2469" s="19" t="inlineStr">
        <is>
          <t>cobbleventure:generation_7</t>
        </is>
      </c>
      <c r="N2469" s="18" t="inlineStr"/>
      <c r="O2469" s="19" t="inlineStr"/>
      <c r="P2469" s="18" t="inlineStr">
        <is>
          <t>#cobblemon:is_badlands; #cobblemon:is_jungle</t>
        </is>
      </c>
      <c r="Q2469" s="19" t="inlineStr"/>
      <c r="R2469" s="18">
        <f>IF(Q2469="",P2469,Q2469)</f>
        <v/>
      </c>
      <c r="S2469" s="18" t="inlineStr"/>
      <c r="T2469" s="18" t="inlineStr">
        <is>
          <t>common</t>
        </is>
      </c>
      <c r="U2469" s="20" t="n">
        <v>5</v>
      </c>
      <c r="V2469" s="21" t="n">
        <v>1</v>
      </c>
      <c r="W2469" s="20">
        <f>IF(OR(U2469="",V2469=""),U2469,U2469*V2469)</f>
        <v/>
      </c>
      <c r="X2469" s="18" t="inlineStr">
        <is>
          <t>5-18</t>
        </is>
      </c>
      <c r="Y2469" s="19" t="inlineStr"/>
      <c r="Z2469" s="18">
        <f>IF(Y2469="",X2469,Y2469)</f>
        <v/>
      </c>
      <c r="AA2469" s="18" t="inlineStr">
        <is>
          <t>grounded</t>
        </is>
      </c>
      <c r="AB2469" s="18" t="inlineStr"/>
      <c r="AC2469" s="18" t="inlineStr"/>
      <c r="AD2469" s="18" t="inlineStr"/>
      <c r="AE2469" s="18" t="inlineStr">
        <is>
          <t>sky 8-15</t>
        </is>
      </c>
      <c r="AF2469" s="18" t="inlineStr"/>
      <c r="AG2469" s="18" t="inlineStr"/>
      <c r="AH2469" s="18" t="inlineStr"/>
      <c r="AI2469" s="18" t="inlineStr"/>
      <c r="AJ2469" s="18" t="inlineStr">
        <is>
          <t>COBBLEVERSE 추가</t>
        </is>
      </c>
      <c r="AK2469" s="18" t="inlineStr">
        <is>
          <t>사용</t>
        </is>
      </c>
      <c r="AL2469" s="18" t="inlineStr">
        <is>
          <t>COBBLEVERSE 1.7.42 / DP v31</t>
        </is>
      </c>
      <c r="AM2469" s="18" t="inlineStr">
        <is>
          <t>data/cobblemon/spawn_pool_world/0736_grubbin.json</t>
        </is>
      </c>
      <c r="AN2469" s="18" t="inlineStr">
        <is>
          <t>grubbin-1</t>
        </is>
      </c>
      <c r="AO2469" s="18" t="inlineStr">
        <is>
          <t>pokemon</t>
        </is>
      </c>
      <c r="AP2469" s="18" t="inlineStr">
        <is>
          <t>natural</t>
        </is>
      </c>
      <c r="AQ2469" s="18" t="inlineStr">
        <is>
          <t>{"biomes":["#cobblemon:is_badlands","#cobblemon:is_jungle"],"maxSkyLight":15,"minSkyLight":8}</t>
        </is>
      </c>
      <c r="AR2469" s="18" t="inlineStr"/>
      <c r="AS2469" s="18" t="inlineStr"/>
      <c r="AT2469" s="19" t="inlineStr"/>
    </row>
    <row r="2470" ht="32" customHeight="1">
      <c r="A2470" s="18" t="inlineStr">
        <is>
          <t>0737_charjabug.json::charjabug-1::001</t>
        </is>
      </c>
      <c r="B2470" s="19" t="inlineStr">
        <is>
          <t>사용</t>
        </is>
      </c>
      <c r="C2470" s="18">
        <f>IF(OR(B2470&lt;&gt;AK2470,M2470&lt;&gt;L2470,O2470&lt;&gt;"",Q2470&lt;&gt;"",V2470&lt;&gt;1,Y2470&lt;&gt;"",AT2470&lt;&gt;""),"수정","원본")</f>
        <v/>
      </c>
      <c r="D2470" s="18" t="n">
        <v>737</v>
      </c>
      <c r="E2470" s="18" t="inlineStr">
        <is>
          <t>전지충이</t>
        </is>
      </c>
      <c r="F2470" s="18" t="inlineStr">
        <is>
          <t>charjabug</t>
        </is>
      </c>
      <c r="G2470" s="18" t="inlineStr">
        <is>
          <t>charjabug</t>
        </is>
      </c>
      <c r="H2470" s="18" t="inlineStr"/>
      <c r="I2470" s="18" t="n">
        <v>7</v>
      </c>
      <c r="J2470" s="18" t="n"/>
      <c r="K2470" s="18" t="n">
        <v>7</v>
      </c>
      <c r="L2470" s="18" t="inlineStr">
        <is>
          <t>cobbleventure:generation_7</t>
        </is>
      </c>
      <c r="M2470" s="19" t="inlineStr">
        <is>
          <t>cobbleventure:generation_7</t>
        </is>
      </c>
      <c r="N2470" s="18" t="inlineStr"/>
      <c r="O2470" s="19" t="inlineStr"/>
      <c r="P2470" s="18" t="inlineStr">
        <is>
          <t>#cobblemon:is_badlands; #cobblemon:is_jungle</t>
        </is>
      </c>
      <c r="Q2470" s="19" t="inlineStr"/>
      <c r="R2470" s="18">
        <f>IF(Q2470="",P2470,Q2470)</f>
        <v/>
      </c>
      <c r="S2470" s="18" t="inlineStr"/>
      <c r="T2470" s="18" t="inlineStr">
        <is>
          <t>uncommon</t>
        </is>
      </c>
      <c r="U2470" s="20" t="n">
        <v>4</v>
      </c>
      <c r="V2470" s="21" t="n">
        <v>1</v>
      </c>
      <c r="W2470" s="20">
        <f>IF(OR(U2470="",V2470=""),U2470,U2470*V2470)</f>
        <v/>
      </c>
      <c r="X2470" s="18" t="inlineStr">
        <is>
          <t>22-45</t>
        </is>
      </c>
      <c r="Y2470" s="19" t="inlineStr"/>
      <c r="Z2470" s="18">
        <f>IF(Y2470="",X2470,Y2470)</f>
        <v/>
      </c>
      <c r="AA2470" s="18" t="inlineStr">
        <is>
          <t>grounded</t>
        </is>
      </c>
      <c r="AB2470" s="18" t="inlineStr"/>
      <c r="AC2470" s="18" t="inlineStr"/>
      <c r="AD2470" s="18" t="inlineStr"/>
      <c r="AE2470" s="18" t="inlineStr">
        <is>
          <t>sky 8-15</t>
        </is>
      </c>
      <c r="AF2470" s="18" t="inlineStr"/>
      <c r="AG2470" s="18" t="inlineStr"/>
      <c r="AH2470" s="18" t="inlineStr"/>
      <c r="AI2470" s="18" t="inlineStr"/>
      <c r="AJ2470" s="18" t="inlineStr">
        <is>
          <t>COBBLEVERSE 추가</t>
        </is>
      </c>
      <c r="AK2470" s="18" t="inlineStr">
        <is>
          <t>사용</t>
        </is>
      </c>
      <c r="AL2470" s="18" t="inlineStr">
        <is>
          <t>COBBLEVERSE 1.7.42 / DP v31</t>
        </is>
      </c>
      <c r="AM2470" s="18" t="inlineStr">
        <is>
          <t>data/cobblemon/spawn_pool_world/0737_charjabug.json</t>
        </is>
      </c>
      <c r="AN2470" s="18" t="inlineStr">
        <is>
          <t>charjabug-1</t>
        </is>
      </c>
      <c r="AO2470" s="18" t="inlineStr">
        <is>
          <t>pokemon</t>
        </is>
      </c>
      <c r="AP2470" s="18" t="inlineStr">
        <is>
          <t>natural</t>
        </is>
      </c>
      <c r="AQ2470" s="18" t="inlineStr">
        <is>
          <t>{"biomes":["#cobblemon:is_badlands","#cobblemon:is_jungle"],"maxSkyLight":15,"minSkyLight":8}</t>
        </is>
      </c>
      <c r="AR2470" s="18" t="inlineStr"/>
      <c r="AS2470" s="18" t="inlineStr"/>
      <c r="AT2470" s="19" t="inlineStr"/>
    </row>
    <row r="2471" ht="32" customHeight="1">
      <c r="A2471" s="18" t="inlineStr">
        <is>
          <t>0738_vikavolt.json::vikavolt-1::001</t>
        </is>
      </c>
      <c r="B2471" s="19" t="inlineStr">
        <is>
          <t>사용</t>
        </is>
      </c>
      <c r="C2471" s="18">
        <f>IF(OR(B2471&lt;&gt;AK2471,M2471&lt;&gt;L2471,O2471&lt;&gt;"",Q2471&lt;&gt;"",V2471&lt;&gt;1,Y2471&lt;&gt;"",AT2471&lt;&gt;""),"수정","원본")</f>
        <v/>
      </c>
      <c r="D2471" s="18" t="n">
        <v>738</v>
      </c>
      <c r="E2471" s="18" t="inlineStr">
        <is>
          <t>투구뿌논</t>
        </is>
      </c>
      <c r="F2471" s="18" t="inlineStr">
        <is>
          <t>vikavolt</t>
        </is>
      </c>
      <c r="G2471" s="18" t="inlineStr">
        <is>
          <t>vikavolt</t>
        </is>
      </c>
      <c r="H2471" s="18" t="inlineStr"/>
      <c r="I2471" s="18" t="n">
        <v>7</v>
      </c>
      <c r="J2471" s="18" t="n"/>
      <c r="K2471" s="18" t="n">
        <v>7</v>
      </c>
      <c r="L2471" s="18" t="inlineStr">
        <is>
          <t>cobbleventure:generation_7</t>
        </is>
      </c>
      <c r="M2471" s="19" t="inlineStr">
        <is>
          <t>cobbleventure:generation_7</t>
        </is>
      </c>
      <c r="N2471" s="18" t="inlineStr"/>
      <c r="O2471" s="19" t="inlineStr"/>
      <c r="P2471" s="18" t="inlineStr">
        <is>
          <t>#cobblemon:is_badlands; #cobblemon:is_jungle</t>
        </is>
      </c>
      <c r="Q2471" s="19" t="inlineStr"/>
      <c r="R2471" s="18">
        <f>IF(Q2471="",P2471,Q2471)</f>
        <v/>
      </c>
      <c r="S2471" s="18" t="inlineStr"/>
      <c r="T2471" s="18" t="inlineStr">
        <is>
          <t>rare</t>
        </is>
      </c>
      <c r="U2471" s="20" t="n">
        <v>3</v>
      </c>
      <c r="V2471" s="21" t="n">
        <v>1</v>
      </c>
      <c r="W2471" s="20">
        <f>IF(OR(U2471="",V2471=""),U2471,U2471*V2471)</f>
        <v/>
      </c>
      <c r="X2471" s="18" t="inlineStr">
        <is>
          <t>40-67</t>
        </is>
      </c>
      <c r="Y2471" s="19" t="inlineStr"/>
      <c r="Z2471" s="18">
        <f>IF(Y2471="",X2471,Y2471)</f>
        <v/>
      </c>
      <c r="AA2471" s="18" t="inlineStr">
        <is>
          <t>grounded</t>
        </is>
      </c>
      <c r="AB2471" s="18" t="inlineStr"/>
      <c r="AC2471" s="18" t="inlineStr"/>
      <c r="AD2471" s="18" t="inlineStr"/>
      <c r="AE2471" s="18" t="inlineStr">
        <is>
          <t>sky 8-15</t>
        </is>
      </c>
      <c r="AF2471" s="18" t="inlineStr"/>
      <c r="AG2471" s="18" t="inlineStr"/>
      <c r="AH2471" s="18" t="inlineStr"/>
      <c r="AI2471" s="18" t="inlineStr"/>
      <c r="AJ2471" s="18" t="inlineStr">
        <is>
          <t>COBBLEVERSE 추가</t>
        </is>
      </c>
      <c r="AK2471" s="18" t="inlineStr">
        <is>
          <t>사용</t>
        </is>
      </c>
      <c r="AL2471" s="18" t="inlineStr">
        <is>
          <t>COBBLEVERSE 1.7.42 / DP v31</t>
        </is>
      </c>
      <c r="AM2471" s="18" t="inlineStr">
        <is>
          <t>data/cobblemon/spawn_pool_world/0738_vikavolt.json</t>
        </is>
      </c>
      <c r="AN2471" s="18" t="inlineStr">
        <is>
          <t>vikavolt-1</t>
        </is>
      </c>
      <c r="AO2471" s="18" t="inlineStr">
        <is>
          <t>pokemon</t>
        </is>
      </c>
      <c r="AP2471" s="18" t="inlineStr">
        <is>
          <t>natural</t>
        </is>
      </c>
      <c r="AQ2471" s="18" t="inlineStr">
        <is>
          <t>{"biomes":["#cobblemon:is_badlands","#cobblemon:is_jungle"],"maxSkyLight":15,"minSkyLight":8}</t>
        </is>
      </c>
      <c r="AR2471" s="18" t="inlineStr"/>
      <c r="AS2471" s="18" t="inlineStr"/>
      <c r="AT2471" s="19" t="inlineStr"/>
    </row>
    <row r="2472" ht="32" customHeight="1">
      <c r="A2472" s="18" t="inlineStr">
        <is>
          <t>0739_crabrawler.json::crabrawler-1::001</t>
        </is>
      </c>
      <c r="B2472" s="19" t="inlineStr">
        <is>
          <t>사용</t>
        </is>
      </c>
      <c r="C2472" s="18">
        <f>IF(OR(B2472&lt;&gt;AK2472,M2472&lt;&gt;L2472,O2472&lt;&gt;"",Q2472&lt;&gt;"",V2472&lt;&gt;1,Y2472&lt;&gt;"",AT2472&lt;&gt;""),"수정","원본")</f>
        <v/>
      </c>
      <c r="D2472" s="18" t="n">
        <v>739</v>
      </c>
      <c r="E2472" s="18" t="inlineStr">
        <is>
          <t>오기지게</t>
        </is>
      </c>
      <c r="F2472" s="18" t="inlineStr">
        <is>
          <t>crabrawler</t>
        </is>
      </c>
      <c r="G2472" s="18" t="inlineStr">
        <is>
          <t>crabrawler</t>
        </is>
      </c>
      <c r="H2472" s="18" t="inlineStr"/>
      <c r="I2472" s="18" t="n">
        <v>7</v>
      </c>
      <c r="J2472" s="18" t="n"/>
      <c r="K2472" s="18" t="n">
        <v>7</v>
      </c>
      <c r="L2472" s="18" t="inlineStr">
        <is>
          <t>cobbleventure:generation_7</t>
        </is>
      </c>
      <c r="M2472" s="19" t="inlineStr">
        <is>
          <t>cobbleventure:generation_7</t>
        </is>
      </c>
      <c r="N2472" s="18" t="inlineStr"/>
      <c r="O2472" s="19" t="inlineStr"/>
      <c r="P2472" s="18" t="inlineStr">
        <is>
          <t>#cobblemon:is_coast</t>
        </is>
      </c>
      <c r="Q2472" s="19" t="inlineStr"/>
      <c r="R2472" s="18">
        <f>IF(Q2472="",P2472,Q2472)</f>
        <v/>
      </c>
      <c r="S2472" s="18" t="inlineStr"/>
      <c r="T2472" s="18" t="inlineStr">
        <is>
          <t>common</t>
        </is>
      </c>
      <c r="U2472" s="20" t="n">
        <v>6</v>
      </c>
      <c r="V2472" s="21" t="n">
        <v>1</v>
      </c>
      <c r="W2472" s="20">
        <f>IF(OR(U2472="",V2472=""),U2472,U2472*V2472)</f>
        <v/>
      </c>
      <c r="X2472" s="18" t="inlineStr">
        <is>
          <t>9-34</t>
        </is>
      </c>
      <c r="Y2472" s="19" t="inlineStr"/>
      <c r="Z2472" s="18">
        <f>IF(Y2472="",X2472,Y2472)</f>
        <v/>
      </c>
      <c r="AA2472" s="18" t="inlineStr">
        <is>
          <t>grounded</t>
        </is>
      </c>
      <c r="AB2472" s="18" t="inlineStr"/>
      <c r="AC2472" s="18" t="inlineStr"/>
      <c r="AD2472" s="18" t="inlineStr"/>
      <c r="AE2472" s="18" t="inlineStr">
        <is>
          <t>sky 8-15</t>
        </is>
      </c>
      <c r="AF2472" s="18" t="inlineStr"/>
      <c r="AG2472" s="18" t="inlineStr"/>
      <c r="AH2472" s="18" t="inlineStr"/>
      <c r="AI2472" s="18" t="inlineStr"/>
      <c r="AJ2472" s="18" t="inlineStr">
        <is>
          <t>Cobblemon 동일</t>
        </is>
      </c>
      <c r="AK2472" s="18" t="inlineStr">
        <is>
          <t>사용</t>
        </is>
      </c>
      <c r="AL2472" s="18" t="inlineStr">
        <is>
          <t>COBBLEVERSE 1.7.42 / DP v31</t>
        </is>
      </c>
      <c r="AM2472" s="18" t="inlineStr">
        <is>
          <t>data/cobblemon/spawn_pool_world/0739_crabrawler.json</t>
        </is>
      </c>
      <c r="AN2472" s="18" t="inlineStr">
        <is>
          <t>crabrawler-1</t>
        </is>
      </c>
      <c r="AO2472" s="18" t="inlineStr">
        <is>
          <t>pokemon</t>
        </is>
      </c>
      <c r="AP2472" s="18" t="inlineStr">
        <is>
          <t>natural</t>
        </is>
      </c>
      <c r="AQ2472" s="18" t="inlineStr">
        <is>
          <t>{"biomes":["#cobblemon:is_coast"],"maxSkyLight":15,"minSkyLight":8}</t>
        </is>
      </c>
      <c r="AR2472" s="18" t="inlineStr"/>
      <c r="AS2472" s="18" t="inlineStr"/>
      <c r="AT2472" s="19" t="inlineStr"/>
    </row>
    <row r="2473" ht="32" customHeight="1">
      <c r="A2473" s="18" t="inlineStr">
        <is>
          <t>0740_crabominable.json::crabominable-1::001</t>
        </is>
      </c>
      <c r="B2473" s="19" t="inlineStr">
        <is>
          <t>사용</t>
        </is>
      </c>
      <c r="C2473" s="18">
        <f>IF(OR(B2473&lt;&gt;AK2473,M2473&lt;&gt;L2473,O2473&lt;&gt;"",Q2473&lt;&gt;"",V2473&lt;&gt;1,Y2473&lt;&gt;"",AT2473&lt;&gt;""),"수정","원본")</f>
        <v/>
      </c>
      <c r="D2473" s="18" t="n">
        <v>740</v>
      </c>
      <c r="E2473" s="18" t="inlineStr">
        <is>
          <t>모단단게</t>
        </is>
      </c>
      <c r="F2473" s="18" t="inlineStr">
        <is>
          <t>crabominable</t>
        </is>
      </c>
      <c r="G2473" s="18" t="inlineStr">
        <is>
          <t>crabominable</t>
        </is>
      </c>
      <c r="H2473" s="18" t="inlineStr"/>
      <c r="I2473" s="18" t="n">
        <v>7</v>
      </c>
      <c r="J2473" s="18" t="n"/>
      <c r="K2473" s="18" t="n">
        <v>7</v>
      </c>
      <c r="L2473" s="18" t="inlineStr">
        <is>
          <t>cobbleventure:generation_7</t>
        </is>
      </c>
      <c r="M2473" s="19" t="inlineStr">
        <is>
          <t>cobbleventure:generation_7</t>
        </is>
      </c>
      <c r="N2473" s="18" t="inlineStr"/>
      <c r="O2473" s="19" t="inlineStr"/>
      <c r="P2473" s="18" t="inlineStr">
        <is>
          <t>#cobblemon:is_peak</t>
        </is>
      </c>
      <c r="Q2473" s="19" t="inlineStr"/>
      <c r="R2473" s="18">
        <f>IF(Q2473="",P2473,Q2473)</f>
        <v/>
      </c>
      <c r="S2473" s="18" t="inlineStr">
        <is>
          <t>#cobblemon:is_volcanic</t>
        </is>
      </c>
      <c r="T2473" s="18" t="inlineStr">
        <is>
          <t>uncommon</t>
        </is>
      </c>
      <c r="U2473" s="20" t="n">
        <v>2</v>
      </c>
      <c r="V2473" s="21" t="n">
        <v>1</v>
      </c>
      <c r="W2473" s="20">
        <f>IF(OR(U2473="",V2473=""),U2473,U2473*V2473)</f>
        <v/>
      </c>
      <c r="X2473" s="18" t="inlineStr">
        <is>
          <t>29-48</t>
        </is>
      </c>
      <c r="Y2473" s="19" t="inlineStr"/>
      <c r="Z2473" s="18">
        <f>IF(Y2473="",X2473,Y2473)</f>
        <v/>
      </c>
      <c r="AA2473" s="18" t="inlineStr">
        <is>
          <t>grounded</t>
        </is>
      </c>
      <c r="AB2473" s="18" t="inlineStr"/>
      <c r="AC2473" s="18" t="inlineStr"/>
      <c r="AD2473" s="18" t="inlineStr"/>
      <c r="AE2473" s="18" t="inlineStr">
        <is>
          <t>sky 8-15</t>
        </is>
      </c>
      <c r="AF2473" s="18" t="inlineStr"/>
      <c r="AG2473" s="18" t="inlineStr"/>
      <c r="AH2473" s="18" t="inlineStr"/>
      <c r="AI2473" s="18" t="inlineStr"/>
      <c r="AJ2473" s="18" t="inlineStr">
        <is>
          <t>Cobblemon 동일</t>
        </is>
      </c>
      <c r="AK2473" s="18" t="inlineStr">
        <is>
          <t>사용</t>
        </is>
      </c>
      <c r="AL2473" s="18" t="inlineStr">
        <is>
          <t>COBBLEVERSE 1.7.42 / DP v31</t>
        </is>
      </c>
      <c r="AM2473" s="18" t="inlineStr">
        <is>
          <t>data/cobblemon/spawn_pool_world/0740_crabominable.json</t>
        </is>
      </c>
      <c r="AN2473" s="18" t="inlineStr">
        <is>
          <t>crabominable-1</t>
        </is>
      </c>
      <c r="AO2473" s="18" t="inlineStr">
        <is>
          <t>pokemon</t>
        </is>
      </c>
      <c r="AP2473" s="18" t="inlineStr">
        <is>
          <t>natural</t>
        </is>
      </c>
      <c r="AQ2473" s="18" t="inlineStr">
        <is>
          <t>{"biomes":["#cobblemon:is_peak"],"maxSkyLight":15,"minSkyLight":8}</t>
        </is>
      </c>
      <c r="AR2473" s="18" t="inlineStr">
        <is>
          <t>{"biomes":["#cobblemon:is_volcanic"]}</t>
        </is>
      </c>
      <c r="AS2473" s="18" t="inlineStr"/>
      <c r="AT2473" s="19" t="inlineStr"/>
    </row>
    <row r="2474" ht="32" customHeight="1">
      <c r="A2474" s="18" t="inlineStr">
        <is>
          <t>0741_oricorio.json::oricorio-1::001</t>
        </is>
      </c>
      <c r="B2474" s="19" t="inlineStr">
        <is>
          <t>사용</t>
        </is>
      </c>
      <c r="C2474" s="18">
        <f>IF(OR(B2474&lt;&gt;AK2474,M2474&lt;&gt;L2474,O2474&lt;&gt;"",Q2474&lt;&gt;"",V2474&lt;&gt;1,Y2474&lt;&gt;"",AT2474&lt;&gt;""),"수정","원본")</f>
        <v/>
      </c>
      <c r="D2474" s="18" t="n">
        <v>741</v>
      </c>
      <c r="E2474" s="18" t="inlineStr">
        <is>
          <t>춤추새</t>
        </is>
      </c>
      <c r="F2474" s="18" t="inlineStr">
        <is>
          <t>oricorio</t>
        </is>
      </c>
      <c r="G2474" s="18" t="inlineStr">
        <is>
          <t>oricorio dance_style=baile</t>
        </is>
      </c>
      <c r="H2474" s="18" t="inlineStr">
        <is>
          <t>dance_style=baile</t>
        </is>
      </c>
      <c r="I2474" s="18" t="n">
        <v>7</v>
      </c>
      <c r="J2474" s="18" t="n"/>
      <c r="K2474" s="18" t="n">
        <v>7</v>
      </c>
      <c r="L2474" s="18" t="inlineStr">
        <is>
          <t>cobbleventure:generation_7</t>
        </is>
      </c>
      <c r="M2474" s="19" t="inlineStr">
        <is>
          <t>cobbleventure:generation_7</t>
        </is>
      </c>
      <c r="N2474" s="18" t="inlineStr">
        <is>
          <t>region_01</t>
        </is>
      </c>
      <c r="O2474" s="19" t="inlineStr"/>
      <c r="P2474" s="18" t="inlineStr">
        <is>
          <t>#cobblemon:is_plains; #cobblemon:is_hills</t>
        </is>
      </c>
      <c r="Q2474" s="19" t="inlineStr"/>
      <c r="R2474" s="18">
        <f>IF(Q2474="",P2474,Q2474)</f>
        <v/>
      </c>
      <c r="S2474" s="18" t="inlineStr"/>
      <c r="T2474" s="18" t="inlineStr">
        <is>
          <t>uncommon</t>
        </is>
      </c>
      <c r="U2474" s="20" t="n">
        <v>3</v>
      </c>
      <c r="V2474" s="21" t="n">
        <v>1</v>
      </c>
      <c r="W2474" s="20">
        <f>IF(OR(U2474="",V2474=""),U2474,U2474*V2474)</f>
        <v/>
      </c>
      <c r="X2474" s="18" t="inlineStr">
        <is>
          <t>18-33</t>
        </is>
      </c>
      <c r="Y2474" s="19" t="inlineStr"/>
      <c r="Z2474" s="18">
        <f>IF(Y2474="",X2474,Y2474)</f>
        <v/>
      </c>
      <c r="AA2474" s="18" t="inlineStr">
        <is>
          <t>grounded</t>
        </is>
      </c>
      <c r="AB2474" s="18" t="inlineStr"/>
      <c r="AC2474" s="18" t="inlineStr"/>
      <c r="AD2474" s="18" t="inlineStr"/>
      <c r="AE2474" s="18" t="inlineStr"/>
      <c r="AF2474" s="18" t="inlineStr">
        <is>
          <t>True</t>
        </is>
      </c>
      <c r="AG2474" s="18" t="inlineStr"/>
      <c r="AH2474" s="18" t="inlineStr"/>
      <c r="AI2474" s="18" t="inlineStr"/>
      <c r="AJ2474" s="18" t="inlineStr">
        <is>
          <t>COBBLEVERSE 추가</t>
        </is>
      </c>
      <c r="AK2474" s="18" t="inlineStr">
        <is>
          <t>사용</t>
        </is>
      </c>
      <c r="AL2474" s="18" t="inlineStr">
        <is>
          <t>COBBLEVERSE 1.7.42 / DP v31</t>
        </is>
      </c>
      <c r="AM2474" s="18" t="inlineStr">
        <is>
          <t>data/cobblemon/spawn_pool_world/0741_oricorio.json</t>
        </is>
      </c>
      <c r="AN2474" s="18" t="inlineStr">
        <is>
          <t>oricorio-1</t>
        </is>
      </c>
      <c r="AO2474" s="18" t="inlineStr">
        <is>
          <t>pokemon</t>
        </is>
      </c>
      <c r="AP2474" s="18" t="inlineStr">
        <is>
          <t>natural</t>
        </is>
      </c>
      <c r="AQ2474" s="18" t="inlineStr">
        <is>
          <t>{"biomes":["#cobblemon:is_plains","#cobblemon:is_hills"],"canSeeSky":true}</t>
        </is>
      </c>
      <c r="AR2474" s="18" t="inlineStr"/>
      <c r="AS2474" s="18" t="inlineStr"/>
      <c r="AT2474" s="19" t="inlineStr"/>
    </row>
    <row r="2475" ht="32" customHeight="1">
      <c r="A2475" s="18" t="inlineStr">
        <is>
          <t>0741_oricorio.json::oricorio-2::002</t>
        </is>
      </c>
      <c r="B2475" s="19" t="inlineStr">
        <is>
          <t>사용</t>
        </is>
      </c>
      <c r="C2475" s="18">
        <f>IF(OR(B2475&lt;&gt;AK2475,M2475&lt;&gt;L2475,O2475&lt;&gt;"",Q2475&lt;&gt;"",V2475&lt;&gt;1,Y2475&lt;&gt;"",AT2475&lt;&gt;""),"수정","원본")</f>
        <v/>
      </c>
      <c r="D2475" s="18" t="n">
        <v>741</v>
      </c>
      <c r="E2475" s="18" t="inlineStr">
        <is>
          <t>춤추새</t>
        </is>
      </c>
      <c r="F2475" s="18" t="inlineStr">
        <is>
          <t>oricorio</t>
        </is>
      </c>
      <c r="G2475" s="18" t="inlineStr">
        <is>
          <t>oricorio dance_style=pom-pom</t>
        </is>
      </c>
      <c r="H2475" s="18" t="inlineStr">
        <is>
          <t>dance_style=pom-pom</t>
        </is>
      </c>
      <c r="I2475" s="18" t="n">
        <v>7</v>
      </c>
      <c r="J2475" s="18" t="n"/>
      <c r="K2475" s="18" t="n">
        <v>7</v>
      </c>
      <c r="L2475" s="18" t="inlineStr">
        <is>
          <t>cobbleventure:generation_7</t>
        </is>
      </c>
      <c r="M2475" s="19" t="inlineStr">
        <is>
          <t>cobbleventure:generation_7</t>
        </is>
      </c>
      <c r="N2475" s="18" t="inlineStr"/>
      <c r="O2475" s="19" t="inlineStr"/>
      <c r="P2475" s="18" t="inlineStr">
        <is>
          <t>#cobblemon:is_mountain; #cobblemon:is_jungle</t>
        </is>
      </c>
      <c r="Q2475" s="19" t="inlineStr"/>
      <c r="R2475" s="18">
        <f>IF(Q2475="",P2475,Q2475)</f>
        <v/>
      </c>
      <c r="S2475" s="18" t="inlineStr"/>
      <c r="T2475" s="18" t="inlineStr">
        <is>
          <t>uncommon</t>
        </is>
      </c>
      <c r="U2475" s="20" t="n">
        <v>3</v>
      </c>
      <c r="V2475" s="21" t="n">
        <v>1</v>
      </c>
      <c r="W2475" s="20">
        <f>IF(OR(U2475="",V2475=""),U2475,U2475*V2475)</f>
        <v/>
      </c>
      <c r="X2475" s="18" t="inlineStr">
        <is>
          <t>18-33</t>
        </is>
      </c>
      <c r="Y2475" s="19" t="inlineStr"/>
      <c r="Z2475" s="18">
        <f>IF(Y2475="",X2475,Y2475)</f>
        <v/>
      </c>
      <c r="AA2475" s="18" t="inlineStr">
        <is>
          <t>grounded</t>
        </is>
      </c>
      <c r="AB2475" s="18" t="inlineStr"/>
      <c r="AC2475" s="18" t="inlineStr"/>
      <c r="AD2475" s="18" t="inlineStr"/>
      <c r="AE2475" s="18" t="inlineStr"/>
      <c r="AF2475" s="18" t="inlineStr">
        <is>
          <t>True</t>
        </is>
      </c>
      <c r="AG2475" s="18" t="inlineStr"/>
      <c r="AH2475" s="18" t="inlineStr"/>
      <c r="AI2475" s="18" t="inlineStr"/>
      <c r="AJ2475" s="18" t="inlineStr">
        <is>
          <t>COBBLEVERSE 추가</t>
        </is>
      </c>
      <c r="AK2475" s="18" t="inlineStr">
        <is>
          <t>사용</t>
        </is>
      </c>
      <c r="AL2475" s="18" t="inlineStr">
        <is>
          <t>COBBLEVERSE 1.7.42 / DP v31</t>
        </is>
      </c>
      <c r="AM2475" s="18" t="inlineStr">
        <is>
          <t>data/cobblemon/spawn_pool_world/0741_oricorio.json</t>
        </is>
      </c>
      <c r="AN2475" s="18" t="inlineStr">
        <is>
          <t>oricorio-2</t>
        </is>
      </c>
      <c r="AO2475" s="18" t="inlineStr">
        <is>
          <t>pokemon</t>
        </is>
      </c>
      <c r="AP2475" s="18" t="inlineStr">
        <is>
          <t>natural</t>
        </is>
      </c>
      <c r="AQ2475" s="18" t="inlineStr">
        <is>
          <t>{"biomes":["#cobblemon:is_mountain","#cobblemon:is_jungle"],"canSeeSky":true}</t>
        </is>
      </c>
      <c r="AR2475" s="18" t="inlineStr"/>
      <c r="AS2475" s="18" t="inlineStr"/>
      <c r="AT2475" s="19" t="inlineStr"/>
    </row>
    <row r="2476" ht="32" customHeight="1">
      <c r="A2476" s="18" t="inlineStr">
        <is>
          <t>0741_oricorio.json::oricorio-3::003</t>
        </is>
      </c>
      <c r="B2476" s="19" t="inlineStr">
        <is>
          <t>사용</t>
        </is>
      </c>
      <c r="C2476" s="18">
        <f>IF(OR(B2476&lt;&gt;AK2476,M2476&lt;&gt;L2476,O2476&lt;&gt;"",Q2476&lt;&gt;"",V2476&lt;&gt;1,Y2476&lt;&gt;"",AT2476&lt;&gt;""),"수정","원본")</f>
        <v/>
      </c>
      <c r="D2476" s="18" t="n">
        <v>741</v>
      </c>
      <c r="E2476" s="18" t="inlineStr">
        <is>
          <t>춤추새</t>
        </is>
      </c>
      <c r="F2476" s="18" t="inlineStr">
        <is>
          <t>oricorio</t>
        </is>
      </c>
      <c r="G2476" s="18" t="inlineStr">
        <is>
          <t>oricorio dance_style=pau</t>
        </is>
      </c>
      <c r="H2476" s="18" t="inlineStr">
        <is>
          <t>dance_style=pau</t>
        </is>
      </c>
      <c r="I2476" s="18" t="n">
        <v>7</v>
      </c>
      <c r="J2476" s="18" t="n"/>
      <c r="K2476" s="18" t="n">
        <v>7</v>
      </c>
      <c r="L2476" s="18" t="inlineStr">
        <is>
          <t>cobbleventure:generation_7</t>
        </is>
      </c>
      <c r="M2476" s="19" t="inlineStr">
        <is>
          <t>cobbleventure:generation_7</t>
        </is>
      </c>
      <c r="N2476" s="18" t="inlineStr"/>
      <c r="O2476" s="19" t="inlineStr"/>
      <c r="P2476" s="18" t="inlineStr">
        <is>
          <t>#cobblemon:is_floral</t>
        </is>
      </c>
      <c r="Q2476" s="19" t="inlineStr"/>
      <c r="R2476" s="18">
        <f>IF(Q2476="",P2476,Q2476)</f>
        <v/>
      </c>
      <c r="S2476" s="18" t="inlineStr"/>
      <c r="T2476" s="18" t="inlineStr">
        <is>
          <t>uncommon</t>
        </is>
      </c>
      <c r="U2476" s="20" t="n">
        <v>3</v>
      </c>
      <c r="V2476" s="21" t="n">
        <v>1</v>
      </c>
      <c r="W2476" s="20">
        <f>IF(OR(U2476="",V2476=""),U2476,U2476*V2476)</f>
        <v/>
      </c>
      <c r="X2476" s="18" t="inlineStr">
        <is>
          <t>18-33</t>
        </is>
      </c>
      <c r="Y2476" s="19" t="inlineStr"/>
      <c r="Z2476" s="18">
        <f>IF(Y2476="",X2476,Y2476)</f>
        <v/>
      </c>
      <c r="AA2476" s="18" t="inlineStr">
        <is>
          <t>grounded</t>
        </is>
      </c>
      <c r="AB2476" s="18" t="inlineStr"/>
      <c r="AC2476" s="18" t="inlineStr"/>
      <c r="AD2476" s="18" t="inlineStr"/>
      <c r="AE2476" s="18" t="inlineStr"/>
      <c r="AF2476" s="18" t="inlineStr">
        <is>
          <t>True</t>
        </is>
      </c>
      <c r="AG2476" s="18" t="inlineStr"/>
      <c r="AH2476" s="18" t="inlineStr"/>
      <c r="AI2476" s="18" t="inlineStr"/>
      <c r="AJ2476" s="18" t="inlineStr">
        <is>
          <t>COBBLEVERSE 추가</t>
        </is>
      </c>
      <c r="AK2476" s="18" t="inlineStr">
        <is>
          <t>사용</t>
        </is>
      </c>
      <c r="AL2476" s="18" t="inlineStr">
        <is>
          <t>COBBLEVERSE 1.7.42 / DP v31</t>
        </is>
      </c>
      <c r="AM2476" s="18" t="inlineStr">
        <is>
          <t>data/cobblemon/spawn_pool_world/0741_oricorio.json</t>
        </is>
      </c>
      <c r="AN2476" s="18" t="inlineStr">
        <is>
          <t>oricorio-3</t>
        </is>
      </c>
      <c r="AO2476" s="18" t="inlineStr">
        <is>
          <t>pokemon</t>
        </is>
      </c>
      <c r="AP2476" s="18" t="inlineStr">
        <is>
          <t>natural</t>
        </is>
      </c>
      <c r="AQ2476" s="18" t="inlineStr">
        <is>
          <t>{"biomes":["#cobblemon:is_floral"],"canSeeSky":true}</t>
        </is>
      </c>
      <c r="AR2476" s="18" t="inlineStr"/>
      <c r="AS2476" s="18" t="inlineStr"/>
      <c r="AT2476" s="19" t="inlineStr"/>
    </row>
    <row r="2477" ht="32" customHeight="1">
      <c r="A2477" s="18" t="inlineStr">
        <is>
          <t>0741_oricorio.json::oricorio-4::004</t>
        </is>
      </c>
      <c r="B2477" s="19" t="inlineStr">
        <is>
          <t>사용</t>
        </is>
      </c>
      <c r="C2477" s="18">
        <f>IF(OR(B2477&lt;&gt;AK2477,M2477&lt;&gt;L2477,O2477&lt;&gt;"",Q2477&lt;&gt;"",V2477&lt;&gt;1,Y2477&lt;&gt;"",AT2477&lt;&gt;""),"수정","원본")</f>
        <v/>
      </c>
      <c r="D2477" s="18" t="n">
        <v>741</v>
      </c>
      <c r="E2477" s="18" t="inlineStr">
        <is>
          <t>춤추새</t>
        </is>
      </c>
      <c r="F2477" s="18" t="inlineStr">
        <is>
          <t>oricorio</t>
        </is>
      </c>
      <c r="G2477" s="18" t="inlineStr">
        <is>
          <t>oricorio dance_style=sensu</t>
        </is>
      </c>
      <c r="H2477" s="18" t="inlineStr">
        <is>
          <t>dance_style=sensu</t>
        </is>
      </c>
      <c r="I2477" s="18" t="n">
        <v>7</v>
      </c>
      <c r="J2477" s="18" t="n"/>
      <c r="K2477" s="18" t="n">
        <v>7</v>
      </c>
      <c r="L2477" s="18" t="inlineStr">
        <is>
          <t>cobbleventure:generation_7</t>
        </is>
      </c>
      <c r="M2477" s="19" t="inlineStr">
        <is>
          <t>cobbleventure:generation_7</t>
        </is>
      </c>
      <c r="N2477" s="18" t="inlineStr">
        <is>
          <t>region_01</t>
        </is>
      </c>
      <c r="O2477" s="19" t="inlineStr"/>
      <c r="P2477" s="18" t="inlineStr">
        <is>
          <t>#cobblemon:is_forest</t>
        </is>
      </c>
      <c r="Q2477" s="19" t="inlineStr"/>
      <c r="R2477" s="18">
        <f>IF(Q2477="",P2477,Q2477)</f>
        <v/>
      </c>
      <c r="S2477" s="18" t="inlineStr"/>
      <c r="T2477" s="18" t="inlineStr">
        <is>
          <t>uncommon</t>
        </is>
      </c>
      <c r="U2477" s="20" t="n">
        <v>3</v>
      </c>
      <c r="V2477" s="21" t="n">
        <v>1</v>
      </c>
      <c r="W2477" s="20">
        <f>IF(OR(U2477="",V2477=""),U2477,U2477*V2477)</f>
        <v/>
      </c>
      <c r="X2477" s="18" t="inlineStr">
        <is>
          <t>18-33</t>
        </is>
      </c>
      <c r="Y2477" s="19" t="inlineStr"/>
      <c r="Z2477" s="18">
        <f>IF(Y2477="",X2477,Y2477)</f>
        <v/>
      </c>
      <c r="AA2477" s="18" t="inlineStr">
        <is>
          <t>grounded</t>
        </is>
      </c>
      <c r="AB2477" s="18" t="inlineStr"/>
      <c r="AC2477" s="18" t="inlineStr"/>
      <c r="AD2477" s="18" t="inlineStr"/>
      <c r="AE2477" s="18" t="inlineStr"/>
      <c r="AF2477" s="18" t="inlineStr">
        <is>
          <t>True</t>
        </is>
      </c>
      <c r="AG2477" s="18" t="inlineStr"/>
      <c r="AH2477" s="18" t="inlineStr"/>
      <c r="AI2477" s="18" t="inlineStr"/>
      <c r="AJ2477" s="18" t="inlineStr">
        <is>
          <t>COBBLEVERSE 추가</t>
        </is>
      </c>
      <c r="AK2477" s="18" t="inlineStr">
        <is>
          <t>사용</t>
        </is>
      </c>
      <c r="AL2477" s="18" t="inlineStr">
        <is>
          <t>COBBLEVERSE 1.7.42 / DP v31</t>
        </is>
      </c>
      <c r="AM2477" s="18" t="inlineStr">
        <is>
          <t>data/cobblemon/spawn_pool_world/0741_oricorio.json</t>
        </is>
      </c>
      <c r="AN2477" s="18" t="inlineStr">
        <is>
          <t>oricorio-4</t>
        </is>
      </c>
      <c r="AO2477" s="18" t="inlineStr">
        <is>
          <t>pokemon</t>
        </is>
      </c>
      <c r="AP2477" s="18" t="inlineStr"/>
      <c r="AQ2477" s="18" t="inlineStr">
        <is>
          <t>{"biomes":["#cobblemon:is_forest"],"canSeeSky":true}</t>
        </is>
      </c>
      <c r="AR2477" s="18" t="inlineStr"/>
      <c r="AS2477" s="18" t="inlineStr"/>
      <c r="AT2477" s="19" t="inlineStr"/>
    </row>
    <row r="2478" ht="32" customHeight="1">
      <c r="A2478" s="18" t="inlineStr">
        <is>
          <t>0742_cutiefly.json::cutiefly-1::001</t>
        </is>
      </c>
      <c r="B2478" s="19" t="inlineStr">
        <is>
          <t>사용</t>
        </is>
      </c>
      <c r="C2478" s="18">
        <f>IF(OR(B2478&lt;&gt;AK2478,M2478&lt;&gt;L2478,O2478&lt;&gt;"",Q2478&lt;&gt;"",V2478&lt;&gt;1,Y2478&lt;&gt;"",AT2478&lt;&gt;""),"수정","원본")</f>
        <v/>
      </c>
      <c r="D2478" s="18" t="n">
        <v>742</v>
      </c>
      <c r="E2478" s="18" t="inlineStr">
        <is>
          <t>에블리</t>
        </is>
      </c>
      <c r="F2478" s="18" t="inlineStr">
        <is>
          <t>cutiefly</t>
        </is>
      </c>
      <c r="G2478" s="18" t="inlineStr">
        <is>
          <t>cutiefly</t>
        </is>
      </c>
      <c r="H2478" s="18" t="inlineStr"/>
      <c r="I2478" s="18" t="n">
        <v>7</v>
      </c>
      <c r="J2478" s="18" t="n"/>
      <c r="K2478" s="18" t="n">
        <v>7</v>
      </c>
      <c r="L2478" s="18" t="inlineStr">
        <is>
          <t>cobbleventure:generation_7</t>
        </is>
      </c>
      <c r="M2478" s="19" t="inlineStr">
        <is>
          <t>cobbleventure:generation_7</t>
        </is>
      </c>
      <c r="N2478" s="18" t="inlineStr"/>
      <c r="O2478" s="19" t="inlineStr"/>
      <c r="P2478" s="18" t="inlineStr">
        <is>
          <t>#cobblemon:is_floral</t>
        </is>
      </c>
      <c r="Q2478" s="19" t="inlineStr"/>
      <c r="R2478" s="18">
        <f>IF(Q2478="",P2478,Q2478)</f>
        <v/>
      </c>
      <c r="S2478" s="18" t="inlineStr"/>
      <c r="T2478" s="18" t="inlineStr">
        <is>
          <t>common</t>
        </is>
      </c>
      <c r="U2478" s="20" t="n">
        <v>9</v>
      </c>
      <c r="V2478" s="21" t="n">
        <v>1</v>
      </c>
      <c r="W2478" s="20">
        <f>IF(OR(U2478="",V2478=""),U2478,U2478*V2478)</f>
        <v/>
      </c>
      <c r="X2478" s="18" t="inlineStr">
        <is>
          <t>5-30</t>
        </is>
      </c>
      <c r="Y2478" s="19" t="inlineStr"/>
      <c r="Z2478" s="18">
        <f>IF(Y2478="",X2478,Y2478)</f>
        <v/>
      </c>
      <c r="AA2478" s="18" t="inlineStr">
        <is>
          <t>grounded</t>
        </is>
      </c>
      <c r="AB2478" s="18" t="inlineStr">
        <is>
          <t>day</t>
        </is>
      </c>
      <c r="AC2478" s="18" t="inlineStr">
        <is>
          <t>비=False</t>
        </is>
      </c>
      <c r="AD2478" s="18" t="inlineStr"/>
      <c r="AE2478" s="18" t="inlineStr">
        <is>
          <t>sky 8-15</t>
        </is>
      </c>
      <c r="AF2478" s="18" t="inlineStr"/>
      <c r="AG2478" s="18" t="inlineStr"/>
      <c r="AH2478" s="18" t="inlineStr"/>
      <c r="AI2478" s="18" t="inlineStr"/>
      <c r="AJ2478" s="18" t="inlineStr">
        <is>
          <t>COBBLEVERSE 수정</t>
        </is>
      </c>
      <c r="AK2478" s="18" t="inlineStr">
        <is>
          <t>사용</t>
        </is>
      </c>
      <c r="AL2478" s="18" t="inlineStr">
        <is>
          <t>COBBLEVERSE 1.7.42 / DP v31</t>
        </is>
      </c>
      <c r="AM2478" s="18" t="inlineStr">
        <is>
          <t>data/cobblemon/spawn_pool_world/0742_cutiefly.json</t>
        </is>
      </c>
      <c r="AN2478" s="18" t="inlineStr">
        <is>
          <t>cutiefly-1</t>
        </is>
      </c>
      <c r="AO2478" s="18" t="inlineStr">
        <is>
          <t>pokemon</t>
        </is>
      </c>
      <c r="AP2478" s="18" t="inlineStr">
        <is>
          <t>natural</t>
        </is>
      </c>
      <c r="AQ2478" s="18" t="inlineStr">
        <is>
          <t>{"biomes":["#cobblemon:is_floral"],"isRaining":false,"maxSkyLight":15,"minSkyLight":8,"timeRange":"day"}</t>
        </is>
      </c>
      <c r="AR2478" s="18" t="inlineStr"/>
      <c r="AS2478" s="18" t="inlineStr"/>
      <c r="AT2478" s="19" t="inlineStr"/>
    </row>
    <row r="2479" ht="32" customHeight="1">
      <c r="A2479" s="18" t="inlineStr">
        <is>
          <t>0742_cutiefly.json::cutiefly-2::002</t>
        </is>
      </c>
      <c r="B2479" s="19" t="inlineStr">
        <is>
          <t>사용</t>
        </is>
      </c>
      <c r="C2479" s="18">
        <f>IF(OR(B2479&lt;&gt;AK2479,M2479&lt;&gt;L2479,O2479&lt;&gt;"",Q2479&lt;&gt;"",V2479&lt;&gt;1,Y2479&lt;&gt;"",AT2479&lt;&gt;""),"수정","원본")</f>
        <v/>
      </c>
      <c r="D2479" s="18" t="n">
        <v>742</v>
      </c>
      <c r="E2479" s="18" t="inlineStr">
        <is>
          <t>에블리</t>
        </is>
      </c>
      <c r="F2479" s="18" t="inlineStr">
        <is>
          <t>cutiefly</t>
        </is>
      </c>
      <c r="G2479" s="18" t="inlineStr">
        <is>
          <t>cutiefly</t>
        </is>
      </c>
      <c r="H2479" s="18" t="inlineStr"/>
      <c r="I2479" s="18" t="n">
        <v>7</v>
      </c>
      <c r="J2479" s="18" t="n"/>
      <c r="K2479" s="18" t="n">
        <v>7</v>
      </c>
      <c r="L2479" s="18" t="inlineStr">
        <is>
          <t>cobbleventure:generation_7</t>
        </is>
      </c>
      <c r="M2479" s="19" t="inlineStr">
        <is>
          <t>cobbleventure:generation_7</t>
        </is>
      </c>
      <c r="N2479" s="18" t="inlineStr">
        <is>
          <t>region_01; region_02</t>
        </is>
      </c>
      <c r="O2479" s="19" t="inlineStr"/>
      <c r="P2479" s="18" t="inlineStr">
        <is>
          <t>#aether:is_aether; #cobblemon:is_overworld</t>
        </is>
      </c>
      <c r="Q2479" s="19" t="inlineStr"/>
      <c r="R2479" s="18">
        <f>IF(Q2479="",P2479,Q2479)</f>
        <v/>
      </c>
      <c r="S2479" s="18" t="inlineStr">
        <is>
          <t>#cobblemon:is_floral</t>
        </is>
      </c>
      <c r="T2479" s="18" t="inlineStr">
        <is>
          <t>common</t>
        </is>
      </c>
      <c r="U2479" s="20" t="n">
        <v>1.8</v>
      </c>
      <c r="V2479" s="21" t="n">
        <v>1</v>
      </c>
      <c r="W2479" s="20">
        <f>IF(OR(U2479="",V2479=""),U2479,U2479*V2479)</f>
        <v/>
      </c>
      <c r="X2479" s="18" t="inlineStr">
        <is>
          <t>5-30</t>
        </is>
      </c>
      <c r="Y2479" s="19" t="inlineStr"/>
      <c r="Z2479" s="18">
        <f>IF(Y2479="",X2479,Y2479)</f>
        <v/>
      </c>
      <c r="AA2479" s="18" t="inlineStr">
        <is>
          <t>grounded</t>
        </is>
      </c>
      <c r="AB2479" s="18" t="inlineStr">
        <is>
          <t>day</t>
        </is>
      </c>
      <c r="AC2479" s="18" t="inlineStr">
        <is>
          <t>비=False</t>
        </is>
      </c>
      <c r="AD2479" s="18" t="inlineStr"/>
      <c r="AE2479" s="18" t="inlineStr">
        <is>
          <t>sky 8-15</t>
        </is>
      </c>
      <c r="AF2479" s="18" t="inlineStr"/>
      <c r="AG2479" s="18" t="inlineStr"/>
      <c r="AH2479" s="18" t="inlineStr">
        <is>
          <t>주변=#cobblemon:flowers; #cobblemon:saccharine_trees</t>
        </is>
      </c>
      <c r="AI2479" s="18" t="inlineStr"/>
      <c r="AJ2479" s="18" t="inlineStr">
        <is>
          <t>COBBLEVERSE 수정</t>
        </is>
      </c>
      <c r="AK2479" s="18" t="inlineStr">
        <is>
          <t>사용</t>
        </is>
      </c>
      <c r="AL2479" s="18" t="inlineStr">
        <is>
          <t>COBBLEVERSE 1.7.42 / DP v31</t>
        </is>
      </c>
      <c r="AM2479" s="18" t="inlineStr">
        <is>
          <t>data/cobblemon/spawn_pool_world/0742_cutiefly.json</t>
        </is>
      </c>
      <c r="AN2479" s="18" t="inlineStr">
        <is>
          <t>cutiefly-2</t>
        </is>
      </c>
      <c r="AO2479" s="18" t="inlineStr">
        <is>
          <t>pokemon</t>
        </is>
      </c>
      <c r="AP2479" s="18" t="inlineStr">
        <is>
          <t>natural</t>
        </is>
      </c>
      <c r="AQ2479" s="18" t="inlineStr">
        <is>
          <t>{"biomes":["#aether:is_aether","#cobblemon:is_overworld"],"isRaining":false,"maxSkyLight":15,"minSkyLight":8,"neededNearbyBlocks":["#cobblemon:flowers","#cobblemon:saccharine_trees"],"timeRange":"day"}</t>
        </is>
      </c>
      <c r="AR2479" s="18" t="inlineStr">
        <is>
          <t>{"biomes":["#cobblemon:is_floral"]}</t>
        </is>
      </c>
      <c r="AS2479" s="18" t="inlineStr"/>
      <c r="AT2479" s="19" t="inlineStr"/>
    </row>
    <row r="2480" ht="32" customHeight="1">
      <c r="A2480" s="18" t="inlineStr">
        <is>
          <t>0742_cutiefly.json::cutiefly-3::003</t>
        </is>
      </c>
      <c r="B2480" s="19" t="inlineStr">
        <is>
          <t>사용</t>
        </is>
      </c>
      <c r="C2480" s="18">
        <f>IF(OR(B2480&lt;&gt;AK2480,M2480&lt;&gt;L2480,O2480&lt;&gt;"",Q2480&lt;&gt;"",V2480&lt;&gt;1,Y2480&lt;&gt;"",AT2480&lt;&gt;""),"수정","원본")</f>
        <v/>
      </c>
      <c r="D2480" s="18" t="n">
        <v>742</v>
      </c>
      <c r="E2480" s="18" t="inlineStr">
        <is>
          <t>에블리</t>
        </is>
      </c>
      <c r="F2480" s="18" t="inlineStr">
        <is>
          <t>cutiefly</t>
        </is>
      </c>
      <c r="G2480" s="18" t="inlineStr">
        <is>
          <t>cutiefly</t>
        </is>
      </c>
      <c r="H2480" s="18" t="inlineStr"/>
      <c r="I2480" s="18" t="n">
        <v>7</v>
      </c>
      <c r="J2480" s="18" t="n"/>
      <c r="K2480" s="18" t="n">
        <v>7</v>
      </c>
      <c r="L2480" s="18" t="inlineStr">
        <is>
          <t>cobbleventure:generation_7</t>
        </is>
      </c>
      <c r="M2480" s="19" t="inlineStr">
        <is>
          <t>cobbleventure:generation_7</t>
        </is>
      </c>
      <c r="N2480" s="18" t="inlineStr"/>
      <c r="O2480" s="19" t="inlineStr"/>
      <c r="P2480" s="18" t="inlineStr">
        <is>
          <t>the_bumblezone:floral_meadow; the_bumblezone:pollinated_fields</t>
        </is>
      </c>
      <c r="Q2480" s="19" t="inlineStr"/>
      <c r="R2480" s="18">
        <f>IF(Q2480="",P2480,Q2480)</f>
        <v/>
      </c>
      <c r="S2480" s="18" t="inlineStr"/>
      <c r="T2480" s="18" t="inlineStr">
        <is>
          <t>common</t>
        </is>
      </c>
      <c r="U2480" s="20" t="n">
        <v>42</v>
      </c>
      <c r="V2480" s="21" t="n">
        <v>1</v>
      </c>
      <c r="W2480" s="20">
        <f>IF(OR(U2480="",V2480=""),U2480,U2480*V2480)</f>
        <v/>
      </c>
      <c r="X2480" s="18" t="inlineStr">
        <is>
          <t>5-30</t>
        </is>
      </c>
      <c r="Y2480" s="19" t="inlineStr"/>
      <c r="Z2480" s="18">
        <f>IF(Y2480="",X2480,Y2480)</f>
        <v/>
      </c>
      <c r="AA2480" s="18" t="inlineStr">
        <is>
          <t>grounded</t>
        </is>
      </c>
      <c r="AB2480" s="18" t="inlineStr"/>
      <c r="AC2480" s="18" t="inlineStr"/>
      <c r="AD2480" s="18" t="inlineStr"/>
      <c r="AE2480" s="18" t="inlineStr"/>
      <c r="AF2480" s="18" t="inlineStr"/>
      <c r="AG2480" s="18" t="inlineStr"/>
      <c r="AH2480" s="18" t="inlineStr"/>
      <c r="AI2480" s="18" t="inlineStr"/>
      <c r="AJ2480" s="18" t="inlineStr">
        <is>
          <t>COBBLEVERSE 수정</t>
        </is>
      </c>
      <c r="AK2480" s="18" t="inlineStr">
        <is>
          <t>사용</t>
        </is>
      </c>
      <c r="AL2480" s="18" t="inlineStr">
        <is>
          <t>COBBLEVERSE 1.7.42 / DP v31</t>
        </is>
      </c>
      <c r="AM2480" s="18" t="inlineStr">
        <is>
          <t>data/cobblemon/spawn_pool_world/0742_cutiefly.json</t>
        </is>
      </c>
      <c r="AN2480" s="18" t="inlineStr">
        <is>
          <t>cutiefly-3</t>
        </is>
      </c>
      <c r="AO2480" s="18" t="inlineStr">
        <is>
          <t>pokemon</t>
        </is>
      </c>
      <c r="AP2480" s="18" t="inlineStr"/>
      <c r="AQ2480" s="18" t="inlineStr">
        <is>
          <t>{"biomes":["the_bumblezone:floral_meadow","the_bumblezone:pollinated_fields"]}</t>
        </is>
      </c>
      <c r="AR2480" s="18" t="inlineStr">
        <is>
          <t>{"structures":["#the_bumblezone:sempiternal_sanctums"]}</t>
        </is>
      </c>
      <c r="AS2480" s="18" t="inlineStr"/>
      <c r="AT2480" s="19" t="inlineStr"/>
    </row>
    <row r="2481" ht="32" customHeight="1">
      <c r="A2481" s="18" t="inlineStr">
        <is>
          <t>0743_ribombee.json::ribombee-1::001</t>
        </is>
      </c>
      <c r="B2481" s="19" t="inlineStr">
        <is>
          <t>사용</t>
        </is>
      </c>
      <c r="C2481" s="18">
        <f>IF(OR(B2481&lt;&gt;AK2481,M2481&lt;&gt;L2481,O2481&lt;&gt;"",Q2481&lt;&gt;"",V2481&lt;&gt;1,Y2481&lt;&gt;"",AT2481&lt;&gt;""),"수정","원본")</f>
        <v/>
      </c>
      <c r="D2481" s="18" t="n">
        <v>743</v>
      </c>
      <c r="E2481" s="18" t="inlineStr">
        <is>
          <t>에리본</t>
        </is>
      </c>
      <c r="F2481" s="18" t="inlineStr">
        <is>
          <t>ribombee</t>
        </is>
      </c>
      <c r="G2481" s="18" t="inlineStr">
        <is>
          <t>ribombee</t>
        </is>
      </c>
      <c r="H2481" s="18" t="inlineStr"/>
      <c r="I2481" s="18" t="n">
        <v>7</v>
      </c>
      <c r="J2481" s="18" t="n"/>
      <c r="K2481" s="18" t="n">
        <v>7</v>
      </c>
      <c r="L2481" s="18" t="inlineStr">
        <is>
          <t>cobbleventure:generation_7</t>
        </is>
      </c>
      <c r="M2481" s="19" t="inlineStr">
        <is>
          <t>cobbleventure:generation_7</t>
        </is>
      </c>
      <c r="N2481" s="18" t="inlineStr"/>
      <c r="O2481" s="19" t="inlineStr"/>
      <c r="P2481" s="18" t="inlineStr">
        <is>
          <t>#cobblemon:is_floral</t>
        </is>
      </c>
      <c r="Q2481" s="19" t="inlineStr"/>
      <c r="R2481" s="18">
        <f>IF(Q2481="",P2481,Q2481)</f>
        <v/>
      </c>
      <c r="S2481" s="18" t="inlineStr"/>
      <c r="T2481" s="18" t="inlineStr">
        <is>
          <t>common</t>
        </is>
      </c>
      <c r="U2481" s="20" t="n">
        <v>1</v>
      </c>
      <c r="V2481" s="21" t="n">
        <v>1</v>
      </c>
      <c r="W2481" s="20">
        <f>IF(OR(U2481="",V2481=""),U2481,U2481*V2481)</f>
        <v/>
      </c>
      <c r="X2481" s="18" t="inlineStr">
        <is>
          <t>25-46</t>
        </is>
      </c>
      <c r="Y2481" s="19" t="inlineStr"/>
      <c r="Z2481" s="18">
        <f>IF(Y2481="",X2481,Y2481)</f>
        <v/>
      </c>
      <c r="AA2481" s="18" t="inlineStr">
        <is>
          <t>grounded</t>
        </is>
      </c>
      <c r="AB2481" s="18" t="inlineStr">
        <is>
          <t>day</t>
        </is>
      </c>
      <c r="AC2481" s="18" t="inlineStr">
        <is>
          <t>비=False</t>
        </is>
      </c>
      <c r="AD2481" s="18" t="inlineStr"/>
      <c r="AE2481" s="18" t="inlineStr">
        <is>
          <t>sky 8-15</t>
        </is>
      </c>
      <c r="AF2481" s="18" t="inlineStr"/>
      <c r="AG2481" s="18" t="inlineStr"/>
      <c r="AH2481" s="18" t="inlineStr"/>
      <c r="AI2481" s="18" t="inlineStr"/>
      <c r="AJ2481" s="18" t="inlineStr">
        <is>
          <t>COBBLEVERSE 수정</t>
        </is>
      </c>
      <c r="AK2481" s="18" t="inlineStr">
        <is>
          <t>사용</t>
        </is>
      </c>
      <c r="AL2481" s="18" t="inlineStr">
        <is>
          <t>COBBLEVERSE 1.7.42 / DP v31</t>
        </is>
      </c>
      <c r="AM2481" s="18" t="inlineStr">
        <is>
          <t>data/cobblemon/spawn_pool_world/0743_ribombee.json</t>
        </is>
      </c>
      <c r="AN2481" s="18" t="inlineStr">
        <is>
          <t>ribombee-1</t>
        </is>
      </c>
      <c r="AO2481" s="18" t="inlineStr">
        <is>
          <t>pokemon</t>
        </is>
      </c>
      <c r="AP2481" s="18" t="inlineStr">
        <is>
          <t>natural</t>
        </is>
      </c>
      <c r="AQ2481" s="18" t="inlineStr">
        <is>
          <t>{"biomes":["#cobblemon:is_floral"],"isRaining":false,"maxSkyLight":15,"minSkyLight":8,"timeRange":"day"}</t>
        </is>
      </c>
      <c r="AR2481" s="18" t="inlineStr"/>
      <c r="AS2481" s="18" t="inlineStr"/>
      <c r="AT2481" s="19" t="inlineStr"/>
    </row>
    <row r="2482" ht="32" customHeight="1">
      <c r="A2482" s="18" t="inlineStr">
        <is>
          <t>0743_ribombee.json::ribombee-2::002</t>
        </is>
      </c>
      <c r="B2482" s="19" t="inlineStr">
        <is>
          <t>사용</t>
        </is>
      </c>
      <c r="C2482" s="18">
        <f>IF(OR(B2482&lt;&gt;AK2482,M2482&lt;&gt;L2482,O2482&lt;&gt;"",Q2482&lt;&gt;"",V2482&lt;&gt;1,Y2482&lt;&gt;"",AT2482&lt;&gt;""),"수정","원본")</f>
        <v/>
      </c>
      <c r="D2482" s="18" t="n">
        <v>743</v>
      </c>
      <c r="E2482" s="18" t="inlineStr">
        <is>
          <t>에리본</t>
        </is>
      </c>
      <c r="F2482" s="18" t="inlineStr">
        <is>
          <t>ribombee</t>
        </is>
      </c>
      <c r="G2482" s="18" t="inlineStr">
        <is>
          <t>ribombee</t>
        </is>
      </c>
      <c r="H2482" s="18" t="inlineStr"/>
      <c r="I2482" s="18" t="n">
        <v>7</v>
      </c>
      <c r="J2482" s="18" t="n"/>
      <c r="K2482" s="18" t="n">
        <v>7</v>
      </c>
      <c r="L2482" s="18" t="inlineStr">
        <is>
          <t>cobbleventure:generation_7</t>
        </is>
      </c>
      <c r="M2482" s="19" t="inlineStr">
        <is>
          <t>cobbleventure:generation_7</t>
        </is>
      </c>
      <c r="N2482" s="18" t="inlineStr">
        <is>
          <t>region_01; region_02</t>
        </is>
      </c>
      <c r="O2482" s="19" t="inlineStr"/>
      <c r="P2482" s="18" t="inlineStr">
        <is>
          <t>#aether:is_aether; #cobblemon:is_overworld</t>
        </is>
      </c>
      <c r="Q2482" s="19" t="inlineStr"/>
      <c r="R2482" s="18">
        <f>IF(Q2482="",P2482,Q2482)</f>
        <v/>
      </c>
      <c r="S2482" s="18" t="inlineStr">
        <is>
          <t>#cobblemon:is_floral</t>
        </is>
      </c>
      <c r="T2482" s="18" t="inlineStr">
        <is>
          <t>common</t>
        </is>
      </c>
      <c r="U2482" s="20" t="n">
        <v>0.2</v>
      </c>
      <c r="V2482" s="21" t="n">
        <v>1</v>
      </c>
      <c r="W2482" s="20">
        <f>IF(OR(U2482="",V2482=""),U2482,U2482*V2482)</f>
        <v/>
      </c>
      <c r="X2482" s="18" t="inlineStr">
        <is>
          <t>25-46</t>
        </is>
      </c>
      <c r="Y2482" s="19" t="inlineStr"/>
      <c r="Z2482" s="18">
        <f>IF(Y2482="",X2482,Y2482)</f>
        <v/>
      </c>
      <c r="AA2482" s="18" t="inlineStr">
        <is>
          <t>grounded</t>
        </is>
      </c>
      <c r="AB2482" s="18" t="inlineStr">
        <is>
          <t>day</t>
        </is>
      </c>
      <c r="AC2482" s="18" t="inlineStr">
        <is>
          <t>비=False</t>
        </is>
      </c>
      <c r="AD2482" s="18" t="inlineStr"/>
      <c r="AE2482" s="18" t="inlineStr">
        <is>
          <t>sky 8-15</t>
        </is>
      </c>
      <c r="AF2482" s="18" t="inlineStr"/>
      <c r="AG2482" s="18" t="inlineStr"/>
      <c r="AH2482" s="18" t="inlineStr">
        <is>
          <t>주변=#cobblemon:flowers; #cobblemon:saccharine_trees</t>
        </is>
      </c>
      <c r="AI2482" s="18" t="inlineStr"/>
      <c r="AJ2482" s="18" t="inlineStr">
        <is>
          <t>COBBLEVERSE 수정</t>
        </is>
      </c>
      <c r="AK2482" s="18" t="inlineStr">
        <is>
          <t>사용</t>
        </is>
      </c>
      <c r="AL2482" s="18" t="inlineStr">
        <is>
          <t>COBBLEVERSE 1.7.42 / DP v31</t>
        </is>
      </c>
      <c r="AM2482" s="18" t="inlineStr">
        <is>
          <t>data/cobblemon/spawn_pool_world/0743_ribombee.json</t>
        </is>
      </c>
      <c r="AN2482" s="18" t="inlineStr">
        <is>
          <t>ribombee-2</t>
        </is>
      </c>
      <c r="AO2482" s="18" t="inlineStr">
        <is>
          <t>pokemon</t>
        </is>
      </c>
      <c r="AP2482" s="18" t="inlineStr">
        <is>
          <t>natural</t>
        </is>
      </c>
      <c r="AQ2482" s="18" t="inlineStr">
        <is>
          <t>{"biomes":["#aether:is_aether","#cobblemon:is_overworld"],"isRaining":false,"maxSkyLight":15,"minSkyLight":8,"neededNearbyBlocks":["#cobblemon:flowers","#cobblemon:saccharine_trees"],"timeRange":"day"}</t>
        </is>
      </c>
      <c r="AR2482" s="18" t="inlineStr">
        <is>
          <t>{"biomes":["#cobblemon:is_floral"]}</t>
        </is>
      </c>
      <c r="AS2482" s="18" t="inlineStr"/>
      <c r="AT2482" s="19" t="inlineStr"/>
    </row>
    <row r="2483" ht="32" customHeight="1">
      <c r="A2483" s="18" t="inlineStr">
        <is>
          <t>0743_ribombee.json::ribombee-3::003</t>
        </is>
      </c>
      <c r="B2483" s="19" t="inlineStr">
        <is>
          <t>사용</t>
        </is>
      </c>
      <c r="C2483" s="18">
        <f>IF(OR(B2483&lt;&gt;AK2483,M2483&lt;&gt;L2483,O2483&lt;&gt;"",Q2483&lt;&gt;"",V2483&lt;&gt;1,Y2483&lt;&gt;"",AT2483&lt;&gt;""),"수정","원본")</f>
        <v/>
      </c>
      <c r="D2483" s="18" t="n">
        <v>743</v>
      </c>
      <c r="E2483" s="18" t="inlineStr">
        <is>
          <t>에리본</t>
        </is>
      </c>
      <c r="F2483" s="18" t="inlineStr">
        <is>
          <t>ribombee</t>
        </is>
      </c>
      <c r="G2483" s="18" t="inlineStr">
        <is>
          <t>ribombee</t>
        </is>
      </c>
      <c r="H2483" s="18" t="inlineStr"/>
      <c r="I2483" s="18" t="n">
        <v>7</v>
      </c>
      <c r="J2483" s="18" t="n"/>
      <c r="K2483" s="18" t="n">
        <v>7</v>
      </c>
      <c r="L2483" s="18" t="inlineStr">
        <is>
          <t>cobbleventure:generation_7</t>
        </is>
      </c>
      <c r="M2483" s="19" t="inlineStr">
        <is>
          <t>cobbleventure:generation_7</t>
        </is>
      </c>
      <c r="N2483" s="18" t="inlineStr"/>
      <c r="O2483" s="19" t="inlineStr"/>
      <c r="P2483" s="18" t="inlineStr">
        <is>
          <t>the_bumblezone:floral_meadow; the_bumblezone:pollinated_fields</t>
        </is>
      </c>
      <c r="Q2483" s="19" t="inlineStr"/>
      <c r="R2483" s="18">
        <f>IF(Q2483="",P2483,Q2483)</f>
        <v/>
      </c>
      <c r="S2483" s="18" t="inlineStr"/>
      <c r="T2483" s="18" t="inlineStr">
        <is>
          <t>common</t>
        </is>
      </c>
      <c r="U2483" s="20" t="n">
        <v>18</v>
      </c>
      <c r="V2483" s="21" t="n">
        <v>1</v>
      </c>
      <c r="W2483" s="20">
        <f>IF(OR(U2483="",V2483=""),U2483,U2483*V2483)</f>
        <v/>
      </c>
      <c r="X2483" s="18" t="inlineStr">
        <is>
          <t>25-46</t>
        </is>
      </c>
      <c r="Y2483" s="19" t="inlineStr"/>
      <c r="Z2483" s="18">
        <f>IF(Y2483="",X2483,Y2483)</f>
        <v/>
      </c>
      <c r="AA2483" s="18" t="inlineStr">
        <is>
          <t>grounded</t>
        </is>
      </c>
      <c r="AB2483" s="18" t="inlineStr"/>
      <c r="AC2483" s="18" t="inlineStr"/>
      <c r="AD2483" s="18" t="inlineStr"/>
      <c r="AE2483" s="18" t="inlineStr"/>
      <c r="AF2483" s="18" t="inlineStr"/>
      <c r="AG2483" s="18" t="inlineStr"/>
      <c r="AH2483" s="18" t="inlineStr"/>
      <c r="AI2483" s="18" t="inlineStr"/>
      <c r="AJ2483" s="18" t="inlineStr">
        <is>
          <t>COBBLEVERSE 수정</t>
        </is>
      </c>
      <c r="AK2483" s="18" t="inlineStr">
        <is>
          <t>사용</t>
        </is>
      </c>
      <c r="AL2483" s="18" t="inlineStr">
        <is>
          <t>COBBLEVERSE 1.7.42 / DP v31</t>
        </is>
      </c>
      <c r="AM2483" s="18" t="inlineStr">
        <is>
          <t>data/cobblemon/spawn_pool_world/0743_ribombee.json</t>
        </is>
      </c>
      <c r="AN2483" s="18" t="inlineStr">
        <is>
          <t>ribombee-3</t>
        </is>
      </c>
      <c r="AO2483" s="18" t="inlineStr">
        <is>
          <t>pokemon</t>
        </is>
      </c>
      <c r="AP2483" s="18" t="inlineStr"/>
      <c r="AQ2483" s="18" t="inlineStr">
        <is>
          <t>{"biomes":["the_bumblezone:floral_meadow","the_bumblezone:pollinated_fields"]}</t>
        </is>
      </c>
      <c r="AR2483" s="18" t="inlineStr">
        <is>
          <t>{"structures":["#the_bumblezone:sempiternal_sanctums"]}</t>
        </is>
      </c>
      <c r="AS2483" s="18" t="inlineStr"/>
      <c r="AT2483" s="19" t="inlineStr"/>
    </row>
    <row r="2484" ht="32" customHeight="1">
      <c r="A2484" s="18" t="inlineStr">
        <is>
          <t>0744_rockruff.json::rockruff-1::001</t>
        </is>
      </c>
      <c r="B2484" s="19" t="inlineStr">
        <is>
          <t>사용</t>
        </is>
      </c>
      <c r="C2484" s="18">
        <f>IF(OR(B2484&lt;&gt;AK2484,M2484&lt;&gt;L2484,O2484&lt;&gt;"",Q2484&lt;&gt;"",V2484&lt;&gt;1,Y2484&lt;&gt;"",AT2484&lt;&gt;""),"수정","원본")</f>
        <v/>
      </c>
      <c r="D2484" s="18" t="n">
        <v>744</v>
      </c>
      <c r="E2484" s="18" t="inlineStr">
        <is>
          <t>암멍이</t>
        </is>
      </c>
      <c r="F2484" s="18" t="inlineStr">
        <is>
          <t>rockruff</t>
        </is>
      </c>
      <c r="G2484" s="18" t="inlineStr">
        <is>
          <t>rockruff</t>
        </is>
      </c>
      <c r="H2484" s="18" t="inlineStr"/>
      <c r="I2484" s="18" t="n">
        <v>7</v>
      </c>
      <c r="J2484" s="18" t="n"/>
      <c r="K2484" s="18" t="n">
        <v>7</v>
      </c>
      <c r="L2484" s="18" t="inlineStr">
        <is>
          <t>cobbleventure:generation_7</t>
        </is>
      </c>
      <c r="M2484" s="19" t="inlineStr">
        <is>
          <t>cobbleventure:generation_7</t>
        </is>
      </c>
      <c r="N2484" s="18" t="inlineStr"/>
      <c r="O2484" s="19" t="inlineStr"/>
      <c r="P2484" s="18" t="inlineStr">
        <is>
          <t>#cobblemon:is_hills</t>
        </is>
      </c>
      <c r="Q2484" s="19" t="inlineStr"/>
      <c r="R2484" s="18">
        <f>IF(Q2484="",P2484,Q2484)</f>
        <v/>
      </c>
      <c r="S2484" s="18" t="inlineStr"/>
      <c r="T2484" s="18" t="inlineStr">
        <is>
          <t>uncommon</t>
        </is>
      </c>
      <c r="U2484" s="20" t="n">
        <v>5.8</v>
      </c>
      <c r="V2484" s="21" t="n">
        <v>1</v>
      </c>
      <c r="W2484" s="20">
        <f>IF(OR(U2484="",V2484=""),U2484,U2484*V2484)</f>
        <v/>
      </c>
      <c r="X2484" s="18" t="inlineStr">
        <is>
          <t>5-20</t>
        </is>
      </c>
      <c r="Y2484" s="19" t="inlineStr"/>
      <c r="Z2484" s="18">
        <f>IF(Y2484="",X2484,Y2484)</f>
        <v/>
      </c>
      <c r="AA2484" s="18" t="inlineStr">
        <is>
          <t>grounded</t>
        </is>
      </c>
      <c r="AB2484" s="18" t="inlineStr"/>
      <c r="AC2484" s="18" t="inlineStr"/>
      <c r="AD2484" s="18" t="inlineStr"/>
      <c r="AE2484" s="18" t="inlineStr"/>
      <c r="AF2484" s="18" t="inlineStr">
        <is>
          <t>True</t>
        </is>
      </c>
      <c r="AG2484" s="18" t="inlineStr"/>
      <c r="AH2484" s="18" t="inlineStr"/>
      <c r="AI2484" s="18" t="inlineStr"/>
      <c r="AJ2484" s="18" t="inlineStr">
        <is>
          <t>COBBLEVERSE 추가</t>
        </is>
      </c>
      <c r="AK2484" s="18" t="inlineStr">
        <is>
          <t>사용</t>
        </is>
      </c>
      <c r="AL2484" s="18" t="inlineStr">
        <is>
          <t>COBBLEVERSE 1.7.42 / DP v31</t>
        </is>
      </c>
      <c r="AM2484" s="18" t="inlineStr">
        <is>
          <t>data/cobblemon/spawn_pool_world/0744_rockruff.json</t>
        </is>
      </c>
      <c r="AN2484" s="18" t="inlineStr">
        <is>
          <t>rockruff-1</t>
        </is>
      </c>
      <c r="AO2484" s="18" t="inlineStr">
        <is>
          <t>pokemon</t>
        </is>
      </c>
      <c r="AP2484" s="18" t="inlineStr"/>
      <c r="AQ2484" s="18" t="inlineStr">
        <is>
          <t>{"biomes":["#cobblemon:is_hills"],"canSeeSky":true}</t>
        </is>
      </c>
      <c r="AR2484" s="18" t="inlineStr"/>
      <c r="AS2484" s="18" t="inlineStr"/>
      <c r="AT2484" s="19" t="inlineStr"/>
    </row>
    <row r="2485" ht="32" customHeight="1">
      <c r="A2485" s="18" t="inlineStr">
        <is>
          <t>0745_lycanroc.json::lycanroc-dusk::001</t>
        </is>
      </c>
      <c r="B2485" s="19" t="inlineStr">
        <is>
          <t>사용</t>
        </is>
      </c>
      <c r="C2485" s="18">
        <f>IF(OR(B2485&lt;&gt;AK2485,M2485&lt;&gt;L2485,O2485&lt;&gt;"",Q2485&lt;&gt;"",V2485&lt;&gt;1,Y2485&lt;&gt;"",AT2485&lt;&gt;""),"수정","원본")</f>
        <v/>
      </c>
      <c r="D2485" s="18" t="n">
        <v>745</v>
      </c>
      <c r="E2485" s="18" t="inlineStr">
        <is>
          <t>루가루암</t>
        </is>
      </c>
      <c r="F2485" s="18" t="inlineStr">
        <is>
          <t>lycanroc</t>
        </is>
      </c>
      <c r="G2485" s="18" t="inlineStr">
        <is>
          <t>lycanroc wolf_form=dusk</t>
        </is>
      </c>
      <c r="H2485" s="18" t="inlineStr">
        <is>
          <t>wolf_form=dusk</t>
        </is>
      </c>
      <c r="I2485" s="18" t="n">
        <v>7</v>
      </c>
      <c r="J2485" s="18" t="n"/>
      <c r="K2485" s="18" t="n">
        <v>7</v>
      </c>
      <c r="L2485" s="18" t="inlineStr">
        <is>
          <t>cobbleventure:generation_7</t>
        </is>
      </c>
      <c r="M2485" s="19" t="inlineStr">
        <is>
          <t>cobbleventure:generation_7</t>
        </is>
      </c>
      <c r="N2485" s="18" t="inlineStr"/>
      <c r="O2485" s="19" t="inlineStr"/>
      <c r="P2485" s="18" t="inlineStr">
        <is>
          <t>#cobblemon:is_mountain; #cobblemon:is_hills</t>
        </is>
      </c>
      <c r="Q2485" s="19" t="inlineStr"/>
      <c r="R2485" s="18">
        <f>IF(Q2485="",P2485,Q2485)</f>
        <v/>
      </c>
      <c r="S2485" s="18" t="inlineStr"/>
      <c r="T2485" s="18" t="inlineStr">
        <is>
          <t>uncommon</t>
        </is>
      </c>
      <c r="U2485" s="20" t="n">
        <v>1.5</v>
      </c>
      <c r="V2485" s="21" t="n">
        <v>1</v>
      </c>
      <c r="W2485" s="20">
        <f>IF(OR(U2485="",V2485=""),U2485,U2485*V2485)</f>
        <v/>
      </c>
      <c r="X2485" s="18" t="inlineStr">
        <is>
          <t>29-45</t>
        </is>
      </c>
      <c r="Y2485" s="19" t="inlineStr"/>
      <c r="Z2485" s="18">
        <f>IF(Y2485="",X2485,Y2485)</f>
        <v/>
      </c>
      <c r="AA2485" s="18" t="inlineStr">
        <is>
          <t>grounded</t>
        </is>
      </c>
      <c r="AB2485" s="18" t="inlineStr">
        <is>
          <t>dusk</t>
        </is>
      </c>
      <c r="AC2485" s="18" t="inlineStr"/>
      <c r="AD2485" s="18" t="inlineStr"/>
      <c r="AE2485" s="18" t="inlineStr"/>
      <c r="AF2485" s="18" t="inlineStr">
        <is>
          <t>True</t>
        </is>
      </c>
      <c r="AG2485" s="18" t="inlineStr"/>
      <c r="AH2485" s="18" t="inlineStr"/>
      <c r="AI2485" s="18" t="inlineStr"/>
      <c r="AJ2485" s="18" t="inlineStr">
        <is>
          <t>COBBLEVERSE 추가</t>
        </is>
      </c>
      <c r="AK2485" s="18" t="inlineStr">
        <is>
          <t>사용</t>
        </is>
      </c>
      <c r="AL2485" s="18" t="inlineStr">
        <is>
          <t>COBBLEVERSE 1.7.42 / DP v31</t>
        </is>
      </c>
      <c r="AM2485" s="18" t="inlineStr">
        <is>
          <t>data/cobblemon/spawn_pool_world/0745_lycanroc.json</t>
        </is>
      </c>
      <c r="AN2485" s="18" t="inlineStr">
        <is>
          <t>lycanroc-dusk</t>
        </is>
      </c>
      <c r="AO2485" s="18" t="inlineStr">
        <is>
          <t>pokemon</t>
        </is>
      </c>
      <c r="AP2485" s="18" t="inlineStr"/>
      <c r="AQ2485" s="18" t="inlineStr">
        <is>
          <t>{"biomes":["#cobblemon:is_mountain","#cobblemon:is_hills"],"canSeeSky":true,"timeRange":"dusk"}</t>
        </is>
      </c>
      <c r="AR2485" s="18" t="inlineStr"/>
      <c r="AS2485" s="18" t="inlineStr"/>
      <c r="AT2485" s="19" t="inlineStr"/>
    </row>
    <row r="2486" ht="32" customHeight="1">
      <c r="A2486" s="18" t="inlineStr">
        <is>
          <t>0745_lycanroc.json::lycanroc-midday::002</t>
        </is>
      </c>
      <c r="B2486" s="19" t="inlineStr">
        <is>
          <t>사용</t>
        </is>
      </c>
      <c r="C2486" s="18">
        <f>IF(OR(B2486&lt;&gt;AK2486,M2486&lt;&gt;L2486,O2486&lt;&gt;"",Q2486&lt;&gt;"",V2486&lt;&gt;1,Y2486&lt;&gt;"",AT2486&lt;&gt;""),"수정","원본")</f>
        <v/>
      </c>
      <c r="D2486" s="18" t="n">
        <v>745</v>
      </c>
      <c r="E2486" s="18" t="inlineStr">
        <is>
          <t>루가루암</t>
        </is>
      </c>
      <c r="F2486" s="18" t="inlineStr">
        <is>
          <t>lycanroc</t>
        </is>
      </c>
      <c r="G2486" s="18" t="inlineStr">
        <is>
          <t>lycanroc wolf_form=midday</t>
        </is>
      </c>
      <c r="H2486" s="18" t="inlineStr">
        <is>
          <t>wolf_form=midday</t>
        </is>
      </c>
      <c r="I2486" s="18" t="n">
        <v>7</v>
      </c>
      <c r="J2486" s="18" t="n"/>
      <c r="K2486" s="18" t="n">
        <v>7</v>
      </c>
      <c r="L2486" s="18" t="inlineStr">
        <is>
          <t>cobbleventure:generation_7</t>
        </is>
      </c>
      <c r="M2486" s="19" t="inlineStr">
        <is>
          <t>cobbleventure:generation_7</t>
        </is>
      </c>
      <c r="N2486" s="18" t="inlineStr"/>
      <c r="O2486" s="19" t="inlineStr"/>
      <c r="P2486" s="18" t="inlineStr">
        <is>
          <t>#cobblemon:is_mountain; #cobblemon:is_hills</t>
        </is>
      </c>
      <c r="Q2486" s="19" t="inlineStr"/>
      <c r="R2486" s="18">
        <f>IF(Q2486="",P2486,Q2486)</f>
        <v/>
      </c>
      <c r="S2486" s="18" t="inlineStr"/>
      <c r="T2486" s="18" t="inlineStr">
        <is>
          <t>uncommon</t>
        </is>
      </c>
      <c r="U2486" s="20" t="n">
        <v>1.5</v>
      </c>
      <c r="V2486" s="21" t="n">
        <v>1</v>
      </c>
      <c r="W2486" s="20">
        <f>IF(OR(U2486="",V2486=""),U2486,U2486*V2486)</f>
        <v/>
      </c>
      <c r="X2486" s="18" t="inlineStr">
        <is>
          <t>29-45</t>
        </is>
      </c>
      <c r="Y2486" s="19" t="inlineStr"/>
      <c r="Z2486" s="18">
        <f>IF(Y2486="",X2486,Y2486)</f>
        <v/>
      </c>
      <c r="AA2486" s="18" t="inlineStr">
        <is>
          <t>grounded</t>
        </is>
      </c>
      <c r="AB2486" s="18" t="inlineStr">
        <is>
          <t>day</t>
        </is>
      </c>
      <c r="AC2486" s="18" t="inlineStr"/>
      <c r="AD2486" s="18" t="inlineStr"/>
      <c r="AE2486" s="18" t="inlineStr"/>
      <c r="AF2486" s="18" t="inlineStr">
        <is>
          <t>True</t>
        </is>
      </c>
      <c r="AG2486" s="18" t="inlineStr"/>
      <c r="AH2486" s="18" t="inlineStr"/>
      <c r="AI2486" s="18" t="inlineStr"/>
      <c r="AJ2486" s="18" t="inlineStr">
        <is>
          <t>COBBLEVERSE 추가</t>
        </is>
      </c>
      <c r="AK2486" s="18" t="inlineStr">
        <is>
          <t>사용</t>
        </is>
      </c>
      <c r="AL2486" s="18" t="inlineStr">
        <is>
          <t>COBBLEVERSE 1.7.42 / DP v31</t>
        </is>
      </c>
      <c r="AM2486" s="18" t="inlineStr">
        <is>
          <t>data/cobblemon/spawn_pool_world/0745_lycanroc.json</t>
        </is>
      </c>
      <c r="AN2486" s="18" t="inlineStr">
        <is>
          <t>lycanroc-midday</t>
        </is>
      </c>
      <c r="AO2486" s="18" t="inlineStr">
        <is>
          <t>pokemon</t>
        </is>
      </c>
      <c r="AP2486" s="18" t="inlineStr"/>
      <c r="AQ2486" s="18" t="inlineStr">
        <is>
          <t>{"biomes":["#cobblemon:is_mountain","#cobblemon:is_hills"],"canSeeSky":true,"timeRange":"day"}</t>
        </is>
      </c>
      <c r="AR2486" s="18" t="inlineStr"/>
      <c r="AS2486" s="18" t="inlineStr"/>
      <c r="AT2486" s="19" t="inlineStr"/>
    </row>
    <row r="2487" ht="32" customHeight="1">
      <c r="A2487" s="18" t="inlineStr">
        <is>
          <t>0745_lycanroc.json::lycanroc-midnight::003</t>
        </is>
      </c>
      <c r="B2487" s="19" t="inlineStr">
        <is>
          <t>사용</t>
        </is>
      </c>
      <c r="C2487" s="18">
        <f>IF(OR(B2487&lt;&gt;AK2487,M2487&lt;&gt;L2487,O2487&lt;&gt;"",Q2487&lt;&gt;"",V2487&lt;&gt;1,Y2487&lt;&gt;"",AT2487&lt;&gt;""),"수정","원본")</f>
        <v/>
      </c>
      <c r="D2487" s="18" t="n">
        <v>745</v>
      </c>
      <c r="E2487" s="18" t="inlineStr">
        <is>
          <t>루가루암</t>
        </is>
      </c>
      <c r="F2487" s="18" t="inlineStr">
        <is>
          <t>lycanroc</t>
        </is>
      </c>
      <c r="G2487" s="18" t="inlineStr">
        <is>
          <t>lycanroc wolf_form=midnight</t>
        </is>
      </c>
      <c r="H2487" s="18" t="inlineStr">
        <is>
          <t>wolf_form=midnight</t>
        </is>
      </c>
      <c r="I2487" s="18" t="n">
        <v>7</v>
      </c>
      <c r="J2487" s="18" t="n"/>
      <c r="K2487" s="18" t="n">
        <v>7</v>
      </c>
      <c r="L2487" s="18" t="inlineStr">
        <is>
          <t>cobbleventure:generation_7</t>
        </is>
      </c>
      <c r="M2487" s="19" t="inlineStr">
        <is>
          <t>cobbleventure:generation_7</t>
        </is>
      </c>
      <c r="N2487" s="18" t="inlineStr"/>
      <c r="O2487" s="19" t="inlineStr"/>
      <c r="P2487" s="18" t="inlineStr">
        <is>
          <t>#cobblemon:is_mountain; #cobblemon:is_hills</t>
        </is>
      </c>
      <c r="Q2487" s="19" t="inlineStr"/>
      <c r="R2487" s="18">
        <f>IF(Q2487="",P2487,Q2487)</f>
        <v/>
      </c>
      <c r="S2487" s="18" t="inlineStr"/>
      <c r="T2487" s="18" t="inlineStr">
        <is>
          <t>uncommon</t>
        </is>
      </c>
      <c r="U2487" s="20" t="n">
        <v>1.5</v>
      </c>
      <c r="V2487" s="21" t="n">
        <v>1</v>
      </c>
      <c r="W2487" s="20">
        <f>IF(OR(U2487="",V2487=""),U2487,U2487*V2487)</f>
        <v/>
      </c>
      <c r="X2487" s="18" t="inlineStr">
        <is>
          <t>29-45</t>
        </is>
      </c>
      <c r="Y2487" s="19" t="inlineStr"/>
      <c r="Z2487" s="18">
        <f>IF(Y2487="",X2487,Y2487)</f>
        <v/>
      </c>
      <c r="AA2487" s="18" t="inlineStr">
        <is>
          <t>grounded</t>
        </is>
      </c>
      <c r="AB2487" s="18" t="inlineStr">
        <is>
          <t>night</t>
        </is>
      </c>
      <c r="AC2487" s="18" t="inlineStr"/>
      <c r="AD2487" s="18" t="inlineStr"/>
      <c r="AE2487" s="18" t="inlineStr"/>
      <c r="AF2487" s="18" t="inlineStr">
        <is>
          <t>True</t>
        </is>
      </c>
      <c r="AG2487" s="18" t="inlineStr"/>
      <c r="AH2487" s="18" t="inlineStr"/>
      <c r="AI2487" s="18" t="inlineStr"/>
      <c r="AJ2487" s="18" t="inlineStr">
        <is>
          <t>COBBLEVERSE 추가</t>
        </is>
      </c>
      <c r="AK2487" s="18" t="inlineStr">
        <is>
          <t>사용</t>
        </is>
      </c>
      <c r="AL2487" s="18" t="inlineStr">
        <is>
          <t>COBBLEVERSE 1.7.42 / DP v31</t>
        </is>
      </c>
      <c r="AM2487" s="18" t="inlineStr">
        <is>
          <t>data/cobblemon/spawn_pool_world/0745_lycanroc.json</t>
        </is>
      </c>
      <c r="AN2487" s="18" t="inlineStr">
        <is>
          <t>lycanroc-midnight</t>
        </is>
      </c>
      <c r="AO2487" s="18" t="inlineStr">
        <is>
          <t>pokemon</t>
        </is>
      </c>
      <c r="AP2487" s="18" t="inlineStr"/>
      <c r="AQ2487" s="18" t="inlineStr">
        <is>
          <t>{"biomes":["#cobblemon:is_mountain","#cobblemon:is_hills"],"canSeeSky":true,"timeRange":"night"}</t>
        </is>
      </c>
      <c r="AR2487" s="18" t="inlineStr"/>
      <c r="AS2487" s="18" t="inlineStr"/>
      <c r="AT2487" s="19" t="inlineStr"/>
    </row>
    <row r="2488" ht="32" customHeight="1">
      <c r="A2488" s="18" t="inlineStr">
        <is>
          <t>0746_wishiwashi.json::wishiwashi-1::001</t>
        </is>
      </c>
      <c r="B2488" s="19" t="inlineStr">
        <is>
          <t>사용</t>
        </is>
      </c>
      <c r="C2488" s="18">
        <f>IF(OR(B2488&lt;&gt;AK2488,M2488&lt;&gt;L2488,O2488&lt;&gt;"",Q2488&lt;&gt;"",V2488&lt;&gt;1,Y2488&lt;&gt;"",AT2488&lt;&gt;""),"수정","원본")</f>
        <v/>
      </c>
      <c r="D2488" s="18" t="n">
        <v>746</v>
      </c>
      <c r="E2488" s="18" t="inlineStr">
        <is>
          <t>약어리</t>
        </is>
      </c>
      <c r="F2488" s="18" t="inlineStr">
        <is>
          <t>wishiwashi</t>
        </is>
      </c>
      <c r="G2488" s="18" t="inlineStr">
        <is>
          <t>wishiwashi</t>
        </is>
      </c>
      <c r="H2488" s="18" t="inlineStr"/>
      <c r="I2488" s="18" t="n">
        <v>7</v>
      </c>
      <c r="J2488" s="18" t="n"/>
      <c r="K2488" s="18" t="n">
        <v>7</v>
      </c>
      <c r="L2488" s="18" t="inlineStr">
        <is>
          <t>cobbleventure:generation_7</t>
        </is>
      </c>
      <c r="M2488" s="19" t="inlineStr">
        <is>
          <t>cobbleventure:generation_7</t>
        </is>
      </c>
      <c r="N2488" s="18" t="inlineStr"/>
      <c r="O2488" s="19" t="inlineStr"/>
      <c r="P2488" s="18" t="inlineStr">
        <is>
          <t>#cobblemon:is_ocean</t>
        </is>
      </c>
      <c r="Q2488" s="19" t="inlineStr"/>
      <c r="R2488" s="18">
        <f>IF(Q2488="",P2488,Q2488)</f>
        <v/>
      </c>
      <c r="S2488" s="18" t="inlineStr"/>
      <c r="T2488" s="18" t="inlineStr">
        <is>
          <t>common</t>
        </is>
      </c>
      <c r="U2488" s="20" t="n">
        <v>10</v>
      </c>
      <c r="V2488" s="21" t="n">
        <v>1</v>
      </c>
      <c r="W2488" s="20">
        <f>IF(OR(U2488="",V2488=""),U2488,U2488*V2488)</f>
        <v/>
      </c>
      <c r="X2488" s="18" t="inlineStr">
        <is>
          <t>1-18</t>
        </is>
      </c>
      <c r="Y2488" s="19" t="inlineStr"/>
      <c r="Z2488" s="18">
        <f>IF(Y2488="",X2488,Y2488)</f>
        <v/>
      </c>
      <c r="AA2488" s="18" t="inlineStr">
        <is>
          <t>submerged</t>
        </is>
      </c>
      <c r="AB2488" s="18" t="inlineStr"/>
      <c r="AC2488" s="18" t="inlineStr"/>
      <c r="AD2488" s="18" t="inlineStr"/>
      <c r="AE2488" s="18" t="inlineStr"/>
      <c r="AF2488" s="18" t="inlineStr">
        <is>
          <t>True</t>
        </is>
      </c>
      <c r="AG2488" s="18" t="inlineStr"/>
      <c r="AH2488" s="18" t="inlineStr"/>
      <c r="AI2488" s="18" t="inlineStr"/>
      <c r="AJ2488" s="18" t="inlineStr">
        <is>
          <t>Cobblemon 동일</t>
        </is>
      </c>
      <c r="AK2488" s="18" t="inlineStr">
        <is>
          <t>사용</t>
        </is>
      </c>
      <c r="AL2488" s="18" t="inlineStr">
        <is>
          <t>COBBLEVERSE 1.7.42 / DP v31</t>
        </is>
      </c>
      <c r="AM2488" s="18" t="inlineStr">
        <is>
          <t>data/cobblemon/spawn_pool_world/0746_wishiwashi.json</t>
        </is>
      </c>
      <c r="AN2488" s="18" t="inlineStr">
        <is>
          <t>wishiwashi-1</t>
        </is>
      </c>
      <c r="AO2488" s="18" t="inlineStr">
        <is>
          <t>pokemon</t>
        </is>
      </c>
      <c r="AP2488" s="18" t="inlineStr">
        <is>
          <t>water</t>
        </is>
      </c>
      <c r="AQ2488" s="18" t="inlineStr">
        <is>
          <t>{"biomes":["#cobblemon:is_ocean"],"canSeeSky":true}</t>
        </is>
      </c>
      <c r="AR2488" s="18" t="inlineStr"/>
      <c r="AS2488" s="18" t="inlineStr"/>
      <c r="AT2488" s="19" t="inlineStr"/>
    </row>
    <row r="2489" ht="32" customHeight="1">
      <c r="A2489" s="18" t="inlineStr">
        <is>
          <t>0746_wishiwashi.json::wishiwashi-2::002</t>
        </is>
      </c>
      <c r="B2489" s="19" t="inlineStr">
        <is>
          <t>사용</t>
        </is>
      </c>
      <c r="C2489" s="18">
        <f>IF(OR(B2489&lt;&gt;AK2489,M2489&lt;&gt;L2489,O2489&lt;&gt;"",Q2489&lt;&gt;"",V2489&lt;&gt;1,Y2489&lt;&gt;"",AT2489&lt;&gt;""),"수정","원본")</f>
        <v/>
      </c>
      <c r="D2489" s="18" t="n">
        <v>746</v>
      </c>
      <c r="E2489" s="18" t="inlineStr">
        <is>
          <t>약어리</t>
        </is>
      </c>
      <c r="F2489" s="18" t="inlineStr">
        <is>
          <t>wishiwashi</t>
        </is>
      </c>
      <c r="G2489" s="18" t="inlineStr">
        <is>
          <t>wishiwashi</t>
        </is>
      </c>
      <c r="H2489" s="18" t="inlineStr"/>
      <c r="I2489" s="18" t="n">
        <v>7</v>
      </c>
      <c r="J2489" s="18" t="n"/>
      <c r="K2489" s="18" t="n">
        <v>7</v>
      </c>
      <c r="L2489" s="18" t="inlineStr">
        <is>
          <t>cobbleventure:generation_7</t>
        </is>
      </c>
      <c r="M2489" s="19" t="inlineStr">
        <is>
          <t>cobbleventure:generation_7</t>
        </is>
      </c>
      <c r="N2489" s="18" t="inlineStr"/>
      <c r="O2489" s="19" t="inlineStr"/>
      <c r="P2489" s="18" t="inlineStr">
        <is>
          <t>#cobblemon:is_coast; #cobblemon:is_ocean</t>
        </is>
      </c>
      <c r="Q2489" s="19" t="inlineStr"/>
      <c r="R2489" s="18">
        <f>IF(Q2489="",P2489,Q2489)</f>
        <v/>
      </c>
      <c r="S2489" s="18" t="inlineStr"/>
      <c r="T2489" s="18" t="inlineStr">
        <is>
          <t>common</t>
        </is>
      </c>
      <c r="U2489" s="20" t="n">
        <v>10</v>
      </c>
      <c r="V2489" s="21" t="n">
        <v>1</v>
      </c>
      <c r="W2489" s="20">
        <f>IF(OR(U2489="",V2489=""),U2489,U2489*V2489)</f>
        <v/>
      </c>
      <c r="X2489" s="18" t="inlineStr">
        <is>
          <t>1-18</t>
        </is>
      </c>
      <c r="Y2489" s="19" t="inlineStr"/>
      <c r="Z2489" s="18">
        <f>IF(Y2489="",X2489,Y2489)</f>
        <v/>
      </c>
      <c r="AA2489" s="18" t="inlineStr">
        <is>
          <t>fishing</t>
        </is>
      </c>
      <c r="AB2489" s="18" t="inlineStr"/>
      <c r="AC2489" s="18" t="inlineStr"/>
      <c r="AD2489" s="18" t="inlineStr"/>
      <c r="AE2489" s="18" t="inlineStr"/>
      <c r="AF2489" s="18" t="inlineStr">
        <is>
          <t>True</t>
        </is>
      </c>
      <c r="AG2489" s="18" t="inlineStr"/>
      <c r="AH2489" s="18" t="inlineStr"/>
      <c r="AI2489" s="18" t="inlineStr"/>
      <c r="AJ2489" s="18" t="inlineStr">
        <is>
          <t>Cobblemon 동일</t>
        </is>
      </c>
      <c r="AK2489" s="18" t="inlineStr">
        <is>
          <t>사용</t>
        </is>
      </c>
      <c r="AL2489" s="18" t="inlineStr">
        <is>
          <t>COBBLEVERSE 1.7.42 / DP v31</t>
        </is>
      </c>
      <c r="AM2489" s="18" t="inlineStr">
        <is>
          <t>data/cobblemon/spawn_pool_world/0746_wishiwashi.json</t>
        </is>
      </c>
      <c r="AN2489" s="18" t="inlineStr">
        <is>
          <t>wishiwashi-2</t>
        </is>
      </c>
      <c r="AO2489" s="18" t="inlineStr">
        <is>
          <t>pokemon</t>
        </is>
      </c>
      <c r="AP2489" s="18" t="inlineStr"/>
      <c r="AQ2489" s="18" t="inlineStr">
        <is>
          <t>{"biomes":["#cobblemon:is_coast","#cobblemon:is_ocean"],"canSeeSky":true}</t>
        </is>
      </c>
      <c r="AR2489" s="18" t="inlineStr"/>
      <c r="AS2489" s="18" t="inlineStr"/>
      <c r="AT2489" s="19" t="inlineStr"/>
    </row>
    <row r="2490" ht="32" customHeight="1">
      <c r="A2490" s="18" t="inlineStr">
        <is>
          <t>0746_wishiwashi.json::wishiwashi-3::003</t>
        </is>
      </c>
      <c r="B2490" s="19" t="inlineStr">
        <is>
          <t>사용</t>
        </is>
      </c>
      <c r="C2490" s="18">
        <f>IF(OR(B2490&lt;&gt;AK2490,M2490&lt;&gt;L2490,O2490&lt;&gt;"",Q2490&lt;&gt;"",V2490&lt;&gt;1,Y2490&lt;&gt;"",AT2490&lt;&gt;""),"수정","원본")</f>
        <v/>
      </c>
      <c r="D2490" s="18" t="n">
        <v>746</v>
      </c>
      <c r="E2490" s="18" t="inlineStr">
        <is>
          <t>약어리</t>
        </is>
      </c>
      <c r="F2490" s="18" t="inlineStr">
        <is>
          <t>wishiwashi</t>
        </is>
      </c>
      <c r="G2490" s="18" t="inlineStr">
        <is>
          <t>wishiwashi</t>
        </is>
      </c>
      <c r="H2490" s="18" t="inlineStr"/>
      <c r="I2490" s="18" t="n">
        <v>7</v>
      </c>
      <c r="J2490" s="18" t="n"/>
      <c r="K2490" s="18" t="n">
        <v>7</v>
      </c>
      <c r="L2490" s="18" t="inlineStr">
        <is>
          <t>cobbleventure:generation_7</t>
        </is>
      </c>
      <c r="M2490" s="19" t="inlineStr">
        <is>
          <t>cobbleventure:generation_7</t>
        </is>
      </c>
      <c r="N2490" s="18" t="inlineStr"/>
      <c r="O2490" s="19" t="inlineStr"/>
      <c r="P2490" s="18" t="inlineStr">
        <is>
          <t>#cobblemon:is_ocean</t>
        </is>
      </c>
      <c r="Q2490" s="19" t="inlineStr"/>
      <c r="R2490" s="18">
        <f>IF(Q2490="",P2490,Q2490)</f>
        <v/>
      </c>
      <c r="S2490" s="18" t="inlineStr"/>
      <c r="T2490" s="18" t="inlineStr">
        <is>
          <t>common</t>
        </is>
      </c>
      <c r="U2490" s="20" t="n">
        <v>10</v>
      </c>
      <c r="V2490" s="21" t="n">
        <v>1</v>
      </c>
      <c r="W2490" s="20">
        <f>IF(OR(U2490="",V2490=""),U2490,U2490*V2490)</f>
        <v/>
      </c>
      <c r="X2490" s="18" t="inlineStr">
        <is>
          <t>1-18</t>
        </is>
      </c>
      <c r="Y2490" s="19" t="inlineStr"/>
      <c r="Z2490" s="18">
        <f>IF(Y2490="",X2490,Y2490)</f>
        <v/>
      </c>
      <c r="AA2490" s="18" t="inlineStr">
        <is>
          <t>submerged</t>
        </is>
      </c>
      <c r="AB2490" s="18" t="inlineStr"/>
      <c r="AC2490" s="18" t="inlineStr"/>
      <c r="AD2490" s="18" t="inlineStr"/>
      <c r="AE2490" s="18" t="inlineStr">
        <is>
          <t>sky 8-15</t>
        </is>
      </c>
      <c r="AF2490" s="18" t="inlineStr">
        <is>
          <t>False</t>
        </is>
      </c>
      <c r="AG2490" s="18" t="inlineStr"/>
      <c r="AH2490" s="18" t="inlineStr"/>
      <c r="AI2490" s="18" t="inlineStr"/>
      <c r="AJ2490" s="18" t="inlineStr">
        <is>
          <t>Cobblemon 동일</t>
        </is>
      </c>
      <c r="AK2490" s="18" t="inlineStr">
        <is>
          <t>사용</t>
        </is>
      </c>
      <c r="AL2490" s="18" t="inlineStr">
        <is>
          <t>COBBLEVERSE 1.7.42 / DP v31</t>
        </is>
      </c>
      <c r="AM2490" s="18" t="inlineStr">
        <is>
          <t>data/cobblemon/spawn_pool_world/0746_wishiwashi.json</t>
        </is>
      </c>
      <c r="AN2490" s="18" t="inlineStr">
        <is>
          <t>wishiwashi-3</t>
        </is>
      </c>
      <c r="AO2490" s="18" t="inlineStr">
        <is>
          <t>pokemon</t>
        </is>
      </c>
      <c r="AP2490" s="18" t="inlineStr">
        <is>
          <t>water</t>
        </is>
      </c>
      <c r="AQ2490" s="18" t="inlineStr">
        <is>
          <t>{"biomes":["#cobblemon:is_ocean"],"canSeeSky":false,"maxSkyLight":15,"minSkyLight":8}</t>
        </is>
      </c>
      <c r="AR2490" s="18" t="inlineStr"/>
      <c r="AS2490" s="18" t="inlineStr"/>
      <c r="AT2490" s="19" t="inlineStr"/>
    </row>
    <row r="2491" ht="32" customHeight="1">
      <c r="A2491" s="18" t="inlineStr">
        <is>
          <t>0746_wishiwashi.json::wishiwashi-4::004</t>
        </is>
      </c>
      <c r="B2491" s="19" t="inlineStr">
        <is>
          <t>사용</t>
        </is>
      </c>
      <c r="C2491" s="18">
        <f>IF(OR(B2491&lt;&gt;AK2491,M2491&lt;&gt;L2491,O2491&lt;&gt;"",Q2491&lt;&gt;"",V2491&lt;&gt;1,Y2491&lt;&gt;"",AT2491&lt;&gt;""),"수정","원본")</f>
        <v/>
      </c>
      <c r="D2491" s="18" t="n">
        <v>746</v>
      </c>
      <c r="E2491" s="18" t="inlineStr">
        <is>
          <t>약어리</t>
        </is>
      </c>
      <c r="F2491" s="18" t="inlineStr">
        <is>
          <t>wishiwashi</t>
        </is>
      </c>
      <c r="G2491" s="18" t="inlineStr">
        <is>
          <t>wishiwashi</t>
        </is>
      </c>
      <c r="H2491" s="18" t="inlineStr"/>
      <c r="I2491" s="18" t="n">
        <v>7</v>
      </c>
      <c r="J2491" s="18" t="n"/>
      <c r="K2491" s="18" t="n">
        <v>7</v>
      </c>
      <c r="L2491" s="18" t="inlineStr">
        <is>
          <t>cobbleventure:generation_7</t>
        </is>
      </c>
      <c r="M2491" s="19" t="inlineStr">
        <is>
          <t>cobbleventure:generation_7</t>
        </is>
      </c>
      <c r="N2491" s="18" t="inlineStr"/>
      <c r="O2491" s="19" t="inlineStr"/>
      <c r="P2491" s="18" t="inlineStr">
        <is>
          <t>#cobblemon:is_coast; #cobblemon:is_ocean</t>
        </is>
      </c>
      <c r="Q2491" s="19" t="inlineStr"/>
      <c r="R2491" s="18">
        <f>IF(Q2491="",P2491,Q2491)</f>
        <v/>
      </c>
      <c r="S2491" s="18" t="inlineStr"/>
      <c r="T2491" s="18" t="inlineStr">
        <is>
          <t>common</t>
        </is>
      </c>
      <c r="U2491" s="20" t="n">
        <v>10</v>
      </c>
      <c r="V2491" s="21" t="n">
        <v>1</v>
      </c>
      <c r="W2491" s="20">
        <f>IF(OR(U2491="",V2491=""),U2491,U2491*V2491)</f>
        <v/>
      </c>
      <c r="X2491" s="18" t="inlineStr">
        <is>
          <t>1-18</t>
        </is>
      </c>
      <c r="Y2491" s="19" t="inlineStr"/>
      <c r="Z2491" s="18">
        <f>IF(Y2491="",X2491,Y2491)</f>
        <v/>
      </c>
      <c r="AA2491" s="18" t="inlineStr">
        <is>
          <t>fishing</t>
        </is>
      </c>
      <c r="AB2491" s="18" t="inlineStr"/>
      <c r="AC2491" s="18" t="inlineStr"/>
      <c r="AD2491" s="18" t="inlineStr"/>
      <c r="AE2491" s="18" t="inlineStr">
        <is>
          <t>sky 8-15</t>
        </is>
      </c>
      <c r="AF2491" s="18" t="inlineStr">
        <is>
          <t>False</t>
        </is>
      </c>
      <c r="AG2491" s="18" t="inlineStr"/>
      <c r="AH2491" s="18" t="inlineStr"/>
      <c r="AI2491" s="18" t="inlineStr"/>
      <c r="AJ2491" s="18" t="inlineStr">
        <is>
          <t>Cobblemon 동일</t>
        </is>
      </c>
      <c r="AK2491" s="18" t="inlineStr">
        <is>
          <t>사용</t>
        </is>
      </c>
      <c r="AL2491" s="18" t="inlineStr">
        <is>
          <t>COBBLEVERSE 1.7.42 / DP v31</t>
        </is>
      </c>
      <c r="AM2491" s="18" t="inlineStr">
        <is>
          <t>data/cobblemon/spawn_pool_world/0746_wishiwashi.json</t>
        </is>
      </c>
      <c r="AN2491" s="18" t="inlineStr">
        <is>
          <t>wishiwashi-4</t>
        </is>
      </c>
      <c r="AO2491" s="18" t="inlineStr">
        <is>
          <t>pokemon</t>
        </is>
      </c>
      <c r="AP2491" s="18" t="inlineStr"/>
      <c r="AQ2491" s="18" t="inlineStr">
        <is>
          <t>{"biomes":["#cobblemon:is_coast","#cobblemon:is_ocean"],"canSeeSky":false,"maxSkyLight":15,"minSkyLight":8}</t>
        </is>
      </c>
      <c r="AR2491" s="18" t="inlineStr"/>
      <c r="AS2491" s="18" t="inlineStr"/>
      <c r="AT2491" s="19" t="inlineStr"/>
    </row>
    <row r="2492" ht="32" customHeight="1">
      <c r="A2492" s="18" t="inlineStr">
        <is>
          <t>0747_mareanie.json::mareanie-1::001</t>
        </is>
      </c>
      <c r="B2492" s="19" t="inlineStr">
        <is>
          <t>사용</t>
        </is>
      </c>
      <c r="C2492" s="18">
        <f>IF(OR(B2492&lt;&gt;AK2492,M2492&lt;&gt;L2492,O2492&lt;&gt;"",Q2492&lt;&gt;"",V2492&lt;&gt;1,Y2492&lt;&gt;"",AT2492&lt;&gt;""),"수정","원본")</f>
        <v/>
      </c>
      <c r="D2492" s="18" t="n">
        <v>747</v>
      </c>
      <c r="E2492" s="18" t="inlineStr">
        <is>
          <t>시마사리</t>
        </is>
      </c>
      <c r="F2492" s="18" t="inlineStr">
        <is>
          <t>mareanie</t>
        </is>
      </c>
      <c r="G2492" s="18" t="inlineStr">
        <is>
          <t>mareanie</t>
        </is>
      </c>
      <c r="H2492" s="18" t="inlineStr"/>
      <c r="I2492" s="18" t="n">
        <v>7</v>
      </c>
      <c r="J2492" s="18" t="n"/>
      <c r="K2492" s="18" t="n">
        <v>7</v>
      </c>
      <c r="L2492" s="18" t="inlineStr">
        <is>
          <t>cobbleventure:generation_7</t>
        </is>
      </c>
      <c r="M2492" s="19" t="inlineStr">
        <is>
          <t>cobbleventure:generation_7</t>
        </is>
      </c>
      <c r="N2492" s="18" t="inlineStr"/>
      <c r="O2492" s="19" t="inlineStr"/>
      <c r="P2492" s="18" t="inlineStr">
        <is>
          <t>#cobblemon:is_coast</t>
        </is>
      </c>
      <c r="Q2492" s="19" t="inlineStr"/>
      <c r="R2492" s="18">
        <f>IF(Q2492="",P2492,Q2492)</f>
        <v/>
      </c>
      <c r="S2492" s="18" t="inlineStr">
        <is>
          <t>#cobblemon:is_freezing</t>
        </is>
      </c>
      <c r="T2492" s="18" t="inlineStr">
        <is>
          <t>uncommon</t>
        </is>
      </c>
      <c r="U2492" s="20" t="n">
        <v>5.04</v>
      </c>
      <c r="V2492" s="21" t="n">
        <v>1</v>
      </c>
      <c r="W2492" s="20">
        <f>IF(OR(U2492="",V2492=""),U2492,U2492*V2492)</f>
        <v/>
      </c>
      <c r="X2492" s="18" t="inlineStr">
        <is>
          <t>6-31</t>
        </is>
      </c>
      <c r="Y2492" s="19" t="inlineStr"/>
      <c r="Z2492" s="18">
        <f>IF(Y2492="",X2492,Y2492)</f>
        <v/>
      </c>
      <c r="AA2492" s="18" t="inlineStr">
        <is>
          <t>grounded</t>
        </is>
      </c>
      <c r="AB2492" s="18" t="inlineStr"/>
      <c r="AC2492" s="18" t="inlineStr"/>
      <c r="AD2492" s="18" t="inlineStr"/>
      <c r="AE2492" s="18" t="inlineStr">
        <is>
          <t>sky 8-15</t>
        </is>
      </c>
      <c r="AF2492" s="18" t="inlineStr"/>
      <c r="AG2492" s="18" t="inlineStr"/>
      <c r="AH2492" s="18" t="inlineStr"/>
      <c r="AI2492" s="18" t="inlineStr"/>
      <c r="AJ2492" s="18" t="inlineStr">
        <is>
          <t>Cobblemon 동일</t>
        </is>
      </c>
      <c r="AK2492" s="18" t="inlineStr">
        <is>
          <t>사용</t>
        </is>
      </c>
      <c r="AL2492" s="18" t="inlineStr">
        <is>
          <t>COBBLEVERSE 1.7.42 / DP v31</t>
        </is>
      </c>
      <c r="AM2492" s="18" t="inlineStr">
        <is>
          <t>data/cobblemon/spawn_pool_world/0747_mareanie.json</t>
        </is>
      </c>
      <c r="AN2492" s="18" t="inlineStr">
        <is>
          <t>mareanie-1</t>
        </is>
      </c>
      <c r="AO2492" s="18" t="inlineStr">
        <is>
          <t>pokemon</t>
        </is>
      </c>
      <c r="AP2492" s="18" t="inlineStr"/>
      <c r="AQ2492" s="18" t="inlineStr">
        <is>
          <t>{"biomes":["#cobblemon:is_coast"],"maxSkyLight":15,"minSkyLight":8}</t>
        </is>
      </c>
      <c r="AR2492" s="18" t="inlineStr">
        <is>
          <t>{"biomes":["#cobblemon:is_freezing"]}</t>
        </is>
      </c>
      <c r="AS2492" s="18" t="inlineStr"/>
      <c r="AT2492" s="19" t="inlineStr"/>
    </row>
    <row r="2493" ht="32" customHeight="1">
      <c r="A2493" s="18" t="inlineStr">
        <is>
          <t>0747_mareanie.json::mareanie-2::002</t>
        </is>
      </c>
      <c r="B2493" s="19" t="inlineStr">
        <is>
          <t>사용</t>
        </is>
      </c>
      <c r="C2493" s="18">
        <f>IF(OR(B2493&lt;&gt;AK2493,M2493&lt;&gt;L2493,O2493&lt;&gt;"",Q2493&lt;&gt;"",V2493&lt;&gt;1,Y2493&lt;&gt;"",AT2493&lt;&gt;""),"수정","원본")</f>
        <v/>
      </c>
      <c r="D2493" s="18" t="n">
        <v>747</v>
      </c>
      <c r="E2493" s="18" t="inlineStr">
        <is>
          <t>시마사리</t>
        </is>
      </c>
      <c r="F2493" s="18" t="inlineStr">
        <is>
          <t>mareanie</t>
        </is>
      </c>
      <c r="G2493" s="18" t="inlineStr">
        <is>
          <t>mareanie</t>
        </is>
      </c>
      <c r="H2493" s="18" t="inlineStr"/>
      <c r="I2493" s="18" t="n">
        <v>7</v>
      </c>
      <c r="J2493" s="18" t="n"/>
      <c r="K2493" s="18" t="n">
        <v>7</v>
      </c>
      <c r="L2493" s="18" t="inlineStr">
        <is>
          <t>cobbleventure:generation_7</t>
        </is>
      </c>
      <c r="M2493" s="19" t="inlineStr">
        <is>
          <t>cobbleventure:generation_7</t>
        </is>
      </c>
      <c r="N2493" s="18" t="inlineStr"/>
      <c r="O2493" s="19" t="inlineStr"/>
      <c r="P2493" s="18" t="inlineStr">
        <is>
          <t>#cobblemon:is_coast; #cobblemon:is_warm_ocean</t>
        </is>
      </c>
      <c r="Q2493" s="19" t="inlineStr"/>
      <c r="R2493" s="18">
        <f>IF(Q2493="",P2493,Q2493)</f>
        <v/>
      </c>
      <c r="S2493" s="18" t="inlineStr">
        <is>
          <t>#cobblemon:is_freezing</t>
        </is>
      </c>
      <c r="T2493" s="18" t="inlineStr">
        <is>
          <t>common</t>
        </is>
      </c>
      <c r="U2493" s="20" t="n">
        <v>1.8</v>
      </c>
      <c r="V2493" s="21" t="n">
        <v>1</v>
      </c>
      <c r="W2493" s="20">
        <f>IF(OR(U2493="",V2493=""),U2493,U2493*V2493)</f>
        <v/>
      </c>
      <c r="X2493" s="18" t="inlineStr">
        <is>
          <t>6-31</t>
        </is>
      </c>
      <c r="Y2493" s="19" t="inlineStr"/>
      <c r="Z2493" s="18">
        <f>IF(Y2493="",X2493,Y2493)</f>
        <v/>
      </c>
      <c r="AA2493" s="18" t="inlineStr">
        <is>
          <t>seafloor</t>
        </is>
      </c>
      <c r="AB2493" s="18" t="inlineStr"/>
      <c r="AC2493" s="18" t="inlineStr"/>
      <c r="AD2493" s="18" t="inlineStr"/>
      <c r="AE2493" s="18" t="inlineStr"/>
      <c r="AF2493" s="18" t="inlineStr">
        <is>
          <t>True</t>
        </is>
      </c>
      <c r="AG2493" s="18" t="inlineStr"/>
      <c r="AH2493" s="18" t="inlineStr"/>
      <c r="AI2493" s="18" t="inlineStr"/>
      <c r="AJ2493" s="18" t="inlineStr">
        <is>
          <t>Cobblemon 동일</t>
        </is>
      </c>
      <c r="AK2493" s="18" t="inlineStr">
        <is>
          <t>사용</t>
        </is>
      </c>
      <c r="AL2493" s="18" t="inlineStr">
        <is>
          <t>COBBLEVERSE 1.7.42 / DP v31</t>
        </is>
      </c>
      <c r="AM2493" s="18" t="inlineStr">
        <is>
          <t>data/cobblemon/spawn_pool_world/0747_mareanie.json</t>
        </is>
      </c>
      <c r="AN2493" s="18" t="inlineStr">
        <is>
          <t>mareanie-2</t>
        </is>
      </c>
      <c r="AO2493" s="18" t="inlineStr">
        <is>
          <t>pokemon</t>
        </is>
      </c>
      <c r="AP2493" s="18" t="inlineStr">
        <is>
          <t>water</t>
        </is>
      </c>
      <c r="AQ2493" s="18" t="inlineStr">
        <is>
          <t>{"biomes":["#cobblemon:is_coast","#cobblemon:is_warm_ocean"],"canSeeSky":true}</t>
        </is>
      </c>
      <c r="AR2493" s="18" t="inlineStr">
        <is>
          <t>{"biomes":["#cobblemon:is_freezing"]}</t>
        </is>
      </c>
      <c r="AS2493" s="18" t="inlineStr"/>
      <c r="AT2493" s="19" t="inlineStr"/>
    </row>
    <row r="2494" ht="32" customHeight="1">
      <c r="A2494" s="18" t="inlineStr">
        <is>
          <t>0747_mareanie.json::mareanie-3::003</t>
        </is>
      </c>
      <c r="B2494" s="19" t="inlineStr">
        <is>
          <t>사용</t>
        </is>
      </c>
      <c r="C2494" s="18">
        <f>IF(OR(B2494&lt;&gt;AK2494,M2494&lt;&gt;L2494,O2494&lt;&gt;"",Q2494&lt;&gt;"",V2494&lt;&gt;1,Y2494&lt;&gt;"",AT2494&lt;&gt;""),"수정","원본")</f>
        <v/>
      </c>
      <c r="D2494" s="18" t="n">
        <v>747</v>
      </c>
      <c r="E2494" s="18" t="inlineStr">
        <is>
          <t>시마사리</t>
        </is>
      </c>
      <c r="F2494" s="18" t="inlineStr">
        <is>
          <t>mareanie</t>
        </is>
      </c>
      <c r="G2494" s="18" t="inlineStr">
        <is>
          <t>mareanie</t>
        </is>
      </c>
      <c r="H2494" s="18" t="inlineStr"/>
      <c r="I2494" s="18" t="n">
        <v>7</v>
      </c>
      <c r="J2494" s="18" t="n"/>
      <c r="K2494" s="18" t="n">
        <v>7</v>
      </c>
      <c r="L2494" s="18" t="inlineStr">
        <is>
          <t>cobbleventure:generation_7</t>
        </is>
      </c>
      <c r="M2494" s="19" t="inlineStr">
        <is>
          <t>cobbleventure:generation_7</t>
        </is>
      </c>
      <c r="N2494" s="18" t="inlineStr"/>
      <c r="O2494" s="19" t="inlineStr"/>
      <c r="P2494" s="18" t="inlineStr">
        <is>
          <t>#cobblemon:is_warm_ocean</t>
        </is>
      </c>
      <c r="Q2494" s="19" t="inlineStr"/>
      <c r="R2494" s="18">
        <f>IF(Q2494="",P2494,Q2494)</f>
        <v/>
      </c>
      <c r="S2494" s="18" t="inlineStr"/>
      <c r="T2494" s="18" t="inlineStr">
        <is>
          <t>uncommon</t>
        </is>
      </c>
      <c r="U2494" s="20" t="n">
        <v>8.4</v>
      </c>
      <c r="V2494" s="21" t="n">
        <v>1</v>
      </c>
      <c r="W2494" s="20">
        <f>IF(OR(U2494="",V2494=""),U2494,U2494*V2494)</f>
        <v/>
      </c>
      <c r="X2494" s="18" t="inlineStr">
        <is>
          <t>6-31</t>
        </is>
      </c>
      <c r="Y2494" s="19" t="inlineStr"/>
      <c r="Z2494" s="18">
        <f>IF(Y2494="",X2494,Y2494)</f>
        <v/>
      </c>
      <c r="AA2494" s="18" t="inlineStr">
        <is>
          <t>fishing</t>
        </is>
      </c>
      <c r="AB2494" s="18" t="inlineStr"/>
      <c r="AC2494" s="18" t="inlineStr"/>
      <c r="AD2494" s="18" t="inlineStr"/>
      <c r="AE2494" s="18" t="inlineStr"/>
      <c r="AF2494" s="18" t="inlineStr">
        <is>
          <t>True</t>
        </is>
      </c>
      <c r="AG2494" s="18" t="inlineStr"/>
      <c r="AH2494" s="18" t="inlineStr"/>
      <c r="AI2494" s="18" t="inlineStr"/>
      <c r="AJ2494" s="18" t="inlineStr">
        <is>
          <t>Cobblemon 동일</t>
        </is>
      </c>
      <c r="AK2494" s="18" t="inlineStr">
        <is>
          <t>사용</t>
        </is>
      </c>
      <c r="AL2494" s="18" t="inlineStr">
        <is>
          <t>COBBLEVERSE 1.7.42 / DP v31</t>
        </is>
      </c>
      <c r="AM2494" s="18" t="inlineStr">
        <is>
          <t>data/cobblemon/spawn_pool_world/0747_mareanie.json</t>
        </is>
      </c>
      <c r="AN2494" s="18" t="inlineStr">
        <is>
          <t>mareanie-3</t>
        </is>
      </c>
      <c r="AO2494" s="18" t="inlineStr">
        <is>
          <t>pokemon</t>
        </is>
      </c>
      <c r="AP2494" s="18" t="inlineStr"/>
      <c r="AQ2494" s="18" t="inlineStr">
        <is>
          <t>{"biomes":["#cobblemon:is_warm_ocean"],"canSeeSky":true}</t>
        </is>
      </c>
      <c r="AR2494" s="18" t="inlineStr">
        <is>
          <t>{"minLureLevel":1}</t>
        </is>
      </c>
      <c r="AS2494" s="18" t="inlineStr"/>
      <c r="AT2494" s="19" t="inlineStr"/>
    </row>
    <row r="2495" ht="32" customHeight="1">
      <c r="A2495" s="18" t="inlineStr">
        <is>
          <t>0747_mareanie.json::mareanie-4::004</t>
        </is>
      </c>
      <c r="B2495" s="19" t="inlineStr">
        <is>
          <t>사용</t>
        </is>
      </c>
      <c r="C2495" s="18">
        <f>IF(OR(B2495&lt;&gt;AK2495,M2495&lt;&gt;L2495,O2495&lt;&gt;"",Q2495&lt;&gt;"",V2495&lt;&gt;1,Y2495&lt;&gt;"",AT2495&lt;&gt;""),"수정","원본")</f>
        <v/>
      </c>
      <c r="D2495" s="18" t="n">
        <v>747</v>
      </c>
      <c r="E2495" s="18" t="inlineStr">
        <is>
          <t>시마사리</t>
        </is>
      </c>
      <c r="F2495" s="18" t="inlineStr">
        <is>
          <t>mareanie</t>
        </is>
      </c>
      <c r="G2495" s="18" t="inlineStr">
        <is>
          <t>mareanie</t>
        </is>
      </c>
      <c r="H2495" s="18" t="inlineStr"/>
      <c r="I2495" s="18" t="n">
        <v>7</v>
      </c>
      <c r="J2495" s="18" t="n"/>
      <c r="K2495" s="18" t="n">
        <v>7</v>
      </c>
      <c r="L2495" s="18" t="inlineStr">
        <is>
          <t>cobbleventure:generation_7</t>
        </is>
      </c>
      <c r="M2495" s="19" t="inlineStr">
        <is>
          <t>cobbleventure:generation_7</t>
        </is>
      </c>
      <c r="N2495" s="18" t="inlineStr"/>
      <c r="O2495" s="19" t="inlineStr"/>
      <c r="P2495" s="18" t="inlineStr">
        <is>
          <t>#cobblemon:is_warm_ocean</t>
        </is>
      </c>
      <c r="Q2495" s="19" t="inlineStr"/>
      <c r="R2495" s="18">
        <f>IF(Q2495="",P2495,Q2495)</f>
        <v/>
      </c>
      <c r="S2495" s="18" t="inlineStr"/>
      <c r="T2495" s="18" t="inlineStr">
        <is>
          <t>common</t>
        </is>
      </c>
      <c r="U2495" s="20" t="n">
        <v>10</v>
      </c>
      <c r="V2495" s="21" t="n">
        <v>1</v>
      </c>
      <c r="W2495" s="20">
        <f>IF(OR(U2495="",V2495=""),U2495,U2495*V2495)</f>
        <v/>
      </c>
      <c r="X2495" s="18" t="inlineStr">
        <is>
          <t>6-31</t>
        </is>
      </c>
      <c r="Y2495" s="19" t="inlineStr"/>
      <c r="Z2495" s="18">
        <f>IF(Y2495="",X2495,Y2495)</f>
        <v/>
      </c>
      <c r="AA2495" s="18" t="inlineStr">
        <is>
          <t>fishing</t>
        </is>
      </c>
      <c r="AB2495" s="18" t="inlineStr"/>
      <c r="AC2495" s="18" t="inlineStr"/>
      <c r="AD2495" s="18" t="inlineStr"/>
      <c r="AE2495" s="18" t="inlineStr"/>
      <c r="AF2495" s="18" t="inlineStr">
        <is>
          <t>True</t>
        </is>
      </c>
      <c r="AG2495" s="18" t="inlineStr"/>
      <c r="AH2495" s="18" t="inlineStr"/>
      <c r="AI2495" s="18" t="inlineStr">
        <is>
          <t>{"fishing":{"minLureLevel":1}}</t>
        </is>
      </c>
      <c r="AJ2495" s="18" t="inlineStr">
        <is>
          <t>Cobblemon 동일</t>
        </is>
      </c>
      <c r="AK2495" s="18" t="inlineStr">
        <is>
          <t>사용</t>
        </is>
      </c>
      <c r="AL2495" s="18" t="inlineStr">
        <is>
          <t>COBBLEVERSE 1.7.42 / DP v31</t>
        </is>
      </c>
      <c r="AM2495" s="18" t="inlineStr">
        <is>
          <t>data/cobblemon/spawn_pool_world/0747_mareanie.json</t>
        </is>
      </c>
      <c r="AN2495" s="18" t="inlineStr">
        <is>
          <t>mareanie-4</t>
        </is>
      </c>
      <c r="AO2495" s="18" t="inlineStr">
        <is>
          <t>pokemon</t>
        </is>
      </c>
      <c r="AP2495" s="18" t="inlineStr"/>
      <c r="AQ2495" s="18" t="inlineStr">
        <is>
          <t>{"biomes":["#cobblemon:is_warm_ocean"],"canSeeSky":true,"minLureLevel":1}</t>
        </is>
      </c>
      <c r="AR2495" s="18" t="inlineStr"/>
      <c r="AS2495" s="18" t="inlineStr">
        <is>
          <t>{"weightMultiplier":{"condition":{"maxLureLevel":2,"minLureLevel":1},"multiplier":0.6}}</t>
        </is>
      </c>
      <c r="AT2495" s="19" t="inlineStr"/>
    </row>
    <row r="2496" ht="32" customHeight="1">
      <c r="A2496" s="18" t="inlineStr">
        <is>
          <t>0747_mareanie.json::mareanie-5::005</t>
        </is>
      </c>
      <c r="B2496" s="19" t="inlineStr">
        <is>
          <t>사용</t>
        </is>
      </c>
      <c r="C2496" s="18">
        <f>IF(OR(B2496&lt;&gt;AK2496,M2496&lt;&gt;L2496,O2496&lt;&gt;"",Q2496&lt;&gt;"",V2496&lt;&gt;1,Y2496&lt;&gt;"",AT2496&lt;&gt;""),"수정","원본")</f>
        <v/>
      </c>
      <c r="D2496" s="18" t="n">
        <v>747</v>
      </c>
      <c r="E2496" s="18" t="inlineStr">
        <is>
          <t>시마사리</t>
        </is>
      </c>
      <c r="F2496" s="18" t="inlineStr">
        <is>
          <t>mareanie</t>
        </is>
      </c>
      <c r="G2496" s="18" t="inlineStr">
        <is>
          <t>mareanie</t>
        </is>
      </c>
      <c r="H2496" s="18" t="inlineStr"/>
      <c r="I2496" s="18" t="n">
        <v>7</v>
      </c>
      <c r="J2496" s="18" t="n"/>
      <c r="K2496" s="18" t="n">
        <v>7</v>
      </c>
      <c r="L2496" s="18" t="inlineStr">
        <is>
          <t>cobbleventure:generation_7</t>
        </is>
      </c>
      <c r="M2496" s="19" t="inlineStr">
        <is>
          <t>cobbleventure:generation_7</t>
        </is>
      </c>
      <c r="N2496" s="18" t="inlineStr"/>
      <c r="O2496" s="19" t="inlineStr"/>
      <c r="P2496" s="18" t="inlineStr">
        <is>
          <t>#cobblemon:is_warm_ocean</t>
        </is>
      </c>
      <c r="Q2496" s="19" t="inlineStr"/>
      <c r="R2496" s="18">
        <f>IF(Q2496="",P2496,Q2496)</f>
        <v/>
      </c>
      <c r="S2496" s="18" t="inlineStr"/>
      <c r="T2496" s="18" t="inlineStr">
        <is>
          <t>uncommon</t>
        </is>
      </c>
      <c r="U2496" s="20" t="n">
        <v>8.4</v>
      </c>
      <c r="V2496" s="21" t="n">
        <v>1</v>
      </c>
      <c r="W2496" s="20">
        <f>IF(OR(U2496="",V2496=""),U2496,U2496*V2496)</f>
        <v/>
      </c>
      <c r="X2496" s="18" t="inlineStr">
        <is>
          <t>6-31</t>
        </is>
      </c>
      <c r="Y2496" s="19" t="inlineStr"/>
      <c r="Z2496" s="18">
        <f>IF(Y2496="",X2496,Y2496)</f>
        <v/>
      </c>
      <c r="AA2496" s="18" t="inlineStr">
        <is>
          <t>fishing</t>
        </is>
      </c>
      <c r="AB2496" s="18" t="inlineStr"/>
      <c r="AC2496" s="18" t="inlineStr"/>
      <c r="AD2496" s="18" t="inlineStr"/>
      <c r="AE2496" s="18" t="inlineStr">
        <is>
          <t>sky 8-15</t>
        </is>
      </c>
      <c r="AF2496" s="18" t="inlineStr">
        <is>
          <t>False</t>
        </is>
      </c>
      <c r="AG2496" s="18" t="inlineStr"/>
      <c r="AH2496" s="18" t="inlineStr"/>
      <c r="AI2496" s="18" t="inlineStr"/>
      <c r="AJ2496" s="18" t="inlineStr">
        <is>
          <t>Cobblemon 동일</t>
        </is>
      </c>
      <c r="AK2496" s="18" t="inlineStr">
        <is>
          <t>사용</t>
        </is>
      </c>
      <c r="AL2496" s="18" t="inlineStr">
        <is>
          <t>COBBLEVERSE 1.7.42 / DP v31</t>
        </is>
      </c>
      <c r="AM2496" s="18" t="inlineStr">
        <is>
          <t>data/cobblemon/spawn_pool_world/0747_mareanie.json</t>
        </is>
      </c>
      <c r="AN2496" s="18" t="inlineStr">
        <is>
          <t>mareanie-5</t>
        </is>
      </c>
      <c r="AO2496" s="18" t="inlineStr">
        <is>
          <t>pokemon</t>
        </is>
      </c>
      <c r="AP2496" s="18" t="inlineStr"/>
      <c r="AQ2496" s="18" t="inlineStr">
        <is>
          <t>{"biomes":["#cobblemon:is_warm_ocean"],"canSeeSky":false,"maxSkyLight":15,"minSkyLight":8}</t>
        </is>
      </c>
      <c r="AR2496" s="18" t="inlineStr">
        <is>
          <t>{"minLureLevel":1}</t>
        </is>
      </c>
      <c r="AS2496" s="18" t="inlineStr"/>
      <c r="AT2496" s="19" t="inlineStr"/>
    </row>
    <row r="2497" ht="32" customHeight="1">
      <c r="A2497" s="18" t="inlineStr">
        <is>
          <t>0747_mareanie.json::mareanie-6::006</t>
        </is>
      </c>
      <c r="B2497" s="19" t="inlineStr">
        <is>
          <t>사용</t>
        </is>
      </c>
      <c r="C2497" s="18">
        <f>IF(OR(B2497&lt;&gt;AK2497,M2497&lt;&gt;L2497,O2497&lt;&gt;"",Q2497&lt;&gt;"",V2497&lt;&gt;1,Y2497&lt;&gt;"",AT2497&lt;&gt;""),"수정","원본")</f>
        <v/>
      </c>
      <c r="D2497" s="18" t="n">
        <v>747</v>
      </c>
      <c r="E2497" s="18" t="inlineStr">
        <is>
          <t>시마사리</t>
        </is>
      </c>
      <c r="F2497" s="18" t="inlineStr">
        <is>
          <t>mareanie</t>
        </is>
      </c>
      <c r="G2497" s="18" t="inlineStr">
        <is>
          <t>mareanie</t>
        </is>
      </c>
      <c r="H2497" s="18" t="inlineStr"/>
      <c r="I2497" s="18" t="n">
        <v>7</v>
      </c>
      <c r="J2497" s="18" t="n"/>
      <c r="K2497" s="18" t="n">
        <v>7</v>
      </c>
      <c r="L2497" s="18" t="inlineStr">
        <is>
          <t>cobbleventure:generation_7</t>
        </is>
      </c>
      <c r="M2497" s="19" t="inlineStr">
        <is>
          <t>cobbleventure:generation_7</t>
        </is>
      </c>
      <c r="N2497" s="18" t="inlineStr"/>
      <c r="O2497" s="19" t="inlineStr"/>
      <c r="P2497" s="18" t="inlineStr">
        <is>
          <t>#cobblemon:is_warm_ocean</t>
        </is>
      </c>
      <c r="Q2497" s="19" t="inlineStr"/>
      <c r="R2497" s="18">
        <f>IF(Q2497="",P2497,Q2497)</f>
        <v/>
      </c>
      <c r="S2497" s="18" t="inlineStr"/>
      <c r="T2497" s="18" t="inlineStr">
        <is>
          <t>common</t>
        </is>
      </c>
      <c r="U2497" s="20" t="n">
        <v>10</v>
      </c>
      <c r="V2497" s="21" t="n">
        <v>1</v>
      </c>
      <c r="W2497" s="20">
        <f>IF(OR(U2497="",V2497=""),U2497,U2497*V2497)</f>
        <v/>
      </c>
      <c r="X2497" s="18" t="inlineStr">
        <is>
          <t>6-31</t>
        </is>
      </c>
      <c r="Y2497" s="19" t="inlineStr"/>
      <c r="Z2497" s="18">
        <f>IF(Y2497="",X2497,Y2497)</f>
        <v/>
      </c>
      <c r="AA2497" s="18" t="inlineStr">
        <is>
          <t>fishing</t>
        </is>
      </c>
      <c r="AB2497" s="18" t="inlineStr"/>
      <c r="AC2497" s="18" t="inlineStr"/>
      <c r="AD2497" s="18" t="inlineStr"/>
      <c r="AE2497" s="18" t="inlineStr">
        <is>
          <t>sky 8-15</t>
        </is>
      </c>
      <c r="AF2497" s="18" t="inlineStr">
        <is>
          <t>False</t>
        </is>
      </c>
      <c r="AG2497" s="18" t="inlineStr"/>
      <c r="AH2497" s="18" t="inlineStr"/>
      <c r="AI2497" s="18" t="inlineStr">
        <is>
          <t>{"fishing":{"minLureLevel":1}}</t>
        </is>
      </c>
      <c r="AJ2497" s="18" t="inlineStr">
        <is>
          <t>Cobblemon 동일</t>
        </is>
      </c>
      <c r="AK2497" s="18" t="inlineStr">
        <is>
          <t>사용</t>
        </is>
      </c>
      <c r="AL2497" s="18" t="inlineStr">
        <is>
          <t>COBBLEVERSE 1.7.42 / DP v31</t>
        </is>
      </c>
      <c r="AM2497" s="18" t="inlineStr">
        <is>
          <t>data/cobblemon/spawn_pool_world/0747_mareanie.json</t>
        </is>
      </c>
      <c r="AN2497" s="18" t="inlineStr">
        <is>
          <t>mareanie-6</t>
        </is>
      </c>
      <c r="AO2497" s="18" t="inlineStr">
        <is>
          <t>pokemon</t>
        </is>
      </c>
      <c r="AP2497" s="18" t="inlineStr"/>
      <c r="AQ2497" s="18" t="inlineStr">
        <is>
          <t>{"biomes":["#cobblemon:is_warm_ocean"],"canSeeSky":false,"maxSkyLight":15,"minLureLevel":1,"minSkyLight":8}</t>
        </is>
      </c>
      <c r="AR2497" s="18" t="inlineStr"/>
      <c r="AS2497" s="18" t="inlineStr">
        <is>
          <t>{"weightMultiplier":{"condition":{"maxLureLevel":2,"minLureLevel":1},"multiplier":0.6}}</t>
        </is>
      </c>
      <c r="AT2497" s="19" t="inlineStr"/>
    </row>
    <row r="2498" ht="32" customHeight="1">
      <c r="A2498" s="18" t="inlineStr">
        <is>
          <t>0748_toxapex.json::toxapex-1::001</t>
        </is>
      </c>
      <c r="B2498" s="19" t="inlineStr">
        <is>
          <t>사용</t>
        </is>
      </c>
      <c r="C2498" s="18">
        <f>IF(OR(B2498&lt;&gt;AK2498,M2498&lt;&gt;L2498,O2498&lt;&gt;"",Q2498&lt;&gt;"",V2498&lt;&gt;1,Y2498&lt;&gt;"",AT2498&lt;&gt;""),"수정","원본")</f>
        <v/>
      </c>
      <c r="D2498" s="18" t="n">
        <v>748</v>
      </c>
      <c r="E2498" s="18" t="inlineStr">
        <is>
          <t>더시마사리</t>
        </is>
      </c>
      <c r="F2498" s="18" t="inlineStr">
        <is>
          <t>toxapex</t>
        </is>
      </c>
      <c r="G2498" s="18" t="inlineStr">
        <is>
          <t>toxapex</t>
        </is>
      </c>
      <c r="H2498" s="18" t="inlineStr"/>
      <c r="I2498" s="18" t="n">
        <v>7</v>
      </c>
      <c r="J2498" s="18" t="n"/>
      <c r="K2498" s="18" t="n">
        <v>7</v>
      </c>
      <c r="L2498" s="18" t="inlineStr">
        <is>
          <t>cobbleventure:generation_7</t>
        </is>
      </c>
      <c r="M2498" s="19" t="inlineStr">
        <is>
          <t>cobbleventure:generation_7</t>
        </is>
      </c>
      <c r="N2498" s="18" t="inlineStr"/>
      <c r="O2498" s="19" t="inlineStr"/>
      <c r="P2498" s="18" t="inlineStr">
        <is>
          <t>#cobblemon:is_coast</t>
        </is>
      </c>
      <c r="Q2498" s="19" t="inlineStr"/>
      <c r="R2498" s="18">
        <f>IF(Q2498="",P2498,Q2498)</f>
        <v/>
      </c>
      <c r="S2498" s="18" t="inlineStr">
        <is>
          <t>#cobblemon:is_freezing</t>
        </is>
      </c>
      <c r="T2498" s="18" t="inlineStr">
        <is>
          <t>uncommon</t>
        </is>
      </c>
      <c r="U2498" s="20" t="n">
        <v>0.96</v>
      </c>
      <c r="V2498" s="21" t="n">
        <v>1</v>
      </c>
      <c r="W2498" s="20">
        <f>IF(OR(U2498="",V2498=""),U2498,U2498*V2498)</f>
        <v/>
      </c>
      <c r="X2498" s="18" t="inlineStr">
        <is>
          <t>38-50</t>
        </is>
      </c>
      <c r="Y2498" s="19" t="inlineStr"/>
      <c r="Z2498" s="18">
        <f>IF(Y2498="",X2498,Y2498)</f>
        <v/>
      </c>
      <c r="AA2498" s="18" t="inlineStr">
        <is>
          <t>grounded</t>
        </is>
      </c>
      <c r="AB2498" s="18" t="inlineStr"/>
      <c r="AC2498" s="18" t="inlineStr"/>
      <c r="AD2498" s="18" t="inlineStr"/>
      <c r="AE2498" s="18" t="inlineStr">
        <is>
          <t>sky 8-15</t>
        </is>
      </c>
      <c r="AF2498" s="18" t="inlineStr"/>
      <c r="AG2498" s="18" t="inlineStr"/>
      <c r="AH2498" s="18" t="inlineStr"/>
      <c r="AI2498" s="18" t="inlineStr"/>
      <c r="AJ2498" s="18" t="inlineStr">
        <is>
          <t>Cobblemon 동일</t>
        </is>
      </c>
      <c r="AK2498" s="18" t="inlineStr">
        <is>
          <t>사용</t>
        </is>
      </c>
      <c r="AL2498" s="18" t="inlineStr">
        <is>
          <t>COBBLEVERSE 1.7.42 / DP v31</t>
        </is>
      </c>
      <c r="AM2498" s="18" t="inlineStr">
        <is>
          <t>data/cobblemon/spawn_pool_world/0748_toxapex.json</t>
        </is>
      </c>
      <c r="AN2498" s="18" t="inlineStr">
        <is>
          <t>toxapex-1</t>
        </is>
      </c>
      <c r="AO2498" s="18" t="inlineStr">
        <is>
          <t>pokemon</t>
        </is>
      </c>
      <c r="AP2498" s="18" t="inlineStr"/>
      <c r="AQ2498" s="18" t="inlineStr">
        <is>
          <t>{"biomes":["#cobblemon:is_coast"],"maxSkyLight":15,"minSkyLight":8}</t>
        </is>
      </c>
      <c r="AR2498" s="18" t="inlineStr">
        <is>
          <t>{"biomes":["#cobblemon:is_freezing"]}</t>
        </is>
      </c>
      <c r="AS2498" s="18" t="inlineStr"/>
      <c r="AT2498" s="19" t="inlineStr"/>
    </row>
    <row r="2499" ht="32" customHeight="1">
      <c r="A2499" s="18" t="inlineStr">
        <is>
          <t>0748_toxapex.json::toxapex-2::002</t>
        </is>
      </c>
      <c r="B2499" s="19" t="inlineStr">
        <is>
          <t>사용</t>
        </is>
      </c>
      <c r="C2499" s="18">
        <f>IF(OR(B2499&lt;&gt;AK2499,M2499&lt;&gt;L2499,O2499&lt;&gt;"",Q2499&lt;&gt;"",V2499&lt;&gt;1,Y2499&lt;&gt;"",AT2499&lt;&gt;""),"수정","원본")</f>
        <v/>
      </c>
      <c r="D2499" s="18" t="n">
        <v>748</v>
      </c>
      <c r="E2499" s="18" t="inlineStr">
        <is>
          <t>더시마사리</t>
        </is>
      </c>
      <c r="F2499" s="18" t="inlineStr">
        <is>
          <t>toxapex</t>
        </is>
      </c>
      <c r="G2499" s="18" t="inlineStr">
        <is>
          <t>toxapex</t>
        </is>
      </c>
      <c r="H2499" s="18" t="inlineStr"/>
      <c r="I2499" s="18" t="n">
        <v>7</v>
      </c>
      <c r="J2499" s="18" t="n"/>
      <c r="K2499" s="18" t="n">
        <v>7</v>
      </c>
      <c r="L2499" s="18" t="inlineStr">
        <is>
          <t>cobbleventure:generation_7</t>
        </is>
      </c>
      <c r="M2499" s="19" t="inlineStr">
        <is>
          <t>cobbleventure:generation_7</t>
        </is>
      </c>
      <c r="N2499" s="18" t="inlineStr"/>
      <c r="O2499" s="19" t="inlineStr"/>
      <c r="P2499" s="18" t="inlineStr">
        <is>
          <t>#cobblemon:is_coast; #cobblemon:is_warm_ocean</t>
        </is>
      </c>
      <c r="Q2499" s="19" t="inlineStr"/>
      <c r="R2499" s="18">
        <f>IF(Q2499="",P2499,Q2499)</f>
        <v/>
      </c>
      <c r="S2499" s="18" t="inlineStr">
        <is>
          <t>#cobblemon:is_freezing</t>
        </is>
      </c>
      <c r="T2499" s="18" t="inlineStr">
        <is>
          <t>common</t>
        </is>
      </c>
      <c r="U2499" s="20" t="n">
        <v>0.2</v>
      </c>
      <c r="V2499" s="21" t="n">
        <v>1</v>
      </c>
      <c r="W2499" s="20">
        <f>IF(OR(U2499="",V2499=""),U2499,U2499*V2499)</f>
        <v/>
      </c>
      <c r="X2499" s="18" t="inlineStr">
        <is>
          <t>38-50</t>
        </is>
      </c>
      <c r="Y2499" s="19" t="inlineStr"/>
      <c r="Z2499" s="18">
        <f>IF(Y2499="",X2499,Y2499)</f>
        <v/>
      </c>
      <c r="AA2499" s="18" t="inlineStr">
        <is>
          <t>seafloor</t>
        </is>
      </c>
      <c r="AB2499" s="18" t="inlineStr"/>
      <c r="AC2499" s="18" t="inlineStr"/>
      <c r="AD2499" s="18" t="inlineStr"/>
      <c r="AE2499" s="18" t="inlineStr"/>
      <c r="AF2499" s="18" t="inlineStr">
        <is>
          <t>True</t>
        </is>
      </c>
      <c r="AG2499" s="18" t="inlineStr"/>
      <c r="AH2499" s="18" t="inlineStr"/>
      <c r="AI2499" s="18" t="inlineStr"/>
      <c r="AJ2499" s="18" t="inlineStr">
        <is>
          <t>Cobblemon 동일</t>
        </is>
      </c>
      <c r="AK2499" s="18" t="inlineStr">
        <is>
          <t>사용</t>
        </is>
      </c>
      <c r="AL2499" s="18" t="inlineStr">
        <is>
          <t>COBBLEVERSE 1.7.42 / DP v31</t>
        </is>
      </c>
      <c r="AM2499" s="18" t="inlineStr">
        <is>
          <t>data/cobblemon/spawn_pool_world/0748_toxapex.json</t>
        </is>
      </c>
      <c r="AN2499" s="18" t="inlineStr">
        <is>
          <t>toxapex-2</t>
        </is>
      </c>
      <c r="AO2499" s="18" t="inlineStr">
        <is>
          <t>pokemon</t>
        </is>
      </c>
      <c r="AP2499" s="18" t="inlineStr">
        <is>
          <t>water</t>
        </is>
      </c>
      <c r="AQ2499" s="18" t="inlineStr">
        <is>
          <t>{"biomes":["#cobblemon:is_coast","#cobblemon:is_warm_ocean"],"canSeeSky":true}</t>
        </is>
      </c>
      <c r="AR2499" s="18" t="inlineStr">
        <is>
          <t>{"biomes":["#cobblemon:is_freezing"]}</t>
        </is>
      </c>
      <c r="AS2499" s="18" t="inlineStr"/>
      <c r="AT2499" s="19" t="inlineStr"/>
    </row>
    <row r="2500" ht="32" customHeight="1">
      <c r="A2500" s="18" t="inlineStr">
        <is>
          <t>0748_toxapex.json::toxapex-3::003</t>
        </is>
      </c>
      <c r="B2500" s="19" t="inlineStr">
        <is>
          <t>사용</t>
        </is>
      </c>
      <c r="C2500" s="18">
        <f>IF(OR(B2500&lt;&gt;AK2500,M2500&lt;&gt;L2500,O2500&lt;&gt;"",Q2500&lt;&gt;"",V2500&lt;&gt;1,Y2500&lt;&gt;"",AT2500&lt;&gt;""),"수정","원본")</f>
        <v/>
      </c>
      <c r="D2500" s="18" t="n">
        <v>748</v>
      </c>
      <c r="E2500" s="18" t="inlineStr">
        <is>
          <t>더시마사리</t>
        </is>
      </c>
      <c r="F2500" s="18" t="inlineStr">
        <is>
          <t>toxapex</t>
        </is>
      </c>
      <c r="G2500" s="18" t="inlineStr">
        <is>
          <t>toxapex</t>
        </is>
      </c>
      <c r="H2500" s="18" t="inlineStr"/>
      <c r="I2500" s="18" t="n">
        <v>7</v>
      </c>
      <c r="J2500" s="18" t="n"/>
      <c r="K2500" s="18" t="n">
        <v>7</v>
      </c>
      <c r="L2500" s="18" t="inlineStr">
        <is>
          <t>cobbleventure:generation_7</t>
        </is>
      </c>
      <c r="M2500" s="19" t="inlineStr">
        <is>
          <t>cobbleventure:generation_7</t>
        </is>
      </c>
      <c r="N2500" s="18" t="inlineStr"/>
      <c r="O2500" s="19" t="inlineStr"/>
      <c r="P2500" s="18" t="inlineStr">
        <is>
          <t>#cobblemon:is_warm_ocean</t>
        </is>
      </c>
      <c r="Q2500" s="19" t="inlineStr"/>
      <c r="R2500" s="18">
        <f>IF(Q2500="",P2500,Q2500)</f>
        <v/>
      </c>
      <c r="S2500" s="18" t="inlineStr"/>
      <c r="T2500" s="18" t="inlineStr">
        <is>
          <t>uncommon</t>
        </is>
      </c>
      <c r="U2500" s="20" t="n">
        <v>1.6</v>
      </c>
      <c r="V2500" s="21" t="n">
        <v>1</v>
      </c>
      <c r="W2500" s="20">
        <f>IF(OR(U2500="",V2500=""),U2500,U2500*V2500)</f>
        <v/>
      </c>
      <c r="X2500" s="18" t="inlineStr">
        <is>
          <t>38-50</t>
        </is>
      </c>
      <c r="Y2500" s="19" t="inlineStr"/>
      <c r="Z2500" s="18">
        <f>IF(Y2500="",X2500,Y2500)</f>
        <v/>
      </c>
      <c r="AA2500" s="18" t="inlineStr">
        <is>
          <t>fishing</t>
        </is>
      </c>
      <c r="AB2500" s="18" t="inlineStr"/>
      <c r="AC2500" s="18" t="inlineStr"/>
      <c r="AD2500" s="18" t="inlineStr"/>
      <c r="AE2500" s="18" t="inlineStr"/>
      <c r="AF2500" s="18" t="inlineStr">
        <is>
          <t>True</t>
        </is>
      </c>
      <c r="AG2500" s="18" t="inlineStr"/>
      <c r="AH2500" s="18" t="inlineStr"/>
      <c r="AI2500" s="18" t="inlineStr"/>
      <c r="AJ2500" s="18" t="inlineStr">
        <is>
          <t>Cobblemon 동일</t>
        </is>
      </c>
      <c r="AK2500" s="18" t="inlineStr">
        <is>
          <t>사용</t>
        </is>
      </c>
      <c r="AL2500" s="18" t="inlineStr">
        <is>
          <t>COBBLEVERSE 1.7.42 / DP v31</t>
        </is>
      </c>
      <c r="AM2500" s="18" t="inlineStr">
        <is>
          <t>data/cobblemon/spawn_pool_world/0748_toxapex.json</t>
        </is>
      </c>
      <c r="AN2500" s="18" t="inlineStr">
        <is>
          <t>toxapex-3</t>
        </is>
      </c>
      <c r="AO2500" s="18" t="inlineStr">
        <is>
          <t>pokemon</t>
        </is>
      </c>
      <c r="AP2500" s="18" t="inlineStr"/>
      <c r="AQ2500" s="18" t="inlineStr">
        <is>
          <t>{"biomes":["#cobblemon:is_warm_ocean"],"canSeeSky":true}</t>
        </is>
      </c>
      <c r="AR2500" s="18" t="inlineStr">
        <is>
          <t>{"minLureLevel":1}</t>
        </is>
      </c>
      <c r="AS2500" s="18" t="inlineStr"/>
      <c r="AT2500" s="19" t="inlineStr"/>
    </row>
    <row r="2501" ht="32" customHeight="1">
      <c r="A2501" s="18" t="inlineStr">
        <is>
          <t>0748_toxapex.json::toxapex-4::004</t>
        </is>
      </c>
      <c r="B2501" s="19" t="inlineStr">
        <is>
          <t>사용</t>
        </is>
      </c>
      <c r="C2501" s="18">
        <f>IF(OR(B2501&lt;&gt;AK2501,M2501&lt;&gt;L2501,O2501&lt;&gt;"",Q2501&lt;&gt;"",V2501&lt;&gt;1,Y2501&lt;&gt;"",AT2501&lt;&gt;""),"수정","원본")</f>
        <v/>
      </c>
      <c r="D2501" s="18" t="n">
        <v>748</v>
      </c>
      <c r="E2501" s="18" t="inlineStr">
        <is>
          <t>더시마사리</t>
        </is>
      </c>
      <c r="F2501" s="18" t="inlineStr">
        <is>
          <t>toxapex</t>
        </is>
      </c>
      <c r="G2501" s="18" t="inlineStr">
        <is>
          <t>toxapex</t>
        </is>
      </c>
      <c r="H2501" s="18" t="inlineStr"/>
      <c r="I2501" s="18" t="n">
        <v>7</v>
      </c>
      <c r="J2501" s="18" t="n"/>
      <c r="K2501" s="18" t="n">
        <v>7</v>
      </c>
      <c r="L2501" s="18" t="inlineStr">
        <is>
          <t>cobbleventure:generation_7</t>
        </is>
      </c>
      <c r="M2501" s="19" t="inlineStr">
        <is>
          <t>cobbleventure:generation_7</t>
        </is>
      </c>
      <c r="N2501" s="18" t="inlineStr"/>
      <c r="O2501" s="19" t="inlineStr"/>
      <c r="P2501" s="18" t="inlineStr">
        <is>
          <t>#cobblemon:is_warm_ocean</t>
        </is>
      </c>
      <c r="Q2501" s="19" t="inlineStr"/>
      <c r="R2501" s="18">
        <f>IF(Q2501="",P2501,Q2501)</f>
        <v/>
      </c>
      <c r="S2501" s="18" t="inlineStr"/>
      <c r="T2501" s="18" t="inlineStr">
        <is>
          <t>common</t>
        </is>
      </c>
      <c r="U2501" s="20" t="n">
        <v>1</v>
      </c>
      <c r="V2501" s="21" t="n">
        <v>1</v>
      </c>
      <c r="W2501" s="20">
        <f>IF(OR(U2501="",V2501=""),U2501,U2501*V2501)</f>
        <v/>
      </c>
      <c r="X2501" s="18" t="inlineStr">
        <is>
          <t>38-50</t>
        </is>
      </c>
      <c r="Y2501" s="19" t="inlineStr"/>
      <c r="Z2501" s="18">
        <f>IF(Y2501="",X2501,Y2501)</f>
        <v/>
      </c>
      <c r="AA2501" s="18" t="inlineStr">
        <is>
          <t>fishing</t>
        </is>
      </c>
      <c r="AB2501" s="18" t="inlineStr"/>
      <c r="AC2501" s="18" t="inlineStr"/>
      <c r="AD2501" s="18" t="inlineStr"/>
      <c r="AE2501" s="18" t="inlineStr"/>
      <c r="AF2501" s="18" t="inlineStr">
        <is>
          <t>True</t>
        </is>
      </c>
      <c r="AG2501" s="18" t="inlineStr"/>
      <c r="AH2501" s="18" t="inlineStr"/>
      <c r="AI2501" s="18" t="inlineStr">
        <is>
          <t>{"fishing":{"minLureLevel":1}}</t>
        </is>
      </c>
      <c r="AJ2501" s="18" t="inlineStr">
        <is>
          <t>Cobblemon 동일</t>
        </is>
      </c>
      <c r="AK2501" s="18" t="inlineStr">
        <is>
          <t>사용</t>
        </is>
      </c>
      <c r="AL2501" s="18" t="inlineStr">
        <is>
          <t>COBBLEVERSE 1.7.42 / DP v31</t>
        </is>
      </c>
      <c r="AM2501" s="18" t="inlineStr">
        <is>
          <t>data/cobblemon/spawn_pool_world/0748_toxapex.json</t>
        </is>
      </c>
      <c r="AN2501" s="18" t="inlineStr">
        <is>
          <t>toxapex-4</t>
        </is>
      </c>
      <c r="AO2501" s="18" t="inlineStr">
        <is>
          <t>pokemon</t>
        </is>
      </c>
      <c r="AP2501" s="18" t="inlineStr"/>
      <c r="AQ2501" s="18" t="inlineStr">
        <is>
          <t>{"biomes":["#cobblemon:is_warm_ocean"],"canSeeSky":true,"minLureLevel":1}</t>
        </is>
      </c>
      <c r="AR2501" s="18" t="inlineStr"/>
      <c r="AS2501" s="18" t="inlineStr">
        <is>
          <t>{"weightMultiplier":{"condition":{"maxLureLevel":2,"minLureLevel":1},"multiplier":0.6}}</t>
        </is>
      </c>
      <c r="AT2501" s="19" t="inlineStr"/>
    </row>
    <row r="2502" ht="32" customHeight="1">
      <c r="A2502" s="18" t="inlineStr">
        <is>
          <t>0748_toxapex.json::toxapex-5::005</t>
        </is>
      </c>
      <c r="B2502" s="19" t="inlineStr">
        <is>
          <t>사용</t>
        </is>
      </c>
      <c r="C2502" s="18">
        <f>IF(OR(B2502&lt;&gt;AK2502,M2502&lt;&gt;L2502,O2502&lt;&gt;"",Q2502&lt;&gt;"",V2502&lt;&gt;1,Y2502&lt;&gt;"",AT2502&lt;&gt;""),"수정","원본")</f>
        <v/>
      </c>
      <c r="D2502" s="18" t="n">
        <v>748</v>
      </c>
      <c r="E2502" s="18" t="inlineStr">
        <is>
          <t>더시마사리</t>
        </is>
      </c>
      <c r="F2502" s="18" t="inlineStr">
        <is>
          <t>toxapex</t>
        </is>
      </c>
      <c r="G2502" s="18" t="inlineStr">
        <is>
          <t>toxapex</t>
        </is>
      </c>
      <c r="H2502" s="18" t="inlineStr"/>
      <c r="I2502" s="18" t="n">
        <v>7</v>
      </c>
      <c r="J2502" s="18" t="n"/>
      <c r="K2502" s="18" t="n">
        <v>7</v>
      </c>
      <c r="L2502" s="18" t="inlineStr">
        <is>
          <t>cobbleventure:generation_7</t>
        </is>
      </c>
      <c r="M2502" s="19" t="inlineStr">
        <is>
          <t>cobbleventure:generation_7</t>
        </is>
      </c>
      <c r="N2502" s="18" t="inlineStr"/>
      <c r="O2502" s="19" t="inlineStr"/>
      <c r="P2502" s="18" t="inlineStr">
        <is>
          <t>#cobblemon:is_warm_ocean</t>
        </is>
      </c>
      <c r="Q2502" s="19" t="inlineStr"/>
      <c r="R2502" s="18">
        <f>IF(Q2502="",P2502,Q2502)</f>
        <v/>
      </c>
      <c r="S2502" s="18" t="inlineStr"/>
      <c r="T2502" s="18" t="inlineStr">
        <is>
          <t>uncommon</t>
        </is>
      </c>
      <c r="U2502" s="20" t="n">
        <v>1.6</v>
      </c>
      <c r="V2502" s="21" t="n">
        <v>1</v>
      </c>
      <c r="W2502" s="20">
        <f>IF(OR(U2502="",V2502=""),U2502,U2502*V2502)</f>
        <v/>
      </c>
      <c r="X2502" s="18" t="inlineStr">
        <is>
          <t>38-50</t>
        </is>
      </c>
      <c r="Y2502" s="19" t="inlineStr"/>
      <c r="Z2502" s="18">
        <f>IF(Y2502="",X2502,Y2502)</f>
        <v/>
      </c>
      <c r="AA2502" s="18" t="inlineStr">
        <is>
          <t>fishing</t>
        </is>
      </c>
      <c r="AB2502" s="18" t="inlineStr"/>
      <c r="AC2502" s="18" t="inlineStr"/>
      <c r="AD2502" s="18" t="inlineStr"/>
      <c r="AE2502" s="18" t="inlineStr">
        <is>
          <t>sky 8-15</t>
        </is>
      </c>
      <c r="AF2502" s="18" t="inlineStr">
        <is>
          <t>False</t>
        </is>
      </c>
      <c r="AG2502" s="18" t="inlineStr"/>
      <c r="AH2502" s="18" t="inlineStr"/>
      <c r="AI2502" s="18" t="inlineStr"/>
      <c r="AJ2502" s="18" t="inlineStr">
        <is>
          <t>Cobblemon 동일</t>
        </is>
      </c>
      <c r="AK2502" s="18" t="inlineStr">
        <is>
          <t>사용</t>
        </is>
      </c>
      <c r="AL2502" s="18" t="inlineStr">
        <is>
          <t>COBBLEVERSE 1.7.42 / DP v31</t>
        </is>
      </c>
      <c r="AM2502" s="18" t="inlineStr">
        <is>
          <t>data/cobblemon/spawn_pool_world/0748_toxapex.json</t>
        </is>
      </c>
      <c r="AN2502" s="18" t="inlineStr">
        <is>
          <t>toxapex-5</t>
        </is>
      </c>
      <c r="AO2502" s="18" t="inlineStr">
        <is>
          <t>pokemon</t>
        </is>
      </c>
      <c r="AP2502" s="18" t="inlineStr"/>
      <c r="AQ2502" s="18" t="inlineStr">
        <is>
          <t>{"biomes":["#cobblemon:is_warm_ocean"],"canSeeSky":false,"maxSkyLight":15,"minSkyLight":8}</t>
        </is>
      </c>
      <c r="AR2502" s="18" t="inlineStr">
        <is>
          <t>{"minLureLevel":1}</t>
        </is>
      </c>
      <c r="AS2502" s="18" t="inlineStr"/>
      <c r="AT2502" s="19" t="inlineStr"/>
    </row>
    <row r="2503" ht="32" customHeight="1">
      <c r="A2503" s="18" t="inlineStr">
        <is>
          <t>0748_toxapex.json::toxapex-6::006</t>
        </is>
      </c>
      <c r="B2503" s="19" t="inlineStr">
        <is>
          <t>사용</t>
        </is>
      </c>
      <c r="C2503" s="18">
        <f>IF(OR(B2503&lt;&gt;AK2503,M2503&lt;&gt;L2503,O2503&lt;&gt;"",Q2503&lt;&gt;"",V2503&lt;&gt;1,Y2503&lt;&gt;"",AT2503&lt;&gt;""),"수정","원본")</f>
        <v/>
      </c>
      <c r="D2503" s="18" t="n">
        <v>748</v>
      </c>
      <c r="E2503" s="18" t="inlineStr">
        <is>
          <t>더시마사리</t>
        </is>
      </c>
      <c r="F2503" s="18" t="inlineStr">
        <is>
          <t>toxapex</t>
        </is>
      </c>
      <c r="G2503" s="18" t="inlineStr">
        <is>
          <t>toxapex</t>
        </is>
      </c>
      <c r="H2503" s="18" t="inlineStr"/>
      <c r="I2503" s="18" t="n">
        <v>7</v>
      </c>
      <c r="J2503" s="18" t="n"/>
      <c r="K2503" s="18" t="n">
        <v>7</v>
      </c>
      <c r="L2503" s="18" t="inlineStr">
        <is>
          <t>cobbleventure:generation_7</t>
        </is>
      </c>
      <c r="M2503" s="19" t="inlineStr">
        <is>
          <t>cobbleventure:generation_7</t>
        </is>
      </c>
      <c r="N2503" s="18" t="inlineStr"/>
      <c r="O2503" s="19" t="inlineStr"/>
      <c r="P2503" s="18" t="inlineStr">
        <is>
          <t>#cobblemon:is_warm_ocean</t>
        </is>
      </c>
      <c r="Q2503" s="19" t="inlineStr"/>
      <c r="R2503" s="18">
        <f>IF(Q2503="",P2503,Q2503)</f>
        <v/>
      </c>
      <c r="S2503" s="18" t="inlineStr"/>
      <c r="T2503" s="18" t="inlineStr">
        <is>
          <t>common</t>
        </is>
      </c>
      <c r="U2503" s="20" t="n">
        <v>1</v>
      </c>
      <c r="V2503" s="21" t="n">
        <v>1</v>
      </c>
      <c r="W2503" s="20">
        <f>IF(OR(U2503="",V2503=""),U2503,U2503*V2503)</f>
        <v/>
      </c>
      <c r="X2503" s="18" t="inlineStr">
        <is>
          <t>38-50</t>
        </is>
      </c>
      <c r="Y2503" s="19" t="inlineStr"/>
      <c r="Z2503" s="18">
        <f>IF(Y2503="",X2503,Y2503)</f>
        <v/>
      </c>
      <c r="AA2503" s="18" t="inlineStr">
        <is>
          <t>fishing</t>
        </is>
      </c>
      <c r="AB2503" s="18" t="inlineStr"/>
      <c r="AC2503" s="18" t="inlineStr"/>
      <c r="AD2503" s="18" t="inlineStr"/>
      <c r="AE2503" s="18" t="inlineStr">
        <is>
          <t>sky 8-15</t>
        </is>
      </c>
      <c r="AF2503" s="18" t="inlineStr">
        <is>
          <t>False</t>
        </is>
      </c>
      <c r="AG2503" s="18" t="inlineStr"/>
      <c r="AH2503" s="18" t="inlineStr"/>
      <c r="AI2503" s="18" t="inlineStr">
        <is>
          <t>{"fishing":{"minLureLevel":1}}</t>
        </is>
      </c>
      <c r="AJ2503" s="18" t="inlineStr">
        <is>
          <t>Cobblemon 동일</t>
        </is>
      </c>
      <c r="AK2503" s="18" t="inlineStr">
        <is>
          <t>사용</t>
        </is>
      </c>
      <c r="AL2503" s="18" t="inlineStr">
        <is>
          <t>COBBLEVERSE 1.7.42 / DP v31</t>
        </is>
      </c>
      <c r="AM2503" s="18" t="inlineStr">
        <is>
          <t>data/cobblemon/spawn_pool_world/0748_toxapex.json</t>
        </is>
      </c>
      <c r="AN2503" s="18" t="inlineStr">
        <is>
          <t>toxapex-6</t>
        </is>
      </c>
      <c r="AO2503" s="18" t="inlineStr">
        <is>
          <t>pokemon</t>
        </is>
      </c>
      <c r="AP2503" s="18" t="inlineStr"/>
      <c r="AQ2503" s="18" t="inlineStr">
        <is>
          <t>{"biomes":["#cobblemon:is_warm_ocean"],"canSeeSky":false,"maxSkyLight":15,"minLureLevel":1,"minSkyLight":8}</t>
        </is>
      </c>
      <c r="AR2503" s="18" t="inlineStr"/>
      <c r="AS2503" s="18" t="inlineStr">
        <is>
          <t>{"weightMultiplier":{"condition":{"maxLureLevel":2,"minLureLevel":1},"multiplier":0.6}}</t>
        </is>
      </c>
      <c r="AT2503" s="19" t="inlineStr"/>
    </row>
    <row r="2504" ht="32" customHeight="1">
      <c r="A2504" s="18" t="inlineStr">
        <is>
          <t>0749_mudbray.json::mudbray-1::001</t>
        </is>
      </c>
      <c r="B2504" s="19" t="inlineStr">
        <is>
          <t>사용</t>
        </is>
      </c>
      <c r="C2504" s="18">
        <f>IF(OR(B2504&lt;&gt;AK2504,M2504&lt;&gt;L2504,O2504&lt;&gt;"",Q2504&lt;&gt;"",V2504&lt;&gt;1,Y2504&lt;&gt;"",AT2504&lt;&gt;""),"수정","원본")</f>
        <v/>
      </c>
      <c r="D2504" s="18" t="n">
        <v>749</v>
      </c>
      <c r="E2504" s="18" t="inlineStr">
        <is>
          <t>머드나기</t>
        </is>
      </c>
      <c r="F2504" s="18" t="inlineStr">
        <is>
          <t>mudbray</t>
        </is>
      </c>
      <c r="G2504" s="18" t="inlineStr">
        <is>
          <t>mudbray</t>
        </is>
      </c>
      <c r="H2504" s="18" t="inlineStr"/>
      <c r="I2504" s="18" t="n">
        <v>7</v>
      </c>
      <c r="J2504" s="18" t="n"/>
      <c r="K2504" s="18" t="n">
        <v>7</v>
      </c>
      <c r="L2504" s="18" t="inlineStr">
        <is>
          <t>cobbleventure:generation_7</t>
        </is>
      </c>
      <c r="M2504" s="19" t="inlineStr">
        <is>
          <t>cobbleventure:generation_7</t>
        </is>
      </c>
      <c r="N2504" s="18" t="inlineStr">
        <is>
          <t>region_01</t>
        </is>
      </c>
      <c r="O2504" s="19" t="inlineStr"/>
      <c r="P2504" s="18" t="inlineStr">
        <is>
          <t>#cobblemon:is_badlands; #cobblemon:is_grassland</t>
        </is>
      </c>
      <c r="Q2504" s="19" t="inlineStr"/>
      <c r="R2504" s="18">
        <f>IF(Q2504="",P2504,Q2504)</f>
        <v/>
      </c>
      <c r="S2504" s="18" t="inlineStr"/>
      <c r="T2504" s="18" t="inlineStr">
        <is>
          <t>common</t>
        </is>
      </c>
      <c r="U2504" s="20" t="n">
        <v>1.8</v>
      </c>
      <c r="V2504" s="21" t="n">
        <v>1</v>
      </c>
      <c r="W2504" s="20">
        <f>IF(OR(U2504="",V2504=""),U2504,U2504*V2504)</f>
        <v/>
      </c>
      <c r="X2504" s="18" t="inlineStr">
        <is>
          <t>14-39</t>
        </is>
      </c>
      <c r="Y2504" s="19" t="inlineStr"/>
      <c r="Z2504" s="18">
        <f>IF(Y2504="",X2504,Y2504)</f>
        <v/>
      </c>
      <c r="AA2504" s="18" t="inlineStr">
        <is>
          <t>grounded</t>
        </is>
      </c>
      <c r="AB2504" s="18" t="inlineStr"/>
      <c r="AC2504" s="18" t="inlineStr"/>
      <c r="AD2504" s="18" t="inlineStr"/>
      <c r="AE2504" s="18" t="inlineStr">
        <is>
          <t>sky 8-15</t>
        </is>
      </c>
      <c r="AF2504" s="18" t="inlineStr"/>
      <c r="AG2504" s="18" t="inlineStr"/>
      <c r="AH2504" s="18" t="inlineStr"/>
      <c r="AI2504" s="18" t="inlineStr"/>
      <c r="AJ2504" s="18" t="inlineStr">
        <is>
          <t>Cobblemon 동일</t>
        </is>
      </c>
      <c r="AK2504" s="18" t="inlineStr">
        <is>
          <t>사용</t>
        </is>
      </c>
      <c r="AL2504" s="18" t="inlineStr">
        <is>
          <t>COBBLEVERSE 1.7.42 / DP v31</t>
        </is>
      </c>
      <c r="AM2504" s="18" t="inlineStr">
        <is>
          <t>data/cobblemon/spawn_pool_world/0749_mudbray.json</t>
        </is>
      </c>
      <c r="AN2504" s="18" t="inlineStr">
        <is>
          <t>mudbray-1</t>
        </is>
      </c>
      <c r="AO2504" s="18" t="inlineStr">
        <is>
          <t>pokemon</t>
        </is>
      </c>
      <c r="AP2504" s="18" t="inlineStr">
        <is>
          <t>natural</t>
        </is>
      </c>
      <c r="AQ2504" s="18" t="inlineStr">
        <is>
          <t>{"biomes":["#cobblemon:is_badlands","#cobblemon:is_grassland"],"maxSkyLight":15,"minSkyLight":8}</t>
        </is>
      </c>
      <c r="AR2504" s="18" t="inlineStr"/>
      <c r="AS2504" s="18" t="inlineStr">
        <is>
          <t>{"weightMultiplier":{"condition":{"timeRange":"night"},"multiplier":0.25}}</t>
        </is>
      </c>
      <c r="AT2504" s="19" t="inlineStr"/>
    </row>
    <row r="2505" ht="32" customHeight="1">
      <c r="A2505" s="18" t="inlineStr">
        <is>
          <t>0750_mudsdale.json::mudsdale-1::001</t>
        </is>
      </c>
      <c r="B2505" s="19" t="inlineStr">
        <is>
          <t>사용</t>
        </is>
      </c>
      <c r="C2505" s="18">
        <f>IF(OR(B2505&lt;&gt;AK2505,M2505&lt;&gt;L2505,O2505&lt;&gt;"",Q2505&lt;&gt;"",V2505&lt;&gt;1,Y2505&lt;&gt;"",AT2505&lt;&gt;""),"수정","원본")</f>
        <v/>
      </c>
      <c r="D2505" s="18" t="n">
        <v>750</v>
      </c>
      <c r="E2505" s="18" t="inlineStr">
        <is>
          <t>만마드</t>
        </is>
      </c>
      <c r="F2505" s="18" t="inlineStr">
        <is>
          <t>mudsdale</t>
        </is>
      </c>
      <c r="G2505" s="18" t="inlineStr">
        <is>
          <t>mudsdale</t>
        </is>
      </c>
      <c r="H2505" s="18" t="inlineStr"/>
      <c r="I2505" s="18" t="n">
        <v>7</v>
      </c>
      <c r="J2505" s="18" t="n"/>
      <c r="K2505" s="18" t="n">
        <v>7</v>
      </c>
      <c r="L2505" s="18" t="inlineStr">
        <is>
          <t>cobbleventure:generation_7</t>
        </is>
      </c>
      <c r="M2505" s="19" t="inlineStr">
        <is>
          <t>cobbleventure:generation_7</t>
        </is>
      </c>
      <c r="N2505" s="18" t="inlineStr">
        <is>
          <t>region_01</t>
        </is>
      </c>
      <c r="O2505" s="19" t="inlineStr"/>
      <c r="P2505" s="18" t="inlineStr">
        <is>
          <t>#cobblemon:is_badlands; #cobblemon:is_grassland</t>
        </is>
      </c>
      <c r="Q2505" s="19" t="inlineStr"/>
      <c r="R2505" s="18">
        <f>IF(Q2505="",P2505,Q2505)</f>
        <v/>
      </c>
      <c r="S2505" s="18" t="inlineStr"/>
      <c r="T2505" s="18" t="inlineStr">
        <is>
          <t>common</t>
        </is>
      </c>
      <c r="U2505" s="20" t="n">
        <v>0.2</v>
      </c>
      <c r="V2505" s="21" t="n">
        <v>1</v>
      </c>
      <c r="W2505" s="20">
        <f>IF(OR(U2505="",V2505=""),U2505,U2505*V2505)</f>
        <v/>
      </c>
      <c r="X2505" s="18" t="inlineStr">
        <is>
          <t>30-50</t>
        </is>
      </c>
      <c r="Y2505" s="19" t="inlineStr"/>
      <c r="Z2505" s="18">
        <f>IF(Y2505="",X2505,Y2505)</f>
        <v/>
      </c>
      <c r="AA2505" s="18" t="inlineStr">
        <is>
          <t>grounded</t>
        </is>
      </c>
      <c r="AB2505" s="18" t="inlineStr"/>
      <c r="AC2505" s="18" t="inlineStr"/>
      <c r="AD2505" s="18" t="inlineStr"/>
      <c r="AE2505" s="18" t="inlineStr">
        <is>
          <t>sky 8-15</t>
        </is>
      </c>
      <c r="AF2505" s="18" t="inlineStr"/>
      <c r="AG2505" s="18" t="inlineStr"/>
      <c r="AH2505" s="18" t="inlineStr"/>
      <c r="AI2505" s="18" t="inlineStr"/>
      <c r="AJ2505" s="18" t="inlineStr">
        <is>
          <t>Cobblemon 동일</t>
        </is>
      </c>
      <c r="AK2505" s="18" t="inlineStr">
        <is>
          <t>사용</t>
        </is>
      </c>
      <c r="AL2505" s="18" t="inlineStr">
        <is>
          <t>COBBLEVERSE 1.7.42 / DP v31</t>
        </is>
      </c>
      <c r="AM2505" s="18" t="inlineStr">
        <is>
          <t>data/cobblemon/spawn_pool_world/0750_mudsdale.json</t>
        </is>
      </c>
      <c r="AN2505" s="18" t="inlineStr">
        <is>
          <t>mudsdale-1</t>
        </is>
      </c>
      <c r="AO2505" s="18" t="inlineStr">
        <is>
          <t>pokemon</t>
        </is>
      </c>
      <c r="AP2505" s="18" t="inlineStr">
        <is>
          <t>natural</t>
        </is>
      </c>
      <c r="AQ2505" s="18" t="inlineStr">
        <is>
          <t>{"biomes":["#cobblemon:is_badlands","#cobblemon:is_grassland"],"maxSkyLight":15,"minSkyLight":8}</t>
        </is>
      </c>
      <c r="AR2505" s="18" t="inlineStr"/>
      <c r="AS2505" s="18" t="inlineStr">
        <is>
          <t>{"weightMultiplier":{"condition":{"timeRange":"night"},"multiplier":0.25}}</t>
        </is>
      </c>
      <c r="AT2505" s="19" t="inlineStr"/>
    </row>
    <row r="2506" ht="32" customHeight="1">
      <c r="A2506" s="18" t="inlineStr">
        <is>
          <t>0751_dewpider.json::dewpider-3::001</t>
        </is>
      </c>
      <c r="B2506" s="19" t="inlineStr">
        <is>
          <t>사용</t>
        </is>
      </c>
      <c r="C2506" s="18">
        <f>IF(OR(B2506&lt;&gt;AK2506,M2506&lt;&gt;L2506,O2506&lt;&gt;"",Q2506&lt;&gt;"",V2506&lt;&gt;1,Y2506&lt;&gt;"",AT2506&lt;&gt;""),"수정","원본")</f>
        <v/>
      </c>
      <c r="D2506" s="18" t="n">
        <v>751</v>
      </c>
      <c r="E2506" s="18" t="inlineStr">
        <is>
          <t>물거미</t>
        </is>
      </c>
      <c r="F2506" s="18" t="inlineStr">
        <is>
          <t>dewpider</t>
        </is>
      </c>
      <c r="G2506" s="18" t="inlineStr">
        <is>
          <t>dewpider</t>
        </is>
      </c>
      <c r="H2506" s="18" t="inlineStr"/>
      <c r="I2506" s="18" t="n">
        <v>7</v>
      </c>
      <c r="J2506" s="18" t="n"/>
      <c r="K2506" s="18" t="n">
        <v>7</v>
      </c>
      <c r="L2506" s="18" t="inlineStr">
        <is>
          <t>cobbleventure:generation_7</t>
        </is>
      </c>
      <c r="M2506" s="19" t="inlineStr">
        <is>
          <t>cobbleventure:generation_7</t>
        </is>
      </c>
      <c r="N2506" s="18" t="inlineStr">
        <is>
          <t>region_01; region_02</t>
        </is>
      </c>
      <c r="O2506" s="19" t="inlineStr"/>
      <c r="P2506" s="18" t="inlineStr">
        <is>
          <t>#cobblemon:is_forest; #cobblemon:is_freshwater; #cobblemon:is_grassland; #cobblemon:is_jungle</t>
        </is>
      </c>
      <c r="Q2506" s="19" t="inlineStr"/>
      <c r="R2506" s="18">
        <f>IF(Q2506="",P2506,Q2506)</f>
        <v/>
      </c>
      <c r="S2506" s="18" t="inlineStr">
        <is>
          <t>#cobblemon:is_freezing</t>
        </is>
      </c>
      <c r="T2506" s="18" t="inlineStr">
        <is>
          <t>uncommon</t>
        </is>
      </c>
      <c r="U2506" s="20" t="n">
        <v>5.04</v>
      </c>
      <c r="V2506" s="21" t="n">
        <v>1</v>
      </c>
      <c r="W2506" s="20">
        <f>IF(OR(U2506="",V2506=""),U2506,U2506*V2506)</f>
        <v/>
      </c>
      <c r="X2506" s="18" t="inlineStr">
        <is>
          <t>2-27</t>
        </is>
      </c>
      <c r="Y2506" s="19" t="inlineStr"/>
      <c r="Z2506" s="18">
        <f>IF(Y2506="",X2506,Y2506)</f>
        <v/>
      </c>
      <c r="AA2506" s="18" t="inlineStr">
        <is>
          <t>fishing</t>
        </is>
      </c>
      <c r="AB2506" s="18" t="inlineStr"/>
      <c r="AC2506" s="18" t="inlineStr"/>
      <c r="AD2506" s="18" t="inlineStr"/>
      <c r="AE2506" s="18" t="inlineStr"/>
      <c r="AF2506" s="18" t="inlineStr">
        <is>
          <t>True</t>
        </is>
      </c>
      <c r="AG2506" s="18" t="inlineStr"/>
      <c r="AH2506" s="18" t="inlineStr"/>
      <c r="AI2506" s="18" t="inlineStr"/>
      <c r="AJ2506" s="18" t="inlineStr">
        <is>
          <t>COBBLEVERSE 수정</t>
        </is>
      </c>
      <c r="AK2506" s="18" t="inlineStr">
        <is>
          <t>사용</t>
        </is>
      </c>
      <c r="AL2506" s="18" t="inlineStr">
        <is>
          <t>COBBLEVERSE 1.7.42 / DP v31</t>
        </is>
      </c>
      <c r="AM2506" s="18" t="inlineStr">
        <is>
          <t>data/cobblemon/spawn_pool_world/0751_dewpider.json</t>
        </is>
      </c>
      <c r="AN2506" s="18" t="inlineStr">
        <is>
          <t>dewpider-3</t>
        </is>
      </c>
      <c r="AO2506" s="18" t="inlineStr">
        <is>
          <t>pokemon</t>
        </is>
      </c>
      <c r="AP2506" s="18" t="inlineStr"/>
      <c r="AQ2506" s="18" t="inlineStr">
        <is>
          <t>{"biomes":["#cobblemon:is_forest","#cobblemon:is_freshwater","#cobblemon:is_grassland","#cobblemon:is_jungle"],"canSeeSky":true}</t>
        </is>
      </c>
      <c r="AR2506" s="18" t="inlineStr">
        <is>
          <t>{"biomes":["#cobblemon:is_freezing"],"minLureLevel":1}</t>
        </is>
      </c>
      <c r="AS2506" s="18" t="inlineStr"/>
      <c r="AT2506" s="19" t="inlineStr"/>
    </row>
    <row r="2507" ht="32" customHeight="1">
      <c r="A2507" s="18" t="inlineStr">
        <is>
          <t>0751_dewpider.json::dewpider-4::002</t>
        </is>
      </c>
      <c r="B2507" s="19" t="inlineStr">
        <is>
          <t>사용</t>
        </is>
      </c>
      <c r="C2507" s="18">
        <f>IF(OR(B2507&lt;&gt;AK2507,M2507&lt;&gt;L2507,O2507&lt;&gt;"",Q2507&lt;&gt;"",V2507&lt;&gt;1,Y2507&lt;&gt;"",AT2507&lt;&gt;""),"수정","원본")</f>
        <v/>
      </c>
      <c r="D2507" s="18" t="n">
        <v>751</v>
      </c>
      <c r="E2507" s="18" t="inlineStr">
        <is>
          <t>물거미</t>
        </is>
      </c>
      <c r="F2507" s="18" t="inlineStr">
        <is>
          <t>dewpider</t>
        </is>
      </c>
      <c r="G2507" s="18" t="inlineStr">
        <is>
          <t>dewpider</t>
        </is>
      </c>
      <c r="H2507" s="18" t="inlineStr"/>
      <c r="I2507" s="18" t="n">
        <v>7</v>
      </c>
      <c r="J2507" s="18" t="n"/>
      <c r="K2507" s="18" t="n">
        <v>7</v>
      </c>
      <c r="L2507" s="18" t="inlineStr">
        <is>
          <t>cobbleventure:generation_7</t>
        </is>
      </c>
      <c r="M2507" s="19" t="inlineStr">
        <is>
          <t>cobbleventure:generation_7</t>
        </is>
      </c>
      <c r="N2507" s="18" t="inlineStr">
        <is>
          <t>region_01; region_02</t>
        </is>
      </c>
      <c r="O2507" s="19" t="inlineStr"/>
      <c r="P2507" s="18" t="inlineStr">
        <is>
          <t>#cobblemon:is_forest; #cobblemon:is_freshwater; #cobblemon:is_grassland; #cobblemon:is_jungle</t>
        </is>
      </c>
      <c r="Q2507" s="19" t="inlineStr"/>
      <c r="R2507" s="18">
        <f>IF(Q2507="",P2507,Q2507)</f>
        <v/>
      </c>
      <c r="S2507" s="18" t="inlineStr">
        <is>
          <t>#cobblemon:is_freezing</t>
        </is>
      </c>
      <c r="T2507" s="18" t="inlineStr">
        <is>
          <t>common</t>
        </is>
      </c>
      <c r="U2507" s="20" t="n">
        <v>1.8</v>
      </c>
      <c r="V2507" s="21" t="n">
        <v>1</v>
      </c>
      <c r="W2507" s="20">
        <f>IF(OR(U2507="",V2507=""),U2507,U2507*V2507)</f>
        <v/>
      </c>
      <c r="X2507" s="18" t="inlineStr">
        <is>
          <t>2-27</t>
        </is>
      </c>
      <c r="Y2507" s="19" t="inlineStr"/>
      <c r="Z2507" s="18">
        <f>IF(Y2507="",X2507,Y2507)</f>
        <v/>
      </c>
      <c r="AA2507" s="18" t="inlineStr">
        <is>
          <t>fishing</t>
        </is>
      </c>
      <c r="AB2507" s="18" t="inlineStr"/>
      <c r="AC2507" s="18" t="inlineStr"/>
      <c r="AD2507" s="18" t="inlineStr"/>
      <c r="AE2507" s="18" t="inlineStr"/>
      <c r="AF2507" s="18" t="inlineStr">
        <is>
          <t>True</t>
        </is>
      </c>
      <c r="AG2507" s="18" t="inlineStr"/>
      <c r="AH2507" s="18" t="inlineStr"/>
      <c r="AI2507" s="18" t="inlineStr">
        <is>
          <t>{"fishing":{"minLureLevel":1}}</t>
        </is>
      </c>
      <c r="AJ2507" s="18" t="inlineStr">
        <is>
          <t>COBBLEVERSE 수정</t>
        </is>
      </c>
      <c r="AK2507" s="18" t="inlineStr">
        <is>
          <t>사용</t>
        </is>
      </c>
      <c r="AL2507" s="18" t="inlineStr">
        <is>
          <t>COBBLEVERSE 1.7.42 / DP v31</t>
        </is>
      </c>
      <c r="AM2507" s="18" t="inlineStr">
        <is>
          <t>data/cobblemon/spawn_pool_world/0751_dewpider.json</t>
        </is>
      </c>
      <c r="AN2507" s="18" t="inlineStr">
        <is>
          <t>dewpider-4</t>
        </is>
      </c>
      <c r="AO2507" s="18" t="inlineStr">
        <is>
          <t>pokemon</t>
        </is>
      </c>
      <c r="AP2507" s="18" t="inlineStr"/>
      <c r="AQ2507" s="18" t="inlineStr">
        <is>
          <t>{"biomes":["#cobblemon:is_forest","#cobblemon:is_freshwater","#cobblemon:is_grassland","#cobblemon:is_jungle"],"canSeeSky":true,"minLureLevel":1}</t>
        </is>
      </c>
      <c r="AR2507" s="18" t="inlineStr">
        <is>
          <t>{"biomes":["#cobblemon:is_freezing"]}</t>
        </is>
      </c>
      <c r="AS2507" s="18" t="inlineStr">
        <is>
          <t>{"weightMultiplier":{"condition":{"minLureLevel":3},"multiplier":3.0}}</t>
        </is>
      </c>
      <c r="AT2507" s="19" t="inlineStr"/>
    </row>
    <row r="2508" ht="32" customHeight="1">
      <c r="A2508" s="18" t="inlineStr">
        <is>
          <t>0751_dewpider.json::dewpider-5::003</t>
        </is>
      </c>
      <c r="B2508" s="19" t="inlineStr">
        <is>
          <t>사용</t>
        </is>
      </c>
      <c r="C2508" s="18">
        <f>IF(OR(B2508&lt;&gt;AK2508,M2508&lt;&gt;L2508,O2508&lt;&gt;"",Q2508&lt;&gt;"",V2508&lt;&gt;1,Y2508&lt;&gt;"",AT2508&lt;&gt;""),"수정","원본")</f>
        <v/>
      </c>
      <c r="D2508" s="18" t="n">
        <v>751</v>
      </c>
      <c r="E2508" s="18" t="inlineStr">
        <is>
          <t>물거미</t>
        </is>
      </c>
      <c r="F2508" s="18" t="inlineStr">
        <is>
          <t>dewpider</t>
        </is>
      </c>
      <c r="G2508" s="18" t="inlineStr">
        <is>
          <t>dewpider</t>
        </is>
      </c>
      <c r="H2508" s="18" t="inlineStr"/>
      <c r="I2508" s="18" t="n">
        <v>7</v>
      </c>
      <c r="J2508" s="18" t="n"/>
      <c r="K2508" s="18" t="n">
        <v>7</v>
      </c>
      <c r="L2508" s="18" t="inlineStr">
        <is>
          <t>cobbleventure:generation_7</t>
        </is>
      </c>
      <c r="M2508" s="19" t="inlineStr">
        <is>
          <t>cobbleventure:generation_7</t>
        </is>
      </c>
      <c r="N2508" s="18" t="inlineStr">
        <is>
          <t>region_01; region_02</t>
        </is>
      </c>
      <c r="O2508" s="19" t="inlineStr"/>
      <c r="P2508" s="18" t="inlineStr">
        <is>
          <t>#cobblemon:is_forest; #cobblemon:is_freshwater; #cobblemon:is_grassland; #cobblemon:is_jungle</t>
        </is>
      </c>
      <c r="Q2508" s="19" t="inlineStr"/>
      <c r="R2508" s="18">
        <f>IF(Q2508="",P2508,Q2508)</f>
        <v/>
      </c>
      <c r="S2508" s="18" t="inlineStr">
        <is>
          <t>#cobblemon:is_freezing</t>
        </is>
      </c>
      <c r="T2508" s="18" t="inlineStr">
        <is>
          <t>uncommon</t>
        </is>
      </c>
      <c r="U2508" s="20" t="n">
        <v>5.04</v>
      </c>
      <c r="V2508" s="21" t="n">
        <v>1</v>
      </c>
      <c r="W2508" s="20">
        <f>IF(OR(U2508="",V2508=""),U2508,U2508*V2508)</f>
        <v/>
      </c>
      <c r="X2508" s="18" t="inlineStr">
        <is>
          <t>2-27</t>
        </is>
      </c>
      <c r="Y2508" s="19" t="inlineStr"/>
      <c r="Z2508" s="18">
        <f>IF(Y2508="",X2508,Y2508)</f>
        <v/>
      </c>
      <c r="AA2508" s="18" t="inlineStr">
        <is>
          <t>fishing</t>
        </is>
      </c>
      <c r="AB2508" s="18" t="inlineStr"/>
      <c r="AC2508" s="18" t="inlineStr"/>
      <c r="AD2508" s="18" t="inlineStr"/>
      <c r="AE2508" s="18" t="inlineStr">
        <is>
          <t>sky 8-15</t>
        </is>
      </c>
      <c r="AF2508" s="18" t="inlineStr">
        <is>
          <t>False</t>
        </is>
      </c>
      <c r="AG2508" s="18" t="inlineStr"/>
      <c r="AH2508" s="18" t="inlineStr"/>
      <c r="AI2508" s="18" t="inlineStr"/>
      <c r="AJ2508" s="18" t="inlineStr">
        <is>
          <t>COBBLEVERSE 수정</t>
        </is>
      </c>
      <c r="AK2508" s="18" t="inlineStr">
        <is>
          <t>사용</t>
        </is>
      </c>
      <c r="AL2508" s="18" t="inlineStr">
        <is>
          <t>COBBLEVERSE 1.7.42 / DP v31</t>
        </is>
      </c>
      <c r="AM2508" s="18" t="inlineStr">
        <is>
          <t>data/cobblemon/spawn_pool_world/0751_dewpider.json</t>
        </is>
      </c>
      <c r="AN2508" s="18" t="inlineStr">
        <is>
          <t>dewpider-5</t>
        </is>
      </c>
      <c r="AO2508" s="18" t="inlineStr">
        <is>
          <t>pokemon</t>
        </is>
      </c>
      <c r="AP2508" s="18" t="inlineStr"/>
      <c r="AQ2508" s="18" t="inlineStr">
        <is>
          <t>{"biomes":["#cobblemon:is_forest","#cobblemon:is_freshwater","#cobblemon:is_grassland","#cobblemon:is_jungle"],"canSeeSky":false,"maxSkyLight":15,"minSkyLight":8}</t>
        </is>
      </c>
      <c r="AR2508" s="18" t="inlineStr">
        <is>
          <t>{"biomes":["#cobblemon:is_freezing"],"minLureLevel":1}</t>
        </is>
      </c>
      <c r="AS2508" s="18" t="inlineStr"/>
      <c r="AT2508" s="19" t="inlineStr"/>
    </row>
    <row r="2509" ht="32" customHeight="1">
      <c r="A2509" s="18" t="inlineStr">
        <is>
          <t>0751_dewpider.json::dewpider-6::004</t>
        </is>
      </c>
      <c r="B2509" s="19" t="inlineStr">
        <is>
          <t>사용</t>
        </is>
      </c>
      <c r="C2509" s="18">
        <f>IF(OR(B2509&lt;&gt;AK2509,M2509&lt;&gt;L2509,O2509&lt;&gt;"",Q2509&lt;&gt;"",V2509&lt;&gt;1,Y2509&lt;&gt;"",AT2509&lt;&gt;""),"수정","원본")</f>
        <v/>
      </c>
      <c r="D2509" s="18" t="n">
        <v>751</v>
      </c>
      <c r="E2509" s="18" t="inlineStr">
        <is>
          <t>물거미</t>
        </is>
      </c>
      <c r="F2509" s="18" t="inlineStr">
        <is>
          <t>dewpider</t>
        </is>
      </c>
      <c r="G2509" s="18" t="inlineStr">
        <is>
          <t>dewpider</t>
        </is>
      </c>
      <c r="H2509" s="18" t="inlineStr"/>
      <c r="I2509" s="18" t="n">
        <v>7</v>
      </c>
      <c r="J2509" s="18" t="n"/>
      <c r="K2509" s="18" t="n">
        <v>7</v>
      </c>
      <c r="L2509" s="18" t="inlineStr">
        <is>
          <t>cobbleventure:generation_7</t>
        </is>
      </c>
      <c r="M2509" s="19" t="inlineStr">
        <is>
          <t>cobbleventure:generation_7</t>
        </is>
      </c>
      <c r="N2509" s="18" t="inlineStr">
        <is>
          <t>region_01; region_02</t>
        </is>
      </c>
      <c r="O2509" s="19" t="inlineStr"/>
      <c r="P2509" s="18" t="inlineStr">
        <is>
          <t>#cobblemon:is_forest; #cobblemon:is_freshwater; #cobblemon:is_grassland; #cobblemon:is_jungle</t>
        </is>
      </c>
      <c r="Q2509" s="19" t="inlineStr"/>
      <c r="R2509" s="18">
        <f>IF(Q2509="",P2509,Q2509)</f>
        <v/>
      </c>
      <c r="S2509" s="18" t="inlineStr">
        <is>
          <t>#cobblemon:is_freezing</t>
        </is>
      </c>
      <c r="T2509" s="18" t="inlineStr">
        <is>
          <t>common</t>
        </is>
      </c>
      <c r="U2509" s="20" t="n">
        <v>1.8</v>
      </c>
      <c r="V2509" s="21" t="n">
        <v>1</v>
      </c>
      <c r="W2509" s="20">
        <f>IF(OR(U2509="",V2509=""),U2509,U2509*V2509)</f>
        <v/>
      </c>
      <c r="X2509" s="18" t="inlineStr">
        <is>
          <t>2-27</t>
        </is>
      </c>
      <c r="Y2509" s="19" t="inlineStr"/>
      <c r="Z2509" s="18">
        <f>IF(Y2509="",X2509,Y2509)</f>
        <v/>
      </c>
      <c r="AA2509" s="18" t="inlineStr">
        <is>
          <t>fishing</t>
        </is>
      </c>
      <c r="AB2509" s="18" t="inlineStr"/>
      <c r="AC2509" s="18" t="inlineStr"/>
      <c r="AD2509" s="18" t="inlineStr"/>
      <c r="AE2509" s="18" t="inlineStr">
        <is>
          <t>sky 8-15</t>
        </is>
      </c>
      <c r="AF2509" s="18" t="inlineStr">
        <is>
          <t>False</t>
        </is>
      </c>
      <c r="AG2509" s="18" t="inlineStr"/>
      <c r="AH2509" s="18" t="inlineStr"/>
      <c r="AI2509" s="18" t="inlineStr">
        <is>
          <t>{"fishing":{"minLureLevel":1}}</t>
        </is>
      </c>
      <c r="AJ2509" s="18" t="inlineStr">
        <is>
          <t>COBBLEVERSE 수정</t>
        </is>
      </c>
      <c r="AK2509" s="18" t="inlineStr">
        <is>
          <t>사용</t>
        </is>
      </c>
      <c r="AL2509" s="18" t="inlineStr">
        <is>
          <t>COBBLEVERSE 1.7.42 / DP v31</t>
        </is>
      </c>
      <c r="AM2509" s="18" t="inlineStr">
        <is>
          <t>data/cobblemon/spawn_pool_world/0751_dewpider.json</t>
        </is>
      </c>
      <c r="AN2509" s="18" t="inlineStr">
        <is>
          <t>dewpider-6</t>
        </is>
      </c>
      <c r="AO2509" s="18" t="inlineStr">
        <is>
          <t>pokemon</t>
        </is>
      </c>
      <c r="AP2509" s="18" t="inlineStr"/>
      <c r="AQ2509" s="18" t="inlineStr">
        <is>
          <t>{"biomes":["#cobblemon:is_forest","#cobblemon:is_freshwater","#cobblemon:is_grassland","#cobblemon:is_jungle"],"canSeeSky":false,"maxSkyLight":15,"minLureLevel":1,"minSkyLight":8}</t>
        </is>
      </c>
      <c r="AR2509" s="18" t="inlineStr">
        <is>
          <t>{"biomes":["#cobblemon:is_freezing"]}</t>
        </is>
      </c>
      <c r="AS2509" s="18" t="inlineStr">
        <is>
          <t>{"weightMultiplier":{"condition":{"minLureLevel":3},"multiplier":3.0}}</t>
        </is>
      </c>
      <c r="AT2509" s="19" t="inlineStr"/>
    </row>
    <row r="2510" ht="32" customHeight="1">
      <c r="A2510" s="18" t="inlineStr">
        <is>
          <t>0751_dewpider.json::dewpider-1::005</t>
        </is>
      </c>
      <c r="B2510" s="19" t="inlineStr">
        <is>
          <t>사용</t>
        </is>
      </c>
      <c r="C2510" s="18">
        <f>IF(OR(B2510&lt;&gt;AK2510,M2510&lt;&gt;L2510,O2510&lt;&gt;"",Q2510&lt;&gt;"",V2510&lt;&gt;1,Y2510&lt;&gt;"",AT2510&lt;&gt;""),"수정","원본")</f>
        <v/>
      </c>
      <c r="D2510" s="18" t="n">
        <v>751</v>
      </c>
      <c r="E2510" s="18" t="inlineStr">
        <is>
          <t>물거미</t>
        </is>
      </c>
      <c r="F2510" s="18" t="inlineStr">
        <is>
          <t>dewpider</t>
        </is>
      </c>
      <c r="G2510" s="18" t="inlineStr">
        <is>
          <t>dewpider</t>
        </is>
      </c>
      <c r="H2510" s="18" t="inlineStr"/>
      <c r="I2510" s="18" t="n">
        <v>7</v>
      </c>
      <c r="J2510" s="18" t="n"/>
      <c r="K2510" s="18" t="n">
        <v>7</v>
      </c>
      <c r="L2510" s="18" t="inlineStr">
        <is>
          <t>cobbleventure:generation_7</t>
        </is>
      </c>
      <c r="M2510" s="19" t="inlineStr">
        <is>
          <t>cobbleventure:generation_7</t>
        </is>
      </c>
      <c r="N2510" s="18" t="inlineStr">
        <is>
          <t>region_02</t>
        </is>
      </c>
      <c r="O2510" s="19" t="inlineStr"/>
      <c r="P2510" s="18" t="inlineStr">
        <is>
          <t>#cobblemon:is_freshwater; #cobblemon:is_swamp</t>
        </is>
      </c>
      <c r="Q2510" s="19" t="inlineStr"/>
      <c r="R2510" s="18">
        <f>IF(Q2510="",P2510,Q2510)</f>
        <v/>
      </c>
      <c r="S2510" s="18" t="inlineStr">
        <is>
          <t>#cobblemon:is_freezing</t>
        </is>
      </c>
      <c r="T2510" s="18" t="inlineStr">
        <is>
          <t>uncommon</t>
        </is>
      </c>
      <c r="U2510" s="20" t="n">
        <v>8.4</v>
      </c>
      <c r="V2510" s="21" t="n">
        <v>1</v>
      </c>
      <c r="W2510" s="20">
        <f>IF(OR(U2510="",V2510=""),U2510,U2510*V2510)</f>
        <v/>
      </c>
      <c r="X2510" s="18" t="inlineStr">
        <is>
          <t>2-27</t>
        </is>
      </c>
      <c r="Y2510" s="19" t="inlineStr"/>
      <c r="Z2510" s="18">
        <f>IF(Y2510="",X2510,Y2510)</f>
        <v/>
      </c>
      <c r="AA2510" s="18" t="inlineStr">
        <is>
          <t>grounded</t>
        </is>
      </c>
      <c r="AB2510" s="18" t="inlineStr"/>
      <c r="AC2510" s="18" t="inlineStr"/>
      <c r="AD2510" s="18" t="inlineStr"/>
      <c r="AE2510" s="18" t="inlineStr">
        <is>
          <t>sky 8-15</t>
        </is>
      </c>
      <c r="AF2510" s="18" t="inlineStr"/>
      <c r="AG2510" s="18" t="inlineStr"/>
      <c r="AH2510" s="18" t="inlineStr"/>
      <c r="AI2510" s="18" t="inlineStr"/>
      <c r="AJ2510" s="18" t="inlineStr">
        <is>
          <t>COBBLEVERSE 수정</t>
        </is>
      </c>
      <c r="AK2510" s="18" t="inlineStr">
        <is>
          <t>사용</t>
        </is>
      </c>
      <c r="AL2510" s="18" t="inlineStr">
        <is>
          <t>COBBLEVERSE 1.7.42 / DP v31</t>
        </is>
      </c>
      <c r="AM2510" s="18" t="inlineStr">
        <is>
          <t>data/cobblemon/spawn_pool_world/0751_dewpider.json</t>
        </is>
      </c>
      <c r="AN2510" s="18" t="inlineStr">
        <is>
          <t>dewpider-1</t>
        </is>
      </c>
      <c r="AO2510" s="18" t="inlineStr">
        <is>
          <t>pokemon</t>
        </is>
      </c>
      <c r="AP2510" s="18" t="inlineStr"/>
      <c r="AQ2510" s="18" t="inlineStr">
        <is>
          <t>{"biomes":["#cobblemon:is_freshwater","#cobblemon:is_swamp"],"maxSkyLight":15,"minSkyLight":8}</t>
        </is>
      </c>
      <c r="AR2510" s="18" t="inlineStr">
        <is>
          <t>{"biomes":["#cobblemon:is_freezing"]}</t>
        </is>
      </c>
      <c r="AS2510" s="18" t="inlineStr"/>
      <c r="AT2510" s="19" t="inlineStr"/>
    </row>
    <row r="2511" ht="32" customHeight="1">
      <c r="A2511" s="18" t="inlineStr">
        <is>
          <t>0751_dewpider.json::dewpider-2::006</t>
        </is>
      </c>
      <c r="B2511" s="19" t="inlineStr">
        <is>
          <t>사용</t>
        </is>
      </c>
      <c r="C2511" s="18">
        <f>IF(OR(B2511&lt;&gt;AK2511,M2511&lt;&gt;L2511,O2511&lt;&gt;"",Q2511&lt;&gt;"",V2511&lt;&gt;1,Y2511&lt;&gt;"",AT2511&lt;&gt;""),"수정","원본")</f>
        <v/>
      </c>
      <c r="D2511" s="18" t="n">
        <v>751</v>
      </c>
      <c r="E2511" s="18" t="inlineStr">
        <is>
          <t>물거미</t>
        </is>
      </c>
      <c r="F2511" s="18" t="inlineStr">
        <is>
          <t>dewpider</t>
        </is>
      </c>
      <c r="G2511" s="18" t="inlineStr">
        <is>
          <t>dewpider</t>
        </is>
      </c>
      <c r="H2511" s="18" t="inlineStr"/>
      <c r="I2511" s="18" t="n">
        <v>7</v>
      </c>
      <c r="J2511" s="18" t="n"/>
      <c r="K2511" s="18" t="n">
        <v>7</v>
      </c>
      <c r="L2511" s="18" t="inlineStr">
        <is>
          <t>cobbleventure:generation_7</t>
        </is>
      </c>
      <c r="M2511" s="19" t="inlineStr">
        <is>
          <t>cobbleventure:generation_7</t>
        </is>
      </c>
      <c r="N2511" s="18" t="inlineStr">
        <is>
          <t>region_02</t>
        </is>
      </c>
      <c r="O2511" s="19" t="inlineStr"/>
      <c r="P2511" s="18" t="inlineStr">
        <is>
          <t>#cobblemon:is_freshwater</t>
        </is>
      </c>
      <c r="Q2511" s="19" t="inlineStr"/>
      <c r="R2511" s="18">
        <f>IF(Q2511="",P2511,Q2511)</f>
        <v/>
      </c>
      <c r="S2511" s="18" t="inlineStr">
        <is>
          <t>#cobblemon:is_freezing</t>
        </is>
      </c>
      <c r="T2511" s="18" t="inlineStr">
        <is>
          <t>common</t>
        </is>
      </c>
      <c r="U2511" s="20" t="n">
        <v>1.8</v>
      </c>
      <c r="V2511" s="21" t="n">
        <v>1</v>
      </c>
      <c r="W2511" s="20">
        <f>IF(OR(U2511="",V2511=""),U2511,U2511*V2511)</f>
        <v/>
      </c>
      <c r="X2511" s="18" t="inlineStr">
        <is>
          <t>2-27</t>
        </is>
      </c>
      <c r="Y2511" s="19" t="inlineStr"/>
      <c r="Z2511" s="18">
        <f>IF(Y2511="",X2511,Y2511)</f>
        <v/>
      </c>
      <c r="AA2511" s="18" t="inlineStr">
        <is>
          <t>seafloor</t>
        </is>
      </c>
      <c r="AB2511" s="18" t="inlineStr"/>
      <c r="AC2511" s="18" t="inlineStr"/>
      <c r="AD2511" s="18" t="inlineStr"/>
      <c r="AE2511" s="18" t="inlineStr"/>
      <c r="AF2511" s="18" t="inlineStr">
        <is>
          <t>True</t>
        </is>
      </c>
      <c r="AG2511" s="18" t="inlineStr"/>
      <c r="AH2511" s="18" t="inlineStr"/>
      <c r="AI2511" s="18" t="inlineStr"/>
      <c r="AJ2511" s="18" t="inlineStr">
        <is>
          <t>COBBLEVERSE 수정</t>
        </is>
      </c>
      <c r="AK2511" s="18" t="inlineStr">
        <is>
          <t>사용</t>
        </is>
      </c>
      <c r="AL2511" s="18" t="inlineStr">
        <is>
          <t>COBBLEVERSE 1.7.42 / DP v31</t>
        </is>
      </c>
      <c r="AM2511" s="18" t="inlineStr">
        <is>
          <t>data/cobblemon/spawn_pool_world/0751_dewpider.json</t>
        </is>
      </c>
      <c r="AN2511" s="18" t="inlineStr">
        <is>
          <t>dewpider-2</t>
        </is>
      </c>
      <c r="AO2511" s="18" t="inlineStr">
        <is>
          <t>pokemon</t>
        </is>
      </c>
      <c r="AP2511" s="18" t="inlineStr">
        <is>
          <t>water</t>
        </is>
      </c>
      <c r="AQ2511" s="18" t="inlineStr">
        <is>
          <t>{"biomes":["#cobblemon:is_freshwater"],"canSeeSky":true}</t>
        </is>
      </c>
      <c r="AR2511" s="18" t="inlineStr">
        <is>
          <t>{"biomes":["#cobblemon:is_freezing"]}</t>
        </is>
      </c>
      <c r="AS2511" s="18" t="inlineStr"/>
      <c r="AT2511" s="19" t="inlineStr"/>
    </row>
    <row r="2512" ht="32" customHeight="1">
      <c r="A2512" s="18" t="inlineStr">
        <is>
          <t>0752_araquanid.json::araquanid-3::001</t>
        </is>
      </c>
      <c r="B2512" s="19" t="inlineStr">
        <is>
          <t>사용</t>
        </is>
      </c>
      <c r="C2512" s="18">
        <f>IF(OR(B2512&lt;&gt;AK2512,M2512&lt;&gt;L2512,O2512&lt;&gt;"",Q2512&lt;&gt;"",V2512&lt;&gt;1,Y2512&lt;&gt;"",AT2512&lt;&gt;""),"수정","원본")</f>
        <v/>
      </c>
      <c r="D2512" s="18" t="n">
        <v>752</v>
      </c>
      <c r="E2512" s="18" t="inlineStr">
        <is>
          <t>깨비물거미</t>
        </is>
      </c>
      <c r="F2512" s="18" t="inlineStr">
        <is>
          <t>araquanid</t>
        </is>
      </c>
      <c r="G2512" s="18" t="inlineStr">
        <is>
          <t>araquanid</t>
        </is>
      </c>
      <c r="H2512" s="18" t="inlineStr"/>
      <c r="I2512" s="18" t="n">
        <v>7</v>
      </c>
      <c r="J2512" s="18" t="n"/>
      <c r="K2512" s="18" t="n">
        <v>7</v>
      </c>
      <c r="L2512" s="18" t="inlineStr">
        <is>
          <t>cobbleventure:generation_7</t>
        </is>
      </c>
      <c r="M2512" s="19" t="inlineStr">
        <is>
          <t>cobbleventure:generation_7</t>
        </is>
      </c>
      <c r="N2512" s="18" t="inlineStr">
        <is>
          <t>region_01; region_02</t>
        </is>
      </c>
      <c r="O2512" s="19" t="inlineStr"/>
      <c r="P2512" s="18" t="inlineStr">
        <is>
          <t>#cobblemon:is_forest; #cobblemon:is_freshwater; #cobblemon:is_grassland; #cobblemon:is_jungle</t>
        </is>
      </c>
      <c r="Q2512" s="19" t="inlineStr"/>
      <c r="R2512" s="18">
        <f>IF(Q2512="",P2512,Q2512)</f>
        <v/>
      </c>
      <c r="S2512" s="18" t="inlineStr">
        <is>
          <t>#cobblemon:is_freezing</t>
        </is>
      </c>
      <c r="T2512" s="18" t="inlineStr">
        <is>
          <t>uncommon</t>
        </is>
      </c>
      <c r="U2512" s="20" t="n">
        <v>0.96</v>
      </c>
      <c r="V2512" s="21" t="n">
        <v>1</v>
      </c>
      <c r="W2512" s="20">
        <f>IF(OR(U2512="",V2512=""),U2512,U2512*V2512)</f>
        <v/>
      </c>
      <c r="X2512" s="18" t="inlineStr">
        <is>
          <t>22-45</t>
        </is>
      </c>
      <c r="Y2512" s="19" t="inlineStr"/>
      <c r="Z2512" s="18">
        <f>IF(Y2512="",X2512,Y2512)</f>
        <v/>
      </c>
      <c r="AA2512" s="18" t="inlineStr">
        <is>
          <t>fishing</t>
        </is>
      </c>
      <c r="AB2512" s="18" t="inlineStr"/>
      <c r="AC2512" s="18" t="inlineStr"/>
      <c r="AD2512" s="18" t="inlineStr"/>
      <c r="AE2512" s="18" t="inlineStr"/>
      <c r="AF2512" s="18" t="inlineStr">
        <is>
          <t>True</t>
        </is>
      </c>
      <c r="AG2512" s="18" t="inlineStr"/>
      <c r="AH2512" s="18" t="inlineStr"/>
      <c r="AI2512" s="18" t="inlineStr"/>
      <c r="AJ2512" s="18" t="inlineStr">
        <is>
          <t>Cobblemon 동일</t>
        </is>
      </c>
      <c r="AK2512" s="18" t="inlineStr">
        <is>
          <t>사용</t>
        </is>
      </c>
      <c r="AL2512" s="18" t="inlineStr">
        <is>
          <t>COBBLEVERSE 1.7.42 / DP v31</t>
        </is>
      </c>
      <c r="AM2512" s="18" t="inlineStr">
        <is>
          <t>data/cobblemon/spawn_pool_world/0752_araquanid.json</t>
        </is>
      </c>
      <c r="AN2512" s="18" t="inlineStr">
        <is>
          <t>araquanid-3</t>
        </is>
      </c>
      <c r="AO2512" s="18" t="inlineStr">
        <is>
          <t>pokemon</t>
        </is>
      </c>
      <c r="AP2512" s="18" t="inlineStr"/>
      <c r="AQ2512" s="18" t="inlineStr">
        <is>
          <t>{"biomes":["#cobblemon:is_forest","#cobblemon:is_freshwater","#cobblemon:is_grassland","#cobblemon:is_jungle"],"canSeeSky":true}</t>
        </is>
      </c>
      <c r="AR2512" s="18" t="inlineStr">
        <is>
          <t>{"biomes":["#cobblemon:is_freezing"],"minLureLevel":1}</t>
        </is>
      </c>
      <c r="AS2512" s="18" t="inlineStr"/>
      <c r="AT2512" s="19" t="inlineStr"/>
    </row>
    <row r="2513" ht="32" customHeight="1">
      <c r="A2513" s="18" t="inlineStr">
        <is>
          <t>0752_araquanid.json::araquanid-4::002</t>
        </is>
      </c>
      <c r="B2513" s="19" t="inlineStr">
        <is>
          <t>사용</t>
        </is>
      </c>
      <c r="C2513" s="18">
        <f>IF(OR(B2513&lt;&gt;AK2513,M2513&lt;&gt;L2513,O2513&lt;&gt;"",Q2513&lt;&gt;"",V2513&lt;&gt;1,Y2513&lt;&gt;"",AT2513&lt;&gt;""),"수정","원본")</f>
        <v/>
      </c>
      <c r="D2513" s="18" t="n">
        <v>752</v>
      </c>
      <c r="E2513" s="18" t="inlineStr">
        <is>
          <t>깨비물거미</t>
        </is>
      </c>
      <c r="F2513" s="18" t="inlineStr">
        <is>
          <t>araquanid</t>
        </is>
      </c>
      <c r="G2513" s="18" t="inlineStr">
        <is>
          <t>araquanid</t>
        </is>
      </c>
      <c r="H2513" s="18" t="inlineStr"/>
      <c r="I2513" s="18" t="n">
        <v>7</v>
      </c>
      <c r="J2513" s="18" t="n"/>
      <c r="K2513" s="18" t="n">
        <v>7</v>
      </c>
      <c r="L2513" s="18" t="inlineStr">
        <is>
          <t>cobbleventure:generation_7</t>
        </is>
      </c>
      <c r="M2513" s="19" t="inlineStr">
        <is>
          <t>cobbleventure:generation_7</t>
        </is>
      </c>
      <c r="N2513" s="18" t="inlineStr">
        <is>
          <t>region_01; region_02</t>
        </is>
      </c>
      <c r="O2513" s="19" t="inlineStr"/>
      <c r="P2513" s="18" t="inlineStr">
        <is>
          <t>#cobblemon:is_forest; #cobblemon:is_freshwater; #cobblemon:is_grassland; #cobblemon:is_jungle</t>
        </is>
      </c>
      <c r="Q2513" s="19" t="inlineStr"/>
      <c r="R2513" s="18">
        <f>IF(Q2513="",P2513,Q2513)</f>
        <v/>
      </c>
      <c r="S2513" s="18" t="inlineStr">
        <is>
          <t>#cobblemon:is_freezing</t>
        </is>
      </c>
      <c r="T2513" s="18" t="inlineStr">
        <is>
          <t>common</t>
        </is>
      </c>
      <c r="U2513" s="20" t="n">
        <v>0.2</v>
      </c>
      <c r="V2513" s="21" t="n">
        <v>1</v>
      </c>
      <c r="W2513" s="20">
        <f>IF(OR(U2513="",V2513=""),U2513,U2513*V2513)</f>
        <v/>
      </c>
      <c r="X2513" s="18" t="inlineStr">
        <is>
          <t>22-45</t>
        </is>
      </c>
      <c r="Y2513" s="19" t="inlineStr"/>
      <c r="Z2513" s="18">
        <f>IF(Y2513="",X2513,Y2513)</f>
        <v/>
      </c>
      <c r="AA2513" s="18" t="inlineStr">
        <is>
          <t>fishing</t>
        </is>
      </c>
      <c r="AB2513" s="18" t="inlineStr"/>
      <c r="AC2513" s="18" t="inlineStr"/>
      <c r="AD2513" s="18" t="inlineStr"/>
      <c r="AE2513" s="18" t="inlineStr"/>
      <c r="AF2513" s="18" t="inlineStr">
        <is>
          <t>True</t>
        </is>
      </c>
      <c r="AG2513" s="18" t="inlineStr"/>
      <c r="AH2513" s="18" t="inlineStr"/>
      <c r="AI2513" s="18" t="inlineStr">
        <is>
          <t>{"fishing":{"minLureLevel":1}}</t>
        </is>
      </c>
      <c r="AJ2513" s="18" t="inlineStr">
        <is>
          <t>Cobblemon 동일</t>
        </is>
      </c>
      <c r="AK2513" s="18" t="inlineStr">
        <is>
          <t>사용</t>
        </is>
      </c>
      <c r="AL2513" s="18" t="inlineStr">
        <is>
          <t>COBBLEVERSE 1.7.42 / DP v31</t>
        </is>
      </c>
      <c r="AM2513" s="18" t="inlineStr">
        <is>
          <t>data/cobblemon/spawn_pool_world/0752_araquanid.json</t>
        </is>
      </c>
      <c r="AN2513" s="18" t="inlineStr">
        <is>
          <t>araquanid-4</t>
        </is>
      </c>
      <c r="AO2513" s="18" t="inlineStr">
        <is>
          <t>pokemon</t>
        </is>
      </c>
      <c r="AP2513" s="18" t="inlineStr"/>
      <c r="AQ2513" s="18" t="inlineStr">
        <is>
          <t>{"biomes":["#cobblemon:is_forest","#cobblemon:is_freshwater","#cobblemon:is_grassland","#cobblemon:is_jungle"],"canSeeSky":true,"minLureLevel":1}</t>
        </is>
      </c>
      <c r="AR2513" s="18" t="inlineStr">
        <is>
          <t>{"biomes":["#cobblemon:is_freezing"]}</t>
        </is>
      </c>
      <c r="AS2513" s="18" t="inlineStr">
        <is>
          <t>{"weightMultiplier":{"condition":{"minLureLevel":3},"multiplier":3.0}}</t>
        </is>
      </c>
      <c r="AT2513" s="19" t="inlineStr"/>
    </row>
    <row r="2514" ht="32" customHeight="1">
      <c r="A2514" s="18" t="inlineStr">
        <is>
          <t>0752_araquanid.json::araquanid-5::003</t>
        </is>
      </c>
      <c r="B2514" s="19" t="inlineStr">
        <is>
          <t>사용</t>
        </is>
      </c>
      <c r="C2514" s="18">
        <f>IF(OR(B2514&lt;&gt;AK2514,M2514&lt;&gt;L2514,O2514&lt;&gt;"",Q2514&lt;&gt;"",V2514&lt;&gt;1,Y2514&lt;&gt;"",AT2514&lt;&gt;""),"수정","원본")</f>
        <v/>
      </c>
      <c r="D2514" s="18" t="n">
        <v>752</v>
      </c>
      <c r="E2514" s="18" t="inlineStr">
        <is>
          <t>깨비물거미</t>
        </is>
      </c>
      <c r="F2514" s="18" t="inlineStr">
        <is>
          <t>araquanid</t>
        </is>
      </c>
      <c r="G2514" s="18" t="inlineStr">
        <is>
          <t>araquanid</t>
        </is>
      </c>
      <c r="H2514" s="18" t="inlineStr"/>
      <c r="I2514" s="18" t="n">
        <v>7</v>
      </c>
      <c r="J2514" s="18" t="n"/>
      <c r="K2514" s="18" t="n">
        <v>7</v>
      </c>
      <c r="L2514" s="18" t="inlineStr">
        <is>
          <t>cobbleventure:generation_7</t>
        </is>
      </c>
      <c r="M2514" s="19" t="inlineStr">
        <is>
          <t>cobbleventure:generation_7</t>
        </is>
      </c>
      <c r="N2514" s="18" t="inlineStr">
        <is>
          <t>region_01; region_02</t>
        </is>
      </c>
      <c r="O2514" s="19" t="inlineStr"/>
      <c r="P2514" s="18" t="inlineStr">
        <is>
          <t>#cobblemon:is_forest; #cobblemon:is_freshwater; #cobblemon:is_grassland; #cobblemon:is_jungle</t>
        </is>
      </c>
      <c r="Q2514" s="19" t="inlineStr"/>
      <c r="R2514" s="18">
        <f>IF(Q2514="",P2514,Q2514)</f>
        <v/>
      </c>
      <c r="S2514" s="18" t="inlineStr">
        <is>
          <t>#cobblemon:is_freezing</t>
        </is>
      </c>
      <c r="T2514" s="18" t="inlineStr">
        <is>
          <t>uncommon</t>
        </is>
      </c>
      <c r="U2514" s="20" t="n">
        <v>0.96</v>
      </c>
      <c r="V2514" s="21" t="n">
        <v>1</v>
      </c>
      <c r="W2514" s="20">
        <f>IF(OR(U2514="",V2514=""),U2514,U2514*V2514)</f>
        <v/>
      </c>
      <c r="X2514" s="18" t="inlineStr">
        <is>
          <t>22-45</t>
        </is>
      </c>
      <c r="Y2514" s="19" t="inlineStr"/>
      <c r="Z2514" s="18">
        <f>IF(Y2514="",X2514,Y2514)</f>
        <v/>
      </c>
      <c r="AA2514" s="18" t="inlineStr">
        <is>
          <t>fishing</t>
        </is>
      </c>
      <c r="AB2514" s="18" t="inlineStr"/>
      <c r="AC2514" s="18" t="inlineStr"/>
      <c r="AD2514" s="18" t="inlineStr"/>
      <c r="AE2514" s="18" t="inlineStr">
        <is>
          <t>sky 8-15</t>
        </is>
      </c>
      <c r="AF2514" s="18" t="inlineStr">
        <is>
          <t>False</t>
        </is>
      </c>
      <c r="AG2514" s="18" t="inlineStr"/>
      <c r="AH2514" s="18" t="inlineStr"/>
      <c r="AI2514" s="18" t="inlineStr"/>
      <c r="AJ2514" s="18" t="inlineStr">
        <is>
          <t>Cobblemon 동일</t>
        </is>
      </c>
      <c r="AK2514" s="18" t="inlineStr">
        <is>
          <t>사용</t>
        </is>
      </c>
      <c r="AL2514" s="18" t="inlineStr">
        <is>
          <t>COBBLEVERSE 1.7.42 / DP v31</t>
        </is>
      </c>
      <c r="AM2514" s="18" t="inlineStr">
        <is>
          <t>data/cobblemon/spawn_pool_world/0752_araquanid.json</t>
        </is>
      </c>
      <c r="AN2514" s="18" t="inlineStr">
        <is>
          <t>araquanid-5</t>
        </is>
      </c>
      <c r="AO2514" s="18" t="inlineStr">
        <is>
          <t>pokemon</t>
        </is>
      </c>
      <c r="AP2514" s="18" t="inlineStr"/>
      <c r="AQ2514" s="18" t="inlineStr">
        <is>
          <t>{"biomes":["#cobblemon:is_forest","#cobblemon:is_freshwater","#cobblemon:is_grassland","#cobblemon:is_jungle"],"canSeeSky":false,"maxSkyLight":15,"minSkyLight":8}</t>
        </is>
      </c>
      <c r="AR2514" s="18" t="inlineStr">
        <is>
          <t>{"biomes":["#cobblemon:is_freezing"],"minLureLevel":1}</t>
        </is>
      </c>
      <c r="AS2514" s="18" t="inlineStr"/>
      <c r="AT2514" s="19" t="inlineStr"/>
    </row>
    <row r="2515" ht="32" customHeight="1">
      <c r="A2515" s="18" t="inlineStr">
        <is>
          <t>0752_araquanid.json::araquanid-6::004</t>
        </is>
      </c>
      <c r="B2515" s="19" t="inlineStr">
        <is>
          <t>사용</t>
        </is>
      </c>
      <c r="C2515" s="18">
        <f>IF(OR(B2515&lt;&gt;AK2515,M2515&lt;&gt;L2515,O2515&lt;&gt;"",Q2515&lt;&gt;"",V2515&lt;&gt;1,Y2515&lt;&gt;"",AT2515&lt;&gt;""),"수정","원본")</f>
        <v/>
      </c>
      <c r="D2515" s="18" t="n">
        <v>752</v>
      </c>
      <c r="E2515" s="18" t="inlineStr">
        <is>
          <t>깨비물거미</t>
        </is>
      </c>
      <c r="F2515" s="18" t="inlineStr">
        <is>
          <t>araquanid</t>
        </is>
      </c>
      <c r="G2515" s="18" t="inlineStr">
        <is>
          <t>araquanid</t>
        </is>
      </c>
      <c r="H2515" s="18" t="inlineStr"/>
      <c r="I2515" s="18" t="n">
        <v>7</v>
      </c>
      <c r="J2515" s="18" t="n"/>
      <c r="K2515" s="18" t="n">
        <v>7</v>
      </c>
      <c r="L2515" s="18" t="inlineStr">
        <is>
          <t>cobbleventure:generation_7</t>
        </is>
      </c>
      <c r="M2515" s="19" t="inlineStr">
        <is>
          <t>cobbleventure:generation_7</t>
        </is>
      </c>
      <c r="N2515" s="18" t="inlineStr">
        <is>
          <t>region_01; region_02</t>
        </is>
      </c>
      <c r="O2515" s="19" t="inlineStr"/>
      <c r="P2515" s="18" t="inlineStr">
        <is>
          <t>#cobblemon:is_forest; #cobblemon:is_freshwater; #cobblemon:is_grassland; #cobblemon:is_jungle</t>
        </is>
      </c>
      <c r="Q2515" s="19" t="inlineStr"/>
      <c r="R2515" s="18">
        <f>IF(Q2515="",P2515,Q2515)</f>
        <v/>
      </c>
      <c r="S2515" s="18" t="inlineStr">
        <is>
          <t>#cobblemon:is_freezing</t>
        </is>
      </c>
      <c r="T2515" s="18" t="inlineStr">
        <is>
          <t>common</t>
        </is>
      </c>
      <c r="U2515" s="20" t="n">
        <v>0.2</v>
      </c>
      <c r="V2515" s="21" t="n">
        <v>1</v>
      </c>
      <c r="W2515" s="20">
        <f>IF(OR(U2515="",V2515=""),U2515,U2515*V2515)</f>
        <v/>
      </c>
      <c r="X2515" s="18" t="inlineStr">
        <is>
          <t>22-45</t>
        </is>
      </c>
      <c r="Y2515" s="19" t="inlineStr"/>
      <c r="Z2515" s="18">
        <f>IF(Y2515="",X2515,Y2515)</f>
        <v/>
      </c>
      <c r="AA2515" s="18" t="inlineStr">
        <is>
          <t>fishing</t>
        </is>
      </c>
      <c r="AB2515" s="18" t="inlineStr"/>
      <c r="AC2515" s="18" t="inlineStr"/>
      <c r="AD2515" s="18" t="inlineStr"/>
      <c r="AE2515" s="18" t="inlineStr">
        <is>
          <t>sky 8-15</t>
        </is>
      </c>
      <c r="AF2515" s="18" t="inlineStr">
        <is>
          <t>False</t>
        </is>
      </c>
      <c r="AG2515" s="18" t="inlineStr"/>
      <c r="AH2515" s="18" t="inlineStr"/>
      <c r="AI2515" s="18" t="inlineStr">
        <is>
          <t>{"fishing":{"minLureLevel":1}}</t>
        </is>
      </c>
      <c r="AJ2515" s="18" t="inlineStr">
        <is>
          <t>Cobblemon 동일</t>
        </is>
      </c>
      <c r="AK2515" s="18" t="inlineStr">
        <is>
          <t>사용</t>
        </is>
      </c>
      <c r="AL2515" s="18" t="inlineStr">
        <is>
          <t>COBBLEVERSE 1.7.42 / DP v31</t>
        </is>
      </c>
      <c r="AM2515" s="18" t="inlineStr">
        <is>
          <t>data/cobblemon/spawn_pool_world/0752_araquanid.json</t>
        </is>
      </c>
      <c r="AN2515" s="18" t="inlineStr">
        <is>
          <t>araquanid-6</t>
        </is>
      </c>
      <c r="AO2515" s="18" t="inlineStr">
        <is>
          <t>pokemon</t>
        </is>
      </c>
      <c r="AP2515" s="18" t="inlineStr"/>
      <c r="AQ2515" s="18" t="inlineStr">
        <is>
          <t>{"biomes":["#cobblemon:is_forest","#cobblemon:is_freshwater","#cobblemon:is_grassland","#cobblemon:is_jungle"],"canSeeSky":false,"maxSkyLight":15,"minLureLevel":1,"minSkyLight":8}</t>
        </is>
      </c>
      <c r="AR2515" s="18" t="inlineStr">
        <is>
          <t>{"biomes":["#cobblemon:is_freezing"]}</t>
        </is>
      </c>
      <c r="AS2515" s="18" t="inlineStr">
        <is>
          <t>{"weightMultiplier":{"condition":{"minLureLevel":3},"multiplier":3.0}}</t>
        </is>
      </c>
      <c r="AT2515" s="19" t="inlineStr"/>
    </row>
    <row r="2516" ht="32" customHeight="1">
      <c r="A2516" s="18" t="inlineStr">
        <is>
          <t>0752_araquanid.json::araquanid-1::005</t>
        </is>
      </c>
      <c r="B2516" s="19" t="inlineStr">
        <is>
          <t>사용</t>
        </is>
      </c>
      <c r="C2516" s="18">
        <f>IF(OR(B2516&lt;&gt;AK2516,M2516&lt;&gt;L2516,O2516&lt;&gt;"",Q2516&lt;&gt;"",V2516&lt;&gt;1,Y2516&lt;&gt;"",AT2516&lt;&gt;""),"수정","원본")</f>
        <v/>
      </c>
      <c r="D2516" s="18" t="n">
        <v>752</v>
      </c>
      <c r="E2516" s="18" t="inlineStr">
        <is>
          <t>깨비물거미</t>
        </is>
      </c>
      <c r="F2516" s="18" t="inlineStr">
        <is>
          <t>araquanid</t>
        </is>
      </c>
      <c r="G2516" s="18" t="inlineStr">
        <is>
          <t>araquanid</t>
        </is>
      </c>
      <c r="H2516" s="18" t="inlineStr"/>
      <c r="I2516" s="18" t="n">
        <v>7</v>
      </c>
      <c r="J2516" s="18" t="n"/>
      <c r="K2516" s="18" t="n">
        <v>7</v>
      </c>
      <c r="L2516" s="18" t="inlineStr">
        <is>
          <t>cobbleventure:generation_7</t>
        </is>
      </c>
      <c r="M2516" s="19" t="inlineStr">
        <is>
          <t>cobbleventure:generation_7</t>
        </is>
      </c>
      <c r="N2516" s="18" t="inlineStr">
        <is>
          <t>region_02</t>
        </is>
      </c>
      <c r="O2516" s="19" t="inlineStr"/>
      <c r="P2516" s="18" t="inlineStr">
        <is>
          <t>#cobblemon:is_freshwater</t>
        </is>
      </c>
      <c r="Q2516" s="19" t="inlineStr"/>
      <c r="R2516" s="18">
        <f>IF(Q2516="",P2516,Q2516)</f>
        <v/>
      </c>
      <c r="S2516" s="18" t="inlineStr">
        <is>
          <t>#cobblemon:is_freezing</t>
        </is>
      </c>
      <c r="T2516" s="18" t="inlineStr">
        <is>
          <t>uncommon</t>
        </is>
      </c>
      <c r="U2516" s="20" t="n">
        <v>1.6</v>
      </c>
      <c r="V2516" s="21" t="n">
        <v>1</v>
      </c>
      <c r="W2516" s="20">
        <f>IF(OR(U2516="",V2516=""),U2516,U2516*V2516)</f>
        <v/>
      </c>
      <c r="X2516" s="18" t="inlineStr">
        <is>
          <t>22-45</t>
        </is>
      </c>
      <c r="Y2516" s="19" t="inlineStr"/>
      <c r="Z2516" s="18">
        <f>IF(Y2516="",X2516,Y2516)</f>
        <v/>
      </c>
      <c r="AA2516" s="18" t="inlineStr">
        <is>
          <t>grounded</t>
        </is>
      </c>
      <c r="AB2516" s="18" t="inlineStr"/>
      <c r="AC2516" s="18" t="inlineStr"/>
      <c r="AD2516" s="18" t="inlineStr"/>
      <c r="AE2516" s="18" t="inlineStr">
        <is>
          <t>sky 8-15</t>
        </is>
      </c>
      <c r="AF2516" s="18" t="inlineStr"/>
      <c r="AG2516" s="18" t="inlineStr"/>
      <c r="AH2516" s="18" t="inlineStr"/>
      <c r="AI2516" s="18" t="inlineStr"/>
      <c r="AJ2516" s="18" t="inlineStr">
        <is>
          <t>Cobblemon 동일</t>
        </is>
      </c>
      <c r="AK2516" s="18" t="inlineStr">
        <is>
          <t>사용</t>
        </is>
      </c>
      <c r="AL2516" s="18" t="inlineStr">
        <is>
          <t>COBBLEVERSE 1.7.42 / DP v31</t>
        </is>
      </c>
      <c r="AM2516" s="18" t="inlineStr">
        <is>
          <t>data/cobblemon/spawn_pool_world/0752_araquanid.json</t>
        </is>
      </c>
      <c r="AN2516" s="18" t="inlineStr">
        <is>
          <t>araquanid-1</t>
        </is>
      </c>
      <c r="AO2516" s="18" t="inlineStr">
        <is>
          <t>pokemon</t>
        </is>
      </c>
      <c r="AP2516" s="18" t="inlineStr"/>
      <c r="AQ2516" s="18" t="inlineStr">
        <is>
          <t>{"biomes":["#cobblemon:is_freshwater"],"maxSkyLight":15,"minSkyLight":8}</t>
        </is>
      </c>
      <c r="AR2516" s="18" t="inlineStr">
        <is>
          <t>{"biomes":["#cobblemon:is_freezing"]}</t>
        </is>
      </c>
      <c r="AS2516" s="18" t="inlineStr"/>
      <c r="AT2516" s="19" t="inlineStr"/>
    </row>
    <row r="2517" ht="32" customHeight="1">
      <c r="A2517" s="18" t="inlineStr">
        <is>
          <t>0752_araquanid.json::araquanid-2::006</t>
        </is>
      </c>
      <c r="B2517" s="19" t="inlineStr">
        <is>
          <t>사용</t>
        </is>
      </c>
      <c r="C2517" s="18">
        <f>IF(OR(B2517&lt;&gt;AK2517,M2517&lt;&gt;L2517,O2517&lt;&gt;"",Q2517&lt;&gt;"",V2517&lt;&gt;1,Y2517&lt;&gt;"",AT2517&lt;&gt;""),"수정","원본")</f>
        <v/>
      </c>
      <c r="D2517" s="18" t="n">
        <v>752</v>
      </c>
      <c r="E2517" s="18" t="inlineStr">
        <is>
          <t>깨비물거미</t>
        </is>
      </c>
      <c r="F2517" s="18" t="inlineStr">
        <is>
          <t>araquanid</t>
        </is>
      </c>
      <c r="G2517" s="18" t="inlineStr">
        <is>
          <t>araquanid</t>
        </is>
      </c>
      <c r="H2517" s="18" t="inlineStr"/>
      <c r="I2517" s="18" t="n">
        <v>7</v>
      </c>
      <c r="J2517" s="18" t="n"/>
      <c r="K2517" s="18" t="n">
        <v>7</v>
      </c>
      <c r="L2517" s="18" t="inlineStr">
        <is>
          <t>cobbleventure:generation_7</t>
        </is>
      </c>
      <c r="M2517" s="19" t="inlineStr">
        <is>
          <t>cobbleventure:generation_7</t>
        </is>
      </c>
      <c r="N2517" s="18" t="inlineStr">
        <is>
          <t>region_02</t>
        </is>
      </c>
      <c r="O2517" s="19" t="inlineStr"/>
      <c r="P2517" s="18" t="inlineStr">
        <is>
          <t>#cobblemon:is_freshwater</t>
        </is>
      </c>
      <c r="Q2517" s="19" t="inlineStr"/>
      <c r="R2517" s="18">
        <f>IF(Q2517="",P2517,Q2517)</f>
        <v/>
      </c>
      <c r="S2517" s="18" t="inlineStr">
        <is>
          <t>#cobblemon:is_freezing</t>
        </is>
      </c>
      <c r="T2517" s="18" t="inlineStr">
        <is>
          <t>common</t>
        </is>
      </c>
      <c r="U2517" s="20" t="n">
        <v>0.2</v>
      </c>
      <c r="V2517" s="21" t="n">
        <v>1</v>
      </c>
      <c r="W2517" s="20">
        <f>IF(OR(U2517="",V2517=""),U2517,U2517*V2517)</f>
        <v/>
      </c>
      <c r="X2517" s="18" t="inlineStr">
        <is>
          <t>22-45</t>
        </is>
      </c>
      <c r="Y2517" s="19" t="inlineStr"/>
      <c r="Z2517" s="18">
        <f>IF(Y2517="",X2517,Y2517)</f>
        <v/>
      </c>
      <c r="AA2517" s="18" t="inlineStr">
        <is>
          <t>seafloor</t>
        </is>
      </c>
      <c r="AB2517" s="18" t="inlineStr"/>
      <c r="AC2517" s="18" t="inlineStr"/>
      <c r="AD2517" s="18" t="inlineStr"/>
      <c r="AE2517" s="18" t="inlineStr"/>
      <c r="AF2517" s="18" t="inlineStr">
        <is>
          <t>True</t>
        </is>
      </c>
      <c r="AG2517" s="18" t="inlineStr"/>
      <c r="AH2517" s="18" t="inlineStr"/>
      <c r="AI2517" s="18" t="inlineStr"/>
      <c r="AJ2517" s="18" t="inlineStr">
        <is>
          <t>Cobblemon 동일</t>
        </is>
      </c>
      <c r="AK2517" s="18" t="inlineStr">
        <is>
          <t>사용</t>
        </is>
      </c>
      <c r="AL2517" s="18" t="inlineStr">
        <is>
          <t>COBBLEVERSE 1.7.42 / DP v31</t>
        </is>
      </c>
      <c r="AM2517" s="18" t="inlineStr">
        <is>
          <t>data/cobblemon/spawn_pool_world/0752_araquanid.json</t>
        </is>
      </c>
      <c r="AN2517" s="18" t="inlineStr">
        <is>
          <t>araquanid-2</t>
        </is>
      </c>
      <c r="AO2517" s="18" t="inlineStr">
        <is>
          <t>pokemon</t>
        </is>
      </c>
      <c r="AP2517" s="18" t="inlineStr">
        <is>
          <t>water</t>
        </is>
      </c>
      <c r="AQ2517" s="18" t="inlineStr">
        <is>
          <t>{"biomes":["#cobblemon:is_freshwater"],"canSeeSky":true}</t>
        </is>
      </c>
      <c r="AR2517" s="18" t="inlineStr">
        <is>
          <t>{"biomes":["#cobblemon:is_freezing"]}</t>
        </is>
      </c>
      <c r="AS2517" s="18" t="inlineStr"/>
      <c r="AT2517" s="19" t="inlineStr"/>
    </row>
    <row r="2518" ht="32" customHeight="1">
      <c r="A2518" s="18" t="inlineStr">
        <is>
          <t>0753_fomantis.json::fomantis-1::001</t>
        </is>
      </c>
      <c r="B2518" s="19" t="inlineStr">
        <is>
          <t>사용</t>
        </is>
      </c>
      <c r="C2518" s="18">
        <f>IF(OR(B2518&lt;&gt;AK2518,M2518&lt;&gt;L2518,O2518&lt;&gt;"",Q2518&lt;&gt;"",V2518&lt;&gt;1,Y2518&lt;&gt;"",AT2518&lt;&gt;""),"수정","원본")</f>
        <v/>
      </c>
      <c r="D2518" s="18" t="n">
        <v>753</v>
      </c>
      <c r="E2518" s="18" t="inlineStr">
        <is>
          <t>짜랑랑</t>
        </is>
      </c>
      <c r="F2518" s="18" t="inlineStr">
        <is>
          <t>fomantis</t>
        </is>
      </c>
      <c r="G2518" s="18" t="inlineStr">
        <is>
          <t>fomantis</t>
        </is>
      </c>
      <c r="H2518" s="18" t="inlineStr"/>
      <c r="I2518" s="18" t="n">
        <v>7</v>
      </c>
      <c r="J2518" s="18" t="n"/>
      <c r="K2518" s="18" t="n">
        <v>7</v>
      </c>
      <c r="L2518" s="18" t="inlineStr">
        <is>
          <t>cobbleventure:generation_7</t>
        </is>
      </c>
      <c r="M2518" s="19" t="inlineStr">
        <is>
          <t>cobbleventure:generation_7</t>
        </is>
      </c>
      <c r="N2518" s="18" t="inlineStr"/>
      <c r="O2518" s="19" t="inlineStr"/>
      <c r="P2518" s="18" t="inlineStr">
        <is>
          <t>#cobblemon:is_floral</t>
        </is>
      </c>
      <c r="Q2518" s="19" t="inlineStr"/>
      <c r="R2518" s="18">
        <f>IF(Q2518="",P2518,Q2518)</f>
        <v/>
      </c>
      <c r="S2518" s="18" t="inlineStr"/>
      <c r="T2518" s="18" t="inlineStr">
        <is>
          <t>common</t>
        </is>
      </c>
      <c r="U2518" s="20" t="n">
        <v>9</v>
      </c>
      <c r="V2518" s="21" t="n">
        <v>1</v>
      </c>
      <c r="W2518" s="20">
        <f>IF(OR(U2518="",V2518=""),U2518,U2518*V2518)</f>
        <v/>
      </c>
      <c r="X2518" s="18" t="inlineStr">
        <is>
          <t>1-25</t>
        </is>
      </c>
      <c r="Y2518" s="19" t="inlineStr"/>
      <c r="Z2518" s="18">
        <f>IF(Y2518="",X2518,Y2518)</f>
        <v/>
      </c>
      <c r="AA2518" s="18" t="inlineStr">
        <is>
          <t>grounded</t>
        </is>
      </c>
      <c r="AB2518" s="18" t="inlineStr"/>
      <c r="AC2518" s="18" t="inlineStr"/>
      <c r="AD2518" s="18" t="inlineStr"/>
      <c r="AE2518" s="18" t="inlineStr">
        <is>
          <t>sky 8-15</t>
        </is>
      </c>
      <c r="AF2518" s="18" t="inlineStr"/>
      <c r="AG2518" s="18" t="inlineStr"/>
      <c r="AH2518" s="18" t="inlineStr"/>
      <c r="AI2518" s="18" t="inlineStr"/>
      <c r="AJ2518" s="18" t="inlineStr">
        <is>
          <t>Cobblemon 동일</t>
        </is>
      </c>
      <c r="AK2518" s="18" t="inlineStr">
        <is>
          <t>사용</t>
        </is>
      </c>
      <c r="AL2518" s="18" t="inlineStr">
        <is>
          <t>COBBLEVERSE 1.7.42 / DP v31</t>
        </is>
      </c>
      <c r="AM2518" s="18" t="inlineStr">
        <is>
          <t>data/cobblemon/spawn_pool_world/0753_fomantis.json</t>
        </is>
      </c>
      <c r="AN2518" s="18" t="inlineStr">
        <is>
          <t>fomantis-1</t>
        </is>
      </c>
      <c r="AO2518" s="18" t="inlineStr">
        <is>
          <t>pokemon</t>
        </is>
      </c>
      <c r="AP2518" s="18" t="inlineStr">
        <is>
          <t>natural; wild</t>
        </is>
      </c>
      <c r="AQ2518" s="18" t="inlineStr">
        <is>
          <t>{"biomes":["#cobblemon:is_floral"],"maxSkyLight":15,"minSkyLight":8}</t>
        </is>
      </c>
      <c r="AR2518" s="18" t="inlineStr"/>
      <c r="AS2518" s="18" t="inlineStr">
        <is>
          <t>{"weightMultiplier":{"condition":{"timeRange":"day"},"multiplier":0.25}}</t>
        </is>
      </c>
      <c r="AT2518" s="19" t="inlineStr"/>
    </row>
    <row r="2519" ht="32" customHeight="1">
      <c r="A2519" s="18" t="inlineStr">
        <is>
          <t>0753_fomantis.json::fomantis-2::002</t>
        </is>
      </c>
      <c r="B2519" s="19" t="inlineStr">
        <is>
          <t>사용</t>
        </is>
      </c>
      <c r="C2519" s="18">
        <f>IF(OR(B2519&lt;&gt;AK2519,M2519&lt;&gt;L2519,O2519&lt;&gt;"",Q2519&lt;&gt;"",V2519&lt;&gt;1,Y2519&lt;&gt;"",AT2519&lt;&gt;""),"수정","원본")</f>
        <v/>
      </c>
      <c r="D2519" s="18" t="n">
        <v>753</v>
      </c>
      <c r="E2519" s="18" t="inlineStr">
        <is>
          <t>짜랑랑</t>
        </is>
      </c>
      <c r="F2519" s="18" t="inlineStr">
        <is>
          <t>fomantis</t>
        </is>
      </c>
      <c r="G2519" s="18" t="inlineStr">
        <is>
          <t>fomantis</t>
        </is>
      </c>
      <c r="H2519" s="18" t="inlineStr"/>
      <c r="I2519" s="18" t="n">
        <v>7</v>
      </c>
      <c r="J2519" s="18" t="n"/>
      <c r="K2519" s="18" t="n">
        <v>7</v>
      </c>
      <c r="L2519" s="18" t="inlineStr">
        <is>
          <t>cobbleventure:generation_7</t>
        </is>
      </c>
      <c r="M2519" s="19" t="inlineStr">
        <is>
          <t>cobbleventure:generation_7</t>
        </is>
      </c>
      <c r="N2519" s="18" t="inlineStr"/>
      <c r="O2519" s="19" t="inlineStr"/>
      <c r="P2519" s="18" t="inlineStr">
        <is>
          <t>#cobblemon:is_jungle; #cobblemon:is_tropical_island</t>
        </is>
      </c>
      <c r="Q2519" s="19" t="inlineStr"/>
      <c r="R2519" s="18">
        <f>IF(Q2519="",P2519,Q2519)</f>
        <v/>
      </c>
      <c r="S2519" s="18" t="inlineStr"/>
      <c r="T2519" s="18" t="inlineStr">
        <is>
          <t>common</t>
        </is>
      </c>
      <c r="U2519" s="20" t="n">
        <v>5.4</v>
      </c>
      <c r="V2519" s="21" t="n">
        <v>1</v>
      </c>
      <c r="W2519" s="20">
        <f>IF(OR(U2519="",V2519=""),U2519,U2519*V2519)</f>
        <v/>
      </c>
      <c r="X2519" s="18" t="inlineStr">
        <is>
          <t>1-25</t>
        </is>
      </c>
      <c r="Y2519" s="19" t="inlineStr"/>
      <c r="Z2519" s="18">
        <f>IF(Y2519="",X2519,Y2519)</f>
        <v/>
      </c>
      <c r="AA2519" s="18" t="inlineStr">
        <is>
          <t>grounded</t>
        </is>
      </c>
      <c r="AB2519" s="18" t="inlineStr"/>
      <c r="AC2519" s="18" t="inlineStr"/>
      <c r="AD2519" s="18" t="inlineStr"/>
      <c r="AE2519" s="18" t="inlineStr">
        <is>
          <t>sky 8-15</t>
        </is>
      </c>
      <c r="AF2519" s="18" t="inlineStr"/>
      <c r="AG2519" s="18" t="inlineStr"/>
      <c r="AH2519" s="18" t="inlineStr"/>
      <c r="AI2519" s="18" t="inlineStr"/>
      <c r="AJ2519" s="18" t="inlineStr">
        <is>
          <t>Cobblemon 동일</t>
        </is>
      </c>
      <c r="AK2519" s="18" t="inlineStr">
        <is>
          <t>사용</t>
        </is>
      </c>
      <c r="AL2519" s="18" t="inlineStr">
        <is>
          <t>COBBLEVERSE 1.7.42 / DP v31</t>
        </is>
      </c>
      <c r="AM2519" s="18" t="inlineStr">
        <is>
          <t>data/cobblemon/spawn_pool_world/0753_fomantis.json</t>
        </is>
      </c>
      <c r="AN2519" s="18" t="inlineStr">
        <is>
          <t>fomantis-2</t>
        </is>
      </c>
      <c r="AO2519" s="18" t="inlineStr">
        <is>
          <t>pokemon</t>
        </is>
      </c>
      <c r="AP2519" s="18" t="inlineStr">
        <is>
          <t>natural; wild</t>
        </is>
      </c>
      <c r="AQ2519" s="18" t="inlineStr">
        <is>
          <t>{"biomes":["#cobblemon:is_jungle","#cobblemon:is_tropical_island"],"maxSkyLight":15,"minSkyLight":8}</t>
        </is>
      </c>
      <c r="AR2519" s="18" t="inlineStr"/>
      <c r="AS2519" s="18" t="inlineStr">
        <is>
          <t>{"weightMultiplier":{"condition":{"timeRange":"day"},"multiplier":0.25}}</t>
        </is>
      </c>
      <c r="AT2519" s="19" t="inlineStr"/>
    </row>
    <row r="2520" ht="32" customHeight="1">
      <c r="A2520" s="18" t="inlineStr">
        <is>
          <t>0753_fomantis.json::fomantis-3::003</t>
        </is>
      </c>
      <c r="B2520" s="19" t="inlineStr">
        <is>
          <t>사용</t>
        </is>
      </c>
      <c r="C2520" s="18">
        <f>IF(OR(B2520&lt;&gt;AK2520,M2520&lt;&gt;L2520,O2520&lt;&gt;"",Q2520&lt;&gt;"",V2520&lt;&gt;1,Y2520&lt;&gt;"",AT2520&lt;&gt;""),"수정","원본")</f>
        <v/>
      </c>
      <c r="D2520" s="18" t="n">
        <v>753</v>
      </c>
      <c r="E2520" s="18" t="inlineStr">
        <is>
          <t>짜랑랑</t>
        </is>
      </c>
      <c r="F2520" s="18" t="inlineStr">
        <is>
          <t>fomantis</t>
        </is>
      </c>
      <c r="G2520" s="18" t="inlineStr">
        <is>
          <t>fomantis</t>
        </is>
      </c>
      <c r="H2520" s="18" t="inlineStr"/>
      <c r="I2520" s="18" t="n">
        <v>7</v>
      </c>
      <c r="J2520" s="18" t="n"/>
      <c r="K2520" s="18" t="n">
        <v>7</v>
      </c>
      <c r="L2520" s="18" t="inlineStr">
        <is>
          <t>cobbleventure:generation_7</t>
        </is>
      </c>
      <c r="M2520" s="19" t="inlineStr">
        <is>
          <t>cobbleventure:generation_7</t>
        </is>
      </c>
      <c r="N2520" s="18" t="inlineStr"/>
      <c r="O2520" s="19" t="inlineStr"/>
      <c r="P2520" s="18" t="inlineStr">
        <is>
          <t>the_bumblezone:floral_meadow</t>
        </is>
      </c>
      <c r="Q2520" s="19" t="inlineStr"/>
      <c r="R2520" s="18">
        <f>IF(Q2520="",P2520,Q2520)</f>
        <v/>
      </c>
      <c r="S2520" s="18" t="inlineStr"/>
      <c r="T2520" s="18" t="inlineStr">
        <is>
          <t>common</t>
        </is>
      </c>
      <c r="U2520" s="20" t="n">
        <v>9</v>
      </c>
      <c r="V2520" s="21" t="n">
        <v>1</v>
      </c>
      <c r="W2520" s="20">
        <f>IF(OR(U2520="",V2520=""),U2520,U2520*V2520)</f>
        <v/>
      </c>
      <c r="X2520" s="18" t="inlineStr">
        <is>
          <t>1-25</t>
        </is>
      </c>
      <c r="Y2520" s="19" t="inlineStr"/>
      <c r="Z2520" s="18">
        <f>IF(Y2520="",X2520,Y2520)</f>
        <v/>
      </c>
      <c r="AA2520" s="18" t="inlineStr">
        <is>
          <t>grounded</t>
        </is>
      </c>
      <c r="AB2520" s="18" t="inlineStr"/>
      <c r="AC2520" s="18" t="inlineStr"/>
      <c r="AD2520" s="18" t="inlineStr"/>
      <c r="AE2520" s="18" t="inlineStr"/>
      <c r="AF2520" s="18" t="inlineStr"/>
      <c r="AG2520" s="18" t="inlineStr"/>
      <c r="AH2520" s="18" t="inlineStr"/>
      <c r="AI2520" s="18" t="inlineStr"/>
      <c r="AJ2520" s="18" t="inlineStr">
        <is>
          <t>Cobblemon 동일</t>
        </is>
      </c>
      <c r="AK2520" s="18" t="inlineStr">
        <is>
          <t>사용</t>
        </is>
      </c>
      <c r="AL2520" s="18" t="inlineStr">
        <is>
          <t>COBBLEVERSE 1.7.42 / DP v31</t>
        </is>
      </c>
      <c r="AM2520" s="18" t="inlineStr">
        <is>
          <t>data/cobblemon/spawn_pool_world/0753_fomantis.json</t>
        </is>
      </c>
      <c r="AN2520" s="18" t="inlineStr">
        <is>
          <t>fomantis-3</t>
        </is>
      </c>
      <c r="AO2520" s="18" t="inlineStr">
        <is>
          <t>pokemon</t>
        </is>
      </c>
      <c r="AP2520" s="18" t="inlineStr"/>
      <c r="AQ2520" s="18" t="inlineStr">
        <is>
          <t>{"biomes":["the_bumblezone:floral_meadow"]}</t>
        </is>
      </c>
      <c r="AR2520" s="18" t="inlineStr">
        <is>
          <t>{"structures":["#the_bumblezone:sempiternal_sanctums"]}</t>
        </is>
      </c>
      <c r="AS2520" s="18" t="inlineStr"/>
      <c r="AT2520" s="19" t="inlineStr"/>
    </row>
    <row r="2521" ht="32" customHeight="1">
      <c r="A2521" s="18" t="inlineStr">
        <is>
          <t>0754_lurantis.json::lurantis-1::001</t>
        </is>
      </c>
      <c r="B2521" s="19" t="inlineStr">
        <is>
          <t>사용</t>
        </is>
      </c>
      <c r="C2521" s="18">
        <f>IF(OR(B2521&lt;&gt;AK2521,M2521&lt;&gt;L2521,O2521&lt;&gt;"",Q2521&lt;&gt;"",V2521&lt;&gt;1,Y2521&lt;&gt;"",AT2521&lt;&gt;""),"수정","원본")</f>
        <v/>
      </c>
      <c r="D2521" s="18" t="n">
        <v>754</v>
      </c>
      <c r="E2521" s="18" t="inlineStr">
        <is>
          <t>라란티스</t>
        </is>
      </c>
      <c r="F2521" s="18" t="inlineStr">
        <is>
          <t>lurantis</t>
        </is>
      </c>
      <c r="G2521" s="18" t="inlineStr">
        <is>
          <t>lurantis</t>
        </is>
      </c>
      <c r="H2521" s="18" t="inlineStr"/>
      <c r="I2521" s="18" t="n">
        <v>7</v>
      </c>
      <c r="J2521" s="18" t="n"/>
      <c r="K2521" s="18" t="n">
        <v>7</v>
      </c>
      <c r="L2521" s="18" t="inlineStr">
        <is>
          <t>cobbleventure:generation_7</t>
        </is>
      </c>
      <c r="M2521" s="19" t="inlineStr">
        <is>
          <t>cobbleventure:generation_7</t>
        </is>
      </c>
      <c r="N2521" s="18" t="inlineStr"/>
      <c r="O2521" s="19" t="inlineStr"/>
      <c r="P2521" s="18" t="inlineStr">
        <is>
          <t>#cobblemon:is_floral</t>
        </is>
      </c>
      <c r="Q2521" s="19" t="inlineStr"/>
      <c r="R2521" s="18">
        <f>IF(Q2521="",P2521,Q2521)</f>
        <v/>
      </c>
      <c r="S2521" s="18" t="inlineStr"/>
      <c r="T2521" s="18" t="inlineStr">
        <is>
          <t>common</t>
        </is>
      </c>
      <c r="U2521" s="20" t="n">
        <v>1</v>
      </c>
      <c r="V2521" s="21" t="n">
        <v>1</v>
      </c>
      <c r="W2521" s="20">
        <f>IF(OR(U2521="",V2521=""),U2521,U2521*V2521)</f>
        <v/>
      </c>
      <c r="X2521" s="18" t="inlineStr">
        <is>
          <t>34-48</t>
        </is>
      </c>
      <c r="Y2521" s="19" t="inlineStr"/>
      <c r="Z2521" s="18">
        <f>IF(Y2521="",X2521,Y2521)</f>
        <v/>
      </c>
      <c r="AA2521" s="18" t="inlineStr">
        <is>
          <t>grounded</t>
        </is>
      </c>
      <c r="AB2521" s="18" t="inlineStr"/>
      <c r="AC2521" s="18" t="inlineStr"/>
      <c r="AD2521" s="18" t="inlineStr"/>
      <c r="AE2521" s="18" t="inlineStr">
        <is>
          <t>sky 8-15</t>
        </is>
      </c>
      <c r="AF2521" s="18" t="inlineStr"/>
      <c r="AG2521" s="18" t="inlineStr"/>
      <c r="AH2521" s="18" t="inlineStr"/>
      <c r="AI2521" s="18" t="inlineStr"/>
      <c r="AJ2521" s="18" t="inlineStr">
        <is>
          <t>Cobblemon 동일</t>
        </is>
      </c>
      <c r="AK2521" s="18" t="inlineStr">
        <is>
          <t>사용</t>
        </is>
      </c>
      <c r="AL2521" s="18" t="inlineStr">
        <is>
          <t>COBBLEVERSE 1.7.42 / DP v31</t>
        </is>
      </c>
      <c r="AM2521" s="18" t="inlineStr">
        <is>
          <t>data/cobblemon/spawn_pool_world/0754_lurantis.json</t>
        </is>
      </c>
      <c r="AN2521" s="18" t="inlineStr">
        <is>
          <t>lurantis-1</t>
        </is>
      </c>
      <c r="AO2521" s="18" t="inlineStr">
        <is>
          <t>pokemon</t>
        </is>
      </c>
      <c r="AP2521" s="18" t="inlineStr">
        <is>
          <t>natural; wild</t>
        </is>
      </c>
      <c r="AQ2521" s="18" t="inlineStr">
        <is>
          <t>{"biomes":["#cobblemon:is_floral"],"maxSkyLight":15,"minSkyLight":8}</t>
        </is>
      </c>
      <c r="AR2521" s="18" t="inlineStr"/>
      <c r="AS2521" s="18" t="inlineStr">
        <is>
          <t>{"weightMultiplier":{"condition":{"timeRange":"day"},"multiplier":0.25}}</t>
        </is>
      </c>
      <c r="AT2521" s="19" t="inlineStr"/>
    </row>
    <row r="2522" ht="32" customHeight="1">
      <c r="A2522" s="18" t="inlineStr">
        <is>
          <t>0754_lurantis.json::lurantis-2::002</t>
        </is>
      </c>
      <c r="B2522" s="19" t="inlineStr">
        <is>
          <t>사용</t>
        </is>
      </c>
      <c r="C2522" s="18">
        <f>IF(OR(B2522&lt;&gt;AK2522,M2522&lt;&gt;L2522,O2522&lt;&gt;"",Q2522&lt;&gt;"",V2522&lt;&gt;1,Y2522&lt;&gt;"",AT2522&lt;&gt;""),"수정","원본")</f>
        <v/>
      </c>
      <c r="D2522" s="18" t="n">
        <v>754</v>
      </c>
      <c r="E2522" s="18" t="inlineStr">
        <is>
          <t>라란티스</t>
        </is>
      </c>
      <c r="F2522" s="18" t="inlineStr">
        <is>
          <t>lurantis</t>
        </is>
      </c>
      <c r="G2522" s="18" t="inlineStr">
        <is>
          <t>lurantis</t>
        </is>
      </c>
      <c r="H2522" s="18" t="inlineStr"/>
      <c r="I2522" s="18" t="n">
        <v>7</v>
      </c>
      <c r="J2522" s="18" t="n"/>
      <c r="K2522" s="18" t="n">
        <v>7</v>
      </c>
      <c r="L2522" s="18" t="inlineStr">
        <is>
          <t>cobbleventure:generation_7</t>
        </is>
      </c>
      <c r="M2522" s="19" t="inlineStr">
        <is>
          <t>cobbleventure:generation_7</t>
        </is>
      </c>
      <c r="N2522" s="18" t="inlineStr"/>
      <c r="O2522" s="19" t="inlineStr"/>
      <c r="P2522" s="18" t="inlineStr">
        <is>
          <t>#cobblemon:is_jungle; #cobblemon:is_tropical_island</t>
        </is>
      </c>
      <c r="Q2522" s="19" t="inlineStr"/>
      <c r="R2522" s="18">
        <f>IF(Q2522="",P2522,Q2522)</f>
        <v/>
      </c>
      <c r="S2522" s="18" t="inlineStr"/>
      <c r="T2522" s="18" t="inlineStr">
        <is>
          <t>common</t>
        </is>
      </c>
      <c r="U2522" s="20" t="n">
        <v>0.6</v>
      </c>
      <c r="V2522" s="21" t="n">
        <v>1</v>
      </c>
      <c r="W2522" s="20">
        <f>IF(OR(U2522="",V2522=""),U2522,U2522*V2522)</f>
        <v/>
      </c>
      <c r="X2522" s="18" t="inlineStr">
        <is>
          <t>34-48</t>
        </is>
      </c>
      <c r="Y2522" s="19" t="inlineStr"/>
      <c r="Z2522" s="18">
        <f>IF(Y2522="",X2522,Y2522)</f>
        <v/>
      </c>
      <c r="AA2522" s="18" t="inlineStr">
        <is>
          <t>grounded</t>
        </is>
      </c>
      <c r="AB2522" s="18" t="inlineStr"/>
      <c r="AC2522" s="18" t="inlineStr"/>
      <c r="AD2522" s="18" t="inlineStr"/>
      <c r="AE2522" s="18" t="inlineStr">
        <is>
          <t>sky 8-15</t>
        </is>
      </c>
      <c r="AF2522" s="18" t="inlineStr"/>
      <c r="AG2522" s="18" t="inlineStr"/>
      <c r="AH2522" s="18" t="inlineStr"/>
      <c r="AI2522" s="18" t="inlineStr"/>
      <c r="AJ2522" s="18" t="inlineStr">
        <is>
          <t>Cobblemon 동일</t>
        </is>
      </c>
      <c r="AK2522" s="18" t="inlineStr">
        <is>
          <t>사용</t>
        </is>
      </c>
      <c r="AL2522" s="18" t="inlineStr">
        <is>
          <t>COBBLEVERSE 1.7.42 / DP v31</t>
        </is>
      </c>
      <c r="AM2522" s="18" t="inlineStr">
        <is>
          <t>data/cobblemon/spawn_pool_world/0754_lurantis.json</t>
        </is>
      </c>
      <c r="AN2522" s="18" t="inlineStr">
        <is>
          <t>lurantis-2</t>
        </is>
      </c>
      <c r="AO2522" s="18" t="inlineStr">
        <is>
          <t>pokemon</t>
        </is>
      </c>
      <c r="AP2522" s="18" t="inlineStr">
        <is>
          <t>natural; wild</t>
        </is>
      </c>
      <c r="AQ2522" s="18" t="inlineStr">
        <is>
          <t>{"biomes":["#cobblemon:is_jungle","#cobblemon:is_tropical_island"],"maxSkyLight":15,"minSkyLight":8}</t>
        </is>
      </c>
      <c r="AR2522" s="18" t="inlineStr"/>
      <c r="AS2522" s="18" t="inlineStr">
        <is>
          <t>{"weightMultiplier":{"condition":{"timeRange":"day"},"multiplier":0.25}}</t>
        </is>
      </c>
      <c r="AT2522" s="19" t="inlineStr"/>
    </row>
    <row r="2523" ht="32" customHeight="1">
      <c r="A2523" s="18" t="inlineStr">
        <is>
          <t>0754_lurantis.json::lurantis-3::003</t>
        </is>
      </c>
      <c r="B2523" s="19" t="inlineStr">
        <is>
          <t>사용</t>
        </is>
      </c>
      <c r="C2523" s="18">
        <f>IF(OR(B2523&lt;&gt;AK2523,M2523&lt;&gt;L2523,O2523&lt;&gt;"",Q2523&lt;&gt;"",V2523&lt;&gt;1,Y2523&lt;&gt;"",AT2523&lt;&gt;""),"수정","원본")</f>
        <v/>
      </c>
      <c r="D2523" s="18" t="n">
        <v>754</v>
      </c>
      <c r="E2523" s="18" t="inlineStr">
        <is>
          <t>라란티스</t>
        </is>
      </c>
      <c r="F2523" s="18" t="inlineStr">
        <is>
          <t>lurantis</t>
        </is>
      </c>
      <c r="G2523" s="18" t="inlineStr">
        <is>
          <t>lurantis</t>
        </is>
      </c>
      <c r="H2523" s="18" t="inlineStr"/>
      <c r="I2523" s="18" t="n">
        <v>7</v>
      </c>
      <c r="J2523" s="18" t="n"/>
      <c r="K2523" s="18" t="n">
        <v>7</v>
      </c>
      <c r="L2523" s="18" t="inlineStr">
        <is>
          <t>cobbleventure:generation_7</t>
        </is>
      </c>
      <c r="M2523" s="19" t="inlineStr">
        <is>
          <t>cobbleventure:generation_7</t>
        </is>
      </c>
      <c r="N2523" s="18" t="inlineStr"/>
      <c r="O2523" s="19" t="inlineStr"/>
      <c r="P2523" s="18" t="inlineStr">
        <is>
          <t>the_bumblezone:floral_meadow</t>
        </is>
      </c>
      <c r="Q2523" s="19" t="inlineStr"/>
      <c r="R2523" s="18">
        <f>IF(Q2523="",P2523,Q2523)</f>
        <v/>
      </c>
      <c r="S2523" s="18" t="inlineStr"/>
      <c r="T2523" s="18" t="inlineStr">
        <is>
          <t>common</t>
        </is>
      </c>
      <c r="U2523" s="20" t="n">
        <v>1</v>
      </c>
      <c r="V2523" s="21" t="n">
        <v>1</v>
      </c>
      <c r="W2523" s="20">
        <f>IF(OR(U2523="",V2523=""),U2523,U2523*V2523)</f>
        <v/>
      </c>
      <c r="X2523" s="18" t="inlineStr">
        <is>
          <t>34-48</t>
        </is>
      </c>
      <c r="Y2523" s="19" t="inlineStr"/>
      <c r="Z2523" s="18">
        <f>IF(Y2523="",X2523,Y2523)</f>
        <v/>
      </c>
      <c r="AA2523" s="18" t="inlineStr">
        <is>
          <t>grounded</t>
        </is>
      </c>
      <c r="AB2523" s="18" t="inlineStr"/>
      <c r="AC2523" s="18" t="inlineStr"/>
      <c r="AD2523" s="18" t="inlineStr"/>
      <c r="AE2523" s="18" t="inlineStr"/>
      <c r="AF2523" s="18" t="inlineStr"/>
      <c r="AG2523" s="18" t="inlineStr"/>
      <c r="AH2523" s="18" t="inlineStr"/>
      <c r="AI2523" s="18" t="inlineStr"/>
      <c r="AJ2523" s="18" t="inlineStr">
        <is>
          <t>Cobblemon 동일</t>
        </is>
      </c>
      <c r="AK2523" s="18" t="inlineStr">
        <is>
          <t>사용</t>
        </is>
      </c>
      <c r="AL2523" s="18" t="inlineStr">
        <is>
          <t>COBBLEVERSE 1.7.42 / DP v31</t>
        </is>
      </c>
      <c r="AM2523" s="18" t="inlineStr">
        <is>
          <t>data/cobblemon/spawn_pool_world/0754_lurantis.json</t>
        </is>
      </c>
      <c r="AN2523" s="18" t="inlineStr">
        <is>
          <t>lurantis-3</t>
        </is>
      </c>
      <c r="AO2523" s="18" t="inlineStr">
        <is>
          <t>pokemon</t>
        </is>
      </c>
      <c r="AP2523" s="18" t="inlineStr"/>
      <c r="AQ2523" s="18" t="inlineStr">
        <is>
          <t>{"biomes":["the_bumblezone:floral_meadow"]}</t>
        </is>
      </c>
      <c r="AR2523" s="18" t="inlineStr">
        <is>
          <t>{"structures":["#the_bumblezone:sempiternal_sanctums"]}</t>
        </is>
      </c>
      <c r="AS2523" s="18" t="inlineStr"/>
      <c r="AT2523" s="19" t="inlineStr"/>
    </row>
    <row r="2524" ht="32" customHeight="1">
      <c r="A2524" s="18" t="inlineStr">
        <is>
          <t>0755_morelull.json::morelull-1::001</t>
        </is>
      </c>
      <c r="B2524" s="19" t="inlineStr">
        <is>
          <t>사용</t>
        </is>
      </c>
      <c r="C2524" s="18">
        <f>IF(OR(B2524&lt;&gt;AK2524,M2524&lt;&gt;L2524,O2524&lt;&gt;"",Q2524&lt;&gt;"",V2524&lt;&gt;1,Y2524&lt;&gt;"",AT2524&lt;&gt;""),"수정","원본")</f>
        <v/>
      </c>
      <c r="D2524" s="18" t="n">
        <v>755</v>
      </c>
      <c r="E2524" s="18" t="inlineStr">
        <is>
          <t>자마슈</t>
        </is>
      </c>
      <c r="F2524" s="18" t="inlineStr">
        <is>
          <t>morelull</t>
        </is>
      </c>
      <c r="G2524" s="18" t="inlineStr">
        <is>
          <t>morelull</t>
        </is>
      </c>
      <c r="H2524" s="18" t="inlineStr"/>
      <c r="I2524" s="18" t="n">
        <v>7</v>
      </c>
      <c r="J2524" s="18" t="n"/>
      <c r="K2524" s="18" t="n">
        <v>7</v>
      </c>
      <c r="L2524" s="18" t="inlineStr">
        <is>
          <t>cobbleventure:generation_7</t>
        </is>
      </c>
      <c r="M2524" s="19" t="inlineStr">
        <is>
          <t>cobbleventure:generation_7</t>
        </is>
      </c>
      <c r="N2524" s="18" t="inlineStr"/>
      <c r="O2524" s="19" t="inlineStr"/>
      <c r="P2524" s="18" t="inlineStr">
        <is>
          <t>#aether:is_aether; #cobblemon:is_jungle; #cobblemon:is_magical; #cobblemon:is_mushroom</t>
        </is>
      </c>
      <c r="Q2524" s="19" t="inlineStr"/>
      <c r="R2524" s="18">
        <f>IF(Q2524="",P2524,Q2524)</f>
        <v/>
      </c>
      <c r="S2524" s="18" t="inlineStr"/>
      <c r="T2524" s="18" t="inlineStr">
        <is>
          <t>common</t>
        </is>
      </c>
      <c r="U2524" s="20" t="n">
        <v>1.8</v>
      </c>
      <c r="V2524" s="21" t="n">
        <v>1</v>
      </c>
      <c r="W2524" s="20">
        <f>IF(OR(U2524="",V2524=""),U2524,U2524*V2524)</f>
        <v/>
      </c>
      <c r="X2524" s="18" t="inlineStr">
        <is>
          <t>4-29</t>
        </is>
      </c>
      <c r="Y2524" s="19" t="inlineStr"/>
      <c r="Z2524" s="18">
        <f>IF(Y2524="",X2524,Y2524)</f>
        <v/>
      </c>
      <c r="AA2524" s="18" t="inlineStr">
        <is>
          <t>grounded</t>
        </is>
      </c>
      <c r="AB2524" s="18" t="inlineStr"/>
      <c r="AC2524" s="18" t="inlineStr"/>
      <c r="AD2524" s="18" t="inlineStr"/>
      <c r="AE2524" s="18" t="inlineStr">
        <is>
          <t>light -7</t>
        </is>
      </c>
      <c r="AF2524" s="18" t="inlineStr"/>
      <c r="AG2524" s="18" t="inlineStr"/>
      <c r="AH2524" s="18" t="inlineStr"/>
      <c r="AI2524" s="18" t="inlineStr"/>
      <c r="AJ2524" s="18" t="inlineStr">
        <is>
          <t>Cobblemon 동일</t>
        </is>
      </c>
      <c r="AK2524" s="18" t="inlineStr">
        <is>
          <t>사용</t>
        </is>
      </c>
      <c r="AL2524" s="18" t="inlineStr">
        <is>
          <t>COBBLEVERSE 1.7.42 / DP v31</t>
        </is>
      </c>
      <c r="AM2524" s="18" t="inlineStr">
        <is>
          <t>data/cobblemon/spawn_pool_world/0755_morelull.json</t>
        </is>
      </c>
      <c r="AN2524" s="18" t="inlineStr">
        <is>
          <t>morelull-1</t>
        </is>
      </c>
      <c r="AO2524" s="18" t="inlineStr">
        <is>
          <t>pokemon</t>
        </is>
      </c>
      <c r="AP2524" s="18" t="inlineStr">
        <is>
          <t>natural</t>
        </is>
      </c>
      <c r="AQ2524" s="18" t="inlineStr">
        <is>
          <t>{"biomes":["#aether:is_aether","#cobblemon:is_jungle","#cobblemon:is_magical","#cobblemon:is_mushroom"],"maxLight":7}</t>
        </is>
      </c>
      <c r="AR2524" s="18" t="inlineStr"/>
      <c r="AS2524" s="18" t="inlineStr"/>
      <c r="AT2524" s="19" t="inlineStr"/>
    </row>
    <row r="2525" ht="32" customHeight="1">
      <c r="A2525" s="18" t="inlineStr">
        <is>
          <t>0755_morelull.json::morelull-2::002</t>
        </is>
      </c>
      <c r="B2525" s="19" t="inlineStr">
        <is>
          <t>사용</t>
        </is>
      </c>
      <c r="C2525" s="18">
        <f>IF(OR(B2525&lt;&gt;AK2525,M2525&lt;&gt;L2525,O2525&lt;&gt;"",Q2525&lt;&gt;"",V2525&lt;&gt;1,Y2525&lt;&gt;"",AT2525&lt;&gt;""),"수정","원본")</f>
        <v/>
      </c>
      <c r="D2525" s="18" t="n">
        <v>755</v>
      </c>
      <c r="E2525" s="18" t="inlineStr">
        <is>
          <t>자마슈</t>
        </is>
      </c>
      <c r="F2525" s="18" t="inlineStr">
        <is>
          <t>morelull</t>
        </is>
      </c>
      <c r="G2525" s="18" t="inlineStr">
        <is>
          <t>morelull</t>
        </is>
      </c>
      <c r="H2525" s="18" t="inlineStr"/>
      <c r="I2525" s="18" t="n">
        <v>7</v>
      </c>
      <c r="J2525" s="18" t="n"/>
      <c r="K2525" s="18" t="n">
        <v>7</v>
      </c>
      <c r="L2525" s="18" t="inlineStr">
        <is>
          <t>cobbleventure:generation_7</t>
        </is>
      </c>
      <c r="M2525" s="19" t="inlineStr">
        <is>
          <t>cobbleventure:generation_7</t>
        </is>
      </c>
      <c r="N2525" s="18" t="inlineStr"/>
      <c r="O2525" s="19" t="inlineStr"/>
      <c r="P2525" s="18" t="inlineStr">
        <is>
          <t>#cobblemon:is_lush</t>
        </is>
      </c>
      <c r="Q2525" s="19" t="inlineStr"/>
      <c r="R2525" s="18">
        <f>IF(Q2525="",P2525,Q2525)</f>
        <v/>
      </c>
      <c r="S2525" s="18" t="inlineStr"/>
      <c r="T2525" s="18" t="inlineStr">
        <is>
          <t>common</t>
        </is>
      </c>
      <c r="U2525" s="20" t="n">
        <v>1.8</v>
      </c>
      <c r="V2525" s="21" t="n">
        <v>1</v>
      </c>
      <c r="W2525" s="20">
        <f>IF(OR(U2525="",V2525=""),U2525,U2525*V2525)</f>
        <v/>
      </c>
      <c r="X2525" s="18" t="inlineStr">
        <is>
          <t>4-29</t>
        </is>
      </c>
      <c r="Y2525" s="19" t="inlineStr"/>
      <c r="Z2525" s="18">
        <f>IF(Y2525="",X2525,Y2525)</f>
        <v/>
      </c>
      <c r="AA2525" s="18" t="inlineStr">
        <is>
          <t>grounded</t>
        </is>
      </c>
      <c r="AB2525" s="18" t="inlineStr"/>
      <c r="AC2525" s="18" t="inlineStr"/>
      <c r="AD2525" s="18" t="inlineStr"/>
      <c r="AE2525" s="18" t="inlineStr">
        <is>
          <t>sky 0-7</t>
        </is>
      </c>
      <c r="AF2525" s="18" t="inlineStr"/>
      <c r="AG2525" s="18" t="inlineStr"/>
      <c r="AH2525" s="18" t="inlineStr"/>
      <c r="AI2525" s="18" t="inlineStr"/>
      <c r="AJ2525" s="18" t="inlineStr">
        <is>
          <t>Cobblemon 동일</t>
        </is>
      </c>
      <c r="AK2525" s="18" t="inlineStr">
        <is>
          <t>사용</t>
        </is>
      </c>
      <c r="AL2525" s="18" t="inlineStr">
        <is>
          <t>COBBLEVERSE 1.7.42 / DP v31</t>
        </is>
      </c>
      <c r="AM2525" s="18" t="inlineStr">
        <is>
          <t>data/cobblemon/spawn_pool_world/0755_morelull.json</t>
        </is>
      </c>
      <c r="AN2525" s="18" t="inlineStr">
        <is>
          <t>morelull-2</t>
        </is>
      </c>
      <c r="AO2525" s="18" t="inlineStr">
        <is>
          <t>pokemon</t>
        </is>
      </c>
      <c r="AP2525" s="18" t="inlineStr">
        <is>
          <t>natural</t>
        </is>
      </c>
      <c r="AQ2525" s="18" t="inlineStr">
        <is>
          <t>{"biomes":["#cobblemon:is_lush"],"maxSkyLight":7,"minSkyLight":0}</t>
        </is>
      </c>
      <c r="AR2525" s="18" t="inlineStr">
        <is>
          <t>{"maxY":9,"minY":-41,"structures":["cobblemon:shipwreck_coves/lush_shipwreck_cove"]}</t>
        </is>
      </c>
      <c r="AS2525" s="18" t="inlineStr"/>
      <c r="AT2525" s="19" t="inlineStr"/>
    </row>
    <row r="2526" ht="32" customHeight="1">
      <c r="A2526" s="18" t="inlineStr">
        <is>
          <t>0755_morelull.json::morelull-3::003</t>
        </is>
      </c>
      <c r="B2526" s="19" t="inlineStr">
        <is>
          <t>사용</t>
        </is>
      </c>
      <c r="C2526" s="18">
        <f>IF(OR(B2526&lt;&gt;AK2526,M2526&lt;&gt;L2526,O2526&lt;&gt;"",Q2526&lt;&gt;"",V2526&lt;&gt;1,Y2526&lt;&gt;"",AT2526&lt;&gt;""),"수정","원본")</f>
        <v/>
      </c>
      <c r="D2526" s="18" t="n">
        <v>755</v>
      </c>
      <c r="E2526" s="18" t="inlineStr">
        <is>
          <t>자마슈</t>
        </is>
      </c>
      <c r="F2526" s="18" t="inlineStr">
        <is>
          <t>morelull</t>
        </is>
      </c>
      <c r="G2526" s="18" t="inlineStr">
        <is>
          <t>morelull</t>
        </is>
      </c>
      <c r="H2526" s="18" t="inlineStr"/>
      <c r="I2526" s="18" t="n">
        <v>7</v>
      </c>
      <c r="J2526" s="18" t="n"/>
      <c r="K2526" s="18" t="n">
        <v>7</v>
      </c>
      <c r="L2526" s="18" t="inlineStr">
        <is>
          <t>cobbleventure:generation_7</t>
        </is>
      </c>
      <c r="M2526" s="19" t="inlineStr">
        <is>
          <t>cobbleventure:generation_7</t>
        </is>
      </c>
      <c r="N2526" s="18" t="inlineStr"/>
      <c r="O2526" s="19" t="inlineStr"/>
      <c r="P2526" s="18" t="inlineStr">
        <is>
          <t>#cobblemon:nether/is_fungus</t>
        </is>
      </c>
      <c r="Q2526" s="19" t="inlineStr"/>
      <c r="R2526" s="18">
        <f>IF(Q2526="",P2526,Q2526)</f>
        <v/>
      </c>
      <c r="S2526" s="18" t="inlineStr"/>
      <c r="T2526" s="18" t="inlineStr">
        <is>
          <t>common</t>
        </is>
      </c>
      <c r="U2526" s="20" t="n">
        <v>9</v>
      </c>
      <c r="V2526" s="21" t="n">
        <v>1</v>
      </c>
      <c r="W2526" s="20">
        <f>IF(OR(U2526="",V2526=""),U2526,U2526*V2526)</f>
        <v/>
      </c>
      <c r="X2526" s="18" t="inlineStr">
        <is>
          <t>4-29</t>
        </is>
      </c>
      <c r="Y2526" s="19" t="inlineStr"/>
      <c r="Z2526" s="18">
        <f>IF(Y2526="",X2526,Y2526)</f>
        <v/>
      </c>
      <c r="AA2526" s="18" t="inlineStr">
        <is>
          <t>grounded</t>
        </is>
      </c>
      <c r="AB2526" s="18" t="inlineStr"/>
      <c r="AC2526" s="18" t="inlineStr"/>
      <c r="AD2526" s="18" t="inlineStr"/>
      <c r="AE2526" s="18" t="inlineStr"/>
      <c r="AF2526" s="18" t="inlineStr"/>
      <c r="AG2526" s="18" t="inlineStr"/>
      <c r="AH2526" s="18" t="inlineStr"/>
      <c r="AI2526" s="18" t="inlineStr"/>
      <c r="AJ2526" s="18" t="inlineStr">
        <is>
          <t>Cobblemon 동일</t>
        </is>
      </c>
      <c r="AK2526" s="18" t="inlineStr">
        <is>
          <t>사용</t>
        </is>
      </c>
      <c r="AL2526" s="18" t="inlineStr">
        <is>
          <t>COBBLEVERSE 1.7.42 / DP v31</t>
        </is>
      </c>
      <c r="AM2526" s="18" t="inlineStr">
        <is>
          <t>data/cobblemon/spawn_pool_world/0755_morelull.json</t>
        </is>
      </c>
      <c r="AN2526" s="18" t="inlineStr">
        <is>
          <t>morelull-3</t>
        </is>
      </c>
      <c r="AO2526" s="18" t="inlineStr">
        <is>
          <t>pokemon</t>
        </is>
      </c>
      <c r="AP2526" s="18" t="inlineStr">
        <is>
          <t>natural</t>
        </is>
      </c>
      <c r="AQ2526" s="18" t="inlineStr">
        <is>
          <t>{"biomes":["#cobblemon:nether/is_fungus"]}</t>
        </is>
      </c>
      <c r="AR2526" s="18" t="inlineStr"/>
      <c r="AS2526" s="18" t="inlineStr"/>
      <c r="AT2526" s="19" t="inlineStr"/>
    </row>
    <row r="2527" ht="32" customHeight="1">
      <c r="A2527" s="18" t="inlineStr">
        <is>
          <t>0755_morelull.json::morelull-4::004</t>
        </is>
      </c>
      <c r="B2527" s="19" t="inlineStr">
        <is>
          <t>사용</t>
        </is>
      </c>
      <c r="C2527" s="18">
        <f>IF(OR(B2527&lt;&gt;AK2527,M2527&lt;&gt;L2527,O2527&lt;&gt;"",Q2527&lt;&gt;"",V2527&lt;&gt;1,Y2527&lt;&gt;"",AT2527&lt;&gt;""),"수정","원본")</f>
        <v/>
      </c>
      <c r="D2527" s="18" t="n">
        <v>755</v>
      </c>
      <c r="E2527" s="18" t="inlineStr">
        <is>
          <t>자마슈</t>
        </is>
      </c>
      <c r="F2527" s="18" t="inlineStr">
        <is>
          <t>morelull</t>
        </is>
      </c>
      <c r="G2527" s="18" t="inlineStr">
        <is>
          <t>morelull</t>
        </is>
      </c>
      <c r="H2527" s="18" t="inlineStr"/>
      <c r="I2527" s="18" t="n">
        <v>7</v>
      </c>
      <c r="J2527" s="18" t="n"/>
      <c r="K2527" s="18" t="n">
        <v>7</v>
      </c>
      <c r="L2527" s="18" t="inlineStr">
        <is>
          <t>cobbleventure:generation_7</t>
        </is>
      </c>
      <c r="M2527" s="19" t="inlineStr">
        <is>
          <t>cobbleventure:generation_7</t>
        </is>
      </c>
      <c r="N2527" s="18" t="inlineStr">
        <is>
          <t>region_01; region_02</t>
        </is>
      </c>
      <c r="O2527" s="19" t="inlineStr"/>
      <c r="P2527" s="18" t="inlineStr">
        <is>
          <t>#cobblemon:is_overworld</t>
        </is>
      </c>
      <c r="Q2527" s="19" t="inlineStr"/>
      <c r="R2527" s="18">
        <f>IF(Q2527="",P2527,Q2527)</f>
        <v/>
      </c>
      <c r="S2527" s="18" t="inlineStr">
        <is>
          <t>#cobblemon:is_lush</t>
        </is>
      </c>
      <c r="T2527" s="18" t="inlineStr">
        <is>
          <t>common</t>
        </is>
      </c>
      <c r="U2527" s="20" t="n">
        <v>1.8</v>
      </c>
      <c r="V2527" s="21" t="n">
        <v>1</v>
      </c>
      <c r="W2527" s="20">
        <f>IF(OR(U2527="",V2527=""),U2527,U2527*V2527)</f>
        <v/>
      </c>
      <c r="X2527" s="18" t="inlineStr">
        <is>
          <t>4-29</t>
        </is>
      </c>
      <c r="Y2527" s="19" t="inlineStr"/>
      <c r="Z2527" s="18">
        <f>IF(Y2527="",X2527,Y2527)</f>
        <v/>
      </c>
      <c r="AA2527" s="18" t="inlineStr">
        <is>
          <t>grounded</t>
        </is>
      </c>
      <c r="AB2527" s="18" t="inlineStr"/>
      <c r="AC2527" s="18" t="inlineStr"/>
      <c r="AD2527" s="18" t="inlineStr">
        <is>
          <t>minY=-41, maxY=9</t>
        </is>
      </c>
      <c r="AE2527" s="18" t="inlineStr">
        <is>
          <t>sky 0-7</t>
        </is>
      </c>
      <c r="AF2527" s="18" t="inlineStr"/>
      <c r="AG2527" s="18" t="inlineStr">
        <is>
          <t>cobblemon:shipwreck_coves/lush_shipwreck_cove</t>
        </is>
      </c>
      <c r="AH2527" s="18" t="inlineStr"/>
      <c r="AI2527" s="18" t="inlineStr"/>
      <c r="AJ2527" s="18" t="inlineStr">
        <is>
          <t>Cobblemon 동일</t>
        </is>
      </c>
      <c r="AK2527" s="18" t="inlineStr">
        <is>
          <t>사용</t>
        </is>
      </c>
      <c r="AL2527" s="18" t="inlineStr">
        <is>
          <t>COBBLEVERSE 1.7.42 / DP v31</t>
        </is>
      </c>
      <c r="AM2527" s="18" t="inlineStr">
        <is>
          <t>data/cobblemon/spawn_pool_world/0755_morelull.json</t>
        </is>
      </c>
      <c r="AN2527" s="18" t="inlineStr">
        <is>
          <t>morelull-4</t>
        </is>
      </c>
      <c r="AO2527" s="18" t="inlineStr">
        <is>
          <t>pokemon</t>
        </is>
      </c>
      <c r="AP2527" s="18" t="inlineStr">
        <is>
          <t>natural</t>
        </is>
      </c>
      <c r="AQ2527" s="18" t="inlineStr">
        <is>
          <t>{"biomes":["#cobblemon:is_overworld"],"maxSkyLight":7,"maxY":9,"minSkyLight":0,"minY":-41,"structures":["cobblemon:shipwreck_coves/lush_shipwreck_cove"]}</t>
        </is>
      </c>
      <c r="AR2527" s="18" t="inlineStr">
        <is>
          <t>{"biomes":["#cobblemon:is_lush"]}</t>
        </is>
      </c>
      <c r="AS2527" s="18" t="inlineStr"/>
      <c r="AT2527" s="19" t="inlineStr"/>
    </row>
    <row r="2528" ht="32" customHeight="1">
      <c r="A2528" s="18" t="inlineStr">
        <is>
          <t>0756_shiinotic.json::shiinotic-1::001</t>
        </is>
      </c>
      <c r="B2528" s="19" t="inlineStr">
        <is>
          <t>사용</t>
        </is>
      </c>
      <c r="C2528" s="18">
        <f>IF(OR(B2528&lt;&gt;AK2528,M2528&lt;&gt;L2528,O2528&lt;&gt;"",Q2528&lt;&gt;"",V2528&lt;&gt;1,Y2528&lt;&gt;"",AT2528&lt;&gt;""),"수정","원본")</f>
        <v/>
      </c>
      <c r="D2528" s="18" t="n">
        <v>756</v>
      </c>
      <c r="E2528" s="18" t="inlineStr">
        <is>
          <t>마셰이드</t>
        </is>
      </c>
      <c r="F2528" s="18" t="inlineStr">
        <is>
          <t>shiinotic</t>
        </is>
      </c>
      <c r="G2528" s="18" t="inlineStr">
        <is>
          <t>shiinotic</t>
        </is>
      </c>
      <c r="H2528" s="18" t="inlineStr"/>
      <c r="I2528" s="18" t="n">
        <v>7</v>
      </c>
      <c r="J2528" s="18" t="n"/>
      <c r="K2528" s="18" t="n">
        <v>7</v>
      </c>
      <c r="L2528" s="18" t="inlineStr">
        <is>
          <t>cobbleventure:generation_7</t>
        </is>
      </c>
      <c r="M2528" s="19" t="inlineStr">
        <is>
          <t>cobbleventure:generation_7</t>
        </is>
      </c>
      <c r="N2528" s="18" t="inlineStr"/>
      <c r="O2528" s="19" t="inlineStr"/>
      <c r="P2528" s="18" t="inlineStr">
        <is>
          <t>#aether:is_aether; #cobblemon:is_jungle; #cobblemon:is_magical; #cobblemon:is_mushroom</t>
        </is>
      </c>
      <c r="Q2528" s="19" t="inlineStr"/>
      <c r="R2528" s="18">
        <f>IF(Q2528="",P2528,Q2528)</f>
        <v/>
      </c>
      <c r="S2528" s="18" t="inlineStr"/>
      <c r="T2528" s="18" t="inlineStr">
        <is>
          <t>common</t>
        </is>
      </c>
      <c r="U2528" s="20" t="n">
        <v>0.2</v>
      </c>
      <c r="V2528" s="21" t="n">
        <v>1</v>
      </c>
      <c r="W2528" s="20">
        <f>IF(OR(U2528="",V2528=""),U2528,U2528*V2528)</f>
        <v/>
      </c>
      <c r="X2528" s="18" t="inlineStr">
        <is>
          <t>24-41</t>
        </is>
      </c>
      <c r="Y2528" s="19" t="inlineStr"/>
      <c r="Z2528" s="18">
        <f>IF(Y2528="",X2528,Y2528)</f>
        <v/>
      </c>
      <c r="AA2528" s="18" t="inlineStr">
        <is>
          <t>grounded</t>
        </is>
      </c>
      <c r="AB2528" s="18" t="inlineStr"/>
      <c r="AC2528" s="18" t="inlineStr"/>
      <c r="AD2528" s="18" t="inlineStr"/>
      <c r="AE2528" s="18" t="inlineStr">
        <is>
          <t>light -7</t>
        </is>
      </c>
      <c r="AF2528" s="18" t="inlineStr"/>
      <c r="AG2528" s="18" t="inlineStr"/>
      <c r="AH2528" s="18" t="inlineStr"/>
      <c r="AI2528" s="18" t="inlineStr"/>
      <c r="AJ2528" s="18" t="inlineStr">
        <is>
          <t>Cobblemon 동일</t>
        </is>
      </c>
      <c r="AK2528" s="18" t="inlineStr">
        <is>
          <t>사용</t>
        </is>
      </c>
      <c r="AL2528" s="18" t="inlineStr">
        <is>
          <t>COBBLEVERSE 1.7.42 / DP v31</t>
        </is>
      </c>
      <c r="AM2528" s="18" t="inlineStr">
        <is>
          <t>data/cobblemon/spawn_pool_world/0756_shiinotic.json</t>
        </is>
      </c>
      <c r="AN2528" s="18" t="inlineStr">
        <is>
          <t>shiinotic-1</t>
        </is>
      </c>
      <c r="AO2528" s="18" t="inlineStr">
        <is>
          <t>pokemon</t>
        </is>
      </c>
      <c r="AP2528" s="18" t="inlineStr">
        <is>
          <t>natural</t>
        </is>
      </c>
      <c r="AQ2528" s="18" t="inlineStr">
        <is>
          <t>{"biomes":["#aether:is_aether","#cobblemon:is_jungle","#cobblemon:is_magical","#cobblemon:is_mushroom"],"maxLight":7}</t>
        </is>
      </c>
      <c r="AR2528" s="18" t="inlineStr"/>
      <c r="AS2528" s="18" t="inlineStr"/>
      <c r="AT2528" s="19" t="inlineStr"/>
    </row>
    <row r="2529" ht="32" customHeight="1">
      <c r="A2529" s="18" t="inlineStr">
        <is>
          <t>0756_shiinotic.json::shiinotic-2::002</t>
        </is>
      </c>
      <c r="B2529" s="19" t="inlineStr">
        <is>
          <t>사용</t>
        </is>
      </c>
      <c r="C2529" s="18">
        <f>IF(OR(B2529&lt;&gt;AK2529,M2529&lt;&gt;L2529,O2529&lt;&gt;"",Q2529&lt;&gt;"",V2529&lt;&gt;1,Y2529&lt;&gt;"",AT2529&lt;&gt;""),"수정","원본")</f>
        <v/>
      </c>
      <c r="D2529" s="18" t="n">
        <v>756</v>
      </c>
      <c r="E2529" s="18" t="inlineStr">
        <is>
          <t>마셰이드</t>
        </is>
      </c>
      <c r="F2529" s="18" t="inlineStr">
        <is>
          <t>shiinotic</t>
        </is>
      </c>
      <c r="G2529" s="18" t="inlineStr">
        <is>
          <t>shiinotic</t>
        </is>
      </c>
      <c r="H2529" s="18" t="inlineStr"/>
      <c r="I2529" s="18" t="n">
        <v>7</v>
      </c>
      <c r="J2529" s="18" t="n"/>
      <c r="K2529" s="18" t="n">
        <v>7</v>
      </c>
      <c r="L2529" s="18" t="inlineStr">
        <is>
          <t>cobbleventure:generation_7</t>
        </is>
      </c>
      <c r="M2529" s="19" t="inlineStr">
        <is>
          <t>cobbleventure:generation_7</t>
        </is>
      </c>
      <c r="N2529" s="18" t="inlineStr"/>
      <c r="O2529" s="19" t="inlineStr"/>
      <c r="P2529" s="18" t="inlineStr">
        <is>
          <t>#cobblemon:is_lush</t>
        </is>
      </c>
      <c r="Q2529" s="19" t="inlineStr"/>
      <c r="R2529" s="18">
        <f>IF(Q2529="",P2529,Q2529)</f>
        <v/>
      </c>
      <c r="S2529" s="18" t="inlineStr"/>
      <c r="T2529" s="18" t="inlineStr">
        <is>
          <t>common</t>
        </is>
      </c>
      <c r="U2529" s="20" t="n">
        <v>0.2</v>
      </c>
      <c r="V2529" s="21" t="n">
        <v>1</v>
      </c>
      <c r="W2529" s="20">
        <f>IF(OR(U2529="",V2529=""),U2529,U2529*V2529)</f>
        <v/>
      </c>
      <c r="X2529" s="18" t="inlineStr">
        <is>
          <t>24-41</t>
        </is>
      </c>
      <c r="Y2529" s="19" t="inlineStr"/>
      <c r="Z2529" s="18">
        <f>IF(Y2529="",X2529,Y2529)</f>
        <v/>
      </c>
      <c r="AA2529" s="18" t="inlineStr">
        <is>
          <t>grounded</t>
        </is>
      </c>
      <c r="AB2529" s="18" t="inlineStr"/>
      <c r="AC2529" s="18" t="inlineStr"/>
      <c r="AD2529" s="18" t="inlineStr"/>
      <c r="AE2529" s="18" t="inlineStr">
        <is>
          <t>sky 0-7</t>
        </is>
      </c>
      <c r="AF2529" s="18" t="inlineStr"/>
      <c r="AG2529" s="18" t="inlineStr"/>
      <c r="AH2529" s="18" t="inlineStr"/>
      <c r="AI2529" s="18" t="inlineStr"/>
      <c r="AJ2529" s="18" t="inlineStr">
        <is>
          <t>Cobblemon 동일</t>
        </is>
      </c>
      <c r="AK2529" s="18" t="inlineStr">
        <is>
          <t>사용</t>
        </is>
      </c>
      <c r="AL2529" s="18" t="inlineStr">
        <is>
          <t>COBBLEVERSE 1.7.42 / DP v31</t>
        </is>
      </c>
      <c r="AM2529" s="18" t="inlineStr">
        <is>
          <t>data/cobblemon/spawn_pool_world/0756_shiinotic.json</t>
        </is>
      </c>
      <c r="AN2529" s="18" t="inlineStr">
        <is>
          <t>shiinotic-2</t>
        </is>
      </c>
      <c r="AO2529" s="18" t="inlineStr">
        <is>
          <t>pokemon</t>
        </is>
      </c>
      <c r="AP2529" s="18" t="inlineStr">
        <is>
          <t>natural</t>
        </is>
      </c>
      <c r="AQ2529" s="18" t="inlineStr">
        <is>
          <t>{"biomes":["#cobblemon:is_lush"],"maxSkyLight":7,"minSkyLight":0}</t>
        </is>
      </c>
      <c r="AR2529" s="18" t="inlineStr">
        <is>
          <t>{"maxY":9,"minY":-41,"structures":["cobblemon:shipwreck_coves/lush_shipwreck_cove"]}</t>
        </is>
      </c>
      <c r="AS2529" s="18" t="inlineStr"/>
      <c r="AT2529" s="19" t="inlineStr"/>
    </row>
    <row r="2530" ht="32" customHeight="1">
      <c r="A2530" s="18" t="inlineStr">
        <is>
          <t>0756_shiinotic.json::shiinotic-3::003</t>
        </is>
      </c>
      <c r="B2530" s="19" t="inlineStr">
        <is>
          <t>사용</t>
        </is>
      </c>
      <c r="C2530" s="18">
        <f>IF(OR(B2530&lt;&gt;AK2530,M2530&lt;&gt;L2530,O2530&lt;&gt;"",Q2530&lt;&gt;"",V2530&lt;&gt;1,Y2530&lt;&gt;"",AT2530&lt;&gt;""),"수정","원본")</f>
        <v/>
      </c>
      <c r="D2530" s="18" t="n">
        <v>756</v>
      </c>
      <c r="E2530" s="18" t="inlineStr">
        <is>
          <t>마셰이드</t>
        </is>
      </c>
      <c r="F2530" s="18" t="inlineStr">
        <is>
          <t>shiinotic</t>
        </is>
      </c>
      <c r="G2530" s="18" t="inlineStr">
        <is>
          <t>shiinotic</t>
        </is>
      </c>
      <c r="H2530" s="18" t="inlineStr"/>
      <c r="I2530" s="18" t="n">
        <v>7</v>
      </c>
      <c r="J2530" s="18" t="n"/>
      <c r="K2530" s="18" t="n">
        <v>7</v>
      </c>
      <c r="L2530" s="18" t="inlineStr">
        <is>
          <t>cobbleventure:generation_7</t>
        </is>
      </c>
      <c r="M2530" s="19" t="inlineStr">
        <is>
          <t>cobbleventure:generation_7</t>
        </is>
      </c>
      <c r="N2530" s="18" t="inlineStr"/>
      <c r="O2530" s="19" t="inlineStr"/>
      <c r="P2530" s="18" t="inlineStr">
        <is>
          <t>#cobblemon:nether/is_fungus</t>
        </is>
      </c>
      <c r="Q2530" s="19" t="inlineStr"/>
      <c r="R2530" s="18">
        <f>IF(Q2530="",P2530,Q2530)</f>
        <v/>
      </c>
      <c r="S2530" s="18" t="inlineStr"/>
      <c r="T2530" s="18" t="inlineStr">
        <is>
          <t>common</t>
        </is>
      </c>
      <c r="U2530" s="20" t="n">
        <v>1</v>
      </c>
      <c r="V2530" s="21" t="n">
        <v>1</v>
      </c>
      <c r="W2530" s="20">
        <f>IF(OR(U2530="",V2530=""),U2530,U2530*V2530)</f>
        <v/>
      </c>
      <c r="X2530" s="18" t="inlineStr">
        <is>
          <t>24-41</t>
        </is>
      </c>
      <c r="Y2530" s="19" t="inlineStr"/>
      <c r="Z2530" s="18">
        <f>IF(Y2530="",X2530,Y2530)</f>
        <v/>
      </c>
      <c r="AA2530" s="18" t="inlineStr">
        <is>
          <t>grounded</t>
        </is>
      </c>
      <c r="AB2530" s="18" t="inlineStr"/>
      <c r="AC2530" s="18" t="inlineStr"/>
      <c r="AD2530" s="18" t="inlineStr"/>
      <c r="AE2530" s="18" t="inlineStr"/>
      <c r="AF2530" s="18" t="inlineStr"/>
      <c r="AG2530" s="18" t="inlineStr"/>
      <c r="AH2530" s="18" t="inlineStr"/>
      <c r="AI2530" s="18" t="inlineStr"/>
      <c r="AJ2530" s="18" t="inlineStr">
        <is>
          <t>Cobblemon 동일</t>
        </is>
      </c>
      <c r="AK2530" s="18" t="inlineStr">
        <is>
          <t>사용</t>
        </is>
      </c>
      <c r="AL2530" s="18" t="inlineStr">
        <is>
          <t>COBBLEVERSE 1.7.42 / DP v31</t>
        </is>
      </c>
      <c r="AM2530" s="18" t="inlineStr">
        <is>
          <t>data/cobblemon/spawn_pool_world/0756_shiinotic.json</t>
        </is>
      </c>
      <c r="AN2530" s="18" t="inlineStr">
        <is>
          <t>shiinotic-3</t>
        </is>
      </c>
      <c r="AO2530" s="18" t="inlineStr">
        <is>
          <t>pokemon</t>
        </is>
      </c>
      <c r="AP2530" s="18" t="inlineStr">
        <is>
          <t>natural</t>
        </is>
      </c>
      <c r="AQ2530" s="18" t="inlineStr">
        <is>
          <t>{"biomes":["#cobblemon:nether/is_fungus"]}</t>
        </is>
      </c>
      <c r="AR2530" s="18" t="inlineStr"/>
      <c r="AS2530" s="18" t="inlineStr"/>
      <c r="AT2530" s="19" t="inlineStr"/>
    </row>
    <row r="2531" ht="32" customHeight="1">
      <c r="A2531" s="18" t="inlineStr">
        <is>
          <t>0756_shiinotic.json::shiinotic-4::004</t>
        </is>
      </c>
      <c r="B2531" s="19" t="inlineStr">
        <is>
          <t>사용</t>
        </is>
      </c>
      <c r="C2531" s="18">
        <f>IF(OR(B2531&lt;&gt;AK2531,M2531&lt;&gt;L2531,O2531&lt;&gt;"",Q2531&lt;&gt;"",V2531&lt;&gt;1,Y2531&lt;&gt;"",AT2531&lt;&gt;""),"수정","원본")</f>
        <v/>
      </c>
      <c r="D2531" s="18" t="n">
        <v>756</v>
      </c>
      <c r="E2531" s="18" t="inlineStr">
        <is>
          <t>마셰이드</t>
        </is>
      </c>
      <c r="F2531" s="18" t="inlineStr">
        <is>
          <t>shiinotic</t>
        </is>
      </c>
      <c r="G2531" s="18" t="inlineStr">
        <is>
          <t>shiinotic</t>
        </is>
      </c>
      <c r="H2531" s="18" t="inlineStr"/>
      <c r="I2531" s="18" t="n">
        <v>7</v>
      </c>
      <c r="J2531" s="18" t="n"/>
      <c r="K2531" s="18" t="n">
        <v>7</v>
      </c>
      <c r="L2531" s="18" t="inlineStr">
        <is>
          <t>cobbleventure:generation_7</t>
        </is>
      </c>
      <c r="M2531" s="19" t="inlineStr">
        <is>
          <t>cobbleventure:generation_7</t>
        </is>
      </c>
      <c r="N2531" s="18" t="inlineStr">
        <is>
          <t>region_01; region_02</t>
        </is>
      </c>
      <c r="O2531" s="19" t="inlineStr"/>
      <c r="P2531" s="18" t="inlineStr">
        <is>
          <t>#cobblemon:is_overworld</t>
        </is>
      </c>
      <c r="Q2531" s="19" t="inlineStr"/>
      <c r="R2531" s="18">
        <f>IF(Q2531="",P2531,Q2531)</f>
        <v/>
      </c>
      <c r="S2531" s="18" t="inlineStr">
        <is>
          <t>#cobblemon:is_lush</t>
        </is>
      </c>
      <c r="T2531" s="18" t="inlineStr">
        <is>
          <t>common</t>
        </is>
      </c>
      <c r="U2531" s="20" t="n">
        <v>0.2</v>
      </c>
      <c r="V2531" s="21" t="n">
        <v>1</v>
      </c>
      <c r="W2531" s="20">
        <f>IF(OR(U2531="",V2531=""),U2531,U2531*V2531)</f>
        <v/>
      </c>
      <c r="X2531" s="18" t="inlineStr">
        <is>
          <t>24-41</t>
        </is>
      </c>
      <c r="Y2531" s="19" t="inlineStr"/>
      <c r="Z2531" s="18">
        <f>IF(Y2531="",X2531,Y2531)</f>
        <v/>
      </c>
      <c r="AA2531" s="18" t="inlineStr">
        <is>
          <t>grounded</t>
        </is>
      </c>
      <c r="AB2531" s="18" t="inlineStr"/>
      <c r="AC2531" s="18" t="inlineStr"/>
      <c r="AD2531" s="18" t="inlineStr">
        <is>
          <t>minY=-41, maxY=9</t>
        </is>
      </c>
      <c r="AE2531" s="18" t="inlineStr">
        <is>
          <t>sky 0-7</t>
        </is>
      </c>
      <c r="AF2531" s="18" t="inlineStr"/>
      <c r="AG2531" s="18" t="inlineStr">
        <is>
          <t>cobblemon:shipwreck_coves/lush_shipwreck_cove</t>
        </is>
      </c>
      <c r="AH2531" s="18" t="inlineStr"/>
      <c r="AI2531" s="18" t="inlineStr"/>
      <c r="AJ2531" s="18" t="inlineStr">
        <is>
          <t>Cobblemon 동일</t>
        </is>
      </c>
      <c r="AK2531" s="18" t="inlineStr">
        <is>
          <t>사용</t>
        </is>
      </c>
      <c r="AL2531" s="18" t="inlineStr">
        <is>
          <t>COBBLEVERSE 1.7.42 / DP v31</t>
        </is>
      </c>
      <c r="AM2531" s="18" t="inlineStr">
        <is>
          <t>data/cobblemon/spawn_pool_world/0756_shiinotic.json</t>
        </is>
      </c>
      <c r="AN2531" s="18" t="inlineStr">
        <is>
          <t>shiinotic-4</t>
        </is>
      </c>
      <c r="AO2531" s="18" t="inlineStr">
        <is>
          <t>pokemon</t>
        </is>
      </c>
      <c r="AP2531" s="18" t="inlineStr">
        <is>
          <t>natural</t>
        </is>
      </c>
      <c r="AQ2531" s="18" t="inlineStr">
        <is>
          <t>{"biomes":["#cobblemon:is_overworld"],"maxSkyLight":7,"maxY":9,"minSkyLight":0,"minY":-41,"structures":["cobblemon:shipwreck_coves/lush_shipwreck_cove"]}</t>
        </is>
      </c>
      <c r="AR2531" s="18" t="inlineStr">
        <is>
          <t>{"biomes":["#cobblemon:is_lush"]}</t>
        </is>
      </c>
      <c r="AS2531" s="18" t="inlineStr"/>
      <c r="AT2531" s="19" t="inlineStr"/>
    </row>
    <row r="2532" ht="32" customHeight="1">
      <c r="A2532" s="18" t="inlineStr">
        <is>
          <t>0757_salandit.json::salandit-1::001</t>
        </is>
      </c>
      <c r="B2532" s="19" t="inlineStr">
        <is>
          <t>사용</t>
        </is>
      </c>
      <c r="C2532" s="18">
        <f>IF(OR(B2532&lt;&gt;AK2532,M2532&lt;&gt;L2532,O2532&lt;&gt;"",Q2532&lt;&gt;"",V2532&lt;&gt;1,Y2532&lt;&gt;"",AT2532&lt;&gt;""),"수정","원본")</f>
        <v/>
      </c>
      <c r="D2532" s="18" t="n">
        <v>757</v>
      </c>
      <c r="E2532" s="18" t="inlineStr">
        <is>
          <t>야도뇽</t>
        </is>
      </c>
      <c r="F2532" s="18" t="inlineStr">
        <is>
          <t>salandit</t>
        </is>
      </c>
      <c r="G2532" s="18" t="inlineStr">
        <is>
          <t>salandit</t>
        </is>
      </c>
      <c r="H2532" s="18" t="inlineStr"/>
      <c r="I2532" s="18" t="n">
        <v>7</v>
      </c>
      <c r="J2532" s="18" t="n"/>
      <c r="K2532" s="18" t="n">
        <v>7</v>
      </c>
      <c r="L2532" s="18" t="inlineStr">
        <is>
          <t>cobbleventure:generation_7</t>
        </is>
      </c>
      <c r="M2532" s="19" t="inlineStr">
        <is>
          <t>cobbleventure:generation_7</t>
        </is>
      </c>
      <c r="N2532" s="18" t="inlineStr"/>
      <c r="O2532" s="19" t="inlineStr"/>
      <c r="P2532" s="18" t="inlineStr">
        <is>
          <t>#cobblemon:is_volcanic</t>
        </is>
      </c>
      <c r="Q2532" s="19" t="inlineStr"/>
      <c r="R2532" s="18">
        <f>IF(Q2532="",P2532,Q2532)</f>
        <v/>
      </c>
      <c r="S2532" s="18" t="inlineStr"/>
      <c r="T2532" s="18" t="inlineStr">
        <is>
          <t>common</t>
        </is>
      </c>
      <c r="U2532" s="20" t="n">
        <v>9.9</v>
      </c>
      <c r="V2532" s="21" t="n">
        <v>1</v>
      </c>
      <c r="W2532" s="20">
        <f>IF(OR(U2532="",V2532=""),U2532,U2532*V2532)</f>
        <v/>
      </c>
      <c r="X2532" s="18" t="inlineStr">
        <is>
          <t>7-32</t>
        </is>
      </c>
      <c r="Y2532" s="19" t="inlineStr"/>
      <c r="Z2532" s="18">
        <f>IF(Y2532="",X2532,Y2532)</f>
        <v/>
      </c>
      <c r="AA2532" s="18" t="inlineStr">
        <is>
          <t>grounded</t>
        </is>
      </c>
      <c r="AB2532" s="18" t="inlineStr"/>
      <c r="AC2532" s="18" t="inlineStr"/>
      <c r="AD2532" s="18" t="inlineStr"/>
      <c r="AE2532" s="18" t="inlineStr"/>
      <c r="AF2532" s="18" t="inlineStr"/>
      <c r="AG2532" s="18" t="inlineStr"/>
      <c r="AH2532" s="18" t="inlineStr"/>
      <c r="AI2532" s="18" t="inlineStr"/>
      <c r="AJ2532" s="18" t="inlineStr">
        <is>
          <t>Cobblemon 동일</t>
        </is>
      </c>
      <c r="AK2532" s="18" t="inlineStr">
        <is>
          <t>사용</t>
        </is>
      </c>
      <c r="AL2532" s="18" t="inlineStr">
        <is>
          <t>COBBLEVERSE 1.7.42 / DP v31</t>
        </is>
      </c>
      <c r="AM2532" s="18" t="inlineStr">
        <is>
          <t>data/cobblemon/spawn_pool_world/0757_salandit.json</t>
        </is>
      </c>
      <c r="AN2532" s="18" t="inlineStr">
        <is>
          <t>salandit-1</t>
        </is>
      </c>
      <c r="AO2532" s="18" t="inlineStr">
        <is>
          <t>pokemon</t>
        </is>
      </c>
      <c r="AP2532" s="18" t="inlineStr">
        <is>
          <t>natural</t>
        </is>
      </c>
      <c r="AQ2532" s="18" t="inlineStr">
        <is>
          <t>{"biomes":["#cobblemon:is_volcanic"]}</t>
        </is>
      </c>
      <c r="AR2532" s="18" t="inlineStr"/>
      <c r="AS2532" s="18" t="inlineStr"/>
      <c r="AT2532" s="19" t="inlineStr"/>
    </row>
    <row r="2533" ht="32" customHeight="1">
      <c r="A2533" s="18" t="inlineStr">
        <is>
          <t>0757_salandit.json::salandit-2::002</t>
        </is>
      </c>
      <c r="B2533" s="19" t="inlineStr">
        <is>
          <t>사용</t>
        </is>
      </c>
      <c r="C2533" s="18">
        <f>IF(OR(B2533&lt;&gt;AK2533,M2533&lt;&gt;L2533,O2533&lt;&gt;"",Q2533&lt;&gt;"",V2533&lt;&gt;1,Y2533&lt;&gt;"",AT2533&lt;&gt;""),"수정","원본")</f>
        <v/>
      </c>
      <c r="D2533" s="18" t="n">
        <v>757</v>
      </c>
      <c r="E2533" s="18" t="inlineStr">
        <is>
          <t>야도뇽</t>
        </is>
      </c>
      <c r="F2533" s="18" t="inlineStr">
        <is>
          <t>salandit</t>
        </is>
      </c>
      <c r="G2533" s="18" t="inlineStr">
        <is>
          <t>salandit</t>
        </is>
      </c>
      <c r="H2533" s="18" t="inlineStr"/>
      <c r="I2533" s="18" t="n">
        <v>7</v>
      </c>
      <c r="J2533" s="18" t="n"/>
      <c r="K2533" s="18" t="n">
        <v>7</v>
      </c>
      <c r="L2533" s="18" t="inlineStr">
        <is>
          <t>cobbleventure:generation_7</t>
        </is>
      </c>
      <c r="M2533" s="19" t="inlineStr">
        <is>
          <t>cobbleventure:generation_7</t>
        </is>
      </c>
      <c r="N2533" s="18" t="inlineStr"/>
      <c r="O2533" s="19" t="inlineStr"/>
      <c r="P2533" s="18" t="inlineStr">
        <is>
          <t>#cobblemon:is_badlands; #cobblemon:is_mountain</t>
        </is>
      </c>
      <c r="Q2533" s="19" t="inlineStr"/>
      <c r="R2533" s="18">
        <f>IF(Q2533="",P2533,Q2533)</f>
        <v/>
      </c>
      <c r="S2533" s="18" t="inlineStr">
        <is>
          <t>#cobblemon:is_volcanic</t>
        </is>
      </c>
      <c r="T2533" s="18" t="inlineStr">
        <is>
          <t>common</t>
        </is>
      </c>
      <c r="U2533" s="20" t="n">
        <v>9.9</v>
      </c>
      <c r="V2533" s="21" t="n">
        <v>1</v>
      </c>
      <c r="W2533" s="20">
        <f>IF(OR(U2533="",V2533=""),U2533,U2533*V2533)</f>
        <v/>
      </c>
      <c r="X2533" s="18" t="inlineStr">
        <is>
          <t>7-32</t>
        </is>
      </c>
      <c r="Y2533" s="19" t="inlineStr"/>
      <c r="Z2533" s="18">
        <f>IF(Y2533="",X2533,Y2533)</f>
        <v/>
      </c>
      <c r="AA2533" s="18" t="inlineStr">
        <is>
          <t>grounded</t>
        </is>
      </c>
      <c r="AB2533" s="18" t="inlineStr"/>
      <c r="AC2533" s="18" t="inlineStr"/>
      <c r="AD2533" s="18" t="inlineStr"/>
      <c r="AE2533" s="18" t="inlineStr">
        <is>
          <t>sky 0-7</t>
        </is>
      </c>
      <c r="AF2533" s="18" t="inlineStr"/>
      <c r="AG2533" s="18" t="inlineStr"/>
      <c r="AH2533" s="18" t="inlineStr">
        <is>
          <t>주변=minecraft:lava</t>
        </is>
      </c>
      <c r="AI2533" s="18" t="inlineStr"/>
      <c r="AJ2533" s="18" t="inlineStr">
        <is>
          <t>Cobblemon 동일</t>
        </is>
      </c>
      <c r="AK2533" s="18" t="inlineStr">
        <is>
          <t>사용</t>
        </is>
      </c>
      <c r="AL2533" s="18" t="inlineStr">
        <is>
          <t>COBBLEVERSE 1.7.42 / DP v31</t>
        </is>
      </c>
      <c r="AM2533" s="18" t="inlineStr">
        <is>
          <t>data/cobblemon/spawn_pool_world/0757_salandit.json</t>
        </is>
      </c>
      <c r="AN2533" s="18" t="inlineStr">
        <is>
          <t>salandit-2</t>
        </is>
      </c>
      <c r="AO2533" s="18" t="inlineStr">
        <is>
          <t>pokemon</t>
        </is>
      </c>
      <c r="AP2533" s="18" t="inlineStr">
        <is>
          <t>natural</t>
        </is>
      </c>
      <c r="AQ2533" s="18" t="inlineStr">
        <is>
          <t>{"biomes":["#cobblemon:is_badlands","#cobblemon:is_mountain"],"maxSkyLight":7,"minSkyLight":0,"neededNearbyBlocks":["minecraft:lava"]}</t>
        </is>
      </c>
      <c r="AR2533" s="18" t="inlineStr">
        <is>
          <t>{"biomes":["#cobblemon:is_volcanic"]}</t>
        </is>
      </c>
      <c r="AS2533" s="18" t="inlineStr"/>
      <c r="AT2533" s="19" t="inlineStr"/>
    </row>
    <row r="2534" ht="32" customHeight="1">
      <c r="A2534" s="18" t="inlineStr">
        <is>
          <t>0757_salandit.json::salandit-3::003</t>
        </is>
      </c>
      <c r="B2534" s="19" t="inlineStr">
        <is>
          <t>사용</t>
        </is>
      </c>
      <c r="C2534" s="18">
        <f>IF(OR(B2534&lt;&gt;AK2534,M2534&lt;&gt;L2534,O2534&lt;&gt;"",Q2534&lt;&gt;"",V2534&lt;&gt;1,Y2534&lt;&gt;"",AT2534&lt;&gt;""),"수정","원본")</f>
        <v/>
      </c>
      <c r="D2534" s="18" t="n">
        <v>757</v>
      </c>
      <c r="E2534" s="18" t="inlineStr">
        <is>
          <t>야도뇽</t>
        </is>
      </c>
      <c r="F2534" s="18" t="inlineStr">
        <is>
          <t>salandit</t>
        </is>
      </c>
      <c r="G2534" s="18" t="inlineStr">
        <is>
          <t>salandit</t>
        </is>
      </c>
      <c r="H2534" s="18" t="inlineStr"/>
      <c r="I2534" s="18" t="n">
        <v>7</v>
      </c>
      <c r="J2534" s="18" t="n"/>
      <c r="K2534" s="18" t="n">
        <v>7</v>
      </c>
      <c r="L2534" s="18" t="inlineStr">
        <is>
          <t>cobbleventure:generation_7</t>
        </is>
      </c>
      <c r="M2534" s="19" t="inlineStr">
        <is>
          <t>cobbleventure:generation_7</t>
        </is>
      </c>
      <c r="N2534" s="18" t="inlineStr"/>
      <c r="O2534" s="19" t="inlineStr"/>
      <c r="P2534" s="18" t="inlineStr">
        <is>
          <t>#cobblemon:nether/is_basalt</t>
        </is>
      </c>
      <c r="Q2534" s="19" t="inlineStr"/>
      <c r="R2534" s="18">
        <f>IF(Q2534="",P2534,Q2534)</f>
        <v/>
      </c>
      <c r="S2534" s="18" t="inlineStr"/>
      <c r="T2534" s="18" t="inlineStr">
        <is>
          <t>common</t>
        </is>
      </c>
      <c r="U2534" s="20" t="n">
        <v>9.9</v>
      </c>
      <c r="V2534" s="21" t="n">
        <v>1</v>
      </c>
      <c r="W2534" s="20">
        <f>IF(OR(U2534="",V2534=""),U2534,U2534*V2534)</f>
        <v/>
      </c>
      <c r="X2534" s="18" t="inlineStr">
        <is>
          <t>7-32</t>
        </is>
      </c>
      <c r="Y2534" s="19" t="inlineStr"/>
      <c r="Z2534" s="18">
        <f>IF(Y2534="",X2534,Y2534)</f>
        <v/>
      </c>
      <c r="AA2534" s="18" t="inlineStr">
        <is>
          <t>grounded</t>
        </is>
      </c>
      <c r="AB2534" s="18" t="inlineStr"/>
      <c r="AC2534" s="18" t="inlineStr"/>
      <c r="AD2534" s="18" t="inlineStr"/>
      <c r="AE2534" s="18" t="inlineStr"/>
      <c r="AF2534" s="18" t="inlineStr"/>
      <c r="AG2534" s="18" t="inlineStr"/>
      <c r="AH2534" s="18" t="inlineStr"/>
      <c r="AI2534" s="18" t="inlineStr"/>
      <c r="AJ2534" s="18" t="inlineStr">
        <is>
          <t>Cobblemon 동일</t>
        </is>
      </c>
      <c r="AK2534" s="18" t="inlineStr">
        <is>
          <t>사용</t>
        </is>
      </c>
      <c r="AL2534" s="18" t="inlineStr">
        <is>
          <t>COBBLEVERSE 1.7.42 / DP v31</t>
        </is>
      </c>
      <c r="AM2534" s="18" t="inlineStr">
        <is>
          <t>data/cobblemon/spawn_pool_world/0757_salandit.json</t>
        </is>
      </c>
      <c r="AN2534" s="18" t="inlineStr">
        <is>
          <t>salandit-3</t>
        </is>
      </c>
      <c r="AO2534" s="18" t="inlineStr">
        <is>
          <t>pokemon</t>
        </is>
      </c>
      <c r="AP2534" s="18" t="inlineStr">
        <is>
          <t>natural</t>
        </is>
      </c>
      <c r="AQ2534" s="18" t="inlineStr">
        <is>
          <t>{"biomes":["#cobblemon:nether/is_basalt"]}</t>
        </is>
      </c>
      <c r="AR2534" s="18" t="inlineStr"/>
      <c r="AS2534" s="18" t="inlineStr"/>
      <c r="AT2534" s="19" t="inlineStr"/>
    </row>
    <row r="2535" ht="32" customHeight="1">
      <c r="A2535" s="18" t="inlineStr">
        <is>
          <t>0757_salandit.json::salandit-4::004</t>
        </is>
      </c>
      <c r="B2535" s="19" t="inlineStr">
        <is>
          <t>사용</t>
        </is>
      </c>
      <c r="C2535" s="18">
        <f>IF(OR(B2535&lt;&gt;AK2535,M2535&lt;&gt;L2535,O2535&lt;&gt;"",Q2535&lt;&gt;"",V2535&lt;&gt;1,Y2535&lt;&gt;"",AT2535&lt;&gt;""),"수정","원본")</f>
        <v/>
      </c>
      <c r="D2535" s="18" t="n">
        <v>757</v>
      </c>
      <c r="E2535" s="18" t="inlineStr">
        <is>
          <t>야도뇽</t>
        </is>
      </c>
      <c r="F2535" s="18" t="inlineStr">
        <is>
          <t>salandit</t>
        </is>
      </c>
      <c r="G2535" s="18" t="inlineStr">
        <is>
          <t>salandit</t>
        </is>
      </c>
      <c r="H2535" s="18" t="inlineStr"/>
      <c r="I2535" s="18" t="n">
        <v>7</v>
      </c>
      <c r="J2535" s="18" t="n"/>
      <c r="K2535" s="18" t="n">
        <v>7</v>
      </c>
      <c r="L2535" s="18" t="inlineStr">
        <is>
          <t>cobbleventure:generation_7</t>
        </is>
      </c>
      <c r="M2535" s="19" t="inlineStr">
        <is>
          <t>cobbleventure:generation_7</t>
        </is>
      </c>
      <c r="N2535" s="18" t="inlineStr"/>
      <c r="O2535" s="19" t="inlineStr"/>
      <c r="P2535" s="18" t="inlineStr">
        <is>
          <t>#cobblemon:nether/is_desert</t>
        </is>
      </c>
      <c r="Q2535" s="19" t="inlineStr"/>
      <c r="R2535" s="18">
        <f>IF(Q2535="",P2535,Q2535)</f>
        <v/>
      </c>
      <c r="S2535" s="18" t="inlineStr"/>
      <c r="T2535" s="18" t="inlineStr">
        <is>
          <t>common</t>
        </is>
      </c>
      <c r="U2535" s="20" t="n">
        <v>5.94</v>
      </c>
      <c r="V2535" s="21" t="n">
        <v>1</v>
      </c>
      <c r="W2535" s="20">
        <f>IF(OR(U2535="",V2535=""),U2535,U2535*V2535)</f>
        <v/>
      </c>
      <c r="X2535" s="18" t="inlineStr">
        <is>
          <t>7-32</t>
        </is>
      </c>
      <c r="Y2535" s="19" t="inlineStr"/>
      <c r="Z2535" s="18">
        <f>IF(Y2535="",X2535,Y2535)</f>
        <v/>
      </c>
      <c r="AA2535" s="18" t="inlineStr">
        <is>
          <t>grounded</t>
        </is>
      </c>
      <c r="AB2535" s="18" t="inlineStr"/>
      <c r="AC2535" s="18" t="inlineStr"/>
      <c r="AD2535" s="18" t="inlineStr"/>
      <c r="AE2535" s="18" t="inlineStr"/>
      <c r="AF2535" s="18" t="inlineStr"/>
      <c r="AG2535" s="18" t="inlineStr"/>
      <c r="AH2535" s="18" t="inlineStr"/>
      <c r="AI2535" s="18" t="inlineStr"/>
      <c r="AJ2535" s="18" t="inlineStr">
        <is>
          <t>Cobblemon 동일</t>
        </is>
      </c>
      <c r="AK2535" s="18" t="inlineStr">
        <is>
          <t>사용</t>
        </is>
      </c>
      <c r="AL2535" s="18" t="inlineStr">
        <is>
          <t>COBBLEVERSE 1.7.42 / DP v31</t>
        </is>
      </c>
      <c r="AM2535" s="18" t="inlineStr">
        <is>
          <t>data/cobblemon/spawn_pool_world/0757_salandit.json</t>
        </is>
      </c>
      <c r="AN2535" s="18" t="inlineStr">
        <is>
          <t>salandit-4</t>
        </is>
      </c>
      <c r="AO2535" s="18" t="inlineStr">
        <is>
          <t>pokemon</t>
        </is>
      </c>
      <c r="AP2535" s="18" t="inlineStr">
        <is>
          <t>natural</t>
        </is>
      </c>
      <c r="AQ2535" s="18" t="inlineStr">
        <is>
          <t>{"biomes":["#cobblemon:nether/is_desert"]}</t>
        </is>
      </c>
      <c r="AR2535" s="18" t="inlineStr"/>
      <c r="AS2535" s="18" t="inlineStr"/>
      <c r="AT2535" s="19" t="inlineStr"/>
    </row>
    <row r="2536" ht="32" customHeight="1">
      <c r="A2536" s="18" t="inlineStr">
        <is>
          <t>0758_salazzle.json::salazzle-1::001</t>
        </is>
      </c>
      <c r="B2536" s="19" t="inlineStr">
        <is>
          <t>사용</t>
        </is>
      </c>
      <c r="C2536" s="18">
        <f>IF(OR(B2536&lt;&gt;AK2536,M2536&lt;&gt;L2536,O2536&lt;&gt;"",Q2536&lt;&gt;"",V2536&lt;&gt;1,Y2536&lt;&gt;"",AT2536&lt;&gt;""),"수정","원본")</f>
        <v/>
      </c>
      <c r="D2536" s="18" t="n">
        <v>758</v>
      </c>
      <c r="E2536" s="18" t="inlineStr">
        <is>
          <t>염뉴트</t>
        </is>
      </c>
      <c r="F2536" s="18" t="inlineStr">
        <is>
          <t>salazzle</t>
        </is>
      </c>
      <c r="G2536" s="18" t="inlineStr">
        <is>
          <t>salazzle</t>
        </is>
      </c>
      <c r="H2536" s="18" t="inlineStr"/>
      <c r="I2536" s="18" t="n">
        <v>7</v>
      </c>
      <c r="J2536" s="18" t="n"/>
      <c r="K2536" s="18" t="n">
        <v>7</v>
      </c>
      <c r="L2536" s="18" t="inlineStr">
        <is>
          <t>cobbleventure:generation_7</t>
        </is>
      </c>
      <c r="M2536" s="19" t="inlineStr">
        <is>
          <t>cobbleventure:generation_7</t>
        </is>
      </c>
      <c r="N2536" s="18" t="inlineStr"/>
      <c r="O2536" s="19" t="inlineStr"/>
      <c r="P2536" s="18" t="inlineStr">
        <is>
          <t>#cobblemon:is_volcanic</t>
        </is>
      </c>
      <c r="Q2536" s="19" t="inlineStr"/>
      <c r="R2536" s="18">
        <f>IF(Q2536="",P2536,Q2536)</f>
        <v/>
      </c>
      <c r="S2536" s="18" t="inlineStr"/>
      <c r="T2536" s="18" t="inlineStr">
        <is>
          <t>common</t>
        </is>
      </c>
      <c r="U2536" s="20" t="n">
        <v>0.1</v>
      </c>
      <c r="V2536" s="21" t="n">
        <v>1</v>
      </c>
      <c r="W2536" s="20">
        <f>IF(OR(U2536="",V2536=""),U2536,U2536*V2536)</f>
        <v/>
      </c>
      <c r="X2536" s="18" t="inlineStr">
        <is>
          <t>33-48</t>
        </is>
      </c>
      <c r="Y2536" s="19" t="inlineStr"/>
      <c r="Z2536" s="18">
        <f>IF(Y2536="",X2536,Y2536)</f>
        <v/>
      </c>
      <c r="AA2536" s="18" t="inlineStr">
        <is>
          <t>grounded</t>
        </is>
      </c>
      <c r="AB2536" s="18" t="inlineStr"/>
      <c r="AC2536" s="18" t="inlineStr"/>
      <c r="AD2536" s="18" t="inlineStr"/>
      <c r="AE2536" s="18" t="inlineStr"/>
      <c r="AF2536" s="18" t="inlineStr"/>
      <c r="AG2536" s="18" t="inlineStr"/>
      <c r="AH2536" s="18" t="inlineStr"/>
      <c r="AI2536" s="18" t="inlineStr"/>
      <c r="AJ2536" s="18" t="inlineStr">
        <is>
          <t>Cobblemon 동일</t>
        </is>
      </c>
      <c r="AK2536" s="18" t="inlineStr">
        <is>
          <t>사용</t>
        </is>
      </c>
      <c r="AL2536" s="18" t="inlineStr">
        <is>
          <t>COBBLEVERSE 1.7.42 / DP v31</t>
        </is>
      </c>
      <c r="AM2536" s="18" t="inlineStr">
        <is>
          <t>data/cobblemon/spawn_pool_world/0758_salazzle.json</t>
        </is>
      </c>
      <c r="AN2536" s="18" t="inlineStr">
        <is>
          <t>salazzle-1</t>
        </is>
      </c>
      <c r="AO2536" s="18" t="inlineStr">
        <is>
          <t>pokemon</t>
        </is>
      </c>
      <c r="AP2536" s="18" t="inlineStr">
        <is>
          <t>natural</t>
        </is>
      </c>
      <c r="AQ2536" s="18" t="inlineStr">
        <is>
          <t>{"biomes":["#cobblemon:is_volcanic"]}</t>
        </is>
      </c>
      <c r="AR2536" s="18" t="inlineStr"/>
      <c r="AS2536" s="18" t="inlineStr"/>
      <c r="AT2536" s="19" t="inlineStr"/>
    </row>
    <row r="2537" ht="32" customHeight="1">
      <c r="A2537" s="18" t="inlineStr">
        <is>
          <t>0758_salazzle.json::salazzle-2::002</t>
        </is>
      </c>
      <c r="B2537" s="19" t="inlineStr">
        <is>
          <t>사용</t>
        </is>
      </c>
      <c r="C2537" s="18">
        <f>IF(OR(B2537&lt;&gt;AK2537,M2537&lt;&gt;L2537,O2537&lt;&gt;"",Q2537&lt;&gt;"",V2537&lt;&gt;1,Y2537&lt;&gt;"",AT2537&lt;&gt;""),"수정","원본")</f>
        <v/>
      </c>
      <c r="D2537" s="18" t="n">
        <v>758</v>
      </c>
      <c r="E2537" s="18" t="inlineStr">
        <is>
          <t>염뉴트</t>
        </is>
      </c>
      <c r="F2537" s="18" t="inlineStr">
        <is>
          <t>salazzle</t>
        </is>
      </c>
      <c r="G2537" s="18" t="inlineStr">
        <is>
          <t>salazzle</t>
        </is>
      </c>
      <c r="H2537" s="18" t="inlineStr"/>
      <c r="I2537" s="18" t="n">
        <v>7</v>
      </c>
      <c r="J2537" s="18" t="n"/>
      <c r="K2537" s="18" t="n">
        <v>7</v>
      </c>
      <c r="L2537" s="18" t="inlineStr">
        <is>
          <t>cobbleventure:generation_7</t>
        </is>
      </c>
      <c r="M2537" s="19" t="inlineStr">
        <is>
          <t>cobbleventure:generation_7</t>
        </is>
      </c>
      <c r="N2537" s="18" t="inlineStr"/>
      <c r="O2537" s="19" t="inlineStr"/>
      <c r="P2537" s="18" t="inlineStr">
        <is>
          <t>#cobblemon:is_badlands; #cobblemon:is_mountain</t>
        </is>
      </c>
      <c r="Q2537" s="19" t="inlineStr"/>
      <c r="R2537" s="18">
        <f>IF(Q2537="",P2537,Q2537)</f>
        <v/>
      </c>
      <c r="S2537" s="18" t="inlineStr">
        <is>
          <t>#cobblemon:is_volcanic</t>
        </is>
      </c>
      <c r="T2537" s="18" t="inlineStr">
        <is>
          <t>common</t>
        </is>
      </c>
      <c r="U2537" s="20" t="n">
        <v>0.1</v>
      </c>
      <c r="V2537" s="21" t="n">
        <v>1</v>
      </c>
      <c r="W2537" s="20">
        <f>IF(OR(U2537="",V2537=""),U2537,U2537*V2537)</f>
        <v/>
      </c>
      <c r="X2537" s="18" t="inlineStr">
        <is>
          <t>33-48</t>
        </is>
      </c>
      <c r="Y2537" s="19" t="inlineStr"/>
      <c r="Z2537" s="18">
        <f>IF(Y2537="",X2537,Y2537)</f>
        <v/>
      </c>
      <c r="AA2537" s="18" t="inlineStr">
        <is>
          <t>grounded</t>
        </is>
      </c>
      <c r="AB2537" s="18" t="inlineStr"/>
      <c r="AC2537" s="18" t="inlineStr"/>
      <c r="AD2537" s="18" t="inlineStr"/>
      <c r="AE2537" s="18" t="inlineStr">
        <is>
          <t>sky 0-7</t>
        </is>
      </c>
      <c r="AF2537" s="18" t="inlineStr"/>
      <c r="AG2537" s="18" t="inlineStr"/>
      <c r="AH2537" s="18" t="inlineStr">
        <is>
          <t>주변=minecraft:lava</t>
        </is>
      </c>
      <c r="AI2537" s="18" t="inlineStr"/>
      <c r="AJ2537" s="18" t="inlineStr">
        <is>
          <t>Cobblemon 동일</t>
        </is>
      </c>
      <c r="AK2537" s="18" t="inlineStr">
        <is>
          <t>사용</t>
        </is>
      </c>
      <c r="AL2537" s="18" t="inlineStr">
        <is>
          <t>COBBLEVERSE 1.7.42 / DP v31</t>
        </is>
      </c>
      <c r="AM2537" s="18" t="inlineStr">
        <is>
          <t>data/cobblemon/spawn_pool_world/0758_salazzle.json</t>
        </is>
      </c>
      <c r="AN2537" s="18" t="inlineStr">
        <is>
          <t>salazzle-2</t>
        </is>
      </c>
      <c r="AO2537" s="18" t="inlineStr">
        <is>
          <t>pokemon</t>
        </is>
      </c>
      <c r="AP2537" s="18" t="inlineStr">
        <is>
          <t>natural</t>
        </is>
      </c>
      <c r="AQ2537" s="18" t="inlineStr">
        <is>
          <t>{"biomes":["#cobblemon:is_badlands","#cobblemon:is_mountain"],"maxSkyLight":7,"minSkyLight":0,"neededNearbyBlocks":["minecraft:lava"]}</t>
        </is>
      </c>
      <c r="AR2537" s="18" t="inlineStr">
        <is>
          <t>{"biomes":["#cobblemon:is_volcanic"]}</t>
        </is>
      </c>
      <c r="AS2537" s="18" t="inlineStr"/>
      <c r="AT2537" s="19" t="inlineStr"/>
    </row>
    <row r="2538" ht="32" customHeight="1">
      <c r="A2538" s="18" t="inlineStr">
        <is>
          <t>0758_salazzle.json::salazzle-3::003</t>
        </is>
      </c>
      <c r="B2538" s="19" t="inlineStr">
        <is>
          <t>사용</t>
        </is>
      </c>
      <c r="C2538" s="18">
        <f>IF(OR(B2538&lt;&gt;AK2538,M2538&lt;&gt;L2538,O2538&lt;&gt;"",Q2538&lt;&gt;"",V2538&lt;&gt;1,Y2538&lt;&gt;"",AT2538&lt;&gt;""),"수정","원본")</f>
        <v/>
      </c>
      <c r="D2538" s="18" t="n">
        <v>758</v>
      </c>
      <c r="E2538" s="18" t="inlineStr">
        <is>
          <t>염뉴트</t>
        </is>
      </c>
      <c r="F2538" s="18" t="inlineStr">
        <is>
          <t>salazzle</t>
        </is>
      </c>
      <c r="G2538" s="18" t="inlineStr">
        <is>
          <t>salazzle</t>
        </is>
      </c>
      <c r="H2538" s="18" t="inlineStr"/>
      <c r="I2538" s="18" t="n">
        <v>7</v>
      </c>
      <c r="J2538" s="18" t="n"/>
      <c r="K2538" s="18" t="n">
        <v>7</v>
      </c>
      <c r="L2538" s="18" t="inlineStr">
        <is>
          <t>cobbleventure:generation_7</t>
        </is>
      </c>
      <c r="M2538" s="19" t="inlineStr">
        <is>
          <t>cobbleventure:generation_7</t>
        </is>
      </c>
      <c r="N2538" s="18" t="inlineStr"/>
      <c r="O2538" s="19" t="inlineStr"/>
      <c r="P2538" s="18" t="inlineStr">
        <is>
          <t>#cobblemon:nether/is_basalt</t>
        </is>
      </c>
      <c r="Q2538" s="19" t="inlineStr"/>
      <c r="R2538" s="18">
        <f>IF(Q2538="",P2538,Q2538)</f>
        <v/>
      </c>
      <c r="S2538" s="18" t="inlineStr"/>
      <c r="T2538" s="18" t="inlineStr">
        <is>
          <t>common</t>
        </is>
      </c>
      <c r="U2538" s="20" t="n">
        <v>0.1</v>
      </c>
      <c r="V2538" s="21" t="n">
        <v>1</v>
      </c>
      <c r="W2538" s="20">
        <f>IF(OR(U2538="",V2538=""),U2538,U2538*V2538)</f>
        <v/>
      </c>
      <c r="X2538" s="18" t="inlineStr">
        <is>
          <t>33-48</t>
        </is>
      </c>
      <c r="Y2538" s="19" t="inlineStr"/>
      <c r="Z2538" s="18">
        <f>IF(Y2538="",X2538,Y2538)</f>
        <v/>
      </c>
      <c r="AA2538" s="18" t="inlineStr">
        <is>
          <t>grounded</t>
        </is>
      </c>
      <c r="AB2538" s="18" t="inlineStr"/>
      <c r="AC2538" s="18" t="inlineStr"/>
      <c r="AD2538" s="18" t="inlineStr"/>
      <c r="AE2538" s="18" t="inlineStr"/>
      <c r="AF2538" s="18" t="inlineStr"/>
      <c r="AG2538" s="18" t="inlineStr"/>
      <c r="AH2538" s="18" t="inlineStr"/>
      <c r="AI2538" s="18" t="inlineStr"/>
      <c r="AJ2538" s="18" t="inlineStr">
        <is>
          <t>Cobblemon 동일</t>
        </is>
      </c>
      <c r="AK2538" s="18" t="inlineStr">
        <is>
          <t>사용</t>
        </is>
      </c>
      <c r="AL2538" s="18" t="inlineStr">
        <is>
          <t>COBBLEVERSE 1.7.42 / DP v31</t>
        </is>
      </c>
      <c r="AM2538" s="18" t="inlineStr">
        <is>
          <t>data/cobblemon/spawn_pool_world/0758_salazzle.json</t>
        </is>
      </c>
      <c r="AN2538" s="18" t="inlineStr">
        <is>
          <t>salazzle-3</t>
        </is>
      </c>
      <c r="AO2538" s="18" t="inlineStr">
        <is>
          <t>pokemon</t>
        </is>
      </c>
      <c r="AP2538" s="18" t="inlineStr">
        <is>
          <t>natural</t>
        </is>
      </c>
      <c r="AQ2538" s="18" t="inlineStr">
        <is>
          <t>{"biomes":["#cobblemon:nether/is_basalt"]}</t>
        </is>
      </c>
      <c r="AR2538" s="18" t="inlineStr"/>
      <c r="AS2538" s="18" t="inlineStr"/>
      <c r="AT2538" s="19" t="inlineStr"/>
    </row>
    <row r="2539" ht="32" customHeight="1">
      <c r="A2539" s="18" t="inlineStr">
        <is>
          <t>0758_salazzle.json::salazzle-4::004</t>
        </is>
      </c>
      <c r="B2539" s="19" t="inlineStr">
        <is>
          <t>사용</t>
        </is>
      </c>
      <c r="C2539" s="18">
        <f>IF(OR(B2539&lt;&gt;AK2539,M2539&lt;&gt;L2539,O2539&lt;&gt;"",Q2539&lt;&gt;"",V2539&lt;&gt;1,Y2539&lt;&gt;"",AT2539&lt;&gt;""),"수정","원본")</f>
        <v/>
      </c>
      <c r="D2539" s="18" t="n">
        <v>758</v>
      </c>
      <c r="E2539" s="18" t="inlineStr">
        <is>
          <t>염뉴트</t>
        </is>
      </c>
      <c r="F2539" s="18" t="inlineStr">
        <is>
          <t>salazzle</t>
        </is>
      </c>
      <c r="G2539" s="18" t="inlineStr">
        <is>
          <t>salazzle</t>
        </is>
      </c>
      <c r="H2539" s="18" t="inlineStr"/>
      <c r="I2539" s="18" t="n">
        <v>7</v>
      </c>
      <c r="J2539" s="18" t="n"/>
      <c r="K2539" s="18" t="n">
        <v>7</v>
      </c>
      <c r="L2539" s="18" t="inlineStr">
        <is>
          <t>cobbleventure:generation_7</t>
        </is>
      </c>
      <c r="M2539" s="19" t="inlineStr">
        <is>
          <t>cobbleventure:generation_7</t>
        </is>
      </c>
      <c r="N2539" s="18" t="inlineStr"/>
      <c r="O2539" s="19" t="inlineStr"/>
      <c r="P2539" s="18" t="inlineStr">
        <is>
          <t>#cobblemon:nether/is_desert</t>
        </is>
      </c>
      <c r="Q2539" s="19" t="inlineStr"/>
      <c r="R2539" s="18">
        <f>IF(Q2539="",P2539,Q2539)</f>
        <v/>
      </c>
      <c r="S2539" s="18" t="inlineStr"/>
      <c r="T2539" s="18" t="inlineStr">
        <is>
          <t>common</t>
        </is>
      </c>
      <c r="U2539" s="20" t="n">
        <v>0.06</v>
      </c>
      <c r="V2539" s="21" t="n">
        <v>1</v>
      </c>
      <c r="W2539" s="20">
        <f>IF(OR(U2539="",V2539=""),U2539,U2539*V2539)</f>
        <v/>
      </c>
      <c r="X2539" s="18" t="inlineStr">
        <is>
          <t>33-48</t>
        </is>
      </c>
      <c r="Y2539" s="19" t="inlineStr"/>
      <c r="Z2539" s="18">
        <f>IF(Y2539="",X2539,Y2539)</f>
        <v/>
      </c>
      <c r="AA2539" s="18" t="inlineStr">
        <is>
          <t>grounded</t>
        </is>
      </c>
      <c r="AB2539" s="18" t="inlineStr"/>
      <c r="AC2539" s="18" t="inlineStr"/>
      <c r="AD2539" s="18" t="inlineStr"/>
      <c r="AE2539" s="18" t="inlineStr"/>
      <c r="AF2539" s="18" t="inlineStr"/>
      <c r="AG2539" s="18" t="inlineStr"/>
      <c r="AH2539" s="18" t="inlineStr"/>
      <c r="AI2539" s="18" t="inlineStr"/>
      <c r="AJ2539" s="18" t="inlineStr">
        <is>
          <t>Cobblemon 동일</t>
        </is>
      </c>
      <c r="AK2539" s="18" t="inlineStr">
        <is>
          <t>사용</t>
        </is>
      </c>
      <c r="AL2539" s="18" t="inlineStr">
        <is>
          <t>COBBLEVERSE 1.7.42 / DP v31</t>
        </is>
      </c>
      <c r="AM2539" s="18" t="inlineStr">
        <is>
          <t>data/cobblemon/spawn_pool_world/0758_salazzle.json</t>
        </is>
      </c>
      <c r="AN2539" s="18" t="inlineStr">
        <is>
          <t>salazzle-4</t>
        </is>
      </c>
      <c r="AO2539" s="18" t="inlineStr">
        <is>
          <t>pokemon</t>
        </is>
      </c>
      <c r="AP2539" s="18" t="inlineStr">
        <is>
          <t>natural</t>
        </is>
      </c>
      <c r="AQ2539" s="18" t="inlineStr">
        <is>
          <t>{"biomes":["#cobblemon:nether/is_desert"]}</t>
        </is>
      </c>
      <c r="AR2539" s="18" t="inlineStr"/>
      <c r="AS2539" s="18" t="inlineStr"/>
      <c r="AT2539" s="19" t="inlineStr"/>
    </row>
    <row r="2540" ht="32" customHeight="1">
      <c r="A2540" s="18" t="inlineStr">
        <is>
          <t>0759_stufful.json::stufful-1::001</t>
        </is>
      </c>
      <c r="B2540" s="19" t="inlineStr">
        <is>
          <t>사용</t>
        </is>
      </c>
      <c r="C2540" s="18">
        <f>IF(OR(B2540&lt;&gt;AK2540,M2540&lt;&gt;L2540,O2540&lt;&gt;"",Q2540&lt;&gt;"",V2540&lt;&gt;1,Y2540&lt;&gt;"",AT2540&lt;&gt;""),"수정","원본")</f>
        <v/>
      </c>
      <c r="D2540" s="18" t="n">
        <v>759</v>
      </c>
      <c r="E2540" s="18" t="inlineStr">
        <is>
          <t>포곰곰</t>
        </is>
      </c>
      <c r="F2540" s="18" t="inlineStr">
        <is>
          <t>stufful</t>
        </is>
      </c>
      <c r="G2540" s="18" t="inlineStr">
        <is>
          <t>stufful</t>
        </is>
      </c>
      <c r="H2540" s="18" t="inlineStr"/>
      <c r="I2540" s="18" t="n">
        <v>7</v>
      </c>
      <c r="J2540" s="18" t="n"/>
      <c r="K2540" s="18" t="n">
        <v>7</v>
      </c>
      <c r="L2540" s="18" t="inlineStr">
        <is>
          <t>cobbleventure:generation_7</t>
        </is>
      </c>
      <c r="M2540" s="19" t="inlineStr">
        <is>
          <t>cobbleventure:generation_7</t>
        </is>
      </c>
      <c r="N2540" s="18" t="inlineStr"/>
      <c r="O2540" s="19" t="inlineStr"/>
      <c r="P2540" s="18" t="inlineStr">
        <is>
          <t>#cobblemon:is_bamboo</t>
        </is>
      </c>
      <c r="Q2540" s="19" t="inlineStr"/>
      <c r="R2540" s="18">
        <f>IF(Q2540="",P2540,Q2540)</f>
        <v/>
      </c>
      <c r="S2540" s="18" t="inlineStr"/>
      <c r="T2540" s="18" t="inlineStr">
        <is>
          <t>common</t>
        </is>
      </c>
      <c r="U2540" s="20" t="n">
        <v>9</v>
      </c>
      <c r="V2540" s="21" t="n">
        <v>1</v>
      </c>
      <c r="W2540" s="20">
        <f>IF(OR(U2540="",V2540=""),U2540,U2540*V2540)</f>
        <v/>
      </c>
      <c r="X2540" s="18" t="inlineStr">
        <is>
          <t>9-34</t>
        </is>
      </c>
      <c r="Y2540" s="19" t="inlineStr"/>
      <c r="Z2540" s="18">
        <f>IF(Y2540="",X2540,Y2540)</f>
        <v/>
      </c>
      <c r="AA2540" s="18" t="inlineStr">
        <is>
          <t>grounded</t>
        </is>
      </c>
      <c r="AB2540" s="18" t="inlineStr"/>
      <c r="AC2540" s="18" t="inlineStr"/>
      <c r="AD2540" s="18" t="inlineStr"/>
      <c r="AE2540" s="18" t="inlineStr">
        <is>
          <t>sky 8-15</t>
        </is>
      </c>
      <c r="AF2540" s="18" t="inlineStr"/>
      <c r="AG2540" s="18" t="inlineStr"/>
      <c r="AH2540" s="18" t="inlineStr"/>
      <c r="AI2540" s="18" t="inlineStr"/>
      <c r="AJ2540" s="18" t="inlineStr">
        <is>
          <t>Cobblemon 동일</t>
        </is>
      </c>
      <c r="AK2540" s="18" t="inlineStr">
        <is>
          <t>사용</t>
        </is>
      </c>
      <c r="AL2540" s="18" t="inlineStr">
        <is>
          <t>COBBLEVERSE 1.7.42 / DP v31</t>
        </is>
      </c>
      <c r="AM2540" s="18" t="inlineStr">
        <is>
          <t>data/cobblemon/spawn_pool_world/0759_stufful.json</t>
        </is>
      </c>
      <c r="AN2540" s="18" t="inlineStr">
        <is>
          <t>stufful-1</t>
        </is>
      </c>
      <c r="AO2540" s="18" t="inlineStr">
        <is>
          <t>pokemon</t>
        </is>
      </c>
      <c r="AP2540" s="18" t="inlineStr">
        <is>
          <t>natural</t>
        </is>
      </c>
      <c r="AQ2540" s="18" t="inlineStr">
        <is>
          <t>{"biomes":["#cobblemon:is_bamboo"],"maxSkyLight":15,"minSkyLight":8}</t>
        </is>
      </c>
      <c r="AR2540" s="18" t="inlineStr"/>
      <c r="AS2540" s="18" t="inlineStr"/>
      <c r="AT2540" s="19" t="inlineStr"/>
    </row>
    <row r="2541" ht="32" customHeight="1">
      <c r="A2541" s="18" t="inlineStr">
        <is>
          <t>0760_bewear.json::bewear-1::001</t>
        </is>
      </c>
      <c r="B2541" s="19" t="inlineStr">
        <is>
          <t>사용</t>
        </is>
      </c>
      <c r="C2541" s="18">
        <f>IF(OR(B2541&lt;&gt;AK2541,M2541&lt;&gt;L2541,O2541&lt;&gt;"",Q2541&lt;&gt;"",V2541&lt;&gt;1,Y2541&lt;&gt;"",AT2541&lt;&gt;""),"수정","원본")</f>
        <v/>
      </c>
      <c r="D2541" s="18" t="n">
        <v>760</v>
      </c>
      <c r="E2541" s="18" t="inlineStr">
        <is>
          <t>이븐곰</t>
        </is>
      </c>
      <c r="F2541" s="18" t="inlineStr">
        <is>
          <t>bewear</t>
        </is>
      </c>
      <c r="G2541" s="18" t="inlineStr">
        <is>
          <t>bewear</t>
        </is>
      </c>
      <c r="H2541" s="18" t="inlineStr"/>
      <c r="I2541" s="18" t="n">
        <v>7</v>
      </c>
      <c r="J2541" s="18" t="n"/>
      <c r="K2541" s="18" t="n">
        <v>7</v>
      </c>
      <c r="L2541" s="18" t="inlineStr">
        <is>
          <t>cobbleventure:generation_7</t>
        </is>
      </c>
      <c r="M2541" s="19" t="inlineStr">
        <is>
          <t>cobbleventure:generation_7</t>
        </is>
      </c>
      <c r="N2541" s="18" t="inlineStr"/>
      <c r="O2541" s="19" t="inlineStr"/>
      <c r="P2541" s="18" t="inlineStr">
        <is>
          <t>#cobblemon:is_bamboo</t>
        </is>
      </c>
      <c r="Q2541" s="19" t="inlineStr"/>
      <c r="R2541" s="18">
        <f>IF(Q2541="",P2541,Q2541)</f>
        <v/>
      </c>
      <c r="S2541" s="18" t="inlineStr"/>
      <c r="T2541" s="18" t="inlineStr">
        <is>
          <t>common</t>
        </is>
      </c>
      <c r="U2541" s="20" t="n">
        <v>1</v>
      </c>
      <c r="V2541" s="21" t="n">
        <v>1</v>
      </c>
      <c r="W2541" s="20">
        <f>IF(OR(U2541="",V2541=""),U2541,U2541*V2541)</f>
        <v/>
      </c>
      <c r="X2541" s="18" t="inlineStr">
        <is>
          <t>27-50</t>
        </is>
      </c>
      <c r="Y2541" s="19" t="inlineStr"/>
      <c r="Z2541" s="18">
        <f>IF(Y2541="",X2541,Y2541)</f>
        <v/>
      </c>
      <c r="AA2541" s="18" t="inlineStr">
        <is>
          <t>grounded</t>
        </is>
      </c>
      <c r="AB2541" s="18" t="inlineStr"/>
      <c r="AC2541" s="18" t="inlineStr"/>
      <c r="AD2541" s="18" t="inlineStr"/>
      <c r="AE2541" s="18" t="inlineStr">
        <is>
          <t>sky 8-15</t>
        </is>
      </c>
      <c r="AF2541" s="18" t="inlineStr"/>
      <c r="AG2541" s="18" t="inlineStr"/>
      <c r="AH2541" s="18" t="inlineStr"/>
      <c r="AI2541" s="18" t="inlineStr"/>
      <c r="AJ2541" s="18" t="inlineStr">
        <is>
          <t>Cobblemon 동일</t>
        </is>
      </c>
      <c r="AK2541" s="18" t="inlineStr">
        <is>
          <t>사용</t>
        </is>
      </c>
      <c r="AL2541" s="18" t="inlineStr">
        <is>
          <t>COBBLEVERSE 1.7.42 / DP v31</t>
        </is>
      </c>
      <c r="AM2541" s="18" t="inlineStr">
        <is>
          <t>data/cobblemon/spawn_pool_world/0760_bewear.json</t>
        </is>
      </c>
      <c r="AN2541" s="18" t="inlineStr">
        <is>
          <t>bewear-1</t>
        </is>
      </c>
      <c r="AO2541" s="18" t="inlineStr">
        <is>
          <t>pokemon</t>
        </is>
      </c>
      <c r="AP2541" s="18" t="inlineStr">
        <is>
          <t>natural</t>
        </is>
      </c>
      <c r="AQ2541" s="18" t="inlineStr">
        <is>
          <t>{"biomes":["#cobblemon:is_bamboo"],"maxSkyLight":15,"minSkyLight":8}</t>
        </is>
      </c>
      <c r="AR2541" s="18" t="inlineStr"/>
      <c r="AS2541" s="18" t="inlineStr"/>
      <c r="AT2541" s="19" t="inlineStr"/>
    </row>
    <row r="2542" ht="32" customHeight="1">
      <c r="A2542" s="18" t="inlineStr">
        <is>
          <t>0761_bounsweet.json::bounsweet-1::001</t>
        </is>
      </c>
      <c r="B2542" s="19" t="inlineStr">
        <is>
          <t>사용</t>
        </is>
      </c>
      <c r="C2542" s="18">
        <f>IF(OR(B2542&lt;&gt;AK2542,M2542&lt;&gt;L2542,O2542&lt;&gt;"",Q2542&lt;&gt;"",V2542&lt;&gt;1,Y2542&lt;&gt;"",AT2542&lt;&gt;""),"수정","원본")</f>
        <v/>
      </c>
      <c r="D2542" s="18" t="n">
        <v>761</v>
      </c>
      <c r="E2542" s="18" t="inlineStr">
        <is>
          <t>달콤아</t>
        </is>
      </c>
      <c r="F2542" s="18" t="inlineStr">
        <is>
          <t>bounsweet</t>
        </is>
      </c>
      <c r="G2542" s="18" t="inlineStr">
        <is>
          <t>bounsweet</t>
        </is>
      </c>
      <c r="H2542" s="18" t="inlineStr"/>
      <c r="I2542" s="18" t="n">
        <v>7</v>
      </c>
      <c r="J2542" s="18" t="n"/>
      <c r="K2542" s="18" t="n">
        <v>7</v>
      </c>
      <c r="L2542" s="18" t="inlineStr">
        <is>
          <t>cobbleventure:generation_7</t>
        </is>
      </c>
      <c r="M2542" s="19" t="inlineStr">
        <is>
          <t>cobbleventure:generation_7</t>
        </is>
      </c>
      <c r="N2542" s="18" t="inlineStr"/>
      <c r="O2542" s="19" t="inlineStr"/>
      <c r="P2542" s="18" t="inlineStr">
        <is>
          <t>#cobblemon:is_jungle; #cobblemon:is_tropical_island</t>
        </is>
      </c>
      <c r="Q2542" s="19" t="inlineStr"/>
      <c r="R2542" s="18">
        <f>IF(Q2542="",P2542,Q2542)</f>
        <v/>
      </c>
      <c r="S2542" s="18" t="inlineStr"/>
      <c r="T2542" s="18" t="inlineStr">
        <is>
          <t>common</t>
        </is>
      </c>
      <c r="U2542" s="20" t="n">
        <v>1.8</v>
      </c>
      <c r="V2542" s="21" t="n">
        <v>1</v>
      </c>
      <c r="W2542" s="20">
        <f>IF(OR(U2542="",V2542=""),U2542,U2542*V2542)</f>
        <v/>
      </c>
      <c r="X2542" s="18" t="inlineStr">
        <is>
          <t>1-21</t>
        </is>
      </c>
      <c r="Y2542" s="19" t="inlineStr"/>
      <c r="Z2542" s="18">
        <f>IF(Y2542="",X2542,Y2542)</f>
        <v/>
      </c>
      <c r="AA2542" s="18" t="inlineStr">
        <is>
          <t>grounded</t>
        </is>
      </c>
      <c r="AB2542" s="18" t="inlineStr"/>
      <c r="AC2542" s="18" t="inlineStr"/>
      <c r="AD2542" s="18" t="inlineStr"/>
      <c r="AE2542" s="18" t="inlineStr">
        <is>
          <t>sky 8-15</t>
        </is>
      </c>
      <c r="AF2542" s="18" t="inlineStr"/>
      <c r="AG2542" s="18" t="inlineStr"/>
      <c r="AH2542" s="18" t="inlineStr"/>
      <c r="AI2542" s="18" t="inlineStr"/>
      <c r="AJ2542" s="18" t="inlineStr">
        <is>
          <t>Cobblemon 동일</t>
        </is>
      </c>
      <c r="AK2542" s="18" t="inlineStr">
        <is>
          <t>사용</t>
        </is>
      </c>
      <c r="AL2542" s="18" t="inlineStr">
        <is>
          <t>COBBLEVERSE 1.7.42 / DP v31</t>
        </is>
      </c>
      <c r="AM2542" s="18" t="inlineStr">
        <is>
          <t>data/cobblemon/spawn_pool_world/0761_bounsweet.json</t>
        </is>
      </c>
      <c r="AN2542" s="18" t="inlineStr">
        <is>
          <t>bounsweet-1</t>
        </is>
      </c>
      <c r="AO2542" s="18" t="inlineStr">
        <is>
          <t>pokemon</t>
        </is>
      </c>
      <c r="AP2542" s="18" t="inlineStr">
        <is>
          <t>natural; treetop</t>
        </is>
      </c>
      <c r="AQ2542" s="18" t="inlineStr">
        <is>
          <t>{"biomes":["#cobblemon:is_jungle","#cobblemon:is_tropical_island"],"maxSkyLight":15,"minSkyLight":8}</t>
        </is>
      </c>
      <c r="AR2542" s="18" t="inlineStr"/>
      <c r="AS2542" s="18" t="inlineStr"/>
      <c r="AT2542" s="19" t="inlineStr"/>
    </row>
    <row r="2543" ht="32" customHeight="1">
      <c r="A2543" s="18" t="inlineStr">
        <is>
          <t>0762_steenee.json::steenee-1::001</t>
        </is>
      </c>
      <c r="B2543" s="19" t="inlineStr">
        <is>
          <t>사용</t>
        </is>
      </c>
      <c r="C2543" s="18">
        <f>IF(OR(B2543&lt;&gt;AK2543,M2543&lt;&gt;L2543,O2543&lt;&gt;"",Q2543&lt;&gt;"",V2543&lt;&gt;1,Y2543&lt;&gt;"",AT2543&lt;&gt;""),"수정","원본")</f>
        <v/>
      </c>
      <c r="D2543" s="18" t="n">
        <v>762</v>
      </c>
      <c r="E2543" s="18" t="inlineStr">
        <is>
          <t>달무리나</t>
        </is>
      </c>
      <c r="F2543" s="18" t="inlineStr">
        <is>
          <t>steenee</t>
        </is>
      </c>
      <c r="G2543" s="18" t="inlineStr">
        <is>
          <t>steenee</t>
        </is>
      </c>
      <c r="H2543" s="18" t="inlineStr"/>
      <c r="I2543" s="18" t="n">
        <v>7</v>
      </c>
      <c r="J2543" s="18" t="n"/>
      <c r="K2543" s="18" t="n">
        <v>7</v>
      </c>
      <c r="L2543" s="18" t="inlineStr">
        <is>
          <t>cobbleventure:generation_7</t>
        </is>
      </c>
      <c r="M2543" s="19" t="inlineStr">
        <is>
          <t>cobbleventure:generation_7</t>
        </is>
      </c>
      <c r="N2543" s="18" t="inlineStr"/>
      <c r="O2543" s="19" t="inlineStr"/>
      <c r="P2543" s="18" t="inlineStr">
        <is>
          <t>#cobblemon:is_jungle; #cobblemon:is_tropical_island</t>
        </is>
      </c>
      <c r="Q2543" s="19" t="inlineStr"/>
      <c r="R2543" s="18">
        <f>IF(Q2543="",P2543,Q2543)</f>
        <v/>
      </c>
      <c r="S2543" s="18" t="inlineStr"/>
      <c r="T2543" s="18" t="inlineStr">
        <is>
          <t>common</t>
        </is>
      </c>
      <c r="U2543" s="20" t="n">
        <v>0.18</v>
      </c>
      <c r="V2543" s="21" t="n">
        <v>1</v>
      </c>
      <c r="W2543" s="20">
        <f>IF(OR(U2543="",V2543=""),U2543,U2543*V2543)</f>
        <v/>
      </c>
      <c r="X2543" s="18" t="inlineStr">
        <is>
          <t>18-29</t>
        </is>
      </c>
      <c r="Y2543" s="19" t="inlineStr"/>
      <c r="Z2543" s="18">
        <f>IF(Y2543="",X2543,Y2543)</f>
        <v/>
      </c>
      <c r="AA2543" s="18" t="inlineStr">
        <is>
          <t>grounded</t>
        </is>
      </c>
      <c r="AB2543" s="18" t="inlineStr"/>
      <c r="AC2543" s="18" t="inlineStr"/>
      <c r="AD2543" s="18" t="inlineStr"/>
      <c r="AE2543" s="18" t="inlineStr">
        <is>
          <t>sky 8-15</t>
        </is>
      </c>
      <c r="AF2543" s="18" t="inlineStr"/>
      <c r="AG2543" s="18" t="inlineStr"/>
      <c r="AH2543" s="18" t="inlineStr"/>
      <c r="AI2543" s="18" t="inlineStr"/>
      <c r="AJ2543" s="18" t="inlineStr">
        <is>
          <t>Cobblemon 동일</t>
        </is>
      </c>
      <c r="AK2543" s="18" t="inlineStr">
        <is>
          <t>사용</t>
        </is>
      </c>
      <c r="AL2543" s="18" t="inlineStr">
        <is>
          <t>COBBLEVERSE 1.7.42 / DP v31</t>
        </is>
      </c>
      <c r="AM2543" s="18" t="inlineStr">
        <is>
          <t>data/cobblemon/spawn_pool_world/0762_steenee.json</t>
        </is>
      </c>
      <c r="AN2543" s="18" t="inlineStr">
        <is>
          <t>steenee-1</t>
        </is>
      </c>
      <c r="AO2543" s="18" t="inlineStr">
        <is>
          <t>pokemon</t>
        </is>
      </c>
      <c r="AP2543" s="18" t="inlineStr">
        <is>
          <t>natural</t>
        </is>
      </c>
      <c r="AQ2543" s="18" t="inlineStr">
        <is>
          <t>{"biomes":["#cobblemon:is_jungle","#cobblemon:is_tropical_island"],"maxSkyLight":15,"minSkyLight":8}</t>
        </is>
      </c>
      <c r="AR2543" s="18" t="inlineStr"/>
      <c r="AS2543" s="18" t="inlineStr"/>
      <c r="AT2543" s="19" t="inlineStr"/>
    </row>
    <row r="2544" ht="32" customHeight="1">
      <c r="A2544" s="18" t="inlineStr">
        <is>
          <t>0763_tsareena.json::tsareena-1::001</t>
        </is>
      </c>
      <c r="B2544" s="19" t="inlineStr">
        <is>
          <t>사용</t>
        </is>
      </c>
      <c r="C2544" s="18">
        <f>IF(OR(B2544&lt;&gt;AK2544,M2544&lt;&gt;L2544,O2544&lt;&gt;"",Q2544&lt;&gt;"",V2544&lt;&gt;1,Y2544&lt;&gt;"",AT2544&lt;&gt;""),"수정","원본")</f>
        <v/>
      </c>
      <c r="D2544" s="18" t="n">
        <v>763</v>
      </c>
      <c r="E2544" s="18" t="inlineStr">
        <is>
          <t>달코퀸</t>
        </is>
      </c>
      <c r="F2544" s="18" t="inlineStr">
        <is>
          <t>tsareena</t>
        </is>
      </c>
      <c r="G2544" s="18" t="inlineStr">
        <is>
          <t>tsareena</t>
        </is>
      </c>
      <c r="H2544" s="18" t="inlineStr"/>
      <c r="I2544" s="18" t="n">
        <v>7</v>
      </c>
      <c r="J2544" s="18" t="n"/>
      <c r="K2544" s="18" t="n">
        <v>7</v>
      </c>
      <c r="L2544" s="18" t="inlineStr">
        <is>
          <t>cobbleventure:generation_7</t>
        </is>
      </c>
      <c r="M2544" s="19" t="inlineStr">
        <is>
          <t>cobbleventure:generation_7</t>
        </is>
      </c>
      <c r="N2544" s="18" t="inlineStr"/>
      <c r="O2544" s="19" t="inlineStr"/>
      <c r="P2544" s="18" t="inlineStr">
        <is>
          <t>#cobblemon:is_jungle; #cobblemon:is_tropical_island</t>
        </is>
      </c>
      <c r="Q2544" s="19" t="inlineStr"/>
      <c r="R2544" s="18">
        <f>IF(Q2544="",P2544,Q2544)</f>
        <v/>
      </c>
      <c r="S2544" s="18" t="inlineStr"/>
      <c r="T2544" s="18" t="inlineStr">
        <is>
          <t>common</t>
        </is>
      </c>
      <c r="U2544" s="20" t="n">
        <v>0.02</v>
      </c>
      <c r="V2544" s="21" t="n">
        <v>1</v>
      </c>
      <c r="W2544" s="20">
        <f>IF(OR(U2544="",V2544=""),U2544,U2544*V2544)</f>
        <v/>
      </c>
      <c r="X2544" s="18" t="inlineStr">
        <is>
          <t>28-51</t>
        </is>
      </c>
      <c r="Y2544" s="19" t="inlineStr"/>
      <c r="Z2544" s="18">
        <f>IF(Y2544="",X2544,Y2544)</f>
        <v/>
      </c>
      <c r="AA2544" s="18" t="inlineStr">
        <is>
          <t>grounded</t>
        </is>
      </c>
      <c r="AB2544" s="18" t="inlineStr"/>
      <c r="AC2544" s="18" t="inlineStr"/>
      <c r="AD2544" s="18" t="inlineStr"/>
      <c r="AE2544" s="18" t="inlineStr">
        <is>
          <t>sky 8-15</t>
        </is>
      </c>
      <c r="AF2544" s="18" t="inlineStr"/>
      <c r="AG2544" s="18" t="inlineStr"/>
      <c r="AH2544" s="18" t="inlineStr"/>
      <c r="AI2544" s="18" t="inlineStr"/>
      <c r="AJ2544" s="18" t="inlineStr">
        <is>
          <t>Cobblemon 동일</t>
        </is>
      </c>
      <c r="AK2544" s="18" t="inlineStr">
        <is>
          <t>사용</t>
        </is>
      </c>
      <c r="AL2544" s="18" t="inlineStr">
        <is>
          <t>COBBLEVERSE 1.7.42 / DP v31</t>
        </is>
      </c>
      <c r="AM2544" s="18" t="inlineStr">
        <is>
          <t>data/cobblemon/spawn_pool_world/0763_tsareena.json</t>
        </is>
      </c>
      <c r="AN2544" s="18" t="inlineStr">
        <is>
          <t>tsareena-1</t>
        </is>
      </c>
      <c r="AO2544" s="18" t="inlineStr">
        <is>
          <t>pokemon</t>
        </is>
      </c>
      <c r="AP2544" s="18" t="inlineStr">
        <is>
          <t>natural</t>
        </is>
      </c>
      <c r="AQ2544" s="18" t="inlineStr">
        <is>
          <t>{"biomes":["#cobblemon:is_jungle","#cobblemon:is_tropical_island"],"maxSkyLight":15,"minSkyLight":8}</t>
        </is>
      </c>
      <c r="AR2544" s="18" t="inlineStr"/>
      <c r="AS2544" s="18" t="inlineStr"/>
      <c r="AT2544" s="19" t="inlineStr"/>
    </row>
    <row r="2545" ht="32" customHeight="1">
      <c r="A2545" s="18" t="inlineStr">
        <is>
          <t>0764_comfey.json::comfey-1::001</t>
        </is>
      </c>
      <c r="B2545" s="19" t="inlineStr">
        <is>
          <t>사용</t>
        </is>
      </c>
      <c r="C2545" s="18">
        <f>IF(OR(B2545&lt;&gt;AK2545,M2545&lt;&gt;L2545,O2545&lt;&gt;"",Q2545&lt;&gt;"",V2545&lt;&gt;1,Y2545&lt;&gt;"",AT2545&lt;&gt;""),"수정","원본")</f>
        <v/>
      </c>
      <c r="D2545" s="18" t="n">
        <v>764</v>
      </c>
      <c r="E2545" s="18" t="inlineStr">
        <is>
          <t>큐아링</t>
        </is>
      </c>
      <c r="F2545" s="18" t="inlineStr">
        <is>
          <t>comfey</t>
        </is>
      </c>
      <c r="G2545" s="18" t="inlineStr">
        <is>
          <t>comfey</t>
        </is>
      </c>
      <c r="H2545" s="18" t="inlineStr"/>
      <c r="I2545" s="18" t="n">
        <v>7</v>
      </c>
      <c r="J2545" s="18" t="n"/>
      <c r="K2545" s="18" t="n">
        <v>7</v>
      </c>
      <c r="L2545" s="18" t="inlineStr">
        <is>
          <t>cobbleventure:generation_7</t>
        </is>
      </c>
      <c r="M2545" s="19" t="inlineStr">
        <is>
          <t>cobbleventure:generation_7</t>
        </is>
      </c>
      <c r="N2545" s="18" t="inlineStr"/>
      <c r="O2545" s="19" t="inlineStr"/>
      <c r="P2545" s="18" t="inlineStr">
        <is>
          <t>#cobblemon:is_floral; #cobblemon:is_tropical_island</t>
        </is>
      </c>
      <c r="Q2545" s="19" t="inlineStr"/>
      <c r="R2545" s="18">
        <f>IF(Q2545="",P2545,Q2545)</f>
        <v/>
      </c>
      <c r="S2545" s="18" t="inlineStr"/>
      <c r="T2545" s="18" t="inlineStr">
        <is>
          <t>uncommon</t>
        </is>
      </c>
      <c r="U2545" s="20" t="n">
        <v>10</v>
      </c>
      <c r="V2545" s="21" t="n">
        <v>1</v>
      </c>
      <c r="W2545" s="20">
        <f>IF(OR(U2545="",V2545=""),U2545,U2545*V2545)</f>
        <v/>
      </c>
      <c r="X2545" s="18" t="inlineStr">
        <is>
          <t>24-49</t>
        </is>
      </c>
      <c r="Y2545" s="19" t="inlineStr"/>
      <c r="Z2545" s="18">
        <f>IF(Y2545="",X2545,Y2545)</f>
        <v/>
      </c>
      <c r="AA2545" s="18" t="inlineStr">
        <is>
          <t>grounded</t>
        </is>
      </c>
      <c r="AB2545" s="18" t="inlineStr"/>
      <c r="AC2545" s="18" t="inlineStr">
        <is>
          <t>비=False</t>
        </is>
      </c>
      <c r="AD2545" s="18" t="inlineStr"/>
      <c r="AE2545" s="18" t="inlineStr">
        <is>
          <t>sky 8-15</t>
        </is>
      </c>
      <c r="AF2545" s="18" t="inlineStr"/>
      <c r="AG2545" s="18" t="inlineStr"/>
      <c r="AH2545" s="18" t="inlineStr"/>
      <c r="AI2545" s="18" t="inlineStr"/>
      <c r="AJ2545" s="18" t="inlineStr">
        <is>
          <t>Cobblemon 동일</t>
        </is>
      </c>
      <c r="AK2545" s="18" t="inlineStr">
        <is>
          <t>사용</t>
        </is>
      </c>
      <c r="AL2545" s="18" t="inlineStr">
        <is>
          <t>COBBLEVERSE 1.7.42 / DP v31</t>
        </is>
      </c>
      <c r="AM2545" s="18" t="inlineStr">
        <is>
          <t>data/cobblemon/spawn_pool_world/0764_comfey.json</t>
        </is>
      </c>
      <c r="AN2545" s="18" t="inlineStr">
        <is>
          <t>comfey-1</t>
        </is>
      </c>
      <c r="AO2545" s="18" t="inlineStr">
        <is>
          <t>pokemon</t>
        </is>
      </c>
      <c r="AP2545" s="18" t="inlineStr">
        <is>
          <t>natural</t>
        </is>
      </c>
      <c r="AQ2545" s="18" t="inlineStr">
        <is>
          <t>{"biomes":["#cobblemon:is_floral","#cobblemon:is_tropical_island"],"isRaining":false,"maxSkyLight":15,"minSkyLight":8}</t>
        </is>
      </c>
      <c r="AR2545" s="18" t="inlineStr"/>
      <c r="AS2545" s="18" t="inlineStr"/>
      <c r="AT2545" s="19" t="inlineStr"/>
    </row>
    <row r="2546" ht="32" customHeight="1">
      <c r="A2546" s="18" t="inlineStr">
        <is>
          <t>0764_comfey.json::comfey-2::002</t>
        </is>
      </c>
      <c r="B2546" s="19" t="inlineStr">
        <is>
          <t>사용</t>
        </is>
      </c>
      <c r="C2546" s="18">
        <f>IF(OR(B2546&lt;&gt;AK2546,M2546&lt;&gt;L2546,O2546&lt;&gt;"",Q2546&lt;&gt;"",V2546&lt;&gt;1,Y2546&lt;&gt;"",AT2546&lt;&gt;""),"수정","원본")</f>
        <v/>
      </c>
      <c r="D2546" s="18" t="n">
        <v>764</v>
      </c>
      <c r="E2546" s="18" t="inlineStr">
        <is>
          <t>큐아링</t>
        </is>
      </c>
      <c r="F2546" s="18" t="inlineStr">
        <is>
          <t>comfey</t>
        </is>
      </c>
      <c r="G2546" s="18" t="inlineStr">
        <is>
          <t>comfey</t>
        </is>
      </c>
      <c r="H2546" s="18" t="inlineStr"/>
      <c r="I2546" s="18" t="n">
        <v>7</v>
      </c>
      <c r="J2546" s="18" t="n"/>
      <c r="K2546" s="18" t="n">
        <v>7</v>
      </c>
      <c r="L2546" s="18" t="inlineStr">
        <is>
          <t>cobbleventure:generation_7</t>
        </is>
      </c>
      <c r="M2546" s="19" t="inlineStr">
        <is>
          <t>cobbleventure:generation_7</t>
        </is>
      </c>
      <c r="N2546" s="18" t="inlineStr">
        <is>
          <t>region_01; region_02</t>
        </is>
      </c>
      <c r="O2546" s="19" t="inlineStr"/>
      <c r="P2546" s="18" t="inlineStr">
        <is>
          <t>#aether:is_aether; #cobblemon:is_overworld</t>
        </is>
      </c>
      <c r="Q2546" s="19" t="inlineStr"/>
      <c r="R2546" s="18">
        <f>IF(Q2546="",P2546,Q2546)</f>
        <v/>
      </c>
      <c r="S2546" s="18" t="inlineStr"/>
      <c r="T2546" s="18" t="inlineStr">
        <is>
          <t>rare</t>
        </is>
      </c>
      <c r="U2546" s="20" t="n">
        <v>10</v>
      </c>
      <c r="V2546" s="21" t="n">
        <v>1</v>
      </c>
      <c r="W2546" s="20">
        <f>IF(OR(U2546="",V2546=""),U2546,U2546*V2546)</f>
        <v/>
      </c>
      <c r="X2546" s="18" t="inlineStr">
        <is>
          <t>24-49</t>
        </is>
      </c>
      <c r="Y2546" s="19" t="inlineStr"/>
      <c r="Z2546" s="18">
        <f>IF(Y2546="",X2546,Y2546)</f>
        <v/>
      </c>
      <c r="AA2546" s="18" t="inlineStr">
        <is>
          <t>grounded</t>
        </is>
      </c>
      <c r="AB2546" s="18" t="inlineStr"/>
      <c r="AC2546" s="18" t="inlineStr">
        <is>
          <t>비=False</t>
        </is>
      </c>
      <c r="AD2546" s="18" t="inlineStr"/>
      <c r="AE2546" s="18" t="inlineStr">
        <is>
          <t>sky 8-15</t>
        </is>
      </c>
      <c r="AF2546" s="18" t="inlineStr"/>
      <c r="AG2546" s="18" t="inlineStr"/>
      <c r="AH2546" s="18" t="inlineStr">
        <is>
          <t>주변=#cobblemon:flowers</t>
        </is>
      </c>
      <c r="AI2546" s="18" t="inlineStr"/>
      <c r="AJ2546" s="18" t="inlineStr">
        <is>
          <t>Cobblemon 동일</t>
        </is>
      </c>
      <c r="AK2546" s="18" t="inlineStr">
        <is>
          <t>사용</t>
        </is>
      </c>
      <c r="AL2546" s="18" t="inlineStr">
        <is>
          <t>COBBLEVERSE 1.7.42 / DP v31</t>
        </is>
      </c>
      <c r="AM2546" s="18" t="inlineStr">
        <is>
          <t>data/cobblemon/spawn_pool_world/0764_comfey.json</t>
        </is>
      </c>
      <c r="AN2546" s="18" t="inlineStr">
        <is>
          <t>comfey-2</t>
        </is>
      </c>
      <c r="AO2546" s="18" t="inlineStr">
        <is>
          <t>pokemon</t>
        </is>
      </c>
      <c r="AP2546" s="18" t="inlineStr">
        <is>
          <t>natural</t>
        </is>
      </c>
      <c r="AQ2546" s="18" t="inlineStr">
        <is>
          <t>{"biomes":["#aether:is_aether","#cobblemon:is_overworld"],"isRaining":false,"maxSkyLight":15,"minSkyLight":8,"neededNearbyBlocks":["#cobblemon:flowers"]}</t>
        </is>
      </c>
      <c r="AR2546" s="18" t="inlineStr"/>
      <c r="AS2546" s="18" t="inlineStr"/>
      <c r="AT2546" s="19" t="inlineStr"/>
    </row>
    <row r="2547" ht="32" customHeight="1">
      <c r="A2547" s="18" t="inlineStr">
        <is>
          <t>0764_comfey.json::comfey-3::003</t>
        </is>
      </c>
      <c r="B2547" s="19" t="inlineStr">
        <is>
          <t>사용</t>
        </is>
      </c>
      <c r="C2547" s="18">
        <f>IF(OR(B2547&lt;&gt;AK2547,M2547&lt;&gt;L2547,O2547&lt;&gt;"",Q2547&lt;&gt;"",V2547&lt;&gt;1,Y2547&lt;&gt;"",AT2547&lt;&gt;""),"수정","원본")</f>
        <v/>
      </c>
      <c r="D2547" s="18" t="n">
        <v>764</v>
      </c>
      <c r="E2547" s="18" t="inlineStr">
        <is>
          <t>큐아링</t>
        </is>
      </c>
      <c r="F2547" s="18" t="inlineStr">
        <is>
          <t>comfey</t>
        </is>
      </c>
      <c r="G2547" s="18" t="inlineStr">
        <is>
          <t>comfey</t>
        </is>
      </c>
      <c r="H2547" s="18" t="inlineStr"/>
      <c r="I2547" s="18" t="n">
        <v>7</v>
      </c>
      <c r="J2547" s="18" t="n"/>
      <c r="K2547" s="18" t="n">
        <v>7</v>
      </c>
      <c r="L2547" s="18" t="inlineStr">
        <is>
          <t>cobbleventure:generation_7</t>
        </is>
      </c>
      <c r="M2547" s="19" t="inlineStr">
        <is>
          <t>cobbleventure:generation_7</t>
        </is>
      </c>
      <c r="N2547" s="18" t="inlineStr"/>
      <c r="O2547" s="19" t="inlineStr"/>
      <c r="P2547" s="18" t="inlineStr">
        <is>
          <t>the_bumblezone:floral_meadow</t>
        </is>
      </c>
      <c r="Q2547" s="19" t="inlineStr"/>
      <c r="R2547" s="18">
        <f>IF(Q2547="",P2547,Q2547)</f>
        <v/>
      </c>
      <c r="S2547" s="18" t="inlineStr"/>
      <c r="T2547" s="18" t="inlineStr">
        <is>
          <t>uncommon</t>
        </is>
      </c>
      <c r="U2547" s="20" t="n">
        <v>2</v>
      </c>
      <c r="V2547" s="21" t="n">
        <v>1</v>
      </c>
      <c r="W2547" s="20">
        <f>IF(OR(U2547="",V2547=""),U2547,U2547*V2547)</f>
        <v/>
      </c>
      <c r="X2547" s="18" t="inlineStr">
        <is>
          <t>24-49</t>
        </is>
      </c>
      <c r="Y2547" s="19" t="inlineStr"/>
      <c r="Z2547" s="18">
        <f>IF(Y2547="",X2547,Y2547)</f>
        <v/>
      </c>
      <c r="AA2547" s="18" t="inlineStr">
        <is>
          <t>grounded</t>
        </is>
      </c>
      <c r="AB2547" s="18" t="inlineStr"/>
      <c r="AC2547" s="18" t="inlineStr">
        <is>
          <t>비=False</t>
        </is>
      </c>
      <c r="AD2547" s="18" t="inlineStr"/>
      <c r="AE2547" s="18" t="inlineStr"/>
      <c r="AF2547" s="18" t="inlineStr"/>
      <c r="AG2547" s="18" t="inlineStr"/>
      <c r="AH2547" s="18" t="inlineStr"/>
      <c r="AI2547" s="18" t="inlineStr"/>
      <c r="AJ2547" s="18" t="inlineStr">
        <is>
          <t>Cobblemon 동일</t>
        </is>
      </c>
      <c r="AK2547" s="18" t="inlineStr">
        <is>
          <t>사용</t>
        </is>
      </c>
      <c r="AL2547" s="18" t="inlineStr">
        <is>
          <t>COBBLEVERSE 1.7.42 / DP v31</t>
        </is>
      </c>
      <c r="AM2547" s="18" t="inlineStr">
        <is>
          <t>data/cobblemon/spawn_pool_world/0764_comfey.json</t>
        </is>
      </c>
      <c r="AN2547" s="18" t="inlineStr">
        <is>
          <t>comfey-3</t>
        </is>
      </c>
      <c r="AO2547" s="18" t="inlineStr">
        <is>
          <t>pokemon</t>
        </is>
      </c>
      <c r="AP2547" s="18" t="inlineStr"/>
      <c r="AQ2547" s="18" t="inlineStr">
        <is>
          <t>{"biomes":["the_bumblezone:floral_meadow"],"isRaining":false}</t>
        </is>
      </c>
      <c r="AR2547" s="18" t="inlineStr">
        <is>
          <t>{"structures":["#the_bumblezone:sempiternal_sanctums"]}</t>
        </is>
      </c>
      <c r="AS2547" s="18" t="inlineStr"/>
      <c r="AT2547" s="19" t="inlineStr"/>
    </row>
    <row r="2548" ht="32" customHeight="1">
      <c r="A2548" s="18" t="inlineStr">
        <is>
          <t>0765_oranguru.json::oranguru-1::001</t>
        </is>
      </c>
      <c r="B2548" s="19" t="inlineStr">
        <is>
          <t>사용</t>
        </is>
      </c>
      <c r="C2548" s="18">
        <f>IF(OR(B2548&lt;&gt;AK2548,M2548&lt;&gt;L2548,O2548&lt;&gt;"",Q2548&lt;&gt;"",V2548&lt;&gt;1,Y2548&lt;&gt;"",AT2548&lt;&gt;""),"수정","원본")</f>
        <v/>
      </c>
      <c r="D2548" s="18" t="n">
        <v>765</v>
      </c>
      <c r="E2548" s="18" t="inlineStr">
        <is>
          <t>하랑우탄</t>
        </is>
      </c>
      <c r="F2548" s="18" t="inlineStr">
        <is>
          <t>oranguru</t>
        </is>
      </c>
      <c r="G2548" s="18" t="inlineStr">
        <is>
          <t>oranguru</t>
        </is>
      </c>
      <c r="H2548" s="18" t="inlineStr"/>
      <c r="I2548" s="18" t="n">
        <v>7</v>
      </c>
      <c r="J2548" s="18" t="n"/>
      <c r="K2548" s="18" t="n">
        <v>7</v>
      </c>
      <c r="L2548" s="18" t="inlineStr">
        <is>
          <t>cobbleventure:generation_7</t>
        </is>
      </c>
      <c r="M2548" s="19" t="inlineStr">
        <is>
          <t>cobbleventure:generation_7</t>
        </is>
      </c>
      <c r="N2548" s="18" t="inlineStr"/>
      <c r="O2548" s="19" t="inlineStr"/>
      <c r="P2548" s="18" t="inlineStr">
        <is>
          <t>#cobblemon:is_jungle</t>
        </is>
      </c>
      <c r="Q2548" s="19" t="inlineStr"/>
      <c r="R2548" s="18">
        <f>IF(Q2548="",P2548,Q2548)</f>
        <v/>
      </c>
      <c r="S2548" s="18" t="inlineStr"/>
      <c r="T2548" s="18" t="inlineStr">
        <is>
          <t>rare</t>
        </is>
      </c>
      <c r="U2548" s="20" t="n">
        <v>4.2</v>
      </c>
      <c r="V2548" s="21" t="n">
        <v>1</v>
      </c>
      <c r="W2548" s="20">
        <f>IF(OR(U2548="",V2548=""),U2548,U2548*V2548)</f>
        <v/>
      </c>
      <c r="X2548" s="18" t="inlineStr">
        <is>
          <t>35-70</t>
        </is>
      </c>
      <c r="Y2548" s="19" t="inlineStr"/>
      <c r="Z2548" s="18">
        <f>IF(Y2548="",X2548,Y2548)</f>
        <v/>
      </c>
      <c r="AA2548" s="18" t="inlineStr">
        <is>
          <t>grounded</t>
        </is>
      </c>
      <c r="AB2548" s="18" t="inlineStr"/>
      <c r="AC2548" s="18" t="inlineStr"/>
      <c r="AD2548" s="18" t="inlineStr"/>
      <c r="AE2548" s="18" t="inlineStr">
        <is>
          <t>sky 8-15</t>
        </is>
      </c>
      <c r="AF2548" s="18" t="inlineStr"/>
      <c r="AG2548" s="18" t="inlineStr"/>
      <c r="AH2548" s="18" t="inlineStr"/>
      <c r="AI2548" s="18" t="inlineStr"/>
      <c r="AJ2548" s="18" t="inlineStr">
        <is>
          <t>COBBLEVERSE 추가</t>
        </is>
      </c>
      <c r="AK2548" s="18" t="inlineStr">
        <is>
          <t>사용</t>
        </is>
      </c>
      <c r="AL2548" s="18" t="inlineStr">
        <is>
          <t>COBBLEVERSE 1.7.42 / DP v31</t>
        </is>
      </c>
      <c r="AM2548" s="18" t="inlineStr">
        <is>
          <t>data/cobblemon/spawn_pool_world/0765_oranguru.json</t>
        </is>
      </c>
      <c r="AN2548" s="18" t="inlineStr">
        <is>
          <t>oranguru-1</t>
        </is>
      </c>
      <c r="AO2548" s="18" t="inlineStr">
        <is>
          <t>pokemon</t>
        </is>
      </c>
      <c r="AP2548" s="18" t="inlineStr">
        <is>
          <t>natural; treetop</t>
        </is>
      </c>
      <c r="AQ2548" s="18" t="inlineStr">
        <is>
          <t>{"biomes":["#cobblemon:is_jungle"],"maxSkyLight":15,"minSkyLight":8}</t>
        </is>
      </c>
      <c r="AR2548" s="18" t="inlineStr"/>
      <c r="AS2548" s="18" t="inlineStr"/>
      <c r="AT2548" s="19" t="inlineStr"/>
    </row>
    <row r="2549" ht="32" customHeight="1">
      <c r="A2549" s="18" t="inlineStr">
        <is>
          <t>0766_passimian.json::passimian-1::001</t>
        </is>
      </c>
      <c r="B2549" s="19" t="inlineStr">
        <is>
          <t>사용</t>
        </is>
      </c>
      <c r="C2549" s="18">
        <f>IF(OR(B2549&lt;&gt;AK2549,M2549&lt;&gt;L2549,O2549&lt;&gt;"",Q2549&lt;&gt;"",V2549&lt;&gt;1,Y2549&lt;&gt;"",AT2549&lt;&gt;""),"수정","원본")</f>
        <v/>
      </c>
      <c r="D2549" s="18" t="n">
        <v>766</v>
      </c>
      <c r="E2549" s="18" t="inlineStr">
        <is>
          <t>내던숭이</t>
        </is>
      </c>
      <c r="F2549" s="18" t="inlineStr">
        <is>
          <t>passimian</t>
        </is>
      </c>
      <c r="G2549" s="18" t="inlineStr">
        <is>
          <t>passimian</t>
        </is>
      </c>
      <c r="H2549" s="18" t="inlineStr"/>
      <c r="I2549" s="18" t="n">
        <v>7</v>
      </c>
      <c r="J2549" s="18" t="n"/>
      <c r="K2549" s="18" t="n">
        <v>7</v>
      </c>
      <c r="L2549" s="18" t="inlineStr">
        <is>
          <t>cobbleventure:generation_7</t>
        </is>
      </c>
      <c r="M2549" s="19" t="inlineStr">
        <is>
          <t>cobbleventure:generation_7</t>
        </is>
      </c>
      <c r="N2549" s="18" t="inlineStr"/>
      <c r="O2549" s="19" t="inlineStr"/>
      <c r="P2549" s="18" t="inlineStr">
        <is>
          <t>#cobblemon:is_jungle</t>
        </is>
      </c>
      <c r="Q2549" s="19" t="inlineStr"/>
      <c r="R2549" s="18">
        <f>IF(Q2549="",P2549,Q2549)</f>
        <v/>
      </c>
      <c r="S2549" s="18" t="inlineStr"/>
      <c r="T2549" s="18" t="inlineStr">
        <is>
          <t>rare</t>
        </is>
      </c>
      <c r="U2549" s="20" t="n">
        <v>5.2</v>
      </c>
      <c r="V2549" s="21" t="n">
        <v>1</v>
      </c>
      <c r="W2549" s="20">
        <f>IF(OR(U2549="",V2549=""),U2549,U2549*V2549)</f>
        <v/>
      </c>
      <c r="X2549" s="18" t="inlineStr">
        <is>
          <t>35-66</t>
        </is>
      </c>
      <c r="Y2549" s="19" t="inlineStr"/>
      <c r="Z2549" s="18">
        <f>IF(Y2549="",X2549,Y2549)</f>
        <v/>
      </c>
      <c r="AA2549" s="18" t="inlineStr">
        <is>
          <t>grounded</t>
        </is>
      </c>
      <c r="AB2549" s="18" t="inlineStr"/>
      <c r="AC2549" s="18" t="inlineStr"/>
      <c r="AD2549" s="18" t="inlineStr"/>
      <c r="AE2549" s="18" t="inlineStr">
        <is>
          <t>sky 8-15</t>
        </is>
      </c>
      <c r="AF2549" s="18" t="inlineStr"/>
      <c r="AG2549" s="18" t="inlineStr"/>
      <c r="AH2549" s="18" t="inlineStr"/>
      <c r="AI2549" s="18" t="inlineStr"/>
      <c r="AJ2549" s="18" t="inlineStr">
        <is>
          <t>COBBLEVERSE 추가</t>
        </is>
      </c>
      <c r="AK2549" s="18" t="inlineStr">
        <is>
          <t>사용</t>
        </is>
      </c>
      <c r="AL2549" s="18" t="inlineStr">
        <is>
          <t>COBBLEVERSE 1.7.42 / DP v31</t>
        </is>
      </c>
      <c r="AM2549" s="18" t="inlineStr">
        <is>
          <t>data/cobblemon/spawn_pool_world/0766_passimian.json</t>
        </is>
      </c>
      <c r="AN2549" s="18" t="inlineStr">
        <is>
          <t>passimian-1</t>
        </is>
      </c>
      <c r="AO2549" s="18" t="inlineStr">
        <is>
          <t>pokemon</t>
        </is>
      </c>
      <c r="AP2549" s="18" t="inlineStr">
        <is>
          <t>natural; treetop</t>
        </is>
      </c>
      <c r="AQ2549" s="18" t="inlineStr">
        <is>
          <t>{"biomes":["#cobblemon:is_jungle"],"maxSkyLight":15,"minSkyLight":8}</t>
        </is>
      </c>
      <c r="AR2549" s="18" t="inlineStr"/>
      <c r="AS2549" s="18" t="inlineStr"/>
      <c r="AT2549" s="19" t="inlineStr"/>
    </row>
    <row r="2550" ht="32" customHeight="1">
      <c r="A2550" s="18" t="inlineStr">
        <is>
          <t>0767_wimpod.json::wimpod-1::001</t>
        </is>
      </c>
      <c r="B2550" s="19" t="inlineStr">
        <is>
          <t>사용</t>
        </is>
      </c>
      <c r="C2550" s="18">
        <f>IF(OR(B2550&lt;&gt;AK2550,M2550&lt;&gt;L2550,O2550&lt;&gt;"",Q2550&lt;&gt;"",V2550&lt;&gt;1,Y2550&lt;&gt;"",AT2550&lt;&gt;""),"수정","원본")</f>
        <v/>
      </c>
      <c r="D2550" s="18" t="n">
        <v>767</v>
      </c>
      <c r="E2550" s="18" t="inlineStr">
        <is>
          <t>꼬시레</t>
        </is>
      </c>
      <c r="F2550" s="18" t="inlineStr">
        <is>
          <t>wimpod</t>
        </is>
      </c>
      <c r="G2550" s="18" t="inlineStr">
        <is>
          <t>wimpod</t>
        </is>
      </c>
      <c r="H2550" s="18" t="inlineStr"/>
      <c r="I2550" s="18" t="n">
        <v>7</v>
      </c>
      <c r="J2550" s="18" t="n"/>
      <c r="K2550" s="18" t="n">
        <v>7</v>
      </c>
      <c r="L2550" s="18" t="inlineStr">
        <is>
          <t>cobbleventure:generation_7</t>
        </is>
      </c>
      <c r="M2550" s="19" t="inlineStr">
        <is>
          <t>cobbleventure:generation_7</t>
        </is>
      </c>
      <c r="N2550" s="18" t="inlineStr"/>
      <c r="O2550" s="19" t="inlineStr"/>
      <c r="P2550" s="18" t="inlineStr">
        <is>
          <t>#cobblemon:is_coast</t>
        </is>
      </c>
      <c r="Q2550" s="19" t="inlineStr"/>
      <c r="R2550" s="18">
        <f>IF(Q2550="",P2550,Q2550)</f>
        <v/>
      </c>
      <c r="S2550" s="18" t="inlineStr"/>
      <c r="T2550" s="18" t="inlineStr">
        <is>
          <t>uncommon</t>
        </is>
      </c>
      <c r="U2550" s="20" t="n">
        <v>8.4</v>
      </c>
      <c r="V2550" s="21" t="n">
        <v>1</v>
      </c>
      <c r="W2550" s="20">
        <f>IF(OR(U2550="",V2550=""),U2550,U2550*V2550)</f>
        <v/>
      </c>
      <c r="X2550" s="18" t="inlineStr">
        <is>
          <t>1-23</t>
        </is>
      </c>
      <c r="Y2550" s="19" t="inlineStr"/>
      <c r="Z2550" s="18">
        <f>IF(Y2550="",X2550,Y2550)</f>
        <v/>
      </c>
      <c r="AA2550" s="18" t="inlineStr">
        <is>
          <t>grounded</t>
        </is>
      </c>
      <c r="AB2550" s="18" t="inlineStr"/>
      <c r="AC2550" s="18" t="inlineStr"/>
      <c r="AD2550" s="18" t="inlineStr"/>
      <c r="AE2550" s="18" t="inlineStr">
        <is>
          <t>sky 8-15</t>
        </is>
      </c>
      <c r="AF2550" s="18" t="inlineStr"/>
      <c r="AG2550" s="18" t="inlineStr"/>
      <c r="AH2550" s="18" t="inlineStr"/>
      <c r="AI2550" s="18" t="inlineStr"/>
      <c r="AJ2550" s="18" t="inlineStr">
        <is>
          <t>Cobblemon 동일</t>
        </is>
      </c>
      <c r="AK2550" s="18" t="inlineStr">
        <is>
          <t>사용</t>
        </is>
      </c>
      <c r="AL2550" s="18" t="inlineStr">
        <is>
          <t>COBBLEVERSE 1.7.42 / DP v31</t>
        </is>
      </c>
      <c r="AM2550" s="18" t="inlineStr">
        <is>
          <t>data/cobblemon/spawn_pool_world/0767_wimpod.json</t>
        </is>
      </c>
      <c r="AN2550" s="18" t="inlineStr">
        <is>
          <t>wimpod-1</t>
        </is>
      </c>
      <c r="AO2550" s="18" t="inlineStr">
        <is>
          <t>pokemon</t>
        </is>
      </c>
      <c r="AP2550" s="18" t="inlineStr">
        <is>
          <t>natural; wild</t>
        </is>
      </c>
      <c r="AQ2550" s="18" t="inlineStr">
        <is>
          <t>{"biomes":["#cobblemon:is_coast"],"maxSkyLight":15,"minSkyLight":8}</t>
        </is>
      </c>
      <c r="AR2550" s="18" t="inlineStr"/>
      <c r="AS2550" s="18" t="inlineStr"/>
      <c r="AT2550" s="19" t="inlineStr"/>
    </row>
    <row r="2551" ht="32" customHeight="1">
      <c r="A2551" s="18" t="inlineStr">
        <is>
          <t>0767_wimpod.json::wimpod-2::002</t>
        </is>
      </c>
      <c r="B2551" s="19" t="inlineStr">
        <is>
          <t>사용</t>
        </is>
      </c>
      <c r="C2551" s="18">
        <f>IF(OR(B2551&lt;&gt;AK2551,M2551&lt;&gt;L2551,O2551&lt;&gt;"",Q2551&lt;&gt;"",V2551&lt;&gt;1,Y2551&lt;&gt;"",AT2551&lt;&gt;""),"수정","원본")</f>
        <v/>
      </c>
      <c r="D2551" s="18" t="n">
        <v>767</v>
      </c>
      <c r="E2551" s="18" t="inlineStr">
        <is>
          <t>꼬시레</t>
        </is>
      </c>
      <c r="F2551" s="18" t="inlineStr">
        <is>
          <t>wimpod</t>
        </is>
      </c>
      <c r="G2551" s="18" t="inlineStr">
        <is>
          <t>wimpod</t>
        </is>
      </c>
      <c r="H2551" s="18" t="inlineStr"/>
      <c r="I2551" s="18" t="n">
        <v>7</v>
      </c>
      <c r="J2551" s="18" t="n"/>
      <c r="K2551" s="18" t="n">
        <v>7</v>
      </c>
      <c r="L2551" s="18" t="inlineStr">
        <is>
          <t>cobbleventure:generation_7</t>
        </is>
      </c>
      <c r="M2551" s="19" t="inlineStr">
        <is>
          <t>cobbleventure:generation_7</t>
        </is>
      </c>
      <c r="N2551" s="18" t="inlineStr"/>
      <c r="O2551" s="19" t="inlineStr"/>
      <c r="P2551" s="18" t="inlineStr">
        <is>
          <t>#cobblemon:is_tropical_island</t>
        </is>
      </c>
      <c r="Q2551" s="19" t="inlineStr"/>
      <c r="R2551" s="18">
        <f>IF(Q2551="",P2551,Q2551)</f>
        <v/>
      </c>
      <c r="S2551" s="18" t="inlineStr"/>
      <c r="T2551" s="18" t="inlineStr">
        <is>
          <t>uncommon</t>
        </is>
      </c>
      <c r="U2551" s="20" t="n">
        <v>8.4</v>
      </c>
      <c r="V2551" s="21" t="n">
        <v>1</v>
      </c>
      <c r="W2551" s="20">
        <f>IF(OR(U2551="",V2551=""),U2551,U2551*V2551)</f>
        <v/>
      </c>
      <c r="X2551" s="18" t="inlineStr">
        <is>
          <t>1-23</t>
        </is>
      </c>
      <c r="Y2551" s="19" t="inlineStr"/>
      <c r="Z2551" s="18">
        <f>IF(Y2551="",X2551,Y2551)</f>
        <v/>
      </c>
      <c r="AA2551" s="18" t="inlineStr">
        <is>
          <t>grounded</t>
        </is>
      </c>
      <c r="AB2551" s="18" t="inlineStr"/>
      <c r="AC2551" s="18" t="inlineStr"/>
      <c r="AD2551" s="18" t="inlineStr"/>
      <c r="AE2551" s="18" t="inlineStr">
        <is>
          <t>sky 8-15</t>
        </is>
      </c>
      <c r="AF2551" s="18" t="inlineStr"/>
      <c r="AG2551" s="18" t="inlineStr"/>
      <c r="AH2551" s="18" t="inlineStr">
        <is>
          <t>주변=minecraft:water</t>
        </is>
      </c>
      <c r="AI2551" s="18" t="inlineStr"/>
      <c r="AJ2551" s="18" t="inlineStr">
        <is>
          <t>Cobblemon 동일</t>
        </is>
      </c>
      <c r="AK2551" s="18" t="inlineStr">
        <is>
          <t>사용</t>
        </is>
      </c>
      <c r="AL2551" s="18" t="inlineStr">
        <is>
          <t>COBBLEVERSE 1.7.42 / DP v31</t>
        </is>
      </c>
      <c r="AM2551" s="18" t="inlineStr">
        <is>
          <t>data/cobblemon/spawn_pool_world/0767_wimpod.json</t>
        </is>
      </c>
      <c r="AN2551" s="18" t="inlineStr">
        <is>
          <t>wimpod-2</t>
        </is>
      </c>
      <c r="AO2551" s="18" t="inlineStr">
        <is>
          <t>pokemon</t>
        </is>
      </c>
      <c r="AP2551" s="18" t="inlineStr">
        <is>
          <t>natural; wild</t>
        </is>
      </c>
      <c r="AQ2551" s="18" t="inlineStr">
        <is>
          <t>{"biomes":["#cobblemon:is_tropical_island"],"maxSkyLight":15,"minSkyLight":8,"neededNearbyBlocks":["minecraft:water"]}</t>
        </is>
      </c>
      <c r="AR2551" s="18" t="inlineStr"/>
      <c r="AS2551" s="18" t="inlineStr"/>
      <c r="AT2551" s="19" t="inlineStr"/>
    </row>
    <row r="2552" ht="32" customHeight="1">
      <c r="A2552" s="18" t="inlineStr">
        <is>
          <t>0767_wimpod.json::wimpod-3::003</t>
        </is>
      </c>
      <c r="B2552" s="19" t="inlineStr">
        <is>
          <t>사용</t>
        </is>
      </c>
      <c r="C2552" s="18">
        <f>IF(OR(B2552&lt;&gt;AK2552,M2552&lt;&gt;L2552,O2552&lt;&gt;"",Q2552&lt;&gt;"",V2552&lt;&gt;1,Y2552&lt;&gt;"",AT2552&lt;&gt;""),"수정","원본")</f>
        <v/>
      </c>
      <c r="D2552" s="18" t="n">
        <v>767</v>
      </c>
      <c r="E2552" s="18" t="inlineStr">
        <is>
          <t>꼬시레</t>
        </is>
      </c>
      <c r="F2552" s="18" t="inlineStr">
        <is>
          <t>wimpod</t>
        </is>
      </c>
      <c r="G2552" s="18" t="inlineStr">
        <is>
          <t>wimpod</t>
        </is>
      </c>
      <c r="H2552" s="18" t="inlineStr"/>
      <c r="I2552" s="18" t="n">
        <v>7</v>
      </c>
      <c r="J2552" s="18" t="n"/>
      <c r="K2552" s="18" t="n">
        <v>7</v>
      </c>
      <c r="L2552" s="18" t="inlineStr">
        <is>
          <t>cobbleventure:generation_7</t>
        </is>
      </c>
      <c r="M2552" s="19" t="inlineStr">
        <is>
          <t>cobbleventure:generation_7</t>
        </is>
      </c>
      <c r="N2552" s="18" t="inlineStr">
        <is>
          <t>region_01; region_02</t>
        </is>
      </c>
      <c r="O2552" s="19" t="inlineStr"/>
      <c r="P2552" s="18" t="inlineStr">
        <is>
          <t>#cobblemon:is_overworld</t>
        </is>
      </c>
      <c r="Q2552" s="19" t="inlineStr"/>
      <c r="R2552" s="18">
        <f>IF(Q2552="",P2552,Q2552)</f>
        <v/>
      </c>
      <c r="S2552" s="18" t="inlineStr">
        <is>
          <t>#cobblemon:is_deep_dark</t>
        </is>
      </c>
      <c r="T2552" s="18" t="inlineStr">
        <is>
          <t>uncommon</t>
        </is>
      </c>
      <c r="U2552" s="20" t="n">
        <v>5.04</v>
      </c>
      <c r="V2552" s="21" t="n">
        <v>1</v>
      </c>
      <c r="W2552" s="20">
        <f>IF(OR(U2552="",V2552=""),U2552,U2552*V2552)</f>
        <v/>
      </c>
      <c r="X2552" s="18" t="inlineStr">
        <is>
          <t>1-23</t>
        </is>
      </c>
      <c r="Y2552" s="19" t="inlineStr"/>
      <c r="Z2552" s="18">
        <f>IF(Y2552="",X2552,Y2552)</f>
        <v/>
      </c>
      <c r="AA2552" s="18" t="inlineStr">
        <is>
          <t>grounded</t>
        </is>
      </c>
      <c r="AB2552" s="18" t="inlineStr"/>
      <c r="AC2552" s="18" t="inlineStr"/>
      <c r="AD2552" s="18" t="inlineStr">
        <is>
          <t>maxY=0</t>
        </is>
      </c>
      <c r="AE2552" s="18" t="inlineStr">
        <is>
          <t>sky 0-7</t>
        </is>
      </c>
      <c r="AF2552" s="18" t="inlineStr"/>
      <c r="AG2552" s="18" t="inlineStr"/>
      <c r="AH2552" s="18" t="inlineStr">
        <is>
          <t>주변=minecraft:water</t>
        </is>
      </c>
      <c r="AI2552" s="18" t="inlineStr"/>
      <c r="AJ2552" s="18" t="inlineStr">
        <is>
          <t>Cobblemon 동일</t>
        </is>
      </c>
      <c r="AK2552" s="18" t="inlineStr">
        <is>
          <t>사용</t>
        </is>
      </c>
      <c r="AL2552" s="18" t="inlineStr">
        <is>
          <t>COBBLEVERSE 1.7.42 / DP v31</t>
        </is>
      </c>
      <c r="AM2552" s="18" t="inlineStr">
        <is>
          <t>data/cobblemon/spawn_pool_world/0767_wimpod.json</t>
        </is>
      </c>
      <c r="AN2552" s="18" t="inlineStr">
        <is>
          <t>wimpod-3</t>
        </is>
      </c>
      <c r="AO2552" s="18" t="inlineStr">
        <is>
          <t>pokemon</t>
        </is>
      </c>
      <c r="AP2552" s="18" t="inlineStr">
        <is>
          <t>natural</t>
        </is>
      </c>
      <c r="AQ2552" s="18" t="inlineStr">
        <is>
          <t>{"biomes":["#cobblemon:is_overworld"],"maxSkyLight":7,"maxY":0,"minSkyLight":0,"neededNearbyBlocks":["minecraft:water"]}</t>
        </is>
      </c>
      <c r="AR2552" s="18" t="inlineStr">
        <is>
          <t>{"biomes":["#cobblemon:is_deep_dark"]}</t>
        </is>
      </c>
      <c r="AS2552" s="18" t="inlineStr"/>
      <c r="AT2552" s="19" t="inlineStr"/>
    </row>
    <row r="2553" ht="32" customHeight="1">
      <c r="A2553" s="18" t="inlineStr">
        <is>
          <t>0767_wimpod.json::wimpod-4::004</t>
        </is>
      </c>
      <c r="B2553" s="19" t="inlineStr">
        <is>
          <t>사용</t>
        </is>
      </c>
      <c r="C2553" s="18">
        <f>IF(OR(B2553&lt;&gt;AK2553,M2553&lt;&gt;L2553,O2553&lt;&gt;"",Q2553&lt;&gt;"",V2553&lt;&gt;1,Y2553&lt;&gt;"",AT2553&lt;&gt;""),"수정","원본")</f>
        <v/>
      </c>
      <c r="D2553" s="18" t="n">
        <v>767</v>
      </c>
      <c r="E2553" s="18" t="inlineStr">
        <is>
          <t>꼬시레</t>
        </is>
      </c>
      <c r="F2553" s="18" t="inlineStr">
        <is>
          <t>wimpod</t>
        </is>
      </c>
      <c r="G2553" s="18" t="inlineStr">
        <is>
          <t>wimpod</t>
        </is>
      </c>
      <c r="H2553" s="18" t="inlineStr"/>
      <c r="I2553" s="18" t="n">
        <v>7</v>
      </c>
      <c r="J2553" s="18" t="n"/>
      <c r="K2553" s="18" t="n">
        <v>7</v>
      </c>
      <c r="L2553" s="18" t="inlineStr">
        <is>
          <t>cobbleventure:generation_7</t>
        </is>
      </c>
      <c r="M2553" s="19" t="inlineStr">
        <is>
          <t>cobbleventure:generation_7</t>
        </is>
      </c>
      <c r="N2553" s="18" t="inlineStr">
        <is>
          <t>region_01; region_02</t>
        </is>
      </c>
      <c r="O2553" s="19" t="inlineStr"/>
      <c r="P2553" s="18" t="inlineStr">
        <is>
          <t>#cobblemon:is_overworld</t>
        </is>
      </c>
      <c r="Q2553" s="19" t="inlineStr"/>
      <c r="R2553" s="18">
        <f>IF(Q2553="",P2553,Q2553)</f>
        <v/>
      </c>
      <c r="S2553" s="18" t="inlineStr">
        <is>
          <t>#cobblemon:is_deep_dark</t>
        </is>
      </c>
      <c r="T2553" s="18" t="inlineStr">
        <is>
          <t>uncommon</t>
        </is>
      </c>
      <c r="U2553" s="20" t="n">
        <v>5.04</v>
      </c>
      <c r="V2553" s="21" t="n">
        <v>1</v>
      </c>
      <c r="W2553" s="20">
        <f>IF(OR(U2553="",V2553=""),U2553,U2553*V2553)</f>
        <v/>
      </c>
      <c r="X2553" s="18" t="inlineStr">
        <is>
          <t>1-23</t>
        </is>
      </c>
      <c r="Y2553" s="19" t="inlineStr"/>
      <c r="Z2553" s="18">
        <f>IF(Y2553="",X2553,Y2553)</f>
        <v/>
      </c>
      <c r="AA2553" s="18" t="inlineStr">
        <is>
          <t>seafloor</t>
        </is>
      </c>
      <c r="AB2553" s="18" t="inlineStr"/>
      <c r="AC2553" s="18" t="inlineStr"/>
      <c r="AD2553" s="18" t="inlineStr">
        <is>
          <t>maxY=0</t>
        </is>
      </c>
      <c r="AE2553" s="18" t="inlineStr">
        <is>
          <t>sky 0-7</t>
        </is>
      </c>
      <c r="AF2553" s="18" t="inlineStr"/>
      <c r="AG2553" s="18" t="inlineStr"/>
      <c r="AH2553" s="18" t="inlineStr"/>
      <c r="AI2553" s="18" t="inlineStr"/>
      <c r="AJ2553" s="18" t="inlineStr">
        <is>
          <t>Cobblemon 동일</t>
        </is>
      </c>
      <c r="AK2553" s="18" t="inlineStr">
        <is>
          <t>사용</t>
        </is>
      </c>
      <c r="AL2553" s="18" t="inlineStr">
        <is>
          <t>COBBLEVERSE 1.7.42 / DP v31</t>
        </is>
      </c>
      <c r="AM2553" s="18" t="inlineStr">
        <is>
          <t>data/cobblemon/spawn_pool_world/0767_wimpod.json</t>
        </is>
      </c>
      <c r="AN2553" s="18" t="inlineStr">
        <is>
          <t>wimpod-4</t>
        </is>
      </c>
      <c r="AO2553" s="18" t="inlineStr">
        <is>
          <t>pokemon</t>
        </is>
      </c>
      <c r="AP2553" s="18" t="inlineStr">
        <is>
          <t>water</t>
        </is>
      </c>
      <c r="AQ2553" s="18" t="inlineStr">
        <is>
          <t>{"biomes":["#cobblemon:is_overworld"],"maxSkyLight":7,"maxY":0,"minSkyLight":0}</t>
        </is>
      </c>
      <c r="AR2553" s="18" t="inlineStr">
        <is>
          <t>{"biomes":["#cobblemon:is_deep_dark"]}</t>
        </is>
      </c>
      <c r="AS2553" s="18" t="inlineStr"/>
      <c r="AT2553" s="19" t="inlineStr"/>
    </row>
    <row r="2554" ht="32" customHeight="1">
      <c r="A2554" s="18" t="inlineStr">
        <is>
          <t>0767_wimpod.json::wimpod-5::005</t>
        </is>
      </c>
      <c r="B2554" s="19" t="inlineStr">
        <is>
          <t>사용</t>
        </is>
      </c>
      <c r="C2554" s="18">
        <f>IF(OR(B2554&lt;&gt;AK2554,M2554&lt;&gt;L2554,O2554&lt;&gt;"",Q2554&lt;&gt;"",V2554&lt;&gt;1,Y2554&lt;&gt;"",AT2554&lt;&gt;""),"수정","원본")</f>
        <v/>
      </c>
      <c r="D2554" s="18" t="n">
        <v>767</v>
      </c>
      <c r="E2554" s="18" t="inlineStr">
        <is>
          <t>꼬시레</t>
        </is>
      </c>
      <c r="F2554" s="18" t="inlineStr">
        <is>
          <t>wimpod</t>
        </is>
      </c>
      <c r="G2554" s="18" t="inlineStr">
        <is>
          <t>wimpod</t>
        </is>
      </c>
      <c r="H2554" s="18" t="inlineStr"/>
      <c r="I2554" s="18" t="n">
        <v>7</v>
      </c>
      <c r="J2554" s="18" t="n"/>
      <c r="K2554" s="18" t="n">
        <v>7</v>
      </c>
      <c r="L2554" s="18" t="inlineStr">
        <is>
          <t>cobbleventure:generation_7</t>
        </is>
      </c>
      <c r="M2554" s="19" t="inlineStr">
        <is>
          <t>cobbleventure:generation_7</t>
        </is>
      </c>
      <c r="N2554" s="18" t="inlineStr"/>
      <c r="O2554" s="19" t="inlineStr"/>
      <c r="P2554" s="18" t="inlineStr">
        <is>
          <t>#cobblemon:is_coast; #cobblemon:is_tropical_island</t>
        </is>
      </c>
      <c r="Q2554" s="19" t="inlineStr"/>
      <c r="R2554" s="18">
        <f>IF(Q2554="",P2554,Q2554)</f>
        <v/>
      </c>
      <c r="S2554" s="18" t="inlineStr"/>
      <c r="T2554" s="18" t="inlineStr">
        <is>
          <t>uncommon</t>
        </is>
      </c>
      <c r="U2554" s="20" t="n">
        <v>8.4</v>
      </c>
      <c r="V2554" s="21" t="n">
        <v>1</v>
      </c>
      <c r="W2554" s="20">
        <f>IF(OR(U2554="",V2554=""),U2554,U2554*V2554)</f>
        <v/>
      </c>
      <c r="X2554" s="18" t="inlineStr">
        <is>
          <t>1-23</t>
        </is>
      </c>
      <c r="Y2554" s="19" t="inlineStr"/>
      <c r="Z2554" s="18">
        <f>IF(Y2554="",X2554,Y2554)</f>
        <v/>
      </c>
      <c r="AA2554" s="18" t="inlineStr">
        <is>
          <t>fishing</t>
        </is>
      </c>
      <c r="AB2554" s="18" t="inlineStr"/>
      <c r="AC2554" s="18" t="inlineStr"/>
      <c r="AD2554" s="18" t="inlineStr"/>
      <c r="AE2554" s="18" t="inlineStr"/>
      <c r="AF2554" s="18" t="inlineStr">
        <is>
          <t>True</t>
        </is>
      </c>
      <c r="AG2554" s="18" t="inlineStr"/>
      <c r="AH2554" s="18" t="inlineStr"/>
      <c r="AI2554" s="18" t="inlineStr"/>
      <c r="AJ2554" s="18" t="inlineStr">
        <is>
          <t>Cobblemon 동일</t>
        </is>
      </c>
      <c r="AK2554" s="18" t="inlineStr">
        <is>
          <t>사용</t>
        </is>
      </c>
      <c r="AL2554" s="18" t="inlineStr">
        <is>
          <t>COBBLEVERSE 1.7.42 / DP v31</t>
        </is>
      </c>
      <c r="AM2554" s="18" t="inlineStr">
        <is>
          <t>data/cobblemon/spawn_pool_world/0767_wimpod.json</t>
        </is>
      </c>
      <c r="AN2554" s="18" t="inlineStr">
        <is>
          <t>wimpod-5</t>
        </is>
      </c>
      <c r="AO2554" s="18" t="inlineStr">
        <is>
          <t>pokemon</t>
        </is>
      </c>
      <c r="AP2554" s="18" t="inlineStr"/>
      <c r="AQ2554" s="18" t="inlineStr">
        <is>
          <t>{"biomes":["#cobblemon:is_coast","#cobblemon:is_tropical_island"],"canSeeSky":true}</t>
        </is>
      </c>
      <c r="AR2554" s="18" t="inlineStr">
        <is>
          <t>{"minLureLevel":1}</t>
        </is>
      </c>
      <c r="AS2554" s="18" t="inlineStr"/>
      <c r="AT2554" s="19" t="inlineStr"/>
    </row>
    <row r="2555" ht="32" customHeight="1">
      <c r="A2555" s="18" t="inlineStr">
        <is>
          <t>0767_wimpod.json::wimpod-6::006</t>
        </is>
      </c>
      <c r="B2555" s="19" t="inlineStr">
        <is>
          <t>사용</t>
        </is>
      </c>
      <c r="C2555" s="18">
        <f>IF(OR(B2555&lt;&gt;AK2555,M2555&lt;&gt;L2555,O2555&lt;&gt;"",Q2555&lt;&gt;"",V2555&lt;&gt;1,Y2555&lt;&gt;"",AT2555&lt;&gt;""),"수정","원본")</f>
        <v/>
      </c>
      <c r="D2555" s="18" t="n">
        <v>767</v>
      </c>
      <c r="E2555" s="18" t="inlineStr">
        <is>
          <t>꼬시레</t>
        </is>
      </c>
      <c r="F2555" s="18" t="inlineStr">
        <is>
          <t>wimpod</t>
        </is>
      </c>
      <c r="G2555" s="18" t="inlineStr">
        <is>
          <t>wimpod</t>
        </is>
      </c>
      <c r="H2555" s="18" t="inlineStr"/>
      <c r="I2555" s="18" t="n">
        <v>7</v>
      </c>
      <c r="J2555" s="18" t="n"/>
      <c r="K2555" s="18" t="n">
        <v>7</v>
      </c>
      <c r="L2555" s="18" t="inlineStr">
        <is>
          <t>cobbleventure:generation_7</t>
        </is>
      </c>
      <c r="M2555" s="19" t="inlineStr">
        <is>
          <t>cobbleventure:generation_7</t>
        </is>
      </c>
      <c r="N2555" s="18" t="inlineStr"/>
      <c r="O2555" s="19" t="inlineStr"/>
      <c r="P2555" s="18" t="inlineStr">
        <is>
          <t>#cobblemon:is_coast; #cobblemon:is_tropical_island</t>
        </is>
      </c>
      <c r="Q2555" s="19" t="inlineStr"/>
      <c r="R2555" s="18">
        <f>IF(Q2555="",P2555,Q2555)</f>
        <v/>
      </c>
      <c r="S2555" s="18" t="inlineStr"/>
      <c r="T2555" s="18" t="inlineStr">
        <is>
          <t>common</t>
        </is>
      </c>
      <c r="U2555" s="20" t="n">
        <v>9</v>
      </c>
      <c r="V2555" s="21" t="n">
        <v>1</v>
      </c>
      <c r="W2555" s="20">
        <f>IF(OR(U2555="",V2555=""),U2555,U2555*V2555)</f>
        <v/>
      </c>
      <c r="X2555" s="18" t="inlineStr">
        <is>
          <t>1-23</t>
        </is>
      </c>
      <c r="Y2555" s="19" t="inlineStr"/>
      <c r="Z2555" s="18">
        <f>IF(Y2555="",X2555,Y2555)</f>
        <v/>
      </c>
      <c r="AA2555" s="18" t="inlineStr">
        <is>
          <t>fishing</t>
        </is>
      </c>
      <c r="AB2555" s="18" t="inlineStr"/>
      <c r="AC2555" s="18" t="inlineStr"/>
      <c r="AD2555" s="18" t="inlineStr"/>
      <c r="AE2555" s="18" t="inlineStr"/>
      <c r="AF2555" s="18" t="inlineStr">
        <is>
          <t>True</t>
        </is>
      </c>
      <c r="AG2555" s="18" t="inlineStr"/>
      <c r="AH2555" s="18" t="inlineStr"/>
      <c r="AI2555" s="18" t="inlineStr">
        <is>
          <t>{"fishing":{"minLureLevel":1}}</t>
        </is>
      </c>
      <c r="AJ2555" s="18" t="inlineStr">
        <is>
          <t>Cobblemon 동일</t>
        </is>
      </c>
      <c r="AK2555" s="18" t="inlineStr">
        <is>
          <t>사용</t>
        </is>
      </c>
      <c r="AL2555" s="18" t="inlineStr">
        <is>
          <t>COBBLEVERSE 1.7.42 / DP v31</t>
        </is>
      </c>
      <c r="AM2555" s="18" t="inlineStr">
        <is>
          <t>data/cobblemon/spawn_pool_world/0767_wimpod.json</t>
        </is>
      </c>
      <c r="AN2555" s="18" t="inlineStr">
        <is>
          <t>wimpod-6</t>
        </is>
      </c>
      <c r="AO2555" s="18" t="inlineStr">
        <is>
          <t>pokemon</t>
        </is>
      </c>
      <c r="AP2555" s="18" t="inlineStr"/>
      <c r="AQ2555" s="18" t="inlineStr">
        <is>
          <t>{"biomes":["#cobblemon:is_coast","#cobblemon:is_tropical_island"],"canSeeSky":true,"minLureLevel":1}</t>
        </is>
      </c>
      <c r="AR2555" s="18" t="inlineStr"/>
      <c r="AS2555" s="18" t="inlineStr">
        <is>
          <t>{"weightMultiplier":{"condition":{"maxLureLevel":2,"minLureLevel":1},"multiplier":0.6}}</t>
        </is>
      </c>
      <c r="AT2555" s="19" t="inlineStr"/>
    </row>
    <row r="2556" ht="32" customHeight="1">
      <c r="A2556" s="18" t="inlineStr">
        <is>
          <t>0767_wimpod.json::wimpod-7::007</t>
        </is>
      </c>
      <c r="B2556" s="19" t="inlineStr">
        <is>
          <t>사용</t>
        </is>
      </c>
      <c r="C2556" s="18">
        <f>IF(OR(B2556&lt;&gt;AK2556,M2556&lt;&gt;L2556,O2556&lt;&gt;"",Q2556&lt;&gt;"",V2556&lt;&gt;1,Y2556&lt;&gt;"",AT2556&lt;&gt;""),"수정","원본")</f>
        <v/>
      </c>
      <c r="D2556" s="18" t="n">
        <v>767</v>
      </c>
      <c r="E2556" s="18" t="inlineStr">
        <is>
          <t>꼬시레</t>
        </is>
      </c>
      <c r="F2556" s="18" t="inlineStr">
        <is>
          <t>wimpod</t>
        </is>
      </c>
      <c r="G2556" s="18" t="inlineStr">
        <is>
          <t>wimpod</t>
        </is>
      </c>
      <c r="H2556" s="18" t="inlineStr"/>
      <c r="I2556" s="18" t="n">
        <v>7</v>
      </c>
      <c r="J2556" s="18" t="n"/>
      <c r="K2556" s="18" t="n">
        <v>7</v>
      </c>
      <c r="L2556" s="18" t="inlineStr">
        <is>
          <t>cobbleventure:generation_7</t>
        </is>
      </c>
      <c r="M2556" s="19" t="inlineStr">
        <is>
          <t>cobbleventure:generation_7</t>
        </is>
      </c>
      <c r="N2556" s="18" t="inlineStr">
        <is>
          <t>region_01; region_02</t>
        </is>
      </c>
      <c r="O2556" s="19" t="inlineStr"/>
      <c r="P2556" s="18" t="inlineStr">
        <is>
          <t>#cobblemon:is_overworld</t>
        </is>
      </c>
      <c r="Q2556" s="19" t="inlineStr"/>
      <c r="R2556" s="18">
        <f>IF(Q2556="",P2556,Q2556)</f>
        <v/>
      </c>
      <c r="S2556" s="18" t="inlineStr">
        <is>
          <t>#cobblemon:is_deep_dark</t>
        </is>
      </c>
      <c r="T2556" s="18" t="inlineStr">
        <is>
          <t>common</t>
        </is>
      </c>
      <c r="U2556" s="20" t="n">
        <v>9</v>
      </c>
      <c r="V2556" s="21" t="n">
        <v>1</v>
      </c>
      <c r="W2556" s="20">
        <f>IF(OR(U2556="",V2556=""),U2556,U2556*V2556)</f>
        <v/>
      </c>
      <c r="X2556" s="18" t="inlineStr">
        <is>
          <t>1-23</t>
        </is>
      </c>
      <c r="Y2556" s="19" t="inlineStr"/>
      <c r="Z2556" s="18">
        <f>IF(Y2556="",X2556,Y2556)</f>
        <v/>
      </c>
      <c r="AA2556" s="18" t="inlineStr">
        <is>
          <t>fishing</t>
        </is>
      </c>
      <c r="AB2556" s="18" t="inlineStr"/>
      <c r="AC2556" s="18" t="inlineStr"/>
      <c r="AD2556" s="18" t="inlineStr"/>
      <c r="AE2556" s="18" t="inlineStr">
        <is>
          <t>sky 0-7</t>
        </is>
      </c>
      <c r="AF2556" s="18" t="inlineStr"/>
      <c r="AG2556" s="18" t="inlineStr"/>
      <c r="AH2556" s="18" t="inlineStr"/>
      <c r="AI2556" s="18" t="inlineStr"/>
      <c r="AJ2556" s="18" t="inlineStr">
        <is>
          <t>Cobblemon 동일</t>
        </is>
      </c>
      <c r="AK2556" s="18" t="inlineStr">
        <is>
          <t>사용</t>
        </is>
      </c>
      <c r="AL2556" s="18" t="inlineStr">
        <is>
          <t>COBBLEVERSE 1.7.42 / DP v31</t>
        </is>
      </c>
      <c r="AM2556" s="18" t="inlineStr">
        <is>
          <t>data/cobblemon/spawn_pool_world/0767_wimpod.json</t>
        </is>
      </c>
      <c r="AN2556" s="18" t="inlineStr">
        <is>
          <t>wimpod-7</t>
        </is>
      </c>
      <c r="AO2556" s="18" t="inlineStr">
        <is>
          <t>pokemon</t>
        </is>
      </c>
      <c r="AP2556" s="18" t="inlineStr"/>
      <c r="AQ2556" s="18" t="inlineStr">
        <is>
          <t>{"biomes":["#cobblemon:is_overworld"],"maxSkyLight":7,"minSkyLight":0}</t>
        </is>
      </c>
      <c r="AR2556" s="18" t="inlineStr">
        <is>
          <t>{"biomes":["#cobblemon:is_deep_dark"]}</t>
        </is>
      </c>
      <c r="AS2556" s="18" t="inlineStr">
        <is>
          <t>{"weightMultiplier":{"condition":{"maxLureLevel":1,"minLureLevel":0},"multiplier":0.6}}</t>
        </is>
      </c>
      <c r="AT2556" s="19" t="inlineStr"/>
    </row>
    <row r="2557" ht="32" customHeight="1">
      <c r="A2557" s="18" t="inlineStr">
        <is>
          <t>0767_wimpod.json::wimpod-8::008</t>
        </is>
      </c>
      <c r="B2557" s="19" t="inlineStr">
        <is>
          <t>사용</t>
        </is>
      </c>
      <c r="C2557" s="18">
        <f>IF(OR(B2557&lt;&gt;AK2557,M2557&lt;&gt;L2557,O2557&lt;&gt;"",Q2557&lt;&gt;"",V2557&lt;&gt;1,Y2557&lt;&gt;"",AT2557&lt;&gt;""),"수정","원본")</f>
        <v/>
      </c>
      <c r="D2557" s="18" t="n">
        <v>767</v>
      </c>
      <c r="E2557" s="18" t="inlineStr">
        <is>
          <t>꼬시레</t>
        </is>
      </c>
      <c r="F2557" s="18" t="inlineStr">
        <is>
          <t>wimpod</t>
        </is>
      </c>
      <c r="G2557" s="18" t="inlineStr">
        <is>
          <t>wimpod</t>
        </is>
      </c>
      <c r="H2557" s="18" t="inlineStr"/>
      <c r="I2557" s="18" t="n">
        <v>7</v>
      </c>
      <c r="J2557" s="18" t="n"/>
      <c r="K2557" s="18" t="n">
        <v>7</v>
      </c>
      <c r="L2557" s="18" t="inlineStr">
        <is>
          <t>cobbleventure:generation_7</t>
        </is>
      </c>
      <c r="M2557" s="19" t="inlineStr">
        <is>
          <t>cobbleventure:generation_7</t>
        </is>
      </c>
      <c r="N2557" s="18" t="inlineStr"/>
      <c r="O2557" s="19" t="inlineStr"/>
      <c r="P2557" s="18" t="inlineStr">
        <is>
          <t>#cobblemon:is_coast; #cobblemon:is_tropical_island</t>
        </is>
      </c>
      <c r="Q2557" s="19" t="inlineStr"/>
      <c r="R2557" s="18">
        <f>IF(Q2557="",P2557,Q2557)</f>
        <v/>
      </c>
      <c r="S2557" s="18" t="inlineStr"/>
      <c r="T2557" s="18" t="inlineStr">
        <is>
          <t>uncommon</t>
        </is>
      </c>
      <c r="U2557" s="20" t="n">
        <v>8.4</v>
      </c>
      <c r="V2557" s="21" t="n">
        <v>1</v>
      </c>
      <c r="W2557" s="20">
        <f>IF(OR(U2557="",V2557=""),U2557,U2557*V2557)</f>
        <v/>
      </c>
      <c r="X2557" s="18" t="inlineStr">
        <is>
          <t>1-23</t>
        </is>
      </c>
      <c r="Y2557" s="19" t="inlineStr"/>
      <c r="Z2557" s="18">
        <f>IF(Y2557="",X2557,Y2557)</f>
        <v/>
      </c>
      <c r="AA2557" s="18" t="inlineStr">
        <is>
          <t>fishing</t>
        </is>
      </c>
      <c r="AB2557" s="18" t="inlineStr"/>
      <c r="AC2557" s="18" t="inlineStr"/>
      <c r="AD2557" s="18" t="inlineStr"/>
      <c r="AE2557" s="18" t="inlineStr">
        <is>
          <t>sky 8-15</t>
        </is>
      </c>
      <c r="AF2557" s="18" t="inlineStr">
        <is>
          <t>False</t>
        </is>
      </c>
      <c r="AG2557" s="18" t="inlineStr"/>
      <c r="AH2557" s="18" t="inlineStr"/>
      <c r="AI2557" s="18" t="inlineStr"/>
      <c r="AJ2557" s="18" t="inlineStr">
        <is>
          <t>Cobblemon 동일</t>
        </is>
      </c>
      <c r="AK2557" s="18" t="inlineStr">
        <is>
          <t>사용</t>
        </is>
      </c>
      <c r="AL2557" s="18" t="inlineStr">
        <is>
          <t>COBBLEVERSE 1.7.42 / DP v31</t>
        </is>
      </c>
      <c r="AM2557" s="18" t="inlineStr">
        <is>
          <t>data/cobblemon/spawn_pool_world/0767_wimpod.json</t>
        </is>
      </c>
      <c r="AN2557" s="18" t="inlineStr">
        <is>
          <t>wimpod-8</t>
        </is>
      </c>
      <c r="AO2557" s="18" t="inlineStr">
        <is>
          <t>pokemon</t>
        </is>
      </c>
      <c r="AP2557" s="18" t="inlineStr"/>
      <c r="AQ2557" s="18" t="inlineStr">
        <is>
          <t>{"biomes":["#cobblemon:is_coast","#cobblemon:is_tropical_island"],"canSeeSky":false,"maxSkyLight":15,"minSkyLight":8}</t>
        </is>
      </c>
      <c r="AR2557" s="18" t="inlineStr">
        <is>
          <t>{"minLureLevel":1}</t>
        </is>
      </c>
      <c r="AS2557" s="18" t="inlineStr"/>
      <c r="AT2557" s="19" t="inlineStr"/>
    </row>
    <row r="2558" ht="32" customHeight="1">
      <c r="A2558" s="18" t="inlineStr">
        <is>
          <t>0767_wimpod.json::wimpod-9::009</t>
        </is>
      </c>
      <c r="B2558" s="19" t="inlineStr">
        <is>
          <t>사용</t>
        </is>
      </c>
      <c r="C2558" s="18">
        <f>IF(OR(B2558&lt;&gt;AK2558,M2558&lt;&gt;L2558,O2558&lt;&gt;"",Q2558&lt;&gt;"",V2558&lt;&gt;1,Y2558&lt;&gt;"",AT2558&lt;&gt;""),"수정","원본")</f>
        <v/>
      </c>
      <c r="D2558" s="18" t="n">
        <v>767</v>
      </c>
      <c r="E2558" s="18" t="inlineStr">
        <is>
          <t>꼬시레</t>
        </is>
      </c>
      <c r="F2558" s="18" t="inlineStr">
        <is>
          <t>wimpod</t>
        </is>
      </c>
      <c r="G2558" s="18" t="inlineStr">
        <is>
          <t>wimpod</t>
        </is>
      </c>
      <c r="H2558" s="18" t="inlineStr"/>
      <c r="I2558" s="18" t="n">
        <v>7</v>
      </c>
      <c r="J2558" s="18" t="n"/>
      <c r="K2558" s="18" t="n">
        <v>7</v>
      </c>
      <c r="L2558" s="18" t="inlineStr">
        <is>
          <t>cobbleventure:generation_7</t>
        </is>
      </c>
      <c r="M2558" s="19" t="inlineStr">
        <is>
          <t>cobbleventure:generation_7</t>
        </is>
      </c>
      <c r="N2558" s="18" t="inlineStr"/>
      <c r="O2558" s="19" t="inlineStr"/>
      <c r="P2558" s="18" t="inlineStr">
        <is>
          <t>#cobblemon:is_coast; #cobblemon:is_tropical_island</t>
        </is>
      </c>
      <c r="Q2558" s="19" t="inlineStr"/>
      <c r="R2558" s="18">
        <f>IF(Q2558="",P2558,Q2558)</f>
        <v/>
      </c>
      <c r="S2558" s="18" t="inlineStr"/>
      <c r="T2558" s="18" t="inlineStr">
        <is>
          <t>common</t>
        </is>
      </c>
      <c r="U2558" s="20" t="n">
        <v>9</v>
      </c>
      <c r="V2558" s="21" t="n">
        <v>1</v>
      </c>
      <c r="W2558" s="20">
        <f>IF(OR(U2558="",V2558=""),U2558,U2558*V2558)</f>
        <v/>
      </c>
      <c r="X2558" s="18" t="inlineStr">
        <is>
          <t>1-23</t>
        </is>
      </c>
      <c r="Y2558" s="19" t="inlineStr"/>
      <c r="Z2558" s="18">
        <f>IF(Y2558="",X2558,Y2558)</f>
        <v/>
      </c>
      <c r="AA2558" s="18" t="inlineStr">
        <is>
          <t>fishing</t>
        </is>
      </c>
      <c r="AB2558" s="18" t="inlineStr"/>
      <c r="AC2558" s="18" t="inlineStr"/>
      <c r="AD2558" s="18" t="inlineStr"/>
      <c r="AE2558" s="18" t="inlineStr">
        <is>
          <t>sky 8-15</t>
        </is>
      </c>
      <c r="AF2558" s="18" t="inlineStr">
        <is>
          <t>False</t>
        </is>
      </c>
      <c r="AG2558" s="18" t="inlineStr"/>
      <c r="AH2558" s="18" t="inlineStr"/>
      <c r="AI2558" s="18" t="inlineStr">
        <is>
          <t>{"fishing":{"minLureLevel":1}}</t>
        </is>
      </c>
      <c r="AJ2558" s="18" t="inlineStr">
        <is>
          <t>Cobblemon 동일</t>
        </is>
      </c>
      <c r="AK2558" s="18" t="inlineStr">
        <is>
          <t>사용</t>
        </is>
      </c>
      <c r="AL2558" s="18" t="inlineStr">
        <is>
          <t>COBBLEVERSE 1.7.42 / DP v31</t>
        </is>
      </c>
      <c r="AM2558" s="18" t="inlineStr">
        <is>
          <t>data/cobblemon/spawn_pool_world/0767_wimpod.json</t>
        </is>
      </c>
      <c r="AN2558" s="18" t="inlineStr">
        <is>
          <t>wimpod-9</t>
        </is>
      </c>
      <c r="AO2558" s="18" t="inlineStr">
        <is>
          <t>pokemon</t>
        </is>
      </c>
      <c r="AP2558" s="18" t="inlineStr"/>
      <c r="AQ2558" s="18" t="inlineStr">
        <is>
          <t>{"biomes":["#cobblemon:is_coast","#cobblemon:is_tropical_island"],"canSeeSky":false,"maxSkyLight":15,"minLureLevel":1,"minSkyLight":8}</t>
        </is>
      </c>
      <c r="AR2558" s="18" t="inlineStr"/>
      <c r="AS2558" s="18" t="inlineStr">
        <is>
          <t>{"weightMultiplier":{"condition":{"maxLureLevel":2,"minLureLevel":1},"multiplier":0.6}}</t>
        </is>
      </c>
      <c r="AT2558" s="19" t="inlineStr"/>
    </row>
    <row r="2559" ht="32" customHeight="1">
      <c r="A2559" s="18" t="inlineStr">
        <is>
          <t>0768_golisopod.json::golisopod-1::001</t>
        </is>
      </c>
      <c r="B2559" s="19" t="inlineStr">
        <is>
          <t>사용</t>
        </is>
      </c>
      <c r="C2559" s="18">
        <f>IF(OR(B2559&lt;&gt;AK2559,M2559&lt;&gt;L2559,O2559&lt;&gt;"",Q2559&lt;&gt;"",V2559&lt;&gt;1,Y2559&lt;&gt;"",AT2559&lt;&gt;""),"수정","원본")</f>
        <v/>
      </c>
      <c r="D2559" s="18" t="n">
        <v>768</v>
      </c>
      <c r="E2559" s="18" t="inlineStr">
        <is>
          <t>갑주무사</t>
        </is>
      </c>
      <c r="F2559" s="18" t="inlineStr">
        <is>
          <t>golisopod</t>
        </is>
      </c>
      <c r="G2559" s="18" t="inlineStr">
        <is>
          <t>golisopod</t>
        </is>
      </c>
      <c r="H2559" s="18" t="inlineStr"/>
      <c r="I2559" s="18" t="n">
        <v>7</v>
      </c>
      <c r="J2559" s="18" t="n"/>
      <c r="K2559" s="18" t="n">
        <v>7</v>
      </c>
      <c r="L2559" s="18" t="inlineStr">
        <is>
          <t>cobbleventure:generation_7</t>
        </is>
      </c>
      <c r="M2559" s="19" t="inlineStr">
        <is>
          <t>cobbleventure:generation_7</t>
        </is>
      </c>
      <c r="N2559" s="18" t="inlineStr"/>
      <c r="O2559" s="19" t="inlineStr"/>
      <c r="P2559" s="18" t="inlineStr">
        <is>
          <t>#cobblemon:is_coast</t>
        </is>
      </c>
      <c r="Q2559" s="19" t="inlineStr"/>
      <c r="R2559" s="18">
        <f>IF(Q2559="",P2559,Q2559)</f>
        <v/>
      </c>
      <c r="S2559" s="18" t="inlineStr"/>
      <c r="T2559" s="18" t="inlineStr">
        <is>
          <t>uncommon</t>
        </is>
      </c>
      <c r="U2559" s="20" t="n">
        <v>1.6</v>
      </c>
      <c r="V2559" s="21" t="n">
        <v>1</v>
      </c>
      <c r="W2559" s="20">
        <f>IF(OR(U2559="",V2559=""),U2559,U2559*V2559)</f>
        <v/>
      </c>
      <c r="X2559" s="18" t="inlineStr">
        <is>
          <t>30-53</t>
        </is>
      </c>
      <c r="Y2559" s="19" t="inlineStr"/>
      <c r="Z2559" s="18">
        <f>IF(Y2559="",X2559,Y2559)</f>
        <v/>
      </c>
      <c r="AA2559" s="18" t="inlineStr">
        <is>
          <t>grounded</t>
        </is>
      </c>
      <c r="AB2559" s="18" t="inlineStr"/>
      <c r="AC2559" s="18" t="inlineStr"/>
      <c r="AD2559" s="18" t="inlineStr"/>
      <c r="AE2559" s="18" t="inlineStr">
        <is>
          <t>sky 8-15</t>
        </is>
      </c>
      <c r="AF2559" s="18" t="inlineStr"/>
      <c r="AG2559" s="18" t="inlineStr"/>
      <c r="AH2559" s="18" t="inlineStr"/>
      <c r="AI2559" s="18" t="inlineStr"/>
      <c r="AJ2559" s="18" t="inlineStr">
        <is>
          <t>Cobblemon 동일</t>
        </is>
      </c>
      <c r="AK2559" s="18" t="inlineStr">
        <is>
          <t>사용</t>
        </is>
      </c>
      <c r="AL2559" s="18" t="inlineStr">
        <is>
          <t>COBBLEVERSE 1.7.42 / DP v31</t>
        </is>
      </c>
      <c r="AM2559" s="18" t="inlineStr">
        <is>
          <t>data/cobblemon/spawn_pool_world/0768_golisopod.json</t>
        </is>
      </c>
      <c r="AN2559" s="18" t="inlineStr">
        <is>
          <t>golisopod-1</t>
        </is>
      </c>
      <c r="AO2559" s="18" t="inlineStr">
        <is>
          <t>pokemon</t>
        </is>
      </c>
      <c r="AP2559" s="18" t="inlineStr">
        <is>
          <t>natural; wild</t>
        </is>
      </c>
      <c r="AQ2559" s="18" t="inlineStr">
        <is>
          <t>{"biomes":["#cobblemon:is_coast"],"maxSkyLight":15,"minSkyLight":8}</t>
        </is>
      </c>
      <c r="AR2559" s="18" t="inlineStr"/>
      <c r="AS2559" s="18" t="inlineStr"/>
      <c r="AT2559" s="19" t="inlineStr"/>
    </row>
    <row r="2560" ht="32" customHeight="1">
      <c r="A2560" s="18" t="inlineStr">
        <is>
          <t>0768_golisopod.json::golisopod-2::002</t>
        </is>
      </c>
      <c r="B2560" s="19" t="inlineStr">
        <is>
          <t>사용</t>
        </is>
      </c>
      <c r="C2560" s="18">
        <f>IF(OR(B2560&lt;&gt;AK2560,M2560&lt;&gt;L2560,O2560&lt;&gt;"",Q2560&lt;&gt;"",V2560&lt;&gt;1,Y2560&lt;&gt;"",AT2560&lt;&gt;""),"수정","원본")</f>
        <v/>
      </c>
      <c r="D2560" s="18" t="n">
        <v>768</v>
      </c>
      <c r="E2560" s="18" t="inlineStr">
        <is>
          <t>갑주무사</t>
        </is>
      </c>
      <c r="F2560" s="18" t="inlineStr">
        <is>
          <t>golisopod</t>
        </is>
      </c>
      <c r="G2560" s="18" t="inlineStr">
        <is>
          <t>golisopod</t>
        </is>
      </c>
      <c r="H2560" s="18" t="inlineStr"/>
      <c r="I2560" s="18" t="n">
        <v>7</v>
      </c>
      <c r="J2560" s="18" t="n"/>
      <c r="K2560" s="18" t="n">
        <v>7</v>
      </c>
      <c r="L2560" s="18" t="inlineStr">
        <is>
          <t>cobbleventure:generation_7</t>
        </is>
      </c>
      <c r="M2560" s="19" t="inlineStr">
        <is>
          <t>cobbleventure:generation_7</t>
        </is>
      </c>
      <c r="N2560" s="18" t="inlineStr"/>
      <c r="O2560" s="19" t="inlineStr"/>
      <c r="P2560" s="18" t="inlineStr">
        <is>
          <t>#cobblemon:is_tropical_island</t>
        </is>
      </c>
      <c r="Q2560" s="19" t="inlineStr"/>
      <c r="R2560" s="18">
        <f>IF(Q2560="",P2560,Q2560)</f>
        <v/>
      </c>
      <c r="S2560" s="18" t="inlineStr"/>
      <c r="T2560" s="18" t="inlineStr">
        <is>
          <t>uncommon</t>
        </is>
      </c>
      <c r="U2560" s="20" t="n">
        <v>1.6</v>
      </c>
      <c r="V2560" s="21" t="n">
        <v>1</v>
      </c>
      <c r="W2560" s="20">
        <f>IF(OR(U2560="",V2560=""),U2560,U2560*V2560)</f>
        <v/>
      </c>
      <c r="X2560" s="18" t="inlineStr">
        <is>
          <t>30-53</t>
        </is>
      </c>
      <c r="Y2560" s="19" t="inlineStr"/>
      <c r="Z2560" s="18">
        <f>IF(Y2560="",X2560,Y2560)</f>
        <v/>
      </c>
      <c r="AA2560" s="18" t="inlineStr">
        <is>
          <t>grounded</t>
        </is>
      </c>
      <c r="AB2560" s="18" t="inlineStr"/>
      <c r="AC2560" s="18" t="inlineStr"/>
      <c r="AD2560" s="18" t="inlineStr"/>
      <c r="AE2560" s="18" t="inlineStr">
        <is>
          <t>sky 8-15</t>
        </is>
      </c>
      <c r="AF2560" s="18" t="inlineStr"/>
      <c r="AG2560" s="18" t="inlineStr"/>
      <c r="AH2560" s="18" t="inlineStr">
        <is>
          <t>주변=minecraft:water</t>
        </is>
      </c>
      <c r="AI2560" s="18" t="inlineStr"/>
      <c r="AJ2560" s="18" t="inlineStr">
        <is>
          <t>Cobblemon 동일</t>
        </is>
      </c>
      <c r="AK2560" s="18" t="inlineStr">
        <is>
          <t>사용</t>
        </is>
      </c>
      <c r="AL2560" s="18" t="inlineStr">
        <is>
          <t>COBBLEVERSE 1.7.42 / DP v31</t>
        </is>
      </c>
      <c r="AM2560" s="18" t="inlineStr">
        <is>
          <t>data/cobblemon/spawn_pool_world/0768_golisopod.json</t>
        </is>
      </c>
      <c r="AN2560" s="18" t="inlineStr">
        <is>
          <t>golisopod-2</t>
        </is>
      </c>
      <c r="AO2560" s="18" t="inlineStr">
        <is>
          <t>pokemon</t>
        </is>
      </c>
      <c r="AP2560" s="18" t="inlineStr">
        <is>
          <t>natural; wild</t>
        </is>
      </c>
      <c r="AQ2560" s="18" t="inlineStr">
        <is>
          <t>{"biomes":["#cobblemon:is_tropical_island"],"maxSkyLight":15,"minSkyLight":8,"neededNearbyBlocks":["minecraft:water"]}</t>
        </is>
      </c>
      <c r="AR2560" s="18" t="inlineStr"/>
      <c r="AS2560" s="18" t="inlineStr"/>
      <c r="AT2560" s="19" t="inlineStr"/>
    </row>
    <row r="2561" ht="32" customHeight="1">
      <c r="A2561" s="18" t="inlineStr">
        <is>
          <t>0768_golisopod.json::golisopod-3::003</t>
        </is>
      </c>
      <c r="B2561" s="19" t="inlineStr">
        <is>
          <t>사용</t>
        </is>
      </c>
      <c r="C2561" s="18">
        <f>IF(OR(B2561&lt;&gt;AK2561,M2561&lt;&gt;L2561,O2561&lt;&gt;"",Q2561&lt;&gt;"",V2561&lt;&gt;1,Y2561&lt;&gt;"",AT2561&lt;&gt;""),"수정","원본")</f>
        <v/>
      </c>
      <c r="D2561" s="18" t="n">
        <v>768</v>
      </c>
      <c r="E2561" s="18" t="inlineStr">
        <is>
          <t>갑주무사</t>
        </is>
      </c>
      <c r="F2561" s="18" t="inlineStr">
        <is>
          <t>golisopod</t>
        </is>
      </c>
      <c r="G2561" s="18" t="inlineStr">
        <is>
          <t>golisopod</t>
        </is>
      </c>
      <c r="H2561" s="18" t="inlineStr"/>
      <c r="I2561" s="18" t="n">
        <v>7</v>
      </c>
      <c r="J2561" s="18" t="n"/>
      <c r="K2561" s="18" t="n">
        <v>7</v>
      </c>
      <c r="L2561" s="18" t="inlineStr">
        <is>
          <t>cobbleventure:generation_7</t>
        </is>
      </c>
      <c r="M2561" s="19" t="inlineStr">
        <is>
          <t>cobbleventure:generation_7</t>
        </is>
      </c>
      <c r="N2561" s="18" t="inlineStr">
        <is>
          <t>region_01; region_02</t>
        </is>
      </c>
      <c r="O2561" s="19" t="inlineStr"/>
      <c r="P2561" s="18" t="inlineStr">
        <is>
          <t>#cobblemon:is_overworld</t>
        </is>
      </c>
      <c r="Q2561" s="19" t="inlineStr"/>
      <c r="R2561" s="18">
        <f>IF(Q2561="",P2561,Q2561)</f>
        <v/>
      </c>
      <c r="S2561" s="18" t="inlineStr">
        <is>
          <t>#cobblemon:is_deep_dark</t>
        </is>
      </c>
      <c r="T2561" s="18" t="inlineStr">
        <is>
          <t>uncommon</t>
        </is>
      </c>
      <c r="U2561" s="20" t="n">
        <v>0.96</v>
      </c>
      <c r="V2561" s="21" t="n">
        <v>1</v>
      </c>
      <c r="W2561" s="20">
        <f>IF(OR(U2561="",V2561=""),U2561,U2561*V2561)</f>
        <v/>
      </c>
      <c r="X2561" s="18" t="inlineStr">
        <is>
          <t>30-53</t>
        </is>
      </c>
      <c r="Y2561" s="19" t="inlineStr"/>
      <c r="Z2561" s="18">
        <f>IF(Y2561="",X2561,Y2561)</f>
        <v/>
      </c>
      <c r="AA2561" s="18" t="inlineStr">
        <is>
          <t>grounded</t>
        </is>
      </c>
      <c r="AB2561" s="18" t="inlineStr"/>
      <c r="AC2561" s="18" t="inlineStr"/>
      <c r="AD2561" s="18" t="inlineStr">
        <is>
          <t>maxY=0</t>
        </is>
      </c>
      <c r="AE2561" s="18" t="inlineStr">
        <is>
          <t>sky 0-7</t>
        </is>
      </c>
      <c r="AF2561" s="18" t="inlineStr"/>
      <c r="AG2561" s="18" t="inlineStr"/>
      <c r="AH2561" s="18" t="inlineStr">
        <is>
          <t>주변=minecraft:water</t>
        </is>
      </c>
      <c r="AI2561" s="18" t="inlineStr"/>
      <c r="AJ2561" s="18" t="inlineStr">
        <is>
          <t>Cobblemon 동일</t>
        </is>
      </c>
      <c r="AK2561" s="18" t="inlineStr">
        <is>
          <t>사용</t>
        </is>
      </c>
      <c r="AL2561" s="18" t="inlineStr">
        <is>
          <t>COBBLEVERSE 1.7.42 / DP v31</t>
        </is>
      </c>
      <c r="AM2561" s="18" t="inlineStr">
        <is>
          <t>data/cobblemon/spawn_pool_world/0768_golisopod.json</t>
        </is>
      </c>
      <c r="AN2561" s="18" t="inlineStr">
        <is>
          <t>golisopod-3</t>
        </is>
      </c>
      <c r="AO2561" s="18" t="inlineStr">
        <is>
          <t>pokemon</t>
        </is>
      </c>
      <c r="AP2561" s="18" t="inlineStr">
        <is>
          <t>natural</t>
        </is>
      </c>
      <c r="AQ2561" s="18" t="inlineStr">
        <is>
          <t>{"biomes":["#cobblemon:is_overworld"],"maxSkyLight":7,"maxY":0,"minSkyLight":0,"neededNearbyBlocks":["minecraft:water"]}</t>
        </is>
      </c>
      <c r="AR2561" s="18" t="inlineStr">
        <is>
          <t>{"biomes":["#cobblemon:is_deep_dark"]}</t>
        </is>
      </c>
      <c r="AS2561" s="18" t="inlineStr"/>
      <c r="AT2561" s="19" t="inlineStr"/>
    </row>
    <row r="2562" ht="32" customHeight="1">
      <c r="A2562" s="18" t="inlineStr">
        <is>
          <t>0768_golisopod.json::golisopod-4::004</t>
        </is>
      </c>
      <c r="B2562" s="19" t="inlineStr">
        <is>
          <t>사용</t>
        </is>
      </c>
      <c r="C2562" s="18">
        <f>IF(OR(B2562&lt;&gt;AK2562,M2562&lt;&gt;L2562,O2562&lt;&gt;"",Q2562&lt;&gt;"",V2562&lt;&gt;1,Y2562&lt;&gt;"",AT2562&lt;&gt;""),"수정","원본")</f>
        <v/>
      </c>
      <c r="D2562" s="18" t="n">
        <v>768</v>
      </c>
      <c r="E2562" s="18" t="inlineStr">
        <is>
          <t>갑주무사</t>
        </is>
      </c>
      <c r="F2562" s="18" t="inlineStr">
        <is>
          <t>golisopod</t>
        </is>
      </c>
      <c r="G2562" s="18" t="inlineStr">
        <is>
          <t>golisopod</t>
        </is>
      </c>
      <c r="H2562" s="18" t="inlineStr"/>
      <c r="I2562" s="18" t="n">
        <v>7</v>
      </c>
      <c r="J2562" s="18" t="n"/>
      <c r="K2562" s="18" t="n">
        <v>7</v>
      </c>
      <c r="L2562" s="18" t="inlineStr">
        <is>
          <t>cobbleventure:generation_7</t>
        </is>
      </c>
      <c r="M2562" s="19" t="inlineStr">
        <is>
          <t>cobbleventure:generation_7</t>
        </is>
      </c>
      <c r="N2562" s="18" t="inlineStr">
        <is>
          <t>region_01; region_02</t>
        </is>
      </c>
      <c r="O2562" s="19" t="inlineStr"/>
      <c r="P2562" s="18" t="inlineStr">
        <is>
          <t>#cobblemon:is_overworld</t>
        </is>
      </c>
      <c r="Q2562" s="19" t="inlineStr"/>
      <c r="R2562" s="18">
        <f>IF(Q2562="",P2562,Q2562)</f>
        <v/>
      </c>
      <c r="S2562" s="18" t="inlineStr">
        <is>
          <t>#cobblemon:is_deep_dark</t>
        </is>
      </c>
      <c r="T2562" s="18" t="inlineStr">
        <is>
          <t>uncommon</t>
        </is>
      </c>
      <c r="U2562" s="20" t="n">
        <v>0.96</v>
      </c>
      <c r="V2562" s="21" t="n">
        <v>1</v>
      </c>
      <c r="W2562" s="20">
        <f>IF(OR(U2562="",V2562=""),U2562,U2562*V2562)</f>
        <v/>
      </c>
      <c r="X2562" s="18" t="inlineStr">
        <is>
          <t>30-53</t>
        </is>
      </c>
      <c r="Y2562" s="19" t="inlineStr"/>
      <c r="Z2562" s="18">
        <f>IF(Y2562="",X2562,Y2562)</f>
        <v/>
      </c>
      <c r="AA2562" s="18" t="inlineStr">
        <is>
          <t>seafloor</t>
        </is>
      </c>
      <c r="AB2562" s="18" t="inlineStr"/>
      <c r="AC2562" s="18" t="inlineStr"/>
      <c r="AD2562" s="18" t="inlineStr">
        <is>
          <t>maxY=0</t>
        </is>
      </c>
      <c r="AE2562" s="18" t="inlineStr">
        <is>
          <t>sky 0-7</t>
        </is>
      </c>
      <c r="AF2562" s="18" t="inlineStr"/>
      <c r="AG2562" s="18" t="inlineStr"/>
      <c r="AH2562" s="18" t="inlineStr"/>
      <c r="AI2562" s="18" t="inlineStr"/>
      <c r="AJ2562" s="18" t="inlineStr">
        <is>
          <t>Cobblemon 동일</t>
        </is>
      </c>
      <c r="AK2562" s="18" t="inlineStr">
        <is>
          <t>사용</t>
        </is>
      </c>
      <c r="AL2562" s="18" t="inlineStr">
        <is>
          <t>COBBLEVERSE 1.7.42 / DP v31</t>
        </is>
      </c>
      <c r="AM2562" s="18" t="inlineStr">
        <is>
          <t>data/cobblemon/spawn_pool_world/0768_golisopod.json</t>
        </is>
      </c>
      <c r="AN2562" s="18" t="inlineStr">
        <is>
          <t>golisopod-4</t>
        </is>
      </c>
      <c r="AO2562" s="18" t="inlineStr">
        <is>
          <t>pokemon</t>
        </is>
      </c>
      <c r="AP2562" s="18" t="inlineStr">
        <is>
          <t>water</t>
        </is>
      </c>
      <c r="AQ2562" s="18" t="inlineStr">
        <is>
          <t>{"biomes":["#cobblemon:is_overworld"],"maxSkyLight":7,"maxY":0,"minSkyLight":0}</t>
        </is>
      </c>
      <c r="AR2562" s="18" t="inlineStr">
        <is>
          <t>{"biomes":["#cobblemon:is_deep_dark"]}</t>
        </is>
      </c>
      <c r="AS2562" s="18" t="inlineStr"/>
      <c r="AT2562" s="19" t="inlineStr"/>
    </row>
    <row r="2563" ht="32" customHeight="1">
      <c r="A2563" s="18" t="inlineStr">
        <is>
          <t>0768_golisopod.json::golisopod-5::005</t>
        </is>
      </c>
      <c r="B2563" s="19" t="inlineStr">
        <is>
          <t>사용</t>
        </is>
      </c>
      <c r="C2563" s="18">
        <f>IF(OR(B2563&lt;&gt;AK2563,M2563&lt;&gt;L2563,O2563&lt;&gt;"",Q2563&lt;&gt;"",V2563&lt;&gt;1,Y2563&lt;&gt;"",AT2563&lt;&gt;""),"수정","원본")</f>
        <v/>
      </c>
      <c r="D2563" s="18" t="n">
        <v>768</v>
      </c>
      <c r="E2563" s="18" t="inlineStr">
        <is>
          <t>갑주무사</t>
        </is>
      </c>
      <c r="F2563" s="18" t="inlineStr">
        <is>
          <t>golisopod</t>
        </is>
      </c>
      <c r="G2563" s="18" t="inlineStr">
        <is>
          <t>golisopod</t>
        </is>
      </c>
      <c r="H2563" s="18" t="inlineStr"/>
      <c r="I2563" s="18" t="n">
        <v>7</v>
      </c>
      <c r="J2563" s="18" t="n"/>
      <c r="K2563" s="18" t="n">
        <v>7</v>
      </c>
      <c r="L2563" s="18" t="inlineStr">
        <is>
          <t>cobbleventure:generation_7</t>
        </is>
      </c>
      <c r="M2563" s="19" t="inlineStr">
        <is>
          <t>cobbleventure:generation_7</t>
        </is>
      </c>
      <c r="N2563" s="18" t="inlineStr"/>
      <c r="O2563" s="19" t="inlineStr"/>
      <c r="P2563" s="18" t="inlineStr">
        <is>
          <t>#cobblemon:is_coast; #cobblemon:is_tropical_island</t>
        </is>
      </c>
      <c r="Q2563" s="19" t="inlineStr"/>
      <c r="R2563" s="18">
        <f>IF(Q2563="",P2563,Q2563)</f>
        <v/>
      </c>
      <c r="S2563" s="18" t="inlineStr"/>
      <c r="T2563" s="18" t="inlineStr">
        <is>
          <t>uncommon</t>
        </is>
      </c>
      <c r="U2563" s="20" t="n">
        <v>1.6</v>
      </c>
      <c r="V2563" s="21" t="n">
        <v>1</v>
      </c>
      <c r="W2563" s="20">
        <f>IF(OR(U2563="",V2563=""),U2563,U2563*V2563)</f>
        <v/>
      </c>
      <c r="X2563" s="18" t="inlineStr">
        <is>
          <t>30-53</t>
        </is>
      </c>
      <c r="Y2563" s="19" t="inlineStr"/>
      <c r="Z2563" s="18">
        <f>IF(Y2563="",X2563,Y2563)</f>
        <v/>
      </c>
      <c r="AA2563" s="18" t="inlineStr">
        <is>
          <t>fishing</t>
        </is>
      </c>
      <c r="AB2563" s="18" t="inlineStr"/>
      <c r="AC2563" s="18" t="inlineStr"/>
      <c r="AD2563" s="18" t="inlineStr"/>
      <c r="AE2563" s="18" t="inlineStr"/>
      <c r="AF2563" s="18" t="inlineStr">
        <is>
          <t>True</t>
        </is>
      </c>
      <c r="AG2563" s="18" t="inlineStr"/>
      <c r="AH2563" s="18" t="inlineStr"/>
      <c r="AI2563" s="18" t="inlineStr"/>
      <c r="AJ2563" s="18" t="inlineStr">
        <is>
          <t>Cobblemon 동일</t>
        </is>
      </c>
      <c r="AK2563" s="18" t="inlineStr">
        <is>
          <t>사용</t>
        </is>
      </c>
      <c r="AL2563" s="18" t="inlineStr">
        <is>
          <t>COBBLEVERSE 1.7.42 / DP v31</t>
        </is>
      </c>
      <c r="AM2563" s="18" t="inlineStr">
        <is>
          <t>data/cobblemon/spawn_pool_world/0768_golisopod.json</t>
        </is>
      </c>
      <c r="AN2563" s="18" t="inlineStr">
        <is>
          <t>golisopod-5</t>
        </is>
      </c>
      <c r="AO2563" s="18" t="inlineStr">
        <is>
          <t>pokemon</t>
        </is>
      </c>
      <c r="AP2563" s="18" t="inlineStr"/>
      <c r="AQ2563" s="18" t="inlineStr">
        <is>
          <t>{"biomes":["#cobblemon:is_coast","#cobblemon:is_tropical_island"],"canSeeSky":true}</t>
        </is>
      </c>
      <c r="AR2563" s="18" t="inlineStr">
        <is>
          <t>{"minLureLevel":1}</t>
        </is>
      </c>
      <c r="AS2563" s="18" t="inlineStr"/>
      <c r="AT2563" s="19" t="inlineStr"/>
    </row>
    <row r="2564" ht="32" customHeight="1">
      <c r="A2564" s="18" t="inlineStr">
        <is>
          <t>0768_golisopod.json::golisopod-6::006</t>
        </is>
      </c>
      <c r="B2564" s="19" t="inlineStr">
        <is>
          <t>사용</t>
        </is>
      </c>
      <c r="C2564" s="18">
        <f>IF(OR(B2564&lt;&gt;AK2564,M2564&lt;&gt;L2564,O2564&lt;&gt;"",Q2564&lt;&gt;"",V2564&lt;&gt;1,Y2564&lt;&gt;"",AT2564&lt;&gt;""),"수정","원본")</f>
        <v/>
      </c>
      <c r="D2564" s="18" t="n">
        <v>768</v>
      </c>
      <c r="E2564" s="18" t="inlineStr">
        <is>
          <t>갑주무사</t>
        </is>
      </c>
      <c r="F2564" s="18" t="inlineStr">
        <is>
          <t>golisopod</t>
        </is>
      </c>
      <c r="G2564" s="18" t="inlineStr">
        <is>
          <t>golisopod</t>
        </is>
      </c>
      <c r="H2564" s="18" t="inlineStr"/>
      <c r="I2564" s="18" t="n">
        <v>7</v>
      </c>
      <c r="J2564" s="18" t="n"/>
      <c r="K2564" s="18" t="n">
        <v>7</v>
      </c>
      <c r="L2564" s="18" t="inlineStr">
        <is>
          <t>cobbleventure:generation_7</t>
        </is>
      </c>
      <c r="M2564" s="19" t="inlineStr">
        <is>
          <t>cobbleventure:generation_7</t>
        </is>
      </c>
      <c r="N2564" s="18" t="inlineStr"/>
      <c r="O2564" s="19" t="inlineStr"/>
      <c r="P2564" s="18" t="inlineStr">
        <is>
          <t>#cobblemon:is_coast; #cobblemon:is_tropical_island</t>
        </is>
      </c>
      <c r="Q2564" s="19" t="inlineStr"/>
      <c r="R2564" s="18">
        <f>IF(Q2564="",P2564,Q2564)</f>
        <v/>
      </c>
      <c r="S2564" s="18" t="inlineStr"/>
      <c r="T2564" s="18" t="inlineStr">
        <is>
          <t>common</t>
        </is>
      </c>
      <c r="U2564" s="20" t="n">
        <v>1</v>
      </c>
      <c r="V2564" s="21" t="n">
        <v>1</v>
      </c>
      <c r="W2564" s="20">
        <f>IF(OR(U2564="",V2564=""),U2564,U2564*V2564)</f>
        <v/>
      </c>
      <c r="X2564" s="18" t="inlineStr">
        <is>
          <t>30-53</t>
        </is>
      </c>
      <c r="Y2564" s="19" t="inlineStr"/>
      <c r="Z2564" s="18">
        <f>IF(Y2564="",X2564,Y2564)</f>
        <v/>
      </c>
      <c r="AA2564" s="18" t="inlineStr">
        <is>
          <t>fishing</t>
        </is>
      </c>
      <c r="AB2564" s="18" t="inlineStr"/>
      <c r="AC2564" s="18" t="inlineStr"/>
      <c r="AD2564" s="18" t="inlineStr"/>
      <c r="AE2564" s="18" t="inlineStr"/>
      <c r="AF2564" s="18" t="inlineStr">
        <is>
          <t>True</t>
        </is>
      </c>
      <c r="AG2564" s="18" t="inlineStr"/>
      <c r="AH2564" s="18" t="inlineStr"/>
      <c r="AI2564" s="18" t="inlineStr">
        <is>
          <t>{"fishing":{"minLureLevel":1}}</t>
        </is>
      </c>
      <c r="AJ2564" s="18" t="inlineStr">
        <is>
          <t>Cobblemon 동일</t>
        </is>
      </c>
      <c r="AK2564" s="18" t="inlineStr">
        <is>
          <t>사용</t>
        </is>
      </c>
      <c r="AL2564" s="18" t="inlineStr">
        <is>
          <t>COBBLEVERSE 1.7.42 / DP v31</t>
        </is>
      </c>
      <c r="AM2564" s="18" t="inlineStr">
        <is>
          <t>data/cobblemon/spawn_pool_world/0768_golisopod.json</t>
        </is>
      </c>
      <c r="AN2564" s="18" t="inlineStr">
        <is>
          <t>golisopod-6</t>
        </is>
      </c>
      <c r="AO2564" s="18" t="inlineStr">
        <is>
          <t>pokemon</t>
        </is>
      </c>
      <c r="AP2564" s="18" t="inlineStr"/>
      <c r="AQ2564" s="18" t="inlineStr">
        <is>
          <t>{"biomes":["#cobblemon:is_coast","#cobblemon:is_tropical_island"],"canSeeSky":true,"minLureLevel":1}</t>
        </is>
      </c>
      <c r="AR2564" s="18" t="inlineStr"/>
      <c r="AS2564" s="18" t="inlineStr">
        <is>
          <t>{"weightMultiplier":{"condition":{"maxLureLevel":2,"minLureLevel":1},"multiplier":0.6}}</t>
        </is>
      </c>
      <c r="AT2564" s="19" t="inlineStr"/>
    </row>
    <row r="2565" ht="32" customHeight="1">
      <c r="A2565" s="18" t="inlineStr">
        <is>
          <t>0768_golisopod.json::golisopod-7::007</t>
        </is>
      </c>
      <c r="B2565" s="19" t="inlineStr">
        <is>
          <t>사용</t>
        </is>
      </c>
      <c r="C2565" s="18">
        <f>IF(OR(B2565&lt;&gt;AK2565,M2565&lt;&gt;L2565,O2565&lt;&gt;"",Q2565&lt;&gt;"",V2565&lt;&gt;1,Y2565&lt;&gt;"",AT2565&lt;&gt;""),"수정","원본")</f>
        <v/>
      </c>
      <c r="D2565" s="18" t="n">
        <v>768</v>
      </c>
      <c r="E2565" s="18" t="inlineStr">
        <is>
          <t>갑주무사</t>
        </is>
      </c>
      <c r="F2565" s="18" t="inlineStr">
        <is>
          <t>golisopod</t>
        </is>
      </c>
      <c r="G2565" s="18" t="inlineStr">
        <is>
          <t>golisopod</t>
        </is>
      </c>
      <c r="H2565" s="18" t="inlineStr"/>
      <c r="I2565" s="18" t="n">
        <v>7</v>
      </c>
      <c r="J2565" s="18" t="n"/>
      <c r="K2565" s="18" t="n">
        <v>7</v>
      </c>
      <c r="L2565" s="18" t="inlineStr">
        <is>
          <t>cobbleventure:generation_7</t>
        </is>
      </c>
      <c r="M2565" s="19" t="inlineStr">
        <is>
          <t>cobbleventure:generation_7</t>
        </is>
      </c>
      <c r="N2565" s="18" t="inlineStr">
        <is>
          <t>region_01; region_02</t>
        </is>
      </c>
      <c r="O2565" s="19" t="inlineStr"/>
      <c r="P2565" s="18" t="inlineStr">
        <is>
          <t>#cobblemon:is_overworld</t>
        </is>
      </c>
      <c r="Q2565" s="19" t="inlineStr"/>
      <c r="R2565" s="18">
        <f>IF(Q2565="",P2565,Q2565)</f>
        <v/>
      </c>
      <c r="S2565" s="18" t="inlineStr">
        <is>
          <t>#cobblemon:is_deep_dark</t>
        </is>
      </c>
      <c r="T2565" s="18" t="inlineStr">
        <is>
          <t>common</t>
        </is>
      </c>
      <c r="U2565" s="20" t="n">
        <v>1</v>
      </c>
      <c r="V2565" s="21" t="n">
        <v>1</v>
      </c>
      <c r="W2565" s="20">
        <f>IF(OR(U2565="",V2565=""),U2565,U2565*V2565)</f>
        <v/>
      </c>
      <c r="X2565" s="18" t="inlineStr">
        <is>
          <t>30-53</t>
        </is>
      </c>
      <c r="Y2565" s="19" t="inlineStr"/>
      <c r="Z2565" s="18">
        <f>IF(Y2565="",X2565,Y2565)</f>
        <v/>
      </c>
      <c r="AA2565" s="18" t="inlineStr">
        <is>
          <t>fishing</t>
        </is>
      </c>
      <c r="AB2565" s="18" t="inlineStr"/>
      <c r="AC2565" s="18" t="inlineStr"/>
      <c r="AD2565" s="18" t="inlineStr"/>
      <c r="AE2565" s="18" t="inlineStr">
        <is>
          <t>sky 0-7</t>
        </is>
      </c>
      <c r="AF2565" s="18" t="inlineStr"/>
      <c r="AG2565" s="18" t="inlineStr"/>
      <c r="AH2565" s="18" t="inlineStr"/>
      <c r="AI2565" s="18" t="inlineStr"/>
      <c r="AJ2565" s="18" t="inlineStr">
        <is>
          <t>Cobblemon 동일</t>
        </is>
      </c>
      <c r="AK2565" s="18" t="inlineStr">
        <is>
          <t>사용</t>
        </is>
      </c>
      <c r="AL2565" s="18" t="inlineStr">
        <is>
          <t>COBBLEVERSE 1.7.42 / DP v31</t>
        </is>
      </c>
      <c r="AM2565" s="18" t="inlineStr">
        <is>
          <t>data/cobblemon/spawn_pool_world/0768_golisopod.json</t>
        </is>
      </c>
      <c r="AN2565" s="18" t="inlineStr">
        <is>
          <t>golisopod-7</t>
        </is>
      </c>
      <c r="AO2565" s="18" t="inlineStr">
        <is>
          <t>pokemon</t>
        </is>
      </c>
      <c r="AP2565" s="18" t="inlineStr"/>
      <c r="AQ2565" s="18" t="inlineStr">
        <is>
          <t>{"biomes":["#cobblemon:is_overworld"],"maxSkyLight":7,"minSkyLight":0}</t>
        </is>
      </c>
      <c r="AR2565" s="18" t="inlineStr">
        <is>
          <t>{"biomes":["#cobblemon:is_deep_dark"]}</t>
        </is>
      </c>
      <c r="AS2565" s="18" t="inlineStr">
        <is>
          <t>{"weightMultiplier":{"condition":{"maxLureLevel":1,"minLureLevel":0},"multiplier":0.6}}</t>
        </is>
      </c>
      <c r="AT2565" s="19" t="inlineStr"/>
    </row>
    <row r="2566" ht="32" customHeight="1">
      <c r="A2566" s="18" t="inlineStr">
        <is>
          <t>0768_golisopod.json::golisopod-8::008</t>
        </is>
      </c>
      <c r="B2566" s="19" t="inlineStr">
        <is>
          <t>사용</t>
        </is>
      </c>
      <c r="C2566" s="18">
        <f>IF(OR(B2566&lt;&gt;AK2566,M2566&lt;&gt;L2566,O2566&lt;&gt;"",Q2566&lt;&gt;"",V2566&lt;&gt;1,Y2566&lt;&gt;"",AT2566&lt;&gt;""),"수정","원본")</f>
        <v/>
      </c>
      <c r="D2566" s="18" t="n">
        <v>768</v>
      </c>
      <c r="E2566" s="18" t="inlineStr">
        <is>
          <t>갑주무사</t>
        </is>
      </c>
      <c r="F2566" s="18" t="inlineStr">
        <is>
          <t>golisopod</t>
        </is>
      </c>
      <c r="G2566" s="18" t="inlineStr">
        <is>
          <t>golisopod</t>
        </is>
      </c>
      <c r="H2566" s="18" t="inlineStr"/>
      <c r="I2566" s="18" t="n">
        <v>7</v>
      </c>
      <c r="J2566" s="18" t="n"/>
      <c r="K2566" s="18" t="n">
        <v>7</v>
      </c>
      <c r="L2566" s="18" t="inlineStr">
        <is>
          <t>cobbleventure:generation_7</t>
        </is>
      </c>
      <c r="M2566" s="19" t="inlineStr">
        <is>
          <t>cobbleventure:generation_7</t>
        </is>
      </c>
      <c r="N2566" s="18" t="inlineStr"/>
      <c r="O2566" s="19" t="inlineStr"/>
      <c r="P2566" s="18" t="inlineStr">
        <is>
          <t>#cobblemon:is_coast; #cobblemon:is_tropical_island</t>
        </is>
      </c>
      <c r="Q2566" s="19" t="inlineStr"/>
      <c r="R2566" s="18">
        <f>IF(Q2566="",P2566,Q2566)</f>
        <v/>
      </c>
      <c r="S2566" s="18" t="inlineStr"/>
      <c r="T2566" s="18" t="inlineStr">
        <is>
          <t>uncommon</t>
        </is>
      </c>
      <c r="U2566" s="20" t="n">
        <v>1.6</v>
      </c>
      <c r="V2566" s="21" t="n">
        <v>1</v>
      </c>
      <c r="W2566" s="20">
        <f>IF(OR(U2566="",V2566=""),U2566,U2566*V2566)</f>
        <v/>
      </c>
      <c r="X2566" s="18" t="inlineStr">
        <is>
          <t>30-53</t>
        </is>
      </c>
      <c r="Y2566" s="19" t="inlineStr"/>
      <c r="Z2566" s="18">
        <f>IF(Y2566="",X2566,Y2566)</f>
        <v/>
      </c>
      <c r="AA2566" s="18" t="inlineStr">
        <is>
          <t>fishing</t>
        </is>
      </c>
      <c r="AB2566" s="18" t="inlineStr"/>
      <c r="AC2566" s="18" t="inlineStr"/>
      <c r="AD2566" s="18" t="inlineStr"/>
      <c r="AE2566" s="18" t="inlineStr">
        <is>
          <t>sky 8-15</t>
        </is>
      </c>
      <c r="AF2566" s="18" t="inlineStr">
        <is>
          <t>False</t>
        </is>
      </c>
      <c r="AG2566" s="18" t="inlineStr"/>
      <c r="AH2566" s="18" t="inlineStr"/>
      <c r="AI2566" s="18" t="inlineStr"/>
      <c r="AJ2566" s="18" t="inlineStr">
        <is>
          <t>Cobblemon 동일</t>
        </is>
      </c>
      <c r="AK2566" s="18" t="inlineStr">
        <is>
          <t>사용</t>
        </is>
      </c>
      <c r="AL2566" s="18" t="inlineStr">
        <is>
          <t>COBBLEVERSE 1.7.42 / DP v31</t>
        </is>
      </c>
      <c r="AM2566" s="18" t="inlineStr">
        <is>
          <t>data/cobblemon/spawn_pool_world/0768_golisopod.json</t>
        </is>
      </c>
      <c r="AN2566" s="18" t="inlineStr">
        <is>
          <t>golisopod-8</t>
        </is>
      </c>
      <c r="AO2566" s="18" t="inlineStr">
        <is>
          <t>pokemon</t>
        </is>
      </c>
      <c r="AP2566" s="18" t="inlineStr"/>
      <c r="AQ2566" s="18" t="inlineStr">
        <is>
          <t>{"biomes":["#cobblemon:is_coast","#cobblemon:is_tropical_island"],"canSeeSky":false,"maxSkyLight":15,"minSkyLight":8}</t>
        </is>
      </c>
      <c r="AR2566" s="18" t="inlineStr">
        <is>
          <t>{"minLureLevel":1}</t>
        </is>
      </c>
      <c r="AS2566" s="18" t="inlineStr"/>
      <c r="AT2566" s="19" t="inlineStr"/>
    </row>
    <row r="2567" ht="32" customHeight="1">
      <c r="A2567" s="18" t="inlineStr">
        <is>
          <t>0768_golisopod.json::golisopod-9::009</t>
        </is>
      </c>
      <c r="B2567" s="19" t="inlineStr">
        <is>
          <t>사용</t>
        </is>
      </c>
      <c r="C2567" s="18">
        <f>IF(OR(B2567&lt;&gt;AK2567,M2567&lt;&gt;L2567,O2567&lt;&gt;"",Q2567&lt;&gt;"",V2567&lt;&gt;1,Y2567&lt;&gt;"",AT2567&lt;&gt;""),"수정","원본")</f>
        <v/>
      </c>
      <c r="D2567" s="18" t="n">
        <v>768</v>
      </c>
      <c r="E2567" s="18" t="inlineStr">
        <is>
          <t>갑주무사</t>
        </is>
      </c>
      <c r="F2567" s="18" t="inlineStr">
        <is>
          <t>golisopod</t>
        </is>
      </c>
      <c r="G2567" s="18" t="inlineStr">
        <is>
          <t>golisopod</t>
        </is>
      </c>
      <c r="H2567" s="18" t="inlineStr"/>
      <c r="I2567" s="18" t="n">
        <v>7</v>
      </c>
      <c r="J2567" s="18" t="n"/>
      <c r="K2567" s="18" t="n">
        <v>7</v>
      </c>
      <c r="L2567" s="18" t="inlineStr">
        <is>
          <t>cobbleventure:generation_7</t>
        </is>
      </c>
      <c r="M2567" s="19" t="inlineStr">
        <is>
          <t>cobbleventure:generation_7</t>
        </is>
      </c>
      <c r="N2567" s="18" t="inlineStr"/>
      <c r="O2567" s="19" t="inlineStr"/>
      <c r="P2567" s="18" t="inlineStr">
        <is>
          <t>#cobblemon:is_coast; #cobblemon:is_tropical_island</t>
        </is>
      </c>
      <c r="Q2567" s="19" t="inlineStr"/>
      <c r="R2567" s="18">
        <f>IF(Q2567="",P2567,Q2567)</f>
        <v/>
      </c>
      <c r="S2567" s="18" t="inlineStr"/>
      <c r="T2567" s="18" t="inlineStr">
        <is>
          <t>common</t>
        </is>
      </c>
      <c r="U2567" s="20" t="n">
        <v>1</v>
      </c>
      <c r="V2567" s="21" t="n">
        <v>1</v>
      </c>
      <c r="W2567" s="20">
        <f>IF(OR(U2567="",V2567=""),U2567,U2567*V2567)</f>
        <v/>
      </c>
      <c r="X2567" s="18" t="inlineStr">
        <is>
          <t>30-53</t>
        </is>
      </c>
      <c r="Y2567" s="19" t="inlineStr"/>
      <c r="Z2567" s="18">
        <f>IF(Y2567="",X2567,Y2567)</f>
        <v/>
      </c>
      <c r="AA2567" s="18" t="inlineStr">
        <is>
          <t>fishing</t>
        </is>
      </c>
      <c r="AB2567" s="18" t="inlineStr"/>
      <c r="AC2567" s="18" t="inlineStr"/>
      <c r="AD2567" s="18" t="inlineStr"/>
      <c r="AE2567" s="18" t="inlineStr">
        <is>
          <t>sky 8-15</t>
        </is>
      </c>
      <c r="AF2567" s="18" t="inlineStr">
        <is>
          <t>False</t>
        </is>
      </c>
      <c r="AG2567" s="18" t="inlineStr"/>
      <c r="AH2567" s="18" t="inlineStr"/>
      <c r="AI2567" s="18" t="inlineStr">
        <is>
          <t>{"fishing":{"minLureLevel":1}}</t>
        </is>
      </c>
      <c r="AJ2567" s="18" t="inlineStr">
        <is>
          <t>Cobblemon 동일</t>
        </is>
      </c>
      <c r="AK2567" s="18" t="inlineStr">
        <is>
          <t>사용</t>
        </is>
      </c>
      <c r="AL2567" s="18" t="inlineStr">
        <is>
          <t>COBBLEVERSE 1.7.42 / DP v31</t>
        </is>
      </c>
      <c r="AM2567" s="18" t="inlineStr">
        <is>
          <t>data/cobblemon/spawn_pool_world/0768_golisopod.json</t>
        </is>
      </c>
      <c r="AN2567" s="18" t="inlineStr">
        <is>
          <t>golisopod-9</t>
        </is>
      </c>
      <c r="AO2567" s="18" t="inlineStr">
        <is>
          <t>pokemon</t>
        </is>
      </c>
      <c r="AP2567" s="18" t="inlineStr"/>
      <c r="AQ2567" s="18" t="inlineStr">
        <is>
          <t>{"biomes":["#cobblemon:is_coast","#cobblemon:is_tropical_island"],"canSeeSky":false,"maxSkyLight":15,"minLureLevel":1,"minSkyLight":8}</t>
        </is>
      </c>
      <c r="AR2567" s="18" t="inlineStr"/>
      <c r="AS2567" s="18" t="inlineStr">
        <is>
          <t>{"weightMultiplier":{"condition":{"maxLureLevel":2,"minLureLevel":1},"multiplier":0.6}}</t>
        </is>
      </c>
      <c r="AT2567" s="19" t="inlineStr"/>
    </row>
    <row r="2568" ht="32" customHeight="1">
      <c r="A2568" s="18" t="inlineStr">
        <is>
          <t>0769_sandygast.json::sandygast-1::001</t>
        </is>
      </c>
      <c r="B2568" s="19" t="inlineStr">
        <is>
          <t>사용</t>
        </is>
      </c>
      <c r="C2568" s="18">
        <f>IF(OR(B2568&lt;&gt;AK2568,M2568&lt;&gt;L2568,O2568&lt;&gt;"",Q2568&lt;&gt;"",V2568&lt;&gt;1,Y2568&lt;&gt;"",AT2568&lt;&gt;""),"수정","원본")</f>
        <v/>
      </c>
      <c r="D2568" s="18" t="n">
        <v>769</v>
      </c>
      <c r="E2568" s="18" t="inlineStr">
        <is>
          <t>모래꿍</t>
        </is>
      </c>
      <c r="F2568" s="18" t="inlineStr">
        <is>
          <t>sandygast</t>
        </is>
      </c>
      <c r="G2568" s="18" t="inlineStr">
        <is>
          <t>sandygast</t>
        </is>
      </c>
      <c r="H2568" s="18" t="inlineStr"/>
      <c r="I2568" s="18" t="n">
        <v>7</v>
      </c>
      <c r="J2568" s="18" t="n"/>
      <c r="K2568" s="18" t="n">
        <v>7</v>
      </c>
      <c r="L2568" s="18" t="inlineStr">
        <is>
          <t>cobbleventure:generation_7</t>
        </is>
      </c>
      <c r="M2568" s="19" t="inlineStr">
        <is>
          <t>cobbleventure:generation_7</t>
        </is>
      </c>
      <c r="N2568" s="18" t="inlineStr"/>
      <c r="O2568" s="19" t="inlineStr"/>
      <c r="P2568" s="18" t="inlineStr">
        <is>
          <t>#cobblemon:is_beach</t>
        </is>
      </c>
      <c r="Q2568" s="19" t="inlineStr"/>
      <c r="R2568" s="18">
        <f>IF(Q2568="",P2568,Q2568)</f>
        <v/>
      </c>
      <c r="S2568" s="18" t="inlineStr">
        <is>
          <t>#cobblemon:is_freezing</t>
        </is>
      </c>
      <c r="T2568" s="18" t="inlineStr">
        <is>
          <t>common</t>
        </is>
      </c>
      <c r="U2568" s="20" t="n">
        <v>1.8</v>
      </c>
      <c r="V2568" s="21" t="n">
        <v>1</v>
      </c>
      <c r="W2568" s="20">
        <f>IF(OR(U2568="",V2568=""),U2568,U2568*V2568)</f>
        <v/>
      </c>
      <c r="X2568" s="18" t="inlineStr">
        <is>
          <t>7-32</t>
        </is>
      </c>
      <c r="Y2568" s="19" t="inlineStr"/>
      <c r="Z2568" s="18">
        <f>IF(Y2568="",X2568,Y2568)</f>
        <v/>
      </c>
      <c r="AA2568" s="18" t="inlineStr">
        <is>
          <t>grounded</t>
        </is>
      </c>
      <c r="AB2568" s="18" t="inlineStr"/>
      <c r="AC2568" s="18" t="inlineStr"/>
      <c r="AD2568" s="18" t="inlineStr"/>
      <c r="AE2568" s="18" t="inlineStr">
        <is>
          <t>sky 8-15</t>
        </is>
      </c>
      <c r="AF2568" s="18" t="inlineStr"/>
      <c r="AG2568" s="18" t="inlineStr"/>
      <c r="AH2568" s="18" t="inlineStr"/>
      <c r="AI2568" s="18" t="inlineStr"/>
      <c r="AJ2568" s="18" t="inlineStr">
        <is>
          <t>COBBLEVERSE 수정</t>
        </is>
      </c>
      <c r="AK2568" s="18" t="inlineStr">
        <is>
          <t>사용</t>
        </is>
      </c>
      <c r="AL2568" s="18" t="inlineStr">
        <is>
          <t>COBBLEVERSE 1.7.42 / DP v31</t>
        </is>
      </c>
      <c r="AM2568" s="18" t="inlineStr">
        <is>
          <t>data/cobblemon/spawn_pool_world/0769_sandygast.json</t>
        </is>
      </c>
      <c r="AN2568" s="18" t="inlineStr">
        <is>
          <t>sandygast-1</t>
        </is>
      </c>
      <c r="AO2568" s="18" t="inlineStr">
        <is>
          <t>pokemon</t>
        </is>
      </c>
      <c r="AP2568" s="18" t="inlineStr"/>
      <c r="AQ2568" s="18" t="inlineStr">
        <is>
          <t>{"biomes":["#cobblemon:is_beach"],"maxSkyLight":15,"minSkyLight":8}</t>
        </is>
      </c>
      <c r="AR2568" s="18" t="inlineStr">
        <is>
          <t>{"biomes":["#cobblemon:is_freezing"]}</t>
        </is>
      </c>
      <c r="AS2568" s="18" t="inlineStr">
        <is>
          <t>{"weightMultiplier":{"condition":{"timeRange":"night"},"multiplier":1.5}}</t>
        </is>
      </c>
      <c r="AT2568" s="19" t="inlineStr"/>
    </row>
    <row r="2569" ht="32" customHeight="1">
      <c r="A2569" s="18" t="inlineStr">
        <is>
          <t>0770_palossand.json::palossand-1::001</t>
        </is>
      </c>
      <c r="B2569" s="19" t="inlineStr">
        <is>
          <t>사용</t>
        </is>
      </c>
      <c r="C2569" s="18">
        <f>IF(OR(B2569&lt;&gt;AK2569,M2569&lt;&gt;L2569,O2569&lt;&gt;"",Q2569&lt;&gt;"",V2569&lt;&gt;1,Y2569&lt;&gt;"",AT2569&lt;&gt;""),"수정","원본")</f>
        <v/>
      </c>
      <c r="D2569" s="18" t="n">
        <v>770</v>
      </c>
      <c r="E2569" s="18" t="inlineStr">
        <is>
          <t>모래성이당</t>
        </is>
      </c>
      <c r="F2569" s="18" t="inlineStr">
        <is>
          <t>palossand</t>
        </is>
      </c>
      <c r="G2569" s="18" t="inlineStr">
        <is>
          <t>palossand</t>
        </is>
      </c>
      <c r="H2569" s="18" t="inlineStr"/>
      <c r="I2569" s="18" t="n">
        <v>7</v>
      </c>
      <c r="J2569" s="18" t="n"/>
      <c r="K2569" s="18" t="n">
        <v>7</v>
      </c>
      <c r="L2569" s="18" t="inlineStr">
        <is>
          <t>cobbleventure:generation_7</t>
        </is>
      </c>
      <c r="M2569" s="19" t="inlineStr">
        <is>
          <t>cobbleventure:generation_7</t>
        </is>
      </c>
      <c r="N2569" s="18" t="inlineStr"/>
      <c r="O2569" s="19" t="inlineStr"/>
      <c r="P2569" s="18" t="inlineStr">
        <is>
          <t>#cobblemon:is_beach</t>
        </is>
      </c>
      <c r="Q2569" s="19" t="inlineStr"/>
      <c r="R2569" s="18">
        <f>IF(Q2569="",P2569,Q2569)</f>
        <v/>
      </c>
      <c r="S2569" s="18" t="inlineStr">
        <is>
          <t>#cobblemon:is_freezing</t>
        </is>
      </c>
      <c r="T2569" s="18" t="inlineStr">
        <is>
          <t>common</t>
        </is>
      </c>
      <c r="U2569" s="20" t="n">
        <v>0.2</v>
      </c>
      <c r="V2569" s="21" t="n">
        <v>1</v>
      </c>
      <c r="W2569" s="20">
        <f>IF(OR(U2569="",V2569=""),U2569,U2569*V2569)</f>
        <v/>
      </c>
      <c r="X2569" s="18" t="inlineStr">
        <is>
          <t>42-48</t>
        </is>
      </c>
      <c r="Y2569" s="19" t="inlineStr"/>
      <c r="Z2569" s="18">
        <f>IF(Y2569="",X2569,Y2569)</f>
        <v/>
      </c>
      <c r="AA2569" s="18" t="inlineStr">
        <is>
          <t>grounded</t>
        </is>
      </c>
      <c r="AB2569" s="18" t="inlineStr"/>
      <c r="AC2569" s="18" t="inlineStr"/>
      <c r="AD2569" s="18" t="inlineStr"/>
      <c r="AE2569" s="18" t="inlineStr">
        <is>
          <t>sky 8-15</t>
        </is>
      </c>
      <c r="AF2569" s="18" t="inlineStr"/>
      <c r="AG2569" s="18" t="inlineStr"/>
      <c r="AH2569" s="18" t="inlineStr"/>
      <c r="AI2569" s="18" t="inlineStr"/>
      <c r="AJ2569" s="18" t="inlineStr">
        <is>
          <t>COBBLEVERSE 수정</t>
        </is>
      </c>
      <c r="AK2569" s="18" t="inlineStr">
        <is>
          <t>사용</t>
        </is>
      </c>
      <c r="AL2569" s="18" t="inlineStr">
        <is>
          <t>COBBLEVERSE 1.7.42 / DP v31</t>
        </is>
      </c>
      <c r="AM2569" s="18" t="inlineStr">
        <is>
          <t>data/cobblemon/spawn_pool_world/0770_palossand.json</t>
        </is>
      </c>
      <c r="AN2569" s="18" t="inlineStr">
        <is>
          <t>palossand-1</t>
        </is>
      </c>
      <c r="AO2569" s="18" t="inlineStr">
        <is>
          <t>pokemon</t>
        </is>
      </c>
      <c r="AP2569" s="18" t="inlineStr"/>
      <c r="AQ2569" s="18" t="inlineStr">
        <is>
          <t>{"biomes":["#cobblemon:is_beach"],"maxSkyLight":15,"minSkyLight":8}</t>
        </is>
      </c>
      <c r="AR2569" s="18" t="inlineStr">
        <is>
          <t>{"biomes":["#cobblemon:is_freezing"]}</t>
        </is>
      </c>
      <c r="AS2569" s="18" t="inlineStr">
        <is>
          <t>{"weightMultiplier":{"condition":{"timeRange":"night"},"multiplier":1.5}}</t>
        </is>
      </c>
      <c r="AT2569" s="19" t="inlineStr"/>
    </row>
    <row r="2570" ht="32" customHeight="1">
      <c r="A2570" s="18" t="inlineStr">
        <is>
          <t>0771_pyukumuku.json::pyukumuku-1::001</t>
        </is>
      </c>
      <c r="B2570" s="19" t="inlineStr">
        <is>
          <t>사용</t>
        </is>
      </c>
      <c r="C2570" s="18">
        <f>IF(OR(B2570&lt;&gt;AK2570,M2570&lt;&gt;L2570,O2570&lt;&gt;"",Q2570&lt;&gt;"",V2570&lt;&gt;1,Y2570&lt;&gt;"",AT2570&lt;&gt;""),"수정","원본")</f>
        <v/>
      </c>
      <c r="D2570" s="18" t="n">
        <v>771</v>
      </c>
      <c r="E2570" s="18" t="inlineStr">
        <is>
          <t>해무기</t>
        </is>
      </c>
      <c r="F2570" s="18" t="inlineStr">
        <is>
          <t>pyukumuku</t>
        </is>
      </c>
      <c r="G2570" s="18" t="inlineStr">
        <is>
          <t>pyukumuku</t>
        </is>
      </c>
      <c r="H2570" s="18" t="inlineStr"/>
      <c r="I2570" s="18" t="n">
        <v>7</v>
      </c>
      <c r="J2570" s="18" t="n"/>
      <c r="K2570" s="18" t="n">
        <v>7</v>
      </c>
      <c r="L2570" s="18" t="inlineStr">
        <is>
          <t>cobbleventure:generation_7</t>
        </is>
      </c>
      <c r="M2570" s="19" t="inlineStr">
        <is>
          <t>cobbleventure:generation_7</t>
        </is>
      </c>
      <c r="N2570" s="18" t="inlineStr"/>
      <c r="O2570" s="19" t="inlineStr"/>
      <c r="P2570" s="18" t="inlineStr">
        <is>
          <t>#cobblemon:is_beach</t>
        </is>
      </c>
      <c r="Q2570" s="19" t="inlineStr"/>
      <c r="R2570" s="18">
        <f>IF(Q2570="",P2570,Q2570)</f>
        <v/>
      </c>
      <c r="S2570" s="18" t="inlineStr"/>
      <c r="T2570" s="18" t="inlineStr">
        <is>
          <t>uncommon</t>
        </is>
      </c>
      <c r="U2570" s="20" t="n">
        <v>6</v>
      </c>
      <c r="V2570" s="21" t="n">
        <v>1</v>
      </c>
      <c r="W2570" s="20">
        <f>IF(OR(U2570="",V2570=""),U2570,U2570*V2570)</f>
        <v/>
      </c>
      <c r="X2570" s="18" t="inlineStr">
        <is>
          <t>16-41</t>
        </is>
      </c>
      <c r="Y2570" s="19" t="inlineStr"/>
      <c r="Z2570" s="18">
        <f>IF(Y2570="",X2570,Y2570)</f>
        <v/>
      </c>
      <c r="AA2570" s="18" t="inlineStr">
        <is>
          <t>grounded</t>
        </is>
      </c>
      <c r="AB2570" s="18" t="inlineStr"/>
      <c r="AC2570" s="18" t="inlineStr"/>
      <c r="AD2570" s="18" t="inlineStr"/>
      <c r="AE2570" s="18" t="inlineStr">
        <is>
          <t>sky 8-15</t>
        </is>
      </c>
      <c r="AF2570" s="18" t="inlineStr"/>
      <c r="AG2570" s="18" t="inlineStr"/>
      <c r="AH2570" s="18" t="inlineStr"/>
      <c r="AI2570" s="18" t="inlineStr"/>
      <c r="AJ2570" s="18" t="inlineStr">
        <is>
          <t>Cobblemon 동일</t>
        </is>
      </c>
      <c r="AK2570" s="18" t="inlineStr">
        <is>
          <t>사용</t>
        </is>
      </c>
      <c r="AL2570" s="18" t="inlineStr">
        <is>
          <t>COBBLEVERSE 1.7.42 / DP v31</t>
        </is>
      </c>
      <c r="AM2570" s="18" t="inlineStr">
        <is>
          <t>data/cobblemon/spawn_pool_world/0771_pyukumuku.json</t>
        </is>
      </c>
      <c r="AN2570" s="18" t="inlineStr">
        <is>
          <t>pyukumuku-1</t>
        </is>
      </c>
      <c r="AO2570" s="18" t="inlineStr">
        <is>
          <t>pokemon</t>
        </is>
      </c>
      <c r="AP2570" s="18" t="inlineStr">
        <is>
          <t>natural</t>
        </is>
      </c>
      <c r="AQ2570" s="18" t="inlineStr">
        <is>
          <t>{"biomes":["#cobblemon:is_beach"],"maxSkyLight":15,"minSkyLight":8}</t>
        </is>
      </c>
      <c r="AR2570" s="18" t="inlineStr"/>
      <c r="AS2570" s="18" t="inlineStr"/>
      <c r="AT2570" s="19" t="inlineStr"/>
    </row>
    <row r="2571" ht="32" customHeight="1">
      <c r="A2571" s="18" t="inlineStr">
        <is>
          <t>0771_pyukumuku.json::pyukumuku-2::002</t>
        </is>
      </c>
      <c r="B2571" s="19" t="inlineStr">
        <is>
          <t>사용</t>
        </is>
      </c>
      <c r="C2571" s="18">
        <f>IF(OR(B2571&lt;&gt;AK2571,M2571&lt;&gt;L2571,O2571&lt;&gt;"",Q2571&lt;&gt;"",V2571&lt;&gt;1,Y2571&lt;&gt;"",AT2571&lt;&gt;""),"수정","원본")</f>
        <v/>
      </c>
      <c r="D2571" s="18" t="n">
        <v>771</v>
      </c>
      <c r="E2571" s="18" t="inlineStr">
        <is>
          <t>해무기</t>
        </is>
      </c>
      <c r="F2571" s="18" t="inlineStr">
        <is>
          <t>pyukumuku</t>
        </is>
      </c>
      <c r="G2571" s="18" t="inlineStr">
        <is>
          <t>pyukumuku</t>
        </is>
      </c>
      <c r="H2571" s="18" t="inlineStr"/>
      <c r="I2571" s="18" t="n">
        <v>7</v>
      </c>
      <c r="J2571" s="18" t="n"/>
      <c r="K2571" s="18" t="n">
        <v>7</v>
      </c>
      <c r="L2571" s="18" t="inlineStr">
        <is>
          <t>cobbleventure:generation_7</t>
        </is>
      </c>
      <c r="M2571" s="19" t="inlineStr">
        <is>
          <t>cobbleventure:generation_7</t>
        </is>
      </c>
      <c r="N2571" s="18" t="inlineStr"/>
      <c r="O2571" s="19" t="inlineStr"/>
      <c r="P2571" s="18" t="inlineStr">
        <is>
          <t>#cobblemon:is_ocean</t>
        </is>
      </c>
      <c r="Q2571" s="19" t="inlineStr"/>
      <c r="R2571" s="18">
        <f>IF(Q2571="",P2571,Q2571)</f>
        <v/>
      </c>
      <c r="S2571" s="18" t="inlineStr">
        <is>
          <t>#cobblemon:is_frozen_ocean; #cobblemon:is_warm_ocean</t>
        </is>
      </c>
      <c r="T2571" s="18" t="inlineStr">
        <is>
          <t>common</t>
        </is>
      </c>
      <c r="U2571" s="20" t="n">
        <v>2</v>
      </c>
      <c r="V2571" s="21" t="n">
        <v>1</v>
      </c>
      <c r="W2571" s="20">
        <f>IF(OR(U2571="",V2571=""),U2571,U2571*V2571)</f>
        <v/>
      </c>
      <c r="X2571" s="18" t="inlineStr">
        <is>
          <t>16-41</t>
        </is>
      </c>
      <c r="Y2571" s="19" t="inlineStr"/>
      <c r="Z2571" s="18">
        <f>IF(Y2571="",X2571,Y2571)</f>
        <v/>
      </c>
      <c r="AA2571" s="18" t="inlineStr">
        <is>
          <t>seafloor</t>
        </is>
      </c>
      <c r="AB2571" s="18" t="inlineStr"/>
      <c r="AC2571" s="18" t="inlineStr"/>
      <c r="AD2571" s="18" t="inlineStr">
        <is>
          <t>minY=48</t>
        </is>
      </c>
      <c r="AE2571" s="18" t="inlineStr"/>
      <c r="AF2571" s="18" t="inlineStr">
        <is>
          <t>True</t>
        </is>
      </c>
      <c r="AG2571" s="18" t="inlineStr"/>
      <c r="AH2571" s="18" t="inlineStr"/>
      <c r="AI2571" s="18" t="inlineStr"/>
      <c r="AJ2571" s="18" t="inlineStr">
        <is>
          <t>Cobblemon 동일</t>
        </is>
      </c>
      <c r="AK2571" s="18" t="inlineStr">
        <is>
          <t>사용</t>
        </is>
      </c>
      <c r="AL2571" s="18" t="inlineStr">
        <is>
          <t>COBBLEVERSE 1.7.42 / DP v31</t>
        </is>
      </c>
      <c r="AM2571" s="18" t="inlineStr">
        <is>
          <t>data/cobblemon/spawn_pool_world/0771_pyukumuku.json</t>
        </is>
      </c>
      <c r="AN2571" s="18" t="inlineStr">
        <is>
          <t>pyukumuku-2</t>
        </is>
      </c>
      <c r="AO2571" s="18" t="inlineStr">
        <is>
          <t>pokemon</t>
        </is>
      </c>
      <c r="AP2571" s="18" t="inlineStr">
        <is>
          <t>water</t>
        </is>
      </c>
      <c r="AQ2571" s="18" t="inlineStr">
        <is>
          <t>{"biomes":["#cobblemon:is_ocean"],"canSeeSky":true,"minY":48}</t>
        </is>
      </c>
      <c r="AR2571" s="18" t="inlineStr">
        <is>
          <t>{"biomes":["#cobblemon:is_frozen_ocean","#cobblemon:is_warm_ocean"]}</t>
        </is>
      </c>
      <c r="AS2571" s="18" t="inlineStr"/>
      <c r="AT2571" s="19" t="inlineStr"/>
    </row>
    <row r="2572" ht="32" customHeight="1">
      <c r="A2572" s="18" t="inlineStr">
        <is>
          <t>0771_pyukumuku.json::pyukumuku-3::003</t>
        </is>
      </c>
      <c r="B2572" s="19" t="inlineStr">
        <is>
          <t>사용</t>
        </is>
      </c>
      <c r="C2572" s="18">
        <f>IF(OR(B2572&lt;&gt;AK2572,M2572&lt;&gt;L2572,O2572&lt;&gt;"",Q2572&lt;&gt;"",V2572&lt;&gt;1,Y2572&lt;&gt;"",AT2572&lt;&gt;""),"수정","원본")</f>
        <v/>
      </c>
      <c r="D2572" s="18" t="n">
        <v>771</v>
      </c>
      <c r="E2572" s="18" t="inlineStr">
        <is>
          <t>해무기</t>
        </is>
      </c>
      <c r="F2572" s="18" t="inlineStr">
        <is>
          <t>pyukumuku</t>
        </is>
      </c>
      <c r="G2572" s="18" t="inlineStr">
        <is>
          <t>pyukumuku</t>
        </is>
      </c>
      <c r="H2572" s="18" t="inlineStr"/>
      <c r="I2572" s="18" t="n">
        <v>7</v>
      </c>
      <c r="J2572" s="18" t="n"/>
      <c r="K2572" s="18" t="n">
        <v>7</v>
      </c>
      <c r="L2572" s="18" t="inlineStr">
        <is>
          <t>cobbleventure:generation_7</t>
        </is>
      </c>
      <c r="M2572" s="19" t="inlineStr">
        <is>
          <t>cobbleventure:generation_7</t>
        </is>
      </c>
      <c r="N2572" s="18" t="inlineStr"/>
      <c r="O2572" s="19" t="inlineStr"/>
      <c r="P2572" s="18" t="inlineStr">
        <is>
          <t>#cobblemon:is_warm_ocean</t>
        </is>
      </c>
      <c r="Q2572" s="19" t="inlineStr"/>
      <c r="R2572" s="18">
        <f>IF(Q2572="",P2572,Q2572)</f>
        <v/>
      </c>
      <c r="S2572" s="18" t="inlineStr"/>
      <c r="T2572" s="18" t="inlineStr">
        <is>
          <t>common</t>
        </is>
      </c>
      <c r="U2572" s="20" t="n">
        <v>10</v>
      </c>
      <c r="V2572" s="21" t="n">
        <v>1</v>
      </c>
      <c r="W2572" s="20">
        <f>IF(OR(U2572="",V2572=""),U2572,U2572*V2572)</f>
        <v/>
      </c>
      <c r="X2572" s="18" t="inlineStr">
        <is>
          <t>16-41</t>
        </is>
      </c>
      <c r="Y2572" s="19" t="inlineStr"/>
      <c r="Z2572" s="18">
        <f>IF(Y2572="",X2572,Y2572)</f>
        <v/>
      </c>
      <c r="AA2572" s="18" t="inlineStr">
        <is>
          <t>seafloor</t>
        </is>
      </c>
      <c r="AB2572" s="18" t="inlineStr"/>
      <c r="AC2572" s="18" t="inlineStr"/>
      <c r="AD2572" s="18" t="inlineStr"/>
      <c r="AE2572" s="18" t="inlineStr"/>
      <c r="AF2572" s="18" t="inlineStr">
        <is>
          <t>True</t>
        </is>
      </c>
      <c r="AG2572" s="18" t="inlineStr"/>
      <c r="AH2572" s="18" t="inlineStr"/>
      <c r="AI2572" s="18" t="inlineStr"/>
      <c r="AJ2572" s="18" t="inlineStr">
        <is>
          <t>Cobblemon 동일</t>
        </is>
      </c>
      <c r="AK2572" s="18" t="inlineStr">
        <is>
          <t>사용</t>
        </is>
      </c>
      <c r="AL2572" s="18" t="inlineStr">
        <is>
          <t>COBBLEVERSE 1.7.42 / DP v31</t>
        </is>
      </c>
      <c r="AM2572" s="18" t="inlineStr">
        <is>
          <t>data/cobblemon/spawn_pool_world/0771_pyukumuku.json</t>
        </is>
      </c>
      <c r="AN2572" s="18" t="inlineStr">
        <is>
          <t>pyukumuku-3</t>
        </is>
      </c>
      <c r="AO2572" s="18" t="inlineStr">
        <is>
          <t>pokemon</t>
        </is>
      </c>
      <c r="AP2572" s="18" t="inlineStr">
        <is>
          <t>water</t>
        </is>
      </c>
      <c r="AQ2572" s="18" t="inlineStr">
        <is>
          <t>{"biomes":["#cobblemon:is_warm_ocean"],"canSeeSky":true}</t>
        </is>
      </c>
      <c r="AR2572" s="18" t="inlineStr"/>
      <c r="AS2572" s="18" t="inlineStr"/>
      <c r="AT2572" s="19" t="inlineStr"/>
    </row>
    <row r="2573" ht="32" customHeight="1">
      <c r="A2573" s="18" t="inlineStr">
        <is>
          <t>0771_pyukumuku.json::pyukumuku-4::004</t>
        </is>
      </c>
      <c r="B2573" s="19" t="inlineStr">
        <is>
          <t>사용</t>
        </is>
      </c>
      <c r="C2573" s="18">
        <f>IF(OR(B2573&lt;&gt;AK2573,M2573&lt;&gt;L2573,O2573&lt;&gt;"",Q2573&lt;&gt;"",V2573&lt;&gt;1,Y2573&lt;&gt;"",AT2573&lt;&gt;""),"수정","원본")</f>
        <v/>
      </c>
      <c r="D2573" s="18" t="n">
        <v>771</v>
      </c>
      <c r="E2573" s="18" t="inlineStr">
        <is>
          <t>해무기</t>
        </is>
      </c>
      <c r="F2573" s="18" t="inlineStr">
        <is>
          <t>pyukumuku</t>
        </is>
      </c>
      <c r="G2573" s="18" t="inlineStr">
        <is>
          <t>pyukumuku</t>
        </is>
      </c>
      <c r="H2573" s="18" t="inlineStr"/>
      <c r="I2573" s="18" t="n">
        <v>7</v>
      </c>
      <c r="J2573" s="18" t="n"/>
      <c r="K2573" s="18" t="n">
        <v>7</v>
      </c>
      <c r="L2573" s="18" t="inlineStr">
        <is>
          <t>cobbleventure:generation_7</t>
        </is>
      </c>
      <c r="M2573" s="19" t="inlineStr">
        <is>
          <t>cobbleventure:generation_7</t>
        </is>
      </c>
      <c r="N2573" s="18" t="inlineStr"/>
      <c r="O2573" s="19" t="inlineStr"/>
      <c r="P2573" s="18" t="inlineStr">
        <is>
          <t>#cobblemon:is_beach; #cobblemon:is_ocean</t>
        </is>
      </c>
      <c r="Q2573" s="19" t="inlineStr"/>
      <c r="R2573" s="18">
        <f>IF(Q2573="",P2573,Q2573)</f>
        <v/>
      </c>
      <c r="S2573" s="18" t="inlineStr">
        <is>
          <t>#cobblemon:is_frozen_ocean; #cobblemon:is_warm_ocean</t>
        </is>
      </c>
      <c r="T2573" s="18" t="inlineStr">
        <is>
          <t>common</t>
        </is>
      </c>
      <c r="U2573" s="20" t="n">
        <v>2</v>
      </c>
      <c r="V2573" s="21" t="n">
        <v>1</v>
      </c>
      <c r="W2573" s="20">
        <f>IF(OR(U2573="",V2573=""),U2573,U2573*V2573)</f>
        <v/>
      </c>
      <c r="X2573" s="18" t="inlineStr">
        <is>
          <t>16-41</t>
        </is>
      </c>
      <c r="Y2573" s="19" t="inlineStr"/>
      <c r="Z2573" s="18">
        <f>IF(Y2573="",X2573,Y2573)</f>
        <v/>
      </c>
      <c r="AA2573" s="18" t="inlineStr">
        <is>
          <t>fishing</t>
        </is>
      </c>
      <c r="AB2573" s="18" t="inlineStr"/>
      <c r="AC2573" s="18" t="inlineStr"/>
      <c r="AD2573" s="18" t="inlineStr"/>
      <c r="AE2573" s="18" t="inlineStr"/>
      <c r="AF2573" s="18" t="inlineStr">
        <is>
          <t>True</t>
        </is>
      </c>
      <c r="AG2573" s="18" t="inlineStr"/>
      <c r="AH2573" s="18" t="inlineStr"/>
      <c r="AI2573" s="18" t="inlineStr"/>
      <c r="AJ2573" s="18" t="inlineStr">
        <is>
          <t>Cobblemon 동일</t>
        </is>
      </c>
      <c r="AK2573" s="18" t="inlineStr">
        <is>
          <t>사용</t>
        </is>
      </c>
      <c r="AL2573" s="18" t="inlineStr">
        <is>
          <t>COBBLEVERSE 1.7.42 / DP v31</t>
        </is>
      </c>
      <c r="AM2573" s="18" t="inlineStr">
        <is>
          <t>data/cobblemon/spawn_pool_world/0771_pyukumuku.json</t>
        </is>
      </c>
      <c r="AN2573" s="18" t="inlineStr">
        <is>
          <t>pyukumuku-4</t>
        </is>
      </c>
      <c r="AO2573" s="18" t="inlineStr">
        <is>
          <t>pokemon</t>
        </is>
      </c>
      <c r="AP2573" s="18" t="inlineStr"/>
      <c r="AQ2573" s="18" t="inlineStr">
        <is>
          <t>{"biomes":["#cobblemon:is_beach","#cobblemon:is_ocean"],"canSeeSky":true}</t>
        </is>
      </c>
      <c r="AR2573" s="18" t="inlineStr">
        <is>
          <t>{"biomes":["#cobblemon:is_frozen_ocean","#cobblemon:is_warm_ocean"]}</t>
        </is>
      </c>
      <c r="AS2573" s="18" t="inlineStr">
        <is>
          <t>{"weightMultipliers":[{"condition":{"maxLureLevel":2,"minLureLevel":2},"multiplier":3.0},{"condition":{"minLureLevel":3},"multiplier":5.0}]}</t>
        </is>
      </c>
      <c r="AT2573" s="19" t="inlineStr"/>
    </row>
    <row r="2574" ht="32" customHeight="1">
      <c r="A2574" s="18" t="inlineStr">
        <is>
          <t>0771_pyukumuku.json::pyukumuku-5::005</t>
        </is>
      </c>
      <c r="B2574" s="19" t="inlineStr">
        <is>
          <t>사용</t>
        </is>
      </c>
      <c r="C2574" s="18">
        <f>IF(OR(B2574&lt;&gt;AK2574,M2574&lt;&gt;L2574,O2574&lt;&gt;"",Q2574&lt;&gt;"",V2574&lt;&gt;1,Y2574&lt;&gt;"",AT2574&lt;&gt;""),"수정","원본")</f>
        <v/>
      </c>
      <c r="D2574" s="18" t="n">
        <v>771</v>
      </c>
      <c r="E2574" s="18" t="inlineStr">
        <is>
          <t>해무기</t>
        </is>
      </c>
      <c r="F2574" s="18" t="inlineStr">
        <is>
          <t>pyukumuku</t>
        </is>
      </c>
      <c r="G2574" s="18" t="inlineStr">
        <is>
          <t>pyukumuku</t>
        </is>
      </c>
      <c r="H2574" s="18" t="inlineStr"/>
      <c r="I2574" s="18" t="n">
        <v>7</v>
      </c>
      <c r="J2574" s="18" t="n"/>
      <c r="K2574" s="18" t="n">
        <v>7</v>
      </c>
      <c r="L2574" s="18" t="inlineStr">
        <is>
          <t>cobbleventure:generation_7</t>
        </is>
      </c>
      <c r="M2574" s="19" t="inlineStr">
        <is>
          <t>cobbleventure:generation_7</t>
        </is>
      </c>
      <c r="N2574" s="18" t="inlineStr"/>
      <c r="O2574" s="19" t="inlineStr"/>
      <c r="P2574" s="18" t="inlineStr">
        <is>
          <t>#cobblemon:is_warm_ocean</t>
        </is>
      </c>
      <c r="Q2574" s="19" t="inlineStr"/>
      <c r="R2574" s="18">
        <f>IF(Q2574="",P2574,Q2574)</f>
        <v/>
      </c>
      <c r="S2574" s="18" t="inlineStr"/>
      <c r="T2574" s="18" t="inlineStr">
        <is>
          <t>common</t>
        </is>
      </c>
      <c r="U2574" s="20" t="n">
        <v>10</v>
      </c>
      <c r="V2574" s="21" t="n">
        <v>1</v>
      </c>
      <c r="W2574" s="20">
        <f>IF(OR(U2574="",V2574=""),U2574,U2574*V2574)</f>
        <v/>
      </c>
      <c r="X2574" s="18" t="inlineStr">
        <is>
          <t>16-41</t>
        </is>
      </c>
      <c r="Y2574" s="19" t="inlineStr"/>
      <c r="Z2574" s="18">
        <f>IF(Y2574="",X2574,Y2574)</f>
        <v/>
      </c>
      <c r="AA2574" s="18" t="inlineStr">
        <is>
          <t>fishing</t>
        </is>
      </c>
      <c r="AB2574" s="18" t="inlineStr"/>
      <c r="AC2574" s="18" t="inlineStr"/>
      <c r="AD2574" s="18" t="inlineStr"/>
      <c r="AE2574" s="18" t="inlineStr"/>
      <c r="AF2574" s="18" t="inlineStr">
        <is>
          <t>True</t>
        </is>
      </c>
      <c r="AG2574" s="18" t="inlineStr"/>
      <c r="AH2574" s="18" t="inlineStr"/>
      <c r="AI2574" s="18" t="inlineStr"/>
      <c r="AJ2574" s="18" t="inlineStr">
        <is>
          <t>Cobblemon 동일</t>
        </is>
      </c>
      <c r="AK2574" s="18" t="inlineStr">
        <is>
          <t>사용</t>
        </is>
      </c>
      <c r="AL2574" s="18" t="inlineStr">
        <is>
          <t>COBBLEVERSE 1.7.42 / DP v31</t>
        </is>
      </c>
      <c r="AM2574" s="18" t="inlineStr">
        <is>
          <t>data/cobblemon/spawn_pool_world/0771_pyukumuku.json</t>
        </is>
      </c>
      <c r="AN2574" s="18" t="inlineStr">
        <is>
          <t>pyukumuku-5</t>
        </is>
      </c>
      <c r="AO2574" s="18" t="inlineStr">
        <is>
          <t>pokemon</t>
        </is>
      </c>
      <c r="AP2574" s="18" t="inlineStr"/>
      <c r="AQ2574" s="18" t="inlineStr">
        <is>
          <t>{"biomes":["#cobblemon:is_warm_ocean"],"canSeeSky":true}</t>
        </is>
      </c>
      <c r="AR2574" s="18" t="inlineStr"/>
      <c r="AS2574" s="18" t="inlineStr"/>
      <c r="AT2574" s="19" t="inlineStr"/>
    </row>
    <row r="2575" ht="32" customHeight="1">
      <c r="A2575" s="18" t="inlineStr">
        <is>
          <t>0771_pyukumuku.json::pyukumuku-6::006</t>
        </is>
      </c>
      <c r="B2575" s="19" t="inlineStr">
        <is>
          <t>사용</t>
        </is>
      </c>
      <c r="C2575" s="18">
        <f>IF(OR(B2575&lt;&gt;AK2575,M2575&lt;&gt;L2575,O2575&lt;&gt;"",Q2575&lt;&gt;"",V2575&lt;&gt;1,Y2575&lt;&gt;"",AT2575&lt;&gt;""),"수정","원본")</f>
        <v/>
      </c>
      <c r="D2575" s="18" t="n">
        <v>771</v>
      </c>
      <c r="E2575" s="18" t="inlineStr">
        <is>
          <t>해무기</t>
        </is>
      </c>
      <c r="F2575" s="18" t="inlineStr">
        <is>
          <t>pyukumuku</t>
        </is>
      </c>
      <c r="G2575" s="18" t="inlineStr">
        <is>
          <t>pyukumuku</t>
        </is>
      </c>
      <c r="H2575" s="18" t="inlineStr"/>
      <c r="I2575" s="18" t="n">
        <v>7</v>
      </c>
      <c r="J2575" s="18" t="n"/>
      <c r="K2575" s="18" t="n">
        <v>7</v>
      </c>
      <c r="L2575" s="18" t="inlineStr">
        <is>
          <t>cobbleventure:generation_7</t>
        </is>
      </c>
      <c r="M2575" s="19" t="inlineStr">
        <is>
          <t>cobbleventure:generation_7</t>
        </is>
      </c>
      <c r="N2575" s="18" t="inlineStr"/>
      <c r="O2575" s="19" t="inlineStr"/>
      <c r="P2575" s="18" t="inlineStr">
        <is>
          <t>#cobblemon:is_beach; #cobblemon:is_ocean</t>
        </is>
      </c>
      <c r="Q2575" s="19" t="inlineStr"/>
      <c r="R2575" s="18">
        <f>IF(Q2575="",P2575,Q2575)</f>
        <v/>
      </c>
      <c r="S2575" s="18" t="inlineStr">
        <is>
          <t>#cobblemon:is_frozen_ocean; #cobblemon:is_warm_ocean</t>
        </is>
      </c>
      <c r="T2575" s="18" t="inlineStr">
        <is>
          <t>common</t>
        </is>
      </c>
      <c r="U2575" s="20" t="n">
        <v>2</v>
      </c>
      <c r="V2575" s="21" t="n">
        <v>1</v>
      </c>
      <c r="W2575" s="20">
        <f>IF(OR(U2575="",V2575=""),U2575,U2575*V2575)</f>
        <v/>
      </c>
      <c r="X2575" s="18" t="inlineStr">
        <is>
          <t>16-41</t>
        </is>
      </c>
      <c r="Y2575" s="19" t="inlineStr"/>
      <c r="Z2575" s="18">
        <f>IF(Y2575="",X2575,Y2575)</f>
        <v/>
      </c>
      <c r="AA2575" s="18" t="inlineStr">
        <is>
          <t>fishing</t>
        </is>
      </c>
      <c r="AB2575" s="18" t="inlineStr"/>
      <c r="AC2575" s="18" t="inlineStr"/>
      <c r="AD2575" s="18" t="inlineStr"/>
      <c r="AE2575" s="18" t="inlineStr">
        <is>
          <t>sky 8-15</t>
        </is>
      </c>
      <c r="AF2575" s="18" t="inlineStr">
        <is>
          <t>False</t>
        </is>
      </c>
      <c r="AG2575" s="18" t="inlineStr"/>
      <c r="AH2575" s="18" t="inlineStr"/>
      <c r="AI2575" s="18" t="inlineStr"/>
      <c r="AJ2575" s="18" t="inlineStr">
        <is>
          <t>Cobblemon 동일</t>
        </is>
      </c>
      <c r="AK2575" s="18" t="inlineStr">
        <is>
          <t>사용</t>
        </is>
      </c>
      <c r="AL2575" s="18" t="inlineStr">
        <is>
          <t>COBBLEVERSE 1.7.42 / DP v31</t>
        </is>
      </c>
      <c r="AM2575" s="18" t="inlineStr">
        <is>
          <t>data/cobblemon/spawn_pool_world/0771_pyukumuku.json</t>
        </is>
      </c>
      <c r="AN2575" s="18" t="inlineStr">
        <is>
          <t>pyukumuku-6</t>
        </is>
      </c>
      <c r="AO2575" s="18" t="inlineStr">
        <is>
          <t>pokemon</t>
        </is>
      </c>
      <c r="AP2575" s="18" t="inlineStr"/>
      <c r="AQ2575" s="18" t="inlineStr">
        <is>
          <t>{"biomes":["#cobblemon:is_beach","#cobblemon:is_ocean"],"canSeeSky":false,"maxSkyLight":15,"minSkyLight":8}</t>
        </is>
      </c>
      <c r="AR2575" s="18" t="inlineStr">
        <is>
          <t>{"biomes":["#cobblemon:is_frozen_ocean","#cobblemon:is_warm_ocean"]}</t>
        </is>
      </c>
      <c r="AS2575" s="18" t="inlineStr">
        <is>
          <t>{"weightMultipliers":[{"condition":{"maxLureLevel":2,"minLureLevel":2},"multiplier":3.0},{"condition":{"minLureLevel":3},"multiplier":5.0}]}</t>
        </is>
      </c>
      <c r="AT2575" s="19" t="inlineStr"/>
    </row>
    <row r="2576" ht="32" customHeight="1">
      <c r="A2576" s="18" t="inlineStr">
        <is>
          <t>0771_pyukumuku.json::pyukumuku-7::007</t>
        </is>
      </c>
      <c r="B2576" s="19" t="inlineStr">
        <is>
          <t>사용</t>
        </is>
      </c>
      <c r="C2576" s="18">
        <f>IF(OR(B2576&lt;&gt;AK2576,M2576&lt;&gt;L2576,O2576&lt;&gt;"",Q2576&lt;&gt;"",V2576&lt;&gt;1,Y2576&lt;&gt;"",AT2576&lt;&gt;""),"수정","원본")</f>
        <v/>
      </c>
      <c r="D2576" s="18" t="n">
        <v>771</v>
      </c>
      <c r="E2576" s="18" t="inlineStr">
        <is>
          <t>해무기</t>
        </is>
      </c>
      <c r="F2576" s="18" t="inlineStr">
        <is>
          <t>pyukumuku</t>
        </is>
      </c>
      <c r="G2576" s="18" t="inlineStr">
        <is>
          <t>pyukumuku</t>
        </is>
      </c>
      <c r="H2576" s="18" t="inlineStr"/>
      <c r="I2576" s="18" t="n">
        <v>7</v>
      </c>
      <c r="J2576" s="18" t="n"/>
      <c r="K2576" s="18" t="n">
        <v>7</v>
      </c>
      <c r="L2576" s="18" t="inlineStr">
        <is>
          <t>cobbleventure:generation_7</t>
        </is>
      </c>
      <c r="M2576" s="19" t="inlineStr">
        <is>
          <t>cobbleventure:generation_7</t>
        </is>
      </c>
      <c r="N2576" s="18" t="inlineStr"/>
      <c r="O2576" s="19" t="inlineStr"/>
      <c r="P2576" s="18" t="inlineStr">
        <is>
          <t>#cobblemon:is_warm_ocean</t>
        </is>
      </c>
      <c r="Q2576" s="19" t="inlineStr"/>
      <c r="R2576" s="18">
        <f>IF(Q2576="",P2576,Q2576)</f>
        <v/>
      </c>
      <c r="S2576" s="18" t="inlineStr"/>
      <c r="T2576" s="18" t="inlineStr">
        <is>
          <t>common</t>
        </is>
      </c>
      <c r="U2576" s="20" t="n">
        <v>10</v>
      </c>
      <c r="V2576" s="21" t="n">
        <v>1</v>
      </c>
      <c r="W2576" s="20">
        <f>IF(OR(U2576="",V2576=""),U2576,U2576*V2576)</f>
        <v/>
      </c>
      <c r="X2576" s="18" t="inlineStr">
        <is>
          <t>16-41</t>
        </is>
      </c>
      <c r="Y2576" s="19" t="inlineStr"/>
      <c r="Z2576" s="18">
        <f>IF(Y2576="",X2576,Y2576)</f>
        <v/>
      </c>
      <c r="AA2576" s="18" t="inlineStr">
        <is>
          <t>fishing</t>
        </is>
      </c>
      <c r="AB2576" s="18" t="inlineStr"/>
      <c r="AC2576" s="18" t="inlineStr"/>
      <c r="AD2576" s="18" t="inlineStr"/>
      <c r="AE2576" s="18" t="inlineStr">
        <is>
          <t>sky 8-15</t>
        </is>
      </c>
      <c r="AF2576" s="18" t="inlineStr">
        <is>
          <t>False</t>
        </is>
      </c>
      <c r="AG2576" s="18" t="inlineStr"/>
      <c r="AH2576" s="18" t="inlineStr"/>
      <c r="AI2576" s="18" t="inlineStr"/>
      <c r="AJ2576" s="18" t="inlineStr">
        <is>
          <t>Cobblemon 동일</t>
        </is>
      </c>
      <c r="AK2576" s="18" t="inlineStr">
        <is>
          <t>사용</t>
        </is>
      </c>
      <c r="AL2576" s="18" t="inlineStr">
        <is>
          <t>COBBLEVERSE 1.7.42 / DP v31</t>
        </is>
      </c>
      <c r="AM2576" s="18" t="inlineStr">
        <is>
          <t>data/cobblemon/spawn_pool_world/0771_pyukumuku.json</t>
        </is>
      </c>
      <c r="AN2576" s="18" t="inlineStr">
        <is>
          <t>pyukumuku-7</t>
        </is>
      </c>
      <c r="AO2576" s="18" t="inlineStr">
        <is>
          <t>pokemon</t>
        </is>
      </c>
      <c r="AP2576" s="18" t="inlineStr"/>
      <c r="AQ2576" s="18" t="inlineStr">
        <is>
          <t>{"biomes":["#cobblemon:is_warm_ocean"],"canSeeSky":false,"maxSkyLight":15,"minSkyLight":8}</t>
        </is>
      </c>
      <c r="AR2576" s="18" t="inlineStr"/>
      <c r="AS2576" s="18" t="inlineStr"/>
      <c r="AT2576" s="19" t="inlineStr"/>
    </row>
    <row r="2577" ht="32" customHeight="1">
      <c r="A2577" s="18" t="inlineStr">
        <is>
          <t>0774_minior.json::minior-1::001</t>
        </is>
      </c>
      <c r="B2577" s="19" t="inlineStr">
        <is>
          <t>사용</t>
        </is>
      </c>
      <c r="C2577" s="18">
        <f>IF(OR(B2577&lt;&gt;AK2577,M2577&lt;&gt;L2577,O2577&lt;&gt;"",Q2577&lt;&gt;"",V2577&lt;&gt;1,Y2577&lt;&gt;"",AT2577&lt;&gt;""),"수정","원본")</f>
        <v/>
      </c>
      <c r="D2577" s="18" t="n">
        <v>774</v>
      </c>
      <c r="E2577" s="18" t="inlineStr">
        <is>
          <t>메테노</t>
        </is>
      </c>
      <c r="F2577" s="18" t="inlineStr">
        <is>
          <t>minior</t>
        </is>
      </c>
      <c r="G2577" s="18" t="inlineStr">
        <is>
          <t>minior meteor_shield=meteor</t>
        </is>
      </c>
      <c r="H2577" s="18" t="inlineStr">
        <is>
          <t>meteor_shield=meteor</t>
        </is>
      </c>
      <c r="I2577" s="18" t="n">
        <v>7</v>
      </c>
      <c r="J2577" s="18" t="n"/>
      <c r="K2577" s="18" t="n">
        <v>7</v>
      </c>
      <c r="L2577" s="18" t="inlineStr">
        <is>
          <t>cobbleventure:generation_7</t>
        </is>
      </c>
      <c r="M2577" s="19" t="inlineStr">
        <is>
          <t>cobbleventure:generation_7</t>
        </is>
      </c>
      <c r="N2577" s="18" t="inlineStr">
        <is>
          <t>region_01; region_02</t>
        </is>
      </c>
      <c r="O2577" s="19" t="inlineStr"/>
      <c r="P2577" s="18" t="inlineStr">
        <is>
          <t>#cobblemon:is_overworld</t>
        </is>
      </c>
      <c r="Q2577" s="19" t="inlineStr"/>
      <c r="R2577" s="18">
        <f>IF(Q2577="",P2577,Q2577)</f>
        <v/>
      </c>
      <c r="S2577" s="18" t="inlineStr"/>
      <c r="T2577" s="18" t="inlineStr">
        <is>
          <t>rare</t>
        </is>
      </c>
      <c r="U2577" s="20" t="n">
        <v>9</v>
      </c>
      <c r="V2577" s="21" t="n">
        <v>1</v>
      </c>
      <c r="W2577" s="20">
        <f>IF(OR(U2577="",V2577=""),U2577,U2577*V2577)</f>
        <v/>
      </c>
      <c r="X2577" s="18" t="inlineStr">
        <is>
          <t>20-30</t>
        </is>
      </c>
      <c r="Y2577" s="19" t="inlineStr"/>
      <c r="Z2577" s="18">
        <f>IF(Y2577="",X2577,Y2577)</f>
        <v/>
      </c>
      <c r="AA2577" s="18" t="inlineStr">
        <is>
          <t>grounded</t>
        </is>
      </c>
      <c r="AB2577" s="18" t="inlineStr">
        <is>
          <t>day</t>
        </is>
      </c>
      <c r="AC2577" s="18" t="inlineStr"/>
      <c r="AD2577" s="18" t="inlineStr"/>
      <c r="AE2577" s="18" t="inlineStr"/>
      <c r="AF2577" s="18" t="inlineStr">
        <is>
          <t>True</t>
        </is>
      </c>
      <c r="AG2577" s="18" t="inlineStr"/>
      <c r="AH2577" s="18" t="inlineStr"/>
      <c r="AI2577" s="18" t="inlineStr"/>
      <c r="AJ2577" s="18" t="inlineStr">
        <is>
          <t>COBBLEVERSE 추가</t>
        </is>
      </c>
      <c r="AK2577" s="18" t="inlineStr">
        <is>
          <t>사용</t>
        </is>
      </c>
      <c r="AL2577" s="18" t="inlineStr">
        <is>
          <t>COBBLEVERSE 1.7.42 / DP v31</t>
        </is>
      </c>
      <c r="AM2577" s="18" t="inlineStr">
        <is>
          <t>data/cobblemon/spawn_pool_world/0774_minior.json</t>
        </is>
      </c>
      <c r="AN2577" s="18" t="inlineStr">
        <is>
          <t>minior-1</t>
        </is>
      </c>
      <c r="AO2577" s="18" t="inlineStr">
        <is>
          <t>pokemon</t>
        </is>
      </c>
      <c r="AP2577" s="18" t="inlineStr">
        <is>
          <t>natural</t>
        </is>
      </c>
      <c r="AQ2577" s="18" t="inlineStr">
        <is>
          <t>{"biomes":["#cobblemon:is_overworld"],"canSeeSky":true,"timeRange":"day"}</t>
        </is>
      </c>
      <c r="AR2577" s="18" t="inlineStr"/>
      <c r="AS2577" s="18" t="inlineStr"/>
      <c r="AT2577" s="19" t="inlineStr"/>
    </row>
    <row r="2578" ht="32" customHeight="1">
      <c r="A2578" s="18" t="inlineStr">
        <is>
          <t>0774_minior.json::minior-2::002</t>
        </is>
      </c>
      <c r="B2578" s="19" t="inlineStr">
        <is>
          <t>사용</t>
        </is>
      </c>
      <c r="C2578" s="18">
        <f>IF(OR(B2578&lt;&gt;AK2578,M2578&lt;&gt;L2578,O2578&lt;&gt;"",Q2578&lt;&gt;"",V2578&lt;&gt;1,Y2578&lt;&gt;"",AT2578&lt;&gt;""),"수정","원본")</f>
        <v/>
      </c>
      <c r="D2578" s="18" t="n">
        <v>774</v>
      </c>
      <c r="E2578" s="18" t="inlineStr">
        <is>
          <t>메테노</t>
        </is>
      </c>
      <c r="F2578" s="18" t="inlineStr">
        <is>
          <t>minior</t>
        </is>
      </c>
      <c r="G2578" s="18" t="inlineStr">
        <is>
          <t>minior meteor_shield=core core_color=red</t>
        </is>
      </c>
      <c r="H2578" s="18" t="inlineStr">
        <is>
          <t>meteor_shield=core core_color=red</t>
        </is>
      </c>
      <c r="I2578" s="18" t="n">
        <v>7</v>
      </c>
      <c r="J2578" s="18" t="n"/>
      <c r="K2578" s="18" t="n">
        <v>7</v>
      </c>
      <c r="L2578" s="18" t="inlineStr">
        <is>
          <t>cobbleventure:generation_7</t>
        </is>
      </c>
      <c r="M2578" s="19" t="inlineStr">
        <is>
          <t>cobbleventure:generation_7</t>
        </is>
      </c>
      <c r="N2578" s="18" t="inlineStr"/>
      <c r="O2578" s="19" t="inlineStr"/>
      <c r="P2578" s="18" t="inlineStr">
        <is>
          <t>#cobblemon:is_hills</t>
        </is>
      </c>
      <c r="Q2578" s="19" t="inlineStr"/>
      <c r="R2578" s="18">
        <f>IF(Q2578="",P2578,Q2578)</f>
        <v/>
      </c>
      <c r="S2578" s="18" t="inlineStr"/>
      <c r="T2578" s="18" t="inlineStr">
        <is>
          <t>uncommon</t>
        </is>
      </c>
      <c r="U2578" s="20" t="n">
        <v>5</v>
      </c>
      <c r="V2578" s="21" t="n">
        <v>1</v>
      </c>
      <c r="W2578" s="20">
        <f>IF(OR(U2578="",V2578=""),U2578,U2578*V2578)</f>
        <v/>
      </c>
      <c r="X2578" s="18" t="inlineStr">
        <is>
          <t>20-30</t>
        </is>
      </c>
      <c r="Y2578" s="19" t="inlineStr"/>
      <c r="Z2578" s="18">
        <f>IF(Y2578="",X2578,Y2578)</f>
        <v/>
      </c>
      <c r="AA2578" s="18" t="inlineStr">
        <is>
          <t>grounded</t>
        </is>
      </c>
      <c r="AB2578" s="18" t="inlineStr">
        <is>
          <t>night</t>
        </is>
      </c>
      <c r="AC2578" s="18" t="inlineStr"/>
      <c r="AD2578" s="18" t="inlineStr"/>
      <c r="AE2578" s="18" t="inlineStr"/>
      <c r="AF2578" s="18" t="inlineStr">
        <is>
          <t>True</t>
        </is>
      </c>
      <c r="AG2578" s="18" t="inlineStr"/>
      <c r="AH2578" s="18" t="inlineStr"/>
      <c r="AI2578" s="18" t="inlineStr"/>
      <c r="AJ2578" s="18" t="inlineStr">
        <is>
          <t>COBBLEVERSE 추가</t>
        </is>
      </c>
      <c r="AK2578" s="18" t="inlineStr">
        <is>
          <t>사용</t>
        </is>
      </c>
      <c r="AL2578" s="18" t="inlineStr">
        <is>
          <t>COBBLEVERSE 1.7.42 / DP v31</t>
        </is>
      </c>
      <c r="AM2578" s="18" t="inlineStr">
        <is>
          <t>data/cobblemon/spawn_pool_world/0774_minior.json</t>
        </is>
      </c>
      <c r="AN2578" s="18" t="inlineStr">
        <is>
          <t>minior-2</t>
        </is>
      </c>
      <c r="AO2578" s="18" t="inlineStr">
        <is>
          <t>pokemon</t>
        </is>
      </c>
      <c r="AP2578" s="18" t="inlineStr">
        <is>
          <t>natural</t>
        </is>
      </c>
      <c r="AQ2578" s="18" t="inlineStr">
        <is>
          <t>{"biomes":["#cobblemon:is_hills"],"canSeeSky":true,"timeRange":"night"}</t>
        </is>
      </c>
      <c r="AR2578" s="18" t="inlineStr"/>
      <c r="AS2578" s="18" t="inlineStr"/>
      <c r="AT2578" s="19" t="inlineStr"/>
    </row>
    <row r="2579" ht="32" customHeight="1">
      <c r="A2579" s="18" t="inlineStr">
        <is>
          <t>0774_minior.json::minior-3::003</t>
        </is>
      </c>
      <c r="B2579" s="19" t="inlineStr">
        <is>
          <t>사용</t>
        </is>
      </c>
      <c r="C2579" s="18">
        <f>IF(OR(B2579&lt;&gt;AK2579,M2579&lt;&gt;L2579,O2579&lt;&gt;"",Q2579&lt;&gt;"",V2579&lt;&gt;1,Y2579&lt;&gt;"",AT2579&lt;&gt;""),"수정","원본")</f>
        <v/>
      </c>
      <c r="D2579" s="18" t="n">
        <v>774</v>
      </c>
      <c r="E2579" s="18" t="inlineStr">
        <is>
          <t>메테노</t>
        </is>
      </c>
      <c r="F2579" s="18" t="inlineStr">
        <is>
          <t>minior</t>
        </is>
      </c>
      <c r="G2579" s="18" t="inlineStr">
        <is>
          <t>minior meteor_shield=core core_color=orange</t>
        </is>
      </c>
      <c r="H2579" s="18" t="inlineStr">
        <is>
          <t>meteor_shield=core core_color=orange</t>
        </is>
      </c>
      <c r="I2579" s="18" t="n">
        <v>7</v>
      </c>
      <c r="J2579" s="18" t="n"/>
      <c r="K2579" s="18" t="n">
        <v>7</v>
      </c>
      <c r="L2579" s="18" t="inlineStr">
        <is>
          <t>cobbleventure:generation_7</t>
        </is>
      </c>
      <c r="M2579" s="19" t="inlineStr">
        <is>
          <t>cobbleventure:generation_7</t>
        </is>
      </c>
      <c r="N2579" s="18" t="inlineStr"/>
      <c r="O2579" s="19" t="inlineStr"/>
      <c r="P2579" s="18" t="inlineStr">
        <is>
          <t>#cobblemon:is_savanna</t>
        </is>
      </c>
      <c r="Q2579" s="19" t="inlineStr"/>
      <c r="R2579" s="18">
        <f>IF(Q2579="",P2579,Q2579)</f>
        <v/>
      </c>
      <c r="S2579" s="18" t="inlineStr"/>
      <c r="T2579" s="18" t="inlineStr">
        <is>
          <t>uncommon</t>
        </is>
      </c>
      <c r="U2579" s="20" t="n">
        <v>5</v>
      </c>
      <c r="V2579" s="21" t="n">
        <v>1</v>
      </c>
      <c r="W2579" s="20">
        <f>IF(OR(U2579="",V2579=""),U2579,U2579*V2579)</f>
        <v/>
      </c>
      <c r="X2579" s="18" t="inlineStr">
        <is>
          <t>20-30</t>
        </is>
      </c>
      <c r="Y2579" s="19" t="inlineStr"/>
      <c r="Z2579" s="18">
        <f>IF(Y2579="",X2579,Y2579)</f>
        <v/>
      </c>
      <c r="AA2579" s="18" t="inlineStr">
        <is>
          <t>grounded</t>
        </is>
      </c>
      <c r="AB2579" s="18" t="inlineStr">
        <is>
          <t>night</t>
        </is>
      </c>
      <c r="AC2579" s="18" t="inlineStr"/>
      <c r="AD2579" s="18" t="inlineStr"/>
      <c r="AE2579" s="18" t="inlineStr"/>
      <c r="AF2579" s="18" t="inlineStr">
        <is>
          <t>True</t>
        </is>
      </c>
      <c r="AG2579" s="18" t="inlineStr"/>
      <c r="AH2579" s="18" t="inlineStr"/>
      <c r="AI2579" s="18" t="inlineStr"/>
      <c r="AJ2579" s="18" t="inlineStr">
        <is>
          <t>COBBLEVERSE 추가</t>
        </is>
      </c>
      <c r="AK2579" s="18" t="inlineStr">
        <is>
          <t>사용</t>
        </is>
      </c>
      <c r="AL2579" s="18" t="inlineStr">
        <is>
          <t>COBBLEVERSE 1.7.42 / DP v31</t>
        </is>
      </c>
      <c r="AM2579" s="18" t="inlineStr">
        <is>
          <t>data/cobblemon/spawn_pool_world/0774_minior.json</t>
        </is>
      </c>
      <c r="AN2579" s="18" t="inlineStr">
        <is>
          <t>minior-3</t>
        </is>
      </c>
      <c r="AO2579" s="18" t="inlineStr">
        <is>
          <t>pokemon</t>
        </is>
      </c>
      <c r="AP2579" s="18" t="inlineStr">
        <is>
          <t>natural</t>
        </is>
      </c>
      <c r="AQ2579" s="18" t="inlineStr">
        <is>
          <t>{"biomes":["#cobblemon:is_savanna"],"canSeeSky":true,"timeRange":"night"}</t>
        </is>
      </c>
      <c r="AR2579" s="18" t="inlineStr"/>
      <c r="AS2579" s="18" t="inlineStr"/>
      <c r="AT2579" s="19" t="inlineStr"/>
    </row>
    <row r="2580" ht="32" customHeight="1">
      <c r="A2580" s="18" t="inlineStr">
        <is>
          <t>0774_minior.json::minior-4::004</t>
        </is>
      </c>
      <c r="B2580" s="19" t="inlineStr">
        <is>
          <t>사용</t>
        </is>
      </c>
      <c r="C2580" s="18">
        <f>IF(OR(B2580&lt;&gt;AK2580,M2580&lt;&gt;L2580,O2580&lt;&gt;"",Q2580&lt;&gt;"",V2580&lt;&gt;1,Y2580&lt;&gt;"",AT2580&lt;&gt;""),"수정","원본")</f>
        <v/>
      </c>
      <c r="D2580" s="18" t="n">
        <v>774</v>
      </c>
      <c r="E2580" s="18" t="inlineStr">
        <is>
          <t>메테노</t>
        </is>
      </c>
      <c r="F2580" s="18" t="inlineStr">
        <is>
          <t>minior</t>
        </is>
      </c>
      <c r="G2580" s="18" t="inlineStr">
        <is>
          <t>minior meteor_shield=core core_color=yellow</t>
        </is>
      </c>
      <c r="H2580" s="18" t="inlineStr">
        <is>
          <t>meteor_shield=core core_color=yellow</t>
        </is>
      </c>
      <c r="I2580" s="18" t="n">
        <v>7</v>
      </c>
      <c r="J2580" s="18" t="n"/>
      <c r="K2580" s="18" t="n">
        <v>7</v>
      </c>
      <c r="L2580" s="18" t="inlineStr">
        <is>
          <t>cobbleventure:generation_7</t>
        </is>
      </c>
      <c r="M2580" s="19" t="inlineStr">
        <is>
          <t>cobbleventure:generation_7</t>
        </is>
      </c>
      <c r="N2580" s="18" t="inlineStr">
        <is>
          <t>region_01</t>
        </is>
      </c>
      <c r="O2580" s="19" t="inlineStr"/>
      <c r="P2580" s="18" t="inlineStr">
        <is>
          <t>#cobblemon:is_plains</t>
        </is>
      </c>
      <c r="Q2580" s="19" t="inlineStr"/>
      <c r="R2580" s="18">
        <f>IF(Q2580="",P2580,Q2580)</f>
        <v/>
      </c>
      <c r="S2580" s="18" t="inlineStr"/>
      <c r="T2580" s="18" t="inlineStr">
        <is>
          <t>uncommon</t>
        </is>
      </c>
      <c r="U2580" s="20" t="n">
        <v>5</v>
      </c>
      <c r="V2580" s="21" t="n">
        <v>1</v>
      </c>
      <c r="W2580" s="20">
        <f>IF(OR(U2580="",V2580=""),U2580,U2580*V2580)</f>
        <v/>
      </c>
      <c r="X2580" s="18" t="inlineStr">
        <is>
          <t>20-30</t>
        </is>
      </c>
      <c r="Y2580" s="19" t="inlineStr"/>
      <c r="Z2580" s="18">
        <f>IF(Y2580="",X2580,Y2580)</f>
        <v/>
      </c>
      <c r="AA2580" s="18" t="inlineStr">
        <is>
          <t>grounded</t>
        </is>
      </c>
      <c r="AB2580" s="18" t="inlineStr">
        <is>
          <t>night</t>
        </is>
      </c>
      <c r="AC2580" s="18" t="inlineStr"/>
      <c r="AD2580" s="18" t="inlineStr"/>
      <c r="AE2580" s="18" t="inlineStr"/>
      <c r="AF2580" s="18" t="inlineStr">
        <is>
          <t>True</t>
        </is>
      </c>
      <c r="AG2580" s="18" t="inlineStr"/>
      <c r="AH2580" s="18" t="inlineStr"/>
      <c r="AI2580" s="18" t="inlineStr"/>
      <c r="AJ2580" s="18" t="inlineStr">
        <is>
          <t>COBBLEVERSE 추가</t>
        </is>
      </c>
      <c r="AK2580" s="18" t="inlineStr">
        <is>
          <t>사용</t>
        </is>
      </c>
      <c r="AL2580" s="18" t="inlineStr">
        <is>
          <t>COBBLEVERSE 1.7.42 / DP v31</t>
        </is>
      </c>
      <c r="AM2580" s="18" t="inlineStr">
        <is>
          <t>data/cobblemon/spawn_pool_world/0774_minior.json</t>
        </is>
      </c>
      <c r="AN2580" s="18" t="inlineStr">
        <is>
          <t>minior-4</t>
        </is>
      </c>
      <c r="AO2580" s="18" t="inlineStr">
        <is>
          <t>pokemon</t>
        </is>
      </c>
      <c r="AP2580" s="18" t="inlineStr">
        <is>
          <t>natural</t>
        </is>
      </c>
      <c r="AQ2580" s="18" t="inlineStr">
        <is>
          <t>{"biomes":["#cobblemon:is_plains"],"canSeeSky":true,"timeRange":"night"}</t>
        </is>
      </c>
      <c r="AR2580" s="18" t="inlineStr"/>
      <c r="AS2580" s="18" t="inlineStr"/>
      <c r="AT2580" s="19" t="inlineStr"/>
    </row>
    <row r="2581" ht="32" customHeight="1">
      <c r="A2581" s="18" t="inlineStr">
        <is>
          <t>0774_minior.json::minior-5::005</t>
        </is>
      </c>
      <c r="B2581" s="19" t="inlineStr">
        <is>
          <t>사용</t>
        </is>
      </c>
      <c r="C2581" s="18">
        <f>IF(OR(B2581&lt;&gt;AK2581,M2581&lt;&gt;L2581,O2581&lt;&gt;"",Q2581&lt;&gt;"",V2581&lt;&gt;1,Y2581&lt;&gt;"",AT2581&lt;&gt;""),"수정","원본")</f>
        <v/>
      </c>
      <c r="D2581" s="18" t="n">
        <v>774</v>
      </c>
      <c r="E2581" s="18" t="inlineStr">
        <is>
          <t>메테노</t>
        </is>
      </c>
      <c r="F2581" s="18" t="inlineStr">
        <is>
          <t>minior</t>
        </is>
      </c>
      <c r="G2581" s="18" t="inlineStr">
        <is>
          <t>minior meteor_shield=core core_color=green</t>
        </is>
      </c>
      <c r="H2581" s="18" t="inlineStr">
        <is>
          <t>meteor_shield=core core_color=green</t>
        </is>
      </c>
      <c r="I2581" s="18" t="n">
        <v>7</v>
      </c>
      <c r="J2581" s="18" t="n"/>
      <c r="K2581" s="18" t="n">
        <v>7</v>
      </c>
      <c r="L2581" s="18" t="inlineStr">
        <is>
          <t>cobbleventure:generation_7</t>
        </is>
      </c>
      <c r="M2581" s="19" t="inlineStr">
        <is>
          <t>cobbleventure:generation_7</t>
        </is>
      </c>
      <c r="N2581" s="18" t="inlineStr"/>
      <c r="O2581" s="19" t="inlineStr"/>
      <c r="P2581" s="18" t="inlineStr">
        <is>
          <t>#cobblemon:is_jungle</t>
        </is>
      </c>
      <c r="Q2581" s="19" t="inlineStr"/>
      <c r="R2581" s="18">
        <f>IF(Q2581="",P2581,Q2581)</f>
        <v/>
      </c>
      <c r="S2581" s="18" t="inlineStr"/>
      <c r="T2581" s="18" t="inlineStr">
        <is>
          <t>uncommon</t>
        </is>
      </c>
      <c r="U2581" s="20" t="n">
        <v>5</v>
      </c>
      <c r="V2581" s="21" t="n">
        <v>1</v>
      </c>
      <c r="W2581" s="20">
        <f>IF(OR(U2581="",V2581=""),U2581,U2581*V2581)</f>
        <v/>
      </c>
      <c r="X2581" s="18" t="inlineStr">
        <is>
          <t>20-30</t>
        </is>
      </c>
      <c r="Y2581" s="19" t="inlineStr"/>
      <c r="Z2581" s="18">
        <f>IF(Y2581="",X2581,Y2581)</f>
        <v/>
      </c>
      <c r="AA2581" s="18" t="inlineStr">
        <is>
          <t>grounded</t>
        </is>
      </c>
      <c r="AB2581" s="18" t="inlineStr">
        <is>
          <t>night</t>
        </is>
      </c>
      <c r="AC2581" s="18" t="inlineStr"/>
      <c r="AD2581" s="18" t="inlineStr"/>
      <c r="AE2581" s="18" t="inlineStr"/>
      <c r="AF2581" s="18" t="inlineStr">
        <is>
          <t>True</t>
        </is>
      </c>
      <c r="AG2581" s="18" t="inlineStr"/>
      <c r="AH2581" s="18" t="inlineStr"/>
      <c r="AI2581" s="18" t="inlineStr"/>
      <c r="AJ2581" s="18" t="inlineStr">
        <is>
          <t>COBBLEVERSE 추가</t>
        </is>
      </c>
      <c r="AK2581" s="18" t="inlineStr">
        <is>
          <t>사용</t>
        </is>
      </c>
      <c r="AL2581" s="18" t="inlineStr">
        <is>
          <t>COBBLEVERSE 1.7.42 / DP v31</t>
        </is>
      </c>
      <c r="AM2581" s="18" t="inlineStr">
        <is>
          <t>data/cobblemon/spawn_pool_world/0774_minior.json</t>
        </is>
      </c>
      <c r="AN2581" s="18" t="inlineStr">
        <is>
          <t>minior-5</t>
        </is>
      </c>
      <c r="AO2581" s="18" t="inlineStr">
        <is>
          <t>pokemon</t>
        </is>
      </c>
      <c r="AP2581" s="18" t="inlineStr">
        <is>
          <t>natural</t>
        </is>
      </c>
      <c r="AQ2581" s="18" t="inlineStr">
        <is>
          <t>{"biomes":["#cobblemon:is_jungle"],"canSeeSky":true,"timeRange":"night"}</t>
        </is>
      </c>
      <c r="AR2581" s="18" t="inlineStr"/>
      <c r="AS2581" s="18" t="inlineStr"/>
      <c r="AT2581" s="19" t="inlineStr"/>
    </row>
    <row r="2582" ht="32" customHeight="1">
      <c r="A2582" s="18" t="inlineStr">
        <is>
          <t>0774_minior.json::minior-6::006</t>
        </is>
      </c>
      <c r="B2582" s="19" t="inlineStr">
        <is>
          <t>사용</t>
        </is>
      </c>
      <c r="C2582" s="18">
        <f>IF(OR(B2582&lt;&gt;AK2582,M2582&lt;&gt;L2582,O2582&lt;&gt;"",Q2582&lt;&gt;"",V2582&lt;&gt;1,Y2582&lt;&gt;"",AT2582&lt;&gt;""),"수정","원본")</f>
        <v/>
      </c>
      <c r="D2582" s="18" t="n">
        <v>774</v>
      </c>
      <c r="E2582" s="18" t="inlineStr">
        <is>
          <t>메테노</t>
        </is>
      </c>
      <c r="F2582" s="18" t="inlineStr">
        <is>
          <t>minior</t>
        </is>
      </c>
      <c r="G2582" s="18" t="inlineStr">
        <is>
          <t>minior meteor_shield=core core_color=blue</t>
        </is>
      </c>
      <c r="H2582" s="18" t="inlineStr">
        <is>
          <t>meteor_shield=core core_color=blue</t>
        </is>
      </c>
      <c r="I2582" s="18" t="n">
        <v>7</v>
      </c>
      <c r="J2582" s="18" t="n"/>
      <c r="K2582" s="18" t="n">
        <v>7</v>
      </c>
      <c r="L2582" s="18" t="inlineStr">
        <is>
          <t>cobbleventure:generation_7</t>
        </is>
      </c>
      <c r="M2582" s="19" t="inlineStr">
        <is>
          <t>cobbleventure:generation_7</t>
        </is>
      </c>
      <c r="N2582" s="18" t="inlineStr">
        <is>
          <t>region_02</t>
        </is>
      </c>
      <c r="O2582" s="19" t="inlineStr"/>
      <c r="P2582" s="18" t="inlineStr">
        <is>
          <t>#cobblemon:is_freshwater</t>
        </is>
      </c>
      <c r="Q2582" s="19" t="inlineStr"/>
      <c r="R2582" s="18">
        <f>IF(Q2582="",P2582,Q2582)</f>
        <v/>
      </c>
      <c r="S2582" s="18" t="inlineStr"/>
      <c r="T2582" s="18" t="inlineStr">
        <is>
          <t>uncommon</t>
        </is>
      </c>
      <c r="U2582" s="20" t="n">
        <v>5</v>
      </c>
      <c r="V2582" s="21" t="n">
        <v>1</v>
      </c>
      <c r="W2582" s="20">
        <f>IF(OR(U2582="",V2582=""),U2582,U2582*V2582)</f>
        <v/>
      </c>
      <c r="X2582" s="18" t="inlineStr">
        <is>
          <t>20-30</t>
        </is>
      </c>
      <c r="Y2582" s="19" t="inlineStr"/>
      <c r="Z2582" s="18">
        <f>IF(Y2582="",X2582,Y2582)</f>
        <v/>
      </c>
      <c r="AA2582" s="18" t="inlineStr">
        <is>
          <t>grounded</t>
        </is>
      </c>
      <c r="AB2582" s="18" t="inlineStr">
        <is>
          <t>night</t>
        </is>
      </c>
      <c r="AC2582" s="18" t="inlineStr"/>
      <c r="AD2582" s="18" t="inlineStr"/>
      <c r="AE2582" s="18" t="inlineStr"/>
      <c r="AF2582" s="18" t="inlineStr">
        <is>
          <t>True</t>
        </is>
      </c>
      <c r="AG2582" s="18" t="inlineStr"/>
      <c r="AH2582" s="18" t="inlineStr"/>
      <c r="AI2582" s="18" t="inlineStr"/>
      <c r="AJ2582" s="18" t="inlineStr">
        <is>
          <t>COBBLEVERSE 추가</t>
        </is>
      </c>
      <c r="AK2582" s="18" t="inlineStr">
        <is>
          <t>사용</t>
        </is>
      </c>
      <c r="AL2582" s="18" t="inlineStr">
        <is>
          <t>COBBLEVERSE 1.7.42 / DP v31</t>
        </is>
      </c>
      <c r="AM2582" s="18" t="inlineStr">
        <is>
          <t>data/cobblemon/spawn_pool_world/0774_minior.json</t>
        </is>
      </c>
      <c r="AN2582" s="18" t="inlineStr">
        <is>
          <t>minior-6</t>
        </is>
      </c>
      <c r="AO2582" s="18" t="inlineStr">
        <is>
          <t>pokemon</t>
        </is>
      </c>
      <c r="AP2582" s="18" t="inlineStr">
        <is>
          <t>natural</t>
        </is>
      </c>
      <c r="AQ2582" s="18" t="inlineStr">
        <is>
          <t>{"biomes":["#cobblemon:is_freshwater"],"canSeeSky":true,"timeRange":"night"}</t>
        </is>
      </c>
      <c r="AR2582" s="18" t="inlineStr"/>
      <c r="AS2582" s="18" t="inlineStr"/>
      <c r="AT2582" s="19" t="inlineStr"/>
    </row>
    <row r="2583" ht="32" customHeight="1">
      <c r="A2583" s="18" t="inlineStr">
        <is>
          <t>0774_minior.json::minior-7::007</t>
        </is>
      </c>
      <c r="B2583" s="19" t="inlineStr">
        <is>
          <t>사용</t>
        </is>
      </c>
      <c r="C2583" s="18">
        <f>IF(OR(B2583&lt;&gt;AK2583,M2583&lt;&gt;L2583,O2583&lt;&gt;"",Q2583&lt;&gt;"",V2583&lt;&gt;1,Y2583&lt;&gt;"",AT2583&lt;&gt;""),"수정","원본")</f>
        <v/>
      </c>
      <c r="D2583" s="18" t="n">
        <v>774</v>
      </c>
      <c r="E2583" s="18" t="inlineStr">
        <is>
          <t>메테노</t>
        </is>
      </c>
      <c r="F2583" s="18" t="inlineStr">
        <is>
          <t>minior</t>
        </is>
      </c>
      <c r="G2583" s="18" t="inlineStr">
        <is>
          <t>minior meteor_shield=core core_color=indigo</t>
        </is>
      </c>
      <c r="H2583" s="18" t="inlineStr">
        <is>
          <t>meteor_shield=core core_color=indigo</t>
        </is>
      </c>
      <c r="I2583" s="18" t="n">
        <v>7</v>
      </c>
      <c r="J2583" s="18" t="n"/>
      <c r="K2583" s="18" t="n">
        <v>7</v>
      </c>
      <c r="L2583" s="18" t="inlineStr">
        <is>
          <t>cobbleventure:generation_7</t>
        </is>
      </c>
      <c r="M2583" s="19" t="inlineStr">
        <is>
          <t>cobbleventure:generation_7</t>
        </is>
      </c>
      <c r="N2583" s="18" t="inlineStr"/>
      <c r="O2583" s="19" t="inlineStr"/>
      <c r="P2583" s="18" t="inlineStr">
        <is>
          <t>#cobblemon:is_cold</t>
        </is>
      </c>
      <c r="Q2583" s="19" t="inlineStr"/>
      <c r="R2583" s="18">
        <f>IF(Q2583="",P2583,Q2583)</f>
        <v/>
      </c>
      <c r="S2583" s="18" t="inlineStr"/>
      <c r="T2583" s="18" t="inlineStr">
        <is>
          <t>uncommon</t>
        </is>
      </c>
      <c r="U2583" s="20" t="n">
        <v>5</v>
      </c>
      <c r="V2583" s="21" t="n">
        <v>1</v>
      </c>
      <c r="W2583" s="20">
        <f>IF(OR(U2583="",V2583=""),U2583,U2583*V2583)</f>
        <v/>
      </c>
      <c r="X2583" s="18" t="inlineStr">
        <is>
          <t>20-30</t>
        </is>
      </c>
      <c r="Y2583" s="19" t="inlineStr"/>
      <c r="Z2583" s="18">
        <f>IF(Y2583="",X2583,Y2583)</f>
        <v/>
      </c>
      <c r="AA2583" s="18" t="inlineStr">
        <is>
          <t>grounded</t>
        </is>
      </c>
      <c r="AB2583" s="18" t="inlineStr">
        <is>
          <t>night</t>
        </is>
      </c>
      <c r="AC2583" s="18" t="inlineStr"/>
      <c r="AD2583" s="18" t="inlineStr"/>
      <c r="AE2583" s="18" t="inlineStr"/>
      <c r="AF2583" s="18" t="inlineStr">
        <is>
          <t>True</t>
        </is>
      </c>
      <c r="AG2583" s="18" t="inlineStr"/>
      <c r="AH2583" s="18" t="inlineStr"/>
      <c r="AI2583" s="18" t="inlineStr"/>
      <c r="AJ2583" s="18" t="inlineStr">
        <is>
          <t>COBBLEVERSE 추가</t>
        </is>
      </c>
      <c r="AK2583" s="18" t="inlineStr">
        <is>
          <t>사용</t>
        </is>
      </c>
      <c r="AL2583" s="18" t="inlineStr">
        <is>
          <t>COBBLEVERSE 1.7.42 / DP v31</t>
        </is>
      </c>
      <c r="AM2583" s="18" t="inlineStr">
        <is>
          <t>data/cobblemon/spawn_pool_world/0774_minior.json</t>
        </is>
      </c>
      <c r="AN2583" s="18" t="inlineStr">
        <is>
          <t>minior-7</t>
        </is>
      </c>
      <c r="AO2583" s="18" t="inlineStr">
        <is>
          <t>pokemon</t>
        </is>
      </c>
      <c r="AP2583" s="18" t="inlineStr">
        <is>
          <t>natural</t>
        </is>
      </c>
      <c r="AQ2583" s="18" t="inlineStr">
        <is>
          <t>{"biomes":["#cobblemon:is_cold"],"canSeeSky":true,"timeRange":"night"}</t>
        </is>
      </c>
      <c r="AR2583" s="18" t="inlineStr"/>
      <c r="AS2583" s="18" t="inlineStr"/>
      <c r="AT2583" s="19" t="inlineStr"/>
    </row>
    <row r="2584" ht="32" customHeight="1">
      <c r="A2584" s="18" t="inlineStr">
        <is>
          <t>0774_minior.json::minior-8::008</t>
        </is>
      </c>
      <c r="B2584" s="19" t="inlineStr">
        <is>
          <t>사용</t>
        </is>
      </c>
      <c r="C2584" s="18">
        <f>IF(OR(B2584&lt;&gt;AK2584,M2584&lt;&gt;L2584,O2584&lt;&gt;"",Q2584&lt;&gt;"",V2584&lt;&gt;1,Y2584&lt;&gt;"",AT2584&lt;&gt;""),"수정","원본")</f>
        <v/>
      </c>
      <c r="D2584" s="18" t="n">
        <v>774</v>
      </c>
      <c r="E2584" s="18" t="inlineStr">
        <is>
          <t>메테노</t>
        </is>
      </c>
      <c r="F2584" s="18" t="inlineStr">
        <is>
          <t>minior</t>
        </is>
      </c>
      <c r="G2584" s="18" t="inlineStr">
        <is>
          <t>minior meteor_shield=core core_color=violet</t>
        </is>
      </c>
      <c r="H2584" s="18" t="inlineStr">
        <is>
          <t>meteor_shield=core core_color=violet</t>
        </is>
      </c>
      <c r="I2584" s="18" t="n">
        <v>7</v>
      </c>
      <c r="J2584" s="18" t="n"/>
      <c r="K2584" s="18" t="n">
        <v>7</v>
      </c>
      <c r="L2584" s="18" t="inlineStr">
        <is>
          <t>cobbleventure:generation_7</t>
        </is>
      </c>
      <c r="M2584" s="19" t="inlineStr">
        <is>
          <t>cobbleventure:generation_7</t>
        </is>
      </c>
      <c r="N2584" s="18" t="inlineStr"/>
      <c r="O2584" s="19" t="inlineStr"/>
      <c r="P2584" s="18" t="inlineStr">
        <is>
          <t>#cobblemon:is_mountain</t>
        </is>
      </c>
      <c r="Q2584" s="19" t="inlineStr"/>
      <c r="R2584" s="18">
        <f>IF(Q2584="",P2584,Q2584)</f>
        <v/>
      </c>
      <c r="S2584" s="18" t="inlineStr"/>
      <c r="T2584" s="18" t="inlineStr">
        <is>
          <t>uncommon</t>
        </is>
      </c>
      <c r="U2584" s="20" t="n">
        <v>5</v>
      </c>
      <c r="V2584" s="21" t="n">
        <v>1</v>
      </c>
      <c r="W2584" s="20">
        <f>IF(OR(U2584="",V2584=""),U2584,U2584*V2584)</f>
        <v/>
      </c>
      <c r="X2584" s="18" t="inlineStr">
        <is>
          <t>20-30</t>
        </is>
      </c>
      <c r="Y2584" s="19" t="inlineStr"/>
      <c r="Z2584" s="18">
        <f>IF(Y2584="",X2584,Y2584)</f>
        <v/>
      </c>
      <c r="AA2584" s="18" t="inlineStr">
        <is>
          <t>grounded</t>
        </is>
      </c>
      <c r="AB2584" s="18" t="inlineStr">
        <is>
          <t>night</t>
        </is>
      </c>
      <c r="AC2584" s="18" t="inlineStr"/>
      <c r="AD2584" s="18" t="inlineStr"/>
      <c r="AE2584" s="18" t="inlineStr"/>
      <c r="AF2584" s="18" t="inlineStr">
        <is>
          <t>True</t>
        </is>
      </c>
      <c r="AG2584" s="18" t="inlineStr"/>
      <c r="AH2584" s="18" t="inlineStr"/>
      <c r="AI2584" s="18" t="inlineStr"/>
      <c r="AJ2584" s="18" t="inlineStr">
        <is>
          <t>COBBLEVERSE 추가</t>
        </is>
      </c>
      <c r="AK2584" s="18" t="inlineStr">
        <is>
          <t>사용</t>
        </is>
      </c>
      <c r="AL2584" s="18" t="inlineStr">
        <is>
          <t>COBBLEVERSE 1.7.42 / DP v31</t>
        </is>
      </c>
      <c r="AM2584" s="18" t="inlineStr">
        <is>
          <t>data/cobblemon/spawn_pool_world/0774_minior.json</t>
        </is>
      </c>
      <c r="AN2584" s="18" t="inlineStr">
        <is>
          <t>minior-8</t>
        </is>
      </c>
      <c r="AO2584" s="18" t="inlineStr">
        <is>
          <t>pokemon</t>
        </is>
      </c>
      <c r="AP2584" s="18" t="inlineStr">
        <is>
          <t>natural</t>
        </is>
      </c>
      <c r="AQ2584" s="18" t="inlineStr">
        <is>
          <t>{"biomes":["#cobblemon:is_mountain"],"canSeeSky":true,"timeRange":"night"}</t>
        </is>
      </c>
      <c r="AR2584" s="18" t="inlineStr"/>
      <c r="AS2584" s="18" t="inlineStr"/>
      <c r="AT2584" s="19" t="inlineStr"/>
    </row>
    <row r="2585" ht="32" customHeight="1">
      <c r="A2585" s="18" t="inlineStr">
        <is>
          <t>0775_komala.json::komala-1::001</t>
        </is>
      </c>
      <c r="B2585" s="19" t="inlineStr">
        <is>
          <t>사용</t>
        </is>
      </c>
      <c r="C2585" s="18">
        <f>IF(OR(B2585&lt;&gt;AK2585,M2585&lt;&gt;L2585,O2585&lt;&gt;"",Q2585&lt;&gt;"",V2585&lt;&gt;1,Y2585&lt;&gt;"",AT2585&lt;&gt;""),"수정","원본")</f>
        <v/>
      </c>
      <c r="D2585" s="18" t="n">
        <v>775</v>
      </c>
      <c r="E2585" s="18" t="inlineStr">
        <is>
          <t>자말라</t>
        </is>
      </c>
      <c r="F2585" s="18" t="inlineStr">
        <is>
          <t>komala</t>
        </is>
      </c>
      <c r="G2585" s="18" t="inlineStr">
        <is>
          <t>komala</t>
        </is>
      </c>
      <c r="H2585" s="18" t="inlineStr"/>
      <c r="I2585" s="18" t="n">
        <v>7</v>
      </c>
      <c r="J2585" s="18" t="n"/>
      <c r="K2585" s="18" t="n">
        <v>7</v>
      </c>
      <c r="L2585" s="18" t="inlineStr">
        <is>
          <t>cobbleventure:generation_7</t>
        </is>
      </c>
      <c r="M2585" s="19" t="inlineStr">
        <is>
          <t>cobbleventure:generation_7</t>
        </is>
      </c>
      <c r="N2585" s="18" t="inlineStr"/>
      <c r="O2585" s="19" t="inlineStr"/>
      <c r="P2585" s="18" t="inlineStr">
        <is>
          <t>aether:skyroot_forest; aether:skyroot_woodland; #cobblemon:is_savanna</t>
        </is>
      </c>
      <c r="Q2585" s="19" t="inlineStr"/>
      <c r="R2585" s="18">
        <f>IF(Q2585="",P2585,Q2585)</f>
        <v/>
      </c>
      <c r="S2585" s="18" t="inlineStr"/>
      <c r="T2585" s="18" t="inlineStr">
        <is>
          <t>common</t>
        </is>
      </c>
      <c r="U2585" s="20" t="n">
        <v>6</v>
      </c>
      <c r="V2585" s="21" t="n">
        <v>1</v>
      </c>
      <c r="W2585" s="20">
        <f>IF(OR(U2585="",V2585=""),U2585,U2585*V2585)</f>
        <v/>
      </c>
      <c r="X2585" s="18" t="inlineStr">
        <is>
          <t>23-48</t>
        </is>
      </c>
      <c r="Y2585" s="19" t="inlineStr"/>
      <c r="Z2585" s="18">
        <f>IF(Y2585="",X2585,Y2585)</f>
        <v/>
      </c>
      <c r="AA2585" s="18" t="inlineStr">
        <is>
          <t>grounded</t>
        </is>
      </c>
      <c r="AB2585" s="18" t="inlineStr"/>
      <c r="AC2585" s="18" t="inlineStr"/>
      <c r="AD2585" s="18" t="inlineStr"/>
      <c r="AE2585" s="18" t="inlineStr">
        <is>
          <t>sky 8-15</t>
        </is>
      </c>
      <c r="AF2585" s="18" t="inlineStr"/>
      <c r="AG2585" s="18" t="inlineStr"/>
      <c r="AH2585" s="18" t="inlineStr"/>
      <c r="AI2585" s="18" t="inlineStr"/>
      <c r="AJ2585" s="18" t="inlineStr">
        <is>
          <t>Cobblemon 동일</t>
        </is>
      </c>
      <c r="AK2585" s="18" t="inlineStr">
        <is>
          <t>사용</t>
        </is>
      </c>
      <c r="AL2585" s="18" t="inlineStr">
        <is>
          <t>COBBLEVERSE 1.7.42 / DP v31</t>
        </is>
      </c>
      <c r="AM2585" s="18" t="inlineStr">
        <is>
          <t>data/cobblemon/spawn_pool_world/0775_komala.json</t>
        </is>
      </c>
      <c r="AN2585" s="18" t="inlineStr">
        <is>
          <t>komala-1</t>
        </is>
      </c>
      <c r="AO2585" s="18" t="inlineStr">
        <is>
          <t>pokemon</t>
        </is>
      </c>
      <c r="AP2585" s="18" t="inlineStr">
        <is>
          <t>natural; foliage; treetop; wild</t>
        </is>
      </c>
      <c r="AQ2585" s="18" t="inlineStr">
        <is>
          <t>{"biomes":["aether:skyroot_forest","aether:skyroot_woodland","#cobblemon:is_savanna"],"maxSkyLight":15,"minSkyLight":8}</t>
        </is>
      </c>
      <c r="AR2585" s="18" t="inlineStr"/>
      <c r="AS2585" s="18" t="inlineStr"/>
      <c r="AT2585" s="19" t="inlineStr"/>
    </row>
    <row r="2586" ht="32" customHeight="1">
      <c r="A2586" s="18" t="inlineStr">
        <is>
          <t>0776_turtonator.json::turtonator-1::001</t>
        </is>
      </c>
      <c r="B2586" s="19" t="inlineStr">
        <is>
          <t>사용</t>
        </is>
      </c>
      <c r="C2586" s="18">
        <f>IF(OR(B2586&lt;&gt;AK2586,M2586&lt;&gt;L2586,O2586&lt;&gt;"",Q2586&lt;&gt;"",V2586&lt;&gt;1,Y2586&lt;&gt;"",AT2586&lt;&gt;""),"수정","원본")</f>
        <v/>
      </c>
      <c r="D2586" s="18" t="n">
        <v>776</v>
      </c>
      <c r="E2586" s="18" t="inlineStr">
        <is>
          <t>폭거북스</t>
        </is>
      </c>
      <c r="F2586" s="18" t="inlineStr">
        <is>
          <t>turtonator</t>
        </is>
      </c>
      <c r="G2586" s="18" t="inlineStr">
        <is>
          <t>turtonator</t>
        </is>
      </c>
      <c r="H2586" s="18" t="inlineStr"/>
      <c r="I2586" s="18" t="n">
        <v>7</v>
      </c>
      <c r="J2586" s="18" t="n"/>
      <c r="K2586" s="18" t="n">
        <v>7</v>
      </c>
      <c r="L2586" s="18" t="inlineStr">
        <is>
          <t>cobbleventure:generation_7</t>
        </is>
      </c>
      <c r="M2586" s="19" t="inlineStr">
        <is>
          <t>cobbleventure:generation_7</t>
        </is>
      </c>
      <c r="N2586" s="18" t="inlineStr"/>
      <c r="O2586" s="19" t="inlineStr"/>
      <c r="P2586" s="18" t="inlineStr">
        <is>
          <t>#cobblemon:nether/is_basalt</t>
        </is>
      </c>
      <c r="Q2586" s="19" t="inlineStr"/>
      <c r="R2586" s="18">
        <f>IF(Q2586="",P2586,Q2586)</f>
        <v/>
      </c>
      <c r="S2586" s="18" t="inlineStr"/>
      <c r="T2586" s="18" t="inlineStr">
        <is>
          <t>uncommon</t>
        </is>
      </c>
      <c r="U2586" s="20" t="n">
        <v>10</v>
      </c>
      <c r="V2586" s="21" t="n">
        <v>1</v>
      </c>
      <c r="W2586" s="20">
        <f>IF(OR(U2586="",V2586=""),U2586,U2586*V2586)</f>
        <v/>
      </c>
      <c r="X2586" s="18" t="inlineStr">
        <is>
          <t>24-49</t>
        </is>
      </c>
      <c r="Y2586" s="19" t="inlineStr"/>
      <c r="Z2586" s="18">
        <f>IF(Y2586="",X2586,Y2586)</f>
        <v/>
      </c>
      <c r="AA2586" s="18" t="inlineStr">
        <is>
          <t>grounded</t>
        </is>
      </c>
      <c r="AB2586" s="18" t="inlineStr"/>
      <c r="AC2586" s="18" t="inlineStr"/>
      <c r="AD2586" s="18" t="inlineStr"/>
      <c r="AE2586" s="18" t="inlineStr"/>
      <c r="AF2586" s="18" t="inlineStr"/>
      <c r="AG2586" s="18" t="inlineStr"/>
      <c r="AH2586" s="18" t="inlineStr"/>
      <c r="AI2586" s="18" t="inlineStr"/>
      <c r="AJ2586" s="18" t="inlineStr">
        <is>
          <t>Cobblemon 동일</t>
        </is>
      </c>
      <c r="AK2586" s="18" t="inlineStr">
        <is>
          <t>사용</t>
        </is>
      </c>
      <c r="AL2586" s="18" t="inlineStr">
        <is>
          <t>COBBLEVERSE 1.7.42 / DP v31</t>
        </is>
      </c>
      <c r="AM2586" s="18" t="inlineStr">
        <is>
          <t>data/cobblemon/spawn_pool_world/0776_turtonator.json</t>
        </is>
      </c>
      <c r="AN2586" s="18" t="inlineStr">
        <is>
          <t>turtonator-1</t>
        </is>
      </c>
      <c r="AO2586" s="18" t="inlineStr">
        <is>
          <t>pokemon</t>
        </is>
      </c>
      <c r="AP2586" s="18" t="inlineStr">
        <is>
          <t>natural; wild</t>
        </is>
      </c>
      <c r="AQ2586" s="18" t="inlineStr">
        <is>
          <t>{"biomes":["#cobblemon:nether/is_basalt"]}</t>
        </is>
      </c>
      <c r="AR2586" s="18" t="inlineStr"/>
      <c r="AS2586" s="18" t="inlineStr"/>
      <c r="AT2586" s="19" t="inlineStr"/>
    </row>
    <row r="2587" ht="32" customHeight="1">
      <c r="A2587" s="18" t="inlineStr">
        <is>
          <t>0777_togedemaru.json::togedemaru-1::001</t>
        </is>
      </c>
      <c r="B2587" s="19" t="inlineStr">
        <is>
          <t>사용</t>
        </is>
      </c>
      <c r="C2587" s="18">
        <f>IF(OR(B2587&lt;&gt;AK2587,M2587&lt;&gt;L2587,O2587&lt;&gt;"",Q2587&lt;&gt;"",V2587&lt;&gt;1,Y2587&lt;&gt;"",AT2587&lt;&gt;""),"수정","원본")</f>
        <v/>
      </c>
      <c r="D2587" s="18" t="n">
        <v>777</v>
      </c>
      <c r="E2587" s="18" t="inlineStr">
        <is>
          <t>토게데마루</t>
        </is>
      </c>
      <c r="F2587" s="18" t="inlineStr">
        <is>
          <t>togedemaru</t>
        </is>
      </c>
      <c r="G2587" s="18" t="inlineStr">
        <is>
          <t>togedemaru</t>
        </is>
      </c>
      <c r="H2587" s="18" t="inlineStr"/>
      <c r="I2587" s="18" t="n">
        <v>7</v>
      </c>
      <c r="J2587" s="18" t="n"/>
      <c r="K2587" s="18" t="n">
        <v>7</v>
      </c>
      <c r="L2587" s="18" t="inlineStr">
        <is>
          <t>cobbleventure:generation_7</t>
        </is>
      </c>
      <c r="M2587" s="19" t="inlineStr">
        <is>
          <t>cobbleventure:generation_7</t>
        </is>
      </c>
      <c r="N2587" s="18" t="inlineStr"/>
      <c r="O2587" s="19" t="inlineStr"/>
      <c r="P2587" s="18" t="inlineStr">
        <is>
          <t>#cobblemon:is_hills</t>
        </is>
      </c>
      <c r="Q2587" s="19" t="inlineStr"/>
      <c r="R2587" s="18">
        <f>IF(Q2587="",P2587,Q2587)</f>
        <v/>
      </c>
      <c r="S2587" s="18" t="inlineStr"/>
      <c r="T2587" s="18" t="inlineStr">
        <is>
          <t>uncommon</t>
        </is>
      </c>
      <c r="U2587" s="20" t="n">
        <v>10</v>
      </c>
      <c r="V2587" s="21" t="n">
        <v>1</v>
      </c>
      <c r="W2587" s="20">
        <f>IF(OR(U2587="",V2587=""),U2587,U2587*V2587)</f>
        <v/>
      </c>
      <c r="X2587" s="18" t="inlineStr">
        <is>
          <t>19-44</t>
        </is>
      </c>
      <c r="Y2587" s="19" t="inlineStr"/>
      <c r="Z2587" s="18">
        <f>IF(Y2587="",X2587,Y2587)</f>
        <v/>
      </c>
      <c r="AA2587" s="18" t="inlineStr">
        <is>
          <t>grounded</t>
        </is>
      </c>
      <c r="AB2587" s="18" t="inlineStr"/>
      <c r="AC2587" s="18" t="inlineStr"/>
      <c r="AD2587" s="18" t="inlineStr"/>
      <c r="AE2587" s="18" t="inlineStr">
        <is>
          <t>sky 8-15</t>
        </is>
      </c>
      <c r="AF2587" s="18" t="inlineStr"/>
      <c r="AG2587" s="18" t="inlineStr"/>
      <c r="AH2587" s="18" t="inlineStr"/>
      <c r="AI2587" s="18" t="inlineStr"/>
      <c r="AJ2587" s="18" t="inlineStr">
        <is>
          <t>Cobblemon 동일</t>
        </is>
      </c>
      <c r="AK2587" s="18" t="inlineStr">
        <is>
          <t>사용</t>
        </is>
      </c>
      <c r="AL2587" s="18" t="inlineStr">
        <is>
          <t>COBBLEVERSE 1.7.42 / DP v31</t>
        </is>
      </c>
      <c r="AM2587" s="18" t="inlineStr">
        <is>
          <t>data/cobblemon/spawn_pool_world/0777_togedemaru.json</t>
        </is>
      </c>
      <c r="AN2587" s="18" t="inlineStr">
        <is>
          <t>togedemaru-1</t>
        </is>
      </c>
      <c r="AO2587" s="18" t="inlineStr">
        <is>
          <t>pokemon</t>
        </is>
      </c>
      <c r="AP2587" s="18" t="inlineStr">
        <is>
          <t>natural; wild</t>
        </is>
      </c>
      <c r="AQ2587" s="18" t="inlineStr">
        <is>
          <t>{"biomes":["#cobblemon:is_hills"],"maxSkyLight":15,"minSkyLight":8}</t>
        </is>
      </c>
      <c r="AR2587" s="18" t="inlineStr"/>
      <c r="AS2587" s="18" t="inlineStr">
        <is>
          <t>{"weightMultiplier":{"condition":{"isThundering":true},"multiplier":5.0}}</t>
        </is>
      </c>
      <c r="AT2587" s="19" t="inlineStr"/>
    </row>
    <row r="2588" ht="32" customHeight="1">
      <c r="A2588" s="18" t="inlineStr">
        <is>
          <t>0778_mimikyu.json::mimikyu-1::001</t>
        </is>
      </c>
      <c r="B2588" s="19" t="inlineStr">
        <is>
          <t>사용</t>
        </is>
      </c>
      <c r="C2588" s="18">
        <f>IF(OR(B2588&lt;&gt;AK2588,M2588&lt;&gt;L2588,O2588&lt;&gt;"",Q2588&lt;&gt;"",V2588&lt;&gt;1,Y2588&lt;&gt;"",AT2588&lt;&gt;""),"수정","원본")</f>
        <v/>
      </c>
      <c r="D2588" s="18" t="n">
        <v>778</v>
      </c>
      <c r="E2588" s="18" t="inlineStr">
        <is>
          <t>따라큐</t>
        </is>
      </c>
      <c r="F2588" s="18" t="inlineStr">
        <is>
          <t>mimikyu</t>
        </is>
      </c>
      <c r="G2588" s="18" t="inlineStr">
        <is>
          <t>mimikyu</t>
        </is>
      </c>
      <c r="H2588" s="18" t="inlineStr"/>
      <c r="I2588" s="18" t="n">
        <v>7</v>
      </c>
      <c r="J2588" s="18" t="n"/>
      <c r="K2588" s="18" t="n">
        <v>7</v>
      </c>
      <c r="L2588" s="18" t="inlineStr">
        <is>
          <t>cobbleventure:generation_7</t>
        </is>
      </c>
      <c r="M2588" s="19" t="inlineStr">
        <is>
          <t>cobbleventure:generation_7</t>
        </is>
      </c>
      <c r="N2588" s="18" t="inlineStr"/>
      <c r="O2588" s="19" t="inlineStr"/>
      <c r="P2588" s="18" t="inlineStr">
        <is>
          <t>#cobblemon:is_spooky</t>
        </is>
      </c>
      <c r="Q2588" s="19" t="inlineStr"/>
      <c r="R2588" s="18">
        <f>IF(Q2588="",P2588,Q2588)</f>
        <v/>
      </c>
      <c r="S2588" s="18" t="inlineStr"/>
      <c r="T2588" s="18" t="inlineStr">
        <is>
          <t>rare</t>
        </is>
      </c>
      <c r="U2588" s="20" t="n">
        <v>10</v>
      </c>
      <c r="V2588" s="21" t="n">
        <v>1</v>
      </c>
      <c r="W2588" s="20">
        <f>IF(OR(U2588="",V2588=""),U2588,U2588*V2588)</f>
        <v/>
      </c>
      <c r="X2588" s="18" t="inlineStr">
        <is>
          <t>23-48</t>
        </is>
      </c>
      <c r="Y2588" s="19" t="inlineStr"/>
      <c r="Z2588" s="18">
        <f>IF(Y2588="",X2588,Y2588)</f>
        <v/>
      </c>
      <c r="AA2588" s="18" t="inlineStr">
        <is>
          <t>grounded</t>
        </is>
      </c>
      <c r="AB2588" s="18" t="inlineStr">
        <is>
          <t>night</t>
        </is>
      </c>
      <c r="AC2588" s="18" t="inlineStr"/>
      <c r="AD2588" s="18" t="inlineStr"/>
      <c r="AE2588" s="18" t="inlineStr"/>
      <c r="AF2588" s="18" t="inlineStr"/>
      <c r="AG2588" s="18" t="inlineStr"/>
      <c r="AH2588" s="18" t="inlineStr"/>
      <c r="AI2588" s="18" t="inlineStr"/>
      <c r="AJ2588" s="18" t="inlineStr">
        <is>
          <t>COBBLEVERSE 수정</t>
        </is>
      </c>
      <c r="AK2588" s="18" t="inlineStr">
        <is>
          <t>사용</t>
        </is>
      </c>
      <c r="AL2588" s="18" t="inlineStr">
        <is>
          <t>COBBLEVERSE 1.7.42 / DP v31</t>
        </is>
      </c>
      <c r="AM2588" s="18" t="inlineStr">
        <is>
          <t>data/cobblemon/spawn_pool_world/0778_mimikyu.json</t>
        </is>
      </c>
      <c r="AN2588" s="18" t="inlineStr">
        <is>
          <t>mimikyu-1</t>
        </is>
      </c>
      <c r="AO2588" s="18" t="inlineStr">
        <is>
          <t>pokemon</t>
        </is>
      </c>
      <c r="AP2588" s="18" t="inlineStr">
        <is>
          <t>natural</t>
        </is>
      </c>
      <c r="AQ2588" s="18" t="inlineStr">
        <is>
          <t>{"biomes":["#cobblemon:is_spooky"],"timeRange":"night"}</t>
        </is>
      </c>
      <c r="AR2588" s="18" t="inlineStr"/>
      <c r="AS2588" s="18" t="inlineStr"/>
      <c r="AT2588" s="19" t="inlineStr"/>
    </row>
    <row r="2589" ht="32" customHeight="1">
      <c r="A2589" s="18" t="inlineStr">
        <is>
          <t>0778_mimikyu.json::mimikyu-2::002</t>
        </is>
      </c>
      <c r="B2589" s="19" t="inlineStr">
        <is>
          <t>사용</t>
        </is>
      </c>
      <c r="C2589" s="18">
        <f>IF(OR(B2589&lt;&gt;AK2589,M2589&lt;&gt;L2589,O2589&lt;&gt;"",Q2589&lt;&gt;"",V2589&lt;&gt;1,Y2589&lt;&gt;"",AT2589&lt;&gt;""),"수정","원본")</f>
        <v/>
      </c>
      <c r="D2589" s="18" t="n">
        <v>778</v>
      </c>
      <c r="E2589" s="18" t="inlineStr">
        <is>
          <t>따라큐</t>
        </is>
      </c>
      <c r="F2589" s="18" t="inlineStr">
        <is>
          <t>mimikyu</t>
        </is>
      </c>
      <c r="G2589" s="18" t="inlineStr">
        <is>
          <t>mimikyu</t>
        </is>
      </c>
      <c r="H2589" s="18" t="inlineStr"/>
      <c r="I2589" s="18" t="n">
        <v>7</v>
      </c>
      <c r="J2589" s="18" t="n"/>
      <c r="K2589" s="18" t="n">
        <v>7</v>
      </c>
      <c r="L2589" s="18" t="inlineStr">
        <is>
          <t>cobbleventure:generation_7</t>
        </is>
      </c>
      <c r="M2589" s="19" t="inlineStr">
        <is>
          <t>cobbleventure:generation_7</t>
        </is>
      </c>
      <c r="N2589" s="18" t="inlineStr">
        <is>
          <t>region_01; region_02</t>
        </is>
      </c>
      <c r="O2589" s="19" t="inlineStr"/>
      <c r="P2589" s="18" t="inlineStr">
        <is>
          <t>#cobblemon:is_overworld</t>
        </is>
      </c>
      <c r="Q2589" s="19" t="inlineStr"/>
      <c r="R2589" s="18">
        <f>IF(Q2589="",P2589,Q2589)</f>
        <v/>
      </c>
      <c r="S2589" s="18" t="inlineStr"/>
      <c r="T2589" s="18" t="inlineStr">
        <is>
          <t>uncommon</t>
        </is>
      </c>
      <c r="U2589" s="20" t="n">
        <v>10</v>
      </c>
      <c r="V2589" s="21" t="n">
        <v>1</v>
      </c>
      <c r="W2589" s="20">
        <f>IF(OR(U2589="",V2589=""),U2589,U2589*V2589)</f>
        <v/>
      </c>
      <c r="X2589" s="18" t="inlineStr">
        <is>
          <t>23-48</t>
        </is>
      </c>
      <c r="Y2589" s="19" t="inlineStr"/>
      <c r="Z2589" s="18">
        <f>IF(Y2589="",X2589,Y2589)</f>
        <v/>
      </c>
      <c r="AA2589" s="18" t="inlineStr">
        <is>
          <t>grounded</t>
        </is>
      </c>
      <c r="AB2589" s="18" t="inlineStr"/>
      <c r="AC2589" s="18" t="inlineStr"/>
      <c r="AD2589" s="18" t="inlineStr"/>
      <c r="AE2589" s="18" t="inlineStr"/>
      <c r="AF2589" s="18" t="inlineStr">
        <is>
          <t>False</t>
        </is>
      </c>
      <c r="AG2589" s="18" t="inlineStr"/>
      <c r="AH2589" s="18" t="inlineStr"/>
      <c r="AI2589" s="18" t="inlineStr"/>
      <c r="AJ2589" s="18" t="inlineStr">
        <is>
          <t>COBBLEVERSE 수정</t>
        </is>
      </c>
      <c r="AK2589" s="18" t="inlineStr">
        <is>
          <t>사용</t>
        </is>
      </c>
      <c r="AL2589" s="18" t="inlineStr">
        <is>
          <t>COBBLEVERSE 1.7.42 / DP v31</t>
        </is>
      </c>
      <c r="AM2589" s="18" t="inlineStr">
        <is>
          <t>data/cobblemon/spawn_pool_world/0778_mimikyu.json</t>
        </is>
      </c>
      <c r="AN2589" s="18" t="inlineStr">
        <is>
          <t>mimikyu-2</t>
        </is>
      </c>
      <c r="AO2589" s="18" t="inlineStr">
        <is>
          <t>pokemon</t>
        </is>
      </c>
      <c r="AP2589" s="18" t="inlineStr">
        <is>
          <t>mansion</t>
        </is>
      </c>
      <c r="AQ2589" s="18" t="inlineStr">
        <is>
          <t>{"biomes":["#cobblemon:is_overworld"],"canSeeSky":false}</t>
        </is>
      </c>
      <c r="AR2589" s="18" t="inlineStr"/>
      <c r="AS2589" s="18" t="inlineStr"/>
      <c r="AT2589" s="19" t="inlineStr"/>
    </row>
    <row r="2590" ht="32" customHeight="1">
      <c r="A2590" s="18" t="inlineStr">
        <is>
          <t>0779_bruxish.json::bruxish-1::001</t>
        </is>
      </c>
      <c r="B2590" s="19" t="inlineStr">
        <is>
          <t>사용</t>
        </is>
      </c>
      <c r="C2590" s="18">
        <f>IF(OR(B2590&lt;&gt;AK2590,M2590&lt;&gt;L2590,O2590&lt;&gt;"",Q2590&lt;&gt;"",V2590&lt;&gt;1,Y2590&lt;&gt;"",AT2590&lt;&gt;""),"수정","원본")</f>
        <v/>
      </c>
      <c r="D2590" s="18" t="n">
        <v>779</v>
      </c>
      <c r="E2590" s="18" t="inlineStr">
        <is>
          <t>치갈기</t>
        </is>
      </c>
      <c r="F2590" s="18" t="inlineStr">
        <is>
          <t>bruxish</t>
        </is>
      </c>
      <c r="G2590" s="18" t="inlineStr">
        <is>
          <t>bruxish</t>
        </is>
      </c>
      <c r="H2590" s="18" t="inlineStr"/>
      <c r="I2590" s="18" t="n">
        <v>7</v>
      </c>
      <c r="J2590" s="18" t="n"/>
      <c r="K2590" s="18" t="n">
        <v>7</v>
      </c>
      <c r="L2590" s="18" t="inlineStr">
        <is>
          <t>cobbleventure:generation_7</t>
        </is>
      </c>
      <c r="M2590" s="19" t="inlineStr">
        <is>
          <t>cobbleventure:generation_7</t>
        </is>
      </c>
      <c r="N2590" s="18" t="inlineStr"/>
      <c r="O2590" s="19" t="inlineStr"/>
      <c r="P2590" s="18" t="inlineStr">
        <is>
          <t>#cobblemon:is_warm_ocean</t>
        </is>
      </c>
      <c r="Q2590" s="19" t="inlineStr"/>
      <c r="R2590" s="18">
        <f>IF(Q2590="",P2590,Q2590)</f>
        <v/>
      </c>
      <c r="S2590" s="18" t="inlineStr"/>
      <c r="T2590" s="18" t="inlineStr">
        <is>
          <t>uncommon</t>
        </is>
      </c>
      <c r="U2590" s="20" t="n">
        <v>10</v>
      </c>
      <c r="V2590" s="21" t="n">
        <v>1</v>
      </c>
      <c r="W2590" s="20">
        <f>IF(OR(U2590="",V2590=""),U2590,U2590*V2590)</f>
        <v/>
      </c>
      <c r="X2590" s="18" t="inlineStr">
        <is>
          <t>23-48</t>
        </is>
      </c>
      <c r="Y2590" s="19" t="inlineStr"/>
      <c r="Z2590" s="18">
        <f>IF(Y2590="",X2590,Y2590)</f>
        <v/>
      </c>
      <c r="AA2590" s="18" t="inlineStr">
        <is>
          <t>submerged</t>
        </is>
      </c>
      <c r="AB2590" s="18" t="inlineStr"/>
      <c r="AC2590" s="18" t="inlineStr"/>
      <c r="AD2590" s="18" t="inlineStr"/>
      <c r="AE2590" s="18" t="inlineStr"/>
      <c r="AF2590" s="18" t="inlineStr">
        <is>
          <t>True</t>
        </is>
      </c>
      <c r="AG2590" s="18" t="inlineStr"/>
      <c r="AH2590" s="18" t="inlineStr"/>
      <c r="AI2590" s="18" t="inlineStr"/>
      <c r="AJ2590" s="18" t="inlineStr">
        <is>
          <t>Cobblemon 동일</t>
        </is>
      </c>
      <c r="AK2590" s="18" t="inlineStr">
        <is>
          <t>사용</t>
        </is>
      </c>
      <c r="AL2590" s="18" t="inlineStr">
        <is>
          <t>COBBLEVERSE 1.7.42 / DP v31</t>
        </is>
      </c>
      <c r="AM2590" s="18" t="inlineStr">
        <is>
          <t>data/cobblemon/spawn_pool_world/0779_bruxish.json</t>
        </is>
      </c>
      <c r="AN2590" s="18" t="inlineStr">
        <is>
          <t>bruxish-1</t>
        </is>
      </c>
      <c r="AO2590" s="18" t="inlineStr">
        <is>
          <t>pokemon</t>
        </is>
      </c>
      <c r="AP2590" s="18" t="inlineStr">
        <is>
          <t>water</t>
        </is>
      </c>
      <c r="AQ2590" s="18" t="inlineStr">
        <is>
          <t>{"biomes":["#cobblemon:is_warm_ocean"],"canSeeSky":true}</t>
        </is>
      </c>
      <c r="AR2590" s="18" t="inlineStr"/>
      <c r="AS2590" s="18" t="inlineStr"/>
      <c r="AT2590" s="19" t="inlineStr"/>
    </row>
    <row r="2591" ht="32" customHeight="1">
      <c r="A2591" s="18" t="inlineStr">
        <is>
          <t>0779_bruxish.json::bruxish-2::002</t>
        </is>
      </c>
      <c r="B2591" s="19" t="inlineStr">
        <is>
          <t>사용</t>
        </is>
      </c>
      <c r="C2591" s="18">
        <f>IF(OR(B2591&lt;&gt;AK2591,M2591&lt;&gt;L2591,O2591&lt;&gt;"",Q2591&lt;&gt;"",V2591&lt;&gt;1,Y2591&lt;&gt;"",AT2591&lt;&gt;""),"수정","원본")</f>
        <v/>
      </c>
      <c r="D2591" s="18" t="n">
        <v>779</v>
      </c>
      <c r="E2591" s="18" t="inlineStr">
        <is>
          <t>치갈기</t>
        </is>
      </c>
      <c r="F2591" s="18" t="inlineStr">
        <is>
          <t>bruxish</t>
        </is>
      </c>
      <c r="G2591" s="18" t="inlineStr">
        <is>
          <t>bruxish</t>
        </is>
      </c>
      <c r="H2591" s="18" t="inlineStr"/>
      <c r="I2591" s="18" t="n">
        <v>7</v>
      </c>
      <c r="J2591" s="18" t="n"/>
      <c r="K2591" s="18" t="n">
        <v>7</v>
      </c>
      <c r="L2591" s="18" t="inlineStr">
        <is>
          <t>cobbleventure:generation_7</t>
        </is>
      </c>
      <c r="M2591" s="19" t="inlineStr">
        <is>
          <t>cobbleventure:generation_7</t>
        </is>
      </c>
      <c r="N2591" s="18" t="inlineStr"/>
      <c r="O2591" s="19" t="inlineStr"/>
      <c r="P2591" s="18" t="inlineStr">
        <is>
          <t>#cobblemon:is_warm_ocean</t>
        </is>
      </c>
      <c r="Q2591" s="19" t="inlineStr"/>
      <c r="R2591" s="18">
        <f>IF(Q2591="",P2591,Q2591)</f>
        <v/>
      </c>
      <c r="S2591" s="18" t="inlineStr"/>
      <c r="T2591" s="18" t="inlineStr">
        <is>
          <t>uncommon</t>
        </is>
      </c>
      <c r="U2591" s="20" t="n">
        <v>10</v>
      </c>
      <c r="V2591" s="21" t="n">
        <v>1</v>
      </c>
      <c r="W2591" s="20">
        <f>IF(OR(U2591="",V2591=""),U2591,U2591*V2591)</f>
        <v/>
      </c>
      <c r="X2591" s="18" t="inlineStr">
        <is>
          <t>23-48</t>
        </is>
      </c>
      <c r="Y2591" s="19" t="inlineStr"/>
      <c r="Z2591" s="18">
        <f>IF(Y2591="",X2591,Y2591)</f>
        <v/>
      </c>
      <c r="AA2591" s="18" t="inlineStr">
        <is>
          <t>fishing</t>
        </is>
      </c>
      <c r="AB2591" s="18" t="inlineStr"/>
      <c r="AC2591" s="18" t="inlineStr"/>
      <c r="AD2591" s="18" t="inlineStr"/>
      <c r="AE2591" s="18" t="inlineStr"/>
      <c r="AF2591" s="18" t="inlineStr">
        <is>
          <t>True</t>
        </is>
      </c>
      <c r="AG2591" s="18" t="inlineStr"/>
      <c r="AH2591" s="18" t="inlineStr"/>
      <c r="AI2591" s="18" t="inlineStr"/>
      <c r="AJ2591" s="18" t="inlineStr">
        <is>
          <t>Cobblemon 동일</t>
        </is>
      </c>
      <c r="AK2591" s="18" t="inlineStr">
        <is>
          <t>사용</t>
        </is>
      </c>
      <c r="AL2591" s="18" t="inlineStr">
        <is>
          <t>COBBLEVERSE 1.7.42 / DP v31</t>
        </is>
      </c>
      <c r="AM2591" s="18" t="inlineStr">
        <is>
          <t>data/cobblemon/spawn_pool_world/0779_bruxish.json</t>
        </is>
      </c>
      <c r="AN2591" s="18" t="inlineStr">
        <is>
          <t>bruxish-2</t>
        </is>
      </c>
      <c r="AO2591" s="18" t="inlineStr">
        <is>
          <t>pokemon</t>
        </is>
      </c>
      <c r="AP2591" s="18" t="inlineStr"/>
      <c r="AQ2591" s="18" t="inlineStr">
        <is>
          <t>{"biomes":["#cobblemon:is_warm_ocean"],"canSeeSky":true}</t>
        </is>
      </c>
      <c r="AR2591" s="18" t="inlineStr">
        <is>
          <t>{"minLureLevel":1}</t>
        </is>
      </c>
      <c r="AS2591" s="18" t="inlineStr"/>
      <c r="AT2591" s="19" t="inlineStr"/>
    </row>
    <row r="2592" ht="32" customHeight="1">
      <c r="A2592" s="18" t="inlineStr">
        <is>
          <t>0779_bruxish.json::bruxish-3::003</t>
        </is>
      </c>
      <c r="B2592" s="19" t="inlineStr">
        <is>
          <t>사용</t>
        </is>
      </c>
      <c r="C2592" s="18">
        <f>IF(OR(B2592&lt;&gt;AK2592,M2592&lt;&gt;L2592,O2592&lt;&gt;"",Q2592&lt;&gt;"",V2592&lt;&gt;1,Y2592&lt;&gt;"",AT2592&lt;&gt;""),"수정","원본")</f>
        <v/>
      </c>
      <c r="D2592" s="18" t="n">
        <v>779</v>
      </c>
      <c r="E2592" s="18" t="inlineStr">
        <is>
          <t>치갈기</t>
        </is>
      </c>
      <c r="F2592" s="18" t="inlineStr">
        <is>
          <t>bruxish</t>
        </is>
      </c>
      <c r="G2592" s="18" t="inlineStr">
        <is>
          <t>bruxish</t>
        </is>
      </c>
      <c r="H2592" s="18" t="inlineStr"/>
      <c r="I2592" s="18" t="n">
        <v>7</v>
      </c>
      <c r="J2592" s="18" t="n"/>
      <c r="K2592" s="18" t="n">
        <v>7</v>
      </c>
      <c r="L2592" s="18" t="inlineStr">
        <is>
          <t>cobbleventure:generation_7</t>
        </is>
      </c>
      <c r="M2592" s="19" t="inlineStr">
        <is>
          <t>cobbleventure:generation_7</t>
        </is>
      </c>
      <c r="N2592" s="18" t="inlineStr"/>
      <c r="O2592" s="19" t="inlineStr"/>
      <c r="P2592" s="18" t="inlineStr">
        <is>
          <t>#cobblemon:is_warm_ocean</t>
        </is>
      </c>
      <c r="Q2592" s="19" t="inlineStr"/>
      <c r="R2592" s="18">
        <f>IF(Q2592="",P2592,Q2592)</f>
        <v/>
      </c>
      <c r="S2592" s="18" t="inlineStr"/>
      <c r="T2592" s="18" t="inlineStr">
        <is>
          <t>common</t>
        </is>
      </c>
      <c r="U2592" s="20" t="n">
        <v>10</v>
      </c>
      <c r="V2592" s="21" t="n">
        <v>1</v>
      </c>
      <c r="W2592" s="20">
        <f>IF(OR(U2592="",V2592=""),U2592,U2592*V2592)</f>
        <v/>
      </c>
      <c r="X2592" s="18" t="inlineStr">
        <is>
          <t>23-48</t>
        </is>
      </c>
      <c r="Y2592" s="19" t="inlineStr"/>
      <c r="Z2592" s="18">
        <f>IF(Y2592="",X2592,Y2592)</f>
        <v/>
      </c>
      <c r="AA2592" s="18" t="inlineStr">
        <is>
          <t>fishing</t>
        </is>
      </c>
      <c r="AB2592" s="18" t="inlineStr"/>
      <c r="AC2592" s="18" t="inlineStr"/>
      <c r="AD2592" s="18" t="inlineStr"/>
      <c r="AE2592" s="18" t="inlineStr"/>
      <c r="AF2592" s="18" t="inlineStr">
        <is>
          <t>True</t>
        </is>
      </c>
      <c r="AG2592" s="18" t="inlineStr"/>
      <c r="AH2592" s="18" t="inlineStr"/>
      <c r="AI2592" s="18" t="inlineStr">
        <is>
          <t>{"fishing":{"minLureLevel":1}}</t>
        </is>
      </c>
      <c r="AJ2592" s="18" t="inlineStr">
        <is>
          <t>Cobblemon 동일</t>
        </is>
      </c>
      <c r="AK2592" s="18" t="inlineStr">
        <is>
          <t>사용</t>
        </is>
      </c>
      <c r="AL2592" s="18" t="inlineStr">
        <is>
          <t>COBBLEVERSE 1.7.42 / DP v31</t>
        </is>
      </c>
      <c r="AM2592" s="18" t="inlineStr">
        <is>
          <t>data/cobblemon/spawn_pool_world/0779_bruxish.json</t>
        </is>
      </c>
      <c r="AN2592" s="18" t="inlineStr">
        <is>
          <t>bruxish-3</t>
        </is>
      </c>
      <c r="AO2592" s="18" t="inlineStr">
        <is>
          <t>pokemon</t>
        </is>
      </c>
      <c r="AP2592" s="18" t="inlineStr"/>
      <c r="AQ2592" s="18" t="inlineStr">
        <is>
          <t>{"biomes":["#cobblemon:is_warm_ocean"],"canSeeSky":true,"minLureLevel":1}</t>
        </is>
      </c>
      <c r="AR2592" s="18" t="inlineStr"/>
      <c r="AS2592" s="18" t="inlineStr">
        <is>
          <t>{"weightMultiplier":{"condition":{"maxLureLevel":2,"minLureLevel":1},"multiplier":0.6}}</t>
        </is>
      </c>
      <c r="AT2592" s="19" t="inlineStr"/>
    </row>
    <row r="2593" ht="32" customHeight="1">
      <c r="A2593" s="18" t="inlineStr">
        <is>
          <t>0779_bruxish.json::bruxish-4::004</t>
        </is>
      </c>
      <c r="B2593" s="19" t="inlineStr">
        <is>
          <t>사용</t>
        </is>
      </c>
      <c r="C2593" s="18">
        <f>IF(OR(B2593&lt;&gt;AK2593,M2593&lt;&gt;L2593,O2593&lt;&gt;"",Q2593&lt;&gt;"",V2593&lt;&gt;1,Y2593&lt;&gt;"",AT2593&lt;&gt;""),"수정","원본")</f>
        <v/>
      </c>
      <c r="D2593" s="18" t="n">
        <v>779</v>
      </c>
      <c r="E2593" s="18" t="inlineStr">
        <is>
          <t>치갈기</t>
        </is>
      </c>
      <c r="F2593" s="18" t="inlineStr">
        <is>
          <t>bruxish</t>
        </is>
      </c>
      <c r="G2593" s="18" t="inlineStr">
        <is>
          <t>bruxish</t>
        </is>
      </c>
      <c r="H2593" s="18" t="inlineStr"/>
      <c r="I2593" s="18" t="n">
        <v>7</v>
      </c>
      <c r="J2593" s="18" t="n"/>
      <c r="K2593" s="18" t="n">
        <v>7</v>
      </c>
      <c r="L2593" s="18" t="inlineStr">
        <is>
          <t>cobbleventure:generation_7</t>
        </is>
      </c>
      <c r="M2593" s="19" t="inlineStr">
        <is>
          <t>cobbleventure:generation_7</t>
        </is>
      </c>
      <c r="N2593" s="18" t="inlineStr"/>
      <c r="O2593" s="19" t="inlineStr"/>
      <c r="P2593" s="18" t="inlineStr">
        <is>
          <t>#cobblemon:is_warm_ocean</t>
        </is>
      </c>
      <c r="Q2593" s="19" t="inlineStr"/>
      <c r="R2593" s="18">
        <f>IF(Q2593="",P2593,Q2593)</f>
        <v/>
      </c>
      <c r="S2593" s="18" t="inlineStr"/>
      <c r="T2593" s="18" t="inlineStr">
        <is>
          <t>uncommon</t>
        </is>
      </c>
      <c r="U2593" s="20" t="n">
        <v>10</v>
      </c>
      <c r="V2593" s="21" t="n">
        <v>1</v>
      </c>
      <c r="W2593" s="20">
        <f>IF(OR(U2593="",V2593=""),U2593,U2593*V2593)</f>
        <v/>
      </c>
      <c r="X2593" s="18" t="inlineStr">
        <is>
          <t>23-48</t>
        </is>
      </c>
      <c r="Y2593" s="19" t="inlineStr"/>
      <c r="Z2593" s="18">
        <f>IF(Y2593="",X2593,Y2593)</f>
        <v/>
      </c>
      <c r="AA2593" s="18" t="inlineStr">
        <is>
          <t>submerged</t>
        </is>
      </c>
      <c r="AB2593" s="18" t="inlineStr"/>
      <c r="AC2593" s="18" t="inlineStr"/>
      <c r="AD2593" s="18" t="inlineStr"/>
      <c r="AE2593" s="18" t="inlineStr">
        <is>
          <t>sky 8-15</t>
        </is>
      </c>
      <c r="AF2593" s="18" t="inlineStr">
        <is>
          <t>False</t>
        </is>
      </c>
      <c r="AG2593" s="18" t="inlineStr"/>
      <c r="AH2593" s="18" t="inlineStr"/>
      <c r="AI2593" s="18" t="inlineStr"/>
      <c r="AJ2593" s="18" t="inlineStr">
        <is>
          <t>Cobblemon 동일</t>
        </is>
      </c>
      <c r="AK2593" s="18" t="inlineStr">
        <is>
          <t>사용</t>
        </is>
      </c>
      <c r="AL2593" s="18" t="inlineStr">
        <is>
          <t>COBBLEVERSE 1.7.42 / DP v31</t>
        </is>
      </c>
      <c r="AM2593" s="18" t="inlineStr">
        <is>
          <t>data/cobblemon/spawn_pool_world/0779_bruxish.json</t>
        </is>
      </c>
      <c r="AN2593" s="18" t="inlineStr">
        <is>
          <t>bruxish-4</t>
        </is>
      </c>
      <c r="AO2593" s="18" t="inlineStr">
        <is>
          <t>pokemon</t>
        </is>
      </c>
      <c r="AP2593" s="18" t="inlineStr">
        <is>
          <t>water</t>
        </is>
      </c>
      <c r="AQ2593" s="18" t="inlineStr">
        <is>
          <t>{"biomes":["#cobblemon:is_warm_ocean"],"canSeeSky":false,"maxSkyLight":15,"minSkyLight":8}</t>
        </is>
      </c>
      <c r="AR2593" s="18" t="inlineStr"/>
      <c r="AS2593" s="18" t="inlineStr"/>
      <c r="AT2593" s="19" t="inlineStr"/>
    </row>
    <row r="2594" ht="32" customHeight="1">
      <c r="A2594" s="18" t="inlineStr">
        <is>
          <t>0779_bruxish.json::bruxish-5::005</t>
        </is>
      </c>
      <c r="B2594" s="19" t="inlineStr">
        <is>
          <t>사용</t>
        </is>
      </c>
      <c r="C2594" s="18">
        <f>IF(OR(B2594&lt;&gt;AK2594,M2594&lt;&gt;L2594,O2594&lt;&gt;"",Q2594&lt;&gt;"",V2594&lt;&gt;1,Y2594&lt;&gt;"",AT2594&lt;&gt;""),"수정","원본")</f>
        <v/>
      </c>
      <c r="D2594" s="18" t="n">
        <v>779</v>
      </c>
      <c r="E2594" s="18" t="inlineStr">
        <is>
          <t>치갈기</t>
        </is>
      </c>
      <c r="F2594" s="18" t="inlineStr">
        <is>
          <t>bruxish</t>
        </is>
      </c>
      <c r="G2594" s="18" t="inlineStr">
        <is>
          <t>bruxish</t>
        </is>
      </c>
      <c r="H2594" s="18" t="inlineStr"/>
      <c r="I2594" s="18" t="n">
        <v>7</v>
      </c>
      <c r="J2594" s="18" t="n"/>
      <c r="K2594" s="18" t="n">
        <v>7</v>
      </c>
      <c r="L2594" s="18" t="inlineStr">
        <is>
          <t>cobbleventure:generation_7</t>
        </is>
      </c>
      <c r="M2594" s="19" t="inlineStr">
        <is>
          <t>cobbleventure:generation_7</t>
        </is>
      </c>
      <c r="N2594" s="18" t="inlineStr"/>
      <c r="O2594" s="19" t="inlineStr"/>
      <c r="P2594" s="18" t="inlineStr">
        <is>
          <t>#cobblemon:is_warm_ocean</t>
        </is>
      </c>
      <c r="Q2594" s="19" t="inlineStr"/>
      <c r="R2594" s="18">
        <f>IF(Q2594="",P2594,Q2594)</f>
        <v/>
      </c>
      <c r="S2594" s="18" t="inlineStr"/>
      <c r="T2594" s="18" t="inlineStr">
        <is>
          <t>uncommon</t>
        </is>
      </c>
      <c r="U2594" s="20" t="n">
        <v>10</v>
      </c>
      <c r="V2594" s="21" t="n">
        <v>1</v>
      </c>
      <c r="W2594" s="20">
        <f>IF(OR(U2594="",V2594=""),U2594,U2594*V2594)</f>
        <v/>
      </c>
      <c r="X2594" s="18" t="inlineStr">
        <is>
          <t>23-48</t>
        </is>
      </c>
      <c r="Y2594" s="19" t="inlineStr"/>
      <c r="Z2594" s="18">
        <f>IF(Y2594="",X2594,Y2594)</f>
        <v/>
      </c>
      <c r="AA2594" s="18" t="inlineStr">
        <is>
          <t>fishing</t>
        </is>
      </c>
      <c r="AB2594" s="18" t="inlineStr"/>
      <c r="AC2594" s="18" t="inlineStr"/>
      <c r="AD2594" s="18" t="inlineStr"/>
      <c r="AE2594" s="18" t="inlineStr">
        <is>
          <t>sky 8-15</t>
        </is>
      </c>
      <c r="AF2594" s="18" t="inlineStr">
        <is>
          <t>False</t>
        </is>
      </c>
      <c r="AG2594" s="18" t="inlineStr"/>
      <c r="AH2594" s="18" t="inlineStr"/>
      <c r="AI2594" s="18" t="inlineStr"/>
      <c r="AJ2594" s="18" t="inlineStr">
        <is>
          <t>Cobblemon 동일</t>
        </is>
      </c>
      <c r="AK2594" s="18" t="inlineStr">
        <is>
          <t>사용</t>
        </is>
      </c>
      <c r="AL2594" s="18" t="inlineStr">
        <is>
          <t>COBBLEVERSE 1.7.42 / DP v31</t>
        </is>
      </c>
      <c r="AM2594" s="18" t="inlineStr">
        <is>
          <t>data/cobblemon/spawn_pool_world/0779_bruxish.json</t>
        </is>
      </c>
      <c r="AN2594" s="18" t="inlineStr">
        <is>
          <t>bruxish-5</t>
        </is>
      </c>
      <c r="AO2594" s="18" t="inlineStr">
        <is>
          <t>pokemon</t>
        </is>
      </c>
      <c r="AP2594" s="18" t="inlineStr"/>
      <c r="AQ2594" s="18" t="inlineStr">
        <is>
          <t>{"biomes":["#cobblemon:is_warm_ocean"],"canSeeSky":false,"maxSkyLight":15,"minSkyLight":8}</t>
        </is>
      </c>
      <c r="AR2594" s="18" t="inlineStr">
        <is>
          <t>{"minLureLevel":1}</t>
        </is>
      </c>
      <c r="AS2594" s="18" t="inlineStr"/>
      <c r="AT2594" s="19" t="inlineStr"/>
    </row>
    <row r="2595" ht="32" customHeight="1">
      <c r="A2595" s="18" t="inlineStr">
        <is>
          <t>0779_bruxish.json::bruxish-6::006</t>
        </is>
      </c>
      <c r="B2595" s="19" t="inlineStr">
        <is>
          <t>사용</t>
        </is>
      </c>
      <c r="C2595" s="18">
        <f>IF(OR(B2595&lt;&gt;AK2595,M2595&lt;&gt;L2595,O2595&lt;&gt;"",Q2595&lt;&gt;"",V2595&lt;&gt;1,Y2595&lt;&gt;"",AT2595&lt;&gt;""),"수정","원본")</f>
        <v/>
      </c>
      <c r="D2595" s="18" t="n">
        <v>779</v>
      </c>
      <c r="E2595" s="18" t="inlineStr">
        <is>
          <t>치갈기</t>
        </is>
      </c>
      <c r="F2595" s="18" t="inlineStr">
        <is>
          <t>bruxish</t>
        </is>
      </c>
      <c r="G2595" s="18" t="inlineStr">
        <is>
          <t>bruxish</t>
        </is>
      </c>
      <c r="H2595" s="18" t="inlineStr"/>
      <c r="I2595" s="18" t="n">
        <v>7</v>
      </c>
      <c r="J2595" s="18" t="n"/>
      <c r="K2595" s="18" t="n">
        <v>7</v>
      </c>
      <c r="L2595" s="18" t="inlineStr">
        <is>
          <t>cobbleventure:generation_7</t>
        </is>
      </c>
      <c r="M2595" s="19" t="inlineStr">
        <is>
          <t>cobbleventure:generation_7</t>
        </is>
      </c>
      <c r="N2595" s="18" t="inlineStr"/>
      <c r="O2595" s="19" t="inlineStr"/>
      <c r="P2595" s="18" t="inlineStr">
        <is>
          <t>#cobblemon:is_warm_ocean</t>
        </is>
      </c>
      <c r="Q2595" s="19" t="inlineStr"/>
      <c r="R2595" s="18">
        <f>IF(Q2595="",P2595,Q2595)</f>
        <v/>
      </c>
      <c r="S2595" s="18" t="inlineStr"/>
      <c r="T2595" s="18" t="inlineStr">
        <is>
          <t>common</t>
        </is>
      </c>
      <c r="U2595" s="20" t="n">
        <v>10</v>
      </c>
      <c r="V2595" s="21" t="n">
        <v>1</v>
      </c>
      <c r="W2595" s="20">
        <f>IF(OR(U2595="",V2595=""),U2595,U2595*V2595)</f>
        <v/>
      </c>
      <c r="X2595" s="18" t="inlineStr">
        <is>
          <t>23-48</t>
        </is>
      </c>
      <c r="Y2595" s="19" t="inlineStr"/>
      <c r="Z2595" s="18">
        <f>IF(Y2595="",X2595,Y2595)</f>
        <v/>
      </c>
      <c r="AA2595" s="18" t="inlineStr">
        <is>
          <t>fishing</t>
        </is>
      </c>
      <c r="AB2595" s="18" t="inlineStr"/>
      <c r="AC2595" s="18" t="inlineStr"/>
      <c r="AD2595" s="18" t="inlineStr"/>
      <c r="AE2595" s="18" t="inlineStr">
        <is>
          <t>sky 8-15</t>
        </is>
      </c>
      <c r="AF2595" s="18" t="inlineStr">
        <is>
          <t>False</t>
        </is>
      </c>
      <c r="AG2595" s="18" t="inlineStr"/>
      <c r="AH2595" s="18" t="inlineStr"/>
      <c r="AI2595" s="18" t="inlineStr">
        <is>
          <t>{"fishing":{"minLureLevel":1}}</t>
        </is>
      </c>
      <c r="AJ2595" s="18" t="inlineStr">
        <is>
          <t>Cobblemon 동일</t>
        </is>
      </c>
      <c r="AK2595" s="18" t="inlineStr">
        <is>
          <t>사용</t>
        </is>
      </c>
      <c r="AL2595" s="18" t="inlineStr">
        <is>
          <t>COBBLEVERSE 1.7.42 / DP v31</t>
        </is>
      </c>
      <c r="AM2595" s="18" t="inlineStr">
        <is>
          <t>data/cobblemon/spawn_pool_world/0779_bruxish.json</t>
        </is>
      </c>
      <c r="AN2595" s="18" t="inlineStr">
        <is>
          <t>bruxish-6</t>
        </is>
      </c>
      <c r="AO2595" s="18" t="inlineStr">
        <is>
          <t>pokemon</t>
        </is>
      </c>
      <c r="AP2595" s="18" t="inlineStr"/>
      <c r="AQ2595" s="18" t="inlineStr">
        <is>
          <t>{"biomes":["#cobblemon:is_warm_ocean"],"canSeeSky":false,"maxSkyLight":15,"minLureLevel":1,"minSkyLight":8}</t>
        </is>
      </c>
      <c r="AR2595" s="18" t="inlineStr"/>
      <c r="AS2595" s="18" t="inlineStr">
        <is>
          <t>{"weightMultiplier":{"condition":{"maxLureLevel":2,"minLureLevel":1},"multiplier":0.6}}</t>
        </is>
      </c>
      <c r="AT2595" s="19" t="inlineStr"/>
    </row>
    <row r="2596" ht="32" customHeight="1">
      <c r="A2596" s="18" t="inlineStr">
        <is>
          <t>0780_drampa.json::drampa-1::001</t>
        </is>
      </c>
      <c r="B2596" s="19" t="inlineStr">
        <is>
          <t>사용</t>
        </is>
      </c>
      <c r="C2596" s="18">
        <f>IF(OR(B2596&lt;&gt;AK2596,M2596&lt;&gt;L2596,O2596&lt;&gt;"",Q2596&lt;&gt;"",V2596&lt;&gt;1,Y2596&lt;&gt;"",AT2596&lt;&gt;""),"수정","원본")</f>
        <v/>
      </c>
      <c r="D2596" s="18" t="n">
        <v>780</v>
      </c>
      <c r="E2596" s="18" t="inlineStr">
        <is>
          <t>할비롱</t>
        </is>
      </c>
      <c r="F2596" s="18" t="inlineStr">
        <is>
          <t>drampa</t>
        </is>
      </c>
      <c r="G2596" s="18" t="inlineStr">
        <is>
          <t>drampa</t>
        </is>
      </c>
      <c r="H2596" s="18" t="inlineStr"/>
      <c r="I2596" s="18" t="n">
        <v>7</v>
      </c>
      <c r="J2596" s="18" t="n"/>
      <c r="K2596" s="18" t="n">
        <v>7</v>
      </c>
      <c r="L2596" s="18" t="inlineStr">
        <is>
          <t>cobbleventure:generation_7</t>
        </is>
      </c>
      <c r="M2596" s="19" t="inlineStr">
        <is>
          <t>cobbleventure:generation_7</t>
        </is>
      </c>
      <c r="N2596" s="18" t="inlineStr"/>
      <c r="O2596" s="19" t="inlineStr"/>
      <c r="P2596" s="18" t="inlineStr">
        <is>
          <t>#cobblemon:is_peak</t>
        </is>
      </c>
      <c r="Q2596" s="19" t="inlineStr"/>
      <c r="R2596" s="18">
        <f>IF(Q2596="",P2596,Q2596)</f>
        <v/>
      </c>
      <c r="S2596" s="18" t="inlineStr"/>
      <c r="T2596" s="18" t="inlineStr">
        <is>
          <t>uncommon</t>
        </is>
      </c>
      <c r="U2596" s="20" t="n">
        <v>10</v>
      </c>
      <c r="V2596" s="21" t="n">
        <v>1</v>
      </c>
      <c r="W2596" s="20">
        <f>IF(OR(U2596="",V2596=""),U2596,U2596*V2596)</f>
        <v/>
      </c>
      <c r="X2596" s="18" t="inlineStr">
        <is>
          <t>24-49</t>
        </is>
      </c>
      <c r="Y2596" s="19" t="inlineStr"/>
      <c r="Z2596" s="18">
        <f>IF(Y2596="",X2596,Y2596)</f>
        <v/>
      </c>
      <c r="AA2596" s="18" t="inlineStr">
        <is>
          <t>grounded</t>
        </is>
      </c>
      <c r="AB2596" s="18" t="inlineStr"/>
      <c r="AC2596" s="18" t="inlineStr"/>
      <c r="AD2596" s="18" t="inlineStr">
        <is>
          <t>minY=190</t>
        </is>
      </c>
      <c r="AE2596" s="18" t="inlineStr">
        <is>
          <t>sky 8-15</t>
        </is>
      </c>
      <c r="AF2596" s="18" t="inlineStr"/>
      <c r="AG2596" s="18" t="inlineStr"/>
      <c r="AH2596" s="18" t="inlineStr"/>
      <c r="AI2596" s="18" t="inlineStr"/>
      <c r="AJ2596" s="18" t="inlineStr">
        <is>
          <t>Cobblemon 동일</t>
        </is>
      </c>
      <c r="AK2596" s="18" t="inlineStr">
        <is>
          <t>사용</t>
        </is>
      </c>
      <c r="AL2596" s="18" t="inlineStr">
        <is>
          <t>COBBLEVERSE 1.7.42 / DP v31</t>
        </is>
      </c>
      <c r="AM2596" s="18" t="inlineStr">
        <is>
          <t>data/cobblemon/spawn_pool_world/0780_drampa.json</t>
        </is>
      </c>
      <c r="AN2596" s="18" t="inlineStr">
        <is>
          <t>drampa-1</t>
        </is>
      </c>
      <c r="AO2596" s="18" t="inlineStr">
        <is>
          <t>pokemon</t>
        </is>
      </c>
      <c r="AP2596" s="18" t="inlineStr">
        <is>
          <t>natural; wild</t>
        </is>
      </c>
      <c r="AQ2596" s="18" t="inlineStr">
        <is>
          <t>{"biomes":["#cobblemon:is_peak"],"maxSkyLight":15,"minSkyLight":8,"minY":190}</t>
        </is>
      </c>
      <c r="AR2596" s="18" t="inlineStr"/>
      <c r="AS2596" s="18" t="inlineStr"/>
      <c r="AT2596" s="19" t="inlineStr"/>
    </row>
    <row r="2597" ht="32" customHeight="1">
      <c r="A2597" s="18" t="inlineStr">
        <is>
          <t>0780_drampa.json::drampa-2::002</t>
        </is>
      </c>
      <c r="B2597" s="19" t="inlineStr">
        <is>
          <t>사용</t>
        </is>
      </c>
      <c r="C2597" s="18">
        <f>IF(OR(B2597&lt;&gt;AK2597,M2597&lt;&gt;L2597,O2597&lt;&gt;"",Q2597&lt;&gt;"",V2597&lt;&gt;1,Y2597&lt;&gt;"",AT2597&lt;&gt;""),"수정","원본")</f>
        <v/>
      </c>
      <c r="D2597" s="18" t="n">
        <v>780</v>
      </c>
      <c r="E2597" s="18" t="inlineStr">
        <is>
          <t>할비롱</t>
        </is>
      </c>
      <c r="F2597" s="18" t="inlineStr">
        <is>
          <t>drampa</t>
        </is>
      </c>
      <c r="G2597" s="18" t="inlineStr">
        <is>
          <t>drampa</t>
        </is>
      </c>
      <c r="H2597" s="18" t="inlineStr"/>
      <c r="I2597" s="18" t="n">
        <v>7</v>
      </c>
      <c r="J2597" s="18" t="n"/>
      <c r="K2597" s="18" t="n">
        <v>7</v>
      </c>
      <c r="L2597" s="18" t="inlineStr">
        <is>
          <t>cobbleventure:generation_7</t>
        </is>
      </c>
      <c r="M2597" s="19" t="inlineStr">
        <is>
          <t>cobbleventure:generation_7</t>
        </is>
      </c>
      <c r="N2597" s="18" t="inlineStr"/>
      <c r="O2597" s="19" t="inlineStr"/>
      <c r="P2597" s="18" t="inlineStr">
        <is>
          <t>#cobblemon:is_sky</t>
        </is>
      </c>
      <c r="Q2597" s="19" t="inlineStr"/>
      <c r="R2597" s="18">
        <f>IF(Q2597="",P2597,Q2597)</f>
        <v/>
      </c>
      <c r="S2597" s="18" t="inlineStr"/>
      <c r="T2597" s="18" t="inlineStr">
        <is>
          <t>uncommon</t>
        </is>
      </c>
      <c r="U2597" s="20" t="n">
        <v>10</v>
      </c>
      <c r="V2597" s="21" t="n">
        <v>1</v>
      </c>
      <c r="W2597" s="20">
        <f>IF(OR(U2597="",V2597=""),U2597,U2597*V2597)</f>
        <v/>
      </c>
      <c r="X2597" s="18" t="inlineStr">
        <is>
          <t>24-49</t>
        </is>
      </c>
      <c r="Y2597" s="19" t="inlineStr"/>
      <c r="Z2597" s="18">
        <f>IF(Y2597="",X2597,Y2597)</f>
        <v/>
      </c>
      <c r="AA2597" s="18" t="inlineStr">
        <is>
          <t>grounded</t>
        </is>
      </c>
      <c r="AB2597" s="18" t="inlineStr"/>
      <c r="AC2597" s="18" t="inlineStr"/>
      <c r="AD2597" s="18" t="inlineStr">
        <is>
          <t>minY=190</t>
        </is>
      </c>
      <c r="AE2597" s="18" t="inlineStr">
        <is>
          <t>sky 8-15</t>
        </is>
      </c>
      <c r="AF2597" s="18" t="inlineStr"/>
      <c r="AG2597" s="18" t="inlineStr"/>
      <c r="AH2597" s="18" t="inlineStr"/>
      <c r="AI2597" s="18" t="inlineStr"/>
      <c r="AJ2597" s="18" t="inlineStr">
        <is>
          <t>Cobblemon 동일</t>
        </is>
      </c>
      <c r="AK2597" s="18" t="inlineStr">
        <is>
          <t>사용</t>
        </is>
      </c>
      <c r="AL2597" s="18" t="inlineStr">
        <is>
          <t>COBBLEVERSE 1.7.42 / DP v31</t>
        </is>
      </c>
      <c r="AM2597" s="18" t="inlineStr">
        <is>
          <t>data/cobblemon/spawn_pool_world/0780_drampa.json</t>
        </is>
      </c>
      <c r="AN2597" s="18" t="inlineStr">
        <is>
          <t>drampa-2</t>
        </is>
      </c>
      <c r="AO2597" s="18" t="inlineStr">
        <is>
          <t>pokemon</t>
        </is>
      </c>
      <c r="AP2597" s="18" t="inlineStr">
        <is>
          <t>natural; wild</t>
        </is>
      </c>
      <c r="AQ2597" s="18" t="inlineStr">
        <is>
          <t>{"biomes":["#cobblemon:is_sky"],"maxSkyLight":15,"minSkyLight":8,"minY":190}</t>
        </is>
      </c>
      <c r="AR2597" s="18" t="inlineStr"/>
      <c r="AS2597" s="18" t="inlineStr"/>
      <c r="AT2597" s="19" t="inlineStr"/>
    </row>
    <row r="2598" ht="32" customHeight="1">
      <c r="A2598" s="18" t="inlineStr">
        <is>
          <t>0781_dhelmise.json::dhelmise-1::001</t>
        </is>
      </c>
      <c r="B2598" s="19" t="inlineStr">
        <is>
          <t>사용</t>
        </is>
      </c>
      <c r="C2598" s="18">
        <f>IF(OR(B2598&lt;&gt;AK2598,M2598&lt;&gt;L2598,O2598&lt;&gt;"",Q2598&lt;&gt;"",V2598&lt;&gt;1,Y2598&lt;&gt;"",AT2598&lt;&gt;""),"수정","원본")</f>
        <v/>
      </c>
      <c r="D2598" s="18" t="n">
        <v>781</v>
      </c>
      <c r="E2598" s="18" t="inlineStr">
        <is>
          <t>타타륜</t>
        </is>
      </c>
      <c r="F2598" s="18" t="inlineStr">
        <is>
          <t>dhelmise</t>
        </is>
      </c>
      <c r="G2598" s="18" t="inlineStr">
        <is>
          <t>dhelmise</t>
        </is>
      </c>
      <c r="H2598" s="18" t="inlineStr"/>
      <c r="I2598" s="18" t="n">
        <v>7</v>
      </c>
      <c r="J2598" s="18" t="n"/>
      <c r="K2598" s="18" t="n">
        <v>7</v>
      </c>
      <c r="L2598" s="18" t="inlineStr">
        <is>
          <t>cobbleventure:generation_7</t>
        </is>
      </c>
      <c r="M2598" s="19" t="inlineStr">
        <is>
          <t>cobbleventure:generation_7</t>
        </is>
      </c>
      <c r="N2598" s="18" t="inlineStr"/>
      <c r="O2598" s="19" t="inlineStr"/>
      <c r="P2598" s="18" t="inlineStr">
        <is>
          <t>#cobblemon:is_ocean</t>
        </is>
      </c>
      <c r="Q2598" s="19" t="inlineStr"/>
      <c r="R2598" s="18">
        <f>IF(Q2598="",P2598,Q2598)</f>
        <v/>
      </c>
      <c r="S2598" s="18" t="inlineStr"/>
      <c r="T2598" s="18" t="inlineStr">
        <is>
          <t>common</t>
        </is>
      </c>
      <c r="U2598" s="20" t="n">
        <v>10</v>
      </c>
      <c r="V2598" s="21" t="n">
        <v>1</v>
      </c>
      <c r="W2598" s="20">
        <f>IF(OR(U2598="",V2598=""),U2598,U2598*V2598)</f>
        <v/>
      </c>
      <c r="X2598" s="18" t="inlineStr">
        <is>
          <t>27-52</t>
        </is>
      </c>
      <c r="Y2598" s="19" t="inlineStr"/>
      <c r="Z2598" s="18">
        <f>IF(Y2598="",X2598,Y2598)</f>
        <v/>
      </c>
      <c r="AA2598" s="18" t="inlineStr">
        <is>
          <t>submerged</t>
        </is>
      </c>
      <c r="AB2598" s="18" t="inlineStr"/>
      <c r="AC2598" s="18" t="inlineStr"/>
      <c r="AD2598" s="18" t="inlineStr"/>
      <c r="AE2598" s="18" t="inlineStr"/>
      <c r="AF2598" s="18" t="inlineStr">
        <is>
          <t>True</t>
        </is>
      </c>
      <c r="AG2598" s="18" t="inlineStr">
        <is>
          <t>#minecraft:shipwreck</t>
        </is>
      </c>
      <c r="AH2598" s="18" t="inlineStr"/>
      <c r="AI2598" s="18" t="inlineStr"/>
      <c r="AJ2598" s="18" t="inlineStr">
        <is>
          <t>Cobblemon 동일</t>
        </is>
      </c>
      <c r="AK2598" s="18" t="inlineStr">
        <is>
          <t>사용</t>
        </is>
      </c>
      <c r="AL2598" s="18" t="inlineStr">
        <is>
          <t>COBBLEVERSE 1.7.42 / DP v31</t>
        </is>
      </c>
      <c r="AM2598" s="18" t="inlineStr">
        <is>
          <t>data/cobblemon/spawn_pool_world/0781_dhelmise.json</t>
        </is>
      </c>
      <c r="AN2598" s="18" t="inlineStr">
        <is>
          <t>dhelmise-1</t>
        </is>
      </c>
      <c r="AO2598" s="18" t="inlineStr">
        <is>
          <t>pokemon</t>
        </is>
      </c>
      <c r="AP2598" s="18" t="inlineStr">
        <is>
          <t>water</t>
        </is>
      </c>
      <c r="AQ2598" s="18" t="inlineStr">
        <is>
          <t>{"biomes":["#cobblemon:is_ocean"],"canSeeSky":true,"structures":["#minecraft:shipwreck"]}</t>
        </is>
      </c>
      <c r="AR2598" s="18" t="inlineStr"/>
      <c r="AS2598" s="18" t="inlineStr"/>
      <c r="AT2598" s="19" t="inlineStr"/>
    </row>
    <row r="2599" ht="32" customHeight="1">
      <c r="A2599" s="18" t="inlineStr">
        <is>
          <t>0781_dhelmise.json::dhelmise-2::002</t>
        </is>
      </c>
      <c r="B2599" s="19" t="inlineStr">
        <is>
          <t>사용</t>
        </is>
      </c>
      <c r="C2599" s="18">
        <f>IF(OR(B2599&lt;&gt;AK2599,M2599&lt;&gt;L2599,O2599&lt;&gt;"",Q2599&lt;&gt;"",V2599&lt;&gt;1,Y2599&lt;&gt;"",AT2599&lt;&gt;""),"수정","원본")</f>
        <v/>
      </c>
      <c r="D2599" s="18" t="n">
        <v>781</v>
      </c>
      <c r="E2599" s="18" t="inlineStr">
        <is>
          <t>타타륜</t>
        </is>
      </c>
      <c r="F2599" s="18" t="inlineStr">
        <is>
          <t>dhelmise</t>
        </is>
      </c>
      <c r="G2599" s="18" t="inlineStr">
        <is>
          <t>dhelmise</t>
        </is>
      </c>
      <c r="H2599" s="18" t="inlineStr"/>
      <c r="I2599" s="18" t="n">
        <v>7</v>
      </c>
      <c r="J2599" s="18" t="n"/>
      <c r="K2599" s="18" t="n">
        <v>7</v>
      </c>
      <c r="L2599" s="18" t="inlineStr">
        <is>
          <t>cobbleventure:generation_7</t>
        </is>
      </c>
      <c r="M2599" s="19" t="inlineStr">
        <is>
          <t>cobbleventure:generation_7</t>
        </is>
      </c>
      <c r="N2599" s="18" t="inlineStr"/>
      <c r="O2599" s="19" t="inlineStr"/>
      <c r="P2599" s="18" t="inlineStr">
        <is>
          <t>#cobblemon:is_ocean</t>
        </is>
      </c>
      <c r="Q2599" s="19" t="inlineStr"/>
      <c r="R2599" s="18">
        <f>IF(Q2599="",P2599,Q2599)</f>
        <v/>
      </c>
      <c r="S2599" s="18" t="inlineStr"/>
      <c r="T2599" s="18" t="inlineStr">
        <is>
          <t>common</t>
        </is>
      </c>
      <c r="U2599" s="20" t="n">
        <v>10</v>
      </c>
      <c r="V2599" s="21" t="n">
        <v>1</v>
      </c>
      <c r="W2599" s="20">
        <f>IF(OR(U2599="",V2599=""),U2599,U2599*V2599)</f>
        <v/>
      </c>
      <c r="X2599" s="18" t="inlineStr">
        <is>
          <t>27-52</t>
        </is>
      </c>
      <c r="Y2599" s="19" t="inlineStr"/>
      <c r="Z2599" s="18">
        <f>IF(Y2599="",X2599,Y2599)</f>
        <v/>
      </c>
      <c r="AA2599" s="18" t="inlineStr">
        <is>
          <t>fishing</t>
        </is>
      </c>
      <c r="AB2599" s="18" t="inlineStr"/>
      <c r="AC2599" s="18" t="inlineStr"/>
      <c r="AD2599" s="18" t="inlineStr"/>
      <c r="AE2599" s="18" t="inlineStr"/>
      <c r="AF2599" s="18" t="inlineStr">
        <is>
          <t>True</t>
        </is>
      </c>
      <c r="AG2599" s="18" t="inlineStr">
        <is>
          <t>#minecraft:shipwreck</t>
        </is>
      </c>
      <c r="AH2599" s="18" t="inlineStr"/>
      <c r="AI2599" s="18" t="inlineStr"/>
      <c r="AJ2599" s="18" t="inlineStr">
        <is>
          <t>Cobblemon 동일</t>
        </is>
      </c>
      <c r="AK2599" s="18" t="inlineStr">
        <is>
          <t>사용</t>
        </is>
      </c>
      <c r="AL2599" s="18" t="inlineStr">
        <is>
          <t>COBBLEVERSE 1.7.42 / DP v31</t>
        </is>
      </c>
      <c r="AM2599" s="18" t="inlineStr">
        <is>
          <t>data/cobblemon/spawn_pool_world/0781_dhelmise.json</t>
        </is>
      </c>
      <c r="AN2599" s="18" t="inlineStr">
        <is>
          <t>dhelmise-2</t>
        </is>
      </c>
      <c r="AO2599" s="18" t="inlineStr">
        <is>
          <t>pokemon</t>
        </is>
      </c>
      <c r="AP2599" s="18" t="inlineStr"/>
      <c r="AQ2599" s="18" t="inlineStr">
        <is>
          <t>{"biomes":["#cobblemon:is_ocean"],"canSeeSky":true,"structures":["#minecraft:shipwreck"]}</t>
        </is>
      </c>
      <c r="AR2599" s="18" t="inlineStr"/>
      <c r="AS2599" s="18" t="inlineStr"/>
      <c r="AT2599" s="19" t="inlineStr"/>
    </row>
    <row r="2600" ht="32" customHeight="1">
      <c r="A2600" s="18" t="inlineStr">
        <is>
          <t>0781_dhelmise.json::dhelmise-3::003</t>
        </is>
      </c>
      <c r="B2600" s="19" t="inlineStr">
        <is>
          <t>사용</t>
        </is>
      </c>
      <c r="C2600" s="18">
        <f>IF(OR(B2600&lt;&gt;AK2600,M2600&lt;&gt;L2600,O2600&lt;&gt;"",Q2600&lt;&gt;"",V2600&lt;&gt;1,Y2600&lt;&gt;"",AT2600&lt;&gt;""),"수정","원본")</f>
        <v/>
      </c>
      <c r="D2600" s="18" t="n">
        <v>781</v>
      </c>
      <c r="E2600" s="18" t="inlineStr">
        <is>
          <t>타타륜</t>
        </is>
      </c>
      <c r="F2600" s="18" t="inlineStr">
        <is>
          <t>dhelmise</t>
        </is>
      </c>
      <c r="G2600" s="18" t="inlineStr">
        <is>
          <t>dhelmise</t>
        </is>
      </c>
      <c r="H2600" s="18" t="inlineStr"/>
      <c r="I2600" s="18" t="n">
        <v>7</v>
      </c>
      <c r="J2600" s="18" t="n"/>
      <c r="K2600" s="18" t="n">
        <v>7</v>
      </c>
      <c r="L2600" s="18" t="inlineStr">
        <is>
          <t>cobbleventure:generation_7</t>
        </is>
      </c>
      <c r="M2600" s="19" t="inlineStr">
        <is>
          <t>cobbleventure:generation_7</t>
        </is>
      </c>
      <c r="N2600" s="18" t="inlineStr"/>
      <c r="O2600" s="19" t="inlineStr"/>
      <c r="P2600" s="18" t="inlineStr">
        <is>
          <t>#cobblemon:is_ocean</t>
        </is>
      </c>
      <c r="Q2600" s="19" t="inlineStr"/>
      <c r="R2600" s="18">
        <f>IF(Q2600="",P2600,Q2600)</f>
        <v/>
      </c>
      <c r="S2600" s="18" t="inlineStr"/>
      <c r="T2600" s="18" t="inlineStr">
        <is>
          <t>rare</t>
        </is>
      </c>
      <c r="U2600" s="20" t="n">
        <v>6</v>
      </c>
      <c r="V2600" s="21" t="n">
        <v>1</v>
      </c>
      <c r="W2600" s="20">
        <f>IF(OR(U2600="",V2600=""),U2600,U2600*V2600)</f>
        <v/>
      </c>
      <c r="X2600" s="18" t="inlineStr">
        <is>
          <t>27-52</t>
        </is>
      </c>
      <c r="Y2600" s="19" t="inlineStr"/>
      <c r="Z2600" s="18">
        <f>IF(Y2600="",X2600,Y2600)</f>
        <v/>
      </c>
      <c r="AA2600" s="18" t="inlineStr">
        <is>
          <t>fishing</t>
        </is>
      </c>
      <c r="AB2600" s="18" t="inlineStr"/>
      <c r="AC2600" s="18" t="inlineStr"/>
      <c r="AD2600" s="18" t="inlineStr"/>
      <c r="AE2600" s="18" t="inlineStr"/>
      <c r="AF2600" s="18" t="inlineStr">
        <is>
          <t>True</t>
        </is>
      </c>
      <c r="AG2600" s="18" t="inlineStr"/>
      <c r="AH2600" s="18" t="inlineStr"/>
      <c r="AI2600" s="18" t="inlineStr"/>
      <c r="AJ2600" s="18" t="inlineStr">
        <is>
          <t>Cobblemon 동일</t>
        </is>
      </c>
      <c r="AK2600" s="18" t="inlineStr">
        <is>
          <t>사용</t>
        </is>
      </c>
      <c r="AL2600" s="18" t="inlineStr">
        <is>
          <t>COBBLEVERSE 1.7.42 / DP v31</t>
        </is>
      </c>
      <c r="AM2600" s="18" t="inlineStr">
        <is>
          <t>data/cobblemon/spawn_pool_world/0781_dhelmise.json</t>
        </is>
      </c>
      <c r="AN2600" s="18" t="inlineStr">
        <is>
          <t>dhelmise-3</t>
        </is>
      </c>
      <c r="AO2600" s="18" t="inlineStr">
        <is>
          <t>pokemon</t>
        </is>
      </c>
      <c r="AP2600" s="18" t="inlineStr"/>
      <c r="AQ2600" s="18" t="inlineStr">
        <is>
          <t>{"biomes":["#cobblemon:is_ocean"],"canSeeSky":true}</t>
        </is>
      </c>
      <c r="AR2600" s="18" t="inlineStr"/>
      <c r="AS2600" s="18" t="inlineStr"/>
      <c r="AT2600" s="19" t="inlineStr"/>
    </row>
    <row r="2601" ht="32" customHeight="1">
      <c r="A2601" s="18" t="inlineStr">
        <is>
          <t>0781_dhelmise.json::dhelmise-4::004</t>
        </is>
      </c>
      <c r="B2601" s="19" t="inlineStr">
        <is>
          <t>사용</t>
        </is>
      </c>
      <c r="C2601" s="18">
        <f>IF(OR(B2601&lt;&gt;AK2601,M2601&lt;&gt;L2601,O2601&lt;&gt;"",Q2601&lt;&gt;"",V2601&lt;&gt;1,Y2601&lt;&gt;"",AT2601&lt;&gt;""),"수정","원본")</f>
        <v/>
      </c>
      <c r="D2601" s="18" t="n">
        <v>781</v>
      </c>
      <c r="E2601" s="18" t="inlineStr">
        <is>
          <t>타타륜</t>
        </is>
      </c>
      <c r="F2601" s="18" t="inlineStr">
        <is>
          <t>dhelmise</t>
        </is>
      </c>
      <c r="G2601" s="18" t="inlineStr">
        <is>
          <t>dhelmise</t>
        </is>
      </c>
      <c r="H2601" s="18" t="inlineStr"/>
      <c r="I2601" s="18" t="n">
        <v>7</v>
      </c>
      <c r="J2601" s="18" t="n"/>
      <c r="K2601" s="18" t="n">
        <v>7</v>
      </c>
      <c r="L2601" s="18" t="inlineStr">
        <is>
          <t>cobbleventure:generation_7</t>
        </is>
      </c>
      <c r="M2601" s="19" t="inlineStr">
        <is>
          <t>cobbleventure:generation_7</t>
        </is>
      </c>
      <c r="N2601" s="18" t="inlineStr"/>
      <c r="O2601" s="19" t="inlineStr"/>
      <c r="P2601" s="18" t="inlineStr">
        <is>
          <t>#cobblemon:is_ocean</t>
        </is>
      </c>
      <c r="Q2601" s="19" t="inlineStr"/>
      <c r="R2601" s="18">
        <f>IF(Q2601="",P2601,Q2601)</f>
        <v/>
      </c>
      <c r="S2601" s="18" t="inlineStr"/>
      <c r="T2601" s="18" t="inlineStr">
        <is>
          <t>common</t>
        </is>
      </c>
      <c r="U2601" s="20" t="n">
        <v>10</v>
      </c>
      <c r="V2601" s="21" t="n">
        <v>1</v>
      </c>
      <c r="W2601" s="20">
        <f>IF(OR(U2601="",V2601=""),U2601,U2601*V2601)</f>
        <v/>
      </c>
      <c r="X2601" s="18" t="inlineStr">
        <is>
          <t>27-52</t>
        </is>
      </c>
      <c r="Y2601" s="19" t="inlineStr"/>
      <c r="Z2601" s="18">
        <f>IF(Y2601="",X2601,Y2601)</f>
        <v/>
      </c>
      <c r="AA2601" s="18" t="inlineStr">
        <is>
          <t>submerged</t>
        </is>
      </c>
      <c r="AB2601" s="18" t="inlineStr"/>
      <c r="AC2601" s="18" t="inlineStr"/>
      <c r="AD2601" s="18" t="inlineStr"/>
      <c r="AE2601" s="18" t="inlineStr">
        <is>
          <t>sky 8-15</t>
        </is>
      </c>
      <c r="AF2601" s="18" t="inlineStr">
        <is>
          <t>False</t>
        </is>
      </c>
      <c r="AG2601" s="18" t="inlineStr">
        <is>
          <t>#minecraft:shipwreck</t>
        </is>
      </c>
      <c r="AH2601" s="18" t="inlineStr"/>
      <c r="AI2601" s="18" t="inlineStr"/>
      <c r="AJ2601" s="18" t="inlineStr">
        <is>
          <t>Cobblemon 동일</t>
        </is>
      </c>
      <c r="AK2601" s="18" t="inlineStr">
        <is>
          <t>사용</t>
        </is>
      </c>
      <c r="AL2601" s="18" t="inlineStr">
        <is>
          <t>COBBLEVERSE 1.7.42 / DP v31</t>
        </is>
      </c>
      <c r="AM2601" s="18" t="inlineStr">
        <is>
          <t>data/cobblemon/spawn_pool_world/0781_dhelmise.json</t>
        </is>
      </c>
      <c r="AN2601" s="18" t="inlineStr">
        <is>
          <t>dhelmise-4</t>
        </is>
      </c>
      <c r="AO2601" s="18" t="inlineStr">
        <is>
          <t>pokemon</t>
        </is>
      </c>
      <c r="AP2601" s="18" t="inlineStr">
        <is>
          <t>water</t>
        </is>
      </c>
      <c r="AQ2601" s="18" t="inlineStr">
        <is>
          <t>{"biomes":["#cobblemon:is_ocean"],"canSeeSky":false,"maxSkyLight":15,"minSkyLight":8,"structures":["#minecraft:shipwreck"]}</t>
        </is>
      </c>
      <c r="AR2601" s="18" t="inlineStr"/>
      <c r="AS2601" s="18" t="inlineStr"/>
      <c r="AT2601" s="19" t="inlineStr"/>
    </row>
    <row r="2602" ht="32" customHeight="1">
      <c r="A2602" s="18" t="inlineStr">
        <is>
          <t>0781_dhelmise.json::dhelmise-5::005</t>
        </is>
      </c>
      <c r="B2602" s="19" t="inlineStr">
        <is>
          <t>사용</t>
        </is>
      </c>
      <c r="C2602" s="18">
        <f>IF(OR(B2602&lt;&gt;AK2602,M2602&lt;&gt;L2602,O2602&lt;&gt;"",Q2602&lt;&gt;"",V2602&lt;&gt;1,Y2602&lt;&gt;"",AT2602&lt;&gt;""),"수정","원본")</f>
        <v/>
      </c>
      <c r="D2602" s="18" t="n">
        <v>781</v>
      </c>
      <c r="E2602" s="18" t="inlineStr">
        <is>
          <t>타타륜</t>
        </is>
      </c>
      <c r="F2602" s="18" t="inlineStr">
        <is>
          <t>dhelmise</t>
        </is>
      </c>
      <c r="G2602" s="18" t="inlineStr">
        <is>
          <t>dhelmise</t>
        </is>
      </c>
      <c r="H2602" s="18" t="inlineStr"/>
      <c r="I2602" s="18" t="n">
        <v>7</v>
      </c>
      <c r="J2602" s="18" t="n"/>
      <c r="K2602" s="18" t="n">
        <v>7</v>
      </c>
      <c r="L2602" s="18" t="inlineStr">
        <is>
          <t>cobbleventure:generation_7</t>
        </is>
      </c>
      <c r="M2602" s="19" t="inlineStr">
        <is>
          <t>cobbleventure:generation_7</t>
        </is>
      </c>
      <c r="N2602" s="18" t="inlineStr"/>
      <c r="O2602" s="19" t="inlineStr"/>
      <c r="P2602" s="18" t="inlineStr">
        <is>
          <t>#cobblemon:is_ocean</t>
        </is>
      </c>
      <c r="Q2602" s="19" t="inlineStr"/>
      <c r="R2602" s="18">
        <f>IF(Q2602="",P2602,Q2602)</f>
        <v/>
      </c>
      <c r="S2602" s="18" t="inlineStr"/>
      <c r="T2602" s="18" t="inlineStr">
        <is>
          <t>common</t>
        </is>
      </c>
      <c r="U2602" s="20" t="n">
        <v>10</v>
      </c>
      <c r="V2602" s="21" t="n">
        <v>1</v>
      </c>
      <c r="W2602" s="20">
        <f>IF(OR(U2602="",V2602=""),U2602,U2602*V2602)</f>
        <v/>
      </c>
      <c r="X2602" s="18" t="inlineStr">
        <is>
          <t>27-52</t>
        </is>
      </c>
      <c r="Y2602" s="19" t="inlineStr"/>
      <c r="Z2602" s="18">
        <f>IF(Y2602="",X2602,Y2602)</f>
        <v/>
      </c>
      <c r="AA2602" s="18" t="inlineStr">
        <is>
          <t>fishing</t>
        </is>
      </c>
      <c r="AB2602" s="18" t="inlineStr"/>
      <c r="AC2602" s="18" t="inlineStr"/>
      <c r="AD2602" s="18" t="inlineStr"/>
      <c r="AE2602" s="18" t="inlineStr">
        <is>
          <t>sky 8-15</t>
        </is>
      </c>
      <c r="AF2602" s="18" t="inlineStr">
        <is>
          <t>False</t>
        </is>
      </c>
      <c r="AG2602" s="18" t="inlineStr">
        <is>
          <t>#minecraft:shipwreck</t>
        </is>
      </c>
      <c r="AH2602" s="18" t="inlineStr"/>
      <c r="AI2602" s="18" t="inlineStr"/>
      <c r="AJ2602" s="18" t="inlineStr">
        <is>
          <t>Cobblemon 동일</t>
        </is>
      </c>
      <c r="AK2602" s="18" t="inlineStr">
        <is>
          <t>사용</t>
        </is>
      </c>
      <c r="AL2602" s="18" t="inlineStr">
        <is>
          <t>COBBLEVERSE 1.7.42 / DP v31</t>
        </is>
      </c>
      <c r="AM2602" s="18" t="inlineStr">
        <is>
          <t>data/cobblemon/spawn_pool_world/0781_dhelmise.json</t>
        </is>
      </c>
      <c r="AN2602" s="18" t="inlineStr">
        <is>
          <t>dhelmise-5</t>
        </is>
      </c>
      <c r="AO2602" s="18" t="inlineStr">
        <is>
          <t>pokemon</t>
        </is>
      </c>
      <c r="AP2602" s="18" t="inlineStr"/>
      <c r="AQ2602" s="18" t="inlineStr">
        <is>
          <t>{"biomes":["#cobblemon:is_ocean"],"canSeeSky":false,"maxSkyLight":15,"minSkyLight":8,"structures":["#minecraft:shipwreck"]}</t>
        </is>
      </c>
      <c r="AR2602" s="18" t="inlineStr"/>
      <c r="AS2602" s="18" t="inlineStr"/>
      <c r="AT2602" s="19" t="inlineStr"/>
    </row>
    <row r="2603" ht="32" customHeight="1">
      <c r="A2603" s="18" t="inlineStr">
        <is>
          <t>0781_dhelmise.json::dhelmise-7::006</t>
        </is>
      </c>
      <c r="B2603" s="19" t="inlineStr">
        <is>
          <t>사용</t>
        </is>
      </c>
      <c r="C2603" s="18">
        <f>IF(OR(B2603&lt;&gt;AK2603,M2603&lt;&gt;L2603,O2603&lt;&gt;"",Q2603&lt;&gt;"",V2603&lt;&gt;1,Y2603&lt;&gt;"",AT2603&lt;&gt;""),"수정","원본")</f>
        <v/>
      </c>
      <c r="D2603" s="18" t="n">
        <v>781</v>
      </c>
      <c r="E2603" s="18" t="inlineStr">
        <is>
          <t>타타륜</t>
        </is>
      </c>
      <c r="F2603" s="18" t="inlineStr">
        <is>
          <t>dhelmise</t>
        </is>
      </c>
      <c r="G2603" s="18" t="inlineStr">
        <is>
          <t>dhelmise</t>
        </is>
      </c>
      <c r="H2603" s="18" t="inlineStr"/>
      <c r="I2603" s="18" t="n">
        <v>7</v>
      </c>
      <c r="J2603" s="18" t="n"/>
      <c r="K2603" s="18" t="n">
        <v>7</v>
      </c>
      <c r="L2603" s="18" t="inlineStr">
        <is>
          <t>cobbleventure:generation_7</t>
        </is>
      </c>
      <c r="M2603" s="19" t="inlineStr">
        <is>
          <t>cobbleventure:generation_7</t>
        </is>
      </c>
      <c r="N2603" s="18" t="inlineStr"/>
      <c r="O2603" s="19" t="inlineStr"/>
      <c r="P2603" s="18" t="inlineStr">
        <is>
          <t>#cobblemon:is_ocean</t>
        </is>
      </c>
      <c r="Q2603" s="19" t="inlineStr"/>
      <c r="R2603" s="18">
        <f>IF(Q2603="",P2603,Q2603)</f>
        <v/>
      </c>
      <c r="S2603" s="18" t="inlineStr"/>
      <c r="T2603" s="18" t="inlineStr">
        <is>
          <t>rare</t>
        </is>
      </c>
      <c r="U2603" s="20" t="n">
        <v>6</v>
      </c>
      <c r="V2603" s="21" t="n">
        <v>1</v>
      </c>
      <c r="W2603" s="20">
        <f>IF(OR(U2603="",V2603=""),U2603,U2603*V2603)</f>
        <v/>
      </c>
      <c r="X2603" s="18" t="inlineStr">
        <is>
          <t>27-52</t>
        </is>
      </c>
      <c r="Y2603" s="19" t="inlineStr"/>
      <c r="Z2603" s="18">
        <f>IF(Y2603="",X2603,Y2603)</f>
        <v/>
      </c>
      <c r="AA2603" s="18" t="inlineStr">
        <is>
          <t>fishing</t>
        </is>
      </c>
      <c r="AB2603" s="18" t="inlineStr"/>
      <c r="AC2603" s="18" t="inlineStr"/>
      <c r="AD2603" s="18" t="inlineStr"/>
      <c r="AE2603" s="18" t="inlineStr">
        <is>
          <t>sky 8-15</t>
        </is>
      </c>
      <c r="AF2603" s="18" t="inlineStr">
        <is>
          <t>False</t>
        </is>
      </c>
      <c r="AG2603" s="18" t="inlineStr"/>
      <c r="AH2603" s="18" t="inlineStr"/>
      <c r="AI2603" s="18" t="inlineStr"/>
      <c r="AJ2603" s="18" t="inlineStr">
        <is>
          <t>Cobblemon 동일</t>
        </is>
      </c>
      <c r="AK2603" s="18" t="inlineStr">
        <is>
          <t>사용</t>
        </is>
      </c>
      <c r="AL2603" s="18" t="inlineStr">
        <is>
          <t>COBBLEVERSE 1.7.42 / DP v31</t>
        </is>
      </c>
      <c r="AM2603" s="18" t="inlineStr">
        <is>
          <t>data/cobblemon/spawn_pool_world/0781_dhelmise.json</t>
        </is>
      </c>
      <c r="AN2603" s="18" t="inlineStr">
        <is>
          <t>dhelmise-7</t>
        </is>
      </c>
      <c r="AO2603" s="18" t="inlineStr">
        <is>
          <t>pokemon</t>
        </is>
      </c>
      <c r="AP2603" s="18" t="inlineStr"/>
      <c r="AQ2603" s="18" t="inlineStr">
        <is>
          <t>{"biomes":["#cobblemon:is_ocean"],"canSeeSky":false,"maxSkyLight":15,"minSkyLight":8}</t>
        </is>
      </c>
      <c r="AR2603" s="18" t="inlineStr"/>
      <c r="AS2603" s="18" t="inlineStr"/>
      <c r="AT2603" s="19" t="inlineStr"/>
    </row>
    <row r="2604" ht="32" customHeight="1">
      <c r="A2604" s="18" t="inlineStr">
        <is>
          <t>0781_dhelmise.json::dhelmise-8::007</t>
        </is>
      </c>
      <c r="B2604" s="19" t="inlineStr">
        <is>
          <t>사용</t>
        </is>
      </c>
      <c r="C2604" s="18">
        <f>IF(OR(B2604&lt;&gt;AK2604,M2604&lt;&gt;L2604,O2604&lt;&gt;"",Q2604&lt;&gt;"",V2604&lt;&gt;1,Y2604&lt;&gt;"",AT2604&lt;&gt;""),"수정","원본")</f>
        <v/>
      </c>
      <c r="D2604" s="18" t="n">
        <v>781</v>
      </c>
      <c r="E2604" s="18" t="inlineStr">
        <is>
          <t>타타륜</t>
        </is>
      </c>
      <c r="F2604" s="18" t="inlineStr">
        <is>
          <t>dhelmise</t>
        </is>
      </c>
      <c r="G2604" s="18" t="inlineStr">
        <is>
          <t>dhelmise</t>
        </is>
      </c>
      <c r="H2604" s="18" t="inlineStr"/>
      <c r="I2604" s="18" t="n">
        <v>7</v>
      </c>
      <c r="J2604" s="18" t="n"/>
      <c r="K2604" s="18" t="n">
        <v>7</v>
      </c>
      <c r="L2604" s="18" t="inlineStr">
        <is>
          <t>cobbleventure:generation_7</t>
        </is>
      </c>
      <c r="M2604" s="19" t="inlineStr">
        <is>
          <t>cobbleventure:generation_7</t>
        </is>
      </c>
      <c r="N2604" s="18" t="inlineStr"/>
      <c r="O2604" s="19" t="inlineStr"/>
      <c r="P2604" s="18" t="inlineStr">
        <is>
          <t>#cobblemon:is_ocean</t>
        </is>
      </c>
      <c r="Q2604" s="19" t="inlineStr"/>
      <c r="R2604" s="18">
        <f>IF(Q2604="",P2604,Q2604)</f>
        <v/>
      </c>
      <c r="S2604" s="18" t="inlineStr"/>
      <c r="T2604" s="18" t="inlineStr">
        <is>
          <t>common</t>
        </is>
      </c>
      <c r="U2604" s="20" t="n">
        <v>20</v>
      </c>
      <c r="V2604" s="21" t="n">
        <v>1</v>
      </c>
      <c r="W2604" s="20">
        <f>IF(OR(U2604="",V2604=""),U2604,U2604*V2604)</f>
        <v/>
      </c>
      <c r="X2604" s="18" t="inlineStr">
        <is>
          <t>27-52</t>
        </is>
      </c>
      <c r="Y2604" s="19" t="inlineStr"/>
      <c r="Z2604" s="18">
        <f>IF(Y2604="",X2604,Y2604)</f>
        <v/>
      </c>
      <c r="AA2604" s="18" t="inlineStr">
        <is>
          <t>submerged</t>
        </is>
      </c>
      <c r="AB2604" s="18" t="inlineStr"/>
      <c r="AC2604" s="18" t="inlineStr"/>
      <c r="AD2604" s="18" t="inlineStr">
        <is>
          <t>minY=-60, maxY=13</t>
        </is>
      </c>
      <c r="AE2604" s="18" t="inlineStr"/>
      <c r="AF2604" s="18" t="inlineStr"/>
      <c r="AG2604" s="18" t="inlineStr">
        <is>
          <t>#cobblemon:shipwreck_cove</t>
        </is>
      </c>
      <c r="AH2604" s="18" t="inlineStr"/>
      <c r="AI2604" s="18" t="inlineStr"/>
      <c r="AJ2604" s="18" t="inlineStr">
        <is>
          <t>Cobblemon 동일</t>
        </is>
      </c>
      <c r="AK2604" s="18" t="inlineStr">
        <is>
          <t>사용</t>
        </is>
      </c>
      <c r="AL2604" s="18" t="inlineStr">
        <is>
          <t>COBBLEVERSE 1.7.42 / DP v31</t>
        </is>
      </c>
      <c r="AM2604" s="18" t="inlineStr">
        <is>
          <t>data/cobblemon/spawn_pool_world/0781_dhelmise.json</t>
        </is>
      </c>
      <c r="AN2604" s="18" t="inlineStr">
        <is>
          <t>dhelmise-8</t>
        </is>
      </c>
      <c r="AO2604" s="18" t="inlineStr">
        <is>
          <t>pokemon</t>
        </is>
      </c>
      <c r="AP2604" s="18" t="inlineStr">
        <is>
          <t>water</t>
        </is>
      </c>
      <c r="AQ2604" s="18" t="inlineStr">
        <is>
          <t>{"biomes":["#cobblemon:is_ocean"],"maxY":13,"minY":-60,"structures":["#cobblemon:shipwreck_cove"]}</t>
        </is>
      </c>
      <c r="AR2604" s="18" t="inlineStr"/>
      <c r="AS2604" s="18" t="inlineStr"/>
      <c r="AT2604" s="19" t="inlineStr"/>
    </row>
    <row r="2605" ht="32" customHeight="1">
      <c r="A2605" s="18" t="inlineStr">
        <is>
          <t>0781_dhelmise.json::dhelmise-9::008</t>
        </is>
      </c>
      <c r="B2605" s="19" t="inlineStr">
        <is>
          <t>사용</t>
        </is>
      </c>
      <c r="C2605" s="18">
        <f>IF(OR(B2605&lt;&gt;AK2605,M2605&lt;&gt;L2605,O2605&lt;&gt;"",Q2605&lt;&gt;"",V2605&lt;&gt;1,Y2605&lt;&gt;"",AT2605&lt;&gt;""),"수정","원본")</f>
        <v/>
      </c>
      <c r="D2605" s="18" t="n">
        <v>781</v>
      </c>
      <c r="E2605" s="18" t="inlineStr">
        <is>
          <t>타타륜</t>
        </is>
      </c>
      <c r="F2605" s="18" t="inlineStr">
        <is>
          <t>dhelmise</t>
        </is>
      </c>
      <c r="G2605" s="18" t="inlineStr">
        <is>
          <t>dhelmise</t>
        </is>
      </c>
      <c r="H2605" s="18" t="inlineStr"/>
      <c r="I2605" s="18" t="n">
        <v>7</v>
      </c>
      <c r="J2605" s="18" t="n"/>
      <c r="K2605" s="18" t="n">
        <v>7</v>
      </c>
      <c r="L2605" s="18" t="inlineStr">
        <is>
          <t>cobbleventure:generation_7</t>
        </is>
      </c>
      <c r="M2605" s="19" t="inlineStr">
        <is>
          <t>cobbleventure:generation_7</t>
        </is>
      </c>
      <c r="N2605" s="18" t="inlineStr"/>
      <c r="O2605" s="19" t="inlineStr"/>
      <c r="P2605" s="18" t="inlineStr">
        <is>
          <t>#cobblemon:is_ocean</t>
        </is>
      </c>
      <c r="Q2605" s="19" t="inlineStr"/>
      <c r="R2605" s="18">
        <f>IF(Q2605="",P2605,Q2605)</f>
        <v/>
      </c>
      <c r="S2605" s="18" t="inlineStr"/>
      <c r="T2605" s="18" t="inlineStr">
        <is>
          <t>common</t>
        </is>
      </c>
      <c r="U2605" s="20" t="n">
        <v>20</v>
      </c>
      <c r="V2605" s="21" t="n">
        <v>1</v>
      </c>
      <c r="W2605" s="20">
        <f>IF(OR(U2605="",V2605=""),U2605,U2605*V2605)</f>
        <v/>
      </c>
      <c r="X2605" s="18" t="inlineStr">
        <is>
          <t>27-52</t>
        </is>
      </c>
      <c r="Y2605" s="19" t="inlineStr"/>
      <c r="Z2605" s="18">
        <f>IF(Y2605="",X2605,Y2605)</f>
        <v/>
      </c>
      <c r="AA2605" s="18" t="inlineStr">
        <is>
          <t>fishing</t>
        </is>
      </c>
      <c r="AB2605" s="18" t="inlineStr"/>
      <c r="AC2605" s="18" t="inlineStr"/>
      <c r="AD2605" s="18" t="inlineStr">
        <is>
          <t>minY=-60, maxY=13</t>
        </is>
      </c>
      <c r="AE2605" s="18" t="inlineStr"/>
      <c r="AF2605" s="18" t="inlineStr"/>
      <c r="AG2605" s="18" t="inlineStr">
        <is>
          <t>#cobblemon:shipwreck_cove</t>
        </is>
      </c>
      <c r="AH2605" s="18" t="inlineStr"/>
      <c r="AI2605" s="18" t="inlineStr"/>
      <c r="AJ2605" s="18" t="inlineStr">
        <is>
          <t>Cobblemon 동일</t>
        </is>
      </c>
      <c r="AK2605" s="18" t="inlineStr">
        <is>
          <t>사용</t>
        </is>
      </c>
      <c r="AL2605" s="18" t="inlineStr">
        <is>
          <t>COBBLEVERSE 1.7.42 / DP v31</t>
        </is>
      </c>
      <c r="AM2605" s="18" t="inlineStr">
        <is>
          <t>data/cobblemon/spawn_pool_world/0781_dhelmise.json</t>
        </is>
      </c>
      <c r="AN2605" s="18" t="inlineStr">
        <is>
          <t>dhelmise-9</t>
        </is>
      </c>
      <c r="AO2605" s="18" t="inlineStr">
        <is>
          <t>pokemon</t>
        </is>
      </c>
      <c r="AP2605" s="18" t="inlineStr"/>
      <c r="AQ2605" s="18" t="inlineStr">
        <is>
          <t>{"biomes":["#cobblemon:is_ocean"],"maxY":13,"minY":-60,"structures":["#cobblemon:shipwreck_cove"]}</t>
        </is>
      </c>
      <c r="AR2605" s="18" t="inlineStr"/>
      <c r="AS2605" s="18" t="inlineStr"/>
      <c r="AT2605" s="19" t="inlineStr"/>
    </row>
    <row r="2606" ht="32" customHeight="1">
      <c r="A2606" s="18" t="inlineStr">
        <is>
          <t>0782_jangmoo.json::jangmoo-1::001</t>
        </is>
      </c>
      <c r="B2606" s="19" t="inlineStr">
        <is>
          <t>사용</t>
        </is>
      </c>
      <c r="C2606" s="18">
        <f>IF(OR(B2606&lt;&gt;AK2606,M2606&lt;&gt;L2606,O2606&lt;&gt;"",Q2606&lt;&gt;"",V2606&lt;&gt;1,Y2606&lt;&gt;"",AT2606&lt;&gt;""),"수정","원본")</f>
        <v/>
      </c>
      <c r="D2606" s="18" t="n">
        <v>782</v>
      </c>
      <c r="E2606" s="18" t="inlineStr">
        <is>
          <t>짜랑꼬</t>
        </is>
      </c>
      <c r="F2606" s="18" t="inlineStr">
        <is>
          <t>jangmoo</t>
        </is>
      </c>
      <c r="G2606" s="18" t="inlineStr">
        <is>
          <t>jangmoo</t>
        </is>
      </c>
      <c r="H2606" s="18" t="inlineStr"/>
      <c r="I2606" s="18" t="n">
        <v>7</v>
      </c>
      <c r="J2606" s="18" t="n"/>
      <c r="K2606" s="18" t="n">
        <v>7</v>
      </c>
      <c r="L2606" s="18" t="inlineStr">
        <is>
          <t>cobbleventure:generation_7</t>
        </is>
      </c>
      <c r="M2606" s="19" t="inlineStr">
        <is>
          <t>cobbleventure:generation_7</t>
        </is>
      </c>
      <c r="N2606" s="18" t="inlineStr"/>
      <c r="O2606" s="19" t="inlineStr"/>
      <c r="P2606" s="18" t="inlineStr">
        <is>
          <t>#cobblemon:is_jungle</t>
        </is>
      </c>
      <c r="Q2606" s="19" t="inlineStr"/>
      <c r="R2606" s="18">
        <f>IF(Q2606="",P2606,Q2606)</f>
        <v/>
      </c>
      <c r="S2606" s="18" t="inlineStr"/>
      <c r="T2606" s="18" t="inlineStr">
        <is>
          <t>ultra-rare</t>
        </is>
      </c>
      <c r="U2606" s="20" t="n">
        <v>6</v>
      </c>
      <c r="V2606" s="21" t="n">
        <v>1</v>
      </c>
      <c r="W2606" s="20">
        <f>IF(OR(U2606="",V2606=""),U2606,U2606*V2606)</f>
        <v/>
      </c>
      <c r="X2606" s="18" t="inlineStr">
        <is>
          <t>5-30</t>
        </is>
      </c>
      <c r="Y2606" s="19" t="inlineStr"/>
      <c r="Z2606" s="18">
        <f>IF(Y2606="",X2606,Y2606)</f>
        <v/>
      </c>
      <c r="AA2606" s="18" t="inlineStr">
        <is>
          <t>grounded</t>
        </is>
      </c>
      <c r="AB2606" s="18" t="inlineStr"/>
      <c r="AC2606" s="18" t="inlineStr"/>
      <c r="AD2606" s="18" t="inlineStr">
        <is>
          <t>minY=0</t>
        </is>
      </c>
      <c r="AE2606" s="18" t="inlineStr"/>
      <c r="AF2606" s="18" t="inlineStr"/>
      <c r="AG2606" s="18" t="inlineStr"/>
      <c r="AH2606" s="18" t="inlineStr"/>
      <c r="AI2606" s="18" t="inlineStr"/>
      <c r="AJ2606" s="18" t="inlineStr">
        <is>
          <t>Cobblemon 동일</t>
        </is>
      </c>
      <c r="AK2606" s="18" t="inlineStr">
        <is>
          <t>사용</t>
        </is>
      </c>
      <c r="AL2606" s="18" t="inlineStr">
        <is>
          <t>COBBLEVERSE 1.7.42 / DP v31</t>
        </is>
      </c>
      <c r="AM2606" s="18" t="inlineStr">
        <is>
          <t>data/cobblemon/spawn_pool_world/0782_jangmoo.json</t>
        </is>
      </c>
      <c r="AN2606" s="18" t="inlineStr">
        <is>
          <t>jangmoo-1</t>
        </is>
      </c>
      <c r="AO2606" s="18" t="inlineStr">
        <is>
          <t>pokemon</t>
        </is>
      </c>
      <c r="AP2606" s="18" t="inlineStr">
        <is>
          <t>natural; wild</t>
        </is>
      </c>
      <c r="AQ2606" s="18" t="inlineStr">
        <is>
          <t>{"biomes":["#cobblemon:is_jungle"],"minY":0}</t>
        </is>
      </c>
      <c r="AR2606" s="18" t="inlineStr"/>
      <c r="AS2606" s="18" t="inlineStr"/>
      <c r="AT2606" s="19" t="inlineStr"/>
    </row>
    <row r="2607" ht="32" customHeight="1">
      <c r="A2607" s="18" t="inlineStr">
        <is>
          <t>0782_jangmoo.json::jangmoo-2::002</t>
        </is>
      </c>
      <c r="B2607" s="19" t="inlineStr">
        <is>
          <t>사용</t>
        </is>
      </c>
      <c r="C2607" s="18">
        <f>IF(OR(B2607&lt;&gt;AK2607,M2607&lt;&gt;L2607,O2607&lt;&gt;"",Q2607&lt;&gt;"",V2607&lt;&gt;1,Y2607&lt;&gt;"",AT2607&lt;&gt;""),"수정","원본")</f>
        <v/>
      </c>
      <c r="D2607" s="18" t="n">
        <v>782</v>
      </c>
      <c r="E2607" s="18" t="inlineStr">
        <is>
          <t>짜랑꼬</t>
        </is>
      </c>
      <c r="F2607" s="18" t="inlineStr">
        <is>
          <t>jangmoo</t>
        </is>
      </c>
      <c r="G2607" s="18" t="inlineStr">
        <is>
          <t>jangmoo</t>
        </is>
      </c>
      <c r="H2607" s="18" t="inlineStr"/>
      <c r="I2607" s="18" t="n">
        <v>7</v>
      </c>
      <c r="J2607" s="18" t="n"/>
      <c r="K2607" s="18" t="n">
        <v>7</v>
      </c>
      <c r="L2607" s="18" t="inlineStr">
        <is>
          <t>cobbleventure:generation_7</t>
        </is>
      </c>
      <c r="M2607" s="19" t="inlineStr">
        <is>
          <t>cobbleventure:generation_7</t>
        </is>
      </c>
      <c r="N2607" s="18" t="inlineStr"/>
      <c r="O2607" s="19" t="inlineStr"/>
      <c r="P2607" s="18" t="inlineStr">
        <is>
          <t>#cobblemon:is_tropical_island</t>
        </is>
      </c>
      <c r="Q2607" s="19" t="inlineStr"/>
      <c r="R2607" s="18">
        <f>IF(Q2607="",P2607,Q2607)</f>
        <v/>
      </c>
      <c r="S2607" s="18" t="inlineStr"/>
      <c r="T2607" s="18" t="inlineStr">
        <is>
          <t>rare</t>
        </is>
      </c>
      <c r="U2607" s="20" t="n">
        <v>7.5</v>
      </c>
      <c r="V2607" s="21" t="n">
        <v>1</v>
      </c>
      <c r="W2607" s="20">
        <f>IF(OR(U2607="",V2607=""),U2607,U2607*V2607)</f>
        <v/>
      </c>
      <c r="X2607" s="18" t="inlineStr">
        <is>
          <t>5-30</t>
        </is>
      </c>
      <c r="Y2607" s="19" t="inlineStr"/>
      <c r="Z2607" s="18">
        <f>IF(Y2607="",X2607,Y2607)</f>
        <v/>
      </c>
      <c r="AA2607" s="18" t="inlineStr">
        <is>
          <t>grounded</t>
        </is>
      </c>
      <c r="AB2607" s="18" t="inlineStr"/>
      <c r="AC2607" s="18" t="inlineStr"/>
      <c r="AD2607" s="18" t="inlineStr">
        <is>
          <t>minY=0</t>
        </is>
      </c>
      <c r="AE2607" s="18" t="inlineStr"/>
      <c r="AF2607" s="18" t="inlineStr"/>
      <c r="AG2607" s="18" t="inlineStr"/>
      <c r="AH2607" s="18" t="inlineStr"/>
      <c r="AI2607" s="18" t="inlineStr"/>
      <c r="AJ2607" s="18" t="inlineStr">
        <is>
          <t>Cobblemon 동일</t>
        </is>
      </c>
      <c r="AK2607" s="18" t="inlineStr">
        <is>
          <t>사용</t>
        </is>
      </c>
      <c r="AL2607" s="18" t="inlineStr">
        <is>
          <t>COBBLEVERSE 1.7.42 / DP v31</t>
        </is>
      </c>
      <c r="AM2607" s="18" t="inlineStr">
        <is>
          <t>data/cobblemon/spawn_pool_world/0782_jangmoo.json</t>
        </is>
      </c>
      <c r="AN2607" s="18" t="inlineStr">
        <is>
          <t>jangmoo-2</t>
        </is>
      </c>
      <c r="AO2607" s="18" t="inlineStr">
        <is>
          <t>pokemon</t>
        </is>
      </c>
      <c r="AP2607" s="18" t="inlineStr">
        <is>
          <t>natural; wild</t>
        </is>
      </c>
      <c r="AQ2607" s="18" t="inlineStr">
        <is>
          <t>{"biomes":["#cobblemon:is_tropical_island"],"minY":0}</t>
        </is>
      </c>
      <c r="AR2607" s="18" t="inlineStr"/>
      <c r="AS2607" s="18" t="inlineStr"/>
      <c r="AT2607" s="19" t="inlineStr"/>
    </row>
    <row r="2608" ht="32" customHeight="1">
      <c r="A2608" s="18" t="inlineStr">
        <is>
          <t>0783_hakamoo.json::hakamoo-1::001</t>
        </is>
      </c>
      <c r="B2608" s="19" t="inlineStr">
        <is>
          <t>사용</t>
        </is>
      </c>
      <c r="C2608" s="18">
        <f>IF(OR(B2608&lt;&gt;AK2608,M2608&lt;&gt;L2608,O2608&lt;&gt;"",Q2608&lt;&gt;"",V2608&lt;&gt;1,Y2608&lt;&gt;"",AT2608&lt;&gt;""),"수정","원본")</f>
        <v/>
      </c>
      <c r="D2608" s="18" t="n">
        <v>783</v>
      </c>
      <c r="E2608" s="18" t="inlineStr">
        <is>
          <t>짜랑고우</t>
        </is>
      </c>
      <c r="F2608" s="18" t="inlineStr">
        <is>
          <t>hakamoo</t>
        </is>
      </c>
      <c r="G2608" s="18" t="inlineStr">
        <is>
          <t>hakamoo</t>
        </is>
      </c>
      <c r="H2608" s="18" t="inlineStr"/>
      <c r="I2608" s="18" t="n">
        <v>7</v>
      </c>
      <c r="J2608" s="18" t="n"/>
      <c r="K2608" s="18" t="n">
        <v>7</v>
      </c>
      <c r="L2608" s="18" t="inlineStr">
        <is>
          <t>cobbleventure:generation_7</t>
        </is>
      </c>
      <c r="M2608" s="19" t="inlineStr">
        <is>
          <t>cobbleventure:generation_7</t>
        </is>
      </c>
      <c r="N2608" s="18" t="inlineStr"/>
      <c r="O2608" s="19" t="inlineStr"/>
      <c r="P2608" s="18" t="inlineStr">
        <is>
          <t>#cobblemon:is_jungle</t>
        </is>
      </c>
      <c r="Q2608" s="19" t="inlineStr"/>
      <c r="R2608" s="18">
        <f>IF(Q2608="",P2608,Q2608)</f>
        <v/>
      </c>
      <c r="S2608" s="18" t="inlineStr"/>
      <c r="T2608" s="18" t="inlineStr">
        <is>
          <t>ultra-rare</t>
        </is>
      </c>
      <c r="U2608" s="20" t="n">
        <v>3.6</v>
      </c>
      <c r="V2608" s="21" t="n">
        <v>1</v>
      </c>
      <c r="W2608" s="20">
        <f>IF(OR(U2608="",V2608=""),U2608,U2608*V2608)</f>
        <v/>
      </c>
      <c r="X2608" s="18" t="inlineStr">
        <is>
          <t>35-42</t>
        </is>
      </c>
      <c r="Y2608" s="19" t="inlineStr"/>
      <c r="Z2608" s="18">
        <f>IF(Y2608="",X2608,Y2608)</f>
        <v/>
      </c>
      <c r="AA2608" s="18" t="inlineStr">
        <is>
          <t>grounded</t>
        </is>
      </c>
      <c r="AB2608" s="18" t="inlineStr"/>
      <c r="AC2608" s="18" t="inlineStr"/>
      <c r="AD2608" s="18" t="inlineStr">
        <is>
          <t>minY=0</t>
        </is>
      </c>
      <c r="AE2608" s="18" t="inlineStr"/>
      <c r="AF2608" s="18" t="inlineStr"/>
      <c r="AG2608" s="18" t="inlineStr"/>
      <c r="AH2608" s="18" t="inlineStr"/>
      <c r="AI2608" s="18" t="inlineStr"/>
      <c r="AJ2608" s="18" t="inlineStr">
        <is>
          <t>Cobblemon 동일</t>
        </is>
      </c>
      <c r="AK2608" s="18" t="inlineStr">
        <is>
          <t>사용</t>
        </is>
      </c>
      <c r="AL2608" s="18" t="inlineStr">
        <is>
          <t>COBBLEVERSE 1.7.42 / DP v31</t>
        </is>
      </c>
      <c r="AM2608" s="18" t="inlineStr">
        <is>
          <t>data/cobblemon/spawn_pool_world/0783_hakamoo.json</t>
        </is>
      </c>
      <c r="AN2608" s="18" t="inlineStr">
        <is>
          <t>hakamoo-1</t>
        </is>
      </c>
      <c r="AO2608" s="18" t="inlineStr">
        <is>
          <t>pokemon</t>
        </is>
      </c>
      <c r="AP2608" s="18" t="inlineStr">
        <is>
          <t>natural; wild</t>
        </is>
      </c>
      <c r="AQ2608" s="18" t="inlineStr">
        <is>
          <t>{"biomes":["#cobblemon:is_jungle"],"minY":0}</t>
        </is>
      </c>
      <c r="AR2608" s="18" t="inlineStr"/>
      <c r="AS2608" s="18" t="inlineStr"/>
      <c r="AT2608" s="19" t="inlineStr"/>
    </row>
    <row r="2609" ht="32" customHeight="1">
      <c r="A2609" s="18" t="inlineStr">
        <is>
          <t>0783_hakamoo.json::hakamoo-2::002</t>
        </is>
      </c>
      <c r="B2609" s="19" t="inlineStr">
        <is>
          <t>사용</t>
        </is>
      </c>
      <c r="C2609" s="18">
        <f>IF(OR(B2609&lt;&gt;AK2609,M2609&lt;&gt;L2609,O2609&lt;&gt;"",Q2609&lt;&gt;"",V2609&lt;&gt;1,Y2609&lt;&gt;"",AT2609&lt;&gt;""),"수정","원본")</f>
        <v/>
      </c>
      <c r="D2609" s="18" t="n">
        <v>783</v>
      </c>
      <c r="E2609" s="18" t="inlineStr">
        <is>
          <t>짜랑고우</t>
        </is>
      </c>
      <c r="F2609" s="18" t="inlineStr">
        <is>
          <t>hakamoo</t>
        </is>
      </c>
      <c r="G2609" s="18" t="inlineStr">
        <is>
          <t>hakamoo</t>
        </is>
      </c>
      <c r="H2609" s="18" t="inlineStr"/>
      <c r="I2609" s="18" t="n">
        <v>7</v>
      </c>
      <c r="J2609" s="18" t="n"/>
      <c r="K2609" s="18" t="n">
        <v>7</v>
      </c>
      <c r="L2609" s="18" t="inlineStr">
        <is>
          <t>cobbleventure:generation_7</t>
        </is>
      </c>
      <c r="M2609" s="19" t="inlineStr">
        <is>
          <t>cobbleventure:generation_7</t>
        </is>
      </c>
      <c r="N2609" s="18" t="inlineStr"/>
      <c r="O2609" s="19" t="inlineStr"/>
      <c r="P2609" s="18" t="inlineStr">
        <is>
          <t>#cobblemon:is_tropical_island</t>
        </is>
      </c>
      <c r="Q2609" s="19" t="inlineStr"/>
      <c r="R2609" s="18">
        <f>IF(Q2609="",P2609,Q2609)</f>
        <v/>
      </c>
      <c r="S2609" s="18" t="inlineStr"/>
      <c r="T2609" s="18" t="inlineStr">
        <is>
          <t>rare</t>
        </is>
      </c>
      <c r="U2609" s="20" t="n">
        <v>2.25</v>
      </c>
      <c r="V2609" s="21" t="n">
        <v>1</v>
      </c>
      <c r="W2609" s="20">
        <f>IF(OR(U2609="",V2609=""),U2609,U2609*V2609)</f>
        <v/>
      </c>
      <c r="X2609" s="18" t="inlineStr">
        <is>
          <t>35-42</t>
        </is>
      </c>
      <c r="Y2609" s="19" t="inlineStr"/>
      <c r="Z2609" s="18">
        <f>IF(Y2609="",X2609,Y2609)</f>
        <v/>
      </c>
      <c r="AA2609" s="18" t="inlineStr">
        <is>
          <t>grounded</t>
        </is>
      </c>
      <c r="AB2609" s="18" t="inlineStr"/>
      <c r="AC2609" s="18" t="inlineStr"/>
      <c r="AD2609" s="18" t="inlineStr">
        <is>
          <t>minY=0</t>
        </is>
      </c>
      <c r="AE2609" s="18" t="inlineStr"/>
      <c r="AF2609" s="18" t="inlineStr"/>
      <c r="AG2609" s="18" t="inlineStr"/>
      <c r="AH2609" s="18" t="inlineStr"/>
      <c r="AI2609" s="18" t="inlineStr"/>
      <c r="AJ2609" s="18" t="inlineStr">
        <is>
          <t>Cobblemon 동일</t>
        </is>
      </c>
      <c r="AK2609" s="18" t="inlineStr">
        <is>
          <t>사용</t>
        </is>
      </c>
      <c r="AL2609" s="18" t="inlineStr">
        <is>
          <t>COBBLEVERSE 1.7.42 / DP v31</t>
        </is>
      </c>
      <c r="AM2609" s="18" t="inlineStr">
        <is>
          <t>data/cobblemon/spawn_pool_world/0783_hakamoo.json</t>
        </is>
      </c>
      <c r="AN2609" s="18" t="inlineStr">
        <is>
          <t>hakamoo-2</t>
        </is>
      </c>
      <c r="AO2609" s="18" t="inlineStr">
        <is>
          <t>pokemon</t>
        </is>
      </c>
      <c r="AP2609" s="18" t="inlineStr">
        <is>
          <t>natural; wild</t>
        </is>
      </c>
      <c r="AQ2609" s="18" t="inlineStr">
        <is>
          <t>{"biomes":["#cobblemon:is_tropical_island"],"minY":0}</t>
        </is>
      </c>
      <c r="AR2609" s="18" t="inlineStr"/>
      <c r="AS2609" s="18" t="inlineStr"/>
      <c r="AT2609" s="19" t="inlineStr"/>
    </row>
    <row r="2610" ht="32" customHeight="1">
      <c r="A2610" s="18" t="inlineStr">
        <is>
          <t>0784_kommoo.json::kommoo-1::001</t>
        </is>
      </c>
      <c r="B2610" s="19" t="inlineStr">
        <is>
          <t>사용</t>
        </is>
      </c>
      <c r="C2610" s="18">
        <f>IF(OR(B2610&lt;&gt;AK2610,M2610&lt;&gt;L2610,O2610&lt;&gt;"",Q2610&lt;&gt;"",V2610&lt;&gt;1,Y2610&lt;&gt;"",AT2610&lt;&gt;""),"수정","원본")</f>
        <v/>
      </c>
      <c r="D2610" s="18" t="n">
        <v>784</v>
      </c>
      <c r="E2610" s="18" t="inlineStr">
        <is>
          <t>짜랑고우거</t>
        </is>
      </c>
      <c r="F2610" s="18" t="inlineStr">
        <is>
          <t>kommoo</t>
        </is>
      </c>
      <c r="G2610" s="18" t="inlineStr">
        <is>
          <t>kommoo</t>
        </is>
      </c>
      <c r="H2610" s="18" t="inlineStr"/>
      <c r="I2610" s="18" t="n">
        <v>7</v>
      </c>
      <c r="J2610" s="18" t="n"/>
      <c r="K2610" s="18" t="n">
        <v>7</v>
      </c>
      <c r="L2610" s="18" t="inlineStr">
        <is>
          <t>cobbleventure:generation_7</t>
        </is>
      </c>
      <c r="M2610" s="19" t="inlineStr">
        <is>
          <t>cobbleventure:generation_7</t>
        </is>
      </c>
      <c r="N2610" s="18" t="inlineStr"/>
      <c r="O2610" s="19" t="inlineStr"/>
      <c r="P2610" s="18" t="inlineStr">
        <is>
          <t>#cobblemon:is_jungle</t>
        </is>
      </c>
      <c r="Q2610" s="19" t="inlineStr"/>
      <c r="R2610" s="18">
        <f>IF(Q2610="",P2610,Q2610)</f>
        <v/>
      </c>
      <c r="S2610" s="18" t="inlineStr"/>
      <c r="T2610" s="18" t="inlineStr">
        <is>
          <t>ultra-rare</t>
        </is>
      </c>
      <c r="U2610" s="20" t="n">
        <v>0.4</v>
      </c>
      <c r="V2610" s="21" t="n">
        <v>1</v>
      </c>
      <c r="W2610" s="20">
        <f>IF(OR(U2610="",V2610=""),U2610,U2610*V2610)</f>
        <v/>
      </c>
      <c r="X2610" s="18" t="inlineStr">
        <is>
          <t>45-60</t>
        </is>
      </c>
      <c r="Y2610" s="19" t="inlineStr"/>
      <c r="Z2610" s="18">
        <f>IF(Y2610="",X2610,Y2610)</f>
        <v/>
      </c>
      <c r="AA2610" s="18" t="inlineStr">
        <is>
          <t>grounded</t>
        </is>
      </c>
      <c r="AB2610" s="18" t="inlineStr"/>
      <c r="AC2610" s="18" t="inlineStr"/>
      <c r="AD2610" s="18" t="inlineStr">
        <is>
          <t>minY=0</t>
        </is>
      </c>
      <c r="AE2610" s="18" t="inlineStr"/>
      <c r="AF2610" s="18" t="inlineStr"/>
      <c r="AG2610" s="18" t="inlineStr"/>
      <c r="AH2610" s="18" t="inlineStr"/>
      <c r="AI2610" s="18" t="inlineStr"/>
      <c r="AJ2610" s="18" t="inlineStr">
        <is>
          <t>Cobblemon 동일</t>
        </is>
      </c>
      <c r="AK2610" s="18" t="inlineStr">
        <is>
          <t>사용</t>
        </is>
      </c>
      <c r="AL2610" s="18" t="inlineStr">
        <is>
          <t>COBBLEVERSE 1.7.42 / DP v31</t>
        </is>
      </c>
      <c r="AM2610" s="18" t="inlineStr">
        <is>
          <t>data/cobblemon/spawn_pool_world/0784_kommoo.json</t>
        </is>
      </c>
      <c r="AN2610" s="18" t="inlineStr">
        <is>
          <t>kommoo-1</t>
        </is>
      </c>
      <c r="AO2610" s="18" t="inlineStr">
        <is>
          <t>pokemon</t>
        </is>
      </c>
      <c r="AP2610" s="18" t="inlineStr">
        <is>
          <t>natural; wild</t>
        </is>
      </c>
      <c r="AQ2610" s="18" t="inlineStr">
        <is>
          <t>{"biomes":["#cobblemon:is_jungle"],"minY":0}</t>
        </is>
      </c>
      <c r="AR2610" s="18" t="inlineStr"/>
      <c r="AS2610" s="18" t="inlineStr"/>
      <c r="AT2610" s="19" t="inlineStr"/>
    </row>
    <row r="2611" ht="32" customHeight="1">
      <c r="A2611" s="18" t="inlineStr">
        <is>
          <t>0784_kommoo.json::kommoo-2::002</t>
        </is>
      </c>
      <c r="B2611" s="19" t="inlineStr">
        <is>
          <t>사용</t>
        </is>
      </c>
      <c r="C2611" s="18">
        <f>IF(OR(B2611&lt;&gt;AK2611,M2611&lt;&gt;L2611,O2611&lt;&gt;"",Q2611&lt;&gt;"",V2611&lt;&gt;1,Y2611&lt;&gt;"",AT2611&lt;&gt;""),"수정","원본")</f>
        <v/>
      </c>
      <c r="D2611" s="18" t="n">
        <v>784</v>
      </c>
      <c r="E2611" s="18" t="inlineStr">
        <is>
          <t>짜랑고우거</t>
        </is>
      </c>
      <c r="F2611" s="18" t="inlineStr">
        <is>
          <t>kommoo</t>
        </is>
      </c>
      <c r="G2611" s="18" t="inlineStr">
        <is>
          <t>kommoo</t>
        </is>
      </c>
      <c r="H2611" s="18" t="inlineStr"/>
      <c r="I2611" s="18" t="n">
        <v>7</v>
      </c>
      <c r="J2611" s="18" t="n"/>
      <c r="K2611" s="18" t="n">
        <v>7</v>
      </c>
      <c r="L2611" s="18" t="inlineStr">
        <is>
          <t>cobbleventure:generation_7</t>
        </is>
      </c>
      <c r="M2611" s="19" t="inlineStr">
        <is>
          <t>cobbleventure:generation_7</t>
        </is>
      </c>
      <c r="N2611" s="18" t="inlineStr"/>
      <c r="O2611" s="19" t="inlineStr"/>
      <c r="P2611" s="18" t="inlineStr">
        <is>
          <t>#cobblemon:is_tropical_island</t>
        </is>
      </c>
      <c r="Q2611" s="19" t="inlineStr"/>
      <c r="R2611" s="18">
        <f>IF(Q2611="",P2611,Q2611)</f>
        <v/>
      </c>
      <c r="S2611" s="18" t="inlineStr"/>
      <c r="T2611" s="18" t="inlineStr">
        <is>
          <t>rare</t>
        </is>
      </c>
      <c r="U2611" s="20" t="n">
        <v>0.25</v>
      </c>
      <c r="V2611" s="21" t="n">
        <v>1</v>
      </c>
      <c r="W2611" s="20">
        <f>IF(OR(U2611="",V2611=""),U2611,U2611*V2611)</f>
        <v/>
      </c>
      <c r="X2611" s="18" t="inlineStr">
        <is>
          <t>45-60</t>
        </is>
      </c>
      <c r="Y2611" s="19" t="inlineStr"/>
      <c r="Z2611" s="18">
        <f>IF(Y2611="",X2611,Y2611)</f>
        <v/>
      </c>
      <c r="AA2611" s="18" t="inlineStr">
        <is>
          <t>grounded</t>
        </is>
      </c>
      <c r="AB2611" s="18" t="inlineStr"/>
      <c r="AC2611" s="18" t="inlineStr"/>
      <c r="AD2611" s="18" t="inlineStr">
        <is>
          <t>minY=0</t>
        </is>
      </c>
      <c r="AE2611" s="18" t="inlineStr"/>
      <c r="AF2611" s="18" t="inlineStr"/>
      <c r="AG2611" s="18" t="inlineStr"/>
      <c r="AH2611" s="18" t="inlineStr"/>
      <c r="AI2611" s="18" t="inlineStr"/>
      <c r="AJ2611" s="18" t="inlineStr">
        <is>
          <t>Cobblemon 동일</t>
        </is>
      </c>
      <c r="AK2611" s="18" t="inlineStr">
        <is>
          <t>사용</t>
        </is>
      </c>
      <c r="AL2611" s="18" t="inlineStr">
        <is>
          <t>COBBLEVERSE 1.7.42 / DP v31</t>
        </is>
      </c>
      <c r="AM2611" s="18" t="inlineStr">
        <is>
          <t>data/cobblemon/spawn_pool_world/0784_kommoo.json</t>
        </is>
      </c>
      <c r="AN2611" s="18" t="inlineStr">
        <is>
          <t>kommoo-2</t>
        </is>
      </c>
      <c r="AO2611" s="18" t="inlineStr">
        <is>
          <t>pokemon</t>
        </is>
      </c>
      <c r="AP2611" s="18" t="inlineStr">
        <is>
          <t>natural; wild</t>
        </is>
      </c>
      <c r="AQ2611" s="18" t="inlineStr">
        <is>
          <t>{"biomes":["#cobblemon:is_tropical_island"],"minY":0}</t>
        </is>
      </c>
      <c r="AR2611" s="18" t="inlineStr"/>
      <c r="AS2611" s="18" t="inlineStr"/>
      <c r="AT2611" s="19" t="inlineStr"/>
    </row>
    <row r="2612" ht="32" customHeight="1">
      <c r="A2612" s="18" t="inlineStr">
        <is>
          <t>0785_tapukoko.json::tapukoko-1::001</t>
        </is>
      </c>
      <c r="B2612" s="19" t="inlineStr">
        <is>
          <t>사용</t>
        </is>
      </c>
      <c r="C2612" s="18">
        <f>IF(OR(B2612&lt;&gt;AK2612,M2612&lt;&gt;L2612,O2612&lt;&gt;"",Q2612&lt;&gt;"",V2612&lt;&gt;1,Y2612&lt;&gt;"",AT2612&lt;&gt;""),"수정","원본")</f>
        <v/>
      </c>
      <c r="D2612" s="18" t="n">
        <v>785</v>
      </c>
      <c r="E2612" s="18" t="inlineStr">
        <is>
          <t>카푸꼬꼬꼭</t>
        </is>
      </c>
      <c r="F2612" s="18" t="inlineStr">
        <is>
          <t>tapukoko</t>
        </is>
      </c>
      <c r="G2612" s="18" t="inlineStr">
        <is>
          <t>tapukoko</t>
        </is>
      </c>
      <c r="H2612" s="18" t="inlineStr"/>
      <c r="I2612" s="18" t="n">
        <v>7</v>
      </c>
      <c r="J2612" s="18" t="n"/>
      <c r="K2612" s="18" t="n">
        <v>7</v>
      </c>
      <c r="L2612" s="18" t="inlineStr">
        <is>
          <t>cobbleventure:generation_7</t>
        </is>
      </c>
      <c r="M2612" s="19" t="inlineStr">
        <is>
          <t>cobbleventure:generation_7</t>
        </is>
      </c>
      <c r="N2612" s="18" t="inlineStr"/>
      <c r="O2612" s="19" t="inlineStr"/>
      <c r="P2612" s="18" t="inlineStr">
        <is>
          <t>#cobblemon:is_savanna; #cobblemon:is_jungle</t>
        </is>
      </c>
      <c r="Q2612" s="19" t="inlineStr"/>
      <c r="R2612" s="18">
        <f>IF(Q2612="",P2612,Q2612)</f>
        <v/>
      </c>
      <c r="S2612" s="18" t="inlineStr"/>
      <c r="T2612" s="18" t="inlineStr">
        <is>
          <t>ultra-rare</t>
        </is>
      </c>
      <c r="U2612" s="20" t="n">
        <v>1</v>
      </c>
      <c r="V2612" s="21" t="n">
        <v>1</v>
      </c>
      <c r="W2612" s="20">
        <f>IF(OR(U2612="",V2612=""),U2612,U2612*V2612)</f>
        <v/>
      </c>
      <c r="X2612" s="18" t="inlineStr">
        <is>
          <t>50-70</t>
        </is>
      </c>
      <c r="Y2612" s="19" t="inlineStr"/>
      <c r="Z2612" s="18">
        <f>IF(Y2612="",X2612,Y2612)</f>
        <v/>
      </c>
      <c r="AA2612" s="18" t="inlineStr">
        <is>
          <t>grounded</t>
        </is>
      </c>
      <c r="AB2612" s="18" t="inlineStr"/>
      <c r="AC2612" s="18" t="inlineStr"/>
      <c r="AD2612" s="18" t="inlineStr"/>
      <c r="AE2612" s="18" t="inlineStr"/>
      <c r="AF2612" s="18" t="inlineStr">
        <is>
          <t>True</t>
        </is>
      </c>
      <c r="AG2612" s="18" t="inlineStr"/>
      <c r="AH2612" s="18" t="inlineStr"/>
      <c r="AI2612" s="18" t="inlineStr"/>
      <c r="AJ2612" s="18" t="inlineStr">
        <is>
          <t>COBBLEVERSE 추가</t>
        </is>
      </c>
      <c r="AK2612" s="18" t="inlineStr">
        <is>
          <t>사용</t>
        </is>
      </c>
      <c r="AL2612" s="18" t="inlineStr">
        <is>
          <t>COBBLEVERSE 1.7.42 / DP v31</t>
        </is>
      </c>
      <c r="AM2612" s="18" t="inlineStr">
        <is>
          <t>data/cobblemon/spawn_pool_world/0785_tapukoko.json</t>
        </is>
      </c>
      <c r="AN2612" s="18" t="inlineStr">
        <is>
          <t>tapukoko-1</t>
        </is>
      </c>
      <c r="AO2612" s="18" t="inlineStr">
        <is>
          <t>pokemon</t>
        </is>
      </c>
      <c r="AP2612" s="18" t="inlineStr">
        <is>
          <t>natural</t>
        </is>
      </c>
      <c r="AQ2612" s="18" t="inlineStr">
        <is>
          <t>{"biomes":["#cobblemon:is_savanna","#cobblemon:is_jungle"],"canSeeSky":true}</t>
        </is>
      </c>
      <c r="AR2612" s="18" t="inlineStr"/>
      <c r="AS2612" s="18" t="inlineStr"/>
      <c r="AT2612" s="19" t="inlineStr"/>
    </row>
    <row r="2613" ht="32" customHeight="1">
      <c r="A2613" s="18" t="inlineStr">
        <is>
          <t>0786_tapulele.json::tapulele-1::001</t>
        </is>
      </c>
      <c r="B2613" s="19" t="inlineStr">
        <is>
          <t>사용</t>
        </is>
      </c>
      <c r="C2613" s="18">
        <f>IF(OR(B2613&lt;&gt;AK2613,M2613&lt;&gt;L2613,O2613&lt;&gt;"",Q2613&lt;&gt;"",V2613&lt;&gt;1,Y2613&lt;&gt;"",AT2613&lt;&gt;""),"수정","원본")</f>
        <v/>
      </c>
      <c r="D2613" s="18" t="n">
        <v>786</v>
      </c>
      <c r="E2613" s="18" t="inlineStr">
        <is>
          <t>카푸나비나</t>
        </is>
      </c>
      <c r="F2613" s="18" t="inlineStr">
        <is>
          <t>tapulele</t>
        </is>
      </c>
      <c r="G2613" s="18" t="inlineStr">
        <is>
          <t>tapulele</t>
        </is>
      </c>
      <c r="H2613" s="18" t="inlineStr"/>
      <c r="I2613" s="18" t="n">
        <v>7</v>
      </c>
      <c r="J2613" s="18" t="n"/>
      <c r="K2613" s="18" t="n">
        <v>7</v>
      </c>
      <c r="L2613" s="18" t="inlineStr">
        <is>
          <t>cobbleventure:generation_7</t>
        </is>
      </c>
      <c r="M2613" s="19" t="inlineStr">
        <is>
          <t>cobbleventure:generation_7</t>
        </is>
      </c>
      <c r="N2613" s="18" t="inlineStr"/>
      <c r="O2613" s="19" t="inlineStr"/>
      <c r="P2613" s="18" t="inlineStr">
        <is>
          <t>#cobblemon:is_floral; #minecraft:is_beach</t>
        </is>
      </c>
      <c r="Q2613" s="19" t="inlineStr"/>
      <c r="R2613" s="18">
        <f>IF(Q2613="",P2613,Q2613)</f>
        <v/>
      </c>
      <c r="S2613" s="18" t="inlineStr"/>
      <c r="T2613" s="18" t="inlineStr">
        <is>
          <t>ultra-rare</t>
        </is>
      </c>
      <c r="U2613" s="20" t="n">
        <v>1</v>
      </c>
      <c r="V2613" s="21" t="n">
        <v>1</v>
      </c>
      <c r="W2613" s="20">
        <f>IF(OR(U2613="",V2613=""),U2613,U2613*V2613)</f>
        <v/>
      </c>
      <c r="X2613" s="18" t="inlineStr">
        <is>
          <t>50-70</t>
        </is>
      </c>
      <c r="Y2613" s="19" t="inlineStr"/>
      <c r="Z2613" s="18">
        <f>IF(Y2613="",X2613,Y2613)</f>
        <v/>
      </c>
      <c r="AA2613" s="18" t="inlineStr">
        <is>
          <t>grounded</t>
        </is>
      </c>
      <c r="AB2613" s="18" t="inlineStr"/>
      <c r="AC2613" s="18" t="inlineStr"/>
      <c r="AD2613" s="18" t="inlineStr"/>
      <c r="AE2613" s="18" t="inlineStr"/>
      <c r="AF2613" s="18" t="inlineStr">
        <is>
          <t>True</t>
        </is>
      </c>
      <c r="AG2613" s="18" t="inlineStr"/>
      <c r="AH2613" s="18" t="inlineStr"/>
      <c r="AI2613" s="18" t="inlineStr"/>
      <c r="AJ2613" s="18" t="inlineStr">
        <is>
          <t>COBBLEVERSE 추가</t>
        </is>
      </c>
      <c r="AK2613" s="18" t="inlineStr">
        <is>
          <t>사용</t>
        </is>
      </c>
      <c r="AL2613" s="18" t="inlineStr">
        <is>
          <t>COBBLEVERSE 1.7.42 / DP v31</t>
        </is>
      </c>
      <c r="AM2613" s="18" t="inlineStr">
        <is>
          <t>data/cobblemon/spawn_pool_world/0786_tapulele.json</t>
        </is>
      </c>
      <c r="AN2613" s="18" t="inlineStr">
        <is>
          <t>tapulele-1</t>
        </is>
      </c>
      <c r="AO2613" s="18" t="inlineStr">
        <is>
          <t>pokemon</t>
        </is>
      </c>
      <c r="AP2613" s="18" t="inlineStr">
        <is>
          <t>natural</t>
        </is>
      </c>
      <c r="AQ2613" s="18" t="inlineStr">
        <is>
          <t>{"biomes":["#cobblemon:is_floral","#minecraft:is_beach"],"canSeeSky":true}</t>
        </is>
      </c>
      <c r="AR2613" s="18" t="inlineStr"/>
      <c r="AS2613" s="18" t="inlineStr"/>
      <c r="AT2613" s="19" t="inlineStr"/>
    </row>
    <row r="2614" ht="32" customHeight="1">
      <c r="A2614" s="18" t="inlineStr">
        <is>
          <t>0787_tapubulu.json::tapubulu-1::001</t>
        </is>
      </c>
      <c r="B2614" s="19" t="inlineStr">
        <is>
          <t>사용</t>
        </is>
      </c>
      <c r="C2614" s="18">
        <f>IF(OR(B2614&lt;&gt;AK2614,M2614&lt;&gt;L2614,O2614&lt;&gt;"",Q2614&lt;&gt;"",V2614&lt;&gt;1,Y2614&lt;&gt;"",AT2614&lt;&gt;""),"수정","원본")</f>
        <v/>
      </c>
      <c r="D2614" s="18" t="n">
        <v>787</v>
      </c>
      <c r="E2614" s="18" t="inlineStr">
        <is>
          <t>카푸브루루</t>
        </is>
      </c>
      <c r="F2614" s="18" t="inlineStr">
        <is>
          <t>tapubulu</t>
        </is>
      </c>
      <c r="G2614" s="18" t="inlineStr">
        <is>
          <t>tapubulu</t>
        </is>
      </c>
      <c r="H2614" s="18" t="inlineStr"/>
      <c r="I2614" s="18" t="n">
        <v>7</v>
      </c>
      <c r="J2614" s="18" t="n"/>
      <c r="K2614" s="18" t="n">
        <v>7</v>
      </c>
      <c r="L2614" s="18" t="inlineStr">
        <is>
          <t>cobbleventure:generation_7</t>
        </is>
      </c>
      <c r="M2614" s="19" t="inlineStr">
        <is>
          <t>cobbleventure:generation_7</t>
        </is>
      </c>
      <c r="N2614" s="18" t="inlineStr"/>
      <c r="O2614" s="19" t="inlineStr"/>
      <c r="P2614" s="18" t="inlineStr">
        <is>
          <t>#cobblemon:is_river; #cobblemon:is_jungle</t>
        </is>
      </c>
      <c r="Q2614" s="19" t="inlineStr"/>
      <c r="R2614" s="18">
        <f>IF(Q2614="",P2614,Q2614)</f>
        <v/>
      </c>
      <c r="S2614" s="18" t="inlineStr"/>
      <c r="T2614" s="18" t="inlineStr">
        <is>
          <t>ultra-rare</t>
        </is>
      </c>
      <c r="U2614" s="20" t="n">
        <v>1</v>
      </c>
      <c r="V2614" s="21" t="n">
        <v>1</v>
      </c>
      <c r="W2614" s="20">
        <f>IF(OR(U2614="",V2614=""),U2614,U2614*V2614)</f>
        <v/>
      </c>
      <c r="X2614" s="18" t="inlineStr">
        <is>
          <t>50-70</t>
        </is>
      </c>
      <c r="Y2614" s="19" t="inlineStr"/>
      <c r="Z2614" s="18">
        <f>IF(Y2614="",X2614,Y2614)</f>
        <v/>
      </c>
      <c r="AA2614" s="18" t="inlineStr">
        <is>
          <t>grounded</t>
        </is>
      </c>
      <c r="AB2614" s="18" t="inlineStr"/>
      <c r="AC2614" s="18" t="inlineStr"/>
      <c r="AD2614" s="18" t="inlineStr"/>
      <c r="AE2614" s="18" t="inlineStr"/>
      <c r="AF2614" s="18" t="inlineStr">
        <is>
          <t>True</t>
        </is>
      </c>
      <c r="AG2614" s="18" t="inlineStr"/>
      <c r="AH2614" s="18" t="inlineStr"/>
      <c r="AI2614" s="18" t="inlineStr"/>
      <c r="AJ2614" s="18" t="inlineStr">
        <is>
          <t>COBBLEVERSE 추가</t>
        </is>
      </c>
      <c r="AK2614" s="18" t="inlineStr">
        <is>
          <t>사용</t>
        </is>
      </c>
      <c r="AL2614" s="18" t="inlineStr">
        <is>
          <t>COBBLEVERSE 1.7.42 / DP v31</t>
        </is>
      </c>
      <c r="AM2614" s="18" t="inlineStr">
        <is>
          <t>data/cobblemon/spawn_pool_world/0787_tapubulu.json</t>
        </is>
      </c>
      <c r="AN2614" s="18" t="inlineStr">
        <is>
          <t>tapubulu-1</t>
        </is>
      </c>
      <c r="AO2614" s="18" t="inlineStr">
        <is>
          <t>pokemon</t>
        </is>
      </c>
      <c r="AP2614" s="18" t="inlineStr">
        <is>
          <t>natural</t>
        </is>
      </c>
      <c r="AQ2614" s="18" t="inlineStr">
        <is>
          <t>{"biomes":["#cobblemon:is_river","#cobblemon:is_jungle"],"canSeeSky":true}</t>
        </is>
      </c>
      <c r="AR2614" s="18" t="inlineStr"/>
      <c r="AS2614" s="18" t="inlineStr"/>
      <c r="AT2614" s="19" t="inlineStr"/>
    </row>
    <row r="2615" ht="32" customHeight="1">
      <c r="A2615" s="18" t="inlineStr">
        <is>
          <t>0788_tapufini.json::tapufini-1::001</t>
        </is>
      </c>
      <c r="B2615" s="19" t="inlineStr">
        <is>
          <t>사용</t>
        </is>
      </c>
      <c r="C2615" s="18">
        <f>IF(OR(B2615&lt;&gt;AK2615,M2615&lt;&gt;L2615,O2615&lt;&gt;"",Q2615&lt;&gt;"",V2615&lt;&gt;1,Y2615&lt;&gt;"",AT2615&lt;&gt;""),"수정","원본")</f>
        <v/>
      </c>
      <c r="D2615" s="18" t="n">
        <v>788</v>
      </c>
      <c r="E2615" s="18" t="inlineStr">
        <is>
          <t>카푸느지느</t>
        </is>
      </c>
      <c r="F2615" s="18" t="inlineStr">
        <is>
          <t>tapufini</t>
        </is>
      </c>
      <c r="G2615" s="18" t="inlineStr">
        <is>
          <t>tapufini</t>
        </is>
      </c>
      <c r="H2615" s="18" t="inlineStr"/>
      <c r="I2615" s="18" t="n">
        <v>7</v>
      </c>
      <c r="J2615" s="18" t="n"/>
      <c r="K2615" s="18" t="n">
        <v>7</v>
      </c>
      <c r="L2615" s="18" t="inlineStr">
        <is>
          <t>cobbleventure:generation_7</t>
        </is>
      </c>
      <c r="M2615" s="19" t="inlineStr">
        <is>
          <t>cobbleventure:generation_7</t>
        </is>
      </c>
      <c r="N2615" s="18" t="inlineStr"/>
      <c r="O2615" s="19" t="inlineStr"/>
      <c r="P2615" s="18" t="inlineStr">
        <is>
          <t>#cobblemon:is_river; #minecraft:is_beach</t>
        </is>
      </c>
      <c r="Q2615" s="19" t="inlineStr"/>
      <c r="R2615" s="18">
        <f>IF(Q2615="",P2615,Q2615)</f>
        <v/>
      </c>
      <c r="S2615" s="18" t="inlineStr"/>
      <c r="T2615" s="18" t="inlineStr">
        <is>
          <t>ultra-rare</t>
        </is>
      </c>
      <c r="U2615" s="20" t="n">
        <v>1</v>
      </c>
      <c r="V2615" s="21" t="n">
        <v>1</v>
      </c>
      <c r="W2615" s="20">
        <f>IF(OR(U2615="",V2615=""),U2615,U2615*V2615)</f>
        <v/>
      </c>
      <c r="X2615" s="18" t="inlineStr">
        <is>
          <t>50-70</t>
        </is>
      </c>
      <c r="Y2615" s="19" t="inlineStr"/>
      <c r="Z2615" s="18">
        <f>IF(Y2615="",X2615,Y2615)</f>
        <v/>
      </c>
      <c r="AA2615" s="18" t="inlineStr">
        <is>
          <t>grounded</t>
        </is>
      </c>
      <c r="AB2615" s="18" t="inlineStr"/>
      <c r="AC2615" s="18" t="inlineStr"/>
      <c r="AD2615" s="18" t="inlineStr"/>
      <c r="AE2615" s="18" t="inlineStr"/>
      <c r="AF2615" s="18" t="inlineStr">
        <is>
          <t>True</t>
        </is>
      </c>
      <c r="AG2615" s="18" t="inlineStr"/>
      <c r="AH2615" s="18" t="inlineStr"/>
      <c r="AI2615" s="18" t="inlineStr"/>
      <c r="AJ2615" s="18" t="inlineStr">
        <is>
          <t>COBBLEVERSE 추가</t>
        </is>
      </c>
      <c r="AK2615" s="18" t="inlineStr">
        <is>
          <t>사용</t>
        </is>
      </c>
      <c r="AL2615" s="18" t="inlineStr">
        <is>
          <t>COBBLEVERSE 1.7.42 / DP v31</t>
        </is>
      </c>
      <c r="AM2615" s="18" t="inlineStr">
        <is>
          <t>data/cobblemon/spawn_pool_world/0788_tapufini.json</t>
        </is>
      </c>
      <c r="AN2615" s="18" t="inlineStr">
        <is>
          <t>tapufini-1</t>
        </is>
      </c>
      <c r="AO2615" s="18" t="inlineStr">
        <is>
          <t>pokemon</t>
        </is>
      </c>
      <c r="AP2615" s="18" t="inlineStr">
        <is>
          <t>natural</t>
        </is>
      </c>
      <c r="AQ2615" s="18" t="inlineStr">
        <is>
          <t>{"biomes":["#cobblemon:is_river","#minecraft:is_beach"],"canSeeSky":true}</t>
        </is>
      </c>
      <c r="AR2615" s="18" t="inlineStr"/>
      <c r="AS2615" s="18" t="inlineStr"/>
      <c r="AT2615" s="19" t="inlineStr"/>
    </row>
    <row r="2616" ht="32" customHeight="1">
      <c r="A2616" s="18" t="inlineStr">
        <is>
          <t>0789_cosmog.json::cosmog-1::001</t>
        </is>
      </c>
      <c r="B2616" s="19" t="inlineStr">
        <is>
          <t>사용</t>
        </is>
      </c>
      <c r="C2616" s="18">
        <f>IF(OR(B2616&lt;&gt;AK2616,M2616&lt;&gt;L2616,O2616&lt;&gt;"",Q2616&lt;&gt;"",V2616&lt;&gt;1,Y2616&lt;&gt;"",AT2616&lt;&gt;""),"수정","원본")</f>
        <v/>
      </c>
      <c r="D2616" s="18" t="n">
        <v>789</v>
      </c>
      <c r="E2616" s="18" t="inlineStr">
        <is>
          <t>코스모그</t>
        </is>
      </c>
      <c r="F2616" s="18" t="inlineStr">
        <is>
          <t>cosmog</t>
        </is>
      </c>
      <c r="G2616" s="18" t="inlineStr">
        <is>
          <t>cosmog</t>
        </is>
      </c>
      <c r="H2616" s="18" t="inlineStr"/>
      <c r="I2616" s="18" t="n">
        <v>7</v>
      </c>
      <c r="J2616" s="18" t="n"/>
      <c r="K2616" s="18" t="n">
        <v>7</v>
      </c>
      <c r="L2616" s="18" t="inlineStr">
        <is>
          <t>cobbleventure:generation_7</t>
        </is>
      </c>
      <c r="M2616" s="19" t="inlineStr">
        <is>
          <t>cobbleventure:generation_7</t>
        </is>
      </c>
      <c r="N2616" s="18" t="inlineStr"/>
      <c r="O2616" s="19" t="inlineStr"/>
      <c r="P2616" s="18" t="inlineStr">
        <is>
          <t>#minecraft:is_end</t>
        </is>
      </c>
      <c r="Q2616" s="19" t="inlineStr"/>
      <c r="R2616" s="18">
        <f>IF(Q2616="",P2616,Q2616)</f>
        <v/>
      </c>
      <c r="S2616" s="18" t="inlineStr"/>
      <c r="T2616" s="18" t="inlineStr">
        <is>
          <t>ultra-rare</t>
        </is>
      </c>
      <c r="U2616" s="20" t="n">
        <v>1</v>
      </c>
      <c r="V2616" s="21" t="n">
        <v>1</v>
      </c>
      <c r="W2616" s="20">
        <f>IF(OR(U2616="",V2616=""),U2616,U2616*V2616)</f>
        <v/>
      </c>
      <c r="X2616" s="18" t="inlineStr">
        <is>
          <t>28-42</t>
        </is>
      </c>
      <c r="Y2616" s="19" t="inlineStr"/>
      <c r="Z2616" s="18">
        <f>IF(Y2616="",X2616,Y2616)</f>
        <v/>
      </c>
      <c r="AA2616" s="18" t="inlineStr">
        <is>
          <t>grounded</t>
        </is>
      </c>
      <c r="AB2616" s="18" t="inlineStr"/>
      <c r="AC2616" s="18" t="inlineStr"/>
      <c r="AD2616" s="18" t="inlineStr"/>
      <c r="AE2616" s="18" t="inlineStr"/>
      <c r="AF2616" s="18" t="inlineStr"/>
      <c r="AG2616" s="18" t="inlineStr"/>
      <c r="AH2616" s="18" t="inlineStr"/>
      <c r="AI2616" s="18" t="inlineStr"/>
      <c r="AJ2616" s="18" t="inlineStr">
        <is>
          <t>COBBLEVERSE 추가</t>
        </is>
      </c>
      <c r="AK2616" s="18" t="inlineStr">
        <is>
          <t>사용</t>
        </is>
      </c>
      <c r="AL2616" s="18" t="inlineStr">
        <is>
          <t>COBBLEVERSE 1.7.42 / DP v31</t>
        </is>
      </c>
      <c r="AM2616" s="18" t="inlineStr">
        <is>
          <t>data/cobblemon/spawn_pool_world/0789_cosmog.json</t>
        </is>
      </c>
      <c r="AN2616" s="18" t="inlineStr">
        <is>
          <t>cosmog-1</t>
        </is>
      </c>
      <c r="AO2616" s="18" t="inlineStr">
        <is>
          <t>pokemon</t>
        </is>
      </c>
      <c r="AP2616" s="18" t="inlineStr">
        <is>
          <t>natural</t>
        </is>
      </c>
      <c r="AQ2616" s="18" t="inlineStr">
        <is>
          <t>{"biomes":["#minecraft:is_end"]}</t>
        </is>
      </c>
      <c r="AR2616" s="18" t="inlineStr"/>
      <c r="AS2616" s="18" t="inlineStr"/>
      <c r="AT2616" s="19" t="inlineStr"/>
    </row>
    <row r="2617" ht="32" customHeight="1">
      <c r="A2617" s="18" t="inlineStr">
        <is>
          <t>0790_cosmoem.json::cosmoem-1::001</t>
        </is>
      </c>
      <c r="B2617" s="19" t="inlineStr">
        <is>
          <t>사용</t>
        </is>
      </c>
      <c r="C2617" s="18">
        <f>IF(OR(B2617&lt;&gt;AK2617,M2617&lt;&gt;L2617,O2617&lt;&gt;"",Q2617&lt;&gt;"",V2617&lt;&gt;1,Y2617&lt;&gt;"",AT2617&lt;&gt;""),"수정","원본")</f>
        <v/>
      </c>
      <c r="D2617" s="18" t="n">
        <v>790</v>
      </c>
      <c r="E2617" s="18" t="inlineStr">
        <is>
          <t>코스모움</t>
        </is>
      </c>
      <c r="F2617" s="18" t="inlineStr">
        <is>
          <t>cosmoem</t>
        </is>
      </c>
      <c r="G2617" s="18" t="inlineStr">
        <is>
          <t>cosmoem</t>
        </is>
      </c>
      <c r="H2617" s="18" t="inlineStr"/>
      <c r="I2617" s="18" t="n">
        <v>7</v>
      </c>
      <c r="J2617" s="18" t="n"/>
      <c r="K2617" s="18" t="n">
        <v>7</v>
      </c>
      <c r="L2617" s="18" t="inlineStr">
        <is>
          <t>cobbleventure:generation_7</t>
        </is>
      </c>
      <c r="M2617" s="19" t="inlineStr">
        <is>
          <t>cobbleventure:generation_7</t>
        </is>
      </c>
      <c r="N2617" s="18" t="inlineStr"/>
      <c r="O2617" s="19" t="inlineStr"/>
      <c r="P2617" s="18" t="inlineStr">
        <is>
          <t>#minecraft:is_end</t>
        </is>
      </c>
      <c r="Q2617" s="19" t="inlineStr"/>
      <c r="R2617" s="18">
        <f>IF(Q2617="",P2617,Q2617)</f>
        <v/>
      </c>
      <c r="S2617" s="18" t="inlineStr"/>
      <c r="T2617" s="18" t="inlineStr">
        <is>
          <t>ultra-rare</t>
        </is>
      </c>
      <c r="U2617" s="20" t="n">
        <v>0.5</v>
      </c>
      <c r="V2617" s="21" t="n">
        <v>1</v>
      </c>
      <c r="W2617" s="20">
        <f>IF(OR(U2617="",V2617=""),U2617,U2617*V2617)</f>
        <v/>
      </c>
      <c r="X2617" s="18" t="inlineStr">
        <is>
          <t>44-52</t>
        </is>
      </c>
      <c r="Y2617" s="19" t="inlineStr"/>
      <c r="Z2617" s="18">
        <f>IF(Y2617="",X2617,Y2617)</f>
        <v/>
      </c>
      <c r="AA2617" s="18" t="inlineStr">
        <is>
          <t>grounded</t>
        </is>
      </c>
      <c r="AB2617" s="18" t="inlineStr"/>
      <c r="AC2617" s="18" t="inlineStr"/>
      <c r="AD2617" s="18" t="inlineStr"/>
      <c r="AE2617" s="18" t="inlineStr"/>
      <c r="AF2617" s="18" t="inlineStr"/>
      <c r="AG2617" s="18" t="inlineStr"/>
      <c r="AH2617" s="18" t="inlineStr"/>
      <c r="AI2617" s="18" t="inlineStr"/>
      <c r="AJ2617" s="18" t="inlineStr">
        <is>
          <t>COBBLEVERSE 추가</t>
        </is>
      </c>
      <c r="AK2617" s="18" t="inlineStr">
        <is>
          <t>사용</t>
        </is>
      </c>
      <c r="AL2617" s="18" t="inlineStr">
        <is>
          <t>COBBLEVERSE 1.7.42 / DP v31</t>
        </is>
      </c>
      <c r="AM2617" s="18" t="inlineStr">
        <is>
          <t>data/cobblemon/spawn_pool_world/0790_cosmoem.json</t>
        </is>
      </c>
      <c r="AN2617" s="18" t="inlineStr">
        <is>
          <t>cosmoem-1</t>
        </is>
      </c>
      <c r="AO2617" s="18" t="inlineStr">
        <is>
          <t>pokemon</t>
        </is>
      </c>
      <c r="AP2617" s="18" t="inlineStr">
        <is>
          <t>natural</t>
        </is>
      </c>
      <c r="AQ2617" s="18" t="inlineStr">
        <is>
          <t>{"biomes":["#minecraft:is_end"]}</t>
        </is>
      </c>
      <c r="AR2617" s="18" t="inlineStr"/>
      <c r="AS2617" s="18" t="inlineStr"/>
      <c r="AT2617" s="19" t="inlineStr"/>
    </row>
    <row r="2618" ht="32" customHeight="1">
      <c r="A2618" s="18" t="inlineStr">
        <is>
          <t>0791_solgaleo.json::solgaleo-1::001</t>
        </is>
      </c>
      <c r="B2618" s="19" t="inlineStr">
        <is>
          <t>사용</t>
        </is>
      </c>
      <c r="C2618" s="18">
        <f>IF(OR(B2618&lt;&gt;AK2618,M2618&lt;&gt;L2618,O2618&lt;&gt;"",Q2618&lt;&gt;"",V2618&lt;&gt;1,Y2618&lt;&gt;"",AT2618&lt;&gt;""),"수정","원본")</f>
        <v/>
      </c>
      <c r="D2618" s="18" t="n">
        <v>791</v>
      </c>
      <c r="E2618" s="18" t="inlineStr">
        <is>
          <t>솔가레오</t>
        </is>
      </c>
      <c r="F2618" s="18" t="inlineStr">
        <is>
          <t>solgaleo</t>
        </is>
      </c>
      <c r="G2618" s="18" t="inlineStr">
        <is>
          <t>solgaleo</t>
        </is>
      </c>
      <c r="H2618" s="18" t="inlineStr"/>
      <c r="I2618" s="18" t="n">
        <v>7</v>
      </c>
      <c r="J2618" s="18" t="n"/>
      <c r="K2618" s="18" t="n">
        <v>7</v>
      </c>
      <c r="L2618" s="18" t="inlineStr">
        <is>
          <t>cobbleventure:generation_7</t>
        </is>
      </c>
      <c r="M2618" s="19" t="inlineStr">
        <is>
          <t>cobbleventure:generation_7</t>
        </is>
      </c>
      <c r="N2618" s="18" t="inlineStr"/>
      <c r="O2618" s="19" t="inlineStr"/>
      <c r="P2618" s="18" t="inlineStr">
        <is>
          <t>#cobblemon:is_savanna</t>
        </is>
      </c>
      <c r="Q2618" s="19" t="inlineStr"/>
      <c r="R2618" s="18">
        <f>IF(Q2618="",P2618,Q2618)</f>
        <v/>
      </c>
      <c r="S2618" s="18" t="inlineStr"/>
      <c r="T2618" s="18" t="inlineStr">
        <is>
          <t>ultra-rare</t>
        </is>
      </c>
      <c r="U2618" s="20" t="n">
        <v>0.5</v>
      </c>
      <c r="V2618" s="21" t="n">
        <v>1</v>
      </c>
      <c r="W2618" s="20">
        <f>IF(OR(U2618="",V2618=""),U2618,U2618*V2618)</f>
        <v/>
      </c>
      <c r="X2618" s="18" t="inlineStr">
        <is>
          <t>70</t>
        </is>
      </c>
      <c r="Y2618" s="19" t="inlineStr"/>
      <c r="Z2618" s="18">
        <f>IF(Y2618="",X2618,Y2618)</f>
        <v/>
      </c>
      <c r="AA2618" s="18" t="inlineStr">
        <is>
          <t>grounded</t>
        </is>
      </c>
      <c r="AB2618" s="18" t="inlineStr">
        <is>
          <t>day</t>
        </is>
      </c>
      <c r="AC2618" s="18" t="inlineStr"/>
      <c r="AD2618" s="18" t="inlineStr"/>
      <c r="AE2618" s="18" t="inlineStr"/>
      <c r="AF2618" s="18" t="inlineStr">
        <is>
          <t>True</t>
        </is>
      </c>
      <c r="AG2618" s="18" t="inlineStr"/>
      <c r="AH2618" s="18" t="inlineStr"/>
      <c r="AI2618" s="18" t="inlineStr"/>
      <c r="AJ2618" s="18" t="inlineStr">
        <is>
          <t>COBBLEVERSE 추가</t>
        </is>
      </c>
      <c r="AK2618" s="18" t="inlineStr">
        <is>
          <t>사용</t>
        </is>
      </c>
      <c r="AL2618" s="18" t="inlineStr">
        <is>
          <t>COBBLEVERSE 1.7.42 / DP v31</t>
        </is>
      </c>
      <c r="AM2618" s="18" t="inlineStr">
        <is>
          <t>data/cobblemon/spawn_pool_world/0791_solgaleo.json</t>
        </is>
      </c>
      <c r="AN2618" s="18" t="inlineStr">
        <is>
          <t>solgaleo-1</t>
        </is>
      </c>
      <c r="AO2618" s="18" t="inlineStr">
        <is>
          <t>pokemon</t>
        </is>
      </c>
      <c r="AP2618" s="18" t="inlineStr"/>
      <c r="AQ2618" s="18" t="inlineStr">
        <is>
          <t>{"biomes":["#cobblemon:is_savanna"],"canSeeSky":true,"timeRange":"day"}</t>
        </is>
      </c>
      <c r="AR2618" s="18" t="inlineStr"/>
      <c r="AS2618" s="18" t="inlineStr"/>
      <c r="AT2618" s="19" t="inlineStr"/>
    </row>
    <row r="2619" ht="32" customHeight="1">
      <c r="A2619" s="18" t="inlineStr">
        <is>
          <t>0791_solgaleo.json::solgaleo-2::002</t>
        </is>
      </c>
      <c r="B2619" s="19" t="inlineStr">
        <is>
          <t>사용</t>
        </is>
      </c>
      <c r="C2619" s="18">
        <f>IF(OR(B2619&lt;&gt;AK2619,M2619&lt;&gt;L2619,O2619&lt;&gt;"",Q2619&lt;&gt;"",V2619&lt;&gt;1,Y2619&lt;&gt;"",AT2619&lt;&gt;""),"수정","원본")</f>
        <v/>
      </c>
      <c r="D2619" s="18" t="n">
        <v>791</v>
      </c>
      <c r="E2619" s="18" t="inlineStr">
        <is>
          <t>솔가레오</t>
        </is>
      </c>
      <c r="F2619" s="18" t="inlineStr">
        <is>
          <t>solgaleo</t>
        </is>
      </c>
      <c r="G2619" s="18" t="inlineStr">
        <is>
          <t>solgaleo</t>
        </is>
      </c>
      <c r="H2619" s="18" t="inlineStr"/>
      <c r="I2619" s="18" t="n">
        <v>7</v>
      </c>
      <c r="J2619" s="18" t="n"/>
      <c r="K2619" s="18" t="n">
        <v>7</v>
      </c>
      <c r="L2619" s="18" t="inlineStr">
        <is>
          <t>cobbleventure:generation_7</t>
        </is>
      </c>
      <c r="M2619" s="19" t="inlineStr">
        <is>
          <t>cobbleventure:generation_7</t>
        </is>
      </c>
      <c r="N2619" s="18" t="inlineStr"/>
      <c r="O2619" s="19" t="inlineStr"/>
      <c r="P2619" s="18" t="inlineStr">
        <is>
          <t>#minecraft:is_end</t>
        </is>
      </c>
      <c r="Q2619" s="19" t="inlineStr"/>
      <c r="R2619" s="18">
        <f>IF(Q2619="",P2619,Q2619)</f>
        <v/>
      </c>
      <c r="S2619" s="18" t="inlineStr"/>
      <c r="T2619" s="18" t="inlineStr">
        <is>
          <t>ultra-rare</t>
        </is>
      </c>
      <c r="U2619" s="20" t="n">
        <v>0.4</v>
      </c>
      <c r="V2619" s="21" t="n">
        <v>1</v>
      </c>
      <c r="W2619" s="20">
        <f>IF(OR(U2619="",V2619=""),U2619,U2619*V2619)</f>
        <v/>
      </c>
      <c r="X2619" s="18" t="inlineStr">
        <is>
          <t>70</t>
        </is>
      </c>
      <c r="Y2619" s="19" t="inlineStr"/>
      <c r="Z2619" s="18">
        <f>IF(Y2619="",X2619,Y2619)</f>
        <v/>
      </c>
      <c r="AA2619" s="18" t="inlineStr">
        <is>
          <t>grounded</t>
        </is>
      </c>
      <c r="AB2619" s="18" t="inlineStr"/>
      <c r="AC2619" s="18" t="inlineStr"/>
      <c r="AD2619" s="18" t="inlineStr"/>
      <c r="AE2619" s="18" t="inlineStr"/>
      <c r="AF2619" s="18" t="inlineStr"/>
      <c r="AG2619" s="18" t="inlineStr"/>
      <c r="AH2619" s="18" t="inlineStr"/>
      <c r="AI2619" s="18" t="inlineStr"/>
      <c r="AJ2619" s="18" t="inlineStr">
        <is>
          <t>COBBLEVERSE 추가</t>
        </is>
      </c>
      <c r="AK2619" s="18" t="inlineStr">
        <is>
          <t>사용</t>
        </is>
      </c>
      <c r="AL2619" s="18" t="inlineStr">
        <is>
          <t>COBBLEVERSE 1.7.42 / DP v31</t>
        </is>
      </c>
      <c r="AM2619" s="18" t="inlineStr">
        <is>
          <t>data/cobblemon/spawn_pool_world/0791_solgaleo.json</t>
        </is>
      </c>
      <c r="AN2619" s="18" t="inlineStr">
        <is>
          <t>solgaleo-2</t>
        </is>
      </c>
      <c r="AO2619" s="18" t="inlineStr">
        <is>
          <t>pokemon</t>
        </is>
      </c>
      <c r="AP2619" s="18" t="inlineStr"/>
      <c r="AQ2619" s="18" t="inlineStr">
        <is>
          <t>{"biomes":["#minecraft:is_end"]}</t>
        </is>
      </c>
      <c r="AR2619" s="18" t="inlineStr"/>
      <c r="AS2619" s="18" t="inlineStr"/>
      <c r="AT2619" s="19" t="inlineStr"/>
    </row>
    <row r="2620" ht="32" customHeight="1">
      <c r="A2620" s="18" t="inlineStr">
        <is>
          <t>0792_lunala.json::lunala-1::001</t>
        </is>
      </c>
      <c r="B2620" s="19" t="inlineStr">
        <is>
          <t>사용</t>
        </is>
      </c>
      <c r="C2620" s="18">
        <f>IF(OR(B2620&lt;&gt;AK2620,M2620&lt;&gt;L2620,O2620&lt;&gt;"",Q2620&lt;&gt;"",V2620&lt;&gt;1,Y2620&lt;&gt;"",AT2620&lt;&gt;""),"수정","원본")</f>
        <v/>
      </c>
      <c r="D2620" s="18" t="n">
        <v>792</v>
      </c>
      <c r="E2620" s="18" t="inlineStr">
        <is>
          <t>루나아라</t>
        </is>
      </c>
      <c r="F2620" s="18" t="inlineStr">
        <is>
          <t>lunala</t>
        </is>
      </c>
      <c r="G2620" s="18" t="inlineStr">
        <is>
          <t>lunala</t>
        </is>
      </c>
      <c r="H2620" s="18" t="inlineStr"/>
      <c r="I2620" s="18" t="n">
        <v>7</v>
      </c>
      <c r="J2620" s="18" t="n"/>
      <c r="K2620" s="18" t="n">
        <v>7</v>
      </c>
      <c r="L2620" s="18" t="inlineStr">
        <is>
          <t>cobbleventure:generation_7</t>
        </is>
      </c>
      <c r="M2620" s="19" t="inlineStr">
        <is>
          <t>cobbleventure:generation_7</t>
        </is>
      </c>
      <c r="N2620" s="18" t="inlineStr"/>
      <c r="O2620" s="19" t="inlineStr"/>
      <c r="P2620" s="18" t="inlineStr">
        <is>
          <t>#cobblemon:is_spooky</t>
        </is>
      </c>
      <c r="Q2620" s="19" t="inlineStr"/>
      <c r="R2620" s="18">
        <f>IF(Q2620="",P2620,Q2620)</f>
        <v/>
      </c>
      <c r="S2620" s="18" t="inlineStr"/>
      <c r="T2620" s="18" t="inlineStr">
        <is>
          <t>ultra-rare</t>
        </is>
      </c>
      <c r="U2620" s="20" t="n">
        <v>0.2</v>
      </c>
      <c r="V2620" s="21" t="n">
        <v>1</v>
      </c>
      <c r="W2620" s="20">
        <f>IF(OR(U2620="",V2620=""),U2620,U2620*V2620)</f>
        <v/>
      </c>
      <c r="X2620" s="18" t="inlineStr">
        <is>
          <t>70</t>
        </is>
      </c>
      <c r="Y2620" s="19" t="inlineStr"/>
      <c r="Z2620" s="18">
        <f>IF(Y2620="",X2620,Y2620)</f>
        <v/>
      </c>
      <c r="AA2620" s="18" t="inlineStr">
        <is>
          <t>grounded</t>
        </is>
      </c>
      <c r="AB2620" s="18" t="inlineStr">
        <is>
          <t>night</t>
        </is>
      </c>
      <c r="AC2620" s="18" t="inlineStr"/>
      <c r="AD2620" s="18" t="inlineStr"/>
      <c r="AE2620" s="18" t="inlineStr"/>
      <c r="AF2620" s="18" t="inlineStr">
        <is>
          <t>True</t>
        </is>
      </c>
      <c r="AG2620" s="18" t="inlineStr"/>
      <c r="AH2620" s="18" t="inlineStr"/>
      <c r="AI2620" s="18" t="inlineStr"/>
      <c r="AJ2620" s="18" t="inlineStr">
        <is>
          <t>COBBLEVERSE 추가</t>
        </is>
      </c>
      <c r="AK2620" s="18" t="inlineStr">
        <is>
          <t>사용</t>
        </is>
      </c>
      <c r="AL2620" s="18" t="inlineStr">
        <is>
          <t>COBBLEVERSE 1.7.42 / DP v31</t>
        </is>
      </c>
      <c r="AM2620" s="18" t="inlineStr">
        <is>
          <t>data/cobblemon/spawn_pool_world/0792_lunala.json</t>
        </is>
      </c>
      <c r="AN2620" s="18" t="inlineStr">
        <is>
          <t>lunala-1</t>
        </is>
      </c>
      <c r="AO2620" s="18" t="inlineStr">
        <is>
          <t>pokemon</t>
        </is>
      </c>
      <c r="AP2620" s="18" t="inlineStr"/>
      <c r="AQ2620" s="18" t="inlineStr">
        <is>
          <t>{"biomes":["#cobblemon:is_spooky"],"canSeeSky":true,"timeRange":"night"}</t>
        </is>
      </c>
      <c r="AR2620" s="18" t="inlineStr"/>
      <c r="AS2620" s="18" t="inlineStr"/>
      <c r="AT2620" s="19" t="inlineStr"/>
    </row>
    <row r="2621" ht="32" customHeight="1">
      <c r="A2621" s="18" t="inlineStr">
        <is>
          <t>0792_lunala.json::lunala-2::002</t>
        </is>
      </c>
      <c r="B2621" s="19" t="inlineStr">
        <is>
          <t>사용</t>
        </is>
      </c>
      <c r="C2621" s="18">
        <f>IF(OR(B2621&lt;&gt;AK2621,M2621&lt;&gt;L2621,O2621&lt;&gt;"",Q2621&lt;&gt;"",V2621&lt;&gt;1,Y2621&lt;&gt;"",AT2621&lt;&gt;""),"수정","원본")</f>
        <v/>
      </c>
      <c r="D2621" s="18" t="n">
        <v>792</v>
      </c>
      <c r="E2621" s="18" t="inlineStr">
        <is>
          <t>루나아라</t>
        </is>
      </c>
      <c r="F2621" s="18" t="inlineStr">
        <is>
          <t>lunala</t>
        </is>
      </c>
      <c r="G2621" s="18" t="inlineStr">
        <is>
          <t>lunala</t>
        </is>
      </c>
      <c r="H2621" s="18" t="inlineStr"/>
      <c r="I2621" s="18" t="n">
        <v>7</v>
      </c>
      <c r="J2621" s="18" t="n"/>
      <c r="K2621" s="18" t="n">
        <v>7</v>
      </c>
      <c r="L2621" s="18" t="inlineStr">
        <is>
          <t>cobbleventure:generation_7</t>
        </is>
      </c>
      <c r="M2621" s="19" t="inlineStr">
        <is>
          <t>cobbleventure:generation_7</t>
        </is>
      </c>
      <c r="N2621" s="18" t="inlineStr"/>
      <c r="O2621" s="19" t="inlineStr"/>
      <c r="P2621" s="18" t="inlineStr">
        <is>
          <t>#minecraft:is_end</t>
        </is>
      </c>
      <c r="Q2621" s="19" t="inlineStr"/>
      <c r="R2621" s="18">
        <f>IF(Q2621="",P2621,Q2621)</f>
        <v/>
      </c>
      <c r="S2621" s="18" t="inlineStr"/>
      <c r="T2621" s="18" t="inlineStr">
        <is>
          <t>ultra-rare</t>
        </is>
      </c>
      <c r="U2621" s="20" t="n">
        <v>0.4</v>
      </c>
      <c r="V2621" s="21" t="n">
        <v>1</v>
      </c>
      <c r="W2621" s="20">
        <f>IF(OR(U2621="",V2621=""),U2621,U2621*V2621)</f>
        <v/>
      </c>
      <c r="X2621" s="18" t="inlineStr">
        <is>
          <t>70</t>
        </is>
      </c>
      <c r="Y2621" s="19" t="inlineStr"/>
      <c r="Z2621" s="18">
        <f>IF(Y2621="",X2621,Y2621)</f>
        <v/>
      </c>
      <c r="AA2621" s="18" t="inlineStr">
        <is>
          <t>grounded</t>
        </is>
      </c>
      <c r="AB2621" s="18" t="inlineStr"/>
      <c r="AC2621" s="18" t="inlineStr"/>
      <c r="AD2621" s="18" t="inlineStr"/>
      <c r="AE2621" s="18" t="inlineStr"/>
      <c r="AF2621" s="18" t="inlineStr"/>
      <c r="AG2621" s="18" t="inlineStr"/>
      <c r="AH2621" s="18" t="inlineStr"/>
      <c r="AI2621" s="18" t="inlineStr"/>
      <c r="AJ2621" s="18" t="inlineStr">
        <is>
          <t>COBBLEVERSE 추가</t>
        </is>
      </c>
      <c r="AK2621" s="18" t="inlineStr">
        <is>
          <t>사용</t>
        </is>
      </c>
      <c r="AL2621" s="18" t="inlineStr">
        <is>
          <t>COBBLEVERSE 1.7.42 / DP v31</t>
        </is>
      </c>
      <c r="AM2621" s="18" t="inlineStr">
        <is>
          <t>data/cobblemon/spawn_pool_world/0792_lunala.json</t>
        </is>
      </c>
      <c r="AN2621" s="18" t="inlineStr">
        <is>
          <t>lunala-2</t>
        </is>
      </c>
      <c r="AO2621" s="18" t="inlineStr">
        <is>
          <t>pokemon</t>
        </is>
      </c>
      <c r="AP2621" s="18" t="inlineStr"/>
      <c r="AQ2621" s="18" t="inlineStr">
        <is>
          <t>{"biomes":["#minecraft:is_end"]}</t>
        </is>
      </c>
      <c r="AR2621" s="18" t="inlineStr"/>
      <c r="AS2621" s="18" t="inlineStr"/>
      <c r="AT2621" s="19" t="inlineStr"/>
    </row>
    <row r="2622" ht="32" customHeight="1">
      <c r="A2622" s="18" t="inlineStr">
        <is>
          <t>0793_nihilego.json::nihilego-1::001</t>
        </is>
      </c>
      <c r="B2622" s="19" t="inlineStr">
        <is>
          <t>사용</t>
        </is>
      </c>
      <c r="C2622" s="18">
        <f>IF(OR(B2622&lt;&gt;AK2622,M2622&lt;&gt;L2622,O2622&lt;&gt;"",Q2622&lt;&gt;"",V2622&lt;&gt;1,Y2622&lt;&gt;"",AT2622&lt;&gt;""),"수정","원본")</f>
        <v/>
      </c>
      <c r="D2622" s="18" t="n">
        <v>793</v>
      </c>
      <c r="E2622" s="18" t="inlineStr">
        <is>
          <t>텅비드</t>
        </is>
      </c>
      <c r="F2622" s="18" t="inlineStr">
        <is>
          <t>nihilego</t>
        </is>
      </c>
      <c r="G2622" s="18" t="inlineStr">
        <is>
          <t>nihilego</t>
        </is>
      </c>
      <c r="H2622" s="18" t="inlineStr"/>
      <c r="I2622" s="18" t="n">
        <v>7</v>
      </c>
      <c r="J2622" s="18" t="n"/>
      <c r="K2622" s="18" t="n">
        <v>7</v>
      </c>
      <c r="L2622" s="18" t="inlineStr">
        <is>
          <t>cobbleventure:generation_7</t>
        </is>
      </c>
      <c r="M2622" s="19" t="inlineStr">
        <is>
          <t>cobbleventure:generation_7</t>
        </is>
      </c>
      <c r="N2622" s="18" t="inlineStr"/>
      <c r="O2622" s="19" t="inlineStr"/>
      <c r="P2622" s="18" t="inlineStr">
        <is>
          <t>#cobblemon:is_ocean</t>
        </is>
      </c>
      <c r="Q2622" s="19" t="inlineStr"/>
      <c r="R2622" s="18">
        <f>IF(Q2622="",P2622,Q2622)</f>
        <v/>
      </c>
      <c r="S2622" s="18" t="inlineStr"/>
      <c r="T2622" s="18" t="inlineStr">
        <is>
          <t>ultra-rare</t>
        </is>
      </c>
      <c r="U2622" s="20" t="n">
        <v>2</v>
      </c>
      <c r="V2622" s="21" t="n">
        <v>1</v>
      </c>
      <c r="W2622" s="20">
        <f>IF(OR(U2622="",V2622=""),U2622,U2622*V2622)</f>
        <v/>
      </c>
      <c r="X2622" s="18" t="inlineStr">
        <is>
          <t>60-78</t>
        </is>
      </c>
      <c r="Y2622" s="19" t="inlineStr"/>
      <c r="Z2622" s="18">
        <f>IF(Y2622="",X2622,Y2622)</f>
        <v/>
      </c>
      <c r="AA2622" s="18" t="inlineStr">
        <is>
          <t>submerged</t>
        </is>
      </c>
      <c r="AB2622" s="18" t="inlineStr"/>
      <c r="AC2622" s="18" t="inlineStr"/>
      <c r="AD2622" s="18" t="inlineStr"/>
      <c r="AE2622" s="18" t="inlineStr"/>
      <c r="AF2622" s="18" t="inlineStr"/>
      <c r="AG2622" s="18" t="inlineStr"/>
      <c r="AH2622" s="18" t="inlineStr"/>
      <c r="AI2622" s="18" t="inlineStr"/>
      <c r="AJ2622" s="18" t="inlineStr">
        <is>
          <t>COBBLEVERSE 추가</t>
        </is>
      </c>
      <c r="AK2622" s="18" t="inlineStr">
        <is>
          <t>사용</t>
        </is>
      </c>
      <c r="AL2622" s="18" t="inlineStr">
        <is>
          <t>COBBLEVERSE 1.7.42 / DP v31</t>
        </is>
      </c>
      <c r="AM2622" s="18" t="inlineStr">
        <is>
          <t>data/cobblemon/spawn_pool_world/0793_nihilego.json</t>
        </is>
      </c>
      <c r="AN2622" s="18" t="inlineStr">
        <is>
          <t>nihilego-1</t>
        </is>
      </c>
      <c r="AO2622" s="18" t="inlineStr">
        <is>
          <t>pokemon</t>
        </is>
      </c>
      <c r="AP2622" s="18" t="inlineStr">
        <is>
          <t>water</t>
        </is>
      </c>
      <c r="AQ2622" s="18" t="inlineStr">
        <is>
          <t>{"biomes":["#cobblemon:is_ocean"]}</t>
        </is>
      </c>
      <c r="AR2622" s="18" t="inlineStr"/>
      <c r="AS2622" s="18" t="inlineStr"/>
      <c r="AT2622" s="19" t="inlineStr"/>
    </row>
    <row r="2623" ht="32" customHeight="1">
      <c r="A2623" s="18" t="inlineStr">
        <is>
          <t>0794_buzzwole.json::buzzwole-1::001</t>
        </is>
      </c>
      <c r="B2623" s="19" t="inlineStr">
        <is>
          <t>사용</t>
        </is>
      </c>
      <c r="C2623" s="18">
        <f>IF(OR(B2623&lt;&gt;AK2623,M2623&lt;&gt;L2623,O2623&lt;&gt;"",Q2623&lt;&gt;"",V2623&lt;&gt;1,Y2623&lt;&gt;"",AT2623&lt;&gt;""),"수정","원본")</f>
        <v/>
      </c>
      <c r="D2623" s="18" t="n">
        <v>794</v>
      </c>
      <c r="E2623" s="18" t="inlineStr">
        <is>
          <t>매시붕</t>
        </is>
      </c>
      <c r="F2623" s="18" t="inlineStr">
        <is>
          <t>buzzwole</t>
        </is>
      </c>
      <c r="G2623" s="18" t="inlineStr">
        <is>
          <t>buzzwole</t>
        </is>
      </c>
      <c r="H2623" s="18" t="inlineStr"/>
      <c r="I2623" s="18" t="n">
        <v>7</v>
      </c>
      <c r="J2623" s="18" t="n"/>
      <c r="K2623" s="18" t="n">
        <v>7</v>
      </c>
      <c r="L2623" s="18" t="inlineStr">
        <is>
          <t>cobbleventure:generation_7</t>
        </is>
      </c>
      <c r="M2623" s="19" t="inlineStr">
        <is>
          <t>cobbleventure:generation_7</t>
        </is>
      </c>
      <c r="N2623" s="18" t="inlineStr"/>
      <c r="O2623" s="19" t="inlineStr"/>
      <c r="P2623" s="18" t="inlineStr">
        <is>
          <t>#cobblemon:is_jungle</t>
        </is>
      </c>
      <c r="Q2623" s="19" t="inlineStr"/>
      <c r="R2623" s="18">
        <f>IF(Q2623="",P2623,Q2623)</f>
        <v/>
      </c>
      <c r="S2623" s="18" t="inlineStr"/>
      <c r="T2623" s="18" t="inlineStr">
        <is>
          <t>ultra-rare</t>
        </is>
      </c>
      <c r="U2623" s="20" t="n">
        <v>0.5</v>
      </c>
      <c r="V2623" s="21" t="n">
        <v>1</v>
      </c>
      <c r="W2623" s="20">
        <f>IF(OR(U2623="",V2623=""),U2623,U2623*V2623)</f>
        <v/>
      </c>
      <c r="X2623" s="18" t="inlineStr">
        <is>
          <t>60-70</t>
        </is>
      </c>
      <c r="Y2623" s="19" t="inlineStr"/>
      <c r="Z2623" s="18">
        <f>IF(Y2623="",X2623,Y2623)</f>
        <v/>
      </c>
      <c r="AA2623" s="18" t="inlineStr">
        <is>
          <t>grounded</t>
        </is>
      </c>
      <c r="AB2623" s="18" t="inlineStr"/>
      <c r="AC2623" s="18" t="inlineStr"/>
      <c r="AD2623" s="18" t="inlineStr"/>
      <c r="AE2623" s="18" t="inlineStr"/>
      <c r="AF2623" s="18" t="inlineStr">
        <is>
          <t>True</t>
        </is>
      </c>
      <c r="AG2623" s="18" t="inlineStr"/>
      <c r="AH2623" s="18" t="inlineStr"/>
      <c r="AI2623" s="18" t="inlineStr"/>
      <c r="AJ2623" s="18" t="inlineStr">
        <is>
          <t>COBBLEVERSE 추가</t>
        </is>
      </c>
      <c r="AK2623" s="18" t="inlineStr">
        <is>
          <t>사용</t>
        </is>
      </c>
      <c r="AL2623" s="18" t="inlineStr">
        <is>
          <t>COBBLEVERSE 1.7.42 / DP v31</t>
        </is>
      </c>
      <c r="AM2623" s="18" t="inlineStr">
        <is>
          <t>data/cobblemon/spawn_pool_world/0794_buzzwole.json</t>
        </is>
      </c>
      <c r="AN2623" s="18" t="inlineStr">
        <is>
          <t>buzzwole-1</t>
        </is>
      </c>
      <c r="AO2623" s="18" t="inlineStr">
        <is>
          <t>pokemon</t>
        </is>
      </c>
      <c r="AP2623" s="18" t="inlineStr"/>
      <c r="AQ2623" s="18" t="inlineStr">
        <is>
          <t>{"biomes":["#cobblemon:is_jungle"],"canSeeSky":true}</t>
        </is>
      </c>
      <c r="AR2623" s="18" t="inlineStr"/>
      <c r="AS2623" s="18" t="inlineStr"/>
      <c r="AT2623" s="19" t="inlineStr"/>
    </row>
    <row r="2624" ht="32" customHeight="1">
      <c r="A2624" s="18" t="inlineStr">
        <is>
          <t>0795_pheromosa.json::pheromosa-1::001</t>
        </is>
      </c>
      <c r="B2624" s="19" t="inlineStr">
        <is>
          <t>사용</t>
        </is>
      </c>
      <c r="C2624" s="18">
        <f>IF(OR(B2624&lt;&gt;AK2624,M2624&lt;&gt;L2624,O2624&lt;&gt;"",Q2624&lt;&gt;"",V2624&lt;&gt;1,Y2624&lt;&gt;"",AT2624&lt;&gt;""),"수정","원본")</f>
        <v/>
      </c>
      <c r="D2624" s="18" t="n">
        <v>795</v>
      </c>
      <c r="E2624" s="18" t="inlineStr">
        <is>
          <t>페로코체</t>
        </is>
      </c>
      <c r="F2624" s="18" t="inlineStr">
        <is>
          <t>pheromosa</t>
        </is>
      </c>
      <c r="G2624" s="18" t="inlineStr">
        <is>
          <t>pheromosa</t>
        </is>
      </c>
      <c r="H2624" s="18" t="inlineStr"/>
      <c r="I2624" s="18" t="n">
        <v>7</v>
      </c>
      <c r="J2624" s="18" t="n"/>
      <c r="K2624" s="18" t="n">
        <v>7</v>
      </c>
      <c r="L2624" s="18" t="inlineStr">
        <is>
          <t>cobbleventure:generation_7</t>
        </is>
      </c>
      <c r="M2624" s="19" t="inlineStr">
        <is>
          <t>cobbleventure:generation_7</t>
        </is>
      </c>
      <c r="N2624" s="18" t="inlineStr"/>
      <c r="O2624" s="19" t="inlineStr"/>
      <c r="P2624" s="18" t="inlineStr">
        <is>
          <t>terralith:blooming_valley; terralith:steppe; terralith:white_cliffs</t>
        </is>
      </c>
      <c r="Q2624" s="19" t="inlineStr"/>
      <c r="R2624" s="18">
        <f>IF(Q2624="",P2624,Q2624)</f>
        <v/>
      </c>
      <c r="S2624" s="18" t="inlineStr"/>
      <c r="T2624" s="18" t="inlineStr">
        <is>
          <t>ultra-rare</t>
        </is>
      </c>
      <c r="U2624" s="20" t="n">
        <v>0.5</v>
      </c>
      <c r="V2624" s="21" t="n">
        <v>1</v>
      </c>
      <c r="W2624" s="20">
        <f>IF(OR(U2624="",V2624=""),U2624,U2624*V2624)</f>
        <v/>
      </c>
      <c r="X2624" s="18" t="inlineStr">
        <is>
          <t>55-65</t>
        </is>
      </c>
      <c r="Y2624" s="19" t="inlineStr"/>
      <c r="Z2624" s="18">
        <f>IF(Y2624="",X2624,Y2624)</f>
        <v/>
      </c>
      <c r="AA2624" s="18" t="inlineStr">
        <is>
          <t>grounded</t>
        </is>
      </c>
      <c r="AB2624" s="18" t="inlineStr"/>
      <c r="AC2624" s="18" t="inlineStr"/>
      <c r="AD2624" s="18" t="inlineStr"/>
      <c r="AE2624" s="18" t="inlineStr"/>
      <c r="AF2624" s="18" t="inlineStr">
        <is>
          <t>True</t>
        </is>
      </c>
      <c r="AG2624" s="18" t="inlineStr"/>
      <c r="AH2624" s="18" t="inlineStr"/>
      <c r="AI2624" s="18" t="inlineStr"/>
      <c r="AJ2624" s="18" t="inlineStr">
        <is>
          <t>COBBLEVERSE 추가</t>
        </is>
      </c>
      <c r="AK2624" s="18" t="inlineStr">
        <is>
          <t>사용</t>
        </is>
      </c>
      <c r="AL2624" s="18" t="inlineStr">
        <is>
          <t>COBBLEVERSE 1.7.42 / DP v31</t>
        </is>
      </c>
      <c r="AM2624" s="18" t="inlineStr">
        <is>
          <t>data/cobblemon/spawn_pool_world/0795_pheromosa.json</t>
        </is>
      </c>
      <c r="AN2624" s="18" t="inlineStr">
        <is>
          <t>pheromosa-1</t>
        </is>
      </c>
      <c r="AO2624" s="18" t="inlineStr">
        <is>
          <t>pokemon</t>
        </is>
      </c>
      <c r="AP2624" s="18" t="inlineStr">
        <is>
          <t>natural</t>
        </is>
      </c>
      <c r="AQ2624" s="18" t="inlineStr">
        <is>
          <t>{"biomes":["terralith:blooming_valley","terralith:steppe","terralith:white_cliffs"],"canSeeSky":true}</t>
        </is>
      </c>
      <c r="AR2624" s="18" t="inlineStr"/>
      <c r="AS2624" s="18" t="inlineStr"/>
      <c r="AT2624" s="19" t="inlineStr"/>
    </row>
    <row r="2625" ht="32" customHeight="1">
      <c r="A2625" s="18" t="inlineStr">
        <is>
          <t>0795_pheromosa.json::pheromosa-2::002</t>
        </is>
      </c>
      <c r="B2625" s="19" t="inlineStr">
        <is>
          <t>사용</t>
        </is>
      </c>
      <c r="C2625" s="18">
        <f>IF(OR(B2625&lt;&gt;AK2625,M2625&lt;&gt;L2625,O2625&lt;&gt;"",Q2625&lt;&gt;"",V2625&lt;&gt;1,Y2625&lt;&gt;"",AT2625&lt;&gt;""),"수정","원본")</f>
        <v/>
      </c>
      <c r="D2625" s="18" t="n">
        <v>795</v>
      </c>
      <c r="E2625" s="18" t="inlineStr">
        <is>
          <t>페로코체</t>
        </is>
      </c>
      <c r="F2625" s="18" t="inlineStr">
        <is>
          <t>pheromosa</t>
        </is>
      </c>
      <c r="G2625" s="18" t="inlineStr">
        <is>
          <t>pheromosa</t>
        </is>
      </c>
      <c r="H2625" s="18" t="inlineStr"/>
      <c r="I2625" s="18" t="n">
        <v>7</v>
      </c>
      <c r="J2625" s="18" t="n"/>
      <c r="K2625" s="18" t="n">
        <v>7</v>
      </c>
      <c r="L2625" s="18" t="inlineStr">
        <is>
          <t>cobbleventure:generation_7</t>
        </is>
      </c>
      <c r="M2625" s="19" t="inlineStr">
        <is>
          <t>cobbleventure:generation_7</t>
        </is>
      </c>
      <c r="N2625" s="18" t="inlineStr"/>
      <c r="O2625" s="19" t="inlineStr"/>
      <c r="P2625" s="18" t="inlineStr">
        <is>
          <t>#cobblemon:is_end</t>
        </is>
      </c>
      <c r="Q2625" s="19" t="inlineStr"/>
      <c r="R2625" s="18">
        <f>IF(Q2625="",P2625,Q2625)</f>
        <v/>
      </c>
      <c r="S2625" s="18" t="inlineStr"/>
      <c r="T2625" s="18" t="inlineStr">
        <is>
          <t>ultra-rare</t>
        </is>
      </c>
      <c r="U2625" s="20" t="n">
        <v>1</v>
      </c>
      <c r="V2625" s="21" t="n">
        <v>1</v>
      </c>
      <c r="W2625" s="20">
        <f>IF(OR(U2625="",V2625=""),U2625,U2625*V2625)</f>
        <v/>
      </c>
      <c r="X2625" s="18" t="inlineStr">
        <is>
          <t>55-65</t>
        </is>
      </c>
      <c r="Y2625" s="19" t="inlineStr"/>
      <c r="Z2625" s="18">
        <f>IF(Y2625="",X2625,Y2625)</f>
        <v/>
      </c>
      <c r="AA2625" s="18" t="inlineStr">
        <is>
          <t>grounded</t>
        </is>
      </c>
      <c r="AB2625" s="18" t="inlineStr"/>
      <c r="AC2625" s="18" t="inlineStr"/>
      <c r="AD2625" s="18" t="inlineStr"/>
      <c r="AE2625" s="18" t="inlineStr"/>
      <c r="AF2625" s="18" t="inlineStr"/>
      <c r="AG2625" s="18" t="inlineStr"/>
      <c r="AH2625" s="18" t="inlineStr"/>
      <c r="AI2625" s="18" t="inlineStr"/>
      <c r="AJ2625" s="18" t="inlineStr">
        <is>
          <t>COBBLEVERSE 추가</t>
        </is>
      </c>
      <c r="AK2625" s="18" t="inlineStr">
        <is>
          <t>사용</t>
        </is>
      </c>
      <c r="AL2625" s="18" t="inlineStr">
        <is>
          <t>COBBLEVERSE 1.7.42 / DP v31</t>
        </is>
      </c>
      <c r="AM2625" s="18" t="inlineStr">
        <is>
          <t>data/cobblemon/spawn_pool_world/0795_pheromosa.json</t>
        </is>
      </c>
      <c r="AN2625" s="18" t="inlineStr">
        <is>
          <t>pheromosa-2</t>
        </is>
      </c>
      <c r="AO2625" s="18" t="inlineStr">
        <is>
          <t>pokemon</t>
        </is>
      </c>
      <c r="AP2625" s="18" t="inlineStr"/>
      <c r="AQ2625" s="18" t="inlineStr">
        <is>
          <t>{"biomes":["#cobblemon:is_end"]}</t>
        </is>
      </c>
      <c r="AR2625" s="18" t="inlineStr"/>
      <c r="AS2625" s="18" t="inlineStr"/>
      <c r="AT2625" s="19" t="inlineStr"/>
    </row>
    <row r="2626" ht="32" customHeight="1">
      <c r="A2626" s="18" t="inlineStr">
        <is>
          <t>0796_xurkitree.json::xurkitree-1::001</t>
        </is>
      </c>
      <c r="B2626" s="19" t="inlineStr">
        <is>
          <t>사용</t>
        </is>
      </c>
      <c r="C2626" s="18">
        <f>IF(OR(B2626&lt;&gt;AK2626,M2626&lt;&gt;L2626,O2626&lt;&gt;"",Q2626&lt;&gt;"",V2626&lt;&gt;1,Y2626&lt;&gt;"",AT2626&lt;&gt;""),"수정","원본")</f>
        <v/>
      </c>
      <c r="D2626" s="18" t="n">
        <v>796</v>
      </c>
      <c r="E2626" s="18" t="inlineStr">
        <is>
          <t>전수목</t>
        </is>
      </c>
      <c r="F2626" s="18" t="inlineStr">
        <is>
          <t>xurkitree</t>
        </is>
      </c>
      <c r="G2626" s="18" t="inlineStr">
        <is>
          <t>xurkitree</t>
        </is>
      </c>
      <c r="H2626" s="18" t="inlineStr"/>
      <c r="I2626" s="18" t="n">
        <v>7</v>
      </c>
      <c r="J2626" s="18" t="n"/>
      <c r="K2626" s="18" t="n">
        <v>7</v>
      </c>
      <c r="L2626" s="18" t="inlineStr">
        <is>
          <t>cobbleventure:generation_7</t>
        </is>
      </c>
      <c r="M2626" s="19" t="inlineStr">
        <is>
          <t>cobbleventure:generation_7</t>
        </is>
      </c>
      <c r="N2626" s="18" t="inlineStr"/>
      <c r="O2626" s="19" t="inlineStr"/>
      <c r="P2626" s="18" t="inlineStr">
        <is>
          <t>#cobblemon:is_end</t>
        </is>
      </c>
      <c r="Q2626" s="19" t="inlineStr"/>
      <c r="R2626" s="18">
        <f>IF(Q2626="",P2626,Q2626)</f>
        <v/>
      </c>
      <c r="S2626" s="18" t="inlineStr"/>
      <c r="T2626" s="18" t="inlineStr">
        <is>
          <t>ultra-rare</t>
        </is>
      </c>
      <c r="U2626" s="20" t="n">
        <v>1.5</v>
      </c>
      <c r="V2626" s="21" t="n">
        <v>1</v>
      </c>
      <c r="W2626" s="20">
        <f>IF(OR(U2626="",V2626=""),U2626,U2626*V2626)</f>
        <v/>
      </c>
      <c r="X2626" s="18" t="inlineStr">
        <is>
          <t>58-72</t>
        </is>
      </c>
      <c r="Y2626" s="19" t="inlineStr"/>
      <c r="Z2626" s="18">
        <f>IF(Y2626="",X2626,Y2626)</f>
        <v/>
      </c>
      <c r="AA2626" s="18" t="inlineStr">
        <is>
          <t>grounded</t>
        </is>
      </c>
      <c r="AB2626" s="18" t="inlineStr"/>
      <c r="AC2626" s="18" t="inlineStr"/>
      <c r="AD2626" s="18" t="inlineStr"/>
      <c r="AE2626" s="18" t="inlineStr"/>
      <c r="AF2626" s="18" t="inlineStr"/>
      <c r="AG2626" s="18" t="inlineStr"/>
      <c r="AH2626" s="18" t="inlineStr"/>
      <c r="AI2626" s="18" t="inlineStr"/>
      <c r="AJ2626" s="18" t="inlineStr">
        <is>
          <t>COBBLEVERSE 추가</t>
        </is>
      </c>
      <c r="AK2626" s="18" t="inlineStr">
        <is>
          <t>사용</t>
        </is>
      </c>
      <c r="AL2626" s="18" t="inlineStr">
        <is>
          <t>COBBLEVERSE 1.7.42 / DP v31</t>
        </is>
      </c>
      <c r="AM2626" s="18" t="inlineStr">
        <is>
          <t>data/cobblemon/spawn_pool_world/0796_xurkitree.json</t>
        </is>
      </c>
      <c r="AN2626" s="18" t="inlineStr">
        <is>
          <t>xurkitree-1</t>
        </is>
      </c>
      <c r="AO2626" s="18" t="inlineStr">
        <is>
          <t>pokemon</t>
        </is>
      </c>
      <c r="AP2626" s="18" t="inlineStr"/>
      <c r="AQ2626" s="18" t="inlineStr">
        <is>
          <t>{"biomes":["#cobblemon:is_end"]}</t>
        </is>
      </c>
      <c r="AR2626" s="18" t="inlineStr"/>
      <c r="AS2626" s="18" t="inlineStr"/>
      <c r="AT2626" s="19" t="inlineStr"/>
    </row>
    <row r="2627" ht="32" customHeight="1">
      <c r="A2627" s="18" t="inlineStr">
        <is>
          <t>0797_celesteela.json::celesteela-1::001</t>
        </is>
      </c>
      <c r="B2627" s="19" t="inlineStr">
        <is>
          <t>사용</t>
        </is>
      </c>
      <c r="C2627" s="18">
        <f>IF(OR(B2627&lt;&gt;AK2627,M2627&lt;&gt;L2627,O2627&lt;&gt;"",Q2627&lt;&gt;"",V2627&lt;&gt;1,Y2627&lt;&gt;"",AT2627&lt;&gt;""),"수정","원본")</f>
        <v/>
      </c>
      <c r="D2627" s="18" t="n">
        <v>797</v>
      </c>
      <c r="E2627" s="18" t="inlineStr">
        <is>
          <t>철화구야</t>
        </is>
      </c>
      <c r="F2627" s="18" t="inlineStr">
        <is>
          <t>celesteela</t>
        </is>
      </c>
      <c r="G2627" s="18" t="inlineStr">
        <is>
          <t>celesteela</t>
        </is>
      </c>
      <c r="H2627" s="18" t="inlineStr"/>
      <c r="I2627" s="18" t="n">
        <v>7</v>
      </c>
      <c r="J2627" s="18" t="n"/>
      <c r="K2627" s="18" t="n">
        <v>7</v>
      </c>
      <c r="L2627" s="18" t="inlineStr">
        <is>
          <t>cobbleventure:generation_7</t>
        </is>
      </c>
      <c r="M2627" s="19" t="inlineStr">
        <is>
          <t>cobbleventure:generation_7</t>
        </is>
      </c>
      <c r="N2627" s="18" t="inlineStr"/>
      <c r="O2627" s="19" t="inlineStr"/>
      <c r="P2627" s="18" t="inlineStr">
        <is>
          <t>#cobblemon:is_end</t>
        </is>
      </c>
      <c r="Q2627" s="19" t="inlineStr"/>
      <c r="R2627" s="18">
        <f>IF(Q2627="",P2627,Q2627)</f>
        <v/>
      </c>
      <c r="S2627" s="18" t="inlineStr"/>
      <c r="T2627" s="18" t="inlineStr">
        <is>
          <t>ultra-rare</t>
        </is>
      </c>
      <c r="U2627" s="20" t="n">
        <v>0.4</v>
      </c>
      <c r="V2627" s="21" t="n">
        <v>1</v>
      </c>
      <c r="W2627" s="20">
        <f>IF(OR(U2627="",V2627=""),U2627,U2627*V2627)</f>
        <v/>
      </c>
      <c r="X2627" s="18" t="inlineStr">
        <is>
          <t>65-80</t>
        </is>
      </c>
      <c r="Y2627" s="19" t="inlineStr"/>
      <c r="Z2627" s="18">
        <f>IF(Y2627="",X2627,Y2627)</f>
        <v/>
      </c>
      <c r="AA2627" s="18" t="inlineStr">
        <is>
          <t>grounded</t>
        </is>
      </c>
      <c r="AB2627" s="18" t="inlineStr"/>
      <c r="AC2627" s="18" t="inlineStr"/>
      <c r="AD2627" s="18" t="inlineStr"/>
      <c r="AE2627" s="18" t="inlineStr"/>
      <c r="AF2627" s="18" t="inlineStr"/>
      <c r="AG2627" s="18" t="inlineStr"/>
      <c r="AH2627" s="18" t="inlineStr"/>
      <c r="AI2627" s="18" t="inlineStr"/>
      <c r="AJ2627" s="18" t="inlineStr">
        <is>
          <t>COBBLEVERSE 추가</t>
        </is>
      </c>
      <c r="AK2627" s="18" t="inlineStr">
        <is>
          <t>사용</t>
        </is>
      </c>
      <c r="AL2627" s="18" t="inlineStr">
        <is>
          <t>COBBLEVERSE 1.7.42 / DP v31</t>
        </is>
      </c>
      <c r="AM2627" s="18" t="inlineStr">
        <is>
          <t>data/cobblemon/spawn_pool_world/0797_celesteela.json</t>
        </is>
      </c>
      <c r="AN2627" s="18" t="inlineStr">
        <is>
          <t>celesteela-1</t>
        </is>
      </c>
      <c r="AO2627" s="18" t="inlineStr">
        <is>
          <t>pokemon</t>
        </is>
      </c>
      <c r="AP2627" s="18" t="inlineStr"/>
      <c r="AQ2627" s="18" t="inlineStr">
        <is>
          <t>{"biomes":["#cobblemon:is_end"]}</t>
        </is>
      </c>
      <c r="AR2627" s="18" t="inlineStr"/>
      <c r="AS2627" s="18" t="inlineStr"/>
      <c r="AT2627" s="19" t="inlineStr"/>
    </row>
    <row r="2628" ht="32" customHeight="1">
      <c r="A2628" s="18" t="inlineStr">
        <is>
          <t>0798_kartana.json::kartana-1::001</t>
        </is>
      </c>
      <c r="B2628" s="19" t="inlineStr">
        <is>
          <t>사용</t>
        </is>
      </c>
      <c r="C2628" s="18">
        <f>IF(OR(B2628&lt;&gt;AK2628,M2628&lt;&gt;L2628,O2628&lt;&gt;"",Q2628&lt;&gt;"",V2628&lt;&gt;1,Y2628&lt;&gt;"",AT2628&lt;&gt;""),"수정","원본")</f>
        <v/>
      </c>
      <c r="D2628" s="18" t="n">
        <v>798</v>
      </c>
      <c r="E2628" s="18" t="inlineStr">
        <is>
          <t>종이신도</t>
        </is>
      </c>
      <c r="F2628" s="18" t="inlineStr">
        <is>
          <t>kartana</t>
        </is>
      </c>
      <c r="G2628" s="18" t="inlineStr">
        <is>
          <t>kartana</t>
        </is>
      </c>
      <c r="H2628" s="18" t="inlineStr"/>
      <c r="I2628" s="18" t="n">
        <v>7</v>
      </c>
      <c r="J2628" s="18" t="n"/>
      <c r="K2628" s="18" t="n">
        <v>7</v>
      </c>
      <c r="L2628" s="18" t="inlineStr">
        <is>
          <t>cobbleventure:generation_7</t>
        </is>
      </c>
      <c r="M2628" s="19" t="inlineStr">
        <is>
          <t>cobbleventure:generation_7</t>
        </is>
      </c>
      <c r="N2628" s="18" t="inlineStr"/>
      <c r="O2628" s="19" t="inlineStr"/>
      <c r="P2628" s="18" t="inlineStr">
        <is>
          <t>minecraft:cherry_grove</t>
        </is>
      </c>
      <c r="Q2628" s="19" t="inlineStr"/>
      <c r="R2628" s="18">
        <f>IF(Q2628="",P2628,Q2628)</f>
        <v/>
      </c>
      <c r="S2628" s="18" t="inlineStr"/>
      <c r="T2628" s="18" t="inlineStr">
        <is>
          <t>ultra-rare</t>
        </is>
      </c>
      <c r="U2628" s="20" t="n">
        <v>0.4</v>
      </c>
      <c r="V2628" s="21" t="n">
        <v>1</v>
      </c>
      <c r="W2628" s="20">
        <f>IF(OR(U2628="",V2628=""),U2628,U2628*V2628)</f>
        <v/>
      </c>
      <c r="X2628" s="18" t="inlineStr">
        <is>
          <t>55-70</t>
        </is>
      </c>
      <c r="Y2628" s="19" t="inlineStr"/>
      <c r="Z2628" s="18">
        <f>IF(Y2628="",X2628,Y2628)</f>
        <v/>
      </c>
      <c r="AA2628" s="18" t="inlineStr">
        <is>
          <t>grounded</t>
        </is>
      </c>
      <c r="AB2628" s="18" t="inlineStr"/>
      <c r="AC2628" s="18" t="inlineStr"/>
      <c r="AD2628" s="18" t="inlineStr"/>
      <c r="AE2628" s="18" t="inlineStr"/>
      <c r="AF2628" s="18" t="inlineStr">
        <is>
          <t>True</t>
        </is>
      </c>
      <c r="AG2628" s="18" t="inlineStr"/>
      <c r="AH2628" s="18" t="inlineStr"/>
      <c r="AI2628" s="18" t="inlineStr"/>
      <c r="AJ2628" s="18" t="inlineStr">
        <is>
          <t>COBBLEVERSE 추가</t>
        </is>
      </c>
      <c r="AK2628" s="18" t="inlineStr">
        <is>
          <t>사용</t>
        </is>
      </c>
      <c r="AL2628" s="18" t="inlineStr">
        <is>
          <t>COBBLEVERSE 1.7.42 / DP v31</t>
        </is>
      </c>
      <c r="AM2628" s="18" t="inlineStr">
        <is>
          <t>data/cobblemon/spawn_pool_world/0798_kartana.json</t>
        </is>
      </c>
      <c r="AN2628" s="18" t="inlineStr">
        <is>
          <t>kartana-1</t>
        </is>
      </c>
      <c r="AO2628" s="18" t="inlineStr">
        <is>
          <t>pokemon</t>
        </is>
      </c>
      <c r="AP2628" s="18" t="inlineStr"/>
      <c r="AQ2628" s="18" t="inlineStr">
        <is>
          <t>{"biomes":["minecraft:cherry_grove"],"canSeeSky":true}</t>
        </is>
      </c>
      <c r="AR2628" s="18" t="inlineStr"/>
      <c r="AS2628" s="18" t="inlineStr"/>
      <c r="AT2628" s="19" t="inlineStr"/>
    </row>
    <row r="2629" ht="32" customHeight="1">
      <c r="A2629" s="18" t="inlineStr">
        <is>
          <t>0799_guzzlord.json::guzzlord-1::001</t>
        </is>
      </c>
      <c r="B2629" s="19" t="inlineStr">
        <is>
          <t>사용</t>
        </is>
      </c>
      <c r="C2629" s="18">
        <f>IF(OR(B2629&lt;&gt;AK2629,M2629&lt;&gt;L2629,O2629&lt;&gt;"",Q2629&lt;&gt;"",V2629&lt;&gt;1,Y2629&lt;&gt;"",AT2629&lt;&gt;""),"수정","원본")</f>
        <v/>
      </c>
      <c r="D2629" s="18" t="n">
        <v>799</v>
      </c>
      <c r="E2629" s="18" t="inlineStr">
        <is>
          <t>악식킹</t>
        </is>
      </c>
      <c r="F2629" s="18" t="inlineStr">
        <is>
          <t>guzzlord</t>
        </is>
      </c>
      <c r="G2629" s="18" t="inlineStr">
        <is>
          <t>guzzlord</t>
        </is>
      </c>
      <c r="H2629" s="18" t="inlineStr"/>
      <c r="I2629" s="18" t="n">
        <v>7</v>
      </c>
      <c r="J2629" s="18" t="n"/>
      <c r="K2629" s="18" t="n">
        <v>7</v>
      </c>
      <c r="L2629" s="18" t="inlineStr">
        <is>
          <t>cobbleventure:generation_7</t>
        </is>
      </c>
      <c r="M2629" s="19" t="inlineStr">
        <is>
          <t>cobbleventure:generation_7</t>
        </is>
      </c>
      <c r="N2629" s="18" t="inlineStr"/>
      <c r="O2629" s="19" t="inlineStr"/>
      <c r="P2629" s="18" t="inlineStr">
        <is>
          <t>#cobblemon:is_end</t>
        </is>
      </c>
      <c r="Q2629" s="19" t="inlineStr"/>
      <c r="R2629" s="18">
        <f>IF(Q2629="",P2629,Q2629)</f>
        <v/>
      </c>
      <c r="S2629" s="18" t="inlineStr"/>
      <c r="T2629" s="18" t="inlineStr">
        <is>
          <t>ultra-rare</t>
        </is>
      </c>
      <c r="U2629" s="20" t="n">
        <v>0.1</v>
      </c>
      <c r="V2629" s="21" t="n">
        <v>1</v>
      </c>
      <c r="W2629" s="20">
        <f>IF(OR(U2629="",V2629=""),U2629,U2629*V2629)</f>
        <v/>
      </c>
      <c r="X2629" s="18" t="inlineStr">
        <is>
          <t>70-75</t>
        </is>
      </c>
      <c r="Y2629" s="19" t="inlineStr"/>
      <c r="Z2629" s="18">
        <f>IF(Y2629="",X2629,Y2629)</f>
        <v/>
      </c>
      <c r="AA2629" s="18" t="inlineStr">
        <is>
          <t>grounded</t>
        </is>
      </c>
      <c r="AB2629" s="18" t="inlineStr"/>
      <c r="AC2629" s="18" t="inlineStr"/>
      <c r="AD2629" s="18" t="inlineStr"/>
      <c r="AE2629" s="18" t="inlineStr"/>
      <c r="AF2629" s="18" t="inlineStr"/>
      <c r="AG2629" s="18" t="inlineStr"/>
      <c r="AH2629" s="18" t="inlineStr"/>
      <c r="AI2629" s="18" t="inlineStr"/>
      <c r="AJ2629" s="18" t="inlineStr">
        <is>
          <t>COBBLEVERSE 추가</t>
        </is>
      </c>
      <c r="AK2629" s="18" t="inlineStr">
        <is>
          <t>사용</t>
        </is>
      </c>
      <c r="AL2629" s="18" t="inlineStr">
        <is>
          <t>COBBLEVERSE 1.7.42 / DP v31</t>
        </is>
      </c>
      <c r="AM2629" s="18" t="inlineStr">
        <is>
          <t>data/cobblemon/spawn_pool_world/0799_guzzlord.json</t>
        </is>
      </c>
      <c r="AN2629" s="18" t="inlineStr">
        <is>
          <t>guzzlord-1</t>
        </is>
      </c>
      <c r="AO2629" s="18" t="inlineStr">
        <is>
          <t>pokemon</t>
        </is>
      </c>
      <c r="AP2629" s="18" t="inlineStr"/>
      <c r="AQ2629" s="18" t="inlineStr">
        <is>
          <t>{"biomes":["#cobblemon:is_end"]}</t>
        </is>
      </c>
      <c r="AR2629" s="18" t="inlineStr"/>
      <c r="AS2629" s="18" t="inlineStr"/>
      <c r="AT2629" s="19" t="inlineStr"/>
    </row>
    <row r="2630" ht="32" customHeight="1">
      <c r="A2630" s="18" t="inlineStr">
        <is>
          <t>0800_necrozma.json::necrozma-1::001</t>
        </is>
      </c>
      <c r="B2630" s="19" t="inlineStr">
        <is>
          <t>사용</t>
        </is>
      </c>
      <c r="C2630" s="18">
        <f>IF(OR(B2630&lt;&gt;AK2630,M2630&lt;&gt;L2630,O2630&lt;&gt;"",Q2630&lt;&gt;"",V2630&lt;&gt;1,Y2630&lt;&gt;"",AT2630&lt;&gt;""),"수정","원본")</f>
        <v/>
      </c>
      <c r="D2630" s="18" t="n">
        <v>800</v>
      </c>
      <c r="E2630" s="18" t="inlineStr">
        <is>
          <t>네크로즈마</t>
        </is>
      </c>
      <c r="F2630" s="18" t="inlineStr">
        <is>
          <t>necrozma</t>
        </is>
      </c>
      <c r="G2630" s="18" t="inlineStr">
        <is>
          <t>necrozma</t>
        </is>
      </c>
      <c r="H2630" s="18" t="inlineStr"/>
      <c r="I2630" s="18" t="n">
        <v>7</v>
      </c>
      <c r="J2630" s="18" t="n"/>
      <c r="K2630" s="18" t="n">
        <v>7</v>
      </c>
      <c r="L2630" s="18" t="inlineStr">
        <is>
          <t>cobbleventure:generation_7</t>
        </is>
      </c>
      <c r="M2630" s="19" t="inlineStr">
        <is>
          <t>cobbleventure:generation_7</t>
        </is>
      </c>
      <c r="N2630" s="18" t="inlineStr"/>
      <c r="O2630" s="19" t="inlineStr"/>
      <c r="P2630" s="18" t="inlineStr">
        <is>
          <t>#cobblemon:is_end</t>
        </is>
      </c>
      <c r="Q2630" s="19" t="inlineStr"/>
      <c r="R2630" s="18">
        <f>IF(Q2630="",P2630,Q2630)</f>
        <v/>
      </c>
      <c r="S2630" s="18" t="inlineStr"/>
      <c r="T2630" s="18" t="inlineStr">
        <is>
          <t>ultra-rare</t>
        </is>
      </c>
      <c r="U2630" s="20" t="n">
        <v>0.5</v>
      </c>
      <c r="V2630" s="21" t="n">
        <v>1</v>
      </c>
      <c r="W2630" s="20">
        <f>IF(OR(U2630="",V2630=""),U2630,U2630*V2630)</f>
        <v/>
      </c>
      <c r="X2630" s="18" t="inlineStr">
        <is>
          <t>70-75</t>
        </is>
      </c>
      <c r="Y2630" s="19" t="inlineStr"/>
      <c r="Z2630" s="18">
        <f>IF(Y2630="",X2630,Y2630)</f>
        <v/>
      </c>
      <c r="AA2630" s="18" t="inlineStr">
        <is>
          <t>grounded</t>
        </is>
      </c>
      <c r="AB2630" s="18" t="inlineStr"/>
      <c r="AC2630" s="18" t="inlineStr"/>
      <c r="AD2630" s="18" t="inlineStr"/>
      <c r="AE2630" s="18" t="inlineStr"/>
      <c r="AF2630" s="18" t="inlineStr"/>
      <c r="AG2630" s="18" t="inlineStr"/>
      <c r="AH2630" s="18" t="inlineStr"/>
      <c r="AI2630" s="18" t="inlineStr"/>
      <c r="AJ2630" s="18" t="inlineStr">
        <is>
          <t>COBBLEVERSE 추가</t>
        </is>
      </c>
      <c r="AK2630" s="18" t="inlineStr">
        <is>
          <t>사용</t>
        </is>
      </c>
      <c r="AL2630" s="18" t="inlineStr">
        <is>
          <t>COBBLEVERSE 1.7.42 / DP v31</t>
        </is>
      </c>
      <c r="AM2630" s="18" t="inlineStr">
        <is>
          <t>data/cobblemon/spawn_pool_world/0800_necrozma.json</t>
        </is>
      </c>
      <c r="AN2630" s="18" t="inlineStr">
        <is>
          <t>necrozma-1</t>
        </is>
      </c>
      <c r="AO2630" s="18" t="inlineStr">
        <is>
          <t>pokemon</t>
        </is>
      </c>
      <c r="AP2630" s="18" t="inlineStr">
        <is>
          <t>natural</t>
        </is>
      </c>
      <c r="AQ2630" s="18" t="inlineStr">
        <is>
          <t>{"biomes":["#cobblemon:is_end"]}</t>
        </is>
      </c>
      <c r="AR2630" s="18" t="inlineStr"/>
      <c r="AS2630" s="18" t="inlineStr"/>
      <c r="AT2630" s="19" t="inlineStr"/>
    </row>
    <row r="2631" ht="32" customHeight="1">
      <c r="A2631" s="18" t="inlineStr">
        <is>
          <t>0801_magearna.json::magearna-1::001</t>
        </is>
      </c>
      <c r="B2631" s="19" t="inlineStr">
        <is>
          <t>사용</t>
        </is>
      </c>
      <c r="C2631" s="18">
        <f>IF(OR(B2631&lt;&gt;AK2631,M2631&lt;&gt;L2631,O2631&lt;&gt;"",Q2631&lt;&gt;"",V2631&lt;&gt;1,Y2631&lt;&gt;"",AT2631&lt;&gt;""),"수정","원본")</f>
        <v/>
      </c>
      <c r="D2631" s="18" t="n">
        <v>801</v>
      </c>
      <c r="E2631" s="18" t="inlineStr">
        <is>
          <t>마기아나</t>
        </is>
      </c>
      <c r="F2631" s="18" t="inlineStr">
        <is>
          <t>magearna</t>
        </is>
      </c>
      <c r="G2631" s="18" t="inlineStr">
        <is>
          <t>magearna</t>
        </is>
      </c>
      <c r="H2631" s="18" t="inlineStr"/>
      <c r="I2631" s="18" t="n">
        <v>7</v>
      </c>
      <c r="J2631" s="18" t="n"/>
      <c r="K2631" s="18" t="n">
        <v>7</v>
      </c>
      <c r="L2631" s="18" t="inlineStr">
        <is>
          <t>cobbleventure:generation_7</t>
        </is>
      </c>
      <c r="M2631" s="19" t="inlineStr">
        <is>
          <t>cobbleventure:generation_7</t>
        </is>
      </c>
      <c r="N2631" s="18" t="inlineStr"/>
      <c r="O2631" s="19" t="inlineStr"/>
      <c r="P2631" s="18" t="inlineStr">
        <is>
          <t>#cobblemon:is_taiga</t>
        </is>
      </c>
      <c r="Q2631" s="19" t="inlineStr"/>
      <c r="R2631" s="18">
        <f>IF(Q2631="",P2631,Q2631)</f>
        <v/>
      </c>
      <c r="S2631" s="18" t="inlineStr"/>
      <c r="T2631" s="18" t="inlineStr">
        <is>
          <t>ultra-rare</t>
        </is>
      </c>
      <c r="U2631" s="20" t="n">
        <v>2</v>
      </c>
      <c r="V2631" s="21" t="n">
        <v>1</v>
      </c>
      <c r="W2631" s="20">
        <f>IF(OR(U2631="",V2631=""),U2631,U2631*V2631)</f>
        <v/>
      </c>
      <c r="X2631" s="18" t="inlineStr">
        <is>
          <t>50-70</t>
        </is>
      </c>
      <c r="Y2631" s="19" t="inlineStr"/>
      <c r="Z2631" s="18">
        <f>IF(Y2631="",X2631,Y2631)</f>
        <v/>
      </c>
      <c r="AA2631" s="18" t="inlineStr">
        <is>
          <t>grounded</t>
        </is>
      </c>
      <c r="AB2631" s="18" t="inlineStr"/>
      <c r="AC2631" s="18" t="inlineStr"/>
      <c r="AD2631" s="18" t="inlineStr"/>
      <c r="AE2631" s="18" t="inlineStr"/>
      <c r="AF2631" s="18" t="inlineStr">
        <is>
          <t>True</t>
        </is>
      </c>
      <c r="AG2631" s="18" t="inlineStr"/>
      <c r="AH2631" s="18" t="inlineStr"/>
      <c r="AI2631" s="18" t="inlineStr"/>
      <c r="AJ2631" s="18" t="inlineStr">
        <is>
          <t>COBBLEVERSE 추가</t>
        </is>
      </c>
      <c r="AK2631" s="18" t="inlineStr">
        <is>
          <t>사용</t>
        </is>
      </c>
      <c r="AL2631" s="18" t="inlineStr">
        <is>
          <t>COBBLEVERSE 1.7.42 / DP v31</t>
        </is>
      </c>
      <c r="AM2631" s="18" t="inlineStr">
        <is>
          <t>data/cobblemon/spawn_pool_world/0801_magearna.json</t>
        </is>
      </c>
      <c r="AN2631" s="18" t="inlineStr">
        <is>
          <t>magearna-1</t>
        </is>
      </c>
      <c r="AO2631" s="18" t="inlineStr">
        <is>
          <t>pokemon</t>
        </is>
      </c>
      <c r="AP2631" s="18" t="inlineStr"/>
      <c r="AQ2631" s="18" t="inlineStr">
        <is>
          <t>{"biomes":["#cobblemon:is_taiga"],"canSeeSky":true}</t>
        </is>
      </c>
      <c r="AR2631" s="18" t="inlineStr"/>
      <c r="AS2631" s="18" t="inlineStr"/>
      <c r="AT2631" s="19" t="inlineStr"/>
    </row>
    <row r="2632" ht="32" customHeight="1">
      <c r="A2632" s="18" t="inlineStr">
        <is>
          <t>0801_magearna.json::magearna-2::002</t>
        </is>
      </c>
      <c r="B2632" s="19" t="inlineStr">
        <is>
          <t>사용</t>
        </is>
      </c>
      <c r="C2632" s="18">
        <f>IF(OR(B2632&lt;&gt;AK2632,M2632&lt;&gt;L2632,O2632&lt;&gt;"",Q2632&lt;&gt;"",V2632&lt;&gt;1,Y2632&lt;&gt;"",AT2632&lt;&gt;""),"수정","원본")</f>
        <v/>
      </c>
      <c r="D2632" s="18" t="n">
        <v>801</v>
      </c>
      <c r="E2632" s="18" t="inlineStr">
        <is>
          <t>마기아나</t>
        </is>
      </c>
      <c r="F2632" s="18" t="inlineStr">
        <is>
          <t>magearna</t>
        </is>
      </c>
      <c r="G2632" s="18" t="inlineStr">
        <is>
          <t>magearna paint_color=original</t>
        </is>
      </c>
      <c r="H2632" s="18" t="inlineStr">
        <is>
          <t>paint_color=original</t>
        </is>
      </c>
      <c r="I2632" s="18" t="n">
        <v>7</v>
      </c>
      <c r="J2632" s="18" t="n"/>
      <c r="K2632" s="18" t="n">
        <v>7</v>
      </c>
      <c r="L2632" s="18" t="inlineStr">
        <is>
          <t>cobbleventure:generation_7</t>
        </is>
      </c>
      <c r="M2632" s="19" t="inlineStr">
        <is>
          <t>cobbleventure:generation_7</t>
        </is>
      </c>
      <c r="N2632" s="18" t="inlineStr"/>
      <c r="O2632" s="19" t="inlineStr"/>
      <c r="P2632" s="18" t="inlineStr">
        <is>
          <t>#cobblemon:is_taiga</t>
        </is>
      </c>
      <c r="Q2632" s="19" t="inlineStr"/>
      <c r="R2632" s="18">
        <f>IF(Q2632="",P2632,Q2632)</f>
        <v/>
      </c>
      <c r="S2632" s="18" t="inlineStr"/>
      <c r="T2632" s="18" t="inlineStr">
        <is>
          <t>ultra-rare</t>
        </is>
      </c>
      <c r="U2632" s="20" t="n">
        <v>0.4</v>
      </c>
      <c r="V2632" s="21" t="n">
        <v>1</v>
      </c>
      <c r="W2632" s="20">
        <f>IF(OR(U2632="",V2632=""),U2632,U2632*V2632)</f>
        <v/>
      </c>
      <c r="X2632" s="18" t="inlineStr">
        <is>
          <t>70-85</t>
        </is>
      </c>
      <c r="Y2632" s="19" t="inlineStr"/>
      <c r="Z2632" s="18">
        <f>IF(Y2632="",X2632,Y2632)</f>
        <v/>
      </c>
      <c r="AA2632" s="18" t="inlineStr">
        <is>
          <t>grounded</t>
        </is>
      </c>
      <c r="AB2632" s="18" t="inlineStr"/>
      <c r="AC2632" s="18" t="inlineStr"/>
      <c r="AD2632" s="18" t="inlineStr"/>
      <c r="AE2632" s="18" t="inlineStr"/>
      <c r="AF2632" s="18" t="inlineStr">
        <is>
          <t>True</t>
        </is>
      </c>
      <c r="AG2632" s="18" t="inlineStr"/>
      <c r="AH2632" s="18" t="inlineStr"/>
      <c r="AI2632" s="18" t="inlineStr"/>
      <c r="AJ2632" s="18" t="inlineStr">
        <is>
          <t>COBBLEVERSE 추가</t>
        </is>
      </c>
      <c r="AK2632" s="18" t="inlineStr">
        <is>
          <t>사용</t>
        </is>
      </c>
      <c r="AL2632" s="18" t="inlineStr">
        <is>
          <t>COBBLEVERSE 1.7.42 / DP v31</t>
        </is>
      </c>
      <c r="AM2632" s="18" t="inlineStr">
        <is>
          <t>data/cobblemon/spawn_pool_world/0801_magearna.json</t>
        </is>
      </c>
      <c r="AN2632" s="18" t="inlineStr">
        <is>
          <t>magearna-2</t>
        </is>
      </c>
      <c r="AO2632" s="18" t="inlineStr">
        <is>
          <t>pokemon</t>
        </is>
      </c>
      <c r="AP2632" s="18" t="inlineStr"/>
      <c r="AQ2632" s="18" t="inlineStr">
        <is>
          <t>{"biomes":["#cobblemon:is_taiga"],"canSeeSky":true}</t>
        </is>
      </c>
      <c r="AR2632" s="18" t="inlineStr"/>
      <c r="AS2632" s="18" t="inlineStr"/>
      <c r="AT2632" s="19" t="inlineStr"/>
    </row>
    <row r="2633" ht="32" customHeight="1">
      <c r="A2633" s="18" t="inlineStr">
        <is>
          <t>0802_marshadow.json::marshadow-1::001</t>
        </is>
      </c>
      <c r="B2633" s="19" t="inlineStr">
        <is>
          <t>사용</t>
        </is>
      </c>
      <c r="C2633" s="18">
        <f>IF(OR(B2633&lt;&gt;AK2633,M2633&lt;&gt;L2633,O2633&lt;&gt;"",Q2633&lt;&gt;"",V2633&lt;&gt;1,Y2633&lt;&gt;"",AT2633&lt;&gt;""),"수정","원본")</f>
        <v/>
      </c>
      <c r="D2633" s="18" t="n">
        <v>802</v>
      </c>
      <c r="E2633" s="18" t="inlineStr">
        <is>
          <t>마샤도</t>
        </is>
      </c>
      <c r="F2633" s="18" t="inlineStr">
        <is>
          <t>marshadow</t>
        </is>
      </c>
      <c r="G2633" s="18" t="inlineStr">
        <is>
          <t>marshadow</t>
        </is>
      </c>
      <c r="H2633" s="18" t="inlineStr"/>
      <c r="I2633" s="18" t="n">
        <v>7</v>
      </c>
      <c r="J2633" s="18" t="n"/>
      <c r="K2633" s="18" t="n">
        <v>7</v>
      </c>
      <c r="L2633" s="18" t="inlineStr">
        <is>
          <t>cobbleventure:generation_7</t>
        </is>
      </c>
      <c r="M2633" s="19" t="inlineStr">
        <is>
          <t>cobbleventure:generation_7</t>
        </is>
      </c>
      <c r="N2633" s="18" t="inlineStr"/>
      <c r="O2633" s="19" t="inlineStr"/>
      <c r="P2633" s="18" t="inlineStr">
        <is>
          <t>#cobblemon:is_deep_dark</t>
        </is>
      </c>
      <c r="Q2633" s="19" t="inlineStr"/>
      <c r="R2633" s="18">
        <f>IF(Q2633="",P2633,Q2633)</f>
        <v/>
      </c>
      <c r="S2633" s="18" t="inlineStr"/>
      <c r="T2633" s="18" t="inlineStr">
        <is>
          <t>ultra-rare</t>
        </is>
      </c>
      <c r="U2633" s="20" t="n">
        <v>2.1</v>
      </c>
      <c r="V2633" s="21" t="n">
        <v>1</v>
      </c>
      <c r="W2633" s="20">
        <f>IF(OR(U2633="",V2633=""),U2633,U2633*V2633)</f>
        <v/>
      </c>
      <c r="X2633" s="18" t="inlineStr">
        <is>
          <t>45-68</t>
        </is>
      </c>
      <c r="Y2633" s="19" t="inlineStr"/>
      <c r="Z2633" s="18">
        <f>IF(Y2633="",X2633,Y2633)</f>
        <v/>
      </c>
      <c r="AA2633" s="18" t="inlineStr">
        <is>
          <t>grounded</t>
        </is>
      </c>
      <c r="AB2633" s="18" t="inlineStr"/>
      <c r="AC2633" s="18" t="inlineStr"/>
      <c r="AD2633" s="18" t="inlineStr"/>
      <c r="AE2633" s="18" t="inlineStr"/>
      <c r="AF2633" s="18" t="inlineStr">
        <is>
          <t>False</t>
        </is>
      </c>
      <c r="AG2633" s="18" t="inlineStr"/>
      <c r="AH2633" s="18" t="inlineStr"/>
      <c r="AI2633" s="18" t="inlineStr"/>
      <c r="AJ2633" s="18" t="inlineStr">
        <is>
          <t>COBBLEVERSE 추가</t>
        </is>
      </c>
      <c r="AK2633" s="18" t="inlineStr">
        <is>
          <t>사용</t>
        </is>
      </c>
      <c r="AL2633" s="18" t="inlineStr">
        <is>
          <t>COBBLEVERSE 1.7.42 / DP v31</t>
        </is>
      </c>
      <c r="AM2633" s="18" t="inlineStr">
        <is>
          <t>data/cobblemon/spawn_pool_world/0802_marshadow.json</t>
        </is>
      </c>
      <c r="AN2633" s="18" t="inlineStr">
        <is>
          <t>marshadow-1</t>
        </is>
      </c>
      <c r="AO2633" s="18" t="inlineStr">
        <is>
          <t>pokemon</t>
        </is>
      </c>
      <c r="AP2633" s="18" t="inlineStr"/>
      <c r="AQ2633" s="18" t="inlineStr">
        <is>
          <t>{"biomes":["#cobblemon:is_deep_dark"],"canSeeSky":false}</t>
        </is>
      </c>
      <c r="AR2633" s="18" t="inlineStr"/>
      <c r="AS2633" s="18" t="inlineStr"/>
      <c r="AT2633" s="19" t="inlineStr"/>
    </row>
    <row r="2634" ht="32" customHeight="1">
      <c r="A2634" s="18" t="inlineStr">
        <is>
          <t>0803_poipole.json::poipole-1::001</t>
        </is>
      </c>
      <c r="B2634" s="19" t="inlineStr">
        <is>
          <t>사용</t>
        </is>
      </c>
      <c r="C2634" s="18">
        <f>IF(OR(B2634&lt;&gt;AK2634,M2634&lt;&gt;L2634,O2634&lt;&gt;"",Q2634&lt;&gt;"",V2634&lt;&gt;1,Y2634&lt;&gt;"",AT2634&lt;&gt;""),"수정","원본")</f>
        <v/>
      </c>
      <c r="D2634" s="18" t="n">
        <v>803</v>
      </c>
      <c r="E2634" s="18" t="inlineStr">
        <is>
          <t>베베놈</t>
        </is>
      </c>
      <c r="F2634" s="18" t="inlineStr">
        <is>
          <t>poipole</t>
        </is>
      </c>
      <c r="G2634" s="18" t="inlineStr">
        <is>
          <t>poipole</t>
        </is>
      </c>
      <c r="H2634" s="18" t="inlineStr"/>
      <c r="I2634" s="18" t="n">
        <v>7</v>
      </c>
      <c r="J2634" s="18" t="n"/>
      <c r="K2634" s="18" t="n">
        <v>7</v>
      </c>
      <c r="L2634" s="18" t="inlineStr">
        <is>
          <t>cobbleventure:generation_7</t>
        </is>
      </c>
      <c r="M2634" s="19" t="inlineStr">
        <is>
          <t>cobbleventure:generation_7</t>
        </is>
      </c>
      <c r="N2634" s="18" t="inlineStr"/>
      <c r="O2634" s="19" t="inlineStr"/>
      <c r="P2634" s="18" t="inlineStr">
        <is>
          <t>#cobblemon:is_end</t>
        </is>
      </c>
      <c r="Q2634" s="19" t="inlineStr"/>
      <c r="R2634" s="18">
        <f>IF(Q2634="",P2634,Q2634)</f>
        <v/>
      </c>
      <c r="S2634" s="18" t="inlineStr"/>
      <c r="T2634" s="18" t="inlineStr">
        <is>
          <t>ultra-rare</t>
        </is>
      </c>
      <c r="U2634" s="20" t="n">
        <v>1.5</v>
      </c>
      <c r="V2634" s="21" t="n">
        <v>1</v>
      </c>
      <c r="W2634" s="20">
        <f>IF(OR(U2634="",V2634=""),U2634,U2634*V2634)</f>
        <v/>
      </c>
      <c r="X2634" s="18" t="inlineStr">
        <is>
          <t>40</t>
        </is>
      </c>
      <c r="Y2634" s="19" t="inlineStr"/>
      <c r="Z2634" s="18">
        <f>IF(Y2634="",X2634,Y2634)</f>
        <v/>
      </c>
      <c r="AA2634" s="18" t="inlineStr">
        <is>
          <t>grounded</t>
        </is>
      </c>
      <c r="AB2634" s="18" t="inlineStr"/>
      <c r="AC2634" s="18" t="inlineStr"/>
      <c r="AD2634" s="18" t="inlineStr"/>
      <c r="AE2634" s="18" t="inlineStr"/>
      <c r="AF2634" s="18" t="inlineStr"/>
      <c r="AG2634" s="18" t="inlineStr">
        <is>
          <t>cobbleverse:dawn_tower; cobbleverse:dusk_tower</t>
        </is>
      </c>
      <c r="AH2634" s="18" t="inlineStr"/>
      <c r="AI2634" s="18" t="inlineStr"/>
      <c r="AJ2634" s="18" t="inlineStr">
        <is>
          <t>COBBLEVERSE 추가</t>
        </is>
      </c>
      <c r="AK2634" s="18" t="inlineStr">
        <is>
          <t>사용</t>
        </is>
      </c>
      <c r="AL2634" s="18" t="inlineStr">
        <is>
          <t>COBBLEVERSE 1.7.42 / DP v31</t>
        </is>
      </c>
      <c r="AM2634" s="18" t="inlineStr">
        <is>
          <t>data/cobblemon/spawn_pool_world/0803_poipole.json</t>
        </is>
      </c>
      <c r="AN2634" s="18" t="inlineStr">
        <is>
          <t>poipole-1</t>
        </is>
      </c>
      <c r="AO2634" s="18" t="inlineStr">
        <is>
          <t>pokemon</t>
        </is>
      </c>
      <c r="AP2634" s="18" t="inlineStr"/>
      <c r="AQ2634" s="18" t="inlineStr">
        <is>
          <t>{"biomes":["#cobblemon:is_end"],"structures":["cobbleverse:dawn_tower","cobbleverse:dusk_tower"]}</t>
        </is>
      </c>
      <c r="AR2634" s="18" t="inlineStr"/>
      <c r="AS2634" s="18" t="inlineStr"/>
      <c r="AT2634" s="19" t="inlineStr"/>
    </row>
    <row r="2635" ht="32" customHeight="1">
      <c r="A2635" s="18" t="inlineStr">
        <is>
          <t>0804_naganadel.json::naganadel-1::001</t>
        </is>
      </c>
      <c r="B2635" s="19" t="inlineStr">
        <is>
          <t>사용</t>
        </is>
      </c>
      <c r="C2635" s="18">
        <f>IF(OR(B2635&lt;&gt;AK2635,M2635&lt;&gt;L2635,O2635&lt;&gt;"",Q2635&lt;&gt;"",V2635&lt;&gt;1,Y2635&lt;&gt;"",AT2635&lt;&gt;""),"수정","원본")</f>
        <v/>
      </c>
      <c r="D2635" s="18" t="n">
        <v>804</v>
      </c>
      <c r="E2635" s="18" t="inlineStr">
        <is>
          <t>아고용</t>
        </is>
      </c>
      <c r="F2635" s="18" t="inlineStr">
        <is>
          <t>naganadel</t>
        </is>
      </c>
      <c r="G2635" s="18" t="inlineStr">
        <is>
          <t>naganadel</t>
        </is>
      </c>
      <c r="H2635" s="18" t="inlineStr"/>
      <c r="I2635" s="18" t="n">
        <v>7</v>
      </c>
      <c r="J2635" s="18" t="n"/>
      <c r="K2635" s="18" t="n">
        <v>7</v>
      </c>
      <c r="L2635" s="18" t="inlineStr">
        <is>
          <t>cobbleventure:generation_7</t>
        </is>
      </c>
      <c r="M2635" s="19" t="inlineStr">
        <is>
          <t>cobbleventure:generation_7</t>
        </is>
      </c>
      <c r="N2635" s="18" t="inlineStr"/>
      <c r="O2635" s="19" t="inlineStr"/>
      <c r="P2635" s="18" t="inlineStr">
        <is>
          <t>#minecraft:is_end</t>
        </is>
      </c>
      <c r="Q2635" s="19" t="inlineStr"/>
      <c r="R2635" s="18">
        <f>IF(Q2635="",P2635,Q2635)</f>
        <v/>
      </c>
      <c r="S2635" s="18" t="inlineStr"/>
      <c r="T2635" s="18" t="inlineStr">
        <is>
          <t>ultra-rare</t>
        </is>
      </c>
      <c r="U2635" s="20" t="n">
        <v>0.5</v>
      </c>
      <c r="V2635" s="21" t="n">
        <v>1</v>
      </c>
      <c r="W2635" s="20">
        <f>IF(OR(U2635="",V2635=""),U2635,U2635*V2635)</f>
        <v/>
      </c>
      <c r="X2635" s="18" t="inlineStr">
        <is>
          <t>48-62</t>
        </is>
      </c>
      <c r="Y2635" s="19" t="inlineStr"/>
      <c r="Z2635" s="18">
        <f>IF(Y2635="",X2635,Y2635)</f>
        <v/>
      </c>
      <c r="AA2635" s="18" t="inlineStr">
        <is>
          <t>grounded</t>
        </is>
      </c>
      <c r="AB2635" s="18" t="inlineStr"/>
      <c r="AC2635" s="18" t="inlineStr"/>
      <c r="AD2635" s="18" t="inlineStr"/>
      <c r="AE2635" s="18" t="inlineStr"/>
      <c r="AF2635" s="18" t="inlineStr"/>
      <c r="AG2635" s="18" t="inlineStr"/>
      <c r="AH2635" s="18" t="inlineStr"/>
      <c r="AI2635" s="18" t="inlineStr"/>
      <c r="AJ2635" s="18" t="inlineStr">
        <is>
          <t>COBBLEVERSE 추가</t>
        </is>
      </c>
      <c r="AK2635" s="18" t="inlineStr">
        <is>
          <t>사용</t>
        </is>
      </c>
      <c r="AL2635" s="18" t="inlineStr">
        <is>
          <t>COBBLEVERSE 1.7.42 / DP v31</t>
        </is>
      </c>
      <c r="AM2635" s="18" t="inlineStr">
        <is>
          <t>data/cobblemon/spawn_pool_world/0804_naganadel.json</t>
        </is>
      </c>
      <c r="AN2635" s="18" t="inlineStr">
        <is>
          <t>naganadel-1</t>
        </is>
      </c>
      <c r="AO2635" s="18" t="inlineStr">
        <is>
          <t>pokemon</t>
        </is>
      </c>
      <c r="AP2635" s="18" t="inlineStr">
        <is>
          <t>natural</t>
        </is>
      </c>
      <c r="AQ2635" s="18" t="inlineStr">
        <is>
          <t>{"biomes":["#minecraft:is_end"]}</t>
        </is>
      </c>
      <c r="AR2635" s="18" t="inlineStr"/>
      <c r="AS2635" s="18" t="inlineStr"/>
      <c r="AT2635" s="19" t="inlineStr"/>
    </row>
    <row r="2636" ht="32" customHeight="1">
      <c r="A2636" s="18" t="inlineStr">
        <is>
          <t>0805_stakataka.json::stakataka-1::001</t>
        </is>
      </c>
      <c r="B2636" s="19" t="inlineStr">
        <is>
          <t>사용</t>
        </is>
      </c>
      <c r="C2636" s="18">
        <f>IF(OR(B2636&lt;&gt;AK2636,M2636&lt;&gt;L2636,O2636&lt;&gt;"",Q2636&lt;&gt;"",V2636&lt;&gt;1,Y2636&lt;&gt;"",AT2636&lt;&gt;""),"수정","원본")</f>
        <v/>
      </c>
      <c r="D2636" s="18" t="n">
        <v>805</v>
      </c>
      <c r="E2636" s="18" t="inlineStr">
        <is>
          <t>차곡차곡</t>
        </is>
      </c>
      <c r="F2636" s="18" t="inlineStr">
        <is>
          <t>stakataka</t>
        </is>
      </c>
      <c r="G2636" s="18" t="inlineStr">
        <is>
          <t>stakataka</t>
        </is>
      </c>
      <c r="H2636" s="18" t="inlineStr"/>
      <c r="I2636" s="18" t="n">
        <v>7</v>
      </c>
      <c r="J2636" s="18" t="n"/>
      <c r="K2636" s="18" t="n">
        <v>7</v>
      </c>
      <c r="L2636" s="18" t="inlineStr">
        <is>
          <t>cobbleventure:generation_7</t>
        </is>
      </c>
      <c r="M2636" s="19" t="inlineStr">
        <is>
          <t>cobbleventure:generation_7</t>
        </is>
      </c>
      <c r="N2636" s="18" t="inlineStr"/>
      <c r="O2636" s="19" t="inlineStr"/>
      <c r="P2636" s="18" t="inlineStr">
        <is>
          <t>minecraft:deep_dark</t>
        </is>
      </c>
      <c r="Q2636" s="19" t="inlineStr"/>
      <c r="R2636" s="18">
        <f>IF(Q2636="",P2636,Q2636)</f>
        <v/>
      </c>
      <c r="S2636" s="18" t="inlineStr"/>
      <c r="T2636" s="18" t="inlineStr">
        <is>
          <t>ultra-rare</t>
        </is>
      </c>
      <c r="U2636" s="20" t="n">
        <v>4</v>
      </c>
      <c r="V2636" s="21" t="n">
        <v>1</v>
      </c>
      <c r="W2636" s="20">
        <f>IF(OR(U2636="",V2636=""),U2636,U2636*V2636)</f>
        <v/>
      </c>
      <c r="X2636" s="18" t="inlineStr">
        <is>
          <t>60-72</t>
        </is>
      </c>
      <c r="Y2636" s="19" t="inlineStr"/>
      <c r="Z2636" s="18">
        <f>IF(Y2636="",X2636,Y2636)</f>
        <v/>
      </c>
      <c r="AA2636" s="18" t="inlineStr">
        <is>
          <t>grounded</t>
        </is>
      </c>
      <c r="AB2636" s="18" t="inlineStr"/>
      <c r="AC2636" s="18" t="inlineStr"/>
      <c r="AD2636" s="18" t="inlineStr"/>
      <c r="AE2636" s="18" t="inlineStr"/>
      <c r="AF2636" s="18" t="inlineStr"/>
      <c r="AG2636" s="18" t="inlineStr"/>
      <c r="AH2636" s="18" t="inlineStr"/>
      <c r="AI2636" s="18" t="inlineStr"/>
      <c r="AJ2636" s="18" t="inlineStr">
        <is>
          <t>COBBLEVERSE 추가</t>
        </is>
      </c>
      <c r="AK2636" s="18" t="inlineStr">
        <is>
          <t>사용</t>
        </is>
      </c>
      <c r="AL2636" s="18" t="inlineStr">
        <is>
          <t>COBBLEVERSE 1.7.42 / DP v31</t>
        </is>
      </c>
      <c r="AM2636" s="18" t="inlineStr">
        <is>
          <t>data/cobblemon/spawn_pool_world/0805_stakataka.json</t>
        </is>
      </c>
      <c r="AN2636" s="18" t="inlineStr">
        <is>
          <t>stakataka-1</t>
        </is>
      </c>
      <c r="AO2636" s="18" t="inlineStr">
        <is>
          <t>pokemon</t>
        </is>
      </c>
      <c r="AP2636" s="18" t="inlineStr">
        <is>
          <t>natural</t>
        </is>
      </c>
      <c r="AQ2636" s="18" t="inlineStr">
        <is>
          <t>{"biomes":["minecraft:deep_dark"]}</t>
        </is>
      </c>
      <c r="AR2636" s="18" t="inlineStr"/>
      <c r="AS2636" s="18" t="inlineStr"/>
      <c r="AT2636" s="19" t="inlineStr"/>
    </row>
    <row r="2637" ht="32" customHeight="1">
      <c r="A2637" s="18" t="inlineStr">
        <is>
          <t>0806_blacephalon.json::blacephalon-1::001</t>
        </is>
      </c>
      <c r="B2637" s="19" t="inlineStr">
        <is>
          <t>사용</t>
        </is>
      </c>
      <c r="C2637" s="18">
        <f>IF(OR(B2637&lt;&gt;AK2637,M2637&lt;&gt;L2637,O2637&lt;&gt;"",Q2637&lt;&gt;"",V2637&lt;&gt;1,Y2637&lt;&gt;"",AT2637&lt;&gt;""),"수정","원본")</f>
        <v/>
      </c>
      <c r="D2637" s="18" t="n">
        <v>806</v>
      </c>
      <c r="E2637" s="18" t="inlineStr">
        <is>
          <t>두파팡</t>
        </is>
      </c>
      <c r="F2637" s="18" t="inlineStr">
        <is>
          <t>blacephalon</t>
        </is>
      </c>
      <c r="G2637" s="18" t="inlineStr">
        <is>
          <t>blacephalon</t>
        </is>
      </c>
      <c r="H2637" s="18" t="inlineStr"/>
      <c r="I2637" s="18" t="n">
        <v>7</v>
      </c>
      <c r="J2637" s="18" t="n"/>
      <c r="K2637" s="18" t="n">
        <v>7</v>
      </c>
      <c r="L2637" s="18" t="inlineStr">
        <is>
          <t>cobbleventure:generation_7</t>
        </is>
      </c>
      <c r="M2637" s="19" t="inlineStr">
        <is>
          <t>cobbleventure:generation_7</t>
        </is>
      </c>
      <c r="N2637" s="18" t="inlineStr"/>
      <c r="O2637" s="19" t="inlineStr"/>
      <c r="P2637" s="18" t="inlineStr">
        <is>
          <t>#cobblemon:is_spooky</t>
        </is>
      </c>
      <c r="Q2637" s="19" t="inlineStr"/>
      <c r="R2637" s="18">
        <f>IF(Q2637="",P2637,Q2637)</f>
        <v/>
      </c>
      <c r="S2637" s="18" t="inlineStr"/>
      <c r="T2637" s="18" t="inlineStr">
        <is>
          <t>ultra-rare</t>
        </is>
      </c>
      <c r="U2637" s="20" t="n">
        <v>3.5</v>
      </c>
      <c r="V2637" s="21" t="n">
        <v>1</v>
      </c>
      <c r="W2637" s="20">
        <f>IF(OR(U2637="",V2637=""),U2637,U2637*V2637)</f>
        <v/>
      </c>
      <c r="X2637" s="18" t="inlineStr">
        <is>
          <t>55-62</t>
        </is>
      </c>
      <c r="Y2637" s="19" t="inlineStr"/>
      <c r="Z2637" s="18">
        <f>IF(Y2637="",X2637,Y2637)</f>
        <v/>
      </c>
      <c r="AA2637" s="18" t="inlineStr">
        <is>
          <t>grounded</t>
        </is>
      </c>
      <c r="AB2637" s="18" t="inlineStr"/>
      <c r="AC2637" s="18" t="inlineStr"/>
      <c r="AD2637" s="18" t="inlineStr"/>
      <c r="AE2637" s="18" t="inlineStr"/>
      <c r="AF2637" s="18" t="inlineStr">
        <is>
          <t>True</t>
        </is>
      </c>
      <c r="AG2637" s="18" t="inlineStr"/>
      <c r="AH2637" s="18" t="inlineStr"/>
      <c r="AI2637" s="18" t="inlineStr"/>
      <c r="AJ2637" s="18" t="inlineStr">
        <is>
          <t>COBBLEVERSE 추가</t>
        </is>
      </c>
      <c r="AK2637" s="18" t="inlineStr">
        <is>
          <t>사용</t>
        </is>
      </c>
      <c r="AL2637" s="18" t="inlineStr">
        <is>
          <t>COBBLEVERSE 1.7.42 / DP v31</t>
        </is>
      </c>
      <c r="AM2637" s="18" t="inlineStr">
        <is>
          <t>data/cobblemon/spawn_pool_world/0806_blacephalon.json</t>
        </is>
      </c>
      <c r="AN2637" s="18" t="inlineStr">
        <is>
          <t>blacephalon-1</t>
        </is>
      </c>
      <c r="AO2637" s="18" t="inlineStr">
        <is>
          <t>pokemon</t>
        </is>
      </c>
      <c r="AP2637" s="18" t="inlineStr"/>
      <c r="AQ2637" s="18" t="inlineStr">
        <is>
          <t>{"biomes":["#cobblemon:is_spooky"],"canSeeSky":true}</t>
        </is>
      </c>
      <c r="AR2637" s="18" t="inlineStr"/>
      <c r="AS2637" s="18" t="inlineStr"/>
      <c r="AT2637" s="19" t="inlineStr"/>
    </row>
    <row r="2638" ht="32" customHeight="1">
      <c r="A2638" s="18" t="inlineStr">
        <is>
          <t>0807_zeraora.json::zeraora-1::001</t>
        </is>
      </c>
      <c r="B2638" s="19" t="inlineStr">
        <is>
          <t>사용</t>
        </is>
      </c>
      <c r="C2638" s="18">
        <f>IF(OR(B2638&lt;&gt;AK2638,M2638&lt;&gt;L2638,O2638&lt;&gt;"",Q2638&lt;&gt;"",V2638&lt;&gt;1,Y2638&lt;&gt;"",AT2638&lt;&gt;""),"수정","원본")</f>
        <v/>
      </c>
      <c r="D2638" s="18" t="n">
        <v>807</v>
      </c>
      <c r="E2638" s="18" t="inlineStr">
        <is>
          <t>제라오라</t>
        </is>
      </c>
      <c r="F2638" s="18" t="inlineStr">
        <is>
          <t>zeraora</t>
        </is>
      </c>
      <c r="G2638" s="18" t="inlineStr">
        <is>
          <t>zeraora</t>
        </is>
      </c>
      <c r="H2638" s="18" t="inlineStr"/>
      <c r="I2638" s="18" t="n">
        <v>7</v>
      </c>
      <c r="J2638" s="18" t="n"/>
      <c r="K2638" s="18" t="n">
        <v>7</v>
      </c>
      <c r="L2638" s="18" t="inlineStr">
        <is>
          <t>cobbleventure:generation_7</t>
        </is>
      </c>
      <c r="M2638" s="19" t="inlineStr">
        <is>
          <t>cobbleventure:generation_7</t>
        </is>
      </c>
      <c r="N2638" s="18" t="inlineStr"/>
      <c r="O2638" s="19" t="inlineStr"/>
      <c r="P2638" s="18" t="inlineStr">
        <is>
          <t>#cobblemon:is_badlands</t>
        </is>
      </c>
      <c r="Q2638" s="19" t="inlineStr"/>
      <c r="R2638" s="18">
        <f>IF(Q2638="",P2638,Q2638)</f>
        <v/>
      </c>
      <c r="S2638" s="18" t="inlineStr"/>
      <c r="T2638" s="18" t="inlineStr">
        <is>
          <t>ultra-rare</t>
        </is>
      </c>
      <c r="U2638" s="20" t="n">
        <v>1</v>
      </c>
      <c r="V2638" s="21" t="n">
        <v>1</v>
      </c>
      <c r="W2638" s="20">
        <f>IF(OR(U2638="",V2638=""),U2638,U2638*V2638)</f>
        <v/>
      </c>
      <c r="X2638" s="18" t="inlineStr">
        <is>
          <t>45-85</t>
        </is>
      </c>
      <c r="Y2638" s="19" t="inlineStr"/>
      <c r="Z2638" s="18">
        <f>IF(Y2638="",X2638,Y2638)</f>
        <v/>
      </c>
      <c r="AA2638" s="18" t="inlineStr">
        <is>
          <t>grounded</t>
        </is>
      </c>
      <c r="AB2638" s="18" t="inlineStr"/>
      <c r="AC2638" s="18" t="inlineStr"/>
      <c r="AD2638" s="18" t="inlineStr"/>
      <c r="AE2638" s="18" t="inlineStr"/>
      <c r="AF2638" s="18" t="inlineStr">
        <is>
          <t>True</t>
        </is>
      </c>
      <c r="AG2638" s="18" t="inlineStr"/>
      <c r="AH2638" s="18" t="inlineStr"/>
      <c r="AI2638" s="18" t="inlineStr"/>
      <c r="AJ2638" s="18" t="inlineStr">
        <is>
          <t>COBBLEVERSE 추가</t>
        </is>
      </c>
      <c r="AK2638" s="18" t="inlineStr">
        <is>
          <t>사용</t>
        </is>
      </c>
      <c r="AL2638" s="18" t="inlineStr">
        <is>
          <t>COBBLEVERSE 1.7.42 / DP v31</t>
        </is>
      </c>
      <c r="AM2638" s="18" t="inlineStr">
        <is>
          <t>data/cobblemon/spawn_pool_world/0807_zeraora.json</t>
        </is>
      </c>
      <c r="AN2638" s="18" t="inlineStr">
        <is>
          <t>zeraora-1</t>
        </is>
      </c>
      <c r="AO2638" s="18" t="inlineStr">
        <is>
          <t>pokemon</t>
        </is>
      </c>
      <c r="AP2638" s="18" t="inlineStr">
        <is>
          <t>natural</t>
        </is>
      </c>
      <c r="AQ2638" s="18" t="inlineStr">
        <is>
          <t>{"biomes":["#cobblemon:is_badlands"],"canSeeSky":true}</t>
        </is>
      </c>
      <c r="AR2638" s="18" t="inlineStr"/>
      <c r="AS2638" s="18" t="inlineStr"/>
      <c r="AT2638" s="19" t="inlineStr"/>
    </row>
    <row r="2639" ht="32" customHeight="1">
      <c r="A2639" s="18" t="inlineStr">
        <is>
          <t>0807_zeraora.json::zeraora-2::002</t>
        </is>
      </c>
      <c r="B2639" s="19" t="inlineStr">
        <is>
          <t>사용</t>
        </is>
      </c>
      <c r="C2639" s="18">
        <f>IF(OR(B2639&lt;&gt;AK2639,M2639&lt;&gt;L2639,O2639&lt;&gt;"",Q2639&lt;&gt;"",V2639&lt;&gt;1,Y2639&lt;&gt;"",AT2639&lt;&gt;""),"수정","원본")</f>
        <v/>
      </c>
      <c r="D2639" s="18" t="n">
        <v>807</v>
      </c>
      <c r="E2639" s="18" t="inlineStr">
        <is>
          <t>제라오라</t>
        </is>
      </c>
      <c r="F2639" s="18" t="inlineStr">
        <is>
          <t>zeraora</t>
        </is>
      </c>
      <c r="G2639" s="18" t="inlineStr">
        <is>
          <t>zeraora</t>
        </is>
      </c>
      <c r="H2639" s="18" t="inlineStr"/>
      <c r="I2639" s="18" t="n">
        <v>7</v>
      </c>
      <c r="J2639" s="18" t="n"/>
      <c r="K2639" s="18" t="n">
        <v>7</v>
      </c>
      <c r="L2639" s="18" t="inlineStr">
        <is>
          <t>cobbleventure:generation_7</t>
        </is>
      </c>
      <c r="M2639" s="19" t="inlineStr">
        <is>
          <t>cobbleventure:generation_7</t>
        </is>
      </c>
      <c r="N2639" s="18" t="inlineStr">
        <is>
          <t>region_01</t>
        </is>
      </c>
      <c r="O2639" s="19" t="inlineStr"/>
      <c r="P2639" s="18" t="inlineStr">
        <is>
          <t>#minecraft:is_forest</t>
        </is>
      </c>
      <c r="Q2639" s="19" t="inlineStr"/>
      <c r="R2639" s="18">
        <f>IF(Q2639="",P2639,Q2639)</f>
        <v/>
      </c>
      <c r="S2639" s="18" t="inlineStr"/>
      <c r="T2639" s="18" t="inlineStr">
        <is>
          <t>ultra-rare</t>
        </is>
      </c>
      <c r="U2639" s="20" t="n">
        <v>1</v>
      </c>
      <c r="V2639" s="21" t="n">
        <v>1</v>
      </c>
      <c r="W2639" s="20">
        <f>IF(OR(U2639="",V2639=""),U2639,U2639*V2639)</f>
        <v/>
      </c>
      <c r="X2639" s="18" t="inlineStr">
        <is>
          <t>45-85</t>
        </is>
      </c>
      <c r="Y2639" s="19" t="inlineStr"/>
      <c r="Z2639" s="18">
        <f>IF(Y2639="",X2639,Y2639)</f>
        <v/>
      </c>
      <c r="AA2639" s="18" t="inlineStr">
        <is>
          <t>grounded</t>
        </is>
      </c>
      <c r="AB2639" s="18" t="inlineStr"/>
      <c r="AC2639" s="18" t="inlineStr"/>
      <c r="AD2639" s="18" t="inlineStr"/>
      <c r="AE2639" s="18" t="inlineStr"/>
      <c r="AF2639" s="18" t="inlineStr">
        <is>
          <t>True</t>
        </is>
      </c>
      <c r="AG2639" s="18" t="inlineStr"/>
      <c r="AH2639" s="18" t="inlineStr"/>
      <c r="AI2639" s="18" t="inlineStr"/>
      <c r="AJ2639" s="18" t="inlineStr">
        <is>
          <t>COBBLEVERSE 추가</t>
        </is>
      </c>
      <c r="AK2639" s="18" t="inlineStr">
        <is>
          <t>사용</t>
        </is>
      </c>
      <c r="AL2639" s="18" t="inlineStr">
        <is>
          <t>COBBLEVERSE 1.7.42 / DP v31</t>
        </is>
      </c>
      <c r="AM2639" s="18" t="inlineStr">
        <is>
          <t>data/cobblemon/spawn_pool_world/0807_zeraora.json</t>
        </is>
      </c>
      <c r="AN2639" s="18" t="inlineStr">
        <is>
          <t>zeraora-2</t>
        </is>
      </c>
      <c r="AO2639" s="18" t="inlineStr">
        <is>
          <t>pokemon</t>
        </is>
      </c>
      <c r="AP2639" s="18" t="inlineStr">
        <is>
          <t>natural</t>
        </is>
      </c>
      <c r="AQ2639" s="18" t="inlineStr">
        <is>
          <t>{"biomes":["#minecraft:is_forest"],"canSeeSky":true}</t>
        </is>
      </c>
      <c r="AR2639" s="18" t="inlineStr"/>
      <c r="AS2639" s="18" t="inlineStr"/>
      <c r="AT2639" s="19" t="inlineStr"/>
    </row>
    <row r="2640" ht="32" customHeight="1">
      <c r="A2640" s="18" t="inlineStr">
        <is>
          <t>0808_meltan.json::meltan-1::001</t>
        </is>
      </c>
      <c r="B2640" s="19" t="inlineStr">
        <is>
          <t>사용</t>
        </is>
      </c>
      <c r="C2640" s="18">
        <f>IF(OR(B2640&lt;&gt;AK2640,M2640&lt;&gt;L2640,O2640&lt;&gt;"",Q2640&lt;&gt;"",V2640&lt;&gt;1,Y2640&lt;&gt;"",AT2640&lt;&gt;""),"수정","원본")</f>
        <v/>
      </c>
      <c r="D2640" s="18" t="n">
        <v>808</v>
      </c>
      <c r="E2640" s="18" t="inlineStr">
        <is>
          <t>멜탄</t>
        </is>
      </c>
      <c r="F2640" s="18" t="inlineStr">
        <is>
          <t>meltan</t>
        </is>
      </c>
      <c r="G2640" s="18" t="inlineStr">
        <is>
          <t>meltan</t>
        </is>
      </c>
      <c r="H2640" s="18" t="inlineStr"/>
      <c r="I2640" s="18" t="n">
        <v>7</v>
      </c>
      <c r="J2640" s="18" t="n"/>
      <c r="K2640" s="18" t="n">
        <v>7</v>
      </c>
      <c r="L2640" s="18" t="inlineStr">
        <is>
          <t>cobbleventure:generation_7</t>
        </is>
      </c>
      <c r="M2640" s="19" t="inlineStr">
        <is>
          <t>cobbleventure:generation_7</t>
        </is>
      </c>
      <c r="N2640" s="18" t="inlineStr">
        <is>
          <t>region_01; region_02</t>
        </is>
      </c>
      <c r="O2640" s="19" t="inlineStr"/>
      <c r="P2640" s="18" t="inlineStr">
        <is>
          <t>#cobblemon:is_overworld</t>
        </is>
      </c>
      <c r="Q2640" s="19" t="inlineStr"/>
      <c r="R2640" s="18">
        <f>IF(Q2640="",P2640,Q2640)</f>
        <v/>
      </c>
      <c r="S2640" s="18" t="inlineStr"/>
      <c r="T2640" s="18" t="inlineStr">
        <is>
          <t>ultra-rare</t>
        </is>
      </c>
      <c r="U2640" s="20" t="n">
        <v>5</v>
      </c>
      <c r="V2640" s="21" t="n">
        <v>1</v>
      </c>
      <c r="W2640" s="20">
        <f>IF(OR(U2640="",V2640=""),U2640,U2640*V2640)</f>
        <v/>
      </c>
      <c r="X2640" s="18" t="inlineStr">
        <is>
          <t>38-48</t>
        </is>
      </c>
      <c r="Y2640" s="19" t="inlineStr"/>
      <c r="Z2640" s="18">
        <f>IF(Y2640="",X2640,Y2640)</f>
        <v/>
      </c>
      <c r="AA2640" s="18" t="inlineStr">
        <is>
          <t>grounded</t>
        </is>
      </c>
      <c r="AB2640" s="18" t="inlineStr"/>
      <c r="AC2640" s="18" t="inlineStr"/>
      <c r="AD2640" s="18" t="inlineStr"/>
      <c r="AE2640" s="18" t="inlineStr"/>
      <c r="AF2640" s="18" t="inlineStr">
        <is>
          <t>True</t>
        </is>
      </c>
      <c r="AG2640" s="18" t="inlineStr"/>
      <c r="AH2640" s="18" t="inlineStr">
        <is>
          <t>주변=minecraft:iron_block</t>
        </is>
      </c>
      <c r="AI2640" s="18" t="inlineStr"/>
      <c r="AJ2640" s="18" t="inlineStr">
        <is>
          <t>COBBLEVERSE 추가</t>
        </is>
      </c>
      <c r="AK2640" s="18" t="inlineStr">
        <is>
          <t>사용</t>
        </is>
      </c>
      <c r="AL2640" s="18" t="inlineStr">
        <is>
          <t>COBBLEVERSE 1.7.42 / DP v31</t>
        </is>
      </c>
      <c r="AM2640" s="18" t="inlineStr">
        <is>
          <t>data/cobblemon/spawn_pool_world/0808_meltan.json</t>
        </is>
      </c>
      <c r="AN2640" s="18" t="inlineStr">
        <is>
          <t>meltan-1</t>
        </is>
      </c>
      <c r="AO2640" s="18" t="inlineStr">
        <is>
          <t>pokemon</t>
        </is>
      </c>
      <c r="AP2640" s="18" t="inlineStr"/>
      <c r="AQ2640" s="18" t="inlineStr">
        <is>
          <t>{"biomes":["#cobblemon:is_overworld"],"canSeeSky":true,"neededNearbyBlocks":["minecraft:iron_block"]}</t>
        </is>
      </c>
      <c r="AR2640" s="18" t="inlineStr"/>
      <c r="AS2640" s="18" t="inlineStr"/>
      <c r="AT2640" s="19" t="inlineStr"/>
    </row>
    <row r="2641" ht="32" customHeight="1">
      <c r="A2641" s="18" t="inlineStr">
        <is>
          <t>0808_meltan.json::meltan-2::002</t>
        </is>
      </c>
      <c r="B2641" s="19" t="inlineStr">
        <is>
          <t>사용</t>
        </is>
      </c>
      <c r="C2641" s="18">
        <f>IF(OR(B2641&lt;&gt;AK2641,M2641&lt;&gt;L2641,O2641&lt;&gt;"",Q2641&lt;&gt;"",V2641&lt;&gt;1,Y2641&lt;&gt;"",AT2641&lt;&gt;""),"수정","원본")</f>
        <v/>
      </c>
      <c r="D2641" s="18" t="n">
        <v>808</v>
      </c>
      <c r="E2641" s="18" t="inlineStr">
        <is>
          <t>멜탄</t>
        </is>
      </c>
      <c r="F2641" s="18" t="inlineStr">
        <is>
          <t>meltan</t>
        </is>
      </c>
      <c r="G2641" s="18" t="inlineStr">
        <is>
          <t>meltan</t>
        </is>
      </c>
      <c r="H2641" s="18" t="inlineStr"/>
      <c r="I2641" s="18" t="n">
        <v>7</v>
      </c>
      <c r="J2641" s="18" t="n"/>
      <c r="K2641" s="18" t="n">
        <v>7</v>
      </c>
      <c r="L2641" s="18" t="inlineStr">
        <is>
          <t>cobbleventure:generation_7</t>
        </is>
      </c>
      <c r="M2641" s="19" t="inlineStr">
        <is>
          <t>cobbleventure:generation_7</t>
        </is>
      </c>
      <c r="N2641" s="18" t="inlineStr"/>
      <c r="O2641" s="19" t="inlineStr"/>
      <c r="P2641" s="18" t="inlineStr">
        <is>
          <t>minecraft:beach</t>
        </is>
      </c>
      <c r="Q2641" s="19" t="inlineStr"/>
      <c r="R2641" s="18">
        <f>IF(Q2641="",P2641,Q2641)</f>
        <v/>
      </c>
      <c r="S2641" s="18" t="inlineStr"/>
      <c r="T2641" s="18" t="inlineStr">
        <is>
          <t>ultra-rare</t>
        </is>
      </c>
      <c r="U2641" s="20" t="n">
        <v>2</v>
      </c>
      <c r="V2641" s="21" t="n">
        <v>1</v>
      </c>
      <c r="W2641" s="20">
        <f>IF(OR(U2641="",V2641=""),U2641,U2641*V2641)</f>
        <v/>
      </c>
      <c r="X2641" s="18" t="inlineStr">
        <is>
          <t>38-52</t>
        </is>
      </c>
      <c r="Y2641" s="19" t="inlineStr"/>
      <c r="Z2641" s="18">
        <f>IF(Y2641="",X2641,Y2641)</f>
        <v/>
      </c>
      <c r="AA2641" s="18" t="inlineStr">
        <is>
          <t>grounded</t>
        </is>
      </c>
      <c r="AB2641" s="18" t="inlineStr"/>
      <c r="AC2641" s="18" t="inlineStr"/>
      <c r="AD2641" s="18" t="inlineStr"/>
      <c r="AE2641" s="18" t="inlineStr"/>
      <c r="AF2641" s="18" t="inlineStr"/>
      <c r="AG2641" s="18" t="inlineStr"/>
      <c r="AH2641" s="18" t="inlineStr"/>
      <c r="AI2641" s="18" t="inlineStr"/>
      <c r="AJ2641" s="18" t="inlineStr">
        <is>
          <t>COBBLEVERSE 추가</t>
        </is>
      </c>
      <c r="AK2641" s="18" t="inlineStr">
        <is>
          <t>사용</t>
        </is>
      </c>
      <c r="AL2641" s="18" t="inlineStr">
        <is>
          <t>COBBLEVERSE 1.7.42 / DP v31</t>
        </is>
      </c>
      <c r="AM2641" s="18" t="inlineStr">
        <is>
          <t>data/cobblemon/spawn_pool_world/0808_meltan.json</t>
        </is>
      </c>
      <c r="AN2641" s="18" t="inlineStr">
        <is>
          <t>meltan-2</t>
        </is>
      </c>
      <c r="AO2641" s="18" t="inlineStr">
        <is>
          <t>pokemon</t>
        </is>
      </c>
      <c r="AP2641" s="18" t="inlineStr"/>
      <c r="AQ2641" s="18" t="inlineStr">
        <is>
          <t>{"biomes":["minecraft:beach"]}</t>
        </is>
      </c>
      <c r="AR2641" s="18" t="inlineStr"/>
      <c r="AS2641" s="18" t="inlineStr"/>
      <c r="AT2641" s="19" t="inlineStr"/>
    </row>
    <row r="2642" ht="32" customHeight="1">
      <c r="A2642" s="18" t="inlineStr">
        <is>
          <t>0810_grookey.json::grookey-1::001</t>
        </is>
      </c>
      <c r="B2642" s="19" t="inlineStr">
        <is>
          <t>사용</t>
        </is>
      </c>
      <c r="C2642" s="18">
        <f>IF(OR(B2642&lt;&gt;AK2642,M2642&lt;&gt;L2642,O2642&lt;&gt;"",Q2642&lt;&gt;"",V2642&lt;&gt;1,Y2642&lt;&gt;"",AT2642&lt;&gt;""),"수정","원본")</f>
        <v/>
      </c>
      <c r="D2642" s="18" t="n">
        <v>810</v>
      </c>
      <c r="E2642" s="18" t="inlineStr">
        <is>
          <t>흥나숭</t>
        </is>
      </c>
      <c r="F2642" s="18" t="inlineStr">
        <is>
          <t>grookey</t>
        </is>
      </c>
      <c r="G2642" s="18" t="inlineStr">
        <is>
          <t>grookey</t>
        </is>
      </c>
      <c r="H2642" s="18" t="inlineStr"/>
      <c r="I2642" s="18" t="n">
        <v>8</v>
      </c>
      <c r="J2642" s="18" t="n"/>
      <c r="K2642" s="18" t="n">
        <v>8</v>
      </c>
      <c r="L2642" s="18" t="inlineStr">
        <is>
          <t>cobbleventure:generation_8</t>
        </is>
      </c>
      <c r="M2642" s="19" t="inlineStr">
        <is>
          <t>cobbleventure:generation_8</t>
        </is>
      </c>
      <c r="N2642" s="18" t="inlineStr"/>
      <c r="O2642" s="19" t="inlineStr"/>
      <c r="P2642" s="18" t="inlineStr">
        <is>
          <t>#cobblemon:is_jungle; #cobblemon:is_tropical_island</t>
        </is>
      </c>
      <c r="Q2642" s="19" t="inlineStr"/>
      <c r="R2642" s="18">
        <f>IF(Q2642="",P2642,Q2642)</f>
        <v/>
      </c>
      <c r="S2642" s="18" t="inlineStr"/>
      <c r="T2642" s="18" t="inlineStr">
        <is>
          <t>ultra-rare</t>
        </is>
      </c>
      <c r="U2642" s="20" t="n">
        <v>6</v>
      </c>
      <c r="V2642" s="21" t="n">
        <v>1</v>
      </c>
      <c r="W2642" s="20">
        <f>IF(OR(U2642="",V2642=""),U2642,U2642*V2642)</f>
        <v/>
      </c>
      <c r="X2642" s="18" t="inlineStr">
        <is>
          <t>5-31</t>
        </is>
      </c>
      <c r="Y2642" s="19" t="inlineStr"/>
      <c r="Z2642" s="18">
        <f>IF(Y2642="",X2642,Y2642)</f>
        <v/>
      </c>
      <c r="AA2642" s="18" t="inlineStr">
        <is>
          <t>grounded</t>
        </is>
      </c>
      <c r="AB2642" s="18" t="inlineStr"/>
      <c r="AC2642" s="18" t="inlineStr"/>
      <c r="AD2642" s="18" t="inlineStr"/>
      <c r="AE2642" s="18" t="inlineStr">
        <is>
          <t>sky 8-15</t>
        </is>
      </c>
      <c r="AF2642" s="18" t="inlineStr"/>
      <c r="AG2642" s="18" t="inlineStr"/>
      <c r="AH2642" s="18" t="inlineStr"/>
      <c r="AI2642" s="18" t="inlineStr"/>
      <c r="AJ2642" s="18" t="inlineStr">
        <is>
          <t>Cobblemon 동일</t>
        </is>
      </c>
      <c r="AK2642" s="18" t="inlineStr">
        <is>
          <t>사용</t>
        </is>
      </c>
      <c r="AL2642" s="18" t="inlineStr">
        <is>
          <t>COBBLEVERSE 1.7.42 / DP v31</t>
        </is>
      </c>
      <c r="AM2642" s="18" t="inlineStr">
        <is>
          <t>data/cobblemon/spawn_pool_world/0810_grookey.json</t>
        </is>
      </c>
      <c r="AN2642" s="18" t="inlineStr">
        <is>
          <t>grookey-1</t>
        </is>
      </c>
      <c r="AO2642" s="18" t="inlineStr">
        <is>
          <t>pokemon</t>
        </is>
      </c>
      <c r="AP2642" s="18" t="inlineStr">
        <is>
          <t>natural; treetop</t>
        </is>
      </c>
      <c r="AQ2642" s="18" t="inlineStr">
        <is>
          <t>{"biomes":["#cobblemon:is_jungle","#cobblemon:is_tropical_island"],"maxSkyLight":15,"minSkyLight":8}</t>
        </is>
      </c>
      <c r="AR2642" s="18" t="inlineStr"/>
      <c r="AS2642" s="18" t="inlineStr"/>
      <c r="AT2642" s="19" t="inlineStr"/>
    </row>
    <row r="2643" ht="32" customHeight="1">
      <c r="A2643" s="18" t="inlineStr">
        <is>
          <t>0811_thwackey.json::thwackey-1::001</t>
        </is>
      </c>
      <c r="B2643" s="19" t="inlineStr">
        <is>
          <t>사용</t>
        </is>
      </c>
      <c r="C2643" s="18">
        <f>IF(OR(B2643&lt;&gt;AK2643,M2643&lt;&gt;L2643,O2643&lt;&gt;"",Q2643&lt;&gt;"",V2643&lt;&gt;1,Y2643&lt;&gt;"",AT2643&lt;&gt;""),"수정","원본")</f>
        <v/>
      </c>
      <c r="D2643" s="18" t="n">
        <v>811</v>
      </c>
      <c r="E2643" s="18" t="inlineStr">
        <is>
          <t>채키몽</t>
        </is>
      </c>
      <c r="F2643" s="18" t="inlineStr">
        <is>
          <t>thwackey</t>
        </is>
      </c>
      <c r="G2643" s="18" t="inlineStr">
        <is>
          <t>thwackey</t>
        </is>
      </c>
      <c r="H2643" s="18" t="inlineStr"/>
      <c r="I2643" s="18" t="n">
        <v>8</v>
      </c>
      <c r="J2643" s="18" t="n"/>
      <c r="K2643" s="18" t="n">
        <v>8</v>
      </c>
      <c r="L2643" s="18" t="inlineStr">
        <is>
          <t>cobbleventure:generation_8</t>
        </is>
      </c>
      <c r="M2643" s="19" t="inlineStr">
        <is>
          <t>cobbleventure:generation_8</t>
        </is>
      </c>
      <c r="N2643" s="18" t="inlineStr"/>
      <c r="O2643" s="19" t="inlineStr"/>
      <c r="P2643" s="18" t="inlineStr">
        <is>
          <t>#cobblemon:is_jungle; #cobblemon:is_tropical_island</t>
        </is>
      </c>
      <c r="Q2643" s="19" t="inlineStr"/>
      <c r="R2643" s="18">
        <f>IF(Q2643="",P2643,Q2643)</f>
        <v/>
      </c>
      <c r="S2643" s="18" t="inlineStr"/>
      <c r="T2643" s="18" t="inlineStr">
        <is>
          <t>ultra-rare</t>
        </is>
      </c>
      <c r="U2643" s="20" t="n">
        <v>3.6</v>
      </c>
      <c r="V2643" s="21" t="n">
        <v>1</v>
      </c>
      <c r="W2643" s="20">
        <f>IF(OR(U2643="",V2643=""),U2643,U2643*V2643)</f>
        <v/>
      </c>
      <c r="X2643" s="18" t="inlineStr">
        <is>
          <t>16-42</t>
        </is>
      </c>
      <c r="Y2643" s="19" t="inlineStr"/>
      <c r="Z2643" s="18">
        <f>IF(Y2643="",X2643,Y2643)</f>
        <v/>
      </c>
      <c r="AA2643" s="18" t="inlineStr">
        <is>
          <t>grounded</t>
        </is>
      </c>
      <c r="AB2643" s="18" t="inlineStr"/>
      <c r="AC2643" s="18" t="inlineStr"/>
      <c r="AD2643" s="18" t="inlineStr"/>
      <c r="AE2643" s="18" t="inlineStr">
        <is>
          <t>sky 8-15</t>
        </is>
      </c>
      <c r="AF2643" s="18" t="inlineStr"/>
      <c r="AG2643" s="18" t="inlineStr"/>
      <c r="AH2643" s="18" t="inlineStr"/>
      <c r="AI2643" s="18" t="inlineStr"/>
      <c r="AJ2643" s="18" t="inlineStr">
        <is>
          <t>Cobblemon 동일</t>
        </is>
      </c>
      <c r="AK2643" s="18" t="inlineStr">
        <is>
          <t>사용</t>
        </is>
      </c>
      <c r="AL2643" s="18" t="inlineStr">
        <is>
          <t>COBBLEVERSE 1.7.42 / DP v31</t>
        </is>
      </c>
      <c r="AM2643" s="18" t="inlineStr">
        <is>
          <t>data/cobblemon/spawn_pool_world/0811_thwackey.json</t>
        </is>
      </c>
      <c r="AN2643" s="18" t="inlineStr">
        <is>
          <t>thwackey-1</t>
        </is>
      </c>
      <c r="AO2643" s="18" t="inlineStr">
        <is>
          <t>pokemon</t>
        </is>
      </c>
      <c r="AP2643" s="18" t="inlineStr">
        <is>
          <t>natural; treetop</t>
        </is>
      </c>
      <c r="AQ2643" s="18" t="inlineStr">
        <is>
          <t>{"biomes":["#cobblemon:is_jungle","#cobblemon:is_tropical_island"],"maxSkyLight":15,"minSkyLight":8}</t>
        </is>
      </c>
      <c r="AR2643" s="18" t="inlineStr"/>
      <c r="AS2643" s="18" t="inlineStr"/>
      <c r="AT2643" s="19" t="inlineStr"/>
    </row>
    <row r="2644" ht="32" customHeight="1">
      <c r="A2644" s="18" t="inlineStr">
        <is>
          <t>0812_rillaboom.json::rillaboom-1::001</t>
        </is>
      </c>
      <c r="B2644" s="19" t="inlineStr">
        <is>
          <t>사용</t>
        </is>
      </c>
      <c r="C2644" s="18">
        <f>IF(OR(B2644&lt;&gt;AK2644,M2644&lt;&gt;L2644,O2644&lt;&gt;"",Q2644&lt;&gt;"",V2644&lt;&gt;1,Y2644&lt;&gt;"",AT2644&lt;&gt;""),"수정","원본")</f>
        <v/>
      </c>
      <c r="D2644" s="18" t="n">
        <v>812</v>
      </c>
      <c r="E2644" s="18" t="inlineStr">
        <is>
          <t>고릴타</t>
        </is>
      </c>
      <c r="F2644" s="18" t="inlineStr">
        <is>
          <t>rillaboom</t>
        </is>
      </c>
      <c r="G2644" s="18" t="inlineStr">
        <is>
          <t>rillaboom</t>
        </is>
      </c>
      <c r="H2644" s="18" t="inlineStr"/>
      <c r="I2644" s="18" t="n">
        <v>8</v>
      </c>
      <c r="J2644" s="18" t="n"/>
      <c r="K2644" s="18" t="n">
        <v>8</v>
      </c>
      <c r="L2644" s="18" t="inlineStr">
        <is>
          <t>cobbleventure:generation_8</t>
        </is>
      </c>
      <c r="M2644" s="19" t="inlineStr">
        <is>
          <t>cobbleventure:generation_8</t>
        </is>
      </c>
      <c r="N2644" s="18" t="inlineStr"/>
      <c r="O2644" s="19" t="inlineStr"/>
      <c r="P2644" s="18" t="inlineStr">
        <is>
          <t>#cobblemon:is_jungle; #cobblemon:is_tropical_island</t>
        </is>
      </c>
      <c r="Q2644" s="19" t="inlineStr"/>
      <c r="R2644" s="18">
        <f>IF(Q2644="",P2644,Q2644)</f>
        <v/>
      </c>
      <c r="S2644" s="18" t="inlineStr"/>
      <c r="T2644" s="18" t="inlineStr">
        <is>
          <t>ultra-rare</t>
        </is>
      </c>
      <c r="U2644" s="20" t="n">
        <v>0.4</v>
      </c>
      <c r="V2644" s="21" t="n">
        <v>1</v>
      </c>
      <c r="W2644" s="20">
        <f>IF(OR(U2644="",V2644=""),U2644,U2644*V2644)</f>
        <v/>
      </c>
      <c r="X2644" s="18" t="inlineStr">
        <is>
          <t>35-53</t>
        </is>
      </c>
      <c r="Y2644" s="19" t="inlineStr"/>
      <c r="Z2644" s="18">
        <f>IF(Y2644="",X2644,Y2644)</f>
        <v/>
      </c>
      <c r="AA2644" s="18" t="inlineStr">
        <is>
          <t>grounded</t>
        </is>
      </c>
      <c r="AB2644" s="18" t="inlineStr"/>
      <c r="AC2644" s="18" t="inlineStr"/>
      <c r="AD2644" s="18" t="inlineStr"/>
      <c r="AE2644" s="18" t="inlineStr">
        <is>
          <t>sky 8-15</t>
        </is>
      </c>
      <c r="AF2644" s="18" t="inlineStr"/>
      <c r="AG2644" s="18" t="inlineStr"/>
      <c r="AH2644" s="18" t="inlineStr"/>
      <c r="AI2644" s="18" t="inlineStr"/>
      <c r="AJ2644" s="18" t="inlineStr">
        <is>
          <t>Cobblemon 동일</t>
        </is>
      </c>
      <c r="AK2644" s="18" t="inlineStr">
        <is>
          <t>사용</t>
        </is>
      </c>
      <c r="AL2644" s="18" t="inlineStr">
        <is>
          <t>COBBLEVERSE 1.7.42 / DP v31</t>
        </is>
      </c>
      <c r="AM2644" s="18" t="inlineStr">
        <is>
          <t>data/cobblemon/spawn_pool_world/0812_rillaboom.json</t>
        </is>
      </c>
      <c r="AN2644" s="18" t="inlineStr">
        <is>
          <t>rillaboom-1</t>
        </is>
      </c>
      <c r="AO2644" s="18" t="inlineStr">
        <is>
          <t>pokemon</t>
        </is>
      </c>
      <c r="AP2644" s="18" t="inlineStr">
        <is>
          <t>natural; treetop</t>
        </is>
      </c>
      <c r="AQ2644" s="18" t="inlineStr">
        <is>
          <t>{"biomes":["#cobblemon:is_jungle","#cobblemon:is_tropical_island"],"maxSkyLight":15,"minSkyLight":8}</t>
        </is>
      </c>
      <c r="AR2644" s="18" t="inlineStr"/>
      <c r="AS2644" s="18" t="inlineStr"/>
      <c r="AT2644" s="19" t="inlineStr"/>
    </row>
    <row r="2645" ht="32" customHeight="1">
      <c r="A2645" s="18" t="inlineStr">
        <is>
          <t>0813_scorbunny.json::scorbunny-1::001</t>
        </is>
      </c>
      <c r="B2645" s="19" t="inlineStr">
        <is>
          <t>사용</t>
        </is>
      </c>
      <c r="C2645" s="18">
        <f>IF(OR(B2645&lt;&gt;AK2645,M2645&lt;&gt;L2645,O2645&lt;&gt;"",Q2645&lt;&gt;"",V2645&lt;&gt;1,Y2645&lt;&gt;"",AT2645&lt;&gt;""),"수정","원본")</f>
        <v/>
      </c>
      <c r="D2645" s="18" t="n">
        <v>813</v>
      </c>
      <c r="E2645" s="18" t="inlineStr">
        <is>
          <t>염버니</t>
        </is>
      </c>
      <c r="F2645" s="18" t="inlineStr">
        <is>
          <t>scorbunny</t>
        </is>
      </c>
      <c r="G2645" s="18" t="inlineStr">
        <is>
          <t>scorbunny</t>
        </is>
      </c>
      <c r="H2645" s="18" t="inlineStr"/>
      <c r="I2645" s="18" t="n">
        <v>8</v>
      </c>
      <c r="J2645" s="18" t="n"/>
      <c r="K2645" s="18" t="n">
        <v>8</v>
      </c>
      <c r="L2645" s="18" t="inlineStr">
        <is>
          <t>cobbleventure:generation_8</t>
        </is>
      </c>
      <c r="M2645" s="19" t="inlineStr">
        <is>
          <t>cobbleventure:generation_8</t>
        </is>
      </c>
      <c r="N2645" s="18" t="inlineStr">
        <is>
          <t>region_01</t>
        </is>
      </c>
      <c r="O2645" s="19" t="inlineStr"/>
      <c r="P2645" s="18" t="inlineStr">
        <is>
          <t>#cobblemon:is_grassland; aether:skyroot_grove; aether:skyroot_meadow</t>
        </is>
      </c>
      <c r="Q2645" s="19" t="inlineStr"/>
      <c r="R2645" s="18">
        <f>IF(Q2645="",P2645,Q2645)</f>
        <v/>
      </c>
      <c r="S2645" s="18" t="inlineStr"/>
      <c r="T2645" s="18" t="inlineStr">
        <is>
          <t>ultra-rare</t>
        </is>
      </c>
      <c r="U2645" s="20" t="n">
        <v>6</v>
      </c>
      <c r="V2645" s="21" t="n">
        <v>1</v>
      </c>
      <c r="W2645" s="20">
        <f>IF(OR(U2645="",V2645=""),U2645,U2645*V2645)</f>
        <v/>
      </c>
      <c r="X2645" s="18" t="inlineStr">
        <is>
          <t>5-31</t>
        </is>
      </c>
      <c r="Y2645" s="19" t="inlineStr"/>
      <c r="Z2645" s="18">
        <f>IF(Y2645="",X2645,Y2645)</f>
        <v/>
      </c>
      <c r="AA2645" s="18" t="inlineStr">
        <is>
          <t>grounded</t>
        </is>
      </c>
      <c r="AB2645" s="18" t="inlineStr"/>
      <c r="AC2645" s="18" t="inlineStr"/>
      <c r="AD2645" s="18" t="inlineStr"/>
      <c r="AE2645" s="18" t="inlineStr">
        <is>
          <t>sky 8-15</t>
        </is>
      </c>
      <c r="AF2645" s="18" t="inlineStr"/>
      <c r="AG2645" s="18" t="inlineStr"/>
      <c r="AH2645" s="18" t="inlineStr"/>
      <c r="AI2645" s="18" t="inlineStr"/>
      <c r="AJ2645" s="18" t="inlineStr">
        <is>
          <t>COBBLEVERSE 수정</t>
        </is>
      </c>
      <c r="AK2645" s="18" t="inlineStr">
        <is>
          <t>사용</t>
        </is>
      </c>
      <c r="AL2645" s="18" t="inlineStr">
        <is>
          <t>COBBLEVERSE 1.7.42 / DP v31</t>
        </is>
      </c>
      <c r="AM2645" s="18" t="inlineStr">
        <is>
          <t>data/cobblemon/spawn_pool_world/0813_scorbunny.json</t>
        </is>
      </c>
      <c r="AN2645" s="18" t="inlineStr">
        <is>
          <t>scorbunny-1</t>
        </is>
      </c>
      <c r="AO2645" s="18" t="inlineStr">
        <is>
          <t>pokemon</t>
        </is>
      </c>
      <c r="AP2645" s="18" t="inlineStr">
        <is>
          <t>natural</t>
        </is>
      </c>
      <c r="AQ2645" s="18" t="inlineStr">
        <is>
          <t>{"biomes":["#cobblemon:is_grassland","aether:skyroot_grove","aether:skyroot_meadow"],"maxSkyLight":15,"minSkyLight":8}</t>
        </is>
      </c>
      <c r="AR2645" s="18" t="inlineStr"/>
      <c r="AS2645" s="18" t="inlineStr"/>
      <c r="AT2645" s="19" t="inlineStr"/>
    </row>
    <row r="2646" ht="32" customHeight="1">
      <c r="A2646" s="18" t="inlineStr">
        <is>
          <t>0814_raboot.json::raboot-1::001</t>
        </is>
      </c>
      <c r="B2646" s="19" t="inlineStr">
        <is>
          <t>사용</t>
        </is>
      </c>
      <c r="C2646" s="18">
        <f>IF(OR(B2646&lt;&gt;AK2646,M2646&lt;&gt;L2646,O2646&lt;&gt;"",Q2646&lt;&gt;"",V2646&lt;&gt;1,Y2646&lt;&gt;"",AT2646&lt;&gt;""),"수정","원본")</f>
        <v/>
      </c>
      <c r="D2646" s="18" t="n">
        <v>814</v>
      </c>
      <c r="E2646" s="18" t="inlineStr">
        <is>
          <t>래비풋</t>
        </is>
      </c>
      <c r="F2646" s="18" t="inlineStr">
        <is>
          <t>raboot</t>
        </is>
      </c>
      <c r="G2646" s="18" t="inlineStr">
        <is>
          <t>raboot</t>
        </is>
      </c>
      <c r="H2646" s="18" t="inlineStr"/>
      <c r="I2646" s="18" t="n">
        <v>8</v>
      </c>
      <c r="J2646" s="18" t="n"/>
      <c r="K2646" s="18" t="n">
        <v>8</v>
      </c>
      <c r="L2646" s="18" t="inlineStr">
        <is>
          <t>cobbleventure:generation_8</t>
        </is>
      </c>
      <c r="M2646" s="19" t="inlineStr">
        <is>
          <t>cobbleventure:generation_8</t>
        </is>
      </c>
      <c r="N2646" s="18" t="inlineStr">
        <is>
          <t>region_01</t>
        </is>
      </c>
      <c r="O2646" s="19" t="inlineStr"/>
      <c r="P2646" s="18" t="inlineStr">
        <is>
          <t>#cobblemon:is_grassland; aether:skyroot_grove; aether:skyroot_meadow</t>
        </is>
      </c>
      <c r="Q2646" s="19" t="inlineStr"/>
      <c r="R2646" s="18">
        <f>IF(Q2646="",P2646,Q2646)</f>
        <v/>
      </c>
      <c r="S2646" s="18" t="inlineStr"/>
      <c r="T2646" s="18" t="inlineStr">
        <is>
          <t>ultra-rare</t>
        </is>
      </c>
      <c r="U2646" s="20" t="n">
        <v>3.6</v>
      </c>
      <c r="V2646" s="21" t="n">
        <v>1</v>
      </c>
      <c r="W2646" s="20">
        <f>IF(OR(U2646="",V2646=""),U2646,U2646*V2646)</f>
        <v/>
      </c>
      <c r="X2646" s="18" t="inlineStr">
        <is>
          <t>16-42</t>
        </is>
      </c>
      <c r="Y2646" s="19" t="inlineStr"/>
      <c r="Z2646" s="18">
        <f>IF(Y2646="",X2646,Y2646)</f>
        <v/>
      </c>
      <c r="AA2646" s="18" t="inlineStr">
        <is>
          <t>grounded</t>
        </is>
      </c>
      <c r="AB2646" s="18" t="inlineStr"/>
      <c r="AC2646" s="18" t="inlineStr"/>
      <c r="AD2646" s="18" t="inlineStr"/>
      <c r="AE2646" s="18" t="inlineStr">
        <is>
          <t>sky 8-15</t>
        </is>
      </c>
      <c r="AF2646" s="18" t="inlineStr"/>
      <c r="AG2646" s="18" t="inlineStr"/>
      <c r="AH2646" s="18" t="inlineStr"/>
      <c r="AI2646" s="18" t="inlineStr"/>
      <c r="AJ2646" s="18" t="inlineStr">
        <is>
          <t>COBBLEVERSE 수정</t>
        </is>
      </c>
      <c r="AK2646" s="18" t="inlineStr">
        <is>
          <t>사용</t>
        </is>
      </c>
      <c r="AL2646" s="18" t="inlineStr">
        <is>
          <t>COBBLEVERSE 1.7.42 / DP v31</t>
        </is>
      </c>
      <c r="AM2646" s="18" t="inlineStr">
        <is>
          <t>data/cobblemon/spawn_pool_world/0814_raboot.json</t>
        </is>
      </c>
      <c r="AN2646" s="18" t="inlineStr">
        <is>
          <t>raboot-1</t>
        </is>
      </c>
      <c r="AO2646" s="18" t="inlineStr">
        <is>
          <t>pokemon</t>
        </is>
      </c>
      <c r="AP2646" s="18" t="inlineStr">
        <is>
          <t>natural</t>
        </is>
      </c>
      <c r="AQ2646" s="18" t="inlineStr">
        <is>
          <t>{"biomes":["#cobblemon:is_grassland","aether:skyroot_grove","aether:skyroot_meadow"],"maxSkyLight":15,"minSkyLight":8}</t>
        </is>
      </c>
      <c r="AR2646" s="18" t="inlineStr"/>
      <c r="AS2646" s="18" t="inlineStr"/>
      <c r="AT2646" s="19" t="inlineStr"/>
    </row>
    <row r="2647" ht="32" customHeight="1">
      <c r="A2647" s="18" t="inlineStr">
        <is>
          <t>0815_cinderace.json::cinderace-1::001</t>
        </is>
      </c>
      <c r="B2647" s="19" t="inlineStr">
        <is>
          <t>사용</t>
        </is>
      </c>
      <c r="C2647" s="18">
        <f>IF(OR(B2647&lt;&gt;AK2647,M2647&lt;&gt;L2647,O2647&lt;&gt;"",Q2647&lt;&gt;"",V2647&lt;&gt;1,Y2647&lt;&gt;"",AT2647&lt;&gt;""),"수정","원본")</f>
        <v/>
      </c>
      <c r="D2647" s="18" t="n">
        <v>815</v>
      </c>
      <c r="E2647" s="18" t="inlineStr">
        <is>
          <t>에이스번</t>
        </is>
      </c>
      <c r="F2647" s="18" t="inlineStr">
        <is>
          <t>cinderace</t>
        </is>
      </c>
      <c r="G2647" s="18" t="inlineStr">
        <is>
          <t>cinderace</t>
        </is>
      </c>
      <c r="H2647" s="18" t="inlineStr"/>
      <c r="I2647" s="18" t="n">
        <v>8</v>
      </c>
      <c r="J2647" s="18" t="n"/>
      <c r="K2647" s="18" t="n">
        <v>8</v>
      </c>
      <c r="L2647" s="18" t="inlineStr">
        <is>
          <t>cobbleventure:generation_8</t>
        </is>
      </c>
      <c r="M2647" s="19" t="inlineStr">
        <is>
          <t>cobbleventure:generation_8</t>
        </is>
      </c>
      <c r="N2647" s="18" t="inlineStr">
        <is>
          <t>region_01</t>
        </is>
      </c>
      <c r="O2647" s="19" t="inlineStr"/>
      <c r="P2647" s="18" t="inlineStr">
        <is>
          <t>#cobblemon:is_grassland; aether:skyroot_grove; aether:skyroot_meadow</t>
        </is>
      </c>
      <c r="Q2647" s="19" t="inlineStr"/>
      <c r="R2647" s="18">
        <f>IF(Q2647="",P2647,Q2647)</f>
        <v/>
      </c>
      <c r="S2647" s="18" t="inlineStr"/>
      <c r="T2647" s="18" t="inlineStr">
        <is>
          <t>ultra-rare</t>
        </is>
      </c>
      <c r="U2647" s="20" t="n">
        <v>0.4</v>
      </c>
      <c r="V2647" s="21" t="n">
        <v>1</v>
      </c>
      <c r="W2647" s="20">
        <f>IF(OR(U2647="",V2647=""),U2647,U2647*V2647)</f>
        <v/>
      </c>
      <c r="X2647" s="18" t="inlineStr">
        <is>
          <t>35-53</t>
        </is>
      </c>
      <c r="Y2647" s="19" t="inlineStr"/>
      <c r="Z2647" s="18">
        <f>IF(Y2647="",X2647,Y2647)</f>
        <v/>
      </c>
      <c r="AA2647" s="18" t="inlineStr">
        <is>
          <t>grounded</t>
        </is>
      </c>
      <c r="AB2647" s="18" t="inlineStr"/>
      <c r="AC2647" s="18" t="inlineStr"/>
      <c r="AD2647" s="18" t="inlineStr"/>
      <c r="AE2647" s="18" t="inlineStr">
        <is>
          <t>sky 8-15</t>
        </is>
      </c>
      <c r="AF2647" s="18" t="inlineStr"/>
      <c r="AG2647" s="18" t="inlineStr"/>
      <c r="AH2647" s="18" t="inlineStr"/>
      <c r="AI2647" s="18" t="inlineStr"/>
      <c r="AJ2647" s="18" t="inlineStr">
        <is>
          <t>COBBLEVERSE 수정</t>
        </is>
      </c>
      <c r="AK2647" s="18" t="inlineStr">
        <is>
          <t>사용</t>
        </is>
      </c>
      <c r="AL2647" s="18" t="inlineStr">
        <is>
          <t>COBBLEVERSE 1.7.42 / DP v31</t>
        </is>
      </c>
      <c r="AM2647" s="18" t="inlineStr">
        <is>
          <t>data/cobblemon/spawn_pool_world/0815_cinderace.json</t>
        </is>
      </c>
      <c r="AN2647" s="18" t="inlineStr">
        <is>
          <t>cinderace-1</t>
        </is>
      </c>
      <c r="AO2647" s="18" t="inlineStr">
        <is>
          <t>pokemon</t>
        </is>
      </c>
      <c r="AP2647" s="18" t="inlineStr">
        <is>
          <t>natural</t>
        </is>
      </c>
      <c r="AQ2647" s="18" t="inlineStr">
        <is>
          <t>{"biomes":["#cobblemon:is_grassland","aether:skyroot_grove","aether:skyroot_meadow"],"maxSkyLight":15,"minSkyLight":8}</t>
        </is>
      </c>
      <c r="AR2647" s="18" t="inlineStr"/>
      <c r="AS2647" s="18" t="inlineStr"/>
      <c r="AT2647" s="19" t="inlineStr"/>
    </row>
    <row r="2648" ht="32" customHeight="1">
      <c r="A2648" s="18" t="inlineStr">
        <is>
          <t>0816_sobble.json::sobble-1::001</t>
        </is>
      </c>
      <c r="B2648" s="19" t="inlineStr">
        <is>
          <t>사용</t>
        </is>
      </c>
      <c r="C2648" s="18">
        <f>IF(OR(B2648&lt;&gt;AK2648,M2648&lt;&gt;L2648,O2648&lt;&gt;"",Q2648&lt;&gt;"",V2648&lt;&gt;1,Y2648&lt;&gt;"",AT2648&lt;&gt;""),"수정","원본")</f>
        <v/>
      </c>
      <c r="D2648" s="18" t="n">
        <v>816</v>
      </c>
      <c r="E2648" s="18" t="inlineStr">
        <is>
          <t>울머기</t>
        </is>
      </c>
      <c r="F2648" s="18" t="inlineStr">
        <is>
          <t>sobble</t>
        </is>
      </c>
      <c r="G2648" s="18" t="inlineStr">
        <is>
          <t>sobble</t>
        </is>
      </c>
      <c r="H2648" s="18" t="inlineStr"/>
      <c r="I2648" s="18" t="n">
        <v>8</v>
      </c>
      <c r="J2648" s="18" t="n"/>
      <c r="K2648" s="18" t="n">
        <v>8</v>
      </c>
      <c r="L2648" s="18" t="inlineStr">
        <is>
          <t>cobbleventure:generation_8</t>
        </is>
      </c>
      <c r="M2648" s="19" t="inlineStr">
        <is>
          <t>cobbleventure:generation_8</t>
        </is>
      </c>
      <c r="N2648" s="18" t="inlineStr">
        <is>
          <t>region_02</t>
        </is>
      </c>
      <c r="O2648" s="19" t="inlineStr"/>
      <c r="P2648" s="18" t="inlineStr">
        <is>
          <t>#cobblemon:is_swamp</t>
        </is>
      </c>
      <c r="Q2648" s="19" t="inlineStr"/>
      <c r="R2648" s="18">
        <f>IF(Q2648="",P2648,Q2648)</f>
        <v/>
      </c>
      <c r="S2648" s="18" t="inlineStr"/>
      <c r="T2648" s="18" t="inlineStr">
        <is>
          <t>ultra-rare</t>
        </is>
      </c>
      <c r="U2648" s="20" t="n">
        <v>6</v>
      </c>
      <c r="V2648" s="21" t="n">
        <v>1</v>
      </c>
      <c r="W2648" s="20">
        <f>IF(OR(U2648="",V2648=""),U2648,U2648*V2648)</f>
        <v/>
      </c>
      <c r="X2648" s="18" t="inlineStr">
        <is>
          <t>5-31</t>
        </is>
      </c>
      <c r="Y2648" s="19" t="inlineStr"/>
      <c r="Z2648" s="18">
        <f>IF(Y2648="",X2648,Y2648)</f>
        <v/>
      </c>
      <c r="AA2648" s="18" t="inlineStr">
        <is>
          <t>grounded</t>
        </is>
      </c>
      <c r="AB2648" s="18" t="inlineStr"/>
      <c r="AC2648" s="18" t="inlineStr"/>
      <c r="AD2648" s="18" t="inlineStr"/>
      <c r="AE2648" s="18" t="inlineStr">
        <is>
          <t>sky 8-15</t>
        </is>
      </c>
      <c r="AF2648" s="18" t="inlineStr"/>
      <c r="AG2648" s="18" t="inlineStr"/>
      <c r="AH2648" s="18" t="inlineStr"/>
      <c r="AI2648" s="18" t="inlineStr"/>
      <c r="AJ2648" s="18" t="inlineStr">
        <is>
          <t>Cobblemon 동일</t>
        </is>
      </c>
      <c r="AK2648" s="18" t="inlineStr">
        <is>
          <t>사용</t>
        </is>
      </c>
      <c r="AL2648" s="18" t="inlineStr">
        <is>
          <t>COBBLEVERSE 1.7.42 / DP v31</t>
        </is>
      </c>
      <c r="AM2648" s="18" t="inlineStr">
        <is>
          <t>data/cobblemon/spawn_pool_world/0816_sobble.json</t>
        </is>
      </c>
      <c r="AN2648" s="18" t="inlineStr">
        <is>
          <t>sobble-1</t>
        </is>
      </c>
      <c r="AO2648" s="18" t="inlineStr">
        <is>
          <t>pokemon</t>
        </is>
      </c>
      <c r="AP2648" s="18" t="inlineStr">
        <is>
          <t>natural</t>
        </is>
      </c>
      <c r="AQ2648" s="18" t="inlineStr">
        <is>
          <t>{"biomes":["#cobblemon:is_swamp"],"maxSkyLight":15,"minSkyLight":8}</t>
        </is>
      </c>
      <c r="AR2648" s="18" t="inlineStr"/>
      <c r="AS2648" s="18" t="inlineStr"/>
      <c r="AT2648" s="19" t="inlineStr"/>
    </row>
    <row r="2649" ht="32" customHeight="1">
      <c r="A2649" s="18" t="inlineStr">
        <is>
          <t>0816_sobble.json::sobble-2::002</t>
        </is>
      </c>
      <c r="B2649" s="19" t="inlineStr">
        <is>
          <t>사용</t>
        </is>
      </c>
      <c r="C2649" s="18">
        <f>IF(OR(B2649&lt;&gt;AK2649,M2649&lt;&gt;L2649,O2649&lt;&gt;"",Q2649&lt;&gt;"",V2649&lt;&gt;1,Y2649&lt;&gt;"",AT2649&lt;&gt;""),"수정","원본")</f>
        <v/>
      </c>
      <c r="D2649" s="18" t="n">
        <v>816</v>
      </c>
      <c r="E2649" s="18" t="inlineStr">
        <is>
          <t>울머기</t>
        </is>
      </c>
      <c r="F2649" s="18" t="inlineStr">
        <is>
          <t>sobble</t>
        </is>
      </c>
      <c r="G2649" s="18" t="inlineStr">
        <is>
          <t>sobble</t>
        </is>
      </c>
      <c r="H2649" s="18" t="inlineStr"/>
      <c r="I2649" s="18" t="n">
        <v>8</v>
      </c>
      <c r="J2649" s="18" t="n"/>
      <c r="K2649" s="18" t="n">
        <v>8</v>
      </c>
      <c r="L2649" s="18" t="inlineStr">
        <is>
          <t>cobbleventure:generation_8</t>
        </is>
      </c>
      <c r="M2649" s="19" t="inlineStr">
        <is>
          <t>cobbleventure:generation_8</t>
        </is>
      </c>
      <c r="N2649" s="18" t="inlineStr"/>
      <c r="O2649" s="19" t="inlineStr"/>
      <c r="P2649" s="18" t="inlineStr">
        <is>
          <t>#cobblemon:is_jungle</t>
        </is>
      </c>
      <c r="Q2649" s="19" t="inlineStr"/>
      <c r="R2649" s="18">
        <f>IF(Q2649="",P2649,Q2649)</f>
        <v/>
      </c>
      <c r="S2649" s="18" t="inlineStr"/>
      <c r="T2649" s="18" t="inlineStr">
        <is>
          <t>ultra-rare</t>
        </is>
      </c>
      <c r="U2649" s="20" t="n">
        <v>6</v>
      </c>
      <c r="V2649" s="21" t="n">
        <v>1</v>
      </c>
      <c r="W2649" s="20">
        <f>IF(OR(U2649="",V2649=""),U2649,U2649*V2649)</f>
        <v/>
      </c>
      <c r="X2649" s="18" t="inlineStr">
        <is>
          <t>5-31</t>
        </is>
      </c>
      <c r="Y2649" s="19" t="inlineStr"/>
      <c r="Z2649" s="18">
        <f>IF(Y2649="",X2649,Y2649)</f>
        <v/>
      </c>
      <c r="AA2649" s="18" t="inlineStr">
        <is>
          <t>grounded</t>
        </is>
      </c>
      <c r="AB2649" s="18" t="inlineStr"/>
      <c r="AC2649" s="18" t="inlineStr"/>
      <c r="AD2649" s="18" t="inlineStr"/>
      <c r="AE2649" s="18" t="inlineStr">
        <is>
          <t>sky 8-15</t>
        </is>
      </c>
      <c r="AF2649" s="18" t="inlineStr"/>
      <c r="AG2649" s="18" t="inlineStr"/>
      <c r="AH2649" s="18" t="inlineStr">
        <is>
          <t>주변=minecraft:water</t>
        </is>
      </c>
      <c r="AI2649" s="18" t="inlineStr"/>
      <c r="AJ2649" s="18" t="inlineStr">
        <is>
          <t>Cobblemon 동일</t>
        </is>
      </c>
      <c r="AK2649" s="18" t="inlineStr">
        <is>
          <t>사용</t>
        </is>
      </c>
      <c r="AL2649" s="18" t="inlineStr">
        <is>
          <t>COBBLEVERSE 1.7.42 / DP v31</t>
        </is>
      </c>
      <c r="AM2649" s="18" t="inlineStr">
        <is>
          <t>data/cobblemon/spawn_pool_world/0816_sobble.json</t>
        </is>
      </c>
      <c r="AN2649" s="18" t="inlineStr">
        <is>
          <t>sobble-2</t>
        </is>
      </c>
      <c r="AO2649" s="18" t="inlineStr">
        <is>
          <t>pokemon</t>
        </is>
      </c>
      <c r="AP2649" s="18" t="inlineStr">
        <is>
          <t>natural</t>
        </is>
      </c>
      <c r="AQ2649" s="18" t="inlineStr">
        <is>
          <t>{"biomes":["#cobblemon:is_jungle"],"maxSkyLight":15,"minSkyLight":8,"neededNearbyBlocks":["minecraft:water"]}</t>
        </is>
      </c>
      <c r="AR2649" s="18" t="inlineStr"/>
      <c r="AS2649" s="18" t="inlineStr"/>
      <c r="AT2649" s="19" t="inlineStr"/>
    </row>
    <row r="2650" ht="32" customHeight="1">
      <c r="A2650" s="18" t="inlineStr">
        <is>
          <t>0816_sobble.json::sobble-3::003</t>
        </is>
      </c>
      <c r="B2650" s="19" t="inlineStr">
        <is>
          <t>사용</t>
        </is>
      </c>
      <c r="C2650" s="18">
        <f>IF(OR(B2650&lt;&gt;AK2650,M2650&lt;&gt;L2650,O2650&lt;&gt;"",Q2650&lt;&gt;"",V2650&lt;&gt;1,Y2650&lt;&gt;"",AT2650&lt;&gt;""),"수정","원본")</f>
        <v/>
      </c>
      <c r="D2650" s="18" t="n">
        <v>816</v>
      </c>
      <c r="E2650" s="18" t="inlineStr">
        <is>
          <t>울머기</t>
        </is>
      </c>
      <c r="F2650" s="18" t="inlineStr">
        <is>
          <t>sobble</t>
        </is>
      </c>
      <c r="G2650" s="18" t="inlineStr">
        <is>
          <t>sobble</t>
        </is>
      </c>
      <c r="H2650" s="18" t="inlineStr"/>
      <c r="I2650" s="18" t="n">
        <v>8</v>
      </c>
      <c r="J2650" s="18" t="n"/>
      <c r="K2650" s="18" t="n">
        <v>8</v>
      </c>
      <c r="L2650" s="18" t="inlineStr">
        <is>
          <t>cobbleventure:generation_8</t>
        </is>
      </c>
      <c r="M2650" s="19" t="inlineStr">
        <is>
          <t>cobbleventure:generation_8</t>
        </is>
      </c>
      <c r="N2650" s="18" t="inlineStr">
        <is>
          <t>region_02</t>
        </is>
      </c>
      <c r="O2650" s="19" t="inlineStr"/>
      <c r="P2650" s="18" t="inlineStr">
        <is>
          <t>#cobblemon:is_jungle; #cobblemon:is_swamp</t>
        </is>
      </c>
      <c r="Q2650" s="19" t="inlineStr"/>
      <c r="R2650" s="18">
        <f>IF(Q2650="",P2650,Q2650)</f>
        <v/>
      </c>
      <c r="S2650" s="18" t="inlineStr"/>
      <c r="T2650" s="18" t="inlineStr">
        <is>
          <t>ultra-rare</t>
        </is>
      </c>
      <c r="U2650" s="20" t="n">
        <v>6</v>
      </c>
      <c r="V2650" s="21" t="n">
        <v>1</v>
      </c>
      <c r="W2650" s="20">
        <f>IF(OR(U2650="",V2650=""),U2650,U2650*V2650)</f>
        <v/>
      </c>
      <c r="X2650" s="18" t="inlineStr">
        <is>
          <t>5-31</t>
        </is>
      </c>
      <c r="Y2650" s="19" t="inlineStr"/>
      <c r="Z2650" s="18">
        <f>IF(Y2650="",X2650,Y2650)</f>
        <v/>
      </c>
      <c r="AA2650" s="18" t="inlineStr">
        <is>
          <t>submerged</t>
        </is>
      </c>
      <c r="AB2650" s="18" t="inlineStr"/>
      <c r="AC2650" s="18" t="inlineStr"/>
      <c r="AD2650" s="18" t="inlineStr"/>
      <c r="AE2650" s="18" t="inlineStr"/>
      <c r="AF2650" s="18" t="inlineStr">
        <is>
          <t>True</t>
        </is>
      </c>
      <c r="AG2650" s="18" t="inlineStr"/>
      <c r="AH2650" s="18" t="inlineStr"/>
      <c r="AI2650" s="18" t="inlineStr"/>
      <c r="AJ2650" s="18" t="inlineStr">
        <is>
          <t>Cobblemon 동일</t>
        </is>
      </c>
      <c r="AK2650" s="18" t="inlineStr">
        <is>
          <t>사용</t>
        </is>
      </c>
      <c r="AL2650" s="18" t="inlineStr">
        <is>
          <t>COBBLEVERSE 1.7.42 / DP v31</t>
        </is>
      </c>
      <c r="AM2650" s="18" t="inlineStr">
        <is>
          <t>data/cobblemon/spawn_pool_world/0816_sobble.json</t>
        </is>
      </c>
      <c r="AN2650" s="18" t="inlineStr">
        <is>
          <t>sobble-3</t>
        </is>
      </c>
      <c r="AO2650" s="18" t="inlineStr">
        <is>
          <t>pokemon</t>
        </is>
      </c>
      <c r="AP2650" s="18" t="inlineStr">
        <is>
          <t>water</t>
        </is>
      </c>
      <c r="AQ2650" s="18" t="inlineStr">
        <is>
          <t>{"biomes":["#cobblemon:is_jungle","#cobblemon:is_swamp"],"canSeeSky":true}</t>
        </is>
      </c>
      <c r="AR2650" s="18" t="inlineStr"/>
      <c r="AS2650" s="18" t="inlineStr"/>
      <c r="AT2650" s="19" t="inlineStr"/>
    </row>
    <row r="2651" ht="32" customHeight="1">
      <c r="A2651" s="18" t="inlineStr">
        <is>
          <t>0816_sobble.json::sobble-4::004</t>
        </is>
      </c>
      <c r="B2651" s="19" t="inlineStr">
        <is>
          <t>사용</t>
        </is>
      </c>
      <c r="C2651" s="18">
        <f>IF(OR(B2651&lt;&gt;AK2651,M2651&lt;&gt;L2651,O2651&lt;&gt;"",Q2651&lt;&gt;"",V2651&lt;&gt;1,Y2651&lt;&gt;"",AT2651&lt;&gt;""),"수정","원본")</f>
        <v/>
      </c>
      <c r="D2651" s="18" t="n">
        <v>816</v>
      </c>
      <c r="E2651" s="18" t="inlineStr">
        <is>
          <t>울머기</t>
        </is>
      </c>
      <c r="F2651" s="18" t="inlineStr">
        <is>
          <t>sobble</t>
        </is>
      </c>
      <c r="G2651" s="18" t="inlineStr">
        <is>
          <t>sobble</t>
        </is>
      </c>
      <c r="H2651" s="18" t="inlineStr"/>
      <c r="I2651" s="18" t="n">
        <v>8</v>
      </c>
      <c r="J2651" s="18" t="n"/>
      <c r="K2651" s="18" t="n">
        <v>8</v>
      </c>
      <c r="L2651" s="18" t="inlineStr">
        <is>
          <t>cobbleventure:generation_8</t>
        </is>
      </c>
      <c r="M2651" s="19" t="inlineStr">
        <is>
          <t>cobbleventure:generation_8</t>
        </is>
      </c>
      <c r="N2651" s="18" t="inlineStr">
        <is>
          <t>region_01; region_02</t>
        </is>
      </c>
      <c r="O2651" s="19" t="inlineStr"/>
      <c r="P2651" s="18" t="inlineStr">
        <is>
          <t>#cobblemon:is_forest; #cobblemon:is_jungle; #cobblemon:is_swamp</t>
        </is>
      </c>
      <c r="Q2651" s="19" t="inlineStr"/>
      <c r="R2651" s="18">
        <f>IF(Q2651="",P2651,Q2651)</f>
        <v/>
      </c>
      <c r="S2651" s="18" t="inlineStr"/>
      <c r="T2651" s="18" t="inlineStr">
        <is>
          <t>ultra-rare</t>
        </is>
      </c>
      <c r="U2651" s="20" t="n">
        <v>6</v>
      </c>
      <c r="V2651" s="21" t="n">
        <v>1</v>
      </c>
      <c r="W2651" s="20">
        <f>IF(OR(U2651="",V2651=""),U2651,U2651*V2651)</f>
        <v/>
      </c>
      <c r="X2651" s="18" t="inlineStr">
        <is>
          <t>5-31</t>
        </is>
      </c>
      <c r="Y2651" s="19" t="inlineStr"/>
      <c r="Z2651" s="18">
        <f>IF(Y2651="",X2651,Y2651)</f>
        <v/>
      </c>
      <c r="AA2651" s="18" t="inlineStr">
        <is>
          <t>fishing</t>
        </is>
      </c>
      <c r="AB2651" s="18" t="inlineStr"/>
      <c r="AC2651" s="18" t="inlineStr"/>
      <c r="AD2651" s="18" t="inlineStr"/>
      <c r="AE2651" s="18" t="inlineStr"/>
      <c r="AF2651" s="18" t="inlineStr">
        <is>
          <t>True</t>
        </is>
      </c>
      <c r="AG2651" s="18" t="inlineStr"/>
      <c r="AH2651" s="18" t="inlineStr"/>
      <c r="AI2651" s="18" t="inlineStr"/>
      <c r="AJ2651" s="18" t="inlineStr">
        <is>
          <t>Cobblemon 동일</t>
        </is>
      </c>
      <c r="AK2651" s="18" t="inlineStr">
        <is>
          <t>사용</t>
        </is>
      </c>
      <c r="AL2651" s="18" t="inlineStr">
        <is>
          <t>COBBLEVERSE 1.7.42 / DP v31</t>
        </is>
      </c>
      <c r="AM2651" s="18" t="inlineStr">
        <is>
          <t>data/cobblemon/spawn_pool_world/0816_sobble.json</t>
        </is>
      </c>
      <c r="AN2651" s="18" t="inlineStr">
        <is>
          <t>sobble-4</t>
        </is>
      </c>
      <c r="AO2651" s="18" t="inlineStr">
        <is>
          <t>pokemon</t>
        </is>
      </c>
      <c r="AP2651" s="18" t="inlineStr"/>
      <c r="AQ2651" s="18" t="inlineStr">
        <is>
          <t>{"biomes":["#cobblemon:is_forest","#cobblemon:is_jungle","#cobblemon:is_swamp"],"canSeeSky":true}</t>
        </is>
      </c>
      <c r="AR2651" s="18" t="inlineStr"/>
      <c r="AS2651" s="18" t="inlineStr"/>
      <c r="AT2651" s="19" t="inlineStr"/>
    </row>
    <row r="2652" ht="32" customHeight="1">
      <c r="A2652" s="18" t="inlineStr">
        <is>
          <t>0817_drizzile.json::drizzile-1::001</t>
        </is>
      </c>
      <c r="B2652" s="19" t="inlineStr">
        <is>
          <t>사용</t>
        </is>
      </c>
      <c r="C2652" s="18">
        <f>IF(OR(B2652&lt;&gt;AK2652,M2652&lt;&gt;L2652,O2652&lt;&gt;"",Q2652&lt;&gt;"",V2652&lt;&gt;1,Y2652&lt;&gt;"",AT2652&lt;&gt;""),"수정","원본")</f>
        <v/>
      </c>
      <c r="D2652" s="18" t="n">
        <v>817</v>
      </c>
      <c r="E2652" s="18" t="inlineStr">
        <is>
          <t>누겔레온</t>
        </is>
      </c>
      <c r="F2652" s="18" t="inlineStr">
        <is>
          <t>drizzile</t>
        </is>
      </c>
      <c r="G2652" s="18" t="inlineStr">
        <is>
          <t>drizzile</t>
        </is>
      </c>
      <c r="H2652" s="18" t="inlineStr"/>
      <c r="I2652" s="18" t="n">
        <v>8</v>
      </c>
      <c r="J2652" s="18" t="n"/>
      <c r="K2652" s="18" t="n">
        <v>8</v>
      </c>
      <c r="L2652" s="18" t="inlineStr">
        <is>
          <t>cobbleventure:generation_8</t>
        </is>
      </c>
      <c r="M2652" s="19" t="inlineStr">
        <is>
          <t>cobbleventure:generation_8</t>
        </is>
      </c>
      <c r="N2652" s="18" t="inlineStr">
        <is>
          <t>region_02</t>
        </is>
      </c>
      <c r="O2652" s="19" t="inlineStr"/>
      <c r="P2652" s="18" t="inlineStr">
        <is>
          <t>#cobblemon:is_swamp</t>
        </is>
      </c>
      <c r="Q2652" s="19" t="inlineStr"/>
      <c r="R2652" s="18">
        <f>IF(Q2652="",P2652,Q2652)</f>
        <v/>
      </c>
      <c r="S2652" s="18" t="inlineStr"/>
      <c r="T2652" s="18" t="inlineStr">
        <is>
          <t>ultra-rare</t>
        </is>
      </c>
      <c r="U2652" s="20" t="n">
        <v>3.6</v>
      </c>
      <c r="V2652" s="21" t="n">
        <v>1</v>
      </c>
      <c r="W2652" s="20">
        <f>IF(OR(U2652="",V2652=""),U2652,U2652*V2652)</f>
        <v/>
      </c>
      <c r="X2652" s="18" t="inlineStr">
        <is>
          <t>16-42</t>
        </is>
      </c>
      <c r="Y2652" s="19" t="inlineStr"/>
      <c r="Z2652" s="18">
        <f>IF(Y2652="",X2652,Y2652)</f>
        <v/>
      </c>
      <c r="AA2652" s="18" t="inlineStr">
        <is>
          <t>grounded</t>
        </is>
      </c>
      <c r="AB2652" s="18" t="inlineStr"/>
      <c r="AC2652" s="18" t="inlineStr"/>
      <c r="AD2652" s="18" t="inlineStr"/>
      <c r="AE2652" s="18" t="inlineStr">
        <is>
          <t>sky 8-15</t>
        </is>
      </c>
      <c r="AF2652" s="18" t="inlineStr"/>
      <c r="AG2652" s="18" t="inlineStr"/>
      <c r="AH2652" s="18" t="inlineStr"/>
      <c r="AI2652" s="18" t="inlineStr"/>
      <c r="AJ2652" s="18" t="inlineStr">
        <is>
          <t>Cobblemon 동일</t>
        </is>
      </c>
      <c r="AK2652" s="18" t="inlineStr">
        <is>
          <t>사용</t>
        </is>
      </c>
      <c r="AL2652" s="18" t="inlineStr">
        <is>
          <t>COBBLEVERSE 1.7.42 / DP v31</t>
        </is>
      </c>
      <c r="AM2652" s="18" t="inlineStr">
        <is>
          <t>data/cobblemon/spawn_pool_world/0817_drizzile.json</t>
        </is>
      </c>
      <c r="AN2652" s="18" t="inlineStr">
        <is>
          <t>drizzile-1</t>
        </is>
      </c>
      <c r="AO2652" s="18" t="inlineStr">
        <is>
          <t>pokemon</t>
        </is>
      </c>
      <c r="AP2652" s="18" t="inlineStr">
        <is>
          <t>natural</t>
        </is>
      </c>
      <c r="AQ2652" s="18" t="inlineStr">
        <is>
          <t>{"biomes":["#cobblemon:is_swamp"],"maxSkyLight":15,"minSkyLight":8}</t>
        </is>
      </c>
      <c r="AR2652" s="18" t="inlineStr"/>
      <c r="AS2652" s="18" t="inlineStr"/>
      <c r="AT2652" s="19" t="inlineStr"/>
    </row>
    <row r="2653" ht="32" customHeight="1">
      <c r="A2653" s="18" t="inlineStr">
        <is>
          <t>0817_drizzile.json::drizzile-2::002</t>
        </is>
      </c>
      <c r="B2653" s="19" t="inlineStr">
        <is>
          <t>사용</t>
        </is>
      </c>
      <c r="C2653" s="18">
        <f>IF(OR(B2653&lt;&gt;AK2653,M2653&lt;&gt;L2653,O2653&lt;&gt;"",Q2653&lt;&gt;"",V2653&lt;&gt;1,Y2653&lt;&gt;"",AT2653&lt;&gt;""),"수정","원본")</f>
        <v/>
      </c>
      <c r="D2653" s="18" t="n">
        <v>817</v>
      </c>
      <c r="E2653" s="18" t="inlineStr">
        <is>
          <t>누겔레온</t>
        </is>
      </c>
      <c r="F2653" s="18" t="inlineStr">
        <is>
          <t>drizzile</t>
        </is>
      </c>
      <c r="G2653" s="18" t="inlineStr">
        <is>
          <t>drizzile</t>
        </is>
      </c>
      <c r="H2653" s="18" t="inlineStr"/>
      <c r="I2653" s="18" t="n">
        <v>8</v>
      </c>
      <c r="J2653" s="18" t="n"/>
      <c r="K2653" s="18" t="n">
        <v>8</v>
      </c>
      <c r="L2653" s="18" t="inlineStr">
        <is>
          <t>cobbleventure:generation_8</t>
        </is>
      </c>
      <c r="M2653" s="19" t="inlineStr">
        <is>
          <t>cobbleventure:generation_8</t>
        </is>
      </c>
      <c r="N2653" s="18" t="inlineStr"/>
      <c r="O2653" s="19" t="inlineStr"/>
      <c r="P2653" s="18" t="inlineStr">
        <is>
          <t>#cobblemon:is_jungle</t>
        </is>
      </c>
      <c r="Q2653" s="19" t="inlineStr"/>
      <c r="R2653" s="18">
        <f>IF(Q2653="",P2653,Q2653)</f>
        <v/>
      </c>
      <c r="S2653" s="18" t="inlineStr"/>
      <c r="T2653" s="18" t="inlineStr">
        <is>
          <t>ultra-rare</t>
        </is>
      </c>
      <c r="U2653" s="20" t="n">
        <v>3.6</v>
      </c>
      <c r="V2653" s="21" t="n">
        <v>1</v>
      </c>
      <c r="W2653" s="20">
        <f>IF(OR(U2653="",V2653=""),U2653,U2653*V2653)</f>
        <v/>
      </c>
      <c r="X2653" s="18" t="inlineStr">
        <is>
          <t>16-42</t>
        </is>
      </c>
      <c r="Y2653" s="19" t="inlineStr"/>
      <c r="Z2653" s="18">
        <f>IF(Y2653="",X2653,Y2653)</f>
        <v/>
      </c>
      <c r="AA2653" s="18" t="inlineStr">
        <is>
          <t>grounded</t>
        </is>
      </c>
      <c r="AB2653" s="18" t="inlineStr"/>
      <c r="AC2653" s="18" t="inlineStr"/>
      <c r="AD2653" s="18" t="inlineStr"/>
      <c r="AE2653" s="18" t="inlineStr">
        <is>
          <t>sky 8-15</t>
        </is>
      </c>
      <c r="AF2653" s="18" t="inlineStr"/>
      <c r="AG2653" s="18" t="inlineStr"/>
      <c r="AH2653" s="18" t="inlineStr">
        <is>
          <t>주변=minecraft:water</t>
        </is>
      </c>
      <c r="AI2653" s="18" t="inlineStr"/>
      <c r="AJ2653" s="18" t="inlineStr">
        <is>
          <t>Cobblemon 동일</t>
        </is>
      </c>
      <c r="AK2653" s="18" t="inlineStr">
        <is>
          <t>사용</t>
        </is>
      </c>
      <c r="AL2653" s="18" t="inlineStr">
        <is>
          <t>COBBLEVERSE 1.7.42 / DP v31</t>
        </is>
      </c>
      <c r="AM2653" s="18" t="inlineStr">
        <is>
          <t>data/cobblemon/spawn_pool_world/0817_drizzile.json</t>
        </is>
      </c>
      <c r="AN2653" s="18" t="inlineStr">
        <is>
          <t>drizzile-2</t>
        </is>
      </c>
      <c r="AO2653" s="18" t="inlineStr">
        <is>
          <t>pokemon</t>
        </is>
      </c>
      <c r="AP2653" s="18" t="inlineStr">
        <is>
          <t>natural</t>
        </is>
      </c>
      <c r="AQ2653" s="18" t="inlineStr">
        <is>
          <t>{"biomes":["#cobblemon:is_jungle"],"maxSkyLight":15,"minSkyLight":8,"neededNearbyBlocks":["minecraft:water"]}</t>
        </is>
      </c>
      <c r="AR2653" s="18" t="inlineStr"/>
      <c r="AS2653" s="18" t="inlineStr"/>
      <c r="AT2653" s="19" t="inlineStr"/>
    </row>
    <row r="2654" ht="32" customHeight="1">
      <c r="A2654" s="18" t="inlineStr">
        <is>
          <t>0817_drizzile.json::drizzile-3::003</t>
        </is>
      </c>
      <c r="B2654" s="19" t="inlineStr">
        <is>
          <t>사용</t>
        </is>
      </c>
      <c r="C2654" s="18">
        <f>IF(OR(B2654&lt;&gt;AK2654,M2654&lt;&gt;L2654,O2654&lt;&gt;"",Q2654&lt;&gt;"",V2654&lt;&gt;1,Y2654&lt;&gt;"",AT2654&lt;&gt;""),"수정","원본")</f>
        <v/>
      </c>
      <c r="D2654" s="18" t="n">
        <v>817</v>
      </c>
      <c r="E2654" s="18" t="inlineStr">
        <is>
          <t>누겔레온</t>
        </is>
      </c>
      <c r="F2654" s="18" t="inlineStr">
        <is>
          <t>drizzile</t>
        </is>
      </c>
      <c r="G2654" s="18" t="inlineStr">
        <is>
          <t>drizzile</t>
        </is>
      </c>
      <c r="H2654" s="18" t="inlineStr"/>
      <c r="I2654" s="18" t="n">
        <v>8</v>
      </c>
      <c r="J2654" s="18" t="n"/>
      <c r="K2654" s="18" t="n">
        <v>8</v>
      </c>
      <c r="L2654" s="18" t="inlineStr">
        <is>
          <t>cobbleventure:generation_8</t>
        </is>
      </c>
      <c r="M2654" s="19" t="inlineStr">
        <is>
          <t>cobbleventure:generation_8</t>
        </is>
      </c>
      <c r="N2654" s="18" t="inlineStr">
        <is>
          <t>region_02</t>
        </is>
      </c>
      <c r="O2654" s="19" t="inlineStr"/>
      <c r="P2654" s="18" t="inlineStr">
        <is>
          <t>#cobblemon:is_jungle; #cobblemon:is_swamp</t>
        </is>
      </c>
      <c r="Q2654" s="19" t="inlineStr"/>
      <c r="R2654" s="18">
        <f>IF(Q2654="",P2654,Q2654)</f>
        <v/>
      </c>
      <c r="S2654" s="18" t="inlineStr"/>
      <c r="T2654" s="18" t="inlineStr">
        <is>
          <t>ultra-rare</t>
        </is>
      </c>
      <c r="U2654" s="20" t="n">
        <v>3.6</v>
      </c>
      <c r="V2654" s="21" t="n">
        <v>1</v>
      </c>
      <c r="W2654" s="20">
        <f>IF(OR(U2654="",V2654=""),U2654,U2654*V2654)</f>
        <v/>
      </c>
      <c r="X2654" s="18" t="inlineStr">
        <is>
          <t>16-42</t>
        </is>
      </c>
      <c r="Y2654" s="19" t="inlineStr"/>
      <c r="Z2654" s="18">
        <f>IF(Y2654="",X2654,Y2654)</f>
        <v/>
      </c>
      <c r="AA2654" s="18" t="inlineStr">
        <is>
          <t>submerged</t>
        </is>
      </c>
      <c r="AB2654" s="18" t="inlineStr"/>
      <c r="AC2654" s="18" t="inlineStr"/>
      <c r="AD2654" s="18" t="inlineStr"/>
      <c r="AE2654" s="18" t="inlineStr"/>
      <c r="AF2654" s="18" t="inlineStr">
        <is>
          <t>True</t>
        </is>
      </c>
      <c r="AG2654" s="18" t="inlineStr"/>
      <c r="AH2654" s="18" t="inlineStr"/>
      <c r="AI2654" s="18" t="inlineStr"/>
      <c r="AJ2654" s="18" t="inlineStr">
        <is>
          <t>Cobblemon 동일</t>
        </is>
      </c>
      <c r="AK2654" s="18" t="inlineStr">
        <is>
          <t>사용</t>
        </is>
      </c>
      <c r="AL2654" s="18" t="inlineStr">
        <is>
          <t>COBBLEVERSE 1.7.42 / DP v31</t>
        </is>
      </c>
      <c r="AM2654" s="18" t="inlineStr">
        <is>
          <t>data/cobblemon/spawn_pool_world/0817_drizzile.json</t>
        </is>
      </c>
      <c r="AN2654" s="18" t="inlineStr">
        <is>
          <t>drizzile-3</t>
        </is>
      </c>
      <c r="AO2654" s="18" t="inlineStr">
        <is>
          <t>pokemon</t>
        </is>
      </c>
      <c r="AP2654" s="18" t="inlineStr">
        <is>
          <t>water</t>
        </is>
      </c>
      <c r="AQ2654" s="18" t="inlineStr">
        <is>
          <t>{"biomes":["#cobblemon:is_jungle","#cobblemon:is_swamp"],"canSeeSky":true}</t>
        </is>
      </c>
      <c r="AR2654" s="18" t="inlineStr"/>
      <c r="AS2654" s="18" t="inlineStr"/>
      <c r="AT2654" s="19" t="inlineStr"/>
    </row>
    <row r="2655" ht="32" customHeight="1">
      <c r="A2655" s="18" t="inlineStr">
        <is>
          <t>0817_drizzile.json::drizzile-4::004</t>
        </is>
      </c>
      <c r="B2655" s="19" t="inlineStr">
        <is>
          <t>사용</t>
        </is>
      </c>
      <c r="C2655" s="18">
        <f>IF(OR(B2655&lt;&gt;AK2655,M2655&lt;&gt;L2655,O2655&lt;&gt;"",Q2655&lt;&gt;"",V2655&lt;&gt;1,Y2655&lt;&gt;"",AT2655&lt;&gt;""),"수정","원본")</f>
        <v/>
      </c>
      <c r="D2655" s="18" t="n">
        <v>817</v>
      </c>
      <c r="E2655" s="18" t="inlineStr">
        <is>
          <t>누겔레온</t>
        </is>
      </c>
      <c r="F2655" s="18" t="inlineStr">
        <is>
          <t>drizzile</t>
        </is>
      </c>
      <c r="G2655" s="18" t="inlineStr">
        <is>
          <t>drizzile</t>
        </is>
      </c>
      <c r="H2655" s="18" t="inlineStr"/>
      <c r="I2655" s="18" t="n">
        <v>8</v>
      </c>
      <c r="J2655" s="18" t="n"/>
      <c r="K2655" s="18" t="n">
        <v>8</v>
      </c>
      <c r="L2655" s="18" t="inlineStr">
        <is>
          <t>cobbleventure:generation_8</t>
        </is>
      </c>
      <c r="M2655" s="19" t="inlineStr">
        <is>
          <t>cobbleventure:generation_8</t>
        </is>
      </c>
      <c r="N2655" s="18" t="inlineStr">
        <is>
          <t>region_01; region_02</t>
        </is>
      </c>
      <c r="O2655" s="19" t="inlineStr"/>
      <c r="P2655" s="18" t="inlineStr">
        <is>
          <t>#cobblemon:is_forest; #cobblemon:is_jungle; #cobblemon:is_swamp</t>
        </is>
      </c>
      <c r="Q2655" s="19" t="inlineStr"/>
      <c r="R2655" s="18">
        <f>IF(Q2655="",P2655,Q2655)</f>
        <v/>
      </c>
      <c r="S2655" s="18" t="inlineStr"/>
      <c r="T2655" s="18" t="inlineStr">
        <is>
          <t>ultra-rare</t>
        </is>
      </c>
      <c r="U2655" s="20" t="n">
        <v>3.6</v>
      </c>
      <c r="V2655" s="21" t="n">
        <v>1</v>
      </c>
      <c r="W2655" s="20">
        <f>IF(OR(U2655="",V2655=""),U2655,U2655*V2655)</f>
        <v/>
      </c>
      <c r="X2655" s="18" t="inlineStr">
        <is>
          <t>16-42</t>
        </is>
      </c>
      <c r="Y2655" s="19" t="inlineStr"/>
      <c r="Z2655" s="18">
        <f>IF(Y2655="",X2655,Y2655)</f>
        <v/>
      </c>
      <c r="AA2655" s="18" t="inlineStr">
        <is>
          <t>fishing</t>
        </is>
      </c>
      <c r="AB2655" s="18" t="inlineStr"/>
      <c r="AC2655" s="18" t="inlineStr"/>
      <c r="AD2655" s="18" t="inlineStr"/>
      <c r="AE2655" s="18" t="inlineStr"/>
      <c r="AF2655" s="18" t="inlineStr">
        <is>
          <t>True</t>
        </is>
      </c>
      <c r="AG2655" s="18" t="inlineStr"/>
      <c r="AH2655" s="18" t="inlineStr"/>
      <c r="AI2655" s="18" t="inlineStr"/>
      <c r="AJ2655" s="18" t="inlineStr">
        <is>
          <t>Cobblemon 동일</t>
        </is>
      </c>
      <c r="AK2655" s="18" t="inlineStr">
        <is>
          <t>사용</t>
        </is>
      </c>
      <c r="AL2655" s="18" t="inlineStr">
        <is>
          <t>COBBLEVERSE 1.7.42 / DP v31</t>
        </is>
      </c>
      <c r="AM2655" s="18" t="inlineStr">
        <is>
          <t>data/cobblemon/spawn_pool_world/0817_drizzile.json</t>
        </is>
      </c>
      <c r="AN2655" s="18" t="inlineStr">
        <is>
          <t>drizzile-4</t>
        </is>
      </c>
      <c r="AO2655" s="18" t="inlineStr">
        <is>
          <t>pokemon</t>
        </is>
      </c>
      <c r="AP2655" s="18" t="inlineStr"/>
      <c r="AQ2655" s="18" t="inlineStr">
        <is>
          <t>{"biomes":["#cobblemon:is_forest","#cobblemon:is_jungle","#cobblemon:is_swamp"],"canSeeSky":true}</t>
        </is>
      </c>
      <c r="AR2655" s="18" t="inlineStr"/>
      <c r="AS2655" s="18" t="inlineStr"/>
      <c r="AT2655" s="19" t="inlineStr"/>
    </row>
    <row r="2656" ht="32" customHeight="1">
      <c r="A2656" s="18" t="inlineStr">
        <is>
          <t>0818_inteleon.json::inteleon-1::001</t>
        </is>
      </c>
      <c r="B2656" s="19" t="inlineStr">
        <is>
          <t>사용</t>
        </is>
      </c>
      <c r="C2656" s="18">
        <f>IF(OR(B2656&lt;&gt;AK2656,M2656&lt;&gt;L2656,O2656&lt;&gt;"",Q2656&lt;&gt;"",V2656&lt;&gt;1,Y2656&lt;&gt;"",AT2656&lt;&gt;""),"수정","원본")</f>
        <v/>
      </c>
      <c r="D2656" s="18" t="n">
        <v>818</v>
      </c>
      <c r="E2656" s="18" t="inlineStr">
        <is>
          <t>인텔리레온</t>
        </is>
      </c>
      <c r="F2656" s="18" t="inlineStr">
        <is>
          <t>inteleon</t>
        </is>
      </c>
      <c r="G2656" s="18" t="inlineStr">
        <is>
          <t>inteleon</t>
        </is>
      </c>
      <c r="H2656" s="18" t="inlineStr"/>
      <c r="I2656" s="18" t="n">
        <v>8</v>
      </c>
      <c r="J2656" s="18" t="n"/>
      <c r="K2656" s="18" t="n">
        <v>8</v>
      </c>
      <c r="L2656" s="18" t="inlineStr">
        <is>
          <t>cobbleventure:generation_8</t>
        </is>
      </c>
      <c r="M2656" s="19" t="inlineStr">
        <is>
          <t>cobbleventure:generation_8</t>
        </is>
      </c>
      <c r="N2656" s="18" t="inlineStr">
        <is>
          <t>region_02</t>
        </is>
      </c>
      <c r="O2656" s="19" t="inlineStr"/>
      <c r="P2656" s="18" t="inlineStr">
        <is>
          <t>#cobblemon:is_swamp</t>
        </is>
      </c>
      <c r="Q2656" s="19" t="inlineStr"/>
      <c r="R2656" s="18">
        <f>IF(Q2656="",P2656,Q2656)</f>
        <v/>
      </c>
      <c r="S2656" s="18" t="inlineStr"/>
      <c r="T2656" s="18" t="inlineStr">
        <is>
          <t>ultra-rare</t>
        </is>
      </c>
      <c r="U2656" s="20" t="n">
        <v>0.4</v>
      </c>
      <c r="V2656" s="21" t="n">
        <v>1</v>
      </c>
      <c r="W2656" s="20">
        <f>IF(OR(U2656="",V2656=""),U2656,U2656*V2656)</f>
        <v/>
      </c>
      <c r="X2656" s="18" t="inlineStr">
        <is>
          <t>35-53</t>
        </is>
      </c>
      <c r="Y2656" s="19" t="inlineStr"/>
      <c r="Z2656" s="18">
        <f>IF(Y2656="",X2656,Y2656)</f>
        <v/>
      </c>
      <c r="AA2656" s="18" t="inlineStr">
        <is>
          <t>grounded</t>
        </is>
      </c>
      <c r="AB2656" s="18" t="inlineStr"/>
      <c r="AC2656" s="18" t="inlineStr"/>
      <c r="AD2656" s="18" t="inlineStr"/>
      <c r="AE2656" s="18" t="inlineStr">
        <is>
          <t>sky 8-15</t>
        </is>
      </c>
      <c r="AF2656" s="18" t="inlineStr"/>
      <c r="AG2656" s="18" t="inlineStr"/>
      <c r="AH2656" s="18" t="inlineStr"/>
      <c r="AI2656" s="18" t="inlineStr"/>
      <c r="AJ2656" s="18" t="inlineStr">
        <is>
          <t>Cobblemon 동일</t>
        </is>
      </c>
      <c r="AK2656" s="18" t="inlineStr">
        <is>
          <t>사용</t>
        </is>
      </c>
      <c r="AL2656" s="18" t="inlineStr">
        <is>
          <t>COBBLEVERSE 1.7.42 / DP v31</t>
        </is>
      </c>
      <c r="AM2656" s="18" t="inlineStr">
        <is>
          <t>data/cobblemon/spawn_pool_world/0818_inteleon.json</t>
        </is>
      </c>
      <c r="AN2656" s="18" t="inlineStr">
        <is>
          <t>inteleon-1</t>
        </is>
      </c>
      <c r="AO2656" s="18" t="inlineStr">
        <is>
          <t>pokemon</t>
        </is>
      </c>
      <c r="AP2656" s="18" t="inlineStr">
        <is>
          <t>natural</t>
        </is>
      </c>
      <c r="AQ2656" s="18" t="inlineStr">
        <is>
          <t>{"biomes":["#cobblemon:is_swamp"],"maxSkyLight":15,"minSkyLight":8}</t>
        </is>
      </c>
      <c r="AR2656" s="18" t="inlineStr"/>
      <c r="AS2656" s="18" t="inlineStr"/>
      <c r="AT2656" s="19" t="inlineStr"/>
    </row>
    <row r="2657" ht="32" customHeight="1">
      <c r="A2657" s="18" t="inlineStr">
        <is>
          <t>0818_inteleon.json::inteleon-2::002</t>
        </is>
      </c>
      <c r="B2657" s="19" t="inlineStr">
        <is>
          <t>사용</t>
        </is>
      </c>
      <c r="C2657" s="18">
        <f>IF(OR(B2657&lt;&gt;AK2657,M2657&lt;&gt;L2657,O2657&lt;&gt;"",Q2657&lt;&gt;"",V2657&lt;&gt;1,Y2657&lt;&gt;"",AT2657&lt;&gt;""),"수정","원본")</f>
        <v/>
      </c>
      <c r="D2657" s="18" t="n">
        <v>818</v>
      </c>
      <c r="E2657" s="18" t="inlineStr">
        <is>
          <t>인텔리레온</t>
        </is>
      </c>
      <c r="F2657" s="18" t="inlineStr">
        <is>
          <t>inteleon</t>
        </is>
      </c>
      <c r="G2657" s="18" t="inlineStr">
        <is>
          <t>inteleon</t>
        </is>
      </c>
      <c r="H2657" s="18" t="inlineStr"/>
      <c r="I2657" s="18" t="n">
        <v>8</v>
      </c>
      <c r="J2657" s="18" t="n"/>
      <c r="K2657" s="18" t="n">
        <v>8</v>
      </c>
      <c r="L2657" s="18" t="inlineStr">
        <is>
          <t>cobbleventure:generation_8</t>
        </is>
      </c>
      <c r="M2657" s="19" t="inlineStr">
        <is>
          <t>cobbleventure:generation_8</t>
        </is>
      </c>
      <c r="N2657" s="18" t="inlineStr"/>
      <c r="O2657" s="19" t="inlineStr"/>
      <c r="P2657" s="18" t="inlineStr">
        <is>
          <t>#cobblemon:is_jungle</t>
        </is>
      </c>
      <c r="Q2657" s="19" t="inlineStr"/>
      <c r="R2657" s="18">
        <f>IF(Q2657="",P2657,Q2657)</f>
        <v/>
      </c>
      <c r="S2657" s="18" t="inlineStr"/>
      <c r="T2657" s="18" t="inlineStr">
        <is>
          <t>ultra-rare</t>
        </is>
      </c>
      <c r="U2657" s="20" t="n">
        <v>0.4</v>
      </c>
      <c r="V2657" s="21" t="n">
        <v>1</v>
      </c>
      <c r="W2657" s="20">
        <f>IF(OR(U2657="",V2657=""),U2657,U2657*V2657)</f>
        <v/>
      </c>
      <c r="X2657" s="18" t="inlineStr">
        <is>
          <t>35-53</t>
        </is>
      </c>
      <c r="Y2657" s="19" t="inlineStr"/>
      <c r="Z2657" s="18">
        <f>IF(Y2657="",X2657,Y2657)</f>
        <v/>
      </c>
      <c r="AA2657" s="18" t="inlineStr">
        <is>
          <t>grounded</t>
        </is>
      </c>
      <c r="AB2657" s="18" t="inlineStr"/>
      <c r="AC2657" s="18" t="inlineStr"/>
      <c r="AD2657" s="18" t="inlineStr"/>
      <c r="AE2657" s="18" t="inlineStr">
        <is>
          <t>sky 8-15</t>
        </is>
      </c>
      <c r="AF2657" s="18" t="inlineStr"/>
      <c r="AG2657" s="18" t="inlineStr"/>
      <c r="AH2657" s="18" t="inlineStr">
        <is>
          <t>주변=minecraft:water</t>
        </is>
      </c>
      <c r="AI2657" s="18" t="inlineStr"/>
      <c r="AJ2657" s="18" t="inlineStr">
        <is>
          <t>Cobblemon 동일</t>
        </is>
      </c>
      <c r="AK2657" s="18" t="inlineStr">
        <is>
          <t>사용</t>
        </is>
      </c>
      <c r="AL2657" s="18" t="inlineStr">
        <is>
          <t>COBBLEVERSE 1.7.42 / DP v31</t>
        </is>
      </c>
      <c r="AM2657" s="18" t="inlineStr">
        <is>
          <t>data/cobblemon/spawn_pool_world/0818_inteleon.json</t>
        </is>
      </c>
      <c r="AN2657" s="18" t="inlineStr">
        <is>
          <t>inteleon-2</t>
        </is>
      </c>
      <c r="AO2657" s="18" t="inlineStr">
        <is>
          <t>pokemon</t>
        </is>
      </c>
      <c r="AP2657" s="18" t="inlineStr">
        <is>
          <t>natural</t>
        </is>
      </c>
      <c r="AQ2657" s="18" t="inlineStr">
        <is>
          <t>{"biomes":["#cobblemon:is_jungle"],"maxSkyLight":15,"minSkyLight":8,"neededNearbyBlocks":["minecraft:water"]}</t>
        </is>
      </c>
      <c r="AR2657" s="18" t="inlineStr"/>
      <c r="AS2657" s="18" t="inlineStr"/>
      <c r="AT2657" s="19" t="inlineStr"/>
    </row>
    <row r="2658" ht="32" customHeight="1">
      <c r="A2658" s="18" t="inlineStr">
        <is>
          <t>0818_inteleon.json::inteleon-3::003</t>
        </is>
      </c>
      <c r="B2658" s="19" t="inlineStr">
        <is>
          <t>사용</t>
        </is>
      </c>
      <c r="C2658" s="18">
        <f>IF(OR(B2658&lt;&gt;AK2658,M2658&lt;&gt;L2658,O2658&lt;&gt;"",Q2658&lt;&gt;"",V2658&lt;&gt;1,Y2658&lt;&gt;"",AT2658&lt;&gt;""),"수정","원본")</f>
        <v/>
      </c>
      <c r="D2658" s="18" t="n">
        <v>818</v>
      </c>
      <c r="E2658" s="18" t="inlineStr">
        <is>
          <t>인텔리레온</t>
        </is>
      </c>
      <c r="F2658" s="18" t="inlineStr">
        <is>
          <t>inteleon</t>
        </is>
      </c>
      <c r="G2658" s="18" t="inlineStr">
        <is>
          <t>inteleon</t>
        </is>
      </c>
      <c r="H2658" s="18" t="inlineStr"/>
      <c r="I2658" s="18" t="n">
        <v>8</v>
      </c>
      <c r="J2658" s="18" t="n"/>
      <c r="K2658" s="18" t="n">
        <v>8</v>
      </c>
      <c r="L2658" s="18" t="inlineStr">
        <is>
          <t>cobbleventure:generation_8</t>
        </is>
      </c>
      <c r="M2658" s="19" t="inlineStr">
        <is>
          <t>cobbleventure:generation_8</t>
        </is>
      </c>
      <c r="N2658" s="18" t="inlineStr">
        <is>
          <t>region_02</t>
        </is>
      </c>
      <c r="O2658" s="19" t="inlineStr"/>
      <c r="P2658" s="18" t="inlineStr">
        <is>
          <t>#cobblemon:is_jungle; #cobblemon:is_swamp</t>
        </is>
      </c>
      <c r="Q2658" s="19" t="inlineStr"/>
      <c r="R2658" s="18">
        <f>IF(Q2658="",P2658,Q2658)</f>
        <v/>
      </c>
      <c r="S2658" s="18" t="inlineStr"/>
      <c r="T2658" s="18" t="inlineStr">
        <is>
          <t>ultra-rare</t>
        </is>
      </c>
      <c r="U2658" s="20" t="n">
        <v>0.4</v>
      </c>
      <c r="V2658" s="21" t="n">
        <v>1</v>
      </c>
      <c r="W2658" s="20">
        <f>IF(OR(U2658="",V2658=""),U2658,U2658*V2658)</f>
        <v/>
      </c>
      <c r="X2658" s="18" t="inlineStr">
        <is>
          <t>35-53</t>
        </is>
      </c>
      <c r="Y2658" s="19" t="inlineStr"/>
      <c r="Z2658" s="18">
        <f>IF(Y2658="",X2658,Y2658)</f>
        <v/>
      </c>
      <c r="AA2658" s="18" t="inlineStr">
        <is>
          <t>submerged</t>
        </is>
      </c>
      <c r="AB2658" s="18" t="inlineStr"/>
      <c r="AC2658" s="18" t="inlineStr"/>
      <c r="AD2658" s="18" t="inlineStr"/>
      <c r="AE2658" s="18" t="inlineStr"/>
      <c r="AF2658" s="18" t="inlineStr">
        <is>
          <t>True</t>
        </is>
      </c>
      <c r="AG2658" s="18" t="inlineStr"/>
      <c r="AH2658" s="18" t="inlineStr"/>
      <c r="AI2658" s="18" t="inlineStr"/>
      <c r="AJ2658" s="18" t="inlineStr">
        <is>
          <t>Cobblemon 동일</t>
        </is>
      </c>
      <c r="AK2658" s="18" t="inlineStr">
        <is>
          <t>사용</t>
        </is>
      </c>
      <c r="AL2658" s="18" t="inlineStr">
        <is>
          <t>COBBLEVERSE 1.7.42 / DP v31</t>
        </is>
      </c>
      <c r="AM2658" s="18" t="inlineStr">
        <is>
          <t>data/cobblemon/spawn_pool_world/0818_inteleon.json</t>
        </is>
      </c>
      <c r="AN2658" s="18" t="inlineStr">
        <is>
          <t>inteleon-3</t>
        </is>
      </c>
      <c r="AO2658" s="18" t="inlineStr">
        <is>
          <t>pokemon</t>
        </is>
      </c>
      <c r="AP2658" s="18" t="inlineStr">
        <is>
          <t>water</t>
        </is>
      </c>
      <c r="AQ2658" s="18" t="inlineStr">
        <is>
          <t>{"biomes":["#cobblemon:is_jungle","#cobblemon:is_swamp"],"canSeeSky":true}</t>
        </is>
      </c>
      <c r="AR2658" s="18" t="inlineStr"/>
      <c r="AS2658" s="18" t="inlineStr"/>
      <c r="AT2658" s="19" t="inlineStr"/>
    </row>
    <row r="2659" ht="32" customHeight="1">
      <c r="A2659" s="18" t="inlineStr">
        <is>
          <t>0818_inteleon.json::inteleon-4::004</t>
        </is>
      </c>
      <c r="B2659" s="19" t="inlineStr">
        <is>
          <t>사용</t>
        </is>
      </c>
      <c r="C2659" s="18">
        <f>IF(OR(B2659&lt;&gt;AK2659,M2659&lt;&gt;L2659,O2659&lt;&gt;"",Q2659&lt;&gt;"",V2659&lt;&gt;1,Y2659&lt;&gt;"",AT2659&lt;&gt;""),"수정","원본")</f>
        <v/>
      </c>
      <c r="D2659" s="18" t="n">
        <v>818</v>
      </c>
      <c r="E2659" s="18" t="inlineStr">
        <is>
          <t>인텔리레온</t>
        </is>
      </c>
      <c r="F2659" s="18" t="inlineStr">
        <is>
          <t>inteleon</t>
        </is>
      </c>
      <c r="G2659" s="18" t="inlineStr">
        <is>
          <t>inteleon</t>
        </is>
      </c>
      <c r="H2659" s="18" t="inlineStr"/>
      <c r="I2659" s="18" t="n">
        <v>8</v>
      </c>
      <c r="J2659" s="18" t="n"/>
      <c r="K2659" s="18" t="n">
        <v>8</v>
      </c>
      <c r="L2659" s="18" t="inlineStr">
        <is>
          <t>cobbleventure:generation_8</t>
        </is>
      </c>
      <c r="M2659" s="19" t="inlineStr">
        <is>
          <t>cobbleventure:generation_8</t>
        </is>
      </c>
      <c r="N2659" s="18" t="inlineStr">
        <is>
          <t>region_01; region_02</t>
        </is>
      </c>
      <c r="O2659" s="19" t="inlineStr"/>
      <c r="P2659" s="18" t="inlineStr">
        <is>
          <t>#cobblemon:is_forest; #cobblemon:is_jungle; #cobblemon:is_swamp</t>
        </is>
      </c>
      <c r="Q2659" s="19" t="inlineStr"/>
      <c r="R2659" s="18">
        <f>IF(Q2659="",P2659,Q2659)</f>
        <v/>
      </c>
      <c r="S2659" s="18" t="inlineStr"/>
      <c r="T2659" s="18" t="inlineStr">
        <is>
          <t>ultra-rare</t>
        </is>
      </c>
      <c r="U2659" s="20" t="n">
        <v>0.4</v>
      </c>
      <c r="V2659" s="21" t="n">
        <v>1</v>
      </c>
      <c r="W2659" s="20">
        <f>IF(OR(U2659="",V2659=""),U2659,U2659*V2659)</f>
        <v/>
      </c>
      <c r="X2659" s="18" t="inlineStr">
        <is>
          <t>35-53</t>
        </is>
      </c>
      <c r="Y2659" s="19" t="inlineStr"/>
      <c r="Z2659" s="18">
        <f>IF(Y2659="",X2659,Y2659)</f>
        <v/>
      </c>
      <c r="AA2659" s="18" t="inlineStr">
        <is>
          <t>fishing</t>
        </is>
      </c>
      <c r="AB2659" s="18" t="inlineStr"/>
      <c r="AC2659" s="18" t="inlineStr"/>
      <c r="AD2659" s="18" t="inlineStr"/>
      <c r="AE2659" s="18" t="inlineStr"/>
      <c r="AF2659" s="18" t="inlineStr">
        <is>
          <t>True</t>
        </is>
      </c>
      <c r="AG2659" s="18" t="inlineStr"/>
      <c r="AH2659" s="18" t="inlineStr"/>
      <c r="AI2659" s="18" t="inlineStr"/>
      <c r="AJ2659" s="18" t="inlineStr">
        <is>
          <t>Cobblemon 동일</t>
        </is>
      </c>
      <c r="AK2659" s="18" t="inlineStr">
        <is>
          <t>사용</t>
        </is>
      </c>
      <c r="AL2659" s="18" t="inlineStr">
        <is>
          <t>COBBLEVERSE 1.7.42 / DP v31</t>
        </is>
      </c>
      <c r="AM2659" s="18" t="inlineStr">
        <is>
          <t>data/cobblemon/spawn_pool_world/0818_inteleon.json</t>
        </is>
      </c>
      <c r="AN2659" s="18" t="inlineStr">
        <is>
          <t>inteleon-4</t>
        </is>
      </c>
      <c r="AO2659" s="18" t="inlineStr">
        <is>
          <t>pokemon</t>
        </is>
      </c>
      <c r="AP2659" s="18" t="inlineStr"/>
      <c r="AQ2659" s="18" t="inlineStr">
        <is>
          <t>{"biomes":["#cobblemon:is_forest","#cobblemon:is_jungle","#cobblemon:is_swamp"],"canSeeSky":true}</t>
        </is>
      </c>
      <c r="AR2659" s="18" t="inlineStr"/>
      <c r="AS2659" s="18" t="inlineStr"/>
      <c r="AT2659" s="19" t="inlineStr"/>
    </row>
    <row r="2660" ht="32" customHeight="1">
      <c r="A2660" s="18" t="inlineStr">
        <is>
          <t>0819_skwovet.json::skwovet-1::001</t>
        </is>
      </c>
      <c r="B2660" s="19" t="inlineStr">
        <is>
          <t>사용</t>
        </is>
      </c>
      <c r="C2660" s="18">
        <f>IF(OR(B2660&lt;&gt;AK2660,M2660&lt;&gt;L2660,O2660&lt;&gt;"",Q2660&lt;&gt;"",V2660&lt;&gt;1,Y2660&lt;&gt;"",AT2660&lt;&gt;""),"수정","원본")</f>
        <v/>
      </c>
      <c r="D2660" s="18" t="n">
        <v>819</v>
      </c>
      <c r="E2660" s="18" t="inlineStr">
        <is>
          <t>탐리스</t>
        </is>
      </c>
      <c r="F2660" s="18" t="inlineStr">
        <is>
          <t>skwovet</t>
        </is>
      </c>
      <c r="G2660" s="18" t="inlineStr">
        <is>
          <t>skwovet</t>
        </is>
      </c>
      <c r="H2660" s="18" t="inlineStr"/>
      <c r="I2660" s="18" t="n">
        <v>8</v>
      </c>
      <c r="J2660" s="18" t="n"/>
      <c r="K2660" s="18" t="n">
        <v>8</v>
      </c>
      <c r="L2660" s="18" t="inlineStr">
        <is>
          <t>cobbleventure:generation_8</t>
        </is>
      </c>
      <c r="M2660" s="19" t="inlineStr">
        <is>
          <t>cobbleventure:generation_8</t>
        </is>
      </c>
      <c r="N2660" s="18" t="inlineStr">
        <is>
          <t>region_01</t>
        </is>
      </c>
      <c r="O2660" s="19" t="inlineStr"/>
      <c r="P2660" s="18" t="inlineStr">
        <is>
          <t>#cobblemon:is_forest; #cobblemon:is_taiga</t>
        </is>
      </c>
      <c r="Q2660" s="19" t="inlineStr"/>
      <c r="R2660" s="18">
        <f>IF(Q2660="",P2660,Q2660)</f>
        <v/>
      </c>
      <c r="S2660" s="18" t="inlineStr"/>
      <c r="T2660" s="18" t="inlineStr">
        <is>
          <t>common</t>
        </is>
      </c>
      <c r="U2660" s="20" t="n">
        <v>9</v>
      </c>
      <c r="V2660" s="21" t="n">
        <v>1</v>
      </c>
      <c r="W2660" s="20">
        <f>IF(OR(U2660="",V2660=""),U2660,U2660*V2660)</f>
        <v/>
      </c>
      <c r="X2660" s="18" t="inlineStr">
        <is>
          <t>3-28</t>
        </is>
      </c>
      <c r="Y2660" s="19" t="inlineStr"/>
      <c r="Z2660" s="18">
        <f>IF(Y2660="",X2660,Y2660)</f>
        <v/>
      </c>
      <c r="AA2660" s="18" t="inlineStr">
        <is>
          <t>grounded</t>
        </is>
      </c>
      <c r="AB2660" s="18" t="inlineStr"/>
      <c r="AC2660" s="18" t="inlineStr"/>
      <c r="AD2660" s="18" t="inlineStr"/>
      <c r="AE2660" s="18" t="inlineStr">
        <is>
          <t>sky 8-15</t>
        </is>
      </c>
      <c r="AF2660" s="18" t="inlineStr"/>
      <c r="AG2660" s="18" t="inlineStr"/>
      <c r="AH2660" s="18" t="inlineStr"/>
      <c r="AI2660" s="18" t="inlineStr"/>
      <c r="AJ2660" s="18" t="inlineStr">
        <is>
          <t>Cobblemon 동일</t>
        </is>
      </c>
      <c r="AK2660" s="18" t="inlineStr">
        <is>
          <t>사용</t>
        </is>
      </c>
      <c r="AL2660" s="18" t="inlineStr">
        <is>
          <t>COBBLEVERSE 1.7.42 / DP v31</t>
        </is>
      </c>
      <c r="AM2660" s="18" t="inlineStr">
        <is>
          <t>data/cobblemon/spawn_pool_world/0819_skwovet.json</t>
        </is>
      </c>
      <c r="AN2660" s="18" t="inlineStr">
        <is>
          <t>skwovet-1</t>
        </is>
      </c>
      <c r="AO2660" s="18" t="inlineStr">
        <is>
          <t>pokemon</t>
        </is>
      </c>
      <c r="AP2660" s="18" t="inlineStr">
        <is>
          <t>natural; treetop</t>
        </is>
      </c>
      <c r="AQ2660" s="18" t="inlineStr">
        <is>
          <t>{"biomes":["#cobblemon:is_forest","#cobblemon:is_taiga"],"maxSkyLight":15,"minSkyLight":8}</t>
        </is>
      </c>
      <c r="AR2660" s="18" t="inlineStr"/>
      <c r="AS2660" s="18" t="inlineStr"/>
      <c r="AT2660" s="19" t="inlineStr"/>
    </row>
    <row r="2661" ht="32" customHeight="1">
      <c r="A2661" s="18" t="inlineStr">
        <is>
          <t>0820_greedent.json::greedent-1::001</t>
        </is>
      </c>
      <c r="B2661" s="19" t="inlineStr">
        <is>
          <t>사용</t>
        </is>
      </c>
      <c r="C2661" s="18">
        <f>IF(OR(B2661&lt;&gt;AK2661,M2661&lt;&gt;L2661,O2661&lt;&gt;"",Q2661&lt;&gt;"",V2661&lt;&gt;1,Y2661&lt;&gt;"",AT2661&lt;&gt;""),"수정","원본")</f>
        <v/>
      </c>
      <c r="D2661" s="18" t="n">
        <v>820</v>
      </c>
      <c r="E2661" s="18" t="inlineStr">
        <is>
          <t>요씽리스</t>
        </is>
      </c>
      <c r="F2661" s="18" t="inlineStr">
        <is>
          <t>greedent</t>
        </is>
      </c>
      <c r="G2661" s="18" t="inlineStr">
        <is>
          <t>greedent</t>
        </is>
      </c>
      <c r="H2661" s="18" t="inlineStr"/>
      <c r="I2661" s="18" t="n">
        <v>8</v>
      </c>
      <c r="J2661" s="18" t="n"/>
      <c r="K2661" s="18" t="n">
        <v>8</v>
      </c>
      <c r="L2661" s="18" t="inlineStr">
        <is>
          <t>cobbleventure:generation_8</t>
        </is>
      </c>
      <c r="M2661" s="19" t="inlineStr">
        <is>
          <t>cobbleventure:generation_8</t>
        </is>
      </c>
      <c r="N2661" s="18" t="inlineStr">
        <is>
          <t>region_01</t>
        </is>
      </c>
      <c r="O2661" s="19" t="inlineStr"/>
      <c r="P2661" s="18" t="inlineStr">
        <is>
          <t>#cobblemon:is_forest; #cobblemon:is_taiga</t>
        </is>
      </c>
      <c r="Q2661" s="19" t="inlineStr"/>
      <c r="R2661" s="18">
        <f>IF(Q2661="",P2661,Q2661)</f>
        <v/>
      </c>
      <c r="S2661" s="18" t="inlineStr"/>
      <c r="T2661" s="18" t="inlineStr">
        <is>
          <t>common</t>
        </is>
      </c>
      <c r="U2661" s="20" t="n">
        <v>1</v>
      </c>
      <c r="V2661" s="21" t="n">
        <v>1</v>
      </c>
      <c r="W2661" s="20">
        <f>IF(OR(U2661="",V2661=""),U2661,U2661*V2661)</f>
        <v/>
      </c>
      <c r="X2661" s="18" t="inlineStr">
        <is>
          <t>24-46</t>
        </is>
      </c>
      <c r="Y2661" s="19" t="inlineStr"/>
      <c r="Z2661" s="18">
        <f>IF(Y2661="",X2661,Y2661)</f>
        <v/>
      </c>
      <c r="AA2661" s="18" t="inlineStr">
        <is>
          <t>grounded</t>
        </is>
      </c>
      <c r="AB2661" s="18" t="inlineStr"/>
      <c r="AC2661" s="18" t="inlineStr"/>
      <c r="AD2661" s="18" t="inlineStr"/>
      <c r="AE2661" s="18" t="inlineStr">
        <is>
          <t>sky 8-15</t>
        </is>
      </c>
      <c r="AF2661" s="18" t="inlineStr"/>
      <c r="AG2661" s="18" t="inlineStr"/>
      <c r="AH2661" s="18" t="inlineStr"/>
      <c r="AI2661" s="18" t="inlineStr"/>
      <c r="AJ2661" s="18" t="inlineStr">
        <is>
          <t>Cobblemon 동일</t>
        </is>
      </c>
      <c r="AK2661" s="18" t="inlineStr">
        <is>
          <t>사용</t>
        </is>
      </c>
      <c r="AL2661" s="18" t="inlineStr">
        <is>
          <t>COBBLEVERSE 1.7.42 / DP v31</t>
        </is>
      </c>
      <c r="AM2661" s="18" t="inlineStr">
        <is>
          <t>data/cobblemon/spawn_pool_world/0820_greedent.json</t>
        </is>
      </c>
      <c r="AN2661" s="18" t="inlineStr">
        <is>
          <t>greedent-1</t>
        </is>
      </c>
      <c r="AO2661" s="18" t="inlineStr">
        <is>
          <t>pokemon</t>
        </is>
      </c>
      <c r="AP2661" s="18" t="inlineStr">
        <is>
          <t>natural; treetop</t>
        </is>
      </c>
      <c r="AQ2661" s="18" t="inlineStr">
        <is>
          <t>{"biomes":["#cobblemon:is_forest","#cobblemon:is_taiga"],"maxSkyLight":15,"minSkyLight":8}</t>
        </is>
      </c>
      <c r="AR2661" s="18" t="inlineStr"/>
      <c r="AS2661" s="18" t="inlineStr"/>
      <c r="AT2661" s="19" t="inlineStr"/>
    </row>
    <row r="2662" ht="32" customHeight="1">
      <c r="A2662" s="18" t="inlineStr">
        <is>
          <t>0821_rookidee.json::rookidee-1::001</t>
        </is>
      </c>
      <c r="B2662" s="19" t="inlineStr">
        <is>
          <t>사용</t>
        </is>
      </c>
      <c r="C2662" s="18">
        <f>IF(OR(B2662&lt;&gt;AK2662,M2662&lt;&gt;L2662,O2662&lt;&gt;"",Q2662&lt;&gt;"",V2662&lt;&gt;1,Y2662&lt;&gt;"",AT2662&lt;&gt;""),"수정","원본")</f>
        <v/>
      </c>
      <c r="D2662" s="18" t="n">
        <v>821</v>
      </c>
      <c r="E2662" s="18" t="inlineStr">
        <is>
          <t>파라꼬</t>
        </is>
      </c>
      <c r="F2662" s="18" t="inlineStr">
        <is>
          <t>rookidee</t>
        </is>
      </c>
      <c r="G2662" s="18" t="inlineStr">
        <is>
          <t>rookidee</t>
        </is>
      </c>
      <c r="H2662" s="18" t="inlineStr"/>
      <c r="I2662" s="18" t="n">
        <v>8</v>
      </c>
      <c r="J2662" s="18" t="n"/>
      <c r="K2662" s="18" t="n">
        <v>8</v>
      </c>
      <c r="L2662" s="18" t="inlineStr">
        <is>
          <t>cobbleventure:generation_8</t>
        </is>
      </c>
      <c r="M2662" s="19" t="inlineStr">
        <is>
          <t>cobbleventure:generation_8</t>
        </is>
      </c>
      <c r="N2662" s="18" t="inlineStr"/>
      <c r="O2662" s="19" t="inlineStr"/>
      <c r="P2662" s="18" t="inlineStr">
        <is>
          <t>#cobblemon:is_hills; #cobblemon:is_sky; #cobblemon:is_spooky; #cobblemon:is_taiga</t>
        </is>
      </c>
      <c r="Q2662" s="19" t="inlineStr"/>
      <c r="R2662" s="18">
        <f>IF(Q2662="",P2662,Q2662)</f>
        <v/>
      </c>
      <c r="S2662" s="18" t="inlineStr">
        <is>
          <t>#cobblemon:is_arid</t>
        </is>
      </c>
      <c r="T2662" s="18" t="inlineStr">
        <is>
          <t>common</t>
        </is>
      </c>
      <c r="U2662" s="20" t="n">
        <v>9</v>
      </c>
      <c r="V2662" s="21" t="n">
        <v>1</v>
      </c>
      <c r="W2662" s="20">
        <f>IF(OR(U2662="",V2662=""),U2662,U2662*V2662)</f>
        <v/>
      </c>
      <c r="X2662" s="18" t="inlineStr">
        <is>
          <t>1-25</t>
        </is>
      </c>
      <c r="Y2662" s="19" t="inlineStr"/>
      <c r="Z2662" s="18">
        <f>IF(Y2662="",X2662,Y2662)</f>
        <v/>
      </c>
      <c r="AA2662" s="18" t="inlineStr">
        <is>
          <t>grounded</t>
        </is>
      </c>
      <c r="AB2662" s="18" t="inlineStr">
        <is>
          <t>day</t>
        </is>
      </c>
      <c r="AC2662" s="18" t="inlineStr"/>
      <c r="AD2662" s="18" t="inlineStr"/>
      <c r="AE2662" s="18" t="inlineStr">
        <is>
          <t>sky 8-15</t>
        </is>
      </c>
      <c r="AF2662" s="18" t="inlineStr"/>
      <c r="AG2662" s="18" t="inlineStr"/>
      <c r="AH2662" s="18" t="inlineStr"/>
      <c r="AI2662" s="18" t="inlineStr"/>
      <c r="AJ2662" s="18" t="inlineStr">
        <is>
          <t>Cobblemon 동일</t>
        </is>
      </c>
      <c r="AK2662" s="18" t="inlineStr">
        <is>
          <t>사용</t>
        </is>
      </c>
      <c r="AL2662" s="18" t="inlineStr">
        <is>
          <t>COBBLEVERSE 1.7.42 / DP v31</t>
        </is>
      </c>
      <c r="AM2662" s="18" t="inlineStr">
        <is>
          <t>data/cobblemon/spawn_pool_world/0821_rookidee.json</t>
        </is>
      </c>
      <c r="AN2662" s="18" t="inlineStr">
        <is>
          <t>rookidee-1</t>
        </is>
      </c>
      <c r="AO2662" s="18" t="inlineStr">
        <is>
          <t>pokemon</t>
        </is>
      </c>
      <c r="AP2662" s="18" t="inlineStr">
        <is>
          <t>natural; treetop</t>
        </is>
      </c>
      <c r="AQ2662" s="18" t="inlineStr">
        <is>
          <t>{"biomes":["#cobblemon:is_hills","#cobblemon:is_sky","#cobblemon:is_spooky","#cobblemon:is_taiga"],"maxSkyLight":15,"minSkyLight":8,"timeRange":"day"}</t>
        </is>
      </c>
      <c r="AR2662" s="18" t="inlineStr">
        <is>
          <t>{"biomes":["#cobblemon:is_arid"]}</t>
        </is>
      </c>
      <c r="AS2662" s="18" t="inlineStr"/>
      <c r="AT2662" s="19" t="inlineStr"/>
    </row>
    <row r="2663" ht="32" customHeight="1">
      <c r="A2663" s="18" t="inlineStr">
        <is>
          <t>0822_corvisquire.json::corvisquire-1::001</t>
        </is>
      </c>
      <c r="B2663" s="19" t="inlineStr">
        <is>
          <t>사용</t>
        </is>
      </c>
      <c r="C2663" s="18">
        <f>IF(OR(B2663&lt;&gt;AK2663,M2663&lt;&gt;L2663,O2663&lt;&gt;"",Q2663&lt;&gt;"",V2663&lt;&gt;1,Y2663&lt;&gt;"",AT2663&lt;&gt;""),"수정","원본")</f>
        <v/>
      </c>
      <c r="D2663" s="18" t="n">
        <v>822</v>
      </c>
      <c r="E2663" s="18" t="inlineStr">
        <is>
          <t>파크로우</t>
        </is>
      </c>
      <c r="F2663" s="18" t="inlineStr">
        <is>
          <t>corvisquire</t>
        </is>
      </c>
      <c r="G2663" s="18" t="inlineStr">
        <is>
          <t>corvisquire</t>
        </is>
      </c>
      <c r="H2663" s="18" t="inlineStr"/>
      <c r="I2663" s="18" t="n">
        <v>8</v>
      </c>
      <c r="J2663" s="18" t="n"/>
      <c r="K2663" s="18" t="n">
        <v>8</v>
      </c>
      <c r="L2663" s="18" t="inlineStr">
        <is>
          <t>cobbleventure:generation_8</t>
        </is>
      </c>
      <c r="M2663" s="19" t="inlineStr">
        <is>
          <t>cobbleventure:generation_8</t>
        </is>
      </c>
      <c r="N2663" s="18" t="inlineStr"/>
      <c r="O2663" s="19" t="inlineStr"/>
      <c r="P2663" s="18" t="inlineStr">
        <is>
          <t>#cobblemon:is_hills; #cobblemon:is_sky; #cobblemon:is_spooky; #cobblemon:is_taiga</t>
        </is>
      </c>
      <c r="Q2663" s="19" t="inlineStr"/>
      <c r="R2663" s="18">
        <f>IF(Q2663="",P2663,Q2663)</f>
        <v/>
      </c>
      <c r="S2663" s="18" t="inlineStr">
        <is>
          <t>#cobblemon:is_arid</t>
        </is>
      </c>
      <c r="T2663" s="18" t="inlineStr">
        <is>
          <t>common</t>
        </is>
      </c>
      <c r="U2663" s="20" t="n">
        <v>0.9</v>
      </c>
      <c r="V2663" s="21" t="n">
        <v>1</v>
      </c>
      <c r="W2663" s="20">
        <f>IF(OR(U2663="",V2663=""),U2663,U2663*V2663)</f>
        <v/>
      </c>
      <c r="X2663" s="18" t="inlineStr">
        <is>
          <t>18-37</t>
        </is>
      </c>
      <c r="Y2663" s="19" t="inlineStr"/>
      <c r="Z2663" s="18">
        <f>IF(Y2663="",X2663,Y2663)</f>
        <v/>
      </c>
      <c r="AA2663" s="18" t="inlineStr">
        <is>
          <t>grounded</t>
        </is>
      </c>
      <c r="AB2663" s="18" t="inlineStr">
        <is>
          <t>day</t>
        </is>
      </c>
      <c r="AC2663" s="18" t="inlineStr"/>
      <c r="AD2663" s="18" t="inlineStr"/>
      <c r="AE2663" s="18" t="inlineStr">
        <is>
          <t>sky 8-15</t>
        </is>
      </c>
      <c r="AF2663" s="18" t="inlineStr"/>
      <c r="AG2663" s="18" t="inlineStr"/>
      <c r="AH2663" s="18" t="inlineStr"/>
      <c r="AI2663" s="18" t="inlineStr"/>
      <c r="AJ2663" s="18" t="inlineStr">
        <is>
          <t>Cobblemon 동일</t>
        </is>
      </c>
      <c r="AK2663" s="18" t="inlineStr">
        <is>
          <t>사용</t>
        </is>
      </c>
      <c r="AL2663" s="18" t="inlineStr">
        <is>
          <t>COBBLEVERSE 1.7.42 / DP v31</t>
        </is>
      </c>
      <c r="AM2663" s="18" t="inlineStr">
        <is>
          <t>data/cobblemon/spawn_pool_world/0822_corvisquire.json</t>
        </is>
      </c>
      <c r="AN2663" s="18" t="inlineStr">
        <is>
          <t>corvisquire-1</t>
        </is>
      </c>
      <c r="AO2663" s="18" t="inlineStr">
        <is>
          <t>pokemon</t>
        </is>
      </c>
      <c r="AP2663" s="18" t="inlineStr">
        <is>
          <t>natural; treetop</t>
        </is>
      </c>
      <c r="AQ2663" s="18" t="inlineStr">
        <is>
          <t>{"biomes":["#cobblemon:is_hills","#cobblemon:is_sky","#cobblemon:is_spooky","#cobblemon:is_taiga"],"maxSkyLight":15,"minSkyLight":8,"timeRange":"day"}</t>
        </is>
      </c>
      <c r="AR2663" s="18" t="inlineStr">
        <is>
          <t>{"biomes":["#cobblemon:is_arid"]}</t>
        </is>
      </c>
      <c r="AS2663" s="18" t="inlineStr"/>
      <c r="AT2663" s="19" t="inlineStr"/>
    </row>
    <row r="2664" ht="32" customHeight="1">
      <c r="A2664" s="18" t="inlineStr">
        <is>
          <t>0823_corviknight.json::corviknight-1::001</t>
        </is>
      </c>
      <c r="B2664" s="19" t="inlineStr">
        <is>
          <t>사용</t>
        </is>
      </c>
      <c r="C2664" s="18">
        <f>IF(OR(B2664&lt;&gt;AK2664,M2664&lt;&gt;L2664,O2664&lt;&gt;"",Q2664&lt;&gt;"",V2664&lt;&gt;1,Y2664&lt;&gt;"",AT2664&lt;&gt;""),"수정","원본")</f>
        <v/>
      </c>
      <c r="D2664" s="18" t="n">
        <v>823</v>
      </c>
      <c r="E2664" s="18" t="inlineStr">
        <is>
          <t>아머까오</t>
        </is>
      </c>
      <c r="F2664" s="18" t="inlineStr">
        <is>
          <t>corviknight</t>
        </is>
      </c>
      <c r="G2664" s="18" t="inlineStr">
        <is>
          <t>corviknight</t>
        </is>
      </c>
      <c r="H2664" s="18" t="inlineStr"/>
      <c r="I2664" s="18" t="n">
        <v>8</v>
      </c>
      <c r="J2664" s="18" t="n"/>
      <c r="K2664" s="18" t="n">
        <v>8</v>
      </c>
      <c r="L2664" s="18" t="inlineStr">
        <is>
          <t>cobbleventure:generation_8</t>
        </is>
      </c>
      <c r="M2664" s="19" t="inlineStr">
        <is>
          <t>cobbleventure:generation_8</t>
        </is>
      </c>
      <c r="N2664" s="18" t="inlineStr"/>
      <c r="O2664" s="19" t="inlineStr"/>
      <c r="P2664" s="18" t="inlineStr">
        <is>
          <t>#cobblemon:is_hills; #cobblemon:is_sky; #cobblemon:is_spooky; #cobblemon:is_taiga</t>
        </is>
      </c>
      <c r="Q2664" s="19" t="inlineStr"/>
      <c r="R2664" s="18">
        <f>IF(Q2664="",P2664,Q2664)</f>
        <v/>
      </c>
      <c r="S2664" s="18" t="inlineStr">
        <is>
          <t>#cobblemon:is_arid</t>
        </is>
      </c>
      <c r="T2664" s="18" t="inlineStr">
        <is>
          <t>common</t>
        </is>
      </c>
      <c r="U2664" s="20" t="n">
        <v>0.1</v>
      </c>
      <c r="V2664" s="21" t="n">
        <v>1</v>
      </c>
      <c r="W2664" s="20">
        <f>IF(OR(U2664="",V2664=""),U2664,U2664*V2664)</f>
        <v/>
      </c>
      <c r="X2664" s="18" t="inlineStr">
        <is>
          <t>38-50</t>
        </is>
      </c>
      <c r="Y2664" s="19" t="inlineStr"/>
      <c r="Z2664" s="18">
        <f>IF(Y2664="",X2664,Y2664)</f>
        <v/>
      </c>
      <c r="AA2664" s="18" t="inlineStr">
        <is>
          <t>grounded</t>
        </is>
      </c>
      <c r="AB2664" s="18" t="inlineStr">
        <is>
          <t>day</t>
        </is>
      </c>
      <c r="AC2664" s="18" t="inlineStr"/>
      <c r="AD2664" s="18" t="inlineStr"/>
      <c r="AE2664" s="18" t="inlineStr">
        <is>
          <t>sky 8-15</t>
        </is>
      </c>
      <c r="AF2664" s="18" t="inlineStr"/>
      <c r="AG2664" s="18" t="inlineStr"/>
      <c r="AH2664" s="18" t="inlineStr"/>
      <c r="AI2664" s="18" t="inlineStr"/>
      <c r="AJ2664" s="18" t="inlineStr">
        <is>
          <t>Cobblemon 동일</t>
        </is>
      </c>
      <c r="AK2664" s="18" t="inlineStr">
        <is>
          <t>사용</t>
        </is>
      </c>
      <c r="AL2664" s="18" t="inlineStr">
        <is>
          <t>COBBLEVERSE 1.7.42 / DP v31</t>
        </is>
      </c>
      <c r="AM2664" s="18" t="inlineStr">
        <is>
          <t>data/cobblemon/spawn_pool_world/0823_corviknight.json</t>
        </is>
      </c>
      <c r="AN2664" s="18" t="inlineStr">
        <is>
          <t>corviknight-1</t>
        </is>
      </c>
      <c r="AO2664" s="18" t="inlineStr">
        <is>
          <t>pokemon</t>
        </is>
      </c>
      <c r="AP2664" s="18" t="inlineStr">
        <is>
          <t>natural; treetop</t>
        </is>
      </c>
      <c r="AQ2664" s="18" t="inlineStr">
        <is>
          <t>{"biomes":["#cobblemon:is_hills","#cobblemon:is_sky","#cobblemon:is_spooky","#cobblemon:is_taiga"],"maxSkyLight":15,"minSkyLight":8,"timeRange":"day"}</t>
        </is>
      </c>
      <c r="AR2664" s="18" t="inlineStr">
        <is>
          <t>{"biomes":["#cobblemon:is_arid"]}</t>
        </is>
      </c>
      <c r="AS2664" s="18" t="inlineStr"/>
      <c r="AT2664" s="19" t="inlineStr"/>
    </row>
    <row r="2665" ht="32" customHeight="1">
      <c r="A2665" s="18" t="inlineStr">
        <is>
          <t>0824_blipbug.json::blipbug-1::001</t>
        </is>
      </c>
      <c r="B2665" s="19" t="inlineStr">
        <is>
          <t>사용</t>
        </is>
      </c>
      <c r="C2665" s="18">
        <f>IF(OR(B2665&lt;&gt;AK2665,M2665&lt;&gt;L2665,O2665&lt;&gt;"",Q2665&lt;&gt;"",V2665&lt;&gt;1,Y2665&lt;&gt;"",AT2665&lt;&gt;""),"수정","원본")</f>
        <v/>
      </c>
      <c r="D2665" s="18" t="n">
        <v>824</v>
      </c>
      <c r="E2665" s="18" t="inlineStr">
        <is>
          <t>두루지벌레</t>
        </is>
      </c>
      <c r="F2665" s="18" t="inlineStr">
        <is>
          <t>blipbug</t>
        </is>
      </c>
      <c r="G2665" s="18" t="inlineStr">
        <is>
          <t>blipbug</t>
        </is>
      </c>
      <c r="H2665" s="18" t="inlineStr"/>
      <c r="I2665" s="18" t="n">
        <v>8</v>
      </c>
      <c r="J2665" s="18" t="n"/>
      <c r="K2665" s="18" t="n">
        <v>8</v>
      </c>
      <c r="L2665" s="18" t="inlineStr">
        <is>
          <t>cobbleventure:generation_8</t>
        </is>
      </c>
      <c r="M2665" s="19" t="inlineStr">
        <is>
          <t>cobbleventure:generation_8</t>
        </is>
      </c>
      <c r="N2665" s="18" t="inlineStr">
        <is>
          <t>region_01</t>
        </is>
      </c>
      <c r="O2665" s="19" t="inlineStr"/>
      <c r="P2665" s="18" t="inlineStr">
        <is>
          <t>#cobblemon:is_forest</t>
        </is>
      </c>
      <c r="Q2665" s="19" t="inlineStr"/>
      <c r="R2665" s="18">
        <f>IF(Q2665="",P2665,Q2665)</f>
        <v/>
      </c>
      <c r="S2665" s="18" t="inlineStr">
        <is>
          <t>#cobblemon:is_spooky</t>
        </is>
      </c>
      <c r="T2665" s="18" t="inlineStr">
        <is>
          <t>common</t>
        </is>
      </c>
      <c r="U2665" s="20" t="n">
        <v>6</v>
      </c>
      <c r="V2665" s="21" t="n">
        <v>1</v>
      </c>
      <c r="W2665" s="20">
        <f>IF(OR(U2665="",V2665=""),U2665,U2665*V2665)</f>
        <v/>
      </c>
      <c r="X2665" s="18" t="inlineStr">
        <is>
          <t>2-9</t>
        </is>
      </c>
      <c r="Y2665" s="19" t="inlineStr"/>
      <c r="Z2665" s="18">
        <f>IF(Y2665="",X2665,Y2665)</f>
        <v/>
      </c>
      <c r="AA2665" s="18" t="inlineStr">
        <is>
          <t>grounded</t>
        </is>
      </c>
      <c r="AB2665" s="18" t="inlineStr"/>
      <c r="AC2665" s="18" t="inlineStr"/>
      <c r="AD2665" s="18" t="inlineStr"/>
      <c r="AE2665" s="18" t="inlineStr"/>
      <c r="AF2665" s="18" t="inlineStr">
        <is>
          <t>True</t>
        </is>
      </c>
      <c r="AG2665" s="18" t="inlineStr"/>
      <c r="AH2665" s="18" t="inlineStr"/>
      <c r="AI2665" s="18" t="inlineStr"/>
      <c r="AJ2665" s="18" t="inlineStr">
        <is>
          <t>COBBLEVERSE 추가</t>
        </is>
      </c>
      <c r="AK2665" s="18" t="inlineStr">
        <is>
          <t>사용</t>
        </is>
      </c>
      <c r="AL2665" s="18" t="inlineStr">
        <is>
          <t>COBBLEVERSE 1.7.42 / DP v31</t>
        </is>
      </c>
      <c r="AM2665" s="18" t="inlineStr">
        <is>
          <t>data/cobblemon/spawn_pool_world/0824_blipbug.json</t>
        </is>
      </c>
      <c r="AN2665" s="18" t="inlineStr">
        <is>
          <t>blipbug-1</t>
        </is>
      </c>
      <c r="AO2665" s="18" t="inlineStr">
        <is>
          <t>pokemon</t>
        </is>
      </c>
      <c r="AP2665" s="18" t="inlineStr">
        <is>
          <t>natural; treetop</t>
        </is>
      </c>
      <c r="AQ2665" s="18" t="inlineStr">
        <is>
          <t>{"biomes":["#cobblemon:is_forest"],"canSeeSky":true}</t>
        </is>
      </c>
      <c r="AR2665" s="18" t="inlineStr">
        <is>
          <t>{"biomes":["#cobblemon:is_spooky"]}</t>
        </is>
      </c>
      <c r="AS2665" s="18" t="inlineStr"/>
      <c r="AT2665" s="19" t="inlineStr"/>
    </row>
    <row r="2666" ht="32" customHeight="1">
      <c r="A2666" s="18" t="inlineStr">
        <is>
          <t>0824_blipbug.json::blipbug-2::002</t>
        </is>
      </c>
      <c r="B2666" s="19" t="inlineStr">
        <is>
          <t>사용</t>
        </is>
      </c>
      <c r="C2666" s="18">
        <f>IF(OR(B2666&lt;&gt;AK2666,M2666&lt;&gt;L2666,O2666&lt;&gt;"",Q2666&lt;&gt;"",V2666&lt;&gt;1,Y2666&lt;&gt;"",AT2666&lt;&gt;""),"수정","원본")</f>
        <v/>
      </c>
      <c r="D2666" s="18" t="n">
        <v>824</v>
      </c>
      <c r="E2666" s="18" t="inlineStr">
        <is>
          <t>두루지벌레</t>
        </is>
      </c>
      <c r="F2666" s="18" t="inlineStr">
        <is>
          <t>blipbug</t>
        </is>
      </c>
      <c r="G2666" s="18" t="inlineStr">
        <is>
          <t>blipbug</t>
        </is>
      </c>
      <c r="H2666" s="18" t="inlineStr"/>
      <c r="I2666" s="18" t="n">
        <v>8</v>
      </c>
      <c r="J2666" s="18" t="n"/>
      <c r="K2666" s="18" t="n">
        <v>8</v>
      </c>
      <c r="L2666" s="18" t="inlineStr">
        <is>
          <t>cobbleventure:generation_8</t>
        </is>
      </c>
      <c r="M2666" s="19" t="inlineStr">
        <is>
          <t>cobbleventure:generation_8</t>
        </is>
      </c>
      <c r="N2666" s="18" t="inlineStr">
        <is>
          <t>region_01</t>
        </is>
      </c>
      <c r="O2666" s="19" t="inlineStr"/>
      <c r="P2666" s="18" t="inlineStr">
        <is>
          <t>#cobblemon:is_plains</t>
        </is>
      </c>
      <c r="Q2666" s="19" t="inlineStr"/>
      <c r="R2666" s="18">
        <f>IF(Q2666="",P2666,Q2666)</f>
        <v/>
      </c>
      <c r="S2666" s="18" t="inlineStr"/>
      <c r="T2666" s="18" t="inlineStr">
        <is>
          <t>common</t>
        </is>
      </c>
      <c r="U2666" s="20" t="n">
        <v>3</v>
      </c>
      <c r="V2666" s="21" t="n">
        <v>1</v>
      </c>
      <c r="W2666" s="20">
        <f>IF(OR(U2666="",V2666=""),U2666,U2666*V2666)</f>
        <v/>
      </c>
      <c r="X2666" s="18" t="inlineStr">
        <is>
          <t>2-9</t>
        </is>
      </c>
      <c r="Y2666" s="19" t="inlineStr"/>
      <c r="Z2666" s="18">
        <f>IF(Y2666="",X2666,Y2666)</f>
        <v/>
      </c>
      <c r="AA2666" s="18" t="inlineStr">
        <is>
          <t>grounded</t>
        </is>
      </c>
      <c r="AB2666" s="18" t="inlineStr"/>
      <c r="AC2666" s="18" t="inlineStr"/>
      <c r="AD2666" s="18" t="inlineStr"/>
      <c r="AE2666" s="18" t="inlineStr"/>
      <c r="AF2666" s="18" t="inlineStr">
        <is>
          <t>True</t>
        </is>
      </c>
      <c r="AG2666" s="18" t="inlineStr"/>
      <c r="AH2666" s="18" t="inlineStr"/>
      <c r="AI2666" s="18" t="inlineStr"/>
      <c r="AJ2666" s="18" t="inlineStr">
        <is>
          <t>COBBLEVERSE 추가</t>
        </is>
      </c>
      <c r="AK2666" s="18" t="inlineStr">
        <is>
          <t>사용</t>
        </is>
      </c>
      <c r="AL2666" s="18" t="inlineStr">
        <is>
          <t>COBBLEVERSE 1.7.42 / DP v31</t>
        </is>
      </c>
      <c r="AM2666" s="18" t="inlineStr">
        <is>
          <t>data/cobblemon/spawn_pool_world/0824_blipbug.json</t>
        </is>
      </c>
      <c r="AN2666" s="18" t="inlineStr">
        <is>
          <t>blipbug-2</t>
        </is>
      </c>
      <c r="AO2666" s="18" t="inlineStr">
        <is>
          <t>pokemon</t>
        </is>
      </c>
      <c r="AP2666" s="18" t="inlineStr">
        <is>
          <t>natural; foliage; treetop</t>
        </is>
      </c>
      <c r="AQ2666" s="18" t="inlineStr">
        <is>
          <t>{"biomes":["#cobblemon:is_plains"],"canSeeSky":true}</t>
        </is>
      </c>
      <c r="AR2666" s="18" t="inlineStr"/>
      <c r="AS2666" s="18" t="inlineStr"/>
      <c r="AT2666" s="19" t="inlineStr"/>
    </row>
    <row r="2667" ht="32" customHeight="1">
      <c r="A2667" s="18" t="inlineStr">
        <is>
          <t>0825_dottler.json::dottler-1::001</t>
        </is>
      </c>
      <c r="B2667" s="19" t="inlineStr">
        <is>
          <t>사용</t>
        </is>
      </c>
      <c r="C2667" s="18">
        <f>IF(OR(B2667&lt;&gt;AK2667,M2667&lt;&gt;L2667,O2667&lt;&gt;"",Q2667&lt;&gt;"",V2667&lt;&gt;1,Y2667&lt;&gt;"",AT2667&lt;&gt;""),"수정","원본")</f>
        <v/>
      </c>
      <c r="D2667" s="18" t="n">
        <v>825</v>
      </c>
      <c r="E2667" s="18" t="inlineStr">
        <is>
          <t>레돔벌레</t>
        </is>
      </c>
      <c r="F2667" s="18" t="inlineStr">
        <is>
          <t>dottler</t>
        </is>
      </c>
      <c r="G2667" s="18" t="inlineStr">
        <is>
          <t>dottler</t>
        </is>
      </c>
      <c r="H2667" s="18" t="inlineStr"/>
      <c r="I2667" s="18" t="n">
        <v>8</v>
      </c>
      <c r="J2667" s="18" t="n"/>
      <c r="K2667" s="18" t="n">
        <v>8</v>
      </c>
      <c r="L2667" s="18" t="inlineStr">
        <is>
          <t>cobbleventure:generation_8</t>
        </is>
      </c>
      <c r="M2667" s="19" t="inlineStr">
        <is>
          <t>cobbleventure:generation_8</t>
        </is>
      </c>
      <c r="N2667" s="18" t="inlineStr">
        <is>
          <t>region_01</t>
        </is>
      </c>
      <c r="O2667" s="19" t="inlineStr"/>
      <c r="P2667" s="18" t="inlineStr">
        <is>
          <t>#cobblemon:is_forest</t>
        </is>
      </c>
      <c r="Q2667" s="19" t="inlineStr"/>
      <c r="R2667" s="18">
        <f>IF(Q2667="",P2667,Q2667)</f>
        <v/>
      </c>
      <c r="S2667" s="18" t="inlineStr">
        <is>
          <t>#cobblemon:is_spooky</t>
        </is>
      </c>
      <c r="T2667" s="18" t="inlineStr">
        <is>
          <t>uncommon</t>
        </is>
      </c>
      <c r="U2667" s="20" t="n">
        <v>3</v>
      </c>
      <c r="V2667" s="21" t="n">
        <v>1</v>
      </c>
      <c r="W2667" s="20">
        <f>IF(OR(U2667="",V2667=""),U2667,U2667*V2667)</f>
        <v/>
      </c>
      <c r="X2667" s="18" t="inlineStr">
        <is>
          <t>11-29</t>
        </is>
      </c>
      <c r="Y2667" s="19" t="inlineStr"/>
      <c r="Z2667" s="18">
        <f>IF(Y2667="",X2667,Y2667)</f>
        <v/>
      </c>
      <c r="AA2667" s="18" t="inlineStr">
        <is>
          <t>grounded</t>
        </is>
      </c>
      <c r="AB2667" s="18" t="inlineStr"/>
      <c r="AC2667" s="18" t="inlineStr"/>
      <c r="AD2667" s="18" t="inlineStr"/>
      <c r="AE2667" s="18" t="inlineStr"/>
      <c r="AF2667" s="18" t="inlineStr">
        <is>
          <t>True</t>
        </is>
      </c>
      <c r="AG2667" s="18" t="inlineStr"/>
      <c r="AH2667" s="18" t="inlineStr"/>
      <c r="AI2667" s="18" t="inlineStr"/>
      <c r="AJ2667" s="18" t="inlineStr">
        <is>
          <t>COBBLEVERSE 추가</t>
        </is>
      </c>
      <c r="AK2667" s="18" t="inlineStr">
        <is>
          <t>사용</t>
        </is>
      </c>
      <c r="AL2667" s="18" t="inlineStr">
        <is>
          <t>COBBLEVERSE 1.7.42 / DP v31</t>
        </is>
      </c>
      <c r="AM2667" s="18" t="inlineStr">
        <is>
          <t>data/cobblemon/spawn_pool_world/0825_dottler.json</t>
        </is>
      </c>
      <c r="AN2667" s="18" t="inlineStr">
        <is>
          <t>dottler-1</t>
        </is>
      </c>
      <c r="AO2667" s="18" t="inlineStr">
        <is>
          <t>pokemon</t>
        </is>
      </c>
      <c r="AP2667" s="18" t="inlineStr">
        <is>
          <t>natural; treetop</t>
        </is>
      </c>
      <c r="AQ2667" s="18" t="inlineStr">
        <is>
          <t>{"biomes":["#cobblemon:is_forest"],"canSeeSky":true}</t>
        </is>
      </c>
      <c r="AR2667" s="18" t="inlineStr">
        <is>
          <t>{"biomes":["#cobblemon:is_spooky"]}</t>
        </is>
      </c>
      <c r="AS2667" s="18" t="inlineStr"/>
      <c r="AT2667" s="19" t="inlineStr"/>
    </row>
    <row r="2668" ht="32" customHeight="1">
      <c r="A2668" s="18" t="inlineStr">
        <is>
          <t>0825_dottler.json::dottler-2::002</t>
        </is>
      </c>
      <c r="B2668" s="19" t="inlineStr">
        <is>
          <t>사용</t>
        </is>
      </c>
      <c r="C2668" s="18">
        <f>IF(OR(B2668&lt;&gt;AK2668,M2668&lt;&gt;L2668,O2668&lt;&gt;"",Q2668&lt;&gt;"",V2668&lt;&gt;1,Y2668&lt;&gt;"",AT2668&lt;&gt;""),"수정","원본")</f>
        <v/>
      </c>
      <c r="D2668" s="18" t="n">
        <v>825</v>
      </c>
      <c r="E2668" s="18" t="inlineStr">
        <is>
          <t>레돔벌레</t>
        </is>
      </c>
      <c r="F2668" s="18" t="inlineStr">
        <is>
          <t>dottler</t>
        </is>
      </c>
      <c r="G2668" s="18" t="inlineStr">
        <is>
          <t>dottler</t>
        </is>
      </c>
      <c r="H2668" s="18" t="inlineStr"/>
      <c r="I2668" s="18" t="n">
        <v>8</v>
      </c>
      <c r="J2668" s="18" t="n"/>
      <c r="K2668" s="18" t="n">
        <v>8</v>
      </c>
      <c r="L2668" s="18" t="inlineStr">
        <is>
          <t>cobbleventure:generation_8</t>
        </is>
      </c>
      <c r="M2668" s="19" t="inlineStr">
        <is>
          <t>cobbleventure:generation_8</t>
        </is>
      </c>
      <c r="N2668" s="18" t="inlineStr">
        <is>
          <t>region_01</t>
        </is>
      </c>
      <c r="O2668" s="19" t="inlineStr"/>
      <c r="P2668" s="18" t="inlineStr">
        <is>
          <t>#cobblemon:is_plains</t>
        </is>
      </c>
      <c r="Q2668" s="19" t="inlineStr"/>
      <c r="R2668" s="18">
        <f>IF(Q2668="",P2668,Q2668)</f>
        <v/>
      </c>
      <c r="S2668" s="18" t="inlineStr"/>
      <c r="T2668" s="18" t="inlineStr">
        <is>
          <t>uncommon</t>
        </is>
      </c>
      <c r="U2668" s="20" t="n">
        <v>1.4</v>
      </c>
      <c r="V2668" s="21" t="n">
        <v>1</v>
      </c>
      <c r="W2668" s="20">
        <f>IF(OR(U2668="",V2668=""),U2668,U2668*V2668)</f>
        <v/>
      </c>
      <c r="X2668" s="18" t="inlineStr">
        <is>
          <t>12-28</t>
        </is>
      </c>
      <c r="Y2668" s="19" t="inlineStr"/>
      <c r="Z2668" s="18">
        <f>IF(Y2668="",X2668,Y2668)</f>
        <v/>
      </c>
      <c r="AA2668" s="18" t="inlineStr">
        <is>
          <t>grounded</t>
        </is>
      </c>
      <c r="AB2668" s="18" t="inlineStr"/>
      <c r="AC2668" s="18" t="inlineStr"/>
      <c r="AD2668" s="18" t="inlineStr"/>
      <c r="AE2668" s="18" t="inlineStr"/>
      <c r="AF2668" s="18" t="inlineStr">
        <is>
          <t>True</t>
        </is>
      </c>
      <c r="AG2668" s="18" t="inlineStr"/>
      <c r="AH2668" s="18" t="inlineStr"/>
      <c r="AI2668" s="18" t="inlineStr"/>
      <c r="AJ2668" s="18" t="inlineStr">
        <is>
          <t>COBBLEVERSE 추가</t>
        </is>
      </c>
      <c r="AK2668" s="18" t="inlineStr">
        <is>
          <t>사용</t>
        </is>
      </c>
      <c r="AL2668" s="18" t="inlineStr">
        <is>
          <t>COBBLEVERSE 1.7.42 / DP v31</t>
        </is>
      </c>
      <c r="AM2668" s="18" t="inlineStr">
        <is>
          <t>data/cobblemon/spawn_pool_world/0825_dottler.json</t>
        </is>
      </c>
      <c r="AN2668" s="18" t="inlineStr">
        <is>
          <t>dottler-2</t>
        </is>
      </c>
      <c r="AO2668" s="18" t="inlineStr">
        <is>
          <t>pokemon</t>
        </is>
      </c>
      <c r="AP2668" s="18" t="inlineStr">
        <is>
          <t>natural; foliage; treetop</t>
        </is>
      </c>
      <c r="AQ2668" s="18" t="inlineStr">
        <is>
          <t>{"biomes":["#cobblemon:is_plains"],"canSeeSky":true}</t>
        </is>
      </c>
      <c r="AR2668" s="18" t="inlineStr"/>
      <c r="AS2668" s="18" t="inlineStr"/>
      <c r="AT2668" s="19" t="inlineStr"/>
    </row>
    <row r="2669" ht="32" customHeight="1">
      <c r="A2669" s="18" t="inlineStr">
        <is>
          <t>0826_orbeetle.json::orbeetle-1::001</t>
        </is>
      </c>
      <c r="B2669" s="19" t="inlineStr">
        <is>
          <t>사용</t>
        </is>
      </c>
      <c r="C2669" s="18">
        <f>IF(OR(B2669&lt;&gt;AK2669,M2669&lt;&gt;L2669,O2669&lt;&gt;"",Q2669&lt;&gt;"",V2669&lt;&gt;1,Y2669&lt;&gt;"",AT2669&lt;&gt;""),"수정","원본")</f>
        <v/>
      </c>
      <c r="D2669" s="18" t="n">
        <v>826</v>
      </c>
      <c r="E2669" s="18" t="inlineStr">
        <is>
          <t>이올브</t>
        </is>
      </c>
      <c r="F2669" s="18" t="inlineStr">
        <is>
          <t>orbeetle</t>
        </is>
      </c>
      <c r="G2669" s="18" t="inlineStr">
        <is>
          <t>orbeetle</t>
        </is>
      </c>
      <c r="H2669" s="18" t="inlineStr"/>
      <c r="I2669" s="18" t="n">
        <v>8</v>
      </c>
      <c r="J2669" s="18" t="n"/>
      <c r="K2669" s="18" t="n">
        <v>8</v>
      </c>
      <c r="L2669" s="18" t="inlineStr">
        <is>
          <t>cobbleventure:generation_8</t>
        </is>
      </c>
      <c r="M2669" s="19" t="inlineStr">
        <is>
          <t>cobbleventure:generation_8</t>
        </is>
      </c>
      <c r="N2669" s="18" t="inlineStr">
        <is>
          <t>region_01</t>
        </is>
      </c>
      <c r="O2669" s="19" t="inlineStr"/>
      <c r="P2669" s="18" t="inlineStr">
        <is>
          <t>#cobblemon:is_plains</t>
        </is>
      </c>
      <c r="Q2669" s="19" t="inlineStr"/>
      <c r="R2669" s="18">
        <f>IF(Q2669="",P2669,Q2669)</f>
        <v/>
      </c>
      <c r="S2669" s="18" t="inlineStr">
        <is>
          <t>#cobblemon:is_spooky</t>
        </is>
      </c>
      <c r="T2669" s="18" t="inlineStr">
        <is>
          <t>rare</t>
        </is>
      </c>
      <c r="U2669" s="20" t="n">
        <v>1</v>
      </c>
      <c r="V2669" s="21" t="n">
        <v>1</v>
      </c>
      <c r="W2669" s="20">
        <f>IF(OR(U2669="",V2669=""),U2669,U2669*V2669)</f>
        <v/>
      </c>
      <c r="X2669" s="18" t="inlineStr">
        <is>
          <t>32-47</t>
        </is>
      </c>
      <c r="Y2669" s="19" t="inlineStr"/>
      <c r="Z2669" s="18">
        <f>IF(Y2669="",X2669,Y2669)</f>
        <v/>
      </c>
      <c r="AA2669" s="18" t="inlineStr">
        <is>
          <t>grounded</t>
        </is>
      </c>
      <c r="AB2669" s="18" t="inlineStr"/>
      <c r="AC2669" s="18" t="inlineStr"/>
      <c r="AD2669" s="18" t="inlineStr"/>
      <c r="AE2669" s="18" t="inlineStr"/>
      <c r="AF2669" s="18" t="inlineStr">
        <is>
          <t>True</t>
        </is>
      </c>
      <c r="AG2669" s="18" t="inlineStr"/>
      <c r="AH2669" s="18" t="inlineStr"/>
      <c r="AI2669" s="18" t="inlineStr"/>
      <c r="AJ2669" s="18" t="inlineStr">
        <is>
          <t>COBBLEVERSE 추가</t>
        </is>
      </c>
      <c r="AK2669" s="18" t="inlineStr">
        <is>
          <t>사용</t>
        </is>
      </c>
      <c r="AL2669" s="18" t="inlineStr">
        <is>
          <t>COBBLEVERSE 1.7.42 / DP v31</t>
        </is>
      </c>
      <c r="AM2669" s="18" t="inlineStr">
        <is>
          <t>data/cobblemon/spawn_pool_world/0826_orbeetle.json</t>
        </is>
      </c>
      <c r="AN2669" s="18" t="inlineStr">
        <is>
          <t>orbeetle-1</t>
        </is>
      </c>
      <c r="AO2669" s="18" t="inlineStr">
        <is>
          <t>pokemon</t>
        </is>
      </c>
      <c r="AP2669" s="18" t="inlineStr">
        <is>
          <t>natural</t>
        </is>
      </c>
      <c r="AQ2669" s="18" t="inlineStr">
        <is>
          <t>{"biomes":["#cobblemon:is_plains"],"canSeeSky":true}</t>
        </is>
      </c>
      <c r="AR2669" s="18" t="inlineStr">
        <is>
          <t>{"biomes":["#cobblemon:is_spooky"]}</t>
        </is>
      </c>
      <c r="AS2669" s="18" t="inlineStr"/>
      <c r="AT2669" s="19" t="inlineStr"/>
    </row>
    <row r="2670" ht="32" customHeight="1">
      <c r="A2670" s="18" t="inlineStr">
        <is>
          <t>0827_nickit.json::nickit-1::001</t>
        </is>
      </c>
      <c r="B2670" s="19" t="inlineStr">
        <is>
          <t>사용</t>
        </is>
      </c>
      <c r="C2670" s="18">
        <f>IF(OR(B2670&lt;&gt;AK2670,M2670&lt;&gt;L2670,O2670&lt;&gt;"",Q2670&lt;&gt;"",V2670&lt;&gt;1,Y2670&lt;&gt;"",AT2670&lt;&gt;""),"수정","원본")</f>
        <v/>
      </c>
      <c r="D2670" s="18" t="n">
        <v>827</v>
      </c>
      <c r="E2670" s="18" t="inlineStr">
        <is>
          <t>훔처우</t>
        </is>
      </c>
      <c r="F2670" s="18" t="inlineStr">
        <is>
          <t>nickit</t>
        </is>
      </c>
      <c r="G2670" s="18" t="inlineStr">
        <is>
          <t>nickit</t>
        </is>
      </c>
      <c r="H2670" s="18" t="inlineStr"/>
      <c r="I2670" s="18" t="n">
        <v>8</v>
      </c>
      <c r="J2670" s="18" t="n"/>
      <c r="K2670" s="18" t="n">
        <v>8</v>
      </c>
      <c r="L2670" s="18" t="inlineStr">
        <is>
          <t>cobbleventure:generation_8</t>
        </is>
      </c>
      <c r="M2670" s="19" t="inlineStr">
        <is>
          <t>cobbleventure:generation_8</t>
        </is>
      </c>
      <c r="N2670" s="18" t="inlineStr">
        <is>
          <t>region_01</t>
        </is>
      </c>
      <c r="O2670" s="19" t="inlineStr"/>
      <c r="P2670" s="18" t="inlineStr">
        <is>
          <t>#cobblemon:is_forest</t>
        </is>
      </c>
      <c r="Q2670" s="19" t="inlineStr"/>
      <c r="R2670" s="18">
        <f>IF(Q2670="",P2670,Q2670)</f>
        <v/>
      </c>
      <c r="S2670" s="18" t="inlineStr"/>
      <c r="T2670" s="18" t="inlineStr">
        <is>
          <t>common</t>
        </is>
      </c>
      <c r="U2670" s="20" t="n">
        <v>1.8</v>
      </c>
      <c r="V2670" s="21" t="n">
        <v>1</v>
      </c>
      <c r="W2670" s="20">
        <f>IF(OR(U2670="",V2670=""),U2670,U2670*V2670)</f>
        <v/>
      </c>
      <c r="X2670" s="18" t="inlineStr">
        <is>
          <t>1-25</t>
        </is>
      </c>
      <c r="Y2670" s="19" t="inlineStr"/>
      <c r="Z2670" s="18">
        <f>IF(Y2670="",X2670,Y2670)</f>
        <v/>
      </c>
      <c r="AA2670" s="18" t="inlineStr">
        <is>
          <t>grounded</t>
        </is>
      </c>
      <c r="AB2670" s="18" t="inlineStr">
        <is>
          <t>night</t>
        </is>
      </c>
      <c r="AC2670" s="18" t="inlineStr"/>
      <c r="AD2670" s="18" t="inlineStr"/>
      <c r="AE2670" s="18" t="inlineStr"/>
      <c r="AF2670" s="18" t="inlineStr"/>
      <c r="AG2670" s="18" t="inlineStr"/>
      <c r="AH2670" s="18" t="inlineStr"/>
      <c r="AI2670" s="18" t="inlineStr"/>
      <c r="AJ2670" s="18" t="inlineStr">
        <is>
          <t>COBBLEVERSE 수정</t>
        </is>
      </c>
      <c r="AK2670" s="18" t="inlineStr">
        <is>
          <t>사용</t>
        </is>
      </c>
      <c r="AL2670" s="18" t="inlineStr">
        <is>
          <t>COBBLEVERSE 1.7.42 / DP v31</t>
        </is>
      </c>
      <c r="AM2670" s="18" t="inlineStr">
        <is>
          <t>data/cobblemon/spawn_pool_world/0827_nickit.json</t>
        </is>
      </c>
      <c r="AN2670" s="18" t="inlineStr">
        <is>
          <t>nickit-1</t>
        </is>
      </c>
      <c r="AO2670" s="18" t="inlineStr">
        <is>
          <t>pokemon</t>
        </is>
      </c>
      <c r="AP2670" s="18" t="inlineStr">
        <is>
          <t>natural</t>
        </is>
      </c>
      <c r="AQ2670" s="18" t="inlineStr">
        <is>
          <t>{"biomes":["#cobblemon:is_forest"],"timeRange":"night"}</t>
        </is>
      </c>
      <c r="AR2670" s="18" t="inlineStr"/>
      <c r="AS2670" s="18" t="inlineStr"/>
      <c r="AT2670" s="19" t="inlineStr"/>
    </row>
    <row r="2671" ht="32" customHeight="1">
      <c r="A2671" s="18" t="inlineStr">
        <is>
          <t>0827_nickit.json::nickit-2::002</t>
        </is>
      </c>
      <c r="B2671" s="19" t="inlineStr">
        <is>
          <t>사용</t>
        </is>
      </c>
      <c r="C2671" s="18">
        <f>IF(OR(B2671&lt;&gt;AK2671,M2671&lt;&gt;L2671,O2671&lt;&gt;"",Q2671&lt;&gt;"",V2671&lt;&gt;1,Y2671&lt;&gt;"",AT2671&lt;&gt;""),"수정","원본")</f>
        <v/>
      </c>
      <c r="D2671" s="18" t="n">
        <v>827</v>
      </c>
      <c r="E2671" s="18" t="inlineStr">
        <is>
          <t>훔처우</t>
        </is>
      </c>
      <c r="F2671" s="18" t="inlineStr">
        <is>
          <t>nickit</t>
        </is>
      </c>
      <c r="G2671" s="18" t="inlineStr">
        <is>
          <t>nickit</t>
        </is>
      </c>
      <c r="H2671" s="18" t="inlineStr"/>
      <c r="I2671" s="18" t="n">
        <v>8</v>
      </c>
      <c r="J2671" s="18" t="n"/>
      <c r="K2671" s="18" t="n">
        <v>8</v>
      </c>
      <c r="L2671" s="18" t="inlineStr">
        <is>
          <t>cobbleventure:generation_8</t>
        </is>
      </c>
      <c r="M2671" s="19" t="inlineStr">
        <is>
          <t>cobbleventure:generation_8</t>
        </is>
      </c>
      <c r="N2671" s="18" t="inlineStr">
        <is>
          <t>region_01</t>
        </is>
      </c>
      <c r="O2671" s="19" t="inlineStr"/>
      <c r="P2671" s="18" t="inlineStr">
        <is>
          <t>#cobblemon:is_plains; #cobblemon:is_taiga</t>
        </is>
      </c>
      <c r="Q2671" s="19" t="inlineStr"/>
      <c r="R2671" s="18">
        <f>IF(Q2671="",P2671,Q2671)</f>
        <v/>
      </c>
      <c r="S2671" s="18" t="inlineStr"/>
      <c r="T2671" s="18" t="inlineStr">
        <is>
          <t>uncommon</t>
        </is>
      </c>
      <c r="U2671" s="20" t="n">
        <v>8.4</v>
      </c>
      <c r="V2671" s="21" t="n">
        <v>1</v>
      </c>
      <c r="W2671" s="20">
        <f>IF(OR(U2671="",V2671=""),U2671,U2671*V2671)</f>
        <v/>
      </c>
      <c r="X2671" s="18" t="inlineStr">
        <is>
          <t>1-25</t>
        </is>
      </c>
      <c r="Y2671" s="19" t="inlineStr"/>
      <c r="Z2671" s="18">
        <f>IF(Y2671="",X2671,Y2671)</f>
        <v/>
      </c>
      <c r="AA2671" s="18" t="inlineStr">
        <is>
          <t>grounded</t>
        </is>
      </c>
      <c r="AB2671" s="18" t="inlineStr">
        <is>
          <t>night</t>
        </is>
      </c>
      <c r="AC2671" s="18" t="inlineStr"/>
      <c r="AD2671" s="18" t="inlineStr"/>
      <c r="AE2671" s="18" t="inlineStr"/>
      <c r="AF2671" s="18" t="inlineStr"/>
      <c r="AG2671" s="18" t="inlineStr"/>
      <c r="AH2671" s="18" t="inlineStr"/>
      <c r="AI2671" s="18" t="inlineStr"/>
      <c r="AJ2671" s="18" t="inlineStr">
        <is>
          <t>COBBLEVERSE 수정</t>
        </is>
      </c>
      <c r="AK2671" s="18" t="inlineStr">
        <is>
          <t>사용</t>
        </is>
      </c>
      <c r="AL2671" s="18" t="inlineStr">
        <is>
          <t>COBBLEVERSE 1.7.42 / DP v31</t>
        </is>
      </c>
      <c r="AM2671" s="18" t="inlineStr">
        <is>
          <t>data/cobblemon/spawn_pool_world/0827_nickit.json</t>
        </is>
      </c>
      <c r="AN2671" s="18" t="inlineStr">
        <is>
          <t>nickit-2</t>
        </is>
      </c>
      <c r="AO2671" s="18" t="inlineStr">
        <is>
          <t>pokemon</t>
        </is>
      </c>
      <c r="AP2671" s="18" t="inlineStr">
        <is>
          <t>natural</t>
        </is>
      </c>
      <c r="AQ2671" s="18" t="inlineStr">
        <is>
          <t>{"biomes":["#cobblemon:is_plains","#cobblemon:is_taiga"],"timeRange":"night"}</t>
        </is>
      </c>
      <c r="AR2671" s="18" t="inlineStr"/>
      <c r="AS2671" s="18" t="inlineStr"/>
      <c r="AT2671" s="19" t="inlineStr"/>
    </row>
    <row r="2672" ht="32" customHeight="1">
      <c r="A2672" s="18" t="inlineStr">
        <is>
          <t>0828_thievul.json::thievul-1::001</t>
        </is>
      </c>
      <c r="B2672" s="19" t="inlineStr">
        <is>
          <t>사용</t>
        </is>
      </c>
      <c r="C2672" s="18">
        <f>IF(OR(B2672&lt;&gt;AK2672,M2672&lt;&gt;L2672,O2672&lt;&gt;"",Q2672&lt;&gt;"",V2672&lt;&gt;1,Y2672&lt;&gt;"",AT2672&lt;&gt;""),"수정","원본")</f>
        <v/>
      </c>
      <c r="D2672" s="18" t="n">
        <v>828</v>
      </c>
      <c r="E2672" s="18" t="inlineStr">
        <is>
          <t>폭슬라이</t>
        </is>
      </c>
      <c r="F2672" s="18" t="inlineStr">
        <is>
          <t>thievul</t>
        </is>
      </c>
      <c r="G2672" s="18" t="inlineStr">
        <is>
          <t>thievul</t>
        </is>
      </c>
      <c r="H2672" s="18" t="inlineStr"/>
      <c r="I2672" s="18" t="n">
        <v>8</v>
      </c>
      <c r="J2672" s="18" t="n"/>
      <c r="K2672" s="18" t="n">
        <v>8</v>
      </c>
      <c r="L2672" s="18" t="inlineStr">
        <is>
          <t>cobbleventure:generation_8</t>
        </is>
      </c>
      <c r="M2672" s="19" t="inlineStr">
        <is>
          <t>cobbleventure:generation_8</t>
        </is>
      </c>
      <c r="N2672" s="18" t="inlineStr">
        <is>
          <t>region_01</t>
        </is>
      </c>
      <c r="O2672" s="19" t="inlineStr"/>
      <c r="P2672" s="18" t="inlineStr">
        <is>
          <t>#cobblemon:is_forest</t>
        </is>
      </c>
      <c r="Q2672" s="19" t="inlineStr"/>
      <c r="R2672" s="18">
        <f>IF(Q2672="",P2672,Q2672)</f>
        <v/>
      </c>
      <c r="S2672" s="18" t="inlineStr"/>
      <c r="T2672" s="18" t="inlineStr">
        <is>
          <t>common</t>
        </is>
      </c>
      <c r="U2672" s="20" t="n">
        <v>0.2</v>
      </c>
      <c r="V2672" s="21" t="n">
        <v>1</v>
      </c>
      <c r="W2672" s="20">
        <f>IF(OR(U2672="",V2672=""),U2672,U2672*V2672)</f>
        <v/>
      </c>
      <c r="X2672" s="18" t="inlineStr">
        <is>
          <t>18-46</t>
        </is>
      </c>
      <c r="Y2672" s="19" t="inlineStr"/>
      <c r="Z2672" s="18">
        <f>IF(Y2672="",X2672,Y2672)</f>
        <v/>
      </c>
      <c r="AA2672" s="18" t="inlineStr">
        <is>
          <t>grounded</t>
        </is>
      </c>
      <c r="AB2672" s="18" t="inlineStr">
        <is>
          <t>night</t>
        </is>
      </c>
      <c r="AC2672" s="18" t="inlineStr"/>
      <c r="AD2672" s="18" t="inlineStr"/>
      <c r="AE2672" s="18" t="inlineStr"/>
      <c r="AF2672" s="18" t="inlineStr"/>
      <c r="AG2672" s="18" t="inlineStr"/>
      <c r="AH2672" s="18" t="inlineStr"/>
      <c r="AI2672" s="18" t="inlineStr"/>
      <c r="AJ2672" s="18" t="inlineStr">
        <is>
          <t>COBBLEVERSE 수정</t>
        </is>
      </c>
      <c r="AK2672" s="18" t="inlineStr">
        <is>
          <t>사용</t>
        </is>
      </c>
      <c r="AL2672" s="18" t="inlineStr">
        <is>
          <t>COBBLEVERSE 1.7.42 / DP v31</t>
        </is>
      </c>
      <c r="AM2672" s="18" t="inlineStr">
        <is>
          <t>data/cobblemon/spawn_pool_world/0828_thievul.json</t>
        </is>
      </c>
      <c r="AN2672" s="18" t="inlineStr">
        <is>
          <t>thievul-1</t>
        </is>
      </c>
      <c r="AO2672" s="18" t="inlineStr">
        <is>
          <t>pokemon</t>
        </is>
      </c>
      <c r="AP2672" s="18" t="inlineStr">
        <is>
          <t>natural</t>
        </is>
      </c>
      <c r="AQ2672" s="18" t="inlineStr">
        <is>
          <t>{"biomes":["#cobblemon:is_forest"],"timeRange":"night"}</t>
        </is>
      </c>
      <c r="AR2672" s="18" t="inlineStr"/>
      <c r="AS2672" s="18" t="inlineStr"/>
      <c r="AT2672" s="19" t="inlineStr"/>
    </row>
    <row r="2673" ht="32" customHeight="1">
      <c r="A2673" s="18" t="inlineStr">
        <is>
          <t>0828_thievul.json::thievul-2::002</t>
        </is>
      </c>
      <c r="B2673" s="19" t="inlineStr">
        <is>
          <t>사용</t>
        </is>
      </c>
      <c r="C2673" s="18">
        <f>IF(OR(B2673&lt;&gt;AK2673,M2673&lt;&gt;L2673,O2673&lt;&gt;"",Q2673&lt;&gt;"",V2673&lt;&gt;1,Y2673&lt;&gt;"",AT2673&lt;&gt;""),"수정","원본")</f>
        <v/>
      </c>
      <c r="D2673" s="18" t="n">
        <v>828</v>
      </c>
      <c r="E2673" s="18" t="inlineStr">
        <is>
          <t>폭슬라이</t>
        </is>
      </c>
      <c r="F2673" s="18" t="inlineStr">
        <is>
          <t>thievul</t>
        </is>
      </c>
      <c r="G2673" s="18" t="inlineStr">
        <is>
          <t>thievul</t>
        </is>
      </c>
      <c r="H2673" s="18" t="inlineStr"/>
      <c r="I2673" s="18" t="n">
        <v>8</v>
      </c>
      <c r="J2673" s="18" t="n"/>
      <c r="K2673" s="18" t="n">
        <v>8</v>
      </c>
      <c r="L2673" s="18" t="inlineStr">
        <is>
          <t>cobbleventure:generation_8</t>
        </is>
      </c>
      <c r="M2673" s="19" t="inlineStr">
        <is>
          <t>cobbleventure:generation_8</t>
        </is>
      </c>
      <c r="N2673" s="18" t="inlineStr">
        <is>
          <t>region_01</t>
        </is>
      </c>
      <c r="O2673" s="19" t="inlineStr"/>
      <c r="P2673" s="18" t="inlineStr">
        <is>
          <t>#cobblemon:is_plains; #cobblemon:is_taiga</t>
        </is>
      </c>
      <c r="Q2673" s="19" t="inlineStr"/>
      <c r="R2673" s="18">
        <f>IF(Q2673="",P2673,Q2673)</f>
        <v/>
      </c>
      <c r="S2673" s="18" t="inlineStr"/>
      <c r="T2673" s="18" t="inlineStr">
        <is>
          <t>uncommon</t>
        </is>
      </c>
      <c r="U2673" s="20" t="n">
        <v>1.6</v>
      </c>
      <c r="V2673" s="21" t="n">
        <v>1</v>
      </c>
      <c r="W2673" s="20">
        <f>IF(OR(U2673="",V2673=""),U2673,U2673*V2673)</f>
        <v/>
      </c>
      <c r="X2673" s="18" t="inlineStr">
        <is>
          <t>18-46</t>
        </is>
      </c>
      <c r="Y2673" s="19" t="inlineStr"/>
      <c r="Z2673" s="18">
        <f>IF(Y2673="",X2673,Y2673)</f>
        <v/>
      </c>
      <c r="AA2673" s="18" t="inlineStr">
        <is>
          <t>grounded</t>
        </is>
      </c>
      <c r="AB2673" s="18" t="inlineStr">
        <is>
          <t>night</t>
        </is>
      </c>
      <c r="AC2673" s="18" t="inlineStr"/>
      <c r="AD2673" s="18" t="inlineStr"/>
      <c r="AE2673" s="18" t="inlineStr"/>
      <c r="AF2673" s="18" t="inlineStr"/>
      <c r="AG2673" s="18" t="inlineStr"/>
      <c r="AH2673" s="18" t="inlineStr"/>
      <c r="AI2673" s="18" t="inlineStr"/>
      <c r="AJ2673" s="18" t="inlineStr">
        <is>
          <t>COBBLEVERSE 수정</t>
        </is>
      </c>
      <c r="AK2673" s="18" t="inlineStr">
        <is>
          <t>사용</t>
        </is>
      </c>
      <c r="AL2673" s="18" t="inlineStr">
        <is>
          <t>COBBLEVERSE 1.7.42 / DP v31</t>
        </is>
      </c>
      <c r="AM2673" s="18" t="inlineStr">
        <is>
          <t>data/cobblemon/spawn_pool_world/0828_thievul.json</t>
        </is>
      </c>
      <c r="AN2673" s="18" t="inlineStr">
        <is>
          <t>thievul-2</t>
        </is>
      </c>
      <c r="AO2673" s="18" t="inlineStr">
        <is>
          <t>pokemon</t>
        </is>
      </c>
      <c r="AP2673" s="18" t="inlineStr">
        <is>
          <t>natural</t>
        </is>
      </c>
      <c r="AQ2673" s="18" t="inlineStr">
        <is>
          <t>{"biomes":["#cobblemon:is_plains","#cobblemon:is_taiga"],"timeRange":"night"}</t>
        </is>
      </c>
      <c r="AR2673" s="18" t="inlineStr"/>
      <c r="AS2673" s="18" t="inlineStr"/>
      <c r="AT2673" s="19" t="inlineStr"/>
    </row>
    <row r="2674" ht="32" customHeight="1">
      <c r="A2674" s="18" t="inlineStr">
        <is>
          <t>0829_gossifleur.json::gossifleur-1::001</t>
        </is>
      </c>
      <c r="B2674" s="19" t="inlineStr">
        <is>
          <t>사용</t>
        </is>
      </c>
      <c r="C2674" s="18">
        <f>IF(OR(B2674&lt;&gt;AK2674,M2674&lt;&gt;L2674,O2674&lt;&gt;"",Q2674&lt;&gt;"",V2674&lt;&gt;1,Y2674&lt;&gt;"",AT2674&lt;&gt;""),"수정","원본")</f>
        <v/>
      </c>
      <c r="D2674" s="18" t="n">
        <v>829</v>
      </c>
      <c r="E2674" s="18" t="inlineStr">
        <is>
          <t>꼬모카</t>
        </is>
      </c>
      <c r="F2674" s="18" t="inlineStr">
        <is>
          <t>gossifleur</t>
        </is>
      </c>
      <c r="G2674" s="18" t="inlineStr">
        <is>
          <t>gossifleur</t>
        </is>
      </c>
      <c r="H2674" s="18" t="inlineStr"/>
      <c r="I2674" s="18" t="n">
        <v>8</v>
      </c>
      <c r="J2674" s="18" t="n"/>
      <c r="K2674" s="18" t="n">
        <v>8</v>
      </c>
      <c r="L2674" s="18" t="inlineStr">
        <is>
          <t>cobbleventure:generation_8</t>
        </is>
      </c>
      <c r="M2674" s="19" t="inlineStr">
        <is>
          <t>cobbleventure:generation_8</t>
        </is>
      </c>
      <c r="N2674" s="18" t="inlineStr"/>
      <c r="O2674" s="19" t="inlineStr"/>
      <c r="P2674" s="18" t="inlineStr">
        <is>
          <t>#cobblemon:is_floral</t>
        </is>
      </c>
      <c r="Q2674" s="19" t="inlineStr"/>
      <c r="R2674" s="18">
        <f>IF(Q2674="",P2674,Q2674)</f>
        <v/>
      </c>
      <c r="S2674" s="18" t="inlineStr"/>
      <c r="T2674" s="18" t="inlineStr">
        <is>
          <t>common</t>
        </is>
      </c>
      <c r="U2674" s="20" t="n">
        <v>9</v>
      </c>
      <c r="V2674" s="21" t="n">
        <v>1</v>
      </c>
      <c r="W2674" s="20">
        <f>IF(OR(U2674="",V2674=""),U2674,U2674*V2674)</f>
        <v/>
      </c>
      <c r="X2674" s="18" t="inlineStr">
        <is>
          <t>1-25</t>
        </is>
      </c>
      <c r="Y2674" s="19" t="inlineStr"/>
      <c r="Z2674" s="18">
        <f>IF(Y2674="",X2674,Y2674)</f>
        <v/>
      </c>
      <c r="AA2674" s="18" t="inlineStr">
        <is>
          <t>grounded</t>
        </is>
      </c>
      <c r="AB2674" s="18" t="inlineStr"/>
      <c r="AC2674" s="18" t="inlineStr">
        <is>
          <t>비=False</t>
        </is>
      </c>
      <c r="AD2674" s="18" t="inlineStr"/>
      <c r="AE2674" s="18" t="inlineStr">
        <is>
          <t>sky 8-15</t>
        </is>
      </c>
      <c r="AF2674" s="18" t="inlineStr"/>
      <c r="AG2674" s="18" t="inlineStr"/>
      <c r="AH2674" s="18" t="inlineStr"/>
      <c r="AI2674" s="18" t="inlineStr"/>
      <c r="AJ2674" s="18" t="inlineStr">
        <is>
          <t>Cobblemon 동일</t>
        </is>
      </c>
      <c r="AK2674" s="18" t="inlineStr">
        <is>
          <t>사용</t>
        </is>
      </c>
      <c r="AL2674" s="18" t="inlineStr">
        <is>
          <t>COBBLEVERSE 1.7.42 / DP v31</t>
        </is>
      </c>
      <c r="AM2674" s="18" t="inlineStr">
        <is>
          <t>data/cobblemon/spawn_pool_world/0829_gossifleur.json</t>
        </is>
      </c>
      <c r="AN2674" s="18" t="inlineStr">
        <is>
          <t>gossifleur-1</t>
        </is>
      </c>
      <c r="AO2674" s="18" t="inlineStr">
        <is>
          <t>pokemon</t>
        </is>
      </c>
      <c r="AP2674" s="18" t="inlineStr">
        <is>
          <t>natural</t>
        </is>
      </c>
      <c r="AQ2674" s="18" t="inlineStr">
        <is>
          <t>{"biomes":["#cobblemon:is_floral"],"isRaining":false,"maxSkyLight":15,"minSkyLight":8}</t>
        </is>
      </c>
      <c r="AR2674" s="18" t="inlineStr"/>
      <c r="AS2674" s="18" t="inlineStr">
        <is>
          <t>{"weightMultiplier":{"condition":{"timeRange":"night"},"multiplier":0.25}}</t>
        </is>
      </c>
      <c r="AT2674" s="19" t="inlineStr"/>
    </row>
    <row r="2675" ht="32" customHeight="1">
      <c r="A2675" s="18" t="inlineStr">
        <is>
          <t>0829_gossifleur.json::gossifleur-2::002</t>
        </is>
      </c>
      <c r="B2675" s="19" t="inlineStr">
        <is>
          <t>사용</t>
        </is>
      </c>
      <c r="C2675" s="18">
        <f>IF(OR(B2675&lt;&gt;AK2675,M2675&lt;&gt;L2675,O2675&lt;&gt;"",Q2675&lt;&gt;"",V2675&lt;&gt;1,Y2675&lt;&gt;"",AT2675&lt;&gt;""),"수정","원본")</f>
        <v/>
      </c>
      <c r="D2675" s="18" t="n">
        <v>829</v>
      </c>
      <c r="E2675" s="18" t="inlineStr">
        <is>
          <t>꼬모카</t>
        </is>
      </c>
      <c r="F2675" s="18" t="inlineStr">
        <is>
          <t>gossifleur</t>
        </is>
      </c>
      <c r="G2675" s="18" t="inlineStr">
        <is>
          <t>gossifleur</t>
        </is>
      </c>
      <c r="H2675" s="18" t="inlineStr"/>
      <c r="I2675" s="18" t="n">
        <v>8</v>
      </c>
      <c r="J2675" s="18" t="n"/>
      <c r="K2675" s="18" t="n">
        <v>8</v>
      </c>
      <c r="L2675" s="18" t="inlineStr">
        <is>
          <t>cobbleventure:generation_8</t>
        </is>
      </c>
      <c r="M2675" s="19" t="inlineStr">
        <is>
          <t>cobbleventure:generation_8</t>
        </is>
      </c>
      <c r="N2675" s="18" t="inlineStr"/>
      <c r="O2675" s="19" t="inlineStr"/>
      <c r="P2675" s="18" t="inlineStr">
        <is>
          <t>aether:skyroot_grove; aether:skyroot_meadow</t>
        </is>
      </c>
      <c r="Q2675" s="19" t="inlineStr"/>
      <c r="R2675" s="18">
        <f>IF(Q2675="",P2675,Q2675)</f>
        <v/>
      </c>
      <c r="S2675" s="18" t="inlineStr"/>
      <c r="T2675" s="18" t="inlineStr">
        <is>
          <t>common</t>
        </is>
      </c>
      <c r="U2675" s="20" t="n">
        <v>9</v>
      </c>
      <c r="V2675" s="21" t="n">
        <v>1</v>
      </c>
      <c r="W2675" s="20">
        <f>IF(OR(U2675="",V2675=""),U2675,U2675*V2675)</f>
        <v/>
      </c>
      <c r="X2675" s="18" t="inlineStr">
        <is>
          <t>1-25</t>
        </is>
      </c>
      <c r="Y2675" s="19" t="inlineStr"/>
      <c r="Z2675" s="18">
        <f>IF(Y2675="",X2675,Y2675)</f>
        <v/>
      </c>
      <c r="AA2675" s="18" t="inlineStr">
        <is>
          <t>grounded</t>
        </is>
      </c>
      <c r="AB2675" s="18" t="inlineStr"/>
      <c r="AC2675" s="18" t="inlineStr"/>
      <c r="AD2675" s="18" t="inlineStr"/>
      <c r="AE2675" s="18" t="inlineStr">
        <is>
          <t>sky 8-15</t>
        </is>
      </c>
      <c r="AF2675" s="18" t="inlineStr"/>
      <c r="AG2675" s="18" t="inlineStr"/>
      <c r="AH2675" s="18" t="inlineStr"/>
      <c r="AI2675" s="18" t="inlineStr"/>
      <c r="AJ2675" s="18" t="inlineStr">
        <is>
          <t>Cobblemon 동일</t>
        </is>
      </c>
      <c r="AK2675" s="18" t="inlineStr">
        <is>
          <t>사용</t>
        </is>
      </c>
      <c r="AL2675" s="18" t="inlineStr">
        <is>
          <t>COBBLEVERSE 1.7.42 / DP v31</t>
        </is>
      </c>
      <c r="AM2675" s="18" t="inlineStr">
        <is>
          <t>data/cobblemon/spawn_pool_world/0829_gossifleur.json</t>
        </is>
      </c>
      <c r="AN2675" s="18" t="inlineStr">
        <is>
          <t>gossifleur-2</t>
        </is>
      </c>
      <c r="AO2675" s="18" t="inlineStr">
        <is>
          <t>pokemon</t>
        </is>
      </c>
      <c r="AP2675" s="18" t="inlineStr">
        <is>
          <t>natural</t>
        </is>
      </c>
      <c r="AQ2675" s="18" t="inlineStr">
        <is>
          <t>{"biomes":["aether:skyroot_grove","aether:skyroot_meadow"],"maxSkyLight":15,"minSkyLight":8}</t>
        </is>
      </c>
      <c r="AR2675" s="18" t="inlineStr"/>
      <c r="AS2675" s="18" t="inlineStr"/>
      <c r="AT2675" s="19" t="inlineStr"/>
    </row>
    <row r="2676" ht="32" customHeight="1">
      <c r="A2676" s="18" t="inlineStr">
        <is>
          <t>0829_gossifleur.json::gossifleur-3::003</t>
        </is>
      </c>
      <c r="B2676" s="19" t="inlineStr">
        <is>
          <t>사용</t>
        </is>
      </c>
      <c r="C2676" s="18">
        <f>IF(OR(B2676&lt;&gt;AK2676,M2676&lt;&gt;L2676,O2676&lt;&gt;"",Q2676&lt;&gt;"",V2676&lt;&gt;1,Y2676&lt;&gt;"",AT2676&lt;&gt;""),"수정","원본")</f>
        <v/>
      </c>
      <c r="D2676" s="18" t="n">
        <v>829</v>
      </c>
      <c r="E2676" s="18" t="inlineStr">
        <is>
          <t>꼬모카</t>
        </is>
      </c>
      <c r="F2676" s="18" t="inlineStr">
        <is>
          <t>gossifleur</t>
        </is>
      </c>
      <c r="G2676" s="18" t="inlineStr">
        <is>
          <t>gossifleur</t>
        </is>
      </c>
      <c r="H2676" s="18" t="inlineStr"/>
      <c r="I2676" s="18" t="n">
        <v>8</v>
      </c>
      <c r="J2676" s="18" t="n"/>
      <c r="K2676" s="18" t="n">
        <v>8</v>
      </c>
      <c r="L2676" s="18" t="inlineStr">
        <is>
          <t>cobbleventure:generation_8</t>
        </is>
      </c>
      <c r="M2676" s="19" t="inlineStr">
        <is>
          <t>cobbleventure:generation_8</t>
        </is>
      </c>
      <c r="N2676" s="18" t="inlineStr"/>
      <c r="O2676" s="19" t="inlineStr"/>
      <c r="P2676" s="18" t="inlineStr">
        <is>
          <t>the_bumblezone:floral_meadow</t>
        </is>
      </c>
      <c r="Q2676" s="19" t="inlineStr"/>
      <c r="R2676" s="18">
        <f>IF(Q2676="",P2676,Q2676)</f>
        <v/>
      </c>
      <c r="S2676" s="18" t="inlineStr"/>
      <c r="T2676" s="18" t="inlineStr">
        <is>
          <t>common</t>
        </is>
      </c>
      <c r="U2676" s="20" t="n">
        <v>9</v>
      </c>
      <c r="V2676" s="21" t="n">
        <v>1</v>
      </c>
      <c r="W2676" s="20">
        <f>IF(OR(U2676="",V2676=""),U2676,U2676*V2676)</f>
        <v/>
      </c>
      <c r="X2676" s="18" t="inlineStr">
        <is>
          <t>1-25</t>
        </is>
      </c>
      <c r="Y2676" s="19" t="inlineStr"/>
      <c r="Z2676" s="18">
        <f>IF(Y2676="",X2676,Y2676)</f>
        <v/>
      </c>
      <c r="AA2676" s="18" t="inlineStr">
        <is>
          <t>grounded</t>
        </is>
      </c>
      <c r="AB2676" s="18" t="inlineStr"/>
      <c r="AC2676" s="18" t="inlineStr">
        <is>
          <t>비=False</t>
        </is>
      </c>
      <c r="AD2676" s="18" t="inlineStr"/>
      <c r="AE2676" s="18" t="inlineStr"/>
      <c r="AF2676" s="18" t="inlineStr"/>
      <c r="AG2676" s="18" t="inlineStr"/>
      <c r="AH2676" s="18" t="inlineStr"/>
      <c r="AI2676" s="18" t="inlineStr"/>
      <c r="AJ2676" s="18" t="inlineStr">
        <is>
          <t>Cobblemon 동일</t>
        </is>
      </c>
      <c r="AK2676" s="18" t="inlineStr">
        <is>
          <t>사용</t>
        </is>
      </c>
      <c r="AL2676" s="18" t="inlineStr">
        <is>
          <t>COBBLEVERSE 1.7.42 / DP v31</t>
        </is>
      </c>
      <c r="AM2676" s="18" t="inlineStr">
        <is>
          <t>data/cobblemon/spawn_pool_world/0829_gossifleur.json</t>
        </is>
      </c>
      <c r="AN2676" s="18" t="inlineStr">
        <is>
          <t>gossifleur-3</t>
        </is>
      </c>
      <c r="AO2676" s="18" t="inlineStr">
        <is>
          <t>pokemon</t>
        </is>
      </c>
      <c r="AP2676" s="18" t="inlineStr"/>
      <c r="AQ2676" s="18" t="inlineStr">
        <is>
          <t>{"biomes":["the_bumblezone:floral_meadow"],"isRaining":false}</t>
        </is>
      </c>
      <c r="AR2676" s="18" t="inlineStr">
        <is>
          <t>{"structures":["#the_bumblezone:sempiternal_sanctums"]}</t>
        </is>
      </c>
      <c r="AS2676" s="18" t="inlineStr">
        <is>
          <t>{"weightMultiplier":{"condition":{"timeRange":"night"},"multiplier":0.25}}</t>
        </is>
      </c>
      <c r="AT2676" s="19" t="inlineStr"/>
    </row>
    <row r="2677" ht="32" customHeight="1">
      <c r="A2677" s="18" t="inlineStr">
        <is>
          <t>0830_eldegoss.json::eldegoss-1::001</t>
        </is>
      </c>
      <c r="B2677" s="19" t="inlineStr">
        <is>
          <t>사용</t>
        </is>
      </c>
      <c r="C2677" s="18">
        <f>IF(OR(B2677&lt;&gt;AK2677,M2677&lt;&gt;L2677,O2677&lt;&gt;"",Q2677&lt;&gt;"",V2677&lt;&gt;1,Y2677&lt;&gt;"",AT2677&lt;&gt;""),"수정","원본")</f>
        <v/>
      </c>
      <c r="D2677" s="18" t="n">
        <v>830</v>
      </c>
      <c r="E2677" s="18" t="inlineStr">
        <is>
          <t>백솜모카</t>
        </is>
      </c>
      <c r="F2677" s="18" t="inlineStr">
        <is>
          <t>eldegoss</t>
        </is>
      </c>
      <c r="G2677" s="18" t="inlineStr">
        <is>
          <t>eldegoss</t>
        </is>
      </c>
      <c r="H2677" s="18" t="inlineStr"/>
      <c r="I2677" s="18" t="n">
        <v>8</v>
      </c>
      <c r="J2677" s="18" t="n"/>
      <c r="K2677" s="18" t="n">
        <v>8</v>
      </c>
      <c r="L2677" s="18" t="inlineStr">
        <is>
          <t>cobbleventure:generation_8</t>
        </is>
      </c>
      <c r="M2677" s="19" t="inlineStr">
        <is>
          <t>cobbleventure:generation_8</t>
        </is>
      </c>
      <c r="N2677" s="18" t="inlineStr"/>
      <c r="O2677" s="19" t="inlineStr"/>
      <c r="P2677" s="18" t="inlineStr">
        <is>
          <t>#cobblemon:is_floral</t>
        </is>
      </c>
      <c r="Q2677" s="19" t="inlineStr"/>
      <c r="R2677" s="18">
        <f>IF(Q2677="",P2677,Q2677)</f>
        <v/>
      </c>
      <c r="S2677" s="18" t="inlineStr"/>
      <c r="T2677" s="18" t="inlineStr">
        <is>
          <t>common</t>
        </is>
      </c>
      <c r="U2677" s="20" t="n">
        <v>1</v>
      </c>
      <c r="V2677" s="21" t="n">
        <v>1</v>
      </c>
      <c r="W2677" s="20">
        <f>IF(OR(U2677="",V2677=""),U2677,U2677*V2677)</f>
        <v/>
      </c>
      <c r="X2677" s="18" t="inlineStr">
        <is>
          <t>20-46</t>
        </is>
      </c>
      <c r="Y2677" s="19" t="inlineStr"/>
      <c r="Z2677" s="18">
        <f>IF(Y2677="",X2677,Y2677)</f>
        <v/>
      </c>
      <c r="AA2677" s="18" t="inlineStr">
        <is>
          <t>grounded</t>
        </is>
      </c>
      <c r="AB2677" s="18" t="inlineStr"/>
      <c r="AC2677" s="18" t="inlineStr">
        <is>
          <t>비=False</t>
        </is>
      </c>
      <c r="AD2677" s="18" t="inlineStr"/>
      <c r="AE2677" s="18" t="inlineStr">
        <is>
          <t>sky 8-15</t>
        </is>
      </c>
      <c r="AF2677" s="18" t="inlineStr"/>
      <c r="AG2677" s="18" t="inlineStr"/>
      <c r="AH2677" s="18" t="inlineStr"/>
      <c r="AI2677" s="18" t="inlineStr"/>
      <c r="AJ2677" s="18" t="inlineStr">
        <is>
          <t>Cobblemon 동일</t>
        </is>
      </c>
      <c r="AK2677" s="18" t="inlineStr">
        <is>
          <t>사용</t>
        </is>
      </c>
      <c r="AL2677" s="18" t="inlineStr">
        <is>
          <t>COBBLEVERSE 1.7.42 / DP v31</t>
        </is>
      </c>
      <c r="AM2677" s="18" t="inlineStr">
        <is>
          <t>data/cobblemon/spawn_pool_world/0830_eldegoss.json</t>
        </is>
      </c>
      <c r="AN2677" s="18" t="inlineStr">
        <is>
          <t>eldegoss-1</t>
        </is>
      </c>
      <c r="AO2677" s="18" t="inlineStr">
        <is>
          <t>pokemon</t>
        </is>
      </c>
      <c r="AP2677" s="18" t="inlineStr">
        <is>
          <t>natural</t>
        </is>
      </c>
      <c r="AQ2677" s="18" t="inlineStr">
        <is>
          <t>{"biomes":["#cobblemon:is_floral"],"isRaining":false,"maxSkyLight":15,"minSkyLight":8}</t>
        </is>
      </c>
      <c r="AR2677" s="18" t="inlineStr"/>
      <c r="AS2677" s="18" t="inlineStr">
        <is>
          <t>{"weightMultiplier":{"condition":{"timeRange":"night"},"multiplier":0.25}}</t>
        </is>
      </c>
      <c r="AT2677" s="19" t="inlineStr"/>
    </row>
    <row r="2678" ht="32" customHeight="1">
      <c r="A2678" s="18" t="inlineStr">
        <is>
          <t>0830_eldegoss.json::eldegoss-2::002</t>
        </is>
      </c>
      <c r="B2678" s="19" t="inlineStr">
        <is>
          <t>사용</t>
        </is>
      </c>
      <c r="C2678" s="18">
        <f>IF(OR(B2678&lt;&gt;AK2678,M2678&lt;&gt;L2678,O2678&lt;&gt;"",Q2678&lt;&gt;"",V2678&lt;&gt;1,Y2678&lt;&gt;"",AT2678&lt;&gt;""),"수정","원본")</f>
        <v/>
      </c>
      <c r="D2678" s="18" t="n">
        <v>830</v>
      </c>
      <c r="E2678" s="18" t="inlineStr">
        <is>
          <t>백솜모카</t>
        </is>
      </c>
      <c r="F2678" s="18" t="inlineStr">
        <is>
          <t>eldegoss</t>
        </is>
      </c>
      <c r="G2678" s="18" t="inlineStr">
        <is>
          <t>eldegoss</t>
        </is>
      </c>
      <c r="H2678" s="18" t="inlineStr"/>
      <c r="I2678" s="18" t="n">
        <v>8</v>
      </c>
      <c r="J2678" s="18" t="n"/>
      <c r="K2678" s="18" t="n">
        <v>8</v>
      </c>
      <c r="L2678" s="18" t="inlineStr">
        <is>
          <t>cobbleventure:generation_8</t>
        </is>
      </c>
      <c r="M2678" s="19" t="inlineStr">
        <is>
          <t>cobbleventure:generation_8</t>
        </is>
      </c>
      <c r="N2678" s="18" t="inlineStr"/>
      <c r="O2678" s="19" t="inlineStr"/>
      <c r="P2678" s="18" t="inlineStr">
        <is>
          <t>aether:skyroot_grove; aether:skyroot_meadow</t>
        </is>
      </c>
      <c r="Q2678" s="19" t="inlineStr"/>
      <c r="R2678" s="18">
        <f>IF(Q2678="",P2678,Q2678)</f>
        <v/>
      </c>
      <c r="S2678" s="18" t="inlineStr"/>
      <c r="T2678" s="18" t="inlineStr">
        <is>
          <t>common</t>
        </is>
      </c>
      <c r="U2678" s="20" t="n">
        <v>1</v>
      </c>
      <c r="V2678" s="21" t="n">
        <v>1</v>
      </c>
      <c r="W2678" s="20">
        <f>IF(OR(U2678="",V2678=""),U2678,U2678*V2678)</f>
        <v/>
      </c>
      <c r="X2678" s="18" t="inlineStr">
        <is>
          <t>20-46</t>
        </is>
      </c>
      <c r="Y2678" s="19" t="inlineStr"/>
      <c r="Z2678" s="18">
        <f>IF(Y2678="",X2678,Y2678)</f>
        <v/>
      </c>
      <c r="AA2678" s="18" t="inlineStr">
        <is>
          <t>grounded</t>
        </is>
      </c>
      <c r="AB2678" s="18" t="inlineStr"/>
      <c r="AC2678" s="18" t="inlineStr"/>
      <c r="AD2678" s="18" t="inlineStr"/>
      <c r="AE2678" s="18" t="inlineStr">
        <is>
          <t>sky 8-15</t>
        </is>
      </c>
      <c r="AF2678" s="18" t="inlineStr"/>
      <c r="AG2678" s="18" t="inlineStr"/>
      <c r="AH2678" s="18" t="inlineStr"/>
      <c r="AI2678" s="18" t="inlineStr"/>
      <c r="AJ2678" s="18" t="inlineStr">
        <is>
          <t>Cobblemon 동일</t>
        </is>
      </c>
      <c r="AK2678" s="18" t="inlineStr">
        <is>
          <t>사용</t>
        </is>
      </c>
      <c r="AL2678" s="18" t="inlineStr">
        <is>
          <t>COBBLEVERSE 1.7.42 / DP v31</t>
        </is>
      </c>
      <c r="AM2678" s="18" t="inlineStr">
        <is>
          <t>data/cobblemon/spawn_pool_world/0830_eldegoss.json</t>
        </is>
      </c>
      <c r="AN2678" s="18" t="inlineStr">
        <is>
          <t>eldegoss-2</t>
        </is>
      </c>
      <c r="AO2678" s="18" t="inlineStr">
        <is>
          <t>pokemon</t>
        </is>
      </c>
      <c r="AP2678" s="18" t="inlineStr">
        <is>
          <t>natural</t>
        </is>
      </c>
      <c r="AQ2678" s="18" t="inlineStr">
        <is>
          <t>{"biomes":["aether:skyroot_grove","aether:skyroot_meadow"],"maxSkyLight":15,"minSkyLight":8}</t>
        </is>
      </c>
      <c r="AR2678" s="18" t="inlineStr"/>
      <c r="AS2678" s="18" t="inlineStr"/>
      <c r="AT2678" s="19" t="inlineStr"/>
    </row>
    <row r="2679" ht="32" customHeight="1">
      <c r="A2679" s="18" t="inlineStr">
        <is>
          <t>0830_eldegoss.json::eldegoss-3::003</t>
        </is>
      </c>
      <c r="B2679" s="19" t="inlineStr">
        <is>
          <t>사용</t>
        </is>
      </c>
      <c r="C2679" s="18">
        <f>IF(OR(B2679&lt;&gt;AK2679,M2679&lt;&gt;L2679,O2679&lt;&gt;"",Q2679&lt;&gt;"",V2679&lt;&gt;1,Y2679&lt;&gt;"",AT2679&lt;&gt;""),"수정","원본")</f>
        <v/>
      </c>
      <c r="D2679" s="18" t="n">
        <v>830</v>
      </c>
      <c r="E2679" s="18" t="inlineStr">
        <is>
          <t>백솜모카</t>
        </is>
      </c>
      <c r="F2679" s="18" t="inlineStr">
        <is>
          <t>eldegoss</t>
        </is>
      </c>
      <c r="G2679" s="18" t="inlineStr">
        <is>
          <t>eldegoss</t>
        </is>
      </c>
      <c r="H2679" s="18" t="inlineStr"/>
      <c r="I2679" s="18" t="n">
        <v>8</v>
      </c>
      <c r="J2679" s="18" t="n"/>
      <c r="K2679" s="18" t="n">
        <v>8</v>
      </c>
      <c r="L2679" s="18" t="inlineStr">
        <is>
          <t>cobbleventure:generation_8</t>
        </is>
      </c>
      <c r="M2679" s="19" t="inlineStr">
        <is>
          <t>cobbleventure:generation_8</t>
        </is>
      </c>
      <c r="N2679" s="18" t="inlineStr"/>
      <c r="O2679" s="19" t="inlineStr"/>
      <c r="P2679" s="18" t="inlineStr">
        <is>
          <t>the_bumblezone:floral_meadow</t>
        </is>
      </c>
      <c r="Q2679" s="19" t="inlineStr"/>
      <c r="R2679" s="18">
        <f>IF(Q2679="",P2679,Q2679)</f>
        <v/>
      </c>
      <c r="S2679" s="18" t="inlineStr"/>
      <c r="T2679" s="18" t="inlineStr">
        <is>
          <t>common</t>
        </is>
      </c>
      <c r="U2679" s="20" t="n">
        <v>1</v>
      </c>
      <c r="V2679" s="21" t="n">
        <v>1</v>
      </c>
      <c r="W2679" s="20">
        <f>IF(OR(U2679="",V2679=""),U2679,U2679*V2679)</f>
        <v/>
      </c>
      <c r="X2679" s="18" t="inlineStr">
        <is>
          <t>20-46</t>
        </is>
      </c>
      <c r="Y2679" s="19" t="inlineStr"/>
      <c r="Z2679" s="18">
        <f>IF(Y2679="",X2679,Y2679)</f>
        <v/>
      </c>
      <c r="AA2679" s="18" t="inlineStr">
        <is>
          <t>grounded</t>
        </is>
      </c>
      <c r="AB2679" s="18" t="inlineStr"/>
      <c r="AC2679" s="18" t="inlineStr">
        <is>
          <t>비=False</t>
        </is>
      </c>
      <c r="AD2679" s="18" t="inlineStr"/>
      <c r="AE2679" s="18" t="inlineStr"/>
      <c r="AF2679" s="18" t="inlineStr"/>
      <c r="AG2679" s="18" t="inlineStr"/>
      <c r="AH2679" s="18" t="inlineStr"/>
      <c r="AI2679" s="18" t="inlineStr"/>
      <c r="AJ2679" s="18" t="inlineStr">
        <is>
          <t>Cobblemon 동일</t>
        </is>
      </c>
      <c r="AK2679" s="18" t="inlineStr">
        <is>
          <t>사용</t>
        </is>
      </c>
      <c r="AL2679" s="18" t="inlineStr">
        <is>
          <t>COBBLEVERSE 1.7.42 / DP v31</t>
        </is>
      </c>
      <c r="AM2679" s="18" t="inlineStr">
        <is>
          <t>data/cobblemon/spawn_pool_world/0830_eldegoss.json</t>
        </is>
      </c>
      <c r="AN2679" s="18" t="inlineStr">
        <is>
          <t>eldegoss-3</t>
        </is>
      </c>
      <c r="AO2679" s="18" t="inlineStr">
        <is>
          <t>pokemon</t>
        </is>
      </c>
      <c r="AP2679" s="18" t="inlineStr"/>
      <c r="AQ2679" s="18" t="inlineStr">
        <is>
          <t>{"biomes":["the_bumblezone:floral_meadow"],"isRaining":false}</t>
        </is>
      </c>
      <c r="AR2679" s="18" t="inlineStr">
        <is>
          <t>{"structures":["#the_bumblezone:sempiternal_sanctums"]}</t>
        </is>
      </c>
      <c r="AS2679" s="18" t="inlineStr">
        <is>
          <t>{"weightMultiplier":{"condition":{"timeRange":"night"},"multiplier":0.25}}</t>
        </is>
      </c>
      <c r="AT2679" s="19" t="inlineStr"/>
    </row>
    <row r="2680" ht="32" customHeight="1">
      <c r="A2680" s="18" t="inlineStr">
        <is>
          <t>0831_wooloo.json::wooloo-1::001</t>
        </is>
      </c>
      <c r="B2680" s="19" t="inlineStr">
        <is>
          <t>사용</t>
        </is>
      </c>
      <c r="C2680" s="18">
        <f>IF(OR(B2680&lt;&gt;AK2680,M2680&lt;&gt;L2680,O2680&lt;&gt;"",Q2680&lt;&gt;"",V2680&lt;&gt;1,Y2680&lt;&gt;"",AT2680&lt;&gt;""),"수정","원본")</f>
        <v/>
      </c>
      <c r="D2680" s="18" t="n">
        <v>831</v>
      </c>
      <c r="E2680" s="18" t="inlineStr">
        <is>
          <t>우르</t>
        </is>
      </c>
      <c r="F2680" s="18" t="inlineStr">
        <is>
          <t>wooloo</t>
        </is>
      </c>
      <c r="G2680" s="18" t="inlineStr">
        <is>
          <t>wooloo</t>
        </is>
      </c>
      <c r="H2680" s="18" t="inlineStr"/>
      <c r="I2680" s="18" t="n">
        <v>8</v>
      </c>
      <c r="J2680" s="18" t="n"/>
      <c r="K2680" s="18" t="n">
        <v>8</v>
      </c>
      <c r="L2680" s="18" t="inlineStr">
        <is>
          <t>cobbleventure:generation_8</t>
        </is>
      </c>
      <c r="M2680" s="19" t="inlineStr">
        <is>
          <t>cobbleventure:generation_8</t>
        </is>
      </c>
      <c r="N2680" s="18" t="inlineStr">
        <is>
          <t>region_01</t>
        </is>
      </c>
      <c r="O2680" s="19" t="inlineStr"/>
      <c r="P2680" s="18" t="inlineStr">
        <is>
          <t>#cobblemon:is_mountain; #cobblemon:is_plains</t>
        </is>
      </c>
      <c r="Q2680" s="19" t="inlineStr"/>
      <c r="R2680" s="18">
        <f>IF(Q2680="",P2680,Q2680)</f>
        <v/>
      </c>
      <c r="S2680" s="18" t="inlineStr">
        <is>
          <t>#cobblemon:is_volcanic</t>
        </is>
      </c>
      <c r="T2680" s="18" t="inlineStr">
        <is>
          <t>common</t>
        </is>
      </c>
      <c r="U2680" s="20" t="n">
        <v>9</v>
      </c>
      <c r="V2680" s="21" t="n">
        <v>1</v>
      </c>
      <c r="W2680" s="20">
        <f>IF(OR(U2680="",V2680=""),U2680,U2680*V2680)</f>
        <v/>
      </c>
      <c r="X2680" s="18" t="inlineStr">
        <is>
          <t>2-27</t>
        </is>
      </c>
      <c r="Y2680" s="19" t="inlineStr"/>
      <c r="Z2680" s="18">
        <f>IF(Y2680="",X2680,Y2680)</f>
        <v/>
      </c>
      <c r="AA2680" s="18" t="inlineStr">
        <is>
          <t>grounded</t>
        </is>
      </c>
      <c r="AB2680" s="18" t="inlineStr"/>
      <c r="AC2680" s="18" t="inlineStr"/>
      <c r="AD2680" s="18" t="inlineStr"/>
      <c r="AE2680" s="18" t="inlineStr">
        <is>
          <t>sky 8-15</t>
        </is>
      </c>
      <c r="AF2680" s="18" t="inlineStr"/>
      <c r="AG2680" s="18" t="inlineStr"/>
      <c r="AH2680" s="18" t="inlineStr"/>
      <c r="AI2680" s="18" t="inlineStr"/>
      <c r="AJ2680" s="18" t="inlineStr">
        <is>
          <t>Cobblemon 동일</t>
        </is>
      </c>
      <c r="AK2680" s="18" t="inlineStr">
        <is>
          <t>사용</t>
        </is>
      </c>
      <c r="AL2680" s="18" t="inlineStr">
        <is>
          <t>COBBLEVERSE 1.7.42 / DP v31</t>
        </is>
      </c>
      <c r="AM2680" s="18" t="inlineStr">
        <is>
          <t>data/cobblemon/spawn_pool_world/0831_wooloo.json</t>
        </is>
      </c>
      <c r="AN2680" s="18" t="inlineStr">
        <is>
          <t>wooloo-1</t>
        </is>
      </c>
      <c r="AO2680" s="18" t="inlineStr">
        <is>
          <t>pokemon</t>
        </is>
      </c>
      <c r="AP2680" s="18" t="inlineStr">
        <is>
          <t>natural</t>
        </is>
      </c>
      <c r="AQ2680" s="18" t="inlineStr">
        <is>
          <t>{"biomes":["#cobblemon:is_mountain","#cobblemon:is_plains"],"maxSkyLight":15,"minSkyLight":8}</t>
        </is>
      </c>
      <c r="AR2680" s="18" t="inlineStr">
        <is>
          <t>{"biomes":["#cobblemon:is_volcanic"]}</t>
        </is>
      </c>
      <c r="AS2680" s="18" t="inlineStr">
        <is>
          <t>{"weightMultiplier":{"condition":{"timeRange":"night"},"multiplier":0.25}}</t>
        </is>
      </c>
      <c r="AT2680" s="19" t="inlineStr"/>
    </row>
    <row r="2681" ht="32" customHeight="1">
      <c r="A2681" s="18" t="inlineStr">
        <is>
          <t>0831_wooloo.json::wooloo-2::002</t>
        </is>
      </c>
      <c r="B2681" s="19" t="inlineStr">
        <is>
          <t>사용</t>
        </is>
      </c>
      <c r="C2681" s="18">
        <f>IF(OR(B2681&lt;&gt;AK2681,M2681&lt;&gt;L2681,O2681&lt;&gt;"",Q2681&lt;&gt;"",V2681&lt;&gt;1,Y2681&lt;&gt;"",AT2681&lt;&gt;""),"수정","원본")</f>
        <v/>
      </c>
      <c r="D2681" s="18" t="n">
        <v>831</v>
      </c>
      <c r="E2681" s="18" t="inlineStr">
        <is>
          <t>우르</t>
        </is>
      </c>
      <c r="F2681" s="18" t="inlineStr">
        <is>
          <t>wooloo</t>
        </is>
      </c>
      <c r="G2681" s="18" t="inlineStr">
        <is>
          <t>wooloo</t>
        </is>
      </c>
      <c r="H2681" s="18" t="inlineStr"/>
      <c r="I2681" s="18" t="n">
        <v>8</v>
      </c>
      <c r="J2681" s="18" t="n"/>
      <c r="K2681" s="18" t="n">
        <v>8</v>
      </c>
      <c r="L2681" s="18" t="inlineStr">
        <is>
          <t>cobbleventure:generation_8</t>
        </is>
      </c>
      <c r="M2681" s="19" t="inlineStr">
        <is>
          <t>cobbleventure:generation_8</t>
        </is>
      </c>
      <c r="N2681" s="18" t="inlineStr"/>
      <c r="O2681" s="19" t="inlineStr"/>
      <c r="P2681" s="18" t="inlineStr">
        <is>
          <t>aether:skyroot_grove; aether:skyroot_meadow</t>
        </is>
      </c>
      <c r="Q2681" s="19" t="inlineStr"/>
      <c r="R2681" s="18">
        <f>IF(Q2681="",P2681,Q2681)</f>
        <v/>
      </c>
      <c r="S2681" s="18" t="inlineStr"/>
      <c r="T2681" s="18" t="inlineStr">
        <is>
          <t>common</t>
        </is>
      </c>
      <c r="U2681" s="20" t="n">
        <v>9</v>
      </c>
      <c r="V2681" s="21" t="n">
        <v>1</v>
      </c>
      <c r="W2681" s="20">
        <f>IF(OR(U2681="",V2681=""),U2681,U2681*V2681)</f>
        <v/>
      </c>
      <c r="X2681" s="18" t="inlineStr">
        <is>
          <t>2-27</t>
        </is>
      </c>
      <c r="Y2681" s="19" t="inlineStr"/>
      <c r="Z2681" s="18">
        <f>IF(Y2681="",X2681,Y2681)</f>
        <v/>
      </c>
      <c r="AA2681" s="18" t="inlineStr">
        <is>
          <t>grounded</t>
        </is>
      </c>
      <c r="AB2681" s="18" t="inlineStr"/>
      <c r="AC2681" s="18" t="inlineStr"/>
      <c r="AD2681" s="18" t="inlineStr"/>
      <c r="AE2681" s="18" t="inlineStr">
        <is>
          <t>sky 8-15</t>
        </is>
      </c>
      <c r="AF2681" s="18" t="inlineStr"/>
      <c r="AG2681" s="18" t="inlineStr"/>
      <c r="AH2681" s="18" t="inlineStr"/>
      <c r="AI2681" s="18" t="inlineStr"/>
      <c r="AJ2681" s="18" t="inlineStr">
        <is>
          <t>Cobblemon 동일</t>
        </is>
      </c>
      <c r="AK2681" s="18" t="inlineStr">
        <is>
          <t>사용</t>
        </is>
      </c>
      <c r="AL2681" s="18" t="inlineStr">
        <is>
          <t>COBBLEVERSE 1.7.42 / DP v31</t>
        </is>
      </c>
      <c r="AM2681" s="18" t="inlineStr">
        <is>
          <t>data/cobblemon/spawn_pool_world/0831_wooloo.json</t>
        </is>
      </c>
      <c r="AN2681" s="18" t="inlineStr">
        <is>
          <t>wooloo-2</t>
        </is>
      </c>
      <c r="AO2681" s="18" t="inlineStr">
        <is>
          <t>pokemon</t>
        </is>
      </c>
      <c r="AP2681" s="18" t="inlineStr">
        <is>
          <t>natural</t>
        </is>
      </c>
      <c r="AQ2681" s="18" t="inlineStr">
        <is>
          <t>{"biomes":["aether:skyroot_grove","aether:skyroot_meadow"],"maxSkyLight":15,"minSkyLight":8}</t>
        </is>
      </c>
      <c r="AR2681" s="18" t="inlineStr"/>
      <c r="AS2681" s="18" t="inlineStr"/>
      <c r="AT2681" s="19" t="inlineStr"/>
    </row>
    <row r="2682" ht="32" customHeight="1">
      <c r="A2682" s="18" t="inlineStr">
        <is>
          <t>0832_dubwool.json::dubwool-1::001</t>
        </is>
      </c>
      <c r="B2682" s="19" t="inlineStr">
        <is>
          <t>사용</t>
        </is>
      </c>
      <c r="C2682" s="18">
        <f>IF(OR(B2682&lt;&gt;AK2682,M2682&lt;&gt;L2682,O2682&lt;&gt;"",Q2682&lt;&gt;"",V2682&lt;&gt;1,Y2682&lt;&gt;"",AT2682&lt;&gt;""),"수정","원본")</f>
        <v/>
      </c>
      <c r="D2682" s="18" t="n">
        <v>832</v>
      </c>
      <c r="E2682" s="18" t="inlineStr">
        <is>
          <t>배우르</t>
        </is>
      </c>
      <c r="F2682" s="18" t="inlineStr">
        <is>
          <t>dubwool</t>
        </is>
      </c>
      <c r="G2682" s="18" t="inlineStr">
        <is>
          <t>dubwool</t>
        </is>
      </c>
      <c r="H2682" s="18" t="inlineStr"/>
      <c r="I2682" s="18" t="n">
        <v>8</v>
      </c>
      <c r="J2682" s="18" t="n"/>
      <c r="K2682" s="18" t="n">
        <v>8</v>
      </c>
      <c r="L2682" s="18" t="inlineStr">
        <is>
          <t>cobbleventure:generation_8</t>
        </is>
      </c>
      <c r="M2682" s="19" t="inlineStr">
        <is>
          <t>cobbleventure:generation_8</t>
        </is>
      </c>
      <c r="N2682" s="18" t="inlineStr">
        <is>
          <t>region_01</t>
        </is>
      </c>
      <c r="O2682" s="19" t="inlineStr"/>
      <c r="P2682" s="18" t="inlineStr">
        <is>
          <t>#cobblemon:is_mountain; #cobblemon:is_plains</t>
        </is>
      </c>
      <c r="Q2682" s="19" t="inlineStr"/>
      <c r="R2682" s="18">
        <f>IF(Q2682="",P2682,Q2682)</f>
        <v/>
      </c>
      <c r="S2682" s="18" t="inlineStr">
        <is>
          <t>#cobblemon:is_volcanic</t>
        </is>
      </c>
      <c r="T2682" s="18" t="inlineStr">
        <is>
          <t>common</t>
        </is>
      </c>
      <c r="U2682" s="20" t="n">
        <v>1</v>
      </c>
      <c r="V2682" s="21" t="n">
        <v>1</v>
      </c>
      <c r="W2682" s="20">
        <f>IF(OR(U2682="",V2682=""),U2682,U2682*V2682)</f>
        <v/>
      </c>
      <c r="X2682" s="18" t="inlineStr">
        <is>
          <t>24-49</t>
        </is>
      </c>
      <c r="Y2682" s="19" t="inlineStr"/>
      <c r="Z2682" s="18">
        <f>IF(Y2682="",X2682,Y2682)</f>
        <v/>
      </c>
      <c r="AA2682" s="18" t="inlineStr">
        <is>
          <t>grounded</t>
        </is>
      </c>
      <c r="AB2682" s="18" t="inlineStr"/>
      <c r="AC2682" s="18" t="inlineStr"/>
      <c r="AD2682" s="18" t="inlineStr"/>
      <c r="AE2682" s="18" t="inlineStr">
        <is>
          <t>sky 8-15</t>
        </is>
      </c>
      <c r="AF2682" s="18" t="inlineStr"/>
      <c r="AG2682" s="18" t="inlineStr"/>
      <c r="AH2682" s="18" t="inlineStr"/>
      <c r="AI2682" s="18" t="inlineStr"/>
      <c r="AJ2682" s="18" t="inlineStr">
        <is>
          <t>Cobblemon 동일</t>
        </is>
      </c>
      <c r="AK2682" s="18" t="inlineStr">
        <is>
          <t>사용</t>
        </is>
      </c>
      <c r="AL2682" s="18" t="inlineStr">
        <is>
          <t>COBBLEVERSE 1.7.42 / DP v31</t>
        </is>
      </c>
      <c r="AM2682" s="18" t="inlineStr">
        <is>
          <t>data/cobblemon/spawn_pool_world/0832_dubwool.json</t>
        </is>
      </c>
      <c r="AN2682" s="18" t="inlineStr">
        <is>
          <t>dubwool-1</t>
        </is>
      </c>
      <c r="AO2682" s="18" t="inlineStr">
        <is>
          <t>pokemon</t>
        </is>
      </c>
      <c r="AP2682" s="18" t="inlineStr">
        <is>
          <t>natural</t>
        </is>
      </c>
      <c r="AQ2682" s="18" t="inlineStr">
        <is>
          <t>{"biomes":["#cobblemon:is_mountain","#cobblemon:is_plains"],"maxSkyLight":15,"minSkyLight":8}</t>
        </is>
      </c>
      <c r="AR2682" s="18" t="inlineStr">
        <is>
          <t>{"biomes":["#cobblemon:is_volcanic"]}</t>
        </is>
      </c>
      <c r="AS2682" s="18" t="inlineStr">
        <is>
          <t>{"weightMultiplier":{"condition":{"timeRange":"night"},"multiplier":0.25}}</t>
        </is>
      </c>
      <c r="AT2682" s="19" t="inlineStr"/>
    </row>
    <row r="2683" ht="32" customHeight="1">
      <c r="A2683" s="18" t="inlineStr">
        <is>
          <t>0832_dubwool.json::dubwool-2::002</t>
        </is>
      </c>
      <c r="B2683" s="19" t="inlineStr">
        <is>
          <t>사용</t>
        </is>
      </c>
      <c r="C2683" s="18">
        <f>IF(OR(B2683&lt;&gt;AK2683,M2683&lt;&gt;L2683,O2683&lt;&gt;"",Q2683&lt;&gt;"",V2683&lt;&gt;1,Y2683&lt;&gt;"",AT2683&lt;&gt;""),"수정","원본")</f>
        <v/>
      </c>
      <c r="D2683" s="18" t="n">
        <v>832</v>
      </c>
      <c r="E2683" s="18" t="inlineStr">
        <is>
          <t>배우르</t>
        </is>
      </c>
      <c r="F2683" s="18" t="inlineStr">
        <is>
          <t>dubwool</t>
        </is>
      </c>
      <c r="G2683" s="18" t="inlineStr">
        <is>
          <t>dubwool</t>
        </is>
      </c>
      <c r="H2683" s="18" t="inlineStr"/>
      <c r="I2683" s="18" t="n">
        <v>8</v>
      </c>
      <c r="J2683" s="18" t="n"/>
      <c r="K2683" s="18" t="n">
        <v>8</v>
      </c>
      <c r="L2683" s="18" t="inlineStr">
        <is>
          <t>cobbleventure:generation_8</t>
        </is>
      </c>
      <c r="M2683" s="19" t="inlineStr">
        <is>
          <t>cobbleventure:generation_8</t>
        </is>
      </c>
      <c r="N2683" s="18" t="inlineStr"/>
      <c r="O2683" s="19" t="inlineStr"/>
      <c r="P2683" s="18" t="inlineStr">
        <is>
          <t>aether:skyroot_grove; aether:skyroot_meadow</t>
        </is>
      </c>
      <c r="Q2683" s="19" t="inlineStr"/>
      <c r="R2683" s="18">
        <f>IF(Q2683="",P2683,Q2683)</f>
        <v/>
      </c>
      <c r="S2683" s="18" t="inlineStr"/>
      <c r="T2683" s="18" t="inlineStr">
        <is>
          <t>common</t>
        </is>
      </c>
      <c r="U2683" s="20" t="n">
        <v>1</v>
      </c>
      <c r="V2683" s="21" t="n">
        <v>1</v>
      </c>
      <c r="W2683" s="20">
        <f>IF(OR(U2683="",V2683=""),U2683,U2683*V2683)</f>
        <v/>
      </c>
      <c r="X2683" s="18" t="inlineStr">
        <is>
          <t>24-49</t>
        </is>
      </c>
      <c r="Y2683" s="19" t="inlineStr"/>
      <c r="Z2683" s="18">
        <f>IF(Y2683="",X2683,Y2683)</f>
        <v/>
      </c>
      <c r="AA2683" s="18" t="inlineStr">
        <is>
          <t>grounded</t>
        </is>
      </c>
      <c r="AB2683" s="18" t="inlineStr"/>
      <c r="AC2683" s="18" t="inlineStr"/>
      <c r="AD2683" s="18" t="inlineStr"/>
      <c r="AE2683" s="18" t="inlineStr">
        <is>
          <t>sky 8-15</t>
        </is>
      </c>
      <c r="AF2683" s="18" t="inlineStr"/>
      <c r="AG2683" s="18" t="inlineStr"/>
      <c r="AH2683" s="18" t="inlineStr"/>
      <c r="AI2683" s="18" t="inlineStr"/>
      <c r="AJ2683" s="18" t="inlineStr">
        <is>
          <t>Cobblemon 동일</t>
        </is>
      </c>
      <c r="AK2683" s="18" t="inlineStr">
        <is>
          <t>사용</t>
        </is>
      </c>
      <c r="AL2683" s="18" t="inlineStr">
        <is>
          <t>COBBLEVERSE 1.7.42 / DP v31</t>
        </is>
      </c>
      <c r="AM2683" s="18" t="inlineStr">
        <is>
          <t>data/cobblemon/spawn_pool_world/0832_dubwool.json</t>
        </is>
      </c>
      <c r="AN2683" s="18" t="inlineStr">
        <is>
          <t>dubwool-2</t>
        </is>
      </c>
      <c r="AO2683" s="18" t="inlineStr">
        <is>
          <t>pokemon</t>
        </is>
      </c>
      <c r="AP2683" s="18" t="inlineStr">
        <is>
          <t>natural</t>
        </is>
      </c>
      <c r="AQ2683" s="18" t="inlineStr">
        <is>
          <t>{"biomes":["aether:skyroot_grove","aether:skyroot_meadow"],"maxSkyLight":15,"minSkyLight":8}</t>
        </is>
      </c>
      <c r="AR2683" s="18" t="inlineStr"/>
      <c r="AS2683" s="18" t="inlineStr"/>
      <c r="AT2683" s="19" t="inlineStr"/>
    </row>
    <row r="2684" ht="32" customHeight="1">
      <c r="A2684" s="18" t="inlineStr">
        <is>
          <t>0833_chewtle.json::chewtle-3::001</t>
        </is>
      </c>
      <c r="B2684" s="19" t="inlineStr">
        <is>
          <t>사용</t>
        </is>
      </c>
      <c r="C2684" s="18">
        <f>IF(OR(B2684&lt;&gt;AK2684,M2684&lt;&gt;L2684,O2684&lt;&gt;"",Q2684&lt;&gt;"",V2684&lt;&gt;1,Y2684&lt;&gt;"",AT2684&lt;&gt;""),"수정","원본")</f>
        <v/>
      </c>
      <c r="D2684" s="18" t="n">
        <v>833</v>
      </c>
      <c r="E2684" s="18" t="inlineStr">
        <is>
          <t>깨물부기</t>
        </is>
      </c>
      <c r="F2684" s="18" t="inlineStr">
        <is>
          <t>chewtle</t>
        </is>
      </c>
      <c r="G2684" s="18" t="inlineStr">
        <is>
          <t>chewtle</t>
        </is>
      </c>
      <c r="H2684" s="18" t="inlineStr"/>
      <c r="I2684" s="18" t="n">
        <v>8</v>
      </c>
      <c r="J2684" s="18" t="n"/>
      <c r="K2684" s="18" t="n">
        <v>8</v>
      </c>
      <c r="L2684" s="18" t="inlineStr">
        <is>
          <t>cobbleventure:generation_8</t>
        </is>
      </c>
      <c r="M2684" s="19" t="inlineStr">
        <is>
          <t>cobbleventure:generation_8</t>
        </is>
      </c>
      <c r="N2684" s="18" t="inlineStr">
        <is>
          <t>region_01; region_02</t>
        </is>
      </c>
      <c r="O2684" s="19" t="inlineStr"/>
      <c r="P2684" s="18" t="inlineStr">
        <is>
          <t>#cobblemon:is_arid; #cobblemon:is_freshwater; #cobblemon:is_hills; #cobblemon:is_jungle; #cobblemon:is_temperate</t>
        </is>
      </c>
      <c r="Q2684" s="19" t="inlineStr"/>
      <c r="R2684" s="18">
        <f>IF(Q2684="",P2684,Q2684)</f>
        <v/>
      </c>
      <c r="S2684" s="18" t="inlineStr">
        <is>
          <t>#cobblemon:is_freezing</t>
        </is>
      </c>
      <c r="T2684" s="18" t="inlineStr">
        <is>
          <t>common</t>
        </is>
      </c>
      <c r="U2684" s="20" t="n">
        <v>9</v>
      </c>
      <c r="V2684" s="21" t="n">
        <v>1</v>
      </c>
      <c r="W2684" s="20">
        <f>IF(OR(U2684="",V2684=""),U2684,U2684*V2684)</f>
        <v/>
      </c>
      <c r="X2684" s="18" t="inlineStr">
        <is>
          <t>3-28</t>
        </is>
      </c>
      <c r="Y2684" s="19" t="inlineStr"/>
      <c r="Z2684" s="18">
        <f>IF(Y2684="",X2684,Y2684)</f>
        <v/>
      </c>
      <c r="AA2684" s="18" t="inlineStr">
        <is>
          <t>fishing</t>
        </is>
      </c>
      <c r="AB2684" s="18" t="inlineStr"/>
      <c r="AC2684" s="18" t="inlineStr"/>
      <c r="AD2684" s="18" t="inlineStr"/>
      <c r="AE2684" s="18" t="inlineStr"/>
      <c r="AF2684" s="18" t="inlineStr">
        <is>
          <t>True</t>
        </is>
      </c>
      <c r="AG2684" s="18" t="inlineStr"/>
      <c r="AH2684" s="18" t="inlineStr"/>
      <c r="AI2684" s="18" t="inlineStr"/>
      <c r="AJ2684" s="18" t="inlineStr">
        <is>
          <t>Cobblemon 동일</t>
        </is>
      </c>
      <c r="AK2684" s="18" t="inlineStr">
        <is>
          <t>사용</t>
        </is>
      </c>
      <c r="AL2684" s="18" t="inlineStr">
        <is>
          <t>COBBLEVERSE 1.7.42 / DP v31</t>
        </is>
      </c>
      <c r="AM2684" s="18" t="inlineStr">
        <is>
          <t>data/cobblemon/spawn_pool_world/0833_chewtle.json</t>
        </is>
      </c>
      <c r="AN2684" s="18" t="inlineStr">
        <is>
          <t>chewtle-3</t>
        </is>
      </c>
      <c r="AO2684" s="18" t="inlineStr">
        <is>
          <t>pokemon</t>
        </is>
      </c>
      <c r="AP2684" s="18" t="inlineStr"/>
      <c r="AQ2684" s="18" t="inlineStr">
        <is>
          <t>{"biomes":["#cobblemon:is_arid","#cobblemon:is_freshwater","#cobblemon:is_hills","#cobblemon:is_jungle","#cobblemon:is_temperate"],"canSeeSky":true}</t>
        </is>
      </c>
      <c r="AR2684" s="18" t="inlineStr">
        <is>
          <t>{"biomes":["#cobblemon:is_freezing"]}</t>
        </is>
      </c>
      <c r="AS2684" s="18" t="inlineStr">
        <is>
          <t>{"weightMultiplier":{"condition":{"maxLureLevel":1,"minLureLevel":0},"multiplier":0.6}}</t>
        </is>
      </c>
      <c r="AT2684" s="19" t="inlineStr"/>
    </row>
    <row r="2685" ht="32" customHeight="1">
      <c r="A2685" s="18" t="inlineStr">
        <is>
          <t>0833_chewtle.json::chewtle-4::002</t>
        </is>
      </c>
      <c r="B2685" s="19" t="inlineStr">
        <is>
          <t>사용</t>
        </is>
      </c>
      <c r="C2685" s="18">
        <f>IF(OR(B2685&lt;&gt;AK2685,M2685&lt;&gt;L2685,O2685&lt;&gt;"",Q2685&lt;&gt;"",V2685&lt;&gt;1,Y2685&lt;&gt;"",AT2685&lt;&gt;""),"수정","원본")</f>
        <v/>
      </c>
      <c r="D2685" s="18" t="n">
        <v>833</v>
      </c>
      <c r="E2685" s="18" t="inlineStr">
        <is>
          <t>깨물부기</t>
        </is>
      </c>
      <c r="F2685" s="18" t="inlineStr">
        <is>
          <t>chewtle</t>
        </is>
      </c>
      <c r="G2685" s="18" t="inlineStr">
        <is>
          <t>chewtle</t>
        </is>
      </c>
      <c r="H2685" s="18" t="inlineStr"/>
      <c r="I2685" s="18" t="n">
        <v>8</v>
      </c>
      <c r="J2685" s="18" t="n"/>
      <c r="K2685" s="18" t="n">
        <v>8</v>
      </c>
      <c r="L2685" s="18" t="inlineStr">
        <is>
          <t>cobbleventure:generation_8</t>
        </is>
      </c>
      <c r="M2685" s="19" t="inlineStr">
        <is>
          <t>cobbleventure:generation_8</t>
        </is>
      </c>
      <c r="N2685" s="18" t="inlineStr">
        <is>
          <t>region_01; region_02</t>
        </is>
      </c>
      <c r="O2685" s="19" t="inlineStr"/>
      <c r="P2685" s="18" t="inlineStr">
        <is>
          <t>#cobblemon:is_arid; #cobblemon:is_freshwater; #cobblemon:is_hills; #cobblemon:is_jungle; #cobblemon:is_temperate</t>
        </is>
      </c>
      <c r="Q2685" s="19" t="inlineStr"/>
      <c r="R2685" s="18">
        <f>IF(Q2685="",P2685,Q2685)</f>
        <v/>
      </c>
      <c r="S2685" s="18" t="inlineStr">
        <is>
          <t>#cobblemon:is_freezing</t>
        </is>
      </c>
      <c r="T2685" s="18" t="inlineStr">
        <is>
          <t>common</t>
        </is>
      </c>
      <c r="U2685" s="20" t="n">
        <v>9</v>
      </c>
      <c r="V2685" s="21" t="n">
        <v>1</v>
      </c>
      <c r="W2685" s="20">
        <f>IF(OR(U2685="",V2685=""),U2685,U2685*V2685)</f>
        <v/>
      </c>
      <c r="X2685" s="18" t="inlineStr">
        <is>
          <t>3-28</t>
        </is>
      </c>
      <c r="Y2685" s="19" t="inlineStr"/>
      <c r="Z2685" s="18">
        <f>IF(Y2685="",X2685,Y2685)</f>
        <v/>
      </c>
      <c r="AA2685" s="18" t="inlineStr">
        <is>
          <t>fishing</t>
        </is>
      </c>
      <c r="AB2685" s="18" t="inlineStr"/>
      <c r="AC2685" s="18" t="inlineStr"/>
      <c r="AD2685" s="18" t="inlineStr"/>
      <c r="AE2685" s="18" t="inlineStr">
        <is>
          <t>sky 8-15</t>
        </is>
      </c>
      <c r="AF2685" s="18" t="inlineStr">
        <is>
          <t>False</t>
        </is>
      </c>
      <c r="AG2685" s="18" t="inlineStr"/>
      <c r="AH2685" s="18" t="inlineStr"/>
      <c r="AI2685" s="18" t="inlineStr"/>
      <c r="AJ2685" s="18" t="inlineStr">
        <is>
          <t>Cobblemon 동일</t>
        </is>
      </c>
      <c r="AK2685" s="18" t="inlineStr">
        <is>
          <t>사용</t>
        </is>
      </c>
      <c r="AL2685" s="18" t="inlineStr">
        <is>
          <t>COBBLEVERSE 1.7.42 / DP v31</t>
        </is>
      </c>
      <c r="AM2685" s="18" t="inlineStr">
        <is>
          <t>data/cobblemon/spawn_pool_world/0833_chewtle.json</t>
        </is>
      </c>
      <c r="AN2685" s="18" t="inlineStr">
        <is>
          <t>chewtle-4</t>
        </is>
      </c>
      <c r="AO2685" s="18" t="inlineStr">
        <is>
          <t>pokemon</t>
        </is>
      </c>
      <c r="AP2685" s="18" t="inlineStr"/>
      <c r="AQ2685" s="18" t="inlineStr">
        <is>
          <t>{"biomes":["#cobblemon:is_arid","#cobblemon:is_freshwater","#cobblemon:is_hills","#cobblemon:is_jungle","#cobblemon:is_temperate"],"canSeeSky":false,"maxSkyLight":15,"minSkyLight":8}</t>
        </is>
      </c>
      <c r="AR2685" s="18" t="inlineStr">
        <is>
          <t>{"biomes":["#cobblemon:is_freezing"]}</t>
        </is>
      </c>
      <c r="AS2685" s="18" t="inlineStr">
        <is>
          <t>{"weightMultiplier":{"condition":{"maxLureLevel":1,"minLureLevel":0},"multiplier":0.6}}</t>
        </is>
      </c>
      <c r="AT2685" s="19" t="inlineStr"/>
    </row>
    <row r="2686" ht="32" customHeight="1">
      <c r="A2686" s="18" t="inlineStr">
        <is>
          <t>0833_chewtle.json::chewtle-1::003</t>
        </is>
      </c>
      <c r="B2686" s="19" t="inlineStr">
        <is>
          <t>사용</t>
        </is>
      </c>
      <c r="C2686" s="18">
        <f>IF(OR(B2686&lt;&gt;AK2686,M2686&lt;&gt;L2686,O2686&lt;&gt;"",Q2686&lt;&gt;"",V2686&lt;&gt;1,Y2686&lt;&gt;"",AT2686&lt;&gt;""),"수정","원본")</f>
        <v/>
      </c>
      <c r="D2686" s="18" t="n">
        <v>833</v>
      </c>
      <c r="E2686" s="18" t="inlineStr">
        <is>
          <t>깨물부기</t>
        </is>
      </c>
      <c r="F2686" s="18" t="inlineStr">
        <is>
          <t>chewtle</t>
        </is>
      </c>
      <c r="G2686" s="18" t="inlineStr">
        <is>
          <t>chewtle</t>
        </is>
      </c>
      <c r="H2686" s="18" t="inlineStr"/>
      <c r="I2686" s="18" t="n">
        <v>8</v>
      </c>
      <c r="J2686" s="18" t="n"/>
      <c r="K2686" s="18" t="n">
        <v>8</v>
      </c>
      <c r="L2686" s="18" t="inlineStr">
        <is>
          <t>cobbleventure:generation_8</t>
        </is>
      </c>
      <c r="M2686" s="19" t="inlineStr">
        <is>
          <t>cobbleventure:generation_8</t>
        </is>
      </c>
      <c r="N2686" s="18" t="inlineStr">
        <is>
          <t>region_02</t>
        </is>
      </c>
      <c r="O2686" s="19" t="inlineStr"/>
      <c r="P2686" s="18" t="inlineStr">
        <is>
          <t>#cobblemon:is_freshwater</t>
        </is>
      </c>
      <c r="Q2686" s="19" t="inlineStr"/>
      <c r="R2686" s="18">
        <f>IF(Q2686="",P2686,Q2686)</f>
        <v/>
      </c>
      <c r="S2686" s="18" t="inlineStr">
        <is>
          <t>#cobblemon:is_freezing</t>
        </is>
      </c>
      <c r="T2686" s="18" t="inlineStr">
        <is>
          <t>common</t>
        </is>
      </c>
      <c r="U2686" s="20" t="n">
        <v>5.4</v>
      </c>
      <c r="V2686" s="21" t="n">
        <v>1</v>
      </c>
      <c r="W2686" s="20">
        <f>IF(OR(U2686="",V2686=""),U2686,U2686*V2686)</f>
        <v/>
      </c>
      <c r="X2686" s="18" t="inlineStr">
        <is>
          <t>3-28</t>
        </is>
      </c>
      <c r="Y2686" s="19" t="inlineStr"/>
      <c r="Z2686" s="18">
        <f>IF(Y2686="",X2686,Y2686)</f>
        <v/>
      </c>
      <c r="AA2686" s="18" t="inlineStr">
        <is>
          <t>grounded</t>
        </is>
      </c>
      <c r="AB2686" s="18" t="inlineStr"/>
      <c r="AC2686" s="18" t="inlineStr"/>
      <c r="AD2686" s="18" t="inlineStr"/>
      <c r="AE2686" s="18" t="inlineStr">
        <is>
          <t>sky 8-15</t>
        </is>
      </c>
      <c r="AF2686" s="18" t="inlineStr"/>
      <c r="AG2686" s="18" t="inlineStr"/>
      <c r="AH2686" s="18" t="inlineStr"/>
      <c r="AI2686" s="18" t="inlineStr"/>
      <c r="AJ2686" s="18" t="inlineStr">
        <is>
          <t>Cobblemon 동일</t>
        </is>
      </c>
      <c r="AK2686" s="18" t="inlineStr">
        <is>
          <t>사용</t>
        </is>
      </c>
      <c r="AL2686" s="18" t="inlineStr">
        <is>
          <t>COBBLEVERSE 1.7.42 / DP v31</t>
        </is>
      </c>
      <c r="AM2686" s="18" t="inlineStr">
        <is>
          <t>data/cobblemon/spawn_pool_world/0833_chewtle.json</t>
        </is>
      </c>
      <c r="AN2686" s="18" t="inlineStr">
        <is>
          <t>chewtle-1</t>
        </is>
      </c>
      <c r="AO2686" s="18" t="inlineStr">
        <is>
          <t>pokemon</t>
        </is>
      </c>
      <c r="AP2686" s="18" t="inlineStr">
        <is>
          <t>natural</t>
        </is>
      </c>
      <c r="AQ2686" s="18" t="inlineStr">
        <is>
          <t>{"biomes":["#cobblemon:is_freshwater"],"maxSkyLight":15,"minSkyLight":8}</t>
        </is>
      </c>
      <c r="AR2686" s="18" t="inlineStr">
        <is>
          <t>{"biomes":["#cobblemon:is_freezing"]}</t>
        </is>
      </c>
      <c r="AS2686" s="18" t="inlineStr"/>
      <c r="AT2686" s="19" t="inlineStr"/>
    </row>
    <row r="2687" ht="32" customHeight="1">
      <c r="A2687" s="18" t="inlineStr">
        <is>
          <t>0833_chewtle.json::chewtle-2::004</t>
        </is>
      </c>
      <c r="B2687" s="19" t="inlineStr">
        <is>
          <t>사용</t>
        </is>
      </c>
      <c r="C2687" s="18">
        <f>IF(OR(B2687&lt;&gt;AK2687,M2687&lt;&gt;L2687,O2687&lt;&gt;"",Q2687&lt;&gt;"",V2687&lt;&gt;1,Y2687&lt;&gt;"",AT2687&lt;&gt;""),"수정","원본")</f>
        <v/>
      </c>
      <c r="D2687" s="18" t="n">
        <v>833</v>
      </c>
      <c r="E2687" s="18" t="inlineStr">
        <is>
          <t>깨물부기</t>
        </is>
      </c>
      <c r="F2687" s="18" t="inlineStr">
        <is>
          <t>chewtle</t>
        </is>
      </c>
      <c r="G2687" s="18" t="inlineStr">
        <is>
          <t>chewtle</t>
        </is>
      </c>
      <c r="H2687" s="18" t="inlineStr"/>
      <c r="I2687" s="18" t="n">
        <v>8</v>
      </c>
      <c r="J2687" s="18" t="n"/>
      <c r="K2687" s="18" t="n">
        <v>8</v>
      </c>
      <c r="L2687" s="18" t="inlineStr">
        <is>
          <t>cobbleventure:generation_8</t>
        </is>
      </c>
      <c r="M2687" s="19" t="inlineStr">
        <is>
          <t>cobbleventure:generation_8</t>
        </is>
      </c>
      <c r="N2687" s="18" t="inlineStr">
        <is>
          <t>region_02</t>
        </is>
      </c>
      <c r="O2687" s="19" t="inlineStr"/>
      <c r="P2687" s="18" t="inlineStr">
        <is>
          <t>#cobblemon:is_freshwater</t>
        </is>
      </c>
      <c r="Q2687" s="19" t="inlineStr"/>
      <c r="R2687" s="18">
        <f>IF(Q2687="",P2687,Q2687)</f>
        <v/>
      </c>
      <c r="S2687" s="18" t="inlineStr">
        <is>
          <t>#cobblemon:is_freezing</t>
        </is>
      </c>
      <c r="T2687" s="18" t="inlineStr">
        <is>
          <t>common</t>
        </is>
      </c>
      <c r="U2687" s="20" t="n">
        <v>5.4</v>
      </c>
      <c r="V2687" s="21" t="n">
        <v>1</v>
      </c>
      <c r="W2687" s="20">
        <f>IF(OR(U2687="",V2687=""),U2687,U2687*V2687)</f>
        <v/>
      </c>
      <c r="X2687" s="18" t="inlineStr">
        <is>
          <t>3-28</t>
        </is>
      </c>
      <c r="Y2687" s="19" t="inlineStr"/>
      <c r="Z2687" s="18">
        <f>IF(Y2687="",X2687,Y2687)</f>
        <v/>
      </c>
      <c r="AA2687" s="18" t="inlineStr">
        <is>
          <t>seafloor</t>
        </is>
      </c>
      <c r="AB2687" s="18" t="inlineStr"/>
      <c r="AC2687" s="18" t="inlineStr"/>
      <c r="AD2687" s="18" t="inlineStr"/>
      <c r="AE2687" s="18" t="inlineStr"/>
      <c r="AF2687" s="18" t="inlineStr">
        <is>
          <t>True</t>
        </is>
      </c>
      <c r="AG2687" s="18" t="inlineStr"/>
      <c r="AH2687" s="18" t="inlineStr"/>
      <c r="AI2687" s="18" t="inlineStr"/>
      <c r="AJ2687" s="18" t="inlineStr">
        <is>
          <t>Cobblemon 동일</t>
        </is>
      </c>
      <c r="AK2687" s="18" t="inlineStr">
        <is>
          <t>사용</t>
        </is>
      </c>
      <c r="AL2687" s="18" t="inlineStr">
        <is>
          <t>COBBLEVERSE 1.7.42 / DP v31</t>
        </is>
      </c>
      <c r="AM2687" s="18" t="inlineStr">
        <is>
          <t>data/cobblemon/spawn_pool_world/0833_chewtle.json</t>
        </is>
      </c>
      <c r="AN2687" s="18" t="inlineStr">
        <is>
          <t>chewtle-2</t>
        </is>
      </c>
      <c r="AO2687" s="18" t="inlineStr">
        <is>
          <t>pokemon</t>
        </is>
      </c>
      <c r="AP2687" s="18" t="inlineStr">
        <is>
          <t>water</t>
        </is>
      </c>
      <c r="AQ2687" s="18" t="inlineStr">
        <is>
          <t>{"biomes":["#cobblemon:is_freshwater"],"canSeeSky":true}</t>
        </is>
      </c>
      <c r="AR2687" s="18" t="inlineStr">
        <is>
          <t>{"biomes":["#cobblemon:is_freezing"]}</t>
        </is>
      </c>
      <c r="AS2687" s="18" t="inlineStr"/>
      <c r="AT2687" s="19" t="inlineStr"/>
    </row>
    <row r="2688" ht="32" customHeight="1">
      <c r="A2688" s="18" t="inlineStr">
        <is>
          <t>0834_drednaw.json::drednaw-3::001</t>
        </is>
      </c>
      <c r="B2688" s="19" t="inlineStr">
        <is>
          <t>사용</t>
        </is>
      </c>
      <c r="C2688" s="18">
        <f>IF(OR(B2688&lt;&gt;AK2688,M2688&lt;&gt;L2688,O2688&lt;&gt;"",Q2688&lt;&gt;"",V2688&lt;&gt;1,Y2688&lt;&gt;"",AT2688&lt;&gt;""),"수정","원본")</f>
        <v/>
      </c>
      <c r="D2688" s="18" t="n">
        <v>834</v>
      </c>
      <c r="E2688" s="18" t="inlineStr">
        <is>
          <t>갈가부기</t>
        </is>
      </c>
      <c r="F2688" s="18" t="inlineStr">
        <is>
          <t>drednaw</t>
        </is>
      </c>
      <c r="G2688" s="18" t="inlineStr">
        <is>
          <t>drednaw</t>
        </is>
      </c>
      <c r="H2688" s="18" t="inlineStr"/>
      <c r="I2688" s="18" t="n">
        <v>8</v>
      </c>
      <c r="J2688" s="18" t="n"/>
      <c r="K2688" s="18" t="n">
        <v>8</v>
      </c>
      <c r="L2688" s="18" t="inlineStr">
        <is>
          <t>cobbleventure:generation_8</t>
        </is>
      </c>
      <c r="M2688" s="19" t="inlineStr">
        <is>
          <t>cobbleventure:generation_8</t>
        </is>
      </c>
      <c r="N2688" s="18" t="inlineStr">
        <is>
          <t>region_01; region_02</t>
        </is>
      </c>
      <c r="O2688" s="19" t="inlineStr"/>
      <c r="P2688" s="18" t="inlineStr">
        <is>
          <t>#cobblemon:is_arid; #cobblemon:is_freshwater; #cobblemon:is_hills; #cobblemon:is_jungle; #cobblemon:is_temperate</t>
        </is>
      </c>
      <c r="Q2688" s="19" t="inlineStr"/>
      <c r="R2688" s="18">
        <f>IF(Q2688="",P2688,Q2688)</f>
        <v/>
      </c>
      <c r="S2688" s="18" t="inlineStr">
        <is>
          <t>#cobblemon:is_freezing</t>
        </is>
      </c>
      <c r="T2688" s="18" t="inlineStr">
        <is>
          <t>common</t>
        </is>
      </c>
      <c r="U2688" s="20" t="n">
        <v>1</v>
      </c>
      <c r="V2688" s="21" t="n">
        <v>1</v>
      </c>
      <c r="W2688" s="20">
        <f>IF(OR(U2688="",V2688=""),U2688,U2688*V2688)</f>
        <v/>
      </c>
      <c r="X2688" s="18" t="inlineStr">
        <is>
          <t>22-49</t>
        </is>
      </c>
      <c r="Y2688" s="19" t="inlineStr"/>
      <c r="Z2688" s="18">
        <f>IF(Y2688="",X2688,Y2688)</f>
        <v/>
      </c>
      <c r="AA2688" s="18" t="inlineStr">
        <is>
          <t>fishing</t>
        </is>
      </c>
      <c r="AB2688" s="18" t="inlineStr"/>
      <c r="AC2688" s="18" t="inlineStr"/>
      <c r="AD2688" s="18" t="inlineStr"/>
      <c r="AE2688" s="18" t="inlineStr"/>
      <c r="AF2688" s="18" t="inlineStr">
        <is>
          <t>True</t>
        </is>
      </c>
      <c r="AG2688" s="18" t="inlineStr"/>
      <c r="AH2688" s="18" t="inlineStr"/>
      <c r="AI2688" s="18" t="inlineStr"/>
      <c r="AJ2688" s="18" t="inlineStr">
        <is>
          <t>Cobblemon 동일</t>
        </is>
      </c>
      <c r="AK2688" s="18" t="inlineStr">
        <is>
          <t>사용</t>
        </is>
      </c>
      <c r="AL2688" s="18" t="inlineStr">
        <is>
          <t>COBBLEVERSE 1.7.42 / DP v31</t>
        </is>
      </c>
      <c r="AM2688" s="18" t="inlineStr">
        <is>
          <t>data/cobblemon/spawn_pool_world/0834_drednaw.json</t>
        </is>
      </c>
      <c r="AN2688" s="18" t="inlineStr">
        <is>
          <t>drednaw-3</t>
        </is>
      </c>
      <c r="AO2688" s="18" t="inlineStr">
        <is>
          <t>pokemon</t>
        </is>
      </c>
      <c r="AP2688" s="18" t="inlineStr"/>
      <c r="AQ2688" s="18" t="inlineStr">
        <is>
          <t>{"biomes":["#cobblemon:is_arid","#cobblemon:is_freshwater","#cobblemon:is_hills","#cobblemon:is_jungle","#cobblemon:is_temperate"],"canSeeSky":true}</t>
        </is>
      </c>
      <c r="AR2688" s="18" t="inlineStr">
        <is>
          <t>{"biomes":["#cobblemon:is_freezing"]}</t>
        </is>
      </c>
      <c r="AS2688" s="18" t="inlineStr">
        <is>
          <t>{"weightMultiplier":{"condition":{"maxLureLevel":1,"minLureLevel":0},"multiplier":0.6}}</t>
        </is>
      </c>
      <c r="AT2688" s="19" t="inlineStr"/>
    </row>
    <row r="2689" ht="32" customHeight="1">
      <c r="A2689" s="18" t="inlineStr">
        <is>
          <t>0834_drednaw.json::drednaw-4::002</t>
        </is>
      </c>
      <c r="B2689" s="19" t="inlineStr">
        <is>
          <t>사용</t>
        </is>
      </c>
      <c r="C2689" s="18">
        <f>IF(OR(B2689&lt;&gt;AK2689,M2689&lt;&gt;L2689,O2689&lt;&gt;"",Q2689&lt;&gt;"",V2689&lt;&gt;1,Y2689&lt;&gt;"",AT2689&lt;&gt;""),"수정","원본")</f>
        <v/>
      </c>
      <c r="D2689" s="18" t="n">
        <v>834</v>
      </c>
      <c r="E2689" s="18" t="inlineStr">
        <is>
          <t>갈가부기</t>
        </is>
      </c>
      <c r="F2689" s="18" t="inlineStr">
        <is>
          <t>drednaw</t>
        </is>
      </c>
      <c r="G2689" s="18" t="inlineStr">
        <is>
          <t>drednaw</t>
        </is>
      </c>
      <c r="H2689" s="18" t="inlineStr"/>
      <c r="I2689" s="18" t="n">
        <v>8</v>
      </c>
      <c r="J2689" s="18" t="n"/>
      <c r="K2689" s="18" t="n">
        <v>8</v>
      </c>
      <c r="L2689" s="18" t="inlineStr">
        <is>
          <t>cobbleventure:generation_8</t>
        </is>
      </c>
      <c r="M2689" s="19" t="inlineStr">
        <is>
          <t>cobbleventure:generation_8</t>
        </is>
      </c>
      <c r="N2689" s="18" t="inlineStr">
        <is>
          <t>region_01; region_02</t>
        </is>
      </c>
      <c r="O2689" s="19" t="inlineStr"/>
      <c r="P2689" s="18" t="inlineStr">
        <is>
          <t>#cobblemon:is_arid; #cobblemon:is_freshwater; #cobblemon:is_hills; #cobblemon:is_jungle; #cobblemon:is_temperate</t>
        </is>
      </c>
      <c r="Q2689" s="19" t="inlineStr"/>
      <c r="R2689" s="18">
        <f>IF(Q2689="",P2689,Q2689)</f>
        <v/>
      </c>
      <c r="S2689" s="18" t="inlineStr">
        <is>
          <t>#cobblemon:is_freezing</t>
        </is>
      </c>
      <c r="T2689" s="18" t="inlineStr">
        <is>
          <t>common</t>
        </is>
      </c>
      <c r="U2689" s="20" t="n">
        <v>1</v>
      </c>
      <c r="V2689" s="21" t="n">
        <v>1</v>
      </c>
      <c r="W2689" s="20">
        <f>IF(OR(U2689="",V2689=""),U2689,U2689*V2689)</f>
        <v/>
      </c>
      <c r="X2689" s="18" t="inlineStr">
        <is>
          <t>22-49</t>
        </is>
      </c>
      <c r="Y2689" s="19" t="inlineStr"/>
      <c r="Z2689" s="18">
        <f>IF(Y2689="",X2689,Y2689)</f>
        <v/>
      </c>
      <c r="AA2689" s="18" t="inlineStr">
        <is>
          <t>fishing</t>
        </is>
      </c>
      <c r="AB2689" s="18" t="inlineStr"/>
      <c r="AC2689" s="18" t="inlineStr"/>
      <c r="AD2689" s="18" t="inlineStr"/>
      <c r="AE2689" s="18" t="inlineStr">
        <is>
          <t>sky 8-15</t>
        </is>
      </c>
      <c r="AF2689" s="18" t="inlineStr">
        <is>
          <t>False</t>
        </is>
      </c>
      <c r="AG2689" s="18" t="inlineStr"/>
      <c r="AH2689" s="18" t="inlineStr"/>
      <c r="AI2689" s="18" t="inlineStr"/>
      <c r="AJ2689" s="18" t="inlineStr">
        <is>
          <t>Cobblemon 동일</t>
        </is>
      </c>
      <c r="AK2689" s="18" t="inlineStr">
        <is>
          <t>사용</t>
        </is>
      </c>
      <c r="AL2689" s="18" t="inlineStr">
        <is>
          <t>COBBLEVERSE 1.7.42 / DP v31</t>
        </is>
      </c>
      <c r="AM2689" s="18" t="inlineStr">
        <is>
          <t>data/cobblemon/spawn_pool_world/0834_drednaw.json</t>
        </is>
      </c>
      <c r="AN2689" s="18" t="inlineStr">
        <is>
          <t>drednaw-4</t>
        </is>
      </c>
      <c r="AO2689" s="18" t="inlineStr">
        <is>
          <t>pokemon</t>
        </is>
      </c>
      <c r="AP2689" s="18" t="inlineStr"/>
      <c r="AQ2689" s="18" t="inlineStr">
        <is>
          <t>{"biomes":["#cobblemon:is_arid","#cobblemon:is_freshwater","#cobblemon:is_hills","#cobblemon:is_jungle","#cobblemon:is_temperate"],"canSeeSky":false,"maxSkyLight":15,"minSkyLight":8}</t>
        </is>
      </c>
      <c r="AR2689" s="18" t="inlineStr">
        <is>
          <t>{"biomes":["#cobblemon:is_freezing"]}</t>
        </is>
      </c>
      <c r="AS2689" s="18" t="inlineStr">
        <is>
          <t>{"weightMultiplier":{"condition":{"maxLureLevel":1,"minLureLevel":0},"multiplier":0.6}}</t>
        </is>
      </c>
      <c r="AT2689" s="19" t="inlineStr"/>
    </row>
    <row r="2690" ht="32" customHeight="1">
      <c r="A2690" s="18" t="inlineStr">
        <is>
          <t>0834_drednaw.json::drednaw-1::003</t>
        </is>
      </c>
      <c r="B2690" s="19" t="inlineStr">
        <is>
          <t>사용</t>
        </is>
      </c>
      <c r="C2690" s="18">
        <f>IF(OR(B2690&lt;&gt;AK2690,M2690&lt;&gt;L2690,O2690&lt;&gt;"",Q2690&lt;&gt;"",V2690&lt;&gt;1,Y2690&lt;&gt;"",AT2690&lt;&gt;""),"수정","원본")</f>
        <v/>
      </c>
      <c r="D2690" s="18" t="n">
        <v>834</v>
      </c>
      <c r="E2690" s="18" t="inlineStr">
        <is>
          <t>갈가부기</t>
        </is>
      </c>
      <c r="F2690" s="18" t="inlineStr">
        <is>
          <t>drednaw</t>
        </is>
      </c>
      <c r="G2690" s="18" t="inlineStr">
        <is>
          <t>drednaw</t>
        </is>
      </c>
      <c r="H2690" s="18" t="inlineStr"/>
      <c r="I2690" s="18" t="n">
        <v>8</v>
      </c>
      <c r="J2690" s="18" t="n"/>
      <c r="K2690" s="18" t="n">
        <v>8</v>
      </c>
      <c r="L2690" s="18" t="inlineStr">
        <is>
          <t>cobbleventure:generation_8</t>
        </is>
      </c>
      <c r="M2690" s="19" t="inlineStr">
        <is>
          <t>cobbleventure:generation_8</t>
        </is>
      </c>
      <c r="N2690" s="18" t="inlineStr">
        <is>
          <t>region_02</t>
        </is>
      </c>
      <c r="O2690" s="19" t="inlineStr"/>
      <c r="P2690" s="18" t="inlineStr">
        <is>
          <t>#cobblemon:is_freshwater</t>
        </is>
      </c>
      <c r="Q2690" s="19" t="inlineStr"/>
      <c r="R2690" s="18">
        <f>IF(Q2690="",P2690,Q2690)</f>
        <v/>
      </c>
      <c r="S2690" s="18" t="inlineStr">
        <is>
          <t>#cobblemon:is_freezing</t>
        </is>
      </c>
      <c r="T2690" s="18" t="inlineStr">
        <is>
          <t>common</t>
        </is>
      </c>
      <c r="U2690" s="20" t="n">
        <v>0.6</v>
      </c>
      <c r="V2690" s="21" t="n">
        <v>1</v>
      </c>
      <c r="W2690" s="20">
        <f>IF(OR(U2690="",V2690=""),U2690,U2690*V2690)</f>
        <v/>
      </c>
      <c r="X2690" s="18" t="inlineStr">
        <is>
          <t>22-49</t>
        </is>
      </c>
      <c r="Y2690" s="19" t="inlineStr"/>
      <c r="Z2690" s="18">
        <f>IF(Y2690="",X2690,Y2690)</f>
        <v/>
      </c>
      <c r="AA2690" s="18" t="inlineStr">
        <is>
          <t>grounded</t>
        </is>
      </c>
      <c r="AB2690" s="18" t="inlineStr"/>
      <c r="AC2690" s="18" t="inlineStr"/>
      <c r="AD2690" s="18" t="inlineStr"/>
      <c r="AE2690" s="18" t="inlineStr">
        <is>
          <t>sky 8-15</t>
        </is>
      </c>
      <c r="AF2690" s="18" t="inlineStr"/>
      <c r="AG2690" s="18" t="inlineStr"/>
      <c r="AH2690" s="18" t="inlineStr"/>
      <c r="AI2690" s="18" t="inlineStr"/>
      <c r="AJ2690" s="18" t="inlineStr">
        <is>
          <t>Cobblemon 동일</t>
        </is>
      </c>
      <c r="AK2690" s="18" t="inlineStr">
        <is>
          <t>사용</t>
        </is>
      </c>
      <c r="AL2690" s="18" t="inlineStr">
        <is>
          <t>COBBLEVERSE 1.7.42 / DP v31</t>
        </is>
      </c>
      <c r="AM2690" s="18" t="inlineStr">
        <is>
          <t>data/cobblemon/spawn_pool_world/0834_drednaw.json</t>
        </is>
      </c>
      <c r="AN2690" s="18" t="inlineStr">
        <is>
          <t>drednaw-1</t>
        </is>
      </c>
      <c r="AO2690" s="18" t="inlineStr">
        <is>
          <t>pokemon</t>
        </is>
      </c>
      <c r="AP2690" s="18" t="inlineStr">
        <is>
          <t>natural</t>
        </is>
      </c>
      <c r="AQ2690" s="18" t="inlineStr">
        <is>
          <t>{"biomes":["#cobblemon:is_freshwater"],"maxSkyLight":15,"minSkyLight":8}</t>
        </is>
      </c>
      <c r="AR2690" s="18" t="inlineStr">
        <is>
          <t>{"biomes":["#cobblemon:is_freezing"]}</t>
        </is>
      </c>
      <c r="AS2690" s="18" t="inlineStr"/>
      <c r="AT2690" s="19" t="inlineStr"/>
    </row>
    <row r="2691" ht="32" customHeight="1">
      <c r="A2691" s="18" t="inlineStr">
        <is>
          <t>0834_drednaw.json::drednaw-2::004</t>
        </is>
      </c>
      <c r="B2691" s="19" t="inlineStr">
        <is>
          <t>사용</t>
        </is>
      </c>
      <c r="C2691" s="18">
        <f>IF(OR(B2691&lt;&gt;AK2691,M2691&lt;&gt;L2691,O2691&lt;&gt;"",Q2691&lt;&gt;"",V2691&lt;&gt;1,Y2691&lt;&gt;"",AT2691&lt;&gt;""),"수정","원본")</f>
        <v/>
      </c>
      <c r="D2691" s="18" t="n">
        <v>834</v>
      </c>
      <c r="E2691" s="18" t="inlineStr">
        <is>
          <t>갈가부기</t>
        </is>
      </c>
      <c r="F2691" s="18" t="inlineStr">
        <is>
          <t>drednaw</t>
        </is>
      </c>
      <c r="G2691" s="18" t="inlineStr">
        <is>
          <t>drednaw</t>
        </is>
      </c>
      <c r="H2691" s="18" t="inlineStr"/>
      <c r="I2691" s="18" t="n">
        <v>8</v>
      </c>
      <c r="J2691" s="18" t="n"/>
      <c r="K2691" s="18" t="n">
        <v>8</v>
      </c>
      <c r="L2691" s="18" t="inlineStr">
        <is>
          <t>cobbleventure:generation_8</t>
        </is>
      </c>
      <c r="M2691" s="19" t="inlineStr">
        <is>
          <t>cobbleventure:generation_8</t>
        </is>
      </c>
      <c r="N2691" s="18" t="inlineStr">
        <is>
          <t>region_02</t>
        </is>
      </c>
      <c r="O2691" s="19" t="inlineStr"/>
      <c r="P2691" s="18" t="inlineStr">
        <is>
          <t>#cobblemon:is_freshwater</t>
        </is>
      </c>
      <c r="Q2691" s="19" t="inlineStr"/>
      <c r="R2691" s="18">
        <f>IF(Q2691="",P2691,Q2691)</f>
        <v/>
      </c>
      <c r="S2691" s="18" t="inlineStr">
        <is>
          <t>#cobblemon:is_freezing</t>
        </is>
      </c>
      <c r="T2691" s="18" t="inlineStr">
        <is>
          <t>common</t>
        </is>
      </c>
      <c r="U2691" s="20" t="n">
        <v>0.6</v>
      </c>
      <c r="V2691" s="21" t="n">
        <v>1</v>
      </c>
      <c r="W2691" s="20">
        <f>IF(OR(U2691="",V2691=""),U2691,U2691*V2691)</f>
        <v/>
      </c>
      <c r="X2691" s="18" t="inlineStr">
        <is>
          <t>22-49</t>
        </is>
      </c>
      <c r="Y2691" s="19" t="inlineStr"/>
      <c r="Z2691" s="18">
        <f>IF(Y2691="",X2691,Y2691)</f>
        <v/>
      </c>
      <c r="AA2691" s="18" t="inlineStr">
        <is>
          <t>seafloor</t>
        </is>
      </c>
      <c r="AB2691" s="18" t="inlineStr"/>
      <c r="AC2691" s="18" t="inlineStr"/>
      <c r="AD2691" s="18" t="inlineStr"/>
      <c r="AE2691" s="18" t="inlineStr"/>
      <c r="AF2691" s="18" t="inlineStr">
        <is>
          <t>True</t>
        </is>
      </c>
      <c r="AG2691" s="18" t="inlineStr"/>
      <c r="AH2691" s="18" t="inlineStr"/>
      <c r="AI2691" s="18" t="inlineStr"/>
      <c r="AJ2691" s="18" t="inlineStr">
        <is>
          <t>Cobblemon 동일</t>
        </is>
      </c>
      <c r="AK2691" s="18" t="inlineStr">
        <is>
          <t>사용</t>
        </is>
      </c>
      <c r="AL2691" s="18" t="inlineStr">
        <is>
          <t>COBBLEVERSE 1.7.42 / DP v31</t>
        </is>
      </c>
      <c r="AM2691" s="18" t="inlineStr">
        <is>
          <t>data/cobblemon/spawn_pool_world/0834_drednaw.json</t>
        </is>
      </c>
      <c r="AN2691" s="18" t="inlineStr">
        <is>
          <t>drednaw-2</t>
        </is>
      </c>
      <c r="AO2691" s="18" t="inlineStr">
        <is>
          <t>pokemon</t>
        </is>
      </c>
      <c r="AP2691" s="18" t="inlineStr">
        <is>
          <t>water</t>
        </is>
      </c>
      <c r="AQ2691" s="18" t="inlineStr">
        <is>
          <t>{"biomes":["#cobblemon:is_freshwater"],"canSeeSky":true}</t>
        </is>
      </c>
      <c r="AR2691" s="18" t="inlineStr">
        <is>
          <t>{"biomes":["#cobblemon:is_freezing"]}</t>
        </is>
      </c>
      <c r="AS2691" s="18" t="inlineStr"/>
      <c r="AT2691" s="19" t="inlineStr"/>
    </row>
    <row r="2692" ht="32" customHeight="1">
      <c r="A2692" s="18" t="inlineStr">
        <is>
          <t>0835_yamper.json::yamper-1::001</t>
        </is>
      </c>
      <c r="B2692" s="19" t="inlineStr">
        <is>
          <t>사용</t>
        </is>
      </c>
      <c r="C2692" s="18">
        <f>IF(OR(B2692&lt;&gt;AK2692,M2692&lt;&gt;L2692,O2692&lt;&gt;"",Q2692&lt;&gt;"",V2692&lt;&gt;1,Y2692&lt;&gt;"",AT2692&lt;&gt;""),"수정","원본")</f>
        <v/>
      </c>
      <c r="D2692" s="18" t="n">
        <v>835</v>
      </c>
      <c r="E2692" s="18" t="inlineStr">
        <is>
          <t>멍파치</t>
        </is>
      </c>
      <c r="F2692" s="18" t="inlineStr">
        <is>
          <t>yamper</t>
        </is>
      </c>
      <c r="G2692" s="18" t="inlineStr">
        <is>
          <t>yamper</t>
        </is>
      </c>
      <c r="H2692" s="18" t="inlineStr"/>
      <c r="I2692" s="18" t="n">
        <v>8</v>
      </c>
      <c r="J2692" s="18" t="n"/>
      <c r="K2692" s="18" t="n">
        <v>8</v>
      </c>
      <c r="L2692" s="18" t="inlineStr">
        <is>
          <t>cobbleventure:generation_8</t>
        </is>
      </c>
      <c r="M2692" s="19" t="inlineStr">
        <is>
          <t>cobbleventure:generation_8</t>
        </is>
      </c>
      <c r="N2692" s="18" t="inlineStr">
        <is>
          <t>region_01; region_02</t>
        </is>
      </c>
      <c r="O2692" s="19" t="inlineStr"/>
      <c r="P2692" s="18" t="inlineStr">
        <is>
          <t>#cobblemon:is_overworld</t>
        </is>
      </c>
      <c r="Q2692" s="19" t="inlineStr"/>
      <c r="R2692" s="18">
        <f>IF(Q2692="",P2692,Q2692)</f>
        <v/>
      </c>
      <c r="S2692" s="18" t="inlineStr">
        <is>
          <t>#cobblemon:is_freezing</t>
        </is>
      </c>
      <c r="T2692" s="18" t="inlineStr">
        <is>
          <t>common</t>
        </is>
      </c>
      <c r="U2692" s="20" t="n">
        <v>5.4</v>
      </c>
      <c r="V2692" s="21" t="n">
        <v>1</v>
      </c>
      <c r="W2692" s="20">
        <f>IF(OR(U2692="",V2692=""),U2692,U2692*V2692)</f>
        <v/>
      </c>
      <c r="X2692" s="18" t="inlineStr">
        <is>
          <t>2-27</t>
        </is>
      </c>
      <c r="Y2692" s="19" t="inlineStr"/>
      <c r="Z2692" s="18">
        <f>IF(Y2692="",X2692,Y2692)</f>
        <v/>
      </c>
      <c r="AA2692" s="18" t="inlineStr">
        <is>
          <t>grounded</t>
        </is>
      </c>
      <c r="AB2692" s="18" t="inlineStr"/>
      <c r="AC2692" s="18" t="inlineStr"/>
      <c r="AD2692" s="18" t="inlineStr"/>
      <c r="AE2692" s="18" t="inlineStr">
        <is>
          <t>sky 8-15</t>
        </is>
      </c>
      <c r="AF2692" s="18" t="inlineStr"/>
      <c r="AG2692" s="18" t="inlineStr"/>
      <c r="AH2692" s="18" t="inlineStr"/>
      <c r="AI2692" s="18" t="inlineStr"/>
      <c r="AJ2692" s="18" t="inlineStr">
        <is>
          <t>COBBLEVERSE 수정</t>
        </is>
      </c>
      <c r="AK2692" s="18" t="inlineStr">
        <is>
          <t>사용</t>
        </is>
      </c>
      <c r="AL2692" s="18" t="inlineStr">
        <is>
          <t>COBBLEVERSE 1.7.42 / DP v31</t>
        </is>
      </c>
      <c r="AM2692" s="18" t="inlineStr">
        <is>
          <t>data/cobblemon/spawn_pool_world/0835_yamper.json</t>
        </is>
      </c>
      <c r="AN2692" s="18" t="inlineStr">
        <is>
          <t>yamper-1</t>
        </is>
      </c>
      <c r="AO2692" s="18" t="inlineStr">
        <is>
          <t>pokemon</t>
        </is>
      </c>
      <c r="AP2692" s="18" t="inlineStr">
        <is>
          <t>natural</t>
        </is>
      </c>
      <c r="AQ2692" s="18" t="inlineStr">
        <is>
          <t>{"biomes":["#cobblemon:is_overworld"],"maxSkyLight":15,"minSkyLight":8}</t>
        </is>
      </c>
      <c r="AR2692" s="18" t="inlineStr">
        <is>
          <t>{"biomes":["#cobblemon:is_freezing"]}</t>
        </is>
      </c>
      <c r="AS2692" s="18" t="inlineStr">
        <is>
          <t>{"weightMultiplier":{"condition":{"isThundering":true},"multiplier":5.0}}</t>
        </is>
      </c>
      <c r="AT2692" s="19" t="inlineStr"/>
    </row>
    <row r="2693" ht="32" customHeight="1">
      <c r="A2693" s="18" t="inlineStr">
        <is>
          <t>0835_yamper.json::yamper-2::002</t>
        </is>
      </c>
      <c r="B2693" s="19" t="inlineStr">
        <is>
          <t>사용</t>
        </is>
      </c>
      <c r="C2693" s="18">
        <f>IF(OR(B2693&lt;&gt;AK2693,M2693&lt;&gt;L2693,O2693&lt;&gt;"",Q2693&lt;&gt;"",V2693&lt;&gt;1,Y2693&lt;&gt;"",AT2693&lt;&gt;""),"수정","원본")</f>
        <v/>
      </c>
      <c r="D2693" s="18" t="n">
        <v>835</v>
      </c>
      <c r="E2693" s="18" t="inlineStr">
        <is>
          <t>멍파치</t>
        </is>
      </c>
      <c r="F2693" s="18" t="inlineStr">
        <is>
          <t>yamper</t>
        </is>
      </c>
      <c r="G2693" s="18" t="inlineStr">
        <is>
          <t>yamper</t>
        </is>
      </c>
      <c r="H2693" s="18" t="inlineStr"/>
      <c r="I2693" s="18" t="n">
        <v>8</v>
      </c>
      <c r="J2693" s="18" t="n"/>
      <c r="K2693" s="18" t="n">
        <v>8</v>
      </c>
      <c r="L2693" s="18" t="inlineStr">
        <is>
          <t>cobbleventure:generation_8</t>
        </is>
      </c>
      <c r="M2693" s="19" t="inlineStr">
        <is>
          <t>cobbleventure:generation_8</t>
        </is>
      </c>
      <c r="N2693" s="18" t="inlineStr">
        <is>
          <t>region_01; region_02</t>
        </is>
      </c>
      <c r="O2693" s="19" t="inlineStr"/>
      <c r="P2693" s="18" t="inlineStr">
        <is>
          <t>#cobblemon:is_overworld</t>
        </is>
      </c>
      <c r="Q2693" s="19" t="inlineStr"/>
      <c r="R2693" s="18">
        <f>IF(Q2693="",P2693,Q2693)</f>
        <v/>
      </c>
      <c r="S2693" s="18" t="inlineStr">
        <is>
          <t>#cobblemon:is_freezing</t>
        </is>
      </c>
      <c r="T2693" s="18" t="inlineStr">
        <is>
          <t>common</t>
        </is>
      </c>
      <c r="U2693" s="20" t="n">
        <v>5.4</v>
      </c>
      <c r="V2693" s="21" t="n">
        <v>1</v>
      </c>
      <c r="W2693" s="20">
        <f>IF(OR(U2693="",V2693=""),U2693,U2693*V2693)</f>
        <v/>
      </c>
      <c r="X2693" s="18" t="inlineStr">
        <is>
          <t>2-27</t>
        </is>
      </c>
      <c r="Y2693" s="19" t="inlineStr"/>
      <c r="Z2693" s="18">
        <f>IF(Y2693="",X2693,Y2693)</f>
        <v/>
      </c>
      <c r="AA2693" s="18" t="inlineStr">
        <is>
          <t>grounded</t>
        </is>
      </c>
      <c r="AB2693" s="18" t="inlineStr"/>
      <c r="AC2693" s="18" t="inlineStr"/>
      <c r="AD2693" s="18" t="inlineStr"/>
      <c r="AE2693" s="18" t="inlineStr">
        <is>
          <t>sky 8-15</t>
        </is>
      </c>
      <c r="AF2693" s="18" t="inlineStr"/>
      <c r="AG2693" s="18" t="inlineStr">
        <is>
          <t>#minecraft:village</t>
        </is>
      </c>
      <c r="AH2693" s="18" t="inlineStr"/>
      <c r="AI2693" s="18" t="inlineStr"/>
      <c r="AJ2693" s="18" t="inlineStr">
        <is>
          <t>COBBLEVERSE 수정</t>
        </is>
      </c>
      <c r="AK2693" s="18" t="inlineStr">
        <is>
          <t>사용</t>
        </is>
      </c>
      <c r="AL2693" s="18" t="inlineStr">
        <is>
          <t>COBBLEVERSE 1.7.42 / DP v31</t>
        </is>
      </c>
      <c r="AM2693" s="18" t="inlineStr">
        <is>
          <t>data/cobblemon/spawn_pool_world/0835_yamper.json</t>
        </is>
      </c>
      <c r="AN2693" s="18" t="inlineStr">
        <is>
          <t>yamper-2</t>
        </is>
      </c>
      <c r="AO2693" s="18" t="inlineStr">
        <is>
          <t>pokemon</t>
        </is>
      </c>
      <c r="AP2693" s="18" t="inlineStr">
        <is>
          <t>natural</t>
        </is>
      </c>
      <c r="AQ2693" s="18" t="inlineStr">
        <is>
          <t>{"biomes":["#cobblemon:is_overworld"],"maxSkyLight":15,"minSkyLight":8,"structures":["#minecraft:village"]}</t>
        </is>
      </c>
      <c r="AR2693" s="18" t="inlineStr">
        <is>
          <t>{"biomes":["#cobblemon:is_freezing"]}</t>
        </is>
      </c>
      <c r="AS2693" s="18" t="inlineStr">
        <is>
          <t>{"weightMultiplier":{"condition":{"isThundering":true},"multiplier":5.0}}</t>
        </is>
      </c>
      <c r="AT2693" s="19" t="inlineStr"/>
    </row>
    <row r="2694" ht="32" customHeight="1">
      <c r="A2694" s="18" t="inlineStr">
        <is>
          <t>0836_boltund.json::boltund-1::001</t>
        </is>
      </c>
      <c r="B2694" s="19" t="inlineStr">
        <is>
          <t>사용</t>
        </is>
      </c>
      <c r="C2694" s="18">
        <f>IF(OR(B2694&lt;&gt;AK2694,M2694&lt;&gt;L2694,O2694&lt;&gt;"",Q2694&lt;&gt;"",V2694&lt;&gt;1,Y2694&lt;&gt;"",AT2694&lt;&gt;""),"수정","원본")</f>
        <v/>
      </c>
      <c r="D2694" s="18" t="n">
        <v>836</v>
      </c>
      <c r="E2694" s="18" t="inlineStr">
        <is>
          <t>펄스멍</t>
        </is>
      </c>
      <c r="F2694" s="18" t="inlineStr">
        <is>
          <t>boltund</t>
        </is>
      </c>
      <c r="G2694" s="18" t="inlineStr">
        <is>
          <t>boltund</t>
        </is>
      </c>
      <c r="H2694" s="18" t="inlineStr"/>
      <c r="I2694" s="18" t="n">
        <v>8</v>
      </c>
      <c r="J2694" s="18" t="n"/>
      <c r="K2694" s="18" t="n">
        <v>8</v>
      </c>
      <c r="L2694" s="18" t="inlineStr">
        <is>
          <t>cobbleventure:generation_8</t>
        </is>
      </c>
      <c r="M2694" s="19" t="inlineStr">
        <is>
          <t>cobbleventure:generation_8</t>
        </is>
      </c>
      <c r="N2694" s="18" t="inlineStr">
        <is>
          <t>region_01; region_02</t>
        </is>
      </c>
      <c r="O2694" s="19" t="inlineStr"/>
      <c r="P2694" s="18" t="inlineStr">
        <is>
          <t>#cobblemon:is_overworld</t>
        </is>
      </c>
      <c r="Q2694" s="19" t="inlineStr"/>
      <c r="R2694" s="18">
        <f>IF(Q2694="",P2694,Q2694)</f>
        <v/>
      </c>
      <c r="S2694" s="18" t="inlineStr">
        <is>
          <t>#cobblemon:is_freezing</t>
        </is>
      </c>
      <c r="T2694" s="18" t="inlineStr">
        <is>
          <t>common</t>
        </is>
      </c>
      <c r="U2694" s="20" t="n">
        <v>0.6</v>
      </c>
      <c r="V2694" s="21" t="n">
        <v>1</v>
      </c>
      <c r="W2694" s="20">
        <f>IF(OR(U2694="",V2694=""),U2694,U2694*V2694)</f>
        <v/>
      </c>
      <c r="X2694" s="18" t="inlineStr">
        <is>
          <t>25-49</t>
        </is>
      </c>
      <c r="Y2694" s="19" t="inlineStr"/>
      <c r="Z2694" s="18">
        <f>IF(Y2694="",X2694,Y2694)</f>
        <v/>
      </c>
      <c r="AA2694" s="18" t="inlineStr">
        <is>
          <t>grounded</t>
        </is>
      </c>
      <c r="AB2694" s="18" t="inlineStr"/>
      <c r="AC2694" s="18" t="inlineStr"/>
      <c r="AD2694" s="18" t="inlineStr"/>
      <c r="AE2694" s="18" t="inlineStr">
        <is>
          <t>sky 8-15</t>
        </is>
      </c>
      <c r="AF2694" s="18" t="inlineStr"/>
      <c r="AG2694" s="18" t="inlineStr"/>
      <c r="AH2694" s="18" t="inlineStr"/>
      <c r="AI2694" s="18" t="inlineStr"/>
      <c r="AJ2694" s="18" t="inlineStr">
        <is>
          <t>Cobblemon 동일</t>
        </is>
      </c>
      <c r="AK2694" s="18" t="inlineStr">
        <is>
          <t>사용</t>
        </is>
      </c>
      <c r="AL2694" s="18" t="inlineStr">
        <is>
          <t>COBBLEVERSE 1.7.42 / DP v31</t>
        </is>
      </c>
      <c r="AM2694" s="18" t="inlineStr">
        <is>
          <t>data/cobblemon/spawn_pool_world/0836_boltund.json</t>
        </is>
      </c>
      <c r="AN2694" s="18" t="inlineStr">
        <is>
          <t>boltund-1</t>
        </is>
      </c>
      <c r="AO2694" s="18" t="inlineStr">
        <is>
          <t>pokemon</t>
        </is>
      </c>
      <c r="AP2694" s="18" t="inlineStr">
        <is>
          <t>natural; urban</t>
        </is>
      </c>
      <c r="AQ2694" s="18" t="inlineStr">
        <is>
          <t>{"biomes":["#cobblemon:is_overworld"],"maxSkyLight":15,"minSkyLight":8}</t>
        </is>
      </c>
      <c r="AR2694" s="18" t="inlineStr">
        <is>
          <t>{"biomes":["#cobblemon:is_freezing"]}</t>
        </is>
      </c>
      <c r="AS2694" s="18" t="inlineStr">
        <is>
          <t>{"weightMultiplier":{"condition":{"isThundering":true},"multiplier":5.0}}</t>
        </is>
      </c>
      <c r="AT2694" s="19" t="inlineStr"/>
    </row>
    <row r="2695" ht="32" customHeight="1">
      <c r="A2695" s="18" t="inlineStr">
        <is>
          <t>0836_boltund.json::boltund-2::002</t>
        </is>
      </c>
      <c r="B2695" s="19" t="inlineStr">
        <is>
          <t>사용</t>
        </is>
      </c>
      <c r="C2695" s="18">
        <f>IF(OR(B2695&lt;&gt;AK2695,M2695&lt;&gt;L2695,O2695&lt;&gt;"",Q2695&lt;&gt;"",V2695&lt;&gt;1,Y2695&lt;&gt;"",AT2695&lt;&gt;""),"수정","원본")</f>
        <v/>
      </c>
      <c r="D2695" s="18" t="n">
        <v>836</v>
      </c>
      <c r="E2695" s="18" t="inlineStr">
        <is>
          <t>펄스멍</t>
        </is>
      </c>
      <c r="F2695" s="18" t="inlineStr">
        <is>
          <t>boltund</t>
        </is>
      </c>
      <c r="G2695" s="18" t="inlineStr">
        <is>
          <t>boltund</t>
        </is>
      </c>
      <c r="H2695" s="18" t="inlineStr"/>
      <c r="I2695" s="18" t="n">
        <v>8</v>
      </c>
      <c r="J2695" s="18" t="n"/>
      <c r="K2695" s="18" t="n">
        <v>8</v>
      </c>
      <c r="L2695" s="18" t="inlineStr">
        <is>
          <t>cobbleventure:generation_8</t>
        </is>
      </c>
      <c r="M2695" s="19" t="inlineStr">
        <is>
          <t>cobbleventure:generation_8</t>
        </is>
      </c>
      <c r="N2695" s="18" t="inlineStr">
        <is>
          <t>region_01; region_02</t>
        </is>
      </c>
      <c r="O2695" s="19" t="inlineStr"/>
      <c r="P2695" s="18" t="inlineStr">
        <is>
          <t>#cobblemon:is_overworld</t>
        </is>
      </c>
      <c r="Q2695" s="19" t="inlineStr"/>
      <c r="R2695" s="18">
        <f>IF(Q2695="",P2695,Q2695)</f>
        <v/>
      </c>
      <c r="S2695" s="18" t="inlineStr">
        <is>
          <t>#cobblemon:is_freezing</t>
        </is>
      </c>
      <c r="T2695" s="18" t="inlineStr">
        <is>
          <t>common</t>
        </is>
      </c>
      <c r="U2695" s="20" t="n">
        <v>0.6</v>
      </c>
      <c r="V2695" s="21" t="n">
        <v>1</v>
      </c>
      <c r="W2695" s="20">
        <f>IF(OR(U2695="",V2695=""),U2695,U2695*V2695)</f>
        <v/>
      </c>
      <c r="X2695" s="18" t="inlineStr">
        <is>
          <t>25-49</t>
        </is>
      </c>
      <c r="Y2695" s="19" t="inlineStr"/>
      <c r="Z2695" s="18">
        <f>IF(Y2695="",X2695,Y2695)</f>
        <v/>
      </c>
      <c r="AA2695" s="18" t="inlineStr">
        <is>
          <t>grounded</t>
        </is>
      </c>
      <c r="AB2695" s="18" t="inlineStr"/>
      <c r="AC2695" s="18" t="inlineStr"/>
      <c r="AD2695" s="18" t="inlineStr"/>
      <c r="AE2695" s="18" t="inlineStr">
        <is>
          <t>sky 8-15</t>
        </is>
      </c>
      <c r="AF2695" s="18" t="inlineStr"/>
      <c r="AG2695" s="18" t="inlineStr">
        <is>
          <t>#minecraft:village</t>
        </is>
      </c>
      <c r="AH2695" s="18" t="inlineStr"/>
      <c r="AI2695" s="18" t="inlineStr"/>
      <c r="AJ2695" s="18" t="inlineStr">
        <is>
          <t>Cobblemon 동일</t>
        </is>
      </c>
      <c r="AK2695" s="18" t="inlineStr">
        <is>
          <t>사용</t>
        </is>
      </c>
      <c r="AL2695" s="18" t="inlineStr">
        <is>
          <t>COBBLEVERSE 1.7.42 / DP v31</t>
        </is>
      </c>
      <c r="AM2695" s="18" t="inlineStr">
        <is>
          <t>data/cobblemon/spawn_pool_world/0836_boltund.json</t>
        </is>
      </c>
      <c r="AN2695" s="18" t="inlineStr">
        <is>
          <t>boltund-2</t>
        </is>
      </c>
      <c r="AO2695" s="18" t="inlineStr">
        <is>
          <t>pokemon</t>
        </is>
      </c>
      <c r="AP2695" s="18" t="inlineStr">
        <is>
          <t>natural</t>
        </is>
      </c>
      <c r="AQ2695" s="18" t="inlineStr">
        <is>
          <t>{"biomes":["#cobblemon:is_overworld"],"maxSkyLight":15,"minSkyLight":8,"structures":["#minecraft:village"]}</t>
        </is>
      </c>
      <c r="AR2695" s="18" t="inlineStr">
        <is>
          <t>{"biomes":["#cobblemon:is_freezing"]}</t>
        </is>
      </c>
      <c r="AS2695" s="18" t="inlineStr">
        <is>
          <t>{"weightMultiplier":{"condition":{"isThundering":true},"multiplier":5.0}}</t>
        </is>
      </c>
      <c r="AT2695" s="19" t="inlineStr"/>
    </row>
    <row r="2696" ht="32" customHeight="1">
      <c r="A2696" s="18" t="inlineStr">
        <is>
          <t>0837_rolycoly.json::rolycoly-1::001</t>
        </is>
      </c>
      <c r="B2696" s="19" t="inlineStr">
        <is>
          <t>사용</t>
        </is>
      </c>
      <c r="C2696" s="18">
        <f>IF(OR(B2696&lt;&gt;AK2696,M2696&lt;&gt;L2696,O2696&lt;&gt;"",Q2696&lt;&gt;"",V2696&lt;&gt;1,Y2696&lt;&gt;"",AT2696&lt;&gt;""),"수정","원본")</f>
        <v/>
      </c>
      <c r="D2696" s="18" t="n">
        <v>837</v>
      </c>
      <c r="E2696" s="18" t="inlineStr">
        <is>
          <t>탄동</t>
        </is>
      </c>
      <c r="F2696" s="18" t="inlineStr">
        <is>
          <t>rolycoly</t>
        </is>
      </c>
      <c r="G2696" s="18" t="inlineStr">
        <is>
          <t>rolycoly</t>
        </is>
      </c>
      <c r="H2696" s="18" t="inlineStr"/>
      <c r="I2696" s="18" t="n">
        <v>8</v>
      </c>
      <c r="J2696" s="18" t="n"/>
      <c r="K2696" s="18" t="n">
        <v>8</v>
      </c>
      <c r="L2696" s="18" t="inlineStr">
        <is>
          <t>cobbleventure:generation_8</t>
        </is>
      </c>
      <c r="M2696" s="19" t="inlineStr">
        <is>
          <t>cobbleventure:generation_8</t>
        </is>
      </c>
      <c r="N2696" s="18" t="inlineStr"/>
      <c r="O2696" s="19" t="inlineStr"/>
      <c r="P2696" s="18" t="inlineStr">
        <is>
          <t>#cobblemon:is_cave; #cobblemon:is_mountain</t>
        </is>
      </c>
      <c r="Q2696" s="19" t="inlineStr"/>
      <c r="R2696" s="18">
        <f>IF(Q2696="",P2696,Q2696)</f>
        <v/>
      </c>
      <c r="S2696" s="18" t="inlineStr"/>
      <c r="T2696" s="18" t="inlineStr">
        <is>
          <t>common</t>
        </is>
      </c>
      <c r="U2696" s="20" t="n">
        <v>25</v>
      </c>
      <c r="V2696" s="21" t="n">
        <v>1</v>
      </c>
      <c r="W2696" s="20">
        <f>IF(OR(U2696="",V2696=""),U2696,U2696*V2696)</f>
        <v/>
      </c>
      <c r="X2696" s="18" t="inlineStr">
        <is>
          <t>6-17</t>
        </is>
      </c>
      <c r="Y2696" s="19" t="inlineStr"/>
      <c r="Z2696" s="18">
        <f>IF(Y2696="",X2696,Y2696)</f>
        <v/>
      </c>
      <c r="AA2696" s="18" t="inlineStr">
        <is>
          <t>grounded</t>
        </is>
      </c>
      <c r="AB2696" s="18" t="inlineStr"/>
      <c r="AC2696" s="18" t="inlineStr"/>
      <c r="AD2696" s="18" t="inlineStr"/>
      <c r="AE2696" s="18" t="inlineStr"/>
      <c r="AF2696" s="18" t="inlineStr"/>
      <c r="AG2696" s="18" t="inlineStr"/>
      <c r="AH2696" s="18" t="inlineStr">
        <is>
          <t>주변=minecraft:coal_ore</t>
        </is>
      </c>
      <c r="AI2696" s="18" t="inlineStr"/>
      <c r="AJ2696" s="18" t="inlineStr">
        <is>
          <t>COBBLEVERSE 추가</t>
        </is>
      </c>
      <c r="AK2696" s="18" t="inlineStr">
        <is>
          <t>사용</t>
        </is>
      </c>
      <c r="AL2696" s="18" t="inlineStr">
        <is>
          <t>COBBLEVERSE 1.7.42 / DP v31</t>
        </is>
      </c>
      <c r="AM2696" s="18" t="inlineStr">
        <is>
          <t>data/cobblemon/spawn_pool_world/0837_rolycoly.json</t>
        </is>
      </c>
      <c r="AN2696" s="18" t="inlineStr">
        <is>
          <t>rolycoly-1</t>
        </is>
      </c>
      <c r="AO2696" s="18" t="inlineStr">
        <is>
          <t>pokemon</t>
        </is>
      </c>
      <c r="AP2696" s="18" t="inlineStr">
        <is>
          <t>natural; wild</t>
        </is>
      </c>
      <c r="AQ2696" s="18" t="inlineStr">
        <is>
          <t>{"biomes":["#cobblemon:is_cave","#cobblemon:is_mountain"],"neededNearbyBlocks":["minecraft:coal_ore"]}</t>
        </is>
      </c>
      <c r="AR2696" s="18" t="inlineStr"/>
      <c r="AS2696" s="18" t="inlineStr"/>
      <c r="AT2696" s="19" t="inlineStr"/>
    </row>
    <row r="2697" ht="32" customHeight="1">
      <c r="A2697" s="18" t="inlineStr">
        <is>
          <t>0837_rolycoly.json::rolycoly-2::002</t>
        </is>
      </c>
      <c r="B2697" s="19" t="inlineStr">
        <is>
          <t>사용</t>
        </is>
      </c>
      <c r="C2697" s="18">
        <f>IF(OR(B2697&lt;&gt;AK2697,M2697&lt;&gt;L2697,O2697&lt;&gt;"",Q2697&lt;&gt;"",V2697&lt;&gt;1,Y2697&lt;&gt;"",AT2697&lt;&gt;""),"수정","원본")</f>
        <v/>
      </c>
      <c r="D2697" s="18" t="n">
        <v>837</v>
      </c>
      <c r="E2697" s="18" t="inlineStr">
        <is>
          <t>탄동</t>
        </is>
      </c>
      <c r="F2697" s="18" t="inlineStr">
        <is>
          <t>rolycoly</t>
        </is>
      </c>
      <c r="G2697" s="18" t="inlineStr">
        <is>
          <t>rolycoly</t>
        </is>
      </c>
      <c r="H2697" s="18" t="inlineStr"/>
      <c r="I2697" s="18" t="n">
        <v>8</v>
      </c>
      <c r="J2697" s="18" t="n"/>
      <c r="K2697" s="18" t="n">
        <v>8</v>
      </c>
      <c r="L2697" s="18" t="inlineStr">
        <is>
          <t>cobbleventure:generation_8</t>
        </is>
      </c>
      <c r="M2697" s="19" t="inlineStr">
        <is>
          <t>cobbleventure:generation_8</t>
        </is>
      </c>
      <c r="N2697" s="18" t="inlineStr"/>
      <c r="O2697" s="19" t="inlineStr"/>
      <c r="P2697" s="18" t="inlineStr">
        <is>
          <t>#cobblemon:is_cave; #cobblemon:is_mountain</t>
        </is>
      </c>
      <c r="Q2697" s="19" t="inlineStr"/>
      <c r="R2697" s="18">
        <f>IF(Q2697="",P2697,Q2697)</f>
        <v/>
      </c>
      <c r="S2697" s="18" t="inlineStr"/>
      <c r="T2697" s="18" t="inlineStr">
        <is>
          <t>uncommon</t>
        </is>
      </c>
      <c r="U2697" s="20" t="n">
        <v>12</v>
      </c>
      <c r="V2697" s="21" t="n">
        <v>1</v>
      </c>
      <c r="W2697" s="20">
        <f>IF(OR(U2697="",V2697=""),U2697,U2697*V2697)</f>
        <v/>
      </c>
      <c r="X2697" s="18" t="inlineStr">
        <is>
          <t>5-16</t>
        </is>
      </c>
      <c r="Y2697" s="19" t="inlineStr"/>
      <c r="Z2697" s="18">
        <f>IF(Y2697="",X2697,Y2697)</f>
        <v/>
      </c>
      <c r="AA2697" s="18" t="inlineStr">
        <is>
          <t>grounded</t>
        </is>
      </c>
      <c r="AB2697" s="18" t="inlineStr"/>
      <c r="AC2697" s="18" t="inlineStr"/>
      <c r="AD2697" s="18" t="inlineStr"/>
      <c r="AE2697" s="18" t="inlineStr"/>
      <c r="AF2697" s="18" t="inlineStr"/>
      <c r="AG2697" s="18" t="inlineStr"/>
      <c r="AH2697" s="18" t="inlineStr"/>
      <c r="AI2697" s="18" t="inlineStr"/>
      <c r="AJ2697" s="18" t="inlineStr">
        <is>
          <t>COBBLEVERSE 추가</t>
        </is>
      </c>
      <c r="AK2697" s="18" t="inlineStr">
        <is>
          <t>사용</t>
        </is>
      </c>
      <c r="AL2697" s="18" t="inlineStr">
        <is>
          <t>COBBLEVERSE 1.7.42 / DP v31</t>
        </is>
      </c>
      <c r="AM2697" s="18" t="inlineStr">
        <is>
          <t>data/cobblemon/spawn_pool_world/0837_rolycoly.json</t>
        </is>
      </c>
      <c r="AN2697" s="18" t="inlineStr">
        <is>
          <t>rolycoly-2</t>
        </is>
      </c>
      <c r="AO2697" s="18" t="inlineStr">
        <is>
          <t>pokemon</t>
        </is>
      </c>
      <c r="AP2697" s="18" t="inlineStr">
        <is>
          <t>natural; wild</t>
        </is>
      </c>
      <c r="AQ2697" s="18" t="inlineStr">
        <is>
          <t>{"biomes":["#cobblemon:is_cave","#cobblemon:is_mountain"]}</t>
        </is>
      </c>
      <c r="AR2697" s="18" t="inlineStr"/>
      <c r="AS2697" s="18" t="inlineStr"/>
      <c r="AT2697" s="19" t="inlineStr"/>
    </row>
    <row r="2698" ht="32" customHeight="1">
      <c r="A2698" s="18" t="inlineStr">
        <is>
          <t>0838_carkol.json::carkol-1::001</t>
        </is>
      </c>
      <c r="B2698" s="19" t="inlineStr">
        <is>
          <t>사용</t>
        </is>
      </c>
      <c r="C2698" s="18">
        <f>IF(OR(B2698&lt;&gt;AK2698,M2698&lt;&gt;L2698,O2698&lt;&gt;"",Q2698&lt;&gt;"",V2698&lt;&gt;1,Y2698&lt;&gt;"",AT2698&lt;&gt;""),"수정","원본")</f>
        <v/>
      </c>
      <c r="D2698" s="18" t="n">
        <v>838</v>
      </c>
      <c r="E2698" s="18" t="inlineStr">
        <is>
          <t>탄차곤</t>
        </is>
      </c>
      <c r="F2698" s="18" t="inlineStr">
        <is>
          <t>carkol</t>
        </is>
      </c>
      <c r="G2698" s="18" t="inlineStr">
        <is>
          <t>carkol</t>
        </is>
      </c>
      <c r="H2698" s="18" t="inlineStr"/>
      <c r="I2698" s="18" t="n">
        <v>8</v>
      </c>
      <c r="J2698" s="18" t="n"/>
      <c r="K2698" s="18" t="n">
        <v>8</v>
      </c>
      <c r="L2698" s="18" t="inlineStr">
        <is>
          <t>cobbleventure:generation_8</t>
        </is>
      </c>
      <c r="M2698" s="19" t="inlineStr">
        <is>
          <t>cobbleventure:generation_8</t>
        </is>
      </c>
      <c r="N2698" s="18" t="inlineStr"/>
      <c r="O2698" s="19" t="inlineStr"/>
      <c r="P2698" s="18" t="inlineStr">
        <is>
          <t>#cobblemon:is_cave; #cobblemon:is_mountain</t>
        </is>
      </c>
      <c r="Q2698" s="19" t="inlineStr"/>
      <c r="R2698" s="18">
        <f>IF(Q2698="",P2698,Q2698)</f>
        <v/>
      </c>
      <c r="S2698" s="18" t="inlineStr"/>
      <c r="T2698" s="18" t="inlineStr">
        <is>
          <t>common</t>
        </is>
      </c>
      <c r="U2698" s="20" t="n">
        <v>10</v>
      </c>
      <c r="V2698" s="21" t="n">
        <v>1</v>
      </c>
      <c r="W2698" s="20">
        <f>IF(OR(U2698="",V2698=""),U2698,U2698*V2698)</f>
        <v/>
      </c>
      <c r="X2698" s="18" t="inlineStr">
        <is>
          <t>18-33</t>
        </is>
      </c>
      <c r="Y2698" s="19" t="inlineStr"/>
      <c r="Z2698" s="18">
        <f>IF(Y2698="",X2698,Y2698)</f>
        <v/>
      </c>
      <c r="AA2698" s="18" t="inlineStr">
        <is>
          <t>grounded</t>
        </is>
      </c>
      <c r="AB2698" s="18" t="inlineStr"/>
      <c r="AC2698" s="18" t="inlineStr"/>
      <c r="AD2698" s="18" t="inlineStr"/>
      <c r="AE2698" s="18" t="inlineStr"/>
      <c r="AF2698" s="18" t="inlineStr"/>
      <c r="AG2698" s="18" t="inlineStr"/>
      <c r="AH2698" s="18" t="inlineStr">
        <is>
          <t>주변=minecraft:coal_ore</t>
        </is>
      </c>
      <c r="AI2698" s="18" t="inlineStr"/>
      <c r="AJ2698" s="18" t="inlineStr">
        <is>
          <t>COBBLEVERSE 추가</t>
        </is>
      </c>
      <c r="AK2698" s="18" t="inlineStr">
        <is>
          <t>사용</t>
        </is>
      </c>
      <c r="AL2698" s="18" t="inlineStr">
        <is>
          <t>COBBLEVERSE 1.7.42 / DP v31</t>
        </is>
      </c>
      <c r="AM2698" s="18" t="inlineStr">
        <is>
          <t>data/cobblemon/spawn_pool_world/0838_carkol.json</t>
        </is>
      </c>
      <c r="AN2698" s="18" t="inlineStr">
        <is>
          <t>carkol-1</t>
        </is>
      </c>
      <c r="AO2698" s="18" t="inlineStr">
        <is>
          <t>pokemon</t>
        </is>
      </c>
      <c r="AP2698" s="18" t="inlineStr">
        <is>
          <t>natural; wild</t>
        </is>
      </c>
      <c r="AQ2698" s="18" t="inlineStr">
        <is>
          <t>{"biomes":["#cobblemon:is_cave","#cobblemon:is_mountain"],"neededNearbyBlocks":["minecraft:coal_ore"]}</t>
        </is>
      </c>
      <c r="AR2698" s="18" t="inlineStr"/>
      <c r="AS2698" s="18" t="inlineStr"/>
      <c r="AT2698" s="19" t="inlineStr"/>
    </row>
    <row r="2699" ht="32" customHeight="1">
      <c r="A2699" s="18" t="inlineStr">
        <is>
          <t>0838_carkol.json::carkol-2::002</t>
        </is>
      </c>
      <c r="B2699" s="19" t="inlineStr">
        <is>
          <t>사용</t>
        </is>
      </c>
      <c r="C2699" s="18">
        <f>IF(OR(B2699&lt;&gt;AK2699,M2699&lt;&gt;L2699,O2699&lt;&gt;"",Q2699&lt;&gt;"",V2699&lt;&gt;1,Y2699&lt;&gt;"",AT2699&lt;&gt;""),"수정","원본")</f>
        <v/>
      </c>
      <c r="D2699" s="18" t="n">
        <v>838</v>
      </c>
      <c r="E2699" s="18" t="inlineStr">
        <is>
          <t>탄차곤</t>
        </is>
      </c>
      <c r="F2699" s="18" t="inlineStr">
        <is>
          <t>carkol</t>
        </is>
      </c>
      <c r="G2699" s="18" t="inlineStr">
        <is>
          <t>carkol</t>
        </is>
      </c>
      <c r="H2699" s="18" t="inlineStr"/>
      <c r="I2699" s="18" t="n">
        <v>8</v>
      </c>
      <c r="J2699" s="18" t="n"/>
      <c r="K2699" s="18" t="n">
        <v>8</v>
      </c>
      <c r="L2699" s="18" t="inlineStr">
        <is>
          <t>cobbleventure:generation_8</t>
        </is>
      </c>
      <c r="M2699" s="19" t="inlineStr">
        <is>
          <t>cobbleventure:generation_8</t>
        </is>
      </c>
      <c r="N2699" s="18" t="inlineStr"/>
      <c r="O2699" s="19" t="inlineStr"/>
      <c r="P2699" s="18" t="inlineStr">
        <is>
          <t>#cobblemon:is_cave; #cobblemon:is_mountain</t>
        </is>
      </c>
      <c r="Q2699" s="19" t="inlineStr"/>
      <c r="R2699" s="18">
        <f>IF(Q2699="",P2699,Q2699)</f>
        <v/>
      </c>
      <c r="S2699" s="18" t="inlineStr"/>
      <c r="T2699" s="18" t="inlineStr">
        <is>
          <t>uncommon</t>
        </is>
      </c>
      <c r="U2699" s="20" t="n">
        <v>7.5</v>
      </c>
      <c r="V2699" s="21" t="n">
        <v>1</v>
      </c>
      <c r="W2699" s="20">
        <f>IF(OR(U2699="",V2699=""),U2699,U2699*V2699)</f>
        <v/>
      </c>
      <c r="X2699" s="18" t="inlineStr">
        <is>
          <t>19-33</t>
        </is>
      </c>
      <c r="Y2699" s="19" t="inlineStr"/>
      <c r="Z2699" s="18">
        <f>IF(Y2699="",X2699,Y2699)</f>
        <v/>
      </c>
      <c r="AA2699" s="18" t="inlineStr">
        <is>
          <t>grounded</t>
        </is>
      </c>
      <c r="AB2699" s="18" t="inlineStr"/>
      <c r="AC2699" s="18" t="inlineStr"/>
      <c r="AD2699" s="18" t="inlineStr"/>
      <c r="AE2699" s="18" t="inlineStr"/>
      <c r="AF2699" s="18" t="inlineStr"/>
      <c r="AG2699" s="18" t="inlineStr"/>
      <c r="AH2699" s="18" t="inlineStr"/>
      <c r="AI2699" s="18" t="inlineStr"/>
      <c r="AJ2699" s="18" t="inlineStr">
        <is>
          <t>COBBLEVERSE 추가</t>
        </is>
      </c>
      <c r="AK2699" s="18" t="inlineStr">
        <is>
          <t>사용</t>
        </is>
      </c>
      <c r="AL2699" s="18" t="inlineStr">
        <is>
          <t>COBBLEVERSE 1.7.42 / DP v31</t>
        </is>
      </c>
      <c r="AM2699" s="18" t="inlineStr">
        <is>
          <t>data/cobblemon/spawn_pool_world/0838_carkol.json</t>
        </is>
      </c>
      <c r="AN2699" s="18" t="inlineStr">
        <is>
          <t>carkol-2</t>
        </is>
      </c>
      <c r="AO2699" s="18" t="inlineStr">
        <is>
          <t>pokemon</t>
        </is>
      </c>
      <c r="AP2699" s="18" t="inlineStr">
        <is>
          <t>natural; wild</t>
        </is>
      </c>
      <c r="AQ2699" s="18" t="inlineStr">
        <is>
          <t>{"biomes":["#cobblemon:is_cave","#cobblemon:is_mountain"]}</t>
        </is>
      </c>
      <c r="AR2699" s="18" t="inlineStr"/>
      <c r="AS2699" s="18" t="inlineStr"/>
      <c r="AT2699" s="19" t="inlineStr"/>
    </row>
    <row r="2700" ht="32" customHeight="1">
      <c r="A2700" s="18" t="inlineStr">
        <is>
          <t>0839_coalossal.json::coalossal-1::001</t>
        </is>
      </c>
      <c r="B2700" s="19" t="inlineStr">
        <is>
          <t>사용</t>
        </is>
      </c>
      <c r="C2700" s="18">
        <f>IF(OR(B2700&lt;&gt;AK2700,M2700&lt;&gt;L2700,O2700&lt;&gt;"",Q2700&lt;&gt;"",V2700&lt;&gt;1,Y2700&lt;&gt;"",AT2700&lt;&gt;""),"수정","원본")</f>
        <v/>
      </c>
      <c r="D2700" s="18" t="n">
        <v>839</v>
      </c>
      <c r="E2700" s="18" t="inlineStr">
        <is>
          <t>석탄산</t>
        </is>
      </c>
      <c r="F2700" s="18" t="inlineStr">
        <is>
          <t>coalossal</t>
        </is>
      </c>
      <c r="G2700" s="18" t="inlineStr">
        <is>
          <t>coalossal</t>
        </is>
      </c>
      <c r="H2700" s="18" t="inlineStr"/>
      <c r="I2700" s="18" t="n">
        <v>8</v>
      </c>
      <c r="J2700" s="18" t="n"/>
      <c r="K2700" s="18" t="n">
        <v>8</v>
      </c>
      <c r="L2700" s="18" t="inlineStr">
        <is>
          <t>cobbleventure:generation_8</t>
        </is>
      </c>
      <c r="M2700" s="19" t="inlineStr">
        <is>
          <t>cobbleventure:generation_8</t>
        </is>
      </c>
      <c r="N2700" s="18" t="inlineStr"/>
      <c r="O2700" s="19" t="inlineStr"/>
      <c r="P2700" s="18" t="inlineStr">
        <is>
          <t>#cobblemon:is_cave; #cobblemon:is_mountain</t>
        </is>
      </c>
      <c r="Q2700" s="19" t="inlineStr"/>
      <c r="R2700" s="18">
        <f>IF(Q2700="",P2700,Q2700)</f>
        <v/>
      </c>
      <c r="S2700" s="18" t="inlineStr"/>
      <c r="T2700" s="18" t="inlineStr">
        <is>
          <t>rare</t>
        </is>
      </c>
      <c r="U2700" s="20" t="n">
        <v>8</v>
      </c>
      <c r="V2700" s="21" t="n">
        <v>1</v>
      </c>
      <c r="W2700" s="20">
        <f>IF(OR(U2700="",V2700=""),U2700,U2700*V2700)</f>
        <v/>
      </c>
      <c r="X2700" s="18" t="inlineStr">
        <is>
          <t>36-65</t>
        </is>
      </c>
      <c r="Y2700" s="19" t="inlineStr"/>
      <c r="Z2700" s="18">
        <f>IF(Y2700="",X2700,Y2700)</f>
        <v/>
      </c>
      <c r="AA2700" s="18" t="inlineStr">
        <is>
          <t>grounded</t>
        </is>
      </c>
      <c r="AB2700" s="18" t="inlineStr"/>
      <c r="AC2700" s="18" t="inlineStr"/>
      <c r="AD2700" s="18" t="inlineStr"/>
      <c r="AE2700" s="18" t="inlineStr"/>
      <c r="AF2700" s="18" t="inlineStr"/>
      <c r="AG2700" s="18" t="inlineStr"/>
      <c r="AH2700" s="18" t="inlineStr">
        <is>
          <t>주변=minecraft:coal_ore</t>
        </is>
      </c>
      <c r="AI2700" s="18" t="inlineStr"/>
      <c r="AJ2700" s="18" t="inlineStr">
        <is>
          <t>COBBLEVERSE 추가</t>
        </is>
      </c>
      <c r="AK2700" s="18" t="inlineStr">
        <is>
          <t>사용</t>
        </is>
      </c>
      <c r="AL2700" s="18" t="inlineStr">
        <is>
          <t>COBBLEVERSE 1.7.42 / DP v31</t>
        </is>
      </c>
      <c r="AM2700" s="18" t="inlineStr">
        <is>
          <t>data/cobblemon/spawn_pool_world/0839_coalossal.json</t>
        </is>
      </c>
      <c r="AN2700" s="18" t="inlineStr">
        <is>
          <t>coalossal-1</t>
        </is>
      </c>
      <c r="AO2700" s="18" t="inlineStr">
        <is>
          <t>pokemon</t>
        </is>
      </c>
      <c r="AP2700" s="18" t="inlineStr">
        <is>
          <t>natural; wild</t>
        </is>
      </c>
      <c r="AQ2700" s="18" t="inlineStr">
        <is>
          <t>{"biomes":["#cobblemon:is_cave","#cobblemon:is_mountain"],"neededNearbyBlocks":["minecraft:coal_ore"]}</t>
        </is>
      </c>
      <c r="AR2700" s="18" t="inlineStr"/>
      <c r="AS2700" s="18" t="inlineStr"/>
      <c r="AT2700" s="19" t="inlineStr"/>
    </row>
    <row r="2701" ht="32" customHeight="1">
      <c r="A2701" s="18" t="inlineStr">
        <is>
          <t>0839_coalossal.json::coalossal-2::002</t>
        </is>
      </c>
      <c r="B2701" s="19" t="inlineStr">
        <is>
          <t>사용</t>
        </is>
      </c>
      <c r="C2701" s="18">
        <f>IF(OR(B2701&lt;&gt;AK2701,M2701&lt;&gt;L2701,O2701&lt;&gt;"",Q2701&lt;&gt;"",V2701&lt;&gt;1,Y2701&lt;&gt;"",AT2701&lt;&gt;""),"수정","원본")</f>
        <v/>
      </c>
      <c r="D2701" s="18" t="n">
        <v>839</v>
      </c>
      <c r="E2701" s="18" t="inlineStr">
        <is>
          <t>석탄산</t>
        </is>
      </c>
      <c r="F2701" s="18" t="inlineStr">
        <is>
          <t>coalossal</t>
        </is>
      </c>
      <c r="G2701" s="18" t="inlineStr">
        <is>
          <t>coalossal</t>
        </is>
      </c>
      <c r="H2701" s="18" t="inlineStr"/>
      <c r="I2701" s="18" t="n">
        <v>8</v>
      </c>
      <c r="J2701" s="18" t="n"/>
      <c r="K2701" s="18" t="n">
        <v>8</v>
      </c>
      <c r="L2701" s="18" t="inlineStr">
        <is>
          <t>cobbleventure:generation_8</t>
        </is>
      </c>
      <c r="M2701" s="19" t="inlineStr">
        <is>
          <t>cobbleventure:generation_8</t>
        </is>
      </c>
      <c r="N2701" s="18" t="inlineStr"/>
      <c r="O2701" s="19" t="inlineStr"/>
      <c r="P2701" s="18" t="inlineStr">
        <is>
          <t>#cobblemon:is_cave; #cobblemon:is_mountain</t>
        </is>
      </c>
      <c r="Q2701" s="19" t="inlineStr"/>
      <c r="R2701" s="18">
        <f>IF(Q2701="",P2701,Q2701)</f>
        <v/>
      </c>
      <c r="S2701" s="18" t="inlineStr"/>
      <c r="T2701" s="18" t="inlineStr">
        <is>
          <t>ultra-rare</t>
        </is>
      </c>
      <c r="U2701" s="20" t="n">
        <v>1.5</v>
      </c>
      <c r="V2701" s="21" t="n">
        <v>1</v>
      </c>
      <c r="W2701" s="20">
        <f>IF(OR(U2701="",V2701=""),U2701,U2701*V2701)</f>
        <v/>
      </c>
      <c r="X2701" s="18" t="inlineStr">
        <is>
          <t>35-47</t>
        </is>
      </c>
      <c r="Y2701" s="19" t="inlineStr"/>
      <c r="Z2701" s="18">
        <f>IF(Y2701="",X2701,Y2701)</f>
        <v/>
      </c>
      <c r="AA2701" s="18" t="inlineStr">
        <is>
          <t>grounded</t>
        </is>
      </c>
      <c r="AB2701" s="18" t="inlineStr"/>
      <c r="AC2701" s="18" t="inlineStr"/>
      <c r="AD2701" s="18" t="inlineStr"/>
      <c r="AE2701" s="18" t="inlineStr"/>
      <c r="AF2701" s="18" t="inlineStr"/>
      <c r="AG2701" s="18" t="inlineStr"/>
      <c r="AH2701" s="18" t="inlineStr"/>
      <c r="AI2701" s="18" t="inlineStr"/>
      <c r="AJ2701" s="18" t="inlineStr">
        <is>
          <t>COBBLEVERSE 추가</t>
        </is>
      </c>
      <c r="AK2701" s="18" t="inlineStr">
        <is>
          <t>사용</t>
        </is>
      </c>
      <c r="AL2701" s="18" t="inlineStr">
        <is>
          <t>COBBLEVERSE 1.7.42 / DP v31</t>
        </is>
      </c>
      <c r="AM2701" s="18" t="inlineStr">
        <is>
          <t>data/cobblemon/spawn_pool_world/0839_coalossal.json</t>
        </is>
      </c>
      <c r="AN2701" s="18" t="inlineStr">
        <is>
          <t>coalossal-2</t>
        </is>
      </c>
      <c r="AO2701" s="18" t="inlineStr">
        <is>
          <t>pokemon</t>
        </is>
      </c>
      <c r="AP2701" s="18" t="inlineStr">
        <is>
          <t>natural; wild</t>
        </is>
      </c>
      <c r="AQ2701" s="18" t="inlineStr">
        <is>
          <t>{"biomes":["#cobblemon:is_cave","#cobblemon:is_mountain"]}</t>
        </is>
      </c>
      <c r="AR2701" s="18" t="inlineStr"/>
      <c r="AS2701" s="18" t="inlineStr"/>
      <c r="AT2701" s="19" t="inlineStr"/>
    </row>
    <row r="2702" ht="32" customHeight="1">
      <c r="A2702" s="18" t="inlineStr">
        <is>
          <t>0840_applin.json::applin-1::001</t>
        </is>
      </c>
      <c r="B2702" s="19" t="inlineStr">
        <is>
          <t>사용</t>
        </is>
      </c>
      <c r="C2702" s="18">
        <f>IF(OR(B2702&lt;&gt;AK2702,M2702&lt;&gt;L2702,O2702&lt;&gt;"",Q2702&lt;&gt;"",V2702&lt;&gt;1,Y2702&lt;&gt;"",AT2702&lt;&gt;""),"수정","원본")</f>
        <v/>
      </c>
      <c r="D2702" s="18" t="n">
        <v>840</v>
      </c>
      <c r="E2702" s="18" t="inlineStr">
        <is>
          <t>과사삭벌레</t>
        </is>
      </c>
      <c r="F2702" s="18" t="inlineStr">
        <is>
          <t>applin</t>
        </is>
      </c>
      <c r="G2702" s="18" t="inlineStr">
        <is>
          <t>applin</t>
        </is>
      </c>
      <c r="H2702" s="18" t="inlineStr"/>
      <c r="I2702" s="18" t="n">
        <v>8</v>
      </c>
      <c r="J2702" s="18" t="n"/>
      <c r="K2702" s="18" t="n">
        <v>8</v>
      </c>
      <c r="L2702" s="18" t="inlineStr">
        <is>
          <t>cobbleventure:generation_8</t>
        </is>
      </c>
      <c r="M2702" s="19" t="inlineStr">
        <is>
          <t>cobbleventure:generation_8</t>
        </is>
      </c>
      <c r="N2702" s="18" t="inlineStr">
        <is>
          <t>region_01</t>
        </is>
      </c>
      <c r="O2702" s="19" t="inlineStr"/>
      <c r="P2702" s="18" t="inlineStr">
        <is>
          <t>#cobblemon:is_forest</t>
        </is>
      </c>
      <c r="Q2702" s="19" t="inlineStr"/>
      <c r="R2702" s="18">
        <f>IF(Q2702="",P2702,Q2702)</f>
        <v/>
      </c>
      <c r="S2702" s="18" t="inlineStr"/>
      <c r="T2702" s="18" t="inlineStr">
        <is>
          <t>uncommon</t>
        </is>
      </c>
      <c r="U2702" s="20" t="n">
        <v>6.5</v>
      </c>
      <c r="V2702" s="21" t="n">
        <v>1</v>
      </c>
      <c r="W2702" s="20">
        <f>IF(OR(U2702="",V2702=""),U2702,U2702*V2702)</f>
        <v/>
      </c>
      <c r="X2702" s="18" t="inlineStr">
        <is>
          <t>12-25</t>
        </is>
      </c>
      <c r="Y2702" s="19" t="inlineStr"/>
      <c r="Z2702" s="18">
        <f>IF(Y2702="",X2702,Y2702)</f>
        <v/>
      </c>
      <c r="AA2702" s="18" t="inlineStr"/>
      <c r="AB2702" s="18" t="inlineStr"/>
      <c r="AC2702" s="18" t="inlineStr"/>
      <c r="AD2702" s="18" t="inlineStr"/>
      <c r="AE2702" s="18" t="inlineStr"/>
      <c r="AF2702" s="18" t="inlineStr">
        <is>
          <t>True</t>
        </is>
      </c>
      <c r="AG2702" s="18" t="inlineStr"/>
      <c r="AH2702" s="18" t="inlineStr"/>
      <c r="AI2702" s="18" t="inlineStr">
        <is>
          <t>{"spawn":{"context":"grounded"}}</t>
        </is>
      </c>
      <c r="AJ2702" s="18" t="inlineStr">
        <is>
          <t>COBBLEVERSE 추가</t>
        </is>
      </c>
      <c r="AK2702" s="18" t="inlineStr">
        <is>
          <t>사용</t>
        </is>
      </c>
      <c r="AL2702" s="18" t="inlineStr">
        <is>
          <t>COBBLEVERSE 1.7.42 / DP v31</t>
        </is>
      </c>
      <c r="AM2702" s="18" t="inlineStr">
        <is>
          <t>data/cobblemon/spawn_pool_world/0840_applin.json</t>
        </is>
      </c>
      <c r="AN2702" s="18" t="inlineStr">
        <is>
          <t>applin-1</t>
        </is>
      </c>
      <c r="AO2702" s="18" t="inlineStr">
        <is>
          <t>pokemon</t>
        </is>
      </c>
      <c r="AP2702" s="18" t="inlineStr">
        <is>
          <t>natural</t>
        </is>
      </c>
      <c r="AQ2702" s="18" t="inlineStr">
        <is>
          <t>{"biomes":["#cobblemon:is_forest"],"canSeeSky":true}</t>
        </is>
      </c>
      <c r="AR2702" s="18" t="inlineStr"/>
      <c r="AS2702" s="18" t="inlineStr"/>
      <c r="AT2702" s="19" t="inlineStr"/>
    </row>
    <row r="2703" ht="32" customHeight="1">
      <c r="A2703" s="18" t="inlineStr">
        <is>
          <t>0841_flapple.json::flapple-1::001</t>
        </is>
      </c>
      <c r="B2703" s="19" t="inlineStr">
        <is>
          <t>사용</t>
        </is>
      </c>
      <c r="C2703" s="18">
        <f>IF(OR(B2703&lt;&gt;AK2703,M2703&lt;&gt;L2703,O2703&lt;&gt;"",Q2703&lt;&gt;"",V2703&lt;&gt;1,Y2703&lt;&gt;"",AT2703&lt;&gt;""),"수정","원본")</f>
        <v/>
      </c>
      <c r="D2703" s="18" t="n">
        <v>841</v>
      </c>
      <c r="E2703" s="18" t="inlineStr">
        <is>
          <t>애프룡</t>
        </is>
      </c>
      <c r="F2703" s="18" t="inlineStr">
        <is>
          <t>flapple</t>
        </is>
      </c>
      <c r="G2703" s="18" t="inlineStr">
        <is>
          <t>flapple</t>
        </is>
      </c>
      <c r="H2703" s="18" t="inlineStr"/>
      <c r="I2703" s="18" t="n">
        <v>8</v>
      </c>
      <c r="J2703" s="18" t="n"/>
      <c r="K2703" s="18" t="n">
        <v>8</v>
      </c>
      <c r="L2703" s="18" t="inlineStr">
        <is>
          <t>cobbleventure:generation_8</t>
        </is>
      </c>
      <c r="M2703" s="19" t="inlineStr">
        <is>
          <t>cobbleventure:generation_8</t>
        </is>
      </c>
      <c r="N2703" s="18" t="inlineStr">
        <is>
          <t>region_01</t>
        </is>
      </c>
      <c r="O2703" s="19" t="inlineStr"/>
      <c r="P2703" s="18" t="inlineStr">
        <is>
          <t>#cobblemon:is_forest</t>
        </is>
      </c>
      <c r="Q2703" s="19" t="inlineStr"/>
      <c r="R2703" s="18">
        <f>IF(Q2703="",P2703,Q2703)</f>
        <v/>
      </c>
      <c r="S2703" s="18" t="inlineStr"/>
      <c r="T2703" s="18" t="inlineStr">
        <is>
          <t>rare</t>
        </is>
      </c>
      <c r="U2703" s="20" t="n">
        <v>1.5</v>
      </c>
      <c r="V2703" s="21" t="n">
        <v>1</v>
      </c>
      <c r="W2703" s="20">
        <f>IF(OR(U2703="",V2703=""),U2703,U2703*V2703)</f>
        <v/>
      </c>
      <c r="X2703" s="18" t="inlineStr">
        <is>
          <t>37-52</t>
        </is>
      </c>
      <c r="Y2703" s="19" t="inlineStr"/>
      <c r="Z2703" s="18">
        <f>IF(Y2703="",X2703,Y2703)</f>
        <v/>
      </c>
      <c r="AA2703" s="18" t="inlineStr"/>
      <c r="AB2703" s="18" t="inlineStr"/>
      <c r="AC2703" s="18" t="inlineStr"/>
      <c r="AD2703" s="18" t="inlineStr"/>
      <c r="AE2703" s="18" t="inlineStr"/>
      <c r="AF2703" s="18" t="inlineStr">
        <is>
          <t>True</t>
        </is>
      </c>
      <c r="AG2703" s="18" t="inlineStr"/>
      <c r="AH2703" s="18" t="inlineStr"/>
      <c r="AI2703" s="18" t="inlineStr">
        <is>
          <t>{"spawn":{"context":"grounded"}}</t>
        </is>
      </c>
      <c r="AJ2703" s="18" t="inlineStr">
        <is>
          <t>COBBLEVERSE 추가</t>
        </is>
      </c>
      <c r="AK2703" s="18" t="inlineStr">
        <is>
          <t>사용</t>
        </is>
      </c>
      <c r="AL2703" s="18" t="inlineStr">
        <is>
          <t>COBBLEVERSE 1.7.42 / DP v31</t>
        </is>
      </c>
      <c r="AM2703" s="18" t="inlineStr">
        <is>
          <t>data/cobblemon/spawn_pool_world/0841_flapple.json</t>
        </is>
      </c>
      <c r="AN2703" s="18" t="inlineStr">
        <is>
          <t>flapple-1</t>
        </is>
      </c>
      <c r="AO2703" s="18" t="inlineStr">
        <is>
          <t>pokemon</t>
        </is>
      </c>
      <c r="AP2703" s="18" t="inlineStr">
        <is>
          <t>natural</t>
        </is>
      </c>
      <c r="AQ2703" s="18" t="inlineStr">
        <is>
          <t>{"biomes":["#cobblemon:is_forest"],"canSeeSky":true}</t>
        </is>
      </c>
      <c r="AR2703" s="18" t="inlineStr"/>
      <c r="AS2703" s="18" t="inlineStr"/>
      <c r="AT2703" s="19" t="inlineStr"/>
    </row>
    <row r="2704" ht="32" customHeight="1">
      <c r="A2704" s="18" t="inlineStr">
        <is>
          <t>0842_appletun.json::appletun-1::001</t>
        </is>
      </c>
      <c r="B2704" s="19" t="inlineStr">
        <is>
          <t>사용</t>
        </is>
      </c>
      <c r="C2704" s="18">
        <f>IF(OR(B2704&lt;&gt;AK2704,M2704&lt;&gt;L2704,O2704&lt;&gt;"",Q2704&lt;&gt;"",V2704&lt;&gt;1,Y2704&lt;&gt;"",AT2704&lt;&gt;""),"수정","원본")</f>
        <v/>
      </c>
      <c r="D2704" s="18" t="n">
        <v>842</v>
      </c>
      <c r="E2704" s="18" t="inlineStr">
        <is>
          <t>단지래플</t>
        </is>
      </c>
      <c r="F2704" s="18" t="inlineStr">
        <is>
          <t>appletun</t>
        </is>
      </c>
      <c r="G2704" s="18" t="inlineStr">
        <is>
          <t>appletun</t>
        </is>
      </c>
      <c r="H2704" s="18" t="inlineStr"/>
      <c r="I2704" s="18" t="n">
        <v>8</v>
      </c>
      <c r="J2704" s="18" t="n"/>
      <c r="K2704" s="18" t="n">
        <v>8</v>
      </c>
      <c r="L2704" s="18" t="inlineStr">
        <is>
          <t>cobbleventure:generation_8</t>
        </is>
      </c>
      <c r="M2704" s="19" t="inlineStr">
        <is>
          <t>cobbleventure:generation_8</t>
        </is>
      </c>
      <c r="N2704" s="18" t="inlineStr">
        <is>
          <t>region_01</t>
        </is>
      </c>
      <c r="O2704" s="19" t="inlineStr"/>
      <c r="P2704" s="18" t="inlineStr">
        <is>
          <t>#cobblemon:is_forest</t>
        </is>
      </c>
      <c r="Q2704" s="19" t="inlineStr"/>
      <c r="R2704" s="18">
        <f>IF(Q2704="",P2704,Q2704)</f>
        <v/>
      </c>
      <c r="S2704" s="18" t="inlineStr"/>
      <c r="T2704" s="18" t="inlineStr">
        <is>
          <t>rare</t>
        </is>
      </c>
      <c r="U2704" s="20" t="n">
        <v>1.5</v>
      </c>
      <c r="V2704" s="21" t="n">
        <v>1</v>
      </c>
      <c r="W2704" s="20">
        <f>IF(OR(U2704="",V2704=""),U2704,U2704*V2704)</f>
        <v/>
      </c>
      <c r="X2704" s="18" t="inlineStr">
        <is>
          <t>36-50</t>
        </is>
      </c>
      <c r="Y2704" s="19" t="inlineStr"/>
      <c r="Z2704" s="18">
        <f>IF(Y2704="",X2704,Y2704)</f>
        <v/>
      </c>
      <c r="AA2704" s="18" t="inlineStr"/>
      <c r="AB2704" s="18" t="inlineStr"/>
      <c r="AC2704" s="18" t="inlineStr"/>
      <c r="AD2704" s="18" t="inlineStr"/>
      <c r="AE2704" s="18" t="inlineStr"/>
      <c r="AF2704" s="18" t="inlineStr">
        <is>
          <t>True</t>
        </is>
      </c>
      <c r="AG2704" s="18" t="inlineStr"/>
      <c r="AH2704" s="18" t="inlineStr"/>
      <c r="AI2704" s="18" t="inlineStr">
        <is>
          <t>{"spawn":{"context":"grounded"}}</t>
        </is>
      </c>
      <c r="AJ2704" s="18" t="inlineStr">
        <is>
          <t>COBBLEVERSE 추가</t>
        </is>
      </c>
      <c r="AK2704" s="18" t="inlineStr">
        <is>
          <t>사용</t>
        </is>
      </c>
      <c r="AL2704" s="18" t="inlineStr">
        <is>
          <t>COBBLEVERSE 1.7.42 / DP v31</t>
        </is>
      </c>
      <c r="AM2704" s="18" t="inlineStr">
        <is>
          <t>data/cobblemon/spawn_pool_world/0842_appletun.json</t>
        </is>
      </c>
      <c r="AN2704" s="18" t="inlineStr">
        <is>
          <t>appletun-1</t>
        </is>
      </c>
      <c r="AO2704" s="18" t="inlineStr">
        <is>
          <t>pokemon</t>
        </is>
      </c>
      <c r="AP2704" s="18" t="inlineStr">
        <is>
          <t>natural</t>
        </is>
      </c>
      <c r="AQ2704" s="18" t="inlineStr">
        <is>
          <t>{"biomes":["#cobblemon:is_forest"],"canSeeSky":true}</t>
        </is>
      </c>
      <c r="AR2704" s="18" t="inlineStr"/>
      <c r="AS2704" s="18" t="inlineStr"/>
      <c r="AT2704" s="19" t="inlineStr"/>
    </row>
    <row r="2705" ht="32" customHeight="1">
      <c r="A2705" s="18" t="inlineStr">
        <is>
          <t>0843_silicobra.json::silicobra-1::001</t>
        </is>
      </c>
      <c r="B2705" s="19" t="inlineStr">
        <is>
          <t>사용</t>
        </is>
      </c>
      <c r="C2705" s="18">
        <f>IF(OR(B2705&lt;&gt;AK2705,M2705&lt;&gt;L2705,O2705&lt;&gt;"",Q2705&lt;&gt;"",V2705&lt;&gt;1,Y2705&lt;&gt;"",AT2705&lt;&gt;""),"수정","원본")</f>
        <v/>
      </c>
      <c r="D2705" s="18" t="n">
        <v>843</v>
      </c>
      <c r="E2705" s="18" t="inlineStr">
        <is>
          <t>모래뱀</t>
        </is>
      </c>
      <c r="F2705" s="18" t="inlineStr">
        <is>
          <t>silicobra</t>
        </is>
      </c>
      <c r="G2705" s="18" t="inlineStr">
        <is>
          <t>silicobra</t>
        </is>
      </c>
      <c r="H2705" s="18" t="inlineStr"/>
      <c r="I2705" s="18" t="n">
        <v>8</v>
      </c>
      <c r="J2705" s="18" t="n"/>
      <c r="K2705" s="18" t="n">
        <v>8</v>
      </c>
      <c r="L2705" s="18" t="inlineStr">
        <is>
          <t>cobbleventure:generation_8</t>
        </is>
      </c>
      <c r="M2705" s="19" t="inlineStr">
        <is>
          <t>cobbleventure:generation_8</t>
        </is>
      </c>
      <c r="N2705" s="18" t="inlineStr">
        <is>
          <t>region_02</t>
        </is>
      </c>
      <c r="O2705" s="19" t="inlineStr"/>
      <c r="P2705" s="18" t="inlineStr">
        <is>
          <t>#cobblemon:is_desert</t>
        </is>
      </c>
      <c r="Q2705" s="19" t="inlineStr"/>
      <c r="R2705" s="18">
        <f>IF(Q2705="",P2705,Q2705)</f>
        <v/>
      </c>
      <c r="S2705" s="18" t="inlineStr"/>
      <c r="T2705" s="18" t="inlineStr">
        <is>
          <t>common</t>
        </is>
      </c>
      <c r="U2705" s="20" t="n">
        <v>9</v>
      </c>
      <c r="V2705" s="21" t="n">
        <v>1</v>
      </c>
      <c r="W2705" s="20">
        <f>IF(OR(U2705="",V2705=""),U2705,U2705*V2705)</f>
        <v/>
      </c>
      <c r="X2705" s="18" t="inlineStr">
        <is>
          <t>7-32</t>
        </is>
      </c>
      <c r="Y2705" s="19" t="inlineStr"/>
      <c r="Z2705" s="18">
        <f>IF(Y2705="",X2705,Y2705)</f>
        <v/>
      </c>
      <c r="AA2705" s="18" t="inlineStr">
        <is>
          <t>grounded</t>
        </is>
      </c>
      <c r="AB2705" s="18" t="inlineStr"/>
      <c r="AC2705" s="18" t="inlineStr"/>
      <c r="AD2705" s="18" t="inlineStr"/>
      <c r="AE2705" s="18" t="inlineStr">
        <is>
          <t>sky 8-15</t>
        </is>
      </c>
      <c r="AF2705" s="18" t="inlineStr"/>
      <c r="AG2705" s="18" t="inlineStr"/>
      <c r="AH2705" s="18" t="inlineStr"/>
      <c r="AI2705" s="18" t="inlineStr"/>
      <c r="AJ2705" s="18" t="inlineStr">
        <is>
          <t>Cobblemon 동일</t>
        </is>
      </c>
      <c r="AK2705" s="18" t="inlineStr">
        <is>
          <t>사용</t>
        </is>
      </c>
      <c r="AL2705" s="18" t="inlineStr">
        <is>
          <t>COBBLEVERSE 1.7.42 / DP v31</t>
        </is>
      </c>
      <c r="AM2705" s="18" t="inlineStr">
        <is>
          <t>data/cobblemon/spawn_pool_world/0843_silicobra.json</t>
        </is>
      </c>
      <c r="AN2705" s="18" t="inlineStr">
        <is>
          <t>silicobra-1</t>
        </is>
      </c>
      <c r="AO2705" s="18" t="inlineStr">
        <is>
          <t>pokemon</t>
        </is>
      </c>
      <c r="AP2705" s="18" t="inlineStr">
        <is>
          <t>natural; wild</t>
        </is>
      </c>
      <c r="AQ2705" s="18" t="inlineStr">
        <is>
          <t>{"biomes":["#cobblemon:is_desert"],"maxSkyLight":15,"minSkyLight":8}</t>
        </is>
      </c>
      <c r="AR2705" s="18" t="inlineStr"/>
      <c r="AS2705" s="18" t="inlineStr"/>
      <c r="AT2705" s="19" t="inlineStr"/>
    </row>
    <row r="2706" ht="32" customHeight="1">
      <c r="A2706" s="18" t="inlineStr">
        <is>
          <t>0844_sandaconda.json::sandaconda-1::001</t>
        </is>
      </c>
      <c r="B2706" s="19" t="inlineStr">
        <is>
          <t>사용</t>
        </is>
      </c>
      <c r="C2706" s="18">
        <f>IF(OR(B2706&lt;&gt;AK2706,M2706&lt;&gt;L2706,O2706&lt;&gt;"",Q2706&lt;&gt;"",V2706&lt;&gt;1,Y2706&lt;&gt;"",AT2706&lt;&gt;""),"수정","원본")</f>
        <v/>
      </c>
      <c r="D2706" s="18" t="n">
        <v>844</v>
      </c>
      <c r="E2706" s="18" t="inlineStr">
        <is>
          <t>사다이사</t>
        </is>
      </c>
      <c r="F2706" s="18" t="inlineStr">
        <is>
          <t>sandaconda</t>
        </is>
      </c>
      <c r="G2706" s="18" t="inlineStr">
        <is>
          <t>sandaconda</t>
        </is>
      </c>
      <c r="H2706" s="18" t="inlineStr"/>
      <c r="I2706" s="18" t="n">
        <v>8</v>
      </c>
      <c r="J2706" s="18" t="n"/>
      <c r="K2706" s="18" t="n">
        <v>8</v>
      </c>
      <c r="L2706" s="18" t="inlineStr">
        <is>
          <t>cobbleventure:generation_8</t>
        </is>
      </c>
      <c r="M2706" s="19" t="inlineStr">
        <is>
          <t>cobbleventure:generation_8</t>
        </is>
      </c>
      <c r="N2706" s="18" t="inlineStr">
        <is>
          <t>region_02</t>
        </is>
      </c>
      <c r="O2706" s="19" t="inlineStr"/>
      <c r="P2706" s="18" t="inlineStr">
        <is>
          <t>#cobblemon:is_desert</t>
        </is>
      </c>
      <c r="Q2706" s="19" t="inlineStr"/>
      <c r="R2706" s="18">
        <f>IF(Q2706="",P2706,Q2706)</f>
        <v/>
      </c>
      <c r="S2706" s="18" t="inlineStr"/>
      <c r="T2706" s="18" t="inlineStr">
        <is>
          <t>common</t>
        </is>
      </c>
      <c r="U2706" s="20" t="n">
        <v>1</v>
      </c>
      <c r="V2706" s="21" t="n">
        <v>1</v>
      </c>
      <c r="W2706" s="20">
        <f>IF(OR(U2706="",V2706=""),U2706,U2706*V2706)</f>
        <v/>
      </c>
      <c r="X2706" s="18" t="inlineStr">
        <is>
          <t>36-51</t>
        </is>
      </c>
      <c r="Y2706" s="19" t="inlineStr"/>
      <c r="Z2706" s="18">
        <f>IF(Y2706="",X2706,Y2706)</f>
        <v/>
      </c>
      <c r="AA2706" s="18" t="inlineStr">
        <is>
          <t>grounded</t>
        </is>
      </c>
      <c r="AB2706" s="18" t="inlineStr"/>
      <c r="AC2706" s="18" t="inlineStr"/>
      <c r="AD2706" s="18" t="inlineStr"/>
      <c r="AE2706" s="18" t="inlineStr">
        <is>
          <t>sky 8-15</t>
        </is>
      </c>
      <c r="AF2706" s="18" t="inlineStr"/>
      <c r="AG2706" s="18" t="inlineStr"/>
      <c r="AH2706" s="18" t="inlineStr"/>
      <c r="AI2706" s="18" t="inlineStr"/>
      <c r="AJ2706" s="18" t="inlineStr">
        <is>
          <t>Cobblemon 동일</t>
        </is>
      </c>
      <c r="AK2706" s="18" t="inlineStr">
        <is>
          <t>사용</t>
        </is>
      </c>
      <c r="AL2706" s="18" t="inlineStr">
        <is>
          <t>COBBLEVERSE 1.7.42 / DP v31</t>
        </is>
      </c>
      <c r="AM2706" s="18" t="inlineStr">
        <is>
          <t>data/cobblemon/spawn_pool_world/0844_sandaconda.json</t>
        </is>
      </c>
      <c r="AN2706" s="18" t="inlineStr">
        <is>
          <t>sandaconda-1</t>
        </is>
      </c>
      <c r="AO2706" s="18" t="inlineStr">
        <is>
          <t>pokemon</t>
        </is>
      </c>
      <c r="AP2706" s="18" t="inlineStr">
        <is>
          <t>natural; wild</t>
        </is>
      </c>
      <c r="AQ2706" s="18" t="inlineStr">
        <is>
          <t>{"biomes":["#cobblemon:is_desert"],"maxSkyLight":15,"minSkyLight":8}</t>
        </is>
      </c>
      <c r="AR2706" s="18" t="inlineStr"/>
      <c r="AS2706" s="18" t="inlineStr"/>
      <c r="AT2706" s="19" t="inlineStr"/>
    </row>
    <row r="2707" ht="32" customHeight="1">
      <c r="A2707" s="18" t="inlineStr">
        <is>
          <t>0845_cramorant.json::cramorant-1::001</t>
        </is>
      </c>
      <c r="B2707" s="19" t="inlineStr">
        <is>
          <t>사용</t>
        </is>
      </c>
      <c r="C2707" s="18">
        <f>IF(OR(B2707&lt;&gt;AK2707,M2707&lt;&gt;L2707,O2707&lt;&gt;"",Q2707&lt;&gt;"",V2707&lt;&gt;1,Y2707&lt;&gt;"",AT2707&lt;&gt;""),"수정","원본")</f>
        <v/>
      </c>
      <c r="D2707" s="18" t="n">
        <v>845</v>
      </c>
      <c r="E2707" s="18" t="inlineStr">
        <is>
          <t>윽우지</t>
        </is>
      </c>
      <c r="F2707" s="18" t="inlineStr">
        <is>
          <t>cramorant</t>
        </is>
      </c>
      <c r="G2707" s="18" t="inlineStr">
        <is>
          <t>cramorant</t>
        </is>
      </c>
      <c r="H2707" s="18" t="inlineStr"/>
      <c r="I2707" s="18" t="n">
        <v>8</v>
      </c>
      <c r="J2707" s="18" t="n"/>
      <c r="K2707" s="18" t="n">
        <v>8</v>
      </c>
      <c r="L2707" s="18" t="inlineStr">
        <is>
          <t>cobbleventure:generation_8</t>
        </is>
      </c>
      <c r="M2707" s="19" t="inlineStr">
        <is>
          <t>cobbleventure:generation_8</t>
        </is>
      </c>
      <c r="N2707" s="18" t="inlineStr"/>
      <c r="O2707" s="19" t="inlineStr"/>
      <c r="P2707" s="18" t="inlineStr">
        <is>
          <t>#cobblemon:is_coast; #cobblemon:is_island; #cobblemon:is_sky</t>
        </is>
      </c>
      <c r="Q2707" s="19" t="inlineStr"/>
      <c r="R2707" s="18">
        <f>IF(Q2707="",P2707,Q2707)</f>
        <v/>
      </c>
      <c r="S2707" s="18" t="inlineStr">
        <is>
          <t>#cobblemon:is_freezing</t>
        </is>
      </c>
      <c r="T2707" s="18" t="inlineStr">
        <is>
          <t>uncommon</t>
        </is>
      </c>
      <c r="U2707" s="20" t="n">
        <v>10</v>
      </c>
      <c r="V2707" s="21" t="n">
        <v>1</v>
      </c>
      <c r="W2707" s="20">
        <f>IF(OR(U2707="",V2707=""),U2707,U2707*V2707)</f>
        <v/>
      </c>
      <c r="X2707" s="18" t="inlineStr">
        <is>
          <t>23-48</t>
        </is>
      </c>
      <c r="Y2707" s="19" t="inlineStr"/>
      <c r="Z2707" s="18">
        <f>IF(Y2707="",X2707,Y2707)</f>
        <v/>
      </c>
      <c r="AA2707" s="18" t="inlineStr">
        <is>
          <t>grounded</t>
        </is>
      </c>
      <c r="AB2707" s="18" t="inlineStr"/>
      <c r="AC2707" s="18" t="inlineStr"/>
      <c r="AD2707" s="18" t="inlineStr"/>
      <c r="AE2707" s="18" t="inlineStr">
        <is>
          <t>sky 8-15</t>
        </is>
      </c>
      <c r="AF2707" s="18" t="inlineStr"/>
      <c r="AG2707" s="18" t="inlineStr"/>
      <c r="AH2707" s="18" t="inlineStr"/>
      <c r="AI2707" s="18" t="inlineStr"/>
      <c r="AJ2707" s="18" t="inlineStr">
        <is>
          <t>Cobblemon 동일</t>
        </is>
      </c>
      <c r="AK2707" s="18" t="inlineStr">
        <is>
          <t>사용</t>
        </is>
      </c>
      <c r="AL2707" s="18" t="inlineStr">
        <is>
          <t>COBBLEVERSE 1.7.42 / DP v31</t>
        </is>
      </c>
      <c r="AM2707" s="18" t="inlineStr">
        <is>
          <t>data/cobblemon/spawn_pool_world/0845_cramorant.json</t>
        </is>
      </c>
      <c r="AN2707" s="18" t="inlineStr">
        <is>
          <t>cramorant-1</t>
        </is>
      </c>
      <c r="AO2707" s="18" t="inlineStr">
        <is>
          <t>pokemon</t>
        </is>
      </c>
      <c r="AP2707" s="18" t="inlineStr"/>
      <c r="AQ2707" s="18" t="inlineStr">
        <is>
          <t>{"biomes":["#cobblemon:is_coast","#cobblemon:is_island","#cobblemon:is_sky"],"maxSkyLight":15,"minSkyLight":8}</t>
        </is>
      </c>
      <c r="AR2707" s="18" t="inlineStr">
        <is>
          <t>{"biomes":["#cobblemon:is_freezing"]}</t>
        </is>
      </c>
      <c r="AS2707" s="18" t="inlineStr">
        <is>
          <t>{"weightMultiplier":{"condition":{"timeRange":"night"},"multiplier":0.25}}</t>
        </is>
      </c>
      <c r="AT2707" s="19" t="inlineStr"/>
    </row>
    <row r="2708" ht="32" customHeight="1">
      <c r="A2708" s="18" t="inlineStr">
        <is>
          <t>0845_cramorant.json::cramorant-2::002</t>
        </is>
      </c>
      <c r="B2708" s="19" t="inlineStr">
        <is>
          <t>사용</t>
        </is>
      </c>
      <c r="C2708" s="18">
        <f>IF(OR(B2708&lt;&gt;AK2708,M2708&lt;&gt;L2708,O2708&lt;&gt;"",Q2708&lt;&gt;"",V2708&lt;&gt;1,Y2708&lt;&gt;"",AT2708&lt;&gt;""),"수정","원본")</f>
        <v/>
      </c>
      <c r="D2708" s="18" t="n">
        <v>845</v>
      </c>
      <c r="E2708" s="18" t="inlineStr">
        <is>
          <t>윽우지</t>
        </is>
      </c>
      <c r="F2708" s="18" t="inlineStr">
        <is>
          <t>cramorant</t>
        </is>
      </c>
      <c r="G2708" s="18" t="inlineStr">
        <is>
          <t>cramorant</t>
        </is>
      </c>
      <c r="H2708" s="18" t="inlineStr"/>
      <c r="I2708" s="18" t="n">
        <v>8</v>
      </c>
      <c r="J2708" s="18" t="n"/>
      <c r="K2708" s="18" t="n">
        <v>8</v>
      </c>
      <c r="L2708" s="18" t="inlineStr">
        <is>
          <t>cobbleventure:generation_8</t>
        </is>
      </c>
      <c r="M2708" s="19" t="inlineStr">
        <is>
          <t>cobbleventure:generation_8</t>
        </is>
      </c>
      <c r="N2708" s="18" t="inlineStr"/>
      <c r="O2708" s="19" t="inlineStr"/>
      <c r="P2708" s="18" t="inlineStr">
        <is>
          <t>#cobblemon:is_coast; #cobblemon:is_island; #cobblemon:is_sky</t>
        </is>
      </c>
      <c r="Q2708" s="19" t="inlineStr"/>
      <c r="R2708" s="18">
        <f>IF(Q2708="",P2708,Q2708)</f>
        <v/>
      </c>
      <c r="S2708" s="18" t="inlineStr">
        <is>
          <t>#cobblemon:is_freezing</t>
        </is>
      </c>
      <c r="T2708" s="18" t="inlineStr">
        <is>
          <t>uncommon</t>
        </is>
      </c>
      <c r="U2708" s="20" t="n">
        <v>10</v>
      </c>
      <c r="V2708" s="21" t="n">
        <v>1</v>
      </c>
      <c r="W2708" s="20">
        <f>IF(OR(U2708="",V2708=""),U2708,U2708*V2708)</f>
        <v/>
      </c>
      <c r="X2708" s="18" t="inlineStr">
        <is>
          <t>23-48</t>
        </is>
      </c>
      <c r="Y2708" s="19" t="inlineStr"/>
      <c r="Z2708" s="18">
        <f>IF(Y2708="",X2708,Y2708)</f>
        <v/>
      </c>
      <c r="AA2708" s="18" t="inlineStr">
        <is>
          <t>surface</t>
        </is>
      </c>
      <c r="AB2708" s="18" t="inlineStr">
        <is>
          <t>day</t>
        </is>
      </c>
      <c r="AC2708" s="18" t="inlineStr"/>
      <c r="AD2708" s="18" t="inlineStr"/>
      <c r="AE2708" s="18" t="inlineStr">
        <is>
          <t>sky 8-15</t>
        </is>
      </c>
      <c r="AF2708" s="18" t="inlineStr"/>
      <c r="AG2708" s="18" t="inlineStr"/>
      <c r="AH2708" s="18" t="inlineStr"/>
      <c r="AI2708" s="18" t="inlineStr"/>
      <c r="AJ2708" s="18" t="inlineStr">
        <is>
          <t>Cobblemon 동일</t>
        </is>
      </c>
      <c r="AK2708" s="18" t="inlineStr">
        <is>
          <t>사용</t>
        </is>
      </c>
      <c r="AL2708" s="18" t="inlineStr">
        <is>
          <t>COBBLEVERSE 1.7.42 / DP v31</t>
        </is>
      </c>
      <c r="AM2708" s="18" t="inlineStr">
        <is>
          <t>data/cobblemon/spawn_pool_world/0845_cramorant.json</t>
        </is>
      </c>
      <c r="AN2708" s="18" t="inlineStr">
        <is>
          <t>cramorant-2</t>
        </is>
      </c>
      <c r="AO2708" s="18" t="inlineStr">
        <is>
          <t>pokemon</t>
        </is>
      </c>
      <c r="AP2708" s="18" t="inlineStr">
        <is>
          <t>water</t>
        </is>
      </c>
      <c r="AQ2708" s="18" t="inlineStr">
        <is>
          <t>{"biomes":["#cobblemon:is_coast","#cobblemon:is_island","#cobblemon:is_sky"],"maxSkyLight":15,"minSkyLight":8,"timeRange":"day"}</t>
        </is>
      </c>
      <c r="AR2708" s="18" t="inlineStr">
        <is>
          <t>{"biomes":["#cobblemon:is_freezing"]}</t>
        </is>
      </c>
      <c r="AS2708" s="18" t="inlineStr"/>
      <c r="AT2708" s="19" t="inlineStr"/>
    </row>
    <row r="2709" ht="32" customHeight="1">
      <c r="A2709" s="18" t="inlineStr">
        <is>
          <t>0845_cramorant.json::cramorant-4::003</t>
        </is>
      </c>
      <c r="B2709" s="19" t="inlineStr">
        <is>
          <t>사용</t>
        </is>
      </c>
      <c r="C2709" s="18">
        <f>IF(OR(B2709&lt;&gt;AK2709,M2709&lt;&gt;L2709,O2709&lt;&gt;"",Q2709&lt;&gt;"",V2709&lt;&gt;1,Y2709&lt;&gt;"",AT2709&lt;&gt;""),"수정","원본")</f>
        <v/>
      </c>
      <c r="D2709" s="18" t="n">
        <v>845</v>
      </c>
      <c r="E2709" s="18" t="inlineStr">
        <is>
          <t>윽우지</t>
        </is>
      </c>
      <c r="F2709" s="18" t="inlineStr">
        <is>
          <t>cramorant</t>
        </is>
      </c>
      <c r="G2709" s="18" t="inlineStr">
        <is>
          <t>cramorant</t>
        </is>
      </c>
      <c r="H2709" s="18" t="inlineStr"/>
      <c r="I2709" s="18" t="n">
        <v>8</v>
      </c>
      <c r="J2709" s="18" t="n"/>
      <c r="K2709" s="18" t="n">
        <v>8</v>
      </c>
      <c r="L2709" s="18" t="inlineStr">
        <is>
          <t>cobbleventure:generation_8</t>
        </is>
      </c>
      <c r="M2709" s="19" t="inlineStr">
        <is>
          <t>cobbleventure:generation_8</t>
        </is>
      </c>
      <c r="N2709" s="18" t="inlineStr"/>
      <c r="O2709" s="19" t="inlineStr"/>
      <c r="P2709" s="18" t="inlineStr">
        <is>
          <t>#cobblemon:is_coast; #cobblemon:is_ocean</t>
        </is>
      </c>
      <c r="Q2709" s="19" t="inlineStr"/>
      <c r="R2709" s="18">
        <f>IF(Q2709="",P2709,Q2709)</f>
        <v/>
      </c>
      <c r="S2709" s="18" t="inlineStr">
        <is>
          <t>#cobblemon:is_freezing</t>
        </is>
      </c>
      <c r="T2709" s="18" t="inlineStr">
        <is>
          <t>uncommon</t>
        </is>
      </c>
      <c r="U2709" s="20" t="n">
        <v>6</v>
      </c>
      <c r="V2709" s="21" t="n">
        <v>1</v>
      </c>
      <c r="W2709" s="20">
        <f>IF(OR(U2709="",V2709=""),U2709,U2709*V2709)</f>
        <v/>
      </c>
      <c r="X2709" s="18" t="inlineStr">
        <is>
          <t>23-48</t>
        </is>
      </c>
      <c r="Y2709" s="19" t="inlineStr"/>
      <c r="Z2709" s="18">
        <f>IF(Y2709="",X2709,Y2709)</f>
        <v/>
      </c>
      <c r="AA2709" s="18" t="inlineStr">
        <is>
          <t>fishing</t>
        </is>
      </c>
      <c r="AB2709" s="18" t="inlineStr">
        <is>
          <t>day</t>
        </is>
      </c>
      <c r="AC2709" s="18" t="inlineStr"/>
      <c r="AD2709" s="18" t="inlineStr"/>
      <c r="AE2709" s="18" t="inlineStr">
        <is>
          <t>sky 8-15</t>
        </is>
      </c>
      <c r="AF2709" s="18" t="inlineStr"/>
      <c r="AG2709" s="18" t="inlineStr"/>
      <c r="AH2709" s="18" t="inlineStr"/>
      <c r="AI2709" s="18" t="inlineStr"/>
      <c r="AJ2709" s="18" t="inlineStr">
        <is>
          <t>Cobblemon 동일</t>
        </is>
      </c>
      <c r="AK2709" s="18" t="inlineStr">
        <is>
          <t>사용</t>
        </is>
      </c>
      <c r="AL2709" s="18" t="inlineStr">
        <is>
          <t>COBBLEVERSE 1.7.42 / DP v31</t>
        </is>
      </c>
      <c r="AM2709" s="18" t="inlineStr">
        <is>
          <t>data/cobblemon/spawn_pool_world/0845_cramorant.json</t>
        </is>
      </c>
      <c r="AN2709" s="18" t="inlineStr">
        <is>
          <t>cramorant-4</t>
        </is>
      </c>
      <c r="AO2709" s="18" t="inlineStr">
        <is>
          <t>pokemon</t>
        </is>
      </c>
      <c r="AP2709" s="18" t="inlineStr"/>
      <c r="AQ2709" s="18" t="inlineStr">
        <is>
          <t>{"biomes":["#cobblemon:is_coast","#cobblemon:is_ocean"],"maxSkyLight":15,"minSkyLight":8,"timeRange":"day"}</t>
        </is>
      </c>
      <c r="AR2709" s="18" t="inlineStr">
        <is>
          <t>{"biomes":["#cobblemon:is_freezing"],"minLureLevel":1}</t>
        </is>
      </c>
      <c r="AS2709" s="18" t="inlineStr"/>
      <c r="AT2709" s="19" t="inlineStr"/>
    </row>
    <row r="2710" ht="32" customHeight="1">
      <c r="A2710" s="18" t="inlineStr">
        <is>
          <t>0845_cramorant.json::cramorant-5::004</t>
        </is>
      </c>
      <c r="B2710" s="19" t="inlineStr">
        <is>
          <t>사용</t>
        </is>
      </c>
      <c r="C2710" s="18">
        <f>IF(OR(B2710&lt;&gt;AK2710,M2710&lt;&gt;L2710,O2710&lt;&gt;"",Q2710&lt;&gt;"",V2710&lt;&gt;1,Y2710&lt;&gt;"",AT2710&lt;&gt;""),"수정","원본")</f>
        <v/>
      </c>
      <c r="D2710" s="18" t="n">
        <v>845</v>
      </c>
      <c r="E2710" s="18" t="inlineStr">
        <is>
          <t>윽우지</t>
        </is>
      </c>
      <c r="F2710" s="18" t="inlineStr">
        <is>
          <t>cramorant</t>
        </is>
      </c>
      <c r="G2710" s="18" t="inlineStr">
        <is>
          <t>cramorant</t>
        </is>
      </c>
      <c r="H2710" s="18" t="inlineStr"/>
      <c r="I2710" s="18" t="n">
        <v>8</v>
      </c>
      <c r="J2710" s="18" t="n"/>
      <c r="K2710" s="18" t="n">
        <v>8</v>
      </c>
      <c r="L2710" s="18" t="inlineStr">
        <is>
          <t>cobbleventure:generation_8</t>
        </is>
      </c>
      <c r="M2710" s="19" t="inlineStr">
        <is>
          <t>cobbleventure:generation_8</t>
        </is>
      </c>
      <c r="N2710" s="18" t="inlineStr"/>
      <c r="O2710" s="19" t="inlineStr"/>
      <c r="P2710" s="18" t="inlineStr">
        <is>
          <t>#cobblemon:is_coast; #cobblemon:is_ocean</t>
        </is>
      </c>
      <c r="Q2710" s="19" t="inlineStr"/>
      <c r="R2710" s="18">
        <f>IF(Q2710="",P2710,Q2710)</f>
        <v/>
      </c>
      <c r="S2710" s="18" t="inlineStr">
        <is>
          <t>#cobblemon:is_freezing</t>
        </is>
      </c>
      <c r="T2710" s="18" t="inlineStr">
        <is>
          <t>common</t>
        </is>
      </c>
      <c r="U2710" s="20" t="n">
        <v>2</v>
      </c>
      <c r="V2710" s="21" t="n">
        <v>1</v>
      </c>
      <c r="W2710" s="20">
        <f>IF(OR(U2710="",V2710=""),U2710,U2710*V2710)</f>
        <v/>
      </c>
      <c r="X2710" s="18" t="inlineStr">
        <is>
          <t>23-48</t>
        </is>
      </c>
      <c r="Y2710" s="19" t="inlineStr"/>
      <c r="Z2710" s="18">
        <f>IF(Y2710="",X2710,Y2710)</f>
        <v/>
      </c>
      <c r="AA2710" s="18" t="inlineStr">
        <is>
          <t>fishing</t>
        </is>
      </c>
      <c r="AB2710" s="18" t="inlineStr">
        <is>
          <t>day</t>
        </is>
      </c>
      <c r="AC2710" s="18" t="inlineStr"/>
      <c r="AD2710" s="18" t="inlineStr"/>
      <c r="AE2710" s="18" t="inlineStr">
        <is>
          <t>sky 8-15</t>
        </is>
      </c>
      <c r="AF2710" s="18" t="inlineStr"/>
      <c r="AG2710" s="18" t="inlineStr"/>
      <c r="AH2710" s="18" t="inlineStr"/>
      <c r="AI2710" s="18" t="inlineStr">
        <is>
          <t>{"fishing":{"minLureLevel":1}}</t>
        </is>
      </c>
      <c r="AJ2710" s="18" t="inlineStr">
        <is>
          <t>Cobblemon 동일</t>
        </is>
      </c>
      <c r="AK2710" s="18" t="inlineStr">
        <is>
          <t>사용</t>
        </is>
      </c>
      <c r="AL2710" s="18" t="inlineStr">
        <is>
          <t>COBBLEVERSE 1.7.42 / DP v31</t>
        </is>
      </c>
      <c r="AM2710" s="18" t="inlineStr">
        <is>
          <t>data/cobblemon/spawn_pool_world/0845_cramorant.json</t>
        </is>
      </c>
      <c r="AN2710" s="18" t="inlineStr">
        <is>
          <t>cramorant-5</t>
        </is>
      </c>
      <c r="AO2710" s="18" t="inlineStr">
        <is>
          <t>pokemon</t>
        </is>
      </c>
      <c r="AP2710" s="18" t="inlineStr"/>
      <c r="AQ2710" s="18" t="inlineStr">
        <is>
          <t>{"biomes":["#cobblemon:is_coast","#cobblemon:is_ocean"],"maxSkyLight":15,"minLureLevel":1,"minSkyLight":8,"timeRange":"day"}</t>
        </is>
      </c>
      <c r="AR2710" s="18" t="inlineStr">
        <is>
          <t>{"biomes":["#cobblemon:is_freezing"]}</t>
        </is>
      </c>
      <c r="AS2710" s="18" t="inlineStr">
        <is>
          <t>{"weightMultiplier":{"condition":{"minLureLevel":3},"multiplier":3.0}}</t>
        </is>
      </c>
      <c r="AT2710" s="19" t="inlineStr"/>
    </row>
    <row r="2711" ht="32" customHeight="1">
      <c r="A2711" s="18" t="inlineStr">
        <is>
          <t>0845_cramorant.json::cramorant-6::005</t>
        </is>
      </c>
      <c r="B2711" s="19" t="inlineStr">
        <is>
          <t>사용</t>
        </is>
      </c>
      <c r="C2711" s="18">
        <f>IF(OR(B2711&lt;&gt;AK2711,M2711&lt;&gt;L2711,O2711&lt;&gt;"",Q2711&lt;&gt;"",V2711&lt;&gt;1,Y2711&lt;&gt;"",AT2711&lt;&gt;""),"수정","원본")</f>
        <v/>
      </c>
      <c r="D2711" s="18" t="n">
        <v>845</v>
      </c>
      <c r="E2711" s="18" t="inlineStr">
        <is>
          <t>윽우지</t>
        </is>
      </c>
      <c r="F2711" s="18" t="inlineStr">
        <is>
          <t>cramorant</t>
        </is>
      </c>
      <c r="G2711" s="18" t="inlineStr">
        <is>
          <t>cramorant</t>
        </is>
      </c>
      <c r="H2711" s="18" t="inlineStr"/>
      <c r="I2711" s="18" t="n">
        <v>8</v>
      </c>
      <c r="J2711" s="18" t="n"/>
      <c r="K2711" s="18" t="n">
        <v>8</v>
      </c>
      <c r="L2711" s="18" t="inlineStr">
        <is>
          <t>cobbleventure:generation_8</t>
        </is>
      </c>
      <c r="M2711" s="19" t="inlineStr">
        <is>
          <t>cobbleventure:generation_8</t>
        </is>
      </c>
      <c r="N2711" s="18" t="inlineStr"/>
      <c r="O2711" s="19" t="inlineStr"/>
      <c r="P2711" s="18" t="inlineStr">
        <is>
          <t>#aether:is_aether</t>
        </is>
      </c>
      <c r="Q2711" s="19" t="inlineStr"/>
      <c r="R2711" s="18">
        <f>IF(Q2711="",P2711,Q2711)</f>
        <v/>
      </c>
      <c r="S2711" s="18" t="inlineStr"/>
      <c r="T2711" s="18" t="inlineStr">
        <is>
          <t>uncommon</t>
        </is>
      </c>
      <c r="U2711" s="20" t="n">
        <v>10</v>
      </c>
      <c r="V2711" s="21" t="n">
        <v>1</v>
      </c>
      <c r="W2711" s="20">
        <f>IF(OR(U2711="",V2711=""),U2711,U2711*V2711)</f>
        <v/>
      </c>
      <c r="X2711" s="18" t="inlineStr">
        <is>
          <t>23-48</t>
        </is>
      </c>
      <c r="Y2711" s="19" t="inlineStr"/>
      <c r="Z2711" s="18">
        <f>IF(Y2711="",X2711,Y2711)</f>
        <v/>
      </c>
      <c r="AA2711" s="18" t="inlineStr">
        <is>
          <t>grounded</t>
        </is>
      </c>
      <c r="AB2711" s="18" t="inlineStr"/>
      <c r="AC2711" s="18" t="inlineStr"/>
      <c r="AD2711" s="18" t="inlineStr"/>
      <c r="AE2711" s="18" t="inlineStr">
        <is>
          <t>sky 8-15</t>
        </is>
      </c>
      <c r="AF2711" s="18" t="inlineStr"/>
      <c r="AG2711" s="18" t="inlineStr"/>
      <c r="AH2711" s="18" t="inlineStr">
        <is>
          <t>주변=minecraft:water</t>
        </is>
      </c>
      <c r="AI2711" s="18" t="inlineStr"/>
      <c r="AJ2711" s="18" t="inlineStr">
        <is>
          <t>Cobblemon 동일</t>
        </is>
      </c>
      <c r="AK2711" s="18" t="inlineStr">
        <is>
          <t>사용</t>
        </is>
      </c>
      <c r="AL2711" s="18" t="inlineStr">
        <is>
          <t>COBBLEVERSE 1.7.42 / DP v31</t>
        </is>
      </c>
      <c r="AM2711" s="18" t="inlineStr">
        <is>
          <t>data/cobblemon/spawn_pool_world/0845_cramorant.json</t>
        </is>
      </c>
      <c r="AN2711" s="18" t="inlineStr">
        <is>
          <t>cramorant-6</t>
        </is>
      </c>
      <c r="AO2711" s="18" t="inlineStr">
        <is>
          <t>pokemon</t>
        </is>
      </c>
      <c r="AP2711" s="18" t="inlineStr"/>
      <c r="AQ2711" s="18" t="inlineStr">
        <is>
          <t>{"biomes":["#aether:is_aether"],"maxSkyLight":15,"minSkyLight":8,"neededNearbyBlocks":["minecraft:water"]}</t>
        </is>
      </c>
      <c r="AR2711" s="18" t="inlineStr"/>
      <c r="AS2711" s="18" t="inlineStr"/>
      <c r="AT2711" s="19" t="inlineStr"/>
    </row>
    <row r="2712" ht="32" customHeight="1">
      <c r="A2712" s="18" t="inlineStr">
        <is>
          <t>0845_cramorant.json::cramorant-7::006</t>
        </is>
      </c>
      <c r="B2712" s="19" t="inlineStr">
        <is>
          <t>사용</t>
        </is>
      </c>
      <c r="C2712" s="18">
        <f>IF(OR(B2712&lt;&gt;AK2712,M2712&lt;&gt;L2712,O2712&lt;&gt;"",Q2712&lt;&gt;"",V2712&lt;&gt;1,Y2712&lt;&gt;"",AT2712&lt;&gt;""),"수정","원본")</f>
        <v/>
      </c>
      <c r="D2712" s="18" t="n">
        <v>845</v>
      </c>
      <c r="E2712" s="18" t="inlineStr">
        <is>
          <t>윽우지</t>
        </is>
      </c>
      <c r="F2712" s="18" t="inlineStr">
        <is>
          <t>cramorant</t>
        </is>
      </c>
      <c r="G2712" s="18" t="inlineStr">
        <is>
          <t>cramorant</t>
        </is>
      </c>
      <c r="H2712" s="18" t="inlineStr"/>
      <c r="I2712" s="18" t="n">
        <v>8</v>
      </c>
      <c r="J2712" s="18" t="n"/>
      <c r="K2712" s="18" t="n">
        <v>8</v>
      </c>
      <c r="L2712" s="18" t="inlineStr">
        <is>
          <t>cobbleventure:generation_8</t>
        </is>
      </c>
      <c r="M2712" s="19" t="inlineStr">
        <is>
          <t>cobbleventure:generation_8</t>
        </is>
      </c>
      <c r="N2712" s="18" t="inlineStr"/>
      <c r="O2712" s="19" t="inlineStr"/>
      <c r="P2712" s="18" t="inlineStr">
        <is>
          <t>#aether:is_aether</t>
        </is>
      </c>
      <c r="Q2712" s="19" t="inlineStr"/>
      <c r="R2712" s="18">
        <f>IF(Q2712="",P2712,Q2712)</f>
        <v/>
      </c>
      <c r="S2712" s="18" t="inlineStr"/>
      <c r="T2712" s="18" t="inlineStr">
        <is>
          <t>uncommon</t>
        </is>
      </c>
      <c r="U2712" s="20" t="n">
        <v>10</v>
      </c>
      <c r="V2712" s="21" t="n">
        <v>1</v>
      </c>
      <c r="W2712" s="20">
        <f>IF(OR(U2712="",V2712=""),U2712,U2712*V2712)</f>
        <v/>
      </c>
      <c r="X2712" s="18" t="inlineStr">
        <is>
          <t>23-48</t>
        </is>
      </c>
      <c r="Y2712" s="19" t="inlineStr"/>
      <c r="Z2712" s="18">
        <f>IF(Y2712="",X2712,Y2712)</f>
        <v/>
      </c>
      <c r="AA2712" s="18" t="inlineStr">
        <is>
          <t>surface</t>
        </is>
      </c>
      <c r="AB2712" s="18" t="inlineStr"/>
      <c r="AC2712" s="18" t="inlineStr"/>
      <c r="AD2712" s="18" t="inlineStr"/>
      <c r="AE2712" s="18" t="inlineStr">
        <is>
          <t>sky 8-15</t>
        </is>
      </c>
      <c r="AF2712" s="18" t="inlineStr"/>
      <c r="AG2712" s="18" t="inlineStr"/>
      <c r="AH2712" s="18" t="inlineStr"/>
      <c r="AI2712" s="18" t="inlineStr"/>
      <c r="AJ2712" s="18" t="inlineStr">
        <is>
          <t>Cobblemon 동일</t>
        </is>
      </c>
      <c r="AK2712" s="18" t="inlineStr">
        <is>
          <t>사용</t>
        </is>
      </c>
      <c r="AL2712" s="18" t="inlineStr">
        <is>
          <t>COBBLEVERSE 1.7.42 / DP v31</t>
        </is>
      </c>
      <c r="AM2712" s="18" t="inlineStr">
        <is>
          <t>data/cobblemon/spawn_pool_world/0845_cramorant.json</t>
        </is>
      </c>
      <c r="AN2712" s="18" t="inlineStr">
        <is>
          <t>cramorant-7</t>
        </is>
      </c>
      <c r="AO2712" s="18" t="inlineStr">
        <is>
          <t>pokemon</t>
        </is>
      </c>
      <c r="AP2712" s="18" t="inlineStr">
        <is>
          <t>water</t>
        </is>
      </c>
      <c r="AQ2712" s="18" t="inlineStr">
        <is>
          <t>{"biomes":["#aether:is_aether"],"maxSkyLight":15,"minSkyLight":8}</t>
        </is>
      </c>
      <c r="AR2712" s="18" t="inlineStr"/>
      <c r="AS2712" s="18" t="inlineStr"/>
      <c r="AT2712" s="19" t="inlineStr"/>
    </row>
    <row r="2713" ht="32" customHeight="1">
      <c r="A2713" s="18" t="inlineStr">
        <is>
          <t>0845_cramorant.json::cramorant-8::007</t>
        </is>
      </c>
      <c r="B2713" s="19" t="inlineStr">
        <is>
          <t>사용</t>
        </is>
      </c>
      <c r="C2713" s="18">
        <f>IF(OR(B2713&lt;&gt;AK2713,M2713&lt;&gt;L2713,O2713&lt;&gt;"",Q2713&lt;&gt;"",V2713&lt;&gt;1,Y2713&lt;&gt;"",AT2713&lt;&gt;""),"수정","원본")</f>
        <v/>
      </c>
      <c r="D2713" s="18" t="n">
        <v>845</v>
      </c>
      <c r="E2713" s="18" t="inlineStr">
        <is>
          <t>윽우지</t>
        </is>
      </c>
      <c r="F2713" s="18" t="inlineStr">
        <is>
          <t>cramorant</t>
        </is>
      </c>
      <c r="G2713" s="18" t="inlineStr">
        <is>
          <t>cramorant</t>
        </is>
      </c>
      <c r="H2713" s="18" t="inlineStr"/>
      <c r="I2713" s="18" t="n">
        <v>8</v>
      </c>
      <c r="J2713" s="18" t="n"/>
      <c r="K2713" s="18" t="n">
        <v>8</v>
      </c>
      <c r="L2713" s="18" t="inlineStr">
        <is>
          <t>cobbleventure:generation_8</t>
        </is>
      </c>
      <c r="M2713" s="19" t="inlineStr">
        <is>
          <t>cobbleventure:generation_8</t>
        </is>
      </c>
      <c r="N2713" s="18" t="inlineStr"/>
      <c r="O2713" s="19" t="inlineStr"/>
      <c r="P2713" s="18" t="inlineStr">
        <is>
          <t>#aether:is_aether</t>
        </is>
      </c>
      <c r="Q2713" s="19" t="inlineStr"/>
      <c r="R2713" s="18">
        <f>IF(Q2713="",P2713,Q2713)</f>
        <v/>
      </c>
      <c r="S2713" s="18" t="inlineStr"/>
      <c r="T2713" s="18" t="inlineStr">
        <is>
          <t>uncommon</t>
        </is>
      </c>
      <c r="U2713" s="20" t="n">
        <v>6</v>
      </c>
      <c r="V2713" s="21" t="n">
        <v>1</v>
      </c>
      <c r="W2713" s="20">
        <f>IF(OR(U2713="",V2713=""),U2713,U2713*V2713)</f>
        <v/>
      </c>
      <c r="X2713" s="18" t="inlineStr">
        <is>
          <t>23-48</t>
        </is>
      </c>
      <c r="Y2713" s="19" t="inlineStr"/>
      <c r="Z2713" s="18">
        <f>IF(Y2713="",X2713,Y2713)</f>
        <v/>
      </c>
      <c r="AA2713" s="18" t="inlineStr">
        <is>
          <t>fishing</t>
        </is>
      </c>
      <c r="AB2713" s="18" t="inlineStr"/>
      <c r="AC2713" s="18" t="inlineStr"/>
      <c r="AD2713" s="18" t="inlineStr"/>
      <c r="AE2713" s="18" t="inlineStr">
        <is>
          <t>sky 8-15</t>
        </is>
      </c>
      <c r="AF2713" s="18" t="inlineStr"/>
      <c r="AG2713" s="18" t="inlineStr"/>
      <c r="AH2713" s="18" t="inlineStr"/>
      <c r="AI2713" s="18" t="inlineStr"/>
      <c r="AJ2713" s="18" t="inlineStr">
        <is>
          <t>Cobblemon 동일</t>
        </is>
      </c>
      <c r="AK2713" s="18" t="inlineStr">
        <is>
          <t>사용</t>
        </is>
      </c>
      <c r="AL2713" s="18" t="inlineStr">
        <is>
          <t>COBBLEVERSE 1.7.42 / DP v31</t>
        </is>
      </c>
      <c r="AM2713" s="18" t="inlineStr">
        <is>
          <t>data/cobblemon/spawn_pool_world/0845_cramorant.json</t>
        </is>
      </c>
      <c r="AN2713" s="18" t="inlineStr">
        <is>
          <t>cramorant-8</t>
        </is>
      </c>
      <c r="AO2713" s="18" t="inlineStr">
        <is>
          <t>pokemon</t>
        </is>
      </c>
      <c r="AP2713" s="18" t="inlineStr"/>
      <c r="AQ2713" s="18" t="inlineStr">
        <is>
          <t>{"biomes":["#aether:is_aether"],"maxSkyLight":15,"minSkyLight":8}</t>
        </is>
      </c>
      <c r="AR2713" s="18" t="inlineStr">
        <is>
          <t>{"minLureLevel":1}</t>
        </is>
      </c>
      <c r="AS2713" s="18" t="inlineStr"/>
      <c r="AT2713" s="19" t="inlineStr"/>
    </row>
    <row r="2714" ht="32" customHeight="1">
      <c r="A2714" s="18" t="inlineStr">
        <is>
          <t>0845_cramorant.json::cramorant-9::008</t>
        </is>
      </c>
      <c r="B2714" s="19" t="inlineStr">
        <is>
          <t>사용</t>
        </is>
      </c>
      <c r="C2714" s="18">
        <f>IF(OR(B2714&lt;&gt;AK2714,M2714&lt;&gt;L2714,O2714&lt;&gt;"",Q2714&lt;&gt;"",V2714&lt;&gt;1,Y2714&lt;&gt;"",AT2714&lt;&gt;""),"수정","원본")</f>
        <v/>
      </c>
      <c r="D2714" s="18" t="n">
        <v>845</v>
      </c>
      <c r="E2714" s="18" t="inlineStr">
        <is>
          <t>윽우지</t>
        </is>
      </c>
      <c r="F2714" s="18" t="inlineStr">
        <is>
          <t>cramorant</t>
        </is>
      </c>
      <c r="G2714" s="18" t="inlineStr">
        <is>
          <t>cramorant</t>
        </is>
      </c>
      <c r="H2714" s="18" t="inlineStr"/>
      <c r="I2714" s="18" t="n">
        <v>8</v>
      </c>
      <c r="J2714" s="18" t="n"/>
      <c r="K2714" s="18" t="n">
        <v>8</v>
      </c>
      <c r="L2714" s="18" t="inlineStr">
        <is>
          <t>cobbleventure:generation_8</t>
        </is>
      </c>
      <c r="M2714" s="19" t="inlineStr">
        <is>
          <t>cobbleventure:generation_8</t>
        </is>
      </c>
      <c r="N2714" s="18" t="inlineStr"/>
      <c r="O2714" s="19" t="inlineStr"/>
      <c r="P2714" s="18" t="inlineStr">
        <is>
          <t>#aether:is_aether</t>
        </is>
      </c>
      <c r="Q2714" s="19" t="inlineStr"/>
      <c r="R2714" s="18">
        <f>IF(Q2714="",P2714,Q2714)</f>
        <v/>
      </c>
      <c r="S2714" s="18" t="inlineStr"/>
      <c r="T2714" s="18" t="inlineStr">
        <is>
          <t>common</t>
        </is>
      </c>
      <c r="U2714" s="20" t="n">
        <v>2</v>
      </c>
      <c r="V2714" s="21" t="n">
        <v>1</v>
      </c>
      <c r="W2714" s="20">
        <f>IF(OR(U2714="",V2714=""),U2714,U2714*V2714)</f>
        <v/>
      </c>
      <c r="X2714" s="18" t="inlineStr">
        <is>
          <t>23-48</t>
        </is>
      </c>
      <c r="Y2714" s="19" t="inlineStr"/>
      <c r="Z2714" s="18">
        <f>IF(Y2714="",X2714,Y2714)</f>
        <v/>
      </c>
      <c r="AA2714" s="18" t="inlineStr">
        <is>
          <t>fishing</t>
        </is>
      </c>
      <c r="AB2714" s="18" t="inlineStr"/>
      <c r="AC2714" s="18" t="inlineStr"/>
      <c r="AD2714" s="18" t="inlineStr"/>
      <c r="AE2714" s="18" t="inlineStr">
        <is>
          <t>sky 8-15</t>
        </is>
      </c>
      <c r="AF2714" s="18" t="inlineStr"/>
      <c r="AG2714" s="18" t="inlineStr"/>
      <c r="AH2714" s="18" t="inlineStr"/>
      <c r="AI2714" s="18" t="inlineStr">
        <is>
          <t>{"fishing":{"minLureLevel":1}}</t>
        </is>
      </c>
      <c r="AJ2714" s="18" t="inlineStr">
        <is>
          <t>Cobblemon 동일</t>
        </is>
      </c>
      <c r="AK2714" s="18" t="inlineStr">
        <is>
          <t>사용</t>
        </is>
      </c>
      <c r="AL2714" s="18" t="inlineStr">
        <is>
          <t>COBBLEVERSE 1.7.42 / DP v31</t>
        </is>
      </c>
      <c r="AM2714" s="18" t="inlineStr">
        <is>
          <t>data/cobblemon/spawn_pool_world/0845_cramorant.json</t>
        </is>
      </c>
      <c r="AN2714" s="18" t="inlineStr">
        <is>
          <t>cramorant-9</t>
        </is>
      </c>
      <c r="AO2714" s="18" t="inlineStr">
        <is>
          <t>pokemon</t>
        </is>
      </c>
      <c r="AP2714" s="18" t="inlineStr"/>
      <c r="AQ2714" s="18" t="inlineStr">
        <is>
          <t>{"biomes":["#aether:is_aether"],"maxSkyLight":15,"minLureLevel":1,"minSkyLight":8}</t>
        </is>
      </c>
      <c r="AR2714" s="18" t="inlineStr"/>
      <c r="AS2714" s="18" t="inlineStr">
        <is>
          <t>{"weightMultiplier":{"condition":{"minLureLevel":3},"multiplier":3.0}}</t>
        </is>
      </c>
      <c r="AT2714" s="19" t="inlineStr"/>
    </row>
    <row r="2715" ht="32" customHeight="1">
      <c r="A2715" s="18" t="inlineStr">
        <is>
          <t>0846_arrokuda.json::arrokuda-1::001</t>
        </is>
      </c>
      <c r="B2715" s="19" t="inlineStr">
        <is>
          <t>사용</t>
        </is>
      </c>
      <c r="C2715" s="18">
        <f>IF(OR(B2715&lt;&gt;AK2715,M2715&lt;&gt;L2715,O2715&lt;&gt;"",Q2715&lt;&gt;"",V2715&lt;&gt;1,Y2715&lt;&gt;"",AT2715&lt;&gt;""),"수정","원본")</f>
        <v/>
      </c>
      <c r="D2715" s="18" t="n">
        <v>846</v>
      </c>
      <c r="E2715" s="18" t="inlineStr">
        <is>
          <t>찌로꼬치</t>
        </is>
      </c>
      <c r="F2715" s="18" t="inlineStr">
        <is>
          <t>arrokuda</t>
        </is>
      </c>
      <c r="G2715" s="18" t="inlineStr">
        <is>
          <t>arrokuda</t>
        </is>
      </c>
      <c r="H2715" s="18" t="inlineStr"/>
      <c r="I2715" s="18" t="n">
        <v>8</v>
      </c>
      <c r="J2715" s="18" t="n"/>
      <c r="K2715" s="18" t="n">
        <v>8</v>
      </c>
      <c r="L2715" s="18" t="inlineStr">
        <is>
          <t>cobbleventure:generation_8</t>
        </is>
      </c>
      <c r="M2715" s="19" t="inlineStr">
        <is>
          <t>cobbleventure:generation_8</t>
        </is>
      </c>
      <c r="N2715" s="18" t="inlineStr">
        <is>
          <t>region_02</t>
        </is>
      </c>
      <c r="O2715" s="19" t="inlineStr"/>
      <c r="P2715" s="18" t="inlineStr">
        <is>
          <t>#cobblemon:is_ocean; #cobblemon:is_swamp</t>
        </is>
      </c>
      <c r="Q2715" s="19" t="inlineStr"/>
      <c r="R2715" s="18">
        <f>IF(Q2715="",P2715,Q2715)</f>
        <v/>
      </c>
      <c r="S2715" s="18" t="inlineStr">
        <is>
          <t>#cobblemon:is_freezing</t>
        </is>
      </c>
      <c r="T2715" s="18" t="inlineStr">
        <is>
          <t>common</t>
        </is>
      </c>
      <c r="U2715" s="20" t="n">
        <v>5.4</v>
      </c>
      <c r="V2715" s="21" t="n">
        <v>1</v>
      </c>
      <c r="W2715" s="20">
        <f>IF(OR(U2715="",V2715=""),U2715,U2715*V2715)</f>
        <v/>
      </c>
      <c r="X2715" s="18" t="inlineStr">
        <is>
          <t>3-28</t>
        </is>
      </c>
      <c r="Y2715" s="19" t="inlineStr"/>
      <c r="Z2715" s="18">
        <f>IF(Y2715="",X2715,Y2715)</f>
        <v/>
      </c>
      <c r="AA2715" s="18" t="inlineStr">
        <is>
          <t>submerged</t>
        </is>
      </c>
      <c r="AB2715" s="18" t="inlineStr"/>
      <c r="AC2715" s="18" t="inlineStr"/>
      <c r="AD2715" s="18" t="inlineStr"/>
      <c r="AE2715" s="18" t="inlineStr"/>
      <c r="AF2715" s="18" t="inlineStr">
        <is>
          <t>True</t>
        </is>
      </c>
      <c r="AG2715" s="18" t="inlineStr"/>
      <c r="AH2715" s="18" t="inlineStr"/>
      <c r="AI2715" s="18" t="inlineStr"/>
      <c r="AJ2715" s="18" t="inlineStr">
        <is>
          <t>Cobblemon 동일</t>
        </is>
      </c>
      <c r="AK2715" s="18" t="inlineStr">
        <is>
          <t>사용</t>
        </is>
      </c>
      <c r="AL2715" s="18" t="inlineStr">
        <is>
          <t>COBBLEVERSE 1.7.42 / DP v31</t>
        </is>
      </c>
      <c r="AM2715" s="18" t="inlineStr">
        <is>
          <t>data/cobblemon/spawn_pool_world/0846_arrokuda.json</t>
        </is>
      </c>
      <c r="AN2715" s="18" t="inlineStr">
        <is>
          <t>arrokuda-1</t>
        </is>
      </c>
      <c r="AO2715" s="18" t="inlineStr">
        <is>
          <t>pokemon</t>
        </is>
      </c>
      <c r="AP2715" s="18" t="inlineStr">
        <is>
          <t>water</t>
        </is>
      </c>
      <c r="AQ2715" s="18" t="inlineStr">
        <is>
          <t>{"biomes":["#cobblemon:is_ocean","#cobblemon:is_swamp"],"canSeeSky":true}</t>
        </is>
      </c>
      <c r="AR2715" s="18" t="inlineStr">
        <is>
          <t>{"biomes":["#cobblemon:is_freezing"]}</t>
        </is>
      </c>
      <c r="AS2715" s="18" t="inlineStr"/>
      <c r="AT2715" s="19" t="inlineStr"/>
    </row>
    <row r="2716" ht="32" customHeight="1">
      <c r="A2716" s="18" t="inlineStr">
        <is>
          <t>0846_arrokuda.json::arrokuda-2::002</t>
        </is>
      </c>
      <c r="B2716" s="19" t="inlineStr">
        <is>
          <t>사용</t>
        </is>
      </c>
      <c r="C2716" s="18">
        <f>IF(OR(B2716&lt;&gt;AK2716,M2716&lt;&gt;L2716,O2716&lt;&gt;"",Q2716&lt;&gt;"",V2716&lt;&gt;1,Y2716&lt;&gt;"",AT2716&lt;&gt;""),"수정","원본")</f>
        <v/>
      </c>
      <c r="D2716" s="18" t="n">
        <v>846</v>
      </c>
      <c r="E2716" s="18" t="inlineStr">
        <is>
          <t>찌로꼬치</t>
        </is>
      </c>
      <c r="F2716" s="18" t="inlineStr">
        <is>
          <t>arrokuda</t>
        </is>
      </c>
      <c r="G2716" s="18" t="inlineStr">
        <is>
          <t>arrokuda</t>
        </is>
      </c>
      <c r="H2716" s="18" t="inlineStr"/>
      <c r="I2716" s="18" t="n">
        <v>8</v>
      </c>
      <c r="J2716" s="18" t="n"/>
      <c r="K2716" s="18" t="n">
        <v>8</v>
      </c>
      <c r="L2716" s="18" t="inlineStr">
        <is>
          <t>cobbleventure:generation_8</t>
        </is>
      </c>
      <c r="M2716" s="19" t="inlineStr">
        <is>
          <t>cobbleventure:generation_8</t>
        </is>
      </c>
      <c r="N2716" s="18" t="inlineStr">
        <is>
          <t>region_02</t>
        </is>
      </c>
      <c r="O2716" s="19" t="inlineStr"/>
      <c r="P2716" s="18" t="inlineStr">
        <is>
          <t>#aether:is_aether; #cobblemon:is_coast; #cobblemon:is_ocean; #cobblemon:is_swamp</t>
        </is>
      </c>
      <c r="Q2716" s="19" t="inlineStr"/>
      <c r="R2716" s="18">
        <f>IF(Q2716="",P2716,Q2716)</f>
        <v/>
      </c>
      <c r="S2716" s="18" t="inlineStr">
        <is>
          <t>#cobblemon:is_freezing</t>
        </is>
      </c>
      <c r="T2716" s="18" t="inlineStr">
        <is>
          <t>common</t>
        </is>
      </c>
      <c r="U2716" s="20" t="n">
        <v>9</v>
      </c>
      <c r="V2716" s="21" t="n">
        <v>1</v>
      </c>
      <c r="W2716" s="20">
        <f>IF(OR(U2716="",V2716=""),U2716,U2716*V2716)</f>
        <v/>
      </c>
      <c r="X2716" s="18" t="inlineStr">
        <is>
          <t>3-28</t>
        </is>
      </c>
      <c r="Y2716" s="19" t="inlineStr"/>
      <c r="Z2716" s="18">
        <f>IF(Y2716="",X2716,Y2716)</f>
        <v/>
      </c>
      <c r="AA2716" s="18" t="inlineStr">
        <is>
          <t>fishing</t>
        </is>
      </c>
      <c r="AB2716" s="18" t="inlineStr"/>
      <c r="AC2716" s="18" t="inlineStr"/>
      <c r="AD2716" s="18" t="inlineStr"/>
      <c r="AE2716" s="18" t="inlineStr"/>
      <c r="AF2716" s="18" t="inlineStr">
        <is>
          <t>True</t>
        </is>
      </c>
      <c r="AG2716" s="18" t="inlineStr"/>
      <c r="AH2716" s="18" t="inlineStr"/>
      <c r="AI2716" s="18" t="inlineStr"/>
      <c r="AJ2716" s="18" t="inlineStr">
        <is>
          <t>Cobblemon 동일</t>
        </is>
      </c>
      <c r="AK2716" s="18" t="inlineStr">
        <is>
          <t>사용</t>
        </is>
      </c>
      <c r="AL2716" s="18" t="inlineStr">
        <is>
          <t>COBBLEVERSE 1.7.42 / DP v31</t>
        </is>
      </c>
      <c r="AM2716" s="18" t="inlineStr">
        <is>
          <t>data/cobblemon/spawn_pool_world/0846_arrokuda.json</t>
        </is>
      </c>
      <c r="AN2716" s="18" t="inlineStr">
        <is>
          <t>arrokuda-2</t>
        </is>
      </c>
      <c r="AO2716" s="18" t="inlineStr">
        <is>
          <t>pokemon</t>
        </is>
      </c>
      <c r="AP2716" s="18" t="inlineStr"/>
      <c r="AQ2716" s="18" t="inlineStr">
        <is>
          <t>{"biomes":["#aether:is_aether","#cobblemon:is_coast","#cobblemon:is_ocean","#cobblemon:is_swamp"],"canSeeSky":true}</t>
        </is>
      </c>
      <c r="AR2716" s="18" t="inlineStr">
        <is>
          <t>{"biomes":["#cobblemon:is_freezing"]}</t>
        </is>
      </c>
      <c r="AS2716" s="18" t="inlineStr">
        <is>
          <t>{"weightMultiplier":{"condition":{"maxLureLevel":1,"minLureLevel":0},"multiplier":0.6}}</t>
        </is>
      </c>
      <c r="AT2716" s="19" t="inlineStr"/>
    </row>
    <row r="2717" ht="32" customHeight="1">
      <c r="A2717" s="18" t="inlineStr">
        <is>
          <t>0846_arrokuda.json::arrokuda-3::003</t>
        </is>
      </c>
      <c r="B2717" s="19" t="inlineStr">
        <is>
          <t>사용</t>
        </is>
      </c>
      <c r="C2717" s="18">
        <f>IF(OR(B2717&lt;&gt;AK2717,M2717&lt;&gt;L2717,O2717&lt;&gt;"",Q2717&lt;&gt;"",V2717&lt;&gt;1,Y2717&lt;&gt;"",AT2717&lt;&gt;""),"수정","원본")</f>
        <v/>
      </c>
      <c r="D2717" s="18" t="n">
        <v>846</v>
      </c>
      <c r="E2717" s="18" t="inlineStr">
        <is>
          <t>찌로꼬치</t>
        </is>
      </c>
      <c r="F2717" s="18" t="inlineStr">
        <is>
          <t>arrokuda</t>
        </is>
      </c>
      <c r="G2717" s="18" t="inlineStr">
        <is>
          <t>arrokuda</t>
        </is>
      </c>
      <c r="H2717" s="18" t="inlineStr"/>
      <c r="I2717" s="18" t="n">
        <v>8</v>
      </c>
      <c r="J2717" s="18" t="n"/>
      <c r="K2717" s="18" t="n">
        <v>8</v>
      </c>
      <c r="L2717" s="18" t="inlineStr">
        <is>
          <t>cobbleventure:generation_8</t>
        </is>
      </c>
      <c r="M2717" s="19" t="inlineStr">
        <is>
          <t>cobbleventure:generation_8</t>
        </is>
      </c>
      <c r="N2717" s="18" t="inlineStr">
        <is>
          <t>region_02</t>
        </is>
      </c>
      <c r="O2717" s="19" t="inlineStr"/>
      <c r="P2717" s="18" t="inlineStr">
        <is>
          <t>#cobblemon:is_ocean; #cobblemon:is_swamp</t>
        </is>
      </c>
      <c r="Q2717" s="19" t="inlineStr"/>
      <c r="R2717" s="18">
        <f>IF(Q2717="",P2717,Q2717)</f>
        <v/>
      </c>
      <c r="S2717" s="18" t="inlineStr">
        <is>
          <t>#cobblemon:is_freezing</t>
        </is>
      </c>
      <c r="T2717" s="18" t="inlineStr">
        <is>
          <t>common</t>
        </is>
      </c>
      <c r="U2717" s="20" t="n">
        <v>5.4</v>
      </c>
      <c r="V2717" s="21" t="n">
        <v>1</v>
      </c>
      <c r="W2717" s="20">
        <f>IF(OR(U2717="",V2717=""),U2717,U2717*V2717)</f>
        <v/>
      </c>
      <c r="X2717" s="18" t="inlineStr">
        <is>
          <t>3-28</t>
        </is>
      </c>
      <c r="Y2717" s="19" t="inlineStr"/>
      <c r="Z2717" s="18">
        <f>IF(Y2717="",X2717,Y2717)</f>
        <v/>
      </c>
      <c r="AA2717" s="18" t="inlineStr">
        <is>
          <t>submerged</t>
        </is>
      </c>
      <c r="AB2717" s="18" t="inlineStr"/>
      <c r="AC2717" s="18" t="inlineStr"/>
      <c r="AD2717" s="18" t="inlineStr"/>
      <c r="AE2717" s="18" t="inlineStr">
        <is>
          <t>sky 8-15</t>
        </is>
      </c>
      <c r="AF2717" s="18" t="inlineStr">
        <is>
          <t>False</t>
        </is>
      </c>
      <c r="AG2717" s="18" t="inlineStr"/>
      <c r="AH2717" s="18" t="inlineStr"/>
      <c r="AI2717" s="18" t="inlineStr"/>
      <c r="AJ2717" s="18" t="inlineStr">
        <is>
          <t>Cobblemon 동일</t>
        </is>
      </c>
      <c r="AK2717" s="18" t="inlineStr">
        <is>
          <t>사용</t>
        </is>
      </c>
      <c r="AL2717" s="18" t="inlineStr">
        <is>
          <t>COBBLEVERSE 1.7.42 / DP v31</t>
        </is>
      </c>
      <c r="AM2717" s="18" t="inlineStr">
        <is>
          <t>data/cobblemon/spawn_pool_world/0846_arrokuda.json</t>
        </is>
      </c>
      <c r="AN2717" s="18" t="inlineStr">
        <is>
          <t>arrokuda-3</t>
        </is>
      </c>
      <c r="AO2717" s="18" t="inlineStr">
        <is>
          <t>pokemon</t>
        </is>
      </c>
      <c r="AP2717" s="18" t="inlineStr">
        <is>
          <t>water</t>
        </is>
      </c>
      <c r="AQ2717" s="18" t="inlineStr">
        <is>
          <t>{"biomes":["#cobblemon:is_ocean","#cobblemon:is_swamp"],"canSeeSky":false,"maxSkyLight":15,"minSkyLight":8}</t>
        </is>
      </c>
      <c r="AR2717" s="18" t="inlineStr">
        <is>
          <t>{"biomes":["#cobblemon:is_freezing"]}</t>
        </is>
      </c>
      <c r="AS2717" s="18" t="inlineStr"/>
      <c r="AT2717" s="19" t="inlineStr"/>
    </row>
    <row r="2718" ht="32" customHeight="1">
      <c r="A2718" s="18" t="inlineStr">
        <is>
          <t>0846_arrokuda.json::arrokuda-4::004</t>
        </is>
      </c>
      <c r="B2718" s="19" t="inlineStr">
        <is>
          <t>사용</t>
        </is>
      </c>
      <c r="C2718" s="18">
        <f>IF(OR(B2718&lt;&gt;AK2718,M2718&lt;&gt;L2718,O2718&lt;&gt;"",Q2718&lt;&gt;"",V2718&lt;&gt;1,Y2718&lt;&gt;"",AT2718&lt;&gt;""),"수정","원본")</f>
        <v/>
      </c>
      <c r="D2718" s="18" t="n">
        <v>846</v>
      </c>
      <c r="E2718" s="18" t="inlineStr">
        <is>
          <t>찌로꼬치</t>
        </is>
      </c>
      <c r="F2718" s="18" t="inlineStr">
        <is>
          <t>arrokuda</t>
        </is>
      </c>
      <c r="G2718" s="18" t="inlineStr">
        <is>
          <t>arrokuda</t>
        </is>
      </c>
      <c r="H2718" s="18" t="inlineStr"/>
      <c r="I2718" s="18" t="n">
        <v>8</v>
      </c>
      <c r="J2718" s="18" t="n"/>
      <c r="K2718" s="18" t="n">
        <v>8</v>
      </c>
      <c r="L2718" s="18" t="inlineStr">
        <is>
          <t>cobbleventure:generation_8</t>
        </is>
      </c>
      <c r="M2718" s="19" t="inlineStr">
        <is>
          <t>cobbleventure:generation_8</t>
        </is>
      </c>
      <c r="N2718" s="18" t="inlineStr">
        <is>
          <t>region_02</t>
        </is>
      </c>
      <c r="O2718" s="19" t="inlineStr"/>
      <c r="P2718" s="18" t="inlineStr">
        <is>
          <t>#aether:is_aether; #cobblemon:is_coast; #cobblemon:is_ocean; #cobblemon:is_swamp</t>
        </is>
      </c>
      <c r="Q2718" s="19" t="inlineStr"/>
      <c r="R2718" s="18">
        <f>IF(Q2718="",P2718,Q2718)</f>
        <v/>
      </c>
      <c r="S2718" s="18" t="inlineStr">
        <is>
          <t>#cobblemon:is_freezing</t>
        </is>
      </c>
      <c r="T2718" s="18" t="inlineStr">
        <is>
          <t>common</t>
        </is>
      </c>
      <c r="U2718" s="20" t="n">
        <v>9</v>
      </c>
      <c r="V2718" s="21" t="n">
        <v>1</v>
      </c>
      <c r="W2718" s="20">
        <f>IF(OR(U2718="",V2718=""),U2718,U2718*V2718)</f>
        <v/>
      </c>
      <c r="X2718" s="18" t="inlineStr">
        <is>
          <t>3-28</t>
        </is>
      </c>
      <c r="Y2718" s="19" t="inlineStr"/>
      <c r="Z2718" s="18">
        <f>IF(Y2718="",X2718,Y2718)</f>
        <v/>
      </c>
      <c r="AA2718" s="18" t="inlineStr">
        <is>
          <t>fishing</t>
        </is>
      </c>
      <c r="AB2718" s="18" t="inlineStr"/>
      <c r="AC2718" s="18" t="inlineStr"/>
      <c r="AD2718" s="18" t="inlineStr"/>
      <c r="AE2718" s="18" t="inlineStr">
        <is>
          <t>sky 8-15</t>
        </is>
      </c>
      <c r="AF2718" s="18" t="inlineStr">
        <is>
          <t>False</t>
        </is>
      </c>
      <c r="AG2718" s="18" t="inlineStr"/>
      <c r="AH2718" s="18" t="inlineStr"/>
      <c r="AI2718" s="18" t="inlineStr"/>
      <c r="AJ2718" s="18" t="inlineStr">
        <is>
          <t>Cobblemon 동일</t>
        </is>
      </c>
      <c r="AK2718" s="18" t="inlineStr">
        <is>
          <t>사용</t>
        </is>
      </c>
      <c r="AL2718" s="18" t="inlineStr">
        <is>
          <t>COBBLEVERSE 1.7.42 / DP v31</t>
        </is>
      </c>
      <c r="AM2718" s="18" t="inlineStr">
        <is>
          <t>data/cobblemon/spawn_pool_world/0846_arrokuda.json</t>
        </is>
      </c>
      <c r="AN2718" s="18" t="inlineStr">
        <is>
          <t>arrokuda-4</t>
        </is>
      </c>
      <c r="AO2718" s="18" t="inlineStr">
        <is>
          <t>pokemon</t>
        </is>
      </c>
      <c r="AP2718" s="18" t="inlineStr"/>
      <c r="AQ2718" s="18" t="inlineStr">
        <is>
          <t>{"biomes":["#aether:is_aether","#cobblemon:is_coast","#cobblemon:is_ocean","#cobblemon:is_swamp"],"canSeeSky":false,"maxSkyLight":15,"minSkyLight":8}</t>
        </is>
      </c>
      <c r="AR2718" s="18" t="inlineStr">
        <is>
          <t>{"biomes":["#cobblemon:is_freezing"]}</t>
        </is>
      </c>
      <c r="AS2718" s="18" t="inlineStr">
        <is>
          <t>{"weightMultiplier":{"condition":{"maxLureLevel":1,"minLureLevel":0},"multiplier":0.6}}</t>
        </is>
      </c>
      <c r="AT2718" s="19" t="inlineStr"/>
    </row>
    <row r="2719" ht="32" customHeight="1">
      <c r="A2719" s="18" t="inlineStr">
        <is>
          <t>0847_barraskewda.json::barraskewda-1::001</t>
        </is>
      </c>
      <c r="B2719" s="19" t="inlineStr">
        <is>
          <t>사용</t>
        </is>
      </c>
      <c r="C2719" s="18">
        <f>IF(OR(B2719&lt;&gt;AK2719,M2719&lt;&gt;L2719,O2719&lt;&gt;"",Q2719&lt;&gt;"",V2719&lt;&gt;1,Y2719&lt;&gt;"",AT2719&lt;&gt;""),"수정","원본")</f>
        <v/>
      </c>
      <c r="D2719" s="18" t="n">
        <v>847</v>
      </c>
      <c r="E2719" s="18" t="inlineStr">
        <is>
          <t>꼬치조</t>
        </is>
      </c>
      <c r="F2719" s="18" t="inlineStr">
        <is>
          <t>barraskewda</t>
        </is>
      </c>
      <c r="G2719" s="18" t="inlineStr">
        <is>
          <t>barraskewda</t>
        </is>
      </c>
      <c r="H2719" s="18" t="inlineStr"/>
      <c r="I2719" s="18" t="n">
        <v>8</v>
      </c>
      <c r="J2719" s="18" t="n"/>
      <c r="K2719" s="18" t="n">
        <v>8</v>
      </c>
      <c r="L2719" s="18" t="inlineStr">
        <is>
          <t>cobbleventure:generation_8</t>
        </is>
      </c>
      <c r="M2719" s="19" t="inlineStr">
        <is>
          <t>cobbleventure:generation_8</t>
        </is>
      </c>
      <c r="N2719" s="18" t="inlineStr">
        <is>
          <t>region_02</t>
        </is>
      </c>
      <c r="O2719" s="19" t="inlineStr"/>
      <c r="P2719" s="18" t="inlineStr">
        <is>
          <t>#cobblemon:is_ocean; #cobblemon:is_swamp</t>
        </is>
      </c>
      <c r="Q2719" s="19" t="inlineStr"/>
      <c r="R2719" s="18">
        <f>IF(Q2719="",P2719,Q2719)</f>
        <v/>
      </c>
      <c r="S2719" s="18" t="inlineStr">
        <is>
          <t>#cobblemon:is_freezing</t>
        </is>
      </c>
      <c r="T2719" s="18" t="inlineStr">
        <is>
          <t>common</t>
        </is>
      </c>
      <c r="U2719" s="20" t="n">
        <v>0.6</v>
      </c>
      <c r="V2719" s="21" t="n">
        <v>1</v>
      </c>
      <c r="W2719" s="20">
        <f>IF(OR(U2719="",V2719=""),U2719,U2719*V2719)</f>
        <v/>
      </c>
      <c r="X2719" s="18" t="inlineStr">
        <is>
          <t>26-49</t>
        </is>
      </c>
      <c r="Y2719" s="19" t="inlineStr"/>
      <c r="Z2719" s="18">
        <f>IF(Y2719="",X2719,Y2719)</f>
        <v/>
      </c>
      <c r="AA2719" s="18" t="inlineStr">
        <is>
          <t>submerged</t>
        </is>
      </c>
      <c r="AB2719" s="18" t="inlineStr"/>
      <c r="AC2719" s="18" t="inlineStr"/>
      <c r="AD2719" s="18" t="inlineStr"/>
      <c r="AE2719" s="18" t="inlineStr"/>
      <c r="AF2719" s="18" t="inlineStr">
        <is>
          <t>True</t>
        </is>
      </c>
      <c r="AG2719" s="18" t="inlineStr"/>
      <c r="AH2719" s="18" t="inlineStr"/>
      <c r="AI2719" s="18" t="inlineStr"/>
      <c r="AJ2719" s="18" t="inlineStr">
        <is>
          <t>Cobblemon 동일</t>
        </is>
      </c>
      <c r="AK2719" s="18" t="inlineStr">
        <is>
          <t>사용</t>
        </is>
      </c>
      <c r="AL2719" s="18" t="inlineStr">
        <is>
          <t>COBBLEVERSE 1.7.42 / DP v31</t>
        </is>
      </c>
      <c r="AM2719" s="18" t="inlineStr">
        <is>
          <t>data/cobblemon/spawn_pool_world/0847_barraskewda.json</t>
        </is>
      </c>
      <c r="AN2719" s="18" t="inlineStr">
        <is>
          <t>barraskewda-1</t>
        </is>
      </c>
      <c r="AO2719" s="18" t="inlineStr">
        <is>
          <t>pokemon</t>
        </is>
      </c>
      <c r="AP2719" s="18" t="inlineStr">
        <is>
          <t>water</t>
        </is>
      </c>
      <c r="AQ2719" s="18" t="inlineStr">
        <is>
          <t>{"biomes":["#cobblemon:is_ocean","#cobblemon:is_swamp"],"canSeeSky":true}</t>
        </is>
      </c>
      <c r="AR2719" s="18" t="inlineStr">
        <is>
          <t>{"biomes":["#cobblemon:is_freezing"]}</t>
        </is>
      </c>
      <c r="AS2719" s="18" t="inlineStr"/>
      <c r="AT2719" s="19" t="inlineStr"/>
    </row>
    <row r="2720" ht="32" customHeight="1">
      <c r="A2720" s="18" t="inlineStr">
        <is>
          <t>0847_barraskewda.json::barraskewda-2::002</t>
        </is>
      </c>
      <c r="B2720" s="19" t="inlineStr">
        <is>
          <t>사용</t>
        </is>
      </c>
      <c r="C2720" s="18">
        <f>IF(OR(B2720&lt;&gt;AK2720,M2720&lt;&gt;L2720,O2720&lt;&gt;"",Q2720&lt;&gt;"",V2720&lt;&gt;1,Y2720&lt;&gt;"",AT2720&lt;&gt;""),"수정","원본")</f>
        <v/>
      </c>
      <c r="D2720" s="18" t="n">
        <v>847</v>
      </c>
      <c r="E2720" s="18" t="inlineStr">
        <is>
          <t>꼬치조</t>
        </is>
      </c>
      <c r="F2720" s="18" t="inlineStr">
        <is>
          <t>barraskewda</t>
        </is>
      </c>
      <c r="G2720" s="18" t="inlineStr">
        <is>
          <t>barraskewda</t>
        </is>
      </c>
      <c r="H2720" s="18" t="inlineStr"/>
      <c r="I2720" s="18" t="n">
        <v>8</v>
      </c>
      <c r="J2720" s="18" t="n"/>
      <c r="K2720" s="18" t="n">
        <v>8</v>
      </c>
      <c r="L2720" s="18" t="inlineStr">
        <is>
          <t>cobbleventure:generation_8</t>
        </is>
      </c>
      <c r="M2720" s="19" t="inlineStr">
        <is>
          <t>cobbleventure:generation_8</t>
        </is>
      </c>
      <c r="N2720" s="18" t="inlineStr">
        <is>
          <t>region_02</t>
        </is>
      </c>
      <c r="O2720" s="19" t="inlineStr"/>
      <c r="P2720" s="18" t="inlineStr">
        <is>
          <t>#aether:is_aether; #cobblemon:is_coast; #cobblemon:is_ocean; #cobblemon:is_swamp</t>
        </is>
      </c>
      <c r="Q2720" s="19" t="inlineStr"/>
      <c r="R2720" s="18">
        <f>IF(Q2720="",P2720,Q2720)</f>
        <v/>
      </c>
      <c r="S2720" s="18" t="inlineStr">
        <is>
          <t>#cobblemon:is_freezing</t>
        </is>
      </c>
      <c r="T2720" s="18" t="inlineStr">
        <is>
          <t>common</t>
        </is>
      </c>
      <c r="U2720" s="20" t="n">
        <v>1</v>
      </c>
      <c r="V2720" s="21" t="n">
        <v>1</v>
      </c>
      <c r="W2720" s="20">
        <f>IF(OR(U2720="",V2720=""),U2720,U2720*V2720)</f>
        <v/>
      </c>
      <c r="X2720" s="18" t="inlineStr">
        <is>
          <t>26-49</t>
        </is>
      </c>
      <c r="Y2720" s="19" t="inlineStr"/>
      <c r="Z2720" s="18">
        <f>IF(Y2720="",X2720,Y2720)</f>
        <v/>
      </c>
      <c r="AA2720" s="18" t="inlineStr">
        <is>
          <t>fishing</t>
        </is>
      </c>
      <c r="AB2720" s="18" t="inlineStr"/>
      <c r="AC2720" s="18" t="inlineStr"/>
      <c r="AD2720" s="18" t="inlineStr"/>
      <c r="AE2720" s="18" t="inlineStr"/>
      <c r="AF2720" s="18" t="inlineStr">
        <is>
          <t>True</t>
        </is>
      </c>
      <c r="AG2720" s="18" t="inlineStr"/>
      <c r="AH2720" s="18" t="inlineStr"/>
      <c r="AI2720" s="18" t="inlineStr"/>
      <c r="AJ2720" s="18" t="inlineStr">
        <is>
          <t>Cobblemon 동일</t>
        </is>
      </c>
      <c r="AK2720" s="18" t="inlineStr">
        <is>
          <t>사용</t>
        </is>
      </c>
      <c r="AL2720" s="18" t="inlineStr">
        <is>
          <t>COBBLEVERSE 1.7.42 / DP v31</t>
        </is>
      </c>
      <c r="AM2720" s="18" t="inlineStr">
        <is>
          <t>data/cobblemon/spawn_pool_world/0847_barraskewda.json</t>
        </is>
      </c>
      <c r="AN2720" s="18" t="inlineStr">
        <is>
          <t>barraskewda-2</t>
        </is>
      </c>
      <c r="AO2720" s="18" t="inlineStr">
        <is>
          <t>pokemon</t>
        </is>
      </c>
      <c r="AP2720" s="18" t="inlineStr"/>
      <c r="AQ2720" s="18" t="inlineStr">
        <is>
          <t>{"biomes":["#aether:is_aether","#cobblemon:is_coast","#cobblemon:is_ocean","#cobblemon:is_swamp"],"canSeeSky":true}</t>
        </is>
      </c>
      <c r="AR2720" s="18" t="inlineStr">
        <is>
          <t>{"biomes":["#cobblemon:is_freezing"]}</t>
        </is>
      </c>
      <c r="AS2720" s="18" t="inlineStr">
        <is>
          <t>{"weightMultiplier":{"condition":{"maxLureLevel":1,"minLureLevel":0},"multiplier":0.6}}</t>
        </is>
      </c>
      <c r="AT2720" s="19" t="inlineStr"/>
    </row>
    <row r="2721" ht="32" customHeight="1">
      <c r="A2721" s="18" t="inlineStr">
        <is>
          <t>0847_barraskewda.json::barraskewda-3::003</t>
        </is>
      </c>
      <c r="B2721" s="19" t="inlineStr">
        <is>
          <t>사용</t>
        </is>
      </c>
      <c r="C2721" s="18">
        <f>IF(OR(B2721&lt;&gt;AK2721,M2721&lt;&gt;L2721,O2721&lt;&gt;"",Q2721&lt;&gt;"",V2721&lt;&gt;1,Y2721&lt;&gt;"",AT2721&lt;&gt;""),"수정","원본")</f>
        <v/>
      </c>
      <c r="D2721" s="18" t="n">
        <v>847</v>
      </c>
      <c r="E2721" s="18" t="inlineStr">
        <is>
          <t>꼬치조</t>
        </is>
      </c>
      <c r="F2721" s="18" t="inlineStr">
        <is>
          <t>barraskewda</t>
        </is>
      </c>
      <c r="G2721" s="18" t="inlineStr">
        <is>
          <t>barraskewda</t>
        </is>
      </c>
      <c r="H2721" s="18" t="inlineStr"/>
      <c r="I2721" s="18" t="n">
        <v>8</v>
      </c>
      <c r="J2721" s="18" t="n"/>
      <c r="K2721" s="18" t="n">
        <v>8</v>
      </c>
      <c r="L2721" s="18" t="inlineStr">
        <is>
          <t>cobbleventure:generation_8</t>
        </is>
      </c>
      <c r="M2721" s="19" t="inlineStr">
        <is>
          <t>cobbleventure:generation_8</t>
        </is>
      </c>
      <c r="N2721" s="18" t="inlineStr">
        <is>
          <t>region_02</t>
        </is>
      </c>
      <c r="O2721" s="19" t="inlineStr"/>
      <c r="P2721" s="18" t="inlineStr">
        <is>
          <t>#cobblemon:is_ocean; #cobblemon:is_swamp</t>
        </is>
      </c>
      <c r="Q2721" s="19" t="inlineStr"/>
      <c r="R2721" s="18">
        <f>IF(Q2721="",P2721,Q2721)</f>
        <v/>
      </c>
      <c r="S2721" s="18" t="inlineStr">
        <is>
          <t>#cobblemon:is_freezing</t>
        </is>
      </c>
      <c r="T2721" s="18" t="inlineStr">
        <is>
          <t>common</t>
        </is>
      </c>
      <c r="U2721" s="20" t="n">
        <v>0.6</v>
      </c>
      <c r="V2721" s="21" t="n">
        <v>1</v>
      </c>
      <c r="W2721" s="20">
        <f>IF(OR(U2721="",V2721=""),U2721,U2721*V2721)</f>
        <v/>
      </c>
      <c r="X2721" s="18" t="inlineStr">
        <is>
          <t>26-49</t>
        </is>
      </c>
      <c r="Y2721" s="19" t="inlineStr"/>
      <c r="Z2721" s="18">
        <f>IF(Y2721="",X2721,Y2721)</f>
        <v/>
      </c>
      <c r="AA2721" s="18" t="inlineStr">
        <is>
          <t>submerged</t>
        </is>
      </c>
      <c r="AB2721" s="18" t="inlineStr"/>
      <c r="AC2721" s="18" t="inlineStr"/>
      <c r="AD2721" s="18" t="inlineStr"/>
      <c r="AE2721" s="18" t="inlineStr">
        <is>
          <t>sky 8-15</t>
        </is>
      </c>
      <c r="AF2721" s="18" t="inlineStr">
        <is>
          <t>False</t>
        </is>
      </c>
      <c r="AG2721" s="18" t="inlineStr"/>
      <c r="AH2721" s="18" t="inlineStr"/>
      <c r="AI2721" s="18" t="inlineStr"/>
      <c r="AJ2721" s="18" t="inlineStr">
        <is>
          <t>Cobblemon 동일</t>
        </is>
      </c>
      <c r="AK2721" s="18" t="inlineStr">
        <is>
          <t>사용</t>
        </is>
      </c>
      <c r="AL2721" s="18" t="inlineStr">
        <is>
          <t>COBBLEVERSE 1.7.42 / DP v31</t>
        </is>
      </c>
      <c r="AM2721" s="18" t="inlineStr">
        <is>
          <t>data/cobblemon/spawn_pool_world/0847_barraskewda.json</t>
        </is>
      </c>
      <c r="AN2721" s="18" t="inlineStr">
        <is>
          <t>barraskewda-3</t>
        </is>
      </c>
      <c r="AO2721" s="18" t="inlineStr">
        <is>
          <t>pokemon</t>
        </is>
      </c>
      <c r="AP2721" s="18" t="inlineStr">
        <is>
          <t>water</t>
        </is>
      </c>
      <c r="AQ2721" s="18" t="inlineStr">
        <is>
          <t>{"biomes":["#cobblemon:is_ocean","#cobblemon:is_swamp"],"canSeeSky":false,"maxSkyLight":15,"minSkyLight":8}</t>
        </is>
      </c>
      <c r="AR2721" s="18" t="inlineStr">
        <is>
          <t>{"biomes":["#cobblemon:is_freezing"]}</t>
        </is>
      </c>
      <c r="AS2721" s="18" t="inlineStr"/>
      <c r="AT2721" s="19" t="inlineStr"/>
    </row>
    <row r="2722" ht="32" customHeight="1">
      <c r="A2722" s="18" t="inlineStr">
        <is>
          <t>0847_barraskewda.json::barraskewda-4::004</t>
        </is>
      </c>
      <c r="B2722" s="19" t="inlineStr">
        <is>
          <t>사용</t>
        </is>
      </c>
      <c r="C2722" s="18">
        <f>IF(OR(B2722&lt;&gt;AK2722,M2722&lt;&gt;L2722,O2722&lt;&gt;"",Q2722&lt;&gt;"",V2722&lt;&gt;1,Y2722&lt;&gt;"",AT2722&lt;&gt;""),"수정","원본")</f>
        <v/>
      </c>
      <c r="D2722" s="18" t="n">
        <v>847</v>
      </c>
      <c r="E2722" s="18" t="inlineStr">
        <is>
          <t>꼬치조</t>
        </is>
      </c>
      <c r="F2722" s="18" t="inlineStr">
        <is>
          <t>barraskewda</t>
        </is>
      </c>
      <c r="G2722" s="18" t="inlineStr">
        <is>
          <t>barraskewda</t>
        </is>
      </c>
      <c r="H2722" s="18" t="inlineStr"/>
      <c r="I2722" s="18" t="n">
        <v>8</v>
      </c>
      <c r="J2722" s="18" t="n"/>
      <c r="K2722" s="18" t="n">
        <v>8</v>
      </c>
      <c r="L2722" s="18" t="inlineStr">
        <is>
          <t>cobbleventure:generation_8</t>
        </is>
      </c>
      <c r="M2722" s="19" t="inlineStr">
        <is>
          <t>cobbleventure:generation_8</t>
        </is>
      </c>
      <c r="N2722" s="18" t="inlineStr">
        <is>
          <t>region_02</t>
        </is>
      </c>
      <c r="O2722" s="19" t="inlineStr"/>
      <c r="P2722" s="18" t="inlineStr">
        <is>
          <t>#aether:is_aether; #cobblemon:is_coast; #cobblemon:is_ocean; #cobblemon:is_swamp</t>
        </is>
      </c>
      <c r="Q2722" s="19" t="inlineStr"/>
      <c r="R2722" s="18">
        <f>IF(Q2722="",P2722,Q2722)</f>
        <v/>
      </c>
      <c r="S2722" s="18" t="inlineStr">
        <is>
          <t>#cobblemon:is_freezing</t>
        </is>
      </c>
      <c r="T2722" s="18" t="inlineStr">
        <is>
          <t>common</t>
        </is>
      </c>
      <c r="U2722" s="20" t="n">
        <v>1</v>
      </c>
      <c r="V2722" s="21" t="n">
        <v>1</v>
      </c>
      <c r="W2722" s="20">
        <f>IF(OR(U2722="",V2722=""),U2722,U2722*V2722)</f>
        <v/>
      </c>
      <c r="X2722" s="18" t="inlineStr">
        <is>
          <t>26-49</t>
        </is>
      </c>
      <c r="Y2722" s="19" t="inlineStr"/>
      <c r="Z2722" s="18">
        <f>IF(Y2722="",X2722,Y2722)</f>
        <v/>
      </c>
      <c r="AA2722" s="18" t="inlineStr">
        <is>
          <t>fishing</t>
        </is>
      </c>
      <c r="AB2722" s="18" t="inlineStr"/>
      <c r="AC2722" s="18" t="inlineStr"/>
      <c r="AD2722" s="18" t="inlineStr"/>
      <c r="AE2722" s="18" t="inlineStr">
        <is>
          <t>sky 8-15</t>
        </is>
      </c>
      <c r="AF2722" s="18" t="inlineStr">
        <is>
          <t>False</t>
        </is>
      </c>
      <c r="AG2722" s="18" t="inlineStr"/>
      <c r="AH2722" s="18" t="inlineStr"/>
      <c r="AI2722" s="18" t="inlineStr"/>
      <c r="AJ2722" s="18" t="inlineStr">
        <is>
          <t>Cobblemon 동일</t>
        </is>
      </c>
      <c r="AK2722" s="18" t="inlineStr">
        <is>
          <t>사용</t>
        </is>
      </c>
      <c r="AL2722" s="18" t="inlineStr">
        <is>
          <t>COBBLEVERSE 1.7.42 / DP v31</t>
        </is>
      </c>
      <c r="AM2722" s="18" t="inlineStr">
        <is>
          <t>data/cobblemon/spawn_pool_world/0847_barraskewda.json</t>
        </is>
      </c>
      <c r="AN2722" s="18" t="inlineStr">
        <is>
          <t>barraskewda-4</t>
        </is>
      </c>
      <c r="AO2722" s="18" t="inlineStr">
        <is>
          <t>pokemon</t>
        </is>
      </c>
      <c r="AP2722" s="18" t="inlineStr"/>
      <c r="AQ2722" s="18" t="inlineStr">
        <is>
          <t>{"biomes":["#aether:is_aether","#cobblemon:is_coast","#cobblemon:is_ocean","#cobblemon:is_swamp"],"canSeeSky":false,"maxSkyLight":15,"minSkyLight":8}</t>
        </is>
      </c>
      <c r="AR2722" s="18" t="inlineStr">
        <is>
          <t>{"biomes":["#cobblemon:is_freezing"]}</t>
        </is>
      </c>
      <c r="AS2722" s="18" t="inlineStr">
        <is>
          <t>{"weightMultiplier":{"condition":{"maxLureLevel":1,"minLureLevel":0},"multiplier":0.6}}</t>
        </is>
      </c>
      <c r="AT2722" s="19" t="inlineStr"/>
    </row>
    <row r="2723" ht="32" customHeight="1">
      <c r="A2723" s="18" t="inlineStr">
        <is>
          <t>0848_toxel.json::toxel-1::001</t>
        </is>
      </c>
      <c r="B2723" s="19" t="inlineStr">
        <is>
          <t>사용</t>
        </is>
      </c>
      <c r="C2723" s="18">
        <f>IF(OR(B2723&lt;&gt;AK2723,M2723&lt;&gt;L2723,O2723&lt;&gt;"",Q2723&lt;&gt;"",V2723&lt;&gt;1,Y2723&lt;&gt;"",AT2723&lt;&gt;""),"수정","원본")</f>
        <v/>
      </c>
      <c r="D2723" s="18" t="n">
        <v>848</v>
      </c>
      <c r="E2723" s="18" t="inlineStr">
        <is>
          <t>일레즌</t>
        </is>
      </c>
      <c r="F2723" s="18" t="inlineStr">
        <is>
          <t>toxel</t>
        </is>
      </c>
      <c r="G2723" s="18" t="inlineStr">
        <is>
          <t>toxel</t>
        </is>
      </c>
      <c r="H2723" s="18" t="inlineStr"/>
      <c r="I2723" s="18" t="n">
        <v>8</v>
      </c>
      <c r="J2723" s="18" t="n"/>
      <c r="K2723" s="18" t="n">
        <v>8</v>
      </c>
      <c r="L2723" s="18" t="inlineStr">
        <is>
          <t>cobbleventure:generation_8</t>
        </is>
      </c>
      <c r="M2723" s="19" t="inlineStr">
        <is>
          <t>cobbleventure:generation_8</t>
        </is>
      </c>
      <c r="N2723" s="18" t="inlineStr">
        <is>
          <t>region_02</t>
        </is>
      </c>
      <c r="O2723" s="19" t="inlineStr"/>
      <c r="P2723" s="18" t="inlineStr">
        <is>
          <t>#cobblemon:is_swamp</t>
        </is>
      </c>
      <c r="Q2723" s="19" t="inlineStr"/>
      <c r="R2723" s="18">
        <f>IF(Q2723="",P2723,Q2723)</f>
        <v/>
      </c>
      <c r="S2723" s="18" t="inlineStr"/>
      <c r="T2723" s="18" t="inlineStr">
        <is>
          <t>uncommon</t>
        </is>
      </c>
      <c r="U2723" s="20" t="n">
        <v>1.68</v>
      </c>
      <c r="V2723" s="21" t="n">
        <v>1</v>
      </c>
      <c r="W2723" s="20">
        <f>IF(OR(U2723="",V2723=""),U2723,U2723*V2723)</f>
        <v/>
      </c>
      <c r="X2723" s="18" t="inlineStr">
        <is>
          <t>1-24</t>
        </is>
      </c>
      <c r="Y2723" s="19" t="inlineStr"/>
      <c r="Z2723" s="18">
        <f>IF(Y2723="",X2723,Y2723)</f>
        <v/>
      </c>
      <c r="AA2723" s="18" t="inlineStr">
        <is>
          <t>grounded</t>
        </is>
      </c>
      <c r="AB2723" s="18" t="inlineStr"/>
      <c r="AC2723" s="18" t="inlineStr"/>
      <c r="AD2723" s="18" t="inlineStr"/>
      <c r="AE2723" s="18" t="inlineStr">
        <is>
          <t>sky 0-7</t>
        </is>
      </c>
      <c r="AF2723" s="18" t="inlineStr"/>
      <c r="AG2723" s="18" t="inlineStr"/>
      <c r="AH2723" s="18" t="inlineStr"/>
      <c r="AI2723" s="18" t="inlineStr"/>
      <c r="AJ2723" s="18" t="inlineStr">
        <is>
          <t>COBBLEVERSE 수정</t>
        </is>
      </c>
      <c r="AK2723" s="18" t="inlineStr">
        <is>
          <t>사용</t>
        </is>
      </c>
      <c r="AL2723" s="18" t="inlineStr">
        <is>
          <t>COBBLEVERSE 1.7.42 / DP v31</t>
        </is>
      </c>
      <c r="AM2723" s="18" t="inlineStr">
        <is>
          <t>data/cobblemon/spawn_pool_world/0848_toxel.json</t>
        </is>
      </c>
      <c r="AN2723" s="18" t="inlineStr">
        <is>
          <t>toxel-1</t>
        </is>
      </c>
      <c r="AO2723" s="18" t="inlineStr">
        <is>
          <t>pokemon</t>
        </is>
      </c>
      <c r="AP2723" s="18" t="inlineStr">
        <is>
          <t>natural</t>
        </is>
      </c>
      <c r="AQ2723" s="18" t="inlineStr">
        <is>
          <t>{"biomes":["#cobblemon:is_swamp"],"maxSkyLight":7,"minSkyLight":0}</t>
        </is>
      </c>
      <c r="AR2723" s="18" t="inlineStr"/>
      <c r="AS2723" s="18" t="inlineStr"/>
      <c r="AT2723" s="19" t="inlineStr"/>
    </row>
    <row r="2724" ht="32" customHeight="1">
      <c r="A2724" s="18" t="inlineStr">
        <is>
          <t>0848_toxel.json::toxel-2::002</t>
        </is>
      </c>
      <c r="B2724" s="19" t="inlineStr">
        <is>
          <t>사용</t>
        </is>
      </c>
      <c r="C2724" s="18">
        <f>IF(OR(B2724&lt;&gt;AK2724,M2724&lt;&gt;L2724,O2724&lt;&gt;"",Q2724&lt;&gt;"",V2724&lt;&gt;1,Y2724&lt;&gt;"",AT2724&lt;&gt;""),"수정","원본")</f>
        <v/>
      </c>
      <c r="D2724" s="18" t="n">
        <v>848</v>
      </c>
      <c r="E2724" s="18" t="inlineStr">
        <is>
          <t>일레즌</t>
        </is>
      </c>
      <c r="F2724" s="18" t="inlineStr">
        <is>
          <t>toxel</t>
        </is>
      </c>
      <c r="G2724" s="18" t="inlineStr">
        <is>
          <t>toxel</t>
        </is>
      </c>
      <c r="H2724" s="18" t="inlineStr"/>
      <c r="I2724" s="18" t="n">
        <v>8</v>
      </c>
      <c r="J2724" s="18" t="n"/>
      <c r="K2724" s="18" t="n">
        <v>8</v>
      </c>
      <c r="L2724" s="18" t="inlineStr">
        <is>
          <t>cobbleventure:generation_8</t>
        </is>
      </c>
      <c r="M2724" s="19" t="inlineStr">
        <is>
          <t>cobbleventure:generation_8</t>
        </is>
      </c>
      <c r="N2724" s="18" t="inlineStr">
        <is>
          <t>region_01; region_02</t>
        </is>
      </c>
      <c r="O2724" s="19" t="inlineStr"/>
      <c r="P2724" s="18" t="inlineStr">
        <is>
          <t>#cobblemon:is_overworld</t>
        </is>
      </c>
      <c r="Q2724" s="19" t="inlineStr"/>
      <c r="R2724" s="18">
        <f>IF(Q2724="",P2724,Q2724)</f>
        <v/>
      </c>
      <c r="S2724" s="18" t="inlineStr"/>
      <c r="T2724" s="18" t="inlineStr">
        <is>
          <t>common</t>
        </is>
      </c>
      <c r="U2724" s="20" t="n">
        <v>1.8</v>
      </c>
      <c r="V2724" s="21" t="n">
        <v>1</v>
      </c>
      <c r="W2724" s="20">
        <f>IF(OR(U2724="",V2724=""),U2724,U2724*V2724)</f>
        <v/>
      </c>
      <c r="X2724" s="18" t="inlineStr">
        <is>
          <t>1-24</t>
        </is>
      </c>
      <c r="Y2724" s="19" t="inlineStr"/>
      <c r="Z2724" s="18">
        <f>IF(Y2724="",X2724,Y2724)</f>
        <v/>
      </c>
      <c r="AA2724" s="18" t="inlineStr">
        <is>
          <t>grounded</t>
        </is>
      </c>
      <c r="AB2724" s="18" t="inlineStr"/>
      <c r="AC2724" s="18" t="inlineStr"/>
      <c r="AD2724" s="18" t="inlineStr"/>
      <c r="AE2724" s="18" t="inlineStr">
        <is>
          <t>sky 8-15</t>
        </is>
      </c>
      <c r="AF2724" s="18" t="inlineStr"/>
      <c r="AG2724" s="18" t="inlineStr"/>
      <c r="AH2724" s="18" t="inlineStr"/>
      <c r="AI2724" s="18" t="inlineStr"/>
      <c r="AJ2724" s="18" t="inlineStr">
        <is>
          <t>COBBLEVERSE 수정</t>
        </is>
      </c>
      <c r="AK2724" s="18" t="inlineStr">
        <is>
          <t>사용</t>
        </is>
      </c>
      <c r="AL2724" s="18" t="inlineStr">
        <is>
          <t>COBBLEVERSE 1.7.42 / DP v31</t>
        </is>
      </c>
      <c r="AM2724" s="18" t="inlineStr">
        <is>
          <t>data/cobblemon/spawn_pool_world/0848_toxel.json</t>
        </is>
      </c>
      <c r="AN2724" s="18" t="inlineStr">
        <is>
          <t>toxel-2</t>
        </is>
      </c>
      <c r="AO2724" s="18" t="inlineStr">
        <is>
          <t>pokemon</t>
        </is>
      </c>
      <c r="AP2724" s="18" t="inlineStr">
        <is>
          <t>natural; urban</t>
        </is>
      </c>
      <c r="AQ2724" s="18" t="inlineStr">
        <is>
          <t>{"biomes":["#cobblemon:is_overworld"],"maxSkyLight":15,"minSkyLight":8}</t>
        </is>
      </c>
      <c r="AR2724" s="18" t="inlineStr"/>
      <c r="AS2724" s="18" t="inlineStr">
        <is>
          <t>{"weightMultiplier":{"condition":{"timeRange":"night"},"multiplier":1.5}}</t>
        </is>
      </c>
      <c r="AT2724" s="19" t="inlineStr"/>
    </row>
    <row r="2725" ht="32" customHeight="1">
      <c r="A2725" s="18" t="inlineStr">
        <is>
          <t>0849_toxtricity.json::toxtricity-1::001</t>
        </is>
      </c>
      <c r="B2725" s="19" t="inlineStr">
        <is>
          <t>사용</t>
        </is>
      </c>
      <c r="C2725" s="18">
        <f>IF(OR(B2725&lt;&gt;AK2725,M2725&lt;&gt;L2725,O2725&lt;&gt;"",Q2725&lt;&gt;"",V2725&lt;&gt;1,Y2725&lt;&gt;"",AT2725&lt;&gt;""),"수정","원본")</f>
        <v/>
      </c>
      <c r="D2725" s="18" t="n">
        <v>849</v>
      </c>
      <c r="E2725" s="18" t="inlineStr">
        <is>
          <t>스트린더</t>
        </is>
      </c>
      <c r="F2725" s="18" t="inlineStr">
        <is>
          <t>toxtricity</t>
        </is>
      </c>
      <c r="G2725" s="18" t="inlineStr">
        <is>
          <t>toxtricity</t>
        </is>
      </c>
      <c r="H2725" s="18" t="inlineStr"/>
      <c r="I2725" s="18" t="n">
        <v>8</v>
      </c>
      <c r="J2725" s="18" t="n"/>
      <c r="K2725" s="18" t="n">
        <v>8</v>
      </c>
      <c r="L2725" s="18" t="inlineStr">
        <is>
          <t>cobbleventure:generation_8</t>
        </is>
      </c>
      <c r="M2725" s="19" t="inlineStr">
        <is>
          <t>cobbleventure:generation_8</t>
        </is>
      </c>
      <c r="N2725" s="18" t="inlineStr">
        <is>
          <t>region_02</t>
        </is>
      </c>
      <c r="O2725" s="19" t="inlineStr"/>
      <c r="P2725" s="18" t="inlineStr">
        <is>
          <t>#cobblemon:is_swamp</t>
        </is>
      </c>
      <c r="Q2725" s="19" t="inlineStr"/>
      <c r="R2725" s="18">
        <f>IF(Q2725="",P2725,Q2725)</f>
        <v/>
      </c>
      <c r="S2725" s="18" t="inlineStr"/>
      <c r="T2725" s="18" t="inlineStr">
        <is>
          <t>uncommon</t>
        </is>
      </c>
      <c r="U2725" s="20" t="n">
        <v>0.32</v>
      </c>
      <c r="V2725" s="21" t="n">
        <v>1</v>
      </c>
      <c r="W2725" s="20">
        <f>IF(OR(U2725="",V2725=""),U2725,U2725*V2725)</f>
        <v/>
      </c>
      <c r="X2725" s="18" t="inlineStr">
        <is>
          <t>30-50</t>
        </is>
      </c>
      <c r="Y2725" s="19" t="inlineStr"/>
      <c r="Z2725" s="18">
        <f>IF(Y2725="",X2725,Y2725)</f>
        <v/>
      </c>
      <c r="AA2725" s="18" t="inlineStr">
        <is>
          <t>grounded</t>
        </is>
      </c>
      <c r="AB2725" s="18" t="inlineStr"/>
      <c r="AC2725" s="18" t="inlineStr"/>
      <c r="AD2725" s="18" t="inlineStr"/>
      <c r="AE2725" s="18" t="inlineStr">
        <is>
          <t>sky 0-7</t>
        </is>
      </c>
      <c r="AF2725" s="18" t="inlineStr"/>
      <c r="AG2725" s="18" t="inlineStr"/>
      <c r="AH2725" s="18" t="inlineStr"/>
      <c r="AI2725" s="18" t="inlineStr"/>
      <c r="AJ2725" s="18" t="inlineStr">
        <is>
          <t>COBBLEVERSE 수정</t>
        </is>
      </c>
      <c r="AK2725" s="18" t="inlineStr">
        <is>
          <t>사용</t>
        </is>
      </c>
      <c r="AL2725" s="18" t="inlineStr">
        <is>
          <t>COBBLEVERSE 1.7.42 / DP v31</t>
        </is>
      </c>
      <c r="AM2725" s="18" t="inlineStr">
        <is>
          <t>data/cobblemon/spawn_pool_world/0849_toxtricity.json</t>
        </is>
      </c>
      <c r="AN2725" s="18" t="inlineStr">
        <is>
          <t>toxtricity-1</t>
        </is>
      </c>
      <c r="AO2725" s="18" t="inlineStr">
        <is>
          <t>pokemon</t>
        </is>
      </c>
      <c r="AP2725" s="18" t="inlineStr">
        <is>
          <t>natural</t>
        </is>
      </c>
      <c r="AQ2725" s="18" t="inlineStr">
        <is>
          <t>{"biomes":["#cobblemon:is_swamp"],"maxSkyLight":7,"minSkyLight":0}</t>
        </is>
      </c>
      <c r="AR2725" s="18" t="inlineStr"/>
      <c r="AS2725" s="18" t="inlineStr"/>
      <c r="AT2725" s="19" t="inlineStr"/>
    </row>
    <row r="2726" ht="32" customHeight="1">
      <c r="A2726" s="18" t="inlineStr">
        <is>
          <t>0849_toxtricity.json::toxtricity-2::002</t>
        </is>
      </c>
      <c r="B2726" s="19" t="inlineStr">
        <is>
          <t>사용</t>
        </is>
      </c>
      <c r="C2726" s="18">
        <f>IF(OR(B2726&lt;&gt;AK2726,M2726&lt;&gt;L2726,O2726&lt;&gt;"",Q2726&lt;&gt;"",V2726&lt;&gt;1,Y2726&lt;&gt;"",AT2726&lt;&gt;""),"수정","원본")</f>
        <v/>
      </c>
      <c r="D2726" s="18" t="n">
        <v>849</v>
      </c>
      <c r="E2726" s="18" t="inlineStr">
        <is>
          <t>스트린더</t>
        </is>
      </c>
      <c r="F2726" s="18" t="inlineStr">
        <is>
          <t>toxtricity</t>
        </is>
      </c>
      <c r="G2726" s="18" t="inlineStr">
        <is>
          <t>toxtricity</t>
        </is>
      </c>
      <c r="H2726" s="18" t="inlineStr"/>
      <c r="I2726" s="18" t="n">
        <v>8</v>
      </c>
      <c r="J2726" s="18" t="n"/>
      <c r="K2726" s="18" t="n">
        <v>8</v>
      </c>
      <c r="L2726" s="18" t="inlineStr">
        <is>
          <t>cobbleventure:generation_8</t>
        </is>
      </c>
      <c r="M2726" s="19" t="inlineStr">
        <is>
          <t>cobbleventure:generation_8</t>
        </is>
      </c>
      <c r="N2726" s="18" t="inlineStr">
        <is>
          <t>region_01; region_02</t>
        </is>
      </c>
      <c r="O2726" s="19" t="inlineStr"/>
      <c r="P2726" s="18" t="inlineStr">
        <is>
          <t>#cobblemon:is_overworld</t>
        </is>
      </c>
      <c r="Q2726" s="19" t="inlineStr"/>
      <c r="R2726" s="18">
        <f>IF(Q2726="",P2726,Q2726)</f>
        <v/>
      </c>
      <c r="S2726" s="18" t="inlineStr"/>
      <c r="T2726" s="18" t="inlineStr">
        <is>
          <t>common</t>
        </is>
      </c>
      <c r="U2726" s="20" t="n">
        <v>0.2</v>
      </c>
      <c r="V2726" s="21" t="n">
        <v>1</v>
      </c>
      <c r="W2726" s="20">
        <f>IF(OR(U2726="",V2726=""),U2726,U2726*V2726)</f>
        <v/>
      </c>
      <c r="X2726" s="18" t="inlineStr">
        <is>
          <t>30-50</t>
        </is>
      </c>
      <c r="Y2726" s="19" t="inlineStr"/>
      <c r="Z2726" s="18">
        <f>IF(Y2726="",X2726,Y2726)</f>
        <v/>
      </c>
      <c r="AA2726" s="18" t="inlineStr">
        <is>
          <t>grounded</t>
        </is>
      </c>
      <c r="AB2726" s="18" t="inlineStr"/>
      <c r="AC2726" s="18" t="inlineStr"/>
      <c r="AD2726" s="18" t="inlineStr"/>
      <c r="AE2726" s="18" t="inlineStr">
        <is>
          <t>sky 8-15</t>
        </is>
      </c>
      <c r="AF2726" s="18" t="inlineStr"/>
      <c r="AG2726" s="18" t="inlineStr"/>
      <c r="AH2726" s="18" t="inlineStr"/>
      <c r="AI2726" s="18" t="inlineStr"/>
      <c r="AJ2726" s="18" t="inlineStr">
        <is>
          <t>COBBLEVERSE 수정</t>
        </is>
      </c>
      <c r="AK2726" s="18" t="inlineStr">
        <is>
          <t>사용</t>
        </is>
      </c>
      <c r="AL2726" s="18" t="inlineStr">
        <is>
          <t>COBBLEVERSE 1.7.42 / DP v31</t>
        </is>
      </c>
      <c r="AM2726" s="18" t="inlineStr">
        <is>
          <t>data/cobblemon/spawn_pool_world/0849_toxtricity.json</t>
        </is>
      </c>
      <c r="AN2726" s="18" t="inlineStr">
        <is>
          <t>toxtricity-2</t>
        </is>
      </c>
      <c r="AO2726" s="18" t="inlineStr">
        <is>
          <t>pokemon</t>
        </is>
      </c>
      <c r="AP2726" s="18" t="inlineStr">
        <is>
          <t>natural; urban</t>
        </is>
      </c>
      <c r="AQ2726" s="18" t="inlineStr">
        <is>
          <t>{"biomes":["#cobblemon:is_overworld"],"maxSkyLight":15,"minSkyLight":8}</t>
        </is>
      </c>
      <c r="AR2726" s="18" t="inlineStr"/>
      <c r="AS2726" s="18" t="inlineStr">
        <is>
          <t>{"weightMultiplier":{"condition":{"timeRange":"night"},"multiplier":1.5}}</t>
        </is>
      </c>
      <c r="AT2726" s="19" t="inlineStr"/>
    </row>
    <row r="2727" ht="32" customHeight="1">
      <c r="A2727" s="18" t="inlineStr">
        <is>
          <t>0850_sizzlipede.json::sizzlipede-1::001</t>
        </is>
      </c>
      <c r="B2727" s="19" t="inlineStr">
        <is>
          <t>사용</t>
        </is>
      </c>
      <c r="C2727" s="18">
        <f>IF(OR(B2727&lt;&gt;AK2727,M2727&lt;&gt;L2727,O2727&lt;&gt;"",Q2727&lt;&gt;"",V2727&lt;&gt;1,Y2727&lt;&gt;"",AT2727&lt;&gt;""),"수정","원본")</f>
        <v/>
      </c>
      <c r="D2727" s="18" t="n">
        <v>850</v>
      </c>
      <c r="E2727" s="18" t="inlineStr">
        <is>
          <t>태우지네</t>
        </is>
      </c>
      <c r="F2727" s="18" t="inlineStr">
        <is>
          <t>sizzlipede</t>
        </is>
      </c>
      <c r="G2727" s="18" t="inlineStr">
        <is>
          <t>sizzlipede</t>
        </is>
      </c>
      <c r="H2727" s="18" t="inlineStr"/>
      <c r="I2727" s="18" t="n">
        <v>8</v>
      </c>
      <c r="J2727" s="18" t="n"/>
      <c r="K2727" s="18" t="n">
        <v>8</v>
      </c>
      <c r="L2727" s="18" t="inlineStr">
        <is>
          <t>cobbleventure:generation_8</t>
        </is>
      </c>
      <c r="M2727" s="19" t="inlineStr">
        <is>
          <t>cobbleventure:generation_8</t>
        </is>
      </c>
      <c r="N2727" s="18" t="inlineStr"/>
      <c r="O2727" s="19" t="inlineStr"/>
      <c r="P2727" s="18" t="inlineStr">
        <is>
          <t>#cobblemon:is_badlands; #cobblemon:is_volcanic</t>
        </is>
      </c>
      <c r="Q2727" s="19" t="inlineStr"/>
      <c r="R2727" s="18">
        <f>IF(Q2727="",P2727,Q2727)</f>
        <v/>
      </c>
      <c r="S2727" s="18" t="inlineStr"/>
      <c r="T2727" s="18" t="inlineStr">
        <is>
          <t>common</t>
        </is>
      </c>
      <c r="U2727" s="20" t="n">
        <v>5.4</v>
      </c>
      <c r="V2727" s="21" t="n">
        <v>1</v>
      </c>
      <c r="W2727" s="20">
        <f>IF(OR(U2727="",V2727=""),U2727,U2727*V2727)</f>
        <v/>
      </c>
      <c r="X2727" s="18" t="inlineStr">
        <is>
          <t>6-31</t>
        </is>
      </c>
      <c r="Y2727" s="19" t="inlineStr"/>
      <c r="Z2727" s="18">
        <f>IF(Y2727="",X2727,Y2727)</f>
        <v/>
      </c>
      <c r="AA2727" s="18" t="inlineStr">
        <is>
          <t>grounded</t>
        </is>
      </c>
      <c r="AB2727" s="18" t="inlineStr"/>
      <c r="AC2727" s="18" t="inlineStr"/>
      <c r="AD2727" s="18" t="inlineStr"/>
      <c r="AE2727" s="18" t="inlineStr">
        <is>
          <t>sky 8-15</t>
        </is>
      </c>
      <c r="AF2727" s="18" t="inlineStr"/>
      <c r="AG2727" s="18" t="inlineStr"/>
      <c r="AH2727" s="18" t="inlineStr"/>
      <c r="AI2727" s="18" t="inlineStr"/>
      <c r="AJ2727" s="18" t="inlineStr">
        <is>
          <t>Cobblemon 동일</t>
        </is>
      </c>
      <c r="AK2727" s="18" t="inlineStr">
        <is>
          <t>사용</t>
        </is>
      </c>
      <c r="AL2727" s="18" t="inlineStr">
        <is>
          <t>COBBLEVERSE 1.7.42 / DP v31</t>
        </is>
      </c>
      <c r="AM2727" s="18" t="inlineStr">
        <is>
          <t>data/cobblemon/spawn_pool_world/0850_sizzlipede.json</t>
        </is>
      </c>
      <c r="AN2727" s="18" t="inlineStr">
        <is>
          <t>sizzlipede-1</t>
        </is>
      </c>
      <c r="AO2727" s="18" t="inlineStr">
        <is>
          <t>pokemon</t>
        </is>
      </c>
      <c r="AP2727" s="18" t="inlineStr">
        <is>
          <t>natural; wild</t>
        </is>
      </c>
      <c r="AQ2727" s="18" t="inlineStr">
        <is>
          <t>{"biomes":["#cobblemon:is_badlands","#cobblemon:is_volcanic"],"maxSkyLight":15,"minSkyLight":8}</t>
        </is>
      </c>
      <c r="AR2727" s="18" t="inlineStr"/>
      <c r="AS2727" s="18" t="inlineStr"/>
      <c r="AT2727" s="19" t="inlineStr"/>
    </row>
    <row r="2728" ht="32" customHeight="1">
      <c r="A2728" s="18" t="inlineStr">
        <is>
          <t>0850_sizzlipede.json::sizzlipede-2::002</t>
        </is>
      </c>
      <c r="B2728" s="19" t="inlineStr">
        <is>
          <t>사용</t>
        </is>
      </c>
      <c r="C2728" s="18">
        <f>IF(OR(B2728&lt;&gt;AK2728,M2728&lt;&gt;L2728,O2728&lt;&gt;"",Q2728&lt;&gt;"",V2728&lt;&gt;1,Y2728&lt;&gt;"",AT2728&lt;&gt;""),"수정","원본")</f>
        <v/>
      </c>
      <c r="D2728" s="18" t="n">
        <v>850</v>
      </c>
      <c r="E2728" s="18" t="inlineStr">
        <is>
          <t>태우지네</t>
        </is>
      </c>
      <c r="F2728" s="18" t="inlineStr">
        <is>
          <t>sizzlipede</t>
        </is>
      </c>
      <c r="G2728" s="18" t="inlineStr">
        <is>
          <t>sizzlipede</t>
        </is>
      </c>
      <c r="H2728" s="18" t="inlineStr"/>
      <c r="I2728" s="18" t="n">
        <v>8</v>
      </c>
      <c r="J2728" s="18" t="n"/>
      <c r="K2728" s="18" t="n">
        <v>8</v>
      </c>
      <c r="L2728" s="18" t="inlineStr">
        <is>
          <t>cobbleventure:generation_8</t>
        </is>
      </c>
      <c r="M2728" s="19" t="inlineStr">
        <is>
          <t>cobbleventure:generation_8</t>
        </is>
      </c>
      <c r="N2728" s="18" t="inlineStr"/>
      <c r="O2728" s="19" t="inlineStr"/>
      <c r="P2728" s="18" t="inlineStr">
        <is>
          <t>#cobblemon:nether/is_basalt</t>
        </is>
      </c>
      <c r="Q2728" s="19" t="inlineStr"/>
      <c r="R2728" s="18">
        <f>IF(Q2728="",P2728,Q2728)</f>
        <v/>
      </c>
      <c r="S2728" s="18" t="inlineStr"/>
      <c r="T2728" s="18" t="inlineStr">
        <is>
          <t>common</t>
        </is>
      </c>
      <c r="U2728" s="20" t="n">
        <v>5.4</v>
      </c>
      <c r="V2728" s="21" t="n">
        <v>1</v>
      </c>
      <c r="W2728" s="20">
        <f>IF(OR(U2728="",V2728=""),U2728,U2728*V2728)</f>
        <v/>
      </c>
      <c r="X2728" s="18" t="inlineStr">
        <is>
          <t>6-31</t>
        </is>
      </c>
      <c r="Y2728" s="19" t="inlineStr"/>
      <c r="Z2728" s="18">
        <f>IF(Y2728="",X2728,Y2728)</f>
        <v/>
      </c>
      <c r="AA2728" s="18" t="inlineStr">
        <is>
          <t>grounded</t>
        </is>
      </c>
      <c r="AB2728" s="18" t="inlineStr"/>
      <c r="AC2728" s="18" t="inlineStr"/>
      <c r="AD2728" s="18" t="inlineStr"/>
      <c r="AE2728" s="18" t="inlineStr"/>
      <c r="AF2728" s="18" t="inlineStr"/>
      <c r="AG2728" s="18" t="inlineStr"/>
      <c r="AH2728" s="18" t="inlineStr"/>
      <c r="AI2728" s="18" t="inlineStr">
        <is>
          <t>{"spawn":{"drops":{"amount":2,"entries":[{"item":"minecraft:blaze_powder","percentage":5.0},{"item":"cobblemon:charti_berry","percentage":2.5}]}}}</t>
        </is>
      </c>
      <c r="AJ2728" s="18" t="inlineStr">
        <is>
          <t>Cobblemon 동일</t>
        </is>
      </c>
      <c r="AK2728" s="18" t="inlineStr">
        <is>
          <t>사용</t>
        </is>
      </c>
      <c r="AL2728" s="18" t="inlineStr">
        <is>
          <t>COBBLEVERSE 1.7.42 / DP v31</t>
        </is>
      </c>
      <c r="AM2728" s="18" t="inlineStr">
        <is>
          <t>data/cobblemon/spawn_pool_world/0850_sizzlipede.json</t>
        </is>
      </c>
      <c r="AN2728" s="18" t="inlineStr">
        <is>
          <t>sizzlipede-2</t>
        </is>
      </c>
      <c r="AO2728" s="18" t="inlineStr">
        <is>
          <t>pokemon</t>
        </is>
      </c>
      <c r="AP2728" s="18" t="inlineStr">
        <is>
          <t>natural; wild</t>
        </is>
      </c>
      <c r="AQ2728" s="18" t="inlineStr">
        <is>
          <t>{"biomes":["#cobblemon:nether/is_basalt"]}</t>
        </is>
      </c>
      <c r="AR2728" s="18" t="inlineStr"/>
      <c r="AS2728" s="18" t="inlineStr"/>
      <c r="AT2728" s="19" t="inlineStr"/>
    </row>
    <row r="2729" ht="32" customHeight="1">
      <c r="A2729" s="18" t="inlineStr">
        <is>
          <t>0850_sizzlipede.json::sizzlipede-3::003</t>
        </is>
      </c>
      <c r="B2729" s="19" t="inlineStr">
        <is>
          <t>사용</t>
        </is>
      </c>
      <c r="C2729" s="18">
        <f>IF(OR(B2729&lt;&gt;AK2729,M2729&lt;&gt;L2729,O2729&lt;&gt;"",Q2729&lt;&gt;"",V2729&lt;&gt;1,Y2729&lt;&gt;"",AT2729&lt;&gt;""),"수정","원본")</f>
        <v/>
      </c>
      <c r="D2729" s="18" t="n">
        <v>850</v>
      </c>
      <c r="E2729" s="18" t="inlineStr">
        <is>
          <t>태우지네</t>
        </is>
      </c>
      <c r="F2729" s="18" t="inlineStr">
        <is>
          <t>sizzlipede</t>
        </is>
      </c>
      <c r="G2729" s="18" t="inlineStr">
        <is>
          <t>sizzlipede</t>
        </is>
      </c>
      <c r="H2729" s="18" t="inlineStr"/>
      <c r="I2729" s="18" t="n">
        <v>8</v>
      </c>
      <c r="J2729" s="18" t="n"/>
      <c r="K2729" s="18" t="n">
        <v>8</v>
      </c>
      <c r="L2729" s="18" t="inlineStr">
        <is>
          <t>cobbleventure:generation_8</t>
        </is>
      </c>
      <c r="M2729" s="19" t="inlineStr">
        <is>
          <t>cobbleventure:generation_8</t>
        </is>
      </c>
      <c r="N2729" s="18" t="inlineStr"/>
      <c r="O2729" s="19" t="inlineStr"/>
      <c r="P2729" s="18" t="inlineStr">
        <is>
          <t>#cobblemon:nether/is_wasteland</t>
        </is>
      </c>
      <c r="Q2729" s="19" t="inlineStr"/>
      <c r="R2729" s="18">
        <f>IF(Q2729="",P2729,Q2729)</f>
        <v/>
      </c>
      <c r="S2729" s="18" t="inlineStr"/>
      <c r="T2729" s="18" t="inlineStr">
        <is>
          <t>common</t>
        </is>
      </c>
      <c r="U2729" s="20" t="n">
        <v>9</v>
      </c>
      <c r="V2729" s="21" t="n">
        <v>1</v>
      </c>
      <c r="W2729" s="20">
        <f>IF(OR(U2729="",V2729=""),U2729,U2729*V2729)</f>
        <v/>
      </c>
      <c r="X2729" s="18" t="inlineStr">
        <is>
          <t>6-31</t>
        </is>
      </c>
      <c r="Y2729" s="19" t="inlineStr"/>
      <c r="Z2729" s="18">
        <f>IF(Y2729="",X2729,Y2729)</f>
        <v/>
      </c>
      <c r="AA2729" s="18" t="inlineStr">
        <is>
          <t>grounded</t>
        </is>
      </c>
      <c r="AB2729" s="18" t="inlineStr"/>
      <c r="AC2729" s="18" t="inlineStr"/>
      <c r="AD2729" s="18" t="inlineStr"/>
      <c r="AE2729" s="18" t="inlineStr"/>
      <c r="AF2729" s="18" t="inlineStr"/>
      <c r="AG2729" s="18" t="inlineStr"/>
      <c r="AH2729" s="18" t="inlineStr"/>
      <c r="AI2729" s="18" t="inlineStr"/>
      <c r="AJ2729" s="18" t="inlineStr">
        <is>
          <t>Cobblemon 동일</t>
        </is>
      </c>
      <c r="AK2729" s="18" t="inlineStr">
        <is>
          <t>사용</t>
        </is>
      </c>
      <c r="AL2729" s="18" t="inlineStr">
        <is>
          <t>COBBLEVERSE 1.7.42 / DP v31</t>
        </is>
      </c>
      <c r="AM2729" s="18" t="inlineStr">
        <is>
          <t>data/cobblemon/spawn_pool_world/0850_sizzlipede.json</t>
        </is>
      </c>
      <c r="AN2729" s="18" t="inlineStr">
        <is>
          <t>sizzlipede-3</t>
        </is>
      </c>
      <c r="AO2729" s="18" t="inlineStr">
        <is>
          <t>pokemon</t>
        </is>
      </c>
      <c r="AP2729" s="18" t="inlineStr">
        <is>
          <t>natural; wild</t>
        </is>
      </c>
      <c r="AQ2729" s="18" t="inlineStr">
        <is>
          <t>{"biomes":["#cobblemon:nether/is_wasteland"]}</t>
        </is>
      </c>
      <c r="AR2729" s="18" t="inlineStr"/>
      <c r="AS2729" s="18" t="inlineStr"/>
      <c r="AT2729" s="19" t="inlineStr"/>
    </row>
    <row r="2730" ht="32" customHeight="1">
      <c r="A2730" s="18" t="inlineStr">
        <is>
          <t>0851_centiskorch.json::centiskorch-1::001</t>
        </is>
      </c>
      <c r="B2730" s="19" t="inlineStr">
        <is>
          <t>사용</t>
        </is>
      </c>
      <c r="C2730" s="18">
        <f>IF(OR(B2730&lt;&gt;AK2730,M2730&lt;&gt;L2730,O2730&lt;&gt;"",Q2730&lt;&gt;"",V2730&lt;&gt;1,Y2730&lt;&gt;"",AT2730&lt;&gt;""),"수정","원본")</f>
        <v/>
      </c>
      <c r="D2730" s="18" t="n">
        <v>851</v>
      </c>
      <c r="E2730" s="18" t="inlineStr">
        <is>
          <t>다태우지네</t>
        </is>
      </c>
      <c r="F2730" s="18" t="inlineStr">
        <is>
          <t>centiskorch</t>
        </is>
      </c>
      <c r="G2730" s="18" t="inlineStr">
        <is>
          <t>centiskorch</t>
        </is>
      </c>
      <c r="H2730" s="18" t="inlineStr"/>
      <c r="I2730" s="18" t="n">
        <v>8</v>
      </c>
      <c r="J2730" s="18" t="n"/>
      <c r="K2730" s="18" t="n">
        <v>8</v>
      </c>
      <c r="L2730" s="18" t="inlineStr">
        <is>
          <t>cobbleventure:generation_8</t>
        </is>
      </c>
      <c r="M2730" s="19" t="inlineStr">
        <is>
          <t>cobbleventure:generation_8</t>
        </is>
      </c>
      <c r="N2730" s="18" t="inlineStr"/>
      <c r="O2730" s="19" t="inlineStr"/>
      <c r="P2730" s="18" t="inlineStr">
        <is>
          <t>#cobblemon:is_badlands; #cobblemon:is_volcanic</t>
        </is>
      </c>
      <c r="Q2730" s="19" t="inlineStr"/>
      <c r="R2730" s="18">
        <f>IF(Q2730="",P2730,Q2730)</f>
        <v/>
      </c>
      <c r="S2730" s="18" t="inlineStr"/>
      <c r="T2730" s="18" t="inlineStr">
        <is>
          <t>common</t>
        </is>
      </c>
      <c r="U2730" s="20" t="n">
        <v>0.6</v>
      </c>
      <c r="V2730" s="21" t="n">
        <v>1</v>
      </c>
      <c r="W2730" s="20">
        <f>IF(OR(U2730="",V2730=""),U2730,U2730*V2730)</f>
        <v/>
      </c>
      <c r="X2730" s="18" t="inlineStr">
        <is>
          <t>28-53</t>
        </is>
      </c>
      <c r="Y2730" s="19" t="inlineStr"/>
      <c r="Z2730" s="18">
        <f>IF(Y2730="",X2730,Y2730)</f>
        <v/>
      </c>
      <c r="AA2730" s="18" t="inlineStr">
        <is>
          <t>grounded</t>
        </is>
      </c>
      <c r="AB2730" s="18" t="inlineStr"/>
      <c r="AC2730" s="18" t="inlineStr"/>
      <c r="AD2730" s="18" t="inlineStr"/>
      <c r="AE2730" s="18" t="inlineStr">
        <is>
          <t>sky 8-15</t>
        </is>
      </c>
      <c r="AF2730" s="18" t="inlineStr"/>
      <c r="AG2730" s="18" t="inlineStr"/>
      <c r="AH2730" s="18" t="inlineStr"/>
      <c r="AI2730" s="18" t="inlineStr"/>
      <c r="AJ2730" s="18" t="inlineStr">
        <is>
          <t>Cobblemon 동일</t>
        </is>
      </c>
      <c r="AK2730" s="18" t="inlineStr">
        <is>
          <t>사용</t>
        </is>
      </c>
      <c r="AL2730" s="18" t="inlineStr">
        <is>
          <t>COBBLEVERSE 1.7.42 / DP v31</t>
        </is>
      </c>
      <c r="AM2730" s="18" t="inlineStr">
        <is>
          <t>data/cobblemon/spawn_pool_world/0851_centiskorch.json</t>
        </is>
      </c>
      <c r="AN2730" s="18" t="inlineStr">
        <is>
          <t>centiskorch-1</t>
        </is>
      </c>
      <c r="AO2730" s="18" t="inlineStr">
        <is>
          <t>pokemon</t>
        </is>
      </c>
      <c r="AP2730" s="18" t="inlineStr">
        <is>
          <t>natural; wild</t>
        </is>
      </c>
      <c r="AQ2730" s="18" t="inlineStr">
        <is>
          <t>{"biomes":["#cobblemon:is_badlands","#cobblemon:is_volcanic"],"maxSkyLight":15,"minSkyLight":8}</t>
        </is>
      </c>
      <c r="AR2730" s="18" t="inlineStr"/>
      <c r="AS2730" s="18" t="inlineStr"/>
      <c r="AT2730" s="19" t="inlineStr"/>
    </row>
    <row r="2731" ht="32" customHeight="1">
      <c r="A2731" s="18" t="inlineStr">
        <is>
          <t>0851_centiskorch.json::centiskorch-2::002</t>
        </is>
      </c>
      <c r="B2731" s="19" t="inlineStr">
        <is>
          <t>사용</t>
        </is>
      </c>
      <c r="C2731" s="18">
        <f>IF(OR(B2731&lt;&gt;AK2731,M2731&lt;&gt;L2731,O2731&lt;&gt;"",Q2731&lt;&gt;"",V2731&lt;&gt;1,Y2731&lt;&gt;"",AT2731&lt;&gt;""),"수정","원본")</f>
        <v/>
      </c>
      <c r="D2731" s="18" t="n">
        <v>851</v>
      </c>
      <c r="E2731" s="18" t="inlineStr">
        <is>
          <t>다태우지네</t>
        </is>
      </c>
      <c r="F2731" s="18" t="inlineStr">
        <is>
          <t>centiskorch</t>
        </is>
      </c>
      <c r="G2731" s="18" t="inlineStr">
        <is>
          <t>centiskorch</t>
        </is>
      </c>
      <c r="H2731" s="18" t="inlineStr"/>
      <c r="I2731" s="18" t="n">
        <v>8</v>
      </c>
      <c r="J2731" s="18" t="n"/>
      <c r="K2731" s="18" t="n">
        <v>8</v>
      </c>
      <c r="L2731" s="18" t="inlineStr">
        <is>
          <t>cobbleventure:generation_8</t>
        </is>
      </c>
      <c r="M2731" s="19" t="inlineStr">
        <is>
          <t>cobbleventure:generation_8</t>
        </is>
      </c>
      <c r="N2731" s="18" t="inlineStr"/>
      <c r="O2731" s="19" t="inlineStr"/>
      <c r="P2731" s="18" t="inlineStr">
        <is>
          <t>#cobblemon:nether/is_basalt</t>
        </is>
      </c>
      <c r="Q2731" s="19" t="inlineStr"/>
      <c r="R2731" s="18">
        <f>IF(Q2731="",P2731,Q2731)</f>
        <v/>
      </c>
      <c r="S2731" s="18" t="inlineStr"/>
      <c r="T2731" s="18" t="inlineStr">
        <is>
          <t>common</t>
        </is>
      </c>
      <c r="U2731" s="20" t="n">
        <v>0.6</v>
      </c>
      <c r="V2731" s="21" t="n">
        <v>1</v>
      </c>
      <c r="W2731" s="20">
        <f>IF(OR(U2731="",V2731=""),U2731,U2731*V2731)</f>
        <v/>
      </c>
      <c r="X2731" s="18" t="inlineStr">
        <is>
          <t>28-53</t>
        </is>
      </c>
      <c r="Y2731" s="19" t="inlineStr"/>
      <c r="Z2731" s="18">
        <f>IF(Y2731="",X2731,Y2731)</f>
        <v/>
      </c>
      <c r="AA2731" s="18" t="inlineStr">
        <is>
          <t>grounded</t>
        </is>
      </c>
      <c r="AB2731" s="18" t="inlineStr"/>
      <c r="AC2731" s="18" t="inlineStr"/>
      <c r="AD2731" s="18" t="inlineStr"/>
      <c r="AE2731" s="18" t="inlineStr"/>
      <c r="AF2731" s="18" t="inlineStr"/>
      <c r="AG2731" s="18" t="inlineStr"/>
      <c r="AH2731" s="18" t="inlineStr"/>
      <c r="AI2731" s="18" t="inlineStr">
        <is>
          <t>{"spawn":{"drops":{"amount":2,"entries":[{"item":"minecraft:blaze_powder","percentage":10.0},{"item":"cobblemon:charti_berry","percentage":5.0}]}}}</t>
        </is>
      </c>
      <c r="AJ2731" s="18" t="inlineStr">
        <is>
          <t>Cobblemon 동일</t>
        </is>
      </c>
      <c r="AK2731" s="18" t="inlineStr">
        <is>
          <t>사용</t>
        </is>
      </c>
      <c r="AL2731" s="18" t="inlineStr">
        <is>
          <t>COBBLEVERSE 1.7.42 / DP v31</t>
        </is>
      </c>
      <c r="AM2731" s="18" t="inlineStr">
        <is>
          <t>data/cobblemon/spawn_pool_world/0851_centiskorch.json</t>
        </is>
      </c>
      <c r="AN2731" s="18" t="inlineStr">
        <is>
          <t>centiskorch-2</t>
        </is>
      </c>
      <c r="AO2731" s="18" t="inlineStr">
        <is>
          <t>pokemon</t>
        </is>
      </c>
      <c r="AP2731" s="18" t="inlineStr">
        <is>
          <t>natural; wild</t>
        </is>
      </c>
      <c r="AQ2731" s="18" t="inlineStr">
        <is>
          <t>{"biomes":["#cobblemon:nether/is_basalt"]}</t>
        </is>
      </c>
      <c r="AR2731" s="18" t="inlineStr"/>
      <c r="AS2731" s="18" t="inlineStr"/>
      <c r="AT2731" s="19" t="inlineStr"/>
    </row>
    <row r="2732" ht="32" customHeight="1">
      <c r="A2732" s="18" t="inlineStr">
        <is>
          <t>0851_centiskorch.json::centiskorch-3::003</t>
        </is>
      </c>
      <c r="B2732" s="19" t="inlineStr">
        <is>
          <t>사용</t>
        </is>
      </c>
      <c r="C2732" s="18">
        <f>IF(OR(B2732&lt;&gt;AK2732,M2732&lt;&gt;L2732,O2732&lt;&gt;"",Q2732&lt;&gt;"",V2732&lt;&gt;1,Y2732&lt;&gt;"",AT2732&lt;&gt;""),"수정","원본")</f>
        <v/>
      </c>
      <c r="D2732" s="18" t="n">
        <v>851</v>
      </c>
      <c r="E2732" s="18" t="inlineStr">
        <is>
          <t>다태우지네</t>
        </is>
      </c>
      <c r="F2732" s="18" t="inlineStr">
        <is>
          <t>centiskorch</t>
        </is>
      </c>
      <c r="G2732" s="18" t="inlineStr">
        <is>
          <t>centiskorch</t>
        </is>
      </c>
      <c r="H2732" s="18" t="inlineStr"/>
      <c r="I2732" s="18" t="n">
        <v>8</v>
      </c>
      <c r="J2732" s="18" t="n"/>
      <c r="K2732" s="18" t="n">
        <v>8</v>
      </c>
      <c r="L2732" s="18" t="inlineStr">
        <is>
          <t>cobbleventure:generation_8</t>
        </is>
      </c>
      <c r="M2732" s="19" t="inlineStr">
        <is>
          <t>cobbleventure:generation_8</t>
        </is>
      </c>
      <c r="N2732" s="18" t="inlineStr"/>
      <c r="O2732" s="19" t="inlineStr"/>
      <c r="P2732" s="18" t="inlineStr">
        <is>
          <t>#cobblemon:nether/is_wasteland</t>
        </is>
      </c>
      <c r="Q2732" s="19" t="inlineStr"/>
      <c r="R2732" s="18">
        <f>IF(Q2732="",P2732,Q2732)</f>
        <v/>
      </c>
      <c r="S2732" s="18" t="inlineStr"/>
      <c r="T2732" s="18" t="inlineStr">
        <is>
          <t>common</t>
        </is>
      </c>
      <c r="U2732" s="20" t="n">
        <v>1</v>
      </c>
      <c r="V2732" s="21" t="n">
        <v>1</v>
      </c>
      <c r="W2732" s="20">
        <f>IF(OR(U2732="",V2732=""),U2732,U2732*V2732)</f>
        <v/>
      </c>
      <c r="X2732" s="18" t="inlineStr">
        <is>
          <t>28-53</t>
        </is>
      </c>
      <c r="Y2732" s="19" t="inlineStr"/>
      <c r="Z2732" s="18">
        <f>IF(Y2732="",X2732,Y2732)</f>
        <v/>
      </c>
      <c r="AA2732" s="18" t="inlineStr">
        <is>
          <t>grounded</t>
        </is>
      </c>
      <c r="AB2732" s="18" t="inlineStr"/>
      <c r="AC2732" s="18" t="inlineStr"/>
      <c r="AD2732" s="18" t="inlineStr"/>
      <c r="AE2732" s="18" t="inlineStr"/>
      <c r="AF2732" s="18" t="inlineStr"/>
      <c r="AG2732" s="18" t="inlineStr"/>
      <c r="AH2732" s="18" t="inlineStr"/>
      <c r="AI2732" s="18" t="inlineStr"/>
      <c r="AJ2732" s="18" t="inlineStr">
        <is>
          <t>Cobblemon 동일</t>
        </is>
      </c>
      <c r="AK2732" s="18" t="inlineStr">
        <is>
          <t>사용</t>
        </is>
      </c>
      <c r="AL2732" s="18" t="inlineStr">
        <is>
          <t>COBBLEVERSE 1.7.42 / DP v31</t>
        </is>
      </c>
      <c r="AM2732" s="18" t="inlineStr">
        <is>
          <t>data/cobblemon/spawn_pool_world/0851_centiskorch.json</t>
        </is>
      </c>
      <c r="AN2732" s="18" t="inlineStr">
        <is>
          <t>centiskorch-3</t>
        </is>
      </c>
      <c r="AO2732" s="18" t="inlineStr">
        <is>
          <t>pokemon</t>
        </is>
      </c>
      <c r="AP2732" s="18" t="inlineStr">
        <is>
          <t>natural; wild</t>
        </is>
      </c>
      <c r="AQ2732" s="18" t="inlineStr">
        <is>
          <t>{"biomes":["#cobblemon:nether/is_wasteland"]}</t>
        </is>
      </c>
      <c r="AR2732" s="18" t="inlineStr"/>
      <c r="AS2732" s="18" t="inlineStr"/>
      <c r="AT2732" s="19" t="inlineStr"/>
    </row>
    <row r="2733" ht="32" customHeight="1">
      <c r="A2733" s="18" t="inlineStr">
        <is>
          <t>0852_clobbopus.json::clobbopus-6::001</t>
        </is>
      </c>
      <c r="B2733" s="19" t="inlineStr">
        <is>
          <t>사용</t>
        </is>
      </c>
      <c r="C2733" s="18">
        <f>IF(OR(B2733&lt;&gt;AK2733,M2733&lt;&gt;L2733,O2733&lt;&gt;"",Q2733&lt;&gt;"",V2733&lt;&gt;1,Y2733&lt;&gt;"",AT2733&lt;&gt;""),"수정","원본")</f>
        <v/>
      </c>
      <c r="D2733" s="18" t="n">
        <v>852</v>
      </c>
      <c r="E2733" s="18" t="inlineStr">
        <is>
          <t>때때무노</t>
        </is>
      </c>
      <c r="F2733" s="18" t="inlineStr">
        <is>
          <t>clobbopus</t>
        </is>
      </c>
      <c r="G2733" s="18" t="inlineStr">
        <is>
          <t>clobbopus</t>
        </is>
      </c>
      <c r="H2733" s="18" t="inlineStr"/>
      <c r="I2733" s="18" t="n">
        <v>8</v>
      </c>
      <c r="J2733" s="18" t="n"/>
      <c r="K2733" s="18" t="n">
        <v>8</v>
      </c>
      <c r="L2733" s="18" t="inlineStr">
        <is>
          <t>cobbleventure:generation_8</t>
        </is>
      </c>
      <c r="M2733" s="19" t="inlineStr">
        <is>
          <t>cobbleventure:generation_8</t>
        </is>
      </c>
      <c r="N2733" s="18" t="inlineStr"/>
      <c r="O2733" s="19" t="inlineStr"/>
      <c r="P2733" s="18" t="inlineStr">
        <is>
          <t>#cobblemon:is_coast; #cobblemon:is_ocean; #cobblemon:is_tropical_island</t>
        </is>
      </c>
      <c r="Q2733" s="19" t="inlineStr"/>
      <c r="R2733" s="18">
        <f>IF(Q2733="",P2733,Q2733)</f>
        <v/>
      </c>
      <c r="S2733" s="18" t="inlineStr">
        <is>
          <t>#cobblemon:is_freezing</t>
        </is>
      </c>
      <c r="T2733" s="18" t="inlineStr">
        <is>
          <t>uncommon</t>
        </is>
      </c>
      <c r="U2733" s="20" t="n">
        <v>5.04</v>
      </c>
      <c r="V2733" s="21" t="n">
        <v>1</v>
      </c>
      <c r="W2733" s="20">
        <f>IF(OR(U2733="",V2733=""),U2733,U2733*V2733)</f>
        <v/>
      </c>
      <c r="X2733" s="18" t="inlineStr">
        <is>
          <t>6-31</t>
        </is>
      </c>
      <c r="Y2733" s="19" t="inlineStr"/>
      <c r="Z2733" s="18">
        <f>IF(Y2733="",X2733,Y2733)</f>
        <v/>
      </c>
      <c r="AA2733" s="18" t="inlineStr">
        <is>
          <t>fishing</t>
        </is>
      </c>
      <c r="AB2733" s="18" t="inlineStr"/>
      <c r="AC2733" s="18" t="inlineStr"/>
      <c r="AD2733" s="18" t="inlineStr"/>
      <c r="AE2733" s="18" t="inlineStr"/>
      <c r="AF2733" s="18" t="inlineStr">
        <is>
          <t>True</t>
        </is>
      </c>
      <c r="AG2733" s="18" t="inlineStr"/>
      <c r="AH2733" s="18" t="inlineStr"/>
      <c r="AI2733" s="18" t="inlineStr"/>
      <c r="AJ2733" s="18" t="inlineStr">
        <is>
          <t>Cobblemon 동일</t>
        </is>
      </c>
      <c r="AK2733" s="18" t="inlineStr">
        <is>
          <t>사용</t>
        </is>
      </c>
      <c r="AL2733" s="18" t="inlineStr">
        <is>
          <t>COBBLEVERSE 1.7.42 / DP v31</t>
        </is>
      </c>
      <c r="AM2733" s="18" t="inlineStr">
        <is>
          <t>data/cobblemon/spawn_pool_world/0852_clobbopus.json</t>
        </is>
      </c>
      <c r="AN2733" s="18" t="inlineStr">
        <is>
          <t>clobbopus-6</t>
        </is>
      </c>
      <c r="AO2733" s="18" t="inlineStr">
        <is>
          <t>pokemon</t>
        </is>
      </c>
      <c r="AP2733" s="18" t="inlineStr"/>
      <c r="AQ2733" s="18" t="inlineStr">
        <is>
          <t>{"biomes":["#cobblemon:is_coast","#cobblemon:is_ocean","#cobblemon:is_tropical_island"],"canSeeSky":true}</t>
        </is>
      </c>
      <c r="AR2733" s="18" t="inlineStr">
        <is>
          <t>{"biomes":["#cobblemon:is_freezing"],"minLureLevel":1}</t>
        </is>
      </c>
      <c r="AS2733" s="18" t="inlineStr"/>
      <c r="AT2733" s="19" t="inlineStr"/>
    </row>
    <row r="2734" ht="32" customHeight="1">
      <c r="A2734" s="18" t="inlineStr">
        <is>
          <t>0852_clobbopus.json::clobbopus-7::002</t>
        </is>
      </c>
      <c r="B2734" s="19" t="inlineStr">
        <is>
          <t>사용</t>
        </is>
      </c>
      <c r="C2734" s="18">
        <f>IF(OR(B2734&lt;&gt;AK2734,M2734&lt;&gt;L2734,O2734&lt;&gt;"",Q2734&lt;&gt;"",V2734&lt;&gt;1,Y2734&lt;&gt;"",AT2734&lt;&gt;""),"수정","원본")</f>
        <v/>
      </c>
      <c r="D2734" s="18" t="n">
        <v>852</v>
      </c>
      <c r="E2734" s="18" t="inlineStr">
        <is>
          <t>때때무노</t>
        </is>
      </c>
      <c r="F2734" s="18" t="inlineStr">
        <is>
          <t>clobbopus</t>
        </is>
      </c>
      <c r="G2734" s="18" t="inlineStr">
        <is>
          <t>clobbopus</t>
        </is>
      </c>
      <c r="H2734" s="18" t="inlineStr"/>
      <c r="I2734" s="18" t="n">
        <v>8</v>
      </c>
      <c r="J2734" s="18" t="n"/>
      <c r="K2734" s="18" t="n">
        <v>8</v>
      </c>
      <c r="L2734" s="18" t="inlineStr">
        <is>
          <t>cobbleventure:generation_8</t>
        </is>
      </c>
      <c r="M2734" s="19" t="inlineStr">
        <is>
          <t>cobbleventure:generation_8</t>
        </is>
      </c>
      <c r="N2734" s="18" t="inlineStr"/>
      <c r="O2734" s="19" t="inlineStr"/>
      <c r="P2734" s="18" t="inlineStr">
        <is>
          <t>#cobblemon:is_coast; #cobblemon:is_ocean; #cobblemon:is_tropical_island</t>
        </is>
      </c>
      <c r="Q2734" s="19" t="inlineStr"/>
      <c r="R2734" s="18">
        <f>IF(Q2734="",P2734,Q2734)</f>
        <v/>
      </c>
      <c r="S2734" s="18" t="inlineStr">
        <is>
          <t>#cobblemon:is_freezing</t>
        </is>
      </c>
      <c r="T2734" s="18" t="inlineStr">
        <is>
          <t>common</t>
        </is>
      </c>
      <c r="U2734" s="20" t="n">
        <v>1.8</v>
      </c>
      <c r="V2734" s="21" t="n">
        <v>1</v>
      </c>
      <c r="W2734" s="20">
        <f>IF(OR(U2734="",V2734=""),U2734,U2734*V2734)</f>
        <v/>
      </c>
      <c r="X2734" s="18" t="inlineStr">
        <is>
          <t>6-31</t>
        </is>
      </c>
      <c r="Y2734" s="19" t="inlineStr"/>
      <c r="Z2734" s="18">
        <f>IF(Y2734="",X2734,Y2734)</f>
        <v/>
      </c>
      <c r="AA2734" s="18" t="inlineStr">
        <is>
          <t>fishing</t>
        </is>
      </c>
      <c r="AB2734" s="18" t="inlineStr"/>
      <c r="AC2734" s="18" t="inlineStr"/>
      <c r="AD2734" s="18" t="inlineStr"/>
      <c r="AE2734" s="18" t="inlineStr"/>
      <c r="AF2734" s="18" t="inlineStr">
        <is>
          <t>True</t>
        </is>
      </c>
      <c r="AG2734" s="18" t="inlineStr"/>
      <c r="AH2734" s="18" t="inlineStr"/>
      <c r="AI2734" s="18" t="inlineStr">
        <is>
          <t>{"fishing":{"minLureLevel":1}}</t>
        </is>
      </c>
      <c r="AJ2734" s="18" t="inlineStr">
        <is>
          <t>Cobblemon 동일</t>
        </is>
      </c>
      <c r="AK2734" s="18" t="inlineStr">
        <is>
          <t>사용</t>
        </is>
      </c>
      <c r="AL2734" s="18" t="inlineStr">
        <is>
          <t>COBBLEVERSE 1.7.42 / DP v31</t>
        </is>
      </c>
      <c r="AM2734" s="18" t="inlineStr">
        <is>
          <t>data/cobblemon/spawn_pool_world/0852_clobbopus.json</t>
        </is>
      </c>
      <c r="AN2734" s="18" t="inlineStr">
        <is>
          <t>clobbopus-7</t>
        </is>
      </c>
      <c r="AO2734" s="18" t="inlineStr">
        <is>
          <t>pokemon</t>
        </is>
      </c>
      <c r="AP2734" s="18" t="inlineStr"/>
      <c r="AQ2734" s="18" t="inlineStr">
        <is>
          <t>{"biomes":["#cobblemon:is_coast","#cobblemon:is_ocean","#cobblemon:is_tropical_island"],"canSeeSky":true,"minLureLevel":1}</t>
        </is>
      </c>
      <c r="AR2734" s="18" t="inlineStr">
        <is>
          <t>{"biomes":["#cobblemon:is_freezing"]}</t>
        </is>
      </c>
      <c r="AS2734" s="18" t="inlineStr">
        <is>
          <t>{"weightMultiplier":{"condition":{"minLureLevel":3},"multiplier":3.0}}</t>
        </is>
      </c>
      <c r="AT2734" s="19" t="inlineStr"/>
    </row>
    <row r="2735" ht="32" customHeight="1">
      <c r="A2735" s="18" t="inlineStr">
        <is>
          <t>0852_clobbopus.json::clobbopus-8::003</t>
        </is>
      </c>
      <c r="B2735" s="19" t="inlineStr">
        <is>
          <t>사용</t>
        </is>
      </c>
      <c r="C2735" s="18">
        <f>IF(OR(B2735&lt;&gt;AK2735,M2735&lt;&gt;L2735,O2735&lt;&gt;"",Q2735&lt;&gt;"",V2735&lt;&gt;1,Y2735&lt;&gt;"",AT2735&lt;&gt;""),"수정","원본")</f>
        <v/>
      </c>
      <c r="D2735" s="18" t="n">
        <v>852</v>
      </c>
      <c r="E2735" s="18" t="inlineStr">
        <is>
          <t>때때무노</t>
        </is>
      </c>
      <c r="F2735" s="18" t="inlineStr">
        <is>
          <t>clobbopus</t>
        </is>
      </c>
      <c r="G2735" s="18" t="inlineStr">
        <is>
          <t>clobbopus</t>
        </is>
      </c>
      <c r="H2735" s="18" t="inlineStr"/>
      <c r="I2735" s="18" t="n">
        <v>8</v>
      </c>
      <c r="J2735" s="18" t="n"/>
      <c r="K2735" s="18" t="n">
        <v>8</v>
      </c>
      <c r="L2735" s="18" t="inlineStr">
        <is>
          <t>cobbleventure:generation_8</t>
        </is>
      </c>
      <c r="M2735" s="19" t="inlineStr">
        <is>
          <t>cobbleventure:generation_8</t>
        </is>
      </c>
      <c r="N2735" s="18" t="inlineStr"/>
      <c r="O2735" s="19" t="inlineStr"/>
      <c r="P2735" s="18" t="inlineStr">
        <is>
          <t>#cobblemon:is_coast; #cobblemon:is_ocean; #cobblemon:is_tropical_island</t>
        </is>
      </c>
      <c r="Q2735" s="19" t="inlineStr"/>
      <c r="R2735" s="18">
        <f>IF(Q2735="",P2735,Q2735)</f>
        <v/>
      </c>
      <c r="S2735" s="18" t="inlineStr">
        <is>
          <t>#cobblemon:is_freezing</t>
        </is>
      </c>
      <c r="T2735" s="18" t="inlineStr">
        <is>
          <t>uncommon</t>
        </is>
      </c>
      <c r="U2735" s="20" t="n">
        <v>5.04</v>
      </c>
      <c r="V2735" s="21" t="n">
        <v>1</v>
      </c>
      <c r="W2735" s="20">
        <f>IF(OR(U2735="",V2735=""),U2735,U2735*V2735)</f>
        <v/>
      </c>
      <c r="X2735" s="18" t="inlineStr">
        <is>
          <t>6-31</t>
        </is>
      </c>
      <c r="Y2735" s="19" t="inlineStr"/>
      <c r="Z2735" s="18">
        <f>IF(Y2735="",X2735,Y2735)</f>
        <v/>
      </c>
      <c r="AA2735" s="18" t="inlineStr">
        <is>
          <t>fishing</t>
        </is>
      </c>
      <c r="AB2735" s="18" t="inlineStr"/>
      <c r="AC2735" s="18" t="inlineStr"/>
      <c r="AD2735" s="18" t="inlineStr"/>
      <c r="AE2735" s="18" t="inlineStr">
        <is>
          <t>sky 8-15</t>
        </is>
      </c>
      <c r="AF2735" s="18" t="inlineStr">
        <is>
          <t>False</t>
        </is>
      </c>
      <c r="AG2735" s="18" t="inlineStr"/>
      <c r="AH2735" s="18" t="inlineStr"/>
      <c r="AI2735" s="18" t="inlineStr"/>
      <c r="AJ2735" s="18" t="inlineStr">
        <is>
          <t>Cobblemon 동일</t>
        </is>
      </c>
      <c r="AK2735" s="18" t="inlineStr">
        <is>
          <t>사용</t>
        </is>
      </c>
      <c r="AL2735" s="18" t="inlineStr">
        <is>
          <t>COBBLEVERSE 1.7.42 / DP v31</t>
        </is>
      </c>
      <c r="AM2735" s="18" t="inlineStr">
        <is>
          <t>data/cobblemon/spawn_pool_world/0852_clobbopus.json</t>
        </is>
      </c>
      <c r="AN2735" s="18" t="inlineStr">
        <is>
          <t>clobbopus-8</t>
        </is>
      </c>
      <c r="AO2735" s="18" t="inlineStr">
        <is>
          <t>pokemon</t>
        </is>
      </c>
      <c r="AP2735" s="18" t="inlineStr"/>
      <c r="AQ2735" s="18" t="inlineStr">
        <is>
          <t>{"biomes":["#cobblemon:is_coast","#cobblemon:is_ocean","#cobblemon:is_tropical_island"],"canSeeSky":false,"maxSkyLight":15,"minSkyLight":8}</t>
        </is>
      </c>
      <c r="AR2735" s="18" t="inlineStr">
        <is>
          <t>{"biomes":["#cobblemon:is_freezing"],"minLureLevel":1}</t>
        </is>
      </c>
      <c r="AS2735" s="18" t="inlineStr"/>
      <c r="AT2735" s="19" t="inlineStr"/>
    </row>
    <row r="2736" ht="32" customHeight="1">
      <c r="A2736" s="18" t="inlineStr">
        <is>
          <t>0852_clobbopus.json::clobbopus-9::004</t>
        </is>
      </c>
      <c r="B2736" s="19" t="inlineStr">
        <is>
          <t>사용</t>
        </is>
      </c>
      <c r="C2736" s="18">
        <f>IF(OR(B2736&lt;&gt;AK2736,M2736&lt;&gt;L2736,O2736&lt;&gt;"",Q2736&lt;&gt;"",V2736&lt;&gt;1,Y2736&lt;&gt;"",AT2736&lt;&gt;""),"수정","원본")</f>
        <v/>
      </c>
      <c r="D2736" s="18" t="n">
        <v>852</v>
      </c>
      <c r="E2736" s="18" t="inlineStr">
        <is>
          <t>때때무노</t>
        </is>
      </c>
      <c r="F2736" s="18" t="inlineStr">
        <is>
          <t>clobbopus</t>
        </is>
      </c>
      <c r="G2736" s="18" t="inlineStr">
        <is>
          <t>clobbopus</t>
        </is>
      </c>
      <c r="H2736" s="18" t="inlineStr"/>
      <c r="I2736" s="18" t="n">
        <v>8</v>
      </c>
      <c r="J2736" s="18" t="n"/>
      <c r="K2736" s="18" t="n">
        <v>8</v>
      </c>
      <c r="L2736" s="18" t="inlineStr">
        <is>
          <t>cobbleventure:generation_8</t>
        </is>
      </c>
      <c r="M2736" s="19" t="inlineStr">
        <is>
          <t>cobbleventure:generation_8</t>
        </is>
      </c>
      <c r="N2736" s="18" t="inlineStr"/>
      <c r="O2736" s="19" t="inlineStr"/>
      <c r="P2736" s="18" t="inlineStr">
        <is>
          <t>#cobblemon:is_coast; #cobblemon:is_ocean; #cobblemon:is_tropical_island</t>
        </is>
      </c>
      <c r="Q2736" s="19" t="inlineStr"/>
      <c r="R2736" s="18">
        <f>IF(Q2736="",P2736,Q2736)</f>
        <v/>
      </c>
      <c r="S2736" s="18" t="inlineStr">
        <is>
          <t>#cobblemon:is_freezing</t>
        </is>
      </c>
      <c r="T2736" s="18" t="inlineStr">
        <is>
          <t>common</t>
        </is>
      </c>
      <c r="U2736" s="20" t="n">
        <v>1.8</v>
      </c>
      <c r="V2736" s="21" t="n">
        <v>1</v>
      </c>
      <c r="W2736" s="20">
        <f>IF(OR(U2736="",V2736=""),U2736,U2736*V2736)</f>
        <v/>
      </c>
      <c r="X2736" s="18" t="inlineStr">
        <is>
          <t>6-31</t>
        </is>
      </c>
      <c r="Y2736" s="19" t="inlineStr"/>
      <c r="Z2736" s="18">
        <f>IF(Y2736="",X2736,Y2736)</f>
        <v/>
      </c>
      <c r="AA2736" s="18" t="inlineStr">
        <is>
          <t>fishing</t>
        </is>
      </c>
      <c r="AB2736" s="18" t="inlineStr"/>
      <c r="AC2736" s="18" t="inlineStr"/>
      <c r="AD2736" s="18" t="inlineStr"/>
      <c r="AE2736" s="18" t="inlineStr">
        <is>
          <t>sky 8-15</t>
        </is>
      </c>
      <c r="AF2736" s="18" t="inlineStr">
        <is>
          <t>False</t>
        </is>
      </c>
      <c r="AG2736" s="18" t="inlineStr"/>
      <c r="AH2736" s="18" t="inlineStr"/>
      <c r="AI2736" s="18" t="inlineStr">
        <is>
          <t>{"fishing":{"minLureLevel":1}}</t>
        </is>
      </c>
      <c r="AJ2736" s="18" t="inlineStr">
        <is>
          <t>Cobblemon 동일</t>
        </is>
      </c>
      <c r="AK2736" s="18" t="inlineStr">
        <is>
          <t>사용</t>
        </is>
      </c>
      <c r="AL2736" s="18" t="inlineStr">
        <is>
          <t>COBBLEVERSE 1.7.42 / DP v31</t>
        </is>
      </c>
      <c r="AM2736" s="18" t="inlineStr">
        <is>
          <t>data/cobblemon/spawn_pool_world/0852_clobbopus.json</t>
        </is>
      </c>
      <c r="AN2736" s="18" t="inlineStr">
        <is>
          <t>clobbopus-9</t>
        </is>
      </c>
      <c r="AO2736" s="18" t="inlineStr">
        <is>
          <t>pokemon</t>
        </is>
      </c>
      <c r="AP2736" s="18" t="inlineStr"/>
      <c r="AQ2736" s="18" t="inlineStr">
        <is>
          <t>{"biomes":["#cobblemon:is_coast","#cobblemon:is_ocean","#cobblemon:is_tropical_island"],"canSeeSky":false,"maxSkyLight":15,"minLureLevel":1,"minSkyLight":8}</t>
        </is>
      </c>
      <c r="AR2736" s="18" t="inlineStr">
        <is>
          <t>{"biomes":["#cobblemon:is_freezing"]}</t>
        </is>
      </c>
      <c r="AS2736" s="18" t="inlineStr">
        <is>
          <t>{"weightMultiplier":{"condition":{"minLureLevel":3},"multiplier":3.0}}</t>
        </is>
      </c>
      <c r="AT2736" s="19" t="inlineStr"/>
    </row>
    <row r="2737" ht="32" customHeight="1">
      <c r="A2737" s="18" t="inlineStr">
        <is>
          <t>0852_clobbopus.json::clobbopus-1::005</t>
        </is>
      </c>
      <c r="B2737" s="19" t="inlineStr">
        <is>
          <t>사용</t>
        </is>
      </c>
      <c r="C2737" s="18">
        <f>IF(OR(B2737&lt;&gt;AK2737,M2737&lt;&gt;L2737,O2737&lt;&gt;"",Q2737&lt;&gt;"",V2737&lt;&gt;1,Y2737&lt;&gt;"",AT2737&lt;&gt;""),"수정","원본")</f>
        <v/>
      </c>
      <c r="D2737" s="18" t="n">
        <v>852</v>
      </c>
      <c r="E2737" s="18" t="inlineStr">
        <is>
          <t>때때무노</t>
        </is>
      </c>
      <c r="F2737" s="18" t="inlineStr">
        <is>
          <t>clobbopus</t>
        </is>
      </c>
      <c r="G2737" s="18" t="inlineStr">
        <is>
          <t>clobbopus</t>
        </is>
      </c>
      <c r="H2737" s="18" t="inlineStr"/>
      <c r="I2737" s="18" t="n">
        <v>8</v>
      </c>
      <c r="J2737" s="18" t="n"/>
      <c r="K2737" s="18" t="n">
        <v>8</v>
      </c>
      <c r="L2737" s="18" t="inlineStr">
        <is>
          <t>cobbleventure:generation_8</t>
        </is>
      </c>
      <c r="M2737" s="19" t="inlineStr">
        <is>
          <t>cobbleventure:generation_8</t>
        </is>
      </c>
      <c r="N2737" s="18" t="inlineStr"/>
      <c r="O2737" s="19" t="inlineStr"/>
      <c r="P2737" s="18" t="inlineStr">
        <is>
          <t>#cobblemon:is_coast</t>
        </is>
      </c>
      <c r="Q2737" s="19" t="inlineStr"/>
      <c r="R2737" s="18">
        <f>IF(Q2737="",P2737,Q2737)</f>
        <v/>
      </c>
      <c r="S2737" s="18" t="inlineStr"/>
      <c r="T2737" s="18" t="inlineStr">
        <is>
          <t>uncommon</t>
        </is>
      </c>
      <c r="U2737" s="20" t="n">
        <v>1.68</v>
      </c>
      <c r="V2737" s="21" t="n">
        <v>1</v>
      </c>
      <c r="W2737" s="20">
        <f>IF(OR(U2737="",V2737=""),U2737,U2737*V2737)</f>
        <v/>
      </c>
      <c r="X2737" s="18" t="inlineStr">
        <is>
          <t>6-31</t>
        </is>
      </c>
      <c r="Y2737" s="19" t="inlineStr"/>
      <c r="Z2737" s="18">
        <f>IF(Y2737="",X2737,Y2737)</f>
        <v/>
      </c>
      <c r="AA2737" s="18" t="inlineStr">
        <is>
          <t>grounded</t>
        </is>
      </c>
      <c r="AB2737" s="18" t="inlineStr"/>
      <c r="AC2737" s="18" t="inlineStr"/>
      <c r="AD2737" s="18" t="inlineStr"/>
      <c r="AE2737" s="18" t="inlineStr">
        <is>
          <t>sky 8-15</t>
        </is>
      </c>
      <c r="AF2737" s="18" t="inlineStr"/>
      <c r="AG2737" s="18" t="inlineStr"/>
      <c r="AH2737" s="18" t="inlineStr"/>
      <c r="AI2737" s="18" t="inlineStr"/>
      <c r="AJ2737" s="18" t="inlineStr">
        <is>
          <t>Cobblemon 동일</t>
        </is>
      </c>
      <c r="AK2737" s="18" t="inlineStr">
        <is>
          <t>사용</t>
        </is>
      </c>
      <c r="AL2737" s="18" t="inlineStr">
        <is>
          <t>COBBLEVERSE 1.7.42 / DP v31</t>
        </is>
      </c>
      <c r="AM2737" s="18" t="inlineStr">
        <is>
          <t>data/cobblemon/spawn_pool_world/0852_clobbopus.json</t>
        </is>
      </c>
      <c r="AN2737" s="18" t="inlineStr">
        <is>
          <t>clobbopus-1</t>
        </is>
      </c>
      <c r="AO2737" s="18" t="inlineStr">
        <is>
          <t>pokemon</t>
        </is>
      </c>
      <c r="AP2737" s="18" t="inlineStr">
        <is>
          <t>natural; wild</t>
        </is>
      </c>
      <c r="AQ2737" s="18" t="inlineStr">
        <is>
          <t>{"biomes":["#cobblemon:is_coast"],"maxSkyLight":15,"minSkyLight":8}</t>
        </is>
      </c>
      <c r="AR2737" s="18" t="inlineStr"/>
      <c r="AS2737" s="18" t="inlineStr"/>
      <c r="AT2737" s="19" t="inlineStr"/>
    </row>
    <row r="2738" ht="32" customHeight="1">
      <c r="A2738" s="18" t="inlineStr">
        <is>
          <t>0852_clobbopus.json::clobbopus-2::006</t>
        </is>
      </c>
      <c r="B2738" s="19" t="inlineStr">
        <is>
          <t>사용</t>
        </is>
      </c>
      <c r="C2738" s="18">
        <f>IF(OR(B2738&lt;&gt;AK2738,M2738&lt;&gt;L2738,O2738&lt;&gt;"",Q2738&lt;&gt;"",V2738&lt;&gt;1,Y2738&lt;&gt;"",AT2738&lt;&gt;""),"수정","원본")</f>
        <v/>
      </c>
      <c r="D2738" s="18" t="n">
        <v>852</v>
      </c>
      <c r="E2738" s="18" t="inlineStr">
        <is>
          <t>때때무노</t>
        </is>
      </c>
      <c r="F2738" s="18" t="inlineStr">
        <is>
          <t>clobbopus</t>
        </is>
      </c>
      <c r="G2738" s="18" t="inlineStr">
        <is>
          <t>clobbopus</t>
        </is>
      </c>
      <c r="H2738" s="18" t="inlineStr"/>
      <c r="I2738" s="18" t="n">
        <v>8</v>
      </c>
      <c r="J2738" s="18" t="n"/>
      <c r="K2738" s="18" t="n">
        <v>8</v>
      </c>
      <c r="L2738" s="18" t="inlineStr">
        <is>
          <t>cobbleventure:generation_8</t>
        </is>
      </c>
      <c r="M2738" s="19" t="inlineStr">
        <is>
          <t>cobbleventure:generation_8</t>
        </is>
      </c>
      <c r="N2738" s="18" t="inlineStr"/>
      <c r="O2738" s="19" t="inlineStr"/>
      <c r="P2738" s="18" t="inlineStr">
        <is>
          <t>#cobblemon:is_ocean</t>
        </is>
      </c>
      <c r="Q2738" s="19" t="inlineStr"/>
      <c r="R2738" s="18">
        <f>IF(Q2738="",P2738,Q2738)</f>
        <v/>
      </c>
      <c r="S2738" s="18" t="inlineStr">
        <is>
          <t>#cobblemon:is_frozen_ocean</t>
        </is>
      </c>
      <c r="T2738" s="18" t="inlineStr">
        <is>
          <t>uncommon</t>
        </is>
      </c>
      <c r="U2738" s="20" t="n">
        <v>5.04</v>
      </c>
      <c r="V2738" s="21" t="n">
        <v>1</v>
      </c>
      <c r="W2738" s="20">
        <f>IF(OR(U2738="",V2738=""),U2738,U2738*V2738)</f>
        <v/>
      </c>
      <c r="X2738" s="18" t="inlineStr">
        <is>
          <t>6-31</t>
        </is>
      </c>
      <c r="Y2738" s="19" t="inlineStr"/>
      <c r="Z2738" s="18">
        <f>IF(Y2738="",X2738,Y2738)</f>
        <v/>
      </c>
      <c r="AA2738" s="18" t="inlineStr">
        <is>
          <t>seafloor</t>
        </is>
      </c>
      <c r="AB2738" s="18" t="inlineStr"/>
      <c r="AC2738" s="18" t="inlineStr"/>
      <c r="AD2738" s="18" t="inlineStr"/>
      <c r="AE2738" s="18" t="inlineStr"/>
      <c r="AF2738" s="18" t="inlineStr">
        <is>
          <t>True</t>
        </is>
      </c>
      <c r="AG2738" s="18" t="inlineStr"/>
      <c r="AH2738" s="18" t="inlineStr"/>
      <c r="AI2738" s="18" t="inlineStr"/>
      <c r="AJ2738" s="18" t="inlineStr">
        <is>
          <t>Cobblemon 동일</t>
        </is>
      </c>
      <c r="AK2738" s="18" t="inlineStr">
        <is>
          <t>사용</t>
        </is>
      </c>
      <c r="AL2738" s="18" t="inlineStr">
        <is>
          <t>COBBLEVERSE 1.7.42 / DP v31</t>
        </is>
      </c>
      <c r="AM2738" s="18" t="inlineStr">
        <is>
          <t>data/cobblemon/spawn_pool_world/0852_clobbopus.json</t>
        </is>
      </c>
      <c r="AN2738" s="18" t="inlineStr">
        <is>
          <t>clobbopus-2</t>
        </is>
      </c>
      <c r="AO2738" s="18" t="inlineStr">
        <is>
          <t>pokemon</t>
        </is>
      </c>
      <c r="AP2738" s="18" t="inlineStr">
        <is>
          <t>water</t>
        </is>
      </c>
      <c r="AQ2738" s="18" t="inlineStr">
        <is>
          <t>{"biomes":["#cobblemon:is_ocean"],"canSeeSky":true}</t>
        </is>
      </c>
      <c r="AR2738" s="18" t="inlineStr">
        <is>
          <t>{"biomes":["#cobblemon:is_frozen_ocean"]}</t>
        </is>
      </c>
      <c r="AS2738" s="18" t="inlineStr"/>
      <c r="AT2738" s="19" t="inlineStr"/>
    </row>
    <row r="2739" ht="32" customHeight="1">
      <c r="A2739" s="18" t="inlineStr">
        <is>
          <t>0852_clobbopus.json::clobbopus-3::007</t>
        </is>
      </c>
      <c r="B2739" s="19" t="inlineStr">
        <is>
          <t>사용</t>
        </is>
      </c>
      <c r="C2739" s="18">
        <f>IF(OR(B2739&lt;&gt;AK2739,M2739&lt;&gt;L2739,O2739&lt;&gt;"",Q2739&lt;&gt;"",V2739&lt;&gt;1,Y2739&lt;&gt;"",AT2739&lt;&gt;""),"수정","원본")</f>
        <v/>
      </c>
      <c r="D2739" s="18" t="n">
        <v>852</v>
      </c>
      <c r="E2739" s="18" t="inlineStr">
        <is>
          <t>때때무노</t>
        </is>
      </c>
      <c r="F2739" s="18" t="inlineStr">
        <is>
          <t>clobbopus</t>
        </is>
      </c>
      <c r="G2739" s="18" t="inlineStr">
        <is>
          <t>clobbopus</t>
        </is>
      </c>
      <c r="H2739" s="18" t="inlineStr"/>
      <c r="I2739" s="18" t="n">
        <v>8</v>
      </c>
      <c r="J2739" s="18" t="n"/>
      <c r="K2739" s="18" t="n">
        <v>8</v>
      </c>
      <c r="L2739" s="18" t="inlineStr">
        <is>
          <t>cobbleventure:generation_8</t>
        </is>
      </c>
      <c r="M2739" s="19" t="inlineStr">
        <is>
          <t>cobbleventure:generation_8</t>
        </is>
      </c>
      <c r="N2739" s="18" t="inlineStr">
        <is>
          <t>region_01; region_02</t>
        </is>
      </c>
      <c r="O2739" s="19" t="inlineStr"/>
      <c r="P2739" s="18" t="inlineStr">
        <is>
          <t>#cobblemon:is_overworld</t>
        </is>
      </c>
      <c r="Q2739" s="19" t="inlineStr"/>
      <c r="R2739" s="18">
        <f>IF(Q2739="",P2739,Q2739)</f>
        <v/>
      </c>
      <c r="S2739" s="18" t="inlineStr"/>
      <c r="T2739" s="18" t="inlineStr">
        <is>
          <t>uncommon</t>
        </is>
      </c>
      <c r="U2739" s="20" t="n">
        <v>5.04</v>
      </c>
      <c r="V2739" s="21" t="n">
        <v>1</v>
      </c>
      <c r="W2739" s="20">
        <f>IF(OR(U2739="",V2739=""),U2739,U2739*V2739)</f>
        <v/>
      </c>
      <c r="X2739" s="18" t="inlineStr">
        <is>
          <t>6-31</t>
        </is>
      </c>
      <c r="Y2739" s="19" t="inlineStr"/>
      <c r="Z2739" s="18">
        <f>IF(Y2739="",X2739,Y2739)</f>
        <v/>
      </c>
      <c r="AA2739" s="18" t="inlineStr">
        <is>
          <t>seafloor</t>
        </is>
      </c>
      <c r="AB2739" s="18" t="inlineStr"/>
      <c r="AC2739" s="18" t="inlineStr"/>
      <c r="AD2739" s="18" t="inlineStr">
        <is>
          <t>minY=-60, maxY=13</t>
        </is>
      </c>
      <c r="AE2739" s="18" t="inlineStr"/>
      <c r="AF2739" s="18" t="inlineStr">
        <is>
          <t>False</t>
        </is>
      </c>
      <c r="AG2739" s="18" t="inlineStr">
        <is>
          <t>cobblemon:shipwreck_coves/submerged_shipwreck_cove</t>
        </is>
      </c>
      <c r="AH2739" s="18" t="inlineStr"/>
      <c r="AI2739" s="18" t="inlineStr"/>
      <c r="AJ2739" s="18" t="inlineStr">
        <is>
          <t>Cobblemon 동일</t>
        </is>
      </c>
      <c r="AK2739" s="18" t="inlineStr">
        <is>
          <t>사용</t>
        </is>
      </c>
      <c r="AL2739" s="18" t="inlineStr">
        <is>
          <t>COBBLEVERSE 1.7.42 / DP v31</t>
        </is>
      </c>
      <c r="AM2739" s="18" t="inlineStr">
        <is>
          <t>data/cobblemon/spawn_pool_world/0852_clobbopus.json</t>
        </is>
      </c>
      <c r="AN2739" s="18" t="inlineStr">
        <is>
          <t>clobbopus-3</t>
        </is>
      </c>
      <c r="AO2739" s="18" t="inlineStr">
        <is>
          <t>pokemon</t>
        </is>
      </c>
      <c r="AP2739" s="18" t="inlineStr">
        <is>
          <t>water</t>
        </is>
      </c>
      <c r="AQ2739" s="18" t="inlineStr">
        <is>
          <t>{"biomes":["#cobblemon:is_overworld"],"canSeeSky":false,"maxY":13,"minY":-60,"structures":["cobblemon:shipwreck_coves/submerged_shipwreck_cove"]}</t>
        </is>
      </c>
      <c r="AR2739" s="18" t="inlineStr"/>
      <c r="AS2739" s="18" t="inlineStr"/>
      <c r="AT2739" s="19" t="inlineStr"/>
    </row>
    <row r="2740" ht="32" customHeight="1">
      <c r="A2740" s="18" t="inlineStr">
        <is>
          <t>0852_clobbopus.json::clobbopus-4::008</t>
        </is>
      </c>
      <c r="B2740" s="19" t="inlineStr">
        <is>
          <t>사용</t>
        </is>
      </c>
      <c r="C2740" s="18">
        <f>IF(OR(B2740&lt;&gt;AK2740,M2740&lt;&gt;L2740,O2740&lt;&gt;"",Q2740&lt;&gt;"",V2740&lt;&gt;1,Y2740&lt;&gt;"",AT2740&lt;&gt;""),"수정","원본")</f>
        <v/>
      </c>
      <c r="D2740" s="18" t="n">
        <v>852</v>
      </c>
      <c r="E2740" s="18" t="inlineStr">
        <is>
          <t>때때무노</t>
        </is>
      </c>
      <c r="F2740" s="18" t="inlineStr">
        <is>
          <t>clobbopus</t>
        </is>
      </c>
      <c r="G2740" s="18" t="inlineStr">
        <is>
          <t>clobbopus</t>
        </is>
      </c>
      <c r="H2740" s="18" t="inlineStr"/>
      <c r="I2740" s="18" t="n">
        <v>8</v>
      </c>
      <c r="J2740" s="18" t="n"/>
      <c r="K2740" s="18" t="n">
        <v>8</v>
      </c>
      <c r="L2740" s="18" t="inlineStr">
        <is>
          <t>cobbleventure:generation_8</t>
        </is>
      </c>
      <c r="M2740" s="19" t="inlineStr">
        <is>
          <t>cobbleventure:generation_8</t>
        </is>
      </c>
      <c r="N2740" s="18" t="inlineStr">
        <is>
          <t>region_01; region_02</t>
        </is>
      </c>
      <c r="O2740" s="19" t="inlineStr"/>
      <c r="P2740" s="18" t="inlineStr">
        <is>
          <t>#cobblemon:is_overworld</t>
        </is>
      </c>
      <c r="Q2740" s="19" t="inlineStr"/>
      <c r="R2740" s="18">
        <f>IF(Q2740="",P2740,Q2740)</f>
        <v/>
      </c>
      <c r="S2740" s="18" t="inlineStr"/>
      <c r="T2740" s="18" t="inlineStr">
        <is>
          <t>uncommon</t>
        </is>
      </c>
      <c r="U2740" s="20" t="n">
        <v>5.04</v>
      </c>
      <c r="V2740" s="21" t="n">
        <v>1</v>
      </c>
      <c r="W2740" s="20">
        <f>IF(OR(U2740="",V2740=""),U2740,U2740*V2740)</f>
        <v/>
      </c>
      <c r="X2740" s="18" t="inlineStr">
        <is>
          <t>6-31</t>
        </is>
      </c>
      <c r="Y2740" s="19" t="inlineStr"/>
      <c r="Z2740" s="18">
        <f>IF(Y2740="",X2740,Y2740)</f>
        <v/>
      </c>
      <c r="AA2740" s="18" t="inlineStr">
        <is>
          <t>fishing</t>
        </is>
      </c>
      <c r="AB2740" s="18" t="inlineStr"/>
      <c r="AC2740" s="18" t="inlineStr"/>
      <c r="AD2740" s="18" t="inlineStr">
        <is>
          <t>minY=-60, maxY=13</t>
        </is>
      </c>
      <c r="AE2740" s="18" t="inlineStr"/>
      <c r="AF2740" s="18" t="inlineStr">
        <is>
          <t>False</t>
        </is>
      </c>
      <c r="AG2740" s="18" t="inlineStr">
        <is>
          <t>cobblemon:shipwreck_coves/submerged_shipwreck_cove</t>
        </is>
      </c>
      <c r="AH2740" s="18" t="inlineStr"/>
      <c r="AI2740" s="18" t="inlineStr"/>
      <c r="AJ2740" s="18" t="inlineStr">
        <is>
          <t>Cobblemon 동일</t>
        </is>
      </c>
      <c r="AK2740" s="18" t="inlineStr">
        <is>
          <t>사용</t>
        </is>
      </c>
      <c r="AL2740" s="18" t="inlineStr">
        <is>
          <t>COBBLEVERSE 1.7.42 / DP v31</t>
        </is>
      </c>
      <c r="AM2740" s="18" t="inlineStr">
        <is>
          <t>data/cobblemon/spawn_pool_world/0852_clobbopus.json</t>
        </is>
      </c>
      <c r="AN2740" s="18" t="inlineStr">
        <is>
          <t>clobbopus-4</t>
        </is>
      </c>
      <c r="AO2740" s="18" t="inlineStr">
        <is>
          <t>pokemon</t>
        </is>
      </c>
      <c r="AP2740" s="18" t="inlineStr"/>
      <c r="AQ2740" s="18" t="inlineStr">
        <is>
          <t>{"biomes":["#cobblemon:is_overworld"],"canSeeSky":false,"maxY":13,"minY":-60,"structures":["cobblemon:shipwreck_coves/submerged_shipwreck_cove"]}</t>
        </is>
      </c>
      <c r="AR2740" s="18" t="inlineStr">
        <is>
          <t>{"minLureLevel":1}</t>
        </is>
      </c>
      <c r="AS2740" s="18" t="inlineStr"/>
      <c r="AT2740" s="19" t="inlineStr"/>
    </row>
    <row r="2741" ht="32" customHeight="1">
      <c r="A2741" s="18" t="inlineStr">
        <is>
          <t>0852_clobbopus.json::clobbopus-5::009</t>
        </is>
      </c>
      <c r="B2741" s="19" t="inlineStr">
        <is>
          <t>사용</t>
        </is>
      </c>
      <c r="C2741" s="18">
        <f>IF(OR(B2741&lt;&gt;AK2741,M2741&lt;&gt;L2741,O2741&lt;&gt;"",Q2741&lt;&gt;"",V2741&lt;&gt;1,Y2741&lt;&gt;"",AT2741&lt;&gt;""),"수정","원본")</f>
        <v/>
      </c>
      <c r="D2741" s="18" t="n">
        <v>852</v>
      </c>
      <c r="E2741" s="18" t="inlineStr">
        <is>
          <t>때때무노</t>
        </is>
      </c>
      <c r="F2741" s="18" t="inlineStr">
        <is>
          <t>clobbopus</t>
        </is>
      </c>
      <c r="G2741" s="18" t="inlineStr">
        <is>
          <t>clobbopus</t>
        </is>
      </c>
      <c r="H2741" s="18" t="inlineStr"/>
      <c r="I2741" s="18" t="n">
        <v>8</v>
      </c>
      <c r="J2741" s="18" t="n"/>
      <c r="K2741" s="18" t="n">
        <v>8</v>
      </c>
      <c r="L2741" s="18" t="inlineStr">
        <is>
          <t>cobbleventure:generation_8</t>
        </is>
      </c>
      <c r="M2741" s="19" t="inlineStr">
        <is>
          <t>cobbleventure:generation_8</t>
        </is>
      </c>
      <c r="N2741" s="18" t="inlineStr">
        <is>
          <t>region_01; region_02</t>
        </is>
      </c>
      <c r="O2741" s="19" t="inlineStr"/>
      <c r="P2741" s="18" t="inlineStr">
        <is>
          <t>#cobblemon:is_overworld</t>
        </is>
      </c>
      <c r="Q2741" s="19" t="inlineStr"/>
      <c r="R2741" s="18">
        <f>IF(Q2741="",P2741,Q2741)</f>
        <v/>
      </c>
      <c r="S2741" s="18" t="inlineStr"/>
      <c r="T2741" s="18" t="inlineStr">
        <is>
          <t>common</t>
        </is>
      </c>
      <c r="U2741" s="20" t="n">
        <v>1.8</v>
      </c>
      <c r="V2741" s="21" t="n">
        <v>1</v>
      </c>
      <c r="W2741" s="20">
        <f>IF(OR(U2741="",V2741=""),U2741,U2741*V2741)</f>
        <v/>
      </c>
      <c r="X2741" s="18" t="inlineStr">
        <is>
          <t>6-31</t>
        </is>
      </c>
      <c r="Y2741" s="19" t="inlineStr"/>
      <c r="Z2741" s="18">
        <f>IF(Y2741="",X2741,Y2741)</f>
        <v/>
      </c>
      <c r="AA2741" s="18" t="inlineStr">
        <is>
          <t>fishing</t>
        </is>
      </c>
      <c r="AB2741" s="18" t="inlineStr"/>
      <c r="AC2741" s="18" t="inlineStr"/>
      <c r="AD2741" s="18" t="inlineStr">
        <is>
          <t>minY=-60, maxY=13</t>
        </is>
      </c>
      <c r="AE2741" s="18" t="inlineStr"/>
      <c r="AF2741" s="18" t="inlineStr">
        <is>
          <t>False</t>
        </is>
      </c>
      <c r="AG2741" s="18" t="inlineStr">
        <is>
          <t>cobblemon:shipwreck_coves/submerged_shipwreck_cove</t>
        </is>
      </c>
      <c r="AH2741" s="18" t="inlineStr"/>
      <c r="AI2741" s="18" t="inlineStr">
        <is>
          <t>{"fishing":{"minLureLevel":1}}</t>
        </is>
      </c>
      <c r="AJ2741" s="18" t="inlineStr">
        <is>
          <t>Cobblemon 동일</t>
        </is>
      </c>
      <c r="AK2741" s="18" t="inlineStr">
        <is>
          <t>사용</t>
        </is>
      </c>
      <c r="AL2741" s="18" t="inlineStr">
        <is>
          <t>COBBLEVERSE 1.7.42 / DP v31</t>
        </is>
      </c>
      <c r="AM2741" s="18" t="inlineStr">
        <is>
          <t>data/cobblemon/spawn_pool_world/0852_clobbopus.json</t>
        </is>
      </c>
      <c r="AN2741" s="18" t="inlineStr">
        <is>
          <t>clobbopus-5</t>
        </is>
      </c>
      <c r="AO2741" s="18" t="inlineStr">
        <is>
          <t>pokemon</t>
        </is>
      </c>
      <c r="AP2741" s="18" t="inlineStr"/>
      <c r="AQ2741" s="18" t="inlineStr">
        <is>
          <t>{"biomes":["#cobblemon:is_overworld"],"canSeeSky":false,"maxY":13,"minLureLevel":1,"minY":-60,"structures":["cobblemon:shipwreck_coves/submerged_shipwreck_cove"]}</t>
        </is>
      </c>
      <c r="AR2741" s="18" t="inlineStr"/>
      <c r="AS2741" s="18" t="inlineStr">
        <is>
          <t>{"weightMultiplier":{"condition":{"minLureLevel":3},"multiplier":3.0}}</t>
        </is>
      </c>
      <c r="AT2741" s="19" t="inlineStr"/>
    </row>
    <row r="2742" ht="32" customHeight="1">
      <c r="A2742" s="18" t="inlineStr">
        <is>
          <t>0853_grapploct.json::grapploct-6::001</t>
        </is>
      </c>
      <c r="B2742" s="19" t="inlineStr">
        <is>
          <t>사용</t>
        </is>
      </c>
      <c r="C2742" s="18">
        <f>IF(OR(B2742&lt;&gt;AK2742,M2742&lt;&gt;L2742,O2742&lt;&gt;"",Q2742&lt;&gt;"",V2742&lt;&gt;1,Y2742&lt;&gt;"",AT2742&lt;&gt;""),"수정","원본")</f>
        <v/>
      </c>
      <c r="D2742" s="18" t="n">
        <v>853</v>
      </c>
      <c r="E2742" s="18" t="inlineStr">
        <is>
          <t>케오퍼스</t>
        </is>
      </c>
      <c r="F2742" s="18" t="inlineStr">
        <is>
          <t>grapploct</t>
        </is>
      </c>
      <c r="G2742" s="18" t="inlineStr">
        <is>
          <t>grapploct</t>
        </is>
      </c>
      <c r="H2742" s="18" t="inlineStr"/>
      <c r="I2742" s="18" t="n">
        <v>8</v>
      </c>
      <c r="J2742" s="18" t="n"/>
      <c r="K2742" s="18" t="n">
        <v>8</v>
      </c>
      <c r="L2742" s="18" t="inlineStr">
        <is>
          <t>cobbleventure:generation_8</t>
        </is>
      </c>
      <c r="M2742" s="19" t="inlineStr">
        <is>
          <t>cobbleventure:generation_8</t>
        </is>
      </c>
      <c r="N2742" s="18" t="inlineStr"/>
      <c r="O2742" s="19" t="inlineStr"/>
      <c r="P2742" s="18" t="inlineStr">
        <is>
          <t>#cobblemon:is_coast; #cobblemon:is_ocean; #cobblemon:is_tropical_island</t>
        </is>
      </c>
      <c r="Q2742" s="19" t="inlineStr"/>
      <c r="R2742" s="18">
        <f>IF(Q2742="",P2742,Q2742)</f>
        <v/>
      </c>
      <c r="S2742" s="18" t="inlineStr">
        <is>
          <t>#cobblemon:is_freezing</t>
        </is>
      </c>
      <c r="T2742" s="18" t="inlineStr">
        <is>
          <t>uncommon</t>
        </is>
      </c>
      <c r="U2742" s="20" t="n">
        <v>0.96</v>
      </c>
      <c r="V2742" s="21" t="n">
        <v>1</v>
      </c>
      <c r="W2742" s="20">
        <f>IF(OR(U2742="",V2742=""),U2742,U2742*V2742)</f>
        <v/>
      </c>
      <c r="X2742" s="18" t="inlineStr">
        <is>
          <t>35-48</t>
        </is>
      </c>
      <c r="Y2742" s="19" t="inlineStr"/>
      <c r="Z2742" s="18">
        <f>IF(Y2742="",X2742,Y2742)</f>
        <v/>
      </c>
      <c r="AA2742" s="18" t="inlineStr">
        <is>
          <t>fishing</t>
        </is>
      </c>
      <c r="AB2742" s="18" t="inlineStr"/>
      <c r="AC2742" s="18" t="inlineStr"/>
      <c r="AD2742" s="18" t="inlineStr"/>
      <c r="AE2742" s="18" t="inlineStr"/>
      <c r="AF2742" s="18" t="inlineStr">
        <is>
          <t>True</t>
        </is>
      </c>
      <c r="AG2742" s="18" t="inlineStr"/>
      <c r="AH2742" s="18" t="inlineStr"/>
      <c r="AI2742" s="18" t="inlineStr"/>
      <c r="AJ2742" s="18" t="inlineStr">
        <is>
          <t>Cobblemon 동일</t>
        </is>
      </c>
      <c r="AK2742" s="18" t="inlineStr">
        <is>
          <t>사용</t>
        </is>
      </c>
      <c r="AL2742" s="18" t="inlineStr">
        <is>
          <t>COBBLEVERSE 1.7.42 / DP v31</t>
        </is>
      </c>
      <c r="AM2742" s="18" t="inlineStr">
        <is>
          <t>data/cobblemon/spawn_pool_world/0853_grapploct.json</t>
        </is>
      </c>
      <c r="AN2742" s="18" t="inlineStr">
        <is>
          <t>grapploct-6</t>
        </is>
      </c>
      <c r="AO2742" s="18" t="inlineStr">
        <is>
          <t>pokemon</t>
        </is>
      </c>
      <c r="AP2742" s="18" t="inlineStr"/>
      <c r="AQ2742" s="18" t="inlineStr">
        <is>
          <t>{"biomes":["#cobblemon:is_coast","#cobblemon:is_ocean","#cobblemon:is_tropical_island"],"canSeeSky":true}</t>
        </is>
      </c>
      <c r="AR2742" s="18" t="inlineStr">
        <is>
          <t>{"biomes":["#cobblemon:is_freezing"],"minLureLevel":1}</t>
        </is>
      </c>
      <c r="AS2742" s="18" t="inlineStr"/>
      <c r="AT2742" s="19" t="inlineStr"/>
    </row>
    <row r="2743" ht="32" customHeight="1">
      <c r="A2743" s="18" t="inlineStr">
        <is>
          <t>0853_grapploct.json::grapploct-7::002</t>
        </is>
      </c>
      <c r="B2743" s="19" t="inlineStr">
        <is>
          <t>사용</t>
        </is>
      </c>
      <c r="C2743" s="18">
        <f>IF(OR(B2743&lt;&gt;AK2743,M2743&lt;&gt;L2743,O2743&lt;&gt;"",Q2743&lt;&gt;"",V2743&lt;&gt;1,Y2743&lt;&gt;"",AT2743&lt;&gt;""),"수정","원본")</f>
        <v/>
      </c>
      <c r="D2743" s="18" t="n">
        <v>853</v>
      </c>
      <c r="E2743" s="18" t="inlineStr">
        <is>
          <t>케오퍼스</t>
        </is>
      </c>
      <c r="F2743" s="18" t="inlineStr">
        <is>
          <t>grapploct</t>
        </is>
      </c>
      <c r="G2743" s="18" t="inlineStr">
        <is>
          <t>grapploct</t>
        </is>
      </c>
      <c r="H2743" s="18" t="inlineStr"/>
      <c r="I2743" s="18" t="n">
        <v>8</v>
      </c>
      <c r="J2743" s="18" t="n"/>
      <c r="K2743" s="18" t="n">
        <v>8</v>
      </c>
      <c r="L2743" s="18" t="inlineStr">
        <is>
          <t>cobbleventure:generation_8</t>
        </is>
      </c>
      <c r="M2743" s="19" t="inlineStr">
        <is>
          <t>cobbleventure:generation_8</t>
        </is>
      </c>
      <c r="N2743" s="18" t="inlineStr"/>
      <c r="O2743" s="19" t="inlineStr"/>
      <c r="P2743" s="18" t="inlineStr">
        <is>
          <t>#cobblemon:is_coast; #cobblemon:is_ocean; #cobblemon:is_tropical_island</t>
        </is>
      </c>
      <c r="Q2743" s="19" t="inlineStr"/>
      <c r="R2743" s="18">
        <f>IF(Q2743="",P2743,Q2743)</f>
        <v/>
      </c>
      <c r="S2743" s="18" t="inlineStr">
        <is>
          <t>#cobblemon:is_freezing</t>
        </is>
      </c>
      <c r="T2743" s="18" t="inlineStr">
        <is>
          <t>common</t>
        </is>
      </c>
      <c r="U2743" s="20" t="n">
        <v>0.2</v>
      </c>
      <c r="V2743" s="21" t="n">
        <v>1</v>
      </c>
      <c r="W2743" s="20">
        <f>IF(OR(U2743="",V2743=""),U2743,U2743*V2743)</f>
        <v/>
      </c>
      <c r="X2743" s="18" t="inlineStr">
        <is>
          <t>35-48</t>
        </is>
      </c>
      <c r="Y2743" s="19" t="inlineStr"/>
      <c r="Z2743" s="18">
        <f>IF(Y2743="",X2743,Y2743)</f>
        <v/>
      </c>
      <c r="AA2743" s="18" t="inlineStr">
        <is>
          <t>fishing</t>
        </is>
      </c>
      <c r="AB2743" s="18" t="inlineStr"/>
      <c r="AC2743" s="18" t="inlineStr"/>
      <c r="AD2743" s="18" t="inlineStr"/>
      <c r="AE2743" s="18" t="inlineStr"/>
      <c r="AF2743" s="18" t="inlineStr">
        <is>
          <t>True</t>
        </is>
      </c>
      <c r="AG2743" s="18" t="inlineStr"/>
      <c r="AH2743" s="18" t="inlineStr"/>
      <c r="AI2743" s="18" t="inlineStr">
        <is>
          <t>{"fishing":{"minLureLevel":1}}</t>
        </is>
      </c>
      <c r="AJ2743" s="18" t="inlineStr">
        <is>
          <t>Cobblemon 동일</t>
        </is>
      </c>
      <c r="AK2743" s="18" t="inlineStr">
        <is>
          <t>사용</t>
        </is>
      </c>
      <c r="AL2743" s="18" t="inlineStr">
        <is>
          <t>COBBLEVERSE 1.7.42 / DP v31</t>
        </is>
      </c>
      <c r="AM2743" s="18" t="inlineStr">
        <is>
          <t>data/cobblemon/spawn_pool_world/0853_grapploct.json</t>
        </is>
      </c>
      <c r="AN2743" s="18" t="inlineStr">
        <is>
          <t>grapploct-7</t>
        </is>
      </c>
      <c r="AO2743" s="18" t="inlineStr">
        <is>
          <t>pokemon</t>
        </is>
      </c>
      <c r="AP2743" s="18" t="inlineStr"/>
      <c r="AQ2743" s="18" t="inlineStr">
        <is>
          <t>{"biomes":["#cobblemon:is_coast","#cobblemon:is_ocean","#cobblemon:is_tropical_island"],"canSeeSky":true,"minLureLevel":1}</t>
        </is>
      </c>
      <c r="AR2743" s="18" t="inlineStr">
        <is>
          <t>{"biomes":["#cobblemon:is_freezing"]}</t>
        </is>
      </c>
      <c r="AS2743" s="18" t="inlineStr">
        <is>
          <t>{"weightMultiplier":{"condition":{"minLureLevel":3},"multiplier":3.0}}</t>
        </is>
      </c>
      <c r="AT2743" s="19" t="inlineStr"/>
    </row>
    <row r="2744" ht="32" customHeight="1">
      <c r="A2744" s="18" t="inlineStr">
        <is>
          <t>0853_grapploct.json::grapploct-8::003</t>
        </is>
      </c>
      <c r="B2744" s="19" t="inlineStr">
        <is>
          <t>사용</t>
        </is>
      </c>
      <c r="C2744" s="18">
        <f>IF(OR(B2744&lt;&gt;AK2744,M2744&lt;&gt;L2744,O2744&lt;&gt;"",Q2744&lt;&gt;"",V2744&lt;&gt;1,Y2744&lt;&gt;"",AT2744&lt;&gt;""),"수정","원본")</f>
        <v/>
      </c>
      <c r="D2744" s="18" t="n">
        <v>853</v>
      </c>
      <c r="E2744" s="18" t="inlineStr">
        <is>
          <t>케오퍼스</t>
        </is>
      </c>
      <c r="F2744" s="18" t="inlineStr">
        <is>
          <t>grapploct</t>
        </is>
      </c>
      <c r="G2744" s="18" t="inlineStr">
        <is>
          <t>grapploct</t>
        </is>
      </c>
      <c r="H2744" s="18" t="inlineStr"/>
      <c r="I2744" s="18" t="n">
        <v>8</v>
      </c>
      <c r="J2744" s="18" t="n"/>
      <c r="K2744" s="18" t="n">
        <v>8</v>
      </c>
      <c r="L2744" s="18" t="inlineStr">
        <is>
          <t>cobbleventure:generation_8</t>
        </is>
      </c>
      <c r="M2744" s="19" t="inlineStr">
        <is>
          <t>cobbleventure:generation_8</t>
        </is>
      </c>
      <c r="N2744" s="18" t="inlineStr"/>
      <c r="O2744" s="19" t="inlineStr"/>
      <c r="P2744" s="18" t="inlineStr">
        <is>
          <t>#cobblemon:is_coast; #cobblemon:is_ocean; #cobblemon:is_tropical_island</t>
        </is>
      </c>
      <c r="Q2744" s="19" t="inlineStr"/>
      <c r="R2744" s="18">
        <f>IF(Q2744="",P2744,Q2744)</f>
        <v/>
      </c>
      <c r="S2744" s="18" t="inlineStr">
        <is>
          <t>#cobblemon:is_freezing</t>
        </is>
      </c>
      <c r="T2744" s="18" t="inlineStr">
        <is>
          <t>uncommon</t>
        </is>
      </c>
      <c r="U2744" s="20" t="n">
        <v>0.96</v>
      </c>
      <c r="V2744" s="21" t="n">
        <v>1</v>
      </c>
      <c r="W2744" s="20">
        <f>IF(OR(U2744="",V2744=""),U2744,U2744*V2744)</f>
        <v/>
      </c>
      <c r="X2744" s="18" t="inlineStr">
        <is>
          <t>35-48</t>
        </is>
      </c>
      <c r="Y2744" s="19" t="inlineStr"/>
      <c r="Z2744" s="18">
        <f>IF(Y2744="",X2744,Y2744)</f>
        <v/>
      </c>
      <c r="AA2744" s="18" t="inlineStr">
        <is>
          <t>fishing</t>
        </is>
      </c>
      <c r="AB2744" s="18" t="inlineStr"/>
      <c r="AC2744" s="18" t="inlineStr"/>
      <c r="AD2744" s="18" t="inlineStr"/>
      <c r="AE2744" s="18" t="inlineStr">
        <is>
          <t>sky 8-15</t>
        </is>
      </c>
      <c r="AF2744" s="18" t="inlineStr">
        <is>
          <t>False</t>
        </is>
      </c>
      <c r="AG2744" s="18" t="inlineStr"/>
      <c r="AH2744" s="18" t="inlineStr"/>
      <c r="AI2744" s="18" t="inlineStr"/>
      <c r="AJ2744" s="18" t="inlineStr">
        <is>
          <t>Cobblemon 동일</t>
        </is>
      </c>
      <c r="AK2744" s="18" t="inlineStr">
        <is>
          <t>사용</t>
        </is>
      </c>
      <c r="AL2744" s="18" t="inlineStr">
        <is>
          <t>COBBLEVERSE 1.7.42 / DP v31</t>
        </is>
      </c>
      <c r="AM2744" s="18" t="inlineStr">
        <is>
          <t>data/cobblemon/spawn_pool_world/0853_grapploct.json</t>
        </is>
      </c>
      <c r="AN2744" s="18" t="inlineStr">
        <is>
          <t>grapploct-8</t>
        </is>
      </c>
      <c r="AO2744" s="18" t="inlineStr">
        <is>
          <t>pokemon</t>
        </is>
      </c>
      <c r="AP2744" s="18" t="inlineStr"/>
      <c r="AQ2744" s="18" t="inlineStr">
        <is>
          <t>{"biomes":["#cobblemon:is_coast","#cobblemon:is_ocean","#cobblemon:is_tropical_island"],"canSeeSky":false,"maxSkyLight":15,"minSkyLight":8}</t>
        </is>
      </c>
      <c r="AR2744" s="18" t="inlineStr">
        <is>
          <t>{"biomes":["#cobblemon:is_freezing"],"minLureLevel":1}</t>
        </is>
      </c>
      <c r="AS2744" s="18" t="inlineStr"/>
      <c r="AT2744" s="19" t="inlineStr"/>
    </row>
    <row r="2745" ht="32" customHeight="1">
      <c r="A2745" s="18" t="inlineStr">
        <is>
          <t>0853_grapploct.json::grapploct-9::004</t>
        </is>
      </c>
      <c r="B2745" s="19" t="inlineStr">
        <is>
          <t>사용</t>
        </is>
      </c>
      <c r="C2745" s="18">
        <f>IF(OR(B2745&lt;&gt;AK2745,M2745&lt;&gt;L2745,O2745&lt;&gt;"",Q2745&lt;&gt;"",V2745&lt;&gt;1,Y2745&lt;&gt;"",AT2745&lt;&gt;""),"수정","원본")</f>
        <v/>
      </c>
      <c r="D2745" s="18" t="n">
        <v>853</v>
      </c>
      <c r="E2745" s="18" t="inlineStr">
        <is>
          <t>케오퍼스</t>
        </is>
      </c>
      <c r="F2745" s="18" t="inlineStr">
        <is>
          <t>grapploct</t>
        </is>
      </c>
      <c r="G2745" s="18" t="inlineStr">
        <is>
          <t>grapploct</t>
        </is>
      </c>
      <c r="H2745" s="18" t="inlineStr"/>
      <c r="I2745" s="18" t="n">
        <v>8</v>
      </c>
      <c r="J2745" s="18" t="n"/>
      <c r="K2745" s="18" t="n">
        <v>8</v>
      </c>
      <c r="L2745" s="18" t="inlineStr">
        <is>
          <t>cobbleventure:generation_8</t>
        </is>
      </c>
      <c r="M2745" s="19" t="inlineStr">
        <is>
          <t>cobbleventure:generation_8</t>
        </is>
      </c>
      <c r="N2745" s="18" t="inlineStr"/>
      <c r="O2745" s="19" t="inlineStr"/>
      <c r="P2745" s="18" t="inlineStr">
        <is>
          <t>#cobblemon:is_coast; #cobblemon:is_ocean; #cobblemon:is_tropical_island</t>
        </is>
      </c>
      <c r="Q2745" s="19" t="inlineStr"/>
      <c r="R2745" s="18">
        <f>IF(Q2745="",P2745,Q2745)</f>
        <v/>
      </c>
      <c r="S2745" s="18" t="inlineStr">
        <is>
          <t>#cobblemon:is_freezing</t>
        </is>
      </c>
      <c r="T2745" s="18" t="inlineStr">
        <is>
          <t>common</t>
        </is>
      </c>
      <c r="U2745" s="20" t="n">
        <v>0.2</v>
      </c>
      <c r="V2745" s="21" t="n">
        <v>1</v>
      </c>
      <c r="W2745" s="20">
        <f>IF(OR(U2745="",V2745=""),U2745,U2745*V2745)</f>
        <v/>
      </c>
      <c r="X2745" s="18" t="inlineStr">
        <is>
          <t>35-48</t>
        </is>
      </c>
      <c r="Y2745" s="19" t="inlineStr"/>
      <c r="Z2745" s="18">
        <f>IF(Y2745="",X2745,Y2745)</f>
        <v/>
      </c>
      <c r="AA2745" s="18" t="inlineStr">
        <is>
          <t>fishing</t>
        </is>
      </c>
      <c r="AB2745" s="18" t="inlineStr"/>
      <c r="AC2745" s="18" t="inlineStr"/>
      <c r="AD2745" s="18" t="inlineStr"/>
      <c r="AE2745" s="18" t="inlineStr">
        <is>
          <t>sky 8-15</t>
        </is>
      </c>
      <c r="AF2745" s="18" t="inlineStr">
        <is>
          <t>False</t>
        </is>
      </c>
      <c r="AG2745" s="18" t="inlineStr"/>
      <c r="AH2745" s="18" t="inlineStr"/>
      <c r="AI2745" s="18" t="inlineStr">
        <is>
          <t>{"fishing":{"minLureLevel":1}}</t>
        </is>
      </c>
      <c r="AJ2745" s="18" t="inlineStr">
        <is>
          <t>Cobblemon 동일</t>
        </is>
      </c>
      <c r="AK2745" s="18" t="inlineStr">
        <is>
          <t>사용</t>
        </is>
      </c>
      <c r="AL2745" s="18" t="inlineStr">
        <is>
          <t>COBBLEVERSE 1.7.42 / DP v31</t>
        </is>
      </c>
      <c r="AM2745" s="18" t="inlineStr">
        <is>
          <t>data/cobblemon/spawn_pool_world/0853_grapploct.json</t>
        </is>
      </c>
      <c r="AN2745" s="18" t="inlineStr">
        <is>
          <t>grapploct-9</t>
        </is>
      </c>
      <c r="AO2745" s="18" t="inlineStr">
        <is>
          <t>pokemon</t>
        </is>
      </c>
      <c r="AP2745" s="18" t="inlineStr"/>
      <c r="AQ2745" s="18" t="inlineStr">
        <is>
          <t>{"biomes":["#cobblemon:is_coast","#cobblemon:is_ocean","#cobblemon:is_tropical_island"],"canSeeSky":false,"maxSkyLight":15,"minLureLevel":1,"minSkyLight":8}</t>
        </is>
      </c>
      <c r="AR2745" s="18" t="inlineStr">
        <is>
          <t>{"biomes":["#cobblemon:is_freezing"]}</t>
        </is>
      </c>
      <c r="AS2745" s="18" t="inlineStr">
        <is>
          <t>{"weightMultiplier":{"condition":{"minLureLevel":3},"multiplier":3.0}}</t>
        </is>
      </c>
      <c r="AT2745" s="19" t="inlineStr"/>
    </row>
    <row r="2746" ht="32" customHeight="1">
      <c r="A2746" s="18" t="inlineStr">
        <is>
          <t>0853_grapploct.json::grapploct-1::005</t>
        </is>
      </c>
      <c r="B2746" s="19" t="inlineStr">
        <is>
          <t>사용</t>
        </is>
      </c>
      <c r="C2746" s="18">
        <f>IF(OR(B2746&lt;&gt;AK2746,M2746&lt;&gt;L2746,O2746&lt;&gt;"",Q2746&lt;&gt;"",V2746&lt;&gt;1,Y2746&lt;&gt;"",AT2746&lt;&gt;""),"수정","원본")</f>
        <v/>
      </c>
      <c r="D2746" s="18" t="n">
        <v>853</v>
      </c>
      <c r="E2746" s="18" t="inlineStr">
        <is>
          <t>케오퍼스</t>
        </is>
      </c>
      <c r="F2746" s="18" t="inlineStr">
        <is>
          <t>grapploct</t>
        </is>
      </c>
      <c r="G2746" s="18" t="inlineStr">
        <is>
          <t>grapploct</t>
        </is>
      </c>
      <c r="H2746" s="18" t="inlineStr"/>
      <c r="I2746" s="18" t="n">
        <v>8</v>
      </c>
      <c r="J2746" s="18" t="n"/>
      <c r="K2746" s="18" t="n">
        <v>8</v>
      </c>
      <c r="L2746" s="18" t="inlineStr">
        <is>
          <t>cobbleventure:generation_8</t>
        </is>
      </c>
      <c r="M2746" s="19" t="inlineStr">
        <is>
          <t>cobbleventure:generation_8</t>
        </is>
      </c>
      <c r="N2746" s="18" t="inlineStr"/>
      <c r="O2746" s="19" t="inlineStr"/>
      <c r="P2746" s="18" t="inlineStr">
        <is>
          <t>#cobblemon:is_coast</t>
        </is>
      </c>
      <c r="Q2746" s="19" t="inlineStr"/>
      <c r="R2746" s="18">
        <f>IF(Q2746="",P2746,Q2746)</f>
        <v/>
      </c>
      <c r="S2746" s="18" t="inlineStr"/>
      <c r="T2746" s="18" t="inlineStr">
        <is>
          <t>uncommon</t>
        </is>
      </c>
      <c r="U2746" s="20" t="n">
        <v>0.32</v>
      </c>
      <c r="V2746" s="21" t="n">
        <v>1</v>
      </c>
      <c r="W2746" s="20">
        <f>IF(OR(U2746="",V2746=""),U2746,U2746*V2746)</f>
        <v/>
      </c>
      <c r="X2746" s="18" t="inlineStr">
        <is>
          <t>35-48</t>
        </is>
      </c>
      <c r="Y2746" s="19" t="inlineStr"/>
      <c r="Z2746" s="18">
        <f>IF(Y2746="",X2746,Y2746)</f>
        <v/>
      </c>
      <c r="AA2746" s="18" t="inlineStr">
        <is>
          <t>grounded</t>
        </is>
      </c>
      <c r="AB2746" s="18" t="inlineStr"/>
      <c r="AC2746" s="18" t="inlineStr"/>
      <c r="AD2746" s="18" t="inlineStr"/>
      <c r="AE2746" s="18" t="inlineStr">
        <is>
          <t>sky 8-15</t>
        </is>
      </c>
      <c r="AF2746" s="18" t="inlineStr"/>
      <c r="AG2746" s="18" t="inlineStr"/>
      <c r="AH2746" s="18" t="inlineStr"/>
      <c r="AI2746" s="18" t="inlineStr"/>
      <c r="AJ2746" s="18" t="inlineStr">
        <is>
          <t>Cobblemon 동일</t>
        </is>
      </c>
      <c r="AK2746" s="18" t="inlineStr">
        <is>
          <t>사용</t>
        </is>
      </c>
      <c r="AL2746" s="18" t="inlineStr">
        <is>
          <t>COBBLEVERSE 1.7.42 / DP v31</t>
        </is>
      </c>
      <c r="AM2746" s="18" t="inlineStr">
        <is>
          <t>data/cobblemon/spawn_pool_world/0853_grapploct.json</t>
        </is>
      </c>
      <c r="AN2746" s="18" t="inlineStr">
        <is>
          <t>grapploct-1</t>
        </is>
      </c>
      <c r="AO2746" s="18" t="inlineStr">
        <is>
          <t>pokemon</t>
        </is>
      </c>
      <c r="AP2746" s="18" t="inlineStr">
        <is>
          <t>natural; wild</t>
        </is>
      </c>
      <c r="AQ2746" s="18" t="inlineStr">
        <is>
          <t>{"biomes":["#cobblemon:is_coast"],"maxSkyLight":15,"minSkyLight":8}</t>
        </is>
      </c>
      <c r="AR2746" s="18" t="inlineStr"/>
      <c r="AS2746" s="18" t="inlineStr"/>
      <c r="AT2746" s="19" t="inlineStr"/>
    </row>
    <row r="2747" ht="32" customHeight="1">
      <c r="A2747" s="18" t="inlineStr">
        <is>
          <t>0853_grapploct.json::grapploct-2::006</t>
        </is>
      </c>
      <c r="B2747" s="19" t="inlineStr">
        <is>
          <t>사용</t>
        </is>
      </c>
      <c r="C2747" s="18">
        <f>IF(OR(B2747&lt;&gt;AK2747,M2747&lt;&gt;L2747,O2747&lt;&gt;"",Q2747&lt;&gt;"",V2747&lt;&gt;1,Y2747&lt;&gt;"",AT2747&lt;&gt;""),"수정","원본")</f>
        <v/>
      </c>
      <c r="D2747" s="18" t="n">
        <v>853</v>
      </c>
      <c r="E2747" s="18" t="inlineStr">
        <is>
          <t>케오퍼스</t>
        </is>
      </c>
      <c r="F2747" s="18" t="inlineStr">
        <is>
          <t>grapploct</t>
        </is>
      </c>
      <c r="G2747" s="18" t="inlineStr">
        <is>
          <t>grapploct</t>
        </is>
      </c>
      <c r="H2747" s="18" t="inlineStr"/>
      <c r="I2747" s="18" t="n">
        <v>8</v>
      </c>
      <c r="J2747" s="18" t="n"/>
      <c r="K2747" s="18" t="n">
        <v>8</v>
      </c>
      <c r="L2747" s="18" t="inlineStr">
        <is>
          <t>cobbleventure:generation_8</t>
        </is>
      </c>
      <c r="M2747" s="19" t="inlineStr">
        <is>
          <t>cobbleventure:generation_8</t>
        </is>
      </c>
      <c r="N2747" s="18" t="inlineStr"/>
      <c r="O2747" s="19" t="inlineStr"/>
      <c r="P2747" s="18" t="inlineStr">
        <is>
          <t>#cobblemon:is_ocean</t>
        </is>
      </c>
      <c r="Q2747" s="19" t="inlineStr"/>
      <c r="R2747" s="18">
        <f>IF(Q2747="",P2747,Q2747)</f>
        <v/>
      </c>
      <c r="S2747" s="18" t="inlineStr">
        <is>
          <t>#cobblemon:is_frozen_ocean</t>
        </is>
      </c>
      <c r="T2747" s="18" t="inlineStr">
        <is>
          <t>uncommon</t>
        </is>
      </c>
      <c r="U2747" s="20" t="n">
        <v>0.96</v>
      </c>
      <c r="V2747" s="21" t="n">
        <v>1</v>
      </c>
      <c r="W2747" s="20">
        <f>IF(OR(U2747="",V2747=""),U2747,U2747*V2747)</f>
        <v/>
      </c>
      <c r="X2747" s="18" t="inlineStr">
        <is>
          <t>35-48</t>
        </is>
      </c>
      <c r="Y2747" s="19" t="inlineStr"/>
      <c r="Z2747" s="18">
        <f>IF(Y2747="",X2747,Y2747)</f>
        <v/>
      </c>
      <c r="AA2747" s="18" t="inlineStr">
        <is>
          <t>seafloor</t>
        </is>
      </c>
      <c r="AB2747" s="18" t="inlineStr"/>
      <c r="AC2747" s="18" t="inlineStr"/>
      <c r="AD2747" s="18" t="inlineStr"/>
      <c r="AE2747" s="18" t="inlineStr"/>
      <c r="AF2747" s="18" t="inlineStr">
        <is>
          <t>True</t>
        </is>
      </c>
      <c r="AG2747" s="18" t="inlineStr"/>
      <c r="AH2747" s="18" t="inlineStr"/>
      <c r="AI2747" s="18" t="inlineStr"/>
      <c r="AJ2747" s="18" t="inlineStr">
        <is>
          <t>Cobblemon 동일</t>
        </is>
      </c>
      <c r="AK2747" s="18" t="inlineStr">
        <is>
          <t>사용</t>
        </is>
      </c>
      <c r="AL2747" s="18" t="inlineStr">
        <is>
          <t>COBBLEVERSE 1.7.42 / DP v31</t>
        </is>
      </c>
      <c r="AM2747" s="18" t="inlineStr">
        <is>
          <t>data/cobblemon/spawn_pool_world/0853_grapploct.json</t>
        </is>
      </c>
      <c r="AN2747" s="18" t="inlineStr">
        <is>
          <t>grapploct-2</t>
        </is>
      </c>
      <c r="AO2747" s="18" t="inlineStr">
        <is>
          <t>pokemon</t>
        </is>
      </c>
      <c r="AP2747" s="18" t="inlineStr">
        <is>
          <t>water</t>
        </is>
      </c>
      <c r="AQ2747" s="18" t="inlineStr">
        <is>
          <t>{"biomes":["#cobblemon:is_ocean"],"canSeeSky":true}</t>
        </is>
      </c>
      <c r="AR2747" s="18" t="inlineStr">
        <is>
          <t>{"biomes":["#cobblemon:is_frozen_ocean"]}</t>
        </is>
      </c>
      <c r="AS2747" s="18" t="inlineStr"/>
      <c r="AT2747" s="19" t="inlineStr"/>
    </row>
    <row r="2748" ht="32" customHeight="1">
      <c r="A2748" s="18" t="inlineStr">
        <is>
          <t>0853_grapploct.json::grapploct-3::007</t>
        </is>
      </c>
      <c r="B2748" s="19" t="inlineStr">
        <is>
          <t>사용</t>
        </is>
      </c>
      <c r="C2748" s="18">
        <f>IF(OR(B2748&lt;&gt;AK2748,M2748&lt;&gt;L2748,O2748&lt;&gt;"",Q2748&lt;&gt;"",V2748&lt;&gt;1,Y2748&lt;&gt;"",AT2748&lt;&gt;""),"수정","원본")</f>
        <v/>
      </c>
      <c r="D2748" s="18" t="n">
        <v>853</v>
      </c>
      <c r="E2748" s="18" t="inlineStr">
        <is>
          <t>케오퍼스</t>
        </is>
      </c>
      <c r="F2748" s="18" t="inlineStr">
        <is>
          <t>grapploct</t>
        </is>
      </c>
      <c r="G2748" s="18" t="inlineStr">
        <is>
          <t>grapploct</t>
        </is>
      </c>
      <c r="H2748" s="18" t="inlineStr"/>
      <c r="I2748" s="18" t="n">
        <v>8</v>
      </c>
      <c r="J2748" s="18" t="n"/>
      <c r="K2748" s="18" t="n">
        <v>8</v>
      </c>
      <c r="L2748" s="18" t="inlineStr">
        <is>
          <t>cobbleventure:generation_8</t>
        </is>
      </c>
      <c r="M2748" s="19" t="inlineStr">
        <is>
          <t>cobbleventure:generation_8</t>
        </is>
      </c>
      <c r="N2748" s="18" t="inlineStr">
        <is>
          <t>region_01; region_02</t>
        </is>
      </c>
      <c r="O2748" s="19" t="inlineStr"/>
      <c r="P2748" s="18" t="inlineStr">
        <is>
          <t>#cobblemon:is_overworld</t>
        </is>
      </c>
      <c r="Q2748" s="19" t="inlineStr"/>
      <c r="R2748" s="18">
        <f>IF(Q2748="",P2748,Q2748)</f>
        <v/>
      </c>
      <c r="S2748" s="18" t="inlineStr"/>
      <c r="T2748" s="18" t="inlineStr">
        <is>
          <t>uncommon</t>
        </is>
      </c>
      <c r="U2748" s="20" t="n">
        <v>0.96</v>
      </c>
      <c r="V2748" s="21" t="n">
        <v>1</v>
      </c>
      <c r="W2748" s="20">
        <f>IF(OR(U2748="",V2748=""),U2748,U2748*V2748)</f>
        <v/>
      </c>
      <c r="X2748" s="18" t="inlineStr">
        <is>
          <t>35-48</t>
        </is>
      </c>
      <c r="Y2748" s="19" t="inlineStr"/>
      <c r="Z2748" s="18">
        <f>IF(Y2748="",X2748,Y2748)</f>
        <v/>
      </c>
      <c r="AA2748" s="18" t="inlineStr">
        <is>
          <t>seafloor</t>
        </is>
      </c>
      <c r="AB2748" s="18" t="inlineStr"/>
      <c r="AC2748" s="18" t="inlineStr"/>
      <c r="AD2748" s="18" t="inlineStr">
        <is>
          <t>minY=-60, maxY=13</t>
        </is>
      </c>
      <c r="AE2748" s="18" t="inlineStr"/>
      <c r="AF2748" s="18" t="inlineStr">
        <is>
          <t>False</t>
        </is>
      </c>
      <c r="AG2748" s="18" t="inlineStr">
        <is>
          <t>cobblemon:shipwreck_coves/submerged_shipwreck_cove</t>
        </is>
      </c>
      <c r="AH2748" s="18" t="inlineStr"/>
      <c r="AI2748" s="18" t="inlineStr"/>
      <c r="AJ2748" s="18" t="inlineStr">
        <is>
          <t>Cobblemon 동일</t>
        </is>
      </c>
      <c r="AK2748" s="18" t="inlineStr">
        <is>
          <t>사용</t>
        </is>
      </c>
      <c r="AL2748" s="18" t="inlineStr">
        <is>
          <t>COBBLEVERSE 1.7.42 / DP v31</t>
        </is>
      </c>
      <c r="AM2748" s="18" t="inlineStr">
        <is>
          <t>data/cobblemon/spawn_pool_world/0853_grapploct.json</t>
        </is>
      </c>
      <c r="AN2748" s="18" t="inlineStr">
        <is>
          <t>grapploct-3</t>
        </is>
      </c>
      <c r="AO2748" s="18" t="inlineStr">
        <is>
          <t>pokemon</t>
        </is>
      </c>
      <c r="AP2748" s="18" t="inlineStr">
        <is>
          <t>water</t>
        </is>
      </c>
      <c r="AQ2748" s="18" t="inlineStr">
        <is>
          <t>{"biomes":["#cobblemon:is_overworld"],"canSeeSky":false,"maxY":13,"minY":-60,"structures":["cobblemon:shipwreck_coves/submerged_shipwreck_cove"]}</t>
        </is>
      </c>
      <c r="AR2748" s="18" t="inlineStr"/>
      <c r="AS2748" s="18" t="inlineStr"/>
      <c r="AT2748" s="19" t="inlineStr"/>
    </row>
    <row r="2749" ht="32" customHeight="1">
      <c r="A2749" s="18" t="inlineStr">
        <is>
          <t>0853_grapploct.json::grapploct-4::008</t>
        </is>
      </c>
      <c r="B2749" s="19" t="inlineStr">
        <is>
          <t>사용</t>
        </is>
      </c>
      <c r="C2749" s="18">
        <f>IF(OR(B2749&lt;&gt;AK2749,M2749&lt;&gt;L2749,O2749&lt;&gt;"",Q2749&lt;&gt;"",V2749&lt;&gt;1,Y2749&lt;&gt;"",AT2749&lt;&gt;""),"수정","원본")</f>
        <v/>
      </c>
      <c r="D2749" s="18" t="n">
        <v>853</v>
      </c>
      <c r="E2749" s="18" t="inlineStr">
        <is>
          <t>케오퍼스</t>
        </is>
      </c>
      <c r="F2749" s="18" t="inlineStr">
        <is>
          <t>grapploct</t>
        </is>
      </c>
      <c r="G2749" s="18" t="inlineStr">
        <is>
          <t>grapploct</t>
        </is>
      </c>
      <c r="H2749" s="18" t="inlineStr"/>
      <c r="I2749" s="18" t="n">
        <v>8</v>
      </c>
      <c r="J2749" s="18" t="n"/>
      <c r="K2749" s="18" t="n">
        <v>8</v>
      </c>
      <c r="L2749" s="18" t="inlineStr">
        <is>
          <t>cobbleventure:generation_8</t>
        </is>
      </c>
      <c r="M2749" s="19" t="inlineStr">
        <is>
          <t>cobbleventure:generation_8</t>
        </is>
      </c>
      <c r="N2749" s="18" t="inlineStr">
        <is>
          <t>region_01; region_02</t>
        </is>
      </c>
      <c r="O2749" s="19" t="inlineStr"/>
      <c r="P2749" s="18" t="inlineStr">
        <is>
          <t>#cobblemon:is_overworld</t>
        </is>
      </c>
      <c r="Q2749" s="19" t="inlineStr"/>
      <c r="R2749" s="18">
        <f>IF(Q2749="",P2749,Q2749)</f>
        <v/>
      </c>
      <c r="S2749" s="18" t="inlineStr"/>
      <c r="T2749" s="18" t="inlineStr">
        <is>
          <t>uncommon</t>
        </is>
      </c>
      <c r="U2749" s="20" t="n">
        <v>0.96</v>
      </c>
      <c r="V2749" s="21" t="n">
        <v>1</v>
      </c>
      <c r="W2749" s="20">
        <f>IF(OR(U2749="",V2749=""),U2749,U2749*V2749)</f>
        <v/>
      </c>
      <c r="X2749" s="18" t="inlineStr">
        <is>
          <t>35-48</t>
        </is>
      </c>
      <c r="Y2749" s="19" t="inlineStr"/>
      <c r="Z2749" s="18">
        <f>IF(Y2749="",X2749,Y2749)</f>
        <v/>
      </c>
      <c r="AA2749" s="18" t="inlineStr">
        <is>
          <t>fishing</t>
        </is>
      </c>
      <c r="AB2749" s="18" t="inlineStr"/>
      <c r="AC2749" s="18" t="inlineStr"/>
      <c r="AD2749" s="18" t="inlineStr">
        <is>
          <t>minY=-60, maxY=13</t>
        </is>
      </c>
      <c r="AE2749" s="18" t="inlineStr"/>
      <c r="AF2749" s="18" t="inlineStr">
        <is>
          <t>False</t>
        </is>
      </c>
      <c r="AG2749" s="18" t="inlineStr">
        <is>
          <t>cobblemon:shipwreck_coves/submerged_shipwreck_cove</t>
        </is>
      </c>
      <c r="AH2749" s="18" t="inlineStr"/>
      <c r="AI2749" s="18" t="inlineStr"/>
      <c r="AJ2749" s="18" t="inlineStr">
        <is>
          <t>Cobblemon 동일</t>
        </is>
      </c>
      <c r="AK2749" s="18" t="inlineStr">
        <is>
          <t>사용</t>
        </is>
      </c>
      <c r="AL2749" s="18" t="inlineStr">
        <is>
          <t>COBBLEVERSE 1.7.42 / DP v31</t>
        </is>
      </c>
      <c r="AM2749" s="18" t="inlineStr">
        <is>
          <t>data/cobblemon/spawn_pool_world/0853_grapploct.json</t>
        </is>
      </c>
      <c r="AN2749" s="18" t="inlineStr">
        <is>
          <t>grapploct-4</t>
        </is>
      </c>
      <c r="AO2749" s="18" t="inlineStr">
        <is>
          <t>pokemon</t>
        </is>
      </c>
      <c r="AP2749" s="18" t="inlineStr"/>
      <c r="AQ2749" s="18" t="inlineStr">
        <is>
          <t>{"biomes":["#cobblemon:is_overworld"],"canSeeSky":false,"maxY":13,"minY":-60,"structures":["cobblemon:shipwreck_coves/submerged_shipwreck_cove"]}</t>
        </is>
      </c>
      <c r="AR2749" s="18" t="inlineStr">
        <is>
          <t>{"minLureLevel":1}</t>
        </is>
      </c>
      <c r="AS2749" s="18" t="inlineStr"/>
      <c r="AT2749" s="19" t="inlineStr"/>
    </row>
    <row r="2750" ht="32" customHeight="1">
      <c r="A2750" s="18" t="inlineStr">
        <is>
          <t>0853_grapploct.json::grapploct-5::009</t>
        </is>
      </c>
      <c r="B2750" s="19" t="inlineStr">
        <is>
          <t>사용</t>
        </is>
      </c>
      <c r="C2750" s="18">
        <f>IF(OR(B2750&lt;&gt;AK2750,M2750&lt;&gt;L2750,O2750&lt;&gt;"",Q2750&lt;&gt;"",V2750&lt;&gt;1,Y2750&lt;&gt;"",AT2750&lt;&gt;""),"수정","원본")</f>
        <v/>
      </c>
      <c r="D2750" s="18" t="n">
        <v>853</v>
      </c>
      <c r="E2750" s="18" t="inlineStr">
        <is>
          <t>케오퍼스</t>
        </is>
      </c>
      <c r="F2750" s="18" t="inlineStr">
        <is>
          <t>grapploct</t>
        </is>
      </c>
      <c r="G2750" s="18" t="inlineStr">
        <is>
          <t>grapploct</t>
        </is>
      </c>
      <c r="H2750" s="18" t="inlineStr"/>
      <c r="I2750" s="18" t="n">
        <v>8</v>
      </c>
      <c r="J2750" s="18" t="n"/>
      <c r="K2750" s="18" t="n">
        <v>8</v>
      </c>
      <c r="L2750" s="18" t="inlineStr">
        <is>
          <t>cobbleventure:generation_8</t>
        </is>
      </c>
      <c r="M2750" s="19" t="inlineStr">
        <is>
          <t>cobbleventure:generation_8</t>
        </is>
      </c>
      <c r="N2750" s="18" t="inlineStr">
        <is>
          <t>region_01; region_02</t>
        </is>
      </c>
      <c r="O2750" s="19" t="inlineStr"/>
      <c r="P2750" s="18" t="inlineStr">
        <is>
          <t>#cobblemon:is_overworld</t>
        </is>
      </c>
      <c r="Q2750" s="19" t="inlineStr"/>
      <c r="R2750" s="18">
        <f>IF(Q2750="",P2750,Q2750)</f>
        <v/>
      </c>
      <c r="S2750" s="18" t="inlineStr"/>
      <c r="T2750" s="18" t="inlineStr">
        <is>
          <t>common</t>
        </is>
      </c>
      <c r="U2750" s="20" t="n">
        <v>0.2</v>
      </c>
      <c r="V2750" s="21" t="n">
        <v>1</v>
      </c>
      <c r="W2750" s="20">
        <f>IF(OR(U2750="",V2750=""),U2750,U2750*V2750)</f>
        <v/>
      </c>
      <c r="X2750" s="18" t="inlineStr">
        <is>
          <t>35-48</t>
        </is>
      </c>
      <c r="Y2750" s="19" t="inlineStr"/>
      <c r="Z2750" s="18">
        <f>IF(Y2750="",X2750,Y2750)</f>
        <v/>
      </c>
      <c r="AA2750" s="18" t="inlineStr">
        <is>
          <t>fishing</t>
        </is>
      </c>
      <c r="AB2750" s="18" t="inlineStr"/>
      <c r="AC2750" s="18" t="inlineStr"/>
      <c r="AD2750" s="18" t="inlineStr">
        <is>
          <t>minY=-60, maxY=13</t>
        </is>
      </c>
      <c r="AE2750" s="18" t="inlineStr"/>
      <c r="AF2750" s="18" t="inlineStr">
        <is>
          <t>False</t>
        </is>
      </c>
      <c r="AG2750" s="18" t="inlineStr">
        <is>
          <t>cobblemon:shipwreck_coves/submerged_shipwreck_cove</t>
        </is>
      </c>
      <c r="AH2750" s="18" t="inlineStr"/>
      <c r="AI2750" s="18" t="inlineStr">
        <is>
          <t>{"fishing":{"minLureLevel":1}}</t>
        </is>
      </c>
      <c r="AJ2750" s="18" t="inlineStr">
        <is>
          <t>Cobblemon 동일</t>
        </is>
      </c>
      <c r="AK2750" s="18" t="inlineStr">
        <is>
          <t>사용</t>
        </is>
      </c>
      <c r="AL2750" s="18" t="inlineStr">
        <is>
          <t>COBBLEVERSE 1.7.42 / DP v31</t>
        </is>
      </c>
      <c r="AM2750" s="18" t="inlineStr">
        <is>
          <t>data/cobblemon/spawn_pool_world/0853_grapploct.json</t>
        </is>
      </c>
      <c r="AN2750" s="18" t="inlineStr">
        <is>
          <t>grapploct-5</t>
        </is>
      </c>
      <c r="AO2750" s="18" t="inlineStr">
        <is>
          <t>pokemon</t>
        </is>
      </c>
      <c r="AP2750" s="18" t="inlineStr"/>
      <c r="AQ2750" s="18" t="inlineStr">
        <is>
          <t>{"biomes":["#cobblemon:is_overworld"],"canSeeSky":false,"maxY":13,"minLureLevel":1,"minY":-60,"structures":["cobblemon:shipwreck_coves/submerged_shipwreck_cove"]}</t>
        </is>
      </c>
      <c r="AR2750" s="18" t="inlineStr"/>
      <c r="AS2750" s="18" t="inlineStr">
        <is>
          <t>{"weightMultiplier":{"condition":{"minLureLevel":3},"multiplier":3.0}}</t>
        </is>
      </c>
      <c r="AT2750" s="19" t="inlineStr"/>
    </row>
    <row r="2751" ht="32" customHeight="1">
      <c r="A2751" s="18" t="inlineStr">
        <is>
          <t>0854_sinistea.json::sinistea-phony-1::001</t>
        </is>
      </c>
      <c r="B2751" s="19" t="inlineStr">
        <is>
          <t>사용</t>
        </is>
      </c>
      <c r="C2751" s="18">
        <f>IF(OR(B2751&lt;&gt;AK2751,M2751&lt;&gt;L2751,O2751&lt;&gt;"",Q2751&lt;&gt;"",V2751&lt;&gt;1,Y2751&lt;&gt;"",AT2751&lt;&gt;""),"수정","원본")</f>
        <v/>
      </c>
      <c r="D2751" s="18" t="n">
        <v>854</v>
      </c>
      <c r="E2751" s="18" t="inlineStr">
        <is>
          <t>데인차</t>
        </is>
      </c>
      <c r="F2751" s="18" t="inlineStr">
        <is>
          <t>sinistea</t>
        </is>
      </c>
      <c r="G2751" s="18" t="inlineStr">
        <is>
          <t>sinistea tea_authenticity=phony</t>
        </is>
      </c>
      <c r="H2751" s="18" t="inlineStr">
        <is>
          <t>tea_authenticity=phony</t>
        </is>
      </c>
      <c r="I2751" s="18" t="n">
        <v>8</v>
      </c>
      <c r="J2751" s="18" t="n"/>
      <c r="K2751" s="18" t="n">
        <v>8</v>
      </c>
      <c r="L2751" s="18" t="inlineStr">
        <is>
          <t>cobbleventure:generation_8</t>
        </is>
      </c>
      <c r="M2751" s="19" t="inlineStr">
        <is>
          <t>cobbleventure:generation_8</t>
        </is>
      </c>
      <c r="N2751" s="18" t="inlineStr">
        <is>
          <t>region_01</t>
        </is>
      </c>
      <c r="O2751" s="19" t="inlineStr"/>
      <c r="P2751" s="18" t="inlineStr">
        <is>
          <t>#cobblemon:is_floral; #cobblemon:is_magical; #cobblemon:is_mountain; #cobblemon:is_plains; #cobblemon:is_snowy; #cobblemon:is_spooky; #cobblemon:is_taiga; #cobblemon:is_tundra</t>
        </is>
      </c>
      <c r="Q2751" s="19" t="inlineStr"/>
      <c r="R2751" s="18">
        <f>IF(Q2751="",P2751,Q2751)</f>
        <v/>
      </c>
      <c r="S2751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1" s="18" t="inlineStr">
        <is>
          <t>uncommon</t>
        </is>
      </c>
      <c r="U2751" s="20" t="n">
        <v>9.108000000000001</v>
      </c>
      <c r="V2751" s="21" t="n">
        <v>1</v>
      </c>
      <c r="W2751" s="20">
        <f>IF(OR(U2751="",V2751=""),U2751,U2751*V2751)</f>
        <v/>
      </c>
      <c r="X2751" s="18" t="inlineStr">
        <is>
          <t>6-31</t>
        </is>
      </c>
      <c r="Y2751" s="19" t="inlineStr"/>
      <c r="Z2751" s="18">
        <f>IF(Y2751="",X2751,Y2751)</f>
        <v/>
      </c>
      <c r="AA2751" s="18" t="inlineStr">
        <is>
          <t>grounded</t>
        </is>
      </c>
      <c r="AB2751" s="18" t="inlineStr">
        <is>
          <t>day</t>
        </is>
      </c>
      <c r="AC2751" s="18" t="inlineStr"/>
      <c r="AD2751" s="18" t="inlineStr">
        <is>
          <t>minY=62</t>
        </is>
      </c>
      <c r="AE2751" s="18" t="inlineStr"/>
      <c r="AF2751" s="18" t="inlineStr">
        <is>
          <t>False</t>
        </is>
      </c>
      <c r="AG2751" s="18" t="inlineStr"/>
      <c r="AH2751" s="18" t="inlineStr"/>
      <c r="AI2751" s="18" t="inlineStr"/>
      <c r="AJ2751" s="18" t="inlineStr">
        <is>
          <t>COBBLEVERSE 수정</t>
        </is>
      </c>
      <c r="AK2751" s="18" t="inlineStr">
        <is>
          <t>사용</t>
        </is>
      </c>
      <c r="AL2751" s="18" t="inlineStr">
        <is>
          <t>COBBLEVERSE 1.7.42 / DP v31</t>
        </is>
      </c>
      <c r="AM2751" s="18" t="inlineStr">
        <is>
          <t>data/cobblemon/spawn_pool_world/0854_sinistea.json</t>
        </is>
      </c>
      <c r="AN2751" s="18" t="inlineStr">
        <is>
          <t>sinistea-phony-1</t>
        </is>
      </c>
      <c r="AO2751" s="18" t="inlineStr">
        <is>
          <t>pokemon</t>
        </is>
      </c>
      <c r="AP2751" s="18" t="inlineStr"/>
      <c r="AQ2751" s="18" t="inlineStr">
        <is>
          <t>{"biomes":["#cobblemon:is_floral","#cobblemon:is_magical","#cobblemon:is_mountain","#cobblemon:is_plains","#cobblemon:is_snowy","#cobblemon:is_spooky","#cobblemon:is_taiga","#cobblemon:is_tundra"],"canSeeSky":false,"minY":62,"timeRange":"day"}</t>
        </is>
      </c>
      <c r="AR2751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1" s="18" t="inlineStr"/>
      <c r="AT2751" s="19" t="inlineStr"/>
    </row>
    <row r="2752" ht="32" customHeight="1">
      <c r="A2752" s="18" t="inlineStr">
        <is>
          <t>0854_sinistea.json::sinistea-antique-2::002</t>
        </is>
      </c>
      <c r="B2752" s="19" t="inlineStr">
        <is>
          <t>사용</t>
        </is>
      </c>
      <c r="C2752" s="18">
        <f>IF(OR(B2752&lt;&gt;AK2752,M2752&lt;&gt;L2752,O2752&lt;&gt;"",Q2752&lt;&gt;"",V2752&lt;&gt;1,Y2752&lt;&gt;"",AT2752&lt;&gt;""),"수정","원본")</f>
        <v/>
      </c>
      <c r="D2752" s="18" t="n">
        <v>854</v>
      </c>
      <c r="E2752" s="18" t="inlineStr">
        <is>
          <t>데인차</t>
        </is>
      </c>
      <c r="F2752" s="18" t="inlineStr">
        <is>
          <t>sinistea</t>
        </is>
      </c>
      <c r="G2752" s="18" t="inlineStr">
        <is>
          <t>sinistea tea_authenticity=antique</t>
        </is>
      </c>
      <c r="H2752" s="18" t="inlineStr">
        <is>
          <t>tea_authenticity=antique</t>
        </is>
      </c>
      <c r="I2752" s="18" t="n">
        <v>8</v>
      </c>
      <c r="J2752" s="18" t="n"/>
      <c r="K2752" s="18" t="n">
        <v>8</v>
      </c>
      <c r="L2752" s="18" t="inlineStr">
        <is>
          <t>cobbleventure:generation_8</t>
        </is>
      </c>
      <c r="M2752" s="19" t="inlineStr">
        <is>
          <t>cobbleventure:generation_8</t>
        </is>
      </c>
      <c r="N2752" s="18" t="inlineStr">
        <is>
          <t>region_01</t>
        </is>
      </c>
      <c r="O2752" s="19" t="inlineStr"/>
      <c r="P2752" s="18" t="inlineStr">
        <is>
          <t>#cobblemon:is_floral; #cobblemon:is_magical; #cobblemon:is_mountain; #cobblemon:is_plains; #cobblemon:is_snowy; #cobblemon:is_spooky; #cobblemon:is_taiga; #cobblemon:is_tundra</t>
        </is>
      </c>
      <c r="Q2752" s="19" t="inlineStr"/>
      <c r="R2752" s="18">
        <f>IF(Q2752="",P2752,Q2752)</f>
        <v/>
      </c>
      <c r="S2752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2" s="18" t="inlineStr">
        <is>
          <t>uncommon</t>
        </is>
      </c>
      <c r="U2752" s="20" t="n">
        <v>0.092</v>
      </c>
      <c r="V2752" s="21" t="n">
        <v>1</v>
      </c>
      <c r="W2752" s="20">
        <f>IF(OR(U2752="",V2752=""),U2752,U2752*V2752)</f>
        <v/>
      </c>
      <c r="X2752" s="18" t="inlineStr">
        <is>
          <t>6-31</t>
        </is>
      </c>
      <c r="Y2752" s="19" t="inlineStr"/>
      <c r="Z2752" s="18">
        <f>IF(Y2752="",X2752,Y2752)</f>
        <v/>
      </c>
      <c r="AA2752" s="18" t="inlineStr">
        <is>
          <t>grounded</t>
        </is>
      </c>
      <c r="AB2752" s="18" t="inlineStr">
        <is>
          <t>day</t>
        </is>
      </c>
      <c r="AC2752" s="18" t="inlineStr"/>
      <c r="AD2752" s="18" t="inlineStr">
        <is>
          <t>minY=62</t>
        </is>
      </c>
      <c r="AE2752" s="18" t="inlineStr"/>
      <c r="AF2752" s="18" t="inlineStr">
        <is>
          <t>False</t>
        </is>
      </c>
      <c r="AG2752" s="18" t="inlineStr"/>
      <c r="AH2752" s="18" t="inlineStr"/>
      <c r="AI2752" s="18" t="inlineStr"/>
      <c r="AJ2752" s="18" t="inlineStr">
        <is>
          <t>COBBLEVERSE 수정</t>
        </is>
      </c>
      <c r="AK2752" s="18" t="inlineStr">
        <is>
          <t>사용</t>
        </is>
      </c>
      <c r="AL2752" s="18" t="inlineStr">
        <is>
          <t>COBBLEVERSE 1.7.42 / DP v31</t>
        </is>
      </c>
      <c r="AM2752" s="18" t="inlineStr">
        <is>
          <t>data/cobblemon/spawn_pool_world/0854_sinistea.json</t>
        </is>
      </c>
      <c r="AN2752" s="18" t="inlineStr">
        <is>
          <t>sinistea-antique-2</t>
        </is>
      </c>
      <c r="AO2752" s="18" t="inlineStr">
        <is>
          <t>pokemon</t>
        </is>
      </c>
      <c r="AP2752" s="18" t="inlineStr"/>
      <c r="AQ2752" s="18" t="inlineStr">
        <is>
          <t>{"biomes":["#cobblemon:is_floral","#cobblemon:is_magical","#cobblemon:is_mountain","#cobblemon:is_plains","#cobblemon:is_snowy","#cobblemon:is_spooky","#cobblemon:is_taiga","#cobblemon:is_tundra"],"canSeeSky":false,"minY":62,"timeRange":"day"}</t>
        </is>
      </c>
      <c r="AR2752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2" s="18" t="inlineStr"/>
      <c r="AT2752" s="19" t="inlineStr"/>
    </row>
    <row r="2753" ht="32" customHeight="1">
      <c r="A2753" s="18" t="inlineStr">
        <is>
          <t>0854_sinistea.json::sinistea-phony-3::003</t>
        </is>
      </c>
      <c r="B2753" s="19" t="inlineStr">
        <is>
          <t>사용</t>
        </is>
      </c>
      <c r="C2753" s="18">
        <f>IF(OR(B2753&lt;&gt;AK2753,M2753&lt;&gt;L2753,O2753&lt;&gt;"",Q2753&lt;&gt;"",V2753&lt;&gt;1,Y2753&lt;&gt;"",AT2753&lt;&gt;""),"수정","원본")</f>
        <v/>
      </c>
      <c r="D2753" s="18" t="n">
        <v>854</v>
      </c>
      <c r="E2753" s="18" t="inlineStr">
        <is>
          <t>데인차</t>
        </is>
      </c>
      <c r="F2753" s="18" t="inlineStr">
        <is>
          <t>sinistea</t>
        </is>
      </c>
      <c r="G2753" s="18" t="inlineStr">
        <is>
          <t>sinistea tea_authenticity=phony</t>
        </is>
      </c>
      <c r="H2753" s="18" t="inlineStr">
        <is>
          <t>tea_authenticity=phony</t>
        </is>
      </c>
      <c r="I2753" s="18" t="n">
        <v>8</v>
      </c>
      <c r="J2753" s="18" t="n"/>
      <c r="K2753" s="18" t="n">
        <v>8</v>
      </c>
      <c r="L2753" s="18" t="inlineStr">
        <is>
          <t>cobbleventure:generation_8</t>
        </is>
      </c>
      <c r="M2753" s="19" t="inlineStr">
        <is>
          <t>cobbleventure:generation_8</t>
        </is>
      </c>
      <c r="N2753" s="18" t="inlineStr">
        <is>
          <t>region_01</t>
        </is>
      </c>
      <c r="O2753" s="19" t="inlineStr"/>
      <c r="P2753" s="18" t="inlineStr">
        <is>
          <t>#cobblemon:is_floral; #cobblemon:is_magical; #cobblemon:is_mountain; #cobblemon:is_plains; #cobblemon:is_snowy; #cobblemon:is_spooky; #cobblemon:is_taiga; #cobblemon:is_tundra</t>
        </is>
      </c>
      <c r="Q2753" s="19" t="inlineStr"/>
      <c r="R2753" s="18">
        <f>IF(Q2753="",P2753,Q2753)</f>
        <v/>
      </c>
      <c r="S2753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3" s="18" t="inlineStr">
        <is>
          <t>uncommon</t>
        </is>
      </c>
      <c r="U2753" s="20" t="n">
        <v>9.108000000000001</v>
      </c>
      <c r="V2753" s="21" t="n">
        <v>1</v>
      </c>
      <c r="W2753" s="20">
        <f>IF(OR(U2753="",V2753=""),U2753,U2753*V2753)</f>
        <v/>
      </c>
      <c r="X2753" s="18" t="inlineStr">
        <is>
          <t>6-31</t>
        </is>
      </c>
      <c r="Y2753" s="19" t="inlineStr"/>
      <c r="Z2753" s="18">
        <f>IF(Y2753="",X2753,Y2753)</f>
        <v/>
      </c>
      <c r="AA2753" s="18" t="inlineStr">
        <is>
          <t>grounded</t>
        </is>
      </c>
      <c r="AB2753" s="18" t="inlineStr">
        <is>
          <t>night</t>
        </is>
      </c>
      <c r="AC2753" s="18" t="inlineStr"/>
      <c r="AD2753" s="18" t="inlineStr">
        <is>
          <t>minY=62</t>
        </is>
      </c>
      <c r="AE2753" s="18" t="inlineStr"/>
      <c r="AF2753" s="18" t="inlineStr"/>
      <c r="AG2753" s="18" t="inlineStr">
        <is>
          <t>#minecraft:village</t>
        </is>
      </c>
      <c r="AH2753" s="18" t="inlineStr"/>
      <c r="AI2753" s="18" t="inlineStr"/>
      <c r="AJ2753" s="18" t="inlineStr">
        <is>
          <t>COBBLEVERSE 수정</t>
        </is>
      </c>
      <c r="AK2753" s="18" t="inlineStr">
        <is>
          <t>사용</t>
        </is>
      </c>
      <c r="AL2753" s="18" t="inlineStr">
        <is>
          <t>COBBLEVERSE 1.7.42 / DP v31</t>
        </is>
      </c>
      <c r="AM2753" s="18" t="inlineStr">
        <is>
          <t>data/cobblemon/spawn_pool_world/0854_sinistea.json</t>
        </is>
      </c>
      <c r="AN2753" s="18" t="inlineStr">
        <is>
          <t>sinistea-phony-3</t>
        </is>
      </c>
      <c r="AO2753" s="18" t="inlineStr">
        <is>
          <t>pokemon</t>
        </is>
      </c>
      <c r="AP2753" s="18" t="inlineStr"/>
      <c r="AQ2753" s="18" t="inlineStr">
        <is>
          <t>{"biomes":["#cobblemon:is_floral","#cobblemon:is_magical","#cobblemon:is_mountain","#cobblemon:is_plains","#cobblemon:is_snowy","#cobblemon:is_spooky","#cobblemon:is_taiga","#cobblemon:is_tundra"],"minY":62,"structures":["#minecraft:village"],"timeRange":"night"}</t>
        </is>
      </c>
      <c r="AR2753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3" s="18" t="inlineStr"/>
      <c r="AT2753" s="19" t="inlineStr"/>
    </row>
    <row r="2754" ht="32" customHeight="1">
      <c r="A2754" s="18" t="inlineStr">
        <is>
          <t>0854_sinistea.json::sinistea-antique-4::004</t>
        </is>
      </c>
      <c r="B2754" s="19" t="inlineStr">
        <is>
          <t>사용</t>
        </is>
      </c>
      <c r="C2754" s="18">
        <f>IF(OR(B2754&lt;&gt;AK2754,M2754&lt;&gt;L2754,O2754&lt;&gt;"",Q2754&lt;&gt;"",V2754&lt;&gt;1,Y2754&lt;&gt;"",AT2754&lt;&gt;""),"수정","원본")</f>
        <v/>
      </c>
      <c r="D2754" s="18" t="n">
        <v>854</v>
      </c>
      <c r="E2754" s="18" t="inlineStr">
        <is>
          <t>데인차</t>
        </is>
      </c>
      <c r="F2754" s="18" t="inlineStr">
        <is>
          <t>sinistea</t>
        </is>
      </c>
      <c r="G2754" s="18" t="inlineStr">
        <is>
          <t>sinistea tea_authenticity=antique</t>
        </is>
      </c>
      <c r="H2754" s="18" t="inlineStr">
        <is>
          <t>tea_authenticity=antique</t>
        </is>
      </c>
      <c r="I2754" s="18" t="n">
        <v>8</v>
      </c>
      <c r="J2754" s="18" t="n"/>
      <c r="K2754" s="18" t="n">
        <v>8</v>
      </c>
      <c r="L2754" s="18" t="inlineStr">
        <is>
          <t>cobbleventure:generation_8</t>
        </is>
      </c>
      <c r="M2754" s="19" t="inlineStr">
        <is>
          <t>cobbleventure:generation_8</t>
        </is>
      </c>
      <c r="N2754" s="18" t="inlineStr">
        <is>
          <t>region_01</t>
        </is>
      </c>
      <c r="O2754" s="19" t="inlineStr"/>
      <c r="P2754" s="18" t="inlineStr">
        <is>
          <t>#cobblemon:is_floral; #cobblemon:is_magical; #cobblemon:is_mountain; #cobblemon:is_plains; #cobblemon:is_snowy; #cobblemon:is_spooky; #cobblemon:is_taiga; #cobblemon:is_tundra</t>
        </is>
      </c>
      <c r="Q2754" s="19" t="inlineStr"/>
      <c r="R2754" s="18">
        <f>IF(Q2754="",P2754,Q2754)</f>
        <v/>
      </c>
      <c r="S2754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4" s="18" t="inlineStr">
        <is>
          <t>uncommon</t>
        </is>
      </c>
      <c r="U2754" s="20" t="n">
        <v>0.092</v>
      </c>
      <c r="V2754" s="21" t="n">
        <v>1</v>
      </c>
      <c r="W2754" s="20">
        <f>IF(OR(U2754="",V2754=""),U2754,U2754*V2754)</f>
        <v/>
      </c>
      <c r="X2754" s="18" t="inlineStr">
        <is>
          <t>6-31</t>
        </is>
      </c>
      <c r="Y2754" s="19" t="inlineStr"/>
      <c r="Z2754" s="18">
        <f>IF(Y2754="",X2754,Y2754)</f>
        <v/>
      </c>
      <c r="AA2754" s="18" t="inlineStr">
        <is>
          <t>grounded</t>
        </is>
      </c>
      <c r="AB2754" s="18" t="inlineStr">
        <is>
          <t>night</t>
        </is>
      </c>
      <c r="AC2754" s="18" t="inlineStr"/>
      <c r="AD2754" s="18" t="inlineStr">
        <is>
          <t>minY=62</t>
        </is>
      </c>
      <c r="AE2754" s="18" t="inlineStr"/>
      <c r="AF2754" s="18" t="inlineStr"/>
      <c r="AG2754" s="18" t="inlineStr"/>
      <c r="AH2754" s="18" t="inlineStr"/>
      <c r="AI2754" s="18" t="inlineStr"/>
      <c r="AJ2754" s="18" t="inlineStr">
        <is>
          <t>COBBLEVERSE 수정</t>
        </is>
      </c>
      <c r="AK2754" s="18" t="inlineStr">
        <is>
          <t>사용</t>
        </is>
      </c>
      <c r="AL2754" s="18" t="inlineStr">
        <is>
          <t>COBBLEVERSE 1.7.42 / DP v31</t>
        </is>
      </c>
      <c r="AM2754" s="18" t="inlineStr">
        <is>
          <t>data/cobblemon/spawn_pool_world/0854_sinistea.json</t>
        </is>
      </c>
      <c r="AN2754" s="18" t="inlineStr">
        <is>
          <t>sinistea-antique-4</t>
        </is>
      </c>
      <c r="AO2754" s="18" t="inlineStr">
        <is>
          <t>pokemon</t>
        </is>
      </c>
      <c r="AP2754" s="18" t="inlineStr"/>
      <c r="AQ2754" s="18" t="inlineStr">
        <is>
          <t>{"biomes":["#cobblemon:is_floral","#cobblemon:is_magical","#cobblemon:is_mountain","#cobblemon:is_plains","#cobblemon:is_snowy","#cobblemon:is_spooky","#cobblemon:is_taiga","#cobblemon:is_tundra"],"minY":62,"timeRange":"night"}</t>
        </is>
      </c>
      <c r="AR2754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4" s="18" t="inlineStr"/>
      <c r="AT2754" s="19" t="inlineStr"/>
    </row>
    <row r="2755" ht="32" customHeight="1">
      <c r="A2755" s="18" t="inlineStr">
        <is>
          <t>0854_sinistea.json::sinistea-phony-5::005</t>
        </is>
      </c>
      <c r="B2755" s="19" t="inlineStr">
        <is>
          <t>사용</t>
        </is>
      </c>
      <c r="C2755" s="18">
        <f>IF(OR(B2755&lt;&gt;AK2755,M2755&lt;&gt;L2755,O2755&lt;&gt;"",Q2755&lt;&gt;"",V2755&lt;&gt;1,Y2755&lt;&gt;"",AT2755&lt;&gt;""),"수정","원본")</f>
        <v/>
      </c>
      <c r="D2755" s="18" t="n">
        <v>854</v>
      </c>
      <c r="E2755" s="18" t="inlineStr">
        <is>
          <t>데인차</t>
        </is>
      </c>
      <c r="F2755" s="18" t="inlineStr">
        <is>
          <t>sinistea</t>
        </is>
      </c>
      <c r="G2755" s="18" t="inlineStr">
        <is>
          <t>sinistea tea_authenticity=phony</t>
        </is>
      </c>
      <c r="H2755" s="18" t="inlineStr">
        <is>
          <t>tea_authenticity=phony</t>
        </is>
      </c>
      <c r="I2755" s="18" t="n">
        <v>8</v>
      </c>
      <c r="J2755" s="18" t="n"/>
      <c r="K2755" s="18" t="n">
        <v>8</v>
      </c>
      <c r="L2755" s="18" t="inlineStr">
        <is>
          <t>cobbleventure:generation_8</t>
        </is>
      </c>
      <c r="M2755" s="19" t="inlineStr">
        <is>
          <t>cobbleventure:generation_8</t>
        </is>
      </c>
      <c r="N2755" s="18" t="inlineStr">
        <is>
          <t>region_01; region_02</t>
        </is>
      </c>
      <c r="O2755" s="19" t="inlineStr"/>
      <c r="P2755" s="18" t="inlineStr">
        <is>
          <t>#cobblemon:is_overworld</t>
        </is>
      </c>
      <c r="Q2755" s="19" t="inlineStr"/>
      <c r="R2755" s="18">
        <f>IF(Q2755="",P2755,Q2755)</f>
        <v/>
      </c>
      <c r="S2755" s="18" t="inlineStr"/>
      <c r="T2755" s="18" t="inlineStr">
        <is>
          <t>common</t>
        </is>
      </c>
      <c r="U2755" s="20" t="n">
        <v>9.404999999999999</v>
      </c>
      <c r="V2755" s="21" t="n">
        <v>1</v>
      </c>
      <c r="W2755" s="20">
        <f>IF(OR(U2755="",V2755=""),U2755,U2755*V2755)</f>
        <v/>
      </c>
      <c r="X2755" s="18" t="inlineStr">
        <is>
          <t>6-31</t>
        </is>
      </c>
      <c r="Y2755" s="19" t="inlineStr"/>
      <c r="Z2755" s="18">
        <f>IF(Y2755="",X2755,Y2755)</f>
        <v/>
      </c>
      <c r="AA2755" s="18" t="inlineStr">
        <is>
          <t>grounded</t>
        </is>
      </c>
      <c r="AB2755" s="18" t="inlineStr"/>
      <c r="AC2755" s="18" t="inlineStr"/>
      <c r="AD2755" s="18" t="inlineStr"/>
      <c r="AE2755" s="18" t="inlineStr"/>
      <c r="AF2755" s="18" t="inlineStr">
        <is>
          <t>False</t>
        </is>
      </c>
      <c r="AG2755" s="18" t="inlineStr"/>
      <c r="AH2755" s="18" t="inlineStr"/>
      <c r="AI2755" s="18" t="inlineStr"/>
      <c r="AJ2755" s="18" t="inlineStr">
        <is>
          <t>COBBLEVERSE 수정</t>
        </is>
      </c>
      <c r="AK2755" s="18" t="inlineStr">
        <is>
          <t>사용</t>
        </is>
      </c>
      <c r="AL2755" s="18" t="inlineStr">
        <is>
          <t>COBBLEVERSE 1.7.42 / DP v31</t>
        </is>
      </c>
      <c r="AM2755" s="18" t="inlineStr">
        <is>
          <t>data/cobblemon/spawn_pool_world/0854_sinistea.json</t>
        </is>
      </c>
      <c r="AN2755" s="18" t="inlineStr">
        <is>
          <t>sinistea-phony-5</t>
        </is>
      </c>
      <c r="AO2755" s="18" t="inlineStr">
        <is>
          <t>pokemon</t>
        </is>
      </c>
      <c r="AP2755" s="18" t="inlineStr">
        <is>
          <t>mansion</t>
        </is>
      </c>
      <c r="AQ2755" s="18" t="inlineStr">
        <is>
          <t>{"biomes":["#cobblemon:is_overworld"],"canSeeSky":false}</t>
        </is>
      </c>
      <c r="AR2755" s="18" t="inlineStr"/>
      <c r="AS2755" s="18" t="inlineStr"/>
      <c r="AT2755" s="19" t="inlineStr"/>
    </row>
    <row r="2756" ht="32" customHeight="1">
      <c r="A2756" s="18" t="inlineStr">
        <is>
          <t>0854_sinistea.json::sinistea-antique-6::006</t>
        </is>
      </c>
      <c r="B2756" s="19" t="inlineStr">
        <is>
          <t>사용</t>
        </is>
      </c>
      <c r="C2756" s="18">
        <f>IF(OR(B2756&lt;&gt;AK2756,M2756&lt;&gt;L2756,O2756&lt;&gt;"",Q2756&lt;&gt;"",V2756&lt;&gt;1,Y2756&lt;&gt;"",AT2756&lt;&gt;""),"수정","원본")</f>
        <v/>
      </c>
      <c r="D2756" s="18" t="n">
        <v>854</v>
      </c>
      <c r="E2756" s="18" t="inlineStr">
        <is>
          <t>데인차</t>
        </is>
      </c>
      <c r="F2756" s="18" t="inlineStr">
        <is>
          <t>sinistea</t>
        </is>
      </c>
      <c r="G2756" s="18" t="inlineStr">
        <is>
          <t>sinistea tea_authenticity=antique</t>
        </is>
      </c>
      <c r="H2756" s="18" t="inlineStr">
        <is>
          <t>tea_authenticity=antique</t>
        </is>
      </c>
      <c r="I2756" s="18" t="n">
        <v>8</v>
      </c>
      <c r="J2756" s="18" t="n"/>
      <c r="K2756" s="18" t="n">
        <v>8</v>
      </c>
      <c r="L2756" s="18" t="inlineStr">
        <is>
          <t>cobbleventure:generation_8</t>
        </is>
      </c>
      <c r="M2756" s="19" t="inlineStr">
        <is>
          <t>cobbleventure:generation_8</t>
        </is>
      </c>
      <c r="N2756" s="18" t="inlineStr">
        <is>
          <t>region_01; region_02</t>
        </is>
      </c>
      <c r="O2756" s="19" t="inlineStr"/>
      <c r="P2756" s="18" t="inlineStr">
        <is>
          <t>#cobblemon:is_overworld</t>
        </is>
      </c>
      <c r="Q2756" s="19" t="inlineStr"/>
      <c r="R2756" s="18">
        <f>IF(Q2756="",P2756,Q2756)</f>
        <v/>
      </c>
      <c r="S2756" s="18" t="inlineStr"/>
      <c r="T2756" s="18" t="inlineStr">
        <is>
          <t>common</t>
        </is>
      </c>
      <c r="U2756" s="20" t="n">
        <v>0.095</v>
      </c>
      <c r="V2756" s="21" t="n">
        <v>1</v>
      </c>
      <c r="W2756" s="20">
        <f>IF(OR(U2756="",V2756=""),U2756,U2756*V2756)</f>
        <v/>
      </c>
      <c r="X2756" s="18" t="inlineStr">
        <is>
          <t>6-31</t>
        </is>
      </c>
      <c r="Y2756" s="19" t="inlineStr"/>
      <c r="Z2756" s="18">
        <f>IF(Y2756="",X2756,Y2756)</f>
        <v/>
      </c>
      <c r="AA2756" s="18" t="inlineStr">
        <is>
          <t>grounded</t>
        </is>
      </c>
      <c r="AB2756" s="18" t="inlineStr"/>
      <c r="AC2756" s="18" t="inlineStr"/>
      <c r="AD2756" s="18" t="inlineStr"/>
      <c r="AE2756" s="18" t="inlineStr"/>
      <c r="AF2756" s="18" t="inlineStr">
        <is>
          <t>False</t>
        </is>
      </c>
      <c r="AG2756" s="18" t="inlineStr"/>
      <c r="AH2756" s="18" t="inlineStr"/>
      <c r="AI2756" s="18" t="inlineStr"/>
      <c r="AJ2756" s="18" t="inlineStr">
        <is>
          <t>COBBLEVERSE 수정</t>
        </is>
      </c>
      <c r="AK2756" s="18" t="inlineStr">
        <is>
          <t>사용</t>
        </is>
      </c>
      <c r="AL2756" s="18" t="inlineStr">
        <is>
          <t>COBBLEVERSE 1.7.42 / DP v31</t>
        </is>
      </c>
      <c r="AM2756" s="18" t="inlineStr">
        <is>
          <t>data/cobblemon/spawn_pool_world/0854_sinistea.json</t>
        </is>
      </c>
      <c r="AN2756" s="18" t="inlineStr">
        <is>
          <t>sinistea-antique-6</t>
        </is>
      </c>
      <c r="AO2756" s="18" t="inlineStr">
        <is>
          <t>pokemon</t>
        </is>
      </c>
      <c r="AP2756" s="18" t="inlineStr">
        <is>
          <t>mansion</t>
        </is>
      </c>
      <c r="AQ2756" s="18" t="inlineStr">
        <is>
          <t>{"biomes":["#cobblemon:is_overworld"],"canSeeSky":false}</t>
        </is>
      </c>
      <c r="AR2756" s="18" t="inlineStr"/>
      <c r="AS2756" s="18" t="inlineStr"/>
      <c r="AT2756" s="19" t="inlineStr"/>
    </row>
    <row r="2757" ht="32" customHeight="1">
      <c r="A2757" s="18" t="inlineStr">
        <is>
          <t>0855_polteageist.json::polteageist-phony-1::001</t>
        </is>
      </c>
      <c r="B2757" s="19" t="inlineStr">
        <is>
          <t>사용</t>
        </is>
      </c>
      <c r="C2757" s="18">
        <f>IF(OR(B2757&lt;&gt;AK2757,M2757&lt;&gt;L2757,O2757&lt;&gt;"",Q2757&lt;&gt;"",V2757&lt;&gt;1,Y2757&lt;&gt;"",AT2757&lt;&gt;""),"수정","원본")</f>
        <v/>
      </c>
      <c r="D2757" s="18" t="n">
        <v>855</v>
      </c>
      <c r="E2757" s="18" t="inlineStr">
        <is>
          <t>포트데스</t>
        </is>
      </c>
      <c r="F2757" s="18" t="inlineStr">
        <is>
          <t>polteageist</t>
        </is>
      </c>
      <c r="G2757" s="18" t="inlineStr">
        <is>
          <t>polteageist tea_authenticity=phony</t>
        </is>
      </c>
      <c r="H2757" s="18" t="inlineStr">
        <is>
          <t>tea_authenticity=phony</t>
        </is>
      </c>
      <c r="I2757" s="18" t="n">
        <v>8</v>
      </c>
      <c r="J2757" s="18" t="n"/>
      <c r="K2757" s="18" t="n">
        <v>8</v>
      </c>
      <c r="L2757" s="18" t="inlineStr">
        <is>
          <t>cobbleventure:generation_8</t>
        </is>
      </c>
      <c r="M2757" s="19" t="inlineStr">
        <is>
          <t>cobbleventure:generation_8</t>
        </is>
      </c>
      <c r="N2757" s="18" t="inlineStr">
        <is>
          <t>region_01</t>
        </is>
      </c>
      <c r="O2757" s="19" t="inlineStr"/>
      <c r="P2757" s="18" t="inlineStr">
        <is>
          <t>#cobblemon:is_floral; #cobblemon:is_magical; #cobblemon:is_mountain; #cobblemon:is_plains; #cobblemon:is_snowy; #cobblemon:is_spooky; #cobblemon:is_taiga; #cobblemon:is_tundra</t>
        </is>
      </c>
      <c r="Q2757" s="19" t="inlineStr"/>
      <c r="R2757" s="18">
        <f>IF(Q2757="",P2757,Q2757)</f>
        <v/>
      </c>
      <c r="S2757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7" s="18" t="inlineStr">
        <is>
          <t>uncommon</t>
        </is>
      </c>
      <c r="U2757" s="20" t="n">
        <v>0.792</v>
      </c>
      <c r="V2757" s="21" t="n">
        <v>1</v>
      </c>
      <c r="W2757" s="20">
        <f>IF(OR(U2757="",V2757=""),U2757,U2757*V2757)</f>
        <v/>
      </c>
      <c r="X2757" s="18" t="inlineStr">
        <is>
          <t>26-51</t>
        </is>
      </c>
      <c r="Y2757" s="19" t="inlineStr"/>
      <c r="Z2757" s="18">
        <f>IF(Y2757="",X2757,Y2757)</f>
        <v/>
      </c>
      <c r="AA2757" s="18" t="inlineStr">
        <is>
          <t>grounded</t>
        </is>
      </c>
      <c r="AB2757" s="18" t="inlineStr">
        <is>
          <t>day</t>
        </is>
      </c>
      <c r="AC2757" s="18" t="inlineStr"/>
      <c r="AD2757" s="18" t="inlineStr">
        <is>
          <t>minY=62</t>
        </is>
      </c>
      <c r="AE2757" s="18" t="inlineStr"/>
      <c r="AF2757" s="18" t="inlineStr">
        <is>
          <t>False</t>
        </is>
      </c>
      <c r="AG2757" s="18" t="inlineStr"/>
      <c r="AH2757" s="18" t="inlineStr"/>
      <c r="AI2757" s="18" t="inlineStr"/>
      <c r="AJ2757" s="18" t="inlineStr">
        <is>
          <t>COBBLEVERSE 수정</t>
        </is>
      </c>
      <c r="AK2757" s="18" t="inlineStr">
        <is>
          <t>사용</t>
        </is>
      </c>
      <c r="AL2757" s="18" t="inlineStr">
        <is>
          <t>COBBLEVERSE 1.7.42 / DP v31</t>
        </is>
      </c>
      <c r="AM2757" s="18" t="inlineStr">
        <is>
          <t>data/cobblemon/spawn_pool_world/0855_polteageist.json</t>
        </is>
      </c>
      <c r="AN2757" s="18" t="inlineStr">
        <is>
          <t>polteageist-phony-1</t>
        </is>
      </c>
      <c r="AO2757" s="18" t="inlineStr">
        <is>
          <t>pokemon</t>
        </is>
      </c>
      <c r="AP2757" s="18" t="inlineStr"/>
      <c r="AQ2757" s="18" t="inlineStr">
        <is>
          <t>{"biomes":["#cobblemon:is_floral","#cobblemon:is_magical","#cobblemon:is_mountain","#cobblemon:is_plains","#cobblemon:is_snowy","#cobblemon:is_spooky","#cobblemon:is_taiga","#cobblemon:is_tundra"],"canSeeSky":false,"minY":62,"timeRange":"day"}</t>
        </is>
      </c>
      <c r="AR2757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7" s="18" t="inlineStr"/>
      <c r="AT2757" s="19" t="inlineStr"/>
    </row>
    <row r="2758" ht="32" customHeight="1">
      <c r="A2758" s="18" t="inlineStr">
        <is>
          <t>0855_polteageist.json::polteageist-antique-2::002</t>
        </is>
      </c>
      <c r="B2758" s="19" t="inlineStr">
        <is>
          <t>사용</t>
        </is>
      </c>
      <c r="C2758" s="18">
        <f>IF(OR(B2758&lt;&gt;AK2758,M2758&lt;&gt;L2758,O2758&lt;&gt;"",Q2758&lt;&gt;"",V2758&lt;&gt;1,Y2758&lt;&gt;"",AT2758&lt;&gt;""),"수정","원본")</f>
        <v/>
      </c>
      <c r="D2758" s="18" t="n">
        <v>855</v>
      </c>
      <c r="E2758" s="18" t="inlineStr">
        <is>
          <t>포트데스</t>
        </is>
      </c>
      <c r="F2758" s="18" t="inlineStr">
        <is>
          <t>polteageist</t>
        </is>
      </c>
      <c r="G2758" s="18" t="inlineStr">
        <is>
          <t>polteageist tea_authenticity=antique</t>
        </is>
      </c>
      <c r="H2758" s="18" t="inlineStr">
        <is>
          <t>tea_authenticity=antique</t>
        </is>
      </c>
      <c r="I2758" s="18" t="n">
        <v>8</v>
      </c>
      <c r="J2758" s="18" t="n"/>
      <c r="K2758" s="18" t="n">
        <v>8</v>
      </c>
      <c r="L2758" s="18" t="inlineStr">
        <is>
          <t>cobbleventure:generation_8</t>
        </is>
      </c>
      <c r="M2758" s="19" t="inlineStr">
        <is>
          <t>cobbleventure:generation_8</t>
        </is>
      </c>
      <c r="N2758" s="18" t="inlineStr">
        <is>
          <t>region_01</t>
        </is>
      </c>
      <c r="O2758" s="19" t="inlineStr"/>
      <c r="P2758" s="18" t="inlineStr">
        <is>
          <t>#cobblemon:is_floral; #cobblemon:is_magical; #cobblemon:is_mountain; #cobblemon:is_plains; #cobblemon:is_snowy; #cobblemon:is_spooky; #cobblemon:is_taiga; #cobblemon:is_tundra</t>
        </is>
      </c>
      <c r="Q2758" s="19" t="inlineStr"/>
      <c r="R2758" s="18">
        <f>IF(Q2758="",P2758,Q2758)</f>
        <v/>
      </c>
      <c r="S2758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8" s="18" t="inlineStr">
        <is>
          <t>uncommon</t>
        </is>
      </c>
      <c r="U2758" s="20" t="n">
        <v>0.008</v>
      </c>
      <c r="V2758" s="21" t="n">
        <v>1</v>
      </c>
      <c r="W2758" s="20">
        <f>IF(OR(U2758="",V2758=""),U2758,U2758*V2758)</f>
        <v/>
      </c>
      <c r="X2758" s="18" t="inlineStr">
        <is>
          <t>26-51</t>
        </is>
      </c>
      <c r="Y2758" s="19" t="inlineStr"/>
      <c r="Z2758" s="18">
        <f>IF(Y2758="",X2758,Y2758)</f>
        <v/>
      </c>
      <c r="AA2758" s="18" t="inlineStr">
        <is>
          <t>grounded</t>
        </is>
      </c>
      <c r="AB2758" s="18" t="inlineStr">
        <is>
          <t>day</t>
        </is>
      </c>
      <c r="AC2758" s="18" t="inlineStr"/>
      <c r="AD2758" s="18" t="inlineStr">
        <is>
          <t>minY=62</t>
        </is>
      </c>
      <c r="AE2758" s="18" t="inlineStr"/>
      <c r="AF2758" s="18" t="inlineStr">
        <is>
          <t>False</t>
        </is>
      </c>
      <c r="AG2758" s="18" t="inlineStr"/>
      <c r="AH2758" s="18" t="inlineStr"/>
      <c r="AI2758" s="18" t="inlineStr"/>
      <c r="AJ2758" s="18" t="inlineStr">
        <is>
          <t>COBBLEVERSE 수정</t>
        </is>
      </c>
      <c r="AK2758" s="18" t="inlineStr">
        <is>
          <t>사용</t>
        </is>
      </c>
      <c r="AL2758" s="18" t="inlineStr">
        <is>
          <t>COBBLEVERSE 1.7.42 / DP v31</t>
        </is>
      </c>
      <c r="AM2758" s="18" t="inlineStr">
        <is>
          <t>data/cobblemon/spawn_pool_world/0855_polteageist.json</t>
        </is>
      </c>
      <c r="AN2758" s="18" t="inlineStr">
        <is>
          <t>polteageist-antique-2</t>
        </is>
      </c>
      <c r="AO2758" s="18" t="inlineStr">
        <is>
          <t>pokemon</t>
        </is>
      </c>
      <c r="AP2758" s="18" t="inlineStr"/>
      <c r="AQ2758" s="18" t="inlineStr">
        <is>
          <t>{"biomes":["#cobblemon:is_floral","#cobblemon:is_magical","#cobblemon:is_mountain","#cobblemon:is_plains","#cobblemon:is_snowy","#cobblemon:is_spooky","#cobblemon:is_taiga","#cobblemon:is_tundra"],"canSeeSky":false,"minY":62,"timeRange":"day"}</t>
        </is>
      </c>
      <c r="AR2758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8" s="18" t="inlineStr"/>
      <c r="AT2758" s="19" t="inlineStr"/>
    </row>
    <row r="2759" ht="32" customHeight="1">
      <c r="A2759" s="18" t="inlineStr">
        <is>
          <t>0855_polteageist.json::polteageist-phony-3::003</t>
        </is>
      </c>
      <c r="B2759" s="19" t="inlineStr">
        <is>
          <t>사용</t>
        </is>
      </c>
      <c r="C2759" s="18">
        <f>IF(OR(B2759&lt;&gt;AK2759,M2759&lt;&gt;L2759,O2759&lt;&gt;"",Q2759&lt;&gt;"",V2759&lt;&gt;1,Y2759&lt;&gt;"",AT2759&lt;&gt;""),"수정","원본")</f>
        <v/>
      </c>
      <c r="D2759" s="18" t="n">
        <v>855</v>
      </c>
      <c r="E2759" s="18" t="inlineStr">
        <is>
          <t>포트데스</t>
        </is>
      </c>
      <c r="F2759" s="18" t="inlineStr">
        <is>
          <t>polteageist</t>
        </is>
      </c>
      <c r="G2759" s="18" t="inlineStr">
        <is>
          <t>polteageist tea_authenticity=phony</t>
        </is>
      </c>
      <c r="H2759" s="18" t="inlineStr">
        <is>
          <t>tea_authenticity=phony</t>
        </is>
      </c>
      <c r="I2759" s="18" t="n">
        <v>8</v>
      </c>
      <c r="J2759" s="18" t="n"/>
      <c r="K2759" s="18" t="n">
        <v>8</v>
      </c>
      <c r="L2759" s="18" t="inlineStr">
        <is>
          <t>cobbleventure:generation_8</t>
        </is>
      </c>
      <c r="M2759" s="19" t="inlineStr">
        <is>
          <t>cobbleventure:generation_8</t>
        </is>
      </c>
      <c r="N2759" s="18" t="inlineStr">
        <is>
          <t>region_01</t>
        </is>
      </c>
      <c r="O2759" s="19" t="inlineStr"/>
      <c r="P2759" s="18" t="inlineStr">
        <is>
          <t>#cobblemon:is_floral; #cobblemon:is_magical; #cobblemon:is_mountain; #cobblemon:is_plains; #cobblemon:is_snowy; #cobblemon:is_spooky; #cobblemon:is_taiga; #cobblemon:is_tundra</t>
        </is>
      </c>
      <c r="Q2759" s="19" t="inlineStr"/>
      <c r="R2759" s="18">
        <f>IF(Q2759="",P2759,Q2759)</f>
        <v/>
      </c>
      <c r="S2759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59" s="18" t="inlineStr">
        <is>
          <t>uncommon</t>
        </is>
      </c>
      <c r="U2759" s="20" t="n">
        <v>0.792</v>
      </c>
      <c r="V2759" s="21" t="n">
        <v>1</v>
      </c>
      <c r="W2759" s="20">
        <f>IF(OR(U2759="",V2759=""),U2759,U2759*V2759)</f>
        <v/>
      </c>
      <c r="X2759" s="18" t="inlineStr">
        <is>
          <t>26-51</t>
        </is>
      </c>
      <c r="Y2759" s="19" t="inlineStr"/>
      <c r="Z2759" s="18">
        <f>IF(Y2759="",X2759,Y2759)</f>
        <v/>
      </c>
      <c r="AA2759" s="18" t="inlineStr">
        <is>
          <t>grounded</t>
        </is>
      </c>
      <c r="AB2759" s="18" t="inlineStr">
        <is>
          <t>night</t>
        </is>
      </c>
      <c r="AC2759" s="18" t="inlineStr"/>
      <c r="AD2759" s="18" t="inlineStr">
        <is>
          <t>minY=62</t>
        </is>
      </c>
      <c r="AE2759" s="18" t="inlineStr"/>
      <c r="AF2759" s="18" t="inlineStr"/>
      <c r="AG2759" s="18" t="inlineStr"/>
      <c r="AH2759" s="18" t="inlineStr"/>
      <c r="AI2759" s="18" t="inlineStr"/>
      <c r="AJ2759" s="18" t="inlineStr">
        <is>
          <t>COBBLEVERSE 수정</t>
        </is>
      </c>
      <c r="AK2759" s="18" t="inlineStr">
        <is>
          <t>사용</t>
        </is>
      </c>
      <c r="AL2759" s="18" t="inlineStr">
        <is>
          <t>COBBLEVERSE 1.7.42 / DP v31</t>
        </is>
      </c>
      <c r="AM2759" s="18" t="inlineStr">
        <is>
          <t>data/cobblemon/spawn_pool_world/0855_polteageist.json</t>
        </is>
      </c>
      <c r="AN2759" s="18" t="inlineStr">
        <is>
          <t>polteageist-phony-3</t>
        </is>
      </c>
      <c r="AO2759" s="18" t="inlineStr">
        <is>
          <t>pokemon</t>
        </is>
      </c>
      <c r="AP2759" s="18" t="inlineStr"/>
      <c r="AQ2759" s="18" t="inlineStr">
        <is>
          <t>{"biomes":["#cobblemon:is_floral","#cobblemon:is_magical","#cobblemon:is_mountain","#cobblemon:is_plains","#cobblemon:is_snowy","#cobblemon:is_spooky","#cobblemon:is_taiga","#cobblemon:is_tundra"],"minY":62,"timeRange":"night"}</t>
        </is>
      </c>
      <c r="AR2759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59" s="18" t="inlineStr"/>
      <c r="AT2759" s="19" t="inlineStr"/>
    </row>
    <row r="2760" ht="32" customHeight="1">
      <c r="A2760" s="18" t="inlineStr">
        <is>
          <t>0855_polteageist.json::polteageist-antique-4::004</t>
        </is>
      </c>
      <c r="B2760" s="19" t="inlineStr">
        <is>
          <t>사용</t>
        </is>
      </c>
      <c r="C2760" s="18">
        <f>IF(OR(B2760&lt;&gt;AK2760,M2760&lt;&gt;L2760,O2760&lt;&gt;"",Q2760&lt;&gt;"",V2760&lt;&gt;1,Y2760&lt;&gt;"",AT2760&lt;&gt;""),"수정","원본")</f>
        <v/>
      </c>
      <c r="D2760" s="18" t="n">
        <v>855</v>
      </c>
      <c r="E2760" s="18" t="inlineStr">
        <is>
          <t>포트데스</t>
        </is>
      </c>
      <c r="F2760" s="18" t="inlineStr">
        <is>
          <t>polteageist</t>
        </is>
      </c>
      <c r="G2760" s="18" t="inlineStr">
        <is>
          <t>polteageist tea_authenticity=antique</t>
        </is>
      </c>
      <c r="H2760" s="18" t="inlineStr">
        <is>
          <t>tea_authenticity=antique</t>
        </is>
      </c>
      <c r="I2760" s="18" t="n">
        <v>8</v>
      </c>
      <c r="J2760" s="18" t="n"/>
      <c r="K2760" s="18" t="n">
        <v>8</v>
      </c>
      <c r="L2760" s="18" t="inlineStr">
        <is>
          <t>cobbleventure:generation_8</t>
        </is>
      </c>
      <c r="M2760" s="19" t="inlineStr">
        <is>
          <t>cobbleventure:generation_8</t>
        </is>
      </c>
      <c r="N2760" s="18" t="inlineStr">
        <is>
          <t>region_01</t>
        </is>
      </c>
      <c r="O2760" s="19" t="inlineStr"/>
      <c r="P2760" s="18" t="inlineStr">
        <is>
          <t>#cobblemon:is_floral; #cobblemon:is_magical; #cobblemon:is_mountain; #cobblemon:is_plains; #cobblemon:is_snowy; #cobblemon:is_spooky; #cobblemon:is_taiga; #cobblemon:is_tundra</t>
        </is>
      </c>
      <c r="Q2760" s="19" t="inlineStr"/>
      <c r="R2760" s="18">
        <f>IF(Q2760="",P2760,Q2760)</f>
        <v/>
      </c>
      <c r="S2760" s="18" t="inlineStr">
        <is>
          <t>#cobblemon:is_arid; #cobblemon:is_bamboo; #cobblemon:is_cherry_blossom; #cobblemon:is_island; #cobblemon:is_jungle; #cobblemon:is_ocean; #cobblemon:is_swamp; #cobblemon:is_thermal; #cobblemon:is_volcanic</t>
        </is>
      </c>
      <c r="T2760" s="18" t="inlineStr">
        <is>
          <t>uncommon</t>
        </is>
      </c>
      <c r="U2760" s="20" t="n">
        <v>0.008</v>
      </c>
      <c r="V2760" s="21" t="n">
        <v>1</v>
      </c>
      <c r="W2760" s="20">
        <f>IF(OR(U2760="",V2760=""),U2760,U2760*V2760)</f>
        <v/>
      </c>
      <c r="X2760" s="18" t="inlineStr">
        <is>
          <t>26-51</t>
        </is>
      </c>
      <c r="Y2760" s="19" t="inlineStr"/>
      <c r="Z2760" s="18">
        <f>IF(Y2760="",X2760,Y2760)</f>
        <v/>
      </c>
      <c r="AA2760" s="18" t="inlineStr">
        <is>
          <t>grounded</t>
        </is>
      </c>
      <c r="AB2760" s="18" t="inlineStr">
        <is>
          <t>night</t>
        </is>
      </c>
      <c r="AC2760" s="18" t="inlineStr"/>
      <c r="AD2760" s="18" t="inlineStr">
        <is>
          <t>minY=62</t>
        </is>
      </c>
      <c r="AE2760" s="18" t="inlineStr"/>
      <c r="AF2760" s="18" t="inlineStr"/>
      <c r="AG2760" s="18" t="inlineStr">
        <is>
          <t>#minecraft:village</t>
        </is>
      </c>
      <c r="AH2760" s="18" t="inlineStr"/>
      <c r="AI2760" s="18" t="inlineStr"/>
      <c r="AJ2760" s="18" t="inlineStr">
        <is>
          <t>COBBLEVERSE 수정</t>
        </is>
      </c>
      <c r="AK2760" s="18" t="inlineStr">
        <is>
          <t>사용</t>
        </is>
      </c>
      <c r="AL2760" s="18" t="inlineStr">
        <is>
          <t>COBBLEVERSE 1.7.42 / DP v31</t>
        </is>
      </c>
      <c r="AM2760" s="18" t="inlineStr">
        <is>
          <t>data/cobblemon/spawn_pool_world/0855_polteageist.json</t>
        </is>
      </c>
      <c r="AN2760" s="18" t="inlineStr">
        <is>
          <t>polteageist-antique-4</t>
        </is>
      </c>
      <c r="AO2760" s="18" t="inlineStr">
        <is>
          <t>pokemon</t>
        </is>
      </c>
      <c r="AP2760" s="18" t="inlineStr"/>
      <c r="AQ2760" s="18" t="inlineStr">
        <is>
          <t>{"biomes":["#cobblemon:is_floral","#cobblemon:is_magical","#cobblemon:is_mountain","#cobblemon:is_plains","#cobblemon:is_snowy","#cobblemon:is_spooky","#cobblemon:is_taiga","#cobblemon:is_tundra"],"minY":62,"structures":["#minecraft:village"],"timeRange":"night"}</t>
        </is>
      </c>
      <c r="AR2760" s="18" t="inlineStr">
        <is>
          <t>{"biomes":["#cobblemon:is_arid","#cobblemon:is_bamboo","#cobblemon:is_cherry_blossom","#cobblemon:is_island","#cobblemon:is_jungle","#cobblemon:is_ocean","#cobblemon:is_swamp","#cobblemon:is_thermal","#cobblemon:is_volcanic"]}</t>
        </is>
      </c>
      <c r="AS2760" s="18" t="inlineStr"/>
      <c r="AT2760" s="19" t="inlineStr"/>
    </row>
    <row r="2761" ht="32" customHeight="1">
      <c r="A2761" s="18" t="inlineStr">
        <is>
          <t>0855_polteageist.json::polteageist-phony-5::005</t>
        </is>
      </c>
      <c r="B2761" s="19" t="inlineStr">
        <is>
          <t>사용</t>
        </is>
      </c>
      <c r="C2761" s="18">
        <f>IF(OR(B2761&lt;&gt;AK2761,M2761&lt;&gt;L2761,O2761&lt;&gt;"",Q2761&lt;&gt;"",V2761&lt;&gt;1,Y2761&lt;&gt;"",AT2761&lt;&gt;""),"수정","원본")</f>
        <v/>
      </c>
      <c r="D2761" s="18" t="n">
        <v>855</v>
      </c>
      <c r="E2761" s="18" t="inlineStr">
        <is>
          <t>포트데스</t>
        </is>
      </c>
      <c r="F2761" s="18" t="inlineStr">
        <is>
          <t>polteageist</t>
        </is>
      </c>
      <c r="G2761" s="18" t="inlineStr">
        <is>
          <t>polteageist tea_authenticity=phony</t>
        </is>
      </c>
      <c r="H2761" s="18" t="inlineStr">
        <is>
          <t>tea_authenticity=phony</t>
        </is>
      </c>
      <c r="I2761" s="18" t="n">
        <v>8</v>
      </c>
      <c r="J2761" s="18" t="n"/>
      <c r="K2761" s="18" t="n">
        <v>8</v>
      </c>
      <c r="L2761" s="18" t="inlineStr">
        <is>
          <t>cobbleventure:generation_8</t>
        </is>
      </c>
      <c r="M2761" s="19" t="inlineStr">
        <is>
          <t>cobbleventure:generation_8</t>
        </is>
      </c>
      <c r="N2761" s="18" t="inlineStr">
        <is>
          <t>region_01; region_02</t>
        </is>
      </c>
      <c r="O2761" s="19" t="inlineStr"/>
      <c r="P2761" s="18" t="inlineStr">
        <is>
          <t>#cobblemon:is_overworld</t>
        </is>
      </c>
      <c r="Q2761" s="19" t="inlineStr"/>
      <c r="R2761" s="18">
        <f>IF(Q2761="",P2761,Q2761)</f>
        <v/>
      </c>
      <c r="S2761" s="18" t="inlineStr"/>
      <c r="T2761" s="18" t="inlineStr">
        <is>
          <t>common</t>
        </is>
      </c>
      <c r="U2761" s="20" t="n">
        <v>0.495</v>
      </c>
      <c r="V2761" s="21" t="n">
        <v>1</v>
      </c>
      <c r="W2761" s="20">
        <f>IF(OR(U2761="",V2761=""),U2761,U2761*V2761)</f>
        <v/>
      </c>
      <c r="X2761" s="18" t="inlineStr">
        <is>
          <t>26-51</t>
        </is>
      </c>
      <c r="Y2761" s="19" t="inlineStr"/>
      <c r="Z2761" s="18">
        <f>IF(Y2761="",X2761,Y2761)</f>
        <v/>
      </c>
      <c r="AA2761" s="18" t="inlineStr">
        <is>
          <t>grounded</t>
        </is>
      </c>
      <c r="AB2761" s="18" t="inlineStr"/>
      <c r="AC2761" s="18" t="inlineStr"/>
      <c r="AD2761" s="18" t="inlineStr"/>
      <c r="AE2761" s="18" t="inlineStr"/>
      <c r="AF2761" s="18" t="inlineStr">
        <is>
          <t>False</t>
        </is>
      </c>
      <c r="AG2761" s="18" t="inlineStr"/>
      <c r="AH2761" s="18" t="inlineStr"/>
      <c r="AI2761" s="18" t="inlineStr"/>
      <c r="AJ2761" s="18" t="inlineStr">
        <is>
          <t>COBBLEVERSE 수정</t>
        </is>
      </c>
      <c r="AK2761" s="18" t="inlineStr">
        <is>
          <t>사용</t>
        </is>
      </c>
      <c r="AL2761" s="18" t="inlineStr">
        <is>
          <t>COBBLEVERSE 1.7.42 / DP v31</t>
        </is>
      </c>
      <c r="AM2761" s="18" t="inlineStr">
        <is>
          <t>data/cobblemon/spawn_pool_world/0855_polteageist.json</t>
        </is>
      </c>
      <c r="AN2761" s="18" t="inlineStr">
        <is>
          <t>polteageist-phony-5</t>
        </is>
      </c>
      <c r="AO2761" s="18" t="inlineStr">
        <is>
          <t>pokemon</t>
        </is>
      </c>
      <c r="AP2761" s="18" t="inlineStr">
        <is>
          <t>mansion</t>
        </is>
      </c>
      <c r="AQ2761" s="18" t="inlineStr">
        <is>
          <t>{"biomes":["#cobblemon:is_overworld"],"canSeeSky":false}</t>
        </is>
      </c>
      <c r="AR2761" s="18" t="inlineStr"/>
      <c r="AS2761" s="18" t="inlineStr"/>
      <c r="AT2761" s="19" t="inlineStr"/>
    </row>
    <row r="2762" ht="32" customHeight="1">
      <c r="A2762" s="18" t="inlineStr">
        <is>
          <t>0855_polteageist.json::polteageist-antique-6::006</t>
        </is>
      </c>
      <c r="B2762" s="19" t="inlineStr">
        <is>
          <t>사용</t>
        </is>
      </c>
      <c r="C2762" s="18">
        <f>IF(OR(B2762&lt;&gt;AK2762,M2762&lt;&gt;L2762,O2762&lt;&gt;"",Q2762&lt;&gt;"",V2762&lt;&gt;1,Y2762&lt;&gt;"",AT2762&lt;&gt;""),"수정","원본")</f>
        <v/>
      </c>
      <c r="D2762" s="18" t="n">
        <v>855</v>
      </c>
      <c r="E2762" s="18" t="inlineStr">
        <is>
          <t>포트데스</t>
        </is>
      </c>
      <c r="F2762" s="18" t="inlineStr">
        <is>
          <t>polteageist</t>
        </is>
      </c>
      <c r="G2762" s="18" t="inlineStr">
        <is>
          <t>polteageist tea_authenticity=antique</t>
        </is>
      </c>
      <c r="H2762" s="18" t="inlineStr">
        <is>
          <t>tea_authenticity=antique</t>
        </is>
      </c>
      <c r="I2762" s="18" t="n">
        <v>8</v>
      </c>
      <c r="J2762" s="18" t="n"/>
      <c r="K2762" s="18" t="n">
        <v>8</v>
      </c>
      <c r="L2762" s="18" t="inlineStr">
        <is>
          <t>cobbleventure:generation_8</t>
        </is>
      </c>
      <c r="M2762" s="19" t="inlineStr">
        <is>
          <t>cobbleventure:generation_8</t>
        </is>
      </c>
      <c r="N2762" s="18" t="inlineStr">
        <is>
          <t>region_01; region_02</t>
        </is>
      </c>
      <c r="O2762" s="19" t="inlineStr"/>
      <c r="P2762" s="18" t="inlineStr">
        <is>
          <t>#cobblemon:is_overworld</t>
        </is>
      </c>
      <c r="Q2762" s="19" t="inlineStr"/>
      <c r="R2762" s="18">
        <f>IF(Q2762="",P2762,Q2762)</f>
        <v/>
      </c>
      <c r="S2762" s="18" t="inlineStr"/>
      <c r="T2762" s="18" t="inlineStr">
        <is>
          <t>common</t>
        </is>
      </c>
      <c r="U2762" s="20" t="n">
        <v>0.005</v>
      </c>
      <c r="V2762" s="21" t="n">
        <v>1</v>
      </c>
      <c r="W2762" s="20">
        <f>IF(OR(U2762="",V2762=""),U2762,U2762*V2762)</f>
        <v/>
      </c>
      <c r="X2762" s="18" t="inlineStr">
        <is>
          <t>26-51</t>
        </is>
      </c>
      <c r="Y2762" s="19" t="inlineStr"/>
      <c r="Z2762" s="18">
        <f>IF(Y2762="",X2762,Y2762)</f>
        <v/>
      </c>
      <c r="AA2762" s="18" t="inlineStr">
        <is>
          <t>grounded</t>
        </is>
      </c>
      <c r="AB2762" s="18" t="inlineStr"/>
      <c r="AC2762" s="18" t="inlineStr"/>
      <c r="AD2762" s="18" t="inlineStr"/>
      <c r="AE2762" s="18" t="inlineStr"/>
      <c r="AF2762" s="18" t="inlineStr">
        <is>
          <t>False</t>
        </is>
      </c>
      <c r="AG2762" s="18" t="inlineStr"/>
      <c r="AH2762" s="18" t="inlineStr"/>
      <c r="AI2762" s="18" t="inlineStr"/>
      <c r="AJ2762" s="18" t="inlineStr">
        <is>
          <t>COBBLEVERSE 수정</t>
        </is>
      </c>
      <c r="AK2762" s="18" t="inlineStr">
        <is>
          <t>사용</t>
        </is>
      </c>
      <c r="AL2762" s="18" t="inlineStr">
        <is>
          <t>COBBLEVERSE 1.7.42 / DP v31</t>
        </is>
      </c>
      <c r="AM2762" s="18" t="inlineStr">
        <is>
          <t>data/cobblemon/spawn_pool_world/0855_polteageist.json</t>
        </is>
      </c>
      <c r="AN2762" s="18" t="inlineStr">
        <is>
          <t>polteageist-antique-6</t>
        </is>
      </c>
      <c r="AO2762" s="18" t="inlineStr">
        <is>
          <t>pokemon</t>
        </is>
      </c>
      <c r="AP2762" s="18" t="inlineStr">
        <is>
          <t>mansion</t>
        </is>
      </c>
      <c r="AQ2762" s="18" t="inlineStr">
        <is>
          <t>{"biomes":["#cobblemon:is_overworld"],"canSeeSky":false}</t>
        </is>
      </c>
      <c r="AR2762" s="18" t="inlineStr"/>
      <c r="AS2762" s="18" t="inlineStr"/>
      <c r="AT2762" s="19" t="inlineStr"/>
    </row>
    <row r="2763" ht="32" customHeight="1">
      <c r="A2763" s="18" t="inlineStr">
        <is>
          <t>0856_hatenna.json::hatenna-1::001</t>
        </is>
      </c>
      <c r="B2763" s="19" t="inlineStr">
        <is>
          <t>사용</t>
        </is>
      </c>
      <c r="C2763" s="18">
        <f>IF(OR(B2763&lt;&gt;AK2763,M2763&lt;&gt;L2763,O2763&lt;&gt;"",Q2763&lt;&gt;"",V2763&lt;&gt;1,Y2763&lt;&gt;"",AT2763&lt;&gt;""),"수정","원본")</f>
        <v/>
      </c>
      <c r="D2763" s="18" t="n">
        <v>856</v>
      </c>
      <c r="E2763" s="18" t="inlineStr">
        <is>
          <t>몸지브림</t>
        </is>
      </c>
      <c r="F2763" s="18" t="inlineStr">
        <is>
          <t>hatenna</t>
        </is>
      </c>
      <c r="G2763" s="18" t="inlineStr">
        <is>
          <t>hatenna</t>
        </is>
      </c>
      <c r="H2763" s="18" t="inlineStr"/>
      <c r="I2763" s="18" t="n">
        <v>8</v>
      </c>
      <c r="J2763" s="18" t="n"/>
      <c r="K2763" s="18" t="n">
        <v>8</v>
      </c>
      <c r="L2763" s="18" t="inlineStr">
        <is>
          <t>cobbleventure:generation_8</t>
        </is>
      </c>
      <c r="M2763" s="19" t="inlineStr">
        <is>
          <t>cobbleventure:generation_8</t>
        </is>
      </c>
      <c r="N2763" s="18" t="inlineStr"/>
      <c r="O2763" s="19" t="inlineStr"/>
      <c r="P2763" s="18" t="inlineStr">
        <is>
          <t>#cobblemon:is_magical; aether:skyroot_forest; aether:skyroot_woodland</t>
        </is>
      </c>
      <c r="Q2763" s="19" t="inlineStr"/>
      <c r="R2763" s="18">
        <f>IF(Q2763="",P2763,Q2763)</f>
        <v/>
      </c>
      <c r="S2763" s="18" t="inlineStr"/>
      <c r="T2763" s="18" t="inlineStr">
        <is>
          <t>uncommon</t>
        </is>
      </c>
      <c r="U2763" s="20" t="n">
        <v>8.4</v>
      </c>
      <c r="V2763" s="21" t="n">
        <v>1</v>
      </c>
      <c r="W2763" s="20">
        <f>IF(OR(U2763="",V2763=""),U2763,U2763*V2763)</f>
        <v/>
      </c>
      <c r="X2763" s="18" t="inlineStr">
        <is>
          <t>2-27</t>
        </is>
      </c>
      <c r="Y2763" s="19" t="inlineStr"/>
      <c r="Z2763" s="18">
        <f>IF(Y2763="",X2763,Y2763)</f>
        <v/>
      </c>
      <c r="AA2763" s="18" t="inlineStr">
        <is>
          <t>grounded</t>
        </is>
      </c>
      <c r="AB2763" s="18" t="inlineStr"/>
      <c r="AC2763" s="18" t="inlineStr"/>
      <c r="AD2763" s="18" t="inlineStr"/>
      <c r="AE2763" s="18" t="inlineStr">
        <is>
          <t>sky 8-15</t>
        </is>
      </c>
      <c r="AF2763" s="18" t="inlineStr"/>
      <c r="AG2763" s="18" t="inlineStr"/>
      <c r="AH2763" s="18" t="inlineStr"/>
      <c r="AI2763" s="18" t="inlineStr"/>
      <c r="AJ2763" s="18" t="inlineStr">
        <is>
          <t>Cobblemon 동일</t>
        </is>
      </c>
      <c r="AK2763" s="18" t="inlineStr">
        <is>
          <t>사용</t>
        </is>
      </c>
      <c r="AL2763" s="18" t="inlineStr">
        <is>
          <t>COBBLEVERSE 1.7.42 / DP v31</t>
        </is>
      </c>
      <c r="AM2763" s="18" t="inlineStr">
        <is>
          <t>data/cobblemon/spawn_pool_world/0856_hatenna.json</t>
        </is>
      </c>
      <c r="AN2763" s="18" t="inlineStr">
        <is>
          <t>hatenna-1</t>
        </is>
      </c>
      <c r="AO2763" s="18" t="inlineStr">
        <is>
          <t>pokemon</t>
        </is>
      </c>
      <c r="AP2763" s="18" t="inlineStr">
        <is>
          <t>natural; wild</t>
        </is>
      </c>
      <c r="AQ2763" s="18" t="inlineStr">
        <is>
          <t>{"biomes":["#cobblemon:is_magical","aether:skyroot_forest","aether:skyroot_woodland"],"maxSkyLight":15,"minSkyLight":8}</t>
        </is>
      </c>
      <c r="AR2763" s="18" t="inlineStr"/>
      <c r="AS2763" s="18" t="inlineStr"/>
      <c r="AT2763" s="19" t="inlineStr"/>
    </row>
    <row r="2764" ht="32" customHeight="1">
      <c r="A2764" s="18" t="inlineStr">
        <is>
          <t>0856_hatenna.json::hatenna-2::002</t>
        </is>
      </c>
      <c r="B2764" s="19" t="inlineStr">
        <is>
          <t>사용</t>
        </is>
      </c>
      <c r="C2764" s="18">
        <f>IF(OR(B2764&lt;&gt;AK2764,M2764&lt;&gt;L2764,O2764&lt;&gt;"",Q2764&lt;&gt;"",V2764&lt;&gt;1,Y2764&lt;&gt;"",AT2764&lt;&gt;""),"수정","원본")</f>
        <v/>
      </c>
      <c r="D2764" s="18" t="n">
        <v>856</v>
      </c>
      <c r="E2764" s="18" t="inlineStr">
        <is>
          <t>몸지브림</t>
        </is>
      </c>
      <c r="F2764" s="18" t="inlineStr">
        <is>
          <t>hatenna</t>
        </is>
      </c>
      <c r="G2764" s="18" t="inlineStr">
        <is>
          <t>hatenna</t>
        </is>
      </c>
      <c r="H2764" s="18" t="inlineStr"/>
      <c r="I2764" s="18" t="n">
        <v>8</v>
      </c>
      <c r="J2764" s="18" t="n"/>
      <c r="K2764" s="18" t="n">
        <v>8</v>
      </c>
      <c r="L2764" s="18" t="inlineStr">
        <is>
          <t>cobbleventure:generation_8</t>
        </is>
      </c>
      <c r="M2764" s="19" t="inlineStr">
        <is>
          <t>cobbleventure:generation_8</t>
        </is>
      </c>
      <c r="N2764" s="18" t="inlineStr">
        <is>
          <t>region_01; region_02</t>
        </is>
      </c>
      <c r="O2764" s="19" t="inlineStr"/>
      <c r="P2764" s="18" t="inlineStr">
        <is>
          <t>#cobblemon:is_overworld</t>
        </is>
      </c>
      <c r="Q2764" s="19" t="inlineStr"/>
      <c r="R2764" s="18">
        <f>IF(Q2764="",P2764,Q2764)</f>
        <v/>
      </c>
      <c r="S2764" s="18" t="inlineStr"/>
      <c r="T2764" s="18" t="inlineStr">
        <is>
          <t>common</t>
        </is>
      </c>
      <c r="U2764" s="20" t="n">
        <v>1.8</v>
      </c>
      <c r="V2764" s="21" t="n">
        <v>1</v>
      </c>
      <c r="W2764" s="20">
        <f>IF(OR(U2764="",V2764=""),U2764,U2764*V2764)</f>
        <v/>
      </c>
      <c r="X2764" s="18" t="inlineStr">
        <is>
          <t>2-27</t>
        </is>
      </c>
      <c r="Y2764" s="19" t="inlineStr"/>
      <c r="Z2764" s="18">
        <f>IF(Y2764="",X2764,Y2764)</f>
        <v/>
      </c>
      <c r="AA2764" s="18" t="inlineStr">
        <is>
          <t>grounded</t>
        </is>
      </c>
      <c r="AB2764" s="18" t="inlineStr"/>
      <c r="AC2764" s="18" t="inlineStr"/>
      <c r="AD2764" s="18" t="inlineStr"/>
      <c r="AE2764" s="18" t="inlineStr">
        <is>
          <t>sky 8-15</t>
        </is>
      </c>
      <c r="AF2764" s="18" t="inlineStr"/>
      <c r="AG2764" s="18" t="inlineStr">
        <is>
          <t>minecraft:swamp_hut</t>
        </is>
      </c>
      <c r="AH2764" s="18" t="inlineStr"/>
      <c r="AI2764" s="18" t="inlineStr"/>
      <c r="AJ2764" s="18" t="inlineStr">
        <is>
          <t>Cobblemon 동일</t>
        </is>
      </c>
      <c r="AK2764" s="18" t="inlineStr">
        <is>
          <t>사용</t>
        </is>
      </c>
      <c r="AL2764" s="18" t="inlineStr">
        <is>
          <t>COBBLEVERSE 1.7.42 / DP v31</t>
        </is>
      </c>
      <c r="AM2764" s="18" t="inlineStr">
        <is>
          <t>data/cobblemon/spawn_pool_world/0856_hatenna.json</t>
        </is>
      </c>
      <c r="AN2764" s="18" t="inlineStr">
        <is>
          <t>hatenna-2</t>
        </is>
      </c>
      <c r="AO2764" s="18" t="inlineStr">
        <is>
          <t>pokemon</t>
        </is>
      </c>
      <c r="AP2764" s="18" t="inlineStr"/>
      <c r="AQ2764" s="18" t="inlineStr">
        <is>
          <t>{"biomes":["#cobblemon:is_overworld"],"maxSkyLight":15,"minSkyLight":8,"structures":["minecraft:swamp_hut"]}</t>
        </is>
      </c>
      <c r="AR2764" s="18" t="inlineStr"/>
      <c r="AS2764" s="18" t="inlineStr"/>
      <c r="AT2764" s="19" t="inlineStr"/>
    </row>
    <row r="2765" ht="32" customHeight="1">
      <c r="A2765" s="18" t="inlineStr">
        <is>
          <t>0856_hatenna.json::hatenna-3::003</t>
        </is>
      </c>
      <c r="B2765" s="19" t="inlineStr">
        <is>
          <t>사용</t>
        </is>
      </c>
      <c r="C2765" s="18">
        <f>IF(OR(B2765&lt;&gt;AK2765,M2765&lt;&gt;L2765,O2765&lt;&gt;"",Q2765&lt;&gt;"",V2765&lt;&gt;1,Y2765&lt;&gt;"",AT2765&lt;&gt;""),"수정","원본")</f>
        <v/>
      </c>
      <c r="D2765" s="18" t="n">
        <v>856</v>
      </c>
      <c r="E2765" s="18" t="inlineStr">
        <is>
          <t>몸지브림</t>
        </is>
      </c>
      <c r="F2765" s="18" t="inlineStr">
        <is>
          <t>hatenna</t>
        </is>
      </c>
      <c r="G2765" s="18" t="inlineStr">
        <is>
          <t>hatenna</t>
        </is>
      </c>
      <c r="H2765" s="18" t="inlineStr"/>
      <c r="I2765" s="18" t="n">
        <v>8</v>
      </c>
      <c r="J2765" s="18" t="n"/>
      <c r="K2765" s="18" t="n">
        <v>8</v>
      </c>
      <c r="L2765" s="18" t="inlineStr">
        <is>
          <t>cobbleventure:generation_8</t>
        </is>
      </c>
      <c r="M2765" s="19" t="inlineStr">
        <is>
          <t>cobbleventure:generation_8</t>
        </is>
      </c>
      <c r="N2765" s="18" t="inlineStr">
        <is>
          <t>region_01; region_02</t>
        </is>
      </c>
      <c r="O2765" s="19" t="inlineStr"/>
      <c r="P2765" s="18" t="inlineStr">
        <is>
          <t>#cobblemon:is_overworld</t>
        </is>
      </c>
      <c r="Q2765" s="19" t="inlineStr"/>
      <c r="R2765" s="18">
        <f>IF(Q2765="",P2765,Q2765)</f>
        <v/>
      </c>
      <c r="S2765" s="18" t="inlineStr"/>
      <c r="T2765" s="18" t="inlineStr">
        <is>
          <t>common</t>
        </is>
      </c>
      <c r="U2765" s="20" t="n">
        <v>1.8</v>
      </c>
      <c r="V2765" s="21" t="n">
        <v>1</v>
      </c>
      <c r="W2765" s="20">
        <f>IF(OR(U2765="",V2765=""),U2765,U2765*V2765)</f>
        <v/>
      </c>
      <c r="X2765" s="18" t="inlineStr">
        <is>
          <t>2-27</t>
        </is>
      </c>
      <c r="Y2765" s="19" t="inlineStr"/>
      <c r="Z2765" s="18">
        <f>IF(Y2765="",X2765,Y2765)</f>
        <v/>
      </c>
      <c r="AA2765" s="18" t="inlineStr">
        <is>
          <t>grounded</t>
        </is>
      </c>
      <c r="AB2765" s="18" t="inlineStr"/>
      <c r="AC2765" s="18" t="inlineStr"/>
      <c r="AD2765" s="18" t="inlineStr"/>
      <c r="AE2765" s="18" t="inlineStr"/>
      <c r="AF2765" s="18" t="inlineStr">
        <is>
          <t>False</t>
        </is>
      </c>
      <c r="AG2765" s="18" t="inlineStr"/>
      <c r="AH2765" s="18" t="inlineStr"/>
      <c r="AI2765" s="18" t="inlineStr"/>
      <c r="AJ2765" s="18" t="inlineStr">
        <is>
          <t>Cobblemon 동일</t>
        </is>
      </c>
      <c r="AK2765" s="18" t="inlineStr">
        <is>
          <t>사용</t>
        </is>
      </c>
      <c r="AL2765" s="18" t="inlineStr">
        <is>
          <t>COBBLEVERSE 1.7.42 / DP v31</t>
        </is>
      </c>
      <c r="AM2765" s="18" t="inlineStr">
        <is>
          <t>data/cobblemon/spawn_pool_world/0856_hatenna.json</t>
        </is>
      </c>
      <c r="AN2765" s="18" t="inlineStr">
        <is>
          <t>hatenna-3</t>
        </is>
      </c>
      <c r="AO2765" s="18" t="inlineStr">
        <is>
          <t>pokemon</t>
        </is>
      </c>
      <c r="AP2765" s="18" t="inlineStr">
        <is>
          <t>mansion</t>
        </is>
      </c>
      <c r="AQ2765" s="18" t="inlineStr">
        <is>
          <t>{"biomes":["#cobblemon:is_overworld"],"canSeeSky":false}</t>
        </is>
      </c>
      <c r="AR2765" s="18" t="inlineStr"/>
      <c r="AS2765" s="18" t="inlineStr"/>
      <c r="AT2765" s="19" t="inlineStr"/>
    </row>
    <row r="2766" ht="32" customHeight="1">
      <c r="A2766" s="18" t="inlineStr">
        <is>
          <t>0857_hattrem.json::hattrem-1::001</t>
        </is>
      </c>
      <c r="B2766" s="19" t="inlineStr">
        <is>
          <t>사용</t>
        </is>
      </c>
      <c r="C2766" s="18">
        <f>IF(OR(B2766&lt;&gt;AK2766,M2766&lt;&gt;L2766,O2766&lt;&gt;"",Q2766&lt;&gt;"",V2766&lt;&gt;1,Y2766&lt;&gt;"",AT2766&lt;&gt;""),"수정","원본")</f>
        <v/>
      </c>
      <c r="D2766" s="18" t="n">
        <v>857</v>
      </c>
      <c r="E2766" s="18" t="inlineStr">
        <is>
          <t>손지브림</t>
        </is>
      </c>
      <c r="F2766" s="18" t="inlineStr">
        <is>
          <t>hattrem</t>
        </is>
      </c>
      <c r="G2766" s="18" t="inlineStr">
        <is>
          <t>hattrem</t>
        </is>
      </c>
      <c r="H2766" s="18" t="inlineStr"/>
      <c r="I2766" s="18" t="n">
        <v>8</v>
      </c>
      <c r="J2766" s="18" t="n"/>
      <c r="K2766" s="18" t="n">
        <v>8</v>
      </c>
      <c r="L2766" s="18" t="inlineStr">
        <is>
          <t>cobbleventure:generation_8</t>
        </is>
      </c>
      <c r="M2766" s="19" t="inlineStr">
        <is>
          <t>cobbleventure:generation_8</t>
        </is>
      </c>
      <c r="N2766" s="18" t="inlineStr"/>
      <c r="O2766" s="19" t="inlineStr"/>
      <c r="P2766" s="18" t="inlineStr">
        <is>
          <t>#cobblemon:is_magical; aether:skyroot_forest; aether:skyroot_woodland</t>
        </is>
      </c>
      <c r="Q2766" s="19" t="inlineStr"/>
      <c r="R2766" s="18">
        <f>IF(Q2766="",P2766,Q2766)</f>
        <v/>
      </c>
      <c r="S2766" s="18" t="inlineStr"/>
      <c r="T2766" s="18" t="inlineStr">
        <is>
          <t>uncommon</t>
        </is>
      </c>
      <c r="U2766" s="20" t="n">
        <v>1.44</v>
      </c>
      <c r="V2766" s="21" t="n">
        <v>1</v>
      </c>
      <c r="W2766" s="20">
        <f>IF(OR(U2766="",V2766=""),U2766,U2766*V2766)</f>
        <v/>
      </c>
      <c r="X2766" s="18" t="inlineStr">
        <is>
          <t>32-37</t>
        </is>
      </c>
      <c r="Y2766" s="19" t="inlineStr"/>
      <c r="Z2766" s="18">
        <f>IF(Y2766="",X2766,Y2766)</f>
        <v/>
      </c>
      <c r="AA2766" s="18" t="inlineStr">
        <is>
          <t>grounded</t>
        </is>
      </c>
      <c r="AB2766" s="18" t="inlineStr"/>
      <c r="AC2766" s="18" t="inlineStr"/>
      <c r="AD2766" s="18" t="inlineStr"/>
      <c r="AE2766" s="18" t="inlineStr">
        <is>
          <t>sky 8-15</t>
        </is>
      </c>
      <c r="AF2766" s="18" t="inlineStr"/>
      <c r="AG2766" s="18" t="inlineStr"/>
      <c r="AH2766" s="18" t="inlineStr"/>
      <c r="AI2766" s="18" t="inlineStr"/>
      <c r="AJ2766" s="18" t="inlineStr">
        <is>
          <t>Cobblemon 동일</t>
        </is>
      </c>
      <c r="AK2766" s="18" t="inlineStr">
        <is>
          <t>사용</t>
        </is>
      </c>
      <c r="AL2766" s="18" t="inlineStr">
        <is>
          <t>COBBLEVERSE 1.7.42 / DP v31</t>
        </is>
      </c>
      <c r="AM2766" s="18" t="inlineStr">
        <is>
          <t>data/cobblemon/spawn_pool_world/0857_hattrem.json</t>
        </is>
      </c>
      <c r="AN2766" s="18" t="inlineStr">
        <is>
          <t>hattrem-1</t>
        </is>
      </c>
      <c r="AO2766" s="18" t="inlineStr">
        <is>
          <t>pokemon</t>
        </is>
      </c>
      <c r="AP2766" s="18" t="inlineStr">
        <is>
          <t>natural; wild</t>
        </is>
      </c>
      <c r="AQ2766" s="18" t="inlineStr">
        <is>
          <t>{"biomes":["#cobblemon:is_magical","aether:skyroot_forest","aether:skyroot_woodland"],"maxSkyLight":15,"minSkyLight":8}</t>
        </is>
      </c>
      <c r="AR2766" s="18" t="inlineStr"/>
      <c r="AS2766" s="18" t="inlineStr"/>
      <c r="AT2766" s="19" t="inlineStr"/>
    </row>
    <row r="2767" ht="32" customHeight="1">
      <c r="A2767" s="18" t="inlineStr">
        <is>
          <t>0857_hattrem.json::hattrem-2::002</t>
        </is>
      </c>
      <c r="B2767" s="19" t="inlineStr">
        <is>
          <t>사용</t>
        </is>
      </c>
      <c r="C2767" s="18">
        <f>IF(OR(B2767&lt;&gt;AK2767,M2767&lt;&gt;L2767,O2767&lt;&gt;"",Q2767&lt;&gt;"",V2767&lt;&gt;1,Y2767&lt;&gt;"",AT2767&lt;&gt;""),"수정","원본")</f>
        <v/>
      </c>
      <c r="D2767" s="18" t="n">
        <v>857</v>
      </c>
      <c r="E2767" s="18" t="inlineStr">
        <is>
          <t>손지브림</t>
        </is>
      </c>
      <c r="F2767" s="18" t="inlineStr">
        <is>
          <t>hattrem</t>
        </is>
      </c>
      <c r="G2767" s="18" t="inlineStr">
        <is>
          <t>hattrem</t>
        </is>
      </c>
      <c r="H2767" s="18" t="inlineStr"/>
      <c r="I2767" s="18" t="n">
        <v>8</v>
      </c>
      <c r="J2767" s="18" t="n"/>
      <c r="K2767" s="18" t="n">
        <v>8</v>
      </c>
      <c r="L2767" s="18" t="inlineStr">
        <is>
          <t>cobbleventure:generation_8</t>
        </is>
      </c>
      <c r="M2767" s="19" t="inlineStr">
        <is>
          <t>cobbleventure:generation_8</t>
        </is>
      </c>
      <c r="N2767" s="18" t="inlineStr">
        <is>
          <t>region_01; region_02</t>
        </is>
      </c>
      <c r="O2767" s="19" t="inlineStr"/>
      <c r="P2767" s="18" t="inlineStr">
        <is>
          <t>#cobblemon:is_overworld</t>
        </is>
      </c>
      <c r="Q2767" s="19" t="inlineStr"/>
      <c r="R2767" s="18">
        <f>IF(Q2767="",P2767,Q2767)</f>
        <v/>
      </c>
      <c r="S2767" s="18" t="inlineStr"/>
      <c r="T2767" s="18" t="inlineStr">
        <is>
          <t>common</t>
        </is>
      </c>
      <c r="U2767" s="20" t="n">
        <v>0.18</v>
      </c>
      <c r="V2767" s="21" t="n">
        <v>1</v>
      </c>
      <c r="W2767" s="20">
        <f>IF(OR(U2767="",V2767=""),U2767,U2767*V2767)</f>
        <v/>
      </c>
      <c r="X2767" s="18" t="inlineStr">
        <is>
          <t>32-37</t>
        </is>
      </c>
      <c r="Y2767" s="19" t="inlineStr"/>
      <c r="Z2767" s="18">
        <f>IF(Y2767="",X2767,Y2767)</f>
        <v/>
      </c>
      <c r="AA2767" s="18" t="inlineStr">
        <is>
          <t>grounded</t>
        </is>
      </c>
      <c r="AB2767" s="18" t="inlineStr"/>
      <c r="AC2767" s="18" t="inlineStr"/>
      <c r="AD2767" s="18" t="inlineStr"/>
      <c r="AE2767" s="18" t="inlineStr">
        <is>
          <t>sky 8-15</t>
        </is>
      </c>
      <c r="AF2767" s="18" t="inlineStr"/>
      <c r="AG2767" s="18" t="inlineStr">
        <is>
          <t>minecraft:swamp_hut</t>
        </is>
      </c>
      <c r="AH2767" s="18" t="inlineStr"/>
      <c r="AI2767" s="18" t="inlineStr"/>
      <c r="AJ2767" s="18" t="inlineStr">
        <is>
          <t>Cobblemon 동일</t>
        </is>
      </c>
      <c r="AK2767" s="18" t="inlineStr">
        <is>
          <t>사용</t>
        </is>
      </c>
      <c r="AL2767" s="18" t="inlineStr">
        <is>
          <t>COBBLEVERSE 1.7.42 / DP v31</t>
        </is>
      </c>
      <c r="AM2767" s="18" t="inlineStr">
        <is>
          <t>data/cobblemon/spawn_pool_world/0857_hattrem.json</t>
        </is>
      </c>
      <c r="AN2767" s="18" t="inlineStr">
        <is>
          <t>hattrem-2</t>
        </is>
      </c>
      <c r="AO2767" s="18" t="inlineStr">
        <is>
          <t>pokemon</t>
        </is>
      </c>
      <c r="AP2767" s="18" t="inlineStr"/>
      <c r="AQ2767" s="18" t="inlineStr">
        <is>
          <t>{"biomes":["#cobblemon:is_overworld"],"maxSkyLight":15,"minSkyLight":8,"structures":["minecraft:swamp_hut"]}</t>
        </is>
      </c>
      <c r="AR2767" s="18" t="inlineStr"/>
      <c r="AS2767" s="18" t="inlineStr"/>
      <c r="AT2767" s="19" t="inlineStr"/>
    </row>
    <row r="2768" ht="32" customHeight="1">
      <c r="A2768" s="18" t="inlineStr">
        <is>
          <t>0857_hattrem.json::hattrem-3::003</t>
        </is>
      </c>
      <c r="B2768" s="19" t="inlineStr">
        <is>
          <t>사용</t>
        </is>
      </c>
      <c r="C2768" s="18">
        <f>IF(OR(B2768&lt;&gt;AK2768,M2768&lt;&gt;L2768,O2768&lt;&gt;"",Q2768&lt;&gt;"",V2768&lt;&gt;1,Y2768&lt;&gt;"",AT2768&lt;&gt;""),"수정","원본")</f>
        <v/>
      </c>
      <c r="D2768" s="18" t="n">
        <v>857</v>
      </c>
      <c r="E2768" s="18" t="inlineStr">
        <is>
          <t>손지브림</t>
        </is>
      </c>
      <c r="F2768" s="18" t="inlineStr">
        <is>
          <t>hattrem</t>
        </is>
      </c>
      <c r="G2768" s="18" t="inlineStr">
        <is>
          <t>hattrem</t>
        </is>
      </c>
      <c r="H2768" s="18" t="inlineStr"/>
      <c r="I2768" s="18" t="n">
        <v>8</v>
      </c>
      <c r="J2768" s="18" t="n"/>
      <c r="K2768" s="18" t="n">
        <v>8</v>
      </c>
      <c r="L2768" s="18" t="inlineStr">
        <is>
          <t>cobbleventure:generation_8</t>
        </is>
      </c>
      <c r="M2768" s="19" t="inlineStr">
        <is>
          <t>cobbleventure:generation_8</t>
        </is>
      </c>
      <c r="N2768" s="18" t="inlineStr">
        <is>
          <t>region_01; region_02</t>
        </is>
      </c>
      <c r="O2768" s="19" t="inlineStr"/>
      <c r="P2768" s="18" t="inlineStr">
        <is>
          <t>#cobblemon:is_overworld</t>
        </is>
      </c>
      <c r="Q2768" s="19" t="inlineStr"/>
      <c r="R2768" s="18">
        <f>IF(Q2768="",P2768,Q2768)</f>
        <v/>
      </c>
      <c r="S2768" s="18" t="inlineStr"/>
      <c r="T2768" s="18" t="inlineStr">
        <is>
          <t>common</t>
        </is>
      </c>
      <c r="U2768" s="20" t="n">
        <v>0.18</v>
      </c>
      <c r="V2768" s="21" t="n">
        <v>1</v>
      </c>
      <c r="W2768" s="20">
        <f>IF(OR(U2768="",V2768=""),U2768,U2768*V2768)</f>
        <v/>
      </c>
      <c r="X2768" s="18" t="inlineStr">
        <is>
          <t>32-37</t>
        </is>
      </c>
      <c r="Y2768" s="19" t="inlineStr"/>
      <c r="Z2768" s="18">
        <f>IF(Y2768="",X2768,Y2768)</f>
        <v/>
      </c>
      <c r="AA2768" s="18" t="inlineStr">
        <is>
          <t>grounded</t>
        </is>
      </c>
      <c r="AB2768" s="18" t="inlineStr"/>
      <c r="AC2768" s="18" t="inlineStr"/>
      <c r="AD2768" s="18" t="inlineStr"/>
      <c r="AE2768" s="18" t="inlineStr"/>
      <c r="AF2768" s="18" t="inlineStr">
        <is>
          <t>False</t>
        </is>
      </c>
      <c r="AG2768" s="18" t="inlineStr"/>
      <c r="AH2768" s="18" t="inlineStr"/>
      <c r="AI2768" s="18" t="inlineStr"/>
      <c r="AJ2768" s="18" t="inlineStr">
        <is>
          <t>Cobblemon 동일</t>
        </is>
      </c>
      <c r="AK2768" s="18" t="inlineStr">
        <is>
          <t>사용</t>
        </is>
      </c>
      <c r="AL2768" s="18" t="inlineStr">
        <is>
          <t>COBBLEVERSE 1.7.42 / DP v31</t>
        </is>
      </c>
      <c r="AM2768" s="18" t="inlineStr">
        <is>
          <t>data/cobblemon/spawn_pool_world/0857_hattrem.json</t>
        </is>
      </c>
      <c r="AN2768" s="18" t="inlineStr">
        <is>
          <t>hattrem-3</t>
        </is>
      </c>
      <c r="AO2768" s="18" t="inlineStr">
        <is>
          <t>pokemon</t>
        </is>
      </c>
      <c r="AP2768" s="18" t="inlineStr">
        <is>
          <t>mansion</t>
        </is>
      </c>
      <c r="AQ2768" s="18" t="inlineStr">
        <is>
          <t>{"biomes":["#cobblemon:is_overworld"],"canSeeSky":false}</t>
        </is>
      </c>
      <c r="AR2768" s="18" t="inlineStr"/>
      <c r="AS2768" s="18" t="inlineStr"/>
      <c r="AT2768" s="19" t="inlineStr"/>
    </row>
    <row r="2769" ht="32" customHeight="1">
      <c r="A2769" s="18" t="inlineStr">
        <is>
          <t>0858_hatterene.json::hatterene-1::001</t>
        </is>
      </c>
      <c r="B2769" s="19" t="inlineStr">
        <is>
          <t>사용</t>
        </is>
      </c>
      <c r="C2769" s="18">
        <f>IF(OR(B2769&lt;&gt;AK2769,M2769&lt;&gt;L2769,O2769&lt;&gt;"",Q2769&lt;&gt;"",V2769&lt;&gt;1,Y2769&lt;&gt;"",AT2769&lt;&gt;""),"수정","원본")</f>
        <v/>
      </c>
      <c r="D2769" s="18" t="n">
        <v>858</v>
      </c>
      <c r="E2769" s="18" t="inlineStr">
        <is>
          <t>브리무음</t>
        </is>
      </c>
      <c r="F2769" s="18" t="inlineStr">
        <is>
          <t>hatterene</t>
        </is>
      </c>
      <c r="G2769" s="18" t="inlineStr">
        <is>
          <t>hatterene</t>
        </is>
      </c>
      <c r="H2769" s="18" t="inlineStr"/>
      <c r="I2769" s="18" t="n">
        <v>8</v>
      </c>
      <c r="J2769" s="18" t="n"/>
      <c r="K2769" s="18" t="n">
        <v>8</v>
      </c>
      <c r="L2769" s="18" t="inlineStr">
        <is>
          <t>cobbleventure:generation_8</t>
        </is>
      </c>
      <c r="M2769" s="19" t="inlineStr">
        <is>
          <t>cobbleventure:generation_8</t>
        </is>
      </c>
      <c r="N2769" s="18" t="inlineStr"/>
      <c r="O2769" s="19" t="inlineStr"/>
      <c r="P2769" s="18" t="inlineStr">
        <is>
          <t>#cobblemon:is_magical; aether:skyroot_forest; aether:skyroot_woodland</t>
        </is>
      </c>
      <c r="Q2769" s="19" t="inlineStr"/>
      <c r="R2769" s="18">
        <f>IF(Q2769="",P2769,Q2769)</f>
        <v/>
      </c>
      <c r="S2769" s="18" t="inlineStr"/>
      <c r="T2769" s="18" t="inlineStr">
        <is>
          <t>uncommon</t>
        </is>
      </c>
      <c r="U2769" s="20" t="n">
        <v>0.16</v>
      </c>
      <c r="V2769" s="21" t="n">
        <v>1</v>
      </c>
      <c r="W2769" s="20">
        <f>IF(OR(U2769="",V2769=""),U2769,U2769*V2769)</f>
        <v/>
      </c>
      <c r="X2769" s="18" t="inlineStr">
        <is>
          <t>42-51</t>
        </is>
      </c>
      <c r="Y2769" s="19" t="inlineStr"/>
      <c r="Z2769" s="18">
        <f>IF(Y2769="",X2769,Y2769)</f>
        <v/>
      </c>
      <c r="AA2769" s="18" t="inlineStr">
        <is>
          <t>grounded</t>
        </is>
      </c>
      <c r="AB2769" s="18" t="inlineStr"/>
      <c r="AC2769" s="18" t="inlineStr"/>
      <c r="AD2769" s="18" t="inlineStr"/>
      <c r="AE2769" s="18" t="inlineStr">
        <is>
          <t>sky 8-15</t>
        </is>
      </c>
      <c r="AF2769" s="18" t="inlineStr"/>
      <c r="AG2769" s="18" t="inlineStr"/>
      <c r="AH2769" s="18" t="inlineStr"/>
      <c r="AI2769" s="18" t="inlineStr"/>
      <c r="AJ2769" s="18" t="inlineStr">
        <is>
          <t>Cobblemon 동일</t>
        </is>
      </c>
      <c r="AK2769" s="18" t="inlineStr">
        <is>
          <t>사용</t>
        </is>
      </c>
      <c r="AL2769" s="18" t="inlineStr">
        <is>
          <t>COBBLEVERSE 1.7.42 / DP v31</t>
        </is>
      </c>
      <c r="AM2769" s="18" t="inlineStr">
        <is>
          <t>data/cobblemon/spawn_pool_world/0858_hatterene.json</t>
        </is>
      </c>
      <c r="AN2769" s="18" t="inlineStr">
        <is>
          <t>hatterene-1</t>
        </is>
      </c>
      <c r="AO2769" s="18" t="inlineStr">
        <is>
          <t>pokemon</t>
        </is>
      </c>
      <c r="AP2769" s="18" t="inlineStr">
        <is>
          <t>natural; wild</t>
        </is>
      </c>
      <c r="AQ2769" s="18" t="inlineStr">
        <is>
          <t>{"biomes":["#cobblemon:is_magical","aether:skyroot_forest","aether:skyroot_woodland"],"maxSkyLight":15,"minSkyLight":8}</t>
        </is>
      </c>
      <c r="AR2769" s="18" t="inlineStr"/>
      <c r="AS2769" s="18" t="inlineStr"/>
      <c r="AT2769" s="19" t="inlineStr"/>
    </row>
    <row r="2770" ht="32" customHeight="1">
      <c r="A2770" s="18" t="inlineStr">
        <is>
          <t>0858_hatterene.json::hatterene-2::002</t>
        </is>
      </c>
      <c r="B2770" s="19" t="inlineStr">
        <is>
          <t>사용</t>
        </is>
      </c>
      <c r="C2770" s="18">
        <f>IF(OR(B2770&lt;&gt;AK2770,M2770&lt;&gt;L2770,O2770&lt;&gt;"",Q2770&lt;&gt;"",V2770&lt;&gt;1,Y2770&lt;&gt;"",AT2770&lt;&gt;""),"수정","원본")</f>
        <v/>
      </c>
      <c r="D2770" s="18" t="n">
        <v>858</v>
      </c>
      <c r="E2770" s="18" t="inlineStr">
        <is>
          <t>브리무음</t>
        </is>
      </c>
      <c r="F2770" s="18" t="inlineStr">
        <is>
          <t>hatterene</t>
        </is>
      </c>
      <c r="G2770" s="18" t="inlineStr">
        <is>
          <t>hatterene</t>
        </is>
      </c>
      <c r="H2770" s="18" t="inlineStr"/>
      <c r="I2770" s="18" t="n">
        <v>8</v>
      </c>
      <c r="J2770" s="18" t="n"/>
      <c r="K2770" s="18" t="n">
        <v>8</v>
      </c>
      <c r="L2770" s="18" t="inlineStr">
        <is>
          <t>cobbleventure:generation_8</t>
        </is>
      </c>
      <c r="M2770" s="19" t="inlineStr">
        <is>
          <t>cobbleventure:generation_8</t>
        </is>
      </c>
      <c r="N2770" s="18" t="inlineStr">
        <is>
          <t>region_01; region_02</t>
        </is>
      </c>
      <c r="O2770" s="19" t="inlineStr"/>
      <c r="P2770" s="18" t="inlineStr">
        <is>
          <t>#cobblemon:is_overworld</t>
        </is>
      </c>
      <c r="Q2770" s="19" t="inlineStr"/>
      <c r="R2770" s="18">
        <f>IF(Q2770="",P2770,Q2770)</f>
        <v/>
      </c>
      <c r="S2770" s="18" t="inlineStr"/>
      <c r="T2770" s="18" t="inlineStr">
        <is>
          <t>common</t>
        </is>
      </c>
      <c r="U2770" s="20" t="n">
        <v>0.02</v>
      </c>
      <c r="V2770" s="21" t="n">
        <v>1</v>
      </c>
      <c r="W2770" s="20">
        <f>IF(OR(U2770="",V2770=""),U2770,U2770*V2770)</f>
        <v/>
      </c>
      <c r="X2770" s="18" t="inlineStr">
        <is>
          <t>42-51</t>
        </is>
      </c>
      <c r="Y2770" s="19" t="inlineStr"/>
      <c r="Z2770" s="18">
        <f>IF(Y2770="",X2770,Y2770)</f>
        <v/>
      </c>
      <c r="AA2770" s="18" t="inlineStr">
        <is>
          <t>grounded</t>
        </is>
      </c>
      <c r="AB2770" s="18" t="inlineStr"/>
      <c r="AC2770" s="18" t="inlineStr"/>
      <c r="AD2770" s="18" t="inlineStr"/>
      <c r="AE2770" s="18" t="inlineStr">
        <is>
          <t>sky 8-15</t>
        </is>
      </c>
      <c r="AF2770" s="18" t="inlineStr"/>
      <c r="AG2770" s="18" t="inlineStr">
        <is>
          <t>minecraft:swamp_hut</t>
        </is>
      </c>
      <c r="AH2770" s="18" t="inlineStr"/>
      <c r="AI2770" s="18" t="inlineStr"/>
      <c r="AJ2770" s="18" t="inlineStr">
        <is>
          <t>Cobblemon 동일</t>
        </is>
      </c>
      <c r="AK2770" s="18" t="inlineStr">
        <is>
          <t>사용</t>
        </is>
      </c>
      <c r="AL2770" s="18" t="inlineStr">
        <is>
          <t>COBBLEVERSE 1.7.42 / DP v31</t>
        </is>
      </c>
      <c r="AM2770" s="18" t="inlineStr">
        <is>
          <t>data/cobblemon/spawn_pool_world/0858_hatterene.json</t>
        </is>
      </c>
      <c r="AN2770" s="18" t="inlineStr">
        <is>
          <t>hatterene-2</t>
        </is>
      </c>
      <c r="AO2770" s="18" t="inlineStr">
        <is>
          <t>pokemon</t>
        </is>
      </c>
      <c r="AP2770" s="18" t="inlineStr"/>
      <c r="AQ2770" s="18" t="inlineStr">
        <is>
          <t>{"biomes":["#cobblemon:is_overworld"],"maxSkyLight":15,"minSkyLight":8,"structures":["minecraft:swamp_hut"]}</t>
        </is>
      </c>
      <c r="AR2770" s="18" t="inlineStr"/>
      <c r="AS2770" s="18" t="inlineStr"/>
      <c r="AT2770" s="19" t="inlineStr"/>
    </row>
    <row r="2771" ht="32" customHeight="1">
      <c r="A2771" s="18" t="inlineStr">
        <is>
          <t>0858_hatterene.json::hatterene-3::003</t>
        </is>
      </c>
      <c r="B2771" s="19" t="inlineStr">
        <is>
          <t>사용</t>
        </is>
      </c>
      <c r="C2771" s="18">
        <f>IF(OR(B2771&lt;&gt;AK2771,M2771&lt;&gt;L2771,O2771&lt;&gt;"",Q2771&lt;&gt;"",V2771&lt;&gt;1,Y2771&lt;&gt;"",AT2771&lt;&gt;""),"수정","원본")</f>
        <v/>
      </c>
      <c r="D2771" s="18" t="n">
        <v>858</v>
      </c>
      <c r="E2771" s="18" t="inlineStr">
        <is>
          <t>브리무음</t>
        </is>
      </c>
      <c r="F2771" s="18" t="inlineStr">
        <is>
          <t>hatterene</t>
        </is>
      </c>
      <c r="G2771" s="18" t="inlineStr">
        <is>
          <t>hatterene</t>
        </is>
      </c>
      <c r="H2771" s="18" t="inlineStr"/>
      <c r="I2771" s="18" t="n">
        <v>8</v>
      </c>
      <c r="J2771" s="18" t="n"/>
      <c r="K2771" s="18" t="n">
        <v>8</v>
      </c>
      <c r="L2771" s="18" t="inlineStr">
        <is>
          <t>cobbleventure:generation_8</t>
        </is>
      </c>
      <c r="M2771" s="19" t="inlineStr">
        <is>
          <t>cobbleventure:generation_8</t>
        </is>
      </c>
      <c r="N2771" s="18" t="inlineStr">
        <is>
          <t>region_01; region_02</t>
        </is>
      </c>
      <c r="O2771" s="19" t="inlineStr"/>
      <c r="P2771" s="18" t="inlineStr">
        <is>
          <t>#cobblemon:is_overworld</t>
        </is>
      </c>
      <c r="Q2771" s="19" t="inlineStr"/>
      <c r="R2771" s="18">
        <f>IF(Q2771="",P2771,Q2771)</f>
        <v/>
      </c>
      <c r="S2771" s="18" t="inlineStr"/>
      <c r="T2771" s="18" t="inlineStr">
        <is>
          <t>common</t>
        </is>
      </c>
      <c r="U2771" s="20" t="n">
        <v>0.02</v>
      </c>
      <c r="V2771" s="21" t="n">
        <v>1</v>
      </c>
      <c r="W2771" s="20">
        <f>IF(OR(U2771="",V2771=""),U2771,U2771*V2771)</f>
        <v/>
      </c>
      <c r="X2771" s="18" t="inlineStr">
        <is>
          <t>42-51</t>
        </is>
      </c>
      <c r="Y2771" s="19" t="inlineStr"/>
      <c r="Z2771" s="18">
        <f>IF(Y2771="",X2771,Y2771)</f>
        <v/>
      </c>
      <c r="AA2771" s="18" t="inlineStr">
        <is>
          <t>grounded</t>
        </is>
      </c>
      <c r="AB2771" s="18" t="inlineStr"/>
      <c r="AC2771" s="18" t="inlineStr"/>
      <c r="AD2771" s="18" t="inlineStr"/>
      <c r="AE2771" s="18" t="inlineStr"/>
      <c r="AF2771" s="18" t="inlineStr">
        <is>
          <t>False</t>
        </is>
      </c>
      <c r="AG2771" s="18" t="inlineStr"/>
      <c r="AH2771" s="18" t="inlineStr"/>
      <c r="AI2771" s="18" t="inlineStr"/>
      <c r="AJ2771" s="18" t="inlineStr">
        <is>
          <t>Cobblemon 동일</t>
        </is>
      </c>
      <c r="AK2771" s="18" t="inlineStr">
        <is>
          <t>사용</t>
        </is>
      </c>
      <c r="AL2771" s="18" t="inlineStr">
        <is>
          <t>COBBLEVERSE 1.7.42 / DP v31</t>
        </is>
      </c>
      <c r="AM2771" s="18" t="inlineStr">
        <is>
          <t>data/cobblemon/spawn_pool_world/0858_hatterene.json</t>
        </is>
      </c>
      <c r="AN2771" s="18" t="inlineStr">
        <is>
          <t>hatterene-3</t>
        </is>
      </c>
      <c r="AO2771" s="18" t="inlineStr">
        <is>
          <t>pokemon</t>
        </is>
      </c>
      <c r="AP2771" s="18" t="inlineStr">
        <is>
          <t>mansion</t>
        </is>
      </c>
      <c r="AQ2771" s="18" t="inlineStr">
        <is>
          <t>{"biomes":["#cobblemon:is_overworld"],"canSeeSky":false}</t>
        </is>
      </c>
      <c r="AR2771" s="18" t="inlineStr"/>
      <c r="AS2771" s="18" t="inlineStr"/>
      <c r="AT2771" s="19" t="inlineStr"/>
    </row>
    <row r="2772" ht="32" customHeight="1">
      <c r="A2772" s="18" t="inlineStr">
        <is>
          <t>0859_impidimp.json::impidimp-1::001</t>
        </is>
      </c>
      <c r="B2772" s="19" t="inlineStr">
        <is>
          <t>사용</t>
        </is>
      </c>
      <c r="C2772" s="18">
        <f>IF(OR(B2772&lt;&gt;AK2772,M2772&lt;&gt;L2772,O2772&lt;&gt;"",Q2772&lt;&gt;"",V2772&lt;&gt;1,Y2772&lt;&gt;"",AT2772&lt;&gt;""),"수정","원본")</f>
        <v/>
      </c>
      <c r="D2772" s="18" t="n">
        <v>859</v>
      </c>
      <c r="E2772" s="18" t="inlineStr">
        <is>
          <t>메롱꿍</t>
        </is>
      </c>
      <c r="F2772" s="18" t="inlineStr">
        <is>
          <t>impidimp</t>
        </is>
      </c>
      <c r="G2772" s="18" t="inlineStr">
        <is>
          <t>impidimp</t>
        </is>
      </c>
      <c r="H2772" s="18" t="inlineStr"/>
      <c r="I2772" s="18" t="n">
        <v>8</v>
      </c>
      <c r="J2772" s="18" t="n"/>
      <c r="K2772" s="18" t="n">
        <v>8</v>
      </c>
      <c r="L2772" s="18" t="inlineStr">
        <is>
          <t>cobbleventure:generation_8</t>
        </is>
      </c>
      <c r="M2772" s="19" t="inlineStr">
        <is>
          <t>cobbleventure:generation_8</t>
        </is>
      </c>
      <c r="N2772" s="18" t="inlineStr"/>
      <c r="O2772" s="19" t="inlineStr"/>
      <c r="P2772" s="18" t="inlineStr">
        <is>
          <t>#cobblemon:is_magical; #cobblemon:is_spooky</t>
        </is>
      </c>
      <c r="Q2772" s="19" t="inlineStr"/>
      <c r="R2772" s="18">
        <f>IF(Q2772="",P2772,Q2772)</f>
        <v/>
      </c>
      <c r="S2772" s="18" t="inlineStr"/>
      <c r="T2772" s="18" t="inlineStr">
        <is>
          <t>common</t>
        </is>
      </c>
      <c r="U2772" s="20" t="n">
        <v>5.4</v>
      </c>
      <c r="V2772" s="21" t="n">
        <v>1</v>
      </c>
      <c r="W2772" s="20">
        <f>IF(OR(U2772="",V2772=""),U2772,U2772*V2772)</f>
        <v/>
      </c>
      <c r="X2772" s="18" t="inlineStr">
        <is>
          <t>2-27</t>
        </is>
      </c>
      <c r="Y2772" s="19" t="inlineStr"/>
      <c r="Z2772" s="18">
        <f>IF(Y2772="",X2772,Y2772)</f>
        <v/>
      </c>
      <c r="AA2772" s="18" t="inlineStr">
        <is>
          <t>grounded</t>
        </is>
      </c>
      <c r="AB2772" s="18" t="inlineStr"/>
      <c r="AC2772" s="18" t="inlineStr"/>
      <c r="AD2772" s="18" t="inlineStr"/>
      <c r="AE2772" s="18" t="inlineStr">
        <is>
          <t>sky 8-15</t>
        </is>
      </c>
      <c r="AF2772" s="18" t="inlineStr"/>
      <c r="AG2772" s="18" t="inlineStr"/>
      <c r="AH2772" s="18" t="inlineStr"/>
      <c r="AI2772" s="18" t="inlineStr"/>
      <c r="AJ2772" s="18" t="inlineStr">
        <is>
          <t>COBBLEVERSE 수정</t>
        </is>
      </c>
      <c r="AK2772" s="18" t="inlineStr">
        <is>
          <t>사용</t>
        </is>
      </c>
      <c r="AL2772" s="18" t="inlineStr">
        <is>
          <t>COBBLEVERSE 1.7.42 / DP v31</t>
        </is>
      </c>
      <c r="AM2772" s="18" t="inlineStr">
        <is>
          <t>data/cobblemon/spawn_pool_world/0859_impidimp.json</t>
        </is>
      </c>
      <c r="AN2772" s="18" t="inlineStr">
        <is>
          <t>impidimp-1</t>
        </is>
      </c>
      <c r="AO2772" s="18" t="inlineStr">
        <is>
          <t>pokemon</t>
        </is>
      </c>
      <c r="AP2772" s="18" t="inlineStr">
        <is>
          <t>natural; wild</t>
        </is>
      </c>
      <c r="AQ2772" s="18" t="inlineStr">
        <is>
          <t>{"biomes":["#cobblemon:is_magical","#cobblemon:is_spooky"],"maxSkyLight":15,"minSkyLight":8}</t>
        </is>
      </c>
      <c r="AR2772" s="18" t="inlineStr"/>
      <c r="AS2772" s="18" t="inlineStr">
        <is>
          <t>{"weightMultiplier":{"condition":{"timeRange":"night"},"multiplier":1.5}}</t>
        </is>
      </c>
      <c r="AT2772" s="19" t="inlineStr"/>
    </row>
    <row r="2773" ht="32" customHeight="1">
      <c r="A2773" s="18" t="inlineStr">
        <is>
          <t>0859_impidimp.json::impidimp-2::002</t>
        </is>
      </c>
      <c r="B2773" s="19" t="inlineStr">
        <is>
          <t>사용</t>
        </is>
      </c>
      <c r="C2773" s="18">
        <f>IF(OR(B2773&lt;&gt;AK2773,M2773&lt;&gt;L2773,O2773&lt;&gt;"",Q2773&lt;&gt;"",V2773&lt;&gt;1,Y2773&lt;&gt;"",AT2773&lt;&gt;""),"수정","원본")</f>
        <v/>
      </c>
      <c r="D2773" s="18" t="n">
        <v>859</v>
      </c>
      <c r="E2773" s="18" t="inlineStr">
        <is>
          <t>메롱꿍</t>
        </is>
      </c>
      <c r="F2773" s="18" t="inlineStr">
        <is>
          <t>impidimp</t>
        </is>
      </c>
      <c r="G2773" s="18" t="inlineStr">
        <is>
          <t>impidimp</t>
        </is>
      </c>
      <c r="H2773" s="18" t="inlineStr"/>
      <c r="I2773" s="18" t="n">
        <v>8</v>
      </c>
      <c r="J2773" s="18" t="n"/>
      <c r="K2773" s="18" t="n">
        <v>8</v>
      </c>
      <c r="L2773" s="18" t="inlineStr">
        <is>
          <t>cobbleventure:generation_8</t>
        </is>
      </c>
      <c r="M2773" s="19" t="inlineStr">
        <is>
          <t>cobbleventure:generation_8</t>
        </is>
      </c>
      <c r="N2773" s="18" t="inlineStr"/>
      <c r="O2773" s="19" t="inlineStr"/>
      <c r="P2773" s="18" t="inlineStr">
        <is>
          <t>#cobblemon:nether/is_forest; #cobblemon:nether/is_warped</t>
        </is>
      </c>
      <c r="Q2773" s="19" t="inlineStr"/>
      <c r="R2773" s="18">
        <f>IF(Q2773="",P2773,Q2773)</f>
        <v/>
      </c>
      <c r="S2773" s="18" t="inlineStr">
        <is>
          <t>#cobblemon:nether/is_desert</t>
        </is>
      </c>
      <c r="T2773" s="18" t="inlineStr">
        <is>
          <t>common</t>
        </is>
      </c>
      <c r="U2773" s="20" t="n">
        <v>5.4</v>
      </c>
      <c r="V2773" s="21" t="n">
        <v>1</v>
      </c>
      <c r="W2773" s="20">
        <f>IF(OR(U2773="",V2773=""),U2773,U2773*V2773)</f>
        <v/>
      </c>
      <c r="X2773" s="18" t="inlineStr">
        <is>
          <t>2-27</t>
        </is>
      </c>
      <c r="Y2773" s="19" t="inlineStr"/>
      <c r="Z2773" s="18">
        <f>IF(Y2773="",X2773,Y2773)</f>
        <v/>
      </c>
      <c r="AA2773" s="18" t="inlineStr">
        <is>
          <t>grounded</t>
        </is>
      </c>
      <c r="AB2773" s="18" t="inlineStr"/>
      <c r="AC2773" s="18" t="inlineStr"/>
      <c r="AD2773" s="18" t="inlineStr"/>
      <c r="AE2773" s="18" t="inlineStr"/>
      <c r="AF2773" s="18" t="inlineStr"/>
      <c r="AG2773" s="18" t="inlineStr"/>
      <c r="AH2773" s="18" t="inlineStr"/>
      <c r="AI2773" s="18" t="inlineStr"/>
      <c r="AJ2773" s="18" t="inlineStr">
        <is>
          <t>COBBLEVERSE 수정</t>
        </is>
      </c>
      <c r="AK2773" s="18" t="inlineStr">
        <is>
          <t>사용</t>
        </is>
      </c>
      <c r="AL2773" s="18" t="inlineStr">
        <is>
          <t>COBBLEVERSE 1.7.42 / DP v31</t>
        </is>
      </c>
      <c r="AM2773" s="18" t="inlineStr">
        <is>
          <t>data/cobblemon/spawn_pool_world/0859_impidimp.json</t>
        </is>
      </c>
      <c r="AN2773" s="18" t="inlineStr">
        <is>
          <t>impidimp-2</t>
        </is>
      </c>
      <c r="AO2773" s="18" t="inlineStr">
        <is>
          <t>pokemon</t>
        </is>
      </c>
      <c r="AP2773" s="18" t="inlineStr">
        <is>
          <t>natural; wild</t>
        </is>
      </c>
      <c r="AQ2773" s="18" t="inlineStr">
        <is>
          <t>{"biomes":["#cobblemon:nether/is_forest","#cobblemon:nether/is_warped"]}</t>
        </is>
      </c>
      <c r="AR2773" s="18" t="inlineStr">
        <is>
          <t>{"biomes":["#cobblemon:nether/is_desert"]}</t>
        </is>
      </c>
      <c r="AS2773" s="18" t="inlineStr"/>
      <c r="AT2773" s="19" t="inlineStr"/>
    </row>
    <row r="2774" ht="32" customHeight="1">
      <c r="A2774" s="18" t="inlineStr">
        <is>
          <t>0860_morgrem.json::morgrem-1::001</t>
        </is>
      </c>
      <c r="B2774" s="19" t="inlineStr">
        <is>
          <t>사용</t>
        </is>
      </c>
      <c r="C2774" s="18">
        <f>IF(OR(B2774&lt;&gt;AK2774,M2774&lt;&gt;L2774,O2774&lt;&gt;"",Q2774&lt;&gt;"",V2774&lt;&gt;1,Y2774&lt;&gt;"",AT2774&lt;&gt;""),"수정","원본")</f>
        <v/>
      </c>
      <c r="D2774" s="18" t="n">
        <v>860</v>
      </c>
      <c r="E2774" s="18" t="inlineStr">
        <is>
          <t>쏘겨모</t>
        </is>
      </c>
      <c r="F2774" s="18" t="inlineStr">
        <is>
          <t>morgrem</t>
        </is>
      </c>
      <c r="G2774" s="18" t="inlineStr">
        <is>
          <t>morgrem</t>
        </is>
      </c>
      <c r="H2774" s="18" t="inlineStr"/>
      <c r="I2774" s="18" t="n">
        <v>8</v>
      </c>
      <c r="J2774" s="18" t="n"/>
      <c r="K2774" s="18" t="n">
        <v>8</v>
      </c>
      <c r="L2774" s="18" t="inlineStr">
        <is>
          <t>cobbleventure:generation_8</t>
        </is>
      </c>
      <c r="M2774" s="19" t="inlineStr">
        <is>
          <t>cobbleventure:generation_8</t>
        </is>
      </c>
      <c r="N2774" s="18" t="inlineStr"/>
      <c r="O2774" s="19" t="inlineStr"/>
      <c r="P2774" s="18" t="inlineStr">
        <is>
          <t>#cobblemon:is_magical</t>
        </is>
      </c>
      <c r="Q2774" s="19" t="inlineStr"/>
      <c r="R2774" s="18">
        <f>IF(Q2774="",P2774,Q2774)</f>
        <v/>
      </c>
      <c r="S2774" s="18" t="inlineStr"/>
      <c r="T2774" s="18" t="inlineStr">
        <is>
          <t>common</t>
        </is>
      </c>
      <c r="U2774" s="20" t="n">
        <v>0.54</v>
      </c>
      <c r="V2774" s="21" t="n">
        <v>1</v>
      </c>
      <c r="W2774" s="20">
        <f>IF(OR(U2774="",V2774=""),U2774,U2774*V2774)</f>
        <v/>
      </c>
      <c r="X2774" s="18" t="inlineStr">
        <is>
          <t>32-37</t>
        </is>
      </c>
      <c r="Y2774" s="19" t="inlineStr"/>
      <c r="Z2774" s="18">
        <f>IF(Y2774="",X2774,Y2774)</f>
        <v/>
      </c>
      <c r="AA2774" s="18" t="inlineStr">
        <is>
          <t>grounded</t>
        </is>
      </c>
      <c r="AB2774" s="18" t="inlineStr"/>
      <c r="AC2774" s="18" t="inlineStr"/>
      <c r="AD2774" s="18" t="inlineStr"/>
      <c r="AE2774" s="18" t="inlineStr">
        <is>
          <t>sky 8-15</t>
        </is>
      </c>
      <c r="AF2774" s="18" t="inlineStr"/>
      <c r="AG2774" s="18" t="inlineStr"/>
      <c r="AH2774" s="18" t="inlineStr"/>
      <c r="AI2774" s="18" t="inlineStr"/>
      <c r="AJ2774" s="18" t="inlineStr">
        <is>
          <t>Cobblemon 동일</t>
        </is>
      </c>
      <c r="AK2774" s="18" t="inlineStr">
        <is>
          <t>사용</t>
        </is>
      </c>
      <c r="AL2774" s="18" t="inlineStr">
        <is>
          <t>COBBLEVERSE 1.7.42 / DP v31</t>
        </is>
      </c>
      <c r="AM2774" s="18" t="inlineStr">
        <is>
          <t>data/cobblemon/spawn_pool_world/0860_morgrem.json</t>
        </is>
      </c>
      <c r="AN2774" s="18" t="inlineStr">
        <is>
          <t>morgrem-1</t>
        </is>
      </c>
      <c r="AO2774" s="18" t="inlineStr">
        <is>
          <t>pokemon</t>
        </is>
      </c>
      <c r="AP2774" s="18" t="inlineStr">
        <is>
          <t>natural; wild</t>
        </is>
      </c>
      <c r="AQ2774" s="18" t="inlineStr">
        <is>
          <t>{"biomes":["#cobblemon:is_magical"],"maxSkyLight":15,"minSkyLight":8}</t>
        </is>
      </c>
      <c r="AR2774" s="18" t="inlineStr"/>
      <c r="AS2774" s="18" t="inlineStr">
        <is>
          <t>{"weightMultiplier":{"condition":{"timeRange":"night"},"multiplier":1.5}}</t>
        </is>
      </c>
      <c r="AT2774" s="19" t="inlineStr"/>
    </row>
    <row r="2775" ht="32" customHeight="1">
      <c r="A2775" s="18" t="inlineStr">
        <is>
          <t>0860_morgrem.json::morgrem-2::002</t>
        </is>
      </c>
      <c r="B2775" s="19" t="inlineStr">
        <is>
          <t>사용</t>
        </is>
      </c>
      <c r="C2775" s="18">
        <f>IF(OR(B2775&lt;&gt;AK2775,M2775&lt;&gt;L2775,O2775&lt;&gt;"",Q2775&lt;&gt;"",V2775&lt;&gt;1,Y2775&lt;&gt;"",AT2775&lt;&gt;""),"수정","원본")</f>
        <v/>
      </c>
      <c r="D2775" s="18" t="n">
        <v>860</v>
      </c>
      <c r="E2775" s="18" t="inlineStr">
        <is>
          <t>쏘겨모</t>
        </is>
      </c>
      <c r="F2775" s="18" t="inlineStr">
        <is>
          <t>morgrem</t>
        </is>
      </c>
      <c r="G2775" s="18" t="inlineStr">
        <is>
          <t>morgrem</t>
        </is>
      </c>
      <c r="H2775" s="18" t="inlineStr"/>
      <c r="I2775" s="18" t="n">
        <v>8</v>
      </c>
      <c r="J2775" s="18" t="n"/>
      <c r="K2775" s="18" t="n">
        <v>8</v>
      </c>
      <c r="L2775" s="18" t="inlineStr">
        <is>
          <t>cobbleventure:generation_8</t>
        </is>
      </c>
      <c r="M2775" s="19" t="inlineStr">
        <is>
          <t>cobbleventure:generation_8</t>
        </is>
      </c>
      <c r="N2775" s="18" t="inlineStr"/>
      <c r="O2775" s="19" t="inlineStr"/>
      <c r="P2775" s="18" t="inlineStr">
        <is>
          <t>#cobblemon:nether/is_forest; #cobblemon:nether/is_warped</t>
        </is>
      </c>
      <c r="Q2775" s="19" t="inlineStr"/>
      <c r="R2775" s="18">
        <f>IF(Q2775="",P2775,Q2775)</f>
        <v/>
      </c>
      <c r="S2775" s="18" t="inlineStr">
        <is>
          <t>#cobblemon:nether/is_desert</t>
        </is>
      </c>
      <c r="T2775" s="18" t="inlineStr">
        <is>
          <t>common</t>
        </is>
      </c>
      <c r="U2775" s="20" t="n">
        <v>0.54</v>
      </c>
      <c r="V2775" s="21" t="n">
        <v>1</v>
      </c>
      <c r="W2775" s="20">
        <f>IF(OR(U2775="",V2775=""),U2775,U2775*V2775)</f>
        <v/>
      </c>
      <c r="X2775" s="18" t="inlineStr">
        <is>
          <t>32-37</t>
        </is>
      </c>
      <c r="Y2775" s="19" t="inlineStr"/>
      <c r="Z2775" s="18">
        <f>IF(Y2775="",X2775,Y2775)</f>
        <v/>
      </c>
      <c r="AA2775" s="18" t="inlineStr">
        <is>
          <t>grounded</t>
        </is>
      </c>
      <c r="AB2775" s="18" t="inlineStr"/>
      <c r="AC2775" s="18" t="inlineStr"/>
      <c r="AD2775" s="18" t="inlineStr"/>
      <c r="AE2775" s="18" t="inlineStr"/>
      <c r="AF2775" s="18" t="inlineStr"/>
      <c r="AG2775" s="18" t="inlineStr"/>
      <c r="AH2775" s="18" t="inlineStr"/>
      <c r="AI2775" s="18" t="inlineStr"/>
      <c r="AJ2775" s="18" t="inlineStr">
        <is>
          <t>Cobblemon 동일</t>
        </is>
      </c>
      <c r="AK2775" s="18" t="inlineStr">
        <is>
          <t>사용</t>
        </is>
      </c>
      <c r="AL2775" s="18" t="inlineStr">
        <is>
          <t>COBBLEVERSE 1.7.42 / DP v31</t>
        </is>
      </c>
      <c r="AM2775" s="18" t="inlineStr">
        <is>
          <t>data/cobblemon/spawn_pool_world/0860_morgrem.json</t>
        </is>
      </c>
      <c r="AN2775" s="18" t="inlineStr">
        <is>
          <t>morgrem-2</t>
        </is>
      </c>
      <c r="AO2775" s="18" t="inlineStr">
        <is>
          <t>pokemon</t>
        </is>
      </c>
      <c r="AP2775" s="18" t="inlineStr">
        <is>
          <t>natural; wild</t>
        </is>
      </c>
      <c r="AQ2775" s="18" t="inlineStr">
        <is>
          <t>{"biomes":["#cobblemon:nether/is_forest","#cobblemon:nether/is_warped"]}</t>
        </is>
      </c>
      <c r="AR2775" s="18" t="inlineStr">
        <is>
          <t>{"biomes":["#cobblemon:nether/is_desert"]}</t>
        </is>
      </c>
      <c r="AS2775" s="18" t="inlineStr"/>
      <c r="AT2775" s="19" t="inlineStr"/>
    </row>
    <row r="2776" ht="32" customHeight="1">
      <c r="A2776" s="18" t="inlineStr">
        <is>
          <t>0861_grimmsnarl.json::grimmsnarl-1::001</t>
        </is>
      </c>
      <c r="B2776" s="19" t="inlineStr">
        <is>
          <t>사용</t>
        </is>
      </c>
      <c r="C2776" s="18">
        <f>IF(OR(B2776&lt;&gt;AK2776,M2776&lt;&gt;L2776,O2776&lt;&gt;"",Q2776&lt;&gt;"",V2776&lt;&gt;1,Y2776&lt;&gt;"",AT2776&lt;&gt;""),"수정","원본")</f>
        <v/>
      </c>
      <c r="D2776" s="18" t="n">
        <v>861</v>
      </c>
      <c r="E2776" s="18" t="inlineStr">
        <is>
          <t>오롱털</t>
        </is>
      </c>
      <c r="F2776" s="18" t="inlineStr">
        <is>
          <t>grimmsnarl</t>
        </is>
      </c>
      <c r="G2776" s="18" t="inlineStr">
        <is>
          <t>grimmsnarl</t>
        </is>
      </c>
      <c r="H2776" s="18" t="inlineStr"/>
      <c r="I2776" s="18" t="n">
        <v>8</v>
      </c>
      <c r="J2776" s="18" t="n"/>
      <c r="K2776" s="18" t="n">
        <v>8</v>
      </c>
      <c r="L2776" s="18" t="inlineStr">
        <is>
          <t>cobbleventure:generation_8</t>
        </is>
      </c>
      <c r="M2776" s="19" t="inlineStr">
        <is>
          <t>cobbleventure:generation_8</t>
        </is>
      </c>
      <c r="N2776" s="18" t="inlineStr"/>
      <c r="O2776" s="19" t="inlineStr"/>
      <c r="P2776" s="18" t="inlineStr">
        <is>
          <t>#cobblemon:is_magical</t>
        </is>
      </c>
      <c r="Q2776" s="19" t="inlineStr"/>
      <c r="R2776" s="18">
        <f>IF(Q2776="",P2776,Q2776)</f>
        <v/>
      </c>
      <c r="S2776" s="18" t="inlineStr"/>
      <c r="T2776" s="18" t="inlineStr">
        <is>
          <t>common</t>
        </is>
      </c>
      <c r="U2776" s="20" t="n">
        <v>0.06</v>
      </c>
      <c r="V2776" s="21" t="n">
        <v>1</v>
      </c>
      <c r="W2776" s="20">
        <f>IF(OR(U2776="",V2776=""),U2776,U2776*V2776)</f>
        <v/>
      </c>
      <c r="X2776" s="18" t="inlineStr">
        <is>
          <t>42-51</t>
        </is>
      </c>
      <c r="Y2776" s="19" t="inlineStr"/>
      <c r="Z2776" s="18">
        <f>IF(Y2776="",X2776,Y2776)</f>
        <v/>
      </c>
      <c r="AA2776" s="18" t="inlineStr">
        <is>
          <t>grounded</t>
        </is>
      </c>
      <c r="AB2776" s="18" t="inlineStr"/>
      <c r="AC2776" s="18" t="inlineStr"/>
      <c r="AD2776" s="18" t="inlineStr"/>
      <c r="AE2776" s="18" t="inlineStr">
        <is>
          <t>sky 8-15</t>
        </is>
      </c>
      <c r="AF2776" s="18" t="inlineStr"/>
      <c r="AG2776" s="18" t="inlineStr"/>
      <c r="AH2776" s="18" t="inlineStr"/>
      <c r="AI2776" s="18" t="inlineStr"/>
      <c r="AJ2776" s="18" t="inlineStr">
        <is>
          <t>Cobblemon 동일</t>
        </is>
      </c>
      <c r="AK2776" s="18" t="inlineStr">
        <is>
          <t>사용</t>
        </is>
      </c>
      <c r="AL2776" s="18" t="inlineStr">
        <is>
          <t>COBBLEVERSE 1.7.42 / DP v31</t>
        </is>
      </c>
      <c r="AM2776" s="18" t="inlineStr">
        <is>
          <t>data/cobblemon/spawn_pool_world/0861_grimmsnarl.json</t>
        </is>
      </c>
      <c r="AN2776" s="18" t="inlineStr">
        <is>
          <t>grimmsnarl-1</t>
        </is>
      </c>
      <c r="AO2776" s="18" t="inlineStr">
        <is>
          <t>pokemon</t>
        </is>
      </c>
      <c r="AP2776" s="18" t="inlineStr">
        <is>
          <t>natural; wild</t>
        </is>
      </c>
      <c r="AQ2776" s="18" t="inlineStr">
        <is>
          <t>{"biomes":["#cobblemon:is_magical"],"maxSkyLight":15,"minSkyLight":8}</t>
        </is>
      </c>
      <c r="AR2776" s="18" t="inlineStr"/>
      <c r="AS2776" s="18" t="inlineStr">
        <is>
          <t>{"weightMultiplier":{"condition":{"timeRange":"night"},"multiplier":1.5}}</t>
        </is>
      </c>
      <c r="AT2776" s="19" t="inlineStr"/>
    </row>
    <row r="2777" ht="32" customHeight="1">
      <c r="A2777" s="18" t="inlineStr">
        <is>
          <t>0861_grimmsnarl.json::grimmsnarl-2::002</t>
        </is>
      </c>
      <c r="B2777" s="19" t="inlineStr">
        <is>
          <t>사용</t>
        </is>
      </c>
      <c r="C2777" s="18">
        <f>IF(OR(B2777&lt;&gt;AK2777,M2777&lt;&gt;L2777,O2777&lt;&gt;"",Q2777&lt;&gt;"",V2777&lt;&gt;1,Y2777&lt;&gt;"",AT2777&lt;&gt;""),"수정","원본")</f>
        <v/>
      </c>
      <c r="D2777" s="18" t="n">
        <v>861</v>
      </c>
      <c r="E2777" s="18" t="inlineStr">
        <is>
          <t>오롱털</t>
        </is>
      </c>
      <c r="F2777" s="18" t="inlineStr">
        <is>
          <t>grimmsnarl</t>
        </is>
      </c>
      <c r="G2777" s="18" t="inlineStr">
        <is>
          <t>grimmsnarl</t>
        </is>
      </c>
      <c r="H2777" s="18" t="inlineStr"/>
      <c r="I2777" s="18" t="n">
        <v>8</v>
      </c>
      <c r="J2777" s="18" t="n"/>
      <c r="K2777" s="18" t="n">
        <v>8</v>
      </c>
      <c r="L2777" s="18" t="inlineStr">
        <is>
          <t>cobbleventure:generation_8</t>
        </is>
      </c>
      <c r="M2777" s="19" t="inlineStr">
        <is>
          <t>cobbleventure:generation_8</t>
        </is>
      </c>
      <c r="N2777" s="18" t="inlineStr"/>
      <c r="O2777" s="19" t="inlineStr"/>
      <c r="P2777" s="18" t="inlineStr">
        <is>
          <t>#cobblemon:nether/is_forest; #cobblemon:nether/is_warped</t>
        </is>
      </c>
      <c r="Q2777" s="19" t="inlineStr"/>
      <c r="R2777" s="18">
        <f>IF(Q2777="",P2777,Q2777)</f>
        <v/>
      </c>
      <c r="S2777" s="18" t="inlineStr">
        <is>
          <t>#cobblemon:nether/is_desert</t>
        </is>
      </c>
      <c r="T2777" s="18" t="inlineStr">
        <is>
          <t>common</t>
        </is>
      </c>
      <c r="U2777" s="20" t="n">
        <v>0.06</v>
      </c>
      <c r="V2777" s="21" t="n">
        <v>1</v>
      </c>
      <c r="W2777" s="20">
        <f>IF(OR(U2777="",V2777=""),U2777,U2777*V2777)</f>
        <v/>
      </c>
      <c r="X2777" s="18" t="inlineStr">
        <is>
          <t>42-51</t>
        </is>
      </c>
      <c r="Y2777" s="19" t="inlineStr"/>
      <c r="Z2777" s="18">
        <f>IF(Y2777="",X2777,Y2777)</f>
        <v/>
      </c>
      <c r="AA2777" s="18" t="inlineStr">
        <is>
          <t>grounded</t>
        </is>
      </c>
      <c r="AB2777" s="18" t="inlineStr"/>
      <c r="AC2777" s="18" t="inlineStr"/>
      <c r="AD2777" s="18" t="inlineStr"/>
      <c r="AE2777" s="18" t="inlineStr"/>
      <c r="AF2777" s="18" t="inlineStr"/>
      <c r="AG2777" s="18" t="inlineStr"/>
      <c r="AH2777" s="18" t="inlineStr"/>
      <c r="AI2777" s="18" t="inlineStr"/>
      <c r="AJ2777" s="18" t="inlineStr">
        <is>
          <t>Cobblemon 동일</t>
        </is>
      </c>
      <c r="AK2777" s="18" t="inlineStr">
        <is>
          <t>사용</t>
        </is>
      </c>
      <c r="AL2777" s="18" t="inlineStr">
        <is>
          <t>COBBLEVERSE 1.7.42 / DP v31</t>
        </is>
      </c>
      <c r="AM2777" s="18" t="inlineStr">
        <is>
          <t>data/cobblemon/spawn_pool_world/0861_grimmsnarl.json</t>
        </is>
      </c>
      <c r="AN2777" s="18" t="inlineStr">
        <is>
          <t>grimmsnarl-2</t>
        </is>
      </c>
      <c r="AO2777" s="18" t="inlineStr">
        <is>
          <t>pokemon</t>
        </is>
      </c>
      <c r="AP2777" s="18" t="inlineStr">
        <is>
          <t>natural; wild</t>
        </is>
      </c>
      <c r="AQ2777" s="18" t="inlineStr">
        <is>
          <t>{"biomes":["#cobblemon:nether/is_forest","#cobblemon:nether/is_warped"]}</t>
        </is>
      </c>
      <c r="AR2777" s="18" t="inlineStr">
        <is>
          <t>{"biomes":["#cobblemon:nether/is_desert"]}</t>
        </is>
      </c>
      <c r="AS2777" s="18" t="inlineStr"/>
      <c r="AT2777" s="19" t="inlineStr"/>
    </row>
    <row r="2778" ht="32" customHeight="1">
      <c r="A2778" s="18" t="inlineStr">
        <is>
          <t>0862_obstagoon.json::obstagoon-1::001</t>
        </is>
      </c>
      <c r="B2778" s="19" t="inlineStr">
        <is>
          <t>사용</t>
        </is>
      </c>
      <c r="C2778" s="18">
        <f>IF(OR(B2778&lt;&gt;AK2778,M2778&lt;&gt;L2778,O2778&lt;&gt;"",Q2778&lt;&gt;"",V2778&lt;&gt;1,Y2778&lt;&gt;"",AT2778&lt;&gt;""),"수정","원본")</f>
        <v/>
      </c>
      <c r="D2778" s="18" t="n">
        <v>862</v>
      </c>
      <c r="E2778" s="18" t="inlineStr">
        <is>
          <t>가로막구리</t>
        </is>
      </c>
      <c r="F2778" s="18" t="inlineStr">
        <is>
          <t>obstagoon</t>
        </is>
      </c>
      <c r="G2778" s="18" t="inlineStr">
        <is>
          <t>obstagoon</t>
        </is>
      </c>
      <c r="H2778" s="18" t="inlineStr"/>
      <c r="I2778" s="18" t="n">
        <v>8</v>
      </c>
      <c r="J2778" s="18" t="n"/>
      <c r="K2778" s="18" t="n">
        <v>8</v>
      </c>
      <c r="L2778" s="18" t="inlineStr">
        <is>
          <t>cobbleventure:generation_8</t>
        </is>
      </c>
      <c r="M2778" s="19" t="inlineStr">
        <is>
          <t>cobbleventure:generation_8</t>
        </is>
      </c>
      <c r="N2778" s="18" t="inlineStr"/>
      <c r="O2778" s="19" t="inlineStr"/>
      <c r="P2778" s="18" t="inlineStr">
        <is>
          <t>#cobblemon:is_taiga</t>
        </is>
      </c>
      <c r="Q2778" s="19" t="inlineStr"/>
      <c r="R2778" s="18">
        <f>IF(Q2778="",P2778,Q2778)</f>
        <v/>
      </c>
      <c r="S2778" s="18" t="inlineStr"/>
      <c r="T2778" s="18" t="inlineStr">
        <is>
          <t>common</t>
        </is>
      </c>
      <c r="U2778" s="20" t="n">
        <v>0.1</v>
      </c>
      <c r="V2778" s="21" t="n">
        <v>1</v>
      </c>
      <c r="W2778" s="20">
        <f>IF(OR(U2778="",V2778=""),U2778,U2778*V2778)</f>
        <v/>
      </c>
      <c r="X2778" s="18" t="inlineStr">
        <is>
          <t>35-52</t>
        </is>
      </c>
      <c r="Y2778" s="19" t="inlineStr"/>
      <c r="Z2778" s="18">
        <f>IF(Y2778="",X2778,Y2778)</f>
        <v/>
      </c>
      <c r="AA2778" s="18" t="inlineStr">
        <is>
          <t>grounded</t>
        </is>
      </c>
      <c r="AB2778" s="18" t="inlineStr"/>
      <c r="AC2778" s="18" t="inlineStr"/>
      <c r="AD2778" s="18" t="inlineStr"/>
      <c r="AE2778" s="18" t="inlineStr">
        <is>
          <t>sky 8-15</t>
        </is>
      </c>
      <c r="AF2778" s="18" t="inlineStr"/>
      <c r="AG2778" s="18" t="inlineStr"/>
      <c r="AH2778" s="18" t="inlineStr"/>
      <c r="AI2778" s="18" t="inlineStr"/>
      <c r="AJ2778" s="18" t="inlineStr">
        <is>
          <t>Cobblemon 동일</t>
        </is>
      </c>
      <c r="AK2778" s="18" t="inlineStr">
        <is>
          <t>사용</t>
        </is>
      </c>
      <c r="AL2778" s="18" t="inlineStr">
        <is>
          <t>COBBLEVERSE 1.7.42 / DP v31</t>
        </is>
      </c>
      <c r="AM2778" s="18" t="inlineStr">
        <is>
          <t>data/cobblemon/spawn_pool_world/0862_obstagoon.json</t>
        </is>
      </c>
      <c r="AN2778" s="18" t="inlineStr">
        <is>
          <t>obstagoon-1</t>
        </is>
      </c>
      <c r="AO2778" s="18" t="inlineStr">
        <is>
          <t>pokemon</t>
        </is>
      </c>
      <c r="AP2778" s="18" t="inlineStr">
        <is>
          <t>natural; wild</t>
        </is>
      </c>
      <c r="AQ2778" s="18" t="inlineStr">
        <is>
          <t>{"biomes":["#cobblemon:is_taiga"],"maxSkyLight":15,"minSkyLight":8}</t>
        </is>
      </c>
      <c r="AR2778" s="18" t="inlineStr"/>
      <c r="AS2778" s="18" t="inlineStr">
        <is>
          <t>{"weightMultiplier":{"condition":{"timeRange":"night"},"multiplier":1.5}}</t>
        </is>
      </c>
      <c r="AT2778" s="19" t="inlineStr"/>
    </row>
    <row r="2779" ht="32" customHeight="1">
      <c r="A2779" s="18" t="inlineStr">
        <is>
          <t>0863_perrserker.json::perrserker-1::001</t>
        </is>
      </c>
      <c r="B2779" s="19" t="inlineStr">
        <is>
          <t>사용</t>
        </is>
      </c>
      <c r="C2779" s="18">
        <f>IF(OR(B2779&lt;&gt;AK2779,M2779&lt;&gt;L2779,O2779&lt;&gt;"",Q2779&lt;&gt;"",V2779&lt;&gt;1,Y2779&lt;&gt;"",AT2779&lt;&gt;""),"수정","원본")</f>
        <v/>
      </c>
      <c r="D2779" s="18" t="n">
        <v>863</v>
      </c>
      <c r="E2779" s="18" t="inlineStr">
        <is>
          <t>나이킹</t>
        </is>
      </c>
      <c r="F2779" s="18" t="inlineStr">
        <is>
          <t>perrserker</t>
        </is>
      </c>
      <c r="G2779" s="18" t="inlineStr">
        <is>
          <t>perrserker</t>
        </is>
      </c>
      <c r="H2779" s="18" t="inlineStr"/>
      <c r="I2779" s="18" t="n">
        <v>8</v>
      </c>
      <c r="J2779" s="18" t="n"/>
      <c r="K2779" s="18" t="n">
        <v>8</v>
      </c>
      <c r="L2779" s="18" t="inlineStr">
        <is>
          <t>cobbleventure:generation_8</t>
        </is>
      </c>
      <c r="M2779" s="19" t="inlineStr">
        <is>
          <t>cobbleventure:generation_8</t>
        </is>
      </c>
      <c r="N2779" s="18" t="inlineStr"/>
      <c r="O2779" s="19" t="inlineStr"/>
      <c r="P2779" s="18" t="inlineStr">
        <is>
          <t>#cobblemon:is_freezing; #cobblemon:is_taiga</t>
        </is>
      </c>
      <c r="Q2779" s="19" t="inlineStr"/>
      <c r="R2779" s="18">
        <f>IF(Q2779="",P2779,Q2779)</f>
        <v/>
      </c>
      <c r="S2779" s="18" t="inlineStr"/>
      <c r="T2779" s="18" t="inlineStr">
        <is>
          <t>common</t>
        </is>
      </c>
      <c r="U2779" s="20" t="n">
        <v>1</v>
      </c>
      <c r="V2779" s="21" t="n">
        <v>1</v>
      </c>
      <c r="W2779" s="20">
        <f>IF(OR(U2779="",V2779=""),U2779,U2779*V2779)</f>
        <v/>
      </c>
      <c r="X2779" s="18" t="inlineStr">
        <is>
          <t>28-44</t>
        </is>
      </c>
      <c r="Y2779" s="19" t="inlineStr"/>
      <c r="Z2779" s="18">
        <f>IF(Y2779="",X2779,Y2779)</f>
        <v/>
      </c>
      <c r="AA2779" s="18" t="inlineStr">
        <is>
          <t>grounded</t>
        </is>
      </c>
      <c r="AB2779" s="18" t="inlineStr"/>
      <c r="AC2779" s="18" t="inlineStr"/>
      <c r="AD2779" s="18" t="inlineStr"/>
      <c r="AE2779" s="18" t="inlineStr">
        <is>
          <t>sky 8-15</t>
        </is>
      </c>
      <c r="AF2779" s="18" t="inlineStr"/>
      <c r="AG2779" s="18" t="inlineStr"/>
      <c r="AH2779" s="18" t="inlineStr"/>
      <c r="AI2779" s="18" t="inlineStr"/>
      <c r="AJ2779" s="18" t="inlineStr">
        <is>
          <t>COBBLEVERSE 수정</t>
        </is>
      </c>
      <c r="AK2779" s="18" t="inlineStr">
        <is>
          <t>사용</t>
        </is>
      </c>
      <c r="AL2779" s="18" t="inlineStr">
        <is>
          <t>COBBLEVERSE 1.7.42 / DP v31</t>
        </is>
      </c>
      <c r="AM2779" s="18" t="inlineStr">
        <is>
          <t>data/cobblemon/spawn_pool_world/0863_perrserker.json</t>
        </is>
      </c>
      <c r="AN2779" s="18" t="inlineStr">
        <is>
          <t>perrserker-1</t>
        </is>
      </c>
      <c r="AO2779" s="18" t="inlineStr">
        <is>
          <t>pokemon</t>
        </is>
      </c>
      <c r="AP2779" s="18" t="inlineStr">
        <is>
          <t>natural</t>
        </is>
      </c>
      <c r="AQ2779" s="18" t="inlineStr">
        <is>
          <t>{"biomes":["#cobblemon:is_freezing","#cobblemon:is_taiga"],"maxSkyLight":15,"minSkyLight":8}</t>
        </is>
      </c>
      <c r="AR2779" s="18" t="inlineStr"/>
      <c r="AS2779" s="18" t="inlineStr">
        <is>
          <t>{"weightMultiplier":{"condition":{"timeRange":"night"},"multiplier":1.5}}</t>
        </is>
      </c>
      <c r="AT2779" s="19" t="inlineStr"/>
    </row>
    <row r="2780" ht="32" customHeight="1">
      <c r="A2780" s="18" t="inlineStr">
        <is>
          <t>0863_perrserker.json::perrserker-2::002</t>
        </is>
      </c>
      <c r="B2780" s="19" t="inlineStr">
        <is>
          <t>사용</t>
        </is>
      </c>
      <c r="C2780" s="18">
        <f>IF(OR(B2780&lt;&gt;AK2780,M2780&lt;&gt;L2780,O2780&lt;&gt;"",Q2780&lt;&gt;"",V2780&lt;&gt;1,Y2780&lt;&gt;"",AT2780&lt;&gt;""),"수정","원본")</f>
        <v/>
      </c>
      <c r="D2780" s="18" t="n">
        <v>863</v>
      </c>
      <c r="E2780" s="18" t="inlineStr">
        <is>
          <t>나이킹</t>
        </is>
      </c>
      <c r="F2780" s="18" t="inlineStr">
        <is>
          <t>perrserker</t>
        </is>
      </c>
      <c r="G2780" s="18" t="inlineStr">
        <is>
          <t>perrserker</t>
        </is>
      </c>
      <c r="H2780" s="18" t="inlineStr"/>
      <c r="I2780" s="18" t="n">
        <v>8</v>
      </c>
      <c r="J2780" s="18" t="n"/>
      <c r="K2780" s="18" t="n">
        <v>8</v>
      </c>
      <c r="L2780" s="18" t="inlineStr">
        <is>
          <t>cobbleventure:generation_8</t>
        </is>
      </c>
      <c r="M2780" s="19" t="inlineStr">
        <is>
          <t>cobbleventure:generation_8</t>
        </is>
      </c>
      <c r="N2780" s="18" t="inlineStr"/>
      <c r="O2780" s="19" t="inlineStr"/>
      <c r="P2780" s="18" t="inlineStr">
        <is>
          <t>#cobblemon:is_freezing; #cobblemon:is_taiga</t>
        </is>
      </c>
      <c r="Q2780" s="19" t="inlineStr"/>
      <c r="R2780" s="18">
        <f>IF(Q2780="",P2780,Q2780)</f>
        <v/>
      </c>
      <c r="S2780" s="18" t="inlineStr"/>
      <c r="T2780" s="18" t="inlineStr">
        <is>
          <t>common</t>
        </is>
      </c>
      <c r="U2780" s="20" t="n">
        <v>1</v>
      </c>
      <c r="V2780" s="21" t="n">
        <v>1</v>
      </c>
      <c r="W2780" s="20">
        <f>IF(OR(U2780="",V2780=""),U2780,U2780*V2780)</f>
        <v/>
      </c>
      <c r="X2780" s="18" t="inlineStr">
        <is>
          <t>28-44</t>
        </is>
      </c>
      <c r="Y2780" s="19" t="inlineStr"/>
      <c r="Z2780" s="18">
        <f>IF(Y2780="",X2780,Y2780)</f>
        <v/>
      </c>
      <c r="AA2780" s="18" t="inlineStr">
        <is>
          <t>grounded</t>
        </is>
      </c>
      <c r="AB2780" s="18" t="inlineStr"/>
      <c r="AC2780" s="18" t="inlineStr"/>
      <c r="AD2780" s="18" t="inlineStr"/>
      <c r="AE2780" s="18" t="inlineStr">
        <is>
          <t>sky 8-15</t>
        </is>
      </c>
      <c r="AF2780" s="18" t="inlineStr"/>
      <c r="AG2780" s="18" t="inlineStr">
        <is>
          <t>#minecraft:village</t>
        </is>
      </c>
      <c r="AH2780" s="18" t="inlineStr"/>
      <c r="AI2780" s="18" t="inlineStr"/>
      <c r="AJ2780" s="18" t="inlineStr">
        <is>
          <t>COBBLEVERSE 수정</t>
        </is>
      </c>
      <c r="AK2780" s="18" t="inlineStr">
        <is>
          <t>사용</t>
        </is>
      </c>
      <c r="AL2780" s="18" t="inlineStr">
        <is>
          <t>COBBLEVERSE 1.7.42 / DP v31</t>
        </is>
      </c>
      <c r="AM2780" s="18" t="inlineStr">
        <is>
          <t>data/cobblemon/spawn_pool_world/0863_perrserker.json</t>
        </is>
      </c>
      <c r="AN2780" s="18" t="inlineStr">
        <is>
          <t>perrserker-2</t>
        </is>
      </c>
      <c r="AO2780" s="18" t="inlineStr">
        <is>
          <t>pokemon</t>
        </is>
      </c>
      <c r="AP2780" s="18" t="inlineStr">
        <is>
          <t>natural</t>
        </is>
      </c>
      <c r="AQ2780" s="18" t="inlineStr">
        <is>
          <t>{"biomes":["#cobblemon:is_freezing","#cobblemon:is_taiga"],"maxSkyLight":15,"minSkyLight":8,"structures":["#minecraft:village"]}</t>
        </is>
      </c>
      <c r="AR2780" s="18" t="inlineStr"/>
      <c r="AS2780" s="18" t="inlineStr">
        <is>
          <t>{"weightMultiplier":{"condition":{"timeRange":"night"},"multiplier":1.5}}</t>
        </is>
      </c>
      <c r="AT2780" s="19" t="inlineStr"/>
    </row>
    <row r="2781" ht="32" customHeight="1">
      <c r="A2781" s="18" t="inlineStr">
        <is>
          <t>0864_cursola.json::cursola-6::001</t>
        </is>
      </c>
      <c r="B2781" s="19" t="inlineStr">
        <is>
          <t>사용</t>
        </is>
      </c>
      <c r="C2781" s="18">
        <f>IF(OR(B2781&lt;&gt;AK2781,M2781&lt;&gt;L2781,O2781&lt;&gt;"",Q2781&lt;&gt;"",V2781&lt;&gt;1,Y2781&lt;&gt;"",AT2781&lt;&gt;""),"수정","원본")</f>
        <v/>
      </c>
      <c r="D2781" s="18" t="n">
        <v>864</v>
      </c>
      <c r="E2781" s="18" t="inlineStr">
        <is>
          <t>산호르곤</t>
        </is>
      </c>
      <c r="F2781" s="18" t="inlineStr">
        <is>
          <t>cursola</t>
        </is>
      </c>
      <c r="G2781" s="18" t="inlineStr">
        <is>
          <t>cursola</t>
        </is>
      </c>
      <c r="H2781" s="18" t="inlineStr"/>
      <c r="I2781" s="18" t="n">
        <v>8</v>
      </c>
      <c r="J2781" s="18" t="n"/>
      <c r="K2781" s="18" t="n">
        <v>8</v>
      </c>
      <c r="L2781" s="18" t="inlineStr">
        <is>
          <t>cobbleventure:generation_8</t>
        </is>
      </c>
      <c r="M2781" s="19" t="inlineStr">
        <is>
          <t>cobbleventure:generation_8</t>
        </is>
      </c>
      <c r="N2781" s="18" t="inlineStr"/>
      <c r="O2781" s="19" t="inlineStr"/>
      <c r="P2781" s="18" t="inlineStr">
        <is>
          <t>#cobblemon:is_beach; #cobblemon:is_warm_ocean</t>
        </is>
      </c>
      <c r="Q2781" s="19" t="inlineStr"/>
      <c r="R2781" s="18">
        <f>IF(Q2781="",P2781,Q2781)</f>
        <v/>
      </c>
      <c r="S2781" s="18" t="inlineStr"/>
      <c r="T2781" s="18" t="inlineStr">
        <is>
          <t>uncommon</t>
        </is>
      </c>
      <c r="U2781" s="20" t="n">
        <v>0.32</v>
      </c>
      <c r="V2781" s="21" t="n">
        <v>1</v>
      </c>
      <c r="W2781" s="20">
        <f>IF(OR(U2781="",V2781=""),U2781,U2781*V2781)</f>
        <v/>
      </c>
      <c r="X2781" s="18" t="inlineStr">
        <is>
          <t>38-51</t>
        </is>
      </c>
      <c r="Y2781" s="19" t="inlineStr"/>
      <c r="Z2781" s="18">
        <f>IF(Y2781="",X2781,Y2781)</f>
        <v/>
      </c>
      <c r="AA2781" s="18" t="inlineStr">
        <is>
          <t>fishing</t>
        </is>
      </c>
      <c r="AB2781" s="18" t="inlineStr"/>
      <c r="AC2781" s="18" t="inlineStr"/>
      <c r="AD2781" s="18" t="inlineStr"/>
      <c r="AE2781" s="18" t="inlineStr"/>
      <c r="AF2781" s="18" t="inlineStr">
        <is>
          <t>True</t>
        </is>
      </c>
      <c r="AG2781" s="18" t="inlineStr"/>
      <c r="AH2781" s="18" t="inlineStr"/>
      <c r="AI2781" s="18" t="inlineStr"/>
      <c r="AJ2781" s="18" t="inlineStr">
        <is>
          <t>Cobblemon 동일</t>
        </is>
      </c>
      <c r="AK2781" s="18" t="inlineStr">
        <is>
          <t>사용</t>
        </is>
      </c>
      <c r="AL2781" s="18" t="inlineStr">
        <is>
          <t>COBBLEVERSE 1.7.42 / DP v31</t>
        </is>
      </c>
      <c r="AM2781" s="18" t="inlineStr">
        <is>
          <t>data/cobblemon/spawn_pool_world/0864_cursola.json</t>
        </is>
      </c>
      <c r="AN2781" s="18" t="inlineStr">
        <is>
          <t>cursola-6</t>
        </is>
      </c>
      <c r="AO2781" s="18" t="inlineStr">
        <is>
          <t>pokemon</t>
        </is>
      </c>
      <c r="AP2781" s="18" t="inlineStr"/>
      <c r="AQ2781" s="18" t="inlineStr">
        <is>
          <t>{"biomes":["#cobblemon:is_beach","#cobblemon:is_warm_ocean"],"canSeeSky":true}</t>
        </is>
      </c>
      <c r="AR2781" s="18" t="inlineStr">
        <is>
          <t>{"minLureLevel":1}</t>
        </is>
      </c>
      <c r="AS2781" s="18" t="inlineStr"/>
      <c r="AT2781" s="19" t="inlineStr"/>
    </row>
    <row r="2782" ht="32" customHeight="1">
      <c r="A2782" s="18" t="inlineStr">
        <is>
          <t>0864_cursola.json::cursola-7::002</t>
        </is>
      </c>
      <c r="B2782" s="19" t="inlineStr">
        <is>
          <t>사용</t>
        </is>
      </c>
      <c r="C2782" s="18">
        <f>IF(OR(B2782&lt;&gt;AK2782,M2782&lt;&gt;L2782,O2782&lt;&gt;"",Q2782&lt;&gt;"",V2782&lt;&gt;1,Y2782&lt;&gt;"",AT2782&lt;&gt;""),"수정","원본")</f>
        <v/>
      </c>
      <c r="D2782" s="18" t="n">
        <v>864</v>
      </c>
      <c r="E2782" s="18" t="inlineStr">
        <is>
          <t>산호르곤</t>
        </is>
      </c>
      <c r="F2782" s="18" t="inlineStr">
        <is>
          <t>cursola</t>
        </is>
      </c>
      <c r="G2782" s="18" t="inlineStr">
        <is>
          <t>cursola</t>
        </is>
      </c>
      <c r="H2782" s="18" t="inlineStr"/>
      <c r="I2782" s="18" t="n">
        <v>8</v>
      </c>
      <c r="J2782" s="18" t="n"/>
      <c r="K2782" s="18" t="n">
        <v>8</v>
      </c>
      <c r="L2782" s="18" t="inlineStr">
        <is>
          <t>cobbleventure:generation_8</t>
        </is>
      </c>
      <c r="M2782" s="19" t="inlineStr">
        <is>
          <t>cobbleventure:generation_8</t>
        </is>
      </c>
      <c r="N2782" s="18" t="inlineStr"/>
      <c r="O2782" s="19" t="inlineStr"/>
      <c r="P2782" s="18" t="inlineStr">
        <is>
          <t>#cobblemon:is_beach; #cobblemon:is_warm_ocean</t>
        </is>
      </c>
      <c r="Q2782" s="19" t="inlineStr"/>
      <c r="R2782" s="18">
        <f>IF(Q2782="",P2782,Q2782)</f>
        <v/>
      </c>
      <c r="S2782" s="18" t="inlineStr"/>
      <c r="T2782" s="18" t="inlineStr">
        <is>
          <t>common</t>
        </is>
      </c>
      <c r="U2782" s="20" t="n">
        <v>0.2</v>
      </c>
      <c r="V2782" s="21" t="n">
        <v>1</v>
      </c>
      <c r="W2782" s="20">
        <f>IF(OR(U2782="",V2782=""),U2782,U2782*V2782)</f>
        <v/>
      </c>
      <c r="X2782" s="18" t="inlineStr">
        <is>
          <t>38-51</t>
        </is>
      </c>
      <c r="Y2782" s="19" t="inlineStr"/>
      <c r="Z2782" s="18">
        <f>IF(Y2782="",X2782,Y2782)</f>
        <v/>
      </c>
      <c r="AA2782" s="18" t="inlineStr">
        <is>
          <t>fishing</t>
        </is>
      </c>
      <c r="AB2782" s="18" t="inlineStr"/>
      <c r="AC2782" s="18" t="inlineStr"/>
      <c r="AD2782" s="18" t="inlineStr"/>
      <c r="AE2782" s="18" t="inlineStr"/>
      <c r="AF2782" s="18" t="inlineStr">
        <is>
          <t>True</t>
        </is>
      </c>
      <c r="AG2782" s="18" t="inlineStr"/>
      <c r="AH2782" s="18" t="inlineStr"/>
      <c r="AI2782" s="18" t="inlineStr">
        <is>
          <t>{"fishing":{"minLureLevel":1}}</t>
        </is>
      </c>
      <c r="AJ2782" s="18" t="inlineStr">
        <is>
          <t>Cobblemon 동일</t>
        </is>
      </c>
      <c r="AK2782" s="18" t="inlineStr">
        <is>
          <t>사용</t>
        </is>
      </c>
      <c r="AL2782" s="18" t="inlineStr">
        <is>
          <t>COBBLEVERSE 1.7.42 / DP v31</t>
        </is>
      </c>
      <c r="AM2782" s="18" t="inlineStr">
        <is>
          <t>data/cobblemon/spawn_pool_world/0864_cursola.json</t>
        </is>
      </c>
      <c r="AN2782" s="18" t="inlineStr">
        <is>
          <t>cursola-7</t>
        </is>
      </c>
      <c r="AO2782" s="18" t="inlineStr">
        <is>
          <t>pokemon</t>
        </is>
      </c>
      <c r="AP2782" s="18" t="inlineStr"/>
      <c r="AQ2782" s="18" t="inlineStr">
        <is>
          <t>{"biomes":["#cobblemon:is_beach","#cobblemon:is_warm_ocean"],"canSeeSky":true,"minLureLevel":1}</t>
        </is>
      </c>
      <c r="AR2782" s="18" t="inlineStr"/>
      <c r="AS2782" s="18" t="inlineStr">
        <is>
          <t>{"weightMultiplier":{"condition":{"minLureLevel":3},"multiplier":3.0}}</t>
        </is>
      </c>
      <c r="AT2782" s="19" t="inlineStr"/>
    </row>
    <row r="2783" ht="32" customHeight="1">
      <c r="A2783" s="18" t="inlineStr">
        <is>
          <t>0864_cursola.json::cursola-8::003</t>
        </is>
      </c>
      <c r="B2783" s="19" t="inlineStr">
        <is>
          <t>사용</t>
        </is>
      </c>
      <c r="C2783" s="18">
        <f>IF(OR(B2783&lt;&gt;AK2783,M2783&lt;&gt;L2783,O2783&lt;&gt;"",Q2783&lt;&gt;"",V2783&lt;&gt;1,Y2783&lt;&gt;"",AT2783&lt;&gt;""),"수정","원본")</f>
        <v/>
      </c>
      <c r="D2783" s="18" t="n">
        <v>864</v>
      </c>
      <c r="E2783" s="18" t="inlineStr">
        <is>
          <t>산호르곤</t>
        </is>
      </c>
      <c r="F2783" s="18" t="inlineStr">
        <is>
          <t>cursola</t>
        </is>
      </c>
      <c r="G2783" s="18" t="inlineStr">
        <is>
          <t>cursola</t>
        </is>
      </c>
      <c r="H2783" s="18" t="inlineStr"/>
      <c r="I2783" s="18" t="n">
        <v>8</v>
      </c>
      <c r="J2783" s="18" t="n"/>
      <c r="K2783" s="18" t="n">
        <v>8</v>
      </c>
      <c r="L2783" s="18" t="inlineStr">
        <is>
          <t>cobbleventure:generation_8</t>
        </is>
      </c>
      <c r="M2783" s="19" t="inlineStr">
        <is>
          <t>cobbleventure:generation_8</t>
        </is>
      </c>
      <c r="N2783" s="18" t="inlineStr"/>
      <c r="O2783" s="19" t="inlineStr"/>
      <c r="P2783" s="18" t="inlineStr">
        <is>
          <t>#cobblemon:is_beach; #cobblemon:is_warm_ocean</t>
        </is>
      </c>
      <c r="Q2783" s="19" t="inlineStr"/>
      <c r="R2783" s="18">
        <f>IF(Q2783="",P2783,Q2783)</f>
        <v/>
      </c>
      <c r="S2783" s="18" t="inlineStr"/>
      <c r="T2783" s="18" t="inlineStr">
        <is>
          <t>uncommon</t>
        </is>
      </c>
      <c r="U2783" s="20" t="n">
        <v>0.32</v>
      </c>
      <c r="V2783" s="21" t="n">
        <v>1</v>
      </c>
      <c r="W2783" s="20">
        <f>IF(OR(U2783="",V2783=""),U2783,U2783*V2783)</f>
        <v/>
      </c>
      <c r="X2783" s="18" t="inlineStr">
        <is>
          <t>38-51</t>
        </is>
      </c>
      <c r="Y2783" s="19" t="inlineStr"/>
      <c r="Z2783" s="18">
        <f>IF(Y2783="",X2783,Y2783)</f>
        <v/>
      </c>
      <c r="AA2783" s="18" t="inlineStr">
        <is>
          <t>fishing</t>
        </is>
      </c>
      <c r="AB2783" s="18" t="inlineStr"/>
      <c r="AC2783" s="18" t="inlineStr"/>
      <c r="AD2783" s="18" t="inlineStr"/>
      <c r="AE2783" s="18" t="inlineStr">
        <is>
          <t>sky 8-15</t>
        </is>
      </c>
      <c r="AF2783" s="18" t="inlineStr">
        <is>
          <t>False</t>
        </is>
      </c>
      <c r="AG2783" s="18" t="inlineStr"/>
      <c r="AH2783" s="18" t="inlineStr"/>
      <c r="AI2783" s="18" t="inlineStr"/>
      <c r="AJ2783" s="18" t="inlineStr">
        <is>
          <t>Cobblemon 동일</t>
        </is>
      </c>
      <c r="AK2783" s="18" t="inlineStr">
        <is>
          <t>사용</t>
        </is>
      </c>
      <c r="AL2783" s="18" t="inlineStr">
        <is>
          <t>COBBLEVERSE 1.7.42 / DP v31</t>
        </is>
      </c>
      <c r="AM2783" s="18" t="inlineStr">
        <is>
          <t>data/cobblemon/spawn_pool_world/0864_cursola.json</t>
        </is>
      </c>
      <c r="AN2783" s="18" t="inlineStr">
        <is>
          <t>cursola-8</t>
        </is>
      </c>
      <c r="AO2783" s="18" t="inlineStr">
        <is>
          <t>pokemon</t>
        </is>
      </c>
      <c r="AP2783" s="18" t="inlineStr"/>
      <c r="AQ2783" s="18" t="inlineStr">
        <is>
          <t>{"biomes":["#cobblemon:is_beach","#cobblemon:is_warm_ocean"],"canSeeSky":false,"maxSkyLight":15,"minSkyLight":8}</t>
        </is>
      </c>
      <c r="AR2783" s="18" t="inlineStr">
        <is>
          <t>{"minLureLevel":1}</t>
        </is>
      </c>
      <c r="AS2783" s="18" t="inlineStr"/>
      <c r="AT2783" s="19" t="inlineStr"/>
    </row>
    <row r="2784" ht="32" customHeight="1">
      <c r="A2784" s="18" t="inlineStr">
        <is>
          <t>0864_cursola.json::cursola-9::004</t>
        </is>
      </c>
      <c r="B2784" s="19" t="inlineStr">
        <is>
          <t>사용</t>
        </is>
      </c>
      <c r="C2784" s="18">
        <f>IF(OR(B2784&lt;&gt;AK2784,M2784&lt;&gt;L2784,O2784&lt;&gt;"",Q2784&lt;&gt;"",V2784&lt;&gt;1,Y2784&lt;&gt;"",AT2784&lt;&gt;""),"수정","원본")</f>
        <v/>
      </c>
      <c r="D2784" s="18" t="n">
        <v>864</v>
      </c>
      <c r="E2784" s="18" t="inlineStr">
        <is>
          <t>산호르곤</t>
        </is>
      </c>
      <c r="F2784" s="18" t="inlineStr">
        <is>
          <t>cursola</t>
        </is>
      </c>
      <c r="G2784" s="18" t="inlineStr">
        <is>
          <t>cursola</t>
        </is>
      </c>
      <c r="H2784" s="18" t="inlineStr"/>
      <c r="I2784" s="18" t="n">
        <v>8</v>
      </c>
      <c r="J2784" s="18" t="n"/>
      <c r="K2784" s="18" t="n">
        <v>8</v>
      </c>
      <c r="L2784" s="18" t="inlineStr">
        <is>
          <t>cobbleventure:generation_8</t>
        </is>
      </c>
      <c r="M2784" s="19" t="inlineStr">
        <is>
          <t>cobbleventure:generation_8</t>
        </is>
      </c>
      <c r="N2784" s="18" t="inlineStr"/>
      <c r="O2784" s="19" t="inlineStr"/>
      <c r="P2784" s="18" t="inlineStr">
        <is>
          <t>#cobblemon:is_beach; #cobblemon:is_warm_ocean</t>
        </is>
      </c>
      <c r="Q2784" s="19" t="inlineStr"/>
      <c r="R2784" s="18">
        <f>IF(Q2784="",P2784,Q2784)</f>
        <v/>
      </c>
      <c r="S2784" s="18" t="inlineStr"/>
      <c r="T2784" s="18" t="inlineStr">
        <is>
          <t>common</t>
        </is>
      </c>
      <c r="U2784" s="20" t="n">
        <v>0.2</v>
      </c>
      <c r="V2784" s="21" t="n">
        <v>1</v>
      </c>
      <c r="W2784" s="20">
        <f>IF(OR(U2784="",V2784=""),U2784,U2784*V2784)</f>
        <v/>
      </c>
      <c r="X2784" s="18" t="inlineStr">
        <is>
          <t>38-51</t>
        </is>
      </c>
      <c r="Y2784" s="19" t="inlineStr"/>
      <c r="Z2784" s="18">
        <f>IF(Y2784="",X2784,Y2784)</f>
        <v/>
      </c>
      <c r="AA2784" s="18" t="inlineStr">
        <is>
          <t>fishing</t>
        </is>
      </c>
      <c r="AB2784" s="18" t="inlineStr"/>
      <c r="AC2784" s="18" t="inlineStr"/>
      <c r="AD2784" s="18" t="inlineStr"/>
      <c r="AE2784" s="18" t="inlineStr">
        <is>
          <t>sky 8-15</t>
        </is>
      </c>
      <c r="AF2784" s="18" t="inlineStr">
        <is>
          <t>False</t>
        </is>
      </c>
      <c r="AG2784" s="18" t="inlineStr"/>
      <c r="AH2784" s="18" t="inlineStr"/>
      <c r="AI2784" s="18" t="inlineStr">
        <is>
          <t>{"fishing":{"minLureLevel":1}}</t>
        </is>
      </c>
      <c r="AJ2784" s="18" t="inlineStr">
        <is>
          <t>Cobblemon 동일</t>
        </is>
      </c>
      <c r="AK2784" s="18" t="inlineStr">
        <is>
          <t>사용</t>
        </is>
      </c>
      <c r="AL2784" s="18" t="inlineStr">
        <is>
          <t>COBBLEVERSE 1.7.42 / DP v31</t>
        </is>
      </c>
      <c r="AM2784" s="18" t="inlineStr">
        <is>
          <t>data/cobblemon/spawn_pool_world/0864_cursola.json</t>
        </is>
      </c>
      <c r="AN2784" s="18" t="inlineStr">
        <is>
          <t>cursola-9</t>
        </is>
      </c>
      <c r="AO2784" s="18" t="inlineStr">
        <is>
          <t>pokemon</t>
        </is>
      </c>
      <c r="AP2784" s="18" t="inlineStr"/>
      <c r="AQ2784" s="18" t="inlineStr">
        <is>
          <t>{"biomes":["#cobblemon:is_beach","#cobblemon:is_warm_ocean"],"canSeeSky":false,"maxSkyLight":15,"minLureLevel":1,"minSkyLight":8}</t>
        </is>
      </c>
      <c r="AR2784" s="18" t="inlineStr"/>
      <c r="AS2784" s="18" t="inlineStr">
        <is>
          <t>{"weightMultiplier":{"condition":{"minLureLevel":3},"multiplier":3.0}}</t>
        </is>
      </c>
      <c r="AT2784" s="19" t="inlineStr"/>
    </row>
    <row r="2785" ht="32" customHeight="1">
      <c r="A2785" s="18" t="inlineStr">
        <is>
          <t>0864_cursola.json::cursola-1::005</t>
        </is>
      </c>
      <c r="B2785" s="19" t="inlineStr">
        <is>
          <t>사용</t>
        </is>
      </c>
      <c r="C2785" s="18">
        <f>IF(OR(B2785&lt;&gt;AK2785,M2785&lt;&gt;L2785,O2785&lt;&gt;"",Q2785&lt;&gt;"",V2785&lt;&gt;1,Y2785&lt;&gt;"",AT2785&lt;&gt;""),"수정","원본")</f>
        <v/>
      </c>
      <c r="D2785" s="18" t="n">
        <v>864</v>
      </c>
      <c r="E2785" s="18" t="inlineStr">
        <is>
          <t>산호르곤</t>
        </is>
      </c>
      <c r="F2785" s="18" t="inlineStr">
        <is>
          <t>cursola</t>
        </is>
      </c>
      <c r="G2785" s="18" t="inlineStr">
        <is>
          <t>cursola</t>
        </is>
      </c>
      <c r="H2785" s="18" t="inlineStr"/>
      <c r="I2785" s="18" t="n">
        <v>8</v>
      </c>
      <c r="J2785" s="18" t="n"/>
      <c r="K2785" s="18" t="n">
        <v>8</v>
      </c>
      <c r="L2785" s="18" t="inlineStr">
        <is>
          <t>cobbleventure:generation_8</t>
        </is>
      </c>
      <c r="M2785" s="19" t="inlineStr">
        <is>
          <t>cobbleventure:generation_8</t>
        </is>
      </c>
      <c r="N2785" s="18" t="inlineStr"/>
      <c r="O2785" s="19" t="inlineStr"/>
      <c r="P2785" s="18" t="inlineStr">
        <is>
          <t>#cobblemon:is_beach</t>
        </is>
      </c>
      <c r="Q2785" s="19" t="inlineStr"/>
      <c r="R2785" s="18">
        <f>IF(Q2785="",P2785,Q2785)</f>
        <v/>
      </c>
      <c r="S2785" s="18" t="inlineStr"/>
      <c r="T2785" s="18" t="inlineStr">
        <is>
          <t>uncommon</t>
        </is>
      </c>
      <c r="U2785" s="20" t="n">
        <v>0.32</v>
      </c>
      <c r="V2785" s="21" t="n">
        <v>1</v>
      </c>
      <c r="W2785" s="20">
        <f>IF(OR(U2785="",V2785=""),U2785,U2785*V2785)</f>
        <v/>
      </c>
      <c r="X2785" s="18" t="inlineStr">
        <is>
          <t>38-51</t>
        </is>
      </c>
      <c r="Y2785" s="19" t="inlineStr"/>
      <c r="Z2785" s="18">
        <f>IF(Y2785="",X2785,Y2785)</f>
        <v/>
      </c>
      <c r="AA2785" s="18" t="inlineStr">
        <is>
          <t>grounded</t>
        </is>
      </c>
      <c r="AB2785" s="18" t="inlineStr"/>
      <c r="AC2785" s="18" t="inlineStr"/>
      <c r="AD2785" s="18" t="inlineStr"/>
      <c r="AE2785" s="18" t="inlineStr"/>
      <c r="AF2785" s="18" t="inlineStr"/>
      <c r="AG2785" s="18" t="inlineStr"/>
      <c r="AH2785" s="18" t="inlineStr"/>
      <c r="AI2785" s="18" t="inlineStr"/>
      <c r="AJ2785" s="18" t="inlineStr">
        <is>
          <t>Cobblemon 동일</t>
        </is>
      </c>
      <c r="AK2785" s="18" t="inlineStr">
        <is>
          <t>사용</t>
        </is>
      </c>
      <c r="AL2785" s="18" t="inlineStr">
        <is>
          <t>COBBLEVERSE 1.7.42 / DP v31</t>
        </is>
      </c>
      <c r="AM2785" s="18" t="inlineStr">
        <is>
          <t>data/cobblemon/spawn_pool_world/0864_cursola.json</t>
        </is>
      </c>
      <c r="AN2785" s="18" t="inlineStr">
        <is>
          <t>cursola-1</t>
        </is>
      </c>
      <c r="AO2785" s="18" t="inlineStr">
        <is>
          <t>pokemon</t>
        </is>
      </c>
      <c r="AP2785" s="18" t="inlineStr">
        <is>
          <t>natural</t>
        </is>
      </c>
      <c r="AQ2785" s="18" t="inlineStr">
        <is>
          <t>{"biomes":["#cobblemon:is_beach"]}</t>
        </is>
      </c>
      <c r="AR2785" s="18" t="inlineStr"/>
      <c r="AS2785" s="18" t="inlineStr"/>
      <c r="AT2785" s="19" t="inlineStr"/>
    </row>
    <row r="2786" ht="32" customHeight="1">
      <c r="A2786" s="18" t="inlineStr">
        <is>
          <t>0864_cursola.json::cursola-2::006</t>
        </is>
      </c>
      <c r="B2786" s="19" t="inlineStr">
        <is>
          <t>사용</t>
        </is>
      </c>
      <c r="C2786" s="18">
        <f>IF(OR(B2786&lt;&gt;AK2786,M2786&lt;&gt;L2786,O2786&lt;&gt;"",Q2786&lt;&gt;"",V2786&lt;&gt;1,Y2786&lt;&gt;"",AT2786&lt;&gt;""),"수정","원본")</f>
        <v/>
      </c>
      <c r="D2786" s="18" t="n">
        <v>864</v>
      </c>
      <c r="E2786" s="18" t="inlineStr">
        <is>
          <t>산호르곤</t>
        </is>
      </c>
      <c r="F2786" s="18" t="inlineStr">
        <is>
          <t>cursola</t>
        </is>
      </c>
      <c r="G2786" s="18" t="inlineStr">
        <is>
          <t>cursola</t>
        </is>
      </c>
      <c r="H2786" s="18" t="inlineStr"/>
      <c r="I2786" s="18" t="n">
        <v>8</v>
      </c>
      <c r="J2786" s="18" t="n"/>
      <c r="K2786" s="18" t="n">
        <v>8</v>
      </c>
      <c r="L2786" s="18" t="inlineStr">
        <is>
          <t>cobbleventure:generation_8</t>
        </is>
      </c>
      <c r="M2786" s="19" t="inlineStr">
        <is>
          <t>cobbleventure:generation_8</t>
        </is>
      </c>
      <c r="N2786" s="18" t="inlineStr">
        <is>
          <t>region_01; region_02</t>
        </is>
      </c>
      <c r="O2786" s="19" t="inlineStr"/>
      <c r="P2786" s="18" t="inlineStr">
        <is>
          <t>#cobblemon:is_overworld</t>
        </is>
      </c>
      <c r="Q2786" s="19" t="inlineStr"/>
      <c r="R2786" s="18">
        <f>IF(Q2786="",P2786,Q2786)</f>
        <v/>
      </c>
      <c r="S2786" s="18" t="inlineStr"/>
      <c r="T2786" s="18" t="inlineStr">
        <is>
          <t>common</t>
        </is>
      </c>
      <c r="U2786" s="20" t="n">
        <v>1</v>
      </c>
      <c r="V2786" s="21" t="n">
        <v>1</v>
      </c>
      <c r="W2786" s="20">
        <f>IF(OR(U2786="",V2786=""),U2786,U2786*V2786)</f>
        <v/>
      </c>
      <c r="X2786" s="18" t="inlineStr">
        <is>
          <t>38-51</t>
        </is>
      </c>
      <c r="Y2786" s="19" t="inlineStr"/>
      <c r="Z2786" s="18">
        <f>IF(Y2786="",X2786,Y2786)</f>
        <v/>
      </c>
      <c r="AA2786" s="18" t="inlineStr">
        <is>
          <t>grounded</t>
        </is>
      </c>
      <c r="AB2786" s="18" t="inlineStr"/>
      <c r="AC2786" s="18" t="inlineStr"/>
      <c r="AD2786" s="18" t="inlineStr"/>
      <c r="AE2786" s="18" t="inlineStr"/>
      <c r="AF2786" s="18" t="inlineStr"/>
      <c r="AG2786" s="18" t="inlineStr"/>
      <c r="AH2786" s="18" t="inlineStr">
        <is>
          <t>주변=#cobblemon:dead_coral</t>
        </is>
      </c>
      <c r="AI2786" s="18" t="inlineStr"/>
      <c r="AJ2786" s="18" t="inlineStr">
        <is>
          <t>Cobblemon 동일</t>
        </is>
      </c>
      <c r="AK2786" s="18" t="inlineStr">
        <is>
          <t>사용</t>
        </is>
      </c>
      <c r="AL2786" s="18" t="inlineStr">
        <is>
          <t>COBBLEVERSE 1.7.42 / DP v31</t>
        </is>
      </c>
      <c r="AM2786" s="18" t="inlineStr">
        <is>
          <t>data/cobblemon/spawn_pool_world/0864_cursola.json</t>
        </is>
      </c>
      <c r="AN2786" s="18" t="inlineStr">
        <is>
          <t>cursola-2</t>
        </is>
      </c>
      <c r="AO2786" s="18" t="inlineStr">
        <is>
          <t>pokemon</t>
        </is>
      </c>
      <c r="AP2786" s="18" t="inlineStr">
        <is>
          <t>natural</t>
        </is>
      </c>
      <c r="AQ2786" s="18" t="inlineStr">
        <is>
          <t>{"biomes":["#cobblemon:is_overworld"],"neededNearbyBlocks":["#cobblemon:dead_coral"]}</t>
        </is>
      </c>
      <c r="AR2786" s="18" t="inlineStr"/>
      <c r="AS2786" s="18" t="inlineStr"/>
      <c r="AT2786" s="19" t="inlineStr"/>
    </row>
    <row r="2787" ht="32" customHeight="1">
      <c r="A2787" s="18" t="inlineStr">
        <is>
          <t>0864_cursola.json::cursola-3::007</t>
        </is>
      </c>
      <c r="B2787" s="19" t="inlineStr">
        <is>
          <t>사용</t>
        </is>
      </c>
      <c r="C2787" s="18">
        <f>IF(OR(B2787&lt;&gt;AK2787,M2787&lt;&gt;L2787,O2787&lt;&gt;"",Q2787&lt;&gt;"",V2787&lt;&gt;1,Y2787&lt;&gt;"",AT2787&lt;&gt;""),"수정","원본")</f>
        <v/>
      </c>
      <c r="D2787" s="18" t="n">
        <v>864</v>
      </c>
      <c r="E2787" s="18" t="inlineStr">
        <is>
          <t>산호르곤</t>
        </is>
      </c>
      <c r="F2787" s="18" t="inlineStr">
        <is>
          <t>cursola</t>
        </is>
      </c>
      <c r="G2787" s="18" t="inlineStr">
        <is>
          <t>cursola</t>
        </is>
      </c>
      <c r="H2787" s="18" t="inlineStr"/>
      <c r="I2787" s="18" t="n">
        <v>8</v>
      </c>
      <c r="J2787" s="18" t="n"/>
      <c r="K2787" s="18" t="n">
        <v>8</v>
      </c>
      <c r="L2787" s="18" t="inlineStr">
        <is>
          <t>cobbleventure:generation_8</t>
        </is>
      </c>
      <c r="M2787" s="19" t="inlineStr">
        <is>
          <t>cobbleventure:generation_8</t>
        </is>
      </c>
      <c r="N2787" s="18" t="inlineStr">
        <is>
          <t>region_01; region_02</t>
        </is>
      </c>
      <c r="O2787" s="19" t="inlineStr"/>
      <c r="P2787" s="18" t="inlineStr">
        <is>
          <t>#cobblemon:is_overworld</t>
        </is>
      </c>
      <c r="Q2787" s="19" t="inlineStr"/>
      <c r="R2787" s="18">
        <f>IF(Q2787="",P2787,Q2787)</f>
        <v/>
      </c>
      <c r="S2787" s="18" t="inlineStr"/>
      <c r="T2787" s="18" t="inlineStr">
        <is>
          <t>common</t>
        </is>
      </c>
      <c r="U2787" s="20" t="n">
        <v>1</v>
      </c>
      <c r="V2787" s="21" t="n">
        <v>1</v>
      </c>
      <c r="W2787" s="20">
        <f>IF(OR(U2787="",V2787=""),U2787,U2787*V2787)</f>
        <v/>
      </c>
      <c r="X2787" s="18" t="inlineStr">
        <is>
          <t>38-51</t>
        </is>
      </c>
      <c r="Y2787" s="19" t="inlineStr"/>
      <c r="Z2787" s="18">
        <f>IF(Y2787="",X2787,Y2787)</f>
        <v/>
      </c>
      <c r="AA2787" s="18" t="inlineStr">
        <is>
          <t>seafloor</t>
        </is>
      </c>
      <c r="AB2787" s="18" t="inlineStr"/>
      <c r="AC2787" s="18" t="inlineStr"/>
      <c r="AD2787" s="18" t="inlineStr"/>
      <c r="AE2787" s="18" t="inlineStr"/>
      <c r="AF2787" s="18" t="inlineStr"/>
      <c r="AG2787" s="18" t="inlineStr"/>
      <c r="AH2787" s="18" t="inlineStr">
        <is>
          <t>주변=#cobblemon:dead_coral</t>
        </is>
      </c>
      <c r="AI2787" s="18" t="inlineStr"/>
      <c r="AJ2787" s="18" t="inlineStr">
        <is>
          <t>Cobblemon 동일</t>
        </is>
      </c>
      <c r="AK2787" s="18" t="inlineStr">
        <is>
          <t>사용</t>
        </is>
      </c>
      <c r="AL2787" s="18" t="inlineStr">
        <is>
          <t>COBBLEVERSE 1.7.42 / DP v31</t>
        </is>
      </c>
      <c r="AM2787" s="18" t="inlineStr">
        <is>
          <t>data/cobblemon/spawn_pool_world/0864_cursola.json</t>
        </is>
      </c>
      <c r="AN2787" s="18" t="inlineStr">
        <is>
          <t>cursola-3</t>
        </is>
      </c>
      <c r="AO2787" s="18" t="inlineStr">
        <is>
          <t>pokemon</t>
        </is>
      </c>
      <c r="AP2787" s="18" t="inlineStr"/>
      <c r="AQ2787" s="18" t="inlineStr">
        <is>
          <t>{"biomes":["#cobblemon:is_overworld"],"neededNearbyBlocks":["#cobblemon:dead_coral"]}</t>
        </is>
      </c>
      <c r="AR2787" s="18" t="inlineStr"/>
      <c r="AS2787" s="18" t="inlineStr"/>
      <c r="AT2787" s="19" t="inlineStr"/>
    </row>
    <row r="2788" ht="32" customHeight="1">
      <c r="A2788" s="18" t="inlineStr">
        <is>
          <t>0864_cursola.json::cursola-4::008</t>
        </is>
      </c>
      <c r="B2788" s="19" t="inlineStr">
        <is>
          <t>사용</t>
        </is>
      </c>
      <c r="C2788" s="18">
        <f>IF(OR(B2788&lt;&gt;AK2788,M2788&lt;&gt;L2788,O2788&lt;&gt;"",Q2788&lt;&gt;"",V2788&lt;&gt;1,Y2788&lt;&gt;"",AT2788&lt;&gt;""),"수정","원본")</f>
        <v/>
      </c>
      <c r="D2788" s="18" t="n">
        <v>864</v>
      </c>
      <c r="E2788" s="18" t="inlineStr">
        <is>
          <t>산호르곤</t>
        </is>
      </c>
      <c r="F2788" s="18" t="inlineStr">
        <is>
          <t>cursola</t>
        </is>
      </c>
      <c r="G2788" s="18" t="inlineStr">
        <is>
          <t>cursola</t>
        </is>
      </c>
      <c r="H2788" s="18" t="inlineStr"/>
      <c r="I2788" s="18" t="n">
        <v>8</v>
      </c>
      <c r="J2788" s="18" t="n"/>
      <c r="K2788" s="18" t="n">
        <v>8</v>
      </c>
      <c r="L2788" s="18" t="inlineStr">
        <is>
          <t>cobbleventure:generation_8</t>
        </is>
      </c>
      <c r="M2788" s="19" t="inlineStr">
        <is>
          <t>cobbleventure:generation_8</t>
        </is>
      </c>
      <c r="N2788" s="18" t="inlineStr"/>
      <c r="O2788" s="19" t="inlineStr"/>
      <c r="P2788" s="18" t="inlineStr">
        <is>
          <t>#cobblemon:nether/is_quartz</t>
        </is>
      </c>
      <c r="Q2788" s="19" t="inlineStr"/>
      <c r="R2788" s="18">
        <f>IF(Q2788="",P2788,Q2788)</f>
        <v/>
      </c>
      <c r="S2788" s="18" t="inlineStr"/>
      <c r="T2788" s="18" t="inlineStr">
        <is>
          <t>uncommon</t>
        </is>
      </c>
      <c r="U2788" s="20" t="n">
        <v>0.96</v>
      </c>
      <c r="V2788" s="21" t="n">
        <v>1</v>
      </c>
      <c r="W2788" s="20">
        <f>IF(OR(U2788="",V2788=""),U2788,U2788*V2788)</f>
        <v/>
      </c>
      <c r="X2788" s="18" t="inlineStr">
        <is>
          <t>38-51</t>
        </is>
      </c>
      <c r="Y2788" s="19" t="inlineStr"/>
      <c r="Z2788" s="18">
        <f>IF(Y2788="",X2788,Y2788)</f>
        <v/>
      </c>
      <c r="AA2788" s="18" t="inlineStr">
        <is>
          <t>grounded</t>
        </is>
      </c>
      <c r="AB2788" s="18" t="inlineStr"/>
      <c r="AC2788" s="18" t="inlineStr"/>
      <c r="AD2788" s="18" t="inlineStr"/>
      <c r="AE2788" s="18" t="inlineStr"/>
      <c r="AF2788" s="18" t="inlineStr"/>
      <c r="AG2788" s="18" t="inlineStr"/>
      <c r="AH2788" s="18" t="inlineStr">
        <is>
          <t>바닥=minecraft:quartz_block</t>
        </is>
      </c>
      <c r="AI2788" s="18" t="inlineStr"/>
      <c r="AJ2788" s="18" t="inlineStr">
        <is>
          <t>Cobblemon 동일</t>
        </is>
      </c>
      <c r="AK2788" s="18" t="inlineStr">
        <is>
          <t>사용</t>
        </is>
      </c>
      <c r="AL2788" s="18" t="inlineStr">
        <is>
          <t>COBBLEVERSE 1.7.42 / DP v31</t>
        </is>
      </c>
      <c r="AM2788" s="18" t="inlineStr">
        <is>
          <t>data/cobblemon/spawn_pool_world/0864_cursola.json</t>
        </is>
      </c>
      <c r="AN2788" s="18" t="inlineStr">
        <is>
          <t>cursola-4</t>
        </is>
      </c>
      <c r="AO2788" s="18" t="inlineStr">
        <is>
          <t>pokemon</t>
        </is>
      </c>
      <c r="AP2788" s="18" t="inlineStr">
        <is>
          <t>natural</t>
        </is>
      </c>
      <c r="AQ2788" s="18" t="inlineStr">
        <is>
          <t>{"biomes":["#cobblemon:nether/is_quartz"],"neededBaseBlocks":["minecraft:quartz_block"]}</t>
        </is>
      </c>
      <c r="AR2788" s="18" t="inlineStr"/>
      <c r="AS2788" s="18" t="inlineStr"/>
      <c r="AT2788" s="19" t="inlineStr"/>
    </row>
    <row r="2789" ht="32" customHeight="1">
      <c r="A2789" s="18" t="inlineStr">
        <is>
          <t>0864_cursola.json::cursola-5::009</t>
        </is>
      </c>
      <c r="B2789" s="19" t="inlineStr">
        <is>
          <t>사용</t>
        </is>
      </c>
      <c r="C2789" s="18">
        <f>IF(OR(B2789&lt;&gt;AK2789,M2789&lt;&gt;L2789,O2789&lt;&gt;"",Q2789&lt;&gt;"",V2789&lt;&gt;1,Y2789&lt;&gt;"",AT2789&lt;&gt;""),"수정","원본")</f>
        <v/>
      </c>
      <c r="D2789" s="18" t="n">
        <v>864</v>
      </c>
      <c r="E2789" s="18" t="inlineStr">
        <is>
          <t>산호르곤</t>
        </is>
      </c>
      <c r="F2789" s="18" t="inlineStr">
        <is>
          <t>cursola</t>
        </is>
      </c>
      <c r="G2789" s="18" t="inlineStr">
        <is>
          <t>cursola</t>
        </is>
      </c>
      <c r="H2789" s="18" t="inlineStr"/>
      <c r="I2789" s="18" t="n">
        <v>8</v>
      </c>
      <c r="J2789" s="18" t="n"/>
      <c r="K2789" s="18" t="n">
        <v>8</v>
      </c>
      <c r="L2789" s="18" t="inlineStr">
        <is>
          <t>cobbleventure:generation_8</t>
        </is>
      </c>
      <c r="M2789" s="19" t="inlineStr">
        <is>
          <t>cobbleventure:generation_8</t>
        </is>
      </c>
      <c r="N2789" s="18" t="inlineStr"/>
      <c r="O2789" s="19" t="inlineStr"/>
      <c r="P2789" s="18" t="inlineStr">
        <is>
          <t>byg:warped_desert</t>
        </is>
      </c>
      <c r="Q2789" s="19" t="inlineStr"/>
      <c r="R2789" s="18">
        <f>IF(Q2789="",P2789,Q2789)</f>
        <v/>
      </c>
      <c r="S2789" s="18" t="inlineStr"/>
      <c r="T2789" s="18" t="inlineStr">
        <is>
          <t>common</t>
        </is>
      </c>
      <c r="U2789" s="20" t="n">
        <v>1</v>
      </c>
      <c r="V2789" s="21" t="n">
        <v>1</v>
      </c>
      <c r="W2789" s="20">
        <f>IF(OR(U2789="",V2789=""),U2789,U2789*V2789)</f>
        <v/>
      </c>
      <c r="X2789" s="18" t="inlineStr">
        <is>
          <t>38-51</t>
        </is>
      </c>
      <c r="Y2789" s="19" t="inlineStr"/>
      <c r="Z2789" s="18">
        <f>IF(Y2789="",X2789,Y2789)</f>
        <v/>
      </c>
      <c r="AA2789" s="18" t="inlineStr">
        <is>
          <t>grounded</t>
        </is>
      </c>
      <c r="AB2789" s="18" t="inlineStr"/>
      <c r="AC2789" s="18" t="inlineStr"/>
      <c r="AD2789" s="18" t="inlineStr"/>
      <c r="AE2789" s="18" t="inlineStr"/>
      <c r="AF2789" s="18" t="inlineStr"/>
      <c r="AG2789" s="18" t="inlineStr"/>
      <c r="AH2789" s="18" t="inlineStr"/>
      <c r="AI2789" s="18" t="inlineStr"/>
      <c r="AJ2789" s="18" t="inlineStr">
        <is>
          <t>Cobblemon 동일</t>
        </is>
      </c>
      <c r="AK2789" s="18" t="inlineStr">
        <is>
          <t>사용</t>
        </is>
      </c>
      <c r="AL2789" s="18" t="inlineStr">
        <is>
          <t>COBBLEVERSE 1.7.42 / DP v31</t>
        </is>
      </c>
      <c r="AM2789" s="18" t="inlineStr">
        <is>
          <t>data/cobblemon/spawn_pool_world/0864_cursola.json</t>
        </is>
      </c>
      <c r="AN2789" s="18" t="inlineStr">
        <is>
          <t>cursola-5</t>
        </is>
      </c>
      <c r="AO2789" s="18" t="inlineStr">
        <is>
          <t>pokemon</t>
        </is>
      </c>
      <c r="AP2789" s="18" t="inlineStr">
        <is>
          <t>natural</t>
        </is>
      </c>
      <c r="AQ2789" s="18" t="inlineStr">
        <is>
          <t>{"biomes":["byg:warped_desert"]}</t>
        </is>
      </c>
      <c r="AR2789" s="18" t="inlineStr"/>
      <c r="AS2789" s="18" t="inlineStr"/>
      <c r="AT2789" s="19" t="inlineStr"/>
    </row>
    <row r="2790" ht="32" customHeight="1">
      <c r="A2790" s="18" t="inlineStr">
        <is>
          <t>0865_sirfetchd.json::sirfetchd-1::001</t>
        </is>
      </c>
      <c r="B2790" s="19" t="inlineStr">
        <is>
          <t>사용</t>
        </is>
      </c>
      <c r="C2790" s="18">
        <f>IF(OR(B2790&lt;&gt;AK2790,M2790&lt;&gt;L2790,O2790&lt;&gt;"",Q2790&lt;&gt;"",V2790&lt;&gt;1,Y2790&lt;&gt;"",AT2790&lt;&gt;""),"수정","원본")</f>
        <v/>
      </c>
      <c r="D2790" s="18" t="n">
        <v>865</v>
      </c>
      <c r="E2790" s="18" t="inlineStr">
        <is>
          <t>창파나이트</t>
        </is>
      </c>
      <c r="F2790" s="18" t="inlineStr">
        <is>
          <t>sirfetchd</t>
        </is>
      </c>
      <c r="G2790" s="18" t="inlineStr">
        <is>
          <t>sirfetchd</t>
        </is>
      </c>
      <c r="H2790" s="18" t="inlineStr"/>
      <c r="I2790" s="18" t="n">
        <v>8</v>
      </c>
      <c r="J2790" s="18" t="n"/>
      <c r="K2790" s="18" t="n">
        <v>8</v>
      </c>
      <c r="L2790" s="18" t="inlineStr">
        <is>
          <t>cobbleventure:generation_8</t>
        </is>
      </c>
      <c r="M2790" s="19" t="inlineStr">
        <is>
          <t>cobbleventure:generation_8</t>
        </is>
      </c>
      <c r="N2790" s="18" t="inlineStr">
        <is>
          <t>region_01</t>
        </is>
      </c>
      <c r="O2790" s="19" t="inlineStr"/>
      <c r="P2790" s="18" t="inlineStr">
        <is>
          <t>#cobblemon:is_forest</t>
        </is>
      </c>
      <c r="Q2790" s="19" t="inlineStr"/>
      <c r="R2790" s="18">
        <f>IF(Q2790="",P2790,Q2790)</f>
        <v/>
      </c>
      <c r="S2790" s="18" t="inlineStr"/>
      <c r="T2790" s="18" t="inlineStr">
        <is>
          <t>rare</t>
        </is>
      </c>
      <c r="U2790" s="20" t="n">
        <v>1.25</v>
      </c>
      <c r="V2790" s="21" t="n">
        <v>1</v>
      </c>
      <c r="W2790" s="20">
        <f>IF(OR(U2790="",V2790=""),U2790,U2790*V2790)</f>
        <v/>
      </c>
      <c r="X2790" s="18" t="inlineStr">
        <is>
          <t>33-51</t>
        </is>
      </c>
      <c r="Y2790" s="19" t="inlineStr"/>
      <c r="Z2790" s="18">
        <f>IF(Y2790="",X2790,Y2790)</f>
        <v/>
      </c>
      <c r="AA2790" s="18" t="inlineStr">
        <is>
          <t>grounded</t>
        </is>
      </c>
      <c r="AB2790" s="18" t="inlineStr"/>
      <c r="AC2790" s="18" t="inlineStr"/>
      <c r="AD2790" s="18" t="inlineStr"/>
      <c r="AE2790" s="18" t="inlineStr">
        <is>
          <t>sky 8-15</t>
        </is>
      </c>
      <c r="AF2790" s="18" t="inlineStr"/>
      <c r="AG2790" s="18" t="inlineStr"/>
      <c r="AH2790" s="18" t="inlineStr"/>
      <c r="AI2790" s="18" t="inlineStr"/>
      <c r="AJ2790" s="18" t="inlineStr">
        <is>
          <t>Cobblemon 동일</t>
        </is>
      </c>
      <c r="AK2790" s="18" t="inlineStr">
        <is>
          <t>사용</t>
        </is>
      </c>
      <c r="AL2790" s="18" t="inlineStr">
        <is>
          <t>COBBLEVERSE 1.7.42 / DP v31</t>
        </is>
      </c>
      <c r="AM2790" s="18" t="inlineStr">
        <is>
          <t>data/cobblemon/spawn_pool_world/0865_sirfetchd.json</t>
        </is>
      </c>
      <c r="AN2790" s="18" t="inlineStr">
        <is>
          <t>sirfetchd-1</t>
        </is>
      </c>
      <c r="AO2790" s="18" t="inlineStr">
        <is>
          <t>pokemon</t>
        </is>
      </c>
      <c r="AP2790" s="18" t="inlineStr">
        <is>
          <t>natural; wild</t>
        </is>
      </c>
      <c r="AQ2790" s="18" t="inlineStr">
        <is>
          <t>{"biomes":["#cobblemon:is_forest"],"maxSkyLight":15,"minSkyLight":8}</t>
        </is>
      </c>
      <c r="AR2790" s="18" t="inlineStr">
        <is>
          <t>{"neededNearbyBlocks":["minecraft:water"]}</t>
        </is>
      </c>
      <c r="AS2790" s="18" t="inlineStr">
        <is>
          <t>{"weightMultiplier":{"condition":{"timeRange":"night"},"multiplier":0.25}}</t>
        </is>
      </c>
      <c r="AT2790" s="19" t="inlineStr"/>
    </row>
    <row r="2791" ht="32" customHeight="1">
      <c r="A2791" s="18" t="inlineStr">
        <is>
          <t>0866_mrrime.json::mrrime-1::001</t>
        </is>
      </c>
      <c r="B2791" s="19" t="inlineStr">
        <is>
          <t>사용</t>
        </is>
      </c>
      <c r="C2791" s="18">
        <f>IF(OR(B2791&lt;&gt;AK2791,M2791&lt;&gt;L2791,O2791&lt;&gt;"",Q2791&lt;&gt;"",V2791&lt;&gt;1,Y2791&lt;&gt;"",AT2791&lt;&gt;""),"수정","원본")</f>
        <v/>
      </c>
      <c r="D2791" s="18" t="n">
        <v>866</v>
      </c>
      <c r="E2791" s="18" t="inlineStr">
        <is>
          <t>마임꽁꽁</t>
        </is>
      </c>
      <c r="F2791" s="18" t="inlineStr">
        <is>
          <t>mrrime</t>
        </is>
      </c>
      <c r="G2791" s="18" t="inlineStr">
        <is>
          <t>mrrime</t>
        </is>
      </c>
      <c r="H2791" s="18" t="inlineStr"/>
      <c r="I2791" s="18" t="n">
        <v>8</v>
      </c>
      <c r="J2791" s="18" t="n"/>
      <c r="K2791" s="18" t="n">
        <v>8</v>
      </c>
      <c r="L2791" s="18" t="inlineStr">
        <is>
          <t>cobbleventure:generation_8</t>
        </is>
      </c>
      <c r="M2791" s="19" t="inlineStr">
        <is>
          <t>cobbleventure:generation_8</t>
        </is>
      </c>
      <c r="N2791" s="18" t="inlineStr"/>
      <c r="O2791" s="19" t="inlineStr"/>
      <c r="P2791" s="18" t="inlineStr">
        <is>
          <t>#cobblemon:is_freezing</t>
        </is>
      </c>
      <c r="Q2791" s="19" t="inlineStr"/>
      <c r="R2791" s="18">
        <f>IF(Q2791="",P2791,Q2791)</f>
        <v/>
      </c>
      <c r="S2791" s="18" t="inlineStr"/>
      <c r="T2791" s="18" t="inlineStr">
        <is>
          <t>uncommon</t>
        </is>
      </c>
      <c r="U2791" s="20" t="n">
        <v>0.032</v>
      </c>
      <c r="V2791" s="21" t="n">
        <v>1</v>
      </c>
      <c r="W2791" s="20">
        <f>IF(OR(U2791="",V2791=""),U2791,U2791*V2791)</f>
        <v/>
      </c>
      <c r="X2791" s="18" t="inlineStr">
        <is>
          <t>42-52</t>
        </is>
      </c>
      <c r="Y2791" s="19" t="inlineStr"/>
      <c r="Z2791" s="18">
        <f>IF(Y2791="",X2791,Y2791)</f>
        <v/>
      </c>
      <c r="AA2791" s="18" t="inlineStr">
        <is>
          <t>grounded</t>
        </is>
      </c>
      <c r="AB2791" s="18" t="inlineStr"/>
      <c r="AC2791" s="18" t="inlineStr"/>
      <c r="AD2791" s="18" t="inlineStr"/>
      <c r="AE2791" s="18" t="inlineStr">
        <is>
          <t>sky 8-15</t>
        </is>
      </c>
      <c r="AF2791" s="18" t="inlineStr"/>
      <c r="AG2791" s="18" t="inlineStr"/>
      <c r="AH2791" s="18" t="inlineStr"/>
      <c r="AI2791" s="18" t="inlineStr"/>
      <c r="AJ2791" s="18" t="inlineStr">
        <is>
          <t>COBBLEVERSE 수정</t>
        </is>
      </c>
      <c r="AK2791" s="18" t="inlineStr">
        <is>
          <t>사용</t>
        </is>
      </c>
      <c r="AL2791" s="18" t="inlineStr">
        <is>
          <t>COBBLEVERSE 1.7.42 / DP v31</t>
        </is>
      </c>
      <c r="AM2791" s="18" t="inlineStr">
        <is>
          <t>data/cobblemon/spawn_pool_world/0866_mrrime.json</t>
        </is>
      </c>
      <c r="AN2791" s="18" t="inlineStr">
        <is>
          <t>mrrime-1</t>
        </is>
      </c>
      <c r="AO2791" s="18" t="inlineStr">
        <is>
          <t>pokemon</t>
        </is>
      </c>
      <c r="AP2791" s="18" t="inlineStr">
        <is>
          <t>natural</t>
        </is>
      </c>
      <c r="AQ2791" s="18" t="inlineStr">
        <is>
          <t>{"biomes":["#cobblemon:is_freezing"],"maxSkyLight":15,"minSkyLight":8}</t>
        </is>
      </c>
      <c r="AR2791" s="18" t="inlineStr"/>
      <c r="AS2791" s="18" t="inlineStr"/>
      <c r="AT2791" s="19" t="inlineStr"/>
    </row>
    <row r="2792" ht="32" customHeight="1">
      <c r="A2792" s="18" t="inlineStr">
        <is>
          <t>0866_mrrime.json::mrrime-2::002</t>
        </is>
      </c>
      <c r="B2792" s="19" t="inlineStr">
        <is>
          <t>사용</t>
        </is>
      </c>
      <c r="C2792" s="18">
        <f>IF(OR(B2792&lt;&gt;AK2792,M2792&lt;&gt;L2792,O2792&lt;&gt;"",Q2792&lt;&gt;"",V2792&lt;&gt;1,Y2792&lt;&gt;"",AT2792&lt;&gt;""),"수정","원본")</f>
        <v/>
      </c>
      <c r="D2792" s="18" t="n">
        <v>866</v>
      </c>
      <c r="E2792" s="18" t="inlineStr">
        <is>
          <t>마임꽁꽁</t>
        </is>
      </c>
      <c r="F2792" s="18" t="inlineStr">
        <is>
          <t>mrrime</t>
        </is>
      </c>
      <c r="G2792" s="18" t="inlineStr">
        <is>
          <t>mrrime</t>
        </is>
      </c>
      <c r="H2792" s="18" t="inlineStr"/>
      <c r="I2792" s="18" t="n">
        <v>8</v>
      </c>
      <c r="J2792" s="18" t="n"/>
      <c r="K2792" s="18" t="n">
        <v>8</v>
      </c>
      <c r="L2792" s="18" t="inlineStr">
        <is>
          <t>cobbleventure:generation_8</t>
        </is>
      </c>
      <c r="M2792" s="19" t="inlineStr">
        <is>
          <t>cobbleventure:generation_8</t>
        </is>
      </c>
      <c r="N2792" s="18" t="inlineStr"/>
      <c r="O2792" s="19" t="inlineStr"/>
      <c r="P2792" s="18" t="inlineStr">
        <is>
          <t>#cobblemon:is_freezing</t>
        </is>
      </c>
      <c r="Q2792" s="19" t="inlineStr"/>
      <c r="R2792" s="18">
        <f>IF(Q2792="",P2792,Q2792)</f>
        <v/>
      </c>
      <c r="S2792" s="18" t="inlineStr"/>
      <c r="T2792" s="18" t="inlineStr">
        <is>
          <t>uncommon</t>
        </is>
      </c>
      <c r="U2792" s="20" t="n">
        <v>0.032</v>
      </c>
      <c r="V2792" s="21" t="n">
        <v>1</v>
      </c>
      <c r="W2792" s="20">
        <f>IF(OR(U2792="",V2792=""),U2792,U2792*V2792)</f>
        <v/>
      </c>
      <c r="X2792" s="18" t="inlineStr">
        <is>
          <t>42-52</t>
        </is>
      </c>
      <c r="Y2792" s="19" t="inlineStr"/>
      <c r="Z2792" s="18">
        <f>IF(Y2792="",X2792,Y2792)</f>
        <v/>
      </c>
      <c r="AA2792" s="18" t="inlineStr">
        <is>
          <t>grounded</t>
        </is>
      </c>
      <c r="AB2792" s="18" t="inlineStr"/>
      <c r="AC2792" s="18" t="inlineStr"/>
      <c r="AD2792" s="18" t="inlineStr"/>
      <c r="AE2792" s="18" t="inlineStr">
        <is>
          <t>sky 8-15</t>
        </is>
      </c>
      <c r="AF2792" s="18" t="inlineStr"/>
      <c r="AG2792" s="18" t="inlineStr">
        <is>
          <t>#minecraft:village</t>
        </is>
      </c>
      <c r="AH2792" s="18" t="inlineStr"/>
      <c r="AI2792" s="18" t="inlineStr"/>
      <c r="AJ2792" s="18" t="inlineStr">
        <is>
          <t>COBBLEVERSE 수정</t>
        </is>
      </c>
      <c r="AK2792" s="18" t="inlineStr">
        <is>
          <t>사용</t>
        </is>
      </c>
      <c r="AL2792" s="18" t="inlineStr">
        <is>
          <t>COBBLEVERSE 1.7.42 / DP v31</t>
        </is>
      </c>
      <c r="AM2792" s="18" t="inlineStr">
        <is>
          <t>data/cobblemon/spawn_pool_world/0866_mrrime.json</t>
        </is>
      </c>
      <c r="AN2792" s="18" t="inlineStr">
        <is>
          <t>mrrime-2</t>
        </is>
      </c>
      <c r="AO2792" s="18" t="inlineStr">
        <is>
          <t>pokemon</t>
        </is>
      </c>
      <c r="AP2792" s="18" t="inlineStr">
        <is>
          <t>natural</t>
        </is>
      </c>
      <c r="AQ2792" s="18" t="inlineStr">
        <is>
          <t>{"biomes":["#cobblemon:is_freezing"],"maxSkyLight":15,"minSkyLight":8,"structures":["#minecraft:village"]}</t>
        </is>
      </c>
      <c r="AR2792" s="18" t="inlineStr"/>
      <c r="AS2792" s="18" t="inlineStr"/>
      <c r="AT2792" s="19" t="inlineStr"/>
    </row>
    <row r="2793" ht="32" customHeight="1">
      <c r="A2793" s="18" t="inlineStr">
        <is>
          <t>0867_runerigus.json::runerigus-1::001</t>
        </is>
      </c>
      <c r="B2793" s="19" t="inlineStr">
        <is>
          <t>사용</t>
        </is>
      </c>
      <c r="C2793" s="18">
        <f>IF(OR(B2793&lt;&gt;AK2793,M2793&lt;&gt;L2793,O2793&lt;&gt;"",Q2793&lt;&gt;"",V2793&lt;&gt;1,Y2793&lt;&gt;"",AT2793&lt;&gt;""),"수정","원본")</f>
        <v/>
      </c>
      <c r="D2793" s="18" t="n">
        <v>867</v>
      </c>
      <c r="E2793" s="18" t="inlineStr">
        <is>
          <t>데스판</t>
        </is>
      </c>
      <c r="F2793" s="18" t="inlineStr">
        <is>
          <t>runerigus</t>
        </is>
      </c>
      <c r="G2793" s="18" t="inlineStr">
        <is>
          <t>runerigus</t>
        </is>
      </c>
      <c r="H2793" s="18" t="inlineStr"/>
      <c r="I2793" s="18" t="n">
        <v>8</v>
      </c>
      <c r="J2793" s="18" t="n"/>
      <c r="K2793" s="18" t="n">
        <v>8</v>
      </c>
      <c r="L2793" s="18" t="inlineStr">
        <is>
          <t>cobbleventure:generation_8</t>
        </is>
      </c>
      <c r="M2793" s="19" t="inlineStr">
        <is>
          <t>cobbleventure:generation_8</t>
        </is>
      </c>
      <c r="N2793" s="18" t="inlineStr"/>
      <c r="O2793" s="19" t="inlineStr"/>
      <c r="P2793" s="18" t="inlineStr">
        <is>
          <t>#cobblemon:is_spooky</t>
        </is>
      </c>
      <c r="Q2793" s="19" t="inlineStr"/>
      <c r="R2793" s="18">
        <f>IF(Q2793="",P2793,Q2793)</f>
        <v/>
      </c>
      <c r="S2793" s="18" t="inlineStr"/>
      <c r="T2793" s="18" t="inlineStr">
        <is>
          <t>uncommon</t>
        </is>
      </c>
      <c r="U2793" s="20" t="n">
        <v>1</v>
      </c>
      <c r="V2793" s="21" t="n">
        <v>1</v>
      </c>
      <c r="W2793" s="20">
        <f>IF(OR(U2793="",V2793=""),U2793,U2793*V2793)</f>
        <v/>
      </c>
      <c r="X2793" s="18" t="inlineStr">
        <is>
          <t>34-53</t>
        </is>
      </c>
      <c r="Y2793" s="19" t="inlineStr"/>
      <c r="Z2793" s="18">
        <f>IF(Y2793="",X2793,Y2793)</f>
        <v/>
      </c>
      <c r="AA2793" s="18" t="inlineStr">
        <is>
          <t>grounded</t>
        </is>
      </c>
      <c r="AB2793" s="18" t="inlineStr">
        <is>
          <t>night</t>
        </is>
      </c>
      <c r="AC2793" s="18" t="inlineStr"/>
      <c r="AD2793" s="18" t="inlineStr">
        <is>
          <t>maxY=60</t>
        </is>
      </c>
      <c r="AE2793" s="18" t="inlineStr"/>
      <c r="AF2793" s="18" t="inlineStr"/>
      <c r="AG2793" s="18" t="inlineStr"/>
      <c r="AH2793" s="18" t="inlineStr"/>
      <c r="AI2793" s="18" t="inlineStr"/>
      <c r="AJ2793" s="18" t="inlineStr">
        <is>
          <t>COBBLEVERSE 추가</t>
        </is>
      </c>
      <c r="AK2793" s="18" t="inlineStr">
        <is>
          <t>사용</t>
        </is>
      </c>
      <c r="AL2793" s="18" t="inlineStr">
        <is>
          <t>COBBLEVERSE 1.7.42 / DP v31</t>
        </is>
      </c>
      <c r="AM2793" s="18" t="inlineStr">
        <is>
          <t>data/cobblemon/spawn_pool_world/0867_runerigus.json</t>
        </is>
      </c>
      <c r="AN2793" s="18" t="inlineStr">
        <is>
          <t>runerigus-1</t>
        </is>
      </c>
      <c r="AO2793" s="18" t="inlineStr">
        <is>
          <t>pokemon</t>
        </is>
      </c>
      <c r="AP2793" s="18" t="inlineStr">
        <is>
          <t>wild</t>
        </is>
      </c>
      <c r="AQ2793" s="18" t="inlineStr">
        <is>
          <t>{"biomes":["#cobblemon:is_spooky"],"maxY":60,"timeRange":"night"}</t>
        </is>
      </c>
      <c r="AR2793" s="18" t="inlineStr"/>
      <c r="AS2793" s="18" t="inlineStr"/>
      <c r="AT2793" s="19" t="inlineStr"/>
    </row>
    <row r="2794" ht="32" customHeight="1">
      <c r="A2794" s="18" t="inlineStr">
        <is>
          <t>0867_runerigus.json::runerigus-2::002</t>
        </is>
      </c>
      <c r="B2794" s="19" t="inlineStr">
        <is>
          <t>사용</t>
        </is>
      </c>
      <c r="C2794" s="18">
        <f>IF(OR(B2794&lt;&gt;AK2794,M2794&lt;&gt;L2794,O2794&lt;&gt;"",Q2794&lt;&gt;"",V2794&lt;&gt;1,Y2794&lt;&gt;"",AT2794&lt;&gt;""),"수정","원본")</f>
        <v/>
      </c>
      <c r="D2794" s="18" t="n">
        <v>867</v>
      </c>
      <c r="E2794" s="18" t="inlineStr">
        <is>
          <t>데스판</t>
        </is>
      </c>
      <c r="F2794" s="18" t="inlineStr">
        <is>
          <t>runerigus</t>
        </is>
      </c>
      <c r="G2794" s="18" t="inlineStr">
        <is>
          <t>runerigus</t>
        </is>
      </c>
      <c r="H2794" s="18" t="inlineStr"/>
      <c r="I2794" s="18" t="n">
        <v>8</v>
      </c>
      <c r="J2794" s="18" t="n"/>
      <c r="K2794" s="18" t="n">
        <v>8</v>
      </c>
      <c r="L2794" s="18" t="inlineStr">
        <is>
          <t>cobbleventure:generation_8</t>
        </is>
      </c>
      <c r="M2794" s="19" t="inlineStr">
        <is>
          <t>cobbleventure:generation_8</t>
        </is>
      </c>
      <c r="N2794" s="18" t="inlineStr">
        <is>
          <t>region_01; region_02</t>
        </is>
      </c>
      <c r="O2794" s="19" t="inlineStr"/>
      <c r="P2794" s="18" t="inlineStr">
        <is>
          <t>#cobblemon:is_overworld</t>
        </is>
      </c>
      <c r="Q2794" s="19" t="inlineStr"/>
      <c r="R2794" s="18">
        <f>IF(Q2794="",P2794,Q2794)</f>
        <v/>
      </c>
      <c r="S2794" s="18" t="inlineStr"/>
      <c r="T2794" s="18" t="inlineStr">
        <is>
          <t>rare</t>
        </is>
      </c>
      <c r="U2794" s="20" t="n">
        <v>0.4</v>
      </c>
      <c r="V2794" s="21" t="n">
        <v>1</v>
      </c>
      <c r="W2794" s="20">
        <f>IF(OR(U2794="",V2794=""),U2794,U2794*V2794)</f>
        <v/>
      </c>
      <c r="X2794" s="18" t="inlineStr">
        <is>
          <t>34-63</t>
        </is>
      </c>
      <c r="Y2794" s="19" t="inlineStr"/>
      <c r="Z2794" s="18">
        <f>IF(Y2794="",X2794,Y2794)</f>
        <v/>
      </c>
      <c r="AA2794" s="18" t="inlineStr">
        <is>
          <t>grounded</t>
        </is>
      </c>
      <c r="AB2794" s="18" t="inlineStr">
        <is>
          <t>night</t>
        </is>
      </c>
      <c r="AC2794" s="18" t="inlineStr"/>
      <c r="AD2794" s="18" t="inlineStr"/>
      <c r="AE2794" s="18" t="inlineStr"/>
      <c r="AF2794" s="18" t="inlineStr"/>
      <c r="AG2794" s="18" t="inlineStr"/>
      <c r="AH2794" s="18" t="inlineStr"/>
      <c r="AI2794" s="18" t="inlineStr"/>
      <c r="AJ2794" s="18" t="inlineStr">
        <is>
          <t>COBBLEVERSE 추가</t>
        </is>
      </c>
      <c r="AK2794" s="18" t="inlineStr">
        <is>
          <t>사용</t>
        </is>
      </c>
      <c r="AL2794" s="18" t="inlineStr">
        <is>
          <t>COBBLEVERSE 1.7.42 / DP v31</t>
        </is>
      </c>
      <c r="AM2794" s="18" t="inlineStr">
        <is>
          <t>data/cobblemon/spawn_pool_world/0867_runerigus.json</t>
        </is>
      </c>
      <c r="AN2794" s="18" t="inlineStr">
        <is>
          <t>runerigus-2</t>
        </is>
      </c>
      <c r="AO2794" s="18" t="inlineStr">
        <is>
          <t>pokemon</t>
        </is>
      </c>
      <c r="AP2794" s="18" t="inlineStr">
        <is>
          <t>ancient_city</t>
        </is>
      </c>
      <c r="AQ2794" s="18" t="inlineStr">
        <is>
          <t>{"biomes":["#cobblemon:is_overworld"],"timeRange":"night"}</t>
        </is>
      </c>
      <c r="AR2794" s="18" t="inlineStr"/>
      <c r="AS2794" s="18" t="inlineStr"/>
      <c r="AT2794" s="19" t="inlineStr"/>
    </row>
    <row r="2795" ht="32" customHeight="1">
      <c r="A2795" s="18" t="inlineStr">
        <is>
          <t>0868_milcery.json::milcery-1::001</t>
        </is>
      </c>
      <c r="B2795" s="19" t="inlineStr">
        <is>
          <t>사용</t>
        </is>
      </c>
      <c r="C2795" s="18">
        <f>IF(OR(B2795&lt;&gt;AK2795,M2795&lt;&gt;L2795,O2795&lt;&gt;"",Q2795&lt;&gt;"",V2795&lt;&gt;1,Y2795&lt;&gt;"",AT2795&lt;&gt;""),"수정","원본")</f>
        <v/>
      </c>
      <c r="D2795" s="18" t="n">
        <v>868</v>
      </c>
      <c r="E2795" s="18" t="inlineStr">
        <is>
          <t>마빌크</t>
        </is>
      </c>
      <c r="F2795" s="18" t="inlineStr">
        <is>
          <t>milcery</t>
        </is>
      </c>
      <c r="G2795" s="18" t="inlineStr">
        <is>
          <t>milcery</t>
        </is>
      </c>
      <c r="H2795" s="18" t="inlineStr"/>
      <c r="I2795" s="18" t="n">
        <v>8</v>
      </c>
      <c r="J2795" s="18" t="n"/>
      <c r="K2795" s="18" t="n">
        <v>8</v>
      </c>
      <c r="L2795" s="18" t="inlineStr">
        <is>
          <t>cobbleventure:generation_8</t>
        </is>
      </c>
      <c r="M2795" s="19" t="inlineStr">
        <is>
          <t>cobbleventure:generation_8</t>
        </is>
      </c>
      <c r="N2795" s="18" t="inlineStr">
        <is>
          <t>region_01; region_02</t>
        </is>
      </c>
      <c r="O2795" s="19" t="inlineStr"/>
      <c r="P2795" s="18" t="inlineStr">
        <is>
          <t>#aether:is_aether; #cobblemon:is_overworld</t>
        </is>
      </c>
      <c r="Q2795" s="19" t="inlineStr"/>
      <c r="R2795" s="18">
        <f>IF(Q2795="",P2795,Q2795)</f>
        <v/>
      </c>
      <c r="S2795" s="18" t="inlineStr"/>
      <c r="T2795" s="18" t="inlineStr">
        <is>
          <t>common</t>
        </is>
      </c>
      <c r="U2795" s="20" t="n">
        <v>9.5</v>
      </c>
      <c r="V2795" s="21" t="n">
        <v>1</v>
      </c>
      <c r="W2795" s="20">
        <f>IF(OR(U2795="",V2795=""),U2795,U2795*V2795)</f>
        <v/>
      </c>
      <c r="X2795" s="18" t="inlineStr">
        <is>
          <t>2-27</t>
        </is>
      </c>
      <c r="Y2795" s="19" t="inlineStr"/>
      <c r="Z2795" s="18">
        <f>IF(Y2795="",X2795,Y2795)</f>
        <v/>
      </c>
      <c r="AA2795" s="18" t="inlineStr">
        <is>
          <t>grounded</t>
        </is>
      </c>
      <c r="AB2795" s="18" t="inlineStr"/>
      <c r="AC2795" s="18" t="inlineStr"/>
      <c r="AD2795" s="18" t="inlineStr"/>
      <c r="AE2795" s="18" t="inlineStr"/>
      <c r="AF2795" s="18" t="inlineStr"/>
      <c r="AG2795" s="18" t="inlineStr"/>
      <c r="AH2795" s="18" t="inlineStr">
        <is>
          <t>주변=minecraft:cake</t>
        </is>
      </c>
      <c r="AI2795" s="18" t="inlineStr"/>
      <c r="AJ2795" s="18" t="inlineStr">
        <is>
          <t>COBBLEVERSE 수정</t>
        </is>
      </c>
      <c r="AK2795" s="18" t="inlineStr">
        <is>
          <t>사용</t>
        </is>
      </c>
      <c r="AL2795" s="18" t="inlineStr">
        <is>
          <t>COBBLEVERSE 1.7.42 / DP v31</t>
        </is>
      </c>
      <c r="AM2795" s="18" t="inlineStr">
        <is>
          <t>data/cobblemon/spawn_pool_world/0868_milcery.json</t>
        </is>
      </c>
      <c r="AN2795" s="18" t="inlineStr">
        <is>
          <t>milcery-1</t>
        </is>
      </c>
      <c r="AO2795" s="18" t="inlineStr">
        <is>
          <t>pokemon</t>
        </is>
      </c>
      <c r="AP2795" s="18" t="inlineStr"/>
      <c r="AQ2795" s="18" t="inlineStr">
        <is>
          <t>{"biomes":["#aether:is_aether","#cobblemon:is_overworld"],"neededNearbyBlocks":["minecraft:cake"]}</t>
        </is>
      </c>
      <c r="AR2795" s="18" t="inlineStr"/>
      <c r="AS2795" s="18" t="inlineStr"/>
      <c r="AT2795" s="19" t="inlineStr"/>
    </row>
    <row r="2796" ht="32" customHeight="1">
      <c r="A2796" s="18" t="inlineStr">
        <is>
          <t>0868_milcery.json::milcery-2::002</t>
        </is>
      </c>
      <c r="B2796" s="19" t="inlineStr">
        <is>
          <t>사용</t>
        </is>
      </c>
      <c r="C2796" s="18">
        <f>IF(OR(B2796&lt;&gt;AK2796,M2796&lt;&gt;L2796,O2796&lt;&gt;"",Q2796&lt;&gt;"",V2796&lt;&gt;1,Y2796&lt;&gt;"",AT2796&lt;&gt;""),"수정","원본")</f>
        <v/>
      </c>
      <c r="D2796" s="18" t="n">
        <v>868</v>
      </c>
      <c r="E2796" s="18" t="inlineStr">
        <is>
          <t>마빌크</t>
        </is>
      </c>
      <c r="F2796" s="18" t="inlineStr">
        <is>
          <t>milcery</t>
        </is>
      </c>
      <c r="G2796" s="18" t="inlineStr">
        <is>
          <t>milcery</t>
        </is>
      </c>
      <c r="H2796" s="18" t="inlineStr"/>
      <c r="I2796" s="18" t="n">
        <v>8</v>
      </c>
      <c r="J2796" s="18" t="n"/>
      <c r="K2796" s="18" t="n">
        <v>8</v>
      </c>
      <c r="L2796" s="18" t="inlineStr">
        <is>
          <t>cobbleventure:generation_8</t>
        </is>
      </c>
      <c r="M2796" s="19" t="inlineStr">
        <is>
          <t>cobbleventure:generation_8</t>
        </is>
      </c>
      <c r="N2796" s="18" t="inlineStr">
        <is>
          <t>region_01; region_02</t>
        </is>
      </c>
      <c r="O2796" s="19" t="inlineStr"/>
      <c r="P2796" s="18" t="inlineStr">
        <is>
          <t>#aether:is_aether; #cobblemon:is_overworld</t>
        </is>
      </c>
      <c r="Q2796" s="19" t="inlineStr"/>
      <c r="R2796" s="18">
        <f>IF(Q2796="",P2796,Q2796)</f>
        <v/>
      </c>
      <c r="S2796" s="18" t="inlineStr"/>
      <c r="T2796" s="18" t="inlineStr">
        <is>
          <t>common</t>
        </is>
      </c>
      <c r="U2796" s="20" t="n">
        <v>1.9</v>
      </c>
      <c r="V2796" s="21" t="n">
        <v>1</v>
      </c>
      <c r="W2796" s="20">
        <f>IF(OR(U2796="",V2796=""),U2796,U2796*V2796)</f>
        <v/>
      </c>
      <c r="X2796" s="18" t="inlineStr">
        <is>
          <t>2-27</t>
        </is>
      </c>
      <c r="Y2796" s="19" t="inlineStr"/>
      <c r="Z2796" s="18">
        <f>IF(Y2796="",X2796,Y2796)</f>
        <v/>
      </c>
      <c r="AA2796" s="18" t="inlineStr">
        <is>
          <t>grounded</t>
        </is>
      </c>
      <c r="AB2796" s="18" t="inlineStr"/>
      <c r="AC2796" s="18" t="inlineStr"/>
      <c r="AD2796" s="18" t="inlineStr"/>
      <c r="AE2796" s="18" t="inlineStr"/>
      <c r="AF2796" s="18" t="inlineStr"/>
      <c r="AG2796" s="18" t="inlineStr"/>
      <c r="AH2796" s="18" t="inlineStr">
        <is>
          <t>주변=#cobblemon:saccharine_trees</t>
        </is>
      </c>
      <c r="AI2796" s="18" t="inlineStr"/>
      <c r="AJ2796" s="18" t="inlineStr">
        <is>
          <t>COBBLEVERSE 수정</t>
        </is>
      </c>
      <c r="AK2796" s="18" t="inlineStr">
        <is>
          <t>사용</t>
        </is>
      </c>
      <c r="AL2796" s="18" t="inlineStr">
        <is>
          <t>COBBLEVERSE 1.7.42 / DP v31</t>
        </is>
      </c>
      <c r="AM2796" s="18" t="inlineStr">
        <is>
          <t>data/cobblemon/spawn_pool_world/0868_milcery.json</t>
        </is>
      </c>
      <c r="AN2796" s="18" t="inlineStr">
        <is>
          <t>milcery-2</t>
        </is>
      </c>
      <c r="AO2796" s="18" t="inlineStr">
        <is>
          <t>pokemon</t>
        </is>
      </c>
      <c r="AP2796" s="18" t="inlineStr"/>
      <c r="AQ2796" s="18" t="inlineStr">
        <is>
          <t>{"biomes":["#aether:is_aether","#cobblemon:is_overworld"],"neededNearbyBlocks":["#cobblemon:saccharine_trees"]}</t>
        </is>
      </c>
      <c r="AR2796" s="18" t="inlineStr">
        <is>
          <t>{"neededNearbyBlocks":["minecraft:cake","minecraft:sugar_cane"]}</t>
        </is>
      </c>
      <c r="AS2796" s="18" t="inlineStr"/>
      <c r="AT2796" s="19" t="inlineStr"/>
    </row>
    <row r="2797" ht="32" customHeight="1">
      <c r="A2797" s="18" t="inlineStr">
        <is>
          <t>0868_milcery.json::milcery-3::003</t>
        </is>
      </c>
      <c r="B2797" s="19" t="inlineStr">
        <is>
          <t>사용</t>
        </is>
      </c>
      <c r="C2797" s="18">
        <f>IF(OR(B2797&lt;&gt;AK2797,M2797&lt;&gt;L2797,O2797&lt;&gt;"",Q2797&lt;&gt;"",V2797&lt;&gt;1,Y2797&lt;&gt;"",AT2797&lt;&gt;""),"수정","원본")</f>
        <v/>
      </c>
      <c r="D2797" s="18" t="n">
        <v>868</v>
      </c>
      <c r="E2797" s="18" t="inlineStr">
        <is>
          <t>마빌크</t>
        </is>
      </c>
      <c r="F2797" s="18" t="inlineStr">
        <is>
          <t>milcery</t>
        </is>
      </c>
      <c r="G2797" s="18" t="inlineStr">
        <is>
          <t>milcery</t>
        </is>
      </c>
      <c r="H2797" s="18" t="inlineStr"/>
      <c r="I2797" s="18" t="n">
        <v>8</v>
      </c>
      <c r="J2797" s="18" t="n"/>
      <c r="K2797" s="18" t="n">
        <v>8</v>
      </c>
      <c r="L2797" s="18" t="inlineStr">
        <is>
          <t>cobbleventure:generation_8</t>
        </is>
      </c>
      <c r="M2797" s="19" t="inlineStr">
        <is>
          <t>cobbleventure:generation_8</t>
        </is>
      </c>
      <c r="N2797" s="18" t="inlineStr">
        <is>
          <t>region_01; region_02</t>
        </is>
      </c>
      <c r="O2797" s="19" t="inlineStr"/>
      <c r="P2797" s="18" t="inlineStr">
        <is>
          <t>#aether:is_aether; #cobblemon:is_overworld</t>
        </is>
      </c>
      <c r="Q2797" s="19" t="inlineStr"/>
      <c r="R2797" s="18">
        <f>IF(Q2797="",P2797,Q2797)</f>
        <v/>
      </c>
      <c r="S2797" s="18" t="inlineStr"/>
      <c r="T2797" s="18" t="inlineStr">
        <is>
          <t>uncommon</t>
        </is>
      </c>
      <c r="U2797" s="20" t="n">
        <v>1.84</v>
      </c>
      <c r="V2797" s="21" t="n">
        <v>1</v>
      </c>
      <c r="W2797" s="20">
        <f>IF(OR(U2797="",V2797=""),U2797,U2797*V2797)</f>
        <v/>
      </c>
      <c r="X2797" s="18" t="inlineStr">
        <is>
          <t>2-27</t>
        </is>
      </c>
      <c r="Y2797" s="19" t="inlineStr"/>
      <c r="Z2797" s="18">
        <f>IF(Y2797="",X2797,Y2797)</f>
        <v/>
      </c>
      <c r="AA2797" s="18" t="inlineStr">
        <is>
          <t>grounded</t>
        </is>
      </c>
      <c r="AB2797" s="18" t="inlineStr"/>
      <c r="AC2797" s="18" t="inlineStr"/>
      <c r="AD2797" s="18" t="inlineStr"/>
      <c r="AE2797" s="18" t="inlineStr"/>
      <c r="AF2797" s="18" t="inlineStr"/>
      <c r="AG2797" s="18" t="inlineStr"/>
      <c r="AH2797" s="18" t="inlineStr">
        <is>
          <t>주변=minecraft:sugar_cane</t>
        </is>
      </c>
      <c r="AI2797" s="18" t="inlineStr"/>
      <c r="AJ2797" s="18" t="inlineStr">
        <is>
          <t>COBBLEVERSE 수정</t>
        </is>
      </c>
      <c r="AK2797" s="18" t="inlineStr">
        <is>
          <t>사용</t>
        </is>
      </c>
      <c r="AL2797" s="18" t="inlineStr">
        <is>
          <t>COBBLEVERSE 1.7.42 / DP v31</t>
        </is>
      </c>
      <c r="AM2797" s="18" t="inlineStr">
        <is>
          <t>data/cobblemon/spawn_pool_world/0868_milcery.json</t>
        </is>
      </c>
      <c r="AN2797" s="18" t="inlineStr">
        <is>
          <t>milcery-3</t>
        </is>
      </c>
      <c r="AO2797" s="18" t="inlineStr">
        <is>
          <t>pokemon</t>
        </is>
      </c>
      <c r="AP2797" s="18" t="inlineStr"/>
      <c r="AQ2797" s="18" t="inlineStr">
        <is>
          <t>{"biomes":["#aether:is_aether","#cobblemon:is_overworld"],"neededNearbyBlocks":["minecraft:sugar_cane"]}</t>
        </is>
      </c>
      <c r="AR2797" s="18" t="inlineStr">
        <is>
          <t>{"neededNearbyBlocks":["minecraft:cake","#cobblemon:saccharine_trees"]}</t>
        </is>
      </c>
      <c r="AS2797" s="18" t="inlineStr"/>
      <c r="AT2797" s="19" t="inlineStr"/>
    </row>
    <row r="2798" ht="32" customHeight="1">
      <c r="A2798" s="18" t="inlineStr">
        <is>
          <t>0868_milcery.json::milcery-4::004</t>
        </is>
      </c>
      <c r="B2798" s="19" t="inlineStr">
        <is>
          <t>사용</t>
        </is>
      </c>
      <c r="C2798" s="18">
        <f>IF(OR(B2798&lt;&gt;AK2798,M2798&lt;&gt;L2798,O2798&lt;&gt;"",Q2798&lt;&gt;"",V2798&lt;&gt;1,Y2798&lt;&gt;"",AT2798&lt;&gt;""),"수정","원본")</f>
        <v/>
      </c>
      <c r="D2798" s="18" t="n">
        <v>868</v>
      </c>
      <c r="E2798" s="18" t="inlineStr">
        <is>
          <t>마빌크</t>
        </is>
      </c>
      <c r="F2798" s="18" t="inlineStr">
        <is>
          <t>milcery</t>
        </is>
      </c>
      <c r="G2798" s="18" t="inlineStr">
        <is>
          <t>milcery</t>
        </is>
      </c>
      <c r="H2798" s="18" t="inlineStr"/>
      <c r="I2798" s="18" t="n">
        <v>8</v>
      </c>
      <c r="J2798" s="18" t="n"/>
      <c r="K2798" s="18" t="n">
        <v>8</v>
      </c>
      <c r="L2798" s="18" t="inlineStr">
        <is>
          <t>cobbleventure:generation_8</t>
        </is>
      </c>
      <c r="M2798" s="19" t="inlineStr">
        <is>
          <t>cobbleventure:generation_8</t>
        </is>
      </c>
      <c r="N2798" s="18" t="inlineStr">
        <is>
          <t>region_01; region_02</t>
        </is>
      </c>
      <c r="O2798" s="19" t="inlineStr"/>
      <c r="P2798" s="18" t="inlineStr">
        <is>
          <t>#cobblemon:is_overworld</t>
        </is>
      </c>
      <c r="Q2798" s="19" t="inlineStr"/>
      <c r="R2798" s="18">
        <f>IF(Q2798="",P2798,Q2798)</f>
        <v/>
      </c>
      <c r="S2798" s="18" t="inlineStr"/>
      <c r="T2798" s="18" t="inlineStr">
        <is>
          <t>common</t>
        </is>
      </c>
      <c r="U2798" s="20" t="n">
        <v>1.9</v>
      </c>
      <c r="V2798" s="21" t="n">
        <v>1</v>
      </c>
      <c r="W2798" s="20">
        <f>IF(OR(U2798="",V2798=""),U2798,U2798*V2798)</f>
        <v/>
      </c>
      <c r="X2798" s="18" t="inlineStr">
        <is>
          <t>2-27</t>
        </is>
      </c>
      <c r="Y2798" s="19" t="inlineStr"/>
      <c r="Z2798" s="18">
        <f>IF(Y2798="",X2798,Y2798)</f>
        <v/>
      </c>
      <c r="AA2798" s="18" t="inlineStr">
        <is>
          <t>grounded</t>
        </is>
      </c>
      <c r="AB2798" s="18" t="inlineStr"/>
      <c r="AC2798" s="18" t="inlineStr"/>
      <c r="AD2798" s="18" t="inlineStr"/>
      <c r="AE2798" s="18" t="inlineStr"/>
      <c r="AF2798" s="18" t="inlineStr"/>
      <c r="AG2798" s="18" t="inlineStr"/>
      <c r="AH2798" s="18" t="inlineStr">
        <is>
          <t>주변=minecraft:light_grey_carpet; minecraft:magenta_carpet; minecraft:white_carpet</t>
        </is>
      </c>
      <c r="AI2798" s="18" t="inlineStr"/>
      <c r="AJ2798" s="18" t="inlineStr">
        <is>
          <t>COBBLEVERSE 수정</t>
        </is>
      </c>
      <c r="AK2798" s="18" t="inlineStr">
        <is>
          <t>사용</t>
        </is>
      </c>
      <c r="AL2798" s="18" t="inlineStr">
        <is>
          <t>COBBLEVERSE 1.7.42 / DP v31</t>
        </is>
      </c>
      <c r="AM2798" s="18" t="inlineStr">
        <is>
          <t>data/cobblemon/spawn_pool_world/0868_milcery.json</t>
        </is>
      </c>
      <c r="AN2798" s="18" t="inlineStr">
        <is>
          <t>milcery-4</t>
        </is>
      </c>
      <c r="AO2798" s="18" t="inlineStr">
        <is>
          <t>pokemon</t>
        </is>
      </c>
      <c r="AP2798" s="18" t="inlineStr">
        <is>
          <t>mansion</t>
        </is>
      </c>
      <c r="AQ2798" s="18" t="inlineStr">
        <is>
          <t>{"biomes":["#cobblemon:is_overworld"],"neededNearbyBlocks":["minecraft:light_grey_carpet","minecraft:magenta_carpet","minecraft:white_carpet"]}</t>
        </is>
      </c>
      <c r="AR2798" s="18" t="inlineStr"/>
      <c r="AS2798" s="18" t="inlineStr"/>
      <c r="AT2798" s="19" t="inlineStr"/>
    </row>
    <row r="2799" ht="32" customHeight="1">
      <c r="A2799" s="18" t="inlineStr">
        <is>
          <t>0869_alcremie.json::alcremie-1::001</t>
        </is>
      </c>
      <c r="B2799" s="19" t="inlineStr">
        <is>
          <t>사용</t>
        </is>
      </c>
      <c r="C2799" s="18">
        <f>IF(OR(B2799&lt;&gt;AK2799,M2799&lt;&gt;L2799,O2799&lt;&gt;"",Q2799&lt;&gt;"",V2799&lt;&gt;1,Y2799&lt;&gt;"",AT2799&lt;&gt;""),"수정","원본")</f>
        <v/>
      </c>
      <c r="D2799" s="18" t="n">
        <v>869</v>
      </c>
      <c r="E2799" s="18" t="inlineStr">
        <is>
          <t>마휘핑</t>
        </is>
      </c>
      <c r="F2799" s="18" t="inlineStr">
        <is>
          <t>alcremie</t>
        </is>
      </c>
      <c r="G2799" s="18" t="inlineStr">
        <is>
          <t>alcremie</t>
        </is>
      </c>
      <c r="H2799" s="18" t="inlineStr"/>
      <c r="I2799" s="18" t="n">
        <v>8</v>
      </c>
      <c r="J2799" s="18" t="n"/>
      <c r="K2799" s="18" t="n">
        <v>8</v>
      </c>
      <c r="L2799" s="18" t="inlineStr">
        <is>
          <t>cobbleventure:generation_8</t>
        </is>
      </c>
      <c r="M2799" s="19" t="inlineStr">
        <is>
          <t>cobbleventure:generation_8</t>
        </is>
      </c>
      <c r="N2799" s="18" t="inlineStr">
        <is>
          <t>region_01; region_02</t>
        </is>
      </c>
      <c r="O2799" s="19" t="inlineStr"/>
      <c r="P2799" s="18" t="inlineStr">
        <is>
          <t>#aether:is_aether; #cobblemon:is_overworld</t>
        </is>
      </c>
      <c r="Q2799" s="19" t="inlineStr"/>
      <c r="R2799" s="18">
        <f>IF(Q2799="",P2799,Q2799)</f>
        <v/>
      </c>
      <c r="S2799" s="18" t="inlineStr"/>
      <c r="T2799" s="18" t="inlineStr">
        <is>
          <t>common</t>
        </is>
      </c>
      <c r="U2799" s="20" t="n">
        <v>0.5</v>
      </c>
      <c r="V2799" s="21" t="n">
        <v>1</v>
      </c>
      <c r="W2799" s="20">
        <f>IF(OR(U2799="",V2799=""),U2799,U2799*V2799)</f>
        <v/>
      </c>
      <c r="X2799" s="18" t="inlineStr">
        <is>
          <t>22-50</t>
        </is>
      </c>
      <c r="Y2799" s="19" t="inlineStr"/>
      <c r="Z2799" s="18">
        <f>IF(Y2799="",X2799,Y2799)</f>
        <v/>
      </c>
      <c r="AA2799" s="18" t="inlineStr">
        <is>
          <t>grounded</t>
        </is>
      </c>
      <c r="AB2799" s="18" t="inlineStr"/>
      <c r="AC2799" s="18" t="inlineStr"/>
      <c r="AD2799" s="18" t="inlineStr"/>
      <c r="AE2799" s="18" t="inlineStr"/>
      <c r="AF2799" s="18" t="inlineStr"/>
      <c r="AG2799" s="18" t="inlineStr"/>
      <c r="AH2799" s="18" t="inlineStr">
        <is>
          <t>주변=minecraft:cake</t>
        </is>
      </c>
      <c r="AI2799" s="18" t="inlineStr"/>
      <c r="AJ2799" s="18" t="inlineStr">
        <is>
          <t>COBBLEVERSE 수정</t>
        </is>
      </c>
      <c r="AK2799" s="18" t="inlineStr">
        <is>
          <t>사용</t>
        </is>
      </c>
      <c r="AL2799" s="18" t="inlineStr">
        <is>
          <t>COBBLEVERSE 1.7.42 / DP v31</t>
        </is>
      </c>
      <c r="AM2799" s="18" t="inlineStr">
        <is>
          <t>data/cobblemon/spawn_pool_world/0869_alcremie.json</t>
        </is>
      </c>
      <c r="AN2799" s="18" t="inlineStr">
        <is>
          <t>alcremie-1</t>
        </is>
      </c>
      <c r="AO2799" s="18" t="inlineStr">
        <is>
          <t>pokemon</t>
        </is>
      </c>
      <c r="AP2799" s="18" t="inlineStr"/>
      <c r="AQ2799" s="18" t="inlineStr">
        <is>
          <t>{"biomes":["#aether:is_aether","#cobblemon:is_overworld"],"neededNearbyBlocks":["minecraft:cake"]}</t>
        </is>
      </c>
      <c r="AR2799" s="18" t="inlineStr"/>
      <c r="AS2799" s="18" t="inlineStr"/>
      <c r="AT2799" s="19" t="inlineStr"/>
    </row>
    <row r="2800" ht="32" customHeight="1">
      <c r="A2800" s="18" t="inlineStr">
        <is>
          <t>0869_alcremie.json::alcremie-2::002</t>
        </is>
      </c>
      <c r="B2800" s="19" t="inlineStr">
        <is>
          <t>사용</t>
        </is>
      </c>
      <c r="C2800" s="18">
        <f>IF(OR(B2800&lt;&gt;AK2800,M2800&lt;&gt;L2800,O2800&lt;&gt;"",Q2800&lt;&gt;"",V2800&lt;&gt;1,Y2800&lt;&gt;"",AT2800&lt;&gt;""),"수정","원본")</f>
        <v/>
      </c>
      <c r="D2800" s="18" t="n">
        <v>869</v>
      </c>
      <c r="E2800" s="18" t="inlineStr">
        <is>
          <t>마휘핑</t>
        </is>
      </c>
      <c r="F2800" s="18" t="inlineStr">
        <is>
          <t>alcremie</t>
        </is>
      </c>
      <c r="G2800" s="18" t="inlineStr">
        <is>
          <t>alcremie</t>
        </is>
      </c>
      <c r="H2800" s="18" t="inlineStr"/>
      <c r="I2800" s="18" t="n">
        <v>8</v>
      </c>
      <c r="J2800" s="18" t="n"/>
      <c r="K2800" s="18" t="n">
        <v>8</v>
      </c>
      <c r="L2800" s="18" t="inlineStr">
        <is>
          <t>cobbleventure:generation_8</t>
        </is>
      </c>
      <c r="M2800" s="19" t="inlineStr">
        <is>
          <t>cobbleventure:generation_8</t>
        </is>
      </c>
      <c r="N2800" s="18" t="inlineStr">
        <is>
          <t>region_01; region_02</t>
        </is>
      </c>
      <c r="O2800" s="19" t="inlineStr"/>
      <c r="P2800" s="18" t="inlineStr">
        <is>
          <t>#aether:is_aether; #cobblemon:is_overworld</t>
        </is>
      </c>
      <c r="Q2800" s="19" t="inlineStr"/>
      <c r="R2800" s="18">
        <f>IF(Q2800="",P2800,Q2800)</f>
        <v/>
      </c>
      <c r="S2800" s="18" t="inlineStr"/>
      <c r="T2800" s="18" t="inlineStr">
        <is>
          <t>common</t>
        </is>
      </c>
      <c r="U2800" s="20" t="n">
        <v>0.1</v>
      </c>
      <c r="V2800" s="21" t="n">
        <v>1</v>
      </c>
      <c r="W2800" s="20">
        <f>IF(OR(U2800="",V2800=""),U2800,U2800*V2800)</f>
        <v/>
      </c>
      <c r="X2800" s="18" t="inlineStr">
        <is>
          <t>22-50</t>
        </is>
      </c>
      <c r="Y2800" s="19" t="inlineStr"/>
      <c r="Z2800" s="18">
        <f>IF(Y2800="",X2800,Y2800)</f>
        <v/>
      </c>
      <c r="AA2800" s="18" t="inlineStr">
        <is>
          <t>grounded</t>
        </is>
      </c>
      <c r="AB2800" s="18" t="inlineStr"/>
      <c r="AC2800" s="18" t="inlineStr"/>
      <c r="AD2800" s="18" t="inlineStr"/>
      <c r="AE2800" s="18" t="inlineStr"/>
      <c r="AF2800" s="18" t="inlineStr"/>
      <c r="AG2800" s="18" t="inlineStr"/>
      <c r="AH2800" s="18" t="inlineStr">
        <is>
          <t>주변=#cobblemon:saccharine_trees</t>
        </is>
      </c>
      <c r="AI2800" s="18" t="inlineStr"/>
      <c r="AJ2800" s="18" t="inlineStr">
        <is>
          <t>COBBLEVERSE 수정</t>
        </is>
      </c>
      <c r="AK2800" s="18" t="inlineStr">
        <is>
          <t>사용</t>
        </is>
      </c>
      <c r="AL2800" s="18" t="inlineStr">
        <is>
          <t>COBBLEVERSE 1.7.42 / DP v31</t>
        </is>
      </c>
      <c r="AM2800" s="18" t="inlineStr">
        <is>
          <t>data/cobblemon/spawn_pool_world/0869_alcremie.json</t>
        </is>
      </c>
      <c r="AN2800" s="18" t="inlineStr">
        <is>
          <t>alcremie-2</t>
        </is>
      </c>
      <c r="AO2800" s="18" t="inlineStr">
        <is>
          <t>pokemon</t>
        </is>
      </c>
      <c r="AP2800" s="18" t="inlineStr"/>
      <c r="AQ2800" s="18" t="inlineStr">
        <is>
          <t>{"biomes":["#aether:is_aether","#cobblemon:is_overworld"],"neededNearbyBlocks":["#cobblemon:saccharine_trees"]}</t>
        </is>
      </c>
      <c r="AR2800" s="18" t="inlineStr">
        <is>
          <t>{"neededNearbyBlocks":["minecraft:cake","minecraft:sugar_cane"]}</t>
        </is>
      </c>
      <c r="AS2800" s="18" t="inlineStr"/>
      <c r="AT2800" s="19" t="inlineStr"/>
    </row>
    <row r="2801" ht="32" customHeight="1">
      <c r="A2801" s="18" t="inlineStr">
        <is>
          <t>0869_alcremie.json::alcremie-3::003</t>
        </is>
      </c>
      <c r="B2801" s="19" t="inlineStr">
        <is>
          <t>사용</t>
        </is>
      </c>
      <c r="C2801" s="18">
        <f>IF(OR(B2801&lt;&gt;AK2801,M2801&lt;&gt;L2801,O2801&lt;&gt;"",Q2801&lt;&gt;"",V2801&lt;&gt;1,Y2801&lt;&gt;"",AT2801&lt;&gt;""),"수정","원본")</f>
        <v/>
      </c>
      <c r="D2801" s="18" t="n">
        <v>869</v>
      </c>
      <c r="E2801" s="18" t="inlineStr">
        <is>
          <t>마휘핑</t>
        </is>
      </c>
      <c r="F2801" s="18" t="inlineStr">
        <is>
          <t>alcremie</t>
        </is>
      </c>
      <c r="G2801" s="18" t="inlineStr">
        <is>
          <t>alcremie</t>
        </is>
      </c>
      <c r="H2801" s="18" t="inlineStr"/>
      <c r="I2801" s="18" t="n">
        <v>8</v>
      </c>
      <c r="J2801" s="18" t="n"/>
      <c r="K2801" s="18" t="n">
        <v>8</v>
      </c>
      <c r="L2801" s="18" t="inlineStr">
        <is>
          <t>cobbleventure:generation_8</t>
        </is>
      </c>
      <c r="M2801" s="19" t="inlineStr">
        <is>
          <t>cobbleventure:generation_8</t>
        </is>
      </c>
      <c r="N2801" s="18" t="inlineStr">
        <is>
          <t>region_01; region_02</t>
        </is>
      </c>
      <c r="O2801" s="19" t="inlineStr"/>
      <c r="P2801" s="18" t="inlineStr">
        <is>
          <t>#aether:is_aether; #cobblemon:is_overworld</t>
        </is>
      </c>
      <c r="Q2801" s="19" t="inlineStr"/>
      <c r="R2801" s="18">
        <f>IF(Q2801="",P2801,Q2801)</f>
        <v/>
      </c>
      <c r="S2801" s="18" t="inlineStr"/>
      <c r="T2801" s="18" t="inlineStr">
        <is>
          <t>uncommon</t>
        </is>
      </c>
      <c r="U2801" s="20" t="n">
        <v>0.16</v>
      </c>
      <c r="V2801" s="21" t="n">
        <v>1</v>
      </c>
      <c r="W2801" s="20">
        <f>IF(OR(U2801="",V2801=""),U2801,U2801*V2801)</f>
        <v/>
      </c>
      <c r="X2801" s="18" t="inlineStr">
        <is>
          <t>22-50</t>
        </is>
      </c>
      <c r="Y2801" s="19" t="inlineStr"/>
      <c r="Z2801" s="18">
        <f>IF(Y2801="",X2801,Y2801)</f>
        <v/>
      </c>
      <c r="AA2801" s="18" t="inlineStr">
        <is>
          <t>grounded</t>
        </is>
      </c>
      <c r="AB2801" s="18" t="inlineStr"/>
      <c r="AC2801" s="18" t="inlineStr"/>
      <c r="AD2801" s="18" t="inlineStr"/>
      <c r="AE2801" s="18" t="inlineStr"/>
      <c r="AF2801" s="18" t="inlineStr"/>
      <c r="AG2801" s="18" t="inlineStr"/>
      <c r="AH2801" s="18" t="inlineStr">
        <is>
          <t>주변=minecraft:sugar_cane</t>
        </is>
      </c>
      <c r="AI2801" s="18" t="inlineStr"/>
      <c r="AJ2801" s="18" t="inlineStr">
        <is>
          <t>COBBLEVERSE 수정</t>
        </is>
      </c>
      <c r="AK2801" s="18" t="inlineStr">
        <is>
          <t>사용</t>
        </is>
      </c>
      <c r="AL2801" s="18" t="inlineStr">
        <is>
          <t>COBBLEVERSE 1.7.42 / DP v31</t>
        </is>
      </c>
      <c r="AM2801" s="18" t="inlineStr">
        <is>
          <t>data/cobblemon/spawn_pool_world/0869_alcremie.json</t>
        </is>
      </c>
      <c r="AN2801" s="18" t="inlineStr">
        <is>
          <t>alcremie-3</t>
        </is>
      </c>
      <c r="AO2801" s="18" t="inlineStr">
        <is>
          <t>pokemon</t>
        </is>
      </c>
      <c r="AP2801" s="18" t="inlineStr"/>
      <c r="AQ2801" s="18" t="inlineStr">
        <is>
          <t>{"biomes":["#aether:is_aether","#cobblemon:is_overworld"],"neededNearbyBlocks":["minecraft:sugar_cane"]}</t>
        </is>
      </c>
      <c r="AR2801" s="18" t="inlineStr">
        <is>
          <t>{"neededNearbyBlocks":["minecraft:cake","#cobblemon:saccharine_trees"]}</t>
        </is>
      </c>
      <c r="AS2801" s="18" t="inlineStr"/>
      <c r="AT2801" s="19" t="inlineStr"/>
    </row>
    <row r="2802" ht="32" customHeight="1">
      <c r="A2802" s="18" t="inlineStr">
        <is>
          <t>0869_alcremie.json::alcremie-4::004</t>
        </is>
      </c>
      <c r="B2802" s="19" t="inlineStr">
        <is>
          <t>사용</t>
        </is>
      </c>
      <c r="C2802" s="18">
        <f>IF(OR(B2802&lt;&gt;AK2802,M2802&lt;&gt;L2802,O2802&lt;&gt;"",Q2802&lt;&gt;"",V2802&lt;&gt;1,Y2802&lt;&gt;"",AT2802&lt;&gt;""),"수정","원본")</f>
        <v/>
      </c>
      <c r="D2802" s="18" t="n">
        <v>869</v>
      </c>
      <c r="E2802" s="18" t="inlineStr">
        <is>
          <t>마휘핑</t>
        </is>
      </c>
      <c r="F2802" s="18" t="inlineStr">
        <is>
          <t>alcremie</t>
        </is>
      </c>
      <c r="G2802" s="18" t="inlineStr">
        <is>
          <t>alcremie</t>
        </is>
      </c>
      <c r="H2802" s="18" t="inlineStr"/>
      <c r="I2802" s="18" t="n">
        <v>8</v>
      </c>
      <c r="J2802" s="18" t="n"/>
      <c r="K2802" s="18" t="n">
        <v>8</v>
      </c>
      <c r="L2802" s="18" t="inlineStr">
        <is>
          <t>cobbleventure:generation_8</t>
        </is>
      </c>
      <c r="M2802" s="19" t="inlineStr">
        <is>
          <t>cobbleventure:generation_8</t>
        </is>
      </c>
      <c r="N2802" s="18" t="inlineStr">
        <is>
          <t>region_01; region_02</t>
        </is>
      </c>
      <c r="O2802" s="19" t="inlineStr"/>
      <c r="P2802" s="18" t="inlineStr">
        <is>
          <t>#cobblemon:is_overworld</t>
        </is>
      </c>
      <c r="Q2802" s="19" t="inlineStr"/>
      <c r="R2802" s="18">
        <f>IF(Q2802="",P2802,Q2802)</f>
        <v/>
      </c>
      <c r="S2802" s="18" t="inlineStr"/>
      <c r="T2802" s="18" t="inlineStr">
        <is>
          <t>common</t>
        </is>
      </c>
      <c r="U2802" s="20" t="n">
        <v>0.1</v>
      </c>
      <c r="V2802" s="21" t="n">
        <v>1</v>
      </c>
      <c r="W2802" s="20">
        <f>IF(OR(U2802="",V2802=""),U2802,U2802*V2802)</f>
        <v/>
      </c>
      <c r="X2802" s="18" t="inlineStr">
        <is>
          <t>22-50</t>
        </is>
      </c>
      <c r="Y2802" s="19" t="inlineStr"/>
      <c r="Z2802" s="18">
        <f>IF(Y2802="",X2802,Y2802)</f>
        <v/>
      </c>
      <c r="AA2802" s="18" t="inlineStr">
        <is>
          <t>grounded</t>
        </is>
      </c>
      <c r="AB2802" s="18" t="inlineStr"/>
      <c r="AC2802" s="18" t="inlineStr"/>
      <c r="AD2802" s="18" t="inlineStr"/>
      <c r="AE2802" s="18" t="inlineStr"/>
      <c r="AF2802" s="18" t="inlineStr"/>
      <c r="AG2802" s="18" t="inlineStr"/>
      <c r="AH2802" s="18" t="inlineStr">
        <is>
          <t>주변=minecraft:light_grey_carpet; minecraft:magenta_carpet; minecraft:white_carpet</t>
        </is>
      </c>
      <c r="AI2802" s="18" t="inlineStr"/>
      <c r="AJ2802" s="18" t="inlineStr">
        <is>
          <t>COBBLEVERSE 수정</t>
        </is>
      </c>
      <c r="AK2802" s="18" t="inlineStr">
        <is>
          <t>사용</t>
        </is>
      </c>
      <c r="AL2802" s="18" t="inlineStr">
        <is>
          <t>COBBLEVERSE 1.7.42 / DP v31</t>
        </is>
      </c>
      <c r="AM2802" s="18" t="inlineStr">
        <is>
          <t>data/cobblemon/spawn_pool_world/0869_alcremie.json</t>
        </is>
      </c>
      <c r="AN2802" s="18" t="inlineStr">
        <is>
          <t>alcremie-4</t>
        </is>
      </c>
      <c r="AO2802" s="18" t="inlineStr">
        <is>
          <t>pokemon</t>
        </is>
      </c>
      <c r="AP2802" s="18" t="inlineStr">
        <is>
          <t>mansion</t>
        </is>
      </c>
      <c r="AQ2802" s="18" t="inlineStr">
        <is>
          <t>{"biomes":["#cobblemon:is_overworld"],"neededNearbyBlocks":["minecraft:light_grey_carpet","minecraft:magenta_carpet","minecraft:white_carpet"]}</t>
        </is>
      </c>
      <c r="AR2802" s="18" t="inlineStr"/>
      <c r="AS2802" s="18" t="inlineStr"/>
      <c r="AT2802" s="19" t="inlineStr"/>
    </row>
    <row r="2803" ht="32" customHeight="1">
      <c r="A2803" s="18" t="inlineStr">
        <is>
          <t>0870_falinks.json::falinks-1::001</t>
        </is>
      </c>
      <c r="B2803" s="19" t="inlineStr">
        <is>
          <t>사용</t>
        </is>
      </c>
      <c r="C2803" s="18">
        <f>IF(OR(B2803&lt;&gt;AK2803,M2803&lt;&gt;L2803,O2803&lt;&gt;"",Q2803&lt;&gt;"",V2803&lt;&gt;1,Y2803&lt;&gt;"",AT2803&lt;&gt;""),"수정","원본")</f>
        <v/>
      </c>
      <c r="D2803" s="18" t="n">
        <v>870</v>
      </c>
      <c r="E2803" s="18" t="inlineStr">
        <is>
          <t>대여르</t>
        </is>
      </c>
      <c r="F2803" s="18" t="inlineStr">
        <is>
          <t>falinks</t>
        </is>
      </c>
      <c r="G2803" s="18" t="inlineStr">
        <is>
          <t>falinks</t>
        </is>
      </c>
      <c r="H2803" s="18" t="inlineStr"/>
      <c r="I2803" s="18" t="n">
        <v>8</v>
      </c>
      <c r="J2803" s="18" t="n"/>
      <c r="K2803" s="18" t="n">
        <v>8</v>
      </c>
      <c r="L2803" s="18" t="inlineStr">
        <is>
          <t>cobbleventure:generation_8</t>
        </is>
      </c>
      <c r="M2803" s="19" t="inlineStr">
        <is>
          <t>cobbleventure:generation_8</t>
        </is>
      </c>
      <c r="N2803" s="18" t="inlineStr"/>
      <c r="O2803" s="19" t="inlineStr"/>
      <c r="P2803" s="18" t="inlineStr">
        <is>
          <t>#cobblemon:is_badlands</t>
        </is>
      </c>
      <c r="Q2803" s="19" t="inlineStr"/>
      <c r="R2803" s="18">
        <f>IF(Q2803="",P2803,Q2803)</f>
        <v/>
      </c>
      <c r="S2803" s="18" t="inlineStr"/>
      <c r="T2803" s="18" t="inlineStr">
        <is>
          <t>uncommon</t>
        </is>
      </c>
      <c r="U2803" s="20" t="n">
        <v>2</v>
      </c>
      <c r="V2803" s="21" t="n">
        <v>1</v>
      </c>
      <c r="W2803" s="20">
        <f>IF(OR(U2803="",V2803=""),U2803,U2803*V2803)</f>
        <v/>
      </c>
      <c r="X2803" s="18" t="inlineStr">
        <is>
          <t>22-47</t>
        </is>
      </c>
      <c r="Y2803" s="19" t="inlineStr"/>
      <c r="Z2803" s="18">
        <f>IF(Y2803="",X2803,Y2803)</f>
        <v/>
      </c>
      <c r="AA2803" s="18" t="inlineStr">
        <is>
          <t>grounded</t>
        </is>
      </c>
      <c r="AB2803" s="18" t="inlineStr"/>
      <c r="AC2803" s="18" t="inlineStr"/>
      <c r="AD2803" s="18" t="inlineStr"/>
      <c r="AE2803" s="18" t="inlineStr">
        <is>
          <t>sky 8-15</t>
        </is>
      </c>
      <c r="AF2803" s="18" t="inlineStr"/>
      <c r="AG2803" s="18" t="inlineStr"/>
      <c r="AH2803" s="18" t="inlineStr"/>
      <c r="AI2803" s="18" t="inlineStr"/>
      <c r="AJ2803" s="18" t="inlineStr">
        <is>
          <t>Cobblemon 동일</t>
        </is>
      </c>
      <c r="AK2803" s="18" t="inlineStr">
        <is>
          <t>사용</t>
        </is>
      </c>
      <c r="AL2803" s="18" t="inlineStr">
        <is>
          <t>COBBLEVERSE 1.7.42 / DP v31</t>
        </is>
      </c>
      <c r="AM2803" s="18" t="inlineStr">
        <is>
          <t>data/cobblemon/spawn_pool_world/0870_falinks.json</t>
        </is>
      </c>
      <c r="AN2803" s="18" t="inlineStr">
        <is>
          <t>falinks-1</t>
        </is>
      </c>
      <c r="AO2803" s="18" t="inlineStr">
        <is>
          <t>pokemon</t>
        </is>
      </c>
      <c r="AP2803" s="18" t="inlineStr">
        <is>
          <t>natural</t>
        </is>
      </c>
      <c r="AQ2803" s="18" t="inlineStr">
        <is>
          <t>{"biomes":["#cobblemon:is_badlands"],"maxSkyLight":15,"minSkyLight":8}</t>
        </is>
      </c>
      <c r="AR2803" s="18" t="inlineStr"/>
      <c r="AS2803" s="18" t="inlineStr">
        <is>
          <t>{"weightMultiplier":{"condition":{"timeRange":"night"},"multiplier":0.25}}</t>
        </is>
      </c>
      <c r="AT2803" s="19" t="inlineStr"/>
    </row>
    <row r="2804" ht="32" customHeight="1">
      <c r="A2804" s="18" t="inlineStr">
        <is>
          <t>0870_falinks.json::falinks-2::002</t>
        </is>
      </c>
      <c r="B2804" s="19" t="inlineStr">
        <is>
          <t>사용</t>
        </is>
      </c>
      <c r="C2804" s="18">
        <f>IF(OR(B2804&lt;&gt;AK2804,M2804&lt;&gt;L2804,O2804&lt;&gt;"",Q2804&lt;&gt;"",V2804&lt;&gt;1,Y2804&lt;&gt;"",AT2804&lt;&gt;""),"수정","원본")</f>
        <v/>
      </c>
      <c r="D2804" s="18" t="n">
        <v>870</v>
      </c>
      <c r="E2804" s="18" t="inlineStr">
        <is>
          <t>대여르</t>
        </is>
      </c>
      <c r="F2804" s="18" t="inlineStr">
        <is>
          <t>falinks</t>
        </is>
      </c>
      <c r="G2804" s="18" t="inlineStr">
        <is>
          <t>falinks</t>
        </is>
      </c>
      <c r="H2804" s="18" t="inlineStr"/>
      <c r="I2804" s="18" t="n">
        <v>8</v>
      </c>
      <c r="J2804" s="18" t="n"/>
      <c r="K2804" s="18" t="n">
        <v>8</v>
      </c>
      <c r="L2804" s="18" t="inlineStr">
        <is>
          <t>cobbleventure:generation_8</t>
        </is>
      </c>
      <c r="M2804" s="19" t="inlineStr">
        <is>
          <t>cobbleventure:generation_8</t>
        </is>
      </c>
      <c r="N2804" s="18" t="inlineStr"/>
      <c r="O2804" s="19" t="inlineStr"/>
      <c r="P2804" s="18" t="inlineStr">
        <is>
          <t>#minecraft:is_nether</t>
        </is>
      </c>
      <c r="Q2804" s="19" t="inlineStr"/>
      <c r="R2804" s="18">
        <f>IF(Q2804="",P2804,Q2804)</f>
        <v/>
      </c>
      <c r="S2804" s="18" t="inlineStr"/>
      <c r="T2804" s="18" t="inlineStr">
        <is>
          <t>uncommon</t>
        </is>
      </c>
      <c r="U2804" s="20" t="n">
        <v>100</v>
      </c>
      <c r="V2804" s="21" t="n">
        <v>1</v>
      </c>
      <c r="W2804" s="20">
        <f>IF(OR(U2804="",V2804=""),U2804,U2804*V2804)</f>
        <v/>
      </c>
      <c r="X2804" s="18" t="inlineStr">
        <is>
          <t>22-47</t>
        </is>
      </c>
      <c r="Y2804" s="19" t="inlineStr"/>
      <c r="Z2804" s="18">
        <f>IF(Y2804="",X2804,Y2804)</f>
        <v/>
      </c>
      <c r="AA2804" s="18" t="inlineStr">
        <is>
          <t>grounded</t>
        </is>
      </c>
      <c r="AB2804" s="18" t="inlineStr"/>
      <c r="AC2804" s="18" t="inlineStr"/>
      <c r="AD2804" s="18" t="inlineStr"/>
      <c r="AE2804" s="18" t="inlineStr"/>
      <c r="AF2804" s="18" t="inlineStr"/>
      <c r="AG2804" s="18" t="inlineStr"/>
      <c r="AH2804" s="18" t="inlineStr"/>
      <c r="AI2804" s="18" t="inlineStr"/>
      <c r="AJ2804" s="18" t="inlineStr">
        <is>
          <t>Cobblemon 동일</t>
        </is>
      </c>
      <c r="AK2804" s="18" t="inlineStr">
        <is>
          <t>사용</t>
        </is>
      </c>
      <c r="AL2804" s="18" t="inlineStr">
        <is>
          <t>COBBLEVERSE 1.7.42 / DP v31</t>
        </is>
      </c>
      <c r="AM2804" s="18" t="inlineStr">
        <is>
          <t>data/cobblemon/spawn_pool_world/0870_falinks.json</t>
        </is>
      </c>
      <c r="AN2804" s="18" t="inlineStr">
        <is>
          <t>falinks-2</t>
        </is>
      </c>
      <c r="AO2804" s="18" t="inlineStr">
        <is>
          <t>pokemon</t>
        </is>
      </c>
      <c r="AP2804" s="18" t="inlineStr">
        <is>
          <t>natural; nether_structures</t>
        </is>
      </c>
      <c r="AQ2804" s="18" t="inlineStr">
        <is>
          <t>{"biomes":["#minecraft:is_nether"]}</t>
        </is>
      </c>
      <c r="AR2804" s="18" t="inlineStr"/>
      <c r="AS2804" s="18" t="inlineStr"/>
      <c r="AT2804" s="19" t="inlineStr"/>
    </row>
    <row r="2805" ht="32" customHeight="1">
      <c r="A2805" s="18" t="inlineStr">
        <is>
          <t>0871_pincurchin.json::pincurchin-1::001</t>
        </is>
      </c>
      <c r="B2805" s="19" t="inlineStr">
        <is>
          <t>사용</t>
        </is>
      </c>
      <c r="C2805" s="18">
        <f>IF(OR(B2805&lt;&gt;AK2805,M2805&lt;&gt;L2805,O2805&lt;&gt;"",Q2805&lt;&gt;"",V2805&lt;&gt;1,Y2805&lt;&gt;"",AT2805&lt;&gt;""),"수정","원본")</f>
        <v/>
      </c>
      <c r="D2805" s="18" t="n">
        <v>871</v>
      </c>
      <c r="E2805" s="18" t="inlineStr">
        <is>
          <t>찌르성게</t>
        </is>
      </c>
      <c r="F2805" s="18" t="inlineStr">
        <is>
          <t>pincurchin</t>
        </is>
      </c>
      <c r="G2805" s="18" t="inlineStr">
        <is>
          <t>pincurchin</t>
        </is>
      </c>
      <c r="H2805" s="18" t="inlineStr"/>
      <c r="I2805" s="18" t="n">
        <v>8</v>
      </c>
      <c r="J2805" s="18" t="n"/>
      <c r="K2805" s="18" t="n">
        <v>8</v>
      </c>
      <c r="L2805" s="18" t="inlineStr">
        <is>
          <t>cobbleventure:generation_8</t>
        </is>
      </c>
      <c r="M2805" s="19" t="inlineStr">
        <is>
          <t>cobbleventure:generation_8</t>
        </is>
      </c>
      <c r="N2805" s="18" t="inlineStr"/>
      <c r="O2805" s="19" t="inlineStr"/>
      <c r="P2805" s="18" t="inlineStr">
        <is>
          <t>#cobblemon:is_coast; #cobblemon:is_ocean</t>
        </is>
      </c>
      <c r="Q2805" s="19" t="inlineStr"/>
      <c r="R2805" s="18">
        <f>IF(Q2805="",P2805,Q2805)</f>
        <v/>
      </c>
      <c r="S2805" s="18" t="inlineStr"/>
      <c r="T2805" s="18" t="inlineStr">
        <is>
          <t>uncommon</t>
        </is>
      </c>
      <c r="U2805" s="20" t="n">
        <v>10</v>
      </c>
      <c r="V2805" s="21" t="n">
        <v>1</v>
      </c>
      <c r="W2805" s="20">
        <f>IF(OR(U2805="",V2805=""),U2805,U2805*V2805)</f>
        <v/>
      </c>
      <c r="X2805" s="18" t="inlineStr">
        <is>
          <t>19-44</t>
        </is>
      </c>
      <c r="Y2805" s="19" t="inlineStr"/>
      <c r="Z2805" s="18">
        <f>IF(Y2805="",X2805,Y2805)</f>
        <v/>
      </c>
      <c r="AA2805" s="18" t="inlineStr">
        <is>
          <t>seafloor</t>
        </is>
      </c>
      <c r="AB2805" s="18" t="inlineStr"/>
      <c r="AC2805" s="18" t="inlineStr"/>
      <c r="AD2805" s="18" t="inlineStr"/>
      <c r="AE2805" s="18" t="inlineStr"/>
      <c r="AF2805" s="18" t="inlineStr">
        <is>
          <t>True</t>
        </is>
      </c>
      <c r="AG2805" s="18" t="inlineStr"/>
      <c r="AH2805" s="18" t="inlineStr">
        <is>
          <t>주변=minecraft:kelp_plant; minecraft:seagrass</t>
        </is>
      </c>
      <c r="AI2805" s="18" t="inlineStr"/>
      <c r="AJ2805" s="18" t="inlineStr">
        <is>
          <t>Cobblemon 동일</t>
        </is>
      </c>
      <c r="AK2805" s="18" t="inlineStr">
        <is>
          <t>사용</t>
        </is>
      </c>
      <c r="AL2805" s="18" t="inlineStr">
        <is>
          <t>COBBLEVERSE 1.7.42 / DP v31</t>
        </is>
      </c>
      <c r="AM2805" s="18" t="inlineStr">
        <is>
          <t>data/cobblemon/spawn_pool_world/0871_pincurchin.json</t>
        </is>
      </c>
      <c r="AN2805" s="18" t="inlineStr">
        <is>
          <t>pincurchin-1</t>
        </is>
      </c>
      <c r="AO2805" s="18" t="inlineStr">
        <is>
          <t>pokemon</t>
        </is>
      </c>
      <c r="AP2805" s="18" t="inlineStr">
        <is>
          <t>water</t>
        </is>
      </c>
      <c r="AQ2805" s="18" t="inlineStr">
        <is>
          <t>{"biomes":["#cobblemon:is_coast","#cobblemon:is_ocean"],"canSeeSky":true,"neededNearbyBlocks":["minecraft:kelp_plant","minecraft:seagrass"]}</t>
        </is>
      </c>
      <c r="AR2805" s="18" t="inlineStr"/>
      <c r="AS2805" s="18" t="inlineStr"/>
      <c r="AT2805" s="19" t="inlineStr"/>
    </row>
    <row r="2806" ht="32" customHeight="1">
      <c r="A2806" s="18" t="inlineStr">
        <is>
          <t>0871_pincurchin.json::pincurchin-2::002</t>
        </is>
      </c>
      <c r="B2806" s="19" t="inlineStr">
        <is>
          <t>사용</t>
        </is>
      </c>
      <c r="C2806" s="18">
        <f>IF(OR(B2806&lt;&gt;AK2806,M2806&lt;&gt;L2806,O2806&lt;&gt;"",Q2806&lt;&gt;"",V2806&lt;&gt;1,Y2806&lt;&gt;"",AT2806&lt;&gt;""),"수정","원본")</f>
        <v/>
      </c>
      <c r="D2806" s="18" t="n">
        <v>871</v>
      </c>
      <c r="E2806" s="18" t="inlineStr">
        <is>
          <t>찌르성게</t>
        </is>
      </c>
      <c r="F2806" s="18" t="inlineStr">
        <is>
          <t>pincurchin</t>
        </is>
      </c>
      <c r="G2806" s="18" t="inlineStr">
        <is>
          <t>pincurchin</t>
        </is>
      </c>
      <c r="H2806" s="18" t="inlineStr"/>
      <c r="I2806" s="18" t="n">
        <v>8</v>
      </c>
      <c r="J2806" s="18" t="n"/>
      <c r="K2806" s="18" t="n">
        <v>8</v>
      </c>
      <c r="L2806" s="18" t="inlineStr">
        <is>
          <t>cobbleventure:generation_8</t>
        </is>
      </c>
      <c r="M2806" s="19" t="inlineStr">
        <is>
          <t>cobbleventure:generation_8</t>
        </is>
      </c>
      <c r="N2806" s="18" t="inlineStr"/>
      <c r="O2806" s="19" t="inlineStr"/>
      <c r="P2806" s="18" t="inlineStr">
        <is>
          <t>#cobblemon:is_coast; #cobblemon:is_ocean</t>
        </is>
      </c>
      <c r="Q2806" s="19" t="inlineStr"/>
      <c r="R2806" s="18">
        <f>IF(Q2806="",P2806,Q2806)</f>
        <v/>
      </c>
      <c r="S2806" s="18" t="inlineStr"/>
      <c r="T2806" s="18" t="inlineStr">
        <is>
          <t>uncommon</t>
        </is>
      </c>
      <c r="U2806" s="20" t="n">
        <v>6</v>
      </c>
      <c r="V2806" s="21" t="n">
        <v>1</v>
      </c>
      <c r="W2806" s="20">
        <f>IF(OR(U2806="",V2806=""),U2806,U2806*V2806)</f>
        <v/>
      </c>
      <c r="X2806" s="18" t="inlineStr">
        <is>
          <t>19-44</t>
        </is>
      </c>
      <c r="Y2806" s="19" t="inlineStr"/>
      <c r="Z2806" s="18">
        <f>IF(Y2806="",X2806,Y2806)</f>
        <v/>
      </c>
      <c r="AA2806" s="18" t="inlineStr">
        <is>
          <t>fishing</t>
        </is>
      </c>
      <c r="AB2806" s="18" t="inlineStr"/>
      <c r="AC2806" s="18" t="inlineStr"/>
      <c r="AD2806" s="18" t="inlineStr"/>
      <c r="AE2806" s="18" t="inlineStr"/>
      <c r="AF2806" s="18" t="inlineStr">
        <is>
          <t>True</t>
        </is>
      </c>
      <c r="AG2806" s="18" t="inlineStr"/>
      <c r="AH2806" s="18" t="inlineStr"/>
      <c r="AI2806" s="18" t="inlineStr"/>
      <c r="AJ2806" s="18" t="inlineStr">
        <is>
          <t>Cobblemon 동일</t>
        </is>
      </c>
      <c r="AK2806" s="18" t="inlineStr">
        <is>
          <t>사용</t>
        </is>
      </c>
      <c r="AL2806" s="18" t="inlineStr">
        <is>
          <t>COBBLEVERSE 1.7.42 / DP v31</t>
        </is>
      </c>
      <c r="AM2806" s="18" t="inlineStr">
        <is>
          <t>data/cobblemon/spawn_pool_world/0871_pincurchin.json</t>
        </is>
      </c>
      <c r="AN2806" s="18" t="inlineStr">
        <is>
          <t>pincurchin-2</t>
        </is>
      </c>
      <c r="AO2806" s="18" t="inlineStr">
        <is>
          <t>pokemon</t>
        </is>
      </c>
      <c r="AP2806" s="18" t="inlineStr"/>
      <c r="AQ2806" s="18" t="inlineStr">
        <is>
          <t>{"biomes":["#cobblemon:is_coast","#cobblemon:is_ocean"],"canSeeSky":true}</t>
        </is>
      </c>
      <c r="AR2806" s="18" t="inlineStr">
        <is>
          <t>{"minLureLevel":1}</t>
        </is>
      </c>
      <c r="AS2806" s="18" t="inlineStr"/>
      <c r="AT2806" s="19" t="inlineStr"/>
    </row>
    <row r="2807" ht="32" customHeight="1">
      <c r="A2807" s="18" t="inlineStr">
        <is>
          <t>0871_pincurchin.json::pincurchin-3::003</t>
        </is>
      </c>
      <c r="B2807" s="19" t="inlineStr">
        <is>
          <t>사용</t>
        </is>
      </c>
      <c r="C2807" s="18">
        <f>IF(OR(B2807&lt;&gt;AK2807,M2807&lt;&gt;L2807,O2807&lt;&gt;"",Q2807&lt;&gt;"",V2807&lt;&gt;1,Y2807&lt;&gt;"",AT2807&lt;&gt;""),"수정","원본")</f>
        <v/>
      </c>
      <c r="D2807" s="18" t="n">
        <v>871</v>
      </c>
      <c r="E2807" s="18" t="inlineStr">
        <is>
          <t>찌르성게</t>
        </is>
      </c>
      <c r="F2807" s="18" t="inlineStr">
        <is>
          <t>pincurchin</t>
        </is>
      </c>
      <c r="G2807" s="18" t="inlineStr">
        <is>
          <t>pincurchin</t>
        </is>
      </c>
      <c r="H2807" s="18" t="inlineStr"/>
      <c r="I2807" s="18" t="n">
        <v>8</v>
      </c>
      <c r="J2807" s="18" t="n"/>
      <c r="K2807" s="18" t="n">
        <v>8</v>
      </c>
      <c r="L2807" s="18" t="inlineStr">
        <is>
          <t>cobbleventure:generation_8</t>
        </is>
      </c>
      <c r="M2807" s="19" t="inlineStr">
        <is>
          <t>cobbleventure:generation_8</t>
        </is>
      </c>
      <c r="N2807" s="18" t="inlineStr"/>
      <c r="O2807" s="19" t="inlineStr"/>
      <c r="P2807" s="18" t="inlineStr">
        <is>
          <t>#cobblemon:is_coast; #cobblemon:is_ocean</t>
        </is>
      </c>
      <c r="Q2807" s="19" t="inlineStr"/>
      <c r="R2807" s="18">
        <f>IF(Q2807="",P2807,Q2807)</f>
        <v/>
      </c>
      <c r="S2807" s="18" t="inlineStr"/>
      <c r="T2807" s="18" t="inlineStr">
        <is>
          <t>common</t>
        </is>
      </c>
      <c r="U2807" s="20" t="n">
        <v>2</v>
      </c>
      <c r="V2807" s="21" t="n">
        <v>1</v>
      </c>
      <c r="W2807" s="20">
        <f>IF(OR(U2807="",V2807=""),U2807,U2807*V2807)</f>
        <v/>
      </c>
      <c r="X2807" s="18" t="inlineStr">
        <is>
          <t>19-44</t>
        </is>
      </c>
      <c r="Y2807" s="19" t="inlineStr"/>
      <c r="Z2807" s="18">
        <f>IF(Y2807="",X2807,Y2807)</f>
        <v/>
      </c>
      <c r="AA2807" s="18" t="inlineStr">
        <is>
          <t>fishing</t>
        </is>
      </c>
      <c r="AB2807" s="18" t="inlineStr"/>
      <c r="AC2807" s="18" t="inlineStr"/>
      <c r="AD2807" s="18" t="inlineStr"/>
      <c r="AE2807" s="18" t="inlineStr"/>
      <c r="AF2807" s="18" t="inlineStr">
        <is>
          <t>True</t>
        </is>
      </c>
      <c r="AG2807" s="18" t="inlineStr"/>
      <c r="AH2807" s="18" t="inlineStr"/>
      <c r="AI2807" s="18" t="inlineStr">
        <is>
          <t>{"fishing":{"minLureLevel":1}}</t>
        </is>
      </c>
      <c r="AJ2807" s="18" t="inlineStr">
        <is>
          <t>Cobblemon 동일</t>
        </is>
      </c>
      <c r="AK2807" s="18" t="inlineStr">
        <is>
          <t>사용</t>
        </is>
      </c>
      <c r="AL2807" s="18" t="inlineStr">
        <is>
          <t>COBBLEVERSE 1.7.42 / DP v31</t>
        </is>
      </c>
      <c r="AM2807" s="18" t="inlineStr">
        <is>
          <t>data/cobblemon/spawn_pool_world/0871_pincurchin.json</t>
        </is>
      </c>
      <c r="AN2807" s="18" t="inlineStr">
        <is>
          <t>pincurchin-3</t>
        </is>
      </c>
      <c r="AO2807" s="18" t="inlineStr">
        <is>
          <t>pokemon</t>
        </is>
      </c>
      <c r="AP2807" s="18" t="inlineStr"/>
      <c r="AQ2807" s="18" t="inlineStr">
        <is>
          <t>{"biomes":["#cobblemon:is_coast","#cobblemon:is_ocean"],"canSeeSky":true,"minLureLevel":1}</t>
        </is>
      </c>
      <c r="AR2807" s="18" t="inlineStr"/>
      <c r="AS2807" s="18" t="inlineStr">
        <is>
          <t>{"weightMultiplier":{"condition":{"minLureLevel":3},"multiplier":3.0}}</t>
        </is>
      </c>
      <c r="AT2807" s="19" t="inlineStr"/>
    </row>
    <row r="2808" ht="32" customHeight="1">
      <c r="A2808" s="18" t="inlineStr">
        <is>
          <t>0871_pincurchin.json::pincurchin-4::004</t>
        </is>
      </c>
      <c r="B2808" s="19" t="inlineStr">
        <is>
          <t>사용</t>
        </is>
      </c>
      <c r="C2808" s="18">
        <f>IF(OR(B2808&lt;&gt;AK2808,M2808&lt;&gt;L2808,O2808&lt;&gt;"",Q2808&lt;&gt;"",V2808&lt;&gt;1,Y2808&lt;&gt;"",AT2808&lt;&gt;""),"수정","원본")</f>
        <v/>
      </c>
      <c r="D2808" s="18" t="n">
        <v>871</v>
      </c>
      <c r="E2808" s="18" t="inlineStr">
        <is>
          <t>찌르성게</t>
        </is>
      </c>
      <c r="F2808" s="18" t="inlineStr">
        <is>
          <t>pincurchin</t>
        </is>
      </c>
      <c r="G2808" s="18" t="inlineStr">
        <is>
          <t>pincurchin</t>
        </is>
      </c>
      <c r="H2808" s="18" t="inlineStr"/>
      <c r="I2808" s="18" t="n">
        <v>8</v>
      </c>
      <c r="J2808" s="18" t="n"/>
      <c r="K2808" s="18" t="n">
        <v>8</v>
      </c>
      <c r="L2808" s="18" t="inlineStr">
        <is>
          <t>cobbleventure:generation_8</t>
        </is>
      </c>
      <c r="M2808" s="19" t="inlineStr">
        <is>
          <t>cobbleventure:generation_8</t>
        </is>
      </c>
      <c r="N2808" s="18" t="inlineStr"/>
      <c r="O2808" s="19" t="inlineStr"/>
      <c r="P2808" s="18" t="inlineStr">
        <is>
          <t>#cobblemon:is_coast; #cobblemon:is_ocean</t>
        </is>
      </c>
      <c r="Q2808" s="19" t="inlineStr"/>
      <c r="R2808" s="18">
        <f>IF(Q2808="",P2808,Q2808)</f>
        <v/>
      </c>
      <c r="S2808" s="18" t="inlineStr"/>
      <c r="T2808" s="18" t="inlineStr">
        <is>
          <t>uncommon</t>
        </is>
      </c>
      <c r="U2808" s="20" t="n">
        <v>6</v>
      </c>
      <c r="V2808" s="21" t="n">
        <v>1</v>
      </c>
      <c r="W2808" s="20">
        <f>IF(OR(U2808="",V2808=""),U2808,U2808*V2808)</f>
        <v/>
      </c>
      <c r="X2808" s="18" t="inlineStr">
        <is>
          <t>19-44</t>
        </is>
      </c>
      <c r="Y2808" s="19" t="inlineStr"/>
      <c r="Z2808" s="18">
        <f>IF(Y2808="",X2808,Y2808)</f>
        <v/>
      </c>
      <c r="AA2808" s="18" t="inlineStr">
        <is>
          <t>fishing</t>
        </is>
      </c>
      <c r="AB2808" s="18" t="inlineStr"/>
      <c r="AC2808" s="18" t="inlineStr"/>
      <c r="AD2808" s="18" t="inlineStr"/>
      <c r="AE2808" s="18" t="inlineStr">
        <is>
          <t>sky 8-15</t>
        </is>
      </c>
      <c r="AF2808" s="18" t="inlineStr">
        <is>
          <t>False</t>
        </is>
      </c>
      <c r="AG2808" s="18" t="inlineStr"/>
      <c r="AH2808" s="18" t="inlineStr"/>
      <c r="AI2808" s="18" t="inlineStr"/>
      <c r="AJ2808" s="18" t="inlineStr">
        <is>
          <t>Cobblemon 동일</t>
        </is>
      </c>
      <c r="AK2808" s="18" t="inlineStr">
        <is>
          <t>사용</t>
        </is>
      </c>
      <c r="AL2808" s="18" t="inlineStr">
        <is>
          <t>COBBLEVERSE 1.7.42 / DP v31</t>
        </is>
      </c>
      <c r="AM2808" s="18" t="inlineStr">
        <is>
          <t>data/cobblemon/spawn_pool_world/0871_pincurchin.json</t>
        </is>
      </c>
      <c r="AN2808" s="18" t="inlineStr">
        <is>
          <t>pincurchin-4</t>
        </is>
      </c>
      <c r="AO2808" s="18" t="inlineStr">
        <is>
          <t>pokemon</t>
        </is>
      </c>
      <c r="AP2808" s="18" t="inlineStr"/>
      <c r="AQ2808" s="18" t="inlineStr">
        <is>
          <t>{"biomes":["#cobblemon:is_coast","#cobblemon:is_ocean"],"canSeeSky":false,"maxSkyLight":15,"minSkyLight":8}</t>
        </is>
      </c>
      <c r="AR2808" s="18" t="inlineStr">
        <is>
          <t>{"minLureLevel":1}</t>
        </is>
      </c>
      <c r="AS2808" s="18" t="inlineStr"/>
      <c r="AT2808" s="19" t="inlineStr"/>
    </row>
    <row r="2809" ht="32" customHeight="1">
      <c r="A2809" s="18" t="inlineStr">
        <is>
          <t>0871_pincurchin.json::pincurchin-5::005</t>
        </is>
      </c>
      <c r="B2809" s="19" t="inlineStr">
        <is>
          <t>사용</t>
        </is>
      </c>
      <c r="C2809" s="18">
        <f>IF(OR(B2809&lt;&gt;AK2809,M2809&lt;&gt;L2809,O2809&lt;&gt;"",Q2809&lt;&gt;"",V2809&lt;&gt;1,Y2809&lt;&gt;"",AT2809&lt;&gt;""),"수정","원본")</f>
        <v/>
      </c>
      <c r="D2809" s="18" t="n">
        <v>871</v>
      </c>
      <c r="E2809" s="18" t="inlineStr">
        <is>
          <t>찌르성게</t>
        </is>
      </c>
      <c r="F2809" s="18" t="inlineStr">
        <is>
          <t>pincurchin</t>
        </is>
      </c>
      <c r="G2809" s="18" t="inlineStr">
        <is>
          <t>pincurchin</t>
        </is>
      </c>
      <c r="H2809" s="18" t="inlineStr"/>
      <c r="I2809" s="18" t="n">
        <v>8</v>
      </c>
      <c r="J2809" s="18" t="n"/>
      <c r="K2809" s="18" t="n">
        <v>8</v>
      </c>
      <c r="L2809" s="18" t="inlineStr">
        <is>
          <t>cobbleventure:generation_8</t>
        </is>
      </c>
      <c r="M2809" s="19" t="inlineStr">
        <is>
          <t>cobbleventure:generation_8</t>
        </is>
      </c>
      <c r="N2809" s="18" t="inlineStr"/>
      <c r="O2809" s="19" t="inlineStr"/>
      <c r="P2809" s="18" t="inlineStr">
        <is>
          <t>#cobblemon:is_coast; #cobblemon:is_ocean</t>
        </is>
      </c>
      <c r="Q2809" s="19" t="inlineStr"/>
      <c r="R2809" s="18">
        <f>IF(Q2809="",P2809,Q2809)</f>
        <v/>
      </c>
      <c r="S2809" s="18" t="inlineStr"/>
      <c r="T2809" s="18" t="inlineStr">
        <is>
          <t>common</t>
        </is>
      </c>
      <c r="U2809" s="20" t="n">
        <v>2</v>
      </c>
      <c r="V2809" s="21" t="n">
        <v>1</v>
      </c>
      <c r="W2809" s="20">
        <f>IF(OR(U2809="",V2809=""),U2809,U2809*V2809)</f>
        <v/>
      </c>
      <c r="X2809" s="18" t="inlineStr">
        <is>
          <t>19-44</t>
        </is>
      </c>
      <c r="Y2809" s="19" t="inlineStr"/>
      <c r="Z2809" s="18">
        <f>IF(Y2809="",X2809,Y2809)</f>
        <v/>
      </c>
      <c r="AA2809" s="18" t="inlineStr">
        <is>
          <t>fishing</t>
        </is>
      </c>
      <c r="AB2809" s="18" t="inlineStr"/>
      <c r="AC2809" s="18" t="inlineStr"/>
      <c r="AD2809" s="18" t="inlineStr"/>
      <c r="AE2809" s="18" t="inlineStr">
        <is>
          <t>sky 8-15</t>
        </is>
      </c>
      <c r="AF2809" s="18" t="inlineStr">
        <is>
          <t>False</t>
        </is>
      </c>
      <c r="AG2809" s="18" t="inlineStr"/>
      <c r="AH2809" s="18" t="inlineStr"/>
      <c r="AI2809" s="18" t="inlineStr">
        <is>
          <t>{"fishing":{"minLureLevel":1}}</t>
        </is>
      </c>
      <c r="AJ2809" s="18" t="inlineStr">
        <is>
          <t>Cobblemon 동일</t>
        </is>
      </c>
      <c r="AK2809" s="18" t="inlineStr">
        <is>
          <t>사용</t>
        </is>
      </c>
      <c r="AL2809" s="18" t="inlineStr">
        <is>
          <t>COBBLEVERSE 1.7.42 / DP v31</t>
        </is>
      </c>
      <c r="AM2809" s="18" t="inlineStr">
        <is>
          <t>data/cobblemon/spawn_pool_world/0871_pincurchin.json</t>
        </is>
      </c>
      <c r="AN2809" s="18" t="inlineStr">
        <is>
          <t>pincurchin-5</t>
        </is>
      </c>
      <c r="AO2809" s="18" t="inlineStr">
        <is>
          <t>pokemon</t>
        </is>
      </c>
      <c r="AP2809" s="18" t="inlineStr"/>
      <c r="AQ2809" s="18" t="inlineStr">
        <is>
          <t>{"biomes":["#cobblemon:is_coast","#cobblemon:is_ocean"],"canSeeSky":false,"maxSkyLight":15,"minLureLevel":1,"minSkyLight":8}</t>
        </is>
      </c>
      <c r="AR2809" s="18" t="inlineStr"/>
      <c r="AS2809" s="18" t="inlineStr">
        <is>
          <t>{"weightMultiplier":{"condition":{"minLureLevel":3},"multiplier":3.0}}</t>
        </is>
      </c>
      <c r="AT2809" s="19" t="inlineStr"/>
    </row>
    <row r="2810" ht="32" customHeight="1">
      <c r="A2810" s="18" t="inlineStr">
        <is>
          <t>0871_pincurchin.json::pincurchin-6::006</t>
        </is>
      </c>
      <c r="B2810" s="19" t="inlineStr">
        <is>
          <t>사용</t>
        </is>
      </c>
      <c r="C2810" s="18">
        <f>IF(OR(B2810&lt;&gt;AK2810,M2810&lt;&gt;L2810,O2810&lt;&gt;"",Q2810&lt;&gt;"",V2810&lt;&gt;1,Y2810&lt;&gt;"",AT2810&lt;&gt;""),"수정","원본")</f>
        <v/>
      </c>
      <c r="D2810" s="18" t="n">
        <v>871</v>
      </c>
      <c r="E2810" s="18" t="inlineStr">
        <is>
          <t>찌르성게</t>
        </is>
      </c>
      <c r="F2810" s="18" t="inlineStr">
        <is>
          <t>pincurchin</t>
        </is>
      </c>
      <c r="G2810" s="18" t="inlineStr">
        <is>
          <t>pincurchin</t>
        </is>
      </c>
      <c r="H2810" s="18" t="inlineStr"/>
      <c r="I2810" s="18" t="n">
        <v>8</v>
      </c>
      <c r="J2810" s="18" t="n"/>
      <c r="K2810" s="18" t="n">
        <v>8</v>
      </c>
      <c r="L2810" s="18" t="inlineStr">
        <is>
          <t>cobbleventure:generation_8</t>
        </is>
      </c>
      <c r="M2810" s="19" t="inlineStr">
        <is>
          <t>cobbleventure:generation_8</t>
        </is>
      </c>
      <c r="N2810" s="18" t="inlineStr">
        <is>
          <t>region_01; region_02</t>
        </is>
      </c>
      <c r="O2810" s="19" t="inlineStr"/>
      <c r="P2810" s="18" t="inlineStr">
        <is>
          <t>#cobblemon:is_overworld</t>
        </is>
      </c>
      <c r="Q2810" s="19" t="inlineStr"/>
      <c r="R2810" s="18">
        <f>IF(Q2810="",P2810,Q2810)</f>
        <v/>
      </c>
      <c r="S2810" s="18" t="inlineStr"/>
      <c r="T2810" s="18" t="inlineStr">
        <is>
          <t>uncommon</t>
        </is>
      </c>
      <c r="U2810" s="20" t="n">
        <v>10</v>
      </c>
      <c r="V2810" s="21" t="n">
        <v>1</v>
      </c>
      <c r="W2810" s="20">
        <f>IF(OR(U2810="",V2810=""),U2810,U2810*V2810)</f>
        <v/>
      </c>
      <c r="X2810" s="18" t="inlineStr">
        <is>
          <t>19-44</t>
        </is>
      </c>
      <c r="Y2810" s="19" t="inlineStr"/>
      <c r="Z2810" s="18">
        <f>IF(Y2810="",X2810,Y2810)</f>
        <v/>
      </c>
      <c r="AA2810" s="18" t="inlineStr">
        <is>
          <t>seafloor</t>
        </is>
      </c>
      <c r="AB2810" s="18" t="inlineStr"/>
      <c r="AC2810" s="18" t="inlineStr"/>
      <c r="AD2810" s="18" t="inlineStr">
        <is>
          <t>minY=-60, maxY=13</t>
        </is>
      </c>
      <c r="AE2810" s="18" t="inlineStr"/>
      <c r="AF2810" s="18" t="inlineStr">
        <is>
          <t>False</t>
        </is>
      </c>
      <c r="AG2810" s="18" t="inlineStr">
        <is>
          <t>cobblemon:shipwreck_coves/submerged_shipwreck_cove</t>
        </is>
      </c>
      <c r="AH2810" s="18" t="inlineStr"/>
      <c r="AI2810" s="18" t="inlineStr"/>
      <c r="AJ2810" s="18" t="inlineStr">
        <is>
          <t>Cobblemon 동일</t>
        </is>
      </c>
      <c r="AK2810" s="18" t="inlineStr">
        <is>
          <t>사용</t>
        </is>
      </c>
      <c r="AL2810" s="18" t="inlineStr">
        <is>
          <t>COBBLEVERSE 1.7.42 / DP v31</t>
        </is>
      </c>
      <c r="AM2810" s="18" t="inlineStr">
        <is>
          <t>data/cobblemon/spawn_pool_world/0871_pincurchin.json</t>
        </is>
      </c>
      <c r="AN2810" s="18" t="inlineStr">
        <is>
          <t>pincurchin-6</t>
        </is>
      </c>
      <c r="AO2810" s="18" t="inlineStr">
        <is>
          <t>pokemon</t>
        </is>
      </c>
      <c r="AP2810" s="18" t="inlineStr">
        <is>
          <t>water</t>
        </is>
      </c>
      <c r="AQ2810" s="18" t="inlineStr">
        <is>
          <t>{"biomes":["#cobblemon:is_overworld"],"canSeeSky":false,"maxY":13,"minY":-60,"structures":["cobblemon:shipwreck_coves/submerged_shipwreck_cove"]}</t>
        </is>
      </c>
      <c r="AR2810" s="18" t="inlineStr"/>
      <c r="AS2810" s="18" t="inlineStr"/>
      <c r="AT2810" s="19" t="inlineStr"/>
    </row>
    <row r="2811" ht="32" customHeight="1">
      <c r="A2811" s="18" t="inlineStr">
        <is>
          <t>0871_pincurchin.json::pincurchin-7::007</t>
        </is>
      </c>
      <c r="B2811" s="19" t="inlineStr">
        <is>
          <t>사용</t>
        </is>
      </c>
      <c r="C2811" s="18">
        <f>IF(OR(B2811&lt;&gt;AK2811,M2811&lt;&gt;L2811,O2811&lt;&gt;"",Q2811&lt;&gt;"",V2811&lt;&gt;1,Y2811&lt;&gt;"",AT2811&lt;&gt;""),"수정","원본")</f>
        <v/>
      </c>
      <c r="D2811" s="18" t="n">
        <v>871</v>
      </c>
      <c r="E2811" s="18" t="inlineStr">
        <is>
          <t>찌르성게</t>
        </is>
      </c>
      <c r="F2811" s="18" t="inlineStr">
        <is>
          <t>pincurchin</t>
        </is>
      </c>
      <c r="G2811" s="18" t="inlineStr">
        <is>
          <t>pincurchin</t>
        </is>
      </c>
      <c r="H2811" s="18" t="inlineStr"/>
      <c r="I2811" s="18" t="n">
        <v>8</v>
      </c>
      <c r="J2811" s="18" t="n"/>
      <c r="K2811" s="18" t="n">
        <v>8</v>
      </c>
      <c r="L2811" s="18" t="inlineStr">
        <is>
          <t>cobbleventure:generation_8</t>
        </is>
      </c>
      <c r="M2811" s="19" t="inlineStr">
        <is>
          <t>cobbleventure:generation_8</t>
        </is>
      </c>
      <c r="N2811" s="18" t="inlineStr">
        <is>
          <t>region_01; region_02</t>
        </is>
      </c>
      <c r="O2811" s="19" t="inlineStr"/>
      <c r="P2811" s="18" t="inlineStr">
        <is>
          <t>#cobblemon:is_overworld</t>
        </is>
      </c>
      <c r="Q2811" s="19" t="inlineStr"/>
      <c r="R2811" s="18">
        <f>IF(Q2811="",P2811,Q2811)</f>
        <v/>
      </c>
      <c r="S2811" s="18" t="inlineStr"/>
      <c r="T2811" s="18" t="inlineStr">
        <is>
          <t>uncommon</t>
        </is>
      </c>
      <c r="U2811" s="20" t="n">
        <v>6</v>
      </c>
      <c r="V2811" s="21" t="n">
        <v>1</v>
      </c>
      <c r="W2811" s="20">
        <f>IF(OR(U2811="",V2811=""),U2811,U2811*V2811)</f>
        <v/>
      </c>
      <c r="X2811" s="18" t="inlineStr">
        <is>
          <t>19-44</t>
        </is>
      </c>
      <c r="Y2811" s="19" t="inlineStr"/>
      <c r="Z2811" s="18">
        <f>IF(Y2811="",X2811,Y2811)</f>
        <v/>
      </c>
      <c r="AA2811" s="18" t="inlineStr">
        <is>
          <t>fishing</t>
        </is>
      </c>
      <c r="AB2811" s="18" t="inlineStr"/>
      <c r="AC2811" s="18" t="inlineStr"/>
      <c r="AD2811" s="18" t="inlineStr">
        <is>
          <t>minY=-60, maxY=13</t>
        </is>
      </c>
      <c r="AE2811" s="18" t="inlineStr"/>
      <c r="AF2811" s="18" t="inlineStr">
        <is>
          <t>False</t>
        </is>
      </c>
      <c r="AG2811" s="18" t="inlineStr">
        <is>
          <t>cobblemon:shipwreck_coves/submerged_shipwreck_cove</t>
        </is>
      </c>
      <c r="AH2811" s="18" t="inlineStr"/>
      <c r="AI2811" s="18" t="inlineStr"/>
      <c r="AJ2811" s="18" t="inlineStr">
        <is>
          <t>Cobblemon 동일</t>
        </is>
      </c>
      <c r="AK2811" s="18" t="inlineStr">
        <is>
          <t>사용</t>
        </is>
      </c>
      <c r="AL2811" s="18" t="inlineStr">
        <is>
          <t>COBBLEVERSE 1.7.42 / DP v31</t>
        </is>
      </c>
      <c r="AM2811" s="18" t="inlineStr">
        <is>
          <t>data/cobblemon/spawn_pool_world/0871_pincurchin.json</t>
        </is>
      </c>
      <c r="AN2811" s="18" t="inlineStr">
        <is>
          <t>pincurchin-7</t>
        </is>
      </c>
      <c r="AO2811" s="18" t="inlineStr">
        <is>
          <t>pokemon</t>
        </is>
      </c>
      <c r="AP2811" s="18" t="inlineStr"/>
      <c r="AQ2811" s="18" t="inlineStr">
        <is>
          <t>{"biomes":["#cobblemon:is_overworld"],"canSeeSky":false,"maxY":13,"minY":-60,"structures":["cobblemon:shipwreck_coves/submerged_shipwreck_cove"]}</t>
        </is>
      </c>
      <c r="AR2811" s="18" t="inlineStr">
        <is>
          <t>{"minLureLevel":1}</t>
        </is>
      </c>
      <c r="AS2811" s="18" t="inlineStr"/>
      <c r="AT2811" s="19" t="inlineStr"/>
    </row>
    <row r="2812" ht="32" customHeight="1">
      <c r="A2812" s="18" t="inlineStr">
        <is>
          <t>0871_pincurchin.json::pincurchin-8::008</t>
        </is>
      </c>
      <c r="B2812" s="19" t="inlineStr">
        <is>
          <t>사용</t>
        </is>
      </c>
      <c r="C2812" s="18">
        <f>IF(OR(B2812&lt;&gt;AK2812,M2812&lt;&gt;L2812,O2812&lt;&gt;"",Q2812&lt;&gt;"",V2812&lt;&gt;1,Y2812&lt;&gt;"",AT2812&lt;&gt;""),"수정","원본")</f>
        <v/>
      </c>
      <c r="D2812" s="18" t="n">
        <v>871</v>
      </c>
      <c r="E2812" s="18" t="inlineStr">
        <is>
          <t>찌르성게</t>
        </is>
      </c>
      <c r="F2812" s="18" t="inlineStr">
        <is>
          <t>pincurchin</t>
        </is>
      </c>
      <c r="G2812" s="18" t="inlineStr">
        <is>
          <t>pincurchin</t>
        </is>
      </c>
      <c r="H2812" s="18" t="inlineStr"/>
      <c r="I2812" s="18" t="n">
        <v>8</v>
      </c>
      <c r="J2812" s="18" t="n"/>
      <c r="K2812" s="18" t="n">
        <v>8</v>
      </c>
      <c r="L2812" s="18" t="inlineStr">
        <is>
          <t>cobbleventure:generation_8</t>
        </is>
      </c>
      <c r="M2812" s="19" t="inlineStr">
        <is>
          <t>cobbleventure:generation_8</t>
        </is>
      </c>
      <c r="N2812" s="18" t="inlineStr">
        <is>
          <t>region_01; region_02</t>
        </is>
      </c>
      <c r="O2812" s="19" t="inlineStr"/>
      <c r="P2812" s="18" t="inlineStr">
        <is>
          <t>#cobblemon:is_overworld</t>
        </is>
      </c>
      <c r="Q2812" s="19" t="inlineStr"/>
      <c r="R2812" s="18">
        <f>IF(Q2812="",P2812,Q2812)</f>
        <v/>
      </c>
      <c r="S2812" s="18" t="inlineStr"/>
      <c r="T2812" s="18" t="inlineStr">
        <is>
          <t>common</t>
        </is>
      </c>
      <c r="U2812" s="20" t="n">
        <v>2</v>
      </c>
      <c r="V2812" s="21" t="n">
        <v>1</v>
      </c>
      <c r="W2812" s="20">
        <f>IF(OR(U2812="",V2812=""),U2812,U2812*V2812)</f>
        <v/>
      </c>
      <c r="X2812" s="18" t="inlineStr">
        <is>
          <t>19-44</t>
        </is>
      </c>
      <c r="Y2812" s="19" t="inlineStr"/>
      <c r="Z2812" s="18">
        <f>IF(Y2812="",X2812,Y2812)</f>
        <v/>
      </c>
      <c r="AA2812" s="18" t="inlineStr">
        <is>
          <t>fishing</t>
        </is>
      </c>
      <c r="AB2812" s="18" t="inlineStr"/>
      <c r="AC2812" s="18" t="inlineStr"/>
      <c r="AD2812" s="18" t="inlineStr">
        <is>
          <t>minY=-60, maxY=13</t>
        </is>
      </c>
      <c r="AE2812" s="18" t="inlineStr"/>
      <c r="AF2812" s="18" t="inlineStr">
        <is>
          <t>False</t>
        </is>
      </c>
      <c r="AG2812" s="18" t="inlineStr">
        <is>
          <t>cobblemon:shipwreck_coves/submerged_shipwreck_cove</t>
        </is>
      </c>
      <c r="AH2812" s="18" t="inlineStr"/>
      <c r="AI2812" s="18" t="inlineStr">
        <is>
          <t>{"fishing":{"minLureLevel":1}}</t>
        </is>
      </c>
      <c r="AJ2812" s="18" t="inlineStr">
        <is>
          <t>Cobblemon 동일</t>
        </is>
      </c>
      <c r="AK2812" s="18" t="inlineStr">
        <is>
          <t>사용</t>
        </is>
      </c>
      <c r="AL2812" s="18" t="inlineStr">
        <is>
          <t>COBBLEVERSE 1.7.42 / DP v31</t>
        </is>
      </c>
      <c r="AM2812" s="18" t="inlineStr">
        <is>
          <t>data/cobblemon/spawn_pool_world/0871_pincurchin.json</t>
        </is>
      </c>
      <c r="AN2812" s="18" t="inlineStr">
        <is>
          <t>pincurchin-8</t>
        </is>
      </c>
      <c r="AO2812" s="18" t="inlineStr">
        <is>
          <t>pokemon</t>
        </is>
      </c>
      <c r="AP2812" s="18" t="inlineStr"/>
      <c r="AQ2812" s="18" t="inlineStr">
        <is>
          <t>{"biomes":["#cobblemon:is_overworld"],"canSeeSky":false,"maxY":13,"minLureLevel":1,"minY":-60,"structures":["cobblemon:shipwreck_coves/submerged_shipwreck_cove"]}</t>
        </is>
      </c>
      <c r="AR2812" s="18" t="inlineStr"/>
      <c r="AS2812" s="18" t="inlineStr">
        <is>
          <t>{"weightMultiplier":{"condition":{"minLureLevel":3},"multiplier":3.0}}</t>
        </is>
      </c>
      <c r="AT2812" s="19" t="inlineStr"/>
    </row>
    <row r="2813" ht="32" customHeight="1">
      <c r="A2813" s="18" t="inlineStr">
        <is>
          <t>0872_snom.json::snom-1::001</t>
        </is>
      </c>
      <c r="B2813" s="19" t="inlineStr">
        <is>
          <t>사용</t>
        </is>
      </c>
      <c r="C2813" s="18">
        <f>IF(OR(B2813&lt;&gt;AK2813,M2813&lt;&gt;L2813,O2813&lt;&gt;"",Q2813&lt;&gt;"",V2813&lt;&gt;1,Y2813&lt;&gt;"",AT2813&lt;&gt;""),"수정","원본")</f>
        <v/>
      </c>
      <c r="D2813" s="18" t="n">
        <v>872</v>
      </c>
      <c r="E2813" s="18" t="inlineStr">
        <is>
          <t>누니머기</t>
        </is>
      </c>
      <c r="F2813" s="18" t="inlineStr">
        <is>
          <t>snom</t>
        </is>
      </c>
      <c r="G2813" s="18" t="inlineStr">
        <is>
          <t>snom</t>
        </is>
      </c>
      <c r="H2813" s="18" t="inlineStr"/>
      <c r="I2813" s="18" t="n">
        <v>8</v>
      </c>
      <c r="J2813" s="18" t="n"/>
      <c r="K2813" s="18" t="n">
        <v>8</v>
      </c>
      <c r="L2813" s="18" t="inlineStr">
        <is>
          <t>cobbleventure:generation_8</t>
        </is>
      </c>
      <c r="M2813" s="19" t="inlineStr">
        <is>
          <t>cobbleventure:generation_8</t>
        </is>
      </c>
      <c r="N2813" s="18" t="inlineStr"/>
      <c r="O2813" s="19" t="inlineStr"/>
      <c r="P2813" s="18" t="inlineStr">
        <is>
          <t>#cobblemon:is_freezing</t>
        </is>
      </c>
      <c r="Q2813" s="19" t="inlineStr"/>
      <c r="R2813" s="18">
        <f>IF(Q2813="",P2813,Q2813)</f>
        <v/>
      </c>
      <c r="S2813" s="18" t="inlineStr"/>
      <c r="T2813" s="18" t="inlineStr">
        <is>
          <t>common</t>
        </is>
      </c>
      <c r="U2813" s="20" t="n">
        <v>4.4</v>
      </c>
      <c r="V2813" s="21" t="n">
        <v>1</v>
      </c>
      <c r="W2813" s="20">
        <f>IF(OR(U2813="",V2813=""),U2813,U2813*V2813)</f>
        <v/>
      </c>
      <c r="X2813" s="18" t="inlineStr">
        <is>
          <t>15-36</t>
        </is>
      </c>
      <c r="Y2813" s="19" t="inlineStr"/>
      <c r="Z2813" s="18">
        <f>IF(Y2813="",X2813,Y2813)</f>
        <v/>
      </c>
      <c r="AA2813" s="18" t="inlineStr">
        <is>
          <t>grounded</t>
        </is>
      </c>
      <c r="AB2813" s="18" t="inlineStr">
        <is>
          <t>night</t>
        </is>
      </c>
      <c r="AC2813" s="18" t="inlineStr"/>
      <c r="AD2813" s="18" t="inlineStr"/>
      <c r="AE2813" s="18" t="inlineStr"/>
      <c r="AF2813" s="18" t="inlineStr"/>
      <c r="AG2813" s="18" t="inlineStr"/>
      <c r="AH2813" s="18" t="inlineStr"/>
      <c r="AI2813" s="18" t="inlineStr"/>
      <c r="AJ2813" s="18" t="inlineStr">
        <is>
          <t>COBBLEVERSE 추가</t>
        </is>
      </c>
      <c r="AK2813" s="18" t="inlineStr">
        <is>
          <t>사용</t>
        </is>
      </c>
      <c r="AL2813" s="18" t="inlineStr">
        <is>
          <t>COBBLEVERSE 1.7.42 / DP v31</t>
        </is>
      </c>
      <c r="AM2813" s="18" t="inlineStr">
        <is>
          <t>data/cobblemon/spawn_pool_world/0872_snom.json</t>
        </is>
      </c>
      <c r="AN2813" s="18" t="inlineStr">
        <is>
          <t>snom-1</t>
        </is>
      </c>
      <c r="AO2813" s="18" t="inlineStr">
        <is>
          <t>pokemon</t>
        </is>
      </c>
      <c r="AP2813" s="18" t="inlineStr">
        <is>
          <t>natural</t>
        </is>
      </c>
      <c r="AQ2813" s="18" t="inlineStr">
        <is>
          <t>{"biomes":["#cobblemon:is_freezing"],"timeRange":"night"}</t>
        </is>
      </c>
      <c r="AR2813" s="18" t="inlineStr"/>
      <c r="AS2813" s="18" t="inlineStr"/>
      <c r="AT2813" s="19" t="inlineStr"/>
    </row>
    <row r="2814" ht="32" customHeight="1">
      <c r="A2814" s="18" t="inlineStr">
        <is>
          <t>0873_frosmoth.json::frosmoth-1::001</t>
        </is>
      </c>
      <c r="B2814" s="19" t="inlineStr">
        <is>
          <t>사용</t>
        </is>
      </c>
      <c r="C2814" s="18">
        <f>IF(OR(B2814&lt;&gt;AK2814,M2814&lt;&gt;L2814,O2814&lt;&gt;"",Q2814&lt;&gt;"",V2814&lt;&gt;1,Y2814&lt;&gt;"",AT2814&lt;&gt;""),"수정","원본")</f>
        <v/>
      </c>
      <c r="D2814" s="18" t="n">
        <v>873</v>
      </c>
      <c r="E2814" s="18" t="inlineStr">
        <is>
          <t>모스노우</t>
        </is>
      </c>
      <c r="F2814" s="18" t="inlineStr">
        <is>
          <t>frosmoth</t>
        </is>
      </c>
      <c r="G2814" s="18" t="inlineStr">
        <is>
          <t>frosmoth</t>
        </is>
      </c>
      <c r="H2814" s="18" t="inlineStr"/>
      <c r="I2814" s="18" t="n">
        <v>8</v>
      </c>
      <c r="J2814" s="18" t="n"/>
      <c r="K2814" s="18" t="n">
        <v>8</v>
      </c>
      <c r="L2814" s="18" t="inlineStr">
        <is>
          <t>cobbleventure:generation_8</t>
        </is>
      </c>
      <c r="M2814" s="19" t="inlineStr">
        <is>
          <t>cobbleventure:generation_8</t>
        </is>
      </c>
      <c r="N2814" s="18" t="inlineStr"/>
      <c r="O2814" s="19" t="inlineStr"/>
      <c r="P2814" s="18" t="inlineStr">
        <is>
          <t>#cobblemon:is_freezing</t>
        </is>
      </c>
      <c r="Q2814" s="19" t="inlineStr"/>
      <c r="R2814" s="18">
        <f>IF(Q2814="",P2814,Q2814)</f>
        <v/>
      </c>
      <c r="S2814" s="18" t="inlineStr"/>
      <c r="T2814" s="18" t="inlineStr">
        <is>
          <t>uncommon</t>
        </is>
      </c>
      <c r="U2814" s="20" t="n">
        <v>2.2</v>
      </c>
      <c r="V2814" s="21" t="n">
        <v>1</v>
      </c>
      <c r="W2814" s="20">
        <f>IF(OR(U2814="",V2814=""),U2814,U2814*V2814)</f>
        <v/>
      </c>
      <c r="X2814" s="18" t="inlineStr">
        <is>
          <t>15-36</t>
        </is>
      </c>
      <c r="Y2814" s="19" t="inlineStr"/>
      <c r="Z2814" s="18">
        <f>IF(Y2814="",X2814,Y2814)</f>
        <v/>
      </c>
      <c r="AA2814" s="18" t="inlineStr">
        <is>
          <t>grounded</t>
        </is>
      </c>
      <c r="AB2814" s="18" t="inlineStr">
        <is>
          <t>night</t>
        </is>
      </c>
      <c r="AC2814" s="18" t="inlineStr"/>
      <c r="AD2814" s="18" t="inlineStr"/>
      <c r="AE2814" s="18" t="inlineStr"/>
      <c r="AF2814" s="18" t="inlineStr"/>
      <c r="AG2814" s="18" t="inlineStr"/>
      <c r="AH2814" s="18" t="inlineStr"/>
      <c r="AI2814" s="18" t="inlineStr"/>
      <c r="AJ2814" s="18" t="inlineStr">
        <is>
          <t>COBBLEVERSE 추가</t>
        </is>
      </c>
      <c r="AK2814" s="18" t="inlineStr">
        <is>
          <t>사용</t>
        </is>
      </c>
      <c r="AL2814" s="18" t="inlineStr">
        <is>
          <t>COBBLEVERSE 1.7.42 / DP v31</t>
        </is>
      </c>
      <c r="AM2814" s="18" t="inlineStr">
        <is>
          <t>data/cobblemon/spawn_pool_world/0873_frosmoth.json</t>
        </is>
      </c>
      <c r="AN2814" s="18" t="inlineStr">
        <is>
          <t>frosmoth-1</t>
        </is>
      </c>
      <c r="AO2814" s="18" t="inlineStr">
        <is>
          <t>pokemon</t>
        </is>
      </c>
      <c r="AP2814" s="18" t="inlineStr">
        <is>
          <t>natural</t>
        </is>
      </c>
      <c r="AQ2814" s="18" t="inlineStr">
        <is>
          <t>{"biomes":["#cobblemon:is_freezing"],"timeRange":"night"}</t>
        </is>
      </c>
      <c r="AR2814" s="18" t="inlineStr"/>
      <c r="AS2814" s="18" t="inlineStr"/>
      <c r="AT2814" s="19" t="inlineStr"/>
    </row>
    <row r="2815" ht="32" customHeight="1">
      <c r="A2815" s="18" t="inlineStr">
        <is>
          <t>0874_stonjourner.json::stonjourner-1::001</t>
        </is>
      </c>
      <c r="B2815" s="19" t="inlineStr">
        <is>
          <t>사용</t>
        </is>
      </c>
      <c r="C2815" s="18">
        <f>IF(OR(B2815&lt;&gt;AK2815,M2815&lt;&gt;L2815,O2815&lt;&gt;"",Q2815&lt;&gt;"",V2815&lt;&gt;1,Y2815&lt;&gt;"",AT2815&lt;&gt;""),"수정","원본")</f>
        <v/>
      </c>
      <c r="D2815" s="18" t="n">
        <v>874</v>
      </c>
      <c r="E2815" s="18" t="inlineStr">
        <is>
          <t>돌헨진</t>
        </is>
      </c>
      <c r="F2815" s="18" t="inlineStr">
        <is>
          <t>stonjourner</t>
        </is>
      </c>
      <c r="G2815" s="18" t="inlineStr">
        <is>
          <t>stonjourner</t>
        </is>
      </c>
      <c r="H2815" s="18" t="inlineStr"/>
      <c r="I2815" s="18" t="n">
        <v>8</v>
      </c>
      <c r="J2815" s="18" t="n"/>
      <c r="K2815" s="18" t="n">
        <v>8</v>
      </c>
      <c r="L2815" s="18" t="inlineStr">
        <is>
          <t>cobbleventure:generation_8</t>
        </is>
      </c>
      <c r="M2815" s="19" t="inlineStr">
        <is>
          <t>cobbleventure:generation_8</t>
        </is>
      </c>
      <c r="N2815" s="18" t="inlineStr">
        <is>
          <t>region_01</t>
        </is>
      </c>
      <c r="O2815" s="19" t="inlineStr"/>
      <c r="P2815" s="18" t="inlineStr">
        <is>
          <t>#cobblemon:is_plains</t>
        </is>
      </c>
      <c r="Q2815" s="19" t="inlineStr"/>
      <c r="R2815" s="18">
        <f>IF(Q2815="",P2815,Q2815)</f>
        <v/>
      </c>
      <c r="S2815" s="18" t="inlineStr"/>
      <c r="T2815" s="18" t="inlineStr">
        <is>
          <t>rare</t>
        </is>
      </c>
      <c r="U2815" s="20" t="n">
        <v>2</v>
      </c>
      <c r="V2815" s="21" t="n">
        <v>1</v>
      </c>
      <c r="W2815" s="20">
        <f>IF(OR(U2815="",V2815=""),U2815,U2815*V2815)</f>
        <v/>
      </c>
      <c r="X2815" s="18" t="inlineStr">
        <is>
          <t>22-47</t>
        </is>
      </c>
      <c r="Y2815" s="19" t="inlineStr"/>
      <c r="Z2815" s="18">
        <f>IF(Y2815="",X2815,Y2815)</f>
        <v/>
      </c>
      <c r="AA2815" s="18" t="inlineStr">
        <is>
          <t>grounded</t>
        </is>
      </c>
      <c r="AB2815" s="18" t="inlineStr"/>
      <c r="AC2815" s="18" t="inlineStr"/>
      <c r="AD2815" s="18" t="inlineStr"/>
      <c r="AE2815" s="18" t="inlineStr">
        <is>
          <t>sky 8-15</t>
        </is>
      </c>
      <c r="AF2815" s="18" t="inlineStr"/>
      <c r="AG2815" s="18" t="inlineStr"/>
      <c r="AH2815" s="18" t="inlineStr"/>
      <c r="AI2815" s="18" t="inlineStr"/>
      <c r="AJ2815" s="18" t="inlineStr">
        <is>
          <t>Cobblemon 동일</t>
        </is>
      </c>
      <c r="AK2815" s="18" t="inlineStr">
        <is>
          <t>사용</t>
        </is>
      </c>
      <c r="AL2815" s="18" t="inlineStr">
        <is>
          <t>COBBLEVERSE 1.7.42 / DP v31</t>
        </is>
      </c>
      <c r="AM2815" s="18" t="inlineStr">
        <is>
          <t>data/cobblemon/spawn_pool_world/0874_stonjourner.json</t>
        </is>
      </c>
      <c r="AN2815" s="18" t="inlineStr">
        <is>
          <t>stonjourner-1</t>
        </is>
      </c>
      <c r="AO2815" s="18" t="inlineStr">
        <is>
          <t>pokemon</t>
        </is>
      </c>
      <c r="AP2815" s="18" t="inlineStr">
        <is>
          <t>natural; wild</t>
        </is>
      </c>
      <c r="AQ2815" s="18" t="inlineStr">
        <is>
          <t>{"biomes":["#cobblemon:is_plains"],"maxSkyLight":15,"minSkyLight":8}</t>
        </is>
      </c>
      <c r="AR2815" s="18" t="inlineStr">
        <is>
          <t>{"structures":["cobblemon:ruins/stonjourner_henge_ruins"],"timeRange":"dusk"}</t>
        </is>
      </c>
      <c r="AS2815" s="18" t="inlineStr"/>
      <c r="AT2815" s="19" t="inlineStr"/>
    </row>
    <row r="2816" ht="32" customHeight="1">
      <c r="A2816" s="18" t="inlineStr">
        <is>
          <t>0874_stonjourner.json::stonjourner-2::002</t>
        </is>
      </c>
      <c r="B2816" s="19" t="inlineStr">
        <is>
          <t>사용</t>
        </is>
      </c>
      <c r="C2816" s="18">
        <f>IF(OR(B2816&lt;&gt;AK2816,M2816&lt;&gt;L2816,O2816&lt;&gt;"",Q2816&lt;&gt;"",V2816&lt;&gt;1,Y2816&lt;&gt;"",AT2816&lt;&gt;""),"수정","원본")</f>
        <v/>
      </c>
      <c r="D2816" s="18" t="n">
        <v>874</v>
      </c>
      <c r="E2816" s="18" t="inlineStr">
        <is>
          <t>돌헨진</t>
        </is>
      </c>
      <c r="F2816" s="18" t="inlineStr">
        <is>
          <t>stonjourner</t>
        </is>
      </c>
      <c r="G2816" s="18" t="inlineStr">
        <is>
          <t>stonjourner</t>
        </is>
      </c>
      <c r="H2816" s="18" t="inlineStr"/>
      <c r="I2816" s="18" t="n">
        <v>8</v>
      </c>
      <c r="J2816" s="18" t="n"/>
      <c r="K2816" s="18" t="n">
        <v>8</v>
      </c>
      <c r="L2816" s="18" t="inlineStr">
        <is>
          <t>cobbleventure:generation_8</t>
        </is>
      </c>
      <c r="M2816" s="19" t="inlineStr">
        <is>
          <t>cobbleventure:generation_8</t>
        </is>
      </c>
      <c r="N2816" s="18" t="inlineStr">
        <is>
          <t>region_01</t>
        </is>
      </c>
      <c r="O2816" s="19" t="inlineStr"/>
      <c r="P2816" s="18" t="inlineStr">
        <is>
          <t>#cobblemon:is_plains</t>
        </is>
      </c>
      <c r="Q2816" s="19" t="inlineStr"/>
      <c r="R2816" s="18">
        <f>IF(Q2816="",P2816,Q2816)</f>
        <v/>
      </c>
      <c r="S2816" s="18" t="inlineStr"/>
      <c r="T2816" s="18" t="inlineStr">
        <is>
          <t>uncommon</t>
        </is>
      </c>
      <c r="U2816" s="20" t="n">
        <v>10</v>
      </c>
      <c r="V2816" s="21" t="n">
        <v>1</v>
      </c>
      <c r="W2816" s="20">
        <f>IF(OR(U2816="",V2816=""),U2816,U2816*V2816)</f>
        <v/>
      </c>
      <c r="X2816" s="18" t="inlineStr">
        <is>
          <t>22-47</t>
        </is>
      </c>
      <c r="Y2816" s="19" t="inlineStr"/>
      <c r="Z2816" s="18">
        <f>IF(Y2816="",X2816,Y2816)</f>
        <v/>
      </c>
      <c r="AA2816" s="18" t="inlineStr">
        <is>
          <t>grounded</t>
        </is>
      </c>
      <c r="AB2816" s="18" t="inlineStr">
        <is>
          <t>dusk</t>
        </is>
      </c>
      <c r="AC2816" s="18" t="inlineStr"/>
      <c r="AD2816" s="18" t="inlineStr"/>
      <c r="AE2816" s="18" t="inlineStr">
        <is>
          <t>sky 8-15</t>
        </is>
      </c>
      <c r="AF2816" s="18" t="inlineStr"/>
      <c r="AG2816" s="18" t="inlineStr"/>
      <c r="AH2816" s="18" t="inlineStr"/>
      <c r="AI2816" s="18" t="inlineStr"/>
      <c r="AJ2816" s="18" t="inlineStr">
        <is>
          <t>Cobblemon 동일</t>
        </is>
      </c>
      <c r="AK2816" s="18" t="inlineStr">
        <is>
          <t>사용</t>
        </is>
      </c>
      <c r="AL2816" s="18" t="inlineStr">
        <is>
          <t>COBBLEVERSE 1.7.42 / DP v31</t>
        </is>
      </c>
      <c r="AM2816" s="18" t="inlineStr">
        <is>
          <t>data/cobblemon/spawn_pool_world/0874_stonjourner.json</t>
        </is>
      </c>
      <c r="AN2816" s="18" t="inlineStr">
        <is>
          <t>stonjourner-2</t>
        </is>
      </c>
      <c r="AO2816" s="18" t="inlineStr">
        <is>
          <t>pokemon</t>
        </is>
      </c>
      <c r="AP2816" s="18" t="inlineStr">
        <is>
          <t>natural; wild</t>
        </is>
      </c>
      <c r="AQ2816" s="18" t="inlineStr">
        <is>
          <t>{"biomes":["#cobblemon:is_plains"],"maxSkyLight":15,"minSkyLight":8,"timeRange":"dusk"}</t>
        </is>
      </c>
      <c r="AR2816" s="18" t="inlineStr">
        <is>
          <t>{"structures":["cobblemon:ruins/stonjourner_henge_ruins"]}</t>
        </is>
      </c>
      <c r="AS2816" s="18" t="inlineStr"/>
      <c r="AT2816" s="19" t="inlineStr"/>
    </row>
    <row r="2817" ht="32" customHeight="1">
      <c r="A2817" s="18" t="inlineStr">
        <is>
          <t>0874_stonjourner.json::stonjourner-3::003</t>
        </is>
      </c>
      <c r="B2817" s="19" t="inlineStr">
        <is>
          <t>사용</t>
        </is>
      </c>
      <c r="C2817" s="18">
        <f>IF(OR(B2817&lt;&gt;AK2817,M2817&lt;&gt;L2817,O2817&lt;&gt;"",Q2817&lt;&gt;"",V2817&lt;&gt;1,Y2817&lt;&gt;"",AT2817&lt;&gt;""),"수정","원본")</f>
        <v/>
      </c>
      <c r="D2817" s="18" t="n">
        <v>874</v>
      </c>
      <c r="E2817" s="18" t="inlineStr">
        <is>
          <t>돌헨진</t>
        </is>
      </c>
      <c r="F2817" s="18" t="inlineStr">
        <is>
          <t>stonjourner</t>
        </is>
      </c>
      <c r="G2817" s="18" t="inlineStr">
        <is>
          <t>stonjourner</t>
        </is>
      </c>
      <c r="H2817" s="18" t="inlineStr"/>
      <c r="I2817" s="18" t="n">
        <v>8</v>
      </c>
      <c r="J2817" s="18" t="n"/>
      <c r="K2817" s="18" t="n">
        <v>8</v>
      </c>
      <c r="L2817" s="18" t="inlineStr">
        <is>
          <t>cobbleventure:generation_8</t>
        </is>
      </c>
      <c r="M2817" s="19" t="inlineStr">
        <is>
          <t>cobbleventure:generation_8</t>
        </is>
      </c>
      <c r="N2817" s="18" t="inlineStr">
        <is>
          <t>region_01; region_02</t>
        </is>
      </c>
      <c r="O2817" s="19" t="inlineStr"/>
      <c r="P2817" s="18" t="inlineStr">
        <is>
          <t>#cobblemon:is_overworld</t>
        </is>
      </c>
      <c r="Q2817" s="19" t="inlineStr"/>
      <c r="R2817" s="18">
        <f>IF(Q2817="",P2817,Q2817)</f>
        <v/>
      </c>
      <c r="S2817" s="18" t="inlineStr"/>
      <c r="T2817" s="18" t="inlineStr">
        <is>
          <t>common</t>
        </is>
      </c>
      <c r="U2817" s="20" t="n">
        <v>20</v>
      </c>
      <c r="V2817" s="21" t="n">
        <v>1</v>
      </c>
      <c r="W2817" s="20">
        <f>IF(OR(U2817="",V2817=""),U2817,U2817*V2817)</f>
        <v/>
      </c>
      <c r="X2817" s="18" t="inlineStr">
        <is>
          <t>22-47</t>
        </is>
      </c>
      <c r="Y2817" s="19" t="inlineStr"/>
      <c r="Z2817" s="18">
        <f>IF(Y2817="",X2817,Y2817)</f>
        <v/>
      </c>
      <c r="AA2817" s="18" t="inlineStr">
        <is>
          <t>grounded</t>
        </is>
      </c>
      <c r="AB2817" s="18" t="inlineStr"/>
      <c r="AC2817" s="18" t="inlineStr"/>
      <c r="AD2817" s="18" t="inlineStr"/>
      <c r="AE2817" s="18" t="inlineStr">
        <is>
          <t>sky 8-15</t>
        </is>
      </c>
      <c r="AF2817" s="18" t="inlineStr"/>
      <c r="AG2817" s="18" t="inlineStr">
        <is>
          <t>cobblemon:ruins/stonjourner_henge_ruins</t>
        </is>
      </c>
      <c r="AH2817" s="18" t="inlineStr"/>
      <c r="AI2817" s="18" t="inlineStr"/>
      <c r="AJ2817" s="18" t="inlineStr">
        <is>
          <t>Cobblemon 동일</t>
        </is>
      </c>
      <c r="AK2817" s="18" t="inlineStr">
        <is>
          <t>사용</t>
        </is>
      </c>
      <c r="AL2817" s="18" t="inlineStr">
        <is>
          <t>COBBLEVERSE 1.7.42 / DP v31</t>
        </is>
      </c>
      <c r="AM2817" s="18" t="inlineStr">
        <is>
          <t>data/cobblemon/spawn_pool_world/0874_stonjourner.json</t>
        </is>
      </c>
      <c r="AN2817" s="18" t="inlineStr">
        <is>
          <t>stonjourner-3</t>
        </is>
      </c>
      <c r="AO2817" s="18" t="inlineStr">
        <is>
          <t>pokemon</t>
        </is>
      </c>
      <c r="AP2817" s="18" t="inlineStr">
        <is>
          <t>natural</t>
        </is>
      </c>
      <c r="AQ2817" s="18" t="inlineStr">
        <is>
          <t>{"biomes":["#cobblemon:is_overworld"],"maxSkyLight":15,"minSkyLight":8,"structures":["cobblemon:ruins/stonjourner_henge_ruins"]}</t>
        </is>
      </c>
      <c r="AR2817" s="18" t="inlineStr"/>
      <c r="AS2817" s="18" t="inlineStr">
        <is>
          <t>{"weightMultiplier":{"condition":{"timeRange":"dusk"},"multiplier":5.0}}</t>
        </is>
      </c>
      <c r="AT2817" s="19" t="inlineStr"/>
    </row>
    <row r="2818" ht="32" customHeight="1">
      <c r="A2818" s="18" t="inlineStr">
        <is>
          <t>0875_eiscue.json::eiscue-1::001</t>
        </is>
      </c>
      <c r="B2818" s="19" t="inlineStr">
        <is>
          <t>사용</t>
        </is>
      </c>
      <c r="C2818" s="18">
        <f>IF(OR(B2818&lt;&gt;AK2818,M2818&lt;&gt;L2818,O2818&lt;&gt;"",Q2818&lt;&gt;"",V2818&lt;&gt;1,Y2818&lt;&gt;"",AT2818&lt;&gt;""),"수정","원본")</f>
        <v/>
      </c>
      <c r="D2818" s="18" t="n">
        <v>875</v>
      </c>
      <c r="E2818" s="18" t="inlineStr">
        <is>
          <t>빙큐보</t>
        </is>
      </c>
      <c r="F2818" s="18" t="inlineStr">
        <is>
          <t>eiscue</t>
        </is>
      </c>
      <c r="G2818" s="18" t="inlineStr">
        <is>
          <t>eiscue</t>
        </is>
      </c>
      <c r="H2818" s="18" t="inlineStr"/>
      <c r="I2818" s="18" t="n">
        <v>8</v>
      </c>
      <c r="J2818" s="18" t="n"/>
      <c r="K2818" s="18" t="n">
        <v>8</v>
      </c>
      <c r="L2818" s="18" t="inlineStr">
        <is>
          <t>cobbleventure:generation_8</t>
        </is>
      </c>
      <c r="M2818" s="19" t="inlineStr">
        <is>
          <t>cobbleventure:generation_8</t>
        </is>
      </c>
      <c r="N2818" s="18" t="inlineStr"/>
      <c r="O2818" s="19" t="inlineStr"/>
      <c r="P2818" s="18" t="inlineStr">
        <is>
          <t>#cobblemon:is_frozen_ocean</t>
        </is>
      </c>
      <c r="Q2818" s="19" t="inlineStr"/>
      <c r="R2818" s="18">
        <f>IF(Q2818="",P2818,Q2818)</f>
        <v/>
      </c>
      <c r="S2818" s="18" t="inlineStr"/>
      <c r="T2818" s="18" t="inlineStr">
        <is>
          <t>common</t>
        </is>
      </c>
      <c r="U2818" s="20" t="n">
        <v>6</v>
      </c>
      <c r="V2818" s="21" t="n">
        <v>1</v>
      </c>
      <c r="W2818" s="20">
        <f>IF(OR(U2818="",V2818=""),U2818,U2818*V2818)</f>
        <v/>
      </c>
      <c r="X2818" s="18" t="inlineStr">
        <is>
          <t>22-47</t>
        </is>
      </c>
      <c r="Y2818" s="19" t="inlineStr"/>
      <c r="Z2818" s="18">
        <f>IF(Y2818="",X2818,Y2818)</f>
        <v/>
      </c>
      <c r="AA2818" s="18" t="inlineStr">
        <is>
          <t>grounded</t>
        </is>
      </c>
      <c r="AB2818" s="18" t="inlineStr"/>
      <c r="AC2818" s="18" t="inlineStr"/>
      <c r="AD2818" s="18" t="inlineStr"/>
      <c r="AE2818" s="18" t="inlineStr">
        <is>
          <t>sky 8-15</t>
        </is>
      </c>
      <c r="AF2818" s="18" t="inlineStr"/>
      <c r="AG2818" s="18" t="inlineStr"/>
      <c r="AH2818" s="18" t="inlineStr"/>
      <c r="AI2818" s="18" t="inlineStr"/>
      <c r="AJ2818" s="18" t="inlineStr">
        <is>
          <t>Cobblemon 동일</t>
        </is>
      </c>
      <c r="AK2818" s="18" t="inlineStr">
        <is>
          <t>사용</t>
        </is>
      </c>
      <c r="AL2818" s="18" t="inlineStr">
        <is>
          <t>COBBLEVERSE 1.7.42 / DP v31</t>
        </is>
      </c>
      <c r="AM2818" s="18" t="inlineStr">
        <is>
          <t>data/cobblemon/spawn_pool_world/0875_eiscue.json</t>
        </is>
      </c>
      <c r="AN2818" s="18" t="inlineStr">
        <is>
          <t>eiscue-1</t>
        </is>
      </c>
      <c r="AO2818" s="18" t="inlineStr">
        <is>
          <t>pokemon</t>
        </is>
      </c>
      <c r="AP2818" s="18" t="inlineStr">
        <is>
          <t>natural</t>
        </is>
      </c>
      <c r="AQ2818" s="18" t="inlineStr">
        <is>
          <t>{"biomes":["#cobblemon:is_frozen_ocean"],"maxSkyLight":15,"minSkyLight":8}</t>
        </is>
      </c>
      <c r="AR2818" s="18" t="inlineStr"/>
      <c r="AS2818" s="18" t="inlineStr"/>
      <c r="AT2818" s="19" t="inlineStr"/>
    </row>
    <row r="2819" ht="32" customHeight="1">
      <c r="A2819" s="18" t="inlineStr">
        <is>
          <t>0875_eiscue.json::eiscue-2::002</t>
        </is>
      </c>
      <c r="B2819" s="19" t="inlineStr">
        <is>
          <t>사용</t>
        </is>
      </c>
      <c r="C2819" s="18">
        <f>IF(OR(B2819&lt;&gt;AK2819,M2819&lt;&gt;L2819,O2819&lt;&gt;"",Q2819&lt;&gt;"",V2819&lt;&gt;1,Y2819&lt;&gt;"",AT2819&lt;&gt;""),"수정","원본")</f>
        <v/>
      </c>
      <c r="D2819" s="18" t="n">
        <v>875</v>
      </c>
      <c r="E2819" s="18" t="inlineStr">
        <is>
          <t>빙큐보</t>
        </is>
      </c>
      <c r="F2819" s="18" t="inlineStr">
        <is>
          <t>eiscue</t>
        </is>
      </c>
      <c r="G2819" s="18" t="inlineStr">
        <is>
          <t>eiscue</t>
        </is>
      </c>
      <c r="H2819" s="18" t="inlineStr"/>
      <c r="I2819" s="18" t="n">
        <v>8</v>
      </c>
      <c r="J2819" s="18" t="n"/>
      <c r="K2819" s="18" t="n">
        <v>8</v>
      </c>
      <c r="L2819" s="18" t="inlineStr">
        <is>
          <t>cobbleventure:generation_8</t>
        </is>
      </c>
      <c r="M2819" s="19" t="inlineStr">
        <is>
          <t>cobbleventure:generation_8</t>
        </is>
      </c>
      <c r="N2819" s="18" t="inlineStr"/>
      <c r="O2819" s="19" t="inlineStr"/>
      <c r="P2819" s="18" t="inlineStr">
        <is>
          <t>#cobblemon:is_frozen_ocean</t>
        </is>
      </c>
      <c r="Q2819" s="19" t="inlineStr"/>
      <c r="R2819" s="18">
        <f>IF(Q2819="",P2819,Q2819)</f>
        <v/>
      </c>
      <c r="S2819" s="18" t="inlineStr"/>
      <c r="T2819" s="18" t="inlineStr">
        <is>
          <t>common</t>
        </is>
      </c>
      <c r="U2819" s="20" t="n">
        <v>2</v>
      </c>
      <c r="V2819" s="21" t="n">
        <v>1</v>
      </c>
      <c r="W2819" s="20">
        <f>IF(OR(U2819="",V2819=""),U2819,U2819*V2819)</f>
        <v/>
      </c>
      <c r="X2819" s="18" t="inlineStr">
        <is>
          <t>22-47</t>
        </is>
      </c>
      <c r="Y2819" s="19" t="inlineStr"/>
      <c r="Z2819" s="18">
        <f>IF(Y2819="",X2819,Y2819)</f>
        <v/>
      </c>
      <c r="AA2819" s="18" t="inlineStr">
        <is>
          <t>surface</t>
        </is>
      </c>
      <c r="AB2819" s="18" t="inlineStr"/>
      <c r="AC2819" s="18" t="inlineStr"/>
      <c r="AD2819" s="18" t="inlineStr"/>
      <c r="AE2819" s="18" t="inlineStr">
        <is>
          <t>sky 8-15</t>
        </is>
      </c>
      <c r="AF2819" s="18" t="inlineStr"/>
      <c r="AG2819" s="18" t="inlineStr"/>
      <c r="AH2819" s="18" t="inlineStr"/>
      <c r="AI2819" s="18" t="inlineStr"/>
      <c r="AJ2819" s="18" t="inlineStr">
        <is>
          <t>Cobblemon 동일</t>
        </is>
      </c>
      <c r="AK2819" s="18" t="inlineStr">
        <is>
          <t>사용</t>
        </is>
      </c>
      <c r="AL2819" s="18" t="inlineStr">
        <is>
          <t>COBBLEVERSE 1.7.42 / DP v31</t>
        </is>
      </c>
      <c r="AM2819" s="18" t="inlineStr">
        <is>
          <t>data/cobblemon/spawn_pool_world/0875_eiscue.json</t>
        </is>
      </c>
      <c r="AN2819" s="18" t="inlineStr">
        <is>
          <t>eiscue-2</t>
        </is>
      </c>
      <c r="AO2819" s="18" t="inlineStr">
        <is>
          <t>pokemon</t>
        </is>
      </c>
      <c r="AP2819" s="18" t="inlineStr">
        <is>
          <t>water</t>
        </is>
      </c>
      <c r="AQ2819" s="18" t="inlineStr">
        <is>
          <t>{"biomes":["#cobblemon:is_frozen_ocean"],"maxSkyLight":15,"minSkyLight":8}</t>
        </is>
      </c>
      <c r="AR2819" s="18" t="inlineStr"/>
      <c r="AS2819" s="18" t="inlineStr"/>
      <c r="AT2819" s="19" t="inlineStr"/>
    </row>
    <row r="2820" ht="32" customHeight="1">
      <c r="A2820" s="18" t="inlineStr">
        <is>
          <t>0875_eiscue.json::eiscue-3::003</t>
        </is>
      </c>
      <c r="B2820" s="19" t="inlineStr">
        <is>
          <t>사용</t>
        </is>
      </c>
      <c r="C2820" s="18">
        <f>IF(OR(B2820&lt;&gt;AK2820,M2820&lt;&gt;L2820,O2820&lt;&gt;"",Q2820&lt;&gt;"",V2820&lt;&gt;1,Y2820&lt;&gt;"",AT2820&lt;&gt;""),"수정","원본")</f>
        <v/>
      </c>
      <c r="D2820" s="18" t="n">
        <v>875</v>
      </c>
      <c r="E2820" s="18" t="inlineStr">
        <is>
          <t>빙큐보</t>
        </is>
      </c>
      <c r="F2820" s="18" t="inlineStr">
        <is>
          <t>eiscue</t>
        </is>
      </c>
      <c r="G2820" s="18" t="inlineStr">
        <is>
          <t>eiscue</t>
        </is>
      </c>
      <c r="H2820" s="18" t="inlineStr"/>
      <c r="I2820" s="18" t="n">
        <v>8</v>
      </c>
      <c r="J2820" s="18" t="n"/>
      <c r="K2820" s="18" t="n">
        <v>8</v>
      </c>
      <c r="L2820" s="18" t="inlineStr">
        <is>
          <t>cobbleventure:generation_8</t>
        </is>
      </c>
      <c r="M2820" s="19" t="inlineStr">
        <is>
          <t>cobbleventure:generation_8</t>
        </is>
      </c>
      <c r="N2820" s="18" t="inlineStr"/>
      <c r="O2820" s="19" t="inlineStr"/>
      <c r="P2820" s="18" t="inlineStr">
        <is>
          <t>#cobblemon:is_frozen_ocean; #cobblemon:is_glacial; #cobblemon:is_tundra</t>
        </is>
      </c>
      <c r="Q2820" s="19" t="inlineStr"/>
      <c r="R2820" s="18">
        <f>IF(Q2820="",P2820,Q2820)</f>
        <v/>
      </c>
      <c r="S2820" s="18" t="inlineStr"/>
      <c r="T2820" s="18" t="inlineStr">
        <is>
          <t>common</t>
        </is>
      </c>
      <c r="U2820" s="20" t="n">
        <v>2</v>
      </c>
      <c r="V2820" s="21" t="n">
        <v>1</v>
      </c>
      <c r="W2820" s="20">
        <f>IF(OR(U2820="",V2820=""),U2820,U2820*V2820)</f>
        <v/>
      </c>
      <c r="X2820" s="18" t="inlineStr">
        <is>
          <t>22-47</t>
        </is>
      </c>
      <c r="Y2820" s="19" t="inlineStr"/>
      <c r="Z2820" s="18">
        <f>IF(Y2820="",X2820,Y2820)</f>
        <v/>
      </c>
      <c r="AA2820" s="18" t="inlineStr">
        <is>
          <t>fishing</t>
        </is>
      </c>
      <c r="AB2820" s="18" t="inlineStr"/>
      <c r="AC2820" s="18" t="inlineStr"/>
      <c r="AD2820" s="18" t="inlineStr"/>
      <c r="AE2820" s="18" t="inlineStr">
        <is>
          <t>sky 8-15</t>
        </is>
      </c>
      <c r="AF2820" s="18" t="inlineStr"/>
      <c r="AG2820" s="18" t="inlineStr"/>
      <c r="AH2820" s="18" t="inlineStr"/>
      <c r="AI2820" s="18" t="inlineStr"/>
      <c r="AJ2820" s="18" t="inlineStr">
        <is>
          <t>Cobblemon 동일</t>
        </is>
      </c>
      <c r="AK2820" s="18" t="inlineStr">
        <is>
          <t>사용</t>
        </is>
      </c>
      <c r="AL2820" s="18" t="inlineStr">
        <is>
          <t>COBBLEVERSE 1.7.42 / DP v31</t>
        </is>
      </c>
      <c r="AM2820" s="18" t="inlineStr">
        <is>
          <t>data/cobblemon/spawn_pool_world/0875_eiscue.json</t>
        </is>
      </c>
      <c r="AN2820" s="18" t="inlineStr">
        <is>
          <t>eiscue-3</t>
        </is>
      </c>
      <c r="AO2820" s="18" t="inlineStr">
        <is>
          <t>pokemon</t>
        </is>
      </c>
      <c r="AP2820" s="18" t="inlineStr"/>
      <c r="AQ2820" s="18" t="inlineStr">
        <is>
          <t>{"biomes":["#cobblemon:is_frozen_ocean","#cobblemon:is_glacial","#cobblemon:is_tundra"],"maxSkyLight":15,"minSkyLight":8}</t>
        </is>
      </c>
      <c r="AR2820" s="18" t="inlineStr"/>
      <c r="AS2820" s="18" t="inlineStr">
        <is>
          <t>{"weightMultipliers":[{"condition":{"maxLureLevel":2,"minLureLevel":2},"multiplier":3.0},{"condition":{"minLureLevel":3},"multiplier":5.0}]}</t>
        </is>
      </c>
      <c r="AT2820" s="19" t="inlineStr"/>
    </row>
    <row r="2821" ht="32" customHeight="1">
      <c r="A2821" s="18" t="inlineStr">
        <is>
          <t>0876_indeedee.json::indeedee-1::001</t>
        </is>
      </c>
      <c r="B2821" s="19" t="inlineStr">
        <is>
          <t>사용</t>
        </is>
      </c>
      <c r="C2821" s="18">
        <f>IF(OR(B2821&lt;&gt;AK2821,M2821&lt;&gt;L2821,O2821&lt;&gt;"",Q2821&lt;&gt;"",V2821&lt;&gt;1,Y2821&lt;&gt;"",AT2821&lt;&gt;""),"수정","원본")</f>
        <v/>
      </c>
      <c r="D2821" s="18" t="n">
        <v>876</v>
      </c>
      <c r="E2821" s="18" t="inlineStr">
        <is>
          <t>에써르</t>
        </is>
      </c>
      <c r="F2821" s="18" t="inlineStr">
        <is>
          <t>indeedee</t>
        </is>
      </c>
      <c r="G2821" s="18" t="inlineStr">
        <is>
          <t>indeedee gender=female</t>
        </is>
      </c>
      <c r="H2821" s="18" t="inlineStr">
        <is>
          <t>gender=female</t>
        </is>
      </c>
      <c r="I2821" s="18" t="n">
        <v>8</v>
      </c>
      <c r="J2821" s="18" t="n"/>
      <c r="K2821" s="18" t="n">
        <v>8</v>
      </c>
      <c r="L2821" s="18" t="inlineStr">
        <is>
          <t>cobbleventure:generation_8</t>
        </is>
      </c>
      <c r="M2821" s="19" t="inlineStr">
        <is>
          <t>cobbleventure:generation_8</t>
        </is>
      </c>
      <c r="N2821" s="18" t="inlineStr"/>
      <c r="O2821" s="19" t="inlineStr"/>
      <c r="P2821" s="18" t="inlineStr">
        <is>
          <t>#cobblemon:is_magical</t>
        </is>
      </c>
      <c r="Q2821" s="19" t="inlineStr"/>
      <c r="R2821" s="18">
        <f>IF(Q2821="",P2821,Q2821)</f>
        <v/>
      </c>
      <c r="S2821" s="18" t="inlineStr"/>
      <c r="T2821" s="18" t="inlineStr">
        <is>
          <t>rare</t>
        </is>
      </c>
      <c r="U2821" s="20" t="n">
        <v>1.5</v>
      </c>
      <c r="V2821" s="21" t="n">
        <v>1</v>
      </c>
      <c r="W2821" s="20">
        <f>IF(OR(U2821="",V2821=""),U2821,U2821*V2821)</f>
        <v/>
      </c>
      <c r="X2821" s="18" t="inlineStr">
        <is>
          <t>35-67</t>
        </is>
      </c>
      <c r="Y2821" s="19" t="inlineStr"/>
      <c r="Z2821" s="18">
        <f>IF(Y2821="",X2821,Y2821)</f>
        <v/>
      </c>
      <c r="AA2821" s="18" t="inlineStr">
        <is>
          <t>grounded</t>
        </is>
      </c>
      <c r="AB2821" s="18" t="inlineStr"/>
      <c r="AC2821" s="18" t="inlineStr"/>
      <c r="AD2821" s="18" t="inlineStr"/>
      <c r="AE2821" s="18" t="inlineStr"/>
      <c r="AF2821" s="18" t="inlineStr">
        <is>
          <t>True</t>
        </is>
      </c>
      <c r="AG2821" s="18" t="inlineStr"/>
      <c r="AH2821" s="18" t="inlineStr"/>
      <c r="AI2821" s="18" t="inlineStr"/>
      <c r="AJ2821" s="18" t="inlineStr">
        <is>
          <t>COBBLEVERSE 추가</t>
        </is>
      </c>
      <c r="AK2821" s="18" t="inlineStr">
        <is>
          <t>사용</t>
        </is>
      </c>
      <c r="AL2821" s="18" t="inlineStr">
        <is>
          <t>COBBLEVERSE 1.7.42 / DP v31</t>
        </is>
      </c>
      <c r="AM2821" s="18" t="inlineStr">
        <is>
          <t>data/cobblemon/spawn_pool_world/0876_indeedee.json</t>
        </is>
      </c>
      <c r="AN2821" s="18" t="inlineStr">
        <is>
          <t>indeedee-1</t>
        </is>
      </c>
      <c r="AO2821" s="18" t="inlineStr">
        <is>
          <t>pokemon</t>
        </is>
      </c>
      <c r="AP2821" s="18" t="inlineStr">
        <is>
          <t>natural</t>
        </is>
      </c>
      <c r="AQ2821" s="18" t="inlineStr">
        <is>
          <t>{"biomes":["#cobblemon:is_magical"],"canSeeSky":true}</t>
        </is>
      </c>
      <c r="AR2821" s="18" t="inlineStr"/>
      <c r="AS2821" s="18" t="inlineStr"/>
      <c r="AT2821" s="19" t="inlineStr"/>
    </row>
    <row r="2822" ht="32" customHeight="1">
      <c r="A2822" s="18" t="inlineStr">
        <is>
          <t>0876_indeedee.json::indeedee-1::002</t>
        </is>
      </c>
      <c r="B2822" s="19" t="inlineStr">
        <is>
          <t>사용</t>
        </is>
      </c>
      <c r="C2822" s="18">
        <f>IF(OR(B2822&lt;&gt;AK2822,M2822&lt;&gt;L2822,O2822&lt;&gt;"",Q2822&lt;&gt;"",V2822&lt;&gt;1,Y2822&lt;&gt;"",AT2822&lt;&gt;""),"수정","원본")</f>
        <v/>
      </c>
      <c r="D2822" s="18" t="n">
        <v>876</v>
      </c>
      <c r="E2822" s="18" t="inlineStr">
        <is>
          <t>에써르</t>
        </is>
      </c>
      <c r="F2822" s="18" t="inlineStr">
        <is>
          <t>indeedee</t>
        </is>
      </c>
      <c r="G2822" s="18" t="inlineStr">
        <is>
          <t>indeedee gender=male</t>
        </is>
      </c>
      <c r="H2822" s="18" t="inlineStr">
        <is>
          <t>gender=male</t>
        </is>
      </c>
      <c r="I2822" s="18" t="n">
        <v>8</v>
      </c>
      <c r="J2822" s="18" t="n"/>
      <c r="K2822" s="18" t="n">
        <v>8</v>
      </c>
      <c r="L2822" s="18" t="inlineStr">
        <is>
          <t>cobbleventure:generation_8</t>
        </is>
      </c>
      <c r="M2822" s="19" t="inlineStr">
        <is>
          <t>cobbleventure:generation_8</t>
        </is>
      </c>
      <c r="N2822" s="18" t="inlineStr"/>
      <c r="O2822" s="19" t="inlineStr"/>
      <c r="P2822" s="18" t="inlineStr">
        <is>
          <t>#cobblemon:is_magical</t>
        </is>
      </c>
      <c r="Q2822" s="19" t="inlineStr"/>
      <c r="R2822" s="18">
        <f>IF(Q2822="",P2822,Q2822)</f>
        <v/>
      </c>
      <c r="S2822" s="18" t="inlineStr"/>
      <c r="T2822" s="18" t="inlineStr">
        <is>
          <t>rare</t>
        </is>
      </c>
      <c r="U2822" s="20" t="n">
        <v>1.5</v>
      </c>
      <c r="V2822" s="21" t="n">
        <v>1</v>
      </c>
      <c r="W2822" s="20">
        <f>IF(OR(U2822="",V2822=""),U2822,U2822*V2822)</f>
        <v/>
      </c>
      <c r="X2822" s="18" t="inlineStr">
        <is>
          <t>35-67</t>
        </is>
      </c>
      <c r="Y2822" s="19" t="inlineStr"/>
      <c r="Z2822" s="18">
        <f>IF(Y2822="",X2822,Y2822)</f>
        <v/>
      </c>
      <c r="AA2822" s="18" t="inlineStr">
        <is>
          <t>grounded</t>
        </is>
      </c>
      <c r="AB2822" s="18" t="inlineStr"/>
      <c r="AC2822" s="18" t="inlineStr"/>
      <c r="AD2822" s="18" t="inlineStr"/>
      <c r="AE2822" s="18" t="inlineStr"/>
      <c r="AF2822" s="18" t="inlineStr">
        <is>
          <t>True</t>
        </is>
      </c>
      <c r="AG2822" s="18" t="inlineStr"/>
      <c r="AH2822" s="18" t="inlineStr"/>
      <c r="AI2822" s="18" t="inlineStr"/>
      <c r="AJ2822" s="18" t="inlineStr">
        <is>
          <t>COBBLEVERSE 추가</t>
        </is>
      </c>
      <c r="AK2822" s="18" t="inlineStr">
        <is>
          <t>사용</t>
        </is>
      </c>
      <c r="AL2822" s="18" t="inlineStr">
        <is>
          <t>COBBLEVERSE 1.7.42 / DP v31</t>
        </is>
      </c>
      <c r="AM2822" s="18" t="inlineStr">
        <is>
          <t>data/cobblemon/spawn_pool_world/0876_indeedee.json</t>
        </is>
      </c>
      <c r="AN2822" s="18" t="inlineStr">
        <is>
          <t>indeedee-1</t>
        </is>
      </c>
      <c r="AO2822" s="18" t="inlineStr">
        <is>
          <t>pokemon</t>
        </is>
      </c>
      <c r="AP2822" s="18" t="inlineStr">
        <is>
          <t>natural</t>
        </is>
      </c>
      <c r="AQ2822" s="18" t="inlineStr">
        <is>
          <t>{"biomes":["#cobblemon:is_magical"],"canSeeSky":true}</t>
        </is>
      </c>
      <c r="AR2822" s="18" t="inlineStr"/>
      <c r="AS2822" s="18" t="inlineStr"/>
      <c r="AT2822" s="19" t="inlineStr"/>
    </row>
    <row r="2823" ht="32" customHeight="1">
      <c r="A2823" s="18" t="inlineStr">
        <is>
          <t>0877_morpeko.json::morpeko-1::001</t>
        </is>
      </c>
      <c r="B2823" s="19" t="inlineStr">
        <is>
          <t>사용</t>
        </is>
      </c>
      <c r="C2823" s="18">
        <f>IF(OR(B2823&lt;&gt;AK2823,M2823&lt;&gt;L2823,O2823&lt;&gt;"",Q2823&lt;&gt;"",V2823&lt;&gt;1,Y2823&lt;&gt;"",AT2823&lt;&gt;""),"수정","원본")</f>
        <v/>
      </c>
      <c r="D2823" s="18" t="n">
        <v>877</v>
      </c>
      <c r="E2823" s="18" t="inlineStr">
        <is>
          <t>모르페코</t>
        </is>
      </c>
      <c r="F2823" s="18" t="inlineStr">
        <is>
          <t>morpeko</t>
        </is>
      </c>
      <c r="G2823" s="18" t="inlineStr">
        <is>
          <t>morpeko</t>
        </is>
      </c>
      <c r="H2823" s="18" t="inlineStr"/>
      <c r="I2823" s="18" t="n">
        <v>8</v>
      </c>
      <c r="J2823" s="18" t="n"/>
      <c r="K2823" s="18" t="n">
        <v>8</v>
      </c>
      <c r="L2823" s="18" t="inlineStr">
        <is>
          <t>cobbleventure:generation_8</t>
        </is>
      </c>
      <c r="M2823" s="19" t="inlineStr">
        <is>
          <t>cobbleventure:generation_8</t>
        </is>
      </c>
      <c r="N2823" s="18" t="inlineStr">
        <is>
          <t>region_01</t>
        </is>
      </c>
      <c r="O2823" s="19" t="inlineStr"/>
      <c r="P2823" s="18" t="inlineStr">
        <is>
          <t>#cobblemon:is_forest</t>
        </is>
      </c>
      <c r="Q2823" s="19" t="inlineStr"/>
      <c r="R2823" s="18">
        <f>IF(Q2823="",P2823,Q2823)</f>
        <v/>
      </c>
      <c r="S2823" s="18" t="inlineStr"/>
      <c r="T2823" s="18" t="inlineStr">
        <is>
          <t>uncommon</t>
        </is>
      </c>
      <c r="U2823" s="20" t="n">
        <v>10</v>
      </c>
      <c r="V2823" s="21" t="n">
        <v>1</v>
      </c>
      <c r="W2823" s="20">
        <f>IF(OR(U2823="",V2823=""),U2823,U2823*V2823)</f>
        <v/>
      </c>
      <c r="X2823" s="18" t="inlineStr">
        <is>
          <t>19-44</t>
        </is>
      </c>
      <c r="Y2823" s="19" t="inlineStr"/>
      <c r="Z2823" s="18">
        <f>IF(Y2823="",X2823,Y2823)</f>
        <v/>
      </c>
      <c r="AA2823" s="18" t="inlineStr">
        <is>
          <t>grounded</t>
        </is>
      </c>
      <c r="AB2823" s="18" t="inlineStr"/>
      <c r="AC2823" s="18" t="inlineStr"/>
      <c r="AD2823" s="18" t="inlineStr"/>
      <c r="AE2823" s="18" t="inlineStr">
        <is>
          <t>sky 8-15</t>
        </is>
      </c>
      <c r="AF2823" s="18" t="inlineStr"/>
      <c r="AG2823" s="18" t="inlineStr"/>
      <c r="AH2823" s="18" t="inlineStr">
        <is>
          <t>주변=#cobblemon:berries</t>
        </is>
      </c>
      <c r="AI2823" s="18" t="inlineStr"/>
      <c r="AJ2823" s="18" t="inlineStr">
        <is>
          <t>COBBLEVERSE 수정</t>
        </is>
      </c>
      <c r="AK2823" s="18" t="inlineStr">
        <is>
          <t>사용</t>
        </is>
      </c>
      <c r="AL2823" s="18" t="inlineStr">
        <is>
          <t>COBBLEVERSE 1.7.42 / DP v31</t>
        </is>
      </c>
      <c r="AM2823" s="18" t="inlineStr">
        <is>
          <t>data/cobblemon/spawn_pool_world/0877_morpeko.json</t>
        </is>
      </c>
      <c r="AN2823" s="18" t="inlineStr">
        <is>
          <t>morpeko-1</t>
        </is>
      </c>
      <c r="AO2823" s="18" t="inlineStr">
        <is>
          <t>pokemon</t>
        </is>
      </c>
      <c r="AP2823" s="18" t="inlineStr"/>
      <c r="AQ2823" s="18" t="inlineStr">
        <is>
          <t>{"biomes":["#cobblemon:is_forest"],"maxSkyLight":15,"minSkyLight":8,"neededNearbyBlocks":["#cobblemon:berries"]}</t>
        </is>
      </c>
      <c r="AR2823" s="18" t="inlineStr"/>
      <c r="AS2823" s="18" t="inlineStr">
        <is>
          <t>{"weightMultiplier":{"condition":{"isThundering":true},"multiplier":5.0}}</t>
        </is>
      </c>
      <c r="AT2823" s="19" t="inlineStr"/>
    </row>
    <row r="2824" ht="32" customHeight="1">
      <c r="A2824" s="18" t="inlineStr">
        <is>
          <t>0878_cufant.json::cufant-1::001</t>
        </is>
      </c>
      <c r="B2824" s="19" t="inlineStr">
        <is>
          <t>사용</t>
        </is>
      </c>
      <c r="C2824" s="18">
        <f>IF(OR(B2824&lt;&gt;AK2824,M2824&lt;&gt;L2824,O2824&lt;&gt;"",Q2824&lt;&gt;"",V2824&lt;&gt;1,Y2824&lt;&gt;"",AT2824&lt;&gt;""),"수정","원본")</f>
        <v/>
      </c>
      <c r="D2824" s="18" t="n">
        <v>878</v>
      </c>
      <c r="E2824" s="18" t="inlineStr">
        <is>
          <t>끼리동</t>
        </is>
      </c>
      <c r="F2824" s="18" t="inlineStr">
        <is>
          <t>cufant</t>
        </is>
      </c>
      <c r="G2824" s="18" t="inlineStr">
        <is>
          <t>cufant</t>
        </is>
      </c>
      <c r="H2824" s="18" t="inlineStr"/>
      <c r="I2824" s="18" t="n">
        <v>8</v>
      </c>
      <c r="J2824" s="18" t="n"/>
      <c r="K2824" s="18" t="n">
        <v>8</v>
      </c>
      <c r="L2824" s="18" t="inlineStr">
        <is>
          <t>cobbleventure:generation_8</t>
        </is>
      </c>
      <c r="M2824" s="19" t="inlineStr">
        <is>
          <t>cobbleventure:generation_8</t>
        </is>
      </c>
      <c r="N2824" s="18" t="inlineStr"/>
      <c r="O2824" s="19" t="inlineStr"/>
      <c r="P2824" s="18" t="inlineStr">
        <is>
          <t>#cobblemon:is_badlands; #cobblemon:is_hills; #cobblemon:is_savanna</t>
        </is>
      </c>
      <c r="Q2824" s="19" t="inlineStr"/>
      <c r="R2824" s="18">
        <f>IF(Q2824="",P2824,Q2824)</f>
        <v/>
      </c>
      <c r="S2824" s="18" t="inlineStr">
        <is>
          <t>#cobblemon:is_freezing</t>
        </is>
      </c>
      <c r="T2824" s="18" t="inlineStr">
        <is>
          <t>uncommon</t>
        </is>
      </c>
      <c r="U2824" s="20" t="n">
        <v>5.04</v>
      </c>
      <c r="V2824" s="21" t="n">
        <v>1</v>
      </c>
      <c r="W2824" s="20">
        <f>IF(OR(U2824="",V2824=""),U2824,U2824*V2824)</f>
        <v/>
      </c>
      <c r="X2824" s="18" t="inlineStr">
        <is>
          <t>8-33</t>
        </is>
      </c>
      <c r="Y2824" s="19" t="inlineStr"/>
      <c r="Z2824" s="18">
        <f>IF(Y2824="",X2824,Y2824)</f>
        <v/>
      </c>
      <c r="AA2824" s="18" t="inlineStr">
        <is>
          <t>grounded</t>
        </is>
      </c>
      <c r="AB2824" s="18" t="inlineStr"/>
      <c r="AC2824" s="18" t="inlineStr"/>
      <c r="AD2824" s="18" t="inlineStr"/>
      <c r="AE2824" s="18" t="inlineStr">
        <is>
          <t>sky 8-15</t>
        </is>
      </c>
      <c r="AF2824" s="18" t="inlineStr"/>
      <c r="AG2824" s="18" t="inlineStr"/>
      <c r="AH2824" s="18" t="inlineStr"/>
      <c r="AI2824" s="18" t="inlineStr"/>
      <c r="AJ2824" s="18" t="inlineStr">
        <is>
          <t>Cobblemon 동일</t>
        </is>
      </c>
      <c r="AK2824" s="18" t="inlineStr">
        <is>
          <t>사용</t>
        </is>
      </c>
      <c r="AL2824" s="18" t="inlineStr">
        <is>
          <t>COBBLEVERSE 1.7.42 / DP v31</t>
        </is>
      </c>
      <c r="AM2824" s="18" t="inlineStr">
        <is>
          <t>data/cobblemon/spawn_pool_world/0878_cufant.json</t>
        </is>
      </c>
      <c r="AN2824" s="18" t="inlineStr">
        <is>
          <t>cufant-1</t>
        </is>
      </c>
      <c r="AO2824" s="18" t="inlineStr">
        <is>
          <t>pokemon</t>
        </is>
      </c>
      <c r="AP2824" s="18" t="inlineStr">
        <is>
          <t>natural; wild</t>
        </is>
      </c>
      <c r="AQ2824" s="18" t="inlineStr">
        <is>
          <t>{"biomes":["#cobblemon:is_badlands","#cobblemon:is_hills","#cobblemon:is_savanna"],"maxSkyLight":15,"minSkyLight":8}</t>
        </is>
      </c>
      <c r="AR2824" s="18" t="inlineStr">
        <is>
          <t>{"biomes":["#cobblemon:is_freezing"]}</t>
        </is>
      </c>
      <c r="AS2824" s="18" t="inlineStr">
        <is>
          <t>{"weightMultiplier":{"condition":{"timeRange":"night"},"multiplier":0.25}}</t>
        </is>
      </c>
      <c r="AT2824" s="19" t="inlineStr"/>
    </row>
    <row r="2825" ht="32" customHeight="1">
      <c r="A2825" s="18" t="inlineStr">
        <is>
          <t>0879_copperajah.json::copperajah-1::001</t>
        </is>
      </c>
      <c r="B2825" s="19" t="inlineStr">
        <is>
          <t>사용</t>
        </is>
      </c>
      <c r="C2825" s="18">
        <f>IF(OR(B2825&lt;&gt;AK2825,M2825&lt;&gt;L2825,O2825&lt;&gt;"",Q2825&lt;&gt;"",V2825&lt;&gt;1,Y2825&lt;&gt;"",AT2825&lt;&gt;""),"수정","원본")</f>
        <v/>
      </c>
      <c r="D2825" s="18" t="n">
        <v>879</v>
      </c>
      <c r="E2825" s="18" t="inlineStr">
        <is>
          <t>대왕끼리동</t>
        </is>
      </c>
      <c r="F2825" s="18" t="inlineStr">
        <is>
          <t>copperajah</t>
        </is>
      </c>
      <c r="G2825" s="18" t="inlineStr">
        <is>
          <t>copperajah</t>
        </is>
      </c>
      <c r="H2825" s="18" t="inlineStr"/>
      <c r="I2825" s="18" t="n">
        <v>8</v>
      </c>
      <c r="J2825" s="18" t="n"/>
      <c r="K2825" s="18" t="n">
        <v>8</v>
      </c>
      <c r="L2825" s="18" t="inlineStr">
        <is>
          <t>cobbleventure:generation_8</t>
        </is>
      </c>
      <c r="M2825" s="19" t="inlineStr">
        <is>
          <t>cobbleventure:generation_8</t>
        </is>
      </c>
      <c r="N2825" s="18" t="inlineStr"/>
      <c r="O2825" s="19" t="inlineStr"/>
      <c r="P2825" s="18" t="inlineStr">
        <is>
          <t>#cobblemon:is_badlands; #cobblemon:is_hills; #cobblemon:is_savanna</t>
        </is>
      </c>
      <c r="Q2825" s="19" t="inlineStr"/>
      <c r="R2825" s="18">
        <f>IF(Q2825="",P2825,Q2825)</f>
        <v/>
      </c>
      <c r="S2825" s="18" t="inlineStr">
        <is>
          <t>#cobblemon:is_freezing</t>
        </is>
      </c>
      <c r="T2825" s="18" t="inlineStr">
        <is>
          <t>uncommon</t>
        </is>
      </c>
      <c r="U2825" s="20" t="n">
        <v>0.96</v>
      </c>
      <c r="V2825" s="21" t="n">
        <v>1</v>
      </c>
      <c r="W2825" s="20">
        <f>IF(OR(U2825="",V2825=""),U2825,U2825*V2825)</f>
        <v/>
      </c>
      <c r="X2825" s="18" t="inlineStr">
        <is>
          <t>34-50</t>
        </is>
      </c>
      <c r="Y2825" s="19" t="inlineStr"/>
      <c r="Z2825" s="18">
        <f>IF(Y2825="",X2825,Y2825)</f>
        <v/>
      </c>
      <c r="AA2825" s="18" t="inlineStr">
        <is>
          <t>grounded</t>
        </is>
      </c>
      <c r="AB2825" s="18" t="inlineStr"/>
      <c r="AC2825" s="18" t="inlineStr"/>
      <c r="AD2825" s="18" t="inlineStr"/>
      <c r="AE2825" s="18" t="inlineStr">
        <is>
          <t>sky 8-15</t>
        </is>
      </c>
      <c r="AF2825" s="18" t="inlineStr"/>
      <c r="AG2825" s="18" t="inlineStr"/>
      <c r="AH2825" s="18" t="inlineStr"/>
      <c r="AI2825" s="18" t="inlineStr"/>
      <c r="AJ2825" s="18" t="inlineStr">
        <is>
          <t>Cobblemon 동일</t>
        </is>
      </c>
      <c r="AK2825" s="18" t="inlineStr">
        <is>
          <t>사용</t>
        </is>
      </c>
      <c r="AL2825" s="18" t="inlineStr">
        <is>
          <t>COBBLEVERSE 1.7.42 / DP v31</t>
        </is>
      </c>
      <c r="AM2825" s="18" t="inlineStr">
        <is>
          <t>data/cobblemon/spawn_pool_world/0879_copperajah.json</t>
        </is>
      </c>
      <c r="AN2825" s="18" t="inlineStr">
        <is>
          <t>copperajah-1</t>
        </is>
      </c>
      <c r="AO2825" s="18" t="inlineStr">
        <is>
          <t>pokemon</t>
        </is>
      </c>
      <c r="AP2825" s="18" t="inlineStr">
        <is>
          <t>natural; wild</t>
        </is>
      </c>
      <c r="AQ2825" s="18" t="inlineStr">
        <is>
          <t>{"biomes":["#cobblemon:is_badlands","#cobblemon:is_hills","#cobblemon:is_savanna"],"maxSkyLight":15,"minSkyLight":8}</t>
        </is>
      </c>
      <c r="AR2825" s="18" t="inlineStr">
        <is>
          <t>{"biomes":["#cobblemon:is_freezing"]}</t>
        </is>
      </c>
      <c r="AS2825" s="18" t="inlineStr">
        <is>
          <t>{"weightMultiplier":{"condition":{"timeRange":"night"},"multiplier":0.25}}</t>
        </is>
      </c>
      <c r="AT2825" s="19" t="inlineStr"/>
    </row>
    <row r="2826" ht="32" customHeight="1">
      <c r="A2826" s="18" t="inlineStr">
        <is>
          <t>0884_duraludon.json::duraludon-1::001</t>
        </is>
      </c>
      <c r="B2826" s="19" t="inlineStr">
        <is>
          <t>사용</t>
        </is>
      </c>
      <c r="C2826" s="18">
        <f>IF(OR(B2826&lt;&gt;AK2826,M2826&lt;&gt;L2826,O2826&lt;&gt;"",Q2826&lt;&gt;"",V2826&lt;&gt;1,Y2826&lt;&gt;"",AT2826&lt;&gt;""),"수정","원본")</f>
        <v/>
      </c>
      <c r="D2826" s="18" t="n">
        <v>884</v>
      </c>
      <c r="E2826" s="18" t="inlineStr">
        <is>
          <t>두랄루돈</t>
        </is>
      </c>
      <c r="F2826" s="18" t="inlineStr">
        <is>
          <t>duraludon</t>
        </is>
      </c>
      <c r="G2826" s="18" t="inlineStr">
        <is>
          <t>duraludon</t>
        </is>
      </c>
      <c r="H2826" s="18" t="inlineStr"/>
      <c r="I2826" s="18" t="n">
        <v>8</v>
      </c>
      <c r="J2826" s="18" t="n"/>
      <c r="K2826" s="18" t="n">
        <v>8</v>
      </c>
      <c r="L2826" s="18" t="inlineStr">
        <is>
          <t>cobbleventure:generation_8</t>
        </is>
      </c>
      <c r="M2826" s="19" t="inlineStr">
        <is>
          <t>cobbleventure:generation_8</t>
        </is>
      </c>
      <c r="N2826" s="18" t="inlineStr"/>
      <c r="O2826" s="19" t="inlineStr"/>
      <c r="P2826" s="18" t="inlineStr">
        <is>
          <t>#cobblemon:is_end</t>
        </is>
      </c>
      <c r="Q2826" s="19" t="inlineStr"/>
      <c r="R2826" s="18">
        <f>IF(Q2826="",P2826,Q2826)</f>
        <v/>
      </c>
      <c r="S2826" s="18" t="inlineStr"/>
      <c r="T2826" s="18" t="inlineStr">
        <is>
          <t>rare</t>
        </is>
      </c>
      <c r="U2826" s="20" t="n">
        <v>7</v>
      </c>
      <c r="V2826" s="21" t="n">
        <v>1</v>
      </c>
      <c r="W2826" s="20">
        <f>IF(OR(U2826="",V2826=""),U2826,U2826*V2826)</f>
        <v/>
      </c>
      <c r="X2826" s="18" t="inlineStr">
        <is>
          <t>38-58</t>
        </is>
      </c>
      <c r="Y2826" s="19" t="inlineStr"/>
      <c r="Z2826" s="18">
        <f>IF(Y2826="",X2826,Y2826)</f>
        <v/>
      </c>
      <c r="AA2826" s="18" t="inlineStr">
        <is>
          <t>grounded</t>
        </is>
      </c>
      <c r="AB2826" s="18" t="inlineStr"/>
      <c r="AC2826" s="18" t="inlineStr"/>
      <c r="AD2826" s="18" t="inlineStr"/>
      <c r="AE2826" s="18" t="inlineStr"/>
      <c r="AF2826" s="18" t="inlineStr"/>
      <c r="AG2826" s="18" t="inlineStr"/>
      <c r="AH2826" s="18" t="inlineStr"/>
      <c r="AI2826" s="18" t="inlineStr"/>
      <c r="AJ2826" s="18" t="inlineStr">
        <is>
          <t>COBBLEVERSE 추가</t>
        </is>
      </c>
      <c r="AK2826" s="18" t="inlineStr">
        <is>
          <t>사용</t>
        </is>
      </c>
      <c r="AL2826" s="18" t="inlineStr">
        <is>
          <t>COBBLEVERSE 1.7.42 / DP v31</t>
        </is>
      </c>
      <c r="AM2826" s="18" t="inlineStr">
        <is>
          <t>data/cobblemon/spawn_pool_world/0884_duraludon.json</t>
        </is>
      </c>
      <c r="AN2826" s="18" t="inlineStr">
        <is>
          <t>duraludon-1</t>
        </is>
      </c>
      <c r="AO2826" s="18" t="inlineStr">
        <is>
          <t>pokemon</t>
        </is>
      </c>
      <c r="AP2826" s="18" t="inlineStr">
        <is>
          <t>natural</t>
        </is>
      </c>
      <c r="AQ2826" s="18" t="inlineStr">
        <is>
          <t>{"biomes":["#cobblemon:is_end"]}</t>
        </is>
      </c>
      <c r="AR2826" s="18" t="inlineStr"/>
      <c r="AS2826" s="18" t="inlineStr"/>
      <c r="AT2826" s="19" t="inlineStr"/>
    </row>
    <row r="2827" ht="32" customHeight="1">
      <c r="A2827" s="18" t="inlineStr">
        <is>
          <t>0885_dreepy.json::dreepy-1::001</t>
        </is>
      </c>
      <c r="B2827" s="19" t="inlineStr">
        <is>
          <t>사용</t>
        </is>
      </c>
      <c r="C2827" s="18">
        <f>IF(OR(B2827&lt;&gt;AK2827,M2827&lt;&gt;L2827,O2827&lt;&gt;"",Q2827&lt;&gt;"",V2827&lt;&gt;1,Y2827&lt;&gt;"",AT2827&lt;&gt;""),"수정","원본")</f>
        <v/>
      </c>
      <c r="D2827" s="18" t="n">
        <v>885</v>
      </c>
      <c r="E2827" s="18" t="inlineStr">
        <is>
          <t>드라꼰</t>
        </is>
      </c>
      <c r="F2827" s="18" t="inlineStr">
        <is>
          <t>dreepy</t>
        </is>
      </c>
      <c r="G2827" s="18" t="inlineStr">
        <is>
          <t>dreepy</t>
        </is>
      </c>
      <c r="H2827" s="18" t="inlineStr"/>
      <c r="I2827" s="18" t="n">
        <v>8</v>
      </c>
      <c r="J2827" s="18" t="n"/>
      <c r="K2827" s="18" t="n">
        <v>8</v>
      </c>
      <c r="L2827" s="18" t="inlineStr">
        <is>
          <t>cobbleventure:generation_8</t>
        </is>
      </c>
      <c r="M2827" s="19" t="inlineStr">
        <is>
          <t>cobbleventure:generation_8</t>
        </is>
      </c>
      <c r="N2827" s="18" t="inlineStr"/>
      <c r="O2827" s="19" t="inlineStr"/>
      <c r="P2827" s="18" t="inlineStr">
        <is>
          <t>#cobblemon:is_coast; #cobblemon:is_ocean</t>
        </is>
      </c>
      <c r="Q2827" s="19" t="inlineStr"/>
      <c r="R2827" s="18">
        <f>IF(Q2827="",P2827,Q2827)</f>
        <v/>
      </c>
      <c r="S2827" s="18" t="inlineStr">
        <is>
          <t>#cobblemon:is_freezing</t>
        </is>
      </c>
      <c r="T2827" s="18" t="inlineStr">
        <is>
          <t>ultra-rare</t>
        </is>
      </c>
      <c r="U2827" s="20" t="n">
        <v>3.6</v>
      </c>
      <c r="V2827" s="21" t="n">
        <v>1</v>
      </c>
      <c r="W2827" s="20">
        <f>IF(OR(U2827="",V2827=""),U2827,U2827*V2827)</f>
        <v/>
      </c>
      <c r="X2827" s="18" t="inlineStr">
        <is>
          <t>2-27</t>
        </is>
      </c>
      <c r="Y2827" s="19" t="inlineStr"/>
      <c r="Z2827" s="18">
        <f>IF(Y2827="",X2827,Y2827)</f>
        <v/>
      </c>
      <c r="AA2827" s="18" t="inlineStr">
        <is>
          <t>grounded</t>
        </is>
      </c>
      <c r="AB2827" s="18" t="inlineStr"/>
      <c r="AC2827" s="18" t="inlineStr"/>
      <c r="AD2827" s="18" t="inlineStr"/>
      <c r="AE2827" s="18" t="inlineStr">
        <is>
          <t>sky 8-15</t>
        </is>
      </c>
      <c r="AF2827" s="18" t="inlineStr"/>
      <c r="AG2827" s="18" t="inlineStr"/>
      <c r="AH2827" s="18" t="inlineStr"/>
      <c r="AI2827" s="18" t="inlineStr"/>
      <c r="AJ2827" s="18" t="inlineStr">
        <is>
          <t>COBBLEVERSE 수정</t>
        </is>
      </c>
      <c r="AK2827" s="18" t="inlineStr">
        <is>
          <t>사용</t>
        </is>
      </c>
      <c r="AL2827" s="18" t="inlineStr">
        <is>
          <t>COBBLEVERSE 1.7.42 / DP v31</t>
        </is>
      </c>
      <c r="AM2827" s="18" t="inlineStr">
        <is>
          <t>data/cobblemon/spawn_pool_world/0885_dreepy.json</t>
        </is>
      </c>
      <c r="AN2827" s="18" t="inlineStr">
        <is>
          <t>dreepy-1</t>
        </is>
      </c>
      <c r="AO2827" s="18" t="inlineStr">
        <is>
          <t>pokemon</t>
        </is>
      </c>
      <c r="AP2827" s="18" t="inlineStr">
        <is>
          <t>natural</t>
        </is>
      </c>
      <c r="AQ2827" s="18" t="inlineStr">
        <is>
          <t>{"biomes":["#cobblemon:is_coast","#cobblemon:is_ocean"],"maxSkyLight":15,"minSkyLight":8}</t>
        </is>
      </c>
      <c r="AR2827" s="18" t="inlineStr">
        <is>
          <t>{"biomes":["#cobblemon:is_freezing"]}</t>
        </is>
      </c>
      <c r="AS2827" s="18" t="inlineStr">
        <is>
          <t>{"weightMultiplier":{"condition":{"timeRange":"dusk"},"multiplier":5.0}}</t>
        </is>
      </c>
      <c r="AT2827" s="19" t="inlineStr"/>
    </row>
    <row r="2828" ht="32" customHeight="1">
      <c r="A2828" s="18" t="inlineStr">
        <is>
          <t>0885_dreepy.json::dreepy-2::002</t>
        </is>
      </c>
      <c r="B2828" s="19" t="inlineStr">
        <is>
          <t>사용</t>
        </is>
      </c>
      <c r="C2828" s="18">
        <f>IF(OR(B2828&lt;&gt;AK2828,M2828&lt;&gt;L2828,O2828&lt;&gt;"",Q2828&lt;&gt;"",V2828&lt;&gt;1,Y2828&lt;&gt;"",AT2828&lt;&gt;""),"수정","원본")</f>
        <v/>
      </c>
      <c r="D2828" s="18" t="n">
        <v>885</v>
      </c>
      <c r="E2828" s="18" t="inlineStr">
        <is>
          <t>드라꼰</t>
        </is>
      </c>
      <c r="F2828" s="18" t="inlineStr">
        <is>
          <t>dreepy</t>
        </is>
      </c>
      <c r="G2828" s="18" t="inlineStr">
        <is>
          <t>dreepy</t>
        </is>
      </c>
      <c r="H2828" s="18" t="inlineStr"/>
      <c r="I2828" s="18" t="n">
        <v>8</v>
      </c>
      <c r="J2828" s="18" t="n"/>
      <c r="K2828" s="18" t="n">
        <v>8</v>
      </c>
      <c r="L2828" s="18" t="inlineStr">
        <is>
          <t>cobbleventure:generation_8</t>
        </is>
      </c>
      <c r="M2828" s="19" t="inlineStr">
        <is>
          <t>cobbleventure:generation_8</t>
        </is>
      </c>
      <c r="N2828" s="18" t="inlineStr"/>
      <c r="O2828" s="19" t="inlineStr"/>
      <c r="P2828" s="18" t="inlineStr">
        <is>
          <t>#cobblemon:is_coast; #cobblemon:is_ocean</t>
        </is>
      </c>
      <c r="Q2828" s="19" t="inlineStr"/>
      <c r="R2828" s="18">
        <f>IF(Q2828="",P2828,Q2828)</f>
        <v/>
      </c>
      <c r="S2828" s="18" t="inlineStr">
        <is>
          <t>#cobblemon:is_freezing</t>
        </is>
      </c>
      <c r="T2828" s="18" t="inlineStr">
        <is>
          <t>ultra-rare</t>
        </is>
      </c>
      <c r="U2828" s="20" t="n">
        <v>3.6</v>
      </c>
      <c r="V2828" s="21" t="n">
        <v>1</v>
      </c>
      <c r="W2828" s="20">
        <f>IF(OR(U2828="",V2828=""),U2828,U2828*V2828)</f>
        <v/>
      </c>
      <c r="X2828" s="18" t="inlineStr">
        <is>
          <t>2-27</t>
        </is>
      </c>
      <c r="Y2828" s="19" t="inlineStr"/>
      <c r="Z2828" s="18">
        <f>IF(Y2828="",X2828,Y2828)</f>
        <v/>
      </c>
      <c r="AA2828" s="18" t="inlineStr">
        <is>
          <t>surface</t>
        </is>
      </c>
      <c r="AB2828" s="18" t="inlineStr">
        <is>
          <t>dusk</t>
        </is>
      </c>
      <c r="AC2828" s="18" t="inlineStr"/>
      <c r="AD2828" s="18" t="inlineStr"/>
      <c r="AE2828" s="18" t="inlineStr">
        <is>
          <t>sky 8-15</t>
        </is>
      </c>
      <c r="AF2828" s="18" t="inlineStr"/>
      <c r="AG2828" s="18" t="inlineStr"/>
      <c r="AH2828" s="18" t="inlineStr"/>
      <c r="AI2828" s="18" t="inlineStr"/>
      <c r="AJ2828" s="18" t="inlineStr">
        <is>
          <t>COBBLEVERSE 수정</t>
        </is>
      </c>
      <c r="AK2828" s="18" t="inlineStr">
        <is>
          <t>사용</t>
        </is>
      </c>
      <c r="AL2828" s="18" t="inlineStr">
        <is>
          <t>COBBLEVERSE 1.7.42 / DP v31</t>
        </is>
      </c>
      <c r="AM2828" s="18" t="inlineStr">
        <is>
          <t>data/cobblemon/spawn_pool_world/0885_dreepy.json</t>
        </is>
      </c>
      <c r="AN2828" s="18" t="inlineStr">
        <is>
          <t>dreepy-2</t>
        </is>
      </c>
      <c r="AO2828" s="18" t="inlineStr">
        <is>
          <t>pokemon</t>
        </is>
      </c>
      <c r="AP2828" s="18" t="inlineStr">
        <is>
          <t>water</t>
        </is>
      </c>
      <c r="AQ2828" s="18" t="inlineStr">
        <is>
          <t>{"biomes":["#cobblemon:is_coast","#cobblemon:is_ocean"],"maxSkyLight":15,"minSkyLight":8,"timeRange":"dusk"}</t>
        </is>
      </c>
      <c r="AR2828" s="18" t="inlineStr">
        <is>
          <t>{"biomes":["#cobblemon:is_freezing"]}</t>
        </is>
      </c>
      <c r="AS2828" s="18" t="inlineStr"/>
      <c r="AT2828" s="19" t="inlineStr"/>
    </row>
    <row r="2829" ht="32" customHeight="1">
      <c r="A2829" s="18" t="inlineStr">
        <is>
          <t>0885_dreepy.json::dreepy-3::003</t>
        </is>
      </c>
      <c r="B2829" s="19" t="inlineStr">
        <is>
          <t>사용</t>
        </is>
      </c>
      <c r="C2829" s="18">
        <f>IF(OR(B2829&lt;&gt;AK2829,M2829&lt;&gt;L2829,O2829&lt;&gt;"",Q2829&lt;&gt;"",V2829&lt;&gt;1,Y2829&lt;&gt;"",AT2829&lt;&gt;""),"수정","원본")</f>
        <v/>
      </c>
      <c r="D2829" s="18" t="n">
        <v>885</v>
      </c>
      <c r="E2829" s="18" t="inlineStr">
        <is>
          <t>드라꼰</t>
        </is>
      </c>
      <c r="F2829" s="18" t="inlineStr">
        <is>
          <t>dreepy</t>
        </is>
      </c>
      <c r="G2829" s="18" t="inlineStr">
        <is>
          <t>dreepy</t>
        </is>
      </c>
      <c r="H2829" s="18" t="inlineStr"/>
      <c r="I2829" s="18" t="n">
        <v>8</v>
      </c>
      <c r="J2829" s="18" t="n"/>
      <c r="K2829" s="18" t="n">
        <v>8</v>
      </c>
      <c r="L2829" s="18" t="inlineStr">
        <is>
          <t>cobbleventure:generation_8</t>
        </is>
      </c>
      <c r="M2829" s="19" t="inlineStr">
        <is>
          <t>cobbleventure:generation_8</t>
        </is>
      </c>
      <c r="N2829" s="18" t="inlineStr"/>
      <c r="O2829" s="19" t="inlineStr"/>
      <c r="P2829" s="18" t="inlineStr">
        <is>
          <t>#cobblemon:is_coast; #cobblemon:is_ocean</t>
        </is>
      </c>
      <c r="Q2829" s="19" t="inlineStr"/>
      <c r="R2829" s="18">
        <f>IF(Q2829="",P2829,Q2829)</f>
        <v/>
      </c>
      <c r="S2829" s="18" t="inlineStr">
        <is>
          <t>#cobblemon:is_freezing</t>
        </is>
      </c>
      <c r="T2829" s="18" t="inlineStr">
        <is>
          <t>ultra-rare</t>
        </is>
      </c>
      <c r="U2829" s="20" t="n">
        <v>3.6</v>
      </c>
      <c r="V2829" s="21" t="n">
        <v>1</v>
      </c>
      <c r="W2829" s="20">
        <f>IF(OR(U2829="",V2829=""),U2829,U2829*V2829)</f>
        <v/>
      </c>
      <c r="X2829" s="18" t="inlineStr">
        <is>
          <t>2-27</t>
        </is>
      </c>
      <c r="Y2829" s="19" t="inlineStr"/>
      <c r="Z2829" s="18">
        <f>IF(Y2829="",X2829,Y2829)</f>
        <v/>
      </c>
      <c r="AA2829" s="18" t="inlineStr">
        <is>
          <t>fishing</t>
        </is>
      </c>
      <c r="AB2829" s="18" t="inlineStr"/>
      <c r="AC2829" s="18" t="inlineStr"/>
      <c r="AD2829" s="18" t="inlineStr"/>
      <c r="AE2829" s="18" t="inlineStr"/>
      <c r="AF2829" s="18" t="inlineStr">
        <is>
          <t>True</t>
        </is>
      </c>
      <c r="AG2829" s="18" t="inlineStr"/>
      <c r="AH2829" s="18" t="inlineStr"/>
      <c r="AI2829" s="18" t="inlineStr"/>
      <c r="AJ2829" s="18" t="inlineStr">
        <is>
          <t>COBBLEVERSE 수정</t>
        </is>
      </c>
      <c r="AK2829" s="18" t="inlineStr">
        <is>
          <t>사용</t>
        </is>
      </c>
      <c r="AL2829" s="18" t="inlineStr">
        <is>
          <t>COBBLEVERSE 1.7.42 / DP v31</t>
        </is>
      </c>
      <c r="AM2829" s="18" t="inlineStr">
        <is>
          <t>data/cobblemon/spawn_pool_world/0885_dreepy.json</t>
        </is>
      </c>
      <c r="AN2829" s="18" t="inlineStr">
        <is>
          <t>dreepy-3</t>
        </is>
      </c>
      <c r="AO2829" s="18" t="inlineStr">
        <is>
          <t>pokemon</t>
        </is>
      </c>
      <c r="AP2829" s="18" t="inlineStr"/>
      <c r="AQ2829" s="18" t="inlineStr">
        <is>
          <t>{"biomes":["#cobblemon:is_coast","#cobblemon:is_ocean"],"canSeeSky":true}</t>
        </is>
      </c>
      <c r="AR2829" s="18" t="inlineStr">
        <is>
          <t>{"biomes":["#cobblemon:is_freezing"]}</t>
        </is>
      </c>
      <c r="AS2829" s="18" t="inlineStr">
        <is>
          <t>{"weightMultiplier":{"condition":{"timeRange":"dusk"},"multiplier":5.0}}</t>
        </is>
      </c>
      <c r="AT2829" s="19" t="inlineStr"/>
    </row>
    <row r="2830" ht="32" customHeight="1">
      <c r="A2830" s="18" t="inlineStr">
        <is>
          <t>0885_dreepy.json::dreepy-4::004</t>
        </is>
      </c>
      <c r="B2830" s="19" t="inlineStr">
        <is>
          <t>사용</t>
        </is>
      </c>
      <c r="C2830" s="18">
        <f>IF(OR(B2830&lt;&gt;AK2830,M2830&lt;&gt;L2830,O2830&lt;&gt;"",Q2830&lt;&gt;"",V2830&lt;&gt;1,Y2830&lt;&gt;"",AT2830&lt;&gt;""),"수정","원본")</f>
        <v/>
      </c>
      <c r="D2830" s="18" t="n">
        <v>885</v>
      </c>
      <c r="E2830" s="18" t="inlineStr">
        <is>
          <t>드라꼰</t>
        </is>
      </c>
      <c r="F2830" s="18" t="inlineStr">
        <is>
          <t>dreepy</t>
        </is>
      </c>
      <c r="G2830" s="18" t="inlineStr">
        <is>
          <t>dreepy</t>
        </is>
      </c>
      <c r="H2830" s="18" t="inlineStr"/>
      <c r="I2830" s="18" t="n">
        <v>8</v>
      </c>
      <c r="J2830" s="18" t="n"/>
      <c r="K2830" s="18" t="n">
        <v>8</v>
      </c>
      <c r="L2830" s="18" t="inlineStr">
        <is>
          <t>cobbleventure:generation_8</t>
        </is>
      </c>
      <c r="M2830" s="19" t="inlineStr">
        <is>
          <t>cobbleventure:generation_8</t>
        </is>
      </c>
      <c r="N2830" s="18" t="inlineStr"/>
      <c r="O2830" s="19" t="inlineStr"/>
      <c r="P2830" s="18" t="inlineStr">
        <is>
          <t>#cobblemon:is_coast; #cobblemon:is_ocean</t>
        </is>
      </c>
      <c r="Q2830" s="19" t="inlineStr"/>
      <c r="R2830" s="18">
        <f>IF(Q2830="",P2830,Q2830)</f>
        <v/>
      </c>
      <c r="S2830" s="18" t="inlineStr">
        <is>
          <t>#cobblemon:is_freezing</t>
        </is>
      </c>
      <c r="T2830" s="18" t="inlineStr">
        <is>
          <t>ultra-rare</t>
        </is>
      </c>
      <c r="U2830" s="20" t="n">
        <v>3.6</v>
      </c>
      <c r="V2830" s="21" t="n">
        <v>1</v>
      </c>
      <c r="W2830" s="20">
        <f>IF(OR(U2830="",V2830=""),U2830,U2830*V2830)</f>
        <v/>
      </c>
      <c r="X2830" s="18" t="inlineStr">
        <is>
          <t>2-27</t>
        </is>
      </c>
      <c r="Y2830" s="19" t="inlineStr"/>
      <c r="Z2830" s="18">
        <f>IF(Y2830="",X2830,Y2830)</f>
        <v/>
      </c>
      <c r="AA2830" s="18" t="inlineStr">
        <is>
          <t>fishing</t>
        </is>
      </c>
      <c r="AB2830" s="18" t="inlineStr"/>
      <c r="AC2830" s="18" t="inlineStr"/>
      <c r="AD2830" s="18" t="inlineStr"/>
      <c r="AE2830" s="18" t="inlineStr">
        <is>
          <t>sky 8-15</t>
        </is>
      </c>
      <c r="AF2830" s="18" t="inlineStr">
        <is>
          <t>False</t>
        </is>
      </c>
      <c r="AG2830" s="18" t="inlineStr"/>
      <c r="AH2830" s="18" t="inlineStr"/>
      <c r="AI2830" s="18" t="inlineStr"/>
      <c r="AJ2830" s="18" t="inlineStr">
        <is>
          <t>COBBLEVERSE 수정</t>
        </is>
      </c>
      <c r="AK2830" s="18" t="inlineStr">
        <is>
          <t>사용</t>
        </is>
      </c>
      <c r="AL2830" s="18" t="inlineStr">
        <is>
          <t>COBBLEVERSE 1.7.42 / DP v31</t>
        </is>
      </c>
      <c r="AM2830" s="18" t="inlineStr">
        <is>
          <t>data/cobblemon/spawn_pool_world/0885_dreepy.json</t>
        </is>
      </c>
      <c r="AN2830" s="18" t="inlineStr">
        <is>
          <t>dreepy-4</t>
        </is>
      </c>
      <c r="AO2830" s="18" t="inlineStr">
        <is>
          <t>pokemon</t>
        </is>
      </c>
      <c r="AP2830" s="18" t="inlineStr"/>
      <c r="AQ2830" s="18" t="inlineStr">
        <is>
          <t>{"biomes":["#cobblemon:is_coast","#cobblemon:is_ocean"],"canSeeSky":false,"maxSkyLight":15,"minSkyLight":8}</t>
        </is>
      </c>
      <c r="AR2830" s="18" t="inlineStr">
        <is>
          <t>{"biomes":["#cobblemon:is_freezing"]}</t>
        </is>
      </c>
      <c r="AS2830" s="18" t="inlineStr">
        <is>
          <t>{"weightMultiplier":{"condition":{"timeRange":"dusk"},"multiplier":5.0}}</t>
        </is>
      </c>
      <c r="AT2830" s="19" t="inlineStr"/>
    </row>
    <row r="2831" ht="32" customHeight="1">
      <c r="A2831" s="18" t="inlineStr">
        <is>
          <t>0886_drakloak.json::drakloak-1::001</t>
        </is>
      </c>
      <c r="B2831" s="19" t="inlineStr">
        <is>
          <t>사용</t>
        </is>
      </c>
      <c r="C2831" s="18">
        <f>IF(OR(B2831&lt;&gt;AK2831,M2831&lt;&gt;L2831,O2831&lt;&gt;"",Q2831&lt;&gt;"",V2831&lt;&gt;1,Y2831&lt;&gt;"",AT2831&lt;&gt;""),"수정","원본")</f>
        <v/>
      </c>
      <c r="D2831" s="18" t="n">
        <v>886</v>
      </c>
      <c r="E2831" s="18" t="inlineStr">
        <is>
          <t>드래런치</t>
        </is>
      </c>
      <c r="F2831" s="18" t="inlineStr">
        <is>
          <t>drakloak</t>
        </is>
      </c>
      <c r="G2831" s="18" t="inlineStr">
        <is>
          <t>drakloak</t>
        </is>
      </c>
      <c r="H2831" s="18" t="inlineStr"/>
      <c r="I2831" s="18" t="n">
        <v>8</v>
      </c>
      <c r="J2831" s="18" t="n"/>
      <c r="K2831" s="18" t="n">
        <v>8</v>
      </c>
      <c r="L2831" s="18" t="inlineStr">
        <is>
          <t>cobbleventure:generation_8</t>
        </is>
      </c>
      <c r="M2831" s="19" t="inlineStr">
        <is>
          <t>cobbleventure:generation_8</t>
        </is>
      </c>
      <c r="N2831" s="18" t="inlineStr"/>
      <c r="O2831" s="19" t="inlineStr"/>
      <c r="P2831" s="18" t="inlineStr">
        <is>
          <t>#cobblemon:is_coast; #cobblemon:is_ocean</t>
        </is>
      </c>
      <c r="Q2831" s="19" t="inlineStr"/>
      <c r="R2831" s="18">
        <f>IF(Q2831="",P2831,Q2831)</f>
        <v/>
      </c>
      <c r="S2831" s="18" t="inlineStr">
        <is>
          <t>#cobblemon:is_freezing</t>
        </is>
      </c>
      <c r="T2831" s="18" t="inlineStr">
        <is>
          <t>ultra-rare</t>
        </is>
      </c>
      <c r="U2831" s="20" t="n">
        <v>2.16</v>
      </c>
      <c r="V2831" s="21" t="n">
        <v>1</v>
      </c>
      <c r="W2831" s="20">
        <f>IF(OR(U2831="",V2831=""),U2831,U2831*V2831)</f>
        <v/>
      </c>
      <c r="X2831" s="18" t="inlineStr">
        <is>
          <t>50-55</t>
        </is>
      </c>
      <c r="Y2831" s="19" t="inlineStr"/>
      <c r="Z2831" s="18">
        <f>IF(Y2831="",X2831,Y2831)</f>
        <v/>
      </c>
      <c r="AA2831" s="18" t="inlineStr">
        <is>
          <t>grounded</t>
        </is>
      </c>
      <c r="AB2831" s="18" t="inlineStr"/>
      <c r="AC2831" s="18" t="inlineStr"/>
      <c r="AD2831" s="18" t="inlineStr"/>
      <c r="AE2831" s="18" t="inlineStr">
        <is>
          <t>sky 8-15</t>
        </is>
      </c>
      <c r="AF2831" s="18" t="inlineStr"/>
      <c r="AG2831" s="18" t="inlineStr"/>
      <c r="AH2831" s="18" t="inlineStr"/>
      <c r="AI2831" s="18" t="inlineStr"/>
      <c r="AJ2831" s="18" t="inlineStr">
        <is>
          <t>COBBLEVERSE 수정</t>
        </is>
      </c>
      <c r="AK2831" s="18" t="inlineStr">
        <is>
          <t>사용</t>
        </is>
      </c>
      <c r="AL2831" s="18" t="inlineStr">
        <is>
          <t>COBBLEVERSE 1.7.42 / DP v31</t>
        </is>
      </c>
      <c r="AM2831" s="18" t="inlineStr">
        <is>
          <t>data/cobblemon/spawn_pool_world/0886_drakloak.json</t>
        </is>
      </c>
      <c r="AN2831" s="18" t="inlineStr">
        <is>
          <t>drakloak-1</t>
        </is>
      </c>
      <c r="AO2831" s="18" t="inlineStr">
        <is>
          <t>pokemon</t>
        </is>
      </c>
      <c r="AP2831" s="18" t="inlineStr">
        <is>
          <t>natural</t>
        </is>
      </c>
      <c r="AQ2831" s="18" t="inlineStr">
        <is>
          <t>{"biomes":["#cobblemon:is_coast","#cobblemon:is_ocean"],"maxSkyLight":15,"minSkyLight":8}</t>
        </is>
      </c>
      <c r="AR2831" s="18" t="inlineStr">
        <is>
          <t>{"biomes":["#cobblemon:is_freezing"]}</t>
        </is>
      </c>
      <c r="AS2831" s="18" t="inlineStr">
        <is>
          <t>{"weightMultiplier":{"condition":{"timeRange":"dusk"},"multiplier":5.0}}</t>
        </is>
      </c>
      <c r="AT2831" s="19" t="inlineStr"/>
    </row>
    <row r="2832" ht="32" customHeight="1">
      <c r="A2832" s="18" t="inlineStr">
        <is>
          <t>0886_drakloak.json::drakloak-2::002</t>
        </is>
      </c>
      <c r="B2832" s="19" t="inlineStr">
        <is>
          <t>사용</t>
        </is>
      </c>
      <c r="C2832" s="18">
        <f>IF(OR(B2832&lt;&gt;AK2832,M2832&lt;&gt;L2832,O2832&lt;&gt;"",Q2832&lt;&gt;"",V2832&lt;&gt;1,Y2832&lt;&gt;"",AT2832&lt;&gt;""),"수정","원본")</f>
        <v/>
      </c>
      <c r="D2832" s="18" t="n">
        <v>886</v>
      </c>
      <c r="E2832" s="18" t="inlineStr">
        <is>
          <t>드래런치</t>
        </is>
      </c>
      <c r="F2832" s="18" t="inlineStr">
        <is>
          <t>drakloak</t>
        </is>
      </c>
      <c r="G2832" s="18" t="inlineStr">
        <is>
          <t>drakloak</t>
        </is>
      </c>
      <c r="H2832" s="18" t="inlineStr"/>
      <c r="I2832" s="18" t="n">
        <v>8</v>
      </c>
      <c r="J2832" s="18" t="n"/>
      <c r="K2832" s="18" t="n">
        <v>8</v>
      </c>
      <c r="L2832" s="18" t="inlineStr">
        <is>
          <t>cobbleventure:generation_8</t>
        </is>
      </c>
      <c r="M2832" s="19" t="inlineStr">
        <is>
          <t>cobbleventure:generation_8</t>
        </is>
      </c>
      <c r="N2832" s="18" t="inlineStr"/>
      <c r="O2832" s="19" t="inlineStr"/>
      <c r="P2832" s="18" t="inlineStr">
        <is>
          <t>#cobblemon:is_coast; #cobblemon:is_ocean</t>
        </is>
      </c>
      <c r="Q2832" s="19" t="inlineStr"/>
      <c r="R2832" s="18">
        <f>IF(Q2832="",P2832,Q2832)</f>
        <v/>
      </c>
      <c r="S2832" s="18" t="inlineStr">
        <is>
          <t>#cobblemon:is_freezing</t>
        </is>
      </c>
      <c r="T2832" s="18" t="inlineStr">
        <is>
          <t>ultra-rare</t>
        </is>
      </c>
      <c r="U2832" s="20" t="n">
        <v>2.16</v>
      </c>
      <c r="V2832" s="21" t="n">
        <v>1</v>
      </c>
      <c r="W2832" s="20">
        <f>IF(OR(U2832="",V2832=""),U2832,U2832*V2832)</f>
        <v/>
      </c>
      <c r="X2832" s="18" t="inlineStr">
        <is>
          <t>50-55</t>
        </is>
      </c>
      <c r="Y2832" s="19" t="inlineStr"/>
      <c r="Z2832" s="18">
        <f>IF(Y2832="",X2832,Y2832)</f>
        <v/>
      </c>
      <c r="AA2832" s="18" t="inlineStr">
        <is>
          <t>surface</t>
        </is>
      </c>
      <c r="AB2832" s="18" t="inlineStr">
        <is>
          <t>dusk</t>
        </is>
      </c>
      <c r="AC2832" s="18" t="inlineStr"/>
      <c r="AD2832" s="18" t="inlineStr"/>
      <c r="AE2832" s="18" t="inlineStr">
        <is>
          <t>sky 8-15</t>
        </is>
      </c>
      <c r="AF2832" s="18" t="inlineStr"/>
      <c r="AG2832" s="18" t="inlineStr"/>
      <c r="AH2832" s="18" t="inlineStr"/>
      <c r="AI2832" s="18" t="inlineStr"/>
      <c r="AJ2832" s="18" t="inlineStr">
        <is>
          <t>COBBLEVERSE 수정</t>
        </is>
      </c>
      <c r="AK2832" s="18" t="inlineStr">
        <is>
          <t>사용</t>
        </is>
      </c>
      <c r="AL2832" s="18" t="inlineStr">
        <is>
          <t>COBBLEVERSE 1.7.42 / DP v31</t>
        </is>
      </c>
      <c r="AM2832" s="18" t="inlineStr">
        <is>
          <t>data/cobblemon/spawn_pool_world/0886_drakloak.json</t>
        </is>
      </c>
      <c r="AN2832" s="18" t="inlineStr">
        <is>
          <t>drakloak-2</t>
        </is>
      </c>
      <c r="AO2832" s="18" t="inlineStr">
        <is>
          <t>pokemon</t>
        </is>
      </c>
      <c r="AP2832" s="18" t="inlineStr">
        <is>
          <t>water</t>
        </is>
      </c>
      <c r="AQ2832" s="18" t="inlineStr">
        <is>
          <t>{"biomes":["#cobblemon:is_coast","#cobblemon:is_ocean"],"maxSkyLight":15,"minSkyLight":8,"timeRange":"dusk"}</t>
        </is>
      </c>
      <c r="AR2832" s="18" t="inlineStr">
        <is>
          <t>{"biomes":["#cobblemon:is_freezing"]}</t>
        </is>
      </c>
      <c r="AS2832" s="18" t="inlineStr"/>
      <c r="AT2832" s="19" t="inlineStr"/>
    </row>
    <row r="2833" ht="32" customHeight="1">
      <c r="A2833" s="18" t="inlineStr">
        <is>
          <t>0886_drakloak.json::drakloak-3::003</t>
        </is>
      </c>
      <c r="B2833" s="19" t="inlineStr">
        <is>
          <t>사용</t>
        </is>
      </c>
      <c r="C2833" s="18">
        <f>IF(OR(B2833&lt;&gt;AK2833,M2833&lt;&gt;L2833,O2833&lt;&gt;"",Q2833&lt;&gt;"",V2833&lt;&gt;1,Y2833&lt;&gt;"",AT2833&lt;&gt;""),"수정","원본")</f>
        <v/>
      </c>
      <c r="D2833" s="18" t="n">
        <v>886</v>
      </c>
      <c r="E2833" s="18" t="inlineStr">
        <is>
          <t>드래런치</t>
        </is>
      </c>
      <c r="F2833" s="18" t="inlineStr">
        <is>
          <t>drakloak</t>
        </is>
      </c>
      <c r="G2833" s="18" t="inlineStr">
        <is>
          <t>drakloak</t>
        </is>
      </c>
      <c r="H2833" s="18" t="inlineStr"/>
      <c r="I2833" s="18" t="n">
        <v>8</v>
      </c>
      <c r="J2833" s="18" t="n"/>
      <c r="K2833" s="18" t="n">
        <v>8</v>
      </c>
      <c r="L2833" s="18" t="inlineStr">
        <is>
          <t>cobbleventure:generation_8</t>
        </is>
      </c>
      <c r="M2833" s="19" t="inlineStr">
        <is>
          <t>cobbleventure:generation_8</t>
        </is>
      </c>
      <c r="N2833" s="18" t="inlineStr"/>
      <c r="O2833" s="19" t="inlineStr"/>
      <c r="P2833" s="18" t="inlineStr">
        <is>
          <t>#cobblemon:is_coast; #cobblemon:is_ocean</t>
        </is>
      </c>
      <c r="Q2833" s="19" t="inlineStr"/>
      <c r="R2833" s="18">
        <f>IF(Q2833="",P2833,Q2833)</f>
        <v/>
      </c>
      <c r="S2833" s="18" t="inlineStr">
        <is>
          <t>#cobblemon:is_freezing</t>
        </is>
      </c>
      <c r="T2833" s="18" t="inlineStr">
        <is>
          <t>ultra-rare</t>
        </is>
      </c>
      <c r="U2833" s="20" t="n">
        <v>2.16</v>
      </c>
      <c r="V2833" s="21" t="n">
        <v>1</v>
      </c>
      <c r="W2833" s="20">
        <f>IF(OR(U2833="",V2833=""),U2833,U2833*V2833)</f>
        <v/>
      </c>
      <c r="X2833" s="18" t="inlineStr">
        <is>
          <t>50-55</t>
        </is>
      </c>
      <c r="Y2833" s="19" t="inlineStr"/>
      <c r="Z2833" s="18">
        <f>IF(Y2833="",X2833,Y2833)</f>
        <v/>
      </c>
      <c r="AA2833" s="18" t="inlineStr">
        <is>
          <t>fishing</t>
        </is>
      </c>
      <c r="AB2833" s="18" t="inlineStr"/>
      <c r="AC2833" s="18" t="inlineStr"/>
      <c r="AD2833" s="18" t="inlineStr"/>
      <c r="AE2833" s="18" t="inlineStr"/>
      <c r="AF2833" s="18" t="inlineStr">
        <is>
          <t>True</t>
        </is>
      </c>
      <c r="AG2833" s="18" t="inlineStr"/>
      <c r="AH2833" s="18" t="inlineStr"/>
      <c r="AI2833" s="18" t="inlineStr"/>
      <c r="AJ2833" s="18" t="inlineStr">
        <is>
          <t>COBBLEVERSE 수정</t>
        </is>
      </c>
      <c r="AK2833" s="18" t="inlineStr">
        <is>
          <t>사용</t>
        </is>
      </c>
      <c r="AL2833" s="18" t="inlineStr">
        <is>
          <t>COBBLEVERSE 1.7.42 / DP v31</t>
        </is>
      </c>
      <c r="AM2833" s="18" t="inlineStr">
        <is>
          <t>data/cobblemon/spawn_pool_world/0886_drakloak.json</t>
        </is>
      </c>
      <c r="AN2833" s="18" t="inlineStr">
        <is>
          <t>drakloak-3</t>
        </is>
      </c>
      <c r="AO2833" s="18" t="inlineStr">
        <is>
          <t>pokemon</t>
        </is>
      </c>
      <c r="AP2833" s="18" t="inlineStr"/>
      <c r="AQ2833" s="18" t="inlineStr">
        <is>
          <t>{"biomes":["#cobblemon:is_coast","#cobblemon:is_ocean"],"canSeeSky":true}</t>
        </is>
      </c>
      <c r="AR2833" s="18" t="inlineStr">
        <is>
          <t>{"biomes":["#cobblemon:is_freezing"]}</t>
        </is>
      </c>
      <c r="AS2833" s="18" t="inlineStr">
        <is>
          <t>{"weightMultiplier":{"condition":{"timeRange":"dusk"},"multiplier":5.0}}</t>
        </is>
      </c>
      <c r="AT2833" s="19" t="inlineStr"/>
    </row>
    <row r="2834" ht="32" customHeight="1">
      <c r="A2834" s="18" t="inlineStr">
        <is>
          <t>0886_drakloak.json::drakloak-4::004</t>
        </is>
      </c>
      <c r="B2834" s="19" t="inlineStr">
        <is>
          <t>사용</t>
        </is>
      </c>
      <c r="C2834" s="18">
        <f>IF(OR(B2834&lt;&gt;AK2834,M2834&lt;&gt;L2834,O2834&lt;&gt;"",Q2834&lt;&gt;"",V2834&lt;&gt;1,Y2834&lt;&gt;"",AT2834&lt;&gt;""),"수정","원본")</f>
        <v/>
      </c>
      <c r="D2834" s="18" t="n">
        <v>886</v>
      </c>
      <c r="E2834" s="18" t="inlineStr">
        <is>
          <t>드래런치</t>
        </is>
      </c>
      <c r="F2834" s="18" t="inlineStr">
        <is>
          <t>drakloak</t>
        </is>
      </c>
      <c r="G2834" s="18" t="inlineStr">
        <is>
          <t>drakloak</t>
        </is>
      </c>
      <c r="H2834" s="18" t="inlineStr"/>
      <c r="I2834" s="18" t="n">
        <v>8</v>
      </c>
      <c r="J2834" s="18" t="n"/>
      <c r="K2834" s="18" t="n">
        <v>8</v>
      </c>
      <c r="L2834" s="18" t="inlineStr">
        <is>
          <t>cobbleventure:generation_8</t>
        </is>
      </c>
      <c r="M2834" s="19" t="inlineStr">
        <is>
          <t>cobbleventure:generation_8</t>
        </is>
      </c>
      <c r="N2834" s="18" t="inlineStr"/>
      <c r="O2834" s="19" t="inlineStr"/>
      <c r="P2834" s="18" t="inlineStr">
        <is>
          <t>#cobblemon:is_coast; #cobblemon:is_ocean</t>
        </is>
      </c>
      <c r="Q2834" s="19" t="inlineStr"/>
      <c r="R2834" s="18">
        <f>IF(Q2834="",P2834,Q2834)</f>
        <v/>
      </c>
      <c r="S2834" s="18" t="inlineStr">
        <is>
          <t>#cobblemon:is_freezing</t>
        </is>
      </c>
      <c r="T2834" s="18" t="inlineStr">
        <is>
          <t>ultra-rare</t>
        </is>
      </c>
      <c r="U2834" s="20" t="n">
        <v>2.16</v>
      </c>
      <c r="V2834" s="21" t="n">
        <v>1</v>
      </c>
      <c r="W2834" s="20">
        <f>IF(OR(U2834="",V2834=""),U2834,U2834*V2834)</f>
        <v/>
      </c>
      <c r="X2834" s="18" t="inlineStr">
        <is>
          <t>50-55</t>
        </is>
      </c>
      <c r="Y2834" s="19" t="inlineStr"/>
      <c r="Z2834" s="18">
        <f>IF(Y2834="",X2834,Y2834)</f>
        <v/>
      </c>
      <c r="AA2834" s="18" t="inlineStr">
        <is>
          <t>fishing</t>
        </is>
      </c>
      <c r="AB2834" s="18" t="inlineStr"/>
      <c r="AC2834" s="18" t="inlineStr"/>
      <c r="AD2834" s="18" t="inlineStr"/>
      <c r="AE2834" s="18" t="inlineStr">
        <is>
          <t>sky 8-15</t>
        </is>
      </c>
      <c r="AF2834" s="18" t="inlineStr">
        <is>
          <t>False</t>
        </is>
      </c>
      <c r="AG2834" s="18" t="inlineStr"/>
      <c r="AH2834" s="18" t="inlineStr"/>
      <c r="AI2834" s="18" t="inlineStr"/>
      <c r="AJ2834" s="18" t="inlineStr">
        <is>
          <t>COBBLEVERSE 수정</t>
        </is>
      </c>
      <c r="AK2834" s="18" t="inlineStr">
        <is>
          <t>사용</t>
        </is>
      </c>
      <c r="AL2834" s="18" t="inlineStr">
        <is>
          <t>COBBLEVERSE 1.7.42 / DP v31</t>
        </is>
      </c>
      <c r="AM2834" s="18" t="inlineStr">
        <is>
          <t>data/cobblemon/spawn_pool_world/0886_drakloak.json</t>
        </is>
      </c>
      <c r="AN2834" s="18" t="inlineStr">
        <is>
          <t>drakloak-4</t>
        </is>
      </c>
      <c r="AO2834" s="18" t="inlineStr">
        <is>
          <t>pokemon</t>
        </is>
      </c>
      <c r="AP2834" s="18" t="inlineStr"/>
      <c r="AQ2834" s="18" t="inlineStr">
        <is>
          <t>{"biomes":["#cobblemon:is_coast","#cobblemon:is_ocean"],"canSeeSky":false,"maxSkyLight":15,"minSkyLight":8}</t>
        </is>
      </c>
      <c r="AR2834" s="18" t="inlineStr">
        <is>
          <t>{"biomes":["#cobblemon:is_freezing"]}</t>
        </is>
      </c>
      <c r="AS2834" s="18" t="inlineStr">
        <is>
          <t>{"weightMultiplier":{"condition":{"timeRange":"dusk"},"multiplier":5.0}}</t>
        </is>
      </c>
      <c r="AT2834" s="19" t="inlineStr"/>
    </row>
    <row r="2835" ht="32" customHeight="1">
      <c r="A2835" s="18" t="inlineStr">
        <is>
          <t>0887_dragapult.json::dragapult-1::001</t>
        </is>
      </c>
      <c r="B2835" s="19" t="inlineStr">
        <is>
          <t>사용</t>
        </is>
      </c>
      <c r="C2835" s="18">
        <f>IF(OR(B2835&lt;&gt;AK2835,M2835&lt;&gt;L2835,O2835&lt;&gt;"",Q2835&lt;&gt;"",V2835&lt;&gt;1,Y2835&lt;&gt;"",AT2835&lt;&gt;""),"수정","원본")</f>
        <v/>
      </c>
      <c r="D2835" s="18" t="n">
        <v>887</v>
      </c>
      <c r="E2835" s="18" t="inlineStr">
        <is>
          <t>드래펄트</t>
        </is>
      </c>
      <c r="F2835" s="18" t="inlineStr">
        <is>
          <t>dragapult</t>
        </is>
      </c>
      <c r="G2835" s="18" t="inlineStr">
        <is>
          <t>dragapult</t>
        </is>
      </c>
      <c r="H2835" s="18" t="inlineStr"/>
      <c r="I2835" s="18" t="n">
        <v>8</v>
      </c>
      <c r="J2835" s="18" t="n"/>
      <c r="K2835" s="18" t="n">
        <v>8</v>
      </c>
      <c r="L2835" s="18" t="inlineStr">
        <is>
          <t>cobbleventure:generation_8</t>
        </is>
      </c>
      <c r="M2835" s="19" t="inlineStr">
        <is>
          <t>cobbleventure:generation_8</t>
        </is>
      </c>
      <c r="N2835" s="18" t="inlineStr"/>
      <c r="O2835" s="19" t="inlineStr"/>
      <c r="P2835" s="18" t="inlineStr">
        <is>
          <t>#cobblemon:is_coast; #cobblemon:is_ocean</t>
        </is>
      </c>
      <c r="Q2835" s="19" t="inlineStr"/>
      <c r="R2835" s="18">
        <f>IF(Q2835="",P2835,Q2835)</f>
        <v/>
      </c>
      <c r="S2835" s="18" t="inlineStr">
        <is>
          <t>#cobblemon:is_freezing</t>
        </is>
      </c>
      <c r="T2835" s="18" t="inlineStr">
        <is>
          <t>ultra-rare</t>
        </is>
      </c>
      <c r="U2835" s="20" t="n">
        <v>0.24</v>
      </c>
      <c r="V2835" s="21" t="n">
        <v>1</v>
      </c>
      <c r="W2835" s="20">
        <f>IF(OR(U2835="",V2835=""),U2835,U2835*V2835)</f>
        <v/>
      </c>
      <c r="X2835" s="18" t="inlineStr">
        <is>
          <t>60-65</t>
        </is>
      </c>
      <c r="Y2835" s="19" t="inlineStr"/>
      <c r="Z2835" s="18">
        <f>IF(Y2835="",X2835,Y2835)</f>
        <v/>
      </c>
      <c r="AA2835" s="18" t="inlineStr">
        <is>
          <t>grounded</t>
        </is>
      </c>
      <c r="AB2835" s="18" t="inlineStr"/>
      <c r="AC2835" s="18" t="inlineStr"/>
      <c r="AD2835" s="18" t="inlineStr"/>
      <c r="AE2835" s="18" t="inlineStr">
        <is>
          <t>sky 8-15</t>
        </is>
      </c>
      <c r="AF2835" s="18" t="inlineStr"/>
      <c r="AG2835" s="18" t="inlineStr"/>
      <c r="AH2835" s="18" t="inlineStr"/>
      <c r="AI2835" s="18" t="inlineStr"/>
      <c r="AJ2835" s="18" t="inlineStr">
        <is>
          <t>COBBLEVERSE 수정</t>
        </is>
      </c>
      <c r="AK2835" s="18" t="inlineStr">
        <is>
          <t>사용</t>
        </is>
      </c>
      <c r="AL2835" s="18" t="inlineStr">
        <is>
          <t>COBBLEVERSE 1.7.42 / DP v31</t>
        </is>
      </c>
      <c r="AM2835" s="18" t="inlineStr">
        <is>
          <t>data/cobblemon/spawn_pool_world/0887_dragapult.json</t>
        </is>
      </c>
      <c r="AN2835" s="18" t="inlineStr">
        <is>
          <t>dragapult-1</t>
        </is>
      </c>
      <c r="AO2835" s="18" t="inlineStr">
        <is>
          <t>pokemon</t>
        </is>
      </c>
      <c r="AP2835" s="18" t="inlineStr">
        <is>
          <t>natural</t>
        </is>
      </c>
      <c r="AQ2835" s="18" t="inlineStr">
        <is>
          <t>{"biomes":["#cobblemon:is_coast","#cobblemon:is_ocean"],"maxSkyLight":15,"minSkyLight":8}</t>
        </is>
      </c>
      <c r="AR2835" s="18" t="inlineStr">
        <is>
          <t>{"biomes":["#cobblemon:is_freezing"]}</t>
        </is>
      </c>
      <c r="AS2835" s="18" t="inlineStr">
        <is>
          <t>{"weightMultiplier":{"condition":{"timeRange":"dusk"},"multiplier":5.0}}</t>
        </is>
      </c>
      <c r="AT2835" s="19" t="inlineStr"/>
    </row>
    <row r="2836" ht="32" customHeight="1">
      <c r="A2836" s="18" t="inlineStr">
        <is>
          <t>0887_dragapult.json::dragapult-2::002</t>
        </is>
      </c>
      <c r="B2836" s="19" t="inlineStr">
        <is>
          <t>사용</t>
        </is>
      </c>
      <c r="C2836" s="18">
        <f>IF(OR(B2836&lt;&gt;AK2836,M2836&lt;&gt;L2836,O2836&lt;&gt;"",Q2836&lt;&gt;"",V2836&lt;&gt;1,Y2836&lt;&gt;"",AT2836&lt;&gt;""),"수정","원본")</f>
        <v/>
      </c>
      <c r="D2836" s="18" t="n">
        <v>887</v>
      </c>
      <c r="E2836" s="18" t="inlineStr">
        <is>
          <t>드래펄트</t>
        </is>
      </c>
      <c r="F2836" s="18" t="inlineStr">
        <is>
          <t>dragapult</t>
        </is>
      </c>
      <c r="G2836" s="18" t="inlineStr">
        <is>
          <t>dragapult</t>
        </is>
      </c>
      <c r="H2836" s="18" t="inlineStr"/>
      <c r="I2836" s="18" t="n">
        <v>8</v>
      </c>
      <c r="J2836" s="18" t="n"/>
      <c r="K2836" s="18" t="n">
        <v>8</v>
      </c>
      <c r="L2836" s="18" t="inlineStr">
        <is>
          <t>cobbleventure:generation_8</t>
        </is>
      </c>
      <c r="M2836" s="19" t="inlineStr">
        <is>
          <t>cobbleventure:generation_8</t>
        </is>
      </c>
      <c r="N2836" s="18" t="inlineStr"/>
      <c r="O2836" s="19" t="inlineStr"/>
      <c r="P2836" s="18" t="inlineStr">
        <is>
          <t>#cobblemon:is_coast; #cobblemon:is_ocean</t>
        </is>
      </c>
      <c r="Q2836" s="19" t="inlineStr"/>
      <c r="R2836" s="18">
        <f>IF(Q2836="",P2836,Q2836)</f>
        <v/>
      </c>
      <c r="S2836" s="18" t="inlineStr">
        <is>
          <t>#cobblemon:is_freezing</t>
        </is>
      </c>
      <c r="T2836" s="18" t="inlineStr">
        <is>
          <t>ultra-rare</t>
        </is>
      </c>
      <c r="U2836" s="20" t="n">
        <v>0.24</v>
      </c>
      <c r="V2836" s="21" t="n">
        <v>1</v>
      </c>
      <c r="W2836" s="20">
        <f>IF(OR(U2836="",V2836=""),U2836,U2836*V2836)</f>
        <v/>
      </c>
      <c r="X2836" s="18" t="inlineStr">
        <is>
          <t>60-65</t>
        </is>
      </c>
      <c r="Y2836" s="19" t="inlineStr"/>
      <c r="Z2836" s="18">
        <f>IF(Y2836="",X2836,Y2836)</f>
        <v/>
      </c>
      <c r="AA2836" s="18" t="inlineStr">
        <is>
          <t>surface</t>
        </is>
      </c>
      <c r="AB2836" s="18" t="inlineStr">
        <is>
          <t>dusk</t>
        </is>
      </c>
      <c r="AC2836" s="18" t="inlineStr"/>
      <c r="AD2836" s="18" t="inlineStr"/>
      <c r="AE2836" s="18" t="inlineStr">
        <is>
          <t>sky 8-15</t>
        </is>
      </c>
      <c r="AF2836" s="18" t="inlineStr"/>
      <c r="AG2836" s="18" t="inlineStr"/>
      <c r="AH2836" s="18" t="inlineStr"/>
      <c r="AI2836" s="18" t="inlineStr"/>
      <c r="AJ2836" s="18" t="inlineStr">
        <is>
          <t>COBBLEVERSE 수정</t>
        </is>
      </c>
      <c r="AK2836" s="18" t="inlineStr">
        <is>
          <t>사용</t>
        </is>
      </c>
      <c r="AL2836" s="18" t="inlineStr">
        <is>
          <t>COBBLEVERSE 1.7.42 / DP v31</t>
        </is>
      </c>
      <c r="AM2836" s="18" t="inlineStr">
        <is>
          <t>data/cobblemon/spawn_pool_world/0887_dragapult.json</t>
        </is>
      </c>
      <c r="AN2836" s="18" t="inlineStr">
        <is>
          <t>dragapult-2</t>
        </is>
      </c>
      <c r="AO2836" s="18" t="inlineStr">
        <is>
          <t>pokemon</t>
        </is>
      </c>
      <c r="AP2836" s="18" t="inlineStr">
        <is>
          <t>water</t>
        </is>
      </c>
      <c r="AQ2836" s="18" t="inlineStr">
        <is>
          <t>{"biomes":["#cobblemon:is_coast","#cobblemon:is_ocean"],"maxSkyLight":15,"minSkyLight":8,"timeRange":"dusk"}</t>
        </is>
      </c>
      <c r="AR2836" s="18" t="inlineStr">
        <is>
          <t>{"biomes":["#cobblemon:is_freezing"]}</t>
        </is>
      </c>
      <c r="AS2836" s="18" t="inlineStr"/>
      <c r="AT2836" s="19" t="inlineStr"/>
    </row>
    <row r="2837" ht="32" customHeight="1">
      <c r="A2837" s="18" t="inlineStr">
        <is>
          <t>0887_dragapult.json::dragapult-3::003</t>
        </is>
      </c>
      <c r="B2837" s="19" t="inlineStr">
        <is>
          <t>사용</t>
        </is>
      </c>
      <c r="C2837" s="18">
        <f>IF(OR(B2837&lt;&gt;AK2837,M2837&lt;&gt;L2837,O2837&lt;&gt;"",Q2837&lt;&gt;"",V2837&lt;&gt;1,Y2837&lt;&gt;"",AT2837&lt;&gt;""),"수정","원본")</f>
        <v/>
      </c>
      <c r="D2837" s="18" t="n">
        <v>887</v>
      </c>
      <c r="E2837" s="18" t="inlineStr">
        <is>
          <t>드래펄트</t>
        </is>
      </c>
      <c r="F2837" s="18" t="inlineStr">
        <is>
          <t>dragapult</t>
        </is>
      </c>
      <c r="G2837" s="18" t="inlineStr">
        <is>
          <t>dragapult</t>
        </is>
      </c>
      <c r="H2837" s="18" t="inlineStr"/>
      <c r="I2837" s="18" t="n">
        <v>8</v>
      </c>
      <c r="J2837" s="18" t="n"/>
      <c r="K2837" s="18" t="n">
        <v>8</v>
      </c>
      <c r="L2837" s="18" t="inlineStr">
        <is>
          <t>cobbleventure:generation_8</t>
        </is>
      </c>
      <c r="M2837" s="19" t="inlineStr">
        <is>
          <t>cobbleventure:generation_8</t>
        </is>
      </c>
      <c r="N2837" s="18" t="inlineStr"/>
      <c r="O2837" s="19" t="inlineStr"/>
      <c r="P2837" s="18" t="inlineStr">
        <is>
          <t>#cobblemon:is_coast; #cobblemon:is_ocean</t>
        </is>
      </c>
      <c r="Q2837" s="19" t="inlineStr"/>
      <c r="R2837" s="18">
        <f>IF(Q2837="",P2837,Q2837)</f>
        <v/>
      </c>
      <c r="S2837" s="18" t="inlineStr">
        <is>
          <t>#cobblemon:is_freezing</t>
        </is>
      </c>
      <c r="T2837" s="18" t="inlineStr">
        <is>
          <t>ultra-rare</t>
        </is>
      </c>
      <c r="U2837" s="20" t="n">
        <v>0.24</v>
      </c>
      <c r="V2837" s="21" t="n">
        <v>1</v>
      </c>
      <c r="W2837" s="20">
        <f>IF(OR(U2837="",V2837=""),U2837,U2837*V2837)</f>
        <v/>
      </c>
      <c r="X2837" s="18" t="inlineStr">
        <is>
          <t>60-65</t>
        </is>
      </c>
      <c r="Y2837" s="19" t="inlineStr"/>
      <c r="Z2837" s="18">
        <f>IF(Y2837="",X2837,Y2837)</f>
        <v/>
      </c>
      <c r="AA2837" s="18" t="inlineStr">
        <is>
          <t>fishing</t>
        </is>
      </c>
      <c r="AB2837" s="18" t="inlineStr"/>
      <c r="AC2837" s="18" t="inlineStr"/>
      <c r="AD2837" s="18" t="inlineStr"/>
      <c r="AE2837" s="18" t="inlineStr"/>
      <c r="AF2837" s="18" t="inlineStr">
        <is>
          <t>True</t>
        </is>
      </c>
      <c r="AG2837" s="18" t="inlineStr"/>
      <c r="AH2837" s="18" t="inlineStr"/>
      <c r="AI2837" s="18" t="inlineStr"/>
      <c r="AJ2837" s="18" t="inlineStr">
        <is>
          <t>COBBLEVERSE 수정</t>
        </is>
      </c>
      <c r="AK2837" s="18" t="inlineStr">
        <is>
          <t>사용</t>
        </is>
      </c>
      <c r="AL2837" s="18" t="inlineStr">
        <is>
          <t>COBBLEVERSE 1.7.42 / DP v31</t>
        </is>
      </c>
      <c r="AM2837" s="18" t="inlineStr">
        <is>
          <t>data/cobblemon/spawn_pool_world/0887_dragapult.json</t>
        </is>
      </c>
      <c r="AN2837" s="18" t="inlineStr">
        <is>
          <t>dragapult-3</t>
        </is>
      </c>
      <c r="AO2837" s="18" t="inlineStr">
        <is>
          <t>pokemon</t>
        </is>
      </c>
      <c r="AP2837" s="18" t="inlineStr"/>
      <c r="AQ2837" s="18" t="inlineStr">
        <is>
          <t>{"biomes":["#cobblemon:is_coast","#cobblemon:is_ocean"],"canSeeSky":true}</t>
        </is>
      </c>
      <c r="AR2837" s="18" t="inlineStr">
        <is>
          <t>{"biomes":["#cobblemon:is_freezing"]}</t>
        </is>
      </c>
      <c r="AS2837" s="18" t="inlineStr">
        <is>
          <t>{"weightMultiplier":{"condition":{"timeRange":"dusk"},"multiplier":5.0}}</t>
        </is>
      </c>
      <c r="AT2837" s="19" t="inlineStr"/>
    </row>
    <row r="2838" ht="32" customHeight="1">
      <c r="A2838" s="18" t="inlineStr">
        <is>
          <t>0887_dragapult.json::dragapult-4::004</t>
        </is>
      </c>
      <c r="B2838" s="19" t="inlineStr">
        <is>
          <t>사용</t>
        </is>
      </c>
      <c r="C2838" s="18">
        <f>IF(OR(B2838&lt;&gt;AK2838,M2838&lt;&gt;L2838,O2838&lt;&gt;"",Q2838&lt;&gt;"",V2838&lt;&gt;1,Y2838&lt;&gt;"",AT2838&lt;&gt;""),"수정","원본")</f>
        <v/>
      </c>
      <c r="D2838" s="18" t="n">
        <v>887</v>
      </c>
      <c r="E2838" s="18" t="inlineStr">
        <is>
          <t>드래펄트</t>
        </is>
      </c>
      <c r="F2838" s="18" t="inlineStr">
        <is>
          <t>dragapult</t>
        </is>
      </c>
      <c r="G2838" s="18" t="inlineStr">
        <is>
          <t>dragapult</t>
        </is>
      </c>
      <c r="H2838" s="18" t="inlineStr"/>
      <c r="I2838" s="18" t="n">
        <v>8</v>
      </c>
      <c r="J2838" s="18" t="n"/>
      <c r="K2838" s="18" t="n">
        <v>8</v>
      </c>
      <c r="L2838" s="18" t="inlineStr">
        <is>
          <t>cobbleventure:generation_8</t>
        </is>
      </c>
      <c r="M2838" s="19" t="inlineStr">
        <is>
          <t>cobbleventure:generation_8</t>
        </is>
      </c>
      <c r="N2838" s="18" t="inlineStr"/>
      <c r="O2838" s="19" t="inlineStr"/>
      <c r="P2838" s="18" t="inlineStr">
        <is>
          <t>#cobblemon:is_coast; #cobblemon:is_ocean</t>
        </is>
      </c>
      <c r="Q2838" s="19" t="inlineStr"/>
      <c r="R2838" s="18">
        <f>IF(Q2838="",P2838,Q2838)</f>
        <v/>
      </c>
      <c r="S2838" s="18" t="inlineStr">
        <is>
          <t>#cobblemon:is_freezing</t>
        </is>
      </c>
      <c r="T2838" s="18" t="inlineStr">
        <is>
          <t>ultra-rare</t>
        </is>
      </c>
      <c r="U2838" s="20" t="n">
        <v>0.24</v>
      </c>
      <c r="V2838" s="21" t="n">
        <v>1</v>
      </c>
      <c r="W2838" s="20">
        <f>IF(OR(U2838="",V2838=""),U2838,U2838*V2838)</f>
        <v/>
      </c>
      <c r="X2838" s="18" t="inlineStr">
        <is>
          <t>60-65</t>
        </is>
      </c>
      <c r="Y2838" s="19" t="inlineStr"/>
      <c r="Z2838" s="18">
        <f>IF(Y2838="",X2838,Y2838)</f>
        <v/>
      </c>
      <c r="AA2838" s="18" t="inlineStr">
        <is>
          <t>fishing</t>
        </is>
      </c>
      <c r="AB2838" s="18" t="inlineStr"/>
      <c r="AC2838" s="18" t="inlineStr"/>
      <c r="AD2838" s="18" t="inlineStr"/>
      <c r="AE2838" s="18" t="inlineStr">
        <is>
          <t>sky 8-15</t>
        </is>
      </c>
      <c r="AF2838" s="18" t="inlineStr">
        <is>
          <t>False</t>
        </is>
      </c>
      <c r="AG2838" s="18" t="inlineStr"/>
      <c r="AH2838" s="18" t="inlineStr"/>
      <c r="AI2838" s="18" t="inlineStr"/>
      <c r="AJ2838" s="18" t="inlineStr">
        <is>
          <t>COBBLEVERSE 수정</t>
        </is>
      </c>
      <c r="AK2838" s="18" t="inlineStr">
        <is>
          <t>사용</t>
        </is>
      </c>
      <c r="AL2838" s="18" t="inlineStr">
        <is>
          <t>COBBLEVERSE 1.7.42 / DP v31</t>
        </is>
      </c>
      <c r="AM2838" s="18" t="inlineStr">
        <is>
          <t>data/cobblemon/spawn_pool_world/0887_dragapult.json</t>
        </is>
      </c>
      <c r="AN2838" s="18" t="inlineStr">
        <is>
          <t>dragapult-4</t>
        </is>
      </c>
      <c r="AO2838" s="18" t="inlineStr">
        <is>
          <t>pokemon</t>
        </is>
      </c>
      <c r="AP2838" s="18" t="inlineStr"/>
      <c r="AQ2838" s="18" t="inlineStr">
        <is>
          <t>{"biomes":["#cobblemon:is_coast","#cobblemon:is_ocean"],"canSeeSky":false,"maxSkyLight":15,"minSkyLight":8}</t>
        </is>
      </c>
      <c r="AR2838" s="18" t="inlineStr">
        <is>
          <t>{"biomes":["#cobblemon:is_freezing"]}</t>
        </is>
      </c>
      <c r="AS2838" s="18" t="inlineStr">
        <is>
          <t>{"weightMultiplier":{"condition":{"timeRange":"dusk"},"multiplier":5.0}}</t>
        </is>
      </c>
      <c r="AT2838" s="19" t="inlineStr"/>
    </row>
    <row r="2839" ht="32" customHeight="1">
      <c r="A2839" s="18" t="inlineStr">
        <is>
          <t>0888_zacian.json::zacian-1::001</t>
        </is>
      </c>
      <c r="B2839" s="19" t="inlineStr">
        <is>
          <t>사용</t>
        </is>
      </c>
      <c r="C2839" s="18">
        <f>IF(OR(B2839&lt;&gt;AK2839,M2839&lt;&gt;L2839,O2839&lt;&gt;"",Q2839&lt;&gt;"",V2839&lt;&gt;1,Y2839&lt;&gt;"",AT2839&lt;&gt;""),"수정","원본")</f>
        <v/>
      </c>
      <c r="D2839" s="18" t="n">
        <v>888</v>
      </c>
      <c r="E2839" s="18" t="inlineStr">
        <is>
          <t>자시안</t>
        </is>
      </c>
      <c r="F2839" s="18" t="inlineStr">
        <is>
          <t>zacian</t>
        </is>
      </c>
      <c r="G2839" s="18" t="inlineStr">
        <is>
          <t>zacian</t>
        </is>
      </c>
      <c r="H2839" s="18" t="inlineStr"/>
      <c r="I2839" s="18" t="n">
        <v>8</v>
      </c>
      <c r="J2839" s="18" t="n"/>
      <c r="K2839" s="18" t="n">
        <v>8</v>
      </c>
      <c r="L2839" s="18" t="inlineStr">
        <is>
          <t>cobbleventure:generation_8</t>
        </is>
      </c>
      <c r="M2839" s="19" t="inlineStr">
        <is>
          <t>cobbleventure:generation_8</t>
        </is>
      </c>
      <c r="N2839" s="18" t="inlineStr"/>
      <c r="O2839" s="19" t="inlineStr"/>
      <c r="P2839" s="18" t="inlineStr">
        <is>
          <t>minecraft:dark_forest</t>
        </is>
      </c>
      <c r="Q2839" s="19" t="inlineStr"/>
      <c r="R2839" s="18">
        <f>IF(Q2839="",P2839,Q2839)</f>
        <v/>
      </c>
      <c r="S2839" s="18" t="inlineStr"/>
      <c r="T2839" s="18" t="inlineStr">
        <is>
          <t>ultra-rare</t>
        </is>
      </c>
      <c r="U2839" s="20" t="n">
        <v>1</v>
      </c>
      <c r="V2839" s="21" t="n">
        <v>1</v>
      </c>
      <c r="W2839" s="20">
        <f>IF(OR(U2839="",V2839=""),U2839,U2839*V2839)</f>
        <v/>
      </c>
      <c r="X2839" s="18" t="inlineStr">
        <is>
          <t>65-80</t>
        </is>
      </c>
      <c r="Y2839" s="19" t="inlineStr"/>
      <c r="Z2839" s="18">
        <f>IF(Y2839="",X2839,Y2839)</f>
        <v/>
      </c>
      <c r="AA2839" s="18" t="inlineStr">
        <is>
          <t>grounded</t>
        </is>
      </c>
      <c r="AB2839" s="18" t="inlineStr"/>
      <c r="AC2839" s="18" t="inlineStr"/>
      <c r="AD2839" s="18" t="inlineStr"/>
      <c r="AE2839" s="18" t="inlineStr"/>
      <c r="AF2839" s="18" t="inlineStr"/>
      <c r="AG2839" s="18" t="inlineStr"/>
      <c r="AH2839" s="18" t="inlineStr"/>
      <c r="AI2839" s="18" t="inlineStr"/>
      <c r="AJ2839" s="18" t="inlineStr">
        <is>
          <t>COBBLEVERSE 추가</t>
        </is>
      </c>
      <c r="AK2839" s="18" t="inlineStr">
        <is>
          <t>사용</t>
        </is>
      </c>
      <c r="AL2839" s="18" t="inlineStr">
        <is>
          <t>COBBLEVERSE 1.7.42 / DP v31</t>
        </is>
      </c>
      <c r="AM2839" s="18" t="inlineStr">
        <is>
          <t>data/cobblemon/spawn_pool_world/0888_zacian.json</t>
        </is>
      </c>
      <c r="AN2839" s="18" t="inlineStr">
        <is>
          <t>zacian-1</t>
        </is>
      </c>
      <c r="AO2839" s="18" t="inlineStr">
        <is>
          <t>pokemon</t>
        </is>
      </c>
      <c r="AP2839" s="18" t="inlineStr">
        <is>
          <t>natural</t>
        </is>
      </c>
      <c r="AQ2839" s="18" t="inlineStr">
        <is>
          <t>{"biomes":["minecraft:dark_forest"]}</t>
        </is>
      </c>
      <c r="AR2839" s="18" t="inlineStr"/>
      <c r="AS2839" s="18" t="inlineStr"/>
      <c r="AT2839" s="19" t="inlineStr"/>
    </row>
    <row r="2840" ht="32" customHeight="1">
      <c r="A2840" s="18" t="inlineStr">
        <is>
          <t>0889_zamazenta.json::zamazenta-1::001</t>
        </is>
      </c>
      <c r="B2840" s="19" t="inlineStr">
        <is>
          <t>사용</t>
        </is>
      </c>
      <c r="C2840" s="18">
        <f>IF(OR(B2840&lt;&gt;AK2840,M2840&lt;&gt;L2840,O2840&lt;&gt;"",Q2840&lt;&gt;"",V2840&lt;&gt;1,Y2840&lt;&gt;"",AT2840&lt;&gt;""),"수정","원본")</f>
        <v/>
      </c>
      <c r="D2840" s="18" t="n">
        <v>889</v>
      </c>
      <c r="E2840" s="18" t="inlineStr">
        <is>
          <t>자마젠타</t>
        </is>
      </c>
      <c r="F2840" s="18" t="inlineStr">
        <is>
          <t>zamazenta</t>
        </is>
      </c>
      <c r="G2840" s="18" t="inlineStr">
        <is>
          <t>zamazenta</t>
        </is>
      </c>
      <c r="H2840" s="18" t="inlineStr"/>
      <c r="I2840" s="18" t="n">
        <v>8</v>
      </c>
      <c r="J2840" s="18" t="n"/>
      <c r="K2840" s="18" t="n">
        <v>8</v>
      </c>
      <c r="L2840" s="18" t="inlineStr">
        <is>
          <t>cobbleventure:generation_8</t>
        </is>
      </c>
      <c r="M2840" s="19" t="inlineStr">
        <is>
          <t>cobbleventure:generation_8</t>
        </is>
      </c>
      <c r="N2840" s="18" t="inlineStr"/>
      <c r="O2840" s="19" t="inlineStr"/>
      <c r="P2840" s="18" t="inlineStr">
        <is>
          <t>minecraft:dark_forest</t>
        </is>
      </c>
      <c r="Q2840" s="19" t="inlineStr"/>
      <c r="R2840" s="18">
        <f>IF(Q2840="",P2840,Q2840)</f>
        <v/>
      </c>
      <c r="S2840" s="18" t="inlineStr"/>
      <c r="T2840" s="18" t="inlineStr">
        <is>
          <t>ultra-rare</t>
        </is>
      </c>
      <c r="U2840" s="20" t="n">
        <v>1</v>
      </c>
      <c r="V2840" s="21" t="n">
        <v>1</v>
      </c>
      <c r="W2840" s="20">
        <f>IF(OR(U2840="",V2840=""),U2840,U2840*V2840)</f>
        <v/>
      </c>
      <c r="X2840" s="18" t="inlineStr">
        <is>
          <t>65-80</t>
        </is>
      </c>
      <c r="Y2840" s="19" t="inlineStr"/>
      <c r="Z2840" s="18">
        <f>IF(Y2840="",X2840,Y2840)</f>
        <v/>
      </c>
      <c r="AA2840" s="18" t="inlineStr">
        <is>
          <t>grounded</t>
        </is>
      </c>
      <c r="AB2840" s="18" t="inlineStr"/>
      <c r="AC2840" s="18" t="inlineStr"/>
      <c r="AD2840" s="18" t="inlineStr"/>
      <c r="AE2840" s="18" t="inlineStr"/>
      <c r="AF2840" s="18" t="inlineStr"/>
      <c r="AG2840" s="18" t="inlineStr"/>
      <c r="AH2840" s="18" t="inlineStr"/>
      <c r="AI2840" s="18" t="inlineStr"/>
      <c r="AJ2840" s="18" t="inlineStr">
        <is>
          <t>COBBLEVERSE 추가</t>
        </is>
      </c>
      <c r="AK2840" s="18" t="inlineStr">
        <is>
          <t>사용</t>
        </is>
      </c>
      <c r="AL2840" s="18" t="inlineStr">
        <is>
          <t>COBBLEVERSE 1.7.42 / DP v31</t>
        </is>
      </c>
      <c r="AM2840" s="18" t="inlineStr">
        <is>
          <t>data/cobblemon/spawn_pool_world/0889_zamazenta.json</t>
        </is>
      </c>
      <c r="AN2840" s="18" t="inlineStr">
        <is>
          <t>zamazenta-1</t>
        </is>
      </c>
      <c r="AO2840" s="18" t="inlineStr">
        <is>
          <t>pokemon</t>
        </is>
      </c>
      <c r="AP2840" s="18" t="inlineStr">
        <is>
          <t>natural</t>
        </is>
      </c>
      <c r="AQ2840" s="18" t="inlineStr">
        <is>
          <t>{"biomes":["minecraft:dark_forest"]}</t>
        </is>
      </c>
      <c r="AR2840" s="18" t="inlineStr"/>
      <c r="AS2840" s="18" t="inlineStr"/>
      <c r="AT2840" s="19" t="inlineStr"/>
    </row>
    <row r="2841" ht="32" customHeight="1">
      <c r="A2841" s="18" t="inlineStr">
        <is>
          <t>0890_eternatus.json::eternatus-1::001</t>
        </is>
      </c>
      <c r="B2841" s="19" t="inlineStr">
        <is>
          <t>사용</t>
        </is>
      </c>
      <c r="C2841" s="18">
        <f>IF(OR(B2841&lt;&gt;AK2841,M2841&lt;&gt;L2841,O2841&lt;&gt;"",Q2841&lt;&gt;"",V2841&lt;&gt;1,Y2841&lt;&gt;"",AT2841&lt;&gt;""),"수정","원본")</f>
        <v/>
      </c>
      <c r="D2841" s="18" t="n">
        <v>890</v>
      </c>
      <c r="E2841" s="18" t="inlineStr">
        <is>
          <t>무한다이노</t>
        </is>
      </c>
      <c r="F2841" s="18" t="inlineStr">
        <is>
          <t>eternatus</t>
        </is>
      </c>
      <c r="G2841" s="18" t="inlineStr">
        <is>
          <t>eternatus</t>
        </is>
      </c>
      <c r="H2841" s="18" t="inlineStr"/>
      <c r="I2841" s="18" t="n">
        <v>8</v>
      </c>
      <c r="J2841" s="18" t="n"/>
      <c r="K2841" s="18" t="n">
        <v>8</v>
      </c>
      <c r="L2841" s="18" t="inlineStr">
        <is>
          <t>cobbleventure:generation_8</t>
        </is>
      </c>
      <c r="M2841" s="19" t="inlineStr">
        <is>
          <t>cobbleventure:generation_8</t>
        </is>
      </c>
      <c r="N2841" s="18" t="inlineStr"/>
      <c r="O2841" s="19" t="inlineStr"/>
      <c r="P2841" s="18" t="inlineStr">
        <is>
          <t>cobbleverse:custom_spawn/eternatus_cocoon</t>
        </is>
      </c>
      <c r="Q2841" s="19" t="inlineStr"/>
      <c r="R2841" s="18">
        <f>IF(Q2841="",P2841,Q2841)</f>
        <v/>
      </c>
      <c r="S2841" s="18" t="inlineStr"/>
      <c r="T2841" s="18" t="inlineStr">
        <is>
          <t>ultra-rare</t>
        </is>
      </c>
      <c r="U2841" s="20" t="n">
        <v>0</v>
      </c>
      <c r="V2841" s="21" t="n">
        <v>1</v>
      </c>
      <c r="W2841" s="20">
        <f>IF(OR(U2841="",V2841=""),U2841,U2841*V2841)</f>
        <v/>
      </c>
      <c r="X2841" s="18" t="inlineStr">
        <is>
          <t>70-90</t>
        </is>
      </c>
      <c r="Y2841" s="19" t="inlineStr"/>
      <c r="Z2841" s="18">
        <f>IF(Y2841="",X2841,Y2841)</f>
        <v/>
      </c>
      <c r="AA2841" s="18" t="inlineStr">
        <is>
          <t>grounded</t>
        </is>
      </c>
      <c r="AB2841" s="18" t="inlineStr"/>
      <c r="AC2841" s="18" t="inlineStr"/>
      <c r="AD2841" s="18" t="inlineStr"/>
      <c r="AE2841" s="18" t="inlineStr"/>
      <c r="AF2841" s="18" t="inlineStr"/>
      <c r="AG2841" s="18" t="inlineStr"/>
      <c r="AH2841" s="18" t="inlineStr"/>
      <c r="AI2841" s="18" t="inlineStr"/>
      <c r="AJ2841" s="18" t="inlineStr">
        <is>
          <t>COBBLEVERSE 추가</t>
        </is>
      </c>
      <c r="AK2841" s="18" t="inlineStr">
        <is>
          <t>사용</t>
        </is>
      </c>
      <c r="AL2841" s="18" t="inlineStr">
        <is>
          <t>COBBLEVERSE 1.7.42 / DP v31</t>
        </is>
      </c>
      <c r="AM2841" s="18" t="inlineStr">
        <is>
          <t>data/cobblemon/spawn_pool_world/0890_eternatus.json</t>
        </is>
      </c>
      <c r="AN2841" s="18" t="inlineStr">
        <is>
          <t>eternatus-1</t>
        </is>
      </c>
      <c r="AO2841" s="18" t="inlineStr">
        <is>
          <t>pokemon</t>
        </is>
      </c>
      <c r="AP2841" s="18" t="inlineStr">
        <is>
          <t>natural</t>
        </is>
      </c>
      <c r="AQ2841" s="18" t="inlineStr">
        <is>
          <t>{"biomes":["cobbleverse:custom_spawn/eternatus_cocoon"]}</t>
        </is>
      </c>
      <c r="AR2841" s="18" t="inlineStr"/>
      <c r="AS2841" s="18" t="inlineStr"/>
      <c r="AT2841" s="19" t="inlineStr"/>
    </row>
    <row r="2842" ht="32" customHeight="1">
      <c r="A2842" s="18" t="inlineStr">
        <is>
          <t>0891_kubfu.json::kubfu-1::001</t>
        </is>
      </c>
      <c r="B2842" s="19" t="inlineStr">
        <is>
          <t>사용</t>
        </is>
      </c>
      <c r="C2842" s="18">
        <f>IF(OR(B2842&lt;&gt;AK2842,M2842&lt;&gt;L2842,O2842&lt;&gt;"",Q2842&lt;&gt;"",V2842&lt;&gt;1,Y2842&lt;&gt;"",AT2842&lt;&gt;""),"수정","원본")</f>
        <v/>
      </c>
      <c r="D2842" s="18" t="n">
        <v>891</v>
      </c>
      <c r="E2842" s="18" t="inlineStr">
        <is>
          <t>치고마</t>
        </is>
      </c>
      <c r="F2842" s="18" t="inlineStr">
        <is>
          <t>kubfu</t>
        </is>
      </c>
      <c r="G2842" s="18" t="inlineStr">
        <is>
          <t>kubfu</t>
        </is>
      </c>
      <c r="H2842" s="18" t="inlineStr"/>
      <c r="I2842" s="18" t="n">
        <v>8</v>
      </c>
      <c r="J2842" s="18" t="n"/>
      <c r="K2842" s="18" t="n">
        <v>8</v>
      </c>
      <c r="L2842" s="18" t="inlineStr">
        <is>
          <t>cobbleventure:generation_8</t>
        </is>
      </c>
      <c r="M2842" s="19" t="inlineStr">
        <is>
          <t>cobbleventure:generation_8</t>
        </is>
      </c>
      <c r="N2842" s="18" t="inlineStr"/>
      <c r="O2842" s="19" t="inlineStr"/>
      <c r="P2842" s="18" t="inlineStr">
        <is>
          <t>minecraft:cherry_grove</t>
        </is>
      </c>
      <c r="Q2842" s="19" t="inlineStr"/>
      <c r="R2842" s="18">
        <f>IF(Q2842="",P2842,Q2842)</f>
        <v/>
      </c>
      <c r="S2842" s="18" t="inlineStr"/>
      <c r="T2842" s="18" t="inlineStr">
        <is>
          <t>ultra-rare</t>
        </is>
      </c>
      <c r="U2842" s="20" t="n">
        <v>3.5</v>
      </c>
      <c r="V2842" s="21" t="n">
        <v>1</v>
      </c>
      <c r="W2842" s="20">
        <f>IF(OR(U2842="",V2842=""),U2842,U2842*V2842)</f>
        <v/>
      </c>
      <c r="X2842" s="18" t="inlineStr">
        <is>
          <t>30-50</t>
        </is>
      </c>
      <c r="Y2842" s="19" t="inlineStr"/>
      <c r="Z2842" s="18">
        <f>IF(Y2842="",X2842,Y2842)</f>
        <v/>
      </c>
      <c r="AA2842" s="18" t="inlineStr">
        <is>
          <t>grounded</t>
        </is>
      </c>
      <c r="AB2842" s="18" t="inlineStr"/>
      <c r="AC2842" s="18" t="inlineStr"/>
      <c r="AD2842" s="18" t="inlineStr"/>
      <c r="AE2842" s="18" t="inlineStr"/>
      <c r="AF2842" s="18" t="inlineStr"/>
      <c r="AG2842" s="18" t="inlineStr"/>
      <c r="AH2842" s="18" t="inlineStr"/>
      <c r="AI2842" s="18" t="inlineStr"/>
      <c r="AJ2842" s="18" t="inlineStr">
        <is>
          <t>COBBLEVERSE 추가</t>
        </is>
      </c>
      <c r="AK2842" s="18" t="inlineStr">
        <is>
          <t>사용</t>
        </is>
      </c>
      <c r="AL2842" s="18" t="inlineStr">
        <is>
          <t>COBBLEVERSE 1.7.42 / DP v31</t>
        </is>
      </c>
      <c r="AM2842" s="18" t="inlineStr">
        <is>
          <t>data/cobblemon/spawn_pool_world/0891_kubfu.json</t>
        </is>
      </c>
      <c r="AN2842" s="18" t="inlineStr">
        <is>
          <t>kubfu-1</t>
        </is>
      </c>
      <c r="AO2842" s="18" t="inlineStr">
        <is>
          <t>pokemon</t>
        </is>
      </c>
      <c r="AP2842" s="18" t="inlineStr">
        <is>
          <t>natural</t>
        </is>
      </c>
      <c r="AQ2842" s="18" t="inlineStr">
        <is>
          <t>{"biomes":["minecraft:cherry_grove"]}</t>
        </is>
      </c>
      <c r="AR2842" s="18" t="inlineStr"/>
      <c r="AS2842" s="18" t="inlineStr"/>
      <c r="AT2842" s="19" t="inlineStr"/>
    </row>
    <row r="2843" ht="32" customHeight="1">
      <c r="A2843" s="18" t="inlineStr">
        <is>
          <t>0892_urshifu.json::urshifu-1::001</t>
        </is>
      </c>
      <c r="B2843" s="19" t="inlineStr">
        <is>
          <t>사용</t>
        </is>
      </c>
      <c r="C2843" s="18">
        <f>IF(OR(B2843&lt;&gt;AK2843,M2843&lt;&gt;L2843,O2843&lt;&gt;"",Q2843&lt;&gt;"",V2843&lt;&gt;1,Y2843&lt;&gt;"",AT2843&lt;&gt;""),"수정","원본")</f>
        <v/>
      </c>
      <c r="D2843" s="18" t="n">
        <v>892</v>
      </c>
      <c r="E2843" s="18" t="inlineStr">
        <is>
          <t>우라오스</t>
        </is>
      </c>
      <c r="F2843" s="18" t="inlineStr">
        <is>
          <t>urshifu</t>
        </is>
      </c>
      <c r="G2843" s="18" t="inlineStr">
        <is>
          <t>urshifu</t>
        </is>
      </c>
      <c r="H2843" s="18" t="inlineStr"/>
      <c r="I2843" s="18" t="n">
        <v>8</v>
      </c>
      <c r="J2843" s="18" t="n"/>
      <c r="K2843" s="18" t="n">
        <v>8</v>
      </c>
      <c r="L2843" s="18" t="inlineStr">
        <is>
          <t>cobbleventure:generation_8</t>
        </is>
      </c>
      <c r="M2843" s="19" t="inlineStr">
        <is>
          <t>cobbleventure:generation_8</t>
        </is>
      </c>
      <c r="N2843" s="18" t="inlineStr"/>
      <c r="O2843" s="19" t="inlineStr"/>
      <c r="P2843" s="18" t="inlineStr">
        <is>
          <t>minecraft:cherry_grove</t>
        </is>
      </c>
      <c r="Q2843" s="19" t="inlineStr"/>
      <c r="R2843" s="18">
        <f>IF(Q2843="",P2843,Q2843)</f>
        <v/>
      </c>
      <c r="S2843" s="18" t="inlineStr"/>
      <c r="T2843" s="18" t="inlineStr">
        <is>
          <t>ultra-rare</t>
        </is>
      </c>
      <c r="U2843" s="20" t="n">
        <v>3.5</v>
      </c>
      <c r="V2843" s="21" t="n">
        <v>1</v>
      </c>
      <c r="W2843" s="20">
        <f>IF(OR(U2843="",V2843=""),U2843,U2843*V2843)</f>
        <v/>
      </c>
      <c r="X2843" s="18" t="inlineStr">
        <is>
          <t>60-80</t>
        </is>
      </c>
      <c r="Y2843" s="19" t="inlineStr"/>
      <c r="Z2843" s="18">
        <f>IF(Y2843="",X2843,Y2843)</f>
        <v/>
      </c>
      <c r="AA2843" s="18" t="inlineStr">
        <is>
          <t>grounded</t>
        </is>
      </c>
      <c r="AB2843" s="18" t="inlineStr"/>
      <c r="AC2843" s="18" t="inlineStr"/>
      <c r="AD2843" s="18" t="inlineStr"/>
      <c r="AE2843" s="18" t="inlineStr"/>
      <c r="AF2843" s="18" t="inlineStr"/>
      <c r="AG2843" s="18" t="inlineStr"/>
      <c r="AH2843" s="18" t="inlineStr"/>
      <c r="AI2843" s="18" t="inlineStr"/>
      <c r="AJ2843" s="18" t="inlineStr">
        <is>
          <t>COBBLEVERSE 추가</t>
        </is>
      </c>
      <c r="AK2843" s="18" t="inlineStr">
        <is>
          <t>사용</t>
        </is>
      </c>
      <c r="AL2843" s="18" t="inlineStr">
        <is>
          <t>COBBLEVERSE 1.7.42 / DP v31</t>
        </is>
      </c>
      <c r="AM2843" s="18" t="inlineStr">
        <is>
          <t>data/cobblemon/spawn_pool_world/0892_urshifu.json</t>
        </is>
      </c>
      <c r="AN2843" s="18" t="inlineStr">
        <is>
          <t>urshifu-1</t>
        </is>
      </c>
      <c r="AO2843" s="18" t="inlineStr">
        <is>
          <t>pokemon</t>
        </is>
      </c>
      <c r="AP2843" s="18" t="inlineStr">
        <is>
          <t>natural</t>
        </is>
      </c>
      <c r="AQ2843" s="18" t="inlineStr">
        <is>
          <t>{"biomes":["minecraft:cherry_grove"]}</t>
        </is>
      </c>
      <c r="AR2843" s="18" t="inlineStr"/>
      <c r="AS2843" s="18" t="inlineStr"/>
      <c r="AT2843" s="19" t="inlineStr"/>
    </row>
    <row r="2844" ht="32" customHeight="1">
      <c r="A2844" s="18" t="inlineStr">
        <is>
          <t>0893_zarude.json::zarude-1::001</t>
        </is>
      </c>
      <c r="B2844" s="19" t="inlineStr">
        <is>
          <t>사용</t>
        </is>
      </c>
      <c r="C2844" s="18">
        <f>IF(OR(B2844&lt;&gt;AK2844,M2844&lt;&gt;L2844,O2844&lt;&gt;"",Q2844&lt;&gt;"",V2844&lt;&gt;1,Y2844&lt;&gt;"",AT2844&lt;&gt;""),"수정","원본")</f>
        <v/>
      </c>
      <c r="D2844" s="18" t="n">
        <v>893</v>
      </c>
      <c r="E2844" s="18" t="inlineStr">
        <is>
          <t>자루도</t>
        </is>
      </c>
      <c r="F2844" s="18" t="inlineStr">
        <is>
          <t>zarude</t>
        </is>
      </c>
      <c r="G2844" s="18" t="inlineStr">
        <is>
          <t>zarude</t>
        </is>
      </c>
      <c r="H2844" s="18" t="inlineStr"/>
      <c r="I2844" s="18" t="n">
        <v>8</v>
      </c>
      <c r="J2844" s="18" t="n"/>
      <c r="K2844" s="18" t="n">
        <v>8</v>
      </c>
      <c r="L2844" s="18" t="inlineStr">
        <is>
          <t>cobbleventure:generation_8</t>
        </is>
      </c>
      <c r="M2844" s="19" t="inlineStr">
        <is>
          <t>cobbleventure:generation_8</t>
        </is>
      </c>
      <c r="N2844" s="18" t="inlineStr"/>
      <c r="O2844" s="19" t="inlineStr"/>
      <c r="P2844" s="18" t="inlineStr">
        <is>
          <t>minecraft:jungle</t>
        </is>
      </c>
      <c r="Q2844" s="19" t="inlineStr"/>
      <c r="R2844" s="18">
        <f>IF(Q2844="",P2844,Q2844)</f>
        <v/>
      </c>
      <c r="S2844" s="18" t="inlineStr"/>
      <c r="T2844" s="18" t="inlineStr">
        <is>
          <t>ultra-rare</t>
        </is>
      </c>
      <c r="U2844" s="20" t="n">
        <v>0.4</v>
      </c>
      <c r="V2844" s="21" t="n">
        <v>1</v>
      </c>
      <c r="W2844" s="20">
        <f>IF(OR(U2844="",V2844=""),U2844,U2844*V2844)</f>
        <v/>
      </c>
      <c r="X2844" s="18" t="inlineStr">
        <is>
          <t>70</t>
        </is>
      </c>
      <c r="Y2844" s="19" t="inlineStr"/>
      <c r="Z2844" s="18">
        <f>IF(Y2844="",X2844,Y2844)</f>
        <v/>
      </c>
      <c r="AA2844" s="18" t="inlineStr">
        <is>
          <t>grounded</t>
        </is>
      </c>
      <c r="AB2844" s="18" t="inlineStr"/>
      <c r="AC2844" s="18" t="inlineStr"/>
      <c r="AD2844" s="18" t="inlineStr"/>
      <c r="AE2844" s="18" t="inlineStr"/>
      <c r="AF2844" s="18" t="inlineStr"/>
      <c r="AG2844" s="18" t="inlineStr"/>
      <c r="AH2844" s="18" t="inlineStr"/>
      <c r="AI2844" s="18" t="inlineStr"/>
      <c r="AJ2844" s="18" t="inlineStr">
        <is>
          <t>COBBLEVERSE 추가</t>
        </is>
      </c>
      <c r="AK2844" s="18" t="inlineStr">
        <is>
          <t>사용</t>
        </is>
      </c>
      <c r="AL2844" s="18" t="inlineStr">
        <is>
          <t>COBBLEVERSE 1.7.42 / DP v31</t>
        </is>
      </c>
      <c r="AM2844" s="18" t="inlineStr">
        <is>
          <t>data/cobblemon/spawn_pool_world/0893_zarude.json</t>
        </is>
      </c>
      <c r="AN2844" s="18" t="inlineStr">
        <is>
          <t>zarude-1</t>
        </is>
      </c>
      <c r="AO2844" s="18" t="inlineStr">
        <is>
          <t>pokemon</t>
        </is>
      </c>
      <c r="AP2844" s="18" t="inlineStr">
        <is>
          <t>natural; wild</t>
        </is>
      </c>
      <c r="AQ2844" s="18" t="inlineStr">
        <is>
          <t>{"biomes":["minecraft:jungle"]}</t>
        </is>
      </c>
      <c r="AR2844" s="18" t="inlineStr"/>
      <c r="AS2844" s="18" t="inlineStr"/>
      <c r="AT2844" s="19" t="inlineStr"/>
    </row>
    <row r="2845" ht="32" customHeight="1">
      <c r="A2845" s="18" t="inlineStr">
        <is>
          <t>0894_regieleki.json::regieleki-1::001</t>
        </is>
      </c>
      <c r="B2845" s="19" t="inlineStr">
        <is>
          <t>사용</t>
        </is>
      </c>
      <c r="C2845" s="18">
        <f>IF(OR(B2845&lt;&gt;AK2845,M2845&lt;&gt;L2845,O2845&lt;&gt;"",Q2845&lt;&gt;"",V2845&lt;&gt;1,Y2845&lt;&gt;"",AT2845&lt;&gt;""),"수정","원본")</f>
        <v/>
      </c>
      <c r="D2845" s="18" t="n">
        <v>894</v>
      </c>
      <c r="E2845" s="18" t="inlineStr">
        <is>
          <t>레지에레키</t>
        </is>
      </c>
      <c r="F2845" s="18" t="inlineStr">
        <is>
          <t>regieleki</t>
        </is>
      </c>
      <c r="G2845" s="18" t="inlineStr">
        <is>
          <t>regieleki</t>
        </is>
      </c>
      <c r="H2845" s="18" t="inlineStr"/>
      <c r="I2845" s="18" t="n">
        <v>8</v>
      </c>
      <c r="J2845" s="18" t="n"/>
      <c r="K2845" s="18" t="n">
        <v>8</v>
      </c>
      <c r="L2845" s="18" t="inlineStr">
        <is>
          <t>cobbleventure:generation_8</t>
        </is>
      </c>
      <c r="M2845" s="19" t="inlineStr">
        <is>
          <t>cobbleventure:generation_8</t>
        </is>
      </c>
      <c r="N2845" s="18" t="inlineStr"/>
      <c r="O2845" s="19" t="inlineStr"/>
      <c r="P2845" s="18" t="inlineStr">
        <is>
          <t>cobbleverse:custom_spawn/split_decision_temple</t>
        </is>
      </c>
      <c r="Q2845" s="19" t="inlineStr"/>
      <c r="R2845" s="18">
        <f>IF(Q2845="",P2845,Q2845)</f>
        <v/>
      </c>
      <c r="S2845" s="18" t="inlineStr"/>
      <c r="T2845" s="18" t="inlineStr">
        <is>
          <t>ultra-rare</t>
        </is>
      </c>
      <c r="U2845" s="20" t="n">
        <v>0</v>
      </c>
      <c r="V2845" s="21" t="n">
        <v>1</v>
      </c>
      <c r="W2845" s="20">
        <f>IF(OR(U2845="",V2845=""),U2845,U2845*V2845)</f>
        <v/>
      </c>
      <c r="X2845" s="18" t="inlineStr">
        <is>
          <t>70-80</t>
        </is>
      </c>
      <c r="Y2845" s="19" t="inlineStr"/>
      <c r="Z2845" s="18">
        <f>IF(Y2845="",X2845,Y2845)</f>
        <v/>
      </c>
      <c r="AA2845" s="18" t="inlineStr">
        <is>
          <t>grounded</t>
        </is>
      </c>
      <c r="AB2845" s="18" t="inlineStr"/>
      <c r="AC2845" s="18" t="inlineStr"/>
      <c r="AD2845" s="18" t="inlineStr"/>
      <c r="AE2845" s="18" t="inlineStr"/>
      <c r="AF2845" s="18" t="inlineStr"/>
      <c r="AG2845" s="18" t="inlineStr"/>
      <c r="AH2845" s="18" t="inlineStr"/>
      <c r="AI2845" s="18" t="inlineStr"/>
      <c r="AJ2845" s="18" t="inlineStr">
        <is>
          <t>COBBLEVERSE 추가</t>
        </is>
      </c>
      <c r="AK2845" s="18" t="inlineStr">
        <is>
          <t>사용</t>
        </is>
      </c>
      <c r="AL2845" s="18" t="inlineStr">
        <is>
          <t>COBBLEVERSE 1.7.42 / DP v31</t>
        </is>
      </c>
      <c r="AM2845" s="18" t="inlineStr">
        <is>
          <t>data/cobblemon/spawn_pool_world/0894_regieleki.json</t>
        </is>
      </c>
      <c r="AN2845" s="18" t="inlineStr">
        <is>
          <t>regieleki-1</t>
        </is>
      </c>
      <c r="AO2845" s="18" t="inlineStr">
        <is>
          <t>pokemon</t>
        </is>
      </c>
      <c r="AP2845" s="18" t="inlineStr">
        <is>
          <t>natural</t>
        </is>
      </c>
      <c r="AQ2845" s="18" t="inlineStr">
        <is>
          <t>{"biomes":["cobbleverse:custom_spawn/split_decision_temple"]}</t>
        </is>
      </c>
      <c r="AR2845" s="18" t="inlineStr"/>
      <c r="AS2845" s="18" t="inlineStr"/>
      <c r="AT2845" s="19" t="inlineStr"/>
    </row>
    <row r="2846" ht="32" customHeight="1">
      <c r="A2846" s="18" t="inlineStr">
        <is>
          <t>0895_regidrago.json::regidrago-1::001</t>
        </is>
      </c>
      <c r="B2846" s="19" t="inlineStr">
        <is>
          <t>사용</t>
        </is>
      </c>
      <c r="C2846" s="18">
        <f>IF(OR(B2846&lt;&gt;AK2846,M2846&lt;&gt;L2846,O2846&lt;&gt;"",Q2846&lt;&gt;"",V2846&lt;&gt;1,Y2846&lt;&gt;"",AT2846&lt;&gt;""),"수정","원본")</f>
        <v/>
      </c>
      <c r="D2846" s="18" t="n">
        <v>895</v>
      </c>
      <c r="E2846" s="18" t="inlineStr">
        <is>
          <t>레지드래고</t>
        </is>
      </c>
      <c r="F2846" s="18" t="inlineStr">
        <is>
          <t>regidrago</t>
        </is>
      </c>
      <c r="G2846" s="18" t="inlineStr">
        <is>
          <t>regidrago</t>
        </is>
      </c>
      <c r="H2846" s="18" t="inlineStr"/>
      <c r="I2846" s="18" t="n">
        <v>8</v>
      </c>
      <c r="J2846" s="18" t="n"/>
      <c r="K2846" s="18" t="n">
        <v>8</v>
      </c>
      <c r="L2846" s="18" t="inlineStr">
        <is>
          <t>cobbleventure:generation_8</t>
        </is>
      </c>
      <c r="M2846" s="19" t="inlineStr">
        <is>
          <t>cobbleventure:generation_8</t>
        </is>
      </c>
      <c r="N2846" s="18" t="inlineStr"/>
      <c r="O2846" s="19" t="inlineStr"/>
      <c r="P2846" s="18" t="inlineStr">
        <is>
          <t>cobbleverse:custom_spawn/split_decision_temple</t>
        </is>
      </c>
      <c r="Q2846" s="19" t="inlineStr"/>
      <c r="R2846" s="18">
        <f>IF(Q2846="",P2846,Q2846)</f>
        <v/>
      </c>
      <c r="S2846" s="18" t="inlineStr"/>
      <c r="T2846" s="18" t="inlineStr">
        <is>
          <t>ultra-rare</t>
        </is>
      </c>
      <c r="U2846" s="20" t="n">
        <v>0</v>
      </c>
      <c r="V2846" s="21" t="n">
        <v>1</v>
      </c>
      <c r="W2846" s="20">
        <f>IF(OR(U2846="",V2846=""),U2846,U2846*V2846)</f>
        <v/>
      </c>
      <c r="X2846" s="18" t="inlineStr">
        <is>
          <t>70-80</t>
        </is>
      </c>
      <c r="Y2846" s="19" t="inlineStr"/>
      <c r="Z2846" s="18">
        <f>IF(Y2846="",X2846,Y2846)</f>
        <v/>
      </c>
      <c r="AA2846" s="18" t="inlineStr">
        <is>
          <t>grounded</t>
        </is>
      </c>
      <c r="AB2846" s="18" t="inlineStr"/>
      <c r="AC2846" s="18" t="inlineStr"/>
      <c r="AD2846" s="18" t="inlineStr"/>
      <c r="AE2846" s="18" t="inlineStr"/>
      <c r="AF2846" s="18" t="inlineStr"/>
      <c r="AG2846" s="18" t="inlineStr"/>
      <c r="AH2846" s="18" t="inlineStr"/>
      <c r="AI2846" s="18" t="inlineStr"/>
      <c r="AJ2846" s="18" t="inlineStr">
        <is>
          <t>COBBLEVERSE 추가</t>
        </is>
      </c>
      <c r="AK2846" s="18" t="inlineStr">
        <is>
          <t>사용</t>
        </is>
      </c>
      <c r="AL2846" s="18" t="inlineStr">
        <is>
          <t>COBBLEVERSE 1.7.42 / DP v31</t>
        </is>
      </c>
      <c r="AM2846" s="18" t="inlineStr">
        <is>
          <t>data/cobblemon/spawn_pool_world/0895_regidrago.json</t>
        </is>
      </c>
      <c r="AN2846" s="18" t="inlineStr">
        <is>
          <t>regidrago-1</t>
        </is>
      </c>
      <c r="AO2846" s="18" t="inlineStr">
        <is>
          <t>pokemon</t>
        </is>
      </c>
      <c r="AP2846" s="18" t="inlineStr">
        <is>
          <t>natural</t>
        </is>
      </c>
      <c r="AQ2846" s="18" t="inlineStr">
        <is>
          <t>{"biomes":["cobbleverse:custom_spawn/split_decision_temple"]}</t>
        </is>
      </c>
      <c r="AR2846" s="18" t="inlineStr"/>
      <c r="AS2846" s="18" t="inlineStr"/>
      <c r="AT2846" s="19" t="inlineStr"/>
    </row>
    <row r="2847" ht="32" customHeight="1">
      <c r="A2847" s="18" t="inlineStr">
        <is>
          <t>0896_glastrier.json::glastrier-1::001</t>
        </is>
      </c>
      <c r="B2847" s="19" t="inlineStr">
        <is>
          <t>사용</t>
        </is>
      </c>
      <c r="C2847" s="18">
        <f>IF(OR(B2847&lt;&gt;AK2847,M2847&lt;&gt;L2847,O2847&lt;&gt;"",Q2847&lt;&gt;"",V2847&lt;&gt;1,Y2847&lt;&gt;"",AT2847&lt;&gt;""),"수정","원본")</f>
        <v/>
      </c>
      <c r="D2847" s="18" t="n">
        <v>896</v>
      </c>
      <c r="E2847" s="18" t="inlineStr">
        <is>
          <t>블리자포스</t>
        </is>
      </c>
      <c r="F2847" s="18" t="inlineStr">
        <is>
          <t>glastrier</t>
        </is>
      </c>
      <c r="G2847" s="18" t="inlineStr">
        <is>
          <t>glastrier</t>
        </is>
      </c>
      <c r="H2847" s="18" t="inlineStr"/>
      <c r="I2847" s="18" t="n">
        <v>8</v>
      </c>
      <c r="J2847" s="18" t="n"/>
      <c r="K2847" s="18" t="n">
        <v>8</v>
      </c>
      <c r="L2847" s="18" t="inlineStr">
        <is>
          <t>cobbleventure:generation_8</t>
        </is>
      </c>
      <c r="M2847" s="19" t="inlineStr">
        <is>
          <t>cobbleventure:generation_8</t>
        </is>
      </c>
      <c r="N2847" s="18" t="inlineStr"/>
      <c r="O2847" s="19" t="inlineStr"/>
      <c r="P2847" s="18" t="inlineStr">
        <is>
          <t>cobbleverse:custom_spawn/crown_spire</t>
        </is>
      </c>
      <c r="Q2847" s="19" t="inlineStr"/>
      <c r="R2847" s="18">
        <f>IF(Q2847="",P2847,Q2847)</f>
        <v/>
      </c>
      <c r="S2847" s="18" t="inlineStr"/>
      <c r="T2847" s="18" t="inlineStr">
        <is>
          <t>ultra-rare</t>
        </is>
      </c>
      <c r="U2847" s="20" t="n">
        <v>0</v>
      </c>
      <c r="V2847" s="21" t="n">
        <v>1</v>
      </c>
      <c r="W2847" s="20">
        <f>IF(OR(U2847="",V2847=""),U2847,U2847*V2847)</f>
        <v/>
      </c>
      <c r="X2847" s="18" t="inlineStr">
        <is>
          <t>60</t>
        </is>
      </c>
      <c r="Y2847" s="19" t="inlineStr"/>
      <c r="Z2847" s="18">
        <f>IF(Y2847="",X2847,Y2847)</f>
        <v/>
      </c>
      <c r="AA2847" s="18" t="inlineStr">
        <is>
          <t>grounded</t>
        </is>
      </c>
      <c r="AB2847" s="18" t="inlineStr"/>
      <c r="AC2847" s="18" t="inlineStr"/>
      <c r="AD2847" s="18" t="inlineStr"/>
      <c r="AE2847" s="18" t="inlineStr"/>
      <c r="AF2847" s="18" t="inlineStr"/>
      <c r="AG2847" s="18" t="inlineStr"/>
      <c r="AH2847" s="18" t="inlineStr"/>
      <c r="AI2847" s="18" t="inlineStr"/>
      <c r="AJ2847" s="18" t="inlineStr">
        <is>
          <t>COBBLEVERSE 추가</t>
        </is>
      </c>
      <c r="AK2847" s="18" t="inlineStr">
        <is>
          <t>사용</t>
        </is>
      </c>
      <c r="AL2847" s="18" t="inlineStr">
        <is>
          <t>COBBLEVERSE 1.7.42 / DP v31</t>
        </is>
      </c>
      <c r="AM2847" s="18" t="inlineStr">
        <is>
          <t>data/cobblemon/spawn_pool_world/0896_glastrier.json</t>
        </is>
      </c>
      <c r="AN2847" s="18" t="inlineStr">
        <is>
          <t>glastrier-1</t>
        </is>
      </c>
      <c r="AO2847" s="18" t="inlineStr">
        <is>
          <t>pokemon</t>
        </is>
      </c>
      <c r="AP2847" s="18" t="inlineStr">
        <is>
          <t>natural</t>
        </is>
      </c>
      <c r="AQ2847" s="18" t="inlineStr">
        <is>
          <t>{"biomes":["cobbleverse:custom_spawn/crown_spire"]}</t>
        </is>
      </c>
      <c r="AR2847" s="18" t="inlineStr"/>
      <c r="AS2847" s="18" t="inlineStr"/>
      <c r="AT2847" s="19" t="inlineStr"/>
    </row>
    <row r="2848" ht="32" customHeight="1">
      <c r="A2848" s="18" t="inlineStr">
        <is>
          <t>0897_spectrier.json::spectrier-1::001</t>
        </is>
      </c>
      <c r="B2848" s="19" t="inlineStr">
        <is>
          <t>사용</t>
        </is>
      </c>
      <c r="C2848" s="18">
        <f>IF(OR(B2848&lt;&gt;AK2848,M2848&lt;&gt;L2848,O2848&lt;&gt;"",Q2848&lt;&gt;"",V2848&lt;&gt;1,Y2848&lt;&gt;"",AT2848&lt;&gt;""),"수정","원본")</f>
        <v/>
      </c>
      <c r="D2848" s="18" t="n">
        <v>897</v>
      </c>
      <c r="E2848" s="18" t="inlineStr">
        <is>
          <t>레이스포스</t>
        </is>
      </c>
      <c r="F2848" s="18" t="inlineStr">
        <is>
          <t>spectrier</t>
        </is>
      </c>
      <c r="G2848" s="18" t="inlineStr">
        <is>
          <t>spectrier</t>
        </is>
      </c>
      <c r="H2848" s="18" t="inlineStr"/>
      <c r="I2848" s="18" t="n">
        <v>8</v>
      </c>
      <c r="J2848" s="18" t="n"/>
      <c r="K2848" s="18" t="n">
        <v>8</v>
      </c>
      <c r="L2848" s="18" t="inlineStr">
        <is>
          <t>cobbleventure:generation_8</t>
        </is>
      </c>
      <c r="M2848" s="19" t="inlineStr">
        <is>
          <t>cobbleventure:generation_8</t>
        </is>
      </c>
      <c r="N2848" s="18" t="inlineStr"/>
      <c r="O2848" s="19" t="inlineStr"/>
      <c r="P2848" s="18" t="inlineStr">
        <is>
          <t>cobbleverse:custom_spawn/crown_cemetery</t>
        </is>
      </c>
      <c r="Q2848" s="19" t="inlineStr"/>
      <c r="R2848" s="18">
        <f>IF(Q2848="",P2848,Q2848)</f>
        <v/>
      </c>
      <c r="S2848" s="18" t="inlineStr"/>
      <c r="T2848" s="18" t="inlineStr">
        <is>
          <t>ultra-rare</t>
        </is>
      </c>
      <c r="U2848" s="20" t="n">
        <v>0</v>
      </c>
      <c r="V2848" s="21" t="n">
        <v>1</v>
      </c>
      <c r="W2848" s="20">
        <f>IF(OR(U2848="",V2848=""),U2848,U2848*V2848)</f>
        <v/>
      </c>
      <c r="X2848" s="18" t="inlineStr">
        <is>
          <t>60</t>
        </is>
      </c>
      <c r="Y2848" s="19" t="inlineStr"/>
      <c r="Z2848" s="18">
        <f>IF(Y2848="",X2848,Y2848)</f>
        <v/>
      </c>
      <c r="AA2848" s="18" t="inlineStr">
        <is>
          <t>grounded</t>
        </is>
      </c>
      <c r="AB2848" s="18" t="inlineStr"/>
      <c r="AC2848" s="18" t="inlineStr"/>
      <c r="AD2848" s="18" t="inlineStr"/>
      <c r="AE2848" s="18" t="inlineStr"/>
      <c r="AF2848" s="18" t="inlineStr"/>
      <c r="AG2848" s="18" t="inlineStr"/>
      <c r="AH2848" s="18" t="inlineStr"/>
      <c r="AI2848" s="18" t="inlineStr"/>
      <c r="AJ2848" s="18" t="inlineStr">
        <is>
          <t>COBBLEVERSE 추가</t>
        </is>
      </c>
      <c r="AK2848" s="18" t="inlineStr">
        <is>
          <t>사용</t>
        </is>
      </c>
      <c r="AL2848" s="18" t="inlineStr">
        <is>
          <t>COBBLEVERSE 1.7.42 / DP v31</t>
        </is>
      </c>
      <c r="AM2848" s="18" t="inlineStr">
        <is>
          <t>data/cobblemon/spawn_pool_world/0897_spectrier.json</t>
        </is>
      </c>
      <c r="AN2848" s="18" t="inlineStr">
        <is>
          <t>spectrier-1</t>
        </is>
      </c>
      <c r="AO2848" s="18" t="inlineStr">
        <is>
          <t>pokemon</t>
        </is>
      </c>
      <c r="AP2848" s="18" t="inlineStr"/>
      <c r="AQ2848" s="18" t="inlineStr">
        <is>
          <t>{"biomes":["cobbleverse:custom_spawn/crown_cemetery"]}</t>
        </is>
      </c>
      <c r="AR2848" s="18" t="inlineStr"/>
      <c r="AS2848" s="18" t="inlineStr"/>
      <c r="AT2848" s="19" t="inlineStr"/>
    </row>
    <row r="2849" ht="32" customHeight="1">
      <c r="A2849" s="18" t="inlineStr">
        <is>
          <t>0898_calyrex.json::calyrex-1::001</t>
        </is>
      </c>
      <c r="B2849" s="19" t="inlineStr">
        <is>
          <t>사용</t>
        </is>
      </c>
      <c r="C2849" s="18">
        <f>IF(OR(B2849&lt;&gt;AK2849,M2849&lt;&gt;L2849,O2849&lt;&gt;"",Q2849&lt;&gt;"",V2849&lt;&gt;1,Y2849&lt;&gt;"",AT2849&lt;&gt;""),"수정","원본")</f>
        <v/>
      </c>
      <c r="D2849" s="18" t="n">
        <v>898</v>
      </c>
      <c r="E2849" s="18" t="inlineStr">
        <is>
          <t>버드렉스</t>
        </is>
      </c>
      <c r="F2849" s="18" t="inlineStr">
        <is>
          <t>calyrex</t>
        </is>
      </c>
      <c r="G2849" s="18" t="inlineStr">
        <is>
          <t>calyrex</t>
        </is>
      </c>
      <c r="H2849" s="18" t="inlineStr"/>
      <c r="I2849" s="18" t="n">
        <v>8</v>
      </c>
      <c r="J2849" s="18" t="n"/>
      <c r="K2849" s="18" t="n">
        <v>8</v>
      </c>
      <c r="L2849" s="18" t="inlineStr">
        <is>
          <t>cobbleventure:generation_8</t>
        </is>
      </c>
      <c r="M2849" s="19" t="inlineStr">
        <is>
          <t>cobbleventure:generation_8</t>
        </is>
      </c>
      <c r="N2849" s="18" t="inlineStr"/>
      <c r="O2849" s="19" t="inlineStr"/>
      <c r="P2849" s="18" t="inlineStr">
        <is>
          <t>cobbleverse:custom_spawn</t>
        </is>
      </c>
      <c r="Q2849" s="19" t="inlineStr"/>
      <c r="R2849" s="18">
        <f>IF(Q2849="",P2849,Q2849)</f>
        <v/>
      </c>
      <c r="S2849" s="18" t="inlineStr"/>
      <c r="T2849" s="18" t="inlineStr">
        <is>
          <t>ultra-rare</t>
        </is>
      </c>
      <c r="U2849" s="20" t="n">
        <v>0</v>
      </c>
      <c r="V2849" s="21" t="n">
        <v>1</v>
      </c>
      <c r="W2849" s="20">
        <f>IF(OR(U2849="",V2849=""),U2849,U2849*V2849)</f>
        <v/>
      </c>
      <c r="X2849" s="18" t="inlineStr">
        <is>
          <t>50-70</t>
        </is>
      </c>
      <c r="Y2849" s="19" t="inlineStr"/>
      <c r="Z2849" s="18">
        <f>IF(Y2849="",X2849,Y2849)</f>
        <v/>
      </c>
      <c r="AA2849" s="18" t="inlineStr">
        <is>
          <t>grounded</t>
        </is>
      </c>
      <c r="AB2849" s="18" t="inlineStr"/>
      <c r="AC2849" s="18" t="inlineStr"/>
      <c r="AD2849" s="18" t="inlineStr"/>
      <c r="AE2849" s="18" t="inlineStr"/>
      <c r="AF2849" s="18" t="inlineStr"/>
      <c r="AG2849" s="18" t="inlineStr"/>
      <c r="AH2849" s="18" t="inlineStr"/>
      <c r="AI2849" s="18" t="inlineStr"/>
      <c r="AJ2849" s="18" t="inlineStr">
        <is>
          <t>COBBLEVERSE 추가</t>
        </is>
      </c>
      <c r="AK2849" s="18" t="inlineStr">
        <is>
          <t>사용</t>
        </is>
      </c>
      <c r="AL2849" s="18" t="inlineStr">
        <is>
          <t>COBBLEVERSE 1.7.42 / DP v31</t>
        </is>
      </c>
      <c r="AM2849" s="18" t="inlineStr">
        <is>
          <t>data/cobblemon/spawn_pool_world/0898_calyrex.json</t>
        </is>
      </c>
      <c r="AN2849" s="18" t="inlineStr">
        <is>
          <t>calyrex-1</t>
        </is>
      </c>
      <c r="AO2849" s="18" t="inlineStr">
        <is>
          <t>pokemon</t>
        </is>
      </c>
      <c r="AP2849" s="18" t="inlineStr"/>
      <c r="AQ2849" s="18" t="inlineStr">
        <is>
          <t>{"biomes":["cobbleverse:custom_spawn"]}</t>
        </is>
      </c>
      <c r="AR2849" s="18" t="inlineStr"/>
      <c r="AS2849" s="18" t="inlineStr"/>
      <c r="AT2849" s="19" t="inlineStr"/>
    </row>
    <row r="2850" ht="32" customHeight="1">
      <c r="A2850" s="18" t="inlineStr">
        <is>
          <t>0899_wyrdeer.json::wyrdeer-1::001</t>
        </is>
      </c>
      <c r="B2850" s="19" t="inlineStr">
        <is>
          <t>사용</t>
        </is>
      </c>
      <c r="C2850" s="18">
        <f>IF(OR(B2850&lt;&gt;AK2850,M2850&lt;&gt;L2850,O2850&lt;&gt;"",Q2850&lt;&gt;"",V2850&lt;&gt;1,Y2850&lt;&gt;"",AT2850&lt;&gt;""),"수정","원본")</f>
        <v/>
      </c>
      <c r="D2850" s="18" t="n">
        <v>899</v>
      </c>
      <c r="E2850" s="18" t="inlineStr">
        <is>
          <t>신비록</t>
        </is>
      </c>
      <c r="F2850" s="18" t="inlineStr">
        <is>
          <t>wyrdeer</t>
        </is>
      </c>
      <c r="G2850" s="18" t="inlineStr">
        <is>
          <t>wyrdeer</t>
        </is>
      </c>
      <c r="H2850" s="18" t="inlineStr"/>
      <c r="I2850" s="18" t="n">
        <v>8</v>
      </c>
      <c r="J2850" s="18" t="n"/>
      <c r="K2850" s="18" t="n">
        <v>8</v>
      </c>
      <c r="L2850" s="18" t="inlineStr">
        <is>
          <t>cobbleventure:generation_8</t>
        </is>
      </c>
      <c r="M2850" s="19" t="inlineStr">
        <is>
          <t>cobbleventure:generation_8</t>
        </is>
      </c>
      <c r="N2850" s="18" t="inlineStr"/>
      <c r="O2850" s="19" t="inlineStr"/>
      <c r="P2850" s="18" t="inlineStr">
        <is>
          <t>#cobblemon:is_snowy_forest; #cobblemon:is_snowy_taiga; #cobblemon:is_tundra</t>
        </is>
      </c>
      <c r="Q2850" s="19" t="inlineStr"/>
      <c r="R2850" s="18">
        <f>IF(Q2850="",P2850,Q2850)</f>
        <v/>
      </c>
      <c r="S2850" s="18" t="inlineStr"/>
      <c r="T2850" s="18" t="inlineStr">
        <is>
          <t>common</t>
        </is>
      </c>
      <c r="U2850" s="20" t="n">
        <v>0.6</v>
      </c>
      <c r="V2850" s="21" t="n">
        <v>1</v>
      </c>
      <c r="W2850" s="20">
        <f>IF(OR(U2850="",V2850=""),U2850,U2850*V2850)</f>
        <v/>
      </c>
      <c r="X2850" s="18" t="inlineStr">
        <is>
          <t>42-53</t>
        </is>
      </c>
      <c r="Y2850" s="19" t="inlineStr"/>
      <c r="Z2850" s="18">
        <f>IF(Y2850="",X2850,Y2850)</f>
        <v/>
      </c>
      <c r="AA2850" s="18" t="inlineStr">
        <is>
          <t>grounded</t>
        </is>
      </c>
      <c r="AB2850" s="18" t="inlineStr"/>
      <c r="AC2850" s="18" t="inlineStr"/>
      <c r="AD2850" s="18" t="inlineStr"/>
      <c r="AE2850" s="18" t="inlineStr">
        <is>
          <t>sky 8-15</t>
        </is>
      </c>
      <c r="AF2850" s="18" t="inlineStr"/>
      <c r="AG2850" s="18" t="inlineStr"/>
      <c r="AH2850" s="18" t="inlineStr"/>
      <c r="AI2850" s="18" t="inlineStr"/>
      <c r="AJ2850" s="18" t="inlineStr">
        <is>
          <t>Cobblemon 동일</t>
        </is>
      </c>
      <c r="AK2850" s="18" t="inlineStr">
        <is>
          <t>사용</t>
        </is>
      </c>
      <c r="AL2850" s="18" t="inlineStr">
        <is>
          <t>COBBLEVERSE 1.7.42 / DP v31</t>
        </is>
      </c>
      <c r="AM2850" s="18" t="inlineStr">
        <is>
          <t>data/cobblemon/spawn_pool_world/0899_wyrdeer.json</t>
        </is>
      </c>
      <c r="AN2850" s="18" t="inlineStr">
        <is>
          <t>wyrdeer-1</t>
        </is>
      </c>
      <c r="AO2850" s="18" t="inlineStr">
        <is>
          <t>pokemon</t>
        </is>
      </c>
      <c r="AP2850" s="18" t="inlineStr">
        <is>
          <t>natural; wild</t>
        </is>
      </c>
      <c r="AQ2850" s="18" t="inlineStr">
        <is>
          <t>{"biomes":["#cobblemon:is_snowy_forest","#cobblemon:is_snowy_taiga","#cobblemon:is_tundra"],"maxSkyLight":15,"minSkyLight":8}</t>
        </is>
      </c>
      <c r="AR2850" s="18" t="inlineStr"/>
      <c r="AS2850" s="18" t="inlineStr">
        <is>
          <t>{"weightMultiplier":{"condition":{"timeRange":"night"},"multiplier":0.25}}</t>
        </is>
      </c>
      <c r="AT2850" s="19" t="inlineStr"/>
    </row>
    <row r="2851" ht="32" customHeight="1">
      <c r="A2851" s="18" t="inlineStr">
        <is>
          <t>0900_kleavor.json::kleavor-1::001</t>
        </is>
      </c>
      <c r="B2851" s="19" t="inlineStr">
        <is>
          <t>사용</t>
        </is>
      </c>
      <c r="C2851" s="18">
        <f>IF(OR(B2851&lt;&gt;AK2851,M2851&lt;&gt;L2851,O2851&lt;&gt;"",Q2851&lt;&gt;"",V2851&lt;&gt;1,Y2851&lt;&gt;"",AT2851&lt;&gt;""),"수정","원본")</f>
        <v/>
      </c>
      <c r="D2851" s="18" t="n">
        <v>900</v>
      </c>
      <c r="E2851" s="18" t="inlineStr">
        <is>
          <t>사마자르</t>
        </is>
      </c>
      <c r="F2851" s="18" t="inlineStr">
        <is>
          <t>kleavor</t>
        </is>
      </c>
      <c r="G2851" s="18" t="inlineStr">
        <is>
          <t>kleavor</t>
        </is>
      </c>
      <c r="H2851" s="18" t="inlineStr"/>
      <c r="I2851" s="18" t="n">
        <v>8</v>
      </c>
      <c r="J2851" s="18" t="n"/>
      <c r="K2851" s="18" t="n">
        <v>8</v>
      </c>
      <c r="L2851" s="18" t="inlineStr">
        <is>
          <t>cobbleventure:generation_8</t>
        </is>
      </c>
      <c r="M2851" s="19" t="inlineStr">
        <is>
          <t>cobbleventure:generation_8</t>
        </is>
      </c>
      <c r="N2851" s="18" t="inlineStr">
        <is>
          <t>region_01</t>
        </is>
      </c>
      <c r="O2851" s="19" t="inlineStr"/>
      <c r="P2851" s="18" t="inlineStr">
        <is>
          <t>#cobblemon:is_forest; #cobblemon:is_hills</t>
        </is>
      </c>
      <c r="Q2851" s="19" t="inlineStr"/>
      <c r="R2851" s="18">
        <f>IF(Q2851="",P2851,Q2851)</f>
        <v/>
      </c>
      <c r="S2851" s="18" t="inlineStr">
        <is>
          <t>#cobblemon:is_freezing; #cobblemon:is_spooky</t>
        </is>
      </c>
      <c r="T2851" s="18" t="inlineStr">
        <is>
          <t>rare</t>
        </is>
      </c>
      <c r="U2851" s="20" t="n">
        <v>0.25</v>
      </c>
      <c r="V2851" s="21" t="n">
        <v>1</v>
      </c>
      <c r="W2851" s="20">
        <f>IF(OR(U2851="",V2851=""),U2851,U2851*V2851)</f>
        <v/>
      </c>
      <c r="X2851" s="18" t="inlineStr">
        <is>
          <t>45-50</t>
        </is>
      </c>
      <c r="Y2851" s="19" t="inlineStr"/>
      <c r="Z2851" s="18">
        <f>IF(Y2851="",X2851,Y2851)</f>
        <v/>
      </c>
      <c r="AA2851" s="18" t="inlineStr">
        <is>
          <t>grounded</t>
        </is>
      </c>
      <c r="AB2851" s="18" t="inlineStr">
        <is>
          <t>day</t>
        </is>
      </c>
      <c r="AC2851" s="18" t="inlineStr"/>
      <c r="AD2851" s="18" t="inlineStr"/>
      <c r="AE2851" s="18" t="inlineStr">
        <is>
          <t>sky 8-15</t>
        </is>
      </c>
      <c r="AF2851" s="18" t="inlineStr"/>
      <c r="AG2851" s="18" t="inlineStr"/>
      <c r="AH2851" s="18" t="inlineStr"/>
      <c r="AI2851" s="18" t="inlineStr"/>
      <c r="AJ2851" s="18" t="inlineStr">
        <is>
          <t>Cobblemon 동일</t>
        </is>
      </c>
      <c r="AK2851" s="18" t="inlineStr">
        <is>
          <t>사용</t>
        </is>
      </c>
      <c r="AL2851" s="18" t="inlineStr">
        <is>
          <t>COBBLEVERSE 1.7.42 / DP v31</t>
        </is>
      </c>
      <c r="AM2851" s="18" t="inlineStr">
        <is>
          <t>data/cobblemon/spawn_pool_world/0900_kleavor.json</t>
        </is>
      </c>
      <c r="AN2851" s="18" t="inlineStr">
        <is>
          <t>kleavor-1</t>
        </is>
      </c>
      <c r="AO2851" s="18" t="inlineStr">
        <is>
          <t>pokemon</t>
        </is>
      </c>
      <c r="AP2851" s="18" t="inlineStr">
        <is>
          <t>natural; wild</t>
        </is>
      </c>
      <c r="AQ2851" s="18" t="inlineStr">
        <is>
          <t>{"biomes":["#cobblemon:is_forest","#cobblemon:is_hills"],"maxSkyLight":15,"minSkyLight":8,"timeRange":"day"}</t>
        </is>
      </c>
      <c r="AR2851" s="18" t="inlineStr">
        <is>
          <t>{"biomes":["#cobblemon:is_freezing","#cobblemon:is_spooky"]}</t>
        </is>
      </c>
      <c r="AS2851" s="18" t="inlineStr"/>
      <c r="AT2851" s="19" t="inlineStr"/>
    </row>
    <row r="2852" ht="32" customHeight="1">
      <c r="A2852" s="18" t="inlineStr">
        <is>
          <t>0900_kleavor.json::kleavor-2::002</t>
        </is>
      </c>
      <c r="B2852" s="19" t="inlineStr">
        <is>
          <t>사용</t>
        </is>
      </c>
      <c r="C2852" s="18">
        <f>IF(OR(B2852&lt;&gt;AK2852,M2852&lt;&gt;L2852,O2852&lt;&gt;"",Q2852&lt;&gt;"",V2852&lt;&gt;1,Y2852&lt;&gt;"",AT2852&lt;&gt;""),"수정","원본")</f>
        <v/>
      </c>
      <c r="D2852" s="18" t="n">
        <v>900</v>
      </c>
      <c r="E2852" s="18" t="inlineStr">
        <is>
          <t>사마자르</t>
        </is>
      </c>
      <c r="F2852" s="18" t="inlineStr">
        <is>
          <t>kleavor</t>
        </is>
      </c>
      <c r="G2852" s="18" t="inlineStr">
        <is>
          <t>kleavor</t>
        </is>
      </c>
      <c r="H2852" s="18" t="inlineStr"/>
      <c r="I2852" s="18" t="n">
        <v>8</v>
      </c>
      <c r="J2852" s="18" t="n"/>
      <c r="K2852" s="18" t="n">
        <v>8</v>
      </c>
      <c r="L2852" s="18" t="inlineStr">
        <is>
          <t>cobbleventure:generation_8</t>
        </is>
      </c>
      <c r="M2852" s="19" t="inlineStr">
        <is>
          <t>cobbleventure:generation_8</t>
        </is>
      </c>
      <c r="N2852" s="18" t="inlineStr"/>
      <c r="O2852" s="19" t="inlineStr"/>
      <c r="P2852" s="18" t="inlineStr">
        <is>
          <t>aether:skyroot_forest; aether:skyroot_woodland</t>
        </is>
      </c>
      <c r="Q2852" s="19" t="inlineStr"/>
      <c r="R2852" s="18">
        <f>IF(Q2852="",P2852,Q2852)</f>
        <v/>
      </c>
      <c r="S2852" s="18" t="inlineStr"/>
      <c r="T2852" s="18" t="inlineStr">
        <is>
          <t>rare</t>
        </is>
      </c>
      <c r="U2852" s="20" t="n">
        <v>0.25</v>
      </c>
      <c r="V2852" s="21" t="n">
        <v>1</v>
      </c>
      <c r="W2852" s="20">
        <f>IF(OR(U2852="",V2852=""),U2852,U2852*V2852)</f>
        <v/>
      </c>
      <c r="X2852" s="18" t="inlineStr">
        <is>
          <t>45-50</t>
        </is>
      </c>
      <c r="Y2852" s="19" t="inlineStr"/>
      <c r="Z2852" s="18">
        <f>IF(Y2852="",X2852,Y2852)</f>
        <v/>
      </c>
      <c r="AA2852" s="18" t="inlineStr">
        <is>
          <t>grounded</t>
        </is>
      </c>
      <c r="AB2852" s="18" t="inlineStr"/>
      <c r="AC2852" s="18" t="inlineStr"/>
      <c r="AD2852" s="18" t="inlineStr"/>
      <c r="AE2852" s="18" t="inlineStr">
        <is>
          <t>sky 8-15</t>
        </is>
      </c>
      <c r="AF2852" s="18" t="inlineStr"/>
      <c r="AG2852" s="18" t="inlineStr"/>
      <c r="AH2852" s="18" t="inlineStr"/>
      <c r="AI2852" s="18" t="inlineStr"/>
      <c r="AJ2852" s="18" t="inlineStr">
        <is>
          <t>Cobblemon 동일</t>
        </is>
      </c>
      <c r="AK2852" s="18" t="inlineStr">
        <is>
          <t>사용</t>
        </is>
      </c>
      <c r="AL2852" s="18" t="inlineStr">
        <is>
          <t>COBBLEVERSE 1.7.42 / DP v31</t>
        </is>
      </c>
      <c r="AM2852" s="18" t="inlineStr">
        <is>
          <t>data/cobblemon/spawn_pool_world/0900_kleavor.json</t>
        </is>
      </c>
      <c r="AN2852" s="18" t="inlineStr">
        <is>
          <t>kleavor-2</t>
        </is>
      </c>
      <c r="AO2852" s="18" t="inlineStr">
        <is>
          <t>pokemon</t>
        </is>
      </c>
      <c r="AP2852" s="18" t="inlineStr">
        <is>
          <t>natural</t>
        </is>
      </c>
      <c r="AQ2852" s="18" t="inlineStr">
        <is>
          <t>{"biomes":["aether:skyroot_forest","aether:skyroot_woodland"],"maxSkyLight":15,"minSkyLight":8}</t>
        </is>
      </c>
      <c r="AR2852" s="18" t="inlineStr"/>
      <c r="AS2852" s="18" t="inlineStr"/>
      <c r="AT2852" s="19" t="inlineStr"/>
    </row>
    <row r="2853" ht="32" customHeight="1">
      <c r="A2853" s="18" t="inlineStr">
        <is>
          <t>0901_ursaluna.json::ursaluna-1::001</t>
        </is>
      </c>
      <c r="B2853" s="19" t="inlineStr">
        <is>
          <t>사용</t>
        </is>
      </c>
      <c r="C2853" s="18">
        <f>IF(OR(B2853&lt;&gt;AK2853,M2853&lt;&gt;L2853,O2853&lt;&gt;"",Q2853&lt;&gt;"",V2853&lt;&gt;1,Y2853&lt;&gt;"",AT2853&lt;&gt;""),"수정","원본")</f>
        <v/>
      </c>
      <c r="D2853" s="18" t="n">
        <v>901</v>
      </c>
      <c r="E2853" s="18" t="inlineStr">
        <is>
          <t>다투곰</t>
        </is>
      </c>
      <c r="F2853" s="18" t="inlineStr">
        <is>
          <t>ursaluna</t>
        </is>
      </c>
      <c r="G2853" s="18" t="inlineStr">
        <is>
          <t>ursaluna</t>
        </is>
      </c>
      <c r="H2853" s="18" t="inlineStr"/>
      <c r="I2853" s="18" t="n">
        <v>8</v>
      </c>
      <c r="J2853" s="18" t="n"/>
      <c r="K2853" s="18" t="n">
        <v>8</v>
      </c>
      <c r="L2853" s="18" t="inlineStr">
        <is>
          <t>cobbleventure:generation_8</t>
        </is>
      </c>
      <c r="M2853" s="19" t="inlineStr">
        <is>
          <t>cobbleventure:generation_8</t>
        </is>
      </c>
      <c r="N2853" s="18" t="inlineStr">
        <is>
          <t>region_01</t>
        </is>
      </c>
      <c r="O2853" s="19" t="inlineStr"/>
      <c r="P2853" s="18" t="inlineStr">
        <is>
          <t>#cobblemon:is_forest; #cobblemon:is_mountain; aether:skyroot_forest; aether:skyroot_woodland; #cobblemon:is_taiga</t>
        </is>
      </c>
      <c r="Q2853" s="19" t="inlineStr"/>
      <c r="R2853" s="18">
        <f>IF(Q2853="",P2853,Q2853)</f>
        <v/>
      </c>
      <c r="S2853" s="18" t="inlineStr">
        <is>
          <t>#cobblemon:is_volcanic</t>
        </is>
      </c>
      <c r="T2853" s="18" t="inlineStr">
        <is>
          <t>common</t>
        </is>
      </c>
      <c r="U2853" s="20" t="n">
        <v>0.01</v>
      </c>
      <c r="V2853" s="21" t="n">
        <v>1</v>
      </c>
      <c r="W2853" s="20">
        <f>IF(OR(U2853="",V2853=""),U2853,U2853*V2853)</f>
        <v/>
      </c>
      <c r="X2853" s="18" t="inlineStr">
        <is>
          <t>45-55</t>
        </is>
      </c>
      <c r="Y2853" s="19" t="inlineStr"/>
      <c r="Z2853" s="18">
        <f>IF(Y2853="",X2853,Y2853)</f>
        <v/>
      </c>
      <c r="AA2853" s="18" t="inlineStr">
        <is>
          <t>grounded</t>
        </is>
      </c>
      <c r="AB2853" s="18" t="inlineStr"/>
      <c r="AC2853" s="18" t="inlineStr"/>
      <c r="AD2853" s="18" t="inlineStr">
        <is>
          <t>minY=48</t>
        </is>
      </c>
      <c r="AE2853" s="18" t="inlineStr"/>
      <c r="AF2853" s="18" t="inlineStr"/>
      <c r="AG2853" s="18" t="inlineStr"/>
      <c r="AH2853" s="18" t="inlineStr"/>
      <c r="AI2853" s="18" t="inlineStr"/>
      <c r="AJ2853" s="18" t="inlineStr">
        <is>
          <t>COBBLEVERSE 수정</t>
        </is>
      </c>
      <c r="AK2853" s="18" t="inlineStr">
        <is>
          <t>사용</t>
        </is>
      </c>
      <c r="AL2853" s="18" t="inlineStr">
        <is>
          <t>COBBLEVERSE 1.7.42 / DP v31</t>
        </is>
      </c>
      <c r="AM2853" s="18" t="inlineStr">
        <is>
          <t>data/cobblemon/spawn_pool_world/0901_ursaluna.json</t>
        </is>
      </c>
      <c r="AN2853" s="18" t="inlineStr">
        <is>
          <t>ursaluna-1</t>
        </is>
      </c>
      <c r="AO2853" s="18" t="inlineStr">
        <is>
          <t>pokemon</t>
        </is>
      </c>
      <c r="AP2853" s="18" t="inlineStr">
        <is>
          <t>natural; wild</t>
        </is>
      </c>
      <c r="AQ2853" s="18" t="inlineStr">
        <is>
          <t>{"biomes":["#cobblemon:is_forest","#cobblemon:is_mountain","aether:skyroot_forest","aether:skyroot_woodland","#cobblemon:is_taiga"],"minY":48}</t>
        </is>
      </c>
      <c r="AR2853" s="18" t="inlineStr">
        <is>
          <t>{"biomes":["#cobblemon:is_volcanic"],"neededNearbyBlocks":["#cobblemon:saccharine_trees"]}</t>
        </is>
      </c>
      <c r="AS2853" s="18" t="inlineStr"/>
      <c r="AT2853" s="19" t="inlineStr"/>
    </row>
    <row r="2854" ht="32" customHeight="1">
      <c r="A2854" s="18" t="inlineStr">
        <is>
          <t>0901_ursaluna.json::ursaluna-2::002</t>
        </is>
      </c>
      <c r="B2854" s="19" t="inlineStr">
        <is>
          <t>사용</t>
        </is>
      </c>
      <c r="C2854" s="18">
        <f>IF(OR(B2854&lt;&gt;AK2854,M2854&lt;&gt;L2854,O2854&lt;&gt;"",Q2854&lt;&gt;"",V2854&lt;&gt;1,Y2854&lt;&gt;"",AT2854&lt;&gt;""),"수정","원본")</f>
        <v/>
      </c>
      <c r="D2854" s="18" t="n">
        <v>901</v>
      </c>
      <c r="E2854" s="18" t="inlineStr">
        <is>
          <t>다투곰</t>
        </is>
      </c>
      <c r="F2854" s="18" t="inlineStr">
        <is>
          <t>ursaluna</t>
        </is>
      </c>
      <c r="G2854" s="18" t="inlineStr">
        <is>
          <t>ursaluna</t>
        </is>
      </c>
      <c r="H2854" s="18" t="inlineStr"/>
      <c r="I2854" s="18" t="n">
        <v>8</v>
      </c>
      <c r="J2854" s="18" t="n"/>
      <c r="K2854" s="18" t="n">
        <v>8</v>
      </c>
      <c r="L2854" s="18" t="inlineStr">
        <is>
          <t>cobbleventure:generation_8</t>
        </is>
      </c>
      <c r="M2854" s="19" t="inlineStr">
        <is>
          <t>cobbleventure:generation_8</t>
        </is>
      </c>
      <c r="N2854" s="18" t="inlineStr">
        <is>
          <t>region_01; region_02</t>
        </is>
      </c>
      <c r="O2854" s="19" t="inlineStr"/>
      <c r="P2854" s="18" t="inlineStr">
        <is>
          <t>#aether:is_aether; #cobblemon:is_overworld</t>
        </is>
      </c>
      <c r="Q2854" s="19" t="inlineStr"/>
      <c r="R2854" s="18">
        <f>IF(Q2854="",P2854,Q2854)</f>
        <v/>
      </c>
      <c r="S2854" s="18" t="inlineStr"/>
      <c r="T2854" s="18" t="inlineStr">
        <is>
          <t>common</t>
        </is>
      </c>
      <c r="U2854" s="20" t="n">
        <v>0.03</v>
      </c>
      <c r="V2854" s="21" t="n">
        <v>1</v>
      </c>
      <c r="W2854" s="20">
        <f>IF(OR(U2854="",V2854=""),U2854,U2854*V2854)</f>
        <v/>
      </c>
      <c r="X2854" s="18" t="inlineStr">
        <is>
          <t>45-55</t>
        </is>
      </c>
      <c r="Y2854" s="19" t="inlineStr"/>
      <c r="Z2854" s="18">
        <f>IF(Y2854="",X2854,Y2854)</f>
        <v/>
      </c>
      <c r="AA2854" s="18" t="inlineStr">
        <is>
          <t>grounded</t>
        </is>
      </c>
      <c r="AB2854" s="18" t="inlineStr"/>
      <c r="AC2854" s="18" t="inlineStr"/>
      <c r="AD2854" s="18" t="inlineStr"/>
      <c r="AE2854" s="18" t="inlineStr">
        <is>
          <t>sky 8-15</t>
        </is>
      </c>
      <c r="AF2854" s="18" t="inlineStr"/>
      <c r="AG2854" s="18" t="inlineStr"/>
      <c r="AH2854" s="18" t="inlineStr">
        <is>
          <t>주변=#cobblemon:saccharine_trees</t>
        </is>
      </c>
      <c r="AI2854" s="18" t="inlineStr"/>
      <c r="AJ2854" s="18" t="inlineStr">
        <is>
          <t>COBBLEVERSE 수정</t>
        </is>
      </c>
      <c r="AK2854" s="18" t="inlineStr">
        <is>
          <t>사용</t>
        </is>
      </c>
      <c r="AL2854" s="18" t="inlineStr">
        <is>
          <t>COBBLEVERSE 1.7.42 / DP v31</t>
        </is>
      </c>
      <c r="AM2854" s="18" t="inlineStr">
        <is>
          <t>data/cobblemon/spawn_pool_world/0901_ursaluna.json</t>
        </is>
      </c>
      <c r="AN2854" s="18" t="inlineStr">
        <is>
          <t>ursaluna-2</t>
        </is>
      </c>
      <c r="AO2854" s="18" t="inlineStr">
        <is>
          <t>pokemon</t>
        </is>
      </c>
      <c r="AP2854" s="18" t="inlineStr">
        <is>
          <t>natural; wild</t>
        </is>
      </c>
      <c r="AQ2854" s="18" t="inlineStr">
        <is>
          <t>{"biomes":["#aether:is_aether","#cobblemon:is_overworld"],"maxSkyLight":15,"minSkyLight":8,"neededNearbyBlocks":["#cobblemon:saccharine_trees"]}</t>
        </is>
      </c>
      <c r="AR2854" s="18" t="inlineStr"/>
      <c r="AS2854" s="18" t="inlineStr"/>
      <c r="AT2854" s="19" t="inlineStr"/>
    </row>
    <row r="2855" ht="32" customHeight="1">
      <c r="A2855" s="18" t="inlineStr">
        <is>
          <t>0901_ursaluna.json::ursaluna-3::003</t>
        </is>
      </c>
      <c r="B2855" s="19" t="inlineStr">
        <is>
          <t>사용</t>
        </is>
      </c>
      <c r="C2855" s="18">
        <f>IF(OR(B2855&lt;&gt;AK2855,M2855&lt;&gt;L2855,O2855&lt;&gt;"",Q2855&lt;&gt;"",V2855&lt;&gt;1,Y2855&lt;&gt;"",AT2855&lt;&gt;""),"수정","원본")</f>
        <v/>
      </c>
      <c r="D2855" s="18" t="n">
        <v>901</v>
      </c>
      <c r="E2855" s="18" t="inlineStr">
        <is>
          <t>다투곰</t>
        </is>
      </c>
      <c r="F2855" s="18" t="inlineStr">
        <is>
          <t>ursaluna</t>
        </is>
      </c>
      <c r="G2855" s="18" t="inlineStr">
        <is>
          <t>ursaluna</t>
        </is>
      </c>
      <c r="H2855" s="18" t="inlineStr"/>
      <c r="I2855" s="18" t="n">
        <v>8</v>
      </c>
      <c r="J2855" s="18" t="n"/>
      <c r="K2855" s="18" t="n">
        <v>8</v>
      </c>
      <c r="L2855" s="18" t="inlineStr">
        <is>
          <t>cobbleventure:generation_8</t>
        </is>
      </c>
      <c r="M2855" s="19" t="inlineStr">
        <is>
          <t>cobbleventure:generation_8</t>
        </is>
      </c>
      <c r="N2855" s="18" t="inlineStr"/>
      <c r="O2855" s="19" t="inlineStr"/>
      <c r="P2855" s="18" t="inlineStr">
        <is>
          <t>the_bumblezone:crystal_canyon; the_bumblezone:floral_meadow</t>
        </is>
      </c>
      <c r="Q2855" s="19" t="inlineStr"/>
      <c r="R2855" s="18">
        <f>IF(Q2855="",P2855,Q2855)</f>
        <v/>
      </c>
      <c r="S2855" s="18" t="inlineStr"/>
      <c r="T2855" s="18" t="inlineStr">
        <is>
          <t>common</t>
        </is>
      </c>
      <c r="U2855" s="20" t="n">
        <v>0.01</v>
      </c>
      <c r="V2855" s="21" t="n">
        <v>1</v>
      </c>
      <c r="W2855" s="20">
        <f>IF(OR(U2855="",V2855=""),U2855,U2855*V2855)</f>
        <v/>
      </c>
      <c r="X2855" s="18" t="inlineStr">
        <is>
          <t>45-55</t>
        </is>
      </c>
      <c r="Y2855" s="19" t="inlineStr"/>
      <c r="Z2855" s="18">
        <f>IF(Y2855="",X2855,Y2855)</f>
        <v/>
      </c>
      <c r="AA2855" s="18" t="inlineStr">
        <is>
          <t>grounded</t>
        </is>
      </c>
      <c r="AB2855" s="18" t="inlineStr"/>
      <c r="AC2855" s="18" t="inlineStr"/>
      <c r="AD2855" s="18" t="inlineStr"/>
      <c r="AE2855" s="18" t="inlineStr"/>
      <c r="AF2855" s="18" t="inlineStr"/>
      <c r="AG2855" s="18" t="inlineStr"/>
      <c r="AH2855" s="18" t="inlineStr"/>
      <c r="AI2855" s="18" t="inlineStr"/>
      <c r="AJ2855" s="18" t="inlineStr">
        <is>
          <t>COBBLEVERSE 수정</t>
        </is>
      </c>
      <c r="AK2855" s="18" t="inlineStr">
        <is>
          <t>사용</t>
        </is>
      </c>
      <c r="AL2855" s="18" t="inlineStr">
        <is>
          <t>COBBLEVERSE 1.7.42 / DP v31</t>
        </is>
      </c>
      <c r="AM2855" s="18" t="inlineStr">
        <is>
          <t>data/cobblemon/spawn_pool_world/0901_ursaluna.json</t>
        </is>
      </c>
      <c r="AN2855" s="18" t="inlineStr">
        <is>
          <t>ursaluna-3</t>
        </is>
      </c>
      <c r="AO2855" s="18" t="inlineStr">
        <is>
          <t>pokemon</t>
        </is>
      </c>
      <c r="AP2855" s="18" t="inlineStr"/>
      <c r="AQ2855" s="18" t="inlineStr">
        <is>
          <t>{"biomes":["the_bumblezone:crystal_canyon","the_bumblezone:floral_meadow"]}</t>
        </is>
      </c>
      <c r="AR2855" s="18" t="inlineStr">
        <is>
          <t>{"structures":["#the_bumblezone:sempiternal_sanctums"]}</t>
        </is>
      </c>
      <c r="AS2855" s="18" t="inlineStr"/>
      <c r="AT2855" s="19" t="inlineStr"/>
    </row>
    <row r="2856" ht="32" customHeight="1">
      <c r="A2856" s="18" t="inlineStr">
        <is>
          <t>0901_ursaluna.json::ursaluna-bloodmoon-1::004</t>
        </is>
      </c>
      <c r="B2856" s="19" t="inlineStr">
        <is>
          <t>사용</t>
        </is>
      </c>
      <c r="C2856" s="18">
        <f>IF(OR(B2856&lt;&gt;AK2856,M2856&lt;&gt;L2856,O2856&lt;&gt;"",Q2856&lt;&gt;"",V2856&lt;&gt;1,Y2856&lt;&gt;"",AT2856&lt;&gt;""),"수정","원본")</f>
        <v/>
      </c>
      <c r="D2856" s="18" t="n">
        <v>901</v>
      </c>
      <c r="E2856" s="18" t="inlineStr">
        <is>
          <t>다투곰</t>
        </is>
      </c>
      <c r="F2856" s="18" t="inlineStr">
        <is>
          <t>ursaluna</t>
        </is>
      </c>
      <c r="G2856" s="18" t="inlineStr">
        <is>
          <t>ursaluna bloodmoon</t>
        </is>
      </c>
      <c r="H2856" s="18" t="inlineStr">
        <is>
          <t>bloodmoon</t>
        </is>
      </c>
      <c r="I2856" s="18" t="n">
        <v>8</v>
      </c>
      <c r="J2856" s="18" t="n"/>
      <c r="K2856" s="18" t="n">
        <v>8</v>
      </c>
      <c r="L2856" s="18" t="inlineStr">
        <is>
          <t>cobbleventure:generation_8</t>
        </is>
      </c>
      <c r="M2856" s="19" t="inlineStr">
        <is>
          <t>cobbleventure:generation_8</t>
        </is>
      </c>
      <c r="N2856" s="18" t="inlineStr">
        <is>
          <t>region_01</t>
        </is>
      </c>
      <c r="O2856" s="19" t="inlineStr"/>
      <c r="P2856" s="18" t="inlineStr">
        <is>
          <t>#cobblemon:is_forest</t>
        </is>
      </c>
      <c r="Q2856" s="19" t="inlineStr"/>
      <c r="R2856" s="18">
        <f>IF(Q2856="",P2856,Q2856)</f>
        <v/>
      </c>
      <c r="S2856" s="18" t="inlineStr"/>
      <c r="T2856" s="18" t="inlineStr">
        <is>
          <t>rare</t>
        </is>
      </c>
      <c r="U2856" s="20" t="n">
        <v>0.01</v>
      </c>
      <c r="V2856" s="21" t="n">
        <v>1</v>
      </c>
      <c r="W2856" s="20">
        <f>IF(OR(U2856="",V2856=""),U2856,U2856*V2856)</f>
        <v/>
      </c>
      <c r="X2856" s="18" t="inlineStr">
        <is>
          <t>55-65</t>
        </is>
      </c>
      <c r="Y2856" s="19" t="inlineStr"/>
      <c r="Z2856" s="18">
        <f>IF(Y2856="",X2856,Y2856)</f>
        <v/>
      </c>
      <c r="AA2856" s="18" t="inlineStr">
        <is>
          <t>grounded</t>
        </is>
      </c>
      <c r="AB2856" s="18" t="inlineStr">
        <is>
          <t>night</t>
        </is>
      </c>
      <c r="AC2856" s="18" t="inlineStr"/>
      <c r="AD2856" s="18" t="inlineStr"/>
      <c r="AE2856" s="18" t="inlineStr"/>
      <c r="AF2856" s="18" t="inlineStr"/>
      <c r="AG2856" s="18" t="inlineStr"/>
      <c r="AH2856" s="18" t="inlineStr"/>
      <c r="AI2856" s="18" t="inlineStr"/>
      <c r="AJ2856" s="18" t="inlineStr">
        <is>
          <t>COBBLEVERSE 수정</t>
        </is>
      </c>
      <c r="AK2856" s="18" t="inlineStr">
        <is>
          <t>사용</t>
        </is>
      </c>
      <c r="AL2856" s="18" t="inlineStr">
        <is>
          <t>COBBLEVERSE 1.7.42 / DP v31</t>
        </is>
      </c>
      <c r="AM2856" s="18" t="inlineStr">
        <is>
          <t>data/cobblemon/spawn_pool_world/0901_ursaluna.json</t>
        </is>
      </c>
      <c r="AN2856" s="18" t="inlineStr">
        <is>
          <t>ursaluna-bloodmoon-1</t>
        </is>
      </c>
      <c r="AO2856" s="18" t="inlineStr">
        <is>
          <t>pokemon</t>
        </is>
      </c>
      <c r="AP2856" s="18" t="inlineStr">
        <is>
          <t>natural; wild</t>
        </is>
      </c>
      <c r="AQ2856" s="18" t="inlineStr">
        <is>
          <t>{"biomes":["#cobblemon:is_forest"],"timeRange":"night"}</t>
        </is>
      </c>
      <c r="AR2856" s="18" t="inlineStr"/>
      <c r="AS2856" s="18" t="inlineStr"/>
      <c r="AT2856" s="19" t="inlineStr"/>
    </row>
    <row r="2857" ht="32" customHeight="1">
      <c r="A2857" s="18" t="inlineStr">
        <is>
          <t>0902_basculegion.json::basculegion-1::001</t>
        </is>
      </c>
      <c r="B2857" s="19" t="inlineStr">
        <is>
          <t>사용</t>
        </is>
      </c>
      <c r="C2857" s="18">
        <f>IF(OR(B2857&lt;&gt;AK2857,M2857&lt;&gt;L2857,O2857&lt;&gt;"",Q2857&lt;&gt;"",V2857&lt;&gt;1,Y2857&lt;&gt;"",AT2857&lt;&gt;""),"수정","원본")</f>
        <v/>
      </c>
      <c r="D2857" s="18" t="n">
        <v>902</v>
      </c>
      <c r="E2857" s="18" t="inlineStr">
        <is>
          <t>대쓰여너</t>
        </is>
      </c>
      <c r="F2857" s="18" t="inlineStr">
        <is>
          <t>basculegion</t>
        </is>
      </c>
      <c r="G2857" s="18" t="inlineStr">
        <is>
          <t>basculegion</t>
        </is>
      </c>
      <c r="H2857" s="18" t="inlineStr"/>
      <c r="I2857" s="18" t="n">
        <v>8</v>
      </c>
      <c r="J2857" s="18" t="n"/>
      <c r="K2857" s="18" t="n">
        <v>8</v>
      </c>
      <c r="L2857" s="18" t="inlineStr">
        <is>
          <t>cobbleventure:generation_8</t>
        </is>
      </c>
      <c r="M2857" s="19" t="inlineStr">
        <is>
          <t>cobbleventure:generation_8</t>
        </is>
      </c>
      <c r="N2857" s="18" t="inlineStr">
        <is>
          <t>region_02</t>
        </is>
      </c>
      <c r="O2857" s="19" t="inlineStr"/>
      <c r="P2857" s="18" t="inlineStr">
        <is>
          <t>#cobblemon:is_freshwater</t>
        </is>
      </c>
      <c r="Q2857" s="19" t="inlineStr"/>
      <c r="R2857" s="18">
        <f>IF(Q2857="",P2857,Q2857)</f>
        <v/>
      </c>
      <c r="S2857" s="18" t="inlineStr"/>
      <c r="T2857" s="18" t="inlineStr">
        <is>
          <t>common</t>
        </is>
      </c>
      <c r="U2857" s="20" t="n">
        <v>0.2</v>
      </c>
      <c r="V2857" s="21" t="n">
        <v>1</v>
      </c>
      <c r="W2857" s="20">
        <f>IF(OR(U2857="",V2857=""),U2857,U2857*V2857)</f>
        <v/>
      </c>
      <c r="X2857" s="18" t="inlineStr">
        <is>
          <t>41-53</t>
        </is>
      </c>
      <c r="Y2857" s="19" t="inlineStr"/>
      <c r="Z2857" s="18">
        <f>IF(Y2857="",X2857,Y2857)</f>
        <v/>
      </c>
      <c r="AA2857" s="18" t="inlineStr">
        <is>
          <t>submerged</t>
        </is>
      </c>
      <c r="AB2857" s="18" t="inlineStr"/>
      <c r="AC2857" s="18" t="inlineStr"/>
      <c r="AD2857" s="18" t="inlineStr"/>
      <c r="AE2857" s="18" t="inlineStr"/>
      <c r="AF2857" s="18" t="inlineStr">
        <is>
          <t>True</t>
        </is>
      </c>
      <c r="AG2857" s="18" t="inlineStr"/>
      <c r="AH2857" s="18" t="inlineStr"/>
      <c r="AI2857" s="18" t="inlineStr">
        <is>
          <t>{"condition":{"moonPhase":"0,4"}}</t>
        </is>
      </c>
      <c r="AJ2857" s="18" t="inlineStr">
        <is>
          <t>Cobblemon 동일</t>
        </is>
      </c>
      <c r="AK2857" s="18" t="inlineStr">
        <is>
          <t>사용</t>
        </is>
      </c>
      <c r="AL2857" s="18" t="inlineStr">
        <is>
          <t>COBBLEVERSE 1.7.42 / DP v31</t>
        </is>
      </c>
      <c r="AM2857" s="18" t="inlineStr">
        <is>
          <t>data/cobblemon/spawn_pool_world/0902_basculegion.json</t>
        </is>
      </c>
      <c r="AN2857" s="18" t="inlineStr">
        <is>
          <t>basculegion-1</t>
        </is>
      </c>
      <c r="AO2857" s="18" t="inlineStr">
        <is>
          <t>pokemon</t>
        </is>
      </c>
      <c r="AP2857" s="18" t="inlineStr">
        <is>
          <t>water</t>
        </is>
      </c>
      <c r="AQ2857" s="18" t="inlineStr">
        <is>
          <t>{"biomes":["#cobblemon:is_freshwater"],"canSeeSky":true,"moonPhase":"0,4"}</t>
        </is>
      </c>
      <c r="AR2857" s="18" t="inlineStr"/>
      <c r="AS2857" s="18" t="inlineStr"/>
      <c r="AT2857" s="19" t="inlineStr"/>
    </row>
    <row r="2858" ht="32" customHeight="1">
      <c r="A2858" s="18" t="inlineStr">
        <is>
          <t>0902_basculegion.json::basculegion-2::002</t>
        </is>
      </c>
      <c r="B2858" s="19" t="inlineStr">
        <is>
          <t>사용</t>
        </is>
      </c>
      <c r="C2858" s="18">
        <f>IF(OR(B2858&lt;&gt;AK2858,M2858&lt;&gt;L2858,O2858&lt;&gt;"",Q2858&lt;&gt;"",V2858&lt;&gt;1,Y2858&lt;&gt;"",AT2858&lt;&gt;""),"수정","원본")</f>
        <v/>
      </c>
      <c r="D2858" s="18" t="n">
        <v>902</v>
      </c>
      <c r="E2858" s="18" t="inlineStr">
        <is>
          <t>대쓰여너</t>
        </is>
      </c>
      <c r="F2858" s="18" t="inlineStr">
        <is>
          <t>basculegion</t>
        </is>
      </c>
      <c r="G2858" s="18" t="inlineStr">
        <is>
          <t>basculegion</t>
        </is>
      </c>
      <c r="H2858" s="18" t="inlineStr"/>
      <c r="I2858" s="18" t="n">
        <v>8</v>
      </c>
      <c r="J2858" s="18" t="n"/>
      <c r="K2858" s="18" t="n">
        <v>8</v>
      </c>
      <c r="L2858" s="18" t="inlineStr">
        <is>
          <t>cobbleventure:generation_8</t>
        </is>
      </c>
      <c r="M2858" s="19" t="inlineStr">
        <is>
          <t>cobbleventure:generation_8</t>
        </is>
      </c>
      <c r="N2858" s="18" t="inlineStr">
        <is>
          <t>region_01; region_02</t>
        </is>
      </c>
      <c r="O2858" s="19" t="inlineStr"/>
      <c r="P2858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2858" s="19" t="inlineStr"/>
      <c r="R2858" s="18">
        <f>IF(Q2858="",P2858,Q2858)</f>
        <v/>
      </c>
      <c r="S2858" s="18" t="inlineStr"/>
      <c r="T2858" s="18" t="inlineStr">
        <is>
          <t>common</t>
        </is>
      </c>
      <c r="U2858" s="20" t="n">
        <v>0.2</v>
      </c>
      <c r="V2858" s="21" t="n">
        <v>1</v>
      </c>
      <c r="W2858" s="20">
        <f>IF(OR(U2858="",V2858=""),U2858,U2858*V2858)</f>
        <v/>
      </c>
      <c r="X2858" s="18" t="inlineStr">
        <is>
          <t>41-53</t>
        </is>
      </c>
      <c r="Y2858" s="19" t="inlineStr"/>
      <c r="Z2858" s="18">
        <f>IF(Y2858="",X2858,Y2858)</f>
        <v/>
      </c>
      <c r="AA2858" s="18" t="inlineStr">
        <is>
          <t>fishing</t>
        </is>
      </c>
      <c r="AB2858" s="18" t="inlineStr"/>
      <c r="AC2858" s="18" t="inlineStr"/>
      <c r="AD2858" s="18" t="inlineStr"/>
      <c r="AE2858" s="18" t="inlineStr"/>
      <c r="AF2858" s="18" t="inlineStr">
        <is>
          <t>True</t>
        </is>
      </c>
      <c r="AG2858" s="18" t="inlineStr"/>
      <c r="AH2858" s="18" t="inlineStr"/>
      <c r="AI2858" s="18" t="inlineStr">
        <is>
          <t>{"condition":{"moonPhase":"0,4"}}</t>
        </is>
      </c>
      <c r="AJ2858" s="18" t="inlineStr">
        <is>
          <t>Cobblemon 동일</t>
        </is>
      </c>
      <c r="AK2858" s="18" t="inlineStr">
        <is>
          <t>사용</t>
        </is>
      </c>
      <c r="AL2858" s="18" t="inlineStr">
        <is>
          <t>COBBLEVERSE 1.7.42 / DP v31</t>
        </is>
      </c>
      <c r="AM2858" s="18" t="inlineStr">
        <is>
          <t>data/cobblemon/spawn_pool_world/0902_basculegion.json</t>
        </is>
      </c>
      <c r="AN2858" s="18" t="inlineStr">
        <is>
          <t>basculegion-2</t>
        </is>
      </c>
      <c r="AO2858" s="18" t="inlineStr">
        <is>
          <t>pokemon</t>
        </is>
      </c>
      <c r="AP2858" s="18" t="inlineStr"/>
      <c r="AQ2858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{"biomes":["#cobblemon:is_arid","#cobblemon:is_forest","#cobblemon:is_freshwater","#cobblemon:is_grassland","#cobblemon:is_jungle","#cobblemon:is_mountain","#cobblemon:is_snowy_forest","#cobblemon:is_taiga","#cobblemon:is_tundra"],"canSeeSky":true,"moonPhase":"0,4"}</t>
        </is>
      </c>
      <c r="AR2858" s="18" t="inlineStr"/>
      <c r="AS2858" s="18" t="inlineStr"/>
      <c r="AT2858" s="19" t="inlineStr"/>
    </row>
    <row r="2859" ht="32" customHeight="1">
      <c r="A2859" s="18" t="inlineStr">
        <is>
          <t>0902_basculegion.json::basculegion-3::003</t>
        </is>
      </c>
      <c r="B2859" s="19" t="inlineStr">
        <is>
          <t>사용</t>
        </is>
      </c>
      <c r="C2859" s="18">
        <f>IF(OR(B2859&lt;&gt;AK2859,M2859&lt;&gt;L2859,O2859&lt;&gt;"",Q2859&lt;&gt;"",V2859&lt;&gt;1,Y2859&lt;&gt;"",AT2859&lt;&gt;""),"수정","원본")</f>
        <v/>
      </c>
      <c r="D2859" s="18" t="n">
        <v>902</v>
      </c>
      <c r="E2859" s="18" t="inlineStr">
        <is>
          <t>대쓰여너</t>
        </is>
      </c>
      <c r="F2859" s="18" t="inlineStr">
        <is>
          <t>basculegion</t>
        </is>
      </c>
      <c r="G2859" s="18" t="inlineStr">
        <is>
          <t>basculegion</t>
        </is>
      </c>
      <c r="H2859" s="18" t="inlineStr"/>
      <c r="I2859" s="18" t="n">
        <v>8</v>
      </c>
      <c r="J2859" s="18" t="n"/>
      <c r="K2859" s="18" t="n">
        <v>8</v>
      </c>
      <c r="L2859" s="18" t="inlineStr">
        <is>
          <t>cobbleventure:generation_8</t>
        </is>
      </c>
      <c r="M2859" s="19" t="inlineStr">
        <is>
          <t>cobbleventure:generation_8</t>
        </is>
      </c>
      <c r="N2859" s="18" t="inlineStr">
        <is>
          <t>region_02</t>
        </is>
      </c>
      <c r="O2859" s="19" t="inlineStr"/>
      <c r="P2859" s="18" t="inlineStr">
        <is>
          <t>#cobblemon:is_freshwater</t>
        </is>
      </c>
      <c r="Q2859" s="19" t="inlineStr"/>
      <c r="R2859" s="18">
        <f>IF(Q2859="",P2859,Q2859)</f>
        <v/>
      </c>
      <c r="S2859" s="18" t="inlineStr"/>
      <c r="T2859" s="18" t="inlineStr">
        <is>
          <t>common</t>
        </is>
      </c>
      <c r="U2859" s="20" t="n">
        <v>0.2</v>
      </c>
      <c r="V2859" s="21" t="n">
        <v>1</v>
      </c>
      <c r="W2859" s="20">
        <f>IF(OR(U2859="",V2859=""),U2859,U2859*V2859)</f>
        <v/>
      </c>
      <c r="X2859" s="18" t="inlineStr">
        <is>
          <t>41-53</t>
        </is>
      </c>
      <c r="Y2859" s="19" t="inlineStr"/>
      <c r="Z2859" s="18">
        <f>IF(Y2859="",X2859,Y2859)</f>
        <v/>
      </c>
      <c r="AA2859" s="18" t="inlineStr">
        <is>
          <t>submerged</t>
        </is>
      </c>
      <c r="AB2859" s="18" t="inlineStr"/>
      <c r="AC2859" s="18" t="inlineStr"/>
      <c r="AD2859" s="18" t="inlineStr"/>
      <c r="AE2859" s="18" t="inlineStr">
        <is>
          <t>sky 8-15</t>
        </is>
      </c>
      <c r="AF2859" s="18" t="inlineStr">
        <is>
          <t>False</t>
        </is>
      </c>
      <c r="AG2859" s="18" t="inlineStr"/>
      <c r="AH2859" s="18" t="inlineStr"/>
      <c r="AI2859" s="18" t="inlineStr">
        <is>
          <t>{"condition":{"moonPhase":"0,4"}}</t>
        </is>
      </c>
      <c r="AJ2859" s="18" t="inlineStr">
        <is>
          <t>Cobblemon 동일</t>
        </is>
      </c>
      <c r="AK2859" s="18" t="inlineStr">
        <is>
          <t>사용</t>
        </is>
      </c>
      <c r="AL2859" s="18" t="inlineStr">
        <is>
          <t>COBBLEVERSE 1.7.42 / DP v31</t>
        </is>
      </c>
      <c r="AM2859" s="18" t="inlineStr">
        <is>
          <t>data/cobblemon/spawn_pool_world/0902_basculegion.json</t>
        </is>
      </c>
      <c r="AN2859" s="18" t="inlineStr">
        <is>
          <t>basculegion-3</t>
        </is>
      </c>
      <c r="AO2859" s="18" t="inlineStr">
        <is>
          <t>pokemon</t>
        </is>
      </c>
      <c r="AP2859" s="18" t="inlineStr">
        <is>
          <t>water</t>
        </is>
      </c>
      <c r="AQ2859" s="18" t="inlineStr">
        <is>
          <t>{"biomes":["#cobblemon:is_freshwater"],"canSeeSky":false,"maxSkyLight":15,"minSkyLight":8,"moonPhase":"0,4"}</t>
        </is>
      </c>
      <c r="AR2859" s="18" t="inlineStr"/>
      <c r="AS2859" s="18" t="inlineStr"/>
      <c r="AT2859" s="19" t="inlineStr"/>
    </row>
    <row r="2860" ht="32" customHeight="1">
      <c r="A2860" s="18" t="inlineStr">
        <is>
          <t>0902_basculegion.json::basculegion-4::004</t>
        </is>
      </c>
      <c r="B2860" s="19" t="inlineStr">
        <is>
          <t>사용</t>
        </is>
      </c>
      <c r="C2860" s="18">
        <f>IF(OR(B2860&lt;&gt;AK2860,M2860&lt;&gt;L2860,O2860&lt;&gt;"",Q2860&lt;&gt;"",V2860&lt;&gt;1,Y2860&lt;&gt;"",AT2860&lt;&gt;""),"수정","원본")</f>
        <v/>
      </c>
      <c r="D2860" s="18" t="n">
        <v>902</v>
      </c>
      <c r="E2860" s="18" t="inlineStr">
        <is>
          <t>대쓰여너</t>
        </is>
      </c>
      <c r="F2860" s="18" t="inlineStr">
        <is>
          <t>basculegion</t>
        </is>
      </c>
      <c r="G2860" s="18" t="inlineStr">
        <is>
          <t>basculegion</t>
        </is>
      </c>
      <c r="H2860" s="18" t="inlineStr"/>
      <c r="I2860" s="18" t="n">
        <v>8</v>
      </c>
      <c r="J2860" s="18" t="n"/>
      <c r="K2860" s="18" t="n">
        <v>8</v>
      </c>
      <c r="L2860" s="18" t="inlineStr">
        <is>
          <t>cobbleventure:generation_8</t>
        </is>
      </c>
      <c r="M2860" s="19" t="inlineStr">
        <is>
          <t>cobbleventure:generation_8</t>
        </is>
      </c>
      <c r="N2860" s="18" t="inlineStr">
        <is>
          <t>region_01; region_02</t>
        </is>
      </c>
      <c r="O2860" s="19" t="inlineStr"/>
      <c r="P2860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2860" s="19" t="inlineStr"/>
      <c r="R2860" s="18">
        <f>IF(Q2860="",P2860,Q2860)</f>
        <v/>
      </c>
      <c r="S2860" s="18" t="inlineStr"/>
      <c r="T2860" s="18" t="inlineStr">
        <is>
          <t>common</t>
        </is>
      </c>
      <c r="U2860" s="20" t="n">
        <v>0.2</v>
      </c>
      <c r="V2860" s="21" t="n">
        <v>1</v>
      </c>
      <c r="W2860" s="20">
        <f>IF(OR(U2860="",V2860=""),U2860,U2860*V2860)</f>
        <v/>
      </c>
      <c r="X2860" s="18" t="inlineStr">
        <is>
          <t>41-53</t>
        </is>
      </c>
      <c r="Y2860" s="19" t="inlineStr"/>
      <c r="Z2860" s="18">
        <f>IF(Y2860="",X2860,Y2860)</f>
        <v/>
      </c>
      <c r="AA2860" s="18" t="inlineStr">
        <is>
          <t>fishing</t>
        </is>
      </c>
      <c r="AB2860" s="18" t="inlineStr"/>
      <c r="AC2860" s="18" t="inlineStr"/>
      <c r="AD2860" s="18" t="inlineStr"/>
      <c r="AE2860" s="18" t="inlineStr">
        <is>
          <t>sky 8-15</t>
        </is>
      </c>
      <c r="AF2860" s="18" t="inlineStr">
        <is>
          <t>False</t>
        </is>
      </c>
      <c r="AG2860" s="18" t="inlineStr"/>
      <c r="AH2860" s="18" t="inlineStr"/>
      <c r="AI2860" s="18" t="inlineStr">
        <is>
          <t>{"condition":{"moonPhase":"0,4"}}</t>
        </is>
      </c>
      <c r="AJ2860" s="18" t="inlineStr">
        <is>
          <t>Cobblemon 동일</t>
        </is>
      </c>
      <c r="AK2860" s="18" t="inlineStr">
        <is>
          <t>사용</t>
        </is>
      </c>
      <c r="AL2860" s="18" t="inlineStr">
        <is>
          <t>COBBLEVERSE 1.7.42 / DP v31</t>
        </is>
      </c>
      <c r="AM2860" s="18" t="inlineStr">
        <is>
          <t>data/cobblemon/spawn_pool_world/0902_basculegion.json</t>
        </is>
      </c>
      <c r="AN2860" s="18" t="inlineStr">
        <is>
          <t>basculegion-4</t>
        </is>
      </c>
      <c r="AO2860" s="18" t="inlineStr">
        <is>
          <t>pokemon</t>
        </is>
      </c>
      <c r="AP2860" s="18" t="inlineStr"/>
      <c r="AQ2860" s="18" t="inlineStr">
        <is>
          <t>{"biomes":["#cobblemon:is_arid","#cobblemon:is_forest","#cobblemon:is_freshwater","#cobblemon:is_grassland","#cobblemon:is_jungle","#cobblemon:is_mountain","#cobblemon:is_snowy_forest","#cobblemon:is_taiga","#cobblemon:is_tundra"],"canSeeSky":false,"maxSkyLight":15,"minSkyLight":8,"moonPhase":"0,4"}</t>
        </is>
      </c>
      <c r="AR2860" s="18" t="inlineStr"/>
      <c r="AS2860" s="18" t="inlineStr"/>
      <c r="AT2860" s="19" t="inlineStr"/>
    </row>
    <row r="2861" ht="32" customHeight="1">
      <c r="A2861" s="18" t="inlineStr">
        <is>
          <t>0903_sneasler.json::sneasler-1::001</t>
        </is>
      </c>
      <c r="B2861" s="19" t="inlineStr">
        <is>
          <t>사용</t>
        </is>
      </c>
      <c r="C2861" s="18">
        <f>IF(OR(B2861&lt;&gt;AK2861,M2861&lt;&gt;L2861,O2861&lt;&gt;"",Q2861&lt;&gt;"",V2861&lt;&gt;1,Y2861&lt;&gt;"",AT2861&lt;&gt;""),"수정","원본")</f>
        <v/>
      </c>
      <c r="D2861" s="18" t="n">
        <v>903</v>
      </c>
      <c r="E2861" s="18" t="inlineStr">
        <is>
          <t>포푸니크</t>
        </is>
      </c>
      <c r="F2861" s="18" t="inlineStr">
        <is>
          <t>sneasler</t>
        </is>
      </c>
      <c r="G2861" s="18" t="inlineStr">
        <is>
          <t>sneasler</t>
        </is>
      </c>
      <c r="H2861" s="18" t="inlineStr"/>
      <c r="I2861" s="18" t="n">
        <v>8</v>
      </c>
      <c r="J2861" s="18" t="n"/>
      <c r="K2861" s="18" t="n">
        <v>8</v>
      </c>
      <c r="L2861" s="18" t="inlineStr">
        <is>
          <t>cobbleventure:generation_8</t>
        </is>
      </c>
      <c r="M2861" s="19" t="inlineStr">
        <is>
          <t>cobbleventure:generation_8</t>
        </is>
      </c>
      <c r="N2861" s="18" t="inlineStr"/>
      <c r="O2861" s="19" t="inlineStr"/>
      <c r="P2861" s="18" t="inlineStr">
        <is>
          <t>#cobblemon:is_mountain</t>
        </is>
      </c>
      <c r="Q2861" s="19" t="inlineStr"/>
      <c r="R2861" s="18">
        <f>IF(Q2861="",P2861,Q2861)</f>
        <v/>
      </c>
      <c r="S2861" s="18" t="inlineStr">
        <is>
          <t>#cobblemon:is_arid; #cobblemon:is_taiga; #cobblemon:is_volcanic</t>
        </is>
      </c>
      <c r="T2861" s="18" t="inlineStr">
        <is>
          <t>uncommon</t>
        </is>
      </c>
      <c r="U2861" s="20" t="n">
        <v>0.8</v>
      </c>
      <c r="V2861" s="21" t="n">
        <v>1</v>
      </c>
      <c r="W2861" s="20">
        <f>IF(OR(U2861="",V2861=""),U2861,U2861*V2861)</f>
        <v/>
      </c>
      <c r="X2861" s="18" t="inlineStr">
        <is>
          <t>38-51</t>
        </is>
      </c>
      <c r="Y2861" s="19" t="inlineStr"/>
      <c r="Z2861" s="18">
        <f>IF(Y2861="",X2861,Y2861)</f>
        <v/>
      </c>
      <c r="AA2861" s="18" t="inlineStr">
        <is>
          <t>grounded</t>
        </is>
      </c>
      <c r="AB2861" s="18" t="inlineStr"/>
      <c r="AC2861" s="18" t="inlineStr"/>
      <c r="AD2861" s="18" t="inlineStr"/>
      <c r="AE2861" s="18" t="inlineStr">
        <is>
          <t>sky 8-15</t>
        </is>
      </c>
      <c r="AF2861" s="18" t="inlineStr"/>
      <c r="AG2861" s="18" t="inlineStr"/>
      <c r="AH2861" s="18" t="inlineStr"/>
      <c r="AI2861" s="18" t="inlineStr"/>
      <c r="AJ2861" s="18" t="inlineStr">
        <is>
          <t>Cobblemon 동일</t>
        </is>
      </c>
      <c r="AK2861" s="18" t="inlineStr">
        <is>
          <t>사용</t>
        </is>
      </c>
      <c r="AL2861" s="18" t="inlineStr">
        <is>
          <t>COBBLEVERSE 1.7.42 / DP v31</t>
        </is>
      </c>
      <c r="AM2861" s="18" t="inlineStr">
        <is>
          <t>data/cobblemon/spawn_pool_world/0903_sneasler.json</t>
        </is>
      </c>
      <c r="AN2861" s="18" t="inlineStr">
        <is>
          <t>sneasler-1</t>
        </is>
      </c>
      <c r="AO2861" s="18" t="inlineStr">
        <is>
          <t>pokemon</t>
        </is>
      </c>
      <c r="AP2861" s="18" t="inlineStr">
        <is>
          <t>natural; wild</t>
        </is>
      </c>
      <c r="AQ2861" s="18" t="inlineStr">
        <is>
          <t>{"biomes":["#cobblemon:is_mountain"],"maxSkyLight":15,"minSkyLight":8}</t>
        </is>
      </c>
      <c r="AR2861" s="18" t="inlineStr">
        <is>
          <t>{"biomes":["#cobblemon:is_arid","#cobblemon:is_taiga","#cobblemon:is_volcanic"]}</t>
        </is>
      </c>
      <c r="AS2861" s="18" t="inlineStr">
        <is>
          <t>{"weightMultiplier":{"condition":{"timeRange":"night"},"multiplier":0.25}}</t>
        </is>
      </c>
      <c r="AT2861" s="19" t="inlineStr"/>
    </row>
    <row r="2862" ht="32" customHeight="1">
      <c r="A2862" s="18" t="inlineStr">
        <is>
          <t>0904_overqwil.json::overqwil-1::001</t>
        </is>
      </c>
      <c r="B2862" s="19" t="inlineStr">
        <is>
          <t>사용</t>
        </is>
      </c>
      <c r="C2862" s="18">
        <f>IF(OR(B2862&lt;&gt;AK2862,M2862&lt;&gt;L2862,O2862&lt;&gt;"",Q2862&lt;&gt;"",V2862&lt;&gt;1,Y2862&lt;&gt;"",AT2862&lt;&gt;""),"수정","원본")</f>
        <v/>
      </c>
      <c r="D2862" s="18" t="n">
        <v>904</v>
      </c>
      <c r="E2862" s="18" t="inlineStr">
        <is>
          <t>장침바루</t>
        </is>
      </c>
      <c r="F2862" s="18" t="inlineStr">
        <is>
          <t>overqwil</t>
        </is>
      </c>
      <c r="G2862" s="18" t="inlineStr">
        <is>
          <t>overqwil</t>
        </is>
      </c>
      <c r="H2862" s="18" t="inlineStr"/>
      <c r="I2862" s="18" t="n">
        <v>8</v>
      </c>
      <c r="J2862" s="18" t="n"/>
      <c r="K2862" s="18" t="n">
        <v>8</v>
      </c>
      <c r="L2862" s="18" t="inlineStr">
        <is>
          <t>cobbleventure:generation_8</t>
        </is>
      </c>
      <c r="M2862" s="19" t="inlineStr">
        <is>
          <t>cobbleventure:generation_8</t>
        </is>
      </c>
      <c r="N2862" s="18" t="inlineStr"/>
      <c r="O2862" s="19" t="inlineStr"/>
      <c r="P2862" s="18" t="inlineStr">
        <is>
          <t>#cobblemon:is_cold_ocean</t>
        </is>
      </c>
      <c r="Q2862" s="19" t="inlineStr"/>
      <c r="R2862" s="18">
        <f>IF(Q2862="",P2862,Q2862)</f>
        <v/>
      </c>
      <c r="S2862" s="18" t="inlineStr"/>
      <c r="T2862" s="18" t="inlineStr">
        <is>
          <t>uncommon</t>
        </is>
      </c>
      <c r="U2862" s="20" t="n">
        <v>1.6</v>
      </c>
      <c r="V2862" s="21" t="n">
        <v>1</v>
      </c>
      <c r="W2862" s="20">
        <f>IF(OR(U2862="",V2862=""),U2862,U2862*V2862)</f>
        <v/>
      </c>
      <c r="X2862" s="18" t="inlineStr">
        <is>
          <t>39-51</t>
        </is>
      </c>
      <c r="Y2862" s="19" t="inlineStr"/>
      <c r="Z2862" s="18">
        <f>IF(Y2862="",X2862,Y2862)</f>
        <v/>
      </c>
      <c r="AA2862" s="18" t="inlineStr">
        <is>
          <t>submerged</t>
        </is>
      </c>
      <c r="AB2862" s="18" t="inlineStr"/>
      <c r="AC2862" s="18" t="inlineStr"/>
      <c r="AD2862" s="18" t="inlineStr"/>
      <c r="AE2862" s="18" t="inlineStr"/>
      <c r="AF2862" s="18" t="inlineStr">
        <is>
          <t>True</t>
        </is>
      </c>
      <c r="AG2862" s="18" t="inlineStr"/>
      <c r="AH2862" s="18" t="inlineStr"/>
      <c r="AI2862" s="18" t="inlineStr"/>
      <c r="AJ2862" s="18" t="inlineStr">
        <is>
          <t>COBBLEVERSE 수정</t>
        </is>
      </c>
      <c r="AK2862" s="18" t="inlineStr">
        <is>
          <t>사용</t>
        </is>
      </c>
      <c r="AL2862" s="18" t="inlineStr">
        <is>
          <t>COBBLEVERSE 1.7.42 / DP v31</t>
        </is>
      </c>
      <c r="AM2862" s="18" t="inlineStr">
        <is>
          <t>data/cobblemon/spawn_pool_world/0904_overqwil.json</t>
        </is>
      </c>
      <c r="AN2862" s="18" t="inlineStr">
        <is>
          <t>overqwil-1</t>
        </is>
      </c>
      <c r="AO2862" s="18" t="inlineStr">
        <is>
          <t>pokemon</t>
        </is>
      </c>
      <c r="AP2862" s="18" t="inlineStr">
        <is>
          <t>water</t>
        </is>
      </c>
      <c r="AQ2862" s="18" t="inlineStr">
        <is>
          <t>{"biomes":["#cobblemon:is_cold_ocean"],"canSeeSky":true}</t>
        </is>
      </c>
      <c r="AR2862" s="18" t="inlineStr"/>
      <c r="AS2862" s="18" t="inlineStr"/>
      <c r="AT2862" s="19" t="inlineStr"/>
    </row>
    <row r="2863" ht="32" customHeight="1">
      <c r="A2863" s="18" t="inlineStr">
        <is>
          <t>0904_overqwil.json::overqwil-2::002</t>
        </is>
      </c>
      <c r="B2863" s="19" t="inlineStr">
        <is>
          <t>사용</t>
        </is>
      </c>
      <c r="C2863" s="18">
        <f>IF(OR(B2863&lt;&gt;AK2863,M2863&lt;&gt;L2863,O2863&lt;&gt;"",Q2863&lt;&gt;"",V2863&lt;&gt;1,Y2863&lt;&gt;"",AT2863&lt;&gt;""),"수정","원본")</f>
        <v/>
      </c>
      <c r="D2863" s="18" t="n">
        <v>904</v>
      </c>
      <c r="E2863" s="18" t="inlineStr">
        <is>
          <t>장침바루</t>
        </is>
      </c>
      <c r="F2863" s="18" t="inlineStr">
        <is>
          <t>overqwil</t>
        </is>
      </c>
      <c r="G2863" s="18" t="inlineStr">
        <is>
          <t>overqwil</t>
        </is>
      </c>
      <c r="H2863" s="18" t="inlineStr"/>
      <c r="I2863" s="18" t="n">
        <v>8</v>
      </c>
      <c r="J2863" s="18" t="n"/>
      <c r="K2863" s="18" t="n">
        <v>8</v>
      </c>
      <c r="L2863" s="18" t="inlineStr">
        <is>
          <t>cobbleventure:generation_8</t>
        </is>
      </c>
      <c r="M2863" s="19" t="inlineStr">
        <is>
          <t>cobbleventure:generation_8</t>
        </is>
      </c>
      <c r="N2863" s="18" t="inlineStr"/>
      <c r="O2863" s="19" t="inlineStr"/>
      <c r="P2863" s="18" t="inlineStr">
        <is>
          <t>#cobblemon:is_cold_ocean; #cobblemon:is_frozen_ocean</t>
        </is>
      </c>
      <c r="Q2863" s="19" t="inlineStr"/>
      <c r="R2863" s="18">
        <f>IF(Q2863="",P2863,Q2863)</f>
        <v/>
      </c>
      <c r="S2863" s="18" t="inlineStr"/>
      <c r="T2863" s="18" t="inlineStr">
        <is>
          <t>common</t>
        </is>
      </c>
      <c r="U2863" s="20" t="n">
        <v>6</v>
      </c>
      <c r="V2863" s="21" t="n">
        <v>1</v>
      </c>
      <c r="W2863" s="20">
        <f>IF(OR(U2863="",V2863=""),U2863,U2863*V2863)</f>
        <v/>
      </c>
      <c r="X2863" s="18" t="inlineStr">
        <is>
          <t>39-51</t>
        </is>
      </c>
      <c r="Y2863" s="19" t="inlineStr"/>
      <c r="Z2863" s="18">
        <f>IF(Y2863="",X2863,Y2863)</f>
        <v/>
      </c>
      <c r="AA2863" s="18" t="inlineStr">
        <is>
          <t>submerged</t>
        </is>
      </c>
      <c r="AB2863" s="18" t="inlineStr"/>
      <c r="AC2863" s="18" t="inlineStr"/>
      <c r="AD2863" s="18" t="inlineStr"/>
      <c r="AE2863" s="18" t="inlineStr"/>
      <c r="AF2863" s="18" t="inlineStr">
        <is>
          <t>True</t>
        </is>
      </c>
      <c r="AG2863" s="18" t="inlineStr"/>
      <c r="AH2863" s="18" t="inlineStr"/>
      <c r="AI2863" s="18" t="inlineStr"/>
      <c r="AJ2863" s="18" t="inlineStr">
        <is>
          <t>COBBLEVERSE 수정</t>
        </is>
      </c>
      <c r="AK2863" s="18" t="inlineStr">
        <is>
          <t>사용</t>
        </is>
      </c>
      <c r="AL2863" s="18" t="inlineStr">
        <is>
          <t>COBBLEVERSE 1.7.42 / DP v31</t>
        </is>
      </c>
      <c r="AM2863" s="18" t="inlineStr">
        <is>
          <t>data/cobblemon/spawn_pool_world/0904_overqwil.json</t>
        </is>
      </c>
      <c r="AN2863" s="18" t="inlineStr">
        <is>
          <t>overqwil-2</t>
        </is>
      </c>
      <c r="AO2863" s="18" t="inlineStr">
        <is>
          <t>pokemon</t>
        </is>
      </c>
      <c r="AP2863" s="18" t="inlineStr">
        <is>
          <t>water; ocean_monument</t>
        </is>
      </c>
      <c r="AQ2863" s="18" t="inlineStr">
        <is>
          <t>{"biomes":["#cobblemon:is_cold_ocean","#cobblemon:is_frozen_ocean"],"canSeeSky":true}</t>
        </is>
      </c>
      <c r="AR2863" s="18" t="inlineStr"/>
      <c r="AS2863" s="18" t="inlineStr"/>
      <c r="AT2863" s="19" t="inlineStr"/>
    </row>
    <row r="2864" ht="32" customHeight="1">
      <c r="A2864" s="18" t="inlineStr">
        <is>
          <t>0904_overqwil.json::overqwil-3::003</t>
        </is>
      </c>
      <c r="B2864" s="19" t="inlineStr">
        <is>
          <t>사용</t>
        </is>
      </c>
      <c r="C2864" s="18">
        <f>IF(OR(B2864&lt;&gt;AK2864,M2864&lt;&gt;L2864,O2864&lt;&gt;"",Q2864&lt;&gt;"",V2864&lt;&gt;1,Y2864&lt;&gt;"",AT2864&lt;&gt;""),"수정","원본")</f>
        <v/>
      </c>
      <c r="D2864" s="18" t="n">
        <v>904</v>
      </c>
      <c r="E2864" s="18" t="inlineStr">
        <is>
          <t>장침바루</t>
        </is>
      </c>
      <c r="F2864" s="18" t="inlineStr">
        <is>
          <t>overqwil</t>
        </is>
      </c>
      <c r="G2864" s="18" t="inlineStr">
        <is>
          <t>overqwil</t>
        </is>
      </c>
      <c r="H2864" s="18" t="inlineStr"/>
      <c r="I2864" s="18" t="n">
        <v>8</v>
      </c>
      <c r="J2864" s="18" t="n"/>
      <c r="K2864" s="18" t="n">
        <v>8</v>
      </c>
      <c r="L2864" s="18" t="inlineStr">
        <is>
          <t>cobbleventure:generation_8</t>
        </is>
      </c>
      <c r="M2864" s="19" t="inlineStr">
        <is>
          <t>cobbleventure:generation_8</t>
        </is>
      </c>
      <c r="N2864" s="18" t="inlineStr"/>
      <c r="O2864" s="19" t="inlineStr"/>
      <c r="P2864" s="18" t="inlineStr">
        <is>
          <t>#cobblemon:is_cold_ocean</t>
        </is>
      </c>
      <c r="Q2864" s="19" t="inlineStr"/>
      <c r="R2864" s="18">
        <f>IF(Q2864="",P2864,Q2864)</f>
        <v/>
      </c>
      <c r="S2864" s="18" t="inlineStr"/>
      <c r="T2864" s="18" t="inlineStr">
        <is>
          <t>uncommon</t>
        </is>
      </c>
      <c r="U2864" s="20" t="n">
        <v>1.6</v>
      </c>
      <c r="V2864" s="21" t="n">
        <v>1</v>
      </c>
      <c r="W2864" s="20">
        <f>IF(OR(U2864="",V2864=""),U2864,U2864*V2864)</f>
        <v/>
      </c>
      <c r="X2864" s="18" t="inlineStr">
        <is>
          <t>39-51</t>
        </is>
      </c>
      <c r="Y2864" s="19" t="inlineStr"/>
      <c r="Z2864" s="18">
        <f>IF(Y2864="",X2864,Y2864)</f>
        <v/>
      </c>
      <c r="AA2864" s="18" t="inlineStr">
        <is>
          <t>fishing</t>
        </is>
      </c>
      <c r="AB2864" s="18" t="inlineStr"/>
      <c r="AC2864" s="18" t="inlineStr"/>
      <c r="AD2864" s="18" t="inlineStr"/>
      <c r="AE2864" s="18" t="inlineStr"/>
      <c r="AF2864" s="18" t="inlineStr">
        <is>
          <t>True</t>
        </is>
      </c>
      <c r="AG2864" s="18" t="inlineStr"/>
      <c r="AH2864" s="18" t="inlineStr"/>
      <c r="AI2864" s="18" t="inlineStr"/>
      <c r="AJ2864" s="18" t="inlineStr">
        <is>
          <t>COBBLEVERSE 수정</t>
        </is>
      </c>
      <c r="AK2864" s="18" t="inlineStr">
        <is>
          <t>사용</t>
        </is>
      </c>
      <c r="AL2864" s="18" t="inlineStr">
        <is>
          <t>COBBLEVERSE 1.7.42 / DP v31</t>
        </is>
      </c>
      <c r="AM2864" s="18" t="inlineStr">
        <is>
          <t>data/cobblemon/spawn_pool_world/0904_overqwil.json</t>
        </is>
      </c>
      <c r="AN2864" s="18" t="inlineStr">
        <is>
          <t>overqwil-3</t>
        </is>
      </c>
      <c r="AO2864" s="18" t="inlineStr">
        <is>
          <t>pokemon</t>
        </is>
      </c>
      <c r="AP2864" s="18" t="inlineStr"/>
      <c r="AQ2864" s="18" t="inlineStr">
        <is>
          <t>{"biomes":["#cobblemon:is_cold_ocean"],"canSeeSky":true}</t>
        </is>
      </c>
      <c r="AR2864" s="18" t="inlineStr">
        <is>
          <t>{"minLureLevel":1,"structures":["minecraft:monument"]}</t>
        </is>
      </c>
      <c r="AS2864" s="18" t="inlineStr"/>
      <c r="AT2864" s="19" t="inlineStr"/>
    </row>
    <row r="2865" ht="32" customHeight="1">
      <c r="A2865" s="18" t="inlineStr">
        <is>
          <t>0904_overqwil.json::overqwil-4::004</t>
        </is>
      </c>
      <c r="B2865" s="19" t="inlineStr">
        <is>
          <t>사용</t>
        </is>
      </c>
      <c r="C2865" s="18">
        <f>IF(OR(B2865&lt;&gt;AK2865,M2865&lt;&gt;L2865,O2865&lt;&gt;"",Q2865&lt;&gt;"",V2865&lt;&gt;1,Y2865&lt;&gt;"",AT2865&lt;&gt;""),"수정","원본")</f>
        <v/>
      </c>
      <c r="D2865" s="18" t="n">
        <v>904</v>
      </c>
      <c r="E2865" s="18" t="inlineStr">
        <is>
          <t>장침바루</t>
        </is>
      </c>
      <c r="F2865" s="18" t="inlineStr">
        <is>
          <t>overqwil</t>
        </is>
      </c>
      <c r="G2865" s="18" t="inlineStr">
        <is>
          <t>overqwil</t>
        </is>
      </c>
      <c r="H2865" s="18" t="inlineStr"/>
      <c r="I2865" s="18" t="n">
        <v>8</v>
      </c>
      <c r="J2865" s="18" t="n"/>
      <c r="K2865" s="18" t="n">
        <v>8</v>
      </c>
      <c r="L2865" s="18" t="inlineStr">
        <is>
          <t>cobbleventure:generation_8</t>
        </is>
      </c>
      <c r="M2865" s="19" t="inlineStr">
        <is>
          <t>cobbleventure:generation_8</t>
        </is>
      </c>
      <c r="N2865" s="18" t="inlineStr"/>
      <c r="O2865" s="19" t="inlineStr"/>
      <c r="P2865" s="18" t="inlineStr">
        <is>
          <t>#cobblemon:is_cold_ocean</t>
        </is>
      </c>
      <c r="Q2865" s="19" t="inlineStr"/>
      <c r="R2865" s="18">
        <f>IF(Q2865="",P2865,Q2865)</f>
        <v/>
      </c>
      <c r="S2865" s="18" t="inlineStr"/>
      <c r="T2865" s="18" t="inlineStr">
        <is>
          <t>common</t>
        </is>
      </c>
      <c r="U2865" s="20" t="n">
        <v>1</v>
      </c>
      <c r="V2865" s="21" t="n">
        <v>1</v>
      </c>
      <c r="W2865" s="20">
        <f>IF(OR(U2865="",V2865=""),U2865,U2865*V2865)</f>
        <v/>
      </c>
      <c r="X2865" s="18" t="inlineStr">
        <is>
          <t>39-51</t>
        </is>
      </c>
      <c r="Y2865" s="19" t="inlineStr"/>
      <c r="Z2865" s="18">
        <f>IF(Y2865="",X2865,Y2865)</f>
        <v/>
      </c>
      <c r="AA2865" s="18" t="inlineStr">
        <is>
          <t>fishing</t>
        </is>
      </c>
      <c r="AB2865" s="18" t="inlineStr"/>
      <c r="AC2865" s="18" t="inlineStr"/>
      <c r="AD2865" s="18" t="inlineStr"/>
      <c r="AE2865" s="18" t="inlineStr"/>
      <c r="AF2865" s="18" t="inlineStr">
        <is>
          <t>True</t>
        </is>
      </c>
      <c r="AG2865" s="18" t="inlineStr"/>
      <c r="AH2865" s="18" t="inlineStr"/>
      <c r="AI2865" s="18" t="inlineStr">
        <is>
          <t>{"fishing":{"minLureLevel":1}}</t>
        </is>
      </c>
      <c r="AJ2865" s="18" t="inlineStr">
        <is>
          <t>COBBLEVERSE 수정</t>
        </is>
      </c>
      <c r="AK2865" s="18" t="inlineStr">
        <is>
          <t>사용</t>
        </is>
      </c>
      <c r="AL2865" s="18" t="inlineStr">
        <is>
          <t>COBBLEVERSE 1.7.42 / DP v31</t>
        </is>
      </c>
      <c r="AM2865" s="18" t="inlineStr">
        <is>
          <t>data/cobblemon/spawn_pool_world/0904_overqwil.json</t>
        </is>
      </c>
      <c r="AN2865" s="18" t="inlineStr">
        <is>
          <t>overqwil-4</t>
        </is>
      </c>
      <c r="AO2865" s="18" t="inlineStr">
        <is>
          <t>pokemon</t>
        </is>
      </c>
      <c r="AP2865" s="18" t="inlineStr"/>
      <c r="AQ2865" s="18" t="inlineStr">
        <is>
          <t>{"biomes":["#cobblemon:is_cold_ocean"],"canSeeSky":true,"minLureLevel":1}</t>
        </is>
      </c>
      <c r="AR2865" s="18" t="inlineStr">
        <is>
          <t>{"structures":["minecraft:monument"]}</t>
        </is>
      </c>
      <c r="AS2865" s="18" t="inlineStr">
        <is>
          <t>{"weightMultiplier":{"condition":{"maxLureLevel":2,"minLureLevel":1},"multiplier":0.6}}</t>
        </is>
      </c>
      <c r="AT2865" s="19" t="inlineStr"/>
    </row>
    <row r="2866" ht="32" customHeight="1">
      <c r="A2866" s="18" t="inlineStr">
        <is>
          <t>0904_overqwil.json::overqwil-5::005</t>
        </is>
      </c>
      <c r="B2866" s="19" t="inlineStr">
        <is>
          <t>사용</t>
        </is>
      </c>
      <c r="C2866" s="18">
        <f>IF(OR(B2866&lt;&gt;AK2866,M2866&lt;&gt;L2866,O2866&lt;&gt;"",Q2866&lt;&gt;"",V2866&lt;&gt;1,Y2866&lt;&gt;"",AT2866&lt;&gt;""),"수정","원본")</f>
        <v/>
      </c>
      <c r="D2866" s="18" t="n">
        <v>904</v>
      </c>
      <c r="E2866" s="18" t="inlineStr">
        <is>
          <t>장침바루</t>
        </is>
      </c>
      <c r="F2866" s="18" t="inlineStr">
        <is>
          <t>overqwil</t>
        </is>
      </c>
      <c r="G2866" s="18" t="inlineStr">
        <is>
          <t>overqwil</t>
        </is>
      </c>
      <c r="H2866" s="18" t="inlineStr"/>
      <c r="I2866" s="18" t="n">
        <v>8</v>
      </c>
      <c r="J2866" s="18" t="n"/>
      <c r="K2866" s="18" t="n">
        <v>8</v>
      </c>
      <c r="L2866" s="18" t="inlineStr">
        <is>
          <t>cobbleventure:generation_8</t>
        </is>
      </c>
      <c r="M2866" s="19" t="inlineStr">
        <is>
          <t>cobbleventure:generation_8</t>
        </is>
      </c>
      <c r="N2866" s="18" t="inlineStr"/>
      <c r="O2866" s="19" t="inlineStr"/>
      <c r="P2866" s="18" t="inlineStr">
        <is>
          <t>#cobblemon:is_cold_ocean; #cobblemon:is_frozen_ocean</t>
        </is>
      </c>
      <c r="Q2866" s="19" t="inlineStr"/>
      <c r="R2866" s="18">
        <f>IF(Q2866="",P2866,Q2866)</f>
        <v/>
      </c>
      <c r="S2866" s="18" t="inlineStr"/>
      <c r="T2866" s="18" t="inlineStr">
        <is>
          <t>common</t>
        </is>
      </c>
      <c r="U2866" s="20" t="n">
        <v>6</v>
      </c>
      <c r="V2866" s="21" t="n">
        <v>1</v>
      </c>
      <c r="W2866" s="20">
        <f>IF(OR(U2866="",V2866=""),U2866,U2866*V2866)</f>
        <v/>
      </c>
      <c r="X2866" s="18" t="inlineStr">
        <is>
          <t>39-51</t>
        </is>
      </c>
      <c r="Y2866" s="19" t="inlineStr"/>
      <c r="Z2866" s="18">
        <f>IF(Y2866="",X2866,Y2866)</f>
        <v/>
      </c>
      <c r="AA2866" s="18" t="inlineStr">
        <is>
          <t>fishing</t>
        </is>
      </c>
      <c r="AB2866" s="18" t="inlineStr"/>
      <c r="AC2866" s="18" t="inlineStr"/>
      <c r="AD2866" s="18" t="inlineStr"/>
      <c r="AE2866" s="18" t="inlineStr"/>
      <c r="AF2866" s="18" t="inlineStr">
        <is>
          <t>True</t>
        </is>
      </c>
      <c r="AG2866" s="18" t="inlineStr">
        <is>
          <t>minecraft:monument</t>
        </is>
      </c>
      <c r="AH2866" s="18" t="inlineStr"/>
      <c r="AI2866" s="18" t="inlineStr"/>
      <c r="AJ2866" s="18" t="inlineStr">
        <is>
          <t>COBBLEVERSE 수정</t>
        </is>
      </c>
      <c r="AK2866" s="18" t="inlineStr">
        <is>
          <t>사용</t>
        </is>
      </c>
      <c r="AL2866" s="18" t="inlineStr">
        <is>
          <t>COBBLEVERSE 1.7.42 / DP v31</t>
        </is>
      </c>
      <c r="AM2866" s="18" t="inlineStr">
        <is>
          <t>data/cobblemon/spawn_pool_world/0904_overqwil.json</t>
        </is>
      </c>
      <c r="AN2866" s="18" t="inlineStr">
        <is>
          <t>overqwil-5</t>
        </is>
      </c>
      <c r="AO2866" s="18" t="inlineStr">
        <is>
          <t>pokemon</t>
        </is>
      </c>
      <c r="AP2866" s="18" t="inlineStr"/>
      <c r="AQ2866" s="18" t="inlineStr">
        <is>
          <t>{"biomes":["#cobblemon:is_cold_ocean","#cobblemon:is_frozen_ocean"],"canSeeSky":true,"structures":["minecraft:monument"]}</t>
        </is>
      </c>
      <c r="AR2866" s="18" t="inlineStr"/>
      <c r="AS2866" s="18" t="inlineStr">
        <is>
          <t>{"weightMultiplier":{"condition":{"maxLureLevel":1,"minLureLevel":0},"multiplier":0.6}}</t>
        </is>
      </c>
      <c r="AT2866" s="19" t="inlineStr"/>
    </row>
    <row r="2867" ht="32" customHeight="1">
      <c r="A2867" s="18" t="inlineStr">
        <is>
          <t>0904_overqwil.json::overqwil-6::006</t>
        </is>
      </c>
      <c r="B2867" s="19" t="inlineStr">
        <is>
          <t>사용</t>
        </is>
      </c>
      <c r="C2867" s="18">
        <f>IF(OR(B2867&lt;&gt;AK2867,M2867&lt;&gt;L2867,O2867&lt;&gt;"",Q2867&lt;&gt;"",V2867&lt;&gt;1,Y2867&lt;&gt;"",AT2867&lt;&gt;""),"수정","원본")</f>
        <v/>
      </c>
      <c r="D2867" s="18" t="n">
        <v>904</v>
      </c>
      <c r="E2867" s="18" t="inlineStr">
        <is>
          <t>장침바루</t>
        </is>
      </c>
      <c r="F2867" s="18" t="inlineStr">
        <is>
          <t>overqwil</t>
        </is>
      </c>
      <c r="G2867" s="18" t="inlineStr">
        <is>
          <t>overqwil</t>
        </is>
      </c>
      <c r="H2867" s="18" t="inlineStr"/>
      <c r="I2867" s="18" t="n">
        <v>8</v>
      </c>
      <c r="J2867" s="18" t="n"/>
      <c r="K2867" s="18" t="n">
        <v>8</v>
      </c>
      <c r="L2867" s="18" t="inlineStr">
        <is>
          <t>cobbleventure:generation_8</t>
        </is>
      </c>
      <c r="M2867" s="19" t="inlineStr">
        <is>
          <t>cobbleventure:generation_8</t>
        </is>
      </c>
      <c r="N2867" s="18" t="inlineStr"/>
      <c r="O2867" s="19" t="inlineStr"/>
      <c r="P2867" s="18" t="inlineStr">
        <is>
          <t>#cobblemon:is_cold_ocean</t>
        </is>
      </c>
      <c r="Q2867" s="19" t="inlineStr"/>
      <c r="R2867" s="18">
        <f>IF(Q2867="",P2867,Q2867)</f>
        <v/>
      </c>
      <c r="S2867" s="18" t="inlineStr"/>
      <c r="T2867" s="18" t="inlineStr">
        <is>
          <t>uncommon</t>
        </is>
      </c>
      <c r="U2867" s="20" t="n">
        <v>1.6</v>
      </c>
      <c r="V2867" s="21" t="n">
        <v>1</v>
      </c>
      <c r="W2867" s="20">
        <f>IF(OR(U2867="",V2867=""),U2867,U2867*V2867)</f>
        <v/>
      </c>
      <c r="X2867" s="18" t="inlineStr">
        <is>
          <t>39-51</t>
        </is>
      </c>
      <c r="Y2867" s="19" t="inlineStr"/>
      <c r="Z2867" s="18">
        <f>IF(Y2867="",X2867,Y2867)</f>
        <v/>
      </c>
      <c r="AA2867" s="18" t="inlineStr">
        <is>
          <t>submerged</t>
        </is>
      </c>
      <c r="AB2867" s="18" t="inlineStr"/>
      <c r="AC2867" s="18" t="inlineStr"/>
      <c r="AD2867" s="18" t="inlineStr"/>
      <c r="AE2867" s="18" t="inlineStr">
        <is>
          <t>sky 8-15</t>
        </is>
      </c>
      <c r="AF2867" s="18" t="inlineStr">
        <is>
          <t>False</t>
        </is>
      </c>
      <c r="AG2867" s="18" t="inlineStr"/>
      <c r="AH2867" s="18" t="inlineStr"/>
      <c r="AI2867" s="18" t="inlineStr"/>
      <c r="AJ2867" s="18" t="inlineStr">
        <is>
          <t>COBBLEVERSE 수정</t>
        </is>
      </c>
      <c r="AK2867" s="18" t="inlineStr">
        <is>
          <t>사용</t>
        </is>
      </c>
      <c r="AL2867" s="18" t="inlineStr">
        <is>
          <t>COBBLEVERSE 1.7.42 / DP v31</t>
        </is>
      </c>
      <c r="AM2867" s="18" t="inlineStr">
        <is>
          <t>data/cobblemon/spawn_pool_world/0904_overqwil.json</t>
        </is>
      </c>
      <c r="AN2867" s="18" t="inlineStr">
        <is>
          <t>overqwil-6</t>
        </is>
      </c>
      <c r="AO2867" s="18" t="inlineStr">
        <is>
          <t>pokemon</t>
        </is>
      </c>
      <c r="AP2867" s="18" t="inlineStr">
        <is>
          <t>water</t>
        </is>
      </c>
      <c r="AQ2867" s="18" t="inlineStr">
        <is>
          <t>{"biomes":["#cobblemon:is_cold_ocean"],"canSeeSky":false,"maxSkyLight":15,"minSkyLight":8}</t>
        </is>
      </c>
      <c r="AR2867" s="18" t="inlineStr">
        <is>
          <t>{"structures":["minecraft:ocean_monument"]}</t>
        </is>
      </c>
      <c r="AS2867" s="18" t="inlineStr"/>
      <c r="AT2867" s="19" t="inlineStr"/>
    </row>
    <row r="2868" ht="32" customHeight="1">
      <c r="A2868" s="18" t="inlineStr">
        <is>
          <t>0904_overqwil.json::overqwil-7::007</t>
        </is>
      </c>
      <c r="B2868" s="19" t="inlineStr">
        <is>
          <t>사용</t>
        </is>
      </c>
      <c r="C2868" s="18">
        <f>IF(OR(B2868&lt;&gt;AK2868,M2868&lt;&gt;L2868,O2868&lt;&gt;"",Q2868&lt;&gt;"",V2868&lt;&gt;1,Y2868&lt;&gt;"",AT2868&lt;&gt;""),"수정","원본")</f>
        <v/>
      </c>
      <c r="D2868" s="18" t="n">
        <v>904</v>
      </c>
      <c r="E2868" s="18" t="inlineStr">
        <is>
          <t>장침바루</t>
        </is>
      </c>
      <c r="F2868" s="18" t="inlineStr">
        <is>
          <t>overqwil</t>
        </is>
      </c>
      <c r="G2868" s="18" t="inlineStr">
        <is>
          <t>overqwil</t>
        </is>
      </c>
      <c r="H2868" s="18" t="inlineStr"/>
      <c r="I2868" s="18" t="n">
        <v>8</v>
      </c>
      <c r="J2868" s="18" t="n"/>
      <c r="K2868" s="18" t="n">
        <v>8</v>
      </c>
      <c r="L2868" s="18" t="inlineStr">
        <is>
          <t>cobbleventure:generation_8</t>
        </is>
      </c>
      <c r="M2868" s="19" t="inlineStr">
        <is>
          <t>cobbleventure:generation_8</t>
        </is>
      </c>
      <c r="N2868" s="18" t="inlineStr"/>
      <c r="O2868" s="19" t="inlineStr"/>
      <c r="P2868" s="18" t="inlineStr">
        <is>
          <t>#cobblemon:is_cold_ocean; #cobblemon:is_frozen_ocean</t>
        </is>
      </c>
      <c r="Q2868" s="19" t="inlineStr"/>
      <c r="R2868" s="18">
        <f>IF(Q2868="",P2868,Q2868)</f>
        <v/>
      </c>
      <c r="S2868" s="18" t="inlineStr"/>
      <c r="T2868" s="18" t="inlineStr">
        <is>
          <t>common</t>
        </is>
      </c>
      <c r="U2868" s="20" t="n">
        <v>6</v>
      </c>
      <c r="V2868" s="21" t="n">
        <v>1</v>
      </c>
      <c r="W2868" s="20">
        <f>IF(OR(U2868="",V2868=""),U2868,U2868*V2868)</f>
        <v/>
      </c>
      <c r="X2868" s="18" t="inlineStr">
        <is>
          <t>39-51</t>
        </is>
      </c>
      <c r="Y2868" s="19" t="inlineStr"/>
      <c r="Z2868" s="18">
        <f>IF(Y2868="",X2868,Y2868)</f>
        <v/>
      </c>
      <c r="AA2868" s="18" t="inlineStr">
        <is>
          <t>submerged</t>
        </is>
      </c>
      <c r="AB2868" s="18" t="inlineStr"/>
      <c r="AC2868" s="18" t="inlineStr"/>
      <c r="AD2868" s="18" t="inlineStr"/>
      <c r="AE2868" s="18" t="inlineStr">
        <is>
          <t>sky 8-15</t>
        </is>
      </c>
      <c r="AF2868" s="18" t="inlineStr">
        <is>
          <t>False</t>
        </is>
      </c>
      <c r="AG2868" s="18" t="inlineStr"/>
      <c r="AH2868" s="18" t="inlineStr"/>
      <c r="AI2868" s="18" t="inlineStr"/>
      <c r="AJ2868" s="18" t="inlineStr">
        <is>
          <t>COBBLEVERSE 수정</t>
        </is>
      </c>
      <c r="AK2868" s="18" t="inlineStr">
        <is>
          <t>사용</t>
        </is>
      </c>
      <c r="AL2868" s="18" t="inlineStr">
        <is>
          <t>COBBLEVERSE 1.7.42 / DP v31</t>
        </is>
      </c>
      <c r="AM2868" s="18" t="inlineStr">
        <is>
          <t>data/cobblemon/spawn_pool_world/0904_overqwil.json</t>
        </is>
      </c>
      <c r="AN2868" s="18" t="inlineStr">
        <is>
          <t>overqwil-7</t>
        </is>
      </c>
      <c r="AO2868" s="18" t="inlineStr">
        <is>
          <t>pokemon</t>
        </is>
      </c>
      <c r="AP2868" s="18" t="inlineStr">
        <is>
          <t>water; ocean_monument</t>
        </is>
      </c>
      <c r="AQ2868" s="18" t="inlineStr">
        <is>
          <t>{"biomes":["#cobblemon:is_cold_ocean","#cobblemon:is_frozen_ocean"],"canSeeSky":false,"maxSkyLight":15,"minSkyLight":8}</t>
        </is>
      </c>
      <c r="AR2868" s="18" t="inlineStr"/>
      <c r="AS2868" s="18" t="inlineStr"/>
      <c r="AT2868" s="19" t="inlineStr"/>
    </row>
    <row r="2869" ht="32" customHeight="1">
      <c r="A2869" s="18" t="inlineStr">
        <is>
          <t>0904_overqwil.json::overqwil-8::008</t>
        </is>
      </c>
      <c r="B2869" s="19" t="inlineStr">
        <is>
          <t>사용</t>
        </is>
      </c>
      <c r="C2869" s="18">
        <f>IF(OR(B2869&lt;&gt;AK2869,M2869&lt;&gt;L2869,O2869&lt;&gt;"",Q2869&lt;&gt;"",V2869&lt;&gt;1,Y2869&lt;&gt;"",AT2869&lt;&gt;""),"수정","원본")</f>
        <v/>
      </c>
      <c r="D2869" s="18" t="n">
        <v>904</v>
      </c>
      <c r="E2869" s="18" t="inlineStr">
        <is>
          <t>장침바루</t>
        </is>
      </c>
      <c r="F2869" s="18" t="inlineStr">
        <is>
          <t>overqwil</t>
        </is>
      </c>
      <c r="G2869" s="18" t="inlineStr">
        <is>
          <t>overqwil</t>
        </is>
      </c>
      <c r="H2869" s="18" t="inlineStr"/>
      <c r="I2869" s="18" t="n">
        <v>8</v>
      </c>
      <c r="J2869" s="18" t="n"/>
      <c r="K2869" s="18" t="n">
        <v>8</v>
      </c>
      <c r="L2869" s="18" t="inlineStr">
        <is>
          <t>cobbleventure:generation_8</t>
        </is>
      </c>
      <c r="M2869" s="19" t="inlineStr">
        <is>
          <t>cobbleventure:generation_8</t>
        </is>
      </c>
      <c r="N2869" s="18" t="inlineStr"/>
      <c r="O2869" s="19" t="inlineStr"/>
      <c r="P2869" s="18" t="inlineStr">
        <is>
          <t>#cobblemon:is_cold_ocean</t>
        </is>
      </c>
      <c r="Q2869" s="19" t="inlineStr"/>
      <c r="R2869" s="18">
        <f>IF(Q2869="",P2869,Q2869)</f>
        <v/>
      </c>
      <c r="S2869" s="18" t="inlineStr"/>
      <c r="T2869" s="18" t="inlineStr">
        <is>
          <t>uncommon</t>
        </is>
      </c>
      <c r="U2869" s="20" t="n">
        <v>1.6</v>
      </c>
      <c r="V2869" s="21" t="n">
        <v>1</v>
      </c>
      <c r="W2869" s="20">
        <f>IF(OR(U2869="",V2869=""),U2869,U2869*V2869)</f>
        <v/>
      </c>
      <c r="X2869" s="18" t="inlineStr">
        <is>
          <t>39-51</t>
        </is>
      </c>
      <c r="Y2869" s="19" t="inlineStr"/>
      <c r="Z2869" s="18">
        <f>IF(Y2869="",X2869,Y2869)</f>
        <v/>
      </c>
      <c r="AA2869" s="18" t="inlineStr">
        <is>
          <t>fishing</t>
        </is>
      </c>
      <c r="AB2869" s="18" t="inlineStr"/>
      <c r="AC2869" s="18" t="inlineStr"/>
      <c r="AD2869" s="18" t="inlineStr"/>
      <c r="AE2869" s="18" t="inlineStr">
        <is>
          <t>sky 8-15</t>
        </is>
      </c>
      <c r="AF2869" s="18" t="inlineStr">
        <is>
          <t>False</t>
        </is>
      </c>
      <c r="AG2869" s="18" t="inlineStr"/>
      <c r="AH2869" s="18" t="inlineStr"/>
      <c r="AI2869" s="18" t="inlineStr"/>
      <c r="AJ2869" s="18" t="inlineStr">
        <is>
          <t>COBBLEVERSE 수정</t>
        </is>
      </c>
      <c r="AK2869" s="18" t="inlineStr">
        <is>
          <t>사용</t>
        </is>
      </c>
      <c r="AL2869" s="18" t="inlineStr">
        <is>
          <t>COBBLEVERSE 1.7.42 / DP v31</t>
        </is>
      </c>
      <c r="AM2869" s="18" t="inlineStr">
        <is>
          <t>data/cobblemon/spawn_pool_world/0904_overqwil.json</t>
        </is>
      </c>
      <c r="AN2869" s="18" t="inlineStr">
        <is>
          <t>overqwil-8</t>
        </is>
      </c>
      <c r="AO2869" s="18" t="inlineStr">
        <is>
          <t>pokemon</t>
        </is>
      </c>
      <c r="AP2869" s="18" t="inlineStr"/>
      <c r="AQ2869" s="18" t="inlineStr">
        <is>
          <t>{"biomes":["#cobblemon:is_cold_ocean"],"canSeeSky":false,"maxSkyLight":15,"minSkyLight":8}</t>
        </is>
      </c>
      <c r="AR2869" s="18" t="inlineStr">
        <is>
          <t>{"minLureLevel":1,"structures":["minecraft:monument"]}</t>
        </is>
      </c>
      <c r="AS2869" s="18" t="inlineStr"/>
      <c r="AT2869" s="19" t="inlineStr"/>
    </row>
    <row r="2870" ht="32" customHeight="1">
      <c r="A2870" s="18" t="inlineStr">
        <is>
          <t>0904_overqwil.json::overqwil-9::009</t>
        </is>
      </c>
      <c r="B2870" s="19" t="inlineStr">
        <is>
          <t>사용</t>
        </is>
      </c>
      <c r="C2870" s="18">
        <f>IF(OR(B2870&lt;&gt;AK2870,M2870&lt;&gt;L2870,O2870&lt;&gt;"",Q2870&lt;&gt;"",V2870&lt;&gt;1,Y2870&lt;&gt;"",AT2870&lt;&gt;""),"수정","원본")</f>
        <v/>
      </c>
      <c r="D2870" s="18" t="n">
        <v>904</v>
      </c>
      <c r="E2870" s="18" t="inlineStr">
        <is>
          <t>장침바루</t>
        </is>
      </c>
      <c r="F2870" s="18" t="inlineStr">
        <is>
          <t>overqwil</t>
        </is>
      </c>
      <c r="G2870" s="18" t="inlineStr">
        <is>
          <t>overqwil</t>
        </is>
      </c>
      <c r="H2870" s="18" t="inlineStr"/>
      <c r="I2870" s="18" t="n">
        <v>8</v>
      </c>
      <c r="J2870" s="18" t="n"/>
      <c r="K2870" s="18" t="n">
        <v>8</v>
      </c>
      <c r="L2870" s="18" t="inlineStr">
        <is>
          <t>cobbleventure:generation_8</t>
        </is>
      </c>
      <c r="M2870" s="19" t="inlineStr">
        <is>
          <t>cobbleventure:generation_8</t>
        </is>
      </c>
      <c r="N2870" s="18" t="inlineStr"/>
      <c r="O2870" s="19" t="inlineStr"/>
      <c r="P2870" s="18" t="inlineStr">
        <is>
          <t>#cobblemon:is_cold_ocean</t>
        </is>
      </c>
      <c r="Q2870" s="19" t="inlineStr"/>
      <c r="R2870" s="18">
        <f>IF(Q2870="",P2870,Q2870)</f>
        <v/>
      </c>
      <c r="S2870" s="18" t="inlineStr"/>
      <c r="T2870" s="18" t="inlineStr">
        <is>
          <t>common</t>
        </is>
      </c>
      <c r="U2870" s="20" t="n">
        <v>1</v>
      </c>
      <c r="V2870" s="21" t="n">
        <v>1</v>
      </c>
      <c r="W2870" s="20">
        <f>IF(OR(U2870="",V2870=""),U2870,U2870*V2870)</f>
        <v/>
      </c>
      <c r="X2870" s="18" t="inlineStr">
        <is>
          <t>39-51</t>
        </is>
      </c>
      <c r="Y2870" s="19" t="inlineStr"/>
      <c r="Z2870" s="18">
        <f>IF(Y2870="",X2870,Y2870)</f>
        <v/>
      </c>
      <c r="AA2870" s="18" t="inlineStr">
        <is>
          <t>fishing</t>
        </is>
      </c>
      <c r="AB2870" s="18" t="inlineStr"/>
      <c r="AC2870" s="18" t="inlineStr"/>
      <c r="AD2870" s="18" t="inlineStr"/>
      <c r="AE2870" s="18" t="inlineStr">
        <is>
          <t>sky 8-15</t>
        </is>
      </c>
      <c r="AF2870" s="18" t="inlineStr">
        <is>
          <t>False</t>
        </is>
      </c>
      <c r="AG2870" s="18" t="inlineStr"/>
      <c r="AH2870" s="18" t="inlineStr"/>
      <c r="AI2870" s="18" t="inlineStr">
        <is>
          <t>{"fishing":{"minLureLevel":1}}</t>
        </is>
      </c>
      <c r="AJ2870" s="18" t="inlineStr">
        <is>
          <t>COBBLEVERSE 수정</t>
        </is>
      </c>
      <c r="AK2870" s="18" t="inlineStr">
        <is>
          <t>사용</t>
        </is>
      </c>
      <c r="AL2870" s="18" t="inlineStr">
        <is>
          <t>COBBLEVERSE 1.7.42 / DP v31</t>
        </is>
      </c>
      <c r="AM2870" s="18" t="inlineStr">
        <is>
          <t>data/cobblemon/spawn_pool_world/0904_overqwil.json</t>
        </is>
      </c>
      <c r="AN2870" s="18" t="inlineStr">
        <is>
          <t>overqwil-9</t>
        </is>
      </c>
      <c r="AO2870" s="18" t="inlineStr">
        <is>
          <t>pokemon</t>
        </is>
      </c>
      <c r="AP2870" s="18" t="inlineStr"/>
      <c r="AQ2870" s="18" t="inlineStr">
        <is>
          <t>{"biomes":["#cobblemon:is_cold_ocean"],"canSeeSky":false,"maxSkyLight":15,"minLureLevel":1,"minSkyLight":8}</t>
        </is>
      </c>
      <c r="AR2870" s="18" t="inlineStr">
        <is>
          <t>{"structures":["minecraft:monument"]}</t>
        </is>
      </c>
      <c r="AS2870" s="18" t="inlineStr">
        <is>
          <t>{"weightMultiplier":{"condition":{"maxLureLevel":2,"minLureLevel":1},"multiplier":0.6}}</t>
        </is>
      </c>
      <c r="AT2870" s="19" t="inlineStr"/>
    </row>
    <row r="2871" ht="32" customHeight="1">
      <c r="A2871" s="18" t="inlineStr">
        <is>
          <t>0904_overqwil.json::overqwil-10::010</t>
        </is>
      </c>
      <c r="B2871" s="19" t="inlineStr">
        <is>
          <t>사용</t>
        </is>
      </c>
      <c r="C2871" s="18">
        <f>IF(OR(B2871&lt;&gt;AK2871,M2871&lt;&gt;L2871,O2871&lt;&gt;"",Q2871&lt;&gt;"",V2871&lt;&gt;1,Y2871&lt;&gt;"",AT2871&lt;&gt;""),"수정","원본")</f>
        <v/>
      </c>
      <c r="D2871" s="18" t="n">
        <v>904</v>
      </c>
      <c r="E2871" s="18" t="inlineStr">
        <is>
          <t>장침바루</t>
        </is>
      </c>
      <c r="F2871" s="18" t="inlineStr">
        <is>
          <t>overqwil</t>
        </is>
      </c>
      <c r="G2871" s="18" t="inlineStr">
        <is>
          <t>overqwil</t>
        </is>
      </c>
      <c r="H2871" s="18" t="inlineStr"/>
      <c r="I2871" s="18" t="n">
        <v>8</v>
      </c>
      <c r="J2871" s="18" t="n"/>
      <c r="K2871" s="18" t="n">
        <v>8</v>
      </c>
      <c r="L2871" s="18" t="inlineStr">
        <is>
          <t>cobbleventure:generation_8</t>
        </is>
      </c>
      <c r="M2871" s="19" t="inlineStr">
        <is>
          <t>cobbleventure:generation_8</t>
        </is>
      </c>
      <c r="N2871" s="18" t="inlineStr"/>
      <c r="O2871" s="19" t="inlineStr"/>
      <c r="P2871" s="18" t="inlineStr">
        <is>
          <t>#cobblemon:is_cold_ocean; #cobblemon:is_frozen_ocean</t>
        </is>
      </c>
      <c r="Q2871" s="19" t="inlineStr"/>
      <c r="R2871" s="18">
        <f>IF(Q2871="",P2871,Q2871)</f>
        <v/>
      </c>
      <c r="S2871" s="18" t="inlineStr"/>
      <c r="T2871" s="18" t="inlineStr">
        <is>
          <t>common</t>
        </is>
      </c>
      <c r="U2871" s="20" t="n">
        <v>6</v>
      </c>
      <c r="V2871" s="21" t="n">
        <v>1</v>
      </c>
      <c r="W2871" s="20">
        <f>IF(OR(U2871="",V2871=""),U2871,U2871*V2871)</f>
        <v/>
      </c>
      <c r="X2871" s="18" t="inlineStr">
        <is>
          <t>39-51</t>
        </is>
      </c>
      <c r="Y2871" s="19" t="inlineStr"/>
      <c r="Z2871" s="18">
        <f>IF(Y2871="",X2871,Y2871)</f>
        <v/>
      </c>
      <c r="AA2871" s="18" t="inlineStr">
        <is>
          <t>fishing</t>
        </is>
      </c>
      <c r="AB2871" s="18" t="inlineStr"/>
      <c r="AC2871" s="18" t="inlineStr"/>
      <c r="AD2871" s="18" t="inlineStr"/>
      <c r="AE2871" s="18" t="inlineStr">
        <is>
          <t>sky 8-15</t>
        </is>
      </c>
      <c r="AF2871" s="18" t="inlineStr">
        <is>
          <t>False</t>
        </is>
      </c>
      <c r="AG2871" s="18" t="inlineStr">
        <is>
          <t>minecraft:monument</t>
        </is>
      </c>
      <c r="AH2871" s="18" t="inlineStr"/>
      <c r="AI2871" s="18" t="inlineStr"/>
      <c r="AJ2871" s="18" t="inlineStr">
        <is>
          <t>COBBLEVERSE 수정</t>
        </is>
      </c>
      <c r="AK2871" s="18" t="inlineStr">
        <is>
          <t>사용</t>
        </is>
      </c>
      <c r="AL2871" s="18" t="inlineStr">
        <is>
          <t>COBBLEVERSE 1.7.42 / DP v31</t>
        </is>
      </c>
      <c r="AM2871" s="18" t="inlineStr">
        <is>
          <t>data/cobblemon/spawn_pool_world/0904_overqwil.json</t>
        </is>
      </c>
      <c r="AN2871" s="18" t="inlineStr">
        <is>
          <t>overqwil-10</t>
        </is>
      </c>
      <c r="AO2871" s="18" t="inlineStr">
        <is>
          <t>pokemon</t>
        </is>
      </c>
      <c r="AP2871" s="18" t="inlineStr"/>
      <c r="AQ2871" s="18" t="inlineStr">
        <is>
          <t>{"biomes":["#cobblemon:is_cold_ocean","#cobblemon:is_frozen_ocean"],"canSeeSky":false,"maxSkyLight":15,"minSkyLight":8,"structures":["minecraft:monument"]}</t>
        </is>
      </c>
      <c r="AR2871" s="18" t="inlineStr"/>
      <c r="AS2871" s="18" t="inlineStr">
        <is>
          <t>{"weightMultiplier":{"condition":{"maxLureLevel":1,"minLureLevel":0},"multiplier":0.6}}</t>
        </is>
      </c>
      <c r="AT2871" s="19" t="inlineStr"/>
    </row>
    <row r="2872" ht="32" customHeight="1">
      <c r="A2872" s="18" t="inlineStr">
        <is>
          <t>0904_overqwil.json::overqwil-11::011</t>
        </is>
      </c>
      <c r="B2872" s="19" t="inlineStr">
        <is>
          <t>사용</t>
        </is>
      </c>
      <c r="C2872" s="18">
        <f>IF(OR(B2872&lt;&gt;AK2872,M2872&lt;&gt;L2872,O2872&lt;&gt;"",Q2872&lt;&gt;"",V2872&lt;&gt;1,Y2872&lt;&gt;"",AT2872&lt;&gt;""),"수정","원본")</f>
        <v/>
      </c>
      <c r="D2872" s="18" t="n">
        <v>904</v>
      </c>
      <c r="E2872" s="18" t="inlineStr">
        <is>
          <t>장침바루</t>
        </is>
      </c>
      <c r="F2872" s="18" t="inlineStr">
        <is>
          <t>overqwil</t>
        </is>
      </c>
      <c r="G2872" s="18" t="inlineStr">
        <is>
          <t>overqwil</t>
        </is>
      </c>
      <c r="H2872" s="18" t="inlineStr"/>
      <c r="I2872" s="18" t="n">
        <v>8</v>
      </c>
      <c r="J2872" s="18" t="n"/>
      <c r="K2872" s="18" t="n">
        <v>8</v>
      </c>
      <c r="L2872" s="18" t="inlineStr">
        <is>
          <t>cobbleventure:generation_8</t>
        </is>
      </c>
      <c r="M2872" s="19" t="inlineStr">
        <is>
          <t>cobbleventure:generation_8</t>
        </is>
      </c>
      <c r="N2872" s="18" t="inlineStr"/>
      <c r="O2872" s="19" t="inlineStr"/>
      <c r="P2872" s="18" t="inlineStr">
        <is>
          <t>#cobblemon:is_cold</t>
        </is>
      </c>
      <c r="Q2872" s="19" t="inlineStr"/>
      <c r="R2872" s="18">
        <f>IF(Q2872="",P2872,Q2872)</f>
        <v/>
      </c>
      <c r="S2872" s="18" t="inlineStr"/>
      <c r="T2872" s="18" t="inlineStr">
        <is>
          <t>uncommon</t>
        </is>
      </c>
      <c r="U2872" s="20" t="n">
        <v>1.6</v>
      </c>
      <c r="V2872" s="21" t="n">
        <v>1</v>
      </c>
      <c r="W2872" s="20">
        <f>IF(OR(U2872="",V2872=""),U2872,U2872*V2872)</f>
        <v/>
      </c>
      <c r="X2872" s="18" t="inlineStr">
        <is>
          <t>39-51</t>
        </is>
      </c>
      <c r="Y2872" s="19" t="inlineStr"/>
      <c r="Z2872" s="18">
        <f>IF(Y2872="",X2872,Y2872)</f>
        <v/>
      </c>
      <c r="AA2872" s="18" t="inlineStr">
        <is>
          <t>submerged</t>
        </is>
      </c>
      <c r="AB2872" s="18" t="inlineStr"/>
      <c r="AC2872" s="18" t="inlineStr"/>
      <c r="AD2872" s="18" t="inlineStr">
        <is>
          <t>minY=-60, maxY=13</t>
        </is>
      </c>
      <c r="AE2872" s="18" t="inlineStr"/>
      <c r="AF2872" s="18" t="inlineStr">
        <is>
          <t>False</t>
        </is>
      </c>
      <c r="AG2872" s="18" t="inlineStr">
        <is>
          <t>cobblemon:shipwreck_coves/submerged_shipwreck_cove</t>
        </is>
      </c>
      <c r="AH2872" s="18" t="inlineStr"/>
      <c r="AI2872" s="18" t="inlineStr"/>
      <c r="AJ2872" s="18" t="inlineStr">
        <is>
          <t>COBBLEVERSE 수정</t>
        </is>
      </c>
      <c r="AK2872" s="18" t="inlineStr">
        <is>
          <t>사용</t>
        </is>
      </c>
      <c r="AL2872" s="18" t="inlineStr">
        <is>
          <t>COBBLEVERSE 1.7.42 / DP v31</t>
        </is>
      </c>
      <c r="AM2872" s="18" t="inlineStr">
        <is>
          <t>data/cobblemon/spawn_pool_world/0904_overqwil.json</t>
        </is>
      </c>
      <c r="AN2872" s="18" t="inlineStr">
        <is>
          <t>overqwil-11</t>
        </is>
      </c>
      <c r="AO2872" s="18" t="inlineStr">
        <is>
          <t>pokemon</t>
        </is>
      </c>
      <c r="AP2872" s="18" t="inlineStr">
        <is>
          <t>water</t>
        </is>
      </c>
      <c r="AQ2872" s="18" t="inlineStr">
        <is>
          <t>{"biomes":["#cobblemon:is_cold"],"canSeeSky":false,"maxY":13,"minY":-60,"structures":["cobblemon:shipwreck_coves/submerged_shipwreck_cove"]}</t>
        </is>
      </c>
      <c r="AR2872" s="18" t="inlineStr"/>
      <c r="AS2872" s="18" t="inlineStr"/>
      <c r="AT2872" s="19" t="inlineStr"/>
    </row>
    <row r="2873" ht="32" customHeight="1">
      <c r="A2873" s="18" t="inlineStr">
        <is>
          <t>0904_overqwil.json::overqwil-12::012</t>
        </is>
      </c>
      <c r="B2873" s="19" t="inlineStr">
        <is>
          <t>사용</t>
        </is>
      </c>
      <c r="C2873" s="18">
        <f>IF(OR(B2873&lt;&gt;AK2873,M2873&lt;&gt;L2873,O2873&lt;&gt;"",Q2873&lt;&gt;"",V2873&lt;&gt;1,Y2873&lt;&gt;"",AT2873&lt;&gt;""),"수정","원본")</f>
        <v/>
      </c>
      <c r="D2873" s="18" t="n">
        <v>904</v>
      </c>
      <c r="E2873" s="18" t="inlineStr">
        <is>
          <t>장침바루</t>
        </is>
      </c>
      <c r="F2873" s="18" t="inlineStr">
        <is>
          <t>overqwil</t>
        </is>
      </c>
      <c r="G2873" s="18" t="inlineStr">
        <is>
          <t>overqwil</t>
        </is>
      </c>
      <c r="H2873" s="18" t="inlineStr"/>
      <c r="I2873" s="18" t="n">
        <v>8</v>
      </c>
      <c r="J2873" s="18" t="n"/>
      <c r="K2873" s="18" t="n">
        <v>8</v>
      </c>
      <c r="L2873" s="18" t="inlineStr">
        <is>
          <t>cobbleventure:generation_8</t>
        </is>
      </c>
      <c r="M2873" s="19" t="inlineStr">
        <is>
          <t>cobbleventure:generation_8</t>
        </is>
      </c>
      <c r="N2873" s="18" t="inlineStr"/>
      <c r="O2873" s="19" t="inlineStr"/>
      <c r="P2873" s="18" t="inlineStr">
        <is>
          <t>#cobblemon:is_cold</t>
        </is>
      </c>
      <c r="Q2873" s="19" t="inlineStr"/>
      <c r="R2873" s="18">
        <f>IF(Q2873="",P2873,Q2873)</f>
        <v/>
      </c>
      <c r="S2873" s="18" t="inlineStr"/>
      <c r="T2873" s="18" t="inlineStr">
        <is>
          <t>uncommon</t>
        </is>
      </c>
      <c r="U2873" s="20" t="n">
        <v>1.6</v>
      </c>
      <c r="V2873" s="21" t="n">
        <v>1</v>
      </c>
      <c r="W2873" s="20">
        <f>IF(OR(U2873="",V2873=""),U2873,U2873*V2873)</f>
        <v/>
      </c>
      <c r="X2873" s="18" t="inlineStr">
        <is>
          <t>39-51</t>
        </is>
      </c>
      <c r="Y2873" s="19" t="inlineStr"/>
      <c r="Z2873" s="18">
        <f>IF(Y2873="",X2873,Y2873)</f>
        <v/>
      </c>
      <c r="AA2873" s="18" t="inlineStr">
        <is>
          <t>fishing</t>
        </is>
      </c>
      <c r="AB2873" s="18" t="inlineStr"/>
      <c r="AC2873" s="18" t="inlineStr"/>
      <c r="AD2873" s="18" t="inlineStr">
        <is>
          <t>minY=-60, maxY=13</t>
        </is>
      </c>
      <c r="AE2873" s="18" t="inlineStr"/>
      <c r="AF2873" s="18" t="inlineStr">
        <is>
          <t>False</t>
        </is>
      </c>
      <c r="AG2873" s="18" t="inlineStr">
        <is>
          <t>cobblemon:shipwreck_coves/submerged_shipwreck_cove</t>
        </is>
      </c>
      <c r="AH2873" s="18" t="inlineStr"/>
      <c r="AI2873" s="18" t="inlineStr"/>
      <c r="AJ2873" s="18" t="inlineStr">
        <is>
          <t>COBBLEVERSE 수정</t>
        </is>
      </c>
      <c r="AK2873" s="18" t="inlineStr">
        <is>
          <t>사용</t>
        </is>
      </c>
      <c r="AL2873" s="18" t="inlineStr">
        <is>
          <t>COBBLEVERSE 1.7.42 / DP v31</t>
        </is>
      </c>
      <c r="AM2873" s="18" t="inlineStr">
        <is>
          <t>data/cobblemon/spawn_pool_world/0904_overqwil.json</t>
        </is>
      </c>
      <c r="AN2873" s="18" t="inlineStr">
        <is>
          <t>overqwil-12</t>
        </is>
      </c>
      <c r="AO2873" s="18" t="inlineStr">
        <is>
          <t>pokemon</t>
        </is>
      </c>
      <c r="AP2873" s="18" t="inlineStr"/>
      <c r="AQ2873" s="18" t="inlineStr">
        <is>
          <t>{"biomes":["#cobblemon:is_cold"],"canSeeSky":false,"maxY":13,"minY":-60,"structures":["cobblemon:shipwreck_coves/submerged_shipwreck_cove"]}</t>
        </is>
      </c>
      <c r="AR2873" s="18" t="inlineStr">
        <is>
          <t>{"minLureLevel":1}</t>
        </is>
      </c>
      <c r="AS2873" s="18" t="inlineStr"/>
      <c r="AT2873" s="19" t="inlineStr"/>
    </row>
    <row r="2874" ht="32" customHeight="1">
      <c r="A2874" s="18" t="inlineStr">
        <is>
          <t>0904_overqwil.json::overqwil-13::013</t>
        </is>
      </c>
      <c r="B2874" s="19" t="inlineStr">
        <is>
          <t>사용</t>
        </is>
      </c>
      <c r="C2874" s="18">
        <f>IF(OR(B2874&lt;&gt;AK2874,M2874&lt;&gt;L2874,O2874&lt;&gt;"",Q2874&lt;&gt;"",V2874&lt;&gt;1,Y2874&lt;&gt;"",AT2874&lt;&gt;""),"수정","원본")</f>
        <v/>
      </c>
      <c r="D2874" s="18" t="n">
        <v>904</v>
      </c>
      <c r="E2874" s="18" t="inlineStr">
        <is>
          <t>장침바루</t>
        </is>
      </c>
      <c r="F2874" s="18" t="inlineStr">
        <is>
          <t>overqwil</t>
        </is>
      </c>
      <c r="G2874" s="18" t="inlineStr">
        <is>
          <t>overqwil</t>
        </is>
      </c>
      <c r="H2874" s="18" t="inlineStr"/>
      <c r="I2874" s="18" t="n">
        <v>8</v>
      </c>
      <c r="J2874" s="18" t="n"/>
      <c r="K2874" s="18" t="n">
        <v>8</v>
      </c>
      <c r="L2874" s="18" t="inlineStr">
        <is>
          <t>cobbleventure:generation_8</t>
        </is>
      </c>
      <c r="M2874" s="19" t="inlineStr">
        <is>
          <t>cobbleventure:generation_8</t>
        </is>
      </c>
      <c r="N2874" s="18" t="inlineStr"/>
      <c r="O2874" s="19" t="inlineStr"/>
      <c r="P2874" s="18" t="inlineStr">
        <is>
          <t>#cobblemon:is_cold</t>
        </is>
      </c>
      <c r="Q2874" s="19" t="inlineStr"/>
      <c r="R2874" s="18">
        <f>IF(Q2874="",P2874,Q2874)</f>
        <v/>
      </c>
      <c r="S2874" s="18" t="inlineStr"/>
      <c r="T2874" s="18" t="inlineStr">
        <is>
          <t>common</t>
        </is>
      </c>
      <c r="U2874" s="20" t="n">
        <v>1</v>
      </c>
      <c r="V2874" s="21" t="n">
        <v>1</v>
      </c>
      <c r="W2874" s="20">
        <f>IF(OR(U2874="",V2874=""),U2874,U2874*V2874)</f>
        <v/>
      </c>
      <c r="X2874" s="18" t="inlineStr">
        <is>
          <t>39-51</t>
        </is>
      </c>
      <c r="Y2874" s="19" t="inlineStr"/>
      <c r="Z2874" s="18">
        <f>IF(Y2874="",X2874,Y2874)</f>
        <v/>
      </c>
      <c r="AA2874" s="18" t="inlineStr">
        <is>
          <t>fishing</t>
        </is>
      </c>
      <c r="AB2874" s="18" t="inlineStr"/>
      <c r="AC2874" s="18" t="inlineStr"/>
      <c r="AD2874" s="18" t="inlineStr">
        <is>
          <t>minY=-60, maxY=13</t>
        </is>
      </c>
      <c r="AE2874" s="18" t="inlineStr"/>
      <c r="AF2874" s="18" t="inlineStr">
        <is>
          <t>False</t>
        </is>
      </c>
      <c r="AG2874" s="18" t="inlineStr">
        <is>
          <t>cobblemon:shipwreck_coves/submerged_shipwreck_cove</t>
        </is>
      </c>
      <c r="AH2874" s="18" t="inlineStr"/>
      <c r="AI2874" s="18" t="inlineStr">
        <is>
          <t>{"fishing":{"minLureLevel":1}}</t>
        </is>
      </c>
      <c r="AJ2874" s="18" t="inlineStr">
        <is>
          <t>COBBLEVERSE 수정</t>
        </is>
      </c>
      <c r="AK2874" s="18" t="inlineStr">
        <is>
          <t>사용</t>
        </is>
      </c>
      <c r="AL2874" s="18" t="inlineStr">
        <is>
          <t>COBBLEVERSE 1.7.42 / DP v31</t>
        </is>
      </c>
      <c r="AM2874" s="18" t="inlineStr">
        <is>
          <t>data/cobblemon/spawn_pool_world/0904_overqwil.json</t>
        </is>
      </c>
      <c r="AN2874" s="18" t="inlineStr">
        <is>
          <t>overqwil-13</t>
        </is>
      </c>
      <c r="AO2874" s="18" t="inlineStr">
        <is>
          <t>pokemon</t>
        </is>
      </c>
      <c r="AP2874" s="18" t="inlineStr"/>
      <c r="AQ2874" s="18" t="inlineStr">
        <is>
          <t>{"biomes":["#cobblemon:is_cold"],"canSeeSky":false,"maxY":13,"minLureLevel":1,"minY":-60,"structures":["cobblemon:shipwreck_coves/submerged_shipwreck_cove"]}</t>
        </is>
      </c>
      <c r="AR2874" s="18" t="inlineStr"/>
      <c r="AS2874" s="18" t="inlineStr">
        <is>
          <t>{"weightMultiplier":{"condition":{"maxLureLevel":2,"minLureLevel":1},"multiplier":0.6}}</t>
        </is>
      </c>
      <c r="AT2874" s="19" t="inlineStr"/>
    </row>
    <row r="2875" ht="32" customHeight="1">
      <c r="A2875" s="18" t="inlineStr">
        <is>
          <t>0905_enamorus.json::enamorus-1::001</t>
        </is>
      </c>
      <c r="B2875" s="19" t="inlineStr">
        <is>
          <t>사용</t>
        </is>
      </c>
      <c r="C2875" s="18">
        <f>IF(OR(B2875&lt;&gt;AK2875,M2875&lt;&gt;L2875,O2875&lt;&gt;"",Q2875&lt;&gt;"",V2875&lt;&gt;1,Y2875&lt;&gt;"",AT2875&lt;&gt;""),"수정","원본")</f>
        <v/>
      </c>
      <c r="D2875" s="18" t="n">
        <v>905</v>
      </c>
      <c r="E2875" s="18" t="inlineStr">
        <is>
          <t>러브로스</t>
        </is>
      </c>
      <c r="F2875" s="18" t="inlineStr">
        <is>
          <t>enamorus</t>
        </is>
      </c>
      <c r="G2875" s="18" t="inlineStr">
        <is>
          <t>enamorus</t>
        </is>
      </c>
      <c r="H2875" s="18" t="inlineStr"/>
      <c r="I2875" s="18" t="n">
        <v>8</v>
      </c>
      <c r="J2875" s="18" t="n"/>
      <c r="K2875" s="18" t="n">
        <v>8</v>
      </c>
      <c r="L2875" s="18" t="inlineStr">
        <is>
          <t>cobbleventure:generation_8</t>
        </is>
      </c>
      <c r="M2875" s="19" t="inlineStr">
        <is>
          <t>cobbleventure:generation_8</t>
        </is>
      </c>
      <c r="N2875" s="18" t="inlineStr"/>
      <c r="O2875" s="19" t="inlineStr"/>
      <c r="P2875" s="18" t="inlineStr">
        <is>
          <t>#cobblemon:is_mountain</t>
        </is>
      </c>
      <c r="Q2875" s="19" t="inlineStr"/>
      <c r="R2875" s="18">
        <f>IF(Q2875="",P2875,Q2875)</f>
        <v/>
      </c>
      <c r="S2875" s="18" t="inlineStr"/>
      <c r="T2875" s="18" t="inlineStr">
        <is>
          <t>ultra-rare</t>
        </is>
      </c>
      <c r="U2875" s="20" t="n">
        <v>1.2</v>
      </c>
      <c r="V2875" s="21" t="n">
        <v>1</v>
      </c>
      <c r="W2875" s="20">
        <f>IF(OR(U2875="",V2875=""),U2875,U2875*V2875)</f>
        <v/>
      </c>
      <c r="X2875" s="18" t="inlineStr">
        <is>
          <t>50</t>
        </is>
      </c>
      <c r="Y2875" s="19" t="inlineStr"/>
      <c r="Z2875" s="18">
        <f>IF(Y2875="",X2875,Y2875)</f>
        <v/>
      </c>
      <c r="AA2875" s="18" t="inlineStr">
        <is>
          <t>grounded</t>
        </is>
      </c>
      <c r="AB2875" s="18" t="inlineStr"/>
      <c r="AC2875" s="18" t="inlineStr"/>
      <c r="AD2875" s="18" t="inlineStr"/>
      <c r="AE2875" s="18" t="inlineStr"/>
      <c r="AF2875" s="18" t="inlineStr"/>
      <c r="AG2875" s="18" t="inlineStr"/>
      <c r="AH2875" s="18" t="inlineStr"/>
      <c r="AI2875" s="18" t="inlineStr"/>
      <c r="AJ2875" s="18" t="inlineStr">
        <is>
          <t>COBBLEVERSE 추가</t>
        </is>
      </c>
      <c r="AK2875" s="18" t="inlineStr">
        <is>
          <t>사용</t>
        </is>
      </c>
      <c r="AL2875" s="18" t="inlineStr">
        <is>
          <t>COBBLEVERSE 1.7.42 / DP v31</t>
        </is>
      </c>
      <c r="AM2875" s="18" t="inlineStr">
        <is>
          <t>data/cobblemon/spawn_pool_world/0905_enamorus.json</t>
        </is>
      </c>
      <c r="AN2875" s="18" t="inlineStr">
        <is>
          <t>enamorus-1</t>
        </is>
      </c>
      <c r="AO2875" s="18" t="inlineStr">
        <is>
          <t>pokemon</t>
        </is>
      </c>
      <c r="AP2875" s="18" t="inlineStr">
        <is>
          <t>natural</t>
        </is>
      </c>
      <c r="AQ2875" s="18" t="inlineStr">
        <is>
          <t>{"biomes":["#cobblemon:is_mountain"]}</t>
        </is>
      </c>
      <c r="AR2875" s="18" t="inlineStr"/>
      <c r="AS2875" s="18" t="inlineStr">
        <is>
          <t>{"weightMultipliers":[{"condition":{"isThundering":true},"multiplier":4.0}]}</t>
        </is>
      </c>
      <c r="AT2875" s="19" t="inlineStr"/>
    </row>
    <row r="2876" ht="32" customHeight="1">
      <c r="A2876" s="18" t="inlineStr">
        <is>
          <t>0906_sprigatito.json::sprigatito-1::001</t>
        </is>
      </c>
      <c r="B2876" s="19" t="inlineStr">
        <is>
          <t>사용</t>
        </is>
      </c>
      <c r="C2876" s="18">
        <f>IF(OR(B2876&lt;&gt;AK2876,M2876&lt;&gt;L2876,O2876&lt;&gt;"",Q2876&lt;&gt;"",V2876&lt;&gt;1,Y2876&lt;&gt;"",AT2876&lt;&gt;""),"수정","원본")</f>
        <v/>
      </c>
      <c r="D2876" s="18" t="n">
        <v>906</v>
      </c>
      <c r="E2876" s="18" t="inlineStr">
        <is>
          <t>나오하</t>
        </is>
      </c>
      <c r="F2876" s="18" t="inlineStr">
        <is>
          <t>sprigatito</t>
        </is>
      </c>
      <c r="G2876" s="18" t="inlineStr">
        <is>
          <t>sprigatito</t>
        </is>
      </c>
      <c r="H2876" s="18" t="inlineStr"/>
      <c r="I2876" s="18" t="n">
        <v>9</v>
      </c>
      <c r="J2876" s="18" t="n"/>
      <c r="K2876" s="18" t="n">
        <v>9</v>
      </c>
      <c r="L2876" s="18" t="inlineStr">
        <is>
          <t>cobbleventure:generation_9</t>
        </is>
      </c>
      <c r="M2876" s="19" t="inlineStr">
        <is>
          <t>cobbleventure:generation_9</t>
        </is>
      </c>
      <c r="N2876" s="18" t="inlineStr"/>
      <c r="O2876" s="19" t="inlineStr"/>
      <c r="P2876" s="18" t="inlineStr">
        <is>
          <t>#cobblemon:is_floral; #cobblemon:is_magical</t>
        </is>
      </c>
      <c r="Q2876" s="19" t="inlineStr"/>
      <c r="R2876" s="18">
        <f>IF(Q2876="",P2876,Q2876)</f>
        <v/>
      </c>
      <c r="S2876" s="18" t="inlineStr"/>
      <c r="T2876" s="18" t="inlineStr">
        <is>
          <t>ultra-rare</t>
        </is>
      </c>
      <c r="U2876" s="20" t="n">
        <v>6</v>
      </c>
      <c r="V2876" s="21" t="n">
        <v>1</v>
      </c>
      <c r="W2876" s="20">
        <f>IF(OR(U2876="",V2876=""),U2876,U2876*V2876)</f>
        <v/>
      </c>
      <c r="X2876" s="18" t="inlineStr">
        <is>
          <t>5-31</t>
        </is>
      </c>
      <c r="Y2876" s="19" t="inlineStr"/>
      <c r="Z2876" s="18">
        <f>IF(Y2876="",X2876,Y2876)</f>
        <v/>
      </c>
      <c r="AA2876" s="18" t="inlineStr">
        <is>
          <t>grounded</t>
        </is>
      </c>
      <c r="AB2876" s="18" t="inlineStr"/>
      <c r="AC2876" s="18" t="inlineStr"/>
      <c r="AD2876" s="18" t="inlineStr"/>
      <c r="AE2876" s="18" t="inlineStr">
        <is>
          <t>sky 8-15</t>
        </is>
      </c>
      <c r="AF2876" s="18" t="inlineStr"/>
      <c r="AG2876" s="18" t="inlineStr"/>
      <c r="AH2876" s="18" t="inlineStr"/>
      <c r="AI2876" s="18" t="inlineStr"/>
      <c r="AJ2876" s="18" t="inlineStr">
        <is>
          <t>Cobblemon 동일</t>
        </is>
      </c>
      <c r="AK2876" s="18" t="inlineStr">
        <is>
          <t>사용</t>
        </is>
      </c>
      <c r="AL2876" s="18" t="inlineStr">
        <is>
          <t>COBBLEVERSE 1.7.42 / DP v31</t>
        </is>
      </c>
      <c r="AM2876" s="18" t="inlineStr">
        <is>
          <t>data/cobblemon/spawn_pool_world/0906_sprigatito.json</t>
        </is>
      </c>
      <c r="AN2876" s="18" t="inlineStr">
        <is>
          <t>sprigatito-1</t>
        </is>
      </c>
      <c r="AO2876" s="18" t="inlineStr">
        <is>
          <t>pokemon</t>
        </is>
      </c>
      <c r="AP2876" s="18" t="inlineStr">
        <is>
          <t>natural</t>
        </is>
      </c>
      <c r="AQ2876" s="18" t="inlineStr">
        <is>
          <t>{"biomes":["#cobblemon:is_floral","#cobblemon:is_magical"],"maxSkyLight":15,"minSkyLight":8}</t>
        </is>
      </c>
      <c r="AR2876" s="18" t="inlineStr"/>
      <c r="AS2876" s="18" t="inlineStr"/>
      <c r="AT2876" s="19" t="inlineStr"/>
    </row>
    <row r="2877" ht="32" customHeight="1">
      <c r="A2877" s="18" t="inlineStr">
        <is>
          <t>0907_floragato.json::floragato-1::001</t>
        </is>
      </c>
      <c r="B2877" s="19" t="inlineStr">
        <is>
          <t>사용</t>
        </is>
      </c>
      <c r="C2877" s="18">
        <f>IF(OR(B2877&lt;&gt;AK2877,M2877&lt;&gt;L2877,O2877&lt;&gt;"",Q2877&lt;&gt;"",V2877&lt;&gt;1,Y2877&lt;&gt;"",AT2877&lt;&gt;""),"수정","원본")</f>
        <v/>
      </c>
      <c r="D2877" s="18" t="n">
        <v>907</v>
      </c>
      <c r="E2877" s="18" t="inlineStr">
        <is>
          <t>나로테</t>
        </is>
      </c>
      <c r="F2877" s="18" t="inlineStr">
        <is>
          <t>floragato</t>
        </is>
      </c>
      <c r="G2877" s="18" t="inlineStr">
        <is>
          <t>floragato</t>
        </is>
      </c>
      <c r="H2877" s="18" t="inlineStr"/>
      <c r="I2877" s="18" t="n">
        <v>9</v>
      </c>
      <c r="J2877" s="18" t="n"/>
      <c r="K2877" s="18" t="n">
        <v>9</v>
      </c>
      <c r="L2877" s="18" t="inlineStr">
        <is>
          <t>cobbleventure:generation_9</t>
        </is>
      </c>
      <c r="M2877" s="19" t="inlineStr">
        <is>
          <t>cobbleventure:generation_9</t>
        </is>
      </c>
      <c r="N2877" s="18" t="inlineStr"/>
      <c r="O2877" s="19" t="inlineStr"/>
      <c r="P2877" s="18" t="inlineStr">
        <is>
          <t>#cobblemon:is_floral; #cobblemon:is_magical</t>
        </is>
      </c>
      <c r="Q2877" s="19" t="inlineStr"/>
      <c r="R2877" s="18">
        <f>IF(Q2877="",P2877,Q2877)</f>
        <v/>
      </c>
      <c r="S2877" s="18" t="inlineStr"/>
      <c r="T2877" s="18" t="inlineStr">
        <is>
          <t>ultra-rare</t>
        </is>
      </c>
      <c r="U2877" s="20" t="n">
        <v>3.6</v>
      </c>
      <c r="V2877" s="21" t="n">
        <v>1</v>
      </c>
      <c r="W2877" s="20">
        <f>IF(OR(U2877="",V2877=""),U2877,U2877*V2877)</f>
        <v/>
      </c>
      <c r="X2877" s="18" t="inlineStr">
        <is>
          <t>16-41</t>
        </is>
      </c>
      <c r="Y2877" s="19" t="inlineStr"/>
      <c r="Z2877" s="18">
        <f>IF(Y2877="",X2877,Y2877)</f>
        <v/>
      </c>
      <c r="AA2877" s="18" t="inlineStr">
        <is>
          <t>grounded</t>
        </is>
      </c>
      <c r="AB2877" s="18" t="inlineStr"/>
      <c r="AC2877" s="18" t="inlineStr"/>
      <c r="AD2877" s="18" t="inlineStr"/>
      <c r="AE2877" s="18" t="inlineStr">
        <is>
          <t>sky 8-15</t>
        </is>
      </c>
      <c r="AF2877" s="18" t="inlineStr"/>
      <c r="AG2877" s="18" t="inlineStr"/>
      <c r="AH2877" s="18" t="inlineStr"/>
      <c r="AI2877" s="18" t="inlineStr"/>
      <c r="AJ2877" s="18" t="inlineStr">
        <is>
          <t>Cobblemon 동일</t>
        </is>
      </c>
      <c r="AK2877" s="18" t="inlineStr">
        <is>
          <t>사용</t>
        </is>
      </c>
      <c r="AL2877" s="18" t="inlineStr">
        <is>
          <t>COBBLEVERSE 1.7.42 / DP v31</t>
        </is>
      </c>
      <c r="AM2877" s="18" t="inlineStr">
        <is>
          <t>data/cobblemon/spawn_pool_world/0907_floragato.json</t>
        </is>
      </c>
      <c r="AN2877" s="18" t="inlineStr">
        <is>
          <t>floragato-1</t>
        </is>
      </c>
      <c r="AO2877" s="18" t="inlineStr">
        <is>
          <t>pokemon</t>
        </is>
      </c>
      <c r="AP2877" s="18" t="inlineStr">
        <is>
          <t>natural</t>
        </is>
      </c>
      <c r="AQ2877" s="18" t="inlineStr">
        <is>
          <t>{"biomes":["#cobblemon:is_floral","#cobblemon:is_magical"],"maxSkyLight":15,"minSkyLight":8}</t>
        </is>
      </c>
      <c r="AR2877" s="18" t="inlineStr"/>
      <c r="AS2877" s="18" t="inlineStr"/>
      <c r="AT2877" s="19" t="inlineStr"/>
    </row>
    <row r="2878" ht="32" customHeight="1">
      <c r="A2878" s="18" t="inlineStr">
        <is>
          <t>0908_meowscarada.json::meowscarada-1::001</t>
        </is>
      </c>
      <c r="B2878" s="19" t="inlineStr">
        <is>
          <t>사용</t>
        </is>
      </c>
      <c r="C2878" s="18">
        <f>IF(OR(B2878&lt;&gt;AK2878,M2878&lt;&gt;L2878,O2878&lt;&gt;"",Q2878&lt;&gt;"",V2878&lt;&gt;1,Y2878&lt;&gt;"",AT2878&lt;&gt;""),"수정","원본")</f>
        <v/>
      </c>
      <c r="D2878" s="18" t="n">
        <v>908</v>
      </c>
      <c r="E2878" s="18" t="inlineStr">
        <is>
          <t>마스카나</t>
        </is>
      </c>
      <c r="F2878" s="18" t="inlineStr">
        <is>
          <t>meowscarada</t>
        </is>
      </c>
      <c r="G2878" s="18" t="inlineStr">
        <is>
          <t>meowscarada</t>
        </is>
      </c>
      <c r="H2878" s="18" t="inlineStr"/>
      <c r="I2878" s="18" t="n">
        <v>9</v>
      </c>
      <c r="J2878" s="18" t="n"/>
      <c r="K2878" s="18" t="n">
        <v>9</v>
      </c>
      <c r="L2878" s="18" t="inlineStr">
        <is>
          <t>cobbleventure:generation_9</t>
        </is>
      </c>
      <c r="M2878" s="19" t="inlineStr">
        <is>
          <t>cobbleventure:generation_9</t>
        </is>
      </c>
      <c r="N2878" s="18" t="inlineStr"/>
      <c r="O2878" s="19" t="inlineStr"/>
      <c r="P2878" s="18" t="inlineStr">
        <is>
          <t>#cobblemon:is_floral; #cobblemon:is_magical</t>
        </is>
      </c>
      <c r="Q2878" s="19" t="inlineStr"/>
      <c r="R2878" s="18">
        <f>IF(Q2878="",P2878,Q2878)</f>
        <v/>
      </c>
      <c r="S2878" s="18" t="inlineStr"/>
      <c r="T2878" s="18" t="inlineStr">
        <is>
          <t>ultra-rare</t>
        </is>
      </c>
      <c r="U2878" s="20" t="n">
        <v>0.4</v>
      </c>
      <c r="V2878" s="21" t="n">
        <v>1</v>
      </c>
      <c r="W2878" s="20">
        <f>IF(OR(U2878="",V2878=""),U2878,U2878*V2878)</f>
        <v/>
      </c>
      <c r="X2878" s="18" t="inlineStr">
        <is>
          <t>36-53</t>
        </is>
      </c>
      <c r="Y2878" s="19" t="inlineStr"/>
      <c r="Z2878" s="18">
        <f>IF(Y2878="",X2878,Y2878)</f>
        <v/>
      </c>
      <c r="AA2878" s="18" t="inlineStr">
        <is>
          <t>grounded</t>
        </is>
      </c>
      <c r="AB2878" s="18" t="inlineStr"/>
      <c r="AC2878" s="18" t="inlineStr"/>
      <c r="AD2878" s="18" t="inlineStr"/>
      <c r="AE2878" s="18" t="inlineStr">
        <is>
          <t>sky 8-15</t>
        </is>
      </c>
      <c r="AF2878" s="18" t="inlineStr"/>
      <c r="AG2878" s="18" t="inlineStr"/>
      <c r="AH2878" s="18" t="inlineStr"/>
      <c r="AI2878" s="18" t="inlineStr"/>
      <c r="AJ2878" s="18" t="inlineStr">
        <is>
          <t>Cobblemon 동일</t>
        </is>
      </c>
      <c r="AK2878" s="18" t="inlineStr">
        <is>
          <t>사용</t>
        </is>
      </c>
      <c r="AL2878" s="18" t="inlineStr">
        <is>
          <t>COBBLEVERSE 1.7.42 / DP v31</t>
        </is>
      </c>
      <c r="AM2878" s="18" t="inlineStr">
        <is>
          <t>data/cobblemon/spawn_pool_world/0908_meowscarada.json</t>
        </is>
      </c>
      <c r="AN2878" s="18" t="inlineStr">
        <is>
          <t>meowscarada-1</t>
        </is>
      </c>
      <c r="AO2878" s="18" t="inlineStr">
        <is>
          <t>pokemon</t>
        </is>
      </c>
      <c r="AP2878" s="18" t="inlineStr">
        <is>
          <t>natural</t>
        </is>
      </c>
      <c r="AQ2878" s="18" t="inlineStr">
        <is>
          <t>{"biomes":["#cobblemon:is_floral","#cobblemon:is_magical"],"maxSkyLight":15,"minSkyLight":8}</t>
        </is>
      </c>
      <c r="AR2878" s="18" t="inlineStr"/>
      <c r="AS2878" s="18" t="inlineStr"/>
      <c r="AT2878" s="19" t="inlineStr"/>
    </row>
    <row r="2879" ht="32" customHeight="1">
      <c r="A2879" s="18" t="inlineStr">
        <is>
          <t>0909_fuecoco.json::fuecoco-1::001</t>
        </is>
      </c>
      <c r="B2879" s="19" t="inlineStr">
        <is>
          <t>사용</t>
        </is>
      </c>
      <c r="C2879" s="18">
        <f>IF(OR(B2879&lt;&gt;AK2879,M2879&lt;&gt;L2879,O2879&lt;&gt;"",Q2879&lt;&gt;"",V2879&lt;&gt;1,Y2879&lt;&gt;"",AT2879&lt;&gt;""),"수정","원본")</f>
        <v/>
      </c>
      <c r="D2879" s="18" t="n">
        <v>909</v>
      </c>
      <c r="E2879" s="18" t="inlineStr">
        <is>
          <t>뜨아거</t>
        </is>
      </c>
      <c r="F2879" s="18" t="inlineStr">
        <is>
          <t>fuecoco</t>
        </is>
      </c>
      <c r="G2879" s="18" t="inlineStr">
        <is>
          <t>fuecoco</t>
        </is>
      </c>
      <c r="H2879" s="18" t="inlineStr"/>
      <c r="I2879" s="18" t="n">
        <v>9</v>
      </c>
      <c r="J2879" s="18" t="n"/>
      <c r="K2879" s="18" t="n">
        <v>9</v>
      </c>
      <c r="L2879" s="18" t="inlineStr">
        <is>
          <t>cobbleventure:generation_9</t>
        </is>
      </c>
      <c r="M2879" s="19" t="inlineStr">
        <is>
          <t>cobbleventure:generation_9</t>
        </is>
      </c>
      <c r="N2879" s="18" t="inlineStr"/>
      <c r="O2879" s="19" t="inlineStr"/>
      <c r="P2879" s="18" t="inlineStr">
        <is>
          <t>#cobblemon:is_badlands</t>
        </is>
      </c>
      <c r="Q2879" s="19" t="inlineStr"/>
      <c r="R2879" s="18">
        <f>IF(Q2879="",P2879,Q2879)</f>
        <v/>
      </c>
      <c r="S2879" s="18" t="inlineStr"/>
      <c r="T2879" s="18" t="inlineStr">
        <is>
          <t>ultra-rare</t>
        </is>
      </c>
      <c r="U2879" s="20" t="n">
        <v>6</v>
      </c>
      <c r="V2879" s="21" t="n">
        <v>1</v>
      </c>
      <c r="W2879" s="20">
        <f>IF(OR(U2879="",V2879=""),U2879,U2879*V2879)</f>
        <v/>
      </c>
      <c r="X2879" s="18" t="inlineStr">
        <is>
          <t>5-31</t>
        </is>
      </c>
      <c r="Y2879" s="19" t="inlineStr"/>
      <c r="Z2879" s="18">
        <f>IF(Y2879="",X2879,Y2879)</f>
        <v/>
      </c>
      <c r="AA2879" s="18" t="inlineStr">
        <is>
          <t>grounded</t>
        </is>
      </c>
      <c r="AB2879" s="18" t="inlineStr"/>
      <c r="AC2879" s="18" t="inlineStr"/>
      <c r="AD2879" s="18" t="inlineStr"/>
      <c r="AE2879" s="18" t="inlineStr">
        <is>
          <t>sky 8-15</t>
        </is>
      </c>
      <c r="AF2879" s="18" t="inlineStr"/>
      <c r="AG2879" s="18" t="inlineStr"/>
      <c r="AH2879" s="18" t="inlineStr"/>
      <c r="AI2879" s="18" t="inlineStr"/>
      <c r="AJ2879" s="18" t="inlineStr">
        <is>
          <t>Cobblemon 동일</t>
        </is>
      </c>
      <c r="AK2879" s="18" t="inlineStr">
        <is>
          <t>사용</t>
        </is>
      </c>
      <c r="AL2879" s="18" t="inlineStr">
        <is>
          <t>COBBLEVERSE 1.7.42 / DP v31</t>
        </is>
      </c>
      <c r="AM2879" s="18" t="inlineStr">
        <is>
          <t>data/cobblemon/spawn_pool_world/0909_fuecoco.json</t>
        </is>
      </c>
      <c r="AN2879" s="18" t="inlineStr">
        <is>
          <t>fuecoco-1</t>
        </is>
      </c>
      <c r="AO2879" s="18" t="inlineStr">
        <is>
          <t>pokemon</t>
        </is>
      </c>
      <c r="AP2879" s="18" t="inlineStr">
        <is>
          <t>natural</t>
        </is>
      </c>
      <c r="AQ2879" s="18" t="inlineStr">
        <is>
          <t>{"biomes":["#cobblemon:is_badlands"],"maxSkyLight":15,"minSkyLight":8}</t>
        </is>
      </c>
      <c r="AR2879" s="18" t="inlineStr"/>
      <c r="AS2879" s="18" t="inlineStr"/>
      <c r="AT2879" s="19" t="inlineStr"/>
    </row>
    <row r="2880" ht="32" customHeight="1">
      <c r="A2880" s="18" t="inlineStr">
        <is>
          <t>0909_fuecoco.json::fuecoco-2::002</t>
        </is>
      </c>
      <c r="B2880" s="19" t="inlineStr">
        <is>
          <t>사용</t>
        </is>
      </c>
      <c r="C2880" s="18">
        <f>IF(OR(B2880&lt;&gt;AK2880,M2880&lt;&gt;L2880,O2880&lt;&gt;"",Q2880&lt;&gt;"",V2880&lt;&gt;1,Y2880&lt;&gt;"",AT2880&lt;&gt;""),"수정","원본")</f>
        <v/>
      </c>
      <c r="D2880" s="18" t="n">
        <v>909</v>
      </c>
      <c r="E2880" s="18" t="inlineStr">
        <is>
          <t>뜨아거</t>
        </is>
      </c>
      <c r="F2880" s="18" t="inlineStr">
        <is>
          <t>fuecoco</t>
        </is>
      </c>
      <c r="G2880" s="18" t="inlineStr">
        <is>
          <t>fuecoco</t>
        </is>
      </c>
      <c r="H2880" s="18" t="inlineStr"/>
      <c r="I2880" s="18" t="n">
        <v>9</v>
      </c>
      <c r="J2880" s="18" t="n"/>
      <c r="K2880" s="18" t="n">
        <v>9</v>
      </c>
      <c r="L2880" s="18" t="inlineStr">
        <is>
          <t>cobbleventure:generation_9</t>
        </is>
      </c>
      <c r="M2880" s="19" t="inlineStr">
        <is>
          <t>cobbleventure:generation_9</t>
        </is>
      </c>
      <c r="N2880" s="18" t="inlineStr"/>
      <c r="O2880" s="19" t="inlineStr"/>
      <c r="P2880" s="18" t="inlineStr">
        <is>
          <t>#cobblemon:nether/is_wasteland</t>
        </is>
      </c>
      <c r="Q2880" s="19" t="inlineStr"/>
      <c r="R2880" s="18">
        <f>IF(Q2880="",P2880,Q2880)</f>
        <v/>
      </c>
      <c r="S2880" s="18" t="inlineStr"/>
      <c r="T2880" s="18" t="inlineStr">
        <is>
          <t>ultra-rare</t>
        </is>
      </c>
      <c r="U2880" s="20" t="n">
        <v>6</v>
      </c>
      <c r="V2880" s="21" t="n">
        <v>1</v>
      </c>
      <c r="W2880" s="20">
        <f>IF(OR(U2880="",V2880=""),U2880,U2880*V2880)</f>
        <v/>
      </c>
      <c r="X2880" s="18" t="inlineStr">
        <is>
          <t>5-31</t>
        </is>
      </c>
      <c r="Y2880" s="19" t="inlineStr"/>
      <c r="Z2880" s="18">
        <f>IF(Y2880="",X2880,Y2880)</f>
        <v/>
      </c>
      <c r="AA2880" s="18" t="inlineStr">
        <is>
          <t>grounded</t>
        </is>
      </c>
      <c r="AB2880" s="18" t="inlineStr"/>
      <c r="AC2880" s="18" t="inlineStr"/>
      <c r="AD2880" s="18" t="inlineStr"/>
      <c r="AE2880" s="18" t="inlineStr"/>
      <c r="AF2880" s="18" t="inlineStr"/>
      <c r="AG2880" s="18" t="inlineStr"/>
      <c r="AH2880" s="18" t="inlineStr"/>
      <c r="AI2880" s="18" t="inlineStr"/>
      <c r="AJ2880" s="18" t="inlineStr">
        <is>
          <t>Cobblemon 동일</t>
        </is>
      </c>
      <c r="AK2880" s="18" t="inlineStr">
        <is>
          <t>사용</t>
        </is>
      </c>
      <c r="AL2880" s="18" t="inlineStr">
        <is>
          <t>COBBLEVERSE 1.7.42 / DP v31</t>
        </is>
      </c>
      <c r="AM2880" s="18" t="inlineStr">
        <is>
          <t>data/cobblemon/spawn_pool_world/0909_fuecoco.json</t>
        </is>
      </c>
      <c r="AN2880" s="18" t="inlineStr">
        <is>
          <t>fuecoco-2</t>
        </is>
      </c>
      <c r="AO2880" s="18" t="inlineStr">
        <is>
          <t>pokemon</t>
        </is>
      </c>
      <c r="AP2880" s="18" t="inlineStr">
        <is>
          <t>natural</t>
        </is>
      </c>
      <c r="AQ2880" s="18" t="inlineStr">
        <is>
          <t>{"biomes":["#cobblemon:nether/is_wasteland"]}</t>
        </is>
      </c>
      <c r="AR2880" s="18" t="inlineStr"/>
      <c r="AS2880" s="18" t="inlineStr"/>
      <c r="AT2880" s="19" t="inlineStr"/>
    </row>
    <row r="2881" ht="32" customHeight="1">
      <c r="A2881" s="18" t="inlineStr">
        <is>
          <t>0910_crocalor.json::crocalor-1::001</t>
        </is>
      </c>
      <c r="B2881" s="19" t="inlineStr">
        <is>
          <t>사용</t>
        </is>
      </c>
      <c r="C2881" s="18">
        <f>IF(OR(B2881&lt;&gt;AK2881,M2881&lt;&gt;L2881,O2881&lt;&gt;"",Q2881&lt;&gt;"",V2881&lt;&gt;1,Y2881&lt;&gt;"",AT2881&lt;&gt;""),"수정","원본")</f>
        <v/>
      </c>
      <c r="D2881" s="18" t="n">
        <v>910</v>
      </c>
      <c r="E2881" s="18" t="inlineStr">
        <is>
          <t>악뜨거</t>
        </is>
      </c>
      <c r="F2881" s="18" t="inlineStr">
        <is>
          <t>crocalor</t>
        </is>
      </c>
      <c r="G2881" s="18" t="inlineStr">
        <is>
          <t>crocalor</t>
        </is>
      </c>
      <c r="H2881" s="18" t="inlineStr"/>
      <c r="I2881" s="18" t="n">
        <v>9</v>
      </c>
      <c r="J2881" s="18" t="n"/>
      <c r="K2881" s="18" t="n">
        <v>9</v>
      </c>
      <c r="L2881" s="18" t="inlineStr">
        <is>
          <t>cobbleventure:generation_9</t>
        </is>
      </c>
      <c r="M2881" s="19" t="inlineStr">
        <is>
          <t>cobbleventure:generation_9</t>
        </is>
      </c>
      <c r="N2881" s="18" t="inlineStr"/>
      <c r="O2881" s="19" t="inlineStr"/>
      <c r="P2881" s="18" t="inlineStr">
        <is>
          <t>#cobblemon:is_badlands</t>
        </is>
      </c>
      <c r="Q2881" s="19" t="inlineStr"/>
      <c r="R2881" s="18">
        <f>IF(Q2881="",P2881,Q2881)</f>
        <v/>
      </c>
      <c r="S2881" s="18" t="inlineStr"/>
      <c r="T2881" s="18" t="inlineStr">
        <is>
          <t>ultra-rare</t>
        </is>
      </c>
      <c r="U2881" s="20" t="n">
        <v>3.6</v>
      </c>
      <c r="V2881" s="21" t="n">
        <v>1</v>
      </c>
      <c r="W2881" s="20">
        <f>IF(OR(U2881="",V2881=""),U2881,U2881*V2881)</f>
        <v/>
      </c>
      <c r="X2881" s="18" t="inlineStr">
        <is>
          <t>16-41</t>
        </is>
      </c>
      <c r="Y2881" s="19" t="inlineStr"/>
      <c r="Z2881" s="18">
        <f>IF(Y2881="",X2881,Y2881)</f>
        <v/>
      </c>
      <c r="AA2881" s="18" t="inlineStr">
        <is>
          <t>grounded</t>
        </is>
      </c>
      <c r="AB2881" s="18" t="inlineStr"/>
      <c r="AC2881" s="18" t="inlineStr"/>
      <c r="AD2881" s="18" t="inlineStr"/>
      <c r="AE2881" s="18" t="inlineStr">
        <is>
          <t>sky 8-15</t>
        </is>
      </c>
      <c r="AF2881" s="18" t="inlineStr"/>
      <c r="AG2881" s="18" t="inlineStr"/>
      <c r="AH2881" s="18" t="inlineStr"/>
      <c r="AI2881" s="18" t="inlineStr"/>
      <c r="AJ2881" s="18" t="inlineStr">
        <is>
          <t>Cobblemon 동일</t>
        </is>
      </c>
      <c r="AK2881" s="18" t="inlineStr">
        <is>
          <t>사용</t>
        </is>
      </c>
      <c r="AL2881" s="18" t="inlineStr">
        <is>
          <t>COBBLEVERSE 1.7.42 / DP v31</t>
        </is>
      </c>
      <c r="AM2881" s="18" t="inlineStr">
        <is>
          <t>data/cobblemon/spawn_pool_world/0910_crocalor.json</t>
        </is>
      </c>
      <c r="AN2881" s="18" t="inlineStr">
        <is>
          <t>crocalor-1</t>
        </is>
      </c>
      <c r="AO2881" s="18" t="inlineStr">
        <is>
          <t>pokemon</t>
        </is>
      </c>
      <c r="AP2881" s="18" t="inlineStr">
        <is>
          <t>natural</t>
        </is>
      </c>
      <c r="AQ2881" s="18" t="inlineStr">
        <is>
          <t>{"biomes":["#cobblemon:is_badlands"],"maxSkyLight":15,"minSkyLight":8}</t>
        </is>
      </c>
      <c r="AR2881" s="18" t="inlineStr"/>
      <c r="AS2881" s="18" t="inlineStr"/>
      <c r="AT2881" s="19" t="inlineStr"/>
    </row>
    <row r="2882" ht="32" customHeight="1">
      <c r="A2882" s="18" t="inlineStr">
        <is>
          <t>0910_crocalor.json::crocalor-2::002</t>
        </is>
      </c>
      <c r="B2882" s="19" t="inlineStr">
        <is>
          <t>사용</t>
        </is>
      </c>
      <c r="C2882" s="18">
        <f>IF(OR(B2882&lt;&gt;AK2882,M2882&lt;&gt;L2882,O2882&lt;&gt;"",Q2882&lt;&gt;"",V2882&lt;&gt;1,Y2882&lt;&gt;"",AT2882&lt;&gt;""),"수정","원본")</f>
        <v/>
      </c>
      <c r="D2882" s="18" t="n">
        <v>910</v>
      </c>
      <c r="E2882" s="18" t="inlineStr">
        <is>
          <t>악뜨거</t>
        </is>
      </c>
      <c r="F2882" s="18" t="inlineStr">
        <is>
          <t>crocalor</t>
        </is>
      </c>
      <c r="G2882" s="18" t="inlineStr">
        <is>
          <t>crocalor</t>
        </is>
      </c>
      <c r="H2882" s="18" t="inlineStr"/>
      <c r="I2882" s="18" t="n">
        <v>9</v>
      </c>
      <c r="J2882" s="18" t="n"/>
      <c r="K2882" s="18" t="n">
        <v>9</v>
      </c>
      <c r="L2882" s="18" t="inlineStr">
        <is>
          <t>cobbleventure:generation_9</t>
        </is>
      </c>
      <c r="M2882" s="19" t="inlineStr">
        <is>
          <t>cobbleventure:generation_9</t>
        </is>
      </c>
      <c r="N2882" s="18" t="inlineStr"/>
      <c r="O2882" s="19" t="inlineStr"/>
      <c r="P2882" s="18" t="inlineStr">
        <is>
          <t>#cobblemon:nether/is_wasteland</t>
        </is>
      </c>
      <c r="Q2882" s="19" t="inlineStr"/>
      <c r="R2882" s="18">
        <f>IF(Q2882="",P2882,Q2882)</f>
        <v/>
      </c>
      <c r="S2882" s="18" t="inlineStr"/>
      <c r="T2882" s="18" t="inlineStr">
        <is>
          <t>ultra-rare</t>
        </is>
      </c>
      <c r="U2882" s="20" t="n">
        <v>3.6</v>
      </c>
      <c r="V2882" s="21" t="n">
        <v>1</v>
      </c>
      <c r="W2882" s="20">
        <f>IF(OR(U2882="",V2882=""),U2882,U2882*V2882)</f>
        <v/>
      </c>
      <c r="X2882" s="18" t="inlineStr">
        <is>
          <t>16-41</t>
        </is>
      </c>
      <c r="Y2882" s="19" t="inlineStr"/>
      <c r="Z2882" s="18">
        <f>IF(Y2882="",X2882,Y2882)</f>
        <v/>
      </c>
      <c r="AA2882" s="18" t="inlineStr">
        <is>
          <t>grounded</t>
        </is>
      </c>
      <c r="AB2882" s="18" t="inlineStr"/>
      <c r="AC2882" s="18" t="inlineStr"/>
      <c r="AD2882" s="18" t="inlineStr"/>
      <c r="AE2882" s="18" t="inlineStr"/>
      <c r="AF2882" s="18" t="inlineStr"/>
      <c r="AG2882" s="18" t="inlineStr"/>
      <c r="AH2882" s="18" t="inlineStr"/>
      <c r="AI2882" s="18" t="inlineStr"/>
      <c r="AJ2882" s="18" t="inlineStr">
        <is>
          <t>Cobblemon 동일</t>
        </is>
      </c>
      <c r="AK2882" s="18" t="inlineStr">
        <is>
          <t>사용</t>
        </is>
      </c>
      <c r="AL2882" s="18" t="inlineStr">
        <is>
          <t>COBBLEVERSE 1.7.42 / DP v31</t>
        </is>
      </c>
      <c r="AM2882" s="18" t="inlineStr">
        <is>
          <t>data/cobblemon/spawn_pool_world/0910_crocalor.json</t>
        </is>
      </c>
      <c r="AN2882" s="18" t="inlineStr">
        <is>
          <t>crocalor-2</t>
        </is>
      </c>
      <c r="AO2882" s="18" t="inlineStr">
        <is>
          <t>pokemon</t>
        </is>
      </c>
      <c r="AP2882" s="18" t="inlineStr">
        <is>
          <t>natural</t>
        </is>
      </c>
      <c r="AQ2882" s="18" t="inlineStr">
        <is>
          <t>{"biomes":["#cobblemon:nether/is_wasteland"]}</t>
        </is>
      </c>
      <c r="AR2882" s="18" t="inlineStr"/>
      <c r="AS2882" s="18" t="inlineStr"/>
      <c r="AT2882" s="19" t="inlineStr"/>
    </row>
    <row r="2883" ht="32" customHeight="1">
      <c r="A2883" s="18" t="inlineStr">
        <is>
          <t>0911_skeledirge.json::skeledirge-1::001</t>
        </is>
      </c>
      <c r="B2883" s="19" t="inlineStr">
        <is>
          <t>사용</t>
        </is>
      </c>
      <c r="C2883" s="18">
        <f>IF(OR(B2883&lt;&gt;AK2883,M2883&lt;&gt;L2883,O2883&lt;&gt;"",Q2883&lt;&gt;"",V2883&lt;&gt;1,Y2883&lt;&gt;"",AT2883&lt;&gt;""),"수정","원본")</f>
        <v/>
      </c>
      <c r="D2883" s="18" t="n">
        <v>911</v>
      </c>
      <c r="E2883" s="18" t="inlineStr">
        <is>
          <t>라우드본</t>
        </is>
      </c>
      <c r="F2883" s="18" t="inlineStr">
        <is>
          <t>skeledirge</t>
        </is>
      </c>
      <c r="G2883" s="18" t="inlineStr">
        <is>
          <t>skeledirge</t>
        </is>
      </c>
      <c r="H2883" s="18" t="inlineStr"/>
      <c r="I2883" s="18" t="n">
        <v>9</v>
      </c>
      <c r="J2883" s="18" t="n"/>
      <c r="K2883" s="18" t="n">
        <v>9</v>
      </c>
      <c r="L2883" s="18" t="inlineStr">
        <is>
          <t>cobbleventure:generation_9</t>
        </is>
      </c>
      <c r="M2883" s="19" t="inlineStr">
        <is>
          <t>cobbleventure:generation_9</t>
        </is>
      </c>
      <c r="N2883" s="18" t="inlineStr"/>
      <c r="O2883" s="19" t="inlineStr"/>
      <c r="P2883" s="18" t="inlineStr">
        <is>
          <t>#cobblemon:is_badlands</t>
        </is>
      </c>
      <c r="Q2883" s="19" t="inlineStr"/>
      <c r="R2883" s="18">
        <f>IF(Q2883="",P2883,Q2883)</f>
        <v/>
      </c>
      <c r="S2883" s="18" t="inlineStr"/>
      <c r="T2883" s="18" t="inlineStr">
        <is>
          <t>ultra-rare</t>
        </is>
      </c>
      <c r="U2883" s="20" t="n">
        <v>0.4</v>
      </c>
      <c r="V2883" s="21" t="n">
        <v>1</v>
      </c>
      <c r="W2883" s="20">
        <f>IF(OR(U2883="",V2883=""),U2883,U2883*V2883)</f>
        <v/>
      </c>
      <c r="X2883" s="18" t="inlineStr">
        <is>
          <t>36-53</t>
        </is>
      </c>
      <c r="Y2883" s="19" t="inlineStr"/>
      <c r="Z2883" s="18">
        <f>IF(Y2883="",X2883,Y2883)</f>
        <v/>
      </c>
      <c r="AA2883" s="18" t="inlineStr">
        <is>
          <t>grounded</t>
        </is>
      </c>
      <c r="AB2883" s="18" t="inlineStr"/>
      <c r="AC2883" s="18" t="inlineStr"/>
      <c r="AD2883" s="18" t="inlineStr"/>
      <c r="AE2883" s="18" t="inlineStr">
        <is>
          <t>sky 8-15</t>
        </is>
      </c>
      <c r="AF2883" s="18" t="inlineStr"/>
      <c r="AG2883" s="18" t="inlineStr"/>
      <c r="AH2883" s="18" t="inlineStr"/>
      <c r="AI2883" s="18" t="inlineStr"/>
      <c r="AJ2883" s="18" t="inlineStr">
        <is>
          <t>Cobblemon 동일</t>
        </is>
      </c>
      <c r="AK2883" s="18" t="inlineStr">
        <is>
          <t>사용</t>
        </is>
      </c>
      <c r="AL2883" s="18" t="inlineStr">
        <is>
          <t>COBBLEVERSE 1.7.42 / DP v31</t>
        </is>
      </c>
      <c r="AM2883" s="18" t="inlineStr">
        <is>
          <t>data/cobblemon/spawn_pool_world/0911_skeledirge.json</t>
        </is>
      </c>
      <c r="AN2883" s="18" t="inlineStr">
        <is>
          <t>skeledirge-1</t>
        </is>
      </c>
      <c r="AO2883" s="18" t="inlineStr">
        <is>
          <t>pokemon</t>
        </is>
      </c>
      <c r="AP2883" s="18" t="inlineStr">
        <is>
          <t>natural</t>
        </is>
      </c>
      <c r="AQ2883" s="18" t="inlineStr">
        <is>
          <t>{"biomes":["#cobblemon:is_badlands"],"maxSkyLight":15,"minSkyLight":8}</t>
        </is>
      </c>
      <c r="AR2883" s="18" t="inlineStr"/>
      <c r="AS2883" s="18" t="inlineStr"/>
      <c r="AT2883" s="19" t="inlineStr"/>
    </row>
    <row r="2884" ht="32" customHeight="1">
      <c r="A2884" s="18" t="inlineStr">
        <is>
          <t>0911_skeledirge.json::skeledirge-2::002</t>
        </is>
      </c>
      <c r="B2884" s="19" t="inlineStr">
        <is>
          <t>사용</t>
        </is>
      </c>
      <c r="C2884" s="18">
        <f>IF(OR(B2884&lt;&gt;AK2884,M2884&lt;&gt;L2884,O2884&lt;&gt;"",Q2884&lt;&gt;"",V2884&lt;&gt;1,Y2884&lt;&gt;"",AT2884&lt;&gt;""),"수정","원본")</f>
        <v/>
      </c>
      <c r="D2884" s="18" t="n">
        <v>911</v>
      </c>
      <c r="E2884" s="18" t="inlineStr">
        <is>
          <t>라우드본</t>
        </is>
      </c>
      <c r="F2884" s="18" t="inlineStr">
        <is>
          <t>skeledirge</t>
        </is>
      </c>
      <c r="G2884" s="18" t="inlineStr">
        <is>
          <t>skeledirge</t>
        </is>
      </c>
      <c r="H2884" s="18" t="inlineStr"/>
      <c r="I2884" s="18" t="n">
        <v>9</v>
      </c>
      <c r="J2884" s="18" t="n"/>
      <c r="K2884" s="18" t="n">
        <v>9</v>
      </c>
      <c r="L2884" s="18" t="inlineStr">
        <is>
          <t>cobbleventure:generation_9</t>
        </is>
      </c>
      <c r="M2884" s="19" t="inlineStr">
        <is>
          <t>cobbleventure:generation_9</t>
        </is>
      </c>
      <c r="N2884" s="18" t="inlineStr"/>
      <c r="O2884" s="19" t="inlineStr"/>
      <c r="P2884" s="18" t="inlineStr">
        <is>
          <t>#cobblemon:nether/is_wasteland</t>
        </is>
      </c>
      <c r="Q2884" s="19" t="inlineStr"/>
      <c r="R2884" s="18">
        <f>IF(Q2884="",P2884,Q2884)</f>
        <v/>
      </c>
      <c r="S2884" s="18" t="inlineStr"/>
      <c r="T2884" s="18" t="inlineStr">
        <is>
          <t>ultra-rare</t>
        </is>
      </c>
      <c r="U2884" s="20" t="n">
        <v>0.4</v>
      </c>
      <c r="V2884" s="21" t="n">
        <v>1</v>
      </c>
      <c r="W2884" s="20">
        <f>IF(OR(U2884="",V2884=""),U2884,U2884*V2884)</f>
        <v/>
      </c>
      <c r="X2884" s="18" t="inlineStr">
        <is>
          <t>36-53</t>
        </is>
      </c>
      <c r="Y2884" s="19" t="inlineStr"/>
      <c r="Z2884" s="18">
        <f>IF(Y2884="",X2884,Y2884)</f>
        <v/>
      </c>
      <c r="AA2884" s="18" t="inlineStr">
        <is>
          <t>grounded</t>
        </is>
      </c>
      <c r="AB2884" s="18" t="inlineStr"/>
      <c r="AC2884" s="18" t="inlineStr"/>
      <c r="AD2884" s="18" t="inlineStr"/>
      <c r="AE2884" s="18" t="inlineStr"/>
      <c r="AF2884" s="18" t="inlineStr"/>
      <c r="AG2884" s="18" t="inlineStr"/>
      <c r="AH2884" s="18" t="inlineStr"/>
      <c r="AI2884" s="18" t="inlineStr"/>
      <c r="AJ2884" s="18" t="inlineStr">
        <is>
          <t>Cobblemon 동일</t>
        </is>
      </c>
      <c r="AK2884" s="18" t="inlineStr">
        <is>
          <t>사용</t>
        </is>
      </c>
      <c r="AL2884" s="18" t="inlineStr">
        <is>
          <t>COBBLEVERSE 1.7.42 / DP v31</t>
        </is>
      </c>
      <c r="AM2884" s="18" t="inlineStr">
        <is>
          <t>data/cobblemon/spawn_pool_world/0911_skeledirge.json</t>
        </is>
      </c>
      <c r="AN2884" s="18" t="inlineStr">
        <is>
          <t>skeledirge-2</t>
        </is>
      </c>
      <c r="AO2884" s="18" t="inlineStr">
        <is>
          <t>pokemon</t>
        </is>
      </c>
      <c r="AP2884" s="18" t="inlineStr">
        <is>
          <t>natural</t>
        </is>
      </c>
      <c r="AQ2884" s="18" t="inlineStr">
        <is>
          <t>{"biomes":["#cobblemon:nether/is_wasteland"]}</t>
        </is>
      </c>
      <c r="AR2884" s="18" t="inlineStr"/>
      <c r="AS2884" s="18" t="inlineStr"/>
      <c r="AT2884" s="19" t="inlineStr"/>
    </row>
    <row r="2885" ht="32" customHeight="1">
      <c r="A2885" s="18" t="inlineStr">
        <is>
          <t>0912_quaxly.json::quaxly-1::001</t>
        </is>
      </c>
      <c r="B2885" s="19" t="inlineStr">
        <is>
          <t>사용</t>
        </is>
      </c>
      <c r="C2885" s="18">
        <f>IF(OR(B2885&lt;&gt;AK2885,M2885&lt;&gt;L2885,O2885&lt;&gt;"",Q2885&lt;&gt;"",V2885&lt;&gt;1,Y2885&lt;&gt;"",AT2885&lt;&gt;""),"수정","원본")</f>
        <v/>
      </c>
      <c r="D2885" s="18" t="n">
        <v>912</v>
      </c>
      <c r="E2885" s="18" t="inlineStr">
        <is>
          <t>꾸왁스</t>
        </is>
      </c>
      <c r="F2885" s="18" t="inlineStr">
        <is>
          <t>quaxly</t>
        </is>
      </c>
      <c r="G2885" s="18" t="inlineStr">
        <is>
          <t>quaxly</t>
        </is>
      </c>
      <c r="H2885" s="18" t="inlineStr"/>
      <c r="I2885" s="18" t="n">
        <v>9</v>
      </c>
      <c r="J2885" s="18" t="n"/>
      <c r="K2885" s="18" t="n">
        <v>9</v>
      </c>
      <c r="L2885" s="18" t="inlineStr">
        <is>
          <t>cobbleventure:generation_9</t>
        </is>
      </c>
      <c r="M2885" s="19" t="inlineStr">
        <is>
          <t>cobbleventure:generation_9</t>
        </is>
      </c>
      <c r="N2885" s="18" t="inlineStr">
        <is>
          <t>region_01</t>
        </is>
      </c>
      <c r="O2885" s="19" t="inlineStr"/>
      <c r="P2885" s="18" t="inlineStr">
        <is>
          <t>#cobblemon:is_forest; #cobblemon:is_grassland; #cobblemon:is_river</t>
        </is>
      </c>
      <c r="Q2885" s="19" t="inlineStr"/>
      <c r="R2885" s="18">
        <f>IF(Q2885="",P2885,Q2885)</f>
        <v/>
      </c>
      <c r="S2885" s="18" t="inlineStr">
        <is>
          <t>#cobblemon:is_freezing</t>
        </is>
      </c>
      <c r="T2885" s="18" t="inlineStr">
        <is>
          <t>ultra-rare</t>
        </is>
      </c>
      <c r="U2885" s="20" t="n">
        <v>6</v>
      </c>
      <c r="V2885" s="21" t="n">
        <v>1</v>
      </c>
      <c r="W2885" s="20">
        <f>IF(OR(U2885="",V2885=""),U2885,U2885*V2885)</f>
        <v/>
      </c>
      <c r="X2885" s="18" t="inlineStr">
        <is>
          <t>5-31</t>
        </is>
      </c>
      <c r="Y2885" s="19" t="inlineStr"/>
      <c r="Z2885" s="18">
        <f>IF(Y2885="",X2885,Y2885)</f>
        <v/>
      </c>
      <c r="AA2885" s="18" t="inlineStr">
        <is>
          <t>grounded</t>
        </is>
      </c>
      <c r="AB2885" s="18" t="inlineStr"/>
      <c r="AC2885" s="18" t="inlineStr"/>
      <c r="AD2885" s="18" t="inlineStr"/>
      <c r="AE2885" s="18" t="inlineStr">
        <is>
          <t>sky 8-15</t>
        </is>
      </c>
      <c r="AF2885" s="18" t="inlineStr"/>
      <c r="AG2885" s="18" t="inlineStr"/>
      <c r="AH2885" s="18" t="inlineStr">
        <is>
          <t>주변=minecraft:water</t>
        </is>
      </c>
      <c r="AI2885" s="18" t="inlineStr"/>
      <c r="AJ2885" s="18" t="inlineStr">
        <is>
          <t>Cobblemon 동일</t>
        </is>
      </c>
      <c r="AK2885" s="18" t="inlineStr">
        <is>
          <t>사용</t>
        </is>
      </c>
      <c r="AL2885" s="18" t="inlineStr">
        <is>
          <t>COBBLEVERSE 1.7.42 / DP v31</t>
        </is>
      </c>
      <c r="AM2885" s="18" t="inlineStr">
        <is>
          <t>data/cobblemon/spawn_pool_world/0912_quaxly.json</t>
        </is>
      </c>
      <c r="AN2885" s="18" t="inlineStr">
        <is>
          <t>quaxly-1</t>
        </is>
      </c>
      <c r="AO2885" s="18" t="inlineStr">
        <is>
          <t>pokemon</t>
        </is>
      </c>
      <c r="AP2885" s="18" t="inlineStr">
        <is>
          <t>natural</t>
        </is>
      </c>
      <c r="AQ2885" s="18" t="inlineStr">
        <is>
          <t>{"biomes":["#cobblemon:is_forest","#cobblemon:is_grassland","#cobblemon:is_river"],"maxSkyLight":15,"minSkyLight":8,"neededNearbyBlocks":["minecraft:water"]}</t>
        </is>
      </c>
      <c r="AR2885" s="18" t="inlineStr">
        <is>
          <t>{"biomes":["#cobblemon:is_freezing"]}</t>
        </is>
      </c>
      <c r="AS2885" s="18" t="inlineStr"/>
      <c r="AT2885" s="19" t="inlineStr"/>
    </row>
    <row r="2886" ht="32" customHeight="1">
      <c r="A2886" s="18" t="inlineStr">
        <is>
          <t>0912_quaxly.json::quaxly-2::002</t>
        </is>
      </c>
      <c r="B2886" s="19" t="inlineStr">
        <is>
          <t>사용</t>
        </is>
      </c>
      <c r="C2886" s="18">
        <f>IF(OR(B2886&lt;&gt;AK2886,M2886&lt;&gt;L2886,O2886&lt;&gt;"",Q2886&lt;&gt;"",V2886&lt;&gt;1,Y2886&lt;&gt;"",AT2886&lt;&gt;""),"수정","원본")</f>
        <v/>
      </c>
      <c r="D2886" s="18" t="n">
        <v>912</v>
      </c>
      <c r="E2886" s="18" t="inlineStr">
        <is>
          <t>꾸왁스</t>
        </is>
      </c>
      <c r="F2886" s="18" t="inlineStr">
        <is>
          <t>quaxly</t>
        </is>
      </c>
      <c r="G2886" s="18" t="inlineStr">
        <is>
          <t>quaxly</t>
        </is>
      </c>
      <c r="H2886" s="18" t="inlineStr"/>
      <c r="I2886" s="18" t="n">
        <v>9</v>
      </c>
      <c r="J2886" s="18" t="n"/>
      <c r="K2886" s="18" t="n">
        <v>9</v>
      </c>
      <c r="L2886" s="18" t="inlineStr">
        <is>
          <t>cobbleventure:generation_9</t>
        </is>
      </c>
      <c r="M2886" s="19" t="inlineStr">
        <is>
          <t>cobbleventure:generation_9</t>
        </is>
      </c>
      <c r="N2886" s="18" t="inlineStr">
        <is>
          <t>region_01</t>
        </is>
      </c>
      <c r="O2886" s="19" t="inlineStr"/>
      <c r="P2886" s="18" t="inlineStr">
        <is>
          <t>#cobblemon:is_forest; #cobblemon:is_grassland; #cobblemon:is_river</t>
        </is>
      </c>
      <c r="Q2886" s="19" t="inlineStr"/>
      <c r="R2886" s="18">
        <f>IF(Q2886="",P2886,Q2886)</f>
        <v/>
      </c>
      <c r="S2886" s="18" t="inlineStr">
        <is>
          <t>#cobblemon:is_freezing</t>
        </is>
      </c>
      <c r="T2886" s="18" t="inlineStr">
        <is>
          <t>ultra-rare</t>
        </is>
      </c>
      <c r="U2886" s="20" t="n">
        <v>6</v>
      </c>
      <c r="V2886" s="21" t="n">
        <v>1</v>
      </c>
      <c r="W2886" s="20">
        <f>IF(OR(U2886="",V2886=""),U2886,U2886*V2886)</f>
        <v/>
      </c>
      <c r="X2886" s="18" t="inlineStr">
        <is>
          <t>5-31</t>
        </is>
      </c>
      <c r="Y2886" s="19" t="inlineStr"/>
      <c r="Z2886" s="18">
        <f>IF(Y2886="",X2886,Y2886)</f>
        <v/>
      </c>
      <c r="AA2886" s="18" t="inlineStr">
        <is>
          <t>submerged</t>
        </is>
      </c>
      <c r="AB2886" s="18" t="inlineStr"/>
      <c r="AC2886" s="18" t="inlineStr"/>
      <c r="AD2886" s="18" t="inlineStr"/>
      <c r="AE2886" s="18" t="inlineStr">
        <is>
          <t>sky 8-15</t>
        </is>
      </c>
      <c r="AF2886" s="18" t="inlineStr"/>
      <c r="AG2886" s="18" t="inlineStr"/>
      <c r="AH2886" s="18" t="inlineStr"/>
      <c r="AI2886" s="18" t="inlineStr"/>
      <c r="AJ2886" s="18" t="inlineStr">
        <is>
          <t>Cobblemon 동일</t>
        </is>
      </c>
      <c r="AK2886" s="18" t="inlineStr">
        <is>
          <t>사용</t>
        </is>
      </c>
      <c r="AL2886" s="18" t="inlineStr">
        <is>
          <t>COBBLEVERSE 1.7.42 / DP v31</t>
        </is>
      </c>
      <c r="AM2886" s="18" t="inlineStr">
        <is>
          <t>data/cobblemon/spawn_pool_world/0912_quaxly.json</t>
        </is>
      </c>
      <c r="AN2886" s="18" t="inlineStr">
        <is>
          <t>quaxly-2</t>
        </is>
      </c>
      <c r="AO2886" s="18" t="inlineStr">
        <is>
          <t>pokemon</t>
        </is>
      </c>
      <c r="AP2886" s="18" t="inlineStr"/>
      <c r="AQ2886" s="18" t="inlineStr">
        <is>
          <t>{"biomes":["#cobblemon:is_forest","#cobblemon:is_grassland","#cobblemon:is_river"],"maxSkyLight":15,"minSkyLight":8}</t>
        </is>
      </c>
      <c r="AR2886" s="18" t="inlineStr">
        <is>
          <t>{"biomes":["#cobblemon:is_freezing"]}</t>
        </is>
      </c>
      <c r="AS2886" s="18" t="inlineStr"/>
      <c r="AT2886" s="19" t="inlineStr"/>
    </row>
    <row r="2887" ht="32" customHeight="1">
      <c r="A2887" s="18" t="inlineStr">
        <is>
          <t>0912_quaxly.json::quaxly-3::003</t>
        </is>
      </c>
      <c r="B2887" s="19" t="inlineStr">
        <is>
          <t>사용</t>
        </is>
      </c>
      <c r="C2887" s="18">
        <f>IF(OR(B2887&lt;&gt;AK2887,M2887&lt;&gt;L2887,O2887&lt;&gt;"",Q2887&lt;&gt;"",V2887&lt;&gt;1,Y2887&lt;&gt;"",AT2887&lt;&gt;""),"수정","원본")</f>
        <v/>
      </c>
      <c r="D2887" s="18" t="n">
        <v>912</v>
      </c>
      <c r="E2887" s="18" t="inlineStr">
        <is>
          <t>꾸왁스</t>
        </is>
      </c>
      <c r="F2887" s="18" t="inlineStr">
        <is>
          <t>quaxly</t>
        </is>
      </c>
      <c r="G2887" s="18" t="inlineStr">
        <is>
          <t>quaxly</t>
        </is>
      </c>
      <c r="H2887" s="18" t="inlineStr"/>
      <c r="I2887" s="18" t="n">
        <v>9</v>
      </c>
      <c r="J2887" s="18" t="n"/>
      <c r="K2887" s="18" t="n">
        <v>9</v>
      </c>
      <c r="L2887" s="18" t="inlineStr">
        <is>
          <t>cobbleventure:generation_9</t>
        </is>
      </c>
      <c r="M2887" s="19" t="inlineStr">
        <is>
          <t>cobbleventure:generation_9</t>
        </is>
      </c>
      <c r="N2887" s="18" t="inlineStr">
        <is>
          <t>region_01; region_02</t>
        </is>
      </c>
      <c r="O2887" s="19" t="inlineStr"/>
      <c r="P2887" s="18" t="inlineStr">
        <is>
          <t>#cobblemon:is_forest; #cobblemon:is_freshwater; #cobblemon:is_grassland; #cobblemon:is_jungle</t>
        </is>
      </c>
      <c r="Q2887" s="19" t="inlineStr"/>
      <c r="R2887" s="18">
        <f>IF(Q2887="",P2887,Q2887)</f>
        <v/>
      </c>
      <c r="S2887" s="18" t="inlineStr">
        <is>
          <t>#cobblemon:is_freezing</t>
        </is>
      </c>
      <c r="T2887" s="18" t="inlineStr">
        <is>
          <t>ultra-rare</t>
        </is>
      </c>
      <c r="U2887" s="20" t="n">
        <v>6</v>
      </c>
      <c r="V2887" s="21" t="n">
        <v>1</v>
      </c>
      <c r="W2887" s="20">
        <f>IF(OR(U2887="",V2887=""),U2887,U2887*V2887)</f>
        <v/>
      </c>
      <c r="X2887" s="18" t="inlineStr">
        <is>
          <t>5-31</t>
        </is>
      </c>
      <c r="Y2887" s="19" t="inlineStr"/>
      <c r="Z2887" s="18">
        <f>IF(Y2887="",X2887,Y2887)</f>
        <v/>
      </c>
      <c r="AA2887" s="18" t="inlineStr">
        <is>
          <t>fishing</t>
        </is>
      </c>
      <c r="AB2887" s="18" t="inlineStr"/>
      <c r="AC2887" s="18" t="inlineStr"/>
      <c r="AD2887" s="18" t="inlineStr"/>
      <c r="AE2887" s="18" t="inlineStr">
        <is>
          <t>sky 8-15</t>
        </is>
      </c>
      <c r="AF2887" s="18" t="inlineStr"/>
      <c r="AG2887" s="18" t="inlineStr"/>
      <c r="AH2887" s="18" t="inlineStr"/>
      <c r="AI2887" s="18" t="inlineStr"/>
      <c r="AJ2887" s="18" t="inlineStr">
        <is>
          <t>Cobblemon 동일</t>
        </is>
      </c>
      <c r="AK2887" s="18" t="inlineStr">
        <is>
          <t>사용</t>
        </is>
      </c>
      <c r="AL2887" s="18" t="inlineStr">
        <is>
          <t>COBBLEVERSE 1.7.42 / DP v31</t>
        </is>
      </c>
      <c r="AM2887" s="18" t="inlineStr">
        <is>
          <t>data/cobblemon/spawn_pool_world/0912_quaxly.json</t>
        </is>
      </c>
      <c r="AN2887" s="18" t="inlineStr">
        <is>
          <t>quaxly-3</t>
        </is>
      </c>
      <c r="AO2887" s="18" t="inlineStr">
        <is>
          <t>pokemon</t>
        </is>
      </c>
      <c r="AP2887" s="18" t="inlineStr"/>
      <c r="AQ2887" s="18" t="inlineStr">
        <is>
          <t>{"biomes":["#cobblemon:is_forest","#cobblemon:is_freshwater","#cobblemon:is_grassland","#cobblemon:is_jungle"],"maxSkyLight":15,"minSkyLight":8}</t>
        </is>
      </c>
      <c r="AR2887" s="18" t="inlineStr">
        <is>
          <t>{"biomes":["#cobblemon:is_freezing"]}</t>
        </is>
      </c>
      <c r="AS2887" s="18" t="inlineStr"/>
      <c r="AT2887" s="19" t="inlineStr"/>
    </row>
    <row r="2888" ht="32" customHeight="1">
      <c r="A2888" s="18" t="inlineStr">
        <is>
          <t>0913_quaxwell.json::quaxwell-1::001</t>
        </is>
      </c>
      <c r="B2888" s="19" t="inlineStr">
        <is>
          <t>사용</t>
        </is>
      </c>
      <c r="C2888" s="18">
        <f>IF(OR(B2888&lt;&gt;AK2888,M2888&lt;&gt;L2888,O2888&lt;&gt;"",Q2888&lt;&gt;"",V2888&lt;&gt;1,Y2888&lt;&gt;"",AT2888&lt;&gt;""),"수정","원본")</f>
        <v/>
      </c>
      <c r="D2888" s="18" t="n">
        <v>913</v>
      </c>
      <c r="E2888" s="18" t="inlineStr">
        <is>
          <t>아꾸왁</t>
        </is>
      </c>
      <c r="F2888" s="18" t="inlineStr">
        <is>
          <t>quaxwell</t>
        </is>
      </c>
      <c r="G2888" s="18" t="inlineStr">
        <is>
          <t>quaxwell</t>
        </is>
      </c>
      <c r="H2888" s="18" t="inlineStr"/>
      <c r="I2888" s="18" t="n">
        <v>9</v>
      </c>
      <c r="J2888" s="18" t="n"/>
      <c r="K2888" s="18" t="n">
        <v>9</v>
      </c>
      <c r="L2888" s="18" t="inlineStr">
        <is>
          <t>cobbleventure:generation_9</t>
        </is>
      </c>
      <c r="M2888" s="19" t="inlineStr">
        <is>
          <t>cobbleventure:generation_9</t>
        </is>
      </c>
      <c r="N2888" s="18" t="inlineStr">
        <is>
          <t>region_01</t>
        </is>
      </c>
      <c r="O2888" s="19" t="inlineStr"/>
      <c r="P2888" s="18" t="inlineStr">
        <is>
          <t>#cobblemon:is_forest; #cobblemon:is_grassland; #cobblemon:is_river</t>
        </is>
      </c>
      <c r="Q2888" s="19" t="inlineStr"/>
      <c r="R2888" s="18">
        <f>IF(Q2888="",P2888,Q2888)</f>
        <v/>
      </c>
      <c r="S2888" s="18" t="inlineStr">
        <is>
          <t>#cobblemon:is_freezing</t>
        </is>
      </c>
      <c r="T2888" s="18" t="inlineStr">
        <is>
          <t>ultra-rare</t>
        </is>
      </c>
      <c r="U2888" s="20" t="n">
        <v>3.6</v>
      </c>
      <c r="V2888" s="21" t="n">
        <v>1</v>
      </c>
      <c r="W2888" s="20">
        <f>IF(OR(U2888="",V2888=""),U2888,U2888*V2888)</f>
        <v/>
      </c>
      <c r="X2888" s="18" t="inlineStr">
        <is>
          <t>16-41</t>
        </is>
      </c>
      <c r="Y2888" s="19" t="inlineStr"/>
      <c r="Z2888" s="18">
        <f>IF(Y2888="",X2888,Y2888)</f>
        <v/>
      </c>
      <c r="AA2888" s="18" t="inlineStr">
        <is>
          <t>grounded</t>
        </is>
      </c>
      <c r="AB2888" s="18" t="inlineStr"/>
      <c r="AC2888" s="18" t="inlineStr"/>
      <c r="AD2888" s="18" t="inlineStr"/>
      <c r="AE2888" s="18" t="inlineStr">
        <is>
          <t>sky 8-15</t>
        </is>
      </c>
      <c r="AF2888" s="18" t="inlineStr"/>
      <c r="AG2888" s="18" t="inlineStr"/>
      <c r="AH2888" s="18" t="inlineStr">
        <is>
          <t>주변=minecraft:water</t>
        </is>
      </c>
      <c r="AI2888" s="18" t="inlineStr"/>
      <c r="AJ2888" s="18" t="inlineStr">
        <is>
          <t>Cobblemon 동일</t>
        </is>
      </c>
      <c r="AK2888" s="18" t="inlineStr">
        <is>
          <t>사용</t>
        </is>
      </c>
      <c r="AL2888" s="18" t="inlineStr">
        <is>
          <t>COBBLEVERSE 1.7.42 / DP v31</t>
        </is>
      </c>
      <c r="AM2888" s="18" t="inlineStr">
        <is>
          <t>data/cobblemon/spawn_pool_world/0913_quaxwell.json</t>
        </is>
      </c>
      <c r="AN2888" s="18" t="inlineStr">
        <is>
          <t>quaxwell-1</t>
        </is>
      </c>
      <c r="AO2888" s="18" t="inlineStr">
        <is>
          <t>pokemon</t>
        </is>
      </c>
      <c r="AP2888" s="18" t="inlineStr">
        <is>
          <t>natural</t>
        </is>
      </c>
      <c r="AQ2888" s="18" t="inlineStr">
        <is>
          <t>{"biomes":["#cobblemon:is_forest","#cobblemon:is_grassland","#cobblemon:is_river"],"maxSkyLight":15,"minSkyLight":8,"neededNearbyBlocks":["minecraft:water"]}</t>
        </is>
      </c>
      <c r="AR2888" s="18" t="inlineStr">
        <is>
          <t>{"biomes":["#cobblemon:is_freezing"]}</t>
        </is>
      </c>
      <c r="AS2888" s="18" t="inlineStr"/>
      <c r="AT2888" s="19" t="inlineStr"/>
    </row>
    <row r="2889" ht="32" customHeight="1">
      <c r="A2889" s="18" t="inlineStr">
        <is>
          <t>0913_quaxwell.json::quaxwell-2::002</t>
        </is>
      </c>
      <c r="B2889" s="19" t="inlineStr">
        <is>
          <t>사용</t>
        </is>
      </c>
      <c r="C2889" s="18">
        <f>IF(OR(B2889&lt;&gt;AK2889,M2889&lt;&gt;L2889,O2889&lt;&gt;"",Q2889&lt;&gt;"",V2889&lt;&gt;1,Y2889&lt;&gt;"",AT2889&lt;&gt;""),"수정","원본")</f>
        <v/>
      </c>
      <c r="D2889" s="18" t="n">
        <v>913</v>
      </c>
      <c r="E2889" s="18" t="inlineStr">
        <is>
          <t>아꾸왁</t>
        </is>
      </c>
      <c r="F2889" s="18" t="inlineStr">
        <is>
          <t>quaxwell</t>
        </is>
      </c>
      <c r="G2889" s="18" t="inlineStr">
        <is>
          <t>quaxwell</t>
        </is>
      </c>
      <c r="H2889" s="18" t="inlineStr"/>
      <c r="I2889" s="18" t="n">
        <v>9</v>
      </c>
      <c r="J2889" s="18" t="n"/>
      <c r="K2889" s="18" t="n">
        <v>9</v>
      </c>
      <c r="L2889" s="18" t="inlineStr">
        <is>
          <t>cobbleventure:generation_9</t>
        </is>
      </c>
      <c r="M2889" s="19" t="inlineStr">
        <is>
          <t>cobbleventure:generation_9</t>
        </is>
      </c>
      <c r="N2889" s="18" t="inlineStr">
        <is>
          <t>region_01</t>
        </is>
      </c>
      <c r="O2889" s="19" t="inlineStr"/>
      <c r="P2889" s="18" t="inlineStr">
        <is>
          <t>#cobblemon:is_forest; #cobblemon:is_grassland; #cobblemon:is_river</t>
        </is>
      </c>
      <c r="Q2889" s="19" t="inlineStr"/>
      <c r="R2889" s="18">
        <f>IF(Q2889="",P2889,Q2889)</f>
        <v/>
      </c>
      <c r="S2889" s="18" t="inlineStr">
        <is>
          <t>#cobblemon:is_freezing</t>
        </is>
      </c>
      <c r="T2889" s="18" t="inlineStr">
        <is>
          <t>ultra-rare</t>
        </is>
      </c>
      <c r="U2889" s="20" t="n">
        <v>3.6</v>
      </c>
      <c r="V2889" s="21" t="n">
        <v>1</v>
      </c>
      <c r="W2889" s="20">
        <f>IF(OR(U2889="",V2889=""),U2889,U2889*V2889)</f>
        <v/>
      </c>
      <c r="X2889" s="18" t="inlineStr">
        <is>
          <t>16-41</t>
        </is>
      </c>
      <c r="Y2889" s="19" t="inlineStr"/>
      <c r="Z2889" s="18">
        <f>IF(Y2889="",X2889,Y2889)</f>
        <v/>
      </c>
      <c r="AA2889" s="18" t="inlineStr">
        <is>
          <t>submerged</t>
        </is>
      </c>
      <c r="AB2889" s="18" t="inlineStr"/>
      <c r="AC2889" s="18" t="inlineStr"/>
      <c r="AD2889" s="18" t="inlineStr"/>
      <c r="AE2889" s="18" t="inlineStr">
        <is>
          <t>sky 8-15</t>
        </is>
      </c>
      <c r="AF2889" s="18" t="inlineStr"/>
      <c r="AG2889" s="18" t="inlineStr"/>
      <c r="AH2889" s="18" t="inlineStr"/>
      <c r="AI2889" s="18" t="inlineStr"/>
      <c r="AJ2889" s="18" t="inlineStr">
        <is>
          <t>Cobblemon 동일</t>
        </is>
      </c>
      <c r="AK2889" s="18" t="inlineStr">
        <is>
          <t>사용</t>
        </is>
      </c>
      <c r="AL2889" s="18" t="inlineStr">
        <is>
          <t>COBBLEVERSE 1.7.42 / DP v31</t>
        </is>
      </c>
      <c r="AM2889" s="18" t="inlineStr">
        <is>
          <t>data/cobblemon/spawn_pool_world/0913_quaxwell.json</t>
        </is>
      </c>
      <c r="AN2889" s="18" t="inlineStr">
        <is>
          <t>quaxwell-2</t>
        </is>
      </c>
      <c r="AO2889" s="18" t="inlineStr">
        <is>
          <t>pokemon</t>
        </is>
      </c>
      <c r="AP2889" s="18" t="inlineStr"/>
      <c r="AQ2889" s="18" t="inlineStr">
        <is>
          <t>{"biomes":["#cobblemon:is_forest","#cobblemon:is_grassland","#cobblemon:is_river"],"maxSkyLight":15,"minSkyLight":8}</t>
        </is>
      </c>
      <c r="AR2889" s="18" t="inlineStr">
        <is>
          <t>{"biomes":["#cobblemon:is_freezing"]}</t>
        </is>
      </c>
      <c r="AS2889" s="18" t="inlineStr"/>
      <c r="AT2889" s="19" t="inlineStr"/>
    </row>
    <row r="2890" ht="32" customHeight="1">
      <c r="A2890" s="18" t="inlineStr">
        <is>
          <t>0913_quaxwell.json::quaxwell-3::003</t>
        </is>
      </c>
      <c r="B2890" s="19" t="inlineStr">
        <is>
          <t>사용</t>
        </is>
      </c>
      <c r="C2890" s="18">
        <f>IF(OR(B2890&lt;&gt;AK2890,M2890&lt;&gt;L2890,O2890&lt;&gt;"",Q2890&lt;&gt;"",V2890&lt;&gt;1,Y2890&lt;&gt;"",AT2890&lt;&gt;""),"수정","원본")</f>
        <v/>
      </c>
      <c r="D2890" s="18" t="n">
        <v>913</v>
      </c>
      <c r="E2890" s="18" t="inlineStr">
        <is>
          <t>아꾸왁</t>
        </is>
      </c>
      <c r="F2890" s="18" t="inlineStr">
        <is>
          <t>quaxwell</t>
        </is>
      </c>
      <c r="G2890" s="18" t="inlineStr">
        <is>
          <t>quaxwell</t>
        </is>
      </c>
      <c r="H2890" s="18" t="inlineStr"/>
      <c r="I2890" s="18" t="n">
        <v>9</v>
      </c>
      <c r="J2890" s="18" t="n"/>
      <c r="K2890" s="18" t="n">
        <v>9</v>
      </c>
      <c r="L2890" s="18" t="inlineStr">
        <is>
          <t>cobbleventure:generation_9</t>
        </is>
      </c>
      <c r="M2890" s="19" t="inlineStr">
        <is>
          <t>cobbleventure:generation_9</t>
        </is>
      </c>
      <c r="N2890" s="18" t="inlineStr">
        <is>
          <t>region_01; region_02</t>
        </is>
      </c>
      <c r="O2890" s="19" t="inlineStr"/>
      <c r="P2890" s="18" t="inlineStr">
        <is>
          <t>#cobblemon:is_forest; #cobblemon:is_freshwater; #cobblemon:is_grassland; #cobblemon:is_jungle</t>
        </is>
      </c>
      <c r="Q2890" s="19" t="inlineStr"/>
      <c r="R2890" s="18">
        <f>IF(Q2890="",P2890,Q2890)</f>
        <v/>
      </c>
      <c r="S2890" s="18" t="inlineStr">
        <is>
          <t>#cobblemon:is_freezing</t>
        </is>
      </c>
      <c r="T2890" s="18" t="inlineStr">
        <is>
          <t>ultra-rare</t>
        </is>
      </c>
      <c r="U2890" s="20" t="n">
        <v>3.6</v>
      </c>
      <c r="V2890" s="21" t="n">
        <v>1</v>
      </c>
      <c r="W2890" s="20">
        <f>IF(OR(U2890="",V2890=""),U2890,U2890*V2890)</f>
        <v/>
      </c>
      <c r="X2890" s="18" t="inlineStr">
        <is>
          <t>16-41</t>
        </is>
      </c>
      <c r="Y2890" s="19" t="inlineStr"/>
      <c r="Z2890" s="18">
        <f>IF(Y2890="",X2890,Y2890)</f>
        <v/>
      </c>
      <c r="AA2890" s="18" t="inlineStr">
        <is>
          <t>fishing</t>
        </is>
      </c>
      <c r="AB2890" s="18" t="inlineStr"/>
      <c r="AC2890" s="18" t="inlineStr"/>
      <c r="AD2890" s="18" t="inlineStr"/>
      <c r="AE2890" s="18" t="inlineStr">
        <is>
          <t>sky 8-15</t>
        </is>
      </c>
      <c r="AF2890" s="18" t="inlineStr"/>
      <c r="AG2890" s="18" t="inlineStr"/>
      <c r="AH2890" s="18" t="inlineStr"/>
      <c r="AI2890" s="18" t="inlineStr"/>
      <c r="AJ2890" s="18" t="inlineStr">
        <is>
          <t>Cobblemon 동일</t>
        </is>
      </c>
      <c r="AK2890" s="18" t="inlineStr">
        <is>
          <t>사용</t>
        </is>
      </c>
      <c r="AL2890" s="18" t="inlineStr">
        <is>
          <t>COBBLEVERSE 1.7.42 / DP v31</t>
        </is>
      </c>
      <c r="AM2890" s="18" t="inlineStr">
        <is>
          <t>data/cobblemon/spawn_pool_world/0913_quaxwell.json</t>
        </is>
      </c>
      <c r="AN2890" s="18" t="inlineStr">
        <is>
          <t>quaxwell-3</t>
        </is>
      </c>
      <c r="AO2890" s="18" t="inlineStr">
        <is>
          <t>pokemon</t>
        </is>
      </c>
      <c r="AP2890" s="18" t="inlineStr"/>
      <c r="AQ2890" s="18" t="inlineStr">
        <is>
          <t>{"biomes":["#cobblemon:is_forest","#cobblemon:is_freshwater","#cobblemon:is_grassland","#cobblemon:is_jungle"],"maxSkyLight":15,"minSkyLight":8}</t>
        </is>
      </c>
      <c r="AR2890" s="18" t="inlineStr">
        <is>
          <t>{"biomes":["#cobblemon:is_freezing"]}</t>
        </is>
      </c>
      <c r="AS2890" s="18" t="inlineStr"/>
      <c r="AT2890" s="19" t="inlineStr"/>
    </row>
    <row r="2891" ht="32" customHeight="1">
      <c r="A2891" s="18" t="inlineStr">
        <is>
          <t>0914_quaquaval.json::quaquaval-1::001</t>
        </is>
      </c>
      <c r="B2891" s="19" t="inlineStr">
        <is>
          <t>사용</t>
        </is>
      </c>
      <c r="C2891" s="18">
        <f>IF(OR(B2891&lt;&gt;AK2891,M2891&lt;&gt;L2891,O2891&lt;&gt;"",Q2891&lt;&gt;"",V2891&lt;&gt;1,Y2891&lt;&gt;"",AT2891&lt;&gt;""),"수정","원본")</f>
        <v/>
      </c>
      <c r="D2891" s="18" t="n">
        <v>914</v>
      </c>
      <c r="E2891" s="18" t="inlineStr">
        <is>
          <t>웨이니발</t>
        </is>
      </c>
      <c r="F2891" s="18" t="inlineStr">
        <is>
          <t>quaquaval</t>
        </is>
      </c>
      <c r="G2891" s="18" t="inlineStr">
        <is>
          <t>quaquaval</t>
        </is>
      </c>
      <c r="H2891" s="18" t="inlineStr"/>
      <c r="I2891" s="18" t="n">
        <v>9</v>
      </c>
      <c r="J2891" s="18" t="n"/>
      <c r="K2891" s="18" t="n">
        <v>9</v>
      </c>
      <c r="L2891" s="18" t="inlineStr">
        <is>
          <t>cobbleventure:generation_9</t>
        </is>
      </c>
      <c r="M2891" s="19" t="inlineStr">
        <is>
          <t>cobbleventure:generation_9</t>
        </is>
      </c>
      <c r="N2891" s="18" t="inlineStr">
        <is>
          <t>region_01</t>
        </is>
      </c>
      <c r="O2891" s="19" t="inlineStr"/>
      <c r="P2891" s="18" t="inlineStr">
        <is>
          <t>#cobblemon:is_forest; #cobblemon:is_grassland; #cobblemon:is_river</t>
        </is>
      </c>
      <c r="Q2891" s="19" t="inlineStr"/>
      <c r="R2891" s="18">
        <f>IF(Q2891="",P2891,Q2891)</f>
        <v/>
      </c>
      <c r="S2891" s="18" t="inlineStr">
        <is>
          <t>#cobblemon:is_freezing</t>
        </is>
      </c>
      <c r="T2891" s="18" t="inlineStr">
        <is>
          <t>ultra-rare</t>
        </is>
      </c>
      <c r="U2891" s="20" t="n">
        <v>0.4</v>
      </c>
      <c r="V2891" s="21" t="n">
        <v>1</v>
      </c>
      <c r="W2891" s="20">
        <f>IF(OR(U2891="",V2891=""),U2891,U2891*V2891)</f>
        <v/>
      </c>
      <c r="X2891" s="18" t="inlineStr">
        <is>
          <t>36-53</t>
        </is>
      </c>
      <c r="Y2891" s="19" t="inlineStr"/>
      <c r="Z2891" s="18">
        <f>IF(Y2891="",X2891,Y2891)</f>
        <v/>
      </c>
      <c r="AA2891" s="18" t="inlineStr">
        <is>
          <t>grounded</t>
        </is>
      </c>
      <c r="AB2891" s="18" t="inlineStr"/>
      <c r="AC2891" s="18" t="inlineStr"/>
      <c r="AD2891" s="18" t="inlineStr"/>
      <c r="AE2891" s="18" t="inlineStr">
        <is>
          <t>sky 8-15</t>
        </is>
      </c>
      <c r="AF2891" s="18" t="inlineStr"/>
      <c r="AG2891" s="18" t="inlineStr"/>
      <c r="AH2891" s="18" t="inlineStr">
        <is>
          <t>주변=minecraft:water</t>
        </is>
      </c>
      <c r="AI2891" s="18" t="inlineStr"/>
      <c r="AJ2891" s="18" t="inlineStr">
        <is>
          <t>Cobblemon 동일</t>
        </is>
      </c>
      <c r="AK2891" s="18" t="inlineStr">
        <is>
          <t>사용</t>
        </is>
      </c>
      <c r="AL2891" s="18" t="inlineStr">
        <is>
          <t>COBBLEVERSE 1.7.42 / DP v31</t>
        </is>
      </c>
      <c r="AM2891" s="18" t="inlineStr">
        <is>
          <t>data/cobblemon/spawn_pool_world/0914_quaquaval.json</t>
        </is>
      </c>
      <c r="AN2891" s="18" t="inlineStr">
        <is>
          <t>quaquaval-1</t>
        </is>
      </c>
      <c r="AO2891" s="18" t="inlineStr">
        <is>
          <t>pokemon</t>
        </is>
      </c>
      <c r="AP2891" s="18" t="inlineStr">
        <is>
          <t>natural</t>
        </is>
      </c>
      <c r="AQ2891" s="18" t="inlineStr">
        <is>
          <t>{"biomes":["#cobblemon:is_forest","#cobblemon:is_grassland","#cobblemon:is_river"],"maxSkyLight":15,"minSkyLight":8,"neededNearbyBlocks":["minecraft:water"]}</t>
        </is>
      </c>
      <c r="AR2891" s="18" t="inlineStr">
        <is>
          <t>{"biomes":["#cobblemon:is_freezing"]}</t>
        </is>
      </c>
      <c r="AS2891" s="18" t="inlineStr"/>
      <c r="AT2891" s="19" t="inlineStr"/>
    </row>
    <row r="2892" ht="32" customHeight="1">
      <c r="A2892" s="18" t="inlineStr">
        <is>
          <t>0914_quaquaval.json::quaquaval-2::002</t>
        </is>
      </c>
      <c r="B2892" s="19" t="inlineStr">
        <is>
          <t>사용</t>
        </is>
      </c>
      <c r="C2892" s="18">
        <f>IF(OR(B2892&lt;&gt;AK2892,M2892&lt;&gt;L2892,O2892&lt;&gt;"",Q2892&lt;&gt;"",V2892&lt;&gt;1,Y2892&lt;&gt;"",AT2892&lt;&gt;""),"수정","원본")</f>
        <v/>
      </c>
      <c r="D2892" s="18" t="n">
        <v>914</v>
      </c>
      <c r="E2892" s="18" t="inlineStr">
        <is>
          <t>웨이니발</t>
        </is>
      </c>
      <c r="F2892" s="18" t="inlineStr">
        <is>
          <t>quaquaval</t>
        </is>
      </c>
      <c r="G2892" s="18" t="inlineStr">
        <is>
          <t>quaquaval</t>
        </is>
      </c>
      <c r="H2892" s="18" t="inlineStr"/>
      <c r="I2892" s="18" t="n">
        <v>9</v>
      </c>
      <c r="J2892" s="18" t="n"/>
      <c r="K2892" s="18" t="n">
        <v>9</v>
      </c>
      <c r="L2892" s="18" t="inlineStr">
        <is>
          <t>cobbleventure:generation_9</t>
        </is>
      </c>
      <c r="M2892" s="19" t="inlineStr">
        <is>
          <t>cobbleventure:generation_9</t>
        </is>
      </c>
      <c r="N2892" s="18" t="inlineStr">
        <is>
          <t>region_01</t>
        </is>
      </c>
      <c r="O2892" s="19" t="inlineStr"/>
      <c r="P2892" s="18" t="inlineStr">
        <is>
          <t>#cobblemon:is_forest; #cobblemon:is_grassland; #cobblemon:is_river</t>
        </is>
      </c>
      <c r="Q2892" s="19" t="inlineStr"/>
      <c r="R2892" s="18">
        <f>IF(Q2892="",P2892,Q2892)</f>
        <v/>
      </c>
      <c r="S2892" s="18" t="inlineStr">
        <is>
          <t>#cobblemon:is_freezing</t>
        </is>
      </c>
      <c r="T2892" s="18" t="inlineStr">
        <is>
          <t>ultra-rare</t>
        </is>
      </c>
      <c r="U2892" s="20" t="n">
        <v>0.4</v>
      </c>
      <c r="V2892" s="21" t="n">
        <v>1</v>
      </c>
      <c r="W2892" s="20">
        <f>IF(OR(U2892="",V2892=""),U2892,U2892*V2892)</f>
        <v/>
      </c>
      <c r="X2892" s="18" t="inlineStr">
        <is>
          <t>36-53</t>
        </is>
      </c>
      <c r="Y2892" s="19" t="inlineStr"/>
      <c r="Z2892" s="18">
        <f>IF(Y2892="",X2892,Y2892)</f>
        <v/>
      </c>
      <c r="AA2892" s="18" t="inlineStr">
        <is>
          <t>submerged</t>
        </is>
      </c>
      <c r="AB2892" s="18" t="inlineStr"/>
      <c r="AC2892" s="18" t="inlineStr"/>
      <c r="AD2892" s="18" t="inlineStr"/>
      <c r="AE2892" s="18" t="inlineStr">
        <is>
          <t>sky 8-15</t>
        </is>
      </c>
      <c r="AF2892" s="18" t="inlineStr"/>
      <c r="AG2892" s="18" t="inlineStr"/>
      <c r="AH2892" s="18" t="inlineStr"/>
      <c r="AI2892" s="18" t="inlineStr"/>
      <c r="AJ2892" s="18" t="inlineStr">
        <is>
          <t>Cobblemon 동일</t>
        </is>
      </c>
      <c r="AK2892" s="18" t="inlineStr">
        <is>
          <t>사용</t>
        </is>
      </c>
      <c r="AL2892" s="18" t="inlineStr">
        <is>
          <t>COBBLEVERSE 1.7.42 / DP v31</t>
        </is>
      </c>
      <c r="AM2892" s="18" t="inlineStr">
        <is>
          <t>data/cobblemon/spawn_pool_world/0914_quaquaval.json</t>
        </is>
      </c>
      <c r="AN2892" s="18" t="inlineStr">
        <is>
          <t>quaquaval-2</t>
        </is>
      </c>
      <c r="AO2892" s="18" t="inlineStr">
        <is>
          <t>pokemon</t>
        </is>
      </c>
      <c r="AP2892" s="18" t="inlineStr"/>
      <c r="AQ2892" s="18" t="inlineStr">
        <is>
          <t>{"biomes":["#cobblemon:is_forest","#cobblemon:is_grassland","#cobblemon:is_river"],"maxSkyLight":15,"minSkyLight":8}</t>
        </is>
      </c>
      <c r="AR2892" s="18" t="inlineStr">
        <is>
          <t>{"biomes":["#cobblemon:is_freezing"]}</t>
        </is>
      </c>
      <c r="AS2892" s="18" t="inlineStr"/>
      <c r="AT2892" s="19" t="inlineStr"/>
    </row>
    <row r="2893" ht="32" customHeight="1">
      <c r="A2893" s="18" t="inlineStr">
        <is>
          <t>0914_quaquaval.json::quaquaval-3::003</t>
        </is>
      </c>
      <c r="B2893" s="19" t="inlineStr">
        <is>
          <t>사용</t>
        </is>
      </c>
      <c r="C2893" s="18">
        <f>IF(OR(B2893&lt;&gt;AK2893,M2893&lt;&gt;L2893,O2893&lt;&gt;"",Q2893&lt;&gt;"",V2893&lt;&gt;1,Y2893&lt;&gt;"",AT2893&lt;&gt;""),"수정","원본")</f>
        <v/>
      </c>
      <c r="D2893" s="18" t="n">
        <v>914</v>
      </c>
      <c r="E2893" s="18" t="inlineStr">
        <is>
          <t>웨이니발</t>
        </is>
      </c>
      <c r="F2893" s="18" t="inlineStr">
        <is>
          <t>quaquaval</t>
        </is>
      </c>
      <c r="G2893" s="18" t="inlineStr">
        <is>
          <t>quaquaval</t>
        </is>
      </c>
      <c r="H2893" s="18" t="inlineStr"/>
      <c r="I2893" s="18" t="n">
        <v>9</v>
      </c>
      <c r="J2893" s="18" t="n"/>
      <c r="K2893" s="18" t="n">
        <v>9</v>
      </c>
      <c r="L2893" s="18" t="inlineStr">
        <is>
          <t>cobbleventure:generation_9</t>
        </is>
      </c>
      <c r="M2893" s="19" t="inlineStr">
        <is>
          <t>cobbleventure:generation_9</t>
        </is>
      </c>
      <c r="N2893" s="18" t="inlineStr">
        <is>
          <t>region_01; region_02</t>
        </is>
      </c>
      <c r="O2893" s="19" t="inlineStr"/>
      <c r="P2893" s="18" t="inlineStr">
        <is>
          <t>#cobblemon:is_forest; #cobblemon:is_freshwater; #cobblemon:is_grassland; #cobblemon:is_jungle</t>
        </is>
      </c>
      <c r="Q2893" s="19" t="inlineStr"/>
      <c r="R2893" s="18">
        <f>IF(Q2893="",P2893,Q2893)</f>
        <v/>
      </c>
      <c r="S2893" s="18" t="inlineStr">
        <is>
          <t>#cobblemon:is_freezing</t>
        </is>
      </c>
      <c r="T2893" s="18" t="inlineStr">
        <is>
          <t>ultra-rare</t>
        </is>
      </c>
      <c r="U2893" s="20" t="n">
        <v>0.4</v>
      </c>
      <c r="V2893" s="21" t="n">
        <v>1</v>
      </c>
      <c r="W2893" s="20">
        <f>IF(OR(U2893="",V2893=""),U2893,U2893*V2893)</f>
        <v/>
      </c>
      <c r="X2893" s="18" t="inlineStr">
        <is>
          <t>36-53</t>
        </is>
      </c>
      <c r="Y2893" s="19" t="inlineStr"/>
      <c r="Z2893" s="18">
        <f>IF(Y2893="",X2893,Y2893)</f>
        <v/>
      </c>
      <c r="AA2893" s="18" t="inlineStr">
        <is>
          <t>fishing</t>
        </is>
      </c>
      <c r="AB2893" s="18" t="inlineStr"/>
      <c r="AC2893" s="18" t="inlineStr"/>
      <c r="AD2893" s="18" t="inlineStr"/>
      <c r="AE2893" s="18" t="inlineStr">
        <is>
          <t>sky 8-15</t>
        </is>
      </c>
      <c r="AF2893" s="18" t="inlineStr"/>
      <c r="AG2893" s="18" t="inlineStr"/>
      <c r="AH2893" s="18" t="inlineStr"/>
      <c r="AI2893" s="18" t="inlineStr"/>
      <c r="AJ2893" s="18" t="inlineStr">
        <is>
          <t>Cobblemon 동일</t>
        </is>
      </c>
      <c r="AK2893" s="18" t="inlineStr">
        <is>
          <t>사용</t>
        </is>
      </c>
      <c r="AL2893" s="18" t="inlineStr">
        <is>
          <t>COBBLEVERSE 1.7.42 / DP v31</t>
        </is>
      </c>
      <c r="AM2893" s="18" t="inlineStr">
        <is>
          <t>data/cobblemon/spawn_pool_world/0914_quaquaval.json</t>
        </is>
      </c>
      <c r="AN2893" s="18" t="inlineStr">
        <is>
          <t>quaquaval-3</t>
        </is>
      </c>
      <c r="AO2893" s="18" t="inlineStr">
        <is>
          <t>pokemon</t>
        </is>
      </c>
      <c r="AP2893" s="18" t="inlineStr"/>
      <c r="AQ2893" s="18" t="inlineStr">
        <is>
          <t>{"biomes":["#cobblemon:is_forest","#cobblemon:is_freshwater","#cobblemon:is_grassland","#cobblemon:is_jungle"],"maxSkyLight":15,"minSkyLight":8}</t>
        </is>
      </c>
      <c r="AR2893" s="18" t="inlineStr">
        <is>
          <t>{"biomes":["#cobblemon:is_freezing"]}</t>
        </is>
      </c>
      <c r="AS2893" s="18" t="inlineStr"/>
      <c r="AT2893" s="19" t="inlineStr"/>
    </row>
    <row r="2894" ht="32" customHeight="1">
      <c r="A2894" s="18" t="inlineStr">
        <is>
          <t>0915_lechonk.json::lechonk-1::001</t>
        </is>
      </c>
      <c r="B2894" s="19" t="inlineStr">
        <is>
          <t>사용</t>
        </is>
      </c>
      <c r="C2894" s="18">
        <f>IF(OR(B2894&lt;&gt;AK2894,M2894&lt;&gt;L2894,O2894&lt;&gt;"",Q2894&lt;&gt;"",V2894&lt;&gt;1,Y2894&lt;&gt;"",AT2894&lt;&gt;""),"수정","원본")</f>
        <v/>
      </c>
      <c r="D2894" s="18" t="n">
        <v>915</v>
      </c>
      <c r="E2894" s="18" t="inlineStr">
        <is>
          <t>맛보돈</t>
        </is>
      </c>
      <c r="F2894" s="18" t="inlineStr">
        <is>
          <t>lechonk</t>
        </is>
      </c>
      <c r="G2894" s="18" t="inlineStr">
        <is>
          <t>lechonk</t>
        </is>
      </c>
      <c r="H2894" s="18" t="inlineStr"/>
      <c r="I2894" s="18" t="n">
        <v>9</v>
      </c>
      <c r="J2894" s="18" t="n"/>
      <c r="K2894" s="18" t="n">
        <v>9</v>
      </c>
      <c r="L2894" s="18" t="inlineStr">
        <is>
          <t>cobbleventure:generation_9</t>
        </is>
      </c>
      <c r="M2894" s="19" t="inlineStr">
        <is>
          <t>cobbleventure:generation_9</t>
        </is>
      </c>
      <c r="N2894" s="18" t="inlineStr">
        <is>
          <t>region_01</t>
        </is>
      </c>
      <c r="O2894" s="19" t="inlineStr"/>
      <c r="P2894" s="18" t="inlineStr">
        <is>
          <t>#cobblemon:is_mushroom; #cobblemon:is_temperate</t>
        </is>
      </c>
      <c r="Q2894" s="19" t="inlineStr"/>
      <c r="R2894" s="18">
        <f>IF(Q2894="",P2894,Q2894)</f>
        <v/>
      </c>
      <c r="S2894" s="18" t="inlineStr">
        <is>
          <t>minecraft:mushroom_fields</t>
        </is>
      </c>
      <c r="T2894" s="18" t="inlineStr">
        <is>
          <t>common</t>
        </is>
      </c>
      <c r="U2894" s="20" t="n">
        <v>9</v>
      </c>
      <c r="V2894" s="21" t="n">
        <v>1</v>
      </c>
      <c r="W2894" s="20">
        <f>IF(OR(U2894="",V2894=""),U2894,U2894*V2894)</f>
        <v/>
      </c>
      <c r="X2894" s="18" t="inlineStr">
        <is>
          <t>1-25</t>
        </is>
      </c>
      <c r="Y2894" s="19" t="inlineStr"/>
      <c r="Z2894" s="18">
        <f>IF(Y2894="",X2894,Y2894)</f>
        <v/>
      </c>
      <c r="AA2894" s="18" t="inlineStr">
        <is>
          <t>grounded</t>
        </is>
      </c>
      <c r="AB2894" s="18" t="inlineStr"/>
      <c r="AC2894" s="18" t="inlineStr"/>
      <c r="AD2894" s="18" t="inlineStr"/>
      <c r="AE2894" s="18" t="inlineStr">
        <is>
          <t>sky 8-15</t>
        </is>
      </c>
      <c r="AF2894" s="18" t="inlineStr"/>
      <c r="AG2894" s="18" t="inlineStr"/>
      <c r="AH2894" s="18" t="inlineStr"/>
      <c r="AI2894" s="18" t="inlineStr"/>
      <c r="AJ2894" s="18" t="inlineStr">
        <is>
          <t>COBBLEVERSE 수정</t>
        </is>
      </c>
      <c r="AK2894" s="18" t="inlineStr">
        <is>
          <t>사용</t>
        </is>
      </c>
      <c r="AL2894" s="18" t="inlineStr">
        <is>
          <t>COBBLEVERSE 1.7.42 / DP v31</t>
        </is>
      </c>
      <c r="AM2894" s="18" t="inlineStr">
        <is>
          <t>data/cobblemon/spawn_pool_world/0915_lechonk.json</t>
        </is>
      </c>
      <c r="AN2894" s="18" t="inlineStr">
        <is>
          <t>lechonk-1</t>
        </is>
      </c>
      <c r="AO2894" s="18" t="inlineStr">
        <is>
          <t>pokemon</t>
        </is>
      </c>
      <c r="AP2894" s="18" t="inlineStr">
        <is>
          <t>natural</t>
        </is>
      </c>
      <c r="AQ2894" s="18" t="inlineStr">
        <is>
          <t>{"biomes":["#cobblemon:is_mushroom","#cobblemon:is_temperate"],"maxSkyLight":15,"minSkyLight":8}</t>
        </is>
      </c>
      <c r="AR2894" s="18" t="inlineStr">
        <is>
          <t>{"biomes":["minecraft:mushroom_fields"]}</t>
        </is>
      </c>
      <c r="AS2894" s="18" t="inlineStr">
        <is>
          <t>{"weightMultiplier":{"condition":{"timeRange":"night"},"multiplier":0.25}}</t>
        </is>
      </c>
      <c r="AT2894" s="19" t="inlineStr"/>
    </row>
    <row r="2895" ht="32" customHeight="1">
      <c r="A2895" s="18" t="inlineStr">
        <is>
          <t>0915_lechonk.json::lechonk-2::002</t>
        </is>
      </c>
      <c r="B2895" s="19" t="inlineStr">
        <is>
          <t>사용</t>
        </is>
      </c>
      <c r="C2895" s="18">
        <f>IF(OR(B2895&lt;&gt;AK2895,M2895&lt;&gt;L2895,O2895&lt;&gt;"",Q2895&lt;&gt;"",V2895&lt;&gt;1,Y2895&lt;&gt;"",AT2895&lt;&gt;""),"수정","원본")</f>
        <v/>
      </c>
      <c r="D2895" s="18" t="n">
        <v>915</v>
      </c>
      <c r="E2895" s="18" t="inlineStr">
        <is>
          <t>맛보돈</t>
        </is>
      </c>
      <c r="F2895" s="18" t="inlineStr">
        <is>
          <t>lechonk</t>
        </is>
      </c>
      <c r="G2895" s="18" t="inlineStr">
        <is>
          <t>lechonk</t>
        </is>
      </c>
      <c r="H2895" s="18" t="inlineStr"/>
      <c r="I2895" s="18" t="n">
        <v>9</v>
      </c>
      <c r="J2895" s="18" t="n"/>
      <c r="K2895" s="18" t="n">
        <v>9</v>
      </c>
      <c r="L2895" s="18" t="inlineStr">
        <is>
          <t>cobbleventure:generation_9</t>
        </is>
      </c>
      <c r="M2895" s="19" t="inlineStr">
        <is>
          <t>cobbleventure:generation_9</t>
        </is>
      </c>
      <c r="N2895" s="18" t="inlineStr">
        <is>
          <t>region_02</t>
        </is>
      </c>
      <c r="O2895" s="19" t="inlineStr"/>
      <c r="P2895" s="18" t="inlineStr">
        <is>
          <t>#cobblemon:is_swamp</t>
        </is>
      </c>
      <c r="Q2895" s="19" t="inlineStr"/>
      <c r="R2895" s="18">
        <f>IF(Q2895="",P2895,Q2895)</f>
        <v/>
      </c>
      <c r="S2895" s="18" t="inlineStr"/>
      <c r="T2895" s="18" t="inlineStr">
        <is>
          <t>common</t>
        </is>
      </c>
      <c r="U2895" s="20" t="n">
        <v>1.8</v>
      </c>
      <c r="V2895" s="21" t="n">
        <v>1</v>
      </c>
      <c r="W2895" s="20">
        <f>IF(OR(U2895="",V2895=""),U2895,U2895*V2895)</f>
        <v/>
      </c>
      <c r="X2895" s="18" t="inlineStr">
        <is>
          <t>1-25</t>
        </is>
      </c>
      <c r="Y2895" s="19" t="inlineStr"/>
      <c r="Z2895" s="18">
        <f>IF(Y2895="",X2895,Y2895)</f>
        <v/>
      </c>
      <c r="AA2895" s="18" t="inlineStr">
        <is>
          <t>grounded</t>
        </is>
      </c>
      <c r="AB2895" s="18" t="inlineStr"/>
      <c r="AC2895" s="18" t="inlineStr"/>
      <c r="AD2895" s="18" t="inlineStr"/>
      <c r="AE2895" s="18" t="inlineStr">
        <is>
          <t>sky 8-15</t>
        </is>
      </c>
      <c r="AF2895" s="18" t="inlineStr"/>
      <c r="AG2895" s="18" t="inlineStr"/>
      <c r="AH2895" s="18" t="inlineStr"/>
      <c r="AI2895" s="18" t="inlineStr"/>
      <c r="AJ2895" s="18" t="inlineStr">
        <is>
          <t>COBBLEVERSE 수정</t>
        </is>
      </c>
      <c r="AK2895" s="18" t="inlineStr">
        <is>
          <t>사용</t>
        </is>
      </c>
      <c r="AL2895" s="18" t="inlineStr">
        <is>
          <t>COBBLEVERSE 1.7.42 / DP v31</t>
        </is>
      </c>
      <c r="AM2895" s="18" t="inlineStr">
        <is>
          <t>data/cobblemon/spawn_pool_world/0915_lechonk.json</t>
        </is>
      </c>
      <c r="AN2895" s="18" t="inlineStr">
        <is>
          <t>lechonk-2</t>
        </is>
      </c>
      <c r="AO2895" s="18" t="inlineStr">
        <is>
          <t>pokemon</t>
        </is>
      </c>
      <c r="AP2895" s="18" t="inlineStr">
        <is>
          <t>natural</t>
        </is>
      </c>
      <c r="AQ2895" s="18" t="inlineStr">
        <is>
          <t>{"biomes":["#cobblemon:is_swamp"],"maxSkyLight":15,"minSkyLight":8}</t>
        </is>
      </c>
      <c r="AR2895" s="18" t="inlineStr"/>
      <c r="AS2895" s="18" t="inlineStr">
        <is>
          <t>{"weightMultiplier":{"condition":{"timeRange":"night"},"multiplier":0.25}}</t>
        </is>
      </c>
      <c r="AT2895" s="19" t="inlineStr"/>
    </row>
    <row r="2896" ht="32" customHeight="1">
      <c r="A2896" s="18" t="inlineStr">
        <is>
          <t>0916_oinkologne.json::oinkologne-1::001</t>
        </is>
      </c>
      <c r="B2896" s="19" t="inlineStr">
        <is>
          <t>사용</t>
        </is>
      </c>
      <c r="C2896" s="18">
        <f>IF(OR(B2896&lt;&gt;AK2896,M2896&lt;&gt;L2896,O2896&lt;&gt;"",Q2896&lt;&gt;"",V2896&lt;&gt;1,Y2896&lt;&gt;"",AT2896&lt;&gt;""),"수정","원본")</f>
        <v/>
      </c>
      <c r="D2896" s="18" t="n">
        <v>916</v>
      </c>
      <c r="E2896" s="18" t="inlineStr">
        <is>
          <t>퍼퓨돈</t>
        </is>
      </c>
      <c r="F2896" s="18" t="inlineStr">
        <is>
          <t>oinkologne</t>
        </is>
      </c>
      <c r="G2896" s="18" t="inlineStr">
        <is>
          <t>oinkologne</t>
        </is>
      </c>
      <c r="H2896" s="18" t="inlineStr"/>
      <c r="I2896" s="18" t="n">
        <v>9</v>
      </c>
      <c r="J2896" s="18" t="n"/>
      <c r="K2896" s="18" t="n">
        <v>9</v>
      </c>
      <c r="L2896" s="18" t="inlineStr">
        <is>
          <t>cobbleventure:generation_9</t>
        </is>
      </c>
      <c r="M2896" s="19" t="inlineStr">
        <is>
          <t>cobbleventure:generation_9</t>
        </is>
      </c>
      <c r="N2896" s="18" t="inlineStr">
        <is>
          <t>region_01</t>
        </is>
      </c>
      <c r="O2896" s="19" t="inlineStr"/>
      <c r="P2896" s="18" t="inlineStr">
        <is>
          <t>#cobblemon:is_mushroom; #cobblemon:is_temperate</t>
        </is>
      </c>
      <c r="Q2896" s="19" t="inlineStr"/>
      <c r="R2896" s="18">
        <f>IF(Q2896="",P2896,Q2896)</f>
        <v/>
      </c>
      <c r="S2896" s="18" t="inlineStr">
        <is>
          <t>minecraft:mushroom_fields</t>
        </is>
      </c>
      <c r="T2896" s="18" t="inlineStr">
        <is>
          <t>common</t>
        </is>
      </c>
      <c r="U2896" s="20" t="n">
        <v>1</v>
      </c>
      <c r="V2896" s="21" t="n">
        <v>1</v>
      </c>
      <c r="W2896" s="20">
        <f>IF(OR(U2896="",V2896=""),U2896,U2896*V2896)</f>
        <v/>
      </c>
      <c r="X2896" s="18" t="inlineStr">
        <is>
          <t>18-49</t>
        </is>
      </c>
      <c r="Y2896" s="19" t="inlineStr"/>
      <c r="Z2896" s="18">
        <f>IF(Y2896="",X2896,Y2896)</f>
        <v/>
      </c>
      <c r="AA2896" s="18" t="inlineStr">
        <is>
          <t>grounded</t>
        </is>
      </c>
      <c r="AB2896" s="18" t="inlineStr"/>
      <c r="AC2896" s="18" t="inlineStr"/>
      <c r="AD2896" s="18" t="inlineStr"/>
      <c r="AE2896" s="18" t="inlineStr">
        <is>
          <t>sky 8-15</t>
        </is>
      </c>
      <c r="AF2896" s="18" t="inlineStr"/>
      <c r="AG2896" s="18" t="inlineStr"/>
      <c r="AH2896" s="18" t="inlineStr"/>
      <c r="AI2896" s="18" t="inlineStr"/>
      <c r="AJ2896" s="18" t="inlineStr">
        <is>
          <t>COBBLEVERSE 수정</t>
        </is>
      </c>
      <c r="AK2896" s="18" t="inlineStr">
        <is>
          <t>사용</t>
        </is>
      </c>
      <c r="AL2896" s="18" t="inlineStr">
        <is>
          <t>COBBLEVERSE 1.7.42 / DP v31</t>
        </is>
      </c>
      <c r="AM2896" s="18" t="inlineStr">
        <is>
          <t>data/cobblemon/spawn_pool_world/0916_oinkologne.json</t>
        </is>
      </c>
      <c r="AN2896" s="18" t="inlineStr">
        <is>
          <t>oinkologne-1</t>
        </is>
      </c>
      <c r="AO2896" s="18" t="inlineStr">
        <is>
          <t>pokemon</t>
        </is>
      </c>
      <c r="AP2896" s="18" t="inlineStr">
        <is>
          <t>natural</t>
        </is>
      </c>
      <c r="AQ2896" s="18" t="inlineStr">
        <is>
          <t>{"biomes":["#cobblemon:is_mushroom","#cobblemon:is_temperate"],"maxSkyLight":15,"minSkyLight":8}</t>
        </is>
      </c>
      <c r="AR2896" s="18" t="inlineStr">
        <is>
          <t>{"biomes":["minecraft:mushroom_fields"]}</t>
        </is>
      </c>
      <c r="AS2896" s="18" t="inlineStr">
        <is>
          <t>{"weightMultiplier":{"condition":{"timeRange":"night"},"multiplier":0.25}}</t>
        </is>
      </c>
      <c r="AT2896" s="19" t="inlineStr"/>
    </row>
    <row r="2897" ht="32" customHeight="1">
      <c r="A2897" s="18" t="inlineStr">
        <is>
          <t>0916_oinkologne.json::oinkologne-2::002</t>
        </is>
      </c>
      <c r="B2897" s="19" t="inlineStr">
        <is>
          <t>사용</t>
        </is>
      </c>
      <c r="C2897" s="18">
        <f>IF(OR(B2897&lt;&gt;AK2897,M2897&lt;&gt;L2897,O2897&lt;&gt;"",Q2897&lt;&gt;"",V2897&lt;&gt;1,Y2897&lt;&gt;"",AT2897&lt;&gt;""),"수정","원본")</f>
        <v/>
      </c>
      <c r="D2897" s="18" t="n">
        <v>916</v>
      </c>
      <c r="E2897" s="18" t="inlineStr">
        <is>
          <t>퍼퓨돈</t>
        </is>
      </c>
      <c r="F2897" s="18" t="inlineStr">
        <is>
          <t>oinkologne</t>
        </is>
      </c>
      <c r="G2897" s="18" t="inlineStr">
        <is>
          <t>oinkologne</t>
        </is>
      </c>
      <c r="H2897" s="18" t="inlineStr"/>
      <c r="I2897" s="18" t="n">
        <v>9</v>
      </c>
      <c r="J2897" s="18" t="n"/>
      <c r="K2897" s="18" t="n">
        <v>9</v>
      </c>
      <c r="L2897" s="18" t="inlineStr">
        <is>
          <t>cobbleventure:generation_9</t>
        </is>
      </c>
      <c r="M2897" s="19" t="inlineStr">
        <is>
          <t>cobbleventure:generation_9</t>
        </is>
      </c>
      <c r="N2897" s="18" t="inlineStr">
        <is>
          <t>region_02</t>
        </is>
      </c>
      <c r="O2897" s="19" t="inlineStr"/>
      <c r="P2897" s="18" t="inlineStr">
        <is>
          <t>#cobblemon:is_swamp</t>
        </is>
      </c>
      <c r="Q2897" s="19" t="inlineStr"/>
      <c r="R2897" s="18">
        <f>IF(Q2897="",P2897,Q2897)</f>
        <v/>
      </c>
      <c r="S2897" s="18" t="inlineStr"/>
      <c r="T2897" s="18" t="inlineStr">
        <is>
          <t>common</t>
        </is>
      </c>
      <c r="U2897" s="20" t="n">
        <v>0.2</v>
      </c>
      <c r="V2897" s="21" t="n">
        <v>1</v>
      </c>
      <c r="W2897" s="20">
        <f>IF(OR(U2897="",V2897=""),U2897,U2897*V2897)</f>
        <v/>
      </c>
      <c r="X2897" s="18" t="inlineStr">
        <is>
          <t>18-49</t>
        </is>
      </c>
      <c r="Y2897" s="19" t="inlineStr"/>
      <c r="Z2897" s="18">
        <f>IF(Y2897="",X2897,Y2897)</f>
        <v/>
      </c>
      <c r="AA2897" s="18" t="inlineStr">
        <is>
          <t>grounded</t>
        </is>
      </c>
      <c r="AB2897" s="18" t="inlineStr"/>
      <c r="AC2897" s="18" t="inlineStr"/>
      <c r="AD2897" s="18" t="inlineStr"/>
      <c r="AE2897" s="18" t="inlineStr">
        <is>
          <t>sky 8-15</t>
        </is>
      </c>
      <c r="AF2897" s="18" t="inlineStr"/>
      <c r="AG2897" s="18" t="inlineStr"/>
      <c r="AH2897" s="18" t="inlineStr"/>
      <c r="AI2897" s="18" t="inlineStr"/>
      <c r="AJ2897" s="18" t="inlineStr">
        <is>
          <t>COBBLEVERSE 수정</t>
        </is>
      </c>
      <c r="AK2897" s="18" t="inlineStr">
        <is>
          <t>사용</t>
        </is>
      </c>
      <c r="AL2897" s="18" t="inlineStr">
        <is>
          <t>COBBLEVERSE 1.7.42 / DP v31</t>
        </is>
      </c>
      <c r="AM2897" s="18" t="inlineStr">
        <is>
          <t>data/cobblemon/spawn_pool_world/0916_oinkologne.json</t>
        </is>
      </c>
      <c r="AN2897" s="18" t="inlineStr">
        <is>
          <t>oinkologne-2</t>
        </is>
      </c>
      <c r="AO2897" s="18" t="inlineStr">
        <is>
          <t>pokemon</t>
        </is>
      </c>
      <c r="AP2897" s="18" t="inlineStr">
        <is>
          <t>natural</t>
        </is>
      </c>
      <c r="AQ2897" s="18" t="inlineStr">
        <is>
          <t>{"biomes":["#cobblemon:is_swamp"],"maxSkyLight":15,"minSkyLight":8}</t>
        </is>
      </c>
      <c r="AR2897" s="18" t="inlineStr"/>
      <c r="AS2897" s="18" t="inlineStr">
        <is>
          <t>{"weightMultiplier":{"condition":{"timeRange":"night"},"multiplier":0.25}}</t>
        </is>
      </c>
      <c r="AT2897" s="19" t="inlineStr"/>
    </row>
    <row r="2898" ht="32" customHeight="1">
      <c r="A2898" s="18" t="inlineStr">
        <is>
          <t>0917_tarountula.json::tarountula-1::001</t>
        </is>
      </c>
      <c r="B2898" s="19" t="inlineStr">
        <is>
          <t>사용</t>
        </is>
      </c>
      <c r="C2898" s="18">
        <f>IF(OR(B2898&lt;&gt;AK2898,M2898&lt;&gt;L2898,O2898&lt;&gt;"",Q2898&lt;&gt;"",V2898&lt;&gt;1,Y2898&lt;&gt;"",AT2898&lt;&gt;""),"수정","원본")</f>
        <v/>
      </c>
      <c r="D2898" s="18" t="n">
        <v>917</v>
      </c>
      <c r="E2898" s="18" t="inlineStr">
        <is>
          <t>타랜툴라</t>
        </is>
      </c>
      <c r="F2898" s="18" t="inlineStr">
        <is>
          <t>tarountula</t>
        </is>
      </c>
      <c r="G2898" s="18" t="inlineStr">
        <is>
          <t>tarountula</t>
        </is>
      </c>
      <c r="H2898" s="18" t="inlineStr"/>
      <c r="I2898" s="18" t="n">
        <v>9</v>
      </c>
      <c r="J2898" s="18" t="n"/>
      <c r="K2898" s="18" t="n">
        <v>9</v>
      </c>
      <c r="L2898" s="18" t="inlineStr">
        <is>
          <t>cobbleventure:generation_9</t>
        </is>
      </c>
      <c r="M2898" s="19" t="inlineStr">
        <is>
          <t>cobbleventure:generation_9</t>
        </is>
      </c>
      <c r="N2898" s="18" t="inlineStr">
        <is>
          <t>region_01; region_02</t>
        </is>
      </c>
      <c r="O2898" s="19" t="inlineStr"/>
      <c r="P2898" s="18" t="inlineStr">
        <is>
          <t>#cobblemon:is_forest; #cobblemon:is_jungle; #cobblemon:is_swamp</t>
        </is>
      </c>
      <c r="Q2898" s="19" t="inlineStr"/>
      <c r="R2898" s="18">
        <f>IF(Q2898="",P2898,Q2898)</f>
        <v/>
      </c>
      <c r="S2898" s="18" t="inlineStr">
        <is>
          <t>#cobblemon:is_freezing</t>
        </is>
      </c>
      <c r="T2898" s="18" t="inlineStr">
        <is>
          <t>common</t>
        </is>
      </c>
      <c r="U2898" s="20" t="n">
        <v>9</v>
      </c>
      <c r="V2898" s="21" t="n">
        <v>1</v>
      </c>
      <c r="W2898" s="20">
        <f>IF(OR(U2898="",V2898=""),U2898,U2898*V2898)</f>
        <v/>
      </c>
      <c r="X2898" s="18" t="inlineStr">
        <is>
          <t>1-21</t>
        </is>
      </c>
      <c r="Y2898" s="19" t="inlineStr"/>
      <c r="Z2898" s="18">
        <f>IF(Y2898="",X2898,Y2898)</f>
        <v/>
      </c>
      <c r="AA2898" s="18" t="inlineStr">
        <is>
          <t>grounded</t>
        </is>
      </c>
      <c r="AB2898" s="18" t="inlineStr"/>
      <c r="AC2898" s="18" t="inlineStr"/>
      <c r="AD2898" s="18" t="inlineStr"/>
      <c r="AE2898" s="18" t="inlineStr">
        <is>
          <t>sky 8-15</t>
        </is>
      </c>
      <c r="AF2898" s="18" t="inlineStr"/>
      <c r="AG2898" s="18" t="inlineStr"/>
      <c r="AH2898" s="18" t="inlineStr"/>
      <c r="AI2898" s="18" t="inlineStr"/>
      <c r="AJ2898" s="18" t="inlineStr">
        <is>
          <t>COBBLEVERSE 수정</t>
        </is>
      </c>
      <c r="AK2898" s="18" t="inlineStr">
        <is>
          <t>사용</t>
        </is>
      </c>
      <c r="AL2898" s="18" t="inlineStr">
        <is>
          <t>COBBLEVERSE 1.7.42 / DP v31</t>
        </is>
      </c>
      <c r="AM2898" s="18" t="inlineStr">
        <is>
          <t>data/cobblemon/spawn_pool_world/0917_tarountula.json</t>
        </is>
      </c>
      <c r="AN2898" s="18" t="inlineStr">
        <is>
          <t>tarountula-1</t>
        </is>
      </c>
      <c r="AO2898" s="18" t="inlineStr">
        <is>
          <t>pokemon</t>
        </is>
      </c>
      <c r="AP2898" s="18" t="inlineStr">
        <is>
          <t>natural</t>
        </is>
      </c>
      <c r="AQ2898" s="18" t="inlineStr">
        <is>
          <t>{"biomes":["#cobblemon:is_forest","#cobblemon:is_jungle","#cobblemon:is_swamp"],"maxSkyLight":15,"minSkyLight":8}</t>
        </is>
      </c>
      <c r="AR2898" s="18" t="inlineStr">
        <is>
          <t>{"biomes":["#cobblemon:is_freezing"]}</t>
        </is>
      </c>
      <c r="AS2898" s="18" t="inlineStr">
        <is>
          <t>{"weightMultiplier":{"condition":{"timeRange":"day"},"multiplier":0.25}}</t>
        </is>
      </c>
      <c r="AT2898" s="19" t="inlineStr"/>
    </row>
    <row r="2899" ht="32" customHeight="1">
      <c r="A2899" s="18" t="inlineStr">
        <is>
          <t>0918_spidops.json::spidops-1::001</t>
        </is>
      </c>
      <c r="B2899" s="19" t="inlineStr">
        <is>
          <t>사용</t>
        </is>
      </c>
      <c r="C2899" s="18">
        <f>IF(OR(B2899&lt;&gt;AK2899,M2899&lt;&gt;L2899,O2899&lt;&gt;"",Q2899&lt;&gt;"",V2899&lt;&gt;1,Y2899&lt;&gt;"",AT2899&lt;&gt;""),"수정","원본")</f>
        <v/>
      </c>
      <c r="D2899" s="18" t="n">
        <v>918</v>
      </c>
      <c r="E2899" s="18" t="inlineStr">
        <is>
          <t>트래피더</t>
        </is>
      </c>
      <c r="F2899" s="18" t="inlineStr">
        <is>
          <t>spidops</t>
        </is>
      </c>
      <c r="G2899" s="18" t="inlineStr">
        <is>
          <t>spidops</t>
        </is>
      </c>
      <c r="H2899" s="18" t="inlineStr"/>
      <c r="I2899" s="18" t="n">
        <v>9</v>
      </c>
      <c r="J2899" s="18" t="n"/>
      <c r="K2899" s="18" t="n">
        <v>9</v>
      </c>
      <c r="L2899" s="18" t="inlineStr">
        <is>
          <t>cobbleventure:generation_9</t>
        </is>
      </c>
      <c r="M2899" s="19" t="inlineStr">
        <is>
          <t>cobbleventure:generation_9</t>
        </is>
      </c>
      <c r="N2899" s="18" t="inlineStr">
        <is>
          <t>region_01; region_02</t>
        </is>
      </c>
      <c r="O2899" s="19" t="inlineStr"/>
      <c r="P2899" s="18" t="inlineStr">
        <is>
          <t>#cobblemon:is_forest; #cobblemon:is_jungle; #cobblemon:is_swamp</t>
        </is>
      </c>
      <c r="Q2899" s="19" t="inlineStr"/>
      <c r="R2899" s="18">
        <f>IF(Q2899="",P2899,Q2899)</f>
        <v/>
      </c>
      <c r="S2899" s="18" t="inlineStr">
        <is>
          <t>#cobblemon:is_freezing</t>
        </is>
      </c>
      <c r="T2899" s="18" t="inlineStr">
        <is>
          <t>common</t>
        </is>
      </c>
      <c r="U2899" s="20" t="n">
        <v>1</v>
      </c>
      <c r="V2899" s="21" t="n">
        <v>1</v>
      </c>
      <c r="W2899" s="20">
        <f>IF(OR(U2899="",V2899=""),U2899,U2899*V2899)</f>
        <v/>
      </c>
      <c r="X2899" s="18" t="inlineStr">
        <is>
          <t>15-40</t>
        </is>
      </c>
      <c r="Y2899" s="19" t="inlineStr"/>
      <c r="Z2899" s="18">
        <f>IF(Y2899="",X2899,Y2899)</f>
        <v/>
      </c>
      <c r="AA2899" s="18" t="inlineStr">
        <is>
          <t>grounded</t>
        </is>
      </c>
      <c r="AB2899" s="18" t="inlineStr"/>
      <c r="AC2899" s="18" t="inlineStr"/>
      <c r="AD2899" s="18" t="inlineStr"/>
      <c r="AE2899" s="18" t="inlineStr">
        <is>
          <t>sky 8-15</t>
        </is>
      </c>
      <c r="AF2899" s="18" t="inlineStr"/>
      <c r="AG2899" s="18" t="inlineStr"/>
      <c r="AH2899" s="18" t="inlineStr"/>
      <c r="AI2899" s="18" t="inlineStr"/>
      <c r="AJ2899" s="18" t="inlineStr">
        <is>
          <t>COBBLEVERSE 수정</t>
        </is>
      </c>
      <c r="AK2899" s="18" t="inlineStr">
        <is>
          <t>사용</t>
        </is>
      </c>
      <c r="AL2899" s="18" t="inlineStr">
        <is>
          <t>COBBLEVERSE 1.7.42 / DP v31</t>
        </is>
      </c>
      <c r="AM2899" s="18" t="inlineStr">
        <is>
          <t>data/cobblemon/spawn_pool_world/0918_spidops.json</t>
        </is>
      </c>
      <c r="AN2899" s="18" t="inlineStr">
        <is>
          <t>spidops-1</t>
        </is>
      </c>
      <c r="AO2899" s="18" t="inlineStr">
        <is>
          <t>pokemon</t>
        </is>
      </c>
      <c r="AP2899" s="18" t="inlineStr">
        <is>
          <t>natural</t>
        </is>
      </c>
      <c r="AQ2899" s="18" t="inlineStr">
        <is>
          <t>{"biomes":["#cobblemon:is_forest","#cobblemon:is_jungle","#cobblemon:is_swamp"],"maxSkyLight":15,"minSkyLight":8}</t>
        </is>
      </c>
      <c r="AR2899" s="18" t="inlineStr">
        <is>
          <t>{"biomes":["#cobblemon:is_freezing"]}</t>
        </is>
      </c>
      <c r="AS2899" s="18" t="inlineStr">
        <is>
          <t>{"weightMultiplier":{"condition":{"timeRange":"day"},"multiplier":0.25}}</t>
        </is>
      </c>
      <c r="AT2899" s="19" t="inlineStr"/>
    </row>
    <row r="2900" ht="32" customHeight="1">
      <c r="A2900" s="18" t="inlineStr">
        <is>
          <t>0919_nymble.json::nymble-1::001</t>
        </is>
      </c>
      <c r="B2900" s="19" t="inlineStr">
        <is>
          <t>사용</t>
        </is>
      </c>
      <c r="C2900" s="18">
        <f>IF(OR(B2900&lt;&gt;AK2900,M2900&lt;&gt;L2900,O2900&lt;&gt;"",Q2900&lt;&gt;"",V2900&lt;&gt;1,Y2900&lt;&gt;"",AT2900&lt;&gt;""),"수정","원본")</f>
        <v/>
      </c>
      <c r="D2900" s="18" t="n">
        <v>919</v>
      </c>
      <c r="E2900" s="18" t="inlineStr">
        <is>
          <t>콩알뚜기</t>
        </is>
      </c>
      <c r="F2900" s="18" t="inlineStr">
        <is>
          <t>nymble</t>
        </is>
      </c>
      <c r="G2900" s="18" t="inlineStr">
        <is>
          <t>nymble</t>
        </is>
      </c>
      <c r="H2900" s="18" t="inlineStr"/>
      <c r="I2900" s="18" t="n">
        <v>9</v>
      </c>
      <c r="J2900" s="18" t="n"/>
      <c r="K2900" s="18" t="n">
        <v>9</v>
      </c>
      <c r="L2900" s="18" t="inlineStr">
        <is>
          <t>cobbleventure:generation_9</t>
        </is>
      </c>
      <c r="M2900" s="19" t="inlineStr">
        <is>
          <t>cobbleventure:generation_9</t>
        </is>
      </c>
      <c r="N2900" s="18" t="inlineStr"/>
      <c r="O2900" s="19" t="inlineStr"/>
      <c r="P2900" s="18" t="inlineStr">
        <is>
          <t>#cobblemon:is_badlands; #cobblemon:is_savanna</t>
        </is>
      </c>
      <c r="Q2900" s="19" t="inlineStr"/>
      <c r="R2900" s="18">
        <f>IF(Q2900="",P2900,Q2900)</f>
        <v/>
      </c>
      <c r="S2900" s="18" t="inlineStr"/>
      <c r="T2900" s="18" t="inlineStr">
        <is>
          <t>common</t>
        </is>
      </c>
      <c r="U2900" s="20" t="n">
        <v>3</v>
      </c>
      <c r="V2900" s="21" t="n">
        <v>1</v>
      </c>
      <c r="W2900" s="20">
        <f>IF(OR(U2900="",V2900=""),U2900,U2900*V2900)</f>
        <v/>
      </c>
      <c r="X2900" s="18" t="inlineStr">
        <is>
          <t>3-22</t>
        </is>
      </c>
      <c r="Y2900" s="19" t="inlineStr"/>
      <c r="Z2900" s="18">
        <f>IF(Y2900="",X2900,Y2900)</f>
        <v/>
      </c>
      <c r="AA2900" s="18" t="inlineStr">
        <is>
          <t>grounded</t>
        </is>
      </c>
      <c r="AB2900" s="18" t="inlineStr"/>
      <c r="AC2900" s="18" t="inlineStr"/>
      <c r="AD2900" s="18" t="inlineStr"/>
      <c r="AE2900" s="18" t="inlineStr"/>
      <c r="AF2900" s="18" t="inlineStr">
        <is>
          <t>True</t>
        </is>
      </c>
      <c r="AG2900" s="18" t="inlineStr"/>
      <c r="AH2900" s="18" t="inlineStr"/>
      <c r="AI2900" s="18" t="inlineStr"/>
      <c r="AJ2900" s="18" t="inlineStr">
        <is>
          <t>COBBLEVERSE 추가</t>
        </is>
      </c>
      <c r="AK2900" s="18" t="inlineStr">
        <is>
          <t>사용</t>
        </is>
      </c>
      <c r="AL2900" s="18" t="inlineStr">
        <is>
          <t>COBBLEVERSE 1.7.42 / DP v31</t>
        </is>
      </c>
      <c r="AM2900" s="18" t="inlineStr">
        <is>
          <t>data/cobblemon/spawn_pool_world/0919_nymble.json</t>
        </is>
      </c>
      <c r="AN2900" s="18" t="inlineStr">
        <is>
          <t>nymble-1</t>
        </is>
      </c>
      <c r="AO2900" s="18" t="inlineStr">
        <is>
          <t>pokemon</t>
        </is>
      </c>
      <c r="AP2900" s="18" t="inlineStr">
        <is>
          <t>natural</t>
        </is>
      </c>
      <c r="AQ2900" s="18" t="inlineStr">
        <is>
          <t>{"biomes":["#cobblemon:is_badlands","#cobblemon:is_savanna"],"canSeeSky":true}</t>
        </is>
      </c>
      <c r="AR2900" s="18" t="inlineStr"/>
      <c r="AS2900" s="18" t="inlineStr"/>
      <c r="AT2900" s="19" t="inlineStr"/>
    </row>
    <row r="2901" ht="32" customHeight="1">
      <c r="A2901" s="18" t="inlineStr">
        <is>
          <t>0920_lokix.json::lokix-1::001</t>
        </is>
      </c>
      <c r="B2901" s="19" t="inlineStr">
        <is>
          <t>사용</t>
        </is>
      </c>
      <c r="C2901" s="18">
        <f>IF(OR(B2901&lt;&gt;AK2901,M2901&lt;&gt;L2901,O2901&lt;&gt;"",Q2901&lt;&gt;"",V2901&lt;&gt;1,Y2901&lt;&gt;"",AT2901&lt;&gt;""),"수정","원본")</f>
        <v/>
      </c>
      <c r="D2901" s="18" t="n">
        <v>920</v>
      </c>
      <c r="E2901" s="18" t="inlineStr">
        <is>
          <t>엑스레그</t>
        </is>
      </c>
      <c r="F2901" s="18" t="inlineStr">
        <is>
          <t>lokix</t>
        </is>
      </c>
      <c r="G2901" s="18" t="inlineStr">
        <is>
          <t>lokix</t>
        </is>
      </c>
      <c r="H2901" s="18" t="inlineStr"/>
      <c r="I2901" s="18" t="n">
        <v>9</v>
      </c>
      <c r="J2901" s="18" t="n"/>
      <c r="K2901" s="18" t="n">
        <v>9</v>
      </c>
      <c r="L2901" s="18" t="inlineStr">
        <is>
          <t>cobbleventure:generation_9</t>
        </is>
      </c>
      <c r="M2901" s="19" t="inlineStr">
        <is>
          <t>cobbleventure:generation_9</t>
        </is>
      </c>
      <c r="N2901" s="18" t="inlineStr"/>
      <c r="O2901" s="19" t="inlineStr"/>
      <c r="P2901" s="18" t="inlineStr">
        <is>
          <t>#cobblemon:is_savanna; #cobblemon:is_badlands</t>
        </is>
      </c>
      <c r="Q2901" s="19" t="inlineStr"/>
      <c r="R2901" s="18">
        <f>IF(Q2901="",P2901,Q2901)</f>
        <v/>
      </c>
      <c r="S2901" s="18" t="inlineStr"/>
      <c r="T2901" s="18" t="inlineStr">
        <is>
          <t>rare</t>
        </is>
      </c>
      <c r="U2901" s="20" t="n">
        <v>1</v>
      </c>
      <c r="V2901" s="21" t="n">
        <v>1</v>
      </c>
      <c r="W2901" s="20">
        <f>IF(OR(U2901="",V2901=""),U2901,U2901*V2901)</f>
        <v/>
      </c>
      <c r="X2901" s="18" t="inlineStr">
        <is>
          <t>25-38</t>
        </is>
      </c>
      <c r="Y2901" s="19" t="inlineStr"/>
      <c r="Z2901" s="18">
        <f>IF(Y2901="",X2901,Y2901)</f>
        <v/>
      </c>
      <c r="AA2901" s="18" t="inlineStr">
        <is>
          <t>grounded</t>
        </is>
      </c>
      <c r="AB2901" s="18" t="inlineStr"/>
      <c r="AC2901" s="18" t="inlineStr"/>
      <c r="AD2901" s="18" t="inlineStr"/>
      <c r="AE2901" s="18" t="inlineStr"/>
      <c r="AF2901" s="18" t="inlineStr">
        <is>
          <t>True</t>
        </is>
      </c>
      <c r="AG2901" s="18" t="inlineStr"/>
      <c r="AH2901" s="18" t="inlineStr"/>
      <c r="AI2901" s="18" t="inlineStr"/>
      <c r="AJ2901" s="18" t="inlineStr">
        <is>
          <t>COBBLEVERSE 추가</t>
        </is>
      </c>
      <c r="AK2901" s="18" t="inlineStr">
        <is>
          <t>사용</t>
        </is>
      </c>
      <c r="AL2901" s="18" t="inlineStr">
        <is>
          <t>COBBLEVERSE 1.7.42 / DP v31</t>
        </is>
      </c>
      <c r="AM2901" s="18" t="inlineStr">
        <is>
          <t>data/cobblemon/spawn_pool_world/0920_lokix.json</t>
        </is>
      </c>
      <c r="AN2901" s="18" t="inlineStr">
        <is>
          <t>lokix-1</t>
        </is>
      </c>
      <c r="AO2901" s="18" t="inlineStr">
        <is>
          <t>pokemon</t>
        </is>
      </c>
      <c r="AP2901" s="18" t="inlineStr">
        <is>
          <t>natural</t>
        </is>
      </c>
      <c r="AQ2901" s="18" t="inlineStr">
        <is>
          <t>{"biomes":["#cobblemon:is_savanna","#cobblemon:is_badlands"],"canSeeSky":true}</t>
        </is>
      </c>
      <c r="AR2901" s="18" t="inlineStr"/>
      <c r="AS2901" s="18" t="inlineStr"/>
      <c r="AT2901" s="19" t="inlineStr"/>
    </row>
    <row r="2902" ht="32" customHeight="1">
      <c r="A2902" s="18" t="inlineStr">
        <is>
          <t>0921_pawmi.json::pawmi-1::001</t>
        </is>
      </c>
      <c r="B2902" s="19" t="inlineStr">
        <is>
          <t>사용</t>
        </is>
      </c>
      <c r="C2902" s="18">
        <f>IF(OR(B2902&lt;&gt;AK2902,M2902&lt;&gt;L2902,O2902&lt;&gt;"",Q2902&lt;&gt;"",V2902&lt;&gt;1,Y2902&lt;&gt;"",AT2902&lt;&gt;""),"수정","원본")</f>
        <v/>
      </c>
      <c r="D2902" s="18" t="n">
        <v>921</v>
      </c>
      <c r="E2902" s="18" t="inlineStr">
        <is>
          <t>빠모</t>
        </is>
      </c>
      <c r="F2902" s="18" t="inlineStr">
        <is>
          <t>pawmi</t>
        </is>
      </c>
      <c r="G2902" s="18" t="inlineStr">
        <is>
          <t>pawmi</t>
        </is>
      </c>
      <c r="H2902" s="18" t="inlineStr"/>
      <c r="I2902" s="18" t="n">
        <v>9</v>
      </c>
      <c r="J2902" s="18" t="n"/>
      <c r="K2902" s="18" t="n">
        <v>9</v>
      </c>
      <c r="L2902" s="18" t="inlineStr">
        <is>
          <t>cobbleventure:generation_9</t>
        </is>
      </c>
      <c r="M2902" s="19" t="inlineStr">
        <is>
          <t>cobbleventure:generation_9</t>
        </is>
      </c>
      <c r="N2902" s="18" t="inlineStr">
        <is>
          <t>region_01</t>
        </is>
      </c>
      <c r="O2902" s="19" t="inlineStr"/>
      <c r="P2902" s="18" t="inlineStr">
        <is>
          <t>#cobblemon:is_plains</t>
        </is>
      </c>
      <c r="Q2902" s="19" t="inlineStr"/>
      <c r="R2902" s="18">
        <f>IF(Q2902="",P2902,Q2902)</f>
        <v/>
      </c>
      <c r="S2902" s="18" t="inlineStr"/>
      <c r="T2902" s="18" t="inlineStr">
        <is>
          <t>uncommon</t>
        </is>
      </c>
      <c r="U2902" s="20" t="n">
        <v>7</v>
      </c>
      <c r="V2902" s="21" t="n">
        <v>1</v>
      </c>
      <c r="W2902" s="20">
        <f>IF(OR(U2902="",V2902=""),U2902,U2902*V2902)</f>
        <v/>
      </c>
      <c r="X2902" s="18" t="inlineStr">
        <is>
          <t>5-17</t>
        </is>
      </c>
      <c r="Y2902" s="19" t="inlineStr"/>
      <c r="Z2902" s="18">
        <f>IF(Y2902="",X2902,Y2902)</f>
        <v/>
      </c>
      <c r="AA2902" s="18" t="inlineStr">
        <is>
          <t>grounded</t>
        </is>
      </c>
      <c r="AB2902" s="18" t="inlineStr"/>
      <c r="AC2902" s="18" t="inlineStr"/>
      <c r="AD2902" s="18" t="inlineStr"/>
      <c r="AE2902" s="18" t="inlineStr"/>
      <c r="AF2902" s="18" t="inlineStr">
        <is>
          <t>True</t>
        </is>
      </c>
      <c r="AG2902" s="18" t="inlineStr"/>
      <c r="AH2902" s="18" t="inlineStr"/>
      <c r="AI2902" s="18" t="inlineStr">
        <is>
          <t>{"spawn":{"canSeeSky":true}}</t>
        </is>
      </c>
      <c r="AJ2902" s="18" t="inlineStr">
        <is>
          <t>COBBLEVERSE 추가</t>
        </is>
      </c>
      <c r="AK2902" s="18" t="inlineStr">
        <is>
          <t>사용</t>
        </is>
      </c>
      <c r="AL2902" s="18" t="inlineStr">
        <is>
          <t>COBBLEVERSE 1.7.42 / DP v31</t>
        </is>
      </c>
      <c r="AM2902" s="18" t="inlineStr">
        <is>
          <t>data/cobblemon/spawn_pool_world/0921_pawmi.json</t>
        </is>
      </c>
      <c r="AN2902" s="18" t="inlineStr">
        <is>
          <t>pawmi-1</t>
        </is>
      </c>
      <c r="AO2902" s="18" t="inlineStr">
        <is>
          <t>pokemon</t>
        </is>
      </c>
      <c r="AP2902" s="18" t="inlineStr">
        <is>
          <t>natural</t>
        </is>
      </c>
      <c r="AQ2902" s="18" t="inlineStr">
        <is>
          <t>{"biomes":["#cobblemon:is_plains"]}</t>
        </is>
      </c>
      <c r="AR2902" s="18" t="inlineStr"/>
      <c r="AS2902" s="18" t="inlineStr"/>
      <c r="AT2902" s="19" t="inlineStr"/>
    </row>
    <row r="2903" ht="32" customHeight="1">
      <c r="A2903" s="18" t="inlineStr">
        <is>
          <t>0922_pawmo.json::pawmo-1::001</t>
        </is>
      </c>
      <c r="B2903" s="19" t="inlineStr">
        <is>
          <t>사용</t>
        </is>
      </c>
      <c r="C2903" s="18">
        <f>IF(OR(B2903&lt;&gt;AK2903,M2903&lt;&gt;L2903,O2903&lt;&gt;"",Q2903&lt;&gt;"",V2903&lt;&gt;1,Y2903&lt;&gt;"",AT2903&lt;&gt;""),"수정","원본")</f>
        <v/>
      </c>
      <c r="D2903" s="18" t="n">
        <v>922</v>
      </c>
      <c r="E2903" s="18" t="inlineStr">
        <is>
          <t>빠모트</t>
        </is>
      </c>
      <c r="F2903" s="18" t="inlineStr">
        <is>
          <t>pawmo</t>
        </is>
      </c>
      <c r="G2903" s="18" t="inlineStr">
        <is>
          <t>pawmo</t>
        </is>
      </c>
      <c r="H2903" s="18" t="inlineStr"/>
      <c r="I2903" s="18" t="n">
        <v>9</v>
      </c>
      <c r="J2903" s="18" t="n"/>
      <c r="K2903" s="18" t="n">
        <v>9</v>
      </c>
      <c r="L2903" s="18" t="inlineStr">
        <is>
          <t>cobbleventure:generation_9</t>
        </is>
      </c>
      <c r="M2903" s="19" t="inlineStr">
        <is>
          <t>cobbleventure:generation_9</t>
        </is>
      </c>
      <c r="N2903" s="18" t="inlineStr">
        <is>
          <t>region_01</t>
        </is>
      </c>
      <c r="O2903" s="19" t="inlineStr"/>
      <c r="P2903" s="18" t="inlineStr">
        <is>
          <t>#cobblemon:is_plains</t>
        </is>
      </c>
      <c r="Q2903" s="19" t="inlineStr"/>
      <c r="R2903" s="18">
        <f>IF(Q2903="",P2903,Q2903)</f>
        <v/>
      </c>
      <c r="S2903" s="18" t="inlineStr"/>
      <c r="T2903" s="18" t="inlineStr">
        <is>
          <t>uncommon</t>
        </is>
      </c>
      <c r="U2903" s="20" t="n">
        <v>2.5</v>
      </c>
      <c r="V2903" s="21" t="n">
        <v>1</v>
      </c>
      <c r="W2903" s="20">
        <f>IF(OR(U2903="",V2903=""),U2903,U2903*V2903)</f>
        <v/>
      </c>
      <c r="X2903" s="18" t="inlineStr">
        <is>
          <t>18-34</t>
        </is>
      </c>
      <c r="Y2903" s="19" t="inlineStr"/>
      <c r="Z2903" s="18">
        <f>IF(Y2903="",X2903,Y2903)</f>
        <v/>
      </c>
      <c r="AA2903" s="18" t="inlineStr">
        <is>
          <t>grounded</t>
        </is>
      </c>
      <c r="AB2903" s="18" t="inlineStr"/>
      <c r="AC2903" s="18" t="inlineStr"/>
      <c r="AD2903" s="18" t="inlineStr"/>
      <c r="AE2903" s="18" t="inlineStr"/>
      <c r="AF2903" s="18" t="inlineStr">
        <is>
          <t>True</t>
        </is>
      </c>
      <c r="AG2903" s="18" t="inlineStr"/>
      <c r="AH2903" s="18" t="inlineStr"/>
      <c r="AI2903" s="18" t="inlineStr">
        <is>
          <t>{"spawn":{"canSeeSky":true}}</t>
        </is>
      </c>
      <c r="AJ2903" s="18" t="inlineStr">
        <is>
          <t>COBBLEVERSE 추가</t>
        </is>
      </c>
      <c r="AK2903" s="18" t="inlineStr">
        <is>
          <t>사용</t>
        </is>
      </c>
      <c r="AL2903" s="18" t="inlineStr">
        <is>
          <t>COBBLEVERSE 1.7.42 / DP v31</t>
        </is>
      </c>
      <c r="AM2903" s="18" t="inlineStr">
        <is>
          <t>data/cobblemon/spawn_pool_world/0922_pawmo.json</t>
        </is>
      </c>
      <c r="AN2903" s="18" t="inlineStr">
        <is>
          <t>pawmo-1</t>
        </is>
      </c>
      <c r="AO2903" s="18" t="inlineStr">
        <is>
          <t>pokemon</t>
        </is>
      </c>
      <c r="AP2903" s="18" t="inlineStr">
        <is>
          <t>natural</t>
        </is>
      </c>
      <c r="AQ2903" s="18" t="inlineStr">
        <is>
          <t>{"biomes":["#cobblemon:is_plains"]}</t>
        </is>
      </c>
      <c r="AR2903" s="18" t="inlineStr"/>
      <c r="AS2903" s="18" t="inlineStr"/>
      <c r="AT2903" s="19" t="inlineStr"/>
    </row>
    <row r="2904" ht="32" customHeight="1">
      <c r="A2904" s="18" t="inlineStr">
        <is>
          <t>0923_pawmot.json::pawmot-1::001</t>
        </is>
      </c>
      <c r="B2904" s="19" t="inlineStr">
        <is>
          <t>사용</t>
        </is>
      </c>
      <c r="C2904" s="18">
        <f>IF(OR(B2904&lt;&gt;AK2904,M2904&lt;&gt;L2904,O2904&lt;&gt;"",Q2904&lt;&gt;"",V2904&lt;&gt;1,Y2904&lt;&gt;"",AT2904&lt;&gt;""),"수정","원본")</f>
        <v/>
      </c>
      <c r="D2904" s="18" t="n">
        <v>923</v>
      </c>
      <c r="E2904" s="18" t="inlineStr">
        <is>
          <t>빠르모트</t>
        </is>
      </c>
      <c r="F2904" s="18" t="inlineStr">
        <is>
          <t>pawmot</t>
        </is>
      </c>
      <c r="G2904" s="18" t="inlineStr">
        <is>
          <t>pawmot</t>
        </is>
      </c>
      <c r="H2904" s="18" t="inlineStr"/>
      <c r="I2904" s="18" t="n">
        <v>9</v>
      </c>
      <c r="J2904" s="18" t="n"/>
      <c r="K2904" s="18" t="n">
        <v>9</v>
      </c>
      <c r="L2904" s="18" t="inlineStr">
        <is>
          <t>cobbleventure:generation_9</t>
        </is>
      </c>
      <c r="M2904" s="19" t="inlineStr">
        <is>
          <t>cobbleventure:generation_9</t>
        </is>
      </c>
      <c r="N2904" s="18" t="inlineStr">
        <is>
          <t>region_01</t>
        </is>
      </c>
      <c r="O2904" s="19" t="inlineStr"/>
      <c r="P2904" s="18" t="inlineStr">
        <is>
          <t>#cobblemon:is_plains</t>
        </is>
      </c>
      <c r="Q2904" s="19" t="inlineStr"/>
      <c r="R2904" s="18">
        <f>IF(Q2904="",P2904,Q2904)</f>
        <v/>
      </c>
      <c r="S2904" s="18" t="inlineStr"/>
      <c r="T2904" s="18" t="inlineStr">
        <is>
          <t>rare</t>
        </is>
      </c>
      <c r="U2904" s="20" t="n">
        <v>0.9</v>
      </c>
      <c r="V2904" s="21" t="n">
        <v>1</v>
      </c>
      <c r="W2904" s="20">
        <f>IF(OR(U2904="",V2904=""),U2904,U2904*V2904)</f>
        <v/>
      </c>
      <c r="X2904" s="18" t="inlineStr">
        <is>
          <t>30-45</t>
        </is>
      </c>
      <c r="Y2904" s="19" t="inlineStr"/>
      <c r="Z2904" s="18">
        <f>IF(Y2904="",X2904,Y2904)</f>
        <v/>
      </c>
      <c r="AA2904" s="18" t="inlineStr">
        <is>
          <t>grounded</t>
        </is>
      </c>
      <c r="AB2904" s="18" t="inlineStr"/>
      <c r="AC2904" s="18" t="inlineStr"/>
      <c r="AD2904" s="18" t="inlineStr"/>
      <c r="AE2904" s="18" t="inlineStr"/>
      <c r="AF2904" s="18" t="inlineStr">
        <is>
          <t>True</t>
        </is>
      </c>
      <c r="AG2904" s="18" t="inlineStr"/>
      <c r="AH2904" s="18" t="inlineStr"/>
      <c r="AI2904" s="18" t="inlineStr">
        <is>
          <t>{"spawn":{"canSeeSky":true}}</t>
        </is>
      </c>
      <c r="AJ2904" s="18" t="inlineStr">
        <is>
          <t>COBBLEVERSE 추가</t>
        </is>
      </c>
      <c r="AK2904" s="18" t="inlineStr">
        <is>
          <t>사용</t>
        </is>
      </c>
      <c r="AL2904" s="18" t="inlineStr">
        <is>
          <t>COBBLEVERSE 1.7.42 / DP v31</t>
        </is>
      </c>
      <c r="AM2904" s="18" t="inlineStr">
        <is>
          <t>data/cobblemon/spawn_pool_world/0923_pawmot.json</t>
        </is>
      </c>
      <c r="AN2904" s="18" t="inlineStr">
        <is>
          <t>pawmot-1</t>
        </is>
      </c>
      <c r="AO2904" s="18" t="inlineStr">
        <is>
          <t>pokemon</t>
        </is>
      </c>
      <c r="AP2904" s="18" t="inlineStr">
        <is>
          <t>natural</t>
        </is>
      </c>
      <c r="AQ2904" s="18" t="inlineStr">
        <is>
          <t>{"biomes":["#cobblemon:is_plains"]}</t>
        </is>
      </c>
      <c r="AR2904" s="18" t="inlineStr"/>
      <c r="AS2904" s="18" t="inlineStr"/>
      <c r="AT2904" s="19" t="inlineStr"/>
    </row>
    <row r="2905" ht="32" customHeight="1">
      <c r="A2905" s="18" t="inlineStr">
        <is>
          <t>0924_tandemaus.json::tandemaus-1::001</t>
        </is>
      </c>
      <c r="B2905" s="19" t="inlineStr">
        <is>
          <t>사용</t>
        </is>
      </c>
      <c r="C2905" s="18">
        <f>IF(OR(B2905&lt;&gt;AK2905,M2905&lt;&gt;L2905,O2905&lt;&gt;"",Q2905&lt;&gt;"",V2905&lt;&gt;1,Y2905&lt;&gt;"",AT2905&lt;&gt;""),"수정","원본")</f>
        <v/>
      </c>
      <c r="D2905" s="18" t="n">
        <v>924</v>
      </c>
      <c r="E2905" s="18" t="inlineStr">
        <is>
          <t>두리쥐</t>
        </is>
      </c>
      <c r="F2905" s="18" t="inlineStr">
        <is>
          <t>tandemaus</t>
        </is>
      </c>
      <c r="G2905" s="18" t="inlineStr">
        <is>
          <t>tandemaus</t>
        </is>
      </c>
      <c r="H2905" s="18" t="inlineStr"/>
      <c r="I2905" s="18" t="n">
        <v>9</v>
      </c>
      <c r="J2905" s="18" t="n"/>
      <c r="K2905" s="18" t="n">
        <v>9</v>
      </c>
      <c r="L2905" s="18" t="inlineStr">
        <is>
          <t>cobbleventure:generation_9</t>
        </is>
      </c>
      <c r="M2905" s="19" t="inlineStr">
        <is>
          <t>cobbleventure:generation_9</t>
        </is>
      </c>
      <c r="N2905" s="18" t="inlineStr">
        <is>
          <t>region_01</t>
        </is>
      </c>
      <c r="O2905" s="19" t="inlineStr"/>
      <c r="P2905" s="18" t="inlineStr">
        <is>
          <t>#cobblemon:is_temperate</t>
        </is>
      </c>
      <c r="Q2905" s="19" t="inlineStr"/>
      <c r="R2905" s="18">
        <f>IF(Q2905="",P2905,Q2905)</f>
        <v/>
      </c>
      <c r="S2905" s="18" t="inlineStr"/>
      <c r="T2905" s="18" t="inlineStr">
        <is>
          <t>common</t>
        </is>
      </c>
      <c r="U2905" s="20" t="n">
        <v>1.8</v>
      </c>
      <c r="V2905" s="21" t="n">
        <v>1</v>
      </c>
      <c r="W2905" s="20">
        <f>IF(OR(U2905="",V2905=""),U2905,U2905*V2905)</f>
        <v/>
      </c>
      <c r="X2905" s="18" t="inlineStr">
        <is>
          <t>6-31</t>
        </is>
      </c>
      <c r="Y2905" s="19" t="inlineStr"/>
      <c r="Z2905" s="18">
        <f>IF(Y2905="",X2905,Y2905)</f>
        <v/>
      </c>
      <c r="AA2905" s="18" t="inlineStr">
        <is>
          <t>grounded</t>
        </is>
      </c>
      <c r="AB2905" s="18" t="inlineStr"/>
      <c r="AC2905" s="18" t="inlineStr"/>
      <c r="AD2905" s="18" t="inlineStr"/>
      <c r="AE2905" s="18" t="inlineStr">
        <is>
          <t>sky 8-15</t>
        </is>
      </c>
      <c r="AF2905" s="18" t="inlineStr"/>
      <c r="AG2905" s="18" t="inlineStr"/>
      <c r="AH2905" s="18" t="inlineStr"/>
      <c r="AI2905" s="18" t="inlineStr"/>
      <c r="AJ2905" s="18" t="inlineStr">
        <is>
          <t>Cobblemon 동일</t>
        </is>
      </c>
      <c r="AK2905" s="18" t="inlineStr">
        <is>
          <t>사용</t>
        </is>
      </c>
      <c r="AL2905" s="18" t="inlineStr">
        <is>
          <t>COBBLEVERSE 1.7.42 / DP v31</t>
        </is>
      </c>
      <c r="AM2905" s="18" t="inlineStr">
        <is>
          <t>data/cobblemon/spawn_pool_world/0924_tandemaus.json</t>
        </is>
      </c>
      <c r="AN2905" s="18" t="inlineStr">
        <is>
          <t>tandemaus-1</t>
        </is>
      </c>
      <c r="AO2905" s="18" t="inlineStr">
        <is>
          <t>pokemon</t>
        </is>
      </c>
      <c r="AP2905" s="18" t="inlineStr">
        <is>
          <t>natural; wild</t>
        </is>
      </c>
      <c r="AQ2905" s="18" t="inlineStr">
        <is>
          <t>{"biomes":["#cobblemon:is_temperate"],"maxSkyLight":15,"minSkyLight":8}</t>
        </is>
      </c>
      <c r="AR2905" s="18" t="inlineStr"/>
      <c r="AS2905" s="18" t="inlineStr">
        <is>
          <t>{"weightMultiplier":{"condition":{"timeRange":"day"},"multiplier":0.25}}</t>
        </is>
      </c>
      <c r="AT2905" s="19" t="inlineStr"/>
    </row>
    <row r="2906" ht="32" customHeight="1">
      <c r="A2906" s="18" t="inlineStr">
        <is>
          <t>0924_tandemaus.json::tandemaus-2::002</t>
        </is>
      </c>
      <c r="B2906" s="19" t="inlineStr">
        <is>
          <t>사용</t>
        </is>
      </c>
      <c r="C2906" s="18">
        <f>IF(OR(B2906&lt;&gt;AK2906,M2906&lt;&gt;L2906,O2906&lt;&gt;"",Q2906&lt;&gt;"",V2906&lt;&gt;1,Y2906&lt;&gt;"",AT2906&lt;&gt;""),"수정","원본")</f>
        <v/>
      </c>
      <c r="D2906" s="18" t="n">
        <v>924</v>
      </c>
      <c r="E2906" s="18" t="inlineStr">
        <is>
          <t>두리쥐</t>
        </is>
      </c>
      <c r="F2906" s="18" t="inlineStr">
        <is>
          <t>tandemaus</t>
        </is>
      </c>
      <c r="G2906" s="18" t="inlineStr">
        <is>
          <t>tandemaus</t>
        </is>
      </c>
      <c r="H2906" s="18" t="inlineStr"/>
      <c r="I2906" s="18" t="n">
        <v>9</v>
      </c>
      <c r="J2906" s="18" t="n"/>
      <c r="K2906" s="18" t="n">
        <v>9</v>
      </c>
      <c r="L2906" s="18" t="inlineStr">
        <is>
          <t>cobbleventure:generation_9</t>
        </is>
      </c>
      <c r="M2906" s="19" t="inlineStr">
        <is>
          <t>cobbleventure:generation_9</t>
        </is>
      </c>
      <c r="N2906" s="18" t="inlineStr">
        <is>
          <t>region_01</t>
        </is>
      </c>
      <c r="O2906" s="19" t="inlineStr"/>
      <c r="P2906" s="18" t="inlineStr">
        <is>
          <t>#cobblemon:is_overworld</t>
        </is>
      </c>
      <c r="Q2906" s="19" t="inlineStr"/>
      <c r="R2906" s="18">
        <f>IF(Q2906="",P2906,Q2906)</f>
        <v/>
      </c>
      <c r="S2906" s="18" t="inlineStr">
        <is>
          <t>#cobblemon:is_freezing; #cobblemon:is_sandy</t>
        </is>
      </c>
      <c r="T2906" s="18" t="inlineStr">
        <is>
          <t>common</t>
        </is>
      </c>
      <c r="U2906" s="20" t="n">
        <v>5.4</v>
      </c>
      <c r="V2906" s="21" t="n">
        <v>1</v>
      </c>
      <c r="W2906" s="20">
        <f>IF(OR(U2906="",V2906=""),U2906,U2906*V2906)</f>
        <v/>
      </c>
      <c r="X2906" s="18" t="inlineStr">
        <is>
          <t>6-31</t>
        </is>
      </c>
      <c r="Y2906" s="19" t="inlineStr"/>
      <c r="Z2906" s="18">
        <f>IF(Y2906="",X2906,Y2906)</f>
        <v/>
      </c>
      <c r="AA2906" s="18" t="inlineStr">
        <is>
          <t>grounded</t>
        </is>
      </c>
      <c r="AB2906" s="18" t="inlineStr"/>
      <c r="AC2906" s="18" t="inlineStr"/>
      <c r="AD2906" s="18" t="inlineStr"/>
      <c r="AE2906" s="18" t="inlineStr">
        <is>
          <t>sky 8-15</t>
        </is>
      </c>
      <c r="AF2906" s="18" t="inlineStr"/>
      <c r="AG2906" s="18" t="inlineStr"/>
      <c r="AH2906" s="18" t="inlineStr"/>
      <c r="AI2906" s="18" t="inlineStr"/>
      <c r="AJ2906" s="18" t="inlineStr">
        <is>
          <t>Cobblemon 동일</t>
        </is>
      </c>
      <c r="AK2906" s="18" t="inlineStr">
        <is>
          <t>사용</t>
        </is>
      </c>
      <c r="AL2906" s="18" t="inlineStr">
        <is>
          <t>COBBLEVERSE 1.7.42 / DP v31</t>
        </is>
      </c>
      <c r="AM2906" s="18" t="inlineStr">
        <is>
          <t>data/cobblemon/spawn_pool_world/0924_tandemaus.json</t>
        </is>
      </c>
      <c r="AN2906" s="18" t="inlineStr">
        <is>
          <t>tandemaus-2</t>
        </is>
      </c>
      <c r="AO2906" s="18" t="inlineStr">
        <is>
          <t>pokemon</t>
        </is>
      </c>
      <c r="AP2906" s="18" t="inlineStr">
        <is>
          <t>natural; urban</t>
        </is>
      </c>
      <c r="AQ2906" s="18" t="inlineStr">
        <is>
          <t>{"biomes":["#cobblemon:is_overworld"],"maxSkyLight":15,"minSkyLight":8}</t>
        </is>
      </c>
      <c r="AR2906" s="18" t="inlineStr">
        <is>
          <t>{"biomes":["#cobblemon:is_freezing","#cobblemon:is_sandy"]}</t>
        </is>
      </c>
      <c r="AS2906" s="18" t="inlineStr">
        <is>
          <t>{"weightMultiplier":{"condition":{"timeRange":"day"},"multiplier":0.25}}</t>
        </is>
      </c>
      <c r="AT2906" s="19" t="inlineStr"/>
    </row>
    <row r="2907" ht="32" customHeight="1">
      <c r="A2907" s="18" t="inlineStr">
        <is>
          <t>0924_tandemaus.json::tandemaus-3::003</t>
        </is>
      </c>
      <c r="B2907" s="19" t="inlineStr">
        <is>
          <t>사용</t>
        </is>
      </c>
      <c r="C2907" s="18">
        <f>IF(OR(B2907&lt;&gt;AK2907,M2907&lt;&gt;L2907,O2907&lt;&gt;"",Q2907&lt;&gt;"",V2907&lt;&gt;1,Y2907&lt;&gt;"",AT2907&lt;&gt;""),"수정","원본")</f>
        <v/>
      </c>
      <c r="D2907" s="18" t="n">
        <v>924</v>
      </c>
      <c r="E2907" s="18" t="inlineStr">
        <is>
          <t>두리쥐</t>
        </is>
      </c>
      <c r="F2907" s="18" t="inlineStr">
        <is>
          <t>tandemaus</t>
        </is>
      </c>
      <c r="G2907" s="18" t="inlineStr">
        <is>
          <t>tandemaus</t>
        </is>
      </c>
      <c r="H2907" s="18" t="inlineStr"/>
      <c r="I2907" s="18" t="n">
        <v>9</v>
      </c>
      <c r="J2907" s="18" t="n"/>
      <c r="K2907" s="18" t="n">
        <v>9</v>
      </c>
      <c r="L2907" s="18" t="inlineStr">
        <is>
          <t>cobbleventure:generation_9</t>
        </is>
      </c>
      <c r="M2907" s="19" t="inlineStr">
        <is>
          <t>cobbleventure:generation_9</t>
        </is>
      </c>
      <c r="N2907" s="18" t="inlineStr">
        <is>
          <t>region_01</t>
        </is>
      </c>
      <c r="O2907" s="19" t="inlineStr"/>
      <c r="P2907" s="18" t="inlineStr">
        <is>
          <t>#cobblemon:is_overworld</t>
        </is>
      </c>
      <c r="Q2907" s="19" t="inlineStr"/>
      <c r="R2907" s="18">
        <f>IF(Q2907="",P2907,Q2907)</f>
        <v/>
      </c>
      <c r="S2907" s="18" t="inlineStr">
        <is>
          <t>#cobblemon:is_freezing; #cobblemon:is_sandy</t>
        </is>
      </c>
      <c r="T2907" s="18" t="inlineStr">
        <is>
          <t>common</t>
        </is>
      </c>
      <c r="U2907" s="20" t="n">
        <v>5.4</v>
      </c>
      <c r="V2907" s="21" t="n">
        <v>1</v>
      </c>
      <c r="W2907" s="20">
        <f>IF(OR(U2907="",V2907=""),U2907,U2907*V2907)</f>
        <v/>
      </c>
      <c r="X2907" s="18" t="inlineStr">
        <is>
          <t>6-31</t>
        </is>
      </c>
      <c r="Y2907" s="19" t="inlineStr"/>
      <c r="Z2907" s="18">
        <f>IF(Y2907="",X2907,Y2907)</f>
        <v/>
      </c>
      <c r="AA2907" s="18" t="inlineStr">
        <is>
          <t>grounded</t>
        </is>
      </c>
      <c r="AB2907" s="18" t="inlineStr"/>
      <c r="AC2907" s="18" t="inlineStr"/>
      <c r="AD2907" s="18" t="inlineStr"/>
      <c r="AE2907" s="18" t="inlineStr">
        <is>
          <t>sky 8-15</t>
        </is>
      </c>
      <c r="AF2907" s="18" t="inlineStr"/>
      <c r="AG2907" s="18" t="inlineStr">
        <is>
          <t>#minecraft:village</t>
        </is>
      </c>
      <c r="AH2907" s="18" t="inlineStr"/>
      <c r="AI2907" s="18" t="inlineStr"/>
      <c r="AJ2907" s="18" t="inlineStr">
        <is>
          <t>Cobblemon 동일</t>
        </is>
      </c>
      <c r="AK2907" s="18" t="inlineStr">
        <is>
          <t>사용</t>
        </is>
      </c>
      <c r="AL2907" s="18" t="inlineStr">
        <is>
          <t>COBBLEVERSE 1.7.42 / DP v31</t>
        </is>
      </c>
      <c r="AM2907" s="18" t="inlineStr">
        <is>
          <t>data/cobblemon/spawn_pool_world/0924_tandemaus.json</t>
        </is>
      </c>
      <c r="AN2907" s="18" t="inlineStr">
        <is>
          <t>tandemaus-3</t>
        </is>
      </c>
      <c r="AO2907" s="18" t="inlineStr">
        <is>
          <t>pokemon</t>
        </is>
      </c>
      <c r="AP2907" s="18" t="inlineStr">
        <is>
          <t>natural</t>
        </is>
      </c>
      <c r="AQ2907" s="18" t="inlineStr">
        <is>
          <t>{"biomes":["#cobblemon:is_overworld"],"maxSkyLight":15,"minSkyLight":8,"structures":["#minecraft:village"]}</t>
        </is>
      </c>
      <c r="AR2907" s="18" t="inlineStr">
        <is>
          <t>{"biomes":["#cobblemon:is_freezing","#cobblemon:is_sandy"]}</t>
        </is>
      </c>
      <c r="AS2907" s="18" t="inlineStr">
        <is>
          <t>{"weightMultiplier":{"condition":{"timeRange":"day"},"multiplier":0.25}}</t>
        </is>
      </c>
      <c r="AT2907" s="19" t="inlineStr"/>
    </row>
    <row r="2908" ht="32" customHeight="1">
      <c r="A2908" s="18" t="inlineStr">
        <is>
          <t>0924_tandemaus.json::tandemaus-4::004</t>
        </is>
      </c>
      <c r="B2908" s="19" t="inlineStr">
        <is>
          <t>사용</t>
        </is>
      </c>
      <c r="C2908" s="18">
        <f>IF(OR(B2908&lt;&gt;AK2908,M2908&lt;&gt;L2908,O2908&lt;&gt;"",Q2908&lt;&gt;"",V2908&lt;&gt;1,Y2908&lt;&gt;"",AT2908&lt;&gt;""),"수정","원본")</f>
        <v/>
      </c>
      <c r="D2908" s="18" t="n">
        <v>924</v>
      </c>
      <c r="E2908" s="18" t="inlineStr">
        <is>
          <t>두리쥐</t>
        </is>
      </c>
      <c r="F2908" s="18" t="inlineStr">
        <is>
          <t>tandemaus</t>
        </is>
      </c>
      <c r="G2908" s="18" t="inlineStr">
        <is>
          <t>tandemaus</t>
        </is>
      </c>
      <c r="H2908" s="18" t="inlineStr"/>
      <c r="I2908" s="18" t="n">
        <v>9</v>
      </c>
      <c r="J2908" s="18" t="n"/>
      <c r="K2908" s="18" t="n">
        <v>9</v>
      </c>
      <c r="L2908" s="18" t="inlineStr">
        <is>
          <t>cobbleventure:generation_9</t>
        </is>
      </c>
      <c r="M2908" s="19" t="inlineStr">
        <is>
          <t>cobbleventure:generation_9</t>
        </is>
      </c>
      <c r="N2908" s="18" t="inlineStr">
        <is>
          <t>region_01; region_02</t>
        </is>
      </c>
      <c r="O2908" s="19" t="inlineStr"/>
      <c r="P2908" s="18" t="inlineStr">
        <is>
          <t>#cobblemon:is_overworld</t>
        </is>
      </c>
      <c r="Q2908" s="19" t="inlineStr"/>
      <c r="R2908" s="18">
        <f>IF(Q2908="",P2908,Q2908)</f>
        <v/>
      </c>
      <c r="S2908" s="18" t="inlineStr"/>
      <c r="T2908" s="18" t="inlineStr">
        <is>
          <t>common</t>
        </is>
      </c>
      <c r="U2908" s="20" t="n">
        <v>9</v>
      </c>
      <c r="V2908" s="21" t="n">
        <v>1</v>
      </c>
      <c r="W2908" s="20">
        <f>IF(OR(U2908="",V2908=""),U2908,U2908*V2908)</f>
        <v/>
      </c>
      <c r="X2908" s="18" t="inlineStr">
        <is>
          <t>6-31</t>
        </is>
      </c>
      <c r="Y2908" s="19" t="inlineStr"/>
      <c r="Z2908" s="18">
        <f>IF(Y2908="",X2908,Y2908)</f>
        <v/>
      </c>
      <c r="AA2908" s="18" t="inlineStr">
        <is>
          <t>grounded</t>
        </is>
      </c>
      <c r="AB2908" s="18" t="inlineStr"/>
      <c r="AC2908" s="18" t="inlineStr"/>
      <c r="AD2908" s="18" t="inlineStr"/>
      <c r="AE2908" s="18" t="inlineStr"/>
      <c r="AF2908" s="18" t="inlineStr">
        <is>
          <t>False</t>
        </is>
      </c>
      <c r="AG2908" s="18" t="inlineStr"/>
      <c r="AH2908" s="18" t="inlineStr"/>
      <c r="AI2908" s="18" t="inlineStr"/>
      <c r="AJ2908" s="18" t="inlineStr">
        <is>
          <t>Cobblemon 동일</t>
        </is>
      </c>
      <c r="AK2908" s="18" t="inlineStr">
        <is>
          <t>사용</t>
        </is>
      </c>
      <c r="AL2908" s="18" t="inlineStr">
        <is>
          <t>COBBLEVERSE 1.7.42 / DP v31</t>
        </is>
      </c>
      <c r="AM2908" s="18" t="inlineStr">
        <is>
          <t>data/cobblemon/spawn_pool_world/0924_tandemaus.json</t>
        </is>
      </c>
      <c r="AN2908" s="18" t="inlineStr">
        <is>
          <t>tandemaus-4</t>
        </is>
      </c>
      <c r="AO2908" s="18" t="inlineStr">
        <is>
          <t>pokemon</t>
        </is>
      </c>
      <c r="AP2908" s="18" t="inlineStr">
        <is>
          <t>mansion</t>
        </is>
      </c>
      <c r="AQ2908" s="18" t="inlineStr">
        <is>
          <t>{"biomes":["#cobblemon:is_overworld"],"canSeeSky":false}</t>
        </is>
      </c>
      <c r="AR2908" s="18" t="inlineStr"/>
      <c r="AS2908" s="18" t="inlineStr"/>
      <c r="AT2908" s="19" t="inlineStr"/>
    </row>
    <row r="2909" ht="32" customHeight="1">
      <c r="A2909" s="18" t="inlineStr">
        <is>
          <t>0924_tandemaus.json::tandemaus-5::005</t>
        </is>
      </c>
      <c r="B2909" s="19" t="inlineStr">
        <is>
          <t>사용</t>
        </is>
      </c>
      <c r="C2909" s="18">
        <f>IF(OR(B2909&lt;&gt;AK2909,M2909&lt;&gt;L2909,O2909&lt;&gt;"",Q2909&lt;&gt;"",V2909&lt;&gt;1,Y2909&lt;&gt;"",AT2909&lt;&gt;""),"수정","원본")</f>
        <v/>
      </c>
      <c r="D2909" s="18" t="n">
        <v>924</v>
      </c>
      <c r="E2909" s="18" t="inlineStr">
        <is>
          <t>두리쥐</t>
        </is>
      </c>
      <c r="F2909" s="18" t="inlineStr">
        <is>
          <t>tandemaus</t>
        </is>
      </c>
      <c r="G2909" s="18" t="inlineStr">
        <is>
          <t>tandemaus</t>
        </is>
      </c>
      <c r="H2909" s="18" t="inlineStr"/>
      <c r="I2909" s="18" t="n">
        <v>9</v>
      </c>
      <c r="J2909" s="18" t="n"/>
      <c r="K2909" s="18" t="n">
        <v>9</v>
      </c>
      <c r="L2909" s="18" t="inlineStr">
        <is>
          <t>cobbleventure:generation_9</t>
        </is>
      </c>
      <c r="M2909" s="19" t="inlineStr">
        <is>
          <t>cobbleventure:generation_9</t>
        </is>
      </c>
      <c r="N2909" s="18" t="inlineStr"/>
      <c r="O2909" s="19" t="inlineStr"/>
      <c r="P2909" s="18" t="inlineStr">
        <is>
          <t>#aether:is_aether</t>
        </is>
      </c>
      <c r="Q2909" s="19" t="inlineStr"/>
      <c r="R2909" s="18">
        <f>IF(Q2909="",P2909,Q2909)</f>
        <v/>
      </c>
      <c r="S2909" s="18" t="inlineStr"/>
      <c r="T2909" s="18" t="inlineStr">
        <is>
          <t>common</t>
        </is>
      </c>
      <c r="U2909" s="20" t="n">
        <v>1.8</v>
      </c>
      <c r="V2909" s="21" t="n">
        <v>1</v>
      </c>
      <c r="W2909" s="20">
        <f>IF(OR(U2909="",V2909=""),U2909,U2909*V2909)</f>
        <v/>
      </c>
      <c r="X2909" s="18" t="inlineStr">
        <is>
          <t>6-31</t>
        </is>
      </c>
      <c r="Y2909" s="19" t="inlineStr"/>
      <c r="Z2909" s="18">
        <f>IF(Y2909="",X2909,Y2909)</f>
        <v/>
      </c>
      <c r="AA2909" s="18" t="inlineStr">
        <is>
          <t>grounded</t>
        </is>
      </c>
      <c r="AB2909" s="18" t="inlineStr"/>
      <c r="AC2909" s="18" t="inlineStr"/>
      <c r="AD2909" s="18" t="inlineStr"/>
      <c r="AE2909" s="18" t="inlineStr">
        <is>
          <t>sky 8-15</t>
        </is>
      </c>
      <c r="AF2909" s="18" t="inlineStr"/>
      <c r="AG2909" s="18" t="inlineStr"/>
      <c r="AH2909" s="18" t="inlineStr"/>
      <c r="AI2909" s="18" t="inlineStr"/>
      <c r="AJ2909" s="18" t="inlineStr">
        <is>
          <t>Cobblemon 동일</t>
        </is>
      </c>
      <c r="AK2909" s="18" t="inlineStr">
        <is>
          <t>사용</t>
        </is>
      </c>
      <c r="AL2909" s="18" t="inlineStr">
        <is>
          <t>COBBLEVERSE 1.7.42 / DP v31</t>
        </is>
      </c>
      <c r="AM2909" s="18" t="inlineStr">
        <is>
          <t>data/cobblemon/spawn_pool_world/0924_tandemaus.json</t>
        </is>
      </c>
      <c r="AN2909" s="18" t="inlineStr">
        <is>
          <t>tandemaus-5</t>
        </is>
      </c>
      <c r="AO2909" s="18" t="inlineStr">
        <is>
          <t>pokemon</t>
        </is>
      </c>
      <c r="AP2909" s="18" t="inlineStr">
        <is>
          <t>natural</t>
        </is>
      </c>
      <c r="AQ2909" s="18" t="inlineStr">
        <is>
          <t>{"biomes":["#aether:is_aether"],"maxSkyLight":15,"minSkyLight":8}</t>
        </is>
      </c>
      <c r="AR2909" s="18" t="inlineStr"/>
      <c r="AS2909" s="18" t="inlineStr"/>
      <c r="AT2909" s="19" t="inlineStr"/>
    </row>
    <row r="2910" ht="32" customHeight="1">
      <c r="A2910" s="18" t="inlineStr">
        <is>
          <t>0925_maushold.json::maushold-four-1::001</t>
        </is>
      </c>
      <c r="B2910" s="19" t="inlineStr">
        <is>
          <t>사용</t>
        </is>
      </c>
      <c r="C2910" s="18">
        <f>IF(OR(B2910&lt;&gt;AK2910,M2910&lt;&gt;L2910,O2910&lt;&gt;"",Q2910&lt;&gt;"",V2910&lt;&gt;1,Y2910&lt;&gt;"",AT2910&lt;&gt;""),"수정","원본")</f>
        <v/>
      </c>
      <c r="D2910" s="18" t="n">
        <v>925</v>
      </c>
      <c r="E2910" s="18" t="inlineStr">
        <is>
          <t>파밀리쥐</t>
        </is>
      </c>
      <c r="F2910" s="18" t="inlineStr">
        <is>
          <t>maushold</t>
        </is>
      </c>
      <c r="G2910" s="18" t="inlineStr">
        <is>
          <t>maushold maushold_family=four</t>
        </is>
      </c>
      <c r="H2910" s="18" t="inlineStr">
        <is>
          <t>maushold_family=four</t>
        </is>
      </c>
      <c r="I2910" s="18" t="n">
        <v>9</v>
      </c>
      <c r="J2910" s="18" t="n"/>
      <c r="K2910" s="18" t="n">
        <v>9</v>
      </c>
      <c r="L2910" s="18" t="inlineStr">
        <is>
          <t>cobbleventure:generation_9</t>
        </is>
      </c>
      <c r="M2910" s="19" t="inlineStr">
        <is>
          <t>cobbleventure:generation_9</t>
        </is>
      </c>
      <c r="N2910" s="18" t="inlineStr">
        <is>
          <t>region_01</t>
        </is>
      </c>
      <c r="O2910" s="19" t="inlineStr"/>
      <c r="P2910" s="18" t="inlineStr">
        <is>
          <t>#cobblemon:is_temperate</t>
        </is>
      </c>
      <c r="Q2910" s="19" t="inlineStr"/>
      <c r="R2910" s="18">
        <f>IF(Q2910="",P2910,Q2910)</f>
        <v/>
      </c>
      <c r="S2910" s="18" t="inlineStr"/>
      <c r="T2910" s="18" t="inlineStr">
        <is>
          <t>common</t>
        </is>
      </c>
      <c r="U2910" s="20" t="n">
        <v>0.198</v>
      </c>
      <c r="V2910" s="21" t="n">
        <v>1</v>
      </c>
      <c r="W2910" s="20">
        <f>IF(OR(U2910="",V2910=""),U2910,U2910*V2910)</f>
        <v/>
      </c>
      <c r="X2910" s="18" t="inlineStr">
        <is>
          <t>25-47</t>
        </is>
      </c>
      <c r="Y2910" s="19" t="inlineStr"/>
      <c r="Z2910" s="18">
        <f>IF(Y2910="",X2910,Y2910)</f>
        <v/>
      </c>
      <c r="AA2910" s="18" t="inlineStr">
        <is>
          <t>grounded</t>
        </is>
      </c>
      <c r="AB2910" s="18" t="inlineStr"/>
      <c r="AC2910" s="18" t="inlineStr"/>
      <c r="AD2910" s="18" t="inlineStr"/>
      <c r="AE2910" s="18" t="inlineStr">
        <is>
          <t>sky 8-15</t>
        </is>
      </c>
      <c r="AF2910" s="18" t="inlineStr"/>
      <c r="AG2910" s="18" t="inlineStr"/>
      <c r="AH2910" s="18" t="inlineStr"/>
      <c r="AI2910" s="18" t="inlineStr"/>
      <c r="AJ2910" s="18" t="inlineStr">
        <is>
          <t>Cobblemon 동일</t>
        </is>
      </c>
      <c r="AK2910" s="18" t="inlineStr">
        <is>
          <t>사용</t>
        </is>
      </c>
      <c r="AL2910" s="18" t="inlineStr">
        <is>
          <t>COBBLEVERSE 1.7.42 / DP v31</t>
        </is>
      </c>
      <c r="AM2910" s="18" t="inlineStr">
        <is>
          <t>data/cobblemon/spawn_pool_world/0925_maushold.json</t>
        </is>
      </c>
      <c r="AN2910" s="18" t="inlineStr">
        <is>
          <t>maushold-four-1</t>
        </is>
      </c>
      <c r="AO2910" s="18" t="inlineStr">
        <is>
          <t>pokemon</t>
        </is>
      </c>
      <c r="AP2910" s="18" t="inlineStr">
        <is>
          <t>natural; wild</t>
        </is>
      </c>
      <c r="AQ2910" s="18" t="inlineStr">
        <is>
          <t>{"biomes":["#cobblemon:is_temperate"],"maxSkyLight":15,"minSkyLight":8}</t>
        </is>
      </c>
      <c r="AR2910" s="18" t="inlineStr"/>
      <c r="AS2910" s="18" t="inlineStr">
        <is>
          <t>{"weightMultiplier":{"condition":{"timeRange":"day"},"multiplier":0.25}}</t>
        </is>
      </c>
      <c r="AT2910" s="19" t="inlineStr"/>
    </row>
    <row r="2911" ht="32" customHeight="1">
      <c r="A2911" s="18" t="inlineStr">
        <is>
          <t>0925_maushold.json::maushold-three-2::002</t>
        </is>
      </c>
      <c r="B2911" s="19" t="inlineStr">
        <is>
          <t>사용</t>
        </is>
      </c>
      <c r="C2911" s="18">
        <f>IF(OR(B2911&lt;&gt;AK2911,M2911&lt;&gt;L2911,O2911&lt;&gt;"",Q2911&lt;&gt;"",V2911&lt;&gt;1,Y2911&lt;&gt;"",AT2911&lt;&gt;""),"수정","원본")</f>
        <v/>
      </c>
      <c r="D2911" s="18" t="n">
        <v>925</v>
      </c>
      <c r="E2911" s="18" t="inlineStr">
        <is>
          <t>파밀리쥐</t>
        </is>
      </c>
      <c r="F2911" s="18" t="inlineStr">
        <is>
          <t>maushold</t>
        </is>
      </c>
      <c r="G2911" s="18" t="inlineStr">
        <is>
          <t>maushold maushold_family=three</t>
        </is>
      </c>
      <c r="H2911" s="18" t="inlineStr">
        <is>
          <t>maushold_family=three</t>
        </is>
      </c>
      <c r="I2911" s="18" t="n">
        <v>9</v>
      </c>
      <c r="J2911" s="18" t="n"/>
      <c r="K2911" s="18" t="n">
        <v>9</v>
      </c>
      <c r="L2911" s="18" t="inlineStr">
        <is>
          <t>cobbleventure:generation_9</t>
        </is>
      </c>
      <c r="M2911" s="19" t="inlineStr">
        <is>
          <t>cobbleventure:generation_9</t>
        </is>
      </c>
      <c r="N2911" s="18" t="inlineStr">
        <is>
          <t>region_01</t>
        </is>
      </c>
      <c r="O2911" s="19" t="inlineStr"/>
      <c r="P2911" s="18" t="inlineStr">
        <is>
          <t>#cobblemon:is_temperate</t>
        </is>
      </c>
      <c r="Q2911" s="19" t="inlineStr"/>
      <c r="R2911" s="18">
        <f>IF(Q2911="",P2911,Q2911)</f>
        <v/>
      </c>
      <c r="S2911" s="18" t="inlineStr"/>
      <c r="T2911" s="18" t="inlineStr">
        <is>
          <t>common</t>
        </is>
      </c>
      <c r="U2911" s="20" t="n">
        <v>0.002</v>
      </c>
      <c r="V2911" s="21" t="n">
        <v>1</v>
      </c>
      <c r="W2911" s="20">
        <f>IF(OR(U2911="",V2911=""),U2911,U2911*V2911)</f>
        <v/>
      </c>
      <c r="X2911" s="18" t="inlineStr">
        <is>
          <t>25-47</t>
        </is>
      </c>
      <c r="Y2911" s="19" t="inlineStr"/>
      <c r="Z2911" s="18">
        <f>IF(Y2911="",X2911,Y2911)</f>
        <v/>
      </c>
      <c r="AA2911" s="18" t="inlineStr">
        <is>
          <t>grounded</t>
        </is>
      </c>
      <c r="AB2911" s="18" t="inlineStr"/>
      <c r="AC2911" s="18" t="inlineStr"/>
      <c r="AD2911" s="18" t="inlineStr"/>
      <c r="AE2911" s="18" t="inlineStr">
        <is>
          <t>sky 8-15</t>
        </is>
      </c>
      <c r="AF2911" s="18" t="inlineStr"/>
      <c r="AG2911" s="18" t="inlineStr"/>
      <c r="AH2911" s="18" t="inlineStr"/>
      <c r="AI2911" s="18" t="inlineStr"/>
      <c r="AJ2911" s="18" t="inlineStr">
        <is>
          <t>Cobblemon 동일</t>
        </is>
      </c>
      <c r="AK2911" s="18" t="inlineStr">
        <is>
          <t>사용</t>
        </is>
      </c>
      <c r="AL2911" s="18" t="inlineStr">
        <is>
          <t>COBBLEVERSE 1.7.42 / DP v31</t>
        </is>
      </c>
      <c r="AM2911" s="18" t="inlineStr">
        <is>
          <t>data/cobblemon/spawn_pool_world/0925_maushold.json</t>
        </is>
      </c>
      <c r="AN2911" s="18" t="inlineStr">
        <is>
          <t>maushold-three-2</t>
        </is>
      </c>
      <c r="AO2911" s="18" t="inlineStr">
        <is>
          <t>pokemon</t>
        </is>
      </c>
      <c r="AP2911" s="18" t="inlineStr">
        <is>
          <t>natural; wild</t>
        </is>
      </c>
      <c r="AQ2911" s="18" t="inlineStr">
        <is>
          <t>{"biomes":["#cobblemon:is_temperate"],"maxSkyLight":15,"minSkyLight":8}</t>
        </is>
      </c>
      <c r="AR2911" s="18" t="inlineStr"/>
      <c r="AS2911" s="18" t="inlineStr">
        <is>
          <t>{"weightMultiplier":{"condition":{"timeRange":"day"},"multiplier":0.25}}</t>
        </is>
      </c>
      <c r="AT2911" s="19" t="inlineStr"/>
    </row>
    <row r="2912" ht="32" customHeight="1">
      <c r="A2912" s="18" t="inlineStr">
        <is>
          <t>0925_maushold.json::maushold-four-3::003</t>
        </is>
      </c>
      <c r="B2912" s="19" t="inlineStr">
        <is>
          <t>사용</t>
        </is>
      </c>
      <c r="C2912" s="18">
        <f>IF(OR(B2912&lt;&gt;AK2912,M2912&lt;&gt;L2912,O2912&lt;&gt;"",Q2912&lt;&gt;"",V2912&lt;&gt;1,Y2912&lt;&gt;"",AT2912&lt;&gt;""),"수정","원본")</f>
        <v/>
      </c>
      <c r="D2912" s="18" t="n">
        <v>925</v>
      </c>
      <c r="E2912" s="18" t="inlineStr">
        <is>
          <t>파밀리쥐</t>
        </is>
      </c>
      <c r="F2912" s="18" t="inlineStr">
        <is>
          <t>maushold</t>
        </is>
      </c>
      <c r="G2912" s="18" t="inlineStr">
        <is>
          <t>maushold maushold_family=four</t>
        </is>
      </c>
      <c r="H2912" s="18" t="inlineStr">
        <is>
          <t>maushold_family=four</t>
        </is>
      </c>
      <c r="I2912" s="18" t="n">
        <v>9</v>
      </c>
      <c r="J2912" s="18" t="n"/>
      <c r="K2912" s="18" t="n">
        <v>9</v>
      </c>
      <c r="L2912" s="18" t="inlineStr">
        <is>
          <t>cobbleventure:generation_9</t>
        </is>
      </c>
      <c r="M2912" s="19" t="inlineStr">
        <is>
          <t>cobbleventure:generation_9</t>
        </is>
      </c>
      <c r="N2912" s="18" t="inlineStr">
        <is>
          <t>region_01</t>
        </is>
      </c>
      <c r="O2912" s="19" t="inlineStr"/>
      <c r="P2912" s="18" t="inlineStr">
        <is>
          <t>#cobblemon:is_overworld</t>
        </is>
      </c>
      <c r="Q2912" s="19" t="inlineStr"/>
      <c r="R2912" s="18">
        <f>IF(Q2912="",P2912,Q2912)</f>
        <v/>
      </c>
      <c r="S2912" s="18" t="inlineStr">
        <is>
          <t>#cobblemon:is_freezing; #cobblemon:is_sandy</t>
        </is>
      </c>
      <c r="T2912" s="18" t="inlineStr">
        <is>
          <t>common</t>
        </is>
      </c>
      <c r="U2912" s="20" t="n">
        <v>0.594</v>
      </c>
      <c r="V2912" s="21" t="n">
        <v>1</v>
      </c>
      <c r="W2912" s="20">
        <f>IF(OR(U2912="",V2912=""),U2912,U2912*V2912)</f>
        <v/>
      </c>
      <c r="X2912" s="18" t="inlineStr">
        <is>
          <t>25-47</t>
        </is>
      </c>
      <c r="Y2912" s="19" t="inlineStr"/>
      <c r="Z2912" s="18">
        <f>IF(Y2912="",X2912,Y2912)</f>
        <v/>
      </c>
      <c r="AA2912" s="18" t="inlineStr">
        <is>
          <t>grounded</t>
        </is>
      </c>
      <c r="AB2912" s="18" t="inlineStr"/>
      <c r="AC2912" s="18" t="inlineStr"/>
      <c r="AD2912" s="18" t="inlineStr"/>
      <c r="AE2912" s="18" t="inlineStr">
        <is>
          <t>sky 8-15</t>
        </is>
      </c>
      <c r="AF2912" s="18" t="inlineStr"/>
      <c r="AG2912" s="18" t="inlineStr"/>
      <c r="AH2912" s="18" t="inlineStr"/>
      <c r="AI2912" s="18" t="inlineStr"/>
      <c r="AJ2912" s="18" t="inlineStr">
        <is>
          <t>Cobblemon 동일</t>
        </is>
      </c>
      <c r="AK2912" s="18" t="inlineStr">
        <is>
          <t>사용</t>
        </is>
      </c>
      <c r="AL2912" s="18" t="inlineStr">
        <is>
          <t>COBBLEVERSE 1.7.42 / DP v31</t>
        </is>
      </c>
      <c r="AM2912" s="18" t="inlineStr">
        <is>
          <t>data/cobblemon/spawn_pool_world/0925_maushold.json</t>
        </is>
      </c>
      <c r="AN2912" s="18" t="inlineStr">
        <is>
          <t>maushold-four-3</t>
        </is>
      </c>
      <c r="AO2912" s="18" t="inlineStr">
        <is>
          <t>pokemon</t>
        </is>
      </c>
      <c r="AP2912" s="18" t="inlineStr">
        <is>
          <t>natural; urban</t>
        </is>
      </c>
      <c r="AQ2912" s="18" t="inlineStr">
        <is>
          <t>{"biomes":["#cobblemon:is_overworld"],"maxSkyLight":15,"minSkyLight":8}</t>
        </is>
      </c>
      <c r="AR2912" s="18" t="inlineStr">
        <is>
          <t>{"biomes":["#cobblemon:is_freezing","#cobblemon:is_sandy"]}</t>
        </is>
      </c>
      <c r="AS2912" s="18" t="inlineStr">
        <is>
          <t>{"weightMultiplier":{"condition":{"timeRange":"day"},"multiplier":0.25}}</t>
        </is>
      </c>
      <c r="AT2912" s="19" t="inlineStr"/>
    </row>
    <row r="2913" ht="32" customHeight="1">
      <c r="A2913" s="18" t="inlineStr">
        <is>
          <t>0925_maushold.json::maushold-three-4::004</t>
        </is>
      </c>
      <c r="B2913" s="19" t="inlineStr">
        <is>
          <t>사용</t>
        </is>
      </c>
      <c r="C2913" s="18">
        <f>IF(OR(B2913&lt;&gt;AK2913,M2913&lt;&gt;L2913,O2913&lt;&gt;"",Q2913&lt;&gt;"",V2913&lt;&gt;1,Y2913&lt;&gt;"",AT2913&lt;&gt;""),"수정","원본")</f>
        <v/>
      </c>
      <c r="D2913" s="18" t="n">
        <v>925</v>
      </c>
      <c r="E2913" s="18" t="inlineStr">
        <is>
          <t>파밀리쥐</t>
        </is>
      </c>
      <c r="F2913" s="18" t="inlineStr">
        <is>
          <t>maushold</t>
        </is>
      </c>
      <c r="G2913" s="18" t="inlineStr">
        <is>
          <t>maushold maushold_family=three</t>
        </is>
      </c>
      <c r="H2913" s="18" t="inlineStr">
        <is>
          <t>maushold_family=three</t>
        </is>
      </c>
      <c r="I2913" s="18" t="n">
        <v>9</v>
      </c>
      <c r="J2913" s="18" t="n"/>
      <c r="K2913" s="18" t="n">
        <v>9</v>
      </c>
      <c r="L2913" s="18" t="inlineStr">
        <is>
          <t>cobbleventure:generation_9</t>
        </is>
      </c>
      <c r="M2913" s="19" t="inlineStr">
        <is>
          <t>cobbleventure:generation_9</t>
        </is>
      </c>
      <c r="N2913" s="18" t="inlineStr">
        <is>
          <t>region_01</t>
        </is>
      </c>
      <c r="O2913" s="19" t="inlineStr"/>
      <c r="P2913" s="18" t="inlineStr">
        <is>
          <t>#cobblemon:is_overworld</t>
        </is>
      </c>
      <c r="Q2913" s="19" t="inlineStr"/>
      <c r="R2913" s="18">
        <f>IF(Q2913="",P2913,Q2913)</f>
        <v/>
      </c>
      <c r="S2913" s="18" t="inlineStr">
        <is>
          <t>#cobblemon:is_freezing; #cobblemon:is_sandy</t>
        </is>
      </c>
      <c r="T2913" s="18" t="inlineStr">
        <is>
          <t>common</t>
        </is>
      </c>
      <c r="U2913" s="20" t="n">
        <v>0.006</v>
      </c>
      <c r="V2913" s="21" t="n">
        <v>1</v>
      </c>
      <c r="W2913" s="20">
        <f>IF(OR(U2913="",V2913=""),U2913,U2913*V2913)</f>
        <v/>
      </c>
      <c r="X2913" s="18" t="inlineStr">
        <is>
          <t>25-47</t>
        </is>
      </c>
      <c r="Y2913" s="19" t="inlineStr"/>
      <c r="Z2913" s="18">
        <f>IF(Y2913="",X2913,Y2913)</f>
        <v/>
      </c>
      <c r="AA2913" s="18" t="inlineStr">
        <is>
          <t>grounded</t>
        </is>
      </c>
      <c r="AB2913" s="18" t="inlineStr"/>
      <c r="AC2913" s="18" t="inlineStr"/>
      <c r="AD2913" s="18" t="inlineStr"/>
      <c r="AE2913" s="18" t="inlineStr">
        <is>
          <t>sky 8-15</t>
        </is>
      </c>
      <c r="AF2913" s="18" t="inlineStr"/>
      <c r="AG2913" s="18" t="inlineStr"/>
      <c r="AH2913" s="18" t="inlineStr"/>
      <c r="AI2913" s="18" t="inlineStr"/>
      <c r="AJ2913" s="18" t="inlineStr">
        <is>
          <t>Cobblemon 동일</t>
        </is>
      </c>
      <c r="AK2913" s="18" t="inlineStr">
        <is>
          <t>사용</t>
        </is>
      </c>
      <c r="AL2913" s="18" t="inlineStr">
        <is>
          <t>COBBLEVERSE 1.7.42 / DP v31</t>
        </is>
      </c>
      <c r="AM2913" s="18" t="inlineStr">
        <is>
          <t>data/cobblemon/spawn_pool_world/0925_maushold.json</t>
        </is>
      </c>
      <c r="AN2913" s="18" t="inlineStr">
        <is>
          <t>maushold-three-4</t>
        </is>
      </c>
      <c r="AO2913" s="18" t="inlineStr">
        <is>
          <t>pokemon</t>
        </is>
      </c>
      <c r="AP2913" s="18" t="inlineStr">
        <is>
          <t>natural; urban</t>
        </is>
      </c>
      <c r="AQ2913" s="18" t="inlineStr">
        <is>
          <t>{"biomes":["#cobblemon:is_overworld"],"maxSkyLight":15,"minSkyLight":8}</t>
        </is>
      </c>
      <c r="AR2913" s="18" t="inlineStr">
        <is>
          <t>{"biomes":["#cobblemon:is_freezing","#cobblemon:is_sandy"]}</t>
        </is>
      </c>
      <c r="AS2913" s="18" t="inlineStr">
        <is>
          <t>{"weightMultiplier":{"condition":{"timeRange":"day"},"multiplier":0.25}}</t>
        </is>
      </c>
      <c r="AT2913" s="19" t="inlineStr"/>
    </row>
    <row r="2914" ht="32" customHeight="1">
      <c r="A2914" s="18" t="inlineStr">
        <is>
          <t>0925_maushold.json::maushold-four-5::005</t>
        </is>
      </c>
      <c r="B2914" s="19" t="inlineStr">
        <is>
          <t>사용</t>
        </is>
      </c>
      <c r="C2914" s="18">
        <f>IF(OR(B2914&lt;&gt;AK2914,M2914&lt;&gt;L2914,O2914&lt;&gt;"",Q2914&lt;&gt;"",V2914&lt;&gt;1,Y2914&lt;&gt;"",AT2914&lt;&gt;""),"수정","원본")</f>
        <v/>
      </c>
      <c r="D2914" s="18" t="n">
        <v>925</v>
      </c>
      <c r="E2914" s="18" t="inlineStr">
        <is>
          <t>파밀리쥐</t>
        </is>
      </c>
      <c r="F2914" s="18" t="inlineStr">
        <is>
          <t>maushold</t>
        </is>
      </c>
      <c r="G2914" s="18" t="inlineStr">
        <is>
          <t>maushold maushold_family=four</t>
        </is>
      </c>
      <c r="H2914" s="18" t="inlineStr">
        <is>
          <t>maushold_family=four</t>
        </is>
      </c>
      <c r="I2914" s="18" t="n">
        <v>9</v>
      </c>
      <c r="J2914" s="18" t="n"/>
      <c r="K2914" s="18" t="n">
        <v>9</v>
      </c>
      <c r="L2914" s="18" t="inlineStr">
        <is>
          <t>cobbleventure:generation_9</t>
        </is>
      </c>
      <c r="M2914" s="19" t="inlineStr">
        <is>
          <t>cobbleventure:generation_9</t>
        </is>
      </c>
      <c r="N2914" s="18" t="inlineStr">
        <is>
          <t>region_01</t>
        </is>
      </c>
      <c r="O2914" s="19" t="inlineStr"/>
      <c r="P2914" s="18" t="inlineStr">
        <is>
          <t>#cobblemon:is_overworld</t>
        </is>
      </c>
      <c r="Q2914" s="19" t="inlineStr"/>
      <c r="R2914" s="18">
        <f>IF(Q2914="",P2914,Q2914)</f>
        <v/>
      </c>
      <c r="S2914" s="18" t="inlineStr">
        <is>
          <t>#cobblemon:is_freezing; #cobblemon:is_sandy</t>
        </is>
      </c>
      <c r="T2914" s="18" t="inlineStr">
        <is>
          <t>common</t>
        </is>
      </c>
      <c r="U2914" s="20" t="n">
        <v>0.594</v>
      </c>
      <c r="V2914" s="21" t="n">
        <v>1</v>
      </c>
      <c r="W2914" s="20">
        <f>IF(OR(U2914="",V2914=""),U2914,U2914*V2914)</f>
        <v/>
      </c>
      <c r="X2914" s="18" t="inlineStr">
        <is>
          <t>25-47</t>
        </is>
      </c>
      <c r="Y2914" s="19" t="inlineStr"/>
      <c r="Z2914" s="18">
        <f>IF(Y2914="",X2914,Y2914)</f>
        <v/>
      </c>
      <c r="AA2914" s="18" t="inlineStr">
        <is>
          <t>grounded</t>
        </is>
      </c>
      <c r="AB2914" s="18" t="inlineStr"/>
      <c r="AC2914" s="18" t="inlineStr"/>
      <c r="AD2914" s="18" t="inlineStr"/>
      <c r="AE2914" s="18" t="inlineStr">
        <is>
          <t>sky 8-15</t>
        </is>
      </c>
      <c r="AF2914" s="18" t="inlineStr"/>
      <c r="AG2914" s="18" t="inlineStr">
        <is>
          <t>#minecraft:village</t>
        </is>
      </c>
      <c r="AH2914" s="18" t="inlineStr"/>
      <c r="AI2914" s="18" t="inlineStr"/>
      <c r="AJ2914" s="18" t="inlineStr">
        <is>
          <t>Cobblemon 동일</t>
        </is>
      </c>
      <c r="AK2914" s="18" t="inlineStr">
        <is>
          <t>사용</t>
        </is>
      </c>
      <c r="AL2914" s="18" t="inlineStr">
        <is>
          <t>COBBLEVERSE 1.7.42 / DP v31</t>
        </is>
      </c>
      <c r="AM2914" s="18" t="inlineStr">
        <is>
          <t>data/cobblemon/spawn_pool_world/0925_maushold.json</t>
        </is>
      </c>
      <c r="AN2914" s="18" t="inlineStr">
        <is>
          <t>maushold-four-5</t>
        </is>
      </c>
      <c r="AO2914" s="18" t="inlineStr">
        <is>
          <t>pokemon</t>
        </is>
      </c>
      <c r="AP2914" s="18" t="inlineStr">
        <is>
          <t>natural</t>
        </is>
      </c>
      <c r="AQ2914" s="18" t="inlineStr">
        <is>
          <t>{"biomes":["#cobblemon:is_overworld"],"maxSkyLight":15,"minSkyLight":8,"structures":["#minecraft:village"]}</t>
        </is>
      </c>
      <c r="AR2914" s="18" t="inlineStr">
        <is>
          <t>{"biomes":["#cobblemon:is_freezing","#cobblemon:is_sandy"]}</t>
        </is>
      </c>
      <c r="AS2914" s="18" t="inlineStr">
        <is>
          <t>{"weightMultiplier":{"condition":{"timeRange":"day"},"multiplier":0.25}}</t>
        </is>
      </c>
      <c r="AT2914" s="19" t="inlineStr"/>
    </row>
    <row r="2915" ht="32" customHeight="1">
      <c r="A2915" s="18" t="inlineStr">
        <is>
          <t>0925_maushold.json::maushold-three-6::006</t>
        </is>
      </c>
      <c r="B2915" s="19" t="inlineStr">
        <is>
          <t>사용</t>
        </is>
      </c>
      <c r="C2915" s="18">
        <f>IF(OR(B2915&lt;&gt;AK2915,M2915&lt;&gt;L2915,O2915&lt;&gt;"",Q2915&lt;&gt;"",V2915&lt;&gt;1,Y2915&lt;&gt;"",AT2915&lt;&gt;""),"수정","원본")</f>
        <v/>
      </c>
      <c r="D2915" s="18" t="n">
        <v>925</v>
      </c>
      <c r="E2915" s="18" t="inlineStr">
        <is>
          <t>파밀리쥐</t>
        </is>
      </c>
      <c r="F2915" s="18" t="inlineStr">
        <is>
          <t>maushold</t>
        </is>
      </c>
      <c r="G2915" s="18" t="inlineStr">
        <is>
          <t>maushold maushold_family=three</t>
        </is>
      </c>
      <c r="H2915" s="18" t="inlineStr">
        <is>
          <t>maushold_family=three</t>
        </is>
      </c>
      <c r="I2915" s="18" t="n">
        <v>9</v>
      </c>
      <c r="J2915" s="18" t="n"/>
      <c r="K2915" s="18" t="n">
        <v>9</v>
      </c>
      <c r="L2915" s="18" t="inlineStr">
        <is>
          <t>cobbleventure:generation_9</t>
        </is>
      </c>
      <c r="M2915" s="19" t="inlineStr">
        <is>
          <t>cobbleventure:generation_9</t>
        </is>
      </c>
      <c r="N2915" s="18" t="inlineStr">
        <is>
          <t>region_01</t>
        </is>
      </c>
      <c r="O2915" s="19" t="inlineStr"/>
      <c r="P2915" s="18" t="inlineStr">
        <is>
          <t>#cobblemon:is_overworld</t>
        </is>
      </c>
      <c r="Q2915" s="19" t="inlineStr"/>
      <c r="R2915" s="18">
        <f>IF(Q2915="",P2915,Q2915)</f>
        <v/>
      </c>
      <c r="S2915" s="18" t="inlineStr">
        <is>
          <t>#cobblemon:is_freezing; #cobblemon:is_sandy</t>
        </is>
      </c>
      <c r="T2915" s="18" t="inlineStr">
        <is>
          <t>common</t>
        </is>
      </c>
      <c r="U2915" s="20" t="n">
        <v>0.006</v>
      </c>
      <c r="V2915" s="21" t="n">
        <v>1</v>
      </c>
      <c r="W2915" s="20">
        <f>IF(OR(U2915="",V2915=""),U2915,U2915*V2915)</f>
        <v/>
      </c>
      <c r="X2915" s="18" t="inlineStr">
        <is>
          <t>25-47</t>
        </is>
      </c>
      <c r="Y2915" s="19" t="inlineStr"/>
      <c r="Z2915" s="18">
        <f>IF(Y2915="",X2915,Y2915)</f>
        <v/>
      </c>
      <c r="AA2915" s="18" t="inlineStr">
        <is>
          <t>grounded</t>
        </is>
      </c>
      <c r="AB2915" s="18" t="inlineStr"/>
      <c r="AC2915" s="18" t="inlineStr"/>
      <c r="AD2915" s="18" t="inlineStr"/>
      <c r="AE2915" s="18" t="inlineStr">
        <is>
          <t>sky 8-15</t>
        </is>
      </c>
      <c r="AF2915" s="18" t="inlineStr"/>
      <c r="AG2915" s="18" t="inlineStr">
        <is>
          <t>#minecraft:village</t>
        </is>
      </c>
      <c r="AH2915" s="18" t="inlineStr"/>
      <c r="AI2915" s="18" t="inlineStr"/>
      <c r="AJ2915" s="18" t="inlineStr">
        <is>
          <t>Cobblemon 동일</t>
        </is>
      </c>
      <c r="AK2915" s="18" t="inlineStr">
        <is>
          <t>사용</t>
        </is>
      </c>
      <c r="AL2915" s="18" t="inlineStr">
        <is>
          <t>COBBLEVERSE 1.7.42 / DP v31</t>
        </is>
      </c>
      <c r="AM2915" s="18" t="inlineStr">
        <is>
          <t>data/cobblemon/spawn_pool_world/0925_maushold.json</t>
        </is>
      </c>
      <c r="AN2915" s="18" t="inlineStr">
        <is>
          <t>maushold-three-6</t>
        </is>
      </c>
      <c r="AO2915" s="18" t="inlineStr">
        <is>
          <t>pokemon</t>
        </is>
      </c>
      <c r="AP2915" s="18" t="inlineStr">
        <is>
          <t>natural</t>
        </is>
      </c>
      <c r="AQ2915" s="18" t="inlineStr">
        <is>
          <t>{"biomes":["#cobblemon:is_overworld"],"maxSkyLight":15,"minSkyLight":8,"structures":["#minecraft:village"]}</t>
        </is>
      </c>
      <c r="AR2915" s="18" t="inlineStr">
        <is>
          <t>{"biomes":["#cobblemon:is_freezing","#cobblemon:is_sandy"]}</t>
        </is>
      </c>
      <c r="AS2915" s="18" t="inlineStr">
        <is>
          <t>{"weightMultiplier":{"condition":{"timeRange":"day"},"multiplier":0.25}}</t>
        </is>
      </c>
      <c r="AT2915" s="19" t="inlineStr"/>
    </row>
    <row r="2916" ht="32" customHeight="1">
      <c r="A2916" s="18" t="inlineStr">
        <is>
          <t>0925_maushold.json::maushold-four-7::007</t>
        </is>
      </c>
      <c r="B2916" s="19" t="inlineStr">
        <is>
          <t>사용</t>
        </is>
      </c>
      <c r="C2916" s="18">
        <f>IF(OR(B2916&lt;&gt;AK2916,M2916&lt;&gt;L2916,O2916&lt;&gt;"",Q2916&lt;&gt;"",V2916&lt;&gt;1,Y2916&lt;&gt;"",AT2916&lt;&gt;""),"수정","원본")</f>
        <v/>
      </c>
      <c r="D2916" s="18" t="n">
        <v>925</v>
      </c>
      <c r="E2916" s="18" t="inlineStr">
        <is>
          <t>파밀리쥐</t>
        </is>
      </c>
      <c r="F2916" s="18" t="inlineStr">
        <is>
          <t>maushold</t>
        </is>
      </c>
      <c r="G2916" s="18" t="inlineStr">
        <is>
          <t>maushold maushold_family=four</t>
        </is>
      </c>
      <c r="H2916" s="18" t="inlineStr">
        <is>
          <t>maushold_family=four</t>
        </is>
      </c>
      <c r="I2916" s="18" t="n">
        <v>9</v>
      </c>
      <c r="J2916" s="18" t="n"/>
      <c r="K2916" s="18" t="n">
        <v>9</v>
      </c>
      <c r="L2916" s="18" t="inlineStr">
        <is>
          <t>cobbleventure:generation_9</t>
        </is>
      </c>
      <c r="M2916" s="19" t="inlineStr">
        <is>
          <t>cobbleventure:generation_9</t>
        </is>
      </c>
      <c r="N2916" s="18" t="inlineStr">
        <is>
          <t>region_01; region_02</t>
        </is>
      </c>
      <c r="O2916" s="19" t="inlineStr"/>
      <c r="P2916" s="18" t="inlineStr">
        <is>
          <t>#cobblemon:is_overworld</t>
        </is>
      </c>
      <c r="Q2916" s="19" t="inlineStr"/>
      <c r="R2916" s="18">
        <f>IF(Q2916="",P2916,Q2916)</f>
        <v/>
      </c>
      <c r="S2916" s="18" t="inlineStr"/>
      <c r="T2916" s="18" t="inlineStr">
        <is>
          <t>common</t>
        </is>
      </c>
      <c r="U2916" s="20" t="n">
        <v>0.99</v>
      </c>
      <c r="V2916" s="21" t="n">
        <v>1</v>
      </c>
      <c r="W2916" s="20">
        <f>IF(OR(U2916="",V2916=""),U2916,U2916*V2916)</f>
        <v/>
      </c>
      <c r="X2916" s="18" t="inlineStr">
        <is>
          <t>25-47</t>
        </is>
      </c>
      <c r="Y2916" s="19" t="inlineStr"/>
      <c r="Z2916" s="18">
        <f>IF(Y2916="",X2916,Y2916)</f>
        <v/>
      </c>
      <c r="AA2916" s="18" t="inlineStr">
        <is>
          <t>grounded</t>
        </is>
      </c>
      <c r="AB2916" s="18" t="inlineStr"/>
      <c r="AC2916" s="18" t="inlineStr"/>
      <c r="AD2916" s="18" t="inlineStr"/>
      <c r="AE2916" s="18" t="inlineStr"/>
      <c r="AF2916" s="18" t="inlineStr">
        <is>
          <t>False</t>
        </is>
      </c>
      <c r="AG2916" s="18" t="inlineStr"/>
      <c r="AH2916" s="18" t="inlineStr"/>
      <c r="AI2916" s="18" t="inlineStr"/>
      <c r="AJ2916" s="18" t="inlineStr">
        <is>
          <t>Cobblemon 동일</t>
        </is>
      </c>
      <c r="AK2916" s="18" t="inlineStr">
        <is>
          <t>사용</t>
        </is>
      </c>
      <c r="AL2916" s="18" t="inlineStr">
        <is>
          <t>COBBLEVERSE 1.7.42 / DP v31</t>
        </is>
      </c>
      <c r="AM2916" s="18" t="inlineStr">
        <is>
          <t>data/cobblemon/spawn_pool_world/0925_maushold.json</t>
        </is>
      </c>
      <c r="AN2916" s="18" t="inlineStr">
        <is>
          <t>maushold-four-7</t>
        </is>
      </c>
      <c r="AO2916" s="18" t="inlineStr">
        <is>
          <t>pokemon</t>
        </is>
      </c>
      <c r="AP2916" s="18" t="inlineStr">
        <is>
          <t>mansion</t>
        </is>
      </c>
      <c r="AQ2916" s="18" t="inlineStr">
        <is>
          <t>{"biomes":["#cobblemon:is_overworld"],"canSeeSky":false}</t>
        </is>
      </c>
      <c r="AR2916" s="18" t="inlineStr"/>
      <c r="AS2916" s="18" t="inlineStr"/>
      <c r="AT2916" s="19" t="inlineStr"/>
    </row>
    <row r="2917" ht="32" customHeight="1">
      <c r="A2917" s="18" t="inlineStr">
        <is>
          <t>0925_maushold.json::maushold-three-8::008</t>
        </is>
      </c>
      <c r="B2917" s="19" t="inlineStr">
        <is>
          <t>사용</t>
        </is>
      </c>
      <c r="C2917" s="18">
        <f>IF(OR(B2917&lt;&gt;AK2917,M2917&lt;&gt;L2917,O2917&lt;&gt;"",Q2917&lt;&gt;"",V2917&lt;&gt;1,Y2917&lt;&gt;"",AT2917&lt;&gt;""),"수정","원본")</f>
        <v/>
      </c>
      <c r="D2917" s="18" t="n">
        <v>925</v>
      </c>
      <c r="E2917" s="18" t="inlineStr">
        <is>
          <t>파밀리쥐</t>
        </is>
      </c>
      <c r="F2917" s="18" t="inlineStr">
        <is>
          <t>maushold</t>
        </is>
      </c>
      <c r="G2917" s="18" t="inlineStr">
        <is>
          <t>maushold maushold_family=three</t>
        </is>
      </c>
      <c r="H2917" s="18" t="inlineStr">
        <is>
          <t>maushold_family=three</t>
        </is>
      </c>
      <c r="I2917" s="18" t="n">
        <v>9</v>
      </c>
      <c r="J2917" s="18" t="n"/>
      <c r="K2917" s="18" t="n">
        <v>9</v>
      </c>
      <c r="L2917" s="18" t="inlineStr">
        <is>
          <t>cobbleventure:generation_9</t>
        </is>
      </c>
      <c r="M2917" s="19" t="inlineStr">
        <is>
          <t>cobbleventure:generation_9</t>
        </is>
      </c>
      <c r="N2917" s="18" t="inlineStr">
        <is>
          <t>region_01; region_02</t>
        </is>
      </c>
      <c r="O2917" s="19" t="inlineStr"/>
      <c r="P2917" s="18" t="inlineStr">
        <is>
          <t>#cobblemon:is_overworld</t>
        </is>
      </c>
      <c r="Q2917" s="19" t="inlineStr"/>
      <c r="R2917" s="18">
        <f>IF(Q2917="",P2917,Q2917)</f>
        <v/>
      </c>
      <c r="S2917" s="18" t="inlineStr"/>
      <c r="T2917" s="18" t="inlineStr">
        <is>
          <t>common</t>
        </is>
      </c>
      <c r="U2917" s="20" t="n">
        <v>0.01</v>
      </c>
      <c r="V2917" s="21" t="n">
        <v>1</v>
      </c>
      <c r="W2917" s="20">
        <f>IF(OR(U2917="",V2917=""),U2917,U2917*V2917)</f>
        <v/>
      </c>
      <c r="X2917" s="18" t="inlineStr">
        <is>
          <t>25-47</t>
        </is>
      </c>
      <c r="Y2917" s="19" t="inlineStr"/>
      <c r="Z2917" s="18">
        <f>IF(Y2917="",X2917,Y2917)</f>
        <v/>
      </c>
      <c r="AA2917" s="18" t="inlineStr">
        <is>
          <t>grounded</t>
        </is>
      </c>
      <c r="AB2917" s="18" t="inlineStr"/>
      <c r="AC2917" s="18" t="inlineStr"/>
      <c r="AD2917" s="18" t="inlineStr"/>
      <c r="AE2917" s="18" t="inlineStr"/>
      <c r="AF2917" s="18" t="inlineStr">
        <is>
          <t>False</t>
        </is>
      </c>
      <c r="AG2917" s="18" t="inlineStr"/>
      <c r="AH2917" s="18" t="inlineStr"/>
      <c r="AI2917" s="18" t="inlineStr"/>
      <c r="AJ2917" s="18" t="inlineStr">
        <is>
          <t>Cobblemon 동일</t>
        </is>
      </c>
      <c r="AK2917" s="18" t="inlineStr">
        <is>
          <t>사용</t>
        </is>
      </c>
      <c r="AL2917" s="18" t="inlineStr">
        <is>
          <t>COBBLEVERSE 1.7.42 / DP v31</t>
        </is>
      </c>
      <c r="AM2917" s="18" t="inlineStr">
        <is>
          <t>data/cobblemon/spawn_pool_world/0925_maushold.json</t>
        </is>
      </c>
      <c r="AN2917" s="18" t="inlineStr">
        <is>
          <t>maushold-three-8</t>
        </is>
      </c>
      <c r="AO2917" s="18" t="inlineStr">
        <is>
          <t>pokemon</t>
        </is>
      </c>
      <c r="AP2917" s="18" t="inlineStr">
        <is>
          <t>mansion</t>
        </is>
      </c>
      <c r="AQ2917" s="18" t="inlineStr">
        <is>
          <t>{"biomes":["#cobblemon:is_overworld"],"canSeeSky":false}</t>
        </is>
      </c>
      <c r="AR2917" s="18" t="inlineStr"/>
      <c r="AS2917" s="18" t="inlineStr"/>
      <c r="AT2917" s="19" t="inlineStr"/>
    </row>
    <row r="2918" ht="32" customHeight="1">
      <c r="A2918" s="18" t="inlineStr">
        <is>
          <t>0925_maushold.json::maushold-four-9::009</t>
        </is>
      </c>
      <c r="B2918" s="19" t="inlineStr">
        <is>
          <t>사용</t>
        </is>
      </c>
      <c r="C2918" s="18">
        <f>IF(OR(B2918&lt;&gt;AK2918,M2918&lt;&gt;L2918,O2918&lt;&gt;"",Q2918&lt;&gt;"",V2918&lt;&gt;1,Y2918&lt;&gt;"",AT2918&lt;&gt;""),"수정","원본")</f>
        <v/>
      </c>
      <c r="D2918" s="18" t="n">
        <v>925</v>
      </c>
      <c r="E2918" s="18" t="inlineStr">
        <is>
          <t>파밀리쥐</t>
        </is>
      </c>
      <c r="F2918" s="18" t="inlineStr">
        <is>
          <t>maushold</t>
        </is>
      </c>
      <c r="G2918" s="18" t="inlineStr">
        <is>
          <t>maushold maushold_family=four</t>
        </is>
      </c>
      <c r="H2918" s="18" t="inlineStr">
        <is>
          <t>maushold_family=four</t>
        </is>
      </c>
      <c r="I2918" s="18" t="n">
        <v>9</v>
      </c>
      <c r="J2918" s="18" t="n"/>
      <c r="K2918" s="18" t="n">
        <v>9</v>
      </c>
      <c r="L2918" s="18" t="inlineStr">
        <is>
          <t>cobbleventure:generation_9</t>
        </is>
      </c>
      <c r="M2918" s="19" t="inlineStr">
        <is>
          <t>cobbleventure:generation_9</t>
        </is>
      </c>
      <c r="N2918" s="18" t="inlineStr"/>
      <c r="O2918" s="19" t="inlineStr"/>
      <c r="P2918" s="18" t="inlineStr">
        <is>
          <t>#aether:is_aether</t>
        </is>
      </c>
      <c r="Q2918" s="19" t="inlineStr"/>
      <c r="R2918" s="18">
        <f>IF(Q2918="",P2918,Q2918)</f>
        <v/>
      </c>
      <c r="S2918" s="18" t="inlineStr"/>
      <c r="T2918" s="18" t="inlineStr">
        <is>
          <t>common</t>
        </is>
      </c>
      <c r="U2918" s="20" t="n">
        <v>0.198</v>
      </c>
      <c r="V2918" s="21" t="n">
        <v>1</v>
      </c>
      <c r="W2918" s="20">
        <f>IF(OR(U2918="",V2918=""),U2918,U2918*V2918)</f>
        <v/>
      </c>
      <c r="X2918" s="18" t="inlineStr">
        <is>
          <t>25-47</t>
        </is>
      </c>
      <c r="Y2918" s="19" t="inlineStr"/>
      <c r="Z2918" s="18">
        <f>IF(Y2918="",X2918,Y2918)</f>
        <v/>
      </c>
      <c r="AA2918" s="18" t="inlineStr">
        <is>
          <t>grounded</t>
        </is>
      </c>
      <c r="AB2918" s="18" t="inlineStr"/>
      <c r="AC2918" s="18" t="inlineStr"/>
      <c r="AD2918" s="18" t="inlineStr"/>
      <c r="AE2918" s="18" t="inlineStr">
        <is>
          <t>sky 8-15</t>
        </is>
      </c>
      <c r="AF2918" s="18" t="inlineStr"/>
      <c r="AG2918" s="18" t="inlineStr"/>
      <c r="AH2918" s="18" t="inlineStr"/>
      <c r="AI2918" s="18" t="inlineStr"/>
      <c r="AJ2918" s="18" t="inlineStr">
        <is>
          <t>Cobblemon 동일</t>
        </is>
      </c>
      <c r="AK2918" s="18" t="inlineStr">
        <is>
          <t>사용</t>
        </is>
      </c>
      <c r="AL2918" s="18" t="inlineStr">
        <is>
          <t>COBBLEVERSE 1.7.42 / DP v31</t>
        </is>
      </c>
      <c r="AM2918" s="18" t="inlineStr">
        <is>
          <t>data/cobblemon/spawn_pool_world/0925_maushold.json</t>
        </is>
      </c>
      <c r="AN2918" s="18" t="inlineStr">
        <is>
          <t>maushold-four-9</t>
        </is>
      </c>
      <c r="AO2918" s="18" t="inlineStr">
        <is>
          <t>pokemon</t>
        </is>
      </c>
      <c r="AP2918" s="18" t="inlineStr">
        <is>
          <t>natural</t>
        </is>
      </c>
      <c r="AQ2918" s="18" t="inlineStr">
        <is>
          <t>{"biomes":["#aether:is_aether"],"maxSkyLight":15,"minSkyLight":8}</t>
        </is>
      </c>
      <c r="AR2918" s="18" t="inlineStr"/>
      <c r="AS2918" s="18" t="inlineStr"/>
      <c r="AT2918" s="19" t="inlineStr"/>
    </row>
    <row r="2919" ht="32" customHeight="1">
      <c r="A2919" s="18" t="inlineStr">
        <is>
          <t>0925_maushold.json::maushold-three-10::010</t>
        </is>
      </c>
      <c r="B2919" s="19" t="inlineStr">
        <is>
          <t>사용</t>
        </is>
      </c>
      <c r="C2919" s="18">
        <f>IF(OR(B2919&lt;&gt;AK2919,M2919&lt;&gt;L2919,O2919&lt;&gt;"",Q2919&lt;&gt;"",V2919&lt;&gt;1,Y2919&lt;&gt;"",AT2919&lt;&gt;""),"수정","원본")</f>
        <v/>
      </c>
      <c r="D2919" s="18" t="n">
        <v>925</v>
      </c>
      <c r="E2919" s="18" t="inlineStr">
        <is>
          <t>파밀리쥐</t>
        </is>
      </c>
      <c r="F2919" s="18" t="inlineStr">
        <is>
          <t>maushold</t>
        </is>
      </c>
      <c r="G2919" s="18" t="inlineStr">
        <is>
          <t>maushold maushold_family=three</t>
        </is>
      </c>
      <c r="H2919" s="18" t="inlineStr">
        <is>
          <t>maushold_family=three</t>
        </is>
      </c>
      <c r="I2919" s="18" t="n">
        <v>9</v>
      </c>
      <c r="J2919" s="18" t="n"/>
      <c r="K2919" s="18" t="n">
        <v>9</v>
      </c>
      <c r="L2919" s="18" t="inlineStr">
        <is>
          <t>cobbleventure:generation_9</t>
        </is>
      </c>
      <c r="M2919" s="19" t="inlineStr">
        <is>
          <t>cobbleventure:generation_9</t>
        </is>
      </c>
      <c r="N2919" s="18" t="inlineStr"/>
      <c r="O2919" s="19" t="inlineStr"/>
      <c r="P2919" s="18" t="inlineStr">
        <is>
          <t>#aether:is_aether</t>
        </is>
      </c>
      <c r="Q2919" s="19" t="inlineStr"/>
      <c r="R2919" s="18">
        <f>IF(Q2919="",P2919,Q2919)</f>
        <v/>
      </c>
      <c r="S2919" s="18" t="inlineStr"/>
      <c r="T2919" s="18" t="inlineStr">
        <is>
          <t>common</t>
        </is>
      </c>
      <c r="U2919" s="20" t="n">
        <v>0.002</v>
      </c>
      <c r="V2919" s="21" t="n">
        <v>1</v>
      </c>
      <c r="W2919" s="20">
        <f>IF(OR(U2919="",V2919=""),U2919,U2919*V2919)</f>
        <v/>
      </c>
      <c r="X2919" s="18" t="inlineStr">
        <is>
          <t>25-47</t>
        </is>
      </c>
      <c r="Y2919" s="19" t="inlineStr"/>
      <c r="Z2919" s="18">
        <f>IF(Y2919="",X2919,Y2919)</f>
        <v/>
      </c>
      <c r="AA2919" s="18" t="inlineStr">
        <is>
          <t>grounded</t>
        </is>
      </c>
      <c r="AB2919" s="18" t="inlineStr"/>
      <c r="AC2919" s="18" t="inlineStr"/>
      <c r="AD2919" s="18" t="inlineStr"/>
      <c r="AE2919" s="18" t="inlineStr">
        <is>
          <t>sky 8-15</t>
        </is>
      </c>
      <c r="AF2919" s="18" t="inlineStr"/>
      <c r="AG2919" s="18" t="inlineStr"/>
      <c r="AH2919" s="18" t="inlineStr"/>
      <c r="AI2919" s="18" t="inlineStr"/>
      <c r="AJ2919" s="18" t="inlineStr">
        <is>
          <t>Cobblemon 동일</t>
        </is>
      </c>
      <c r="AK2919" s="18" t="inlineStr">
        <is>
          <t>사용</t>
        </is>
      </c>
      <c r="AL2919" s="18" t="inlineStr">
        <is>
          <t>COBBLEVERSE 1.7.42 / DP v31</t>
        </is>
      </c>
      <c r="AM2919" s="18" t="inlineStr">
        <is>
          <t>data/cobblemon/spawn_pool_world/0925_maushold.json</t>
        </is>
      </c>
      <c r="AN2919" s="18" t="inlineStr">
        <is>
          <t>maushold-three-10</t>
        </is>
      </c>
      <c r="AO2919" s="18" t="inlineStr">
        <is>
          <t>pokemon</t>
        </is>
      </c>
      <c r="AP2919" s="18" t="inlineStr">
        <is>
          <t>natural</t>
        </is>
      </c>
      <c r="AQ2919" s="18" t="inlineStr">
        <is>
          <t>{"biomes":["#aether:is_aether"],"maxSkyLight":15,"minSkyLight":8}</t>
        </is>
      </c>
      <c r="AR2919" s="18" t="inlineStr"/>
      <c r="AS2919" s="18" t="inlineStr"/>
      <c r="AT2919" s="19" t="inlineStr"/>
    </row>
    <row r="2920" ht="32" customHeight="1">
      <c r="A2920" s="18" t="inlineStr">
        <is>
          <t>0926_fidough.json::fidough-1::001</t>
        </is>
      </c>
      <c r="B2920" s="19" t="inlineStr">
        <is>
          <t>사용</t>
        </is>
      </c>
      <c r="C2920" s="18">
        <f>IF(OR(B2920&lt;&gt;AK2920,M2920&lt;&gt;L2920,O2920&lt;&gt;"",Q2920&lt;&gt;"",V2920&lt;&gt;1,Y2920&lt;&gt;"",AT2920&lt;&gt;""),"수정","원본")</f>
        <v/>
      </c>
      <c r="D2920" s="18" t="n">
        <v>926</v>
      </c>
      <c r="E2920" s="18" t="inlineStr">
        <is>
          <t>쫀도기</t>
        </is>
      </c>
      <c r="F2920" s="18" t="inlineStr">
        <is>
          <t>fidough</t>
        </is>
      </c>
      <c r="G2920" s="18" t="inlineStr">
        <is>
          <t>fidough</t>
        </is>
      </c>
      <c r="H2920" s="18" t="inlineStr"/>
      <c r="I2920" s="18" t="n">
        <v>9</v>
      </c>
      <c r="J2920" s="18" t="n"/>
      <c r="K2920" s="18" t="n">
        <v>9</v>
      </c>
      <c r="L2920" s="18" t="inlineStr">
        <is>
          <t>cobbleventure:generation_9</t>
        </is>
      </c>
      <c r="M2920" s="19" t="inlineStr">
        <is>
          <t>cobbleventure:generation_9</t>
        </is>
      </c>
      <c r="N2920" s="18" t="inlineStr">
        <is>
          <t>region_01; region_02</t>
        </is>
      </c>
      <c r="O2920" s="19" t="inlineStr"/>
      <c r="P2920" s="18" t="inlineStr">
        <is>
          <t>#cobblemon:is_overworld</t>
        </is>
      </c>
      <c r="Q2920" s="19" t="inlineStr"/>
      <c r="R2920" s="18">
        <f>IF(Q2920="",P2920,Q2920)</f>
        <v/>
      </c>
      <c r="S2920" s="18" t="inlineStr"/>
      <c r="T2920" s="18" t="inlineStr">
        <is>
          <t>common</t>
        </is>
      </c>
      <c r="U2920" s="20" t="n">
        <v>9</v>
      </c>
      <c r="V2920" s="21" t="n">
        <v>1</v>
      </c>
      <c r="W2920" s="20">
        <f>IF(OR(U2920="",V2920=""),U2920,U2920*V2920)</f>
        <v/>
      </c>
      <c r="X2920" s="18" t="inlineStr">
        <is>
          <t>6-31</t>
        </is>
      </c>
      <c r="Y2920" s="19" t="inlineStr"/>
      <c r="Z2920" s="18">
        <f>IF(Y2920="",X2920,Y2920)</f>
        <v/>
      </c>
      <c r="AA2920" s="18" t="inlineStr">
        <is>
          <t>grounded</t>
        </is>
      </c>
      <c r="AB2920" s="18" t="inlineStr"/>
      <c r="AC2920" s="18" t="inlineStr"/>
      <c r="AD2920" s="18" t="inlineStr"/>
      <c r="AE2920" s="18" t="inlineStr">
        <is>
          <t>sky 8-15</t>
        </is>
      </c>
      <c r="AF2920" s="18" t="inlineStr"/>
      <c r="AG2920" s="18" t="inlineStr"/>
      <c r="AH2920" s="18" t="inlineStr"/>
      <c r="AI2920" s="18" t="inlineStr"/>
      <c r="AJ2920" s="18" t="inlineStr">
        <is>
          <t>COBBLEVERSE 수정</t>
        </is>
      </c>
      <c r="AK2920" s="18" t="inlineStr">
        <is>
          <t>사용</t>
        </is>
      </c>
      <c r="AL2920" s="18" t="inlineStr">
        <is>
          <t>COBBLEVERSE 1.7.42 / DP v31</t>
        </is>
      </c>
      <c r="AM2920" s="18" t="inlineStr">
        <is>
          <t>data/cobblemon/spawn_pool_world/0926_fidough.json</t>
        </is>
      </c>
      <c r="AN2920" s="18" t="inlineStr">
        <is>
          <t>fidough-1</t>
        </is>
      </c>
      <c r="AO2920" s="18" t="inlineStr">
        <is>
          <t>pokemon</t>
        </is>
      </c>
      <c r="AP2920" s="18" t="inlineStr">
        <is>
          <t>natural</t>
        </is>
      </c>
      <c r="AQ2920" s="18" t="inlineStr">
        <is>
          <t>{"biomes":["#cobblemon:is_overworld"],"maxSkyLight":15,"minSkyLight":8}</t>
        </is>
      </c>
      <c r="AR2920" s="18" t="inlineStr"/>
      <c r="AS2920" s="18" t="inlineStr"/>
      <c r="AT2920" s="19" t="inlineStr"/>
    </row>
    <row r="2921" ht="32" customHeight="1">
      <c r="A2921" s="18" t="inlineStr">
        <is>
          <t>0926_fidough.json::fidough-2::002</t>
        </is>
      </c>
      <c r="B2921" s="19" t="inlineStr">
        <is>
          <t>사용</t>
        </is>
      </c>
      <c r="C2921" s="18">
        <f>IF(OR(B2921&lt;&gt;AK2921,M2921&lt;&gt;L2921,O2921&lt;&gt;"",Q2921&lt;&gt;"",V2921&lt;&gt;1,Y2921&lt;&gt;"",AT2921&lt;&gt;""),"수정","원본")</f>
        <v/>
      </c>
      <c r="D2921" s="18" t="n">
        <v>926</v>
      </c>
      <c r="E2921" s="18" t="inlineStr">
        <is>
          <t>쫀도기</t>
        </is>
      </c>
      <c r="F2921" s="18" t="inlineStr">
        <is>
          <t>fidough</t>
        </is>
      </c>
      <c r="G2921" s="18" t="inlineStr">
        <is>
          <t>fidough</t>
        </is>
      </c>
      <c r="H2921" s="18" t="inlineStr"/>
      <c r="I2921" s="18" t="n">
        <v>9</v>
      </c>
      <c r="J2921" s="18" t="n"/>
      <c r="K2921" s="18" t="n">
        <v>9</v>
      </c>
      <c r="L2921" s="18" t="inlineStr">
        <is>
          <t>cobbleventure:generation_9</t>
        </is>
      </c>
      <c r="M2921" s="19" t="inlineStr">
        <is>
          <t>cobbleventure:generation_9</t>
        </is>
      </c>
      <c r="N2921" s="18" t="inlineStr">
        <is>
          <t>region_01; region_02</t>
        </is>
      </c>
      <c r="O2921" s="19" t="inlineStr"/>
      <c r="P2921" s="18" t="inlineStr">
        <is>
          <t>#cobblemon:is_overworld</t>
        </is>
      </c>
      <c r="Q2921" s="19" t="inlineStr"/>
      <c r="R2921" s="18">
        <f>IF(Q2921="",P2921,Q2921)</f>
        <v/>
      </c>
      <c r="S2921" s="18" t="inlineStr"/>
      <c r="T2921" s="18" t="inlineStr">
        <is>
          <t>common</t>
        </is>
      </c>
      <c r="U2921" s="20" t="n">
        <v>9</v>
      </c>
      <c r="V2921" s="21" t="n">
        <v>1</v>
      </c>
      <c r="W2921" s="20">
        <f>IF(OR(U2921="",V2921=""),U2921,U2921*V2921)</f>
        <v/>
      </c>
      <c r="X2921" s="18" t="inlineStr">
        <is>
          <t>6-31</t>
        </is>
      </c>
      <c r="Y2921" s="19" t="inlineStr"/>
      <c r="Z2921" s="18">
        <f>IF(Y2921="",X2921,Y2921)</f>
        <v/>
      </c>
      <c r="AA2921" s="18" t="inlineStr">
        <is>
          <t>grounded</t>
        </is>
      </c>
      <c r="AB2921" s="18" t="inlineStr"/>
      <c r="AC2921" s="18" t="inlineStr"/>
      <c r="AD2921" s="18" t="inlineStr"/>
      <c r="AE2921" s="18" t="inlineStr">
        <is>
          <t>sky 8-15</t>
        </is>
      </c>
      <c r="AF2921" s="18" t="inlineStr"/>
      <c r="AG2921" s="18" t="inlineStr">
        <is>
          <t>#minecraft:village</t>
        </is>
      </c>
      <c r="AH2921" s="18" t="inlineStr"/>
      <c r="AI2921" s="18" t="inlineStr"/>
      <c r="AJ2921" s="18" t="inlineStr">
        <is>
          <t>COBBLEVERSE 수정</t>
        </is>
      </c>
      <c r="AK2921" s="18" t="inlineStr">
        <is>
          <t>사용</t>
        </is>
      </c>
      <c r="AL2921" s="18" t="inlineStr">
        <is>
          <t>COBBLEVERSE 1.7.42 / DP v31</t>
        </is>
      </c>
      <c r="AM2921" s="18" t="inlineStr">
        <is>
          <t>data/cobblemon/spawn_pool_world/0926_fidough.json</t>
        </is>
      </c>
      <c r="AN2921" s="18" t="inlineStr">
        <is>
          <t>fidough-2</t>
        </is>
      </c>
      <c r="AO2921" s="18" t="inlineStr">
        <is>
          <t>pokemon</t>
        </is>
      </c>
      <c r="AP2921" s="18" t="inlineStr">
        <is>
          <t>natural</t>
        </is>
      </c>
      <c r="AQ2921" s="18" t="inlineStr">
        <is>
          <t>{"biomes":["#cobblemon:is_overworld"],"maxSkyLight":15,"minSkyLight":8,"structures":["#minecraft:village"]}</t>
        </is>
      </c>
      <c r="AR2921" s="18" t="inlineStr"/>
      <c r="AS2921" s="18" t="inlineStr"/>
      <c r="AT2921" s="19" t="inlineStr"/>
    </row>
    <row r="2922" ht="32" customHeight="1">
      <c r="A2922" s="18" t="inlineStr">
        <is>
          <t>0927_dachsbun.json::dachsbun-1::001</t>
        </is>
      </c>
      <c r="B2922" s="19" t="inlineStr">
        <is>
          <t>사용</t>
        </is>
      </c>
      <c r="C2922" s="18">
        <f>IF(OR(B2922&lt;&gt;AK2922,M2922&lt;&gt;L2922,O2922&lt;&gt;"",Q2922&lt;&gt;"",V2922&lt;&gt;1,Y2922&lt;&gt;"",AT2922&lt;&gt;""),"수정","원본")</f>
        <v/>
      </c>
      <c r="D2922" s="18" t="n">
        <v>927</v>
      </c>
      <c r="E2922" s="18" t="inlineStr">
        <is>
          <t>바우첼</t>
        </is>
      </c>
      <c r="F2922" s="18" t="inlineStr">
        <is>
          <t>dachsbun</t>
        </is>
      </c>
      <c r="G2922" s="18" t="inlineStr">
        <is>
          <t>dachsbun</t>
        </is>
      </c>
      <c r="H2922" s="18" t="inlineStr"/>
      <c r="I2922" s="18" t="n">
        <v>9</v>
      </c>
      <c r="J2922" s="18" t="n"/>
      <c r="K2922" s="18" t="n">
        <v>9</v>
      </c>
      <c r="L2922" s="18" t="inlineStr">
        <is>
          <t>cobbleventure:generation_9</t>
        </is>
      </c>
      <c r="M2922" s="19" t="inlineStr">
        <is>
          <t>cobbleventure:generation_9</t>
        </is>
      </c>
      <c r="N2922" s="18" t="inlineStr">
        <is>
          <t>region_01; region_02</t>
        </is>
      </c>
      <c r="O2922" s="19" t="inlineStr"/>
      <c r="P2922" s="18" t="inlineStr">
        <is>
          <t>#cobblemon:is_overworld</t>
        </is>
      </c>
      <c r="Q2922" s="19" t="inlineStr"/>
      <c r="R2922" s="18">
        <f>IF(Q2922="",P2922,Q2922)</f>
        <v/>
      </c>
      <c r="S2922" s="18" t="inlineStr"/>
      <c r="T2922" s="18" t="inlineStr">
        <is>
          <t>common</t>
        </is>
      </c>
      <c r="U2922" s="20" t="n">
        <v>1</v>
      </c>
      <c r="V2922" s="21" t="n">
        <v>1</v>
      </c>
      <c r="W2922" s="20">
        <f>IF(OR(U2922="",V2922=""),U2922,U2922*V2922)</f>
        <v/>
      </c>
      <c r="X2922" s="18" t="inlineStr">
        <is>
          <t>26-48</t>
        </is>
      </c>
      <c r="Y2922" s="19" t="inlineStr"/>
      <c r="Z2922" s="18">
        <f>IF(Y2922="",X2922,Y2922)</f>
        <v/>
      </c>
      <c r="AA2922" s="18" t="inlineStr">
        <is>
          <t>grounded</t>
        </is>
      </c>
      <c r="AB2922" s="18" t="inlineStr"/>
      <c r="AC2922" s="18" t="inlineStr"/>
      <c r="AD2922" s="18" t="inlineStr"/>
      <c r="AE2922" s="18" t="inlineStr">
        <is>
          <t>sky 8-15</t>
        </is>
      </c>
      <c r="AF2922" s="18" t="inlineStr"/>
      <c r="AG2922" s="18" t="inlineStr"/>
      <c r="AH2922" s="18" t="inlineStr"/>
      <c r="AI2922" s="18" t="inlineStr"/>
      <c r="AJ2922" s="18" t="inlineStr">
        <is>
          <t>COBBLEVERSE 수정</t>
        </is>
      </c>
      <c r="AK2922" s="18" t="inlineStr">
        <is>
          <t>사용</t>
        </is>
      </c>
      <c r="AL2922" s="18" t="inlineStr">
        <is>
          <t>COBBLEVERSE 1.7.42 / DP v31</t>
        </is>
      </c>
      <c r="AM2922" s="18" t="inlineStr">
        <is>
          <t>data/cobblemon/spawn_pool_world/0927_dachsbun.json</t>
        </is>
      </c>
      <c r="AN2922" s="18" t="inlineStr">
        <is>
          <t>dachsbun-1</t>
        </is>
      </c>
      <c r="AO2922" s="18" t="inlineStr">
        <is>
          <t>pokemon</t>
        </is>
      </c>
      <c r="AP2922" s="18" t="inlineStr">
        <is>
          <t>natural</t>
        </is>
      </c>
      <c r="AQ2922" s="18" t="inlineStr">
        <is>
          <t>{"biomes":["#cobblemon:is_overworld"],"maxSkyLight":15,"minSkyLight":8}</t>
        </is>
      </c>
      <c r="AR2922" s="18" t="inlineStr"/>
      <c r="AS2922" s="18" t="inlineStr"/>
      <c r="AT2922" s="19" t="inlineStr"/>
    </row>
    <row r="2923" ht="32" customHeight="1">
      <c r="A2923" s="18" t="inlineStr">
        <is>
          <t>0927_dachsbun.json::dachsbun-2::002</t>
        </is>
      </c>
      <c r="B2923" s="19" t="inlineStr">
        <is>
          <t>사용</t>
        </is>
      </c>
      <c r="C2923" s="18">
        <f>IF(OR(B2923&lt;&gt;AK2923,M2923&lt;&gt;L2923,O2923&lt;&gt;"",Q2923&lt;&gt;"",V2923&lt;&gt;1,Y2923&lt;&gt;"",AT2923&lt;&gt;""),"수정","원본")</f>
        <v/>
      </c>
      <c r="D2923" s="18" t="n">
        <v>927</v>
      </c>
      <c r="E2923" s="18" t="inlineStr">
        <is>
          <t>바우첼</t>
        </is>
      </c>
      <c r="F2923" s="18" t="inlineStr">
        <is>
          <t>dachsbun</t>
        </is>
      </c>
      <c r="G2923" s="18" t="inlineStr">
        <is>
          <t>dachsbun</t>
        </is>
      </c>
      <c r="H2923" s="18" t="inlineStr"/>
      <c r="I2923" s="18" t="n">
        <v>9</v>
      </c>
      <c r="J2923" s="18" t="n"/>
      <c r="K2923" s="18" t="n">
        <v>9</v>
      </c>
      <c r="L2923" s="18" t="inlineStr">
        <is>
          <t>cobbleventure:generation_9</t>
        </is>
      </c>
      <c r="M2923" s="19" t="inlineStr">
        <is>
          <t>cobbleventure:generation_9</t>
        </is>
      </c>
      <c r="N2923" s="18" t="inlineStr">
        <is>
          <t>region_01; region_02</t>
        </is>
      </c>
      <c r="O2923" s="19" t="inlineStr"/>
      <c r="P2923" s="18" t="inlineStr">
        <is>
          <t>#cobblemon:is_overworld</t>
        </is>
      </c>
      <c r="Q2923" s="19" t="inlineStr"/>
      <c r="R2923" s="18">
        <f>IF(Q2923="",P2923,Q2923)</f>
        <v/>
      </c>
      <c r="S2923" s="18" t="inlineStr"/>
      <c r="T2923" s="18" t="inlineStr">
        <is>
          <t>common</t>
        </is>
      </c>
      <c r="U2923" s="20" t="n">
        <v>1</v>
      </c>
      <c r="V2923" s="21" t="n">
        <v>1</v>
      </c>
      <c r="W2923" s="20">
        <f>IF(OR(U2923="",V2923=""),U2923,U2923*V2923)</f>
        <v/>
      </c>
      <c r="X2923" s="18" t="inlineStr">
        <is>
          <t>26-48</t>
        </is>
      </c>
      <c r="Y2923" s="19" t="inlineStr"/>
      <c r="Z2923" s="18">
        <f>IF(Y2923="",X2923,Y2923)</f>
        <v/>
      </c>
      <c r="AA2923" s="18" t="inlineStr">
        <is>
          <t>grounded</t>
        </is>
      </c>
      <c r="AB2923" s="18" t="inlineStr"/>
      <c r="AC2923" s="18" t="inlineStr"/>
      <c r="AD2923" s="18" t="inlineStr"/>
      <c r="AE2923" s="18" t="inlineStr">
        <is>
          <t>sky 8-15</t>
        </is>
      </c>
      <c r="AF2923" s="18" t="inlineStr"/>
      <c r="AG2923" s="18" t="inlineStr">
        <is>
          <t>#minecraft:village</t>
        </is>
      </c>
      <c r="AH2923" s="18" t="inlineStr"/>
      <c r="AI2923" s="18" t="inlineStr"/>
      <c r="AJ2923" s="18" t="inlineStr">
        <is>
          <t>COBBLEVERSE 수정</t>
        </is>
      </c>
      <c r="AK2923" s="18" t="inlineStr">
        <is>
          <t>사용</t>
        </is>
      </c>
      <c r="AL2923" s="18" t="inlineStr">
        <is>
          <t>COBBLEVERSE 1.7.42 / DP v31</t>
        </is>
      </c>
      <c r="AM2923" s="18" t="inlineStr">
        <is>
          <t>data/cobblemon/spawn_pool_world/0927_dachsbun.json</t>
        </is>
      </c>
      <c r="AN2923" s="18" t="inlineStr">
        <is>
          <t>dachsbun-2</t>
        </is>
      </c>
      <c r="AO2923" s="18" t="inlineStr">
        <is>
          <t>pokemon</t>
        </is>
      </c>
      <c r="AP2923" s="18" t="inlineStr">
        <is>
          <t>natural</t>
        </is>
      </c>
      <c r="AQ2923" s="18" t="inlineStr">
        <is>
          <t>{"biomes":["#cobblemon:is_overworld"],"maxSkyLight":15,"minSkyLight":8,"structures":["#minecraft:village"]}</t>
        </is>
      </c>
      <c r="AR2923" s="18" t="inlineStr"/>
      <c r="AS2923" s="18" t="inlineStr"/>
      <c r="AT2923" s="19" t="inlineStr"/>
    </row>
    <row r="2924" ht="32" customHeight="1">
      <c r="A2924" s="18" t="inlineStr">
        <is>
          <t>0928_smoliv.json::smoliv-1::001</t>
        </is>
      </c>
      <c r="B2924" s="19" t="inlineStr">
        <is>
          <t>사용</t>
        </is>
      </c>
      <c r="C2924" s="18">
        <f>IF(OR(B2924&lt;&gt;AK2924,M2924&lt;&gt;L2924,O2924&lt;&gt;"",Q2924&lt;&gt;"",V2924&lt;&gt;1,Y2924&lt;&gt;"",AT2924&lt;&gt;""),"수정","원본")</f>
        <v/>
      </c>
      <c r="D2924" s="18" t="n">
        <v>928</v>
      </c>
      <c r="E2924" s="18" t="inlineStr">
        <is>
          <t>미니브</t>
        </is>
      </c>
      <c r="F2924" s="18" t="inlineStr">
        <is>
          <t>smoliv</t>
        </is>
      </c>
      <c r="G2924" s="18" t="inlineStr">
        <is>
          <t>smoliv</t>
        </is>
      </c>
      <c r="H2924" s="18" t="inlineStr"/>
      <c r="I2924" s="18" t="n">
        <v>9</v>
      </c>
      <c r="J2924" s="18" t="n"/>
      <c r="K2924" s="18" t="n">
        <v>9</v>
      </c>
      <c r="L2924" s="18" t="inlineStr">
        <is>
          <t>cobbleventure:generation_9</t>
        </is>
      </c>
      <c r="M2924" s="19" t="inlineStr">
        <is>
          <t>cobbleventure:generation_9</t>
        </is>
      </c>
      <c r="N2924" s="18" t="inlineStr">
        <is>
          <t>region_01</t>
        </is>
      </c>
      <c r="O2924" s="19" t="inlineStr"/>
      <c r="P2924" s="18" t="inlineStr">
        <is>
          <t>#cobblemon:is_grassland</t>
        </is>
      </c>
      <c r="Q2924" s="19" t="inlineStr"/>
      <c r="R2924" s="18">
        <f>IF(Q2924="",P2924,Q2924)</f>
        <v/>
      </c>
      <c r="S2924" s="18" t="inlineStr"/>
      <c r="T2924" s="18" t="inlineStr">
        <is>
          <t>uncommon</t>
        </is>
      </c>
      <c r="U2924" s="20" t="n">
        <v>8.4</v>
      </c>
      <c r="V2924" s="21" t="n">
        <v>1</v>
      </c>
      <c r="W2924" s="20">
        <f>IF(OR(U2924="",V2924=""),U2924,U2924*V2924)</f>
        <v/>
      </c>
      <c r="X2924" s="18" t="inlineStr">
        <is>
          <t>1-26</t>
        </is>
      </c>
      <c r="Y2924" s="19" t="inlineStr"/>
      <c r="Z2924" s="18">
        <f>IF(Y2924="",X2924,Y2924)</f>
        <v/>
      </c>
      <c r="AA2924" s="18" t="inlineStr">
        <is>
          <t>grounded</t>
        </is>
      </c>
      <c r="AB2924" s="18" t="inlineStr"/>
      <c r="AC2924" s="18" t="inlineStr"/>
      <c r="AD2924" s="18" t="inlineStr"/>
      <c r="AE2924" s="18" t="inlineStr">
        <is>
          <t>sky 8-15</t>
        </is>
      </c>
      <c r="AF2924" s="18" t="inlineStr"/>
      <c r="AG2924" s="18" t="inlineStr"/>
      <c r="AH2924" s="18" t="inlineStr"/>
      <c r="AI2924" s="18" t="inlineStr"/>
      <c r="AJ2924" s="18" t="inlineStr">
        <is>
          <t>COBBLEVERSE 수정</t>
        </is>
      </c>
      <c r="AK2924" s="18" t="inlineStr">
        <is>
          <t>사용</t>
        </is>
      </c>
      <c r="AL2924" s="18" t="inlineStr">
        <is>
          <t>COBBLEVERSE 1.7.42 / DP v31</t>
        </is>
      </c>
      <c r="AM2924" s="18" t="inlineStr">
        <is>
          <t>data/cobblemon/spawn_pool_world/0928_smoliv.json</t>
        </is>
      </c>
      <c r="AN2924" s="18" t="inlineStr">
        <is>
          <t>smoliv-1</t>
        </is>
      </c>
      <c r="AO2924" s="18" t="inlineStr">
        <is>
          <t>pokemon</t>
        </is>
      </c>
      <c r="AP2924" s="18" t="inlineStr">
        <is>
          <t>natural</t>
        </is>
      </c>
      <c r="AQ2924" s="18" t="inlineStr">
        <is>
          <t>{"biomes":["#cobblemon:is_grassland"],"maxSkyLight":15,"minSkyLight":8}</t>
        </is>
      </c>
      <c r="AR2924" s="18" t="inlineStr"/>
      <c r="AS2924" s="18" t="inlineStr">
        <is>
          <t>{"weightMultiplier":{"condition":{"timeRange":"night"},"multiplier":0.25}}</t>
        </is>
      </c>
      <c r="AT2924" s="19" t="inlineStr"/>
    </row>
    <row r="2925" ht="32" customHeight="1">
      <c r="A2925" s="18" t="inlineStr">
        <is>
          <t>0929_dolliv.json::dolliv-1::001</t>
        </is>
      </c>
      <c r="B2925" s="19" t="inlineStr">
        <is>
          <t>사용</t>
        </is>
      </c>
      <c r="C2925" s="18">
        <f>IF(OR(B2925&lt;&gt;AK2925,M2925&lt;&gt;L2925,O2925&lt;&gt;"",Q2925&lt;&gt;"",V2925&lt;&gt;1,Y2925&lt;&gt;"",AT2925&lt;&gt;""),"수정","원본")</f>
        <v/>
      </c>
      <c r="D2925" s="18" t="n">
        <v>929</v>
      </c>
      <c r="E2925" s="18" t="inlineStr">
        <is>
          <t>올리뇨</t>
        </is>
      </c>
      <c r="F2925" s="18" t="inlineStr">
        <is>
          <t>dolliv</t>
        </is>
      </c>
      <c r="G2925" s="18" t="inlineStr">
        <is>
          <t>dolliv</t>
        </is>
      </c>
      <c r="H2925" s="18" t="inlineStr"/>
      <c r="I2925" s="18" t="n">
        <v>9</v>
      </c>
      <c r="J2925" s="18" t="n"/>
      <c r="K2925" s="18" t="n">
        <v>9</v>
      </c>
      <c r="L2925" s="18" t="inlineStr">
        <is>
          <t>cobbleventure:generation_9</t>
        </is>
      </c>
      <c r="M2925" s="19" t="inlineStr">
        <is>
          <t>cobbleventure:generation_9</t>
        </is>
      </c>
      <c r="N2925" s="18" t="inlineStr">
        <is>
          <t>region_01</t>
        </is>
      </c>
      <c r="O2925" s="19" t="inlineStr"/>
      <c r="P2925" s="18" t="inlineStr">
        <is>
          <t>#cobblemon:is_grassland</t>
        </is>
      </c>
      <c r="Q2925" s="19" t="inlineStr"/>
      <c r="R2925" s="18">
        <f>IF(Q2925="",P2925,Q2925)</f>
        <v/>
      </c>
      <c r="S2925" s="18" t="inlineStr"/>
      <c r="T2925" s="18" t="inlineStr">
        <is>
          <t>uncommon</t>
        </is>
      </c>
      <c r="U2925" s="20" t="n">
        <v>1.44</v>
      </c>
      <c r="V2925" s="21" t="n">
        <v>1</v>
      </c>
      <c r="W2925" s="20">
        <f>IF(OR(U2925="",V2925=""),U2925,U2925*V2925)</f>
        <v/>
      </c>
      <c r="X2925" s="18" t="inlineStr">
        <is>
          <t>25-35</t>
        </is>
      </c>
      <c r="Y2925" s="19" t="inlineStr"/>
      <c r="Z2925" s="18">
        <f>IF(Y2925="",X2925,Y2925)</f>
        <v/>
      </c>
      <c r="AA2925" s="18" t="inlineStr">
        <is>
          <t>grounded</t>
        </is>
      </c>
      <c r="AB2925" s="18" t="inlineStr"/>
      <c r="AC2925" s="18" t="inlineStr"/>
      <c r="AD2925" s="18" t="inlineStr"/>
      <c r="AE2925" s="18" t="inlineStr">
        <is>
          <t>sky 8-15</t>
        </is>
      </c>
      <c r="AF2925" s="18" t="inlineStr"/>
      <c r="AG2925" s="18" t="inlineStr"/>
      <c r="AH2925" s="18" t="inlineStr"/>
      <c r="AI2925" s="18" t="inlineStr"/>
      <c r="AJ2925" s="18" t="inlineStr">
        <is>
          <t>COBBLEVERSE 수정</t>
        </is>
      </c>
      <c r="AK2925" s="18" t="inlineStr">
        <is>
          <t>사용</t>
        </is>
      </c>
      <c r="AL2925" s="18" t="inlineStr">
        <is>
          <t>COBBLEVERSE 1.7.42 / DP v31</t>
        </is>
      </c>
      <c r="AM2925" s="18" t="inlineStr">
        <is>
          <t>data/cobblemon/spawn_pool_world/0929_dolliv.json</t>
        </is>
      </c>
      <c r="AN2925" s="18" t="inlineStr">
        <is>
          <t>dolliv-1</t>
        </is>
      </c>
      <c r="AO2925" s="18" t="inlineStr">
        <is>
          <t>pokemon</t>
        </is>
      </c>
      <c r="AP2925" s="18" t="inlineStr">
        <is>
          <t>natural</t>
        </is>
      </c>
      <c r="AQ2925" s="18" t="inlineStr">
        <is>
          <t>{"biomes":["#cobblemon:is_grassland"],"maxSkyLight":15,"minSkyLight":8}</t>
        </is>
      </c>
      <c r="AR2925" s="18" t="inlineStr"/>
      <c r="AS2925" s="18" t="inlineStr">
        <is>
          <t>{"weightMultiplier":{"condition":{"timeRange":"night"},"multiplier":0.25}}</t>
        </is>
      </c>
      <c r="AT2925" s="19" t="inlineStr"/>
    </row>
    <row r="2926" ht="32" customHeight="1">
      <c r="A2926" s="18" t="inlineStr">
        <is>
          <t>0930_arboliva.json::arboliva-1::001</t>
        </is>
      </c>
      <c r="B2926" s="19" t="inlineStr">
        <is>
          <t>사용</t>
        </is>
      </c>
      <c r="C2926" s="18">
        <f>IF(OR(B2926&lt;&gt;AK2926,M2926&lt;&gt;L2926,O2926&lt;&gt;"",Q2926&lt;&gt;"",V2926&lt;&gt;1,Y2926&lt;&gt;"",AT2926&lt;&gt;""),"수정","원본")</f>
        <v/>
      </c>
      <c r="D2926" s="18" t="n">
        <v>930</v>
      </c>
      <c r="E2926" s="18" t="inlineStr">
        <is>
          <t>올리르바</t>
        </is>
      </c>
      <c r="F2926" s="18" t="inlineStr">
        <is>
          <t>arboliva</t>
        </is>
      </c>
      <c r="G2926" s="18" t="inlineStr">
        <is>
          <t>arboliva</t>
        </is>
      </c>
      <c r="H2926" s="18" t="inlineStr"/>
      <c r="I2926" s="18" t="n">
        <v>9</v>
      </c>
      <c r="J2926" s="18" t="n"/>
      <c r="K2926" s="18" t="n">
        <v>9</v>
      </c>
      <c r="L2926" s="18" t="inlineStr">
        <is>
          <t>cobbleventure:generation_9</t>
        </is>
      </c>
      <c r="M2926" s="19" t="inlineStr">
        <is>
          <t>cobbleventure:generation_9</t>
        </is>
      </c>
      <c r="N2926" s="18" t="inlineStr">
        <is>
          <t>region_01</t>
        </is>
      </c>
      <c r="O2926" s="19" t="inlineStr"/>
      <c r="P2926" s="18" t="inlineStr">
        <is>
          <t>#cobblemon:is_grassland</t>
        </is>
      </c>
      <c r="Q2926" s="19" t="inlineStr"/>
      <c r="R2926" s="18">
        <f>IF(Q2926="",P2926,Q2926)</f>
        <v/>
      </c>
      <c r="S2926" s="18" t="inlineStr"/>
      <c r="T2926" s="18" t="inlineStr">
        <is>
          <t>uncommon</t>
        </is>
      </c>
      <c r="U2926" s="20" t="n">
        <v>0.16</v>
      </c>
      <c r="V2926" s="21" t="n">
        <v>1</v>
      </c>
      <c r="W2926" s="20">
        <f>IF(OR(U2926="",V2926=""),U2926,U2926*V2926)</f>
        <v/>
      </c>
      <c r="X2926" s="18" t="inlineStr">
        <is>
          <t>35-51</t>
        </is>
      </c>
      <c r="Y2926" s="19" t="inlineStr"/>
      <c r="Z2926" s="18">
        <f>IF(Y2926="",X2926,Y2926)</f>
        <v/>
      </c>
      <c r="AA2926" s="18" t="inlineStr">
        <is>
          <t>grounded</t>
        </is>
      </c>
      <c r="AB2926" s="18" t="inlineStr"/>
      <c r="AC2926" s="18" t="inlineStr"/>
      <c r="AD2926" s="18" t="inlineStr"/>
      <c r="AE2926" s="18" t="inlineStr">
        <is>
          <t>sky 8-15</t>
        </is>
      </c>
      <c r="AF2926" s="18" t="inlineStr"/>
      <c r="AG2926" s="18" t="inlineStr"/>
      <c r="AH2926" s="18" t="inlineStr"/>
      <c r="AI2926" s="18" t="inlineStr"/>
      <c r="AJ2926" s="18" t="inlineStr">
        <is>
          <t>COBBLEVERSE 수정</t>
        </is>
      </c>
      <c r="AK2926" s="18" t="inlineStr">
        <is>
          <t>사용</t>
        </is>
      </c>
      <c r="AL2926" s="18" t="inlineStr">
        <is>
          <t>COBBLEVERSE 1.7.42 / DP v31</t>
        </is>
      </c>
      <c r="AM2926" s="18" t="inlineStr">
        <is>
          <t>data/cobblemon/spawn_pool_world/0930_arboliva.json</t>
        </is>
      </c>
      <c r="AN2926" s="18" t="inlineStr">
        <is>
          <t>arboliva-1</t>
        </is>
      </c>
      <c r="AO2926" s="18" t="inlineStr">
        <is>
          <t>pokemon</t>
        </is>
      </c>
      <c r="AP2926" s="18" t="inlineStr">
        <is>
          <t>natural</t>
        </is>
      </c>
      <c r="AQ2926" s="18" t="inlineStr">
        <is>
          <t>{"biomes":["#cobblemon:is_grassland"],"maxSkyLight":15,"minSkyLight":8}</t>
        </is>
      </c>
      <c r="AR2926" s="18" t="inlineStr"/>
      <c r="AS2926" s="18" t="inlineStr">
        <is>
          <t>{"weightMultiplier":{"condition":{"timeRange":"night"},"multiplier":0.25}}</t>
        </is>
      </c>
      <c r="AT2926" s="19" t="inlineStr"/>
    </row>
    <row r="2927" ht="32" customHeight="1">
      <c r="A2927" s="18" t="inlineStr">
        <is>
          <t>0931_squawkabilly.json::squawkabilly-1::001</t>
        </is>
      </c>
      <c r="B2927" s="19" t="inlineStr">
        <is>
          <t>사용</t>
        </is>
      </c>
      <c r="C2927" s="18">
        <f>IF(OR(B2927&lt;&gt;AK2927,M2927&lt;&gt;L2927,O2927&lt;&gt;"",Q2927&lt;&gt;"",V2927&lt;&gt;1,Y2927&lt;&gt;"",AT2927&lt;&gt;""),"수정","원본")</f>
        <v/>
      </c>
      <c r="D2927" s="18" t="n">
        <v>931</v>
      </c>
      <c r="E2927" s="18" t="inlineStr">
        <is>
          <t>시비꼬</t>
        </is>
      </c>
      <c r="F2927" s="18" t="inlineStr">
        <is>
          <t>squawkabilly</t>
        </is>
      </c>
      <c r="G2927" s="18" t="inlineStr">
        <is>
          <t>squawkabilly</t>
        </is>
      </c>
      <c r="H2927" s="18" t="inlineStr"/>
      <c r="I2927" s="18" t="n">
        <v>9</v>
      </c>
      <c r="J2927" s="18" t="n"/>
      <c r="K2927" s="18" t="n">
        <v>9</v>
      </c>
      <c r="L2927" s="18" t="inlineStr">
        <is>
          <t>cobbleventure:generation_9</t>
        </is>
      </c>
      <c r="M2927" s="19" t="inlineStr">
        <is>
          <t>cobbleventure:generation_9</t>
        </is>
      </c>
      <c r="N2927" s="18" t="inlineStr"/>
      <c r="O2927" s="19" t="inlineStr"/>
      <c r="P2927" s="18" t="inlineStr">
        <is>
          <t>#cobblemon:is_jungle; #cobblemon:is_savanna; #cobblemon:is_tropical_island</t>
        </is>
      </c>
      <c r="Q2927" s="19" t="inlineStr"/>
      <c r="R2927" s="18">
        <f>IF(Q2927="",P2927,Q2927)</f>
        <v/>
      </c>
      <c r="S2927" s="18" t="inlineStr"/>
      <c r="T2927" s="18" t="inlineStr">
        <is>
          <t>common</t>
        </is>
      </c>
      <c r="U2927" s="20" t="n">
        <v>2</v>
      </c>
      <c r="V2927" s="21" t="n">
        <v>1</v>
      </c>
      <c r="W2927" s="20">
        <f>IF(OR(U2927="",V2927=""),U2927,U2927*V2927)</f>
        <v/>
      </c>
      <c r="X2927" s="18" t="inlineStr">
        <is>
          <t>17-42</t>
        </is>
      </c>
      <c r="Y2927" s="19" t="inlineStr"/>
      <c r="Z2927" s="18">
        <f>IF(Y2927="",X2927,Y2927)</f>
        <v/>
      </c>
      <c r="AA2927" s="18" t="inlineStr">
        <is>
          <t>grounded</t>
        </is>
      </c>
      <c r="AB2927" s="18" t="inlineStr">
        <is>
          <t>day</t>
        </is>
      </c>
      <c r="AC2927" s="18" t="inlineStr"/>
      <c r="AD2927" s="18" t="inlineStr"/>
      <c r="AE2927" s="18" t="inlineStr">
        <is>
          <t>sky 8-15</t>
        </is>
      </c>
      <c r="AF2927" s="18" t="inlineStr"/>
      <c r="AG2927" s="18" t="inlineStr"/>
      <c r="AH2927" s="18" t="inlineStr"/>
      <c r="AI2927" s="18" t="inlineStr"/>
      <c r="AJ2927" s="18" t="inlineStr">
        <is>
          <t>Cobblemon 동일</t>
        </is>
      </c>
      <c r="AK2927" s="18" t="inlineStr">
        <is>
          <t>사용</t>
        </is>
      </c>
      <c r="AL2927" s="18" t="inlineStr">
        <is>
          <t>COBBLEVERSE 1.7.42 / DP v31</t>
        </is>
      </c>
      <c r="AM2927" s="18" t="inlineStr">
        <is>
          <t>data/cobblemon/spawn_pool_world/0931_squawkabilly.json</t>
        </is>
      </c>
      <c r="AN2927" s="18" t="inlineStr">
        <is>
          <t>squawkabilly-1</t>
        </is>
      </c>
      <c r="AO2927" s="18" t="inlineStr">
        <is>
          <t>pokemon</t>
        </is>
      </c>
      <c r="AP2927" s="18" t="inlineStr">
        <is>
          <t>natural; treetop</t>
        </is>
      </c>
      <c r="AQ2927" s="18" t="inlineStr">
        <is>
          <t>{"biomes":["#cobblemon:is_jungle","#cobblemon:is_savanna","#cobblemon:is_tropical_island"],"maxSkyLight":15,"minSkyLight":8,"timeRange":"day"}</t>
        </is>
      </c>
      <c r="AR2927" s="18" t="inlineStr"/>
      <c r="AS2927" s="18" t="inlineStr"/>
      <c r="AT2927" s="19" t="inlineStr"/>
    </row>
    <row r="2928" ht="32" customHeight="1">
      <c r="A2928" s="18" t="inlineStr">
        <is>
          <t>0931_squawkabilly.json::squawkabilly-2::002</t>
        </is>
      </c>
      <c r="B2928" s="19" t="inlineStr">
        <is>
          <t>사용</t>
        </is>
      </c>
      <c r="C2928" s="18">
        <f>IF(OR(B2928&lt;&gt;AK2928,M2928&lt;&gt;L2928,O2928&lt;&gt;"",Q2928&lt;&gt;"",V2928&lt;&gt;1,Y2928&lt;&gt;"",AT2928&lt;&gt;""),"수정","원본")</f>
        <v/>
      </c>
      <c r="D2928" s="18" t="n">
        <v>931</v>
      </c>
      <c r="E2928" s="18" t="inlineStr">
        <is>
          <t>시비꼬</t>
        </is>
      </c>
      <c r="F2928" s="18" t="inlineStr">
        <is>
          <t>squawkabilly</t>
        </is>
      </c>
      <c r="G2928" s="18" t="inlineStr">
        <is>
          <t>squawkabilly</t>
        </is>
      </c>
      <c r="H2928" s="18" t="inlineStr"/>
      <c r="I2928" s="18" t="n">
        <v>9</v>
      </c>
      <c r="J2928" s="18" t="n"/>
      <c r="K2928" s="18" t="n">
        <v>9</v>
      </c>
      <c r="L2928" s="18" t="inlineStr">
        <is>
          <t>cobbleventure:generation_9</t>
        </is>
      </c>
      <c r="M2928" s="19" t="inlineStr">
        <is>
          <t>cobbleventure:generation_9</t>
        </is>
      </c>
      <c r="N2928" s="18" t="inlineStr">
        <is>
          <t>region_01</t>
        </is>
      </c>
      <c r="O2928" s="19" t="inlineStr"/>
      <c r="P2928" s="18" t="inlineStr">
        <is>
          <t>#cobblemon:is_overworld</t>
        </is>
      </c>
      <c r="Q2928" s="19" t="inlineStr"/>
      <c r="R2928" s="18">
        <f>IF(Q2928="",P2928,Q2928)</f>
        <v/>
      </c>
      <c r="S2928" s="18" t="inlineStr">
        <is>
          <t>#cobblemon:is_freezing; #cobblemon:is_sandy</t>
        </is>
      </c>
      <c r="T2928" s="18" t="inlineStr">
        <is>
          <t>common</t>
        </is>
      </c>
      <c r="U2928" s="20" t="n">
        <v>6</v>
      </c>
      <c r="V2928" s="21" t="n">
        <v>1</v>
      </c>
      <c r="W2928" s="20">
        <f>IF(OR(U2928="",V2928=""),U2928,U2928*V2928)</f>
        <v/>
      </c>
      <c r="X2928" s="18" t="inlineStr">
        <is>
          <t>17-42</t>
        </is>
      </c>
      <c r="Y2928" s="19" t="inlineStr"/>
      <c r="Z2928" s="18">
        <f>IF(Y2928="",X2928,Y2928)</f>
        <v/>
      </c>
      <c r="AA2928" s="18" t="inlineStr">
        <is>
          <t>grounded</t>
        </is>
      </c>
      <c r="AB2928" s="18" t="inlineStr">
        <is>
          <t>day</t>
        </is>
      </c>
      <c r="AC2928" s="18" t="inlineStr">
        <is>
          <t>비=False</t>
        </is>
      </c>
      <c r="AD2928" s="18" t="inlineStr"/>
      <c r="AE2928" s="18" t="inlineStr">
        <is>
          <t>sky 8-15</t>
        </is>
      </c>
      <c r="AF2928" s="18" t="inlineStr"/>
      <c r="AG2928" s="18" t="inlineStr"/>
      <c r="AH2928" s="18" t="inlineStr"/>
      <c r="AI2928" s="18" t="inlineStr"/>
      <c r="AJ2928" s="18" t="inlineStr">
        <is>
          <t>Cobblemon 동일</t>
        </is>
      </c>
      <c r="AK2928" s="18" t="inlineStr">
        <is>
          <t>사용</t>
        </is>
      </c>
      <c r="AL2928" s="18" t="inlineStr">
        <is>
          <t>COBBLEVERSE 1.7.42 / DP v31</t>
        </is>
      </c>
      <c r="AM2928" s="18" t="inlineStr">
        <is>
          <t>data/cobblemon/spawn_pool_world/0931_squawkabilly.json</t>
        </is>
      </c>
      <c r="AN2928" s="18" t="inlineStr">
        <is>
          <t>squawkabilly-2</t>
        </is>
      </c>
      <c r="AO2928" s="18" t="inlineStr">
        <is>
          <t>pokemon</t>
        </is>
      </c>
      <c r="AP2928" s="18" t="inlineStr">
        <is>
          <t>urban; natural; treetop</t>
        </is>
      </c>
      <c r="AQ2928" s="18" t="inlineStr">
        <is>
          <t>{"biomes":["#cobblemon:is_overworld"],"isRaining":false,"maxSkyLight":15,"minSkyLight":8,"timeRange":"day"}</t>
        </is>
      </c>
      <c r="AR2928" s="18" t="inlineStr">
        <is>
          <t>{"biomes":["#cobblemon:is_freezing","#cobblemon:is_sandy"]}</t>
        </is>
      </c>
      <c r="AS2928" s="18" t="inlineStr"/>
      <c r="AT2928" s="19" t="inlineStr"/>
    </row>
    <row r="2929" ht="32" customHeight="1">
      <c r="A2929" s="18" t="inlineStr">
        <is>
          <t>0931_squawkabilly.json::squawkabilly-3::003</t>
        </is>
      </c>
      <c r="B2929" s="19" t="inlineStr">
        <is>
          <t>사용</t>
        </is>
      </c>
      <c r="C2929" s="18">
        <f>IF(OR(B2929&lt;&gt;AK2929,M2929&lt;&gt;L2929,O2929&lt;&gt;"",Q2929&lt;&gt;"",V2929&lt;&gt;1,Y2929&lt;&gt;"",AT2929&lt;&gt;""),"수정","원본")</f>
        <v/>
      </c>
      <c r="D2929" s="18" t="n">
        <v>931</v>
      </c>
      <c r="E2929" s="18" t="inlineStr">
        <is>
          <t>시비꼬</t>
        </is>
      </c>
      <c r="F2929" s="18" t="inlineStr">
        <is>
          <t>squawkabilly</t>
        </is>
      </c>
      <c r="G2929" s="18" t="inlineStr">
        <is>
          <t>squawkabilly</t>
        </is>
      </c>
      <c r="H2929" s="18" t="inlineStr"/>
      <c r="I2929" s="18" t="n">
        <v>9</v>
      </c>
      <c r="J2929" s="18" t="n"/>
      <c r="K2929" s="18" t="n">
        <v>9</v>
      </c>
      <c r="L2929" s="18" t="inlineStr">
        <is>
          <t>cobbleventure:generation_9</t>
        </is>
      </c>
      <c r="M2929" s="19" t="inlineStr">
        <is>
          <t>cobbleventure:generation_9</t>
        </is>
      </c>
      <c r="N2929" s="18" t="inlineStr">
        <is>
          <t>region_01</t>
        </is>
      </c>
      <c r="O2929" s="19" t="inlineStr"/>
      <c r="P2929" s="18" t="inlineStr">
        <is>
          <t>#cobblemon:is_overworld</t>
        </is>
      </c>
      <c r="Q2929" s="19" t="inlineStr"/>
      <c r="R2929" s="18">
        <f>IF(Q2929="",P2929,Q2929)</f>
        <v/>
      </c>
      <c r="S2929" s="18" t="inlineStr">
        <is>
          <t>#cobblemon:is_freezing; #cobblemon:is_sandy</t>
        </is>
      </c>
      <c r="T2929" s="18" t="inlineStr">
        <is>
          <t>common</t>
        </is>
      </c>
      <c r="U2929" s="20" t="n">
        <v>6</v>
      </c>
      <c r="V2929" s="21" t="n">
        <v>1</v>
      </c>
      <c r="W2929" s="20">
        <f>IF(OR(U2929="",V2929=""),U2929,U2929*V2929)</f>
        <v/>
      </c>
      <c r="X2929" s="18" t="inlineStr">
        <is>
          <t>17-42</t>
        </is>
      </c>
      <c r="Y2929" s="19" t="inlineStr"/>
      <c r="Z2929" s="18">
        <f>IF(Y2929="",X2929,Y2929)</f>
        <v/>
      </c>
      <c r="AA2929" s="18" t="inlineStr">
        <is>
          <t>grounded</t>
        </is>
      </c>
      <c r="AB2929" s="18" t="inlineStr">
        <is>
          <t>day</t>
        </is>
      </c>
      <c r="AC2929" s="18" t="inlineStr">
        <is>
          <t>비=False</t>
        </is>
      </c>
      <c r="AD2929" s="18" t="inlineStr"/>
      <c r="AE2929" s="18" t="inlineStr">
        <is>
          <t>sky 8-15</t>
        </is>
      </c>
      <c r="AF2929" s="18" t="inlineStr"/>
      <c r="AG2929" s="18" t="inlineStr">
        <is>
          <t>#minecraft:village</t>
        </is>
      </c>
      <c r="AH2929" s="18" t="inlineStr"/>
      <c r="AI2929" s="18" t="inlineStr"/>
      <c r="AJ2929" s="18" t="inlineStr">
        <is>
          <t>Cobblemon 동일</t>
        </is>
      </c>
      <c r="AK2929" s="18" t="inlineStr">
        <is>
          <t>사용</t>
        </is>
      </c>
      <c r="AL2929" s="18" t="inlineStr">
        <is>
          <t>COBBLEVERSE 1.7.42 / DP v31</t>
        </is>
      </c>
      <c r="AM2929" s="18" t="inlineStr">
        <is>
          <t>data/cobblemon/spawn_pool_world/0931_squawkabilly.json</t>
        </is>
      </c>
      <c r="AN2929" s="18" t="inlineStr">
        <is>
          <t>squawkabilly-3</t>
        </is>
      </c>
      <c r="AO2929" s="18" t="inlineStr">
        <is>
          <t>pokemon</t>
        </is>
      </c>
      <c r="AP2929" s="18" t="inlineStr">
        <is>
          <t>natural; treetop</t>
        </is>
      </c>
      <c r="AQ2929" s="18" t="inlineStr">
        <is>
          <t>{"biomes":["#cobblemon:is_overworld"],"isRaining":false,"maxSkyLight":15,"minSkyLight":8,"structures":["#minecraft:village"],"timeRange":"day"}</t>
        </is>
      </c>
      <c r="AR2929" s="18" t="inlineStr">
        <is>
          <t>{"biomes":["#cobblemon:is_freezing","#cobblemon:is_sandy"]}</t>
        </is>
      </c>
      <c r="AS2929" s="18" t="inlineStr"/>
      <c r="AT2929" s="19" t="inlineStr"/>
    </row>
    <row r="2930" ht="32" customHeight="1">
      <c r="A2930" s="18" t="inlineStr">
        <is>
          <t>0931_squawkabilly.json::squawkabilly-4::004</t>
        </is>
      </c>
      <c r="B2930" s="19" t="inlineStr">
        <is>
          <t>사용</t>
        </is>
      </c>
      <c r="C2930" s="18">
        <f>IF(OR(B2930&lt;&gt;AK2930,M2930&lt;&gt;L2930,O2930&lt;&gt;"",Q2930&lt;&gt;"",V2930&lt;&gt;1,Y2930&lt;&gt;"",AT2930&lt;&gt;""),"수정","원본")</f>
        <v/>
      </c>
      <c r="D2930" s="18" t="n">
        <v>931</v>
      </c>
      <c r="E2930" s="18" t="inlineStr">
        <is>
          <t>시비꼬</t>
        </is>
      </c>
      <c r="F2930" s="18" t="inlineStr">
        <is>
          <t>squawkabilly</t>
        </is>
      </c>
      <c r="G2930" s="18" t="inlineStr">
        <is>
          <t>squawkabilly</t>
        </is>
      </c>
      <c r="H2930" s="18" t="inlineStr"/>
      <c r="I2930" s="18" t="n">
        <v>9</v>
      </c>
      <c r="J2930" s="18" t="n"/>
      <c r="K2930" s="18" t="n">
        <v>9</v>
      </c>
      <c r="L2930" s="18" t="inlineStr">
        <is>
          <t>cobbleventure:generation_9</t>
        </is>
      </c>
      <c r="M2930" s="19" t="inlineStr">
        <is>
          <t>cobbleventure:generation_9</t>
        </is>
      </c>
      <c r="N2930" s="18" t="inlineStr"/>
      <c r="O2930" s="19" t="inlineStr"/>
      <c r="P2930" s="18" t="inlineStr">
        <is>
          <t>#cobblemon:is_sky</t>
        </is>
      </c>
      <c r="Q2930" s="19" t="inlineStr"/>
      <c r="R2930" s="18">
        <f>IF(Q2930="",P2930,Q2930)</f>
        <v/>
      </c>
      <c r="S2930" s="18" t="inlineStr"/>
      <c r="T2930" s="18" t="inlineStr">
        <is>
          <t>common</t>
        </is>
      </c>
      <c r="U2930" s="20" t="n">
        <v>10</v>
      </c>
      <c r="V2930" s="21" t="n">
        <v>1</v>
      </c>
      <c r="W2930" s="20">
        <f>IF(OR(U2930="",V2930=""),U2930,U2930*V2930)</f>
        <v/>
      </c>
      <c r="X2930" s="18" t="inlineStr">
        <is>
          <t>17-42</t>
        </is>
      </c>
      <c r="Y2930" s="19" t="inlineStr"/>
      <c r="Z2930" s="18">
        <f>IF(Y2930="",X2930,Y2930)</f>
        <v/>
      </c>
      <c r="AA2930" s="18" t="inlineStr">
        <is>
          <t>grounded</t>
        </is>
      </c>
      <c r="AB2930" s="18" t="inlineStr">
        <is>
          <t>day</t>
        </is>
      </c>
      <c r="AC2930" s="18" t="inlineStr"/>
      <c r="AD2930" s="18" t="inlineStr"/>
      <c r="AE2930" s="18" t="inlineStr">
        <is>
          <t>sky 8-15</t>
        </is>
      </c>
      <c r="AF2930" s="18" t="inlineStr"/>
      <c r="AG2930" s="18" t="inlineStr"/>
      <c r="AH2930" s="18" t="inlineStr"/>
      <c r="AI2930" s="18" t="inlineStr"/>
      <c r="AJ2930" s="18" t="inlineStr">
        <is>
          <t>Cobblemon 동일</t>
        </is>
      </c>
      <c r="AK2930" s="18" t="inlineStr">
        <is>
          <t>사용</t>
        </is>
      </c>
      <c r="AL2930" s="18" t="inlineStr">
        <is>
          <t>COBBLEVERSE 1.7.42 / DP v31</t>
        </is>
      </c>
      <c r="AM2930" s="18" t="inlineStr">
        <is>
          <t>data/cobblemon/spawn_pool_world/0931_squawkabilly.json</t>
        </is>
      </c>
      <c r="AN2930" s="18" t="inlineStr">
        <is>
          <t>squawkabilly-4</t>
        </is>
      </c>
      <c r="AO2930" s="18" t="inlineStr">
        <is>
          <t>pokemon</t>
        </is>
      </c>
      <c r="AP2930" s="18" t="inlineStr">
        <is>
          <t>natural; treetop</t>
        </is>
      </c>
      <c r="AQ2930" s="18" t="inlineStr">
        <is>
          <t>{"biomes":["#cobblemon:is_sky"],"maxSkyLight":15,"minSkyLight":8,"timeRange":"day"}</t>
        </is>
      </c>
      <c r="AR2930" s="18" t="inlineStr"/>
      <c r="AS2930" s="18" t="inlineStr"/>
      <c r="AT2930" s="19" t="inlineStr"/>
    </row>
    <row r="2931" ht="32" customHeight="1">
      <c r="A2931" s="18" t="inlineStr">
        <is>
          <t>0932_nacli.json::nacli-1::001</t>
        </is>
      </c>
      <c r="B2931" s="19" t="inlineStr">
        <is>
          <t>사용</t>
        </is>
      </c>
      <c r="C2931" s="18">
        <f>IF(OR(B2931&lt;&gt;AK2931,M2931&lt;&gt;L2931,O2931&lt;&gt;"",Q2931&lt;&gt;"",V2931&lt;&gt;1,Y2931&lt;&gt;"",AT2931&lt;&gt;""),"수정","원본")</f>
        <v/>
      </c>
      <c r="D2931" s="18" t="n">
        <v>932</v>
      </c>
      <c r="E2931" s="18" t="inlineStr">
        <is>
          <t>베베솔트</t>
        </is>
      </c>
      <c r="F2931" s="18" t="inlineStr">
        <is>
          <t>nacli</t>
        </is>
      </c>
      <c r="G2931" s="18" t="inlineStr">
        <is>
          <t>nacli</t>
        </is>
      </c>
      <c r="H2931" s="18" t="inlineStr"/>
      <c r="I2931" s="18" t="n">
        <v>9</v>
      </c>
      <c r="J2931" s="18" t="n"/>
      <c r="K2931" s="18" t="n">
        <v>9</v>
      </c>
      <c r="L2931" s="18" t="inlineStr">
        <is>
          <t>cobbleventure:generation_9</t>
        </is>
      </c>
      <c r="M2931" s="19" t="inlineStr">
        <is>
          <t>cobbleventure:generation_9</t>
        </is>
      </c>
      <c r="N2931" s="18" t="inlineStr"/>
      <c r="O2931" s="19" t="inlineStr"/>
      <c r="P2931" s="18" t="inlineStr">
        <is>
          <t>#cobblemon:is_badlands</t>
        </is>
      </c>
      <c r="Q2931" s="19" t="inlineStr"/>
      <c r="R2931" s="18">
        <f>IF(Q2931="",P2931,Q2931)</f>
        <v/>
      </c>
      <c r="S2931" s="18" t="inlineStr"/>
      <c r="T2931" s="18" t="inlineStr">
        <is>
          <t>common</t>
        </is>
      </c>
      <c r="U2931" s="20" t="n">
        <v>5.4</v>
      </c>
      <c r="V2931" s="21" t="n">
        <v>1</v>
      </c>
      <c r="W2931" s="20">
        <f>IF(OR(U2931="",V2931=""),U2931,U2931*V2931)</f>
        <v/>
      </c>
      <c r="X2931" s="18" t="inlineStr">
        <is>
          <t>3-28</t>
        </is>
      </c>
      <c r="Y2931" s="19" t="inlineStr"/>
      <c r="Z2931" s="18">
        <f>IF(Y2931="",X2931,Y2931)</f>
        <v/>
      </c>
      <c r="AA2931" s="18" t="inlineStr">
        <is>
          <t>grounded</t>
        </is>
      </c>
      <c r="AB2931" s="18" t="inlineStr"/>
      <c r="AC2931" s="18" t="inlineStr"/>
      <c r="AD2931" s="18" t="inlineStr"/>
      <c r="AE2931" s="18" t="inlineStr">
        <is>
          <t>sky 8-15</t>
        </is>
      </c>
      <c r="AF2931" s="18" t="inlineStr"/>
      <c r="AG2931" s="18" t="inlineStr"/>
      <c r="AH2931" s="18" t="inlineStr"/>
      <c r="AI2931" s="18" t="inlineStr"/>
      <c r="AJ2931" s="18" t="inlineStr">
        <is>
          <t>Cobblemon 동일</t>
        </is>
      </c>
      <c r="AK2931" s="18" t="inlineStr">
        <is>
          <t>사용</t>
        </is>
      </c>
      <c r="AL2931" s="18" t="inlineStr">
        <is>
          <t>COBBLEVERSE 1.7.42 / DP v31</t>
        </is>
      </c>
      <c r="AM2931" s="18" t="inlineStr">
        <is>
          <t>data/cobblemon/spawn_pool_world/0932_nacli.json</t>
        </is>
      </c>
      <c r="AN2931" s="18" t="inlineStr">
        <is>
          <t>nacli-1</t>
        </is>
      </c>
      <c r="AO2931" s="18" t="inlineStr">
        <is>
          <t>pokemon</t>
        </is>
      </c>
      <c r="AP2931" s="18" t="inlineStr">
        <is>
          <t>natural; wild</t>
        </is>
      </c>
      <c r="AQ2931" s="18" t="inlineStr">
        <is>
          <t>{"biomes":["#cobblemon:is_badlands"],"maxSkyLight":15,"minSkyLight":8}</t>
        </is>
      </c>
      <c r="AR2931" s="18" t="inlineStr"/>
      <c r="AS2931" s="18" t="inlineStr"/>
      <c r="AT2931" s="19" t="inlineStr"/>
    </row>
    <row r="2932" ht="32" customHeight="1">
      <c r="A2932" s="18" t="inlineStr">
        <is>
          <t>0932_nacli.json::nacli-2::002</t>
        </is>
      </c>
      <c r="B2932" s="19" t="inlineStr">
        <is>
          <t>사용</t>
        </is>
      </c>
      <c r="C2932" s="18">
        <f>IF(OR(B2932&lt;&gt;AK2932,M2932&lt;&gt;L2932,O2932&lt;&gt;"",Q2932&lt;&gt;"",V2932&lt;&gt;1,Y2932&lt;&gt;"",AT2932&lt;&gt;""),"수정","원본")</f>
        <v/>
      </c>
      <c r="D2932" s="18" t="n">
        <v>932</v>
      </c>
      <c r="E2932" s="18" t="inlineStr">
        <is>
          <t>베베솔트</t>
        </is>
      </c>
      <c r="F2932" s="18" t="inlineStr">
        <is>
          <t>nacli</t>
        </is>
      </c>
      <c r="G2932" s="18" t="inlineStr">
        <is>
          <t>nacli</t>
        </is>
      </c>
      <c r="H2932" s="18" t="inlineStr"/>
      <c r="I2932" s="18" t="n">
        <v>9</v>
      </c>
      <c r="J2932" s="18" t="n"/>
      <c r="K2932" s="18" t="n">
        <v>9</v>
      </c>
      <c r="L2932" s="18" t="inlineStr">
        <is>
          <t>cobbleventure:generation_9</t>
        </is>
      </c>
      <c r="M2932" s="19" t="inlineStr">
        <is>
          <t>cobbleventure:generation_9</t>
        </is>
      </c>
      <c r="N2932" s="18" t="inlineStr">
        <is>
          <t>region_01; region_02</t>
        </is>
      </c>
      <c r="O2932" s="19" t="inlineStr"/>
      <c r="P2932" s="18" t="inlineStr"/>
      <c r="Q2932" s="19" t="inlineStr"/>
      <c r="R2932" s="18">
        <f>IF(Q2932="",P2932,Q2932)</f>
        <v/>
      </c>
      <c r="S2932" s="18" t="inlineStr"/>
      <c r="T2932" s="18" t="inlineStr">
        <is>
          <t>common</t>
        </is>
      </c>
      <c r="U2932" s="20" t="n">
        <v>9</v>
      </c>
      <c r="V2932" s="21" t="n">
        <v>1</v>
      </c>
      <c r="W2932" s="20">
        <f>IF(OR(U2932="",V2932=""),U2932,U2932*V2932)</f>
        <v/>
      </c>
      <c r="X2932" s="18" t="inlineStr">
        <is>
          <t>3-28</t>
        </is>
      </c>
      <c r="Y2932" s="19" t="inlineStr"/>
      <c r="Z2932" s="18">
        <f>IF(Y2932="",X2932,Y2932)</f>
        <v/>
      </c>
      <c r="AA2932" s="18" t="inlineStr">
        <is>
          <t>grounded</t>
        </is>
      </c>
      <c r="AB2932" s="18" t="inlineStr"/>
      <c r="AC2932" s="18" t="inlineStr"/>
      <c r="AD2932" s="18" t="inlineStr"/>
      <c r="AE2932" s="18" t="inlineStr"/>
      <c r="AF2932" s="18" t="inlineStr"/>
      <c r="AG2932" s="18" t="inlineStr"/>
      <c r="AH2932" s="18" t="inlineStr"/>
      <c r="AI2932" s="18" t="inlineStr"/>
      <c r="AJ2932" s="18" t="inlineStr">
        <is>
          <t>Cobblemon 동일</t>
        </is>
      </c>
      <c r="AK2932" s="18" t="inlineStr">
        <is>
          <t>사용</t>
        </is>
      </c>
      <c r="AL2932" s="18" t="inlineStr">
        <is>
          <t>COBBLEVERSE 1.7.42 / DP v31</t>
        </is>
      </c>
      <c r="AM2932" s="18" t="inlineStr">
        <is>
          <t>data/cobblemon/spawn_pool_world/0932_nacli.json</t>
        </is>
      </c>
      <c r="AN2932" s="18" t="inlineStr">
        <is>
          <t>nacli-2</t>
        </is>
      </c>
      <c r="AO2932" s="18" t="inlineStr">
        <is>
          <t>pokemon</t>
        </is>
      </c>
      <c r="AP2932" s="18" t="inlineStr">
        <is>
          <t>salt; natural; wild</t>
        </is>
      </c>
      <c r="AQ2932" s="18" t="inlineStr"/>
      <c r="AR2932" s="18" t="inlineStr"/>
      <c r="AS2932" s="18" t="inlineStr"/>
      <c r="AT2932" s="19" t="inlineStr"/>
    </row>
    <row r="2933" ht="32" customHeight="1">
      <c r="A2933" s="18" t="inlineStr">
        <is>
          <t>0932_nacli.json::nacli-3::003</t>
        </is>
      </c>
      <c r="B2933" s="19" t="inlineStr">
        <is>
          <t>사용</t>
        </is>
      </c>
      <c r="C2933" s="18">
        <f>IF(OR(B2933&lt;&gt;AK2933,M2933&lt;&gt;L2933,O2933&lt;&gt;"",Q2933&lt;&gt;"",V2933&lt;&gt;1,Y2933&lt;&gt;"",AT2933&lt;&gt;""),"수정","원본")</f>
        <v/>
      </c>
      <c r="D2933" s="18" t="n">
        <v>932</v>
      </c>
      <c r="E2933" s="18" t="inlineStr">
        <is>
          <t>베베솔트</t>
        </is>
      </c>
      <c r="F2933" s="18" t="inlineStr">
        <is>
          <t>nacli</t>
        </is>
      </c>
      <c r="G2933" s="18" t="inlineStr">
        <is>
          <t>nacli</t>
        </is>
      </c>
      <c r="H2933" s="18" t="inlineStr"/>
      <c r="I2933" s="18" t="n">
        <v>9</v>
      </c>
      <c r="J2933" s="18" t="n"/>
      <c r="K2933" s="18" t="n">
        <v>9</v>
      </c>
      <c r="L2933" s="18" t="inlineStr">
        <is>
          <t>cobbleventure:generation_9</t>
        </is>
      </c>
      <c r="M2933" s="19" t="inlineStr">
        <is>
          <t>cobbleventure:generation_9</t>
        </is>
      </c>
      <c r="N2933" s="18" t="inlineStr"/>
      <c r="O2933" s="19" t="inlineStr"/>
      <c r="P2933" s="18" t="inlineStr">
        <is>
          <t>#cobblemon:nether/is_quartz</t>
        </is>
      </c>
      <c r="Q2933" s="19" t="inlineStr"/>
      <c r="R2933" s="18">
        <f>IF(Q2933="",P2933,Q2933)</f>
        <v/>
      </c>
      <c r="S2933" s="18" t="inlineStr"/>
      <c r="T2933" s="18" t="inlineStr">
        <is>
          <t>common</t>
        </is>
      </c>
      <c r="U2933" s="20" t="n">
        <v>9</v>
      </c>
      <c r="V2933" s="21" t="n">
        <v>1</v>
      </c>
      <c r="W2933" s="20">
        <f>IF(OR(U2933="",V2933=""),U2933,U2933*V2933)</f>
        <v/>
      </c>
      <c r="X2933" s="18" t="inlineStr">
        <is>
          <t>3-28</t>
        </is>
      </c>
      <c r="Y2933" s="19" t="inlineStr"/>
      <c r="Z2933" s="18">
        <f>IF(Y2933="",X2933,Y2933)</f>
        <v/>
      </c>
      <c r="AA2933" s="18" t="inlineStr">
        <is>
          <t>grounded</t>
        </is>
      </c>
      <c r="AB2933" s="18" t="inlineStr"/>
      <c r="AC2933" s="18" t="inlineStr"/>
      <c r="AD2933" s="18" t="inlineStr"/>
      <c r="AE2933" s="18" t="inlineStr"/>
      <c r="AF2933" s="18" t="inlineStr"/>
      <c r="AG2933" s="18" t="inlineStr"/>
      <c r="AH2933" s="18" t="inlineStr"/>
      <c r="AI2933" s="18" t="inlineStr"/>
      <c r="AJ2933" s="18" t="inlineStr">
        <is>
          <t>Cobblemon 동일</t>
        </is>
      </c>
      <c r="AK2933" s="18" t="inlineStr">
        <is>
          <t>사용</t>
        </is>
      </c>
      <c r="AL2933" s="18" t="inlineStr">
        <is>
          <t>COBBLEVERSE 1.7.42 / DP v31</t>
        </is>
      </c>
      <c r="AM2933" s="18" t="inlineStr">
        <is>
          <t>data/cobblemon/spawn_pool_world/0932_nacli.json</t>
        </is>
      </c>
      <c r="AN2933" s="18" t="inlineStr">
        <is>
          <t>nacli-3</t>
        </is>
      </c>
      <c r="AO2933" s="18" t="inlineStr">
        <is>
          <t>pokemon</t>
        </is>
      </c>
      <c r="AP2933" s="18" t="inlineStr"/>
      <c r="AQ2933" s="18" t="inlineStr">
        <is>
          <t>{"biomes":["#cobblemon:nether/is_quartz"]}</t>
        </is>
      </c>
      <c r="AR2933" s="18" t="inlineStr"/>
      <c r="AS2933" s="18" t="inlineStr"/>
      <c r="AT2933" s="19" t="inlineStr"/>
    </row>
    <row r="2934" ht="32" customHeight="1">
      <c r="A2934" s="18" t="inlineStr">
        <is>
          <t>0933_naclstack.json::naclstack-1::001</t>
        </is>
      </c>
      <c r="B2934" s="19" t="inlineStr">
        <is>
          <t>사용</t>
        </is>
      </c>
      <c r="C2934" s="18">
        <f>IF(OR(B2934&lt;&gt;AK2934,M2934&lt;&gt;L2934,O2934&lt;&gt;"",Q2934&lt;&gt;"",V2934&lt;&gt;1,Y2934&lt;&gt;"",AT2934&lt;&gt;""),"수정","원본")</f>
        <v/>
      </c>
      <c r="D2934" s="18" t="n">
        <v>933</v>
      </c>
      <c r="E2934" s="18" t="inlineStr">
        <is>
          <t>스태솔트</t>
        </is>
      </c>
      <c r="F2934" s="18" t="inlineStr">
        <is>
          <t>naclstack</t>
        </is>
      </c>
      <c r="G2934" s="18" t="inlineStr">
        <is>
          <t>naclstack</t>
        </is>
      </c>
      <c r="H2934" s="18" t="inlineStr"/>
      <c r="I2934" s="18" t="n">
        <v>9</v>
      </c>
      <c r="J2934" s="18" t="n"/>
      <c r="K2934" s="18" t="n">
        <v>9</v>
      </c>
      <c r="L2934" s="18" t="inlineStr">
        <is>
          <t>cobbleventure:generation_9</t>
        </is>
      </c>
      <c r="M2934" s="19" t="inlineStr">
        <is>
          <t>cobbleventure:generation_9</t>
        </is>
      </c>
      <c r="N2934" s="18" t="inlineStr"/>
      <c r="O2934" s="19" t="inlineStr"/>
      <c r="P2934" s="18" t="inlineStr">
        <is>
          <t>#cobblemon:is_badlands</t>
        </is>
      </c>
      <c r="Q2934" s="19" t="inlineStr"/>
      <c r="R2934" s="18">
        <f>IF(Q2934="",P2934,Q2934)</f>
        <v/>
      </c>
      <c r="S2934" s="18" t="inlineStr"/>
      <c r="T2934" s="18" t="inlineStr">
        <is>
          <t>common</t>
        </is>
      </c>
      <c r="U2934" s="20" t="n">
        <v>0.54</v>
      </c>
      <c r="V2934" s="21" t="n">
        <v>1</v>
      </c>
      <c r="W2934" s="20">
        <f>IF(OR(U2934="",V2934=""),U2934,U2934*V2934)</f>
        <v/>
      </c>
      <c r="X2934" s="18" t="inlineStr">
        <is>
          <t>24-36</t>
        </is>
      </c>
      <c r="Y2934" s="19" t="inlineStr"/>
      <c r="Z2934" s="18">
        <f>IF(Y2934="",X2934,Y2934)</f>
        <v/>
      </c>
      <c r="AA2934" s="18" t="inlineStr">
        <is>
          <t>grounded</t>
        </is>
      </c>
      <c r="AB2934" s="18" t="inlineStr"/>
      <c r="AC2934" s="18" t="inlineStr"/>
      <c r="AD2934" s="18" t="inlineStr"/>
      <c r="AE2934" s="18" t="inlineStr">
        <is>
          <t>sky 8-15</t>
        </is>
      </c>
      <c r="AF2934" s="18" t="inlineStr"/>
      <c r="AG2934" s="18" t="inlineStr"/>
      <c r="AH2934" s="18" t="inlineStr"/>
      <c r="AI2934" s="18" t="inlineStr"/>
      <c r="AJ2934" s="18" t="inlineStr">
        <is>
          <t>Cobblemon 동일</t>
        </is>
      </c>
      <c r="AK2934" s="18" t="inlineStr">
        <is>
          <t>사용</t>
        </is>
      </c>
      <c r="AL2934" s="18" t="inlineStr">
        <is>
          <t>COBBLEVERSE 1.7.42 / DP v31</t>
        </is>
      </c>
      <c r="AM2934" s="18" t="inlineStr">
        <is>
          <t>data/cobblemon/spawn_pool_world/0933_naclstack.json</t>
        </is>
      </c>
      <c r="AN2934" s="18" t="inlineStr">
        <is>
          <t>naclstack-1</t>
        </is>
      </c>
      <c r="AO2934" s="18" t="inlineStr">
        <is>
          <t>pokemon</t>
        </is>
      </c>
      <c r="AP2934" s="18" t="inlineStr">
        <is>
          <t>natural; wild</t>
        </is>
      </c>
      <c r="AQ2934" s="18" t="inlineStr">
        <is>
          <t>{"biomes":["#cobblemon:is_badlands"],"maxSkyLight":15,"minSkyLight":8}</t>
        </is>
      </c>
      <c r="AR2934" s="18" t="inlineStr"/>
      <c r="AS2934" s="18" t="inlineStr"/>
      <c r="AT2934" s="19" t="inlineStr"/>
    </row>
    <row r="2935" ht="32" customHeight="1">
      <c r="A2935" s="18" t="inlineStr">
        <is>
          <t>0933_naclstack.json::naclstack-2::002</t>
        </is>
      </c>
      <c r="B2935" s="19" t="inlineStr">
        <is>
          <t>사용</t>
        </is>
      </c>
      <c r="C2935" s="18">
        <f>IF(OR(B2935&lt;&gt;AK2935,M2935&lt;&gt;L2935,O2935&lt;&gt;"",Q2935&lt;&gt;"",V2935&lt;&gt;1,Y2935&lt;&gt;"",AT2935&lt;&gt;""),"수정","원본")</f>
        <v/>
      </c>
      <c r="D2935" s="18" t="n">
        <v>933</v>
      </c>
      <c r="E2935" s="18" t="inlineStr">
        <is>
          <t>스태솔트</t>
        </is>
      </c>
      <c r="F2935" s="18" t="inlineStr">
        <is>
          <t>naclstack</t>
        </is>
      </c>
      <c r="G2935" s="18" t="inlineStr">
        <is>
          <t>naclstack</t>
        </is>
      </c>
      <c r="H2935" s="18" t="inlineStr"/>
      <c r="I2935" s="18" t="n">
        <v>9</v>
      </c>
      <c r="J2935" s="18" t="n"/>
      <c r="K2935" s="18" t="n">
        <v>9</v>
      </c>
      <c r="L2935" s="18" t="inlineStr">
        <is>
          <t>cobbleventure:generation_9</t>
        </is>
      </c>
      <c r="M2935" s="19" t="inlineStr">
        <is>
          <t>cobbleventure:generation_9</t>
        </is>
      </c>
      <c r="N2935" s="18" t="inlineStr">
        <is>
          <t>region_01; region_02</t>
        </is>
      </c>
      <c r="O2935" s="19" t="inlineStr"/>
      <c r="P2935" s="18" t="inlineStr"/>
      <c r="Q2935" s="19" t="inlineStr"/>
      <c r="R2935" s="18">
        <f>IF(Q2935="",P2935,Q2935)</f>
        <v/>
      </c>
      <c r="S2935" s="18" t="inlineStr"/>
      <c r="T2935" s="18" t="inlineStr">
        <is>
          <t>common</t>
        </is>
      </c>
      <c r="U2935" s="20" t="n">
        <v>0.9</v>
      </c>
      <c r="V2935" s="21" t="n">
        <v>1</v>
      </c>
      <c r="W2935" s="20">
        <f>IF(OR(U2935="",V2935=""),U2935,U2935*V2935)</f>
        <v/>
      </c>
      <c r="X2935" s="18" t="inlineStr">
        <is>
          <t>24-36</t>
        </is>
      </c>
      <c r="Y2935" s="19" t="inlineStr"/>
      <c r="Z2935" s="18">
        <f>IF(Y2935="",X2935,Y2935)</f>
        <v/>
      </c>
      <c r="AA2935" s="18" t="inlineStr">
        <is>
          <t>grounded</t>
        </is>
      </c>
      <c r="AB2935" s="18" t="inlineStr"/>
      <c r="AC2935" s="18" t="inlineStr"/>
      <c r="AD2935" s="18" t="inlineStr"/>
      <c r="AE2935" s="18" t="inlineStr"/>
      <c r="AF2935" s="18" t="inlineStr"/>
      <c r="AG2935" s="18" t="inlineStr"/>
      <c r="AH2935" s="18" t="inlineStr"/>
      <c r="AI2935" s="18" t="inlineStr"/>
      <c r="AJ2935" s="18" t="inlineStr">
        <is>
          <t>Cobblemon 동일</t>
        </is>
      </c>
      <c r="AK2935" s="18" t="inlineStr">
        <is>
          <t>사용</t>
        </is>
      </c>
      <c r="AL2935" s="18" t="inlineStr">
        <is>
          <t>COBBLEVERSE 1.7.42 / DP v31</t>
        </is>
      </c>
      <c r="AM2935" s="18" t="inlineStr">
        <is>
          <t>data/cobblemon/spawn_pool_world/0933_naclstack.json</t>
        </is>
      </c>
      <c r="AN2935" s="18" t="inlineStr">
        <is>
          <t>naclstack-2</t>
        </is>
      </c>
      <c r="AO2935" s="18" t="inlineStr">
        <is>
          <t>pokemon</t>
        </is>
      </c>
      <c r="AP2935" s="18" t="inlineStr">
        <is>
          <t>salt; natural; wild</t>
        </is>
      </c>
      <c r="AQ2935" s="18" t="inlineStr"/>
      <c r="AR2935" s="18" t="inlineStr"/>
      <c r="AS2935" s="18" t="inlineStr"/>
      <c r="AT2935" s="19" t="inlineStr"/>
    </row>
    <row r="2936" ht="32" customHeight="1">
      <c r="A2936" s="18" t="inlineStr">
        <is>
          <t>0933_naclstack.json::naclstack-3::003</t>
        </is>
      </c>
      <c r="B2936" s="19" t="inlineStr">
        <is>
          <t>사용</t>
        </is>
      </c>
      <c r="C2936" s="18">
        <f>IF(OR(B2936&lt;&gt;AK2936,M2936&lt;&gt;L2936,O2936&lt;&gt;"",Q2936&lt;&gt;"",V2936&lt;&gt;1,Y2936&lt;&gt;"",AT2936&lt;&gt;""),"수정","원본")</f>
        <v/>
      </c>
      <c r="D2936" s="18" t="n">
        <v>933</v>
      </c>
      <c r="E2936" s="18" t="inlineStr">
        <is>
          <t>스태솔트</t>
        </is>
      </c>
      <c r="F2936" s="18" t="inlineStr">
        <is>
          <t>naclstack</t>
        </is>
      </c>
      <c r="G2936" s="18" t="inlineStr">
        <is>
          <t>naclstack</t>
        </is>
      </c>
      <c r="H2936" s="18" t="inlineStr"/>
      <c r="I2936" s="18" t="n">
        <v>9</v>
      </c>
      <c r="J2936" s="18" t="n"/>
      <c r="K2936" s="18" t="n">
        <v>9</v>
      </c>
      <c r="L2936" s="18" t="inlineStr">
        <is>
          <t>cobbleventure:generation_9</t>
        </is>
      </c>
      <c r="M2936" s="19" t="inlineStr">
        <is>
          <t>cobbleventure:generation_9</t>
        </is>
      </c>
      <c r="N2936" s="18" t="inlineStr"/>
      <c r="O2936" s="19" t="inlineStr"/>
      <c r="P2936" s="18" t="inlineStr">
        <is>
          <t>#cobblemon:nether/is_quartz</t>
        </is>
      </c>
      <c r="Q2936" s="19" t="inlineStr"/>
      <c r="R2936" s="18">
        <f>IF(Q2936="",P2936,Q2936)</f>
        <v/>
      </c>
      <c r="S2936" s="18" t="inlineStr"/>
      <c r="T2936" s="18" t="inlineStr">
        <is>
          <t>common</t>
        </is>
      </c>
      <c r="U2936" s="20" t="n">
        <v>0.9</v>
      </c>
      <c r="V2936" s="21" t="n">
        <v>1</v>
      </c>
      <c r="W2936" s="20">
        <f>IF(OR(U2936="",V2936=""),U2936,U2936*V2936)</f>
        <v/>
      </c>
      <c r="X2936" s="18" t="inlineStr">
        <is>
          <t>24-36</t>
        </is>
      </c>
      <c r="Y2936" s="19" t="inlineStr"/>
      <c r="Z2936" s="18">
        <f>IF(Y2936="",X2936,Y2936)</f>
        <v/>
      </c>
      <c r="AA2936" s="18" t="inlineStr">
        <is>
          <t>grounded</t>
        </is>
      </c>
      <c r="AB2936" s="18" t="inlineStr"/>
      <c r="AC2936" s="18" t="inlineStr"/>
      <c r="AD2936" s="18" t="inlineStr"/>
      <c r="AE2936" s="18" t="inlineStr"/>
      <c r="AF2936" s="18" t="inlineStr"/>
      <c r="AG2936" s="18" t="inlineStr"/>
      <c r="AH2936" s="18" t="inlineStr"/>
      <c r="AI2936" s="18" t="inlineStr"/>
      <c r="AJ2936" s="18" t="inlineStr">
        <is>
          <t>Cobblemon 동일</t>
        </is>
      </c>
      <c r="AK2936" s="18" t="inlineStr">
        <is>
          <t>사용</t>
        </is>
      </c>
      <c r="AL2936" s="18" t="inlineStr">
        <is>
          <t>COBBLEVERSE 1.7.42 / DP v31</t>
        </is>
      </c>
      <c r="AM2936" s="18" t="inlineStr">
        <is>
          <t>data/cobblemon/spawn_pool_world/0933_naclstack.json</t>
        </is>
      </c>
      <c r="AN2936" s="18" t="inlineStr">
        <is>
          <t>naclstack-3</t>
        </is>
      </c>
      <c r="AO2936" s="18" t="inlineStr">
        <is>
          <t>pokemon</t>
        </is>
      </c>
      <c r="AP2936" s="18" t="inlineStr"/>
      <c r="AQ2936" s="18" t="inlineStr">
        <is>
          <t>{"biomes":["#cobblemon:nether/is_quartz"]}</t>
        </is>
      </c>
      <c r="AR2936" s="18" t="inlineStr"/>
      <c r="AS2936" s="18" t="inlineStr"/>
      <c r="AT2936" s="19" t="inlineStr"/>
    </row>
    <row r="2937" ht="32" customHeight="1">
      <c r="A2937" s="18" t="inlineStr">
        <is>
          <t>0934_garganacl.json::garganacl-1::001</t>
        </is>
      </c>
      <c r="B2937" s="19" t="inlineStr">
        <is>
          <t>사용</t>
        </is>
      </c>
      <c r="C2937" s="18">
        <f>IF(OR(B2937&lt;&gt;AK2937,M2937&lt;&gt;L2937,O2937&lt;&gt;"",Q2937&lt;&gt;"",V2937&lt;&gt;1,Y2937&lt;&gt;"",AT2937&lt;&gt;""),"수정","원본")</f>
        <v/>
      </c>
      <c r="D2937" s="18" t="n">
        <v>934</v>
      </c>
      <c r="E2937" s="18" t="inlineStr">
        <is>
          <t>콜로솔트</t>
        </is>
      </c>
      <c r="F2937" s="18" t="inlineStr">
        <is>
          <t>garganacl</t>
        </is>
      </c>
      <c r="G2937" s="18" t="inlineStr">
        <is>
          <t>garganacl</t>
        </is>
      </c>
      <c r="H2937" s="18" t="inlineStr"/>
      <c r="I2937" s="18" t="n">
        <v>9</v>
      </c>
      <c r="J2937" s="18" t="n"/>
      <c r="K2937" s="18" t="n">
        <v>9</v>
      </c>
      <c r="L2937" s="18" t="inlineStr">
        <is>
          <t>cobbleventure:generation_9</t>
        </is>
      </c>
      <c r="M2937" s="19" t="inlineStr">
        <is>
          <t>cobbleventure:generation_9</t>
        </is>
      </c>
      <c r="N2937" s="18" t="inlineStr"/>
      <c r="O2937" s="19" t="inlineStr"/>
      <c r="P2937" s="18" t="inlineStr">
        <is>
          <t>#cobblemon:is_badlands</t>
        </is>
      </c>
      <c r="Q2937" s="19" t="inlineStr"/>
      <c r="R2937" s="18">
        <f>IF(Q2937="",P2937,Q2937)</f>
        <v/>
      </c>
      <c r="S2937" s="18" t="inlineStr"/>
      <c r="T2937" s="18" t="inlineStr">
        <is>
          <t>common</t>
        </is>
      </c>
      <c r="U2937" s="20" t="n">
        <v>0.06</v>
      </c>
      <c r="V2937" s="21" t="n">
        <v>1</v>
      </c>
      <c r="W2937" s="20">
        <f>IF(OR(U2937="",V2937=""),U2937,U2937*V2937)</f>
        <v/>
      </c>
      <c r="X2937" s="18" t="inlineStr">
        <is>
          <t>38-50</t>
        </is>
      </c>
      <c r="Y2937" s="19" t="inlineStr"/>
      <c r="Z2937" s="18">
        <f>IF(Y2937="",X2937,Y2937)</f>
        <v/>
      </c>
      <c r="AA2937" s="18" t="inlineStr">
        <is>
          <t>grounded</t>
        </is>
      </c>
      <c r="AB2937" s="18" t="inlineStr"/>
      <c r="AC2937" s="18" t="inlineStr"/>
      <c r="AD2937" s="18" t="inlineStr"/>
      <c r="AE2937" s="18" t="inlineStr">
        <is>
          <t>sky 8-15</t>
        </is>
      </c>
      <c r="AF2937" s="18" t="inlineStr"/>
      <c r="AG2937" s="18" t="inlineStr"/>
      <c r="AH2937" s="18" t="inlineStr"/>
      <c r="AI2937" s="18" t="inlineStr"/>
      <c r="AJ2937" s="18" t="inlineStr">
        <is>
          <t>Cobblemon 동일</t>
        </is>
      </c>
      <c r="AK2937" s="18" t="inlineStr">
        <is>
          <t>사용</t>
        </is>
      </c>
      <c r="AL2937" s="18" t="inlineStr">
        <is>
          <t>COBBLEVERSE 1.7.42 / DP v31</t>
        </is>
      </c>
      <c r="AM2937" s="18" t="inlineStr">
        <is>
          <t>data/cobblemon/spawn_pool_world/0934_garganacl.json</t>
        </is>
      </c>
      <c r="AN2937" s="18" t="inlineStr">
        <is>
          <t>garganacl-1</t>
        </is>
      </c>
      <c r="AO2937" s="18" t="inlineStr">
        <is>
          <t>pokemon</t>
        </is>
      </c>
      <c r="AP2937" s="18" t="inlineStr">
        <is>
          <t>natural; wild</t>
        </is>
      </c>
      <c r="AQ2937" s="18" t="inlineStr">
        <is>
          <t>{"biomes":["#cobblemon:is_badlands"],"maxSkyLight":15,"minSkyLight":8}</t>
        </is>
      </c>
      <c r="AR2937" s="18" t="inlineStr"/>
      <c r="AS2937" s="18" t="inlineStr"/>
      <c r="AT2937" s="19" t="inlineStr"/>
    </row>
    <row r="2938" ht="32" customHeight="1">
      <c r="A2938" s="18" t="inlineStr">
        <is>
          <t>0934_garganacl.json::garganacl-2::002</t>
        </is>
      </c>
      <c r="B2938" s="19" t="inlineStr">
        <is>
          <t>사용</t>
        </is>
      </c>
      <c r="C2938" s="18">
        <f>IF(OR(B2938&lt;&gt;AK2938,M2938&lt;&gt;L2938,O2938&lt;&gt;"",Q2938&lt;&gt;"",V2938&lt;&gt;1,Y2938&lt;&gt;"",AT2938&lt;&gt;""),"수정","원본")</f>
        <v/>
      </c>
      <c r="D2938" s="18" t="n">
        <v>934</v>
      </c>
      <c r="E2938" s="18" t="inlineStr">
        <is>
          <t>콜로솔트</t>
        </is>
      </c>
      <c r="F2938" s="18" t="inlineStr">
        <is>
          <t>garganacl</t>
        </is>
      </c>
      <c r="G2938" s="18" t="inlineStr">
        <is>
          <t>garganacl</t>
        </is>
      </c>
      <c r="H2938" s="18" t="inlineStr"/>
      <c r="I2938" s="18" t="n">
        <v>9</v>
      </c>
      <c r="J2938" s="18" t="n"/>
      <c r="K2938" s="18" t="n">
        <v>9</v>
      </c>
      <c r="L2938" s="18" t="inlineStr">
        <is>
          <t>cobbleventure:generation_9</t>
        </is>
      </c>
      <c r="M2938" s="19" t="inlineStr">
        <is>
          <t>cobbleventure:generation_9</t>
        </is>
      </c>
      <c r="N2938" s="18" t="inlineStr">
        <is>
          <t>region_01; region_02</t>
        </is>
      </c>
      <c r="O2938" s="19" t="inlineStr"/>
      <c r="P2938" s="18" t="inlineStr"/>
      <c r="Q2938" s="19" t="inlineStr"/>
      <c r="R2938" s="18">
        <f>IF(Q2938="",P2938,Q2938)</f>
        <v/>
      </c>
      <c r="S2938" s="18" t="inlineStr"/>
      <c r="T2938" s="18" t="inlineStr">
        <is>
          <t>common</t>
        </is>
      </c>
      <c r="U2938" s="20" t="n">
        <v>0.1</v>
      </c>
      <c r="V2938" s="21" t="n">
        <v>1</v>
      </c>
      <c r="W2938" s="20">
        <f>IF(OR(U2938="",V2938=""),U2938,U2938*V2938)</f>
        <v/>
      </c>
      <c r="X2938" s="18" t="inlineStr">
        <is>
          <t>38-50</t>
        </is>
      </c>
      <c r="Y2938" s="19" t="inlineStr"/>
      <c r="Z2938" s="18">
        <f>IF(Y2938="",X2938,Y2938)</f>
        <v/>
      </c>
      <c r="AA2938" s="18" t="inlineStr">
        <is>
          <t>grounded</t>
        </is>
      </c>
      <c r="AB2938" s="18" t="inlineStr"/>
      <c r="AC2938" s="18" t="inlineStr"/>
      <c r="AD2938" s="18" t="inlineStr"/>
      <c r="AE2938" s="18" t="inlineStr"/>
      <c r="AF2938" s="18" t="inlineStr"/>
      <c r="AG2938" s="18" t="inlineStr"/>
      <c r="AH2938" s="18" t="inlineStr"/>
      <c r="AI2938" s="18" t="inlineStr"/>
      <c r="AJ2938" s="18" t="inlineStr">
        <is>
          <t>Cobblemon 동일</t>
        </is>
      </c>
      <c r="AK2938" s="18" t="inlineStr">
        <is>
          <t>사용</t>
        </is>
      </c>
      <c r="AL2938" s="18" t="inlineStr">
        <is>
          <t>COBBLEVERSE 1.7.42 / DP v31</t>
        </is>
      </c>
      <c r="AM2938" s="18" t="inlineStr">
        <is>
          <t>data/cobblemon/spawn_pool_world/0934_garganacl.json</t>
        </is>
      </c>
      <c r="AN2938" s="18" t="inlineStr">
        <is>
          <t>garganacl-2</t>
        </is>
      </c>
      <c r="AO2938" s="18" t="inlineStr">
        <is>
          <t>pokemon</t>
        </is>
      </c>
      <c r="AP2938" s="18" t="inlineStr">
        <is>
          <t>salt; natural; wild</t>
        </is>
      </c>
      <c r="AQ2938" s="18" t="inlineStr"/>
      <c r="AR2938" s="18" t="inlineStr"/>
      <c r="AS2938" s="18" t="inlineStr"/>
      <c r="AT2938" s="19" t="inlineStr"/>
    </row>
    <row r="2939" ht="32" customHeight="1">
      <c r="A2939" s="18" t="inlineStr">
        <is>
          <t>0934_garganacl.json::garganacl-3::003</t>
        </is>
      </c>
      <c r="B2939" s="19" t="inlineStr">
        <is>
          <t>사용</t>
        </is>
      </c>
      <c r="C2939" s="18">
        <f>IF(OR(B2939&lt;&gt;AK2939,M2939&lt;&gt;L2939,O2939&lt;&gt;"",Q2939&lt;&gt;"",V2939&lt;&gt;1,Y2939&lt;&gt;"",AT2939&lt;&gt;""),"수정","원본")</f>
        <v/>
      </c>
      <c r="D2939" s="18" t="n">
        <v>934</v>
      </c>
      <c r="E2939" s="18" t="inlineStr">
        <is>
          <t>콜로솔트</t>
        </is>
      </c>
      <c r="F2939" s="18" t="inlineStr">
        <is>
          <t>garganacl</t>
        </is>
      </c>
      <c r="G2939" s="18" t="inlineStr">
        <is>
          <t>garganacl</t>
        </is>
      </c>
      <c r="H2939" s="18" t="inlineStr"/>
      <c r="I2939" s="18" t="n">
        <v>9</v>
      </c>
      <c r="J2939" s="18" t="n"/>
      <c r="K2939" s="18" t="n">
        <v>9</v>
      </c>
      <c r="L2939" s="18" t="inlineStr">
        <is>
          <t>cobbleventure:generation_9</t>
        </is>
      </c>
      <c r="M2939" s="19" t="inlineStr">
        <is>
          <t>cobbleventure:generation_9</t>
        </is>
      </c>
      <c r="N2939" s="18" t="inlineStr"/>
      <c r="O2939" s="19" t="inlineStr"/>
      <c r="P2939" s="18" t="inlineStr">
        <is>
          <t>#cobblemon:nether/is_quartz</t>
        </is>
      </c>
      <c r="Q2939" s="19" t="inlineStr"/>
      <c r="R2939" s="18">
        <f>IF(Q2939="",P2939,Q2939)</f>
        <v/>
      </c>
      <c r="S2939" s="18" t="inlineStr"/>
      <c r="T2939" s="18" t="inlineStr">
        <is>
          <t>common</t>
        </is>
      </c>
      <c r="U2939" s="20" t="n">
        <v>0.1</v>
      </c>
      <c r="V2939" s="21" t="n">
        <v>1</v>
      </c>
      <c r="W2939" s="20">
        <f>IF(OR(U2939="",V2939=""),U2939,U2939*V2939)</f>
        <v/>
      </c>
      <c r="X2939" s="18" t="inlineStr">
        <is>
          <t>38-50</t>
        </is>
      </c>
      <c r="Y2939" s="19" t="inlineStr"/>
      <c r="Z2939" s="18">
        <f>IF(Y2939="",X2939,Y2939)</f>
        <v/>
      </c>
      <c r="AA2939" s="18" t="inlineStr">
        <is>
          <t>grounded</t>
        </is>
      </c>
      <c r="AB2939" s="18" t="inlineStr"/>
      <c r="AC2939" s="18" t="inlineStr"/>
      <c r="AD2939" s="18" t="inlineStr"/>
      <c r="AE2939" s="18" t="inlineStr"/>
      <c r="AF2939" s="18" t="inlineStr"/>
      <c r="AG2939" s="18" t="inlineStr"/>
      <c r="AH2939" s="18" t="inlineStr"/>
      <c r="AI2939" s="18" t="inlineStr"/>
      <c r="AJ2939" s="18" t="inlineStr">
        <is>
          <t>Cobblemon 동일</t>
        </is>
      </c>
      <c r="AK2939" s="18" t="inlineStr">
        <is>
          <t>사용</t>
        </is>
      </c>
      <c r="AL2939" s="18" t="inlineStr">
        <is>
          <t>COBBLEVERSE 1.7.42 / DP v31</t>
        </is>
      </c>
      <c r="AM2939" s="18" t="inlineStr">
        <is>
          <t>data/cobblemon/spawn_pool_world/0934_garganacl.json</t>
        </is>
      </c>
      <c r="AN2939" s="18" t="inlineStr">
        <is>
          <t>garganacl-3</t>
        </is>
      </c>
      <c r="AO2939" s="18" t="inlineStr">
        <is>
          <t>pokemon</t>
        </is>
      </c>
      <c r="AP2939" s="18" t="inlineStr"/>
      <c r="AQ2939" s="18" t="inlineStr">
        <is>
          <t>{"biomes":["#cobblemon:nether/is_quartz"]}</t>
        </is>
      </c>
      <c r="AR2939" s="18" t="inlineStr"/>
      <c r="AS2939" s="18" t="inlineStr"/>
      <c r="AT2939" s="19" t="inlineStr"/>
    </row>
    <row r="2940" ht="32" customHeight="1">
      <c r="A2940" s="18" t="inlineStr">
        <is>
          <t>0935_charcadet.json::charcadet-1::001</t>
        </is>
      </c>
      <c r="B2940" s="19" t="inlineStr">
        <is>
          <t>사용</t>
        </is>
      </c>
      <c r="C2940" s="18">
        <f>IF(OR(B2940&lt;&gt;AK2940,M2940&lt;&gt;L2940,O2940&lt;&gt;"",Q2940&lt;&gt;"",V2940&lt;&gt;1,Y2940&lt;&gt;"",AT2940&lt;&gt;""),"수정","원본")</f>
        <v/>
      </c>
      <c r="D2940" s="18" t="n">
        <v>935</v>
      </c>
      <c r="E2940" s="18" t="inlineStr">
        <is>
          <t>카르본</t>
        </is>
      </c>
      <c r="F2940" s="18" t="inlineStr">
        <is>
          <t>charcadet</t>
        </is>
      </c>
      <c r="G2940" s="18" t="inlineStr">
        <is>
          <t>charcadet</t>
        </is>
      </c>
      <c r="H2940" s="18" t="inlineStr"/>
      <c r="I2940" s="18" t="n">
        <v>9</v>
      </c>
      <c r="J2940" s="18" t="n"/>
      <c r="K2940" s="18" t="n">
        <v>9</v>
      </c>
      <c r="L2940" s="18" t="inlineStr">
        <is>
          <t>cobbleventure:generation_9</t>
        </is>
      </c>
      <c r="M2940" s="19" t="inlineStr">
        <is>
          <t>cobbleventure:generation_9</t>
        </is>
      </c>
      <c r="N2940" s="18" t="inlineStr"/>
      <c r="O2940" s="19" t="inlineStr"/>
      <c r="P2940" s="18" t="inlineStr">
        <is>
          <t>#minecraft:is_nether</t>
        </is>
      </c>
      <c r="Q2940" s="19" t="inlineStr"/>
      <c r="R2940" s="18">
        <f>IF(Q2940="",P2940,Q2940)</f>
        <v/>
      </c>
      <c r="S2940" s="18" t="inlineStr"/>
      <c r="T2940" s="18" t="inlineStr">
        <is>
          <t>uncommon</t>
        </is>
      </c>
      <c r="U2940" s="20" t="n">
        <v>92</v>
      </c>
      <c r="V2940" s="21" t="n">
        <v>1</v>
      </c>
      <c r="W2940" s="20">
        <f>IF(OR(U2940="",V2940=""),U2940,U2940*V2940)</f>
        <v/>
      </c>
      <c r="X2940" s="18" t="inlineStr">
        <is>
          <t>1-26</t>
        </is>
      </c>
      <c r="Y2940" s="19" t="inlineStr"/>
      <c r="Z2940" s="18">
        <f>IF(Y2940="",X2940,Y2940)</f>
        <v/>
      </c>
      <c r="AA2940" s="18" t="inlineStr">
        <is>
          <t>grounded</t>
        </is>
      </c>
      <c r="AB2940" s="18" t="inlineStr"/>
      <c r="AC2940" s="18" t="inlineStr"/>
      <c r="AD2940" s="18" t="inlineStr"/>
      <c r="AE2940" s="18" t="inlineStr"/>
      <c r="AF2940" s="18" t="inlineStr"/>
      <c r="AG2940" s="18" t="inlineStr"/>
      <c r="AH2940" s="18" t="inlineStr"/>
      <c r="AI2940" s="18" t="inlineStr">
        <is>
          <t>{"spawn":{"drops":{"amount":3,"entries":[{"item":"minecraft:blaze_rod","quantityRange":"0-1"},{"item":"cobblemon:charcoal_stick","percentage":2.5},{"item":"cobblemon:rawst_berry","percentage":2.5}]}}}</t>
        </is>
      </c>
      <c r="AJ2940" s="18" t="inlineStr">
        <is>
          <t>COBBLEVERSE 수정</t>
        </is>
      </c>
      <c r="AK2940" s="18" t="inlineStr">
        <is>
          <t>사용</t>
        </is>
      </c>
      <c r="AL2940" s="18" t="inlineStr">
        <is>
          <t>COBBLEVERSE 1.7.42 / DP v31</t>
        </is>
      </c>
      <c r="AM2940" s="18" t="inlineStr">
        <is>
          <t>data/cobblemon/spawn_pool_world/0935_charcadet.json</t>
        </is>
      </c>
      <c r="AN2940" s="18" t="inlineStr">
        <is>
          <t>charcadet-1</t>
        </is>
      </c>
      <c r="AO2940" s="18" t="inlineStr">
        <is>
          <t>pokemon</t>
        </is>
      </c>
      <c r="AP2940" s="18" t="inlineStr">
        <is>
          <t>natural</t>
        </is>
      </c>
      <c r="AQ2940" s="18" t="inlineStr">
        <is>
          <t>{"biomes":["#minecraft:is_nether"]}</t>
        </is>
      </c>
      <c r="AR2940" s="18" t="inlineStr"/>
      <c r="AS2940" s="18" t="inlineStr"/>
      <c r="AT2940" s="19" t="inlineStr"/>
    </row>
    <row r="2941" ht="32" customHeight="1">
      <c r="A2941" s="18" t="inlineStr">
        <is>
          <t>0935_charcadet.json::charcadet-2::002</t>
        </is>
      </c>
      <c r="B2941" s="19" t="inlineStr">
        <is>
          <t>사용</t>
        </is>
      </c>
      <c r="C2941" s="18">
        <f>IF(OR(B2941&lt;&gt;AK2941,M2941&lt;&gt;L2941,O2941&lt;&gt;"",Q2941&lt;&gt;"",V2941&lt;&gt;1,Y2941&lt;&gt;"",AT2941&lt;&gt;""),"수정","원본")</f>
        <v/>
      </c>
      <c r="D2941" s="18" t="n">
        <v>935</v>
      </c>
      <c r="E2941" s="18" t="inlineStr">
        <is>
          <t>카르본</t>
        </is>
      </c>
      <c r="F2941" s="18" t="inlineStr">
        <is>
          <t>charcadet</t>
        </is>
      </c>
      <c r="G2941" s="18" t="inlineStr">
        <is>
          <t>charcadet</t>
        </is>
      </c>
      <c r="H2941" s="18" t="inlineStr"/>
      <c r="I2941" s="18" t="n">
        <v>9</v>
      </c>
      <c r="J2941" s="18" t="n"/>
      <c r="K2941" s="18" t="n">
        <v>9</v>
      </c>
      <c r="L2941" s="18" t="inlineStr">
        <is>
          <t>cobbleventure:generation_9</t>
        </is>
      </c>
      <c r="M2941" s="19" t="inlineStr">
        <is>
          <t>cobbleventure:generation_9</t>
        </is>
      </c>
      <c r="N2941" s="18" t="inlineStr">
        <is>
          <t>region_01; region_02</t>
        </is>
      </c>
      <c r="O2941" s="19" t="inlineStr"/>
      <c r="P2941" s="18" t="inlineStr">
        <is>
          <t>#cobblemon:is_overworld</t>
        </is>
      </c>
      <c r="Q2941" s="19" t="inlineStr"/>
      <c r="R2941" s="18">
        <f>IF(Q2941="",P2941,Q2941)</f>
        <v/>
      </c>
      <c r="S2941" s="18" t="inlineStr"/>
      <c r="T2941" s="18" t="inlineStr">
        <is>
          <t>uncommon</t>
        </is>
      </c>
      <c r="U2941" s="20" t="n">
        <v>18.4</v>
      </c>
      <c r="V2941" s="21" t="n">
        <v>1</v>
      </c>
      <c r="W2941" s="20">
        <f>IF(OR(U2941="",V2941=""),U2941,U2941*V2941)</f>
        <v/>
      </c>
      <c r="X2941" s="18" t="inlineStr">
        <is>
          <t>1-26</t>
        </is>
      </c>
      <c r="Y2941" s="19" t="inlineStr"/>
      <c r="Z2941" s="18">
        <f>IF(Y2941="",X2941,Y2941)</f>
        <v/>
      </c>
      <c r="AA2941" s="18" t="inlineStr">
        <is>
          <t>grounded</t>
        </is>
      </c>
      <c r="AB2941" s="18" t="inlineStr"/>
      <c r="AC2941" s="18" t="inlineStr"/>
      <c r="AD2941" s="18" t="inlineStr"/>
      <c r="AE2941" s="18" t="inlineStr"/>
      <c r="AF2941" s="18" t="inlineStr"/>
      <c r="AG2941" s="18" t="inlineStr"/>
      <c r="AH2941" s="18" t="inlineStr"/>
      <c r="AI2941" s="18" t="inlineStr"/>
      <c r="AJ2941" s="18" t="inlineStr">
        <is>
          <t>COBBLEVERSE 수정</t>
        </is>
      </c>
      <c r="AK2941" s="18" t="inlineStr">
        <is>
          <t>사용</t>
        </is>
      </c>
      <c r="AL2941" s="18" t="inlineStr">
        <is>
          <t>COBBLEVERSE 1.7.42 / DP v31</t>
        </is>
      </c>
      <c r="AM2941" s="18" t="inlineStr">
        <is>
          <t>data/cobblemon/spawn_pool_world/0935_charcadet.json</t>
        </is>
      </c>
      <c r="AN2941" s="18" t="inlineStr">
        <is>
          <t>charcadet-2</t>
        </is>
      </c>
      <c r="AO2941" s="18" t="inlineStr">
        <is>
          <t>pokemon</t>
        </is>
      </c>
      <c r="AP2941" s="18" t="inlineStr">
        <is>
          <t>ruined_portal</t>
        </is>
      </c>
      <c r="AQ2941" s="18" t="inlineStr">
        <is>
          <t>{"biomes":["#cobblemon:is_overworld"]}</t>
        </is>
      </c>
      <c r="AR2941" s="18" t="inlineStr"/>
      <c r="AS2941" s="18" t="inlineStr"/>
      <c r="AT2941" s="19" t="inlineStr"/>
    </row>
    <row r="2942" ht="32" customHeight="1">
      <c r="A2942" s="18" t="inlineStr">
        <is>
          <t>0935_charcadet.json::charcadet-3::003</t>
        </is>
      </c>
      <c r="B2942" s="19" t="inlineStr">
        <is>
          <t>사용</t>
        </is>
      </c>
      <c r="C2942" s="18">
        <f>IF(OR(B2942&lt;&gt;AK2942,M2942&lt;&gt;L2942,O2942&lt;&gt;"",Q2942&lt;&gt;"",V2942&lt;&gt;1,Y2942&lt;&gt;"",AT2942&lt;&gt;""),"수정","원본")</f>
        <v/>
      </c>
      <c r="D2942" s="18" t="n">
        <v>935</v>
      </c>
      <c r="E2942" s="18" t="inlineStr">
        <is>
          <t>카르본</t>
        </is>
      </c>
      <c r="F2942" s="18" t="inlineStr">
        <is>
          <t>charcadet</t>
        </is>
      </c>
      <c r="G2942" s="18" t="inlineStr">
        <is>
          <t>charcadet</t>
        </is>
      </c>
      <c r="H2942" s="18" t="inlineStr"/>
      <c r="I2942" s="18" t="n">
        <v>9</v>
      </c>
      <c r="J2942" s="18" t="n"/>
      <c r="K2942" s="18" t="n">
        <v>9</v>
      </c>
      <c r="L2942" s="18" t="inlineStr">
        <is>
          <t>cobbleventure:generation_9</t>
        </is>
      </c>
      <c r="M2942" s="19" t="inlineStr">
        <is>
          <t>cobbleventure:generation_9</t>
        </is>
      </c>
      <c r="N2942" s="18" t="inlineStr"/>
      <c r="O2942" s="19" t="inlineStr"/>
      <c r="P2942" s="18" t="inlineStr">
        <is>
          <t>#aether:is_aether</t>
        </is>
      </c>
      <c r="Q2942" s="19" t="inlineStr"/>
      <c r="R2942" s="18">
        <f>IF(Q2942="",P2942,Q2942)</f>
        <v/>
      </c>
      <c r="S2942" s="18" t="inlineStr"/>
      <c r="T2942" s="18" t="inlineStr">
        <is>
          <t>uncommon</t>
        </is>
      </c>
      <c r="U2942" s="20" t="n">
        <v>9.199999999999999</v>
      </c>
      <c r="V2942" s="21" t="n">
        <v>1</v>
      </c>
      <c r="W2942" s="20">
        <f>IF(OR(U2942="",V2942=""),U2942,U2942*V2942)</f>
        <v/>
      </c>
      <c r="X2942" s="18" t="inlineStr">
        <is>
          <t>1-26</t>
        </is>
      </c>
      <c r="Y2942" s="19" t="inlineStr"/>
      <c r="Z2942" s="18">
        <f>IF(Y2942="",X2942,Y2942)</f>
        <v/>
      </c>
      <c r="AA2942" s="18" t="inlineStr">
        <is>
          <t>grounded</t>
        </is>
      </c>
      <c r="AB2942" s="18" t="inlineStr"/>
      <c r="AC2942" s="18" t="inlineStr"/>
      <c r="AD2942" s="18" t="inlineStr"/>
      <c r="AE2942" s="18" t="inlineStr">
        <is>
          <t>sky 0-7</t>
        </is>
      </c>
      <c r="AF2942" s="18" t="inlineStr"/>
      <c r="AG2942" s="18" t="inlineStr">
        <is>
          <t>#aether:dungeons</t>
        </is>
      </c>
      <c r="AH2942" s="18" t="inlineStr"/>
      <c r="AI2942" s="18" t="inlineStr"/>
      <c r="AJ2942" s="18" t="inlineStr">
        <is>
          <t>COBBLEVERSE 수정</t>
        </is>
      </c>
      <c r="AK2942" s="18" t="inlineStr">
        <is>
          <t>사용</t>
        </is>
      </c>
      <c r="AL2942" s="18" t="inlineStr">
        <is>
          <t>COBBLEVERSE 1.7.42 / DP v31</t>
        </is>
      </c>
      <c r="AM2942" s="18" t="inlineStr">
        <is>
          <t>data/cobblemon/spawn_pool_world/0935_charcadet.json</t>
        </is>
      </c>
      <c r="AN2942" s="18" t="inlineStr">
        <is>
          <t>charcadet-3</t>
        </is>
      </c>
      <c r="AO2942" s="18" t="inlineStr">
        <is>
          <t>pokemon</t>
        </is>
      </c>
      <c r="AP2942" s="18" t="inlineStr"/>
      <c r="AQ2942" s="18" t="inlineStr">
        <is>
          <t>{"biomes":["#aether:is_aether"],"maxSkyLight":7,"minSkyLight":0,"structures":["#aether:dungeons"]}</t>
        </is>
      </c>
      <c r="AR2942" s="18" t="inlineStr"/>
      <c r="AS2942" s="18" t="inlineStr"/>
      <c r="AT2942" s="19" t="inlineStr"/>
    </row>
    <row r="2943" ht="32" customHeight="1">
      <c r="A2943" s="18" t="inlineStr">
        <is>
          <t>0936_armarouge.json::armarouge-1::001</t>
        </is>
      </c>
      <c r="B2943" s="19" t="inlineStr">
        <is>
          <t>사용</t>
        </is>
      </c>
      <c r="C2943" s="18">
        <f>IF(OR(B2943&lt;&gt;AK2943,M2943&lt;&gt;L2943,O2943&lt;&gt;"",Q2943&lt;&gt;"",V2943&lt;&gt;1,Y2943&lt;&gt;"",AT2943&lt;&gt;""),"수정","원본")</f>
        <v/>
      </c>
      <c r="D2943" s="18" t="n">
        <v>936</v>
      </c>
      <c r="E2943" s="18" t="inlineStr">
        <is>
          <t>카디나르마</t>
        </is>
      </c>
      <c r="F2943" s="18" t="inlineStr">
        <is>
          <t>armarouge</t>
        </is>
      </c>
      <c r="G2943" s="18" t="inlineStr">
        <is>
          <t>armarouge</t>
        </is>
      </c>
      <c r="H2943" s="18" t="inlineStr"/>
      <c r="I2943" s="18" t="n">
        <v>9</v>
      </c>
      <c r="J2943" s="18" t="n"/>
      <c r="K2943" s="18" t="n">
        <v>9</v>
      </c>
      <c r="L2943" s="18" t="inlineStr">
        <is>
          <t>cobbleventure:generation_9</t>
        </is>
      </c>
      <c r="M2943" s="19" t="inlineStr">
        <is>
          <t>cobbleventure:generation_9</t>
        </is>
      </c>
      <c r="N2943" s="18" t="inlineStr"/>
      <c r="O2943" s="19" t="inlineStr"/>
      <c r="P2943" s="18" t="inlineStr">
        <is>
          <t>#minecraft:is_nether</t>
        </is>
      </c>
      <c r="Q2943" s="19" t="inlineStr"/>
      <c r="R2943" s="18">
        <f>IF(Q2943="",P2943,Q2943)</f>
        <v/>
      </c>
      <c r="S2943" s="18" t="inlineStr"/>
      <c r="T2943" s="18" t="inlineStr">
        <is>
          <t>rare</t>
        </is>
      </c>
      <c r="U2943" s="20" t="n">
        <v>4</v>
      </c>
      <c r="V2943" s="21" t="n">
        <v>1</v>
      </c>
      <c r="W2943" s="20">
        <f>IF(OR(U2943="",V2943=""),U2943,U2943*V2943)</f>
        <v/>
      </c>
      <c r="X2943" s="18" t="inlineStr">
        <is>
          <t>21-53</t>
        </is>
      </c>
      <c r="Y2943" s="19" t="inlineStr"/>
      <c r="Z2943" s="18">
        <f>IF(Y2943="",X2943,Y2943)</f>
        <v/>
      </c>
      <c r="AA2943" s="18" t="inlineStr">
        <is>
          <t>grounded</t>
        </is>
      </c>
      <c r="AB2943" s="18" t="inlineStr"/>
      <c r="AC2943" s="18" t="inlineStr"/>
      <c r="AD2943" s="18" t="inlineStr"/>
      <c r="AE2943" s="18" t="inlineStr"/>
      <c r="AF2943" s="18" t="inlineStr"/>
      <c r="AG2943" s="18" t="inlineStr"/>
      <c r="AH2943" s="18" t="inlineStr"/>
      <c r="AI2943" s="18" t="inlineStr">
        <is>
          <t>{"spawn":{"drops":{"amount":5,"entries":[{"item":"minecraft:blaze_rod","quantityRange":"0-2"},{"item":"cobblemon:charcoal_stick","percentage":5.0},{"item":"cobblemon:auspicious_armor","percentage":5.0},{"item":"cobblemon:rawst_berry","percentage":5.0}]}}}</t>
        </is>
      </c>
      <c r="AJ2943" s="18" t="inlineStr">
        <is>
          <t>COBBLEVERSE 수정</t>
        </is>
      </c>
      <c r="AK2943" s="18" t="inlineStr">
        <is>
          <t>사용</t>
        </is>
      </c>
      <c r="AL2943" s="18" t="inlineStr">
        <is>
          <t>COBBLEVERSE 1.7.42 / DP v31</t>
        </is>
      </c>
      <c r="AM2943" s="18" t="inlineStr">
        <is>
          <t>data/cobblemon/spawn_pool_world/0936_armarouge.json</t>
        </is>
      </c>
      <c r="AN2943" s="18" t="inlineStr">
        <is>
          <t>armarouge-1</t>
        </is>
      </c>
      <c r="AO2943" s="18" t="inlineStr">
        <is>
          <t>pokemon</t>
        </is>
      </c>
      <c r="AP2943" s="18" t="inlineStr">
        <is>
          <t>natural</t>
        </is>
      </c>
      <c r="AQ2943" s="18" t="inlineStr">
        <is>
          <t>{"biomes":["#minecraft:is_nether"]}</t>
        </is>
      </c>
      <c r="AR2943" s="18" t="inlineStr"/>
      <c r="AS2943" s="18" t="inlineStr"/>
      <c r="AT2943" s="19" t="inlineStr"/>
    </row>
    <row r="2944" ht="32" customHeight="1">
      <c r="A2944" s="18" t="inlineStr">
        <is>
          <t>0936_armarouge.json::armarouge-2::002</t>
        </is>
      </c>
      <c r="B2944" s="19" t="inlineStr">
        <is>
          <t>사용</t>
        </is>
      </c>
      <c r="C2944" s="18">
        <f>IF(OR(B2944&lt;&gt;AK2944,M2944&lt;&gt;L2944,O2944&lt;&gt;"",Q2944&lt;&gt;"",V2944&lt;&gt;1,Y2944&lt;&gt;"",AT2944&lt;&gt;""),"수정","원본")</f>
        <v/>
      </c>
      <c r="D2944" s="18" t="n">
        <v>936</v>
      </c>
      <c r="E2944" s="18" t="inlineStr">
        <is>
          <t>카디나르마</t>
        </is>
      </c>
      <c r="F2944" s="18" t="inlineStr">
        <is>
          <t>armarouge</t>
        </is>
      </c>
      <c r="G2944" s="18" t="inlineStr">
        <is>
          <t>armarouge</t>
        </is>
      </c>
      <c r="H2944" s="18" t="inlineStr"/>
      <c r="I2944" s="18" t="n">
        <v>9</v>
      </c>
      <c r="J2944" s="18" t="n"/>
      <c r="K2944" s="18" t="n">
        <v>9</v>
      </c>
      <c r="L2944" s="18" t="inlineStr">
        <is>
          <t>cobbleventure:generation_9</t>
        </is>
      </c>
      <c r="M2944" s="19" t="inlineStr">
        <is>
          <t>cobbleventure:generation_9</t>
        </is>
      </c>
      <c r="N2944" s="18" t="inlineStr">
        <is>
          <t>region_01; region_02</t>
        </is>
      </c>
      <c r="O2944" s="19" t="inlineStr"/>
      <c r="P2944" s="18" t="inlineStr">
        <is>
          <t>#cobblemon:is_overworld</t>
        </is>
      </c>
      <c r="Q2944" s="19" t="inlineStr"/>
      <c r="R2944" s="18">
        <f>IF(Q2944="",P2944,Q2944)</f>
        <v/>
      </c>
      <c r="S2944" s="18" t="inlineStr"/>
      <c r="T2944" s="18" t="inlineStr">
        <is>
          <t>uncommon</t>
        </is>
      </c>
      <c r="U2944" s="20" t="n">
        <v>0.8</v>
      </c>
      <c r="V2944" s="21" t="n">
        <v>1</v>
      </c>
      <c r="W2944" s="20">
        <f>IF(OR(U2944="",V2944=""),U2944,U2944*V2944)</f>
        <v/>
      </c>
      <c r="X2944" s="18" t="inlineStr">
        <is>
          <t>21-53</t>
        </is>
      </c>
      <c r="Y2944" s="19" t="inlineStr"/>
      <c r="Z2944" s="18">
        <f>IF(Y2944="",X2944,Y2944)</f>
        <v/>
      </c>
      <c r="AA2944" s="18" t="inlineStr">
        <is>
          <t>grounded</t>
        </is>
      </c>
      <c r="AB2944" s="18" t="inlineStr"/>
      <c r="AC2944" s="18" t="inlineStr"/>
      <c r="AD2944" s="18" t="inlineStr"/>
      <c r="AE2944" s="18" t="inlineStr"/>
      <c r="AF2944" s="18" t="inlineStr"/>
      <c r="AG2944" s="18" t="inlineStr"/>
      <c r="AH2944" s="18" t="inlineStr"/>
      <c r="AI2944" s="18" t="inlineStr"/>
      <c r="AJ2944" s="18" t="inlineStr">
        <is>
          <t>COBBLEVERSE 수정</t>
        </is>
      </c>
      <c r="AK2944" s="18" t="inlineStr">
        <is>
          <t>사용</t>
        </is>
      </c>
      <c r="AL2944" s="18" t="inlineStr">
        <is>
          <t>COBBLEVERSE 1.7.42 / DP v31</t>
        </is>
      </c>
      <c r="AM2944" s="18" t="inlineStr">
        <is>
          <t>data/cobblemon/spawn_pool_world/0936_armarouge.json</t>
        </is>
      </c>
      <c r="AN2944" s="18" t="inlineStr">
        <is>
          <t>armarouge-2</t>
        </is>
      </c>
      <c r="AO2944" s="18" t="inlineStr">
        <is>
          <t>pokemon</t>
        </is>
      </c>
      <c r="AP2944" s="18" t="inlineStr">
        <is>
          <t>ruined_portal</t>
        </is>
      </c>
      <c r="AQ2944" s="18" t="inlineStr">
        <is>
          <t>{"biomes":["#cobblemon:is_overworld"]}</t>
        </is>
      </c>
      <c r="AR2944" s="18" t="inlineStr"/>
      <c r="AS2944" s="18" t="inlineStr"/>
      <c r="AT2944" s="19" t="inlineStr"/>
    </row>
    <row r="2945" ht="32" customHeight="1">
      <c r="A2945" s="18" t="inlineStr">
        <is>
          <t>0936_armarouge.json::armarouge-3::003</t>
        </is>
      </c>
      <c r="B2945" s="19" t="inlineStr">
        <is>
          <t>사용</t>
        </is>
      </c>
      <c r="C2945" s="18">
        <f>IF(OR(B2945&lt;&gt;AK2945,M2945&lt;&gt;L2945,O2945&lt;&gt;"",Q2945&lt;&gt;"",V2945&lt;&gt;1,Y2945&lt;&gt;"",AT2945&lt;&gt;""),"수정","원본")</f>
        <v/>
      </c>
      <c r="D2945" s="18" t="n">
        <v>936</v>
      </c>
      <c r="E2945" s="18" t="inlineStr">
        <is>
          <t>카디나르마</t>
        </is>
      </c>
      <c r="F2945" s="18" t="inlineStr">
        <is>
          <t>armarouge</t>
        </is>
      </c>
      <c r="G2945" s="18" t="inlineStr">
        <is>
          <t>armarouge</t>
        </is>
      </c>
      <c r="H2945" s="18" t="inlineStr"/>
      <c r="I2945" s="18" t="n">
        <v>9</v>
      </c>
      <c r="J2945" s="18" t="n"/>
      <c r="K2945" s="18" t="n">
        <v>9</v>
      </c>
      <c r="L2945" s="18" t="inlineStr">
        <is>
          <t>cobbleventure:generation_9</t>
        </is>
      </c>
      <c r="M2945" s="19" t="inlineStr">
        <is>
          <t>cobbleventure:generation_9</t>
        </is>
      </c>
      <c r="N2945" s="18" t="inlineStr"/>
      <c r="O2945" s="19" t="inlineStr"/>
      <c r="P2945" s="18" t="inlineStr">
        <is>
          <t>#aether:is_aether</t>
        </is>
      </c>
      <c r="Q2945" s="19" t="inlineStr"/>
      <c r="R2945" s="18">
        <f>IF(Q2945="",P2945,Q2945)</f>
        <v/>
      </c>
      <c r="S2945" s="18" t="inlineStr"/>
      <c r="T2945" s="18" t="inlineStr">
        <is>
          <t>uncommon</t>
        </is>
      </c>
      <c r="U2945" s="20" t="n">
        <v>0.4</v>
      </c>
      <c r="V2945" s="21" t="n">
        <v>1</v>
      </c>
      <c r="W2945" s="20">
        <f>IF(OR(U2945="",V2945=""),U2945,U2945*V2945)</f>
        <v/>
      </c>
      <c r="X2945" s="18" t="inlineStr">
        <is>
          <t>21-53</t>
        </is>
      </c>
      <c r="Y2945" s="19" t="inlineStr"/>
      <c r="Z2945" s="18">
        <f>IF(Y2945="",X2945,Y2945)</f>
        <v/>
      </c>
      <c r="AA2945" s="18" t="inlineStr">
        <is>
          <t>grounded</t>
        </is>
      </c>
      <c r="AB2945" s="18" t="inlineStr"/>
      <c r="AC2945" s="18" t="inlineStr"/>
      <c r="AD2945" s="18" t="inlineStr"/>
      <c r="AE2945" s="18" t="inlineStr">
        <is>
          <t>sky 0-7</t>
        </is>
      </c>
      <c r="AF2945" s="18" t="inlineStr"/>
      <c r="AG2945" s="18" t="inlineStr">
        <is>
          <t>#aether:dungeons</t>
        </is>
      </c>
      <c r="AH2945" s="18" t="inlineStr"/>
      <c r="AI2945" s="18" t="inlineStr"/>
      <c r="AJ2945" s="18" t="inlineStr">
        <is>
          <t>COBBLEVERSE 수정</t>
        </is>
      </c>
      <c r="AK2945" s="18" t="inlineStr">
        <is>
          <t>사용</t>
        </is>
      </c>
      <c r="AL2945" s="18" t="inlineStr">
        <is>
          <t>COBBLEVERSE 1.7.42 / DP v31</t>
        </is>
      </c>
      <c r="AM2945" s="18" t="inlineStr">
        <is>
          <t>data/cobblemon/spawn_pool_world/0936_armarouge.json</t>
        </is>
      </c>
      <c r="AN2945" s="18" t="inlineStr">
        <is>
          <t>armarouge-3</t>
        </is>
      </c>
      <c r="AO2945" s="18" t="inlineStr">
        <is>
          <t>pokemon</t>
        </is>
      </c>
      <c r="AP2945" s="18" t="inlineStr"/>
      <c r="AQ2945" s="18" t="inlineStr">
        <is>
          <t>{"biomes":["#aether:is_aether"],"maxSkyLight":7,"minSkyLight":0,"structures":["#aether:dungeons"]}</t>
        </is>
      </c>
      <c r="AR2945" s="18" t="inlineStr"/>
      <c r="AS2945" s="18" t="inlineStr"/>
      <c r="AT2945" s="19" t="inlineStr"/>
    </row>
    <row r="2946" ht="32" customHeight="1">
      <c r="A2946" s="18" t="inlineStr">
        <is>
          <t>0937_ceruledge.json::ceruledge-1::001</t>
        </is>
      </c>
      <c r="B2946" s="19" t="inlineStr">
        <is>
          <t>사용</t>
        </is>
      </c>
      <c r="C2946" s="18">
        <f>IF(OR(B2946&lt;&gt;AK2946,M2946&lt;&gt;L2946,O2946&lt;&gt;"",Q2946&lt;&gt;"",V2946&lt;&gt;1,Y2946&lt;&gt;"",AT2946&lt;&gt;""),"수정","원본")</f>
        <v/>
      </c>
      <c r="D2946" s="18" t="n">
        <v>937</v>
      </c>
      <c r="E2946" s="18" t="inlineStr">
        <is>
          <t>파라블레이즈</t>
        </is>
      </c>
      <c r="F2946" s="18" t="inlineStr">
        <is>
          <t>ceruledge</t>
        </is>
      </c>
      <c r="G2946" s="18" t="inlineStr">
        <is>
          <t>ceruledge</t>
        </is>
      </c>
      <c r="H2946" s="18" t="inlineStr"/>
      <c r="I2946" s="18" t="n">
        <v>9</v>
      </c>
      <c r="J2946" s="18" t="n"/>
      <c r="K2946" s="18" t="n">
        <v>9</v>
      </c>
      <c r="L2946" s="18" t="inlineStr">
        <is>
          <t>cobbleventure:generation_9</t>
        </is>
      </c>
      <c r="M2946" s="19" t="inlineStr">
        <is>
          <t>cobbleventure:generation_9</t>
        </is>
      </c>
      <c r="N2946" s="18" t="inlineStr"/>
      <c r="O2946" s="19" t="inlineStr"/>
      <c r="P2946" s="18" t="inlineStr">
        <is>
          <t>#minecraft:is_nether</t>
        </is>
      </c>
      <c r="Q2946" s="19" t="inlineStr"/>
      <c r="R2946" s="18">
        <f>IF(Q2946="",P2946,Q2946)</f>
        <v/>
      </c>
      <c r="S2946" s="18" t="inlineStr"/>
      <c r="T2946" s="18" t="inlineStr">
        <is>
          <t>uncommon</t>
        </is>
      </c>
      <c r="U2946" s="20" t="n">
        <v>4</v>
      </c>
      <c r="V2946" s="21" t="n">
        <v>1</v>
      </c>
      <c r="W2946" s="20">
        <f>IF(OR(U2946="",V2946=""),U2946,U2946*V2946)</f>
        <v/>
      </c>
      <c r="X2946" s="18" t="inlineStr">
        <is>
          <t>21-53</t>
        </is>
      </c>
      <c r="Y2946" s="19" t="inlineStr"/>
      <c r="Z2946" s="18">
        <f>IF(Y2946="",X2946,Y2946)</f>
        <v/>
      </c>
      <c r="AA2946" s="18" t="inlineStr">
        <is>
          <t>grounded</t>
        </is>
      </c>
      <c r="AB2946" s="18" t="inlineStr"/>
      <c r="AC2946" s="18" t="inlineStr"/>
      <c r="AD2946" s="18" t="inlineStr"/>
      <c r="AE2946" s="18" t="inlineStr"/>
      <c r="AF2946" s="18" t="inlineStr"/>
      <c r="AG2946" s="18" t="inlineStr"/>
      <c r="AH2946" s="18" t="inlineStr"/>
      <c r="AI2946" s="18" t="inlineStr">
        <is>
          <t>{"spawn":{"drops":{"amount":5,"entries":[{"item":"minecraft:blaze_rod","quantityRange":"0-2"},{"item":"cobblemon:charcoal_stick","percentage":5.0},{"item":"cobblemon:malicious_armor","percentage":5.0},{"item":"cobblemon:rawst_berry","percentage":5.0}]}}}</t>
        </is>
      </c>
      <c r="AJ2946" s="18" t="inlineStr">
        <is>
          <t>COBBLEVERSE 수정</t>
        </is>
      </c>
      <c r="AK2946" s="18" t="inlineStr">
        <is>
          <t>사용</t>
        </is>
      </c>
      <c r="AL2946" s="18" t="inlineStr">
        <is>
          <t>COBBLEVERSE 1.7.42 / DP v31</t>
        </is>
      </c>
      <c r="AM2946" s="18" t="inlineStr">
        <is>
          <t>data/cobblemon/spawn_pool_world/0937_ceruledge.json</t>
        </is>
      </c>
      <c r="AN2946" s="18" t="inlineStr">
        <is>
          <t>ceruledge-1</t>
        </is>
      </c>
      <c r="AO2946" s="18" t="inlineStr">
        <is>
          <t>pokemon</t>
        </is>
      </c>
      <c r="AP2946" s="18" t="inlineStr">
        <is>
          <t>natural</t>
        </is>
      </c>
      <c r="AQ2946" s="18" t="inlineStr">
        <is>
          <t>{"biomes":["#minecraft:is_nether"]}</t>
        </is>
      </c>
      <c r="AR2946" s="18" t="inlineStr"/>
      <c r="AS2946" s="18" t="inlineStr"/>
      <c r="AT2946" s="19" t="inlineStr"/>
    </row>
    <row r="2947" ht="32" customHeight="1">
      <c r="A2947" s="18" t="inlineStr">
        <is>
          <t>0937_ceruledge.json::ceruledge-2::002</t>
        </is>
      </c>
      <c r="B2947" s="19" t="inlineStr">
        <is>
          <t>사용</t>
        </is>
      </c>
      <c r="C2947" s="18">
        <f>IF(OR(B2947&lt;&gt;AK2947,M2947&lt;&gt;L2947,O2947&lt;&gt;"",Q2947&lt;&gt;"",V2947&lt;&gt;1,Y2947&lt;&gt;"",AT2947&lt;&gt;""),"수정","원본")</f>
        <v/>
      </c>
      <c r="D2947" s="18" t="n">
        <v>937</v>
      </c>
      <c r="E2947" s="18" t="inlineStr">
        <is>
          <t>파라블레이즈</t>
        </is>
      </c>
      <c r="F2947" s="18" t="inlineStr">
        <is>
          <t>ceruledge</t>
        </is>
      </c>
      <c r="G2947" s="18" t="inlineStr">
        <is>
          <t>ceruledge</t>
        </is>
      </c>
      <c r="H2947" s="18" t="inlineStr"/>
      <c r="I2947" s="18" t="n">
        <v>9</v>
      </c>
      <c r="J2947" s="18" t="n"/>
      <c r="K2947" s="18" t="n">
        <v>9</v>
      </c>
      <c r="L2947" s="18" t="inlineStr">
        <is>
          <t>cobbleventure:generation_9</t>
        </is>
      </c>
      <c r="M2947" s="19" t="inlineStr">
        <is>
          <t>cobbleventure:generation_9</t>
        </is>
      </c>
      <c r="N2947" s="18" t="inlineStr">
        <is>
          <t>region_01; region_02</t>
        </is>
      </c>
      <c r="O2947" s="19" t="inlineStr"/>
      <c r="P2947" s="18" t="inlineStr">
        <is>
          <t>#cobblemon:is_overworld</t>
        </is>
      </c>
      <c r="Q2947" s="19" t="inlineStr"/>
      <c r="R2947" s="18">
        <f>IF(Q2947="",P2947,Q2947)</f>
        <v/>
      </c>
      <c r="S2947" s="18" t="inlineStr"/>
      <c r="T2947" s="18" t="inlineStr">
        <is>
          <t>uncommon</t>
        </is>
      </c>
      <c r="U2947" s="20" t="n">
        <v>0.8</v>
      </c>
      <c r="V2947" s="21" t="n">
        <v>1</v>
      </c>
      <c r="W2947" s="20">
        <f>IF(OR(U2947="",V2947=""),U2947,U2947*V2947)</f>
        <v/>
      </c>
      <c r="X2947" s="18" t="inlineStr">
        <is>
          <t>21-53</t>
        </is>
      </c>
      <c r="Y2947" s="19" t="inlineStr"/>
      <c r="Z2947" s="18">
        <f>IF(Y2947="",X2947,Y2947)</f>
        <v/>
      </c>
      <c r="AA2947" s="18" t="inlineStr">
        <is>
          <t>grounded</t>
        </is>
      </c>
      <c r="AB2947" s="18" t="inlineStr"/>
      <c r="AC2947" s="18" t="inlineStr"/>
      <c r="AD2947" s="18" t="inlineStr"/>
      <c r="AE2947" s="18" t="inlineStr"/>
      <c r="AF2947" s="18" t="inlineStr"/>
      <c r="AG2947" s="18" t="inlineStr"/>
      <c r="AH2947" s="18" t="inlineStr"/>
      <c r="AI2947" s="18" t="inlineStr"/>
      <c r="AJ2947" s="18" t="inlineStr">
        <is>
          <t>COBBLEVERSE 수정</t>
        </is>
      </c>
      <c r="AK2947" s="18" t="inlineStr">
        <is>
          <t>사용</t>
        </is>
      </c>
      <c r="AL2947" s="18" t="inlineStr">
        <is>
          <t>COBBLEVERSE 1.7.42 / DP v31</t>
        </is>
      </c>
      <c r="AM2947" s="18" t="inlineStr">
        <is>
          <t>data/cobblemon/spawn_pool_world/0937_ceruledge.json</t>
        </is>
      </c>
      <c r="AN2947" s="18" t="inlineStr">
        <is>
          <t>ceruledge-2</t>
        </is>
      </c>
      <c r="AO2947" s="18" t="inlineStr">
        <is>
          <t>pokemon</t>
        </is>
      </c>
      <c r="AP2947" s="18" t="inlineStr">
        <is>
          <t>ruined_portal</t>
        </is>
      </c>
      <c r="AQ2947" s="18" t="inlineStr">
        <is>
          <t>{"biomes":["#cobblemon:is_overworld"]}</t>
        </is>
      </c>
      <c r="AR2947" s="18" t="inlineStr"/>
      <c r="AS2947" s="18" t="inlineStr"/>
      <c r="AT2947" s="19" t="inlineStr"/>
    </row>
    <row r="2948" ht="32" customHeight="1">
      <c r="A2948" s="18" t="inlineStr">
        <is>
          <t>0937_ceruledge.json::ceruledge-3::003</t>
        </is>
      </c>
      <c r="B2948" s="19" t="inlineStr">
        <is>
          <t>사용</t>
        </is>
      </c>
      <c r="C2948" s="18">
        <f>IF(OR(B2948&lt;&gt;AK2948,M2948&lt;&gt;L2948,O2948&lt;&gt;"",Q2948&lt;&gt;"",V2948&lt;&gt;1,Y2948&lt;&gt;"",AT2948&lt;&gt;""),"수정","원본")</f>
        <v/>
      </c>
      <c r="D2948" s="18" t="n">
        <v>937</v>
      </c>
      <c r="E2948" s="18" t="inlineStr">
        <is>
          <t>파라블레이즈</t>
        </is>
      </c>
      <c r="F2948" s="18" t="inlineStr">
        <is>
          <t>ceruledge</t>
        </is>
      </c>
      <c r="G2948" s="18" t="inlineStr">
        <is>
          <t>ceruledge</t>
        </is>
      </c>
      <c r="H2948" s="18" t="inlineStr"/>
      <c r="I2948" s="18" t="n">
        <v>9</v>
      </c>
      <c r="J2948" s="18" t="n"/>
      <c r="K2948" s="18" t="n">
        <v>9</v>
      </c>
      <c r="L2948" s="18" t="inlineStr">
        <is>
          <t>cobbleventure:generation_9</t>
        </is>
      </c>
      <c r="M2948" s="19" t="inlineStr">
        <is>
          <t>cobbleventure:generation_9</t>
        </is>
      </c>
      <c r="N2948" s="18" t="inlineStr"/>
      <c r="O2948" s="19" t="inlineStr"/>
      <c r="P2948" s="18" t="inlineStr">
        <is>
          <t>#aether:is_aether</t>
        </is>
      </c>
      <c r="Q2948" s="19" t="inlineStr"/>
      <c r="R2948" s="18">
        <f>IF(Q2948="",P2948,Q2948)</f>
        <v/>
      </c>
      <c r="S2948" s="18" t="inlineStr"/>
      <c r="T2948" s="18" t="inlineStr">
        <is>
          <t>uncommon</t>
        </is>
      </c>
      <c r="U2948" s="20" t="n">
        <v>0.4</v>
      </c>
      <c r="V2948" s="21" t="n">
        <v>1</v>
      </c>
      <c r="W2948" s="20">
        <f>IF(OR(U2948="",V2948=""),U2948,U2948*V2948)</f>
        <v/>
      </c>
      <c r="X2948" s="18" t="inlineStr">
        <is>
          <t>21-53</t>
        </is>
      </c>
      <c r="Y2948" s="19" t="inlineStr"/>
      <c r="Z2948" s="18">
        <f>IF(Y2948="",X2948,Y2948)</f>
        <v/>
      </c>
      <c r="AA2948" s="18" t="inlineStr">
        <is>
          <t>grounded</t>
        </is>
      </c>
      <c r="AB2948" s="18" t="inlineStr"/>
      <c r="AC2948" s="18" t="inlineStr"/>
      <c r="AD2948" s="18" t="inlineStr"/>
      <c r="AE2948" s="18" t="inlineStr">
        <is>
          <t>sky 0-7</t>
        </is>
      </c>
      <c r="AF2948" s="18" t="inlineStr"/>
      <c r="AG2948" s="18" t="inlineStr">
        <is>
          <t>#aether:dungeons</t>
        </is>
      </c>
      <c r="AH2948" s="18" t="inlineStr"/>
      <c r="AI2948" s="18" t="inlineStr"/>
      <c r="AJ2948" s="18" t="inlineStr">
        <is>
          <t>COBBLEVERSE 수정</t>
        </is>
      </c>
      <c r="AK2948" s="18" t="inlineStr">
        <is>
          <t>사용</t>
        </is>
      </c>
      <c r="AL2948" s="18" t="inlineStr">
        <is>
          <t>COBBLEVERSE 1.7.42 / DP v31</t>
        </is>
      </c>
      <c r="AM2948" s="18" t="inlineStr">
        <is>
          <t>data/cobblemon/spawn_pool_world/0937_ceruledge.json</t>
        </is>
      </c>
      <c r="AN2948" s="18" t="inlineStr">
        <is>
          <t>ceruledge-3</t>
        </is>
      </c>
      <c r="AO2948" s="18" t="inlineStr">
        <is>
          <t>pokemon</t>
        </is>
      </c>
      <c r="AP2948" s="18" t="inlineStr"/>
      <c r="AQ2948" s="18" t="inlineStr">
        <is>
          <t>{"biomes":["#aether:is_aether"],"maxSkyLight":7,"minSkyLight":0,"structures":["#aether:dungeons"]}</t>
        </is>
      </c>
      <c r="AR2948" s="18" t="inlineStr"/>
      <c r="AS2948" s="18" t="inlineStr"/>
      <c r="AT2948" s="19" t="inlineStr"/>
    </row>
    <row r="2949" ht="32" customHeight="1">
      <c r="A2949" s="18" t="inlineStr">
        <is>
          <t>0938_tadbulb.json::tadbulb-1::001</t>
        </is>
      </c>
      <c r="B2949" s="19" t="inlineStr">
        <is>
          <t>사용</t>
        </is>
      </c>
      <c r="C2949" s="18">
        <f>IF(OR(B2949&lt;&gt;AK2949,M2949&lt;&gt;L2949,O2949&lt;&gt;"",Q2949&lt;&gt;"",V2949&lt;&gt;1,Y2949&lt;&gt;"",AT2949&lt;&gt;""),"수정","원본")</f>
        <v/>
      </c>
      <c r="D2949" s="18" t="n">
        <v>938</v>
      </c>
      <c r="E2949" s="18" t="inlineStr">
        <is>
          <t>빈나두</t>
        </is>
      </c>
      <c r="F2949" s="18" t="inlineStr">
        <is>
          <t>tadbulb</t>
        </is>
      </c>
      <c r="G2949" s="18" t="inlineStr">
        <is>
          <t>tadbulb</t>
        </is>
      </c>
      <c r="H2949" s="18" t="inlineStr"/>
      <c r="I2949" s="18" t="n">
        <v>9</v>
      </c>
      <c r="J2949" s="18" t="n"/>
      <c r="K2949" s="18" t="n">
        <v>9</v>
      </c>
      <c r="L2949" s="18" t="inlineStr">
        <is>
          <t>cobbleventure:generation_9</t>
        </is>
      </c>
      <c r="M2949" s="19" t="inlineStr">
        <is>
          <t>cobbleventure:generation_9</t>
        </is>
      </c>
      <c r="N2949" s="18" t="inlineStr">
        <is>
          <t>region_02</t>
        </is>
      </c>
      <c r="O2949" s="19" t="inlineStr"/>
      <c r="P2949" s="18" t="inlineStr">
        <is>
          <t>#cobblemon:is_freshwater; #cobblemon:is_river</t>
        </is>
      </c>
      <c r="Q2949" s="19" t="inlineStr"/>
      <c r="R2949" s="18">
        <f>IF(Q2949="",P2949,Q2949)</f>
        <v/>
      </c>
      <c r="S2949" s="18" t="inlineStr">
        <is>
          <t>#cobblemon:is_freezing</t>
        </is>
      </c>
      <c r="T2949" s="18" t="inlineStr">
        <is>
          <t>common</t>
        </is>
      </c>
      <c r="U2949" s="20" t="n">
        <v>5.7</v>
      </c>
      <c r="V2949" s="21" t="n">
        <v>1</v>
      </c>
      <c r="W2949" s="20">
        <f>IF(OR(U2949="",V2949=""),U2949,U2949*V2949)</f>
        <v/>
      </c>
      <c r="X2949" s="18" t="inlineStr">
        <is>
          <t>2-27</t>
        </is>
      </c>
      <c r="Y2949" s="19" t="inlineStr"/>
      <c r="Z2949" s="18">
        <f>IF(Y2949="",X2949,Y2949)</f>
        <v/>
      </c>
      <c r="AA2949" s="18" t="inlineStr">
        <is>
          <t>grounded</t>
        </is>
      </c>
      <c r="AB2949" s="18" t="inlineStr"/>
      <c r="AC2949" s="18" t="inlineStr"/>
      <c r="AD2949" s="18" t="inlineStr"/>
      <c r="AE2949" s="18" t="inlineStr">
        <is>
          <t>sky 8-15</t>
        </is>
      </c>
      <c r="AF2949" s="18" t="inlineStr"/>
      <c r="AG2949" s="18" t="inlineStr"/>
      <c r="AH2949" s="18" t="inlineStr"/>
      <c r="AI2949" s="18" t="inlineStr"/>
      <c r="AJ2949" s="18" t="inlineStr">
        <is>
          <t>COBBLEVERSE 수정</t>
        </is>
      </c>
      <c r="AK2949" s="18" t="inlineStr">
        <is>
          <t>사용</t>
        </is>
      </c>
      <c r="AL2949" s="18" t="inlineStr">
        <is>
          <t>COBBLEVERSE 1.7.42 / DP v31</t>
        </is>
      </c>
      <c r="AM2949" s="18" t="inlineStr">
        <is>
          <t>data/cobblemon/spawn_pool_world/0938_tadbulb.json</t>
        </is>
      </c>
      <c r="AN2949" s="18" t="inlineStr">
        <is>
          <t>tadbulb-1</t>
        </is>
      </c>
      <c r="AO2949" s="18" t="inlineStr">
        <is>
          <t>pokemon</t>
        </is>
      </c>
      <c r="AP2949" s="18" t="inlineStr">
        <is>
          <t>natural</t>
        </is>
      </c>
      <c r="AQ2949" s="18" t="inlineStr">
        <is>
          <t>{"biomes":["#cobblemon:is_freshwater","#cobblemon:is_river"],"maxSkyLight":15,"minSkyLight":8}</t>
        </is>
      </c>
      <c r="AR2949" s="18" t="inlineStr">
        <is>
          <t>{"biomes":["#cobblemon:is_freezing"]}</t>
        </is>
      </c>
      <c r="AS2949" s="18" t="inlineStr">
        <is>
          <t>{"weightMultiplier":{"condition":{"isThundering":true},"multiplier":5.0}}</t>
        </is>
      </c>
      <c r="AT2949" s="19" t="inlineStr"/>
    </row>
    <row r="2950" ht="32" customHeight="1">
      <c r="A2950" s="18" t="inlineStr">
        <is>
          <t>0939_bellibolt.json::bellibolt-1::001</t>
        </is>
      </c>
      <c r="B2950" s="19" t="inlineStr">
        <is>
          <t>사용</t>
        </is>
      </c>
      <c r="C2950" s="18">
        <f>IF(OR(B2950&lt;&gt;AK2950,M2950&lt;&gt;L2950,O2950&lt;&gt;"",Q2950&lt;&gt;"",V2950&lt;&gt;1,Y2950&lt;&gt;"",AT2950&lt;&gt;""),"수정","원본")</f>
        <v/>
      </c>
      <c r="D2950" s="18" t="n">
        <v>939</v>
      </c>
      <c r="E2950" s="18" t="inlineStr">
        <is>
          <t>찌리배리</t>
        </is>
      </c>
      <c r="F2950" s="18" t="inlineStr">
        <is>
          <t>bellibolt</t>
        </is>
      </c>
      <c r="G2950" s="18" t="inlineStr">
        <is>
          <t>bellibolt</t>
        </is>
      </c>
      <c r="H2950" s="18" t="inlineStr"/>
      <c r="I2950" s="18" t="n">
        <v>9</v>
      </c>
      <c r="J2950" s="18" t="n"/>
      <c r="K2950" s="18" t="n">
        <v>9</v>
      </c>
      <c r="L2950" s="18" t="inlineStr">
        <is>
          <t>cobbleventure:generation_9</t>
        </is>
      </c>
      <c r="M2950" s="19" t="inlineStr">
        <is>
          <t>cobbleventure:generation_9</t>
        </is>
      </c>
      <c r="N2950" s="18" t="inlineStr">
        <is>
          <t>region_02</t>
        </is>
      </c>
      <c r="O2950" s="19" t="inlineStr"/>
      <c r="P2950" s="18" t="inlineStr">
        <is>
          <t>#cobblemon:is_freshwater; #cobblemon:is_savanna</t>
        </is>
      </c>
      <c r="Q2950" s="19" t="inlineStr"/>
      <c r="R2950" s="18">
        <f>IF(Q2950="",P2950,Q2950)</f>
        <v/>
      </c>
      <c r="S2950" s="18" t="inlineStr">
        <is>
          <t>#cobblemon:is_freezing</t>
        </is>
      </c>
      <c r="T2950" s="18" t="inlineStr">
        <is>
          <t>common</t>
        </is>
      </c>
      <c r="U2950" s="20" t="n">
        <v>0.3</v>
      </c>
      <c r="V2950" s="21" t="n">
        <v>1</v>
      </c>
      <c r="W2950" s="20">
        <f>IF(OR(U2950="",V2950=""),U2950,U2950*V2950)</f>
        <v/>
      </c>
      <c r="X2950" s="18" t="inlineStr">
        <is>
          <t>22-50</t>
        </is>
      </c>
      <c r="Y2950" s="19" t="inlineStr"/>
      <c r="Z2950" s="18">
        <f>IF(Y2950="",X2950,Y2950)</f>
        <v/>
      </c>
      <c r="AA2950" s="18" t="inlineStr">
        <is>
          <t>grounded</t>
        </is>
      </c>
      <c r="AB2950" s="18" t="inlineStr"/>
      <c r="AC2950" s="18" t="inlineStr"/>
      <c r="AD2950" s="18" t="inlineStr"/>
      <c r="AE2950" s="18" t="inlineStr">
        <is>
          <t>sky 8-15</t>
        </is>
      </c>
      <c r="AF2950" s="18" t="inlineStr"/>
      <c r="AG2950" s="18" t="inlineStr"/>
      <c r="AH2950" s="18" t="inlineStr"/>
      <c r="AI2950" s="18" t="inlineStr"/>
      <c r="AJ2950" s="18" t="inlineStr">
        <is>
          <t>COBBLEVERSE 수정</t>
        </is>
      </c>
      <c r="AK2950" s="18" t="inlineStr">
        <is>
          <t>사용</t>
        </is>
      </c>
      <c r="AL2950" s="18" t="inlineStr">
        <is>
          <t>COBBLEVERSE 1.7.42 / DP v31</t>
        </is>
      </c>
      <c r="AM2950" s="18" t="inlineStr">
        <is>
          <t>data/cobblemon/spawn_pool_world/0939_bellibolt.json</t>
        </is>
      </c>
      <c r="AN2950" s="18" t="inlineStr">
        <is>
          <t>bellibolt-1</t>
        </is>
      </c>
      <c r="AO2950" s="18" t="inlineStr">
        <is>
          <t>pokemon</t>
        </is>
      </c>
      <c r="AP2950" s="18" t="inlineStr">
        <is>
          <t>natural</t>
        </is>
      </c>
      <c r="AQ2950" s="18" t="inlineStr">
        <is>
          <t>{"biomes":["#cobblemon:is_freshwater","#cobblemon:is_savanna"],"maxSkyLight":15,"minSkyLight":8}</t>
        </is>
      </c>
      <c r="AR2950" s="18" t="inlineStr">
        <is>
          <t>{"biomes":["#cobblemon:is_freezing"]}</t>
        </is>
      </c>
      <c r="AS2950" s="18" t="inlineStr">
        <is>
          <t>{"weightMultiplier":{"condition":{"isThundering":true},"multiplier":5.0}}</t>
        </is>
      </c>
      <c r="AT2950" s="19" t="inlineStr"/>
    </row>
    <row r="2951" ht="32" customHeight="1">
      <c r="A2951" s="18" t="inlineStr">
        <is>
          <t>0940_wattrel.json::wattrel-1::001</t>
        </is>
      </c>
      <c r="B2951" s="19" t="inlineStr">
        <is>
          <t>사용</t>
        </is>
      </c>
      <c r="C2951" s="18">
        <f>IF(OR(B2951&lt;&gt;AK2951,M2951&lt;&gt;L2951,O2951&lt;&gt;"",Q2951&lt;&gt;"",V2951&lt;&gt;1,Y2951&lt;&gt;"",AT2951&lt;&gt;""),"수정","원본")</f>
        <v/>
      </c>
      <c r="D2951" s="18" t="n">
        <v>940</v>
      </c>
      <c r="E2951" s="18" t="inlineStr">
        <is>
          <t>찌리비</t>
        </is>
      </c>
      <c r="F2951" s="18" t="inlineStr">
        <is>
          <t>wattrel</t>
        </is>
      </c>
      <c r="G2951" s="18" t="inlineStr">
        <is>
          <t>wattrel</t>
        </is>
      </c>
      <c r="H2951" s="18" t="inlineStr"/>
      <c r="I2951" s="18" t="n">
        <v>9</v>
      </c>
      <c r="J2951" s="18" t="n"/>
      <c r="K2951" s="18" t="n">
        <v>9</v>
      </c>
      <c r="L2951" s="18" t="inlineStr">
        <is>
          <t>cobbleventure:generation_9</t>
        </is>
      </c>
      <c r="M2951" s="19" t="inlineStr">
        <is>
          <t>cobbleventure:generation_9</t>
        </is>
      </c>
      <c r="N2951" s="18" t="inlineStr"/>
      <c r="O2951" s="19" t="inlineStr"/>
      <c r="P2951" s="18" t="inlineStr">
        <is>
          <t>#cobblemon:is_island; #cobblemon:is_ocean; #cobblemon:is_sky</t>
        </is>
      </c>
      <c r="Q2951" s="19" t="inlineStr"/>
      <c r="R2951" s="18">
        <f>IF(Q2951="",P2951,Q2951)</f>
        <v/>
      </c>
      <c r="S2951" s="18" t="inlineStr">
        <is>
          <t>#cobblemon:is_freezing</t>
        </is>
      </c>
      <c r="T2951" s="18" t="inlineStr">
        <is>
          <t>common</t>
        </is>
      </c>
      <c r="U2951" s="20" t="n">
        <v>1.8</v>
      </c>
      <c r="V2951" s="21" t="n">
        <v>1</v>
      </c>
      <c r="W2951" s="20">
        <f>IF(OR(U2951="",V2951=""),U2951,U2951*V2951)</f>
        <v/>
      </c>
      <c r="X2951" s="18" t="inlineStr">
        <is>
          <t>3-28</t>
        </is>
      </c>
      <c r="Y2951" s="19" t="inlineStr"/>
      <c r="Z2951" s="18">
        <f>IF(Y2951="",X2951,Y2951)</f>
        <v/>
      </c>
      <c r="AA2951" s="18" t="inlineStr">
        <is>
          <t>grounded</t>
        </is>
      </c>
      <c r="AB2951" s="18" t="inlineStr"/>
      <c r="AC2951" s="18" t="inlineStr"/>
      <c r="AD2951" s="18" t="inlineStr"/>
      <c r="AE2951" s="18" t="inlineStr">
        <is>
          <t>sky 8-15</t>
        </is>
      </c>
      <c r="AF2951" s="18" t="inlineStr"/>
      <c r="AG2951" s="18" t="inlineStr"/>
      <c r="AH2951" s="18" t="inlineStr"/>
      <c r="AI2951" s="18" t="inlineStr"/>
      <c r="AJ2951" s="18" t="inlineStr">
        <is>
          <t>COBBLEVERSE 수정</t>
        </is>
      </c>
      <c r="AK2951" s="18" t="inlineStr">
        <is>
          <t>사용</t>
        </is>
      </c>
      <c r="AL2951" s="18" t="inlineStr">
        <is>
          <t>COBBLEVERSE 1.7.42 / DP v31</t>
        </is>
      </c>
      <c r="AM2951" s="18" t="inlineStr">
        <is>
          <t>data/cobblemon/spawn_pool_world/0940_wattrel.json</t>
        </is>
      </c>
      <c r="AN2951" s="18" t="inlineStr">
        <is>
          <t>wattrel-1</t>
        </is>
      </c>
      <c r="AO2951" s="18" t="inlineStr">
        <is>
          <t>pokemon</t>
        </is>
      </c>
      <c r="AP2951" s="18" t="inlineStr">
        <is>
          <t>natural</t>
        </is>
      </c>
      <c r="AQ2951" s="18" t="inlineStr">
        <is>
          <t>{"biomes":["#cobblemon:is_island","#cobblemon:is_ocean","#cobblemon:is_sky"],"maxSkyLight":15,"minSkyLight":8}</t>
        </is>
      </c>
      <c r="AR2951" s="18" t="inlineStr">
        <is>
          <t>{"biomes":["#cobblemon:is_freezing"]}</t>
        </is>
      </c>
      <c r="AS2951" s="18" t="inlineStr">
        <is>
          <t>{"weightMultiplier":{"condition":{"isThundering":true},"multiplier":5.0}}</t>
        </is>
      </c>
      <c r="AT2951" s="19" t="inlineStr"/>
    </row>
    <row r="2952" ht="32" customHeight="1">
      <c r="A2952" s="18" t="inlineStr">
        <is>
          <t>0940_wattrel.json::wattrel-2::002</t>
        </is>
      </c>
      <c r="B2952" s="19" t="inlineStr">
        <is>
          <t>사용</t>
        </is>
      </c>
      <c r="C2952" s="18">
        <f>IF(OR(B2952&lt;&gt;AK2952,M2952&lt;&gt;L2952,O2952&lt;&gt;"",Q2952&lt;&gt;"",V2952&lt;&gt;1,Y2952&lt;&gt;"",AT2952&lt;&gt;""),"수정","원본")</f>
        <v/>
      </c>
      <c r="D2952" s="18" t="n">
        <v>940</v>
      </c>
      <c r="E2952" s="18" t="inlineStr">
        <is>
          <t>찌리비</t>
        </is>
      </c>
      <c r="F2952" s="18" t="inlineStr">
        <is>
          <t>wattrel</t>
        </is>
      </c>
      <c r="G2952" s="18" t="inlineStr">
        <is>
          <t>wattrel</t>
        </is>
      </c>
      <c r="H2952" s="18" t="inlineStr"/>
      <c r="I2952" s="18" t="n">
        <v>9</v>
      </c>
      <c r="J2952" s="18" t="n"/>
      <c r="K2952" s="18" t="n">
        <v>9</v>
      </c>
      <c r="L2952" s="18" t="inlineStr">
        <is>
          <t>cobbleventure:generation_9</t>
        </is>
      </c>
      <c r="M2952" s="19" t="inlineStr">
        <is>
          <t>cobbleventure:generation_9</t>
        </is>
      </c>
      <c r="N2952" s="18" t="inlineStr"/>
      <c r="O2952" s="19" t="inlineStr"/>
      <c r="P2952" s="18" t="inlineStr">
        <is>
          <t>#cobblemon:is_coast</t>
        </is>
      </c>
      <c r="Q2952" s="19" t="inlineStr"/>
      <c r="R2952" s="18">
        <f>IF(Q2952="",P2952,Q2952)</f>
        <v/>
      </c>
      <c r="S2952" s="18" t="inlineStr">
        <is>
          <t>#cobblemon:is_beach; #cobblemon:is_freezing</t>
        </is>
      </c>
      <c r="T2952" s="18" t="inlineStr">
        <is>
          <t>common</t>
        </is>
      </c>
      <c r="U2952" s="20" t="n">
        <v>1.8</v>
      </c>
      <c r="V2952" s="21" t="n">
        <v>1</v>
      </c>
      <c r="W2952" s="20">
        <f>IF(OR(U2952="",V2952=""),U2952,U2952*V2952)</f>
        <v/>
      </c>
      <c r="X2952" s="18" t="inlineStr">
        <is>
          <t>3-28</t>
        </is>
      </c>
      <c r="Y2952" s="19" t="inlineStr"/>
      <c r="Z2952" s="18">
        <f>IF(Y2952="",X2952,Y2952)</f>
        <v/>
      </c>
      <c r="AA2952" s="18" t="inlineStr">
        <is>
          <t>grounded</t>
        </is>
      </c>
      <c r="AB2952" s="18" t="inlineStr">
        <is>
          <t>night</t>
        </is>
      </c>
      <c r="AC2952" s="18" t="inlineStr"/>
      <c r="AD2952" s="18" t="inlineStr"/>
      <c r="AE2952" s="18" t="inlineStr">
        <is>
          <t>sky 8-15</t>
        </is>
      </c>
      <c r="AF2952" s="18" t="inlineStr"/>
      <c r="AG2952" s="18" t="inlineStr"/>
      <c r="AH2952" s="18" t="inlineStr"/>
      <c r="AI2952" s="18" t="inlineStr"/>
      <c r="AJ2952" s="18" t="inlineStr">
        <is>
          <t>COBBLEVERSE 수정</t>
        </is>
      </c>
      <c r="AK2952" s="18" t="inlineStr">
        <is>
          <t>사용</t>
        </is>
      </c>
      <c r="AL2952" s="18" t="inlineStr">
        <is>
          <t>COBBLEVERSE 1.7.42 / DP v31</t>
        </is>
      </c>
      <c r="AM2952" s="18" t="inlineStr">
        <is>
          <t>data/cobblemon/spawn_pool_world/0940_wattrel.json</t>
        </is>
      </c>
      <c r="AN2952" s="18" t="inlineStr">
        <is>
          <t>wattrel-2</t>
        </is>
      </c>
      <c r="AO2952" s="18" t="inlineStr">
        <is>
          <t>pokemon</t>
        </is>
      </c>
      <c r="AP2952" s="18" t="inlineStr">
        <is>
          <t>natural</t>
        </is>
      </c>
      <c r="AQ2952" s="18" t="inlineStr">
        <is>
          <t>{"biomes":["#cobblemon:is_coast"],"maxSkyLight":15,"minSkyLight":8,"timeRange":"night"}</t>
        </is>
      </c>
      <c r="AR2952" s="18" t="inlineStr">
        <is>
          <t>{"biomes":["#cobblemon:is_beach","#cobblemon:is_freezing"]}</t>
        </is>
      </c>
      <c r="AS2952" s="18" t="inlineStr">
        <is>
          <t>{"weightMultiplier":{"condition":{"isThundering":true},"multiplier":5.0}}</t>
        </is>
      </c>
      <c r="AT2952" s="19" t="inlineStr"/>
    </row>
    <row r="2953" ht="32" customHeight="1">
      <c r="A2953" s="18" t="inlineStr">
        <is>
          <t>0940_wattrel.json::wattrel-3::003</t>
        </is>
      </c>
      <c r="B2953" s="19" t="inlineStr">
        <is>
          <t>사용</t>
        </is>
      </c>
      <c r="C2953" s="18">
        <f>IF(OR(B2953&lt;&gt;AK2953,M2953&lt;&gt;L2953,O2953&lt;&gt;"",Q2953&lt;&gt;"",V2953&lt;&gt;1,Y2953&lt;&gt;"",AT2953&lt;&gt;""),"수정","원본")</f>
        <v/>
      </c>
      <c r="D2953" s="18" t="n">
        <v>940</v>
      </c>
      <c r="E2953" s="18" t="inlineStr">
        <is>
          <t>찌리비</t>
        </is>
      </c>
      <c r="F2953" s="18" t="inlineStr">
        <is>
          <t>wattrel</t>
        </is>
      </c>
      <c r="G2953" s="18" t="inlineStr">
        <is>
          <t>wattrel</t>
        </is>
      </c>
      <c r="H2953" s="18" t="inlineStr"/>
      <c r="I2953" s="18" t="n">
        <v>9</v>
      </c>
      <c r="J2953" s="18" t="n"/>
      <c r="K2953" s="18" t="n">
        <v>9</v>
      </c>
      <c r="L2953" s="18" t="inlineStr">
        <is>
          <t>cobbleventure:generation_9</t>
        </is>
      </c>
      <c r="M2953" s="19" t="inlineStr">
        <is>
          <t>cobbleventure:generation_9</t>
        </is>
      </c>
      <c r="N2953" s="18" t="inlineStr"/>
      <c r="O2953" s="19" t="inlineStr"/>
      <c r="P2953" s="18" t="inlineStr">
        <is>
          <t>#cobblemon:is_coast; #cobblemon:is_island; #cobblemon:is_ocean; #cobblemon:is_sky</t>
        </is>
      </c>
      <c r="Q2953" s="19" t="inlineStr"/>
      <c r="R2953" s="18">
        <f>IF(Q2953="",P2953,Q2953)</f>
        <v/>
      </c>
      <c r="S2953" s="18" t="inlineStr">
        <is>
          <t>#cobblemon:is_beach; #cobblemon:is_freezing</t>
        </is>
      </c>
      <c r="T2953" s="18" t="inlineStr">
        <is>
          <t>uncommon</t>
        </is>
      </c>
      <c r="U2953" s="20" t="n">
        <v>9</v>
      </c>
      <c r="V2953" s="21" t="n">
        <v>1</v>
      </c>
      <c r="W2953" s="20">
        <f>IF(OR(U2953="",V2953=""),U2953,U2953*V2953)</f>
        <v/>
      </c>
      <c r="X2953" s="18" t="inlineStr">
        <is>
          <t>3-28</t>
        </is>
      </c>
      <c r="Y2953" s="19" t="inlineStr"/>
      <c r="Z2953" s="18">
        <f>IF(Y2953="",X2953,Y2953)</f>
        <v/>
      </c>
      <c r="AA2953" s="18" t="inlineStr">
        <is>
          <t>surface</t>
        </is>
      </c>
      <c r="AB2953" s="18" t="inlineStr"/>
      <c r="AC2953" s="18" t="inlineStr"/>
      <c r="AD2953" s="18" t="inlineStr"/>
      <c r="AE2953" s="18" t="inlineStr">
        <is>
          <t>sky 8-15</t>
        </is>
      </c>
      <c r="AF2953" s="18" t="inlineStr"/>
      <c r="AG2953" s="18" t="inlineStr"/>
      <c r="AH2953" s="18" t="inlineStr"/>
      <c r="AI2953" s="18" t="inlineStr"/>
      <c r="AJ2953" s="18" t="inlineStr">
        <is>
          <t>COBBLEVERSE 수정</t>
        </is>
      </c>
      <c r="AK2953" s="18" t="inlineStr">
        <is>
          <t>사용</t>
        </is>
      </c>
      <c r="AL2953" s="18" t="inlineStr">
        <is>
          <t>COBBLEVERSE 1.7.42 / DP v31</t>
        </is>
      </c>
      <c r="AM2953" s="18" t="inlineStr">
        <is>
          <t>data/cobblemon/spawn_pool_world/0940_wattrel.json</t>
        </is>
      </c>
      <c r="AN2953" s="18" t="inlineStr">
        <is>
          <t>wattrel-3</t>
        </is>
      </c>
      <c r="AO2953" s="18" t="inlineStr">
        <is>
          <t>pokemon</t>
        </is>
      </c>
      <c r="AP2953" s="18" t="inlineStr">
        <is>
          <t>water</t>
        </is>
      </c>
      <c r="AQ2953" s="18" t="inlineStr">
        <is>
          <t>{"biomes":["#cobblemon:is_coast","#cobblemon:is_island","#cobblemon:is_ocean","#cobblemon:is_sky"],"maxSkyLight":15,"minSkyLight":8}</t>
        </is>
      </c>
      <c r="AR2953" s="18" t="inlineStr">
        <is>
          <t>{"biomes":["#cobblemon:is_beach","#cobblemon:is_freezing"]}</t>
        </is>
      </c>
      <c r="AS2953" s="18" t="inlineStr">
        <is>
          <t>{"weightMultiplier":{"condition":{"isThundering":true},"multiplier":5.0}}</t>
        </is>
      </c>
      <c r="AT2953" s="19" t="inlineStr"/>
    </row>
    <row r="2954" ht="32" customHeight="1">
      <c r="A2954" s="18" t="inlineStr">
        <is>
          <t>0940_wattrel.json::wattrel-5::004</t>
        </is>
      </c>
      <c r="B2954" s="19" t="inlineStr">
        <is>
          <t>사용</t>
        </is>
      </c>
      <c r="C2954" s="18">
        <f>IF(OR(B2954&lt;&gt;AK2954,M2954&lt;&gt;L2954,O2954&lt;&gt;"",Q2954&lt;&gt;"",V2954&lt;&gt;1,Y2954&lt;&gt;"",AT2954&lt;&gt;""),"수정","원본")</f>
        <v/>
      </c>
      <c r="D2954" s="18" t="n">
        <v>940</v>
      </c>
      <c r="E2954" s="18" t="inlineStr">
        <is>
          <t>찌리비</t>
        </is>
      </c>
      <c r="F2954" s="18" t="inlineStr">
        <is>
          <t>wattrel</t>
        </is>
      </c>
      <c r="G2954" s="18" t="inlineStr">
        <is>
          <t>wattrel</t>
        </is>
      </c>
      <c r="H2954" s="18" t="inlineStr"/>
      <c r="I2954" s="18" t="n">
        <v>9</v>
      </c>
      <c r="J2954" s="18" t="n"/>
      <c r="K2954" s="18" t="n">
        <v>9</v>
      </c>
      <c r="L2954" s="18" t="inlineStr">
        <is>
          <t>cobbleventure:generation_9</t>
        </is>
      </c>
      <c r="M2954" s="19" t="inlineStr">
        <is>
          <t>cobbleventure:generation_9</t>
        </is>
      </c>
      <c r="N2954" s="18" t="inlineStr"/>
      <c r="O2954" s="19" t="inlineStr"/>
      <c r="P2954" s="18" t="inlineStr">
        <is>
          <t>#cobblemon:is_ocean; #cobblemon:is_sky</t>
        </is>
      </c>
      <c r="Q2954" s="19" t="inlineStr"/>
      <c r="R2954" s="18">
        <f>IF(Q2954="",P2954,Q2954)</f>
        <v/>
      </c>
      <c r="S2954" s="18" t="inlineStr">
        <is>
          <t>#cobblemon:is_freezing</t>
        </is>
      </c>
      <c r="T2954" s="18" t="inlineStr">
        <is>
          <t>uncommon</t>
        </is>
      </c>
      <c r="U2954" s="20" t="n">
        <v>5.04</v>
      </c>
      <c r="V2954" s="21" t="n">
        <v>1</v>
      </c>
      <c r="W2954" s="20">
        <f>IF(OR(U2954="",V2954=""),U2954,U2954*V2954)</f>
        <v/>
      </c>
      <c r="X2954" s="18" t="inlineStr">
        <is>
          <t>3-28</t>
        </is>
      </c>
      <c r="Y2954" s="19" t="inlineStr"/>
      <c r="Z2954" s="18">
        <f>IF(Y2954="",X2954,Y2954)</f>
        <v/>
      </c>
      <c r="AA2954" s="18" t="inlineStr">
        <is>
          <t>fishing</t>
        </is>
      </c>
      <c r="AB2954" s="18" t="inlineStr">
        <is>
          <t>day</t>
        </is>
      </c>
      <c r="AC2954" s="18" t="inlineStr"/>
      <c r="AD2954" s="18" t="inlineStr"/>
      <c r="AE2954" s="18" t="inlineStr">
        <is>
          <t>sky 8-15</t>
        </is>
      </c>
      <c r="AF2954" s="18" t="inlineStr"/>
      <c r="AG2954" s="18" t="inlineStr"/>
      <c r="AH2954" s="18" t="inlineStr"/>
      <c r="AI2954" s="18" t="inlineStr"/>
      <c r="AJ2954" s="18" t="inlineStr">
        <is>
          <t>COBBLEVERSE 수정</t>
        </is>
      </c>
      <c r="AK2954" s="18" t="inlineStr">
        <is>
          <t>사용</t>
        </is>
      </c>
      <c r="AL2954" s="18" t="inlineStr">
        <is>
          <t>COBBLEVERSE 1.7.42 / DP v31</t>
        </is>
      </c>
      <c r="AM2954" s="18" t="inlineStr">
        <is>
          <t>data/cobblemon/spawn_pool_world/0940_wattrel.json</t>
        </is>
      </c>
      <c r="AN2954" s="18" t="inlineStr">
        <is>
          <t>wattrel-5</t>
        </is>
      </c>
      <c r="AO2954" s="18" t="inlineStr">
        <is>
          <t>pokemon</t>
        </is>
      </c>
      <c r="AP2954" s="18" t="inlineStr"/>
      <c r="AQ2954" s="18" t="inlineStr">
        <is>
          <t>{"biomes":["#cobblemon:is_ocean","#cobblemon:is_sky"],"maxSkyLight":15,"minSkyLight":8,"timeRange":"day"}</t>
        </is>
      </c>
      <c r="AR2954" s="18" t="inlineStr">
        <is>
          <t>{"biomes":["#cobblemon:is_freezing"],"minLureLevel":1}</t>
        </is>
      </c>
      <c r="AS2954" s="18" t="inlineStr">
        <is>
          <t>{"weightMultiplier":{"condition":{"isThundering":true},"multiplier":5.0}}</t>
        </is>
      </c>
      <c r="AT2954" s="19" t="inlineStr"/>
    </row>
    <row r="2955" ht="32" customHeight="1">
      <c r="A2955" s="18" t="inlineStr">
        <is>
          <t>0940_wattrel.json::wattrel-6::005</t>
        </is>
      </c>
      <c r="B2955" s="19" t="inlineStr">
        <is>
          <t>사용</t>
        </is>
      </c>
      <c r="C2955" s="18">
        <f>IF(OR(B2955&lt;&gt;AK2955,M2955&lt;&gt;L2955,O2955&lt;&gt;"",Q2955&lt;&gt;"",V2955&lt;&gt;1,Y2955&lt;&gt;"",AT2955&lt;&gt;""),"수정","원본")</f>
        <v/>
      </c>
      <c r="D2955" s="18" t="n">
        <v>940</v>
      </c>
      <c r="E2955" s="18" t="inlineStr">
        <is>
          <t>찌리비</t>
        </is>
      </c>
      <c r="F2955" s="18" t="inlineStr">
        <is>
          <t>wattrel</t>
        </is>
      </c>
      <c r="G2955" s="18" t="inlineStr">
        <is>
          <t>wattrel</t>
        </is>
      </c>
      <c r="H2955" s="18" t="inlineStr"/>
      <c r="I2955" s="18" t="n">
        <v>9</v>
      </c>
      <c r="J2955" s="18" t="n"/>
      <c r="K2955" s="18" t="n">
        <v>9</v>
      </c>
      <c r="L2955" s="18" t="inlineStr">
        <is>
          <t>cobbleventure:generation_9</t>
        </is>
      </c>
      <c r="M2955" s="19" t="inlineStr">
        <is>
          <t>cobbleventure:generation_9</t>
        </is>
      </c>
      <c r="N2955" s="18" t="inlineStr"/>
      <c r="O2955" s="19" t="inlineStr"/>
      <c r="P2955" s="18" t="inlineStr">
        <is>
          <t>#cobblemon:is_ocean; #cobblemon:is_sky</t>
        </is>
      </c>
      <c r="Q2955" s="19" t="inlineStr"/>
      <c r="R2955" s="18">
        <f>IF(Q2955="",P2955,Q2955)</f>
        <v/>
      </c>
      <c r="S2955" s="18" t="inlineStr">
        <is>
          <t>#cobblemon:is_freezing</t>
        </is>
      </c>
      <c r="T2955" s="18" t="inlineStr">
        <is>
          <t>common</t>
        </is>
      </c>
      <c r="U2955" s="20" t="n">
        <v>1.8</v>
      </c>
      <c r="V2955" s="21" t="n">
        <v>1</v>
      </c>
      <c r="W2955" s="20">
        <f>IF(OR(U2955="",V2955=""),U2955,U2955*V2955)</f>
        <v/>
      </c>
      <c r="X2955" s="18" t="inlineStr">
        <is>
          <t>3-28</t>
        </is>
      </c>
      <c r="Y2955" s="19" t="inlineStr"/>
      <c r="Z2955" s="18">
        <f>IF(Y2955="",X2955,Y2955)</f>
        <v/>
      </c>
      <c r="AA2955" s="18" t="inlineStr">
        <is>
          <t>fishing</t>
        </is>
      </c>
      <c r="AB2955" s="18" t="inlineStr">
        <is>
          <t>day</t>
        </is>
      </c>
      <c r="AC2955" s="18" t="inlineStr"/>
      <c r="AD2955" s="18" t="inlineStr"/>
      <c r="AE2955" s="18" t="inlineStr">
        <is>
          <t>sky 8-15</t>
        </is>
      </c>
      <c r="AF2955" s="18" t="inlineStr"/>
      <c r="AG2955" s="18" t="inlineStr"/>
      <c r="AH2955" s="18" t="inlineStr"/>
      <c r="AI2955" s="18" t="inlineStr">
        <is>
          <t>{"fishing":{"minLureLevel":1}}</t>
        </is>
      </c>
      <c r="AJ2955" s="18" t="inlineStr">
        <is>
          <t>COBBLEVERSE 수정</t>
        </is>
      </c>
      <c r="AK2955" s="18" t="inlineStr">
        <is>
          <t>사용</t>
        </is>
      </c>
      <c r="AL2955" s="18" t="inlineStr">
        <is>
          <t>COBBLEVERSE 1.7.42 / DP v31</t>
        </is>
      </c>
      <c r="AM2955" s="18" t="inlineStr">
        <is>
          <t>data/cobblemon/spawn_pool_world/0940_wattrel.json</t>
        </is>
      </c>
      <c r="AN2955" s="18" t="inlineStr">
        <is>
          <t>wattrel-6</t>
        </is>
      </c>
      <c r="AO2955" s="18" t="inlineStr">
        <is>
          <t>pokemon</t>
        </is>
      </c>
      <c r="AP2955" s="18" t="inlineStr"/>
      <c r="AQ2955" s="18" t="inlineStr">
        <is>
          <t>{"biomes":["#cobblemon:is_ocean","#cobblemon:is_sky"],"maxSkyLight":15,"minLureLevel":1,"minSkyLight":8,"timeRange":"day"}</t>
        </is>
      </c>
      <c r="AR2955" s="18" t="inlineStr">
        <is>
          <t>{"biomes":["#cobblemon:is_freezing"]}</t>
        </is>
      </c>
      <c r="AS2955" s="18" t="inlineStr">
        <is>
          <t>{"weightMultipliers":[{"condition":{"isThundering":true},"multiplier":5.0},{"condition":{"minLureLevel":3},"multiplier":3.0}]}</t>
        </is>
      </c>
      <c r="AT2955" s="19" t="inlineStr"/>
    </row>
    <row r="2956" ht="32" customHeight="1">
      <c r="A2956" s="18" t="inlineStr">
        <is>
          <t>0941_kilowattrel.json::kilowattrel-1::001</t>
        </is>
      </c>
      <c r="B2956" s="19" t="inlineStr">
        <is>
          <t>사용</t>
        </is>
      </c>
      <c r="C2956" s="18">
        <f>IF(OR(B2956&lt;&gt;AK2956,M2956&lt;&gt;L2956,O2956&lt;&gt;"",Q2956&lt;&gt;"",V2956&lt;&gt;1,Y2956&lt;&gt;"",AT2956&lt;&gt;""),"수정","원본")</f>
        <v/>
      </c>
      <c r="D2956" s="18" t="n">
        <v>941</v>
      </c>
      <c r="E2956" s="18" t="inlineStr">
        <is>
          <t>찌리비크</t>
        </is>
      </c>
      <c r="F2956" s="18" t="inlineStr">
        <is>
          <t>kilowattrel</t>
        </is>
      </c>
      <c r="G2956" s="18" t="inlineStr">
        <is>
          <t>kilowattrel</t>
        </is>
      </c>
      <c r="H2956" s="18" t="inlineStr"/>
      <c r="I2956" s="18" t="n">
        <v>9</v>
      </c>
      <c r="J2956" s="18" t="n"/>
      <c r="K2956" s="18" t="n">
        <v>9</v>
      </c>
      <c r="L2956" s="18" t="inlineStr">
        <is>
          <t>cobbleventure:generation_9</t>
        </is>
      </c>
      <c r="M2956" s="19" t="inlineStr">
        <is>
          <t>cobbleventure:generation_9</t>
        </is>
      </c>
      <c r="N2956" s="18" t="inlineStr"/>
      <c r="O2956" s="19" t="inlineStr"/>
      <c r="P2956" s="18" t="inlineStr">
        <is>
          <t>#cobblemon:is_island; #cobblemon:is_ocean; #cobblemon:is_sky</t>
        </is>
      </c>
      <c r="Q2956" s="19" t="inlineStr"/>
      <c r="R2956" s="18">
        <f>IF(Q2956="",P2956,Q2956)</f>
        <v/>
      </c>
      <c r="S2956" s="18" t="inlineStr">
        <is>
          <t>#cobblemon:is_freezing</t>
        </is>
      </c>
      <c r="T2956" s="18" t="inlineStr">
        <is>
          <t>common</t>
        </is>
      </c>
      <c r="U2956" s="20" t="n">
        <v>0.2</v>
      </c>
      <c r="V2956" s="21" t="n">
        <v>1</v>
      </c>
      <c r="W2956" s="20">
        <f>IF(OR(U2956="",V2956=""),U2956,U2956*V2956)</f>
        <v/>
      </c>
      <c r="X2956" s="18" t="inlineStr">
        <is>
          <t>25-49</t>
        </is>
      </c>
      <c r="Y2956" s="19" t="inlineStr"/>
      <c r="Z2956" s="18">
        <f>IF(Y2956="",X2956,Y2956)</f>
        <v/>
      </c>
      <c r="AA2956" s="18" t="inlineStr">
        <is>
          <t>grounded</t>
        </is>
      </c>
      <c r="AB2956" s="18" t="inlineStr"/>
      <c r="AC2956" s="18" t="inlineStr"/>
      <c r="AD2956" s="18" t="inlineStr"/>
      <c r="AE2956" s="18" t="inlineStr">
        <is>
          <t>sky 8-15</t>
        </is>
      </c>
      <c r="AF2956" s="18" t="inlineStr"/>
      <c r="AG2956" s="18" t="inlineStr"/>
      <c r="AH2956" s="18" t="inlineStr"/>
      <c r="AI2956" s="18" t="inlineStr"/>
      <c r="AJ2956" s="18" t="inlineStr">
        <is>
          <t>COBBLEVERSE 수정</t>
        </is>
      </c>
      <c r="AK2956" s="18" t="inlineStr">
        <is>
          <t>사용</t>
        </is>
      </c>
      <c r="AL2956" s="18" t="inlineStr">
        <is>
          <t>COBBLEVERSE 1.7.42 / DP v31</t>
        </is>
      </c>
      <c r="AM2956" s="18" t="inlineStr">
        <is>
          <t>data/cobblemon/spawn_pool_world/0941_kilowattrel.json</t>
        </is>
      </c>
      <c r="AN2956" s="18" t="inlineStr">
        <is>
          <t>kilowattrel-1</t>
        </is>
      </c>
      <c r="AO2956" s="18" t="inlineStr">
        <is>
          <t>pokemon</t>
        </is>
      </c>
      <c r="AP2956" s="18" t="inlineStr">
        <is>
          <t>natural</t>
        </is>
      </c>
      <c r="AQ2956" s="18" t="inlineStr">
        <is>
          <t>{"biomes":["#cobblemon:is_island","#cobblemon:is_ocean","#cobblemon:is_sky"],"maxSkyLight":15,"minSkyLight":8}</t>
        </is>
      </c>
      <c r="AR2956" s="18" t="inlineStr">
        <is>
          <t>{"biomes":["#cobblemon:is_freezing"]}</t>
        </is>
      </c>
      <c r="AS2956" s="18" t="inlineStr">
        <is>
          <t>{"weightMultiplier":{"condition":{"isThundering":true},"multiplier":5.0}}</t>
        </is>
      </c>
      <c r="AT2956" s="19" t="inlineStr"/>
    </row>
    <row r="2957" ht="32" customHeight="1">
      <c r="A2957" s="18" t="inlineStr">
        <is>
          <t>0941_kilowattrel.json::kilowattrel-2::002</t>
        </is>
      </c>
      <c r="B2957" s="19" t="inlineStr">
        <is>
          <t>사용</t>
        </is>
      </c>
      <c r="C2957" s="18">
        <f>IF(OR(B2957&lt;&gt;AK2957,M2957&lt;&gt;L2957,O2957&lt;&gt;"",Q2957&lt;&gt;"",V2957&lt;&gt;1,Y2957&lt;&gt;"",AT2957&lt;&gt;""),"수정","원본")</f>
        <v/>
      </c>
      <c r="D2957" s="18" t="n">
        <v>941</v>
      </c>
      <c r="E2957" s="18" t="inlineStr">
        <is>
          <t>찌리비크</t>
        </is>
      </c>
      <c r="F2957" s="18" t="inlineStr">
        <is>
          <t>kilowattrel</t>
        </is>
      </c>
      <c r="G2957" s="18" t="inlineStr">
        <is>
          <t>kilowattrel</t>
        </is>
      </c>
      <c r="H2957" s="18" t="inlineStr"/>
      <c r="I2957" s="18" t="n">
        <v>9</v>
      </c>
      <c r="J2957" s="18" t="n"/>
      <c r="K2957" s="18" t="n">
        <v>9</v>
      </c>
      <c r="L2957" s="18" t="inlineStr">
        <is>
          <t>cobbleventure:generation_9</t>
        </is>
      </c>
      <c r="M2957" s="19" t="inlineStr">
        <is>
          <t>cobbleventure:generation_9</t>
        </is>
      </c>
      <c r="N2957" s="18" t="inlineStr"/>
      <c r="O2957" s="19" t="inlineStr"/>
      <c r="P2957" s="18" t="inlineStr">
        <is>
          <t>#cobblemon:is_coast</t>
        </is>
      </c>
      <c r="Q2957" s="19" t="inlineStr"/>
      <c r="R2957" s="18">
        <f>IF(Q2957="",P2957,Q2957)</f>
        <v/>
      </c>
      <c r="S2957" s="18" t="inlineStr">
        <is>
          <t>#cobblemon:is_beach; #cobblemon:is_freezing</t>
        </is>
      </c>
      <c r="T2957" s="18" t="inlineStr">
        <is>
          <t>common</t>
        </is>
      </c>
      <c r="U2957" s="20" t="n">
        <v>0.2</v>
      </c>
      <c r="V2957" s="21" t="n">
        <v>1</v>
      </c>
      <c r="W2957" s="20">
        <f>IF(OR(U2957="",V2957=""),U2957,U2957*V2957)</f>
        <v/>
      </c>
      <c r="X2957" s="18" t="inlineStr">
        <is>
          <t>25-49</t>
        </is>
      </c>
      <c r="Y2957" s="19" t="inlineStr"/>
      <c r="Z2957" s="18">
        <f>IF(Y2957="",X2957,Y2957)</f>
        <v/>
      </c>
      <c r="AA2957" s="18" t="inlineStr">
        <is>
          <t>grounded</t>
        </is>
      </c>
      <c r="AB2957" s="18" t="inlineStr">
        <is>
          <t>night</t>
        </is>
      </c>
      <c r="AC2957" s="18" t="inlineStr"/>
      <c r="AD2957" s="18" t="inlineStr"/>
      <c r="AE2957" s="18" t="inlineStr">
        <is>
          <t>sky 8-15</t>
        </is>
      </c>
      <c r="AF2957" s="18" t="inlineStr"/>
      <c r="AG2957" s="18" t="inlineStr"/>
      <c r="AH2957" s="18" t="inlineStr"/>
      <c r="AI2957" s="18" t="inlineStr"/>
      <c r="AJ2957" s="18" t="inlineStr">
        <is>
          <t>COBBLEVERSE 수정</t>
        </is>
      </c>
      <c r="AK2957" s="18" t="inlineStr">
        <is>
          <t>사용</t>
        </is>
      </c>
      <c r="AL2957" s="18" t="inlineStr">
        <is>
          <t>COBBLEVERSE 1.7.42 / DP v31</t>
        </is>
      </c>
      <c r="AM2957" s="18" t="inlineStr">
        <is>
          <t>data/cobblemon/spawn_pool_world/0941_kilowattrel.json</t>
        </is>
      </c>
      <c r="AN2957" s="18" t="inlineStr">
        <is>
          <t>kilowattrel-2</t>
        </is>
      </c>
      <c r="AO2957" s="18" t="inlineStr">
        <is>
          <t>pokemon</t>
        </is>
      </c>
      <c r="AP2957" s="18" t="inlineStr">
        <is>
          <t>natural</t>
        </is>
      </c>
      <c r="AQ2957" s="18" t="inlineStr">
        <is>
          <t>{"biomes":["#cobblemon:is_coast"],"maxSkyLight":15,"minSkyLight":8,"timeRange":"night"}</t>
        </is>
      </c>
      <c r="AR2957" s="18" t="inlineStr">
        <is>
          <t>{"biomes":["#cobblemon:is_beach","#cobblemon:is_freezing"]}</t>
        </is>
      </c>
      <c r="AS2957" s="18" t="inlineStr">
        <is>
          <t>{"weightMultiplier":{"condition":{"isThundering":true},"multiplier":5.0}}</t>
        </is>
      </c>
      <c r="AT2957" s="19" t="inlineStr"/>
    </row>
    <row r="2958" ht="32" customHeight="1">
      <c r="A2958" s="18" t="inlineStr">
        <is>
          <t>0941_kilowattrel.json::kilowattrel-3::003</t>
        </is>
      </c>
      <c r="B2958" s="19" t="inlineStr">
        <is>
          <t>사용</t>
        </is>
      </c>
      <c r="C2958" s="18">
        <f>IF(OR(B2958&lt;&gt;AK2958,M2958&lt;&gt;L2958,O2958&lt;&gt;"",Q2958&lt;&gt;"",V2958&lt;&gt;1,Y2958&lt;&gt;"",AT2958&lt;&gt;""),"수정","원본")</f>
        <v/>
      </c>
      <c r="D2958" s="18" t="n">
        <v>941</v>
      </c>
      <c r="E2958" s="18" t="inlineStr">
        <is>
          <t>찌리비크</t>
        </is>
      </c>
      <c r="F2958" s="18" t="inlineStr">
        <is>
          <t>kilowattrel</t>
        </is>
      </c>
      <c r="G2958" s="18" t="inlineStr">
        <is>
          <t>kilowattrel</t>
        </is>
      </c>
      <c r="H2958" s="18" t="inlineStr"/>
      <c r="I2958" s="18" t="n">
        <v>9</v>
      </c>
      <c r="J2958" s="18" t="n"/>
      <c r="K2958" s="18" t="n">
        <v>9</v>
      </c>
      <c r="L2958" s="18" t="inlineStr">
        <is>
          <t>cobbleventure:generation_9</t>
        </is>
      </c>
      <c r="M2958" s="19" t="inlineStr">
        <is>
          <t>cobbleventure:generation_9</t>
        </is>
      </c>
      <c r="N2958" s="18" t="inlineStr"/>
      <c r="O2958" s="19" t="inlineStr"/>
      <c r="P2958" s="18" t="inlineStr">
        <is>
          <t>#cobblemon:is_coast; #cobblemon:is_island; #cobblemon:is_ocean; #cobblemon:is_sky</t>
        </is>
      </c>
      <c r="Q2958" s="19" t="inlineStr"/>
      <c r="R2958" s="18">
        <f>IF(Q2958="",P2958,Q2958)</f>
        <v/>
      </c>
      <c r="S2958" s="18" t="inlineStr">
        <is>
          <t>#cobblemon:is_beach; #cobblemon:is_freezing</t>
        </is>
      </c>
      <c r="T2958" s="18" t="inlineStr">
        <is>
          <t>uncommon</t>
        </is>
      </c>
      <c r="U2958" s="20" t="n">
        <v>1</v>
      </c>
      <c r="V2958" s="21" t="n">
        <v>1</v>
      </c>
      <c r="W2958" s="20">
        <f>IF(OR(U2958="",V2958=""),U2958,U2958*V2958)</f>
        <v/>
      </c>
      <c r="X2958" s="18" t="inlineStr">
        <is>
          <t>25-49</t>
        </is>
      </c>
      <c r="Y2958" s="19" t="inlineStr"/>
      <c r="Z2958" s="18">
        <f>IF(Y2958="",X2958,Y2958)</f>
        <v/>
      </c>
      <c r="AA2958" s="18" t="inlineStr">
        <is>
          <t>surface</t>
        </is>
      </c>
      <c r="AB2958" s="18" t="inlineStr"/>
      <c r="AC2958" s="18" t="inlineStr"/>
      <c r="AD2958" s="18" t="inlineStr"/>
      <c r="AE2958" s="18" t="inlineStr">
        <is>
          <t>sky 8-15</t>
        </is>
      </c>
      <c r="AF2958" s="18" t="inlineStr"/>
      <c r="AG2958" s="18" t="inlineStr"/>
      <c r="AH2958" s="18" t="inlineStr"/>
      <c r="AI2958" s="18" t="inlineStr"/>
      <c r="AJ2958" s="18" t="inlineStr">
        <is>
          <t>COBBLEVERSE 수정</t>
        </is>
      </c>
      <c r="AK2958" s="18" t="inlineStr">
        <is>
          <t>사용</t>
        </is>
      </c>
      <c r="AL2958" s="18" t="inlineStr">
        <is>
          <t>COBBLEVERSE 1.7.42 / DP v31</t>
        </is>
      </c>
      <c r="AM2958" s="18" t="inlineStr">
        <is>
          <t>data/cobblemon/spawn_pool_world/0941_kilowattrel.json</t>
        </is>
      </c>
      <c r="AN2958" s="18" t="inlineStr">
        <is>
          <t>kilowattrel-3</t>
        </is>
      </c>
      <c r="AO2958" s="18" t="inlineStr">
        <is>
          <t>pokemon</t>
        </is>
      </c>
      <c r="AP2958" s="18" t="inlineStr">
        <is>
          <t>water</t>
        </is>
      </c>
      <c r="AQ2958" s="18" t="inlineStr">
        <is>
          <t>{"biomes":["#cobblemon:is_coast","#cobblemon:is_island","#cobblemon:is_ocean","#cobblemon:is_sky"],"maxSkyLight":15,"minSkyLight":8}</t>
        </is>
      </c>
      <c r="AR2958" s="18" t="inlineStr">
        <is>
          <t>{"biomes":["#cobblemon:is_beach","#cobblemon:is_freezing"]}</t>
        </is>
      </c>
      <c r="AS2958" s="18" t="inlineStr">
        <is>
          <t>{"weightMultiplier":{"condition":{"isThundering":true},"multiplier":5.0}}</t>
        </is>
      </c>
      <c r="AT2958" s="19" t="inlineStr"/>
    </row>
    <row r="2959" ht="32" customHeight="1">
      <c r="A2959" s="18" t="inlineStr">
        <is>
          <t>0941_kilowattrel.json::kilowattrel-5::004</t>
        </is>
      </c>
      <c r="B2959" s="19" t="inlineStr">
        <is>
          <t>사용</t>
        </is>
      </c>
      <c r="C2959" s="18">
        <f>IF(OR(B2959&lt;&gt;AK2959,M2959&lt;&gt;L2959,O2959&lt;&gt;"",Q2959&lt;&gt;"",V2959&lt;&gt;1,Y2959&lt;&gt;"",AT2959&lt;&gt;""),"수정","원본")</f>
        <v/>
      </c>
      <c r="D2959" s="18" t="n">
        <v>941</v>
      </c>
      <c r="E2959" s="18" t="inlineStr">
        <is>
          <t>찌리비크</t>
        </is>
      </c>
      <c r="F2959" s="18" t="inlineStr">
        <is>
          <t>kilowattrel</t>
        </is>
      </c>
      <c r="G2959" s="18" t="inlineStr">
        <is>
          <t>kilowattrel</t>
        </is>
      </c>
      <c r="H2959" s="18" t="inlineStr"/>
      <c r="I2959" s="18" t="n">
        <v>9</v>
      </c>
      <c r="J2959" s="18" t="n"/>
      <c r="K2959" s="18" t="n">
        <v>9</v>
      </c>
      <c r="L2959" s="18" t="inlineStr">
        <is>
          <t>cobbleventure:generation_9</t>
        </is>
      </c>
      <c r="M2959" s="19" t="inlineStr">
        <is>
          <t>cobbleventure:generation_9</t>
        </is>
      </c>
      <c r="N2959" s="18" t="inlineStr"/>
      <c r="O2959" s="19" t="inlineStr"/>
      <c r="P2959" s="18" t="inlineStr">
        <is>
          <t>#cobblemon:is_ocean; #cobblemon:is_sky</t>
        </is>
      </c>
      <c r="Q2959" s="19" t="inlineStr"/>
      <c r="R2959" s="18">
        <f>IF(Q2959="",P2959,Q2959)</f>
        <v/>
      </c>
      <c r="S2959" s="18" t="inlineStr">
        <is>
          <t>#cobblemon:is_freezing</t>
        </is>
      </c>
      <c r="T2959" s="18" t="inlineStr">
        <is>
          <t>uncommon</t>
        </is>
      </c>
      <c r="U2959" s="20" t="n">
        <v>0.96</v>
      </c>
      <c r="V2959" s="21" t="n">
        <v>1</v>
      </c>
      <c r="W2959" s="20">
        <f>IF(OR(U2959="",V2959=""),U2959,U2959*V2959)</f>
        <v/>
      </c>
      <c r="X2959" s="18" t="inlineStr">
        <is>
          <t>25-49</t>
        </is>
      </c>
      <c r="Y2959" s="19" t="inlineStr"/>
      <c r="Z2959" s="18">
        <f>IF(Y2959="",X2959,Y2959)</f>
        <v/>
      </c>
      <c r="AA2959" s="18" t="inlineStr">
        <is>
          <t>fishing</t>
        </is>
      </c>
      <c r="AB2959" s="18" t="inlineStr">
        <is>
          <t>day</t>
        </is>
      </c>
      <c r="AC2959" s="18" t="inlineStr"/>
      <c r="AD2959" s="18" t="inlineStr"/>
      <c r="AE2959" s="18" t="inlineStr">
        <is>
          <t>sky 8-15</t>
        </is>
      </c>
      <c r="AF2959" s="18" t="inlineStr"/>
      <c r="AG2959" s="18" t="inlineStr"/>
      <c r="AH2959" s="18" t="inlineStr"/>
      <c r="AI2959" s="18" t="inlineStr"/>
      <c r="AJ2959" s="18" t="inlineStr">
        <is>
          <t>COBBLEVERSE 수정</t>
        </is>
      </c>
      <c r="AK2959" s="18" t="inlineStr">
        <is>
          <t>사용</t>
        </is>
      </c>
      <c r="AL2959" s="18" t="inlineStr">
        <is>
          <t>COBBLEVERSE 1.7.42 / DP v31</t>
        </is>
      </c>
      <c r="AM2959" s="18" t="inlineStr">
        <is>
          <t>data/cobblemon/spawn_pool_world/0941_kilowattrel.json</t>
        </is>
      </c>
      <c r="AN2959" s="18" t="inlineStr">
        <is>
          <t>kilowattrel-5</t>
        </is>
      </c>
      <c r="AO2959" s="18" t="inlineStr">
        <is>
          <t>pokemon</t>
        </is>
      </c>
      <c r="AP2959" s="18" t="inlineStr"/>
      <c r="AQ2959" s="18" t="inlineStr">
        <is>
          <t>{"biomes":["#cobblemon:is_ocean","#cobblemon:is_sky"],"maxSkyLight":15,"minSkyLight":8,"timeRange":"day"}</t>
        </is>
      </c>
      <c r="AR2959" s="18" t="inlineStr">
        <is>
          <t>{"biomes":["#cobblemon:is_freezing"],"minLureLevel":1}</t>
        </is>
      </c>
      <c r="AS2959" s="18" t="inlineStr">
        <is>
          <t>{"weightMultiplier":{"condition":{"isThundering":true},"multiplier":5.0}}</t>
        </is>
      </c>
      <c r="AT2959" s="19" t="inlineStr"/>
    </row>
    <row r="2960" ht="32" customHeight="1">
      <c r="A2960" s="18" t="inlineStr">
        <is>
          <t>0941_kilowattrel.json::kilowattrel-6::005</t>
        </is>
      </c>
      <c r="B2960" s="19" t="inlineStr">
        <is>
          <t>사용</t>
        </is>
      </c>
      <c r="C2960" s="18">
        <f>IF(OR(B2960&lt;&gt;AK2960,M2960&lt;&gt;L2960,O2960&lt;&gt;"",Q2960&lt;&gt;"",V2960&lt;&gt;1,Y2960&lt;&gt;"",AT2960&lt;&gt;""),"수정","원본")</f>
        <v/>
      </c>
      <c r="D2960" s="18" t="n">
        <v>941</v>
      </c>
      <c r="E2960" s="18" t="inlineStr">
        <is>
          <t>찌리비크</t>
        </is>
      </c>
      <c r="F2960" s="18" t="inlineStr">
        <is>
          <t>kilowattrel</t>
        </is>
      </c>
      <c r="G2960" s="18" t="inlineStr">
        <is>
          <t>kilowattrel</t>
        </is>
      </c>
      <c r="H2960" s="18" t="inlineStr"/>
      <c r="I2960" s="18" t="n">
        <v>9</v>
      </c>
      <c r="J2960" s="18" t="n"/>
      <c r="K2960" s="18" t="n">
        <v>9</v>
      </c>
      <c r="L2960" s="18" t="inlineStr">
        <is>
          <t>cobbleventure:generation_9</t>
        </is>
      </c>
      <c r="M2960" s="19" t="inlineStr">
        <is>
          <t>cobbleventure:generation_9</t>
        </is>
      </c>
      <c r="N2960" s="18" t="inlineStr"/>
      <c r="O2960" s="19" t="inlineStr"/>
      <c r="P2960" s="18" t="inlineStr">
        <is>
          <t>#cobblemon:is_ocean; #cobblemon:is_sky</t>
        </is>
      </c>
      <c r="Q2960" s="19" t="inlineStr"/>
      <c r="R2960" s="18">
        <f>IF(Q2960="",P2960,Q2960)</f>
        <v/>
      </c>
      <c r="S2960" s="18" t="inlineStr">
        <is>
          <t>#cobblemon:is_freezing</t>
        </is>
      </c>
      <c r="T2960" s="18" t="inlineStr">
        <is>
          <t>common</t>
        </is>
      </c>
      <c r="U2960" s="20" t="n">
        <v>0.2</v>
      </c>
      <c r="V2960" s="21" t="n">
        <v>1</v>
      </c>
      <c r="W2960" s="20">
        <f>IF(OR(U2960="",V2960=""),U2960,U2960*V2960)</f>
        <v/>
      </c>
      <c r="X2960" s="18" t="inlineStr">
        <is>
          <t>25-49</t>
        </is>
      </c>
      <c r="Y2960" s="19" t="inlineStr"/>
      <c r="Z2960" s="18">
        <f>IF(Y2960="",X2960,Y2960)</f>
        <v/>
      </c>
      <c r="AA2960" s="18" t="inlineStr">
        <is>
          <t>fishing</t>
        </is>
      </c>
      <c r="AB2960" s="18" t="inlineStr">
        <is>
          <t>day</t>
        </is>
      </c>
      <c r="AC2960" s="18" t="inlineStr"/>
      <c r="AD2960" s="18" t="inlineStr"/>
      <c r="AE2960" s="18" t="inlineStr">
        <is>
          <t>sky 8-15</t>
        </is>
      </c>
      <c r="AF2960" s="18" t="inlineStr"/>
      <c r="AG2960" s="18" t="inlineStr"/>
      <c r="AH2960" s="18" t="inlineStr"/>
      <c r="AI2960" s="18" t="inlineStr">
        <is>
          <t>{"fishing":{"minLureLevel":1}}</t>
        </is>
      </c>
      <c r="AJ2960" s="18" t="inlineStr">
        <is>
          <t>COBBLEVERSE 수정</t>
        </is>
      </c>
      <c r="AK2960" s="18" t="inlineStr">
        <is>
          <t>사용</t>
        </is>
      </c>
      <c r="AL2960" s="18" t="inlineStr">
        <is>
          <t>COBBLEVERSE 1.7.42 / DP v31</t>
        </is>
      </c>
      <c r="AM2960" s="18" t="inlineStr">
        <is>
          <t>data/cobblemon/spawn_pool_world/0941_kilowattrel.json</t>
        </is>
      </c>
      <c r="AN2960" s="18" t="inlineStr">
        <is>
          <t>kilowattrel-6</t>
        </is>
      </c>
      <c r="AO2960" s="18" t="inlineStr">
        <is>
          <t>pokemon</t>
        </is>
      </c>
      <c r="AP2960" s="18" t="inlineStr"/>
      <c r="AQ2960" s="18" t="inlineStr">
        <is>
          <t>{"biomes":["#cobblemon:is_ocean","#cobblemon:is_sky"],"maxSkyLight":15,"minLureLevel":1,"minSkyLight":8,"timeRange":"day"}</t>
        </is>
      </c>
      <c r="AR2960" s="18" t="inlineStr">
        <is>
          <t>{"biomes":["#cobblemon:is_freezing"]}</t>
        </is>
      </c>
      <c r="AS2960" s="18" t="inlineStr">
        <is>
          <t>{"weightMultipliers":[{"condition":{"isThundering":true},"multiplier":5.0},{"condition":{"minLureLevel":3},"multiplier":3.0}]}</t>
        </is>
      </c>
      <c r="AT2960" s="19" t="inlineStr"/>
    </row>
    <row r="2961" ht="32" customHeight="1">
      <c r="A2961" s="18" t="inlineStr">
        <is>
          <t>0942_maschiff.json::maschiff-1::001</t>
        </is>
      </c>
      <c r="B2961" s="19" t="inlineStr">
        <is>
          <t>사용</t>
        </is>
      </c>
      <c r="C2961" s="18">
        <f>IF(OR(B2961&lt;&gt;AK2961,M2961&lt;&gt;L2961,O2961&lt;&gt;"",Q2961&lt;&gt;"",V2961&lt;&gt;1,Y2961&lt;&gt;"",AT2961&lt;&gt;""),"수정","원본")</f>
        <v/>
      </c>
      <c r="D2961" s="18" t="n">
        <v>942</v>
      </c>
      <c r="E2961" s="18" t="inlineStr">
        <is>
          <t>오라티프</t>
        </is>
      </c>
      <c r="F2961" s="18" t="inlineStr">
        <is>
          <t>maschiff</t>
        </is>
      </c>
      <c r="G2961" s="18" t="inlineStr">
        <is>
          <t>maschiff</t>
        </is>
      </c>
      <c r="H2961" s="18" t="inlineStr"/>
      <c r="I2961" s="18" t="n">
        <v>9</v>
      </c>
      <c r="J2961" s="18" t="n"/>
      <c r="K2961" s="18" t="n">
        <v>9</v>
      </c>
      <c r="L2961" s="18" t="inlineStr">
        <is>
          <t>cobbleventure:generation_9</t>
        </is>
      </c>
      <c r="M2961" s="19" t="inlineStr">
        <is>
          <t>cobbleventure:generation_9</t>
        </is>
      </c>
      <c r="N2961" s="18" t="inlineStr">
        <is>
          <t>region_01; region_02</t>
        </is>
      </c>
      <c r="O2961" s="19" t="inlineStr"/>
      <c r="P2961" s="18" t="inlineStr">
        <is>
          <t>#cobblemon:is_overworld</t>
        </is>
      </c>
      <c r="Q2961" s="19" t="inlineStr"/>
      <c r="R2961" s="18">
        <f>IF(Q2961="",P2961,Q2961)</f>
        <v/>
      </c>
      <c r="S2961" s="18" t="inlineStr"/>
      <c r="T2961" s="18" t="inlineStr">
        <is>
          <t>common</t>
        </is>
      </c>
      <c r="U2961" s="20" t="n">
        <v>4</v>
      </c>
      <c r="V2961" s="21" t="n">
        <v>1</v>
      </c>
      <c r="W2961" s="20">
        <f>IF(OR(U2961="",V2961=""),U2961,U2961*V2961)</f>
        <v/>
      </c>
      <c r="X2961" s="18" t="inlineStr">
        <is>
          <t>9-34</t>
        </is>
      </c>
      <c r="Y2961" s="19" t="inlineStr"/>
      <c r="Z2961" s="18">
        <f>IF(Y2961="",X2961,Y2961)</f>
        <v/>
      </c>
      <c r="AA2961" s="18" t="inlineStr">
        <is>
          <t>grounded</t>
        </is>
      </c>
      <c r="AB2961" s="18" t="inlineStr"/>
      <c r="AC2961" s="18" t="inlineStr"/>
      <c r="AD2961" s="18" t="inlineStr"/>
      <c r="AE2961" s="18" t="inlineStr">
        <is>
          <t>sky 8-15</t>
        </is>
      </c>
      <c r="AF2961" s="18" t="inlineStr"/>
      <c r="AG2961" s="18" t="inlineStr"/>
      <c r="AH2961" s="18" t="inlineStr"/>
      <c r="AI2961" s="18" t="inlineStr"/>
      <c r="AJ2961" s="18" t="inlineStr">
        <is>
          <t>COBBLEVERSE 수정</t>
        </is>
      </c>
      <c r="AK2961" s="18" t="inlineStr">
        <is>
          <t>사용</t>
        </is>
      </c>
      <c r="AL2961" s="18" t="inlineStr">
        <is>
          <t>COBBLEVERSE 1.7.42 / DP v31</t>
        </is>
      </c>
      <c r="AM2961" s="18" t="inlineStr">
        <is>
          <t>data/cobblemon/spawn_pool_world/0942_maschiff.json</t>
        </is>
      </c>
      <c r="AN2961" s="18" t="inlineStr">
        <is>
          <t>maschiff-1</t>
        </is>
      </c>
      <c r="AO2961" s="18" t="inlineStr">
        <is>
          <t>pokemon</t>
        </is>
      </c>
      <c r="AP2961" s="18" t="inlineStr">
        <is>
          <t>natural</t>
        </is>
      </c>
      <c r="AQ2961" s="18" t="inlineStr">
        <is>
          <t>{"biomes":["#cobblemon:is_overworld"],"maxSkyLight":15,"minSkyLight":8}</t>
        </is>
      </c>
      <c r="AR2961" s="18" t="inlineStr"/>
      <c r="AS2961" s="18" t="inlineStr"/>
      <c r="AT2961" s="19" t="inlineStr"/>
    </row>
    <row r="2962" ht="32" customHeight="1">
      <c r="A2962" s="18" t="inlineStr">
        <is>
          <t>0942_maschiff.json::maschiff-2::002</t>
        </is>
      </c>
      <c r="B2962" s="19" t="inlineStr">
        <is>
          <t>사용</t>
        </is>
      </c>
      <c r="C2962" s="18">
        <f>IF(OR(B2962&lt;&gt;AK2962,M2962&lt;&gt;L2962,O2962&lt;&gt;"",Q2962&lt;&gt;"",V2962&lt;&gt;1,Y2962&lt;&gt;"",AT2962&lt;&gt;""),"수정","원본")</f>
        <v/>
      </c>
      <c r="D2962" s="18" t="n">
        <v>942</v>
      </c>
      <c r="E2962" s="18" t="inlineStr">
        <is>
          <t>오라티프</t>
        </is>
      </c>
      <c r="F2962" s="18" t="inlineStr">
        <is>
          <t>maschiff</t>
        </is>
      </c>
      <c r="G2962" s="18" t="inlineStr">
        <is>
          <t>maschiff</t>
        </is>
      </c>
      <c r="H2962" s="18" t="inlineStr"/>
      <c r="I2962" s="18" t="n">
        <v>9</v>
      </c>
      <c r="J2962" s="18" t="n"/>
      <c r="K2962" s="18" t="n">
        <v>9</v>
      </c>
      <c r="L2962" s="18" t="inlineStr">
        <is>
          <t>cobbleventure:generation_9</t>
        </is>
      </c>
      <c r="M2962" s="19" t="inlineStr">
        <is>
          <t>cobbleventure:generation_9</t>
        </is>
      </c>
      <c r="N2962" s="18" t="inlineStr">
        <is>
          <t>region_01; region_02</t>
        </is>
      </c>
      <c r="O2962" s="19" t="inlineStr"/>
      <c r="P2962" s="18" t="inlineStr">
        <is>
          <t>#cobblemon:is_overworld</t>
        </is>
      </c>
      <c r="Q2962" s="19" t="inlineStr"/>
      <c r="R2962" s="18">
        <f>IF(Q2962="",P2962,Q2962)</f>
        <v/>
      </c>
      <c r="S2962" s="18" t="inlineStr"/>
      <c r="T2962" s="18" t="inlineStr">
        <is>
          <t>common</t>
        </is>
      </c>
      <c r="U2962" s="20" t="n">
        <v>5.4</v>
      </c>
      <c r="V2962" s="21" t="n">
        <v>1</v>
      </c>
      <c r="W2962" s="20">
        <f>IF(OR(U2962="",V2962=""),U2962,U2962*V2962)</f>
        <v/>
      </c>
      <c r="X2962" s="18" t="inlineStr">
        <is>
          <t>9-34</t>
        </is>
      </c>
      <c r="Y2962" s="19" t="inlineStr"/>
      <c r="Z2962" s="18">
        <f>IF(Y2962="",X2962,Y2962)</f>
        <v/>
      </c>
      <c r="AA2962" s="18" t="inlineStr">
        <is>
          <t>grounded</t>
        </is>
      </c>
      <c r="AB2962" s="18" t="inlineStr"/>
      <c r="AC2962" s="18" t="inlineStr"/>
      <c r="AD2962" s="18" t="inlineStr"/>
      <c r="AE2962" s="18" t="inlineStr">
        <is>
          <t>sky 8-15</t>
        </is>
      </c>
      <c r="AF2962" s="18" t="inlineStr"/>
      <c r="AG2962" s="18" t="inlineStr">
        <is>
          <t>#minecraft:village</t>
        </is>
      </c>
      <c r="AH2962" s="18" t="inlineStr"/>
      <c r="AI2962" s="18" t="inlineStr"/>
      <c r="AJ2962" s="18" t="inlineStr">
        <is>
          <t>COBBLEVERSE 수정</t>
        </is>
      </c>
      <c r="AK2962" s="18" t="inlineStr">
        <is>
          <t>사용</t>
        </is>
      </c>
      <c r="AL2962" s="18" t="inlineStr">
        <is>
          <t>COBBLEVERSE 1.7.42 / DP v31</t>
        </is>
      </c>
      <c r="AM2962" s="18" t="inlineStr">
        <is>
          <t>data/cobblemon/spawn_pool_world/0942_maschiff.json</t>
        </is>
      </c>
      <c r="AN2962" s="18" t="inlineStr">
        <is>
          <t>maschiff-2</t>
        </is>
      </c>
      <c r="AO2962" s="18" t="inlineStr">
        <is>
          <t>pokemon</t>
        </is>
      </c>
      <c r="AP2962" s="18" t="inlineStr">
        <is>
          <t>natural</t>
        </is>
      </c>
      <c r="AQ2962" s="18" t="inlineStr">
        <is>
          <t>{"biomes":["#cobblemon:is_overworld"],"maxSkyLight":15,"minSkyLight":8,"structures":["#minecraft:village"]}</t>
        </is>
      </c>
      <c r="AR2962" s="18" t="inlineStr"/>
      <c r="AS2962" s="18" t="inlineStr"/>
      <c r="AT2962" s="19" t="inlineStr"/>
    </row>
    <row r="2963" ht="32" customHeight="1">
      <c r="A2963" s="18" t="inlineStr">
        <is>
          <t>0942_maschiff.json::maschiff-3::003</t>
        </is>
      </c>
      <c r="B2963" s="19" t="inlineStr">
        <is>
          <t>사용</t>
        </is>
      </c>
      <c r="C2963" s="18">
        <f>IF(OR(B2963&lt;&gt;AK2963,M2963&lt;&gt;L2963,O2963&lt;&gt;"",Q2963&lt;&gt;"",V2963&lt;&gt;1,Y2963&lt;&gt;"",AT2963&lt;&gt;""),"수정","원본")</f>
        <v/>
      </c>
      <c r="D2963" s="18" t="n">
        <v>942</v>
      </c>
      <c r="E2963" s="18" t="inlineStr">
        <is>
          <t>오라티프</t>
        </is>
      </c>
      <c r="F2963" s="18" t="inlineStr">
        <is>
          <t>maschiff</t>
        </is>
      </c>
      <c r="G2963" s="18" t="inlineStr">
        <is>
          <t>maschiff</t>
        </is>
      </c>
      <c r="H2963" s="18" t="inlineStr"/>
      <c r="I2963" s="18" t="n">
        <v>9</v>
      </c>
      <c r="J2963" s="18" t="n"/>
      <c r="K2963" s="18" t="n">
        <v>9</v>
      </c>
      <c r="L2963" s="18" t="inlineStr">
        <is>
          <t>cobbleventure:generation_9</t>
        </is>
      </c>
      <c r="M2963" s="19" t="inlineStr">
        <is>
          <t>cobbleventure:generation_9</t>
        </is>
      </c>
      <c r="N2963" s="18" t="inlineStr">
        <is>
          <t>region_01; region_02</t>
        </is>
      </c>
      <c r="O2963" s="19" t="inlineStr"/>
      <c r="P2963" s="18" t="inlineStr">
        <is>
          <t>#cobblemon:is_overworld</t>
        </is>
      </c>
      <c r="Q2963" s="19" t="inlineStr"/>
      <c r="R2963" s="18">
        <f>IF(Q2963="",P2963,Q2963)</f>
        <v/>
      </c>
      <c r="S2963" s="18" t="inlineStr"/>
      <c r="T2963" s="18" t="inlineStr">
        <is>
          <t>common</t>
        </is>
      </c>
      <c r="U2963" s="20" t="n">
        <v>90</v>
      </c>
      <c r="V2963" s="21" t="n">
        <v>1</v>
      </c>
      <c r="W2963" s="20">
        <f>IF(OR(U2963="",V2963=""),U2963,U2963*V2963)</f>
        <v/>
      </c>
      <c r="X2963" s="18" t="inlineStr">
        <is>
          <t>9-34</t>
        </is>
      </c>
      <c r="Y2963" s="19" t="inlineStr"/>
      <c r="Z2963" s="18">
        <f>IF(Y2963="",X2963,Y2963)</f>
        <v/>
      </c>
      <c r="AA2963" s="18" t="inlineStr">
        <is>
          <t>grounded</t>
        </is>
      </c>
      <c r="AB2963" s="18" t="inlineStr"/>
      <c r="AC2963" s="18" t="inlineStr"/>
      <c r="AD2963" s="18" t="inlineStr"/>
      <c r="AE2963" s="18" t="inlineStr">
        <is>
          <t>sky 8-15</t>
        </is>
      </c>
      <c r="AF2963" s="18" t="inlineStr"/>
      <c r="AG2963" s="18" t="inlineStr"/>
      <c r="AH2963" s="18" t="inlineStr"/>
      <c r="AI2963" s="18" t="inlineStr"/>
      <c r="AJ2963" s="18" t="inlineStr">
        <is>
          <t>COBBLEVERSE 수정</t>
        </is>
      </c>
      <c r="AK2963" s="18" t="inlineStr">
        <is>
          <t>사용</t>
        </is>
      </c>
      <c r="AL2963" s="18" t="inlineStr">
        <is>
          <t>COBBLEVERSE 1.7.42 / DP v31</t>
        </is>
      </c>
      <c r="AM2963" s="18" t="inlineStr">
        <is>
          <t>data/cobblemon/spawn_pool_world/0942_maschiff.json</t>
        </is>
      </c>
      <c r="AN2963" s="18" t="inlineStr">
        <is>
          <t>maschiff-3</t>
        </is>
      </c>
      <c r="AO2963" s="18" t="inlineStr">
        <is>
          <t>pokemon</t>
        </is>
      </c>
      <c r="AP2963" s="18" t="inlineStr">
        <is>
          <t>natural; pillager_outpost</t>
        </is>
      </c>
      <c r="AQ2963" s="18" t="inlineStr">
        <is>
          <t>{"biomes":["#cobblemon:is_overworld"],"maxSkyLight":15,"minSkyLight":8}</t>
        </is>
      </c>
      <c r="AR2963" s="18" t="inlineStr"/>
      <c r="AS2963" s="18" t="inlineStr"/>
      <c r="AT2963" s="19" t="inlineStr"/>
    </row>
    <row r="2964" ht="32" customHeight="1">
      <c r="A2964" s="18" t="inlineStr">
        <is>
          <t>0942_maschiff.json::maschiff-4::004</t>
        </is>
      </c>
      <c r="B2964" s="19" t="inlineStr">
        <is>
          <t>사용</t>
        </is>
      </c>
      <c r="C2964" s="18">
        <f>IF(OR(B2964&lt;&gt;AK2964,M2964&lt;&gt;L2964,O2964&lt;&gt;"",Q2964&lt;&gt;"",V2964&lt;&gt;1,Y2964&lt;&gt;"",AT2964&lt;&gt;""),"수정","원본")</f>
        <v/>
      </c>
      <c r="D2964" s="18" t="n">
        <v>942</v>
      </c>
      <c r="E2964" s="18" t="inlineStr">
        <is>
          <t>오라티프</t>
        </is>
      </c>
      <c r="F2964" s="18" t="inlineStr">
        <is>
          <t>maschiff</t>
        </is>
      </c>
      <c r="G2964" s="18" t="inlineStr">
        <is>
          <t>maschiff</t>
        </is>
      </c>
      <c r="H2964" s="18" t="inlineStr"/>
      <c r="I2964" s="18" t="n">
        <v>9</v>
      </c>
      <c r="J2964" s="18" t="n"/>
      <c r="K2964" s="18" t="n">
        <v>9</v>
      </c>
      <c r="L2964" s="18" t="inlineStr">
        <is>
          <t>cobbleventure:generation_9</t>
        </is>
      </c>
      <c r="M2964" s="19" t="inlineStr">
        <is>
          <t>cobbleventure:generation_9</t>
        </is>
      </c>
      <c r="N2964" s="18" t="inlineStr">
        <is>
          <t>region_01; region_02</t>
        </is>
      </c>
      <c r="O2964" s="19" t="inlineStr"/>
      <c r="P2964" s="18" t="inlineStr">
        <is>
          <t>#cobblemon:is_overworld</t>
        </is>
      </c>
      <c r="Q2964" s="19" t="inlineStr"/>
      <c r="R2964" s="18">
        <f>IF(Q2964="",P2964,Q2964)</f>
        <v/>
      </c>
      <c r="S2964" s="18" t="inlineStr"/>
      <c r="T2964" s="18" t="inlineStr">
        <is>
          <t>common</t>
        </is>
      </c>
      <c r="U2964" s="20" t="n">
        <v>90</v>
      </c>
      <c r="V2964" s="21" t="n">
        <v>1</v>
      </c>
      <c r="W2964" s="20">
        <f>IF(OR(U2964="",V2964=""),U2964,U2964*V2964)</f>
        <v/>
      </c>
      <c r="X2964" s="18" t="inlineStr">
        <is>
          <t>9-34</t>
        </is>
      </c>
      <c r="Y2964" s="19" t="inlineStr"/>
      <c r="Z2964" s="18">
        <f>IF(Y2964="",X2964,Y2964)</f>
        <v/>
      </c>
      <c r="AA2964" s="18" t="inlineStr">
        <is>
          <t>grounded</t>
        </is>
      </c>
      <c r="AB2964" s="18" t="inlineStr"/>
      <c r="AC2964" s="18" t="inlineStr"/>
      <c r="AD2964" s="18" t="inlineStr"/>
      <c r="AE2964" s="18" t="inlineStr">
        <is>
          <t>sky 8-15</t>
        </is>
      </c>
      <c r="AF2964" s="18" t="inlineStr"/>
      <c r="AG2964" s="18" t="inlineStr"/>
      <c r="AH2964" s="18" t="inlineStr"/>
      <c r="AI2964" s="18" t="inlineStr"/>
      <c r="AJ2964" s="18" t="inlineStr">
        <is>
          <t>COBBLEVERSE 수정</t>
        </is>
      </c>
      <c r="AK2964" s="18" t="inlineStr">
        <is>
          <t>사용</t>
        </is>
      </c>
      <c r="AL2964" s="18" t="inlineStr">
        <is>
          <t>COBBLEVERSE 1.7.42 / DP v31</t>
        </is>
      </c>
      <c r="AM2964" s="18" t="inlineStr">
        <is>
          <t>data/cobblemon/spawn_pool_world/0942_maschiff.json</t>
        </is>
      </c>
      <c r="AN2964" s="18" t="inlineStr">
        <is>
          <t>maschiff-4</t>
        </is>
      </c>
      <c r="AO2964" s="18" t="inlineStr">
        <is>
          <t>pokemon</t>
        </is>
      </c>
      <c r="AP2964" s="18" t="inlineStr">
        <is>
          <t>natural; mansion</t>
        </is>
      </c>
      <c r="AQ2964" s="18" t="inlineStr">
        <is>
          <t>{"biomes":["#cobblemon:is_overworld"],"maxSkyLight":15,"minSkyLight":8}</t>
        </is>
      </c>
      <c r="AR2964" s="18" t="inlineStr"/>
      <c r="AS2964" s="18" t="inlineStr"/>
      <c r="AT2964" s="19" t="inlineStr"/>
    </row>
    <row r="2965" ht="32" customHeight="1">
      <c r="A2965" s="18" t="inlineStr">
        <is>
          <t>0943_mabosstiff.json::mabosstiff-1::001</t>
        </is>
      </c>
      <c r="B2965" s="19" t="inlineStr">
        <is>
          <t>사용</t>
        </is>
      </c>
      <c r="C2965" s="18">
        <f>IF(OR(B2965&lt;&gt;AK2965,M2965&lt;&gt;L2965,O2965&lt;&gt;"",Q2965&lt;&gt;"",V2965&lt;&gt;1,Y2965&lt;&gt;"",AT2965&lt;&gt;""),"수정","원본")</f>
        <v/>
      </c>
      <c r="D2965" s="18" t="n">
        <v>943</v>
      </c>
      <c r="E2965" s="18" t="inlineStr">
        <is>
          <t>마피티프</t>
        </is>
      </c>
      <c r="F2965" s="18" t="inlineStr">
        <is>
          <t>mabosstiff</t>
        </is>
      </c>
      <c r="G2965" s="18" t="inlineStr">
        <is>
          <t>mabosstiff</t>
        </is>
      </c>
      <c r="H2965" s="18" t="inlineStr"/>
      <c r="I2965" s="18" t="n">
        <v>9</v>
      </c>
      <c r="J2965" s="18" t="n"/>
      <c r="K2965" s="18" t="n">
        <v>9</v>
      </c>
      <c r="L2965" s="18" t="inlineStr">
        <is>
          <t>cobbleventure:generation_9</t>
        </is>
      </c>
      <c r="M2965" s="19" t="inlineStr">
        <is>
          <t>cobbleventure:generation_9</t>
        </is>
      </c>
      <c r="N2965" s="18" t="inlineStr">
        <is>
          <t>region_01; region_02</t>
        </is>
      </c>
      <c r="O2965" s="19" t="inlineStr"/>
      <c r="P2965" s="18" t="inlineStr">
        <is>
          <t>#cobblemon:is_overworld</t>
        </is>
      </c>
      <c r="Q2965" s="19" t="inlineStr"/>
      <c r="R2965" s="18">
        <f>IF(Q2965="",P2965,Q2965)</f>
        <v/>
      </c>
      <c r="S2965" s="18" t="inlineStr"/>
      <c r="T2965" s="18" t="inlineStr">
        <is>
          <t>common</t>
        </is>
      </c>
      <c r="U2965" s="20" t="n">
        <v>0.2</v>
      </c>
      <c r="V2965" s="21" t="n">
        <v>1</v>
      </c>
      <c r="W2965" s="20">
        <f>IF(OR(U2965="",V2965=""),U2965,U2965*V2965)</f>
        <v/>
      </c>
      <c r="X2965" s="18" t="inlineStr">
        <is>
          <t>30-51</t>
        </is>
      </c>
      <c r="Y2965" s="19" t="inlineStr"/>
      <c r="Z2965" s="18">
        <f>IF(Y2965="",X2965,Y2965)</f>
        <v/>
      </c>
      <c r="AA2965" s="18" t="inlineStr">
        <is>
          <t>grounded</t>
        </is>
      </c>
      <c r="AB2965" s="18" t="inlineStr"/>
      <c r="AC2965" s="18" t="inlineStr"/>
      <c r="AD2965" s="18" t="inlineStr"/>
      <c r="AE2965" s="18" t="inlineStr">
        <is>
          <t>sky 8-15</t>
        </is>
      </c>
      <c r="AF2965" s="18" t="inlineStr"/>
      <c r="AG2965" s="18" t="inlineStr"/>
      <c r="AH2965" s="18" t="inlineStr"/>
      <c r="AI2965" s="18" t="inlineStr"/>
      <c r="AJ2965" s="18" t="inlineStr">
        <is>
          <t>COBBLEVERSE 수정</t>
        </is>
      </c>
      <c r="AK2965" s="18" t="inlineStr">
        <is>
          <t>사용</t>
        </is>
      </c>
      <c r="AL2965" s="18" t="inlineStr">
        <is>
          <t>COBBLEVERSE 1.7.42 / DP v31</t>
        </is>
      </c>
      <c r="AM2965" s="18" t="inlineStr">
        <is>
          <t>data/cobblemon/spawn_pool_world/0943_mabosstiff.json</t>
        </is>
      </c>
      <c r="AN2965" s="18" t="inlineStr">
        <is>
          <t>mabosstiff-1</t>
        </is>
      </c>
      <c r="AO2965" s="18" t="inlineStr">
        <is>
          <t>pokemon</t>
        </is>
      </c>
      <c r="AP2965" s="18" t="inlineStr">
        <is>
          <t>natural</t>
        </is>
      </c>
      <c r="AQ2965" s="18" t="inlineStr">
        <is>
          <t>{"biomes":["#cobblemon:is_overworld"],"maxSkyLight":15,"minSkyLight":8}</t>
        </is>
      </c>
      <c r="AR2965" s="18" t="inlineStr"/>
      <c r="AS2965" s="18" t="inlineStr"/>
      <c r="AT2965" s="19" t="inlineStr"/>
    </row>
    <row r="2966" ht="32" customHeight="1">
      <c r="A2966" s="18" t="inlineStr">
        <is>
          <t>0943_mabosstiff.json::mabosstiff-2::002</t>
        </is>
      </c>
      <c r="B2966" s="19" t="inlineStr">
        <is>
          <t>사용</t>
        </is>
      </c>
      <c r="C2966" s="18">
        <f>IF(OR(B2966&lt;&gt;AK2966,M2966&lt;&gt;L2966,O2966&lt;&gt;"",Q2966&lt;&gt;"",V2966&lt;&gt;1,Y2966&lt;&gt;"",AT2966&lt;&gt;""),"수정","원본")</f>
        <v/>
      </c>
      <c r="D2966" s="18" t="n">
        <v>943</v>
      </c>
      <c r="E2966" s="18" t="inlineStr">
        <is>
          <t>마피티프</t>
        </is>
      </c>
      <c r="F2966" s="18" t="inlineStr">
        <is>
          <t>mabosstiff</t>
        </is>
      </c>
      <c r="G2966" s="18" t="inlineStr">
        <is>
          <t>mabosstiff</t>
        </is>
      </c>
      <c r="H2966" s="18" t="inlineStr"/>
      <c r="I2966" s="18" t="n">
        <v>9</v>
      </c>
      <c r="J2966" s="18" t="n"/>
      <c r="K2966" s="18" t="n">
        <v>9</v>
      </c>
      <c r="L2966" s="18" t="inlineStr">
        <is>
          <t>cobbleventure:generation_9</t>
        </is>
      </c>
      <c r="M2966" s="19" t="inlineStr">
        <is>
          <t>cobbleventure:generation_9</t>
        </is>
      </c>
      <c r="N2966" s="18" t="inlineStr">
        <is>
          <t>region_01; region_02</t>
        </is>
      </c>
      <c r="O2966" s="19" t="inlineStr"/>
      <c r="P2966" s="18" t="inlineStr">
        <is>
          <t>#cobblemon:is_overworld</t>
        </is>
      </c>
      <c r="Q2966" s="19" t="inlineStr"/>
      <c r="R2966" s="18">
        <f>IF(Q2966="",P2966,Q2966)</f>
        <v/>
      </c>
      <c r="S2966" s="18" t="inlineStr"/>
      <c r="T2966" s="18" t="inlineStr">
        <is>
          <t>common</t>
        </is>
      </c>
      <c r="U2966" s="20" t="n">
        <v>0.6</v>
      </c>
      <c r="V2966" s="21" t="n">
        <v>1</v>
      </c>
      <c r="W2966" s="20">
        <f>IF(OR(U2966="",V2966=""),U2966,U2966*V2966)</f>
        <v/>
      </c>
      <c r="X2966" s="18" t="inlineStr">
        <is>
          <t>30-51</t>
        </is>
      </c>
      <c r="Y2966" s="19" t="inlineStr"/>
      <c r="Z2966" s="18">
        <f>IF(Y2966="",X2966,Y2966)</f>
        <v/>
      </c>
      <c r="AA2966" s="18" t="inlineStr">
        <is>
          <t>grounded</t>
        </is>
      </c>
      <c r="AB2966" s="18" t="inlineStr"/>
      <c r="AC2966" s="18" t="inlineStr"/>
      <c r="AD2966" s="18" t="inlineStr"/>
      <c r="AE2966" s="18" t="inlineStr">
        <is>
          <t>sky 8-15</t>
        </is>
      </c>
      <c r="AF2966" s="18" t="inlineStr"/>
      <c r="AG2966" s="18" t="inlineStr">
        <is>
          <t>#minecraft:village</t>
        </is>
      </c>
      <c r="AH2966" s="18" t="inlineStr"/>
      <c r="AI2966" s="18" t="inlineStr"/>
      <c r="AJ2966" s="18" t="inlineStr">
        <is>
          <t>COBBLEVERSE 수정</t>
        </is>
      </c>
      <c r="AK2966" s="18" t="inlineStr">
        <is>
          <t>사용</t>
        </is>
      </c>
      <c r="AL2966" s="18" t="inlineStr">
        <is>
          <t>COBBLEVERSE 1.7.42 / DP v31</t>
        </is>
      </c>
      <c r="AM2966" s="18" t="inlineStr">
        <is>
          <t>data/cobblemon/spawn_pool_world/0943_mabosstiff.json</t>
        </is>
      </c>
      <c r="AN2966" s="18" t="inlineStr">
        <is>
          <t>mabosstiff-2</t>
        </is>
      </c>
      <c r="AO2966" s="18" t="inlineStr">
        <is>
          <t>pokemon</t>
        </is>
      </c>
      <c r="AP2966" s="18" t="inlineStr">
        <is>
          <t>natural</t>
        </is>
      </c>
      <c r="AQ2966" s="18" t="inlineStr">
        <is>
          <t>{"biomes":["#cobblemon:is_overworld"],"maxSkyLight":15,"minSkyLight":8,"structures":["#minecraft:village"]}</t>
        </is>
      </c>
      <c r="AR2966" s="18" t="inlineStr"/>
      <c r="AS2966" s="18" t="inlineStr"/>
      <c r="AT2966" s="19" t="inlineStr"/>
    </row>
    <row r="2967" ht="32" customHeight="1">
      <c r="A2967" s="18" t="inlineStr">
        <is>
          <t>0943_mabosstiff.json::mabosstiff-3::003</t>
        </is>
      </c>
      <c r="B2967" s="19" t="inlineStr">
        <is>
          <t>사용</t>
        </is>
      </c>
      <c r="C2967" s="18">
        <f>IF(OR(B2967&lt;&gt;AK2967,M2967&lt;&gt;L2967,O2967&lt;&gt;"",Q2967&lt;&gt;"",V2967&lt;&gt;1,Y2967&lt;&gt;"",AT2967&lt;&gt;""),"수정","원본")</f>
        <v/>
      </c>
      <c r="D2967" s="18" t="n">
        <v>943</v>
      </c>
      <c r="E2967" s="18" t="inlineStr">
        <is>
          <t>마피티프</t>
        </is>
      </c>
      <c r="F2967" s="18" t="inlineStr">
        <is>
          <t>mabosstiff</t>
        </is>
      </c>
      <c r="G2967" s="18" t="inlineStr">
        <is>
          <t>mabosstiff</t>
        </is>
      </c>
      <c r="H2967" s="18" t="inlineStr"/>
      <c r="I2967" s="18" t="n">
        <v>9</v>
      </c>
      <c r="J2967" s="18" t="n"/>
      <c r="K2967" s="18" t="n">
        <v>9</v>
      </c>
      <c r="L2967" s="18" t="inlineStr">
        <is>
          <t>cobbleventure:generation_9</t>
        </is>
      </c>
      <c r="M2967" s="19" t="inlineStr">
        <is>
          <t>cobbleventure:generation_9</t>
        </is>
      </c>
      <c r="N2967" s="18" t="inlineStr">
        <is>
          <t>region_01; region_02</t>
        </is>
      </c>
      <c r="O2967" s="19" t="inlineStr"/>
      <c r="P2967" s="18" t="inlineStr">
        <is>
          <t>#cobblemon:is_overworld</t>
        </is>
      </c>
      <c r="Q2967" s="19" t="inlineStr"/>
      <c r="R2967" s="18">
        <f>IF(Q2967="",P2967,Q2967)</f>
        <v/>
      </c>
      <c r="S2967" s="18" t="inlineStr"/>
      <c r="T2967" s="18" t="inlineStr">
        <is>
          <t>common</t>
        </is>
      </c>
      <c r="U2967" s="20" t="n">
        <v>10</v>
      </c>
      <c r="V2967" s="21" t="n">
        <v>1</v>
      </c>
      <c r="W2967" s="20">
        <f>IF(OR(U2967="",V2967=""),U2967,U2967*V2967)</f>
        <v/>
      </c>
      <c r="X2967" s="18" t="inlineStr">
        <is>
          <t>30-51</t>
        </is>
      </c>
      <c r="Y2967" s="19" t="inlineStr"/>
      <c r="Z2967" s="18">
        <f>IF(Y2967="",X2967,Y2967)</f>
        <v/>
      </c>
      <c r="AA2967" s="18" t="inlineStr">
        <is>
          <t>grounded</t>
        </is>
      </c>
      <c r="AB2967" s="18" t="inlineStr"/>
      <c r="AC2967" s="18" t="inlineStr"/>
      <c r="AD2967" s="18" t="inlineStr"/>
      <c r="AE2967" s="18" t="inlineStr">
        <is>
          <t>sky 8-15</t>
        </is>
      </c>
      <c r="AF2967" s="18" t="inlineStr"/>
      <c r="AG2967" s="18" t="inlineStr"/>
      <c r="AH2967" s="18" t="inlineStr"/>
      <c r="AI2967" s="18" t="inlineStr"/>
      <c r="AJ2967" s="18" t="inlineStr">
        <is>
          <t>COBBLEVERSE 수정</t>
        </is>
      </c>
      <c r="AK2967" s="18" t="inlineStr">
        <is>
          <t>사용</t>
        </is>
      </c>
      <c r="AL2967" s="18" t="inlineStr">
        <is>
          <t>COBBLEVERSE 1.7.42 / DP v31</t>
        </is>
      </c>
      <c r="AM2967" s="18" t="inlineStr">
        <is>
          <t>data/cobblemon/spawn_pool_world/0943_mabosstiff.json</t>
        </is>
      </c>
      <c r="AN2967" s="18" t="inlineStr">
        <is>
          <t>mabosstiff-3</t>
        </is>
      </c>
      <c r="AO2967" s="18" t="inlineStr">
        <is>
          <t>pokemon</t>
        </is>
      </c>
      <c r="AP2967" s="18" t="inlineStr">
        <is>
          <t>natural; pillager_outpost</t>
        </is>
      </c>
      <c r="AQ2967" s="18" t="inlineStr">
        <is>
          <t>{"biomes":["#cobblemon:is_overworld"],"maxSkyLight":15,"minSkyLight":8}</t>
        </is>
      </c>
      <c r="AR2967" s="18" t="inlineStr"/>
      <c r="AS2967" s="18" t="inlineStr"/>
      <c r="AT2967" s="19" t="inlineStr"/>
    </row>
    <row r="2968" ht="32" customHeight="1">
      <c r="A2968" s="18" t="inlineStr">
        <is>
          <t>0943_mabosstiff.json::mabosstiff-4::004</t>
        </is>
      </c>
      <c r="B2968" s="19" t="inlineStr">
        <is>
          <t>사용</t>
        </is>
      </c>
      <c r="C2968" s="18">
        <f>IF(OR(B2968&lt;&gt;AK2968,M2968&lt;&gt;L2968,O2968&lt;&gt;"",Q2968&lt;&gt;"",V2968&lt;&gt;1,Y2968&lt;&gt;"",AT2968&lt;&gt;""),"수정","원본")</f>
        <v/>
      </c>
      <c r="D2968" s="18" t="n">
        <v>943</v>
      </c>
      <c r="E2968" s="18" t="inlineStr">
        <is>
          <t>마피티프</t>
        </is>
      </c>
      <c r="F2968" s="18" t="inlineStr">
        <is>
          <t>mabosstiff</t>
        </is>
      </c>
      <c r="G2968" s="18" t="inlineStr">
        <is>
          <t>mabosstiff</t>
        </is>
      </c>
      <c r="H2968" s="18" t="inlineStr"/>
      <c r="I2968" s="18" t="n">
        <v>9</v>
      </c>
      <c r="J2968" s="18" t="n"/>
      <c r="K2968" s="18" t="n">
        <v>9</v>
      </c>
      <c r="L2968" s="18" t="inlineStr">
        <is>
          <t>cobbleventure:generation_9</t>
        </is>
      </c>
      <c r="M2968" s="19" t="inlineStr">
        <is>
          <t>cobbleventure:generation_9</t>
        </is>
      </c>
      <c r="N2968" s="18" t="inlineStr">
        <is>
          <t>region_01; region_02</t>
        </is>
      </c>
      <c r="O2968" s="19" t="inlineStr"/>
      <c r="P2968" s="18" t="inlineStr">
        <is>
          <t>#cobblemon:is_overworld</t>
        </is>
      </c>
      <c r="Q2968" s="19" t="inlineStr"/>
      <c r="R2968" s="18">
        <f>IF(Q2968="",P2968,Q2968)</f>
        <v/>
      </c>
      <c r="S2968" s="18" t="inlineStr"/>
      <c r="T2968" s="18" t="inlineStr">
        <is>
          <t>common</t>
        </is>
      </c>
      <c r="U2968" s="20" t="n">
        <v>10</v>
      </c>
      <c r="V2968" s="21" t="n">
        <v>1</v>
      </c>
      <c r="W2968" s="20">
        <f>IF(OR(U2968="",V2968=""),U2968,U2968*V2968)</f>
        <v/>
      </c>
      <c r="X2968" s="18" t="inlineStr">
        <is>
          <t>30-51</t>
        </is>
      </c>
      <c r="Y2968" s="19" t="inlineStr"/>
      <c r="Z2968" s="18">
        <f>IF(Y2968="",X2968,Y2968)</f>
        <v/>
      </c>
      <c r="AA2968" s="18" t="inlineStr">
        <is>
          <t>grounded</t>
        </is>
      </c>
      <c r="AB2968" s="18" t="inlineStr"/>
      <c r="AC2968" s="18" t="inlineStr"/>
      <c r="AD2968" s="18" t="inlineStr"/>
      <c r="AE2968" s="18" t="inlineStr">
        <is>
          <t>sky 8-15</t>
        </is>
      </c>
      <c r="AF2968" s="18" t="inlineStr"/>
      <c r="AG2968" s="18" t="inlineStr"/>
      <c r="AH2968" s="18" t="inlineStr"/>
      <c r="AI2968" s="18" t="inlineStr"/>
      <c r="AJ2968" s="18" t="inlineStr">
        <is>
          <t>COBBLEVERSE 수정</t>
        </is>
      </c>
      <c r="AK2968" s="18" t="inlineStr">
        <is>
          <t>사용</t>
        </is>
      </c>
      <c r="AL2968" s="18" t="inlineStr">
        <is>
          <t>COBBLEVERSE 1.7.42 / DP v31</t>
        </is>
      </c>
      <c r="AM2968" s="18" t="inlineStr">
        <is>
          <t>data/cobblemon/spawn_pool_world/0943_mabosstiff.json</t>
        </is>
      </c>
      <c r="AN2968" s="18" t="inlineStr">
        <is>
          <t>mabosstiff-4</t>
        </is>
      </c>
      <c r="AO2968" s="18" t="inlineStr">
        <is>
          <t>pokemon</t>
        </is>
      </c>
      <c r="AP2968" s="18" t="inlineStr">
        <is>
          <t>natural; mansion</t>
        </is>
      </c>
      <c r="AQ2968" s="18" t="inlineStr">
        <is>
          <t>{"biomes":["#cobblemon:is_overworld"],"maxSkyLight":15,"minSkyLight":8}</t>
        </is>
      </c>
      <c r="AR2968" s="18" t="inlineStr"/>
      <c r="AS2968" s="18" t="inlineStr"/>
      <c r="AT2968" s="19" t="inlineStr"/>
    </row>
    <row r="2969" ht="32" customHeight="1">
      <c r="A2969" s="18" t="inlineStr">
        <is>
          <t>0944_shroodle.json::shroodle-1::001</t>
        </is>
      </c>
      <c r="B2969" s="19" t="inlineStr">
        <is>
          <t>사용</t>
        </is>
      </c>
      <c r="C2969" s="18">
        <f>IF(OR(B2969&lt;&gt;AK2969,M2969&lt;&gt;L2969,O2969&lt;&gt;"",Q2969&lt;&gt;"",V2969&lt;&gt;1,Y2969&lt;&gt;"",AT2969&lt;&gt;""),"수정","원본")</f>
        <v/>
      </c>
      <c r="D2969" s="18" t="n">
        <v>944</v>
      </c>
      <c r="E2969" s="18" t="inlineStr">
        <is>
          <t>땃쭈르</t>
        </is>
      </c>
      <c r="F2969" s="18" t="inlineStr">
        <is>
          <t>shroodle</t>
        </is>
      </c>
      <c r="G2969" s="18" t="inlineStr">
        <is>
          <t>shroodle</t>
        </is>
      </c>
      <c r="H2969" s="18" t="inlineStr"/>
      <c r="I2969" s="18" t="n">
        <v>9</v>
      </c>
      <c r="J2969" s="18" t="n"/>
      <c r="K2969" s="18" t="n">
        <v>9</v>
      </c>
      <c r="L2969" s="18" t="inlineStr">
        <is>
          <t>cobbleventure:generation_9</t>
        </is>
      </c>
      <c r="M2969" s="19" t="inlineStr">
        <is>
          <t>cobbleventure:generation_9</t>
        </is>
      </c>
      <c r="N2969" s="18" t="inlineStr"/>
      <c r="O2969" s="19" t="inlineStr"/>
      <c r="P2969" s="18" t="inlineStr">
        <is>
          <t>#cobblemon:is_jungle; #cobblemon:is_tropical_island</t>
        </is>
      </c>
      <c r="Q2969" s="19" t="inlineStr"/>
      <c r="R2969" s="18">
        <f>IF(Q2969="",P2969,Q2969)</f>
        <v/>
      </c>
      <c r="S2969" s="18" t="inlineStr"/>
      <c r="T2969" s="18" t="inlineStr">
        <is>
          <t>common</t>
        </is>
      </c>
      <c r="U2969" s="20" t="n">
        <v>1.8</v>
      </c>
      <c r="V2969" s="21" t="n">
        <v>1</v>
      </c>
      <c r="W2969" s="20">
        <f>IF(OR(U2969="",V2969=""),U2969,U2969*V2969)</f>
        <v/>
      </c>
      <c r="X2969" s="18" t="inlineStr">
        <is>
          <t>4-29</t>
        </is>
      </c>
      <c r="Y2969" s="19" t="inlineStr"/>
      <c r="Z2969" s="18">
        <f>IF(Y2969="",X2969,Y2969)</f>
        <v/>
      </c>
      <c r="AA2969" s="18" t="inlineStr">
        <is>
          <t>grounded</t>
        </is>
      </c>
      <c r="AB2969" s="18" t="inlineStr">
        <is>
          <t>night</t>
        </is>
      </c>
      <c r="AC2969" s="18" t="inlineStr"/>
      <c r="AD2969" s="18" t="inlineStr"/>
      <c r="AE2969" s="18" t="inlineStr">
        <is>
          <t>sky 8-15</t>
        </is>
      </c>
      <c r="AF2969" s="18" t="inlineStr"/>
      <c r="AG2969" s="18" t="inlineStr"/>
      <c r="AH2969" s="18" t="inlineStr"/>
      <c r="AI2969" s="18" t="inlineStr"/>
      <c r="AJ2969" s="18" t="inlineStr">
        <is>
          <t>Cobblemon 동일</t>
        </is>
      </c>
      <c r="AK2969" s="18" t="inlineStr">
        <is>
          <t>사용</t>
        </is>
      </c>
      <c r="AL2969" s="18" t="inlineStr">
        <is>
          <t>COBBLEVERSE 1.7.42 / DP v31</t>
        </is>
      </c>
      <c r="AM2969" s="18" t="inlineStr">
        <is>
          <t>data/cobblemon/spawn_pool_world/0944_shroodle.json</t>
        </is>
      </c>
      <c r="AN2969" s="18" t="inlineStr">
        <is>
          <t>shroodle-1</t>
        </is>
      </c>
      <c r="AO2969" s="18" t="inlineStr">
        <is>
          <t>pokemon</t>
        </is>
      </c>
      <c r="AP2969" s="18" t="inlineStr">
        <is>
          <t>natural; treetop; wild</t>
        </is>
      </c>
      <c r="AQ2969" s="18" t="inlineStr">
        <is>
          <t>{"biomes":["#cobblemon:is_jungle","#cobblemon:is_tropical_island"],"maxSkyLight":15,"minSkyLight":8,"timeRange":"night"}</t>
        </is>
      </c>
      <c r="AR2969" s="18" t="inlineStr"/>
      <c r="AS2969" s="18" t="inlineStr"/>
      <c r="AT2969" s="19" t="inlineStr"/>
    </row>
    <row r="2970" ht="32" customHeight="1">
      <c r="A2970" s="18" t="inlineStr">
        <is>
          <t>0945_grafaiai.json::grafaiai-1::001</t>
        </is>
      </c>
      <c r="B2970" s="19" t="inlineStr">
        <is>
          <t>사용</t>
        </is>
      </c>
      <c r="C2970" s="18">
        <f>IF(OR(B2970&lt;&gt;AK2970,M2970&lt;&gt;L2970,O2970&lt;&gt;"",Q2970&lt;&gt;"",V2970&lt;&gt;1,Y2970&lt;&gt;"",AT2970&lt;&gt;""),"수정","원본")</f>
        <v/>
      </c>
      <c r="D2970" s="18" t="n">
        <v>945</v>
      </c>
      <c r="E2970" s="18" t="inlineStr">
        <is>
          <t>태깅구르</t>
        </is>
      </c>
      <c r="F2970" s="18" t="inlineStr">
        <is>
          <t>grafaiai</t>
        </is>
      </c>
      <c r="G2970" s="18" t="inlineStr">
        <is>
          <t>grafaiai</t>
        </is>
      </c>
      <c r="H2970" s="18" t="inlineStr"/>
      <c r="I2970" s="18" t="n">
        <v>9</v>
      </c>
      <c r="J2970" s="18" t="n"/>
      <c r="K2970" s="18" t="n">
        <v>9</v>
      </c>
      <c r="L2970" s="18" t="inlineStr">
        <is>
          <t>cobbleventure:generation_9</t>
        </is>
      </c>
      <c r="M2970" s="19" t="inlineStr">
        <is>
          <t>cobbleventure:generation_9</t>
        </is>
      </c>
      <c r="N2970" s="18" t="inlineStr"/>
      <c r="O2970" s="19" t="inlineStr"/>
      <c r="P2970" s="18" t="inlineStr">
        <is>
          <t>#cobblemon:is_jungle; #cobblemon:is_tropical_island</t>
        </is>
      </c>
      <c r="Q2970" s="19" t="inlineStr"/>
      <c r="R2970" s="18">
        <f>IF(Q2970="",P2970,Q2970)</f>
        <v/>
      </c>
      <c r="S2970" s="18" t="inlineStr"/>
      <c r="T2970" s="18" t="inlineStr">
        <is>
          <t>common</t>
        </is>
      </c>
      <c r="U2970" s="20" t="n">
        <v>0.2</v>
      </c>
      <c r="V2970" s="21" t="n">
        <v>1</v>
      </c>
      <c r="W2970" s="20">
        <f>IF(OR(U2970="",V2970=""),U2970,U2970*V2970)</f>
        <v/>
      </c>
      <c r="X2970" s="18" t="inlineStr">
        <is>
          <t>28-49</t>
        </is>
      </c>
      <c r="Y2970" s="19" t="inlineStr"/>
      <c r="Z2970" s="18">
        <f>IF(Y2970="",X2970,Y2970)</f>
        <v/>
      </c>
      <c r="AA2970" s="18" t="inlineStr">
        <is>
          <t>grounded</t>
        </is>
      </c>
      <c r="AB2970" s="18" t="inlineStr">
        <is>
          <t>night</t>
        </is>
      </c>
      <c r="AC2970" s="18" t="inlineStr"/>
      <c r="AD2970" s="18" t="inlineStr"/>
      <c r="AE2970" s="18" t="inlineStr">
        <is>
          <t>sky 8-15</t>
        </is>
      </c>
      <c r="AF2970" s="18" t="inlineStr"/>
      <c r="AG2970" s="18" t="inlineStr"/>
      <c r="AH2970" s="18" t="inlineStr"/>
      <c r="AI2970" s="18" t="inlineStr"/>
      <c r="AJ2970" s="18" t="inlineStr">
        <is>
          <t>Cobblemon 동일</t>
        </is>
      </c>
      <c r="AK2970" s="18" t="inlineStr">
        <is>
          <t>사용</t>
        </is>
      </c>
      <c r="AL2970" s="18" t="inlineStr">
        <is>
          <t>COBBLEVERSE 1.7.42 / DP v31</t>
        </is>
      </c>
      <c r="AM2970" s="18" t="inlineStr">
        <is>
          <t>data/cobblemon/spawn_pool_world/0945_grafaiai.json</t>
        </is>
      </c>
      <c r="AN2970" s="18" t="inlineStr">
        <is>
          <t>grafaiai-1</t>
        </is>
      </c>
      <c r="AO2970" s="18" t="inlineStr">
        <is>
          <t>pokemon</t>
        </is>
      </c>
      <c r="AP2970" s="18" t="inlineStr">
        <is>
          <t>natural; treetop; wild</t>
        </is>
      </c>
      <c r="AQ2970" s="18" t="inlineStr">
        <is>
          <t>{"biomes":["#cobblemon:is_jungle","#cobblemon:is_tropical_island"],"maxSkyLight":15,"minSkyLight":8,"timeRange":"night"}</t>
        </is>
      </c>
      <c r="AR2970" s="18" t="inlineStr"/>
      <c r="AS2970" s="18" t="inlineStr"/>
      <c r="AT2970" s="19" t="inlineStr"/>
    </row>
    <row r="2971" ht="32" customHeight="1">
      <c r="A2971" s="18" t="inlineStr">
        <is>
          <t>0946_bramblin.json::bramblin-1::001</t>
        </is>
      </c>
      <c r="B2971" s="19" t="inlineStr">
        <is>
          <t>사용</t>
        </is>
      </c>
      <c r="C2971" s="18">
        <f>IF(OR(B2971&lt;&gt;AK2971,M2971&lt;&gt;L2971,O2971&lt;&gt;"",Q2971&lt;&gt;"",V2971&lt;&gt;1,Y2971&lt;&gt;"",AT2971&lt;&gt;""),"수정","원본")</f>
        <v/>
      </c>
      <c r="D2971" s="18" t="n">
        <v>946</v>
      </c>
      <c r="E2971" s="18" t="inlineStr">
        <is>
          <t>그푸리</t>
        </is>
      </c>
      <c r="F2971" s="18" t="inlineStr">
        <is>
          <t>bramblin</t>
        </is>
      </c>
      <c r="G2971" s="18" t="inlineStr">
        <is>
          <t>bramblin</t>
        </is>
      </c>
      <c r="H2971" s="18" t="inlineStr"/>
      <c r="I2971" s="18" t="n">
        <v>9</v>
      </c>
      <c r="J2971" s="18" t="n"/>
      <c r="K2971" s="18" t="n">
        <v>9</v>
      </c>
      <c r="L2971" s="18" t="inlineStr">
        <is>
          <t>cobbleventure:generation_9</t>
        </is>
      </c>
      <c r="M2971" s="19" t="inlineStr">
        <is>
          <t>cobbleventure:generation_9</t>
        </is>
      </c>
      <c r="N2971" s="18" t="inlineStr">
        <is>
          <t>region_02</t>
        </is>
      </c>
      <c r="O2971" s="19" t="inlineStr"/>
      <c r="P2971" s="18" t="inlineStr">
        <is>
          <t>#cobblemon:is_badlands; #cobblemon:is_desert</t>
        </is>
      </c>
      <c r="Q2971" s="19" t="inlineStr"/>
      <c r="R2971" s="18">
        <f>IF(Q2971="",P2971,Q2971)</f>
        <v/>
      </c>
      <c r="S2971" s="18" t="inlineStr"/>
      <c r="T2971" s="18" t="inlineStr">
        <is>
          <t>common</t>
        </is>
      </c>
      <c r="U2971" s="20" t="n">
        <v>9</v>
      </c>
      <c r="V2971" s="21" t="n">
        <v>1</v>
      </c>
      <c r="W2971" s="20">
        <f>IF(OR(U2971="",V2971=""),U2971,U2971*V2971)</f>
        <v/>
      </c>
      <c r="X2971" s="18" t="inlineStr">
        <is>
          <t>3-28</t>
        </is>
      </c>
      <c r="Y2971" s="19" t="inlineStr"/>
      <c r="Z2971" s="18">
        <f>IF(Y2971="",X2971,Y2971)</f>
        <v/>
      </c>
      <c r="AA2971" s="18" t="inlineStr">
        <is>
          <t>grounded</t>
        </is>
      </c>
      <c r="AB2971" s="18" t="inlineStr"/>
      <c r="AC2971" s="18" t="inlineStr"/>
      <c r="AD2971" s="18" t="inlineStr"/>
      <c r="AE2971" s="18" t="inlineStr">
        <is>
          <t>sky 8-15</t>
        </is>
      </c>
      <c r="AF2971" s="18" t="inlineStr"/>
      <c r="AG2971" s="18" t="inlineStr"/>
      <c r="AH2971" s="18" t="inlineStr"/>
      <c r="AI2971" s="18" t="inlineStr"/>
      <c r="AJ2971" s="18" t="inlineStr">
        <is>
          <t>Cobblemon 동일</t>
        </is>
      </c>
      <c r="AK2971" s="18" t="inlineStr">
        <is>
          <t>사용</t>
        </is>
      </c>
      <c r="AL2971" s="18" t="inlineStr">
        <is>
          <t>COBBLEVERSE 1.7.42 / DP v31</t>
        </is>
      </c>
      <c r="AM2971" s="18" t="inlineStr">
        <is>
          <t>data/cobblemon/spawn_pool_world/0946_bramblin.json</t>
        </is>
      </c>
      <c r="AN2971" s="18" t="inlineStr">
        <is>
          <t>bramblin-1</t>
        </is>
      </c>
      <c r="AO2971" s="18" t="inlineStr">
        <is>
          <t>pokemon</t>
        </is>
      </c>
      <c r="AP2971" s="18" t="inlineStr">
        <is>
          <t>natural</t>
        </is>
      </c>
      <c r="AQ2971" s="18" t="inlineStr">
        <is>
          <t>{"biomes":["#cobblemon:is_badlands","#cobblemon:is_desert"],"maxSkyLight":15,"minSkyLight":8}</t>
        </is>
      </c>
      <c r="AR2971" s="18" t="inlineStr"/>
      <c r="AS2971" s="18" t="inlineStr">
        <is>
          <t>{"weightMultiplier":{"condition":{"timeRange":"night"},"multiplier":1.5}}</t>
        </is>
      </c>
      <c r="AT2971" s="19" t="inlineStr"/>
    </row>
    <row r="2972" ht="32" customHeight="1">
      <c r="A2972" s="18" t="inlineStr">
        <is>
          <t>0946_bramblin.json::bramblin-2::002</t>
        </is>
      </c>
      <c r="B2972" s="19" t="inlineStr">
        <is>
          <t>사용</t>
        </is>
      </c>
      <c r="C2972" s="18">
        <f>IF(OR(B2972&lt;&gt;AK2972,M2972&lt;&gt;L2972,O2972&lt;&gt;"",Q2972&lt;&gt;"",V2972&lt;&gt;1,Y2972&lt;&gt;"",AT2972&lt;&gt;""),"수정","원본")</f>
        <v/>
      </c>
      <c r="D2972" s="18" t="n">
        <v>946</v>
      </c>
      <c r="E2972" s="18" t="inlineStr">
        <is>
          <t>그푸리</t>
        </is>
      </c>
      <c r="F2972" s="18" t="inlineStr">
        <is>
          <t>bramblin</t>
        </is>
      </c>
      <c r="G2972" s="18" t="inlineStr">
        <is>
          <t>bramblin</t>
        </is>
      </c>
      <c r="H2972" s="18" t="inlineStr"/>
      <c r="I2972" s="18" t="n">
        <v>9</v>
      </c>
      <c r="J2972" s="18" t="n"/>
      <c r="K2972" s="18" t="n">
        <v>9</v>
      </c>
      <c r="L2972" s="18" t="inlineStr">
        <is>
          <t>cobbleventure:generation_9</t>
        </is>
      </c>
      <c r="M2972" s="19" t="inlineStr">
        <is>
          <t>cobbleventure:generation_9</t>
        </is>
      </c>
      <c r="N2972" s="18" t="inlineStr"/>
      <c r="O2972" s="19" t="inlineStr"/>
      <c r="P2972" s="18" t="inlineStr">
        <is>
          <t>#cobblemon:nether/is_desert</t>
        </is>
      </c>
      <c r="Q2972" s="19" t="inlineStr"/>
      <c r="R2972" s="18">
        <f>IF(Q2972="",P2972,Q2972)</f>
        <v/>
      </c>
      <c r="S2972" s="18" t="inlineStr"/>
      <c r="T2972" s="18" t="inlineStr">
        <is>
          <t>common</t>
        </is>
      </c>
      <c r="U2972" s="20" t="n">
        <v>9</v>
      </c>
      <c r="V2972" s="21" t="n">
        <v>1</v>
      </c>
      <c r="W2972" s="20">
        <f>IF(OR(U2972="",V2972=""),U2972,U2972*V2972)</f>
        <v/>
      </c>
      <c r="X2972" s="18" t="inlineStr">
        <is>
          <t>3-28</t>
        </is>
      </c>
      <c r="Y2972" s="19" t="inlineStr"/>
      <c r="Z2972" s="18">
        <f>IF(Y2972="",X2972,Y2972)</f>
        <v/>
      </c>
      <c r="AA2972" s="18" t="inlineStr">
        <is>
          <t>grounded</t>
        </is>
      </c>
      <c r="AB2972" s="18" t="inlineStr"/>
      <c r="AC2972" s="18" t="inlineStr"/>
      <c r="AD2972" s="18" t="inlineStr"/>
      <c r="AE2972" s="18" t="inlineStr"/>
      <c r="AF2972" s="18" t="inlineStr"/>
      <c r="AG2972" s="18" t="inlineStr"/>
      <c r="AH2972" s="18" t="inlineStr"/>
      <c r="AI2972" s="18" t="inlineStr"/>
      <c r="AJ2972" s="18" t="inlineStr">
        <is>
          <t>Cobblemon 동일</t>
        </is>
      </c>
      <c r="AK2972" s="18" t="inlineStr">
        <is>
          <t>사용</t>
        </is>
      </c>
      <c r="AL2972" s="18" t="inlineStr">
        <is>
          <t>COBBLEVERSE 1.7.42 / DP v31</t>
        </is>
      </c>
      <c r="AM2972" s="18" t="inlineStr">
        <is>
          <t>data/cobblemon/spawn_pool_world/0946_bramblin.json</t>
        </is>
      </c>
      <c r="AN2972" s="18" t="inlineStr">
        <is>
          <t>bramblin-2</t>
        </is>
      </c>
      <c r="AO2972" s="18" t="inlineStr">
        <is>
          <t>pokemon</t>
        </is>
      </c>
      <c r="AP2972" s="18" t="inlineStr">
        <is>
          <t>natural</t>
        </is>
      </c>
      <c r="AQ2972" s="18" t="inlineStr">
        <is>
          <t>{"biomes":["#cobblemon:nether/is_desert"]}</t>
        </is>
      </c>
      <c r="AR2972" s="18" t="inlineStr"/>
      <c r="AS2972" s="18" t="inlineStr"/>
      <c r="AT2972" s="19" t="inlineStr"/>
    </row>
    <row r="2973" ht="32" customHeight="1">
      <c r="A2973" s="18" t="inlineStr">
        <is>
          <t>0947_brambleghast.json::brambleghast-1::001</t>
        </is>
      </c>
      <c r="B2973" s="19" t="inlineStr">
        <is>
          <t>사용</t>
        </is>
      </c>
      <c r="C2973" s="18">
        <f>IF(OR(B2973&lt;&gt;AK2973,M2973&lt;&gt;L2973,O2973&lt;&gt;"",Q2973&lt;&gt;"",V2973&lt;&gt;1,Y2973&lt;&gt;"",AT2973&lt;&gt;""),"수정","원본")</f>
        <v/>
      </c>
      <c r="D2973" s="18" t="n">
        <v>947</v>
      </c>
      <c r="E2973" s="18" t="inlineStr">
        <is>
          <t>공푸리</t>
        </is>
      </c>
      <c r="F2973" s="18" t="inlineStr">
        <is>
          <t>brambleghast</t>
        </is>
      </c>
      <c r="G2973" s="18" t="inlineStr">
        <is>
          <t>brambleghast</t>
        </is>
      </c>
      <c r="H2973" s="18" t="inlineStr"/>
      <c r="I2973" s="18" t="n">
        <v>9</v>
      </c>
      <c r="J2973" s="18" t="n"/>
      <c r="K2973" s="18" t="n">
        <v>9</v>
      </c>
      <c r="L2973" s="18" t="inlineStr">
        <is>
          <t>cobbleventure:generation_9</t>
        </is>
      </c>
      <c r="M2973" s="19" t="inlineStr">
        <is>
          <t>cobbleventure:generation_9</t>
        </is>
      </c>
      <c r="N2973" s="18" t="inlineStr">
        <is>
          <t>region_02</t>
        </is>
      </c>
      <c r="O2973" s="19" t="inlineStr"/>
      <c r="P2973" s="18" t="inlineStr">
        <is>
          <t>#cobblemon:is_badlands; #cobblemon:is_desert</t>
        </is>
      </c>
      <c r="Q2973" s="19" t="inlineStr"/>
      <c r="R2973" s="18">
        <f>IF(Q2973="",P2973,Q2973)</f>
        <v/>
      </c>
      <c r="S2973" s="18" t="inlineStr"/>
      <c r="T2973" s="18" t="inlineStr">
        <is>
          <t>common</t>
        </is>
      </c>
      <c r="U2973" s="20" t="n">
        <v>1</v>
      </c>
      <c r="V2973" s="21" t="n">
        <v>1</v>
      </c>
      <c r="W2973" s="20">
        <f>IF(OR(U2973="",V2973=""),U2973,U2973*V2973)</f>
        <v/>
      </c>
      <c r="X2973" s="18" t="inlineStr">
        <is>
          <t>23-48</t>
        </is>
      </c>
      <c r="Y2973" s="19" t="inlineStr"/>
      <c r="Z2973" s="18">
        <f>IF(Y2973="",X2973,Y2973)</f>
        <v/>
      </c>
      <c r="AA2973" s="18" t="inlineStr">
        <is>
          <t>grounded</t>
        </is>
      </c>
      <c r="AB2973" s="18" t="inlineStr"/>
      <c r="AC2973" s="18" t="inlineStr"/>
      <c r="AD2973" s="18" t="inlineStr"/>
      <c r="AE2973" s="18" t="inlineStr">
        <is>
          <t>sky 8-15</t>
        </is>
      </c>
      <c r="AF2973" s="18" t="inlineStr"/>
      <c r="AG2973" s="18" t="inlineStr"/>
      <c r="AH2973" s="18" t="inlineStr"/>
      <c r="AI2973" s="18" t="inlineStr"/>
      <c r="AJ2973" s="18" t="inlineStr">
        <is>
          <t>Cobblemon 동일</t>
        </is>
      </c>
      <c r="AK2973" s="18" t="inlineStr">
        <is>
          <t>사용</t>
        </is>
      </c>
      <c r="AL2973" s="18" t="inlineStr">
        <is>
          <t>COBBLEVERSE 1.7.42 / DP v31</t>
        </is>
      </c>
      <c r="AM2973" s="18" t="inlineStr">
        <is>
          <t>data/cobblemon/spawn_pool_world/0947_brambleghast.json</t>
        </is>
      </c>
      <c r="AN2973" s="18" t="inlineStr">
        <is>
          <t>brambleghast-1</t>
        </is>
      </c>
      <c r="AO2973" s="18" t="inlineStr">
        <is>
          <t>pokemon</t>
        </is>
      </c>
      <c r="AP2973" s="18" t="inlineStr">
        <is>
          <t>natural</t>
        </is>
      </c>
      <c r="AQ2973" s="18" t="inlineStr">
        <is>
          <t>{"biomes":["#cobblemon:is_badlands","#cobblemon:is_desert"],"maxSkyLight":15,"minSkyLight":8}</t>
        </is>
      </c>
      <c r="AR2973" s="18" t="inlineStr"/>
      <c r="AS2973" s="18" t="inlineStr">
        <is>
          <t>{"weightMultiplier":{"condition":{"timeRange":"night"},"multiplier":1.5}}</t>
        </is>
      </c>
      <c r="AT2973" s="19" t="inlineStr"/>
    </row>
    <row r="2974" ht="32" customHeight="1">
      <c r="A2974" s="18" t="inlineStr">
        <is>
          <t>0947_brambleghast.json::brambleghast-2::002</t>
        </is>
      </c>
      <c r="B2974" s="19" t="inlineStr">
        <is>
          <t>사용</t>
        </is>
      </c>
      <c r="C2974" s="18">
        <f>IF(OR(B2974&lt;&gt;AK2974,M2974&lt;&gt;L2974,O2974&lt;&gt;"",Q2974&lt;&gt;"",V2974&lt;&gt;1,Y2974&lt;&gt;"",AT2974&lt;&gt;""),"수정","원본")</f>
        <v/>
      </c>
      <c r="D2974" s="18" t="n">
        <v>947</v>
      </c>
      <c r="E2974" s="18" t="inlineStr">
        <is>
          <t>공푸리</t>
        </is>
      </c>
      <c r="F2974" s="18" t="inlineStr">
        <is>
          <t>brambleghast</t>
        </is>
      </c>
      <c r="G2974" s="18" t="inlineStr">
        <is>
          <t>brambleghast</t>
        </is>
      </c>
      <c r="H2974" s="18" t="inlineStr"/>
      <c r="I2974" s="18" t="n">
        <v>9</v>
      </c>
      <c r="J2974" s="18" t="n"/>
      <c r="K2974" s="18" t="n">
        <v>9</v>
      </c>
      <c r="L2974" s="18" t="inlineStr">
        <is>
          <t>cobbleventure:generation_9</t>
        </is>
      </c>
      <c r="M2974" s="19" t="inlineStr">
        <is>
          <t>cobbleventure:generation_9</t>
        </is>
      </c>
      <c r="N2974" s="18" t="inlineStr"/>
      <c r="O2974" s="19" t="inlineStr"/>
      <c r="P2974" s="18" t="inlineStr">
        <is>
          <t>#cobblemon:nether/is_desert</t>
        </is>
      </c>
      <c r="Q2974" s="19" t="inlineStr"/>
      <c r="R2974" s="18">
        <f>IF(Q2974="",P2974,Q2974)</f>
        <v/>
      </c>
      <c r="S2974" s="18" t="inlineStr"/>
      <c r="T2974" s="18" t="inlineStr">
        <is>
          <t>common</t>
        </is>
      </c>
      <c r="U2974" s="20" t="n">
        <v>1</v>
      </c>
      <c r="V2974" s="21" t="n">
        <v>1</v>
      </c>
      <c r="W2974" s="20">
        <f>IF(OR(U2974="",V2974=""),U2974,U2974*V2974)</f>
        <v/>
      </c>
      <c r="X2974" s="18" t="inlineStr">
        <is>
          <t>23-48</t>
        </is>
      </c>
      <c r="Y2974" s="19" t="inlineStr"/>
      <c r="Z2974" s="18">
        <f>IF(Y2974="",X2974,Y2974)</f>
        <v/>
      </c>
      <c r="AA2974" s="18" t="inlineStr">
        <is>
          <t>grounded</t>
        </is>
      </c>
      <c r="AB2974" s="18" t="inlineStr"/>
      <c r="AC2974" s="18" t="inlineStr"/>
      <c r="AD2974" s="18" t="inlineStr"/>
      <c r="AE2974" s="18" t="inlineStr"/>
      <c r="AF2974" s="18" t="inlineStr"/>
      <c r="AG2974" s="18" t="inlineStr"/>
      <c r="AH2974" s="18" t="inlineStr"/>
      <c r="AI2974" s="18" t="inlineStr"/>
      <c r="AJ2974" s="18" t="inlineStr">
        <is>
          <t>Cobblemon 동일</t>
        </is>
      </c>
      <c r="AK2974" s="18" t="inlineStr">
        <is>
          <t>사용</t>
        </is>
      </c>
      <c r="AL2974" s="18" t="inlineStr">
        <is>
          <t>COBBLEVERSE 1.7.42 / DP v31</t>
        </is>
      </c>
      <c r="AM2974" s="18" t="inlineStr">
        <is>
          <t>data/cobblemon/spawn_pool_world/0947_brambleghast.json</t>
        </is>
      </c>
      <c r="AN2974" s="18" t="inlineStr">
        <is>
          <t>brambleghast-2</t>
        </is>
      </c>
      <c r="AO2974" s="18" t="inlineStr">
        <is>
          <t>pokemon</t>
        </is>
      </c>
      <c r="AP2974" s="18" t="inlineStr">
        <is>
          <t>natural</t>
        </is>
      </c>
      <c r="AQ2974" s="18" t="inlineStr">
        <is>
          <t>{"biomes":["#cobblemon:nether/is_desert"]}</t>
        </is>
      </c>
      <c r="AR2974" s="18" t="inlineStr"/>
      <c r="AS2974" s="18" t="inlineStr"/>
      <c r="AT2974" s="19" t="inlineStr"/>
    </row>
    <row r="2975" ht="32" customHeight="1">
      <c r="A2975" s="18" t="inlineStr">
        <is>
          <t>0948_toedscool.json::toedscool-1::001</t>
        </is>
      </c>
      <c r="B2975" s="19" t="inlineStr">
        <is>
          <t>사용</t>
        </is>
      </c>
      <c r="C2975" s="18">
        <f>IF(OR(B2975&lt;&gt;AK2975,M2975&lt;&gt;L2975,O2975&lt;&gt;"",Q2975&lt;&gt;"",V2975&lt;&gt;1,Y2975&lt;&gt;"",AT2975&lt;&gt;""),"수정","원본")</f>
        <v/>
      </c>
      <c r="D2975" s="18" t="n">
        <v>948</v>
      </c>
      <c r="E2975" s="18" t="inlineStr">
        <is>
          <t>들눈해</t>
        </is>
      </c>
      <c r="F2975" s="18" t="inlineStr">
        <is>
          <t>toedscool</t>
        </is>
      </c>
      <c r="G2975" s="18" t="inlineStr">
        <is>
          <t>toedscool</t>
        </is>
      </c>
      <c r="H2975" s="18" t="inlineStr"/>
      <c r="I2975" s="18" t="n">
        <v>9</v>
      </c>
      <c r="J2975" s="18" t="n"/>
      <c r="K2975" s="18" t="n">
        <v>9</v>
      </c>
      <c r="L2975" s="18" t="inlineStr">
        <is>
          <t>cobbleventure:generation_9</t>
        </is>
      </c>
      <c r="M2975" s="19" t="inlineStr">
        <is>
          <t>cobbleventure:generation_9</t>
        </is>
      </c>
      <c r="N2975" s="18" t="inlineStr"/>
      <c r="O2975" s="19" t="inlineStr"/>
      <c r="P2975" s="18" t="inlineStr">
        <is>
          <t>#cobblemon:is_savanna</t>
        </is>
      </c>
      <c r="Q2975" s="19" t="inlineStr"/>
      <c r="R2975" s="18">
        <f>IF(Q2975="",P2975,Q2975)</f>
        <v/>
      </c>
      <c r="S2975" s="18" t="inlineStr"/>
      <c r="T2975" s="18" t="inlineStr">
        <is>
          <t>common</t>
        </is>
      </c>
      <c r="U2975" s="20" t="n">
        <v>9</v>
      </c>
      <c r="V2975" s="21" t="n">
        <v>1</v>
      </c>
      <c r="W2975" s="20">
        <f>IF(OR(U2975="",V2975=""),U2975,U2975*V2975)</f>
        <v/>
      </c>
      <c r="X2975" s="18" t="inlineStr">
        <is>
          <t>9-34</t>
        </is>
      </c>
      <c r="Y2975" s="19" t="inlineStr"/>
      <c r="Z2975" s="18">
        <f>IF(Y2975="",X2975,Y2975)</f>
        <v/>
      </c>
      <c r="AA2975" s="18" t="inlineStr">
        <is>
          <t>grounded</t>
        </is>
      </c>
      <c r="AB2975" s="18" t="inlineStr"/>
      <c r="AC2975" s="18" t="inlineStr"/>
      <c r="AD2975" s="18" t="inlineStr"/>
      <c r="AE2975" s="18" t="inlineStr">
        <is>
          <t>sky 8-15</t>
        </is>
      </c>
      <c r="AF2975" s="18" t="inlineStr"/>
      <c r="AG2975" s="18" t="inlineStr"/>
      <c r="AH2975" s="18" t="inlineStr"/>
      <c r="AI2975" s="18" t="inlineStr"/>
      <c r="AJ2975" s="18" t="inlineStr">
        <is>
          <t>COBBLEVERSE 수정</t>
        </is>
      </c>
      <c r="AK2975" s="18" t="inlineStr">
        <is>
          <t>사용</t>
        </is>
      </c>
      <c r="AL2975" s="18" t="inlineStr">
        <is>
          <t>COBBLEVERSE 1.7.42 / DP v31</t>
        </is>
      </c>
      <c r="AM2975" s="18" t="inlineStr">
        <is>
          <t>data/cobblemon/spawn_pool_world/0948_toedscool.json</t>
        </is>
      </c>
      <c r="AN2975" s="18" t="inlineStr">
        <is>
          <t>toedscool-1</t>
        </is>
      </c>
      <c r="AO2975" s="18" t="inlineStr">
        <is>
          <t>pokemon</t>
        </is>
      </c>
      <c r="AP2975" s="18" t="inlineStr">
        <is>
          <t>natural; wild</t>
        </is>
      </c>
      <c r="AQ2975" s="18" t="inlineStr">
        <is>
          <t>{"biomes":["#cobblemon:is_savanna"],"maxSkyLight":15,"minSkyLight":8}</t>
        </is>
      </c>
      <c r="AR2975" s="18" t="inlineStr"/>
      <c r="AS2975" s="18" t="inlineStr"/>
      <c r="AT2975" s="19" t="inlineStr"/>
    </row>
    <row r="2976" ht="32" customHeight="1">
      <c r="A2976" s="18" t="inlineStr">
        <is>
          <t>0948_toedscool.json::toedscool-2::002</t>
        </is>
      </c>
      <c r="B2976" s="19" t="inlineStr">
        <is>
          <t>사용</t>
        </is>
      </c>
      <c r="C2976" s="18">
        <f>IF(OR(B2976&lt;&gt;AK2976,M2976&lt;&gt;L2976,O2976&lt;&gt;"",Q2976&lt;&gt;"",V2976&lt;&gt;1,Y2976&lt;&gt;"",AT2976&lt;&gt;""),"수정","원본")</f>
        <v/>
      </c>
      <c r="D2976" s="18" t="n">
        <v>948</v>
      </c>
      <c r="E2976" s="18" t="inlineStr">
        <is>
          <t>들눈해</t>
        </is>
      </c>
      <c r="F2976" s="18" t="inlineStr">
        <is>
          <t>toedscool</t>
        </is>
      </c>
      <c r="G2976" s="18" t="inlineStr">
        <is>
          <t>toedscool</t>
        </is>
      </c>
      <c r="H2976" s="18" t="inlineStr"/>
      <c r="I2976" s="18" t="n">
        <v>9</v>
      </c>
      <c r="J2976" s="18" t="n"/>
      <c r="K2976" s="18" t="n">
        <v>9</v>
      </c>
      <c r="L2976" s="18" t="inlineStr">
        <is>
          <t>cobbleventure:generation_9</t>
        </is>
      </c>
      <c r="M2976" s="19" t="inlineStr">
        <is>
          <t>cobbleventure:generation_9</t>
        </is>
      </c>
      <c r="N2976" s="18" t="inlineStr"/>
      <c r="O2976" s="19" t="inlineStr"/>
      <c r="P2976" s="18" t="inlineStr">
        <is>
          <t>#cobblemon:nether/is_fungus</t>
        </is>
      </c>
      <c r="Q2976" s="19" t="inlineStr"/>
      <c r="R2976" s="18">
        <f>IF(Q2976="",P2976,Q2976)</f>
        <v/>
      </c>
      <c r="S2976" s="18" t="inlineStr">
        <is>
          <t>#cobblemon:nether/is_warped</t>
        </is>
      </c>
      <c r="T2976" s="18" t="inlineStr">
        <is>
          <t>common</t>
        </is>
      </c>
      <c r="U2976" s="20" t="n">
        <v>5.4</v>
      </c>
      <c r="V2976" s="21" t="n">
        <v>1</v>
      </c>
      <c r="W2976" s="20">
        <f>IF(OR(U2976="",V2976=""),U2976,U2976*V2976)</f>
        <v/>
      </c>
      <c r="X2976" s="18" t="inlineStr">
        <is>
          <t>9-34</t>
        </is>
      </c>
      <c r="Y2976" s="19" t="inlineStr"/>
      <c r="Z2976" s="18">
        <f>IF(Y2976="",X2976,Y2976)</f>
        <v/>
      </c>
      <c r="AA2976" s="18" t="inlineStr">
        <is>
          <t>grounded</t>
        </is>
      </c>
      <c r="AB2976" s="18" t="inlineStr"/>
      <c r="AC2976" s="18" t="inlineStr"/>
      <c r="AD2976" s="18" t="inlineStr"/>
      <c r="AE2976" s="18" t="inlineStr"/>
      <c r="AF2976" s="18" t="inlineStr"/>
      <c r="AG2976" s="18" t="inlineStr"/>
      <c r="AH2976" s="18" t="inlineStr"/>
      <c r="AI2976" s="18" t="inlineStr"/>
      <c r="AJ2976" s="18" t="inlineStr">
        <is>
          <t>COBBLEVERSE 수정</t>
        </is>
      </c>
      <c r="AK2976" s="18" t="inlineStr">
        <is>
          <t>사용</t>
        </is>
      </c>
      <c r="AL2976" s="18" t="inlineStr">
        <is>
          <t>COBBLEVERSE 1.7.42 / DP v31</t>
        </is>
      </c>
      <c r="AM2976" s="18" t="inlineStr">
        <is>
          <t>data/cobblemon/spawn_pool_world/0948_toedscool.json</t>
        </is>
      </c>
      <c r="AN2976" s="18" t="inlineStr">
        <is>
          <t>toedscool-2</t>
        </is>
      </c>
      <c r="AO2976" s="18" t="inlineStr">
        <is>
          <t>pokemon</t>
        </is>
      </c>
      <c r="AP2976" s="18" t="inlineStr">
        <is>
          <t>natural; wild</t>
        </is>
      </c>
      <c r="AQ2976" s="18" t="inlineStr">
        <is>
          <t>{"biomes":["#cobblemon:nether/is_fungus"]}</t>
        </is>
      </c>
      <c r="AR2976" s="18" t="inlineStr">
        <is>
          <t>{"biomes":["#cobblemon:nether/is_warped"]}</t>
        </is>
      </c>
      <c r="AS2976" s="18" t="inlineStr"/>
      <c r="AT2976" s="19" t="inlineStr"/>
    </row>
    <row r="2977" ht="32" customHeight="1">
      <c r="A2977" s="18" t="inlineStr">
        <is>
          <t>0949_toedscruel.json::toedscruel-1::001</t>
        </is>
      </c>
      <c r="B2977" s="19" t="inlineStr">
        <is>
          <t>사용</t>
        </is>
      </c>
      <c r="C2977" s="18">
        <f>IF(OR(B2977&lt;&gt;AK2977,M2977&lt;&gt;L2977,O2977&lt;&gt;"",Q2977&lt;&gt;"",V2977&lt;&gt;1,Y2977&lt;&gt;"",AT2977&lt;&gt;""),"수정","원본")</f>
        <v/>
      </c>
      <c r="D2977" s="18" t="n">
        <v>949</v>
      </c>
      <c r="E2977" s="18" t="inlineStr">
        <is>
          <t>육파리</t>
        </is>
      </c>
      <c r="F2977" s="18" t="inlineStr">
        <is>
          <t>toedscruel</t>
        </is>
      </c>
      <c r="G2977" s="18" t="inlineStr">
        <is>
          <t>toedscruel</t>
        </is>
      </c>
      <c r="H2977" s="18" t="inlineStr"/>
      <c r="I2977" s="18" t="n">
        <v>9</v>
      </c>
      <c r="J2977" s="18" t="n"/>
      <c r="K2977" s="18" t="n">
        <v>9</v>
      </c>
      <c r="L2977" s="18" t="inlineStr">
        <is>
          <t>cobbleventure:generation_9</t>
        </is>
      </c>
      <c r="M2977" s="19" t="inlineStr">
        <is>
          <t>cobbleventure:generation_9</t>
        </is>
      </c>
      <c r="N2977" s="18" t="inlineStr"/>
      <c r="O2977" s="19" t="inlineStr"/>
      <c r="P2977" s="18" t="inlineStr">
        <is>
          <t>#cobblemon:is_savanna</t>
        </is>
      </c>
      <c r="Q2977" s="19" t="inlineStr"/>
      <c r="R2977" s="18">
        <f>IF(Q2977="",P2977,Q2977)</f>
        <v/>
      </c>
      <c r="S2977" s="18" t="inlineStr"/>
      <c r="T2977" s="18" t="inlineStr">
        <is>
          <t>common</t>
        </is>
      </c>
      <c r="U2977" s="20" t="n">
        <v>1</v>
      </c>
      <c r="V2977" s="21" t="n">
        <v>1</v>
      </c>
      <c r="W2977" s="20">
        <f>IF(OR(U2977="",V2977=""),U2977,U2977*V2977)</f>
        <v/>
      </c>
      <c r="X2977" s="18" t="inlineStr">
        <is>
          <t>30-52</t>
        </is>
      </c>
      <c r="Y2977" s="19" t="inlineStr"/>
      <c r="Z2977" s="18">
        <f>IF(Y2977="",X2977,Y2977)</f>
        <v/>
      </c>
      <c r="AA2977" s="18" t="inlineStr">
        <is>
          <t>grounded</t>
        </is>
      </c>
      <c r="AB2977" s="18" t="inlineStr"/>
      <c r="AC2977" s="18" t="inlineStr"/>
      <c r="AD2977" s="18" t="inlineStr"/>
      <c r="AE2977" s="18" t="inlineStr">
        <is>
          <t>sky 8-15</t>
        </is>
      </c>
      <c r="AF2977" s="18" t="inlineStr"/>
      <c r="AG2977" s="18" t="inlineStr"/>
      <c r="AH2977" s="18" t="inlineStr"/>
      <c r="AI2977" s="18" t="inlineStr"/>
      <c r="AJ2977" s="18" t="inlineStr">
        <is>
          <t>COBBLEVERSE 수정</t>
        </is>
      </c>
      <c r="AK2977" s="18" t="inlineStr">
        <is>
          <t>사용</t>
        </is>
      </c>
      <c r="AL2977" s="18" t="inlineStr">
        <is>
          <t>COBBLEVERSE 1.7.42 / DP v31</t>
        </is>
      </c>
      <c r="AM2977" s="18" t="inlineStr">
        <is>
          <t>data/cobblemon/spawn_pool_world/0949_toedscruel.json</t>
        </is>
      </c>
      <c r="AN2977" s="18" t="inlineStr">
        <is>
          <t>toedscruel-1</t>
        </is>
      </c>
      <c r="AO2977" s="18" t="inlineStr">
        <is>
          <t>pokemon</t>
        </is>
      </c>
      <c r="AP2977" s="18" t="inlineStr">
        <is>
          <t>natural; wild</t>
        </is>
      </c>
      <c r="AQ2977" s="18" t="inlineStr">
        <is>
          <t>{"biomes":["#cobblemon:is_savanna"],"maxSkyLight":15,"minSkyLight":8}</t>
        </is>
      </c>
      <c r="AR2977" s="18" t="inlineStr"/>
      <c r="AS2977" s="18" t="inlineStr"/>
      <c r="AT2977" s="19" t="inlineStr"/>
    </row>
    <row r="2978" ht="32" customHeight="1">
      <c r="A2978" s="18" t="inlineStr">
        <is>
          <t>0949_toedscruel.json::toedscruel-2::002</t>
        </is>
      </c>
      <c r="B2978" s="19" t="inlineStr">
        <is>
          <t>사용</t>
        </is>
      </c>
      <c r="C2978" s="18">
        <f>IF(OR(B2978&lt;&gt;AK2978,M2978&lt;&gt;L2978,O2978&lt;&gt;"",Q2978&lt;&gt;"",V2978&lt;&gt;1,Y2978&lt;&gt;"",AT2978&lt;&gt;""),"수정","원본")</f>
        <v/>
      </c>
      <c r="D2978" s="18" t="n">
        <v>949</v>
      </c>
      <c r="E2978" s="18" t="inlineStr">
        <is>
          <t>육파리</t>
        </is>
      </c>
      <c r="F2978" s="18" t="inlineStr">
        <is>
          <t>toedscruel</t>
        </is>
      </c>
      <c r="G2978" s="18" t="inlineStr">
        <is>
          <t>toedscruel</t>
        </is>
      </c>
      <c r="H2978" s="18" t="inlineStr"/>
      <c r="I2978" s="18" t="n">
        <v>9</v>
      </c>
      <c r="J2978" s="18" t="n"/>
      <c r="K2978" s="18" t="n">
        <v>9</v>
      </c>
      <c r="L2978" s="18" t="inlineStr">
        <is>
          <t>cobbleventure:generation_9</t>
        </is>
      </c>
      <c r="M2978" s="19" t="inlineStr">
        <is>
          <t>cobbleventure:generation_9</t>
        </is>
      </c>
      <c r="N2978" s="18" t="inlineStr"/>
      <c r="O2978" s="19" t="inlineStr"/>
      <c r="P2978" s="18" t="inlineStr">
        <is>
          <t>#cobblemon:nether/is_fungus</t>
        </is>
      </c>
      <c r="Q2978" s="19" t="inlineStr"/>
      <c r="R2978" s="18">
        <f>IF(Q2978="",P2978,Q2978)</f>
        <v/>
      </c>
      <c r="S2978" s="18" t="inlineStr">
        <is>
          <t>#cobblemon:nether/is_warped</t>
        </is>
      </c>
      <c r="T2978" s="18" t="inlineStr">
        <is>
          <t>common</t>
        </is>
      </c>
      <c r="U2978" s="20" t="n">
        <v>0.6</v>
      </c>
      <c r="V2978" s="21" t="n">
        <v>1</v>
      </c>
      <c r="W2978" s="20">
        <f>IF(OR(U2978="",V2978=""),U2978,U2978*V2978)</f>
        <v/>
      </c>
      <c r="X2978" s="18" t="inlineStr">
        <is>
          <t>30-52</t>
        </is>
      </c>
      <c r="Y2978" s="19" t="inlineStr"/>
      <c r="Z2978" s="18">
        <f>IF(Y2978="",X2978,Y2978)</f>
        <v/>
      </c>
      <c r="AA2978" s="18" t="inlineStr">
        <is>
          <t>grounded</t>
        </is>
      </c>
      <c r="AB2978" s="18" t="inlineStr"/>
      <c r="AC2978" s="18" t="inlineStr"/>
      <c r="AD2978" s="18" t="inlineStr"/>
      <c r="AE2978" s="18" t="inlineStr"/>
      <c r="AF2978" s="18" t="inlineStr"/>
      <c r="AG2978" s="18" t="inlineStr"/>
      <c r="AH2978" s="18" t="inlineStr"/>
      <c r="AI2978" s="18" t="inlineStr"/>
      <c r="AJ2978" s="18" t="inlineStr">
        <is>
          <t>COBBLEVERSE 수정</t>
        </is>
      </c>
      <c r="AK2978" s="18" t="inlineStr">
        <is>
          <t>사용</t>
        </is>
      </c>
      <c r="AL2978" s="18" t="inlineStr">
        <is>
          <t>COBBLEVERSE 1.7.42 / DP v31</t>
        </is>
      </c>
      <c r="AM2978" s="18" t="inlineStr">
        <is>
          <t>data/cobblemon/spawn_pool_world/0949_toedscruel.json</t>
        </is>
      </c>
      <c r="AN2978" s="18" t="inlineStr">
        <is>
          <t>toedscruel-2</t>
        </is>
      </c>
      <c r="AO2978" s="18" t="inlineStr">
        <is>
          <t>pokemon</t>
        </is>
      </c>
      <c r="AP2978" s="18" t="inlineStr">
        <is>
          <t>natural; wild</t>
        </is>
      </c>
      <c r="AQ2978" s="18" t="inlineStr">
        <is>
          <t>{"biomes":["#cobblemon:nether/is_fungus"]}</t>
        </is>
      </c>
      <c r="AR2978" s="18" t="inlineStr">
        <is>
          <t>{"biomes":["#cobblemon:nether/is_warped"]}</t>
        </is>
      </c>
      <c r="AS2978" s="18" t="inlineStr"/>
      <c r="AT2978" s="19" t="inlineStr"/>
    </row>
    <row r="2979" ht="32" customHeight="1">
      <c r="A2979" s="18" t="inlineStr">
        <is>
          <t>0950_klawf.json::klawf-1::001</t>
        </is>
      </c>
      <c r="B2979" s="19" t="inlineStr">
        <is>
          <t>사용</t>
        </is>
      </c>
      <c r="C2979" s="18">
        <f>IF(OR(B2979&lt;&gt;AK2979,M2979&lt;&gt;L2979,O2979&lt;&gt;"",Q2979&lt;&gt;"",V2979&lt;&gt;1,Y2979&lt;&gt;"",AT2979&lt;&gt;""),"수정","원본")</f>
        <v/>
      </c>
      <c r="D2979" s="18" t="n">
        <v>950</v>
      </c>
      <c r="E2979" s="18" t="inlineStr">
        <is>
          <t>절벼게</t>
        </is>
      </c>
      <c r="F2979" s="18" t="inlineStr">
        <is>
          <t>klawf</t>
        </is>
      </c>
      <c r="G2979" s="18" t="inlineStr">
        <is>
          <t>klawf</t>
        </is>
      </c>
      <c r="H2979" s="18" t="inlineStr"/>
      <c r="I2979" s="18" t="n">
        <v>9</v>
      </c>
      <c r="J2979" s="18" t="n"/>
      <c r="K2979" s="18" t="n">
        <v>9</v>
      </c>
      <c r="L2979" s="18" t="inlineStr">
        <is>
          <t>cobbleventure:generation_9</t>
        </is>
      </c>
      <c r="M2979" s="19" t="inlineStr">
        <is>
          <t>cobbleventure:generation_9</t>
        </is>
      </c>
      <c r="N2979" s="18" t="inlineStr"/>
      <c r="O2979" s="19" t="inlineStr"/>
      <c r="P2979" s="18" t="inlineStr">
        <is>
          <t>#cobblemon:is_badlands</t>
        </is>
      </c>
      <c r="Q2979" s="19" t="inlineStr"/>
      <c r="R2979" s="18">
        <f>IF(Q2979="",P2979,Q2979)</f>
        <v/>
      </c>
      <c r="S2979" s="18" t="inlineStr"/>
      <c r="T2979" s="18" t="inlineStr">
        <is>
          <t>uncommon</t>
        </is>
      </c>
      <c r="U2979" s="20" t="n">
        <v>10</v>
      </c>
      <c r="V2979" s="21" t="n">
        <v>1</v>
      </c>
      <c r="W2979" s="20">
        <f>IF(OR(U2979="",V2979=""),U2979,U2979*V2979)</f>
        <v/>
      </c>
      <c r="X2979" s="18" t="inlineStr">
        <is>
          <t>20-45</t>
        </is>
      </c>
      <c r="Y2979" s="19" t="inlineStr"/>
      <c r="Z2979" s="18">
        <f>IF(Y2979="",X2979,Y2979)</f>
        <v/>
      </c>
      <c r="AA2979" s="18" t="inlineStr">
        <is>
          <t>grounded</t>
        </is>
      </c>
      <c r="AB2979" s="18" t="inlineStr"/>
      <c r="AC2979" s="18" t="inlineStr"/>
      <c r="AD2979" s="18" t="inlineStr"/>
      <c r="AE2979" s="18" t="inlineStr">
        <is>
          <t>sky 8-15</t>
        </is>
      </c>
      <c r="AF2979" s="18" t="inlineStr"/>
      <c r="AG2979" s="18" t="inlineStr"/>
      <c r="AH2979" s="18" t="inlineStr"/>
      <c r="AI2979" s="18" t="inlineStr"/>
      <c r="AJ2979" s="18" t="inlineStr">
        <is>
          <t>Cobblemon 동일</t>
        </is>
      </c>
      <c r="AK2979" s="18" t="inlineStr">
        <is>
          <t>사용</t>
        </is>
      </c>
      <c r="AL2979" s="18" t="inlineStr">
        <is>
          <t>COBBLEVERSE 1.7.42 / DP v31</t>
        </is>
      </c>
      <c r="AM2979" s="18" t="inlineStr">
        <is>
          <t>data/cobblemon/spawn_pool_world/0950_klawf.json</t>
        </is>
      </c>
      <c r="AN2979" s="18" t="inlineStr">
        <is>
          <t>klawf-1</t>
        </is>
      </c>
      <c r="AO2979" s="18" t="inlineStr">
        <is>
          <t>pokemon</t>
        </is>
      </c>
      <c r="AP2979" s="18" t="inlineStr">
        <is>
          <t>natural; wild</t>
        </is>
      </c>
      <c r="AQ2979" s="18" t="inlineStr">
        <is>
          <t>{"biomes":["#cobblemon:is_badlands"],"maxSkyLight":15,"minSkyLight":8}</t>
        </is>
      </c>
      <c r="AR2979" s="18" t="inlineStr"/>
      <c r="AS2979" s="18" t="inlineStr"/>
      <c r="AT2979" s="19" t="inlineStr"/>
    </row>
    <row r="2980" ht="32" customHeight="1">
      <c r="A2980" s="18" t="inlineStr">
        <is>
          <t>0951_capsakid.json::capsakid-2::001</t>
        </is>
      </c>
      <c r="B2980" s="19" t="inlineStr">
        <is>
          <t>사용</t>
        </is>
      </c>
      <c r="C2980" s="18">
        <f>IF(OR(B2980&lt;&gt;AK2980,M2980&lt;&gt;L2980,O2980&lt;&gt;"",Q2980&lt;&gt;"",V2980&lt;&gt;1,Y2980&lt;&gt;"",AT2980&lt;&gt;""),"수정","원본")</f>
        <v/>
      </c>
      <c r="D2980" s="18" t="n">
        <v>951</v>
      </c>
      <c r="E2980" s="18" t="inlineStr">
        <is>
          <t>캡싸이</t>
        </is>
      </c>
      <c r="F2980" s="18" t="inlineStr">
        <is>
          <t>capsakid</t>
        </is>
      </c>
      <c r="G2980" s="18" t="inlineStr">
        <is>
          <t>capsakid</t>
        </is>
      </c>
      <c r="H2980" s="18" t="inlineStr"/>
      <c r="I2980" s="18" t="n">
        <v>9</v>
      </c>
      <c r="J2980" s="18" t="n"/>
      <c r="K2980" s="18" t="n">
        <v>9</v>
      </c>
      <c r="L2980" s="18" t="inlineStr">
        <is>
          <t>cobbleventure:generation_9</t>
        </is>
      </c>
      <c r="M2980" s="19" t="inlineStr">
        <is>
          <t>cobbleventure:generation_9</t>
        </is>
      </c>
      <c r="N2980" s="18" t="inlineStr"/>
      <c r="O2980" s="19" t="inlineStr"/>
      <c r="P2980" s="18" t="inlineStr">
        <is>
          <t>#cobblemon:nether/is_overgrowth</t>
        </is>
      </c>
      <c r="Q2980" s="19" t="inlineStr"/>
      <c r="R2980" s="18">
        <f>IF(Q2980="",P2980,Q2980)</f>
        <v/>
      </c>
      <c r="S2980" s="18" t="inlineStr"/>
      <c r="T2980" s="18" t="inlineStr">
        <is>
          <t>common</t>
        </is>
      </c>
      <c r="U2980" s="20" t="n">
        <v>5.7</v>
      </c>
      <c r="V2980" s="21" t="n">
        <v>1</v>
      </c>
      <c r="W2980" s="20">
        <f>IF(OR(U2980="",V2980=""),U2980,U2980*V2980)</f>
        <v/>
      </c>
      <c r="X2980" s="18" t="inlineStr">
        <is>
          <t>5-30</t>
        </is>
      </c>
      <c r="Y2980" s="19" t="inlineStr"/>
      <c r="Z2980" s="18">
        <f>IF(Y2980="",X2980,Y2980)</f>
        <v/>
      </c>
      <c r="AA2980" s="18" t="inlineStr">
        <is>
          <t>grounded</t>
        </is>
      </c>
      <c r="AB2980" s="18" t="inlineStr"/>
      <c r="AC2980" s="18" t="inlineStr"/>
      <c r="AD2980" s="18" t="inlineStr"/>
      <c r="AE2980" s="18" t="inlineStr"/>
      <c r="AF2980" s="18" t="inlineStr"/>
      <c r="AG2980" s="18" t="inlineStr"/>
      <c r="AH2980" s="18" t="inlineStr"/>
      <c r="AI2980" s="18" t="inlineStr"/>
      <c r="AJ2980" s="18" t="inlineStr">
        <is>
          <t>Cobblemon 동일</t>
        </is>
      </c>
      <c r="AK2980" s="18" t="inlineStr">
        <is>
          <t>사용</t>
        </is>
      </c>
      <c r="AL2980" s="18" t="inlineStr">
        <is>
          <t>COBBLEVERSE 1.7.42 / DP v31</t>
        </is>
      </c>
      <c r="AM2980" s="18" t="inlineStr">
        <is>
          <t>data/cobblemon/spawn_pool_world/0951_capsakid.json</t>
        </is>
      </c>
      <c r="AN2980" s="18" t="inlineStr">
        <is>
          <t>capsakid-2</t>
        </is>
      </c>
      <c r="AO2980" s="18" t="inlineStr">
        <is>
          <t>pokemon</t>
        </is>
      </c>
      <c r="AP2980" s="18" t="inlineStr">
        <is>
          <t>natural</t>
        </is>
      </c>
      <c r="AQ2980" s="18" t="inlineStr">
        <is>
          <t>{"biomes":["#cobblemon:nether/is_overgrowth"]}</t>
        </is>
      </c>
      <c r="AR2980" s="18" t="inlineStr"/>
      <c r="AS2980" s="18" t="inlineStr"/>
      <c r="AT2980" s="19" t="inlineStr"/>
    </row>
    <row r="2981" ht="32" customHeight="1">
      <c r="A2981" s="18" t="inlineStr">
        <is>
          <t>0951_capsakid.json::capsakid-1::002</t>
        </is>
      </c>
      <c r="B2981" s="19" t="inlineStr">
        <is>
          <t>사용</t>
        </is>
      </c>
      <c r="C2981" s="18">
        <f>IF(OR(B2981&lt;&gt;AK2981,M2981&lt;&gt;L2981,O2981&lt;&gt;"",Q2981&lt;&gt;"",V2981&lt;&gt;1,Y2981&lt;&gt;"",AT2981&lt;&gt;""),"수정","원본")</f>
        <v/>
      </c>
      <c r="D2981" s="18" t="n">
        <v>951</v>
      </c>
      <c r="E2981" s="18" t="inlineStr">
        <is>
          <t>캡싸이</t>
        </is>
      </c>
      <c r="F2981" s="18" t="inlineStr">
        <is>
          <t>capsakid</t>
        </is>
      </c>
      <c r="G2981" s="18" t="inlineStr">
        <is>
          <t>capsakid</t>
        </is>
      </c>
      <c r="H2981" s="18" t="inlineStr"/>
      <c r="I2981" s="18" t="n">
        <v>9</v>
      </c>
      <c r="J2981" s="18" t="n"/>
      <c r="K2981" s="18" t="n">
        <v>9</v>
      </c>
      <c r="L2981" s="18" t="inlineStr">
        <is>
          <t>cobbleventure:generation_9</t>
        </is>
      </c>
      <c r="M2981" s="19" t="inlineStr">
        <is>
          <t>cobbleventure:generation_9</t>
        </is>
      </c>
      <c r="N2981" s="18" t="inlineStr">
        <is>
          <t>region_02</t>
        </is>
      </c>
      <c r="O2981" s="19" t="inlineStr"/>
      <c r="P2981" s="18" t="inlineStr">
        <is>
          <t>#cobblemon:is_arid</t>
        </is>
      </c>
      <c r="Q2981" s="19" t="inlineStr"/>
      <c r="R2981" s="18">
        <f>IF(Q2981="",P2981,Q2981)</f>
        <v/>
      </c>
      <c r="S2981" s="18" t="inlineStr"/>
      <c r="T2981" s="18" t="inlineStr">
        <is>
          <t>common</t>
        </is>
      </c>
      <c r="U2981" s="20" t="n">
        <v>1.9</v>
      </c>
      <c r="V2981" s="21" t="n">
        <v>1</v>
      </c>
      <c r="W2981" s="20">
        <f>IF(OR(U2981="",V2981=""),U2981,U2981*V2981)</f>
        <v/>
      </c>
      <c r="X2981" s="18" t="inlineStr">
        <is>
          <t>5-30</t>
        </is>
      </c>
      <c r="Y2981" s="19" t="inlineStr"/>
      <c r="Z2981" s="18">
        <f>IF(Y2981="",X2981,Y2981)</f>
        <v/>
      </c>
      <c r="AA2981" s="18" t="inlineStr">
        <is>
          <t>grounded</t>
        </is>
      </c>
      <c r="AB2981" s="18" t="inlineStr"/>
      <c r="AC2981" s="18" t="inlineStr"/>
      <c r="AD2981" s="18" t="inlineStr"/>
      <c r="AE2981" s="18" t="inlineStr">
        <is>
          <t>sky 8-15</t>
        </is>
      </c>
      <c r="AF2981" s="18" t="inlineStr"/>
      <c r="AG2981" s="18" t="inlineStr"/>
      <c r="AH2981" s="18" t="inlineStr"/>
      <c r="AI2981" s="18" t="inlineStr"/>
      <c r="AJ2981" s="18" t="inlineStr">
        <is>
          <t>Cobblemon 동일</t>
        </is>
      </c>
      <c r="AK2981" s="18" t="inlineStr">
        <is>
          <t>사용</t>
        </is>
      </c>
      <c r="AL2981" s="18" t="inlineStr">
        <is>
          <t>COBBLEVERSE 1.7.42 / DP v31</t>
        </is>
      </c>
      <c r="AM2981" s="18" t="inlineStr">
        <is>
          <t>data/cobblemon/spawn_pool_world/0951_capsakid.json</t>
        </is>
      </c>
      <c r="AN2981" s="18" t="inlineStr">
        <is>
          <t>capsakid-1</t>
        </is>
      </c>
      <c r="AO2981" s="18" t="inlineStr">
        <is>
          <t>pokemon</t>
        </is>
      </c>
      <c r="AP2981" s="18" t="inlineStr">
        <is>
          <t>natural</t>
        </is>
      </c>
      <c r="AQ2981" s="18" t="inlineStr">
        <is>
          <t>{"biomes":["#cobblemon:is_arid"],"maxSkyLight":15,"minSkyLight":8}</t>
        </is>
      </c>
      <c r="AR2981" s="18" t="inlineStr"/>
      <c r="AS2981" s="18" t="inlineStr"/>
      <c r="AT2981" s="19" t="inlineStr"/>
    </row>
    <row r="2982" ht="32" customHeight="1">
      <c r="A2982" s="18" t="inlineStr">
        <is>
          <t>0952_scovillain.json::scovillain-2::001</t>
        </is>
      </c>
      <c r="B2982" s="19" t="inlineStr">
        <is>
          <t>사용</t>
        </is>
      </c>
      <c r="C2982" s="18">
        <f>IF(OR(B2982&lt;&gt;AK2982,M2982&lt;&gt;L2982,O2982&lt;&gt;"",Q2982&lt;&gt;"",V2982&lt;&gt;1,Y2982&lt;&gt;"",AT2982&lt;&gt;""),"수정","원본")</f>
        <v/>
      </c>
      <c r="D2982" s="18" t="n">
        <v>952</v>
      </c>
      <c r="E2982" s="18" t="inlineStr">
        <is>
          <t>스코빌런</t>
        </is>
      </c>
      <c r="F2982" s="18" t="inlineStr">
        <is>
          <t>scovillain</t>
        </is>
      </c>
      <c r="G2982" s="18" t="inlineStr">
        <is>
          <t>scovillain</t>
        </is>
      </c>
      <c r="H2982" s="18" t="inlineStr"/>
      <c r="I2982" s="18" t="n">
        <v>9</v>
      </c>
      <c r="J2982" s="18" t="n"/>
      <c r="K2982" s="18" t="n">
        <v>9</v>
      </c>
      <c r="L2982" s="18" t="inlineStr">
        <is>
          <t>cobbleventure:generation_9</t>
        </is>
      </c>
      <c r="M2982" s="19" t="inlineStr">
        <is>
          <t>cobbleventure:generation_9</t>
        </is>
      </c>
      <c r="N2982" s="18" t="inlineStr"/>
      <c r="O2982" s="19" t="inlineStr"/>
      <c r="P2982" s="18" t="inlineStr">
        <is>
          <t>#cobblemon:nether/is_overgrowth</t>
        </is>
      </c>
      <c r="Q2982" s="19" t="inlineStr"/>
      <c r="R2982" s="18">
        <f>IF(Q2982="",P2982,Q2982)</f>
        <v/>
      </c>
      <c r="S2982" s="18" t="inlineStr"/>
      <c r="T2982" s="18" t="inlineStr">
        <is>
          <t>common</t>
        </is>
      </c>
      <c r="U2982" s="20" t="n">
        <v>0.3</v>
      </c>
      <c r="V2982" s="21" t="n">
        <v>1</v>
      </c>
      <c r="W2982" s="20">
        <f>IF(OR(U2982="",V2982=""),U2982,U2982*V2982)</f>
        <v/>
      </c>
      <c r="X2982" s="18" t="inlineStr">
        <is>
          <t>25-49</t>
        </is>
      </c>
      <c r="Y2982" s="19" t="inlineStr"/>
      <c r="Z2982" s="18">
        <f>IF(Y2982="",X2982,Y2982)</f>
        <v/>
      </c>
      <c r="AA2982" s="18" t="inlineStr">
        <is>
          <t>grounded</t>
        </is>
      </c>
      <c r="AB2982" s="18" t="inlineStr"/>
      <c r="AC2982" s="18" t="inlineStr"/>
      <c r="AD2982" s="18" t="inlineStr"/>
      <c r="AE2982" s="18" t="inlineStr"/>
      <c r="AF2982" s="18" t="inlineStr"/>
      <c r="AG2982" s="18" t="inlineStr"/>
      <c r="AH2982" s="18" t="inlineStr"/>
      <c r="AI2982" s="18" t="inlineStr"/>
      <c r="AJ2982" s="18" t="inlineStr">
        <is>
          <t>Cobblemon 동일</t>
        </is>
      </c>
      <c r="AK2982" s="18" t="inlineStr">
        <is>
          <t>사용</t>
        </is>
      </c>
      <c r="AL2982" s="18" t="inlineStr">
        <is>
          <t>COBBLEVERSE 1.7.42 / DP v31</t>
        </is>
      </c>
      <c r="AM2982" s="18" t="inlineStr">
        <is>
          <t>data/cobblemon/spawn_pool_world/0952_scovillain.json</t>
        </is>
      </c>
      <c r="AN2982" s="18" t="inlineStr">
        <is>
          <t>scovillain-2</t>
        </is>
      </c>
      <c r="AO2982" s="18" t="inlineStr">
        <is>
          <t>pokemon</t>
        </is>
      </c>
      <c r="AP2982" s="18" t="inlineStr">
        <is>
          <t>natural</t>
        </is>
      </c>
      <c r="AQ2982" s="18" t="inlineStr">
        <is>
          <t>{"biomes":["#cobblemon:nether/is_overgrowth"]}</t>
        </is>
      </c>
      <c r="AR2982" s="18" t="inlineStr"/>
      <c r="AS2982" s="18" t="inlineStr"/>
      <c r="AT2982" s="19" t="inlineStr"/>
    </row>
    <row r="2983" ht="32" customHeight="1">
      <c r="A2983" s="18" t="inlineStr">
        <is>
          <t>0952_scovillain.json::scovillain-1::002</t>
        </is>
      </c>
      <c r="B2983" s="19" t="inlineStr">
        <is>
          <t>사용</t>
        </is>
      </c>
      <c r="C2983" s="18">
        <f>IF(OR(B2983&lt;&gt;AK2983,M2983&lt;&gt;L2983,O2983&lt;&gt;"",Q2983&lt;&gt;"",V2983&lt;&gt;1,Y2983&lt;&gt;"",AT2983&lt;&gt;""),"수정","원본")</f>
        <v/>
      </c>
      <c r="D2983" s="18" t="n">
        <v>952</v>
      </c>
      <c r="E2983" s="18" t="inlineStr">
        <is>
          <t>스코빌런</t>
        </is>
      </c>
      <c r="F2983" s="18" t="inlineStr">
        <is>
          <t>scovillain</t>
        </is>
      </c>
      <c r="G2983" s="18" t="inlineStr">
        <is>
          <t>scovillain</t>
        </is>
      </c>
      <c r="H2983" s="18" t="inlineStr"/>
      <c r="I2983" s="18" t="n">
        <v>9</v>
      </c>
      <c r="J2983" s="18" t="n"/>
      <c r="K2983" s="18" t="n">
        <v>9</v>
      </c>
      <c r="L2983" s="18" t="inlineStr">
        <is>
          <t>cobbleventure:generation_9</t>
        </is>
      </c>
      <c r="M2983" s="19" t="inlineStr">
        <is>
          <t>cobbleventure:generation_9</t>
        </is>
      </c>
      <c r="N2983" s="18" t="inlineStr">
        <is>
          <t>region_02</t>
        </is>
      </c>
      <c r="O2983" s="19" t="inlineStr"/>
      <c r="P2983" s="18" t="inlineStr">
        <is>
          <t>#cobblemon:is_arid</t>
        </is>
      </c>
      <c r="Q2983" s="19" t="inlineStr"/>
      <c r="R2983" s="18">
        <f>IF(Q2983="",P2983,Q2983)</f>
        <v/>
      </c>
      <c r="S2983" s="18" t="inlineStr"/>
      <c r="T2983" s="18" t="inlineStr">
        <is>
          <t>common</t>
        </is>
      </c>
      <c r="U2983" s="20" t="n">
        <v>0.1</v>
      </c>
      <c r="V2983" s="21" t="n">
        <v>1</v>
      </c>
      <c r="W2983" s="20">
        <f>IF(OR(U2983="",V2983=""),U2983,U2983*V2983)</f>
        <v/>
      </c>
      <c r="X2983" s="18" t="inlineStr">
        <is>
          <t>25-49</t>
        </is>
      </c>
      <c r="Y2983" s="19" t="inlineStr"/>
      <c r="Z2983" s="18">
        <f>IF(Y2983="",X2983,Y2983)</f>
        <v/>
      </c>
      <c r="AA2983" s="18" t="inlineStr">
        <is>
          <t>grounded</t>
        </is>
      </c>
      <c r="AB2983" s="18" t="inlineStr"/>
      <c r="AC2983" s="18" t="inlineStr"/>
      <c r="AD2983" s="18" t="inlineStr"/>
      <c r="AE2983" s="18" t="inlineStr">
        <is>
          <t>sky 8-15</t>
        </is>
      </c>
      <c r="AF2983" s="18" t="inlineStr"/>
      <c r="AG2983" s="18" t="inlineStr"/>
      <c r="AH2983" s="18" t="inlineStr"/>
      <c r="AI2983" s="18" t="inlineStr"/>
      <c r="AJ2983" s="18" t="inlineStr">
        <is>
          <t>Cobblemon 동일</t>
        </is>
      </c>
      <c r="AK2983" s="18" t="inlineStr">
        <is>
          <t>사용</t>
        </is>
      </c>
      <c r="AL2983" s="18" t="inlineStr">
        <is>
          <t>COBBLEVERSE 1.7.42 / DP v31</t>
        </is>
      </c>
      <c r="AM2983" s="18" t="inlineStr">
        <is>
          <t>data/cobblemon/spawn_pool_world/0952_scovillain.json</t>
        </is>
      </c>
      <c r="AN2983" s="18" t="inlineStr">
        <is>
          <t>scovillain-1</t>
        </is>
      </c>
      <c r="AO2983" s="18" t="inlineStr">
        <is>
          <t>pokemon</t>
        </is>
      </c>
      <c r="AP2983" s="18" t="inlineStr">
        <is>
          <t>natural</t>
        </is>
      </c>
      <c r="AQ2983" s="18" t="inlineStr">
        <is>
          <t>{"biomes":["#cobblemon:is_arid"],"maxSkyLight":15,"minSkyLight":8}</t>
        </is>
      </c>
      <c r="AR2983" s="18" t="inlineStr"/>
      <c r="AS2983" s="18" t="inlineStr"/>
      <c r="AT2983" s="19" t="inlineStr"/>
    </row>
    <row r="2984" ht="32" customHeight="1">
      <c r="A2984" s="18" t="inlineStr">
        <is>
          <t>0953_rellor.json::rellor-1::001</t>
        </is>
      </c>
      <c r="B2984" s="19" t="inlineStr">
        <is>
          <t>사용</t>
        </is>
      </c>
      <c r="C2984" s="18">
        <f>IF(OR(B2984&lt;&gt;AK2984,M2984&lt;&gt;L2984,O2984&lt;&gt;"",Q2984&lt;&gt;"",V2984&lt;&gt;1,Y2984&lt;&gt;"",AT2984&lt;&gt;""),"수정","원본")</f>
        <v/>
      </c>
      <c r="D2984" s="18" t="n">
        <v>953</v>
      </c>
      <c r="E2984" s="18" t="inlineStr">
        <is>
          <t>구르데</t>
        </is>
      </c>
      <c r="F2984" s="18" t="inlineStr">
        <is>
          <t>rellor</t>
        </is>
      </c>
      <c r="G2984" s="18" t="inlineStr">
        <is>
          <t>rellor</t>
        </is>
      </c>
      <c r="H2984" s="18" t="inlineStr"/>
      <c r="I2984" s="18" t="n">
        <v>9</v>
      </c>
      <c r="J2984" s="18" t="n"/>
      <c r="K2984" s="18" t="n">
        <v>9</v>
      </c>
      <c r="L2984" s="18" t="inlineStr">
        <is>
          <t>cobbleventure:generation_9</t>
        </is>
      </c>
      <c r="M2984" s="19" t="inlineStr">
        <is>
          <t>cobbleventure:generation_9</t>
        </is>
      </c>
      <c r="N2984" s="18" t="inlineStr">
        <is>
          <t>region_02</t>
        </is>
      </c>
      <c r="O2984" s="19" t="inlineStr"/>
      <c r="P2984" s="18" t="inlineStr">
        <is>
          <t>#cobblemon:is_arid</t>
        </is>
      </c>
      <c r="Q2984" s="19" t="inlineStr"/>
      <c r="R2984" s="18">
        <f>IF(Q2984="",P2984,Q2984)</f>
        <v/>
      </c>
      <c r="S2984" s="18" t="inlineStr"/>
      <c r="T2984" s="18" t="inlineStr">
        <is>
          <t>common</t>
        </is>
      </c>
      <c r="U2984" s="20" t="n">
        <v>1.9</v>
      </c>
      <c r="V2984" s="21" t="n">
        <v>1</v>
      </c>
      <c r="W2984" s="20">
        <f>IF(OR(U2984="",V2984=""),U2984,U2984*V2984)</f>
        <v/>
      </c>
      <c r="X2984" s="18" t="inlineStr">
        <is>
          <t>2-27</t>
        </is>
      </c>
      <c r="Y2984" s="19" t="inlineStr"/>
      <c r="Z2984" s="18">
        <f>IF(Y2984="",X2984,Y2984)</f>
        <v/>
      </c>
      <c r="AA2984" s="18" t="inlineStr">
        <is>
          <t>grounded</t>
        </is>
      </c>
      <c r="AB2984" s="18" t="inlineStr"/>
      <c r="AC2984" s="18" t="inlineStr"/>
      <c r="AD2984" s="18" t="inlineStr"/>
      <c r="AE2984" s="18" t="inlineStr"/>
      <c r="AF2984" s="18" t="inlineStr"/>
      <c r="AG2984" s="18" t="inlineStr"/>
      <c r="AH2984" s="18" t="inlineStr"/>
      <c r="AI2984" s="18" t="inlineStr"/>
      <c r="AJ2984" s="18" t="inlineStr">
        <is>
          <t>Cobblemon 동일</t>
        </is>
      </c>
      <c r="AK2984" s="18" t="inlineStr">
        <is>
          <t>사용</t>
        </is>
      </c>
      <c r="AL2984" s="18" t="inlineStr">
        <is>
          <t>COBBLEVERSE 1.7.42 / DP v31</t>
        </is>
      </c>
      <c r="AM2984" s="18" t="inlineStr">
        <is>
          <t>data/cobblemon/spawn_pool_world/0953_rellor.json</t>
        </is>
      </c>
      <c r="AN2984" s="18" t="inlineStr">
        <is>
          <t>rellor-1</t>
        </is>
      </c>
      <c r="AO2984" s="18" t="inlineStr">
        <is>
          <t>pokemon</t>
        </is>
      </c>
      <c r="AP2984" s="18" t="inlineStr">
        <is>
          <t>natural; wild</t>
        </is>
      </c>
      <c r="AQ2984" s="18" t="inlineStr">
        <is>
          <t>{"biomes":["#cobblemon:is_arid"]}</t>
        </is>
      </c>
      <c r="AR2984" s="18" t="inlineStr"/>
      <c r="AS2984" s="18" t="inlineStr"/>
      <c r="AT2984" s="19" t="inlineStr"/>
    </row>
    <row r="2985" ht="32" customHeight="1">
      <c r="A2985" s="18" t="inlineStr">
        <is>
          <t>0954_rabsca.json::rabsca-1::001</t>
        </is>
      </c>
      <c r="B2985" s="19" t="inlineStr">
        <is>
          <t>사용</t>
        </is>
      </c>
      <c r="C2985" s="18">
        <f>IF(OR(B2985&lt;&gt;AK2985,M2985&lt;&gt;L2985,O2985&lt;&gt;"",Q2985&lt;&gt;"",V2985&lt;&gt;1,Y2985&lt;&gt;"",AT2985&lt;&gt;""),"수정","원본")</f>
        <v/>
      </c>
      <c r="D2985" s="18" t="n">
        <v>954</v>
      </c>
      <c r="E2985" s="18" t="inlineStr">
        <is>
          <t>베라카스</t>
        </is>
      </c>
      <c r="F2985" s="18" t="inlineStr">
        <is>
          <t>rabsca</t>
        </is>
      </c>
      <c r="G2985" s="18" t="inlineStr">
        <is>
          <t>rabsca</t>
        </is>
      </c>
      <c r="H2985" s="18" t="inlineStr"/>
      <c r="I2985" s="18" t="n">
        <v>9</v>
      </c>
      <c r="J2985" s="18" t="n"/>
      <c r="K2985" s="18" t="n">
        <v>9</v>
      </c>
      <c r="L2985" s="18" t="inlineStr">
        <is>
          <t>cobbleventure:generation_9</t>
        </is>
      </c>
      <c r="M2985" s="19" t="inlineStr">
        <is>
          <t>cobbleventure:generation_9</t>
        </is>
      </c>
      <c r="N2985" s="18" t="inlineStr">
        <is>
          <t>region_02</t>
        </is>
      </c>
      <c r="O2985" s="19" t="inlineStr"/>
      <c r="P2985" s="18" t="inlineStr">
        <is>
          <t>#cobblemon:is_arid</t>
        </is>
      </c>
      <c r="Q2985" s="19" t="inlineStr"/>
      <c r="R2985" s="18">
        <f>IF(Q2985="",P2985,Q2985)</f>
        <v/>
      </c>
      <c r="S2985" s="18" t="inlineStr"/>
      <c r="T2985" s="18" t="inlineStr">
        <is>
          <t>common</t>
        </is>
      </c>
      <c r="U2985" s="20" t="n">
        <v>0.1</v>
      </c>
      <c r="V2985" s="21" t="n">
        <v>1</v>
      </c>
      <c r="W2985" s="20">
        <f>IF(OR(U2985="",V2985=""),U2985,U2985*V2985)</f>
        <v/>
      </c>
      <c r="X2985" s="18" t="inlineStr">
        <is>
          <t>22-47</t>
        </is>
      </c>
      <c r="Y2985" s="19" t="inlineStr"/>
      <c r="Z2985" s="18">
        <f>IF(Y2985="",X2985,Y2985)</f>
        <v/>
      </c>
      <c r="AA2985" s="18" t="inlineStr">
        <is>
          <t>grounded</t>
        </is>
      </c>
      <c r="AB2985" s="18" t="inlineStr"/>
      <c r="AC2985" s="18" t="inlineStr"/>
      <c r="AD2985" s="18" t="inlineStr"/>
      <c r="AE2985" s="18" t="inlineStr"/>
      <c r="AF2985" s="18" t="inlineStr"/>
      <c r="AG2985" s="18" t="inlineStr"/>
      <c r="AH2985" s="18" t="inlineStr"/>
      <c r="AI2985" s="18" t="inlineStr"/>
      <c r="AJ2985" s="18" t="inlineStr">
        <is>
          <t>Cobblemon 동일</t>
        </is>
      </c>
      <c r="AK2985" s="18" t="inlineStr">
        <is>
          <t>사용</t>
        </is>
      </c>
      <c r="AL2985" s="18" t="inlineStr">
        <is>
          <t>COBBLEVERSE 1.7.42 / DP v31</t>
        </is>
      </c>
      <c r="AM2985" s="18" t="inlineStr">
        <is>
          <t>data/cobblemon/spawn_pool_world/0954_rabsca.json</t>
        </is>
      </c>
      <c r="AN2985" s="18" t="inlineStr">
        <is>
          <t>rabsca-1</t>
        </is>
      </c>
      <c r="AO2985" s="18" t="inlineStr">
        <is>
          <t>pokemon</t>
        </is>
      </c>
      <c r="AP2985" s="18" t="inlineStr">
        <is>
          <t>natural; wild</t>
        </is>
      </c>
      <c r="AQ2985" s="18" t="inlineStr">
        <is>
          <t>{"biomes":["#cobblemon:is_arid"]}</t>
        </is>
      </c>
      <c r="AR2985" s="18" t="inlineStr"/>
      <c r="AS2985" s="18" t="inlineStr"/>
      <c r="AT2985" s="19" t="inlineStr"/>
    </row>
    <row r="2986" ht="32" customHeight="1">
      <c r="A2986" s="18" t="inlineStr">
        <is>
          <t>0955_flittle.json::flittle-1::001</t>
        </is>
      </c>
      <c r="B2986" s="19" t="inlineStr">
        <is>
          <t>사용</t>
        </is>
      </c>
      <c r="C2986" s="18">
        <f>IF(OR(B2986&lt;&gt;AK2986,M2986&lt;&gt;L2986,O2986&lt;&gt;"",Q2986&lt;&gt;"",V2986&lt;&gt;1,Y2986&lt;&gt;"",AT2986&lt;&gt;""),"수정","원본")</f>
        <v/>
      </c>
      <c r="D2986" s="18" t="n">
        <v>955</v>
      </c>
      <c r="E2986" s="18" t="inlineStr">
        <is>
          <t>하느라기</t>
        </is>
      </c>
      <c r="F2986" s="18" t="inlineStr">
        <is>
          <t>flittle</t>
        </is>
      </c>
      <c r="G2986" s="18" t="inlineStr">
        <is>
          <t>flittle</t>
        </is>
      </c>
      <c r="H2986" s="18" t="inlineStr"/>
      <c r="I2986" s="18" t="n">
        <v>9</v>
      </c>
      <c r="J2986" s="18" t="n"/>
      <c r="K2986" s="18" t="n">
        <v>9</v>
      </c>
      <c r="L2986" s="18" t="inlineStr">
        <is>
          <t>cobbleventure:generation_9</t>
        </is>
      </c>
      <c r="M2986" s="19" t="inlineStr">
        <is>
          <t>cobbleventure:generation_9</t>
        </is>
      </c>
      <c r="N2986" s="18" t="inlineStr">
        <is>
          <t>region_02</t>
        </is>
      </c>
      <c r="O2986" s="19" t="inlineStr"/>
      <c r="P2986" s="18" t="inlineStr">
        <is>
          <t>#cobblemon:is_arid</t>
        </is>
      </c>
      <c r="Q2986" s="19" t="inlineStr"/>
      <c r="R2986" s="18">
        <f>IF(Q2986="",P2986,Q2986)</f>
        <v/>
      </c>
      <c r="S2986" s="18" t="inlineStr"/>
      <c r="T2986" s="18" t="inlineStr">
        <is>
          <t>uncommon</t>
        </is>
      </c>
      <c r="U2986" s="20" t="n">
        <v>5.04</v>
      </c>
      <c r="V2986" s="21" t="n">
        <v>1</v>
      </c>
      <c r="W2986" s="20">
        <f>IF(OR(U2986="",V2986=""),U2986,U2986*V2986)</f>
        <v/>
      </c>
      <c r="X2986" s="18" t="inlineStr">
        <is>
          <t>1-26</t>
        </is>
      </c>
      <c r="Y2986" s="19" t="inlineStr"/>
      <c r="Z2986" s="18">
        <f>IF(Y2986="",X2986,Y2986)</f>
        <v/>
      </c>
      <c r="AA2986" s="18" t="inlineStr">
        <is>
          <t>grounded</t>
        </is>
      </c>
      <c r="AB2986" s="18" t="inlineStr"/>
      <c r="AC2986" s="18" t="inlineStr"/>
      <c r="AD2986" s="18" t="inlineStr"/>
      <c r="AE2986" s="18" t="inlineStr">
        <is>
          <t>sky 8-15</t>
        </is>
      </c>
      <c r="AF2986" s="18" t="inlineStr"/>
      <c r="AG2986" s="18" t="inlineStr"/>
      <c r="AH2986" s="18" t="inlineStr"/>
      <c r="AI2986" s="18" t="inlineStr"/>
      <c r="AJ2986" s="18" t="inlineStr">
        <is>
          <t>Cobblemon 동일</t>
        </is>
      </c>
      <c r="AK2986" s="18" t="inlineStr">
        <is>
          <t>사용</t>
        </is>
      </c>
      <c r="AL2986" s="18" t="inlineStr">
        <is>
          <t>COBBLEVERSE 1.7.42 / DP v31</t>
        </is>
      </c>
      <c r="AM2986" s="18" t="inlineStr">
        <is>
          <t>data/cobblemon/spawn_pool_world/0955_flittle.json</t>
        </is>
      </c>
      <c r="AN2986" s="18" t="inlineStr">
        <is>
          <t>flittle-1</t>
        </is>
      </c>
      <c r="AO2986" s="18" t="inlineStr">
        <is>
          <t>pokemon</t>
        </is>
      </c>
      <c r="AP2986" s="18" t="inlineStr">
        <is>
          <t>natural; wild</t>
        </is>
      </c>
      <c r="AQ2986" s="18" t="inlineStr">
        <is>
          <t>{"biomes":["#cobblemon:is_arid"],"maxSkyLight":15,"minSkyLight":8}</t>
        </is>
      </c>
      <c r="AR2986" s="18" t="inlineStr"/>
      <c r="AS2986" s="18" t="inlineStr">
        <is>
          <t>{"weightMultiplier":{"condition":{"timeRange":"night"},"multiplier":0.25}}</t>
        </is>
      </c>
      <c r="AT2986" s="19" t="inlineStr"/>
    </row>
    <row r="2987" ht="32" customHeight="1">
      <c r="A2987" s="18" t="inlineStr">
        <is>
          <t>0956_espathra.json::espathra-1::001</t>
        </is>
      </c>
      <c r="B2987" s="19" t="inlineStr">
        <is>
          <t>사용</t>
        </is>
      </c>
      <c r="C2987" s="18">
        <f>IF(OR(B2987&lt;&gt;AK2987,M2987&lt;&gt;L2987,O2987&lt;&gt;"",Q2987&lt;&gt;"",V2987&lt;&gt;1,Y2987&lt;&gt;"",AT2987&lt;&gt;""),"수정","원본")</f>
        <v/>
      </c>
      <c r="D2987" s="18" t="n">
        <v>956</v>
      </c>
      <c r="E2987" s="18" t="inlineStr">
        <is>
          <t>클레스퍼트라</t>
        </is>
      </c>
      <c r="F2987" s="18" t="inlineStr">
        <is>
          <t>espathra</t>
        </is>
      </c>
      <c r="G2987" s="18" t="inlineStr">
        <is>
          <t>espathra</t>
        </is>
      </c>
      <c r="H2987" s="18" t="inlineStr"/>
      <c r="I2987" s="18" t="n">
        <v>9</v>
      </c>
      <c r="J2987" s="18" t="n"/>
      <c r="K2987" s="18" t="n">
        <v>9</v>
      </c>
      <c r="L2987" s="18" t="inlineStr">
        <is>
          <t>cobbleventure:generation_9</t>
        </is>
      </c>
      <c r="M2987" s="19" t="inlineStr">
        <is>
          <t>cobbleventure:generation_9</t>
        </is>
      </c>
      <c r="N2987" s="18" t="inlineStr">
        <is>
          <t>region_02</t>
        </is>
      </c>
      <c r="O2987" s="19" t="inlineStr"/>
      <c r="P2987" s="18" t="inlineStr">
        <is>
          <t>#cobblemon:is_arid</t>
        </is>
      </c>
      <c r="Q2987" s="19" t="inlineStr"/>
      <c r="R2987" s="18">
        <f>IF(Q2987="",P2987,Q2987)</f>
        <v/>
      </c>
      <c r="S2987" s="18" t="inlineStr"/>
      <c r="T2987" s="18" t="inlineStr">
        <is>
          <t>uncommon</t>
        </is>
      </c>
      <c r="U2987" s="20" t="n">
        <v>0.96</v>
      </c>
      <c r="V2987" s="21" t="n">
        <v>1</v>
      </c>
      <c r="W2987" s="20">
        <f>IF(OR(U2987="",V2987=""),U2987,U2987*V2987)</f>
        <v/>
      </c>
      <c r="X2987" s="18" t="inlineStr">
        <is>
          <t>35-48</t>
        </is>
      </c>
      <c r="Y2987" s="19" t="inlineStr"/>
      <c r="Z2987" s="18">
        <f>IF(Y2987="",X2987,Y2987)</f>
        <v/>
      </c>
      <c r="AA2987" s="18" t="inlineStr">
        <is>
          <t>grounded</t>
        </is>
      </c>
      <c r="AB2987" s="18" t="inlineStr"/>
      <c r="AC2987" s="18" t="inlineStr"/>
      <c r="AD2987" s="18" t="inlineStr"/>
      <c r="AE2987" s="18" t="inlineStr">
        <is>
          <t>sky 8-15</t>
        </is>
      </c>
      <c r="AF2987" s="18" t="inlineStr"/>
      <c r="AG2987" s="18" t="inlineStr"/>
      <c r="AH2987" s="18" t="inlineStr"/>
      <c r="AI2987" s="18" t="inlineStr"/>
      <c r="AJ2987" s="18" t="inlineStr">
        <is>
          <t>Cobblemon 동일</t>
        </is>
      </c>
      <c r="AK2987" s="18" t="inlineStr">
        <is>
          <t>사용</t>
        </is>
      </c>
      <c r="AL2987" s="18" t="inlineStr">
        <is>
          <t>COBBLEVERSE 1.7.42 / DP v31</t>
        </is>
      </c>
      <c r="AM2987" s="18" t="inlineStr">
        <is>
          <t>data/cobblemon/spawn_pool_world/0956_espathra.json</t>
        </is>
      </c>
      <c r="AN2987" s="18" t="inlineStr">
        <is>
          <t>espathra-1</t>
        </is>
      </c>
      <c r="AO2987" s="18" t="inlineStr">
        <is>
          <t>pokemon</t>
        </is>
      </c>
      <c r="AP2987" s="18" t="inlineStr">
        <is>
          <t>natural; wild</t>
        </is>
      </c>
      <c r="AQ2987" s="18" t="inlineStr">
        <is>
          <t>{"biomes":["#cobblemon:is_arid"],"maxSkyLight":15,"minSkyLight":8}</t>
        </is>
      </c>
      <c r="AR2987" s="18" t="inlineStr"/>
      <c r="AS2987" s="18" t="inlineStr">
        <is>
          <t>{"weightMultiplier":{"condition":{"timeRange":"night"},"multiplier":0.25}}</t>
        </is>
      </c>
      <c r="AT2987" s="19" t="inlineStr"/>
    </row>
    <row r="2988" ht="32" customHeight="1">
      <c r="A2988" s="18" t="inlineStr">
        <is>
          <t>0957_tinkatink.json::tinkatink-1::001</t>
        </is>
      </c>
      <c r="B2988" s="19" t="inlineStr">
        <is>
          <t>사용</t>
        </is>
      </c>
      <c r="C2988" s="18">
        <f>IF(OR(B2988&lt;&gt;AK2988,M2988&lt;&gt;L2988,O2988&lt;&gt;"",Q2988&lt;&gt;"",V2988&lt;&gt;1,Y2988&lt;&gt;"",AT2988&lt;&gt;""),"수정","원본")</f>
        <v/>
      </c>
      <c r="D2988" s="18" t="n">
        <v>957</v>
      </c>
      <c r="E2988" s="18" t="inlineStr">
        <is>
          <t>어리짱</t>
        </is>
      </c>
      <c r="F2988" s="18" t="inlineStr">
        <is>
          <t>tinkatink</t>
        </is>
      </c>
      <c r="G2988" s="18" t="inlineStr">
        <is>
          <t>tinkatink</t>
        </is>
      </c>
      <c r="H2988" s="18" t="inlineStr"/>
      <c r="I2988" s="18" t="n">
        <v>9</v>
      </c>
      <c r="J2988" s="18" t="n"/>
      <c r="K2988" s="18" t="n">
        <v>9</v>
      </c>
      <c r="L2988" s="18" t="inlineStr">
        <is>
          <t>cobbleventure:generation_9</t>
        </is>
      </c>
      <c r="M2988" s="19" t="inlineStr">
        <is>
          <t>cobbleventure:generation_9</t>
        </is>
      </c>
      <c r="N2988" s="18" t="inlineStr">
        <is>
          <t>region_01; region_02</t>
        </is>
      </c>
      <c r="O2988" s="19" t="inlineStr"/>
      <c r="P2988" s="18" t="inlineStr">
        <is>
          <t>#cobblemon:is_overworld</t>
        </is>
      </c>
      <c r="Q2988" s="19" t="inlineStr"/>
      <c r="R2988" s="18">
        <f>IF(Q2988="",P2988,Q2988)</f>
        <v/>
      </c>
      <c r="S2988" s="18" t="inlineStr"/>
      <c r="T2988" s="18" t="inlineStr">
        <is>
          <t>common</t>
        </is>
      </c>
      <c r="U2988" s="20" t="n">
        <v>18</v>
      </c>
      <c r="V2988" s="21" t="n">
        <v>1</v>
      </c>
      <c r="W2988" s="20">
        <f>IF(OR(U2988="",V2988=""),U2988,U2988*V2988)</f>
        <v/>
      </c>
      <c r="X2988" s="18" t="inlineStr">
        <is>
          <t>5-30</t>
        </is>
      </c>
      <c r="Y2988" s="19" t="inlineStr"/>
      <c r="Z2988" s="18">
        <f>IF(Y2988="",X2988,Y2988)</f>
        <v/>
      </c>
      <c r="AA2988" s="18" t="inlineStr">
        <is>
          <t>grounded</t>
        </is>
      </c>
      <c r="AB2988" s="18" t="inlineStr"/>
      <c r="AC2988" s="18" t="inlineStr"/>
      <c r="AD2988" s="18" t="inlineStr"/>
      <c r="AE2988" s="18" t="inlineStr">
        <is>
          <t>sky 8-15</t>
        </is>
      </c>
      <c r="AF2988" s="18" t="inlineStr"/>
      <c r="AG2988" s="18" t="inlineStr">
        <is>
          <t>#cobblemon:ruin</t>
        </is>
      </c>
      <c r="AH2988" s="18" t="inlineStr"/>
      <c r="AI2988" s="18" t="inlineStr"/>
      <c r="AJ2988" s="18" t="inlineStr">
        <is>
          <t>Cobblemon 동일</t>
        </is>
      </c>
      <c r="AK2988" s="18" t="inlineStr">
        <is>
          <t>사용</t>
        </is>
      </c>
      <c r="AL2988" s="18" t="inlineStr">
        <is>
          <t>COBBLEVERSE 1.7.42 / DP v31</t>
        </is>
      </c>
      <c r="AM2988" s="18" t="inlineStr">
        <is>
          <t>data/cobblemon/spawn_pool_world/0957_tinkatink.json</t>
        </is>
      </c>
      <c r="AN2988" s="18" t="inlineStr">
        <is>
          <t>tinkatink-1</t>
        </is>
      </c>
      <c r="AO2988" s="18" t="inlineStr">
        <is>
          <t>pokemon</t>
        </is>
      </c>
      <c r="AP2988" s="18" t="inlineStr">
        <is>
          <t>natural; wild</t>
        </is>
      </c>
      <c r="AQ2988" s="18" t="inlineStr">
        <is>
          <t>{"biomes":["#cobblemon:is_overworld"],"maxSkyLight":15,"minSkyLight":8,"structures":["#cobblemon:ruin"]}</t>
        </is>
      </c>
      <c r="AR2988" s="18" t="inlineStr"/>
      <c r="AS2988" s="18" t="inlineStr"/>
      <c r="AT2988" s="19" t="inlineStr"/>
    </row>
    <row r="2989" ht="32" customHeight="1">
      <c r="A2989" s="18" t="inlineStr">
        <is>
          <t>0957_tinkatink.json::tinkatink-2::002</t>
        </is>
      </c>
      <c r="B2989" s="19" t="inlineStr">
        <is>
          <t>사용</t>
        </is>
      </c>
      <c r="C2989" s="18">
        <f>IF(OR(B2989&lt;&gt;AK2989,M2989&lt;&gt;L2989,O2989&lt;&gt;"",Q2989&lt;&gt;"",V2989&lt;&gt;1,Y2989&lt;&gt;"",AT2989&lt;&gt;""),"수정","원본")</f>
        <v/>
      </c>
      <c r="D2989" s="18" t="n">
        <v>957</v>
      </c>
      <c r="E2989" s="18" t="inlineStr">
        <is>
          <t>어리짱</t>
        </is>
      </c>
      <c r="F2989" s="18" t="inlineStr">
        <is>
          <t>tinkatink</t>
        </is>
      </c>
      <c r="G2989" s="18" t="inlineStr">
        <is>
          <t>tinkatink</t>
        </is>
      </c>
      <c r="H2989" s="18" t="inlineStr"/>
      <c r="I2989" s="18" t="n">
        <v>9</v>
      </c>
      <c r="J2989" s="18" t="n"/>
      <c r="K2989" s="18" t="n">
        <v>9</v>
      </c>
      <c r="L2989" s="18" t="inlineStr">
        <is>
          <t>cobbleventure:generation_9</t>
        </is>
      </c>
      <c r="M2989" s="19" t="inlineStr">
        <is>
          <t>cobbleventure:generation_9</t>
        </is>
      </c>
      <c r="N2989" s="18" t="inlineStr"/>
      <c r="O2989" s="19" t="inlineStr"/>
      <c r="P2989" s="18" t="inlineStr">
        <is>
          <t>#aether:is_aether</t>
        </is>
      </c>
      <c r="Q2989" s="19" t="inlineStr"/>
      <c r="R2989" s="18">
        <f>IF(Q2989="",P2989,Q2989)</f>
        <v/>
      </c>
      <c r="S2989" s="18" t="inlineStr"/>
      <c r="T2989" s="18" t="inlineStr">
        <is>
          <t>uncommon</t>
        </is>
      </c>
      <c r="U2989" s="20" t="n">
        <v>8.4</v>
      </c>
      <c r="V2989" s="21" t="n">
        <v>1</v>
      </c>
      <c r="W2989" s="20">
        <f>IF(OR(U2989="",V2989=""),U2989,U2989*V2989)</f>
        <v/>
      </c>
      <c r="X2989" s="18" t="inlineStr">
        <is>
          <t>5-30</t>
        </is>
      </c>
      <c r="Y2989" s="19" t="inlineStr"/>
      <c r="Z2989" s="18">
        <f>IF(Y2989="",X2989,Y2989)</f>
        <v/>
      </c>
      <c r="AA2989" s="18" t="inlineStr">
        <is>
          <t>grounded</t>
        </is>
      </c>
      <c r="AB2989" s="18" t="inlineStr"/>
      <c r="AC2989" s="18" t="inlineStr"/>
      <c r="AD2989" s="18" t="inlineStr"/>
      <c r="AE2989" s="18" t="inlineStr">
        <is>
          <t>sky 0-7</t>
        </is>
      </c>
      <c r="AF2989" s="18" t="inlineStr"/>
      <c r="AG2989" s="18" t="inlineStr">
        <is>
          <t>#aether:dungeons</t>
        </is>
      </c>
      <c r="AH2989" s="18" t="inlineStr"/>
      <c r="AI2989" s="18" t="inlineStr"/>
      <c r="AJ2989" s="18" t="inlineStr">
        <is>
          <t>Cobblemon 동일</t>
        </is>
      </c>
      <c r="AK2989" s="18" t="inlineStr">
        <is>
          <t>사용</t>
        </is>
      </c>
      <c r="AL2989" s="18" t="inlineStr">
        <is>
          <t>COBBLEVERSE 1.7.42 / DP v31</t>
        </is>
      </c>
      <c r="AM2989" s="18" t="inlineStr">
        <is>
          <t>data/cobblemon/spawn_pool_world/0957_tinkatink.json</t>
        </is>
      </c>
      <c r="AN2989" s="18" t="inlineStr">
        <is>
          <t>tinkatink-2</t>
        </is>
      </c>
      <c r="AO2989" s="18" t="inlineStr">
        <is>
          <t>pokemon</t>
        </is>
      </c>
      <c r="AP2989" s="18" t="inlineStr"/>
      <c r="AQ2989" s="18" t="inlineStr">
        <is>
          <t>{"biomes":["#aether:is_aether"],"maxSkyLight":7,"minSkyLight":0,"structures":["#aether:dungeons"]}</t>
        </is>
      </c>
      <c r="AR2989" s="18" t="inlineStr"/>
      <c r="AS2989" s="18" t="inlineStr"/>
      <c r="AT2989" s="19" t="inlineStr"/>
    </row>
    <row r="2990" ht="32" customHeight="1">
      <c r="A2990" s="18" t="inlineStr">
        <is>
          <t>0958_tinkatuff.json::tinkatuff-1::001</t>
        </is>
      </c>
      <c r="B2990" s="19" t="inlineStr">
        <is>
          <t>사용</t>
        </is>
      </c>
      <c r="C2990" s="18">
        <f>IF(OR(B2990&lt;&gt;AK2990,M2990&lt;&gt;L2990,O2990&lt;&gt;"",Q2990&lt;&gt;"",V2990&lt;&gt;1,Y2990&lt;&gt;"",AT2990&lt;&gt;""),"수정","원본")</f>
        <v/>
      </c>
      <c r="D2990" s="18" t="n">
        <v>958</v>
      </c>
      <c r="E2990" s="18" t="inlineStr">
        <is>
          <t>벼리짱</t>
        </is>
      </c>
      <c r="F2990" s="18" t="inlineStr">
        <is>
          <t>tinkatuff</t>
        </is>
      </c>
      <c r="G2990" s="18" t="inlineStr">
        <is>
          <t>tinkatuff</t>
        </is>
      </c>
      <c r="H2990" s="18" t="inlineStr"/>
      <c r="I2990" s="18" t="n">
        <v>9</v>
      </c>
      <c r="J2990" s="18" t="n"/>
      <c r="K2990" s="18" t="n">
        <v>9</v>
      </c>
      <c r="L2990" s="18" t="inlineStr">
        <is>
          <t>cobbleventure:generation_9</t>
        </is>
      </c>
      <c r="M2990" s="19" t="inlineStr">
        <is>
          <t>cobbleventure:generation_9</t>
        </is>
      </c>
      <c r="N2990" s="18" t="inlineStr">
        <is>
          <t>region_01; region_02</t>
        </is>
      </c>
      <c r="O2990" s="19" t="inlineStr"/>
      <c r="P2990" s="18" t="inlineStr">
        <is>
          <t>#cobblemon:is_overworld</t>
        </is>
      </c>
      <c r="Q2990" s="19" t="inlineStr"/>
      <c r="R2990" s="18">
        <f>IF(Q2990="",P2990,Q2990)</f>
        <v/>
      </c>
      <c r="S2990" s="18" t="inlineStr"/>
      <c r="T2990" s="18" t="inlineStr">
        <is>
          <t>common</t>
        </is>
      </c>
      <c r="U2990" s="20" t="n">
        <v>1.8</v>
      </c>
      <c r="V2990" s="21" t="n">
        <v>1</v>
      </c>
      <c r="W2990" s="20">
        <f>IF(OR(U2990="",V2990=""),U2990,U2990*V2990)</f>
        <v/>
      </c>
      <c r="X2990" s="18" t="inlineStr">
        <is>
          <t>24-38</t>
        </is>
      </c>
      <c r="Y2990" s="19" t="inlineStr"/>
      <c r="Z2990" s="18">
        <f>IF(Y2990="",X2990,Y2990)</f>
        <v/>
      </c>
      <c r="AA2990" s="18" t="inlineStr">
        <is>
          <t>grounded</t>
        </is>
      </c>
      <c r="AB2990" s="18" t="inlineStr"/>
      <c r="AC2990" s="18" t="inlineStr"/>
      <c r="AD2990" s="18" t="inlineStr"/>
      <c r="AE2990" s="18" t="inlineStr">
        <is>
          <t>sky 8-15</t>
        </is>
      </c>
      <c r="AF2990" s="18" t="inlineStr"/>
      <c r="AG2990" s="18" t="inlineStr">
        <is>
          <t>#cobblemon:ruin</t>
        </is>
      </c>
      <c r="AH2990" s="18" t="inlineStr"/>
      <c r="AI2990" s="18" t="inlineStr"/>
      <c r="AJ2990" s="18" t="inlineStr">
        <is>
          <t>Cobblemon 동일</t>
        </is>
      </c>
      <c r="AK2990" s="18" t="inlineStr">
        <is>
          <t>사용</t>
        </is>
      </c>
      <c r="AL2990" s="18" t="inlineStr">
        <is>
          <t>COBBLEVERSE 1.7.42 / DP v31</t>
        </is>
      </c>
      <c r="AM2990" s="18" t="inlineStr">
        <is>
          <t>data/cobblemon/spawn_pool_world/0958_tinkatuff.json</t>
        </is>
      </c>
      <c r="AN2990" s="18" t="inlineStr">
        <is>
          <t>tinkatuff-1</t>
        </is>
      </c>
      <c r="AO2990" s="18" t="inlineStr">
        <is>
          <t>pokemon</t>
        </is>
      </c>
      <c r="AP2990" s="18" t="inlineStr">
        <is>
          <t>natural; wild</t>
        </is>
      </c>
      <c r="AQ2990" s="18" t="inlineStr">
        <is>
          <t>{"biomes":["#cobblemon:is_overworld"],"maxSkyLight":15,"minSkyLight":8,"structures":["#cobblemon:ruin"]}</t>
        </is>
      </c>
      <c r="AR2990" s="18" t="inlineStr"/>
      <c r="AS2990" s="18" t="inlineStr"/>
      <c r="AT2990" s="19" t="inlineStr"/>
    </row>
    <row r="2991" ht="32" customHeight="1">
      <c r="A2991" s="18" t="inlineStr">
        <is>
          <t>0958_tinkatuff.json::tinkatuff-2::002</t>
        </is>
      </c>
      <c r="B2991" s="19" t="inlineStr">
        <is>
          <t>사용</t>
        </is>
      </c>
      <c r="C2991" s="18">
        <f>IF(OR(B2991&lt;&gt;AK2991,M2991&lt;&gt;L2991,O2991&lt;&gt;"",Q2991&lt;&gt;"",V2991&lt;&gt;1,Y2991&lt;&gt;"",AT2991&lt;&gt;""),"수정","원본")</f>
        <v/>
      </c>
      <c r="D2991" s="18" t="n">
        <v>958</v>
      </c>
      <c r="E2991" s="18" t="inlineStr">
        <is>
          <t>벼리짱</t>
        </is>
      </c>
      <c r="F2991" s="18" t="inlineStr">
        <is>
          <t>tinkatuff</t>
        </is>
      </c>
      <c r="G2991" s="18" t="inlineStr">
        <is>
          <t>tinkatuff</t>
        </is>
      </c>
      <c r="H2991" s="18" t="inlineStr"/>
      <c r="I2991" s="18" t="n">
        <v>9</v>
      </c>
      <c r="J2991" s="18" t="n"/>
      <c r="K2991" s="18" t="n">
        <v>9</v>
      </c>
      <c r="L2991" s="18" t="inlineStr">
        <is>
          <t>cobbleventure:generation_9</t>
        </is>
      </c>
      <c r="M2991" s="19" t="inlineStr">
        <is>
          <t>cobbleventure:generation_9</t>
        </is>
      </c>
      <c r="N2991" s="18" t="inlineStr"/>
      <c r="O2991" s="19" t="inlineStr"/>
      <c r="P2991" s="18" t="inlineStr">
        <is>
          <t>#aether:is_aether</t>
        </is>
      </c>
      <c r="Q2991" s="19" t="inlineStr"/>
      <c r="R2991" s="18">
        <f>IF(Q2991="",P2991,Q2991)</f>
        <v/>
      </c>
      <c r="S2991" s="18" t="inlineStr"/>
      <c r="T2991" s="18" t="inlineStr">
        <is>
          <t>uncommon</t>
        </is>
      </c>
      <c r="U2991" s="20" t="n">
        <v>1.44</v>
      </c>
      <c r="V2991" s="21" t="n">
        <v>1</v>
      </c>
      <c r="W2991" s="20">
        <f>IF(OR(U2991="",V2991=""),U2991,U2991*V2991)</f>
        <v/>
      </c>
      <c r="X2991" s="18" t="inlineStr">
        <is>
          <t>24-38</t>
        </is>
      </c>
      <c r="Y2991" s="19" t="inlineStr"/>
      <c r="Z2991" s="18">
        <f>IF(Y2991="",X2991,Y2991)</f>
        <v/>
      </c>
      <c r="AA2991" s="18" t="inlineStr">
        <is>
          <t>grounded</t>
        </is>
      </c>
      <c r="AB2991" s="18" t="inlineStr"/>
      <c r="AC2991" s="18" t="inlineStr"/>
      <c r="AD2991" s="18" t="inlineStr"/>
      <c r="AE2991" s="18" t="inlineStr">
        <is>
          <t>sky 0-7</t>
        </is>
      </c>
      <c r="AF2991" s="18" t="inlineStr"/>
      <c r="AG2991" s="18" t="inlineStr">
        <is>
          <t>#aether:dungeons</t>
        </is>
      </c>
      <c r="AH2991" s="18" t="inlineStr"/>
      <c r="AI2991" s="18" t="inlineStr"/>
      <c r="AJ2991" s="18" t="inlineStr">
        <is>
          <t>Cobblemon 동일</t>
        </is>
      </c>
      <c r="AK2991" s="18" t="inlineStr">
        <is>
          <t>사용</t>
        </is>
      </c>
      <c r="AL2991" s="18" t="inlineStr">
        <is>
          <t>COBBLEVERSE 1.7.42 / DP v31</t>
        </is>
      </c>
      <c r="AM2991" s="18" t="inlineStr">
        <is>
          <t>data/cobblemon/spawn_pool_world/0958_tinkatuff.json</t>
        </is>
      </c>
      <c r="AN2991" s="18" t="inlineStr">
        <is>
          <t>tinkatuff-2</t>
        </is>
      </c>
      <c r="AO2991" s="18" t="inlineStr">
        <is>
          <t>pokemon</t>
        </is>
      </c>
      <c r="AP2991" s="18" t="inlineStr"/>
      <c r="AQ2991" s="18" t="inlineStr">
        <is>
          <t>{"biomes":["#aether:is_aether"],"maxSkyLight":7,"minSkyLight":0,"structures":["#aether:dungeons"]}</t>
        </is>
      </c>
      <c r="AR2991" s="18" t="inlineStr"/>
      <c r="AS2991" s="18" t="inlineStr"/>
      <c r="AT2991" s="19" t="inlineStr"/>
    </row>
    <row r="2992" ht="32" customHeight="1">
      <c r="A2992" s="18" t="inlineStr">
        <is>
          <t>0959_tinkaton.json::tinkaton-1::001</t>
        </is>
      </c>
      <c r="B2992" s="19" t="inlineStr">
        <is>
          <t>사용</t>
        </is>
      </c>
      <c r="C2992" s="18">
        <f>IF(OR(B2992&lt;&gt;AK2992,M2992&lt;&gt;L2992,O2992&lt;&gt;"",Q2992&lt;&gt;"",V2992&lt;&gt;1,Y2992&lt;&gt;"",AT2992&lt;&gt;""),"수정","원본")</f>
        <v/>
      </c>
      <c r="D2992" s="18" t="n">
        <v>959</v>
      </c>
      <c r="E2992" s="18" t="inlineStr">
        <is>
          <t>두드리짱</t>
        </is>
      </c>
      <c r="F2992" s="18" t="inlineStr">
        <is>
          <t>tinkaton</t>
        </is>
      </c>
      <c r="G2992" s="18" t="inlineStr">
        <is>
          <t>tinkaton</t>
        </is>
      </c>
      <c r="H2992" s="18" t="inlineStr"/>
      <c r="I2992" s="18" t="n">
        <v>9</v>
      </c>
      <c r="J2992" s="18" t="n"/>
      <c r="K2992" s="18" t="n">
        <v>9</v>
      </c>
      <c r="L2992" s="18" t="inlineStr">
        <is>
          <t>cobbleventure:generation_9</t>
        </is>
      </c>
      <c r="M2992" s="19" t="inlineStr">
        <is>
          <t>cobbleventure:generation_9</t>
        </is>
      </c>
      <c r="N2992" s="18" t="inlineStr">
        <is>
          <t>region_01; region_02</t>
        </is>
      </c>
      <c r="O2992" s="19" t="inlineStr"/>
      <c r="P2992" s="18" t="inlineStr">
        <is>
          <t>#cobblemon:is_overworld</t>
        </is>
      </c>
      <c r="Q2992" s="19" t="inlineStr"/>
      <c r="R2992" s="18">
        <f>IF(Q2992="",P2992,Q2992)</f>
        <v/>
      </c>
      <c r="S2992" s="18" t="inlineStr"/>
      <c r="T2992" s="18" t="inlineStr">
        <is>
          <t>common</t>
        </is>
      </c>
      <c r="U2992" s="20" t="n">
        <v>0.2</v>
      </c>
      <c r="V2992" s="21" t="n">
        <v>1</v>
      </c>
      <c r="W2992" s="20">
        <f>IF(OR(U2992="",V2992=""),U2992,U2992*V2992)</f>
        <v/>
      </c>
      <c r="X2992" s="18" t="inlineStr">
        <is>
          <t>38-51</t>
        </is>
      </c>
      <c r="Y2992" s="19" t="inlineStr"/>
      <c r="Z2992" s="18">
        <f>IF(Y2992="",X2992,Y2992)</f>
        <v/>
      </c>
      <c r="AA2992" s="18" t="inlineStr">
        <is>
          <t>grounded</t>
        </is>
      </c>
      <c r="AB2992" s="18" t="inlineStr"/>
      <c r="AC2992" s="18" t="inlineStr"/>
      <c r="AD2992" s="18" t="inlineStr"/>
      <c r="AE2992" s="18" t="inlineStr">
        <is>
          <t>sky 8-15</t>
        </is>
      </c>
      <c r="AF2992" s="18" t="inlineStr"/>
      <c r="AG2992" s="18" t="inlineStr">
        <is>
          <t>#cobblemon:ruin</t>
        </is>
      </c>
      <c r="AH2992" s="18" t="inlineStr"/>
      <c r="AI2992" s="18" t="inlineStr"/>
      <c r="AJ2992" s="18" t="inlineStr">
        <is>
          <t>Cobblemon 동일</t>
        </is>
      </c>
      <c r="AK2992" s="18" t="inlineStr">
        <is>
          <t>사용</t>
        </is>
      </c>
      <c r="AL2992" s="18" t="inlineStr">
        <is>
          <t>COBBLEVERSE 1.7.42 / DP v31</t>
        </is>
      </c>
      <c r="AM2992" s="18" t="inlineStr">
        <is>
          <t>data/cobblemon/spawn_pool_world/0959_tinkaton.json</t>
        </is>
      </c>
      <c r="AN2992" s="18" t="inlineStr">
        <is>
          <t>tinkaton-1</t>
        </is>
      </c>
      <c r="AO2992" s="18" t="inlineStr">
        <is>
          <t>pokemon</t>
        </is>
      </c>
      <c r="AP2992" s="18" t="inlineStr">
        <is>
          <t>natural; wild</t>
        </is>
      </c>
      <c r="AQ2992" s="18" t="inlineStr">
        <is>
          <t>{"biomes":["#cobblemon:is_overworld"],"maxSkyLight":15,"minSkyLight":8,"structures":["#cobblemon:ruin"]}</t>
        </is>
      </c>
      <c r="AR2992" s="18" t="inlineStr"/>
      <c r="AS2992" s="18" t="inlineStr"/>
      <c r="AT2992" s="19" t="inlineStr"/>
    </row>
    <row r="2993" ht="32" customHeight="1">
      <c r="A2993" s="18" t="inlineStr">
        <is>
          <t>0959_tinkaton.json::tinkaton-2::002</t>
        </is>
      </c>
      <c r="B2993" s="19" t="inlineStr">
        <is>
          <t>사용</t>
        </is>
      </c>
      <c r="C2993" s="18">
        <f>IF(OR(B2993&lt;&gt;AK2993,M2993&lt;&gt;L2993,O2993&lt;&gt;"",Q2993&lt;&gt;"",V2993&lt;&gt;1,Y2993&lt;&gt;"",AT2993&lt;&gt;""),"수정","원본")</f>
        <v/>
      </c>
      <c r="D2993" s="18" t="n">
        <v>959</v>
      </c>
      <c r="E2993" s="18" t="inlineStr">
        <is>
          <t>두드리짱</t>
        </is>
      </c>
      <c r="F2993" s="18" t="inlineStr">
        <is>
          <t>tinkaton</t>
        </is>
      </c>
      <c r="G2993" s="18" t="inlineStr">
        <is>
          <t>tinkaton</t>
        </is>
      </c>
      <c r="H2993" s="18" t="inlineStr"/>
      <c r="I2993" s="18" t="n">
        <v>9</v>
      </c>
      <c r="J2993" s="18" t="n"/>
      <c r="K2993" s="18" t="n">
        <v>9</v>
      </c>
      <c r="L2993" s="18" t="inlineStr">
        <is>
          <t>cobbleventure:generation_9</t>
        </is>
      </c>
      <c r="M2993" s="19" t="inlineStr">
        <is>
          <t>cobbleventure:generation_9</t>
        </is>
      </c>
      <c r="N2993" s="18" t="inlineStr"/>
      <c r="O2993" s="19" t="inlineStr"/>
      <c r="P2993" s="18" t="inlineStr">
        <is>
          <t>#aether:is_aether</t>
        </is>
      </c>
      <c r="Q2993" s="19" t="inlineStr"/>
      <c r="R2993" s="18">
        <f>IF(Q2993="",P2993,Q2993)</f>
        <v/>
      </c>
      <c r="S2993" s="18" t="inlineStr"/>
      <c r="T2993" s="18" t="inlineStr">
        <is>
          <t>uncommon</t>
        </is>
      </c>
      <c r="U2993" s="20" t="n">
        <v>0.16</v>
      </c>
      <c r="V2993" s="21" t="n">
        <v>1</v>
      </c>
      <c r="W2993" s="20">
        <f>IF(OR(U2993="",V2993=""),U2993,U2993*V2993)</f>
        <v/>
      </c>
      <c r="X2993" s="18" t="inlineStr">
        <is>
          <t>38-51</t>
        </is>
      </c>
      <c r="Y2993" s="19" t="inlineStr"/>
      <c r="Z2993" s="18">
        <f>IF(Y2993="",X2993,Y2993)</f>
        <v/>
      </c>
      <c r="AA2993" s="18" t="inlineStr">
        <is>
          <t>grounded</t>
        </is>
      </c>
      <c r="AB2993" s="18" t="inlineStr"/>
      <c r="AC2993" s="18" t="inlineStr"/>
      <c r="AD2993" s="18" t="inlineStr"/>
      <c r="AE2993" s="18" t="inlineStr">
        <is>
          <t>sky 0-7</t>
        </is>
      </c>
      <c r="AF2993" s="18" t="inlineStr"/>
      <c r="AG2993" s="18" t="inlineStr">
        <is>
          <t>#aether:dungeons</t>
        </is>
      </c>
      <c r="AH2993" s="18" t="inlineStr"/>
      <c r="AI2993" s="18" t="inlineStr"/>
      <c r="AJ2993" s="18" t="inlineStr">
        <is>
          <t>Cobblemon 동일</t>
        </is>
      </c>
      <c r="AK2993" s="18" t="inlineStr">
        <is>
          <t>사용</t>
        </is>
      </c>
      <c r="AL2993" s="18" t="inlineStr">
        <is>
          <t>COBBLEVERSE 1.7.42 / DP v31</t>
        </is>
      </c>
      <c r="AM2993" s="18" t="inlineStr">
        <is>
          <t>data/cobblemon/spawn_pool_world/0959_tinkaton.json</t>
        </is>
      </c>
      <c r="AN2993" s="18" t="inlineStr">
        <is>
          <t>tinkaton-2</t>
        </is>
      </c>
      <c r="AO2993" s="18" t="inlineStr">
        <is>
          <t>pokemon</t>
        </is>
      </c>
      <c r="AP2993" s="18" t="inlineStr"/>
      <c r="AQ2993" s="18" t="inlineStr">
        <is>
          <t>{"biomes":["#aether:is_aether"],"maxSkyLight":7,"minSkyLight":0,"structures":["#aether:dungeons"]}</t>
        </is>
      </c>
      <c r="AR2993" s="18" t="inlineStr"/>
      <c r="AS2993" s="18" t="inlineStr"/>
      <c r="AT2993" s="19" t="inlineStr"/>
    </row>
    <row r="2994" ht="32" customHeight="1">
      <c r="A2994" s="18" t="inlineStr">
        <is>
          <t>0960_wiglett.json::wiglett-1::001</t>
        </is>
      </c>
      <c r="B2994" s="19" t="inlineStr">
        <is>
          <t>사용</t>
        </is>
      </c>
      <c r="C2994" s="18">
        <f>IF(OR(B2994&lt;&gt;AK2994,M2994&lt;&gt;L2994,O2994&lt;&gt;"",Q2994&lt;&gt;"",V2994&lt;&gt;1,Y2994&lt;&gt;"",AT2994&lt;&gt;""),"수정","원본")</f>
        <v/>
      </c>
      <c r="D2994" s="18" t="n">
        <v>960</v>
      </c>
      <c r="E2994" s="18" t="inlineStr">
        <is>
          <t>바다그다</t>
        </is>
      </c>
      <c r="F2994" s="18" t="inlineStr">
        <is>
          <t>wiglett</t>
        </is>
      </c>
      <c r="G2994" s="18" t="inlineStr">
        <is>
          <t>wiglett</t>
        </is>
      </c>
      <c r="H2994" s="18" t="inlineStr"/>
      <c r="I2994" s="18" t="n">
        <v>9</v>
      </c>
      <c r="J2994" s="18" t="n"/>
      <c r="K2994" s="18" t="n">
        <v>9</v>
      </c>
      <c r="L2994" s="18" t="inlineStr">
        <is>
          <t>cobbleventure:generation_9</t>
        </is>
      </c>
      <c r="M2994" s="19" t="inlineStr">
        <is>
          <t>cobbleventure:generation_9</t>
        </is>
      </c>
      <c r="N2994" s="18" t="inlineStr"/>
      <c r="O2994" s="19" t="inlineStr"/>
      <c r="P2994" s="18" t="inlineStr">
        <is>
          <t>#cobblemon:is_beach</t>
        </is>
      </c>
      <c r="Q2994" s="19" t="inlineStr"/>
      <c r="R2994" s="18">
        <f>IF(Q2994="",P2994,Q2994)</f>
        <v/>
      </c>
      <c r="S2994" s="18" t="inlineStr">
        <is>
          <t>#cobblemon:is_freezing</t>
        </is>
      </c>
      <c r="T2994" s="18" t="inlineStr">
        <is>
          <t>common</t>
        </is>
      </c>
      <c r="U2994" s="20" t="n">
        <v>1.8</v>
      </c>
      <c r="V2994" s="21" t="n">
        <v>1</v>
      </c>
      <c r="W2994" s="20">
        <f>IF(OR(U2994="",V2994=""),U2994,U2994*V2994)</f>
        <v/>
      </c>
      <c r="X2994" s="18" t="inlineStr">
        <is>
          <t>1-25</t>
        </is>
      </c>
      <c r="Y2994" s="19" t="inlineStr"/>
      <c r="Z2994" s="18">
        <f>IF(Y2994="",X2994,Y2994)</f>
        <v/>
      </c>
      <c r="AA2994" s="18" t="inlineStr">
        <is>
          <t>grounded</t>
        </is>
      </c>
      <c r="AB2994" s="18" t="inlineStr"/>
      <c r="AC2994" s="18" t="inlineStr"/>
      <c r="AD2994" s="18" t="inlineStr"/>
      <c r="AE2994" s="18" t="inlineStr">
        <is>
          <t>sky 8-15</t>
        </is>
      </c>
      <c r="AF2994" s="18" t="inlineStr"/>
      <c r="AG2994" s="18" t="inlineStr"/>
      <c r="AH2994" s="18" t="inlineStr"/>
      <c r="AI2994" s="18" t="inlineStr"/>
      <c r="AJ2994" s="18" t="inlineStr">
        <is>
          <t>Cobblemon 동일</t>
        </is>
      </c>
      <c r="AK2994" s="18" t="inlineStr">
        <is>
          <t>사용</t>
        </is>
      </c>
      <c r="AL2994" s="18" t="inlineStr">
        <is>
          <t>COBBLEVERSE 1.7.42 / DP v31</t>
        </is>
      </c>
      <c r="AM2994" s="18" t="inlineStr">
        <is>
          <t>data/cobblemon/spawn_pool_world/0960_wiglett.json</t>
        </is>
      </c>
      <c r="AN2994" s="18" t="inlineStr">
        <is>
          <t>wiglett-1</t>
        </is>
      </c>
      <c r="AO2994" s="18" t="inlineStr">
        <is>
          <t>pokemon</t>
        </is>
      </c>
      <c r="AP2994" s="18" t="inlineStr">
        <is>
          <t>natural</t>
        </is>
      </c>
      <c r="AQ2994" s="18" t="inlineStr">
        <is>
          <t>{"biomes":["#cobblemon:is_beach"],"maxSkyLight":15,"minSkyLight":8}</t>
        </is>
      </c>
      <c r="AR2994" s="18" t="inlineStr">
        <is>
          <t>{"biomes":["#cobblemon:is_freezing"]}</t>
        </is>
      </c>
      <c r="AS2994" s="18" t="inlineStr"/>
      <c r="AT2994" s="19" t="inlineStr"/>
    </row>
    <row r="2995" ht="32" customHeight="1">
      <c r="A2995" s="18" t="inlineStr">
        <is>
          <t>0960_wiglett.json::wiglett-2::002</t>
        </is>
      </c>
      <c r="B2995" s="19" t="inlineStr">
        <is>
          <t>사용</t>
        </is>
      </c>
      <c r="C2995" s="18">
        <f>IF(OR(B2995&lt;&gt;AK2995,M2995&lt;&gt;L2995,O2995&lt;&gt;"",Q2995&lt;&gt;"",V2995&lt;&gt;1,Y2995&lt;&gt;"",AT2995&lt;&gt;""),"수정","원본")</f>
        <v/>
      </c>
      <c r="D2995" s="18" t="n">
        <v>960</v>
      </c>
      <c r="E2995" s="18" t="inlineStr">
        <is>
          <t>바다그다</t>
        </is>
      </c>
      <c r="F2995" s="18" t="inlineStr">
        <is>
          <t>wiglett</t>
        </is>
      </c>
      <c r="G2995" s="18" t="inlineStr">
        <is>
          <t>wiglett</t>
        </is>
      </c>
      <c r="H2995" s="18" t="inlineStr"/>
      <c r="I2995" s="18" t="n">
        <v>9</v>
      </c>
      <c r="J2995" s="18" t="n"/>
      <c r="K2995" s="18" t="n">
        <v>9</v>
      </c>
      <c r="L2995" s="18" t="inlineStr">
        <is>
          <t>cobbleventure:generation_9</t>
        </is>
      </c>
      <c r="M2995" s="19" t="inlineStr">
        <is>
          <t>cobbleventure:generation_9</t>
        </is>
      </c>
      <c r="N2995" s="18" t="inlineStr"/>
      <c r="O2995" s="19" t="inlineStr"/>
      <c r="P2995" s="18" t="inlineStr">
        <is>
          <t>#cobblemon:is_lukewarm_ocean; #cobblemon:is_warm_ocean</t>
        </is>
      </c>
      <c r="Q2995" s="19" t="inlineStr"/>
      <c r="R2995" s="18">
        <f>IF(Q2995="",P2995,Q2995)</f>
        <v/>
      </c>
      <c r="S2995" s="18" t="inlineStr"/>
      <c r="T2995" s="18" t="inlineStr">
        <is>
          <t>common</t>
        </is>
      </c>
      <c r="U2995" s="20" t="n">
        <v>5.4</v>
      </c>
      <c r="V2995" s="21" t="n">
        <v>1</v>
      </c>
      <c r="W2995" s="20">
        <f>IF(OR(U2995="",V2995=""),U2995,U2995*V2995)</f>
        <v/>
      </c>
      <c r="X2995" s="18" t="inlineStr">
        <is>
          <t>1-25</t>
        </is>
      </c>
      <c r="Y2995" s="19" t="inlineStr"/>
      <c r="Z2995" s="18">
        <f>IF(Y2995="",X2995,Y2995)</f>
        <v/>
      </c>
      <c r="AA2995" s="18" t="inlineStr">
        <is>
          <t>seafloor</t>
        </is>
      </c>
      <c r="AB2995" s="18" t="inlineStr"/>
      <c r="AC2995" s="18" t="inlineStr"/>
      <c r="AD2995" s="18" t="inlineStr"/>
      <c r="AE2995" s="18" t="inlineStr"/>
      <c r="AF2995" s="18" t="inlineStr">
        <is>
          <t>True</t>
        </is>
      </c>
      <c r="AG2995" s="18" t="inlineStr"/>
      <c r="AH2995" s="18" t="inlineStr"/>
      <c r="AI2995" s="18" t="inlineStr"/>
      <c r="AJ2995" s="18" t="inlineStr">
        <is>
          <t>Cobblemon 동일</t>
        </is>
      </c>
      <c r="AK2995" s="18" t="inlineStr">
        <is>
          <t>사용</t>
        </is>
      </c>
      <c r="AL2995" s="18" t="inlineStr">
        <is>
          <t>COBBLEVERSE 1.7.42 / DP v31</t>
        </is>
      </c>
      <c r="AM2995" s="18" t="inlineStr">
        <is>
          <t>data/cobblemon/spawn_pool_world/0960_wiglett.json</t>
        </is>
      </c>
      <c r="AN2995" s="18" t="inlineStr">
        <is>
          <t>wiglett-2</t>
        </is>
      </c>
      <c r="AO2995" s="18" t="inlineStr">
        <is>
          <t>pokemon</t>
        </is>
      </c>
      <c r="AP2995" s="18" t="inlineStr">
        <is>
          <t>water</t>
        </is>
      </c>
      <c r="AQ2995" s="18" t="inlineStr">
        <is>
          <t>{"biomes":["#cobblemon:is_lukewarm_ocean","#cobblemon:is_warm_ocean"],"canSeeSky":true}</t>
        </is>
      </c>
      <c r="AR2995" s="18" t="inlineStr"/>
      <c r="AS2995" s="18" t="inlineStr"/>
      <c r="AT2995" s="19" t="inlineStr"/>
    </row>
    <row r="2996" ht="32" customHeight="1">
      <c r="A2996" s="18" t="inlineStr">
        <is>
          <t>0961_wugtrio.json::wugtrio-1::001</t>
        </is>
      </c>
      <c r="B2996" s="19" t="inlineStr">
        <is>
          <t>사용</t>
        </is>
      </c>
      <c r="C2996" s="18">
        <f>IF(OR(B2996&lt;&gt;AK2996,M2996&lt;&gt;L2996,O2996&lt;&gt;"",Q2996&lt;&gt;"",V2996&lt;&gt;1,Y2996&lt;&gt;"",AT2996&lt;&gt;""),"수정","원본")</f>
        <v/>
      </c>
      <c r="D2996" s="18" t="n">
        <v>961</v>
      </c>
      <c r="E2996" s="18" t="inlineStr">
        <is>
          <t>바닥트리오</t>
        </is>
      </c>
      <c r="F2996" s="18" t="inlineStr">
        <is>
          <t>wugtrio</t>
        </is>
      </c>
      <c r="G2996" s="18" t="inlineStr">
        <is>
          <t>wugtrio</t>
        </is>
      </c>
      <c r="H2996" s="18" t="inlineStr"/>
      <c r="I2996" s="18" t="n">
        <v>9</v>
      </c>
      <c r="J2996" s="18" t="n"/>
      <c r="K2996" s="18" t="n">
        <v>9</v>
      </c>
      <c r="L2996" s="18" t="inlineStr">
        <is>
          <t>cobbleventure:generation_9</t>
        </is>
      </c>
      <c r="M2996" s="19" t="inlineStr">
        <is>
          <t>cobbleventure:generation_9</t>
        </is>
      </c>
      <c r="N2996" s="18" t="inlineStr"/>
      <c r="O2996" s="19" t="inlineStr"/>
      <c r="P2996" s="18" t="inlineStr">
        <is>
          <t>#cobblemon:is_beach</t>
        </is>
      </c>
      <c r="Q2996" s="19" t="inlineStr"/>
      <c r="R2996" s="18">
        <f>IF(Q2996="",P2996,Q2996)</f>
        <v/>
      </c>
      <c r="S2996" s="18" t="inlineStr">
        <is>
          <t>#cobblemon:is_freezing</t>
        </is>
      </c>
      <c r="T2996" s="18" t="inlineStr">
        <is>
          <t>common</t>
        </is>
      </c>
      <c r="U2996" s="20" t="n">
        <v>0.2</v>
      </c>
      <c r="V2996" s="21" t="n">
        <v>1</v>
      </c>
      <c r="W2996" s="20">
        <f>IF(OR(U2996="",V2996=""),U2996,U2996*V2996)</f>
        <v/>
      </c>
      <c r="X2996" s="18" t="inlineStr">
        <is>
          <t>26-43</t>
        </is>
      </c>
      <c r="Y2996" s="19" t="inlineStr"/>
      <c r="Z2996" s="18">
        <f>IF(Y2996="",X2996,Y2996)</f>
        <v/>
      </c>
      <c r="AA2996" s="18" t="inlineStr">
        <is>
          <t>grounded</t>
        </is>
      </c>
      <c r="AB2996" s="18" t="inlineStr"/>
      <c r="AC2996" s="18" t="inlineStr"/>
      <c r="AD2996" s="18" t="inlineStr"/>
      <c r="AE2996" s="18" t="inlineStr">
        <is>
          <t>sky 8-15</t>
        </is>
      </c>
      <c r="AF2996" s="18" t="inlineStr"/>
      <c r="AG2996" s="18" t="inlineStr"/>
      <c r="AH2996" s="18" t="inlineStr"/>
      <c r="AI2996" s="18" t="inlineStr"/>
      <c r="AJ2996" s="18" t="inlineStr">
        <is>
          <t>Cobblemon 동일</t>
        </is>
      </c>
      <c r="AK2996" s="18" t="inlineStr">
        <is>
          <t>사용</t>
        </is>
      </c>
      <c r="AL2996" s="18" t="inlineStr">
        <is>
          <t>COBBLEVERSE 1.7.42 / DP v31</t>
        </is>
      </c>
      <c r="AM2996" s="18" t="inlineStr">
        <is>
          <t>data/cobblemon/spawn_pool_world/0961_wugtrio.json</t>
        </is>
      </c>
      <c r="AN2996" s="18" t="inlineStr">
        <is>
          <t>wugtrio-1</t>
        </is>
      </c>
      <c r="AO2996" s="18" t="inlineStr">
        <is>
          <t>pokemon</t>
        </is>
      </c>
      <c r="AP2996" s="18" t="inlineStr">
        <is>
          <t>natural</t>
        </is>
      </c>
      <c r="AQ2996" s="18" t="inlineStr">
        <is>
          <t>{"biomes":["#cobblemon:is_beach"],"maxSkyLight":15,"minSkyLight":8}</t>
        </is>
      </c>
      <c r="AR2996" s="18" t="inlineStr">
        <is>
          <t>{"biomes":["#cobblemon:is_freezing"]}</t>
        </is>
      </c>
      <c r="AS2996" s="18" t="inlineStr"/>
      <c r="AT2996" s="19" t="inlineStr"/>
    </row>
    <row r="2997" ht="32" customHeight="1">
      <c r="A2997" s="18" t="inlineStr">
        <is>
          <t>0961_wugtrio.json::wugtrio-2::002</t>
        </is>
      </c>
      <c r="B2997" s="19" t="inlineStr">
        <is>
          <t>사용</t>
        </is>
      </c>
      <c r="C2997" s="18">
        <f>IF(OR(B2997&lt;&gt;AK2997,M2997&lt;&gt;L2997,O2997&lt;&gt;"",Q2997&lt;&gt;"",V2997&lt;&gt;1,Y2997&lt;&gt;"",AT2997&lt;&gt;""),"수정","원본")</f>
        <v/>
      </c>
      <c r="D2997" s="18" t="n">
        <v>961</v>
      </c>
      <c r="E2997" s="18" t="inlineStr">
        <is>
          <t>바닥트리오</t>
        </is>
      </c>
      <c r="F2997" s="18" t="inlineStr">
        <is>
          <t>wugtrio</t>
        </is>
      </c>
      <c r="G2997" s="18" t="inlineStr">
        <is>
          <t>wugtrio</t>
        </is>
      </c>
      <c r="H2997" s="18" t="inlineStr"/>
      <c r="I2997" s="18" t="n">
        <v>9</v>
      </c>
      <c r="J2997" s="18" t="n"/>
      <c r="K2997" s="18" t="n">
        <v>9</v>
      </c>
      <c r="L2997" s="18" t="inlineStr">
        <is>
          <t>cobbleventure:generation_9</t>
        </is>
      </c>
      <c r="M2997" s="19" t="inlineStr">
        <is>
          <t>cobbleventure:generation_9</t>
        </is>
      </c>
      <c r="N2997" s="18" t="inlineStr"/>
      <c r="O2997" s="19" t="inlineStr"/>
      <c r="P2997" s="18" t="inlineStr">
        <is>
          <t>#cobblemon:is_lukewarm_ocean; #cobblemon:is_warm_ocean</t>
        </is>
      </c>
      <c r="Q2997" s="19" t="inlineStr"/>
      <c r="R2997" s="18">
        <f>IF(Q2997="",P2997,Q2997)</f>
        <v/>
      </c>
      <c r="S2997" s="18" t="inlineStr"/>
      <c r="T2997" s="18" t="inlineStr">
        <is>
          <t>common</t>
        </is>
      </c>
      <c r="U2997" s="20" t="n">
        <v>0.6</v>
      </c>
      <c r="V2997" s="21" t="n">
        <v>1</v>
      </c>
      <c r="W2997" s="20">
        <f>IF(OR(U2997="",V2997=""),U2997,U2997*V2997)</f>
        <v/>
      </c>
      <c r="X2997" s="18" t="inlineStr">
        <is>
          <t>26-43</t>
        </is>
      </c>
      <c r="Y2997" s="19" t="inlineStr"/>
      <c r="Z2997" s="18">
        <f>IF(Y2997="",X2997,Y2997)</f>
        <v/>
      </c>
      <c r="AA2997" s="18" t="inlineStr">
        <is>
          <t>seafloor</t>
        </is>
      </c>
      <c r="AB2997" s="18" t="inlineStr"/>
      <c r="AC2997" s="18" t="inlineStr"/>
      <c r="AD2997" s="18" t="inlineStr"/>
      <c r="AE2997" s="18" t="inlineStr"/>
      <c r="AF2997" s="18" t="inlineStr">
        <is>
          <t>True</t>
        </is>
      </c>
      <c r="AG2997" s="18" t="inlineStr"/>
      <c r="AH2997" s="18" t="inlineStr"/>
      <c r="AI2997" s="18" t="inlineStr"/>
      <c r="AJ2997" s="18" t="inlineStr">
        <is>
          <t>Cobblemon 동일</t>
        </is>
      </c>
      <c r="AK2997" s="18" t="inlineStr">
        <is>
          <t>사용</t>
        </is>
      </c>
      <c r="AL2997" s="18" t="inlineStr">
        <is>
          <t>COBBLEVERSE 1.7.42 / DP v31</t>
        </is>
      </c>
      <c r="AM2997" s="18" t="inlineStr">
        <is>
          <t>data/cobblemon/spawn_pool_world/0961_wugtrio.json</t>
        </is>
      </c>
      <c r="AN2997" s="18" t="inlineStr">
        <is>
          <t>wugtrio-2</t>
        </is>
      </c>
      <c r="AO2997" s="18" t="inlineStr">
        <is>
          <t>pokemon</t>
        </is>
      </c>
      <c r="AP2997" s="18" t="inlineStr">
        <is>
          <t>water</t>
        </is>
      </c>
      <c r="AQ2997" s="18" t="inlineStr">
        <is>
          <t>{"biomes":["#cobblemon:is_lukewarm_ocean","#cobblemon:is_warm_ocean"],"canSeeSky":true}</t>
        </is>
      </c>
      <c r="AR2997" s="18" t="inlineStr"/>
      <c r="AS2997" s="18" t="inlineStr"/>
      <c r="AT2997" s="19" t="inlineStr"/>
    </row>
    <row r="2998" ht="32" customHeight="1">
      <c r="A2998" s="18" t="inlineStr">
        <is>
          <t>0962_bombirdier.json::bombirdier-1::001</t>
        </is>
      </c>
      <c r="B2998" s="19" t="inlineStr">
        <is>
          <t>사용</t>
        </is>
      </c>
      <c r="C2998" s="18">
        <f>IF(OR(B2998&lt;&gt;AK2998,M2998&lt;&gt;L2998,O2998&lt;&gt;"",Q2998&lt;&gt;"",V2998&lt;&gt;1,Y2998&lt;&gt;"",AT2998&lt;&gt;""),"수정","원본")</f>
        <v/>
      </c>
      <c r="D2998" s="18" t="n">
        <v>962</v>
      </c>
      <c r="E2998" s="18" t="inlineStr">
        <is>
          <t>떨구새</t>
        </is>
      </c>
      <c r="F2998" s="18" t="inlineStr">
        <is>
          <t>bombirdier</t>
        </is>
      </c>
      <c r="G2998" s="18" t="inlineStr">
        <is>
          <t>bombirdier</t>
        </is>
      </c>
      <c r="H2998" s="18" t="inlineStr"/>
      <c r="I2998" s="18" t="n">
        <v>9</v>
      </c>
      <c r="J2998" s="18" t="n"/>
      <c r="K2998" s="18" t="n">
        <v>9</v>
      </c>
      <c r="L2998" s="18" t="inlineStr">
        <is>
          <t>cobbleventure:generation_9</t>
        </is>
      </c>
      <c r="M2998" s="19" t="inlineStr">
        <is>
          <t>cobbleventure:generation_9</t>
        </is>
      </c>
      <c r="N2998" s="18" t="inlineStr"/>
      <c r="O2998" s="19" t="inlineStr"/>
      <c r="P2998" s="18" t="inlineStr">
        <is>
          <t>#cobblemon:is_beach; #cobblemon:is_river</t>
        </is>
      </c>
      <c r="Q2998" s="19" t="inlineStr"/>
      <c r="R2998" s="18">
        <f>IF(Q2998="",P2998,Q2998)</f>
        <v/>
      </c>
      <c r="S2998" s="18" t="inlineStr">
        <is>
          <t>#cobblemon:is_freezing</t>
        </is>
      </c>
      <c r="T2998" s="18" t="inlineStr">
        <is>
          <t>uncommon</t>
        </is>
      </c>
      <c r="U2998" s="20" t="n">
        <v>2.4</v>
      </c>
      <c r="V2998" s="21" t="n">
        <v>1</v>
      </c>
      <c r="W2998" s="20">
        <f>IF(OR(U2998="",V2998=""),U2998,U2998*V2998)</f>
        <v/>
      </c>
      <c r="X2998" s="18" t="inlineStr">
        <is>
          <t>35-63</t>
        </is>
      </c>
      <c r="Y2998" s="19" t="inlineStr"/>
      <c r="Z2998" s="18">
        <f>IF(Y2998="",X2998,Y2998)</f>
        <v/>
      </c>
      <c r="AA2998" s="18" t="inlineStr">
        <is>
          <t>grounded</t>
        </is>
      </c>
      <c r="AB2998" s="18" t="inlineStr"/>
      <c r="AC2998" s="18" t="inlineStr"/>
      <c r="AD2998" s="18" t="inlineStr"/>
      <c r="AE2998" s="18" t="inlineStr">
        <is>
          <t>sky 8-15</t>
        </is>
      </c>
      <c r="AF2998" s="18" t="inlineStr"/>
      <c r="AG2998" s="18" t="inlineStr"/>
      <c r="AH2998" s="18" t="inlineStr"/>
      <c r="AI2998" s="18" t="inlineStr"/>
      <c r="AJ2998" s="18" t="inlineStr">
        <is>
          <t>COBBLEVERSE 추가</t>
        </is>
      </c>
      <c r="AK2998" s="18" t="inlineStr">
        <is>
          <t>사용</t>
        </is>
      </c>
      <c r="AL2998" s="18" t="inlineStr">
        <is>
          <t>COBBLEVERSE 1.7.42 / DP v31</t>
        </is>
      </c>
      <c r="AM2998" s="18" t="inlineStr">
        <is>
          <t>data/cobblemon/spawn_pool_world/0962_bombirdier.json</t>
        </is>
      </c>
      <c r="AN2998" s="18" t="inlineStr">
        <is>
          <t>bombirdier-1</t>
        </is>
      </c>
      <c r="AO2998" s="18" t="inlineStr">
        <is>
          <t>pokemon</t>
        </is>
      </c>
      <c r="AP2998" s="18" t="inlineStr">
        <is>
          <t>natural</t>
        </is>
      </c>
      <c r="AQ2998" s="18" t="inlineStr">
        <is>
          <t>{"biomes":["#cobblemon:is_beach","#cobblemon:is_river"],"maxSkyLight":15,"minSkyLight":8}</t>
        </is>
      </c>
      <c r="AR2998" s="18" t="inlineStr">
        <is>
          <t>{"biomes":["#cobblemon:is_freezing"]}</t>
        </is>
      </c>
      <c r="AS2998" s="18" t="inlineStr"/>
      <c r="AT2998" s="19" t="inlineStr"/>
    </row>
    <row r="2999" ht="32" customHeight="1">
      <c r="A2999" s="18" t="inlineStr">
        <is>
          <t>0963_finizen.json::finizen-1::001</t>
        </is>
      </c>
      <c r="B2999" s="19" t="inlineStr">
        <is>
          <t>사용</t>
        </is>
      </c>
      <c r="C2999" s="18">
        <f>IF(OR(B2999&lt;&gt;AK2999,M2999&lt;&gt;L2999,O2999&lt;&gt;"",Q2999&lt;&gt;"",V2999&lt;&gt;1,Y2999&lt;&gt;"",AT2999&lt;&gt;""),"수정","원본")</f>
        <v/>
      </c>
      <c r="D2999" s="18" t="n">
        <v>963</v>
      </c>
      <c r="E2999" s="18" t="inlineStr">
        <is>
          <t>맨돌핀</t>
        </is>
      </c>
      <c r="F2999" s="18" t="inlineStr">
        <is>
          <t>finizen</t>
        </is>
      </c>
      <c r="G2999" s="18" t="inlineStr">
        <is>
          <t>finizen</t>
        </is>
      </c>
      <c r="H2999" s="18" t="inlineStr"/>
      <c r="I2999" s="18" t="n">
        <v>9</v>
      </c>
      <c r="J2999" s="18" t="n"/>
      <c r="K2999" s="18" t="n">
        <v>9</v>
      </c>
      <c r="L2999" s="18" t="inlineStr">
        <is>
          <t>cobbleventure:generation_9</t>
        </is>
      </c>
      <c r="M2999" s="19" t="inlineStr">
        <is>
          <t>cobbleventure:generation_9</t>
        </is>
      </c>
      <c r="N2999" s="18" t="inlineStr"/>
      <c r="O2999" s="19" t="inlineStr"/>
      <c r="P2999" s="18" t="inlineStr">
        <is>
          <t>#cobblemon:is_ocean</t>
        </is>
      </c>
      <c r="Q2999" s="19" t="inlineStr"/>
      <c r="R2999" s="18">
        <f>IF(Q2999="",P2999,Q2999)</f>
        <v/>
      </c>
      <c r="S2999" s="18" t="inlineStr"/>
      <c r="T2999" s="18" t="inlineStr">
        <is>
          <t>uncommon</t>
        </is>
      </c>
      <c r="U2999" s="20" t="n">
        <v>5.04</v>
      </c>
      <c r="V2999" s="21" t="n">
        <v>1</v>
      </c>
      <c r="W2999" s="20">
        <f>IF(OR(U2999="",V2999=""),U2999,U2999*V2999)</f>
        <v/>
      </c>
      <c r="X2999" s="18" t="inlineStr">
        <is>
          <t>7-32</t>
        </is>
      </c>
      <c r="Y2999" s="19" t="inlineStr"/>
      <c r="Z2999" s="18">
        <f>IF(Y2999="",X2999,Y2999)</f>
        <v/>
      </c>
      <c r="AA2999" s="18" t="inlineStr">
        <is>
          <t>submerged</t>
        </is>
      </c>
      <c r="AB2999" s="18" t="inlineStr"/>
      <c r="AC2999" s="18" t="inlineStr"/>
      <c r="AD2999" s="18" t="inlineStr"/>
      <c r="AE2999" s="18" t="inlineStr"/>
      <c r="AF2999" s="18" t="inlineStr">
        <is>
          <t>True</t>
        </is>
      </c>
      <c r="AG2999" s="18" t="inlineStr"/>
      <c r="AH2999" s="18" t="inlineStr"/>
      <c r="AI2999" s="18" t="inlineStr"/>
      <c r="AJ2999" s="18" t="inlineStr">
        <is>
          <t>Cobblemon 동일</t>
        </is>
      </c>
      <c r="AK2999" s="18" t="inlineStr">
        <is>
          <t>사용</t>
        </is>
      </c>
      <c r="AL2999" s="18" t="inlineStr">
        <is>
          <t>COBBLEVERSE 1.7.42 / DP v31</t>
        </is>
      </c>
      <c r="AM2999" s="18" t="inlineStr">
        <is>
          <t>data/cobblemon/spawn_pool_world/0963_finizen.json</t>
        </is>
      </c>
      <c r="AN2999" s="18" t="inlineStr">
        <is>
          <t>finizen-1</t>
        </is>
      </c>
      <c r="AO2999" s="18" t="inlineStr">
        <is>
          <t>pokemon</t>
        </is>
      </c>
      <c r="AP2999" s="18" t="inlineStr">
        <is>
          <t>water</t>
        </is>
      </c>
      <c r="AQ2999" s="18" t="inlineStr">
        <is>
          <t>{"biomes":["#cobblemon:is_ocean"],"canSeeSky":true}</t>
        </is>
      </c>
      <c r="AR2999" s="18" t="inlineStr"/>
      <c r="AS2999" s="18" t="inlineStr"/>
      <c r="AT2999" s="19" t="inlineStr"/>
    </row>
    <row r="3000" ht="32" customHeight="1">
      <c r="A3000" s="18" t="inlineStr">
        <is>
          <t>0963_finizen.json::finizen-2::002</t>
        </is>
      </c>
      <c r="B3000" s="19" t="inlineStr">
        <is>
          <t>사용</t>
        </is>
      </c>
      <c r="C3000" s="18">
        <f>IF(OR(B3000&lt;&gt;AK3000,M3000&lt;&gt;L3000,O3000&lt;&gt;"",Q3000&lt;&gt;"",V3000&lt;&gt;1,Y3000&lt;&gt;"",AT3000&lt;&gt;""),"수정","원본")</f>
        <v/>
      </c>
      <c r="D3000" s="18" t="n">
        <v>963</v>
      </c>
      <c r="E3000" s="18" t="inlineStr">
        <is>
          <t>맨돌핀</t>
        </is>
      </c>
      <c r="F3000" s="18" t="inlineStr">
        <is>
          <t>finizen</t>
        </is>
      </c>
      <c r="G3000" s="18" t="inlineStr">
        <is>
          <t>finizen</t>
        </is>
      </c>
      <c r="H3000" s="18" t="inlineStr"/>
      <c r="I3000" s="18" t="n">
        <v>9</v>
      </c>
      <c r="J3000" s="18" t="n"/>
      <c r="K3000" s="18" t="n">
        <v>9</v>
      </c>
      <c r="L3000" s="18" t="inlineStr">
        <is>
          <t>cobbleventure:generation_9</t>
        </is>
      </c>
      <c r="M3000" s="19" t="inlineStr">
        <is>
          <t>cobbleventure:generation_9</t>
        </is>
      </c>
      <c r="N3000" s="18" t="inlineStr"/>
      <c r="O3000" s="19" t="inlineStr"/>
      <c r="P3000" s="18" t="inlineStr">
        <is>
          <t>#cobblemon:is_ocean</t>
        </is>
      </c>
      <c r="Q3000" s="19" t="inlineStr"/>
      <c r="R3000" s="18">
        <f>IF(Q3000="",P3000,Q3000)</f>
        <v/>
      </c>
      <c r="S3000" s="18" t="inlineStr"/>
      <c r="T3000" s="18" t="inlineStr">
        <is>
          <t>uncommon</t>
        </is>
      </c>
      <c r="U3000" s="20" t="n">
        <v>5.04</v>
      </c>
      <c r="V3000" s="21" t="n">
        <v>1</v>
      </c>
      <c r="W3000" s="20">
        <f>IF(OR(U3000="",V3000=""),U3000,U3000*V3000)</f>
        <v/>
      </c>
      <c r="X3000" s="18" t="inlineStr">
        <is>
          <t>7-32</t>
        </is>
      </c>
      <c r="Y3000" s="19" t="inlineStr"/>
      <c r="Z3000" s="18">
        <f>IF(Y3000="",X3000,Y3000)</f>
        <v/>
      </c>
      <c r="AA3000" s="18" t="inlineStr">
        <is>
          <t>fishing</t>
        </is>
      </c>
      <c r="AB3000" s="18" t="inlineStr"/>
      <c r="AC3000" s="18" t="inlineStr"/>
      <c r="AD3000" s="18" t="inlineStr"/>
      <c r="AE3000" s="18" t="inlineStr"/>
      <c r="AF3000" s="18" t="inlineStr">
        <is>
          <t>True</t>
        </is>
      </c>
      <c r="AG3000" s="18" t="inlineStr"/>
      <c r="AH3000" s="18" t="inlineStr"/>
      <c r="AI3000" s="18" t="inlineStr"/>
      <c r="AJ3000" s="18" t="inlineStr">
        <is>
          <t>Cobblemon 동일</t>
        </is>
      </c>
      <c r="AK3000" s="18" t="inlineStr">
        <is>
          <t>사용</t>
        </is>
      </c>
      <c r="AL3000" s="18" t="inlineStr">
        <is>
          <t>COBBLEVERSE 1.7.42 / DP v31</t>
        </is>
      </c>
      <c r="AM3000" s="18" t="inlineStr">
        <is>
          <t>data/cobblemon/spawn_pool_world/0963_finizen.json</t>
        </is>
      </c>
      <c r="AN3000" s="18" t="inlineStr">
        <is>
          <t>finizen-2</t>
        </is>
      </c>
      <c r="AO3000" s="18" t="inlineStr">
        <is>
          <t>pokemon</t>
        </is>
      </c>
      <c r="AP3000" s="18" t="inlineStr"/>
      <c r="AQ3000" s="18" t="inlineStr">
        <is>
          <t>{"biomes":["#cobblemon:is_ocean"],"canSeeSky":true}</t>
        </is>
      </c>
      <c r="AR3000" s="18" t="inlineStr">
        <is>
          <t>{"minLureLevel":1}</t>
        </is>
      </c>
      <c r="AS3000" s="18" t="inlineStr"/>
      <c r="AT3000" s="19" t="inlineStr"/>
    </row>
    <row r="3001" ht="32" customHeight="1">
      <c r="A3001" s="18" t="inlineStr">
        <is>
          <t>0963_finizen.json::finizen-3::003</t>
        </is>
      </c>
      <c r="B3001" s="19" t="inlineStr">
        <is>
          <t>사용</t>
        </is>
      </c>
      <c r="C3001" s="18">
        <f>IF(OR(B3001&lt;&gt;AK3001,M3001&lt;&gt;L3001,O3001&lt;&gt;"",Q3001&lt;&gt;"",V3001&lt;&gt;1,Y3001&lt;&gt;"",AT3001&lt;&gt;""),"수정","원본")</f>
        <v/>
      </c>
      <c r="D3001" s="18" t="n">
        <v>963</v>
      </c>
      <c r="E3001" s="18" t="inlineStr">
        <is>
          <t>맨돌핀</t>
        </is>
      </c>
      <c r="F3001" s="18" t="inlineStr">
        <is>
          <t>finizen</t>
        </is>
      </c>
      <c r="G3001" s="18" t="inlineStr">
        <is>
          <t>finizen</t>
        </is>
      </c>
      <c r="H3001" s="18" t="inlineStr"/>
      <c r="I3001" s="18" t="n">
        <v>9</v>
      </c>
      <c r="J3001" s="18" t="n"/>
      <c r="K3001" s="18" t="n">
        <v>9</v>
      </c>
      <c r="L3001" s="18" t="inlineStr">
        <is>
          <t>cobbleventure:generation_9</t>
        </is>
      </c>
      <c r="M3001" s="19" t="inlineStr">
        <is>
          <t>cobbleventure:generation_9</t>
        </is>
      </c>
      <c r="N3001" s="18" t="inlineStr"/>
      <c r="O3001" s="19" t="inlineStr"/>
      <c r="P3001" s="18" t="inlineStr">
        <is>
          <t>#cobblemon:is_ocean</t>
        </is>
      </c>
      <c r="Q3001" s="19" t="inlineStr"/>
      <c r="R3001" s="18">
        <f>IF(Q3001="",P3001,Q3001)</f>
        <v/>
      </c>
      <c r="S3001" s="18" t="inlineStr"/>
      <c r="T3001" s="18" t="inlineStr">
        <is>
          <t>common</t>
        </is>
      </c>
      <c r="U3001" s="20" t="n">
        <v>1.8</v>
      </c>
      <c r="V3001" s="21" t="n">
        <v>1</v>
      </c>
      <c r="W3001" s="20">
        <f>IF(OR(U3001="",V3001=""),U3001,U3001*V3001)</f>
        <v/>
      </c>
      <c r="X3001" s="18" t="inlineStr">
        <is>
          <t>7-32</t>
        </is>
      </c>
      <c r="Y3001" s="19" t="inlineStr"/>
      <c r="Z3001" s="18">
        <f>IF(Y3001="",X3001,Y3001)</f>
        <v/>
      </c>
      <c r="AA3001" s="18" t="inlineStr">
        <is>
          <t>fishing</t>
        </is>
      </c>
      <c r="AB3001" s="18" t="inlineStr"/>
      <c r="AC3001" s="18" t="inlineStr"/>
      <c r="AD3001" s="18" t="inlineStr"/>
      <c r="AE3001" s="18" t="inlineStr"/>
      <c r="AF3001" s="18" t="inlineStr">
        <is>
          <t>True</t>
        </is>
      </c>
      <c r="AG3001" s="18" t="inlineStr"/>
      <c r="AH3001" s="18" t="inlineStr"/>
      <c r="AI3001" s="18" t="inlineStr">
        <is>
          <t>{"fishing":{"minLureLevel":1}}</t>
        </is>
      </c>
      <c r="AJ3001" s="18" t="inlineStr">
        <is>
          <t>Cobblemon 동일</t>
        </is>
      </c>
      <c r="AK3001" s="18" t="inlineStr">
        <is>
          <t>사용</t>
        </is>
      </c>
      <c r="AL3001" s="18" t="inlineStr">
        <is>
          <t>COBBLEVERSE 1.7.42 / DP v31</t>
        </is>
      </c>
      <c r="AM3001" s="18" t="inlineStr">
        <is>
          <t>data/cobblemon/spawn_pool_world/0963_finizen.json</t>
        </is>
      </c>
      <c r="AN3001" s="18" t="inlineStr">
        <is>
          <t>finizen-3</t>
        </is>
      </c>
      <c r="AO3001" s="18" t="inlineStr">
        <is>
          <t>pokemon</t>
        </is>
      </c>
      <c r="AP3001" s="18" t="inlineStr"/>
      <c r="AQ3001" s="18" t="inlineStr">
        <is>
          <t>{"biomes":["#cobblemon:is_ocean"],"canSeeSky":true,"minLureLevel":1}</t>
        </is>
      </c>
      <c r="AR3001" s="18" t="inlineStr"/>
      <c r="AS3001" s="18" t="inlineStr">
        <is>
          <t>{"weightMultiplier":{"condition":{"minLureLevel":3},"multiplier":3.0}}</t>
        </is>
      </c>
      <c r="AT3001" s="19" t="inlineStr"/>
    </row>
    <row r="3002" ht="32" customHeight="1">
      <c r="A3002" s="18" t="inlineStr">
        <is>
          <t>0963_finizen.json::finizen-4::004</t>
        </is>
      </c>
      <c r="B3002" s="19" t="inlineStr">
        <is>
          <t>사용</t>
        </is>
      </c>
      <c r="C3002" s="18">
        <f>IF(OR(B3002&lt;&gt;AK3002,M3002&lt;&gt;L3002,O3002&lt;&gt;"",Q3002&lt;&gt;"",V3002&lt;&gt;1,Y3002&lt;&gt;"",AT3002&lt;&gt;""),"수정","원본")</f>
        <v/>
      </c>
      <c r="D3002" s="18" t="n">
        <v>963</v>
      </c>
      <c r="E3002" s="18" t="inlineStr">
        <is>
          <t>맨돌핀</t>
        </is>
      </c>
      <c r="F3002" s="18" t="inlineStr">
        <is>
          <t>finizen</t>
        </is>
      </c>
      <c r="G3002" s="18" t="inlineStr">
        <is>
          <t>finizen</t>
        </is>
      </c>
      <c r="H3002" s="18" t="inlineStr"/>
      <c r="I3002" s="18" t="n">
        <v>9</v>
      </c>
      <c r="J3002" s="18" t="n"/>
      <c r="K3002" s="18" t="n">
        <v>9</v>
      </c>
      <c r="L3002" s="18" t="inlineStr">
        <is>
          <t>cobbleventure:generation_9</t>
        </is>
      </c>
      <c r="M3002" s="19" t="inlineStr">
        <is>
          <t>cobbleventure:generation_9</t>
        </is>
      </c>
      <c r="N3002" s="18" t="inlineStr"/>
      <c r="O3002" s="19" t="inlineStr"/>
      <c r="P3002" s="18" t="inlineStr">
        <is>
          <t>#cobblemon:is_ocean</t>
        </is>
      </c>
      <c r="Q3002" s="19" t="inlineStr"/>
      <c r="R3002" s="18">
        <f>IF(Q3002="",P3002,Q3002)</f>
        <v/>
      </c>
      <c r="S3002" s="18" t="inlineStr"/>
      <c r="T3002" s="18" t="inlineStr">
        <is>
          <t>uncommon</t>
        </is>
      </c>
      <c r="U3002" s="20" t="n">
        <v>5.04</v>
      </c>
      <c r="V3002" s="21" t="n">
        <v>1</v>
      </c>
      <c r="W3002" s="20">
        <f>IF(OR(U3002="",V3002=""),U3002,U3002*V3002)</f>
        <v/>
      </c>
      <c r="X3002" s="18" t="inlineStr">
        <is>
          <t>7-32</t>
        </is>
      </c>
      <c r="Y3002" s="19" t="inlineStr"/>
      <c r="Z3002" s="18">
        <f>IF(Y3002="",X3002,Y3002)</f>
        <v/>
      </c>
      <c r="AA3002" s="18" t="inlineStr">
        <is>
          <t>submerged</t>
        </is>
      </c>
      <c r="AB3002" s="18" t="inlineStr"/>
      <c r="AC3002" s="18" t="inlineStr"/>
      <c r="AD3002" s="18" t="inlineStr"/>
      <c r="AE3002" s="18" t="inlineStr">
        <is>
          <t>sky 8-15</t>
        </is>
      </c>
      <c r="AF3002" s="18" t="inlineStr">
        <is>
          <t>False</t>
        </is>
      </c>
      <c r="AG3002" s="18" t="inlineStr"/>
      <c r="AH3002" s="18" t="inlineStr"/>
      <c r="AI3002" s="18" t="inlineStr"/>
      <c r="AJ3002" s="18" t="inlineStr">
        <is>
          <t>Cobblemon 동일</t>
        </is>
      </c>
      <c r="AK3002" s="18" t="inlineStr">
        <is>
          <t>사용</t>
        </is>
      </c>
      <c r="AL3002" s="18" t="inlineStr">
        <is>
          <t>COBBLEVERSE 1.7.42 / DP v31</t>
        </is>
      </c>
      <c r="AM3002" s="18" t="inlineStr">
        <is>
          <t>data/cobblemon/spawn_pool_world/0963_finizen.json</t>
        </is>
      </c>
      <c r="AN3002" s="18" t="inlineStr">
        <is>
          <t>finizen-4</t>
        </is>
      </c>
      <c r="AO3002" s="18" t="inlineStr">
        <is>
          <t>pokemon</t>
        </is>
      </c>
      <c r="AP3002" s="18" t="inlineStr">
        <is>
          <t>water</t>
        </is>
      </c>
      <c r="AQ3002" s="18" t="inlineStr">
        <is>
          <t>{"biomes":["#cobblemon:is_ocean"],"canSeeSky":false,"maxSkyLight":15,"minSkyLight":8}</t>
        </is>
      </c>
      <c r="AR3002" s="18" t="inlineStr"/>
      <c r="AS3002" s="18" t="inlineStr"/>
      <c r="AT3002" s="19" t="inlineStr"/>
    </row>
    <row r="3003" ht="32" customHeight="1">
      <c r="A3003" s="18" t="inlineStr">
        <is>
          <t>0963_finizen.json::finizen-5::005</t>
        </is>
      </c>
      <c r="B3003" s="19" t="inlineStr">
        <is>
          <t>사용</t>
        </is>
      </c>
      <c r="C3003" s="18">
        <f>IF(OR(B3003&lt;&gt;AK3003,M3003&lt;&gt;L3003,O3003&lt;&gt;"",Q3003&lt;&gt;"",V3003&lt;&gt;1,Y3003&lt;&gt;"",AT3003&lt;&gt;""),"수정","원본")</f>
        <v/>
      </c>
      <c r="D3003" s="18" t="n">
        <v>963</v>
      </c>
      <c r="E3003" s="18" t="inlineStr">
        <is>
          <t>맨돌핀</t>
        </is>
      </c>
      <c r="F3003" s="18" t="inlineStr">
        <is>
          <t>finizen</t>
        </is>
      </c>
      <c r="G3003" s="18" t="inlineStr">
        <is>
          <t>finizen</t>
        </is>
      </c>
      <c r="H3003" s="18" t="inlineStr"/>
      <c r="I3003" s="18" t="n">
        <v>9</v>
      </c>
      <c r="J3003" s="18" t="n"/>
      <c r="K3003" s="18" t="n">
        <v>9</v>
      </c>
      <c r="L3003" s="18" t="inlineStr">
        <is>
          <t>cobbleventure:generation_9</t>
        </is>
      </c>
      <c r="M3003" s="19" t="inlineStr">
        <is>
          <t>cobbleventure:generation_9</t>
        </is>
      </c>
      <c r="N3003" s="18" t="inlineStr"/>
      <c r="O3003" s="19" t="inlineStr"/>
      <c r="P3003" s="18" t="inlineStr">
        <is>
          <t>#cobblemon:is_ocean</t>
        </is>
      </c>
      <c r="Q3003" s="19" t="inlineStr"/>
      <c r="R3003" s="18">
        <f>IF(Q3003="",P3003,Q3003)</f>
        <v/>
      </c>
      <c r="S3003" s="18" t="inlineStr"/>
      <c r="T3003" s="18" t="inlineStr">
        <is>
          <t>uncommon</t>
        </is>
      </c>
      <c r="U3003" s="20" t="n">
        <v>5.04</v>
      </c>
      <c r="V3003" s="21" t="n">
        <v>1</v>
      </c>
      <c r="W3003" s="20">
        <f>IF(OR(U3003="",V3003=""),U3003,U3003*V3003)</f>
        <v/>
      </c>
      <c r="X3003" s="18" t="inlineStr">
        <is>
          <t>7-32</t>
        </is>
      </c>
      <c r="Y3003" s="19" t="inlineStr"/>
      <c r="Z3003" s="18">
        <f>IF(Y3003="",X3003,Y3003)</f>
        <v/>
      </c>
      <c r="AA3003" s="18" t="inlineStr">
        <is>
          <t>fishing</t>
        </is>
      </c>
      <c r="AB3003" s="18" t="inlineStr"/>
      <c r="AC3003" s="18" t="inlineStr"/>
      <c r="AD3003" s="18" t="inlineStr"/>
      <c r="AE3003" s="18" t="inlineStr">
        <is>
          <t>sky 8-15</t>
        </is>
      </c>
      <c r="AF3003" s="18" t="inlineStr">
        <is>
          <t>False</t>
        </is>
      </c>
      <c r="AG3003" s="18" t="inlineStr"/>
      <c r="AH3003" s="18" t="inlineStr"/>
      <c r="AI3003" s="18" t="inlineStr"/>
      <c r="AJ3003" s="18" t="inlineStr">
        <is>
          <t>Cobblemon 동일</t>
        </is>
      </c>
      <c r="AK3003" s="18" t="inlineStr">
        <is>
          <t>사용</t>
        </is>
      </c>
      <c r="AL3003" s="18" t="inlineStr">
        <is>
          <t>COBBLEVERSE 1.7.42 / DP v31</t>
        </is>
      </c>
      <c r="AM3003" s="18" t="inlineStr">
        <is>
          <t>data/cobblemon/spawn_pool_world/0963_finizen.json</t>
        </is>
      </c>
      <c r="AN3003" s="18" t="inlineStr">
        <is>
          <t>finizen-5</t>
        </is>
      </c>
      <c r="AO3003" s="18" t="inlineStr">
        <is>
          <t>pokemon</t>
        </is>
      </c>
      <c r="AP3003" s="18" t="inlineStr"/>
      <c r="AQ3003" s="18" t="inlineStr">
        <is>
          <t>{"biomes":["#cobblemon:is_ocean"],"canSeeSky":false,"maxSkyLight":15,"minSkyLight":8}</t>
        </is>
      </c>
      <c r="AR3003" s="18" t="inlineStr">
        <is>
          <t>{"minLureLevel":1}</t>
        </is>
      </c>
      <c r="AS3003" s="18" t="inlineStr"/>
      <c r="AT3003" s="19" t="inlineStr"/>
    </row>
    <row r="3004" ht="32" customHeight="1">
      <c r="A3004" s="18" t="inlineStr">
        <is>
          <t>0963_finizen.json::finizen-6::006</t>
        </is>
      </c>
      <c r="B3004" s="19" t="inlineStr">
        <is>
          <t>사용</t>
        </is>
      </c>
      <c r="C3004" s="18">
        <f>IF(OR(B3004&lt;&gt;AK3004,M3004&lt;&gt;L3004,O3004&lt;&gt;"",Q3004&lt;&gt;"",V3004&lt;&gt;1,Y3004&lt;&gt;"",AT3004&lt;&gt;""),"수정","원본")</f>
        <v/>
      </c>
      <c r="D3004" s="18" t="n">
        <v>963</v>
      </c>
      <c r="E3004" s="18" t="inlineStr">
        <is>
          <t>맨돌핀</t>
        </is>
      </c>
      <c r="F3004" s="18" t="inlineStr">
        <is>
          <t>finizen</t>
        </is>
      </c>
      <c r="G3004" s="18" t="inlineStr">
        <is>
          <t>finizen</t>
        </is>
      </c>
      <c r="H3004" s="18" t="inlineStr"/>
      <c r="I3004" s="18" t="n">
        <v>9</v>
      </c>
      <c r="J3004" s="18" t="n"/>
      <c r="K3004" s="18" t="n">
        <v>9</v>
      </c>
      <c r="L3004" s="18" t="inlineStr">
        <is>
          <t>cobbleventure:generation_9</t>
        </is>
      </c>
      <c r="M3004" s="19" t="inlineStr">
        <is>
          <t>cobbleventure:generation_9</t>
        </is>
      </c>
      <c r="N3004" s="18" t="inlineStr"/>
      <c r="O3004" s="19" t="inlineStr"/>
      <c r="P3004" s="18" t="inlineStr">
        <is>
          <t>#cobblemon:is_ocean</t>
        </is>
      </c>
      <c r="Q3004" s="19" t="inlineStr"/>
      <c r="R3004" s="18">
        <f>IF(Q3004="",P3004,Q3004)</f>
        <v/>
      </c>
      <c r="S3004" s="18" t="inlineStr"/>
      <c r="T3004" s="18" t="inlineStr">
        <is>
          <t>common</t>
        </is>
      </c>
      <c r="U3004" s="20" t="n">
        <v>1.8</v>
      </c>
      <c r="V3004" s="21" t="n">
        <v>1</v>
      </c>
      <c r="W3004" s="20">
        <f>IF(OR(U3004="",V3004=""),U3004,U3004*V3004)</f>
        <v/>
      </c>
      <c r="X3004" s="18" t="inlineStr">
        <is>
          <t>7-32</t>
        </is>
      </c>
      <c r="Y3004" s="19" t="inlineStr"/>
      <c r="Z3004" s="18">
        <f>IF(Y3004="",X3004,Y3004)</f>
        <v/>
      </c>
      <c r="AA3004" s="18" t="inlineStr">
        <is>
          <t>fishing</t>
        </is>
      </c>
      <c r="AB3004" s="18" t="inlineStr"/>
      <c r="AC3004" s="18" t="inlineStr"/>
      <c r="AD3004" s="18" t="inlineStr"/>
      <c r="AE3004" s="18" t="inlineStr">
        <is>
          <t>sky 8-15</t>
        </is>
      </c>
      <c r="AF3004" s="18" t="inlineStr">
        <is>
          <t>False</t>
        </is>
      </c>
      <c r="AG3004" s="18" t="inlineStr"/>
      <c r="AH3004" s="18" t="inlineStr"/>
      <c r="AI3004" s="18" t="inlineStr">
        <is>
          <t>{"fishing":{"minLureLevel":1}}</t>
        </is>
      </c>
      <c r="AJ3004" s="18" t="inlineStr">
        <is>
          <t>Cobblemon 동일</t>
        </is>
      </c>
      <c r="AK3004" s="18" t="inlineStr">
        <is>
          <t>사용</t>
        </is>
      </c>
      <c r="AL3004" s="18" t="inlineStr">
        <is>
          <t>COBBLEVERSE 1.7.42 / DP v31</t>
        </is>
      </c>
      <c r="AM3004" s="18" t="inlineStr">
        <is>
          <t>data/cobblemon/spawn_pool_world/0963_finizen.json</t>
        </is>
      </c>
      <c r="AN3004" s="18" t="inlineStr">
        <is>
          <t>finizen-6</t>
        </is>
      </c>
      <c r="AO3004" s="18" t="inlineStr">
        <is>
          <t>pokemon</t>
        </is>
      </c>
      <c r="AP3004" s="18" t="inlineStr"/>
      <c r="AQ3004" s="18" t="inlineStr">
        <is>
          <t>{"biomes":["#cobblemon:is_ocean"],"canSeeSky":false,"maxSkyLight":15,"minLureLevel":1,"minSkyLight":8}</t>
        </is>
      </c>
      <c r="AR3004" s="18" t="inlineStr"/>
      <c r="AS3004" s="18" t="inlineStr">
        <is>
          <t>{"weightMultiplier":{"condition":{"minLureLevel":3},"multiplier":3.0}}</t>
        </is>
      </c>
      <c r="AT3004" s="19" t="inlineStr"/>
    </row>
    <row r="3005" ht="32" customHeight="1">
      <c r="A3005" s="18" t="inlineStr">
        <is>
          <t>0964_palafin.json::palafin-1::001</t>
        </is>
      </c>
      <c r="B3005" s="19" t="inlineStr">
        <is>
          <t>사용</t>
        </is>
      </c>
      <c r="C3005" s="18">
        <f>IF(OR(B3005&lt;&gt;AK3005,M3005&lt;&gt;L3005,O3005&lt;&gt;"",Q3005&lt;&gt;"",V3005&lt;&gt;1,Y3005&lt;&gt;"",AT3005&lt;&gt;""),"수정","원본")</f>
        <v/>
      </c>
      <c r="D3005" s="18" t="n">
        <v>964</v>
      </c>
      <c r="E3005" s="18" t="inlineStr">
        <is>
          <t>돌핀맨</t>
        </is>
      </c>
      <c r="F3005" s="18" t="inlineStr">
        <is>
          <t>palafin</t>
        </is>
      </c>
      <c r="G3005" s="18" t="inlineStr">
        <is>
          <t>palafin</t>
        </is>
      </c>
      <c r="H3005" s="18" t="inlineStr"/>
      <c r="I3005" s="18" t="n">
        <v>9</v>
      </c>
      <c r="J3005" s="18" t="n"/>
      <c r="K3005" s="18" t="n">
        <v>9</v>
      </c>
      <c r="L3005" s="18" t="inlineStr">
        <is>
          <t>cobbleventure:generation_9</t>
        </is>
      </c>
      <c r="M3005" s="19" t="inlineStr">
        <is>
          <t>cobbleventure:generation_9</t>
        </is>
      </c>
      <c r="N3005" s="18" t="inlineStr"/>
      <c r="O3005" s="19" t="inlineStr"/>
      <c r="P3005" s="18" t="inlineStr">
        <is>
          <t>#cobblemon:is_ocean</t>
        </is>
      </c>
      <c r="Q3005" s="19" t="inlineStr"/>
      <c r="R3005" s="18">
        <f>IF(Q3005="",P3005,Q3005)</f>
        <v/>
      </c>
      <c r="S3005" s="18" t="inlineStr"/>
      <c r="T3005" s="18" t="inlineStr">
        <is>
          <t>uncommon</t>
        </is>
      </c>
      <c r="U3005" s="20" t="n">
        <v>0.96</v>
      </c>
      <c r="V3005" s="21" t="n">
        <v>1</v>
      </c>
      <c r="W3005" s="20">
        <f>IF(OR(U3005="",V3005=""),U3005,U3005*V3005)</f>
        <v/>
      </c>
      <c r="X3005" s="18" t="inlineStr">
        <is>
          <t>38-46</t>
        </is>
      </c>
      <c r="Y3005" s="19" t="inlineStr"/>
      <c r="Z3005" s="18">
        <f>IF(Y3005="",X3005,Y3005)</f>
        <v/>
      </c>
      <c r="AA3005" s="18" t="inlineStr">
        <is>
          <t>submerged</t>
        </is>
      </c>
      <c r="AB3005" s="18" t="inlineStr"/>
      <c r="AC3005" s="18" t="inlineStr"/>
      <c r="AD3005" s="18" t="inlineStr"/>
      <c r="AE3005" s="18" t="inlineStr"/>
      <c r="AF3005" s="18" t="inlineStr">
        <is>
          <t>True</t>
        </is>
      </c>
      <c r="AG3005" s="18" t="inlineStr"/>
      <c r="AH3005" s="18" t="inlineStr"/>
      <c r="AI3005" s="18" t="inlineStr"/>
      <c r="AJ3005" s="18" t="inlineStr">
        <is>
          <t>Cobblemon 동일</t>
        </is>
      </c>
      <c r="AK3005" s="18" t="inlineStr">
        <is>
          <t>사용</t>
        </is>
      </c>
      <c r="AL3005" s="18" t="inlineStr">
        <is>
          <t>COBBLEVERSE 1.7.42 / DP v31</t>
        </is>
      </c>
      <c r="AM3005" s="18" t="inlineStr">
        <is>
          <t>data/cobblemon/spawn_pool_world/0964_palafin.json</t>
        </is>
      </c>
      <c r="AN3005" s="18" t="inlineStr">
        <is>
          <t>palafin-1</t>
        </is>
      </c>
      <c r="AO3005" s="18" t="inlineStr">
        <is>
          <t>pokemon</t>
        </is>
      </c>
      <c r="AP3005" s="18" t="inlineStr">
        <is>
          <t>water</t>
        </is>
      </c>
      <c r="AQ3005" s="18" t="inlineStr">
        <is>
          <t>{"biomes":["#cobblemon:is_ocean"],"canSeeSky":true}</t>
        </is>
      </c>
      <c r="AR3005" s="18" t="inlineStr"/>
      <c r="AS3005" s="18" t="inlineStr"/>
      <c r="AT3005" s="19" t="inlineStr"/>
    </row>
    <row r="3006" ht="32" customHeight="1">
      <c r="A3006" s="18" t="inlineStr">
        <is>
          <t>0964_palafin.json::palafin-2::002</t>
        </is>
      </c>
      <c r="B3006" s="19" t="inlineStr">
        <is>
          <t>사용</t>
        </is>
      </c>
      <c r="C3006" s="18">
        <f>IF(OR(B3006&lt;&gt;AK3006,M3006&lt;&gt;L3006,O3006&lt;&gt;"",Q3006&lt;&gt;"",V3006&lt;&gt;1,Y3006&lt;&gt;"",AT3006&lt;&gt;""),"수정","원본")</f>
        <v/>
      </c>
      <c r="D3006" s="18" t="n">
        <v>964</v>
      </c>
      <c r="E3006" s="18" t="inlineStr">
        <is>
          <t>돌핀맨</t>
        </is>
      </c>
      <c r="F3006" s="18" t="inlineStr">
        <is>
          <t>palafin</t>
        </is>
      </c>
      <c r="G3006" s="18" t="inlineStr">
        <is>
          <t>palafin</t>
        </is>
      </c>
      <c r="H3006" s="18" t="inlineStr"/>
      <c r="I3006" s="18" t="n">
        <v>9</v>
      </c>
      <c r="J3006" s="18" t="n"/>
      <c r="K3006" s="18" t="n">
        <v>9</v>
      </c>
      <c r="L3006" s="18" t="inlineStr">
        <is>
          <t>cobbleventure:generation_9</t>
        </is>
      </c>
      <c r="M3006" s="19" t="inlineStr">
        <is>
          <t>cobbleventure:generation_9</t>
        </is>
      </c>
      <c r="N3006" s="18" t="inlineStr"/>
      <c r="O3006" s="19" t="inlineStr"/>
      <c r="P3006" s="18" t="inlineStr">
        <is>
          <t>#cobblemon:is_ocean</t>
        </is>
      </c>
      <c r="Q3006" s="19" t="inlineStr"/>
      <c r="R3006" s="18">
        <f>IF(Q3006="",P3006,Q3006)</f>
        <v/>
      </c>
      <c r="S3006" s="18" t="inlineStr"/>
      <c r="T3006" s="18" t="inlineStr">
        <is>
          <t>uncommon</t>
        </is>
      </c>
      <c r="U3006" s="20" t="n">
        <v>0.96</v>
      </c>
      <c r="V3006" s="21" t="n">
        <v>1</v>
      </c>
      <c r="W3006" s="20">
        <f>IF(OR(U3006="",V3006=""),U3006,U3006*V3006)</f>
        <v/>
      </c>
      <c r="X3006" s="18" t="inlineStr">
        <is>
          <t>38-46</t>
        </is>
      </c>
      <c r="Y3006" s="19" t="inlineStr"/>
      <c r="Z3006" s="18">
        <f>IF(Y3006="",X3006,Y3006)</f>
        <v/>
      </c>
      <c r="AA3006" s="18" t="inlineStr">
        <is>
          <t>fishing</t>
        </is>
      </c>
      <c r="AB3006" s="18" t="inlineStr"/>
      <c r="AC3006" s="18" t="inlineStr"/>
      <c r="AD3006" s="18" t="inlineStr"/>
      <c r="AE3006" s="18" t="inlineStr"/>
      <c r="AF3006" s="18" t="inlineStr">
        <is>
          <t>True</t>
        </is>
      </c>
      <c r="AG3006" s="18" t="inlineStr"/>
      <c r="AH3006" s="18" t="inlineStr"/>
      <c r="AI3006" s="18" t="inlineStr"/>
      <c r="AJ3006" s="18" t="inlineStr">
        <is>
          <t>Cobblemon 동일</t>
        </is>
      </c>
      <c r="AK3006" s="18" t="inlineStr">
        <is>
          <t>사용</t>
        </is>
      </c>
      <c r="AL3006" s="18" t="inlineStr">
        <is>
          <t>COBBLEVERSE 1.7.42 / DP v31</t>
        </is>
      </c>
      <c r="AM3006" s="18" t="inlineStr">
        <is>
          <t>data/cobblemon/spawn_pool_world/0964_palafin.json</t>
        </is>
      </c>
      <c r="AN3006" s="18" t="inlineStr">
        <is>
          <t>palafin-2</t>
        </is>
      </c>
      <c r="AO3006" s="18" t="inlineStr">
        <is>
          <t>pokemon</t>
        </is>
      </c>
      <c r="AP3006" s="18" t="inlineStr"/>
      <c r="AQ3006" s="18" t="inlineStr">
        <is>
          <t>{"biomes":["#cobblemon:is_ocean"],"canSeeSky":true}</t>
        </is>
      </c>
      <c r="AR3006" s="18" t="inlineStr">
        <is>
          <t>{"minLureLevel":1}</t>
        </is>
      </c>
      <c r="AS3006" s="18" t="inlineStr"/>
      <c r="AT3006" s="19" t="inlineStr"/>
    </row>
    <row r="3007" ht="32" customHeight="1">
      <c r="A3007" s="18" t="inlineStr">
        <is>
          <t>0964_palafin.json::palafin-3::003</t>
        </is>
      </c>
      <c r="B3007" s="19" t="inlineStr">
        <is>
          <t>사용</t>
        </is>
      </c>
      <c r="C3007" s="18">
        <f>IF(OR(B3007&lt;&gt;AK3007,M3007&lt;&gt;L3007,O3007&lt;&gt;"",Q3007&lt;&gt;"",V3007&lt;&gt;1,Y3007&lt;&gt;"",AT3007&lt;&gt;""),"수정","원본")</f>
        <v/>
      </c>
      <c r="D3007" s="18" t="n">
        <v>964</v>
      </c>
      <c r="E3007" s="18" t="inlineStr">
        <is>
          <t>돌핀맨</t>
        </is>
      </c>
      <c r="F3007" s="18" t="inlineStr">
        <is>
          <t>palafin</t>
        </is>
      </c>
      <c r="G3007" s="18" t="inlineStr">
        <is>
          <t>palafin</t>
        </is>
      </c>
      <c r="H3007" s="18" t="inlineStr"/>
      <c r="I3007" s="18" t="n">
        <v>9</v>
      </c>
      <c r="J3007" s="18" t="n"/>
      <c r="K3007" s="18" t="n">
        <v>9</v>
      </c>
      <c r="L3007" s="18" t="inlineStr">
        <is>
          <t>cobbleventure:generation_9</t>
        </is>
      </c>
      <c r="M3007" s="19" t="inlineStr">
        <is>
          <t>cobbleventure:generation_9</t>
        </is>
      </c>
      <c r="N3007" s="18" t="inlineStr"/>
      <c r="O3007" s="19" t="inlineStr"/>
      <c r="P3007" s="18" t="inlineStr">
        <is>
          <t>#cobblemon:is_ocean</t>
        </is>
      </c>
      <c r="Q3007" s="19" t="inlineStr"/>
      <c r="R3007" s="18">
        <f>IF(Q3007="",P3007,Q3007)</f>
        <v/>
      </c>
      <c r="S3007" s="18" t="inlineStr"/>
      <c r="T3007" s="18" t="inlineStr">
        <is>
          <t>common</t>
        </is>
      </c>
      <c r="U3007" s="20" t="n">
        <v>0.2</v>
      </c>
      <c r="V3007" s="21" t="n">
        <v>1</v>
      </c>
      <c r="W3007" s="20">
        <f>IF(OR(U3007="",V3007=""),U3007,U3007*V3007)</f>
        <v/>
      </c>
      <c r="X3007" s="18" t="inlineStr">
        <is>
          <t>38-46</t>
        </is>
      </c>
      <c r="Y3007" s="19" t="inlineStr"/>
      <c r="Z3007" s="18">
        <f>IF(Y3007="",X3007,Y3007)</f>
        <v/>
      </c>
      <c r="AA3007" s="18" t="inlineStr">
        <is>
          <t>fishing</t>
        </is>
      </c>
      <c r="AB3007" s="18" t="inlineStr"/>
      <c r="AC3007" s="18" t="inlineStr"/>
      <c r="AD3007" s="18" t="inlineStr"/>
      <c r="AE3007" s="18" t="inlineStr"/>
      <c r="AF3007" s="18" t="inlineStr">
        <is>
          <t>True</t>
        </is>
      </c>
      <c r="AG3007" s="18" t="inlineStr"/>
      <c r="AH3007" s="18" t="inlineStr"/>
      <c r="AI3007" s="18" t="inlineStr">
        <is>
          <t>{"fishing":{"minLureLevel":1}}</t>
        </is>
      </c>
      <c r="AJ3007" s="18" t="inlineStr">
        <is>
          <t>Cobblemon 동일</t>
        </is>
      </c>
      <c r="AK3007" s="18" t="inlineStr">
        <is>
          <t>사용</t>
        </is>
      </c>
      <c r="AL3007" s="18" t="inlineStr">
        <is>
          <t>COBBLEVERSE 1.7.42 / DP v31</t>
        </is>
      </c>
      <c r="AM3007" s="18" t="inlineStr">
        <is>
          <t>data/cobblemon/spawn_pool_world/0964_palafin.json</t>
        </is>
      </c>
      <c r="AN3007" s="18" t="inlineStr">
        <is>
          <t>palafin-3</t>
        </is>
      </c>
      <c r="AO3007" s="18" t="inlineStr">
        <is>
          <t>pokemon</t>
        </is>
      </c>
      <c r="AP3007" s="18" t="inlineStr"/>
      <c r="AQ3007" s="18" t="inlineStr">
        <is>
          <t>{"biomes":["#cobblemon:is_ocean"],"canSeeSky":true,"minLureLevel":1}</t>
        </is>
      </c>
      <c r="AR3007" s="18" t="inlineStr"/>
      <c r="AS3007" s="18" t="inlineStr">
        <is>
          <t>{"weightMultiplier":{"condition":{"minLureLevel":3},"multiplier":3.0}}</t>
        </is>
      </c>
      <c r="AT3007" s="19" t="inlineStr"/>
    </row>
    <row r="3008" ht="32" customHeight="1">
      <c r="A3008" s="18" t="inlineStr">
        <is>
          <t>0964_palafin.json::palafin-4::004</t>
        </is>
      </c>
      <c r="B3008" s="19" t="inlineStr">
        <is>
          <t>사용</t>
        </is>
      </c>
      <c r="C3008" s="18">
        <f>IF(OR(B3008&lt;&gt;AK3008,M3008&lt;&gt;L3008,O3008&lt;&gt;"",Q3008&lt;&gt;"",V3008&lt;&gt;1,Y3008&lt;&gt;"",AT3008&lt;&gt;""),"수정","원본")</f>
        <v/>
      </c>
      <c r="D3008" s="18" t="n">
        <v>964</v>
      </c>
      <c r="E3008" s="18" t="inlineStr">
        <is>
          <t>돌핀맨</t>
        </is>
      </c>
      <c r="F3008" s="18" t="inlineStr">
        <is>
          <t>palafin</t>
        </is>
      </c>
      <c r="G3008" s="18" t="inlineStr">
        <is>
          <t>palafin</t>
        </is>
      </c>
      <c r="H3008" s="18" t="inlineStr"/>
      <c r="I3008" s="18" t="n">
        <v>9</v>
      </c>
      <c r="J3008" s="18" t="n"/>
      <c r="K3008" s="18" t="n">
        <v>9</v>
      </c>
      <c r="L3008" s="18" t="inlineStr">
        <is>
          <t>cobbleventure:generation_9</t>
        </is>
      </c>
      <c r="M3008" s="19" t="inlineStr">
        <is>
          <t>cobbleventure:generation_9</t>
        </is>
      </c>
      <c r="N3008" s="18" t="inlineStr"/>
      <c r="O3008" s="19" t="inlineStr"/>
      <c r="P3008" s="18" t="inlineStr">
        <is>
          <t>#cobblemon:is_ocean</t>
        </is>
      </c>
      <c r="Q3008" s="19" t="inlineStr"/>
      <c r="R3008" s="18">
        <f>IF(Q3008="",P3008,Q3008)</f>
        <v/>
      </c>
      <c r="S3008" s="18" t="inlineStr"/>
      <c r="T3008" s="18" t="inlineStr">
        <is>
          <t>uncommon</t>
        </is>
      </c>
      <c r="U3008" s="20" t="n">
        <v>0.96</v>
      </c>
      <c r="V3008" s="21" t="n">
        <v>1</v>
      </c>
      <c r="W3008" s="20">
        <f>IF(OR(U3008="",V3008=""),U3008,U3008*V3008)</f>
        <v/>
      </c>
      <c r="X3008" s="18" t="inlineStr">
        <is>
          <t>38-46</t>
        </is>
      </c>
      <c r="Y3008" s="19" t="inlineStr"/>
      <c r="Z3008" s="18">
        <f>IF(Y3008="",X3008,Y3008)</f>
        <v/>
      </c>
      <c r="AA3008" s="18" t="inlineStr">
        <is>
          <t>submerged</t>
        </is>
      </c>
      <c r="AB3008" s="18" t="inlineStr"/>
      <c r="AC3008" s="18" t="inlineStr"/>
      <c r="AD3008" s="18" t="inlineStr"/>
      <c r="AE3008" s="18" t="inlineStr">
        <is>
          <t>sky 8-15</t>
        </is>
      </c>
      <c r="AF3008" s="18" t="inlineStr">
        <is>
          <t>False</t>
        </is>
      </c>
      <c r="AG3008" s="18" t="inlineStr"/>
      <c r="AH3008" s="18" t="inlineStr"/>
      <c r="AI3008" s="18" t="inlineStr"/>
      <c r="AJ3008" s="18" t="inlineStr">
        <is>
          <t>Cobblemon 동일</t>
        </is>
      </c>
      <c r="AK3008" s="18" t="inlineStr">
        <is>
          <t>사용</t>
        </is>
      </c>
      <c r="AL3008" s="18" t="inlineStr">
        <is>
          <t>COBBLEVERSE 1.7.42 / DP v31</t>
        </is>
      </c>
      <c r="AM3008" s="18" t="inlineStr">
        <is>
          <t>data/cobblemon/spawn_pool_world/0964_palafin.json</t>
        </is>
      </c>
      <c r="AN3008" s="18" t="inlineStr">
        <is>
          <t>palafin-4</t>
        </is>
      </c>
      <c r="AO3008" s="18" t="inlineStr">
        <is>
          <t>pokemon</t>
        </is>
      </c>
      <c r="AP3008" s="18" t="inlineStr">
        <is>
          <t>water</t>
        </is>
      </c>
      <c r="AQ3008" s="18" t="inlineStr">
        <is>
          <t>{"biomes":["#cobblemon:is_ocean"],"canSeeSky":false,"maxSkyLight":15,"minSkyLight":8}</t>
        </is>
      </c>
      <c r="AR3008" s="18" t="inlineStr"/>
      <c r="AS3008" s="18" t="inlineStr"/>
      <c r="AT3008" s="19" t="inlineStr"/>
    </row>
    <row r="3009" ht="32" customHeight="1">
      <c r="A3009" s="18" t="inlineStr">
        <is>
          <t>0964_palafin.json::palafin-5::005</t>
        </is>
      </c>
      <c r="B3009" s="19" t="inlineStr">
        <is>
          <t>사용</t>
        </is>
      </c>
      <c r="C3009" s="18">
        <f>IF(OR(B3009&lt;&gt;AK3009,M3009&lt;&gt;L3009,O3009&lt;&gt;"",Q3009&lt;&gt;"",V3009&lt;&gt;1,Y3009&lt;&gt;"",AT3009&lt;&gt;""),"수정","원본")</f>
        <v/>
      </c>
      <c r="D3009" s="18" t="n">
        <v>964</v>
      </c>
      <c r="E3009" s="18" t="inlineStr">
        <is>
          <t>돌핀맨</t>
        </is>
      </c>
      <c r="F3009" s="18" t="inlineStr">
        <is>
          <t>palafin</t>
        </is>
      </c>
      <c r="G3009" s="18" t="inlineStr">
        <is>
          <t>palafin</t>
        </is>
      </c>
      <c r="H3009" s="18" t="inlineStr"/>
      <c r="I3009" s="18" t="n">
        <v>9</v>
      </c>
      <c r="J3009" s="18" t="n"/>
      <c r="K3009" s="18" t="n">
        <v>9</v>
      </c>
      <c r="L3009" s="18" t="inlineStr">
        <is>
          <t>cobbleventure:generation_9</t>
        </is>
      </c>
      <c r="M3009" s="19" t="inlineStr">
        <is>
          <t>cobbleventure:generation_9</t>
        </is>
      </c>
      <c r="N3009" s="18" t="inlineStr"/>
      <c r="O3009" s="19" t="inlineStr"/>
      <c r="P3009" s="18" t="inlineStr">
        <is>
          <t>#cobblemon:is_ocean</t>
        </is>
      </c>
      <c r="Q3009" s="19" t="inlineStr"/>
      <c r="R3009" s="18">
        <f>IF(Q3009="",P3009,Q3009)</f>
        <v/>
      </c>
      <c r="S3009" s="18" t="inlineStr"/>
      <c r="T3009" s="18" t="inlineStr">
        <is>
          <t>uncommon</t>
        </is>
      </c>
      <c r="U3009" s="20" t="n">
        <v>0.96</v>
      </c>
      <c r="V3009" s="21" t="n">
        <v>1</v>
      </c>
      <c r="W3009" s="20">
        <f>IF(OR(U3009="",V3009=""),U3009,U3009*V3009)</f>
        <v/>
      </c>
      <c r="X3009" s="18" t="inlineStr">
        <is>
          <t>38-46</t>
        </is>
      </c>
      <c r="Y3009" s="19" t="inlineStr"/>
      <c r="Z3009" s="18">
        <f>IF(Y3009="",X3009,Y3009)</f>
        <v/>
      </c>
      <c r="AA3009" s="18" t="inlineStr">
        <is>
          <t>fishing</t>
        </is>
      </c>
      <c r="AB3009" s="18" t="inlineStr"/>
      <c r="AC3009" s="18" t="inlineStr"/>
      <c r="AD3009" s="18" t="inlineStr"/>
      <c r="AE3009" s="18" t="inlineStr">
        <is>
          <t>sky 8-15</t>
        </is>
      </c>
      <c r="AF3009" s="18" t="inlineStr">
        <is>
          <t>False</t>
        </is>
      </c>
      <c r="AG3009" s="18" t="inlineStr"/>
      <c r="AH3009" s="18" t="inlineStr"/>
      <c r="AI3009" s="18" t="inlineStr"/>
      <c r="AJ3009" s="18" t="inlineStr">
        <is>
          <t>Cobblemon 동일</t>
        </is>
      </c>
      <c r="AK3009" s="18" t="inlineStr">
        <is>
          <t>사용</t>
        </is>
      </c>
      <c r="AL3009" s="18" t="inlineStr">
        <is>
          <t>COBBLEVERSE 1.7.42 / DP v31</t>
        </is>
      </c>
      <c r="AM3009" s="18" t="inlineStr">
        <is>
          <t>data/cobblemon/spawn_pool_world/0964_palafin.json</t>
        </is>
      </c>
      <c r="AN3009" s="18" t="inlineStr">
        <is>
          <t>palafin-5</t>
        </is>
      </c>
      <c r="AO3009" s="18" t="inlineStr">
        <is>
          <t>pokemon</t>
        </is>
      </c>
      <c r="AP3009" s="18" t="inlineStr"/>
      <c r="AQ3009" s="18" t="inlineStr">
        <is>
          <t>{"biomes":["#cobblemon:is_ocean"],"canSeeSky":false,"maxSkyLight":15,"minSkyLight":8}</t>
        </is>
      </c>
      <c r="AR3009" s="18" t="inlineStr">
        <is>
          <t>{"minLureLevel":1}</t>
        </is>
      </c>
      <c r="AS3009" s="18" t="inlineStr"/>
      <c r="AT3009" s="19" t="inlineStr"/>
    </row>
    <row r="3010" ht="32" customHeight="1">
      <c r="A3010" s="18" t="inlineStr">
        <is>
          <t>0964_palafin.json::palafin-6::006</t>
        </is>
      </c>
      <c r="B3010" s="19" t="inlineStr">
        <is>
          <t>사용</t>
        </is>
      </c>
      <c r="C3010" s="18">
        <f>IF(OR(B3010&lt;&gt;AK3010,M3010&lt;&gt;L3010,O3010&lt;&gt;"",Q3010&lt;&gt;"",V3010&lt;&gt;1,Y3010&lt;&gt;"",AT3010&lt;&gt;""),"수정","원본")</f>
        <v/>
      </c>
      <c r="D3010" s="18" t="n">
        <v>964</v>
      </c>
      <c r="E3010" s="18" t="inlineStr">
        <is>
          <t>돌핀맨</t>
        </is>
      </c>
      <c r="F3010" s="18" t="inlineStr">
        <is>
          <t>palafin</t>
        </is>
      </c>
      <c r="G3010" s="18" t="inlineStr">
        <is>
          <t>palafin</t>
        </is>
      </c>
      <c r="H3010" s="18" t="inlineStr"/>
      <c r="I3010" s="18" t="n">
        <v>9</v>
      </c>
      <c r="J3010" s="18" t="n"/>
      <c r="K3010" s="18" t="n">
        <v>9</v>
      </c>
      <c r="L3010" s="18" t="inlineStr">
        <is>
          <t>cobbleventure:generation_9</t>
        </is>
      </c>
      <c r="M3010" s="19" t="inlineStr">
        <is>
          <t>cobbleventure:generation_9</t>
        </is>
      </c>
      <c r="N3010" s="18" t="inlineStr"/>
      <c r="O3010" s="19" t="inlineStr"/>
      <c r="P3010" s="18" t="inlineStr">
        <is>
          <t>#cobblemon:is_ocean</t>
        </is>
      </c>
      <c r="Q3010" s="19" t="inlineStr"/>
      <c r="R3010" s="18">
        <f>IF(Q3010="",P3010,Q3010)</f>
        <v/>
      </c>
      <c r="S3010" s="18" t="inlineStr"/>
      <c r="T3010" s="18" t="inlineStr">
        <is>
          <t>common</t>
        </is>
      </c>
      <c r="U3010" s="20" t="n">
        <v>0.2</v>
      </c>
      <c r="V3010" s="21" t="n">
        <v>1</v>
      </c>
      <c r="W3010" s="20">
        <f>IF(OR(U3010="",V3010=""),U3010,U3010*V3010)</f>
        <v/>
      </c>
      <c r="X3010" s="18" t="inlineStr">
        <is>
          <t>38-46</t>
        </is>
      </c>
      <c r="Y3010" s="19" t="inlineStr"/>
      <c r="Z3010" s="18">
        <f>IF(Y3010="",X3010,Y3010)</f>
        <v/>
      </c>
      <c r="AA3010" s="18" t="inlineStr">
        <is>
          <t>fishing</t>
        </is>
      </c>
      <c r="AB3010" s="18" t="inlineStr"/>
      <c r="AC3010" s="18" t="inlineStr"/>
      <c r="AD3010" s="18" t="inlineStr"/>
      <c r="AE3010" s="18" t="inlineStr">
        <is>
          <t>sky 8-15</t>
        </is>
      </c>
      <c r="AF3010" s="18" t="inlineStr">
        <is>
          <t>False</t>
        </is>
      </c>
      <c r="AG3010" s="18" t="inlineStr"/>
      <c r="AH3010" s="18" t="inlineStr"/>
      <c r="AI3010" s="18" t="inlineStr">
        <is>
          <t>{"fishing":{"minLureLevel":1}}</t>
        </is>
      </c>
      <c r="AJ3010" s="18" t="inlineStr">
        <is>
          <t>Cobblemon 동일</t>
        </is>
      </c>
      <c r="AK3010" s="18" t="inlineStr">
        <is>
          <t>사용</t>
        </is>
      </c>
      <c r="AL3010" s="18" t="inlineStr">
        <is>
          <t>COBBLEVERSE 1.7.42 / DP v31</t>
        </is>
      </c>
      <c r="AM3010" s="18" t="inlineStr">
        <is>
          <t>data/cobblemon/spawn_pool_world/0964_palafin.json</t>
        </is>
      </c>
      <c r="AN3010" s="18" t="inlineStr">
        <is>
          <t>palafin-6</t>
        </is>
      </c>
      <c r="AO3010" s="18" t="inlineStr">
        <is>
          <t>pokemon</t>
        </is>
      </c>
      <c r="AP3010" s="18" t="inlineStr"/>
      <c r="AQ3010" s="18" t="inlineStr">
        <is>
          <t>{"biomes":["#cobblemon:is_ocean"],"canSeeSky":false,"maxSkyLight":15,"minLureLevel":1,"minSkyLight":8}</t>
        </is>
      </c>
      <c r="AR3010" s="18" t="inlineStr"/>
      <c r="AS3010" s="18" t="inlineStr">
        <is>
          <t>{"weightMultiplier":{"condition":{"minLureLevel":3},"multiplier":3.0}}</t>
        </is>
      </c>
      <c r="AT3010" s="19" t="inlineStr"/>
    </row>
    <row r="3011" ht="32" customHeight="1">
      <c r="A3011" s="18" t="inlineStr">
        <is>
          <t>0965_varoom.json::varoom-1::001</t>
        </is>
      </c>
      <c r="B3011" s="19" t="inlineStr">
        <is>
          <t>사용</t>
        </is>
      </c>
      <c r="C3011" s="18">
        <f>IF(OR(B3011&lt;&gt;AK3011,M3011&lt;&gt;L3011,O3011&lt;&gt;"",Q3011&lt;&gt;"",V3011&lt;&gt;1,Y3011&lt;&gt;"",AT3011&lt;&gt;""),"수정","원본")</f>
        <v/>
      </c>
      <c r="D3011" s="18" t="n">
        <v>965</v>
      </c>
      <c r="E3011" s="18" t="inlineStr">
        <is>
          <t>부르롱</t>
        </is>
      </c>
      <c r="F3011" s="18" t="inlineStr">
        <is>
          <t>varoom</t>
        </is>
      </c>
      <c r="G3011" s="18" t="inlineStr">
        <is>
          <t>varoom</t>
        </is>
      </c>
      <c r="H3011" s="18" t="inlineStr"/>
      <c r="I3011" s="18" t="n">
        <v>9</v>
      </c>
      <c r="J3011" s="18" t="n"/>
      <c r="K3011" s="18" t="n">
        <v>9</v>
      </c>
      <c r="L3011" s="18" t="inlineStr">
        <is>
          <t>cobbleventure:generation_9</t>
        </is>
      </c>
      <c r="M3011" s="19" t="inlineStr">
        <is>
          <t>cobbleventure:generation_9</t>
        </is>
      </c>
      <c r="N3011" s="18" t="inlineStr"/>
      <c r="O3011" s="19" t="inlineStr"/>
      <c r="P3011" s="18" t="inlineStr">
        <is>
          <t>#cobblemon:is_badlands</t>
        </is>
      </c>
      <c r="Q3011" s="19" t="inlineStr"/>
      <c r="R3011" s="18">
        <f>IF(Q3011="",P3011,Q3011)</f>
        <v/>
      </c>
      <c r="S3011" s="18" t="inlineStr"/>
      <c r="T3011" s="18" t="inlineStr">
        <is>
          <t>uncommon</t>
        </is>
      </c>
      <c r="U3011" s="20" t="n">
        <v>5.04</v>
      </c>
      <c r="V3011" s="21" t="n">
        <v>1</v>
      </c>
      <c r="W3011" s="20">
        <f>IF(OR(U3011="",V3011=""),U3011,U3011*V3011)</f>
        <v/>
      </c>
      <c r="X3011" s="18" t="inlineStr">
        <is>
          <t>5-30</t>
        </is>
      </c>
      <c r="Y3011" s="19" t="inlineStr"/>
      <c r="Z3011" s="18">
        <f>IF(Y3011="",X3011,Y3011)</f>
        <v/>
      </c>
      <c r="AA3011" s="18" t="inlineStr">
        <is>
          <t>grounded</t>
        </is>
      </c>
      <c r="AB3011" s="18" t="inlineStr"/>
      <c r="AC3011" s="18" t="inlineStr"/>
      <c r="AD3011" s="18" t="inlineStr"/>
      <c r="AE3011" s="18" t="inlineStr">
        <is>
          <t>sky 8-15</t>
        </is>
      </c>
      <c r="AF3011" s="18" t="inlineStr"/>
      <c r="AG3011" s="18" t="inlineStr"/>
      <c r="AH3011" s="18" t="inlineStr"/>
      <c r="AI3011" s="18" t="inlineStr"/>
      <c r="AJ3011" s="18" t="inlineStr">
        <is>
          <t>Cobblemon 동일</t>
        </is>
      </c>
      <c r="AK3011" s="18" t="inlineStr">
        <is>
          <t>사용</t>
        </is>
      </c>
      <c r="AL3011" s="18" t="inlineStr">
        <is>
          <t>COBBLEVERSE 1.7.42 / DP v31</t>
        </is>
      </c>
      <c r="AM3011" s="18" t="inlineStr">
        <is>
          <t>data/cobblemon/spawn_pool_world/0965_varoom.json</t>
        </is>
      </c>
      <c r="AN3011" s="18" t="inlineStr">
        <is>
          <t>varoom-1</t>
        </is>
      </c>
      <c r="AO3011" s="18" t="inlineStr">
        <is>
          <t>pokemon</t>
        </is>
      </c>
      <c r="AP3011" s="18" t="inlineStr">
        <is>
          <t>natural</t>
        </is>
      </c>
      <c r="AQ3011" s="18" t="inlineStr">
        <is>
          <t>{"biomes":["#cobblemon:is_badlands"],"maxSkyLight":15,"minSkyLight":8}</t>
        </is>
      </c>
      <c r="AR3011" s="18" t="inlineStr"/>
      <c r="AS3011" s="18" t="inlineStr"/>
      <c r="AT3011" s="19" t="inlineStr"/>
    </row>
    <row r="3012" ht="32" customHeight="1">
      <c r="A3012" s="18" t="inlineStr">
        <is>
          <t>0965_varoom.json::varoom-2::002</t>
        </is>
      </c>
      <c r="B3012" s="19" t="inlineStr">
        <is>
          <t>사용</t>
        </is>
      </c>
      <c r="C3012" s="18">
        <f>IF(OR(B3012&lt;&gt;AK3012,M3012&lt;&gt;L3012,O3012&lt;&gt;"",Q3012&lt;&gt;"",V3012&lt;&gt;1,Y3012&lt;&gt;"",AT3012&lt;&gt;""),"수정","원본")</f>
        <v/>
      </c>
      <c r="D3012" s="18" t="n">
        <v>965</v>
      </c>
      <c r="E3012" s="18" t="inlineStr">
        <is>
          <t>부르롱</t>
        </is>
      </c>
      <c r="F3012" s="18" t="inlineStr">
        <is>
          <t>varoom</t>
        </is>
      </c>
      <c r="G3012" s="18" t="inlineStr">
        <is>
          <t>varoom</t>
        </is>
      </c>
      <c r="H3012" s="18" t="inlineStr"/>
      <c r="I3012" s="18" t="n">
        <v>9</v>
      </c>
      <c r="J3012" s="18" t="n"/>
      <c r="K3012" s="18" t="n">
        <v>9</v>
      </c>
      <c r="L3012" s="18" t="inlineStr">
        <is>
          <t>cobbleventure:generation_9</t>
        </is>
      </c>
      <c r="M3012" s="19" t="inlineStr">
        <is>
          <t>cobbleventure:generation_9</t>
        </is>
      </c>
      <c r="N3012" s="18" t="inlineStr">
        <is>
          <t>region_01; region_02</t>
        </is>
      </c>
      <c r="O3012" s="19" t="inlineStr"/>
      <c r="P3012" s="18" t="inlineStr">
        <is>
          <t>#cobblemon:is_overworld</t>
        </is>
      </c>
      <c r="Q3012" s="19" t="inlineStr"/>
      <c r="R3012" s="18">
        <f>IF(Q3012="",P3012,Q3012)</f>
        <v/>
      </c>
      <c r="S3012" s="18" t="inlineStr"/>
      <c r="T3012" s="18" t="inlineStr">
        <is>
          <t>uncommon</t>
        </is>
      </c>
      <c r="U3012" s="20" t="n">
        <v>5.04</v>
      </c>
      <c r="V3012" s="21" t="n">
        <v>1</v>
      </c>
      <c r="W3012" s="20">
        <f>IF(OR(U3012="",V3012=""),U3012,U3012*V3012)</f>
        <v/>
      </c>
      <c r="X3012" s="18" t="inlineStr">
        <is>
          <t>5-30</t>
        </is>
      </c>
      <c r="Y3012" s="19" t="inlineStr"/>
      <c r="Z3012" s="18">
        <f>IF(Y3012="",X3012,Y3012)</f>
        <v/>
      </c>
      <c r="AA3012" s="18" t="inlineStr">
        <is>
          <t>grounded</t>
        </is>
      </c>
      <c r="AB3012" s="18" t="inlineStr"/>
      <c r="AC3012" s="18" t="inlineStr"/>
      <c r="AD3012" s="18" t="inlineStr"/>
      <c r="AE3012" s="18" t="inlineStr">
        <is>
          <t>sky 8-15</t>
        </is>
      </c>
      <c r="AF3012" s="18" t="inlineStr"/>
      <c r="AG3012" s="18" t="inlineStr"/>
      <c r="AH3012" s="18" t="inlineStr">
        <is>
          <t>바닥=minecraft:white_concrete; minecraft:orange_concrete; minecraft:magenta_concrete; minecraft:light_blue_concrete; minecraft:yellow_concrete; minecraft:lime_concrete; minecraft:pink_concrete; minecraft:gray_concrete; minecraft:light_gray_concrete; minecraft:cyan_concrete; minecraft:purple_concrete; minecraft:blue_concrete; minecraft:brown_concrete; minecraft:green_concrete; minecraft:red_concrete; minecraft:black_concrete</t>
        </is>
      </c>
      <c r="AI3012" s="18" t="inlineStr"/>
      <c r="AJ3012" s="18" t="inlineStr">
        <is>
          <t>Cobblemon 동일</t>
        </is>
      </c>
      <c r="AK3012" s="18" t="inlineStr">
        <is>
          <t>사용</t>
        </is>
      </c>
      <c r="AL3012" s="18" t="inlineStr">
        <is>
          <t>COBBLEVERSE 1.7.42 / DP v31</t>
        </is>
      </c>
      <c r="AM3012" s="18" t="inlineStr">
        <is>
          <t>data/cobblemon/spawn_pool_world/0965_varoom.json</t>
        </is>
      </c>
      <c r="AN3012" s="18" t="inlineStr">
        <is>
          <t>varoom-2</t>
        </is>
      </c>
      <c r="AO3012" s="18" t="inlineStr">
        <is>
          <t>pokemon</t>
        </is>
      </c>
      <c r="AP3012" s="18" t="inlineStr"/>
      <c r="AQ3012" s="18" t="inlineStr">
        <is>
          <t>{"biomes":["#cobblemon:is_overworld"],"maxSkyLight":15,"minSkyLight":8,"neededBaseBlocks":["minecraft:white_concrete","minecraft:orange_concrete","minecraft:magenta_concrete","minecraft:light_blue_concrete","minecraft:yellow_concrete","minecraft:lime_concrete","minecraft:pink_concrete","minecraft:gray_concrete","minecraft:light_gray_concrete","minecraft:cyan_concrete","minecraft:purple_concrete","minecraft:blue_concrete","minecraft:brown_concrete","minecraft:green_concrete","minecraft:red_concrete","minecraft:black_concrete"]}</t>
        </is>
      </c>
      <c r="AR3012" s="18" t="inlineStr"/>
      <c r="AS3012" s="18" t="inlineStr"/>
      <c r="AT3012" s="19" t="inlineStr"/>
    </row>
    <row r="3013" ht="32" customHeight="1">
      <c r="A3013" s="18" t="inlineStr">
        <is>
          <t>0966_revavroom.json::revavroom-1::001</t>
        </is>
      </c>
      <c r="B3013" s="19" t="inlineStr">
        <is>
          <t>사용</t>
        </is>
      </c>
      <c r="C3013" s="18">
        <f>IF(OR(B3013&lt;&gt;AK3013,M3013&lt;&gt;L3013,O3013&lt;&gt;"",Q3013&lt;&gt;"",V3013&lt;&gt;1,Y3013&lt;&gt;"",AT3013&lt;&gt;""),"수정","원본")</f>
        <v/>
      </c>
      <c r="D3013" s="18" t="n">
        <v>966</v>
      </c>
      <c r="E3013" s="18" t="inlineStr">
        <is>
          <t>부르르룸</t>
        </is>
      </c>
      <c r="F3013" s="18" t="inlineStr">
        <is>
          <t>revavroom</t>
        </is>
      </c>
      <c r="G3013" s="18" t="inlineStr">
        <is>
          <t>revavroom</t>
        </is>
      </c>
      <c r="H3013" s="18" t="inlineStr"/>
      <c r="I3013" s="18" t="n">
        <v>9</v>
      </c>
      <c r="J3013" s="18" t="n"/>
      <c r="K3013" s="18" t="n">
        <v>9</v>
      </c>
      <c r="L3013" s="18" t="inlineStr">
        <is>
          <t>cobbleventure:generation_9</t>
        </is>
      </c>
      <c r="M3013" s="19" t="inlineStr">
        <is>
          <t>cobbleventure:generation_9</t>
        </is>
      </c>
      <c r="N3013" s="18" t="inlineStr"/>
      <c r="O3013" s="19" t="inlineStr"/>
      <c r="P3013" s="18" t="inlineStr">
        <is>
          <t>#cobblemon:is_badlands</t>
        </is>
      </c>
      <c r="Q3013" s="19" t="inlineStr"/>
      <c r="R3013" s="18">
        <f>IF(Q3013="",P3013,Q3013)</f>
        <v/>
      </c>
      <c r="S3013" s="18" t="inlineStr"/>
      <c r="T3013" s="18" t="inlineStr">
        <is>
          <t>uncommon</t>
        </is>
      </c>
      <c r="U3013" s="20" t="n">
        <v>0.96</v>
      </c>
      <c r="V3013" s="21" t="n">
        <v>1</v>
      </c>
      <c r="W3013" s="20">
        <f>IF(OR(U3013="",V3013=""),U3013,U3013*V3013)</f>
        <v/>
      </c>
      <c r="X3013" s="18" t="inlineStr">
        <is>
          <t>40-50</t>
        </is>
      </c>
      <c r="Y3013" s="19" t="inlineStr"/>
      <c r="Z3013" s="18">
        <f>IF(Y3013="",X3013,Y3013)</f>
        <v/>
      </c>
      <c r="AA3013" s="18" t="inlineStr">
        <is>
          <t>grounded</t>
        </is>
      </c>
      <c r="AB3013" s="18" t="inlineStr"/>
      <c r="AC3013" s="18" t="inlineStr"/>
      <c r="AD3013" s="18" t="inlineStr"/>
      <c r="AE3013" s="18" t="inlineStr">
        <is>
          <t>sky 8-15</t>
        </is>
      </c>
      <c r="AF3013" s="18" t="inlineStr"/>
      <c r="AG3013" s="18" t="inlineStr"/>
      <c r="AH3013" s="18" t="inlineStr"/>
      <c r="AI3013" s="18" t="inlineStr"/>
      <c r="AJ3013" s="18" t="inlineStr">
        <is>
          <t>Cobblemon 동일</t>
        </is>
      </c>
      <c r="AK3013" s="18" t="inlineStr">
        <is>
          <t>사용</t>
        </is>
      </c>
      <c r="AL3013" s="18" t="inlineStr">
        <is>
          <t>COBBLEVERSE 1.7.42 / DP v31</t>
        </is>
      </c>
      <c r="AM3013" s="18" t="inlineStr">
        <is>
          <t>data/cobblemon/spawn_pool_world/0966_revavroom.json</t>
        </is>
      </c>
      <c r="AN3013" s="18" t="inlineStr">
        <is>
          <t>revavroom-1</t>
        </is>
      </c>
      <c r="AO3013" s="18" t="inlineStr">
        <is>
          <t>pokemon</t>
        </is>
      </c>
      <c r="AP3013" s="18" t="inlineStr">
        <is>
          <t>natural</t>
        </is>
      </c>
      <c r="AQ3013" s="18" t="inlineStr">
        <is>
          <t>{"biomes":["#cobblemon:is_badlands"],"maxSkyLight":15,"minSkyLight":8}</t>
        </is>
      </c>
      <c r="AR3013" s="18" t="inlineStr"/>
      <c r="AS3013" s="18" t="inlineStr"/>
      <c r="AT3013" s="19" t="inlineStr"/>
    </row>
    <row r="3014" ht="32" customHeight="1">
      <c r="A3014" s="18" t="inlineStr">
        <is>
          <t>0966_revavroom.json::revavroom-2::002</t>
        </is>
      </c>
      <c r="B3014" s="19" t="inlineStr">
        <is>
          <t>사용</t>
        </is>
      </c>
      <c r="C3014" s="18">
        <f>IF(OR(B3014&lt;&gt;AK3014,M3014&lt;&gt;L3014,O3014&lt;&gt;"",Q3014&lt;&gt;"",V3014&lt;&gt;1,Y3014&lt;&gt;"",AT3014&lt;&gt;""),"수정","원본")</f>
        <v/>
      </c>
      <c r="D3014" s="18" t="n">
        <v>966</v>
      </c>
      <c r="E3014" s="18" t="inlineStr">
        <is>
          <t>부르르룸</t>
        </is>
      </c>
      <c r="F3014" s="18" t="inlineStr">
        <is>
          <t>revavroom</t>
        </is>
      </c>
      <c r="G3014" s="18" t="inlineStr">
        <is>
          <t>revavroom</t>
        </is>
      </c>
      <c r="H3014" s="18" t="inlineStr"/>
      <c r="I3014" s="18" t="n">
        <v>9</v>
      </c>
      <c r="J3014" s="18" t="n"/>
      <c r="K3014" s="18" t="n">
        <v>9</v>
      </c>
      <c r="L3014" s="18" t="inlineStr">
        <is>
          <t>cobbleventure:generation_9</t>
        </is>
      </c>
      <c r="M3014" s="19" t="inlineStr">
        <is>
          <t>cobbleventure:generation_9</t>
        </is>
      </c>
      <c r="N3014" s="18" t="inlineStr">
        <is>
          <t>region_01; region_02</t>
        </is>
      </c>
      <c r="O3014" s="19" t="inlineStr"/>
      <c r="P3014" s="18" t="inlineStr">
        <is>
          <t>#cobblemon:is_overworld</t>
        </is>
      </c>
      <c r="Q3014" s="19" t="inlineStr"/>
      <c r="R3014" s="18">
        <f>IF(Q3014="",P3014,Q3014)</f>
        <v/>
      </c>
      <c r="S3014" s="18" t="inlineStr"/>
      <c r="T3014" s="18" t="inlineStr">
        <is>
          <t>uncommon</t>
        </is>
      </c>
      <c r="U3014" s="20" t="n">
        <v>0.96</v>
      </c>
      <c r="V3014" s="21" t="n">
        <v>1</v>
      </c>
      <c r="W3014" s="20">
        <f>IF(OR(U3014="",V3014=""),U3014,U3014*V3014)</f>
        <v/>
      </c>
      <c r="X3014" s="18" t="inlineStr">
        <is>
          <t>40-50</t>
        </is>
      </c>
      <c r="Y3014" s="19" t="inlineStr"/>
      <c r="Z3014" s="18">
        <f>IF(Y3014="",X3014,Y3014)</f>
        <v/>
      </c>
      <c r="AA3014" s="18" t="inlineStr">
        <is>
          <t>grounded</t>
        </is>
      </c>
      <c r="AB3014" s="18" t="inlineStr"/>
      <c r="AC3014" s="18" t="inlineStr"/>
      <c r="AD3014" s="18" t="inlineStr"/>
      <c r="AE3014" s="18" t="inlineStr">
        <is>
          <t>sky 8-15</t>
        </is>
      </c>
      <c r="AF3014" s="18" t="inlineStr"/>
      <c r="AG3014" s="18" t="inlineStr"/>
      <c r="AH3014" s="18" t="inlineStr">
        <is>
          <t>바닥=minecraft:white_concrete; minecraft:orange_concrete; minecraft:magenta_concrete; minecraft:light_blue_concrete; minecraft:yellow_concrete; minecraft:lime_concrete; minecraft:pink_concrete; minecraft:gray_concrete; minecraft:light_gray_concrete; minecraft:cyan_concrete; minecraft:purple_concrete; minecraft:blue_concrete; minecraft:brown_concrete; minecraft:green_concrete; minecraft:red_concrete; minecraft:black_concrete</t>
        </is>
      </c>
      <c r="AI3014" s="18" t="inlineStr"/>
      <c r="AJ3014" s="18" t="inlineStr">
        <is>
          <t>Cobblemon 동일</t>
        </is>
      </c>
      <c r="AK3014" s="18" t="inlineStr">
        <is>
          <t>사용</t>
        </is>
      </c>
      <c r="AL3014" s="18" t="inlineStr">
        <is>
          <t>COBBLEVERSE 1.7.42 / DP v31</t>
        </is>
      </c>
      <c r="AM3014" s="18" t="inlineStr">
        <is>
          <t>data/cobblemon/spawn_pool_world/0966_revavroom.json</t>
        </is>
      </c>
      <c r="AN3014" s="18" t="inlineStr">
        <is>
          <t>revavroom-2</t>
        </is>
      </c>
      <c r="AO3014" s="18" t="inlineStr">
        <is>
          <t>pokemon</t>
        </is>
      </c>
      <c r="AP3014" s="18" t="inlineStr"/>
      <c r="AQ3014" s="18" t="inlineStr">
        <is>
          <t>{"biomes":["#cobblemon:is_overworld"],"maxSkyLight":15,"minSkyLight":8,"neededBaseBlocks":["minecraft:white_concrete","minecraft:orange_concrete","minecraft:magenta_concrete","minecraft:light_blue_concrete","minecraft:yellow_concrete","minecraft:lime_concrete","minecraft:pink_concrete","minecraft:gray_concrete","minecraft:light_gray_concrete","minecraft:cyan_concrete","minecraft:purple_concrete","minecraft:blue_concrete","minecraft:brown_concrete","minecraft:green_concrete","minecraft:red_concrete","minecraft:black_concrete"]}</t>
        </is>
      </c>
      <c r="AR3014" s="18" t="inlineStr"/>
      <c r="AS3014" s="18" t="inlineStr"/>
      <c r="AT3014" s="19" t="inlineStr"/>
    </row>
    <row r="3015" ht="32" customHeight="1">
      <c r="A3015" s="18" t="inlineStr">
        <is>
          <t>0967_cyclizar.json::cyclizar-1::001</t>
        </is>
      </c>
      <c r="B3015" s="19" t="inlineStr">
        <is>
          <t>사용</t>
        </is>
      </c>
      <c r="C3015" s="18">
        <f>IF(OR(B3015&lt;&gt;AK3015,M3015&lt;&gt;L3015,O3015&lt;&gt;"",Q3015&lt;&gt;"",V3015&lt;&gt;1,Y3015&lt;&gt;"",AT3015&lt;&gt;""),"수정","원본")</f>
        <v/>
      </c>
      <c r="D3015" s="18" t="n">
        <v>967</v>
      </c>
      <c r="E3015" s="18" t="inlineStr">
        <is>
          <t>모토마</t>
        </is>
      </c>
      <c r="F3015" s="18" t="inlineStr">
        <is>
          <t>cyclizar</t>
        </is>
      </c>
      <c r="G3015" s="18" t="inlineStr">
        <is>
          <t>cyclizar</t>
        </is>
      </c>
      <c r="H3015" s="18" t="inlineStr"/>
      <c r="I3015" s="18" t="n">
        <v>9</v>
      </c>
      <c r="J3015" s="18" t="n"/>
      <c r="K3015" s="18" t="n">
        <v>9</v>
      </c>
      <c r="L3015" s="18" t="inlineStr">
        <is>
          <t>cobbleventure:generation_9</t>
        </is>
      </c>
      <c r="M3015" s="19" t="inlineStr">
        <is>
          <t>cobbleventure:generation_9</t>
        </is>
      </c>
      <c r="N3015" s="18" t="inlineStr">
        <is>
          <t>region_01</t>
        </is>
      </c>
      <c r="O3015" s="19" t="inlineStr"/>
      <c r="P3015" s="18" t="inlineStr">
        <is>
          <t>#cobblemon:is_badlands; #cobblemon:is_grassland</t>
        </is>
      </c>
      <c r="Q3015" s="19" t="inlineStr"/>
      <c r="R3015" s="18">
        <f>IF(Q3015="",P3015,Q3015)</f>
        <v/>
      </c>
      <c r="S3015" s="18" t="inlineStr"/>
      <c r="T3015" s="18" t="inlineStr">
        <is>
          <t>rare</t>
        </is>
      </c>
      <c r="U3015" s="20" t="n">
        <v>6</v>
      </c>
      <c r="V3015" s="21" t="n">
        <v>1</v>
      </c>
      <c r="W3015" s="20">
        <f>IF(OR(U3015="",V3015=""),U3015,U3015*V3015)</f>
        <v/>
      </c>
      <c r="X3015" s="18" t="inlineStr">
        <is>
          <t>25-50</t>
        </is>
      </c>
      <c r="Y3015" s="19" t="inlineStr"/>
      <c r="Z3015" s="18">
        <f>IF(Y3015="",X3015,Y3015)</f>
        <v/>
      </c>
      <c r="AA3015" s="18" t="inlineStr">
        <is>
          <t>grounded</t>
        </is>
      </c>
      <c r="AB3015" s="18" t="inlineStr"/>
      <c r="AC3015" s="18" t="inlineStr"/>
      <c r="AD3015" s="18" t="inlineStr"/>
      <c r="AE3015" s="18" t="inlineStr">
        <is>
          <t>sky 8-15</t>
        </is>
      </c>
      <c r="AF3015" s="18" t="inlineStr"/>
      <c r="AG3015" s="18" t="inlineStr"/>
      <c r="AH3015" s="18" t="inlineStr"/>
      <c r="AI3015" s="18" t="inlineStr"/>
      <c r="AJ3015" s="18" t="inlineStr">
        <is>
          <t>Cobblemon 동일</t>
        </is>
      </c>
      <c r="AK3015" s="18" t="inlineStr">
        <is>
          <t>사용</t>
        </is>
      </c>
      <c r="AL3015" s="18" t="inlineStr">
        <is>
          <t>COBBLEVERSE 1.7.42 / DP v31</t>
        </is>
      </c>
      <c r="AM3015" s="18" t="inlineStr">
        <is>
          <t>data/cobblemon/spawn_pool_world/0967_cyclizar.json</t>
        </is>
      </c>
      <c r="AN3015" s="18" t="inlineStr">
        <is>
          <t>cyclizar-1</t>
        </is>
      </c>
      <c r="AO3015" s="18" t="inlineStr">
        <is>
          <t>pokemon</t>
        </is>
      </c>
      <c r="AP3015" s="18" t="inlineStr">
        <is>
          <t>natural</t>
        </is>
      </c>
      <c r="AQ3015" s="18" t="inlineStr">
        <is>
          <t>{"biomes":["#cobblemon:is_badlands","#cobblemon:is_grassland"],"maxSkyLight":15,"minSkyLight":8}</t>
        </is>
      </c>
      <c r="AR3015" s="18" t="inlineStr"/>
      <c r="AS3015" s="18" t="inlineStr">
        <is>
          <t>{"weightMultiplier":{"condition":{"timeRange":"night"},"multiplier":0.25}}</t>
        </is>
      </c>
      <c r="AT3015" s="19" t="inlineStr"/>
    </row>
    <row r="3016" ht="32" customHeight="1">
      <c r="A3016" s="18" t="inlineStr">
        <is>
          <t>0968_orthworm.json::orthworm-1::001</t>
        </is>
      </c>
      <c r="B3016" s="19" t="inlineStr">
        <is>
          <t>사용</t>
        </is>
      </c>
      <c r="C3016" s="18">
        <f>IF(OR(B3016&lt;&gt;AK3016,M3016&lt;&gt;L3016,O3016&lt;&gt;"",Q3016&lt;&gt;"",V3016&lt;&gt;1,Y3016&lt;&gt;"",AT3016&lt;&gt;""),"수정","원본")</f>
        <v/>
      </c>
      <c r="D3016" s="18" t="n">
        <v>968</v>
      </c>
      <c r="E3016" s="18" t="inlineStr">
        <is>
          <t>꿈트렁</t>
        </is>
      </c>
      <c r="F3016" s="18" t="inlineStr">
        <is>
          <t>orthworm</t>
        </is>
      </c>
      <c r="G3016" s="18" t="inlineStr">
        <is>
          <t>orthworm</t>
        </is>
      </c>
      <c r="H3016" s="18" t="inlineStr"/>
      <c r="I3016" s="18" t="n">
        <v>9</v>
      </c>
      <c r="J3016" s="18" t="n"/>
      <c r="K3016" s="18" t="n">
        <v>9</v>
      </c>
      <c r="L3016" s="18" t="inlineStr">
        <is>
          <t>cobbleventure:generation_9</t>
        </is>
      </c>
      <c r="M3016" s="19" t="inlineStr">
        <is>
          <t>cobbleventure:generation_9</t>
        </is>
      </c>
      <c r="N3016" s="18" t="inlineStr">
        <is>
          <t>region_02</t>
        </is>
      </c>
      <c r="O3016" s="19" t="inlineStr"/>
      <c r="P3016" s="18" t="inlineStr">
        <is>
          <t>#cobblemon:is_badlands; #cobblemon:is_desert</t>
        </is>
      </c>
      <c r="Q3016" s="19" t="inlineStr"/>
      <c r="R3016" s="18">
        <f>IF(Q3016="",P3016,Q3016)</f>
        <v/>
      </c>
      <c r="S3016" s="18" t="inlineStr"/>
      <c r="T3016" s="18" t="inlineStr">
        <is>
          <t>uncommon</t>
        </is>
      </c>
      <c r="U3016" s="20" t="n">
        <v>6</v>
      </c>
      <c r="V3016" s="21" t="n">
        <v>1</v>
      </c>
      <c r="W3016" s="20">
        <f>IF(OR(U3016="",V3016=""),U3016,U3016*V3016)</f>
        <v/>
      </c>
      <c r="X3016" s="18" t="inlineStr">
        <is>
          <t>23-48</t>
        </is>
      </c>
      <c r="Y3016" s="19" t="inlineStr"/>
      <c r="Z3016" s="18">
        <f>IF(Y3016="",X3016,Y3016)</f>
        <v/>
      </c>
      <c r="AA3016" s="18" t="inlineStr">
        <is>
          <t>grounded</t>
        </is>
      </c>
      <c r="AB3016" s="18" t="inlineStr"/>
      <c r="AC3016" s="18" t="inlineStr"/>
      <c r="AD3016" s="18" t="inlineStr"/>
      <c r="AE3016" s="18" t="inlineStr">
        <is>
          <t>sky 8-15</t>
        </is>
      </c>
      <c r="AF3016" s="18" t="inlineStr"/>
      <c r="AG3016" s="18" t="inlineStr"/>
      <c r="AH3016" s="18" t="inlineStr"/>
      <c r="AI3016" s="18" t="inlineStr"/>
      <c r="AJ3016" s="18" t="inlineStr">
        <is>
          <t>Cobblemon 동일</t>
        </is>
      </c>
      <c r="AK3016" s="18" t="inlineStr">
        <is>
          <t>사용</t>
        </is>
      </c>
      <c r="AL3016" s="18" t="inlineStr">
        <is>
          <t>COBBLEVERSE 1.7.42 / DP v31</t>
        </is>
      </c>
      <c r="AM3016" s="18" t="inlineStr">
        <is>
          <t>data/cobblemon/spawn_pool_world/0968_orthworm.json</t>
        </is>
      </c>
      <c r="AN3016" s="18" t="inlineStr">
        <is>
          <t>orthworm-1</t>
        </is>
      </c>
      <c r="AO3016" s="18" t="inlineStr">
        <is>
          <t>pokemon</t>
        </is>
      </c>
      <c r="AP3016" s="18" t="inlineStr">
        <is>
          <t>natural</t>
        </is>
      </c>
      <c r="AQ3016" s="18" t="inlineStr">
        <is>
          <t>{"biomes":["#cobblemon:is_badlands","#cobblemon:is_desert"],"maxSkyLight":15,"minSkyLight":8}</t>
        </is>
      </c>
      <c r="AR3016" s="18" t="inlineStr"/>
      <c r="AS3016" s="18" t="inlineStr"/>
      <c r="AT3016" s="19" t="inlineStr"/>
    </row>
    <row r="3017" ht="32" customHeight="1">
      <c r="A3017" s="18" t="inlineStr">
        <is>
          <t>0968_orthworm.json::orthworm-2::002</t>
        </is>
      </c>
      <c r="B3017" s="19" t="inlineStr">
        <is>
          <t>사용</t>
        </is>
      </c>
      <c r="C3017" s="18">
        <f>IF(OR(B3017&lt;&gt;AK3017,M3017&lt;&gt;L3017,O3017&lt;&gt;"",Q3017&lt;&gt;"",V3017&lt;&gt;1,Y3017&lt;&gt;"",AT3017&lt;&gt;""),"수정","원본")</f>
        <v/>
      </c>
      <c r="D3017" s="18" t="n">
        <v>968</v>
      </c>
      <c r="E3017" s="18" t="inlineStr">
        <is>
          <t>꿈트렁</t>
        </is>
      </c>
      <c r="F3017" s="18" t="inlineStr">
        <is>
          <t>orthworm</t>
        </is>
      </c>
      <c r="G3017" s="18" t="inlineStr">
        <is>
          <t>orthworm</t>
        </is>
      </c>
      <c r="H3017" s="18" t="inlineStr"/>
      <c r="I3017" s="18" t="n">
        <v>9</v>
      </c>
      <c r="J3017" s="18" t="n"/>
      <c r="K3017" s="18" t="n">
        <v>9</v>
      </c>
      <c r="L3017" s="18" t="inlineStr">
        <is>
          <t>cobbleventure:generation_9</t>
        </is>
      </c>
      <c r="M3017" s="19" t="inlineStr">
        <is>
          <t>cobbleventure:generation_9</t>
        </is>
      </c>
      <c r="N3017" s="18" t="inlineStr">
        <is>
          <t>region_02</t>
        </is>
      </c>
      <c r="O3017" s="19" t="inlineStr"/>
      <c r="P3017" s="18" t="inlineStr">
        <is>
          <t>#cobblemon:is_badlands; #cobblemon:is_desert</t>
        </is>
      </c>
      <c r="Q3017" s="19" t="inlineStr"/>
      <c r="R3017" s="18">
        <f>IF(Q3017="",P3017,Q3017)</f>
        <v/>
      </c>
      <c r="S3017" s="18" t="inlineStr"/>
      <c r="T3017" s="18" t="inlineStr">
        <is>
          <t>common</t>
        </is>
      </c>
      <c r="U3017" s="20" t="n">
        <v>6</v>
      </c>
      <c r="V3017" s="21" t="n">
        <v>1</v>
      </c>
      <c r="W3017" s="20">
        <f>IF(OR(U3017="",V3017=""),U3017,U3017*V3017)</f>
        <v/>
      </c>
      <c r="X3017" s="18" t="inlineStr">
        <is>
          <t>23-48</t>
        </is>
      </c>
      <c r="Y3017" s="19" t="inlineStr"/>
      <c r="Z3017" s="18">
        <f>IF(Y3017="",X3017,Y3017)</f>
        <v/>
      </c>
      <c r="AA3017" s="18" t="inlineStr">
        <is>
          <t>grounded</t>
        </is>
      </c>
      <c r="AB3017" s="18" t="inlineStr"/>
      <c r="AC3017" s="18" t="inlineStr"/>
      <c r="AD3017" s="18" t="inlineStr">
        <is>
          <t>minY=0</t>
        </is>
      </c>
      <c r="AE3017" s="18" t="inlineStr">
        <is>
          <t>sky 0-7</t>
        </is>
      </c>
      <c r="AF3017" s="18" t="inlineStr"/>
      <c r="AG3017" s="18" t="inlineStr"/>
      <c r="AH3017" s="18" t="inlineStr"/>
      <c r="AI3017" s="18" t="inlineStr"/>
      <c r="AJ3017" s="18" t="inlineStr">
        <is>
          <t>Cobblemon 동일</t>
        </is>
      </c>
      <c r="AK3017" s="18" t="inlineStr">
        <is>
          <t>사용</t>
        </is>
      </c>
      <c r="AL3017" s="18" t="inlineStr">
        <is>
          <t>COBBLEVERSE 1.7.42 / DP v31</t>
        </is>
      </c>
      <c r="AM3017" s="18" t="inlineStr">
        <is>
          <t>data/cobblemon/spawn_pool_world/0968_orthworm.json</t>
        </is>
      </c>
      <c r="AN3017" s="18" t="inlineStr">
        <is>
          <t>orthworm-2</t>
        </is>
      </c>
      <c r="AO3017" s="18" t="inlineStr">
        <is>
          <t>pokemon</t>
        </is>
      </c>
      <c r="AP3017" s="18" t="inlineStr">
        <is>
          <t>natural</t>
        </is>
      </c>
      <c r="AQ3017" s="18" t="inlineStr">
        <is>
          <t>{"biomes":["#cobblemon:is_badlands","#cobblemon:is_desert"],"maxSkyLight":7,"minSkyLight":0,"minY":0}</t>
        </is>
      </c>
      <c r="AR3017" s="18" t="inlineStr"/>
      <c r="AS3017" s="18" t="inlineStr"/>
      <c r="AT3017" s="19" t="inlineStr"/>
    </row>
    <row r="3018" ht="32" customHeight="1">
      <c r="A3018" s="18" t="inlineStr">
        <is>
          <t>0968_orthworm.json::orthworm-3::003</t>
        </is>
      </c>
      <c r="B3018" s="19" t="inlineStr">
        <is>
          <t>사용</t>
        </is>
      </c>
      <c r="C3018" s="18">
        <f>IF(OR(B3018&lt;&gt;AK3018,M3018&lt;&gt;L3018,O3018&lt;&gt;"",Q3018&lt;&gt;"",V3018&lt;&gt;1,Y3018&lt;&gt;"",AT3018&lt;&gt;""),"수정","원본")</f>
        <v/>
      </c>
      <c r="D3018" s="18" t="n">
        <v>968</v>
      </c>
      <c r="E3018" s="18" t="inlineStr">
        <is>
          <t>꿈트렁</t>
        </is>
      </c>
      <c r="F3018" s="18" t="inlineStr">
        <is>
          <t>orthworm</t>
        </is>
      </c>
      <c r="G3018" s="18" t="inlineStr">
        <is>
          <t>orthworm</t>
        </is>
      </c>
      <c r="H3018" s="18" t="inlineStr"/>
      <c r="I3018" s="18" t="n">
        <v>9</v>
      </c>
      <c r="J3018" s="18" t="n"/>
      <c r="K3018" s="18" t="n">
        <v>9</v>
      </c>
      <c r="L3018" s="18" t="inlineStr">
        <is>
          <t>cobbleventure:generation_9</t>
        </is>
      </c>
      <c r="M3018" s="19" t="inlineStr">
        <is>
          <t>cobbleventure:generation_9</t>
        </is>
      </c>
      <c r="N3018" s="18" t="inlineStr">
        <is>
          <t>region_01</t>
        </is>
      </c>
      <c r="O3018" s="19" t="inlineStr"/>
      <c r="P3018" s="18" t="inlineStr">
        <is>
          <t>#cobblemon:is_overworld</t>
        </is>
      </c>
      <c r="Q3018" s="19" t="inlineStr"/>
      <c r="R3018" s="18">
        <f>IF(Q3018="",P3018,Q3018)</f>
        <v/>
      </c>
      <c r="S3018" s="18" t="inlineStr">
        <is>
          <t>#cobblemon:is_badlands; #cobblemon:is_desert</t>
        </is>
      </c>
      <c r="T3018" s="18" t="inlineStr">
        <is>
          <t>uncommon</t>
        </is>
      </c>
      <c r="U3018" s="20" t="n">
        <v>6</v>
      </c>
      <c r="V3018" s="21" t="n">
        <v>1</v>
      </c>
      <c r="W3018" s="20">
        <f>IF(OR(U3018="",V3018=""),U3018,U3018*V3018)</f>
        <v/>
      </c>
      <c r="X3018" s="18" t="inlineStr">
        <is>
          <t>23-48</t>
        </is>
      </c>
      <c r="Y3018" s="19" t="inlineStr"/>
      <c r="Z3018" s="18">
        <f>IF(Y3018="",X3018,Y3018)</f>
        <v/>
      </c>
      <c r="AA3018" s="18" t="inlineStr">
        <is>
          <t>grounded</t>
        </is>
      </c>
      <c r="AB3018" s="18" t="inlineStr"/>
      <c r="AC3018" s="18" t="inlineStr"/>
      <c r="AD3018" s="18" t="inlineStr">
        <is>
          <t>minY=0</t>
        </is>
      </c>
      <c r="AE3018" s="18" t="inlineStr">
        <is>
          <t>sky 0-7</t>
        </is>
      </c>
      <c r="AF3018" s="18" t="inlineStr"/>
      <c r="AG3018" s="18" t="inlineStr"/>
      <c r="AH3018" s="18" t="inlineStr"/>
      <c r="AI3018" s="18" t="inlineStr"/>
      <c r="AJ3018" s="18" t="inlineStr">
        <is>
          <t>Cobblemon 동일</t>
        </is>
      </c>
      <c r="AK3018" s="18" t="inlineStr">
        <is>
          <t>사용</t>
        </is>
      </c>
      <c r="AL3018" s="18" t="inlineStr">
        <is>
          <t>COBBLEVERSE 1.7.42 / DP v31</t>
        </is>
      </c>
      <c r="AM3018" s="18" t="inlineStr">
        <is>
          <t>data/cobblemon/spawn_pool_world/0968_orthworm.json</t>
        </is>
      </c>
      <c r="AN3018" s="18" t="inlineStr">
        <is>
          <t>orthworm-3</t>
        </is>
      </c>
      <c r="AO3018" s="18" t="inlineStr">
        <is>
          <t>pokemon</t>
        </is>
      </c>
      <c r="AP3018" s="18" t="inlineStr">
        <is>
          <t>natural</t>
        </is>
      </c>
      <c r="AQ3018" s="18" t="inlineStr">
        <is>
          <t>{"biomes":["#cobblemon:is_overworld"],"maxSkyLight":7,"minSkyLight":0,"minY":0}</t>
        </is>
      </c>
      <c r="AR3018" s="18" t="inlineStr">
        <is>
          <t>{"biomes":["#cobblemon:is_badlands","#cobblemon:is_desert"],"neededNearbyBlocks":["#minecraft:iron_ores"]}</t>
        </is>
      </c>
      <c r="AS3018" s="18" t="inlineStr"/>
      <c r="AT3018" s="19" t="inlineStr"/>
    </row>
    <row r="3019" ht="32" customHeight="1">
      <c r="A3019" s="18" t="inlineStr">
        <is>
          <t>0968_orthworm.json::orthworm-4::004</t>
        </is>
      </c>
      <c r="B3019" s="19" t="inlineStr">
        <is>
          <t>사용</t>
        </is>
      </c>
      <c r="C3019" s="18">
        <f>IF(OR(B3019&lt;&gt;AK3019,M3019&lt;&gt;L3019,O3019&lt;&gt;"",Q3019&lt;&gt;"",V3019&lt;&gt;1,Y3019&lt;&gt;"",AT3019&lt;&gt;""),"수정","원본")</f>
        <v/>
      </c>
      <c r="D3019" s="18" t="n">
        <v>968</v>
      </c>
      <c r="E3019" s="18" t="inlineStr">
        <is>
          <t>꿈트렁</t>
        </is>
      </c>
      <c r="F3019" s="18" t="inlineStr">
        <is>
          <t>orthworm</t>
        </is>
      </c>
      <c r="G3019" s="18" t="inlineStr">
        <is>
          <t>orthworm</t>
        </is>
      </c>
      <c r="H3019" s="18" t="inlineStr"/>
      <c r="I3019" s="18" t="n">
        <v>9</v>
      </c>
      <c r="J3019" s="18" t="n"/>
      <c r="K3019" s="18" t="n">
        <v>9</v>
      </c>
      <c r="L3019" s="18" t="inlineStr">
        <is>
          <t>cobbleventure:generation_9</t>
        </is>
      </c>
      <c r="M3019" s="19" t="inlineStr">
        <is>
          <t>cobbleventure:generation_9</t>
        </is>
      </c>
      <c r="N3019" s="18" t="inlineStr">
        <is>
          <t>region_01</t>
        </is>
      </c>
      <c r="O3019" s="19" t="inlineStr"/>
      <c r="P3019" s="18" t="inlineStr">
        <is>
          <t>#cobblemon:is_overworld</t>
        </is>
      </c>
      <c r="Q3019" s="19" t="inlineStr"/>
      <c r="R3019" s="18">
        <f>IF(Q3019="",P3019,Q3019)</f>
        <v/>
      </c>
      <c r="S3019" s="18" t="inlineStr">
        <is>
          <t>#cobblemon:is_badlands; #cobblemon:is_desert</t>
        </is>
      </c>
      <c r="T3019" s="18" t="inlineStr">
        <is>
          <t>common</t>
        </is>
      </c>
      <c r="U3019" s="20" t="n">
        <v>6</v>
      </c>
      <c r="V3019" s="21" t="n">
        <v>1</v>
      </c>
      <c r="W3019" s="20">
        <f>IF(OR(U3019="",V3019=""),U3019,U3019*V3019)</f>
        <v/>
      </c>
      <c r="X3019" s="18" t="inlineStr">
        <is>
          <t>23-48</t>
        </is>
      </c>
      <c r="Y3019" s="19" t="inlineStr"/>
      <c r="Z3019" s="18">
        <f>IF(Y3019="",X3019,Y3019)</f>
        <v/>
      </c>
      <c r="AA3019" s="18" t="inlineStr">
        <is>
          <t>grounded</t>
        </is>
      </c>
      <c r="AB3019" s="18" t="inlineStr"/>
      <c r="AC3019" s="18" t="inlineStr"/>
      <c r="AD3019" s="18" t="inlineStr">
        <is>
          <t>minY=0</t>
        </is>
      </c>
      <c r="AE3019" s="18" t="inlineStr">
        <is>
          <t>sky 0-7</t>
        </is>
      </c>
      <c r="AF3019" s="18" t="inlineStr"/>
      <c r="AG3019" s="18" t="inlineStr"/>
      <c r="AH3019" s="18" t="inlineStr">
        <is>
          <t>주변=#minecraft:iron_ores</t>
        </is>
      </c>
      <c r="AI3019" s="18" t="inlineStr"/>
      <c r="AJ3019" s="18" t="inlineStr">
        <is>
          <t>Cobblemon 동일</t>
        </is>
      </c>
      <c r="AK3019" s="18" t="inlineStr">
        <is>
          <t>사용</t>
        </is>
      </c>
      <c r="AL3019" s="18" t="inlineStr">
        <is>
          <t>COBBLEVERSE 1.7.42 / DP v31</t>
        </is>
      </c>
      <c r="AM3019" s="18" t="inlineStr">
        <is>
          <t>data/cobblemon/spawn_pool_world/0968_orthworm.json</t>
        </is>
      </c>
      <c r="AN3019" s="18" t="inlineStr">
        <is>
          <t>orthworm-4</t>
        </is>
      </c>
      <c r="AO3019" s="18" t="inlineStr">
        <is>
          <t>pokemon</t>
        </is>
      </c>
      <c r="AP3019" s="18" t="inlineStr">
        <is>
          <t>natural</t>
        </is>
      </c>
      <c r="AQ3019" s="18" t="inlineStr">
        <is>
          <t>{"biomes":["#cobblemon:is_overworld"],"maxSkyLight":7,"minSkyLight":0,"minY":0,"neededNearbyBlocks":["#minecraft:iron_ores"]}</t>
        </is>
      </c>
      <c r="AR3019" s="18" t="inlineStr">
        <is>
          <t>{"biomes":["#cobblemon:is_badlands","#cobblemon:is_desert"]}</t>
        </is>
      </c>
      <c r="AS3019" s="18" t="inlineStr"/>
      <c r="AT3019" s="19" t="inlineStr"/>
    </row>
    <row r="3020" ht="32" customHeight="1">
      <c r="A3020" s="18" t="inlineStr">
        <is>
          <t>0968_orthworm.json::orthworm-5::005</t>
        </is>
      </c>
      <c r="B3020" s="19" t="inlineStr">
        <is>
          <t>사용</t>
        </is>
      </c>
      <c r="C3020" s="18">
        <f>IF(OR(B3020&lt;&gt;AK3020,M3020&lt;&gt;L3020,O3020&lt;&gt;"",Q3020&lt;&gt;"",V3020&lt;&gt;1,Y3020&lt;&gt;"",AT3020&lt;&gt;""),"수정","원본")</f>
        <v/>
      </c>
      <c r="D3020" s="18" t="n">
        <v>968</v>
      </c>
      <c r="E3020" s="18" t="inlineStr">
        <is>
          <t>꿈트렁</t>
        </is>
      </c>
      <c r="F3020" s="18" t="inlineStr">
        <is>
          <t>orthworm</t>
        </is>
      </c>
      <c r="G3020" s="18" t="inlineStr">
        <is>
          <t>orthworm</t>
        </is>
      </c>
      <c r="H3020" s="18" t="inlineStr"/>
      <c r="I3020" s="18" t="n">
        <v>9</v>
      </c>
      <c r="J3020" s="18" t="n"/>
      <c r="K3020" s="18" t="n">
        <v>9</v>
      </c>
      <c r="L3020" s="18" t="inlineStr">
        <is>
          <t>cobbleventure:generation_9</t>
        </is>
      </c>
      <c r="M3020" s="19" t="inlineStr">
        <is>
          <t>cobbleventure:generation_9</t>
        </is>
      </c>
      <c r="N3020" s="18" t="inlineStr"/>
      <c r="O3020" s="19" t="inlineStr"/>
      <c r="P3020" s="18" t="inlineStr">
        <is>
          <t>#cobblemon:nether/is_desert</t>
        </is>
      </c>
      <c r="Q3020" s="19" t="inlineStr"/>
      <c r="R3020" s="18">
        <f>IF(Q3020="",P3020,Q3020)</f>
        <v/>
      </c>
      <c r="S3020" s="18" t="inlineStr"/>
      <c r="T3020" s="18" t="inlineStr">
        <is>
          <t>uncommon</t>
        </is>
      </c>
      <c r="U3020" s="20" t="n">
        <v>10</v>
      </c>
      <c r="V3020" s="21" t="n">
        <v>1</v>
      </c>
      <c r="W3020" s="20">
        <f>IF(OR(U3020="",V3020=""),U3020,U3020*V3020)</f>
        <v/>
      </c>
      <c r="X3020" s="18" t="inlineStr">
        <is>
          <t>23-48</t>
        </is>
      </c>
      <c r="Y3020" s="19" t="inlineStr"/>
      <c r="Z3020" s="18">
        <f>IF(Y3020="",X3020,Y3020)</f>
        <v/>
      </c>
      <c r="AA3020" s="18" t="inlineStr">
        <is>
          <t>grounded</t>
        </is>
      </c>
      <c r="AB3020" s="18" t="inlineStr"/>
      <c r="AC3020" s="18" t="inlineStr"/>
      <c r="AD3020" s="18" t="inlineStr"/>
      <c r="AE3020" s="18" t="inlineStr"/>
      <c r="AF3020" s="18" t="inlineStr"/>
      <c r="AG3020" s="18" t="inlineStr"/>
      <c r="AH3020" s="18" t="inlineStr"/>
      <c r="AI3020" s="18" t="inlineStr"/>
      <c r="AJ3020" s="18" t="inlineStr">
        <is>
          <t>Cobblemon 동일</t>
        </is>
      </c>
      <c r="AK3020" s="18" t="inlineStr">
        <is>
          <t>사용</t>
        </is>
      </c>
      <c r="AL3020" s="18" t="inlineStr">
        <is>
          <t>COBBLEVERSE 1.7.42 / DP v31</t>
        </is>
      </c>
      <c r="AM3020" s="18" t="inlineStr">
        <is>
          <t>data/cobblemon/spawn_pool_world/0968_orthworm.json</t>
        </is>
      </c>
      <c r="AN3020" s="18" t="inlineStr">
        <is>
          <t>orthworm-5</t>
        </is>
      </c>
      <c r="AO3020" s="18" t="inlineStr">
        <is>
          <t>pokemon</t>
        </is>
      </c>
      <c r="AP3020" s="18" t="inlineStr">
        <is>
          <t>natural</t>
        </is>
      </c>
      <c r="AQ3020" s="18" t="inlineStr">
        <is>
          <t>{"biomes":["#cobblemon:nether/is_desert"]}</t>
        </is>
      </c>
      <c r="AR3020" s="18" t="inlineStr"/>
      <c r="AS3020" s="18" t="inlineStr"/>
      <c r="AT3020" s="19" t="inlineStr"/>
    </row>
    <row r="3021" ht="32" customHeight="1">
      <c r="A3021" s="18" t="inlineStr">
        <is>
          <t>0969_glimmet.json::glimmet-1::001</t>
        </is>
      </c>
      <c r="B3021" s="19" t="inlineStr">
        <is>
          <t>사용</t>
        </is>
      </c>
      <c r="C3021" s="18">
        <f>IF(OR(B3021&lt;&gt;AK3021,M3021&lt;&gt;L3021,O3021&lt;&gt;"",Q3021&lt;&gt;"",V3021&lt;&gt;1,Y3021&lt;&gt;"",AT3021&lt;&gt;""),"수정","원본")</f>
        <v/>
      </c>
      <c r="D3021" s="18" t="n">
        <v>969</v>
      </c>
      <c r="E3021" s="18" t="inlineStr">
        <is>
          <t>초롱순</t>
        </is>
      </c>
      <c r="F3021" s="18" t="inlineStr">
        <is>
          <t>glimmet</t>
        </is>
      </c>
      <c r="G3021" s="18" t="inlineStr">
        <is>
          <t>glimmet</t>
        </is>
      </c>
      <c r="H3021" s="18" t="inlineStr"/>
      <c r="I3021" s="18" t="n">
        <v>9</v>
      </c>
      <c r="J3021" s="18" t="n"/>
      <c r="K3021" s="18" t="n">
        <v>9</v>
      </c>
      <c r="L3021" s="18" t="inlineStr">
        <is>
          <t>cobbleventure:generation_9</t>
        </is>
      </c>
      <c r="M3021" s="19" t="inlineStr">
        <is>
          <t>cobbleventure:generation_9</t>
        </is>
      </c>
      <c r="N3021" s="18" t="inlineStr">
        <is>
          <t>region_01; region_02</t>
        </is>
      </c>
      <c r="O3021" s="19" t="inlineStr"/>
      <c r="P3021" s="18" t="inlineStr">
        <is>
          <t>#cobblemon:is_overworld</t>
        </is>
      </c>
      <c r="Q3021" s="19" t="inlineStr"/>
      <c r="R3021" s="18">
        <f>IF(Q3021="",P3021,Q3021)</f>
        <v/>
      </c>
      <c r="S3021" s="18" t="inlineStr"/>
      <c r="T3021" s="18" t="inlineStr">
        <is>
          <t>common</t>
        </is>
      </c>
      <c r="U3021" s="20" t="n">
        <v>9</v>
      </c>
      <c r="V3021" s="21" t="n">
        <v>1</v>
      </c>
      <c r="W3021" s="20">
        <f>IF(OR(U3021="",V3021=""),U3021,U3021*V3021)</f>
        <v/>
      </c>
      <c r="X3021" s="18" t="inlineStr">
        <is>
          <t>10-35</t>
        </is>
      </c>
      <c r="Y3021" s="19" t="inlineStr"/>
      <c r="Z3021" s="18">
        <f>IF(Y3021="",X3021,Y3021)</f>
        <v/>
      </c>
      <c r="AA3021" s="18" t="inlineStr">
        <is>
          <t>grounded</t>
        </is>
      </c>
      <c r="AB3021" s="18" t="inlineStr"/>
      <c r="AC3021" s="18" t="inlineStr"/>
      <c r="AD3021" s="18" t="inlineStr"/>
      <c r="AE3021" s="18" t="inlineStr">
        <is>
          <t>sky 0-7</t>
        </is>
      </c>
      <c r="AF3021" s="18" t="inlineStr"/>
      <c r="AG3021" s="18" t="inlineStr"/>
      <c r="AH3021" s="18" t="inlineStr">
        <is>
          <t>주변=minecraft:amethyst_block; minecraft:budding_amethyst</t>
        </is>
      </c>
      <c r="AI3021" s="18" t="inlineStr"/>
      <c r="AJ3021" s="18" t="inlineStr">
        <is>
          <t>COBBLEVERSE 수정</t>
        </is>
      </c>
      <c r="AK3021" s="18" t="inlineStr">
        <is>
          <t>사용</t>
        </is>
      </c>
      <c r="AL3021" s="18" t="inlineStr">
        <is>
          <t>COBBLEVERSE 1.7.42 / DP v31</t>
        </is>
      </c>
      <c r="AM3021" s="18" t="inlineStr">
        <is>
          <t>data/cobblemon/spawn_pool_world/0969_glimmet.json</t>
        </is>
      </c>
      <c r="AN3021" s="18" t="inlineStr">
        <is>
          <t>glimmet-1</t>
        </is>
      </c>
      <c r="AO3021" s="18" t="inlineStr">
        <is>
          <t>pokemon</t>
        </is>
      </c>
      <c r="AP3021" s="18" t="inlineStr">
        <is>
          <t>natural</t>
        </is>
      </c>
      <c r="AQ3021" s="18" t="inlineStr">
        <is>
          <t>{"biomes":["#cobblemon:is_overworld"],"maxSkyLight":7,"minSkyLight":0,"neededNearbyBlocks":["minecraft:amethyst_block","minecraft:budding_amethyst"]}</t>
        </is>
      </c>
      <c r="AR3021" s="18" t="inlineStr"/>
      <c r="AS3021" s="18" t="inlineStr"/>
      <c r="AT3021" s="19" t="inlineStr"/>
    </row>
    <row r="3022" ht="32" customHeight="1">
      <c r="A3022" s="18" t="inlineStr">
        <is>
          <t>0969_glimmet.json::glimmet-2::002</t>
        </is>
      </c>
      <c r="B3022" s="19" t="inlineStr">
        <is>
          <t>사용</t>
        </is>
      </c>
      <c r="C3022" s="18">
        <f>IF(OR(B3022&lt;&gt;AK3022,M3022&lt;&gt;L3022,O3022&lt;&gt;"",Q3022&lt;&gt;"",V3022&lt;&gt;1,Y3022&lt;&gt;"",AT3022&lt;&gt;""),"수정","원본")</f>
        <v/>
      </c>
      <c r="D3022" s="18" t="n">
        <v>969</v>
      </c>
      <c r="E3022" s="18" t="inlineStr">
        <is>
          <t>초롱순</t>
        </is>
      </c>
      <c r="F3022" s="18" t="inlineStr">
        <is>
          <t>glimmet</t>
        </is>
      </c>
      <c r="G3022" s="18" t="inlineStr">
        <is>
          <t>glimmet</t>
        </is>
      </c>
      <c r="H3022" s="18" t="inlineStr"/>
      <c r="I3022" s="18" t="n">
        <v>9</v>
      </c>
      <c r="J3022" s="18" t="n"/>
      <c r="K3022" s="18" t="n">
        <v>9</v>
      </c>
      <c r="L3022" s="18" t="inlineStr">
        <is>
          <t>cobbleventure:generation_9</t>
        </is>
      </c>
      <c r="M3022" s="19" t="inlineStr">
        <is>
          <t>cobbleventure:generation_9</t>
        </is>
      </c>
      <c r="N3022" s="18" t="inlineStr"/>
      <c r="O3022" s="19" t="inlineStr"/>
      <c r="P3022" s="18" t="inlineStr">
        <is>
          <t>#cobblemon:nether/is_quartz</t>
        </is>
      </c>
      <c r="Q3022" s="19" t="inlineStr"/>
      <c r="R3022" s="18">
        <f>IF(Q3022="",P3022,Q3022)</f>
        <v/>
      </c>
      <c r="S3022" s="18" t="inlineStr"/>
      <c r="T3022" s="18" t="inlineStr">
        <is>
          <t>common</t>
        </is>
      </c>
      <c r="U3022" s="20" t="n">
        <v>1.8</v>
      </c>
      <c r="V3022" s="21" t="n">
        <v>1</v>
      </c>
      <c r="W3022" s="20">
        <f>IF(OR(U3022="",V3022=""),U3022,U3022*V3022)</f>
        <v/>
      </c>
      <c r="X3022" s="18" t="inlineStr">
        <is>
          <t>10-35</t>
        </is>
      </c>
      <c r="Y3022" s="19" t="inlineStr"/>
      <c r="Z3022" s="18">
        <f>IF(Y3022="",X3022,Y3022)</f>
        <v/>
      </c>
      <c r="AA3022" s="18" t="inlineStr">
        <is>
          <t>grounded</t>
        </is>
      </c>
      <c r="AB3022" s="18" t="inlineStr"/>
      <c r="AC3022" s="18" t="inlineStr"/>
      <c r="AD3022" s="18" t="inlineStr"/>
      <c r="AE3022" s="18" t="inlineStr"/>
      <c r="AF3022" s="18" t="inlineStr"/>
      <c r="AG3022" s="18" t="inlineStr"/>
      <c r="AH3022" s="18" t="inlineStr"/>
      <c r="AI3022" s="18" t="inlineStr"/>
      <c r="AJ3022" s="18" t="inlineStr">
        <is>
          <t>COBBLEVERSE 수정</t>
        </is>
      </c>
      <c r="AK3022" s="18" t="inlineStr">
        <is>
          <t>사용</t>
        </is>
      </c>
      <c r="AL3022" s="18" t="inlineStr">
        <is>
          <t>COBBLEVERSE 1.7.42 / DP v31</t>
        </is>
      </c>
      <c r="AM3022" s="18" t="inlineStr">
        <is>
          <t>data/cobblemon/spawn_pool_world/0969_glimmet.json</t>
        </is>
      </c>
      <c r="AN3022" s="18" t="inlineStr">
        <is>
          <t>glimmet-2</t>
        </is>
      </c>
      <c r="AO3022" s="18" t="inlineStr">
        <is>
          <t>pokemon</t>
        </is>
      </c>
      <c r="AP3022" s="18" t="inlineStr"/>
      <c r="AQ3022" s="18" t="inlineStr">
        <is>
          <t>{"biomes":["#cobblemon:nether/is_quartz"]}</t>
        </is>
      </c>
      <c r="AR3022" s="18" t="inlineStr"/>
      <c r="AS3022" s="18" t="inlineStr"/>
      <c r="AT3022" s="19" t="inlineStr"/>
    </row>
    <row r="3023" ht="32" customHeight="1">
      <c r="A3023" s="18" t="inlineStr">
        <is>
          <t>0969_glimmet.json::glimmet-3::003</t>
        </is>
      </c>
      <c r="B3023" s="19" t="inlineStr">
        <is>
          <t>사용</t>
        </is>
      </c>
      <c r="C3023" s="18">
        <f>IF(OR(B3023&lt;&gt;AK3023,M3023&lt;&gt;L3023,O3023&lt;&gt;"",Q3023&lt;&gt;"",V3023&lt;&gt;1,Y3023&lt;&gt;"",AT3023&lt;&gt;""),"수정","원본")</f>
        <v/>
      </c>
      <c r="D3023" s="18" t="n">
        <v>969</v>
      </c>
      <c r="E3023" s="18" t="inlineStr">
        <is>
          <t>초롱순</t>
        </is>
      </c>
      <c r="F3023" s="18" t="inlineStr">
        <is>
          <t>glimmet</t>
        </is>
      </c>
      <c r="G3023" s="18" t="inlineStr">
        <is>
          <t>glimmet</t>
        </is>
      </c>
      <c r="H3023" s="18" t="inlineStr"/>
      <c r="I3023" s="18" t="n">
        <v>9</v>
      </c>
      <c r="J3023" s="18" t="n"/>
      <c r="K3023" s="18" t="n">
        <v>9</v>
      </c>
      <c r="L3023" s="18" t="inlineStr">
        <is>
          <t>cobbleventure:generation_9</t>
        </is>
      </c>
      <c r="M3023" s="19" t="inlineStr">
        <is>
          <t>cobbleventure:generation_9</t>
        </is>
      </c>
      <c r="N3023" s="18" t="inlineStr"/>
      <c r="O3023" s="19" t="inlineStr"/>
      <c r="P3023" s="18" t="inlineStr">
        <is>
          <t>the_bumblezone:crystal_canyon; biomesoplenty:crystalline_chasm</t>
        </is>
      </c>
      <c r="Q3023" s="19" t="inlineStr"/>
      <c r="R3023" s="18">
        <f>IF(Q3023="",P3023,Q3023)</f>
        <v/>
      </c>
      <c r="S3023" s="18" t="inlineStr"/>
      <c r="T3023" s="18" t="inlineStr">
        <is>
          <t>common</t>
        </is>
      </c>
      <c r="U3023" s="20" t="n">
        <v>9</v>
      </c>
      <c r="V3023" s="21" t="n">
        <v>1</v>
      </c>
      <c r="W3023" s="20">
        <f>IF(OR(U3023="",V3023=""),U3023,U3023*V3023)</f>
        <v/>
      </c>
      <c r="X3023" s="18" t="inlineStr">
        <is>
          <t>10-35</t>
        </is>
      </c>
      <c r="Y3023" s="19" t="inlineStr"/>
      <c r="Z3023" s="18">
        <f>IF(Y3023="",X3023,Y3023)</f>
        <v/>
      </c>
      <c r="AA3023" s="18" t="inlineStr">
        <is>
          <t>grounded</t>
        </is>
      </c>
      <c r="AB3023" s="18" t="inlineStr"/>
      <c r="AC3023" s="18" t="inlineStr"/>
      <c r="AD3023" s="18" t="inlineStr"/>
      <c r="AE3023" s="18" t="inlineStr"/>
      <c r="AF3023" s="18" t="inlineStr"/>
      <c r="AG3023" s="18" t="inlineStr"/>
      <c r="AH3023" s="18" t="inlineStr"/>
      <c r="AI3023" s="18" t="inlineStr"/>
      <c r="AJ3023" s="18" t="inlineStr">
        <is>
          <t>COBBLEVERSE 수정</t>
        </is>
      </c>
      <c r="AK3023" s="18" t="inlineStr">
        <is>
          <t>사용</t>
        </is>
      </c>
      <c r="AL3023" s="18" t="inlineStr">
        <is>
          <t>COBBLEVERSE 1.7.42 / DP v31</t>
        </is>
      </c>
      <c r="AM3023" s="18" t="inlineStr">
        <is>
          <t>data/cobblemon/spawn_pool_world/0969_glimmet.json</t>
        </is>
      </c>
      <c r="AN3023" s="18" t="inlineStr">
        <is>
          <t>glimmet-3</t>
        </is>
      </c>
      <c r="AO3023" s="18" t="inlineStr">
        <is>
          <t>pokemon</t>
        </is>
      </c>
      <c r="AP3023" s="18" t="inlineStr"/>
      <c r="AQ3023" s="18" t="inlineStr">
        <is>
          <t>{"biomes":["the_bumblezone:crystal_canyon","biomesoplenty:crystalline_chasm"]}</t>
        </is>
      </c>
      <c r="AR3023" s="18" t="inlineStr"/>
      <c r="AS3023" s="18" t="inlineStr"/>
      <c r="AT3023" s="19" t="inlineStr"/>
    </row>
    <row r="3024" ht="32" customHeight="1">
      <c r="A3024" s="18" t="inlineStr">
        <is>
          <t>0970_glimmora.json::glimmora-1::001</t>
        </is>
      </c>
      <c r="B3024" s="19" t="inlineStr">
        <is>
          <t>사용</t>
        </is>
      </c>
      <c r="C3024" s="18">
        <f>IF(OR(B3024&lt;&gt;AK3024,M3024&lt;&gt;L3024,O3024&lt;&gt;"",Q3024&lt;&gt;"",V3024&lt;&gt;1,Y3024&lt;&gt;"",AT3024&lt;&gt;""),"수정","원본")</f>
        <v/>
      </c>
      <c r="D3024" s="18" t="n">
        <v>970</v>
      </c>
      <c r="E3024" s="18" t="inlineStr">
        <is>
          <t>킬라플로르</t>
        </is>
      </c>
      <c r="F3024" s="18" t="inlineStr">
        <is>
          <t>glimmora</t>
        </is>
      </c>
      <c r="G3024" s="18" t="inlineStr">
        <is>
          <t>glimmora</t>
        </is>
      </c>
      <c r="H3024" s="18" t="inlineStr"/>
      <c r="I3024" s="18" t="n">
        <v>9</v>
      </c>
      <c r="J3024" s="18" t="n"/>
      <c r="K3024" s="18" t="n">
        <v>9</v>
      </c>
      <c r="L3024" s="18" t="inlineStr">
        <is>
          <t>cobbleventure:generation_9</t>
        </is>
      </c>
      <c r="M3024" s="19" t="inlineStr">
        <is>
          <t>cobbleventure:generation_9</t>
        </is>
      </c>
      <c r="N3024" s="18" t="inlineStr">
        <is>
          <t>region_01; region_02</t>
        </is>
      </c>
      <c r="O3024" s="19" t="inlineStr"/>
      <c r="P3024" s="18" t="inlineStr">
        <is>
          <t>#cobblemon:is_overworld</t>
        </is>
      </c>
      <c r="Q3024" s="19" t="inlineStr"/>
      <c r="R3024" s="18">
        <f>IF(Q3024="",P3024,Q3024)</f>
        <v/>
      </c>
      <c r="S3024" s="18" t="inlineStr"/>
      <c r="T3024" s="18" t="inlineStr">
        <is>
          <t>common</t>
        </is>
      </c>
      <c r="U3024" s="20" t="n">
        <v>1</v>
      </c>
      <c r="V3024" s="21" t="n">
        <v>1</v>
      </c>
      <c r="W3024" s="20">
        <f>IF(OR(U3024="",V3024=""),U3024,U3024*V3024)</f>
        <v/>
      </c>
      <c r="X3024" s="18" t="inlineStr">
        <is>
          <t>35-53</t>
        </is>
      </c>
      <c r="Y3024" s="19" t="inlineStr"/>
      <c r="Z3024" s="18">
        <f>IF(Y3024="",X3024,Y3024)</f>
        <v/>
      </c>
      <c r="AA3024" s="18" t="inlineStr">
        <is>
          <t>grounded</t>
        </is>
      </c>
      <c r="AB3024" s="18" t="inlineStr"/>
      <c r="AC3024" s="18" t="inlineStr"/>
      <c r="AD3024" s="18" t="inlineStr"/>
      <c r="AE3024" s="18" t="inlineStr">
        <is>
          <t>sky 0-7</t>
        </is>
      </c>
      <c r="AF3024" s="18" t="inlineStr"/>
      <c r="AG3024" s="18" t="inlineStr"/>
      <c r="AH3024" s="18" t="inlineStr">
        <is>
          <t>주변=minecraft:amethyst_block; minecraft:budding_amethyst</t>
        </is>
      </c>
      <c r="AI3024" s="18" t="inlineStr"/>
      <c r="AJ3024" s="18" t="inlineStr">
        <is>
          <t>COBBLEVERSE 수정</t>
        </is>
      </c>
      <c r="AK3024" s="18" t="inlineStr">
        <is>
          <t>사용</t>
        </is>
      </c>
      <c r="AL3024" s="18" t="inlineStr">
        <is>
          <t>COBBLEVERSE 1.7.42 / DP v31</t>
        </is>
      </c>
      <c r="AM3024" s="18" t="inlineStr">
        <is>
          <t>data/cobblemon/spawn_pool_world/0970_glimmora.json</t>
        </is>
      </c>
      <c r="AN3024" s="18" t="inlineStr">
        <is>
          <t>glimmora-1</t>
        </is>
      </c>
      <c r="AO3024" s="18" t="inlineStr">
        <is>
          <t>pokemon</t>
        </is>
      </c>
      <c r="AP3024" s="18" t="inlineStr">
        <is>
          <t>natural</t>
        </is>
      </c>
      <c r="AQ3024" s="18" t="inlineStr">
        <is>
          <t>{"biomes":["#cobblemon:is_overworld"],"maxSkyLight":7,"minSkyLight":0,"neededNearbyBlocks":["minecraft:amethyst_block","minecraft:budding_amethyst"]}</t>
        </is>
      </c>
      <c r="AR3024" s="18" t="inlineStr"/>
      <c r="AS3024" s="18" t="inlineStr"/>
      <c r="AT3024" s="19" t="inlineStr"/>
    </row>
    <row r="3025" ht="32" customHeight="1">
      <c r="A3025" s="18" t="inlineStr">
        <is>
          <t>0970_glimmora.json::glimmora-2::002</t>
        </is>
      </c>
      <c r="B3025" s="19" t="inlineStr">
        <is>
          <t>사용</t>
        </is>
      </c>
      <c r="C3025" s="18">
        <f>IF(OR(B3025&lt;&gt;AK3025,M3025&lt;&gt;L3025,O3025&lt;&gt;"",Q3025&lt;&gt;"",V3025&lt;&gt;1,Y3025&lt;&gt;"",AT3025&lt;&gt;""),"수정","원본")</f>
        <v/>
      </c>
      <c r="D3025" s="18" t="n">
        <v>970</v>
      </c>
      <c r="E3025" s="18" t="inlineStr">
        <is>
          <t>킬라플로르</t>
        </is>
      </c>
      <c r="F3025" s="18" t="inlineStr">
        <is>
          <t>glimmora</t>
        </is>
      </c>
      <c r="G3025" s="18" t="inlineStr">
        <is>
          <t>glimmora</t>
        </is>
      </c>
      <c r="H3025" s="18" t="inlineStr"/>
      <c r="I3025" s="18" t="n">
        <v>9</v>
      </c>
      <c r="J3025" s="18" t="n"/>
      <c r="K3025" s="18" t="n">
        <v>9</v>
      </c>
      <c r="L3025" s="18" t="inlineStr">
        <is>
          <t>cobbleventure:generation_9</t>
        </is>
      </c>
      <c r="M3025" s="19" t="inlineStr">
        <is>
          <t>cobbleventure:generation_9</t>
        </is>
      </c>
      <c r="N3025" s="18" t="inlineStr"/>
      <c r="O3025" s="19" t="inlineStr"/>
      <c r="P3025" s="18" t="inlineStr">
        <is>
          <t>#cobblemon:nether/is_quartz</t>
        </is>
      </c>
      <c r="Q3025" s="19" t="inlineStr"/>
      <c r="R3025" s="18">
        <f>IF(Q3025="",P3025,Q3025)</f>
        <v/>
      </c>
      <c r="S3025" s="18" t="inlineStr"/>
      <c r="T3025" s="18" t="inlineStr">
        <is>
          <t>common</t>
        </is>
      </c>
      <c r="U3025" s="20" t="n">
        <v>0.2</v>
      </c>
      <c r="V3025" s="21" t="n">
        <v>1</v>
      </c>
      <c r="W3025" s="20">
        <f>IF(OR(U3025="",V3025=""),U3025,U3025*V3025)</f>
        <v/>
      </c>
      <c r="X3025" s="18" t="inlineStr">
        <is>
          <t>35-53</t>
        </is>
      </c>
      <c r="Y3025" s="19" t="inlineStr"/>
      <c r="Z3025" s="18">
        <f>IF(Y3025="",X3025,Y3025)</f>
        <v/>
      </c>
      <c r="AA3025" s="18" t="inlineStr">
        <is>
          <t>grounded</t>
        </is>
      </c>
      <c r="AB3025" s="18" t="inlineStr"/>
      <c r="AC3025" s="18" t="inlineStr"/>
      <c r="AD3025" s="18" t="inlineStr"/>
      <c r="AE3025" s="18" t="inlineStr"/>
      <c r="AF3025" s="18" t="inlineStr"/>
      <c r="AG3025" s="18" t="inlineStr"/>
      <c r="AH3025" s="18" t="inlineStr"/>
      <c r="AI3025" s="18" t="inlineStr"/>
      <c r="AJ3025" s="18" t="inlineStr">
        <is>
          <t>COBBLEVERSE 수정</t>
        </is>
      </c>
      <c r="AK3025" s="18" t="inlineStr">
        <is>
          <t>사용</t>
        </is>
      </c>
      <c r="AL3025" s="18" t="inlineStr">
        <is>
          <t>COBBLEVERSE 1.7.42 / DP v31</t>
        </is>
      </c>
      <c r="AM3025" s="18" t="inlineStr">
        <is>
          <t>data/cobblemon/spawn_pool_world/0970_glimmora.json</t>
        </is>
      </c>
      <c r="AN3025" s="18" t="inlineStr">
        <is>
          <t>glimmora-2</t>
        </is>
      </c>
      <c r="AO3025" s="18" t="inlineStr">
        <is>
          <t>pokemon</t>
        </is>
      </c>
      <c r="AP3025" s="18" t="inlineStr"/>
      <c r="AQ3025" s="18" t="inlineStr">
        <is>
          <t>{"biomes":["#cobblemon:nether/is_quartz"]}</t>
        </is>
      </c>
      <c r="AR3025" s="18" t="inlineStr"/>
      <c r="AS3025" s="18" t="inlineStr"/>
      <c r="AT3025" s="19" t="inlineStr"/>
    </row>
    <row r="3026" ht="32" customHeight="1">
      <c r="A3026" s="18" t="inlineStr">
        <is>
          <t>0970_glimmora.json::glimmora-3::003</t>
        </is>
      </c>
      <c r="B3026" s="19" t="inlineStr">
        <is>
          <t>사용</t>
        </is>
      </c>
      <c r="C3026" s="18">
        <f>IF(OR(B3026&lt;&gt;AK3026,M3026&lt;&gt;L3026,O3026&lt;&gt;"",Q3026&lt;&gt;"",V3026&lt;&gt;1,Y3026&lt;&gt;"",AT3026&lt;&gt;""),"수정","원본")</f>
        <v/>
      </c>
      <c r="D3026" s="18" t="n">
        <v>970</v>
      </c>
      <c r="E3026" s="18" t="inlineStr">
        <is>
          <t>킬라플로르</t>
        </is>
      </c>
      <c r="F3026" s="18" t="inlineStr">
        <is>
          <t>glimmora</t>
        </is>
      </c>
      <c r="G3026" s="18" t="inlineStr">
        <is>
          <t>glimmora</t>
        </is>
      </c>
      <c r="H3026" s="18" t="inlineStr"/>
      <c r="I3026" s="18" t="n">
        <v>9</v>
      </c>
      <c r="J3026" s="18" t="n"/>
      <c r="K3026" s="18" t="n">
        <v>9</v>
      </c>
      <c r="L3026" s="18" t="inlineStr">
        <is>
          <t>cobbleventure:generation_9</t>
        </is>
      </c>
      <c r="M3026" s="19" t="inlineStr">
        <is>
          <t>cobbleventure:generation_9</t>
        </is>
      </c>
      <c r="N3026" s="18" t="inlineStr"/>
      <c r="O3026" s="19" t="inlineStr"/>
      <c r="P3026" s="18" t="inlineStr">
        <is>
          <t>the_bumblezone:crystal_canyon; biomesoplenty:crystalline_chasm</t>
        </is>
      </c>
      <c r="Q3026" s="19" t="inlineStr"/>
      <c r="R3026" s="18">
        <f>IF(Q3026="",P3026,Q3026)</f>
        <v/>
      </c>
      <c r="S3026" s="18" t="inlineStr"/>
      <c r="T3026" s="18" t="inlineStr">
        <is>
          <t>common</t>
        </is>
      </c>
      <c r="U3026" s="20" t="n">
        <v>1</v>
      </c>
      <c r="V3026" s="21" t="n">
        <v>1</v>
      </c>
      <c r="W3026" s="20">
        <f>IF(OR(U3026="",V3026=""),U3026,U3026*V3026)</f>
        <v/>
      </c>
      <c r="X3026" s="18" t="inlineStr">
        <is>
          <t>35-53</t>
        </is>
      </c>
      <c r="Y3026" s="19" t="inlineStr"/>
      <c r="Z3026" s="18">
        <f>IF(Y3026="",X3026,Y3026)</f>
        <v/>
      </c>
      <c r="AA3026" s="18" t="inlineStr">
        <is>
          <t>grounded</t>
        </is>
      </c>
      <c r="AB3026" s="18" t="inlineStr"/>
      <c r="AC3026" s="18" t="inlineStr"/>
      <c r="AD3026" s="18" t="inlineStr"/>
      <c r="AE3026" s="18" t="inlineStr"/>
      <c r="AF3026" s="18" t="inlineStr"/>
      <c r="AG3026" s="18" t="inlineStr"/>
      <c r="AH3026" s="18" t="inlineStr"/>
      <c r="AI3026" s="18" t="inlineStr"/>
      <c r="AJ3026" s="18" t="inlineStr">
        <is>
          <t>COBBLEVERSE 수정</t>
        </is>
      </c>
      <c r="AK3026" s="18" t="inlineStr">
        <is>
          <t>사용</t>
        </is>
      </c>
      <c r="AL3026" s="18" t="inlineStr">
        <is>
          <t>COBBLEVERSE 1.7.42 / DP v31</t>
        </is>
      </c>
      <c r="AM3026" s="18" t="inlineStr">
        <is>
          <t>data/cobblemon/spawn_pool_world/0970_glimmora.json</t>
        </is>
      </c>
      <c r="AN3026" s="18" t="inlineStr">
        <is>
          <t>glimmora-3</t>
        </is>
      </c>
      <c r="AO3026" s="18" t="inlineStr">
        <is>
          <t>pokemon</t>
        </is>
      </c>
      <c r="AP3026" s="18" t="inlineStr"/>
      <c r="AQ3026" s="18" t="inlineStr">
        <is>
          <t>{"biomes":["the_bumblezone:crystal_canyon","biomesoplenty:crystalline_chasm"]}</t>
        </is>
      </c>
      <c r="AR3026" s="18" t="inlineStr"/>
      <c r="AS3026" s="18" t="inlineStr"/>
      <c r="AT3026" s="19" t="inlineStr"/>
    </row>
    <row r="3027" ht="32" customHeight="1">
      <c r="A3027" s="18" t="inlineStr">
        <is>
          <t>0971_greavard.json::greavard-1::001</t>
        </is>
      </c>
      <c r="B3027" s="19" t="inlineStr">
        <is>
          <t>사용</t>
        </is>
      </c>
      <c r="C3027" s="18">
        <f>IF(OR(B3027&lt;&gt;AK3027,M3027&lt;&gt;L3027,O3027&lt;&gt;"",Q3027&lt;&gt;"",V3027&lt;&gt;1,Y3027&lt;&gt;"",AT3027&lt;&gt;""),"수정","원본")</f>
        <v/>
      </c>
      <c r="D3027" s="18" t="n">
        <v>971</v>
      </c>
      <c r="E3027" s="18" t="inlineStr">
        <is>
          <t>망망이</t>
        </is>
      </c>
      <c r="F3027" s="18" t="inlineStr">
        <is>
          <t>greavard</t>
        </is>
      </c>
      <c r="G3027" s="18" t="inlineStr">
        <is>
          <t>greavard</t>
        </is>
      </c>
      <c r="H3027" s="18" t="inlineStr"/>
      <c r="I3027" s="18" t="n">
        <v>9</v>
      </c>
      <c r="J3027" s="18" t="n"/>
      <c r="K3027" s="18" t="n">
        <v>9</v>
      </c>
      <c r="L3027" s="18" t="inlineStr">
        <is>
          <t>cobbleventure:generation_9</t>
        </is>
      </c>
      <c r="M3027" s="19" t="inlineStr">
        <is>
          <t>cobbleventure:generation_9</t>
        </is>
      </c>
      <c r="N3027" s="18" t="inlineStr"/>
      <c r="O3027" s="19" t="inlineStr"/>
      <c r="P3027" s="18" t="inlineStr">
        <is>
          <t>#cobblemon:is_spooky</t>
        </is>
      </c>
      <c r="Q3027" s="19" t="inlineStr"/>
      <c r="R3027" s="18">
        <f>IF(Q3027="",P3027,Q3027)</f>
        <v/>
      </c>
      <c r="S3027" s="18" t="inlineStr"/>
      <c r="T3027" s="18" t="inlineStr">
        <is>
          <t>rare</t>
        </is>
      </c>
      <c r="U3027" s="20" t="n">
        <v>9</v>
      </c>
      <c r="V3027" s="21" t="n">
        <v>1</v>
      </c>
      <c r="W3027" s="20">
        <f>IF(OR(U3027="",V3027=""),U3027,U3027*V3027)</f>
        <v/>
      </c>
      <c r="X3027" s="18" t="inlineStr">
        <is>
          <t>3-29</t>
        </is>
      </c>
      <c r="Y3027" s="19" t="inlineStr"/>
      <c r="Z3027" s="18">
        <f>IF(Y3027="",X3027,Y3027)</f>
        <v/>
      </c>
      <c r="AA3027" s="18" t="inlineStr">
        <is>
          <t>grounded</t>
        </is>
      </c>
      <c r="AB3027" s="18" t="inlineStr">
        <is>
          <t>night</t>
        </is>
      </c>
      <c r="AC3027" s="18" t="inlineStr"/>
      <c r="AD3027" s="18" t="inlineStr"/>
      <c r="AE3027" s="18" t="inlineStr"/>
      <c r="AF3027" s="18" t="inlineStr">
        <is>
          <t>True</t>
        </is>
      </c>
      <c r="AG3027" s="18" t="inlineStr"/>
      <c r="AH3027" s="18" t="inlineStr"/>
      <c r="AI3027" s="18" t="inlineStr"/>
      <c r="AJ3027" s="18" t="inlineStr">
        <is>
          <t>COBBLEVERSE 추가</t>
        </is>
      </c>
      <c r="AK3027" s="18" t="inlineStr">
        <is>
          <t>사용</t>
        </is>
      </c>
      <c r="AL3027" s="18" t="inlineStr">
        <is>
          <t>COBBLEVERSE 1.7.42 / DP v31</t>
        </is>
      </c>
      <c r="AM3027" s="18" t="inlineStr">
        <is>
          <t>data/cobblemon/spawn_pool_world/0971_greavard.json</t>
        </is>
      </c>
      <c r="AN3027" s="18" t="inlineStr">
        <is>
          <t>greavard-1</t>
        </is>
      </c>
      <c r="AO3027" s="18" t="inlineStr">
        <is>
          <t>pokemon</t>
        </is>
      </c>
      <c r="AP3027" s="18" t="inlineStr">
        <is>
          <t>natural</t>
        </is>
      </c>
      <c r="AQ3027" s="18" t="inlineStr">
        <is>
          <t>{"biomes":["#cobblemon:is_spooky"],"canSeeSky":true,"timeRange":"night"}</t>
        </is>
      </c>
      <c r="AR3027" s="18" t="inlineStr"/>
      <c r="AS3027" s="18" t="inlineStr"/>
      <c r="AT3027" s="19" t="inlineStr"/>
    </row>
    <row r="3028" ht="32" customHeight="1">
      <c r="A3028" s="18" t="inlineStr">
        <is>
          <t>0971_greavard.json::greavard-2::002</t>
        </is>
      </c>
      <c r="B3028" s="19" t="inlineStr">
        <is>
          <t>사용</t>
        </is>
      </c>
      <c r="C3028" s="18">
        <f>IF(OR(B3028&lt;&gt;AK3028,M3028&lt;&gt;L3028,O3028&lt;&gt;"",Q3028&lt;&gt;"",V3028&lt;&gt;1,Y3028&lt;&gt;"",AT3028&lt;&gt;""),"수정","원본")</f>
        <v/>
      </c>
      <c r="D3028" s="18" t="n">
        <v>971</v>
      </c>
      <c r="E3028" s="18" t="inlineStr">
        <is>
          <t>망망이</t>
        </is>
      </c>
      <c r="F3028" s="18" t="inlineStr">
        <is>
          <t>greavard</t>
        </is>
      </c>
      <c r="G3028" s="18" t="inlineStr">
        <is>
          <t>greavard</t>
        </is>
      </c>
      <c r="H3028" s="18" t="inlineStr"/>
      <c r="I3028" s="18" t="n">
        <v>9</v>
      </c>
      <c r="J3028" s="18" t="n"/>
      <c r="K3028" s="18" t="n">
        <v>9</v>
      </c>
      <c r="L3028" s="18" t="inlineStr">
        <is>
          <t>cobbleventure:generation_9</t>
        </is>
      </c>
      <c r="M3028" s="19" t="inlineStr">
        <is>
          <t>cobbleventure:generation_9</t>
        </is>
      </c>
      <c r="N3028" s="18" t="inlineStr"/>
      <c r="O3028" s="19" t="inlineStr"/>
      <c r="P3028" s="18" t="inlineStr">
        <is>
          <t>minecraft:dark_forest</t>
        </is>
      </c>
      <c r="Q3028" s="19" t="inlineStr"/>
      <c r="R3028" s="18">
        <f>IF(Q3028="",P3028,Q3028)</f>
        <v/>
      </c>
      <c r="S3028" s="18" t="inlineStr"/>
      <c r="T3028" s="18" t="inlineStr">
        <is>
          <t>rare</t>
        </is>
      </c>
      <c r="U3028" s="20" t="n">
        <v>12</v>
      </c>
      <c r="V3028" s="21" t="n">
        <v>1</v>
      </c>
      <c r="W3028" s="20">
        <f>IF(OR(U3028="",V3028=""),U3028,U3028*V3028)</f>
        <v/>
      </c>
      <c r="X3028" s="18" t="inlineStr">
        <is>
          <t>3-29</t>
        </is>
      </c>
      <c r="Y3028" s="19" t="inlineStr"/>
      <c r="Z3028" s="18">
        <f>IF(Y3028="",X3028,Y3028)</f>
        <v/>
      </c>
      <c r="AA3028" s="18" t="inlineStr">
        <is>
          <t>grounded</t>
        </is>
      </c>
      <c r="AB3028" s="18" t="inlineStr">
        <is>
          <t>night</t>
        </is>
      </c>
      <c r="AC3028" s="18" t="inlineStr"/>
      <c r="AD3028" s="18" t="inlineStr"/>
      <c r="AE3028" s="18" t="inlineStr"/>
      <c r="AF3028" s="18" t="inlineStr"/>
      <c r="AG3028" s="18" t="inlineStr">
        <is>
          <t>cobbleverse:crown_cemetery</t>
        </is>
      </c>
      <c r="AH3028" s="18" t="inlineStr"/>
      <c r="AI3028" s="18" t="inlineStr"/>
      <c r="AJ3028" s="18" t="inlineStr">
        <is>
          <t>COBBLEVERSE 추가</t>
        </is>
      </c>
      <c r="AK3028" s="18" t="inlineStr">
        <is>
          <t>사용</t>
        </is>
      </c>
      <c r="AL3028" s="18" t="inlineStr">
        <is>
          <t>COBBLEVERSE 1.7.42 / DP v31</t>
        </is>
      </c>
      <c r="AM3028" s="18" t="inlineStr">
        <is>
          <t>data/cobblemon/spawn_pool_world/0971_greavard.json</t>
        </is>
      </c>
      <c r="AN3028" s="18" t="inlineStr">
        <is>
          <t>greavard-2</t>
        </is>
      </c>
      <c r="AO3028" s="18" t="inlineStr">
        <is>
          <t>pokemon</t>
        </is>
      </c>
      <c r="AP3028" s="18" t="inlineStr">
        <is>
          <t>natural</t>
        </is>
      </c>
      <c r="AQ3028" s="18" t="inlineStr">
        <is>
          <t>{"biomes":["minecraft:dark_forest"],"structures":["cobbleverse:crown_cemetery"],"timeRange":"night"}</t>
        </is>
      </c>
      <c r="AR3028" s="18" t="inlineStr"/>
      <c r="AS3028" s="18" t="inlineStr"/>
      <c r="AT3028" s="19" t="inlineStr"/>
    </row>
    <row r="3029" ht="32" customHeight="1">
      <c r="A3029" s="18" t="inlineStr">
        <is>
          <t>0972_houndstone.json::houndstone-1::001</t>
        </is>
      </c>
      <c r="B3029" s="19" t="inlineStr">
        <is>
          <t>사용</t>
        </is>
      </c>
      <c r="C3029" s="18">
        <f>IF(OR(B3029&lt;&gt;AK3029,M3029&lt;&gt;L3029,O3029&lt;&gt;"",Q3029&lt;&gt;"",V3029&lt;&gt;1,Y3029&lt;&gt;"",AT3029&lt;&gt;""),"수정","원본")</f>
        <v/>
      </c>
      <c r="D3029" s="18" t="n">
        <v>972</v>
      </c>
      <c r="E3029" s="18" t="inlineStr">
        <is>
          <t>묘두기</t>
        </is>
      </c>
      <c r="F3029" s="18" t="inlineStr">
        <is>
          <t>houndstone</t>
        </is>
      </c>
      <c r="G3029" s="18" t="inlineStr">
        <is>
          <t>houndstone</t>
        </is>
      </c>
      <c r="H3029" s="18" t="inlineStr"/>
      <c r="I3029" s="18" t="n">
        <v>9</v>
      </c>
      <c r="J3029" s="18" t="n"/>
      <c r="K3029" s="18" t="n">
        <v>9</v>
      </c>
      <c r="L3029" s="18" t="inlineStr">
        <is>
          <t>cobbleventure:generation_9</t>
        </is>
      </c>
      <c r="M3029" s="19" t="inlineStr">
        <is>
          <t>cobbleventure:generation_9</t>
        </is>
      </c>
      <c r="N3029" s="18" t="inlineStr"/>
      <c r="O3029" s="19" t="inlineStr"/>
      <c r="P3029" s="18" t="inlineStr">
        <is>
          <t>#cobblemon:is_spooky</t>
        </is>
      </c>
      <c r="Q3029" s="19" t="inlineStr"/>
      <c r="R3029" s="18">
        <f>IF(Q3029="",P3029,Q3029)</f>
        <v/>
      </c>
      <c r="S3029" s="18" t="inlineStr"/>
      <c r="T3029" s="18" t="inlineStr">
        <is>
          <t>rare</t>
        </is>
      </c>
      <c r="U3029" s="20" t="n">
        <v>2</v>
      </c>
      <c r="V3029" s="21" t="n">
        <v>1</v>
      </c>
      <c r="W3029" s="20">
        <f>IF(OR(U3029="",V3029=""),U3029,U3029*V3029)</f>
        <v/>
      </c>
      <c r="X3029" s="18" t="inlineStr">
        <is>
          <t>30-59</t>
        </is>
      </c>
      <c r="Y3029" s="19" t="inlineStr"/>
      <c r="Z3029" s="18">
        <f>IF(Y3029="",X3029,Y3029)</f>
        <v/>
      </c>
      <c r="AA3029" s="18" t="inlineStr">
        <is>
          <t>grounded</t>
        </is>
      </c>
      <c r="AB3029" s="18" t="inlineStr">
        <is>
          <t>night</t>
        </is>
      </c>
      <c r="AC3029" s="18" t="inlineStr"/>
      <c r="AD3029" s="18" t="inlineStr"/>
      <c r="AE3029" s="18" t="inlineStr"/>
      <c r="AF3029" s="18" t="inlineStr">
        <is>
          <t>True</t>
        </is>
      </c>
      <c r="AG3029" s="18" t="inlineStr"/>
      <c r="AH3029" s="18" t="inlineStr"/>
      <c r="AI3029" s="18" t="inlineStr"/>
      <c r="AJ3029" s="18" t="inlineStr">
        <is>
          <t>COBBLEVERSE 추가</t>
        </is>
      </c>
      <c r="AK3029" s="18" t="inlineStr">
        <is>
          <t>사용</t>
        </is>
      </c>
      <c r="AL3029" s="18" t="inlineStr">
        <is>
          <t>COBBLEVERSE 1.7.42 / DP v31</t>
        </is>
      </c>
      <c r="AM3029" s="18" t="inlineStr">
        <is>
          <t>data/cobblemon/spawn_pool_world/0972_houndstone.json</t>
        </is>
      </c>
      <c r="AN3029" s="18" t="inlineStr">
        <is>
          <t>houndstone-1</t>
        </is>
      </c>
      <c r="AO3029" s="18" t="inlineStr">
        <is>
          <t>pokemon</t>
        </is>
      </c>
      <c r="AP3029" s="18" t="inlineStr">
        <is>
          <t>natural</t>
        </is>
      </c>
      <c r="AQ3029" s="18" t="inlineStr">
        <is>
          <t>{"biomes":["#cobblemon:is_spooky"],"canSeeSky":true,"timeRange":"night"}</t>
        </is>
      </c>
      <c r="AR3029" s="18" t="inlineStr"/>
      <c r="AS3029" s="18" t="inlineStr"/>
      <c r="AT3029" s="19" t="inlineStr"/>
    </row>
    <row r="3030" ht="32" customHeight="1">
      <c r="A3030" s="18" t="inlineStr">
        <is>
          <t>0972_houndstone.json::houndstone-2::002</t>
        </is>
      </c>
      <c r="B3030" s="19" t="inlineStr">
        <is>
          <t>사용</t>
        </is>
      </c>
      <c r="C3030" s="18">
        <f>IF(OR(B3030&lt;&gt;AK3030,M3030&lt;&gt;L3030,O3030&lt;&gt;"",Q3030&lt;&gt;"",V3030&lt;&gt;1,Y3030&lt;&gt;"",AT3030&lt;&gt;""),"수정","원본")</f>
        <v/>
      </c>
      <c r="D3030" s="18" t="n">
        <v>972</v>
      </c>
      <c r="E3030" s="18" t="inlineStr">
        <is>
          <t>묘두기</t>
        </is>
      </c>
      <c r="F3030" s="18" t="inlineStr">
        <is>
          <t>houndstone</t>
        </is>
      </c>
      <c r="G3030" s="18" t="inlineStr">
        <is>
          <t>houndstone</t>
        </is>
      </c>
      <c r="H3030" s="18" t="inlineStr"/>
      <c r="I3030" s="18" t="n">
        <v>9</v>
      </c>
      <c r="J3030" s="18" t="n"/>
      <c r="K3030" s="18" t="n">
        <v>9</v>
      </c>
      <c r="L3030" s="18" t="inlineStr">
        <is>
          <t>cobbleventure:generation_9</t>
        </is>
      </c>
      <c r="M3030" s="19" t="inlineStr">
        <is>
          <t>cobbleventure:generation_9</t>
        </is>
      </c>
      <c r="N3030" s="18" t="inlineStr"/>
      <c r="O3030" s="19" t="inlineStr"/>
      <c r="P3030" s="18" t="inlineStr">
        <is>
          <t>minecraft:dark_forest</t>
        </is>
      </c>
      <c r="Q3030" s="19" t="inlineStr"/>
      <c r="R3030" s="18">
        <f>IF(Q3030="",P3030,Q3030)</f>
        <v/>
      </c>
      <c r="S3030" s="18" t="inlineStr"/>
      <c r="T3030" s="18" t="inlineStr">
        <is>
          <t>rare</t>
        </is>
      </c>
      <c r="U3030" s="20" t="n">
        <v>2</v>
      </c>
      <c r="V3030" s="21" t="n">
        <v>1</v>
      </c>
      <c r="W3030" s="20">
        <f>IF(OR(U3030="",V3030=""),U3030,U3030*V3030)</f>
        <v/>
      </c>
      <c r="X3030" s="18" t="inlineStr">
        <is>
          <t>30-59</t>
        </is>
      </c>
      <c r="Y3030" s="19" t="inlineStr"/>
      <c r="Z3030" s="18">
        <f>IF(Y3030="",X3030,Y3030)</f>
        <v/>
      </c>
      <c r="AA3030" s="18" t="inlineStr">
        <is>
          <t>grounded</t>
        </is>
      </c>
      <c r="AB3030" s="18" t="inlineStr">
        <is>
          <t>night</t>
        </is>
      </c>
      <c r="AC3030" s="18" t="inlineStr"/>
      <c r="AD3030" s="18" t="inlineStr"/>
      <c r="AE3030" s="18" t="inlineStr"/>
      <c r="AF3030" s="18" t="inlineStr"/>
      <c r="AG3030" s="18" t="inlineStr">
        <is>
          <t>cobbleverse:crown_cemetery</t>
        </is>
      </c>
      <c r="AH3030" s="18" t="inlineStr"/>
      <c r="AI3030" s="18" t="inlineStr"/>
      <c r="AJ3030" s="18" t="inlineStr">
        <is>
          <t>COBBLEVERSE 추가</t>
        </is>
      </c>
      <c r="AK3030" s="18" t="inlineStr">
        <is>
          <t>사용</t>
        </is>
      </c>
      <c r="AL3030" s="18" t="inlineStr">
        <is>
          <t>COBBLEVERSE 1.7.42 / DP v31</t>
        </is>
      </c>
      <c r="AM3030" s="18" t="inlineStr">
        <is>
          <t>data/cobblemon/spawn_pool_world/0972_houndstone.json</t>
        </is>
      </c>
      <c r="AN3030" s="18" t="inlineStr">
        <is>
          <t>houndstone-2</t>
        </is>
      </c>
      <c r="AO3030" s="18" t="inlineStr">
        <is>
          <t>pokemon</t>
        </is>
      </c>
      <c r="AP3030" s="18" t="inlineStr">
        <is>
          <t>natural</t>
        </is>
      </c>
      <c r="AQ3030" s="18" t="inlineStr">
        <is>
          <t>{"biomes":["minecraft:dark_forest"],"structures":["cobbleverse:crown_cemetery"],"timeRange":"night"}</t>
        </is>
      </c>
      <c r="AR3030" s="18" t="inlineStr"/>
      <c r="AS3030" s="18" t="inlineStr"/>
      <c r="AT3030" s="19" t="inlineStr"/>
    </row>
    <row r="3031" ht="32" customHeight="1">
      <c r="A3031" s="18" t="inlineStr">
        <is>
          <t>0973_flamigo.json::flamigo-1::001</t>
        </is>
      </c>
      <c r="B3031" s="19" t="inlineStr">
        <is>
          <t>사용</t>
        </is>
      </c>
      <c r="C3031" s="18">
        <f>IF(OR(B3031&lt;&gt;AK3031,M3031&lt;&gt;L3031,O3031&lt;&gt;"",Q3031&lt;&gt;"",V3031&lt;&gt;1,Y3031&lt;&gt;"",AT3031&lt;&gt;""),"수정","원본")</f>
        <v/>
      </c>
      <c r="D3031" s="18" t="n">
        <v>973</v>
      </c>
      <c r="E3031" s="18" t="inlineStr">
        <is>
          <t>꼬이밍고</t>
        </is>
      </c>
      <c r="F3031" s="18" t="inlineStr">
        <is>
          <t>flamigo</t>
        </is>
      </c>
      <c r="G3031" s="18" t="inlineStr">
        <is>
          <t>flamigo</t>
        </is>
      </c>
      <c r="H3031" s="18" t="inlineStr"/>
      <c r="I3031" s="18" t="n">
        <v>9</v>
      </c>
      <c r="J3031" s="18" t="n"/>
      <c r="K3031" s="18" t="n">
        <v>9</v>
      </c>
      <c r="L3031" s="18" t="inlineStr">
        <is>
          <t>cobbleventure:generation_9</t>
        </is>
      </c>
      <c r="M3031" s="19" t="inlineStr">
        <is>
          <t>cobbleventure:generation_9</t>
        </is>
      </c>
      <c r="N3031" s="18" t="inlineStr">
        <is>
          <t>region_02</t>
        </is>
      </c>
      <c r="O3031" s="19" t="inlineStr"/>
      <c r="P3031" s="18" t="inlineStr">
        <is>
          <t>#cobblemon:is_jungle; #cobblemon:is_savanna; #cobblemon:is_swamp; #cobblemon:is_tropical_island</t>
        </is>
      </c>
      <c r="Q3031" s="19" t="inlineStr"/>
      <c r="R3031" s="18">
        <f>IF(Q3031="",P3031,Q3031)</f>
        <v/>
      </c>
      <c r="S3031" s="18" t="inlineStr"/>
      <c r="T3031" s="18" t="inlineStr">
        <is>
          <t>common</t>
        </is>
      </c>
      <c r="U3031" s="20" t="n">
        <v>6</v>
      </c>
      <c r="V3031" s="21" t="n">
        <v>1</v>
      </c>
      <c r="W3031" s="20">
        <f>IF(OR(U3031="",V3031=""),U3031,U3031*V3031)</f>
        <v/>
      </c>
      <c r="X3031" s="18" t="inlineStr">
        <is>
          <t>25-50</t>
        </is>
      </c>
      <c r="Y3031" s="19" t="inlineStr"/>
      <c r="Z3031" s="18">
        <f>IF(Y3031="",X3031,Y3031)</f>
        <v/>
      </c>
      <c r="AA3031" s="18" t="inlineStr">
        <is>
          <t>grounded</t>
        </is>
      </c>
      <c r="AB3031" s="18" t="inlineStr"/>
      <c r="AC3031" s="18" t="inlineStr"/>
      <c r="AD3031" s="18" t="inlineStr"/>
      <c r="AE3031" s="18" t="inlineStr">
        <is>
          <t>sky 8-15</t>
        </is>
      </c>
      <c r="AF3031" s="18" t="inlineStr"/>
      <c r="AG3031" s="18" t="inlineStr"/>
      <c r="AH3031" s="18" t="inlineStr">
        <is>
          <t>주변=minecraft:water</t>
        </is>
      </c>
      <c r="AI3031" s="18" t="inlineStr"/>
      <c r="AJ3031" s="18" t="inlineStr">
        <is>
          <t>Cobblemon 동일</t>
        </is>
      </c>
      <c r="AK3031" s="18" t="inlineStr">
        <is>
          <t>사용</t>
        </is>
      </c>
      <c r="AL3031" s="18" t="inlineStr">
        <is>
          <t>COBBLEVERSE 1.7.42 / DP v31</t>
        </is>
      </c>
      <c r="AM3031" s="18" t="inlineStr">
        <is>
          <t>data/cobblemon/spawn_pool_world/0973_flamigo.json</t>
        </is>
      </c>
      <c r="AN3031" s="18" t="inlineStr">
        <is>
          <t>flamigo-1</t>
        </is>
      </c>
      <c r="AO3031" s="18" t="inlineStr">
        <is>
          <t>pokemon</t>
        </is>
      </c>
      <c r="AP3031" s="18" t="inlineStr">
        <is>
          <t>natural</t>
        </is>
      </c>
      <c r="AQ3031" s="18" t="inlineStr">
        <is>
          <t>{"biomes":["#cobblemon:is_jungle","#cobblemon:is_savanna","#cobblemon:is_swamp","#cobblemon:is_tropical_island"],"maxSkyLight":15,"minSkyLight":8,"neededNearbyBlocks":["minecraft:water"]}</t>
        </is>
      </c>
      <c r="AR3031" s="18" t="inlineStr"/>
      <c r="AS3031" s="18" t="inlineStr">
        <is>
          <t>{"weightMultiplier":{"condition":{"timeRange":"night"},"multiplier":0.25}}</t>
        </is>
      </c>
      <c r="AT3031" s="19" t="inlineStr"/>
    </row>
    <row r="3032" ht="32" customHeight="1">
      <c r="A3032" s="18" t="inlineStr">
        <is>
          <t>0973_flamigo.json::flamigo-2::002</t>
        </is>
      </c>
      <c r="B3032" s="19" t="inlineStr">
        <is>
          <t>사용</t>
        </is>
      </c>
      <c r="C3032" s="18">
        <f>IF(OR(B3032&lt;&gt;AK3032,M3032&lt;&gt;L3032,O3032&lt;&gt;"",Q3032&lt;&gt;"",V3032&lt;&gt;1,Y3032&lt;&gt;"",AT3032&lt;&gt;""),"수정","원본")</f>
        <v/>
      </c>
      <c r="D3032" s="18" t="n">
        <v>973</v>
      </c>
      <c r="E3032" s="18" t="inlineStr">
        <is>
          <t>꼬이밍고</t>
        </is>
      </c>
      <c r="F3032" s="18" t="inlineStr">
        <is>
          <t>flamigo</t>
        </is>
      </c>
      <c r="G3032" s="18" t="inlineStr">
        <is>
          <t>flamigo</t>
        </is>
      </c>
      <c r="H3032" s="18" t="inlineStr"/>
      <c r="I3032" s="18" t="n">
        <v>9</v>
      </c>
      <c r="J3032" s="18" t="n"/>
      <c r="K3032" s="18" t="n">
        <v>9</v>
      </c>
      <c r="L3032" s="18" t="inlineStr">
        <is>
          <t>cobbleventure:generation_9</t>
        </is>
      </c>
      <c r="M3032" s="19" t="inlineStr">
        <is>
          <t>cobbleventure:generation_9</t>
        </is>
      </c>
      <c r="N3032" s="18" t="inlineStr">
        <is>
          <t>region_02</t>
        </is>
      </c>
      <c r="O3032" s="19" t="inlineStr"/>
      <c r="P3032" s="18" t="inlineStr">
        <is>
          <t>#cobblemon:is_jungle; #cobblemon:is_savanna; #cobblemon:is_swamp; #cobblemon:is_tropical_island</t>
        </is>
      </c>
      <c r="Q3032" s="19" t="inlineStr"/>
      <c r="R3032" s="18">
        <f>IF(Q3032="",P3032,Q3032)</f>
        <v/>
      </c>
      <c r="S3032" s="18" t="inlineStr"/>
      <c r="T3032" s="18" t="inlineStr">
        <is>
          <t>uncommon</t>
        </is>
      </c>
      <c r="U3032" s="20" t="n">
        <v>6</v>
      </c>
      <c r="V3032" s="21" t="n">
        <v>1</v>
      </c>
      <c r="W3032" s="20">
        <f>IF(OR(U3032="",V3032=""),U3032,U3032*V3032)</f>
        <v/>
      </c>
      <c r="X3032" s="18" t="inlineStr">
        <is>
          <t>25-50</t>
        </is>
      </c>
      <c r="Y3032" s="19" t="inlineStr"/>
      <c r="Z3032" s="18">
        <f>IF(Y3032="",X3032,Y3032)</f>
        <v/>
      </c>
      <c r="AA3032" s="18" t="inlineStr">
        <is>
          <t>surface</t>
        </is>
      </c>
      <c r="AB3032" s="18" t="inlineStr">
        <is>
          <t>day</t>
        </is>
      </c>
      <c r="AC3032" s="18" t="inlineStr"/>
      <c r="AD3032" s="18" t="inlineStr"/>
      <c r="AE3032" s="18" t="inlineStr">
        <is>
          <t>sky 8-15</t>
        </is>
      </c>
      <c r="AF3032" s="18" t="inlineStr"/>
      <c r="AG3032" s="18" t="inlineStr"/>
      <c r="AH3032" s="18" t="inlineStr"/>
      <c r="AI3032" s="18" t="inlineStr"/>
      <c r="AJ3032" s="18" t="inlineStr">
        <is>
          <t>Cobblemon 동일</t>
        </is>
      </c>
      <c r="AK3032" s="18" t="inlineStr">
        <is>
          <t>사용</t>
        </is>
      </c>
      <c r="AL3032" s="18" t="inlineStr">
        <is>
          <t>COBBLEVERSE 1.7.42 / DP v31</t>
        </is>
      </c>
      <c r="AM3032" s="18" t="inlineStr">
        <is>
          <t>data/cobblemon/spawn_pool_world/0973_flamigo.json</t>
        </is>
      </c>
      <c r="AN3032" s="18" t="inlineStr">
        <is>
          <t>flamigo-2</t>
        </is>
      </c>
      <c r="AO3032" s="18" t="inlineStr">
        <is>
          <t>pokemon</t>
        </is>
      </c>
      <c r="AP3032" s="18" t="inlineStr">
        <is>
          <t>water</t>
        </is>
      </c>
      <c r="AQ3032" s="18" t="inlineStr">
        <is>
          <t>{"biomes":["#cobblemon:is_jungle","#cobblemon:is_savanna","#cobblemon:is_swamp","#cobblemon:is_tropical_island"],"maxSkyLight":15,"minSkyLight":8,"timeRange":"day"}</t>
        </is>
      </c>
      <c r="AR3032" s="18" t="inlineStr"/>
      <c r="AS3032" s="18" t="inlineStr"/>
      <c r="AT3032" s="19" t="inlineStr"/>
    </row>
    <row r="3033" ht="32" customHeight="1">
      <c r="A3033" s="18" t="inlineStr">
        <is>
          <t>0973_flamigo.json::flamigo-4::003</t>
        </is>
      </c>
      <c r="B3033" s="19" t="inlineStr">
        <is>
          <t>사용</t>
        </is>
      </c>
      <c r="C3033" s="18">
        <f>IF(OR(B3033&lt;&gt;AK3033,M3033&lt;&gt;L3033,O3033&lt;&gt;"",Q3033&lt;&gt;"",V3033&lt;&gt;1,Y3033&lt;&gt;"",AT3033&lt;&gt;""),"수정","원본")</f>
        <v/>
      </c>
      <c r="D3033" s="18" t="n">
        <v>973</v>
      </c>
      <c r="E3033" s="18" t="inlineStr">
        <is>
          <t>꼬이밍고</t>
        </is>
      </c>
      <c r="F3033" s="18" t="inlineStr">
        <is>
          <t>flamigo</t>
        </is>
      </c>
      <c r="G3033" s="18" t="inlineStr">
        <is>
          <t>flamigo</t>
        </is>
      </c>
      <c r="H3033" s="18" t="inlineStr"/>
      <c r="I3033" s="18" t="n">
        <v>9</v>
      </c>
      <c r="J3033" s="18" t="n"/>
      <c r="K3033" s="18" t="n">
        <v>9</v>
      </c>
      <c r="L3033" s="18" t="inlineStr">
        <is>
          <t>cobbleventure:generation_9</t>
        </is>
      </c>
      <c r="M3033" s="19" t="inlineStr">
        <is>
          <t>cobbleventure:generation_9</t>
        </is>
      </c>
      <c r="N3033" s="18" t="inlineStr"/>
      <c r="O3033" s="19" t="inlineStr"/>
      <c r="P3033" s="18" t="inlineStr">
        <is>
          <t>#aether:is_aether</t>
        </is>
      </c>
      <c r="Q3033" s="19" t="inlineStr"/>
      <c r="R3033" s="18">
        <f>IF(Q3033="",P3033,Q3033)</f>
        <v/>
      </c>
      <c r="S3033" s="18" t="inlineStr"/>
      <c r="T3033" s="18" t="inlineStr">
        <is>
          <t>uncommon</t>
        </is>
      </c>
      <c r="U3033" s="20" t="n">
        <v>6</v>
      </c>
      <c r="V3033" s="21" t="n">
        <v>1</v>
      </c>
      <c r="W3033" s="20">
        <f>IF(OR(U3033="",V3033=""),U3033,U3033*V3033)</f>
        <v/>
      </c>
      <c r="X3033" s="18" t="inlineStr">
        <is>
          <t>25-50</t>
        </is>
      </c>
      <c r="Y3033" s="19" t="inlineStr"/>
      <c r="Z3033" s="18">
        <f>IF(Y3033="",X3033,Y3033)</f>
        <v/>
      </c>
      <c r="AA3033" s="18" t="inlineStr">
        <is>
          <t>grounded</t>
        </is>
      </c>
      <c r="AB3033" s="18" t="inlineStr"/>
      <c r="AC3033" s="18" t="inlineStr"/>
      <c r="AD3033" s="18" t="inlineStr"/>
      <c r="AE3033" s="18" t="inlineStr">
        <is>
          <t>sky 8-15</t>
        </is>
      </c>
      <c r="AF3033" s="18" t="inlineStr"/>
      <c r="AG3033" s="18" t="inlineStr"/>
      <c r="AH3033" s="18" t="inlineStr">
        <is>
          <t>주변=minecraft:water</t>
        </is>
      </c>
      <c r="AI3033" s="18" t="inlineStr"/>
      <c r="AJ3033" s="18" t="inlineStr">
        <is>
          <t>Cobblemon 동일</t>
        </is>
      </c>
      <c r="AK3033" s="18" t="inlineStr">
        <is>
          <t>사용</t>
        </is>
      </c>
      <c r="AL3033" s="18" t="inlineStr">
        <is>
          <t>COBBLEVERSE 1.7.42 / DP v31</t>
        </is>
      </c>
      <c r="AM3033" s="18" t="inlineStr">
        <is>
          <t>data/cobblemon/spawn_pool_world/0973_flamigo.json</t>
        </is>
      </c>
      <c r="AN3033" s="18" t="inlineStr">
        <is>
          <t>flamigo-4</t>
        </is>
      </c>
      <c r="AO3033" s="18" t="inlineStr">
        <is>
          <t>pokemon</t>
        </is>
      </c>
      <c r="AP3033" s="18" t="inlineStr">
        <is>
          <t>natural</t>
        </is>
      </c>
      <c r="AQ3033" s="18" t="inlineStr">
        <is>
          <t>{"biomes":["#aether:is_aether"],"maxSkyLight":15,"minSkyLight":8,"neededNearbyBlocks":["minecraft:water"]}</t>
        </is>
      </c>
      <c r="AR3033" s="18" t="inlineStr"/>
      <c r="AS3033" s="18" t="inlineStr"/>
      <c r="AT3033" s="19" t="inlineStr"/>
    </row>
    <row r="3034" ht="32" customHeight="1">
      <c r="A3034" s="18" t="inlineStr">
        <is>
          <t>0974_cetoddle.json::cetoddle-1::001</t>
        </is>
      </c>
      <c r="B3034" s="19" t="inlineStr">
        <is>
          <t>사용</t>
        </is>
      </c>
      <c r="C3034" s="18">
        <f>IF(OR(B3034&lt;&gt;AK3034,M3034&lt;&gt;L3034,O3034&lt;&gt;"",Q3034&lt;&gt;"",V3034&lt;&gt;1,Y3034&lt;&gt;"",AT3034&lt;&gt;""),"수정","원본")</f>
        <v/>
      </c>
      <c r="D3034" s="18" t="n">
        <v>974</v>
      </c>
      <c r="E3034" s="18" t="inlineStr">
        <is>
          <t>터벅고래</t>
        </is>
      </c>
      <c r="F3034" s="18" t="inlineStr">
        <is>
          <t>cetoddle</t>
        </is>
      </c>
      <c r="G3034" s="18" t="inlineStr">
        <is>
          <t>cetoddle</t>
        </is>
      </c>
      <c r="H3034" s="18" t="inlineStr"/>
      <c r="I3034" s="18" t="n">
        <v>9</v>
      </c>
      <c r="J3034" s="18" t="n"/>
      <c r="K3034" s="18" t="n">
        <v>9</v>
      </c>
      <c r="L3034" s="18" t="inlineStr">
        <is>
          <t>cobbleventure:generation_9</t>
        </is>
      </c>
      <c r="M3034" s="19" t="inlineStr">
        <is>
          <t>cobbleventure:generation_9</t>
        </is>
      </c>
      <c r="N3034" s="18" t="inlineStr"/>
      <c r="O3034" s="19" t="inlineStr"/>
      <c r="P3034" s="18" t="inlineStr">
        <is>
          <t>#cobblemon:is_frozen_ocean</t>
        </is>
      </c>
      <c r="Q3034" s="19" t="inlineStr"/>
      <c r="R3034" s="18">
        <f>IF(Q3034="",P3034,Q3034)</f>
        <v/>
      </c>
      <c r="S3034" s="18" t="inlineStr"/>
      <c r="T3034" s="18" t="inlineStr">
        <is>
          <t>uncommon</t>
        </is>
      </c>
      <c r="U3034" s="20" t="n">
        <v>5.52</v>
      </c>
      <c r="V3034" s="21" t="n">
        <v>1</v>
      </c>
      <c r="W3034" s="20">
        <f>IF(OR(U3034="",V3034=""),U3034,U3034*V3034)</f>
        <v/>
      </c>
      <c r="X3034" s="18" t="inlineStr">
        <is>
          <t>8-33</t>
        </is>
      </c>
      <c r="Y3034" s="19" t="inlineStr"/>
      <c r="Z3034" s="18">
        <f>IF(Y3034="",X3034,Y3034)</f>
        <v/>
      </c>
      <c r="AA3034" s="18" t="inlineStr">
        <is>
          <t>grounded</t>
        </is>
      </c>
      <c r="AB3034" s="18" t="inlineStr"/>
      <c r="AC3034" s="18" t="inlineStr"/>
      <c r="AD3034" s="18" t="inlineStr"/>
      <c r="AE3034" s="18" t="inlineStr">
        <is>
          <t>sky 8-15</t>
        </is>
      </c>
      <c r="AF3034" s="18" t="inlineStr"/>
      <c r="AG3034" s="18" t="inlineStr"/>
      <c r="AH3034" s="18" t="inlineStr"/>
      <c r="AI3034" s="18" t="inlineStr"/>
      <c r="AJ3034" s="18" t="inlineStr">
        <is>
          <t>Cobblemon 동일</t>
        </is>
      </c>
      <c r="AK3034" s="18" t="inlineStr">
        <is>
          <t>사용</t>
        </is>
      </c>
      <c r="AL3034" s="18" t="inlineStr">
        <is>
          <t>COBBLEVERSE 1.7.42 / DP v31</t>
        </is>
      </c>
      <c r="AM3034" s="18" t="inlineStr">
        <is>
          <t>data/cobblemon/spawn_pool_world/0974_cetoddle.json</t>
        </is>
      </c>
      <c r="AN3034" s="18" t="inlineStr">
        <is>
          <t>cetoddle-1</t>
        </is>
      </c>
      <c r="AO3034" s="18" t="inlineStr">
        <is>
          <t>pokemon</t>
        </is>
      </c>
      <c r="AP3034" s="18" t="inlineStr">
        <is>
          <t>natural; wild</t>
        </is>
      </c>
      <c r="AQ3034" s="18" t="inlineStr">
        <is>
          <t>{"biomes":["#cobblemon:is_frozen_ocean"],"maxSkyLight":15,"minSkyLight":8}</t>
        </is>
      </c>
      <c r="AR3034" s="18" t="inlineStr"/>
      <c r="AS3034" s="18" t="inlineStr"/>
      <c r="AT3034" s="19" t="inlineStr"/>
    </row>
    <row r="3035" ht="32" customHeight="1">
      <c r="A3035" s="18" t="inlineStr">
        <is>
          <t>0974_cetoddle.json::cetoddle-2::002</t>
        </is>
      </c>
      <c r="B3035" s="19" t="inlineStr">
        <is>
          <t>사용</t>
        </is>
      </c>
      <c r="C3035" s="18">
        <f>IF(OR(B3035&lt;&gt;AK3035,M3035&lt;&gt;L3035,O3035&lt;&gt;"",Q3035&lt;&gt;"",V3035&lt;&gt;1,Y3035&lt;&gt;"",AT3035&lt;&gt;""),"수정","원본")</f>
        <v/>
      </c>
      <c r="D3035" s="18" t="n">
        <v>974</v>
      </c>
      <c r="E3035" s="18" t="inlineStr">
        <is>
          <t>터벅고래</t>
        </is>
      </c>
      <c r="F3035" s="18" t="inlineStr">
        <is>
          <t>cetoddle</t>
        </is>
      </c>
      <c r="G3035" s="18" t="inlineStr">
        <is>
          <t>cetoddle</t>
        </is>
      </c>
      <c r="H3035" s="18" t="inlineStr"/>
      <c r="I3035" s="18" t="n">
        <v>9</v>
      </c>
      <c r="J3035" s="18" t="n"/>
      <c r="K3035" s="18" t="n">
        <v>9</v>
      </c>
      <c r="L3035" s="18" t="inlineStr">
        <is>
          <t>cobbleventure:generation_9</t>
        </is>
      </c>
      <c r="M3035" s="19" t="inlineStr">
        <is>
          <t>cobbleventure:generation_9</t>
        </is>
      </c>
      <c r="N3035" s="18" t="inlineStr"/>
      <c r="O3035" s="19" t="inlineStr"/>
      <c r="P3035" s="18" t="inlineStr">
        <is>
          <t>#cobblemon:is_glacial; #cobblemon:is_tundra</t>
        </is>
      </c>
      <c r="Q3035" s="19" t="inlineStr"/>
      <c r="R3035" s="18">
        <f>IF(Q3035="",P3035,Q3035)</f>
        <v/>
      </c>
      <c r="S3035" s="18" t="inlineStr"/>
      <c r="T3035" s="18" t="inlineStr">
        <is>
          <t>uncommon</t>
        </is>
      </c>
      <c r="U3035" s="20" t="n">
        <v>9.199999999999999</v>
      </c>
      <c r="V3035" s="21" t="n">
        <v>1</v>
      </c>
      <c r="W3035" s="20">
        <f>IF(OR(U3035="",V3035=""),U3035,U3035*V3035)</f>
        <v/>
      </c>
      <c r="X3035" s="18" t="inlineStr">
        <is>
          <t>8-33</t>
        </is>
      </c>
      <c r="Y3035" s="19" t="inlineStr"/>
      <c r="Z3035" s="18">
        <f>IF(Y3035="",X3035,Y3035)</f>
        <v/>
      </c>
      <c r="AA3035" s="18" t="inlineStr">
        <is>
          <t>grounded</t>
        </is>
      </c>
      <c r="AB3035" s="18" t="inlineStr"/>
      <c r="AC3035" s="18" t="inlineStr"/>
      <c r="AD3035" s="18" t="inlineStr"/>
      <c r="AE3035" s="18" t="inlineStr">
        <is>
          <t>sky 8-15</t>
        </is>
      </c>
      <c r="AF3035" s="18" t="inlineStr"/>
      <c r="AG3035" s="18" t="inlineStr"/>
      <c r="AH3035" s="18" t="inlineStr"/>
      <c r="AI3035" s="18" t="inlineStr"/>
      <c r="AJ3035" s="18" t="inlineStr">
        <is>
          <t>Cobblemon 동일</t>
        </is>
      </c>
      <c r="AK3035" s="18" t="inlineStr">
        <is>
          <t>사용</t>
        </is>
      </c>
      <c r="AL3035" s="18" t="inlineStr">
        <is>
          <t>COBBLEVERSE 1.7.42 / DP v31</t>
        </is>
      </c>
      <c r="AM3035" s="18" t="inlineStr">
        <is>
          <t>data/cobblemon/spawn_pool_world/0974_cetoddle.json</t>
        </is>
      </c>
      <c r="AN3035" s="18" t="inlineStr">
        <is>
          <t>cetoddle-2</t>
        </is>
      </c>
      <c r="AO3035" s="18" t="inlineStr">
        <is>
          <t>pokemon</t>
        </is>
      </c>
      <c r="AP3035" s="18" t="inlineStr">
        <is>
          <t>natural; wild</t>
        </is>
      </c>
      <c r="AQ3035" s="18" t="inlineStr">
        <is>
          <t>{"biomes":["#cobblemon:is_glacial","#cobblemon:is_tundra"],"maxSkyLight":15,"minSkyLight":8}</t>
        </is>
      </c>
      <c r="AR3035" s="18" t="inlineStr"/>
      <c r="AS3035" s="18" t="inlineStr"/>
      <c r="AT3035" s="19" t="inlineStr"/>
    </row>
    <row r="3036" ht="32" customHeight="1">
      <c r="A3036" s="18" t="inlineStr">
        <is>
          <t>0975_cetitan.json::cetitan-1::001</t>
        </is>
      </c>
      <c r="B3036" s="19" t="inlineStr">
        <is>
          <t>사용</t>
        </is>
      </c>
      <c r="C3036" s="18">
        <f>IF(OR(B3036&lt;&gt;AK3036,M3036&lt;&gt;L3036,O3036&lt;&gt;"",Q3036&lt;&gt;"",V3036&lt;&gt;1,Y3036&lt;&gt;"",AT3036&lt;&gt;""),"수정","원본")</f>
        <v/>
      </c>
      <c r="D3036" s="18" t="n">
        <v>975</v>
      </c>
      <c r="E3036" s="18" t="inlineStr">
        <is>
          <t>우락고래</t>
        </is>
      </c>
      <c r="F3036" s="18" t="inlineStr">
        <is>
          <t>cetitan</t>
        </is>
      </c>
      <c r="G3036" s="18" t="inlineStr">
        <is>
          <t>cetitan</t>
        </is>
      </c>
      <c r="H3036" s="18" t="inlineStr"/>
      <c r="I3036" s="18" t="n">
        <v>9</v>
      </c>
      <c r="J3036" s="18" t="n"/>
      <c r="K3036" s="18" t="n">
        <v>9</v>
      </c>
      <c r="L3036" s="18" t="inlineStr">
        <is>
          <t>cobbleventure:generation_9</t>
        </is>
      </c>
      <c r="M3036" s="19" t="inlineStr">
        <is>
          <t>cobbleventure:generation_9</t>
        </is>
      </c>
      <c r="N3036" s="18" t="inlineStr"/>
      <c r="O3036" s="19" t="inlineStr"/>
      <c r="P3036" s="18" t="inlineStr">
        <is>
          <t>#cobblemon:is_frozen_ocean</t>
        </is>
      </c>
      <c r="Q3036" s="19" t="inlineStr"/>
      <c r="R3036" s="18">
        <f>IF(Q3036="",P3036,Q3036)</f>
        <v/>
      </c>
      <c r="S3036" s="18" t="inlineStr"/>
      <c r="T3036" s="18" t="inlineStr">
        <is>
          <t>uncommon</t>
        </is>
      </c>
      <c r="U3036" s="20" t="n">
        <v>0.48</v>
      </c>
      <c r="V3036" s="21" t="n">
        <v>1</v>
      </c>
      <c r="W3036" s="20">
        <f>IF(OR(U3036="",V3036=""),U3036,U3036*V3036)</f>
        <v/>
      </c>
      <c r="X3036" s="18" t="inlineStr">
        <is>
          <t>28-52</t>
        </is>
      </c>
      <c r="Y3036" s="19" t="inlineStr"/>
      <c r="Z3036" s="18">
        <f>IF(Y3036="",X3036,Y3036)</f>
        <v/>
      </c>
      <c r="AA3036" s="18" t="inlineStr">
        <is>
          <t>grounded</t>
        </is>
      </c>
      <c r="AB3036" s="18" t="inlineStr"/>
      <c r="AC3036" s="18" t="inlineStr"/>
      <c r="AD3036" s="18" t="inlineStr"/>
      <c r="AE3036" s="18" t="inlineStr">
        <is>
          <t>sky 8-15</t>
        </is>
      </c>
      <c r="AF3036" s="18" t="inlineStr"/>
      <c r="AG3036" s="18" t="inlineStr"/>
      <c r="AH3036" s="18" t="inlineStr"/>
      <c r="AI3036" s="18" t="inlineStr"/>
      <c r="AJ3036" s="18" t="inlineStr">
        <is>
          <t>Cobblemon 동일</t>
        </is>
      </c>
      <c r="AK3036" s="18" t="inlineStr">
        <is>
          <t>사용</t>
        </is>
      </c>
      <c r="AL3036" s="18" t="inlineStr">
        <is>
          <t>COBBLEVERSE 1.7.42 / DP v31</t>
        </is>
      </c>
      <c r="AM3036" s="18" t="inlineStr">
        <is>
          <t>data/cobblemon/spawn_pool_world/0975_cetitan.json</t>
        </is>
      </c>
      <c r="AN3036" s="18" t="inlineStr">
        <is>
          <t>cetitan-1</t>
        </is>
      </c>
      <c r="AO3036" s="18" t="inlineStr">
        <is>
          <t>pokemon</t>
        </is>
      </c>
      <c r="AP3036" s="18" t="inlineStr">
        <is>
          <t>natural; wild</t>
        </is>
      </c>
      <c r="AQ3036" s="18" t="inlineStr">
        <is>
          <t>{"biomes":["#cobblemon:is_frozen_ocean"],"maxSkyLight":15,"minSkyLight":8}</t>
        </is>
      </c>
      <c r="AR3036" s="18" t="inlineStr"/>
      <c r="AS3036" s="18" t="inlineStr"/>
      <c r="AT3036" s="19" t="inlineStr"/>
    </row>
    <row r="3037" ht="32" customHeight="1">
      <c r="A3037" s="18" t="inlineStr">
        <is>
          <t>0975_cetitan.json::cetitan-2::002</t>
        </is>
      </c>
      <c r="B3037" s="19" t="inlineStr">
        <is>
          <t>사용</t>
        </is>
      </c>
      <c r="C3037" s="18">
        <f>IF(OR(B3037&lt;&gt;AK3037,M3037&lt;&gt;L3037,O3037&lt;&gt;"",Q3037&lt;&gt;"",V3037&lt;&gt;1,Y3037&lt;&gt;"",AT3037&lt;&gt;""),"수정","원본")</f>
        <v/>
      </c>
      <c r="D3037" s="18" t="n">
        <v>975</v>
      </c>
      <c r="E3037" s="18" t="inlineStr">
        <is>
          <t>우락고래</t>
        </is>
      </c>
      <c r="F3037" s="18" t="inlineStr">
        <is>
          <t>cetitan</t>
        </is>
      </c>
      <c r="G3037" s="18" t="inlineStr">
        <is>
          <t>cetitan</t>
        </is>
      </c>
      <c r="H3037" s="18" t="inlineStr"/>
      <c r="I3037" s="18" t="n">
        <v>9</v>
      </c>
      <c r="J3037" s="18" t="n"/>
      <c r="K3037" s="18" t="n">
        <v>9</v>
      </c>
      <c r="L3037" s="18" t="inlineStr">
        <is>
          <t>cobbleventure:generation_9</t>
        </is>
      </c>
      <c r="M3037" s="19" t="inlineStr">
        <is>
          <t>cobbleventure:generation_9</t>
        </is>
      </c>
      <c r="N3037" s="18" t="inlineStr"/>
      <c r="O3037" s="19" t="inlineStr"/>
      <c r="P3037" s="18" t="inlineStr">
        <is>
          <t>#cobblemon:is_glacial; #cobblemon:is_tundra</t>
        </is>
      </c>
      <c r="Q3037" s="19" t="inlineStr"/>
      <c r="R3037" s="18">
        <f>IF(Q3037="",P3037,Q3037)</f>
        <v/>
      </c>
      <c r="S3037" s="18" t="inlineStr"/>
      <c r="T3037" s="18" t="inlineStr">
        <is>
          <t>uncommon</t>
        </is>
      </c>
      <c r="U3037" s="20" t="n">
        <v>0.8</v>
      </c>
      <c r="V3037" s="21" t="n">
        <v>1</v>
      </c>
      <c r="W3037" s="20">
        <f>IF(OR(U3037="",V3037=""),U3037,U3037*V3037)</f>
        <v/>
      </c>
      <c r="X3037" s="18" t="inlineStr">
        <is>
          <t>28-52</t>
        </is>
      </c>
      <c r="Y3037" s="19" t="inlineStr"/>
      <c r="Z3037" s="18">
        <f>IF(Y3037="",X3037,Y3037)</f>
        <v/>
      </c>
      <c r="AA3037" s="18" t="inlineStr">
        <is>
          <t>grounded</t>
        </is>
      </c>
      <c r="AB3037" s="18" t="inlineStr"/>
      <c r="AC3037" s="18" t="inlineStr"/>
      <c r="AD3037" s="18" t="inlineStr"/>
      <c r="AE3037" s="18" t="inlineStr">
        <is>
          <t>sky 8-15</t>
        </is>
      </c>
      <c r="AF3037" s="18" t="inlineStr"/>
      <c r="AG3037" s="18" t="inlineStr"/>
      <c r="AH3037" s="18" t="inlineStr"/>
      <c r="AI3037" s="18" t="inlineStr"/>
      <c r="AJ3037" s="18" t="inlineStr">
        <is>
          <t>Cobblemon 동일</t>
        </is>
      </c>
      <c r="AK3037" s="18" t="inlineStr">
        <is>
          <t>사용</t>
        </is>
      </c>
      <c r="AL3037" s="18" t="inlineStr">
        <is>
          <t>COBBLEVERSE 1.7.42 / DP v31</t>
        </is>
      </c>
      <c r="AM3037" s="18" t="inlineStr">
        <is>
          <t>data/cobblemon/spawn_pool_world/0975_cetitan.json</t>
        </is>
      </c>
      <c r="AN3037" s="18" t="inlineStr">
        <is>
          <t>cetitan-2</t>
        </is>
      </c>
      <c r="AO3037" s="18" t="inlineStr">
        <is>
          <t>pokemon</t>
        </is>
      </c>
      <c r="AP3037" s="18" t="inlineStr">
        <is>
          <t>natural; wild</t>
        </is>
      </c>
      <c r="AQ3037" s="18" t="inlineStr">
        <is>
          <t>{"biomes":["#cobblemon:is_glacial","#cobblemon:is_tundra"],"maxSkyLight":15,"minSkyLight":8}</t>
        </is>
      </c>
      <c r="AR3037" s="18" t="inlineStr"/>
      <c r="AS3037" s="18" t="inlineStr"/>
      <c r="AT3037" s="19" t="inlineStr"/>
    </row>
    <row r="3038" ht="32" customHeight="1">
      <c r="A3038" s="18" t="inlineStr">
        <is>
          <t>0976_veluza.json::veluza-1::001</t>
        </is>
      </c>
      <c r="B3038" s="19" t="inlineStr">
        <is>
          <t>사용</t>
        </is>
      </c>
      <c r="C3038" s="18">
        <f>IF(OR(B3038&lt;&gt;AK3038,M3038&lt;&gt;L3038,O3038&lt;&gt;"",Q3038&lt;&gt;"",V3038&lt;&gt;1,Y3038&lt;&gt;"",AT3038&lt;&gt;""),"수정","원본")</f>
        <v/>
      </c>
      <c r="D3038" s="18" t="n">
        <v>976</v>
      </c>
      <c r="E3038" s="18" t="inlineStr">
        <is>
          <t>가비루사</t>
        </is>
      </c>
      <c r="F3038" s="18" t="inlineStr">
        <is>
          <t>veluza</t>
        </is>
      </c>
      <c r="G3038" s="18" t="inlineStr">
        <is>
          <t>veluza</t>
        </is>
      </c>
      <c r="H3038" s="18" t="inlineStr"/>
      <c r="I3038" s="18" t="n">
        <v>9</v>
      </c>
      <c r="J3038" s="18" t="n"/>
      <c r="K3038" s="18" t="n">
        <v>9</v>
      </c>
      <c r="L3038" s="18" t="inlineStr">
        <is>
          <t>cobbleventure:generation_9</t>
        </is>
      </c>
      <c r="M3038" s="19" t="inlineStr">
        <is>
          <t>cobbleventure:generation_9</t>
        </is>
      </c>
      <c r="N3038" s="18" t="inlineStr"/>
      <c r="O3038" s="19" t="inlineStr"/>
      <c r="P3038" s="18" t="inlineStr">
        <is>
          <t>#cobblemon:is_ocean</t>
        </is>
      </c>
      <c r="Q3038" s="19" t="inlineStr"/>
      <c r="R3038" s="18">
        <f>IF(Q3038="",P3038,Q3038)</f>
        <v/>
      </c>
      <c r="S3038" s="18" t="inlineStr"/>
      <c r="T3038" s="18" t="inlineStr">
        <is>
          <t>uncommon</t>
        </is>
      </c>
      <c r="U3038" s="20" t="n">
        <v>10</v>
      </c>
      <c r="V3038" s="21" t="n">
        <v>1</v>
      </c>
      <c r="W3038" s="20">
        <f>IF(OR(U3038="",V3038=""),U3038,U3038*V3038)</f>
        <v/>
      </c>
      <c r="X3038" s="18" t="inlineStr">
        <is>
          <t>23-48</t>
        </is>
      </c>
      <c r="Y3038" s="19" t="inlineStr"/>
      <c r="Z3038" s="18">
        <f>IF(Y3038="",X3038,Y3038)</f>
        <v/>
      </c>
      <c r="AA3038" s="18" t="inlineStr">
        <is>
          <t>submerged</t>
        </is>
      </c>
      <c r="AB3038" s="18" t="inlineStr"/>
      <c r="AC3038" s="18" t="inlineStr"/>
      <c r="AD3038" s="18" t="inlineStr"/>
      <c r="AE3038" s="18" t="inlineStr"/>
      <c r="AF3038" s="18" t="inlineStr">
        <is>
          <t>True</t>
        </is>
      </c>
      <c r="AG3038" s="18" t="inlineStr"/>
      <c r="AH3038" s="18" t="inlineStr"/>
      <c r="AI3038" s="18" t="inlineStr"/>
      <c r="AJ3038" s="18" t="inlineStr">
        <is>
          <t>Cobblemon 동일</t>
        </is>
      </c>
      <c r="AK3038" s="18" t="inlineStr">
        <is>
          <t>사용</t>
        </is>
      </c>
      <c r="AL3038" s="18" t="inlineStr">
        <is>
          <t>COBBLEVERSE 1.7.42 / DP v31</t>
        </is>
      </c>
      <c r="AM3038" s="18" t="inlineStr">
        <is>
          <t>data/cobblemon/spawn_pool_world/0976_veluza.json</t>
        </is>
      </c>
      <c r="AN3038" s="18" t="inlineStr">
        <is>
          <t>veluza-1</t>
        </is>
      </c>
      <c r="AO3038" s="18" t="inlineStr">
        <is>
          <t>pokemon</t>
        </is>
      </c>
      <c r="AP3038" s="18" t="inlineStr">
        <is>
          <t>water</t>
        </is>
      </c>
      <c r="AQ3038" s="18" t="inlineStr">
        <is>
          <t>{"biomes":["#cobblemon:is_ocean"],"canSeeSky":true}</t>
        </is>
      </c>
      <c r="AR3038" s="18" t="inlineStr"/>
      <c r="AS3038" s="18" t="inlineStr"/>
      <c r="AT3038" s="19" t="inlineStr"/>
    </row>
    <row r="3039" ht="32" customHeight="1">
      <c r="A3039" s="18" t="inlineStr">
        <is>
          <t>0976_veluza.json::veluza-2::002</t>
        </is>
      </c>
      <c r="B3039" s="19" t="inlineStr">
        <is>
          <t>사용</t>
        </is>
      </c>
      <c r="C3039" s="18">
        <f>IF(OR(B3039&lt;&gt;AK3039,M3039&lt;&gt;L3039,O3039&lt;&gt;"",Q3039&lt;&gt;"",V3039&lt;&gt;1,Y3039&lt;&gt;"",AT3039&lt;&gt;""),"수정","원본")</f>
        <v/>
      </c>
      <c r="D3039" s="18" t="n">
        <v>976</v>
      </c>
      <c r="E3039" s="18" t="inlineStr">
        <is>
          <t>가비루사</t>
        </is>
      </c>
      <c r="F3039" s="18" t="inlineStr">
        <is>
          <t>veluza</t>
        </is>
      </c>
      <c r="G3039" s="18" t="inlineStr">
        <is>
          <t>veluza</t>
        </is>
      </c>
      <c r="H3039" s="18" t="inlineStr"/>
      <c r="I3039" s="18" t="n">
        <v>9</v>
      </c>
      <c r="J3039" s="18" t="n"/>
      <c r="K3039" s="18" t="n">
        <v>9</v>
      </c>
      <c r="L3039" s="18" t="inlineStr">
        <is>
          <t>cobbleventure:generation_9</t>
        </is>
      </c>
      <c r="M3039" s="19" t="inlineStr">
        <is>
          <t>cobbleventure:generation_9</t>
        </is>
      </c>
      <c r="N3039" s="18" t="inlineStr"/>
      <c r="O3039" s="19" t="inlineStr"/>
      <c r="P3039" s="18" t="inlineStr">
        <is>
          <t>#cobblemon:is_ocean</t>
        </is>
      </c>
      <c r="Q3039" s="19" t="inlineStr"/>
      <c r="R3039" s="18">
        <f>IF(Q3039="",P3039,Q3039)</f>
        <v/>
      </c>
      <c r="S3039" s="18" t="inlineStr"/>
      <c r="T3039" s="18" t="inlineStr">
        <is>
          <t>uncommon</t>
        </is>
      </c>
      <c r="U3039" s="20" t="n">
        <v>10</v>
      </c>
      <c r="V3039" s="21" t="n">
        <v>1</v>
      </c>
      <c r="W3039" s="20">
        <f>IF(OR(U3039="",V3039=""),U3039,U3039*V3039)</f>
        <v/>
      </c>
      <c r="X3039" s="18" t="inlineStr">
        <is>
          <t>23-48</t>
        </is>
      </c>
      <c r="Y3039" s="19" t="inlineStr"/>
      <c r="Z3039" s="18">
        <f>IF(Y3039="",X3039,Y3039)</f>
        <v/>
      </c>
      <c r="AA3039" s="18" t="inlineStr">
        <is>
          <t>fishing</t>
        </is>
      </c>
      <c r="AB3039" s="18" t="inlineStr"/>
      <c r="AC3039" s="18" t="inlineStr"/>
      <c r="AD3039" s="18" t="inlineStr"/>
      <c r="AE3039" s="18" t="inlineStr"/>
      <c r="AF3039" s="18" t="inlineStr">
        <is>
          <t>True</t>
        </is>
      </c>
      <c r="AG3039" s="18" t="inlineStr"/>
      <c r="AH3039" s="18" t="inlineStr"/>
      <c r="AI3039" s="18" t="inlineStr"/>
      <c r="AJ3039" s="18" t="inlineStr">
        <is>
          <t>Cobblemon 동일</t>
        </is>
      </c>
      <c r="AK3039" s="18" t="inlineStr">
        <is>
          <t>사용</t>
        </is>
      </c>
      <c r="AL3039" s="18" t="inlineStr">
        <is>
          <t>COBBLEVERSE 1.7.42 / DP v31</t>
        </is>
      </c>
      <c r="AM3039" s="18" t="inlineStr">
        <is>
          <t>data/cobblemon/spawn_pool_world/0976_veluza.json</t>
        </is>
      </c>
      <c r="AN3039" s="18" t="inlineStr">
        <is>
          <t>veluza-2</t>
        </is>
      </c>
      <c r="AO3039" s="18" t="inlineStr">
        <is>
          <t>pokemon</t>
        </is>
      </c>
      <c r="AP3039" s="18" t="inlineStr"/>
      <c r="AQ3039" s="18" t="inlineStr">
        <is>
          <t>{"biomes":["#cobblemon:is_ocean"],"canSeeSky":true}</t>
        </is>
      </c>
      <c r="AR3039" s="18" t="inlineStr">
        <is>
          <t>{"minLureLevel":1}</t>
        </is>
      </c>
      <c r="AS3039" s="18" t="inlineStr"/>
      <c r="AT3039" s="19" t="inlineStr"/>
    </row>
    <row r="3040" ht="32" customHeight="1">
      <c r="A3040" s="18" t="inlineStr">
        <is>
          <t>0976_veluza.json::veluza-3::003</t>
        </is>
      </c>
      <c r="B3040" s="19" t="inlineStr">
        <is>
          <t>사용</t>
        </is>
      </c>
      <c r="C3040" s="18">
        <f>IF(OR(B3040&lt;&gt;AK3040,M3040&lt;&gt;L3040,O3040&lt;&gt;"",Q3040&lt;&gt;"",V3040&lt;&gt;1,Y3040&lt;&gt;"",AT3040&lt;&gt;""),"수정","원본")</f>
        <v/>
      </c>
      <c r="D3040" s="18" t="n">
        <v>976</v>
      </c>
      <c r="E3040" s="18" t="inlineStr">
        <is>
          <t>가비루사</t>
        </is>
      </c>
      <c r="F3040" s="18" t="inlineStr">
        <is>
          <t>veluza</t>
        </is>
      </c>
      <c r="G3040" s="18" t="inlineStr">
        <is>
          <t>veluza</t>
        </is>
      </c>
      <c r="H3040" s="18" t="inlineStr"/>
      <c r="I3040" s="18" t="n">
        <v>9</v>
      </c>
      <c r="J3040" s="18" t="n"/>
      <c r="K3040" s="18" t="n">
        <v>9</v>
      </c>
      <c r="L3040" s="18" t="inlineStr">
        <is>
          <t>cobbleventure:generation_9</t>
        </is>
      </c>
      <c r="M3040" s="19" t="inlineStr">
        <is>
          <t>cobbleventure:generation_9</t>
        </is>
      </c>
      <c r="N3040" s="18" t="inlineStr"/>
      <c r="O3040" s="19" t="inlineStr"/>
      <c r="P3040" s="18" t="inlineStr">
        <is>
          <t>#cobblemon:is_ocean</t>
        </is>
      </c>
      <c r="Q3040" s="19" t="inlineStr"/>
      <c r="R3040" s="18">
        <f>IF(Q3040="",P3040,Q3040)</f>
        <v/>
      </c>
      <c r="S3040" s="18" t="inlineStr"/>
      <c r="T3040" s="18" t="inlineStr">
        <is>
          <t>common</t>
        </is>
      </c>
      <c r="U3040" s="20" t="n">
        <v>2</v>
      </c>
      <c r="V3040" s="21" t="n">
        <v>1</v>
      </c>
      <c r="W3040" s="20">
        <f>IF(OR(U3040="",V3040=""),U3040,U3040*V3040)</f>
        <v/>
      </c>
      <c r="X3040" s="18" t="inlineStr">
        <is>
          <t>23-48</t>
        </is>
      </c>
      <c r="Y3040" s="19" t="inlineStr"/>
      <c r="Z3040" s="18">
        <f>IF(Y3040="",X3040,Y3040)</f>
        <v/>
      </c>
      <c r="AA3040" s="18" t="inlineStr">
        <is>
          <t>fishing</t>
        </is>
      </c>
      <c r="AB3040" s="18" t="inlineStr"/>
      <c r="AC3040" s="18" t="inlineStr"/>
      <c r="AD3040" s="18" t="inlineStr"/>
      <c r="AE3040" s="18" t="inlineStr"/>
      <c r="AF3040" s="18" t="inlineStr">
        <is>
          <t>True</t>
        </is>
      </c>
      <c r="AG3040" s="18" t="inlineStr"/>
      <c r="AH3040" s="18" t="inlineStr"/>
      <c r="AI3040" s="18" t="inlineStr">
        <is>
          <t>{"fishing":{"minLureLevel":1}}</t>
        </is>
      </c>
      <c r="AJ3040" s="18" t="inlineStr">
        <is>
          <t>Cobblemon 동일</t>
        </is>
      </c>
      <c r="AK3040" s="18" t="inlineStr">
        <is>
          <t>사용</t>
        </is>
      </c>
      <c r="AL3040" s="18" t="inlineStr">
        <is>
          <t>COBBLEVERSE 1.7.42 / DP v31</t>
        </is>
      </c>
      <c r="AM3040" s="18" t="inlineStr">
        <is>
          <t>data/cobblemon/spawn_pool_world/0976_veluza.json</t>
        </is>
      </c>
      <c r="AN3040" s="18" t="inlineStr">
        <is>
          <t>veluza-3</t>
        </is>
      </c>
      <c r="AO3040" s="18" t="inlineStr">
        <is>
          <t>pokemon</t>
        </is>
      </c>
      <c r="AP3040" s="18" t="inlineStr"/>
      <c r="AQ3040" s="18" t="inlineStr">
        <is>
          <t>{"biomes":["#cobblemon:is_ocean"],"canSeeSky":true,"minLureLevel":1}</t>
        </is>
      </c>
      <c r="AR3040" s="18" t="inlineStr"/>
      <c r="AS3040" s="18" t="inlineStr">
        <is>
          <t>{"weightMultiplier":{"condition":{"minLureLevel":3},"multiplier":3.0}}</t>
        </is>
      </c>
      <c r="AT3040" s="19" t="inlineStr"/>
    </row>
    <row r="3041" ht="32" customHeight="1">
      <c r="A3041" s="18" t="inlineStr">
        <is>
          <t>0976_veluza.json::veluza-4::004</t>
        </is>
      </c>
      <c r="B3041" s="19" t="inlineStr">
        <is>
          <t>사용</t>
        </is>
      </c>
      <c r="C3041" s="18">
        <f>IF(OR(B3041&lt;&gt;AK3041,M3041&lt;&gt;L3041,O3041&lt;&gt;"",Q3041&lt;&gt;"",V3041&lt;&gt;1,Y3041&lt;&gt;"",AT3041&lt;&gt;""),"수정","원본")</f>
        <v/>
      </c>
      <c r="D3041" s="18" t="n">
        <v>976</v>
      </c>
      <c r="E3041" s="18" t="inlineStr">
        <is>
          <t>가비루사</t>
        </is>
      </c>
      <c r="F3041" s="18" t="inlineStr">
        <is>
          <t>veluza</t>
        </is>
      </c>
      <c r="G3041" s="18" t="inlineStr">
        <is>
          <t>veluza</t>
        </is>
      </c>
      <c r="H3041" s="18" t="inlineStr"/>
      <c r="I3041" s="18" t="n">
        <v>9</v>
      </c>
      <c r="J3041" s="18" t="n"/>
      <c r="K3041" s="18" t="n">
        <v>9</v>
      </c>
      <c r="L3041" s="18" t="inlineStr">
        <is>
          <t>cobbleventure:generation_9</t>
        </is>
      </c>
      <c r="M3041" s="19" t="inlineStr">
        <is>
          <t>cobbleventure:generation_9</t>
        </is>
      </c>
      <c r="N3041" s="18" t="inlineStr"/>
      <c r="O3041" s="19" t="inlineStr"/>
      <c r="P3041" s="18" t="inlineStr">
        <is>
          <t>#cobblemon:is_ocean</t>
        </is>
      </c>
      <c r="Q3041" s="19" t="inlineStr"/>
      <c r="R3041" s="18">
        <f>IF(Q3041="",P3041,Q3041)</f>
        <v/>
      </c>
      <c r="S3041" s="18" t="inlineStr"/>
      <c r="T3041" s="18" t="inlineStr">
        <is>
          <t>uncommon</t>
        </is>
      </c>
      <c r="U3041" s="20" t="n">
        <v>10</v>
      </c>
      <c r="V3041" s="21" t="n">
        <v>1</v>
      </c>
      <c r="W3041" s="20">
        <f>IF(OR(U3041="",V3041=""),U3041,U3041*V3041)</f>
        <v/>
      </c>
      <c r="X3041" s="18" t="inlineStr">
        <is>
          <t>23-48</t>
        </is>
      </c>
      <c r="Y3041" s="19" t="inlineStr"/>
      <c r="Z3041" s="18">
        <f>IF(Y3041="",X3041,Y3041)</f>
        <v/>
      </c>
      <c r="AA3041" s="18" t="inlineStr">
        <is>
          <t>submerged</t>
        </is>
      </c>
      <c r="AB3041" s="18" t="inlineStr"/>
      <c r="AC3041" s="18" t="inlineStr"/>
      <c r="AD3041" s="18" t="inlineStr"/>
      <c r="AE3041" s="18" t="inlineStr">
        <is>
          <t>sky 8-15</t>
        </is>
      </c>
      <c r="AF3041" s="18" t="inlineStr">
        <is>
          <t>False</t>
        </is>
      </c>
      <c r="AG3041" s="18" t="inlineStr"/>
      <c r="AH3041" s="18" t="inlineStr"/>
      <c r="AI3041" s="18" t="inlineStr"/>
      <c r="AJ3041" s="18" t="inlineStr">
        <is>
          <t>Cobblemon 동일</t>
        </is>
      </c>
      <c r="AK3041" s="18" t="inlineStr">
        <is>
          <t>사용</t>
        </is>
      </c>
      <c r="AL3041" s="18" t="inlineStr">
        <is>
          <t>COBBLEVERSE 1.7.42 / DP v31</t>
        </is>
      </c>
      <c r="AM3041" s="18" t="inlineStr">
        <is>
          <t>data/cobblemon/spawn_pool_world/0976_veluza.json</t>
        </is>
      </c>
      <c r="AN3041" s="18" t="inlineStr">
        <is>
          <t>veluza-4</t>
        </is>
      </c>
      <c r="AO3041" s="18" t="inlineStr">
        <is>
          <t>pokemon</t>
        </is>
      </c>
      <c r="AP3041" s="18" t="inlineStr">
        <is>
          <t>water</t>
        </is>
      </c>
      <c r="AQ3041" s="18" t="inlineStr">
        <is>
          <t>{"biomes":["#cobblemon:is_ocean"],"canSeeSky":false,"maxSkyLight":15,"minSkyLight":8}</t>
        </is>
      </c>
      <c r="AR3041" s="18" t="inlineStr"/>
      <c r="AS3041" s="18" t="inlineStr"/>
      <c r="AT3041" s="19" t="inlineStr"/>
    </row>
    <row r="3042" ht="32" customHeight="1">
      <c r="A3042" s="18" t="inlineStr">
        <is>
          <t>0976_veluza.json::veluza-5::005</t>
        </is>
      </c>
      <c r="B3042" s="19" t="inlineStr">
        <is>
          <t>사용</t>
        </is>
      </c>
      <c r="C3042" s="18">
        <f>IF(OR(B3042&lt;&gt;AK3042,M3042&lt;&gt;L3042,O3042&lt;&gt;"",Q3042&lt;&gt;"",V3042&lt;&gt;1,Y3042&lt;&gt;"",AT3042&lt;&gt;""),"수정","원본")</f>
        <v/>
      </c>
      <c r="D3042" s="18" t="n">
        <v>976</v>
      </c>
      <c r="E3042" s="18" t="inlineStr">
        <is>
          <t>가비루사</t>
        </is>
      </c>
      <c r="F3042" s="18" t="inlineStr">
        <is>
          <t>veluza</t>
        </is>
      </c>
      <c r="G3042" s="18" t="inlineStr">
        <is>
          <t>veluza</t>
        </is>
      </c>
      <c r="H3042" s="18" t="inlineStr"/>
      <c r="I3042" s="18" t="n">
        <v>9</v>
      </c>
      <c r="J3042" s="18" t="n"/>
      <c r="K3042" s="18" t="n">
        <v>9</v>
      </c>
      <c r="L3042" s="18" t="inlineStr">
        <is>
          <t>cobbleventure:generation_9</t>
        </is>
      </c>
      <c r="M3042" s="19" t="inlineStr">
        <is>
          <t>cobbleventure:generation_9</t>
        </is>
      </c>
      <c r="N3042" s="18" t="inlineStr"/>
      <c r="O3042" s="19" t="inlineStr"/>
      <c r="P3042" s="18" t="inlineStr">
        <is>
          <t>#cobblemon:is_ocean</t>
        </is>
      </c>
      <c r="Q3042" s="19" t="inlineStr"/>
      <c r="R3042" s="18">
        <f>IF(Q3042="",P3042,Q3042)</f>
        <v/>
      </c>
      <c r="S3042" s="18" t="inlineStr"/>
      <c r="T3042" s="18" t="inlineStr">
        <is>
          <t>uncommon</t>
        </is>
      </c>
      <c r="U3042" s="20" t="n">
        <v>10</v>
      </c>
      <c r="V3042" s="21" t="n">
        <v>1</v>
      </c>
      <c r="W3042" s="20">
        <f>IF(OR(U3042="",V3042=""),U3042,U3042*V3042)</f>
        <v/>
      </c>
      <c r="X3042" s="18" t="inlineStr">
        <is>
          <t>23-48</t>
        </is>
      </c>
      <c r="Y3042" s="19" t="inlineStr"/>
      <c r="Z3042" s="18">
        <f>IF(Y3042="",X3042,Y3042)</f>
        <v/>
      </c>
      <c r="AA3042" s="18" t="inlineStr">
        <is>
          <t>fishing</t>
        </is>
      </c>
      <c r="AB3042" s="18" t="inlineStr"/>
      <c r="AC3042" s="18" t="inlineStr"/>
      <c r="AD3042" s="18" t="inlineStr"/>
      <c r="AE3042" s="18" t="inlineStr">
        <is>
          <t>sky 8-15</t>
        </is>
      </c>
      <c r="AF3042" s="18" t="inlineStr">
        <is>
          <t>False</t>
        </is>
      </c>
      <c r="AG3042" s="18" t="inlineStr"/>
      <c r="AH3042" s="18" t="inlineStr"/>
      <c r="AI3042" s="18" t="inlineStr"/>
      <c r="AJ3042" s="18" t="inlineStr">
        <is>
          <t>Cobblemon 동일</t>
        </is>
      </c>
      <c r="AK3042" s="18" t="inlineStr">
        <is>
          <t>사용</t>
        </is>
      </c>
      <c r="AL3042" s="18" t="inlineStr">
        <is>
          <t>COBBLEVERSE 1.7.42 / DP v31</t>
        </is>
      </c>
      <c r="AM3042" s="18" t="inlineStr">
        <is>
          <t>data/cobblemon/spawn_pool_world/0976_veluza.json</t>
        </is>
      </c>
      <c r="AN3042" s="18" t="inlineStr">
        <is>
          <t>veluza-5</t>
        </is>
      </c>
      <c r="AO3042" s="18" t="inlineStr">
        <is>
          <t>pokemon</t>
        </is>
      </c>
      <c r="AP3042" s="18" t="inlineStr"/>
      <c r="AQ3042" s="18" t="inlineStr">
        <is>
          <t>{"biomes":["#cobblemon:is_ocean"],"canSeeSky":false,"maxSkyLight":15,"minSkyLight":8}</t>
        </is>
      </c>
      <c r="AR3042" s="18" t="inlineStr">
        <is>
          <t>{"minLureLevel":1}</t>
        </is>
      </c>
      <c r="AS3042" s="18" t="inlineStr"/>
      <c r="AT3042" s="19" t="inlineStr"/>
    </row>
    <row r="3043" ht="32" customHeight="1">
      <c r="A3043" s="18" t="inlineStr">
        <is>
          <t>0976_veluza.json::veluza-6::006</t>
        </is>
      </c>
      <c r="B3043" s="19" t="inlineStr">
        <is>
          <t>사용</t>
        </is>
      </c>
      <c r="C3043" s="18">
        <f>IF(OR(B3043&lt;&gt;AK3043,M3043&lt;&gt;L3043,O3043&lt;&gt;"",Q3043&lt;&gt;"",V3043&lt;&gt;1,Y3043&lt;&gt;"",AT3043&lt;&gt;""),"수정","원본")</f>
        <v/>
      </c>
      <c r="D3043" s="18" t="n">
        <v>976</v>
      </c>
      <c r="E3043" s="18" t="inlineStr">
        <is>
          <t>가비루사</t>
        </is>
      </c>
      <c r="F3043" s="18" t="inlineStr">
        <is>
          <t>veluza</t>
        </is>
      </c>
      <c r="G3043" s="18" t="inlineStr">
        <is>
          <t>veluza</t>
        </is>
      </c>
      <c r="H3043" s="18" t="inlineStr"/>
      <c r="I3043" s="18" t="n">
        <v>9</v>
      </c>
      <c r="J3043" s="18" t="n"/>
      <c r="K3043" s="18" t="n">
        <v>9</v>
      </c>
      <c r="L3043" s="18" t="inlineStr">
        <is>
          <t>cobbleventure:generation_9</t>
        </is>
      </c>
      <c r="M3043" s="19" t="inlineStr">
        <is>
          <t>cobbleventure:generation_9</t>
        </is>
      </c>
      <c r="N3043" s="18" t="inlineStr"/>
      <c r="O3043" s="19" t="inlineStr"/>
      <c r="P3043" s="18" t="inlineStr">
        <is>
          <t>#cobblemon:is_ocean</t>
        </is>
      </c>
      <c r="Q3043" s="19" t="inlineStr"/>
      <c r="R3043" s="18">
        <f>IF(Q3043="",P3043,Q3043)</f>
        <v/>
      </c>
      <c r="S3043" s="18" t="inlineStr"/>
      <c r="T3043" s="18" t="inlineStr">
        <is>
          <t>common</t>
        </is>
      </c>
      <c r="U3043" s="20" t="n">
        <v>2</v>
      </c>
      <c r="V3043" s="21" t="n">
        <v>1</v>
      </c>
      <c r="W3043" s="20">
        <f>IF(OR(U3043="",V3043=""),U3043,U3043*V3043)</f>
        <v/>
      </c>
      <c r="X3043" s="18" t="inlineStr">
        <is>
          <t>23-48</t>
        </is>
      </c>
      <c r="Y3043" s="19" t="inlineStr"/>
      <c r="Z3043" s="18">
        <f>IF(Y3043="",X3043,Y3043)</f>
        <v/>
      </c>
      <c r="AA3043" s="18" t="inlineStr">
        <is>
          <t>fishing</t>
        </is>
      </c>
      <c r="AB3043" s="18" t="inlineStr"/>
      <c r="AC3043" s="18" t="inlineStr"/>
      <c r="AD3043" s="18" t="inlineStr"/>
      <c r="AE3043" s="18" t="inlineStr">
        <is>
          <t>sky 8-15</t>
        </is>
      </c>
      <c r="AF3043" s="18" t="inlineStr">
        <is>
          <t>False</t>
        </is>
      </c>
      <c r="AG3043" s="18" t="inlineStr"/>
      <c r="AH3043" s="18" t="inlineStr"/>
      <c r="AI3043" s="18" t="inlineStr">
        <is>
          <t>{"fishing":{"minLureLevel":1}}</t>
        </is>
      </c>
      <c r="AJ3043" s="18" t="inlineStr">
        <is>
          <t>Cobblemon 동일</t>
        </is>
      </c>
      <c r="AK3043" s="18" t="inlineStr">
        <is>
          <t>사용</t>
        </is>
      </c>
      <c r="AL3043" s="18" t="inlineStr">
        <is>
          <t>COBBLEVERSE 1.7.42 / DP v31</t>
        </is>
      </c>
      <c r="AM3043" s="18" t="inlineStr">
        <is>
          <t>data/cobblemon/spawn_pool_world/0976_veluza.json</t>
        </is>
      </c>
      <c r="AN3043" s="18" t="inlineStr">
        <is>
          <t>veluza-6</t>
        </is>
      </c>
      <c r="AO3043" s="18" t="inlineStr">
        <is>
          <t>pokemon</t>
        </is>
      </c>
      <c r="AP3043" s="18" t="inlineStr"/>
      <c r="AQ3043" s="18" t="inlineStr">
        <is>
          <t>{"biomes":["#cobblemon:is_ocean"],"canSeeSky":false,"maxSkyLight":15,"minLureLevel":1,"minSkyLight":8}</t>
        </is>
      </c>
      <c r="AR3043" s="18" t="inlineStr"/>
      <c r="AS3043" s="18" t="inlineStr">
        <is>
          <t>{"weightMultiplier":{"condition":{"minLureLevel":3},"multiplier":3.0}}</t>
        </is>
      </c>
      <c r="AT3043" s="19" t="inlineStr"/>
    </row>
    <row r="3044" ht="32" customHeight="1">
      <c r="A3044" s="18" t="inlineStr">
        <is>
          <t>0976_veluza.json::veluza-7::007</t>
        </is>
      </c>
      <c r="B3044" s="19" t="inlineStr">
        <is>
          <t>사용</t>
        </is>
      </c>
      <c r="C3044" s="18">
        <f>IF(OR(B3044&lt;&gt;AK3044,M3044&lt;&gt;L3044,O3044&lt;&gt;"",Q3044&lt;&gt;"",V3044&lt;&gt;1,Y3044&lt;&gt;"",AT3044&lt;&gt;""),"수정","원본")</f>
        <v/>
      </c>
      <c r="D3044" s="18" t="n">
        <v>976</v>
      </c>
      <c r="E3044" s="18" t="inlineStr">
        <is>
          <t>가비루사</t>
        </is>
      </c>
      <c r="F3044" s="18" t="inlineStr">
        <is>
          <t>veluza</t>
        </is>
      </c>
      <c r="G3044" s="18" t="inlineStr">
        <is>
          <t>veluza</t>
        </is>
      </c>
      <c r="H3044" s="18" t="inlineStr"/>
      <c r="I3044" s="18" t="n">
        <v>9</v>
      </c>
      <c r="J3044" s="18" t="n"/>
      <c r="K3044" s="18" t="n">
        <v>9</v>
      </c>
      <c r="L3044" s="18" t="inlineStr">
        <is>
          <t>cobbleventure:generation_9</t>
        </is>
      </c>
      <c r="M3044" s="19" t="inlineStr">
        <is>
          <t>cobbleventure:generation_9</t>
        </is>
      </c>
      <c r="N3044" s="18" t="inlineStr">
        <is>
          <t>region_01; region_02</t>
        </is>
      </c>
      <c r="O3044" s="19" t="inlineStr"/>
      <c r="P3044" s="18" t="inlineStr">
        <is>
          <t>#cobblemon:is_overworld</t>
        </is>
      </c>
      <c r="Q3044" s="19" t="inlineStr"/>
      <c r="R3044" s="18">
        <f>IF(Q3044="",P3044,Q3044)</f>
        <v/>
      </c>
      <c r="S3044" s="18" t="inlineStr"/>
      <c r="T3044" s="18" t="inlineStr">
        <is>
          <t>uncommon</t>
        </is>
      </c>
      <c r="U3044" s="20" t="n">
        <v>10</v>
      </c>
      <c r="V3044" s="21" t="n">
        <v>1</v>
      </c>
      <c r="W3044" s="20">
        <f>IF(OR(U3044="",V3044=""),U3044,U3044*V3044)</f>
        <v/>
      </c>
      <c r="X3044" s="18" t="inlineStr">
        <is>
          <t>23-48</t>
        </is>
      </c>
      <c r="Y3044" s="19" t="inlineStr"/>
      <c r="Z3044" s="18">
        <f>IF(Y3044="",X3044,Y3044)</f>
        <v/>
      </c>
      <c r="AA3044" s="18" t="inlineStr">
        <is>
          <t>submerged</t>
        </is>
      </c>
      <c r="AB3044" s="18" t="inlineStr"/>
      <c r="AC3044" s="18" t="inlineStr"/>
      <c r="AD3044" s="18" t="inlineStr">
        <is>
          <t>minY=-60, maxY=13</t>
        </is>
      </c>
      <c r="AE3044" s="18" t="inlineStr"/>
      <c r="AF3044" s="18" t="inlineStr">
        <is>
          <t>False</t>
        </is>
      </c>
      <c r="AG3044" s="18" t="inlineStr">
        <is>
          <t>cobblemon:shipwreck_coves/submerged_shipwreck_cove</t>
        </is>
      </c>
      <c r="AH3044" s="18" t="inlineStr"/>
      <c r="AI3044" s="18" t="inlineStr"/>
      <c r="AJ3044" s="18" t="inlineStr">
        <is>
          <t>Cobblemon 동일</t>
        </is>
      </c>
      <c r="AK3044" s="18" t="inlineStr">
        <is>
          <t>사용</t>
        </is>
      </c>
      <c r="AL3044" s="18" t="inlineStr">
        <is>
          <t>COBBLEVERSE 1.7.42 / DP v31</t>
        </is>
      </c>
      <c r="AM3044" s="18" t="inlineStr">
        <is>
          <t>data/cobblemon/spawn_pool_world/0976_veluza.json</t>
        </is>
      </c>
      <c r="AN3044" s="18" t="inlineStr">
        <is>
          <t>veluza-7</t>
        </is>
      </c>
      <c r="AO3044" s="18" t="inlineStr">
        <is>
          <t>pokemon</t>
        </is>
      </c>
      <c r="AP3044" s="18" t="inlineStr">
        <is>
          <t>water</t>
        </is>
      </c>
      <c r="AQ3044" s="18" t="inlineStr">
        <is>
          <t>{"biomes":["#cobblemon:is_overworld"],"canSeeSky":false,"maxY":13,"minY":-60,"structures":["cobblemon:shipwreck_coves/submerged_shipwreck_cove"]}</t>
        </is>
      </c>
      <c r="AR3044" s="18" t="inlineStr"/>
      <c r="AS3044" s="18" t="inlineStr"/>
      <c r="AT3044" s="19" t="inlineStr"/>
    </row>
    <row r="3045" ht="32" customHeight="1">
      <c r="A3045" s="18" t="inlineStr">
        <is>
          <t>0976_veluza.json::veluza-8::008</t>
        </is>
      </c>
      <c r="B3045" s="19" t="inlineStr">
        <is>
          <t>사용</t>
        </is>
      </c>
      <c r="C3045" s="18">
        <f>IF(OR(B3045&lt;&gt;AK3045,M3045&lt;&gt;L3045,O3045&lt;&gt;"",Q3045&lt;&gt;"",V3045&lt;&gt;1,Y3045&lt;&gt;"",AT3045&lt;&gt;""),"수정","원본")</f>
        <v/>
      </c>
      <c r="D3045" s="18" t="n">
        <v>976</v>
      </c>
      <c r="E3045" s="18" t="inlineStr">
        <is>
          <t>가비루사</t>
        </is>
      </c>
      <c r="F3045" s="18" t="inlineStr">
        <is>
          <t>veluza</t>
        </is>
      </c>
      <c r="G3045" s="18" t="inlineStr">
        <is>
          <t>veluza</t>
        </is>
      </c>
      <c r="H3045" s="18" t="inlineStr"/>
      <c r="I3045" s="18" t="n">
        <v>9</v>
      </c>
      <c r="J3045" s="18" t="n"/>
      <c r="K3045" s="18" t="n">
        <v>9</v>
      </c>
      <c r="L3045" s="18" t="inlineStr">
        <is>
          <t>cobbleventure:generation_9</t>
        </is>
      </c>
      <c r="M3045" s="19" t="inlineStr">
        <is>
          <t>cobbleventure:generation_9</t>
        </is>
      </c>
      <c r="N3045" s="18" t="inlineStr">
        <is>
          <t>region_01; region_02</t>
        </is>
      </c>
      <c r="O3045" s="19" t="inlineStr"/>
      <c r="P3045" s="18" t="inlineStr">
        <is>
          <t>#cobblemon:is_overworld</t>
        </is>
      </c>
      <c r="Q3045" s="19" t="inlineStr"/>
      <c r="R3045" s="18">
        <f>IF(Q3045="",P3045,Q3045)</f>
        <v/>
      </c>
      <c r="S3045" s="18" t="inlineStr"/>
      <c r="T3045" s="18" t="inlineStr">
        <is>
          <t>uncommon</t>
        </is>
      </c>
      <c r="U3045" s="20" t="n">
        <v>10</v>
      </c>
      <c r="V3045" s="21" t="n">
        <v>1</v>
      </c>
      <c r="W3045" s="20">
        <f>IF(OR(U3045="",V3045=""),U3045,U3045*V3045)</f>
        <v/>
      </c>
      <c r="X3045" s="18" t="inlineStr">
        <is>
          <t>23-48</t>
        </is>
      </c>
      <c r="Y3045" s="19" t="inlineStr"/>
      <c r="Z3045" s="18">
        <f>IF(Y3045="",X3045,Y3045)</f>
        <v/>
      </c>
      <c r="AA3045" s="18" t="inlineStr">
        <is>
          <t>fishing</t>
        </is>
      </c>
      <c r="AB3045" s="18" t="inlineStr"/>
      <c r="AC3045" s="18" t="inlineStr"/>
      <c r="AD3045" s="18" t="inlineStr">
        <is>
          <t>minY=-60, maxY=13</t>
        </is>
      </c>
      <c r="AE3045" s="18" t="inlineStr"/>
      <c r="AF3045" s="18" t="inlineStr">
        <is>
          <t>False</t>
        </is>
      </c>
      <c r="AG3045" s="18" t="inlineStr">
        <is>
          <t>cobblemon:shipwreck_coves/submerged_shipwreck_cove</t>
        </is>
      </c>
      <c r="AH3045" s="18" t="inlineStr"/>
      <c r="AI3045" s="18" t="inlineStr"/>
      <c r="AJ3045" s="18" t="inlineStr">
        <is>
          <t>Cobblemon 동일</t>
        </is>
      </c>
      <c r="AK3045" s="18" t="inlineStr">
        <is>
          <t>사용</t>
        </is>
      </c>
      <c r="AL3045" s="18" t="inlineStr">
        <is>
          <t>COBBLEVERSE 1.7.42 / DP v31</t>
        </is>
      </c>
      <c r="AM3045" s="18" t="inlineStr">
        <is>
          <t>data/cobblemon/spawn_pool_world/0976_veluza.json</t>
        </is>
      </c>
      <c r="AN3045" s="18" t="inlineStr">
        <is>
          <t>veluza-8</t>
        </is>
      </c>
      <c r="AO3045" s="18" t="inlineStr">
        <is>
          <t>pokemon</t>
        </is>
      </c>
      <c r="AP3045" s="18" t="inlineStr"/>
      <c r="AQ3045" s="18" t="inlineStr">
        <is>
          <t>{"biomes":["#cobblemon:is_overworld"],"canSeeSky":false,"maxY":13,"minY":-60,"structures":["cobblemon:shipwreck_coves/submerged_shipwreck_cove"]}</t>
        </is>
      </c>
      <c r="AR3045" s="18" t="inlineStr">
        <is>
          <t>{"minLureLevel":1}</t>
        </is>
      </c>
      <c r="AS3045" s="18" t="inlineStr"/>
      <c r="AT3045" s="19" t="inlineStr"/>
    </row>
    <row r="3046" ht="32" customHeight="1">
      <c r="A3046" s="18" t="inlineStr">
        <is>
          <t>0976_veluza.json::veluza-9::009</t>
        </is>
      </c>
      <c r="B3046" s="19" t="inlineStr">
        <is>
          <t>사용</t>
        </is>
      </c>
      <c r="C3046" s="18">
        <f>IF(OR(B3046&lt;&gt;AK3046,M3046&lt;&gt;L3046,O3046&lt;&gt;"",Q3046&lt;&gt;"",V3046&lt;&gt;1,Y3046&lt;&gt;"",AT3046&lt;&gt;""),"수정","원본")</f>
        <v/>
      </c>
      <c r="D3046" s="18" t="n">
        <v>976</v>
      </c>
      <c r="E3046" s="18" t="inlineStr">
        <is>
          <t>가비루사</t>
        </is>
      </c>
      <c r="F3046" s="18" t="inlineStr">
        <is>
          <t>veluza</t>
        </is>
      </c>
      <c r="G3046" s="18" t="inlineStr">
        <is>
          <t>veluza</t>
        </is>
      </c>
      <c r="H3046" s="18" t="inlineStr"/>
      <c r="I3046" s="18" t="n">
        <v>9</v>
      </c>
      <c r="J3046" s="18" t="n"/>
      <c r="K3046" s="18" t="n">
        <v>9</v>
      </c>
      <c r="L3046" s="18" t="inlineStr">
        <is>
          <t>cobbleventure:generation_9</t>
        </is>
      </c>
      <c r="M3046" s="19" t="inlineStr">
        <is>
          <t>cobbleventure:generation_9</t>
        </is>
      </c>
      <c r="N3046" s="18" t="inlineStr">
        <is>
          <t>region_01; region_02</t>
        </is>
      </c>
      <c r="O3046" s="19" t="inlineStr"/>
      <c r="P3046" s="18" t="inlineStr">
        <is>
          <t>#cobblemon:is_overworld</t>
        </is>
      </c>
      <c r="Q3046" s="19" t="inlineStr"/>
      <c r="R3046" s="18">
        <f>IF(Q3046="",P3046,Q3046)</f>
        <v/>
      </c>
      <c r="S3046" s="18" t="inlineStr"/>
      <c r="T3046" s="18" t="inlineStr">
        <is>
          <t>common</t>
        </is>
      </c>
      <c r="U3046" s="20" t="n">
        <v>2</v>
      </c>
      <c r="V3046" s="21" t="n">
        <v>1</v>
      </c>
      <c r="W3046" s="20">
        <f>IF(OR(U3046="",V3046=""),U3046,U3046*V3046)</f>
        <v/>
      </c>
      <c r="X3046" s="18" t="inlineStr">
        <is>
          <t>23-48</t>
        </is>
      </c>
      <c r="Y3046" s="19" t="inlineStr"/>
      <c r="Z3046" s="18">
        <f>IF(Y3046="",X3046,Y3046)</f>
        <v/>
      </c>
      <c r="AA3046" s="18" t="inlineStr">
        <is>
          <t>fishing</t>
        </is>
      </c>
      <c r="AB3046" s="18" t="inlineStr"/>
      <c r="AC3046" s="18" t="inlineStr"/>
      <c r="AD3046" s="18" t="inlineStr">
        <is>
          <t>minY=-60, maxY=13</t>
        </is>
      </c>
      <c r="AE3046" s="18" t="inlineStr"/>
      <c r="AF3046" s="18" t="inlineStr">
        <is>
          <t>False</t>
        </is>
      </c>
      <c r="AG3046" s="18" t="inlineStr">
        <is>
          <t>cobblemon:shipwreck_coves/submerged_shipwreck_cove</t>
        </is>
      </c>
      <c r="AH3046" s="18" t="inlineStr"/>
      <c r="AI3046" s="18" t="inlineStr">
        <is>
          <t>{"fishing":{"minLureLevel":1}}</t>
        </is>
      </c>
      <c r="AJ3046" s="18" t="inlineStr">
        <is>
          <t>Cobblemon 동일</t>
        </is>
      </c>
      <c r="AK3046" s="18" t="inlineStr">
        <is>
          <t>사용</t>
        </is>
      </c>
      <c r="AL3046" s="18" t="inlineStr">
        <is>
          <t>COBBLEVERSE 1.7.42 / DP v31</t>
        </is>
      </c>
      <c r="AM3046" s="18" t="inlineStr">
        <is>
          <t>data/cobblemon/spawn_pool_world/0976_veluza.json</t>
        </is>
      </c>
      <c r="AN3046" s="18" t="inlineStr">
        <is>
          <t>veluza-9</t>
        </is>
      </c>
      <c r="AO3046" s="18" t="inlineStr">
        <is>
          <t>pokemon</t>
        </is>
      </c>
      <c r="AP3046" s="18" t="inlineStr"/>
      <c r="AQ3046" s="18" t="inlineStr">
        <is>
          <t>{"biomes":["#cobblemon:is_overworld"],"canSeeSky":false,"maxY":13,"minLureLevel":1,"minY":-60,"structures":["cobblemon:shipwreck_coves/submerged_shipwreck_cove"]}</t>
        </is>
      </c>
      <c r="AR3046" s="18" t="inlineStr"/>
      <c r="AS3046" s="18" t="inlineStr">
        <is>
          <t>{"weightMultiplier":{"condition":{"minLureLevel":3},"multiplier":3.0}}</t>
        </is>
      </c>
      <c r="AT3046" s="19" t="inlineStr"/>
    </row>
    <row r="3047" ht="32" customHeight="1">
      <c r="A3047" s="18" t="inlineStr">
        <is>
          <t>0977_dondozo.json::dondozo-1::001</t>
        </is>
      </c>
      <c r="B3047" s="19" t="inlineStr">
        <is>
          <t>사용</t>
        </is>
      </c>
      <c r="C3047" s="18">
        <f>IF(OR(B3047&lt;&gt;AK3047,M3047&lt;&gt;L3047,O3047&lt;&gt;"",Q3047&lt;&gt;"",V3047&lt;&gt;1,Y3047&lt;&gt;"",AT3047&lt;&gt;""),"수정","원본")</f>
        <v/>
      </c>
      <c r="D3047" s="18" t="n">
        <v>977</v>
      </c>
      <c r="E3047" s="18" t="inlineStr">
        <is>
          <t>어써러셔</t>
        </is>
      </c>
      <c r="F3047" s="18" t="inlineStr">
        <is>
          <t>dondozo</t>
        </is>
      </c>
      <c r="G3047" s="18" t="inlineStr">
        <is>
          <t>dondozo</t>
        </is>
      </c>
      <c r="H3047" s="18" t="inlineStr"/>
      <c r="I3047" s="18" t="n">
        <v>9</v>
      </c>
      <c r="J3047" s="18" t="n"/>
      <c r="K3047" s="18" t="n">
        <v>9</v>
      </c>
      <c r="L3047" s="18" t="inlineStr">
        <is>
          <t>cobbleventure:generation_9</t>
        </is>
      </c>
      <c r="M3047" s="19" t="inlineStr">
        <is>
          <t>cobbleventure:generation_9</t>
        </is>
      </c>
      <c r="N3047" s="18" t="inlineStr">
        <is>
          <t>region_02</t>
        </is>
      </c>
      <c r="O3047" s="19" t="inlineStr"/>
      <c r="P3047" s="18" t="inlineStr">
        <is>
          <t>#cobblemon:is_swamp</t>
        </is>
      </c>
      <c r="Q3047" s="19" t="inlineStr"/>
      <c r="R3047" s="18">
        <f>IF(Q3047="",P3047,Q3047)</f>
        <v/>
      </c>
      <c r="S3047" s="18" t="inlineStr"/>
      <c r="T3047" s="18" t="inlineStr">
        <is>
          <t>rare</t>
        </is>
      </c>
      <c r="U3047" s="20" t="n">
        <v>10</v>
      </c>
      <c r="V3047" s="21" t="n">
        <v>1</v>
      </c>
      <c r="W3047" s="20">
        <f>IF(OR(U3047="",V3047=""),U3047,U3047*V3047)</f>
        <v/>
      </c>
      <c r="X3047" s="18" t="inlineStr">
        <is>
          <t>28-53</t>
        </is>
      </c>
      <c r="Y3047" s="19" t="inlineStr"/>
      <c r="Z3047" s="18">
        <f>IF(Y3047="",X3047,Y3047)</f>
        <v/>
      </c>
      <c r="AA3047" s="18" t="inlineStr">
        <is>
          <t>submerged</t>
        </is>
      </c>
      <c r="AB3047" s="18" t="inlineStr"/>
      <c r="AC3047" s="18" t="inlineStr"/>
      <c r="AD3047" s="18" t="inlineStr"/>
      <c r="AE3047" s="18" t="inlineStr"/>
      <c r="AF3047" s="18" t="inlineStr">
        <is>
          <t>True</t>
        </is>
      </c>
      <c r="AG3047" s="18" t="inlineStr"/>
      <c r="AH3047" s="18" t="inlineStr"/>
      <c r="AI3047" s="18" t="inlineStr"/>
      <c r="AJ3047" s="18" t="inlineStr">
        <is>
          <t>Cobblemon 동일</t>
        </is>
      </c>
      <c r="AK3047" s="18" t="inlineStr">
        <is>
          <t>사용</t>
        </is>
      </c>
      <c r="AL3047" s="18" t="inlineStr">
        <is>
          <t>COBBLEVERSE 1.7.42 / DP v31</t>
        </is>
      </c>
      <c r="AM3047" s="18" t="inlineStr">
        <is>
          <t>data/cobblemon/spawn_pool_world/0977_dondozo.json</t>
        </is>
      </c>
      <c r="AN3047" s="18" t="inlineStr">
        <is>
          <t>dondozo-1</t>
        </is>
      </c>
      <c r="AO3047" s="18" t="inlineStr">
        <is>
          <t>pokemon</t>
        </is>
      </c>
      <c r="AP3047" s="18" t="inlineStr">
        <is>
          <t>water</t>
        </is>
      </c>
      <c r="AQ3047" s="18" t="inlineStr">
        <is>
          <t>{"biomes":["#cobblemon:is_swamp"],"canSeeSky":true}</t>
        </is>
      </c>
      <c r="AR3047" s="18" t="inlineStr"/>
      <c r="AS3047" s="18" t="inlineStr"/>
      <c r="AT3047" s="19" t="inlineStr"/>
    </row>
    <row r="3048" ht="32" customHeight="1">
      <c r="A3048" s="18" t="inlineStr">
        <is>
          <t>0977_dondozo.json::dondozo-2::002</t>
        </is>
      </c>
      <c r="B3048" s="19" t="inlineStr">
        <is>
          <t>사용</t>
        </is>
      </c>
      <c r="C3048" s="18">
        <f>IF(OR(B3048&lt;&gt;AK3048,M3048&lt;&gt;L3048,O3048&lt;&gt;"",Q3048&lt;&gt;"",V3048&lt;&gt;1,Y3048&lt;&gt;"",AT3048&lt;&gt;""),"수정","원본")</f>
        <v/>
      </c>
      <c r="D3048" s="18" t="n">
        <v>977</v>
      </c>
      <c r="E3048" s="18" t="inlineStr">
        <is>
          <t>어써러셔</t>
        </is>
      </c>
      <c r="F3048" s="18" t="inlineStr">
        <is>
          <t>dondozo</t>
        </is>
      </c>
      <c r="G3048" s="18" t="inlineStr">
        <is>
          <t>dondozo</t>
        </is>
      </c>
      <c r="H3048" s="18" t="inlineStr"/>
      <c r="I3048" s="18" t="n">
        <v>9</v>
      </c>
      <c r="J3048" s="18" t="n"/>
      <c r="K3048" s="18" t="n">
        <v>9</v>
      </c>
      <c r="L3048" s="18" t="inlineStr">
        <is>
          <t>cobbleventure:generation_9</t>
        </is>
      </c>
      <c r="M3048" s="19" t="inlineStr">
        <is>
          <t>cobbleventure:generation_9</t>
        </is>
      </c>
      <c r="N3048" s="18" t="inlineStr">
        <is>
          <t>region_01; region_02</t>
        </is>
      </c>
      <c r="O3048" s="19" t="inlineStr"/>
      <c r="P3048" s="18" t="inlineStr">
        <is>
          <t>#cobblemon:is_bamboo; #cobblemon:is_forest; #cobblemon:is_jungle; #cobblemon:is_swamp</t>
        </is>
      </c>
      <c r="Q3048" s="19" t="inlineStr"/>
      <c r="R3048" s="18">
        <f>IF(Q3048="",P3048,Q3048)</f>
        <v/>
      </c>
      <c r="S3048" s="18" t="inlineStr"/>
      <c r="T3048" s="18" t="inlineStr">
        <is>
          <t>rare</t>
        </is>
      </c>
      <c r="U3048" s="20" t="n">
        <v>10</v>
      </c>
      <c r="V3048" s="21" t="n">
        <v>1</v>
      </c>
      <c r="W3048" s="20">
        <f>IF(OR(U3048="",V3048=""),U3048,U3048*V3048)</f>
        <v/>
      </c>
      <c r="X3048" s="18" t="inlineStr">
        <is>
          <t>28-53</t>
        </is>
      </c>
      <c r="Y3048" s="19" t="inlineStr"/>
      <c r="Z3048" s="18">
        <f>IF(Y3048="",X3048,Y3048)</f>
        <v/>
      </c>
      <c r="AA3048" s="18" t="inlineStr">
        <is>
          <t>fishing</t>
        </is>
      </c>
      <c r="AB3048" s="18" t="inlineStr"/>
      <c r="AC3048" s="18" t="inlineStr"/>
      <c r="AD3048" s="18" t="inlineStr"/>
      <c r="AE3048" s="18" t="inlineStr"/>
      <c r="AF3048" s="18" t="inlineStr">
        <is>
          <t>True</t>
        </is>
      </c>
      <c r="AG3048" s="18" t="inlineStr"/>
      <c r="AH3048" s="18" t="inlineStr"/>
      <c r="AI3048" s="18" t="inlineStr"/>
      <c r="AJ3048" s="18" t="inlineStr">
        <is>
          <t>Cobblemon 동일</t>
        </is>
      </c>
      <c r="AK3048" s="18" t="inlineStr">
        <is>
          <t>사용</t>
        </is>
      </c>
      <c r="AL3048" s="18" t="inlineStr">
        <is>
          <t>COBBLEVERSE 1.7.42 / DP v31</t>
        </is>
      </c>
      <c r="AM3048" s="18" t="inlineStr">
        <is>
          <t>data/cobblemon/spawn_pool_world/0977_dondozo.json</t>
        </is>
      </c>
      <c r="AN3048" s="18" t="inlineStr">
        <is>
          <t>dondozo-2</t>
        </is>
      </c>
      <c r="AO3048" s="18" t="inlineStr">
        <is>
          <t>pokemon</t>
        </is>
      </c>
      <c r="AP3048" s="18" t="inlineStr"/>
      <c r="AQ3048" s="18" t="inlineStr">
        <is>
          <t>{"biomes":["#cobblemon:is_bamboo","#cobblemon:is_forest","#cobblemon:is_jungle","#cobblemon:is_swamp"],"canSeeSky":true}</t>
        </is>
      </c>
      <c r="AR3048" s="18" t="inlineStr"/>
      <c r="AS3048" s="18" t="inlineStr"/>
      <c r="AT3048" s="19" t="inlineStr"/>
    </row>
    <row r="3049" ht="32" customHeight="1">
      <c r="A3049" s="18" t="inlineStr">
        <is>
          <t>0977_dondozo.json::dondozo-3::003</t>
        </is>
      </c>
      <c r="B3049" s="19" t="inlineStr">
        <is>
          <t>사용</t>
        </is>
      </c>
      <c r="C3049" s="18">
        <f>IF(OR(B3049&lt;&gt;AK3049,M3049&lt;&gt;L3049,O3049&lt;&gt;"",Q3049&lt;&gt;"",V3049&lt;&gt;1,Y3049&lt;&gt;"",AT3049&lt;&gt;""),"수정","원본")</f>
        <v/>
      </c>
      <c r="D3049" s="18" t="n">
        <v>977</v>
      </c>
      <c r="E3049" s="18" t="inlineStr">
        <is>
          <t>어써러셔</t>
        </is>
      </c>
      <c r="F3049" s="18" t="inlineStr">
        <is>
          <t>dondozo</t>
        </is>
      </c>
      <c r="G3049" s="18" t="inlineStr">
        <is>
          <t>dondozo</t>
        </is>
      </c>
      <c r="H3049" s="18" t="inlineStr"/>
      <c r="I3049" s="18" t="n">
        <v>9</v>
      </c>
      <c r="J3049" s="18" t="n"/>
      <c r="K3049" s="18" t="n">
        <v>9</v>
      </c>
      <c r="L3049" s="18" t="inlineStr">
        <is>
          <t>cobbleventure:generation_9</t>
        </is>
      </c>
      <c r="M3049" s="19" t="inlineStr">
        <is>
          <t>cobbleventure:generation_9</t>
        </is>
      </c>
      <c r="N3049" s="18" t="inlineStr">
        <is>
          <t>region_02</t>
        </is>
      </c>
      <c r="O3049" s="19" t="inlineStr"/>
      <c r="P3049" s="18" t="inlineStr">
        <is>
          <t>#cobblemon:is_swamp</t>
        </is>
      </c>
      <c r="Q3049" s="19" t="inlineStr"/>
      <c r="R3049" s="18">
        <f>IF(Q3049="",P3049,Q3049)</f>
        <v/>
      </c>
      <c r="S3049" s="18" t="inlineStr"/>
      <c r="T3049" s="18" t="inlineStr">
        <is>
          <t>rare</t>
        </is>
      </c>
      <c r="U3049" s="20" t="n">
        <v>10</v>
      </c>
      <c r="V3049" s="21" t="n">
        <v>1</v>
      </c>
      <c r="W3049" s="20">
        <f>IF(OR(U3049="",V3049=""),U3049,U3049*V3049)</f>
        <v/>
      </c>
      <c r="X3049" s="18" t="inlineStr">
        <is>
          <t>28-53</t>
        </is>
      </c>
      <c r="Y3049" s="19" t="inlineStr"/>
      <c r="Z3049" s="18">
        <f>IF(Y3049="",X3049,Y3049)</f>
        <v/>
      </c>
      <c r="AA3049" s="18" t="inlineStr">
        <is>
          <t>submerged</t>
        </is>
      </c>
      <c r="AB3049" s="18" t="inlineStr"/>
      <c r="AC3049" s="18" t="inlineStr"/>
      <c r="AD3049" s="18" t="inlineStr"/>
      <c r="AE3049" s="18" t="inlineStr">
        <is>
          <t>sky 8-15</t>
        </is>
      </c>
      <c r="AF3049" s="18" t="inlineStr">
        <is>
          <t>False</t>
        </is>
      </c>
      <c r="AG3049" s="18" t="inlineStr"/>
      <c r="AH3049" s="18" t="inlineStr"/>
      <c r="AI3049" s="18" t="inlineStr"/>
      <c r="AJ3049" s="18" t="inlineStr">
        <is>
          <t>Cobblemon 동일</t>
        </is>
      </c>
      <c r="AK3049" s="18" t="inlineStr">
        <is>
          <t>사용</t>
        </is>
      </c>
      <c r="AL3049" s="18" t="inlineStr">
        <is>
          <t>COBBLEVERSE 1.7.42 / DP v31</t>
        </is>
      </c>
      <c r="AM3049" s="18" t="inlineStr">
        <is>
          <t>data/cobblemon/spawn_pool_world/0977_dondozo.json</t>
        </is>
      </c>
      <c r="AN3049" s="18" t="inlineStr">
        <is>
          <t>dondozo-3</t>
        </is>
      </c>
      <c r="AO3049" s="18" t="inlineStr">
        <is>
          <t>pokemon</t>
        </is>
      </c>
      <c r="AP3049" s="18" t="inlineStr">
        <is>
          <t>water</t>
        </is>
      </c>
      <c r="AQ3049" s="18" t="inlineStr">
        <is>
          <t>{"biomes":["#cobblemon:is_swamp"],"canSeeSky":false,"maxSkyLight":15,"minSkyLight":8}</t>
        </is>
      </c>
      <c r="AR3049" s="18" t="inlineStr"/>
      <c r="AS3049" s="18" t="inlineStr"/>
      <c r="AT3049" s="19" t="inlineStr"/>
    </row>
    <row r="3050" ht="32" customHeight="1">
      <c r="A3050" s="18" t="inlineStr">
        <is>
          <t>0977_dondozo.json::dondozo-4::004</t>
        </is>
      </c>
      <c r="B3050" s="19" t="inlineStr">
        <is>
          <t>사용</t>
        </is>
      </c>
      <c r="C3050" s="18">
        <f>IF(OR(B3050&lt;&gt;AK3050,M3050&lt;&gt;L3050,O3050&lt;&gt;"",Q3050&lt;&gt;"",V3050&lt;&gt;1,Y3050&lt;&gt;"",AT3050&lt;&gt;""),"수정","원본")</f>
        <v/>
      </c>
      <c r="D3050" s="18" t="n">
        <v>977</v>
      </c>
      <c r="E3050" s="18" t="inlineStr">
        <is>
          <t>어써러셔</t>
        </is>
      </c>
      <c r="F3050" s="18" t="inlineStr">
        <is>
          <t>dondozo</t>
        </is>
      </c>
      <c r="G3050" s="18" t="inlineStr">
        <is>
          <t>dondozo</t>
        </is>
      </c>
      <c r="H3050" s="18" t="inlineStr"/>
      <c r="I3050" s="18" t="n">
        <v>9</v>
      </c>
      <c r="J3050" s="18" t="n"/>
      <c r="K3050" s="18" t="n">
        <v>9</v>
      </c>
      <c r="L3050" s="18" t="inlineStr">
        <is>
          <t>cobbleventure:generation_9</t>
        </is>
      </c>
      <c r="M3050" s="19" t="inlineStr">
        <is>
          <t>cobbleventure:generation_9</t>
        </is>
      </c>
      <c r="N3050" s="18" t="inlineStr">
        <is>
          <t>region_01; region_02</t>
        </is>
      </c>
      <c r="O3050" s="19" t="inlineStr"/>
      <c r="P3050" s="18" t="inlineStr">
        <is>
          <t>#cobblemon:is_bamboo; #cobblemon:is_forest; #cobblemon:is_jungle; #cobblemon:is_swamp</t>
        </is>
      </c>
      <c r="Q3050" s="19" t="inlineStr"/>
      <c r="R3050" s="18">
        <f>IF(Q3050="",P3050,Q3050)</f>
        <v/>
      </c>
      <c r="S3050" s="18" t="inlineStr"/>
      <c r="T3050" s="18" t="inlineStr">
        <is>
          <t>rare</t>
        </is>
      </c>
      <c r="U3050" s="20" t="n">
        <v>10</v>
      </c>
      <c r="V3050" s="21" t="n">
        <v>1</v>
      </c>
      <c r="W3050" s="20">
        <f>IF(OR(U3050="",V3050=""),U3050,U3050*V3050)</f>
        <v/>
      </c>
      <c r="X3050" s="18" t="inlineStr">
        <is>
          <t>28-53</t>
        </is>
      </c>
      <c r="Y3050" s="19" t="inlineStr"/>
      <c r="Z3050" s="18">
        <f>IF(Y3050="",X3050,Y3050)</f>
        <v/>
      </c>
      <c r="AA3050" s="18" t="inlineStr">
        <is>
          <t>fishing</t>
        </is>
      </c>
      <c r="AB3050" s="18" t="inlineStr"/>
      <c r="AC3050" s="18" t="inlineStr"/>
      <c r="AD3050" s="18" t="inlineStr"/>
      <c r="AE3050" s="18" t="inlineStr">
        <is>
          <t>sky 8-15</t>
        </is>
      </c>
      <c r="AF3050" s="18" t="inlineStr">
        <is>
          <t>False</t>
        </is>
      </c>
      <c r="AG3050" s="18" t="inlineStr"/>
      <c r="AH3050" s="18" t="inlineStr"/>
      <c r="AI3050" s="18" t="inlineStr"/>
      <c r="AJ3050" s="18" t="inlineStr">
        <is>
          <t>Cobblemon 동일</t>
        </is>
      </c>
      <c r="AK3050" s="18" t="inlineStr">
        <is>
          <t>사용</t>
        </is>
      </c>
      <c r="AL3050" s="18" t="inlineStr">
        <is>
          <t>COBBLEVERSE 1.7.42 / DP v31</t>
        </is>
      </c>
      <c r="AM3050" s="18" t="inlineStr">
        <is>
          <t>data/cobblemon/spawn_pool_world/0977_dondozo.json</t>
        </is>
      </c>
      <c r="AN3050" s="18" t="inlineStr">
        <is>
          <t>dondozo-4</t>
        </is>
      </c>
      <c r="AO3050" s="18" t="inlineStr">
        <is>
          <t>pokemon</t>
        </is>
      </c>
      <c r="AP3050" s="18" t="inlineStr"/>
      <c r="AQ3050" s="18" t="inlineStr">
        <is>
          <t>{"biomes":["#cobblemon:is_bamboo","#cobblemon:is_forest","#cobblemon:is_jungle","#cobblemon:is_swamp"],"canSeeSky":false,"maxSkyLight":15,"minSkyLight":8}</t>
        </is>
      </c>
      <c r="AR3050" s="18" t="inlineStr"/>
      <c r="AS3050" s="18" t="inlineStr"/>
      <c r="AT3050" s="19" t="inlineStr"/>
    </row>
    <row r="3051" ht="32" customHeight="1">
      <c r="A3051" s="18" t="inlineStr">
        <is>
          <t>0978_tatsugiri.json::tatsugiri-1::001</t>
        </is>
      </c>
      <c r="B3051" s="19" t="inlineStr">
        <is>
          <t>사용</t>
        </is>
      </c>
      <c r="C3051" s="18">
        <f>IF(OR(B3051&lt;&gt;AK3051,M3051&lt;&gt;L3051,O3051&lt;&gt;"",Q3051&lt;&gt;"",V3051&lt;&gt;1,Y3051&lt;&gt;"",AT3051&lt;&gt;""),"수정","원본")</f>
        <v/>
      </c>
      <c r="D3051" s="18" t="n">
        <v>978</v>
      </c>
      <c r="E3051" s="18" t="inlineStr">
        <is>
          <t>싸리용</t>
        </is>
      </c>
      <c r="F3051" s="18" t="inlineStr">
        <is>
          <t>tatsugiri</t>
        </is>
      </c>
      <c r="G3051" s="18" t="inlineStr">
        <is>
          <t>tatsugiri</t>
        </is>
      </c>
      <c r="H3051" s="18" t="inlineStr"/>
      <c r="I3051" s="18" t="n">
        <v>9</v>
      </c>
      <c r="J3051" s="18" t="n"/>
      <c r="K3051" s="18" t="n">
        <v>9</v>
      </c>
      <c r="L3051" s="18" t="inlineStr">
        <is>
          <t>cobbleventure:generation_9</t>
        </is>
      </c>
      <c r="M3051" s="19" t="inlineStr">
        <is>
          <t>cobbleventure:generation_9</t>
        </is>
      </c>
      <c r="N3051" s="18" t="inlineStr">
        <is>
          <t>region_02</t>
        </is>
      </c>
      <c r="O3051" s="19" t="inlineStr"/>
      <c r="P3051" s="18" t="inlineStr">
        <is>
          <t>#cobblemon:is_swamp</t>
        </is>
      </c>
      <c r="Q3051" s="19" t="inlineStr"/>
      <c r="R3051" s="18">
        <f>IF(Q3051="",P3051,Q3051)</f>
        <v/>
      </c>
      <c r="S3051" s="18" t="inlineStr"/>
      <c r="T3051" s="18" t="inlineStr">
        <is>
          <t>rare</t>
        </is>
      </c>
      <c r="U3051" s="20" t="n">
        <v>10</v>
      </c>
      <c r="V3051" s="21" t="n">
        <v>1</v>
      </c>
      <c r="W3051" s="20">
        <f>IF(OR(U3051="",V3051=""),U3051,U3051*V3051)</f>
        <v/>
      </c>
      <c r="X3051" s="18" t="inlineStr">
        <is>
          <t>23-48</t>
        </is>
      </c>
      <c r="Y3051" s="19" t="inlineStr"/>
      <c r="Z3051" s="18">
        <f>IF(Y3051="",X3051,Y3051)</f>
        <v/>
      </c>
      <c r="AA3051" s="18" t="inlineStr">
        <is>
          <t>grounded</t>
        </is>
      </c>
      <c r="AB3051" s="18" t="inlineStr"/>
      <c r="AC3051" s="18" t="inlineStr"/>
      <c r="AD3051" s="18" t="inlineStr"/>
      <c r="AE3051" s="18" t="inlineStr">
        <is>
          <t>sky 8-15</t>
        </is>
      </c>
      <c r="AF3051" s="18" t="inlineStr"/>
      <c r="AG3051" s="18" t="inlineStr"/>
      <c r="AH3051" s="18" t="inlineStr"/>
      <c r="AI3051" s="18" t="inlineStr"/>
      <c r="AJ3051" s="18" t="inlineStr">
        <is>
          <t>Cobblemon 동일</t>
        </is>
      </c>
      <c r="AK3051" s="18" t="inlineStr">
        <is>
          <t>사용</t>
        </is>
      </c>
      <c r="AL3051" s="18" t="inlineStr">
        <is>
          <t>COBBLEVERSE 1.7.42 / DP v31</t>
        </is>
      </c>
      <c r="AM3051" s="18" t="inlineStr">
        <is>
          <t>data/cobblemon/spawn_pool_world/0978_tatsugiri.json</t>
        </is>
      </c>
      <c r="AN3051" s="18" t="inlineStr">
        <is>
          <t>tatsugiri-1</t>
        </is>
      </c>
      <c r="AO3051" s="18" t="inlineStr">
        <is>
          <t>pokemon</t>
        </is>
      </c>
      <c r="AP3051" s="18" t="inlineStr">
        <is>
          <t>natural; wild</t>
        </is>
      </c>
      <c r="AQ3051" s="18" t="inlineStr">
        <is>
          <t>{"biomes":["#cobblemon:is_swamp"],"maxSkyLight":15,"minSkyLight":8}</t>
        </is>
      </c>
      <c r="AR3051" s="18" t="inlineStr"/>
      <c r="AS3051" s="18" t="inlineStr"/>
      <c r="AT3051" s="19" t="inlineStr"/>
    </row>
    <row r="3052" ht="32" customHeight="1">
      <c r="A3052" s="18" t="inlineStr">
        <is>
          <t>0978_tatsugiri.json::tatsugiri-2::002</t>
        </is>
      </c>
      <c r="B3052" s="19" t="inlineStr">
        <is>
          <t>사용</t>
        </is>
      </c>
      <c r="C3052" s="18">
        <f>IF(OR(B3052&lt;&gt;AK3052,M3052&lt;&gt;L3052,O3052&lt;&gt;"",Q3052&lt;&gt;"",V3052&lt;&gt;1,Y3052&lt;&gt;"",AT3052&lt;&gt;""),"수정","원본")</f>
        <v/>
      </c>
      <c r="D3052" s="18" t="n">
        <v>978</v>
      </c>
      <c r="E3052" s="18" t="inlineStr">
        <is>
          <t>싸리용</t>
        </is>
      </c>
      <c r="F3052" s="18" t="inlineStr">
        <is>
          <t>tatsugiri</t>
        </is>
      </c>
      <c r="G3052" s="18" t="inlineStr">
        <is>
          <t>tatsugiri</t>
        </is>
      </c>
      <c r="H3052" s="18" t="inlineStr"/>
      <c r="I3052" s="18" t="n">
        <v>9</v>
      </c>
      <c r="J3052" s="18" t="n"/>
      <c r="K3052" s="18" t="n">
        <v>9</v>
      </c>
      <c r="L3052" s="18" t="inlineStr">
        <is>
          <t>cobbleventure:generation_9</t>
        </is>
      </c>
      <c r="M3052" s="19" t="inlineStr">
        <is>
          <t>cobbleventure:generation_9</t>
        </is>
      </c>
      <c r="N3052" s="18" t="inlineStr">
        <is>
          <t>region_02</t>
        </is>
      </c>
      <c r="O3052" s="19" t="inlineStr"/>
      <c r="P3052" s="18" t="inlineStr">
        <is>
          <t>#cobblemon:is_swamp</t>
        </is>
      </c>
      <c r="Q3052" s="19" t="inlineStr"/>
      <c r="R3052" s="18">
        <f>IF(Q3052="",P3052,Q3052)</f>
        <v/>
      </c>
      <c r="S3052" s="18" t="inlineStr"/>
      <c r="T3052" s="18" t="inlineStr">
        <is>
          <t>rare</t>
        </is>
      </c>
      <c r="U3052" s="20" t="n">
        <v>10</v>
      </c>
      <c r="V3052" s="21" t="n">
        <v>1</v>
      </c>
      <c r="W3052" s="20">
        <f>IF(OR(U3052="",V3052=""),U3052,U3052*V3052)</f>
        <v/>
      </c>
      <c r="X3052" s="18" t="inlineStr">
        <is>
          <t>23-48</t>
        </is>
      </c>
      <c r="Y3052" s="19" t="inlineStr"/>
      <c r="Z3052" s="18">
        <f>IF(Y3052="",X3052,Y3052)</f>
        <v/>
      </c>
      <c r="AA3052" s="18" t="inlineStr">
        <is>
          <t>submerged</t>
        </is>
      </c>
      <c r="AB3052" s="18" t="inlineStr"/>
      <c r="AC3052" s="18" t="inlineStr"/>
      <c r="AD3052" s="18" t="inlineStr"/>
      <c r="AE3052" s="18" t="inlineStr"/>
      <c r="AF3052" s="18" t="inlineStr">
        <is>
          <t>True</t>
        </is>
      </c>
      <c r="AG3052" s="18" t="inlineStr"/>
      <c r="AH3052" s="18" t="inlineStr"/>
      <c r="AI3052" s="18" t="inlineStr"/>
      <c r="AJ3052" s="18" t="inlineStr">
        <is>
          <t>Cobblemon 동일</t>
        </is>
      </c>
      <c r="AK3052" s="18" t="inlineStr">
        <is>
          <t>사용</t>
        </is>
      </c>
      <c r="AL3052" s="18" t="inlineStr">
        <is>
          <t>COBBLEVERSE 1.7.42 / DP v31</t>
        </is>
      </c>
      <c r="AM3052" s="18" t="inlineStr">
        <is>
          <t>data/cobblemon/spawn_pool_world/0978_tatsugiri.json</t>
        </is>
      </c>
      <c r="AN3052" s="18" t="inlineStr">
        <is>
          <t>tatsugiri-2</t>
        </is>
      </c>
      <c r="AO3052" s="18" t="inlineStr">
        <is>
          <t>pokemon</t>
        </is>
      </c>
      <c r="AP3052" s="18" t="inlineStr">
        <is>
          <t>water</t>
        </is>
      </c>
      <c r="AQ3052" s="18" t="inlineStr">
        <is>
          <t>{"biomes":["#cobblemon:is_swamp"],"canSeeSky":true}</t>
        </is>
      </c>
      <c r="AR3052" s="18" t="inlineStr"/>
      <c r="AS3052" s="18" t="inlineStr"/>
      <c r="AT3052" s="19" t="inlineStr"/>
    </row>
    <row r="3053" ht="32" customHeight="1">
      <c r="A3053" s="18" t="inlineStr">
        <is>
          <t>0978_tatsugiri.json::tatsugiri-3::003</t>
        </is>
      </c>
      <c r="B3053" s="19" t="inlineStr">
        <is>
          <t>사용</t>
        </is>
      </c>
      <c r="C3053" s="18">
        <f>IF(OR(B3053&lt;&gt;AK3053,M3053&lt;&gt;L3053,O3053&lt;&gt;"",Q3053&lt;&gt;"",V3053&lt;&gt;1,Y3053&lt;&gt;"",AT3053&lt;&gt;""),"수정","원본")</f>
        <v/>
      </c>
      <c r="D3053" s="18" t="n">
        <v>978</v>
      </c>
      <c r="E3053" s="18" t="inlineStr">
        <is>
          <t>싸리용</t>
        </is>
      </c>
      <c r="F3053" s="18" t="inlineStr">
        <is>
          <t>tatsugiri</t>
        </is>
      </c>
      <c r="G3053" s="18" t="inlineStr">
        <is>
          <t>tatsugiri</t>
        </is>
      </c>
      <c r="H3053" s="18" t="inlineStr"/>
      <c r="I3053" s="18" t="n">
        <v>9</v>
      </c>
      <c r="J3053" s="18" t="n"/>
      <c r="K3053" s="18" t="n">
        <v>9</v>
      </c>
      <c r="L3053" s="18" t="inlineStr">
        <is>
          <t>cobbleventure:generation_9</t>
        </is>
      </c>
      <c r="M3053" s="19" t="inlineStr">
        <is>
          <t>cobbleventure:generation_9</t>
        </is>
      </c>
      <c r="N3053" s="18" t="inlineStr">
        <is>
          <t>region_01; region_02</t>
        </is>
      </c>
      <c r="O3053" s="19" t="inlineStr"/>
      <c r="P3053" s="18" t="inlineStr">
        <is>
          <t>#cobblemon:is_bamboo; #cobblemon:is_forest; #cobblemon:is_jungle; #cobblemon:is_swamp</t>
        </is>
      </c>
      <c r="Q3053" s="19" t="inlineStr"/>
      <c r="R3053" s="18">
        <f>IF(Q3053="",P3053,Q3053)</f>
        <v/>
      </c>
      <c r="S3053" s="18" t="inlineStr"/>
      <c r="T3053" s="18" t="inlineStr">
        <is>
          <t>rare</t>
        </is>
      </c>
      <c r="U3053" s="20" t="n">
        <v>10</v>
      </c>
      <c r="V3053" s="21" t="n">
        <v>1</v>
      </c>
      <c r="W3053" s="20">
        <f>IF(OR(U3053="",V3053=""),U3053,U3053*V3053)</f>
        <v/>
      </c>
      <c r="X3053" s="18" t="inlineStr">
        <is>
          <t>23-48</t>
        </is>
      </c>
      <c r="Y3053" s="19" t="inlineStr"/>
      <c r="Z3053" s="18">
        <f>IF(Y3053="",X3053,Y3053)</f>
        <v/>
      </c>
      <c r="AA3053" s="18" t="inlineStr">
        <is>
          <t>fishing</t>
        </is>
      </c>
      <c r="AB3053" s="18" t="inlineStr"/>
      <c r="AC3053" s="18" t="inlineStr"/>
      <c r="AD3053" s="18" t="inlineStr"/>
      <c r="AE3053" s="18" t="inlineStr"/>
      <c r="AF3053" s="18" t="inlineStr">
        <is>
          <t>True</t>
        </is>
      </c>
      <c r="AG3053" s="18" t="inlineStr"/>
      <c r="AH3053" s="18" t="inlineStr"/>
      <c r="AI3053" s="18" t="inlineStr"/>
      <c r="AJ3053" s="18" t="inlineStr">
        <is>
          <t>Cobblemon 동일</t>
        </is>
      </c>
      <c r="AK3053" s="18" t="inlineStr">
        <is>
          <t>사용</t>
        </is>
      </c>
      <c r="AL3053" s="18" t="inlineStr">
        <is>
          <t>COBBLEVERSE 1.7.42 / DP v31</t>
        </is>
      </c>
      <c r="AM3053" s="18" t="inlineStr">
        <is>
          <t>data/cobblemon/spawn_pool_world/0978_tatsugiri.json</t>
        </is>
      </c>
      <c r="AN3053" s="18" t="inlineStr">
        <is>
          <t>tatsugiri-3</t>
        </is>
      </c>
      <c r="AO3053" s="18" t="inlineStr">
        <is>
          <t>pokemon</t>
        </is>
      </c>
      <c r="AP3053" s="18" t="inlineStr"/>
      <c r="AQ3053" s="18" t="inlineStr">
        <is>
          <t>{"biomes":["#cobblemon:is_bamboo","#cobblemon:is_forest","#cobblemon:is_jungle","#cobblemon:is_swamp"],"canSeeSky":true}</t>
        </is>
      </c>
      <c r="AR3053" s="18" t="inlineStr"/>
      <c r="AS3053" s="18" t="inlineStr"/>
      <c r="AT3053" s="19" t="inlineStr"/>
    </row>
    <row r="3054" ht="32" customHeight="1">
      <c r="A3054" s="18" t="inlineStr">
        <is>
          <t>0978_tatsugiri.json::tatsugiri-4::004</t>
        </is>
      </c>
      <c r="B3054" s="19" t="inlineStr">
        <is>
          <t>사용</t>
        </is>
      </c>
      <c r="C3054" s="18">
        <f>IF(OR(B3054&lt;&gt;AK3054,M3054&lt;&gt;L3054,O3054&lt;&gt;"",Q3054&lt;&gt;"",V3054&lt;&gt;1,Y3054&lt;&gt;"",AT3054&lt;&gt;""),"수정","원본")</f>
        <v/>
      </c>
      <c r="D3054" s="18" t="n">
        <v>978</v>
      </c>
      <c r="E3054" s="18" t="inlineStr">
        <is>
          <t>싸리용</t>
        </is>
      </c>
      <c r="F3054" s="18" t="inlineStr">
        <is>
          <t>tatsugiri</t>
        </is>
      </c>
      <c r="G3054" s="18" t="inlineStr">
        <is>
          <t>tatsugiri</t>
        </is>
      </c>
      <c r="H3054" s="18" t="inlineStr"/>
      <c r="I3054" s="18" t="n">
        <v>9</v>
      </c>
      <c r="J3054" s="18" t="n"/>
      <c r="K3054" s="18" t="n">
        <v>9</v>
      </c>
      <c r="L3054" s="18" t="inlineStr">
        <is>
          <t>cobbleventure:generation_9</t>
        </is>
      </c>
      <c r="M3054" s="19" t="inlineStr">
        <is>
          <t>cobbleventure:generation_9</t>
        </is>
      </c>
      <c r="N3054" s="18" t="inlineStr">
        <is>
          <t>region_02</t>
        </is>
      </c>
      <c r="O3054" s="19" t="inlineStr"/>
      <c r="P3054" s="18" t="inlineStr">
        <is>
          <t>#cobblemon:is_swamp</t>
        </is>
      </c>
      <c r="Q3054" s="19" t="inlineStr"/>
      <c r="R3054" s="18">
        <f>IF(Q3054="",P3054,Q3054)</f>
        <v/>
      </c>
      <c r="S3054" s="18" t="inlineStr"/>
      <c r="T3054" s="18" t="inlineStr">
        <is>
          <t>rare</t>
        </is>
      </c>
      <c r="U3054" s="20" t="n">
        <v>10</v>
      </c>
      <c r="V3054" s="21" t="n">
        <v>1</v>
      </c>
      <c r="W3054" s="20">
        <f>IF(OR(U3054="",V3054=""),U3054,U3054*V3054)</f>
        <v/>
      </c>
      <c r="X3054" s="18" t="inlineStr">
        <is>
          <t>23-48</t>
        </is>
      </c>
      <c r="Y3054" s="19" t="inlineStr"/>
      <c r="Z3054" s="18">
        <f>IF(Y3054="",X3054,Y3054)</f>
        <v/>
      </c>
      <c r="AA3054" s="18" t="inlineStr">
        <is>
          <t>submerged</t>
        </is>
      </c>
      <c r="AB3054" s="18" t="inlineStr"/>
      <c r="AC3054" s="18" t="inlineStr"/>
      <c r="AD3054" s="18" t="inlineStr"/>
      <c r="AE3054" s="18" t="inlineStr">
        <is>
          <t>sky 8-15</t>
        </is>
      </c>
      <c r="AF3054" s="18" t="inlineStr">
        <is>
          <t>False</t>
        </is>
      </c>
      <c r="AG3054" s="18" t="inlineStr"/>
      <c r="AH3054" s="18" t="inlineStr"/>
      <c r="AI3054" s="18" t="inlineStr"/>
      <c r="AJ3054" s="18" t="inlineStr">
        <is>
          <t>Cobblemon 동일</t>
        </is>
      </c>
      <c r="AK3054" s="18" t="inlineStr">
        <is>
          <t>사용</t>
        </is>
      </c>
      <c r="AL3054" s="18" t="inlineStr">
        <is>
          <t>COBBLEVERSE 1.7.42 / DP v31</t>
        </is>
      </c>
      <c r="AM3054" s="18" t="inlineStr">
        <is>
          <t>data/cobblemon/spawn_pool_world/0978_tatsugiri.json</t>
        </is>
      </c>
      <c r="AN3054" s="18" t="inlineStr">
        <is>
          <t>tatsugiri-4</t>
        </is>
      </c>
      <c r="AO3054" s="18" t="inlineStr">
        <is>
          <t>pokemon</t>
        </is>
      </c>
      <c r="AP3054" s="18" t="inlineStr">
        <is>
          <t>water</t>
        </is>
      </c>
      <c r="AQ3054" s="18" t="inlineStr">
        <is>
          <t>{"biomes":["#cobblemon:is_swamp"],"canSeeSky":false,"maxSkyLight":15,"minSkyLight":8}</t>
        </is>
      </c>
      <c r="AR3054" s="18" t="inlineStr"/>
      <c r="AS3054" s="18" t="inlineStr"/>
      <c r="AT3054" s="19" t="inlineStr"/>
    </row>
    <row r="3055" ht="32" customHeight="1">
      <c r="A3055" s="18" t="inlineStr">
        <is>
          <t>0978_tatsugiri.json::tatsugiri-5::005</t>
        </is>
      </c>
      <c r="B3055" s="19" t="inlineStr">
        <is>
          <t>사용</t>
        </is>
      </c>
      <c r="C3055" s="18">
        <f>IF(OR(B3055&lt;&gt;AK3055,M3055&lt;&gt;L3055,O3055&lt;&gt;"",Q3055&lt;&gt;"",V3055&lt;&gt;1,Y3055&lt;&gt;"",AT3055&lt;&gt;""),"수정","원본")</f>
        <v/>
      </c>
      <c r="D3055" s="18" t="n">
        <v>978</v>
      </c>
      <c r="E3055" s="18" t="inlineStr">
        <is>
          <t>싸리용</t>
        </is>
      </c>
      <c r="F3055" s="18" t="inlineStr">
        <is>
          <t>tatsugiri</t>
        </is>
      </c>
      <c r="G3055" s="18" t="inlineStr">
        <is>
          <t>tatsugiri</t>
        </is>
      </c>
      <c r="H3055" s="18" t="inlineStr"/>
      <c r="I3055" s="18" t="n">
        <v>9</v>
      </c>
      <c r="J3055" s="18" t="n"/>
      <c r="K3055" s="18" t="n">
        <v>9</v>
      </c>
      <c r="L3055" s="18" t="inlineStr">
        <is>
          <t>cobbleventure:generation_9</t>
        </is>
      </c>
      <c r="M3055" s="19" t="inlineStr">
        <is>
          <t>cobbleventure:generation_9</t>
        </is>
      </c>
      <c r="N3055" s="18" t="inlineStr">
        <is>
          <t>region_01; region_02</t>
        </is>
      </c>
      <c r="O3055" s="19" t="inlineStr"/>
      <c r="P3055" s="18" t="inlineStr">
        <is>
          <t>#cobblemon:is_bamboo; #cobblemon:is_forest; #cobblemon:is_jungle; #cobblemon:is_swamp</t>
        </is>
      </c>
      <c r="Q3055" s="19" t="inlineStr"/>
      <c r="R3055" s="18">
        <f>IF(Q3055="",P3055,Q3055)</f>
        <v/>
      </c>
      <c r="S3055" s="18" t="inlineStr"/>
      <c r="T3055" s="18" t="inlineStr">
        <is>
          <t>rare</t>
        </is>
      </c>
      <c r="U3055" s="20" t="n">
        <v>10</v>
      </c>
      <c r="V3055" s="21" t="n">
        <v>1</v>
      </c>
      <c r="W3055" s="20">
        <f>IF(OR(U3055="",V3055=""),U3055,U3055*V3055)</f>
        <v/>
      </c>
      <c r="X3055" s="18" t="inlineStr">
        <is>
          <t>23-48</t>
        </is>
      </c>
      <c r="Y3055" s="19" t="inlineStr"/>
      <c r="Z3055" s="18">
        <f>IF(Y3055="",X3055,Y3055)</f>
        <v/>
      </c>
      <c r="AA3055" s="18" t="inlineStr">
        <is>
          <t>fishing</t>
        </is>
      </c>
      <c r="AB3055" s="18" t="inlineStr"/>
      <c r="AC3055" s="18" t="inlineStr"/>
      <c r="AD3055" s="18" t="inlineStr"/>
      <c r="AE3055" s="18" t="inlineStr">
        <is>
          <t>sky 8-15</t>
        </is>
      </c>
      <c r="AF3055" s="18" t="inlineStr">
        <is>
          <t>False</t>
        </is>
      </c>
      <c r="AG3055" s="18" t="inlineStr"/>
      <c r="AH3055" s="18" t="inlineStr"/>
      <c r="AI3055" s="18" t="inlineStr"/>
      <c r="AJ3055" s="18" t="inlineStr">
        <is>
          <t>Cobblemon 동일</t>
        </is>
      </c>
      <c r="AK3055" s="18" t="inlineStr">
        <is>
          <t>사용</t>
        </is>
      </c>
      <c r="AL3055" s="18" t="inlineStr">
        <is>
          <t>COBBLEVERSE 1.7.42 / DP v31</t>
        </is>
      </c>
      <c r="AM3055" s="18" t="inlineStr">
        <is>
          <t>data/cobblemon/spawn_pool_world/0978_tatsugiri.json</t>
        </is>
      </c>
      <c r="AN3055" s="18" t="inlineStr">
        <is>
          <t>tatsugiri-5</t>
        </is>
      </c>
      <c r="AO3055" s="18" t="inlineStr">
        <is>
          <t>pokemon</t>
        </is>
      </c>
      <c r="AP3055" s="18" t="inlineStr"/>
      <c r="AQ3055" s="18" t="inlineStr">
        <is>
          <t>{"biomes":["#cobblemon:is_bamboo","#cobblemon:is_forest","#cobblemon:is_jungle","#cobblemon:is_swamp"],"canSeeSky":false,"maxSkyLight":15,"minSkyLight":8}</t>
        </is>
      </c>
      <c r="AR3055" s="18" t="inlineStr"/>
      <c r="AS3055" s="18" t="inlineStr"/>
      <c r="AT3055" s="19" t="inlineStr"/>
    </row>
    <row r="3056" ht="32" customHeight="1">
      <c r="A3056" s="18" t="inlineStr">
        <is>
          <t>0979_annihilape.json::annihilape-1::001</t>
        </is>
      </c>
      <c r="B3056" s="19" t="inlineStr">
        <is>
          <t>사용</t>
        </is>
      </c>
      <c r="C3056" s="18">
        <f>IF(OR(B3056&lt;&gt;AK3056,M3056&lt;&gt;L3056,O3056&lt;&gt;"",Q3056&lt;&gt;"",V3056&lt;&gt;1,Y3056&lt;&gt;"",AT3056&lt;&gt;""),"수정","원본")</f>
        <v/>
      </c>
      <c r="D3056" s="18" t="n">
        <v>979</v>
      </c>
      <c r="E3056" s="18" t="inlineStr">
        <is>
          <t>저승갓숭</t>
        </is>
      </c>
      <c r="F3056" s="18" t="inlineStr">
        <is>
          <t>annihilape</t>
        </is>
      </c>
      <c r="G3056" s="18" t="inlineStr">
        <is>
          <t>annihilape</t>
        </is>
      </c>
      <c r="H3056" s="18" t="inlineStr"/>
      <c r="I3056" s="18" t="n">
        <v>9</v>
      </c>
      <c r="J3056" s="18" t="n"/>
      <c r="K3056" s="18" t="n">
        <v>9</v>
      </c>
      <c r="L3056" s="18" t="inlineStr">
        <is>
          <t>cobbleventure:generation_9</t>
        </is>
      </c>
      <c r="M3056" s="19" t="inlineStr">
        <is>
          <t>cobbleventure:generation_9</t>
        </is>
      </c>
      <c r="N3056" s="18" t="inlineStr"/>
      <c r="O3056" s="19" t="inlineStr"/>
      <c r="P3056" s="18" t="inlineStr">
        <is>
          <t>#cobblemon:is_hills; #cobblemon:is_jungle</t>
        </is>
      </c>
      <c r="Q3056" s="19" t="inlineStr"/>
      <c r="R3056" s="18">
        <f>IF(Q3056="",P3056,Q3056)</f>
        <v/>
      </c>
      <c r="S3056" s="18" t="inlineStr"/>
      <c r="T3056" s="18" t="inlineStr">
        <is>
          <t>common</t>
        </is>
      </c>
      <c r="U3056" s="20" t="n">
        <v>0.06</v>
      </c>
      <c r="V3056" s="21" t="n">
        <v>1</v>
      </c>
      <c r="W3056" s="20">
        <f>IF(OR(U3056="",V3056=""),U3056,U3056*V3056)</f>
        <v/>
      </c>
      <c r="X3056" s="18" t="inlineStr">
        <is>
          <t>35-54</t>
        </is>
      </c>
      <c r="Y3056" s="19" t="inlineStr"/>
      <c r="Z3056" s="18">
        <f>IF(Y3056="",X3056,Y3056)</f>
        <v/>
      </c>
      <c r="AA3056" s="18" t="inlineStr">
        <is>
          <t>grounded</t>
        </is>
      </c>
      <c r="AB3056" s="18" t="inlineStr"/>
      <c r="AC3056" s="18" t="inlineStr"/>
      <c r="AD3056" s="18" t="inlineStr"/>
      <c r="AE3056" s="18" t="inlineStr">
        <is>
          <t>sky 8-15</t>
        </is>
      </c>
      <c r="AF3056" s="18" t="inlineStr"/>
      <c r="AG3056" s="18" t="inlineStr"/>
      <c r="AH3056" s="18" t="inlineStr"/>
      <c r="AI3056" s="18" t="inlineStr"/>
      <c r="AJ3056" s="18" t="inlineStr">
        <is>
          <t>Cobblemon 동일</t>
        </is>
      </c>
      <c r="AK3056" s="18" t="inlineStr">
        <is>
          <t>사용</t>
        </is>
      </c>
      <c r="AL3056" s="18" t="inlineStr">
        <is>
          <t>COBBLEVERSE 1.7.42 / DP v31</t>
        </is>
      </c>
      <c r="AM3056" s="18" t="inlineStr">
        <is>
          <t>data/cobblemon/spawn_pool_world/0979_annihilape.json</t>
        </is>
      </c>
      <c r="AN3056" s="18" t="inlineStr">
        <is>
          <t>annihilape-1</t>
        </is>
      </c>
      <c r="AO3056" s="18" t="inlineStr">
        <is>
          <t>pokemon</t>
        </is>
      </c>
      <c r="AP3056" s="18" t="inlineStr">
        <is>
          <t>natural; treetop</t>
        </is>
      </c>
      <c r="AQ3056" s="18" t="inlineStr">
        <is>
          <t>{"biomes":["#cobblemon:is_hills","#cobblemon:is_jungle"],"maxSkyLight":15,"minSkyLight":8}</t>
        </is>
      </c>
      <c r="AR3056" s="18" t="inlineStr"/>
      <c r="AS3056" s="18" t="inlineStr"/>
      <c r="AT3056" s="19" t="inlineStr"/>
    </row>
    <row r="3057" ht="32" customHeight="1">
      <c r="A3057" s="18" t="inlineStr">
        <is>
          <t>0980_clodsire.json::clodsire-1::001</t>
        </is>
      </c>
      <c r="B3057" s="19" t="inlineStr">
        <is>
          <t>사용</t>
        </is>
      </c>
      <c r="C3057" s="18">
        <f>IF(OR(B3057&lt;&gt;AK3057,M3057&lt;&gt;L3057,O3057&lt;&gt;"",Q3057&lt;&gt;"",V3057&lt;&gt;1,Y3057&lt;&gt;"",AT3057&lt;&gt;""),"수정","원본")</f>
        <v/>
      </c>
      <c r="D3057" s="18" t="n">
        <v>980</v>
      </c>
      <c r="E3057" s="18" t="inlineStr">
        <is>
          <t>토오</t>
        </is>
      </c>
      <c r="F3057" s="18" t="inlineStr">
        <is>
          <t>clodsire</t>
        </is>
      </c>
      <c r="G3057" s="18" t="inlineStr">
        <is>
          <t>clodsire</t>
        </is>
      </c>
      <c r="H3057" s="18" t="inlineStr"/>
      <c r="I3057" s="18" t="n">
        <v>9</v>
      </c>
      <c r="J3057" s="18" t="n"/>
      <c r="K3057" s="18" t="n">
        <v>9</v>
      </c>
      <c r="L3057" s="18" t="inlineStr">
        <is>
          <t>cobbleventure:generation_9</t>
        </is>
      </c>
      <c r="M3057" s="19" t="inlineStr">
        <is>
          <t>cobbleventure:generation_9</t>
        </is>
      </c>
      <c r="N3057" s="18" t="inlineStr"/>
      <c r="O3057" s="19" t="inlineStr"/>
      <c r="P3057" s="18" t="inlineStr">
        <is>
          <t>#cobblemon:has_block/mud</t>
        </is>
      </c>
      <c r="Q3057" s="19" t="inlineStr"/>
      <c r="R3057" s="18">
        <f>IF(Q3057="",P3057,Q3057)</f>
        <v/>
      </c>
      <c r="S3057" s="18" t="inlineStr"/>
      <c r="T3057" s="18" t="inlineStr">
        <is>
          <t>common</t>
        </is>
      </c>
      <c r="U3057" s="20" t="n">
        <v>1</v>
      </c>
      <c r="V3057" s="21" t="n">
        <v>1</v>
      </c>
      <c r="W3057" s="20">
        <f>IF(OR(U3057="",V3057=""),U3057,U3057*V3057)</f>
        <v/>
      </c>
      <c r="X3057" s="18" t="inlineStr">
        <is>
          <t>20-43</t>
        </is>
      </c>
      <c r="Y3057" s="19" t="inlineStr"/>
      <c r="Z3057" s="18">
        <f>IF(Y3057="",X3057,Y3057)</f>
        <v/>
      </c>
      <c r="AA3057" s="18" t="inlineStr">
        <is>
          <t>grounded</t>
        </is>
      </c>
      <c r="AB3057" s="18" t="inlineStr"/>
      <c r="AC3057" s="18" t="inlineStr"/>
      <c r="AD3057" s="18" t="inlineStr"/>
      <c r="AE3057" s="18" t="inlineStr">
        <is>
          <t>sky 8-15</t>
        </is>
      </c>
      <c r="AF3057" s="18" t="inlineStr"/>
      <c r="AG3057" s="18" t="inlineStr"/>
      <c r="AH3057" s="18" t="inlineStr"/>
      <c r="AI3057" s="18" t="inlineStr"/>
      <c r="AJ3057" s="18" t="inlineStr">
        <is>
          <t>Cobblemon 동일</t>
        </is>
      </c>
      <c r="AK3057" s="18" t="inlineStr">
        <is>
          <t>사용</t>
        </is>
      </c>
      <c r="AL3057" s="18" t="inlineStr">
        <is>
          <t>COBBLEVERSE 1.7.42 / DP v31</t>
        </is>
      </c>
      <c r="AM3057" s="18" t="inlineStr">
        <is>
          <t>data/cobblemon/spawn_pool_world/0980_clodsire.json</t>
        </is>
      </c>
      <c r="AN3057" s="18" t="inlineStr">
        <is>
          <t>clodsire-1</t>
        </is>
      </c>
      <c r="AO3057" s="18" t="inlineStr">
        <is>
          <t>pokemon</t>
        </is>
      </c>
      <c r="AP3057" s="18" t="inlineStr">
        <is>
          <t>natural</t>
        </is>
      </c>
      <c r="AQ3057" s="18" t="inlineStr">
        <is>
          <t>{"biomes":["#cobblemon:has_block/mud"],"maxSkyLight":15,"minSkyLight":8}</t>
        </is>
      </c>
      <c r="AR3057" s="18" t="inlineStr"/>
      <c r="AS3057" s="18" t="inlineStr"/>
      <c r="AT3057" s="19" t="inlineStr"/>
    </row>
    <row r="3058" ht="32" customHeight="1">
      <c r="A3058" s="18" t="inlineStr">
        <is>
          <t>0980_clodsire.json::clodsire-2::002</t>
        </is>
      </c>
      <c r="B3058" s="19" t="inlineStr">
        <is>
          <t>사용</t>
        </is>
      </c>
      <c r="C3058" s="18">
        <f>IF(OR(B3058&lt;&gt;AK3058,M3058&lt;&gt;L3058,O3058&lt;&gt;"",Q3058&lt;&gt;"",V3058&lt;&gt;1,Y3058&lt;&gt;"",AT3058&lt;&gt;""),"수정","원본")</f>
        <v/>
      </c>
      <c r="D3058" s="18" t="n">
        <v>980</v>
      </c>
      <c r="E3058" s="18" t="inlineStr">
        <is>
          <t>토오</t>
        </is>
      </c>
      <c r="F3058" s="18" t="inlineStr">
        <is>
          <t>clodsire</t>
        </is>
      </c>
      <c r="G3058" s="18" t="inlineStr">
        <is>
          <t>clodsire</t>
        </is>
      </c>
      <c r="H3058" s="18" t="inlineStr"/>
      <c r="I3058" s="18" t="n">
        <v>9</v>
      </c>
      <c r="J3058" s="18" t="n"/>
      <c r="K3058" s="18" t="n">
        <v>9</v>
      </c>
      <c r="L3058" s="18" t="inlineStr">
        <is>
          <t>cobbleventure:generation_9</t>
        </is>
      </c>
      <c r="M3058" s="19" t="inlineStr">
        <is>
          <t>cobbleventure:generation_9</t>
        </is>
      </c>
      <c r="N3058" s="18" t="inlineStr"/>
      <c r="O3058" s="19" t="inlineStr"/>
      <c r="P3058" s="18" t="inlineStr">
        <is>
          <t>#cobblemon:has_block/mud</t>
        </is>
      </c>
      <c r="Q3058" s="19" t="inlineStr"/>
      <c r="R3058" s="18">
        <f>IF(Q3058="",P3058,Q3058)</f>
        <v/>
      </c>
      <c r="S3058" s="18" t="inlineStr"/>
      <c r="T3058" s="18" t="inlineStr">
        <is>
          <t>common</t>
        </is>
      </c>
      <c r="U3058" s="20" t="n">
        <v>1</v>
      </c>
      <c r="V3058" s="21" t="n">
        <v>1</v>
      </c>
      <c r="W3058" s="20">
        <f>IF(OR(U3058="",V3058=""),U3058,U3058*V3058)</f>
        <v/>
      </c>
      <c r="X3058" s="18" t="inlineStr">
        <is>
          <t>20-43</t>
        </is>
      </c>
      <c r="Y3058" s="19" t="inlineStr"/>
      <c r="Z3058" s="18">
        <f>IF(Y3058="",X3058,Y3058)</f>
        <v/>
      </c>
      <c r="AA3058" s="18" t="inlineStr">
        <is>
          <t>submerged</t>
        </is>
      </c>
      <c r="AB3058" s="18" t="inlineStr"/>
      <c r="AC3058" s="18" t="inlineStr"/>
      <c r="AD3058" s="18" t="inlineStr"/>
      <c r="AE3058" s="18" t="inlineStr"/>
      <c r="AF3058" s="18" t="inlineStr">
        <is>
          <t>True</t>
        </is>
      </c>
      <c r="AG3058" s="18" t="inlineStr"/>
      <c r="AH3058" s="18" t="inlineStr"/>
      <c r="AI3058" s="18" t="inlineStr"/>
      <c r="AJ3058" s="18" t="inlineStr">
        <is>
          <t>Cobblemon 동일</t>
        </is>
      </c>
      <c r="AK3058" s="18" t="inlineStr">
        <is>
          <t>사용</t>
        </is>
      </c>
      <c r="AL3058" s="18" t="inlineStr">
        <is>
          <t>COBBLEVERSE 1.7.42 / DP v31</t>
        </is>
      </c>
      <c r="AM3058" s="18" t="inlineStr">
        <is>
          <t>data/cobblemon/spawn_pool_world/0980_clodsire.json</t>
        </is>
      </c>
      <c r="AN3058" s="18" t="inlineStr">
        <is>
          <t>clodsire-2</t>
        </is>
      </c>
      <c r="AO3058" s="18" t="inlineStr">
        <is>
          <t>pokemon</t>
        </is>
      </c>
      <c r="AP3058" s="18" t="inlineStr">
        <is>
          <t>water</t>
        </is>
      </c>
      <c r="AQ3058" s="18" t="inlineStr">
        <is>
          <t>{"biomes":["#cobblemon:has_block/mud"],"canSeeSky":true}</t>
        </is>
      </c>
      <c r="AR3058" s="18" t="inlineStr"/>
      <c r="AS3058" s="18" t="inlineStr"/>
      <c r="AT3058" s="19" t="inlineStr"/>
    </row>
    <row r="3059" ht="32" customHeight="1">
      <c r="A3059" s="18" t="inlineStr">
        <is>
          <t>0980_clodsire.json::clodsire-3::003</t>
        </is>
      </c>
      <c r="B3059" s="19" t="inlineStr">
        <is>
          <t>사용</t>
        </is>
      </c>
      <c r="C3059" s="18">
        <f>IF(OR(B3059&lt;&gt;AK3059,M3059&lt;&gt;L3059,O3059&lt;&gt;"",Q3059&lt;&gt;"",V3059&lt;&gt;1,Y3059&lt;&gt;"",AT3059&lt;&gt;""),"수정","원본")</f>
        <v/>
      </c>
      <c r="D3059" s="18" t="n">
        <v>980</v>
      </c>
      <c r="E3059" s="18" t="inlineStr">
        <is>
          <t>토오</t>
        </is>
      </c>
      <c r="F3059" s="18" t="inlineStr">
        <is>
          <t>clodsire</t>
        </is>
      </c>
      <c r="G3059" s="18" t="inlineStr">
        <is>
          <t>clodsire</t>
        </is>
      </c>
      <c r="H3059" s="18" t="inlineStr"/>
      <c r="I3059" s="18" t="n">
        <v>9</v>
      </c>
      <c r="J3059" s="18" t="n"/>
      <c r="K3059" s="18" t="n">
        <v>9</v>
      </c>
      <c r="L3059" s="18" t="inlineStr">
        <is>
          <t>cobbleventure:generation_9</t>
        </is>
      </c>
      <c r="M3059" s="19" t="inlineStr">
        <is>
          <t>cobbleventure:generation_9</t>
        </is>
      </c>
      <c r="N3059" s="18" t="inlineStr"/>
      <c r="O3059" s="19" t="inlineStr"/>
      <c r="P3059" s="18" t="inlineStr">
        <is>
          <t>#cobblemon:is_savanna</t>
        </is>
      </c>
      <c r="Q3059" s="19" t="inlineStr"/>
      <c r="R3059" s="18">
        <f>IF(Q3059="",P3059,Q3059)</f>
        <v/>
      </c>
      <c r="S3059" s="18" t="inlineStr"/>
      <c r="T3059" s="18" t="inlineStr">
        <is>
          <t>uncommon</t>
        </is>
      </c>
      <c r="U3059" s="20" t="n">
        <v>1.6</v>
      </c>
      <c r="V3059" s="21" t="n">
        <v>1</v>
      </c>
      <c r="W3059" s="20">
        <f>IF(OR(U3059="",V3059=""),U3059,U3059*V3059)</f>
        <v/>
      </c>
      <c r="X3059" s="18" t="inlineStr">
        <is>
          <t>20-43</t>
        </is>
      </c>
      <c r="Y3059" s="19" t="inlineStr"/>
      <c r="Z3059" s="18">
        <f>IF(Y3059="",X3059,Y3059)</f>
        <v/>
      </c>
      <c r="AA3059" s="18" t="inlineStr">
        <is>
          <t>submerged</t>
        </is>
      </c>
      <c r="AB3059" s="18" t="inlineStr"/>
      <c r="AC3059" s="18" t="inlineStr"/>
      <c r="AD3059" s="18" t="inlineStr"/>
      <c r="AE3059" s="18" t="inlineStr"/>
      <c r="AF3059" s="18" t="inlineStr">
        <is>
          <t>True</t>
        </is>
      </c>
      <c r="AG3059" s="18" t="inlineStr"/>
      <c r="AH3059" s="18" t="inlineStr"/>
      <c r="AI3059" s="18" t="inlineStr"/>
      <c r="AJ3059" s="18" t="inlineStr">
        <is>
          <t>Cobblemon 동일</t>
        </is>
      </c>
      <c r="AK3059" s="18" t="inlineStr">
        <is>
          <t>사용</t>
        </is>
      </c>
      <c r="AL3059" s="18" t="inlineStr">
        <is>
          <t>COBBLEVERSE 1.7.42 / DP v31</t>
        </is>
      </c>
      <c r="AM3059" s="18" t="inlineStr">
        <is>
          <t>data/cobblemon/spawn_pool_world/0980_clodsire.json</t>
        </is>
      </c>
      <c r="AN3059" s="18" t="inlineStr">
        <is>
          <t>clodsire-3</t>
        </is>
      </c>
      <c r="AO3059" s="18" t="inlineStr">
        <is>
          <t>pokemon</t>
        </is>
      </c>
      <c r="AP3059" s="18" t="inlineStr">
        <is>
          <t>water</t>
        </is>
      </c>
      <c r="AQ3059" s="18" t="inlineStr">
        <is>
          <t>{"biomes":["#cobblemon:is_savanna"],"canSeeSky":true}</t>
        </is>
      </c>
      <c r="AR3059" s="18" t="inlineStr"/>
      <c r="AS3059" s="18" t="inlineStr"/>
      <c r="AT3059" s="19" t="inlineStr"/>
    </row>
    <row r="3060" ht="32" customHeight="1">
      <c r="A3060" s="18" t="inlineStr">
        <is>
          <t>0980_clodsire.json::clodsire-4::004</t>
        </is>
      </c>
      <c r="B3060" s="19" t="inlineStr">
        <is>
          <t>사용</t>
        </is>
      </c>
      <c r="C3060" s="18">
        <f>IF(OR(B3060&lt;&gt;AK3060,M3060&lt;&gt;L3060,O3060&lt;&gt;"",Q3060&lt;&gt;"",V3060&lt;&gt;1,Y3060&lt;&gt;"",AT3060&lt;&gt;""),"수정","원본")</f>
        <v/>
      </c>
      <c r="D3060" s="18" t="n">
        <v>980</v>
      </c>
      <c r="E3060" s="18" t="inlineStr">
        <is>
          <t>토오</t>
        </is>
      </c>
      <c r="F3060" s="18" t="inlineStr">
        <is>
          <t>clodsire</t>
        </is>
      </c>
      <c r="G3060" s="18" t="inlineStr">
        <is>
          <t>clodsire</t>
        </is>
      </c>
      <c r="H3060" s="18" t="inlineStr"/>
      <c r="I3060" s="18" t="n">
        <v>9</v>
      </c>
      <c r="J3060" s="18" t="n"/>
      <c r="K3060" s="18" t="n">
        <v>9</v>
      </c>
      <c r="L3060" s="18" t="inlineStr">
        <is>
          <t>cobbleventure:generation_9</t>
        </is>
      </c>
      <c r="M3060" s="19" t="inlineStr">
        <is>
          <t>cobbleventure:generation_9</t>
        </is>
      </c>
      <c r="N3060" s="18" t="inlineStr"/>
      <c r="O3060" s="19" t="inlineStr"/>
      <c r="P3060" s="18" t="inlineStr">
        <is>
          <t>#cobblemon:is_savanna</t>
        </is>
      </c>
      <c r="Q3060" s="19" t="inlineStr"/>
      <c r="R3060" s="18">
        <f>IF(Q3060="",P3060,Q3060)</f>
        <v/>
      </c>
      <c r="S3060" s="18" t="inlineStr"/>
      <c r="T3060" s="18" t="inlineStr">
        <is>
          <t>uncommon</t>
        </is>
      </c>
      <c r="U3060" s="20" t="n">
        <v>1.6</v>
      </c>
      <c r="V3060" s="21" t="n">
        <v>1</v>
      </c>
      <c r="W3060" s="20">
        <f>IF(OR(U3060="",V3060=""),U3060,U3060*V3060)</f>
        <v/>
      </c>
      <c r="X3060" s="18" t="inlineStr">
        <is>
          <t>20-43</t>
        </is>
      </c>
      <c r="Y3060" s="19" t="inlineStr"/>
      <c r="Z3060" s="18">
        <f>IF(Y3060="",X3060,Y3060)</f>
        <v/>
      </c>
      <c r="AA3060" s="18" t="inlineStr">
        <is>
          <t>grounded</t>
        </is>
      </c>
      <c r="AB3060" s="18" t="inlineStr"/>
      <c r="AC3060" s="18" t="inlineStr"/>
      <c r="AD3060" s="18" t="inlineStr"/>
      <c r="AE3060" s="18" t="inlineStr">
        <is>
          <t>sky 8-15</t>
        </is>
      </c>
      <c r="AF3060" s="18" t="inlineStr"/>
      <c r="AG3060" s="18" t="inlineStr"/>
      <c r="AH3060" s="18" t="inlineStr">
        <is>
          <t>주변=minecraft:water</t>
        </is>
      </c>
      <c r="AI3060" s="18" t="inlineStr"/>
      <c r="AJ3060" s="18" t="inlineStr">
        <is>
          <t>Cobblemon 동일</t>
        </is>
      </c>
      <c r="AK3060" s="18" t="inlineStr">
        <is>
          <t>사용</t>
        </is>
      </c>
      <c r="AL3060" s="18" t="inlineStr">
        <is>
          <t>COBBLEVERSE 1.7.42 / DP v31</t>
        </is>
      </c>
      <c r="AM3060" s="18" t="inlineStr">
        <is>
          <t>data/cobblemon/spawn_pool_world/0980_clodsire.json</t>
        </is>
      </c>
      <c r="AN3060" s="18" t="inlineStr">
        <is>
          <t>clodsire-4</t>
        </is>
      </c>
      <c r="AO3060" s="18" t="inlineStr">
        <is>
          <t>pokemon</t>
        </is>
      </c>
      <c r="AP3060" s="18" t="inlineStr">
        <is>
          <t>natural</t>
        </is>
      </c>
      <c r="AQ3060" s="18" t="inlineStr">
        <is>
          <t>{"biomes":["#cobblemon:is_savanna"],"maxSkyLight":15,"minSkyLight":8,"neededNearbyBlocks":["minecraft:water"]}</t>
        </is>
      </c>
      <c r="AR3060" s="18" t="inlineStr"/>
      <c r="AS3060" s="18" t="inlineStr"/>
      <c r="AT3060" s="19" t="inlineStr"/>
    </row>
    <row r="3061" ht="32" customHeight="1">
      <c r="A3061" s="18" t="inlineStr">
        <is>
          <t>0980_clodsire.json::clodsire-5::005</t>
        </is>
      </c>
      <c r="B3061" s="19" t="inlineStr">
        <is>
          <t>사용</t>
        </is>
      </c>
      <c r="C3061" s="18">
        <f>IF(OR(B3061&lt;&gt;AK3061,M3061&lt;&gt;L3061,O3061&lt;&gt;"",Q3061&lt;&gt;"",V3061&lt;&gt;1,Y3061&lt;&gt;"",AT3061&lt;&gt;""),"수정","원본")</f>
        <v/>
      </c>
      <c r="D3061" s="18" t="n">
        <v>980</v>
      </c>
      <c r="E3061" s="18" t="inlineStr">
        <is>
          <t>토오</t>
        </is>
      </c>
      <c r="F3061" s="18" t="inlineStr">
        <is>
          <t>clodsire</t>
        </is>
      </c>
      <c r="G3061" s="18" t="inlineStr">
        <is>
          <t>clodsire</t>
        </is>
      </c>
      <c r="H3061" s="18" t="inlineStr"/>
      <c r="I3061" s="18" t="n">
        <v>9</v>
      </c>
      <c r="J3061" s="18" t="n"/>
      <c r="K3061" s="18" t="n">
        <v>9</v>
      </c>
      <c r="L3061" s="18" t="inlineStr">
        <is>
          <t>cobbleventure:generation_9</t>
        </is>
      </c>
      <c r="M3061" s="19" t="inlineStr">
        <is>
          <t>cobbleventure:generation_9</t>
        </is>
      </c>
      <c r="N3061" s="18" t="inlineStr"/>
      <c r="O3061" s="19" t="inlineStr"/>
      <c r="P3061" s="18" t="inlineStr">
        <is>
          <t>#cobblemon:has_block/mud</t>
        </is>
      </c>
      <c r="Q3061" s="19" t="inlineStr"/>
      <c r="R3061" s="18">
        <f>IF(Q3061="",P3061,Q3061)</f>
        <v/>
      </c>
      <c r="S3061" s="18" t="inlineStr"/>
      <c r="T3061" s="18" t="inlineStr">
        <is>
          <t>common</t>
        </is>
      </c>
      <c r="U3061" s="20" t="n">
        <v>1</v>
      </c>
      <c r="V3061" s="21" t="n">
        <v>1</v>
      </c>
      <c r="W3061" s="20">
        <f>IF(OR(U3061="",V3061=""),U3061,U3061*V3061)</f>
        <v/>
      </c>
      <c r="X3061" s="18" t="inlineStr">
        <is>
          <t>20-43</t>
        </is>
      </c>
      <c r="Y3061" s="19" t="inlineStr"/>
      <c r="Z3061" s="18">
        <f>IF(Y3061="",X3061,Y3061)</f>
        <v/>
      </c>
      <c r="AA3061" s="18" t="inlineStr">
        <is>
          <t>fishing</t>
        </is>
      </c>
      <c r="AB3061" s="18" t="inlineStr"/>
      <c r="AC3061" s="18" t="inlineStr"/>
      <c r="AD3061" s="18" t="inlineStr"/>
      <c r="AE3061" s="18" t="inlineStr"/>
      <c r="AF3061" s="18" t="inlineStr">
        <is>
          <t>True</t>
        </is>
      </c>
      <c r="AG3061" s="18" t="inlineStr"/>
      <c r="AH3061" s="18" t="inlineStr"/>
      <c r="AI3061" s="18" t="inlineStr"/>
      <c r="AJ3061" s="18" t="inlineStr">
        <is>
          <t>Cobblemon 동일</t>
        </is>
      </c>
      <c r="AK3061" s="18" t="inlineStr">
        <is>
          <t>사용</t>
        </is>
      </c>
      <c r="AL3061" s="18" t="inlineStr">
        <is>
          <t>COBBLEVERSE 1.7.42 / DP v31</t>
        </is>
      </c>
      <c r="AM3061" s="18" t="inlineStr">
        <is>
          <t>data/cobblemon/spawn_pool_world/0980_clodsire.json</t>
        </is>
      </c>
      <c r="AN3061" s="18" t="inlineStr">
        <is>
          <t>clodsire-5</t>
        </is>
      </c>
      <c r="AO3061" s="18" t="inlineStr">
        <is>
          <t>pokemon</t>
        </is>
      </c>
      <c r="AP3061" s="18" t="inlineStr"/>
      <c r="AQ3061" s="18" t="inlineStr">
        <is>
          <t>{"biomes":["#cobblemon:has_block/mud"],"canSeeSky":true}</t>
        </is>
      </c>
      <c r="AR3061" s="18" t="inlineStr"/>
      <c r="AS3061" s="18" t="inlineStr"/>
      <c r="AT3061" s="19" t="inlineStr"/>
    </row>
    <row r="3062" ht="32" customHeight="1">
      <c r="A3062" s="18" t="inlineStr">
        <is>
          <t>0980_clodsire.json::clodsire-6::006</t>
        </is>
      </c>
      <c r="B3062" s="19" t="inlineStr">
        <is>
          <t>사용</t>
        </is>
      </c>
      <c r="C3062" s="18">
        <f>IF(OR(B3062&lt;&gt;AK3062,M3062&lt;&gt;L3062,O3062&lt;&gt;"",Q3062&lt;&gt;"",V3062&lt;&gt;1,Y3062&lt;&gt;"",AT3062&lt;&gt;""),"수정","원본")</f>
        <v/>
      </c>
      <c r="D3062" s="18" t="n">
        <v>980</v>
      </c>
      <c r="E3062" s="18" t="inlineStr">
        <is>
          <t>토오</t>
        </is>
      </c>
      <c r="F3062" s="18" t="inlineStr">
        <is>
          <t>clodsire</t>
        </is>
      </c>
      <c r="G3062" s="18" t="inlineStr">
        <is>
          <t>clodsire</t>
        </is>
      </c>
      <c r="H3062" s="18" t="inlineStr"/>
      <c r="I3062" s="18" t="n">
        <v>9</v>
      </c>
      <c r="J3062" s="18" t="n"/>
      <c r="K3062" s="18" t="n">
        <v>9</v>
      </c>
      <c r="L3062" s="18" t="inlineStr">
        <is>
          <t>cobbleventure:generation_9</t>
        </is>
      </c>
      <c r="M3062" s="19" t="inlineStr">
        <is>
          <t>cobbleventure:generation_9</t>
        </is>
      </c>
      <c r="N3062" s="18" t="inlineStr">
        <is>
          <t>region_02</t>
        </is>
      </c>
      <c r="O3062" s="19" t="inlineStr"/>
      <c r="P3062" s="18" t="inlineStr">
        <is>
          <t>#cobblemon:is_arid</t>
        </is>
      </c>
      <c r="Q3062" s="19" t="inlineStr"/>
      <c r="R3062" s="18">
        <f>IF(Q3062="",P3062,Q3062)</f>
        <v/>
      </c>
      <c r="S3062" s="18" t="inlineStr"/>
      <c r="T3062" s="18" t="inlineStr">
        <is>
          <t>uncommon</t>
        </is>
      </c>
      <c r="U3062" s="20" t="n">
        <v>1.6</v>
      </c>
      <c r="V3062" s="21" t="n">
        <v>1</v>
      </c>
      <c r="W3062" s="20">
        <f>IF(OR(U3062="",V3062=""),U3062,U3062*V3062)</f>
        <v/>
      </c>
      <c r="X3062" s="18" t="inlineStr">
        <is>
          <t>20-43</t>
        </is>
      </c>
      <c r="Y3062" s="19" t="inlineStr"/>
      <c r="Z3062" s="18">
        <f>IF(Y3062="",X3062,Y3062)</f>
        <v/>
      </c>
      <c r="AA3062" s="18" t="inlineStr">
        <is>
          <t>fishing</t>
        </is>
      </c>
      <c r="AB3062" s="18" t="inlineStr"/>
      <c r="AC3062" s="18" t="inlineStr"/>
      <c r="AD3062" s="18" t="inlineStr"/>
      <c r="AE3062" s="18" t="inlineStr"/>
      <c r="AF3062" s="18" t="inlineStr">
        <is>
          <t>True</t>
        </is>
      </c>
      <c r="AG3062" s="18" t="inlineStr"/>
      <c r="AH3062" s="18" t="inlineStr"/>
      <c r="AI3062" s="18" t="inlineStr"/>
      <c r="AJ3062" s="18" t="inlineStr">
        <is>
          <t>Cobblemon 동일</t>
        </is>
      </c>
      <c r="AK3062" s="18" t="inlineStr">
        <is>
          <t>사용</t>
        </is>
      </c>
      <c r="AL3062" s="18" t="inlineStr">
        <is>
          <t>COBBLEVERSE 1.7.42 / DP v31</t>
        </is>
      </c>
      <c r="AM3062" s="18" t="inlineStr">
        <is>
          <t>data/cobblemon/spawn_pool_world/0980_clodsire.json</t>
        </is>
      </c>
      <c r="AN3062" s="18" t="inlineStr">
        <is>
          <t>clodsire-6</t>
        </is>
      </c>
      <c r="AO3062" s="18" t="inlineStr">
        <is>
          <t>pokemon</t>
        </is>
      </c>
      <c r="AP3062" s="18" t="inlineStr"/>
      <c r="AQ3062" s="18" t="inlineStr">
        <is>
          <t>{"biomes":["#cobblemon:is_arid"],"canSeeSky":true}</t>
        </is>
      </c>
      <c r="AR3062" s="18" t="inlineStr">
        <is>
          <t>{"minLureLevel":1}</t>
        </is>
      </c>
      <c r="AS3062" s="18" t="inlineStr"/>
      <c r="AT3062" s="19" t="inlineStr"/>
    </row>
    <row r="3063" ht="32" customHeight="1">
      <c r="A3063" s="18" t="inlineStr">
        <is>
          <t>0980_clodsire.json::clodsire-7::007</t>
        </is>
      </c>
      <c r="B3063" s="19" t="inlineStr">
        <is>
          <t>사용</t>
        </is>
      </c>
      <c r="C3063" s="18">
        <f>IF(OR(B3063&lt;&gt;AK3063,M3063&lt;&gt;L3063,O3063&lt;&gt;"",Q3063&lt;&gt;"",V3063&lt;&gt;1,Y3063&lt;&gt;"",AT3063&lt;&gt;""),"수정","원본")</f>
        <v/>
      </c>
      <c r="D3063" s="18" t="n">
        <v>980</v>
      </c>
      <c r="E3063" s="18" t="inlineStr">
        <is>
          <t>토오</t>
        </is>
      </c>
      <c r="F3063" s="18" t="inlineStr">
        <is>
          <t>clodsire</t>
        </is>
      </c>
      <c r="G3063" s="18" t="inlineStr">
        <is>
          <t>clodsire</t>
        </is>
      </c>
      <c r="H3063" s="18" t="inlineStr"/>
      <c r="I3063" s="18" t="n">
        <v>9</v>
      </c>
      <c r="J3063" s="18" t="n"/>
      <c r="K3063" s="18" t="n">
        <v>9</v>
      </c>
      <c r="L3063" s="18" t="inlineStr">
        <is>
          <t>cobbleventure:generation_9</t>
        </is>
      </c>
      <c r="M3063" s="19" t="inlineStr">
        <is>
          <t>cobbleventure:generation_9</t>
        </is>
      </c>
      <c r="N3063" s="18" t="inlineStr">
        <is>
          <t>region_02</t>
        </is>
      </c>
      <c r="O3063" s="19" t="inlineStr"/>
      <c r="P3063" s="18" t="inlineStr">
        <is>
          <t>#cobblemon:is_arid</t>
        </is>
      </c>
      <c r="Q3063" s="19" t="inlineStr"/>
      <c r="R3063" s="18">
        <f>IF(Q3063="",P3063,Q3063)</f>
        <v/>
      </c>
      <c r="S3063" s="18" t="inlineStr"/>
      <c r="T3063" s="18" t="inlineStr">
        <is>
          <t>common</t>
        </is>
      </c>
      <c r="U3063" s="20" t="n">
        <v>1</v>
      </c>
      <c r="V3063" s="21" t="n">
        <v>1</v>
      </c>
      <c r="W3063" s="20">
        <f>IF(OR(U3063="",V3063=""),U3063,U3063*V3063)</f>
        <v/>
      </c>
      <c r="X3063" s="18" t="inlineStr">
        <is>
          <t>20-43</t>
        </is>
      </c>
      <c r="Y3063" s="19" t="inlineStr"/>
      <c r="Z3063" s="18">
        <f>IF(Y3063="",X3063,Y3063)</f>
        <v/>
      </c>
      <c r="AA3063" s="18" t="inlineStr">
        <is>
          <t>fishing</t>
        </is>
      </c>
      <c r="AB3063" s="18" t="inlineStr"/>
      <c r="AC3063" s="18" t="inlineStr"/>
      <c r="AD3063" s="18" t="inlineStr"/>
      <c r="AE3063" s="18" t="inlineStr"/>
      <c r="AF3063" s="18" t="inlineStr">
        <is>
          <t>True</t>
        </is>
      </c>
      <c r="AG3063" s="18" t="inlineStr"/>
      <c r="AH3063" s="18" t="inlineStr"/>
      <c r="AI3063" s="18" t="inlineStr">
        <is>
          <t>{"fishing":{"minLureLevel":1}}</t>
        </is>
      </c>
      <c r="AJ3063" s="18" t="inlineStr">
        <is>
          <t>Cobblemon 동일</t>
        </is>
      </c>
      <c r="AK3063" s="18" t="inlineStr">
        <is>
          <t>사용</t>
        </is>
      </c>
      <c r="AL3063" s="18" t="inlineStr">
        <is>
          <t>COBBLEVERSE 1.7.42 / DP v31</t>
        </is>
      </c>
      <c r="AM3063" s="18" t="inlineStr">
        <is>
          <t>data/cobblemon/spawn_pool_world/0980_clodsire.json</t>
        </is>
      </c>
      <c r="AN3063" s="18" t="inlineStr">
        <is>
          <t>clodsire-7</t>
        </is>
      </c>
      <c r="AO3063" s="18" t="inlineStr">
        <is>
          <t>pokemon</t>
        </is>
      </c>
      <c r="AP3063" s="18" t="inlineStr"/>
      <c r="AQ3063" s="18" t="inlineStr">
        <is>
          <t>{"biomes":["#cobblemon:is_arid"],"canSeeSky":true,"minLureLevel":1}</t>
        </is>
      </c>
      <c r="AR3063" s="18" t="inlineStr"/>
      <c r="AS3063" s="18" t="inlineStr">
        <is>
          <t>{"weightMultiplier":{"condition":{"maxLureLevel":2,"minLureLevel":1},"multiplier":0.6}}</t>
        </is>
      </c>
      <c r="AT3063" s="19" t="inlineStr"/>
    </row>
    <row r="3064" ht="32" customHeight="1">
      <c r="A3064" s="18" t="inlineStr">
        <is>
          <t>0980_clodsire.json::clodsire-8::008</t>
        </is>
      </c>
      <c r="B3064" s="19" t="inlineStr">
        <is>
          <t>사용</t>
        </is>
      </c>
      <c r="C3064" s="18">
        <f>IF(OR(B3064&lt;&gt;AK3064,M3064&lt;&gt;L3064,O3064&lt;&gt;"",Q3064&lt;&gt;"",V3064&lt;&gt;1,Y3064&lt;&gt;"",AT3064&lt;&gt;""),"수정","원본")</f>
        <v/>
      </c>
      <c r="D3064" s="18" t="n">
        <v>980</v>
      </c>
      <c r="E3064" s="18" t="inlineStr">
        <is>
          <t>토오</t>
        </is>
      </c>
      <c r="F3064" s="18" t="inlineStr">
        <is>
          <t>clodsire</t>
        </is>
      </c>
      <c r="G3064" s="18" t="inlineStr">
        <is>
          <t>clodsire</t>
        </is>
      </c>
      <c r="H3064" s="18" t="inlineStr"/>
      <c r="I3064" s="18" t="n">
        <v>9</v>
      </c>
      <c r="J3064" s="18" t="n"/>
      <c r="K3064" s="18" t="n">
        <v>9</v>
      </c>
      <c r="L3064" s="18" t="inlineStr">
        <is>
          <t>cobbleventure:generation_9</t>
        </is>
      </c>
      <c r="M3064" s="19" t="inlineStr">
        <is>
          <t>cobbleventure:generation_9</t>
        </is>
      </c>
      <c r="N3064" s="18" t="inlineStr"/>
      <c r="O3064" s="19" t="inlineStr"/>
      <c r="P3064" s="18" t="inlineStr">
        <is>
          <t>#cobblemon:has_block/mud</t>
        </is>
      </c>
      <c r="Q3064" s="19" t="inlineStr"/>
      <c r="R3064" s="18">
        <f>IF(Q3064="",P3064,Q3064)</f>
        <v/>
      </c>
      <c r="S3064" s="18" t="inlineStr"/>
      <c r="T3064" s="18" t="inlineStr">
        <is>
          <t>common</t>
        </is>
      </c>
      <c r="U3064" s="20" t="n">
        <v>1</v>
      </c>
      <c r="V3064" s="21" t="n">
        <v>1</v>
      </c>
      <c r="W3064" s="20">
        <f>IF(OR(U3064="",V3064=""),U3064,U3064*V3064)</f>
        <v/>
      </c>
      <c r="X3064" s="18" t="inlineStr">
        <is>
          <t>20-43</t>
        </is>
      </c>
      <c r="Y3064" s="19" t="inlineStr"/>
      <c r="Z3064" s="18">
        <f>IF(Y3064="",X3064,Y3064)</f>
        <v/>
      </c>
      <c r="AA3064" s="18" t="inlineStr">
        <is>
          <t>submerged</t>
        </is>
      </c>
      <c r="AB3064" s="18" t="inlineStr"/>
      <c r="AC3064" s="18" t="inlineStr"/>
      <c r="AD3064" s="18" t="inlineStr"/>
      <c r="AE3064" s="18" t="inlineStr">
        <is>
          <t>sky 8-15</t>
        </is>
      </c>
      <c r="AF3064" s="18" t="inlineStr">
        <is>
          <t>False</t>
        </is>
      </c>
      <c r="AG3064" s="18" t="inlineStr"/>
      <c r="AH3064" s="18" t="inlineStr"/>
      <c r="AI3064" s="18" t="inlineStr"/>
      <c r="AJ3064" s="18" t="inlineStr">
        <is>
          <t>Cobblemon 동일</t>
        </is>
      </c>
      <c r="AK3064" s="18" t="inlineStr">
        <is>
          <t>사용</t>
        </is>
      </c>
      <c r="AL3064" s="18" t="inlineStr">
        <is>
          <t>COBBLEVERSE 1.7.42 / DP v31</t>
        </is>
      </c>
      <c r="AM3064" s="18" t="inlineStr">
        <is>
          <t>data/cobblemon/spawn_pool_world/0980_clodsire.json</t>
        </is>
      </c>
      <c r="AN3064" s="18" t="inlineStr">
        <is>
          <t>clodsire-8</t>
        </is>
      </c>
      <c r="AO3064" s="18" t="inlineStr">
        <is>
          <t>pokemon</t>
        </is>
      </c>
      <c r="AP3064" s="18" t="inlineStr">
        <is>
          <t>water</t>
        </is>
      </c>
      <c r="AQ3064" s="18" t="inlineStr">
        <is>
          <t>{"biomes":["#cobblemon:has_block/mud"],"canSeeSky":false,"maxSkyLight":15,"minSkyLight":8}</t>
        </is>
      </c>
      <c r="AR3064" s="18" t="inlineStr"/>
      <c r="AS3064" s="18" t="inlineStr"/>
      <c r="AT3064" s="19" t="inlineStr"/>
    </row>
    <row r="3065" ht="32" customHeight="1">
      <c r="A3065" s="18" t="inlineStr">
        <is>
          <t>0980_clodsire.json::clodsire-9::009</t>
        </is>
      </c>
      <c r="B3065" s="19" t="inlineStr">
        <is>
          <t>사용</t>
        </is>
      </c>
      <c r="C3065" s="18">
        <f>IF(OR(B3065&lt;&gt;AK3065,M3065&lt;&gt;L3065,O3065&lt;&gt;"",Q3065&lt;&gt;"",V3065&lt;&gt;1,Y3065&lt;&gt;"",AT3065&lt;&gt;""),"수정","원본")</f>
        <v/>
      </c>
      <c r="D3065" s="18" t="n">
        <v>980</v>
      </c>
      <c r="E3065" s="18" t="inlineStr">
        <is>
          <t>토오</t>
        </is>
      </c>
      <c r="F3065" s="18" t="inlineStr">
        <is>
          <t>clodsire</t>
        </is>
      </c>
      <c r="G3065" s="18" t="inlineStr">
        <is>
          <t>clodsire</t>
        </is>
      </c>
      <c r="H3065" s="18" t="inlineStr"/>
      <c r="I3065" s="18" t="n">
        <v>9</v>
      </c>
      <c r="J3065" s="18" t="n"/>
      <c r="K3065" s="18" t="n">
        <v>9</v>
      </c>
      <c r="L3065" s="18" t="inlineStr">
        <is>
          <t>cobbleventure:generation_9</t>
        </is>
      </c>
      <c r="M3065" s="19" t="inlineStr">
        <is>
          <t>cobbleventure:generation_9</t>
        </is>
      </c>
      <c r="N3065" s="18" t="inlineStr"/>
      <c r="O3065" s="19" t="inlineStr"/>
      <c r="P3065" s="18" t="inlineStr">
        <is>
          <t>#cobblemon:is_savanna</t>
        </is>
      </c>
      <c r="Q3065" s="19" t="inlineStr"/>
      <c r="R3065" s="18">
        <f>IF(Q3065="",P3065,Q3065)</f>
        <v/>
      </c>
      <c r="S3065" s="18" t="inlineStr"/>
      <c r="T3065" s="18" t="inlineStr">
        <is>
          <t>uncommon</t>
        </is>
      </c>
      <c r="U3065" s="20" t="n">
        <v>1.6</v>
      </c>
      <c r="V3065" s="21" t="n">
        <v>1</v>
      </c>
      <c r="W3065" s="20">
        <f>IF(OR(U3065="",V3065=""),U3065,U3065*V3065)</f>
        <v/>
      </c>
      <c r="X3065" s="18" t="inlineStr">
        <is>
          <t>20-43</t>
        </is>
      </c>
      <c r="Y3065" s="19" t="inlineStr"/>
      <c r="Z3065" s="18">
        <f>IF(Y3065="",X3065,Y3065)</f>
        <v/>
      </c>
      <c r="AA3065" s="18" t="inlineStr">
        <is>
          <t>submerged</t>
        </is>
      </c>
      <c r="AB3065" s="18" t="inlineStr"/>
      <c r="AC3065" s="18" t="inlineStr"/>
      <c r="AD3065" s="18" t="inlineStr"/>
      <c r="AE3065" s="18" t="inlineStr">
        <is>
          <t>sky 8-15</t>
        </is>
      </c>
      <c r="AF3065" s="18" t="inlineStr">
        <is>
          <t>False</t>
        </is>
      </c>
      <c r="AG3065" s="18" t="inlineStr"/>
      <c r="AH3065" s="18" t="inlineStr"/>
      <c r="AI3065" s="18" t="inlineStr"/>
      <c r="AJ3065" s="18" t="inlineStr">
        <is>
          <t>Cobblemon 동일</t>
        </is>
      </c>
      <c r="AK3065" s="18" t="inlineStr">
        <is>
          <t>사용</t>
        </is>
      </c>
      <c r="AL3065" s="18" t="inlineStr">
        <is>
          <t>COBBLEVERSE 1.7.42 / DP v31</t>
        </is>
      </c>
      <c r="AM3065" s="18" t="inlineStr">
        <is>
          <t>data/cobblemon/spawn_pool_world/0980_clodsire.json</t>
        </is>
      </c>
      <c r="AN3065" s="18" t="inlineStr">
        <is>
          <t>clodsire-9</t>
        </is>
      </c>
      <c r="AO3065" s="18" t="inlineStr">
        <is>
          <t>pokemon</t>
        </is>
      </c>
      <c r="AP3065" s="18" t="inlineStr">
        <is>
          <t>water</t>
        </is>
      </c>
      <c r="AQ3065" s="18" t="inlineStr">
        <is>
          <t>{"biomes":["#cobblemon:is_savanna"],"canSeeSky":false,"maxSkyLight":15,"minSkyLight":8}</t>
        </is>
      </c>
      <c r="AR3065" s="18" t="inlineStr"/>
      <c r="AS3065" s="18" t="inlineStr"/>
      <c r="AT3065" s="19" t="inlineStr"/>
    </row>
    <row r="3066" ht="32" customHeight="1">
      <c r="A3066" s="18" t="inlineStr">
        <is>
          <t>0980_clodsire.json::clodsire-10::010</t>
        </is>
      </c>
      <c r="B3066" s="19" t="inlineStr">
        <is>
          <t>사용</t>
        </is>
      </c>
      <c r="C3066" s="18">
        <f>IF(OR(B3066&lt;&gt;AK3066,M3066&lt;&gt;L3066,O3066&lt;&gt;"",Q3066&lt;&gt;"",V3066&lt;&gt;1,Y3066&lt;&gt;"",AT3066&lt;&gt;""),"수정","원본")</f>
        <v/>
      </c>
      <c r="D3066" s="18" t="n">
        <v>980</v>
      </c>
      <c r="E3066" s="18" t="inlineStr">
        <is>
          <t>토오</t>
        </is>
      </c>
      <c r="F3066" s="18" t="inlineStr">
        <is>
          <t>clodsire</t>
        </is>
      </c>
      <c r="G3066" s="18" t="inlineStr">
        <is>
          <t>clodsire</t>
        </is>
      </c>
      <c r="H3066" s="18" t="inlineStr"/>
      <c r="I3066" s="18" t="n">
        <v>9</v>
      </c>
      <c r="J3066" s="18" t="n"/>
      <c r="K3066" s="18" t="n">
        <v>9</v>
      </c>
      <c r="L3066" s="18" t="inlineStr">
        <is>
          <t>cobbleventure:generation_9</t>
        </is>
      </c>
      <c r="M3066" s="19" t="inlineStr">
        <is>
          <t>cobbleventure:generation_9</t>
        </is>
      </c>
      <c r="N3066" s="18" t="inlineStr"/>
      <c r="O3066" s="19" t="inlineStr"/>
      <c r="P3066" s="18" t="inlineStr">
        <is>
          <t>#cobblemon:has_block/mud</t>
        </is>
      </c>
      <c r="Q3066" s="19" t="inlineStr"/>
      <c r="R3066" s="18">
        <f>IF(Q3066="",P3066,Q3066)</f>
        <v/>
      </c>
      <c r="S3066" s="18" t="inlineStr"/>
      <c r="T3066" s="18" t="inlineStr">
        <is>
          <t>common</t>
        </is>
      </c>
      <c r="U3066" s="20" t="n">
        <v>1</v>
      </c>
      <c r="V3066" s="21" t="n">
        <v>1</v>
      </c>
      <c r="W3066" s="20">
        <f>IF(OR(U3066="",V3066=""),U3066,U3066*V3066)</f>
        <v/>
      </c>
      <c r="X3066" s="18" t="inlineStr">
        <is>
          <t>20-43</t>
        </is>
      </c>
      <c r="Y3066" s="19" t="inlineStr"/>
      <c r="Z3066" s="18">
        <f>IF(Y3066="",X3066,Y3066)</f>
        <v/>
      </c>
      <c r="AA3066" s="18" t="inlineStr">
        <is>
          <t>fishing</t>
        </is>
      </c>
      <c r="AB3066" s="18" t="inlineStr"/>
      <c r="AC3066" s="18" t="inlineStr"/>
      <c r="AD3066" s="18" t="inlineStr"/>
      <c r="AE3066" s="18" t="inlineStr">
        <is>
          <t>sky 8-15</t>
        </is>
      </c>
      <c r="AF3066" s="18" t="inlineStr">
        <is>
          <t>False</t>
        </is>
      </c>
      <c r="AG3066" s="18" t="inlineStr"/>
      <c r="AH3066" s="18" t="inlineStr"/>
      <c r="AI3066" s="18" t="inlineStr"/>
      <c r="AJ3066" s="18" t="inlineStr">
        <is>
          <t>Cobblemon 동일</t>
        </is>
      </c>
      <c r="AK3066" s="18" t="inlineStr">
        <is>
          <t>사용</t>
        </is>
      </c>
      <c r="AL3066" s="18" t="inlineStr">
        <is>
          <t>COBBLEVERSE 1.7.42 / DP v31</t>
        </is>
      </c>
      <c r="AM3066" s="18" t="inlineStr">
        <is>
          <t>data/cobblemon/spawn_pool_world/0980_clodsire.json</t>
        </is>
      </c>
      <c r="AN3066" s="18" t="inlineStr">
        <is>
          <t>clodsire-10</t>
        </is>
      </c>
      <c r="AO3066" s="18" t="inlineStr">
        <is>
          <t>pokemon</t>
        </is>
      </c>
      <c r="AP3066" s="18" t="inlineStr"/>
      <c r="AQ3066" s="18" t="inlineStr">
        <is>
          <t>{"biomes":["#cobblemon:has_block/mud"],"canSeeSky":false,"maxSkyLight":15,"minSkyLight":8}</t>
        </is>
      </c>
      <c r="AR3066" s="18" t="inlineStr"/>
      <c r="AS3066" s="18" t="inlineStr"/>
      <c r="AT3066" s="19" t="inlineStr"/>
    </row>
    <row r="3067" ht="32" customHeight="1">
      <c r="A3067" s="18" t="inlineStr">
        <is>
          <t>0980_clodsire.json::clodsire-11::011</t>
        </is>
      </c>
      <c r="B3067" s="19" t="inlineStr">
        <is>
          <t>사용</t>
        </is>
      </c>
      <c r="C3067" s="18">
        <f>IF(OR(B3067&lt;&gt;AK3067,M3067&lt;&gt;L3067,O3067&lt;&gt;"",Q3067&lt;&gt;"",V3067&lt;&gt;1,Y3067&lt;&gt;"",AT3067&lt;&gt;""),"수정","원본")</f>
        <v/>
      </c>
      <c r="D3067" s="18" t="n">
        <v>980</v>
      </c>
      <c r="E3067" s="18" t="inlineStr">
        <is>
          <t>토오</t>
        </is>
      </c>
      <c r="F3067" s="18" t="inlineStr">
        <is>
          <t>clodsire</t>
        </is>
      </c>
      <c r="G3067" s="18" t="inlineStr">
        <is>
          <t>clodsire</t>
        </is>
      </c>
      <c r="H3067" s="18" t="inlineStr"/>
      <c r="I3067" s="18" t="n">
        <v>9</v>
      </c>
      <c r="J3067" s="18" t="n"/>
      <c r="K3067" s="18" t="n">
        <v>9</v>
      </c>
      <c r="L3067" s="18" t="inlineStr">
        <is>
          <t>cobbleventure:generation_9</t>
        </is>
      </c>
      <c r="M3067" s="19" t="inlineStr">
        <is>
          <t>cobbleventure:generation_9</t>
        </is>
      </c>
      <c r="N3067" s="18" t="inlineStr">
        <is>
          <t>region_02</t>
        </is>
      </c>
      <c r="O3067" s="19" t="inlineStr"/>
      <c r="P3067" s="18" t="inlineStr">
        <is>
          <t>#cobblemon:is_arid</t>
        </is>
      </c>
      <c r="Q3067" s="19" t="inlineStr"/>
      <c r="R3067" s="18">
        <f>IF(Q3067="",P3067,Q3067)</f>
        <v/>
      </c>
      <c r="S3067" s="18" t="inlineStr"/>
      <c r="T3067" s="18" t="inlineStr">
        <is>
          <t>uncommon</t>
        </is>
      </c>
      <c r="U3067" s="20" t="n">
        <v>1.6</v>
      </c>
      <c r="V3067" s="21" t="n">
        <v>1</v>
      </c>
      <c r="W3067" s="20">
        <f>IF(OR(U3067="",V3067=""),U3067,U3067*V3067)</f>
        <v/>
      </c>
      <c r="X3067" s="18" t="inlineStr">
        <is>
          <t>20-43</t>
        </is>
      </c>
      <c r="Y3067" s="19" t="inlineStr"/>
      <c r="Z3067" s="18">
        <f>IF(Y3067="",X3067,Y3067)</f>
        <v/>
      </c>
      <c r="AA3067" s="18" t="inlineStr">
        <is>
          <t>fishing</t>
        </is>
      </c>
      <c r="AB3067" s="18" t="inlineStr"/>
      <c r="AC3067" s="18" t="inlineStr"/>
      <c r="AD3067" s="18" t="inlineStr"/>
      <c r="AE3067" s="18" t="inlineStr">
        <is>
          <t>sky 8-15</t>
        </is>
      </c>
      <c r="AF3067" s="18" t="inlineStr">
        <is>
          <t>False</t>
        </is>
      </c>
      <c r="AG3067" s="18" t="inlineStr"/>
      <c r="AH3067" s="18" t="inlineStr"/>
      <c r="AI3067" s="18" t="inlineStr"/>
      <c r="AJ3067" s="18" t="inlineStr">
        <is>
          <t>Cobblemon 동일</t>
        </is>
      </c>
      <c r="AK3067" s="18" t="inlineStr">
        <is>
          <t>사용</t>
        </is>
      </c>
      <c r="AL3067" s="18" t="inlineStr">
        <is>
          <t>COBBLEVERSE 1.7.42 / DP v31</t>
        </is>
      </c>
      <c r="AM3067" s="18" t="inlineStr">
        <is>
          <t>data/cobblemon/spawn_pool_world/0980_clodsire.json</t>
        </is>
      </c>
      <c r="AN3067" s="18" t="inlineStr">
        <is>
          <t>clodsire-11</t>
        </is>
      </c>
      <c r="AO3067" s="18" t="inlineStr">
        <is>
          <t>pokemon</t>
        </is>
      </c>
      <c r="AP3067" s="18" t="inlineStr"/>
      <c r="AQ3067" s="18" t="inlineStr">
        <is>
          <t>{"biomes":["#cobblemon:is_arid"],"canSeeSky":false,"maxSkyLight":15,"minSkyLight":8}</t>
        </is>
      </c>
      <c r="AR3067" s="18" t="inlineStr">
        <is>
          <t>{"minLureLevel":1}</t>
        </is>
      </c>
      <c r="AS3067" s="18" t="inlineStr"/>
      <c r="AT3067" s="19" t="inlineStr"/>
    </row>
    <row r="3068" ht="32" customHeight="1">
      <c r="A3068" s="18" t="inlineStr">
        <is>
          <t>0980_clodsire.json::clodsire-12::012</t>
        </is>
      </c>
      <c r="B3068" s="19" t="inlineStr">
        <is>
          <t>사용</t>
        </is>
      </c>
      <c r="C3068" s="18">
        <f>IF(OR(B3068&lt;&gt;AK3068,M3068&lt;&gt;L3068,O3068&lt;&gt;"",Q3068&lt;&gt;"",V3068&lt;&gt;1,Y3068&lt;&gt;"",AT3068&lt;&gt;""),"수정","원본")</f>
        <v/>
      </c>
      <c r="D3068" s="18" t="n">
        <v>980</v>
      </c>
      <c r="E3068" s="18" t="inlineStr">
        <is>
          <t>토오</t>
        </is>
      </c>
      <c r="F3068" s="18" t="inlineStr">
        <is>
          <t>clodsire</t>
        </is>
      </c>
      <c r="G3068" s="18" t="inlineStr">
        <is>
          <t>clodsire</t>
        </is>
      </c>
      <c r="H3068" s="18" t="inlineStr"/>
      <c r="I3068" s="18" t="n">
        <v>9</v>
      </c>
      <c r="J3068" s="18" t="n"/>
      <c r="K3068" s="18" t="n">
        <v>9</v>
      </c>
      <c r="L3068" s="18" t="inlineStr">
        <is>
          <t>cobbleventure:generation_9</t>
        </is>
      </c>
      <c r="M3068" s="19" t="inlineStr">
        <is>
          <t>cobbleventure:generation_9</t>
        </is>
      </c>
      <c r="N3068" s="18" t="inlineStr">
        <is>
          <t>region_02</t>
        </is>
      </c>
      <c r="O3068" s="19" t="inlineStr"/>
      <c r="P3068" s="18" t="inlineStr">
        <is>
          <t>#cobblemon:is_arid</t>
        </is>
      </c>
      <c r="Q3068" s="19" t="inlineStr"/>
      <c r="R3068" s="18">
        <f>IF(Q3068="",P3068,Q3068)</f>
        <v/>
      </c>
      <c r="S3068" s="18" t="inlineStr"/>
      <c r="T3068" s="18" t="inlineStr">
        <is>
          <t>common</t>
        </is>
      </c>
      <c r="U3068" s="20" t="n">
        <v>1</v>
      </c>
      <c r="V3068" s="21" t="n">
        <v>1</v>
      </c>
      <c r="W3068" s="20">
        <f>IF(OR(U3068="",V3068=""),U3068,U3068*V3068)</f>
        <v/>
      </c>
      <c r="X3068" s="18" t="inlineStr">
        <is>
          <t>20-43</t>
        </is>
      </c>
      <c r="Y3068" s="19" t="inlineStr"/>
      <c r="Z3068" s="18">
        <f>IF(Y3068="",X3068,Y3068)</f>
        <v/>
      </c>
      <c r="AA3068" s="18" t="inlineStr">
        <is>
          <t>fishing</t>
        </is>
      </c>
      <c r="AB3068" s="18" t="inlineStr"/>
      <c r="AC3068" s="18" t="inlineStr"/>
      <c r="AD3068" s="18" t="inlineStr"/>
      <c r="AE3068" s="18" t="inlineStr">
        <is>
          <t>sky 8-15</t>
        </is>
      </c>
      <c r="AF3068" s="18" t="inlineStr">
        <is>
          <t>False</t>
        </is>
      </c>
      <c r="AG3068" s="18" t="inlineStr"/>
      <c r="AH3068" s="18" t="inlineStr"/>
      <c r="AI3068" s="18" t="inlineStr">
        <is>
          <t>{"fishing":{"minLureLevel":1}}</t>
        </is>
      </c>
      <c r="AJ3068" s="18" t="inlineStr">
        <is>
          <t>Cobblemon 동일</t>
        </is>
      </c>
      <c r="AK3068" s="18" t="inlineStr">
        <is>
          <t>사용</t>
        </is>
      </c>
      <c r="AL3068" s="18" t="inlineStr">
        <is>
          <t>COBBLEVERSE 1.7.42 / DP v31</t>
        </is>
      </c>
      <c r="AM3068" s="18" t="inlineStr">
        <is>
          <t>data/cobblemon/spawn_pool_world/0980_clodsire.json</t>
        </is>
      </c>
      <c r="AN3068" s="18" t="inlineStr">
        <is>
          <t>clodsire-12</t>
        </is>
      </c>
      <c r="AO3068" s="18" t="inlineStr">
        <is>
          <t>pokemon</t>
        </is>
      </c>
      <c r="AP3068" s="18" t="inlineStr"/>
      <c r="AQ3068" s="18" t="inlineStr">
        <is>
          <t>{"biomes":["#cobblemon:is_arid"],"canSeeSky":false,"maxSkyLight":15,"minLureLevel":1,"minSkyLight":8}</t>
        </is>
      </c>
      <c r="AR3068" s="18" t="inlineStr"/>
      <c r="AS3068" s="18" t="inlineStr">
        <is>
          <t>{"weightMultiplier":{"condition":{"maxLureLevel":2,"minLureLevel":1},"multiplier":0.6}}</t>
        </is>
      </c>
      <c r="AT3068" s="19" t="inlineStr"/>
    </row>
    <row r="3069" ht="32" customHeight="1">
      <c r="A3069" s="18" t="inlineStr">
        <is>
          <t>0981_farigiraf.json::farigiraf-1::001</t>
        </is>
      </c>
      <c r="B3069" s="19" t="inlineStr">
        <is>
          <t>사용</t>
        </is>
      </c>
      <c r="C3069" s="18">
        <f>IF(OR(B3069&lt;&gt;AK3069,M3069&lt;&gt;L3069,O3069&lt;&gt;"",Q3069&lt;&gt;"",V3069&lt;&gt;1,Y3069&lt;&gt;"",AT3069&lt;&gt;""),"수정","원본")</f>
        <v/>
      </c>
      <c r="D3069" s="18" t="n">
        <v>981</v>
      </c>
      <c r="E3069" s="18" t="inlineStr">
        <is>
          <t>키키링</t>
        </is>
      </c>
      <c r="F3069" s="18" t="inlineStr">
        <is>
          <t>farigiraf</t>
        </is>
      </c>
      <c r="G3069" s="18" t="inlineStr">
        <is>
          <t>farigiraf</t>
        </is>
      </c>
      <c r="H3069" s="18" t="inlineStr"/>
      <c r="I3069" s="18" t="n">
        <v>9</v>
      </c>
      <c r="J3069" s="18" t="n"/>
      <c r="K3069" s="18" t="n">
        <v>9</v>
      </c>
      <c r="L3069" s="18" t="inlineStr">
        <is>
          <t>cobbleventure:generation_9</t>
        </is>
      </c>
      <c r="M3069" s="19" t="inlineStr">
        <is>
          <t>cobbleventure:generation_9</t>
        </is>
      </c>
      <c r="N3069" s="18" t="inlineStr"/>
      <c r="O3069" s="19" t="inlineStr"/>
      <c r="P3069" s="18" t="inlineStr">
        <is>
          <t>#cobblemon:is_savanna</t>
        </is>
      </c>
      <c r="Q3069" s="19" t="inlineStr"/>
      <c r="R3069" s="18">
        <f>IF(Q3069="",P3069,Q3069)</f>
        <v/>
      </c>
      <c r="S3069" s="18" t="inlineStr"/>
      <c r="T3069" s="18" t="inlineStr">
        <is>
          <t>common</t>
        </is>
      </c>
      <c r="U3069" s="20" t="n">
        <v>0.6</v>
      </c>
      <c r="V3069" s="21" t="n">
        <v>1</v>
      </c>
      <c r="W3069" s="20">
        <f>IF(OR(U3069="",V3069=""),U3069,U3069*V3069)</f>
        <v/>
      </c>
      <c r="X3069" s="18" t="inlineStr">
        <is>
          <t>32-45</t>
        </is>
      </c>
      <c r="Y3069" s="19" t="inlineStr"/>
      <c r="Z3069" s="18">
        <f>IF(Y3069="",X3069,Y3069)</f>
        <v/>
      </c>
      <c r="AA3069" s="18" t="inlineStr">
        <is>
          <t>grounded</t>
        </is>
      </c>
      <c r="AB3069" s="18" t="inlineStr"/>
      <c r="AC3069" s="18" t="inlineStr"/>
      <c r="AD3069" s="18" t="inlineStr"/>
      <c r="AE3069" s="18" t="inlineStr">
        <is>
          <t>sky 8-15</t>
        </is>
      </c>
      <c r="AF3069" s="18" t="inlineStr"/>
      <c r="AG3069" s="18" t="inlineStr"/>
      <c r="AH3069" s="18" t="inlineStr"/>
      <c r="AI3069" s="18" t="inlineStr"/>
      <c r="AJ3069" s="18" t="inlineStr">
        <is>
          <t>Cobblemon 동일</t>
        </is>
      </c>
      <c r="AK3069" s="18" t="inlineStr">
        <is>
          <t>사용</t>
        </is>
      </c>
      <c r="AL3069" s="18" t="inlineStr">
        <is>
          <t>COBBLEVERSE 1.7.42 / DP v31</t>
        </is>
      </c>
      <c r="AM3069" s="18" t="inlineStr">
        <is>
          <t>data/cobblemon/spawn_pool_world/0981_farigiraf.json</t>
        </is>
      </c>
      <c r="AN3069" s="18" t="inlineStr">
        <is>
          <t>farigiraf-1</t>
        </is>
      </c>
      <c r="AO3069" s="18" t="inlineStr">
        <is>
          <t>pokemon</t>
        </is>
      </c>
      <c r="AP3069" s="18" t="inlineStr">
        <is>
          <t>natural; wild</t>
        </is>
      </c>
      <c r="AQ3069" s="18" t="inlineStr">
        <is>
          <t>{"biomes":["#cobblemon:is_savanna"],"maxSkyLight":15,"minSkyLight":8}</t>
        </is>
      </c>
      <c r="AR3069" s="18" t="inlineStr"/>
      <c r="AS3069" s="18" t="inlineStr">
        <is>
          <t>{"weightMultiplier":{"condition":{"timeRange":"night"},"multiplier":0.25}}</t>
        </is>
      </c>
      <c r="AT3069" s="19" t="inlineStr"/>
    </row>
    <row r="3070" ht="32" customHeight="1">
      <c r="A3070" s="18" t="inlineStr">
        <is>
          <t>0982_dudunsparce.json::dudunsparce-two-segment-1::001</t>
        </is>
      </c>
      <c r="B3070" s="19" t="inlineStr">
        <is>
          <t>사용</t>
        </is>
      </c>
      <c r="C3070" s="18">
        <f>IF(OR(B3070&lt;&gt;AK3070,M3070&lt;&gt;L3070,O3070&lt;&gt;"",Q3070&lt;&gt;"",V3070&lt;&gt;1,Y3070&lt;&gt;"",AT3070&lt;&gt;""),"수정","원본")</f>
        <v/>
      </c>
      <c r="D3070" s="18" t="n">
        <v>982</v>
      </c>
      <c r="E3070" s="18" t="inlineStr">
        <is>
          <t>노고고치</t>
        </is>
      </c>
      <c r="F3070" s="18" t="inlineStr">
        <is>
          <t>dudunsparce</t>
        </is>
      </c>
      <c r="G3070" s="18" t="inlineStr">
        <is>
          <t>dudunsparce landsnake_form=two-segment</t>
        </is>
      </c>
      <c r="H3070" s="18" t="inlineStr">
        <is>
          <t>landsnake_form=two-segment</t>
        </is>
      </c>
      <c r="I3070" s="18" t="n">
        <v>9</v>
      </c>
      <c r="J3070" s="18" t="n"/>
      <c r="K3070" s="18" t="n">
        <v>9</v>
      </c>
      <c r="L3070" s="18" t="inlineStr">
        <is>
          <t>cobbleventure:generation_9</t>
        </is>
      </c>
      <c r="M3070" s="19" t="inlineStr">
        <is>
          <t>cobbleventure:generation_9</t>
        </is>
      </c>
      <c r="N3070" s="18" t="inlineStr">
        <is>
          <t>region_01; region_02</t>
        </is>
      </c>
      <c r="O3070" s="19" t="inlineStr"/>
      <c r="P3070" s="18" t="inlineStr">
        <is>
          <t>#cobblemon:is_overworld</t>
        </is>
      </c>
      <c r="Q3070" s="19" t="inlineStr"/>
      <c r="R3070" s="18">
        <f>IF(Q3070="",P3070,Q3070)</f>
        <v/>
      </c>
      <c r="S3070" s="18" t="inlineStr">
        <is>
          <t>#cobblemon:is_deep_dark</t>
        </is>
      </c>
      <c r="T3070" s="18" t="inlineStr">
        <is>
          <t>uncommon</t>
        </is>
      </c>
      <c r="U3070" s="20" t="n">
        <v>0.3168</v>
      </c>
      <c r="V3070" s="21" t="n">
        <v>1</v>
      </c>
      <c r="W3070" s="20">
        <f>IF(OR(U3070="",V3070=""),U3070,U3070*V3070)</f>
        <v/>
      </c>
      <c r="X3070" s="18" t="inlineStr">
        <is>
          <t>32-52</t>
        </is>
      </c>
      <c r="Y3070" s="19" t="inlineStr"/>
      <c r="Z3070" s="18">
        <f>IF(Y3070="",X3070,Y3070)</f>
        <v/>
      </c>
      <c r="AA3070" s="18" t="inlineStr">
        <is>
          <t>grounded</t>
        </is>
      </c>
      <c r="AB3070" s="18" t="inlineStr"/>
      <c r="AC3070" s="18" t="inlineStr"/>
      <c r="AD3070" s="18" t="inlineStr"/>
      <c r="AE3070" s="18" t="inlineStr">
        <is>
          <t>sky 0-7</t>
        </is>
      </c>
      <c r="AF3070" s="18" t="inlineStr"/>
      <c r="AG3070" s="18" t="inlineStr"/>
      <c r="AH3070" s="18" t="inlineStr"/>
      <c r="AI3070" s="18" t="inlineStr"/>
      <c r="AJ3070" s="18" t="inlineStr">
        <is>
          <t>Cobblemon 동일</t>
        </is>
      </c>
      <c r="AK3070" s="18" t="inlineStr">
        <is>
          <t>사용</t>
        </is>
      </c>
      <c r="AL3070" s="18" t="inlineStr">
        <is>
          <t>COBBLEVERSE 1.7.42 / DP v31</t>
        </is>
      </c>
      <c r="AM3070" s="18" t="inlineStr">
        <is>
          <t>data/cobblemon/spawn_pool_world/0982_dudunsparce.json</t>
        </is>
      </c>
      <c r="AN3070" s="18" t="inlineStr">
        <is>
          <t>dudunsparce-two-segment-1</t>
        </is>
      </c>
      <c r="AO3070" s="18" t="inlineStr">
        <is>
          <t>pokemon</t>
        </is>
      </c>
      <c r="AP3070" s="18" t="inlineStr">
        <is>
          <t>natural</t>
        </is>
      </c>
      <c r="AQ3070" s="18" t="inlineStr">
        <is>
          <t>{"biomes":["#cobblemon:is_overworld"],"maxSkyLight":7,"minSkyLight":0}</t>
        </is>
      </c>
      <c r="AR3070" s="18" t="inlineStr">
        <is>
          <t>{"biomes":["#cobblemon:is_deep_dark"]}</t>
        </is>
      </c>
      <c r="AS3070" s="18" t="inlineStr"/>
      <c r="AT3070" s="19" t="inlineStr"/>
    </row>
    <row r="3071" ht="32" customHeight="1">
      <c r="A3071" s="18" t="inlineStr">
        <is>
          <t>0982_dudunsparce.json::dudunsparce-three-segment-2::002</t>
        </is>
      </c>
      <c r="B3071" s="19" t="inlineStr">
        <is>
          <t>사용</t>
        </is>
      </c>
      <c r="C3071" s="18">
        <f>IF(OR(B3071&lt;&gt;AK3071,M3071&lt;&gt;L3071,O3071&lt;&gt;"",Q3071&lt;&gt;"",V3071&lt;&gt;1,Y3071&lt;&gt;"",AT3071&lt;&gt;""),"수정","원본")</f>
        <v/>
      </c>
      <c r="D3071" s="18" t="n">
        <v>982</v>
      </c>
      <c r="E3071" s="18" t="inlineStr">
        <is>
          <t>노고고치</t>
        </is>
      </c>
      <c r="F3071" s="18" t="inlineStr">
        <is>
          <t>dudunsparce</t>
        </is>
      </c>
      <c r="G3071" s="18" t="inlineStr">
        <is>
          <t>dudunsparce landsnake_form=three-segment</t>
        </is>
      </c>
      <c r="H3071" s="18" t="inlineStr">
        <is>
          <t>landsnake_form=three-segment</t>
        </is>
      </c>
      <c r="I3071" s="18" t="n">
        <v>9</v>
      </c>
      <c r="J3071" s="18" t="n"/>
      <c r="K3071" s="18" t="n">
        <v>9</v>
      </c>
      <c r="L3071" s="18" t="inlineStr">
        <is>
          <t>cobbleventure:generation_9</t>
        </is>
      </c>
      <c r="M3071" s="19" t="inlineStr">
        <is>
          <t>cobbleventure:generation_9</t>
        </is>
      </c>
      <c r="N3071" s="18" t="inlineStr">
        <is>
          <t>region_01; region_02</t>
        </is>
      </c>
      <c r="O3071" s="19" t="inlineStr"/>
      <c r="P3071" s="18" t="inlineStr">
        <is>
          <t>#cobblemon:is_overworld</t>
        </is>
      </c>
      <c r="Q3071" s="19" t="inlineStr"/>
      <c r="R3071" s="18">
        <f>IF(Q3071="",P3071,Q3071)</f>
        <v/>
      </c>
      <c r="S3071" s="18" t="inlineStr">
        <is>
          <t>#cobblemon:is_deep_dark</t>
        </is>
      </c>
      <c r="T3071" s="18" t="inlineStr">
        <is>
          <t>uncommon</t>
        </is>
      </c>
      <c r="U3071" s="20" t="n">
        <v>0.0032</v>
      </c>
      <c r="V3071" s="21" t="n">
        <v>1</v>
      </c>
      <c r="W3071" s="20">
        <f>IF(OR(U3071="",V3071=""),U3071,U3071*V3071)</f>
        <v/>
      </c>
      <c r="X3071" s="18" t="inlineStr">
        <is>
          <t>32-52</t>
        </is>
      </c>
      <c r="Y3071" s="19" t="inlineStr"/>
      <c r="Z3071" s="18">
        <f>IF(Y3071="",X3071,Y3071)</f>
        <v/>
      </c>
      <c r="AA3071" s="18" t="inlineStr">
        <is>
          <t>grounded</t>
        </is>
      </c>
      <c r="AB3071" s="18" t="inlineStr"/>
      <c r="AC3071" s="18" t="inlineStr"/>
      <c r="AD3071" s="18" t="inlineStr"/>
      <c r="AE3071" s="18" t="inlineStr">
        <is>
          <t>sky 0-7</t>
        </is>
      </c>
      <c r="AF3071" s="18" t="inlineStr"/>
      <c r="AG3071" s="18" t="inlineStr"/>
      <c r="AH3071" s="18" t="inlineStr"/>
      <c r="AI3071" s="18" t="inlineStr"/>
      <c r="AJ3071" s="18" t="inlineStr">
        <is>
          <t>Cobblemon 동일</t>
        </is>
      </c>
      <c r="AK3071" s="18" t="inlineStr">
        <is>
          <t>사용</t>
        </is>
      </c>
      <c r="AL3071" s="18" t="inlineStr">
        <is>
          <t>COBBLEVERSE 1.7.42 / DP v31</t>
        </is>
      </c>
      <c r="AM3071" s="18" t="inlineStr">
        <is>
          <t>data/cobblemon/spawn_pool_world/0982_dudunsparce.json</t>
        </is>
      </c>
      <c r="AN3071" s="18" t="inlineStr">
        <is>
          <t>dudunsparce-three-segment-2</t>
        </is>
      </c>
      <c r="AO3071" s="18" t="inlineStr">
        <is>
          <t>pokemon</t>
        </is>
      </c>
      <c r="AP3071" s="18" t="inlineStr">
        <is>
          <t>natural</t>
        </is>
      </c>
      <c r="AQ3071" s="18" t="inlineStr">
        <is>
          <t>{"biomes":["#cobblemon:is_overworld"],"maxSkyLight":7,"minSkyLight":0}</t>
        </is>
      </c>
      <c r="AR3071" s="18" t="inlineStr">
        <is>
          <t>{"biomes":["#cobblemon:is_deep_dark"]}</t>
        </is>
      </c>
      <c r="AS3071" s="18" t="inlineStr"/>
      <c r="AT3071" s="19" t="inlineStr"/>
    </row>
    <row r="3072" ht="32" customHeight="1">
      <c r="A3072" s="18" t="inlineStr">
        <is>
          <t>0983_kingambit.json::kingambit-1::001</t>
        </is>
      </c>
      <c r="B3072" s="19" t="inlineStr">
        <is>
          <t>사용</t>
        </is>
      </c>
      <c r="C3072" s="18">
        <f>IF(OR(B3072&lt;&gt;AK3072,M3072&lt;&gt;L3072,O3072&lt;&gt;"",Q3072&lt;&gt;"",V3072&lt;&gt;1,Y3072&lt;&gt;"",AT3072&lt;&gt;""),"수정","원본")</f>
        <v/>
      </c>
      <c r="D3072" s="18" t="n">
        <v>983</v>
      </c>
      <c r="E3072" s="18" t="inlineStr">
        <is>
          <t>대도각참</t>
        </is>
      </c>
      <c r="F3072" s="18" t="inlineStr">
        <is>
          <t>kingambit</t>
        </is>
      </c>
      <c r="G3072" s="18" t="inlineStr">
        <is>
          <t>kingambit</t>
        </is>
      </c>
      <c r="H3072" s="18" t="inlineStr"/>
      <c r="I3072" s="18" t="n">
        <v>9</v>
      </c>
      <c r="J3072" s="18" t="n"/>
      <c r="K3072" s="18" t="n">
        <v>9</v>
      </c>
      <c r="L3072" s="18" t="inlineStr">
        <is>
          <t>cobbleventure:generation_9</t>
        </is>
      </c>
      <c r="M3072" s="19" t="inlineStr">
        <is>
          <t>cobbleventure:generation_9</t>
        </is>
      </c>
      <c r="N3072" s="18" t="inlineStr"/>
      <c r="O3072" s="19" t="inlineStr"/>
      <c r="P3072" s="18" t="inlineStr">
        <is>
          <t>minecraft:bamboo_jungle</t>
        </is>
      </c>
      <c r="Q3072" s="19" t="inlineStr"/>
      <c r="R3072" s="18">
        <f>IF(Q3072="",P3072,Q3072)</f>
        <v/>
      </c>
      <c r="S3072" s="18" t="inlineStr"/>
      <c r="T3072" s="18" t="inlineStr">
        <is>
          <t>ultra-rare</t>
        </is>
      </c>
      <c r="U3072" s="20" t="n">
        <v>1</v>
      </c>
      <c r="V3072" s="21" t="n">
        <v>1</v>
      </c>
      <c r="W3072" s="20">
        <f>IF(OR(U3072="",V3072=""),U3072,U3072*V3072)</f>
        <v/>
      </c>
      <c r="X3072" s="18" t="inlineStr">
        <is>
          <t>72-85</t>
        </is>
      </c>
      <c r="Y3072" s="19" t="inlineStr"/>
      <c r="Z3072" s="18">
        <f>IF(Y3072="",X3072,Y3072)</f>
        <v/>
      </c>
      <c r="AA3072" s="18" t="inlineStr">
        <is>
          <t>grounded</t>
        </is>
      </c>
      <c r="AB3072" s="18" t="inlineStr"/>
      <c r="AC3072" s="18" t="inlineStr"/>
      <c r="AD3072" s="18" t="inlineStr"/>
      <c r="AE3072" s="18" t="inlineStr"/>
      <c r="AF3072" s="18" t="inlineStr"/>
      <c r="AG3072" s="18" t="inlineStr"/>
      <c r="AH3072" s="18" t="inlineStr"/>
      <c r="AI3072" s="18" t="inlineStr"/>
      <c r="AJ3072" s="18" t="inlineStr">
        <is>
          <t>COBBLEVERSE 추가</t>
        </is>
      </c>
      <c r="AK3072" s="18" t="inlineStr">
        <is>
          <t>사용</t>
        </is>
      </c>
      <c r="AL3072" s="18" t="inlineStr">
        <is>
          <t>COBBLEVERSE 1.7.42 / DP v31</t>
        </is>
      </c>
      <c r="AM3072" s="18" t="inlineStr">
        <is>
          <t>data/cobblemon/spawn_pool_world/0983_kingambit.json</t>
        </is>
      </c>
      <c r="AN3072" s="18" t="inlineStr">
        <is>
          <t>kingambit-1</t>
        </is>
      </c>
      <c r="AO3072" s="18" t="inlineStr">
        <is>
          <t>pokemon</t>
        </is>
      </c>
      <c r="AP3072" s="18" t="inlineStr">
        <is>
          <t>natural</t>
        </is>
      </c>
      <c r="AQ3072" s="18" t="inlineStr">
        <is>
          <t>{"biomes":["minecraft:bamboo_jungle"]}</t>
        </is>
      </c>
      <c r="AR3072" s="18" t="inlineStr"/>
      <c r="AS3072" s="18" t="inlineStr"/>
      <c r="AT3072" s="19" t="inlineStr"/>
    </row>
    <row r="3073" ht="32" customHeight="1">
      <c r="A3073" s="18" t="inlineStr">
        <is>
          <t>0984_greattusk.json::greattusk-1::001</t>
        </is>
      </c>
      <c r="B3073" s="19" t="inlineStr">
        <is>
          <t>사용</t>
        </is>
      </c>
      <c r="C3073" s="18">
        <f>IF(OR(B3073&lt;&gt;AK3073,M3073&lt;&gt;L3073,O3073&lt;&gt;"",Q3073&lt;&gt;"",V3073&lt;&gt;1,Y3073&lt;&gt;"",AT3073&lt;&gt;""),"수정","원본")</f>
        <v/>
      </c>
      <c r="D3073" s="18" t="n">
        <v>984</v>
      </c>
      <c r="E3073" s="18" t="inlineStr">
        <is>
          <t>위대한엄니</t>
        </is>
      </c>
      <c r="F3073" s="18" t="inlineStr">
        <is>
          <t>greattusk</t>
        </is>
      </c>
      <c r="G3073" s="18" t="inlineStr">
        <is>
          <t>greattusk</t>
        </is>
      </c>
      <c r="H3073" s="18" t="inlineStr"/>
      <c r="I3073" s="18" t="n">
        <v>9</v>
      </c>
      <c r="J3073" s="18" t="n"/>
      <c r="K3073" s="18" t="n">
        <v>9</v>
      </c>
      <c r="L3073" s="18" t="inlineStr">
        <is>
          <t>cobbleventure:generation_9</t>
        </is>
      </c>
      <c r="M3073" s="19" t="inlineStr">
        <is>
          <t>cobbleventure:generation_9</t>
        </is>
      </c>
      <c r="N3073" s="18" t="inlineStr">
        <is>
          <t>region_02</t>
        </is>
      </c>
      <c r="O3073" s="19" t="inlineStr"/>
      <c r="P3073" s="18" t="inlineStr">
        <is>
          <t>#cobblemon:is_arid</t>
        </is>
      </c>
      <c r="Q3073" s="19" t="inlineStr"/>
      <c r="R3073" s="18">
        <f>IF(Q3073="",P3073,Q3073)</f>
        <v/>
      </c>
      <c r="S3073" s="18" t="inlineStr"/>
      <c r="T3073" s="18" t="inlineStr">
        <is>
          <t>rare</t>
        </is>
      </c>
      <c r="U3073" s="20" t="n">
        <v>3</v>
      </c>
      <c r="V3073" s="21" t="n">
        <v>1</v>
      </c>
      <c r="W3073" s="20">
        <f>IF(OR(U3073="",V3073=""),U3073,U3073*V3073)</f>
        <v/>
      </c>
      <c r="X3073" s="18" t="inlineStr">
        <is>
          <t>40-65</t>
        </is>
      </c>
      <c r="Y3073" s="19" t="inlineStr"/>
      <c r="Z3073" s="18">
        <f>IF(Y3073="",X3073,Y3073)</f>
        <v/>
      </c>
      <c r="AA3073" s="18" t="inlineStr">
        <is>
          <t>grounded</t>
        </is>
      </c>
      <c r="AB3073" s="18" t="inlineStr"/>
      <c r="AC3073" s="18" t="inlineStr"/>
      <c r="AD3073" s="18" t="inlineStr"/>
      <c r="AE3073" s="18" t="inlineStr"/>
      <c r="AF3073" s="18" t="inlineStr">
        <is>
          <t>True</t>
        </is>
      </c>
      <c r="AG3073" s="18" t="inlineStr"/>
      <c r="AH3073" s="18" t="inlineStr"/>
      <c r="AI3073" s="18" t="inlineStr"/>
      <c r="AJ3073" s="18" t="inlineStr">
        <is>
          <t>COBBLEVERSE 추가</t>
        </is>
      </c>
      <c r="AK3073" s="18" t="inlineStr">
        <is>
          <t>사용</t>
        </is>
      </c>
      <c r="AL3073" s="18" t="inlineStr">
        <is>
          <t>COBBLEVERSE 1.7.42 / DP v31</t>
        </is>
      </c>
      <c r="AM3073" s="18" t="inlineStr">
        <is>
          <t>data/cobblemon/spawn_pool_world/0984_greattusk.json</t>
        </is>
      </c>
      <c r="AN3073" s="18" t="inlineStr">
        <is>
          <t>greattusk-1</t>
        </is>
      </c>
      <c r="AO3073" s="18" t="inlineStr">
        <is>
          <t>pokemon</t>
        </is>
      </c>
      <c r="AP3073" s="18" t="inlineStr">
        <is>
          <t>natural</t>
        </is>
      </c>
      <c r="AQ3073" s="18" t="inlineStr">
        <is>
          <t>{"biomes":["#cobblemon:is_arid"],"canSeeSky":true}</t>
        </is>
      </c>
      <c r="AR3073" s="18" t="inlineStr"/>
      <c r="AS3073" s="18" t="inlineStr"/>
      <c r="AT3073" s="19" t="inlineStr"/>
    </row>
    <row r="3074" ht="32" customHeight="1">
      <c r="A3074" s="18" t="inlineStr">
        <is>
          <t>0985_screamtail.json::screamtail-1::001</t>
        </is>
      </c>
      <c r="B3074" s="19" t="inlineStr">
        <is>
          <t>사용</t>
        </is>
      </c>
      <c r="C3074" s="18">
        <f>IF(OR(B3074&lt;&gt;AK3074,M3074&lt;&gt;L3074,O3074&lt;&gt;"",Q3074&lt;&gt;"",V3074&lt;&gt;1,Y3074&lt;&gt;"",AT3074&lt;&gt;""),"수정","원본")</f>
        <v/>
      </c>
      <c r="D3074" s="18" t="n">
        <v>985</v>
      </c>
      <c r="E3074" s="18" t="inlineStr">
        <is>
          <t>우렁찬꼬리</t>
        </is>
      </c>
      <c r="F3074" s="18" t="inlineStr">
        <is>
          <t>screamtail</t>
        </is>
      </c>
      <c r="G3074" s="18" t="inlineStr">
        <is>
          <t>screamtail</t>
        </is>
      </c>
      <c r="H3074" s="18" t="inlineStr"/>
      <c r="I3074" s="18" t="n">
        <v>9</v>
      </c>
      <c r="J3074" s="18" t="n"/>
      <c r="K3074" s="18" t="n">
        <v>9</v>
      </c>
      <c r="L3074" s="18" t="inlineStr">
        <is>
          <t>cobbleventure:generation_9</t>
        </is>
      </c>
      <c r="M3074" s="19" t="inlineStr">
        <is>
          <t>cobbleventure:generation_9</t>
        </is>
      </c>
      <c r="N3074" s="18" t="inlineStr"/>
      <c r="O3074" s="19" t="inlineStr"/>
      <c r="P3074" s="18" t="inlineStr">
        <is>
          <t>#cobblemon:is_floral</t>
        </is>
      </c>
      <c r="Q3074" s="19" t="inlineStr"/>
      <c r="R3074" s="18">
        <f>IF(Q3074="",P3074,Q3074)</f>
        <v/>
      </c>
      <c r="S3074" s="18" t="inlineStr"/>
      <c r="T3074" s="18" t="inlineStr">
        <is>
          <t>rare</t>
        </is>
      </c>
      <c r="U3074" s="20" t="n">
        <v>3</v>
      </c>
      <c r="V3074" s="21" t="n">
        <v>1</v>
      </c>
      <c r="W3074" s="20">
        <f>IF(OR(U3074="",V3074=""),U3074,U3074*V3074)</f>
        <v/>
      </c>
      <c r="X3074" s="18" t="inlineStr">
        <is>
          <t>40-65</t>
        </is>
      </c>
      <c r="Y3074" s="19" t="inlineStr"/>
      <c r="Z3074" s="18">
        <f>IF(Y3074="",X3074,Y3074)</f>
        <v/>
      </c>
      <c r="AA3074" s="18" t="inlineStr"/>
      <c r="AB3074" s="18" t="inlineStr"/>
      <c r="AC3074" s="18" t="inlineStr">
        <is>
          <t>비=True</t>
        </is>
      </c>
      <c r="AD3074" s="18" t="inlineStr"/>
      <c r="AE3074" s="18" t="inlineStr"/>
      <c r="AF3074" s="18" t="inlineStr"/>
      <c r="AG3074" s="18" t="inlineStr"/>
      <c r="AH3074" s="18" t="inlineStr"/>
      <c r="AI3074" s="18" t="inlineStr">
        <is>
          <t>{"spawn":{"context":"grounded"}}</t>
        </is>
      </c>
      <c r="AJ3074" s="18" t="inlineStr">
        <is>
          <t>COBBLEVERSE 추가</t>
        </is>
      </c>
      <c r="AK3074" s="18" t="inlineStr">
        <is>
          <t>사용</t>
        </is>
      </c>
      <c r="AL3074" s="18" t="inlineStr">
        <is>
          <t>COBBLEVERSE 1.7.42 / DP v31</t>
        </is>
      </c>
      <c r="AM3074" s="18" t="inlineStr">
        <is>
          <t>data/cobblemon/spawn_pool_world/0985_screamtail.json</t>
        </is>
      </c>
      <c r="AN3074" s="18" t="inlineStr">
        <is>
          <t>screamtail-1</t>
        </is>
      </c>
      <c r="AO3074" s="18" t="inlineStr">
        <is>
          <t>pokemon</t>
        </is>
      </c>
      <c r="AP3074" s="18" t="inlineStr">
        <is>
          <t>natural</t>
        </is>
      </c>
      <c r="AQ3074" s="18" t="inlineStr">
        <is>
          <t>{"biomes":["#cobblemon:is_floral"],"isRaining":true}</t>
        </is>
      </c>
      <c r="AR3074" s="18" t="inlineStr"/>
      <c r="AS3074" s="18" t="inlineStr"/>
      <c r="AT3074" s="19" t="inlineStr"/>
    </row>
    <row r="3075" ht="32" customHeight="1">
      <c r="A3075" s="18" t="inlineStr">
        <is>
          <t>0986_brutebonnet.json::brutebonnet-1::001</t>
        </is>
      </c>
      <c r="B3075" s="19" t="inlineStr">
        <is>
          <t>사용</t>
        </is>
      </c>
      <c r="C3075" s="18">
        <f>IF(OR(B3075&lt;&gt;AK3075,M3075&lt;&gt;L3075,O3075&lt;&gt;"",Q3075&lt;&gt;"",V3075&lt;&gt;1,Y3075&lt;&gt;"",AT3075&lt;&gt;""),"수정","원본")</f>
        <v/>
      </c>
      <c r="D3075" s="18" t="n">
        <v>986</v>
      </c>
      <c r="E3075" s="18" t="inlineStr">
        <is>
          <t>사나운버섯</t>
        </is>
      </c>
      <c r="F3075" s="18" t="inlineStr">
        <is>
          <t>brutebonnet</t>
        </is>
      </c>
      <c r="G3075" s="18" t="inlineStr">
        <is>
          <t>brutebonnet</t>
        </is>
      </c>
      <c r="H3075" s="18" t="inlineStr"/>
      <c r="I3075" s="18" t="n">
        <v>9</v>
      </c>
      <c r="J3075" s="18" t="n"/>
      <c r="K3075" s="18" t="n">
        <v>9</v>
      </c>
      <c r="L3075" s="18" t="inlineStr">
        <is>
          <t>cobbleventure:generation_9</t>
        </is>
      </c>
      <c r="M3075" s="19" t="inlineStr">
        <is>
          <t>cobbleventure:generation_9</t>
        </is>
      </c>
      <c r="N3075" s="18" t="inlineStr"/>
      <c r="O3075" s="19" t="inlineStr"/>
      <c r="P3075" s="18" t="inlineStr">
        <is>
          <t>#cobblemon:is_jungle</t>
        </is>
      </c>
      <c r="Q3075" s="19" t="inlineStr"/>
      <c r="R3075" s="18">
        <f>IF(Q3075="",P3075,Q3075)</f>
        <v/>
      </c>
      <c r="S3075" s="18" t="inlineStr"/>
      <c r="T3075" s="18" t="inlineStr">
        <is>
          <t>rare</t>
        </is>
      </c>
      <c r="U3075" s="20" t="n">
        <v>2</v>
      </c>
      <c r="V3075" s="21" t="n">
        <v>1</v>
      </c>
      <c r="W3075" s="20">
        <f>IF(OR(U3075="",V3075=""),U3075,U3075*V3075)</f>
        <v/>
      </c>
      <c r="X3075" s="18" t="inlineStr">
        <is>
          <t>45-60</t>
        </is>
      </c>
      <c r="Y3075" s="19" t="inlineStr"/>
      <c r="Z3075" s="18">
        <f>IF(Y3075="",X3075,Y3075)</f>
        <v/>
      </c>
      <c r="AA3075" s="18" t="inlineStr">
        <is>
          <t>grounded</t>
        </is>
      </c>
      <c r="AB3075" s="18" t="inlineStr"/>
      <c r="AC3075" s="18" t="inlineStr"/>
      <c r="AD3075" s="18" t="inlineStr"/>
      <c r="AE3075" s="18" t="inlineStr"/>
      <c r="AF3075" s="18" t="inlineStr"/>
      <c r="AG3075" s="18" t="inlineStr"/>
      <c r="AH3075" s="18" t="inlineStr"/>
      <c r="AI3075" s="18" t="inlineStr"/>
      <c r="AJ3075" s="18" t="inlineStr">
        <is>
          <t>COBBLEVERSE 추가</t>
        </is>
      </c>
      <c r="AK3075" s="18" t="inlineStr">
        <is>
          <t>사용</t>
        </is>
      </c>
      <c r="AL3075" s="18" t="inlineStr">
        <is>
          <t>COBBLEVERSE 1.7.42 / DP v31</t>
        </is>
      </c>
      <c r="AM3075" s="18" t="inlineStr">
        <is>
          <t>data/cobblemon/spawn_pool_world/0986_brutebonnet.json</t>
        </is>
      </c>
      <c r="AN3075" s="18" t="inlineStr">
        <is>
          <t>brutebonnet-1</t>
        </is>
      </c>
      <c r="AO3075" s="18" t="inlineStr">
        <is>
          <t>pokemon</t>
        </is>
      </c>
      <c r="AP3075" s="18" t="inlineStr">
        <is>
          <t>natural</t>
        </is>
      </c>
      <c r="AQ3075" s="18" t="inlineStr">
        <is>
          <t>{"biomes":["#cobblemon:is_jungle"]}</t>
        </is>
      </c>
      <c r="AR3075" s="18" t="inlineStr"/>
      <c r="AS3075" s="18" t="inlineStr"/>
      <c r="AT3075" s="19" t="inlineStr"/>
    </row>
    <row r="3076" ht="32" customHeight="1">
      <c r="A3076" s="18" t="inlineStr">
        <is>
          <t>0987_fluttermane.json::fluttermane-1::001</t>
        </is>
      </c>
      <c r="B3076" s="19" t="inlineStr">
        <is>
          <t>사용</t>
        </is>
      </c>
      <c r="C3076" s="18">
        <f>IF(OR(B3076&lt;&gt;AK3076,M3076&lt;&gt;L3076,O3076&lt;&gt;"",Q3076&lt;&gt;"",V3076&lt;&gt;1,Y3076&lt;&gt;"",AT3076&lt;&gt;""),"수정","원본")</f>
        <v/>
      </c>
      <c r="D3076" s="18" t="n">
        <v>987</v>
      </c>
      <c r="E3076" s="18" t="inlineStr">
        <is>
          <t>날개치는머리</t>
        </is>
      </c>
      <c r="F3076" s="18" t="inlineStr">
        <is>
          <t>fluttermane</t>
        </is>
      </c>
      <c r="G3076" s="18" t="inlineStr">
        <is>
          <t>fluttermane</t>
        </is>
      </c>
      <c r="H3076" s="18" t="inlineStr"/>
      <c r="I3076" s="18" t="n">
        <v>9</v>
      </c>
      <c r="J3076" s="18" t="n"/>
      <c r="K3076" s="18" t="n">
        <v>9</v>
      </c>
      <c r="L3076" s="18" t="inlineStr">
        <is>
          <t>cobbleventure:generation_9</t>
        </is>
      </c>
      <c r="M3076" s="19" t="inlineStr">
        <is>
          <t>cobbleventure:generation_9</t>
        </is>
      </c>
      <c r="N3076" s="18" t="inlineStr"/>
      <c r="O3076" s="19" t="inlineStr"/>
      <c r="P3076" s="18" t="inlineStr">
        <is>
          <t>#cobblemon:is_spooky; minecraft:deep_dark</t>
        </is>
      </c>
      <c r="Q3076" s="19" t="inlineStr"/>
      <c r="R3076" s="18">
        <f>IF(Q3076="",P3076,Q3076)</f>
        <v/>
      </c>
      <c r="S3076" s="18" t="inlineStr"/>
      <c r="T3076" s="18" t="inlineStr">
        <is>
          <t>rare</t>
        </is>
      </c>
      <c r="U3076" s="20" t="n">
        <v>1.5</v>
      </c>
      <c r="V3076" s="21" t="n">
        <v>1</v>
      </c>
      <c r="W3076" s="20">
        <f>IF(OR(U3076="",V3076=""),U3076,U3076*V3076)</f>
        <v/>
      </c>
      <c r="X3076" s="18" t="inlineStr">
        <is>
          <t>45-60</t>
        </is>
      </c>
      <c r="Y3076" s="19" t="inlineStr"/>
      <c r="Z3076" s="18">
        <f>IF(Y3076="",X3076,Y3076)</f>
        <v/>
      </c>
      <c r="AA3076" s="18" t="inlineStr">
        <is>
          <t>grounded</t>
        </is>
      </c>
      <c r="AB3076" s="18" t="inlineStr">
        <is>
          <t>night</t>
        </is>
      </c>
      <c r="AC3076" s="18" t="inlineStr"/>
      <c r="AD3076" s="18" t="inlineStr"/>
      <c r="AE3076" s="18" t="inlineStr"/>
      <c r="AF3076" s="18" t="inlineStr"/>
      <c r="AG3076" s="18" t="inlineStr"/>
      <c r="AH3076" s="18" t="inlineStr"/>
      <c r="AI3076" s="18" t="inlineStr">
        <is>
          <t>{"spawn":{"timeRange":"night"}}</t>
        </is>
      </c>
      <c r="AJ3076" s="18" t="inlineStr">
        <is>
          <t>COBBLEVERSE 추가</t>
        </is>
      </c>
      <c r="AK3076" s="18" t="inlineStr">
        <is>
          <t>사용</t>
        </is>
      </c>
      <c r="AL3076" s="18" t="inlineStr">
        <is>
          <t>COBBLEVERSE 1.7.42 / DP v31</t>
        </is>
      </c>
      <c r="AM3076" s="18" t="inlineStr">
        <is>
          <t>data/cobblemon/spawn_pool_world/0987_fluttermane.json</t>
        </is>
      </c>
      <c r="AN3076" s="18" t="inlineStr">
        <is>
          <t>fluttermane-1</t>
        </is>
      </c>
      <c r="AO3076" s="18" t="inlineStr">
        <is>
          <t>pokemon</t>
        </is>
      </c>
      <c r="AP3076" s="18" t="inlineStr">
        <is>
          <t>natural</t>
        </is>
      </c>
      <c r="AQ3076" s="18" t="inlineStr">
        <is>
          <t>{"biomes":["#cobblemon:is_spooky","minecraft:deep_dark"]}</t>
        </is>
      </c>
      <c r="AR3076" s="18" t="inlineStr"/>
      <c r="AS3076" s="18" t="inlineStr"/>
      <c r="AT3076" s="19" t="inlineStr"/>
    </row>
    <row r="3077" ht="32" customHeight="1">
      <c r="A3077" s="18" t="inlineStr">
        <is>
          <t>0988_slitherwing.json::slitherwing-1::001</t>
        </is>
      </c>
      <c r="B3077" s="19" t="inlineStr">
        <is>
          <t>사용</t>
        </is>
      </c>
      <c r="C3077" s="18">
        <f>IF(OR(B3077&lt;&gt;AK3077,M3077&lt;&gt;L3077,O3077&lt;&gt;"",Q3077&lt;&gt;"",V3077&lt;&gt;1,Y3077&lt;&gt;"",AT3077&lt;&gt;""),"수정","원본")</f>
        <v/>
      </c>
      <c r="D3077" s="18" t="n">
        <v>988</v>
      </c>
      <c r="E3077" s="18" t="inlineStr">
        <is>
          <t>땅을기는날개</t>
        </is>
      </c>
      <c r="F3077" s="18" t="inlineStr">
        <is>
          <t>slitherwing</t>
        </is>
      </c>
      <c r="G3077" s="18" t="inlineStr">
        <is>
          <t>slitherwing</t>
        </is>
      </c>
      <c r="H3077" s="18" t="inlineStr"/>
      <c r="I3077" s="18" t="n">
        <v>9</v>
      </c>
      <c r="J3077" s="18" t="n"/>
      <c r="K3077" s="18" t="n">
        <v>9</v>
      </c>
      <c r="L3077" s="18" t="inlineStr">
        <is>
          <t>cobbleventure:generation_9</t>
        </is>
      </c>
      <c r="M3077" s="19" t="inlineStr">
        <is>
          <t>cobbleventure:generation_9</t>
        </is>
      </c>
      <c r="N3077" s="18" t="inlineStr"/>
      <c r="O3077" s="19" t="inlineStr"/>
      <c r="P3077" s="18" t="inlineStr">
        <is>
          <t>#cobblemon:is_jungle</t>
        </is>
      </c>
      <c r="Q3077" s="19" t="inlineStr"/>
      <c r="R3077" s="18">
        <f>IF(Q3077="",P3077,Q3077)</f>
        <v/>
      </c>
      <c r="S3077" s="18" t="inlineStr"/>
      <c r="T3077" s="18" t="inlineStr">
        <is>
          <t>ultra-rare</t>
        </is>
      </c>
      <c r="U3077" s="20" t="n">
        <v>1.8</v>
      </c>
      <c r="V3077" s="21" t="n">
        <v>1</v>
      </c>
      <c r="W3077" s="20">
        <f>IF(OR(U3077="",V3077=""),U3077,U3077*V3077)</f>
        <v/>
      </c>
      <c r="X3077" s="18" t="inlineStr">
        <is>
          <t>47-62</t>
        </is>
      </c>
      <c r="Y3077" s="19" t="inlineStr"/>
      <c r="Z3077" s="18">
        <f>IF(Y3077="",X3077,Y3077)</f>
        <v/>
      </c>
      <c r="AA3077" s="18" t="inlineStr">
        <is>
          <t>grounded</t>
        </is>
      </c>
      <c r="AB3077" s="18" t="inlineStr"/>
      <c r="AC3077" s="18" t="inlineStr"/>
      <c r="AD3077" s="18" t="inlineStr"/>
      <c r="AE3077" s="18" t="inlineStr"/>
      <c r="AF3077" s="18" t="inlineStr">
        <is>
          <t>True</t>
        </is>
      </c>
      <c r="AG3077" s="18" t="inlineStr"/>
      <c r="AH3077" s="18" t="inlineStr"/>
      <c r="AI3077" s="18" t="inlineStr"/>
      <c r="AJ3077" s="18" t="inlineStr">
        <is>
          <t>COBBLEVERSE 추가</t>
        </is>
      </c>
      <c r="AK3077" s="18" t="inlineStr">
        <is>
          <t>사용</t>
        </is>
      </c>
      <c r="AL3077" s="18" t="inlineStr">
        <is>
          <t>COBBLEVERSE 1.7.42 / DP v31</t>
        </is>
      </c>
      <c r="AM3077" s="18" t="inlineStr">
        <is>
          <t>data/cobblemon/spawn_pool_world/0988_slitherwing.json</t>
        </is>
      </c>
      <c r="AN3077" s="18" t="inlineStr">
        <is>
          <t>slitherwing-1</t>
        </is>
      </c>
      <c r="AO3077" s="18" t="inlineStr">
        <is>
          <t>pokemon</t>
        </is>
      </c>
      <c r="AP3077" s="18" t="inlineStr">
        <is>
          <t>natural</t>
        </is>
      </c>
      <c r="AQ3077" s="18" t="inlineStr">
        <is>
          <t>{"biomes":["#cobblemon:is_jungle"],"canSeeSky":true}</t>
        </is>
      </c>
      <c r="AR3077" s="18" t="inlineStr"/>
      <c r="AS3077" s="18" t="inlineStr"/>
      <c r="AT3077" s="19" t="inlineStr"/>
    </row>
    <row r="3078" ht="32" customHeight="1">
      <c r="A3078" s="18" t="inlineStr">
        <is>
          <t>0988_slitherwing.json::slitherwing-2::002</t>
        </is>
      </c>
      <c r="B3078" s="19" t="inlineStr">
        <is>
          <t>사용</t>
        </is>
      </c>
      <c r="C3078" s="18">
        <f>IF(OR(B3078&lt;&gt;AK3078,M3078&lt;&gt;L3078,O3078&lt;&gt;"",Q3078&lt;&gt;"",V3078&lt;&gt;1,Y3078&lt;&gt;"",AT3078&lt;&gt;""),"수정","원본")</f>
        <v/>
      </c>
      <c r="D3078" s="18" t="n">
        <v>988</v>
      </c>
      <c r="E3078" s="18" t="inlineStr">
        <is>
          <t>땅을기는날개</t>
        </is>
      </c>
      <c r="F3078" s="18" t="inlineStr">
        <is>
          <t>slitherwing</t>
        </is>
      </c>
      <c r="G3078" s="18" t="inlineStr">
        <is>
          <t>slitherwing</t>
        </is>
      </c>
      <c r="H3078" s="18" t="inlineStr"/>
      <c r="I3078" s="18" t="n">
        <v>9</v>
      </c>
      <c r="J3078" s="18" t="n"/>
      <c r="K3078" s="18" t="n">
        <v>9</v>
      </c>
      <c r="L3078" s="18" t="inlineStr">
        <is>
          <t>cobbleventure:generation_9</t>
        </is>
      </c>
      <c r="M3078" s="19" t="inlineStr">
        <is>
          <t>cobbleventure:generation_9</t>
        </is>
      </c>
      <c r="N3078" s="18" t="inlineStr"/>
      <c r="O3078" s="19" t="inlineStr"/>
      <c r="P3078" s="18" t="inlineStr">
        <is>
          <t>minecraft:crimson_forest</t>
        </is>
      </c>
      <c r="Q3078" s="19" t="inlineStr"/>
      <c r="R3078" s="18">
        <f>IF(Q3078="",P3078,Q3078)</f>
        <v/>
      </c>
      <c r="S3078" s="18" t="inlineStr"/>
      <c r="T3078" s="18" t="inlineStr">
        <is>
          <t>rare</t>
        </is>
      </c>
      <c r="U3078" s="20" t="n">
        <v>1.4</v>
      </c>
      <c r="V3078" s="21" t="n">
        <v>1</v>
      </c>
      <c r="W3078" s="20">
        <f>IF(OR(U3078="",V3078=""),U3078,U3078*V3078)</f>
        <v/>
      </c>
      <c r="X3078" s="18" t="inlineStr">
        <is>
          <t>66-76</t>
        </is>
      </c>
      <c r="Y3078" s="19" t="inlineStr"/>
      <c r="Z3078" s="18">
        <f>IF(Y3078="",X3078,Y3078)</f>
        <v/>
      </c>
      <c r="AA3078" s="18" t="inlineStr">
        <is>
          <t>grounded</t>
        </is>
      </c>
      <c r="AB3078" s="18" t="inlineStr"/>
      <c r="AC3078" s="18" t="inlineStr"/>
      <c r="AD3078" s="18" t="inlineStr"/>
      <c r="AE3078" s="18" t="inlineStr"/>
      <c r="AF3078" s="18" t="inlineStr"/>
      <c r="AG3078" s="18" t="inlineStr"/>
      <c r="AH3078" s="18" t="inlineStr"/>
      <c r="AI3078" s="18" t="inlineStr"/>
      <c r="AJ3078" s="18" t="inlineStr">
        <is>
          <t>COBBLEVERSE 추가</t>
        </is>
      </c>
      <c r="AK3078" s="18" t="inlineStr">
        <is>
          <t>사용</t>
        </is>
      </c>
      <c r="AL3078" s="18" t="inlineStr">
        <is>
          <t>COBBLEVERSE 1.7.42 / DP v31</t>
        </is>
      </c>
      <c r="AM3078" s="18" t="inlineStr">
        <is>
          <t>data/cobblemon/spawn_pool_world/0988_slitherwing.json</t>
        </is>
      </c>
      <c r="AN3078" s="18" t="inlineStr">
        <is>
          <t>slitherwing-2</t>
        </is>
      </c>
      <c r="AO3078" s="18" t="inlineStr">
        <is>
          <t>pokemon</t>
        </is>
      </c>
      <c r="AP3078" s="18" t="inlineStr">
        <is>
          <t>natural</t>
        </is>
      </c>
      <c r="AQ3078" s="18" t="inlineStr">
        <is>
          <t>{"biomes":["minecraft:crimson_forest"]}</t>
        </is>
      </c>
      <c r="AR3078" s="18" t="inlineStr"/>
      <c r="AS3078" s="18" t="inlineStr"/>
      <c r="AT3078" s="19" t="inlineStr"/>
    </row>
    <row r="3079" ht="32" customHeight="1">
      <c r="A3079" s="18" t="inlineStr">
        <is>
          <t>0989_sandyshocks.json::sandyshocks-1::001</t>
        </is>
      </c>
      <c r="B3079" s="19" t="inlineStr">
        <is>
          <t>사용</t>
        </is>
      </c>
      <c r="C3079" s="18">
        <f>IF(OR(B3079&lt;&gt;AK3079,M3079&lt;&gt;L3079,O3079&lt;&gt;"",Q3079&lt;&gt;"",V3079&lt;&gt;1,Y3079&lt;&gt;"",AT3079&lt;&gt;""),"수정","원본")</f>
        <v/>
      </c>
      <c r="D3079" s="18" t="n">
        <v>989</v>
      </c>
      <c r="E3079" s="18" t="inlineStr">
        <is>
          <t>모래털가죽</t>
        </is>
      </c>
      <c r="F3079" s="18" t="inlineStr">
        <is>
          <t>sandyshocks</t>
        </is>
      </c>
      <c r="G3079" s="18" t="inlineStr">
        <is>
          <t>sandyshocks</t>
        </is>
      </c>
      <c r="H3079" s="18" t="inlineStr"/>
      <c r="I3079" s="18" t="n">
        <v>9</v>
      </c>
      <c r="J3079" s="18" t="n"/>
      <c r="K3079" s="18" t="n">
        <v>9</v>
      </c>
      <c r="L3079" s="18" t="inlineStr">
        <is>
          <t>cobbleventure:generation_9</t>
        </is>
      </c>
      <c r="M3079" s="19" t="inlineStr">
        <is>
          <t>cobbleventure:generation_9</t>
        </is>
      </c>
      <c r="N3079" s="18" t="inlineStr">
        <is>
          <t>region_02</t>
        </is>
      </c>
      <c r="O3079" s="19" t="inlineStr"/>
      <c r="P3079" s="18" t="inlineStr">
        <is>
          <t>#cobblemon:is_arid</t>
        </is>
      </c>
      <c r="Q3079" s="19" t="inlineStr"/>
      <c r="R3079" s="18">
        <f>IF(Q3079="",P3079,Q3079)</f>
        <v/>
      </c>
      <c r="S3079" s="18" t="inlineStr"/>
      <c r="T3079" s="18" t="inlineStr">
        <is>
          <t>rare</t>
        </is>
      </c>
      <c r="U3079" s="20" t="n">
        <v>3.5</v>
      </c>
      <c r="V3079" s="21" t="n">
        <v>1</v>
      </c>
      <c r="W3079" s="20">
        <f>IF(OR(U3079="",V3079=""),U3079,U3079*V3079)</f>
        <v/>
      </c>
      <c r="X3079" s="18" t="inlineStr">
        <is>
          <t>60-70</t>
        </is>
      </c>
      <c r="Y3079" s="19" t="inlineStr"/>
      <c r="Z3079" s="18">
        <f>IF(Y3079="",X3079,Y3079)</f>
        <v/>
      </c>
      <c r="AA3079" s="18" t="inlineStr">
        <is>
          <t>grounded</t>
        </is>
      </c>
      <c r="AB3079" s="18" t="inlineStr"/>
      <c r="AC3079" s="18" t="inlineStr"/>
      <c r="AD3079" s="18" t="inlineStr"/>
      <c r="AE3079" s="18" t="inlineStr"/>
      <c r="AF3079" s="18" t="inlineStr">
        <is>
          <t>True</t>
        </is>
      </c>
      <c r="AG3079" s="18" t="inlineStr"/>
      <c r="AH3079" s="18" t="inlineStr"/>
      <c r="AI3079" s="18" t="inlineStr"/>
      <c r="AJ3079" s="18" t="inlineStr">
        <is>
          <t>COBBLEVERSE 추가</t>
        </is>
      </c>
      <c r="AK3079" s="18" t="inlineStr">
        <is>
          <t>사용</t>
        </is>
      </c>
      <c r="AL3079" s="18" t="inlineStr">
        <is>
          <t>COBBLEVERSE 1.7.42 / DP v31</t>
        </is>
      </c>
      <c r="AM3079" s="18" t="inlineStr">
        <is>
          <t>data/cobblemon/spawn_pool_world/0989_sandyshocks.json</t>
        </is>
      </c>
      <c r="AN3079" s="18" t="inlineStr">
        <is>
          <t>sandyshocks-1</t>
        </is>
      </c>
      <c r="AO3079" s="18" t="inlineStr">
        <is>
          <t>pokemon</t>
        </is>
      </c>
      <c r="AP3079" s="18" t="inlineStr">
        <is>
          <t>natural</t>
        </is>
      </c>
      <c r="AQ3079" s="18" t="inlineStr">
        <is>
          <t>{"biomes":["#cobblemon:is_arid"],"canSeeSky":true}</t>
        </is>
      </c>
      <c r="AR3079" s="18" t="inlineStr"/>
      <c r="AS3079" s="18" t="inlineStr"/>
      <c r="AT3079" s="19" t="inlineStr"/>
    </row>
    <row r="3080" ht="32" customHeight="1">
      <c r="A3080" s="18" t="inlineStr">
        <is>
          <t>0990_irontreads.json::irontreads-1::001</t>
        </is>
      </c>
      <c r="B3080" s="19" t="inlineStr">
        <is>
          <t>사용</t>
        </is>
      </c>
      <c r="C3080" s="18">
        <f>IF(OR(B3080&lt;&gt;AK3080,M3080&lt;&gt;L3080,O3080&lt;&gt;"",Q3080&lt;&gt;"",V3080&lt;&gt;1,Y3080&lt;&gt;"",AT3080&lt;&gt;""),"수정","원본")</f>
        <v/>
      </c>
      <c r="D3080" s="18" t="n">
        <v>990</v>
      </c>
      <c r="E3080" s="18" t="inlineStr">
        <is>
          <t>무쇠바퀴</t>
        </is>
      </c>
      <c r="F3080" s="18" t="inlineStr">
        <is>
          <t>irontreads</t>
        </is>
      </c>
      <c r="G3080" s="18" t="inlineStr">
        <is>
          <t>irontreads</t>
        </is>
      </c>
      <c r="H3080" s="18" t="inlineStr"/>
      <c r="I3080" s="18" t="n">
        <v>9</v>
      </c>
      <c r="J3080" s="18" t="n"/>
      <c r="K3080" s="18" t="n">
        <v>9</v>
      </c>
      <c r="L3080" s="18" t="inlineStr">
        <is>
          <t>cobbleventure:generation_9</t>
        </is>
      </c>
      <c r="M3080" s="19" t="inlineStr">
        <is>
          <t>cobbleventure:generation_9</t>
        </is>
      </c>
      <c r="N3080" s="18" t="inlineStr">
        <is>
          <t>region_02</t>
        </is>
      </c>
      <c r="O3080" s="19" t="inlineStr"/>
      <c r="P3080" s="18" t="inlineStr">
        <is>
          <t>#cobblemon:is_arid; #cobblemon:is_mountain</t>
        </is>
      </c>
      <c r="Q3080" s="19" t="inlineStr"/>
      <c r="R3080" s="18">
        <f>IF(Q3080="",P3080,Q3080)</f>
        <v/>
      </c>
      <c r="S3080" s="18" t="inlineStr"/>
      <c r="T3080" s="18" t="inlineStr">
        <is>
          <t>rare</t>
        </is>
      </c>
      <c r="U3080" s="20" t="n">
        <v>3</v>
      </c>
      <c r="V3080" s="21" t="n">
        <v>1</v>
      </c>
      <c r="W3080" s="20">
        <f>IF(OR(U3080="",V3080=""),U3080,U3080*V3080)</f>
        <v/>
      </c>
      <c r="X3080" s="18" t="inlineStr">
        <is>
          <t>50-70</t>
        </is>
      </c>
      <c r="Y3080" s="19" t="inlineStr"/>
      <c r="Z3080" s="18">
        <f>IF(Y3080="",X3080,Y3080)</f>
        <v/>
      </c>
      <c r="AA3080" s="18" t="inlineStr">
        <is>
          <t>grounded</t>
        </is>
      </c>
      <c r="AB3080" s="18" t="inlineStr"/>
      <c r="AC3080" s="18" t="inlineStr"/>
      <c r="AD3080" s="18" t="inlineStr"/>
      <c r="AE3080" s="18" t="inlineStr"/>
      <c r="AF3080" s="18" t="inlineStr"/>
      <c r="AG3080" s="18" t="inlineStr"/>
      <c r="AH3080" s="18" t="inlineStr"/>
      <c r="AI3080" s="18" t="inlineStr"/>
      <c r="AJ3080" s="18" t="inlineStr">
        <is>
          <t>COBBLEVERSE 추가</t>
        </is>
      </c>
      <c r="AK3080" s="18" t="inlineStr">
        <is>
          <t>사용</t>
        </is>
      </c>
      <c r="AL3080" s="18" t="inlineStr">
        <is>
          <t>COBBLEVERSE 1.7.42 / DP v31</t>
        </is>
      </c>
      <c r="AM3080" s="18" t="inlineStr">
        <is>
          <t>data/cobblemon/spawn_pool_world/0990_irontreads.json</t>
        </is>
      </c>
      <c r="AN3080" s="18" t="inlineStr">
        <is>
          <t>irontreads-1</t>
        </is>
      </c>
      <c r="AO3080" s="18" t="inlineStr">
        <is>
          <t>pokemon</t>
        </is>
      </c>
      <c r="AP3080" s="18" t="inlineStr">
        <is>
          <t>natural</t>
        </is>
      </c>
      <c r="AQ3080" s="18" t="inlineStr">
        <is>
          <t>{"biomes":["#cobblemon:is_arid","#cobblemon:is_mountain"]}</t>
        </is>
      </c>
      <c r="AR3080" s="18" t="inlineStr"/>
      <c r="AS3080" s="18" t="inlineStr"/>
      <c r="AT3080" s="19" t="inlineStr"/>
    </row>
    <row r="3081" ht="32" customHeight="1">
      <c r="A3081" s="18" t="inlineStr">
        <is>
          <t>0991_ironbundle.json::ironbundle-1::001</t>
        </is>
      </c>
      <c r="B3081" s="19" t="inlineStr">
        <is>
          <t>사용</t>
        </is>
      </c>
      <c r="C3081" s="18">
        <f>IF(OR(B3081&lt;&gt;AK3081,M3081&lt;&gt;L3081,O3081&lt;&gt;"",Q3081&lt;&gt;"",V3081&lt;&gt;1,Y3081&lt;&gt;"",AT3081&lt;&gt;""),"수정","원본")</f>
        <v/>
      </c>
      <c r="D3081" s="18" t="n">
        <v>991</v>
      </c>
      <c r="E3081" s="18" t="inlineStr">
        <is>
          <t>무쇠보따리</t>
        </is>
      </c>
      <c r="F3081" s="18" t="inlineStr">
        <is>
          <t>ironbundle</t>
        </is>
      </c>
      <c r="G3081" s="18" t="inlineStr">
        <is>
          <t>ironbundle</t>
        </is>
      </c>
      <c r="H3081" s="18" t="inlineStr"/>
      <c r="I3081" s="18" t="n">
        <v>9</v>
      </c>
      <c r="J3081" s="18" t="n"/>
      <c r="K3081" s="18" t="n">
        <v>9</v>
      </c>
      <c r="L3081" s="18" t="inlineStr">
        <is>
          <t>cobbleventure:generation_9</t>
        </is>
      </c>
      <c r="M3081" s="19" t="inlineStr">
        <is>
          <t>cobbleventure:generation_9</t>
        </is>
      </c>
      <c r="N3081" s="18" t="inlineStr"/>
      <c r="O3081" s="19" t="inlineStr"/>
      <c r="P3081" s="18" t="inlineStr">
        <is>
          <t>#cobblemon:is_freezing; #cobblemon:is_glacial; #cobblemon:is_tundra</t>
        </is>
      </c>
      <c r="Q3081" s="19" t="inlineStr"/>
      <c r="R3081" s="18">
        <f>IF(Q3081="",P3081,Q3081)</f>
        <v/>
      </c>
      <c r="S3081" s="18" t="inlineStr"/>
      <c r="T3081" s="18" t="inlineStr">
        <is>
          <t>rare</t>
        </is>
      </c>
      <c r="U3081" s="20" t="n">
        <v>3</v>
      </c>
      <c r="V3081" s="21" t="n">
        <v>1</v>
      </c>
      <c r="W3081" s="20">
        <f>IF(OR(U3081="",V3081=""),U3081,U3081*V3081)</f>
        <v/>
      </c>
      <c r="X3081" s="18" t="inlineStr">
        <is>
          <t>50-70</t>
        </is>
      </c>
      <c r="Y3081" s="19" t="inlineStr"/>
      <c r="Z3081" s="18">
        <f>IF(Y3081="",X3081,Y3081)</f>
        <v/>
      </c>
      <c r="AA3081" s="18" t="inlineStr">
        <is>
          <t>grounded</t>
        </is>
      </c>
      <c r="AB3081" s="18" t="inlineStr"/>
      <c r="AC3081" s="18" t="inlineStr"/>
      <c r="AD3081" s="18" t="inlineStr"/>
      <c r="AE3081" s="18" t="inlineStr"/>
      <c r="AF3081" s="18" t="inlineStr"/>
      <c r="AG3081" s="18" t="inlineStr"/>
      <c r="AH3081" s="18" t="inlineStr"/>
      <c r="AI3081" s="18" t="inlineStr"/>
      <c r="AJ3081" s="18" t="inlineStr">
        <is>
          <t>COBBLEVERSE 추가</t>
        </is>
      </c>
      <c r="AK3081" s="18" t="inlineStr">
        <is>
          <t>사용</t>
        </is>
      </c>
      <c r="AL3081" s="18" t="inlineStr">
        <is>
          <t>COBBLEVERSE 1.7.42 / DP v31</t>
        </is>
      </c>
      <c r="AM3081" s="18" t="inlineStr">
        <is>
          <t>data/cobblemon/spawn_pool_world/0991_ironbundle.json</t>
        </is>
      </c>
      <c r="AN3081" s="18" t="inlineStr">
        <is>
          <t>ironbundle-1</t>
        </is>
      </c>
      <c r="AO3081" s="18" t="inlineStr">
        <is>
          <t>pokemon</t>
        </is>
      </c>
      <c r="AP3081" s="18" t="inlineStr">
        <is>
          <t>natural</t>
        </is>
      </c>
      <c r="AQ3081" s="18" t="inlineStr">
        <is>
          <t>{"biomes":["#cobblemon:is_freezing","#cobblemon:is_glacial","#cobblemon:is_tundra"]}</t>
        </is>
      </c>
      <c r="AR3081" s="18" t="inlineStr"/>
      <c r="AS3081" s="18" t="inlineStr"/>
      <c r="AT3081" s="19" t="inlineStr"/>
    </row>
    <row r="3082" ht="32" customHeight="1">
      <c r="A3082" s="18" t="inlineStr">
        <is>
          <t>0992_ironhands.json::ironhands-1::001</t>
        </is>
      </c>
      <c r="B3082" s="19" t="inlineStr">
        <is>
          <t>사용</t>
        </is>
      </c>
      <c r="C3082" s="18">
        <f>IF(OR(B3082&lt;&gt;AK3082,M3082&lt;&gt;L3082,O3082&lt;&gt;"",Q3082&lt;&gt;"",V3082&lt;&gt;1,Y3082&lt;&gt;"",AT3082&lt;&gt;""),"수정","원본")</f>
        <v/>
      </c>
      <c r="D3082" s="18" t="n">
        <v>992</v>
      </c>
      <c r="E3082" s="18" t="inlineStr">
        <is>
          <t>무쇠손</t>
        </is>
      </c>
      <c r="F3082" s="18" t="inlineStr">
        <is>
          <t>ironhands</t>
        </is>
      </c>
      <c r="G3082" s="18" t="inlineStr">
        <is>
          <t>ironhands</t>
        </is>
      </c>
      <c r="H3082" s="18" t="inlineStr"/>
      <c r="I3082" s="18" t="n">
        <v>9</v>
      </c>
      <c r="J3082" s="18" t="n"/>
      <c r="K3082" s="18" t="n">
        <v>9</v>
      </c>
      <c r="L3082" s="18" t="inlineStr">
        <is>
          <t>cobbleventure:generation_9</t>
        </is>
      </c>
      <c r="M3082" s="19" t="inlineStr">
        <is>
          <t>cobbleventure:generation_9</t>
        </is>
      </c>
      <c r="N3082" s="18" t="inlineStr">
        <is>
          <t>region_02</t>
        </is>
      </c>
      <c r="O3082" s="19" t="inlineStr"/>
      <c r="P3082" s="18" t="inlineStr">
        <is>
          <t>minecraft:desert</t>
        </is>
      </c>
      <c r="Q3082" s="19" t="inlineStr"/>
      <c r="R3082" s="18">
        <f>IF(Q3082="",P3082,Q3082)</f>
        <v/>
      </c>
      <c r="S3082" s="18" t="inlineStr"/>
      <c r="T3082" s="18" t="inlineStr">
        <is>
          <t>rare</t>
        </is>
      </c>
      <c r="U3082" s="20" t="n">
        <v>3.5</v>
      </c>
      <c r="V3082" s="21" t="n">
        <v>1</v>
      </c>
      <c r="W3082" s="20">
        <f>IF(OR(U3082="",V3082=""),U3082,U3082*V3082)</f>
        <v/>
      </c>
      <c r="X3082" s="18" t="inlineStr">
        <is>
          <t>45-60</t>
        </is>
      </c>
      <c r="Y3082" s="19" t="inlineStr"/>
      <c r="Z3082" s="18">
        <f>IF(Y3082="",X3082,Y3082)</f>
        <v/>
      </c>
      <c r="AA3082" s="18" t="inlineStr">
        <is>
          <t>grounded</t>
        </is>
      </c>
      <c r="AB3082" s="18" t="inlineStr">
        <is>
          <t>night</t>
        </is>
      </c>
      <c r="AC3082" s="18" t="inlineStr"/>
      <c r="AD3082" s="18" t="inlineStr"/>
      <c r="AE3082" s="18" t="inlineStr"/>
      <c r="AF3082" s="18" t="inlineStr">
        <is>
          <t>True</t>
        </is>
      </c>
      <c r="AG3082" s="18" t="inlineStr"/>
      <c r="AH3082" s="18" t="inlineStr"/>
      <c r="AI3082" s="18" t="inlineStr"/>
      <c r="AJ3082" s="18" t="inlineStr">
        <is>
          <t>COBBLEVERSE 추가</t>
        </is>
      </c>
      <c r="AK3082" s="18" t="inlineStr">
        <is>
          <t>사용</t>
        </is>
      </c>
      <c r="AL3082" s="18" t="inlineStr">
        <is>
          <t>COBBLEVERSE 1.7.42 / DP v31</t>
        </is>
      </c>
      <c r="AM3082" s="18" t="inlineStr">
        <is>
          <t>data/cobblemon/spawn_pool_world/0992_ironhands.json</t>
        </is>
      </c>
      <c r="AN3082" s="18" t="inlineStr">
        <is>
          <t>ironhands-1</t>
        </is>
      </c>
      <c r="AO3082" s="18" t="inlineStr">
        <is>
          <t>pokemon</t>
        </is>
      </c>
      <c r="AP3082" s="18" t="inlineStr">
        <is>
          <t>natural</t>
        </is>
      </c>
      <c r="AQ3082" s="18" t="inlineStr">
        <is>
          <t>{"biomes":["minecraft:desert"],"canSeeSky":true,"timeRange":"night"}</t>
        </is>
      </c>
      <c r="AR3082" s="18" t="inlineStr"/>
      <c r="AS3082" s="18" t="inlineStr"/>
      <c r="AT3082" s="19" t="inlineStr"/>
    </row>
    <row r="3083" ht="32" customHeight="1">
      <c r="A3083" s="18" t="inlineStr">
        <is>
          <t>0993_ironjugulis.json::ironjugulis-1::001</t>
        </is>
      </c>
      <c r="B3083" s="19" t="inlineStr">
        <is>
          <t>사용</t>
        </is>
      </c>
      <c r="C3083" s="18">
        <f>IF(OR(B3083&lt;&gt;AK3083,M3083&lt;&gt;L3083,O3083&lt;&gt;"",Q3083&lt;&gt;"",V3083&lt;&gt;1,Y3083&lt;&gt;"",AT3083&lt;&gt;""),"수정","원본")</f>
        <v/>
      </c>
      <c r="D3083" s="18" t="n">
        <v>993</v>
      </c>
      <c r="E3083" s="18" t="inlineStr">
        <is>
          <t>무쇠머리</t>
        </is>
      </c>
      <c r="F3083" s="18" t="inlineStr">
        <is>
          <t>ironjugulis</t>
        </is>
      </c>
      <c r="G3083" s="18" t="inlineStr">
        <is>
          <t>ironjugulis</t>
        </is>
      </c>
      <c r="H3083" s="18" t="inlineStr"/>
      <c r="I3083" s="18" t="n">
        <v>9</v>
      </c>
      <c r="J3083" s="18" t="n"/>
      <c r="K3083" s="18" t="n">
        <v>9</v>
      </c>
      <c r="L3083" s="18" t="inlineStr">
        <is>
          <t>cobbleventure:generation_9</t>
        </is>
      </c>
      <c r="M3083" s="19" t="inlineStr">
        <is>
          <t>cobbleventure:generation_9</t>
        </is>
      </c>
      <c r="N3083" s="18" t="inlineStr"/>
      <c r="O3083" s="19" t="inlineStr"/>
      <c r="P3083" s="18" t="inlineStr">
        <is>
          <t>#cobblemon:is_mountain</t>
        </is>
      </c>
      <c r="Q3083" s="19" t="inlineStr"/>
      <c r="R3083" s="18">
        <f>IF(Q3083="",P3083,Q3083)</f>
        <v/>
      </c>
      <c r="S3083" s="18" t="inlineStr"/>
      <c r="T3083" s="18" t="inlineStr">
        <is>
          <t>rare</t>
        </is>
      </c>
      <c r="U3083" s="20" t="n">
        <v>4.5</v>
      </c>
      <c r="V3083" s="21" t="n">
        <v>1</v>
      </c>
      <c r="W3083" s="20">
        <f>IF(OR(U3083="",V3083=""),U3083,U3083*V3083)</f>
        <v/>
      </c>
      <c r="X3083" s="18" t="inlineStr">
        <is>
          <t>70-75</t>
        </is>
      </c>
      <c r="Y3083" s="19" t="inlineStr"/>
      <c r="Z3083" s="18">
        <f>IF(Y3083="",X3083,Y3083)</f>
        <v/>
      </c>
      <c r="AA3083" s="18" t="inlineStr">
        <is>
          <t>grounded</t>
        </is>
      </c>
      <c r="AB3083" s="18" t="inlineStr">
        <is>
          <t>night</t>
        </is>
      </c>
      <c r="AC3083" s="18" t="inlineStr"/>
      <c r="AD3083" s="18" t="inlineStr"/>
      <c r="AE3083" s="18" t="inlineStr"/>
      <c r="AF3083" s="18" t="inlineStr">
        <is>
          <t>True</t>
        </is>
      </c>
      <c r="AG3083" s="18" t="inlineStr"/>
      <c r="AH3083" s="18" t="inlineStr"/>
      <c r="AI3083" s="18" t="inlineStr"/>
      <c r="AJ3083" s="18" t="inlineStr">
        <is>
          <t>COBBLEVERSE 추가</t>
        </is>
      </c>
      <c r="AK3083" s="18" t="inlineStr">
        <is>
          <t>사용</t>
        </is>
      </c>
      <c r="AL3083" s="18" t="inlineStr">
        <is>
          <t>COBBLEVERSE 1.7.42 / DP v31</t>
        </is>
      </c>
      <c r="AM3083" s="18" t="inlineStr">
        <is>
          <t>data/cobblemon/spawn_pool_world/0993_ironjugulis.json</t>
        </is>
      </c>
      <c r="AN3083" s="18" t="inlineStr">
        <is>
          <t>ironjugulis-1</t>
        </is>
      </c>
      <c r="AO3083" s="18" t="inlineStr">
        <is>
          <t>pokemon</t>
        </is>
      </c>
      <c r="AP3083" s="18" t="inlineStr">
        <is>
          <t>natural</t>
        </is>
      </c>
      <c r="AQ3083" s="18" t="inlineStr">
        <is>
          <t>{"biomes":["#cobblemon:is_mountain"],"canSeeSky":true,"timeRange":"night"}</t>
        </is>
      </c>
      <c r="AR3083" s="18" t="inlineStr"/>
      <c r="AS3083" s="18" t="inlineStr"/>
      <c r="AT3083" s="19" t="inlineStr"/>
    </row>
    <row r="3084" ht="32" customHeight="1">
      <c r="A3084" s="18" t="inlineStr">
        <is>
          <t>0994_ironmoth.json::ironmoth-1::001</t>
        </is>
      </c>
      <c r="B3084" s="19" t="inlineStr">
        <is>
          <t>사용</t>
        </is>
      </c>
      <c r="C3084" s="18">
        <f>IF(OR(B3084&lt;&gt;AK3084,M3084&lt;&gt;L3084,O3084&lt;&gt;"",Q3084&lt;&gt;"",V3084&lt;&gt;1,Y3084&lt;&gt;"",AT3084&lt;&gt;""),"수정","원본")</f>
        <v/>
      </c>
      <c r="D3084" s="18" t="n">
        <v>994</v>
      </c>
      <c r="E3084" s="18" t="inlineStr">
        <is>
          <t>무쇠독나방</t>
        </is>
      </c>
      <c r="F3084" s="18" t="inlineStr">
        <is>
          <t>ironmoth</t>
        </is>
      </c>
      <c r="G3084" s="18" t="inlineStr">
        <is>
          <t>ironmoth</t>
        </is>
      </c>
      <c r="H3084" s="18" t="inlineStr"/>
      <c r="I3084" s="18" t="n">
        <v>9</v>
      </c>
      <c r="J3084" s="18" t="n"/>
      <c r="K3084" s="18" t="n">
        <v>9</v>
      </c>
      <c r="L3084" s="18" t="inlineStr">
        <is>
          <t>cobbleventure:generation_9</t>
        </is>
      </c>
      <c r="M3084" s="19" t="inlineStr">
        <is>
          <t>cobbleventure:generation_9</t>
        </is>
      </c>
      <c r="N3084" s="18" t="inlineStr"/>
      <c r="O3084" s="19" t="inlineStr"/>
      <c r="P3084" s="18" t="inlineStr">
        <is>
          <t>#cobblemon:is_hills</t>
        </is>
      </c>
      <c r="Q3084" s="19" t="inlineStr"/>
      <c r="R3084" s="18">
        <f>IF(Q3084="",P3084,Q3084)</f>
        <v/>
      </c>
      <c r="S3084" s="18" t="inlineStr"/>
      <c r="T3084" s="18" t="inlineStr">
        <is>
          <t>rare</t>
        </is>
      </c>
      <c r="U3084" s="20" t="n">
        <v>3</v>
      </c>
      <c r="V3084" s="21" t="n">
        <v>1</v>
      </c>
      <c r="W3084" s="20">
        <f>IF(OR(U3084="",V3084=""),U3084,U3084*V3084)</f>
        <v/>
      </c>
      <c r="X3084" s="18" t="inlineStr">
        <is>
          <t>40-65</t>
        </is>
      </c>
      <c r="Y3084" s="19" t="inlineStr"/>
      <c r="Z3084" s="18">
        <f>IF(Y3084="",X3084,Y3084)</f>
        <v/>
      </c>
      <c r="AA3084" s="18" t="inlineStr">
        <is>
          <t>grounded</t>
        </is>
      </c>
      <c r="AB3084" s="18" t="inlineStr">
        <is>
          <t>day</t>
        </is>
      </c>
      <c r="AC3084" s="18" t="inlineStr"/>
      <c r="AD3084" s="18" t="inlineStr"/>
      <c r="AE3084" s="18" t="inlineStr"/>
      <c r="AF3084" s="18" t="inlineStr"/>
      <c r="AG3084" s="18" t="inlineStr"/>
      <c r="AH3084" s="18" t="inlineStr"/>
      <c r="AI3084" s="18" t="inlineStr"/>
      <c r="AJ3084" s="18" t="inlineStr">
        <is>
          <t>COBBLEVERSE 추가</t>
        </is>
      </c>
      <c r="AK3084" s="18" t="inlineStr">
        <is>
          <t>사용</t>
        </is>
      </c>
      <c r="AL3084" s="18" t="inlineStr">
        <is>
          <t>COBBLEVERSE 1.7.42 / DP v31</t>
        </is>
      </c>
      <c r="AM3084" s="18" t="inlineStr">
        <is>
          <t>data/cobblemon/spawn_pool_world/0994_ironmoth.json</t>
        </is>
      </c>
      <c r="AN3084" s="18" t="inlineStr">
        <is>
          <t>ironmoth-1</t>
        </is>
      </c>
      <c r="AO3084" s="18" t="inlineStr">
        <is>
          <t>pokemon</t>
        </is>
      </c>
      <c r="AP3084" s="18" t="inlineStr">
        <is>
          <t>natural</t>
        </is>
      </c>
      <c r="AQ3084" s="18" t="inlineStr">
        <is>
          <t>{"biomes":["#cobblemon:is_hills"],"timeRange":"day"}</t>
        </is>
      </c>
      <c r="AR3084" s="18" t="inlineStr"/>
      <c r="AS3084" s="18" t="inlineStr"/>
      <c r="AT3084" s="19" t="inlineStr"/>
    </row>
    <row r="3085" ht="32" customHeight="1">
      <c r="A3085" s="18" t="inlineStr">
        <is>
          <t>0995_ironthorns.json::ironthorns::001</t>
        </is>
      </c>
      <c r="B3085" s="19" t="inlineStr">
        <is>
          <t>사용</t>
        </is>
      </c>
      <c r="C3085" s="18">
        <f>IF(OR(B3085&lt;&gt;AK3085,M3085&lt;&gt;L3085,O3085&lt;&gt;"",Q3085&lt;&gt;"",V3085&lt;&gt;1,Y3085&lt;&gt;"",AT3085&lt;&gt;""),"수정","원본")</f>
        <v/>
      </c>
      <c r="D3085" s="18" t="n">
        <v>995</v>
      </c>
      <c r="E3085" s="18" t="inlineStr">
        <is>
          <t>무쇠가시</t>
        </is>
      </c>
      <c r="F3085" s="18" t="inlineStr">
        <is>
          <t>ironthorns</t>
        </is>
      </c>
      <c r="G3085" s="18" t="inlineStr">
        <is>
          <t>ironthorns</t>
        </is>
      </c>
      <c r="H3085" s="18" t="inlineStr"/>
      <c r="I3085" s="18" t="n">
        <v>9</v>
      </c>
      <c r="J3085" s="18" t="n"/>
      <c r="K3085" s="18" t="n">
        <v>9</v>
      </c>
      <c r="L3085" s="18" t="inlineStr">
        <is>
          <t>cobbleventure:generation_9</t>
        </is>
      </c>
      <c r="M3085" s="19" t="inlineStr">
        <is>
          <t>cobbleventure:generation_9</t>
        </is>
      </c>
      <c r="N3085" s="18" t="inlineStr"/>
      <c r="O3085" s="19" t="inlineStr"/>
      <c r="P3085" s="18" t="inlineStr">
        <is>
          <t>#cobblemon:is_mountain</t>
        </is>
      </c>
      <c r="Q3085" s="19" t="inlineStr"/>
      <c r="R3085" s="18">
        <f>IF(Q3085="",P3085,Q3085)</f>
        <v/>
      </c>
      <c r="S3085" s="18" t="inlineStr"/>
      <c r="T3085" s="18" t="inlineStr">
        <is>
          <t>rare</t>
        </is>
      </c>
      <c r="U3085" s="20" t="n">
        <v>3</v>
      </c>
      <c r="V3085" s="21" t="n">
        <v>1</v>
      </c>
      <c r="W3085" s="20">
        <f>IF(OR(U3085="",V3085=""),U3085,U3085*V3085)</f>
        <v/>
      </c>
      <c r="X3085" s="18" t="inlineStr">
        <is>
          <t>40-65</t>
        </is>
      </c>
      <c r="Y3085" s="19" t="inlineStr"/>
      <c r="Z3085" s="18">
        <f>IF(Y3085="",X3085,Y3085)</f>
        <v/>
      </c>
      <c r="AA3085" s="18" t="inlineStr">
        <is>
          <t>grounded</t>
        </is>
      </c>
      <c r="AB3085" s="18" t="inlineStr"/>
      <c r="AC3085" s="18" t="inlineStr"/>
      <c r="AD3085" s="18" t="inlineStr"/>
      <c r="AE3085" s="18" t="inlineStr"/>
      <c r="AF3085" s="18" t="inlineStr"/>
      <c r="AG3085" s="18" t="inlineStr"/>
      <c r="AH3085" s="18" t="inlineStr"/>
      <c r="AI3085" s="18" t="inlineStr"/>
      <c r="AJ3085" s="18" t="inlineStr">
        <is>
          <t>COBBLEVERSE 추가</t>
        </is>
      </c>
      <c r="AK3085" s="18" t="inlineStr">
        <is>
          <t>사용</t>
        </is>
      </c>
      <c r="AL3085" s="18" t="inlineStr">
        <is>
          <t>COBBLEVERSE 1.7.42 / DP v31</t>
        </is>
      </c>
      <c r="AM3085" s="18" t="inlineStr">
        <is>
          <t>data/cobblemon/spawn_pool_world/0995_ironthorns.json</t>
        </is>
      </c>
      <c r="AN3085" s="18" t="inlineStr">
        <is>
          <t>ironthorns</t>
        </is>
      </c>
      <c r="AO3085" s="18" t="inlineStr">
        <is>
          <t>pokemon</t>
        </is>
      </c>
      <c r="AP3085" s="18" t="inlineStr"/>
      <c r="AQ3085" s="18" t="inlineStr">
        <is>
          <t>{"biomes":["#cobblemon:is_mountain"]}</t>
        </is>
      </c>
      <c r="AR3085" s="18" t="inlineStr"/>
      <c r="AS3085" s="18" t="inlineStr"/>
      <c r="AT3085" s="19" t="inlineStr"/>
    </row>
    <row r="3086" ht="32" customHeight="1">
      <c r="A3086" s="18" t="inlineStr">
        <is>
          <t>0996_frigibax.json::frigibax-1::001</t>
        </is>
      </c>
      <c r="B3086" s="19" t="inlineStr">
        <is>
          <t>사용</t>
        </is>
      </c>
      <c r="C3086" s="18">
        <f>IF(OR(B3086&lt;&gt;AK3086,M3086&lt;&gt;L3086,O3086&lt;&gt;"",Q3086&lt;&gt;"",V3086&lt;&gt;1,Y3086&lt;&gt;"",AT3086&lt;&gt;""),"수정","원본")</f>
        <v/>
      </c>
      <c r="D3086" s="18" t="n">
        <v>996</v>
      </c>
      <c r="E3086" s="18" t="inlineStr">
        <is>
          <t>드니차</t>
        </is>
      </c>
      <c r="F3086" s="18" t="inlineStr">
        <is>
          <t>frigibax</t>
        </is>
      </c>
      <c r="G3086" s="18" t="inlineStr">
        <is>
          <t>frigibax</t>
        </is>
      </c>
      <c r="H3086" s="18" t="inlineStr"/>
      <c r="I3086" s="18" t="n">
        <v>9</v>
      </c>
      <c r="J3086" s="18" t="n"/>
      <c r="K3086" s="18" t="n">
        <v>9</v>
      </c>
      <c r="L3086" s="18" t="inlineStr">
        <is>
          <t>cobbleventure:generation_9</t>
        </is>
      </c>
      <c r="M3086" s="19" t="inlineStr">
        <is>
          <t>cobbleventure:generation_9</t>
        </is>
      </c>
      <c r="N3086" s="18" t="inlineStr"/>
      <c r="O3086" s="19" t="inlineStr"/>
      <c r="P3086" s="18" t="inlineStr">
        <is>
          <t>#cobblemon:is_glacial</t>
        </is>
      </c>
      <c r="Q3086" s="19" t="inlineStr"/>
      <c r="R3086" s="18">
        <f>IF(Q3086="",P3086,Q3086)</f>
        <v/>
      </c>
      <c r="S3086" s="18" t="inlineStr"/>
      <c r="T3086" s="18" t="inlineStr">
        <is>
          <t>rare</t>
        </is>
      </c>
      <c r="U3086" s="20" t="n">
        <v>5.5</v>
      </c>
      <c r="V3086" s="21" t="n">
        <v>1</v>
      </c>
      <c r="W3086" s="20">
        <f>IF(OR(U3086="",V3086=""),U3086,U3086*V3086)</f>
        <v/>
      </c>
      <c r="X3086" s="18" t="inlineStr">
        <is>
          <t>26-34</t>
        </is>
      </c>
      <c r="Y3086" s="19" t="inlineStr"/>
      <c r="Z3086" s="18">
        <f>IF(Y3086="",X3086,Y3086)</f>
        <v/>
      </c>
      <c r="AA3086" s="18" t="inlineStr">
        <is>
          <t>grounded</t>
        </is>
      </c>
      <c r="AB3086" s="18" t="inlineStr"/>
      <c r="AC3086" s="18" t="inlineStr"/>
      <c r="AD3086" s="18" t="inlineStr"/>
      <c r="AE3086" s="18" t="inlineStr"/>
      <c r="AF3086" s="18" t="inlineStr">
        <is>
          <t>True</t>
        </is>
      </c>
      <c r="AG3086" s="18" t="inlineStr"/>
      <c r="AH3086" s="18" t="inlineStr"/>
      <c r="AI3086" s="18" t="inlineStr"/>
      <c r="AJ3086" s="18" t="inlineStr">
        <is>
          <t>COBBLEVERSE 추가</t>
        </is>
      </c>
      <c r="AK3086" s="18" t="inlineStr">
        <is>
          <t>사용</t>
        </is>
      </c>
      <c r="AL3086" s="18" t="inlineStr">
        <is>
          <t>COBBLEVERSE 1.7.42 / DP v31</t>
        </is>
      </c>
      <c r="AM3086" s="18" t="inlineStr">
        <is>
          <t>data/cobblemon/spawn_pool_world/0996_frigibax.json</t>
        </is>
      </c>
      <c r="AN3086" s="18" t="inlineStr">
        <is>
          <t>frigibax-1</t>
        </is>
      </c>
      <c r="AO3086" s="18" t="inlineStr">
        <is>
          <t>pokemon</t>
        </is>
      </c>
      <c r="AP3086" s="18" t="inlineStr">
        <is>
          <t>natural</t>
        </is>
      </c>
      <c r="AQ3086" s="18" t="inlineStr">
        <is>
          <t>{"biomes":["#cobblemon:is_glacial"],"canSeeSky":true}</t>
        </is>
      </c>
      <c r="AR3086" s="18" t="inlineStr"/>
      <c r="AS3086" s="18" t="inlineStr"/>
      <c r="AT3086" s="19" t="inlineStr"/>
    </row>
    <row r="3087" ht="32" customHeight="1">
      <c r="A3087" s="18" t="inlineStr">
        <is>
          <t>0997_arctibax.json::arctibax-1::001</t>
        </is>
      </c>
      <c r="B3087" s="19" t="inlineStr">
        <is>
          <t>사용</t>
        </is>
      </c>
      <c r="C3087" s="18">
        <f>IF(OR(B3087&lt;&gt;AK3087,M3087&lt;&gt;L3087,O3087&lt;&gt;"",Q3087&lt;&gt;"",V3087&lt;&gt;1,Y3087&lt;&gt;"",AT3087&lt;&gt;""),"수정","원본")</f>
        <v/>
      </c>
      <c r="D3087" s="18" t="n">
        <v>997</v>
      </c>
      <c r="E3087" s="18" t="inlineStr">
        <is>
          <t>드니꽁</t>
        </is>
      </c>
      <c r="F3087" s="18" t="inlineStr">
        <is>
          <t>arctibax</t>
        </is>
      </c>
      <c r="G3087" s="18" t="inlineStr">
        <is>
          <t>arctibax</t>
        </is>
      </c>
      <c r="H3087" s="18" t="inlineStr"/>
      <c r="I3087" s="18" t="n">
        <v>9</v>
      </c>
      <c r="J3087" s="18" t="n"/>
      <c r="K3087" s="18" t="n">
        <v>9</v>
      </c>
      <c r="L3087" s="18" t="inlineStr">
        <is>
          <t>cobbleventure:generation_9</t>
        </is>
      </c>
      <c r="M3087" s="19" t="inlineStr">
        <is>
          <t>cobbleventure:generation_9</t>
        </is>
      </c>
      <c r="N3087" s="18" t="inlineStr"/>
      <c r="O3087" s="19" t="inlineStr"/>
      <c r="P3087" s="18" t="inlineStr">
        <is>
          <t>#cobblemon:is_glacial</t>
        </is>
      </c>
      <c r="Q3087" s="19" t="inlineStr"/>
      <c r="R3087" s="18">
        <f>IF(Q3087="",P3087,Q3087)</f>
        <v/>
      </c>
      <c r="S3087" s="18" t="inlineStr"/>
      <c r="T3087" s="18" t="inlineStr">
        <is>
          <t>rare</t>
        </is>
      </c>
      <c r="U3087" s="20" t="n">
        <v>2.5</v>
      </c>
      <c r="V3087" s="21" t="n">
        <v>1</v>
      </c>
      <c r="W3087" s="20">
        <f>IF(OR(U3087="",V3087=""),U3087,U3087*V3087)</f>
        <v/>
      </c>
      <c r="X3087" s="18" t="inlineStr">
        <is>
          <t>38-57</t>
        </is>
      </c>
      <c r="Y3087" s="19" t="inlineStr"/>
      <c r="Z3087" s="18">
        <f>IF(Y3087="",X3087,Y3087)</f>
        <v/>
      </c>
      <c r="AA3087" s="18" t="inlineStr">
        <is>
          <t>grounded</t>
        </is>
      </c>
      <c r="AB3087" s="18" t="inlineStr"/>
      <c r="AC3087" s="18" t="inlineStr"/>
      <c r="AD3087" s="18" t="inlineStr"/>
      <c r="AE3087" s="18" t="inlineStr"/>
      <c r="AF3087" s="18" t="inlineStr">
        <is>
          <t>True</t>
        </is>
      </c>
      <c r="AG3087" s="18" t="inlineStr"/>
      <c r="AH3087" s="18" t="inlineStr"/>
      <c r="AI3087" s="18" t="inlineStr"/>
      <c r="AJ3087" s="18" t="inlineStr">
        <is>
          <t>COBBLEVERSE 추가</t>
        </is>
      </c>
      <c r="AK3087" s="18" t="inlineStr">
        <is>
          <t>사용</t>
        </is>
      </c>
      <c r="AL3087" s="18" t="inlineStr">
        <is>
          <t>COBBLEVERSE 1.7.42 / DP v31</t>
        </is>
      </c>
      <c r="AM3087" s="18" t="inlineStr">
        <is>
          <t>data/cobblemon/spawn_pool_world/0997_arctibax.json</t>
        </is>
      </c>
      <c r="AN3087" s="18" t="inlineStr">
        <is>
          <t>arctibax-1</t>
        </is>
      </c>
      <c r="AO3087" s="18" t="inlineStr">
        <is>
          <t>pokemon</t>
        </is>
      </c>
      <c r="AP3087" s="18" t="inlineStr">
        <is>
          <t>natural</t>
        </is>
      </c>
      <c r="AQ3087" s="18" t="inlineStr">
        <is>
          <t>{"biomes":["#cobblemon:is_glacial"],"canSeeSky":true}</t>
        </is>
      </c>
      <c r="AR3087" s="18" t="inlineStr"/>
      <c r="AS3087" s="18" t="inlineStr"/>
      <c r="AT3087" s="19" t="inlineStr"/>
    </row>
    <row r="3088" ht="32" customHeight="1">
      <c r="A3088" s="18" t="inlineStr">
        <is>
          <t>0998_baxcalibur.json::baxcalibur-1::001</t>
        </is>
      </c>
      <c r="B3088" s="19" t="inlineStr">
        <is>
          <t>사용</t>
        </is>
      </c>
      <c r="C3088" s="18">
        <f>IF(OR(B3088&lt;&gt;AK3088,M3088&lt;&gt;L3088,O3088&lt;&gt;"",Q3088&lt;&gt;"",V3088&lt;&gt;1,Y3088&lt;&gt;"",AT3088&lt;&gt;""),"수정","원본")</f>
        <v/>
      </c>
      <c r="D3088" s="18" t="n">
        <v>998</v>
      </c>
      <c r="E3088" s="18" t="inlineStr">
        <is>
          <t>드닐레이브</t>
        </is>
      </c>
      <c r="F3088" s="18" t="inlineStr">
        <is>
          <t>baxcalibur</t>
        </is>
      </c>
      <c r="G3088" s="18" t="inlineStr">
        <is>
          <t>baxcalibur</t>
        </is>
      </c>
      <c r="H3088" s="18" t="inlineStr"/>
      <c r="I3088" s="18" t="n">
        <v>9</v>
      </c>
      <c r="J3088" s="18" t="n"/>
      <c r="K3088" s="18" t="n">
        <v>9</v>
      </c>
      <c r="L3088" s="18" t="inlineStr">
        <is>
          <t>cobbleventure:generation_9</t>
        </is>
      </c>
      <c r="M3088" s="19" t="inlineStr">
        <is>
          <t>cobbleventure:generation_9</t>
        </is>
      </c>
      <c r="N3088" s="18" t="inlineStr"/>
      <c r="O3088" s="19" t="inlineStr"/>
      <c r="P3088" s="18" t="inlineStr">
        <is>
          <t>#cobblemon:is_glacial</t>
        </is>
      </c>
      <c r="Q3088" s="19" t="inlineStr"/>
      <c r="R3088" s="18">
        <f>IF(Q3088="",P3088,Q3088)</f>
        <v/>
      </c>
      <c r="S3088" s="18" t="inlineStr"/>
      <c r="T3088" s="18" t="inlineStr">
        <is>
          <t>ultra-rare</t>
        </is>
      </c>
      <c r="U3088" s="20" t="n">
        <v>5</v>
      </c>
      <c r="V3088" s="21" t="n">
        <v>1</v>
      </c>
      <c r="W3088" s="20">
        <f>IF(OR(U3088="",V3088=""),U3088,U3088*V3088)</f>
        <v/>
      </c>
      <c r="X3088" s="18" t="inlineStr">
        <is>
          <t>58-67</t>
        </is>
      </c>
      <c r="Y3088" s="19" t="inlineStr"/>
      <c r="Z3088" s="18">
        <f>IF(Y3088="",X3088,Y3088)</f>
        <v/>
      </c>
      <c r="AA3088" s="18" t="inlineStr">
        <is>
          <t>grounded</t>
        </is>
      </c>
      <c r="AB3088" s="18" t="inlineStr"/>
      <c r="AC3088" s="18" t="inlineStr"/>
      <c r="AD3088" s="18" t="inlineStr"/>
      <c r="AE3088" s="18" t="inlineStr"/>
      <c r="AF3088" s="18" t="inlineStr">
        <is>
          <t>True</t>
        </is>
      </c>
      <c r="AG3088" s="18" t="inlineStr"/>
      <c r="AH3088" s="18" t="inlineStr"/>
      <c r="AI3088" s="18" t="inlineStr"/>
      <c r="AJ3088" s="18" t="inlineStr">
        <is>
          <t>COBBLEVERSE 추가</t>
        </is>
      </c>
      <c r="AK3088" s="18" t="inlineStr">
        <is>
          <t>사용</t>
        </is>
      </c>
      <c r="AL3088" s="18" t="inlineStr">
        <is>
          <t>COBBLEVERSE 1.7.42 / DP v31</t>
        </is>
      </c>
      <c r="AM3088" s="18" t="inlineStr">
        <is>
          <t>data/cobblemon/spawn_pool_world/0998_baxcalibur.json</t>
        </is>
      </c>
      <c r="AN3088" s="18" t="inlineStr">
        <is>
          <t>baxcalibur-1</t>
        </is>
      </c>
      <c r="AO3088" s="18" t="inlineStr">
        <is>
          <t>pokemon</t>
        </is>
      </c>
      <c r="AP3088" s="18" t="inlineStr">
        <is>
          <t>natural</t>
        </is>
      </c>
      <c r="AQ3088" s="18" t="inlineStr">
        <is>
          <t>{"biomes":["#cobblemon:is_glacial"],"canSeeSky":true}</t>
        </is>
      </c>
      <c r="AR3088" s="18" t="inlineStr"/>
      <c r="AS3088" s="18" t="inlineStr"/>
      <c r="AT3088" s="19" t="inlineStr"/>
    </row>
    <row r="3089" ht="32" customHeight="1">
      <c r="A3089" s="18" t="inlineStr">
        <is>
          <t>0999_gimmighoul.json::gimmighoul-roaming-1::001</t>
        </is>
      </c>
      <c r="B3089" s="19" t="inlineStr">
        <is>
          <t>사용</t>
        </is>
      </c>
      <c r="C3089" s="18">
        <f>IF(OR(B3089&lt;&gt;AK3089,M3089&lt;&gt;L3089,O3089&lt;&gt;"",Q3089&lt;&gt;"",V3089&lt;&gt;1,Y3089&lt;&gt;"",AT3089&lt;&gt;""),"수정","원본")</f>
        <v/>
      </c>
      <c r="D3089" s="18" t="n">
        <v>999</v>
      </c>
      <c r="E3089" s="18" t="inlineStr">
        <is>
          <t>모으령</t>
        </is>
      </c>
      <c r="F3089" s="18" t="inlineStr">
        <is>
          <t>gimmighoul</t>
        </is>
      </c>
      <c r="G3089" s="18" t="inlineStr">
        <is>
          <t>gimmighoul roaming</t>
        </is>
      </c>
      <c r="H3089" s="18" t="inlineStr">
        <is>
          <t>roaming</t>
        </is>
      </c>
      <c r="I3089" s="18" t="n">
        <v>9</v>
      </c>
      <c r="J3089" s="18" t="n"/>
      <c r="K3089" s="18" t="n">
        <v>9</v>
      </c>
      <c r="L3089" s="18" t="inlineStr">
        <is>
          <t>cobbleventure:generation_9</t>
        </is>
      </c>
      <c r="M3089" s="19" t="inlineStr">
        <is>
          <t>cobbleventure:generation_9</t>
        </is>
      </c>
      <c r="N3089" s="18" t="inlineStr">
        <is>
          <t>region_01; region_02</t>
        </is>
      </c>
      <c r="O3089" s="19" t="inlineStr"/>
      <c r="P3089" s="18" t="inlineStr">
        <is>
          <t>#cobblemon:is_overworld</t>
        </is>
      </c>
      <c r="Q3089" s="19" t="inlineStr"/>
      <c r="R3089" s="18">
        <f>IF(Q3089="",P3089,Q3089)</f>
        <v/>
      </c>
      <c r="S3089" s="18" t="inlineStr"/>
      <c r="T3089" s="18" t="inlineStr">
        <is>
          <t>common</t>
        </is>
      </c>
      <c r="U3089" s="20" t="n">
        <v>60</v>
      </c>
      <c r="V3089" s="21" t="n">
        <v>1</v>
      </c>
      <c r="W3089" s="20">
        <f>IF(OR(U3089="",V3089=""),U3089,U3089*V3089)</f>
        <v/>
      </c>
      <c r="X3089" s="18" t="inlineStr">
        <is>
          <t>5-30</t>
        </is>
      </c>
      <c r="Y3089" s="19" t="inlineStr"/>
      <c r="Z3089" s="18">
        <f>IF(Y3089="",X3089,Y3089)</f>
        <v/>
      </c>
      <c r="AA3089" s="18" t="inlineStr">
        <is>
          <t>grounded</t>
        </is>
      </c>
      <c r="AB3089" s="18" t="inlineStr"/>
      <c r="AC3089" s="18" t="inlineStr"/>
      <c r="AD3089" s="18" t="inlineStr">
        <is>
          <t>minY=48</t>
        </is>
      </c>
      <c r="AE3089" s="18" t="inlineStr"/>
      <c r="AF3089" s="18" t="inlineStr"/>
      <c r="AG3089" s="18" t="inlineStr">
        <is>
          <t>#cobblemon:ruin</t>
        </is>
      </c>
      <c r="AH3089" s="18" t="inlineStr"/>
      <c r="AI3089" s="18" t="inlineStr"/>
      <c r="AJ3089" s="18" t="inlineStr">
        <is>
          <t>Cobblemon 동일</t>
        </is>
      </c>
      <c r="AK3089" s="18" t="inlineStr">
        <is>
          <t>사용</t>
        </is>
      </c>
      <c r="AL3089" s="18" t="inlineStr">
        <is>
          <t>COBBLEVERSE 1.7.42 / DP v31</t>
        </is>
      </c>
      <c r="AM3089" s="18" t="inlineStr">
        <is>
          <t>data/cobblemon/spawn_pool_world/0999_gimmighoul.json</t>
        </is>
      </c>
      <c r="AN3089" s="18" t="inlineStr">
        <is>
          <t>gimmighoul-roaming-1</t>
        </is>
      </c>
      <c r="AO3089" s="18" t="inlineStr">
        <is>
          <t>pokemon</t>
        </is>
      </c>
      <c r="AP3089" s="18" t="inlineStr"/>
      <c r="AQ3089" s="18" t="inlineStr">
        <is>
          <t>{"biomes":["#cobblemon:is_overworld"],"minY":48,"structures":["#cobblemon:ruin"]}</t>
        </is>
      </c>
      <c r="AR3089" s="18" t="inlineStr"/>
      <c r="AS3089" s="18" t="inlineStr"/>
      <c r="AT3089" s="19" t="inlineStr"/>
    </row>
    <row r="3090" ht="32" customHeight="1">
      <c r="A3090" s="18" t="inlineStr">
        <is>
          <t>0999_gimmighoul.json::gimmighoul-roaming-2::002</t>
        </is>
      </c>
      <c r="B3090" s="19" t="inlineStr">
        <is>
          <t>사용</t>
        </is>
      </c>
      <c r="C3090" s="18">
        <f>IF(OR(B3090&lt;&gt;AK3090,M3090&lt;&gt;L3090,O3090&lt;&gt;"",Q3090&lt;&gt;"",V3090&lt;&gt;1,Y3090&lt;&gt;"",AT3090&lt;&gt;""),"수정","원본")</f>
        <v/>
      </c>
      <c r="D3090" s="18" t="n">
        <v>999</v>
      </c>
      <c r="E3090" s="18" t="inlineStr">
        <is>
          <t>모으령</t>
        </is>
      </c>
      <c r="F3090" s="18" t="inlineStr">
        <is>
          <t>gimmighoul</t>
        </is>
      </c>
      <c r="G3090" s="18" t="inlineStr">
        <is>
          <t>gimmighoul roaming</t>
        </is>
      </c>
      <c r="H3090" s="18" t="inlineStr">
        <is>
          <t>roaming</t>
        </is>
      </c>
      <c r="I3090" s="18" t="n">
        <v>9</v>
      </c>
      <c r="J3090" s="18" t="n"/>
      <c r="K3090" s="18" t="n">
        <v>9</v>
      </c>
      <c r="L3090" s="18" t="inlineStr">
        <is>
          <t>cobbleventure:generation_9</t>
        </is>
      </c>
      <c r="M3090" s="19" t="inlineStr">
        <is>
          <t>cobbleventure:generation_9</t>
        </is>
      </c>
      <c r="N3090" s="18" t="inlineStr">
        <is>
          <t>region_01; region_02</t>
        </is>
      </c>
      <c r="O3090" s="19" t="inlineStr"/>
      <c r="P3090" s="18" t="inlineStr">
        <is>
          <t>#cobblemon:is_overworld</t>
        </is>
      </c>
      <c r="Q3090" s="19" t="inlineStr"/>
      <c r="R3090" s="18">
        <f>IF(Q3090="",P3090,Q3090)</f>
        <v/>
      </c>
      <c r="S3090" s="18" t="inlineStr"/>
      <c r="T3090" s="18" t="inlineStr">
        <is>
          <t>common</t>
        </is>
      </c>
      <c r="U3090" s="20" t="n">
        <v>100</v>
      </c>
      <c r="V3090" s="21" t="n">
        <v>1</v>
      </c>
      <c r="W3090" s="20">
        <f>IF(OR(U3090="",V3090=""),U3090,U3090*V3090)</f>
        <v/>
      </c>
      <c r="X3090" s="18" t="inlineStr">
        <is>
          <t>5-30</t>
        </is>
      </c>
      <c r="Y3090" s="19" t="inlineStr"/>
      <c r="Z3090" s="18">
        <f>IF(Y3090="",X3090,Y3090)</f>
        <v/>
      </c>
      <c r="AA3090" s="18" t="inlineStr">
        <is>
          <t>grounded</t>
        </is>
      </c>
      <c r="AB3090" s="18" t="inlineStr"/>
      <c r="AC3090" s="18" t="inlineStr"/>
      <c r="AD3090" s="18" t="inlineStr">
        <is>
          <t>minY=-37, maxY=10</t>
        </is>
      </c>
      <c r="AE3090" s="18" t="inlineStr"/>
      <c r="AF3090" s="18" t="inlineStr"/>
      <c r="AG3090" s="18" t="inlineStr">
        <is>
          <t>#cobblemon:ruins/arch</t>
        </is>
      </c>
      <c r="AH3090" s="18" t="inlineStr"/>
      <c r="AI3090" s="18" t="inlineStr"/>
      <c r="AJ3090" s="18" t="inlineStr">
        <is>
          <t>Cobblemon 동일</t>
        </is>
      </c>
      <c r="AK3090" s="18" t="inlineStr">
        <is>
          <t>사용</t>
        </is>
      </c>
      <c r="AL3090" s="18" t="inlineStr">
        <is>
          <t>COBBLEVERSE 1.7.42 / DP v31</t>
        </is>
      </c>
      <c r="AM3090" s="18" t="inlineStr">
        <is>
          <t>data/cobblemon/spawn_pool_world/0999_gimmighoul.json</t>
        </is>
      </c>
      <c r="AN3090" s="18" t="inlineStr">
        <is>
          <t>gimmighoul-roaming-2</t>
        </is>
      </c>
      <c r="AO3090" s="18" t="inlineStr">
        <is>
          <t>pokemon</t>
        </is>
      </c>
      <c r="AP3090" s="18" t="inlineStr"/>
      <c r="AQ3090" s="18" t="inlineStr">
        <is>
          <t>{"biomes":["#cobblemon:is_overworld"],"maxY":10,"minY":-37,"structures":["#cobblemon:ruins/arch"]}</t>
        </is>
      </c>
      <c r="AR3090" s="18" t="inlineStr"/>
      <c r="AS3090" s="18" t="inlineStr"/>
      <c r="AT3090" s="19" t="inlineStr"/>
    </row>
    <row r="3091" ht="32" customHeight="1">
      <c r="A3091" s="18" t="inlineStr">
        <is>
          <t>0999_gimmighoul.json::gimmighoul-roaming-3::003</t>
        </is>
      </c>
      <c r="B3091" s="19" t="inlineStr">
        <is>
          <t>사용</t>
        </is>
      </c>
      <c r="C3091" s="18">
        <f>IF(OR(B3091&lt;&gt;AK3091,M3091&lt;&gt;L3091,O3091&lt;&gt;"",Q3091&lt;&gt;"",V3091&lt;&gt;1,Y3091&lt;&gt;"",AT3091&lt;&gt;""),"수정","원본")</f>
        <v/>
      </c>
      <c r="D3091" s="18" t="n">
        <v>999</v>
      </c>
      <c r="E3091" s="18" t="inlineStr">
        <is>
          <t>모으령</t>
        </is>
      </c>
      <c r="F3091" s="18" t="inlineStr">
        <is>
          <t>gimmighoul</t>
        </is>
      </c>
      <c r="G3091" s="18" t="inlineStr">
        <is>
          <t>gimmighoul roaming</t>
        </is>
      </c>
      <c r="H3091" s="18" t="inlineStr">
        <is>
          <t>roaming</t>
        </is>
      </c>
      <c r="I3091" s="18" t="n">
        <v>9</v>
      </c>
      <c r="J3091" s="18" t="n"/>
      <c r="K3091" s="18" t="n">
        <v>9</v>
      </c>
      <c r="L3091" s="18" t="inlineStr">
        <is>
          <t>cobbleventure:generation_9</t>
        </is>
      </c>
      <c r="M3091" s="19" t="inlineStr">
        <is>
          <t>cobbleventure:generation_9</t>
        </is>
      </c>
      <c r="N3091" s="18" t="inlineStr"/>
      <c r="O3091" s="19" t="inlineStr"/>
      <c r="P3091" s="18" t="inlineStr">
        <is>
          <t>#aether:is_aether</t>
        </is>
      </c>
      <c r="Q3091" s="19" t="inlineStr"/>
      <c r="R3091" s="18">
        <f>IF(Q3091="",P3091,Q3091)</f>
        <v/>
      </c>
      <c r="S3091" s="18" t="inlineStr"/>
      <c r="T3091" s="18" t="inlineStr">
        <is>
          <t>uncommon</t>
        </is>
      </c>
      <c r="U3091" s="20" t="n">
        <v>10</v>
      </c>
      <c r="V3091" s="21" t="n">
        <v>1</v>
      </c>
      <c r="W3091" s="20">
        <f>IF(OR(U3091="",V3091=""),U3091,U3091*V3091)</f>
        <v/>
      </c>
      <c r="X3091" s="18" t="inlineStr">
        <is>
          <t>5-30</t>
        </is>
      </c>
      <c r="Y3091" s="19" t="inlineStr"/>
      <c r="Z3091" s="18">
        <f>IF(Y3091="",X3091,Y3091)</f>
        <v/>
      </c>
      <c r="AA3091" s="18" t="inlineStr">
        <is>
          <t>grounded</t>
        </is>
      </c>
      <c r="AB3091" s="18" t="inlineStr"/>
      <c r="AC3091" s="18" t="inlineStr"/>
      <c r="AD3091" s="18" t="inlineStr"/>
      <c r="AE3091" s="18" t="inlineStr">
        <is>
          <t>sky 0-7</t>
        </is>
      </c>
      <c r="AF3091" s="18" t="inlineStr"/>
      <c r="AG3091" s="18" t="inlineStr">
        <is>
          <t>#aether:dungeons</t>
        </is>
      </c>
      <c r="AH3091" s="18" t="inlineStr"/>
      <c r="AI3091" s="18" t="inlineStr"/>
      <c r="AJ3091" s="18" t="inlineStr">
        <is>
          <t>Cobblemon 동일</t>
        </is>
      </c>
      <c r="AK3091" s="18" t="inlineStr">
        <is>
          <t>사용</t>
        </is>
      </c>
      <c r="AL3091" s="18" t="inlineStr">
        <is>
          <t>COBBLEVERSE 1.7.42 / DP v31</t>
        </is>
      </c>
      <c r="AM3091" s="18" t="inlineStr">
        <is>
          <t>data/cobblemon/spawn_pool_world/0999_gimmighoul.json</t>
        </is>
      </c>
      <c r="AN3091" s="18" t="inlineStr">
        <is>
          <t>gimmighoul-roaming-3</t>
        </is>
      </c>
      <c r="AO3091" s="18" t="inlineStr">
        <is>
          <t>pokemon</t>
        </is>
      </c>
      <c r="AP3091" s="18" t="inlineStr"/>
      <c r="AQ3091" s="18" t="inlineStr">
        <is>
          <t>{"biomes":["#aether:is_aether"],"maxSkyLight":7,"minSkyLight":0,"structures":["#aether:dungeons"]}</t>
        </is>
      </c>
      <c r="AR3091" s="18" t="inlineStr"/>
      <c r="AS3091" s="18" t="inlineStr"/>
      <c r="AT3091" s="19" t="inlineStr"/>
    </row>
    <row r="3092" ht="32" customHeight="1">
      <c r="A3092" s="18" t="inlineStr">
        <is>
          <t>0999_gimmighoul.json::gimmighoul-chest-4::004</t>
        </is>
      </c>
      <c r="B3092" s="19" t="inlineStr">
        <is>
          <t>사용</t>
        </is>
      </c>
      <c r="C3092" s="18">
        <f>IF(OR(B3092&lt;&gt;AK3092,M3092&lt;&gt;L3092,O3092&lt;&gt;"",Q3092&lt;&gt;"",V3092&lt;&gt;1,Y3092&lt;&gt;"",AT3092&lt;&gt;""),"수정","원본")</f>
        <v/>
      </c>
      <c r="D3092" s="18" t="n">
        <v>999</v>
      </c>
      <c r="E3092" s="18" t="inlineStr">
        <is>
          <t>모으령</t>
        </is>
      </c>
      <c r="F3092" s="18" t="inlineStr">
        <is>
          <t>gimmighoul</t>
        </is>
      </c>
      <c r="G3092" s="18" t="inlineStr">
        <is>
          <t>gimmighoul chest</t>
        </is>
      </c>
      <c r="H3092" s="18" t="inlineStr">
        <is>
          <t>chest</t>
        </is>
      </c>
      <c r="I3092" s="18" t="n">
        <v>9</v>
      </c>
      <c r="J3092" s="18" t="n"/>
      <c r="K3092" s="18" t="n">
        <v>9</v>
      </c>
      <c r="L3092" s="18" t="inlineStr">
        <is>
          <t>cobbleventure:generation_9</t>
        </is>
      </c>
      <c r="M3092" s="19" t="inlineStr">
        <is>
          <t>cobbleventure:generation_9</t>
        </is>
      </c>
      <c r="N3092" s="18" t="inlineStr">
        <is>
          <t>region_01; region_02</t>
        </is>
      </c>
      <c r="O3092" s="19" t="inlineStr"/>
      <c r="P3092" s="18" t="inlineStr">
        <is>
          <t>#cobblemon:is_overworld</t>
        </is>
      </c>
      <c r="Q3092" s="19" t="inlineStr"/>
      <c r="R3092" s="18">
        <f>IF(Q3092="",P3092,Q3092)</f>
        <v/>
      </c>
      <c r="S3092" s="18" t="inlineStr"/>
      <c r="T3092" s="18" t="inlineStr">
        <is>
          <t>rare</t>
        </is>
      </c>
      <c r="U3092" s="20" t="n">
        <v>60</v>
      </c>
      <c r="V3092" s="21" t="n">
        <v>1</v>
      </c>
      <c r="W3092" s="20">
        <f>IF(OR(U3092="",V3092=""),U3092,U3092*V3092)</f>
        <v/>
      </c>
      <c r="X3092" s="18" t="inlineStr">
        <is>
          <t>5-30</t>
        </is>
      </c>
      <c r="Y3092" s="19" t="inlineStr"/>
      <c r="Z3092" s="18">
        <f>IF(Y3092="",X3092,Y3092)</f>
        <v/>
      </c>
      <c r="AA3092" s="18" t="inlineStr">
        <is>
          <t>grounded</t>
        </is>
      </c>
      <c r="AB3092" s="18" t="inlineStr"/>
      <c r="AC3092" s="18" t="inlineStr"/>
      <c r="AD3092" s="18" t="inlineStr">
        <is>
          <t>minY=48</t>
        </is>
      </c>
      <c r="AE3092" s="18" t="inlineStr"/>
      <c r="AF3092" s="18" t="inlineStr"/>
      <c r="AG3092" s="18" t="inlineStr">
        <is>
          <t>#cobblemon:ruin</t>
        </is>
      </c>
      <c r="AH3092" s="18" t="inlineStr"/>
      <c r="AI3092" s="18" t="inlineStr"/>
      <c r="AJ3092" s="18" t="inlineStr">
        <is>
          <t>Cobblemon 동일</t>
        </is>
      </c>
      <c r="AK3092" s="18" t="inlineStr">
        <is>
          <t>사용</t>
        </is>
      </c>
      <c r="AL3092" s="18" t="inlineStr">
        <is>
          <t>COBBLEVERSE 1.7.42 / DP v31</t>
        </is>
      </c>
      <c r="AM3092" s="18" t="inlineStr">
        <is>
          <t>data/cobblemon/spawn_pool_world/0999_gimmighoul.json</t>
        </is>
      </c>
      <c r="AN3092" s="18" t="inlineStr">
        <is>
          <t>gimmighoul-chest-4</t>
        </is>
      </c>
      <c r="AO3092" s="18" t="inlineStr">
        <is>
          <t>pokemon</t>
        </is>
      </c>
      <c r="AP3092" s="18" t="inlineStr"/>
      <c r="AQ3092" s="18" t="inlineStr">
        <is>
          <t>{"biomes":["#cobblemon:is_overworld"],"minY":48,"structures":["#cobblemon:ruin"]}</t>
        </is>
      </c>
      <c r="AR3092" s="18" t="inlineStr"/>
      <c r="AS3092" s="18" t="inlineStr"/>
      <c r="AT3092" s="19" t="inlineStr"/>
    </row>
    <row r="3093" ht="32" customHeight="1">
      <c r="A3093" s="18" t="inlineStr">
        <is>
          <t>0999_gimmighoul.json::gimmighoul-chest-5::005</t>
        </is>
      </c>
      <c r="B3093" s="19" t="inlineStr">
        <is>
          <t>사용</t>
        </is>
      </c>
      <c r="C3093" s="18">
        <f>IF(OR(B3093&lt;&gt;AK3093,M3093&lt;&gt;L3093,O3093&lt;&gt;"",Q3093&lt;&gt;"",V3093&lt;&gt;1,Y3093&lt;&gt;"",AT3093&lt;&gt;""),"수정","원본")</f>
        <v/>
      </c>
      <c r="D3093" s="18" t="n">
        <v>999</v>
      </c>
      <c r="E3093" s="18" t="inlineStr">
        <is>
          <t>모으령</t>
        </is>
      </c>
      <c r="F3093" s="18" t="inlineStr">
        <is>
          <t>gimmighoul</t>
        </is>
      </c>
      <c r="G3093" s="18" t="inlineStr">
        <is>
          <t>gimmighoul chest</t>
        </is>
      </c>
      <c r="H3093" s="18" t="inlineStr">
        <is>
          <t>chest</t>
        </is>
      </c>
      <c r="I3093" s="18" t="n">
        <v>9</v>
      </c>
      <c r="J3093" s="18" t="n"/>
      <c r="K3093" s="18" t="n">
        <v>9</v>
      </c>
      <c r="L3093" s="18" t="inlineStr">
        <is>
          <t>cobbleventure:generation_9</t>
        </is>
      </c>
      <c r="M3093" s="19" t="inlineStr">
        <is>
          <t>cobbleventure:generation_9</t>
        </is>
      </c>
      <c r="N3093" s="18" t="inlineStr">
        <is>
          <t>region_01; region_02</t>
        </is>
      </c>
      <c r="O3093" s="19" t="inlineStr"/>
      <c r="P3093" s="18" t="inlineStr">
        <is>
          <t>#cobblemon:is_overworld</t>
        </is>
      </c>
      <c r="Q3093" s="19" t="inlineStr"/>
      <c r="R3093" s="18">
        <f>IF(Q3093="",P3093,Q3093)</f>
        <v/>
      </c>
      <c r="S3093" s="18" t="inlineStr"/>
      <c r="T3093" s="18" t="inlineStr">
        <is>
          <t>rare</t>
        </is>
      </c>
      <c r="U3093" s="20" t="n">
        <v>100</v>
      </c>
      <c r="V3093" s="21" t="n">
        <v>1</v>
      </c>
      <c r="W3093" s="20">
        <f>IF(OR(U3093="",V3093=""),U3093,U3093*V3093)</f>
        <v/>
      </c>
      <c r="X3093" s="18" t="inlineStr">
        <is>
          <t>5-30</t>
        </is>
      </c>
      <c r="Y3093" s="19" t="inlineStr"/>
      <c r="Z3093" s="18">
        <f>IF(Y3093="",X3093,Y3093)</f>
        <v/>
      </c>
      <c r="AA3093" s="18" t="inlineStr">
        <is>
          <t>grounded</t>
        </is>
      </c>
      <c r="AB3093" s="18" t="inlineStr"/>
      <c r="AC3093" s="18" t="inlineStr"/>
      <c r="AD3093" s="18" t="inlineStr">
        <is>
          <t>minY=-37, maxY=10</t>
        </is>
      </c>
      <c r="AE3093" s="18" t="inlineStr"/>
      <c r="AF3093" s="18" t="inlineStr"/>
      <c r="AG3093" s="18" t="inlineStr">
        <is>
          <t>#cobblemon:ruins/arch</t>
        </is>
      </c>
      <c r="AH3093" s="18" t="inlineStr"/>
      <c r="AI3093" s="18" t="inlineStr"/>
      <c r="AJ3093" s="18" t="inlineStr">
        <is>
          <t>Cobblemon 동일</t>
        </is>
      </c>
      <c r="AK3093" s="18" t="inlineStr">
        <is>
          <t>사용</t>
        </is>
      </c>
      <c r="AL3093" s="18" t="inlineStr">
        <is>
          <t>COBBLEVERSE 1.7.42 / DP v31</t>
        </is>
      </c>
      <c r="AM3093" s="18" t="inlineStr">
        <is>
          <t>data/cobblemon/spawn_pool_world/0999_gimmighoul.json</t>
        </is>
      </c>
      <c r="AN3093" s="18" t="inlineStr">
        <is>
          <t>gimmighoul-chest-5</t>
        </is>
      </c>
      <c r="AO3093" s="18" t="inlineStr">
        <is>
          <t>pokemon</t>
        </is>
      </c>
      <c r="AP3093" s="18" t="inlineStr"/>
      <c r="AQ3093" s="18" t="inlineStr">
        <is>
          <t>{"biomes":["#cobblemon:is_overworld"],"maxY":10,"minY":-37,"structures":["#cobblemon:ruins/arch"]}</t>
        </is>
      </c>
      <c r="AR3093" s="18" t="inlineStr"/>
      <c r="AS3093" s="18" t="inlineStr"/>
      <c r="AT3093" s="19" t="inlineStr"/>
    </row>
    <row r="3094" ht="32" customHeight="1">
      <c r="A3094" s="18" t="inlineStr">
        <is>
          <t>0999_gimmighoul.json::gimmighoul-chest-6::006</t>
        </is>
      </c>
      <c r="B3094" s="19" t="inlineStr">
        <is>
          <t>사용</t>
        </is>
      </c>
      <c r="C3094" s="18">
        <f>IF(OR(B3094&lt;&gt;AK3094,M3094&lt;&gt;L3094,O3094&lt;&gt;"",Q3094&lt;&gt;"",V3094&lt;&gt;1,Y3094&lt;&gt;"",AT3094&lt;&gt;""),"수정","원본")</f>
        <v/>
      </c>
      <c r="D3094" s="18" t="n">
        <v>999</v>
      </c>
      <c r="E3094" s="18" t="inlineStr">
        <is>
          <t>모으령</t>
        </is>
      </c>
      <c r="F3094" s="18" t="inlineStr">
        <is>
          <t>gimmighoul</t>
        </is>
      </c>
      <c r="G3094" s="18" t="inlineStr">
        <is>
          <t>gimmighoul chest</t>
        </is>
      </c>
      <c r="H3094" s="18" t="inlineStr">
        <is>
          <t>chest</t>
        </is>
      </c>
      <c r="I3094" s="18" t="n">
        <v>9</v>
      </c>
      <c r="J3094" s="18" t="n"/>
      <c r="K3094" s="18" t="n">
        <v>9</v>
      </c>
      <c r="L3094" s="18" t="inlineStr">
        <is>
          <t>cobbleventure:generation_9</t>
        </is>
      </c>
      <c r="M3094" s="19" t="inlineStr">
        <is>
          <t>cobbleventure:generation_9</t>
        </is>
      </c>
      <c r="N3094" s="18" t="inlineStr"/>
      <c r="O3094" s="19" t="inlineStr"/>
      <c r="P3094" s="18" t="inlineStr">
        <is>
          <t>#aether:is_aether</t>
        </is>
      </c>
      <c r="Q3094" s="19" t="inlineStr"/>
      <c r="R3094" s="18">
        <f>IF(Q3094="",P3094,Q3094)</f>
        <v/>
      </c>
      <c r="S3094" s="18" t="inlineStr"/>
      <c r="T3094" s="18" t="inlineStr">
        <is>
          <t>rare</t>
        </is>
      </c>
      <c r="U3094" s="20" t="n">
        <v>10</v>
      </c>
      <c r="V3094" s="21" t="n">
        <v>1</v>
      </c>
      <c r="W3094" s="20">
        <f>IF(OR(U3094="",V3094=""),U3094,U3094*V3094)</f>
        <v/>
      </c>
      <c r="X3094" s="18" t="inlineStr">
        <is>
          <t>5-30</t>
        </is>
      </c>
      <c r="Y3094" s="19" t="inlineStr"/>
      <c r="Z3094" s="18">
        <f>IF(Y3094="",X3094,Y3094)</f>
        <v/>
      </c>
      <c r="AA3094" s="18" t="inlineStr">
        <is>
          <t>grounded</t>
        </is>
      </c>
      <c r="AB3094" s="18" t="inlineStr"/>
      <c r="AC3094" s="18" t="inlineStr"/>
      <c r="AD3094" s="18" t="inlineStr"/>
      <c r="AE3094" s="18" t="inlineStr">
        <is>
          <t>sky 0-7</t>
        </is>
      </c>
      <c r="AF3094" s="18" t="inlineStr"/>
      <c r="AG3094" s="18" t="inlineStr">
        <is>
          <t>#aether:dungeons</t>
        </is>
      </c>
      <c r="AH3094" s="18" t="inlineStr"/>
      <c r="AI3094" s="18" t="inlineStr"/>
      <c r="AJ3094" s="18" t="inlineStr">
        <is>
          <t>Cobblemon 동일</t>
        </is>
      </c>
      <c r="AK3094" s="18" t="inlineStr">
        <is>
          <t>사용</t>
        </is>
      </c>
      <c r="AL3094" s="18" t="inlineStr">
        <is>
          <t>COBBLEVERSE 1.7.42 / DP v31</t>
        </is>
      </c>
      <c r="AM3094" s="18" t="inlineStr">
        <is>
          <t>data/cobblemon/spawn_pool_world/0999_gimmighoul.json</t>
        </is>
      </c>
      <c r="AN3094" s="18" t="inlineStr">
        <is>
          <t>gimmighoul-chest-6</t>
        </is>
      </c>
      <c r="AO3094" s="18" t="inlineStr">
        <is>
          <t>pokemon</t>
        </is>
      </c>
      <c r="AP3094" s="18" t="inlineStr"/>
      <c r="AQ3094" s="18" t="inlineStr">
        <is>
          <t>{"biomes":["#aether:is_aether"],"maxSkyLight":7,"minSkyLight":0,"structures":["#aether:dungeons"]}</t>
        </is>
      </c>
      <c r="AR3094" s="18" t="inlineStr"/>
      <c r="AS3094" s="18" t="inlineStr"/>
      <c r="AT3094" s="19" t="inlineStr"/>
    </row>
    <row r="3095" ht="32" customHeight="1">
      <c r="A3095" s="18" t="inlineStr">
        <is>
          <t>1001_wochien.json::wochien-1::001</t>
        </is>
      </c>
      <c r="B3095" s="19" t="inlineStr">
        <is>
          <t>사용</t>
        </is>
      </c>
      <c r="C3095" s="18">
        <f>IF(OR(B3095&lt;&gt;AK3095,M3095&lt;&gt;L3095,O3095&lt;&gt;"",Q3095&lt;&gt;"",V3095&lt;&gt;1,Y3095&lt;&gt;"",AT3095&lt;&gt;""),"수정","원본")</f>
        <v/>
      </c>
      <c r="D3095" s="18" t="n">
        <v>1001</v>
      </c>
      <c r="E3095" s="18" t="inlineStr">
        <is>
          <t>총지엔</t>
        </is>
      </c>
      <c r="F3095" s="18" t="inlineStr">
        <is>
          <t>wochien</t>
        </is>
      </c>
      <c r="G3095" s="18" t="inlineStr">
        <is>
          <t>wochien</t>
        </is>
      </c>
      <c r="H3095" s="18" t="inlineStr"/>
      <c r="I3095" s="18" t="n">
        <v>9</v>
      </c>
      <c r="J3095" s="18" t="n"/>
      <c r="K3095" s="18" t="n">
        <v>9</v>
      </c>
      <c r="L3095" s="18" t="inlineStr">
        <is>
          <t>cobbleventure:generation_9</t>
        </is>
      </c>
      <c r="M3095" s="19" t="inlineStr">
        <is>
          <t>cobbleventure:generation_9</t>
        </is>
      </c>
      <c r="N3095" s="18" t="inlineStr"/>
      <c r="O3095" s="19" t="inlineStr"/>
      <c r="P3095" s="18" t="inlineStr">
        <is>
          <t>cobbleverse:custom_spawn/grasswither_shrine</t>
        </is>
      </c>
      <c r="Q3095" s="19" t="inlineStr"/>
      <c r="R3095" s="18">
        <f>IF(Q3095="",P3095,Q3095)</f>
        <v/>
      </c>
      <c r="S3095" s="18" t="inlineStr"/>
      <c r="T3095" s="18" t="inlineStr">
        <is>
          <t>ultra-rare</t>
        </is>
      </c>
      <c r="U3095" s="20" t="n">
        <v>0</v>
      </c>
      <c r="V3095" s="21" t="n">
        <v>1</v>
      </c>
      <c r="W3095" s="20">
        <f>IF(OR(U3095="",V3095=""),U3095,U3095*V3095)</f>
        <v/>
      </c>
      <c r="X3095" s="18" t="inlineStr">
        <is>
          <t>65-70</t>
        </is>
      </c>
      <c r="Y3095" s="19" t="inlineStr"/>
      <c r="Z3095" s="18">
        <f>IF(Y3095="",X3095,Y3095)</f>
        <v/>
      </c>
      <c r="AA3095" s="18" t="inlineStr">
        <is>
          <t>grounded</t>
        </is>
      </c>
      <c r="AB3095" s="18" t="inlineStr"/>
      <c r="AC3095" s="18" t="inlineStr"/>
      <c r="AD3095" s="18" t="inlineStr"/>
      <c r="AE3095" s="18" t="inlineStr"/>
      <c r="AF3095" s="18" t="inlineStr"/>
      <c r="AG3095" s="18" t="inlineStr"/>
      <c r="AH3095" s="18" t="inlineStr"/>
      <c r="AI3095" s="18" t="inlineStr"/>
      <c r="AJ3095" s="18" t="inlineStr">
        <is>
          <t>COBBLEVERSE 추가</t>
        </is>
      </c>
      <c r="AK3095" s="18" t="inlineStr">
        <is>
          <t>사용</t>
        </is>
      </c>
      <c r="AL3095" s="18" t="inlineStr">
        <is>
          <t>COBBLEVERSE 1.7.42 / DP v31</t>
        </is>
      </c>
      <c r="AM3095" s="18" t="inlineStr">
        <is>
          <t>data/cobblemon/spawn_pool_world/1001_wochien.json</t>
        </is>
      </c>
      <c r="AN3095" s="18" t="inlineStr">
        <is>
          <t>wochien-1</t>
        </is>
      </c>
      <c r="AO3095" s="18" t="inlineStr">
        <is>
          <t>pokemon</t>
        </is>
      </c>
      <c r="AP3095" s="18" t="inlineStr"/>
      <c r="AQ3095" s="18" t="inlineStr">
        <is>
          <t>{"biomes":["cobbleverse:custom_spawn/grasswither_shrine"]}</t>
        </is>
      </c>
      <c r="AR3095" s="18" t="inlineStr"/>
      <c r="AS3095" s="18" t="inlineStr"/>
      <c r="AT3095" s="19" t="inlineStr"/>
    </row>
    <row r="3096" ht="32" customHeight="1">
      <c r="A3096" s="18" t="inlineStr">
        <is>
          <t>1002_chienpao.json::chienpao-1::001</t>
        </is>
      </c>
      <c r="B3096" s="19" t="inlineStr">
        <is>
          <t>사용</t>
        </is>
      </c>
      <c r="C3096" s="18">
        <f>IF(OR(B3096&lt;&gt;AK3096,M3096&lt;&gt;L3096,O3096&lt;&gt;"",Q3096&lt;&gt;"",V3096&lt;&gt;1,Y3096&lt;&gt;"",AT3096&lt;&gt;""),"수정","원본")</f>
        <v/>
      </c>
      <c r="D3096" s="18" t="n">
        <v>1002</v>
      </c>
      <c r="E3096" s="18" t="inlineStr">
        <is>
          <t>파오젠</t>
        </is>
      </c>
      <c r="F3096" s="18" t="inlineStr">
        <is>
          <t>chienpao</t>
        </is>
      </c>
      <c r="G3096" s="18" t="inlineStr">
        <is>
          <t>chienpao</t>
        </is>
      </c>
      <c r="H3096" s="18" t="inlineStr"/>
      <c r="I3096" s="18" t="n">
        <v>9</v>
      </c>
      <c r="J3096" s="18" t="n"/>
      <c r="K3096" s="18" t="n">
        <v>9</v>
      </c>
      <c r="L3096" s="18" t="inlineStr">
        <is>
          <t>cobbleventure:generation_9</t>
        </is>
      </c>
      <c r="M3096" s="19" t="inlineStr">
        <is>
          <t>cobbleventure:generation_9</t>
        </is>
      </c>
      <c r="N3096" s="18" t="inlineStr"/>
      <c r="O3096" s="19" t="inlineStr"/>
      <c r="P3096" s="18" t="inlineStr">
        <is>
          <t>cobbleverse:custom_spawn/icerend_shrine</t>
        </is>
      </c>
      <c r="Q3096" s="19" t="inlineStr"/>
      <c r="R3096" s="18">
        <f>IF(Q3096="",P3096,Q3096)</f>
        <v/>
      </c>
      <c r="S3096" s="18" t="inlineStr"/>
      <c r="T3096" s="18" t="inlineStr">
        <is>
          <t>ultra-rare</t>
        </is>
      </c>
      <c r="U3096" s="20" t="n">
        <v>0</v>
      </c>
      <c r="V3096" s="21" t="n">
        <v>1</v>
      </c>
      <c r="W3096" s="20">
        <f>IF(OR(U3096="",V3096=""),U3096,U3096*V3096)</f>
        <v/>
      </c>
      <c r="X3096" s="18" t="inlineStr">
        <is>
          <t>75-80</t>
        </is>
      </c>
      <c r="Y3096" s="19" t="inlineStr"/>
      <c r="Z3096" s="18">
        <f>IF(Y3096="",X3096,Y3096)</f>
        <v/>
      </c>
      <c r="AA3096" s="18" t="inlineStr">
        <is>
          <t>grounded</t>
        </is>
      </c>
      <c r="AB3096" s="18" t="inlineStr"/>
      <c r="AC3096" s="18" t="inlineStr"/>
      <c r="AD3096" s="18" t="inlineStr"/>
      <c r="AE3096" s="18" t="inlineStr"/>
      <c r="AF3096" s="18" t="inlineStr">
        <is>
          <t>True</t>
        </is>
      </c>
      <c r="AG3096" s="18" t="inlineStr"/>
      <c r="AH3096" s="18" t="inlineStr"/>
      <c r="AI3096" s="18" t="inlineStr"/>
      <c r="AJ3096" s="18" t="inlineStr">
        <is>
          <t>COBBLEVERSE 추가</t>
        </is>
      </c>
      <c r="AK3096" s="18" t="inlineStr">
        <is>
          <t>사용</t>
        </is>
      </c>
      <c r="AL3096" s="18" t="inlineStr">
        <is>
          <t>COBBLEVERSE 1.7.42 / DP v31</t>
        </is>
      </c>
      <c r="AM3096" s="18" t="inlineStr">
        <is>
          <t>data/cobblemon/spawn_pool_world/1002_chienpao.json</t>
        </is>
      </c>
      <c r="AN3096" s="18" t="inlineStr">
        <is>
          <t>chienpao-1</t>
        </is>
      </c>
      <c r="AO3096" s="18" t="inlineStr">
        <is>
          <t>pokemon</t>
        </is>
      </c>
      <c r="AP3096" s="18" t="inlineStr"/>
      <c r="AQ3096" s="18" t="inlineStr">
        <is>
          <t>{"biomes":["cobbleverse:custom_spawn/icerend_shrine"],"canSeeSky":true}</t>
        </is>
      </c>
      <c r="AR3096" s="18" t="inlineStr"/>
      <c r="AS3096" s="18" t="inlineStr"/>
      <c r="AT3096" s="19" t="inlineStr"/>
    </row>
    <row r="3097" ht="32" customHeight="1">
      <c r="A3097" s="18" t="inlineStr">
        <is>
          <t>1003_tinglu.json::tinglu-1::001</t>
        </is>
      </c>
      <c r="B3097" s="19" t="inlineStr">
        <is>
          <t>사용</t>
        </is>
      </c>
      <c r="C3097" s="18">
        <f>IF(OR(B3097&lt;&gt;AK3097,M3097&lt;&gt;L3097,O3097&lt;&gt;"",Q3097&lt;&gt;"",V3097&lt;&gt;1,Y3097&lt;&gt;"",AT3097&lt;&gt;""),"수정","원본")</f>
        <v/>
      </c>
      <c r="D3097" s="18" t="n">
        <v>1003</v>
      </c>
      <c r="E3097" s="18" t="inlineStr">
        <is>
          <t>딩루</t>
        </is>
      </c>
      <c r="F3097" s="18" t="inlineStr">
        <is>
          <t>tinglu</t>
        </is>
      </c>
      <c r="G3097" s="18" t="inlineStr">
        <is>
          <t>tinglu</t>
        </is>
      </c>
      <c r="H3097" s="18" t="inlineStr"/>
      <c r="I3097" s="18" t="n">
        <v>9</v>
      </c>
      <c r="J3097" s="18" t="n"/>
      <c r="K3097" s="18" t="n">
        <v>9</v>
      </c>
      <c r="L3097" s="18" t="inlineStr">
        <is>
          <t>cobbleventure:generation_9</t>
        </is>
      </c>
      <c r="M3097" s="19" t="inlineStr">
        <is>
          <t>cobbleventure:generation_9</t>
        </is>
      </c>
      <c r="N3097" s="18" t="inlineStr"/>
      <c r="O3097" s="19" t="inlineStr"/>
      <c r="P3097" s="18" t="inlineStr">
        <is>
          <t>cobbleverse:custom_spawn/groundblight_shrine</t>
        </is>
      </c>
      <c r="Q3097" s="19" t="inlineStr"/>
      <c r="R3097" s="18">
        <f>IF(Q3097="",P3097,Q3097)</f>
        <v/>
      </c>
      <c r="S3097" s="18" t="inlineStr"/>
      <c r="T3097" s="18" t="inlineStr">
        <is>
          <t>ultra-rare</t>
        </is>
      </c>
      <c r="U3097" s="20" t="n">
        <v>0</v>
      </c>
      <c r="V3097" s="21" t="n">
        <v>1</v>
      </c>
      <c r="W3097" s="20">
        <f>IF(OR(U3097="",V3097=""),U3097,U3097*V3097)</f>
        <v/>
      </c>
      <c r="X3097" s="18" t="inlineStr">
        <is>
          <t>65-70</t>
        </is>
      </c>
      <c r="Y3097" s="19" t="inlineStr"/>
      <c r="Z3097" s="18">
        <f>IF(Y3097="",X3097,Y3097)</f>
        <v/>
      </c>
      <c r="AA3097" s="18" t="inlineStr">
        <is>
          <t>grounded</t>
        </is>
      </c>
      <c r="AB3097" s="18" t="inlineStr"/>
      <c r="AC3097" s="18" t="inlineStr"/>
      <c r="AD3097" s="18" t="inlineStr"/>
      <c r="AE3097" s="18" t="inlineStr"/>
      <c r="AF3097" s="18" t="inlineStr"/>
      <c r="AG3097" s="18" t="inlineStr"/>
      <c r="AH3097" s="18" t="inlineStr"/>
      <c r="AI3097" s="18" t="inlineStr"/>
      <c r="AJ3097" s="18" t="inlineStr">
        <is>
          <t>COBBLEVERSE 추가</t>
        </is>
      </c>
      <c r="AK3097" s="18" t="inlineStr">
        <is>
          <t>사용</t>
        </is>
      </c>
      <c r="AL3097" s="18" t="inlineStr">
        <is>
          <t>COBBLEVERSE 1.7.42 / DP v31</t>
        </is>
      </c>
      <c r="AM3097" s="18" t="inlineStr">
        <is>
          <t>data/cobblemon/spawn_pool_world/1003_tinglu.json</t>
        </is>
      </c>
      <c r="AN3097" s="18" t="inlineStr">
        <is>
          <t>tinglu-1</t>
        </is>
      </c>
      <c r="AO3097" s="18" t="inlineStr">
        <is>
          <t>pokemon</t>
        </is>
      </c>
      <c r="AP3097" s="18" t="inlineStr"/>
      <c r="AQ3097" s="18" t="inlineStr">
        <is>
          <t>{"biomes":["cobbleverse:custom_spawn/groundblight_shrine"]}</t>
        </is>
      </c>
      <c r="AR3097" s="18" t="inlineStr"/>
      <c r="AS3097" s="18" t="inlineStr"/>
      <c r="AT3097" s="19" t="inlineStr"/>
    </row>
    <row r="3098" ht="32" customHeight="1">
      <c r="A3098" s="18" t="inlineStr">
        <is>
          <t>1004_chiyu.json::chiyu-1::001</t>
        </is>
      </c>
      <c r="B3098" s="19" t="inlineStr">
        <is>
          <t>사용</t>
        </is>
      </c>
      <c r="C3098" s="18">
        <f>IF(OR(B3098&lt;&gt;AK3098,M3098&lt;&gt;L3098,O3098&lt;&gt;"",Q3098&lt;&gt;"",V3098&lt;&gt;1,Y3098&lt;&gt;"",AT3098&lt;&gt;""),"수정","원본")</f>
        <v/>
      </c>
      <c r="D3098" s="18" t="n">
        <v>1004</v>
      </c>
      <c r="E3098" s="18" t="inlineStr">
        <is>
          <t>위유이</t>
        </is>
      </c>
      <c r="F3098" s="18" t="inlineStr">
        <is>
          <t>chiyu</t>
        </is>
      </c>
      <c r="G3098" s="18" t="inlineStr">
        <is>
          <t>chiyu</t>
        </is>
      </c>
      <c r="H3098" s="18" t="inlineStr"/>
      <c r="I3098" s="18" t="n">
        <v>9</v>
      </c>
      <c r="J3098" s="18" t="n"/>
      <c r="K3098" s="18" t="n">
        <v>9</v>
      </c>
      <c r="L3098" s="18" t="inlineStr">
        <is>
          <t>cobbleventure:generation_9</t>
        </is>
      </c>
      <c r="M3098" s="19" t="inlineStr">
        <is>
          <t>cobbleventure:generation_9</t>
        </is>
      </c>
      <c r="N3098" s="18" t="inlineStr"/>
      <c r="O3098" s="19" t="inlineStr"/>
      <c r="P3098" s="18" t="inlineStr">
        <is>
          <t>cobbleverse:custom_spawn/firescoruge_shrine</t>
        </is>
      </c>
      <c r="Q3098" s="19" t="inlineStr"/>
      <c r="R3098" s="18">
        <f>IF(Q3098="",P3098,Q3098)</f>
        <v/>
      </c>
      <c r="S3098" s="18" t="inlineStr"/>
      <c r="T3098" s="18" t="inlineStr">
        <is>
          <t>ultra-rare</t>
        </is>
      </c>
      <c r="U3098" s="20" t="n">
        <v>0</v>
      </c>
      <c r="V3098" s="21" t="n">
        <v>1</v>
      </c>
      <c r="W3098" s="20">
        <f>IF(OR(U3098="",V3098=""),U3098,U3098*V3098)</f>
        <v/>
      </c>
      <c r="X3098" s="18" t="inlineStr">
        <is>
          <t>65-70</t>
        </is>
      </c>
      <c r="Y3098" s="19" t="inlineStr"/>
      <c r="Z3098" s="18">
        <f>IF(Y3098="",X3098,Y3098)</f>
        <v/>
      </c>
      <c r="AA3098" s="18" t="inlineStr">
        <is>
          <t>grounded</t>
        </is>
      </c>
      <c r="AB3098" s="18" t="inlineStr"/>
      <c r="AC3098" s="18" t="inlineStr"/>
      <c r="AD3098" s="18" t="inlineStr"/>
      <c r="AE3098" s="18" t="inlineStr"/>
      <c r="AF3098" s="18" t="inlineStr"/>
      <c r="AG3098" s="18" t="inlineStr"/>
      <c r="AH3098" s="18" t="inlineStr"/>
      <c r="AI3098" s="18" t="inlineStr"/>
      <c r="AJ3098" s="18" t="inlineStr">
        <is>
          <t>COBBLEVERSE 추가</t>
        </is>
      </c>
      <c r="AK3098" s="18" t="inlineStr">
        <is>
          <t>사용</t>
        </is>
      </c>
      <c r="AL3098" s="18" t="inlineStr">
        <is>
          <t>COBBLEVERSE 1.7.42 / DP v31</t>
        </is>
      </c>
      <c r="AM3098" s="18" t="inlineStr">
        <is>
          <t>data/cobblemon/spawn_pool_world/1004_chiyu.json</t>
        </is>
      </c>
      <c r="AN3098" s="18" t="inlineStr">
        <is>
          <t>chiyu-1</t>
        </is>
      </c>
      <c r="AO3098" s="18" t="inlineStr">
        <is>
          <t>pokemon</t>
        </is>
      </c>
      <c r="AP3098" s="18" t="inlineStr"/>
      <c r="AQ3098" s="18" t="inlineStr">
        <is>
          <t>{"biomes":["cobbleverse:custom_spawn/firescoruge_shrine"]}</t>
        </is>
      </c>
      <c r="AR3098" s="18" t="inlineStr"/>
      <c r="AS3098" s="18" t="inlineStr"/>
      <c r="AT3098" s="19" t="inlineStr"/>
    </row>
    <row r="3099" ht="32" customHeight="1">
      <c r="A3099" s="18" t="inlineStr">
        <is>
          <t>1005_roaringmoon.json::roaringmoon-1::001</t>
        </is>
      </c>
      <c r="B3099" s="19" t="inlineStr">
        <is>
          <t>사용</t>
        </is>
      </c>
      <c r="C3099" s="18">
        <f>IF(OR(B3099&lt;&gt;AK3099,M3099&lt;&gt;L3099,O3099&lt;&gt;"",Q3099&lt;&gt;"",V3099&lt;&gt;1,Y3099&lt;&gt;"",AT3099&lt;&gt;""),"수정","원본")</f>
        <v/>
      </c>
      <c r="D3099" s="18" t="n">
        <v>1005</v>
      </c>
      <c r="E3099" s="18" t="inlineStr">
        <is>
          <t>고동치는달</t>
        </is>
      </c>
      <c r="F3099" s="18" t="inlineStr">
        <is>
          <t>roaringmoon</t>
        </is>
      </c>
      <c r="G3099" s="18" t="inlineStr">
        <is>
          <t>roaringmoon</t>
        </is>
      </c>
      <c r="H3099" s="18" t="inlineStr"/>
      <c r="I3099" s="18" t="n">
        <v>9</v>
      </c>
      <c r="J3099" s="18" t="n"/>
      <c r="K3099" s="18" t="n">
        <v>9</v>
      </c>
      <c r="L3099" s="18" t="inlineStr">
        <is>
          <t>cobbleventure:generation_9</t>
        </is>
      </c>
      <c r="M3099" s="19" t="inlineStr">
        <is>
          <t>cobbleventure:generation_9</t>
        </is>
      </c>
      <c r="N3099" s="18" t="inlineStr"/>
      <c r="O3099" s="19" t="inlineStr"/>
      <c r="P3099" s="18" t="inlineStr">
        <is>
          <t>#cobblemon:is_mountain</t>
        </is>
      </c>
      <c r="Q3099" s="19" t="inlineStr"/>
      <c r="R3099" s="18">
        <f>IF(Q3099="",P3099,Q3099)</f>
        <v/>
      </c>
      <c r="S3099" s="18" t="inlineStr"/>
      <c r="T3099" s="18" t="inlineStr">
        <is>
          <t>rare</t>
        </is>
      </c>
      <c r="U3099" s="20" t="n">
        <v>3</v>
      </c>
      <c r="V3099" s="21" t="n">
        <v>1</v>
      </c>
      <c r="W3099" s="20">
        <f>IF(OR(U3099="",V3099=""),U3099,U3099*V3099)</f>
        <v/>
      </c>
      <c r="X3099" s="18" t="inlineStr">
        <is>
          <t>55-70</t>
        </is>
      </c>
      <c r="Y3099" s="19" t="inlineStr"/>
      <c r="Z3099" s="18">
        <f>IF(Y3099="",X3099,Y3099)</f>
        <v/>
      </c>
      <c r="AA3099" s="18" t="inlineStr">
        <is>
          <t>grounded</t>
        </is>
      </c>
      <c r="AB3099" s="18" t="inlineStr">
        <is>
          <t>night</t>
        </is>
      </c>
      <c r="AC3099" s="18" t="inlineStr"/>
      <c r="AD3099" s="18" t="inlineStr"/>
      <c r="AE3099" s="18" t="inlineStr"/>
      <c r="AF3099" s="18" t="inlineStr"/>
      <c r="AG3099" s="18" t="inlineStr"/>
      <c r="AH3099" s="18" t="inlineStr"/>
      <c r="AI3099" s="18" t="inlineStr"/>
      <c r="AJ3099" s="18" t="inlineStr">
        <is>
          <t>COBBLEVERSE 추가</t>
        </is>
      </c>
      <c r="AK3099" s="18" t="inlineStr">
        <is>
          <t>사용</t>
        </is>
      </c>
      <c r="AL3099" s="18" t="inlineStr">
        <is>
          <t>COBBLEVERSE 1.7.42 / DP v31</t>
        </is>
      </c>
      <c r="AM3099" s="18" t="inlineStr">
        <is>
          <t>data/cobblemon/spawn_pool_world/1005_roaringmoon.json</t>
        </is>
      </c>
      <c r="AN3099" s="18" t="inlineStr">
        <is>
          <t>roaringmoon-1</t>
        </is>
      </c>
      <c r="AO3099" s="18" t="inlineStr">
        <is>
          <t>pokemon</t>
        </is>
      </c>
      <c r="AP3099" s="18" t="inlineStr">
        <is>
          <t>wild; natural</t>
        </is>
      </c>
      <c r="AQ3099" s="18" t="inlineStr">
        <is>
          <t>{"biomes":["#cobblemon:is_mountain"],"timeRange":"night"}</t>
        </is>
      </c>
      <c r="AR3099" s="18" t="inlineStr"/>
      <c r="AS3099" s="18" t="inlineStr"/>
      <c r="AT3099" s="19" t="inlineStr"/>
    </row>
    <row r="3100" ht="32" customHeight="1">
      <c r="A3100" s="18" t="inlineStr">
        <is>
          <t>1006_ironvaliant.json::ironvaliant::001</t>
        </is>
      </c>
      <c r="B3100" s="19" t="inlineStr">
        <is>
          <t>사용</t>
        </is>
      </c>
      <c r="C3100" s="18">
        <f>IF(OR(B3100&lt;&gt;AK3100,M3100&lt;&gt;L3100,O3100&lt;&gt;"",Q3100&lt;&gt;"",V3100&lt;&gt;1,Y3100&lt;&gt;"",AT3100&lt;&gt;""),"수정","원본")</f>
        <v/>
      </c>
      <c r="D3100" s="18" t="n">
        <v>1006</v>
      </c>
      <c r="E3100" s="18" t="inlineStr">
        <is>
          <t>무쇠무인</t>
        </is>
      </c>
      <c r="F3100" s="18" t="inlineStr">
        <is>
          <t>ironvaliant</t>
        </is>
      </c>
      <c r="G3100" s="18" t="inlineStr">
        <is>
          <t>ironvaliant</t>
        </is>
      </c>
      <c r="H3100" s="18" t="inlineStr"/>
      <c r="I3100" s="18" t="n">
        <v>9</v>
      </c>
      <c r="J3100" s="18" t="n"/>
      <c r="K3100" s="18" t="n">
        <v>9</v>
      </c>
      <c r="L3100" s="18" t="inlineStr">
        <is>
          <t>cobbleventure:generation_9</t>
        </is>
      </c>
      <c r="M3100" s="19" t="inlineStr">
        <is>
          <t>cobbleventure:generation_9</t>
        </is>
      </c>
      <c r="N3100" s="18" t="inlineStr">
        <is>
          <t>region_01</t>
        </is>
      </c>
      <c r="O3100" s="19" t="inlineStr"/>
      <c r="P3100" s="18" t="inlineStr">
        <is>
          <t>#cobblemon:is_plains</t>
        </is>
      </c>
      <c r="Q3100" s="19" t="inlineStr"/>
      <c r="R3100" s="18">
        <f>IF(Q3100="",P3100,Q3100)</f>
        <v/>
      </c>
      <c r="S3100" s="18" t="inlineStr"/>
      <c r="T3100" s="18" t="inlineStr">
        <is>
          <t>rare</t>
        </is>
      </c>
      <c r="U3100" s="20" t="n">
        <v>3</v>
      </c>
      <c r="V3100" s="21" t="n">
        <v>1</v>
      </c>
      <c r="W3100" s="20">
        <f>IF(OR(U3100="",V3100=""),U3100,U3100*V3100)</f>
        <v/>
      </c>
      <c r="X3100" s="18" t="inlineStr">
        <is>
          <t>55-70</t>
        </is>
      </c>
      <c r="Y3100" s="19" t="inlineStr"/>
      <c r="Z3100" s="18">
        <f>IF(Y3100="",X3100,Y3100)</f>
        <v/>
      </c>
      <c r="AA3100" s="18" t="inlineStr"/>
      <c r="AB3100" s="18" t="inlineStr"/>
      <c r="AC3100" s="18" t="inlineStr">
        <is>
          <t>천둥=True</t>
        </is>
      </c>
      <c r="AD3100" s="18" t="inlineStr"/>
      <c r="AE3100" s="18" t="inlineStr"/>
      <c r="AF3100" s="18" t="inlineStr"/>
      <c r="AG3100" s="18" t="inlineStr"/>
      <c r="AH3100" s="18" t="inlineStr"/>
      <c r="AI3100" s="18" t="inlineStr">
        <is>
          <t>{"spawn":{"context":"grounded"}}</t>
        </is>
      </c>
      <c r="AJ3100" s="18" t="inlineStr">
        <is>
          <t>COBBLEVERSE 추가</t>
        </is>
      </c>
      <c r="AK3100" s="18" t="inlineStr">
        <is>
          <t>사용</t>
        </is>
      </c>
      <c r="AL3100" s="18" t="inlineStr">
        <is>
          <t>COBBLEVERSE 1.7.42 / DP v31</t>
        </is>
      </c>
      <c r="AM3100" s="18" t="inlineStr">
        <is>
          <t>data/cobblemon/spawn_pool_world/1006_ironvaliant.json</t>
        </is>
      </c>
      <c r="AN3100" s="18" t="inlineStr">
        <is>
          <t>ironvaliant</t>
        </is>
      </c>
      <c r="AO3100" s="18" t="inlineStr">
        <is>
          <t>pokemon</t>
        </is>
      </c>
      <c r="AP3100" s="18" t="inlineStr"/>
      <c r="AQ3100" s="18" t="inlineStr">
        <is>
          <t>{"biomes":["#cobblemon:is_plains"],"isThundering":true}</t>
        </is>
      </c>
      <c r="AR3100" s="18" t="inlineStr"/>
      <c r="AS3100" s="18" t="inlineStr"/>
      <c r="AT3100" s="19" t="inlineStr"/>
    </row>
    <row r="3101" ht="32" customHeight="1">
      <c r="A3101" s="18" t="inlineStr">
        <is>
          <t>1007_koraidon.json::koraidon-1::001</t>
        </is>
      </c>
      <c r="B3101" s="19" t="inlineStr">
        <is>
          <t>사용</t>
        </is>
      </c>
      <c r="C3101" s="18">
        <f>IF(OR(B3101&lt;&gt;AK3101,M3101&lt;&gt;L3101,O3101&lt;&gt;"",Q3101&lt;&gt;"",V3101&lt;&gt;1,Y3101&lt;&gt;"",AT3101&lt;&gt;""),"수정","원본")</f>
        <v/>
      </c>
      <c r="D3101" s="18" t="n">
        <v>1007</v>
      </c>
      <c r="E3101" s="18" t="inlineStr">
        <is>
          <t>코라이돈</t>
        </is>
      </c>
      <c r="F3101" s="18" t="inlineStr">
        <is>
          <t>koraidon</t>
        </is>
      </c>
      <c r="G3101" s="18" t="inlineStr">
        <is>
          <t>koraidon</t>
        </is>
      </c>
      <c r="H3101" s="18" t="inlineStr"/>
      <c r="I3101" s="18" t="n">
        <v>9</v>
      </c>
      <c r="J3101" s="18" t="n"/>
      <c r="K3101" s="18" t="n">
        <v>9</v>
      </c>
      <c r="L3101" s="18" t="inlineStr">
        <is>
          <t>cobbleventure:generation_9</t>
        </is>
      </c>
      <c r="M3101" s="19" t="inlineStr">
        <is>
          <t>cobbleventure:generation_9</t>
        </is>
      </c>
      <c r="N3101" s="18" t="inlineStr"/>
      <c r="O3101" s="19" t="inlineStr"/>
      <c r="P3101" s="18" t="inlineStr">
        <is>
          <t>minecraft:beach</t>
        </is>
      </c>
      <c r="Q3101" s="19" t="inlineStr"/>
      <c r="R3101" s="18">
        <f>IF(Q3101="",P3101,Q3101)</f>
        <v/>
      </c>
      <c r="S3101" s="18" t="inlineStr"/>
      <c r="T3101" s="18" t="inlineStr">
        <is>
          <t>ultra-rare</t>
        </is>
      </c>
      <c r="U3101" s="20" t="n">
        <v>2</v>
      </c>
      <c r="V3101" s="21" t="n">
        <v>1</v>
      </c>
      <c r="W3101" s="20">
        <f>IF(OR(U3101="",V3101=""),U3101,U3101*V3101)</f>
        <v/>
      </c>
      <c r="X3101" s="18" t="inlineStr">
        <is>
          <t>40</t>
        </is>
      </c>
      <c r="Y3101" s="19" t="inlineStr"/>
      <c r="Z3101" s="18">
        <f>IF(Y3101="",X3101,Y3101)</f>
        <v/>
      </c>
      <c r="AA3101" s="18" t="inlineStr">
        <is>
          <t>grounded</t>
        </is>
      </c>
      <c r="AB3101" s="18" t="inlineStr"/>
      <c r="AC3101" s="18" t="inlineStr"/>
      <c r="AD3101" s="18" t="inlineStr"/>
      <c r="AE3101" s="18" t="inlineStr"/>
      <c r="AF3101" s="18" t="inlineStr">
        <is>
          <t>True</t>
        </is>
      </c>
      <c r="AG3101" s="18" t="inlineStr"/>
      <c r="AH3101" s="18" t="inlineStr"/>
      <c r="AI3101" s="18" t="inlineStr"/>
      <c r="AJ3101" s="18" t="inlineStr">
        <is>
          <t>COBBLEVERSE 추가</t>
        </is>
      </c>
      <c r="AK3101" s="18" t="inlineStr">
        <is>
          <t>사용</t>
        </is>
      </c>
      <c r="AL3101" s="18" t="inlineStr">
        <is>
          <t>COBBLEVERSE 1.7.42 / DP v31</t>
        </is>
      </c>
      <c r="AM3101" s="18" t="inlineStr">
        <is>
          <t>data/cobblemon/spawn_pool_world/1007_koraidon.json</t>
        </is>
      </c>
      <c r="AN3101" s="18" t="inlineStr">
        <is>
          <t>koraidon-1</t>
        </is>
      </c>
      <c r="AO3101" s="18" t="inlineStr">
        <is>
          <t>pokemon</t>
        </is>
      </c>
      <c r="AP3101" s="18" t="inlineStr">
        <is>
          <t>natural</t>
        </is>
      </c>
      <c r="AQ3101" s="18" t="inlineStr">
        <is>
          <t>{"biomes":["minecraft:beach"],"canSeeSky":true}</t>
        </is>
      </c>
      <c r="AR3101" s="18" t="inlineStr"/>
      <c r="AS3101" s="18" t="inlineStr"/>
      <c r="AT3101" s="19" t="inlineStr"/>
    </row>
    <row r="3102" ht="32" customHeight="1">
      <c r="A3102" s="18" t="inlineStr">
        <is>
          <t>1008_miraidon.json::miraidon-1::001</t>
        </is>
      </c>
      <c r="B3102" s="19" t="inlineStr">
        <is>
          <t>사용</t>
        </is>
      </c>
      <c r="C3102" s="18">
        <f>IF(OR(B3102&lt;&gt;AK3102,M3102&lt;&gt;L3102,O3102&lt;&gt;"",Q3102&lt;&gt;"",V3102&lt;&gt;1,Y3102&lt;&gt;"",AT3102&lt;&gt;""),"수정","원본")</f>
        <v/>
      </c>
      <c r="D3102" s="18" t="n">
        <v>1008</v>
      </c>
      <c r="E3102" s="18" t="inlineStr">
        <is>
          <t>미라이돈</t>
        </is>
      </c>
      <c r="F3102" s="18" t="inlineStr">
        <is>
          <t>miraidon</t>
        </is>
      </c>
      <c r="G3102" s="18" t="inlineStr">
        <is>
          <t>miraidon</t>
        </is>
      </c>
      <c r="H3102" s="18" t="inlineStr"/>
      <c r="I3102" s="18" t="n">
        <v>9</v>
      </c>
      <c r="J3102" s="18" t="n"/>
      <c r="K3102" s="18" t="n">
        <v>9</v>
      </c>
      <c r="L3102" s="18" t="inlineStr">
        <is>
          <t>cobbleventure:generation_9</t>
        </is>
      </c>
      <c r="M3102" s="19" t="inlineStr">
        <is>
          <t>cobbleventure:generation_9</t>
        </is>
      </c>
      <c r="N3102" s="18" t="inlineStr"/>
      <c r="O3102" s="19" t="inlineStr"/>
      <c r="P3102" s="18" t="inlineStr">
        <is>
          <t>minecraft:beach</t>
        </is>
      </c>
      <c r="Q3102" s="19" t="inlineStr"/>
      <c r="R3102" s="18">
        <f>IF(Q3102="",P3102,Q3102)</f>
        <v/>
      </c>
      <c r="S3102" s="18" t="inlineStr"/>
      <c r="T3102" s="18" t="inlineStr">
        <is>
          <t>ultra-rare</t>
        </is>
      </c>
      <c r="U3102" s="20" t="n">
        <v>2</v>
      </c>
      <c r="V3102" s="21" t="n">
        <v>1</v>
      </c>
      <c r="W3102" s="20">
        <f>IF(OR(U3102="",V3102=""),U3102,U3102*V3102)</f>
        <v/>
      </c>
      <c r="X3102" s="18" t="inlineStr">
        <is>
          <t>40</t>
        </is>
      </c>
      <c r="Y3102" s="19" t="inlineStr"/>
      <c r="Z3102" s="18">
        <f>IF(Y3102="",X3102,Y3102)</f>
        <v/>
      </c>
      <c r="AA3102" s="18" t="inlineStr">
        <is>
          <t>grounded</t>
        </is>
      </c>
      <c r="AB3102" s="18" t="inlineStr"/>
      <c r="AC3102" s="18" t="inlineStr"/>
      <c r="AD3102" s="18" t="inlineStr"/>
      <c r="AE3102" s="18" t="inlineStr"/>
      <c r="AF3102" s="18" t="inlineStr">
        <is>
          <t>True</t>
        </is>
      </c>
      <c r="AG3102" s="18" t="inlineStr"/>
      <c r="AH3102" s="18" t="inlineStr"/>
      <c r="AI3102" s="18" t="inlineStr"/>
      <c r="AJ3102" s="18" t="inlineStr">
        <is>
          <t>COBBLEVERSE 추가</t>
        </is>
      </c>
      <c r="AK3102" s="18" t="inlineStr">
        <is>
          <t>사용</t>
        </is>
      </c>
      <c r="AL3102" s="18" t="inlineStr">
        <is>
          <t>COBBLEVERSE 1.7.42 / DP v31</t>
        </is>
      </c>
      <c r="AM3102" s="18" t="inlineStr">
        <is>
          <t>data/cobblemon/spawn_pool_world/1008_miraidon.json</t>
        </is>
      </c>
      <c r="AN3102" s="18" t="inlineStr">
        <is>
          <t>miraidon-1</t>
        </is>
      </c>
      <c r="AO3102" s="18" t="inlineStr">
        <is>
          <t>pokemon</t>
        </is>
      </c>
      <c r="AP3102" s="18" t="inlineStr">
        <is>
          <t>natural</t>
        </is>
      </c>
      <c r="AQ3102" s="18" t="inlineStr">
        <is>
          <t>{"biomes":["minecraft:beach"],"canSeeSky":true}</t>
        </is>
      </c>
      <c r="AR3102" s="18" t="inlineStr"/>
      <c r="AS3102" s="18" t="inlineStr"/>
      <c r="AT3102" s="19" t="inlineStr"/>
    </row>
    <row r="3103" ht="32" customHeight="1">
      <c r="A3103" s="18" t="inlineStr">
        <is>
          <t>1009_walkingwake.json::walkingwake-1::001</t>
        </is>
      </c>
      <c r="B3103" s="19" t="inlineStr">
        <is>
          <t>사용</t>
        </is>
      </c>
      <c r="C3103" s="18">
        <f>IF(OR(B3103&lt;&gt;AK3103,M3103&lt;&gt;L3103,O3103&lt;&gt;"",Q3103&lt;&gt;"",V3103&lt;&gt;1,Y3103&lt;&gt;"",AT3103&lt;&gt;""),"수정","원본")</f>
        <v/>
      </c>
      <c r="D3103" s="18" t="n">
        <v>1009</v>
      </c>
      <c r="E3103" s="18" t="inlineStr">
        <is>
          <t>굽이치는물결</t>
        </is>
      </c>
      <c r="F3103" s="18" t="inlineStr">
        <is>
          <t>walkingwake</t>
        </is>
      </c>
      <c r="G3103" s="18" t="inlineStr">
        <is>
          <t>walkingwake</t>
        </is>
      </c>
      <c r="H3103" s="18" t="inlineStr"/>
      <c r="I3103" s="18" t="n">
        <v>9</v>
      </c>
      <c r="J3103" s="18" t="n"/>
      <c r="K3103" s="18" t="n">
        <v>9</v>
      </c>
      <c r="L3103" s="18" t="inlineStr">
        <is>
          <t>cobbleventure:generation_9</t>
        </is>
      </c>
      <c r="M3103" s="19" t="inlineStr">
        <is>
          <t>cobbleventure:generation_9</t>
        </is>
      </c>
      <c r="N3103" s="18" t="inlineStr"/>
      <c r="O3103" s="19" t="inlineStr"/>
      <c r="P3103" s="18" t="inlineStr">
        <is>
          <t>#cobblemon:is_mountain</t>
        </is>
      </c>
      <c r="Q3103" s="19" t="inlineStr"/>
      <c r="R3103" s="18">
        <f>IF(Q3103="",P3103,Q3103)</f>
        <v/>
      </c>
      <c r="S3103" s="18" t="inlineStr"/>
      <c r="T3103" s="18" t="inlineStr">
        <is>
          <t>ultra-rare</t>
        </is>
      </c>
      <c r="U3103" s="20" t="n">
        <v>3.5</v>
      </c>
      <c r="V3103" s="21" t="n">
        <v>1</v>
      </c>
      <c r="W3103" s="20">
        <f>IF(OR(U3103="",V3103=""),U3103,U3103*V3103)</f>
        <v/>
      </c>
      <c r="X3103" s="18" t="inlineStr">
        <is>
          <t>60-75</t>
        </is>
      </c>
      <c r="Y3103" s="19" t="inlineStr"/>
      <c r="Z3103" s="18">
        <f>IF(Y3103="",X3103,Y3103)</f>
        <v/>
      </c>
      <c r="AA3103" s="18" t="inlineStr">
        <is>
          <t>grounded</t>
        </is>
      </c>
      <c r="AB3103" s="18" t="inlineStr"/>
      <c r="AC3103" s="18" t="inlineStr">
        <is>
          <t>비=True</t>
        </is>
      </c>
      <c r="AD3103" s="18" t="inlineStr"/>
      <c r="AE3103" s="18" t="inlineStr"/>
      <c r="AF3103" s="18" t="inlineStr"/>
      <c r="AG3103" s="18" t="inlineStr"/>
      <c r="AH3103" s="18" t="inlineStr"/>
      <c r="AI3103" s="18" t="inlineStr"/>
      <c r="AJ3103" s="18" t="inlineStr">
        <is>
          <t>COBBLEVERSE 추가</t>
        </is>
      </c>
      <c r="AK3103" s="18" t="inlineStr">
        <is>
          <t>사용</t>
        </is>
      </c>
      <c r="AL3103" s="18" t="inlineStr">
        <is>
          <t>COBBLEVERSE 1.7.42 / DP v31</t>
        </is>
      </c>
      <c r="AM3103" s="18" t="inlineStr">
        <is>
          <t>data/cobblemon/spawn_pool_world/1009_walkingwake.json</t>
        </is>
      </c>
      <c r="AN3103" s="18" t="inlineStr">
        <is>
          <t>walkingwake-1</t>
        </is>
      </c>
      <c r="AO3103" s="18" t="inlineStr">
        <is>
          <t>pokemon</t>
        </is>
      </c>
      <c r="AP3103" s="18" t="inlineStr"/>
      <c r="AQ3103" s="18" t="inlineStr">
        <is>
          <t>{"biomes":["#cobblemon:is_mountain"],"isRaining":true}</t>
        </is>
      </c>
      <c r="AR3103" s="18" t="inlineStr"/>
      <c r="AS3103" s="18" t="inlineStr"/>
      <c r="AT3103" s="19" t="inlineStr"/>
    </row>
    <row r="3104" ht="32" customHeight="1">
      <c r="A3104" s="18" t="inlineStr">
        <is>
          <t>1010_ironleaves.json::ironleaves-1::001</t>
        </is>
      </c>
      <c r="B3104" s="19" t="inlineStr">
        <is>
          <t>사용</t>
        </is>
      </c>
      <c r="C3104" s="18">
        <f>IF(OR(B3104&lt;&gt;AK3104,M3104&lt;&gt;L3104,O3104&lt;&gt;"",Q3104&lt;&gt;"",V3104&lt;&gt;1,Y3104&lt;&gt;"",AT3104&lt;&gt;""),"수정","원본")</f>
        <v/>
      </c>
      <c r="D3104" s="18" t="n">
        <v>1010</v>
      </c>
      <c r="E3104" s="18" t="inlineStr">
        <is>
          <t>무쇠잎새</t>
        </is>
      </c>
      <c r="F3104" s="18" t="inlineStr">
        <is>
          <t>ironleaves</t>
        </is>
      </c>
      <c r="G3104" s="18" t="inlineStr">
        <is>
          <t>ironleaves</t>
        </is>
      </c>
      <c r="H3104" s="18" t="inlineStr"/>
      <c r="I3104" s="18" t="n">
        <v>9</v>
      </c>
      <c r="J3104" s="18" t="n"/>
      <c r="K3104" s="18" t="n">
        <v>9</v>
      </c>
      <c r="L3104" s="18" t="inlineStr">
        <is>
          <t>cobbleventure:generation_9</t>
        </is>
      </c>
      <c r="M3104" s="19" t="inlineStr">
        <is>
          <t>cobbleventure:generation_9</t>
        </is>
      </c>
      <c r="N3104" s="18" t="inlineStr">
        <is>
          <t>region_01</t>
        </is>
      </c>
      <c r="O3104" s="19" t="inlineStr"/>
      <c r="P3104" s="18" t="inlineStr">
        <is>
          <t>#cobblemon:is_forest</t>
        </is>
      </c>
      <c r="Q3104" s="19" t="inlineStr"/>
      <c r="R3104" s="18">
        <f>IF(Q3104="",P3104,Q3104)</f>
        <v/>
      </c>
      <c r="S3104" s="18" t="inlineStr"/>
      <c r="T3104" s="18" t="inlineStr">
        <is>
          <t>ultra-rare</t>
        </is>
      </c>
      <c r="U3104" s="20" t="n">
        <v>3.5</v>
      </c>
      <c r="V3104" s="21" t="n">
        <v>1</v>
      </c>
      <c r="W3104" s="20">
        <f>IF(OR(U3104="",V3104=""),U3104,U3104*V3104)</f>
        <v/>
      </c>
      <c r="X3104" s="18" t="inlineStr">
        <is>
          <t>50-75</t>
        </is>
      </c>
      <c r="Y3104" s="19" t="inlineStr"/>
      <c r="Z3104" s="18">
        <f>IF(Y3104="",X3104,Y3104)</f>
        <v/>
      </c>
      <c r="AA3104" s="18" t="inlineStr">
        <is>
          <t>grounded</t>
        </is>
      </c>
      <c r="AB3104" s="18" t="inlineStr">
        <is>
          <t>night</t>
        </is>
      </c>
      <c r="AC3104" s="18" t="inlineStr"/>
      <c r="AD3104" s="18" t="inlineStr"/>
      <c r="AE3104" s="18" t="inlineStr"/>
      <c r="AF3104" s="18" t="inlineStr"/>
      <c r="AG3104" s="18" t="inlineStr"/>
      <c r="AH3104" s="18" t="inlineStr"/>
      <c r="AI3104" s="18" t="inlineStr"/>
      <c r="AJ3104" s="18" t="inlineStr">
        <is>
          <t>COBBLEVERSE 추가</t>
        </is>
      </c>
      <c r="AK3104" s="18" t="inlineStr">
        <is>
          <t>사용</t>
        </is>
      </c>
      <c r="AL3104" s="18" t="inlineStr">
        <is>
          <t>COBBLEVERSE 1.7.42 / DP v31</t>
        </is>
      </c>
      <c r="AM3104" s="18" t="inlineStr">
        <is>
          <t>data/cobblemon/spawn_pool_world/1010_ironleaves.json</t>
        </is>
      </c>
      <c r="AN3104" s="18" t="inlineStr">
        <is>
          <t>ironleaves-1</t>
        </is>
      </c>
      <c r="AO3104" s="18" t="inlineStr">
        <is>
          <t>pokemon</t>
        </is>
      </c>
      <c r="AP3104" s="18" t="inlineStr">
        <is>
          <t>natural</t>
        </is>
      </c>
      <c r="AQ3104" s="18" t="inlineStr">
        <is>
          <t>{"biomes":["#cobblemon:is_forest"],"timeRange":"night"}</t>
        </is>
      </c>
      <c r="AR3104" s="18" t="inlineStr"/>
      <c r="AS3104" s="18" t="inlineStr"/>
      <c r="AT3104" s="19" t="inlineStr"/>
    </row>
    <row r="3105" ht="32" customHeight="1">
      <c r="A3105" s="18" t="inlineStr">
        <is>
          <t>1011_dipplin.json::dipplin-1::001</t>
        </is>
      </c>
      <c r="B3105" s="19" t="inlineStr">
        <is>
          <t>사용</t>
        </is>
      </c>
      <c r="C3105" s="18">
        <f>IF(OR(B3105&lt;&gt;AK3105,M3105&lt;&gt;L3105,O3105&lt;&gt;"",Q3105&lt;&gt;"",V3105&lt;&gt;1,Y3105&lt;&gt;"",AT3105&lt;&gt;""),"수정","원본")</f>
        <v/>
      </c>
      <c r="D3105" s="18" t="n">
        <v>1011</v>
      </c>
      <c r="E3105" s="18" t="inlineStr">
        <is>
          <t>과미르</t>
        </is>
      </c>
      <c r="F3105" s="18" t="inlineStr">
        <is>
          <t>dipplin</t>
        </is>
      </c>
      <c r="G3105" s="18" t="inlineStr">
        <is>
          <t>dipplin</t>
        </is>
      </c>
      <c r="H3105" s="18" t="inlineStr"/>
      <c r="I3105" s="18" t="n">
        <v>9</v>
      </c>
      <c r="J3105" s="18" t="n"/>
      <c r="K3105" s="18" t="n">
        <v>9</v>
      </c>
      <c r="L3105" s="18" t="inlineStr">
        <is>
          <t>cobbleventure:generation_9</t>
        </is>
      </c>
      <c r="M3105" s="19" t="inlineStr">
        <is>
          <t>cobbleventure:generation_9</t>
        </is>
      </c>
      <c r="N3105" s="18" t="inlineStr"/>
      <c r="O3105" s="19" t="inlineStr"/>
      <c r="P3105" s="18" t="inlineStr">
        <is>
          <t>#cobblemon:is_floral</t>
        </is>
      </c>
      <c r="Q3105" s="19" t="inlineStr"/>
      <c r="R3105" s="18">
        <f>IF(Q3105="",P3105,Q3105)</f>
        <v/>
      </c>
      <c r="S3105" s="18" t="inlineStr"/>
      <c r="T3105" s="18" t="inlineStr">
        <is>
          <t>rare</t>
        </is>
      </c>
      <c r="U3105" s="20" t="n">
        <v>3</v>
      </c>
      <c r="V3105" s="21" t="n">
        <v>1</v>
      </c>
      <c r="W3105" s="20">
        <f>IF(OR(U3105="",V3105=""),U3105,U3105*V3105)</f>
        <v/>
      </c>
      <c r="X3105" s="18" t="inlineStr">
        <is>
          <t>20-35</t>
        </is>
      </c>
      <c r="Y3105" s="19" t="inlineStr"/>
      <c r="Z3105" s="18">
        <f>IF(Y3105="",X3105,Y3105)</f>
        <v/>
      </c>
      <c r="AA3105" s="18" t="inlineStr">
        <is>
          <t>grounded</t>
        </is>
      </c>
      <c r="AB3105" s="18" t="inlineStr">
        <is>
          <t>day</t>
        </is>
      </c>
      <c r="AC3105" s="18" t="inlineStr">
        <is>
          <t>비=False</t>
        </is>
      </c>
      <c r="AD3105" s="18" t="inlineStr"/>
      <c r="AE3105" s="18" t="inlineStr"/>
      <c r="AF3105" s="18" t="inlineStr">
        <is>
          <t>True</t>
        </is>
      </c>
      <c r="AG3105" s="18" t="inlineStr"/>
      <c r="AH3105" s="18" t="inlineStr"/>
      <c r="AI3105" s="18" t="inlineStr"/>
      <c r="AJ3105" s="18" t="inlineStr">
        <is>
          <t>COBBLEVERSE 추가</t>
        </is>
      </c>
      <c r="AK3105" s="18" t="inlineStr">
        <is>
          <t>사용</t>
        </is>
      </c>
      <c r="AL3105" s="18" t="inlineStr">
        <is>
          <t>COBBLEVERSE 1.7.42 / DP v31</t>
        </is>
      </c>
      <c r="AM3105" s="18" t="inlineStr">
        <is>
          <t>data/cobblemon/spawn_pool_world/1011_dipplin.json</t>
        </is>
      </c>
      <c r="AN3105" s="18" t="inlineStr">
        <is>
          <t>dipplin-1</t>
        </is>
      </c>
      <c r="AO3105" s="18" t="inlineStr">
        <is>
          <t>pokemon</t>
        </is>
      </c>
      <c r="AP3105" s="18" t="inlineStr"/>
      <c r="AQ3105" s="18" t="inlineStr">
        <is>
          <t>{"biomes":["#cobblemon:is_floral"],"canSeeSky":true,"isRaining":false,"timeRange":"day"}</t>
        </is>
      </c>
      <c r="AR3105" s="18" t="inlineStr"/>
      <c r="AS3105" s="18" t="inlineStr"/>
      <c r="AT3105" s="19" t="inlineStr"/>
    </row>
    <row r="3106" ht="32" customHeight="1">
      <c r="A3106" s="18" t="inlineStr">
        <is>
          <t>1012_poltchageist.json::poltchageist-counterfeit-1::001</t>
        </is>
      </c>
      <c r="B3106" s="19" t="inlineStr">
        <is>
          <t>사용</t>
        </is>
      </c>
      <c r="C3106" s="18">
        <f>IF(OR(B3106&lt;&gt;AK3106,M3106&lt;&gt;L3106,O3106&lt;&gt;"",Q3106&lt;&gt;"",V3106&lt;&gt;1,Y3106&lt;&gt;"",AT3106&lt;&gt;""),"수정","원본")</f>
        <v/>
      </c>
      <c r="D3106" s="18" t="n">
        <v>1012</v>
      </c>
      <c r="E3106" s="18" t="inlineStr">
        <is>
          <t>차데스</t>
        </is>
      </c>
      <c r="F3106" s="18" t="inlineStr">
        <is>
          <t>poltchageist</t>
        </is>
      </c>
      <c r="G3106" s="18" t="inlineStr">
        <is>
          <t>poltchageist matcha_authenticity=counterfeit</t>
        </is>
      </c>
      <c r="H3106" s="18" t="inlineStr">
        <is>
          <t>matcha_authenticity=counterfeit</t>
        </is>
      </c>
      <c r="I3106" s="18" t="n">
        <v>9</v>
      </c>
      <c r="J3106" s="18" t="n"/>
      <c r="K3106" s="18" t="n">
        <v>9</v>
      </c>
      <c r="L3106" s="18" t="inlineStr">
        <is>
          <t>cobbleventure:generation_9</t>
        </is>
      </c>
      <c r="M3106" s="19" t="inlineStr">
        <is>
          <t>cobbleventure:generation_9</t>
        </is>
      </c>
      <c r="N3106" s="18" t="inlineStr">
        <is>
          <t>region_01; region_02</t>
        </is>
      </c>
      <c r="O3106" s="19" t="inlineStr"/>
      <c r="P3106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06" s="19" t="inlineStr"/>
      <c r="R3106" s="18">
        <f>IF(Q3106="",P3106,Q3106)</f>
        <v/>
      </c>
      <c r="S3106" s="18" t="inlineStr">
        <is>
          <t>#cobblemon:is_magical; #cobblemon:is_spooky</t>
        </is>
      </c>
      <c r="T3106" s="18" t="inlineStr">
        <is>
          <t>uncommon</t>
        </is>
      </c>
      <c r="U3106" s="20" t="n">
        <v>9.108000000000001</v>
      </c>
      <c r="V3106" s="21" t="n">
        <v>1</v>
      </c>
      <c r="W3106" s="20">
        <f>IF(OR(U3106="",V3106=""),U3106,U3106*V3106)</f>
        <v/>
      </c>
      <c r="X3106" s="18" t="inlineStr">
        <is>
          <t>6-31</t>
        </is>
      </c>
      <c r="Y3106" s="19" t="inlineStr"/>
      <c r="Z3106" s="18">
        <f>IF(Y3106="",X3106,Y3106)</f>
        <v/>
      </c>
      <c r="AA3106" s="18" t="inlineStr">
        <is>
          <t>grounded</t>
        </is>
      </c>
      <c r="AB3106" s="18" t="inlineStr">
        <is>
          <t>day</t>
        </is>
      </c>
      <c r="AC3106" s="18" t="inlineStr"/>
      <c r="AD3106" s="18" t="inlineStr">
        <is>
          <t>minY=62</t>
        </is>
      </c>
      <c r="AE3106" s="18" t="inlineStr"/>
      <c r="AF3106" s="18" t="inlineStr">
        <is>
          <t>False</t>
        </is>
      </c>
      <c r="AG3106" s="18" t="inlineStr">
        <is>
          <t>#minecraft:village</t>
        </is>
      </c>
      <c r="AH3106" s="18" t="inlineStr"/>
      <c r="AI3106" s="18" t="inlineStr"/>
      <c r="AJ3106" s="18" t="inlineStr">
        <is>
          <t>Cobblemon 동일</t>
        </is>
      </c>
      <c r="AK3106" s="18" t="inlineStr">
        <is>
          <t>사용</t>
        </is>
      </c>
      <c r="AL3106" s="18" t="inlineStr">
        <is>
          <t>COBBLEVERSE 1.7.42 / DP v31</t>
        </is>
      </c>
      <c r="AM3106" s="18" t="inlineStr">
        <is>
          <t>data/cobblemon/spawn_pool_world/1012_poltchageist.json</t>
        </is>
      </c>
      <c r="AN3106" s="18" t="inlineStr">
        <is>
          <t>poltchageist-counterfeit-1</t>
        </is>
      </c>
      <c r="AO3106" s="18" t="inlineStr">
        <is>
          <t>pokemon</t>
        </is>
      </c>
      <c r="AP3106" s="18" t="inlineStr"/>
      <c r="AQ3106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canSeeSky":false,"minY":62,"structures":["#minecraft:village"],"timeRange":"day"}</t>
        </is>
      </c>
      <c r="AR3106" s="18" t="inlineStr">
        <is>
          <t>{"biomes":["#cobblemon:is_magical","#cobblemon:is_spooky"]}</t>
        </is>
      </c>
      <c r="AS3106" s="18" t="inlineStr"/>
      <c r="AT3106" s="19" t="inlineStr"/>
    </row>
    <row r="3107" ht="32" customHeight="1">
      <c r="A3107" s="18" t="inlineStr">
        <is>
          <t>1012_poltchageist.json::poltchageist-artisan-2::002</t>
        </is>
      </c>
      <c r="B3107" s="19" t="inlineStr">
        <is>
          <t>사용</t>
        </is>
      </c>
      <c r="C3107" s="18">
        <f>IF(OR(B3107&lt;&gt;AK3107,M3107&lt;&gt;L3107,O3107&lt;&gt;"",Q3107&lt;&gt;"",V3107&lt;&gt;1,Y3107&lt;&gt;"",AT3107&lt;&gt;""),"수정","원본")</f>
        <v/>
      </c>
      <c r="D3107" s="18" t="n">
        <v>1012</v>
      </c>
      <c r="E3107" s="18" t="inlineStr">
        <is>
          <t>차데스</t>
        </is>
      </c>
      <c r="F3107" s="18" t="inlineStr">
        <is>
          <t>poltchageist</t>
        </is>
      </c>
      <c r="G3107" s="18" t="inlineStr">
        <is>
          <t>poltchageist matcha_authenticity=artisan</t>
        </is>
      </c>
      <c r="H3107" s="18" t="inlineStr">
        <is>
          <t>matcha_authenticity=artisan</t>
        </is>
      </c>
      <c r="I3107" s="18" t="n">
        <v>9</v>
      </c>
      <c r="J3107" s="18" t="n"/>
      <c r="K3107" s="18" t="n">
        <v>9</v>
      </c>
      <c r="L3107" s="18" t="inlineStr">
        <is>
          <t>cobbleventure:generation_9</t>
        </is>
      </c>
      <c r="M3107" s="19" t="inlineStr">
        <is>
          <t>cobbleventure:generation_9</t>
        </is>
      </c>
      <c r="N3107" s="18" t="inlineStr">
        <is>
          <t>region_01; region_02</t>
        </is>
      </c>
      <c r="O3107" s="19" t="inlineStr"/>
      <c r="P3107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07" s="19" t="inlineStr"/>
      <c r="R3107" s="18">
        <f>IF(Q3107="",P3107,Q3107)</f>
        <v/>
      </c>
      <c r="S3107" s="18" t="inlineStr">
        <is>
          <t>#cobblemon:is_magical; #cobblemon:is_spooky</t>
        </is>
      </c>
      <c r="T3107" s="18" t="inlineStr">
        <is>
          <t>uncommon</t>
        </is>
      </c>
      <c r="U3107" s="20" t="n">
        <v>0.092</v>
      </c>
      <c r="V3107" s="21" t="n">
        <v>1</v>
      </c>
      <c r="W3107" s="20">
        <f>IF(OR(U3107="",V3107=""),U3107,U3107*V3107)</f>
        <v/>
      </c>
      <c r="X3107" s="18" t="inlineStr">
        <is>
          <t>6-31</t>
        </is>
      </c>
      <c r="Y3107" s="19" t="inlineStr"/>
      <c r="Z3107" s="18">
        <f>IF(Y3107="",X3107,Y3107)</f>
        <v/>
      </c>
      <c r="AA3107" s="18" t="inlineStr">
        <is>
          <t>grounded</t>
        </is>
      </c>
      <c r="AB3107" s="18" t="inlineStr">
        <is>
          <t>day</t>
        </is>
      </c>
      <c r="AC3107" s="18" t="inlineStr"/>
      <c r="AD3107" s="18" t="inlineStr">
        <is>
          <t>minY=62</t>
        </is>
      </c>
      <c r="AE3107" s="18" t="inlineStr"/>
      <c r="AF3107" s="18" t="inlineStr">
        <is>
          <t>False</t>
        </is>
      </c>
      <c r="AG3107" s="18" t="inlineStr">
        <is>
          <t>#minecraft:village</t>
        </is>
      </c>
      <c r="AH3107" s="18" t="inlineStr"/>
      <c r="AI3107" s="18" t="inlineStr"/>
      <c r="AJ3107" s="18" t="inlineStr">
        <is>
          <t>Cobblemon 동일</t>
        </is>
      </c>
      <c r="AK3107" s="18" t="inlineStr">
        <is>
          <t>사용</t>
        </is>
      </c>
      <c r="AL3107" s="18" t="inlineStr">
        <is>
          <t>COBBLEVERSE 1.7.42 / DP v31</t>
        </is>
      </c>
      <c r="AM3107" s="18" t="inlineStr">
        <is>
          <t>data/cobblemon/spawn_pool_world/1012_poltchageist.json</t>
        </is>
      </c>
      <c r="AN3107" s="18" t="inlineStr">
        <is>
          <t>poltchageist-artisan-2</t>
        </is>
      </c>
      <c r="AO3107" s="18" t="inlineStr">
        <is>
          <t>pokemon</t>
        </is>
      </c>
      <c r="AP3107" s="18" t="inlineStr"/>
      <c r="AQ3107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canSeeSky":false,"minY":62,"structures":["#minecraft:village"],"timeRange":"day"}</t>
        </is>
      </c>
      <c r="AR3107" s="18" t="inlineStr">
        <is>
          <t>{"biomes":["#cobblemon:is_magical","#cobblemon:is_spooky"]}</t>
        </is>
      </c>
      <c r="AS3107" s="18" t="inlineStr"/>
      <c r="AT3107" s="19" t="inlineStr"/>
    </row>
    <row r="3108" ht="32" customHeight="1">
      <c r="A3108" s="18" t="inlineStr">
        <is>
          <t>1012_poltchageist.json::poltchageist-counterfeit-3::003</t>
        </is>
      </c>
      <c r="B3108" s="19" t="inlineStr">
        <is>
          <t>사용</t>
        </is>
      </c>
      <c r="C3108" s="18">
        <f>IF(OR(B3108&lt;&gt;AK3108,M3108&lt;&gt;L3108,O3108&lt;&gt;"",Q3108&lt;&gt;"",V3108&lt;&gt;1,Y3108&lt;&gt;"",AT3108&lt;&gt;""),"수정","원본")</f>
        <v/>
      </c>
      <c r="D3108" s="18" t="n">
        <v>1012</v>
      </c>
      <c r="E3108" s="18" t="inlineStr">
        <is>
          <t>차데스</t>
        </is>
      </c>
      <c r="F3108" s="18" t="inlineStr">
        <is>
          <t>poltchageist</t>
        </is>
      </c>
      <c r="G3108" s="18" t="inlineStr">
        <is>
          <t>poltchageist matcha_authenticity=counterfeit</t>
        </is>
      </c>
      <c r="H3108" s="18" t="inlineStr">
        <is>
          <t>matcha_authenticity=counterfeit</t>
        </is>
      </c>
      <c r="I3108" s="18" t="n">
        <v>9</v>
      </c>
      <c r="J3108" s="18" t="n"/>
      <c r="K3108" s="18" t="n">
        <v>9</v>
      </c>
      <c r="L3108" s="18" t="inlineStr">
        <is>
          <t>cobbleventure:generation_9</t>
        </is>
      </c>
      <c r="M3108" s="19" t="inlineStr">
        <is>
          <t>cobbleventure:generation_9</t>
        </is>
      </c>
      <c r="N3108" s="18" t="inlineStr">
        <is>
          <t>region_01; region_02</t>
        </is>
      </c>
      <c r="O3108" s="19" t="inlineStr"/>
      <c r="P3108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08" s="19" t="inlineStr"/>
      <c r="R3108" s="18">
        <f>IF(Q3108="",P3108,Q3108)</f>
        <v/>
      </c>
      <c r="S3108" s="18" t="inlineStr">
        <is>
          <t>#cobblemon:is_magical; #cobblemon:is_spooky</t>
        </is>
      </c>
      <c r="T3108" s="18" t="inlineStr">
        <is>
          <t>uncommon</t>
        </is>
      </c>
      <c r="U3108" s="20" t="n">
        <v>9.108000000000001</v>
      </c>
      <c r="V3108" s="21" t="n">
        <v>1</v>
      </c>
      <c r="W3108" s="20">
        <f>IF(OR(U3108="",V3108=""),U3108,U3108*V3108)</f>
        <v/>
      </c>
      <c r="X3108" s="18" t="inlineStr">
        <is>
          <t>6-31</t>
        </is>
      </c>
      <c r="Y3108" s="19" t="inlineStr"/>
      <c r="Z3108" s="18">
        <f>IF(Y3108="",X3108,Y3108)</f>
        <v/>
      </c>
      <c r="AA3108" s="18" t="inlineStr">
        <is>
          <t>grounded</t>
        </is>
      </c>
      <c r="AB3108" s="18" t="inlineStr">
        <is>
          <t>night</t>
        </is>
      </c>
      <c r="AC3108" s="18" t="inlineStr"/>
      <c r="AD3108" s="18" t="inlineStr">
        <is>
          <t>minY=62</t>
        </is>
      </c>
      <c r="AE3108" s="18" t="inlineStr"/>
      <c r="AF3108" s="18" t="inlineStr"/>
      <c r="AG3108" s="18" t="inlineStr">
        <is>
          <t>#minecraft:village</t>
        </is>
      </c>
      <c r="AH3108" s="18" t="inlineStr"/>
      <c r="AI3108" s="18" t="inlineStr"/>
      <c r="AJ3108" s="18" t="inlineStr">
        <is>
          <t>Cobblemon 동일</t>
        </is>
      </c>
      <c r="AK3108" s="18" t="inlineStr">
        <is>
          <t>사용</t>
        </is>
      </c>
      <c r="AL3108" s="18" t="inlineStr">
        <is>
          <t>COBBLEVERSE 1.7.42 / DP v31</t>
        </is>
      </c>
      <c r="AM3108" s="18" t="inlineStr">
        <is>
          <t>data/cobblemon/spawn_pool_world/1012_poltchageist.json</t>
        </is>
      </c>
      <c r="AN3108" s="18" t="inlineStr">
        <is>
          <t>poltchageist-counterfeit-3</t>
        </is>
      </c>
      <c r="AO3108" s="18" t="inlineStr">
        <is>
          <t>pokemon</t>
        </is>
      </c>
      <c r="AP3108" s="18" t="inlineStr"/>
      <c r="AQ3108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minY":62,"structures":["#minecraft:village"],"timeRange":"night"}</t>
        </is>
      </c>
      <c r="AR3108" s="18" t="inlineStr">
        <is>
          <t>{"biomes":["#cobblemon:is_magical","#cobblemon:is_spooky"]}</t>
        </is>
      </c>
      <c r="AS3108" s="18" t="inlineStr"/>
      <c r="AT3108" s="19" t="inlineStr"/>
    </row>
    <row r="3109" ht="32" customHeight="1">
      <c r="A3109" s="18" t="inlineStr">
        <is>
          <t>1012_poltchageist.json::poltchageist-artisan-4::004</t>
        </is>
      </c>
      <c r="B3109" s="19" t="inlineStr">
        <is>
          <t>사용</t>
        </is>
      </c>
      <c r="C3109" s="18">
        <f>IF(OR(B3109&lt;&gt;AK3109,M3109&lt;&gt;L3109,O3109&lt;&gt;"",Q3109&lt;&gt;"",V3109&lt;&gt;1,Y3109&lt;&gt;"",AT3109&lt;&gt;""),"수정","원본")</f>
        <v/>
      </c>
      <c r="D3109" s="18" t="n">
        <v>1012</v>
      </c>
      <c r="E3109" s="18" t="inlineStr">
        <is>
          <t>차데스</t>
        </is>
      </c>
      <c r="F3109" s="18" t="inlineStr">
        <is>
          <t>poltchageist</t>
        </is>
      </c>
      <c r="G3109" s="18" t="inlineStr">
        <is>
          <t>poltchageist matcha_authenticity=artisan</t>
        </is>
      </c>
      <c r="H3109" s="18" t="inlineStr">
        <is>
          <t>matcha_authenticity=artisan</t>
        </is>
      </c>
      <c r="I3109" s="18" t="n">
        <v>9</v>
      </c>
      <c r="J3109" s="18" t="n"/>
      <c r="K3109" s="18" t="n">
        <v>9</v>
      </c>
      <c r="L3109" s="18" t="inlineStr">
        <is>
          <t>cobbleventure:generation_9</t>
        </is>
      </c>
      <c r="M3109" s="19" t="inlineStr">
        <is>
          <t>cobbleventure:generation_9</t>
        </is>
      </c>
      <c r="N3109" s="18" t="inlineStr">
        <is>
          <t>region_01; region_02</t>
        </is>
      </c>
      <c r="O3109" s="19" t="inlineStr"/>
      <c r="P3109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09" s="19" t="inlineStr"/>
      <c r="R3109" s="18">
        <f>IF(Q3109="",P3109,Q3109)</f>
        <v/>
      </c>
      <c r="S3109" s="18" t="inlineStr">
        <is>
          <t>#cobblemon:is_magical; #cobblemon:is_spooky</t>
        </is>
      </c>
      <c r="T3109" s="18" t="inlineStr">
        <is>
          <t>uncommon</t>
        </is>
      </c>
      <c r="U3109" s="20" t="n">
        <v>0.092</v>
      </c>
      <c r="V3109" s="21" t="n">
        <v>1</v>
      </c>
      <c r="W3109" s="20">
        <f>IF(OR(U3109="",V3109=""),U3109,U3109*V3109)</f>
        <v/>
      </c>
      <c r="X3109" s="18" t="inlineStr">
        <is>
          <t>6-31</t>
        </is>
      </c>
      <c r="Y3109" s="19" t="inlineStr"/>
      <c r="Z3109" s="18">
        <f>IF(Y3109="",X3109,Y3109)</f>
        <v/>
      </c>
      <c r="AA3109" s="18" t="inlineStr">
        <is>
          <t>grounded</t>
        </is>
      </c>
      <c r="AB3109" s="18" t="inlineStr">
        <is>
          <t>night</t>
        </is>
      </c>
      <c r="AC3109" s="18" t="inlineStr"/>
      <c r="AD3109" s="18" t="inlineStr">
        <is>
          <t>minY=62</t>
        </is>
      </c>
      <c r="AE3109" s="18" t="inlineStr"/>
      <c r="AF3109" s="18" t="inlineStr"/>
      <c r="AG3109" s="18" t="inlineStr">
        <is>
          <t>#minecraft:village</t>
        </is>
      </c>
      <c r="AH3109" s="18" t="inlineStr"/>
      <c r="AI3109" s="18" t="inlineStr"/>
      <c r="AJ3109" s="18" t="inlineStr">
        <is>
          <t>Cobblemon 동일</t>
        </is>
      </c>
      <c r="AK3109" s="18" t="inlineStr">
        <is>
          <t>사용</t>
        </is>
      </c>
      <c r="AL3109" s="18" t="inlineStr">
        <is>
          <t>COBBLEVERSE 1.7.42 / DP v31</t>
        </is>
      </c>
      <c r="AM3109" s="18" t="inlineStr">
        <is>
          <t>data/cobblemon/spawn_pool_world/1012_poltchageist.json</t>
        </is>
      </c>
      <c r="AN3109" s="18" t="inlineStr">
        <is>
          <t>poltchageist-artisan-4</t>
        </is>
      </c>
      <c r="AO3109" s="18" t="inlineStr">
        <is>
          <t>pokemon</t>
        </is>
      </c>
      <c r="AP3109" s="18" t="inlineStr"/>
      <c r="AQ3109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minY":62,"structures":["#minecraft:village"],"timeRange":"night"}</t>
        </is>
      </c>
      <c r="AR3109" s="18" t="inlineStr">
        <is>
          <t>{"biomes":["#cobblemon:is_magical","#cobblemon:is_spooky"]}</t>
        </is>
      </c>
      <c r="AS3109" s="18" t="inlineStr"/>
      <c r="AT3109" s="19" t="inlineStr"/>
    </row>
    <row r="3110" ht="32" customHeight="1">
      <c r="A3110" s="18" t="inlineStr">
        <is>
          <t>1013_sinistcha.json::sinistcha-unremarkable-1::001</t>
        </is>
      </c>
      <c r="B3110" s="19" t="inlineStr">
        <is>
          <t>사용</t>
        </is>
      </c>
      <c r="C3110" s="18">
        <f>IF(OR(B3110&lt;&gt;AK3110,M3110&lt;&gt;L3110,O3110&lt;&gt;"",Q3110&lt;&gt;"",V3110&lt;&gt;1,Y3110&lt;&gt;"",AT3110&lt;&gt;""),"수정","원본")</f>
        <v/>
      </c>
      <c r="D3110" s="18" t="n">
        <v>1013</v>
      </c>
      <c r="E3110" s="18" t="inlineStr">
        <is>
          <t>그우린차</t>
        </is>
      </c>
      <c r="F3110" s="18" t="inlineStr">
        <is>
          <t>sinistcha</t>
        </is>
      </c>
      <c r="G3110" s="18" t="inlineStr">
        <is>
          <t>sinistcha matcha_authenticity=unremarkable</t>
        </is>
      </c>
      <c r="H3110" s="18" t="inlineStr">
        <is>
          <t>matcha_authenticity=unremarkable</t>
        </is>
      </c>
      <c r="I3110" s="18" t="n">
        <v>9</v>
      </c>
      <c r="J3110" s="18" t="n"/>
      <c r="K3110" s="18" t="n">
        <v>9</v>
      </c>
      <c r="L3110" s="18" t="inlineStr">
        <is>
          <t>cobbleventure:generation_9</t>
        </is>
      </c>
      <c r="M3110" s="19" t="inlineStr">
        <is>
          <t>cobbleventure:generation_9</t>
        </is>
      </c>
      <c r="N3110" s="18" t="inlineStr">
        <is>
          <t>region_01; region_02</t>
        </is>
      </c>
      <c r="O3110" s="19" t="inlineStr"/>
      <c r="P3110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10" s="19" t="inlineStr"/>
      <c r="R3110" s="18">
        <f>IF(Q3110="",P3110,Q3110)</f>
        <v/>
      </c>
      <c r="S3110" s="18" t="inlineStr">
        <is>
          <t>#cobblemon:is_magical; #cobblemon:is_spooky</t>
        </is>
      </c>
      <c r="T3110" s="18" t="inlineStr">
        <is>
          <t>uncommon</t>
        </is>
      </c>
      <c r="U3110" s="20" t="n">
        <v>0.792</v>
      </c>
      <c r="V3110" s="21" t="n">
        <v>1</v>
      </c>
      <c r="W3110" s="20">
        <f>IF(OR(U3110="",V3110=""),U3110,U3110*V3110)</f>
        <v/>
      </c>
      <c r="X3110" s="18" t="inlineStr">
        <is>
          <t>26-51</t>
        </is>
      </c>
      <c r="Y3110" s="19" t="inlineStr"/>
      <c r="Z3110" s="18">
        <f>IF(Y3110="",X3110,Y3110)</f>
        <v/>
      </c>
      <c r="AA3110" s="18" t="inlineStr">
        <is>
          <t>grounded</t>
        </is>
      </c>
      <c r="AB3110" s="18" t="inlineStr">
        <is>
          <t>day</t>
        </is>
      </c>
      <c r="AC3110" s="18" t="inlineStr"/>
      <c r="AD3110" s="18" t="inlineStr">
        <is>
          <t>minY=62</t>
        </is>
      </c>
      <c r="AE3110" s="18" t="inlineStr"/>
      <c r="AF3110" s="18" t="inlineStr">
        <is>
          <t>False</t>
        </is>
      </c>
      <c r="AG3110" s="18" t="inlineStr">
        <is>
          <t>#minecraft:village</t>
        </is>
      </c>
      <c r="AH3110" s="18" t="inlineStr"/>
      <c r="AI3110" s="18" t="inlineStr"/>
      <c r="AJ3110" s="18" t="inlineStr">
        <is>
          <t>Cobblemon 동일</t>
        </is>
      </c>
      <c r="AK3110" s="18" t="inlineStr">
        <is>
          <t>사용</t>
        </is>
      </c>
      <c r="AL3110" s="18" t="inlineStr">
        <is>
          <t>COBBLEVERSE 1.7.42 / DP v31</t>
        </is>
      </c>
      <c r="AM3110" s="18" t="inlineStr">
        <is>
          <t>data/cobblemon/spawn_pool_world/1013_sinistcha.json</t>
        </is>
      </c>
      <c r="AN3110" s="18" t="inlineStr">
        <is>
          <t>sinistcha-unremarkable-1</t>
        </is>
      </c>
      <c r="AO3110" s="18" t="inlineStr">
        <is>
          <t>pokemon</t>
        </is>
      </c>
      <c r="AP3110" s="18" t="inlineStr"/>
      <c r="AQ3110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canSeeSky":false,"minY":62,"structures":["#minecraft:village"],"timeRange":"day"}</t>
        </is>
      </c>
      <c r="AR3110" s="18" t="inlineStr">
        <is>
          <t>{"biomes":["#cobblemon:is_magical","#cobblemon:is_spooky"]}</t>
        </is>
      </c>
      <c r="AS3110" s="18" t="inlineStr"/>
      <c r="AT3110" s="19" t="inlineStr"/>
    </row>
    <row r="3111" ht="32" customHeight="1">
      <c r="A3111" s="18" t="inlineStr">
        <is>
          <t>1013_sinistcha.json::sinistcha-masterpiece-2::002</t>
        </is>
      </c>
      <c r="B3111" s="19" t="inlineStr">
        <is>
          <t>사용</t>
        </is>
      </c>
      <c r="C3111" s="18">
        <f>IF(OR(B3111&lt;&gt;AK3111,M3111&lt;&gt;L3111,O3111&lt;&gt;"",Q3111&lt;&gt;"",V3111&lt;&gt;1,Y3111&lt;&gt;"",AT3111&lt;&gt;""),"수정","원본")</f>
        <v/>
      </c>
      <c r="D3111" s="18" t="n">
        <v>1013</v>
      </c>
      <c r="E3111" s="18" t="inlineStr">
        <is>
          <t>그우린차</t>
        </is>
      </c>
      <c r="F3111" s="18" t="inlineStr">
        <is>
          <t>sinistcha</t>
        </is>
      </c>
      <c r="G3111" s="18" t="inlineStr">
        <is>
          <t>sinistcha matcha_authenticity=masterpiece</t>
        </is>
      </c>
      <c r="H3111" s="18" t="inlineStr">
        <is>
          <t>matcha_authenticity=masterpiece</t>
        </is>
      </c>
      <c r="I3111" s="18" t="n">
        <v>9</v>
      </c>
      <c r="J3111" s="18" t="n"/>
      <c r="K3111" s="18" t="n">
        <v>9</v>
      </c>
      <c r="L3111" s="18" t="inlineStr">
        <is>
          <t>cobbleventure:generation_9</t>
        </is>
      </c>
      <c r="M3111" s="19" t="inlineStr">
        <is>
          <t>cobbleventure:generation_9</t>
        </is>
      </c>
      <c r="N3111" s="18" t="inlineStr">
        <is>
          <t>region_01; region_02</t>
        </is>
      </c>
      <c r="O3111" s="19" t="inlineStr"/>
      <c r="P3111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11" s="19" t="inlineStr"/>
      <c r="R3111" s="18">
        <f>IF(Q3111="",P3111,Q3111)</f>
        <v/>
      </c>
      <c r="S3111" s="18" t="inlineStr">
        <is>
          <t>#cobblemon:is_magical; #cobblemon:is_spooky</t>
        </is>
      </c>
      <c r="T3111" s="18" t="inlineStr">
        <is>
          <t>uncommon</t>
        </is>
      </c>
      <c r="U3111" s="20" t="n">
        <v>0.008</v>
      </c>
      <c r="V3111" s="21" t="n">
        <v>1</v>
      </c>
      <c r="W3111" s="20">
        <f>IF(OR(U3111="",V3111=""),U3111,U3111*V3111)</f>
        <v/>
      </c>
      <c r="X3111" s="18" t="inlineStr">
        <is>
          <t>26-51</t>
        </is>
      </c>
      <c r="Y3111" s="19" t="inlineStr"/>
      <c r="Z3111" s="18">
        <f>IF(Y3111="",X3111,Y3111)</f>
        <v/>
      </c>
      <c r="AA3111" s="18" t="inlineStr">
        <is>
          <t>grounded</t>
        </is>
      </c>
      <c r="AB3111" s="18" t="inlineStr">
        <is>
          <t>day</t>
        </is>
      </c>
      <c r="AC3111" s="18" t="inlineStr"/>
      <c r="AD3111" s="18" t="inlineStr">
        <is>
          <t>minY=62</t>
        </is>
      </c>
      <c r="AE3111" s="18" t="inlineStr"/>
      <c r="AF3111" s="18" t="inlineStr">
        <is>
          <t>False</t>
        </is>
      </c>
      <c r="AG3111" s="18" t="inlineStr">
        <is>
          <t>#minecraft:village</t>
        </is>
      </c>
      <c r="AH3111" s="18" t="inlineStr"/>
      <c r="AI3111" s="18" t="inlineStr"/>
      <c r="AJ3111" s="18" t="inlineStr">
        <is>
          <t>Cobblemon 동일</t>
        </is>
      </c>
      <c r="AK3111" s="18" t="inlineStr">
        <is>
          <t>사용</t>
        </is>
      </c>
      <c r="AL3111" s="18" t="inlineStr">
        <is>
          <t>COBBLEVERSE 1.7.42 / DP v31</t>
        </is>
      </c>
      <c r="AM3111" s="18" t="inlineStr">
        <is>
          <t>data/cobblemon/spawn_pool_world/1013_sinistcha.json</t>
        </is>
      </c>
      <c r="AN3111" s="18" t="inlineStr">
        <is>
          <t>sinistcha-masterpiece-2</t>
        </is>
      </c>
      <c r="AO3111" s="18" t="inlineStr">
        <is>
          <t>pokemon</t>
        </is>
      </c>
      <c r="AP3111" s="18" t="inlineStr"/>
      <c r="AQ3111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canSeeSky":false,"minY":62,"structures":["#minecraft:village"],"timeRange":"day"}</t>
        </is>
      </c>
      <c r="AR3111" s="18" t="inlineStr">
        <is>
          <t>{"biomes":["#cobblemon:is_magical","#cobblemon:is_spooky"]}</t>
        </is>
      </c>
      <c r="AS3111" s="18" t="inlineStr"/>
      <c r="AT3111" s="19" t="inlineStr"/>
    </row>
    <row r="3112" ht="32" customHeight="1">
      <c r="A3112" s="18" t="inlineStr">
        <is>
          <t>1013_sinistcha.json::sinistcha-unremarkable-3::003</t>
        </is>
      </c>
      <c r="B3112" s="19" t="inlineStr">
        <is>
          <t>사용</t>
        </is>
      </c>
      <c r="C3112" s="18">
        <f>IF(OR(B3112&lt;&gt;AK3112,M3112&lt;&gt;L3112,O3112&lt;&gt;"",Q3112&lt;&gt;"",V3112&lt;&gt;1,Y3112&lt;&gt;"",AT3112&lt;&gt;""),"수정","원본")</f>
        <v/>
      </c>
      <c r="D3112" s="18" t="n">
        <v>1013</v>
      </c>
      <c r="E3112" s="18" t="inlineStr">
        <is>
          <t>그우린차</t>
        </is>
      </c>
      <c r="F3112" s="18" t="inlineStr">
        <is>
          <t>sinistcha</t>
        </is>
      </c>
      <c r="G3112" s="18" t="inlineStr">
        <is>
          <t>sinistcha matcha_authenticity=unremarkable</t>
        </is>
      </c>
      <c r="H3112" s="18" t="inlineStr">
        <is>
          <t>matcha_authenticity=unremarkable</t>
        </is>
      </c>
      <c r="I3112" s="18" t="n">
        <v>9</v>
      </c>
      <c r="J3112" s="18" t="n"/>
      <c r="K3112" s="18" t="n">
        <v>9</v>
      </c>
      <c r="L3112" s="18" t="inlineStr">
        <is>
          <t>cobbleventure:generation_9</t>
        </is>
      </c>
      <c r="M3112" s="19" t="inlineStr">
        <is>
          <t>cobbleventure:generation_9</t>
        </is>
      </c>
      <c r="N3112" s="18" t="inlineStr">
        <is>
          <t>region_01; region_02</t>
        </is>
      </c>
      <c r="O3112" s="19" t="inlineStr"/>
      <c r="P3112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12" s="19" t="inlineStr"/>
      <c r="R3112" s="18">
        <f>IF(Q3112="",P3112,Q3112)</f>
        <v/>
      </c>
      <c r="S3112" s="18" t="inlineStr">
        <is>
          <t>#cobblemon:is_magical; #cobblemon:is_spooky</t>
        </is>
      </c>
      <c r="T3112" s="18" t="inlineStr">
        <is>
          <t>uncommon</t>
        </is>
      </c>
      <c r="U3112" s="20" t="n">
        <v>0.792</v>
      </c>
      <c r="V3112" s="21" t="n">
        <v>1</v>
      </c>
      <c r="W3112" s="20">
        <f>IF(OR(U3112="",V3112=""),U3112,U3112*V3112)</f>
        <v/>
      </c>
      <c r="X3112" s="18" t="inlineStr">
        <is>
          <t>26-51</t>
        </is>
      </c>
      <c r="Y3112" s="19" t="inlineStr"/>
      <c r="Z3112" s="18">
        <f>IF(Y3112="",X3112,Y3112)</f>
        <v/>
      </c>
      <c r="AA3112" s="18" t="inlineStr">
        <is>
          <t>grounded</t>
        </is>
      </c>
      <c r="AB3112" s="18" t="inlineStr">
        <is>
          <t>night</t>
        </is>
      </c>
      <c r="AC3112" s="18" t="inlineStr"/>
      <c r="AD3112" s="18" t="inlineStr">
        <is>
          <t>minY=62</t>
        </is>
      </c>
      <c r="AE3112" s="18" t="inlineStr"/>
      <c r="AF3112" s="18" t="inlineStr"/>
      <c r="AG3112" s="18" t="inlineStr">
        <is>
          <t>#minecraft:village</t>
        </is>
      </c>
      <c r="AH3112" s="18" t="inlineStr"/>
      <c r="AI3112" s="18" t="inlineStr"/>
      <c r="AJ3112" s="18" t="inlineStr">
        <is>
          <t>Cobblemon 동일</t>
        </is>
      </c>
      <c r="AK3112" s="18" t="inlineStr">
        <is>
          <t>사용</t>
        </is>
      </c>
      <c r="AL3112" s="18" t="inlineStr">
        <is>
          <t>COBBLEVERSE 1.7.42 / DP v31</t>
        </is>
      </c>
      <c r="AM3112" s="18" t="inlineStr">
        <is>
          <t>data/cobblemon/spawn_pool_world/1013_sinistcha.json</t>
        </is>
      </c>
      <c r="AN3112" s="18" t="inlineStr">
        <is>
          <t>sinistcha-unremarkable-3</t>
        </is>
      </c>
      <c r="AO3112" s="18" t="inlineStr">
        <is>
          <t>pokemon</t>
        </is>
      </c>
      <c r="AP3112" s="18" t="inlineStr"/>
      <c r="AQ3112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minY":62,"structures":["#minecraft:village"],"timeRange":"night"}</t>
        </is>
      </c>
      <c r="AR3112" s="18" t="inlineStr">
        <is>
          <t>{"biomes":["#cobblemon:is_magical","#cobblemon:is_spooky"]}</t>
        </is>
      </c>
      <c r="AS3112" s="18" t="inlineStr"/>
      <c r="AT3112" s="19" t="inlineStr"/>
    </row>
    <row r="3113" ht="32" customHeight="1">
      <c r="A3113" s="18" t="inlineStr">
        <is>
          <t>1013_sinistcha.json::sinistcha-masterpiece-4::004</t>
        </is>
      </c>
      <c r="B3113" s="19" t="inlineStr">
        <is>
          <t>사용</t>
        </is>
      </c>
      <c r="C3113" s="18">
        <f>IF(OR(B3113&lt;&gt;AK3113,M3113&lt;&gt;L3113,O3113&lt;&gt;"",Q3113&lt;&gt;"",V3113&lt;&gt;1,Y3113&lt;&gt;"",AT3113&lt;&gt;""),"수정","원본")</f>
        <v/>
      </c>
      <c r="D3113" s="18" t="n">
        <v>1013</v>
      </c>
      <c r="E3113" s="18" t="inlineStr">
        <is>
          <t>그우린차</t>
        </is>
      </c>
      <c r="F3113" s="18" t="inlineStr">
        <is>
          <t>sinistcha</t>
        </is>
      </c>
      <c r="G3113" s="18" t="inlineStr">
        <is>
          <t>sinistcha matcha_authenticity=masterpiece</t>
        </is>
      </c>
      <c r="H3113" s="18" t="inlineStr">
        <is>
          <t>matcha_authenticity=masterpiece</t>
        </is>
      </c>
      <c r="I3113" s="18" t="n">
        <v>9</v>
      </c>
      <c r="J3113" s="18" t="n"/>
      <c r="K3113" s="18" t="n">
        <v>9</v>
      </c>
      <c r="L3113" s="18" t="inlineStr">
        <is>
          <t>cobbleventure:generation_9</t>
        </is>
      </c>
      <c r="M3113" s="19" t="inlineStr">
        <is>
          <t>cobbleventure:generation_9</t>
        </is>
      </c>
      <c r="N3113" s="18" t="inlineStr">
        <is>
          <t>region_01; region_02</t>
        </is>
      </c>
      <c r="O3113" s="19" t="inlineStr"/>
      <c r="P3113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3113" s="19" t="inlineStr"/>
      <c r="R3113" s="18">
        <f>IF(Q3113="",P3113,Q3113)</f>
        <v/>
      </c>
      <c r="S3113" s="18" t="inlineStr">
        <is>
          <t>#cobblemon:is_magical; #cobblemon:is_spooky</t>
        </is>
      </c>
      <c r="T3113" s="18" t="inlineStr">
        <is>
          <t>uncommon</t>
        </is>
      </c>
      <c r="U3113" s="20" t="n">
        <v>0.008</v>
      </c>
      <c r="V3113" s="21" t="n">
        <v>1</v>
      </c>
      <c r="W3113" s="20">
        <f>IF(OR(U3113="",V3113=""),U3113,U3113*V3113)</f>
        <v/>
      </c>
      <c r="X3113" s="18" t="inlineStr">
        <is>
          <t>26-51</t>
        </is>
      </c>
      <c r="Y3113" s="19" t="inlineStr"/>
      <c r="Z3113" s="18">
        <f>IF(Y3113="",X3113,Y3113)</f>
        <v/>
      </c>
      <c r="AA3113" s="18" t="inlineStr">
        <is>
          <t>grounded</t>
        </is>
      </c>
      <c r="AB3113" s="18" t="inlineStr">
        <is>
          <t>night</t>
        </is>
      </c>
      <c r="AC3113" s="18" t="inlineStr"/>
      <c r="AD3113" s="18" t="inlineStr">
        <is>
          <t>minY=62</t>
        </is>
      </c>
      <c r="AE3113" s="18" t="inlineStr"/>
      <c r="AF3113" s="18" t="inlineStr"/>
      <c r="AG3113" s="18" t="inlineStr">
        <is>
          <t>#minecraft:village</t>
        </is>
      </c>
      <c r="AH3113" s="18" t="inlineStr"/>
      <c r="AI3113" s="18" t="inlineStr"/>
      <c r="AJ3113" s="18" t="inlineStr">
        <is>
          <t>Cobblemon 동일</t>
        </is>
      </c>
      <c r="AK3113" s="18" t="inlineStr">
        <is>
          <t>사용</t>
        </is>
      </c>
      <c r="AL3113" s="18" t="inlineStr">
        <is>
          <t>COBBLEVERSE 1.7.42 / DP v31</t>
        </is>
      </c>
      <c r="AM3113" s="18" t="inlineStr">
        <is>
          <t>data/cobblemon/spawn_pool_world/1013_sinistcha.json</t>
        </is>
      </c>
      <c r="AN3113" s="18" t="inlineStr">
        <is>
          <t>sinistcha-masterpiece-4</t>
        </is>
      </c>
      <c r="AO3113" s="18" t="inlineStr">
        <is>
          <t>pokemon</t>
        </is>
      </c>
      <c r="AP3113" s="18" t="inlineStr"/>
      <c r="AQ3113" s="18" t="inlineStr">
        <is>
          <t>{"biomes":["#cobblemon:is_arid","#cobblemon:is_bamboo","#cobblemon:is_cherry_blossom","#cobblemon:is_forest","#cobblemon:is_island","#cobblemon:is_jungle","#cobblemon:is_ocean","#cobblemon:is_swamp","#cobblemon:is_thermal","#cobblemon:is_volcanic"],"minY":62,"structures":["#minecraft:village"],"timeRange":"night"}</t>
        </is>
      </c>
      <c r="AR3113" s="18" t="inlineStr">
        <is>
          <t>{"biomes":["#cobblemon:is_magical","#cobblemon:is_spooky"]}</t>
        </is>
      </c>
      <c r="AS3113" s="18" t="inlineStr"/>
      <c r="AT3113" s="19" t="inlineStr"/>
    </row>
    <row r="3114" ht="32" customHeight="1">
      <c r="A3114" s="18" t="inlineStr">
        <is>
          <t>1014_okidogi.json::okidogi-1::001</t>
        </is>
      </c>
      <c r="B3114" s="19" t="inlineStr">
        <is>
          <t>사용</t>
        </is>
      </c>
      <c r="C3114" s="18">
        <f>IF(OR(B3114&lt;&gt;AK3114,M3114&lt;&gt;L3114,O3114&lt;&gt;"",Q3114&lt;&gt;"",V3114&lt;&gt;1,Y3114&lt;&gt;"",AT3114&lt;&gt;""),"수정","원본")</f>
        <v/>
      </c>
      <c r="D3114" s="18" t="n">
        <v>1014</v>
      </c>
      <c r="E3114" s="18" t="inlineStr">
        <is>
          <t>조타구</t>
        </is>
      </c>
      <c r="F3114" s="18" t="inlineStr">
        <is>
          <t>okidogi</t>
        </is>
      </c>
      <c r="G3114" s="18" t="inlineStr">
        <is>
          <t>okidogi</t>
        </is>
      </c>
      <c r="H3114" s="18" t="inlineStr"/>
      <c r="I3114" s="18" t="n">
        <v>9</v>
      </c>
      <c r="J3114" s="18" t="n"/>
      <c r="K3114" s="18" t="n">
        <v>9</v>
      </c>
      <c r="L3114" s="18" t="inlineStr">
        <is>
          <t>cobbleventure:generation_9</t>
        </is>
      </c>
      <c r="M3114" s="19" t="inlineStr">
        <is>
          <t>cobbleventure:generation_9</t>
        </is>
      </c>
      <c r="N3114" s="18" t="inlineStr"/>
      <c r="O3114" s="19" t="inlineStr"/>
      <c r="P3114" s="18" t="inlineStr">
        <is>
          <t>#cobblemon:is_savanna</t>
        </is>
      </c>
      <c r="Q3114" s="19" t="inlineStr"/>
      <c r="R3114" s="18">
        <f>IF(Q3114="",P3114,Q3114)</f>
        <v/>
      </c>
      <c r="S3114" s="18" t="inlineStr"/>
      <c r="T3114" s="18" t="inlineStr">
        <is>
          <t>ultra-rare</t>
        </is>
      </c>
      <c r="U3114" s="20" t="n">
        <v>0.5</v>
      </c>
      <c r="V3114" s="21" t="n">
        <v>1</v>
      </c>
      <c r="W3114" s="20">
        <f>IF(OR(U3114="",V3114=""),U3114,U3114*V3114)</f>
        <v/>
      </c>
      <c r="X3114" s="18" t="inlineStr">
        <is>
          <t>70-75</t>
        </is>
      </c>
      <c r="Y3114" s="19" t="inlineStr"/>
      <c r="Z3114" s="18">
        <f>IF(Y3114="",X3114,Y3114)</f>
        <v/>
      </c>
      <c r="AA3114" s="18" t="inlineStr">
        <is>
          <t>grounded</t>
        </is>
      </c>
      <c r="AB3114" s="18" t="inlineStr"/>
      <c r="AC3114" s="18" t="inlineStr"/>
      <c r="AD3114" s="18" t="inlineStr"/>
      <c r="AE3114" s="18" t="inlineStr"/>
      <c r="AF3114" s="18" t="inlineStr">
        <is>
          <t>True</t>
        </is>
      </c>
      <c r="AG3114" s="18" t="inlineStr"/>
      <c r="AH3114" s="18" t="inlineStr"/>
      <c r="AI3114" s="18" t="inlineStr"/>
      <c r="AJ3114" s="18" t="inlineStr">
        <is>
          <t>COBBLEVERSE 추가</t>
        </is>
      </c>
      <c r="AK3114" s="18" t="inlineStr">
        <is>
          <t>사용</t>
        </is>
      </c>
      <c r="AL3114" s="18" t="inlineStr">
        <is>
          <t>COBBLEVERSE 1.7.42 / DP v31</t>
        </is>
      </c>
      <c r="AM3114" s="18" t="inlineStr">
        <is>
          <t>data/cobblemon/spawn_pool_world/1014_okidogi.json</t>
        </is>
      </c>
      <c r="AN3114" s="18" t="inlineStr">
        <is>
          <t>okidogi-1</t>
        </is>
      </c>
      <c r="AO3114" s="18" t="inlineStr">
        <is>
          <t>pokemon</t>
        </is>
      </c>
      <c r="AP3114" s="18" t="inlineStr"/>
      <c r="AQ3114" s="18" t="inlineStr">
        <is>
          <t>{"biomes":["#cobblemon:is_savanna"],"canSeeSky":true}</t>
        </is>
      </c>
      <c r="AR3114" s="18" t="inlineStr"/>
      <c r="AS3114" s="18" t="inlineStr"/>
      <c r="AT3114" s="19" t="inlineStr"/>
    </row>
    <row r="3115" ht="32" customHeight="1">
      <c r="A3115" s="18" t="inlineStr">
        <is>
          <t>1015_munkidori.json::munkidori-1::001</t>
        </is>
      </c>
      <c r="B3115" s="19" t="inlineStr">
        <is>
          <t>사용</t>
        </is>
      </c>
      <c r="C3115" s="18">
        <f>IF(OR(B3115&lt;&gt;AK3115,M3115&lt;&gt;L3115,O3115&lt;&gt;"",Q3115&lt;&gt;"",V3115&lt;&gt;1,Y3115&lt;&gt;"",AT3115&lt;&gt;""),"수정","원본")</f>
        <v/>
      </c>
      <c r="D3115" s="18" t="n">
        <v>1015</v>
      </c>
      <c r="E3115" s="18" t="inlineStr">
        <is>
          <t>이야후</t>
        </is>
      </c>
      <c r="F3115" s="18" t="inlineStr">
        <is>
          <t>munkidori</t>
        </is>
      </c>
      <c r="G3115" s="18" t="inlineStr">
        <is>
          <t>munkidori</t>
        </is>
      </c>
      <c r="H3115" s="18" t="inlineStr"/>
      <c r="I3115" s="18" t="n">
        <v>9</v>
      </c>
      <c r="J3115" s="18" t="n"/>
      <c r="K3115" s="18" t="n">
        <v>9</v>
      </c>
      <c r="L3115" s="18" t="inlineStr">
        <is>
          <t>cobbleventure:generation_9</t>
        </is>
      </c>
      <c r="M3115" s="19" t="inlineStr">
        <is>
          <t>cobbleventure:generation_9</t>
        </is>
      </c>
      <c r="N3115" s="18" t="inlineStr"/>
      <c r="O3115" s="19" t="inlineStr"/>
      <c r="P3115" s="18" t="inlineStr">
        <is>
          <t>#cobblemon:is_jungle</t>
        </is>
      </c>
      <c r="Q3115" s="19" t="inlineStr"/>
      <c r="R3115" s="18">
        <f>IF(Q3115="",P3115,Q3115)</f>
        <v/>
      </c>
      <c r="S3115" s="18" t="inlineStr"/>
      <c r="T3115" s="18" t="inlineStr">
        <is>
          <t>ultra-rare</t>
        </is>
      </c>
      <c r="U3115" s="20" t="n">
        <v>0.5</v>
      </c>
      <c r="V3115" s="21" t="n">
        <v>1</v>
      </c>
      <c r="W3115" s="20">
        <f>IF(OR(U3115="",V3115=""),U3115,U3115*V3115)</f>
        <v/>
      </c>
      <c r="X3115" s="18" t="inlineStr">
        <is>
          <t>70-75</t>
        </is>
      </c>
      <c r="Y3115" s="19" t="inlineStr"/>
      <c r="Z3115" s="18">
        <f>IF(Y3115="",X3115,Y3115)</f>
        <v/>
      </c>
      <c r="AA3115" s="18" t="inlineStr">
        <is>
          <t>grounded</t>
        </is>
      </c>
      <c r="AB3115" s="18" t="inlineStr"/>
      <c r="AC3115" s="18" t="inlineStr"/>
      <c r="AD3115" s="18" t="inlineStr"/>
      <c r="AE3115" s="18" t="inlineStr"/>
      <c r="AF3115" s="18" t="inlineStr">
        <is>
          <t>True</t>
        </is>
      </c>
      <c r="AG3115" s="18" t="inlineStr"/>
      <c r="AH3115" s="18" t="inlineStr"/>
      <c r="AI3115" s="18" t="inlineStr"/>
      <c r="AJ3115" s="18" t="inlineStr">
        <is>
          <t>COBBLEVERSE 추가</t>
        </is>
      </c>
      <c r="AK3115" s="18" t="inlineStr">
        <is>
          <t>사용</t>
        </is>
      </c>
      <c r="AL3115" s="18" t="inlineStr">
        <is>
          <t>COBBLEVERSE 1.7.42 / DP v31</t>
        </is>
      </c>
      <c r="AM3115" s="18" t="inlineStr">
        <is>
          <t>data/cobblemon/spawn_pool_world/1015_munkidori.json</t>
        </is>
      </c>
      <c r="AN3115" s="18" t="inlineStr">
        <is>
          <t>munkidori-1</t>
        </is>
      </c>
      <c r="AO3115" s="18" t="inlineStr">
        <is>
          <t>pokemon</t>
        </is>
      </c>
      <c r="AP3115" s="18" t="inlineStr"/>
      <c r="AQ3115" s="18" t="inlineStr">
        <is>
          <t>{"biomes":["#cobblemon:is_jungle"],"canSeeSky":true}</t>
        </is>
      </c>
      <c r="AR3115" s="18" t="inlineStr"/>
      <c r="AS3115" s="18" t="inlineStr"/>
      <c r="AT3115" s="19" t="inlineStr"/>
    </row>
    <row r="3116" ht="32" customHeight="1">
      <c r="A3116" s="18" t="inlineStr">
        <is>
          <t>1016_fezandipiti.json::fezandipiti-1::001</t>
        </is>
      </c>
      <c r="B3116" s="19" t="inlineStr">
        <is>
          <t>사용</t>
        </is>
      </c>
      <c r="C3116" s="18">
        <f>IF(OR(B3116&lt;&gt;AK3116,M3116&lt;&gt;L3116,O3116&lt;&gt;"",Q3116&lt;&gt;"",V3116&lt;&gt;1,Y3116&lt;&gt;"",AT3116&lt;&gt;""),"수정","원본")</f>
        <v/>
      </c>
      <c r="D3116" s="18" t="n">
        <v>1016</v>
      </c>
      <c r="E3116" s="18" t="inlineStr">
        <is>
          <t>기로치</t>
        </is>
      </c>
      <c r="F3116" s="18" t="inlineStr">
        <is>
          <t>fezandipiti</t>
        </is>
      </c>
      <c r="G3116" s="18" t="inlineStr">
        <is>
          <t>fezandipiti</t>
        </is>
      </c>
      <c r="H3116" s="18" t="inlineStr"/>
      <c r="I3116" s="18" t="n">
        <v>9</v>
      </c>
      <c r="J3116" s="18" t="n"/>
      <c r="K3116" s="18" t="n">
        <v>9</v>
      </c>
      <c r="L3116" s="18" t="inlineStr">
        <is>
          <t>cobbleventure:generation_9</t>
        </is>
      </c>
      <c r="M3116" s="19" t="inlineStr">
        <is>
          <t>cobbleventure:generation_9</t>
        </is>
      </c>
      <c r="N3116" s="18" t="inlineStr"/>
      <c r="O3116" s="19" t="inlineStr"/>
      <c r="P3116" s="18" t="inlineStr">
        <is>
          <t>#cobblemon:is_peak</t>
        </is>
      </c>
      <c r="Q3116" s="19" t="inlineStr"/>
      <c r="R3116" s="18">
        <f>IF(Q3116="",P3116,Q3116)</f>
        <v/>
      </c>
      <c r="S3116" s="18" t="inlineStr"/>
      <c r="T3116" s="18" t="inlineStr">
        <is>
          <t>ultra-rare</t>
        </is>
      </c>
      <c r="U3116" s="20" t="n">
        <v>0.5</v>
      </c>
      <c r="V3116" s="21" t="n">
        <v>1</v>
      </c>
      <c r="W3116" s="20">
        <f>IF(OR(U3116="",V3116=""),U3116,U3116*V3116)</f>
        <v/>
      </c>
      <c r="X3116" s="18" t="inlineStr">
        <is>
          <t>70-75</t>
        </is>
      </c>
      <c r="Y3116" s="19" t="inlineStr"/>
      <c r="Z3116" s="18">
        <f>IF(Y3116="",X3116,Y3116)</f>
        <v/>
      </c>
      <c r="AA3116" s="18" t="inlineStr">
        <is>
          <t>grounded</t>
        </is>
      </c>
      <c r="AB3116" s="18" t="inlineStr"/>
      <c r="AC3116" s="18" t="inlineStr"/>
      <c r="AD3116" s="18" t="inlineStr"/>
      <c r="AE3116" s="18" t="inlineStr"/>
      <c r="AF3116" s="18" t="inlineStr">
        <is>
          <t>True</t>
        </is>
      </c>
      <c r="AG3116" s="18" t="inlineStr"/>
      <c r="AH3116" s="18" t="inlineStr"/>
      <c r="AI3116" s="18" t="inlineStr"/>
      <c r="AJ3116" s="18" t="inlineStr">
        <is>
          <t>COBBLEVERSE 추가</t>
        </is>
      </c>
      <c r="AK3116" s="18" t="inlineStr">
        <is>
          <t>사용</t>
        </is>
      </c>
      <c r="AL3116" s="18" t="inlineStr">
        <is>
          <t>COBBLEVERSE 1.7.42 / DP v31</t>
        </is>
      </c>
      <c r="AM3116" s="18" t="inlineStr">
        <is>
          <t>data/cobblemon/spawn_pool_world/1016_fezandipiti.json</t>
        </is>
      </c>
      <c r="AN3116" s="18" t="inlineStr">
        <is>
          <t>fezandipiti-1</t>
        </is>
      </c>
      <c r="AO3116" s="18" t="inlineStr">
        <is>
          <t>pokemon</t>
        </is>
      </c>
      <c r="AP3116" s="18" t="inlineStr"/>
      <c r="AQ3116" s="18" t="inlineStr">
        <is>
          <t>{"biomes":["#cobblemon:is_peak"],"canSeeSky":true}</t>
        </is>
      </c>
      <c r="AR3116" s="18" t="inlineStr"/>
      <c r="AS3116" s="18" t="inlineStr"/>
      <c r="AT3116" s="19" t="inlineStr"/>
    </row>
    <row r="3117" ht="32" customHeight="1">
      <c r="A3117" s="18" t="inlineStr">
        <is>
          <t>1017_ogerpon.json::ogerpon-1::001</t>
        </is>
      </c>
      <c r="B3117" s="19" t="inlineStr">
        <is>
          <t>사용</t>
        </is>
      </c>
      <c r="C3117" s="18">
        <f>IF(OR(B3117&lt;&gt;AK3117,M3117&lt;&gt;L3117,O3117&lt;&gt;"",Q3117&lt;&gt;"",V3117&lt;&gt;1,Y3117&lt;&gt;"",AT3117&lt;&gt;""),"수정","원본")</f>
        <v/>
      </c>
      <c r="D3117" s="18" t="n">
        <v>1017</v>
      </c>
      <c r="E3117" s="18" t="inlineStr">
        <is>
          <t>오거폰</t>
        </is>
      </c>
      <c r="F3117" s="18" t="inlineStr">
        <is>
          <t>ogerpon</t>
        </is>
      </c>
      <c r="G3117" s="18" t="inlineStr">
        <is>
          <t>ogerpon</t>
        </is>
      </c>
      <c r="H3117" s="18" t="inlineStr"/>
      <c r="I3117" s="18" t="n">
        <v>9</v>
      </c>
      <c r="J3117" s="18" t="n"/>
      <c r="K3117" s="18" t="n">
        <v>9</v>
      </c>
      <c r="L3117" s="18" t="inlineStr">
        <is>
          <t>cobbleventure:generation_9</t>
        </is>
      </c>
      <c r="M3117" s="19" t="inlineStr">
        <is>
          <t>cobbleventure:generation_9</t>
        </is>
      </c>
      <c r="N3117" s="18" t="inlineStr"/>
      <c r="O3117" s="19" t="inlineStr"/>
      <c r="P3117" s="18" t="inlineStr">
        <is>
          <t>#cobblemon:is_lush</t>
        </is>
      </c>
      <c r="Q3117" s="19" t="inlineStr"/>
      <c r="R3117" s="18">
        <f>IF(Q3117="",P3117,Q3117)</f>
        <v/>
      </c>
      <c r="S3117" s="18" t="inlineStr"/>
      <c r="T3117" s="18" t="inlineStr">
        <is>
          <t>ultra-rare</t>
        </is>
      </c>
      <c r="U3117" s="20" t="n">
        <v>2</v>
      </c>
      <c r="V3117" s="21" t="n">
        <v>1</v>
      </c>
      <c r="W3117" s="20">
        <f>IF(OR(U3117="",V3117=""),U3117,U3117*V3117)</f>
        <v/>
      </c>
      <c r="X3117" s="18" t="inlineStr">
        <is>
          <t>50-75</t>
        </is>
      </c>
      <c r="Y3117" s="19" t="inlineStr"/>
      <c r="Z3117" s="18">
        <f>IF(Y3117="",X3117,Y3117)</f>
        <v/>
      </c>
      <c r="AA3117" s="18" t="inlineStr">
        <is>
          <t>grounded</t>
        </is>
      </c>
      <c r="AB3117" s="18" t="inlineStr"/>
      <c r="AC3117" s="18" t="inlineStr"/>
      <c r="AD3117" s="18" t="inlineStr"/>
      <c r="AE3117" s="18" t="inlineStr"/>
      <c r="AF3117" s="18" t="inlineStr"/>
      <c r="AG3117" s="18" t="inlineStr"/>
      <c r="AH3117" s="18" t="inlineStr"/>
      <c r="AI3117" s="18" t="inlineStr"/>
      <c r="AJ3117" s="18" t="inlineStr">
        <is>
          <t>COBBLEVERSE 추가</t>
        </is>
      </c>
      <c r="AK3117" s="18" t="inlineStr">
        <is>
          <t>사용</t>
        </is>
      </c>
      <c r="AL3117" s="18" t="inlineStr">
        <is>
          <t>COBBLEVERSE 1.7.42 / DP v31</t>
        </is>
      </c>
      <c r="AM3117" s="18" t="inlineStr">
        <is>
          <t>data/cobblemon/spawn_pool_world/1017_ogerpon.json</t>
        </is>
      </c>
      <c r="AN3117" s="18" t="inlineStr">
        <is>
          <t>ogerpon-1</t>
        </is>
      </c>
      <c r="AO3117" s="18" t="inlineStr">
        <is>
          <t>pokemon</t>
        </is>
      </c>
      <c r="AP3117" s="18" t="inlineStr"/>
      <c r="AQ3117" s="18" t="inlineStr">
        <is>
          <t>{"biomes":["#cobblemon:is_lush"]}</t>
        </is>
      </c>
      <c r="AR3117" s="18" t="inlineStr"/>
      <c r="AS3117" s="18" t="inlineStr"/>
      <c r="AT3117" s="19" t="inlineStr"/>
    </row>
    <row r="3118" ht="32" customHeight="1">
      <c r="A3118" s="18" t="inlineStr">
        <is>
          <t>1018_archaludon.json::archaludon-1::001</t>
        </is>
      </c>
      <c r="B3118" s="19" t="inlineStr">
        <is>
          <t>사용</t>
        </is>
      </c>
      <c r="C3118" s="18">
        <f>IF(OR(B3118&lt;&gt;AK3118,M3118&lt;&gt;L3118,O3118&lt;&gt;"",Q3118&lt;&gt;"",V3118&lt;&gt;1,Y3118&lt;&gt;"",AT3118&lt;&gt;""),"수정","원본")</f>
        <v/>
      </c>
      <c r="D3118" s="18" t="n">
        <v>1018</v>
      </c>
      <c r="E3118" s="18" t="inlineStr">
        <is>
          <t>브리두라스</t>
        </is>
      </c>
      <c r="F3118" s="18" t="inlineStr">
        <is>
          <t>archaludon</t>
        </is>
      </c>
      <c r="G3118" s="18" t="inlineStr">
        <is>
          <t>archaludon</t>
        </is>
      </c>
      <c r="H3118" s="18" t="inlineStr"/>
      <c r="I3118" s="18" t="n">
        <v>9</v>
      </c>
      <c r="J3118" s="18" t="n"/>
      <c r="K3118" s="18" t="n">
        <v>9</v>
      </c>
      <c r="L3118" s="18" t="inlineStr">
        <is>
          <t>cobbleventure:generation_9</t>
        </is>
      </c>
      <c r="M3118" s="19" t="inlineStr">
        <is>
          <t>cobbleventure:generation_9</t>
        </is>
      </c>
      <c r="N3118" s="18" t="inlineStr"/>
      <c r="O3118" s="19" t="inlineStr"/>
      <c r="P3118" s="18" t="inlineStr">
        <is>
          <t>#cobblemon:is_glacial</t>
        </is>
      </c>
      <c r="Q3118" s="19" t="inlineStr"/>
      <c r="R3118" s="18">
        <f>IF(Q3118="",P3118,Q3118)</f>
        <v/>
      </c>
      <c r="S3118" s="18" t="inlineStr"/>
      <c r="T3118" s="18" t="inlineStr">
        <is>
          <t>ultra-rare</t>
        </is>
      </c>
      <c r="U3118" s="20" t="n">
        <v>4</v>
      </c>
      <c r="V3118" s="21" t="n">
        <v>1</v>
      </c>
      <c r="W3118" s="20">
        <f>IF(OR(U3118="",V3118=""),U3118,U3118*V3118)</f>
        <v/>
      </c>
      <c r="X3118" s="18" t="inlineStr">
        <is>
          <t>70-80</t>
        </is>
      </c>
      <c r="Y3118" s="19" t="inlineStr"/>
      <c r="Z3118" s="18">
        <f>IF(Y3118="",X3118,Y3118)</f>
        <v/>
      </c>
      <c r="AA3118" s="18" t="inlineStr">
        <is>
          <t>grounded</t>
        </is>
      </c>
      <c r="AB3118" s="18" t="inlineStr"/>
      <c r="AC3118" s="18" t="inlineStr"/>
      <c r="AD3118" s="18" t="inlineStr"/>
      <c r="AE3118" s="18" t="inlineStr"/>
      <c r="AF3118" s="18" t="inlineStr"/>
      <c r="AG3118" s="18" t="inlineStr"/>
      <c r="AH3118" s="18" t="inlineStr"/>
      <c r="AI3118" s="18" t="inlineStr"/>
      <c r="AJ3118" s="18" t="inlineStr">
        <is>
          <t>COBBLEVERSE 추가</t>
        </is>
      </c>
      <c r="AK3118" s="18" t="inlineStr">
        <is>
          <t>사용</t>
        </is>
      </c>
      <c r="AL3118" s="18" t="inlineStr">
        <is>
          <t>COBBLEVERSE 1.7.42 / DP v31</t>
        </is>
      </c>
      <c r="AM3118" s="18" t="inlineStr">
        <is>
          <t>data/cobblemon/spawn_pool_world/1018_archaludon.json</t>
        </is>
      </c>
      <c r="AN3118" s="18" t="inlineStr">
        <is>
          <t>archaludon-1</t>
        </is>
      </c>
      <c r="AO3118" s="18" t="inlineStr">
        <is>
          <t>pokemon</t>
        </is>
      </c>
      <c r="AP3118" s="18" t="inlineStr"/>
      <c r="AQ3118" s="18" t="inlineStr">
        <is>
          <t>{"biomes":["#cobblemon:is_glacial"]}</t>
        </is>
      </c>
      <c r="AR3118" s="18" t="inlineStr"/>
      <c r="AS3118" s="18" t="inlineStr"/>
      <c r="AT3118" s="19" t="inlineStr"/>
    </row>
    <row r="3119" ht="32" customHeight="1">
      <c r="A3119" s="18" t="inlineStr">
        <is>
          <t>1019_hydrapple.json::hydrapple-1::001</t>
        </is>
      </c>
      <c r="B3119" s="19" t="inlineStr">
        <is>
          <t>사용</t>
        </is>
      </c>
      <c r="C3119" s="18">
        <f>IF(OR(B3119&lt;&gt;AK3119,M3119&lt;&gt;L3119,O3119&lt;&gt;"",Q3119&lt;&gt;"",V3119&lt;&gt;1,Y3119&lt;&gt;"",AT3119&lt;&gt;""),"수정","원본")</f>
        <v/>
      </c>
      <c r="D3119" s="18" t="n">
        <v>1019</v>
      </c>
      <c r="E3119" s="18" t="inlineStr">
        <is>
          <t>과미드라</t>
        </is>
      </c>
      <c r="F3119" s="18" t="inlineStr">
        <is>
          <t>hydrapple</t>
        </is>
      </c>
      <c r="G3119" s="18" t="inlineStr">
        <is>
          <t>hydrapple</t>
        </is>
      </c>
      <c r="H3119" s="18" t="inlineStr"/>
      <c r="I3119" s="18" t="n">
        <v>9</v>
      </c>
      <c r="J3119" s="18" t="n"/>
      <c r="K3119" s="18" t="n">
        <v>9</v>
      </c>
      <c r="L3119" s="18" t="inlineStr">
        <is>
          <t>cobbleventure:generation_9</t>
        </is>
      </c>
      <c r="M3119" s="19" t="inlineStr">
        <is>
          <t>cobbleventure:generation_9</t>
        </is>
      </c>
      <c r="N3119" s="18" t="inlineStr"/>
      <c r="O3119" s="19" t="inlineStr"/>
      <c r="P3119" s="18" t="inlineStr">
        <is>
          <t>#cobblemon:is_floral</t>
        </is>
      </c>
      <c r="Q3119" s="19" t="inlineStr"/>
      <c r="R3119" s="18">
        <f>IF(Q3119="",P3119,Q3119)</f>
        <v/>
      </c>
      <c r="S3119" s="18" t="inlineStr"/>
      <c r="T3119" s="18" t="inlineStr">
        <is>
          <t>ultra-rare</t>
        </is>
      </c>
      <c r="U3119" s="20" t="n">
        <v>1.5</v>
      </c>
      <c r="V3119" s="21" t="n">
        <v>1</v>
      </c>
      <c r="W3119" s="20">
        <f>IF(OR(U3119="",V3119=""),U3119,U3119*V3119)</f>
        <v/>
      </c>
      <c r="X3119" s="18" t="inlineStr">
        <is>
          <t>45-70</t>
        </is>
      </c>
      <c r="Y3119" s="19" t="inlineStr"/>
      <c r="Z3119" s="18">
        <f>IF(Y3119="",X3119,Y3119)</f>
        <v/>
      </c>
      <c r="AA3119" s="18" t="inlineStr">
        <is>
          <t>grounded</t>
        </is>
      </c>
      <c r="AB3119" s="18" t="inlineStr">
        <is>
          <t>day</t>
        </is>
      </c>
      <c r="AC3119" s="18" t="inlineStr">
        <is>
          <t>비=False</t>
        </is>
      </c>
      <c r="AD3119" s="18" t="inlineStr"/>
      <c r="AE3119" s="18" t="inlineStr"/>
      <c r="AF3119" s="18" t="inlineStr">
        <is>
          <t>True</t>
        </is>
      </c>
      <c r="AG3119" s="18" t="inlineStr"/>
      <c r="AH3119" s="18" t="inlineStr"/>
      <c r="AI3119" s="18" t="inlineStr"/>
      <c r="AJ3119" s="18" t="inlineStr">
        <is>
          <t>COBBLEVERSE 추가</t>
        </is>
      </c>
      <c r="AK3119" s="18" t="inlineStr">
        <is>
          <t>사용</t>
        </is>
      </c>
      <c r="AL3119" s="18" t="inlineStr">
        <is>
          <t>COBBLEVERSE 1.7.42 / DP v31</t>
        </is>
      </c>
      <c r="AM3119" s="18" t="inlineStr">
        <is>
          <t>data/cobblemon/spawn_pool_world/1019_hydrapple.json</t>
        </is>
      </c>
      <c r="AN3119" s="18" t="inlineStr">
        <is>
          <t>hydrapple-1</t>
        </is>
      </c>
      <c r="AO3119" s="18" t="inlineStr">
        <is>
          <t>pokemon</t>
        </is>
      </c>
      <c r="AP3119" s="18" t="inlineStr"/>
      <c r="AQ3119" s="18" t="inlineStr">
        <is>
          <t>{"biomes":["#cobblemon:is_floral"],"canSeeSky":true,"isRaining":false,"timeRange":"day"}</t>
        </is>
      </c>
      <c r="AR3119" s="18" t="inlineStr"/>
      <c r="AS3119" s="18" t="inlineStr"/>
      <c r="AT3119" s="19" t="inlineStr"/>
    </row>
    <row r="3120" ht="32" customHeight="1">
      <c r="A3120" s="18" t="inlineStr">
        <is>
          <t>1020_gougingfire.json::gougingfire-1::001</t>
        </is>
      </c>
      <c r="B3120" s="19" t="inlineStr">
        <is>
          <t>사용</t>
        </is>
      </c>
      <c r="C3120" s="18">
        <f>IF(OR(B3120&lt;&gt;AK3120,M3120&lt;&gt;L3120,O3120&lt;&gt;"",Q3120&lt;&gt;"",V3120&lt;&gt;1,Y3120&lt;&gt;"",AT3120&lt;&gt;""),"수정","원본")</f>
        <v/>
      </c>
      <c r="D3120" s="18" t="n">
        <v>1020</v>
      </c>
      <c r="E3120" s="18" t="inlineStr">
        <is>
          <t>꿰뚫는화염</t>
        </is>
      </c>
      <c r="F3120" s="18" t="inlineStr">
        <is>
          <t>gougingfire</t>
        </is>
      </c>
      <c r="G3120" s="18" t="inlineStr">
        <is>
          <t>gougingfire</t>
        </is>
      </c>
      <c r="H3120" s="18" t="inlineStr"/>
      <c r="I3120" s="18" t="n">
        <v>9</v>
      </c>
      <c r="J3120" s="18" t="n"/>
      <c r="K3120" s="18" t="n">
        <v>9</v>
      </c>
      <c r="L3120" s="18" t="inlineStr">
        <is>
          <t>cobbleventure:generation_9</t>
        </is>
      </c>
      <c r="M3120" s="19" t="inlineStr">
        <is>
          <t>cobbleventure:generation_9</t>
        </is>
      </c>
      <c r="N3120" s="18" t="inlineStr"/>
      <c r="O3120" s="19" t="inlineStr"/>
      <c r="P3120" s="18" t="inlineStr">
        <is>
          <t>minecraft:basalt_deltas</t>
        </is>
      </c>
      <c r="Q3120" s="19" t="inlineStr"/>
      <c r="R3120" s="18">
        <f>IF(Q3120="",P3120,Q3120)</f>
        <v/>
      </c>
      <c r="S3120" s="18" t="inlineStr"/>
      <c r="T3120" s="18" t="inlineStr">
        <is>
          <t>ultra-rare</t>
        </is>
      </c>
      <c r="U3120" s="20" t="n">
        <v>3.5</v>
      </c>
      <c r="V3120" s="21" t="n">
        <v>1</v>
      </c>
      <c r="W3120" s="20">
        <f>IF(OR(U3120="",V3120=""),U3120,U3120*V3120)</f>
        <v/>
      </c>
      <c r="X3120" s="18" t="inlineStr">
        <is>
          <t>70-75</t>
        </is>
      </c>
      <c r="Y3120" s="19" t="inlineStr"/>
      <c r="Z3120" s="18">
        <f>IF(Y3120="",X3120,Y3120)</f>
        <v/>
      </c>
      <c r="AA3120" s="18" t="inlineStr">
        <is>
          <t>grounded</t>
        </is>
      </c>
      <c r="AB3120" s="18" t="inlineStr"/>
      <c r="AC3120" s="18" t="inlineStr"/>
      <c r="AD3120" s="18" t="inlineStr"/>
      <c r="AE3120" s="18" t="inlineStr"/>
      <c r="AF3120" s="18" t="inlineStr"/>
      <c r="AG3120" s="18" t="inlineStr"/>
      <c r="AH3120" s="18" t="inlineStr"/>
      <c r="AI3120" s="18" t="inlineStr"/>
      <c r="AJ3120" s="18" t="inlineStr">
        <is>
          <t>COBBLEVERSE 추가</t>
        </is>
      </c>
      <c r="AK3120" s="18" t="inlineStr">
        <is>
          <t>사용</t>
        </is>
      </c>
      <c r="AL3120" s="18" t="inlineStr">
        <is>
          <t>COBBLEVERSE 1.7.42 / DP v31</t>
        </is>
      </c>
      <c r="AM3120" s="18" t="inlineStr">
        <is>
          <t>data/cobblemon/spawn_pool_world/1020_gougingfire.json</t>
        </is>
      </c>
      <c r="AN3120" s="18" t="inlineStr">
        <is>
          <t>gougingfire-1</t>
        </is>
      </c>
      <c r="AO3120" s="18" t="inlineStr">
        <is>
          <t>pokemon</t>
        </is>
      </c>
      <c r="AP3120" s="18" t="inlineStr">
        <is>
          <t>natural</t>
        </is>
      </c>
      <c r="AQ3120" s="18" t="inlineStr">
        <is>
          <t>{"biomes":["minecraft:basalt_deltas"]}</t>
        </is>
      </c>
      <c r="AR3120" s="18" t="inlineStr"/>
      <c r="AS3120" s="18" t="inlineStr"/>
      <c r="AT3120" s="19" t="inlineStr"/>
    </row>
    <row r="3121" ht="32" customHeight="1">
      <c r="A3121" s="18" t="inlineStr">
        <is>
          <t>1021_ragingbolt.json::ragingbolt-1::001</t>
        </is>
      </c>
      <c r="B3121" s="19" t="inlineStr">
        <is>
          <t>사용</t>
        </is>
      </c>
      <c r="C3121" s="18">
        <f>IF(OR(B3121&lt;&gt;AK3121,M3121&lt;&gt;L3121,O3121&lt;&gt;"",Q3121&lt;&gt;"",V3121&lt;&gt;1,Y3121&lt;&gt;"",AT3121&lt;&gt;""),"수정","원본")</f>
        <v/>
      </c>
      <c r="D3121" s="18" t="n">
        <v>1021</v>
      </c>
      <c r="E3121" s="18" t="inlineStr">
        <is>
          <t>날뛰는우레</t>
        </is>
      </c>
      <c r="F3121" s="18" t="inlineStr">
        <is>
          <t>ragingbolt</t>
        </is>
      </c>
      <c r="G3121" s="18" t="inlineStr">
        <is>
          <t>ragingbolt</t>
        </is>
      </c>
      <c r="H3121" s="18" t="inlineStr"/>
      <c r="I3121" s="18" t="n">
        <v>9</v>
      </c>
      <c r="J3121" s="18" t="n"/>
      <c r="K3121" s="18" t="n">
        <v>9</v>
      </c>
      <c r="L3121" s="18" t="inlineStr">
        <is>
          <t>cobbleventure:generation_9</t>
        </is>
      </c>
      <c r="M3121" s="19" t="inlineStr">
        <is>
          <t>cobbleventure:generation_9</t>
        </is>
      </c>
      <c r="N3121" s="18" t="inlineStr">
        <is>
          <t>region_02</t>
        </is>
      </c>
      <c r="O3121" s="19" t="inlineStr"/>
      <c r="P3121" s="18" t="inlineStr">
        <is>
          <t>#cobblemon:is_arid</t>
        </is>
      </c>
      <c r="Q3121" s="19" t="inlineStr"/>
      <c r="R3121" s="18">
        <f>IF(Q3121="",P3121,Q3121)</f>
        <v/>
      </c>
      <c r="S3121" s="18" t="inlineStr"/>
      <c r="T3121" s="18" t="inlineStr">
        <is>
          <t>ultra-rare</t>
        </is>
      </c>
      <c r="U3121" s="20" t="n">
        <v>4</v>
      </c>
      <c r="V3121" s="21" t="n">
        <v>1</v>
      </c>
      <c r="W3121" s="20">
        <f>IF(OR(U3121="",V3121=""),U3121,U3121*V3121)</f>
        <v/>
      </c>
      <c r="X3121" s="18" t="inlineStr">
        <is>
          <t>60-75</t>
        </is>
      </c>
      <c r="Y3121" s="19" t="inlineStr"/>
      <c r="Z3121" s="18">
        <f>IF(Y3121="",X3121,Y3121)</f>
        <v/>
      </c>
      <c r="AA3121" s="18" t="inlineStr">
        <is>
          <t>grounded</t>
        </is>
      </c>
      <c r="AB3121" s="18" t="inlineStr"/>
      <c r="AC3121" s="18" t="inlineStr"/>
      <c r="AD3121" s="18" t="inlineStr"/>
      <c r="AE3121" s="18" t="inlineStr"/>
      <c r="AF3121" s="18" t="inlineStr"/>
      <c r="AG3121" s="18" t="inlineStr"/>
      <c r="AH3121" s="18" t="inlineStr"/>
      <c r="AI3121" s="18" t="inlineStr"/>
      <c r="AJ3121" s="18" t="inlineStr">
        <is>
          <t>COBBLEVERSE 추가</t>
        </is>
      </c>
      <c r="AK3121" s="18" t="inlineStr">
        <is>
          <t>사용</t>
        </is>
      </c>
      <c r="AL3121" s="18" t="inlineStr">
        <is>
          <t>COBBLEVERSE 1.7.42 / DP v31</t>
        </is>
      </c>
      <c r="AM3121" s="18" t="inlineStr">
        <is>
          <t>data/cobblemon/spawn_pool_world/1021_ragingbolt.json</t>
        </is>
      </c>
      <c r="AN3121" s="18" t="inlineStr">
        <is>
          <t>ragingbolt-1</t>
        </is>
      </c>
      <c r="AO3121" s="18" t="inlineStr">
        <is>
          <t>pokemon</t>
        </is>
      </c>
      <c r="AP3121" s="18" t="inlineStr">
        <is>
          <t>natural</t>
        </is>
      </c>
      <c r="AQ3121" s="18" t="inlineStr">
        <is>
          <t>{"biomes":["#cobblemon:is_arid"]}</t>
        </is>
      </c>
      <c r="AR3121" s="18" t="inlineStr"/>
      <c r="AS3121" s="18" t="inlineStr">
        <is>
          <t>{"weightMultipliers":[{"condition":{"isRaining":true},"multiplier":1.5},{"condition":{"isThundering":true},"multiplier":3}]}</t>
        </is>
      </c>
      <c r="AT3121" s="19" t="inlineStr"/>
    </row>
    <row r="3122" ht="32" customHeight="1">
      <c r="A3122" s="18" t="inlineStr">
        <is>
          <t>1022_ironboulder.json::ironboulder-1::001</t>
        </is>
      </c>
      <c r="B3122" s="19" t="inlineStr">
        <is>
          <t>사용</t>
        </is>
      </c>
      <c r="C3122" s="18">
        <f>IF(OR(B3122&lt;&gt;AK3122,M3122&lt;&gt;L3122,O3122&lt;&gt;"",Q3122&lt;&gt;"",V3122&lt;&gt;1,Y3122&lt;&gt;"",AT3122&lt;&gt;""),"수정","원본")</f>
        <v/>
      </c>
      <c r="D3122" s="18" t="n">
        <v>1022</v>
      </c>
      <c r="E3122" s="18" t="inlineStr">
        <is>
          <t>무쇠암석</t>
        </is>
      </c>
      <c r="F3122" s="18" t="inlineStr">
        <is>
          <t>ironboulder</t>
        </is>
      </c>
      <c r="G3122" s="18" t="inlineStr">
        <is>
          <t>ironboulder</t>
        </is>
      </c>
      <c r="H3122" s="18" t="inlineStr"/>
      <c r="I3122" s="18" t="n">
        <v>9</v>
      </c>
      <c r="J3122" s="18" t="n"/>
      <c r="K3122" s="18" t="n">
        <v>9</v>
      </c>
      <c r="L3122" s="18" t="inlineStr">
        <is>
          <t>cobbleventure:generation_9</t>
        </is>
      </c>
      <c r="M3122" s="19" t="inlineStr">
        <is>
          <t>cobbleventure:generation_9</t>
        </is>
      </c>
      <c r="N3122" s="18" t="inlineStr"/>
      <c r="O3122" s="19" t="inlineStr"/>
      <c r="P3122" s="18" t="inlineStr">
        <is>
          <t>minecraft:dark_forest</t>
        </is>
      </c>
      <c r="Q3122" s="19" t="inlineStr"/>
      <c r="R3122" s="18">
        <f>IF(Q3122="",P3122,Q3122)</f>
        <v/>
      </c>
      <c r="S3122" s="18" t="inlineStr"/>
      <c r="T3122" s="18" t="inlineStr">
        <is>
          <t>ultra-rare</t>
        </is>
      </c>
      <c r="U3122" s="20" t="n">
        <v>3.5</v>
      </c>
      <c r="V3122" s="21" t="n">
        <v>1</v>
      </c>
      <c r="W3122" s="20">
        <f>IF(OR(U3122="",V3122=""),U3122,U3122*V3122)</f>
        <v/>
      </c>
      <c r="X3122" s="18" t="inlineStr">
        <is>
          <t>45-60</t>
        </is>
      </c>
      <c r="Y3122" s="19" t="inlineStr"/>
      <c r="Z3122" s="18">
        <f>IF(Y3122="",X3122,Y3122)</f>
        <v/>
      </c>
      <c r="AA3122" s="18" t="inlineStr">
        <is>
          <t>grounded</t>
        </is>
      </c>
      <c r="AB3122" s="18" t="inlineStr">
        <is>
          <t>night</t>
        </is>
      </c>
      <c r="AC3122" s="18" t="inlineStr"/>
      <c r="AD3122" s="18" t="inlineStr"/>
      <c r="AE3122" s="18" t="inlineStr"/>
      <c r="AF3122" s="18" t="inlineStr">
        <is>
          <t>True</t>
        </is>
      </c>
      <c r="AG3122" s="18" t="inlineStr"/>
      <c r="AH3122" s="18" t="inlineStr"/>
      <c r="AI3122" s="18" t="inlineStr"/>
      <c r="AJ3122" s="18" t="inlineStr">
        <is>
          <t>COBBLEVERSE 추가</t>
        </is>
      </c>
      <c r="AK3122" s="18" t="inlineStr">
        <is>
          <t>사용</t>
        </is>
      </c>
      <c r="AL3122" s="18" t="inlineStr">
        <is>
          <t>COBBLEVERSE 1.7.42 / DP v31</t>
        </is>
      </c>
      <c r="AM3122" s="18" t="inlineStr">
        <is>
          <t>data/cobblemon/spawn_pool_world/1022_ironboulder.json</t>
        </is>
      </c>
      <c r="AN3122" s="18" t="inlineStr">
        <is>
          <t>ironboulder-1</t>
        </is>
      </c>
      <c r="AO3122" s="18" t="inlineStr">
        <is>
          <t>pokemon</t>
        </is>
      </c>
      <c r="AP3122" s="18" t="inlineStr">
        <is>
          <t>natural</t>
        </is>
      </c>
      <c r="AQ3122" s="18" t="inlineStr">
        <is>
          <t>{"biomes":["minecraft:dark_forest"],"canSeeSky":true,"timeRange":"night"}</t>
        </is>
      </c>
      <c r="AR3122" s="18" t="inlineStr"/>
      <c r="AS3122" s="18" t="inlineStr"/>
      <c r="AT3122" s="19" t="inlineStr"/>
    </row>
    <row r="3123" ht="32" customHeight="1">
      <c r="A3123" s="18" t="inlineStr">
        <is>
          <t>1023_ironcrown.json::ironcrown-1::001</t>
        </is>
      </c>
      <c r="B3123" s="19" t="inlineStr">
        <is>
          <t>사용</t>
        </is>
      </c>
      <c r="C3123" s="18">
        <f>IF(OR(B3123&lt;&gt;AK3123,M3123&lt;&gt;L3123,O3123&lt;&gt;"",Q3123&lt;&gt;"",V3123&lt;&gt;1,Y3123&lt;&gt;"",AT3123&lt;&gt;""),"수정","원본")</f>
        <v/>
      </c>
      <c r="D3123" s="18" t="n">
        <v>1023</v>
      </c>
      <c r="E3123" s="18" t="inlineStr">
        <is>
          <t>무쇠감투</t>
        </is>
      </c>
      <c r="F3123" s="18" t="inlineStr">
        <is>
          <t>ironcrown</t>
        </is>
      </c>
      <c r="G3123" s="18" t="inlineStr">
        <is>
          <t>ironcrown</t>
        </is>
      </c>
      <c r="H3123" s="18" t="inlineStr"/>
      <c r="I3123" s="18" t="n">
        <v>9</v>
      </c>
      <c r="J3123" s="18" t="n"/>
      <c r="K3123" s="18" t="n">
        <v>9</v>
      </c>
      <c r="L3123" s="18" t="inlineStr">
        <is>
          <t>cobbleventure:generation_9</t>
        </is>
      </c>
      <c r="M3123" s="19" t="inlineStr">
        <is>
          <t>cobbleventure:generation_9</t>
        </is>
      </c>
      <c r="N3123" s="18" t="inlineStr"/>
      <c r="O3123" s="19" t="inlineStr"/>
      <c r="P3123" s="18" t="inlineStr">
        <is>
          <t>#cobblemon:is_lush</t>
        </is>
      </c>
      <c r="Q3123" s="19" t="inlineStr"/>
      <c r="R3123" s="18">
        <f>IF(Q3123="",P3123,Q3123)</f>
        <v/>
      </c>
      <c r="S3123" s="18" t="inlineStr"/>
      <c r="T3123" s="18" t="inlineStr">
        <is>
          <t>ultra-rare</t>
        </is>
      </c>
      <c r="U3123" s="20" t="n">
        <v>5.5</v>
      </c>
      <c r="V3123" s="21" t="n">
        <v>1</v>
      </c>
      <c r="W3123" s="20">
        <f>IF(OR(U3123="",V3123=""),U3123,U3123*V3123)</f>
        <v/>
      </c>
      <c r="X3123" s="18" t="inlineStr">
        <is>
          <t>50-75</t>
        </is>
      </c>
      <c r="Y3123" s="19" t="inlineStr"/>
      <c r="Z3123" s="18">
        <f>IF(Y3123="",X3123,Y3123)</f>
        <v/>
      </c>
      <c r="AA3123" s="18" t="inlineStr">
        <is>
          <t>grounded</t>
        </is>
      </c>
      <c r="AB3123" s="18" t="inlineStr">
        <is>
          <t>night</t>
        </is>
      </c>
      <c r="AC3123" s="18" t="inlineStr"/>
      <c r="AD3123" s="18" t="inlineStr"/>
      <c r="AE3123" s="18" t="inlineStr"/>
      <c r="AF3123" s="18" t="inlineStr"/>
      <c r="AG3123" s="18" t="inlineStr"/>
      <c r="AH3123" s="18" t="inlineStr"/>
      <c r="AI3123" s="18" t="inlineStr"/>
      <c r="AJ3123" s="18" t="inlineStr">
        <is>
          <t>COBBLEVERSE 추가</t>
        </is>
      </c>
      <c r="AK3123" s="18" t="inlineStr">
        <is>
          <t>사용</t>
        </is>
      </c>
      <c r="AL3123" s="18" t="inlineStr">
        <is>
          <t>COBBLEVERSE 1.7.42 / DP v31</t>
        </is>
      </c>
      <c r="AM3123" s="18" t="inlineStr">
        <is>
          <t>data/cobblemon/spawn_pool_world/1023_ironcrown.json</t>
        </is>
      </c>
      <c r="AN3123" s="18" t="inlineStr">
        <is>
          <t>ironcrown-1</t>
        </is>
      </c>
      <c r="AO3123" s="18" t="inlineStr">
        <is>
          <t>pokemon</t>
        </is>
      </c>
      <c r="AP3123" s="18" t="inlineStr">
        <is>
          <t>natural</t>
        </is>
      </c>
      <c r="AQ3123" s="18" t="inlineStr">
        <is>
          <t>{"biomes":["#cobblemon:is_lush"],"timeRange":"night"}</t>
        </is>
      </c>
      <c r="AR3123" s="18" t="inlineStr"/>
      <c r="AS3123" s="18" t="inlineStr"/>
      <c r="AT3123" s="19" t="inlineStr"/>
    </row>
    <row r="3124" ht="32" customHeight="1">
      <c r="A3124" s="18" t="inlineStr">
        <is>
          <t>1024_terapagos.json::terapagos-1::001</t>
        </is>
      </c>
      <c r="B3124" s="19" t="inlineStr">
        <is>
          <t>사용</t>
        </is>
      </c>
      <c r="C3124" s="18">
        <f>IF(OR(B3124&lt;&gt;AK3124,M3124&lt;&gt;L3124,O3124&lt;&gt;"",Q3124&lt;&gt;"",V3124&lt;&gt;1,Y3124&lt;&gt;"",AT3124&lt;&gt;""),"수정","원본")</f>
        <v/>
      </c>
      <c r="D3124" s="18" t="n">
        <v>1024</v>
      </c>
      <c r="E3124" s="18" t="inlineStr">
        <is>
          <t>테라파고스</t>
        </is>
      </c>
      <c r="F3124" s="18" t="inlineStr">
        <is>
          <t>terapagos</t>
        </is>
      </c>
      <c r="G3124" s="18" t="inlineStr">
        <is>
          <t>terapagos</t>
        </is>
      </c>
      <c r="H3124" s="18" t="inlineStr"/>
      <c r="I3124" s="18" t="n">
        <v>9</v>
      </c>
      <c r="J3124" s="18" t="n"/>
      <c r="K3124" s="18" t="n">
        <v>9</v>
      </c>
      <c r="L3124" s="18" t="inlineStr">
        <is>
          <t>cobbleventure:generation_9</t>
        </is>
      </c>
      <c r="M3124" s="19" t="inlineStr">
        <is>
          <t>cobbleventure:generation_9</t>
        </is>
      </c>
      <c r="N3124" s="18" t="inlineStr"/>
      <c r="O3124" s="19" t="inlineStr"/>
      <c r="P3124" s="18" t="inlineStr">
        <is>
          <t>#cobblemon:is_cave</t>
        </is>
      </c>
      <c r="Q3124" s="19" t="inlineStr"/>
      <c r="R3124" s="18">
        <f>IF(Q3124="",P3124,Q3124)</f>
        <v/>
      </c>
      <c r="S3124" s="18" t="inlineStr"/>
      <c r="T3124" s="18" t="inlineStr">
        <is>
          <t>ultra-rare</t>
        </is>
      </c>
      <c r="U3124" s="20" t="n">
        <v>0.5</v>
      </c>
      <c r="V3124" s="21" t="n">
        <v>1</v>
      </c>
      <c r="W3124" s="20">
        <f>IF(OR(U3124="",V3124=""),U3124,U3124*V3124)</f>
        <v/>
      </c>
      <c r="X3124" s="18" t="inlineStr">
        <is>
          <t>55-75</t>
        </is>
      </c>
      <c r="Y3124" s="19" t="inlineStr"/>
      <c r="Z3124" s="18">
        <f>IF(Y3124="",X3124,Y3124)</f>
        <v/>
      </c>
      <c r="AA3124" s="18" t="inlineStr">
        <is>
          <t>grounded</t>
        </is>
      </c>
      <c r="AB3124" s="18" t="inlineStr"/>
      <c r="AC3124" s="18" t="inlineStr"/>
      <c r="AD3124" s="18" t="inlineStr">
        <is>
          <t>maxY=0</t>
        </is>
      </c>
      <c r="AE3124" s="18" t="inlineStr"/>
      <c r="AF3124" s="18" t="inlineStr"/>
      <c r="AG3124" s="18" t="inlineStr"/>
      <c r="AH3124" s="18" t="inlineStr">
        <is>
          <t>바닥=minecraft:amethyst_block</t>
        </is>
      </c>
      <c r="AI3124" s="18" t="inlineStr"/>
      <c r="AJ3124" s="18" t="inlineStr">
        <is>
          <t>COBBLEVERSE 추가</t>
        </is>
      </c>
      <c r="AK3124" s="18" t="inlineStr">
        <is>
          <t>사용</t>
        </is>
      </c>
      <c r="AL3124" s="18" t="inlineStr">
        <is>
          <t>COBBLEVERSE 1.7.42 / DP v31</t>
        </is>
      </c>
      <c r="AM3124" s="18" t="inlineStr">
        <is>
          <t>data/cobblemon/spawn_pool_world/1024_terapagos.json</t>
        </is>
      </c>
      <c r="AN3124" s="18" t="inlineStr">
        <is>
          <t>terapagos-1</t>
        </is>
      </c>
      <c r="AO3124" s="18" t="inlineStr">
        <is>
          <t>pokemon</t>
        </is>
      </c>
      <c r="AP3124" s="18" t="inlineStr">
        <is>
          <t>natural</t>
        </is>
      </c>
      <c r="AQ3124" s="18" t="inlineStr">
        <is>
          <t>{"biomes":["#cobblemon:is_cave"],"maxY":0,"neededBaseBlocks":["minecraft:amethyst_block"]}</t>
        </is>
      </c>
      <c r="AR3124" s="18" t="inlineStr"/>
      <c r="AS3124" s="18" t="inlineStr"/>
      <c r="AT3124" s="19" t="inlineStr"/>
    </row>
    <row r="3125" ht="32" customHeight="1">
      <c r="A3125" s="18" t="inlineStr">
        <is>
          <t>1025_pecharunt.json::pecharunt-1::001</t>
        </is>
      </c>
      <c r="B3125" s="19" t="inlineStr">
        <is>
          <t>사용</t>
        </is>
      </c>
      <c r="C3125" s="18">
        <f>IF(OR(B3125&lt;&gt;AK3125,M3125&lt;&gt;L3125,O3125&lt;&gt;"",Q3125&lt;&gt;"",V3125&lt;&gt;1,Y3125&lt;&gt;"",AT3125&lt;&gt;""),"수정","원본")</f>
        <v/>
      </c>
      <c r="D3125" s="18" t="n">
        <v>1025</v>
      </c>
      <c r="E3125" s="18" t="inlineStr">
        <is>
          <t>복숭악동</t>
        </is>
      </c>
      <c r="F3125" s="18" t="inlineStr">
        <is>
          <t>pecharunt</t>
        </is>
      </c>
      <c r="G3125" s="18" t="inlineStr">
        <is>
          <t>pecharunt</t>
        </is>
      </c>
      <c r="H3125" s="18" t="inlineStr"/>
      <c r="I3125" s="18" t="n">
        <v>9</v>
      </c>
      <c r="J3125" s="18" t="n"/>
      <c r="K3125" s="18" t="n">
        <v>9</v>
      </c>
      <c r="L3125" s="18" t="inlineStr">
        <is>
          <t>cobbleventure:generation_9</t>
        </is>
      </c>
      <c r="M3125" s="19" t="inlineStr">
        <is>
          <t>cobbleventure:generation_9</t>
        </is>
      </c>
      <c r="N3125" s="18" t="inlineStr"/>
      <c r="O3125" s="19" t="inlineStr"/>
      <c r="P3125" s="18" t="inlineStr">
        <is>
          <t>#cobblemon:is_spooky</t>
        </is>
      </c>
      <c r="Q3125" s="19" t="inlineStr"/>
      <c r="R3125" s="18">
        <f>IF(Q3125="",P3125,Q3125)</f>
        <v/>
      </c>
      <c r="S3125" s="18" t="inlineStr"/>
      <c r="T3125" s="18" t="inlineStr">
        <is>
          <t>ultra-rare</t>
        </is>
      </c>
      <c r="U3125" s="20" t="n">
        <v>1</v>
      </c>
      <c r="V3125" s="21" t="n">
        <v>1</v>
      </c>
      <c r="W3125" s="20">
        <f>IF(OR(U3125="",V3125=""),U3125,U3125*V3125)</f>
        <v/>
      </c>
      <c r="X3125" s="18" t="inlineStr">
        <is>
          <t>60-80</t>
        </is>
      </c>
      <c r="Y3125" s="19" t="inlineStr"/>
      <c r="Z3125" s="18">
        <f>IF(Y3125="",X3125,Y3125)</f>
        <v/>
      </c>
      <c r="AA3125" s="18" t="inlineStr">
        <is>
          <t>grounded</t>
        </is>
      </c>
      <c r="AB3125" s="18" t="inlineStr"/>
      <c r="AC3125" s="18" t="inlineStr"/>
      <c r="AD3125" s="18" t="inlineStr"/>
      <c r="AE3125" s="18" t="inlineStr"/>
      <c r="AF3125" s="18" t="inlineStr">
        <is>
          <t>True</t>
        </is>
      </c>
      <c r="AG3125" s="18" t="inlineStr"/>
      <c r="AH3125" s="18" t="inlineStr"/>
      <c r="AI3125" s="18" t="inlineStr"/>
      <c r="AJ3125" s="18" t="inlineStr">
        <is>
          <t>COBBLEVERSE 추가</t>
        </is>
      </c>
      <c r="AK3125" s="18" t="inlineStr">
        <is>
          <t>사용</t>
        </is>
      </c>
      <c r="AL3125" s="18" t="inlineStr">
        <is>
          <t>COBBLEVERSE 1.7.42 / DP v31</t>
        </is>
      </c>
      <c r="AM3125" s="18" t="inlineStr">
        <is>
          <t>data/cobblemon/spawn_pool_world/1025_pecharunt.json</t>
        </is>
      </c>
      <c r="AN3125" s="18" t="inlineStr">
        <is>
          <t>pecharunt-1</t>
        </is>
      </c>
      <c r="AO3125" s="18" t="inlineStr">
        <is>
          <t>pokemon</t>
        </is>
      </c>
      <c r="AP3125" s="18" t="inlineStr"/>
      <c r="AQ3125" s="18" t="inlineStr">
        <is>
          <t>{"biomes":["#cobblemon:is_spooky"],"canSeeSky":true}</t>
        </is>
      </c>
      <c r="AR3125" s="18" t="inlineStr"/>
      <c r="AS3125" s="18" t="inlineStr"/>
      <c r="AT3125" s="19" t="inlineStr"/>
    </row>
  </sheetData>
  <autoFilter ref="A4:AT3125"/>
  <mergeCells count="2">
    <mergeCell ref="A2:AT2"/>
    <mergeCell ref="A1:AT1"/>
  </mergeCells>
  <conditionalFormatting sqref="C5:C3125">
    <cfRule type="expression" priority="1" dxfId="0">
      <formula>$C5="수정"</formula>
    </cfRule>
  </conditionalFormatting>
  <conditionalFormatting sqref="AJ5:AJ3125">
    <cfRule type="expression" priority="2" dxfId="1">
      <formula>ISNUMBER(SEARCH("추가",$AJ5))</formula>
    </cfRule>
    <cfRule type="expression" priority="3" dxfId="0">
      <formula>ISNUMBER(SEARCH("수정",$AJ5))</formula>
    </cfRule>
  </conditionalFormatting>
  <dataValidations count="3">
    <dataValidation sqref="B5:B3125" showDropDown="0" showInputMessage="0" showErrorMessage="0" allowBlank="0" type="list">
      <formula1>"사용,제외"</formula1>
    </dataValidation>
    <dataValidation sqref="O5:O3125" showDropDown="0" showInputMessage="0" showErrorMessage="0" allowBlank="1" type="list">
      <formula1>"region_01,region_02,미정"</formula1>
    </dataValidation>
    <dataValidation sqref="V5:V312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1029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0" customWidth="1" min="4" max="4"/>
    <col width="10" customWidth="1" min="5" max="5"/>
    <col width="19" customWidth="1" min="6" max="6"/>
    <col width="13" customWidth="1" min="7" max="7"/>
    <col width="13" customWidth="1" min="8" max="8"/>
    <col width="14" customWidth="1" min="9" max="9"/>
    <col width="18" customWidth="1" min="10" max="10"/>
    <col width="22" customWidth="1" min="11" max="11"/>
    <col width="19" customWidth="1" min="12" max="12"/>
    <col width="13" customWidth="1" min="13" max="13"/>
    <col width="13" customWidth="1" min="14" max="14"/>
    <col width="14" customWidth="1" min="15" max="15"/>
    <col width="70" customWidth="1" min="16" max="16"/>
    <col width="30" customWidth="1" min="17" max="17"/>
    <col width="23" customWidth="1" min="18" max="18"/>
    <col width="29" customWidth="1" min="19" max="19"/>
    <col width="15" customWidth="1" min="20" max="20"/>
    <col width="43" customWidth="1" min="21" max="21"/>
  </cols>
  <sheetData>
    <row r="1" ht="30" customHeight="1">
      <c r="A1" s="15" t="inlineStr">
        <is>
          <t>포켓몬 1,025종 구현·자연 스폰 요약</t>
        </is>
      </c>
    </row>
    <row r="2" ht="32" customHeight="1">
      <c r="A2" s="16" t="inlineStr">
        <is>
          <t>Cobblemon 구현 여부와 COBBLEVERSE 자연 스폰 보완 여부를 분리했습니다. 자연 스폰 파일이 없는 8종은 진화·복원 등 별도 획득 대상일 수 있습니다.</t>
        </is>
      </c>
    </row>
    <row r="4" ht="34" customHeight="1">
      <c r="A4" s="17" t="inlineStr">
        <is>
          <t>덱스번호</t>
        </is>
      </c>
      <c r="B4" s="17" t="inlineStr">
        <is>
          <t>한글명</t>
        </is>
      </c>
      <c r="C4" s="17" t="inlineStr">
        <is>
          <t>영문ID</t>
        </is>
      </c>
      <c r="D4" s="17" t="inlineStr">
        <is>
          <t>영문명</t>
        </is>
      </c>
      <c r="E4" s="17" t="inlineStr">
        <is>
          <t>기본세대</t>
        </is>
      </c>
      <c r="F4" s="17" t="inlineStr">
        <is>
          <t>Cobblemon세대폴더</t>
        </is>
      </c>
      <c r="G4" s="17" t="inlineStr">
        <is>
          <t>타입1</t>
        </is>
      </c>
      <c r="H4" s="17" t="inlineStr">
        <is>
          <t>타입2</t>
        </is>
      </c>
      <c r="I4" s="17" t="inlineStr">
        <is>
          <t>Cobblemon구현</t>
        </is>
      </c>
      <c r="J4" s="17" t="inlineStr">
        <is>
          <t>Cobblemon스폰파일</t>
        </is>
      </c>
      <c r="K4" s="17" t="inlineStr">
        <is>
          <t>COBBLEVERSE스폰파일</t>
        </is>
      </c>
      <c r="L4" s="17" t="inlineStr">
        <is>
          <t>원본상태</t>
        </is>
      </c>
      <c r="M4" s="17" t="inlineStr">
        <is>
          <t>전체스폰수</t>
        </is>
      </c>
      <c r="N4" s="17" t="inlineStr">
        <is>
          <t>사용스폰수</t>
        </is>
      </c>
      <c r="O4" s="17" t="inlineStr">
        <is>
          <t>원본바이옴수</t>
        </is>
      </c>
      <c r="P4" s="17" t="inlineStr">
        <is>
          <t>원본바이옴목록</t>
        </is>
      </c>
      <c r="Q4" s="17" t="inlineStr">
        <is>
          <t>희귀도</t>
        </is>
      </c>
      <c r="R4" s="17" t="inlineStr">
        <is>
          <t>지역후보</t>
        </is>
      </c>
      <c r="S4" s="17" t="inlineStr">
        <is>
          <t>기본차원</t>
        </is>
      </c>
      <c r="T4" s="17" t="inlineStr">
        <is>
          <t>자연스폰상태</t>
        </is>
      </c>
      <c r="U4" s="17" t="inlineStr">
        <is>
          <t>비고</t>
        </is>
      </c>
    </row>
    <row r="5" ht="30" customHeight="1">
      <c r="A5" s="18" t="n">
        <v>1</v>
      </c>
      <c r="B5" s="18" t="inlineStr">
        <is>
          <t>이상해씨</t>
        </is>
      </c>
      <c r="C5" s="18" t="inlineStr">
        <is>
          <t>bulbasaur</t>
        </is>
      </c>
      <c r="D5" s="18" t="inlineStr">
        <is>
          <t>Bulbasaur</t>
        </is>
      </c>
      <c r="E5" s="18" t="n">
        <v>1</v>
      </c>
      <c r="F5" s="18" t="inlineStr">
        <is>
          <t>generation1</t>
        </is>
      </c>
      <c r="G5" s="18" t="inlineStr">
        <is>
          <t>grass</t>
        </is>
      </c>
      <c r="H5" s="18" t="inlineStr">
        <is>
          <t>poison</t>
        </is>
      </c>
      <c r="I5" s="18" t="inlineStr">
        <is>
          <t>예</t>
        </is>
      </c>
      <c r="J5" s="18" t="inlineStr">
        <is>
          <t>예</t>
        </is>
      </c>
      <c r="K5" s="18" t="inlineStr">
        <is>
          <t>예</t>
        </is>
      </c>
      <c r="L5" s="18" t="inlineStr">
        <is>
          <t>Cobblemon 동일</t>
        </is>
      </c>
      <c r="M5" s="18">
        <f>COUNTIF('스폰_편집'!$D$5:$D$3125,A5)</f>
        <v/>
      </c>
      <c r="N5" s="18">
        <f>COUNTIFS('스폰_편집'!$D$5:$D$3125,A5,'스폰_편집'!$B$5:$B$3125,"사용")</f>
        <v/>
      </c>
      <c r="O5" s="18" t="n">
        <v>2</v>
      </c>
      <c r="P5" s="18" t="inlineStr">
        <is>
          <t>#cobblemon:is_jungle; #cobblemon:is_tropical_island</t>
        </is>
      </c>
      <c r="Q5" s="18" t="inlineStr">
        <is>
          <t>ultra-rare</t>
        </is>
      </c>
      <c r="R5" s="18" t="inlineStr"/>
      <c r="S5" s="18" t="inlineStr">
        <is>
          <t>cobbleventure:generation_1</t>
        </is>
      </c>
      <c r="T5" s="18">
        <f>IF(M5=0,"없음",IF(N5=0,"전부 제외","사용"))</f>
        <v/>
      </c>
      <c r="U5" s="18" t="inlineStr"/>
    </row>
    <row r="6" ht="30" customHeight="1">
      <c r="A6" s="18" t="n">
        <v>2</v>
      </c>
      <c r="B6" s="18" t="inlineStr">
        <is>
          <t>이상해풀</t>
        </is>
      </c>
      <c r="C6" s="18" t="inlineStr">
        <is>
          <t>ivysaur</t>
        </is>
      </c>
      <c r="D6" s="18" t="inlineStr">
        <is>
          <t>Ivysaur</t>
        </is>
      </c>
      <c r="E6" s="18" t="n">
        <v>1</v>
      </c>
      <c r="F6" s="18" t="inlineStr">
        <is>
          <t>generation1</t>
        </is>
      </c>
      <c r="G6" s="18" t="inlineStr">
        <is>
          <t>grass</t>
        </is>
      </c>
      <c r="H6" s="18" t="inlineStr">
        <is>
          <t>poison</t>
        </is>
      </c>
      <c r="I6" s="18" t="inlineStr">
        <is>
          <t>예</t>
        </is>
      </c>
      <c r="J6" s="18" t="inlineStr">
        <is>
          <t>예</t>
        </is>
      </c>
      <c r="K6" s="18" t="inlineStr">
        <is>
          <t>예</t>
        </is>
      </c>
      <c r="L6" s="18" t="inlineStr">
        <is>
          <t>Cobblemon 동일</t>
        </is>
      </c>
      <c r="M6" s="18">
        <f>COUNTIF('스폰_편집'!$D$5:$D$3125,A6)</f>
        <v/>
      </c>
      <c r="N6" s="18">
        <f>COUNTIFS('스폰_편집'!$D$5:$D$3125,A6,'스폰_편집'!$B$5:$B$3125,"사용")</f>
        <v/>
      </c>
      <c r="O6" s="18" t="n">
        <v>2</v>
      </c>
      <c r="P6" s="18" t="inlineStr">
        <is>
          <t>#cobblemon:is_jungle; #cobblemon:is_tropical_island</t>
        </is>
      </c>
      <c r="Q6" s="18" t="inlineStr">
        <is>
          <t>ultra-rare</t>
        </is>
      </c>
      <c r="R6" s="18" t="inlineStr"/>
      <c r="S6" s="18" t="inlineStr">
        <is>
          <t>cobbleventure:generation_1</t>
        </is>
      </c>
      <c r="T6" s="18">
        <f>IF(M6=0,"없음",IF(N6=0,"전부 제외","사용"))</f>
        <v/>
      </c>
      <c r="U6" s="18" t="inlineStr"/>
    </row>
    <row r="7" ht="30" customHeight="1">
      <c r="A7" s="18" t="n">
        <v>3</v>
      </c>
      <c r="B7" s="18" t="inlineStr">
        <is>
          <t>이상해꽃</t>
        </is>
      </c>
      <c r="C7" s="18" t="inlineStr">
        <is>
          <t>venusaur</t>
        </is>
      </c>
      <c r="D7" s="18" t="inlineStr">
        <is>
          <t>Venusaur</t>
        </is>
      </c>
      <c r="E7" s="18" t="n">
        <v>1</v>
      </c>
      <c r="F7" s="18" t="inlineStr">
        <is>
          <t>generation1</t>
        </is>
      </c>
      <c r="G7" s="18" t="inlineStr">
        <is>
          <t>grass</t>
        </is>
      </c>
      <c r="H7" s="18" t="inlineStr">
        <is>
          <t>poison</t>
        </is>
      </c>
      <c r="I7" s="18" t="inlineStr">
        <is>
          <t>예</t>
        </is>
      </c>
      <c r="J7" s="18" t="inlineStr">
        <is>
          <t>예</t>
        </is>
      </c>
      <c r="K7" s="18" t="inlineStr">
        <is>
          <t>예</t>
        </is>
      </c>
      <c r="L7" s="18" t="inlineStr">
        <is>
          <t>Cobblemon 동일</t>
        </is>
      </c>
      <c r="M7" s="18">
        <f>COUNTIF('스폰_편집'!$D$5:$D$3125,A7)</f>
        <v/>
      </c>
      <c r="N7" s="18">
        <f>COUNTIFS('스폰_편집'!$D$5:$D$3125,A7,'스폰_편집'!$B$5:$B$3125,"사용")</f>
        <v/>
      </c>
      <c r="O7" s="18" t="n">
        <v>2</v>
      </c>
      <c r="P7" s="18" t="inlineStr">
        <is>
          <t>#cobblemon:is_jungle; #cobblemon:is_tropical_island</t>
        </is>
      </c>
      <c r="Q7" s="18" t="inlineStr">
        <is>
          <t>ultra-rare</t>
        </is>
      </c>
      <c r="R7" s="18" t="inlineStr"/>
      <c r="S7" s="18" t="inlineStr">
        <is>
          <t>cobbleventure:generation_1</t>
        </is>
      </c>
      <c r="T7" s="18">
        <f>IF(M7=0,"없음",IF(N7=0,"전부 제외","사용"))</f>
        <v/>
      </c>
      <c r="U7" s="18" t="inlineStr"/>
    </row>
    <row r="8" ht="30" customHeight="1">
      <c r="A8" s="18" t="n">
        <v>4</v>
      </c>
      <c r="B8" s="18" t="inlineStr">
        <is>
          <t>파이리</t>
        </is>
      </c>
      <c r="C8" s="18" t="inlineStr">
        <is>
          <t>charmander</t>
        </is>
      </c>
      <c r="D8" s="18" t="inlineStr">
        <is>
          <t>Charmander</t>
        </is>
      </c>
      <c r="E8" s="18" t="n">
        <v>1</v>
      </c>
      <c r="F8" s="18" t="inlineStr">
        <is>
          <t>generation1</t>
        </is>
      </c>
      <c r="G8" s="18" t="inlineStr">
        <is>
          <t>fire</t>
        </is>
      </c>
      <c r="H8" s="18" t="inlineStr"/>
      <c r="I8" s="18" t="inlineStr">
        <is>
          <t>예</t>
        </is>
      </c>
      <c r="J8" s="18" t="inlineStr">
        <is>
          <t>예</t>
        </is>
      </c>
      <c r="K8" s="18" t="inlineStr">
        <is>
          <t>예</t>
        </is>
      </c>
      <c r="L8" s="18" t="inlineStr">
        <is>
          <t>Cobblemon 동일</t>
        </is>
      </c>
      <c r="M8" s="18">
        <f>COUNTIF('스폰_편집'!$D$5:$D$3125,A8)</f>
        <v/>
      </c>
      <c r="N8" s="18">
        <f>COUNTIFS('스폰_편집'!$D$5:$D$3125,A8,'스폰_편집'!$B$5:$B$3125,"사용")</f>
        <v/>
      </c>
      <c r="O8" s="18" t="n">
        <v>3</v>
      </c>
      <c r="P8" s="18" t="inlineStr">
        <is>
          <t>#cobblemon:is_hills; #cobblemon:is_volcanic; #cobblemon:nether/is_basalt</t>
        </is>
      </c>
      <c r="Q8" s="18" t="inlineStr">
        <is>
          <t>ultra-rare</t>
        </is>
      </c>
      <c r="R8" s="18" t="inlineStr"/>
      <c r="S8" s="18" t="inlineStr">
        <is>
          <t>cobbleventure:generation_1</t>
        </is>
      </c>
      <c r="T8" s="18">
        <f>IF(M8=0,"없음",IF(N8=0,"전부 제외","사용"))</f>
        <v/>
      </c>
      <c r="U8" s="18" t="inlineStr"/>
    </row>
    <row r="9" ht="30" customHeight="1">
      <c r="A9" s="18" t="n">
        <v>5</v>
      </c>
      <c r="B9" s="18" t="inlineStr">
        <is>
          <t>리자드</t>
        </is>
      </c>
      <c r="C9" s="18" t="inlineStr">
        <is>
          <t>charmeleon</t>
        </is>
      </c>
      <c r="D9" s="18" t="inlineStr">
        <is>
          <t>Charmeleon</t>
        </is>
      </c>
      <c r="E9" s="18" t="n">
        <v>1</v>
      </c>
      <c r="F9" s="18" t="inlineStr">
        <is>
          <t>generation1</t>
        </is>
      </c>
      <c r="G9" s="18" t="inlineStr">
        <is>
          <t>fire</t>
        </is>
      </c>
      <c r="H9" s="18" t="inlineStr"/>
      <c r="I9" s="18" t="inlineStr">
        <is>
          <t>예</t>
        </is>
      </c>
      <c r="J9" s="18" t="inlineStr">
        <is>
          <t>예</t>
        </is>
      </c>
      <c r="K9" s="18" t="inlineStr">
        <is>
          <t>예</t>
        </is>
      </c>
      <c r="L9" s="18" t="inlineStr">
        <is>
          <t>Cobblemon 동일</t>
        </is>
      </c>
      <c r="M9" s="18">
        <f>COUNTIF('스폰_편집'!$D$5:$D$3125,A9)</f>
        <v/>
      </c>
      <c r="N9" s="18">
        <f>COUNTIFS('스폰_편집'!$D$5:$D$3125,A9,'스폰_편집'!$B$5:$B$3125,"사용")</f>
        <v/>
      </c>
      <c r="O9" s="18" t="n">
        <v>3</v>
      </c>
      <c r="P9" s="18" t="inlineStr">
        <is>
          <t>#cobblemon:is_hills; #cobblemon:is_volcanic; #cobblemon:nether/is_basalt</t>
        </is>
      </c>
      <c r="Q9" s="18" t="inlineStr">
        <is>
          <t>ultra-rare</t>
        </is>
      </c>
      <c r="R9" s="18" t="inlineStr"/>
      <c r="S9" s="18" t="inlineStr">
        <is>
          <t>cobbleventure:generation_1</t>
        </is>
      </c>
      <c r="T9" s="18">
        <f>IF(M9=0,"없음",IF(N9=0,"전부 제외","사용"))</f>
        <v/>
      </c>
      <c r="U9" s="18" t="inlineStr"/>
    </row>
    <row r="10" ht="30" customHeight="1">
      <c r="A10" s="18" t="n">
        <v>6</v>
      </c>
      <c r="B10" s="18" t="inlineStr">
        <is>
          <t>리자몽</t>
        </is>
      </c>
      <c r="C10" s="18" t="inlineStr">
        <is>
          <t>charizard</t>
        </is>
      </c>
      <c r="D10" s="18" t="inlineStr">
        <is>
          <t>Charizard</t>
        </is>
      </c>
      <c r="E10" s="18" t="n">
        <v>1</v>
      </c>
      <c r="F10" s="18" t="inlineStr">
        <is>
          <t>generation1</t>
        </is>
      </c>
      <c r="G10" s="18" t="inlineStr">
        <is>
          <t>fire</t>
        </is>
      </c>
      <c r="H10" s="18" t="inlineStr">
        <is>
          <t>flying</t>
        </is>
      </c>
      <c r="I10" s="18" t="inlineStr">
        <is>
          <t>예</t>
        </is>
      </c>
      <c r="J10" s="18" t="inlineStr">
        <is>
          <t>예</t>
        </is>
      </c>
      <c r="K10" s="18" t="inlineStr">
        <is>
          <t>예</t>
        </is>
      </c>
      <c r="L10" s="18" t="inlineStr">
        <is>
          <t>Cobblemon 동일</t>
        </is>
      </c>
      <c r="M10" s="18">
        <f>COUNTIF('스폰_편집'!$D$5:$D$3125,A10)</f>
        <v/>
      </c>
      <c r="N10" s="18">
        <f>COUNTIFS('스폰_편집'!$D$5:$D$3125,A10,'스폰_편집'!$B$5:$B$3125,"사용")</f>
        <v/>
      </c>
      <c r="O10" s="18" t="n">
        <v>3</v>
      </c>
      <c r="P10" s="18" t="inlineStr">
        <is>
          <t>#cobblemon:is_hills; #cobblemon:is_volcanic; #cobblemon:nether/is_basalt</t>
        </is>
      </c>
      <c r="Q10" s="18" t="inlineStr">
        <is>
          <t>ultra-rare</t>
        </is>
      </c>
      <c r="R10" s="18" t="inlineStr"/>
      <c r="S10" s="18" t="inlineStr">
        <is>
          <t>cobbleventure:generation_1</t>
        </is>
      </c>
      <c r="T10" s="18">
        <f>IF(M10=0,"없음",IF(N10=0,"전부 제외","사용"))</f>
        <v/>
      </c>
      <c r="U10" s="18" t="inlineStr"/>
    </row>
    <row r="11" ht="30" customHeight="1">
      <c r="A11" s="18" t="n">
        <v>7</v>
      </c>
      <c r="B11" s="18" t="inlineStr">
        <is>
          <t>꼬부기</t>
        </is>
      </c>
      <c r="C11" s="18" t="inlineStr">
        <is>
          <t>squirtle</t>
        </is>
      </c>
      <c r="D11" s="18" t="inlineStr">
        <is>
          <t>Squirtle</t>
        </is>
      </c>
      <c r="E11" s="18" t="n">
        <v>1</v>
      </c>
      <c r="F11" s="18" t="inlineStr">
        <is>
          <t>generation1</t>
        </is>
      </c>
      <c r="G11" s="18" t="inlineStr">
        <is>
          <t>water</t>
        </is>
      </c>
      <c r="H11" s="18" t="inlineStr"/>
      <c r="I11" s="18" t="inlineStr">
        <is>
          <t>예</t>
        </is>
      </c>
      <c r="J11" s="18" t="inlineStr">
        <is>
          <t>예</t>
        </is>
      </c>
      <c r="K11" s="18" t="inlineStr">
        <is>
          <t>예</t>
        </is>
      </c>
      <c r="L11" s="18" t="inlineStr">
        <is>
          <t>Cobblemon 동일</t>
        </is>
      </c>
      <c r="M11" s="18">
        <f>COUNTIF('스폰_편집'!$D$5:$D$3125,A11)</f>
        <v/>
      </c>
      <c r="N11" s="18">
        <f>COUNTIFS('스폰_편집'!$D$5:$D$3125,A11,'스폰_편집'!$B$5:$B$3125,"사용")</f>
        <v/>
      </c>
      <c r="O11" s="18" t="n">
        <v>5</v>
      </c>
      <c r="P11" s="18" t="inlineStr">
        <is>
          <t>#cobblemon:is_freshwater; #cobblemon:is_hills; #cobblemon:is_jungle; #cobblemon:is_temperate; #cobblemon:is_tropical_island</t>
        </is>
      </c>
      <c r="Q11" s="18" t="inlineStr">
        <is>
          <t>ultra-rare</t>
        </is>
      </c>
      <c r="R11" s="18" t="inlineStr">
        <is>
          <t>region_01; region_02</t>
        </is>
      </c>
      <c r="S11" s="18" t="inlineStr">
        <is>
          <t>cobbleventure:generation_1</t>
        </is>
      </c>
      <c r="T11" s="18">
        <f>IF(M11=0,"없음",IF(N11=0,"전부 제외","사용"))</f>
        <v/>
      </c>
      <c r="U11" s="18" t="inlineStr"/>
    </row>
    <row r="12" ht="30" customHeight="1">
      <c r="A12" s="18" t="n">
        <v>8</v>
      </c>
      <c r="B12" s="18" t="inlineStr">
        <is>
          <t>어니부기</t>
        </is>
      </c>
      <c r="C12" s="18" t="inlineStr">
        <is>
          <t>wartortle</t>
        </is>
      </c>
      <c r="D12" s="18" t="inlineStr">
        <is>
          <t>Wartortle</t>
        </is>
      </c>
      <c r="E12" s="18" t="n">
        <v>1</v>
      </c>
      <c r="F12" s="18" t="inlineStr">
        <is>
          <t>generation1</t>
        </is>
      </c>
      <c r="G12" s="18" t="inlineStr">
        <is>
          <t>water</t>
        </is>
      </c>
      <c r="H12" s="18" t="inlineStr"/>
      <c r="I12" s="18" t="inlineStr">
        <is>
          <t>예</t>
        </is>
      </c>
      <c r="J12" s="18" t="inlineStr">
        <is>
          <t>예</t>
        </is>
      </c>
      <c r="K12" s="18" t="inlineStr">
        <is>
          <t>예</t>
        </is>
      </c>
      <c r="L12" s="18" t="inlineStr">
        <is>
          <t>Cobblemon 동일</t>
        </is>
      </c>
      <c r="M12" s="18">
        <f>COUNTIF('스폰_편집'!$D$5:$D$3125,A12)</f>
        <v/>
      </c>
      <c r="N12" s="18">
        <f>COUNTIFS('스폰_편집'!$D$5:$D$3125,A12,'스폰_편집'!$B$5:$B$3125,"사용")</f>
        <v/>
      </c>
      <c r="O12" s="18" t="n">
        <v>5</v>
      </c>
      <c r="P12" s="18" t="inlineStr">
        <is>
          <t>#cobblemon:is_freshwater; #cobblemon:is_hills; #cobblemon:is_jungle; #cobblemon:is_temperate; #cobblemon:is_tropical_island</t>
        </is>
      </c>
      <c r="Q12" s="18" t="inlineStr">
        <is>
          <t>ultra-rare</t>
        </is>
      </c>
      <c r="R12" s="18" t="inlineStr">
        <is>
          <t>region_01; region_02</t>
        </is>
      </c>
      <c r="S12" s="18" t="inlineStr">
        <is>
          <t>cobbleventure:generation_1</t>
        </is>
      </c>
      <c r="T12" s="18">
        <f>IF(M12=0,"없음",IF(N12=0,"전부 제외","사용"))</f>
        <v/>
      </c>
      <c r="U12" s="18" t="inlineStr"/>
    </row>
    <row r="13" ht="30" customHeight="1">
      <c r="A13" s="18" t="n">
        <v>9</v>
      </c>
      <c r="B13" s="18" t="inlineStr">
        <is>
          <t>거북왕</t>
        </is>
      </c>
      <c r="C13" s="18" t="inlineStr">
        <is>
          <t>blastoise</t>
        </is>
      </c>
      <c r="D13" s="18" t="inlineStr">
        <is>
          <t>Blastoise</t>
        </is>
      </c>
      <c r="E13" s="18" t="n">
        <v>1</v>
      </c>
      <c r="F13" s="18" t="inlineStr">
        <is>
          <t>generation1</t>
        </is>
      </c>
      <c r="G13" s="18" t="inlineStr">
        <is>
          <t>water</t>
        </is>
      </c>
      <c r="H13" s="18" t="inlineStr"/>
      <c r="I13" s="18" t="inlineStr">
        <is>
          <t>예</t>
        </is>
      </c>
      <c r="J13" s="18" t="inlineStr">
        <is>
          <t>예</t>
        </is>
      </c>
      <c r="K13" s="18" t="inlineStr">
        <is>
          <t>예</t>
        </is>
      </c>
      <c r="L13" s="18" t="inlineStr">
        <is>
          <t>Cobblemon 동일</t>
        </is>
      </c>
      <c r="M13" s="18">
        <f>COUNTIF('스폰_편집'!$D$5:$D$3125,A13)</f>
        <v/>
      </c>
      <c r="N13" s="18">
        <f>COUNTIFS('스폰_편집'!$D$5:$D$3125,A13,'스폰_편집'!$B$5:$B$3125,"사용")</f>
        <v/>
      </c>
      <c r="O13" s="18" t="n">
        <v>5</v>
      </c>
      <c r="P13" s="18" t="inlineStr">
        <is>
          <t>#cobblemon:is_freshwater; #cobblemon:is_hills; #cobblemon:is_jungle; #cobblemon:is_temperate; #cobblemon:is_tropical_island</t>
        </is>
      </c>
      <c r="Q13" s="18" t="inlineStr">
        <is>
          <t>ultra-rare</t>
        </is>
      </c>
      <c r="R13" s="18" t="inlineStr">
        <is>
          <t>region_01; region_02</t>
        </is>
      </c>
      <c r="S13" s="18" t="inlineStr">
        <is>
          <t>cobbleventure:generation_1</t>
        </is>
      </c>
      <c r="T13" s="18">
        <f>IF(M13=0,"없음",IF(N13=0,"전부 제외","사용"))</f>
        <v/>
      </c>
      <c r="U13" s="18" t="inlineStr"/>
    </row>
    <row r="14" ht="30" customHeight="1">
      <c r="A14" s="18" t="n">
        <v>10</v>
      </c>
      <c r="B14" s="18" t="inlineStr">
        <is>
          <t>캐터피</t>
        </is>
      </c>
      <c r="C14" s="18" t="inlineStr">
        <is>
          <t>caterpie</t>
        </is>
      </c>
      <c r="D14" s="18" t="inlineStr">
        <is>
          <t>Caterpie</t>
        </is>
      </c>
      <c r="E14" s="18" t="n">
        <v>1</v>
      </c>
      <c r="F14" s="18" t="inlineStr">
        <is>
          <t>generation1</t>
        </is>
      </c>
      <c r="G14" s="18" t="inlineStr">
        <is>
          <t>bug</t>
        </is>
      </c>
      <c r="H14" s="18" t="inlineStr"/>
      <c r="I14" s="18" t="inlineStr">
        <is>
          <t>예</t>
        </is>
      </c>
      <c r="J14" s="18" t="inlineStr">
        <is>
          <t>예</t>
        </is>
      </c>
      <c r="K14" s="18" t="inlineStr">
        <is>
          <t>예</t>
        </is>
      </c>
      <c r="L14" s="18" t="inlineStr">
        <is>
          <t>Cobblemon 동일</t>
        </is>
      </c>
      <c r="M14" s="18">
        <f>COUNTIF('스폰_편집'!$D$5:$D$3125,A14)</f>
        <v/>
      </c>
      <c r="N14" s="18">
        <f>COUNTIFS('스폰_편집'!$D$5:$D$3125,A14,'스폰_편집'!$B$5:$B$3125,"사용")</f>
        <v/>
      </c>
      <c r="O14" s="18" t="n">
        <v>7</v>
      </c>
      <c r="P14" s="18" t="inlineStr">
        <is>
          <t>#cobblemon:is_forest; #cobblemon:is_jungle; #cobblemon:is_plains; #cobblemon:is_tropical_island; aether:skyroot_forest; aether:skyroot_woodland; the_bumblezone:floral_meadow</t>
        </is>
      </c>
      <c r="Q14" s="18" t="inlineStr">
        <is>
          <t>common</t>
        </is>
      </c>
      <c r="R14" s="18" t="inlineStr">
        <is>
          <t>region_01</t>
        </is>
      </c>
      <c r="S14" s="18" t="inlineStr">
        <is>
          <t>cobbleventure:generation_1</t>
        </is>
      </c>
      <c r="T14" s="18">
        <f>IF(M14=0,"없음",IF(N14=0,"전부 제외","사용"))</f>
        <v/>
      </c>
      <c r="U14" s="18" t="inlineStr"/>
    </row>
    <row r="15" ht="30" customHeight="1">
      <c r="A15" s="18" t="n">
        <v>11</v>
      </c>
      <c r="B15" s="18" t="inlineStr">
        <is>
          <t>단데기</t>
        </is>
      </c>
      <c r="C15" s="18" t="inlineStr">
        <is>
          <t>metapod</t>
        </is>
      </c>
      <c r="D15" s="18" t="inlineStr">
        <is>
          <t>Metapod</t>
        </is>
      </c>
      <c r="E15" s="18" t="n">
        <v>1</v>
      </c>
      <c r="F15" s="18" t="inlineStr">
        <is>
          <t>generation1</t>
        </is>
      </c>
      <c r="G15" s="18" t="inlineStr">
        <is>
          <t>bug</t>
        </is>
      </c>
      <c r="H15" s="18" t="inlineStr"/>
      <c r="I15" s="18" t="inlineStr">
        <is>
          <t>예</t>
        </is>
      </c>
      <c r="J15" s="18" t="inlineStr">
        <is>
          <t>예</t>
        </is>
      </c>
      <c r="K15" s="18" t="inlineStr">
        <is>
          <t>예</t>
        </is>
      </c>
      <c r="L15" s="18" t="inlineStr">
        <is>
          <t>Cobblemon 동일</t>
        </is>
      </c>
      <c r="M15" s="18">
        <f>COUNTIF('스폰_편집'!$D$5:$D$3125,A15)</f>
        <v/>
      </c>
      <c r="N15" s="18">
        <f>COUNTIFS('스폰_편집'!$D$5:$D$3125,A15,'스폰_편집'!$B$5:$B$3125,"사용")</f>
        <v/>
      </c>
      <c r="O15" s="18" t="n">
        <v>7</v>
      </c>
      <c r="P15" s="18" t="inlineStr">
        <is>
          <t>#cobblemon:is_forest; #cobblemon:is_jungle; #cobblemon:is_plains; #cobblemon:is_tropical_island; aether:skyroot_forest; aether:skyroot_woodland; the_bumblezone:floral_meadow</t>
        </is>
      </c>
      <c r="Q15" s="18" t="inlineStr">
        <is>
          <t>common</t>
        </is>
      </c>
      <c r="R15" s="18" t="inlineStr">
        <is>
          <t>region_01</t>
        </is>
      </c>
      <c r="S15" s="18" t="inlineStr">
        <is>
          <t>cobbleventure:generation_1</t>
        </is>
      </c>
      <c r="T15" s="18">
        <f>IF(M15=0,"없음",IF(N15=0,"전부 제외","사용"))</f>
        <v/>
      </c>
      <c r="U15" s="18" t="inlineStr"/>
    </row>
    <row r="16" ht="30" customHeight="1">
      <c r="A16" s="18" t="n">
        <v>12</v>
      </c>
      <c r="B16" s="18" t="inlineStr">
        <is>
          <t>버터플</t>
        </is>
      </c>
      <c r="C16" s="18" t="inlineStr">
        <is>
          <t>butterfree</t>
        </is>
      </c>
      <c r="D16" s="18" t="inlineStr">
        <is>
          <t>Butterfree</t>
        </is>
      </c>
      <c r="E16" s="18" t="n">
        <v>1</v>
      </c>
      <c r="F16" s="18" t="inlineStr">
        <is>
          <t>generation1</t>
        </is>
      </c>
      <c r="G16" s="18" t="inlineStr">
        <is>
          <t>bug</t>
        </is>
      </c>
      <c r="H16" s="18" t="inlineStr">
        <is>
          <t>flying</t>
        </is>
      </c>
      <c r="I16" s="18" t="inlineStr">
        <is>
          <t>예</t>
        </is>
      </c>
      <c r="J16" s="18" t="inlineStr">
        <is>
          <t>예</t>
        </is>
      </c>
      <c r="K16" s="18" t="inlineStr">
        <is>
          <t>예</t>
        </is>
      </c>
      <c r="L16" s="18" t="inlineStr">
        <is>
          <t>Cobblemon 동일</t>
        </is>
      </c>
      <c r="M16" s="18">
        <f>COUNTIF('스폰_편집'!$D$5:$D$3125,A16)</f>
        <v/>
      </c>
      <c r="N16" s="18">
        <f>COUNTIFS('스폰_편집'!$D$5:$D$3125,A16,'스폰_편집'!$B$5:$B$3125,"사용")</f>
        <v/>
      </c>
      <c r="O16" s="18" t="n">
        <v>6</v>
      </c>
      <c r="P16" s="18" t="inlineStr">
        <is>
          <t>#aether:is_aether; #cobblemon:is_floral; #cobblemon:is_jungle; #cobblemon:is_temperate; #cobblemon:is_tropical_island; the_bumblezone:floral_meadow</t>
        </is>
      </c>
      <c r="Q16" s="18" t="inlineStr">
        <is>
          <t>common</t>
        </is>
      </c>
      <c r="R16" s="18" t="inlineStr">
        <is>
          <t>region_01</t>
        </is>
      </c>
      <c r="S16" s="18" t="inlineStr">
        <is>
          <t>cobbleventure:generation_1</t>
        </is>
      </c>
      <c r="T16" s="18">
        <f>IF(M16=0,"없음",IF(N16=0,"전부 제외","사용"))</f>
        <v/>
      </c>
      <c r="U16" s="18" t="inlineStr"/>
    </row>
    <row r="17" ht="30" customHeight="1">
      <c r="A17" s="18" t="n">
        <v>13</v>
      </c>
      <c r="B17" s="18" t="inlineStr">
        <is>
          <t>뿔충이</t>
        </is>
      </c>
      <c r="C17" s="18" t="inlineStr">
        <is>
          <t>weedle</t>
        </is>
      </c>
      <c r="D17" s="18" t="inlineStr">
        <is>
          <t>Weedle</t>
        </is>
      </c>
      <c r="E17" s="18" t="n">
        <v>1</v>
      </c>
      <c r="F17" s="18" t="inlineStr">
        <is>
          <t>generation1</t>
        </is>
      </c>
      <c r="G17" s="18" t="inlineStr">
        <is>
          <t>bug</t>
        </is>
      </c>
      <c r="H17" s="18" t="inlineStr">
        <is>
          <t>poison</t>
        </is>
      </c>
      <c r="I17" s="18" t="inlineStr">
        <is>
          <t>예</t>
        </is>
      </c>
      <c r="J17" s="18" t="inlineStr">
        <is>
          <t>예</t>
        </is>
      </c>
      <c r="K17" s="18" t="inlineStr">
        <is>
          <t>예</t>
        </is>
      </c>
      <c r="L17" s="18" t="inlineStr">
        <is>
          <t>Cobblemon 동일</t>
        </is>
      </c>
      <c r="M17" s="18">
        <f>COUNTIF('스폰_편집'!$D$5:$D$3125,A17)</f>
        <v/>
      </c>
      <c r="N17" s="18">
        <f>COUNTIFS('스폰_편집'!$D$5:$D$3125,A17,'스폰_편집'!$B$5:$B$3125,"사용")</f>
        <v/>
      </c>
      <c r="O17" s="18" t="n">
        <v>5</v>
      </c>
      <c r="P17" s="18" t="inlineStr">
        <is>
          <t>#cobblemon:is_forest; #cobblemon:is_jungle; #the_bumblezone:the_bumblezone; aether:skyroot_forest; aether:skyroot_woodland</t>
        </is>
      </c>
      <c r="Q17" s="18" t="inlineStr">
        <is>
          <t>common</t>
        </is>
      </c>
      <c r="R17" s="18" t="inlineStr">
        <is>
          <t>region_01</t>
        </is>
      </c>
      <c r="S17" s="18" t="inlineStr">
        <is>
          <t>cobbleventure:generation_1</t>
        </is>
      </c>
      <c r="T17" s="18">
        <f>IF(M17=0,"없음",IF(N17=0,"전부 제외","사용"))</f>
        <v/>
      </c>
      <c r="U17" s="18" t="inlineStr"/>
    </row>
    <row r="18" ht="30" customHeight="1">
      <c r="A18" s="18" t="n">
        <v>14</v>
      </c>
      <c r="B18" s="18" t="inlineStr">
        <is>
          <t>딱충이</t>
        </is>
      </c>
      <c r="C18" s="18" t="inlineStr">
        <is>
          <t>kakuna</t>
        </is>
      </c>
      <c r="D18" s="18" t="inlineStr">
        <is>
          <t>Kakuna</t>
        </is>
      </c>
      <c r="E18" s="18" t="n">
        <v>1</v>
      </c>
      <c r="F18" s="18" t="inlineStr">
        <is>
          <t>generation1</t>
        </is>
      </c>
      <c r="G18" s="18" t="inlineStr">
        <is>
          <t>bug</t>
        </is>
      </c>
      <c r="H18" s="18" t="inlineStr">
        <is>
          <t>poison</t>
        </is>
      </c>
      <c r="I18" s="18" t="inlineStr">
        <is>
          <t>예</t>
        </is>
      </c>
      <c r="J18" s="18" t="inlineStr">
        <is>
          <t>예</t>
        </is>
      </c>
      <c r="K18" s="18" t="inlineStr">
        <is>
          <t>예</t>
        </is>
      </c>
      <c r="L18" s="18" t="inlineStr">
        <is>
          <t>Cobblemon 동일</t>
        </is>
      </c>
      <c r="M18" s="18">
        <f>COUNTIF('스폰_편집'!$D$5:$D$3125,A18)</f>
        <v/>
      </c>
      <c r="N18" s="18">
        <f>COUNTIFS('스폰_편집'!$D$5:$D$3125,A18,'스폰_편집'!$B$5:$B$3125,"사용")</f>
        <v/>
      </c>
      <c r="O18" s="18" t="n">
        <v>5</v>
      </c>
      <c r="P18" s="18" t="inlineStr">
        <is>
          <t>#cobblemon:is_forest; #cobblemon:is_jungle; #the_bumblezone:the_bumblezone; aether:skyroot_forest; aether:skyroot_woodland</t>
        </is>
      </c>
      <c r="Q18" s="18" t="inlineStr">
        <is>
          <t>common</t>
        </is>
      </c>
      <c r="R18" s="18" t="inlineStr">
        <is>
          <t>region_01</t>
        </is>
      </c>
      <c r="S18" s="18" t="inlineStr">
        <is>
          <t>cobbleventure:generation_1</t>
        </is>
      </c>
      <c r="T18" s="18">
        <f>IF(M18=0,"없음",IF(N18=0,"전부 제외","사용"))</f>
        <v/>
      </c>
      <c r="U18" s="18" t="inlineStr"/>
    </row>
    <row r="19" ht="30" customHeight="1">
      <c r="A19" s="18" t="n">
        <v>15</v>
      </c>
      <c r="B19" s="18" t="inlineStr">
        <is>
          <t>독침붕</t>
        </is>
      </c>
      <c r="C19" s="18" t="inlineStr">
        <is>
          <t>beedrill</t>
        </is>
      </c>
      <c r="D19" s="18" t="inlineStr">
        <is>
          <t>Beedrill</t>
        </is>
      </c>
      <c r="E19" s="18" t="n">
        <v>1</v>
      </c>
      <c r="F19" s="18" t="inlineStr">
        <is>
          <t>generation1</t>
        </is>
      </c>
      <c r="G19" s="18" t="inlineStr">
        <is>
          <t>bug</t>
        </is>
      </c>
      <c r="H19" s="18" t="inlineStr">
        <is>
          <t>poison</t>
        </is>
      </c>
      <c r="I19" s="18" t="inlineStr">
        <is>
          <t>예</t>
        </is>
      </c>
      <c r="J19" s="18" t="inlineStr">
        <is>
          <t>예</t>
        </is>
      </c>
      <c r="K19" s="18" t="inlineStr">
        <is>
          <t>예</t>
        </is>
      </c>
      <c r="L19" s="18" t="inlineStr">
        <is>
          <t>Cobblemon 동일</t>
        </is>
      </c>
      <c r="M19" s="18">
        <f>COUNTIF('스폰_편집'!$D$5:$D$3125,A19)</f>
        <v/>
      </c>
      <c r="N19" s="18">
        <f>COUNTIFS('스폰_편집'!$D$5:$D$3125,A19,'스폰_편집'!$B$5:$B$3125,"사용")</f>
        <v/>
      </c>
      <c r="O19" s="18" t="n">
        <v>5</v>
      </c>
      <c r="P19" s="18" t="inlineStr">
        <is>
          <t>#cobblemon:is_forest; #cobblemon:is_jungle; #the_bumblezone:the_bumblezone; aether:skyroot_forest; aether:skyroot_woodland</t>
        </is>
      </c>
      <c r="Q19" s="18" t="inlineStr">
        <is>
          <t>common</t>
        </is>
      </c>
      <c r="R19" s="18" t="inlineStr">
        <is>
          <t>region_01</t>
        </is>
      </c>
      <c r="S19" s="18" t="inlineStr">
        <is>
          <t>cobbleventure:generation_1</t>
        </is>
      </c>
      <c r="T19" s="18">
        <f>IF(M19=0,"없음",IF(N19=0,"전부 제외","사용"))</f>
        <v/>
      </c>
      <c r="U19" s="18" t="inlineStr"/>
    </row>
    <row r="20" ht="30" customHeight="1">
      <c r="A20" s="18" t="n">
        <v>16</v>
      </c>
      <c r="B20" s="18" t="inlineStr">
        <is>
          <t>구구</t>
        </is>
      </c>
      <c r="C20" s="18" t="inlineStr">
        <is>
          <t>pidgey</t>
        </is>
      </c>
      <c r="D20" s="18" t="inlineStr">
        <is>
          <t>Pidgey</t>
        </is>
      </c>
      <c r="E20" s="18" t="n">
        <v>1</v>
      </c>
      <c r="F20" s="18" t="inlineStr">
        <is>
          <t>generation1</t>
        </is>
      </c>
      <c r="G20" s="18" t="inlineStr">
        <is>
          <t>normal</t>
        </is>
      </c>
      <c r="H20" s="18" t="inlineStr">
        <is>
          <t>flying</t>
        </is>
      </c>
      <c r="I20" s="18" t="inlineStr">
        <is>
          <t>예</t>
        </is>
      </c>
      <c r="J20" s="18" t="inlineStr">
        <is>
          <t>예</t>
        </is>
      </c>
      <c r="K20" s="18" t="inlineStr">
        <is>
          <t>예</t>
        </is>
      </c>
      <c r="L20" s="18" t="inlineStr">
        <is>
          <t>Cobblemon 동일</t>
        </is>
      </c>
      <c r="M20" s="18">
        <f>COUNTIF('스폰_편집'!$D$5:$D$3125,A20)</f>
        <v/>
      </c>
      <c r="N20" s="18">
        <f>COUNTIFS('스폰_편집'!$D$5:$D$3125,A20,'스폰_편집'!$B$5:$B$3125,"사용")</f>
        <v/>
      </c>
      <c r="O20" s="18" t="n">
        <v>4</v>
      </c>
      <c r="P20" s="18" t="inlineStr">
        <is>
          <t>#cobblemon:is_sky; #cobblemon:is_temperate; aether:skyroot_forest; aether:skyroot_woodland</t>
        </is>
      </c>
      <c r="Q20" s="18" t="inlineStr">
        <is>
          <t>common</t>
        </is>
      </c>
      <c r="R20" s="18" t="inlineStr">
        <is>
          <t>region_01</t>
        </is>
      </c>
      <c r="S20" s="18" t="inlineStr">
        <is>
          <t>cobbleventure:generation_1</t>
        </is>
      </c>
      <c r="T20" s="18">
        <f>IF(M20=0,"없음",IF(N20=0,"전부 제외","사용"))</f>
        <v/>
      </c>
      <c r="U20" s="18" t="inlineStr"/>
    </row>
    <row r="21" ht="30" customHeight="1">
      <c r="A21" s="18" t="n">
        <v>17</v>
      </c>
      <c r="B21" s="18" t="inlineStr">
        <is>
          <t>피죤</t>
        </is>
      </c>
      <c r="C21" s="18" t="inlineStr">
        <is>
          <t>pidgeotto</t>
        </is>
      </c>
      <c r="D21" s="18" t="inlineStr">
        <is>
          <t>Pidgeotto</t>
        </is>
      </c>
      <c r="E21" s="18" t="n">
        <v>1</v>
      </c>
      <c r="F21" s="18" t="inlineStr">
        <is>
          <t>generation1</t>
        </is>
      </c>
      <c r="G21" s="18" t="inlineStr">
        <is>
          <t>normal</t>
        </is>
      </c>
      <c r="H21" s="18" t="inlineStr">
        <is>
          <t>flying</t>
        </is>
      </c>
      <c r="I21" s="18" t="inlineStr">
        <is>
          <t>예</t>
        </is>
      </c>
      <c r="J21" s="18" t="inlineStr">
        <is>
          <t>예</t>
        </is>
      </c>
      <c r="K21" s="18" t="inlineStr">
        <is>
          <t>예</t>
        </is>
      </c>
      <c r="L21" s="18" t="inlineStr">
        <is>
          <t>Cobblemon 동일</t>
        </is>
      </c>
      <c r="M21" s="18">
        <f>COUNTIF('스폰_편집'!$D$5:$D$3125,A21)</f>
        <v/>
      </c>
      <c r="N21" s="18">
        <f>COUNTIFS('스폰_편집'!$D$5:$D$3125,A21,'스폰_편집'!$B$5:$B$3125,"사용")</f>
        <v/>
      </c>
      <c r="O21" s="18" t="n">
        <v>4</v>
      </c>
      <c r="P21" s="18" t="inlineStr">
        <is>
          <t>#cobblemon:is_sky; #cobblemon:is_temperate; aether:skyroot_forest; aether:skyroot_woodland</t>
        </is>
      </c>
      <c r="Q21" s="18" t="inlineStr">
        <is>
          <t>common</t>
        </is>
      </c>
      <c r="R21" s="18" t="inlineStr">
        <is>
          <t>region_01</t>
        </is>
      </c>
      <c r="S21" s="18" t="inlineStr">
        <is>
          <t>cobbleventure:generation_1</t>
        </is>
      </c>
      <c r="T21" s="18">
        <f>IF(M21=0,"없음",IF(N21=0,"전부 제외","사용"))</f>
        <v/>
      </c>
      <c r="U21" s="18" t="inlineStr"/>
    </row>
    <row r="22" ht="30" customHeight="1">
      <c r="A22" s="18" t="n">
        <v>18</v>
      </c>
      <c r="B22" s="18" t="inlineStr">
        <is>
          <t>피죤투</t>
        </is>
      </c>
      <c r="C22" s="18" t="inlineStr">
        <is>
          <t>pidgeot</t>
        </is>
      </c>
      <c r="D22" s="18" t="inlineStr">
        <is>
          <t>Pidgeot</t>
        </is>
      </c>
      <c r="E22" s="18" t="n">
        <v>1</v>
      </c>
      <c r="F22" s="18" t="inlineStr">
        <is>
          <t>generation1</t>
        </is>
      </c>
      <c r="G22" s="18" t="inlineStr">
        <is>
          <t>normal</t>
        </is>
      </c>
      <c r="H22" s="18" t="inlineStr">
        <is>
          <t>flying</t>
        </is>
      </c>
      <c r="I22" s="18" t="inlineStr">
        <is>
          <t>예</t>
        </is>
      </c>
      <c r="J22" s="18" t="inlineStr">
        <is>
          <t>예</t>
        </is>
      </c>
      <c r="K22" s="18" t="inlineStr">
        <is>
          <t>예</t>
        </is>
      </c>
      <c r="L22" s="18" t="inlineStr">
        <is>
          <t>Cobblemon 동일</t>
        </is>
      </c>
      <c r="M22" s="18">
        <f>COUNTIF('스폰_편집'!$D$5:$D$3125,A22)</f>
        <v/>
      </c>
      <c r="N22" s="18">
        <f>COUNTIFS('스폰_편집'!$D$5:$D$3125,A22,'스폰_편집'!$B$5:$B$3125,"사용")</f>
        <v/>
      </c>
      <c r="O22" s="18" t="n">
        <v>4</v>
      </c>
      <c r="P22" s="18" t="inlineStr">
        <is>
          <t>#cobblemon:is_sky; #cobblemon:is_temperate; aether:skyroot_forest; aether:skyroot_woodland</t>
        </is>
      </c>
      <c r="Q22" s="18" t="inlineStr">
        <is>
          <t>common</t>
        </is>
      </c>
      <c r="R22" s="18" t="inlineStr">
        <is>
          <t>region_01</t>
        </is>
      </c>
      <c r="S22" s="18" t="inlineStr">
        <is>
          <t>cobbleventure:generation_1</t>
        </is>
      </c>
      <c r="T22" s="18">
        <f>IF(M22=0,"없음",IF(N22=0,"전부 제외","사용"))</f>
        <v/>
      </c>
      <c r="U22" s="18" t="inlineStr"/>
    </row>
    <row r="23" ht="30" customHeight="1">
      <c r="A23" s="18" t="n">
        <v>19</v>
      </c>
      <c r="B23" s="18" t="inlineStr">
        <is>
          <t>꼬렛</t>
        </is>
      </c>
      <c r="C23" s="18" t="inlineStr">
        <is>
          <t>rattata</t>
        </is>
      </c>
      <c r="D23" s="18" t="inlineStr">
        <is>
          <t>Rattata</t>
        </is>
      </c>
      <c r="E23" s="18" t="n">
        <v>1</v>
      </c>
      <c r="F23" s="18" t="inlineStr">
        <is>
          <t>generation1</t>
        </is>
      </c>
      <c r="G23" s="18" t="inlineStr">
        <is>
          <t>normal</t>
        </is>
      </c>
      <c r="H23" s="18" t="inlineStr"/>
      <c r="I23" s="18" t="inlineStr">
        <is>
          <t>예</t>
        </is>
      </c>
      <c r="J23" s="18" t="inlineStr">
        <is>
          <t>예</t>
        </is>
      </c>
      <c r="K23" s="18" t="inlineStr">
        <is>
          <t>예</t>
        </is>
      </c>
      <c r="L23" s="18" t="inlineStr">
        <is>
          <t>Cobblemon 동일</t>
        </is>
      </c>
      <c r="M23" s="18">
        <f>COUNTIF('스폰_편집'!$D$5:$D$3125,A23)</f>
        <v/>
      </c>
      <c r="N23" s="18">
        <f>COUNTIFS('스폰_편집'!$D$5:$D$3125,A23,'스폰_편집'!$B$5:$B$3125,"사용")</f>
        <v/>
      </c>
      <c r="O23" s="18" t="n">
        <v>3</v>
      </c>
      <c r="P23" s="18" t="inlineStr">
        <is>
          <t>#cobblemon:is_grassland; #cobblemon:is_overworld; #cobblemon:is_spooky</t>
        </is>
      </c>
      <c r="Q23" s="18" t="inlineStr">
        <is>
          <t>common; uncommon</t>
        </is>
      </c>
      <c r="R23" s="18" t="inlineStr">
        <is>
          <t>region_01; region_02</t>
        </is>
      </c>
      <c r="S23" s="18" t="inlineStr">
        <is>
          <t>cobbleventure:generation_1</t>
        </is>
      </c>
      <c r="T23" s="18">
        <f>IF(M23=0,"없음",IF(N23=0,"전부 제외","사용"))</f>
        <v/>
      </c>
      <c r="U23" s="18" t="inlineStr"/>
    </row>
    <row r="24" ht="30" customHeight="1">
      <c r="A24" s="18" t="n">
        <v>20</v>
      </c>
      <c r="B24" s="18" t="inlineStr">
        <is>
          <t>레트라</t>
        </is>
      </c>
      <c r="C24" s="18" t="inlineStr">
        <is>
          <t>raticate</t>
        </is>
      </c>
      <c r="D24" s="18" t="inlineStr">
        <is>
          <t>Raticate</t>
        </is>
      </c>
      <c r="E24" s="18" t="n">
        <v>1</v>
      </c>
      <c r="F24" s="18" t="inlineStr">
        <is>
          <t>generation1</t>
        </is>
      </c>
      <c r="G24" s="18" t="inlineStr">
        <is>
          <t>normal</t>
        </is>
      </c>
      <c r="H24" s="18" t="inlineStr"/>
      <c r="I24" s="18" t="inlineStr">
        <is>
          <t>예</t>
        </is>
      </c>
      <c r="J24" s="18" t="inlineStr">
        <is>
          <t>예</t>
        </is>
      </c>
      <c r="K24" s="18" t="inlineStr">
        <is>
          <t>예</t>
        </is>
      </c>
      <c r="L24" s="18" t="inlineStr">
        <is>
          <t>Cobblemon 동일</t>
        </is>
      </c>
      <c r="M24" s="18">
        <f>COUNTIF('스폰_편집'!$D$5:$D$3125,A24)</f>
        <v/>
      </c>
      <c r="N24" s="18">
        <f>COUNTIFS('스폰_편집'!$D$5:$D$3125,A24,'스폰_편집'!$B$5:$B$3125,"사용")</f>
        <v/>
      </c>
      <c r="O24" s="18" t="n">
        <v>3</v>
      </c>
      <c r="P24" s="18" t="inlineStr">
        <is>
          <t>#cobblemon:is_grassland; #cobblemon:is_overworld; #cobblemon:is_spooky</t>
        </is>
      </c>
      <c r="Q24" s="18" t="inlineStr">
        <is>
          <t>common; uncommon</t>
        </is>
      </c>
      <c r="R24" s="18" t="inlineStr">
        <is>
          <t>region_01; region_02</t>
        </is>
      </c>
      <c r="S24" s="18" t="inlineStr">
        <is>
          <t>cobbleventure:generation_1</t>
        </is>
      </c>
      <c r="T24" s="18">
        <f>IF(M24=0,"없음",IF(N24=0,"전부 제외","사용"))</f>
        <v/>
      </c>
      <c r="U24" s="18" t="inlineStr"/>
    </row>
    <row r="25" ht="30" customHeight="1">
      <c r="A25" s="18" t="n">
        <v>21</v>
      </c>
      <c r="B25" s="18" t="inlineStr">
        <is>
          <t>깨비참</t>
        </is>
      </c>
      <c r="C25" s="18" t="inlineStr">
        <is>
          <t>spearow</t>
        </is>
      </c>
      <c r="D25" s="18" t="inlineStr">
        <is>
          <t>Spearow</t>
        </is>
      </c>
      <c r="E25" s="18" t="n">
        <v>1</v>
      </c>
      <c r="F25" s="18" t="inlineStr">
        <is>
          <t>generation1</t>
        </is>
      </c>
      <c r="G25" s="18" t="inlineStr">
        <is>
          <t>normal</t>
        </is>
      </c>
      <c r="H25" s="18" t="inlineStr">
        <is>
          <t>flying</t>
        </is>
      </c>
      <c r="I25" s="18" t="inlineStr">
        <is>
          <t>예</t>
        </is>
      </c>
      <c r="J25" s="18" t="inlineStr">
        <is>
          <t>예</t>
        </is>
      </c>
      <c r="K25" s="18" t="inlineStr">
        <is>
          <t>예</t>
        </is>
      </c>
      <c r="L25" s="18" t="inlineStr">
        <is>
          <t>Cobblemon 동일</t>
        </is>
      </c>
      <c r="M25" s="18">
        <f>COUNTIF('스폰_편집'!$D$5:$D$3125,A25)</f>
        <v/>
      </c>
      <c r="N25" s="18">
        <f>COUNTIFS('스폰_편집'!$D$5:$D$3125,A25,'스폰_편집'!$B$5:$B$3125,"사용")</f>
        <v/>
      </c>
      <c r="O25" s="18" t="n">
        <v>3</v>
      </c>
      <c r="P25" s="18" t="inlineStr">
        <is>
          <t>#cobblemon:is_badlands; #cobblemon:is_savanna; #cobblemon:is_sky</t>
        </is>
      </c>
      <c r="Q25" s="18" t="inlineStr">
        <is>
          <t>common</t>
        </is>
      </c>
      <c r="R25" s="18" t="inlineStr"/>
      <c r="S25" s="18" t="inlineStr">
        <is>
          <t>cobbleventure:generation_1</t>
        </is>
      </c>
      <c r="T25" s="18">
        <f>IF(M25=0,"없음",IF(N25=0,"전부 제외","사용"))</f>
        <v/>
      </c>
      <c r="U25" s="18" t="inlineStr"/>
    </row>
    <row r="26" ht="30" customHeight="1">
      <c r="A26" s="18" t="n">
        <v>22</v>
      </c>
      <c r="B26" s="18" t="inlineStr">
        <is>
          <t>깨비드릴조</t>
        </is>
      </c>
      <c r="C26" s="18" t="inlineStr">
        <is>
          <t>fearow</t>
        </is>
      </c>
      <c r="D26" s="18" t="inlineStr">
        <is>
          <t>Fearow</t>
        </is>
      </c>
      <c r="E26" s="18" t="n">
        <v>1</v>
      </c>
      <c r="F26" s="18" t="inlineStr">
        <is>
          <t>generation1</t>
        </is>
      </c>
      <c r="G26" s="18" t="inlineStr">
        <is>
          <t>normal</t>
        </is>
      </c>
      <c r="H26" s="18" t="inlineStr">
        <is>
          <t>flying</t>
        </is>
      </c>
      <c r="I26" s="18" t="inlineStr">
        <is>
          <t>예</t>
        </is>
      </c>
      <c r="J26" s="18" t="inlineStr">
        <is>
          <t>예</t>
        </is>
      </c>
      <c r="K26" s="18" t="inlineStr">
        <is>
          <t>예</t>
        </is>
      </c>
      <c r="L26" s="18" t="inlineStr">
        <is>
          <t>Cobblemon 동일</t>
        </is>
      </c>
      <c r="M26" s="18">
        <f>COUNTIF('스폰_편집'!$D$5:$D$3125,A26)</f>
        <v/>
      </c>
      <c r="N26" s="18">
        <f>COUNTIFS('스폰_편집'!$D$5:$D$3125,A26,'스폰_편집'!$B$5:$B$3125,"사용")</f>
        <v/>
      </c>
      <c r="O26" s="18" t="n">
        <v>3</v>
      </c>
      <c r="P26" s="18" t="inlineStr">
        <is>
          <t>#cobblemon:is_badlands; #cobblemon:is_savanna; #cobblemon:is_sky</t>
        </is>
      </c>
      <c r="Q26" s="18" t="inlineStr">
        <is>
          <t>common</t>
        </is>
      </c>
      <c r="R26" s="18" t="inlineStr"/>
      <c r="S26" s="18" t="inlineStr">
        <is>
          <t>cobbleventure:generation_1</t>
        </is>
      </c>
      <c r="T26" s="18">
        <f>IF(M26=0,"없음",IF(N26=0,"전부 제외","사용"))</f>
        <v/>
      </c>
      <c r="U26" s="18" t="inlineStr"/>
    </row>
    <row r="27" ht="30" customHeight="1">
      <c r="A27" s="18" t="n">
        <v>23</v>
      </c>
      <c r="B27" s="18" t="inlineStr">
        <is>
          <t>아보</t>
        </is>
      </c>
      <c r="C27" s="18" t="inlineStr">
        <is>
          <t>ekans</t>
        </is>
      </c>
      <c r="D27" s="18" t="inlineStr">
        <is>
          <t>Ekans</t>
        </is>
      </c>
      <c r="E27" s="18" t="n">
        <v>1</v>
      </c>
      <c r="F27" s="18" t="inlineStr">
        <is>
          <t>generation1</t>
        </is>
      </c>
      <c r="G27" s="18" t="inlineStr">
        <is>
          <t>poison</t>
        </is>
      </c>
      <c r="H27" s="18" t="inlineStr"/>
      <c r="I27" s="18" t="inlineStr">
        <is>
          <t>예</t>
        </is>
      </c>
      <c r="J27" s="18" t="inlineStr">
        <is>
          <t>예</t>
        </is>
      </c>
      <c r="K27" s="18" t="inlineStr">
        <is>
          <t>예</t>
        </is>
      </c>
      <c r="L27" s="18" t="inlineStr">
        <is>
          <t>COBBLEVERSE 수정</t>
        </is>
      </c>
      <c r="M27" s="18">
        <f>COUNTIF('스폰_편집'!$D$5:$D$3125,A27)</f>
        <v/>
      </c>
      <c r="N27" s="18">
        <f>COUNTIFS('스폰_편집'!$D$5:$D$3125,A27,'스폰_편집'!$B$5:$B$3125,"사용")</f>
        <v/>
      </c>
      <c r="O27" s="18" t="n">
        <v>2</v>
      </c>
      <c r="P27" s="18" t="inlineStr">
        <is>
          <t>#cobblemon:is_arid; minecraft:deep_dark</t>
        </is>
      </c>
      <c r="Q27" s="18" t="inlineStr">
        <is>
          <t>common</t>
        </is>
      </c>
      <c r="R27" s="18" t="inlineStr">
        <is>
          <t>region_02</t>
        </is>
      </c>
      <c r="S27" s="18" t="inlineStr">
        <is>
          <t>cobbleventure:generation_1</t>
        </is>
      </c>
      <c r="T27" s="18">
        <f>IF(M27=0,"없음",IF(N27=0,"전부 제외","사용"))</f>
        <v/>
      </c>
      <c r="U27" s="18" t="inlineStr"/>
    </row>
    <row r="28" ht="30" customHeight="1">
      <c r="A28" s="18" t="n">
        <v>24</v>
      </c>
      <c r="B28" s="18" t="inlineStr">
        <is>
          <t>아보크</t>
        </is>
      </c>
      <c r="C28" s="18" t="inlineStr">
        <is>
          <t>arbok</t>
        </is>
      </c>
      <c r="D28" s="18" t="inlineStr">
        <is>
          <t>Arbok</t>
        </is>
      </c>
      <c r="E28" s="18" t="n">
        <v>1</v>
      </c>
      <c r="F28" s="18" t="inlineStr">
        <is>
          <t>generation1</t>
        </is>
      </c>
      <c r="G28" s="18" t="inlineStr">
        <is>
          <t>poison</t>
        </is>
      </c>
      <c r="H28" s="18" t="inlineStr"/>
      <c r="I28" s="18" t="inlineStr">
        <is>
          <t>예</t>
        </is>
      </c>
      <c r="J28" s="18" t="inlineStr">
        <is>
          <t>예</t>
        </is>
      </c>
      <c r="K28" s="18" t="inlineStr">
        <is>
          <t>예</t>
        </is>
      </c>
      <c r="L28" s="18" t="inlineStr">
        <is>
          <t>COBBLEVERSE 수정</t>
        </is>
      </c>
      <c r="M28" s="18">
        <f>COUNTIF('스폰_편집'!$D$5:$D$3125,A28)</f>
        <v/>
      </c>
      <c r="N28" s="18">
        <f>COUNTIFS('스폰_편집'!$D$5:$D$3125,A28,'스폰_편집'!$B$5:$B$3125,"사용")</f>
        <v/>
      </c>
      <c r="O28" s="18" t="n">
        <v>2</v>
      </c>
      <c r="P28" s="18" t="inlineStr">
        <is>
          <t>#cobblemon:is_arid; minecraft:deep_dark</t>
        </is>
      </c>
      <c r="Q28" s="18" t="inlineStr">
        <is>
          <t>common</t>
        </is>
      </c>
      <c r="R28" s="18" t="inlineStr">
        <is>
          <t>region_02</t>
        </is>
      </c>
      <c r="S28" s="18" t="inlineStr">
        <is>
          <t>cobbleventure:generation_1</t>
        </is>
      </c>
      <c r="T28" s="18">
        <f>IF(M28=0,"없음",IF(N28=0,"전부 제외","사용"))</f>
        <v/>
      </c>
      <c r="U28" s="18" t="inlineStr"/>
    </row>
    <row r="29" ht="30" customHeight="1">
      <c r="A29" s="18" t="n">
        <v>25</v>
      </c>
      <c r="B29" s="18" t="inlineStr">
        <is>
          <t>피카츄</t>
        </is>
      </c>
      <c r="C29" s="18" t="inlineStr">
        <is>
          <t>pikachu</t>
        </is>
      </c>
      <c r="D29" s="18" t="inlineStr">
        <is>
          <t>Pikachu</t>
        </is>
      </c>
      <c r="E29" s="18" t="n">
        <v>1</v>
      </c>
      <c r="F29" s="18" t="inlineStr">
        <is>
          <t>generation1</t>
        </is>
      </c>
      <c r="G29" s="18" t="inlineStr">
        <is>
          <t>electric</t>
        </is>
      </c>
      <c r="H29" s="18" t="inlineStr"/>
      <c r="I29" s="18" t="inlineStr">
        <is>
          <t>예</t>
        </is>
      </c>
      <c r="J29" s="18" t="inlineStr">
        <is>
          <t>예</t>
        </is>
      </c>
      <c r="K29" s="18" t="inlineStr">
        <is>
          <t>예</t>
        </is>
      </c>
      <c r="L29" s="18" t="inlineStr">
        <is>
          <t>COBBLEVERSE 수정</t>
        </is>
      </c>
      <c r="M29" s="18">
        <f>COUNTIF('스폰_편집'!$D$5:$D$3125,A29)</f>
        <v/>
      </c>
      <c r="N29" s="18">
        <f>COUNTIFS('스폰_편집'!$D$5:$D$3125,A29,'스폰_편집'!$B$5:$B$3125,"사용")</f>
        <v/>
      </c>
      <c r="O29" s="18" t="n">
        <v>9</v>
      </c>
      <c r="P29" s="18" t="inlineStr">
        <is>
          <t>#cobblemon:is_beach; #cobblemon:is_forest; #cobblemon:is_tropical_island; #minecraft:is_badlands; #minecraft:is_jungle; #minecraft:is_savanna; cobbleverse:not_spawn; minecraft:cherry_grove; minecraft:sunflower_plains</t>
        </is>
      </c>
      <c r="Q29" s="18" t="inlineStr">
        <is>
          <t>rare; uncommon</t>
        </is>
      </c>
      <c r="R29" s="18" t="inlineStr">
        <is>
          <t>region_01</t>
        </is>
      </c>
      <c r="S29" s="18" t="inlineStr">
        <is>
          <t>cobbleventure:generation_1</t>
        </is>
      </c>
      <c r="T29" s="18">
        <f>IF(M29=0,"없음",IF(N29=0,"전부 제외","사용"))</f>
        <v/>
      </c>
      <c r="U29" s="18" t="inlineStr"/>
    </row>
    <row r="30" ht="30" customHeight="1">
      <c r="A30" s="18" t="n">
        <v>26</v>
      </c>
      <c r="B30" s="18" t="inlineStr">
        <is>
          <t>라이츄</t>
        </is>
      </c>
      <c r="C30" s="18" t="inlineStr">
        <is>
          <t>raichu</t>
        </is>
      </c>
      <c r="D30" s="18" t="inlineStr">
        <is>
          <t>Raichu</t>
        </is>
      </c>
      <c r="E30" s="18" t="n">
        <v>1</v>
      </c>
      <c r="F30" s="18" t="inlineStr">
        <is>
          <t>generation1</t>
        </is>
      </c>
      <c r="G30" s="18" t="inlineStr">
        <is>
          <t>electric</t>
        </is>
      </c>
      <c r="H30" s="18" t="inlineStr"/>
      <c r="I30" s="18" t="inlineStr">
        <is>
          <t>예</t>
        </is>
      </c>
      <c r="J30" s="18" t="inlineStr">
        <is>
          <t>예</t>
        </is>
      </c>
      <c r="K30" s="18" t="inlineStr">
        <is>
          <t>예</t>
        </is>
      </c>
      <c r="L30" s="18" t="inlineStr">
        <is>
          <t>Cobblemon 동일</t>
        </is>
      </c>
      <c r="M30" s="18">
        <f>COUNTIF('스폰_편집'!$D$5:$D$3125,A30)</f>
        <v/>
      </c>
      <c r="N30" s="18">
        <f>COUNTIFS('스폰_편집'!$D$5:$D$3125,A30,'스폰_편집'!$B$5:$B$3125,"사용")</f>
        <v/>
      </c>
      <c r="O30" s="18" t="n">
        <v>5</v>
      </c>
      <c r="P30" s="18" t="inlineStr">
        <is>
          <t>#cobblemon:is_beach; #cobblemon:is_forest; #cobblemon:is_tropical_island; aether:skyroot_forest; aether:skyroot_woodland</t>
        </is>
      </c>
      <c r="Q30" s="18" t="inlineStr">
        <is>
          <t>uncommon</t>
        </is>
      </c>
      <c r="R30" s="18" t="inlineStr">
        <is>
          <t>region_01</t>
        </is>
      </c>
      <c r="S30" s="18" t="inlineStr">
        <is>
          <t>cobbleventure:generation_1</t>
        </is>
      </c>
      <c r="T30" s="18">
        <f>IF(M30=0,"없음",IF(N30=0,"전부 제외","사용"))</f>
        <v/>
      </c>
      <c r="U30" s="18" t="inlineStr"/>
    </row>
    <row r="31" ht="30" customHeight="1">
      <c r="A31" s="18" t="n">
        <v>27</v>
      </c>
      <c r="B31" s="18" t="inlineStr">
        <is>
          <t>모래두지</t>
        </is>
      </c>
      <c r="C31" s="18" t="inlineStr">
        <is>
          <t>sandshrew</t>
        </is>
      </c>
      <c r="D31" s="18" t="inlineStr">
        <is>
          <t>Sandshrew</t>
        </is>
      </c>
      <c r="E31" s="18" t="n">
        <v>1</v>
      </c>
      <c r="F31" s="18" t="inlineStr">
        <is>
          <t>generation1</t>
        </is>
      </c>
      <c r="G31" s="18" t="inlineStr">
        <is>
          <t>ground</t>
        </is>
      </c>
      <c r="H31" s="18" t="inlineStr"/>
      <c r="I31" s="18" t="inlineStr">
        <is>
          <t>예</t>
        </is>
      </c>
      <c r="J31" s="18" t="inlineStr">
        <is>
          <t>예</t>
        </is>
      </c>
      <c r="K31" s="18" t="inlineStr">
        <is>
          <t>예</t>
        </is>
      </c>
      <c r="L31" s="18" t="inlineStr">
        <is>
          <t>COBBLEVERSE 수정</t>
        </is>
      </c>
      <c r="M31" s="18">
        <f>COUNTIF('스폰_편집'!$D$5:$D$3125,A31)</f>
        <v/>
      </c>
      <c r="N31" s="18">
        <f>COUNTIFS('스폰_편집'!$D$5:$D$3125,A31,'스폰_편집'!$B$5:$B$3125,"사용")</f>
        <v/>
      </c>
      <c r="O31" s="18" t="n">
        <v>2</v>
      </c>
      <c r="P31" s="18" t="inlineStr">
        <is>
          <t>#cobblemon:is_desert; #cobblemon:is_glacial</t>
        </is>
      </c>
      <c r="Q31" s="18" t="inlineStr">
        <is>
          <t>common; uncommon</t>
        </is>
      </c>
      <c r="R31" s="18" t="inlineStr">
        <is>
          <t>region_02</t>
        </is>
      </c>
      <c r="S31" s="18" t="inlineStr">
        <is>
          <t>cobbleventure:generation_1</t>
        </is>
      </c>
      <c r="T31" s="18">
        <f>IF(M31=0,"없음",IF(N31=0,"전부 제외","사용"))</f>
        <v/>
      </c>
      <c r="U31" s="18" t="inlineStr"/>
    </row>
    <row r="32" ht="30" customHeight="1">
      <c r="A32" s="18" t="n">
        <v>28</v>
      </c>
      <c r="B32" s="18" t="inlineStr">
        <is>
          <t>고지</t>
        </is>
      </c>
      <c r="C32" s="18" t="inlineStr">
        <is>
          <t>sandslash</t>
        </is>
      </c>
      <c r="D32" s="18" t="inlineStr">
        <is>
          <t>Sandslash</t>
        </is>
      </c>
      <c r="E32" s="18" t="n">
        <v>1</v>
      </c>
      <c r="F32" s="18" t="inlineStr">
        <is>
          <t>generation1</t>
        </is>
      </c>
      <c r="G32" s="18" t="inlineStr">
        <is>
          <t>ground</t>
        </is>
      </c>
      <c r="H32" s="18" t="inlineStr"/>
      <c r="I32" s="18" t="inlineStr">
        <is>
          <t>예</t>
        </is>
      </c>
      <c r="J32" s="18" t="inlineStr">
        <is>
          <t>예</t>
        </is>
      </c>
      <c r="K32" s="18" t="inlineStr">
        <is>
          <t>예</t>
        </is>
      </c>
      <c r="L32" s="18" t="inlineStr">
        <is>
          <t>COBBLEVERSE 수정</t>
        </is>
      </c>
      <c r="M32" s="18">
        <f>COUNTIF('스폰_편집'!$D$5:$D$3125,A32)</f>
        <v/>
      </c>
      <c r="N32" s="18">
        <f>COUNTIFS('스폰_편집'!$D$5:$D$3125,A32,'스폰_편집'!$B$5:$B$3125,"사용")</f>
        <v/>
      </c>
      <c r="O32" s="18" t="n">
        <v>2</v>
      </c>
      <c r="P32" s="18" t="inlineStr">
        <is>
          <t>#cobblemon:is_desert; #cobblemon:is_glacial</t>
        </is>
      </c>
      <c r="Q32" s="18" t="inlineStr">
        <is>
          <t>common; uncommon</t>
        </is>
      </c>
      <c r="R32" s="18" t="inlineStr">
        <is>
          <t>region_02</t>
        </is>
      </c>
      <c r="S32" s="18" t="inlineStr">
        <is>
          <t>cobbleventure:generation_1</t>
        </is>
      </c>
      <c r="T32" s="18">
        <f>IF(M32=0,"없음",IF(N32=0,"전부 제외","사용"))</f>
        <v/>
      </c>
      <c r="U32" s="18" t="inlineStr"/>
    </row>
    <row r="33" ht="30" customHeight="1">
      <c r="A33" s="18" t="n">
        <v>29</v>
      </c>
      <c r="B33" s="18" t="inlineStr">
        <is>
          <t>니드런</t>
        </is>
      </c>
      <c r="C33" s="18" t="inlineStr">
        <is>
          <t>nidoranf</t>
        </is>
      </c>
      <c r="D33" s="18" t="inlineStr">
        <is>
          <t>Nidoran♀</t>
        </is>
      </c>
      <c r="E33" s="18" t="n">
        <v>1</v>
      </c>
      <c r="F33" s="18" t="inlineStr">
        <is>
          <t>generation1</t>
        </is>
      </c>
      <c r="G33" s="18" t="inlineStr">
        <is>
          <t>poison</t>
        </is>
      </c>
      <c r="H33" s="18" t="inlineStr"/>
      <c r="I33" s="18" t="inlineStr">
        <is>
          <t>예</t>
        </is>
      </c>
      <c r="J33" s="18" t="inlineStr">
        <is>
          <t>예</t>
        </is>
      </c>
      <c r="K33" s="18" t="inlineStr">
        <is>
          <t>예</t>
        </is>
      </c>
      <c r="L33" s="18" t="inlineStr">
        <is>
          <t>Cobblemon 동일</t>
        </is>
      </c>
      <c r="M33" s="18">
        <f>COUNTIF('스폰_편집'!$D$5:$D$3125,A33)</f>
        <v/>
      </c>
      <c r="N33" s="18">
        <f>COUNTIFS('스폰_편집'!$D$5:$D$3125,A33,'스폰_편집'!$B$5:$B$3125,"사용")</f>
        <v/>
      </c>
      <c r="O33" s="18" t="n">
        <v>1</v>
      </c>
      <c r="P33" s="18" t="inlineStr">
        <is>
          <t>#cobblemon:is_savanna</t>
        </is>
      </c>
      <c r="Q33" s="18" t="inlineStr">
        <is>
          <t>uncommon</t>
        </is>
      </c>
      <c r="R33" s="18" t="inlineStr"/>
      <c r="S33" s="18" t="inlineStr">
        <is>
          <t>cobbleventure:generation_1</t>
        </is>
      </c>
      <c r="T33" s="18">
        <f>IF(M33=0,"없음",IF(N33=0,"전부 제외","사용"))</f>
        <v/>
      </c>
      <c r="U33" s="18" t="inlineStr"/>
    </row>
    <row r="34" ht="30" customHeight="1">
      <c r="A34" s="18" t="n">
        <v>30</v>
      </c>
      <c r="B34" s="18" t="inlineStr">
        <is>
          <t>니드리나</t>
        </is>
      </c>
      <c r="C34" s="18" t="inlineStr">
        <is>
          <t>nidorina</t>
        </is>
      </c>
      <c r="D34" s="18" t="inlineStr">
        <is>
          <t>Nidorina</t>
        </is>
      </c>
      <c r="E34" s="18" t="n">
        <v>1</v>
      </c>
      <c r="F34" s="18" t="inlineStr">
        <is>
          <t>generation1</t>
        </is>
      </c>
      <c r="G34" s="18" t="inlineStr">
        <is>
          <t>poison</t>
        </is>
      </c>
      <c r="H34" s="18" t="inlineStr"/>
      <c r="I34" s="18" t="inlineStr">
        <is>
          <t>예</t>
        </is>
      </c>
      <c r="J34" s="18" t="inlineStr">
        <is>
          <t>예</t>
        </is>
      </c>
      <c r="K34" s="18" t="inlineStr">
        <is>
          <t>예</t>
        </is>
      </c>
      <c r="L34" s="18" t="inlineStr">
        <is>
          <t>Cobblemon 동일</t>
        </is>
      </c>
      <c r="M34" s="18">
        <f>COUNTIF('스폰_편집'!$D$5:$D$3125,A34)</f>
        <v/>
      </c>
      <c r="N34" s="18">
        <f>COUNTIFS('스폰_편집'!$D$5:$D$3125,A34,'스폰_편집'!$B$5:$B$3125,"사용")</f>
        <v/>
      </c>
      <c r="O34" s="18" t="n">
        <v>1</v>
      </c>
      <c r="P34" s="18" t="inlineStr">
        <is>
          <t>#cobblemon:is_savanna</t>
        </is>
      </c>
      <c r="Q34" s="18" t="inlineStr">
        <is>
          <t>uncommon</t>
        </is>
      </c>
      <c r="R34" s="18" t="inlineStr"/>
      <c r="S34" s="18" t="inlineStr">
        <is>
          <t>cobbleventure:generation_1</t>
        </is>
      </c>
      <c r="T34" s="18">
        <f>IF(M34=0,"없음",IF(N34=0,"전부 제외","사용"))</f>
        <v/>
      </c>
      <c r="U34" s="18" t="inlineStr"/>
    </row>
    <row r="35" ht="30" customHeight="1">
      <c r="A35" s="18" t="n">
        <v>31</v>
      </c>
      <c r="B35" s="18" t="inlineStr">
        <is>
          <t>니드퀸</t>
        </is>
      </c>
      <c r="C35" s="18" t="inlineStr">
        <is>
          <t>nidoqueen</t>
        </is>
      </c>
      <c r="D35" s="18" t="inlineStr">
        <is>
          <t>Nidoqueen</t>
        </is>
      </c>
      <c r="E35" s="18" t="n">
        <v>1</v>
      </c>
      <c r="F35" s="18" t="inlineStr">
        <is>
          <t>generation1</t>
        </is>
      </c>
      <c r="G35" s="18" t="inlineStr">
        <is>
          <t>poison</t>
        </is>
      </c>
      <c r="H35" s="18" t="inlineStr">
        <is>
          <t>ground</t>
        </is>
      </c>
      <c r="I35" s="18" t="inlineStr">
        <is>
          <t>예</t>
        </is>
      </c>
      <c r="J35" s="18" t="inlineStr">
        <is>
          <t>예</t>
        </is>
      </c>
      <c r="K35" s="18" t="inlineStr">
        <is>
          <t>예</t>
        </is>
      </c>
      <c r="L35" s="18" t="inlineStr">
        <is>
          <t>Cobblemon 동일</t>
        </is>
      </c>
      <c r="M35" s="18">
        <f>COUNTIF('스폰_편집'!$D$5:$D$3125,A35)</f>
        <v/>
      </c>
      <c r="N35" s="18">
        <f>COUNTIFS('스폰_편집'!$D$5:$D$3125,A35,'스폰_편집'!$B$5:$B$3125,"사용")</f>
        <v/>
      </c>
      <c r="O35" s="18" t="n">
        <v>1</v>
      </c>
      <c r="P35" s="18" t="inlineStr">
        <is>
          <t>#cobblemon:is_savanna</t>
        </is>
      </c>
      <c r="Q35" s="18" t="inlineStr">
        <is>
          <t>uncommon</t>
        </is>
      </c>
      <c r="R35" s="18" t="inlineStr"/>
      <c r="S35" s="18" t="inlineStr">
        <is>
          <t>cobbleventure:generation_1</t>
        </is>
      </c>
      <c r="T35" s="18">
        <f>IF(M35=0,"없음",IF(N35=0,"전부 제외","사용"))</f>
        <v/>
      </c>
      <c r="U35" s="18" t="inlineStr"/>
    </row>
    <row r="36" ht="30" customHeight="1">
      <c r="A36" s="18" t="n">
        <v>32</v>
      </c>
      <c r="B36" s="18" t="inlineStr">
        <is>
          <t>니드런</t>
        </is>
      </c>
      <c r="C36" s="18" t="inlineStr">
        <is>
          <t>nidoranm</t>
        </is>
      </c>
      <c r="D36" s="18" t="inlineStr">
        <is>
          <t>Nidoran♂</t>
        </is>
      </c>
      <c r="E36" s="18" t="n">
        <v>1</v>
      </c>
      <c r="F36" s="18" t="inlineStr">
        <is>
          <t>generation1</t>
        </is>
      </c>
      <c r="G36" s="18" t="inlineStr">
        <is>
          <t>poison</t>
        </is>
      </c>
      <c r="H36" s="18" t="inlineStr"/>
      <c r="I36" s="18" t="inlineStr">
        <is>
          <t>예</t>
        </is>
      </c>
      <c r="J36" s="18" t="inlineStr">
        <is>
          <t>예</t>
        </is>
      </c>
      <c r="K36" s="18" t="inlineStr">
        <is>
          <t>예</t>
        </is>
      </c>
      <c r="L36" s="18" t="inlineStr">
        <is>
          <t>Cobblemon 동일</t>
        </is>
      </c>
      <c r="M36" s="18">
        <f>COUNTIF('스폰_편집'!$D$5:$D$3125,A36)</f>
        <v/>
      </c>
      <c r="N36" s="18">
        <f>COUNTIFS('스폰_편집'!$D$5:$D$3125,A36,'스폰_편집'!$B$5:$B$3125,"사용")</f>
        <v/>
      </c>
      <c r="O36" s="18" t="n">
        <v>1</v>
      </c>
      <c r="P36" s="18" t="inlineStr">
        <is>
          <t>#cobblemon:is_savanna</t>
        </is>
      </c>
      <c r="Q36" s="18" t="inlineStr">
        <is>
          <t>uncommon</t>
        </is>
      </c>
      <c r="R36" s="18" t="inlineStr"/>
      <c r="S36" s="18" t="inlineStr">
        <is>
          <t>cobbleventure:generation_1</t>
        </is>
      </c>
      <c r="T36" s="18">
        <f>IF(M36=0,"없음",IF(N36=0,"전부 제외","사용"))</f>
        <v/>
      </c>
      <c r="U36" s="18" t="inlineStr"/>
    </row>
    <row r="37" ht="30" customHeight="1">
      <c r="A37" s="18" t="n">
        <v>33</v>
      </c>
      <c r="B37" s="18" t="inlineStr">
        <is>
          <t>니드리노</t>
        </is>
      </c>
      <c r="C37" s="18" t="inlineStr">
        <is>
          <t>nidorino</t>
        </is>
      </c>
      <c r="D37" s="18" t="inlineStr">
        <is>
          <t>Nidorino</t>
        </is>
      </c>
      <c r="E37" s="18" t="n">
        <v>1</v>
      </c>
      <c r="F37" s="18" t="inlineStr">
        <is>
          <t>generation1</t>
        </is>
      </c>
      <c r="G37" s="18" t="inlineStr">
        <is>
          <t>poison</t>
        </is>
      </c>
      <c r="H37" s="18" t="inlineStr"/>
      <c r="I37" s="18" t="inlineStr">
        <is>
          <t>예</t>
        </is>
      </c>
      <c r="J37" s="18" t="inlineStr">
        <is>
          <t>예</t>
        </is>
      </c>
      <c r="K37" s="18" t="inlineStr">
        <is>
          <t>예</t>
        </is>
      </c>
      <c r="L37" s="18" t="inlineStr">
        <is>
          <t>Cobblemon 동일</t>
        </is>
      </c>
      <c r="M37" s="18">
        <f>COUNTIF('스폰_편집'!$D$5:$D$3125,A37)</f>
        <v/>
      </c>
      <c r="N37" s="18">
        <f>COUNTIFS('스폰_편집'!$D$5:$D$3125,A37,'스폰_편집'!$B$5:$B$3125,"사용")</f>
        <v/>
      </c>
      <c r="O37" s="18" t="n">
        <v>1</v>
      </c>
      <c r="P37" s="18" t="inlineStr">
        <is>
          <t>#cobblemon:is_savanna</t>
        </is>
      </c>
      <c r="Q37" s="18" t="inlineStr">
        <is>
          <t>uncommon</t>
        </is>
      </c>
      <c r="R37" s="18" t="inlineStr"/>
      <c r="S37" s="18" t="inlineStr">
        <is>
          <t>cobbleventure:generation_1</t>
        </is>
      </c>
      <c r="T37" s="18">
        <f>IF(M37=0,"없음",IF(N37=0,"전부 제외","사용"))</f>
        <v/>
      </c>
      <c r="U37" s="18" t="inlineStr"/>
    </row>
    <row r="38" ht="30" customHeight="1">
      <c r="A38" s="18" t="n">
        <v>34</v>
      </c>
      <c r="B38" s="18" t="inlineStr">
        <is>
          <t>니드킹</t>
        </is>
      </c>
      <c r="C38" s="18" t="inlineStr">
        <is>
          <t>nidoking</t>
        </is>
      </c>
      <c r="D38" s="18" t="inlineStr">
        <is>
          <t>Nidoking</t>
        </is>
      </c>
      <c r="E38" s="18" t="n">
        <v>1</v>
      </c>
      <c r="F38" s="18" t="inlineStr">
        <is>
          <t>generation1</t>
        </is>
      </c>
      <c r="G38" s="18" t="inlineStr">
        <is>
          <t>poison</t>
        </is>
      </c>
      <c r="H38" s="18" t="inlineStr">
        <is>
          <t>ground</t>
        </is>
      </c>
      <c r="I38" s="18" t="inlineStr">
        <is>
          <t>예</t>
        </is>
      </c>
      <c r="J38" s="18" t="inlineStr">
        <is>
          <t>예</t>
        </is>
      </c>
      <c r="K38" s="18" t="inlineStr">
        <is>
          <t>예</t>
        </is>
      </c>
      <c r="L38" s="18" t="inlineStr">
        <is>
          <t>Cobblemon 동일</t>
        </is>
      </c>
      <c r="M38" s="18">
        <f>COUNTIF('스폰_편집'!$D$5:$D$3125,A38)</f>
        <v/>
      </c>
      <c r="N38" s="18">
        <f>COUNTIFS('스폰_편집'!$D$5:$D$3125,A38,'스폰_편집'!$B$5:$B$3125,"사용")</f>
        <v/>
      </c>
      <c r="O38" s="18" t="n">
        <v>1</v>
      </c>
      <c r="P38" s="18" t="inlineStr">
        <is>
          <t>#cobblemon:is_savanna</t>
        </is>
      </c>
      <c r="Q38" s="18" t="inlineStr">
        <is>
          <t>uncommon</t>
        </is>
      </c>
      <c r="R38" s="18" t="inlineStr"/>
      <c r="S38" s="18" t="inlineStr">
        <is>
          <t>cobbleventure:generation_1</t>
        </is>
      </c>
      <c r="T38" s="18">
        <f>IF(M38=0,"없음",IF(N38=0,"전부 제외","사용"))</f>
        <v/>
      </c>
      <c r="U38" s="18" t="inlineStr"/>
    </row>
    <row r="39" ht="30" customHeight="1">
      <c r="A39" s="18" t="n">
        <v>35</v>
      </c>
      <c r="B39" s="18" t="inlineStr">
        <is>
          <t>삐삐</t>
        </is>
      </c>
      <c r="C39" s="18" t="inlineStr">
        <is>
          <t>clefairy</t>
        </is>
      </c>
      <c r="D39" s="18" t="inlineStr">
        <is>
          <t>Clefairy</t>
        </is>
      </c>
      <c r="E39" s="18" t="n">
        <v>1</v>
      </c>
      <c r="F39" s="18" t="inlineStr">
        <is>
          <t>generation1</t>
        </is>
      </c>
      <c r="G39" s="18" t="inlineStr">
        <is>
          <t>fairy</t>
        </is>
      </c>
      <c r="H39" s="18" t="inlineStr"/>
      <c r="I39" s="18" t="inlineStr">
        <is>
          <t>예</t>
        </is>
      </c>
      <c r="J39" s="18" t="inlineStr">
        <is>
          <t>예</t>
        </is>
      </c>
      <c r="K39" s="18" t="inlineStr">
        <is>
          <t>예</t>
        </is>
      </c>
      <c r="L39" s="18" t="inlineStr">
        <is>
          <t>Cobblemon 동일</t>
        </is>
      </c>
      <c r="M39" s="18">
        <f>COUNTIF('스폰_편집'!$D$5:$D$3125,A39)</f>
        <v/>
      </c>
      <c r="N39" s="18">
        <f>COUNTIFS('스폰_편집'!$D$5:$D$3125,A39,'스폰_편집'!$B$5:$B$3125,"사용")</f>
        <v/>
      </c>
      <c r="O39" s="18" t="n">
        <v>4</v>
      </c>
      <c r="P39" s="18" t="inlineStr">
        <is>
          <t>#aether:is_aether; #cobblemon:is_dripstone; #cobblemon:is_hills; #cobblemon:is_magical</t>
        </is>
      </c>
      <c r="Q39" s="18" t="inlineStr">
        <is>
          <t>uncommon</t>
        </is>
      </c>
      <c r="R39" s="18" t="inlineStr"/>
      <c r="S39" s="18" t="inlineStr">
        <is>
          <t>cobbleventure:generation_1</t>
        </is>
      </c>
      <c r="T39" s="18">
        <f>IF(M39=0,"없음",IF(N39=0,"전부 제외","사용"))</f>
        <v/>
      </c>
      <c r="U39" s="18" t="inlineStr"/>
    </row>
    <row r="40" ht="30" customHeight="1">
      <c r="A40" s="18" t="n">
        <v>36</v>
      </c>
      <c r="B40" s="18" t="inlineStr">
        <is>
          <t>픽시</t>
        </is>
      </c>
      <c r="C40" s="18" t="inlineStr">
        <is>
          <t>clefable</t>
        </is>
      </c>
      <c r="D40" s="18" t="inlineStr">
        <is>
          <t>Clefable</t>
        </is>
      </c>
      <c r="E40" s="18" t="n">
        <v>1</v>
      </c>
      <c r="F40" s="18" t="inlineStr">
        <is>
          <t>generation1</t>
        </is>
      </c>
      <c r="G40" s="18" t="inlineStr">
        <is>
          <t>fairy</t>
        </is>
      </c>
      <c r="H40" s="18" t="inlineStr"/>
      <c r="I40" s="18" t="inlineStr">
        <is>
          <t>예</t>
        </is>
      </c>
      <c r="J40" s="18" t="inlineStr">
        <is>
          <t>예</t>
        </is>
      </c>
      <c r="K40" s="18" t="inlineStr">
        <is>
          <t>예</t>
        </is>
      </c>
      <c r="L40" s="18" t="inlineStr">
        <is>
          <t>Cobblemon 동일</t>
        </is>
      </c>
      <c r="M40" s="18">
        <f>COUNTIF('스폰_편집'!$D$5:$D$3125,A40)</f>
        <v/>
      </c>
      <c r="N40" s="18">
        <f>COUNTIFS('스폰_편집'!$D$5:$D$3125,A40,'스폰_편집'!$B$5:$B$3125,"사용")</f>
        <v/>
      </c>
      <c r="O40" s="18" t="n">
        <v>4</v>
      </c>
      <c r="P40" s="18" t="inlineStr">
        <is>
          <t>#aether:is_aether; #cobblemon:is_dripstone; #cobblemon:is_hills; #cobblemon:is_magical</t>
        </is>
      </c>
      <c r="Q40" s="18" t="inlineStr">
        <is>
          <t>uncommon</t>
        </is>
      </c>
      <c r="R40" s="18" t="inlineStr"/>
      <c r="S40" s="18" t="inlineStr">
        <is>
          <t>cobbleventure:generation_1</t>
        </is>
      </c>
      <c r="T40" s="18">
        <f>IF(M40=0,"없음",IF(N40=0,"전부 제외","사용"))</f>
        <v/>
      </c>
      <c r="U40" s="18" t="inlineStr"/>
    </row>
    <row r="41" ht="30" customHeight="1">
      <c r="A41" s="18" t="n">
        <v>37</v>
      </c>
      <c r="B41" s="18" t="inlineStr">
        <is>
          <t>식스테일</t>
        </is>
      </c>
      <c r="C41" s="18" t="inlineStr">
        <is>
          <t>vulpix</t>
        </is>
      </c>
      <c r="D41" s="18" t="inlineStr">
        <is>
          <t>Vulpix</t>
        </is>
      </c>
      <c r="E41" s="18" t="n">
        <v>1</v>
      </c>
      <c r="F41" s="18" t="inlineStr">
        <is>
          <t>generation1</t>
        </is>
      </c>
      <c r="G41" s="18" t="inlineStr">
        <is>
          <t>fire</t>
        </is>
      </c>
      <c r="H41" s="18" t="inlineStr"/>
      <c r="I41" s="18" t="inlineStr">
        <is>
          <t>예</t>
        </is>
      </c>
      <c r="J41" s="18" t="inlineStr">
        <is>
          <t>예</t>
        </is>
      </c>
      <c r="K41" s="18" t="inlineStr">
        <is>
          <t>예</t>
        </is>
      </c>
      <c r="L41" s="18" t="inlineStr">
        <is>
          <t>COBBLEVERSE 수정</t>
        </is>
      </c>
      <c r="M41" s="18">
        <f>COUNTIF('스폰_편집'!$D$5:$D$3125,A41)</f>
        <v/>
      </c>
      <c r="N41" s="18">
        <f>COUNTIFS('스폰_편집'!$D$5:$D$3125,A41,'스폰_편집'!$B$5:$B$3125,"사용")</f>
        <v/>
      </c>
      <c r="O41" s="18" t="n">
        <v>6</v>
      </c>
      <c r="P41" s="18" t="inlineStr">
        <is>
          <t>#cobblemon:is_forest; #cobblemon:is_snowy_forest; #cobblemon:is_snowy_taiga; #cobblemon:is_taiga; #cobblemon:nether/is_forest; minecraft:snowy_plains</t>
        </is>
      </c>
      <c r="Q41" s="18" t="inlineStr">
        <is>
          <t>common; rare; uncommon</t>
        </is>
      </c>
      <c r="R41" s="18" t="inlineStr">
        <is>
          <t>region_01</t>
        </is>
      </c>
      <c r="S41" s="18" t="inlineStr">
        <is>
          <t>cobbleventure:generation_1</t>
        </is>
      </c>
      <c r="T41" s="18">
        <f>IF(M41=0,"없음",IF(N41=0,"전부 제외","사용"))</f>
        <v/>
      </c>
      <c r="U41" s="18" t="inlineStr"/>
    </row>
    <row r="42" ht="30" customHeight="1">
      <c r="A42" s="18" t="n">
        <v>38</v>
      </c>
      <c r="B42" s="18" t="inlineStr">
        <is>
          <t>나인테일</t>
        </is>
      </c>
      <c r="C42" s="18" t="inlineStr">
        <is>
          <t>ninetales</t>
        </is>
      </c>
      <c r="D42" s="18" t="inlineStr">
        <is>
          <t>Ninetales</t>
        </is>
      </c>
      <c r="E42" s="18" t="n">
        <v>1</v>
      </c>
      <c r="F42" s="18" t="inlineStr">
        <is>
          <t>generation1</t>
        </is>
      </c>
      <c r="G42" s="18" t="inlineStr">
        <is>
          <t>fire</t>
        </is>
      </c>
      <c r="H42" s="18" t="inlineStr"/>
      <c r="I42" s="18" t="inlineStr">
        <is>
          <t>예</t>
        </is>
      </c>
      <c r="J42" s="18" t="inlineStr">
        <is>
          <t>예</t>
        </is>
      </c>
      <c r="K42" s="18" t="inlineStr">
        <is>
          <t>예</t>
        </is>
      </c>
      <c r="L42" s="18" t="inlineStr">
        <is>
          <t>COBBLEVERSE 수정</t>
        </is>
      </c>
      <c r="M42" s="18">
        <f>COUNTIF('스폰_편집'!$D$5:$D$3125,A42)</f>
        <v/>
      </c>
      <c r="N42" s="18">
        <f>COUNTIFS('스폰_편집'!$D$5:$D$3125,A42,'스폰_편집'!$B$5:$B$3125,"사용")</f>
        <v/>
      </c>
      <c r="O42" s="18" t="n">
        <v>5</v>
      </c>
      <c r="P42" s="18" t="inlineStr">
        <is>
          <t>#cobblemon:is_forest; #cobblemon:is_snowy_forest; #cobblemon:is_snowy_taiga; #cobblemon:is_taiga; #cobblemon:nether/is_forest</t>
        </is>
      </c>
      <c r="Q42" s="18" t="inlineStr">
        <is>
          <t>common; uncommon</t>
        </is>
      </c>
      <c r="R42" s="18" t="inlineStr">
        <is>
          <t>region_01</t>
        </is>
      </c>
      <c r="S42" s="18" t="inlineStr">
        <is>
          <t>cobbleventure:generation_1</t>
        </is>
      </c>
      <c r="T42" s="18">
        <f>IF(M42=0,"없음",IF(N42=0,"전부 제외","사용"))</f>
        <v/>
      </c>
      <c r="U42" s="18" t="inlineStr"/>
    </row>
    <row r="43" ht="30" customHeight="1">
      <c r="A43" s="18" t="n">
        <v>39</v>
      </c>
      <c r="B43" s="18" t="inlineStr">
        <is>
          <t>푸린</t>
        </is>
      </c>
      <c r="C43" s="18" t="inlineStr">
        <is>
          <t>jigglypuff</t>
        </is>
      </c>
      <c r="D43" s="18" t="inlineStr">
        <is>
          <t>Jigglypuff</t>
        </is>
      </c>
      <c r="E43" s="18" t="n">
        <v>1</v>
      </c>
      <c r="F43" s="18" t="inlineStr">
        <is>
          <t>generation1</t>
        </is>
      </c>
      <c r="G43" s="18" t="inlineStr">
        <is>
          <t>normal</t>
        </is>
      </c>
      <c r="H43" s="18" t="inlineStr">
        <is>
          <t>fairy</t>
        </is>
      </c>
      <c r="I43" s="18" t="inlineStr">
        <is>
          <t>예</t>
        </is>
      </c>
      <c r="J43" s="18" t="inlineStr">
        <is>
          <t>예</t>
        </is>
      </c>
      <c r="K43" s="18" t="inlineStr">
        <is>
          <t>예</t>
        </is>
      </c>
      <c r="L43" s="18" t="inlineStr">
        <is>
          <t>Cobblemon 동일</t>
        </is>
      </c>
      <c r="M43" s="18">
        <f>COUNTIF('스폰_편집'!$D$5:$D$3125,A43)</f>
        <v/>
      </c>
      <c r="N43" s="18">
        <f>COUNTIFS('스폰_편집'!$D$5:$D$3125,A43,'스폰_편집'!$B$5:$B$3125,"사용")</f>
        <v/>
      </c>
      <c r="O43" s="18" t="n">
        <v>4</v>
      </c>
      <c r="P43" s="18" t="inlineStr">
        <is>
          <t>#cobblemon:is_floral; #cobblemon:is_plains; aether:skyroot_grove; aether:skyroot_meadow</t>
        </is>
      </c>
      <c r="Q43" s="18" t="inlineStr">
        <is>
          <t>common</t>
        </is>
      </c>
      <c r="R43" s="18" t="inlineStr">
        <is>
          <t>region_01</t>
        </is>
      </c>
      <c r="S43" s="18" t="inlineStr">
        <is>
          <t>cobbleventure:generation_1</t>
        </is>
      </c>
      <c r="T43" s="18">
        <f>IF(M43=0,"없음",IF(N43=0,"전부 제외","사용"))</f>
        <v/>
      </c>
      <c r="U43" s="18" t="inlineStr"/>
    </row>
    <row r="44" ht="30" customHeight="1">
      <c r="A44" s="18" t="n">
        <v>40</v>
      </c>
      <c r="B44" s="18" t="inlineStr">
        <is>
          <t>푸크린</t>
        </is>
      </c>
      <c r="C44" s="18" t="inlineStr">
        <is>
          <t>wigglytuff</t>
        </is>
      </c>
      <c r="D44" s="18" t="inlineStr">
        <is>
          <t>Wigglytuff</t>
        </is>
      </c>
      <c r="E44" s="18" t="n">
        <v>1</v>
      </c>
      <c r="F44" s="18" t="inlineStr">
        <is>
          <t>generation1</t>
        </is>
      </c>
      <c r="G44" s="18" t="inlineStr">
        <is>
          <t>normal</t>
        </is>
      </c>
      <c r="H44" s="18" t="inlineStr">
        <is>
          <t>fairy</t>
        </is>
      </c>
      <c r="I44" s="18" t="inlineStr">
        <is>
          <t>예</t>
        </is>
      </c>
      <c r="J44" s="18" t="inlineStr">
        <is>
          <t>예</t>
        </is>
      </c>
      <c r="K44" s="18" t="inlineStr">
        <is>
          <t>예</t>
        </is>
      </c>
      <c r="L44" s="18" t="inlineStr">
        <is>
          <t>Cobblemon 동일</t>
        </is>
      </c>
      <c r="M44" s="18">
        <f>COUNTIF('스폰_편집'!$D$5:$D$3125,A44)</f>
        <v/>
      </c>
      <c r="N44" s="18">
        <f>COUNTIFS('스폰_편집'!$D$5:$D$3125,A44,'스폰_편집'!$B$5:$B$3125,"사용")</f>
        <v/>
      </c>
      <c r="O44" s="18" t="n">
        <v>4</v>
      </c>
      <c r="P44" s="18" t="inlineStr">
        <is>
          <t>#cobblemon:is_floral; #cobblemon:is_plains; aether:skyroot_grove; aether:skyroot_meadow</t>
        </is>
      </c>
      <c r="Q44" s="18" t="inlineStr">
        <is>
          <t>common</t>
        </is>
      </c>
      <c r="R44" s="18" t="inlineStr">
        <is>
          <t>region_01</t>
        </is>
      </c>
      <c r="S44" s="18" t="inlineStr">
        <is>
          <t>cobbleventure:generation_1</t>
        </is>
      </c>
      <c r="T44" s="18">
        <f>IF(M44=0,"없음",IF(N44=0,"전부 제외","사용"))</f>
        <v/>
      </c>
      <c r="U44" s="18" t="inlineStr"/>
    </row>
    <row r="45" ht="30" customHeight="1">
      <c r="A45" s="18" t="n">
        <v>41</v>
      </c>
      <c r="B45" s="18" t="inlineStr">
        <is>
          <t>주뱃</t>
        </is>
      </c>
      <c r="C45" s="18" t="inlineStr">
        <is>
          <t>zubat</t>
        </is>
      </c>
      <c r="D45" s="18" t="inlineStr">
        <is>
          <t>Zubat</t>
        </is>
      </c>
      <c r="E45" s="18" t="n">
        <v>1</v>
      </c>
      <c r="F45" s="18" t="inlineStr">
        <is>
          <t>generation1</t>
        </is>
      </c>
      <c r="G45" s="18" t="inlineStr">
        <is>
          <t>poison</t>
        </is>
      </c>
      <c r="H45" s="18" t="inlineStr">
        <is>
          <t>flying</t>
        </is>
      </c>
      <c r="I45" s="18" t="inlineStr">
        <is>
          <t>예</t>
        </is>
      </c>
      <c r="J45" s="18" t="inlineStr">
        <is>
          <t>예</t>
        </is>
      </c>
      <c r="K45" s="18" t="inlineStr">
        <is>
          <t>예</t>
        </is>
      </c>
      <c r="L45" s="18" t="inlineStr">
        <is>
          <t>Cobblemon 동일</t>
        </is>
      </c>
      <c r="M45" s="18">
        <f>COUNTIF('스폰_편집'!$D$5:$D$3125,A45)</f>
        <v/>
      </c>
      <c r="N45" s="18">
        <f>COUNTIFS('스폰_편집'!$D$5:$D$3125,A45,'스폰_편집'!$B$5:$B$3125,"사용")</f>
        <v/>
      </c>
      <c r="O45" s="18" t="n">
        <v>6</v>
      </c>
      <c r="P45" s="18" t="inlineStr">
        <is>
          <t>#aether:is_aether; #cobblemon:is_deep_dark; #cobblemon:is_forest; #cobblemon:is_overworld; #cobblemon:is_spooky; #cobblemon:is_swamp</t>
        </is>
      </c>
      <c r="Q45" s="18" t="inlineStr">
        <is>
          <t>common; uncommon</t>
        </is>
      </c>
      <c r="R45" s="18" t="inlineStr">
        <is>
          <t>region_01; region_02</t>
        </is>
      </c>
      <c r="S45" s="18" t="inlineStr">
        <is>
          <t>cobbleventure:generation_1</t>
        </is>
      </c>
      <c r="T45" s="18">
        <f>IF(M45=0,"없음",IF(N45=0,"전부 제외","사용"))</f>
        <v/>
      </c>
      <c r="U45" s="18" t="inlineStr"/>
    </row>
    <row r="46" ht="30" customHeight="1">
      <c r="A46" s="18" t="n">
        <v>42</v>
      </c>
      <c r="B46" s="18" t="inlineStr">
        <is>
          <t>골뱃</t>
        </is>
      </c>
      <c r="C46" s="18" t="inlineStr">
        <is>
          <t>golbat</t>
        </is>
      </c>
      <c r="D46" s="18" t="inlineStr">
        <is>
          <t>Golbat</t>
        </is>
      </c>
      <c r="E46" s="18" t="n">
        <v>1</v>
      </c>
      <c r="F46" s="18" t="inlineStr">
        <is>
          <t>generation1</t>
        </is>
      </c>
      <c r="G46" s="18" t="inlineStr">
        <is>
          <t>poison</t>
        </is>
      </c>
      <c r="H46" s="18" t="inlineStr">
        <is>
          <t>flying</t>
        </is>
      </c>
      <c r="I46" s="18" t="inlineStr">
        <is>
          <t>예</t>
        </is>
      </c>
      <c r="J46" s="18" t="inlineStr">
        <is>
          <t>예</t>
        </is>
      </c>
      <c r="K46" s="18" t="inlineStr">
        <is>
          <t>예</t>
        </is>
      </c>
      <c r="L46" s="18" t="inlineStr">
        <is>
          <t>Cobblemon 동일</t>
        </is>
      </c>
      <c r="M46" s="18">
        <f>COUNTIF('스폰_편집'!$D$5:$D$3125,A46)</f>
        <v/>
      </c>
      <c r="N46" s="18">
        <f>COUNTIFS('스폰_편집'!$D$5:$D$3125,A46,'스폰_편집'!$B$5:$B$3125,"사용")</f>
        <v/>
      </c>
      <c r="O46" s="18" t="n">
        <v>6</v>
      </c>
      <c r="P46" s="18" t="inlineStr">
        <is>
          <t>#aether:is_aether; #cobblemon:is_deep_dark; #cobblemon:is_forest; #cobblemon:is_overworld; #cobblemon:is_spooky; #cobblemon:is_swamp</t>
        </is>
      </c>
      <c r="Q46" s="18" t="inlineStr">
        <is>
          <t>common; uncommon</t>
        </is>
      </c>
      <c r="R46" s="18" t="inlineStr">
        <is>
          <t>region_01; region_02</t>
        </is>
      </c>
      <c r="S46" s="18" t="inlineStr">
        <is>
          <t>cobbleventure:generation_1</t>
        </is>
      </c>
      <c r="T46" s="18">
        <f>IF(M46=0,"없음",IF(N46=0,"전부 제외","사용"))</f>
        <v/>
      </c>
      <c r="U46" s="18" t="inlineStr"/>
    </row>
    <row r="47" ht="30" customHeight="1">
      <c r="A47" s="18" t="n">
        <v>43</v>
      </c>
      <c r="B47" s="18" t="inlineStr">
        <is>
          <t>뚜벅쵸</t>
        </is>
      </c>
      <c r="C47" s="18" t="inlineStr">
        <is>
          <t>oddish</t>
        </is>
      </c>
      <c r="D47" s="18" t="inlineStr">
        <is>
          <t>Oddish</t>
        </is>
      </c>
      <c r="E47" s="18" t="n">
        <v>1</v>
      </c>
      <c r="F47" s="18" t="inlineStr">
        <is>
          <t>generation1</t>
        </is>
      </c>
      <c r="G47" s="18" t="inlineStr">
        <is>
          <t>grass</t>
        </is>
      </c>
      <c r="H47" s="18" t="inlineStr">
        <is>
          <t>poison</t>
        </is>
      </c>
      <c r="I47" s="18" t="inlineStr">
        <is>
          <t>예</t>
        </is>
      </c>
      <c r="J47" s="18" t="inlineStr">
        <is>
          <t>예</t>
        </is>
      </c>
      <c r="K47" s="18" t="inlineStr">
        <is>
          <t>예</t>
        </is>
      </c>
      <c r="L47" s="18" t="inlineStr">
        <is>
          <t>Cobblemon 동일</t>
        </is>
      </c>
      <c r="M47" s="18">
        <f>COUNTIF('스폰_편집'!$D$5:$D$3125,A47)</f>
        <v/>
      </c>
      <c r="N47" s="18">
        <f>COUNTIFS('스폰_편집'!$D$5:$D$3125,A47,'스폰_편집'!$B$5:$B$3125,"사용")</f>
        <v/>
      </c>
      <c r="O47" s="18" t="n">
        <v>4</v>
      </c>
      <c r="P47" s="18" t="inlineStr">
        <is>
          <t>#cobblemon:is_jungle; #cobblemon:is_savanna; #cobblemon:is_temperate; #cobblemon:is_tropical_island</t>
        </is>
      </c>
      <c r="Q47" s="18" t="inlineStr">
        <is>
          <t>common</t>
        </is>
      </c>
      <c r="R47" s="18" t="inlineStr">
        <is>
          <t>region_01</t>
        </is>
      </c>
      <c r="S47" s="18" t="inlineStr">
        <is>
          <t>cobbleventure:generation_1</t>
        </is>
      </c>
      <c r="T47" s="18">
        <f>IF(M47=0,"없음",IF(N47=0,"전부 제외","사용"))</f>
        <v/>
      </c>
      <c r="U47" s="18" t="inlineStr"/>
    </row>
    <row r="48" ht="30" customHeight="1">
      <c r="A48" s="18" t="n">
        <v>44</v>
      </c>
      <c r="B48" s="18" t="inlineStr">
        <is>
          <t>냄새꼬</t>
        </is>
      </c>
      <c r="C48" s="18" t="inlineStr">
        <is>
          <t>gloom</t>
        </is>
      </c>
      <c r="D48" s="18" t="inlineStr">
        <is>
          <t>Gloom</t>
        </is>
      </c>
      <c r="E48" s="18" t="n">
        <v>1</v>
      </c>
      <c r="F48" s="18" t="inlineStr">
        <is>
          <t>generation1</t>
        </is>
      </c>
      <c r="G48" s="18" t="inlineStr">
        <is>
          <t>grass</t>
        </is>
      </c>
      <c r="H48" s="18" t="inlineStr">
        <is>
          <t>poison</t>
        </is>
      </c>
      <c r="I48" s="18" t="inlineStr">
        <is>
          <t>예</t>
        </is>
      </c>
      <c r="J48" s="18" t="inlineStr">
        <is>
          <t>예</t>
        </is>
      </c>
      <c r="K48" s="18" t="inlineStr">
        <is>
          <t>예</t>
        </is>
      </c>
      <c r="L48" s="18" t="inlineStr">
        <is>
          <t>Cobblemon 동일</t>
        </is>
      </c>
      <c r="M48" s="18">
        <f>COUNTIF('스폰_편집'!$D$5:$D$3125,A48)</f>
        <v/>
      </c>
      <c r="N48" s="18">
        <f>COUNTIFS('스폰_편집'!$D$5:$D$3125,A48,'스폰_편집'!$B$5:$B$3125,"사용")</f>
        <v/>
      </c>
      <c r="O48" s="18" t="n">
        <v>4</v>
      </c>
      <c r="P48" s="18" t="inlineStr">
        <is>
          <t>#cobblemon:is_jungle; #cobblemon:is_savanna; #cobblemon:is_temperate; #cobblemon:is_tropical_island</t>
        </is>
      </c>
      <c r="Q48" s="18" t="inlineStr">
        <is>
          <t>common</t>
        </is>
      </c>
      <c r="R48" s="18" t="inlineStr">
        <is>
          <t>region_01</t>
        </is>
      </c>
      <c r="S48" s="18" t="inlineStr">
        <is>
          <t>cobbleventure:generation_1</t>
        </is>
      </c>
      <c r="T48" s="18">
        <f>IF(M48=0,"없음",IF(N48=0,"전부 제외","사용"))</f>
        <v/>
      </c>
      <c r="U48" s="18" t="inlineStr"/>
    </row>
    <row r="49" ht="30" customHeight="1">
      <c r="A49" s="18" t="n">
        <v>45</v>
      </c>
      <c r="B49" s="18" t="inlineStr">
        <is>
          <t>라플레시아</t>
        </is>
      </c>
      <c r="C49" s="18" t="inlineStr">
        <is>
          <t>vileplume</t>
        </is>
      </c>
      <c r="D49" s="18" t="inlineStr">
        <is>
          <t>Vileplume</t>
        </is>
      </c>
      <c r="E49" s="18" t="n">
        <v>1</v>
      </c>
      <c r="F49" s="18" t="inlineStr">
        <is>
          <t>generation1</t>
        </is>
      </c>
      <c r="G49" s="18" t="inlineStr">
        <is>
          <t>grass</t>
        </is>
      </c>
      <c r="H49" s="18" t="inlineStr">
        <is>
          <t>poison</t>
        </is>
      </c>
      <c r="I49" s="18" t="inlineStr">
        <is>
          <t>예</t>
        </is>
      </c>
      <c r="J49" s="18" t="inlineStr">
        <is>
          <t>예</t>
        </is>
      </c>
      <c r="K49" s="18" t="inlineStr">
        <is>
          <t>예</t>
        </is>
      </c>
      <c r="L49" s="18" t="inlineStr">
        <is>
          <t>Cobblemon 동일</t>
        </is>
      </c>
      <c r="M49" s="18">
        <f>COUNTIF('스폰_편집'!$D$5:$D$3125,A49)</f>
        <v/>
      </c>
      <c r="N49" s="18">
        <f>COUNTIFS('스폰_편집'!$D$5:$D$3125,A49,'스폰_편집'!$B$5:$B$3125,"사용")</f>
        <v/>
      </c>
      <c r="O49" s="18" t="n">
        <v>4</v>
      </c>
      <c r="P49" s="18" t="inlineStr">
        <is>
          <t>#cobblemon:is_jungle; #cobblemon:is_savanna; #cobblemon:is_temperate; #cobblemon:is_tropical_island</t>
        </is>
      </c>
      <c r="Q49" s="18" t="inlineStr">
        <is>
          <t>common</t>
        </is>
      </c>
      <c r="R49" s="18" t="inlineStr">
        <is>
          <t>region_01</t>
        </is>
      </c>
      <c r="S49" s="18" t="inlineStr">
        <is>
          <t>cobbleventure:generation_1</t>
        </is>
      </c>
      <c r="T49" s="18">
        <f>IF(M49=0,"없음",IF(N49=0,"전부 제외","사용"))</f>
        <v/>
      </c>
      <c r="U49" s="18" t="inlineStr"/>
    </row>
    <row r="50" ht="30" customHeight="1">
      <c r="A50" s="18" t="n">
        <v>46</v>
      </c>
      <c r="B50" s="18" t="inlineStr">
        <is>
          <t>파라스</t>
        </is>
      </c>
      <c r="C50" s="18" t="inlineStr">
        <is>
          <t>paras</t>
        </is>
      </c>
      <c r="D50" s="18" t="inlineStr">
        <is>
          <t>Paras</t>
        </is>
      </c>
      <c r="E50" s="18" t="n">
        <v>1</v>
      </c>
      <c r="F50" s="18" t="inlineStr">
        <is>
          <t>generation1</t>
        </is>
      </c>
      <c r="G50" s="18" t="inlineStr">
        <is>
          <t>bug</t>
        </is>
      </c>
      <c r="H50" s="18" t="inlineStr">
        <is>
          <t>grass</t>
        </is>
      </c>
      <c r="I50" s="18" t="inlineStr">
        <is>
          <t>예</t>
        </is>
      </c>
      <c r="J50" s="18" t="inlineStr">
        <is>
          <t>예</t>
        </is>
      </c>
      <c r="K50" s="18" t="inlineStr">
        <is>
          <t>예</t>
        </is>
      </c>
      <c r="L50" s="18" t="inlineStr">
        <is>
          <t>Cobblemon 동일</t>
        </is>
      </c>
      <c r="M50" s="18">
        <f>COUNTIF('스폰_편집'!$D$5:$D$3125,A50)</f>
        <v/>
      </c>
      <c r="N50" s="18">
        <f>COUNTIFS('스폰_편집'!$D$5:$D$3125,A50,'스폰_편집'!$B$5:$B$3125,"사용")</f>
        <v/>
      </c>
      <c r="O50" s="18" t="n">
        <v>4</v>
      </c>
      <c r="P50" s="18" t="inlineStr">
        <is>
          <t>#cobblemon:is_lush; #cobblemon:is_mushroom; #cobblemon:is_overworld; #cobblemon:nether/is_fungus</t>
        </is>
      </c>
      <c r="Q50" s="18" t="inlineStr">
        <is>
          <t>common; uncommon</t>
        </is>
      </c>
      <c r="R50" s="18" t="inlineStr">
        <is>
          <t>region_01; region_02</t>
        </is>
      </c>
      <c r="S50" s="18" t="inlineStr">
        <is>
          <t>cobbleventure:generation_1</t>
        </is>
      </c>
      <c r="T50" s="18">
        <f>IF(M50=0,"없음",IF(N50=0,"전부 제외","사용"))</f>
        <v/>
      </c>
      <c r="U50" s="18" t="inlineStr"/>
    </row>
    <row r="51" ht="30" customHeight="1">
      <c r="A51" s="18" t="n">
        <v>47</v>
      </c>
      <c r="B51" s="18" t="inlineStr">
        <is>
          <t>파라섹트</t>
        </is>
      </c>
      <c r="C51" s="18" t="inlineStr">
        <is>
          <t>parasect</t>
        </is>
      </c>
      <c r="D51" s="18" t="inlineStr">
        <is>
          <t>Parasect</t>
        </is>
      </c>
      <c r="E51" s="18" t="n">
        <v>1</v>
      </c>
      <c r="F51" s="18" t="inlineStr">
        <is>
          <t>generation1</t>
        </is>
      </c>
      <c r="G51" s="18" t="inlineStr">
        <is>
          <t>bug</t>
        </is>
      </c>
      <c r="H51" s="18" t="inlineStr">
        <is>
          <t>grass</t>
        </is>
      </c>
      <c r="I51" s="18" t="inlineStr">
        <is>
          <t>예</t>
        </is>
      </c>
      <c r="J51" s="18" t="inlineStr">
        <is>
          <t>예</t>
        </is>
      </c>
      <c r="K51" s="18" t="inlineStr">
        <is>
          <t>예</t>
        </is>
      </c>
      <c r="L51" s="18" t="inlineStr">
        <is>
          <t>Cobblemon 동일</t>
        </is>
      </c>
      <c r="M51" s="18">
        <f>COUNTIF('스폰_편집'!$D$5:$D$3125,A51)</f>
        <v/>
      </c>
      <c r="N51" s="18">
        <f>COUNTIFS('스폰_편집'!$D$5:$D$3125,A51,'스폰_편집'!$B$5:$B$3125,"사용")</f>
        <v/>
      </c>
      <c r="O51" s="18" t="n">
        <v>4</v>
      </c>
      <c r="P51" s="18" t="inlineStr">
        <is>
          <t>#cobblemon:is_lush; #cobblemon:is_mushroom; #cobblemon:is_overworld; #cobblemon:nether/is_fungus</t>
        </is>
      </c>
      <c r="Q51" s="18" t="inlineStr">
        <is>
          <t>common; uncommon</t>
        </is>
      </c>
      <c r="R51" s="18" t="inlineStr">
        <is>
          <t>region_01; region_02</t>
        </is>
      </c>
      <c r="S51" s="18" t="inlineStr">
        <is>
          <t>cobbleventure:generation_1</t>
        </is>
      </c>
      <c r="T51" s="18">
        <f>IF(M51=0,"없음",IF(N51=0,"전부 제외","사용"))</f>
        <v/>
      </c>
      <c r="U51" s="18" t="inlineStr"/>
    </row>
    <row r="52" ht="30" customHeight="1">
      <c r="A52" s="18" t="n">
        <v>48</v>
      </c>
      <c r="B52" s="18" t="inlineStr">
        <is>
          <t>콘팡</t>
        </is>
      </c>
      <c r="C52" s="18" t="inlineStr">
        <is>
          <t>venonat</t>
        </is>
      </c>
      <c r="D52" s="18" t="inlineStr">
        <is>
          <t>Venonat</t>
        </is>
      </c>
      <c r="E52" s="18" t="n">
        <v>1</v>
      </c>
      <c r="F52" s="18" t="inlineStr">
        <is>
          <t>generation1</t>
        </is>
      </c>
      <c r="G52" s="18" t="inlineStr">
        <is>
          <t>bug</t>
        </is>
      </c>
      <c r="H52" s="18" t="inlineStr">
        <is>
          <t>poison</t>
        </is>
      </c>
      <c r="I52" s="18" t="inlineStr">
        <is>
          <t>예</t>
        </is>
      </c>
      <c r="J52" s="18" t="inlineStr">
        <is>
          <t>예</t>
        </is>
      </c>
      <c r="K52" s="18" t="inlineStr">
        <is>
          <t>예</t>
        </is>
      </c>
      <c r="L52" s="18" t="inlineStr">
        <is>
          <t>Cobblemon 동일</t>
        </is>
      </c>
      <c r="M52" s="18">
        <f>COUNTIF('스폰_편집'!$D$5:$D$3125,A52)</f>
        <v/>
      </c>
      <c r="N52" s="18">
        <f>COUNTIFS('스폰_편집'!$D$5:$D$3125,A52,'스폰_편집'!$B$5:$B$3125,"사용")</f>
        <v/>
      </c>
      <c r="O52" s="18" t="n">
        <v>2</v>
      </c>
      <c r="P52" s="18" t="inlineStr">
        <is>
          <t>#cobblemon:is_spooky; #cobblemon:is_swamp</t>
        </is>
      </c>
      <c r="Q52" s="18" t="inlineStr">
        <is>
          <t>common</t>
        </is>
      </c>
      <c r="R52" s="18" t="inlineStr">
        <is>
          <t>region_02</t>
        </is>
      </c>
      <c r="S52" s="18" t="inlineStr">
        <is>
          <t>cobbleventure:generation_1</t>
        </is>
      </c>
      <c r="T52" s="18">
        <f>IF(M52=0,"없음",IF(N52=0,"전부 제외","사용"))</f>
        <v/>
      </c>
      <c r="U52" s="18" t="inlineStr"/>
    </row>
    <row r="53" ht="30" customHeight="1">
      <c r="A53" s="18" t="n">
        <v>49</v>
      </c>
      <c r="B53" s="18" t="inlineStr">
        <is>
          <t>도나리</t>
        </is>
      </c>
      <c r="C53" s="18" t="inlineStr">
        <is>
          <t>venomoth</t>
        </is>
      </c>
      <c r="D53" s="18" t="inlineStr">
        <is>
          <t>Venomoth</t>
        </is>
      </c>
      <c r="E53" s="18" t="n">
        <v>1</v>
      </c>
      <c r="F53" s="18" t="inlineStr">
        <is>
          <t>generation1</t>
        </is>
      </c>
      <c r="G53" s="18" t="inlineStr">
        <is>
          <t>bug</t>
        </is>
      </c>
      <c r="H53" s="18" t="inlineStr">
        <is>
          <t>poison</t>
        </is>
      </c>
      <c r="I53" s="18" t="inlineStr">
        <is>
          <t>예</t>
        </is>
      </c>
      <c r="J53" s="18" t="inlineStr">
        <is>
          <t>예</t>
        </is>
      </c>
      <c r="K53" s="18" t="inlineStr">
        <is>
          <t>예</t>
        </is>
      </c>
      <c r="L53" s="18" t="inlineStr">
        <is>
          <t>Cobblemon 동일</t>
        </is>
      </c>
      <c r="M53" s="18">
        <f>COUNTIF('스폰_편집'!$D$5:$D$3125,A53)</f>
        <v/>
      </c>
      <c r="N53" s="18">
        <f>COUNTIFS('스폰_편집'!$D$5:$D$3125,A53,'스폰_편집'!$B$5:$B$3125,"사용")</f>
        <v/>
      </c>
      <c r="O53" s="18" t="n">
        <v>2</v>
      </c>
      <c r="P53" s="18" t="inlineStr">
        <is>
          <t>#cobblemon:is_spooky; #cobblemon:is_swamp</t>
        </is>
      </c>
      <c r="Q53" s="18" t="inlineStr">
        <is>
          <t>common</t>
        </is>
      </c>
      <c r="R53" s="18" t="inlineStr">
        <is>
          <t>region_02</t>
        </is>
      </c>
      <c r="S53" s="18" t="inlineStr">
        <is>
          <t>cobbleventure:generation_1</t>
        </is>
      </c>
      <c r="T53" s="18">
        <f>IF(M53=0,"없음",IF(N53=0,"전부 제외","사용"))</f>
        <v/>
      </c>
      <c r="U53" s="18" t="inlineStr"/>
    </row>
    <row r="54" ht="30" customHeight="1">
      <c r="A54" s="18" t="n">
        <v>50</v>
      </c>
      <c r="B54" s="18" t="inlineStr">
        <is>
          <t>디그다</t>
        </is>
      </c>
      <c r="C54" s="18" t="inlineStr">
        <is>
          <t>diglett</t>
        </is>
      </c>
      <c r="D54" s="18" t="inlineStr">
        <is>
          <t>Diglett</t>
        </is>
      </c>
      <c r="E54" s="18" t="n">
        <v>1</v>
      </c>
      <c r="F54" s="18" t="inlineStr">
        <is>
          <t>generation1</t>
        </is>
      </c>
      <c r="G54" s="18" t="inlineStr">
        <is>
          <t>ground</t>
        </is>
      </c>
      <c r="H54" s="18" t="inlineStr"/>
      <c r="I54" s="18" t="inlineStr">
        <is>
          <t>예</t>
        </is>
      </c>
      <c r="J54" s="18" t="inlineStr">
        <is>
          <t>예</t>
        </is>
      </c>
      <c r="K54" s="18" t="inlineStr">
        <is>
          <t>예</t>
        </is>
      </c>
      <c r="L54" s="18" t="inlineStr">
        <is>
          <t>Cobblemon 동일</t>
        </is>
      </c>
      <c r="M54" s="18">
        <f>COUNTIF('스폰_편집'!$D$5:$D$3125,A54)</f>
        <v/>
      </c>
      <c r="N54" s="18">
        <f>COUNTIFS('스폰_편집'!$D$5:$D$3125,A54,'스폰_편집'!$B$5:$B$3125,"사용")</f>
        <v/>
      </c>
      <c r="O54" s="18" t="n">
        <v>1</v>
      </c>
      <c r="P54" s="18" t="inlineStr">
        <is>
          <t>#cobblemon:is_overworld</t>
        </is>
      </c>
      <c r="Q54" s="18" t="inlineStr">
        <is>
          <t>common</t>
        </is>
      </c>
      <c r="R54" s="18" t="inlineStr">
        <is>
          <t>region_01; region_02</t>
        </is>
      </c>
      <c r="S54" s="18" t="inlineStr">
        <is>
          <t>cobbleventure:generation_1</t>
        </is>
      </c>
      <c r="T54" s="18">
        <f>IF(M54=0,"없음",IF(N54=0,"전부 제외","사용"))</f>
        <v/>
      </c>
      <c r="U54" s="18" t="inlineStr"/>
    </row>
    <row r="55" ht="30" customHeight="1">
      <c r="A55" s="18" t="n">
        <v>51</v>
      </c>
      <c r="B55" s="18" t="inlineStr">
        <is>
          <t>닥트리오</t>
        </is>
      </c>
      <c r="C55" s="18" t="inlineStr">
        <is>
          <t>dugtrio</t>
        </is>
      </c>
      <c r="D55" s="18" t="inlineStr">
        <is>
          <t>Dugtrio</t>
        </is>
      </c>
      <c r="E55" s="18" t="n">
        <v>1</v>
      </c>
      <c r="F55" s="18" t="inlineStr">
        <is>
          <t>generation1</t>
        </is>
      </c>
      <c r="G55" s="18" t="inlineStr">
        <is>
          <t>ground</t>
        </is>
      </c>
      <c r="H55" s="18" t="inlineStr"/>
      <c r="I55" s="18" t="inlineStr">
        <is>
          <t>예</t>
        </is>
      </c>
      <c r="J55" s="18" t="inlineStr">
        <is>
          <t>예</t>
        </is>
      </c>
      <c r="K55" s="18" t="inlineStr">
        <is>
          <t>예</t>
        </is>
      </c>
      <c r="L55" s="18" t="inlineStr">
        <is>
          <t>Cobblemon 동일</t>
        </is>
      </c>
      <c r="M55" s="18">
        <f>COUNTIF('스폰_편집'!$D$5:$D$3125,A55)</f>
        <v/>
      </c>
      <c r="N55" s="18">
        <f>COUNTIFS('스폰_편집'!$D$5:$D$3125,A55,'스폰_편집'!$B$5:$B$3125,"사용")</f>
        <v/>
      </c>
      <c r="O55" s="18" t="n">
        <v>1</v>
      </c>
      <c r="P55" s="18" t="inlineStr">
        <is>
          <t>#cobblemon:is_overworld</t>
        </is>
      </c>
      <c r="Q55" s="18" t="inlineStr">
        <is>
          <t>common</t>
        </is>
      </c>
      <c r="R55" s="18" t="inlineStr">
        <is>
          <t>region_01; region_02</t>
        </is>
      </c>
      <c r="S55" s="18" t="inlineStr">
        <is>
          <t>cobbleventure:generation_1</t>
        </is>
      </c>
      <c r="T55" s="18">
        <f>IF(M55=0,"없음",IF(N55=0,"전부 제외","사용"))</f>
        <v/>
      </c>
      <c r="U55" s="18" t="inlineStr"/>
    </row>
    <row r="56" ht="30" customHeight="1">
      <c r="A56" s="18" t="n">
        <v>52</v>
      </c>
      <c r="B56" s="18" t="inlineStr">
        <is>
          <t>나옹</t>
        </is>
      </c>
      <c r="C56" s="18" t="inlineStr">
        <is>
          <t>meowth</t>
        </is>
      </c>
      <c r="D56" s="18" t="inlineStr">
        <is>
          <t>Meowth</t>
        </is>
      </c>
      <c r="E56" s="18" t="n">
        <v>1</v>
      </c>
      <c r="F56" s="18" t="inlineStr">
        <is>
          <t>generation1</t>
        </is>
      </c>
      <c r="G56" s="18" t="inlineStr">
        <is>
          <t>normal</t>
        </is>
      </c>
      <c r="H56" s="18" t="inlineStr"/>
      <c r="I56" s="18" t="inlineStr">
        <is>
          <t>예</t>
        </is>
      </c>
      <c r="J56" s="18" t="inlineStr">
        <is>
          <t>예</t>
        </is>
      </c>
      <c r="K56" s="18" t="inlineStr">
        <is>
          <t>예</t>
        </is>
      </c>
      <c r="L56" s="18" t="inlineStr">
        <is>
          <t>COBBLEVERSE 수정</t>
        </is>
      </c>
      <c r="M56" s="18">
        <f>COUNTIF('스폰_편집'!$D$5:$D$3125,A56)</f>
        <v/>
      </c>
      <c r="N56" s="18">
        <f>COUNTIFS('스폰_편집'!$D$5:$D$3125,A56,'스폰_편집'!$B$5:$B$3125,"사용")</f>
        <v/>
      </c>
      <c r="O56" s="18" t="n">
        <v>4</v>
      </c>
      <c r="P56" s="18" t="inlineStr">
        <is>
          <t>#cobblemon:is_arid; #cobblemon:is_freezing; #cobblemon:is_overworld; #cobblemon:is_taiga</t>
        </is>
      </c>
      <c r="Q56" s="18" t="inlineStr">
        <is>
          <t>common; uncommon</t>
        </is>
      </c>
      <c r="R56" s="18" t="inlineStr">
        <is>
          <t>region_01; region_02</t>
        </is>
      </c>
      <c r="S56" s="18" t="inlineStr">
        <is>
          <t>cobbleventure:generation_1</t>
        </is>
      </c>
      <c r="T56" s="18">
        <f>IF(M56=0,"없음",IF(N56=0,"전부 제외","사용"))</f>
        <v/>
      </c>
      <c r="U56" s="18" t="inlineStr"/>
    </row>
    <row r="57" ht="30" customHeight="1">
      <c r="A57" s="18" t="n">
        <v>53</v>
      </c>
      <c r="B57" s="18" t="inlineStr">
        <is>
          <t>페르시온</t>
        </is>
      </c>
      <c r="C57" s="18" t="inlineStr">
        <is>
          <t>persian</t>
        </is>
      </c>
      <c r="D57" s="18" t="inlineStr">
        <is>
          <t>Persian</t>
        </is>
      </c>
      <c r="E57" s="18" t="n">
        <v>1</v>
      </c>
      <c r="F57" s="18" t="inlineStr">
        <is>
          <t>generation1</t>
        </is>
      </c>
      <c r="G57" s="18" t="inlineStr">
        <is>
          <t>normal</t>
        </is>
      </c>
      <c r="H57" s="18" t="inlineStr"/>
      <c r="I57" s="18" t="inlineStr">
        <is>
          <t>예</t>
        </is>
      </c>
      <c r="J57" s="18" t="inlineStr">
        <is>
          <t>예</t>
        </is>
      </c>
      <c r="K57" s="18" t="inlineStr">
        <is>
          <t>예</t>
        </is>
      </c>
      <c r="L57" s="18" t="inlineStr">
        <is>
          <t>COBBLEVERSE 수정</t>
        </is>
      </c>
      <c r="M57" s="18">
        <f>COUNTIF('스폰_편집'!$D$5:$D$3125,A57)</f>
        <v/>
      </c>
      <c r="N57" s="18">
        <f>COUNTIFS('스폰_편집'!$D$5:$D$3125,A57,'스폰_편집'!$B$5:$B$3125,"사용")</f>
        <v/>
      </c>
      <c r="O57" s="18" t="n">
        <v>3</v>
      </c>
      <c r="P57" s="18" t="inlineStr">
        <is>
          <t>#cobblemon:is_arid; #cobblemon:is_freezing; #cobblemon:is_overworld</t>
        </is>
      </c>
      <c r="Q57" s="18" t="inlineStr">
        <is>
          <t>common; uncommon</t>
        </is>
      </c>
      <c r="R57" s="18" t="inlineStr">
        <is>
          <t>region_01; region_02</t>
        </is>
      </c>
      <c r="S57" s="18" t="inlineStr">
        <is>
          <t>cobbleventure:generation_1</t>
        </is>
      </c>
      <c r="T57" s="18">
        <f>IF(M57=0,"없음",IF(N57=0,"전부 제외","사용"))</f>
        <v/>
      </c>
      <c r="U57" s="18" t="inlineStr"/>
    </row>
    <row r="58" ht="30" customHeight="1">
      <c r="A58" s="18" t="n">
        <v>54</v>
      </c>
      <c r="B58" s="18" t="inlineStr">
        <is>
          <t>고라파덕</t>
        </is>
      </c>
      <c r="C58" s="18" t="inlineStr">
        <is>
          <t>psyduck</t>
        </is>
      </c>
      <c r="D58" s="18" t="inlineStr">
        <is>
          <t>Psyduck</t>
        </is>
      </c>
      <c r="E58" s="18" t="n">
        <v>1</v>
      </c>
      <c r="F58" s="18" t="inlineStr">
        <is>
          <t>generation1</t>
        </is>
      </c>
      <c r="G58" s="18" t="inlineStr">
        <is>
          <t>water</t>
        </is>
      </c>
      <c r="H58" s="18" t="inlineStr"/>
      <c r="I58" s="18" t="inlineStr">
        <is>
          <t>예</t>
        </is>
      </c>
      <c r="J58" s="18" t="inlineStr">
        <is>
          <t>예</t>
        </is>
      </c>
      <c r="K58" s="18" t="inlineStr">
        <is>
          <t>예</t>
        </is>
      </c>
      <c r="L58" s="18" t="inlineStr">
        <is>
          <t>COBBLEVERSE 수정</t>
        </is>
      </c>
      <c r="M58" s="18">
        <f>COUNTIF('스폰_편집'!$D$5:$D$3125,A58)</f>
        <v/>
      </c>
      <c r="N58" s="18">
        <f>COUNTIFS('스폰_편집'!$D$5:$D$3125,A58,'스폰_편집'!$B$5:$B$3125,"사용")</f>
        <v/>
      </c>
      <c r="O58" s="18" t="n">
        <v>6</v>
      </c>
      <c r="P58" s="18" t="inlineStr">
        <is>
          <t>#cobblemon:is_forest; #cobblemon:is_freshwater; #cobblemon:is_grassland; #cobblemon:is_magical; #cobblemon:is_swamp; #cobblemon:is_tropical_island</t>
        </is>
      </c>
      <c r="Q58" s="18" t="inlineStr">
        <is>
          <t>common</t>
        </is>
      </c>
      <c r="R58" s="18" t="inlineStr">
        <is>
          <t>region_01; region_02</t>
        </is>
      </c>
      <c r="S58" s="18" t="inlineStr">
        <is>
          <t>cobbleventure:generation_1</t>
        </is>
      </c>
      <c r="T58" s="18">
        <f>IF(M58=0,"없음",IF(N58=0,"전부 제외","사용"))</f>
        <v/>
      </c>
      <c r="U58" s="18" t="inlineStr"/>
    </row>
    <row r="59" ht="30" customHeight="1">
      <c r="A59" s="18" t="n">
        <v>55</v>
      </c>
      <c r="B59" s="18" t="inlineStr">
        <is>
          <t>골덕</t>
        </is>
      </c>
      <c r="C59" s="18" t="inlineStr">
        <is>
          <t>golduck</t>
        </is>
      </c>
      <c r="D59" s="18" t="inlineStr">
        <is>
          <t>Golduck</t>
        </is>
      </c>
      <c r="E59" s="18" t="n">
        <v>1</v>
      </c>
      <c r="F59" s="18" t="inlineStr">
        <is>
          <t>generation1</t>
        </is>
      </c>
      <c r="G59" s="18" t="inlineStr">
        <is>
          <t>water</t>
        </is>
      </c>
      <c r="H59" s="18" t="inlineStr"/>
      <c r="I59" s="18" t="inlineStr">
        <is>
          <t>예</t>
        </is>
      </c>
      <c r="J59" s="18" t="inlineStr">
        <is>
          <t>예</t>
        </is>
      </c>
      <c r="K59" s="18" t="inlineStr">
        <is>
          <t>예</t>
        </is>
      </c>
      <c r="L59" s="18" t="inlineStr">
        <is>
          <t>COBBLEVERSE 수정</t>
        </is>
      </c>
      <c r="M59" s="18">
        <f>COUNTIF('스폰_편집'!$D$5:$D$3125,A59)</f>
        <v/>
      </c>
      <c r="N59" s="18">
        <f>COUNTIFS('스폰_편집'!$D$5:$D$3125,A59,'스폰_편집'!$B$5:$B$3125,"사용")</f>
        <v/>
      </c>
      <c r="O59" s="18" t="n">
        <v>6</v>
      </c>
      <c r="P59" s="18" t="inlineStr">
        <is>
          <t>#cobblemon:is_forest; #cobblemon:is_freshwater; #cobblemon:is_grassland; #cobblemon:is_magical; #cobblemon:is_swamp; #cobblemon:is_tropical_island</t>
        </is>
      </c>
      <c r="Q59" s="18" t="inlineStr">
        <is>
          <t>common</t>
        </is>
      </c>
      <c r="R59" s="18" t="inlineStr">
        <is>
          <t>region_01; region_02</t>
        </is>
      </c>
      <c r="S59" s="18" t="inlineStr">
        <is>
          <t>cobbleventure:generation_1</t>
        </is>
      </c>
      <c r="T59" s="18">
        <f>IF(M59=0,"없음",IF(N59=0,"전부 제외","사용"))</f>
        <v/>
      </c>
      <c r="U59" s="18" t="inlineStr"/>
    </row>
    <row r="60" ht="30" customHeight="1">
      <c r="A60" s="18" t="n">
        <v>56</v>
      </c>
      <c r="B60" s="18" t="inlineStr">
        <is>
          <t>망키</t>
        </is>
      </c>
      <c r="C60" s="18" t="inlineStr">
        <is>
          <t>mankey</t>
        </is>
      </c>
      <c r="D60" s="18" t="inlineStr">
        <is>
          <t>Mankey</t>
        </is>
      </c>
      <c r="E60" s="18" t="n">
        <v>1</v>
      </c>
      <c r="F60" s="18" t="inlineStr">
        <is>
          <t>generation1</t>
        </is>
      </c>
      <c r="G60" s="18" t="inlineStr">
        <is>
          <t>fighting</t>
        </is>
      </c>
      <c r="H60" s="18" t="inlineStr"/>
      <c r="I60" s="18" t="inlineStr">
        <is>
          <t>예</t>
        </is>
      </c>
      <c r="J60" s="18" t="inlineStr">
        <is>
          <t>예</t>
        </is>
      </c>
      <c r="K60" s="18" t="inlineStr">
        <is>
          <t>예</t>
        </is>
      </c>
      <c r="L60" s="18" t="inlineStr">
        <is>
          <t>Cobblemon 동일</t>
        </is>
      </c>
      <c r="M60" s="18">
        <f>COUNTIF('스폰_편집'!$D$5:$D$3125,A60)</f>
        <v/>
      </c>
      <c r="N60" s="18">
        <f>COUNTIFS('스폰_편집'!$D$5:$D$3125,A60,'스폰_편집'!$B$5:$B$3125,"사용")</f>
        <v/>
      </c>
      <c r="O60" s="18" t="n">
        <v>2</v>
      </c>
      <c r="P60" s="18" t="inlineStr">
        <is>
          <t>#cobblemon:is_hills; #cobblemon:is_jungle</t>
        </is>
      </c>
      <c r="Q60" s="18" t="inlineStr">
        <is>
          <t>common</t>
        </is>
      </c>
      <c r="R60" s="18" t="inlineStr"/>
      <c r="S60" s="18" t="inlineStr">
        <is>
          <t>cobbleventure:generation_1</t>
        </is>
      </c>
      <c r="T60" s="18">
        <f>IF(M60=0,"없음",IF(N60=0,"전부 제외","사용"))</f>
        <v/>
      </c>
      <c r="U60" s="18" t="inlineStr"/>
    </row>
    <row r="61" ht="30" customHeight="1">
      <c r="A61" s="18" t="n">
        <v>57</v>
      </c>
      <c r="B61" s="18" t="inlineStr">
        <is>
          <t>성원숭</t>
        </is>
      </c>
      <c r="C61" s="18" t="inlineStr">
        <is>
          <t>primeape</t>
        </is>
      </c>
      <c r="D61" s="18" t="inlineStr">
        <is>
          <t>Primeape</t>
        </is>
      </c>
      <c r="E61" s="18" t="n">
        <v>1</v>
      </c>
      <c r="F61" s="18" t="inlineStr">
        <is>
          <t>generation1</t>
        </is>
      </c>
      <c r="G61" s="18" t="inlineStr">
        <is>
          <t>fighting</t>
        </is>
      </c>
      <c r="H61" s="18" t="inlineStr"/>
      <c r="I61" s="18" t="inlineStr">
        <is>
          <t>예</t>
        </is>
      </c>
      <c r="J61" s="18" t="inlineStr">
        <is>
          <t>예</t>
        </is>
      </c>
      <c r="K61" s="18" t="inlineStr">
        <is>
          <t>예</t>
        </is>
      </c>
      <c r="L61" s="18" t="inlineStr">
        <is>
          <t>Cobblemon 동일</t>
        </is>
      </c>
      <c r="M61" s="18">
        <f>COUNTIF('스폰_편집'!$D$5:$D$3125,A61)</f>
        <v/>
      </c>
      <c r="N61" s="18">
        <f>COUNTIFS('스폰_편집'!$D$5:$D$3125,A61,'스폰_편집'!$B$5:$B$3125,"사용")</f>
        <v/>
      </c>
      <c r="O61" s="18" t="n">
        <v>2</v>
      </c>
      <c r="P61" s="18" t="inlineStr">
        <is>
          <t>#cobblemon:is_hills; #cobblemon:is_jungle</t>
        </is>
      </c>
      <c r="Q61" s="18" t="inlineStr">
        <is>
          <t>common</t>
        </is>
      </c>
      <c r="R61" s="18" t="inlineStr"/>
      <c r="S61" s="18" t="inlineStr">
        <is>
          <t>cobbleventure:generation_1</t>
        </is>
      </c>
      <c r="T61" s="18">
        <f>IF(M61=0,"없음",IF(N61=0,"전부 제외","사용"))</f>
        <v/>
      </c>
      <c r="U61" s="18" t="inlineStr"/>
    </row>
    <row r="62" ht="30" customHeight="1">
      <c r="A62" s="18" t="n">
        <v>58</v>
      </c>
      <c r="B62" s="18" t="inlineStr">
        <is>
          <t>가디</t>
        </is>
      </c>
      <c r="C62" s="18" t="inlineStr">
        <is>
          <t>growlithe</t>
        </is>
      </c>
      <c r="D62" s="18" t="inlineStr">
        <is>
          <t>Growlithe</t>
        </is>
      </c>
      <c r="E62" s="18" t="n">
        <v>1</v>
      </c>
      <c r="F62" s="18" t="inlineStr">
        <is>
          <t>generation1</t>
        </is>
      </c>
      <c r="G62" s="18" t="inlineStr">
        <is>
          <t>fire</t>
        </is>
      </c>
      <c r="H62" s="18" t="inlineStr"/>
      <c r="I62" s="18" t="inlineStr">
        <is>
          <t>예</t>
        </is>
      </c>
      <c r="J62" s="18" t="inlineStr">
        <is>
          <t>예</t>
        </is>
      </c>
      <c r="K62" s="18" t="inlineStr">
        <is>
          <t>예</t>
        </is>
      </c>
      <c r="L62" s="18" t="inlineStr">
        <is>
          <t>COBBLEVERSE 수정</t>
        </is>
      </c>
      <c r="M62" s="18">
        <f>COUNTIF('스폰_편집'!$D$5:$D$3125,A62)</f>
        <v/>
      </c>
      <c r="N62" s="18">
        <f>COUNTIFS('스폰_편집'!$D$5:$D$3125,A62,'스폰_편집'!$B$5:$B$3125,"사용")</f>
        <v/>
      </c>
      <c r="O62" s="18" t="n">
        <v>2</v>
      </c>
      <c r="P62" s="18" t="inlineStr">
        <is>
          <t>#cobblemon:is_overworld; #cobblemon:is_peak</t>
        </is>
      </c>
      <c r="Q62" s="18" t="inlineStr">
        <is>
          <t>uncommon</t>
        </is>
      </c>
      <c r="R62" s="18" t="inlineStr">
        <is>
          <t>region_01</t>
        </is>
      </c>
      <c r="S62" s="18" t="inlineStr">
        <is>
          <t>cobbleventure:generation_1</t>
        </is>
      </c>
      <c r="T62" s="18">
        <f>IF(M62=0,"없음",IF(N62=0,"전부 제외","사용"))</f>
        <v/>
      </c>
      <c r="U62" s="18" t="inlineStr"/>
    </row>
    <row r="63" ht="30" customHeight="1">
      <c r="A63" s="18" t="n">
        <v>59</v>
      </c>
      <c r="B63" s="18" t="inlineStr">
        <is>
          <t>윈디</t>
        </is>
      </c>
      <c r="C63" s="18" t="inlineStr">
        <is>
          <t>arcanine</t>
        </is>
      </c>
      <c r="D63" s="18" t="inlineStr">
        <is>
          <t>Arcanine</t>
        </is>
      </c>
      <c r="E63" s="18" t="n">
        <v>1</v>
      </c>
      <c r="F63" s="18" t="inlineStr">
        <is>
          <t>generation1</t>
        </is>
      </c>
      <c r="G63" s="18" t="inlineStr">
        <is>
          <t>fire</t>
        </is>
      </c>
      <c r="H63" s="18" t="inlineStr"/>
      <c r="I63" s="18" t="inlineStr">
        <is>
          <t>예</t>
        </is>
      </c>
      <c r="J63" s="18" t="inlineStr">
        <is>
          <t>예</t>
        </is>
      </c>
      <c r="K63" s="18" t="inlineStr">
        <is>
          <t>예</t>
        </is>
      </c>
      <c r="L63" s="18" t="inlineStr">
        <is>
          <t>COBBLEVERSE 수정</t>
        </is>
      </c>
      <c r="M63" s="18">
        <f>COUNTIF('스폰_편집'!$D$5:$D$3125,A63)</f>
        <v/>
      </c>
      <c r="N63" s="18">
        <f>COUNTIFS('스폰_편집'!$D$5:$D$3125,A63,'스폰_편집'!$B$5:$B$3125,"사용")</f>
        <v/>
      </c>
      <c r="O63" s="18" t="n">
        <v>3</v>
      </c>
      <c r="P63" s="18" t="inlineStr">
        <is>
          <t>#cobblemon:is_overworld; #cobblemon:is_peak; #cobblemon:nether/is_basalt</t>
        </is>
      </c>
      <c r="Q63" s="18" t="inlineStr">
        <is>
          <t>rare; uncommon</t>
        </is>
      </c>
      <c r="R63" s="18" t="inlineStr">
        <is>
          <t>region_01</t>
        </is>
      </c>
      <c r="S63" s="18" t="inlineStr">
        <is>
          <t>cobbleventure:generation_1</t>
        </is>
      </c>
      <c r="T63" s="18">
        <f>IF(M63=0,"없음",IF(N63=0,"전부 제외","사용"))</f>
        <v/>
      </c>
      <c r="U63" s="18" t="inlineStr"/>
    </row>
    <row r="64" ht="30" customHeight="1">
      <c r="A64" s="18" t="n">
        <v>60</v>
      </c>
      <c r="B64" s="18" t="inlineStr">
        <is>
          <t>발챙이</t>
        </is>
      </c>
      <c r="C64" s="18" t="inlineStr">
        <is>
          <t>poliwag</t>
        </is>
      </c>
      <c r="D64" s="18" t="inlineStr">
        <is>
          <t>Poliwag</t>
        </is>
      </c>
      <c r="E64" s="18" t="n">
        <v>1</v>
      </c>
      <c r="F64" s="18" t="inlineStr">
        <is>
          <t>generation1</t>
        </is>
      </c>
      <c r="G64" s="18" t="inlineStr">
        <is>
          <t>water</t>
        </is>
      </c>
      <c r="H64" s="18" t="inlineStr"/>
      <c r="I64" s="18" t="inlineStr">
        <is>
          <t>예</t>
        </is>
      </c>
      <c r="J64" s="18" t="inlineStr">
        <is>
          <t>예</t>
        </is>
      </c>
      <c r="K64" s="18" t="inlineStr">
        <is>
          <t>예</t>
        </is>
      </c>
      <c r="L64" s="18" t="inlineStr">
        <is>
          <t>Cobblemon 동일</t>
        </is>
      </c>
      <c r="M64" s="18">
        <f>COUNTIF('스폰_편집'!$D$5:$D$3125,A64)</f>
        <v/>
      </c>
      <c r="N64" s="18">
        <f>COUNTIFS('스폰_편집'!$D$5:$D$3125,A64,'스폰_편집'!$B$5:$B$3125,"사용")</f>
        <v/>
      </c>
      <c r="O64" s="18" t="n">
        <v>9</v>
      </c>
      <c r="P64" s="18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64" s="18" t="inlineStr">
        <is>
          <t>common</t>
        </is>
      </c>
      <c r="R64" s="18" t="inlineStr">
        <is>
          <t>region_01; region_02</t>
        </is>
      </c>
      <c r="S64" s="18" t="inlineStr">
        <is>
          <t>cobbleventure:generation_1</t>
        </is>
      </c>
      <c r="T64" s="18">
        <f>IF(M64=0,"없음",IF(N64=0,"전부 제외","사용"))</f>
        <v/>
      </c>
      <c r="U64" s="18" t="inlineStr"/>
    </row>
    <row r="65" ht="30" customHeight="1">
      <c r="A65" s="18" t="n">
        <v>61</v>
      </c>
      <c r="B65" s="18" t="inlineStr">
        <is>
          <t>슈륙챙이</t>
        </is>
      </c>
      <c r="C65" s="18" t="inlineStr">
        <is>
          <t>poliwhirl</t>
        </is>
      </c>
      <c r="D65" s="18" t="inlineStr">
        <is>
          <t>Poliwhirl</t>
        </is>
      </c>
      <c r="E65" s="18" t="n">
        <v>1</v>
      </c>
      <c r="F65" s="18" t="inlineStr">
        <is>
          <t>generation1</t>
        </is>
      </c>
      <c r="G65" s="18" t="inlineStr">
        <is>
          <t>water</t>
        </is>
      </c>
      <c r="H65" s="18" t="inlineStr"/>
      <c r="I65" s="18" t="inlineStr">
        <is>
          <t>예</t>
        </is>
      </c>
      <c r="J65" s="18" t="inlineStr">
        <is>
          <t>예</t>
        </is>
      </c>
      <c r="K65" s="18" t="inlineStr">
        <is>
          <t>예</t>
        </is>
      </c>
      <c r="L65" s="18" t="inlineStr">
        <is>
          <t>Cobblemon 동일</t>
        </is>
      </c>
      <c r="M65" s="18">
        <f>COUNTIF('스폰_편집'!$D$5:$D$3125,A65)</f>
        <v/>
      </c>
      <c r="N65" s="18">
        <f>COUNTIFS('스폰_편집'!$D$5:$D$3125,A65,'스폰_편집'!$B$5:$B$3125,"사용")</f>
        <v/>
      </c>
      <c r="O65" s="18" t="n">
        <v>9</v>
      </c>
      <c r="P65" s="18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65" s="18" t="inlineStr">
        <is>
          <t>common</t>
        </is>
      </c>
      <c r="R65" s="18" t="inlineStr">
        <is>
          <t>region_01; region_02</t>
        </is>
      </c>
      <c r="S65" s="18" t="inlineStr">
        <is>
          <t>cobbleventure:generation_1</t>
        </is>
      </c>
      <c r="T65" s="18">
        <f>IF(M65=0,"없음",IF(N65=0,"전부 제외","사용"))</f>
        <v/>
      </c>
      <c r="U65" s="18" t="inlineStr"/>
    </row>
    <row r="66" ht="30" customHeight="1">
      <c r="A66" s="18" t="n">
        <v>62</v>
      </c>
      <c r="B66" s="18" t="inlineStr">
        <is>
          <t>강챙이</t>
        </is>
      </c>
      <c r="C66" s="18" t="inlineStr">
        <is>
          <t>poliwrath</t>
        </is>
      </c>
      <c r="D66" s="18" t="inlineStr">
        <is>
          <t>Poliwrath</t>
        </is>
      </c>
      <c r="E66" s="18" t="n">
        <v>1</v>
      </c>
      <c r="F66" s="18" t="inlineStr">
        <is>
          <t>generation1</t>
        </is>
      </c>
      <c r="G66" s="18" t="inlineStr">
        <is>
          <t>water</t>
        </is>
      </c>
      <c r="H66" s="18" t="inlineStr">
        <is>
          <t>fighting</t>
        </is>
      </c>
      <c r="I66" s="18" t="inlineStr">
        <is>
          <t>예</t>
        </is>
      </c>
      <c r="J66" s="18" t="inlineStr">
        <is>
          <t>예</t>
        </is>
      </c>
      <c r="K66" s="18" t="inlineStr">
        <is>
          <t>예</t>
        </is>
      </c>
      <c r="L66" s="18" t="inlineStr">
        <is>
          <t>Cobblemon 동일</t>
        </is>
      </c>
      <c r="M66" s="18">
        <f>COUNTIF('스폰_편집'!$D$5:$D$3125,A66)</f>
        <v/>
      </c>
      <c r="N66" s="18">
        <f>COUNTIFS('스폰_편집'!$D$5:$D$3125,A66,'스폰_편집'!$B$5:$B$3125,"사용")</f>
        <v/>
      </c>
      <c r="O66" s="18" t="n">
        <v>9</v>
      </c>
      <c r="P66" s="18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66" s="18" t="inlineStr">
        <is>
          <t>common</t>
        </is>
      </c>
      <c r="R66" s="18" t="inlineStr">
        <is>
          <t>region_01; region_02</t>
        </is>
      </c>
      <c r="S66" s="18" t="inlineStr">
        <is>
          <t>cobbleventure:generation_1</t>
        </is>
      </c>
      <c r="T66" s="18">
        <f>IF(M66=0,"없음",IF(N66=0,"전부 제외","사용"))</f>
        <v/>
      </c>
      <c r="U66" s="18" t="inlineStr"/>
    </row>
    <row r="67" ht="30" customHeight="1">
      <c r="A67" s="18" t="n">
        <v>63</v>
      </c>
      <c r="B67" s="18" t="inlineStr">
        <is>
          <t>캐이시</t>
        </is>
      </c>
      <c r="C67" s="18" t="inlineStr">
        <is>
          <t>abra</t>
        </is>
      </c>
      <c r="D67" s="18" t="inlineStr">
        <is>
          <t>Abra</t>
        </is>
      </c>
      <c r="E67" s="18" t="n">
        <v>1</v>
      </c>
      <c r="F67" s="18" t="inlineStr">
        <is>
          <t>generation1</t>
        </is>
      </c>
      <c r="G67" s="18" t="inlineStr">
        <is>
          <t>psychic</t>
        </is>
      </c>
      <c r="H67" s="18" t="inlineStr"/>
      <c r="I67" s="18" t="inlineStr">
        <is>
          <t>예</t>
        </is>
      </c>
      <c r="J67" s="18" t="inlineStr">
        <is>
          <t>예</t>
        </is>
      </c>
      <c r="K67" s="18" t="inlineStr">
        <is>
          <t>예</t>
        </is>
      </c>
      <c r="L67" s="18" t="inlineStr">
        <is>
          <t>Cobblemon 동일</t>
        </is>
      </c>
      <c r="M67" s="18">
        <f>COUNTIF('스폰_편집'!$D$5:$D$3125,A67)</f>
        <v/>
      </c>
      <c r="N67" s="18">
        <f>COUNTIFS('스폰_편집'!$D$5:$D$3125,A67,'스폰_편집'!$B$5:$B$3125,"사용")</f>
        <v/>
      </c>
      <c r="O67" s="18" t="n">
        <v>4</v>
      </c>
      <c r="P67" s="18" t="inlineStr">
        <is>
          <t>#cobblemon:is_hills; #cobblemon:is_magical; #cobblemon:is_overworld; #cobblemon:is_temperate</t>
        </is>
      </c>
      <c r="Q67" s="18" t="inlineStr">
        <is>
          <t>common; rare; uncommon</t>
        </is>
      </c>
      <c r="R67" s="18" t="inlineStr">
        <is>
          <t>region_01; region_02</t>
        </is>
      </c>
      <c r="S67" s="18" t="inlineStr">
        <is>
          <t>cobbleventure:generation_1</t>
        </is>
      </c>
      <c r="T67" s="18">
        <f>IF(M67=0,"없음",IF(N67=0,"전부 제외","사용"))</f>
        <v/>
      </c>
      <c r="U67" s="18" t="inlineStr"/>
    </row>
    <row r="68" ht="30" customHeight="1">
      <c r="A68" s="18" t="n">
        <v>64</v>
      </c>
      <c r="B68" s="18" t="inlineStr">
        <is>
          <t>윤겔라</t>
        </is>
      </c>
      <c r="C68" s="18" t="inlineStr">
        <is>
          <t>kadabra</t>
        </is>
      </c>
      <c r="D68" s="18" t="inlineStr">
        <is>
          <t>Kadabra</t>
        </is>
      </c>
      <c r="E68" s="18" t="n">
        <v>1</v>
      </c>
      <c r="F68" s="18" t="inlineStr">
        <is>
          <t>generation1</t>
        </is>
      </c>
      <c r="G68" s="18" t="inlineStr">
        <is>
          <t>psychic</t>
        </is>
      </c>
      <c r="H68" s="18" t="inlineStr"/>
      <c r="I68" s="18" t="inlineStr">
        <is>
          <t>예</t>
        </is>
      </c>
      <c r="J68" s="18" t="inlineStr">
        <is>
          <t>예</t>
        </is>
      </c>
      <c r="K68" s="18" t="inlineStr">
        <is>
          <t>예</t>
        </is>
      </c>
      <c r="L68" s="18" t="inlineStr">
        <is>
          <t>Cobblemon 동일</t>
        </is>
      </c>
      <c r="M68" s="18">
        <f>COUNTIF('스폰_편집'!$D$5:$D$3125,A68)</f>
        <v/>
      </c>
      <c r="N68" s="18">
        <f>COUNTIFS('스폰_편집'!$D$5:$D$3125,A68,'스폰_편집'!$B$5:$B$3125,"사용")</f>
        <v/>
      </c>
      <c r="O68" s="18" t="n">
        <v>4</v>
      </c>
      <c r="P68" s="18" t="inlineStr">
        <is>
          <t>#cobblemon:is_hills; #cobblemon:is_magical; #cobblemon:is_overworld; #cobblemon:is_temperate</t>
        </is>
      </c>
      <c r="Q68" s="18" t="inlineStr">
        <is>
          <t>common; rare; uncommon</t>
        </is>
      </c>
      <c r="R68" s="18" t="inlineStr">
        <is>
          <t>region_01; region_02</t>
        </is>
      </c>
      <c r="S68" s="18" t="inlineStr">
        <is>
          <t>cobbleventure:generation_1</t>
        </is>
      </c>
      <c r="T68" s="18">
        <f>IF(M68=0,"없음",IF(N68=0,"전부 제외","사용"))</f>
        <v/>
      </c>
      <c r="U68" s="18" t="inlineStr"/>
    </row>
    <row r="69" ht="30" customHeight="1">
      <c r="A69" s="18" t="n">
        <v>65</v>
      </c>
      <c r="B69" s="18" t="inlineStr">
        <is>
          <t>후딘</t>
        </is>
      </c>
      <c r="C69" s="18" t="inlineStr">
        <is>
          <t>alakazam</t>
        </is>
      </c>
      <c r="D69" s="18" t="inlineStr">
        <is>
          <t>Alakazam</t>
        </is>
      </c>
      <c r="E69" s="18" t="n">
        <v>1</v>
      </c>
      <c r="F69" s="18" t="inlineStr">
        <is>
          <t>generation1</t>
        </is>
      </c>
      <c r="G69" s="18" t="inlineStr">
        <is>
          <t>psychic</t>
        </is>
      </c>
      <c r="H69" s="18" t="inlineStr"/>
      <c r="I69" s="18" t="inlineStr">
        <is>
          <t>예</t>
        </is>
      </c>
      <c r="J69" s="18" t="inlineStr">
        <is>
          <t>예</t>
        </is>
      </c>
      <c r="K69" s="18" t="inlineStr">
        <is>
          <t>예</t>
        </is>
      </c>
      <c r="L69" s="18" t="inlineStr">
        <is>
          <t>Cobblemon 동일</t>
        </is>
      </c>
      <c r="M69" s="18">
        <f>COUNTIF('스폰_편집'!$D$5:$D$3125,A69)</f>
        <v/>
      </c>
      <c r="N69" s="18">
        <f>COUNTIFS('스폰_편집'!$D$5:$D$3125,A69,'스폰_편집'!$B$5:$B$3125,"사용")</f>
        <v/>
      </c>
      <c r="O69" s="18" t="n">
        <v>4</v>
      </c>
      <c r="P69" s="18" t="inlineStr">
        <is>
          <t>#cobblemon:is_hills; #cobblemon:is_magical; #cobblemon:is_overworld; #cobblemon:is_temperate</t>
        </is>
      </c>
      <c r="Q69" s="18" t="inlineStr">
        <is>
          <t>common; rare; uncommon</t>
        </is>
      </c>
      <c r="R69" s="18" t="inlineStr">
        <is>
          <t>region_01; region_02</t>
        </is>
      </c>
      <c r="S69" s="18" t="inlineStr">
        <is>
          <t>cobbleventure:generation_1</t>
        </is>
      </c>
      <c r="T69" s="18">
        <f>IF(M69=0,"없음",IF(N69=0,"전부 제외","사용"))</f>
        <v/>
      </c>
      <c r="U69" s="18" t="inlineStr"/>
    </row>
    <row r="70" ht="30" customHeight="1">
      <c r="A70" s="18" t="n">
        <v>66</v>
      </c>
      <c r="B70" s="18" t="inlineStr">
        <is>
          <t>알통몬</t>
        </is>
      </c>
      <c r="C70" s="18" t="inlineStr">
        <is>
          <t>machop</t>
        </is>
      </c>
      <c r="D70" s="18" t="inlineStr">
        <is>
          <t>Machop</t>
        </is>
      </c>
      <c r="E70" s="18" t="n">
        <v>1</v>
      </c>
      <c r="F70" s="18" t="inlineStr">
        <is>
          <t>generation1</t>
        </is>
      </c>
      <c r="G70" s="18" t="inlineStr">
        <is>
          <t>fighting</t>
        </is>
      </c>
      <c r="H70" s="18" t="inlineStr"/>
      <c r="I70" s="18" t="inlineStr">
        <is>
          <t>예</t>
        </is>
      </c>
      <c r="J70" s="18" t="inlineStr">
        <is>
          <t>예</t>
        </is>
      </c>
      <c r="K70" s="18" t="inlineStr">
        <is>
          <t>예</t>
        </is>
      </c>
      <c r="L70" s="18" t="inlineStr">
        <is>
          <t>Cobblemon 동일</t>
        </is>
      </c>
      <c r="M70" s="18">
        <f>COUNTIF('스폰_편집'!$D$5:$D$3125,A70)</f>
        <v/>
      </c>
      <c r="N70" s="18">
        <f>COUNTIFS('스폰_편집'!$D$5:$D$3125,A70,'스폰_편집'!$B$5:$B$3125,"사용")</f>
        <v/>
      </c>
      <c r="O70" s="18" t="n">
        <v>1</v>
      </c>
      <c r="P70" s="18" t="inlineStr">
        <is>
          <t>#cobblemon:is_hills</t>
        </is>
      </c>
      <c r="Q70" s="18" t="inlineStr">
        <is>
          <t>common</t>
        </is>
      </c>
      <c r="R70" s="18" t="inlineStr"/>
      <c r="S70" s="18" t="inlineStr">
        <is>
          <t>cobbleventure:generation_1</t>
        </is>
      </c>
      <c r="T70" s="18">
        <f>IF(M70=0,"없음",IF(N70=0,"전부 제외","사용"))</f>
        <v/>
      </c>
      <c r="U70" s="18" t="inlineStr"/>
    </row>
    <row r="71" ht="30" customHeight="1">
      <c r="A71" s="18" t="n">
        <v>67</v>
      </c>
      <c r="B71" s="18" t="inlineStr">
        <is>
          <t>근육몬</t>
        </is>
      </c>
      <c r="C71" s="18" t="inlineStr">
        <is>
          <t>machoke</t>
        </is>
      </c>
      <c r="D71" s="18" t="inlineStr">
        <is>
          <t>Machoke</t>
        </is>
      </c>
      <c r="E71" s="18" t="n">
        <v>1</v>
      </c>
      <c r="F71" s="18" t="inlineStr">
        <is>
          <t>generation1</t>
        </is>
      </c>
      <c r="G71" s="18" t="inlineStr">
        <is>
          <t>fighting</t>
        </is>
      </c>
      <c r="H71" s="18" t="inlineStr"/>
      <c r="I71" s="18" t="inlineStr">
        <is>
          <t>예</t>
        </is>
      </c>
      <c r="J71" s="18" t="inlineStr">
        <is>
          <t>예</t>
        </is>
      </c>
      <c r="K71" s="18" t="inlineStr">
        <is>
          <t>예</t>
        </is>
      </c>
      <c r="L71" s="18" t="inlineStr">
        <is>
          <t>Cobblemon 동일</t>
        </is>
      </c>
      <c r="M71" s="18">
        <f>COUNTIF('스폰_편집'!$D$5:$D$3125,A71)</f>
        <v/>
      </c>
      <c r="N71" s="18">
        <f>COUNTIFS('스폰_편집'!$D$5:$D$3125,A71,'스폰_편집'!$B$5:$B$3125,"사용")</f>
        <v/>
      </c>
      <c r="O71" s="18" t="n">
        <v>1</v>
      </c>
      <c r="P71" s="18" t="inlineStr">
        <is>
          <t>#cobblemon:is_hills</t>
        </is>
      </c>
      <c r="Q71" s="18" t="inlineStr">
        <is>
          <t>common</t>
        </is>
      </c>
      <c r="R71" s="18" t="inlineStr"/>
      <c r="S71" s="18" t="inlineStr">
        <is>
          <t>cobbleventure:generation_1</t>
        </is>
      </c>
      <c r="T71" s="18">
        <f>IF(M71=0,"없음",IF(N71=0,"전부 제외","사용"))</f>
        <v/>
      </c>
      <c r="U71" s="18" t="inlineStr"/>
    </row>
    <row r="72" ht="30" customHeight="1">
      <c r="A72" s="18" t="n">
        <v>68</v>
      </c>
      <c r="B72" s="18" t="inlineStr">
        <is>
          <t>괴력몬</t>
        </is>
      </c>
      <c r="C72" s="18" t="inlineStr">
        <is>
          <t>machamp</t>
        </is>
      </c>
      <c r="D72" s="18" t="inlineStr">
        <is>
          <t>Machamp</t>
        </is>
      </c>
      <c r="E72" s="18" t="n">
        <v>1</v>
      </c>
      <c r="F72" s="18" t="inlineStr">
        <is>
          <t>generation1</t>
        </is>
      </c>
      <c r="G72" s="18" t="inlineStr">
        <is>
          <t>fighting</t>
        </is>
      </c>
      <c r="H72" s="18" t="inlineStr"/>
      <c r="I72" s="18" t="inlineStr">
        <is>
          <t>예</t>
        </is>
      </c>
      <c r="J72" s="18" t="inlineStr">
        <is>
          <t>예</t>
        </is>
      </c>
      <c r="K72" s="18" t="inlineStr">
        <is>
          <t>예</t>
        </is>
      </c>
      <c r="L72" s="18" t="inlineStr">
        <is>
          <t>Cobblemon 동일</t>
        </is>
      </c>
      <c r="M72" s="18">
        <f>COUNTIF('스폰_편집'!$D$5:$D$3125,A72)</f>
        <v/>
      </c>
      <c r="N72" s="18">
        <f>COUNTIFS('스폰_편집'!$D$5:$D$3125,A72,'스폰_편집'!$B$5:$B$3125,"사용")</f>
        <v/>
      </c>
      <c r="O72" s="18" t="n">
        <v>1</v>
      </c>
      <c r="P72" s="18" t="inlineStr">
        <is>
          <t>#cobblemon:is_hills</t>
        </is>
      </c>
      <c r="Q72" s="18" t="inlineStr">
        <is>
          <t>common</t>
        </is>
      </c>
      <c r="R72" s="18" t="inlineStr"/>
      <c r="S72" s="18" t="inlineStr">
        <is>
          <t>cobbleventure:generation_1</t>
        </is>
      </c>
      <c r="T72" s="18">
        <f>IF(M72=0,"없음",IF(N72=0,"전부 제외","사용"))</f>
        <v/>
      </c>
      <c r="U72" s="18" t="inlineStr"/>
    </row>
    <row r="73" ht="30" customHeight="1">
      <c r="A73" s="18" t="n">
        <v>69</v>
      </c>
      <c r="B73" s="18" t="inlineStr">
        <is>
          <t>모다피</t>
        </is>
      </c>
      <c r="C73" s="18" t="inlineStr">
        <is>
          <t>bellsprout</t>
        </is>
      </c>
      <c r="D73" s="18" t="inlineStr">
        <is>
          <t>Bellsprout</t>
        </is>
      </c>
      <c r="E73" s="18" t="n">
        <v>1</v>
      </c>
      <c r="F73" s="18" t="inlineStr">
        <is>
          <t>generation1</t>
        </is>
      </c>
      <c r="G73" s="18" t="inlineStr">
        <is>
          <t>grass</t>
        </is>
      </c>
      <c r="H73" s="18" t="inlineStr">
        <is>
          <t>poison</t>
        </is>
      </c>
      <c r="I73" s="18" t="inlineStr">
        <is>
          <t>예</t>
        </is>
      </c>
      <c r="J73" s="18" t="inlineStr">
        <is>
          <t>예</t>
        </is>
      </c>
      <c r="K73" s="18" t="inlineStr">
        <is>
          <t>예</t>
        </is>
      </c>
      <c r="L73" s="18" t="inlineStr">
        <is>
          <t>Cobblemon 동일</t>
        </is>
      </c>
      <c r="M73" s="18">
        <f>COUNTIF('스폰_편집'!$D$5:$D$3125,A73)</f>
        <v/>
      </c>
      <c r="N73" s="18">
        <f>COUNTIFS('스폰_편집'!$D$5:$D$3125,A73,'스폰_편집'!$B$5:$B$3125,"사용")</f>
        <v/>
      </c>
      <c r="O73" s="18" t="n">
        <v>1</v>
      </c>
      <c r="P73" s="18" t="inlineStr">
        <is>
          <t>#cobblemon:is_jungle</t>
        </is>
      </c>
      <c r="Q73" s="18" t="inlineStr">
        <is>
          <t>common</t>
        </is>
      </c>
      <c r="R73" s="18" t="inlineStr"/>
      <c r="S73" s="18" t="inlineStr">
        <is>
          <t>cobbleventure:generation_1</t>
        </is>
      </c>
      <c r="T73" s="18">
        <f>IF(M73=0,"없음",IF(N73=0,"전부 제외","사용"))</f>
        <v/>
      </c>
      <c r="U73" s="18" t="inlineStr"/>
    </row>
    <row r="74" ht="30" customHeight="1">
      <c r="A74" s="18" t="n">
        <v>70</v>
      </c>
      <c r="B74" s="18" t="inlineStr">
        <is>
          <t>우츠동</t>
        </is>
      </c>
      <c r="C74" s="18" t="inlineStr">
        <is>
          <t>weepinbell</t>
        </is>
      </c>
      <c r="D74" s="18" t="inlineStr">
        <is>
          <t>Weepinbell</t>
        </is>
      </c>
      <c r="E74" s="18" t="n">
        <v>1</v>
      </c>
      <c r="F74" s="18" t="inlineStr">
        <is>
          <t>generation1</t>
        </is>
      </c>
      <c r="G74" s="18" t="inlineStr">
        <is>
          <t>grass</t>
        </is>
      </c>
      <c r="H74" s="18" t="inlineStr">
        <is>
          <t>poison</t>
        </is>
      </c>
      <c r="I74" s="18" t="inlineStr">
        <is>
          <t>예</t>
        </is>
      </c>
      <c r="J74" s="18" t="inlineStr">
        <is>
          <t>예</t>
        </is>
      </c>
      <c r="K74" s="18" t="inlineStr">
        <is>
          <t>예</t>
        </is>
      </c>
      <c r="L74" s="18" t="inlineStr">
        <is>
          <t>Cobblemon 동일</t>
        </is>
      </c>
      <c r="M74" s="18">
        <f>COUNTIF('스폰_편집'!$D$5:$D$3125,A74)</f>
        <v/>
      </c>
      <c r="N74" s="18">
        <f>COUNTIFS('스폰_편집'!$D$5:$D$3125,A74,'스폰_편집'!$B$5:$B$3125,"사용")</f>
        <v/>
      </c>
      <c r="O74" s="18" t="n">
        <v>1</v>
      </c>
      <c r="P74" s="18" t="inlineStr">
        <is>
          <t>#cobblemon:is_jungle</t>
        </is>
      </c>
      <c r="Q74" s="18" t="inlineStr">
        <is>
          <t>common</t>
        </is>
      </c>
      <c r="R74" s="18" t="inlineStr"/>
      <c r="S74" s="18" t="inlineStr">
        <is>
          <t>cobbleventure:generation_1</t>
        </is>
      </c>
      <c r="T74" s="18">
        <f>IF(M74=0,"없음",IF(N74=0,"전부 제외","사용"))</f>
        <v/>
      </c>
      <c r="U74" s="18" t="inlineStr"/>
    </row>
    <row r="75" ht="30" customHeight="1">
      <c r="A75" s="18" t="n">
        <v>71</v>
      </c>
      <c r="B75" s="18" t="inlineStr">
        <is>
          <t>우츠보트</t>
        </is>
      </c>
      <c r="C75" s="18" t="inlineStr">
        <is>
          <t>victreebel</t>
        </is>
      </c>
      <c r="D75" s="18" t="inlineStr">
        <is>
          <t>Victreebel</t>
        </is>
      </c>
      <c r="E75" s="18" t="n">
        <v>1</v>
      </c>
      <c r="F75" s="18" t="inlineStr">
        <is>
          <t>generation1</t>
        </is>
      </c>
      <c r="G75" s="18" t="inlineStr">
        <is>
          <t>grass</t>
        </is>
      </c>
      <c r="H75" s="18" t="inlineStr">
        <is>
          <t>poison</t>
        </is>
      </c>
      <c r="I75" s="18" t="inlineStr">
        <is>
          <t>예</t>
        </is>
      </c>
      <c r="J75" s="18" t="inlineStr">
        <is>
          <t>예</t>
        </is>
      </c>
      <c r="K75" s="18" t="inlineStr">
        <is>
          <t>예</t>
        </is>
      </c>
      <c r="L75" s="18" t="inlineStr">
        <is>
          <t>Cobblemon 동일</t>
        </is>
      </c>
      <c r="M75" s="18">
        <f>COUNTIF('스폰_편집'!$D$5:$D$3125,A75)</f>
        <v/>
      </c>
      <c r="N75" s="18">
        <f>COUNTIFS('스폰_편집'!$D$5:$D$3125,A75,'스폰_편집'!$B$5:$B$3125,"사용")</f>
        <v/>
      </c>
      <c r="O75" s="18" t="n">
        <v>1</v>
      </c>
      <c r="P75" s="18" t="inlineStr">
        <is>
          <t>#cobblemon:is_jungle</t>
        </is>
      </c>
      <c r="Q75" s="18" t="inlineStr">
        <is>
          <t>common</t>
        </is>
      </c>
      <c r="R75" s="18" t="inlineStr"/>
      <c r="S75" s="18" t="inlineStr">
        <is>
          <t>cobbleventure:generation_1</t>
        </is>
      </c>
      <c r="T75" s="18">
        <f>IF(M75=0,"없음",IF(N75=0,"전부 제외","사용"))</f>
        <v/>
      </c>
      <c r="U75" s="18" t="inlineStr"/>
    </row>
    <row r="76" ht="30" customHeight="1">
      <c r="A76" s="18" t="n">
        <v>72</v>
      </c>
      <c r="B76" s="18" t="inlineStr">
        <is>
          <t>왕눈해</t>
        </is>
      </c>
      <c r="C76" s="18" t="inlineStr">
        <is>
          <t>tentacool</t>
        </is>
      </c>
      <c r="D76" s="18" t="inlineStr">
        <is>
          <t>Tentacool</t>
        </is>
      </c>
      <c r="E76" s="18" t="n">
        <v>1</v>
      </c>
      <c r="F76" s="18" t="inlineStr">
        <is>
          <t>generation1</t>
        </is>
      </c>
      <c r="G76" s="18" t="inlineStr">
        <is>
          <t>water</t>
        </is>
      </c>
      <c r="H76" s="18" t="inlineStr">
        <is>
          <t>poison</t>
        </is>
      </c>
      <c r="I76" s="18" t="inlineStr">
        <is>
          <t>예</t>
        </is>
      </c>
      <c r="J76" s="18" t="inlineStr">
        <is>
          <t>예</t>
        </is>
      </c>
      <c r="K76" s="18" t="inlineStr">
        <is>
          <t>예</t>
        </is>
      </c>
      <c r="L76" s="18" t="inlineStr">
        <is>
          <t>COBBLEVERSE 수정</t>
        </is>
      </c>
      <c r="M76" s="18">
        <f>COUNTIF('스폰_편집'!$D$5:$D$3125,A76)</f>
        <v/>
      </c>
      <c r="N76" s="18">
        <f>COUNTIFS('스폰_편집'!$D$5:$D$3125,A76,'스폰_편집'!$B$5:$B$3125,"사용")</f>
        <v/>
      </c>
      <c r="O76" s="18" t="n">
        <v>3</v>
      </c>
      <c r="P76" s="18" t="inlineStr">
        <is>
          <t>#cobblemon:is_ocean; #cobblemon:is_overworld; minecraft:cold_ocean</t>
        </is>
      </c>
      <c r="Q76" s="18" t="inlineStr">
        <is>
          <t>common</t>
        </is>
      </c>
      <c r="R76" s="18" t="inlineStr">
        <is>
          <t>region_01; region_02</t>
        </is>
      </c>
      <c r="S76" s="18" t="inlineStr">
        <is>
          <t>cobbleventure:generation_1</t>
        </is>
      </c>
      <c r="T76" s="18">
        <f>IF(M76=0,"없음",IF(N76=0,"전부 제외","사용"))</f>
        <v/>
      </c>
      <c r="U76" s="18" t="inlineStr"/>
    </row>
    <row r="77" ht="30" customHeight="1">
      <c r="A77" s="18" t="n">
        <v>73</v>
      </c>
      <c r="B77" s="18" t="inlineStr">
        <is>
          <t>독파리</t>
        </is>
      </c>
      <c r="C77" s="18" t="inlineStr">
        <is>
          <t>tentacruel</t>
        </is>
      </c>
      <c r="D77" s="18" t="inlineStr">
        <is>
          <t>Tentacruel</t>
        </is>
      </c>
      <c r="E77" s="18" t="n">
        <v>1</v>
      </c>
      <c r="F77" s="18" t="inlineStr">
        <is>
          <t>generation1</t>
        </is>
      </c>
      <c r="G77" s="18" t="inlineStr">
        <is>
          <t>water</t>
        </is>
      </c>
      <c r="H77" s="18" t="inlineStr">
        <is>
          <t>poison</t>
        </is>
      </c>
      <c r="I77" s="18" t="inlineStr">
        <is>
          <t>예</t>
        </is>
      </c>
      <c r="J77" s="18" t="inlineStr">
        <is>
          <t>예</t>
        </is>
      </c>
      <c r="K77" s="18" t="inlineStr">
        <is>
          <t>예</t>
        </is>
      </c>
      <c r="L77" s="18" t="inlineStr">
        <is>
          <t>COBBLEVERSE 수정</t>
        </is>
      </c>
      <c r="M77" s="18">
        <f>COUNTIF('스폰_편집'!$D$5:$D$3125,A77)</f>
        <v/>
      </c>
      <c r="N77" s="18">
        <f>COUNTIFS('스폰_편집'!$D$5:$D$3125,A77,'스폰_편집'!$B$5:$B$3125,"사용")</f>
        <v/>
      </c>
      <c r="O77" s="18" t="n">
        <v>2</v>
      </c>
      <c r="P77" s="18" t="inlineStr">
        <is>
          <t>#cobblemon:is_ocean; #cobblemon:is_overworld</t>
        </is>
      </c>
      <c r="Q77" s="18" t="inlineStr">
        <is>
          <t>common</t>
        </is>
      </c>
      <c r="R77" s="18" t="inlineStr">
        <is>
          <t>region_01; region_02</t>
        </is>
      </c>
      <c r="S77" s="18" t="inlineStr">
        <is>
          <t>cobbleventure:generation_1</t>
        </is>
      </c>
      <c r="T77" s="18">
        <f>IF(M77=0,"없음",IF(N77=0,"전부 제외","사용"))</f>
        <v/>
      </c>
      <c r="U77" s="18" t="inlineStr"/>
    </row>
    <row r="78" ht="30" customHeight="1">
      <c r="A78" s="18" t="n">
        <v>74</v>
      </c>
      <c r="B78" s="18" t="inlineStr">
        <is>
          <t>꼬마돌</t>
        </is>
      </c>
      <c r="C78" s="18" t="inlineStr">
        <is>
          <t>geodude</t>
        </is>
      </c>
      <c r="D78" s="18" t="inlineStr">
        <is>
          <t>Geodude</t>
        </is>
      </c>
      <c r="E78" s="18" t="n">
        <v>1</v>
      </c>
      <c r="F78" s="18" t="inlineStr">
        <is>
          <t>generation1</t>
        </is>
      </c>
      <c r="G78" s="18" t="inlineStr">
        <is>
          <t>rock</t>
        </is>
      </c>
      <c r="H78" s="18" t="inlineStr">
        <is>
          <t>ground</t>
        </is>
      </c>
      <c r="I78" s="18" t="inlineStr">
        <is>
          <t>예</t>
        </is>
      </c>
      <c r="J78" s="18" t="inlineStr">
        <is>
          <t>예</t>
        </is>
      </c>
      <c r="K78" s="18" t="inlineStr">
        <is>
          <t>예</t>
        </is>
      </c>
      <c r="L78" s="18" t="inlineStr">
        <is>
          <t>Cobblemon 동일</t>
        </is>
      </c>
      <c r="M78" s="18">
        <f>COUNTIF('스폰_편집'!$D$5:$D$3125,A78)</f>
        <v/>
      </c>
      <c r="N78" s="18">
        <f>COUNTIFS('스폰_편집'!$D$5:$D$3125,A78,'스폰_편집'!$B$5:$B$3125,"사용")</f>
        <v/>
      </c>
      <c r="O78" s="18" t="n">
        <v>2</v>
      </c>
      <c r="P78" s="18" t="inlineStr">
        <is>
          <t>#cobblemon:is_mountain; #cobblemon:is_overworld</t>
        </is>
      </c>
      <c r="Q78" s="18" t="inlineStr">
        <is>
          <t>common</t>
        </is>
      </c>
      <c r="R78" s="18" t="inlineStr">
        <is>
          <t>region_01; region_02</t>
        </is>
      </c>
      <c r="S78" s="18" t="inlineStr">
        <is>
          <t>cobbleventure:generation_1</t>
        </is>
      </c>
      <c r="T78" s="18">
        <f>IF(M78=0,"없음",IF(N78=0,"전부 제외","사용"))</f>
        <v/>
      </c>
      <c r="U78" s="18" t="inlineStr"/>
    </row>
    <row r="79" ht="30" customHeight="1">
      <c r="A79" s="18" t="n">
        <v>75</v>
      </c>
      <c r="B79" s="18" t="inlineStr">
        <is>
          <t>데구리</t>
        </is>
      </c>
      <c r="C79" s="18" t="inlineStr">
        <is>
          <t>graveler</t>
        </is>
      </c>
      <c r="D79" s="18" t="inlineStr">
        <is>
          <t>Graveler</t>
        </is>
      </c>
      <c r="E79" s="18" t="n">
        <v>1</v>
      </c>
      <c r="F79" s="18" t="inlineStr">
        <is>
          <t>generation1</t>
        </is>
      </c>
      <c r="G79" s="18" t="inlineStr">
        <is>
          <t>rock</t>
        </is>
      </c>
      <c r="H79" s="18" t="inlineStr">
        <is>
          <t>ground</t>
        </is>
      </c>
      <c r="I79" s="18" t="inlineStr">
        <is>
          <t>예</t>
        </is>
      </c>
      <c r="J79" s="18" t="inlineStr">
        <is>
          <t>예</t>
        </is>
      </c>
      <c r="K79" s="18" t="inlineStr">
        <is>
          <t>예</t>
        </is>
      </c>
      <c r="L79" s="18" t="inlineStr">
        <is>
          <t>Cobblemon 동일</t>
        </is>
      </c>
      <c r="M79" s="18">
        <f>COUNTIF('스폰_편집'!$D$5:$D$3125,A79)</f>
        <v/>
      </c>
      <c r="N79" s="18">
        <f>COUNTIFS('스폰_편집'!$D$5:$D$3125,A79,'스폰_편집'!$B$5:$B$3125,"사용")</f>
        <v/>
      </c>
      <c r="O79" s="18" t="n">
        <v>2</v>
      </c>
      <c r="P79" s="18" t="inlineStr">
        <is>
          <t>#cobblemon:is_mountain; #cobblemon:is_overworld</t>
        </is>
      </c>
      <c r="Q79" s="18" t="inlineStr">
        <is>
          <t>common</t>
        </is>
      </c>
      <c r="R79" s="18" t="inlineStr">
        <is>
          <t>region_01; region_02</t>
        </is>
      </c>
      <c r="S79" s="18" t="inlineStr">
        <is>
          <t>cobbleventure:generation_1</t>
        </is>
      </c>
      <c r="T79" s="18">
        <f>IF(M79=0,"없음",IF(N79=0,"전부 제외","사용"))</f>
        <v/>
      </c>
      <c r="U79" s="18" t="inlineStr"/>
    </row>
    <row r="80" ht="30" customHeight="1">
      <c r="A80" s="18" t="n">
        <v>76</v>
      </c>
      <c r="B80" s="18" t="inlineStr">
        <is>
          <t>딱구리</t>
        </is>
      </c>
      <c r="C80" s="18" t="inlineStr">
        <is>
          <t>golem</t>
        </is>
      </c>
      <c r="D80" s="18" t="inlineStr">
        <is>
          <t>Golem</t>
        </is>
      </c>
      <c r="E80" s="18" t="n">
        <v>1</v>
      </c>
      <c r="F80" s="18" t="inlineStr">
        <is>
          <t>generation1</t>
        </is>
      </c>
      <c r="G80" s="18" t="inlineStr">
        <is>
          <t>rock</t>
        </is>
      </c>
      <c r="H80" s="18" t="inlineStr">
        <is>
          <t>ground</t>
        </is>
      </c>
      <c r="I80" s="18" t="inlineStr">
        <is>
          <t>예</t>
        </is>
      </c>
      <c r="J80" s="18" t="inlineStr">
        <is>
          <t>예</t>
        </is>
      </c>
      <c r="K80" s="18" t="inlineStr">
        <is>
          <t>예</t>
        </is>
      </c>
      <c r="L80" s="18" t="inlineStr">
        <is>
          <t>Cobblemon 동일</t>
        </is>
      </c>
      <c r="M80" s="18">
        <f>COUNTIF('스폰_편집'!$D$5:$D$3125,A80)</f>
        <v/>
      </c>
      <c r="N80" s="18">
        <f>COUNTIFS('스폰_편집'!$D$5:$D$3125,A80,'스폰_편집'!$B$5:$B$3125,"사용")</f>
        <v/>
      </c>
      <c r="O80" s="18" t="n">
        <v>2</v>
      </c>
      <c r="P80" s="18" t="inlineStr">
        <is>
          <t>#cobblemon:is_mountain; #cobblemon:is_overworld</t>
        </is>
      </c>
      <c r="Q80" s="18" t="inlineStr">
        <is>
          <t>common</t>
        </is>
      </c>
      <c r="R80" s="18" t="inlineStr">
        <is>
          <t>region_01; region_02</t>
        </is>
      </c>
      <c r="S80" s="18" t="inlineStr">
        <is>
          <t>cobbleventure:generation_1</t>
        </is>
      </c>
      <c r="T80" s="18">
        <f>IF(M80=0,"없음",IF(N80=0,"전부 제외","사용"))</f>
        <v/>
      </c>
      <c r="U80" s="18" t="inlineStr"/>
    </row>
    <row r="81" ht="30" customHeight="1">
      <c r="A81" s="18" t="n">
        <v>77</v>
      </c>
      <c r="B81" s="18" t="inlineStr">
        <is>
          <t>포니타</t>
        </is>
      </c>
      <c r="C81" s="18" t="inlineStr">
        <is>
          <t>ponyta</t>
        </is>
      </c>
      <c r="D81" s="18" t="inlineStr">
        <is>
          <t>Ponyta</t>
        </is>
      </c>
      <c r="E81" s="18" t="n">
        <v>1</v>
      </c>
      <c r="F81" s="18" t="inlineStr">
        <is>
          <t>generation1</t>
        </is>
      </c>
      <c r="G81" s="18" t="inlineStr">
        <is>
          <t>fire</t>
        </is>
      </c>
      <c r="H81" s="18" t="inlineStr"/>
      <c r="I81" s="18" t="inlineStr">
        <is>
          <t>예</t>
        </is>
      </c>
      <c r="J81" s="18" t="inlineStr">
        <is>
          <t>예</t>
        </is>
      </c>
      <c r="K81" s="18" t="inlineStr">
        <is>
          <t>예</t>
        </is>
      </c>
      <c r="L81" s="18" t="inlineStr">
        <is>
          <t>Cobblemon 동일</t>
        </is>
      </c>
      <c r="M81" s="18">
        <f>COUNTIF('스폰_편집'!$D$5:$D$3125,A81)</f>
        <v/>
      </c>
      <c r="N81" s="18">
        <f>COUNTIFS('스폰_편집'!$D$5:$D$3125,A81,'스폰_편집'!$B$5:$B$3125,"사용")</f>
        <v/>
      </c>
      <c r="O81" s="18" t="n">
        <v>6</v>
      </c>
      <c r="P81" s="18" t="inlineStr">
        <is>
          <t>#aether:is_aether; #cobblemon:is_floral; #cobblemon:is_grassland; #cobblemon:is_magical; #cobblemon:nether/is_overgrowth; #cobblemon:nether/is_wasteland</t>
        </is>
      </c>
      <c r="Q81" s="18" t="inlineStr">
        <is>
          <t>common; uncommon</t>
        </is>
      </c>
      <c r="R81" s="18" t="inlineStr">
        <is>
          <t>region_01</t>
        </is>
      </c>
      <c r="S81" s="18" t="inlineStr">
        <is>
          <t>cobbleventure:generation_1</t>
        </is>
      </c>
      <c r="T81" s="18">
        <f>IF(M81=0,"없음",IF(N81=0,"전부 제외","사용"))</f>
        <v/>
      </c>
      <c r="U81" s="18" t="inlineStr"/>
    </row>
    <row r="82" ht="30" customHeight="1">
      <c r="A82" s="18" t="n">
        <v>78</v>
      </c>
      <c r="B82" s="18" t="inlineStr">
        <is>
          <t>날쌩마</t>
        </is>
      </c>
      <c r="C82" s="18" t="inlineStr">
        <is>
          <t>rapidash</t>
        </is>
      </c>
      <c r="D82" s="18" t="inlineStr">
        <is>
          <t>Rapidash</t>
        </is>
      </c>
      <c r="E82" s="18" t="n">
        <v>1</v>
      </c>
      <c r="F82" s="18" t="inlineStr">
        <is>
          <t>generation1</t>
        </is>
      </c>
      <c r="G82" s="18" t="inlineStr">
        <is>
          <t>fire</t>
        </is>
      </c>
      <c r="H82" s="18" t="inlineStr"/>
      <c r="I82" s="18" t="inlineStr">
        <is>
          <t>예</t>
        </is>
      </c>
      <c r="J82" s="18" t="inlineStr">
        <is>
          <t>예</t>
        </is>
      </c>
      <c r="K82" s="18" t="inlineStr">
        <is>
          <t>예</t>
        </is>
      </c>
      <c r="L82" s="18" t="inlineStr">
        <is>
          <t>Cobblemon 동일</t>
        </is>
      </c>
      <c r="M82" s="18">
        <f>COUNTIF('스폰_편집'!$D$5:$D$3125,A82)</f>
        <v/>
      </c>
      <c r="N82" s="18">
        <f>COUNTIFS('스폰_편집'!$D$5:$D$3125,A82,'스폰_편집'!$B$5:$B$3125,"사용")</f>
        <v/>
      </c>
      <c r="O82" s="18" t="n">
        <v>6</v>
      </c>
      <c r="P82" s="18" t="inlineStr">
        <is>
          <t>#aether:is_aether; #cobblemon:is_floral; #cobblemon:is_grassland; #cobblemon:is_magical; #cobblemon:nether/is_overgrowth; #cobblemon:nether/is_wasteland</t>
        </is>
      </c>
      <c r="Q82" s="18" t="inlineStr">
        <is>
          <t>common; uncommon</t>
        </is>
      </c>
      <c r="R82" s="18" t="inlineStr">
        <is>
          <t>region_01</t>
        </is>
      </c>
      <c r="S82" s="18" t="inlineStr">
        <is>
          <t>cobbleventure:generation_1</t>
        </is>
      </c>
      <c r="T82" s="18">
        <f>IF(M82=0,"없음",IF(N82=0,"전부 제외","사용"))</f>
        <v/>
      </c>
      <c r="U82" s="18" t="inlineStr"/>
    </row>
    <row r="83" ht="30" customHeight="1">
      <c r="A83" s="18" t="n">
        <v>79</v>
      </c>
      <c r="B83" s="18" t="inlineStr">
        <is>
          <t>야돈</t>
        </is>
      </c>
      <c r="C83" s="18" t="inlineStr">
        <is>
          <t>slowpoke</t>
        </is>
      </c>
      <c r="D83" s="18" t="inlineStr">
        <is>
          <t>Slowpoke</t>
        </is>
      </c>
      <c r="E83" s="18" t="n">
        <v>1</v>
      </c>
      <c r="F83" s="18" t="inlineStr">
        <is>
          <t>generation1</t>
        </is>
      </c>
      <c r="G83" s="18" t="inlineStr">
        <is>
          <t>water</t>
        </is>
      </c>
      <c r="H83" s="18" t="inlineStr">
        <is>
          <t>psychic</t>
        </is>
      </c>
      <c r="I83" s="18" t="inlineStr">
        <is>
          <t>예</t>
        </is>
      </c>
      <c r="J83" s="18" t="inlineStr">
        <is>
          <t>예</t>
        </is>
      </c>
      <c r="K83" s="18" t="inlineStr">
        <is>
          <t>예</t>
        </is>
      </c>
      <c r="L83" s="18" t="inlineStr">
        <is>
          <t>Cobblemon 동일</t>
        </is>
      </c>
      <c r="M83" s="18">
        <f>COUNTIF('스폰_편집'!$D$5:$D$3125,A83)</f>
        <v/>
      </c>
      <c r="N83" s="18">
        <f>COUNTIFS('스폰_편집'!$D$5:$D$3125,A83,'스폰_편집'!$B$5:$B$3125,"사용")</f>
        <v/>
      </c>
      <c r="O83" s="18" t="n">
        <v>5</v>
      </c>
      <c r="P83" s="18" t="inlineStr">
        <is>
          <t>#cobblemon:is_beach; #cobblemon:is_freshwater; #cobblemon:is_river; #cobblemon:is_tropical_island; minecraft:mushroom_fields</t>
        </is>
      </c>
      <c r="Q83" s="18" t="inlineStr">
        <is>
          <t>common</t>
        </is>
      </c>
      <c r="R83" s="18" t="inlineStr">
        <is>
          <t>region_02</t>
        </is>
      </c>
      <c r="S83" s="18" t="inlineStr">
        <is>
          <t>cobbleventure:generation_1</t>
        </is>
      </c>
      <c r="T83" s="18">
        <f>IF(M83=0,"없음",IF(N83=0,"전부 제외","사용"))</f>
        <v/>
      </c>
      <c r="U83" s="18" t="inlineStr"/>
    </row>
    <row r="84" ht="30" customHeight="1">
      <c r="A84" s="18" t="n">
        <v>80</v>
      </c>
      <c r="B84" s="18" t="inlineStr">
        <is>
          <t>야도란</t>
        </is>
      </c>
      <c r="C84" s="18" t="inlineStr">
        <is>
          <t>slowbro</t>
        </is>
      </c>
      <c r="D84" s="18" t="inlineStr">
        <is>
          <t>Slowbro</t>
        </is>
      </c>
      <c r="E84" s="18" t="n">
        <v>1</v>
      </c>
      <c r="F84" s="18" t="inlineStr">
        <is>
          <t>generation1</t>
        </is>
      </c>
      <c r="G84" s="18" t="inlineStr">
        <is>
          <t>water</t>
        </is>
      </c>
      <c r="H84" s="18" t="inlineStr">
        <is>
          <t>psychic</t>
        </is>
      </c>
      <c r="I84" s="18" t="inlineStr">
        <is>
          <t>예</t>
        </is>
      </c>
      <c r="J84" s="18" t="inlineStr">
        <is>
          <t>예</t>
        </is>
      </c>
      <c r="K84" s="18" t="inlineStr">
        <is>
          <t>예</t>
        </is>
      </c>
      <c r="L84" s="18" t="inlineStr">
        <is>
          <t>Cobblemon 동일</t>
        </is>
      </c>
      <c r="M84" s="18">
        <f>COUNTIF('스폰_편집'!$D$5:$D$3125,A84)</f>
        <v/>
      </c>
      <c r="N84" s="18">
        <f>COUNTIFS('스폰_편집'!$D$5:$D$3125,A84,'스폰_편집'!$B$5:$B$3125,"사용")</f>
        <v/>
      </c>
      <c r="O84" s="18" t="n">
        <v>3</v>
      </c>
      <c r="P84" s="18" t="inlineStr">
        <is>
          <t>#cobblemon:is_beach; #cobblemon:is_tropical_island; minecraft:mushroom_fields</t>
        </is>
      </c>
      <c r="Q84" s="18" t="inlineStr">
        <is>
          <t>common</t>
        </is>
      </c>
      <c r="R84" s="18" t="inlineStr"/>
      <c r="S84" s="18" t="inlineStr">
        <is>
          <t>cobbleventure:generation_1</t>
        </is>
      </c>
      <c r="T84" s="18">
        <f>IF(M84=0,"없음",IF(N84=0,"전부 제외","사용"))</f>
        <v/>
      </c>
      <c r="U84" s="18" t="inlineStr"/>
    </row>
    <row r="85" ht="30" customHeight="1">
      <c r="A85" s="18" t="n">
        <v>81</v>
      </c>
      <c r="B85" s="18" t="inlineStr">
        <is>
          <t>코일</t>
        </is>
      </c>
      <c r="C85" s="18" t="inlineStr">
        <is>
          <t>magnemite</t>
        </is>
      </c>
      <c r="D85" s="18" t="inlineStr">
        <is>
          <t>Magnemite</t>
        </is>
      </c>
      <c r="E85" s="18" t="n">
        <v>1</v>
      </c>
      <c r="F85" s="18" t="inlineStr">
        <is>
          <t>generation1</t>
        </is>
      </c>
      <c r="G85" s="18" t="inlineStr">
        <is>
          <t>electric</t>
        </is>
      </c>
      <c r="H85" s="18" t="inlineStr">
        <is>
          <t>steel</t>
        </is>
      </c>
      <c r="I85" s="18" t="inlineStr">
        <is>
          <t>예</t>
        </is>
      </c>
      <c r="J85" s="18" t="inlineStr">
        <is>
          <t>예</t>
        </is>
      </c>
      <c r="K85" s="18" t="inlineStr">
        <is>
          <t>예</t>
        </is>
      </c>
      <c r="L85" s="18" t="inlineStr">
        <is>
          <t>Cobblemon 동일</t>
        </is>
      </c>
      <c r="M85" s="18">
        <f>COUNTIF('스폰_편집'!$D$5:$D$3125,A85)</f>
        <v/>
      </c>
      <c r="N85" s="18">
        <f>COUNTIFS('스폰_편집'!$D$5:$D$3125,A85,'스폰_편집'!$B$5:$B$3125,"사용")</f>
        <v/>
      </c>
      <c r="O85" s="18" t="n">
        <v>1</v>
      </c>
      <c r="P85" s="18" t="inlineStr">
        <is>
          <t>#cobblemon:is_overworld</t>
        </is>
      </c>
      <c r="Q85" s="18" t="inlineStr">
        <is>
          <t>common; uncommon</t>
        </is>
      </c>
      <c r="R85" s="18" t="inlineStr">
        <is>
          <t>region_01; region_02</t>
        </is>
      </c>
      <c r="S85" s="18" t="inlineStr">
        <is>
          <t>cobbleventure:generation_1</t>
        </is>
      </c>
      <c r="T85" s="18">
        <f>IF(M85=0,"없음",IF(N85=0,"전부 제외","사용"))</f>
        <v/>
      </c>
      <c r="U85" s="18" t="inlineStr"/>
    </row>
    <row r="86" ht="30" customHeight="1">
      <c r="A86" s="18" t="n">
        <v>82</v>
      </c>
      <c r="B86" s="18" t="inlineStr">
        <is>
          <t>레어코일</t>
        </is>
      </c>
      <c r="C86" s="18" t="inlineStr">
        <is>
          <t>magneton</t>
        </is>
      </c>
      <c r="D86" s="18" t="inlineStr">
        <is>
          <t>Magneton</t>
        </is>
      </c>
      <c r="E86" s="18" t="n">
        <v>1</v>
      </c>
      <c r="F86" s="18" t="inlineStr">
        <is>
          <t>generation1</t>
        </is>
      </c>
      <c r="G86" s="18" t="inlineStr">
        <is>
          <t>electric</t>
        </is>
      </c>
      <c r="H86" s="18" t="inlineStr">
        <is>
          <t>steel</t>
        </is>
      </c>
      <c r="I86" s="18" t="inlineStr">
        <is>
          <t>예</t>
        </is>
      </c>
      <c r="J86" s="18" t="inlineStr">
        <is>
          <t>예</t>
        </is>
      </c>
      <c r="K86" s="18" t="inlineStr">
        <is>
          <t>예</t>
        </is>
      </c>
      <c r="L86" s="18" t="inlineStr">
        <is>
          <t>Cobblemon 동일</t>
        </is>
      </c>
      <c r="M86" s="18">
        <f>COUNTIF('스폰_편집'!$D$5:$D$3125,A86)</f>
        <v/>
      </c>
      <c r="N86" s="18">
        <f>COUNTIFS('스폰_편집'!$D$5:$D$3125,A86,'스폰_편집'!$B$5:$B$3125,"사용")</f>
        <v/>
      </c>
      <c r="O86" s="18" t="n">
        <v>1</v>
      </c>
      <c r="P86" s="18" t="inlineStr">
        <is>
          <t>#cobblemon:is_overworld</t>
        </is>
      </c>
      <c r="Q86" s="18" t="inlineStr">
        <is>
          <t>common; uncommon</t>
        </is>
      </c>
      <c r="R86" s="18" t="inlineStr">
        <is>
          <t>region_01; region_02</t>
        </is>
      </c>
      <c r="S86" s="18" t="inlineStr">
        <is>
          <t>cobbleventure:generation_1</t>
        </is>
      </c>
      <c r="T86" s="18">
        <f>IF(M86=0,"없음",IF(N86=0,"전부 제외","사용"))</f>
        <v/>
      </c>
      <c r="U86" s="18" t="inlineStr"/>
    </row>
    <row r="87" ht="30" customHeight="1">
      <c r="A87" s="18" t="n">
        <v>83</v>
      </c>
      <c r="B87" s="18" t="inlineStr">
        <is>
          <t>파오리</t>
        </is>
      </c>
      <c r="C87" s="18" t="inlineStr">
        <is>
          <t>farfetchd</t>
        </is>
      </c>
      <c r="D87" s="18" t="inlineStr">
        <is>
          <t>Farfetch'd</t>
        </is>
      </c>
      <c r="E87" s="18" t="n">
        <v>1</v>
      </c>
      <c r="F87" s="18" t="inlineStr">
        <is>
          <t>generation1</t>
        </is>
      </c>
      <c r="G87" s="18" t="inlineStr">
        <is>
          <t>normal</t>
        </is>
      </c>
      <c r="H87" s="18" t="inlineStr">
        <is>
          <t>flying</t>
        </is>
      </c>
      <c r="I87" s="18" t="inlineStr">
        <is>
          <t>예</t>
        </is>
      </c>
      <c r="J87" s="18" t="inlineStr">
        <is>
          <t>예</t>
        </is>
      </c>
      <c r="K87" s="18" t="inlineStr">
        <is>
          <t>예</t>
        </is>
      </c>
      <c r="L87" s="18" t="inlineStr">
        <is>
          <t>Cobblemon 동일</t>
        </is>
      </c>
      <c r="M87" s="18">
        <f>COUNTIF('스폰_편집'!$D$5:$D$3125,A87)</f>
        <v/>
      </c>
      <c r="N87" s="18">
        <f>COUNTIFS('스폰_편집'!$D$5:$D$3125,A87,'스폰_편집'!$B$5:$B$3125,"사용")</f>
        <v/>
      </c>
      <c r="O87" s="18" t="n">
        <v>2</v>
      </c>
      <c r="P87" s="18" t="inlineStr">
        <is>
          <t>#cobblemon:is_forest; #cobblemon:is_overworld</t>
        </is>
      </c>
      <c r="Q87" s="18" t="inlineStr">
        <is>
          <t>common; rare</t>
        </is>
      </c>
      <c r="R87" s="18" t="inlineStr">
        <is>
          <t>region_01; region_02</t>
        </is>
      </c>
      <c r="S87" s="18" t="inlineStr">
        <is>
          <t>cobbleventure:generation_1</t>
        </is>
      </c>
      <c r="T87" s="18">
        <f>IF(M87=0,"없음",IF(N87=0,"전부 제외","사용"))</f>
        <v/>
      </c>
      <c r="U87" s="18" t="inlineStr"/>
    </row>
    <row r="88" ht="30" customHeight="1">
      <c r="A88" s="18" t="n">
        <v>84</v>
      </c>
      <c r="B88" s="18" t="inlineStr">
        <is>
          <t>두두</t>
        </is>
      </c>
      <c r="C88" s="18" t="inlineStr">
        <is>
          <t>doduo</t>
        </is>
      </c>
      <c r="D88" s="18" t="inlineStr">
        <is>
          <t>Doduo</t>
        </is>
      </c>
      <c r="E88" s="18" t="n">
        <v>1</v>
      </c>
      <c r="F88" s="18" t="inlineStr">
        <is>
          <t>generation1</t>
        </is>
      </c>
      <c r="G88" s="18" t="inlineStr">
        <is>
          <t>normal</t>
        </is>
      </c>
      <c r="H88" s="18" t="inlineStr">
        <is>
          <t>flying</t>
        </is>
      </c>
      <c r="I88" s="18" t="inlineStr">
        <is>
          <t>예</t>
        </is>
      </c>
      <c r="J88" s="18" t="inlineStr">
        <is>
          <t>예</t>
        </is>
      </c>
      <c r="K88" s="18" t="inlineStr">
        <is>
          <t>예</t>
        </is>
      </c>
      <c r="L88" s="18" t="inlineStr">
        <is>
          <t>Cobblemon 동일</t>
        </is>
      </c>
      <c r="M88" s="18">
        <f>COUNTIF('스폰_편집'!$D$5:$D$3125,A88)</f>
        <v/>
      </c>
      <c r="N88" s="18">
        <f>COUNTIFS('스폰_편집'!$D$5:$D$3125,A88,'스폰_편집'!$B$5:$B$3125,"사용")</f>
        <v/>
      </c>
      <c r="O88" s="18" t="n">
        <v>3</v>
      </c>
      <c r="P88" s="18" t="inlineStr">
        <is>
          <t>#cobblemon:is_savanna; aether:skyroot_grove; aether:skyroot_meadow</t>
        </is>
      </c>
      <c r="Q88" s="18" t="inlineStr">
        <is>
          <t>common</t>
        </is>
      </c>
      <c r="R88" s="18" t="inlineStr"/>
      <c r="S88" s="18" t="inlineStr">
        <is>
          <t>cobbleventure:generation_1</t>
        </is>
      </c>
      <c r="T88" s="18">
        <f>IF(M88=0,"없음",IF(N88=0,"전부 제외","사용"))</f>
        <v/>
      </c>
      <c r="U88" s="18" t="inlineStr"/>
    </row>
    <row r="89" ht="30" customHeight="1">
      <c r="A89" s="18" t="n">
        <v>85</v>
      </c>
      <c r="B89" s="18" t="inlineStr">
        <is>
          <t>두트리오</t>
        </is>
      </c>
      <c r="C89" s="18" t="inlineStr">
        <is>
          <t>dodrio</t>
        </is>
      </c>
      <c r="D89" s="18" t="inlineStr">
        <is>
          <t>Dodrio</t>
        </is>
      </c>
      <c r="E89" s="18" t="n">
        <v>1</v>
      </c>
      <c r="F89" s="18" t="inlineStr">
        <is>
          <t>generation1</t>
        </is>
      </c>
      <c r="G89" s="18" t="inlineStr">
        <is>
          <t>normal</t>
        </is>
      </c>
      <c r="H89" s="18" t="inlineStr">
        <is>
          <t>flying</t>
        </is>
      </c>
      <c r="I89" s="18" t="inlineStr">
        <is>
          <t>예</t>
        </is>
      </c>
      <c r="J89" s="18" t="inlineStr">
        <is>
          <t>예</t>
        </is>
      </c>
      <c r="K89" s="18" t="inlineStr">
        <is>
          <t>예</t>
        </is>
      </c>
      <c r="L89" s="18" t="inlineStr">
        <is>
          <t>Cobblemon 동일</t>
        </is>
      </c>
      <c r="M89" s="18">
        <f>COUNTIF('스폰_편집'!$D$5:$D$3125,A89)</f>
        <v/>
      </c>
      <c r="N89" s="18">
        <f>COUNTIFS('스폰_편집'!$D$5:$D$3125,A89,'스폰_편집'!$B$5:$B$3125,"사용")</f>
        <v/>
      </c>
      <c r="O89" s="18" t="n">
        <v>3</v>
      </c>
      <c r="P89" s="18" t="inlineStr">
        <is>
          <t>#cobblemon:is_savanna; aether:skyroot_grove; aether:skyroot_meadow</t>
        </is>
      </c>
      <c r="Q89" s="18" t="inlineStr">
        <is>
          <t>common</t>
        </is>
      </c>
      <c r="R89" s="18" t="inlineStr"/>
      <c r="S89" s="18" t="inlineStr">
        <is>
          <t>cobbleventure:generation_1</t>
        </is>
      </c>
      <c r="T89" s="18">
        <f>IF(M89=0,"없음",IF(N89=0,"전부 제외","사용"))</f>
        <v/>
      </c>
      <c r="U89" s="18" t="inlineStr"/>
    </row>
    <row r="90" ht="30" customHeight="1">
      <c r="A90" s="18" t="n">
        <v>86</v>
      </c>
      <c r="B90" s="18" t="inlineStr">
        <is>
          <t>쥬쥬</t>
        </is>
      </c>
      <c r="C90" s="18" t="inlineStr">
        <is>
          <t>seel</t>
        </is>
      </c>
      <c r="D90" s="18" t="inlineStr">
        <is>
          <t>Seel</t>
        </is>
      </c>
      <c r="E90" s="18" t="n">
        <v>1</v>
      </c>
      <c r="F90" s="18" t="inlineStr">
        <is>
          <t>generation1</t>
        </is>
      </c>
      <c r="G90" s="18" t="inlineStr">
        <is>
          <t>water</t>
        </is>
      </c>
      <c r="H90" s="18" t="inlineStr"/>
      <c r="I90" s="18" t="inlineStr">
        <is>
          <t>예</t>
        </is>
      </c>
      <c r="J90" s="18" t="inlineStr">
        <is>
          <t>예</t>
        </is>
      </c>
      <c r="K90" s="18" t="inlineStr">
        <is>
          <t>예</t>
        </is>
      </c>
      <c r="L90" s="18" t="inlineStr">
        <is>
          <t>Cobblemon 동일</t>
        </is>
      </c>
      <c r="M90" s="18">
        <f>COUNTIF('스폰_편집'!$D$5:$D$3125,A90)</f>
        <v/>
      </c>
      <c r="N90" s="18">
        <f>COUNTIFS('스폰_편집'!$D$5:$D$3125,A90,'스폰_편집'!$B$5:$B$3125,"사용")</f>
        <v/>
      </c>
      <c r="O90" s="18" t="n">
        <v>2</v>
      </c>
      <c r="P90" s="18" t="inlineStr">
        <is>
          <t>#cobblemon:is_cold_ocean; #cobblemon:is_frozen_ocean</t>
        </is>
      </c>
      <c r="Q90" s="18" t="inlineStr">
        <is>
          <t>common</t>
        </is>
      </c>
      <c r="R90" s="18" t="inlineStr"/>
      <c r="S90" s="18" t="inlineStr">
        <is>
          <t>cobbleventure:generation_1</t>
        </is>
      </c>
      <c r="T90" s="18">
        <f>IF(M90=0,"없음",IF(N90=0,"전부 제외","사용"))</f>
        <v/>
      </c>
      <c r="U90" s="18" t="inlineStr"/>
    </row>
    <row r="91" ht="30" customHeight="1">
      <c r="A91" s="18" t="n">
        <v>87</v>
      </c>
      <c r="B91" s="18" t="inlineStr">
        <is>
          <t>쥬레곤</t>
        </is>
      </c>
      <c r="C91" s="18" t="inlineStr">
        <is>
          <t>dewgong</t>
        </is>
      </c>
      <c r="D91" s="18" t="inlineStr">
        <is>
          <t>Dewgong</t>
        </is>
      </c>
      <c r="E91" s="18" t="n">
        <v>1</v>
      </c>
      <c r="F91" s="18" t="inlineStr">
        <is>
          <t>generation1</t>
        </is>
      </c>
      <c r="G91" s="18" t="inlineStr">
        <is>
          <t>water</t>
        </is>
      </c>
      <c r="H91" s="18" t="inlineStr">
        <is>
          <t>ice</t>
        </is>
      </c>
      <c r="I91" s="18" t="inlineStr">
        <is>
          <t>예</t>
        </is>
      </c>
      <c r="J91" s="18" t="inlineStr">
        <is>
          <t>예</t>
        </is>
      </c>
      <c r="K91" s="18" t="inlineStr">
        <is>
          <t>예</t>
        </is>
      </c>
      <c r="L91" s="18" t="inlineStr">
        <is>
          <t>Cobblemon 동일</t>
        </is>
      </c>
      <c r="M91" s="18">
        <f>COUNTIF('스폰_편집'!$D$5:$D$3125,A91)</f>
        <v/>
      </c>
      <c r="N91" s="18">
        <f>COUNTIFS('스폰_편집'!$D$5:$D$3125,A91,'스폰_편집'!$B$5:$B$3125,"사용")</f>
        <v/>
      </c>
      <c r="O91" s="18" t="n">
        <v>2</v>
      </c>
      <c r="P91" s="18" t="inlineStr">
        <is>
          <t>#cobblemon:is_cold_ocean; #cobblemon:is_frozen_ocean</t>
        </is>
      </c>
      <c r="Q91" s="18" t="inlineStr">
        <is>
          <t>common</t>
        </is>
      </c>
      <c r="R91" s="18" t="inlineStr"/>
      <c r="S91" s="18" t="inlineStr">
        <is>
          <t>cobbleventure:generation_1</t>
        </is>
      </c>
      <c r="T91" s="18">
        <f>IF(M91=0,"없음",IF(N91=0,"전부 제외","사용"))</f>
        <v/>
      </c>
      <c r="U91" s="18" t="inlineStr"/>
    </row>
    <row r="92" ht="30" customHeight="1">
      <c r="A92" s="18" t="n">
        <v>88</v>
      </c>
      <c r="B92" s="18" t="inlineStr">
        <is>
          <t>질퍽이</t>
        </is>
      </c>
      <c r="C92" s="18" t="inlineStr">
        <is>
          <t>grimer</t>
        </is>
      </c>
      <c r="D92" s="18" t="inlineStr">
        <is>
          <t>Grimer</t>
        </is>
      </c>
      <c r="E92" s="18" t="n">
        <v>1</v>
      </c>
      <c r="F92" s="18" t="inlineStr">
        <is>
          <t>generation1</t>
        </is>
      </c>
      <c r="G92" s="18" t="inlineStr">
        <is>
          <t>poison</t>
        </is>
      </c>
      <c r="H92" s="18" t="inlineStr"/>
      <c r="I92" s="18" t="inlineStr">
        <is>
          <t>예</t>
        </is>
      </c>
      <c r="J92" s="18" t="inlineStr">
        <is>
          <t>예</t>
        </is>
      </c>
      <c r="K92" s="18" t="inlineStr">
        <is>
          <t>예</t>
        </is>
      </c>
      <c r="L92" s="18" t="inlineStr">
        <is>
          <t>COBBLEVERSE 수정</t>
        </is>
      </c>
      <c r="M92" s="18">
        <f>COUNTIF('스폰_편집'!$D$5:$D$3125,A92)</f>
        <v/>
      </c>
      <c r="N92" s="18">
        <f>COUNTIFS('스폰_편집'!$D$5:$D$3125,A92,'스폰_편집'!$B$5:$B$3125,"사용")</f>
        <v/>
      </c>
      <c r="O92" s="18" t="n">
        <v>4</v>
      </c>
      <c r="P92" s="18" t="inlineStr">
        <is>
          <t>#cobblemon:is_beach; #cobblemon:is_overworld; #cobblemon:is_swamp; #minecraft:is_beach</t>
        </is>
      </c>
      <c r="Q92" s="18" t="inlineStr">
        <is>
          <t>common; uncommon</t>
        </is>
      </c>
      <c r="R92" s="18" t="inlineStr">
        <is>
          <t>region_01; region_02</t>
        </is>
      </c>
      <c r="S92" s="18" t="inlineStr">
        <is>
          <t>cobbleventure:generation_1</t>
        </is>
      </c>
      <c r="T92" s="18">
        <f>IF(M92=0,"없음",IF(N92=0,"전부 제외","사용"))</f>
        <v/>
      </c>
      <c r="U92" s="18" t="inlineStr"/>
    </row>
    <row r="93" ht="30" customHeight="1">
      <c r="A93" s="18" t="n">
        <v>89</v>
      </c>
      <c r="B93" s="18" t="inlineStr">
        <is>
          <t>질뻐기</t>
        </is>
      </c>
      <c r="C93" s="18" t="inlineStr">
        <is>
          <t>muk</t>
        </is>
      </c>
      <c r="D93" s="18" t="inlineStr">
        <is>
          <t>Muk</t>
        </is>
      </c>
      <c r="E93" s="18" t="n">
        <v>1</v>
      </c>
      <c r="F93" s="18" t="inlineStr">
        <is>
          <t>generation1</t>
        </is>
      </c>
      <c r="G93" s="18" t="inlineStr">
        <is>
          <t>poison</t>
        </is>
      </c>
      <c r="H93" s="18" t="inlineStr"/>
      <c r="I93" s="18" t="inlineStr">
        <is>
          <t>예</t>
        </is>
      </c>
      <c r="J93" s="18" t="inlineStr">
        <is>
          <t>예</t>
        </is>
      </c>
      <c r="K93" s="18" t="inlineStr">
        <is>
          <t>예</t>
        </is>
      </c>
      <c r="L93" s="18" t="inlineStr">
        <is>
          <t>COBBLEVERSE 수정</t>
        </is>
      </c>
      <c r="M93" s="18">
        <f>COUNTIF('스폰_편집'!$D$5:$D$3125,A93)</f>
        <v/>
      </c>
      <c r="N93" s="18">
        <f>COUNTIFS('스폰_편집'!$D$5:$D$3125,A93,'스폰_편집'!$B$5:$B$3125,"사용")</f>
        <v/>
      </c>
      <c r="O93" s="18" t="n">
        <v>4</v>
      </c>
      <c r="P93" s="18" t="inlineStr">
        <is>
          <t>#cobblemon:is_beach; #cobblemon:is_overworld; #cobblemon:is_swamp; #minecraft:is_beach</t>
        </is>
      </c>
      <c r="Q93" s="18" t="inlineStr">
        <is>
          <t>common; rare; uncommon</t>
        </is>
      </c>
      <c r="R93" s="18" t="inlineStr">
        <is>
          <t>region_01; region_02</t>
        </is>
      </c>
      <c r="S93" s="18" t="inlineStr">
        <is>
          <t>cobbleventure:generation_1</t>
        </is>
      </c>
      <c r="T93" s="18">
        <f>IF(M93=0,"없음",IF(N93=0,"전부 제외","사용"))</f>
        <v/>
      </c>
      <c r="U93" s="18" t="inlineStr"/>
    </row>
    <row r="94" ht="30" customHeight="1">
      <c r="A94" s="18" t="n">
        <v>90</v>
      </c>
      <c r="B94" s="18" t="inlineStr">
        <is>
          <t>셀러</t>
        </is>
      </c>
      <c r="C94" s="18" t="inlineStr">
        <is>
          <t>shellder</t>
        </is>
      </c>
      <c r="D94" s="18" t="inlineStr">
        <is>
          <t>Shellder</t>
        </is>
      </c>
      <c r="E94" s="18" t="n">
        <v>1</v>
      </c>
      <c r="F94" s="18" t="inlineStr">
        <is>
          <t>generation1</t>
        </is>
      </c>
      <c r="G94" s="18" t="inlineStr">
        <is>
          <t>water</t>
        </is>
      </c>
      <c r="H94" s="18" t="inlineStr"/>
      <c r="I94" s="18" t="inlineStr">
        <is>
          <t>예</t>
        </is>
      </c>
      <c r="J94" s="18" t="inlineStr">
        <is>
          <t>예</t>
        </is>
      </c>
      <c r="K94" s="18" t="inlineStr">
        <is>
          <t>예</t>
        </is>
      </c>
      <c r="L94" s="18" t="inlineStr">
        <is>
          <t>Cobblemon 동일</t>
        </is>
      </c>
      <c r="M94" s="18">
        <f>COUNTIF('스폰_편집'!$D$5:$D$3125,A94)</f>
        <v/>
      </c>
      <c r="N94" s="18">
        <f>COUNTIFS('스폰_편집'!$D$5:$D$3125,A94,'스폰_편집'!$B$5:$B$3125,"사용")</f>
        <v/>
      </c>
      <c r="O94" s="18" t="n">
        <v>5</v>
      </c>
      <c r="P94" s="18" t="inlineStr">
        <is>
          <t>#cobblemon:is_coast; #cobblemon:is_cold_ocean; #cobblemon:is_frozen_ocean; #cobblemon:is_ocean; #cobblemon:is_overworld</t>
        </is>
      </c>
      <c r="Q94" s="18" t="inlineStr">
        <is>
          <t>common</t>
        </is>
      </c>
      <c r="R94" s="18" t="inlineStr">
        <is>
          <t>region_01; region_02</t>
        </is>
      </c>
      <c r="S94" s="18" t="inlineStr">
        <is>
          <t>cobbleventure:generation_1</t>
        </is>
      </c>
      <c r="T94" s="18">
        <f>IF(M94=0,"없음",IF(N94=0,"전부 제외","사용"))</f>
        <v/>
      </c>
      <c r="U94" s="18" t="inlineStr"/>
    </row>
    <row r="95" ht="30" customHeight="1">
      <c r="A95" s="18" t="n">
        <v>91</v>
      </c>
      <c r="B95" s="18" t="inlineStr">
        <is>
          <t>파르셀</t>
        </is>
      </c>
      <c r="C95" s="18" t="inlineStr">
        <is>
          <t>cloyster</t>
        </is>
      </c>
      <c r="D95" s="18" t="inlineStr">
        <is>
          <t>Cloyster</t>
        </is>
      </c>
      <c r="E95" s="18" t="n">
        <v>1</v>
      </c>
      <c r="F95" s="18" t="inlineStr">
        <is>
          <t>generation1</t>
        </is>
      </c>
      <c r="G95" s="18" t="inlineStr">
        <is>
          <t>water</t>
        </is>
      </c>
      <c r="H95" s="18" t="inlineStr">
        <is>
          <t>ice</t>
        </is>
      </c>
      <c r="I95" s="18" t="inlineStr">
        <is>
          <t>예</t>
        </is>
      </c>
      <c r="J95" s="18" t="inlineStr">
        <is>
          <t>예</t>
        </is>
      </c>
      <c r="K95" s="18" t="inlineStr">
        <is>
          <t>예</t>
        </is>
      </c>
      <c r="L95" s="18" t="inlineStr">
        <is>
          <t>Cobblemon 동일</t>
        </is>
      </c>
      <c r="M95" s="18">
        <f>COUNTIF('스폰_편집'!$D$5:$D$3125,A95)</f>
        <v/>
      </c>
      <c r="N95" s="18">
        <f>COUNTIFS('스폰_편집'!$D$5:$D$3125,A95,'스폰_편집'!$B$5:$B$3125,"사용")</f>
        <v/>
      </c>
      <c r="O95" s="18" t="n">
        <v>5</v>
      </c>
      <c r="P95" s="18" t="inlineStr">
        <is>
          <t>#cobblemon:is_coast; #cobblemon:is_cold_ocean; #cobblemon:is_frozen_ocean; #cobblemon:is_ocean; #cobblemon:is_overworld</t>
        </is>
      </c>
      <c r="Q95" s="18" t="inlineStr">
        <is>
          <t>common</t>
        </is>
      </c>
      <c r="R95" s="18" t="inlineStr">
        <is>
          <t>region_01; region_02</t>
        </is>
      </c>
      <c r="S95" s="18" t="inlineStr">
        <is>
          <t>cobbleventure:generation_1</t>
        </is>
      </c>
      <c r="T95" s="18">
        <f>IF(M95=0,"없음",IF(N95=0,"전부 제외","사용"))</f>
        <v/>
      </c>
      <c r="U95" s="18" t="inlineStr"/>
    </row>
    <row r="96" ht="30" customHeight="1">
      <c r="A96" s="18" t="n">
        <v>92</v>
      </c>
      <c r="B96" s="18" t="inlineStr">
        <is>
          <t>고오스</t>
        </is>
      </c>
      <c r="C96" s="18" t="inlineStr">
        <is>
          <t>gastly</t>
        </is>
      </c>
      <c r="D96" s="18" t="inlineStr">
        <is>
          <t>Gastly</t>
        </is>
      </c>
      <c r="E96" s="18" t="n">
        <v>1</v>
      </c>
      <c r="F96" s="18" t="inlineStr">
        <is>
          <t>generation1</t>
        </is>
      </c>
      <c r="G96" s="18" t="inlineStr">
        <is>
          <t>ghost</t>
        </is>
      </c>
      <c r="H96" s="18" t="inlineStr">
        <is>
          <t>poison</t>
        </is>
      </c>
      <c r="I96" s="18" t="inlineStr">
        <is>
          <t>예</t>
        </is>
      </c>
      <c r="J96" s="18" t="inlineStr">
        <is>
          <t>예</t>
        </is>
      </c>
      <c r="K96" s="18" t="inlineStr">
        <is>
          <t>예</t>
        </is>
      </c>
      <c r="L96" s="18" t="inlineStr">
        <is>
          <t>COBBLEVERSE 수정</t>
        </is>
      </c>
      <c r="M96" s="18">
        <f>COUNTIF('스폰_편집'!$D$5:$D$3125,A96)</f>
        <v/>
      </c>
      <c r="N96" s="18">
        <f>COUNTIFS('스폰_편집'!$D$5:$D$3125,A96,'스폰_편집'!$B$5:$B$3125,"사용")</f>
        <v/>
      </c>
      <c r="O96" s="18" t="n">
        <v>5</v>
      </c>
      <c r="P96" s="18" t="inlineStr">
        <is>
          <t>#aether:is_aether; #cobblemon:is_deep_dark; #cobblemon:is_overworld; #cobblemon:is_spooky; #minecraft:is_nether</t>
        </is>
      </c>
      <c r="Q96" s="18" t="inlineStr">
        <is>
          <t>common; uncommon</t>
        </is>
      </c>
      <c r="R96" s="18" t="inlineStr">
        <is>
          <t>region_01; region_02</t>
        </is>
      </c>
      <c r="S96" s="18" t="inlineStr">
        <is>
          <t>cobbleventure:generation_1</t>
        </is>
      </c>
      <c r="T96" s="18">
        <f>IF(M96=0,"없음",IF(N96=0,"전부 제외","사용"))</f>
        <v/>
      </c>
      <c r="U96" s="18" t="inlineStr"/>
    </row>
    <row r="97" ht="30" customHeight="1">
      <c r="A97" s="18" t="n">
        <v>93</v>
      </c>
      <c r="B97" s="18" t="inlineStr">
        <is>
          <t>고우스트</t>
        </is>
      </c>
      <c r="C97" s="18" t="inlineStr">
        <is>
          <t>haunter</t>
        </is>
      </c>
      <c r="D97" s="18" t="inlineStr">
        <is>
          <t>Haunter</t>
        </is>
      </c>
      <c r="E97" s="18" t="n">
        <v>1</v>
      </c>
      <c r="F97" s="18" t="inlineStr">
        <is>
          <t>generation1</t>
        </is>
      </c>
      <c r="G97" s="18" t="inlineStr">
        <is>
          <t>ghost</t>
        </is>
      </c>
      <c r="H97" s="18" t="inlineStr">
        <is>
          <t>poison</t>
        </is>
      </c>
      <c r="I97" s="18" t="inlineStr">
        <is>
          <t>예</t>
        </is>
      </c>
      <c r="J97" s="18" t="inlineStr">
        <is>
          <t>예</t>
        </is>
      </c>
      <c r="K97" s="18" t="inlineStr">
        <is>
          <t>예</t>
        </is>
      </c>
      <c r="L97" s="18" t="inlineStr">
        <is>
          <t>COBBLEVERSE 수정</t>
        </is>
      </c>
      <c r="M97" s="18">
        <f>COUNTIF('스폰_편집'!$D$5:$D$3125,A97)</f>
        <v/>
      </c>
      <c r="N97" s="18">
        <f>COUNTIFS('스폰_편집'!$D$5:$D$3125,A97,'스폰_편집'!$B$5:$B$3125,"사용")</f>
        <v/>
      </c>
      <c r="O97" s="18" t="n">
        <v>5</v>
      </c>
      <c r="P97" s="18" t="inlineStr">
        <is>
          <t>#aether:is_aether; #cobblemon:is_deep_dark; #cobblemon:is_overworld; #cobblemon:is_spooky; #minecraft:is_nether</t>
        </is>
      </c>
      <c r="Q97" s="18" t="inlineStr">
        <is>
          <t>common</t>
        </is>
      </c>
      <c r="R97" s="18" t="inlineStr">
        <is>
          <t>region_01; region_02</t>
        </is>
      </c>
      <c r="S97" s="18" t="inlineStr">
        <is>
          <t>cobbleventure:generation_1</t>
        </is>
      </c>
      <c r="T97" s="18">
        <f>IF(M97=0,"없음",IF(N97=0,"전부 제외","사용"))</f>
        <v/>
      </c>
      <c r="U97" s="18" t="inlineStr"/>
    </row>
    <row r="98" ht="30" customHeight="1">
      <c r="A98" s="18" t="n">
        <v>94</v>
      </c>
      <c r="B98" s="18" t="inlineStr">
        <is>
          <t>팬텀</t>
        </is>
      </c>
      <c r="C98" s="18" t="inlineStr">
        <is>
          <t>gengar</t>
        </is>
      </c>
      <c r="D98" s="18" t="inlineStr">
        <is>
          <t>Gengar</t>
        </is>
      </c>
      <c r="E98" s="18" t="n">
        <v>1</v>
      </c>
      <c r="F98" s="18" t="inlineStr">
        <is>
          <t>generation1</t>
        </is>
      </c>
      <c r="G98" s="18" t="inlineStr">
        <is>
          <t>ghost</t>
        </is>
      </c>
      <c r="H98" s="18" t="inlineStr">
        <is>
          <t>poison</t>
        </is>
      </c>
      <c r="I98" s="18" t="inlineStr">
        <is>
          <t>예</t>
        </is>
      </c>
      <c r="J98" s="18" t="inlineStr">
        <is>
          <t>예</t>
        </is>
      </c>
      <c r="K98" s="18" t="inlineStr">
        <is>
          <t>예</t>
        </is>
      </c>
      <c r="L98" s="18" t="inlineStr">
        <is>
          <t>COBBLEVERSE 수정</t>
        </is>
      </c>
      <c r="M98" s="18">
        <f>COUNTIF('스폰_편집'!$D$5:$D$3125,A98)</f>
        <v/>
      </c>
      <c r="N98" s="18">
        <f>COUNTIFS('스폰_편집'!$D$5:$D$3125,A98,'스폰_편집'!$B$5:$B$3125,"사용")</f>
        <v/>
      </c>
      <c r="O98" s="18" t="n">
        <v>5</v>
      </c>
      <c r="P98" s="18" t="inlineStr">
        <is>
          <t>#aether:is_aether; #cobblemon:is_deep_dark; #cobblemon:is_overworld; #cobblemon:is_spooky; #minecraft:is_nether</t>
        </is>
      </c>
      <c r="Q98" s="18" t="inlineStr">
        <is>
          <t>uncommon</t>
        </is>
      </c>
      <c r="R98" s="18" t="inlineStr">
        <is>
          <t>region_01; region_02</t>
        </is>
      </c>
      <c r="S98" s="18" t="inlineStr">
        <is>
          <t>cobbleventure:generation_1</t>
        </is>
      </c>
      <c r="T98" s="18">
        <f>IF(M98=0,"없음",IF(N98=0,"전부 제외","사용"))</f>
        <v/>
      </c>
      <c r="U98" s="18" t="inlineStr"/>
    </row>
    <row r="99" ht="30" customHeight="1">
      <c r="A99" s="18" t="n">
        <v>95</v>
      </c>
      <c r="B99" s="18" t="inlineStr">
        <is>
          <t>롱스톤</t>
        </is>
      </c>
      <c r="C99" s="18" t="inlineStr">
        <is>
          <t>onix</t>
        </is>
      </c>
      <c r="D99" s="18" t="inlineStr">
        <is>
          <t>Onix</t>
        </is>
      </c>
      <c r="E99" s="18" t="n">
        <v>1</v>
      </c>
      <c r="F99" s="18" t="inlineStr">
        <is>
          <t>generation1</t>
        </is>
      </c>
      <c r="G99" s="18" t="inlineStr">
        <is>
          <t>rock</t>
        </is>
      </c>
      <c r="H99" s="18" t="inlineStr">
        <is>
          <t>ground</t>
        </is>
      </c>
      <c r="I99" s="18" t="inlineStr">
        <is>
          <t>예</t>
        </is>
      </c>
      <c r="J99" s="18" t="inlineStr">
        <is>
          <t>예</t>
        </is>
      </c>
      <c r="K99" s="18" t="inlineStr">
        <is>
          <t>예</t>
        </is>
      </c>
      <c r="L99" s="18" t="inlineStr">
        <is>
          <t>Cobblemon 동일</t>
        </is>
      </c>
      <c r="M99" s="18">
        <f>COUNTIF('스폰_편집'!$D$5:$D$3125,A99)</f>
        <v/>
      </c>
      <c r="N99" s="18">
        <f>COUNTIFS('스폰_편집'!$D$5:$D$3125,A99,'스폰_편집'!$B$5:$B$3125,"사용")</f>
        <v/>
      </c>
      <c r="O99" s="18" t="n">
        <v>2</v>
      </c>
      <c r="P99" s="18" t="inlineStr">
        <is>
          <t>#cobblemon:is_overworld; #cobblemon:nether/is_basalt</t>
        </is>
      </c>
      <c r="Q99" s="18" t="inlineStr">
        <is>
          <t>uncommon</t>
        </is>
      </c>
      <c r="R99" s="18" t="inlineStr">
        <is>
          <t>region_01; region_02</t>
        </is>
      </c>
      <c r="S99" s="18" t="inlineStr">
        <is>
          <t>cobbleventure:generation_1</t>
        </is>
      </c>
      <c r="T99" s="18">
        <f>IF(M99=0,"없음",IF(N99=0,"전부 제외","사용"))</f>
        <v/>
      </c>
      <c r="U99" s="18" t="inlineStr"/>
    </row>
    <row r="100" ht="30" customHeight="1">
      <c r="A100" s="18" t="n">
        <v>96</v>
      </c>
      <c r="B100" s="18" t="inlineStr">
        <is>
          <t>슬리프</t>
        </is>
      </c>
      <c r="C100" s="18" t="inlineStr">
        <is>
          <t>drowzee</t>
        </is>
      </c>
      <c r="D100" s="18" t="inlineStr">
        <is>
          <t>Drowzee</t>
        </is>
      </c>
      <c r="E100" s="18" t="n">
        <v>1</v>
      </c>
      <c r="F100" s="18" t="inlineStr">
        <is>
          <t>generation1</t>
        </is>
      </c>
      <c r="G100" s="18" t="inlineStr">
        <is>
          <t>psychic</t>
        </is>
      </c>
      <c r="H100" s="18" t="inlineStr"/>
      <c r="I100" s="18" t="inlineStr">
        <is>
          <t>예</t>
        </is>
      </c>
      <c r="J100" s="18" t="inlineStr">
        <is>
          <t>예</t>
        </is>
      </c>
      <c r="K100" s="18" t="inlineStr">
        <is>
          <t>예</t>
        </is>
      </c>
      <c r="L100" s="18" t="inlineStr">
        <is>
          <t>Cobblemon 동일</t>
        </is>
      </c>
      <c r="M100" s="18">
        <f>COUNTIF('스폰_편집'!$D$5:$D$3125,A100)</f>
        <v/>
      </c>
      <c r="N100" s="18">
        <f>COUNTIFS('스폰_편집'!$D$5:$D$3125,A100,'스폰_편집'!$B$5:$B$3125,"사용")</f>
        <v/>
      </c>
      <c r="O100" s="18" t="n">
        <v>1</v>
      </c>
      <c r="P100" s="18" t="inlineStr">
        <is>
          <t>#cobblemon:is_overworld</t>
        </is>
      </c>
      <c r="Q100" s="18" t="inlineStr">
        <is>
          <t>common</t>
        </is>
      </c>
      <c r="R100" s="18" t="inlineStr">
        <is>
          <t>region_01; region_02</t>
        </is>
      </c>
      <c r="S100" s="18" t="inlineStr">
        <is>
          <t>cobbleventure:generation_1</t>
        </is>
      </c>
      <c r="T100" s="18">
        <f>IF(M100=0,"없음",IF(N100=0,"전부 제외","사용"))</f>
        <v/>
      </c>
      <c r="U100" s="18" t="inlineStr"/>
    </row>
    <row r="101" ht="30" customHeight="1">
      <c r="A101" s="18" t="n">
        <v>97</v>
      </c>
      <c r="B101" s="18" t="inlineStr">
        <is>
          <t>슬리퍼</t>
        </is>
      </c>
      <c r="C101" s="18" t="inlineStr">
        <is>
          <t>hypno</t>
        </is>
      </c>
      <c r="D101" s="18" t="inlineStr">
        <is>
          <t>Hypno</t>
        </is>
      </c>
      <c r="E101" s="18" t="n">
        <v>1</v>
      </c>
      <c r="F101" s="18" t="inlineStr">
        <is>
          <t>generation1</t>
        </is>
      </c>
      <c r="G101" s="18" t="inlineStr">
        <is>
          <t>psychic</t>
        </is>
      </c>
      <c r="H101" s="18" t="inlineStr"/>
      <c r="I101" s="18" t="inlineStr">
        <is>
          <t>예</t>
        </is>
      </c>
      <c r="J101" s="18" t="inlineStr">
        <is>
          <t>예</t>
        </is>
      </c>
      <c r="K101" s="18" t="inlineStr">
        <is>
          <t>예</t>
        </is>
      </c>
      <c r="L101" s="18" t="inlineStr">
        <is>
          <t>Cobblemon 동일</t>
        </is>
      </c>
      <c r="M101" s="18">
        <f>COUNTIF('스폰_편집'!$D$5:$D$3125,A101)</f>
        <v/>
      </c>
      <c r="N101" s="18">
        <f>COUNTIFS('스폰_편집'!$D$5:$D$3125,A101,'스폰_편집'!$B$5:$B$3125,"사용")</f>
        <v/>
      </c>
      <c r="O101" s="18" t="n">
        <v>1</v>
      </c>
      <c r="P101" s="18" t="inlineStr">
        <is>
          <t>#cobblemon:is_overworld</t>
        </is>
      </c>
      <c r="Q101" s="18" t="inlineStr">
        <is>
          <t>common</t>
        </is>
      </c>
      <c r="R101" s="18" t="inlineStr">
        <is>
          <t>region_01; region_02</t>
        </is>
      </c>
      <c r="S101" s="18" t="inlineStr">
        <is>
          <t>cobbleventure:generation_1</t>
        </is>
      </c>
      <c r="T101" s="18">
        <f>IF(M101=0,"없음",IF(N101=0,"전부 제외","사용"))</f>
        <v/>
      </c>
      <c r="U101" s="18" t="inlineStr"/>
    </row>
    <row r="102" ht="30" customHeight="1">
      <c r="A102" s="18" t="n">
        <v>98</v>
      </c>
      <c r="B102" s="18" t="inlineStr">
        <is>
          <t>크랩</t>
        </is>
      </c>
      <c r="C102" s="18" t="inlineStr">
        <is>
          <t>krabby</t>
        </is>
      </c>
      <c r="D102" s="18" t="inlineStr">
        <is>
          <t>Krabby</t>
        </is>
      </c>
      <c r="E102" s="18" t="n">
        <v>1</v>
      </c>
      <c r="F102" s="18" t="inlineStr">
        <is>
          <t>generation1</t>
        </is>
      </c>
      <c r="G102" s="18" t="inlineStr">
        <is>
          <t>water</t>
        </is>
      </c>
      <c r="H102" s="18" t="inlineStr"/>
      <c r="I102" s="18" t="inlineStr">
        <is>
          <t>예</t>
        </is>
      </c>
      <c r="J102" s="18" t="inlineStr">
        <is>
          <t>예</t>
        </is>
      </c>
      <c r="K102" s="18" t="inlineStr">
        <is>
          <t>예</t>
        </is>
      </c>
      <c r="L102" s="18" t="inlineStr">
        <is>
          <t>Cobblemon 동일</t>
        </is>
      </c>
      <c r="M102" s="18">
        <f>COUNTIF('스폰_편집'!$D$5:$D$3125,A102)</f>
        <v/>
      </c>
      <c r="N102" s="18">
        <f>COUNTIFS('스폰_편집'!$D$5:$D$3125,A102,'스폰_편집'!$B$5:$B$3125,"사용")</f>
        <v/>
      </c>
      <c r="O102" s="18" t="n">
        <v>3</v>
      </c>
      <c r="P102" s="18" t="inlineStr">
        <is>
          <t>#cobblemon:is_coast; #cobblemon:is_ocean; #cobblemon:is_overworld</t>
        </is>
      </c>
      <c r="Q102" s="18" t="inlineStr">
        <is>
          <t>common</t>
        </is>
      </c>
      <c r="R102" s="18" t="inlineStr">
        <is>
          <t>region_01; region_02</t>
        </is>
      </c>
      <c r="S102" s="18" t="inlineStr">
        <is>
          <t>cobbleventure:generation_1</t>
        </is>
      </c>
      <c r="T102" s="18">
        <f>IF(M102=0,"없음",IF(N102=0,"전부 제외","사용"))</f>
        <v/>
      </c>
      <c r="U102" s="18" t="inlineStr"/>
    </row>
    <row r="103" ht="30" customHeight="1">
      <c r="A103" s="18" t="n">
        <v>99</v>
      </c>
      <c r="B103" s="18" t="inlineStr">
        <is>
          <t>킹크랩</t>
        </is>
      </c>
      <c r="C103" s="18" t="inlineStr">
        <is>
          <t>kingler</t>
        </is>
      </c>
      <c r="D103" s="18" t="inlineStr">
        <is>
          <t>Kingler</t>
        </is>
      </c>
      <c r="E103" s="18" t="n">
        <v>1</v>
      </c>
      <c r="F103" s="18" t="inlineStr">
        <is>
          <t>generation1</t>
        </is>
      </c>
      <c r="G103" s="18" t="inlineStr">
        <is>
          <t>water</t>
        </is>
      </c>
      <c r="H103" s="18" t="inlineStr"/>
      <c r="I103" s="18" t="inlineStr">
        <is>
          <t>예</t>
        </is>
      </c>
      <c r="J103" s="18" t="inlineStr">
        <is>
          <t>예</t>
        </is>
      </c>
      <c r="K103" s="18" t="inlineStr">
        <is>
          <t>예</t>
        </is>
      </c>
      <c r="L103" s="18" t="inlineStr">
        <is>
          <t>Cobblemon 동일</t>
        </is>
      </c>
      <c r="M103" s="18">
        <f>COUNTIF('스폰_편집'!$D$5:$D$3125,A103)</f>
        <v/>
      </c>
      <c r="N103" s="18">
        <f>COUNTIFS('스폰_편집'!$D$5:$D$3125,A103,'스폰_편집'!$B$5:$B$3125,"사용")</f>
        <v/>
      </c>
      <c r="O103" s="18" t="n">
        <v>3</v>
      </c>
      <c r="P103" s="18" t="inlineStr">
        <is>
          <t>#cobblemon:is_coast; #cobblemon:is_ocean; #cobblemon:is_overworld</t>
        </is>
      </c>
      <c r="Q103" s="18" t="inlineStr">
        <is>
          <t>common</t>
        </is>
      </c>
      <c r="R103" s="18" t="inlineStr">
        <is>
          <t>region_01; region_02</t>
        </is>
      </c>
      <c r="S103" s="18" t="inlineStr">
        <is>
          <t>cobbleventure:generation_1</t>
        </is>
      </c>
      <c r="T103" s="18">
        <f>IF(M103=0,"없음",IF(N103=0,"전부 제외","사용"))</f>
        <v/>
      </c>
      <c r="U103" s="18" t="inlineStr"/>
    </row>
    <row r="104" ht="30" customHeight="1">
      <c r="A104" s="18" t="n">
        <v>100</v>
      </c>
      <c r="B104" s="18" t="inlineStr">
        <is>
          <t>찌리리공</t>
        </is>
      </c>
      <c r="C104" s="18" t="inlineStr">
        <is>
          <t>voltorb</t>
        </is>
      </c>
      <c r="D104" s="18" t="inlineStr">
        <is>
          <t>Voltorb</t>
        </is>
      </c>
      <c r="E104" s="18" t="n">
        <v>1</v>
      </c>
      <c r="F104" s="18" t="inlineStr">
        <is>
          <t>generation1</t>
        </is>
      </c>
      <c r="G104" s="18" t="inlineStr">
        <is>
          <t>electric</t>
        </is>
      </c>
      <c r="H104" s="18" t="inlineStr"/>
      <c r="I104" s="18" t="inlineStr">
        <is>
          <t>예</t>
        </is>
      </c>
      <c r="J104" s="18" t="inlineStr">
        <is>
          <t>예</t>
        </is>
      </c>
      <c r="K104" s="18" t="inlineStr">
        <is>
          <t>예</t>
        </is>
      </c>
      <c r="L104" s="18" t="inlineStr">
        <is>
          <t>COBBLEVERSE 수정</t>
        </is>
      </c>
      <c r="M104" s="18">
        <f>COUNTIF('스폰_편집'!$D$5:$D$3125,A104)</f>
        <v/>
      </c>
      <c r="N104" s="18">
        <f>COUNTIFS('스폰_편집'!$D$5:$D$3125,A104,'스폰_편집'!$B$5:$B$3125,"사용")</f>
        <v/>
      </c>
      <c r="O104" s="18" t="n">
        <v>1</v>
      </c>
      <c r="P104" s="18" t="inlineStr">
        <is>
          <t>#cobblemon:is_overworld</t>
        </is>
      </c>
      <c r="Q104" s="18" t="inlineStr">
        <is>
          <t>common; uncommon</t>
        </is>
      </c>
      <c r="R104" s="18" t="inlineStr">
        <is>
          <t>region_01; region_02</t>
        </is>
      </c>
      <c r="S104" s="18" t="inlineStr">
        <is>
          <t>cobbleventure:generation_1</t>
        </is>
      </c>
      <c r="T104" s="18">
        <f>IF(M104=0,"없음",IF(N104=0,"전부 제외","사용"))</f>
        <v/>
      </c>
      <c r="U104" s="18" t="inlineStr"/>
    </row>
    <row r="105" ht="30" customHeight="1">
      <c r="A105" s="18" t="n">
        <v>101</v>
      </c>
      <c r="B105" s="18" t="inlineStr">
        <is>
          <t>붐볼</t>
        </is>
      </c>
      <c r="C105" s="18" t="inlineStr">
        <is>
          <t>electrode</t>
        </is>
      </c>
      <c r="D105" s="18" t="inlineStr">
        <is>
          <t>Electrode</t>
        </is>
      </c>
      <c r="E105" s="18" t="n">
        <v>1</v>
      </c>
      <c r="F105" s="18" t="inlineStr">
        <is>
          <t>generation1</t>
        </is>
      </c>
      <c r="G105" s="18" t="inlineStr">
        <is>
          <t>electric</t>
        </is>
      </c>
      <c r="H105" s="18" t="inlineStr"/>
      <c r="I105" s="18" t="inlineStr">
        <is>
          <t>예</t>
        </is>
      </c>
      <c r="J105" s="18" t="inlineStr">
        <is>
          <t>예</t>
        </is>
      </c>
      <c r="K105" s="18" t="inlineStr">
        <is>
          <t>예</t>
        </is>
      </c>
      <c r="L105" s="18" t="inlineStr">
        <is>
          <t>Cobblemon 동일</t>
        </is>
      </c>
      <c r="M105" s="18">
        <f>COUNTIF('스폰_편집'!$D$5:$D$3125,A105)</f>
        <v/>
      </c>
      <c r="N105" s="18">
        <f>COUNTIFS('스폰_편집'!$D$5:$D$3125,A105,'스폰_편집'!$B$5:$B$3125,"사용")</f>
        <v/>
      </c>
      <c r="O105" s="18" t="n">
        <v>1</v>
      </c>
      <c r="P105" s="18" t="inlineStr">
        <is>
          <t>#cobblemon:is_overworld</t>
        </is>
      </c>
      <c r="Q105" s="18" t="inlineStr">
        <is>
          <t>common; uncommon</t>
        </is>
      </c>
      <c r="R105" s="18" t="inlineStr">
        <is>
          <t>region_01; region_02</t>
        </is>
      </c>
      <c r="S105" s="18" t="inlineStr">
        <is>
          <t>cobbleventure:generation_1</t>
        </is>
      </c>
      <c r="T105" s="18">
        <f>IF(M105=0,"없음",IF(N105=0,"전부 제외","사용"))</f>
        <v/>
      </c>
      <c r="U105" s="18" t="inlineStr"/>
    </row>
    <row r="106" ht="30" customHeight="1">
      <c r="A106" s="18" t="n">
        <v>102</v>
      </c>
      <c r="B106" s="18" t="inlineStr">
        <is>
          <t>아라리</t>
        </is>
      </c>
      <c r="C106" s="18" t="inlineStr">
        <is>
          <t>exeggcute</t>
        </is>
      </c>
      <c r="D106" s="18" t="inlineStr">
        <is>
          <t>Exeggcute</t>
        </is>
      </c>
      <c r="E106" s="18" t="n">
        <v>1</v>
      </c>
      <c r="F106" s="18" t="inlineStr">
        <is>
          <t>generation1</t>
        </is>
      </c>
      <c r="G106" s="18" t="inlineStr">
        <is>
          <t>grass</t>
        </is>
      </c>
      <c r="H106" s="18" t="inlineStr">
        <is>
          <t>psychic</t>
        </is>
      </c>
      <c r="I106" s="18" t="inlineStr">
        <is>
          <t>예</t>
        </is>
      </c>
      <c r="J106" s="18" t="inlineStr">
        <is>
          <t>예</t>
        </is>
      </c>
      <c r="K106" s="18" t="inlineStr">
        <is>
          <t>예</t>
        </is>
      </c>
      <c r="L106" s="18" t="inlineStr">
        <is>
          <t>Cobblemon 동일</t>
        </is>
      </c>
      <c r="M106" s="18">
        <f>COUNTIF('스폰_편집'!$D$5:$D$3125,A106)</f>
        <v/>
      </c>
      <c r="N106" s="18">
        <f>COUNTIFS('스폰_편집'!$D$5:$D$3125,A106,'스폰_편집'!$B$5:$B$3125,"사용")</f>
        <v/>
      </c>
      <c r="O106" s="18" t="n">
        <v>4</v>
      </c>
      <c r="P106" s="18" t="inlineStr">
        <is>
          <t>#cobblemon:is_beach; #cobblemon:is_jungle; #cobblemon:is_savanna; #cobblemon:is_tropical_island</t>
        </is>
      </c>
      <c r="Q106" s="18" t="inlineStr">
        <is>
          <t>common; uncommon</t>
        </is>
      </c>
      <c r="R106" s="18" t="inlineStr"/>
      <c r="S106" s="18" t="inlineStr">
        <is>
          <t>cobbleventure:generation_1</t>
        </is>
      </c>
      <c r="T106" s="18">
        <f>IF(M106=0,"없음",IF(N106=0,"전부 제외","사용"))</f>
        <v/>
      </c>
      <c r="U106" s="18" t="inlineStr"/>
    </row>
    <row r="107" ht="30" customHeight="1">
      <c r="A107" s="18" t="n">
        <v>103</v>
      </c>
      <c r="B107" s="18" t="inlineStr">
        <is>
          <t>나시</t>
        </is>
      </c>
      <c r="C107" s="18" t="inlineStr">
        <is>
          <t>exeggutor</t>
        </is>
      </c>
      <c r="D107" s="18" t="inlineStr">
        <is>
          <t>Exeggutor</t>
        </is>
      </c>
      <c r="E107" s="18" t="n">
        <v>1</v>
      </c>
      <c r="F107" s="18" t="inlineStr">
        <is>
          <t>generation1</t>
        </is>
      </c>
      <c r="G107" s="18" t="inlineStr">
        <is>
          <t>grass</t>
        </is>
      </c>
      <c r="H107" s="18" t="inlineStr">
        <is>
          <t>psychic</t>
        </is>
      </c>
      <c r="I107" s="18" t="inlineStr">
        <is>
          <t>예</t>
        </is>
      </c>
      <c r="J107" s="18" t="inlineStr">
        <is>
          <t>예</t>
        </is>
      </c>
      <c r="K107" s="18" t="inlineStr">
        <is>
          <t>예</t>
        </is>
      </c>
      <c r="L107" s="18" t="inlineStr">
        <is>
          <t>Cobblemon 동일</t>
        </is>
      </c>
      <c r="M107" s="18">
        <f>COUNTIF('스폰_편집'!$D$5:$D$3125,A107)</f>
        <v/>
      </c>
      <c r="N107" s="18">
        <f>COUNTIFS('스폰_편집'!$D$5:$D$3125,A107,'스폰_편집'!$B$5:$B$3125,"사용")</f>
        <v/>
      </c>
      <c r="O107" s="18" t="n">
        <v>4</v>
      </c>
      <c r="P107" s="18" t="inlineStr">
        <is>
          <t>#cobblemon:is_beach; #cobblemon:is_jungle; #cobblemon:is_savanna; #cobblemon:is_tropical_island</t>
        </is>
      </c>
      <c r="Q107" s="18" t="inlineStr">
        <is>
          <t>common; uncommon</t>
        </is>
      </c>
      <c r="R107" s="18" t="inlineStr"/>
      <c r="S107" s="18" t="inlineStr">
        <is>
          <t>cobbleventure:generation_1</t>
        </is>
      </c>
      <c r="T107" s="18">
        <f>IF(M107=0,"없음",IF(N107=0,"전부 제외","사용"))</f>
        <v/>
      </c>
      <c r="U107" s="18" t="inlineStr"/>
    </row>
    <row r="108" ht="30" customHeight="1">
      <c r="A108" s="18" t="n">
        <v>104</v>
      </c>
      <c r="B108" s="18" t="inlineStr">
        <is>
          <t>탕구리</t>
        </is>
      </c>
      <c r="C108" s="18" t="inlineStr">
        <is>
          <t>cubone</t>
        </is>
      </c>
      <c r="D108" s="18" t="inlineStr">
        <is>
          <t>Cubone</t>
        </is>
      </c>
      <c r="E108" s="18" t="n">
        <v>1</v>
      </c>
      <c r="F108" s="18" t="inlineStr">
        <is>
          <t>generation1</t>
        </is>
      </c>
      <c r="G108" s="18" t="inlineStr">
        <is>
          <t>ground</t>
        </is>
      </c>
      <c r="H108" s="18" t="inlineStr"/>
      <c r="I108" s="18" t="inlineStr">
        <is>
          <t>예</t>
        </is>
      </c>
      <c r="J108" s="18" t="inlineStr">
        <is>
          <t>예</t>
        </is>
      </c>
      <c r="K108" s="18" t="inlineStr">
        <is>
          <t>예</t>
        </is>
      </c>
      <c r="L108" s="18" t="inlineStr">
        <is>
          <t>Cobblemon 동일</t>
        </is>
      </c>
      <c r="M108" s="18">
        <f>COUNTIF('스폰_편집'!$D$5:$D$3125,A108)</f>
        <v/>
      </c>
      <c r="N108" s="18">
        <f>COUNTIFS('스폰_편집'!$D$5:$D$3125,A108,'스폰_편집'!$B$5:$B$3125,"사용")</f>
        <v/>
      </c>
      <c r="O108" s="18" t="n">
        <v>4</v>
      </c>
      <c r="P108" s="18" t="inlineStr">
        <is>
          <t>#cobblemon:is_badlands; #cobblemon:is_desert; #cobblemon:is_volcanic; #cobblemon:nether/is_desert</t>
        </is>
      </c>
      <c r="Q108" s="18" t="inlineStr">
        <is>
          <t>common</t>
        </is>
      </c>
      <c r="R108" s="18" t="inlineStr">
        <is>
          <t>region_02</t>
        </is>
      </c>
      <c r="S108" s="18" t="inlineStr">
        <is>
          <t>cobbleventure:generation_1</t>
        </is>
      </c>
      <c r="T108" s="18">
        <f>IF(M108=0,"없음",IF(N108=0,"전부 제외","사용"))</f>
        <v/>
      </c>
      <c r="U108" s="18" t="inlineStr"/>
    </row>
    <row r="109" ht="30" customHeight="1">
      <c r="A109" s="18" t="n">
        <v>105</v>
      </c>
      <c r="B109" s="18" t="inlineStr">
        <is>
          <t>텅구리</t>
        </is>
      </c>
      <c r="C109" s="18" t="inlineStr">
        <is>
          <t>marowak</t>
        </is>
      </c>
      <c r="D109" s="18" t="inlineStr">
        <is>
          <t>Marowak</t>
        </is>
      </c>
      <c r="E109" s="18" t="n">
        <v>1</v>
      </c>
      <c r="F109" s="18" t="inlineStr">
        <is>
          <t>generation1</t>
        </is>
      </c>
      <c r="G109" s="18" t="inlineStr">
        <is>
          <t>ground</t>
        </is>
      </c>
      <c r="H109" s="18" t="inlineStr"/>
      <c r="I109" s="18" t="inlineStr">
        <is>
          <t>예</t>
        </is>
      </c>
      <c r="J109" s="18" t="inlineStr">
        <is>
          <t>예</t>
        </is>
      </c>
      <c r="K109" s="18" t="inlineStr">
        <is>
          <t>예</t>
        </is>
      </c>
      <c r="L109" s="18" t="inlineStr">
        <is>
          <t>Cobblemon 동일</t>
        </is>
      </c>
      <c r="M109" s="18">
        <f>COUNTIF('스폰_편집'!$D$5:$D$3125,A109)</f>
        <v/>
      </c>
      <c r="N109" s="18">
        <f>COUNTIFS('스폰_편집'!$D$5:$D$3125,A109,'스폰_편집'!$B$5:$B$3125,"사용")</f>
        <v/>
      </c>
      <c r="O109" s="18" t="n">
        <v>4</v>
      </c>
      <c r="P109" s="18" t="inlineStr">
        <is>
          <t>#cobblemon:is_badlands; #cobblemon:is_desert; #cobblemon:is_volcanic; #cobblemon:nether/is_desert</t>
        </is>
      </c>
      <c r="Q109" s="18" t="inlineStr">
        <is>
          <t>common</t>
        </is>
      </c>
      <c r="R109" s="18" t="inlineStr">
        <is>
          <t>region_02</t>
        </is>
      </c>
      <c r="S109" s="18" t="inlineStr">
        <is>
          <t>cobbleventure:generation_1</t>
        </is>
      </c>
      <c r="T109" s="18">
        <f>IF(M109=0,"없음",IF(N109=0,"전부 제외","사용"))</f>
        <v/>
      </c>
      <c r="U109" s="18" t="inlineStr"/>
    </row>
    <row r="110" ht="30" customHeight="1">
      <c r="A110" s="18" t="n">
        <v>106</v>
      </c>
      <c r="B110" s="18" t="inlineStr">
        <is>
          <t>시라소몬</t>
        </is>
      </c>
      <c r="C110" s="18" t="inlineStr">
        <is>
          <t>hitmonlee</t>
        </is>
      </c>
      <c r="D110" s="18" t="inlineStr">
        <is>
          <t>Hitmonlee</t>
        </is>
      </c>
      <c r="E110" s="18" t="n">
        <v>1</v>
      </c>
      <c r="F110" s="18" t="inlineStr">
        <is>
          <t>generation1</t>
        </is>
      </c>
      <c r="G110" s="18" t="inlineStr">
        <is>
          <t>fighting</t>
        </is>
      </c>
      <c r="H110" s="18" t="inlineStr"/>
      <c r="I110" s="18" t="inlineStr">
        <is>
          <t>예</t>
        </is>
      </c>
      <c r="J110" s="18" t="inlineStr">
        <is>
          <t>예</t>
        </is>
      </c>
      <c r="K110" s="18" t="inlineStr">
        <is>
          <t>예</t>
        </is>
      </c>
      <c r="L110" s="18" t="inlineStr">
        <is>
          <t>Cobblemon 동일</t>
        </is>
      </c>
      <c r="M110" s="18">
        <f>COUNTIF('스폰_편집'!$D$5:$D$3125,A110)</f>
        <v/>
      </c>
      <c r="N110" s="18">
        <f>COUNTIFS('스폰_편집'!$D$5:$D$3125,A110,'스폰_편집'!$B$5:$B$3125,"사용")</f>
        <v/>
      </c>
      <c r="O110" s="18" t="n">
        <v>1</v>
      </c>
      <c r="P110" s="18" t="inlineStr">
        <is>
          <t>#cobblemon:is_hills</t>
        </is>
      </c>
      <c r="Q110" s="18" t="inlineStr">
        <is>
          <t>uncommon</t>
        </is>
      </c>
      <c r="R110" s="18" t="inlineStr"/>
      <c r="S110" s="18" t="inlineStr">
        <is>
          <t>cobbleventure:generation_1</t>
        </is>
      </c>
      <c r="T110" s="18">
        <f>IF(M110=0,"없음",IF(N110=0,"전부 제외","사용"))</f>
        <v/>
      </c>
      <c r="U110" s="18" t="inlineStr"/>
    </row>
    <row r="111" ht="30" customHeight="1">
      <c r="A111" s="18" t="n">
        <v>107</v>
      </c>
      <c r="B111" s="18" t="inlineStr">
        <is>
          <t>홍수몬</t>
        </is>
      </c>
      <c r="C111" s="18" t="inlineStr">
        <is>
          <t>hitmonchan</t>
        </is>
      </c>
      <c r="D111" s="18" t="inlineStr">
        <is>
          <t>Hitmonchan</t>
        </is>
      </c>
      <c r="E111" s="18" t="n">
        <v>1</v>
      </c>
      <c r="F111" s="18" t="inlineStr">
        <is>
          <t>generation1</t>
        </is>
      </c>
      <c r="G111" s="18" t="inlineStr">
        <is>
          <t>fighting</t>
        </is>
      </c>
      <c r="H111" s="18" t="inlineStr"/>
      <c r="I111" s="18" t="inlineStr">
        <is>
          <t>예</t>
        </is>
      </c>
      <c r="J111" s="18" t="inlineStr">
        <is>
          <t>예</t>
        </is>
      </c>
      <c r="K111" s="18" t="inlineStr">
        <is>
          <t>예</t>
        </is>
      </c>
      <c r="L111" s="18" t="inlineStr">
        <is>
          <t>Cobblemon 동일</t>
        </is>
      </c>
      <c r="M111" s="18">
        <f>COUNTIF('스폰_편집'!$D$5:$D$3125,A111)</f>
        <v/>
      </c>
      <c r="N111" s="18">
        <f>COUNTIFS('스폰_편집'!$D$5:$D$3125,A111,'스폰_편집'!$B$5:$B$3125,"사용")</f>
        <v/>
      </c>
      <c r="O111" s="18" t="n">
        <v>1</v>
      </c>
      <c r="P111" s="18" t="inlineStr">
        <is>
          <t>#cobblemon:is_hills</t>
        </is>
      </c>
      <c r="Q111" s="18" t="inlineStr">
        <is>
          <t>uncommon</t>
        </is>
      </c>
      <c r="R111" s="18" t="inlineStr"/>
      <c r="S111" s="18" t="inlineStr">
        <is>
          <t>cobbleventure:generation_1</t>
        </is>
      </c>
      <c r="T111" s="18">
        <f>IF(M111=0,"없음",IF(N111=0,"전부 제외","사용"))</f>
        <v/>
      </c>
      <c r="U111" s="18" t="inlineStr"/>
    </row>
    <row r="112" ht="30" customHeight="1">
      <c r="A112" s="18" t="n">
        <v>108</v>
      </c>
      <c r="B112" s="18" t="inlineStr">
        <is>
          <t>내루미</t>
        </is>
      </c>
      <c r="C112" s="18" t="inlineStr">
        <is>
          <t>lickitung</t>
        </is>
      </c>
      <c r="D112" s="18" t="inlineStr">
        <is>
          <t>Lickitung</t>
        </is>
      </c>
      <c r="E112" s="18" t="n">
        <v>1</v>
      </c>
      <c r="F112" s="18" t="inlineStr">
        <is>
          <t>generation1</t>
        </is>
      </c>
      <c r="G112" s="18" t="inlineStr">
        <is>
          <t>normal</t>
        </is>
      </c>
      <c r="H112" s="18" t="inlineStr"/>
      <c r="I112" s="18" t="inlineStr">
        <is>
          <t>예</t>
        </is>
      </c>
      <c r="J112" s="18" t="inlineStr">
        <is>
          <t>예</t>
        </is>
      </c>
      <c r="K112" s="18" t="inlineStr">
        <is>
          <t>예</t>
        </is>
      </c>
      <c r="L112" s="18" t="inlineStr">
        <is>
          <t>Cobblemon 동일</t>
        </is>
      </c>
      <c r="M112" s="18">
        <f>COUNTIF('스폰_편집'!$D$5:$D$3125,A112)</f>
        <v/>
      </c>
      <c r="N112" s="18">
        <f>COUNTIFS('스폰_편집'!$D$5:$D$3125,A112,'스폰_편집'!$B$5:$B$3125,"사용")</f>
        <v/>
      </c>
      <c r="O112" s="18" t="n">
        <v>1</v>
      </c>
      <c r="P112" s="18" t="inlineStr">
        <is>
          <t>#cobblemon:is_grassland</t>
        </is>
      </c>
      <c r="Q112" s="18" t="inlineStr">
        <is>
          <t>uncommon</t>
        </is>
      </c>
      <c r="R112" s="18" t="inlineStr">
        <is>
          <t>region_01</t>
        </is>
      </c>
      <c r="S112" s="18" t="inlineStr">
        <is>
          <t>cobbleventure:generation_1</t>
        </is>
      </c>
      <c r="T112" s="18">
        <f>IF(M112=0,"없음",IF(N112=0,"전부 제외","사용"))</f>
        <v/>
      </c>
      <c r="U112" s="18" t="inlineStr"/>
    </row>
    <row r="113" ht="30" customHeight="1">
      <c r="A113" s="18" t="n">
        <v>109</v>
      </c>
      <c r="B113" s="18" t="inlineStr">
        <is>
          <t>또가스</t>
        </is>
      </c>
      <c r="C113" s="18" t="inlineStr">
        <is>
          <t>koffing</t>
        </is>
      </c>
      <c r="D113" s="18" t="inlineStr">
        <is>
          <t>Koffing</t>
        </is>
      </c>
      <c r="E113" s="18" t="n">
        <v>1</v>
      </c>
      <c r="F113" s="18" t="inlineStr">
        <is>
          <t>generation1</t>
        </is>
      </c>
      <c r="G113" s="18" t="inlineStr">
        <is>
          <t>poison</t>
        </is>
      </c>
      <c r="H113" s="18" t="inlineStr"/>
      <c r="I113" s="18" t="inlineStr">
        <is>
          <t>예</t>
        </is>
      </c>
      <c r="J113" s="18" t="inlineStr">
        <is>
          <t>예</t>
        </is>
      </c>
      <c r="K113" s="18" t="inlineStr">
        <is>
          <t>예</t>
        </is>
      </c>
      <c r="L113" s="18" t="inlineStr">
        <is>
          <t>COBBLEVERSE 수정</t>
        </is>
      </c>
      <c r="M113" s="18">
        <f>COUNTIF('스폰_편집'!$D$5:$D$3125,A113)</f>
        <v/>
      </c>
      <c r="N113" s="18">
        <f>COUNTIFS('스폰_편집'!$D$5:$D$3125,A113,'스폰_편집'!$B$5:$B$3125,"사용")</f>
        <v/>
      </c>
      <c r="O113" s="18" t="n">
        <v>4</v>
      </c>
      <c r="P113" s="18" t="inlineStr">
        <is>
          <t>#cobblemon:is_magical; #cobblemon:is_overworld; #cobblemon:is_spooky; minecraft:soul_sand_valley</t>
        </is>
      </c>
      <c r="Q113" s="18" t="inlineStr">
        <is>
          <t>common</t>
        </is>
      </c>
      <c r="R113" s="18" t="inlineStr">
        <is>
          <t>region_01; region_02</t>
        </is>
      </c>
      <c r="S113" s="18" t="inlineStr">
        <is>
          <t>cobbleventure:generation_1</t>
        </is>
      </c>
      <c r="T113" s="18">
        <f>IF(M113=0,"없음",IF(N113=0,"전부 제외","사용"))</f>
        <v/>
      </c>
      <c r="U113" s="18" t="inlineStr"/>
    </row>
    <row r="114" ht="30" customHeight="1">
      <c r="A114" s="18" t="n">
        <v>110</v>
      </c>
      <c r="B114" s="18" t="inlineStr">
        <is>
          <t>또도가스</t>
        </is>
      </c>
      <c r="C114" s="18" t="inlineStr">
        <is>
          <t>weezing</t>
        </is>
      </c>
      <c r="D114" s="18" t="inlineStr">
        <is>
          <t>Weezing</t>
        </is>
      </c>
      <c r="E114" s="18" t="n">
        <v>1</v>
      </c>
      <c r="F114" s="18" t="inlineStr">
        <is>
          <t>generation1</t>
        </is>
      </c>
      <c r="G114" s="18" t="inlineStr">
        <is>
          <t>poison</t>
        </is>
      </c>
      <c r="H114" s="18" t="inlineStr"/>
      <c r="I114" s="18" t="inlineStr">
        <is>
          <t>예</t>
        </is>
      </c>
      <c r="J114" s="18" t="inlineStr">
        <is>
          <t>예</t>
        </is>
      </c>
      <c r="K114" s="18" t="inlineStr">
        <is>
          <t>예</t>
        </is>
      </c>
      <c r="L114" s="18" t="inlineStr">
        <is>
          <t>COBBLEVERSE 수정</t>
        </is>
      </c>
      <c r="M114" s="18">
        <f>COUNTIF('스폰_편집'!$D$5:$D$3125,A114)</f>
        <v/>
      </c>
      <c r="N114" s="18">
        <f>COUNTIFS('스폰_편집'!$D$5:$D$3125,A114,'스폰_편집'!$B$5:$B$3125,"사용")</f>
        <v/>
      </c>
      <c r="O114" s="18" t="n">
        <v>4</v>
      </c>
      <c r="P114" s="18" t="inlineStr">
        <is>
          <t>#cobblemon:is_magical; #cobblemon:is_overworld; #cobblemon:is_spooky; minecraft:soul_sand_valley</t>
        </is>
      </c>
      <c r="Q114" s="18" t="inlineStr">
        <is>
          <t>common</t>
        </is>
      </c>
      <c r="R114" s="18" t="inlineStr">
        <is>
          <t>region_01; region_02</t>
        </is>
      </c>
      <c r="S114" s="18" t="inlineStr">
        <is>
          <t>cobbleventure:generation_1</t>
        </is>
      </c>
      <c r="T114" s="18">
        <f>IF(M114=0,"없음",IF(N114=0,"전부 제외","사용"))</f>
        <v/>
      </c>
      <c r="U114" s="18" t="inlineStr"/>
    </row>
    <row r="115" ht="30" customHeight="1">
      <c r="A115" s="18" t="n">
        <v>111</v>
      </c>
      <c r="B115" s="18" t="inlineStr">
        <is>
          <t>뿔카노</t>
        </is>
      </c>
      <c r="C115" s="18" t="inlineStr">
        <is>
          <t>rhyhorn</t>
        </is>
      </c>
      <c r="D115" s="18" t="inlineStr">
        <is>
          <t>Rhyhorn</t>
        </is>
      </c>
      <c r="E115" s="18" t="n">
        <v>1</v>
      </c>
      <c r="F115" s="18" t="inlineStr">
        <is>
          <t>generation1</t>
        </is>
      </c>
      <c r="G115" s="18" t="inlineStr">
        <is>
          <t>ground</t>
        </is>
      </c>
      <c r="H115" s="18" t="inlineStr">
        <is>
          <t>rock</t>
        </is>
      </c>
      <c r="I115" s="18" t="inlineStr">
        <is>
          <t>예</t>
        </is>
      </c>
      <c r="J115" s="18" t="inlineStr">
        <is>
          <t>예</t>
        </is>
      </c>
      <c r="K115" s="18" t="inlineStr">
        <is>
          <t>예</t>
        </is>
      </c>
      <c r="L115" s="18" t="inlineStr">
        <is>
          <t>Cobblemon 동일</t>
        </is>
      </c>
      <c r="M115" s="18">
        <f>COUNTIF('스폰_편집'!$D$5:$D$3125,A115)</f>
        <v/>
      </c>
      <c r="N115" s="18">
        <f>COUNTIFS('스폰_편집'!$D$5:$D$3125,A115,'스폰_편집'!$B$5:$B$3125,"사용")</f>
        <v/>
      </c>
      <c r="O115" s="18" t="n">
        <v>2</v>
      </c>
      <c r="P115" s="18" t="inlineStr">
        <is>
          <t>#cobblemon:is_mountain; #cobblemon:is_savanna</t>
        </is>
      </c>
      <c r="Q115" s="18" t="inlineStr">
        <is>
          <t>common</t>
        </is>
      </c>
      <c r="R115" s="18" t="inlineStr"/>
      <c r="S115" s="18" t="inlineStr">
        <is>
          <t>cobbleventure:generation_1</t>
        </is>
      </c>
      <c r="T115" s="18">
        <f>IF(M115=0,"없음",IF(N115=0,"전부 제외","사용"))</f>
        <v/>
      </c>
      <c r="U115" s="18" t="inlineStr"/>
    </row>
    <row r="116" ht="30" customHeight="1">
      <c r="A116" s="18" t="n">
        <v>112</v>
      </c>
      <c r="B116" s="18" t="inlineStr">
        <is>
          <t>코뿌리</t>
        </is>
      </c>
      <c r="C116" s="18" t="inlineStr">
        <is>
          <t>rhydon</t>
        </is>
      </c>
      <c r="D116" s="18" t="inlineStr">
        <is>
          <t>Rhydon</t>
        </is>
      </c>
      <c r="E116" s="18" t="n">
        <v>1</v>
      </c>
      <c r="F116" s="18" t="inlineStr">
        <is>
          <t>generation1</t>
        </is>
      </c>
      <c r="G116" s="18" t="inlineStr">
        <is>
          <t>ground</t>
        </is>
      </c>
      <c r="H116" s="18" t="inlineStr">
        <is>
          <t>rock</t>
        </is>
      </c>
      <c r="I116" s="18" t="inlineStr">
        <is>
          <t>예</t>
        </is>
      </c>
      <c r="J116" s="18" t="inlineStr">
        <is>
          <t>예</t>
        </is>
      </c>
      <c r="K116" s="18" t="inlineStr">
        <is>
          <t>예</t>
        </is>
      </c>
      <c r="L116" s="18" t="inlineStr">
        <is>
          <t>Cobblemon 동일</t>
        </is>
      </c>
      <c r="M116" s="18">
        <f>COUNTIF('스폰_편집'!$D$5:$D$3125,A116)</f>
        <v/>
      </c>
      <c r="N116" s="18">
        <f>COUNTIFS('스폰_편집'!$D$5:$D$3125,A116,'스폰_편집'!$B$5:$B$3125,"사용")</f>
        <v/>
      </c>
      <c r="O116" s="18" t="n">
        <v>2</v>
      </c>
      <c r="P116" s="18" t="inlineStr">
        <is>
          <t>#cobblemon:is_mountain; #cobblemon:is_savanna</t>
        </is>
      </c>
      <c r="Q116" s="18" t="inlineStr">
        <is>
          <t>common</t>
        </is>
      </c>
      <c r="R116" s="18" t="inlineStr"/>
      <c r="S116" s="18" t="inlineStr">
        <is>
          <t>cobbleventure:generation_1</t>
        </is>
      </c>
      <c r="T116" s="18">
        <f>IF(M116=0,"없음",IF(N116=0,"전부 제외","사용"))</f>
        <v/>
      </c>
      <c r="U116" s="18" t="inlineStr"/>
    </row>
    <row r="117" ht="30" customHeight="1">
      <c r="A117" s="18" t="n">
        <v>113</v>
      </c>
      <c r="B117" s="18" t="inlineStr">
        <is>
          <t>럭키</t>
        </is>
      </c>
      <c r="C117" s="18" t="inlineStr">
        <is>
          <t>chansey</t>
        </is>
      </c>
      <c r="D117" s="18" t="inlineStr">
        <is>
          <t>Chansey</t>
        </is>
      </c>
      <c r="E117" s="18" t="n">
        <v>1</v>
      </c>
      <c r="F117" s="18" t="inlineStr">
        <is>
          <t>generation1</t>
        </is>
      </c>
      <c r="G117" s="18" t="inlineStr">
        <is>
          <t>normal</t>
        </is>
      </c>
      <c r="H117" s="18" t="inlineStr"/>
      <c r="I117" s="18" t="inlineStr">
        <is>
          <t>예</t>
        </is>
      </c>
      <c r="J117" s="18" t="inlineStr">
        <is>
          <t>예</t>
        </is>
      </c>
      <c r="K117" s="18" t="inlineStr">
        <is>
          <t>예</t>
        </is>
      </c>
      <c r="L117" s="18" t="inlineStr">
        <is>
          <t>COBBLEVERSE 수정</t>
        </is>
      </c>
      <c r="M117" s="18">
        <f>COUNTIF('스폰_편집'!$D$5:$D$3125,A117)</f>
        <v/>
      </c>
      <c r="N117" s="18">
        <f>COUNTIFS('스폰_편집'!$D$5:$D$3125,A117,'스폰_편집'!$B$5:$B$3125,"사용")</f>
        <v/>
      </c>
      <c r="O117" s="18" t="n">
        <v>2</v>
      </c>
      <c r="P117" s="18" t="inlineStr">
        <is>
          <t>#aether:is_aether; #cobblemon:is_overworld</t>
        </is>
      </c>
      <c r="Q117" s="18" t="inlineStr">
        <is>
          <t>rare</t>
        </is>
      </c>
      <c r="R117" s="18" t="inlineStr">
        <is>
          <t>region_01; region_02</t>
        </is>
      </c>
      <c r="S117" s="18" t="inlineStr">
        <is>
          <t>cobbleventure:generation_1</t>
        </is>
      </c>
      <c r="T117" s="18">
        <f>IF(M117=0,"없음",IF(N117=0,"전부 제외","사용"))</f>
        <v/>
      </c>
      <c r="U117" s="18" t="inlineStr"/>
    </row>
    <row r="118" ht="30" customHeight="1">
      <c r="A118" s="18" t="n">
        <v>114</v>
      </c>
      <c r="B118" s="18" t="inlineStr">
        <is>
          <t>덩쿠리</t>
        </is>
      </c>
      <c r="C118" s="18" t="inlineStr">
        <is>
          <t>tangela</t>
        </is>
      </c>
      <c r="D118" s="18" t="inlineStr">
        <is>
          <t>Tangela</t>
        </is>
      </c>
      <c r="E118" s="18" t="n">
        <v>1</v>
      </c>
      <c r="F118" s="18" t="inlineStr">
        <is>
          <t>generation1</t>
        </is>
      </c>
      <c r="G118" s="18" t="inlineStr">
        <is>
          <t>grass</t>
        </is>
      </c>
      <c r="H118" s="18" t="inlineStr"/>
      <c r="I118" s="18" t="inlineStr">
        <is>
          <t>예</t>
        </is>
      </c>
      <c r="J118" s="18" t="inlineStr">
        <is>
          <t>예</t>
        </is>
      </c>
      <c r="K118" s="18" t="inlineStr">
        <is>
          <t>예</t>
        </is>
      </c>
      <c r="L118" s="18" t="inlineStr">
        <is>
          <t>Cobblemon 동일</t>
        </is>
      </c>
      <c r="M118" s="18">
        <f>COUNTIF('스폰_편집'!$D$5:$D$3125,A118)</f>
        <v/>
      </c>
      <c r="N118" s="18">
        <f>COUNTIFS('스폰_편집'!$D$5:$D$3125,A118,'스폰_편집'!$B$5:$B$3125,"사용")</f>
        <v/>
      </c>
      <c r="O118" s="18" t="n">
        <v>1</v>
      </c>
      <c r="P118" s="18" t="inlineStr">
        <is>
          <t>#cobblemon:is_jungle</t>
        </is>
      </c>
      <c r="Q118" s="18" t="inlineStr">
        <is>
          <t>common</t>
        </is>
      </c>
      <c r="R118" s="18" t="inlineStr"/>
      <c r="S118" s="18" t="inlineStr">
        <is>
          <t>cobbleventure:generation_1</t>
        </is>
      </c>
      <c r="T118" s="18">
        <f>IF(M118=0,"없음",IF(N118=0,"전부 제외","사용"))</f>
        <v/>
      </c>
      <c r="U118" s="18" t="inlineStr"/>
    </row>
    <row r="119" ht="30" customHeight="1">
      <c r="A119" s="18" t="n">
        <v>115</v>
      </c>
      <c r="B119" s="18" t="inlineStr">
        <is>
          <t>캥카</t>
        </is>
      </c>
      <c r="C119" s="18" t="inlineStr">
        <is>
          <t>kangaskhan</t>
        </is>
      </c>
      <c r="D119" s="18" t="inlineStr">
        <is>
          <t>Kangaskhan</t>
        </is>
      </c>
      <c r="E119" s="18" t="n">
        <v>1</v>
      </c>
      <c r="F119" s="18" t="inlineStr">
        <is>
          <t>generation1</t>
        </is>
      </c>
      <c r="G119" s="18" t="inlineStr">
        <is>
          <t>normal</t>
        </is>
      </c>
      <c r="H119" s="18" t="inlineStr"/>
      <c r="I119" s="18" t="inlineStr">
        <is>
          <t>예</t>
        </is>
      </c>
      <c r="J119" s="18" t="inlineStr">
        <is>
          <t>예</t>
        </is>
      </c>
      <c r="K119" s="18" t="inlineStr">
        <is>
          <t>예</t>
        </is>
      </c>
      <c r="L119" s="18" t="inlineStr">
        <is>
          <t>Cobblemon 동일</t>
        </is>
      </c>
      <c r="M119" s="18">
        <f>COUNTIF('스폰_편집'!$D$5:$D$3125,A119)</f>
        <v/>
      </c>
      <c r="N119" s="18">
        <f>COUNTIFS('스폰_편집'!$D$5:$D$3125,A119,'스폰_편집'!$B$5:$B$3125,"사용")</f>
        <v/>
      </c>
      <c r="O119" s="18" t="n">
        <v>1</v>
      </c>
      <c r="P119" s="18" t="inlineStr">
        <is>
          <t>#cobblemon:is_savanna</t>
        </is>
      </c>
      <c r="Q119" s="18" t="inlineStr">
        <is>
          <t>rare</t>
        </is>
      </c>
      <c r="R119" s="18" t="inlineStr"/>
      <c r="S119" s="18" t="inlineStr">
        <is>
          <t>cobbleventure:generation_1</t>
        </is>
      </c>
      <c r="T119" s="18">
        <f>IF(M119=0,"없음",IF(N119=0,"전부 제외","사용"))</f>
        <v/>
      </c>
      <c r="U119" s="18" t="inlineStr"/>
    </row>
    <row r="120" ht="30" customHeight="1">
      <c r="A120" s="18" t="n">
        <v>116</v>
      </c>
      <c r="B120" s="18" t="inlineStr">
        <is>
          <t>쏘드라</t>
        </is>
      </c>
      <c r="C120" s="18" t="inlineStr">
        <is>
          <t>horsea</t>
        </is>
      </c>
      <c r="D120" s="18" t="inlineStr">
        <is>
          <t>Horsea</t>
        </is>
      </c>
      <c r="E120" s="18" t="n">
        <v>1</v>
      </c>
      <c r="F120" s="18" t="inlineStr">
        <is>
          <t>generation1</t>
        </is>
      </c>
      <c r="G120" s="18" t="inlineStr">
        <is>
          <t>water</t>
        </is>
      </c>
      <c r="H120" s="18" t="inlineStr"/>
      <c r="I120" s="18" t="inlineStr">
        <is>
          <t>예</t>
        </is>
      </c>
      <c r="J120" s="18" t="inlineStr">
        <is>
          <t>예</t>
        </is>
      </c>
      <c r="K120" s="18" t="inlineStr">
        <is>
          <t>예</t>
        </is>
      </c>
      <c r="L120" s="18" t="inlineStr">
        <is>
          <t>Cobblemon 동일</t>
        </is>
      </c>
      <c r="M120" s="18">
        <f>COUNTIF('스폰_편집'!$D$5:$D$3125,A120)</f>
        <v/>
      </c>
      <c r="N120" s="18">
        <f>COUNTIFS('스폰_편집'!$D$5:$D$3125,A120,'스폰_편집'!$B$5:$B$3125,"사용")</f>
        <v/>
      </c>
      <c r="O120" s="18" t="n">
        <v>4</v>
      </c>
      <c r="P120" s="18" t="inlineStr">
        <is>
          <t>#cobblemon:is_lukewarm_ocean; #cobblemon:is_ocean; #cobblemon:is_overworld; #cobblemon:is_warm_ocean</t>
        </is>
      </c>
      <c r="Q120" s="18" t="inlineStr">
        <is>
          <t>common</t>
        </is>
      </c>
      <c r="R120" s="18" t="inlineStr">
        <is>
          <t>region_01; region_02</t>
        </is>
      </c>
      <c r="S120" s="18" t="inlineStr">
        <is>
          <t>cobbleventure:generation_1</t>
        </is>
      </c>
      <c r="T120" s="18">
        <f>IF(M120=0,"없음",IF(N120=0,"전부 제외","사용"))</f>
        <v/>
      </c>
      <c r="U120" s="18" t="inlineStr"/>
    </row>
    <row r="121" ht="30" customHeight="1">
      <c r="A121" s="18" t="n">
        <v>117</v>
      </c>
      <c r="B121" s="18" t="inlineStr">
        <is>
          <t>시드라</t>
        </is>
      </c>
      <c r="C121" s="18" t="inlineStr">
        <is>
          <t>seadra</t>
        </is>
      </c>
      <c r="D121" s="18" t="inlineStr">
        <is>
          <t>Seadra</t>
        </is>
      </c>
      <c r="E121" s="18" t="n">
        <v>1</v>
      </c>
      <c r="F121" s="18" t="inlineStr">
        <is>
          <t>generation1</t>
        </is>
      </c>
      <c r="G121" s="18" t="inlineStr">
        <is>
          <t>water</t>
        </is>
      </c>
      <c r="H121" s="18" t="inlineStr"/>
      <c r="I121" s="18" t="inlineStr">
        <is>
          <t>예</t>
        </is>
      </c>
      <c r="J121" s="18" t="inlineStr">
        <is>
          <t>예</t>
        </is>
      </c>
      <c r="K121" s="18" t="inlineStr">
        <is>
          <t>예</t>
        </is>
      </c>
      <c r="L121" s="18" t="inlineStr">
        <is>
          <t>Cobblemon 동일</t>
        </is>
      </c>
      <c r="M121" s="18">
        <f>COUNTIF('스폰_편집'!$D$5:$D$3125,A121)</f>
        <v/>
      </c>
      <c r="N121" s="18">
        <f>COUNTIFS('스폰_편집'!$D$5:$D$3125,A121,'스폰_편집'!$B$5:$B$3125,"사용")</f>
        <v/>
      </c>
      <c r="O121" s="18" t="n">
        <v>4</v>
      </c>
      <c r="P121" s="18" t="inlineStr">
        <is>
          <t>#cobblemon:is_lukewarm_ocean; #cobblemon:is_ocean; #cobblemon:is_overworld; #cobblemon:is_warm_ocean</t>
        </is>
      </c>
      <c r="Q121" s="18" t="inlineStr">
        <is>
          <t>common</t>
        </is>
      </c>
      <c r="R121" s="18" t="inlineStr">
        <is>
          <t>region_01; region_02</t>
        </is>
      </c>
      <c r="S121" s="18" t="inlineStr">
        <is>
          <t>cobbleventure:generation_1</t>
        </is>
      </c>
      <c r="T121" s="18">
        <f>IF(M121=0,"없음",IF(N121=0,"전부 제외","사용"))</f>
        <v/>
      </c>
      <c r="U121" s="18" t="inlineStr"/>
    </row>
    <row r="122" ht="30" customHeight="1">
      <c r="A122" s="18" t="n">
        <v>118</v>
      </c>
      <c r="B122" s="18" t="inlineStr">
        <is>
          <t>콘치</t>
        </is>
      </c>
      <c r="C122" s="18" t="inlineStr">
        <is>
          <t>goldeen</t>
        </is>
      </c>
      <c r="D122" s="18" t="inlineStr">
        <is>
          <t>Goldeen</t>
        </is>
      </c>
      <c r="E122" s="18" t="n">
        <v>1</v>
      </c>
      <c r="F122" s="18" t="inlineStr">
        <is>
          <t>generation1</t>
        </is>
      </c>
      <c r="G122" s="18" t="inlineStr">
        <is>
          <t>water</t>
        </is>
      </c>
      <c r="H122" s="18" t="inlineStr"/>
      <c r="I122" s="18" t="inlineStr">
        <is>
          <t>예</t>
        </is>
      </c>
      <c r="J122" s="18" t="inlineStr">
        <is>
          <t>예</t>
        </is>
      </c>
      <c r="K122" s="18" t="inlineStr">
        <is>
          <t>예</t>
        </is>
      </c>
      <c r="L122" s="18" t="inlineStr">
        <is>
          <t>Cobblemon 동일</t>
        </is>
      </c>
      <c r="M122" s="18">
        <f>COUNTIF('스폰_편집'!$D$5:$D$3125,A122)</f>
        <v/>
      </c>
      <c r="N122" s="18">
        <f>COUNTIFS('스폰_편집'!$D$5:$D$3125,A122,'스폰_편집'!$B$5:$B$3125,"사용")</f>
        <v/>
      </c>
      <c r="O122" s="18" t="n">
        <v>11</v>
      </c>
      <c r="P122" s="18" t="inlineStr">
        <is>
          <t>#aether:is_aether; #cobblemon:is_bamboo; #cobblemon:is_floral; #cobblemon:is_freezing; #cobblemon:is_freshwater; #cobblemon:is_jungle; #cobblemon:is_magical; #cobblemon:is_mountain; #cobblemon:is_river; #cobblemon:is_taiga; #cobblemon:is_temperate</t>
        </is>
      </c>
      <c r="Q122" s="18" t="inlineStr">
        <is>
          <t>common</t>
        </is>
      </c>
      <c r="R122" s="18" t="inlineStr">
        <is>
          <t>region_01; region_02</t>
        </is>
      </c>
      <c r="S122" s="18" t="inlineStr">
        <is>
          <t>cobbleventure:generation_1</t>
        </is>
      </c>
      <c r="T122" s="18">
        <f>IF(M122=0,"없음",IF(N122=0,"전부 제외","사용"))</f>
        <v/>
      </c>
      <c r="U122" s="18" t="inlineStr"/>
    </row>
    <row r="123" ht="30" customHeight="1">
      <c r="A123" s="18" t="n">
        <v>119</v>
      </c>
      <c r="B123" s="18" t="inlineStr">
        <is>
          <t>왕콘치</t>
        </is>
      </c>
      <c r="C123" s="18" t="inlineStr">
        <is>
          <t>seaking</t>
        </is>
      </c>
      <c r="D123" s="18" t="inlineStr">
        <is>
          <t>Seaking</t>
        </is>
      </c>
      <c r="E123" s="18" t="n">
        <v>1</v>
      </c>
      <c r="F123" s="18" t="inlineStr">
        <is>
          <t>generation1</t>
        </is>
      </c>
      <c r="G123" s="18" t="inlineStr">
        <is>
          <t>water</t>
        </is>
      </c>
      <c r="H123" s="18" t="inlineStr"/>
      <c r="I123" s="18" t="inlineStr">
        <is>
          <t>예</t>
        </is>
      </c>
      <c r="J123" s="18" t="inlineStr">
        <is>
          <t>예</t>
        </is>
      </c>
      <c r="K123" s="18" t="inlineStr">
        <is>
          <t>예</t>
        </is>
      </c>
      <c r="L123" s="18" t="inlineStr">
        <is>
          <t>Cobblemon 동일</t>
        </is>
      </c>
      <c r="M123" s="18">
        <f>COUNTIF('스폰_편집'!$D$5:$D$3125,A123)</f>
        <v/>
      </c>
      <c r="N123" s="18">
        <f>COUNTIFS('스폰_편집'!$D$5:$D$3125,A123,'스폰_편집'!$B$5:$B$3125,"사용")</f>
        <v/>
      </c>
      <c r="O123" s="18" t="n">
        <v>11</v>
      </c>
      <c r="P123" s="18" t="inlineStr">
        <is>
          <t>#aether:is_aether; #cobblemon:is_bamboo; #cobblemon:is_floral; #cobblemon:is_freezing; #cobblemon:is_freshwater; #cobblemon:is_jungle; #cobblemon:is_magical; #cobblemon:is_mountain; #cobblemon:is_river; #cobblemon:is_taiga; #cobblemon:is_temperate</t>
        </is>
      </c>
      <c r="Q123" s="18" t="inlineStr">
        <is>
          <t>common</t>
        </is>
      </c>
      <c r="R123" s="18" t="inlineStr">
        <is>
          <t>region_01; region_02</t>
        </is>
      </c>
      <c r="S123" s="18" t="inlineStr">
        <is>
          <t>cobbleventure:generation_1</t>
        </is>
      </c>
      <c r="T123" s="18">
        <f>IF(M123=0,"없음",IF(N123=0,"전부 제외","사용"))</f>
        <v/>
      </c>
      <c r="U123" s="18" t="inlineStr"/>
    </row>
    <row r="124" ht="30" customHeight="1">
      <c r="A124" s="18" t="n">
        <v>120</v>
      </c>
      <c r="B124" s="18" t="inlineStr">
        <is>
          <t>별가사리</t>
        </is>
      </c>
      <c r="C124" s="18" t="inlineStr">
        <is>
          <t>staryu</t>
        </is>
      </c>
      <c r="D124" s="18" t="inlineStr">
        <is>
          <t>Staryu</t>
        </is>
      </c>
      <c r="E124" s="18" t="n">
        <v>1</v>
      </c>
      <c r="F124" s="18" t="inlineStr">
        <is>
          <t>generation1</t>
        </is>
      </c>
      <c r="G124" s="18" t="inlineStr">
        <is>
          <t>water</t>
        </is>
      </c>
      <c r="H124" s="18" t="inlineStr"/>
      <c r="I124" s="18" t="inlineStr">
        <is>
          <t>예</t>
        </is>
      </c>
      <c r="J124" s="18" t="inlineStr">
        <is>
          <t>예</t>
        </is>
      </c>
      <c r="K124" s="18" t="inlineStr">
        <is>
          <t>예</t>
        </is>
      </c>
      <c r="L124" s="18" t="inlineStr">
        <is>
          <t>COBBLEVERSE 수정</t>
        </is>
      </c>
      <c r="M124" s="18">
        <f>COUNTIF('스폰_편집'!$D$5:$D$3125,A124)</f>
        <v/>
      </c>
      <c r="N124" s="18">
        <f>COUNTIFS('스폰_편집'!$D$5:$D$3125,A124,'스폰_편집'!$B$5:$B$3125,"사용")</f>
        <v/>
      </c>
      <c r="O124" s="18" t="n">
        <v>4</v>
      </c>
      <c r="P124" s="18" t="inlineStr">
        <is>
          <t>#cobblemon:is_coast; #cobblemon:is_ocean; #cobblemon:is_overworld; #cobblemon:is_tropical_island</t>
        </is>
      </c>
      <c r="Q124" s="18" t="inlineStr">
        <is>
          <t>common; uncommon</t>
        </is>
      </c>
      <c r="R124" s="18" t="inlineStr">
        <is>
          <t>region_01; region_02</t>
        </is>
      </c>
      <c r="S124" s="18" t="inlineStr">
        <is>
          <t>cobbleventure:generation_1</t>
        </is>
      </c>
      <c r="T124" s="18">
        <f>IF(M124=0,"없음",IF(N124=0,"전부 제외","사용"))</f>
        <v/>
      </c>
      <c r="U124" s="18" t="inlineStr"/>
    </row>
    <row r="125" ht="30" customHeight="1">
      <c r="A125" s="18" t="n">
        <v>121</v>
      </c>
      <c r="B125" s="18" t="inlineStr">
        <is>
          <t>아쿠스타</t>
        </is>
      </c>
      <c r="C125" s="18" t="inlineStr">
        <is>
          <t>starmie</t>
        </is>
      </c>
      <c r="D125" s="18" t="inlineStr">
        <is>
          <t>Starmie</t>
        </is>
      </c>
      <c r="E125" s="18" t="n">
        <v>1</v>
      </c>
      <c r="F125" s="18" t="inlineStr">
        <is>
          <t>generation1</t>
        </is>
      </c>
      <c r="G125" s="18" t="inlineStr">
        <is>
          <t>water</t>
        </is>
      </c>
      <c r="H125" s="18" t="inlineStr">
        <is>
          <t>psychic</t>
        </is>
      </c>
      <c r="I125" s="18" t="inlineStr">
        <is>
          <t>예</t>
        </is>
      </c>
      <c r="J125" s="18" t="inlineStr">
        <is>
          <t>예</t>
        </is>
      </c>
      <c r="K125" s="18" t="inlineStr">
        <is>
          <t>예</t>
        </is>
      </c>
      <c r="L125" s="18" t="inlineStr">
        <is>
          <t>Cobblemon 동일</t>
        </is>
      </c>
      <c r="M125" s="18">
        <f>COUNTIF('스폰_편집'!$D$5:$D$3125,A125)</f>
        <v/>
      </c>
      <c r="N125" s="18">
        <f>COUNTIFS('스폰_편집'!$D$5:$D$3125,A125,'스폰_편집'!$B$5:$B$3125,"사용")</f>
        <v/>
      </c>
      <c r="O125" s="18" t="n">
        <v>4</v>
      </c>
      <c r="P125" s="18" t="inlineStr">
        <is>
          <t>#cobblemon:is_coast; #cobblemon:is_ocean; #cobblemon:is_overworld; #cobblemon:is_tropical_island</t>
        </is>
      </c>
      <c r="Q125" s="18" t="inlineStr">
        <is>
          <t>common; uncommon</t>
        </is>
      </c>
      <c r="R125" s="18" t="inlineStr">
        <is>
          <t>region_01; region_02</t>
        </is>
      </c>
      <c r="S125" s="18" t="inlineStr">
        <is>
          <t>cobbleventure:generation_1</t>
        </is>
      </c>
      <c r="T125" s="18">
        <f>IF(M125=0,"없음",IF(N125=0,"전부 제외","사용"))</f>
        <v/>
      </c>
      <c r="U125" s="18" t="inlineStr"/>
    </row>
    <row r="126" ht="30" customHeight="1">
      <c r="A126" s="18" t="n">
        <v>122</v>
      </c>
      <c r="B126" s="18" t="inlineStr">
        <is>
          <t>마임맨</t>
        </is>
      </c>
      <c r="C126" s="18" t="inlineStr">
        <is>
          <t>mrmime</t>
        </is>
      </c>
      <c r="D126" s="18" t="inlineStr">
        <is>
          <t>Mr. Mime</t>
        </is>
      </c>
      <c r="E126" s="18" t="n">
        <v>1</v>
      </c>
      <c r="F126" s="18" t="inlineStr">
        <is>
          <t>generation1</t>
        </is>
      </c>
      <c r="G126" s="18" t="inlineStr">
        <is>
          <t>psychic</t>
        </is>
      </c>
      <c r="H126" s="18" t="inlineStr">
        <is>
          <t>fairy</t>
        </is>
      </c>
      <c r="I126" s="18" t="inlineStr">
        <is>
          <t>예</t>
        </is>
      </c>
      <c r="J126" s="18" t="inlineStr">
        <is>
          <t>예</t>
        </is>
      </c>
      <c r="K126" s="18" t="inlineStr">
        <is>
          <t>예</t>
        </is>
      </c>
      <c r="L126" s="18" t="inlineStr">
        <is>
          <t>COBBLEVERSE 수정</t>
        </is>
      </c>
      <c r="M126" s="18">
        <f>COUNTIF('스폰_편집'!$D$5:$D$3125,A126)</f>
        <v/>
      </c>
      <c r="N126" s="18">
        <f>COUNTIFS('스폰_편집'!$D$5:$D$3125,A126,'스폰_편집'!$B$5:$B$3125,"사용")</f>
        <v/>
      </c>
      <c r="O126" s="18" t="n">
        <v>2</v>
      </c>
      <c r="P126" s="18" t="inlineStr">
        <is>
          <t>#cobblemon:is_freezing; #cobblemon:is_overworld</t>
        </is>
      </c>
      <c r="Q126" s="18" t="inlineStr">
        <is>
          <t>common; uncommon</t>
        </is>
      </c>
      <c r="R126" s="18" t="inlineStr">
        <is>
          <t>region_01; region_02</t>
        </is>
      </c>
      <c r="S126" s="18" t="inlineStr">
        <is>
          <t>cobbleventure:generation_1</t>
        </is>
      </c>
      <c r="T126" s="18">
        <f>IF(M126=0,"없음",IF(N126=0,"전부 제외","사용"))</f>
        <v/>
      </c>
      <c r="U126" s="18" t="inlineStr"/>
    </row>
    <row r="127" ht="30" customHeight="1">
      <c r="A127" s="18" t="n">
        <v>123</v>
      </c>
      <c r="B127" s="18" t="inlineStr">
        <is>
          <t>스라크</t>
        </is>
      </c>
      <c r="C127" s="18" t="inlineStr">
        <is>
          <t>scyther</t>
        </is>
      </c>
      <c r="D127" s="18" t="inlineStr">
        <is>
          <t>Scyther</t>
        </is>
      </c>
      <c r="E127" s="18" t="n">
        <v>1</v>
      </c>
      <c r="F127" s="18" t="inlineStr">
        <is>
          <t>generation1</t>
        </is>
      </c>
      <c r="G127" s="18" t="inlineStr">
        <is>
          <t>bug</t>
        </is>
      </c>
      <c r="H127" s="18" t="inlineStr">
        <is>
          <t>flying</t>
        </is>
      </c>
      <c r="I127" s="18" t="inlineStr">
        <is>
          <t>예</t>
        </is>
      </c>
      <c r="J127" s="18" t="inlineStr">
        <is>
          <t>예</t>
        </is>
      </c>
      <c r="K127" s="18" t="inlineStr">
        <is>
          <t>예</t>
        </is>
      </c>
      <c r="L127" s="18" t="inlineStr">
        <is>
          <t>Cobblemon 동일</t>
        </is>
      </c>
      <c r="M127" s="18">
        <f>COUNTIF('스폰_편집'!$D$5:$D$3125,A127)</f>
        <v/>
      </c>
      <c r="N127" s="18">
        <f>COUNTIFS('스폰_편집'!$D$5:$D$3125,A127,'스폰_편집'!$B$5:$B$3125,"사용")</f>
        <v/>
      </c>
      <c r="O127" s="18" t="n">
        <v>5</v>
      </c>
      <c r="P127" s="18" t="inlineStr">
        <is>
          <t>#cobblemon:is_forest; #cobblemon:is_hills; #cobblemon:is_jungle; aether:skyroot_forest; aether:skyroot_woodland</t>
        </is>
      </c>
      <c r="Q127" s="18" t="inlineStr">
        <is>
          <t>rare; uncommon</t>
        </is>
      </c>
      <c r="R127" s="18" t="inlineStr">
        <is>
          <t>region_01</t>
        </is>
      </c>
      <c r="S127" s="18" t="inlineStr">
        <is>
          <t>cobbleventure:generation_1</t>
        </is>
      </c>
      <c r="T127" s="18">
        <f>IF(M127=0,"없음",IF(N127=0,"전부 제외","사용"))</f>
        <v/>
      </c>
      <c r="U127" s="18" t="inlineStr"/>
    </row>
    <row r="128" ht="30" customHeight="1">
      <c r="A128" s="18" t="n">
        <v>124</v>
      </c>
      <c r="B128" s="18" t="inlineStr">
        <is>
          <t>루주라</t>
        </is>
      </c>
      <c r="C128" s="18" t="inlineStr">
        <is>
          <t>jynx</t>
        </is>
      </c>
      <c r="D128" s="18" t="inlineStr">
        <is>
          <t>Jynx</t>
        </is>
      </c>
      <c r="E128" s="18" t="n">
        <v>1</v>
      </c>
      <c r="F128" s="18" t="inlineStr">
        <is>
          <t>generation1</t>
        </is>
      </c>
      <c r="G128" s="18" t="inlineStr">
        <is>
          <t>ice</t>
        </is>
      </c>
      <c r="H128" s="18" t="inlineStr">
        <is>
          <t>psychic</t>
        </is>
      </c>
      <c r="I128" s="18" t="inlineStr">
        <is>
          <t>예</t>
        </is>
      </c>
      <c r="J128" s="18" t="inlineStr">
        <is>
          <t>예</t>
        </is>
      </c>
      <c r="K128" s="18" t="inlineStr">
        <is>
          <t>예</t>
        </is>
      </c>
      <c r="L128" s="18" t="inlineStr">
        <is>
          <t>COBBLEVERSE 수정</t>
        </is>
      </c>
      <c r="M128" s="18">
        <f>COUNTIF('스폰_편집'!$D$5:$D$3125,A128)</f>
        <v/>
      </c>
      <c r="N128" s="18">
        <f>COUNTIFS('스폰_편집'!$D$5:$D$3125,A128,'스폰_편집'!$B$5:$B$3125,"사용")</f>
        <v/>
      </c>
      <c r="O128" s="18" t="n">
        <v>1</v>
      </c>
      <c r="P128" s="18" t="inlineStr">
        <is>
          <t>#cobblemon:is_freezing</t>
        </is>
      </c>
      <c r="Q128" s="18" t="inlineStr">
        <is>
          <t>uncommon</t>
        </is>
      </c>
      <c r="R128" s="18" t="inlineStr"/>
      <c r="S128" s="18" t="inlineStr">
        <is>
          <t>cobbleventure:generation_1</t>
        </is>
      </c>
      <c r="T128" s="18">
        <f>IF(M128=0,"없음",IF(N128=0,"전부 제외","사용"))</f>
        <v/>
      </c>
      <c r="U128" s="18" t="inlineStr"/>
    </row>
    <row r="129" ht="30" customHeight="1">
      <c r="A129" s="18" t="n">
        <v>125</v>
      </c>
      <c r="B129" s="18" t="inlineStr">
        <is>
          <t>에레브</t>
        </is>
      </c>
      <c r="C129" s="18" t="inlineStr">
        <is>
          <t>electabuzz</t>
        </is>
      </c>
      <c r="D129" s="18" t="inlineStr">
        <is>
          <t>Electabuzz</t>
        </is>
      </c>
      <c r="E129" s="18" t="n">
        <v>1</v>
      </c>
      <c r="F129" s="18" t="inlineStr">
        <is>
          <t>generation1</t>
        </is>
      </c>
      <c r="G129" s="18" t="inlineStr">
        <is>
          <t>electric</t>
        </is>
      </c>
      <c r="H129" s="18" t="inlineStr"/>
      <c r="I129" s="18" t="inlineStr">
        <is>
          <t>예</t>
        </is>
      </c>
      <c r="J129" s="18" t="inlineStr">
        <is>
          <t>예</t>
        </is>
      </c>
      <c r="K129" s="18" t="inlineStr">
        <is>
          <t>예</t>
        </is>
      </c>
      <c r="L129" s="18" t="inlineStr">
        <is>
          <t>Cobblemon 동일</t>
        </is>
      </c>
      <c r="M129" s="18">
        <f>COUNTIF('스폰_편집'!$D$5:$D$3125,A129)</f>
        <v/>
      </c>
      <c r="N129" s="18">
        <f>COUNTIFS('스폰_편집'!$D$5:$D$3125,A129,'스폰_편집'!$B$5:$B$3125,"사용")</f>
        <v/>
      </c>
      <c r="O129" s="18" t="n">
        <v>2</v>
      </c>
      <c r="P129" s="18" t="inlineStr">
        <is>
          <t>#cobblemon:is_hills; #cobblemon:is_plains</t>
        </is>
      </c>
      <c r="Q129" s="18" t="inlineStr">
        <is>
          <t>uncommon</t>
        </is>
      </c>
      <c r="R129" s="18" t="inlineStr">
        <is>
          <t>region_01</t>
        </is>
      </c>
      <c r="S129" s="18" t="inlineStr">
        <is>
          <t>cobbleventure:generation_1</t>
        </is>
      </c>
      <c r="T129" s="18">
        <f>IF(M129=0,"없음",IF(N129=0,"전부 제외","사용"))</f>
        <v/>
      </c>
      <c r="U129" s="18" t="inlineStr"/>
    </row>
    <row r="130" ht="30" customHeight="1">
      <c r="A130" s="18" t="n">
        <v>126</v>
      </c>
      <c r="B130" s="18" t="inlineStr">
        <is>
          <t>마그마</t>
        </is>
      </c>
      <c r="C130" s="18" t="inlineStr">
        <is>
          <t>magmar</t>
        </is>
      </c>
      <c r="D130" s="18" t="inlineStr">
        <is>
          <t>Magmar</t>
        </is>
      </c>
      <c r="E130" s="18" t="n">
        <v>1</v>
      </c>
      <c r="F130" s="18" t="inlineStr">
        <is>
          <t>generation1</t>
        </is>
      </c>
      <c r="G130" s="18" t="inlineStr">
        <is>
          <t>fire</t>
        </is>
      </c>
      <c r="H130" s="18" t="inlineStr"/>
      <c r="I130" s="18" t="inlineStr">
        <is>
          <t>예</t>
        </is>
      </c>
      <c r="J130" s="18" t="inlineStr">
        <is>
          <t>예</t>
        </is>
      </c>
      <c r="K130" s="18" t="inlineStr">
        <is>
          <t>예</t>
        </is>
      </c>
      <c r="L130" s="18" t="inlineStr">
        <is>
          <t>Cobblemon 동일</t>
        </is>
      </c>
      <c r="M130" s="18">
        <f>COUNTIF('스폰_편집'!$D$5:$D$3125,A130)</f>
        <v/>
      </c>
      <c r="N130" s="18">
        <f>COUNTIFS('스폰_편집'!$D$5:$D$3125,A130,'스폰_편집'!$B$5:$B$3125,"사용")</f>
        <v/>
      </c>
      <c r="O130" s="18" t="n">
        <v>4</v>
      </c>
      <c r="P130" s="18" t="inlineStr">
        <is>
          <t>#cobblemon:is_hills; #cobblemon:is_volcanic; #cobblemon:nether/is_basalt; #cobblemon:nether/is_wasteland</t>
        </is>
      </c>
      <c r="Q130" s="18" t="inlineStr">
        <is>
          <t>common</t>
        </is>
      </c>
      <c r="R130" s="18" t="inlineStr"/>
      <c r="S130" s="18" t="inlineStr">
        <is>
          <t>cobbleventure:generation_1</t>
        </is>
      </c>
      <c r="T130" s="18">
        <f>IF(M130=0,"없음",IF(N130=0,"전부 제외","사용"))</f>
        <v/>
      </c>
      <c r="U130" s="18" t="inlineStr"/>
    </row>
    <row r="131" ht="30" customHeight="1">
      <c r="A131" s="18" t="n">
        <v>127</v>
      </c>
      <c r="B131" s="18" t="inlineStr">
        <is>
          <t>쁘사이저</t>
        </is>
      </c>
      <c r="C131" s="18" t="inlineStr">
        <is>
          <t>pinsir</t>
        </is>
      </c>
      <c r="D131" s="18" t="inlineStr">
        <is>
          <t>Pinsir</t>
        </is>
      </c>
      <c r="E131" s="18" t="n">
        <v>1</v>
      </c>
      <c r="F131" s="18" t="inlineStr">
        <is>
          <t>generation1</t>
        </is>
      </c>
      <c r="G131" s="18" t="inlineStr">
        <is>
          <t>bug</t>
        </is>
      </c>
      <c r="H131" s="18" t="inlineStr"/>
      <c r="I131" s="18" t="inlineStr">
        <is>
          <t>예</t>
        </is>
      </c>
      <c r="J131" s="18" t="inlineStr">
        <is>
          <t>예</t>
        </is>
      </c>
      <c r="K131" s="18" t="inlineStr">
        <is>
          <t>예</t>
        </is>
      </c>
      <c r="L131" s="18" t="inlineStr">
        <is>
          <t>Cobblemon 동일</t>
        </is>
      </c>
      <c r="M131" s="18">
        <f>COUNTIF('스폰_편집'!$D$5:$D$3125,A131)</f>
        <v/>
      </c>
      <c r="N131" s="18">
        <f>COUNTIFS('스폰_편집'!$D$5:$D$3125,A131,'스폰_편집'!$B$5:$B$3125,"사용")</f>
        <v/>
      </c>
      <c r="O131" s="18" t="n">
        <v>6</v>
      </c>
      <c r="P131" s="18" t="inlineStr">
        <is>
          <t>#aether:is_aether; #cobblemon:is_jungle; #cobblemon:is_overworld; #cobblemon:is_tropical_island; aether:skyroot_forest; aether:skyroot_woodland</t>
        </is>
      </c>
      <c r="Q131" s="18" t="inlineStr">
        <is>
          <t>rare; uncommon</t>
        </is>
      </c>
      <c r="R131" s="18" t="inlineStr">
        <is>
          <t>region_01; region_02</t>
        </is>
      </c>
      <c r="S131" s="18" t="inlineStr">
        <is>
          <t>cobbleventure:generation_1</t>
        </is>
      </c>
      <c r="T131" s="18">
        <f>IF(M131=0,"없음",IF(N131=0,"전부 제외","사용"))</f>
        <v/>
      </c>
      <c r="U131" s="18" t="inlineStr"/>
    </row>
    <row r="132" ht="30" customHeight="1">
      <c r="A132" s="18" t="n">
        <v>128</v>
      </c>
      <c r="B132" s="18" t="inlineStr">
        <is>
          <t>켄타로스</t>
        </is>
      </c>
      <c r="C132" s="18" t="inlineStr">
        <is>
          <t>tauros</t>
        </is>
      </c>
      <c r="D132" s="18" t="inlineStr">
        <is>
          <t>Tauros</t>
        </is>
      </c>
      <c r="E132" s="18" t="n">
        <v>1</v>
      </c>
      <c r="F132" s="18" t="inlineStr">
        <is>
          <t>generation1</t>
        </is>
      </c>
      <c r="G132" s="18" t="inlineStr">
        <is>
          <t>normal</t>
        </is>
      </c>
      <c r="H132" s="18" t="inlineStr"/>
      <c r="I132" s="18" t="inlineStr">
        <is>
          <t>예</t>
        </is>
      </c>
      <c r="J132" s="18" t="inlineStr">
        <is>
          <t>예</t>
        </is>
      </c>
      <c r="K132" s="18" t="inlineStr">
        <is>
          <t>예</t>
        </is>
      </c>
      <c r="L132" s="18" t="inlineStr">
        <is>
          <t>Cobblemon 동일</t>
        </is>
      </c>
      <c r="M132" s="18">
        <f>COUNTIF('스폰_편집'!$D$5:$D$3125,A132)</f>
        <v/>
      </c>
      <c r="N132" s="18">
        <f>COUNTIFS('스폰_편집'!$D$5:$D$3125,A132,'스폰_편집'!$B$5:$B$3125,"사용")</f>
        <v/>
      </c>
      <c r="O132" s="18" t="n">
        <v>2</v>
      </c>
      <c r="P132" s="18" t="inlineStr">
        <is>
          <t>#cobblemon:is_grassland; #cobblemon:is_highlands</t>
        </is>
      </c>
      <c r="Q132" s="18" t="inlineStr">
        <is>
          <t>common</t>
        </is>
      </c>
      <c r="R132" s="18" t="inlineStr">
        <is>
          <t>region_01</t>
        </is>
      </c>
      <c r="S132" s="18" t="inlineStr">
        <is>
          <t>cobbleventure:generation_1</t>
        </is>
      </c>
      <c r="T132" s="18">
        <f>IF(M132=0,"없음",IF(N132=0,"전부 제외","사용"))</f>
        <v/>
      </c>
      <c r="U132" s="18" t="inlineStr"/>
    </row>
    <row r="133" ht="30" customHeight="1">
      <c r="A133" s="18" t="n">
        <v>129</v>
      </c>
      <c r="B133" s="18" t="inlineStr">
        <is>
          <t>잉어킹</t>
        </is>
      </c>
      <c r="C133" s="18" t="inlineStr">
        <is>
          <t>magikarp</t>
        </is>
      </c>
      <c r="D133" s="18" t="inlineStr">
        <is>
          <t>Magikarp</t>
        </is>
      </c>
      <c r="E133" s="18" t="n">
        <v>1</v>
      </c>
      <c r="F133" s="18" t="inlineStr">
        <is>
          <t>generation1</t>
        </is>
      </c>
      <c r="G133" s="18" t="inlineStr">
        <is>
          <t>water</t>
        </is>
      </c>
      <c r="H133" s="18" t="inlineStr"/>
      <c r="I133" s="18" t="inlineStr">
        <is>
          <t>예</t>
        </is>
      </c>
      <c r="J133" s="18" t="inlineStr">
        <is>
          <t>예</t>
        </is>
      </c>
      <c r="K133" s="18" t="inlineStr">
        <is>
          <t>예</t>
        </is>
      </c>
      <c r="L133" s="18" t="inlineStr">
        <is>
          <t>COBBLEVERSE 수정</t>
        </is>
      </c>
      <c r="M133" s="18">
        <f>COUNTIF('스폰_편집'!$D$5:$D$3125,A133)</f>
        <v/>
      </c>
      <c r="N133" s="18">
        <f>COUNTIFS('스폰_편집'!$D$5:$D$3125,A133,'스폰_편집'!$B$5:$B$3125,"사용")</f>
        <v/>
      </c>
      <c r="O133" s="18" t="n">
        <v>4</v>
      </c>
      <c r="P133" s="18" t="inlineStr">
        <is>
          <t>#aether:is_aether; #cobblemon:is_freshwater; #cobblemon:is_ocean; #cobblemon:is_overworld</t>
        </is>
      </c>
      <c r="Q133" s="18" t="inlineStr">
        <is>
          <t>common; uncommon</t>
        </is>
      </c>
      <c r="R133" s="18" t="inlineStr">
        <is>
          <t>region_01; region_02</t>
        </is>
      </c>
      <c r="S133" s="18" t="inlineStr">
        <is>
          <t>cobbleventure:generation_1</t>
        </is>
      </c>
      <c r="T133" s="18">
        <f>IF(M133=0,"없음",IF(N133=0,"전부 제외","사용"))</f>
        <v/>
      </c>
      <c r="U133" s="18" t="inlineStr"/>
    </row>
    <row r="134" ht="30" customHeight="1">
      <c r="A134" s="18" t="n">
        <v>130</v>
      </c>
      <c r="B134" s="18" t="inlineStr">
        <is>
          <t>갸라도스</t>
        </is>
      </c>
      <c r="C134" s="18" t="inlineStr">
        <is>
          <t>gyarados</t>
        </is>
      </c>
      <c r="D134" s="18" t="inlineStr">
        <is>
          <t>Gyarados</t>
        </is>
      </c>
      <c r="E134" s="18" t="n">
        <v>1</v>
      </c>
      <c r="F134" s="18" t="inlineStr">
        <is>
          <t>generation1</t>
        </is>
      </c>
      <c r="G134" s="18" t="inlineStr">
        <is>
          <t>water</t>
        </is>
      </c>
      <c r="H134" s="18" t="inlineStr">
        <is>
          <t>flying</t>
        </is>
      </c>
      <c r="I134" s="18" t="inlineStr">
        <is>
          <t>예</t>
        </is>
      </c>
      <c r="J134" s="18" t="inlineStr">
        <is>
          <t>예</t>
        </is>
      </c>
      <c r="K134" s="18" t="inlineStr">
        <is>
          <t>예</t>
        </is>
      </c>
      <c r="L134" s="18" t="inlineStr">
        <is>
          <t>Cobblemon 동일</t>
        </is>
      </c>
      <c r="M134" s="18">
        <f>COUNTIF('스폰_편집'!$D$5:$D$3125,A134)</f>
        <v/>
      </c>
      <c r="N134" s="18">
        <f>COUNTIFS('스폰_편집'!$D$5:$D$3125,A134,'스폰_편집'!$B$5:$B$3125,"사용")</f>
        <v/>
      </c>
      <c r="O134" s="18" t="n">
        <v>4</v>
      </c>
      <c r="P134" s="18" t="inlineStr">
        <is>
          <t>#aether:is_aether; #cobblemon:is_freshwater; #cobblemon:is_ocean; #cobblemon:is_overworld</t>
        </is>
      </c>
      <c r="Q134" s="18" t="inlineStr">
        <is>
          <t>common; uncommon</t>
        </is>
      </c>
      <c r="R134" s="18" t="inlineStr">
        <is>
          <t>region_01; region_02</t>
        </is>
      </c>
      <c r="S134" s="18" t="inlineStr">
        <is>
          <t>cobbleventure:generation_1</t>
        </is>
      </c>
      <c r="T134" s="18">
        <f>IF(M134=0,"없음",IF(N134=0,"전부 제외","사용"))</f>
        <v/>
      </c>
      <c r="U134" s="18" t="inlineStr"/>
    </row>
    <row r="135" ht="30" customHeight="1">
      <c r="A135" s="18" t="n">
        <v>131</v>
      </c>
      <c r="B135" s="18" t="inlineStr">
        <is>
          <t>라프라스</t>
        </is>
      </c>
      <c r="C135" s="18" t="inlineStr">
        <is>
          <t>lapras</t>
        </is>
      </c>
      <c r="D135" s="18" t="inlineStr">
        <is>
          <t>Lapras</t>
        </is>
      </c>
      <c r="E135" s="18" t="n">
        <v>1</v>
      </c>
      <c r="F135" s="18" t="inlineStr">
        <is>
          <t>generation1</t>
        </is>
      </c>
      <c r="G135" s="18" t="inlineStr">
        <is>
          <t>water</t>
        </is>
      </c>
      <c r="H135" s="18" t="inlineStr">
        <is>
          <t>ice</t>
        </is>
      </c>
      <c r="I135" s="18" t="inlineStr">
        <is>
          <t>예</t>
        </is>
      </c>
      <c r="J135" s="18" t="inlineStr">
        <is>
          <t>예</t>
        </is>
      </c>
      <c r="K135" s="18" t="inlineStr">
        <is>
          <t>예</t>
        </is>
      </c>
      <c r="L135" s="18" t="inlineStr">
        <is>
          <t>Cobblemon 동일</t>
        </is>
      </c>
      <c r="M135" s="18">
        <f>COUNTIF('스폰_편집'!$D$5:$D$3125,A135)</f>
        <v/>
      </c>
      <c r="N135" s="18">
        <f>COUNTIFS('스폰_편집'!$D$5:$D$3125,A135,'스폰_편집'!$B$5:$B$3125,"사용")</f>
        <v/>
      </c>
      <c r="O135" s="18" t="n">
        <v>2</v>
      </c>
      <c r="P135" s="18" t="inlineStr">
        <is>
          <t>#cobblemon:is_frozen_ocean; #cobblemon:is_ocean</t>
        </is>
      </c>
      <c r="Q135" s="18" t="inlineStr">
        <is>
          <t>common; ultra-rare; uncommon</t>
        </is>
      </c>
      <c r="R135" s="18" t="inlineStr"/>
      <c r="S135" s="18" t="inlineStr">
        <is>
          <t>cobbleventure:generation_1</t>
        </is>
      </c>
      <c r="T135" s="18">
        <f>IF(M135=0,"없음",IF(N135=0,"전부 제외","사용"))</f>
        <v/>
      </c>
      <c r="U135" s="18" t="inlineStr"/>
    </row>
    <row r="136" ht="30" customHeight="1">
      <c r="A136" s="18" t="n">
        <v>132</v>
      </c>
      <c r="B136" s="18" t="inlineStr">
        <is>
          <t>메타몽</t>
        </is>
      </c>
      <c r="C136" s="18" t="inlineStr">
        <is>
          <t>ditto</t>
        </is>
      </c>
      <c r="D136" s="18" t="inlineStr">
        <is>
          <t>Ditto</t>
        </is>
      </c>
      <c r="E136" s="18" t="n">
        <v>1</v>
      </c>
      <c r="F136" s="18" t="inlineStr">
        <is>
          <t>generation1</t>
        </is>
      </c>
      <c r="G136" s="18" t="inlineStr">
        <is>
          <t>normal</t>
        </is>
      </c>
      <c r="H136" s="18" t="inlineStr"/>
      <c r="I136" s="18" t="inlineStr">
        <is>
          <t>예</t>
        </is>
      </c>
      <c r="J136" s="18" t="inlineStr">
        <is>
          <t>예</t>
        </is>
      </c>
      <c r="K136" s="18" t="inlineStr">
        <is>
          <t>예</t>
        </is>
      </c>
      <c r="L136" s="18" t="inlineStr">
        <is>
          <t>Cobblemon 동일</t>
        </is>
      </c>
      <c r="M136" s="18">
        <f>COUNTIF('스폰_편집'!$D$5:$D$3125,A136)</f>
        <v/>
      </c>
      <c r="N136" s="18">
        <f>COUNTIFS('스폰_편집'!$D$5:$D$3125,A136,'스폰_편집'!$B$5:$B$3125,"사용")</f>
        <v/>
      </c>
      <c r="O136" s="18" t="n">
        <v>1</v>
      </c>
      <c r="P136" s="18" t="inlineStr">
        <is>
          <t>#cobblemon:is_overworld</t>
        </is>
      </c>
      <c r="Q136" s="18" t="inlineStr">
        <is>
          <t>rare; ultra-rare; uncommon</t>
        </is>
      </c>
      <c r="R136" s="18" t="inlineStr">
        <is>
          <t>region_01; region_02</t>
        </is>
      </c>
      <c r="S136" s="18" t="inlineStr">
        <is>
          <t>cobbleventure:generation_1</t>
        </is>
      </c>
      <c r="T136" s="18">
        <f>IF(M136=0,"없음",IF(N136=0,"전부 제외","사용"))</f>
        <v/>
      </c>
      <c r="U136" s="18" t="inlineStr"/>
    </row>
    <row r="137" ht="30" customHeight="1">
      <c r="A137" s="18" t="n">
        <v>133</v>
      </c>
      <c r="B137" s="18" t="inlineStr">
        <is>
          <t>이브이</t>
        </is>
      </c>
      <c r="C137" s="18" t="inlineStr">
        <is>
          <t>eevee</t>
        </is>
      </c>
      <c r="D137" s="18" t="inlineStr">
        <is>
          <t>Eevee</t>
        </is>
      </c>
      <c r="E137" s="18" t="n">
        <v>1</v>
      </c>
      <c r="F137" s="18" t="inlineStr">
        <is>
          <t>generation1</t>
        </is>
      </c>
      <c r="G137" s="18" t="inlineStr">
        <is>
          <t>normal</t>
        </is>
      </c>
      <c r="H137" s="18" t="inlineStr"/>
      <c r="I137" s="18" t="inlineStr">
        <is>
          <t>예</t>
        </is>
      </c>
      <c r="J137" s="18" t="inlineStr">
        <is>
          <t>예</t>
        </is>
      </c>
      <c r="K137" s="18" t="inlineStr">
        <is>
          <t>예</t>
        </is>
      </c>
      <c r="L137" s="18" t="inlineStr">
        <is>
          <t>COBBLEVERSE 수정</t>
        </is>
      </c>
      <c r="M137" s="18">
        <f>COUNTIF('스폰_편집'!$D$5:$D$3125,A137)</f>
        <v/>
      </c>
      <c r="N137" s="18">
        <f>COUNTIFS('스폰_편집'!$D$5:$D$3125,A137,'스폰_편집'!$B$5:$B$3125,"사용")</f>
        <v/>
      </c>
      <c r="O137" s="18" t="n">
        <v>3</v>
      </c>
      <c r="P137" s="18" t="inlineStr">
        <is>
          <t>#aether:is_aether; #cobblemon:is_overworld; #cobblemon:is_temperate</t>
        </is>
      </c>
      <c r="Q137" s="18" t="inlineStr">
        <is>
          <t>rare; ultra-rare; uncommon</t>
        </is>
      </c>
      <c r="R137" s="18" t="inlineStr">
        <is>
          <t>region_01; region_02</t>
        </is>
      </c>
      <c r="S137" s="18" t="inlineStr">
        <is>
          <t>cobbleventure:generation_1</t>
        </is>
      </c>
      <c r="T137" s="18">
        <f>IF(M137=0,"없음",IF(N137=0,"전부 제외","사용"))</f>
        <v/>
      </c>
      <c r="U137" s="18" t="inlineStr"/>
    </row>
    <row r="138" ht="30" customHeight="1">
      <c r="A138" s="18" t="n">
        <v>134</v>
      </c>
      <c r="B138" s="18" t="inlineStr">
        <is>
          <t>샤미드</t>
        </is>
      </c>
      <c r="C138" s="18" t="inlineStr">
        <is>
          <t>vaporeon</t>
        </is>
      </c>
      <c r="D138" s="18" t="inlineStr">
        <is>
          <t>Vaporeon</t>
        </is>
      </c>
      <c r="E138" s="18" t="n">
        <v>1</v>
      </c>
      <c r="F138" s="18" t="inlineStr">
        <is>
          <t>generation1</t>
        </is>
      </c>
      <c r="G138" s="18" t="inlineStr">
        <is>
          <t>water</t>
        </is>
      </c>
      <c r="H138" s="18" t="inlineStr"/>
      <c r="I138" s="18" t="inlineStr">
        <is>
          <t>예</t>
        </is>
      </c>
      <c r="J138" s="18" t="inlineStr">
        <is>
          <t>예</t>
        </is>
      </c>
      <c r="K138" s="18" t="inlineStr">
        <is>
          <t>예</t>
        </is>
      </c>
      <c r="L138" s="18" t="inlineStr">
        <is>
          <t>Cobblemon 동일</t>
        </is>
      </c>
      <c r="M138" s="18">
        <f>COUNTIF('스폰_편집'!$D$5:$D$3125,A138)</f>
        <v/>
      </c>
      <c r="N138" s="18">
        <f>COUNTIFS('스폰_편집'!$D$5:$D$3125,A138,'스폰_편집'!$B$5:$B$3125,"사용")</f>
        <v/>
      </c>
      <c r="O138" s="18" t="n">
        <v>6</v>
      </c>
      <c r="P138" s="18" t="inlineStr">
        <is>
          <t>#cobblemon:is_freshwater; #cobblemon:is_jungle; #cobblemon:is_magical; #cobblemon:is_overworld; #cobblemon:is_temperate; #cobblemon:is_tropical_island</t>
        </is>
      </c>
      <c r="Q138" s="18" t="inlineStr">
        <is>
          <t>ultra-rare; uncommon</t>
        </is>
      </c>
      <c r="R138" s="18" t="inlineStr">
        <is>
          <t>region_01; region_02</t>
        </is>
      </c>
      <c r="S138" s="18" t="inlineStr">
        <is>
          <t>cobbleventure:generation_1</t>
        </is>
      </c>
      <c r="T138" s="18">
        <f>IF(M138=0,"없음",IF(N138=0,"전부 제외","사용"))</f>
        <v/>
      </c>
      <c r="U138" s="18" t="inlineStr"/>
    </row>
    <row r="139" ht="30" customHeight="1">
      <c r="A139" s="18" t="n">
        <v>135</v>
      </c>
      <c r="B139" s="18" t="inlineStr">
        <is>
          <t>쥬피썬더</t>
        </is>
      </c>
      <c r="C139" s="18" t="inlineStr">
        <is>
          <t>jolteon</t>
        </is>
      </c>
      <c r="D139" s="18" t="inlineStr">
        <is>
          <t>Jolteon</t>
        </is>
      </c>
      <c r="E139" s="18" t="n">
        <v>1</v>
      </c>
      <c r="F139" s="18" t="inlineStr">
        <is>
          <t>generation1</t>
        </is>
      </c>
      <c r="G139" s="18" t="inlineStr">
        <is>
          <t>electric</t>
        </is>
      </c>
      <c r="H139" s="18" t="inlineStr"/>
      <c r="I139" s="18" t="inlineStr">
        <is>
          <t>예</t>
        </is>
      </c>
      <c r="J139" s="18" t="inlineStr">
        <is>
          <t>예</t>
        </is>
      </c>
      <c r="K139" s="18" t="inlineStr">
        <is>
          <t>예</t>
        </is>
      </c>
      <c r="L139" s="18" t="inlineStr">
        <is>
          <t>Cobblemon 동일</t>
        </is>
      </c>
      <c r="M139" s="18">
        <f>COUNTIF('스폰_편집'!$D$5:$D$3125,A139)</f>
        <v/>
      </c>
      <c r="N139" s="18">
        <f>COUNTIFS('스폰_편집'!$D$5:$D$3125,A139,'스폰_편집'!$B$5:$B$3125,"사용")</f>
        <v/>
      </c>
      <c r="O139" s="18" t="n">
        <v>2</v>
      </c>
      <c r="P139" s="18" t="inlineStr">
        <is>
          <t>#cobblemon:is_grassland; #cobblemon:is_overworld</t>
        </is>
      </c>
      <c r="Q139" s="18" t="inlineStr">
        <is>
          <t>ultra-rare; uncommon</t>
        </is>
      </c>
      <c r="R139" s="18" t="inlineStr">
        <is>
          <t>region_01; region_02</t>
        </is>
      </c>
      <c r="S139" s="18" t="inlineStr">
        <is>
          <t>cobbleventure:generation_1</t>
        </is>
      </c>
      <c r="T139" s="18">
        <f>IF(M139=0,"없음",IF(N139=0,"전부 제외","사용"))</f>
        <v/>
      </c>
      <c r="U139" s="18" t="inlineStr"/>
    </row>
    <row r="140" ht="30" customHeight="1">
      <c r="A140" s="18" t="n">
        <v>136</v>
      </c>
      <c r="B140" s="18" t="inlineStr">
        <is>
          <t>부스터</t>
        </is>
      </c>
      <c r="C140" s="18" t="inlineStr">
        <is>
          <t>flareon</t>
        </is>
      </c>
      <c r="D140" s="18" t="inlineStr">
        <is>
          <t>Flareon</t>
        </is>
      </c>
      <c r="E140" s="18" t="n">
        <v>1</v>
      </c>
      <c r="F140" s="18" t="inlineStr">
        <is>
          <t>generation1</t>
        </is>
      </c>
      <c r="G140" s="18" t="inlineStr">
        <is>
          <t>fire</t>
        </is>
      </c>
      <c r="H140" s="18" t="inlineStr"/>
      <c r="I140" s="18" t="inlineStr">
        <is>
          <t>예</t>
        </is>
      </c>
      <c r="J140" s="18" t="inlineStr">
        <is>
          <t>예</t>
        </is>
      </c>
      <c r="K140" s="18" t="inlineStr">
        <is>
          <t>예</t>
        </is>
      </c>
      <c r="L140" s="18" t="inlineStr">
        <is>
          <t>Cobblemon 동일</t>
        </is>
      </c>
      <c r="M140" s="18">
        <f>COUNTIF('스폰_편집'!$D$5:$D$3125,A140)</f>
        <v/>
      </c>
      <c r="N140" s="18">
        <f>COUNTIFS('스폰_편집'!$D$5:$D$3125,A140,'스폰_편집'!$B$5:$B$3125,"사용")</f>
        <v/>
      </c>
      <c r="O140" s="18" t="n">
        <v>3</v>
      </c>
      <c r="P140" s="18" t="inlineStr">
        <is>
          <t>#cobblemon:is_badlands; #cobblemon:is_desert; #cobblemon:is_overworld</t>
        </is>
      </c>
      <c r="Q140" s="18" t="inlineStr">
        <is>
          <t>ultra-rare; uncommon</t>
        </is>
      </c>
      <c r="R140" s="18" t="inlineStr">
        <is>
          <t>region_01; region_02</t>
        </is>
      </c>
      <c r="S140" s="18" t="inlineStr">
        <is>
          <t>cobbleventure:generation_1</t>
        </is>
      </c>
      <c r="T140" s="18">
        <f>IF(M140=0,"없음",IF(N140=0,"전부 제외","사용"))</f>
        <v/>
      </c>
      <c r="U140" s="18" t="inlineStr"/>
    </row>
    <row r="141" ht="30" customHeight="1">
      <c r="A141" s="18" t="n">
        <v>137</v>
      </c>
      <c r="B141" s="18" t="inlineStr">
        <is>
          <t>폴리곤</t>
        </is>
      </c>
      <c r="C141" s="18" t="inlineStr">
        <is>
          <t>porygon</t>
        </is>
      </c>
      <c r="D141" s="18" t="inlineStr">
        <is>
          <t>Porygon</t>
        </is>
      </c>
      <c r="E141" s="18" t="n">
        <v>1</v>
      </c>
      <c r="F141" s="18" t="inlineStr">
        <is>
          <t>generation1</t>
        </is>
      </c>
      <c r="G141" s="18" t="inlineStr">
        <is>
          <t>normal</t>
        </is>
      </c>
      <c r="H141" s="18" t="inlineStr"/>
      <c r="I141" s="18" t="inlineStr">
        <is>
          <t>예</t>
        </is>
      </c>
      <c r="J141" s="18" t="inlineStr">
        <is>
          <t>예</t>
        </is>
      </c>
      <c r="K141" s="18" t="inlineStr">
        <is>
          <t>예</t>
        </is>
      </c>
      <c r="L141" s="18" t="inlineStr">
        <is>
          <t>COBBLEVERSE 수정</t>
        </is>
      </c>
      <c r="M141" s="18">
        <f>COUNTIF('스폰_편집'!$D$5:$D$3125,A141)</f>
        <v/>
      </c>
      <c r="N141" s="18">
        <f>COUNTIFS('스폰_편집'!$D$5:$D$3125,A141,'스폰_편집'!$B$5:$B$3125,"사용")</f>
        <v/>
      </c>
      <c r="O141" s="18" t="n">
        <v>1</v>
      </c>
      <c r="P141" s="18" t="inlineStr">
        <is>
          <t>#cobblemon:is_end</t>
        </is>
      </c>
      <c r="Q141" s="18" t="inlineStr">
        <is>
          <t>uncommon</t>
        </is>
      </c>
      <c r="R141" s="18" t="inlineStr"/>
      <c r="S141" s="18" t="inlineStr">
        <is>
          <t>cobbleventure:generation_1</t>
        </is>
      </c>
      <c r="T141" s="18">
        <f>IF(M141=0,"없음",IF(N141=0,"전부 제외","사용"))</f>
        <v/>
      </c>
      <c r="U141" s="18" t="inlineStr"/>
    </row>
    <row r="142" ht="30" customHeight="1">
      <c r="A142" s="18" t="n">
        <v>138</v>
      </c>
      <c r="B142" s="18" t="inlineStr">
        <is>
          <t>암나이트</t>
        </is>
      </c>
      <c r="C142" s="18" t="inlineStr">
        <is>
          <t>omanyte</t>
        </is>
      </c>
      <c r="D142" s="18" t="inlineStr">
        <is>
          <t>Omanyte</t>
        </is>
      </c>
      <c r="E142" s="18" t="n">
        <v>1</v>
      </c>
      <c r="F142" s="18" t="inlineStr">
        <is>
          <t>generation1</t>
        </is>
      </c>
      <c r="G142" s="18" t="inlineStr">
        <is>
          <t>rock</t>
        </is>
      </c>
      <c r="H142" s="18" t="inlineStr">
        <is>
          <t>water</t>
        </is>
      </c>
      <c r="I142" s="18" t="inlineStr">
        <is>
          <t>예</t>
        </is>
      </c>
      <c r="J142" s="18" t="inlineStr">
        <is>
          <t>예</t>
        </is>
      </c>
      <c r="K142" s="18" t="inlineStr">
        <is>
          <t>예</t>
        </is>
      </c>
      <c r="L142" s="18" t="inlineStr">
        <is>
          <t>Cobblemon 동일</t>
        </is>
      </c>
      <c r="M142" s="18">
        <f>COUNTIF('스폰_편집'!$D$5:$D$3125,A142)</f>
        <v/>
      </c>
      <c r="N142" s="18">
        <f>COUNTIFS('스폰_편집'!$D$5:$D$3125,A142,'스폰_편집'!$B$5:$B$3125,"사용")</f>
        <v/>
      </c>
      <c r="O142" s="18" t="n">
        <v>1</v>
      </c>
      <c r="P142" s="18" t="inlineStr">
        <is>
          <t>#cobblemon:is_lush</t>
        </is>
      </c>
      <c r="Q142" s="18" t="inlineStr">
        <is>
          <t>ultra-rare</t>
        </is>
      </c>
      <c r="R142" s="18" t="inlineStr"/>
      <c r="S142" s="18" t="inlineStr">
        <is>
          <t>cobbleventure:generation_1</t>
        </is>
      </c>
      <c r="T142" s="18">
        <f>IF(M142=0,"없음",IF(N142=0,"전부 제외","사용"))</f>
        <v/>
      </c>
      <c r="U142" s="18" t="inlineStr"/>
    </row>
    <row r="143" ht="30" customHeight="1">
      <c r="A143" s="18" t="n">
        <v>139</v>
      </c>
      <c r="B143" s="18" t="inlineStr">
        <is>
          <t>암스타</t>
        </is>
      </c>
      <c r="C143" s="18" t="inlineStr">
        <is>
          <t>omastar</t>
        </is>
      </c>
      <c r="D143" s="18" t="inlineStr">
        <is>
          <t>Omastar</t>
        </is>
      </c>
      <c r="E143" s="18" t="n">
        <v>1</v>
      </c>
      <c r="F143" s="18" t="inlineStr">
        <is>
          <t>generation1</t>
        </is>
      </c>
      <c r="G143" s="18" t="inlineStr">
        <is>
          <t>rock</t>
        </is>
      </c>
      <c r="H143" s="18" t="inlineStr">
        <is>
          <t>water</t>
        </is>
      </c>
      <c r="I143" s="18" t="inlineStr">
        <is>
          <t>예</t>
        </is>
      </c>
      <c r="J143" s="18" t="inlineStr">
        <is>
          <t>예</t>
        </is>
      </c>
      <c r="K143" s="18" t="inlineStr">
        <is>
          <t>예</t>
        </is>
      </c>
      <c r="L143" s="18" t="inlineStr">
        <is>
          <t>Cobblemon 동일</t>
        </is>
      </c>
      <c r="M143" s="18">
        <f>COUNTIF('스폰_편집'!$D$5:$D$3125,A143)</f>
        <v/>
      </c>
      <c r="N143" s="18">
        <f>COUNTIFS('스폰_편집'!$D$5:$D$3125,A143,'스폰_편집'!$B$5:$B$3125,"사용")</f>
        <v/>
      </c>
      <c r="O143" s="18" t="n">
        <v>1</v>
      </c>
      <c r="P143" s="18" t="inlineStr">
        <is>
          <t>#cobblemon:is_lush</t>
        </is>
      </c>
      <c r="Q143" s="18" t="inlineStr">
        <is>
          <t>ultra-rare</t>
        </is>
      </c>
      <c r="R143" s="18" t="inlineStr"/>
      <c r="S143" s="18" t="inlineStr">
        <is>
          <t>cobbleventure:generation_1</t>
        </is>
      </c>
      <c r="T143" s="18">
        <f>IF(M143=0,"없음",IF(N143=0,"전부 제외","사용"))</f>
        <v/>
      </c>
      <c r="U143" s="18" t="inlineStr"/>
    </row>
    <row r="144" ht="30" customHeight="1">
      <c r="A144" s="18" t="n">
        <v>140</v>
      </c>
      <c r="B144" s="18" t="inlineStr">
        <is>
          <t>투구</t>
        </is>
      </c>
      <c r="C144" s="18" t="inlineStr">
        <is>
          <t>kabuto</t>
        </is>
      </c>
      <c r="D144" s="18" t="inlineStr">
        <is>
          <t>Kabuto</t>
        </is>
      </c>
      <c r="E144" s="18" t="n">
        <v>1</v>
      </c>
      <c r="F144" s="18" t="inlineStr">
        <is>
          <t>generation1</t>
        </is>
      </c>
      <c r="G144" s="18" t="inlineStr">
        <is>
          <t>rock</t>
        </is>
      </c>
      <c r="H144" s="18" t="inlineStr">
        <is>
          <t>water</t>
        </is>
      </c>
      <c r="I144" s="18" t="inlineStr">
        <is>
          <t>예</t>
        </is>
      </c>
      <c r="J144" s="18" t="inlineStr">
        <is>
          <t>예</t>
        </is>
      </c>
      <c r="K144" s="18" t="inlineStr">
        <is>
          <t>예</t>
        </is>
      </c>
      <c r="L144" s="18" t="inlineStr">
        <is>
          <t>Cobblemon 동일</t>
        </is>
      </c>
      <c r="M144" s="18">
        <f>COUNTIF('스폰_편집'!$D$5:$D$3125,A144)</f>
        <v/>
      </c>
      <c r="N144" s="18">
        <f>COUNTIFS('스폰_편집'!$D$5:$D$3125,A144,'스폰_편집'!$B$5:$B$3125,"사용")</f>
        <v/>
      </c>
      <c r="O144" s="18" t="n">
        <v>1</v>
      </c>
      <c r="P144" s="18" t="inlineStr">
        <is>
          <t>#cobblemon:is_lush</t>
        </is>
      </c>
      <c r="Q144" s="18" t="inlineStr">
        <is>
          <t>ultra-rare</t>
        </is>
      </c>
      <c r="R144" s="18" t="inlineStr"/>
      <c r="S144" s="18" t="inlineStr">
        <is>
          <t>cobbleventure:generation_1</t>
        </is>
      </c>
      <c r="T144" s="18">
        <f>IF(M144=0,"없음",IF(N144=0,"전부 제외","사용"))</f>
        <v/>
      </c>
      <c r="U144" s="18" t="inlineStr"/>
    </row>
    <row r="145" ht="30" customHeight="1">
      <c r="A145" s="18" t="n">
        <v>141</v>
      </c>
      <c r="B145" s="18" t="inlineStr">
        <is>
          <t>투구푸스</t>
        </is>
      </c>
      <c r="C145" s="18" t="inlineStr">
        <is>
          <t>kabutops</t>
        </is>
      </c>
      <c r="D145" s="18" t="inlineStr">
        <is>
          <t>Kabutops</t>
        </is>
      </c>
      <c r="E145" s="18" t="n">
        <v>1</v>
      </c>
      <c r="F145" s="18" t="inlineStr">
        <is>
          <t>generation1</t>
        </is>
      </c>
      <c r="G145" s="18" t="inlineStr">
        <is>
          <t>rock</t>
        </is>
      </c>
      <c r="H145" s="18" t="inlineStr">
        <is>
          <t>water</t>
        </is>
      </c>
      <c r="I145" s="18" t="inlineStr">
        <is>
          <t>예</t>
        </is>
      </c>
      <c r="J145" s="18" t="inlineStr">
        <is>
          <t>예</t>
        </is>
      </c>
      <c r="K145" s="18" t="inlineStr">
        <is>
          <t>예</t>
        </is>
      </c>
      <c r="L145" s="18" t="inlineStr">
        <is>
          <t>Cobblemon 동일</t>
        </is>
      </c>
      <c r="M145" s="18">
        <f>COUNTIF('스폰_편집'!$D$5:$D$3125,A145)</f>
        <v/>
      </c>
      <c r="N145" s="18">
        <f>COUNTIFS('스폰_편집'!$D$5:$D$3125,A145,'스폰_편집'!$B$5:$B$3125,"사용")</f>
        <v/>
      </c>
      <c r="O145" s="18" t="n">
        <v>1</v>
      </c>
      <c r="P145" s="18" t="inlineStr">
        <is>
          <t>#cobblemon:is_lush</t>
        </is>
      </c>
      <c r="Q145" s="18" t="inlineStr">
        <is>
          <t>ultra-rare</t>
        </is>
      </c>
      <c r="R145" s="18" t="inlineStr"/>
      <c r="S145" s="18" t="inlineStr">
        <is>
          <t>cobbleventure:generation_1</t>
        </is>
      </c>
      <c r="T145" s="18">
        <f>IF(M145=0,"없음",IF(N145=0,"전부 제외","사용"))</f>
        <v/>
      </c>
      <c r="U145" s="18" t="inlineStr"/>
    </row>
    <row r="146" ht="30" customHeight="1">
      <c r="A146" s="18" t="n">
        <v>142</v>
      </c>
      <c r="B146" s="18" t="inlineStr">
        <is>
          <t>프테라</t>
        </is>
      </c>
      <c r="C146" s="18" t="inlineStr">
        <is>
          <t>aerodactyl</t>
        </is>
      </c>
      <c r="D146" s="18" t="inlineStr">
        <is>
          <t>Aerodactyl</t>
        </is>
      </c>
      <c r="E146" s="18" t="n">
        <v>1</v>
      </c>
      <c r="F146" s="18" t="inlineStr">
        <is>
          <t>generation1</t>
        </is>
      </c>
      <c r="G146" s="18" t="inlineStr">
        <is>
          <t>rock</t>
        </is>
      </c>
      <c r="H146" s="18" t="inlineStr">
        <is>
          <t>flying</t>
        </is>
      </c>
      <c r="I146" s="18" t="inlineStr">
        <is>
          <t>예</t>
        </is>
      </c>
      <c r="J146" s="18" t="inlineStr">
        <is>
          <t>예</t>
        </is>
      </c>
      <c r="K146" s="18" t="inlineStr">
        <is>
          <t>예</t>
        </is>
      </c>
      <c r="L146" s="18" t="inlineStr">
        <is>
          <t>Cobblemon 동일</t>
        </is>
      </c>
      <c r="M146" s="18">
        <f>COUNTIF('스폰_편집'!$D$5:$D$3125,A146)</f>
        <v/>
      </c>
      <c r="N146" s="18">
        <f>COUNTIFS('스폰_편집'!$D$5:$D$3125,A146,'스폰_편집'!$B$5:$B$3125,"사용")</f>
        <v/>
      </c>
      <c r="O146" s="18" t="n">
        <v>1</v>
      </c>
      <c r="P146" s="18" t="inlineStr">
        <is>
          <t>#cobblemon:is_lush</t>
        </is>
      </c>
      <c r="Q146" s="18" t="inlineStr">
        <is>
          <t>ultra-rare</t>
        </is>
      </c>
      <c r="R146" s="18" t="inlineStr"/>
      <c r="S146" s="18" t="inlineStr">
        <is>
          <t>cobbleventure:generation_1</t>
        </is>
      </c>
      <c r="T146" s="18">
        <f>IF(M146=0,"없음",IF(N146=0,"전부 제외","사용"))</f>
        <v/>
      </c>
      <c r="U146" s="18" t="inlineStr"/>
    </row>
    <row r="147" ht="30" customHeight="1">
      <c r="A147" s="18" t="n">
        <v>143</v>
      </c>
      <c r="B147" s="18" t="inlineStr">
        <is>
          <t>잠만보</t>
        </is>
      </c>
      <c r="C147" s="18" t="inlineStr">
        <is>
          <t>snorlax</t>
        </is>
      </c>
      <c r="D147" s="18" t="inlineStr">
        <is>
          <t>Snorlax</t>
        </is>
      </c>
      <c r="E147" s="18" t="n">
        <v>1</v>
      </c>
      <c r="F147" s="18" t="inlineStr">
        <is>
          <t>generation1</t>
        </is>
      </c>
      <c r="G147" s="18" t="inlineStr">
        <is>
          <t>normal</t>
        </is>
      </c>
      <c r="H147" s="18" t="inlineStr"/>
      <c r="I147" s="18" t="inlineStr">
        <is>
          <t>예</t>
        </is>
      </c>
      <c r="J147" s="18" t="inlineStr">
        <is>
          <t>예</t>
        </is>
      </c>
      <c r="K147" s="18" t="inlineStr">
        <is>
          <t>예</t>
        </is>
      </c>
      <c r="L147" s="18" t="inlineStr">
        <is>
          <t>Cobblemon 동일</t>
        </is>
      </c>
      <c r="M147" s="18">
        <f>COUNTIF('스폰_편집'!$D$5:$D$3125,A147)</f>
        <v/>
      </c>
      <c r="N147" s="18">
        <f>COUNTIFS('스폰_편집'!$D$5:$D$3125,A147,'스폰_편집'!$B$5:$B$3125,"사용")</f>
        <v/>
      </c>
      <c r="O147" s="18" t="n">
        <v>7</v>
      </c>
      <c r="P147" s="18" t="inlineStr">
        <is>
          <t>#aether:is_aether; #cobblemon:is_forest; #cobblemon:is_hills; #cobblemon:is_overworld; #cobblemon:is_snowy_forest; aether:skyroot_forest; aether:skyroot_woodland</t>
        </is>
      </c>
      <c r="Q147" s="18" t="inlineStr">
        <is>
          <t>rare; uncommon</t>
        </is>
      </c>
      <c r="R147" s="18" t="inlineStr">
        <is>
          <t>region_01; region_02</t>
        </is>
      </c>
      <c r="S147" s="18" t="inlineStr">
        <is>
          <t>cobbleventure:generation_1</t>
        </is>
      </c>
      <c r="T147" s="18">
        <f>IF(M147=0,"없음",IF(N147=0,"전부 제외","사용"))</f>
        <v/>
      </c>
      <c r="U147" s="18" t="inlineStr"/>
    </row>
    <row r="148" ht="30" customHeight="1">
      <c r="A148" s="18" t="n">
        <v>144</v>
      </c>
      <c r="B148" s="18" t="inlineStr">
        <is>
          <t>프리져</t>
        </is>
      </c>
      <c r="C148" s="18" t="inlineStr">
        <is>
          <t>articuno</t>
        </is>
      </c>
      <c r="D148" s="18" t="inlineStr">
        <is>
          <t>Articuno</t>
        </is>
      </c>
      <c r="E148" s="18" t="n">
        <v>1</v>
      </c>
      <c r="F148" s="18" t="inlineStr">
        <is>
          <t>generation1</t>
        </is>
      </c>
      <c r="G148" s="18" t="inlineStr">
        <is>
          <t>ice</t>
        </is>
      </c>
      <c r="H148" s="18" t="inlineStr">
        <is>
          <t>flying</t>
        </is>
      </c>
      <c r="I148" s="18" t="inlineStr">
        <is>
          <t>예</t>
        </is>
      </c>
      <c r="J148" s="18" t="inlineStr">
        <is>
          <t>아니오</t>
        </is>
      </c>
      <c r="K148" s="18" t="inlineStr">
        <is>
          <t>예</t>
        </is>
      </c>
      <c r="L148" s="18" t="inlineStr">
        <is>
          <t>COBBLEVERSE 추가</t>
        </is>
      </c>
      <c r="M148" s="18">
        <f>COUNTIF('스폰_편집'!$D$5:$D$3125,A148)</f>
        <v/>
      </c>
      <c r="N148" s="18">
        <f>COUNTIFS('스폰_편집'!$D$5:$D$3125,A148,'스폰_편집'!$B$5:$B$3125,"사용")</f>
        <v/>
      </c>
      <c r="O148" s="18" t="n">
        <v>1</v>
      </c>
      <c r="P148" s="18" t="inlineStr">
        <is>
          <t>cobbleverse:custom_spawn/articuno_tower</t>
        </is>
      </c>
      <c r="Q148" s="18" t="inlineStr">
        <is>
          <t>ultra-rare</t>
        </is>
      </c>
      <c r="R148" s="18" t="inlineStr">
        <is>
          <t>region_01; region_02</t>
        </is>
      </c>
      <c r="S148" s="18" t="inlineStr">
        <is>
          <t>cobbleventure:generation_1</t>
        </is>
      </c>
      <c r="T148" s="18">
        <f>IF(M148=0,"없음",IF(N148=0,"전부 제외","사용"))</f>
        <v/>
      </c>
      <c r="U148" s="18" t="inlineStr"/>
    </row>
    <row r="149" ht="30" customHeight="1">
      <c r="A149" s="18" t="n">
        <v>145</v>
      </c>
      <c r="B149" s="18" t="inlineStr">
        <is>
          <t>썬더</t>
        </is>
      </c>
      <c r="C149" s="18" t="inlineStr">
        <is>
          <t>zapdos</t>
        </is>
      </c>
      <c r="D149" s="18" t="inlineStr">
        <is>
          <t>Zapdos</t>
        </is>
      </c>
      <c r="E149" s="18" t="n">
        <v>1</v>
      </c>
      <c r="F149" s="18" t="inlineStr">
        <is>
          <t>generation1</t>
        </is>
      </c>
      <c r="G149" s="18" t="inlineStr">
        <is>
          <t>electric</t>
        </is>
      </c>
      <c r="H149" s="18" t="inlineStr">
        <is>
          <t>flying</t>
        </is>
      </c>
      <c r="I149" s="18" t="inlineStr">
        <is>
          <t>예</t>
        </is>
      </c>
      <c r="J149" s="18" t="inlineStr">
        <is>
          <t>아니오</t>
        </is>
      </c>
      <c r="K149" s="18" t="inlineStr">
        <is>
          <t>예</t>
        </is>
      </c>
      <c r="L149" s="18" t="inlineStr">
        <is>
          <t>COBBLEVERSE 추가</t>
        </is>
      </c>
      <c r="M149" s="18">
        <f>COUNTIF('스폰_편집'!$D$5:$D$3125,A149)</f>
        <v/>
      </c>
      <c r="N149" s="18">
        <f>COUNTIFS('스폰_편집'!$D$5:$D$3125,A149,'스폰_편집'!$B$5:$B$3125,"사용")</f>
        <v/>
      </c>
      <c r="O149" s="18" t="n">
        <v>1</v>
      </c>
      <c r="P149" s="18" t="inlineStr">
        <is>
          <t>cobbleverse:custom_spawn/zapdos_tower</t>
        </is>
      </c>
      <c r="Q149" s="18" t="inlineStr">
        <is>
          <t>ultra-rare</t>
        </is>
      </c>
      <c r="R149" s="18" t="inlineStr">
        <is>
          <t>region_01; region_02</t>
        </is>
      </c>
      <c r="S149" s="18" t="inlineStr">
        <is>
          <t>cobbleventure:generation_1</t>
        </is>
      </c>
      <c r="T149" s="18">
        <f>IF(M149=0,"없음",IF(N149=0,"전부 제외","사용"))</f>
        <v/>
      </c>
      <c r="U149" s="18" t="inlineStr"/>
    </row>
    <row r="150" ht="30" customHeight="1">
      <c r="A150" s="18" t="n">
        <v>146</v>
      </c>
      <c r="B150" s="18" t="inlineStr">
        <is>
          <t>파이어</t>
        </is>
      </c>
      <c r="C150" s="18" t="inlineStr">
        <is>
          <t>moltres</t>
        </is>
      </c>
      <c r="D150" s="18" t="inlineStr">
        <is>
          <t>Moltres</t>
        </is>
      </c>
      <c r="E150" s="18" t="n">
        <v>1</v>
      </c>
      <c r="F150" s="18" t="inlineStr">
        <is>
          <t>generation1</t>
        </is>
      </c>
      <c r="G150" s="18" t="inlineStr">
        <is>
          <t>fire</t>
        </is>
      </c>
      <c r="H150" s="18" t="inlineStr">
        <is>
          <t>flying</t>
        </is>
      </c>
      <c r="I150" s="18" t="inlineStr">
        <is>
          <t>예</t>
        </is>
      </c>
      <c r="J150" s="18" t="inlineStr">
        <is>
          <t>아니오</t>
        </is>
      </c>
      <c r="K150" s="18" t="inlineStr">
        <is>
          <t>예</t>
        </is>
      </c>
      <c r="L150" s="18" t="inlineStr">
        <is>
          <t>COBBLEVERSE 추가</t>
        </is>
      </c>
      <c r="M150" s="18">
        <f>COUNTIF('스폰_편집'!$D$5:$D$3125,A150)</f>
        <v/>
      </c>
      <c r="N150" s="18">
        <f>COUNTIFS('스폰_편집'!$D$5:$D$3125,A150,'스폰_편집'!$B$5:$B$3125,"사용")</f>
        <v/>
      </c>
      <c r="O150" s="18" t="n">
        <v>1</v>
      </c>
      <c r="P150" s="18" t="inlineStr">
        <is>
          <t>cobbleverse:custom_spawn/moltres_tower</t>
        </is>
      </c>
      <c r="Q150" s="18" t="inlineStr">
        <is>
          <t>ultra-rare</t>
        </is>
      </c>
      <c r="R150" s="18" t="inlineStr">
        <is>
          <t>region_01; region_02</t>
        </is>
      </c>
      <c r="S150" s="18" t="inlineStr">
        <is>
          <t>cobbleventure:generation_1</t>
        </is>
      </c>
      <c r="T150" s="18">
        <f>IF(M150=0,"없음",IF(N150=0,"전부 제외","사용"))</f>
        <v/>
      </c>
      <c r="U150" s="18" t="inlineStr"/>
    </row>
    <row r="151" ht="30" customHeight="1">
      <c r="A151" s="18" t="n">
        <v>147</v>
      </c>
      <c r="B151" s="18" t="inlineStr">
        <is>
          <t>미뇽</t>
        </is>
      </c>
      <c r="C151" s="18" t="inlineStr">
        <is>
          <t>dratini</t>
        </is>
      </c>
      <c r="D151" s="18" t="inlineStr">
        <is>
          <t>Dratini</t>
        </is>
      </c>
      <c r="E151" s="18" t="n">
        <v>1</v>
      </c>
      <c r="F151" s="18" t="inlineStr">
        <is>
          <t>generation1</t>
        </is>
      </c>
      <c r="G151" s="18" t="inlineStr">
        <is>
          <t>dragon</t>
        </is>
      </c>
      <c r="H151" s="18" t="inlineStr"/>
      <c r="I151" s="18" t="inlineStr">
        <is>
          <t>예</t>
        </is>
      </c>
      <c r="J151" s="18" t="inlineStr">
        <is>
          <t>예</t>
        </is>
      </c>
      <c r="K151" s="18" t="inlineStr">
        <is>
          <t>예</t>
        </is>
      </c>
      <c r="L151" s="18" t="inlineStr">
        <is>
          <t>Cobblemon 동일</t>
        </is>
      </c>
      <c r="M151" s="18">
        <f>COUNTIF('스폰_편집'!$D$5:$D$3125,A151)</f>
        <v/>
      </c>
      <c r="N151" s="18">
        <f>COUNTIFS('스폰_편집'!$D$5:$D$3125,A151,'스폰_편집'!$B$5:$B$3125,"사용")</f>
        <v/>
      </c>
      <c r="O151" s="18" t="n">
        <v>4</v>
      </c>
      <c r="P151" s="18" t="inlineStr">
        <is>
          <t>#aether:is_aether; #cobblemon:is_magical; #cobblemon:is_ocean; #cobblemon:is_overworld</t>
        </is>
      </c>
      <c r="Q151" s="18" t="inlineStr">
        <is>
          <t>rare; ultra-rare; uncommon</t>
        </is>
      </c>
      <c r="R151" s="18" t="inlineStr">
        <is>
          <t>region_01; region_02</t>
        </is>
      </c>
      <c r="S151" s="18" t="inlineStr">
        <is>
          <t>cobbleventure:generation_1</t>
        </is>
      </c>
      <c r="T151" s="18">
        <f>IF(M151=0,"없음",IF(N151=0,"전부 제외","사용"))</f>
        <v/>
      </c>
      <c r="U151" s="18" t="inlineStr"/>
    </row>
    <row r="152" ht="30" customHeight="1">
      <c r="A152" s="18" t="n">
        <v>148</v>
      </c>
      <c r="B152" s="18" t="inlineStr">
        <is>
          <t>신뇽</t>
        </is>
      </c>
      <c r="C152" s="18" t="inlineStr">
        <is>
          <t>dragonair</t>
        </is>
      </c>
      <c r="D152" s="18" t="inlineStr">
        <is>
          <t>Dragonair</t>
        </is>
      </c>
      <c r="E152" s="18" t="n">
        <v>1</v>
      </c>
      <c r="F152" s="18" t="inlineStr">
        <is>
          <t>generation1</t>
        </is>
      </c>
      <c r="G152" s="18" t="inlineStr">
        <is>
          <t>dragon</t>
        </is>
      </c>
      <c r="H152" s="18" t="inlineStr"/>
      <c r="I152" s="18" t="inlineStr">
        <is>
          <t>예</t>
        </is>
      </c>
      <c r="J152" s="18" t="inlineStr">
        <is>
          <t>예</t>
        </is>
      </c>
      <c r="K152" s="18" t="inlineStr">
        <is>
          <t>예</t>
        </is>
      </c>
      <c r="L152" s="18" t="inlineStr">
        <is>
          <t>Cobblemon 동일</t>
        </is>
      </c>
      <c r="M152" s="18">
        <f>COUNTIF('스폰_편집'!$D$5:$D$3125,A152)</f>
        <v/>
      </c>
      <c r="N152" s="18">
        <f>COUNTIFS('스폰_편집'!$D$5:$D$3125,A152,'스폰_편집'!$B$5:$B$3125,"사용")</f>
        <v/>
      </c>
      <c r="O152" s="18" t="n">
        <v>4</v>
      </c>
      <c r="P152" s="18" t="inlineStr">
        <is>
          <t>#aether:is_aether; #cobblemon:is_magical; #cobblemon:is_ocean; #cobblemon:is_overworld</t>
        </is>
      </c>
      <c r="Q152" s="18" t="inlineStr">
        <is>
          <t>rare; ultra-rare; uncommon</t>
        </is>
      </c>
      <c r="R152" s="18" t="inlineStr">
        <is>
          <t>region_01; region_02</t>
        </is>
      </c>
      <c r="S152" s="18" t="inlineStr">
        <is>
          <t>cobbleventure:generation_1</t>
        </is>
      </c>
      <c r="T152" s="18">
        <f>IF(M152=0,"없음",IF(N152=0,"전부 제외","사용"))</f>
        <v/>
      </c>
      <c r="U152" s="18" t="inlineStr"/>
    </row>
    <row r="153" ht="30" customHeight="1">
      <c r="A153" s="18" t="n">
        <v>149</v>
      </c>
      <c r="B153" s="18" t="inlineStr">
        <is>
          <t>망나뇽</t>
        </is>
      </c>
      <c r="C153" s="18" t="inlineStr">
        <is>
          <t>dragonite</t>
        </is>
      </c>
      <c r="D153" s="18" t="inlineStr">
        <is>
          <t>Dragonite</t>
        </is>
      </c>
      <c r="E153" s="18" t="n">
        <v>1</v>
      </c>
      <c r="F153" s="18" t="inlineStr">
        <is>
          <t>generation1</t>
        </is>
      </c>
      <c r="G153" s="18" t="inlineStr">
        <is>
          <t>dragon</t>
        </is>
      </c>
      <c r="H153" s="18" t="inlineStr">
        <is>
          <t>flying</t>
        </is>
      </c>
      <c r="I153" s="18" t="inlineStr">
        <is>
          <t>예</t>
        </is>
      </c>
      <c r="J153" s="18" t="inlineStr">
        <is>
          <t>예</t>
        </is>
      </c>
      <c r="K153" s="18" t="inlineStr">
        <is>
          <t>예</t>
        </is>
      </c>
      <c r="L153" s="18" t="inlineStr">
        <is>
          <t>Cobblemon 동일</t>
        </is>
      </c>
      <c r="M153" s="18">
        <f>COUNTIF('스폰_편집'!$D$5:$D$3125,A153)</f>
        <v/>
      </c>
      <c r="N153" s="18">
        <f>COUNTIFS('스폰_편집'!$D$5:$D$3125,A153,'스폰_편집'!$B$5:$B$3125,"사용")</f>
        <v/>
      </c>
      <c r="O153" s="18" t="n">
        <v>5</v>
      </c>
      <c r="P153" s="18" t="inlineStr">
        <is>
          <t>#aether:is_aether; #cobblemon:is_magical; #cobblemon:is_ocean; #cobblemon:is_overworld; #cobblemon:is_sky</t>
        </is>
      </c>
      <c r="Q153" s="18" t="inlineStr">
        <is>
          <t>rare; ultra-rare; uncommon</t>
        </is>
      </c>
      <c r="R153" s="18" t="inlineStr">
        <is>
          <t>region_01; region_02</t>
        </is>
      </c>
      <c r="S153" s="18" t="inlineStr">
        <is>
          <t>cobbleventure:generation_1</t>
        </is>
      </c>
      <c r="T153" s="18">
        <f>IF(M153=0,"없음",IF(N153=0,"전부 제외","사용"))</f>
        <v/>
      </c>
      <c r="U153" s="18" t="inlineStr"/>
    </row>
    <row r="154" ht="30" customHeight="1">
      <c r="A154" s="18" t="n">
        <v>150</v>
      </c>
      <c r="B154" s="18" t="inlineStr">
        <is>
          <t>뮤츠</t>
        </is>
      </c>
      <c r="C154" s="18" t="inlineStr">
        <is>
          <t>mewtwo</t>
        </is>
      </c>
      <c r="D154" s="18" t="inlineStr">
        <is>
          <t>Mewtwo</t>
        </is>
      </c>
      <c r="E154" s="18" t="n">
        <v>1</v>
      </c>
      <c r="F154" s="18" t="inlineStr">
        <is>
          <t>generation1</t>
        </is>
      </c>
      <c r="G154" s="18" t="inlineStr">
        <is>
          <t>psychic</t>
        </is>
      </c>
      <c r="H154" s="18" t="inlineStr"/>
      <c r="I154" s="18" t="inlineStr">
        <is>
          <t>예</t>
        </is>
      </c>
      <c r="J154" s="18" t="inlineStr">
        <is>
          <t>아니오</t>
        </is>
      </c>
      <c r="K154" s="18" t="inlineStr">
        <is>
          <t>예</t>
        </is>
      </c>
      <c r="L154" s="18" t="inlineStr">
        <is>
          <t>COBBLEVERSE 추가</t>
        </is>
      </c>
      <c r="M154" s="18">
        <f>COUNTIF('스폰_편집'!$D$5:$D$3125,A154)</f>
        <v/>
      </c>
      <c r="N154" s="18">
        <f>COUNTIFS('스폰_편집'!$D$5:$D$3125,A154,'스폰_편집'!$B$5:$B$3125,"사용")</f>
        <v/>
      </c>
      <c r="O154" s="18" t="n">
        <v>1</v>
      </c>
      <c r="P154" s="18" t="inlineStr">
        <is>
          <t>cobbleverse:custom_spawn/team_rocket_radio</t>
        </is>
      </c>
      <c r="Q154" s="18" t="inlineStr">
        <is>
          <t>ultra-rare</t>
        </is>
      </c>
      <c r="R154" s="18" t="inlineStr"/>
      <c r="S154" s="18" t="inlineStr">
        <is>
          <t>cobbleventure:generation_1</t>
        </is>
      </c>
      <c r="T154" s="18">
        <f>IF(M154=0,"없음",IF(N154=0,"전부 제외","사용"))</f>
        <v/>
      </c>
      <c r="U154" s="18" t="inlineStr"/>
    </row>
    <row r="155" ht="30" customHeight="1">
      <c r="A155" s="18" t="n">
        <v>151</v>
      </c>
      <c r="B155" s="18" t="inlineStr">
        <is>
          <t>뮤</t>
        </is>
      </c>
      <c r="C155" s="18" t="inlineStr">
        <is>
          <t>mew</t>
        </is>
      </c>
      <c r="D155" s="18" t="inlineStr">
        <is>
          <t>Mew</t>
        </is>
      </c>
      <c r="E155" s="18" t="n">
        <v>1</v>
      </c>
      <c r="F155" s="18" t="inlineStr">
        <is>
          <t>generation1</t>
        </is>
      </c>
      <c r="G155" s="18" t="inlineStr">
        <is>
          <t>psychic</t>
        </is>
      </c>
      <c r="H155" s="18" t="inlineStr"/>
      <c r="I155" s="18" t="inlineStr">
        <is>
          <t>예</t>
        </is>
      </c>
      <c r="J155" s="18" t="inlineStr">
        <is>
          <t>아니오</t>
        </is>
      </c>
      <c r="K155" s="18" t="inlineStr">
        <is>
          <t>예</t>
        </is>
      </c>
      <c r="L155" s="18" t="inlineStr">
        <is>
          <t>COBBLEVERSE 추가</t>
        </is>
      </c>
      <c r="M155" s="18">
        <f>COUNTIF('스폰_편집'!$D$5:$D$3125,A155)</f>
        <v/>
      </c>
      <c r="N155" s="18">
        <f>COUNTIFS('스폰_편집'!$D$5:$D$3125,A155,'스폰_편집'!$B$5:$B$3125,"사용")</f>
        <v/>
      </c>
      <c r="O155" s="18" t="n">
        <v>1</v>
      </c>
      <c r="P155" s="18" t="inlineStr">
        <is>
          <t>cobbleverse:custom_spawn/origin_temple</t>
        </is>
      </c>
      <c r="Q155" s="18" t="inlineStr">
        <is>
          <t>ultra-rare</t>
        </is>
      </c>
      <c r="R155" s="18" t="inlineStr"/>
      <c r="S155" s="18" t="inlineStr">
        <is>
          <t>cobbleventure:generation_1</t>
        </is>
      </c>
      <c r="T155" s="18">
        <f>IF(M155=0,"없음",IF(N155=0,"전부 제외","사용"))</f>
        <v/>
      </c>
      <c r="U155" s="18" t="inlineStr"/>
    </row>
    <row r="156" ht="30" customHeight="1">
      <c r="A156" s="18" t="n">
        <v>152</v>
      </c>
      <c r="B156" s="18" t="inlineStr">
        <is>
          <t>치코리타</t>
        </is>
      </c>
      <c r="C156" s="18" t="inlineStr">
        <is>
          <t>chikorita</t>
        </is>
      </c>
      <c r="D156" s="18" t="inlineStr">
        <is>
          <t>Chikorita</t>
        </is>
      </c>
      <c r="E156" s="18" t="n">
        <v>2</v>
      </c>
      <c r="F156" s="18" t="inlineStr">
        <is>
          <t>generation2</t>
        </is>
      </c>
      <c r="G156" s="18" t="inlineStr">
        <is>
          <t>grass</t>
        </is>
      </c>
      <c r="H156" s="18" t="inlineStr"/>
      <c r="I156" s="18" t="inlineStr">
        <is>
          <t>예</t>
        </is>
      </c>
      <c r="J156" s="18" t="inlineStr">
        <is>
          <t>예</t>
        </is>
      </c>
      <c r="K156" s="18" t="inlineStr">
        <is>
          <t>예</t>
        </is>
      </c>
      <c r="L156" s="18" t="inlineStr">
        <is>
          <t>Cobblemon 동일</t>
        </is>
      </c>
      <c r="M156" s="18">
        <f>COUNTIF('스폰_편집'!$D$5:$D$3125,A156)</f>
        <v/>
      </c>
      <c r="N156" s="18">
        <f>COUNTIFS('스폰_편집'!$D$5:$D$3125,A156,'스폰_편집'!$B$5:$B$3125,"사용")</f>
        <v/>
      </c>
      <c r="O156" s="18" t="n">
        <v>3</v>
      </c>
      <c r="P156" s="18" t="inlineStr">
        <is>
          <t>#aether:is_aether; #cobblemon:is_floral; the_bumblezone:floral_meadow</t>
        </is>
      </c>
      <c r="Q156" s="18" t="inlineStr">
        <is>
          <t>ultra-rare</t>
        </is>
      </c>
      <c r="R156" s="18" t="inlineStr"/>
      <c r="S156" s="18" t="inlineStr">
        <is>
          <t>cobbleventure:generation_2</t>
        </is>
      </c>
      <c r="T156" s="18">
        <f>IF(M156=0,"없음",IF(N156=0,"전부 제외","사용"))</f>
        <v/>
      </c>
      <c r="U156" s="18" t="inlineStr"/>
    </row>
    <row r="157" ht="30" customHeight="1">
      <c r="A157" s="18" t="n">
        <v>153</v>
      </c>
      <c r="B157" s="18" t="inlineStr">
        <is>
          <t>베이리프</t>
        </is>
      </c>
      <c r="C157" s="18" t="inlineStr">
        <is>
          <t>bayleef</t>
        </is>
      </c>
      <c r="D157" s="18" t="inlineStr">
        <is>
          <t>Bayleef</t>
        </is>
      </c>
      <c r="E157" s="18" t="n">
        <v>2</v>
      </c>
      <c r="F157" s="18" t="inlineStr">
        <is>
          <t>generation2</t>
        </is>
      </c>
      <c r="G157" s="18" t="inlineStr">
        <is>
          <t>grass</t>
        </is>
      </c>
      <c r="H157" s="18" t="inlineStr"/>
      <c r="I157" s="18" t="inlineStr">
        <is>
          <t>예</t>
        </is>
      </c>
      <c r="J157" s="18" t="inlineStr">
        <is>
          <t>예</t>
        </is>
      </c>
      <c r="K157" s="18" t="inlineStr">
        <is>
          <t>예</t>
        </is>
      </c>
      <c r="L157" s="18" t="inlineStr">
        <is>
          <t>Cobblemon 동일</t>
        </is>
      </c>
      <c r="M157" s="18">
        <f>COUNTIF('스폰_편집'!$D$5:$D$3125,A157)</f>
        <v/>
      </c>
      <c r="N157" s="18">
        <f>COUNTIFS('스폰_편집'!$D$5:$D$3125,A157,'스폰_편집'!$B$5:$B$3125,"사용")</f>
        <v/>
      </c>
      <c r="O157" s="18" t="n">
        <v>3</v>
      </c>
      <c r="P157" s="18" t="inlineStr">
        <is>
          <t>#aether:is_aether; #cobblemon:is_floral; the_bumblezone:floral_meadow</t>
        </is>
      </c>
      <c r="Q157" s="18" t="inlineStr">
        <is>
          <t>ultra-rare</t>
        </is>
      </c>
      <c r="R157" s="18" t="inlineStr"/>
      <c r="S157" s="18" t="inlineStr">
        <is>
          <t>cobbleventure:generation_2</t>
        </is>
      </c>
      <c r="T157" s="18">
        <f>IF(M157=0,"없음",IF(N157=0,"전부 제외","사용"))</f>
        <v/>
      </c>
      <c r="U157" s="18" t="inlineStr"/>
    </row>
    <row r="158" ht="30" customHeight="1">
      <c r="A158" s="18" t="n">
        <v>154</v>
      </c>
      <c r="B158" s="18" t="inlineStr">
        <is>
          <t>메가니움</t>
        </is>
      </c>
      <c r="C158" s="18" t="inlineStr">
        <is>
          <t>meganium</t>
        </is>
      </c>
      <c r="D158" s="18" t="inlineStr">
        <is>
          <t>Meganium</t>
        </is>
      </c>
      <c r="E158" s="18" t="n">
        <v>2</v>
      </c>
      <c r="F158" s="18" t="inlineStr">
        <is>
          <t>generation2</t>
        </is>
      </c>
      <c r="G158" s="18" t="inlineStr">
        <is>
          <t>grass</t>
        </is>
      </c>
      <c r="H158" s="18" t="inlineStr"/>
      <c r="I158" s="18" t="inlineStr">
        <is>
          <t>예</t>
        </is>
      </c>
      <c r="J158" s="18" t="inlineStr">
        <is>
          <t>예</t>
        </is>
      </c>
      <c r="K158" s="18" t="inlineStr">
        <is>
          <t>예</t>
        </is>
      </c>
      <c r="L158" s="18" t="inlineStr">
        <is>
          <t>Cobblemon 동일</t>
        </is>
      </c>
      <c r="M158" s="18">
        <f>COUNTIF('스폰_편집'!$D$5:$D$3125,A158)</f>
        <v/>
      </c>
      <c r="N158" s="18">
        <f>COUNTIFS('스폰_편집'!$D$5:$D$3125,A158,'스폰_편집'!$B$5:$B$3125,"사용")</f>
        <v/>
      </c>
      <c r="O158" s="18" t="n">
        <v>3</v>
      </c>
      <c r="P158" s="18" t="inlineStr">
        <is>
          <t>#aether:is_aether; #cobblemon:is_floral; the_bumblezone:floral_meadow</t>
        </is>
      </c>
      <c r="Q158" s="18" t="inlineStr">
        <is>
          <t>ultra-rare</t>
        </is>
      </c>
      <c r="R158" s="18" t="inlineStr"/>
      <c r="S158" s="18" t="inlineStr">
        <is>
          <t>cobbleventure:generation_2</t>
        </is>
      </c>
      <c r="T158" s="18">
        <f>IF(M158=0,"없음",IF(N158=0,"전부 제외","사용"))</f>
        <v/>
      </c>
      <c r="U158" s="18" t="inlineStr"/>
    </row>
    <row r="159" ht="30" customHeight="1">
      <c r="A159" s="18" t="n">
        <v>155</v>
      </c>
      <c r="B159" s="18" t="inlineStr">
        <is>
          <t>브케인</t>
        </is>
      </c>
      <c r="C159" s="18" t="inlineStr">
        <is>
          <t>cyndaquil</t>
        </is>
      </c>
      <c r="D159" s="18" t="inlineStr">
        <is>
          <t>Cyndaquil</t>
        </is>
      </c>
      <c r="E159" s="18" t="n">
        <v>2</v>
      </c>
      <c r="F159" s="18" t="inlineStr">
        <is>
          <t>generation2</t>
        </is>
      </c>
      <c r="G159" s="18" t="inlineStr">
        <is>
          <t>fire</t>
        </is>
      </c>
      <c r="H159" s="18" t="inlineStr"/>
      <c r="I159" s="18" t="inlineStr">
        <is>
          <t>예</t>
        </is>
      </c>
      <c r="J159" s="18" t="inlineStr">
        <is>
          <t>예</t>
        </is>
      </c>
      <c r="K159" s="18" t="inlineStr">
        <is>
          <t>예</t>
        </is>
      </c>
      <c r="L159" s="18" t="inlineStr">
        <is>
          <t>Cobblemon 동일</t>
        </is>
      </c>
      <c r="M159" s="18">
        <f>COUNTIF('스폰_편집'!$D$5:$D$3125,A159)</f>
        <v/>
      </c>
      <c r="N159" s="18">
        <f>COUNTIFS('스폰_편집'!$D$5:$D$3125,A159,'스폰_편집'!$B$5:$B$3125,"사용")</f>
        <v/>
      </c>
      <c r="O159" s="18" t="n">
        <v>5</v>
      </c>
      <c r="P159" s="18" t="inlineStr">
        <is>
          <t>#cobblemon:is_taiga; #cobblemon:is_temperate; #cobblemon:nether/is_crimson; #cobblemon:nether/is_forest; #cobblemon:nether/is_overgrowth</t>
        </is>
      </c>
      <c r="Q159" s="18" t="inlineStr">
        <is>
          <t>ultra-rare</t>
        </is>
      </c>
      <c r="R159" s="18" t="inlineStr">
        <is>
          <t>region_01</t>
        </is>
      </c>
      <c r="S159" s="18" t="inlineStr">
        <is>
          <t>cobbleventure:generation_2</t>
        </is>
      </c>
      <c r="T159" s="18">
        <f>IF(M159=0,"없음",IF(N159=0,"전부 제외","사용"))</f>
        <v/>
      </c>
      <c r="U159" s="18" t="inlineStr"/>
    </row>
    <row r="160" ht="30" customHeight="1">
      <c r="A160" s="18" t="n">
        <v>156</v>
      </c>
      <c r="B160" s="18" t="inlineStr">
        <is>
          <t>마그케인</t>
        </is>
      </c>
      <c r="C160" s="18" t="inlineStr">
        <is>
          <t>quilava</t>
        </is>
      </c>
      <c r="D160" s="18" t="inlineStr">
        <is>
          <t>Quilava</t>
        </is>
      </c>
      <c r="E160" s="18" t="n">
        <v>2</v>
      </c>
      <c r="F160" s="18" t="inlineStr">
        <is>
          <t>generation2</t>
        </is>
      </c>
      <c r="G160" s="18" t="inlineStr">
        <is>
          <t>fire</t>
        </is>
      </c>
      <c r="H160" s="18" t="inlineStr"/>
      <c r="I160" s="18" t="inlineStr">
        <is>
          <t>예</t>
        </is>
      </c>
      <c r="J160" s="18" t="inlineStr">
        <is>
          <t>예</t>
        </is>
      </c>
      <c r="K160" s="18" t="inlineStr">
        <is>
          <t>예</t>
        </is>
      </c>
      <c r="L160" s="18" t="inlineStr">
        <is>
          <t>Cobblemon 동일</t>
        </is>
      </c>
      <c r="M160" s="18">
        <f>COUNTIF('스폰_편집'!$D$5:$D$3125,A160)</f>
        <v/>
      </c>
      <c r="N160" s="18">
        <f>COUNTIFS('스폰_편집'!$D$5:$D$3125,A160,'스폰_편집'!$B$5:$B$3125,"사용")</f>
        <v/>
      </c>
      <c r="O160" s="18" t="n">
        <v>5</v>
      </c>
      <c r="P160" s="18" t="inlineStr">
        <is>
          <t>#cobblemon:is_taiga; #cobblemon:is_temperate; #cobblemon:nether/is_crimson; #cobblemon:nether/is_forest; #cobblemon:nether/is_overgrowth</t>
        </is>
      </c>
      <c r="Q160" s="18" t="inlineStr">
        <is>
          <t>ultra-rare</t>
        </is>
      </c>
      <c r="R160" s="18" t="inlineStr">
        <is>
          <t>region_01</t>
        </is>
      </c>
      <c r="S160" s="18" t="inlineStr">
        <is>
          <t>cobbleventure:generation_2</t>
        </is>
      </c>
      <c r="T160" s="18">
        <f>IF(M160=0,"없음",IF(N160=0,"전부 제외","사용"))</f>
        <v/>
      </c>
      <c r="U160" s="18" t="inlineStr"/>
    </row>
    <row r="161" ht="30" customHeight="1">
      <c r="A161" s="18" t="n">
        <v>157</v>
      </c>
      <c r="B161" s="18" t="inlineStr">
        <is>
          <t>블레이범</t>
        </is>
      </c>
      <c r="C161" s="18" t="inlineStr">
        <is>
          <t>typhlosion</t>
        </is>
      </c>
      <c r="D161" s="18" t="inlineStr">
        <is>
          <t>Typhlosion</t>
        </is>
      </c>
      <c r="E161" s="18" t="n">
        <v>2</v>
      </c>
      <c r="F161" s="18" t="inlineStr">
        <is>
          <t>generation2</t>
        </is>
      </c>
      <c r="G161" s="18" t="inlineStr">
        <is>
          <t>fire</t>
        </is>
      </c>
      <c r="H161" s="18" t="inlineStr"/>
      <c r="I161" s="18" t="inlineStr">
        <is>
          <t>예</t>
        </is>
      </c>
      <c r="J161" s="18" t="inlineStr">
        <is>
          <t>예</t>
        </is>
      </c>
      <c r="K161" s="18" t="inlineStr">
        <is>
          <t>예</t>
        </is>
      </c>
      <c r="L161" s="18" t="inlineStr">
        <is>
          <t>Cobblemon 동일</t>
        </is>
      </c>
      <c r="M161" s="18">
        <f>COUNTIF('스폰_편집'!$D$5:$D$3125,A161)</f>
        <v/>
      </c>
      <c r="N161" s="18">
        <f>COUNTIFS('스폰_편집'!$D$5:$D$3125,A161,'스폰_편집'!$B$5:$B$3125,"사용")</f>
        <v/>
      </c>
      <c r="O161" s="18" t="n">
        <v>5</v>
      </c>
      <c r="P161" s="18" t="inlineStr">
        <is>
          <t>#cobblemon:is_taiga; #cobblemon:is_temperate; #cobblemon:nether/is_crimson; #cobblemon:nether/is_forest; #cobblemon:nether/is_overgrowth</t>
        </is>
      </c>
      <c r="Q161" s="18" t="inlineStr">
        <is>
          <t>ultra-rare</t>
        </is>
      </c>
      <c r="R161" s="18" t="inlineStr">
        <is>
          <t>region_01</t>
        </is>
      </c>
      <c r="S161" s="18" t="inlineStr">
        <is>
          <t>cobbleventure:generation_2</t>
        </is>
      </c>
      <c r="T161" s="18">
        <f>IF(M161=0,"없음",IF(N161=0,"전부 제외","사용"))</f>
        <v/>
      </c>
      <c r="U161" s="18" t="inlineStr"/>
    </row>
    <row r="162" ht="30" customHeight="1">
      <c r="A162" s="18" t="n">
        <v>158</v>
      </c>
      <c r="B162" s="18" t="inlineStr">
        <is>
          <t>리아코</t>
        </is>
      </c>
      <c r="C162" s="18" t="inlineStr">
        <is>
          <t>totodile</t>
        </is>
      </c>
      <c r="D162" s="18" t="inlineStr">
        <is>
          <t>Totodile</t>
        </is>
      </c>
      <c r="E162" s="18" t="n">
        <v>2</v>
      </c>
      <c r="F162" s="18" t="inlineStr">
        <is>
          <t>generation2</t>
        </is>
      </c>
      <c r="G162" s="18" t="inlineStr">
        <is>
          <t>water</t>
        </is>
      </c>
      <c r="H162" s="18" t="inlineStr"/>
      <c r="I162" s="18" t="inlineStr">
        <is>
          <t>예</t>
        </is>
      </c>
      <c r="J162" s="18" t="inlineStr">
        <is>
          <t>예</t>
        </is>
      </c>
      <c r="K162" s="18" t="inlineStr">
        <is>
          <t>예</t>
        </is>
      </c>
      <c r="L162" s="18" t="inlineStr">
        <is>
          <t>Cobblemon 동일</t>
        </is>
      </c>
      <c r="M162" s="18">
        <f>COUNTIF('스폰_편집'!$D$5:$D$3125,A162)</f>
        <v/>
      </c>
      <c r="N162" s="18">
        <f>COUNTIFS('스폰_편집'!$D$5:$D$3125,A162,'스폰_편집'!$B$5:$B$3125,"사용")</f>
        <v/>
      </c>
      <c r="O162" s="18" t="n">
        <v>3</v>
      </c>
      <c r="P162" s="18" t="inlineStr">
        <is>
          <t>#cobblemon:is_arid; #cobblemon:is_jungle; #cobblemon:is_swamp</t>
        </is>
      </c>
      <c r="Q162" s="18" t="inlineStr">
        <is>
          <t>ultra-rare</t>
        </is>
      </c>
      <c r="R162" s="18" t="inlineStr">
        <is>
          <t>region_02</t>
        </is>
      </c>
      <c r="S162" s="18" t="inlineStr">
        <is>
          <t>cobbleventure:generation_2</t>
        </is>
      </c>
      <c r="T162" s="18">
        <f>IF(M162=0,"없음",IF(N162=0,"전부 제외","사용"))</f>
        <v/>
      </c>
      <c r="U162" s="18" t="inlineStr"/>
    </row>
    <row r="163" ht="30" customHeight="1">
      <c r="A163" s="18" t="n">
        <v>159</v>
      </c>
      <c r="B163" s="18" t="inlineStr">
        <is>
          <t>엘리게이</t>
        </is>
      </c>
      <c r="C163" s="18" t="inlineStr">
        <is>
          <t>croconaw</t>
        </is>
      </c>
      <c r="D163" s="18" t="inlineStr">
        <is>
          <t>Croconaw</t>
        </is>
      </c>
      <c r="E163" s="18" t="n">
        <v>2</v>
      </c>
      <c r="F163" s="18" t="inlineStr">
        <is>
          <t>generation2</t>
        </is>
      </c>
      <c r="G163" s="18" t="inlineStr">
        <is>
          <t>water</t>
        </is>
      </c>
      <c r="H163" s="18" t="inlineStr"/>
      <c r="I163" s="18" t="inlineStr">
        <is>
          <t>예</t>
        </is>
      </c>
      <c r="J163" s="18" t="inlineStr">
        <is>
          <t>예</t>
        </is>
      </c>
      <c r="K163" s="18" t="inlineStr">
        <is>
          <t>예</t>
        </is>
      </c>
      <c r="L163" s="18" t="inlineStr">
        <is>
          <t>Cobblemon 동일</t>
        </is>
      </c>
      <c r="M163" s="18">
        <f>COUNTIF('스폰_편집'!$D$5:$D$3125,A163)</f>
        <v/>
      </c>
      <c r="N163" s="18">
        <f>COUNTIFS('스폰_편집'!$D$5:$D$3125,A163,'스폰_편집'!$B$5:$B$3125,"사용")</f>
        <v/>
      </c>
      <c r="O163" s="18" t="n">
        <v>3</v>
      </c>
      <c r="P163" s="18" t="inlineStr">
        <is>
          <t>#cobblemon:is_arid; #cobblemon:is_jungle; #cobblemon:is_swamp</t>
        </is>
      </c>
      <c r="Q163" s="18" t="inlineStr">
        <is>
          <t>ultra-rare</t>
        </is>
      </c>
      <c r="R163" s="18" t="inlineStr">
        <is>
          <t>region_02</t>
        </is>
      </c>
      <c r="S163" s="18" t="inlineStr">
        <is>
          <t>cobbleventure:generation_2</t>
        </is>
      </c>
      <c r="T163" s="18">
        <f>IF(M163=0,"없음",IF(N163=0,"전부 제외","사용"))</f>
        <v/>
      </c>
      <c r="U163" s="18" t="inlineStr"/>
    </row>
    <row r="164" ht="30" customHeight="1">
      <c r="A164" s="18" t="n">
        <v>160</v>
      </c>
      <c r="B164" s="18" t="inlineStr">
        <is>
          <t>장크로다일</t>
        </is>
      </c>
      <c r="C164" s="18" t="inlineStr">
        <is>
          <t>feraligatr</t>
        </is>
      </c>
      <c r="D164" s="18" t="inlineStr">
        <is>
          <t>Feraligatr</t>
        </is>
      </c>
      <c r="E164" s="18" t="n">
        <v>2</v>
      </c>
      <c r="F164" s="18" t="inlineStr">
        <is>
          <t>generation2</t>
        </is>
      </c>
      <c r="G164" s="18" t="inlineStr">
        <is>
          <t>water</t>
        </is>
      </c>
      <c r="H164" s="18" t="inlineStr"/>
      <c r="I164" s="18" t="inlineStr">
        <is>
          <t>예</t>
        </is>
      </c>
      <c r="J164" s="18" t="inlineStr">
        <is>
          <t>예</t>
        </is>
      </c>
      <c r="K164" s="18" t="inlineStr">
        <is>
          <t>예</t>
        </is>
      </c>
      <c r="L164" s="18" t="inlineStr">
        <is>
          <t>Cobblemon 동일</t>
        </is>
      </c>
      <c r="M164" s="18">
        <f>COUNTIF('스폰_편집'!$D$5:$D$3125,A164)</f>
        <v/>
      </c>
      <c r="N164" s="18">
        <f>COUNTIFS('스폰_편집'!$D$5:$D$3125,A164,'스폰_편집'!$B$5:$B$3125,"사용")</f>
        <v/>
      </c>
      <c r="O164" s="18" t="n">
        <v>3</v>
      </c>
      <c r="P164" s="18" t="inlineStr">
        <is>
          <t>#cobblemon:is_arid; #cobblemon:is_jungle; #cobblemon:is_swamp</t>
        </is>
      </c>
      <c r="Q164" s="18" t="inlineStr">
        <is>
          <t>ultra-rare</t>
        </is>
      </c>
      <c r="R164" s="18" t="inlineStr">
        <is>
          <t>region_02</t>
        </is>
      </c>
      <c r="S164" s="18" t="inlineStr">
        <is>
          <t>cobbleventure:generation_2</t>
        </is>
      </c>
      <c r="T164" s="18">
        <f>IF(M164=0,"없음",IF(N164=0,"전부 제외","사용"))</f>
        <v/>
      </c>
      <c r="U164" s="18" t="inlineStr"/>
    </row>
    <row r="165" ht="30" customHeight="1">
      <c r="A165" s="18" t="n">
        <v>161</v>
      </c>
      <c r="B165" s="18" t="inlineStr">
        <is>
          <t>꼬리선</t>
        </is>
      </c>
      <c r="C165" s="18" t="inlineStr">
        <is>
          <t>sentret</t>
        </is>
      </c>
      <c r="D165" s="18" t="inlineStr">
        <is>
          <t>Sentret</t>
        </is>
      </c>
      <c r="E165" s="18" t="n">
        <v>2</v>
      </c>
      <c r="F165" s="18" t="inlineStr">
        <is>
          <t>generation2</t>
        </is>
      </c>
      <c r="G165" s="18" t="inlineStr">
        <is>
          <t>normal</t>
        </is>
      </c>
      <c r="H165" s="18" t="inlineStr"/>
      <c r="I165" s="18" t="inlineStr">
        <is>
          <t>예</t>
        </is>
      </c>
      <c r="J165" s="18" t="inlineStr">
        <is>
          <t>예</t>
        </is>
      </c>
      <c r="K165" s="18" t="inlineStr">
        <is>
          <t>예</t>
        </is>
      </c>
      <c r="L165" s="18" t="inlineStr">
        <is>
          <t>Cobblemon 동일</t>
        </is>
      </c>
      <c r="M165" s="18">
        <f>COUNTIF('스폰_편집'!$D$5:$D$3125,A165)</f>
        <v/>
      </c>
      <c r="N165" s="18">
        <f>COUNTIFS('스폰_편집'!$D$5:$D$3125,A165,'스폰_편집'!$B$5:$B$3125,"사용")</f>
        <v/>
      </c>
      <c r="O165" s="18" t="n">
        <v>4</v>
      </c>
      <c r="P165" s="18" t="inlineStr">
        <is>
          <t>#aether:is_aether; #cobblemon:is_taiga; #cobblemon:is_temperate; #cobblemon:is_tundra</t>
        </is>
      </c>
      <c r="Q165" s="18" t="inlineStr">
        <is>
          <t>common</t>
        </is>
      </c>
      <c r="R165" s="18" t="inlineStr">
        <is>
          <t>region_01</t>
        </is>
      </c>
      <c r="S165" s="18" t="inlineStr">
        <is>
          <t>cobbleventure:generation_2</t>
        </is>
      </c>
      <c r="T165" s="18">
        <f>IF(M165=0,"없음",IF(N165=0,"전부 제외","사용"))</f>
        <v/>
      </c>
      <c r="U165" s="18" t="inlineStr"/>
    </row>
    <row r="166" ht="30" customHeight="1">
      <c r="A166" s="18" t="n">
        <v>162</v>
      </c>
      <c r="B166" s="18" t="inlineStr">
        <is>
          <t>다꼬리</t>
        </is>
      </c>
      <c r="C166" s="18" t="inlineStr">
        <is>
          <t>furret</t>
        </is>
      </c>
      <c r="D166" s="18" t="inlineStr">
        <is>
          <t>Furret</t>
        </is>
      </c>
      <c r="E166" s="18" t="n">
        <v>2</v>
      </c>
      <c r="F166" s="18" t="inlineStr">
        <is>
          <t>generation2</t>
        </is>
      </c>
      <c r="G166" s="18" t="inlineStr">
        <is>
          <t>normal</t>
        </is>
      </c>
      <c r="H166" s="18" t="inlineStr"/>
      <c r="I166" s="18" t="inlineStr">
        <is>
          <t>예</t>
        </is>
      </c>
      <c r="J166" s="18" t="inlineStr">
        <is>
          <t>예</t>
        </is>
      </c>
      <c r="K166" s="18" t="inlineStr">
        <is>
          <t>예</t>
        </is>
      </c>
      <c r="L166" s="18" t="inlineStr">
        <is>
          <t>Cobblemon 동일</t>
        </is>
      </c>
      <c r="M166" s="18">
        <f>COUNTIF('스폰_편집'!$D$5:$D$3125,A166)</f>
        <v/>
      </c>
      <c r="N166" s="18">
        <f>COUNTIFS('스폰_편집'!$D$5:$D$3125,A166,'스폰_편집'!$B$5:$B$3125,"사용")</f>
        <v/>
      </c>
      <c r="O166" s="18" t="n">
        <v>4</v>
      </c>
      <c r="P166" s="18" t="inlineStr">
        <is>
          <t>#aether:is_aether; #cobblemon:is_taiga; #cobblemon:is_temperate; #cobblemon:is_tundra</t>
        </is>
      </c>
      <c r="Q166" s="18" t="inlineStr">
        <is>
          <t>common</t>
        </is>
      </c>
      <c r="R166" s="18" t="inlineStr">
        <is>
          <t>region_01</t>
        </is>
      </c>
      <c r="S166" s="18" t="inlineStr">
        <is>
          <t>cobbleventure:generation_2</t>
        </is>
      </c>
      <c r="T166" s="18">
        <f>IF(M166=0,"없음",IF(N166=0,"전부 제외","사용"))</f>
        <v/>
      </c>
      <c r="U166" s="18" t="inlineStr"/>
    </row>
    <row r="167" ht="30" customHeight="1">
      <c r="A167" s="18" t="n">
        <v>163</v>
      </c>
      <c r="B167" s="18" t="inlineStr">
        <is>
          <t>부우부</t>
        </is>
      </c>
      <c r="C167" s="18" t="inlineStr">
        <is>
          <t>hoothoot</t>
        </is>
      </c>
      <c r="D167" s="18" t="inlineStr">
        <is>
          <t>Hoothoot</t>
        </is>
      </c>
      <c r="E167" s="18" t="n">
        <v>2</v>
      </c>
      <c r="F167" s="18" t="inlineStr">
        <is>
          <t>generation2</t>
        </is>
      </c>
      <c r="G167" s="18" t="inlineStr">
        <is>
          <t>normal</t>
        </is>
      </c>
      <c r="H167" s="18" t="inlineStr">
        <is>
          <t>flying</t>
        </is>
      </c>
      <c r="I167" s="18" t="inlineStr">
        <is>
          <t>예</t>
        </is>
      </c>
      <c r="J167" s="18" t="inlineStr">
        <is>
          <t>예</t>
        </is>
      </c>
      <c r="K167" s="18" t="inlineStr">
        <is>
          <t>예</t>
        </is>
      </c>
      <c r="L167" s="18" t="inlineStr">
        <is>
          <t>Cobblemon 동일</t>
        </is>
      </c>
      <c r="M167" s="18">
        <f>COUNTIF('스폰_편집'!$D$5:$D$3125,A167)</f>
        <v/>
      </c>
      <c r="N167" s="18">
        <f>COUNTIFS('스폰_편집'!$D$5:$D$3125,A167,'스폰_편집'!$B$5:$B$3125,"사용")</f>
        <v/>
      </c>
      <c r="O167" s="18" t="n">
        <v>3</v>
      </c>
      <c r="P167" s="18" t="inlineStr">
        <is>
          <t>#cobblemon:is_forest; #cobblemon:is_sky; #cobblemon:is_spooky</t>
        </is>
      </c>
      <c r="Q167" s="18" t="inlineStr">
        <is>
          <t>common</t>
        </is>
      </c>
      <c r="R167" s="18" t="inlineStr">
        <is>
          <t>region_01</t>
        </is>
      </c>
      <c r="S167" s="18" t="inlineStr">
        <is>
          <t>cobbleventure:generation_2</t>
        </is>
      </c>
      <c r="T167" s="18">
        <f>IF(M167=0,"없음",IF(N167=0,"전부 제외","사용"))</f>
        <v/>
      </c>
      <c r="U167" s="18" t="inlineStr"/>
    </row>
    <row r="168" ht="30" customHeight="1">
      <c r="A168" s="18" t="n">
        <v>164</v>
      </c>
      <c r="B168" s="18" t="inlineStr">
        <is>
          <t>야부엉</t>
        </is>
      </c>
      <c r="C168" s="18" t="inlineStr">
        <is>
          <t>noctowl</t>
        </is>
      </c>
      <c r="D168" s="18" t="inlineStr">
        <is>
          <t>Noctowl</t>
        </is>
      </c>
      <c r="E168" s="18" t="n">
        <v>2</v>
      </c>
      <c r="F168" s="18" t="inlineStr">
        <is>
          <t>generation2</t>
        </is>
      </c>
      <c r="G168" s="18" t="inlineStr">
        <is>
          <t>normal</t>
        </is>
      </c>
      <c r="H168" s="18" t="inlineStr">
        <is>
          <t>flying</t>
        </is>
      </c>
      <c r="I168" s="18" t="inlineStr">
        <is>
          <t>예</t>
        </is>
      </c>
      <c r="J168" s="18" t="inlineStr">
        <is>
          <t>예</t>
        </is>
      </c>
      <c r="K168" s="18" t="inlineStr">
        <is>
          <t>예</t>
        </is>
      </c>
      <c r="L168" s="18" t="inlineStr">
        <is>
          <t>Cobblemon 동일</t>
        </is>
      </c>
      <c r="M168" s="18">
        <f>COUNTIF('스폰_편집'!$D$5:$D$3125,A168)</f>
        <v/>
      </c>
      <c r="N168" s="18">
        <f>COUNTIFS('스폰_편집'!$D$5:$D$3125,A168,'스폰_편집'!$B$5:$B$3125,"사용")</f>
        <v/>
      </c>
      <c r="O168" s="18" t="n">
        <v>3</v>
      </c>
      <c r="P168" s="18" t="inlineStr">
        <is>
          <t>#cobblemon:is_forest; #cobblemon:is_sky; #cobblemon:is_spooky</t>
        </is>
      </c>
      <c r="Q168" s="18" t="inlineStr">
        <is>
          <t>common</t>
        </is>
      </c>
      <c r="R168" s="18" t="inlineStr">
        <is>
          <t>region_01</t>
        </is>
      </c>
      <c r="S168" s="18" t="inlineStr">
        <is>
          <t>cobbleventure:generation_2</t>
        </is>
      </c>
      <c r="T168" s="18">
        <f>IF(M168=0,"없음",IF(N168=0,"전부 제외","사용"))</f>
        <v/>
      </c>
      <c r="U168" s="18" t="inlineStr"/>
    </row>
    <row r="169" ht="30" customHeight="1">
      <c r="A169" s="18" t="n">
        <v>165</v>
      </c>
      <c r="B169" s="18" t="inlineStr">
        <is>
          <t>레디바</t>
        </is>
      </c>
      <c r="C169" s="18" t="inlineStr">
        <is>
          <t>ledyba</t>
        </is>
      </c>
      <c r="D169" s="18" t="inlineStr">
        <is>
          <t>Ledyba</t>
        </is>
      </c>
      <c r="E169" s="18" t="n">
        <v>2</v>
      </c>
      <c r="F169" s="18" t="inlineStr">
        <is>
          <t>generation2</t>
        </is>
      </c>
      <c r="G169" s="18" t="inlineStr">
        <is>
          <t>bug</t>
        </is>
      </c>
      <c r="H169" s="18" t="inlineStr">
        <is>
          <t>flying</t>
        </is>
      </c>
      <c r="I169" s="18" t="inlineStr">
        <is>
          <t>예</t>
        </is>
      </c>
      <c r="J169" s="18" t="inlineStr">
        <is>
          <t>예</t>
        </is>
      </c>
      <c r="K169" s="18" t="inlineStr">
        <is>
          <t>예</t>
        </is>
      </c>
      <c r="L169" s="18" t="inlineStr">
        <is>
          <t>Cobblemon 동일</t>
        </is>
      </c>
      <c r="M169" s="18">
        <f>COUNTIF('스폰_편집'!$D$5:$D$3125,A169)</f>
        <v/>
      </c>
      <c r="N169" s="18">
        <f>COUNTIFS('스폰_편집'!$D$5:$D$3125,A169,'스폰_편집'!$B$5:$B$3125,"사용")</f>
        <v/>
      </c>
      <c r="O169" s="18" t="n">
        <v>3</v>
      </c>
      <c r="P169" s="18" t="inlineStr">
        <is>
          <t>#aether:is_aether; #cobblemon:is_temperate; the_bumblezone:floral_meadow</t>
        </is>
      </c>
      <c r="Q169" s="18" t="inlineStr">
        <is>
          <t>common</t>
        </is>
      </c>
      <c r="R169" s="18" t="inlineStr">
        <is>
          <t>region_01</t>
        </is>
      </c>
      <c r="S169" s="18" t="inlineStr">
        <is>
          <t>cobbleventure:generation_2</t>
        </is>
      </c>
      <c r="T169" s="18">
        <f>IF(M169=0,"없음",IF(N169=0,"전부 제외","사용"))</f>
        <v/>
      </c>
      <c r="U169" s="18" t="inlineStr"/>
    </row>
    <row r="170" ht="30" customHeight="1">
      <c r="A170" s="18" t="n">
        <v>166</v>
      </c>
      <c r="B170" s="18" t="inlineStr">
        <is>
          <t>레디안</t>
        </is>
      </c>
      <c r="C170" s="18" t="inlineStr">
        <is>
          <t>ledian</t>
        </is>
      </c>
      <c r="D170" s="18" t="inlineStr">
        <is>
          <t>Ledian</t>
        </is>
      </c>
      <c r="E170" s="18" t="n">
        <v>2</v>
      </c>
      <c r="F170" s="18" t="inlineStr">
        <is>
          <t>generation2</t>
        </is>
      </c>
      <c r="G170" s="18" t="inlineStr">
        <is>
          <t>bug</t>
        </is>
      </c>
      <c r="H170" s="18" t="inlineStr">
        <is>
          <t>flying</t>
        </is>
      </c>
      <c r="I170" s="18" t="inlineStr">
        <is>
          <t>예</t>
        </is>
      </c>
      <c r="J170" s="18" t="inlineStr">
        <is>
          <t>예</t>
        </is>
      </c>
      <c r="K170" s="18" t="inlineStr">
        <is>
          <t>예</t>
        </is>
      </c>
      <c r="L170" s="18" t="inlineStr">
        <is>
          <t>Cobblemon 동일</t>
        </is>
      </c>
      <c r="M170" s="18">
        <f>COUNTIF('스폰_편집'!$D$5:$D$3125,A170)</f>
        <v/>
      </c>
      <c r="N170" s="18">
        <f>COUNTIFS('스폰_편집'!$D$5:$D$3125,A170,'스폰_편집'!$B$5:$B$3125,"사용")</f>
        <v/>
      </c>
      <c r="O170" s="18" t="n">
        <v>3</v>
      </c>
      <c r="P170" s="18" t="inlineStr">
        <is>
          <t>#aether:is_aether; #cobblemon:is_temperate; the_bumblezone:floral_meadow</t>
        </is>
      </c>
      <c r="Q170" s="18" t="inlineStr">
        <is>
          <t>common</t>
        </is>
      </c>
      <c r="R170" s="18" t="inlineStr">
        <is>
          <t>region_01</t>
        </is>
      </c>
      <c r="S170" s="18" t="inlineStr">
        <is>
          <t>cobbleventure:generation_2</t>
        </is>
      </c>
      <c r="T170" s="18">
        <f>IF(M170=0,"없음",IF(N170=0,"전부 제외","사용"))</f>
        <v/>
      </c>
      <c r="U170" s="18" t="inlineStr"/>
    </row>
    <row r="171" ht="30" customHeight="1">
      <c r="A171" s="18" t="n">
        <v>167</v>
      </c>
      <c r="B171" s="18" t="inlineStr">
        <is>
          <t>페이검</t>
        </is>
      </c>
      <c r="C171" s="18" t="inlineStr">
        <is>
          <t>spinarak</t>
        </is>
      </c>
      <c r="D171" s="18" t="inlineStr">
        <is>
          <t>Spinarak</t>
        </is>
      </c>
      <c r="E171" s="18" t="n">
        <v>2</v>
      </c>
      <c r="F171" s="18" t="inlineStr">
        <is>
          <t>generation2</t>
        </is>
      </c>
      <c r="G171" s="18" t="inlineStr">
        <is>
          <t>bug</t>
        </is>
      </c>
      <c r="H171" s="18" t="inlineStr">
        <is>
          <t>poison</t>
        </is>
      </c>
      <c r="I171" s="18" t="inlineStr">
        <is>
          <t>예</t>
        </is>
      </c>
      <c r="J171" s="18" t="inlineStr">
        <is>
          <t>예</t>
        </is>
      </c>
      <c r="K171" s="18" t="inlineStr">
        <is>
          <t>예</t>
        </is>
      </c>
      <c r="L171" s="18" t="inlineStr">
        <is>
          <t>Cobblemon 동일</t>
        </is>
      </c>
      <c r="M171" s="18">
        <f>COUNTIF('스폰_편집'!$D$5:$D$3125,A171)</f>
        <v/>
      </c>
      <c r="N171" s="18">
        <f>COUNTIFS('스폰_편집'!$D$5:$D$3125,A171,'스폰_편집'!$B$5:$B$3125,"사용")</f>
        <v/>
      </c>
      <c r="O171" s="18" t="n">
        <v>4</v>
      </c>
      <c r="P171" s="18" t="inlineStr">
        <is>
          <t>#cobblemon:is_forest; #cobblemon:is_jungle; #cobblemon:is_overworld; #cobblemon:is_spooky</t>
        </is>
      </c>
      <c r="Q171" s="18" t="inlineStr">
        <is>
          <t>common</t>
        </is>
      </c>
      <c r="R171" s="18" t="inlineStr">
        <is>
          <t>region_01; region_02</t>
        </is>
      </c>
      <c r="S171" s="18" t="inlineStr">
        <is>
          <t>cobbleventure:generation_2</t>
        </is>
      </c>
      <c r="T171" s="18">
        <f>IF(M171=0,"없음",IF(N171=0,"전부 제외","사용"))</f>
        <v/>
      </c>
      <c r="U171" s="18" t="inlineStr"/>
    </row>
    <row r="172" ht="30" customHeight="1">
      <c r="A172" s="18" t="n">
        <v>168</v>
      </c>
      <c r="B172" s="18" t="inlineStr">
        <is>
          <t>아리아도스</t>
        </is>
      </c>
      <c r="C172" s="18" t="inlineStr">
        <is>
          <t>ariados</t>
        </is>
      </c>
      <c r="D172" s="18" t="inlineStr">
        <is>
          <t>Ariados</t>
        </is>
      </c>
      <c r="E172" s="18" t="n">
        <v>2</v>
      </c>
      <c r="F172" s="18" t="inlineStr">
        <is>
          <t>generation2</t>
        </is>
      </c>
      <c r="G172" s="18" t="inlineStr">
        <is>
          <t>bug</t>
        </is>
      </c>
      <c r="H172" s="18" t="inlineStr">
        <is>
          <t>poison</t>
        </is>
      </c>
      <c r="I172" s="18" t="inlineStr">
        <is>
          <t>예</t>
        </is>
      </c>
      <c r="J172" s="18" t="inlineStr">
        <is>
          <t>예</t>
        </is>
      </c>
      <c r="K172" s="18" t="inlineStr">
        <is>
          <t>예</t>
        </is>
      </c>
      <c r="L172" s="18" t="inlineStr">
        <is>
          <t>Cobblemon 동일</t>
        </is>
      </c>
      <c r="M172" s="18">
        <f>COUNTIF('스폰_편집'!$D$5:$D$3125,A172)</f>
        <v/>
      </c>
      <c r="N172" s="18">
        <f>COUNTIFS('스폰_편집'!$D$5:$D$3125,A172,'스폰_편집'!$B$5:$B$3125,"사용")</f>
        <v/>
      </c>
      <c r="O172" s="18" t="n">
        <v>4</v>
      </c>
      <c r="P172" s="18" t="inlineStr">
        <is>
          <t>#cobblemon:is_forest; #cobblemon:is_jungle; #cobblemon:is_overworld; #cobblemon:is_spooky</t>
        </is>
      </c>
      <c r="Q172" s="18" t="inlineStr">
        <is>
          <t>common</t>
        </is>
      </c>
      <c r="R172" s="18" t="inlineStr">
        <is>
          <t>region_01; region_02</t>
        </is>
      </c>
      <c r="S172" s="18" t="inlineStr">
        <is>
          <t>cobbleventure:generation_2</t>
        </is>
      </c>
      <c r="T172" s="18">
        <f>IF(M172=0,"없음",IF(N172=0,"전부 제외","사용"))</f>
        <v/>
      </c>
      <c r="U172" s="18" t="inlineStr"/>
    </row>
    <row r="173" ht="30" customHeight="1">
      <c r="A173" s="18" t="n">
        <v>169</v>
      </c>
      <c r="B173" s="18" t="inlineStr">
        <is>
          <t>크로뱃</t>
        </is>
      </c>
      <c r="C173" s="18" t="inlineStr">
        <is>
          <t>crobat</t>
        </is>
      </c>
      <c r="D173" s="18" t="inlineStr">
        <is>
          <t>Crobat</t>
        </is>
      </c>
      <c r="E173" s="18" t="n">
        <v>2</v>
      </c>
      <c r="F173" s="18" t="inlineStr">
        <is>
          <t>generation2</t>
        </is>
      </c>
      <c r="G173" s="18" t="inlineStr">
        <is>
          <t>poison</t>
        </is>
      </c>
      <c r="H173" s="18" t="inlineStr">
        <is>
          <t>flying</t>
        </is>
      </c>
      <c r="I173" s="18" t="inlineStr">
        <is>
          <t>예</t>
        </is>
      </c>
      <c r="J173" s="18" t="inlineStr">
        <is>
          <t>예</t>
        </is>
      </c>
      <c r="K173" s="18" t="inlineStr">
        <is>
          <t>예</t>
        </is>
      </c>
      <c r="L173" s="18" t="inlineStr">
        <is>
          <t>Cobblemon 동일</t>
        </is>
      </c>
      <c r="M173" s="18">
        <f>COUNTIF('스폰_편집'!$D$5:$D$3125,A173)</f>
        <v/>
      </c>
      <c r="N173" s="18">
        <f>COUNTIFS('스폰_편집'!$D$5:$D$3125,A173,'스폰_편집'!$B$5:$B$3125,"사용")</f>
        <v/>
      </c>
      <c r="O173" s="18" t="n">
        <v>6</v>
      </c>
      <c r="P173" s="18" t="inlineStr">
        <is>
          <t>#aether:is_aether; #cobblemon:is_deep_dark; #cobblemon:is_forest; #cobblemon:is_overworld; #cobblemon:is_spooky; #cobblemon:is_swamp</t>
        </is>
      </c>
      <c r="Q173" s="18" t="inlineStr">
        <is>
          <t>common; uncommon</t>
        </is>
      </c>
      <c r="R173" s="18" t="inlineStr">
        <is>
          <t>region_01; region_02</t>
        </is>
      </c>
      <c r="S173" s="18" t="inlineStr">
        <is>
          <t>cobbleventure:generation_2</t>
        </is>
      </c>
      <c r="T173" s="18">
        <f>IF(M173=0,"없음",IF(N173=0,"전부 제외","사용"))</f>
        <v/>
      </c>
      <c r="U173" s="18" t="inlineStr"/>
    </row>
    <row r="174" ht="30" customHeight="1">
      <c r="A174" s="18" t="n">
        <v>170</v>
      </c>
      <c r="B174" s="18" t="inlineStr">
        <is>
          <t>초라기</t>
        </is>
      </c>
      <c r="C174" s="18" t="inlineStr">
        <is>
          <t>chinchou</t>
        </is>
      </c>
      <c r="D174" s="18" t="inlineStr">
        <is>
          <t>Chinchou</t>
        </is>
      </c>
      <c r="E174" s="18" t="n">
        <v>2</v>
      </c>
      <c r="F174" s="18" t="inlineStr">
        <is>
          <t>generation2</t>
        </is>
      </c>
      <c r="G174" s="18" t="inlineStr">
        <is>
          <t>water</t>
        </is>
      </c>
      <c r="H174" s="18" t="inlineStr">
        <is>
          <t>electric</t>
        </is>
      </c>
      <c r="I174" s="18" t="inlineStr">
        <is>
          <t>예</t>
        </is>
      </c>
      <c r="J174" s="18" t="inlineStr">
        <is>
          <t>예</t>
        </is>
      </c>
      <c r="K174" s="18" t="inlineStr">
        <is>
          <t>예</t>
        </is>
      </c>
      <c r="L174" s="18" t="inlineStr">
        <is>
          <t>Cobblemon 동일</t>
        </is>
      </c>
      <c r="M174" s="18">
        <f>COUNTIF('스폰_편집'!$D$5:$D$3125,A174)</f>
        <v/>
      </c>
      <c r="N174" s="18">
        <f>COUNTIFS('스폰_편집'!$D$5:$D$3125,A174,'스폰_편집'!$B$5:$B$3125,"사용")</f>
        <v/>
      </c>
      <c r="O174" s="18" t="n">
        <v>3</v>
      </c>
      <c r="P174" s="18" t="inlineStr">
        <is>
          <t>#cobblemon:is_deep_ocean; #cobblemon:is_ocean; #cobblemon:is_overworld</t>
        </is>
      </c>
      <c r="Q174" s="18" t="inlineStr">
        <is>
          <t>common</t>
        </is>
      </c>
      <c r="R174" s="18" t="inlineStr">
        <is>
          <t>region_01; region_02</t>
        </is>
      </c>
      <c r="S174" s="18" t="inlineStr">
        <is>
          <t>cobbleventure:generation_2</t>
        </is>
      </c>
      <c r="T174" s="18">
        <f>IF(M174=0,"없음",IF(N174=0,"전부 제외","사용"))</f>
        <v/>
      </c>
      <c r="U174" s="18" t="inlineStr"/>
    </row>
    <row r="175" ht="30" customHeight="1">
      <c r="A175" s="18" t="n">
        <v>171</v>
      </c>
      <c r="B175" s="18" t="inlineStr">
        <is>
          <t>랜턴</t>
        </is>
      </c>
      <c r="C175" s="18" t="inlineStr">
        <is>
          <t>lanturn</t>
        </is>
      </c>
      <c r="D175" s="18" t="inlineStr">
        <is>
          <t>Lanturn</t>
        </is>
      </c>
      <c r="E175" s="18" t="n">
        <v>2</v>
      </c>
      <c r="F175" s="18" t="inlineStr">
        <is>
          <t>generation2</t>
        </is>
      </c>
      <c r="G175" s="18" t="inlineStr">
        <is>
          <t>water</t>
        </is>
      </c>
      <c r="H175" s="18" t="inlineStr">
        <is>
          <t>electric</t>
        </is>
      </c>
      <c r="I175" s="18" t="inlineStr">
        <is>
          <t>예</t>
        </is>
      </c>
      <c r="J175" s="18" t="inlineStr">
        <is>
          <t>예</t>
        </is>
      </c>
      <c r="K175" s="18" t="inlineStr">
        <is>
          <t>예</t>
        </is>
      </c>
      <c r="L175" s="18" t="inlineStr">
        <is>
          <t>Cobblemon 동일</t>
        </is>
      </c>
      <c r="M175" s="18">
        <f>COUNTIF('스폰_편집'!$D$5:$D$3125,A175)</f>
        <v/>
      </c>
      <c r="N175" s="18">
        <f>COUNTIFS('스폰_편집'!$D$5:$D$3125,A175,'스폰_편집'!$B$5:$B$3125,"사용")</f>
        <v/>
      </c>
      <c r="O175" s="18" t="n">
        <v>3</v>
      </c>
      <c r="P175" s="18" t="inlineStr">
        <is>
          <t>#cobblemon:is_deep_ocean; #cobblemon:is_ocean; #cobblemon:is_overworld</t>
        </is>
      </c>
      <c r="Q175" s="18" t="inlineStr">
        <is>
          <t>common</t>
        </is>
      </c>
      <c r="R175" s="18" t="inlineStr">
        <is>
          <t>region_01; region_02</t>
        </is>
      </c>
      <c r="S175" s="18" t="inlineStr">
        <is>
          <t>cobbleventure:generation_2</t>
        </is>
      </c>
      <c r="T175" s="18">
        <f>IF(M175=0,"없음",IF(N175=0,"전부 제외","사용"))</f>
        <v/>
      </c>
      <c r="U175" s="18" t="inlineStr"/>
    </row>
    <row r="176" ht="30" customHeight="1">
      <c r="A176" s="18" t="n">
        <v>172</v>
      </c>
      <c r="B176" s="18" t="inlineStr">
        <is>
          <t>피츄</t>
        </is>
      </c>
      <c r="C176" s="18" t="inlineStr">
        <is>
          <t>pichu</t>
        </is>
      </c>
      <c r="D176" s="18" t="inlineStr">
        <is>
          <t>Pichu</t>
        </is>
      </c>
      <c r="E176" s="18" t="n">
        <v>2</v>
      </c>
      <c r="F176" s="18" t="inlineStr">
        <is>
          <t>generation2</t>
        </is>
      </c>
      <c r="G176" s="18" t="inlineStr">
        <is>
          <t>electric</t>
        </is>
      </c>
      <c r="H176" s="18" t="inlineStr"/>
      <c r="I176" s="18" t="inlineStr">
        <is>
          <t>예</t>
        </is>
      </c>
      <c r="J176" s="18" t="inlineStr">
        <is>
          <t>예</t>
        </is>
      </c>
      <c r="K176" s="18" t="inlineStr">
        <is>
          <t>예</t>
        </is>
      </c>
      <c r="L176" s="18" t="inlineStr">
        <is>
          <t>Cobblemon 동일</t>
        </is>
      </c>
      <c r="M176" s="18">
        <f>COUNTIF('스폰_편집'!$D$5:$D$3125,A176)</f>
        <v/>
      </c>
      <c r="N176" s="18">
        <f>COUNTIFS('스폰_편집'!$D$5:$D$3125,A176,'스폰_편집'!$B$5:$B$3125,"사용")</f>
        <v/>
      </c>
      <c r="O176" s="18" t="n">
        <v>5</v>
      </c>
      <c r="P176" s="18" t="inlineStr">
        <is>
          <t>#cobblemon:is_beach; #cobblemon:is_forest; #cobblemon:is_tropical_island; aether:skyroot_forest; aether:skyroot_woodland</t>
        </is>
      </c>
      <c r="Q176" s="18" t="inlineStr">
        <is>
          <t>uncommon</t>
        </is>
      </c>
      <c r="R176" s="18" t="inlineStr">
        <is>
          <t>region_01</t>
        </is>
      </c>
      <c r="S176" s="18" t="inlineStr">
        <is>
          <t>cobbleventure:generation_2</t>
        </is>
      </c>
      <c r="T176" s="18">
        <f>IF(M176=0,"없음",IF(N176=0,"전부 제외","사용"))</f>
        <v/>
      </c>
      <c r="U176" s="18" t="inlineStr"/>
    </row>
    <row r="177" ht="30" customHeight="1">
      <c r="A177" s="18" t="n">
        <v>173</v>
      </c>
      <c r="B177" s="18" t="inlineStr">
        <is>
          <t>삐</t>
        </is>
      </c>
      <c r="C177" s="18" t="inlineStr">
        <is>
          <t>cleffa</t>
        </is>
      </c>
      <c r="D177" s="18" t="inlineStr">
        <is>
          <t>Cleffa</t>
        </is>
      </c>
      <c r="E177" s="18" t="n">
        <v>2</v>
      </c>
      <c r="F177" s="18" t="inlineStr">
        <is>
          <t>generation2</t>
        </is>
      </c>
      <c r="G177" s="18" t="inlineStr">
        <is>
          <t>fairy</t>
        </is>
      </c>
      <c r="H177" s="18" t="inlineStr"/>
      <c r="I177" s="18" t="inlineStr">
        <is>
          <t>예</t>
        </is>
      </c>
      <c r="J177" s="18" t="inlineStr">
        <is>
          <t>예</t>
        </is>
      </c>
      <c r="K177" s="18" t="inlineStr">
        <is>
          <t>예</t>
        </is>
      </c>
      <c r="L177" s="18" t="inlineStr">
        <is>
          <t>Cobblemon 동일</t>
        </is>
      </c>
      <c r="M177" s="18">
        <f>COUNTIF('스폰_편집'!$D$5:$D$3125,A177)</f>
        <v/>
      </c>
      <c r="N177" s="18">
        <f>COUNTIFS('스폰_편집'!$D$5:$D$3125,A177,'스폰_편집'!$B$5:$B$3125,"사용")</f>
        <v/>
      </c>
      <c r="O177" s="18" t="n">
        <v>4</v>
      </c>
      <c r="P177" s="18" t="inlineStr">
        <is>
          <t>#aether:is_aether; #cobblemon:is_dripstone; #cobblemon:is_hills; #cobblemon:is_magical</t>
        </is>
      </c>
      <c r="Q177" s="18" t="inlineStr">
        <is>
          <t>uncommon</t>
        </is>
      </c>
      <c r="R177" s="18" t="inlineStr"/>
      <c r="S177" s="18" t="inlineStr">
        <is>
          <t>cobbleventure:generation_2</t>
        </is>
      </c>
      <c r="T177" s="18">
        <f>IF(M177=0,"없음",IF(N177=0,"전부 제외","사용"))</f>
        <v/>
      </c>
      <c r="U177" s="18" t="inlineStr"/>
    </row>
    <row r="178" ht="30" customHeight="1">
      <c r="A178" s="18" t="n">
        <v>174</v>
      </c>
      <c r="B178" s="18" t="inlineStr">
        <is>
          <t>푸푸린</t>
        </is>
      </c>
      <c r="C178" s="18" t="inlineStr">
        <is>
          <t>igglybuff</t>
        </is>
      </c>
      <c r="D178" s="18" t="inlineStr">
        <is>
          <t>Igglybuff</t>
        </is>
      </c>
      <c r="E178" s="18" t="n">
        <v>2</v>
      </c>
      <c r="F178" s="18" t="inlineStr">
        <is>
          <t>generation2</t>
        </is>
      </c>
      <c r="G178" s="18" t="inlineStr">
        <is>
          <t>normal</t>
        </is>
      </c>
      <c r="H178" s="18" t="inlineStr">
        <is>
          <t>fairy</t>
        </is>
      </c>
      <c r="I178" s="18" t="inlineStr">
        <is>
          <t>예</t>
        </is>
      </c>
      <c r="J178" s="18" t="inlineStr">
        <is>
          <t>예</t>
        </is>
      </c>
      <c r="K178" s="18" t="inlineStr">
        <is>
          <t>예</t>
        </is>
      </c>
      <c r="L178" s="18" t="inlineStr">
        <is>
          <t>COBBLEVERSE 수정</t>
        </is>
      </c>
      <c r="M178" s="18">
        <f>COUNTIF('스폰_편집'!$D$5:$D$3125,A178)</f>
        <v/>
      </c>
      <c r="N178" s="18">
        <f>COUNTIFS('스폰_편집'!$D$5:$D$3125,A178,'스폰_편집'!$B$5:$B$3125,"사용")</f>
        <v/>
      </c>
      <c r="O178" s="18" t="n">
        <v>4</v>
      </c>
      <c r="P178" s="18" t="inlineStr">
        <is>
          <t>#cobblemon:is_floral; #cobblemon:is_plains; aether:skyroot_grove; aether:skyroot_meadow</t>
        </is>
      </c>
      <c r="Q178" s="18" t="inlineStr">
        <is>
          <t>common</t>
        </is>
      </c>
      <c r="R178" s="18" t="inlineStr">
        <is>
          <t>region_01</t>
        </is>
      </c>
      <c r="S178" s="18" t="inlineStr">
        <is>
          <t>cobbleventure:generation_2</t>
        </is>
      </c>
      <c r="T178" s="18">
        <f>IF(M178=0,"없음",IF(N178=0,"전부 제외","사용"))</f>
        <v/>
      </c>
      <c r="U178" s="18" t="inlineStr"/>
    </row>
    <row r="179" ht="30" customHeight="1">
      <c r="A179" s="18" t="n">
        <v>175</v>
      </c>
      <c r="B179" s="18" t="inlineStr">
        <is>
          <t>토게피</t>
        </is>
      </c>
      <c r="C179" s="18" t="inlineStr">
        <is>
          <t>togepi</t>
        </is>
      </c>
      <c r="D179" s="18" t="inlineStr">
        <is>
          <t>Togepi</t>
        </is>
      </c>
      <c r="E179" s="18" t="n">
        <v>2</v>
      </c>
      <c r="F179" s="18" t="inlineStr">
        <is>
          <t>generation2</t>
        </is>
      </c>
      <c r="G179" s="18" t="inlineStr">
        <is>
          <t>fairy</t>
        </is>
      </c>
      <c r="H179" s="18" t="inlineStr"/>
      <c r="I179" s="18" t="inlineStr">
        <is>
          <t>예</t>
        </is>
      </c>
      <c r="J179" s="18" t="inlineStr">
        <is>
          <t>예</t>
        </is>
      </c>
      <c r="K179" s="18" t="inlineStr">
        <is>
          <t>예</t>
        </is>
      </c>
      <c r="L179" s="18" t="inlineStr">
        <is>
          <t>Cobblemon 동일</t>
        </is>
      </c>
      <c r="M179" s="18">
        <f>COUNTIF('스폰_편집'!$D$5:$D$3125,A179)</f>
        <v/>
      </c>
      <c r="N179" s="18">
        <f>COUNTIFS('스폰_편집'!$D$5:$D$3125,A179,'스폰_편집'!$B$5:$B$3125,"사용")</f>
        <v/>
      </c>
      <c r="O179" s="18" t="n">
        <v>6</v>
      </c>
      <c r="P179" s="18" t="inlineStr">
        <is>
          <t>#cobblemon:is_floral; #cobblemon:is_magical; #cobblemon:is_sky; aether:skyroot_grove; aether:skyroot_meadow; the_bumblezone:floral_meadow</t>
        </is>
      </c>
      <c r="Q179" s="18" t="inlineStr">
        <is>
          <t>rare</t>
        </is>
      </c>
      <c r="R179" s="18" t="inlineStr"/>
      <c r="S179" s="18" t="inlineStr">
        <is>
          <t>cobbleventure:generation_2</t>
        </is>
      </c>
      <c r="T179" s="18">
        <f>IF(M179=0,"없음",IF(N179=0,"전부 제외","사용"))</f>
        <v/>
      </c>
      <c r="U179" s="18" t="inlineStr"/>
    </row>
    <row r="180" ht="30" customHeight="1">
      <c r="A180" s="18" t="n">
        <v>176</v>
      </c>
      <c r="B180" s="18" t="inlineStr">
        <is>
          <t>토게틱</t>
        </is>
      </c>
      <c r="C180" s="18" t="inlineStr">
        <is>
          <t>togetic</t>
        </is>
      </c>
      <c r="D180" s="18" t="inlineStr">
        <is>
          <t>Togetic</t>
        </is>
      </c>
      <c r="E180" s="18" t="n">
        <v>2</v>
      </c>
      <c r="F180" s="18" t="inlineStr">
        <is>
          <t>generation2</t>
        </is>
      </c>
      <c r="G180" s="18" t="inlineStr">
        <is>
          <t>fairy</t>
        </is>
      </c>
      <c r="H180" s="18" t="inlineStr">
        <is>
          <t>flying</t>
        </is>
      </c>
      <c r="I180" s="18" t="inlineStr">
        <is>
          <t>예</t>
        </is>
      </c>
      <c r="J180" s="18" t="inlineStr">
        <is>
          <t>예</t>
        </is>
      </c>
      <c r="K180" s="18" t="inlineStr">
        <is>
          <t>예</t>
        </is>
      </c>
      <c r="L180" s="18" t="inlineStr">
        <is>
          <t>Cobblemon 동일</t>
        </is>
      </c>
      <c r="M180" s="18">
        <f>COUNTIF('스폰_편집'!$D$5:$D$3125,A180)</f>
        <v/>
      </c>
      <c r="N180" s="18">
        <f>COUNTIFS('스폰_편집'!$D$5:$D$3125,A180,'스폰_편집'!$B$5:$B$3125,"사용")</f>
        <v/>
      </c>
      <c r="O180" s="18" t="n">
        <v>6</v>
      </c>
      <c r="P180" s="18" t="inlineStr">
        <is>
          <t>#cobblemon:is_floral; #cobblemon:is_magical; #cobblemon:is_sky; aether:skyroot_grove; aether:skyroot_meadow; the_bumblezone:floral_meadow</t>
        </is>
      </c>
      <c r="Q180" s="18" t="inlineStr">
        <is>
          <t>rare</t>
        </is>
      </c>
      <c r="R180" s="18" t="inlineStr"/>
      <c r="S180" s="18" t="inlineStr">
        <is>
          <t>cobbleventure:generation_2</t>
        </is>
      </c>
      <c r="T180" s="18">
        <f>IF(M180=0,"없음",IF(N180=0,"전부 제외","사용"))</f>
        <v/>
      </c>
      <c r="U180" s="18" t="inlineStr"/>
    </row>
    <row r="181" ht="30" customHeight="1">
      <c r="A181" s="18" t="n">
        <v>177</v>
      </c>
      <c r="B181" s="18" t="inlineStr">
        <is>
          <t>네이티</t>
        </is>
      </c>
      <c r="C181" s="18" t="inlineStr">
        <is>
          <t>natu</t>
        </is>
      </c>
      <c r="D181" s="18" t="inlineStr">
        <is>
          <t>Natu</t>
        </is>
      </c>
      <c r="E181" s="18" t="n">
        <v>2</v>
      </c>
      <c r="F181" s="18" t="inlineStr">
        <is>
          <t>generation2</t>
        </is>
      </c>
      <c r="G181" s="18" t="inlineStr">
        <is>
          <t>psychic</t>
        </is>
      </c>
      <c r="H181" s="18" t="inlineStr">
        <is>
          <t>flying</t>
        </is>
      </c>
      <c r="I181" s="18" t="inlineStr">
        <is>
          <t>예</t>
        </is>
      </c>
      <c r="J181" s="18" t="inlineStr">
        <is>
          <t>예</t>
        </is>
      </c>
      <c r="K181" s="18" t="inlineStr">
        <is>
          <t>예</t>
        </is>
      </c>
      <c r="L181" s="18" t="inlineStr">
        <is>
          <t>Cobblemon 동일</t>
        </is>
      </c>
      <c r="M181" s="18">
        <f>COUNTIF('스폰_편집'!$D$5:$D$3125,A181)</f>
        <v/>
      </c>
      <c r="N181" s="18">
        <f>COUNTIFS('스폰_편집'!$D$5:$D$3125,A181,'스폰_편집'!$B$5:$B$3125,"사용")</f>
        <v/>
      </c>
      <c r="O181" s="18" t="n">
        <v>3</v>
      </c>
      <c r="P181" s="18" t="inlineStr">
        <is>
          <t>#cobblemon:is_badlands; #cobblemon:is_overworld; #cobblemon:is_plateau</t>
        </is>
      </c>
      <c r="Q181" s="18" t="inlineStr">
        <is>
          <t>common</t>
        </is>
      </c>
      <c r="R181" s="18" t="inlineStr">
        <is>
          <t>region_01; region_02</t>
        </is>
      </c>
      <c r="S181" s="18" t="inlineStr">
        <is>
          <t>cobbleventure:generation_2</t>
        </is>
      </c>
      <c r="T181" s="18">
        <f>IF(M181=0,"없음",IF(N181=0,"전부 제외","사용"))</f>
        <v/>
      </c>
      <c r="U181" s="18" t="inlineStr"/>
    </row>
    <row r="182" ht="30" customHeight="1">
      <c r="A182" s="18" t="n">
        <v>178</v>
      </c>
      <c r="B182" s="18" t="inlineStr">
        <is>
          <t>네이티오</t>
        </is>
      </c>
      <c r="C182" s="18" t="inlineStr">
        <is>
          <t>xatu</t>
        </is>
      </c>
      <c r="D182" s="18" t="inlineStr">
        <is>
          <t>Xatu</t>
        </is>
      </c>
      <c r="E182" s="18" t="n">
        <v>2</v>
      </c>
      <c r="F182" s="18" t="inlineStr">
        <is>
          <t>generation2</t>
        </is>
      </c>
      <c r="G182" s="18" t="inlineStr">
        <is>
          <t>psychic</t>
        </is>
      </c>
      <c r="H182" s="18" t="inlineStr">
        <is>
          <t>flying</t>
        </is>
      </c>
      <c r="I182" s="18" t="inlineStr">
        <is>
          <t>예</t>
        </is>
      </c>
      <c r="J182" s="18" t="inlineStr">
        <is>
          <t>예</t>
        </is>
      </c>
      <c r="K182" s="18" t="inlineStr">
        <is>
          <t>예</t>
        </is>
      </c>
      <c r="L182" s="18" t="inlineStr">
        <is>
          <t>Cobblemon 동일</t>
        </is>
      </c>
      <c r="M182" s="18">
        <f>COUNTIF('스폰_편집'!$D$5:$D$3125,A182)</f>
        <v/>
      </c>
      <c r="N182" s="18">
        <f>COUNTIFS('스폰_편집'!$D$5:$D$3125,A182,'스폰_편집'!$B$5:$B$3125,"사용")</f>
        <v/>
      </c>
      <c r="O182" s="18" t="n">
        <v>3</v>
      </c>
      <c r="P182" s="18" t="inlineStr">
        <is>
          <t>#cobblemon:is_badlands; #cobblemon:is_overworld; #cobblemon:is_plateau</t>
        </is>
      </c>
      <c r="Q182" s="18" t="inlineStr">
        <is>
          <t>common</t>
        </is>
      </c>
      <c r="R182" s="18" t="inlineStr">
        <is>
          <t>region_01; region_02</t>
        </is>
      </c>
      <c r="S182" s="18" t="inlineStr">
        <is>
          <t>cobbleventure:generation_2</t>
        </is>
      </c>
      <c r="T182" s="18">
        <f>IF(M182=0,"없음",IF(N182=0,"전부 제외","사용"))</f>
        <v/>
      </c>
      <c r="U182" s="18" t="inlineStr"/>
    </row>
    <row r="183" ht="30" customHeight="1">
      <c r="A183" s="18" t="n">
        <v>179</v>
      </c>
      <c r="B183" s="18" t="inlineStr">
        <is>
          <t>메리프</t>
        </is>
      </c>
      <c r="C183" s="18" t="inlineStr">
        <is>
          <t>mareep</t>
        </is>
      </c>
      <c r="D183" s="18" t="inlineStr">
        <is>
          <t>Mareep</t>
        </is>
      </c>
      <c r="E183" s="18" t="n">
        <v>2</v>
      </c>
      <c r="F183" s="18" t="inlineStr">
        <is>
          <t>generation2</t>
        </is>
      </c>
      <c r="G183" s="18" t="inlineStr">
        <is>
          <t>electric</t>
        </is>
      </c>
      <c r="H183" s="18" t="inlineStr"/>
      <c r="I183" s="18" t="inlineStr">
        <is>
          <t>예</t>
        </is>
      </c>
      <c r="J183" s="18" t="inlineStr">
        <is>
          <t>예</t>
        </is>
      </c>
      <c r="K183" s="18" t="inlineStr">
        <is>
          <t>예</t>
        </is>
      </c>
      <c r="L183" s="18" t="inlineStr">
        <is>
          <t>Cobblemon 동일</t>
        </is>
      </c>
      <c r="M183" s="18">
        <f>COUNTIF('스폰_편집'!$D$5:$D$3125,A183)</f>
        <v/>
      </c>
      <c r="N183" s="18">
        <f>COUNTIFS('스폰_편집'!$D$5:$D$3125,A183,'스폰_편집'!$B$5:$B$3125,"사용")</f>
        <v/>
      </c>
      <c r="O183" s="18" t="n">
        <v>2</v>
      </c>
      <c r="P183" s="18" t="inlineStr">
        <is>
          <t>#cobblemon:is_highlands; #cobblemon:is_plains</t>
        </is>
      </c>
      <c r="Q183" s="18" t="inlineStr">
        <is>
          <t>common</t>
        </is>
      </c>
      <c r="R183" s="18" t="inlineStr">
        <is>
          <t>region_01</t>
        </is>
      </c>
      <c r="S183" s="18" t="inlineStr">
        <is>
          <t>cobbleventure:generation_2</t>
        </is>
      </c>
      <c r="T183" s="18">
        <f>IF(M183=0,"없음",IF(N183=0,"전부 제외","사용"))</f>
        <v/>
      </c>
      <c r="U183" s="18" t="inlineStr"/>
    </row>
    <row r="184" ht="30" customHeight="1">
      <c r="A184" s="18" t="n">
        <v>180</v>
      </c>
      <c r="B184" s="18" t="inlineStr">
        <is>
          <t>보송송</t>
        </is>
      </c>
      <c r="C184" s="18" t="inlineStr">
        <is>
          <t>flaaffy</t>
        </is>
      </c>
      <c r="D184" s="18" t="inlineStr">
        <is>
          <t>Flaaffy</t>
        </is>
      </c>
      <c r="E184" s="18" t="n">
        <v>2</v>
      </c>
      <c r="F184" s="18" t="inlineStr">
        <is>
          <t>generation2</t>
        </is>
      </c>
      <c r="G184" s="18" t="inlineStr">
        <is>
          <t>electric</t>
        </is>
      </c>
      <c r="H184" s="18" t="inlineStr"/>
      <c r="I184" s="18" t="inlineStr">
        <is>
          <t>예</t>
        </is>
      </c>
      <c r="J184" s="18" t="inlineStr">
        <is>
          <t>예</t>
        </is>
      </c>
      <c r="K184" s="18" t="inlineStr">
        <is>
          <t>예</t>
        </is>
      </c>
      <c r="L184" s="18" t="inlineStr">
        <is>
          <t>Cobblemon 동일</t>
        </is>
      </c>
      <c r="M184" s="18">
        <f>COUNTIF('스폰_편집'!$D$5:$D$3125,A184)</f>
        <v/>
      </c>
      <c r="N184" s="18">
        <f>COUNTIFS('스폰_편집'!$D$5:$D$3125,A184,'스폰_편집'!$B$5:$B$3125,"사용")</f>
        <v/>
      </c>
      <c r="O184" s="18" t="n">
        <v>2</v>
      </c>
      <c r="P184" s="18" t="inlineStr">
        <is>
          <t>#cobblemon:is_highlands; #cobblemon:is_plains</t>
        </is>
      </c>
      <c r="Q184" s="18" t="inlineStr">
        <is>
          <t>common</t>
        </is>
      </c>
      <c r="R184" s="18" t="inlineStr">
        <is>
          <t>region_01</t>
        </is>
      </c>
      <c r="S184" s="18" t="inlineStr">
        <is>
          <t>cobbleventure:generation_2</t>
        </is>
      </c>
      <c r="T184" s="18">
        <f>IF(M184=0,"없음",IF(N184=0,"전부 제외","사용"))</f>
        <v/>
      </c>
      <c r="U184" s="18" t="inlineStr"/>
    </row>
    <row r="185" ht="30" customHeight="1">
      <c r="A185" s="18" t="n">
        <v>181</v>
      </c>
      <c r="B185" s="18" t="inlineStr">
        <is>
          <t>전룡</t>
        </is>
      </c>
      <c r="C185" s="18" t="inlineStr">
        <is>
          <t>ampharos</t>
        </is>
      </c>
      <c r="D185" s="18" t="inlineStr">
        <is>
          <t>Ampharos</t>
        </is>
      </c>
      <c r="E185" s="18" t="n">
        <v>2</v>
      </c>
      <c r="F185" s="18" t="inlineStr">
        <is>
          <t>generation2</t>
        </is>
      </c>
      <c r="G185" s="18" t="inlineStr">
        <is>
          <t>electric</t>
        </is>
      </c>
      <c r="H185" s="18" t="inlineStr"/>
      <c r="I185" s="18" t="inlineStr">
        <is>
          <t>예</t>
        </is>
      </c>
      <c r="J185" s="18" t="inlineStr">
        <is>
          <t>예</t>
        </is>
      </c>
      <c r="K185" s="18" t="inlineStr">
        <is>
          <t>예</t>
        </is>
      </c>
      <c r="L185" s="18" t="inlineStr">
        <is>
          <t>Cobblemon 동일</t>
        </is>
      </c>
      <c r="M185" s="18">
        <f>COUNTIF('스폰_편집'!$D$5:$D$3125,A185)</f>
        <v/>
      </c>
      <c r="N185" s="18">
        <f>COUNTIFS('스폰_편집'!$D$5:$D$3125,A185,'스폰_편집'!$B$5:$B$3125,"사용")</f>
        <v/>
      </c>
      <c r="O185" s="18" t="n">
        <v>2</v>
      </c>
      <c r="P185" s="18" t="inlineStr">
        <is>
          <t>#cobblemon:is_highlands; #cobblemon:is_plains</t>
        </is>
      </c>
      <c r="Q185" s="18" t="inlineStr">
        <is>
          <t>common</t>
        </is>
      </c>
      <c r="R185" s="18" t="inlineStr">
        <is>
          <t>region_01</t>
        </is>
      </c>
      <c r="S185" s="18" t="inlineStr">
        <is>
          <t>cobbleventure:generation_2</t>
        </is>
      </c>
      <c r="T185" s="18">
        <f>IF(M185=0,"없음",IF(N185=0,"전부 제외","사용"))</f>
        <v/>
      </c>
      <c r="U185" s="18" t="inlineStr"/>
    </row>
    <row r="186" ht="30" customHeight="1">
      <c r="A186" s="18" t="n">
        <v>182</v>
      </c>
      <c r="B186" s="18" t="inlineStr">
        <is>
          <t>아르코</t>
        </is>
      </c>
      <c r="C186" s="18" t="inlineStr">
        <is>
          <t>bellossom</t>
        </is>
      </c>
      <c r="D186" s="18" t="inlineStr">
        <is>
          <t>Bellossom</t>
        </is>
      </c>
      <c r="E186" s="18" t="n">
        <v>2</v>
      </c>
      <c r="F186" s="18" t="inlineStr">
        <is>
          <t>generation2</t>
        </is>
      </c>
      <c r="G186" s="18" t="inlineStr">
        <is>
          <t>grass</t>
        </is>
      </c>
      <c r="H186" s="18" t="inlineStr"/>
      <c r="I186" s="18" t="inlineStr">
        <is>
          <t>예</t>
        </is>
      </c>
      <c r="J186" s="18" t="inlineStr">
        <is>
          <t>예</t>
        </is>
      </c>
      <c r="K186" s="18" t="inlineStr">
        <is>
          <t>예</t>
        </is>
      </c>
      <c r="L186" s="18" t="inlineStr">
        <is>
          <t>Cobblemon 동일</t>
        </is>
      </c>
      <c r="M186" s="18">
        <f>COUNTIF('스폰_편집'!$D$5:$D$3125,A186)</f>
        <v/>
      </c>
      <c r="N186" s="18">
        <f>COUNTIFS('스폰_편집'!$D$5:$D$3125,A186,'스폰_편집'!$B$5:$B$3125,"사용")</f>
        <v/>
      </c>
      <c r="O186" s="18" t="n">
        <v>4</v>
      </c>
      <c r="P186" s="18" t="inlineStr">
        <is>
          <t>#cobblemon:is_floral; #cobblemon:is_jungle; #cobblemon:is_savanna; #cobblemon:is_tropical_island</t>
        </is>
      </c>
      <c r="Q186" s="18" t="inlineStr">
        <is>
          <t>common</t>
        </is>
      </c>
      <c r="R186" s="18" t="inlineStr"/>
      <c r="S186" s="18" t="inlineStr">
        <is>
          <t>cobbleventure:generation_2</t>
        </is>
      </c>
      <c r="T186" s="18">
        <f>IF(M186=0,"없음",IF(N186=0,"전부 제외","사용"))</f>
        <v/>
      </c>
      <c r="U186" s="18" t="inlineStr"/>
    </row>
    <row r="187" ht="30" customHeight="1">
      <c r="A187" s="18" t="n">
        <v>183</v>
      </c>
      <c r="B187" s="18" t="inlineStr">
        <is>
          <t>마릴</t>
        </is>
      </c>
      <c r="C187" s="18" t="inlineStr">
        <is>
          <t>marill</t>
        </is>
      </c>
      <c r="D187" s="18" t="inlineStr">
        <is>
          <t>Marill</t>
        </is>
      </c>
      <c r="E187" s="18" t="n">
        <v>2</v>
      </c>
      <c r="F187" s="18" t="inlineStr">
        <is>
          <t>generation2</t>
        </is>
      </c>
      <c r="G187" s="18" t="inlineStr">
        <is>
          <t>water</t>
        </is>
      </c>
      <c r="H187" s="18" t="inlineStr">
        <is>
          <t>fairy</t>
        </is>
      </c>
      <c r="I187" s="18" t="inlineStr">
        <is>
          <t>예</t>
        </is>
      </c>
      <c r="J187" s="18" t="inlineStr">
        <is>
          <t>예</t>
        </is>
      </c>
      <c r="K187" s="18" t="inlineStr">
        <is>
          <t>예</t>
        </is>
      </c>
      <c r="L187" s="18" t="inlineStr">
        <is>
          <t>COBBLEVERSE 수정</t>
        </is>
      </c>
      <c r="M187" s="18">
        <f>COUNTIF('스폰_편집'!$D$5:$D$3125,A187)</f>
        <v/>
      </c>
      <c r="N187" s="18">
        <f>COUNTIFS('스폰_편집'!$D$5:$D$3125,A187,'스폰_편집'!$B$5:$B$3125,"사용")</f>
        <v/>
      </c>
      <c r="O187" s="18" t="n">
        <v>7</v>
      </c>
      <c r="P187" s="18" t="inlineStr">
        <is>
          <t>#cobblemon:is_floral; #cobblemon:is_hills; #cobblemon:is_magical; #cobblemon:is_river; #cobblemon:is_snowy_forest; #cobblemon:is_taiga; #cobblemon:is_temperate</t>
        </is>
      </c>
      <c r="Q187" s="18" t="inlineStr">
        <is>
          <t>common</t>
        </is>
      </c>
      <c r="R187" s="18" t="inlineStr">
        <is>
          <t>region_01</t>
        </is>
      </c>
      <c r="S187" s="18" t="inlineStr">
        <is>
          <t>cobbleventure:generation_2</t>
        </is>
      </c>
      <c r="T187" s="18">
        <f>IF(M187=0,"없음",IF(N187=0,"전부 제외","사용"))</f>
        <v/>
      </c>
      <c r="U187" s="18" t="inlineStr"/>
    </row>
    <row r="188" ht="30" customHeight="1">
      <c r="A188" s="18" t="n">
        <v>184</v>
      </c>
      <c r="B188" s="18" t="inlineStr">
        <is>
          <t>마릴리</t>
        </is>
      </c>
      <c r="C188" s="18" t="inlineStr">
        <is>
          <t>azumarill</t>
        </is>
      </c>
      <c r="D188" s="18" t="inlineStr">
        <is>
          <t>Azumarill</t>
        </is>
      </c>
      <c r="E188" s="18" t="n">
        <v>2</v>
      </c>
      <c r="F188" s="18" t="inlineStr">
        <is>
          <t>generation2</t>
        </is>
      </c>
      <c r="G188" s="18" t="inlineStr">
        <is>
          <t>water</t>
        </is>
      </c>
      <c r="H188" s="18" t="inlineStr">
        <is>
          <t>fairy</t>
        </is>
      </c>
      <c r="I188" s="18" t="inlineStr">
        <is>
          <t>예</t>
        </is>
      </c>
      <c r="J188" s="18" t="inlineStr">
        <is>
          <t>예</t>
        </is>
      </c>
      <c r="K188" s="18" t="inlineStr">
        <is>
          <t>예</t>
        </is>
      </c>
      <c r="L188" s="18" t="inlineStr">
        <is>
          <t>COBBLEVERSE 수정</t>
        </is>
      </c>
      <c r="M188" s="18">
        <f>COUNTIF('스폰_편집'!$D$5:$D$3125,A188)</f>
        <v/>
      </c>
      <c r="N188" s="18">
        <f>COUNTIFS('스폰_편집'!$D$5:$D$3125,A188,'스폰_편집'!$B$5:$B$3125,"사용")</f>
        <v/>
      </c>
      <c r="O188" s="18" t="n">
        <v>7</v>
      </c>
      <c r="P188" s="18" t="inlineStr">
        <is>
          <t>#cobblemon:is_floral; #cobblemon:is_hills; #cobblemon:is_magical; #cobblemon:is_river; #cobblemon:is_snowy_forest; #cobblemon:is_taiga; #cobblemon:is_temperate</t>
        </is>
      </c>
      <c r="Q188" s="18" t="inlineStr">
        <is>
          <t>common; uncommon</t>
        </is>
      </c>
      <c r="R188" s="18" t="inlineStr">
        <is>
          <t>region_01</t>
        </is>
      </c>
      <c r="S188" s="18" t="inlineStr">
        <is>
          <t>cobbleventure:generation_2</t>
        </is>
      </c>
      <c r="T188" s="18">
        <f>IF(M188=0,"없음",IF(N188=0,"전부 제외","사용"))</f>
        <v/>
      </c>
      <c r="U188" s="18" t="inlineStr"/>
    </row>
    <row r="189" ht="30" customHeight="1">
      <c r="A189" s="18" t="n">
        <v>185</v>
      </c>
      <c r="B189" s="18" t="inlineStr">
        <is>
          <t>꼬지모</t>
        </is>
      </c>
      <c r="C189" s="18" t="inlineStr">
        <is>
          <t>sudowoodo</t>
        </is>
      </c>
      <c r="D189" s="18" t="inlineStr">
        <is>
          <t>Sudowoodo</t>
        </is>
      </c>
      <c r="E189" s="18" t="n">
        <v>2</v>
      </c>
      <c r="F189" s="18" t="inlineStr">
        <is>
          <t>generation2</t>
        </is>
      </c>
      <c r="G189" s="18" t="inlineStr">
        <is>
          <t>rock</t>
        </is>
      </c>
      <c r="H189" s="18" t="inlineStr"/>
      <c r="I189" s="18" t="inlineStr">
        <is>
          <t>예</t>
        </is>
      </c>
      <c r="J189" s="18" t="inlineStr">
        <is>
          <t>예</t>
        </is>
      </c>
      <c r="K189" s="18" t="inlineStr">
        <is>
          <t>예</t>
        </is>
      </c>
      <c r="L189" s="18" t="inlineStr">
        <is>
          <t>Cobblemon 동일</t>
        </is>
      </c>
      <c r="M189" s="18">
        <f>COUNTIF('스폰_편집'!$D$5:$D$3125,A189)</f>
        <v/>
      </c>
      <c r="N189" s="18">
        <f>COUNTIFS('스폰_편집'!$D$5:$D$3125,A189,'스폰_편집'!$B$5:$B$3125,"사용")</f>
        <v/>
      </c>
      <c r="O189" s="18" t="n">
        <v>1</v>
      </c>
      <c r="P189" s="18" t="inlineStr">
        <is>
          <t>#cobblemon:is_forest</t>
        </is>
      </c>
      <c r="Q189" s="18" t="inlineStr">
        <is>
          <t>uncommon</t>
        </is>
      </c>
      <c r="R189" s="18" t="inlineStr">
        <is>
          <t>region_01</t>
        </is>
      </c>
      <c r="S189" s="18" t="inlineStr">
        <is>
          <t>cobbleventure:generation_2</t>
        </is>
      </c>
      <c r="T189" s="18">
        <f>IF(M189=0,"없음",IF(N189=0,"전부 제외","사용"))</f>
        <v/>
      </c>
      <c r="U189" s="18" t="inlineStr"/>
    </row>
    <row r="190" ht="30" customHeight="1">
      <c r="A190" s="18" t="n">
        <v>186</v>
      </c>
      <c r="B190" s="18" t="inlineStr">
        <is>
          <t>왕구리</t>
        </is>
      </c>
      <c r="C190" s="18" t="inlineStr">
        <is>
          <t>politoed</t>
        </is>
      </c>
      <c r="D190" s="18" t="inlineStr">
        <is>
          <t>Politoed</t>
        </is>
      </c>
      <c r="E190" s="18" t="n">
        <v>2</v>
      </c>
      <c r="F190" s="18" t="inlineStr">
        <is>
          <t>generation2</t>
        </is>
      </c>
      <c r="G190" s="18" t="inlineStr">
        <is>
          <t>water</t>
        </is>
      </c>
      <c r="H190" s="18" t="inlineStr"/>
      <c r="I190" s="18" t="inlineStr">
        <is>
          <t>예</t>
        </is>
      </c>
      <c r="J190" s="18" t="inlineStr">
        <is>
          <t>예</t>
        </is>
      </c>
      <c r="K190" s="18" t="inlineStr">
        <is>
          <t>예</t>
        </is>
      </c>
      <c r="L190" s="18" t="inlineStr">
        <is>
          <t>Cobblemon 동일</t>
        </is>
      </c>
      <c r="M190" s="18">
        <f>COUNTIF('스폰_편집'!$D$5:$D$3125,A190)</f>
        <v/>
      </c>
      <c r="N190" s="18">
        <f>COUNTIFS('스폰_편집'!$D$5:$D$3125,A190,'스폰_편집'!$B$5:$B$3125,"사용")</f>
        <v/>
      </c>
      <c r="O190" s="18" t="n">
        <v>9</v>
      </c>
      <c r="P190" s="18" t="inlineStr">
        <is>
          <t>#cobblemon:is_freshwater; #cobblemon:is_hills; #cobblemon:is_jungle; #cobblemon:is_lush; #cobblemon:is_magical; #cobblemon:is_mushroom; #cobblemon:is_overworld; #cobblemon:is_swamp; #cobblemon:is_temperate</t>
        </is>
      </c>
      <c r="Q190" s="18" t="inlineStr">
        <is>
          <t>common</t>
        </is>
      </c>
      <c r="R190" s="18" t="inlineStr">
        <is>
          <t>region_01; region_02</t>
        </is>
      </c>
      <c r="S190" s="18" t="inlineStr">
        <is>
          <t>cobbleventure:generation_2</t>
        </is>
      </c>
      <c r="T190" s="18">
        <f>IF(M190=0,"없음",IF(N190=0,"전부 제외","사용"))</f>
        <v/>
      </c>
      <c r="U190" s="18" t="inlineStr"/>
    </row>
    <row r="191" ht="30" customHeight="1">
      <c r="A191" s="18" t="n">
        <v>187</v>
      </c>
      <c r="B191" s="18" t="inlineStr">
        <is>
          <t>통통코</t>
        </is>
      </c>
      <c r="C191" s="18" t="inlineStr">
        <is>
          <t>hoppip</t>
        </is>
      </c>
      <c r="D191" s="18" t="inlineStr">
        <is>
          <t>Hoppip</t>
        </is>
      </c>
      <c r="E191" s="18" t="n">
        <v>2</v>
      </c>
      <c r="F191" s="18" t="inlineStr">
        <is>
          <t>generation2</t>
        </is>
      </c>
      <c r="G191" s="18" t="inlineStr">
        <is>
          <t>grass</t>
        </is>
      </c>
      <c r="H191" s="18" t="inlineStr">
        <is>
          <t>flying</t>
        </is>
      </c>
      <c r="I191" s="18" t="inlineStr">
        <is>
          <t>예</t>
        </is>
      </c>
      <c r="J191" s="18" t="inlineStr">
        <is>
          <t>예</t>
        </is>
      </c>
      <c r="K191" s="18" t="inlineStr">
        <is>
          <t>예</t>
        </is>
      </c>
      <c r="L191" s="18" t="inlineStr">
        <is>
          <t>Cobblemon 동일</t>
        </is>
      </c>
      <c r="M191" s="18">
        <f>COUNTIF('스폰_편집'!$D$5:$D$3125,A191)</f>
        <v/>
      </c>
      <c r="N191" s="18">
        <f>COUNTIFS('스폰_편집'!$D$5:$D$3125,A191,'스폰_편집'!$B$5:$B$3125,"사용")</f>
        <v/>
      </c>
      <c r="O191" s="18" t="n">
        <v>4</v>
      </c>
      <c r="P191" s="18" t="inlineStr">
        <is>
          <t>#cobblemon:is_plains; aether:skyroot_grove; aether:skyroot_meadow; the_bumblezone:floral_meadow</t>
        </is>
      </c>
      <c r="Q191" s="18" t="inlineStr">
        <is>
          <t>common</t>
        </is>
      </c>
      <c r="R191" s="18" t="inlineStr">
        <is>
          <t>region_01</t>
        </is>
      </c>
      <c r="S191" s="18" t="inlineStr">
        <is>
          <t>cobbleventure:generation_2</t>
        </is>
      </c>
      <c r="T191" s="18">
        <f>IF(M191=0,"없음",IF(N191=0,"전부 제외","사용"))</f>
        <v/>
      </c>
      <c r="U191" s="18" t="inlineStr"/>
    </row>
    <row r="192" ht="30" customHeight="1">
      <c r="A192" s="18" t="n">
        <v>188</v>
      </c>
      <c r="B192" s="18" t="inlineStr">
        <is>
          <t>두코</t>
        </is>
      </c>
      <c r="C192" s="18" t="inlineStr">
        <is>
          <t>skiploom</t>
        </is>
      </c>
      <c r="D192" s="18" t="inlineStr">
        <is>
          <t>Skiploom</t>
        </is>
      </c>
      <c r="E192" s="18" t="n">
        <v>2</v>
      </c>
      <c r="F192" s="18" t="inlineStr">
        <is>
          <t>generation2</t>
        </is>
      </c>
      <c r="G192" s="18" t="inlineStr">
        <is>
          <t>grass</t>
        </is>
      </c>
      <c r="H192" s="18" t="inlineStr">
        <is>
          <t>flying</t>
        </is>
      </c>
      <c r="I192" s="18" t="inlineStr">
        <is>
          <t>예</t>
        </is>
      </c>
      <c r="J192" s="18" t="inlineStr">
        <is>
          <t>예</t>
        </is>
      </c>
      <c r="K192" s="18" t="inlineStr">
        <is>
          <t>예</t>
        </is>
      </c>
      <c r="L192" s="18" t="inlineStr">
        <is>
          <t>Cobblemon 동일</t>
        </is>
      </c>
      <c r="M192" s="18">
        <f>COUNTIF('스폰_편집'!$D$5:$D$3125,A192)</f>
        <v/>
      </c>
      <c r="N192" s="18">
        <f>COUNTIFS('스폰_편집'!$D$5:$D$3125,A192,'스폰_편집'!$B$5:$B$3125,"사용")</f>
        <v/>
      </c>
      <c r="O192" s="18" t="n">
        <v>4</v>
      </c>
      <c r="P192" s="18" t="inlineStr">
        <is>
          <t>#cobblemon:is_plains; aether:skyroot_grove; aether:skyroot_meadow; the_bumblezone:floral_meadow</t>
        </is>
      </c>
      <c r="Q192" s="18" t="inlineStr">
        <is>
          <t>common</t>
        </is>
      </c>
      <c r="R192" s="18" t="inlineStr">
        <is>
          <t>region_01</t>
        </is>
      </c>
      <c r="S192" s="18" t="inlineStr">
        <is>
          <t>cobbleventure:generation_2</t>
        </is>
      </c>
      <c r="T192" s="18">
        <f>IF(M192=0,"없음",IF(N192=0,"전부 제외","사용"))</f>
        <v/>
      </c>
      <c r="U192" s="18" t="inlineStr"/>
    </row>
    <row r="193" ht="30" customHeight="1">
      <c r="A193" s="18" t="n">
        <v>189</v>
      </c>
      <c r="B193" s="18" t="inlineStr">
        <is>
          <t>솜솜코</t>
        </is>
      </c>
      <c r="C193" s="18" t="inlineStr">
        <is>
          <t>jumpluff</t>
        </is>
      </c>
      <c r="D193" s="18" t="inlineStr">
        <is>
          <t>Jumpluff</t>
        </is>
      </c>
      <c r="E193" s="18" t="n">
        <v>2</v>
      </c>
      <c r="F193" s="18" t="inlineStr">
        <is>
          <t>generation2</t>
        </is>
      </c>
      <c r="G193" s="18" t="inlineStr">
        <is>
          <t>grass</t>
        </is>
      </c>
      <c r="H193" s="18" t="inlineStr">
        <is>
          <t>flying</t>
        </is>
      </c>
      <c r="I193" s="18" t="inlineStr">
        <is>
          <t>예</t>
        </is>
      </c>
      <c r="J193" s="18" t="inlineStr">
        <is>
          <t>예</t>
        </is>
      </c>
      <c r="K193" s="18" t="inlineStr">
        <is>
          <t>예</t>
        </is>
      </c>
      <c r="L193" s="18" t="inlineStr">
        <is>
          <t>Cobblemon 동일</t>
        </is>
      </c>
      <c r="M193" s="18">
        <f>COUNTIF('스폰_편집'!$D$5:$D$3125,A193)</f>
        <v/>
      </c>
      <c r="N193" s="18">
        <f>COUNTIFS('스폰_편집'!$D$5:$D$3125,A193,'스폰_편집'!$B$5:$B$3125,"사용")</f>
        <v/>
      </c>
      <c r="O193" s="18" t="n">
        <v>4</v>
      </c>
      <c r="P193" s="18" t="inlineStr">
        <is>
          <t>#cobblemon:is_plains; aether:skyroot_grove; aether:skyroot_meadow; the_bumblezone:floral_meadow</t>
        </is>
      </c>
      <c r="Q193" s="18" t="inlineStr">
        <is>
          <t>common</t>
        </is>
      </c>
      <c r="R193" s="18" t="inlineStr">
        <is>
          <t>region_01</t>
        </is>
      </c>
      <c r="S193" s="18" t="inlineStr">
        <is>
          <t>cobbleventure:generation_2</t>
        </is>
      </c>
      <c r="T193" s="18">
        <f>IF(M193=0,"없음",IF(N193=0,"전부 제외","사용"))</f>
        <v/>
      </c>
      <c r="U193" s="18" t="inlineStr"/>
    </row>
    <row r="194" ht="30" customHeight="1">
      <c r="A194" s="18" t="n">
        <v>190</v>
      </c>
      <c r="B194" s="18" t="inlineStr">
        <is>
          <t>에이팜</t>
        </is>
      </c>
      <c r="C194" s="18" t="inlineStr">
        <is>
          <t>aipom</t>
        </is>
      </c>
      <c r="D194" s="18" t="inlineStr">
        <is>
          <t>Aipom</t>
        </is>
      </c>
      <c r="E194" s="18" t="n">
        <v>2</v>
      </c>
      <c r="F194" s="18" t="inlineStr">
        <is>
          <t>generation2</t>
        </is>
      </c>
      <c r="G194" s="18" t="inlineStr">
        <is>
          <t>normal</t>
        </is>
      </c>
      <c r="H194" s="18" t="inlineStr"/>
      <c r="I194" s="18" t="inlineStr">
        <is>
          <t>예</t>
        </is>
      </c>
      <c r="J194" s="18" t="inlineStr">
        <is>
          <t>예</t>
        </is>
      </c>
      <c r="K194" s="18" t="inlineStr">
        <is>
          <t>예</t>
        </is>
      </c>
      <c r="L194" s="18" t="inlineStr">
        <is>
          <t>Cobblemon 동일</t>
        </is>
      </c>
      <c r="M194" s="18">
        <f>COUNTIF('스폰_편집'!$D$5:$D$3125,A194)</f>
        <v/>
      </c>
      <c r="N194" s="18">
        <f>COUNTIFS('스폰_편집'!$D$5:$D$3125,A194,'스폰_편집'!$B$5:$B$3125,"사용")</f>
        <v/>
      </c>
      <c r="O194" s="18" t="n">
        <v>3</v>
      </c>
      <c r="P194" s="18" t="inlineStr">
        <is>
          <t>#cobblemon:is_jungle; #cobblemon:is_overworld; #cobblemon:is_tropical_island</t>
        </is>
      </c>
      <c r="Q194" s="18" t="inlineStr">
        <is>
          <t>common</t>
        </is>
      </c>
      <c r="R194" s="18" t="inlineStr">
        <is>
          <t>region_01; region_02</t>
        </is>
      </c>
      <c r="S194" s="18" t="inlineStr">
        <is>
          <t>cobbleventure:generation_2</t>
        </is>
      </c>
      <c r="T194" s="18">
        <f>IF(M194=0,"없음",IF(N194=0,"전부 제외","사용"))</f>
        <v/>
      </c>
      <c r="U194" s="18" t="inlineStr"/>
    </row>
    <row r="195" ht="30" customHeight="1">
      <c r="A195" s="18" t="n">
        <v>191</v>
      </c>
      <c r="B195" s="18" t="inlineStr">
        <is>
          <t>해너츠</t>
        </is>
      </c>
      <c r="C195" s="18" t="inlineStr">
        <is>
          <t>sunkern</t>
        </is>
      </c>
      <c r="D195" s="18" t="inlineStr">
        <is>
          <t>Sunkern</t>
        </is>
      </c>
      <c r="E195" s="18" t="n">
        <v>2</v>
      </c>
      <c r="F195" s="18" t="inlineStr">
        <is>
          <t>generation2</t>
        </is>
      </c>
      <c r="G195" s="18" t="inlineStr">
        <is>
          <t>grass</t>
        </is>
      </c>
      <c r="H195" s="18" t="inlineStr"/>
      <c r="I195" s="18" t="inlineStr">
        <is>
          <t>예</t>
        </is>
      </c>
      <c r="J195" s="18" t="inlineStr">
        <is>
          <t>예</t>
        </is>
      </c>
      <c r="K195" s="18" t="inlineStr">
        <is>
          <t>예</t>
        </is>
      </c>
      <c r="L195" s="18" t="inlineStr">
        <is>
          <t>Cobblemon 동일</t>
        </is>
      </c>
      <c r="M195" s="18">
        <f>COUNTIF('스폰_편집'!$D$5:$D$3125,A195)</f>
        <v/>
      </c>
      <c r="N195" s="18">
        <f>COUNTIFS('스폰_편집'!$D$5:$D$3125,A195,'스폰_편집'!$B$5:$B$3125,"사용")</f>
        <v/>
      </c>
      <c r="O195" s="18" t="n">
        <v>5</v>
      </c>
      <c r="P195" s="18" t="inlineStr">
        <is>
          <t>#cobblemon:is_overworld; aether:skyroot_grove; aether:skyroot_meadow; minecraft:sunflower_plains; the_bumblezone:floral_meadow</t>
        </is>
      </c>
      <c r="Q195" s="18" t="inlineStr">
        <is>
          <t>common</t>
        </is>
      </c>
      <c r="R195" s="18" t="inlineStr">
        <is>
          <t>region_01; region_02</t>
        </is>
      </c>
      <c r="S195" s="18" t="inlineStr">
        <is>
          <t>cobbleventure:generation_2</t>
        </is>
      </c>
      <c r="T195" s="18">
        <f>IF(M195=0,"없음",IF(N195=0,"전부 제외","사용"))</f>
        <v/>
      </c>
      <c r="U195" s="18" t="inlineStr"/>
    </row>
    <row r="196" ht="30" customHeight="1">
      <c r="A196" s="18" t="n">
        <v>192</v>
      </c>
      <c r="B196" s="18" t="inlineStr">
        <is>
          <t>해루미</t>
        </is>
      </c>
      <c r="C196" s="18" t="inlineStr">
        <is>
          <t>sunflora</t>
        </is>
      </c>
      <c r="D196" s="18" t="inlineStr">
        <is>
          <t>Sunflora</t>
        </is>
      </c>
      <c r="E196" s="18" t="n">
        <v>2</v>
      </c>
      <c r="F196" s="18" t="inlineStr">
        <is>
          <t>generation2</t>
        </is>
      </c>
      <c r="G196" s="18" t="inlineStr">
        <is>
          <t>grass</t>
        </is>
      </c>
      <c r="H196" s="18" t="inlineStr"/>
      <c r="I196" s="18" t="inlineStr">
        <is>
          <t>예</t>
        </is>
      </c>
      <c r="J196" s="18" t="inlineStr">
        <is>
          <t>예</t>
        </is>
      </c>
      <c r="K196" s="18" t="inlineStr">
        <is>
          <t>예</t>
        </is>
      </c>
      <c r="L196" s="18" t="inlineStr">
        <is>
          <t>Cobblemon 동일</t>
        </is>
      </c>
      <c r="M196" s="18">
        <f>COUNTIF('스폰_편집'!$D$5:$D$3125,A196)</f>
        <v/>
      </c>
      <c r="N196" s="18">
        <f>COUNTIFS('스폰_편집'!$D$5:$D$3125,A196,'스폰_편집'!$B$5:$B$3125,"사용")</f>
        <v/>
      </c>
      <c r="O196" s="18" t="n">
        <v>5</v>
      </c>
      <c r="P196" s="18" t="inlineStr">
        <is>
          <t>#cobblemon:is_overworld; aether:skyroot_grove; aether:skyroot_meadow; minecraft:sunflower_plains; the_bumblezone:floral_meadow</t>
        </is>
      </c>
      <c r="Q196" s="18" t="inlineStr">
        <is>
          <t>common</t>
        </is>
      </c>
      <c r="R196" s="18" t="inlineStr">
        <is>
          <t>region_01; region_02</t>
        </is>
      </c>
      <c r="S196" s="18" t="inlineStr">
        <is>
          <t>cobbleventure:generation_2</t>
        </is>
      </c>
      <c r="T196" s="18">
        <f>IF(M196=0,"없음",IF(N196=0,"전부 제외","사용"))</f>
        <v/>
      </c>
      <c r="U196" s="18" t="inlineStr"/>
    </row>
    <row r="197" ht="30" customHeight="1">
      <c r="A197" s="18" t="n">
        <v>193</v>
      </c>
      <c r="B197" s="18" t="inlineStr">
        <is>
          <t>왕자리</t>
        </is>
      </c>
      <c r="C197" s="18" t="inlineStr">
        <is>
          <t>yanma</t>
        </is>
      </c>
      <c r="D197" s="18" t="inlineStr">
        <is>
          <t>Yanma</t>
        </is>
      </c>
      <c r="E197" s="18" t="n">
        <v>2</v>
      </c>
      <c r="F197" s="18" t="inlineStr">
        <is>
          <t>generation2</t>
        </is>
      </c>
      <c r="G197" s="18" t="inlineStr">
        <is>
          <t>bug</t>
        </is>
      </c>
      <c r="H197" s="18" t="inlineStr">
        <is>
          <t>flying</t>
        </is>
      </c>
      <c r="I197" s="18" t="inlineStr">
        <is>
          <t>예</t>
        </is>
      </c>
      <c r="J197" s="18" t="inlineStr">
        <is>
          <t>예</t>
        </is>
      </c>
      <c r="K197" s="18" t="inlineStr">
        <is>
          <t>예</t>
        </is>
      </c>
      <c r="L197" s="18" t="inlineStr">
        <is>
          <t>Cobblemon 동일</t>
        </is>
      </c>
      <c r="M197" s="18">
        <f>COUNTIF('스폰_편집'!$D$5:$D$3125,A197)</f>
        <v/>
      </c>
      <c r="N197" s="18">
        <f>COUNTIFS('스폰_편집'!$D$5:$D$3125,A197,'스폰_편집'!$B$5:$B$3125,"사용")</f>
        <v/>
      </c>
      <c r="O197" s="18" t="n">
        <v>5</v>
      </c>
      <c r="P197" s="18" t="inlineStr">
        <is>
          <t>#aether:is_aether; #cobblemon:is_freshwater; #cobblemon:is_lush; #cobblemon:is_overworld; #the_bumblezone:the_bumblezone</t>
        </is>
      </c>
      <c r="Q197" s="18" t="inlineStr">
        <is>
          <t>uncommon</t>
        </is>
      </c>
      <c r="R197" s="18" t="inlineStr">
        <is>
          <t>region_01; region_02</t>
        </is>
      </c>
      <c r="S197" s="18" t="inlineStr">
        <is>
          <t>cobbleventure:generation_2</t>
        </is>
      </c>
      <c r="T197" s="18">
        <f>IF(M197=0,"없음",IF(N197=0,"전부 제외","사용"))</f>
        <v/>
      </c>
      <c r="U197" s="18" t="inlineStr"/>
    </row>
    <row r="198" ht="30" customHeight="1">
      <c r="A198" s="18" t="n">
        <v>194</v>
      </c>
      <c r="B198" s="18" t="inlineStr">
        <is>
          <t>우파</t>
        </is>
      </c>
      <c r="C198" s="18" t="inlineStr">
        <is>
          <t>wooper</t>
        </is>
      </c>
      <c r="D198" s="18" t="inlineStr">
        <is>
          <t>Wooper</t>
        </is>
      </c>
      <c r="E198" s="18" t="n">
        <v>2</v>
      </c>
      <c r="F198" s="18" t="inlineStr">
        <is>
          <t>generation2</t>
        </is>
      </c>
      <c r="G198" s="18" t="inlineStr">
        <is>
          <t>water</t>
        </is>
      </c>
      <c r="H198" s="18" t="inlineStr">
        <is>
          <t>ground</t>
        </is>
      </c>
      <c r="I198" s="18" t="inlineStr">
        <is>
          <t>예</t>
        </is>
      </c>
      <c r="J198" s="18" t="inlineStr">
        <is>
          <t>예</t>
        </is>
      </c>
      <c r="K198" s="18" t="inlineStr">
        <is>
          <t>예</t>
        </is>
      </c>
      <c r="L198" s="18" t="inlineStr">
        <is>
          <t>Cobblemon 동일</t>
        </is>
      </c>
      <c r="M198" s="18">
        <f>COUNTIF('스폰_편집'!$D$5:$D$3125,A198)</f>
        <v/>
      </c>
      <c r="N198" s="18">
        <f>COUNTIFS('스폰_편집'!$D$5:$D$3125,A198,'스폰_편집'!$B$5:$B$3125,"사용")</f>
        <v/>
      </c>
      <c r="O198" s="18" t="n">
        <v>8</v>
      </c>
      <c r="P198" s="18" t="inlineStr">
        <is>
          <t>#aether:is_aether; #cobblemon:has_block/mud; #cobblemon:is_arid; #cobblemon:is_lush; #cobblemon:is_mushroom; #cobblemon:is_overworld; #cobblemon:is_savanna; #cobblemon:is_swamp</t>
        </is>
      </c>
      <c r="Q198" s="18" t="inlineStr">
        <is>
          <t>common; uncommon</t>
        </is>
      </c>
      <c r="R198" s="18" t="inlineStr">
        <is>
          <t>region_01; region_02</t>
        </is>
      </c>
      <c r="S198" s="18" t="inlineStr">
        <is>
          <t>cobbleventure:generation_2</t>
        </is>
      </c>
      <c r="T198" s="18">
        <f>IF(M198=0,"없음",IF(N198=0,"전부 제외","사용"))</f>
        <v/>
      </c>
      <c r="U198" s="18" t="inlineStr"/>
    </row>
    <row r="199" ht="30" customHeight="1">
      <c r="A199" s="18" t="n">
        <v>195</v>
      </c>
      <c r="B199" s="18" t="inlineStr">
        <is>
          <t>누오</t>
        </is>
      </c>
      <c r="C199" s="18" t="inlineStr">
        <is>
          <t>quagsire</t>
        </is>
      </c>
      <c r="D199" s="18" t="inlineStr">
        <is>
          <t>Quagsire</t>
        </is>
      </c>
      <c r="E199" s="18" t="n">
        <v>2</v>
      </c>
      <c r="F199" s="18" t="inlineStr">
        <is>
          <t>generation2</t>
        </is>
      </c>
      <c r="G199" s="18" t="inlineStr">
        <is>
          <t>water</t>
        </is>
      </c>
      <c r="H199" s="18" t="inlineStr">
        <is>
          <t>ground</t>
        </is>
      </c>
      <c r="I199" s="18" t="inlineStr">
        <is>
          <t>예</t>
        </is>
      </c>
      <c r="J199" s="18" t="inlineStr">
        <is>
          <t>예</t>
        </is>
      </c>
      <c r="K199" s="18" t="inlineStr">
        <is>
          <t>예</t>
        </is>
      </c>
      <c r="L199" s="18" t="inlineStr">
        <is>
          <t>Cobblemon 동일</t>
        </is>
      </c>
      <c r="M199" s="18">
        <f>COUNTIF('스폰_편집'!$D$5:$D$3125,A199)</f>
        <v/>
      </c>
      <c r="N199" s="18">
        <f>COUNTIFS('스폰_편집'!$D$5:$D$3125,A199,'스폰_편집'!$B$5:$B$3125,"사용")</f>
        <v/>
      </c>
      <c r="O199" s="18" t="n">
        <v>5</v>
      </c>
      <c r="P199" s="18" t="inlineStr">
        <is>
          <t>#aether:is_aether; #cobblemon:is_lush; #cobblemon:is_mushroom; #cobblemon:is_overworld; #cobblemon:is_swamp</t>
        </is>
      </c>
      <c r="Q199" s="18" t="inlineStr">
        <is>
          <t>common; uncommon</t>
        </is>
      </c>
      <c r="R199" s="18" t="inlineStr">
        <is>
          <t>region_01; region_02</t>
        </is>
      </c>
      <c r="S199" s="18" t="inlineStr">
        <is>
          <t>cobbleventure:generation_2</t>
        </is>
      </c>
      <c r="T199" s="18">
        <f>IF(M199=0,"없음",IF(N199=0,"전부 제외","사용"))</f>
        <v/>
      </c>
      <c r="U199" s="18" t="inlineStr"/>
    </row>
    <row r="200" ht="30" customHeight="1">
      <c r="A200" s="18" t="n">
        <v>196</v>
      </c>
      <c r="B200" s="18" t="inlineStr">
        <is>
          <t>에브이</t>
        </is>
      </c>
      <c r="C200" s="18" t="inlineStr">
        <is>
          <t>espeon</t>
        </is>
      </c>
      <c r="D200" s="18" t="inlineStr">
        <is>
          <t>Espeon</t>
        </is>
      </c>
      <c r="E200" s="18" t="n">
        <v>2</v>
      </c>
      <c r="F200" s="18" t="inlineStr">
        <is>
          <t>generation2</t>
        </is>
      </c>
      <c r="G200" s="18" t="inlineStr">
        <is>
          <t>psychic</t>
        </is>
      </c>
      <c r="H200" s="18" t="inlineStr"/>
      <c r="I200" s="18" t="inlineStr">
        <is>
          <t>예</t>
        </is>
      </c>
      <c r="J200" s="18" t="inlineStr">
        <is>
          <t>예</t>
        </is>
      </c>
      <c r="K200" s="18" t="inlineStr">
        <is>
          <t>예</t>
        </is>
      </c>
      <c r="L200" s="18" t="inlineStr">
        <is>
          <t>COBBLEVERSE 수정</t>
        </is>
      </c>
      <c r="M200" s="18">
        <f>COUNTIF('스폰_편집'!$D$5:$D$3125,A200)</f>
        <v/>
      </c>
      <c r="N200" s="18">
        <f>COUNTIFS('스폰_편집'!$D$5:$D$3125,A200,'스폰_편집'!$B$5:$B$3125,"사용")</f>
        <v/>
      </c>
      <c r="O200" s="18" t="n">
        <v>2</v>
      </c>
      <c r="P200" s="18" t="inlineStr">
        <is>
          <t>#cobblemon:is_hills; #cobblemon:is_overworld</t>
        </is>
      </c>
      <c r="Q200" s="18" t="inlineStr">
        <is>
          <t>ultra-rare; uncommon</t>
        </is>
      </c>
      <c r="R200" s="18" t="inlineStr">
        <is>
          <t>region_01; region_02</t>
        </is>
      </c>
      <c r="S200" s="18" t="inlineStr">
        <is>
          <t>cobbleventure:generation_2</t>
        </is>
      </c>
      <c r="T200" s="18">
        <f>IF(M200=0,"없음",IF(N200=0,"전부 제외","사용"))</f>
        <v/>
      </c>
      <c r="U200" s="18" t="inlineStr"/>
    </row>
    <row r="201" ht="30" customHeight="1">
      <c r="A201" s="18" t="n">
        <v>197</v>
      </c>
      <c r="B201" s="18" t="inlineStr">
        <is>
          <t>블래키</t>
        </is>
      </c>
      <c r="C201" s="18" t="inlineStr">
        <is>
          <t>umbreon</t>
        </is>
      </c>
      <c r="D201" s="18" t="inlineStr">
        <is>
          <t>Umbreon</t>
        </is>
      </c>
      <c r="E201" s="18" t="n">
        <v>2</v>
      </c>
      <c r="F201" s="18" t="inlineStr">
        <is>
          <t>generation2</t>
        </is>
      </c>
      <c r="G201" s="18" t="inlineStr">
        <is>
          <t>dark</t>
        </is>
      </c>
      <c r="H201" s="18" t="inlineStr"/>
      <c r="I201" s="18" t="inlineStr">
        <is>
          <t>예</t>
        </is>
      </c>
      <c r="J201" s="18" t="inlineStr">
        <is>
          <t>예</t>
        </is>
      </c>
      <c r="K201" s="18" t="inlineStr">
        <is>
          <t>예</t>
        </is>
      </c>
      <c r="L201" s="18" t="inlineStr">
        <is>
          <t>COBBLEVERSE 수정</t>
        </is>
      </c>
      <c r="M201" s="18">
        <f>COUNTIF('스폰_편집'!$D$5:$D$3125,A201)</f>
        <v/>
      </c>
      <c r="N201" s="18">
        <f>COUNTIFS('스폰_편집'!$D$5:$D$3125,A201,'스폰_편집'!$B$5:$B$3125,"사용")</f>
        <v/>
      </c>
      <c r="O201" s="18" t="n">
        <v>2</v>
      </c>
      <c r="P201" s="18" t="inlineStr">
        <is>
          <t>#cobblemon:is_overworld; #cobblemon:is_spooky</t>
        </is>
      </c>
      <c r="Q201" s="18" t="inlineStr">
        <is>
          <t>rare; ultra-rare; uncommon</t>
        </is>
      </c>
      <c r="R201" s="18" t="inlineStr">
        <is>
          <t>region_01; region_02</t>
        </is>
      </c>
      <c r="S201" s="18" t="inlineStr">
        <is>
          <t>cobbleventure:generation_2</t>
        </is>
      </c>
      <c r="T201" s="18">
        <f>IF(M201=0,"없음",IF(N201=0,"전부 제외","사용"))</f>
        <v/>
      </c>
      <c r="U201" s="18" t="inlineStr"/>
    </row>
    <row r="202" ht="30" customHeight="1">
      <c r="A202" s="18" t="n">
        <v>198</v>
      </c>
      <c r="B202" s="18" t="inlineStr">
        <is>
          <t>니로우</t>
        </is>
      </c>
      <c r="C202" s="18" t="inlineStr">
        <is>
          <t>murkrow</t>
        </is>
      </c>
      <c r="D202" s="18" t="inlineStr">
        <is>
          <t>Murkrow</t>
        </is>
      </c>
      <c r="E202" s="18" t="n">
        <v>2</v>
      </c>
      <c r="F202" s="18" t="inlineStr">
        <is>
          <t>generation2</t>
        </is>
      </c>
      <c r="G202" s="18" t="inlineStr">
        <is>
          <t>dark</t>
        </is>
      </c>
      <c r="H202" s="18" t="inlineStr">
        <is>
          <t>flying</t>
        </is>
      </c>
      <c r="I202" s="18" t="inlineStr">
        <is>
          <t>예</t>
        </is>
      </c>
      <c r="J202" s="18" t="inlineStr">
        <is>
          <t>예</t>
        </is>
      </c>
      <c r="K202" s="18" t="inlineStr">
        <is>
          <t>예</t>
        </is>
      </c>
      <c r="L202" s="18" t="inlineStr">
        <is>
          <t>COBBLEVERSE 수정</t>
        </is>
      </c>
      <c r="M202" s="18">
        <f>COUNTIF('스폰_편집'!$D$5:$D$3125,A202)</f>
        <v/>
      </c>
      <c r="N202" s="18">
        <f>COUNTIFS('스폰_편집'!$D$5:$D$3125,A202,'스폰_편집'!$B$5:$B$3125,"사용")</f>
        <v/>
      </c>
      <c r="O202" s="18" t="n">
        <v>3</v>
      </c>
      <c r="P202" s="18" t="inlineStr">
        <is>
          <t>#cobblemon:is_spooky; #cobblemon:is_swamp; #cobblemon:is_taiga</t>
        </is>
      </c>
      <c r="Q202" s="18" t="inlineStr">
        <is>
          <t>common</t>
        </is>
      </c>
      <c r="R202" s="18" t="inlineStr">
        <is>
          <t>region_02</t>
        </is>
      </c>
      <c r="S202" s="18" t="inlineStr">
        <is>
          <t>cobbleventure:generation_2</t>
        </is>
      </c>
      <c r="T202" s="18">
        <f>IF(M202=0,"없음",IF(N202=0,"전부 제외","사용"))</f>
        <v/>
      </c>
      <c r="U202" s="18" t="inlineStr"/>
    </row>
    <row r="203" ht="30" customHeight="1">
      <c r="A203" s="18" t="n">
        <v>199</v>
      </c>
      <c r="B203" s="18" t="inlineStr">
        <is>
          <t>야도킹</t>
        </is>
      </c>
      <c r="C203" s="18" t="inlineStr">
        <is>
          <t>slowking</t>
        </is>
      </c>
      <c r="D203" s="18" t="inlineStr">
        <is>
          <t>Slowking</t>
        </is>
      </c>
      <c r="E203" s="18" t="n">
        <v>2</v>
      </c>
      <c r="F203" s="18" t="inlineStr">
        <is>
          <t>generation2</t>
        </is>
      </c>
      <c r="G203" s="18" t="inlineStr">
        <is>
          <t>water</t>
        </is>
      </c>
      <c r="H203" s="18" t="inlineStr">
        <is>
          <t>psychic</t>
        </is>
      </c>
      <c r="I203" s="18" t="inlineStr">
        <is>
          <t>예</t>
        </is>
      </c>
      <c r="J203" s="18" t="inlineStr">
        <is>
          <t>예</t>
        </is>
      </c>
      <c r="K203" s="18" t="inlineStr">
        <is>
          <t>예</t>
        </is>
      </c>
      <c r="L203" s="18" t="inlineStr">
        <is>
          <t>Cobblemon 동일</t>
        </is>
      </c>
      <c r="M203" s="18">
        <f>COUNTIF('스폰_편집'!$D$5:$D$3125,A203)</f>
        <v/>
      </c>
      <c r="N203" s="18">
        <f>COUNTIFS('스폰_편집'!$D$5:$D$3125,A203,'스폰_편집'!$B$5:$B$3125,"사용")</f>
        <v/>
      </c>
      <c r="O203" s="18" t="n">
        <v>3</v>
      </c>
      <c r="P203" s="18" t="inlineStr">
        <is>
          <t>#cobblemon:is_beach; #cobblemon:is_tropical_island; minecraft:mushroom_fields</t>
        </is>
      </c>
      <c r="Q203" s="18" t="inlineStr">
        <is>
          <t>common</t>
        </is>
      </c>
      <c r="R203" s="18" t="inlineStr"/>
      <c r="S203" s="18" t="inlineStr">
        <is>
          <t>cobbleventure:generation_2</t>
        </is>
      </c>
      <c r="T203" s="18">
        <f>IF(M203=0,"없음",IF(N203=0,"전부 제외","사용"))</f>
        <v/>
      </c>
      <c r="U203" s="18" t="inlineStr"/>
    </row>
    <row r="204" ht="30" customHeight="1">
      <c r="A204" s="18" t="n">
        <v>200</v>
      </c>
      <c r="B204" s="18" t="inlineStr">
        <is>
          <t>무우마</t>
        </is>
      </c>
      <c r="C204" s="18" t="inlineStr">
        <is>
          <t>misdreavus</t>
        </is>
      </c>
      <c r="D204" s="18" t="inlineStr">
        <is>
          <t>Misdreavus</t>
        </is>
      </c>
      <c r="E204" s="18" t="n">
        <v>2</v>
      </c>
      <c r="F204" s="18" t="inlineStr">
        <is>
          <t>generation2</t>
        </is>
      </c>
      <c r="G204" s="18" t="inlineStr">
        <is>
          <t>ghost</t>
        </is>
      </c>
      <c r="H204" s="18" t="inlineStr"/>
      <c r="I204" s="18" t="inlineStr">
        <is>
          <t>예</t>
        </is>
      </c>
      <c r="J204" s="18" t="inlineStr">
        <is>
          <t>예</t>
        </is>
      </c>
      <c r="K204" s="18" t="inlineStr">
        <is>
          <t>예</t>
        </is>
      </c>
      <c r="L204" s="18" t="inlineStr">
        <is>
          <t>Cobblemon 동일</t>
        </is>
      </c>
      <c r="M204" s="18">
        <f>COUNTIF('스폰_편집'!$D$5:$D$3125,A204)</f>
        <v/>
      </c>
      <c r="N204" s="18">
        <f>COUNTIFS('스폰_편집'!$D$5:$D$3125,A204,'스폰_편집'!$B$5:$B$3125,"사용")</f>
        <v/>
      </c>
      <c r="O204" s="18" t="n">
        <v>4</v>
      </c>
      <c r="P204" s="18" t="inlineStr">
        <is>
          <t>#cobblemon:is_overworld; #cobblemon:is_spooky; #cobblemon:is_swamp; #cobblemon:nether/is_warped</t>
        </is>
      </c>
      <c r="Q204" s="18" t="inlineStr">
        <is>
          <t>common</t>
        </is>
      </c>
      <c r="R204" s="18" t="inlineStr">
        <is>
          <t>region_01; region_02</t>
        </is>
      </c>
      <c r="S204" s="18" t="inlineStr">
        <is>
          <t>cobbleventure:generation_2</t>
        </is>
      </c>
      <c r="T204" s="18">
        <f>IF(M204=0,"없음",IF(N204=0,"전부 제외","사용"))</f>
        <v/>
      </c>
      <c r="U204" s="18" t="inlineStr"/>
    </row>
    <row r="205" ht="30" customHeight="1">
      <c r="A205" s="18" t="n">
        <v>201</v>
      </c>
      <c r="B205" s="18" t="inlineStr">
        <is>
          <t>안농</t>
        </is>
      </c>
      <c r="C205" s="18" t="inlineStr">
        <is>
          <t>unown</t>
        </is>
      </c>
      <c r="D205" s="18" t="inlineStr">
        <is>
          <t>Unown</t>
        </is>
      </c>
      <c r="E205" s="18" t="n">
        <v>2</v>
      </c>
      <c r="F205" s="18" t="inlineStr">
        <is>
          <t>generation2</t>
        </is>
      </c>
      <c r="G205" s="18" t="inlineStr">
        <is>
          <t>psychic</t>
        </is>
      </c>
      <c r="H205" s="18" t="inlineStr"/>
      <c r="I205" s="18" t="inlineStr">
        <is>
          <t>예</t>
        </is>
      </c>
      <c r="J205" s="18" t="inlineStr">
        <is>
          <t>예</t>
        </is>
      </c>
      <c r="K205" s="18" t="inlineStr">
        <is>
          <t>예</t>
        </is>
      </c>
      <c r="L205" s="18" t="inlineStr">
        <is>
          <t>COBBLEVERSE 수정</t>
        </is>
      </c>
      <c r="M205" s="18">
        <f>COUNTIF('스폰_편집'!$D$5:$D$3125,A205)</f>
        <v/>
      </c>
      <c r="N205" s="18">
        <f>COUNTIFS('스폰_편집'!$D$5:$D$3125,A205,'스폰_편집'!$B$5:$B$3125,"사용")</f>
        <v/>
      </c>
      <c r="O205" s="18" t="n">
        <v>3</v>
      </c>
      <c r="P205" s="18" t="inlineStr">
        <is>
          <t>#cobblemon:is_end; #cobblemon:is_overworld; the_bumblezone:howling_constructs</t>
        </is>
      </c>
      <c r="Q205" s="18" t="inlineStr">
        <is>
          <t>common</t>
        </is>
      </c>
      <c r="R205" s="18" t="inlineStr">
        <is>
          <t>region_01; region_02</t>
        </is>
      </c>
      <c r="S205" s="18" t="inlineStr">
        <is>
          <t>cobbleventure:generation_2</t>
        </is>
      </c>
      <c r="T205" s="18">
        <f>IF(M205=0,"없음",IF(N205=0,"전부 제외","사용"))</f>
        <v/>
      </c>
      <c r="U205" s="18" t="inlineStr"/>
    </row>
    <row r="206" ht="30" customHeight="1">
      <c r="A206" s="18" t="n">
        <v>202</v>
      </c>
      <c r="B206" s="18" t="inlineStr">
        <is>
          <t>마자용</t>
        </is>
      </c>
      <c r="C206" s="18" t="inlineStr">
        <is>
          <t>wobbuffet</t>
        </is>
      </c>
      <c r="D206" s="18" t="inlineStr">
        <is>
          <t>Wobbuffet</t>
        </is>
      </c>
      <c r="E206" s="18" t="n">
        <v>2</v>
      </c>
      <c r="F206" s="18" t="inlineStr">
        <is>
          <t>generation2</t>
        </is>
      </c>
      <c r="G206" s="18" t="inlineStr">
        <is>
          <t>psychic</t>
        </is>
      </c>
      <c r="H206" s="18" t="inlineStr"/>
      <c r="I206" s="18" t="inlineStr">
        <is>
          <t>예</t>
        </is>
      </c>
      <c r="J206" s="18" t="inlineStr">
        <is>
          <t>예</t>
        </is>
      </c>
      <c r="K206" s="18" t="inlineStr">
        <is>
          <t>예</t>
        </is>
      </c>
      <c r="L206" s="18" t="inlineStr">
        <is>
          <t>COBBLEVERSE 수정</t>
        </is>
      </c>
      <c r="M206" s="18">
        <f>COUNTIF('스폰_편집'!$D$5:$D$3125,A206)</f>
        <v/>
      </c>
      <c r="N206" s="18">
        <f>COUNTIFS('스폰_편집'!$D$5:$D$3125,A206,'스폰_편집'!$B$5:$B$3125,"사용")</f>
        <v/>
      </c>
      <c r="O206" s="18" t="n">
        <v>1</v>
      </c>
      <c r="P206" s="18" t="inlineStr">
        <is>
          <t>#cobblemon:is_grassland</t>
        </is>
      </c>
      <c r="Q206" s="18" t="inlineStr">
        <is>
          <t>rare</t>
        </is>
      </c>
      <c r="R206" s="18" t="inlineStr">
        <is>
          <t>region_01</t>
        </is>
      </c>
      <c r="S206" s="18" t="inlineStr">
        <is>
          <t>cobbleventure:generation_2</t>
        </is>
      </c>
      <c r="T206" s="18">
        <f>IF(M206=0,"없음",IF(N206=0,"전부 제외","사용"))</f>
        <v/>
      </c>
      <c r="U206" s="18" t="inlineStr"/>
    </row>
    <row r="207" ht="30" customHeight="1">
      <c r="A207" s="18" t="n">
        <v>203</v>
      </c>
      <c r="B207" s="18" t="inlineStr">
        <is>
          <t>키링키</t>
        </is>
      </c>
      <c r="C207" s="18" t="inlineStr">
        <is>
          <t>girafarig</t>
        </is>
      </c>
      <c r="D207" s="18" t="inlineStr">
        <is>
          <t>Girafarig</t>
        </is>
      </c>
      <c r="E207" s="18" t="n">
        <v>2</v>
      </c>
      <c r="F207" s="18" t="inlineStr">
        <is>
          <t>generation2</t>
        </is>
      </c>
      <c r="G207" s="18" t="inlineStr">
        <is>
          <t>normal</t>
        </is>
      </c>
      <c r="H207" s="18" t="inlineStr">
        <is>
          <t>psychic</t>
        </is>
      </c>
      <c r="I207" s="18" t="inlineStr">
        <is>
          <t>예</t>
        </is>
      </c>
      <c r="J207" s="18" t="inlineStr">
        <is>
          <t>예</t>
        </is>
      </c>
      <c r="K207" s="18" t="inlineStr">
        <is>
          <t>예</t>
        </is>
      </c>
      <c r="L207" s="18" t="inlineStr">
        <is>
          <t>Cobblemon 동일</t>
        </is>
      </c>
      <c r="M207" s="18">
        <f>COUNTIF('스폰_편집'!$D$5:$D$3125,A207)</f>
        <v/>
      </c>
      <c r="N207" s="18">
        <f>COUNTIFS('스폰_편집'!$D$5:$D$3125,A207,'스폰_편집'!$B$5:$B$3125,"사용")</f>
        <v/>
      </c>
      <c r="O207" s="18" t="n">
        <v>1</v>
      </c>
      <c r="P207" s="18" t="inlineStr">
        <is>
          <t>#cobblemon:is_savanna</t>
        </is>
      </c>
      <c r="Q207" s="18" t="inlineStr">
        <is>
          <t>common</t>
        </is>
      </c>
      <c r="R207" s="18" t="inlineStr"/>
      <c r="S207" s="18" t="inlineStr">
        <is>
          <t>cobbleventure:generation_2</t>
        </is>
      </c>
      <c r="T207" s="18">
        <f>IF(M207=0,"없음",IF(N207=0,"전부 제외","사용"))</f>
        <v/>
      </c>
      <c r="U207" s="18" t="inlineStr"/>
    </row>
    <row r="208" ht="30" customHeight="1">
      <c r="A208" s="18" t="n">
        <v>204</v>
      </c>
      <c r="B208" s="18" t="inlineStr">
        <is>
          <t>피콘</t>
        </is>
      </c>
      <c r="C208" s="18" t="inlineStr">
        <is>
          <t>pineco</t>
        </is>
      </c>
      <c r="D208" s="18" t="inlineStr">
        <is>
          <t>Pineco</t>
        </is>
      </c>
      <c r="E208" s="18" t="n">
        <v>2</v>
      </c>
      <c r="F208" s="18" t="inlineStr">
        <is>
          <t>generation2</t>
        </is>
      </c>
      <c r="G208" s="18" t="inlineStr">
        <is>
          <t>bug</t>
        </is>
      </c>
      <c r="H208" s="18" t="inlineStr"/>
      <c r="I208" s="18" t="inlineStr">
        <is>
          <t>예</t>
        </is>
      </c>
      <c r="J208" s="18" t="inlineStr">
        <is>
          <t>예</t>
        </is>
      </c>
      <c r="K208" s="18" t="inlineStr">
        <is>
          <t>예</t>
        </is>
      </c>
      <c r="L208" s="18" t="inlineStr">
        <is>
          <t>Cobblemon 동일</t>
        </is>
      </c>
      <c r="M208" s="18">
        <f>COUNTIF('스폰_편집'!$D$5:$D$3125,A208)</f>
        <v/>
      </c>
      <c r="N208" s="18">
        <f>COUNTIFS('스폰_편집'!$D$5:$D$3125,A208,'스폰_편집'!$B$5:$B$3125,"사용")</f>
        <v/>
      </c>
      <c r="O208" s="18" t="n">
        <v>1</v>
      </c>
      <c r="P208" s="18" t="inlineStr">
        <is>
          <t>#cobblemon:is_taiga</t>
        </is>
      </c>
      <c r="Q208" s="18" t="inlineStr">
        <is>
          <t>common</t>
        </is>
      </c>
      <c r="R208" s="18" t="inlineStr"/>
      <c r="S208" s="18" t="inlineStr">
        <is>
          <t>cobbleventure:generation_2</t>
        </is>
      </c>
      <c r="T208" s="18">
        <f>IF(M208=0,"없음",IF(N208=0,"전부 제외","사용"))</f>
        <v/>
      </c>
      <c r="U208" s="18" t="inlineStr"/>
    </row>
    <row r="209" ht="30" customHeight="1">
      <c r="A209" s="18" t="n">
        <v>205</v>
      </c>
      <c r="B209" s="18" t="inlineStr">
        <is>
          <t>쏘콘</t>
        </is>
      </c>
      <c r="C209" s="18" t="inlineStr">
        <is>
          <t>forretress</t>
        </is>
      </c>
      <c r="D209" s="18" t="inlineStr">
        <is>
          <t>Forretress</t>
        </is>
      </c>
      <c r="E209" s="18" t="n">
        <v>2</v>
      </c>
      <c r="F209" s="18" t="inlineStr">
        <is>
          <t>generation2</t>
        </is>
      </c>
      <c r="G209" s="18" t="inlineStr">
        <is>
          <t>bug</t>
        </is>
      </c>
      <c r="H209" s="18" t="inlineStr">
        <is>
          <t>steel</t>
        </is>
      </c>
      <c r="I209" s="18" t="inlineStr">
        <is>
          <t>예</t>
        </is>
      </c>
      <c r="J209" s="18" t="inlineStr">
        <is>
          <t>예</t>
        </is>
      </c>
      <c r="K209" s="18" t="inlineStr">
        <is>
          <t>예</t>
        </is>
      </c>
      <c r="L209" s="18" t="inlineStr">
        <is>
          <t>Cobblemon 동일</t>
        </is>
      </c>
      <c r="M209" s="18">
        <f>COUNTIF('스폰_편집'!$D$5:$D$3125,A209)</f>
        <v/>
      </c>
      <c r="N209" s="18">
        <f>COUNTIFS('스폰_편집'!$D$5:$D$3125,A209,'스폰_편집'!$B$5:$B$3125,"사용")</f>
        <v/>
      </c>
      <c r="O209" s="18" t="n">
        <v>1</v>
      </c>
      <c r="P209" s="18" t="inlineStr">
        <is>
          <t>#cobblemon:is_taiga</t>
        </is>
      </c>
      <c r="Q209" s="18" t="inlineStr">
        <is>
          <t>common</t>
        </is>
      </c>
      <c r="R209" s="18" t="inlineStr"/>
      <c r="S209" s="18" t="inlineStr">
        <is>
          <t>cobbleventure:generation_2</t>
        </is>
      </c>
      <c r="T209" s="18">
        <f>IF(M209=0,"없음",IF(N209=0,"전부 제외","사용"))</f>
        <v/>
      </c>
      <c r="U209" s="18" t="inlineStr"/>
    </row>
    <row r="210" ht="30" customHeight="1">
      <c r="A210" s="18" t="n">
        <v>206</v>
      </c>
      <c r="B210" s="18" t="inlineStr">
        <is>
          <t>노고치</t>
        </is>
      </c>
      <c r="C210" s="18" t="inlineStr">
        <is>
          <t>dunsparce</t>
        </is>
      </c>
      <c r="D210" s="18" t="inlineStr">
        <is>
          <t>Dunsparce</t>
        </is>
      </c>
      <c r="E210" s="18" t="n">
        <v>2</v>
      </c>
      <c r="F210" s="18" t="inlineStr">
        <is>
          <t>generation2</t>
        </is>
      </c>
      <c r="G210" s="18" t="inlineStr">
        <is>
          <t>normal</t>
        </is>
      </c>
      <c r="H210" s="18" t="inlineStr"/>
      <c r="I210" s="18" t="inlineStr">
        <is>
          <t>예</t>
        </is>
      </c>
      <c r="J210" s="18" t="inlineStr">
        <is>
          <t>예</t>
        </is>
      </c>
      <c r="K210" s="18" t="inlineStr">
        <is>
          <t>예</t>
        </is>
      </c>
      <c r="L210" s="18" t="inlineStr">
        <is>
          <t>COBBLEVERSE 수정</t>
        </is>
      </c>
      <c r="M210" s="18">
        <f>COUNTIF('스폰_편집'!$D$5:$D$3125,A210)</f>
        <v/>
      </c>
      <c r="N210" s="18">
        <f>COUNTIFS('스폰_편집'!$D$5:$D$3125,A210,'스폰_편집'!$B$5:$B$3125,"사용")</f>
        <v/>
      </c>
      <c r="O210" s="18" t="n">
        <v>2</v>
      </c>
      <c r="P210" s="18" t="inlineStr">
        <is>
          <t>#cobblemon:is_lush; #cobblemon:is_overworld</t>
        </is>
      </c>
      <c r="Q210" s="18" t="inlineStr">
        <is>
          <t>rare</t>
        </is>
      </c>
      <c r="R210" s="18" t="inlineStr">
        <is>
          <t>region_01; region_02</t>
        </is>
      </c>
      <c r="S210" s="18" t="inlineStr">
        <is>
          <t>cobbleventure:generation_2</t>
        </is>
      </c>
      <c r="T210" s="18">
        <f>IF(M210=0,"없음",IF(N210=0,"전부 제외","사용"))</f>
        <v/>
      </c>
      <c r="U210" s="18" t="inlineStr"/>
    </row>
    <row r="211" ht="30" customHeight="1">
      <c r="A211" s="18" t="n">
        <v>207</v>
      </c>
      <c r="B211" s="18" t="inlineStr">
        <is>
          <t>글라이거</t>
        </is>
      </c>
      <c r="C211" s="18" t="inlineStr">
        <is>
          <t>gligar</t>
        </is>
      </c>
      <c r="D211" s="18" t="inlineStr">
        <is>
          <t>Gligar</t>
        </is>
      </c>
      <c r="E211" s="18" t="n">
        <v>2</v>
      </c>
      <c r="F211" s="18" t="inlineStr">
        <is>
          <t>generation2</t>
        </is>
      </c>
      <c r="G211" s="18" t="inlineStr">
        <is>
          <t>ground</t>
        </is>
      </c>
      <c r="H211" s="18" t="inlineStr">
        <is>
          <t>flying</t>
        </is>
      </c>
      <c r="I211" s="18" t="inlineStr">
        <is>
          <t>예</t>
        </is>
      </c>
      <c r="J211" s="18" t="inlineStr">
        <is>
          <t>예</t>
        </is>
      </c>
      <c r="K211" s="18" t="inlineStr">
        <is>
          <t>예</t>
        </is>
      </c>
      <c r="L211" s="18" t="inlineStr">
        <is>
          <t>COBBLEVERSE 수정</t>
        </is>
      </c>
      <c r="M211" s="18">
        <f>COUNTIF('스폰_편집'!$D$5:$D$3125,A211)</f>
        <v/>
      </c>
      <c r="N211" s="18">
        <f>COUNTIFS('스폰_편집'!$D$5:$D$3125,A211,'스폰_편집'!$B$5:$B$3125,"사용")</f>
        <v/>
      </c>
      <c r="O211" s="18" t="n">
        <v>2</v>
      </c>
      <c r="P211" s="18" t="inlineStr">
        <is>
          <t>#cobblemon:is_badlands; #cobblemon:nether/is_mountain</t>
        </is>
      </c>
      <c r="Q211" s="18" t="inlineStr">
        <is>
          <t>common; uncommon</t>
        </is>
      </c>
      <c r="R211" s="18" t="inlineStr"/>
      <c r="S211" s="18" t="inlineStr">
        <is>
          <t>cobbleventure:generation_2</t>
        </is>
      </c>
      <c r="T211" s="18">
        <f>IF(M211=0,"없음",IF(N211=0,"전부 제외","사용"))</f>
        <v/>
      </c>
      <c r="U211" s="18" t="inlineStr"/>
    </row>
    <row r="212" ht="30" customHeight="1">
      <c r="A212" s="18" t="n">
        <v>208</v>
      </c>
      <c r="B212" s="18" t="inlineStr">
        <is>
          <t>강철톤</t>
        </is>
      </c>
      <c r="C212" s="18" t="inlineStr">
        <is>
          <t>steelix</t>
        </is>
      </c>
      <c r="D212" s="18" t="inlineStr">
        <is>
          <t>Steelix</t>
        </is>
      </c>
      <c r="E212" s="18" t="n">
        <v>2</v>
      </c>
      <c r="F212" s="18" t="inlineStr">
        <is>
          <t>generation2</t>
        </is>
      </c>
      <c r="G212" s="18" t="inlineStr">
        <is>
          <t>steel</t>
        </is>
      </c>
      <c r="H212" s="18" t="inlineStr">
        <is>
          <t>ground</t>
        </is>
      </c>
      <c r="I212" s="18" t="inlineStr">
        <is>
          <t>예</t>
        </is>
      </c>
      <c r="J212" s="18" t="inlineStr">
        <is>
          <t>예</t>
        </is>
      </c>
      <c r="K212" s="18" t="inlineStr">
        <is>
          <t>예</t>
        </is>
      </c>
      <c r="L212" s="18" t="inlineStr">
        <is>
          <t>Cobblemon 동일</t>
        </is>
      </c>
      <c r="M212" s="18">
        <f>COUNTIF('스폰_편집'!$D$5:$D$3125,A212)</f>
        <v/>
      </c>
      <c r="N212" s="18">
        <f>COUNTIFS('스폰_편집'!$D$5:$D$3125,A212,'스폰_편집'!$B$5:$B$3125,"사용")</f>
        <v/>
      </c>
      <c r="O212" s="18" t="n">
        <v>2</v>
      </c>
      <c r="P212" s="18" t="inlineStr">
        <is>
          <t>#cobblemon:is_overworld; #cobblemon:nether/is_basalt</t>
        </is>
      </c>
      <c r="Q212" s="18" t="inlineStr">
        <is>
          <t>uncommon</t>
        </is>
      </c>
      <c r="R212" s="18" t="inlineStr">
        <is>
          <t>region_01; region_02</t>
        </is>
      </c>
      <c r="S212" s="18" t="inlineStr">
        <is>
          <t>cobbleventure:generation_2</t>
        </is>
      </c>
      <c r="T212" s="18">
        <f>IF(M212=0,"없음",IF(N212=0,"전부 제외","사용"))</f>
        <v/>
      </c>
      <c r="U212" s="18" t="inlineStr"/>
    </row>
    <row r="213" ht="30" customHeight="1">
      <c r="A213" s="18" t="n">
        <v>209</v>
      </c>
      <c r="B213" s="18" t="inlineStr">
        <is>
          <t>블루</t>
        </is>
      </c>
      <c r="C213" s="18" t="inlineStr">
        <is>
          <t>snubbull</t>
        </is>
      </c>
      <c r="D213" s="18" t="inlineStr">
        <is>
          <t>Snubbull</t>
        </is>
      </c>
      <c r="E213" s="18" t="n">
        <v>2</v>
      </c>
      <c r="F213" s="18" t="inlineStr">
        <is>
          <t>generation2</t>
        </is>
      </c>
      <c r="G213" s="18" t="inlineStr">
        <is>
          <t>fairy</t>
        </is>
      </c>
      <c r="H213" s="18" t="inlineStr"/>
      <c r="I213" s="18" t="inlineStr">
        <is>
          <t>예</t>
        </is>
      </c>
      <c r="J213" s="18" t="inlineStr">
        <is>
          <t>예</t>
        </is>
      </c>
      <c r="K213" s="18" t="inlineStr">
        <is>
          <t>예</t>
        </is>
      </c>
      <c r="L213" s="18" t="inlineStr">
        <is>
          <t>COBBLEVERSE 수정</t>
        </is>
      </c>
      <c r="M213" s="18">
        <f>COUNTIF('스폰_편집'!$D$5:$D$3125,A213)</f>
        <v/>
      </c>
      <c r="N213" s="18">
        <f>COUNTIFS('스폰_편집'!$D$5:$D$3125,A213,'스폰_편집'!$B$5:$B$3125,"사용")</f>
        <v/>
      </c>
      <c r="O213" s="18" t="n">
        <v>2</v>
      </c>
      <c r="P213" s="18" t="inlineStr">
        <is>
          <t>#cobblemon:is_plains; #cobblemon:is_savanna</t>
        </is>
      </c>
      <c r="Q213" s="18" t="inlineStr">
        <is>
          <t>common</t>
        </is>
      </c>
      <c r="R213" s="18" t="inlineStr">
        <is>
          <t>region_01; region_02</t>
        </is>
      </c>
      <c r="S213" s="18" t="inlineStr">
        <is>
          <t>cobbleventure:generation_2</t>
        </is>
      </c>
      <c r="T213" s="18">
        <f>IF(M213=0,"없음",IF(N213=0,"전부 제외","사용"))</f>
        <v/>
      </c>
      <c r="U213" s="18" t="inlineStr"/>
    </row>
    <row r="214" ht="30" customHeight="1">
      <c r="A214" s="18" t="n">
        <v>210</v>
      </c>
      <c r="B214" s="18" t="inlineStr">
        <is>
          <t>그랑블루</t>
        </is>
      </c>
      <c r="C214" s="18" t="inlineStr">
        <is>
          <t>granbull</t>
        </is>
      </c>
      <c r="D214" s="18" t="inlineStr">
        <is>
          <t>Granbull</t>
        </is>
      </c>
      <c r="E214" s="18" t="n">
        <v>2</v>
      </c>
      <c r="F214" s="18" t="inlineStr">
        <is>
          <t>generation2</t>
        </is>
      </c>
      <c r="G214" s="18" t="inlineStr">
        <is>
          <t>fairy</t>
        </is>
      </c>
      <c r="H214" s="18" t="inlineStr"/>
      <c r="I214" s="18" t="inlineStr">
        <is>
          <t>예</t>
        </is>
      </c>
      <c r="J214" s="18" t="inlineStr">
        <is>
          <t>예</t>
        </is>
      </c>
      <c r="K214" s="18" t="inlineStr">
        <is>
          <t>예</t>
        </is>
      </c>
      <c r="L214" s="18" t="inlineStr">
        <is>
          <t>COBBLEVERSE 수정</t>
        </is>
      </c>
      <c r="M214" s="18">
        <f>COUNTIF('스폰_편집'!$D$5:$D$3125,A214)</f>
        <v/>
      </c>
      <c r="N214" s="18">
        <f>COUNTIFS('스폰_편집'!$D$5:$D$3125,A214,'스폰_편집'!$B$5:$B$3125,"사용")</f>
        <v/>
      </c>
      <c r="O214" s="18" t="n">
        <v>2</v>
      </c>
      <c r="P214" s="18" t="inlineStr">
        <is>
          <t>#cobblemon:is_plains; #cobblemon:is_savanna</t>
        </is>
      </c>
      <c r="Q214" s="18" t="inlineStr">
        <is>
          <t>common</t>
        </is>
      </c>
      <c r="R214" s="18" t="inlineStr">
        <is>
          <t>region_01; region_02</t>
        </is>
      </c>
      <c r="S214" s="18" t="inlineStr">
        <is>
          <t>cobbleventure:generation_2</t>
        </is>
      </c>
      <c r="T214" s="18">
        <f>IF(M214=0,"없음",IF(N214=0,"전부 제외","사용"))</f>
        <v/>
      </c>
      <c r="U214" s="18" t="inlineStr"/>
    </row>
    <row r="215" ht="30" customHeight="1">
      <c r="A215" s="18" t="n">
        <v>211</v>
      </c>
      <c r="B215" s="18" t="inlineStr">
        <is>
          <t>침바루</t>
        </is>
      </c>
      <c r="C215" s="18" t="inlineStr">
        <is>
          <t>qwilfish</t>
        </is>
      </c>
      <c r="D215" s="18" t="inlineStr">
        <is>
          <t>Qwilfish</t>
        </is>
      </c>
      <c r="E215" s="18" t="n">
        <v>2</v>
      </c>
      <c r="F215" s="18" t="inlineStr">
        <is>
          <t>generation2</t>
        </is>
      </c>
      <c r="G215" s="18" t="inlineStr">
        <is>
          <t>water</t>
        </is>
      </c>
      <c r="H215" s="18" t="inlineStr">
        <is>
          <t>poison</t>
        </is>
      </c>
      <c r="I215" s="18" t="inlineStr">
        <is>
          <t>예</t>
        </is>
      </c>
      <c r="J215" s="18" t="inlineStr">
        <is>
          <t>예</t>
        </is>
      </c>
      <c r="K215" s="18" t="inlineStr">
        <is>
          <t>예</t>
        </is>
      </c>
      <c r="L215" s="18" t="inlineStr">
        <is>
          <t>COBBLEVERSE 수정</t>
        </is>
      </c>
      <c r="M215" s="18">
        <f>COUNTIF('스폰_편집'!$D$5:$D$3125,A215)</f>
        <v/>
      </c>
      <c r="N215" s="18">
        <f>COUNTIFS('스폰_편집'!$D$5:$D$3125,A215,'스폰_편집'!$B$5:$B$3125,"사용")</f>
        <v/>
      </c>
      <c r="O215" s="18" t="n">
        <v>7</v>
      </c>
      <c r="P215" s="18" t="inlineStr">
        <is>
          <t>#cobblemon:is_cold; #cobblemon:is_cold_ocean; #cobblemon:is_frozen_ocean; #cobblemon:is_lukewarm_ocean; #cobblemon:is_ocean; #cobblemon:is_overworld; #cobblemon:is_warm_ocean</t>
        </is>
      </c>
      <c r="Q215" s="18" t="inlineStr">
        <is>
          <t>common; uncommon</t>
        </is>
      </c>
      <c r="R215" s="18" t="inlineStr">
        <is>
          <t>region_01; region_02</t>
        </is>
      </c>
      <c r="S215" s="18" t="inlineStr">
        <is>
          <t>cobbleventure:generation_2</t>
        </is>
      </c>
      <c r="T215" s="18">
        <f>IF(M215=0,"없음",IF(N215=0,"전부 제외","사용"))</f>
        <v/>
      </c>
      <c r="U215" s="18" t="inlineStr"/>
    </row>
    <row r="216" ht="30" customHeight="1">
      <c r="A216" s="18" t="n">
        <v>212</v>
      </c>
      <c r="B216" s="18" t="inlineStr">
        <is>
          <t>핫삼</t>
        </is>
      </c>
      <c r="C216" s="18" t="inlineStr">
        <is>
          <t>scizor</t>
        </is>
      </c>
      <c r="D216" s="18" t="inlineStr">
        <is>
          <t>Scizor</t>
        </is>
      </c>
      <c r="E216" s="18" t="n">
        <v>2</v>
      </c>
      <c r="F216" s="18" t="inlineStr">
        <is>
          <t>generation2</t>
        </is>
      </c>
      <c r="G216" s="18" t="inlineStr">
        <is>
          <t>bug</t>
        </is>
      </c>
      <c r="H216" s="18" t="inlineStr">
        <is>
          <t>steel</t>
        </is>
      </c>
      <c r="I216" s="18" t="inlineStr">
        <is>
          <t>예</t>
        </is>
      </c>
      <c r="J216" s="18" t="inlineStr">
        <is>
          <t>예</t>
        </is>
      </c>
      <c r="K216" s="18" t="inlineStr">
        <is>
          <t>예</t>
        </is>
      </c>
      <c r="L216" s="18" t="inlineStr">
        <is>
          <t>Cobblemon 동일</t>
        </is>
      </c>
      <c r="M216" s="18">
        <f>COUNTIF('스폰_편집'!$D$5:$D$3125,A216)</f>
        <v/>
      </c>
      <c r="N216" s="18">
        <f>COUNTIFS('스폰_편집'!$D$5:$D$3125,A216,'스폰_편집'!$B$5:$B$3125,"사용")</f>
        <v/>
      </c>
      <c r="O216" s="18" t="n">
        <v>1</v>
      </c>
      <c r="P216" s="18" t="inlineStr">
        <is>
          <t>#cobblemon:is_jungle</t>
        </is>
      </c>
      <c r="Q216" s="18" t="inlineStr">
        <is>
          <t>uncommon</t>
        </is>
      </c>
      <c r="R216" s="18" t="inlineStr"/>
      <c r="S216" s="18" t="inlineStr">
        <is>
          <t>cobbleventure:generation_2</t>
        </is>
      </c>
      <c r="T216" s="18">
        <f>IF(M216=0,"없음",IF(N216=0,"전부 제외","사용"))</f>
        <v/>
      </c>
      <c r="U216" s="18" t="inlineStr"/>
    </row>
    <row r="217" ht="30" customHeight="1">
      <c r="A217" s="18" t="n">
        <v>213</v>
      </c>
      <c r="B217" s="18" t="inlineStr">
        <is>
          <t>단단지</t>
        </is>
      </c>
      <c r="C217" s="18" t="inlineStr">
        <is>
          <t>shuckle</t>
        </is>
      </c>
      <c r="D217" s="18" t="inlineStr">
        <is>
          <t>Shuckle</t>
        </is>
      </c>
      <c r="E217" s="18" t="n">
        <v>2</v>
      </c>
      <c r="F217" s="18" t="inlineStr">
        <is>
          <t>generation2</t>
        </is>
      </c>
      <c r="G217" s="18" t="inlineStr">
        <is>
          <t>bug</t>
        </is>
      </c>
      <c r="H217" s="18" t="inlineStr">
        <is>
          <t>rock</t>
        </is>
      </c>
      <c r="I217" s="18" t="inlineStr">
        <is>
          <t>예</t>
        </is>
      </c>
      <c r="J217" s="18" t="inlineStr">
        <is>
          <t>예</t>
        </is>
      </c>
      <c r="K217" s="18" t="inlineStr">
        <is>
          <t>예</t>
        </is>
      </c>
      <c r="L217" s="18" t="inlineStr">
        <is>
          <t>Cobblemon 동일</t>
        </is>
      </c>
      <c r="M217" s="18">
        <f>COUNTIF('스폰_편집'!$D$5:$D$3125,A217)</f>
        <v/>
      </c>
      <c r="N217" s="18">
        <f>COUNTIFS('스폰_편집'!$D$5:$D$3125,A217,'스폰_편집'!$B$5:$B$3125,"사용")</f>
        <v/>
      </c>
      <c r="O217" s="18" t="n">
        <v>2</v>
      </c>
      <c r="P217" s="18" t="inlineStr">
        <is>
          <t>#cobblemon:is_lush; #cobblemon:is_overworld</t>
        </is>
      </c>
      <c r="Q217" s="18" t="inlineStr">
        <is>
          <t>common; uncommon</t>
        </is>
      </c>
      <c r="R217" s="18" t="inlineStr">
        <is>
          <t>region_01; region_02</t>
        </is>
      </c>
      <c r="S217" s="18" t="inlineStr">
        <is>
          <t>cobbleventure:generation_2</t>
        </is>
      </c>
      <c r="T217" s="18">
        <f>IF(M217=0,"없음",IF(N217=0,"전부 제외","사용"))</f>
        <v/>
      </c>
      <c r="U217" s="18" t="inlineStr"/>
    </row>
    <row r="218" ht="30" customHeight="1">
      <c r="A218" s="18" t="n">
        <v>214</v>
      </c>
      <c r="B218" s="18" t="inlineStr">
        <is>
          <t>헤라크로스</t>
        </is>
      </c>
      <c r="C218" s="18" t="inlineStr">
        <is>
          <t>heracross</t>
        </is>
      </c>
      <c r="D218" s="18" t="inlineStr">
        <is>
          <t>Heracross</t>
        </is>
      </c>
      <c r="E218" s="18" t="n">
        <v>2</v>
      </c>
      <c r="F218" s="18" t="inlineStr">
        <is>
          <t>generation2</t>
        </is>
      </c>
      <c r="G218" s="18" t="inlineStr">
        <is>
          <t>bug</t>
        </is>
      </c>
      <c r="H218" s="18" t="inlineStr">
        <is>
          <t>fighting</t>
        </is>
      </c>
      <c r="I218" s="18" t="inlineStr">
        <is>
          <t>예</t>
        </is>
      </c>
      <c r="J218" s="18" t="inlineStr">
        <is>
          <t>예</t>
        </is>
      </c>
      <c r="K218" s="18" t="inlineStr">
        <is>
          <t>예</t>
        </is>
      </c>
      <c r="L218" s="18" t="inlineStr">
        <is>
          <t>Cobblemon 동일</t>
        </is>
      </c>
      <c r="M218" s="18">
        <f>COUNTIF('스폰_편집'!$D$5:$D$3125,A218)</f>
        <v/>
      </c>
      <c r="N218" s="18">
        <f>COUNTIFS('스폰_편집'!$D$5:$D$3125,A218,'스폰_편집'!$B$5:$B$3125,"사용")</f>
        <v/>
      </c>
      <c r="O218" s="18" t="n">
        <v>8</v>
      </c>
      <c r="P218" s="18" t="inlineStr">
        <is>
          <t>#aether:is_aether; #cobblemon:is_forest; #cobblemon:is_jungle; #cobblemon:is_overworld; #cobblemon:is_tropical_island; aether:skyroot_forest; aether:skyroot_woodland; the_bumblezone:crystal_canyon</t>
        </is>
      </c>
      <c r="Q218" s="18" t="inlineStr">
        <is>
          <t>rare; uncommon</t>
        </is>
      </c>
      <c r="R218" s="18" t="inlineStr">
        <is>
          <t>region_01; region_02</t>
        </is>
      </c>
      <c r="S218" s="18" t="inlineStr">
        <is>
          <t>cobbleventure:generation_2</t>
        </is>
      </c>
      <c r="T218" s="18">
        <f>IF(M218=0,"없음",IF(N218=0,"전부 제외","사용"))</f>
        <v/>
      </c>
      <c r="U218" s="18" t="inlineStr"/>
    </row>
    <row r="219" ht="30" customHeight="1">
      <c r="A219" s="18" t="n">
        <v>215</v>
      </c>
      <c r="B219" s="18" t="inlineStr">
        <is>
          <t>포푸니</t>
        </is>
      </c>
      <c r="C219" s="18" t="inlineStr">
        <is>
          <t>sneasel</t>
        </is>
      </c>
      <c r="D219" s="18" t="inlineStr">
        <is>
          <t>Sneasel</t>
        </is>
      </c>
      <c r="E219" s="18" t="n">
        <v>2</v>
      </c>
      <c r="F219" s="18" t="inlineStr">
        <is>
          <t>generation2</t>
        </is>
      </c>
      <c r="G219" s="18" t="inlineStr">
        <is>
          <t>dark</t>
        </is>
      </c>
      <c r="H219" s="18" t="inlineStr">
        <is>
          <t>ice</t>
        </is>
      </c>
      <c r="I219" s="18" t="inlineStr">
        <is>
          <t>예</t>
        </is>
      </c>
      <c r="J219" s="18" t="inlineStr">
        <is>
          <t>예</t>
        </is>
      </c>
      <c r="K219" s="18" t="inlineStr">
        <is>
          <t>예</t>
        </is>
      </c>
      <c r="L219" s="18" t="inlineStr">
        <is>
          <t>COBBLEVERSE 수정</t>
        </is>
      </c>
      <c r="M219" s="18">
        <f>COUNTIF('스폰_편집'!$D$5:$D$3125,A219)</f>
        <v/>
      </c>
      <c r="N219" s="18">
        <f>COUNTIFS('스폰_편집'!$D$5:$D$3125,A219,'스폰_편집'!$B$5:$B$3125,"사용")</f>
        <v/>
      </c>
      <c r="O219" s="18" t="n">
        <v>2</v>
      </c>
      <c r="P219" s="18" t="inlineStr">
        <is>
          <t>#cobblemon:is_mountain; #cobblemon:is_taiga</t>
        </is>
      </c>
      <c r="Q219" s="18" t="inlineStr">
        <is>
          <t>uncommon</t>
        </is>
      </c>
      <c r="R219" s="18" t="inlineStr"/>
      <c r="S219" s="18" t="inlineStr">
        <is>
          <t>cobbleventure:generation_2</t>
        </is>
      </c>
      <c r="T219" s="18">
        <f>IF(M219=0,"없음",IF(N219=0,"전부 제외","사용"))</f>
        <v/>
      </c>
      <c r="U219" s="18" t="inlineStr"/>
    </row>
    <row r="220" ht="30" customHeight="1">
      <c r="A220" s="18" t="n">
        <v>216</v>
      </c>
      <c r="B220" s="18" t="inlineStr">
        <is>
          <t>깜지곰</t>
        </is>
      </c>
      <c r="C220" s="18" t="inlineStr">
        <is>
          <t>teddiursa</t>
        </is>
      </c>
      <c r="D220" s="18" t="inlineStr">
        <is>
          <t>Teddiursa</t>
        </is>
      </c>
      <c r="E220" s="18" t="n">
        <v>2</v>
      </c>
      <c r="F220" s="18" t="inlineStr">
        <is>
          <t>generation2</t>
        </is>
      </c>
      <c r="G220" s="18" t="inlineStr">
        <is>
          <t>normal</t>
        </is>
      </c>
      <c r="H220" s="18" t="inlineStr"/>
      <c r="I220" s="18" t="inlineStr">
        <is>
          <t>예</t>
        </is>
      </c>
      <c r="J220" s="18" t="inlineStr">
        <is>
          <t>예</t>
        </is>
      </c>
      <c r="K220" s="18" t="inlineStr">
        <is>
          <t>예</t>
        </is>
      </c>
      <c r="L220" s="18" t="inlineStr">
        <is>
          <t>Cobblemon 동일</t>
        </is>
      </c>
      <c r="M220" s="18">
        <f>COUNTIF('스폰_편집'!$D$5:$D$3125,A220)</f>
        <v/>
      </c>
      <c r="N220" s="18">
        <f>COUNTIFS('스폰_편집'!$D$5:$D$3125,A220,'스폰_편집'!$B$5:$B$3125,"사용")</f>
        <v/>
      </c>
      <c r="O220" s="18" t="n">
        <v>9</v>
      </c>
      <c r="P220" s="18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Q220" s="18" t="inlineStr">
        <is>
          <t>common</t>
        </is>
      </c>
      <c r="R220" s="18" t="inlineStr">
        <is>
          <t>region_01; region_02</t>
        </is>
      </c>
      <c r="S220" s="18" t="inlineStr">
        <is>
          <t>cobbleventure:generation_2</t>
        </is>
      </c>
      <c r="T220" s="18">
        <f>IF(M220=0,"없음",IF(N220=0,"전부 제외","사용"))</f>
        <v/>
      </c>
      <c r="U220" s="18" t="inlineStr"/>
    </row>
    <row r="221" ht="30" customHeight="1">
      <c r="A221" s="18" t="n">
        <v>217</v>
      </c>
      <c r="B221" s="18" t="inlineStr">
        <is>
          <t>링곰</t>
        </is>
      </c>
      <c r="C221" s="18" t="inlineStr">
        <is>
          <t>ursaring</t>
        </is>
      </c>
      <c r="D221" s="18" t="inlineStr">
        <is>
          <t>Ursaring</t>
        </is>
      </c>
      <c r="E221" s="18" t="n">
        <v>2</v>
      </c>
      <c r="F221" s="18" t="inlineStr">
        <is>
          <t>generation2</t>
        </is>
      </c>
      <c r="G221" s="18" t="inlineStr">
        <is>
          <t>normal</t>
        </is>
      </c>
      <c r="H221" s="18" t="inlineStr"/>
      <c r="I221" s="18" t="inlineStr">
        <is>
          <t>예</t>
        </is>
      </c>
      <c r="J221" s="18" t="inlineStr">
        <is>
          <t>예</t>
        </is>
      </c>
      <c r="K221" s="18" t="inlineStr">
        <is>
          <t>예</t>
        </is>
      </c>
      <c r="L221" s="18" t="inlineStr">
        <is>
          <t>Cobblemon 동일</t>
        </is>
      </c>
      <c r="M221" s="18">
        <f>COUNTIF('스폰_편집'!$D$5:$D$3125,A221)</f>
        <v/>
      </c>
      <c r="N221" s="18">
        <f>COUNTIFS('스폰_편집'!$D$5:$D$3125,A221,'스폰_편집'!$B$5:$B$3125,"사용")</f>
        <v/>
      </c>
      <c r="O221" s="18" t="n">
        <v>9</v>
      </c>
      <c r="P221" s="18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Q221" s="18" t="inlineStr">
        <is>
          <t>common</t>
        </is>
      </c>
      <c r="R221" s="18" t="inlineStr">
        <is>
          <t>region_01; region_02</t>
        </is>
      </c>
      <c r="S221" s="18" t="inlineStr">
        <is>
          <t>cobbleventure:generation_2</t>
        </is>
      </c>
      <c r="T221" s="18">
        <f>IF(M221=0,"없음",IF(N221=0,"전부 제외","사용"))</f>
        <v/>
      </c>
      <c r="U221" s="18" t="inlineStr"/>
    </row>
    <row r="222" ht="30" customHeight="1">
      <c r="A222" s="18" t="n">
        <v>218</v>
      </c>
      <c r="B222" s="18" t="inlineStr">
        <is>
          <t>마그마그</t>
        </is>
      </c>
      <c r="C222" s="18" t="inlineStr">
        <is>
          <t>slugma</t>
        </is>
      </c>
      <c r="D222" s="18" t="inlineStr">
        <is>
          <t>Slugma</t>
        </is>
      </c>
      <c r="E222" s="18" t="n">
        <v>2</v>
      </c>
      <c r="F222" s="18" t="inlineStr">
        <is>
          <t>generation2</t>
        </is>
      </c>
      <c r="G222" s="18" t="inlineStr">
        <is>
          <t>fire</t>
        </is>
      </c>
      <c r="H222" s="18" t="inlineStr"/>
      <c r="I222" s="18" t="inlineStr">
        <is>
          <t>예</t>
        </is>
      </c>
      <c r="J222" s="18" t="inlineStr">
        <is>
          <t>예</t>
        </is>
      </c>
      <c r="K222" s="18" t="inlineStr">
        <is>
          <t>예</t>
        </is>
      </c>
      <c r="L222" s="18" t="inlineStr">
        <is>
          <t>Cobblemon 동일</t>
        </is>
      </c>
      <c r="M222" s="18">
        <f>COUNTIF('스폰_편집'!$D$5:$D$3125,A222)</f>
        <v/>
      </c>
      <c r="N222" s="18">
        <f>COUNTIFS('스폰_편집'!$D$5:$D$3125,A222,'스폰_편집'!$B$5:$B$3125,"사용")</f>
        <v/>
      </c>
      <c r="O222" s="18" t="n">
        <v>5</v>
      </c>
      <c r="P222" s="18" t="inlineStr">
        <is>
          <t>#cobblemon:is_overworld; #cobblemon:is_volcanic; #cobblemon:nether/is_basalt; #cobblemon:nether/is_wasteland; #minecraft:is_nether</t>
        </is>
      </c>
      <c r="Q222" s="18" t="inlineStr">
        <is>
          <t>common</t>
        </is>
      </c>
      <c r="R222" s="18" t="inlineStr">
        <is>
          <t>region_01; region_02</t>
        </is>
      </c>
      <c r="S222" s="18" t="inlineStr">
        <is>
          <t>cobbleventure:generation_2</t>
        </is>
      </c>
      <c r="T222" s="18">
        <f>IF(M222=0,"없음",IF(N222=0,"전부 제외","사용"))</f>
        <v/>
      </c>
      <c r="U222" s="18" t="inlineStr"/>
    </row>
    <row r="223" ht="30" customHeight="1">
      <c r="A223" s="18" t="n">
        <v>219</v>
      </c>
      <c r="B223" s="18" t="inlineStr">
        <is>
          <t>마그카르고</t>
        </is>
      </c>
      <c r="C223" s="18" t="inlineStr">
        <is>
          <t>magcargo</t>
        </is>
      </c>
      <c r="D223" s="18" t="inlineStr">
        <is>
          <t>Magcargo</t>
        </is>
      </c>
      <c r="E223" s="18" t="n">
        <v>2</v>
      </c>
      <c r="F223" s="18" t="inlineStr">
        <is>
          <t>generation2</t>
        </is>
      </c>
      <c r="G223" s="18" t="inlineStr">
        <is>
          <t>fire</t>
        </is>
      </c>
      <c r="H223" s="18" t="inlineStr">
        <is>
          <t>rock</t>
        </is>
      </c>
      <c r="I223" s="18" t="inlineStr">
        <is>
          <t>예</t>
        </is>
      </c>
      <c r="J223" s="18" t="inlineStr">
        <is>
          <t>예</t>
        </is>
      </c>
      <c r="K223" s="18" t="inlineStr">
        <is>
          <t>예</t>
        </is>
      </c>
      <c r="L223" s="18" t="inlineStr">
        <is>
          <t>Cobblemon 동일</t>
        </is>
      </c>
      <c r="M223" s="18">
        <f>COUNTIF('스폰_편집'!$D$5:$D$3125,A223)</f>
        <v/>
      </c>
      <c r="N223" s="18">
        <f>COUNTIFS('스폰_편집'!$D$5:$D$3125,A223,'스폰_편집'!$B$5:$B$3125,"사용")</f>
        <v/>
      </c>
      <c r="O223" s="18" t="n">
        <v>5</v>
      </c>
      <c r="P223" s="18" t="inlineStr">
        <is>
          <t>#cobblemon:is_overworld; #cobblemon:is_volcanic; #cobblemon:nether/is_basalt; #cobblemon:nether/is_wasteland; #minecraft:is_nether</t>
        </is>
      </c>
      <c r="Q223" s="18" t="inlineStr">
        <is>
          <t>common</t>
        </is>
      </c>
      <c r="R223" s="18" t="inlineStr">
        <is>
          <t>region_01; region_02</t>
        </is>
      </c>
      <c r="S223" s="18" t="inlineStr">
        <is>
          <t>cobbleventure:generation_2</t>
        </is>
      </c>
      <c r="T223" s="18">
        <f>IF(M223=0,"없음",IF(N223=0,"전부 제외","사용"))</f>
        <v/>
      </c>
      <c r="U223" s="18" t="inlineStr"/>
    </row>
    <row r="224" ht="30" customHeight="1">
      <c r="A224" s="18" t="n">
        <v>220</v>
      </c>
      <c r="B224" s="18" t="inlineStr">
        <is>
          <t>꾸꾸리</t>
        </is>
      </c>
      <c r="C224" s="18" t="inlineStr">
        <is>
          <t>swinub</t>
        </is>
      </c>
      <c r="D224" s="18" t="inlineStr">
        <is>
          <t>Swinub</t>
        </is>
      </c>
      <c r="E224" s="18" t="n">
        <v>2</v>
      </c>
      <c r="F224" s="18" t="inlineStr">
        <is>
          <t>generation2</t>
        </is>
      </c>
      <c r="G224" s="18" t="inlineStr">
        <is>
          <t>ice</t>
        </is>
      </c>
      <c r="H224" s="18" t="inlineStr">
        <is>
          <t>ground</t>
        </is>
      </c>
      <c r="I224" s="18" t="inlineStr">
        <is>
          <t>예</t>
        </is>
      </c>
      <c r="J224" s="18" t="inlineStr">
        <is>
          <t>예</t>
        </is>
      </c>
      <c r="K224" s="18" t="inlineStr">
        <is>
          <t>예</t>
        </is>
      </c>
      <c r="L224" s="18" t="inlineStr">
        <is>
          <t>Cobblemon 동일</t>
        </is>
      </c>
      <c r="M224" s="18">
        <f>COUNTIF('스폰_편집'!$D$5:$D$3125,A224)</f>
        <v/>
      </c>
      <c r="N224" s="18">
        <f>COUNTIFS('스폰_편집'!$D$5:$D$3125,A224,'스폰_편집'!$B$5:$B$3125,"사용")</f>
        <v/>
      </c>
      <c r="O224" s="18" t="n">
        <v>1</v>
      </c>
      <c r="P224" s="18" t="inlineStr">
        <is>
          <t>#cobblemon:is_tundra</t>
        </is>
      </c>
      <c r="Q224" s="18" t="inlineStr">
        <is>
          <t>common</t>
        </is>
      </c>
      <c r="R224" s="18" t="inlineStr"/>
      <c r="S224" s="18" t="inlineStr">
        <is>
          <t>cobbleventure:generation_2</t>
        </is>
      </c>
      <c r="T224" s="18">
        <f>IF(M224=0,"없음",IF(N224=0,"전부 제외","사용"))</f>
        <v/>
      </c>
      <c r="U224" s="18" t="inlineStr"/>
    </row>
    <row r="225" ht="30" customHeight="1">
      <c r="A225" s="18" t="n">
        <v>221</v>
      </c>
      <c r="B225" s="18" t="inlineStr">
        <is>
          <t>메꾸리</t>
        </is>
      </c>
      <c r="C225" s="18" t="inlineStr">
        <is>
          <t>piloswine</t>
        </is>
      </c>
      <c r="D225" s="18" t="inlineStr">
        <is>
          <t>Piloswine</t>
        </is>
      </c>
      <c r="E225" s="18" t="n">
        <v>2</v>
      </c>
      <c r="F225" s="18" t="inlineStr">
        <is>
          <t>generation2</t>
        </is>
      </c>
      <c r="G225" s="18" t="inlineStr">
        <is>
          <t>ice</t>
        </is>
      </c>
      <c r="H225" s="18" t="inlineStr">
        <is>
          <t>ground</t>
        </is>
      </c>
      <c r="I225" s="18" t="inlineStr">
        <is>
          <t>예</t>
        </is>
      </c>
      <c r="J225" s="18" t="inlineStr">
        <is>
          <t>예</t>
        </is>
      </c>
      <c r="K225" s="18" t="inlineStr">
        <is>
          <t>예</t>
        </is>
      </c>
      <c r="L225" s="18" t="inlineStr">
        <is>
          <t>Cobblemon 동일</t>
        </is>
      </c>
      <c r="M225" s="18">
        <f>COUNTIF('스폰_편집'!$D$5:$D$3125,A225)</f>
        <v/>
      </c>
      <c r="N225" s="18">
        <f>COUNTIFS('스폰_편집'!$D$5:$D$3125,A225,'스폰_편집'!$B$5:$B$3125,"사용")</f>
        <v/>
      </c>
      <c r="O225" s="18" t="n">
        <v>1</v>
      </c>
      <c r="P225" s="18" t="inlineStr">
        <is>
          <t>#cobblemon:is_tundra</t>
        </is>
      </c>
      <c r="Q225" s="18" t="inlineStr">
        <is>
          <t>common</t>
        </is>
      </c>
      <c r="R225" s="18" t="inlineStr"/>
      <c r="S225" s="18" t="inlineStr">
        <is>
          <t>cobbleventure:generation_2</t>
        </is>
      </c>
      <c r="T225" s="18">
        <f>IF(M225=0,"없음",IF(N225=0,"전부 제외","사용"))</f>
        <v/>
      </c>
      <c r="U225" s="18" t="inlineStr"/>
    </row>
    <row r="226" ht="30" customHeight="1">
      <c r="A226" s="18" t="n">
        <v>222</v>
      </c>
      <c r="B226" s="18" t="inlineStr">
        <is>
          <t>코산호</t>
        </is>
      </c>
      <c r="C226" s="18" t="inlineStr">
        <is>
          <t>corsola</t>
        </is>
      </c>
      <c r="D226" s="18" t="inlineStr">
        <is>
          <t>Corsola</t>
        </is>
      </c>
      <c r="E226" s="18" t="n">
        <v>2</v>
      </c>
      <c r="F226" s="18" t="inlineStr">
        <is>
          <t>generation2</t>
        </is>
      </c>
      <c r="G226" s="18" t="inlineStr">
        <is>
          <t>water</t>
        </is>
      </c>
      <c r="H226" s="18" t="inlineStr">
        <is>
          <t>rock</t>
        </is>
      </c>
      <c r="I226" s="18" t="inlineStr">
        <is>
          <t>예</t>
        </is>
      </c>
      <c r="J226" s="18" t="inlineStr">
        <is>
          <t>예</t>
        </is>
      </c>
      <c r="K226" s="18" t="inlineStr">
        <is>
          <t>예</t>
        </is>
      </c>
      <c r="L226" s="18" t="inlineStr">
        <is>
          <t>COBBLEVERSE 수정</t>
        </is>
      </c>
      <c r="M226" s="18">
        <f>COUNTIF('스폰_편집'!$D$5:$D$3125,A226)</f>
        <v/>
      </c>
      <c r="N226" s="18">
        <f>COUNTIFS('스폰_편집'!$D$5:$D$3125,A226,'스폰_편집'!$B$5:$B$3125,"사용")</f>
        <v/>
      </c>
      <c r="O226" s="18" t="n">
        <v>6</v>
      </c>
      <c r="P226" s="18" t="inlineStr">
        <is>
          <t>#cobblemon:is_beach; #cobblemon:is_overworld; #cobblemon:is_warm_ocean; #cobblemon:nether/is_quartz; byg:warped_desert; is_warm_ocean</t>
        </is>
      </c>
      <c r="Q226" s="18" t="inlineStr">
        <is>
          <t>common; uncommon</t>
        </is>
      </c>
      <c r="R226" s="18" t="inlineStr">
        <is>
          <t>region_01; region_02</t>
        </is>
      </c>
      <c r="S226" s="18" t="inlineStr">
        <is>
          <t>cobbleventure:generation_2</t>
        </is>
      </c>
      <c r="T226" s="18">
        <f>IF(M226=0,"없음",IF(N226=0,"전부 제외","사용"))</f>
        <v/>
      </c>
      <c r="U226" s="18" t="inlineStr"/>
    </row>
    <row r="227" ht="30" customHeight="1">
      <c r="A227" s="18" t="n">
        <v>223</v>
      </c>
      <c r="B227" s="18" t="inlineStr">
        <is>
          <t>총어</t>
        </is>
      </c>
      <c r="C227" s="18" t="inlineStr">
        <is>
          <t>remoraid</t>
        </is>
      </c>
      <c r="D227" s="18" t="inlineStr">
        <is>
          <t>Remoraid</t>
        </is>
      </c>
      <c r="E227" s="18" t="n">
        <v>2</v>
      </c>
      <c r="F227" s="18" t="inlineStr">
        <is>
          <t>generation2</t>
        </is>
      </c>
      <c r="G227" s="18" t="inlineStr">
        <is>
          <t>water</t>
        </is>
      </c>
      <c r="H227" s="18" t="inlineStr"/>
      <c r="I227" s="18" t="inlineStr">
        <is>
          <t>예</t>
        </is>
      </c>
      <c r="J227" s="18" t="inlineStr">
        <is>
          <t>예</t>
        </is>
      </c>
      <c r="K227" s="18" t="inlineStr">
        <is>
          <t>예</t>
        </is>
      </c>
      <c r="L227" s="18" t="inlineStr">
        <is>
          <t>COBBLEVERSE 수정</t>
        </is>
      </c>
      <c r="M227" s="18">
        <f>COUNTIF('스폰_편집'!$D$5:$D$3125,A227)</f>
        <v/>
      </c>
      <c r="N227" s="18">
        <f>COUNTIFS('스폰_편집'!$D$5:$D$3125,A227,'스폰_편집'!$B$5:$B$3125,"사용")</f>
        <v/>
      </c>
      <c r="O227" s="18" t="n">
        <v>2</v>
      </c>
      <c r="P227" s="18" t="inlineStr">
        <is>
          <t>#cobblemon:is_ocean; #cobblemon:is_overworld</t>
        </is>
      </c>
      <c r="Q227" s="18" t="inlineStr">
        <is>
          <t>common</t>
        </is>
      </c>
      <c r="R227" s="18" t="inlineStr">
        <is>
          <t>region_01; region_02</t>
        </is>
      </c>
      <c r="S227" s="18" t="inlineStr">
        <is>
          <t>cobbleventure:generation_2</t>
        </is>
      </c>
      <c r="T227" s="18">
        <f>IF(M227=0,"없음",IF(N227=0,"전부 제외","사용"))</f>
        <v/>
      </c>
      <c r="U227" s="18" t="inlineStr"/>
    </row>
    <row r="228" ht="30" customHeight="1">
      <c r="A228" s="18" t="n">
        <v>224</v>
      </c>
      <c r="B228" s="18" t="inlineStr">
        <is>
          <t>대포무노</t>
        </is>
      </c>
      <c r="C228" s="18" t="inlineStr">
        <is>
          <t>octillery</t>
        </is>
      </c>
      <c r="D228" s="18" t="inlineStr">
        <is>
          <t>Octillery</t>
        </is>
      </c>
      <c r="E228" s="18" t="n">
        <v>2</v>
      </c>
      <c r="F228" s="18" t="inlineStr">
        <is>
          <t>generation2</t>
        </is>
      </c>
      <c r="G228" s="18" t="inlineStr">
        <is>
          <t>water</t>
        </is>
      </c>
      <c r="H228" s="18" t="inlineStr"/>
      <c r="I228" s="18" t="inlineStr">
        <is>
          <t>예</t>
        </is>
      </c>
      <c r="J228" s="18" t="inlineStr">
        <is>
          <t>예</t>
        </is>
      </c>
      <c r="K228" s="18" t="inlineStr">
        <is>
          <t>예</t>
        </is>
      </c>
      <c r="L228" s="18" t="inlineStr">
        <is>
          <t>Cobblemon 동일</t>
        </is>
      </c>
      <c r="M228" s="18">
        <f>COUNTIF('스폰_편집'!$D$5:$D$3125,A228)</f>
        <v/>
      </c>
      <c r="N228" s="18">
        <f>COUNTIFS('스폰_편집'!$D$5:$D$3125,A228,'스폰_편집'!$B$5:$B$3125,"사용")</f>
        <v/>
      </c>
      <c r="O228" s="18" t="n">
        <v>2</v>
      </c>
      <c r="P228" s="18" t="inlineStr">
        <is>
          <t>#cobblemon:is_ocean; #cobblemon:is_overworld</t>
        </is>
      </c>
      <c r="Q228" s="18" t="inlineStr">
        <is>
          <t>common</t>
        </is>
      </c>
      <c r="R228" s="18" t="inlineStr">
        <is>
          <t>region_01; region_02</t>
        </is>
      </c>
      <c r="S228" s="18" t="inlineStr">
        <is>
          <t>cobbleventure:generation_2</t>
        </is>
      </c>
      <c r="T228" s="18">
        <f>IF(M228=0,"없음",IF(N228=0,"전부 제외","사용"))</f>
        <v/>
      </c>
      <c r="U228" s="18" t="inlineStr"/>
    </row>
    <row r="229" ht="30" customHeight="1">
      <c r="A229" s="18" t="n">
        <v>225</v>
      </c>
      <c r="B229" s="18" t="inlineStr">
        <is>
          <t>딜리버드</t>
        </is>
      </c>
      <c r="C229" s="18" t="inlineStr">
        <is>
          <t>delibird</t>
        </is>
      </c>
      <c r="D229" s="18" t="inlineStr">
        <is>
          <t>Delibird</t>
        </is>
      </c>
      <c r="E229" s="18" t="n">
        <v>2</v>
      </c>
      <c r="F229" s="18" t="inlineStr">
        <is>
          <t>generation2</t>
        </is>
      </c>
      <c r="G229" s="18" t="inlineStr">
        <is>
          <t>ice</t>
        </is>
      </c>
      <c r="H229" s="18" t="inlineStr">
        <is>
          <t>flying</t>
        </is>
      </c>
      <c r="I229" s="18" t="inlineStr">
        <is>
          <t>예</t>
        </is>
      </c>
      <c r="J229" s="18" t="inlineStr">
        <is>
          <t>예</t>
        </is>
      </c>
      <c r="K229" s="18" t="inlineStr">
        <is>
          <t>예</t>
        </is>
      </c>
      <c r="L229" s="18" t="inlineStr">
        <is>
          <t>COBBLEVERSE 수정</t>
        </is>
      </c>
      <c r="M229" s="18">
        <f>COUNTIF('스폰_편집'!$D$5:$D$3125,A229)</f>
        <v/>
      </c>
      <c r="N229" s="18">
        <f>COUNTIFS('스폰_편집'!$D$5:$D$3125,A229,'스폰_편집'!$B$5:$B$3125,"사용")</f>
        <v/>
      </c>
      <c r="O229" s="18" t="n">
        <v>2</v>
      </c>
      <c r="P229" s="18" t="inlineStr">
        <is>
          <t>#aether:is_aether; #cobblemon:is_peak</t>
        </is>
      </c>
      <c r="Q229" s="18" t="inlineStr">
        <is>
          <t>common; uncommon</t>
        </is>
      </c>
      <c r="R229" s="18" t="inlineStr"/>
      <c r="S229" s="18" t="inlineStr">
        <is>
          <t>cobbleventure:generation_2</t>
        </is>
      </c>
      <c r="T229" s="18">
        <f>IF(M229=0,"없음",IF(N229=0,"전부 제외","사용"))</f>
        <v/>
      </c>
      <c r="U229" s="18" t="inlineStr"/>
    </row>
    <row r="230" ht="30" customHeight="1">
      <c r="A230" s="18" t="n">
        <v>226</v>
      </c>
      <c r="B230" s="18" t="inlineStr">
        <is>
          <t>만타인</t>
        </is>
      </c>
      <c r="C230" s="18" t="inlineStr">
        <is>
          <t>mantine</t>
        </is>
      </c>
      <c r="D230" s="18" t="inlineStr">
        <is>
          <t>Mantine</t>
        </is>
      </c>
      <c r="E230" s="18" t="n">
        <v>2</v>
      </c>
      <c r="F230" s="18" t="inlineStr">
        <is>
          <t>generation2</t>
        </is>
      </c>
      <c r="G230" s="18" t="inlineStr">
        <is>
          <t>water</t>
        </is>
      </c>
      <c r="H230" s="18" t="inlineStr">
        <is>
          <t>flying</t>
        </is>
      </c>
      <c r="I230" s="18" t="inlineStr">
        <is>
          <t>예</t>
        </is>
      </c>
      <c r="J230" s="18" t="inlineStr">
        <is>
          <t>예</t>
        </is>
      </c>
      <c r="K230" s="18" t="inlineStr">
        <is>
          <t>예</t>
        </is>
      </c>
      <c r="L230" s="18" t="inlineStr">
        <is>
          <t>Cobblemon 동일</t>
        </is>
      </c>
      <c r="M230" s="18">
        <f>COUNTIF('스폰_편집'!$D$5:$D$3125,A230)</f>
        <v/>
      </c>
      <c r="N230" s="18">
        <f>COUNTIFS('스폰_편집'!$D$5:$D$3125,A230,'스폰_편집'!$B$5:$B$3125,"사용")</f>
        <v/>
      </c>
      <c r="O230" s="18" t="n">
        <v>3</v>
      </c>
      <c r="P230" s="18" t="inlineStr">
        <is>
          <t>#cobblemon:is_lukewarm_ocean; #cobblemon:is_ocean; #cobblemon:is_warm_ocean</t>
        </is>
      </c>
      <c r="Q230" s="18" t="inlineStr">
        <is>
          <t>common; uncommon</t>
        </is>
      </c>
      <c r="R230" s="18" t="inlineStr"/>
      <c r="S230" s="18" t="inlineStr">
        <is>
          <t>cobbleventure:generation_2</t>
        </is>
      </c>
      <c r="T230" s="18">
        <f>IF(M230=0,"없음",IF(N230=0,"전부 제외","사용"))</f>
        <v/>
      </c>
      <c r="U230" s="18" t="inlineStr"/>
    </row>
    <row r="231" ht="30" customHeight="1">
      <c r="A231" s="18" t="n">
        <v>227</v>
      </c>
      <c r="B231" s="18" t="inlineStr">
        <is>
          <t>무장조</t>
        </is>
      </c>
      <c r="C231" s="18" t="inlineStr">
        <is>
          <t>skarmory</t>
        </is>
      </c>
      <c r="D231" s="18" t="inlineStr">
        <is>
          <t>Skarmory</t>
        </is>
      </c>
      <c r="E231" s="18" t="n">
        <v>2</v>
      </c>
      <c r="F231" s="18" t="inlineStr">
        <is>
          <t>generation2</t>
        </is>
      </c>
      <c r="G231" s="18" t="inlineStr">
        <is>
          <t>steel</t>
        </is>
      </c>
      <c r="H231" s="18" t="inlineStr">
        <is>
          <t>flying</t>
        </is>
      </c>
      <c r="I231" s="18" t="inlineStr">
        <is>
          <t>예</t>
        </is>
      </c>
      <c r="J231" s="18" t="inlineStr">
        <is>
          <t>예</t>
        </is>
      </c>
      <c r="K231" s="18" t="inlineStr">
        <is>
          <t>예</t>
        </is>
      </c>
      <c r="L231" s="18" t="inlineStr">
        <is>
          <t>Cobblemon 동일</t>
        </is>
      </c>
      <c r="M231" s="18">
        <f>COUNTIF('스폰_편집'!$D$5:$D$3125,A231)</f>
        <v/>
      </c>
      <c r="N231" s="18">
        <f>COUNTIFS('스폰_편집'!$D$5:$D$3125,A231,'스폰_편집'!$B$5:$B$3125,"사용")</f>
        <v/>
      </c>
      <c r="O231" s="18" t="n">
        <v>3</v>
      </c>
      <c r="P231" s="18" t="inlineStr">
        <is>
          <t>#cobblemon:is_badlands; #cobblemon:is_desert; #cobblemon:is_sky</t>
        </is>
      </c>
      <c r="Q231" s="18" t="inlineStr">
        <is>
          <t>rare</t>
        </is>
      </c>
      <c r="R231" s="18" t="inlineStr">
        <is>
          <t>region_02</t>
        </is>
      </c>
      <c r="S231" s="18" t="inlineStr">
        <is>
          <t>cobbleventure:generation_2</t>
        </is>
      </c>
      <c r="T231" s="18">
        <f>IF(M231=0,"없음",IF(N231=0,"전부 제외","사용"))</f>
        <v/>
      </c>
      <c r="U231" s="18" t="inlineStr"/>
    </row>
    <row r="232" ht="30" customHeight="1">
      <c r="A232" s="18" t="n">
        <v>228</v>
      </c>
      <c r="B232" s="18" t="inlineStr">
        <is>
          <t>델빌</t>
        </is>
      </c>
      <c r="C232" s="18" t="inlineStr">
        <is>
          <t>houndour</t>
        </is>
      </c>
      <c r="D232" s="18" t="inlineStr">
        <is>
          <t>Houndour</t>
        </is>
      </c>
      <c r="E232" s="18" t="n">
        <v>2</v>
      </c>
      <c r="F232" s="18" t="inlineStr">
        <is>
          <t>generation2</t>
        </is>
      </c>
      <c r="G232" s="18" t="inlineStr">
        <is>
          <t>dark</t>
        </is>
      </c>
      <c r="H232" s="18" t="inlineStr">
        <is>
          <t>fire</t>
        </is>
      </c>
      <c r="I232" s="18" t="inlineStr">
        <is>
          <t>예</t>
        </is>
      </c>
      <c r="J232" s="18" t="inlineStr">
        <is>
          <t>예</t>
        </is>
      </c>
      <c r="K232" s="18" t="inlineStr">
        <is>
          <t>예</t>
        </is>
      </c>
      <c r="L232" s="18" t="inlineStr">
        <is>
          <t>Cobblemon 동일</t>
        </is>
      </c>
      <c r="M232" s="18">
        <f>COUNTIF('스폰_편집'!$D$5:$D$3125,A232)</f>
        <v/>
      </c>
      <c r="N232" s="18">
        <f>COUNTIFS('스폰_편집'!$D$5:$D$3125,A232,'스폰_편집'!$B$5:$B$3125,"사용")</f>
        <v/>
      </c>
      <c r="O232" s="18" t="n">
        <v>3</v>
      </c>
      <c r="P232" s="18" t="inlineStr">
        <is>
          <t>#cobblemon:is_badlands; #cobblemon:is_overworld; #minecraft:is_nether</t>
        </is>
      </c>
      <c r="Q232" s="18" t="inlineStr">
        <is>
          <t>common; uncommon</t>
        </is>
      </c>
      <c r="R232" s="18" t="inlineStr">
        <is>
          <t>region_01; region_02</t>
        </is>
      </c>
      <c r="S232" s="18" t="inlineStr">
        <is>
          <t>cobbleventure:generation_2</t>
        </is>
      </c>
      <c r="T232" s="18">
        <f>IF(M232=0,"없음",IF(N232=0,"전부 제외","사용"))</f>
        <v/>
      </c>
      <c r="U232" s="18" t="inlineStr"/>
    </row>
    <row r="233" ht="30" customHeight="1">
      <c r="A233" s="18" t="n">
        <v>229</v>
      </c>
      <c r="B233" s="18" t="inlineStr">
        <is>
          <t>헬가</t>
        </is>
      </c>
      <c r="C233" s="18" t="inlineStr">
        <is>
          <t>houndoom</t>
        </is>
      </c>
      <c r="D233" s="18" t="inlineStr">
        <is>
          <t>Houndoom</t>
        </is>
      </c>
      <c r="E233" s="18" t="n">
        <v>2</v>
      </c>
      <c r="F233" s="18" t="inlineStr">
        <is>
          <t>generation2</t>
        </is>
      </c>
      <c r="G233" s="18" t="inlineStr">
        <is>
          <t>dark</t>
        </is>
      </c>
      <c r="H233" s="18" t="inlineStr">
        <is>
          <t>fire</t>
        </is>
      </c>
      <c r="I233" s="18" t="inlineStr">
        <is>
          <t>예</t>
        </is>
      </c>
      <c r="J233" s="18" t="inlineStr">
        <is>
          <t>예</t>
        </is>
      </c>
      <c r="K233" s="18" t="inlineStr">
        <is>
          <t>예</t>
        </is>
      </c>
      <c r="L233" s="18" t="inlineStr">
        <is>
          <t>Cobblemon 동일</t>
        </is>
      </c>
      <c r="M233" s="18">
        <f>COUNTIF('스폰_편집'!$D$5:$D$3125,A233)</f>
        <v/>
      </c>
      <c r="N233" s="18">
        <f>COUNTIFS('스폰_편집'!$D$5:$D$3125,A233,'스폰_편집'!$B$5:$B$3125,"사용")</f>
        <v/>
      </c>
      <c r="O233" s="18" t="n">
        <v>3</v>
      </c>
      <c r="P233" s="18" t="inlineStr">
        <is>
          <t>#cobblemon:is_badlands; #cobblemon:is_overworld; #minecraft:is_nether</t>
        </is>
      </c>
      <c r="Q233" s="18" t="inlineStr">
        <is>
          <t>common; uncommon</t>
        </is>
      </c>
      <c r="R233" s="18" t="inlineStr">
        <is>
          <t>region_01; region_02</t>
        </is>
      </c>
      <c r="S233" s="18" t="inlineStr">
        <is>
          <t>cobbleventure:generation_2</t>
        </is>
      </c>
      <c r="T233" s="18">
        <f>IF(M233=0,"없음",IF(N233=0,"전부 제외","사용"))</f>
        <v/>
      </c>
      <c r="U233" s="18" t="inlineStr"/>
    </row>
    <row r="234" ht="30" customHeight="1">
      <c r="A234" s="18" t="n">
        <v>230</v>
      </c>
      <c r="B234" s="18" t="inlineStr">
        <is>
          <t>킹드라</t>
        </is>
      </c>
      <c r="C234" s="18" t="inlineStr">
        <is>
          <t>kingdra</t>
        </is>
      </c>
      <c r="D234" s="18" t="inlineStr">
        <is>
          <t>Kingdra</t>
        </is>
      </c>
      <c r="E234" s="18" t="n">
        <v>2</v>
      </c>
      <c r="F234" s="18" t="inlineStr">
        <is>
          <t>generation2</t>
        </is>
      </c>
      <c r="G234" s="18" t="inlineStr">
        <is>
          <t>water</t>
        </is>
      </c>
      <c r="H234" s="18" t="inlineStr">
        <is>
          <t>dragon</t>
        </is>
      </c>
      <c r="I234" s="18" t="inlineStr">
        <is>
          <t>예</t>
        </is>
      </c>
      <c r="J234" s="18" t="inlineStr">
        <is>
          <t>예</t>
        </is>
      </c>
      <c r="K234" s="18" t="inlineStr">
        <is>
          <t>예</t>
        </is>
      </c>
      <c r="L234" s="18" t="inlineStr">
        <is>
          <t>Cobblemon 동일</t>
        </is>
      </c>
      <c r="M234" s="18">
        <f>COUNTIF('스폰_편집'!$D$5:$D$3125,A234)</f>
        <v/>
      </c>
      <c r="N234" s="18">
        <f>COUNTIFS('스폰_편집'!$D$5:$D$3125,A234,'스폰_편집'!$B$5:$B$3125,"사용")</f>
        <v/>
      </c>
      <c r="O234" s="18" t="n">
        <v>4</v>
      </c>
      <c r="P234" s="18" t="inlineStr">
        <is>
          <t>#cobblemon:is_lukewarm_ocean; #cobblemon:is_ocean; #cobblemon:is_overworld; #cobblemon:is_warm_ocean</t>
        </is>
      </c>
      <c r="Q234" s="18" t="inlineStr">
        <is>
          <t>common</t>
        </is>
      </c>
      <c r="R234" s="18" t="inlineStr">
        <is>
          <t>region_01; region_02</t>
        </is>
      </c>
      <c r="S234" s="18" t="inlineStr">
        <is>
          <t>cobbleventure:generation_2</t>
        </is>
      </c>
      <c r="T234" s="18">
        <f>IF(M234=0,"없음",IF(N234=0,"전부 제외","사용"))</f>
        <v/>
      </c>
      <c r="U234" s="18" t="inlineStr"/>
    </row>
    <row r="235" ht="30" customHeight="1">
      <c r="A235" s="18" t="n">
        <v>231</v>
      </c>
      <c r="B235" s="18" t="inlineStr">
        <is>
          <t>코코리</t>
        </is>
      </c>
      <c r="C235" s="18" t="inlineStr">
        <is>
          <t>phanpy</t>
        </is>
      </c>
      <c r="D235" s="18" t="inlineStr">
        <is>
          <t>Phanpy</t>
        </is>
      </c>
      <c r="E235" s="18" t="n">
        <v>2</v>
      </c>
      <c r="F235" s="18" t="inlineStr">
        <is>
          <t>generation2</t>
        </is>
      </c>
      <c r="G235" s="18" t="inlineStr">
        <is>
          <t>ground</t>
        </is>
      </c>
      <c r="H235" s="18" t="inlineStr"/>
      <c r="I235" s="18" t="inlineStr">
        <is>
          <t>예</t>
        </is>
      </c>
      <c r="J235" s="18" t="inlineStr">
        <is>
          <t>예</t>
        </is>
      </c>
      <c r="K235" s="18" t="inlineStr">
        <is>
          <t>예</t>
        </is>
      </c>
      <c r="L235" s="18" t="inlineStr">
        <is>
          <t>COBBLEVERSE 수정</t>
        </is>
      </c>
      <c r="M235" s="18">
        <f>COUNTIF('스폰_편집'!$D$5:$D$3125,A235)</f>
        <v/>
      </c>
      <c r="N235" s="18">
        <f>COUNTIFS('스폰_편집'!$D$5:$D$3125,A235,'스폰_편집'!$B$5:$B$3125,"사용")</f>
        <v/>
      </c>
      <c r="O235" s="18" t="n">
        <v>2</v>
      </c>
      <c r="P235" s="18" t="inlineStr">
        <is>
          <t>#cobblemon:is_badlands; #cobblemon:is_savanna</t>
        </is>
      </c>
      <c r="Q235" s="18" t="inlineStr">
        <is>
          <t>common</t>
        </is>
      </c>
      <c r="R235" s="18" t="inlineStr"/>
      <c r="S235" s="18" t="inlineStr">
        <is>
          <t>cobbleventure:generation_2</t>
        </is>
      </c>
      <c r="T235" s="18">
        <f>IF(M235=0,"없음",IF(N235=0,"전부 제외","사용"))</f>
        <v/>
      </c>
      <c r="U235" s="18" t="inlineStr"/>
    </row>
    <row r="236" ht="30" customHeight="1">
      <c r="A236" s="18" t="n">
        <v>232</v>
      </c>
      <c r="B236" s="18" t="inlineStr">
        <is>
          <t>코리갑</t>
        </is>
      </c>
      <c r="C236" s="18" t="inlineStr">
        <is>
          <t>donphan</t>
        </is>
      </c>
      <c r="D236" s="18" t="inlineStr">
        <is>
          <t>Donphan</t>
        </is>
      </c>
      <c r="E236" s="18" t="n">
        <v>2</v>
      </c>
      <c r="F236" s="18" t="inlineStr">
        <is>
          <t>generation2</t>
        </is>
      </c>
      <c r="G236" s="18" t="inlineStr">
        <is>
          <t>ground</t>
        </is>
      </c>
      <c r="H236" s="18" t="inlineStr"/>
      <c r="I236" s="18" t="inlineStr">
        <is>
          <t>예</t>
        </is>
      </c>
      <c r="J236" s="18" t="inlineStr">
        <is>
          <t>예</t>
        </is>
      </c>
      <c r="K236" s="18" t="inlineStr">
        <is>
          <t>예</t>
        </is>
      </c>
      <c r="L236" s="18" t="inlineStr">
        <is>
          <t>Cobblemon 동일</t>
        </is>
      </c>
      <c r="M236" s="18">
        <f>COUNTIF('스폰_편집'!$D$5:$D$3125,A236)</f>
        <v/>
      </c>
      <c r="N236" s="18">
        <f>COUNTIFS('스폰_편집'!$D$5:$D$3125,A236,'스폰_편집'!$B$5:$B$3125,"사용")</f>
        <v/>
      </c>
      <c r="O236" s="18" t="n">
        <v>2</v>
      </c>
      <c r="P236" s="18" t="inlineStr">
        <is>
          <t>#cobblemon:is_badlands; #cobblemon:is_savanna</t>
        </is>
      </c>
      <c r="Q236" s="18" t="inlineStr">
        <is>
          <t>common</t>
        </is>
      </c>
      <c r="R236" s="18" t="inlineStr"/>
      <c r="S236" s="18" t="inlineStr">
        <is>
          <t>cobbleventure:generation_2</t>
        </is>
      </c>
      <c r="T236" s="18">
        <f>IF(M236=0,"없음",IF(N236=0,"전부 제외","사용"))</f>
        <v/>
      </c>
      <c r="U236" s="18" t="inlineStr"/>
    </row>
    <row r="237" ht="30" customHeight="1">
      <c r="A237" s="18" t="n">
        <v>233</v>
      </c>
      <c r="B237" s="18" t="inlineStr">
        <is>
          <t>폴리곤2</t>
        </is>
      </c>
      <c r="C237" s="18" t="inlineStr">
        <is>
          <t>porygon2</t>
        </is>
      </c>
      <c r="D237" s="18" t="inlineStr">
        <is>
          <t>Porygon2</t>
        </is>
      </c>
      <c r="E237" s="18" t="n">
        <v>2</v>
      </c>
      <c r="F237" s="18" t="inlineStr">
        <is>
          <t>generation2</t>
        </is>
      </c>
      <c r="G237" s="18" t="inlineStr">
        <is>
          <t>normal</t>
        </is>
      </c>
      <c r="H237" s="18" t="inlineStr"/>
      <c r="I237" s="18" t="inlineStr">
        <is>
          <t>예</t>
        </is>
      </c>
      <c r="J237" s="18" t="inlineStr">
        <is>
          <t>예</t>
        </is>
      </c>
      <c r="K237" s="18" t="inlineStr">
        <is>
          <t>예</t>
        </is>
      </c>
      <c r="L237" s="18" t="inlineStr">
        <is>
          <t>COBBLEVERSE 수정</t>
        </is>
      </c>
      <c r="M237" s="18">
        <f>COUNTIF('스폰_편집'!$D$5:$D$3125,A237)</f>
        <v/>
      </c>
      <c r="N237" s="18">
        <f>COUNTIFS('스폰_편집'!$D$5:$D$3125,A237,'스폰_편집'!$B$5:$B$3125,"사용")</f>
        <v/>
      </c>
      <c r="O237" s="18" t="n">
        <v>1</v>
      </c>
      <c r="P237" s="18" t="inlineStr">
        <is>
          <t>#cobblemon:end</t>
        </is>
      </c>
      <c r="Q237" s="18" t="inlineStr">
        <is>
          <t>uncommon</t>
        </is>
      </c>
      <c r="R237" s="18" t="inlineStr"/>
      <c r="S237" s="18" t="inlineStr">
        <is>
          <t>cobbleventure:generation_2</t>
        </is>
      </c>
      <c r="T237" s="18">
        <f>IF(M237=0,"없음",IF(N237=0,"전부 제외","사용"))</f>
        <v/>
      </c>
      <c r="U237" s="18" t="inlineStr"/>
    </row>
    <row r="238" ht="30" customHeight="1">
      <c r="A238" s="18" t="n">
        <v>234</v>
      </c>
      <c r="B238" s="18" t="inlineStr">
        <is>
          <t>노라키</t>
        </is>
      </c>
      <c r="C238" s="18" t="inlineStr">
        <is>
          <t>stantler</t>
        </is>
      </c>
      <c r="D238" s="18" t="inlineStr">
        <is>
          <t>Stantler</t>
        </is>
      </c>
      <c r="E238" s="18" t="n">
        <v>2</v>
      </c>
      <c r="F238" s="18" t="inlineStr">
        <is>
          <t>generation2</t>
        </is>
      </c>
      <c r="G238" s="18" t="inlineStr">
        <is>
          <t>normal</t>
        </is>
      </c>
      <c r="H238" s="18" t="inlineStr"/>
      <c r="I238" s="18" t="inlineStr">
        <is>
          <t>예</t>
        </is>
      </c>
      <c r="J238" s="18" t="inlineStr">
        <is>
          <t>예</t>
        </is>
      </c>
      <c r="K238" s="18" t="inlineStr">
        <is>
          <t>예</t>
        </is>
      </c>
      <c r="L238" s="18" t="inlineStr">
        <is>
          <t>Cobblemon 동일</t>
        </is>
      </c>
      <c r="M238" s="18">
        <f>COUNTIF('스폰_편집'!$D$5:$D$3125,A238)</f>
        <v/>
      </c>
      <c r="N238" s="18">
        <f>COUNTIFS('스폰_편집'!$D$5:$D$3125,A238,'스폰_편집'!$B$5:$B$3125,"사용")</f>
        <v/>
      </c>
      <c r="O238" s="18" t="n">
        <v>4</v>
      </c>
      <c r="P238" s="18" t="inlineStr">
        <is>
          <t>#aether:is_aether; #cobblemon:is_snowy_forest; #cobblemon:is_snowy_taiga; #cobblemon:is_tundra</t>
        </is>
      </c>
      <c r="Q238" s="18" t="inlineStr">
        <is>
          <t>common</t>
        </is>
      </c>
      <c r="R238" s="18" t="inlineStr"/>
      <c r="S238" s="18" t="inlineStr">
        <is>
          <t>cobbleventure:generation_2</t>
        </is>
      </c>
      <c r="T238" s="18">
        <f>IF(M238=0,"없음",IF(N238=0,"전부 제외","사용"))</f>
        <v/>
      </c>
      <c r="U238" s="18" t="inlineStr"/>
    </row>
    <row r="239" ht="30" customHeight="1">
      <c r="A239" s="18" t="n">
        <v>235</v>
      </c>
      <c r="B239" s="18" t="inlineStr">
        <is>
          <t>루브도</t>
        </is>
      </c>
      <c r="C239" s="18" t="inlineStr">
        <is>
          <t>smeargle</t>
        </is>
      </c>
      <c r="D239" s="18" t="inlineStr">
        <is>
          <t>Smeargle</t>
        </is>
      </c>
      <c r="E239" s="18" t="n">
        <v>2</v>
      </c>
      <c r="F239" s="18" t="inlineStr">
        <is>
          <t>generation2</t>
        </is>
      </c>
      <c r="G239" s="18" t="inlineStr">
        <is>
          <t>normal</t>
        </is>
      </c>
      <c r="H239" s="18" t="inlineStr"/>
      <c r="I239" s="18" t="inlineStr">
        <is>
          <t>예</t>
        </is>
      </c>
      <c r="J239" s="18" t="inlineStr">
        <is>
          <t>예</t>
        </is>
      </c>
      <c r="K239" s="18" t="inlineStr">
        <is>
          <t>예</t>
        </is>
      </c>
      <c r="L239" s="18" t="inlineStr">
        <is>
          <t>COBBLEVERSE 수정</t>
        </is>
      </c>
      <c r="M239" s="18">
        <f>COUNTIF('스폰_편집'!$D$5:$D$3125,A239)</f>
        <v/>
      </c>
      <c r="N239" s="18">
        <f>COUNTIFS('스폰_편집'!$D$5:$D$3125,A239,'스폰_편집'!$B$5:$B$3125,"사용")</f>
        <v/>
      </c>
      <c r="O239" s="18" t="n">
        <v>1</v>
      </c>
      <c r="P239" s="18" t="inlineStr">
        <is>
          <t>#cobblemon:is_overworld</t>
        </is>
      </c>
      <c r="Q239" s="18" t="inlineStr">
        <is>
          <t>common; rare</t>
        </is>
      </c>
      <c r="R239" s="18" t="inlineStr">
        <is>
          <t>region_01; region_02</t>
        </is>
      </c>
      <c r="S239" s="18" t="inlineStr">
        <is>
          <t>cobbleventure:generation_2</t>
        </is>
      </c>
      <c r="T239" s="18">
        <f>IF(M239=0,"없음",IF(N239=0,"전부 제외","사용"))</f>
        <v/>
      </c>
      <c r="U239" s="18" t="inlineStr"/>
    </row>
    <row r="240" ht="30" customHeight="1">
      <c r="A240" s="18" t="n">
        <v>236</v>
      </c>
      <c r="B240" s="18" t="inlineStr">
        <is>
          <t>배루키</t>
        </is>
      </c>
      <c r="C240" s="18" t="inlineStr">
        <is>
          <t>tyrogue</t>
        </is>
      </c>
      <c r="D240" s="18" t="inlineStr">
        <is>
          <t>Tyrogue</t>
        </is>
      </c>
      <c r="E240" s="18" t="n">
        <v>2</v>
      </c>
      <c r="F240" s="18" t="inlineStr">
        <is>
          <t>generation2</t>
        </is>
      </c>
      <c r="G240" s="18" t="inlineStr">
        <is>
          <t>fighting</t>
        </is>
      </c>
      <c r="H240" s="18" t="inlineStr"/>
      <c r="I240" s="18" t="inlineStr">
        <is>
          <t>예</t>
        </is>
      </c>
      <c r="J240" s="18" t="inlineStr">
        <is>
          <t>예</t>
        </is>
      </c>
      <c r="K240" s="18" t="inlineStr">
        <is>
          <t>예</t>
        </is>
      </c>
      <c r="L240" s="18" t="inlineStr">
        <is>
          <t>Cobblemon 동일</t>
        </is>
      </c>
      <c r="M240" s="18">
        <f>COUNTIF('스폰_편집'!$D$5:$D$3125,A240)</f>
        <v/>
      </c>
      <c r="N240" s="18">
        <f>COUNTIFS('스폰_편집'!$D$5:$D$3125,A240,'스폰_편집'!$B$5:$B$3125,"사용")</f>
        <v/>
      </c>
      <c r="O240" s="18" t="n">
        <v>1</v>
      </c>
      <c r="P240" s="18" t="inlineStr">
        <is>
          <t>#cobblemon:is_hills</t>
        </is>
      </c>
      <c r="Q240" s="18" t="inlineStr">
        <is>
          <t>uncommon</t>
        </is>
      </c>
      <c r="R240" s="18" t="inlineStr"/>
      <c r="S240" s="18" t="inlineStr">
        <is>
          <t>cobbleventure:generation_2</t>
        </is>
      </c>
      <c r="T240" s="18">
        <f>IF(M240=0,"없음",IF(N240=0,"전부 제외","사용"))</f>
        <v/>
      </c>
      <c r="U240" s="18" t="inlineStr"/>
    </row>
    <row r="241" ht="30" customHeight="1">
      <c r="A241" s="18" t="n">
        <v>237</v>
      </c>
      <c r="B241" s="18" t="inlineStr">
        <is>
          <t>카포에라</t>
        </is>
      </c>
      <c r="C241" s="18" t="inlineStr">
        <is>
          <t>hitmontop</t>
        </is>
      </c>
      <c r="D241" s="18" t="inlineStr">
        <is>
          <t>Hitmontop</t>
        </is>
      </c>
      <c r="E241" s="18" t="n">
        <v>2</v>
      </c>
      <c r="F241" s="18" t="inlineStr">
        <is>
          <t>generation2</t>
        </is>
      </c>
      <c r="G241" s="18" t="inlineStr">
        <is>
          <t>fighting</t>
        </is>
      </c>
      <c r="H241" s="18" t="inlineStr"/>
      <c r="I241" s="18" t="inlineStr">
        <is>
          <t>예</t>
        </is>
      </c>
      <c r="J241" s="18" t="inlineStr">
        <is>
          <t>예</t>
        </is>
      </c>
      <c r="K241" s="18" t="inlineStr">
        <is>
          <t>예</t>
        </is>
      </c>
      <c r="L241" s="18" t="inlineStr">
        <is>
          <t>Cobblemon 동일</t>
        </is>
      </c>
      <c r="M241" s="18">
        <f>COUNTIF('스폰_편집'!$D$5:$D$3125,A241)</f>
        <v/>
      </c>
      <c r="N241" s="18">
        <f>COUNTIFS('스폰_편집'!$D$5:$D$3125,A241,'스폰_편집'!$B$5:$B$3125,"사용")</f>
        <v/>
      </c>
      <c r="O241" s="18" t="n">
        <v>1</v>
      </c>
      <c r="P241" s="18" t="inlineStr">
        <is>
          <t>#cobblemon:is_hills</t>
        </is>
      </c>
      <c r="Q241" s="18" t="inlineStr">
        <is>
          <t>uncommon</t>
        </is>
      </c>
      <c r="R241" s="18" t="inlineStr"/>
      <c r="S241" s="18" t="inlineStr">
        <is>
          <t>cobbleventure:generation_2</t>
        </is>
      </c>
      <c r="T241" s="18">
        <f>IF(M241=0,"없음",IF(N241=0,"전부 제외","사용"))</f>
        <v/>
      </c>
      <c r="U241" s="18" t="inlineStr"/>
    </row>
    <row r="242" ht="30" customHeight="1">
      <c r="A242" s="18" t="n">
        <v>238</v>
      </c>
      <c r="B242" s="18" t="inlineStr">
        <is>
          <t>뽀뽀라</t>
        </is>
      </c>
      <c r="C242" s="18" t="inlineStr">
        <is>
          <t>smoochum</t>
        </is>
      </c>
      <c r="D242" s="18" t="inlineStr">
        <is>
          <t>Smoochum</t>
        </is>
      </c>
      <c r="E242" s="18" t="n">
        <v>2</v>
      </c>
      <c r="F242" s="18" t="inlineStr">
        <is>
          <t>generation2</t>
        </is>
      </c>
      <c r="G242" s="18" t="inlineStr">
        <is>
          <t>ice</t>
        </is>
      </c>
      <c r="H242" s="18" t="inlineStr">
        <is>
          <t>psychic</t>
        </is>
      </c>
      <c r="I242" s="18" t="inlineStr">
        <is>
          <t>예</t>
        </is>
      </c>
      <c r="J242" s="18" t="inlineStr">
        <is>
          <t>예</t>
        </is>
      </c>
      <c r="K242" s="18" t="inlineStr">
        <is>
          <t>예</t>
        </is>
      </c>
      <c r="L242" s="18" t="inlineStr">
        <is>
          <t>COBBLEVERSE 수정</t>
        </is>
      </c>
      <c r="M242" s="18">
        <f>COUNTIF('스폰_편집'!$D$5:$D$3125,A242)</f>
        <v/>
      </c>
      <c r="N242" s="18">
        <f>COUNTIFS('스폰_편집'!$D$5:$D$3125,A242,'스폰_편집'!$B$5:$B$3125,"사용")</f>
        <v/>
      </c>
      <c r="O242" s="18" t="n">
        <v>1</v>
      </c>
      <c r="P242" s="18" t="inlineStr">
        <is>
          <t>#cobblemon:is_freezing</t>
        </is>
      </c>
      <c r="Q242" s="18" t="inlineStr">
        <is>
          <t>uncommon</t>
        </is>
      </c>
      <c r="R242" s="18" t="inlineStr"/>
      <c r="S242" s="18" t="inlineStr">
        <is>
          <t>cobbleventure:generation_2</t>
        </is>
      </c>
      <c r="T242" s="18">
        <f>IF(M242=0,"없음",IF(N242=0,"전부 제외","사용"))</f>
        <v/>
      </c>
      <c r="U242" s="18" t="inlineStr"/>
    </row>
    <row r="243" ht="30" customHeight="1">
      <c r="A243" s="18" t="n">
        <v>239</v>
      </c>
      <c r="B243" s="18" t="inlineStr">
        <is>
          <t>에레키드</t>
        </is>
      </c>
      <c r="C243" s="18" t="inlineStr">
        <is>
          <t>elekid</t>
        </is>
      </c>
      <c r="D243" s="18" t="inlineStr">
        <is>
          <t>Elekid</t>
        </is>
      </c>
      <c r="E243" s="18" t="n">
        <v>2</v>
      </c>
      <c r="F243" s="18" t="inlineStr">
        <is>
          <t>generation2</t>
        </is>
      </c>
      <c r="G243" s="18" t="inlineStr">
        <is>
          <t>electric</t>
        </is>
      </c>
      <c r="H243" s="18" t="inlineStr"/>
      <c r="I243" s="18" t="inlineStr">
        <is>
          <t>예</t>
        </is>
      </c>
      <c r="J243" s="18" t="inlineStr">
        <is>
          <t>예</t>
        </is>
      </c>
      <c r="K243" s="18" t="inlineStr">
        <is>
          <t>예</t>
        </is>
      </c>
      <c r="L243" s="18" t="inlineStr">
        <is>
          <t>Cobblemon 동일</t>
        </is>
      </c>
      <c r="M243" s="18">
        <f>COUNTIF('스폰_편집'!$D$5:$D$3125,A243)</f>
        <v/>
      </c>
      <c r="N243" s="18">
        <f>COUNTIFS('스폰_편집'!$D$5:$D$3125,A243,'스폰_편집'!$B$5:$B$3125,"사용")</f>
        <v/>
      </c>
      <c r="O243" s="18" t="n">
        <v>2</v>
      </c>
      <c r="P243" s="18" t="inlineStr">
        <is>
          <t>#cobblemon:is_hills; #cobblemon:is_plains</t>
        </is>
      </c>
      <c r="Q243" s="18" t="inlineStr">
        <is>
          <t>uncommon</t>
        </is>
      </c>
      <c r="R243" s="18" t="inlineStr">
        <is>
          <t>region_01</t>
        </is>
      </c>
      <c r="S243" s="18" t="inlineStr">
        <is>
          <t>cobbleventure:generation_2</t>
        </is>
      </c>
      <c r="T243" s="18">
        <f>IF(M243=0,"없음",IF(N243=0,"전부 제외","사용"))</f>
        <v/>
      </c>
      <c r="U243" s="18" t="inlineStr"/>
    </row>
    <row r="244" ht="30" customHeight="1">
      <c r="A244" s="18" t="n">
        <v>240</v>
      </c>
      <c r="B244" s="18" t="inlineStr">
        <is>
          <t>마그비</t>
        </is>
      </c>
      <c r="C244" s="18" t="inlineStr">
        <is>
          <t>magby</t>
        </is>
      </c>
      <c r="D244" s="18" t="inlineStr">
        <is>
          <t>Magby</t>
        </is>
      </c>
      <c r="E244" s="18" t="n">
        <v>2</v>
      </c>
      <c r="F244" s="18" t="inlineStr">
        <is>
          <t>generation2</t>
        </is>
      </c>
      <c r="G244" s="18" t="inlineStr">
        <is>
          <t>fire</t>
        </is>
      </c>
      <c r="H244" s="18" t="inlineStr"/>
      <c r="I244" s="18" t="inlineStr">
        <is>
          <t>예</t>
        </is>
      </c>
      <c r="J244" s="18" t="inlineStr">
        <is>
          <t>예</t>
        </is>
      </c>
      <c r="K244" s="18" t="inlineStr">
        <is>
          <t>예</t>
        </is>
      </c>
      <c r="L244" s="18" t="inlineStr">
        <is>
          <t>Cobblemon 동일</t>
        </is>
      </c>
      <c r="M244" s="18">
        <f>COUNTIF('스폰_편집'!$D$5:$D$3125,A244)</f>
        <v/>
      </c>
      <c r="N244" s="18">
        <f>COUNTIFS('스폰_편집'!$D$5:$D$3125,A244,'스폰_편집'!$B$5:$B$3125,"사용")</f>
        <v/>
      </c>
      <c r="O244" s="18" t="n">
        <v>4</v>
      </c>
      <c r="P244" s="18" t="inlineStr">
        <is>
          <t>#cobblemon:is_hills; #cobblemon:is_volcanic; #cobblemon:nether/is_basalt; #cobblemon:nether/is_wasteland</t>
        </is>
      </c>
      <c r="Q244" s="18" t="inlineStr">
        <is>
          <t>common</t>
        </is>
      </c>
      <c r="R244" s="18" t="inlineStr"/>
      <c r="S244" s="18" t="inlineStr">
        <is>
          <t>cobbleventure:generation_2</t>
        </is>
      </c>
      <c r="T244" s="18">
        <f>IF(M244=0,"없음",IF(N244=0,"전부 제외","사용"))</f>
        <v/>
      </c>
      <c r="U244" s="18" t="inlineStr"/>
    </row>
    <row r="245" ht="30" customHeight="1">
      <c r="A245" s="18" t="n">
        <v>241</v>
      </c>
      <c r="B245" s="18" t="inlineStr">
        <is>
          <t>밀탱크</t>
        </is>
      </c>
      <c r="C245" s="18" t="inlineStr">
        <is>
          <t>miltank</t>
        </is>
      </c>
      <c r="D245" s="18" t="inlineStr">
        <is>
          <t>Miltank</t>
        </is>
      </c>
      <c r="E245" s="18" t="n">
        <v>2</v>
      </c>
      <c r="F245" s="18" t="inlineStr">
        <is>
          <t>generation2</t>
        </is>
      </c>
      <c r="G245" s="18" t="inlineStr">
        <is>
          <t>normal</t>
        </is>
      </c>
      <c r="H245" s="18" t="inlineStr"/>
      <c r="I245" s="18" t="inlineStr">
        <is>
          <t>예</t>
        </is>
      </c>
      <c r="J245" s="18" t="inlineStr">
        <is>
          <t>예</t>
        </is>
      </c>
      <c r="K245" s="18" t="inlineStr">
        <is>
          <t>예</t>
        </is>
      </c>
      <c r="L245" s="18" t="inlineStr">
        <is>
          <t>Cobblemon 동일</t>
        </is>
      </c>
      <c r="M245" s="18">
        <f>COUNTIF('스폰_편집'!$D$5:$D$3125,A245)</f>
        <v/>
      </c>
      <c r="N245" s="18">
        <f>COUNTIFS('스폰_편집'!$D$5:$D$3125,A245,'스폰_편집'!$B$5:$B$3125,"사용")</f>
        <v/>
      </c>
      <c r="O245" s="18" t="n">
        <v>2</v>
      </c>
      <c r="P245" s="18" t="inlineStr">
        <is>
          <t>#cobblemon:is_grassland; minecraft:mushroom_fields</t>
        </is>
      </c>
      <c r="Q245" s="18" t="inlineStr">
        <is>
          <t>common</t>
        </is>
      </c>
      <c r="R245" s="18" t="inlineStr">
        <is>
          <t>region_01</t>
        </is>
      </c>
      <c r="S245" s="18" t="inlineStr">
        <is>
          <t>cobbleventure:generation_2</t>
        </is>
      </c>
      <c r="T245" s="18">
        <f>IF(M245=0,"없음",IF(N245=0,"전부 제외","사용"))</f>
        <v/>
      </c>
      <c r="U245" s="18" t="inlineStr"/>
    </row>
    <row r="246" ht="30" customHeight="1">
      <c r="A246" s="18" t="n">
        <v>242</v>
      </c>
      <c r="B246" s="18" t="inlineStr">
        <is>
          <t>해피너스</t>
        </is>
      </c>
      <c r="C246" s="18" t="inlineStr">
        <is>
          <t>blissey</t>
        </is>
      </c>
      <c r="D246" s="18" t="inlineStr">
        <is>
          <t>Blissey</t>
        </is>
      </c>
      <c r="E246" s="18" t="n">
        <v>2</v>
      </c>
      <c r="F246" s="18" t="inlineStr">
        <is>
          <t>generation2</t>
        </is>
      </c>
      <c r="G246" s="18" t="inlineStr">
        <is>
          <t>normal</t>
        </is>
      </c>
      <c r="H246" s="18" t="inlineStr"/>
      <c r="I246" s="18" t="inlineStr">
        <is>
          <t>예</t>
        </is>
      </c>
      <c r="J246" s="18" t="inlineStr">
        <is>
          <t>예</t>
        </is>
      </c>
      <c r="K246" s="18" t="inlineStr">
        <is>
          <t>예</t>
        </is>
      </c>
      <c r="L246" s="18" t="inlineStr">
        <is>
          <t>COBBLEVERSE 수정</t>
        </is>
      </c>
      <c r="M246" s="18">
        <f>COUNTIF('스폰_편집'!$D$5:$D$3125,A246)</f>
        <v/>
      </c>
      <c r="N246" s="18">
        <f>COUNTIFS('스폰_편집'!$D$5:$D$3125,A246,'스폰_편집'!$B$5:$B$3125,"사용")</f>
        <v/>
      </c>
      <c r="O246" s="18" t="n">
        <v>2</v>
      </c>
      <c r="P246" s="18" t="inlineStr">
        <is>
          <t>#aether:is_aether; #cobblemon:is_overworld</t>
        </is>
      </c>
      <c r="Q246" s="18" t="inlineStr">
        <is>
          <t>rare</t>
        </is>
      </c>
      <c r="R246" s="18" t="inlineStr">
        <is>
          <t>region_01; region_02</t>
        </is>
      </c>
      <c r="S246" s="18" t="inlineStr">
        <is>
          <t>cobbleventure:generation_2</t>
        </is>
      </c>
      <c r="T246" s="18">
        <f>IF(M246=0,"없음",IF(N246=0,"전부 제외","사용"))</f>
        <v/>
      </c>
      <c r="U246" s="18" t="inlineStr"/>
    </row>
    <row r="247" ht="30" customHeight="1">
      <c r="A247" s="18" t="n">
        <v>243</v>
      </c>
      <c r="B247" s="18" t="inlineStr">
        <is>
          <t>라이코</t>
        </is>
      </c>
      <c r="C247" s="18" t="inlineStr">
        <is>
          <t>raikou</t>
        </is>
      </c>
      <c r="D247" s="18" t="inlineStr">
        <is>
          <t>Raikou</t>
        </is>
      </c>
      <c r="E247" s="18" t="n">
        <v>2</v>
      </c>
      <c r="F247" s="18" t="inlineStr">
        <is>
          <t>generation2</t>
        </is>
      </c>
      <c r="G247" s="18" t="inlineStr">
        <is>
          <t>electric</t>
        </is>
      </c>
      <c r="H247" s="18" t="inlineStr"/>
      <c r="I247" s="18" t="inlineStr">
        <is>
          <t>아니오</t>
        </is>
      </c>
      <c r="J247" s="18" t="inlineStr">
        <is>
          <t>아니오</t>
        </is>
      </c>
      <c r="K247" s="18" t="inlineStr">
        <is>
          <t>예</t>
        </is>
      </c>
      <c r="L247" s="18" t="inlineStr">
        <is>
          <t>COBBLEVERSE 추가</t>
        </is>
      </c>
      <c r="M247" s="18">
        <f>COUNTIF('스폰_편집'!$D$5:$D$3125,A247)</f>
        <v/>
      </c>
      <c r="N247" s="18">
        <f>COUNTIFS('스폰_편집'!$D$5:$D$3125,A247,'스폰_편집'!$B$5:$B$3125,"사용")</f>
        <v/>
      </c>
      <c r="O247" s="18" t="n">
        <v>0</v>
      </c>
      <c r="P247" s="18" t="inlineStr"/>
      <c r="Q247" s="18" t="inlineStr">
        <is>
          <t>ultra-rare</t>
        </is>
      </c>
      <c r="R247" s="18" t="inlineStr">
        <is>
          <t>region_01; region_02</t>
        </is>
      </c>
      <c r="S247" s="18" t="inlineStr">
        <is>
          <t>cobbleventure:generation_2</t>
        </is>
      </c>
      <c r="T247" s="18">
        <f>IF(M247=0,"없음",IF(N247=0,"전부 제외","사용"))</f>
        <v/>
      </c>
      <c r="U247" s="18" t="inlineStr"/>
    </row>
    <row r="248" ht="30" customHeight="1">
      <c r="A248" s="18" t="n">
        <v>244</v>
      </c>
      <c r="B248" s="18" t="inlineStr">
        <is>
          <t>앤테이</t>
        </is>
      </c>
      <c r="C248" s="18" t="inlineStr">
        <is>
          <t>entei</t>
        </is>
      </c>
      <c r="D248" s="18" t="inlineStr">
        <is>
          <t>Entei</t>
        </is>
      </c>
      <c r="E248" s="18" t="n">
        <v>2</v>
      </c>
      <c r="F248" s="18" t="inlineStr">
        <is>
          <t>generation2</t>
        </is>
      </c>
      <c r="G248" s="18" t="inlineStr">
        <is>
          <t>fire</t>
        </is>
      </c>
      <c r="H248" s="18" t="inlineStr"/>
      <c r="I248" s="18" t="inlineStr">
        <is>
          <t>아니오</t>
        </is>
      </c>
      <c r="J248" s="18" t="inlineStr">
        <is>
          <t>아니오</t>
        </is>
      </c>
      <c r="K248" s="18" t="inlineStr">
        <is>
          <t>예</t>
        </is>
      </c>
      <c r="L248" s="18" t="inlineStr">
        <is>
          <t>COBBLEVERSE 추가</t>
        </is>
      </c>
      <c r="M248" s="18">
        <f>COUNTIF('스폰_편집'!$D$5:$D$3125,A248)</f>
        <v/>
      </c>
      <c r="N248" s="18">
        <f>COUNTIFS('스폰_편집'!$D$5:$D$3125,A248,'스폰_편집'!$B$5:$B$3125,"사용")</f>
        <v/>
      </c>
      <c r="O248" s="18" t="n">
        <v>0</v>
      </c>
      <c r="P248" s="18" t="inlineStr"/>
      <c r="Q248" s="18" t="inlineStr">
        <is>
          <t>ultra-rare</t>
        </is>
      </c>
      <c r="R248" s="18" t="inlineStr">
        <is>
          <t>region_01; region_02</t>
        </is>
      </c>
      <c r="S248" s="18" t="inlineStr">
        <is>
          <t>cobbleventure:generation_2</t>
        </is>
      </c>
      <c r="T248" s="18">
        <f>IF(M248=0,"없음",IF(N248=0,"전부 제외","사용"))</f>
        <v/>
      </c>
      <c r="U248" s="18" t="inlineStr"/>
    </row>
    <row r="249" ht="30" customHeight="1">
      <c r="A249" s="18" t="n">
        <v>245</v>
      </c>
      <c r="B249" s="18" t="inlineStr">
        <is>
          <t>스이쿤</t>
        </is>
      </c>
      <c r="C249" s="18" t="inlineStr">
        <is>
          <t>suicune</t>
        </is>
      </c>
      <c r="D249" s="18" t="inlineStr">
        <is>
          <t>Suicune</t>
        </is>
      </c>
      <c r="E249" s="18" t="n">
        <v>2</v>
      </c>
      <c r="F249" s="18" t="inlineStr">
        <is>
          <t>generation2</t>
        </is>
      </c>
      <c r="G249" s="18" t="inlineStr">
        <is>
          <t>water</t>
        </is>
      </c>
      <c r="H249" s="18" t="inlineStr"/>
      <c r="I249" s="18" t="inlineStr">
        <is>
          <t>아니오</t>
        </is>
      </c>
      <c r="J249" s="18" t="inlineStr">
        <is>
          <t>아니오</t>
        </is>
      </c>
      <c r="K249" s="18" t="inlineStr">
        <is>
          <t>예</t>
        </is>
      </c>
      <c r="L249" s="18" t="inlineStr">
        <is>
          <t>COBBLEVERSE 추가</t>
        </is>
      </c>
      <c r="M249" s="18">
        <f>COUNTIF('스폰_편집'!$D$5:$D$3125,A249)</f>
        <v/>
      </c>
      <c r="N249" s="18">
        <f>COUNTIFS('스폰_편집'!$D$5:$D$3125,A249,'스폰_편집'!$B$5:$B$3125,"사용")</f>
        <v/>
      </c>
      <c r="O249" s="18" t="n">
        <v>0</v>
      </c>
      <c r="P249" s="18" t="inlineStr"/>
      <c r="Q249" s="18" t="inlineStr">
        <is>
          <t>ultra-rare</t>
        </is>
      </c>
      <c r="R249" s="18" t="inlineStr">
        <is>
          <t>region_01; region_02</t>
        </is>
      </c>
      <c r="S249" s="18" t="inlineStr">
        <is>
          <t>cobbleventure:generation_2</t>
        </is>
      </c>
      <c r="T249" s="18">
        <f>IF(M249=0,"없음",IF(N249=0,"전부 제외","사용"))</f>
        <v/>
      </c>
      <c r="U249" s="18" t="inlineStr"/>
    </row>
    <row r="250" ht="30" customHeight="1">
      <c r="A250" s="18" t="n">
        <v>246</v>
      </c>
      <c r="B250" s="18" t="inlineStr">
        <is>
          <t>애버라스</t>
        </is>
      </c>
      <c r="C250" s="18" t="inlineStr">
        <is>
          <t>larvitar</t>
        </is>
      </c>
      <c r="D250" s="18" t="inlineStr">
        <is>
          <t>Larvitar</t>
        </is>
      </c>
      <c r="E250" s="18" t="n">
        <v>2</v>
      </c>
      <c r="F250" s="18" t="inlineStr">
        <is>
          <t>generation2</t>
        </is>
      </c>
      <c r="G250" s="18" t="inlineStr">
        <is>
          <t>rock</t>
        </is>
      </c>
      <c r="H250" s="18" t="inlineStr">
        <is>
          <t>ground</t>
        </is>
      </c>
      <c r="I250" s="18" t="inlineStr">
        <is>
          <t>예</t>
        </is>
      </c>
      <c r="J250" s="18" t="inlineStr">
        <is>
          <t>예</t>
        </is>
      </c>
      <c r="K250" s="18" t="inlineStr">
        <is>
          <t>예</t>
        </is>
      </c>
      <c r="L250" s="18" t="inlineStr">
        <is>
          <t>Cobblemon 동일</t>
        </is>
      </c>
      <c r="M250" s="18">
        <f>COUNTIF('스폰_편집'!$D$5:$D$3125,A250)</f>
        <v/>
      </c>
      <c r="N250" s="18">
        <f>COUNTIFS('스폰_편집'!$D$5:$D$3125,A250,'스폰_편집'!$B$5:$B$3125,"사용")</f>
        <v/>
      </c>
      <c r="O250" s="18" t="n">
        <v>1</v>
      </c>
      <c r="P250" s="18" t="inlineStr">
        <is>
          <t>#cobblemon:is_mountain</t>
        </is>
      </c>
      <c r="Q250" s="18" t="inlineStr">
        <is>
          <t>rare; ultra-rare</t>
        </is>
      </c>
      <c r="R250" s="18" t="inlineStr"/>
      <c r="S250" s="18" t="inlineStr">
        <is>
          <t>cobbleventure:generation_2</t>
        </is>
      </c>
      <c r="T250" s="18">
        <f>IF(M250=0,"없음",IF(N250=0,"전부 제외","사용"))</f>
        <v/>
      </c>
      <c r="U250" s="18" t="inlineStr"/>
    </row>
    <row r="251" ht="30" customHeight="1">
      <c r="A251" s="18" t="n">
        <v>247</v>
      </c>
      <c r="B251" s="18" t="inlineStr">
        <is>
          <t>데기라스</t>
        </is>
      </c>
      <c r="C251" s="18" t="inlineStr">
        <is>
          <t>pupitar</t>
        </is>
      </c>
      <c r="D251" s="18" t="inlineStr">
        <is>
          <t>Pupitar</t>
        </is>
      </c>
      <c r="E251" s="18" t="n">
        <v>2</v>
      </c>
      <c r="F251" s="18" t="inlineStr">
        <is>
          <t>generation2</t>
        </is>
      </c>
      <c r="G251" s="18" t="inlineStr">
        <is>
          <t>rock</t>
        </is>
      </c>
      <c r="H251" s="18" t="inlineStr">
        <is>
          <t>ground</t>
        </is>
      </c>
      <c r="I251" s="18" t="inlineStr">
        <is>
          <t>예</t>
        </is>
      </c>
      <c r="J251" s="18" t="inlineStr">
        <is>
          <t>예</t>
        </is>
      </c>
      <c r="K251" s="18" t="inlineStr">
        <is>
          <t>예</t>
        </is>
      </c>
      <c r="L251" s="18" t="inlineStr">
        <is>
          <t>Cobblemon 동일</t>
        </is>
      </c>
      <c r="M251" s="18">
        <f>COUNTIF('스폰_편집'!$D$5:$D$3125,A251)</f>
        <v/>
      </c>
      <c r="N251" s="18">
        <f>COUNTIFS('스폰_편집'!$D$5:$D$3125,A251,'스폰_편집'!$B$5:$B$3125,"사용")</f>
        <v/>
      </c>
      <c r="O251" s="18" t="n">
        <v>1</v>
      </c>
      <c r="P251" s="18" t="inlineStr">
        <is>
          <t>#cobblemon:is_mountain</t>
        </is>
      </c>
      <c r="Q251" s="18" t="inlineStr">
        <is>
          <t>rare; ultra-rare</t>
        </is>
      </c>
      <c r="R251" s="18" t="inlineStr"/>
      <c r="S251" s="18" t="inlineStr">
        <is>
          <t>cobbleventure:generation_2</t>
        </is>
      </c>
      <c r="T251" s="18">
        <f>IF(M251=0,"없음",IF(N251=0,"전부 제외","사용"))</f>
        <v/>
      </c>
      <c r="U251" s="18" t="inlineStr"/>
    </row>
    <row r="252" ht="30" customHeight="1">
      <c r="A252" s="18" t="n">
        <v>248</v>
      </c>
      <c r="B252" s="18" t="inlineStr">
        <is>
          <t>마기라스</t>
        </is>
      </c>
      <c r="C252" s="18" t="inlineStr">
        <is>
          <t>tyranitar</t>
        </is>
      </c>
      <c r="D252" s="18" t="inlineStr">
        <is>
          <t>Tyranitar</t>
        </is>
      </c>
      <c r="E252" s="18" t="n">
        <v>2</v>
      </c>
      <c r="F252" s="18" t="inlineStr">
        <is>
          <t>generation2</t>
        </is>
      </c>
      <c r="G252" s="18" t="inlineStr">
        <is>
          <t>rock</t>
        </is>
      </c>
      <c r="H252" s="18" t="inlineStr">
        <is>
          <t>dark</t>
        </is>
      </c>
      <c r="I252" s="18" t="inlineStr">
        <is>
          <t>예</t>
        </is>
      </c>
      <c r="J252" s="18" t="inlineStr">
        <is>
          <t>예</t>
        </is>
      </c>
      <c r="K252" s="18" t="inlineStr">
        <is>
          <t>예</t>
        </is>
      </c>
      <c r="L252" s="18" t="inlineStr">
        <is>
          <t>Cobblemon 동일</t>
        </is>
      </c>
      <c r="M252" s="18">
        <f>COUNTIF('스폰_편집'!$D$5:$D$3125,A252)</f>
        <v/>
      </c>
      <c r="N252" s="18">
        <f>COUNTIFS('스폰_편집'!$D$5:$D$3125,A252,'스폰_편집'!$B$5:$B$3125,"사용")</f>
        <v/>
      </c>
      <c r="O252" s="18" t="n">
        <v>1</v>
      </c>
      <c r="P252" s="18" t="inlineStr">
        <is>
          <t>#cobblemon:is_mountain</t>
        </is>
      </c>
      <c r="Q252" s="18" t="inlineStr">
        <is>
          <t>rare; ultra-rare</t>
        </is>
      </c>
      <c r="R252" s="18" t="inlineStr"/>
      <c r="S252" s="18" t="inlineStr">
        <is>
          <t>cobbleventure:generation_2</t>
        </is>
      </c>
      <c r="T252" s="18">
        <f>IF(M252=0,"없음",IF(N252=0,"전부 제외","사용"))</f>
        <v/>
      </c>
      <c r="U252" s="18" t="inlineStr"/>
    </row>
    <row r="253" ht="30" customHeight="1">
      <c r="A253" s="18" t="n">
        <v>249</v>
      </c>
      <c r="B253" s="18" t="inlineStr">
        <is>
          <t>루기아</t>
        </is>
      </c>
      <c r="C253" s="18" t="inlineStr">
        <is>
          <t>lugia</t>
        </is>
      </c>
      <c r="D253" s="18" t="inlineStr">
        <is>
          <t>Lugia</t>
        </is>
      </c>
      <c r="E253" s="18" t="n">
        <v>2</v>
      </c>
      <c r="F253" s="18" t="inlineStr">
        <is>
          <t>generation2</t>
        </is>
      </c>
      <c r="G253" s="18" t="inlineStr">
        <is>
          <t>psychic</t>
        </is>
      </c>
      <c r="H253" s="18" t="inlineStr">
        <is>
          <t>flying</t>
        </is>
      </c>
      <c r="I253" s="18" t="inlineStr">
        <is>
          <t>예</t>
        </is>
      </c>
      <c r="J253" s="18" t="inlineStr">
        <is>
          <t>아니오</t>
        </is>
      </c>
      <c r="K253" s="18" t="inlineStr">
        <is>
          <t>예</t>
        </is>
      </c>
      <c r="L253" s="18" t="inlineStr">
        <is>
          <t>COBBLEVERSE 추가</t>
        </is>
      </c>
      <c r="M253" s="18">
        <f>COUNTIF('스폰_편집'!$D$5:$D$3125,A253)</f>
        <v/>
      </c>
      <c r="N253" s="18">
        <f>COUNTIFS('스폰_편집'!$D$5:$D$3125,A253,'스폰_편집'!$B$5:$B$3125,"사용")</f>
        <v/>
      </c>
      <c r="O253" s="18" t="n">
        <v>1</v>
      </c>
      <c r="P253" s="18" t="inlineStr">
        <is>
          <t>cobbleverse:custom_spawn/whirl_island</t>
        </is>
      </c>
      <c r="Q253" s="18" t="inlineStr">
        <is>
          <t>ultra-rare</t>
        </is>
      </c>
      <c r="R253" s="18" t="inlineStr"/>
      <c r="S253" s="18" t="inlineStr">
        <is>
          <t>cobbleventure:generation_2</t>
        </is>
      </c>
      <c r="T253" s="18">
        <f>IF(M253=0,"없음",IF(N253=0,"전부 제외","사용"))</f>
        <v/>
      </c>
      <c r="U253" s="18" t="inlineStr"/>
    </row>
    <row r="254" ht="30" customHeight="1">
      <c r="A254" s="18" t="n">
        <v>250</v>
      </c>
      <c r="B254" s="18" t="inlineStr">
        <is>
          <t>칠색조</t>
        </is>
      </c>
      <c r="C254" s="18" t="inlineStr">
        <is>
          <t>hooh</t>
        </is>
      </c>
      <c r="D254" s="18" t="inlineStr">
        <is>
          <t>Ho-Oh</t>
        </is>
      </c>
      <c r="E254" s="18" t="n">
        <v>2</v>
      </c>
      <c r="F254" s="18" t="inlineStr">
        <is>
          <t>generation2</t>
        </is>
      </c>
      <c r="G254" s="18" t="inlineStr">
        <is>
          <t>fire</t>
        </is>
      </c>
      <c r="H254" s="18" t="inlineStr">
        <is>
          <t>flying</t>
        </is>
      </c>
      <c r="I254" s="18" t="inlineStr">
        <is>
          <t>예</t>
        </is>
      </c>
      <c r="J254" s="18" t="inlineStr">
        <is>
          <t>아니오</t>
        </is>
      </c>
      <c r="K254" s="18" t="inlineStr">
        <is>
          <t>예</t>
        </is>
      </c>
      <c r="L254" s="18" t="inlineStr">
        <is>
          <t>COBBLEVERSE 추가</t>
        </is>
      </c>
      <c r="M254" s="18">
        <f>COUNTIF('스폰_편집'!$D$5:$D$3125,A254)</f>
        <v/>
      </c>
      <c r="N254" s="18">
        <f>COUNTIFS('스폰_편집'!$D$5:$D$3125,A254,'스폰_편집'!$B$5:$B$3125,"사용")</f>
        <v/>
      </c>
      <c r="O254" s="18" t="n">
        <v>1</v>
      </c>
      <c r="P254" s="18" t="inlineStr">
        <is>
          <t>cobbleverse:custom_spawn/bell_tower</t>
        </is>
      </c>
      <c r="Q254" s="18" t="inlineStr">
        <is>
          <t>ultra-rare</t>
        </is>
      </c>
      <c r="R254" s="18" t="inlineStr"/>
      <c r="S254" s="18" t="inlineStr">
        <is>
          <t>cobbleventure:generation_2</t>
        </is>
      </c>
      <c r="T254" s="18">
        <f>IF(M254=0,"없음",IF(N254=0,"전부 제외","사용"))</f>
        <v/>
      </c>
      <c r="U254" s="18" t="inlineStr"/>
    </row>
    <row r="255" ht="30" customHeight="1">
      <c r="A255" s="18" t="n">
        <v>251</v>
      </c>
      <c r="B255" s="18" t="inlineStr">
        <is>
          <t>세레비</t>
        </is>
      </c>
      <c r="C255" s="18" t="inlineStr">
        <is>
          <t>celebi</t>
        </is>
      </c>
      <c r="D255" s="18" t="inlineStr">
        <is>
          <t>Celebi</t>
        </is>
      </c>
      <c r="E255" s="18" t="n">
        <v>2</v>
      </c>
      <c r="F255" s="18" t="inlineStr">
        <is>
          <t>generation2</t>
        </is>
      </c>
      <c r="G255" s="18" t="inlineStr">
        <is>
          <t>psychic</t>
        </is>
      </c>
      <c r="H255" s="18" t="inlineStr">
        <is>
          <t>grass</t>
        </is>
      </c>
      <c r="I255" s="18" t="inlineStr">
        <is>
          <t>아니오</t>
        </is>
      </c>
      <c r="J255" s="18" t="inlineStr">
        <is>
          <t>아니오</t>
        </is>
      </c>
      <c r="K255" s="18" t="inlineStr">
        <is>
          <t>예</t>
        </is>
      </c>
      <c r="L255" s="18" t="inlineStr">
        <is>
          <t>COBBLEVERSE 추가</t>
        </is>
      </c>
      <c r="M255" s="18">
        <f>COUNTIF('스폰_편집'!$D$5:$D$3125,A255)</f>
        <v/>
      </c>
      <c r="N255" s="18">
        <f>COUNTIFS('스폰_편집'!$D$5:$D$3125,A255,'스폰_편집'!$B$5:$B$3125,"사용")</f>
        <v/>
      </c>
      <c r="O255" s="18" t="n">
        <v>1</v>
      </c>
      <c r="P255" s="18" t="inlineStr">
        <is>
          <t>cobbleverse:custom_spawn/ilex_shrine</t>
        </is>
      </c>
      <c r="Q255" s="18" t="inlineStr">
        <is>
          <t>ultra-rare</t>
        </is>
      </c>
      <c r="R255" s="18" t="inlineStr"/>
      <c r="S255" s="18" t="inlineStr">
        <is>
          <t>cobbleventure:generation_2</t>
        </is>
      </c>
      <c r="T255" s="18">
        <f>IF(M255=0,"없음",IF(N255=0,"전부 제외","사용"))</f>
        <v/>
      </c>
      <c r="U255" s="18" t="inlineStr"/>
    </row>
    <row r="256" ht="30" customHeight="1">
      <c r="A256" s="18" t="n">
        <v>252</v>
      </c>
      <c r="B256" s="18" t="inlineStr">
        <is>
          <t>나무지기</t>
        </is>
      </c>
      <c r="C256" s="18" t="inlineStr">
        <is>
          <t>treecko</t>
        </is>
      </c>
      <c r="D256" s="18" t="inlineStr">
        <is>
          <t>Treecko</t>
        </is>
      </c>
      <c r="E256" s="18" t="n">
        <v>3</v>
      </c>
      <c r="F256" s="18" t="inlineStr">
        <is>
          <t>generation3</t>
        </is>
      </c>
      <c r="G256" s="18" t="inlineStr">
        <is>
          <t>grass</t>
        </is>
      </c>
      <c r="H256" s="18" t="inlineStr"/>
      <c r="I256" s="18" t="inlineStr">
        <is>
          <t>예</t>
        </is>
      </c>
      <c r="J256" s="18" t="inlineStr">
        <is>
          <t>예</t>
        </is>
      </c>
      <c r="K256" s="18" t="inlineStr">
        <is>
          <t>예</t>
        </is>
      </c>
      <c r="L256" s="18" t="inlineStr">
        <is>
          <t>Cobblemon 동일</t>
        </is>
      </c>
      <c r="M256" s="18">
        <f>COUNTIF('스폰_편집'!$D$5:$D$3125,A256)</f>
        <v/>
      </c>
      <c r="N256" s="18">
        <f>COUNTIFS('스폰_편집'!$D$5:$D$3125,A256,'스폰_편집'!$B$5:$B$3125,"사용")</f>
        <v/>
      </c>
      <c r="O256" s="18" t="n">
        <v>3</v>
      </c>
      <c r="P256" s="18" t="inlineStr">
        <is>
          <t>#cobblemon:is_jungle; aether:skyroot_forest; aether:skyroot_woodland</t>
        </is>
      </c>
      <c r="Q256" s="18" t="inlineStr">
        <is>
          <t>ultra-rare</t>
        </is>
      </c>
      <c r="R256" s="18" t="inlineStr"/>
      <c r="S256" s="18" t="inlineStr">
        <is>
          <t>cobbleventure:generation_3</t>
        </is>
      </c>
      <c r="T256" s="18">
        <f>IF(M256=0,"없음",IF(N256=0,"전부 제외","사용"))</f>
        <v/>
      </c>
      <c r="U256" s="18" t="inlineStr"/>
    </row>
    <row r="257" ht="30" customHeight="1">
      <c r="A257" s="18" t="n">
        <v>253</v>
      </c>
      <c r="B257" s="18" t="inlineStr">
        <is>
          <t>나무돌이</t>
        </is>
      </c>
      <c r="C257" s="18" t="inlineStr">
        <is>
          <t>grovyle</t>
        </is>
      </c>
      <c r="D257" s="18" t="inlineStr">
        <is>
          <t>Grovyle</t>
        </is>
      </c>
      <c r="E257" s="18" t="n">
        <v>3</v>
      </c>
      <c r="F257" s="18" t="inlineStr">
        <is>
          <t>generation3</t>
        </is>
      </c>
      <c r="G257" s="18" t="inlineStr">
        <is>
          <t>grass</t>
        </is>
      </c>
      <c r="H257" s="18" t="inlineStr"/>
      <c r="I257" s="18" t="inlineStr">
        <is>
          <t>예</t>
        </is>
      </c>
      <c r="J257" s="18" t="inlineStr">
        <is>
          <t>예</t>
        </is>
      </c>
      <c r="K257" s="18" t="inlineStr">
        <is>
          <t>예</t>
        </is>
      </c>
      <c r="L257" s="18" t="inlineStr">
        <is>
          <t>Cobblemon 동일</t>
        </is>
      </c>
      <c r="M257" s="18">
        <f>COUNTIF('스폰_편집'!$D$5:$D$3125,A257)</f>
        <v/>
      </c>
      <c r="N257" s="18">
        <f>COUNTIFS('스폰_편집'!$D$5:$D$3125,A257,'스폰_편집'!$B$5:$B$3125,"사용")</f>
        <v/>
      </c>
      <c r="O257" s="18" t="n">
        <v>3</v>
      </c>
      <c r="P257" s="18" t="inlineStr">
        <is>
          <t>#cobblemon:is_jungle; aether:skyroot_forest; aether:skyroot_woodland</t>
        </is>
      </c>
      <c r="Q257" s="18" t="inlineStr">
        <is>
          <t>ultra-rare</t>
        </is>
      </c>
      <c r="R257" s="18" t="inlineStr"/>
      <c r="S257" s="18" t="inlineStr">
        <is>
          <t>cobbleventure:generation_3</t>
        </is>
      </c>
      <c r="T257" s="18">
        <f>IF(M257=0,"없음",IF(N257=0,"전부 제외","사용"))</f>
        <v/>
      </c>
      <c r="U257" s="18" t="inlineStr"/>
    </row>
    <row r="258" ht="30" customHeight="1">
      <c r="A258" s="18" t="n">
        <v>254</v>
      </c>
      <c r="B258" s="18" t="inlineStr">
        <is>
          <t>나무킹</t>
        </is>
      </c>
      <c r="C258" s="18" t="inlineStr">
        <is>
          <t>sceptile</t>
        </is>
      </c>
      <c r="D258" s="18" t="inlineStr">
        <is>
          <t>Sceptile</t>
        </is>
      </c>
      <c r="E258" s="18" t="n">
        <v>3</v>
      </c>
      <c r="F258" s="18" t="inlineStr">
        <is>
          <t>generation3</t>
        </is>
      </c>
      <c r="G258" s="18" t="inlineStr">
        <is>
          <t>grass</t>
        </is>
      </c>
      <c r="H258" s="18" t="inlineStr"/>
      <c r="I258" s="18" t="inlineStr">
        <is>
          <t>예</t>
        </is>
      </c>
      <c r="J258" s="18" t="inlineStr">
        <is>
          <t>예</t>
        </is>
      </c>
      <c r="K258" s="18" t="inlineStr">
        <is>
          <t>예</t>
        </is>
      </c>
      <c r="L258" s="18" t="inlineStr">
        <is>
          <t>Cobblemon 동일</t>
        </is>
      </c>
      <c r="M258" s="18">
        <f>COUNTIF('스폰_편집'!$D$5:$D$3125,A258)</f>
        <v/>
      </c>
      <c r="N258" s="18">
        <f>COUNTIFS('스폰_편집'!$D$5:$D$3125,A258,'스폰_편집'!$B$5:$B$3125,"사용")</f>
        <v/>
      </c>
      <c r="O258" s="18" t="n">
        <v>3</v>
      </c>
      <c r="P258" s="18" t="inlineStr">
        <is>
          <t>#cobblemon:is_jungle; aether:skyroot_forest; aether:skyroot_woodland</t>
        </is>
      </c>
      <c r="Q258" s="18" t="inlineStr">
        <is>
          <t>ultra-rare</t>
        </is>
      </c>
      <c r="R258" s="18" t="inlineStr"/>
      <c r="S258" s="18" t="inlineStr">
        <is>
          <t>cobbleventure:generation_3</t>
        </is>
      </c>
      <c r="T258" s="18">
        <f>IF(M258=0,"없음",IF(N258=0,"전부 제외","사용"))</f>
        <v/>
      </c>
      <c r="U258" s="18" t="inlineStr"/>
    </row>
    <row r="259" ht="30" customHeight="1">
      <c r="A259" s="18" t="n">
        <v>255</v>
      </c>
      <c r="B259" s="18" t="inlineStr">
        <is>
          <t>아차모</t>
        </is>
      </c>
      <c r="C259" s="18" t="inlineStr">
        <is>
          <t>torchic</t>
        </is>
      </c>
      <c r="D259" s="18" t="inlineStr">
        <is>
          <t>Torchic</t>
        </is>
      </c>
      <c r="E259" s="18" t="n">
        <v>3</v>
      </c>
      <c r="F259" s="18" t="inlineStr">
        <is>
          <t>generation3</t>
        </is>
      </c>
      <c r="G259" s="18" t="inlineStr">
        <is>
          <t>fire</t>
        </is>
      </c>
      <c r="H259" s="18" t="inlineStr"/>
      <c r="I259" s="18" t="inlineStr">
        <is>
          <t>예</t>
        </is>
      </c>
      <c r="J259" s="18" t="inlineStr">
        <is>
          <t>예</t>
        </is>
      </c>
      <c r="K259" s="18" t="inlineStr">
        <is>
          <t>예</t>
        </is>
      </c>
      <c r="L259" s="18" t="inlineStr">
        <is>
          <t>Cobblemon 동일</t>
        </is>
      </c>
      <c r="M259" s="18">
        <f>COUNTIF('스폰_편집'!$D$5:$D$3125,A259)</f>
        <v/>
      </c>
      <c r="N259" s="18">
        <f>COUNTIFS('스폰_편집'!$D$5:$D$3125,A259,'스폰_편집'!$B$5:$B$3125,"사용")</f>
        <v/>
      </c>
      <c r="O259" s="18" t="n">
        <v>3</v>
      </c>
      <c r="P259" s="18" t="inlineStr">
        <is>
          <t>#cobblemon:is_plains; aether:skyroot_grove; aether:skyroot_meadow</t>
        </is>
      </c>
      <c r="Q259" s="18" t="inlineStr">
        <is>
          <t>ultra-rare</t>
        </is>
      </c>
      <c r="R259" s="18" t="inlineStr">
        <is>
          <t>region_01</t>
        </is>
      </c>
      <c r="S259" s="18" t="inlineStr">
        <is>
          <t>cobbleventure:generation_3</t>
        </is>
      </c>
      <c r="T259" s="18">
        <f>IF(M259=0,"없음",IF(N259=0,"전부 제외","사용"))</f>
        <v/>
      </c>
      <c r="U259" s="18" t="inlineStr"/>
    </row>
    <row r="260" ht="30" customHeight="1">
      <c r="A260" s="18" t="n">
        <v>256</v>
      </c>
      <c r="B260" s="18" t="inlineStr">
        <is>
          <t>영치코</t>
        </is>
      </c>
      <c r="C260" s="18" t="inlineStr">
        <is>
          <t>combusken</t>
        </is>
      </c>
      <c r="D260" s="18" t="inlineStr">
        <is>
          <t>Combusken</t>
        </is>
      </c>
      <c r="E260" s="18" t="n">
        <v>3</v>
      </c>
      <c r="F260" s="18" t="inlineStr">
        <is>
          <t>generation3</t>
        </is>
      </c>
      <c r="G260" s="18" t="inlineStr">
        <is>
          <t>fire</t>
        </is>
      </c>
      <c r="H260" s="18" t="inlineStr">
        <is>
          <t>fighting</t>
        </is>
      </c>
      <c r="I260" s="18" t="inlineStr">
        <is>
          <t>예</t>
        </is>
      </c>
      <c r="J260" s="18" t="inlineStr">
        <is>
          <t>예</t>
        </is>
      </c>
      <c r="K260" s="18" t="inlineStr">
        <is>
          <t>예</t>
        </is>
      </c>
      <c r="L260" s="18" t="inlineStr">
        <is>
          <t>Cobblemon 동일</t>
        </is>
      </c>
      <c r="M260" s="18">
        <f>COUNTIF('스폰_편집'!$D$5:$D$3125,A260)</f>
        <v/>
      </c>
      <c r="N260" s="18">
        <f>COUNTIFS('스폰_편집'!$D$5:$D$3125,A260,'스폰_편집'!$B$5:$B$3125,"사용")</f>
        <v/>
      </c>
      <c r="O260" s="18" t="n">
        <v>3</v>
      </c>
      <c r="P260" s="18" t="inlineStr">
        <is>
          <t>#cobblemon:is_plains; aether:skyroot_grove; aether:skyroot_meadow</t>
        </is>
      </c>
      <c r="Q260" s="18" t="inlineStr">
        <is>
          <t>ultra-rare</t>
        </is>
      </c>
      <c r="R260" s="18" t="inlineStr">
        <is>
          <t>region_01</t>
        </is>
      </c>
      <c r="S260" s="18" t="inlineStr">
        <is>
          <t>cobbleventure:generation_3</t>
        </is>
      </c>
      <c r="T260" s="18">
        <f>IF(M260=0,"없음",IF(N260=0,"전부 제외","사용"))</f>
        <v/>
      </c>
      <c r="U260" s="18" t="inlineStr"/>
    </row>
    <row r="261" ht="30" customHeight="1">
      <c r="A261" s="18" t="n">
        <v>257</v>
      </c>
      <c r="B261" s="18" t="inlineStr">
        <is>
          <t>번치코</t>
        </is>
      </c>
      <c r="C261" s="18" t="inlineStr">
        <is>
          <t>blaziken</t>
        </is>
      </c>
      <c r="D261" s="18" t="inlineStr">
        <is>
          <t>Blaziken</t>
        </is>
      </c>
      <c r="E261" s="18" t="n">
        <v>3</v>
      </c>
      <c r="F261" s="18" t="inlineStr">
        <is>
          <t>generation3</t>
        </is>
      </c>
      <c r="G261" s="18" t="inlineStr">
        <is>
          <t>fire</t>
        </is>
      </c>
      <c r="H261" s="18" t="inlineStr">
        <is>
          <t>fighting</t>
        </is>
      </c>
      <c r="I261" s="18" t="inlineStr">
        <is>
          <t>예</t>
        </is>
      </c>
      <c r="J261" s="18" t="inlineStr">
        <is>
          <t>예</t>
        </is>
      </c>
      <c r="K261" s="18" t="inlineStr">
        <is>
          <t>예</t>
        </is>
      </c>
      <c r="L261" s="18" t="inlineStr">
        <is>
          <t>Cobblemon 동일</t>
        </is>
      </c>
      <c r="M261" s="18">
        <f>COUNTIF('스폰_편집'!$D$5:$D$3125,A261)</f>
        <v/>
      </c>
      <c r="N261" s="18">
        <f>COUNTIFS('스폰_편집'!$D$5:$D$3125,A261,'스폰_편집'!$B$5:$B$3125,"사용")</f>
        <v/>
      </c>
      <c r="O261" s="18" t="n">
        <v>3</v>
      </c>
      <c r="P261" s="18" t="inlineStr">
        <is>
          <t>#cobblemon:is_plains; aether:skyroot_grove; aether:skyroot_meadow</t>
        </is>
      </c>
      <c r="Q261" s="18" t="inlineStr">
        <is>
          <t>ultra-rare</t>
        </is>
      </c>
      <c r="R261" s="18" t="inlineStr">
        <is>
          <t>region_01</t>
        </is>
      </c>
      <c r="S261" s="18" t="inlineStr">
        <is>
          <t>cobbleventure:generation_3</t>
        </is>
      </c>
      <c r="T261" s="18">
        <f>IF(M261=0,"없음",IF(N261=0,"전부 제외","사용"))</f>
        <v/>
      </c>
      <c r="U261" s="18" t="inlineStr"/>
    </row>
    <row r="262" ht="30" customHeight="1">
      <c r="A262" s="18" t="n">
        <v>258</v>
      </c>
      <c r="B262" s="18" t="inlineStr">
        <is>
          <t>물짱이</t>
        </is>
      </c>
      <c r="C262" s="18" t="inlineStr">
        <is>
          <t>mudkip</t>
        </is>
      </c>
      <c r="D262" s="18" t="inlineStr">
        <is>
          <t>Mudkip</t>
        </is>
      </c>
      <c r="E262" s="18" t="n">
        <v>3</v>
      </c>
      <c r="F262" s="18" t="inlineStr">
        <is>
          <t>generation3</t>
        </is>
      </c>
      <c r="G262" s="18" t="inlineStr">
        <is>
          <t>water</t>
        </is>
      </c>
      <c r="H262" s="18" t="inlineStr"/>
      <c r="I262" s="18" t="inlineStr">
        <is>
          <t>예</t>
        </is>
      </c>
      <c r="J262" s="18" t="inlineStr">
        <is>
          <t>예</t>
        </is>
      </c>
      <c r="K262" s="18" t="inlineStr">
        <is>
          <t>예</t>
        </is>
      </c>
      <c r="L262" s="18" t="inlineStr">
        <is>
          <t>Cobblemon 동일</t>
        </is>
      </c>
      <c r="M262" s="18">
        <f>COUNTIF('스폰_편집'!$D$5:$D$3125,A262)</f>
        <v/>
      </c>
      <c r="N262" s="18">
        <f>COUNTIFS('스폰_편집'!$D$5:$D$3125,A262,'스폰_편집'!$B$5:$B$3125,"사용")</f>
        <v/>
      </c>
      <c r="O262" s="18" t="n">
        <v>8</v>
      </c>
      <c r="P262" s="18" t="inlineStr">
        <is>
          <t>#cobblemon:is_badlands; #cobblemon:is_forest; #cobblemon:is_jungle; #cobblemon:is_lush; #cobblemon:is_mushroom; #cobblemon:is_overworld; #cobblemon:is_savanna; #cobblemon:is_swamp</t>
        </is>
      </c>
      <c r="Q262" s="18" t="inlineStr">
        <is>
          <t>ultra-rare</t>
        </is>
      </c>
      <c r="R262" s="18" t="inlineStr">
        <is>
          <t>region_01; region_02</t>
        </is>
      </c>
      <c r="S262" s="18" t="inlineStr">
        <is>
          <t>cobbleventure:generation_3</t>
        </is>
      </c>
      <c r="T262" s="18">
        <f>IF(M262=0,"없음",IF(N262=0,"전부 제외","사용"))</f>
        <v/>
      </c>
      <c r="U262" s="18" t="inlineStr"/>
    </row>
    <row r="263" ht="30" customHeight="1">
      <c r="A263" s="18" t="n">
        <v>259</v>
      </c>
      <c r="B263" s="18" t="inlineStr">
        <is>
          <t>늪짱이</t>
        </is>
      </c>
      <c r="C263" s="18" t="inlineStr">
        <is>
          <t>marshtomp</t>
        </is>
      </c>
      <c r="D263" s="18" t="inlineStr">
        <is>
          <t>Marshtomp</t>
        </is>
      </c>
      <c r="E263" s="18" t="n">
        <v>3</v>
      </c>
      <c r="F263" s="18" t="inlineStr">
        <is>
          <t>generation3</t>
        </is>
      </c>
      <c r="G263" s="18" t="inlineStr">
        <is>
          <t>water</t>
        </is>
      </c>
      <c r="H263" s="18" t="inlineStr">
        <is>
          <t>ground</t>
        </is>
      </c>
      <c r="I263" s="18" t="inlineStr">
        <is>
          <t>예</t>
        </is>
      </c>
      <c r="J263" s="18" t="inlineStr">
        <is>
          <t>예</t>
        </is>
      </c>
      <c r="K263" s="18" t="inlineStr">
        <is>
          <t>예</t>
        </is>
      </c>
      <c r="L263" s="18" t="inlineStr">
        <is>
          <t>Cobblemon 동일</t>
        </is>
      </c>
      <c r="M263" s="18">
        <f>COUNTIF('스폰_편집'!$D$5:$D$3125,A263)</f>
        <v/>
      </c>
      <c r="N263" s="18">
        <f>COUNTIFS('스폰_편집'!$D$5:$D$3125,A263,'스폰_편집'!$B$5:$B$3125,"사용")</f>
        <v/>
      </c>
      <c r="O263" s="18" t="n">
        <v>8</v>
      </c>
      <c r="P263" s="18" t="inlineStr">
        <is>
          <t>#cobblemon:is_badlands; #cobblemon:is_forest; #cobblemon:is_jungle; #cobblemon:is_lush; #cobblemon:is_mushroom; #cobblemon:is_overworld; #cobblemon:is_savanna; #cobblemon:is_swamp</t>
        </is>
      </c>
      <c r="Q263" s="18" t="inlineStr">
        <is>
          <t>ultra-rare</t>
        </is>
      </c>
      <c r="R263" s="18" t="inlineStr">
        <is>
          <t>region_01; region_02</t>
        </is>
      </c>
      <c r="S263" s="18" t="inlineStr">
        <is>
          <t>cobbleventure:generation_3</t>
        </is>
      </c>
      <c r="T263" s="18">
        <f>IF(M263=0,"없음",IF(N263=0,"전부 제외","사용"))</f>
        <v/>
      </c>
      <c r="U263" s="18" t="inlineStr"/>
    </row>
    <row r="264" ht="30" customHeight="1">
      <c r="A264" s="18" t="n">
        <v>260</v>
      </c>
      <c r="B264" s="18" t="inlineStr">
        <is>
          <t>대짱이</t>
        </is>
      </c>
      <c r="C264" s="18" t="inlineStr">
        <is>
          <t>swampert</t>
        </is>
      </c>
      <c r="D264" s="18" t="inlineStr">
        <is>
          <t>Swampert</t>
        </is>
      </c>
      <c r="E264" s="18" t="n">
        <v>3</v>
      </c>
      <c r="F264" s="18" t="inlineStr">
        <is>
          <t>generation3</t>
        </is>
      </c>
      <c r="G264" s="18" t="inlineStr">
        <is>
          <t>water</t>
        </is>
      </c>
      <c r="H264" s="18" t="inlineStr">
        <is>
          <t>ground</t>
        </is>
      </c>
      <c r="I264" s="18" t="inlineStr">
        <is>
          <t>예</t>
        </is>
      </c>
      <c r="J264" s="18" t="inlineStr">
        <is>
          <t>예</t>
        </is>
      </c>
      <c r="K264" s="18" t="inlineStr">
        <is>
          <t>예</t>
        </is>
      </c>
      <c r="L264" s="18" t="inlineStr">
        <is>
          <t>Cobblemon 동일</t>
        </is>
      </c>
      <c r="M264" s="18">
        <f>COUNTIF('스폰_편집'!$D$5:$D$3125,A264)</f>
        <v/>
      </c>
      <c r="N264" s="18">
        <f>COUNTIFS('스폰_편집'!$D$5:$D$3125,A264,'스폰_편집'!$B$5:$B$3125,"사용")</f>
        <v/>
      </c>
      <c r="O264" s="18" t="n">
        <v>8</v>
      </c>
      <c r="P264" s="18" t="inlineStr">
        <is>
          <t>#cobblemon:is_badlands; #cobblemon:is_forest; #cobblemon:is_jungle; #cobblemon:is_lush; #cobblemon:is_mushroom; #cobblemon:is_overworld; #cobblemon:is_savanna; #cobblemon:is_swamp</t>
        </is>
      </c>
      <c r="Q264" s="18" t="inlineStr">
        <is>
          <t>ultra-rare</t>
        </is>
      </c>
      <c r="R264" s="18" t="inlineStr">
        <is>
          <t>region_01; region_02</t>
        </is>
      </c>
      <c r="S264" s="18" t="inlineStr">
        <is>
          <t>cobbleventure:generation_3</t>
        </is>
      </c>
      <c r="T264" s="18">
        <f>IF(M264=0,"없음",IF(N264=0,"전부 제외","사용"))</f>
        <v/>
      </c>
      <c r="U264" s="18" t="inlineStr"/>
    </row>
    <row r="265" ht="30" customHeight="1">
      <c r="A265" s="18" t="n">
        <v>261</v>
      </c>
      <c r="B265" s="18" t="inlineStr">
        <is>
          <t>포챠나</t>
        </is>
      </c>
      <c r="C265" s="18" t="inlineStr">
        <is>
          <t>poochyena</t>
        </is>
      </c>
      <c r="D265" s="18" t="inlineStr">
        <is>
          <t>Poochyena</t>
        </is>
      </c>
      <c r="E265" s="18" t="n">
        <v>3</v>
      </c>
      <c r="F265" s="18" t="inlineStr">
        <is>
          <t>generation3</t>
        </is>
      </c>
      <c r="G265" s="18" t="inlineStr">
        <is>
          <t>dark</t>
        </is>
      </c>
      <c r="H265" s="18" t="inlineStr"/>
      <c r="I265" s="18" t="inlineStr">
        <is>
          <t>예</t>
        </is>
      </c>
      <c r="J265" s="18" t="inlineStr">
        <is>
          <t>예</t>
        </is>
      </c>
      <c r="K265" s="18" t="inlineStr">
        <is>
          <t>예</t>
        </is>
      </c>
      <c r="L265" s="18" t="inlineStr">
        <is>
          <t>COBBLEVERSE 수정</t>
        </is>
      </c>
      <c r="M265" s="18">
        <f>COUNTIF('스폰_편집'!$D$5:$D$3125,A265)</f>
        <v/>
      </c>
      <c r="N265" s="18">
        <f>COUNTIFS('스폰_편집'!$D$5:$D$3125,A265,'스폰_편집'!$B$5:$B$3125,"사용")</f>
        <v/>
      </c>
      <c r="O265" s="18" t="n">
        <v>3</v>
      </c>
      <c r="P265" s="18" t="inlineStr">
        <is>
          <t>#cobblemon:is_badlands; #cobblemon:is_overworld; #cobblemon:is_savanna</t>
        </is>
      </c>
      <c r="Q265" s="18" t="inlineStr">
        <is>
          <t>common</t>
        </is>
      </c>
      <c r="R265" s="18" t="inlineStr">
        <is>
          <t>region_01; region_02</t>
        </is>
      </c>
      <c r="S265" s="18" t="inlineStr">
        <is>
          <t>cobbleventure:generation_3</t>
        </is>
      </c>
      <c r="T265" s="18">
        <f>IF(M265=0,"없음",IF(N265=0,"전부 제외","사용"))</f>
        <v/>
      </c>
      <c r="U265" s="18" t="inlineStr"/>
    </row>
    <row r="266" ht="30" customHeight="1">
      <c r="A266" s="18" t="n">
        <v>262</v>
      </c>
      <c r="B266" s="18" t="inlineStr">
        <is>
          <t>그라에나</t>
        </is>
      </c>
      <c r="C266" s="18" t="inlineStr">
        <is>
          <t>mightyena</t>
        </is>
      </c>
      <c r="D266" s="18" t="inlineStr">
        <is>
          <t>Mightyena</t>
        </is>
      </c>
      <c r="E266" s="18" t="n">
        <v>3</v>
      </c>
      <c r="F266" s="18" t="inlineStr">
        <is>
          <t>generation3</t>
        </is>
      </c>
      <c r="G266" s="18" t="inlineStr">
        <is>
          <t>dark</t>
        </is>
      </c>
      <c r="H266" s="18" t="inlineStr"/>
      <c r="I266" s="18" t="inlineStr">
        <is>
          <t>예</t>
        </is>
      </c>
      <c r="J266" s="18" t="inlineStr">
        <is>
          <t>예</t>
        </is>
      </c>
      <c r="K266" s="18" t="inlineStr">
        <is>
          <t>예</t>
        </is>
      </c>
      <c r="L266" s="18" t="inlineStr">
        <is>
          <t>COBBLEVERSE 수정</t>
        </is>
      </c>
      <c r="M266" s="18">
        <f>COUNTIF('스폰_편집'!$D$5:$D$3125,A266)</f>
        <v/>
      </c>
      <c r="N266" s="18">
        <f>COUNTIFS('스폰_편집'!$D$5:$D$3125,A266,'스폰_편집'!$B$5:$B$3125,"사용")</f>
        <v/>
      </c>
      <c r="O266" s="18" t="n">
        <v>3</v>
      </c>
      <c r="P266" s="18" t="inlineStr">
        <is>
          <t>#cobblemon:is_badlands; #cobblemon:is_overworld; #cobblemon:is_savanna</t>
        </is>
      </c>
      <c r="Q266" s="18" t="inlineStr">
        <is>
          <t>common</t>
        </is>
      </c>
      <c r="R266" s="18" t="inlineStr">
        <is>
          <t>region_01; region_02</t>
        </is>
      </c>
      <c r="S266" s="18" t="inlineStr">
        <is>
          <t>cobbleventure:generation_3</t>
        </is>
      </c>
      <c r="T266" s="18">
        <f>IF(M266=0,"없음",IF(N266=0,"전부 제외","사용"))</f>
        <v/>
      </c>
      <c r="U266" s="18" t="inlineStr"/>
    </row>
    <row r="267" ht="30" customHeight="1">
      <c r="A267" s="18" t="n">
        <v>263</v>
      </c>
      <c r="B267" s="18" t="inlineStr">
        <is>
          <t>지그제구리</t>
        </is>
      </c>
      <c r="C267" s="18" t="inlineStr">
        <is>
          <t>zigzagoon</t>
        </is>
      </c>
      <c r="D267" s="18" t="inlineStr">
        <is>
          <t>Zigzagoon</t>
        </is>
      </c>
      <c r="E267" s="18" t="n">
        <v>3</v>
      </c>
      <c r="F267" s="18" t="inlineStr">
        <is>
          <t>generation3</t>
        </is>
      </c>
      <c r="G267" s="18" t="inlineStr">
        <is>
          <t>normal</t>
        </is>
      </c>
      <c r="H267" s="18" t="inlineStr"/>
      <c r="I267" s="18" t="inlineStr">
        <is>
          <t>예</t>
        </is>
      </c>
      <c r="J267" s="18" t="inlineStr">
        <is>
          <t>예</t>
        </is>
      </c>
      <c r="K267" s="18" t="inlineStr">
        <is>
          <t>예</t>
        </is>
      </c>
      <c r="L267" s="18" t="inlineStr">
        <is>
          <t>Cobblemon 동일</t>
        </is>
      </c>
      <c r="M267" s="18">
        <f>COUNTIF('스폰_편집'!$D$5:$D$3125,A267)</f>
        <v/>
      </c>
      <c r="N267" s="18">
        <f>COUNTIFS('스폰_편집'!$D$5:$D$3125,A267,'스폰_편집'!$B$5:$B$3125,"사용")</f>
        <v/>
      </c>
      <c r="O267" s="18" t="n">
        <v>4</v>
      </c>
      <c r="P267" s="18" t="inlineStr">
        <is>
          <t>#cobblemon:is_taiga; #cobblemon:is_temperate; aether:skyroot_forest; aether:skyroot_woodland</t>
        </is>
      </c>
      <c r="Q267" s="18" t="inlineStr">
        <is>
          <t>common</t>
        </is>
      </c>
      <c r="R267" s="18" t="inlineStr">
        <is>
          <t>region_01</t>
        </is>
      </c>
      <c r="S267" s="18" t="inlineStr">
        <is>
          <t>cobbleventure:generation_3</t>
        </is>
      </c>
      <c r="T267" s="18">
        <f>IF(M267=0,"없음",IF(N267=0,"전부 제외","사용"))</f>
        <v/>
      </c>
      <c r="U267" s="18" t="inlineStr"/>
    </row>
    <row r="268" ht="30" customHeight="1">
      <c r="A268" s="18" t="n">
        <v>264</v>
      </c>
      <c r="B268" s="18" t="inlineStr">
        <is>
          <t>직구리</t>
        </is>
      </c>
      <c r="C268" s="18" t="inlineStr">
        <is>
          <t>linoone</t>
        </is>
      </c>
      <c r="D268" s="18" t="inlineStr">
        <is>
          <t>Linoone</t>
        </is>
      </c>
      <c r="E268" s="18" t="n">
        <v>3</v>
      </c>
      <c r="F268" s="18" t="inlineStr">
        <is>
          <t>generation3</t>
        </is>
      </c>
      <c r="G268" s="18" t="inlineStr">
        <is>
          <t>normal</t>
        </is>
      </c>
      <c r="H268" s="18" t="inlineStr"/>
      <c r="I268" s="18" t="inlineStr">
        <is>
          <t>예</t>
        </is>
      </c>
      <c r="J268" s="18" t="inlineStr">
        <is>
          <t>예</t>
        </is>
      </c>
      <c r="K268" s="18" t="inlineStr">
        <is>
          <t>예</t>
        </is>
      </c>
      <c r="L268" s="18" t="inlineStr">
        <is>
          <t>Cobblemon 동일</t>
        </is>
      </c>
      <c r="M268" s="18">
        <f>COUNTIF('스폰_편집'!$D$5:$D$3125,A268)</f>
        <v/>
      </c>
      <c r="N268" s="18">
        <f>COUNTIFS('스폰_편집'!$D$5:$D$3125,A268,'스폰_편집'!$B$5:$B$3125,"사용")</f>
        <v/>
      </c>
      <c r="O268" s="18" t="n">
        <v>4</v>
      </c>
      <c r="P268" s="18" t="inlineStr">
        <is>
          <t>#cobblemon:is_taiga; #cobblemon:is_temperate; aether:skyroot_forest; aether:skyroot_woodland</t>
        </is>
      </c>
      <c r="Q268" s="18" t="inlineStr">
        <is>
          <t>common</t>
        </is>
      </c>
      <c r="R268" s="18" t="inlineStr">
        <is>
          <t>region_01</t>
        </is>
      </c>
      <c r="S268" s="18" t="inlineStr">
        <is>
          <t>cobbleventure:generation_3</t>
        </is>
      </c>
      <c r="T268" s="18">
        <f>IF(M268=0,"없음",IF(N268=0,"전부 제외","사용"))</f>
        <v/>
      </c>
      <c r="U268" s="18" t="inlineStr"/>
    </row>
    <row r="269" ht="30" customHeight="1">
      <c r="A269" s="18" t="n">
        <v>265</v>
      </c>
      <c r="B269" s="18" t="inlineStr">
        <is>
          <t>개무소</t>
        </is>
      </c>
      <c r="C269" s="18" t="inlineStr">
        <is>
          <t>wurmple</t>
        </is>
      </c>
      <c r="D269" s="18" t="inlineStr">
        <is>
          <t>Wurmple</t>
        </is>
      </c>
      <c r="E269" s="18" t="n">
        <v>3</v>
      </c>
      <c r="F269" s="18" t="inlineStr">
        <is>
          <t>generation3</t>
        </is>
      </c>
      <c r="G269" s="18" t="inlineStr">
        <is>
          <t>bug</t>
        </is>
      </c>
      <c r="H269" s="18" t="inlineStr"/>
      <c r="I269" s="18" t="inlineStr">
        <is>
          <t>아니오</t>
        </is>
      </c>
      <c r="J269" s="18" t="inlineStr">
        <is>
          <t>아니오</t>
        </is>
      </c>
      <c r="K269" s="18" t="inlineStr">
        <is>
          <t>예</t>
        </is>
      </c>
      <c r="L269" s="18" t="inlineStr">
        <is>
          <t>COBBLEVERSE 추가</t>
        </is>
      </c>
      <c r="M269" s="18">
        <f>COUNTIF('스폰_편집'!$D$5:$D$3125,A269)</f>
        <v/>
      </c>
      <c r="N269" s="18">
        <f>COUNTIFS('스폰_편집'!$D$5:$D$3125,A269,'스폰_편집'!$B$5:$B$3125,"사용")</f>
        <v/>
      </c>
      <c r="O269" s="18" t="n">
        <v>2</v>
      </c>
      <c r="P269" s="18" t="inlineStr">
        <is>
          <t>#cobblemon:is_forest; #cobblemon:is_jungle</t>
        </is>
      </c>
      <c r="Q269" s="18" t="inlineStr">
        <is>
          <t>common</t>
        </is>
      </c>
      <c r="R269" s="18" t="inlineStr">
        <is>
          <t>region_01</t>
        </is>
      </c>
      <c r="S269" s="18" t="inlineStr">
        <is>
          <t>cobbleventure:generation_3</t>
        </is>
      </c>
      <c r="T269" s="18">
        <f>IF(M269=0,"없음",IF(N269=0,"전부 제외","사용"))</f>
        <v/>
      </c>
      <c r="U269" s="18" t="inlineStr"/>
    </row>
    <row r="270" ht="30" customHeight="1">
      <c r="A270" s="18" t="n">
        <v>266</v>
      </c>
      <c r="B270" s="18" t="inlineStr">
        <is>
          <t>실쿤</t>
        </is>
      </c>
      <c r="C270" s="18" t="inlineStr">
        <is>
          <t>silcoon</t>
        </is>
      </c>
      <c r="D270" s="18" t="inlineStr">
        <is>
          <t>Silcoon</t>
        </is>
      </c>
      <c r="E270" s="18" t="n">
        <v>3</v>
      </c>
      <c r="F270" s="18" t="inlineStr">
        <is>
          <t>generation3</t>
        </is>
      </c>
      <c r="G270" s="18" t="inlineStr">
        <is>
          <t>bug</t>
        </is>
      </c>
      <c r="H270" s="18" t="inlineStr"/>
      <c r="I270" s="18" t="inlineStr">
        <is>
          <t>아니오</t>
        </is>
      </c>
      <c r="J270" s="18" t="inlineStr">
        <is>
          <t>아니오</t>
        </is>
      </c>
      <c r="K270" s="18" t="inlineStr">
        <is>
          <t>예</t>
        </is>
      </c>
      <c r="L270" s="18" t="inlineStr">
        <is>
          <t>COBBLEVERSE 추가</t>
        </is>
      </c>
      <c r="M270" s="18">
        <f>COUNTIF('스폰_편집'!$D$5:$D$3125,A270)</f>
        <v/>
      </c>
      <c r="N270" s="18">
        <f>COUNTIFS('스폰_편집'!$D$5:$D$3125,A270,'스폰_편집'!$B$5:$B$3125,"사용")</f>
        <v/>
      </c>
      <c r="O270" s="18" t="n">
        <v>2</v>
      </c>
      <c r="P270" s="18" t="inlineStr">
        <is>
          <t>#cobblemon:is_forest; #cobblemon:is_jungle</t>
        </is>
      </c>
      <c r="Q270" s="18" t="inlineStr">
        <is>
          <t>uncommon</t>
        </is>
      </c>
      <c r="R270" s="18" t="inlineStr">
        <is>
          <t>region_01</t>
        </is>
      </c>
      <c r="S270" s="18" t="inlineStr">
        <is>
          <t>cobbleventure:generation_3</t>
        </is>
      </c>
      <c r="T270" s="18">
        <f>IF(M270=0,"없음",IF(N270=0,"전부 제외","사용"))</f>
        <v/>
      </c>
      <c r="U270" s="18" t="inlineStr"/>
    </row>
    <row r="271" ht="30" customHeight="1">
      <c r="A271" s="18" t="n">
        <v>267</v>
      </c>
      <c r="B271" s="18" t="inlineStr">
        <is>
          <t>뷰티플라이</t>
        </is>
      </c>
      <c r="C271" s="18" t="inlineStr">
        <is>
          <t>beautifly</t>
        </is>
      </c>
      <c r="D271" s="18" t="inlineStr">
        <is>
          <t>Beautifly</t>
        </is>
      </c>
      <c r="E271" s="18" t="n">
        <v>3</v>
      </c>
      <c r="F271" s="18" t="inlineStr">
        <is>
          <t>generation3</t>
        </is>
      </c>
      <c r="G271" s="18" t="inlineStr">
        <is>
          <t>bug</t>
        </is>
      </c>
      <c r="H271" s="18" t="inlineStr">
        <is>
          <t>flying</t>
        </is>
      </c>
      <c r="I271" s="18" t="inlineStr">
        <is>
          <t>아니오</t>
        </is>
      </c>
      <c r="J271" s="18" t="inlineStr">
        <is>
          <t>아니오</t>
        </is>
      </c>
      <c r="K271" s="18" t="inlineStr">
        <is>
          <t>예</t>
        </is>
      </c>
      <c r="L271" s="18" t="inlineStr">
        <is>
          <t>COBBLEVERSE 추가</t>
        </is>
      </c>
      <c r="M271" s="18">
        <f>COUNTIF('스폰_편집'!$D$5:$D$3125,A271)</f>
        <v/>
      </c>
      <c r="N271" s="18">
        <f>COUNTIFS('스폰_편집'!$D$5:$D$3125,A271,'스폰_편집'!$B$5:$B$3125,"사용")</f>
        <v/>
      </c>
      <c r="O271" s="18" t="n">
        <v>3</v>
      </c>
      <c r="P271" s="18" t="inlineStr">
        <is>
          <t>#cobblemon:is_floral; #cobblemon:is_forest; #cobblemon:is_jungle</t>
        </is>
      </c>
      <c r="Q271" s="18" t="inlineStr">
        <is>
          <t>uncommon</t>
        </is>
      </c>
      <c r="R271" s="18" t="inlineStr">
        <is>
          <t>region_01</t>
        </is>
      </c>
      <c r="S271" s="18" t="inlineStr">
        <is>
          <t>cobbleventure:generation_3</t>
        </is>
      </c>
      <c r="T271" s="18">
        <f>IF(M271=0,"없음",IF(N271=0,"전부 제외","사용"))</f>
        <v/>
      </c>
      <c r="U271" s="18" t="inlineStr"/>
    </row>
    <row r="272" ht="30" customHeight="1">
      <c r="A272" s="18" t="n">
        <v>268</v>
      </c>
      <c r="B272" s="18" t="inlineStr">
        <is>
          <t>카스쿤</t>
        </is>
      </c>
      <c r="C272" s="18" t="inlineStr">
        <is>
          <t>cascoon</t>
        </is>
      </c>
      <c r="D272" s="18" t="inlineStr">
        <is>
          <t>Cascoon</t>
        </is>
      </c>
      <c r="E272" s="18" t="n">
        <v>3</v>
      </c>
      <c r="F272" s="18" t="inlineStr">
        <is>
          <t>generation3</t>
        </is>
      </c>
      <c r="G272" s="18" t="inlineStr">
        <is>
          <t>bug</t>
        </is>
      </c>
      <c r="H272" s="18" t="inlineStr"/>
      <c r="I272" s="18" t="inlineStr">
        <is>
          <t>아니오</t>
        </is>
      </c>
      <c r="J272" s="18" t="inlineStr">
        <is>
          <t>아니오</t>
        </is>
      </c>
      <c r="K272" s="18" t="inlineStr">
        <is>
          <t>예</t>
        </is>
      </c>
      <c r="L272" s="18" t="inlineStr">
        <is>
          <t>COBBLEVERSE 추가</t>
        </is>
      </c>
      <c r="M272" s="18">
        <f>COUNTIF('스폰_편집'!$D$5:$D$3125,A272)</f>
        <v/>
      </c>
      <c r="N272" s="18">
        <f>COUNTIFS('스폰_편집'!$D$5:$D$3125,A272,'스폰_편집'!$B$5:$B$3125,"사용")</f>
        <v/>
      </c>
      <c r="O272" s="18" t="n">
        <v>2</v>
      </c>
      <c r="P272" s="18" t="inlineStr">
        <is>
          <t>#cobblemon:is_forest; #cobblemon:is_jungle</t>
        </is>
      </c>
      <c r="Q272" s="18" t="inlineStr">
        <is>
          <t>uncommon</t>
        </is>
      </c>
      <c r="R272" s="18" t="inlineStr">
        <is>
          <t>region_01</t>
        </is>
      </c>
      <c r="S272" s="18" t="inlineStr">
        <is>
          <t>cobbleventure:generation_3</t>
        </is>
      </c>
      <c r="T272" s="18">
        <f>IF(M272=0,"없음",IF(N272=0,"전부 제외","사용"))</f>
        <v/>
      </c>
      <c r="U272" s="18" t="inlineStr"/>
    </row>
    <row r="273" ht="30" customHeight="1">
      <c r="A273" s="18" t="n">
        <v>269</v>
      </c>
      <c r="B273" s="18" t="inlineStr">
        <is>
          <t>독케일</t>
        </is>
      </c>
      <c r="C273" s="18" t="inlineStr">
        <is>
          <t>dustox</t>
        </is>
      </c>
      <c r="D273" s="18" t="inlineStr">
        <is>
          <t>Dustox</t>
        </is>
      </c>
      <c r="E273" s="18" t="n">
        <v>3</v>
      </c>
      <c r="F273" s="18" t="inlineStr">
        <is>
          <t>generation3</t>
        </is>
      </c>
      <c r="G273" s="18" t="inlineStr">
        <is>
          <t>bug</t>
        </is>
      </c>
      <c r="H273" s="18" t="inlineStr">
        <is>
          <t>poison</t>
        </is>
      </c>
      <c r="I273" s="18" t="inlineStr">
        <is>
          <t>아니오</t>
        </is>
      </c>
      <c r="J273" s="18" t="inlineStr">
        <is>
          <t>아니오</t>
        </is>
      </c>
      <c r="K273" s="18" t="inlineStr">
        <is>
          <t>예</t>
        </is>
      </c>
      <c r="L273" s="18" t="inlineStr">
        <is>
          <t>COBBLEVERSE 추가</t>
        </is>
      </c>
      <c r="M273" s="18">
        <f>COUNTIF('스폰_편집'!$D$5:$D$3125,A273)</f>
        <v/>
      </c>
      <c r="N273" s="18">
        <f>COUNTIFS('스폰_편집'!$D$5:$D$3125,A273,'스폰_편집'!$B$5:$B$3125,"사용")</f>
        <v/>
      </c>
      <c r="O273" s="18" t="n">
        <v>2</v>
      </c>
      <c r="P273" s="18" t="inlineStr">
        <is>
          <t>#cobblemon:is_forest; #cobblemon:is_jungle</t>
        </is>
      </c>
      <c r="Q273" s="18" t="inlineStr">
        <is>
          <t>uncommon</t>
        </is>
      </c>
      <c r="R273" s="18" t="inlineStr">
        <is>
          <t>region_01</t>
        </is>
      </c>
      <c r="S273" s="18" t="inlineStr">
        <is>
          <t>cobbleventure:generation_3</t>
        </is>
      </c>
      <c r="T273" s="18">
        <f>IF(M273=0,"없음",IF(N273=0,"전부 제외","사용"))</f>
        <v/>
      </c>
      <c r="U273" s="18" t="inlineStr"/>
    </row>
    <row r="274" ht="30" customHeight="1">
      <c r="A274" s="18" t="n">
        <v>270</v>
      </c>
      <c r="B274" s="18" t="inlineStr">
        <is>
          <t>연꽃몬</t>
        </is>
      </c>
      <c r="C274" s="18" t="inlineStr">
        <is>
          <t>lotad</t>
        </is>
      </c>
      <c r="D274" s="18" t="inlineStr">
        <is>
          <t>Lotad</t>
        </is>
      </c>
      <c r="E274" s="18" t="n">
        <v>3</v>
      </c>
      <c r="F274" s="18" t="inlineStr">
        <is>
          <t>generation3</t>
        </is>
      </c>
      <c r="G274" s="18" t="inlineStr">
        <is>
          <t>water</t>
        </is>
      </c>
      <c r="H274" s="18" t="inlineStr">
        <is>
          <t>grass</t>
        </is>
      </c>
      <c r="I274" s="18" t="inlineStr">
        <is>
          <t>예</t>
        </is>
      </c>
      <c r="J274" s="18" t="inlineStr">
        <is>
          <t>예</t>
        </is>
      </c>
      <c r="K274" s="18" t="inlineStr">
        <is>
          <t>예</t>
        </is>
      </c>
      <c r="L274" s="18" t="inlineStr">
        <is>
          <t>Cobblemon 동일</t>
        </is>
      </c>
      <c r="M274" s="18">
        <f>COUNTIF('스폰_편집'!$D$5:$D$3125,A274)</f>
        <v/>
      </c>
      <c r="N274" s="18">
        <f>COUNTIFS('스폰_편집'!$D$5:$D$3125,A274,'스폰_편집'!$B$5:$B$3125,"사용")</f>
        <v/>
      </c>
      <c r="O274" s="18" t="n">
        <v>3</v>
      </c>
      <c r="P274" s="18" t="inlineStr">
        <is>
          <t>#cobblemon:is_forest; #cobblemon:is_jungle; #cobblemon:is_swamp</t>
        </is>
      </c>
      <c r="Q274" s="18" t="inlineStr">
        <is>
          <t>common</t>
        </is>
      </c>
      <c r="R274" s="18" t="inlineStr">
        <is>
          <t>region_01; region_02</t>
        </is>
      </c>
      <c r="S274" s="18" t="inlineStr">
        <is>
          <t>cobbleventure:generation_3</t>
        </is>
      </c>
      <c r="T274" s="18">
        <f>IF(M274=0,"없음",IF(N274=0,"전부 제외","사용"))</f>
        <v/>
      </c>
      <c r="U274" s="18" t="inlineStr"/>
    </row>
    <row r="275" ht="30" customHeight="1">
      <c r="A275" s="18" t="n">
        <v>271</v>
      </c>
      <c r="B275" s="18" t="inlineStr">
        <is>
          <t>로토스</t>
        </is>
      </c>
      <c r="C275" s="18" t="inlineStr">
        <is>
          <t>lombre</t>
        </is>
      </c>
      <c r="D275" s="18" t="inlineStr">
        <is>
          <t>Lombre</t>
        </is>
      </c>
      <c r="E275" s="18" t="n">
        <v>3</v>
      </c>
      <c r="F275" s="18" t="inlineStr">
        <is>
          <t>generation3</t>
        </is>
      </c>
      <c r="G275" s="18" t="inlineStr">
        <is>
          <t>water</t>
        </is>
      </c>
      <c r="H275" s="18" t="inlineStr">
        <is>
          <t>grass</t>
        </is>
      </c>
      <c r="I275" s="18" t="inlineStr">
        <is>
          <t>예</t>
        </is>
      </c>
      <c r="J275" s="18" t="inlineStr">
        <is>
          <t>예</t>
        </is>
      </c>
      <c r="K275" s="18" t="inlineStr">
        <is>
          <t>예</t>
        </is>
      </c>
      <c r="L275" s="18" t="inlineStr">
        <is>
          <t>Cobblemon 동일</t>
        </is>
      </c>
      <c r="M275" s="18">
        <f>COUNTIF('스폰_편집'!$D$5:$D$3125,A275)</f>
        <v/>
      </c>
      <c r="N275" s="18">
        <f>COUNTIFS('스폰_편집'!$D$5:$D$3125,A275,'스폰_편집'!$B$5:$B$3125,"사용")</f>
        <v/>
      </c>
      <c r="O275" s="18" t="n">
        <v>3</v>
      </c>
      <c r="P275" s="18" t="inlineStr">
        <is>
          <t>#cobblemon:is_forest; #cobblemon:is_jungle; #cobblemon:is_swamp</t>
        </is>
      </c>
      <c r="Q275" s="18" t="inlineStr">
        <is>
          <t>common</t>
        </is>
      </c>
      <c r="R275" s="18" t="inlineStr">
        <is>
          <t>region_01; region_02</t>
        </is>
      </c>
      <c r="S275" s="18" t="inlineStr">
        <is>
          <t>cobbleventure:generation_3</t>
        </is>
      </c>
      <c r="T275" s="18">
        <f>IF(M275=0,"없음",IF(N275=0,"전부 제외","사용"))</f>
        <v/>
      </c>
      <c r="U275" s="18" t="inlineStr"/>
    </row>
    <row r="276" ht="30" customHeight="1">
      <c r="A276" s="18" t="n">
        <v>272</v>
      </c>
      <c r="B276" s="18" t="inlineStr">
        <is>
          <t>로파파</t>
        </is>
      </c>
      <c r="C276" s="18" t="inlineStr">
        <is>
          <t>ludicolo</t>
        </is>
      </c>
      <c r="D276" s="18" t="inlineStr">
        <is>
          <t>Ludicolo</t>
        </is>
      </c>
      <c r="E276" s="18" t="n">
        <v>3</v>
      </c>
      <c r="F276" s="18" t="inlineStr">
        <is>
          <t>generation3</t>
        </is>
      </c>
      <c r="G276" s="18" t="inlineStr">
        <is>
          <t>water</t>
        </is>
      </c>
      <c r="H276" s="18" t="inlineStr">
        <is>
          <t>grass</t>
        </is>
      </c>
      <c r="I276" s="18" t="inlineStr">
        <is>
          <t>예</t>
        </is>
      </c>
      <c r="J276" s="18" t="inlineStr">
        <is>
          <t>예</t>
        </is>
      </c>
      <c r="K276" s="18" t="inlineStr">
        <is>
          <t>예</t>
        </is>
      </c>
      <c r="L276" s="18" t="inlineStr">
        <is>
          <t>Cobblemon 동일</t>
        </is>
      </c>
      <c r="M276" s="18">
        <f>COUNTIF('스폰_편집'!$D$5:$D$3125,A276)</f>
        <v/>
      </c>
      <c r="N276" s="18">
        <f>COUNTIFS('스폰_편집'!$D$5:$D$3125,A276,'스폰_편집'!$B$5:$B$3125,"사용")</f>
        <v/>
      </c>
      <c r="O276" s="18" t="n">
        <v>3</v>
      </c>
      <c r="P276" s="18" t="inlineStr">
        <is>
          <t>#cobblemon:is_forest; #cobblemon:is_jungle; #cobblemon:is_swamp</t>
        </is>
      </c>
      <c r="Q276" s="18" t="inlineStr">
        <is>
          <t>common</t>
        </is>
      </c>
      <c r="R276" s="18" t="inlineStr">
        <is>
          <t>region_01; region_02</t>
        </is>
      </c>
      <c r="S276" s="18" t="inlineStr">
        <is>
          <t>cobbleventure:generation_3</t>
        </is>
      </c>
      <c r="T276" s="18">
        <f>IF(M276=0,"없음",IF(N276=0,"전부 제외","사용"))</f>
        <v/>
      </c>
      <c r="U276" s="18" t="inlineStr"/>
    </row>
    <row r="277" ht="30" customHeight="1">
      <c r="A277" s="18" t="n">
        <v>273</v>
      </c>
      <c r="B277" s="18" t="inlineStr">
        <is>
          <t>도토링</t>
        </is>
      </c>
      <c r="C277" s="18" t="inlineStr">
        <is>
          <t>seedot</t>
        </is>
      </c>
      <c r="D277" s="18" t="inlineStr">
        <is>
          <t>Seedot</t>
        </is>
      </c>
      <c r="E277" s="18" t="n">
        <v>3</v>
      </c>
      <c r="F277" s="18" t="inlineStr">
        <is>
          <t>generation3</t>
        </is>
      </c>
      <c r="G277" s="18" t="inlineStr">
        <is>
          <t>grass</t>
        </is>
      </c>
      <c r="H277" s="18" t="inlineStr"/>
      <c r="I277" s="18" t="inlineStr">
        <is>
          <t>예</t>
        </is>
      </c>
      <c r="J277" s="18" t="inlineStr">
        <is>
          <t>예</t>
        </is>
      </c>
      <c r="K277" s="18" t="inlineStr">
        <is>
          <t>예</t>
        </is>
      </c>
      <c r="L277" s="18" t="inlineStr">
        <is>
          <t>Cobblemon 동일</t>
        </is>
      </c>
      <c r="M277" s="18">
        <f>COUNTIF('스폰_편집'!$D$5:$D$3125,A277)</f>
        <v/>
      </c>
      <c r="N277" s="18">
        <f>COUNTIFS('스폰_편집'!$D$5:$D$3125,A277,'스폰_편집'!$B$5:$B$3125,"사용")</f>
        <v/>
      </c>
      <c r="O277" s="18" t="n">
        <v>3</v>
      </c>
      <c r="P277" s="18" t="inlineStr">
        <is>
          <t>#cobblemon:is_forest; aether:skyroot_forest; aether:skyroot_woodland</t>
        </is>
      </c>
      <c r="Q277" s="18" t="inlineStr">
        <is>
          <t>common</t>
        </is>
      </c>
      <c r="R277" s="18" t="inlineStr">
        <is>
          <t>region_01</t>
        </is>
      </c>
      <c r="S277" s="18" t="inlineStr">
        <is>
          <t>cobbleventure:generation_3</t>
        </is>
      </c>
      <c r="T277" s="18">
        <f>IF(M277=0,"없음",IF(N277=0,"전부 제외","사용"))</f>
        <v/>
      </c>
      <c r="U277" s="18" t="inlineStr"/>
    </row>
    <row r="278" ht="30" customHeight="1">
      <c r="A278" s="18" t="n">
        <v>274</v>
      </c>
      <c r="B278" s="18" t="inlineStr">
        <is>
          <t>잎새코</t>
        </is>
      </c>
      <c r="C278" s="18" t="inlineStr">
        <is>
          <t>nuzleaf</t>
        </is>
      </c>
      <c r="D278" s="18" t="inlineStr">
        <is>
          <t>Nuzleaf</t>
        </is>
      </c>
      <c r="E278" s="18" t="n">
        <v>3</v>
      </c>
      <c r="F278" s="18" t="inlineStr">
        <is>
          <t>generation3</t>
        </is>
      </c>
      <c r="G278" s="18" t="inlineStr">
        <is>
          <t>grass</t>
        </is>
      </c>
      <c r="H278" s="18" t="inlineStr">
        <is>
          <t>dark</t>
        </is>
      </c>
      <c r="I278" s="18" t="inlineStr">
        <is>
          <t>예</t>
        </is>
      </c>
      <c r="J278" s="18" t="inlineStr">
        <is>
          <t>예</t>
        </is>
      </c>
      <c r="K278" s="18" t="inlineStr">
        <is>
          <t>예</t>
        </is>
      </c>
      <c r="L278" s="18" t="inlineStr">
        <is>
          <t>Cobblemon 동일</t>
        </is>
      </c>
      <c r="M278" s="18">
        <f>COUNTIF('스폰_편집'!$D$5:$D$3125,A278)</f>
        <v/>
      </c>
      <c r="N278" s="18">
        <f>COUNTIFS('스폰_편집'!$D$5:$D$3125,A278,'스폰_편집'!$B$5:$B$3125,"사용")</f>
        <v/>
      </c>
      <c r="O278" s="18" t="n">
        <v>3</v>
      </c>
      <c r="P278" s="18" t="inlineStr">
        <is>
          <t>#cobblemon:is_forest; aether:skyroot_forest; aether:skyroot_woodland</t>
        </is>
      </c>
      <c r="Q278" s="18" t="inlineStr">
        <is>
          <t>common</t>
        </is>
      </c>
      <c r="R278" s="18" t="inlineStr">
        <is>
          <t>region_01</t>
        </is>
      </c>
      <c r="S278" s="18" t="inlineStr">
        <is>
          <t>cobbleventure:generation_3</t>
        </is>
      </c>
      <c r="T278" s="18">
        <f>IF(M278=0,"없음",IF(N278=0,"전부 제외","사용"))</f>
        <v/>
      </c>
      <c r="U278" s="18" t="inlineStr"/>
    </row>
    <row r="279" ht="30" customHeight="1">
      <c r="A279" s="18" t="n">
        <v>275</v>
      </c>
      <c r="B279" s="18" t="inlineStr">
        <is>
          <t>다탱구</t>
        </is>
      </c>
      <c r="C279" s="18" t="inlineStr">
        <is>
          <t>shiftry</t>
        </is>
      </c>
      <c r="D279" s="18" t="inlineStr">
        <is>
          <t>Shiftry</t>
        </is>
      </c>
      <c r="E279" s="18" t="n">
        <v>3</v>
      </c>
      <c r="F279" s="18" t="inlineStr">
        <is>
          <t>generation3</t>
        </is>
      </c>
      <c r="G279" s="18" t="inlineStr">
        <is>
          <t>grass</t>
        </is>
      </c>
      <c r="H279" s="18" t="inlineStr">
        <is>
          <t>dark</t>
        </is>
      </c>
      <c r="I279" s="18" t="inlineStr">
        <is>
          <t>예</t>
        </is>
      </c>
      <c r="J279" s="18" t="inlineStr">
        <is>
          <t>예</t>
        </is>
      </c>
      <c r="K279" s="18" t="inlineStr">
        <is>
          <t>예</t>
        </is>
      </c>
      <c r="L279" s="18" t="inlineStr">
        <is>
          <t>Cobblemon 동일</t>
        </is>
      </c>
      <c r="M279" s="18">
        <f>COUNTIF('스폰_편집'!$D$5:$D$3125,A279)</f>
        <v/>
      </c>
      <c r="N279" s="18">
        <f>COUNTIFS('스폰_편집'!$D$5:$D$3125,A279,'스폰_편집'!$B$5:$B$3125,"사용")</f>
        <v/>
      </c>
      <c r="O279" s="18" t="n">
        <v>3</v>
      </c>
      <c r="P279" s="18" t="inlineStr">
        <is>
          <t>#cobblemon:is_forest; aether:skyroot_forest; aether:skyroot_woodland</t>
        </is>
      </c>
      <c r="Q279" s="18" t="inlineStr">
        <is>
          <t>common</t>
        </is>
      </c>
      <c r="R279" s="18" t="inlineStr">
        <is>
          <t>region_01</t>
        </is>
      </c>
      <c r="S279" s="18" t="inlineStr">
        <is>
          <t>cobbleventure:generation_3</t>
        </is>
      </c>
      <c r="T279" s="18">
        <f>IF(M279=0,"없음",IF(N279=0,"전부 제외","사용"))</f>
        <v/>
      </c>
      <c r="U279" s="18" t="inlineStr"/>
    </row>
    <row r="280" ht="30" customHeight="1">
      <c r="A280" s="18" t="n">
        <v>276</v>
      </c>
      <c r="B280" s="18" t="inlineStr">
        <is>
          <t>테일로</t>
        </is>
      </c>
      <c r="C280" s="18" t="inlineStr">
        <is>
          <t>taillow</t>
        </is>
      </c>
      <c r="D280" s="18" t="inlineStr">
        <is>
          <t>Taillow</t>
        </is>
      </c>
      <c r="E280" s="18" t="n">
        <v>3</v>
      </c>
      <c r="F280" s="18" t="inlineStr">
        <is>
          <t>generation3</t>
        </is>
      </c>
      <c r="G280" s="18" t="inlineStr">
        <is>
          <t>normal</t>
        </is>
      </c>
      <c r="H280" s="18" t="inlineStr">
        <is>
          <t>flying</t>
        </is>
      </c>
      <c r="I280" s="18" t="inlineStr">
        <is>
          <t>예</t>
        </is>
      </c>
      <c r="J280" s="18" t="inlineStr">
        <is>
          <t>예</t>
        </is>
      </c>
      <c r="K280" s="18" t="inlineStr">
        <is>
          <t>예</t>
        </is>
      </c>
      <c r="L280" s="18" t="inlineStr">
        <is>
          <t>Cobblemon 동일</t>
        </is>
      </c>
      <c r="M280" s="18">
        <f>COUNTIF('스폰_편집'!$D$5:$D$3125,A280)</f>
        <v/>
      </c>
      <c r="N280" s="18">
        <f>COUNTIFS('스폰_편집'!$D$5:$D$3125,A280,'스폰_편집'!$B$5:$B$3125,"사용")</f>
        <v/>
      </c>
      <c r="O280" s="18" t="n">
        <v>3</v>
      </c>
      <c r="P280" s="18" t="inlineStr">
        <is>
          <t>#aether:is_aether; #cobblemon:is_sky; #cobblemon:is_temperate</t>
        </is>
      </c>
      <c r="Q280" s="18" t="inlineStr">
        <is>
          <t>common</t>
        </is>
      </c>
      <c r="R280" s="18" t="inlineStr">
        <is>
          <t>region_01</t>
        </is>
      </c>
      <c r="S280" s="18" t="inlineStr">
        <is>
          <t>cobbleventure:generation_3</t>
        </is>
      </c>
      <c r="T280" s="18">
        <f>IF(M280=0,"없음",IF(N280=0,"전부 제외","사용"))</f>
        <v/>
      </c>
      <c r="U280" s="18" t="inlineStr"/>
    </row>
    <row r="281" ht="30" customHeight="1">
      <c r="A281" s="18" t="n">
        <v>277</v>
      </c>
      <c r="B281" s="18" t="inlineStr">
        <is>
          <t>스왈로</t>
        </is>
      </c>
      <c r="C281" s="18" t="inlineStr">
        <is>
          <t>swellow</t>
        </is>
      </c>
      <c r="D281" s="18" t="inlineStr">
        <is>
          <t>Swellow</t>
        </is>
      </c>
      <c r="E281" s="18" t="n">
        <v>3</v>
      </c>
      <c r="F281" s="18" t="inlineStr">
        <is>
          <t>generation3</t>
        </is>
      </c>
      <c r="G281" s="18" t="inlineStr">
        <is>
          <t>normal</t>
        </is>
      </c>
      <c r="H281" s="18" t="inlineStr">
        <is>
          <t>flying</t>
        </is>
      </c>
      <c r="I281" s="18" t="inlineStr">
        <is>
          <t>예</t>
        </is>
      </c>
      <c r="J281" s="18" t="inlineStr">
        <is>
          <t>예</t>
        </is>
      </c>
      <c r="K281" s="18" t="inlineStr">
        <is>
          <t>예</t>
        </is>
      </c>
      <c r="L281" s="18" t="inlineStr">
        <is>
          <t>Cobblemon 동일</t>
        </is>
      </c>
      <c r="M281" s="18">
        <f>COUNTIF('스폰_편집'!$D$5:$D$3125,A281)</f>
        <v/>
      </c>
      <c r="N281" s="18">
        <f>COUNTIFS('스폰_편집'!$D$5:$D$3125,A281,'스폰_편집'!$B$5:$B$3125,"사용")</f>
        <v/>
      </c>
      <c r="O281" s="18" t="n">
        <v>3</v>
      </c>
      <c r="P281" s="18" t="inlineStr">
        <is>
          <t>#aether:is_aether; #cobblemon:is_sky; #cobblemon:is_temperate</t>
        </is>
      </c>
      <c r="Q281" s="18" t="inlineStr">
        <is>
          <t>common</t>
        </is>
      </c>
      <c r="R281" s="18" t="inlineStr">
        <is>
          <t>region_01</t>
        </is>
      </c>
      <c r="S281" s="18" t="inlineStr">
        <is>
          <t>cobbleventure:generation_3</t>
        </is>
      </c>
      <c r="T281" s="18">
        <f>IF(M281=0,"없음",IF(N281=0,"전부 제외","사용"))</f>
        <v/>
      </c>
      <c r="U281" s="18" t="inlineStr"/>
    </row>
    <row r="282" ht="30" customHeight="1">
      <c r="A282" s="18" t="n">
        <v>278</v>
      </c>
      <c r="B282" s="18" t="inlineStr">
        <is>
          <t>갈모매</t>
        </is>
      </c>
      <c r="C282" s="18" t="inlineStr">
        <is>
          <t>wingull</t>
        </is>
      </c>
      <c r="D282" s="18" t="inlineStr">
        <is>
          <t>Wingull</t>
        </is>
      </c>
      <c r="E282" s="18" t="n">
        <v>3</v>
      </c>
      <c r="F282" s="18" t="inlineStr">
        <is>
          <t>generation3</t>
        </is>
      </c>
      <c r="G282" s="18" t="inlineStr">
        <is>
          <t>water</t>
        </is>
      </c>
      <c r="H282" s="18" t="inlineStr">
        <is>
          <t>flying</t>
        </is>
      </c>
      <c r="I282" s="18" t="inlineStr">
        <is>
          <t>예</t>
        </is>
      </c>
      <c r="J282" s="18" t="inlineStr">
        <is>
          <t>예</t>
        </is>
      </c>
      <c r="K282" s="18" t="inlineStr">
        <is>
          <t>예</t>
        </is>
      </c>
      <c r="L282" s="18" t="inlineStr">
        <is>
          <t>COBBLEVERSE 수정</t>
        </is>
      </c>
      <c r="M282" s="18">
        <f>COUNTIF('스폰_편집'!$D$5:$D$3125,A282)</f>
        <v/>
      </c>
      <c r="N282" s="18">
        <f>COUNTIFS('스폰_편집'!$D$5:$D$3125,A282,'스폰_편집'!$B$5:$B$3125,"사용")</f>
        <v/>
      </c>
      <c r="O282" s="18" t="n">
        <v>4</v>
      </c>
      <c r="P282" s="18" t="inlineStr">
        <is>
          <t>#cobblemon:is_coast; #cobblemon:is_ocean; #cobblemon:is_sky; #cobblemon:is_tropical_island</t>
        </is>
      </c>
      <c r="Q282" s="18" t="inlineStr">
        <is>
          <t>common</t>
        </is>
      </c>
      <c r="R282" s="18" t="inlineStr"/>
      <c r="S282" s="18" t="inlineStr">
        <is>
          <t>cobbleventure:generation_3</t>
        </is>
      </c>
      <c r="T282" s="18">
        <f>IF(M282=0,"없음",IF(N282=0,"전부 제외","사용"))</f>
        <v/>
      </c>
      <c r="U282" s="18" t="inlineStr"/>
    </row>
    <row r="283" ht="30" customHeight="1">
      <c r="A283" s="18" t="n">
        <v>279</v>
      </c>
      <c r="B283" s="18" t="inlineStr">
        <is>
          <t>패리퍼</t>
        </is>
      </c>
      <c r="C283" s="18" t="inlineStr">
        <is>
          <t>pelipper</t>
        </is>
      </c>
      <c r="D283" s="18" t="inlineStr">
        <is>
          <t>Pelipper</t>
        </is>
      </c>
      <c r="E283" s="18" t="n">
        <v>3</v>
      </c>
      <c r="F283" s="18" t="inlineStr">
        <is>
          <t>generation3</t>
        </is>
      </c>
      <c r="G283" s="18" t="inlineStr">
        <is>
          <t>water</t>
        </is>
      </c>
      <c r="H283" s="18" t="inlineStr">
        <is>
          <t>flying</t>
        </is>
      </c>
      <c r="I283" s="18" t="inlineStr">
        <is>
          <t>예</t>
        </is>
      </c>
      <c r="J283" s="18" t="inlineStr">
        <is>
          <t>예</t>
        </is>
      </c>
      <c r="K283" s="18" t="inlineStr">
        <is>
          <t>예</t>
        </is>
      </c>
      <c r="L283" s="18" t="inlineStr">
        <is>
          <t>COBBLEVERSE 수정</t>
        </is>
      </c>
      <c r="M283" s="18">
        <f>COUNTIF('스폰_편집'!$D$5:$D$3125,A283)</f>
        <v/>
      </c>
      <c r="N283" s="18">
        <f>COUNTIFS('스폰_편집'!$D$5:$D$3125,A283,'스폰_편집'!$B$5:$B$3125,"사용")</f>
        <v/>
      </c>
      <c r="O283" s="18" t="n">
        <v>4</v>
      </c>
      <c r="P283" s="18" t="inlineStr">
        <is>
          <t>#cobblemon:is_coast; #cobblemon:is_ocean; #cobblemon:is_sky; #cobblemon:is_tropical_island</t>
        </is>
      </c>
      <c r="Q283" s="18" t="inlineStr">
        <is>
          <t>common</t>
        </is>
      </c>
      <c r="R283" s="18" t="inlineStr"/>
      <c r="S283" s="18" t="inlineStr">
        <is>
          <t>cobbleventure:generation_3</t>
        </is>
      </c>
      <c r="T283" s="18">
        <f>IF(M283=0,"없음",IF(N283=0,"전부 제외","사용"))</f>
        <v/>
      </c>
      <c r="U283" s="18" t="inlineStr"/>
    </row>
    <row r="284" ht="30" customHeight="1">
      <c r="A284" s="18" t="n">
        <v>280</v>
      </c>
      <c r="B284" s="18" t="inlineStr">
        <is>
          <t>랄토스</t>
        </is>
      </c>
      <c r="C284" s="18" t="inlineStr">
        <is>
          <t>ralts</t>
        </is>
      </c>
      <c r="D284" s="18" t="inlineStr">
        <is>
          <t>Ralts</t>
        </is>
      </c>
      <c r="E284" s="18" t="n">
        <v>3</v>
      </c>
      <c r="F284" s="18" t="inlineStr">
        <is>
          <t>generation3</t>
        </is>
      </c>
      <c r="G284" s="18" t="inlineStr">
        <is>
          <t>psychic</t>
        </is>
      </c>
      <c r="H284" s="18" t="inlineStr">
        <is>
          <t>fairy</t>
        </is>
      </c>
      <c r="I284" s="18" t="inlineStr">
        <is>
          <t>예</t>
        </is>
      </c>
      <c r="J284" s="18" t="inlineStr">
        <is>
          <t>예</t>
        </is>
      </c>
      <c r="K284" s="18" t="inlineStr">
        <is>
          <t>예</t>
        </is>
      </c>
      <c r="L284" s="18" t="inlineStr">
        <is>
          <t>COBBLEVERSE 수정</t>
        </is>
      </c>
      <c r="M284" s="18">
        <f>COUNTIF('스폰_편집'!$D$5:$D$3125,A284)</f>
        <v/>
      </c>
      <c r="N284" s="18">
        <f>COUNTIFS('스폰_편집'!$D$5:$D$3125,A284,'스폰_편집'!$B$5:$B$3125,"사용")</f>
        <v/>
      </c>
      <c r="O284" s="18" t="n">
        <v>6</v>
      </c>
      <c r="P284" s="18" t="inlineStr">
        <is>
          <t>#cobblemon:is_floral; #cobblemon:is_magical; #cobblemon:is_overworld; #cobblemon:is_snowy_forest; aether:skyroot_grove; aether:skyroot_meadow</t>
        </is>
      </c>
      <c r="Q284" s="18" t="inlineStr">
        <is>
          <t>common; rare</t>
        </is>
      </c>
      <c r="R284" s="18" t="inlineStr">
        <is>
          <t>region_01; region_02</t>
        </is>
      </c>
      <c r="S284" s="18" t="inlineStr">
        <is>
          <t>cobbleventure:generation_3</t>
        </is>
      </c>
      <c r="T284" s="18">
        <f>IF(M284=0,"없음",IF(N284=0,"전부 제외","사용"))</f>
        <v/>
      </c>
      <c r="U284" s="18" t="inlineStr"/>
    </row>
    <row r="285" ht="30" customHeight="1">
      <c r="A285" s="18" t="n">
        <v>281</v>
      </c>
      <c r="B285" s="18" t="inlineStr">
        <is>
          <t>킬리아</t>
        </is>
      </c>
      <c r="C285" s="18" t="inlineStr">
        <is>
          <t>kirlia</t>
        </is>
      </c>
      <c r="D285" s="18" t="inlineStr">
        <is>
          <t>Kirlia</t>
        </is>
      </c>
      <c r="E285" s="18" t="n">
        <v>3</v>
      </c>
      <c r="F285" s="18" t="inlineStr">
        <is>
          <t>generation3</t>
        </is>
      </c>
      <c r="G285" s="18" t="inlineStr">
        <is>
          <t>psychic</t>
        </is>
      </c>
      <c r="H285" s="18" t="inlineStr">
        <is>
          <t>fairy</t>
        </is>
      </c>
      <c r="I285" s="18" t="inlineStr">
        <is>
          <t>예</t>
        </is>
      </c>
      <c r="J285" s="18" t="inlineStr">
        <is>
          <t>예</t>
        </is>
      </c>
      <c r="K285" s="18" t="inlineStr">
        <is>
          <t>예</t>
        </is>
      </c>
      <c r="L285" s="18" t="inlineStr">
        <is>
          <t>COBBLEVERSE 수정</t>
        </is>
      </c>
      <c r="M285" s="18">
        <f>COUNTIF('스폰_편집'!$D$5:$D$3125,A285)</f>
        <v/>
      </c>
      <c r="N285" s="18">
        <f>COUNTIFS('스폰_편집'!$D$5:$D$3125,A285,'스폰_편집'!$B$5:$B$3125,"사용")</f>
        <v/>
      </c>
      <c r="O285" s="18" t="n">
        <v>6</v>
      </c>
      <c r="P285" s="18" t="inlineStr">
        <is>
          <t>#cobblemon:is_floral; #cobblemon:is_magical; #cobblemon:is_overworld; #cobblemon:is_snowy_forest; aether:skyroot_grove; aether:skyroot_meadow</t>
        </is>
      </c>
      <c r="Q285" s="18" t="inlineStr">
        <is>
          <t>common; rare</t>
        </is>
      </c>
      <c r="R285" s="18" t="inlineStr">
        <is>
          <t>region_01; region_02</t>
        </is>
      </c>
      <c r="S285" s="18" t="inlineStr">
        <is>
          <t>cobbleventure:generation_3</t>
        </is>
      </c>
      <c r="T285" s="18">
        <f>IF(M285=0,"없음",IF(N285=0,"전부 제외","사용"))</f>
        <v/>
      </c>
      <c r="U285" s="18" t="inlineStr"/>
    </row>
    <row r="286" ht="30" customHeight="1">
      <c r="A286" s="18" t="n">
        <v>282</v>
      </c>
      <c r="B286" s="18" t="inlineStr">
        <is>
          <t>가디안</t>
        </is>
      </c>
      <c r="C286" s="18" t="inlineStr">
        <is>
          <t>gardevoir</t>
        </is>
      </c>
      <c r="D286" s="18" t="inlineStr">
        <is>
          <t>Gardevoir</t>
        </is>
      </c>
      <c r="E286" s="18" t="n">
        <v>3</v>
      </c>
      <c r="F286" s="18" t="inlineStr">
        <is>
          <t>generation3</t>
        </is>
      </c>
      <c r="G286" s="18" t="inlineStr">
        <is>
          <t>psychic</t>
        </is>
      </c>
      <c r="H286" s="18" t="inlineStr">
        <is>
          <t>fairy</t>
        </is>
      </c>
      <c r="I286" s="18" t="inlineStr">
        <is>
          <t>예</t>
        </is>
      </c>
      <c r="J286" s="18" t="inlineStr">
        <is>
          <t>예</t>
        </is>
      </c>
      <c r="K286" s="18" t="inlineStr">
        <is>
          <t>예</t>
        </is>
      </c>
      <c r="L286" s="18" t="inlineStr">
        <is>
          <t>COBBLEVERSE 수정</t>
        </is>
      </c>
      <c r="M286" s="18">
        <f>COUNTIF('스폰_편집'!$D$5:$D$3125,A286)</f>
        <v/>
      </c>
      <c r="N286" s="18">
        <f>COUNTIFS('스폰_편집'!$D$5:$D$3125,A286,'스폰_편집'!$B$5:$B$3125,"사용")</f>
        <v/>
      </c>
      <c r="O286" s="18" t="n">
        <v>6</v>
      </c>
      <c r="P286" s="18" t="inlineStr">
        <is>
          <t>#cobblemon:is_floral; #cobblemon:is_magical; #cobblemon:is_overworld; #cobblemon:is_snowy_forest; aether:skyroot_grove; aether:skyroot_meadow</t>
        </is>
      </c>
      <c r="Q286" s="18" t="inlineStr">
        <is>
          <t>common; rare</t>
        </is>
      </c>
      <c r="R286" s="18" t="inlineStr">
        <is>
          <t>region_01; region_02</t>
        </is>
      </c>
      <c r="S286" s="18" t="inlineStr">
        <is>
          <t>cobbleventure:generation_3</t>
        </is>
      </c>
      <c r="T286" s="18">
        <f>IF(M286=0,"없음",IF(N286=0,"전부 제외","사용"))</f>
        <v/>
      </c>
      <c r="U286" s="18" t="inlineStr"/>
    </row>
    <row r="287" ht="30" customHeight="1">
      <c r="A287" s="18" t="n">
        <v>283</v>
      </c>
      <c r="B287" s="18" t="inlineStr">
        <is>
          <t>비구술</t>
        </is>
      </c>
      <c r="C287" s="18" t="inlineStr">
        <is>
          <t>surskit</t>
        </is>
      </c>
      <c r="D287" s="18" t="inlineStr">
        <is>
          <t>Surskit</t>
        </is>
      </c>
      <c r="E287" s="18" t="n">
        <v>3</v>
      </c>
      <c r="F287" s="18" t="inlineStr">
        <is>
          <t>generation3</t>
        </is>
      </c>
      <c r="G287" s="18" t="inlineStr">
        <is>
          <t>bug</t>
        </is>
      </c>
      <c r="H287" s="18" t="inlineStr">
        <is>
          <t>water</t>
        </is>
      </c>
      <c r="I287" s="18" t="inlineStr">
        <is>
          <t>예</t>
        </is>
      </c>
      <c r="J287" s="18" t="inlineStr">
        <is>
          <t>예</t>
        </is>
      </c>
      <c r="K287" s="18" t="inlineStr">
        <is>
          <t>예</t>
        </is>
      </c>
      <c r="L287" s="18" t="inlineStr">
        <is>
          <t>Cobblemon 동일</t>
        </is>
      </c>
      <c r="M287" s="18">
        <f>COUNTIF('스폰_편집'!$D$5:$D$3125,A287)</f>
        <v/>
      </c>
      <c r="N287" s="18">
        <f>COUNTIFS('스폰_편집'!$D$5:$D$3125,A287,'스폰_편집'!$B$5:$B$3125,"사용")</f>
        <v/>
      </c>
      <c r="O287" s="18" t="n">
        <v>2</v>
      </c>
      <c r="P287" s="18" t="inlineStr">
        <is>
          <t>#cobblemon:is_freshwater; #the_bumblezone:the_bumblezone</t>
        </is>
      </c>
      <c r="Q287" s="18" t="inlineStr">
        <is>
          <t>uncommon</t>
        </is>
      </c>
      <c r="R287" s="18" t="inlineStr">
        <is>
          <t>region_02</t>
        </is>
      </c>
      <c r="S287" s="18" t="inlineStr">
        <is>
          <t>cobbleventure:generation_3</t>
        </is>
      </c>
      <c r="T287" s="18">
        <f>IF(M287=0,"없음",IF(N287=0,"전부 제외","사용"))</f>
        <v/>
      </c>
      <c r="U287" s="18" t="inlineStr"/>
    </row>
    <row r="288" ht="30" customHeight="1">
      <c r="A288" s="18" t="n">
        <v>284</v>
      </c>
      <c r="B288" s="18" t="inlineStr">
        <is>
          <t>비나방</t>
        </is>
      </c>
      <c r="C288" s="18" t="inlineStr">
        <is>
          <t>masquerain</t>
        </is>
      </c>
      <c r="D288" s="18" t="inlineStr">
        <is>
          <t>Masquerain</t>
        </is>
      </c>
      <c r="E288" s="18" t="n">
        <v>3</v>
      </c>
      <c r="F288" s="18" t="inlineStr">
        <is>
          <t>generation3</t>
        </is>
      </c>
      <c r="G288" s="18" t="inlineStr">
        <is>
          <t>bug</t>
        </is>
      </c>
      <c r="H288" s="18" t="inlineStr">
        <is>
          <t>flying</t>
        </is>
      </c>
      <c r="I288" s="18" t="inlineStr">
        <is>
          <t>예</t>
        </is>
      </c>
      <c r="J288" s="18" t="inlineStr">
        <is>
          <t>예</t>
        </is>
      </c>
      <c r="K288" s="18" t="inlineStr">
        <is>
          <t>예</t>
        </is>
      </c>
      <c r="L288" s="18" t="inlineStr">
        <is>
          <t>Cobblemon 동일</t>
        </is>
      </c>
      <c r="M288" s="18">
        <f>COUNTIF('스폰_편집'!$D$5:$D$3125,A288)</f>
        <v/>
      </c>
      <c r="N288" s="18">
        <f>COUNTIFS('스폰_편집'!$D$5:$D$3125,A288,'스폰_편집'!$B$5:$B$3125,"사용")</f>
        <v/>
      </c>
      <c r="O288" s="18" t="n">
        <v>2</v>
      </c>
      <c r="P288" s="18" t="inlineStr">
        <is>
          <t>#cobblemon:is_freshwater; #the_bumblezone:the_bumblezone</t>
        </is>
      </c>
      <c r="Q288" s="18" t="inlineStr">
        <is>
          <t>uncommon</t>
        </is>
      </c>
      <c r="R288" s="18" t="inlineStr">
        <is>
          <t>region_02</t>
        </is>
      </c>
      <c r="S288" s="18" t="inlineStr">
        <is>
          <t>cobbleventure:generation_3</t>
        </is>
      </c>
      <c r="T288" s="18">
        <f>IF(M288=0,"없음",IF(N288=0,"전부 제외","사용"))</f>
        <v/>
      </c>
      <c r="U288" s="18" t="inlineStr"/>
    </row>
    <row r="289" ht="30" customHeight="1">
      <c r="A289" s="18" t="n">
        <v>285</v>
      </c>
      <c r="B289" s="18" t="inlineStr">
        <is>
          <t>버섯꼬</t>
        </is>
      </c>
      <c r="C289" s="18" t="inlineStr">
        <is>
          <t>shroomish</t>
        </is>
      </c>
      <c r="D289" s="18" t="inlineStr">
        <is>
          <t>Shroomish</t>
        </is>
      </c>
      <c r="E289" s="18" t="n">
        <v>3</v>
      </c>
      <c r="F289" s="18" t="inlineStr">
        <is>
          <t>generation3</t>
        </is>
      </c>
      <c r="G289" s="18" t="inlineStr">
        <is>
          <t>grass</t>
        </is>
      </c>
      <c r="H289" s="18" t="inlineStr"/>
      <c r="I289" s="18" t="inlineStr">
        <is>
          <t>예</t>
        </is>
      </c>
      <c r="J289" s="18" t="inlineStr">
        <is>
          <t>예</t>
        </is>
      </c>
      <c r="K289" s="18" t="inlineStr">
        <is>
          <t>예</t>
        </is>
      </c>
      <c r="L289" s="18" t="inlineStr">
        <is>
          <t>Cobblemon 동일</t>
        </is>
      </c>
      <c r="M289" s="18">
        <f>COUNTIF('스폰_편집'!$D$5:$D$3125,A289)</f>
        <v/>
      </c>
      <c r="N289" s="18">
        <f>COUNTIFS('스폰_편집'!$D$5:$D$3125,A289,'스폰_편집'!$B$5:$B$3125,"사용")</f>
        <v/>
      </c>
      <c r="O289" s="18" t="n">
        <v>4</v>
      </c>
      <c r="P289" s="18" t="inlineStr">
        <is>
          <t>#cobblemon:is_forest; #cobblemon:is_mushroom; aether:skyroot_forest; aether:skyroot_woodland</t>
        </is>
      </c>
      <c r="Q289" s="18" t="inlineStr">
        <is>
          <t>common</t>
        </is>
      </c>
      <c r="R289" s="18" t="inlineStr">
        <is>
          <t>region_01</t>
        </is>
      </c>
      <c r="S289" s="18" t="inlineStr">
        <is>
          <t>cobbleventure:generation_3</t>
        </is>
      </c>
      <c r="T289" s="18">
        <f>IF(M289=0,"없음",IF(N289=0,"전부 제외","사용"))</f>
        <v/>
      </c>
      <c r="U289" s="18" t="inlineStr"/>
    </row>
    <row r="290" ht="30" customHeight="1">
      <c r="A290" s="18" t="n">
        <v>286</v>
      </c>
      <c r="B290" s="18" t="inlineStr">
        <is>
          <t>버섯모</t>
        </is>
      </c>
      <c r="C290" s="18" t="inlineStr">
        <is>
          <t>breloom</t>
        </is>
      </c>
      <c r="D290" s="18" t="inlineStr">
        <is>
          <t>Breloom</t>
        </is>
      </c>
      <c r="E290" s="18" t="n">
        <v>3</v>
      </c>
      <c r="F290" s="18" t="inlineStr">
        <is>
          <t>generation3</t>
        </is>
      </c>
      <c r="G290" s="18" t="inlineStr">
        <is>
          <t>grass</t>
        </is>
      </c>
      <c r="H290" s="18" t="inlineStr">
        <is>
          <t>fighting</t>
        </is>
      </c>
      <c r="I290" s="18" t="inlineStr">
        <is>
          <t>예</t>
        </is>
      </c>
      <c r="J290" s="18" t="inlineStr">
        <is>
          <t>예</t>
        </is>
      </c>
      <c r="K290" s="18" t="inlineStr">
        <is>
          <t>예</t>
        </is>
      </c>
      <c r="L290" s="18" t="inlineStr">
        <is>
          <t>Cobblemon 동일</t>
        </is>
      </c>
      <c r="M290" s="18">
        <f>COUNTIF('스폰_편집'!$D$5:$D$3125,A290)</f>
        <v/>
      </c>
      <c r="N290" s="18">
        <f>COUNTIFS('스폰_편집'!$D$5:$D$3125,A290,'스폰_편집'!$B$5:$B$3125,"사용")</f>
        <v/>
      </c>
      <c r="O290" s="18" t="n">
        <v>4</v>
      </c>
      <c r="P290" s="18" t="inlineStr">
        <is>
          <t>#cobblemon:is_forest; #cobblemon:is_mushroom; aether:skyroot_forest; aether:skyroot_woodland</t>
        </is>
      </c>
      <c r="Q290" s="18" t="inlineStr">
        <is>
          <t>common</t>
        </is>
      </c>
      <c r="R290" s="18" t="inlineStr">
        <is>
          <t>region_01</t>
        </is>
      </c>
      <c r="S290" s="18" t="inlineStr">
        <is>
          <t>cobbleventure:generation_3</t>
        </is>
      </c>
      <c r="T290" s="18">
        <f>IF(M290=0,"없음",IF(N290=0,"전부 제외","사용"))</f>
        <v/>
      </c>
      <c r="U290" s="18" t="inlineStr"/>
    </row>
    <row r="291" ht="30" customHeight="1">
      <c r="A291" s="18" t="n">
        <v>287</v>
      </c>
      <c r="B291" s="18" t="inlineStr">
        <is>
          <t>게을로</t>
        </is>
      </c>
      <c r="C291" s="18" t="inlineStr">
        <is>
          <t>slakoth</t>
        </is>
      </c>
      <c r="D291" s="18" t="inlineStr">
        <is>
          <t>Slakoth</t>
        </is>
      </c>
      <c r="E291" s="18" t="n">
        <v>3</v>
      </c>
      <c r="F291" s="18" t="inlineStr">
        <is>
          <t>generation3</t>
        </is>
      </c>
      <c r="G291" s="18" t="inlineStr">
        <is>
          <t>normal</t>
        </is>
      </c>
      <c r="H291" s="18" t="inlineStr"/>
      <c r="I291" s="18" t="inlineStr">
        <is>
          <t>예</t>
        </is>
      </c>
      <c r="J291" s="18" t="inlineStr">
        <is>
          <t>예</t>
        </is>
      </c>
      <c r="K291" s="18" t="inlineStr">
        <is>
          <t>예</t>
        </is>
      </c>
      <c r="L291" s="18" t="inlineStr">
        <is>
          <t>Cobblemon 동일</t>
        </is>
      </c>
      <c r="M291" s="18">
        <f>COUNTIF('스폰_편집'!$D$5:$D$3125,A291)</f>
        <v/>
      </c>
      <c r="N291" s="18">
        <f>COUNTIFS('스폰_편집'!$D$5:$D$3125,A291,'스폰_편집'!$B$5:$B$3125,"사용")</f>
        <v/>
      </c>
      <c r="O291" s="18" t="n">
        <v>1</v>
      </c>
      <c r="P291" s="18" t="inlineStr">
        <is>
          <t>#cobblemon:is_jungle</t>
        </is>
      </c>
      <c r="Q291" s="18" t="inlineStr">
        <is>
          <t>common</t>
        </is>
      </c>
      <c r="R291" s="18" t="inlineStr"/>
      <c r="S291" s="18" t="inlineStr">
        <is>
          <t>cobbleventure:generation_3</t>
        </is>
      </c>
      <c r="T291" s="18">
        <f>IF(M291=0,"없음",IF(N291=0,"전부 제외","사용"))</f>
        <v/>
      </c>
      <c r="U291" s="18" t="inlineStr"/>
    </row>
    <row r="292" ht="30" customHeight="1">
      <c r="A292" s="18" t="n">
        <v>288</v>
      </c>
      <c r="B292" s="18" t="inlineStr">
        <is>
          <t>발바로</t>
        </is>
      </c>
      <c r="C292" s="18" t="inlineStr">
        <is>
          <t>vigoroth</t>
        </is>
      </c>
      <c r="D292" s="18" t="inlineStr">
        <is>
          <t>Vigoroth</t>
        </is>
      </c>
      <c r="E292" s="18" t="n">
        <v>3</v>
      </c>
      <c r="F292" s="18" t="inlineStr">
        <is>
          <t>generation3</t>
        </is>
      </c>
      <c r="G292" s="18" t="inlineStr">
        <is>
          <t>normal</t>
        </is>
      </c>
      <c r="H292" s="18" t="inlineStr"/>
      <c r="I292" s="18" t="inlineStr">
        <is>
          <t>예</t>
        </is>
      </c>
      <c r="J292" s="18" t="inlineStr">
        <is>
          <t>예</t>
        </is>
      </c>
      <c r="K292" s="18" t="inlineStr">
        <is>
          <t>예</t>
        </is>
      </c>
      <c r="L292" s="18" t="inlineStr">
        <is>
          <t>Cobblemon 동일</t>
        </is>
      </c>
      <c r="M292" s="18">
        <f>COUNTIF('스폰_편집'!$D$5:$D$3125,A292)</f>
        <v/>
      </c>
      <c r="N292" s="18">
        <f>COUNTIFS('스폰_편집'!$D$5:$D$3125,A292,'스폰_편집'!$B$5:$B$3125,"사용")</f>
        <v/>
      </c>
      <c r="O292" s="18" t="n">
        <v>1</v>
      </c>
      <c r="P292" s="18" t="inlineStr">
        <is>
          <t>#cobblemon:is_jungle</t>
        </is>
      </c>
      <c r="Q292" s="18" t="inlineStr">
        <is>
          <t>common</t>
        </is>
      </c>
      <c r="R292" s="18" t="inlineStr"/>
      <c r="S292" s="18" t="inlineStr">
        <is>
          <t>cobbleventure:generation_3</t>
        </is>
      </c>
      <c r="T292" s="18">
        <f>IF(M292=0,"없음",IF(N292=0,"전부 제외","사용"))</f>
        <v/>
      </c>
      <c r="U292" s="18" t="inlineStr"/>
    </row>
    <row r="293" ht="30" customHeight="1">
      <c r="A293" s="18" t="n">
        <v>289</v>
      </c>
      <c r="B293" s="18" t="inlineStr">
        <is>
          <t>게을킹</t>
        </is>
      </c>
      <c r="C293" s="18" t="inlineStr">
        <is>
          <t>slaking</t>
        </is>
      </c>
      <c r="D293" s="18" t="inlineStr">
        <is>
          <t>Slaking</t>
        </is>
      </c>
      <c r="E293" s="18" t="n">
        <v>3</v>
      </c>
      <c r="F293" s="18" t="inlineStr">
        <is>
          <t>generation3</t>
        </is>
      </c>
      <c r="G293" s="18" t="inlineStr">
        <is>
          <t>normal</t>
        </is>
      </c>
      <c r="H293" s="18" t="inlineStr"/>
      <c r="I293" s="18" t="inlineStr">
        <is>
          <t>예</t>
        </is>
      </c>
      <c r="J293" s="18" t="inlineStr">
        <is>
          <t>예</t>
        </is>
      </c>
      <c r="K293" s="18" t="inlineStr">
        <is>
          <t>예</t>
        </is>
      </c>
      <c r="L293" s="18" t="inlineStr">
        <is>
          <t>Cobblemon 동일</t>
        </is>
      </c>
      <c r="M293" s="18">
        <f>COUNTIF('스폰_편집'!$D$5:$D$3125,A293)</f>
        <v/>
      </c>
      <c r="N293" s="18">
        <f>COUNTIFS('스폰_편집'!$D$5:$D$3125,A293,'스폰_편집'!$B$5:$B$3125,"사용")</f>
        <v/>
      </c>
      <c r="O293" s="18" t="n">
        <v>1</v>
      </c>
      <c r="P293" s="18" t="inlineStr">
        <is>
          <t>#cobblemon:is_jungle</t>
        </is>
      </c>
      <c r="Q293" s="18" t="inlineStr">
        <is>
          <t>common</t>
        </is>
      </c>
      <c r="R293" s="18" t="inlineStr"/>
      <c r="S293" s="18" t="inlineStr">
        <is>
          <t>cobbleventure:generation_3</t>
        </is>
      </c>
      <c r="T293" s="18">
        <f>IF(M293=0,"없음",IF(N293=0,"전부 제외","사용"))</f>
        <v/>
      </c>
      <c r="U293" s="18" t="inlineStr"/>
    </row>
    <row r="294" ht="30" customHeight="1">
      <c r="A294" s="18" t="n">
        <v>290</v>
      </c>
      <c r="B294" s="18" t="inlineStr">
        <is>
          <t>토중몬</t>
        </is>
      </c>
      <c r="C294" s="18" t="inlineStr">
        <is>
          <t>nincada</t>
        </is>
      </c>
      <c r="D294" s="18" t="inlineStr">
        <is>
          <t>Nincada</t>
        </is>
      </c>
      <c r="E294" s="18" t="n">
        <v>3</v>
      </c>
      <c r="F294" s="18" t="inlineStr">
        <is>
          <t>generation3</t>
        </is>
      </c>
      <c r="G294" s="18" t="inlineStr">
        <is>
          <t>bug</t>
        </is>
      </c>
      <c r="H294" s="18" t="inlineStr">
        <is>
          <t>ground</t>
        </is>
      </c>
      <c r="I294" s="18" t="inlineStr">
        <is>
          <t>예</t>
        </is>
      </c>
      <c r="J294" s="18" t="inlineStr">
        <is>
          <t>예</t>
        </is>
      </c>
      <c r="K294" s="18" t="inlineStr">
        <is>
          <t>예</t>
        </is>
      </c>
      <c r="L294" s="18" t="inlineStr">
        <is>
          <t>Cobblemon 동일</t>
        </is>
      </c>
      <c r="M294" s="18">
        <f>COUNTIF('스폰_편집'!$D$5:$D$3125,A294)</f>
        <v/>
      </c>
      <c r="N294" s="18">
        <f>COUNTIFS('스폰_편집'!$D$5:$D$3125,A294,'스폰_편집'!$B$5:$B$3125,"사용")</f>
        <v/>
      </c>
      <c r="O294" s="18" t="n">
        <v>4</v>
      </c>
      <c r="P294" s="18" t="inlineStr">
        <is>
          <t>#cobblemon:is_forest; #cobblemon:is_jungle; aether:skyroot_forest; aether:skyroot_woodland</t>
        </is>
      </c>
      <c r="Q294" s="18" t="inlineStr">
        <is>
          <t>common</t>
        </is>
      </c>
      <c r="R294" s="18" t="inlineStr">
        <is>
          <t>region_01</t>
        </is>
      </c>
      <c r="S294" s="18" t="inlineStr">
        <is>
          <t>cobbleventure:generation_3</t>
        </is>
      </c>
      <c r="T294" s="18">
        <f>IF(M294=0,"없음",IF(N294=0,"전부 제외","사용"))</f>
        <v/>
      </c>
      <c r="U294" s="18" t="inlineStr"/>
    </row>
    <row r="295" ht="30" customHeight="1">
      <c r="A295" s="18" t="n">
        <v>291</v>
      </c>
      <c r="B295" s="18" t="inlineStr">
        <is>
          <t>아이스크</t>
        </is>
      </c>
      <c r="C295" s="18" t="inlineStr">
        <is>
          <t>ninjask</t>
        </is>
      </c>
      <c r="D295" s="18" t="inlineStr">
        <is>
          <t>Ninjask</t>
        </is>
      </c>
      <c r="E295" s="18" t="n">
        <v>3</v>
      </c>
      <c r="F295" s="18" t="inlineStr">
        <is>
          <t>generation3</t>
        </is>
      </c>
      <c r="G295" s="18" t="inlineStr">
        <is>
          <t>bug</t>
        </is>
      </c>
      <c r="H295" s="18" t="inlineStr">
        <is>
          <t>flying</t>
        </is>
      </c>
      <c r="I295" s="18" t="inlineStr">
        <is>
          <t>예</t>
        </is>
      </c>
      <c r="J295" s="18" t="inlineStr">
        <is>
          <t>예</t>
        </is>
      </c>
      <c r="K295" s="18" t="inlineStr">
        <is>
          <t>예</t>
        </is>
      </c>
      <c r="L295" s="18" t="inlineStr">
        <is>
          <t>Cobblemon 동일</t>
        </is>
      </c>
      <c r="M295" s="18">
        <f>COUNTIF('스폰_편집'!$D$5:$D$3125,A295)</f>
        <v/>
      </c>
      <c r="N295" s="18">
        <f>COUNTIFS('스폰_편집'!$D$5:$D$3125,A295,'스폰_편집'!$B$5:$B$3125,"사용")</f>
        <v/>
      </c>
      <c r="O295" s="18" t="n">
        <v>4</v>
      </c>
      <c r="P295" s="18" t="inlineStr">
        <is>
          <t>#cobblemon:is_forest; #cobblemon:is_jungle; aether:skyroot_forest; aether:skyroot_woodland</t>
        </is>
      </c>
      <c r="Q295" s="18" t="inlineStr">
        <is>
          <t>common</t>
        </is>
      </c>
      <c r="R295" s="18" t="inlineStr">
        <is>
          <t>region_01</t>
        </is>
      </c>
      <c r="S295" s="18" t="inlineStr">
        <is>
          <t>cobbleventure:generation_3</t>
        </is>
      </c>
      <c r="T295" s="18">
        <f>IF(M295=0,"없음",IF(N295=0,"전부 제외","사용"))</f>
        <v/>
      </c>
      <c r="U295" s="18" t="inlineStr"/>
    </row>
    <row r="296" ht="30" customHeight="1">
      <c r="A296" s="18" t="n">
        <v>292</v>
      </c>
      <c r="B296" s="18" t="inlineStr">
        <is>
          <t>껍질몬</t>
        </is>
      </c>
      <c r="C296" s="18" t="inlineStr">
        <is>
          <t>shedinja</t>
        </is>
      </c>
      <c r="D296" s="18" t="inlineStr">
        <is>
          <t>Shedinja</t>
        </is>
      </c>
      <c r="E296" s="18" t="n">
        <v>3</v>
      </c>
      <c r="F296" s="18" t="inlineStr">
        <is>
          <t>generation3</t>
        </is>
      </c>
      <c r="G296" s="18" t="inlineStr">
        <is>
          <t>bug</t>
        </is>
      </c>
      <c r="H296" s="18" t="inlineStr">
        <is>
          <t>ghost</t>
        </is>
      </c>
      <c r="I296" s="18" t="inlineStr">
        <is>
          <t>예</t>
        </is>
      </c>
      <c r="J296" s="18" t="inlineStr">
        <is>
          <t>예</t>
        </is>
      </c>
      <c r="K296" s="18" t="inlineStr">
        <is>
          <t>예</t>
        </is>
      </c>
      <c r="L296" s="18" t="inlineStr">
        <is>
          <t>COBBLEVERSE 수정</t>
        </is>
      </c>
      <c r="M296" s="18">
        <f>COUNTIF('스폰_편집'!$D$5:$D$3125,A296)</f>
        <v/>
      </c>
      <c r="N296" s="18">
        <f>COUNTIFS('스폰_편집'!$D$5:$D$3125,A296,'스폰_편집'!$B$5:$B$3125,"사용")</f>
        <v/>
      </c>
      <c r="O296" s="18" t="n">
        <v>4</v>
      </c>
      <c r="P296" s="18" t="inlineStr">
        <is>
          <t>#cobblemon:is_forest; #cobblemon:is_jungle; aether:skyroot_forest; aether:skyroot_woodland</t>
        </is>
      </c>
      <c r="Q296" s="18" t="inlineStr">
        <is>
          <t>common; uncommon</t>
        </is>
      </c>
      <c r="R296" s="18" t="inlineStr">
        <is>
          <t>region_01</t>
        </is>
      </c>
      <c r="S296" s="18" t="inlineStr">
        <is>
          <t>cobbleventure:generation_3</t>
        </is>
      </c>
      <c r="T296" s="18">
        <f>IF(M296=0,"없음",IF(N296=0,"전부 제외","사용"))</f>
        <v/>
      </c>
      <c r="U296" s="18" t="inlineStr"/>
    </row>
    <row r="297" ht="30" customHeight="1">
      <c r="A297" s="18" t="n">
        <v>293</v>
      </c>
      <c r="B297" s="18" t="inlineStr">
        <is>
          <t>소곤룡</t>
        </is>
      </c>
      <c r="C297" s="18" t="inlineStr">
        <is>
          <t>whismur</t>
        </is>
      </c>
      <c r="D297" s="18" t="inlineStr">
        <is>
          <t>Whismur</t>
        </is>
      </c>
      <c r="E297" s="18" t="n">
        <v>3</v>
      </c>
      <c r="F297" s="18" t="inlineStr">
        <is>
          <t>generation3</t>
        </is>
      </c>
      <c r="G297" s="18" t="inlineStr">
        <is>
          <t>normal</t>
        </is>
      </c>
      <c r="H297" s="18" t="inlineStr"/>
      <c r="I297" s="18" t="inlineStr">
        <is>
          <t>예</t>
        </is>
      </c>
      <c r="J297" s="18" t="inlineStr">
        <is>
          <t>예</t>
        </is>
      </c>
      <c r="K297" s="18" t="inlineStr">
        <is>
          <t>예</t>
        </is>
      </c>
      <c r="L297" s="18" t="inlineStr">
        <is>
          <t>Cobblemon 동일</t>
        </is>
      </c>
      <c r="M297" s="18">
        <f>COUNTIF('스폰_편집'!$D$5:$D$3125,A297)</f>
        <v/>
      </c>
      <c r="N297" s="18">
        <f>COUNTIFS('스폰_편집'!$D$5:$D$3125,A297,'스폰_편집'!$B$5:$B$3125,"사용")</f>
        <v/>
      </c>
      <c r="O297" s="18" t="n">
        <v>2</v>
      </c>
      <c r="P297" s="18" t="inlineStr">
        <is>
          <t>#cobblemon:is_deep_dark; #cobblemon:is_overworld</t>
        </is>
      </c>
      <c r="Q297" s="18" t="inlineStr">
        <is>
          <t>common; uncommon</t>
        </is>
      </c>
      <c r="R297" s="18" t="inlineStr">
        <is>
          <t>region_01; region_02</t>
        </is>
      </c>
      <c r="S297" s="18" t="inlineStr">
        <is>
          <t>cobbleventure:generation_3</t>
        </is>
      </c>
      <c r="T297" s="18">
        <f>IF(M297=0,"없음",IF(N297=0,"전부 제외","사용"))</f>
        <v/>
      </c>
      <c r="U297" s="18" t="inlineStr"/>
    </row>
    <row r="298" ht="30" customHeight="1">
      <c r="A298" s="18" t="n">
        <v>294</v>
      </c>
      <c r="B298" s="18" t="inlineStr">
        <is>
          <t>노공룡</t>
        </is>
      </c>
      <c r="C298" s="18" t="inlineStr">
        <is>
          <t>loudred</t>
        </is>
      </c>
      <c r="D298" s="18" t="inlineStr">
        <is>
          <t>Loudred</t>
        </is>
      </c>
      <c r="E298" s="18" t="n">
        <v>3</v>
      </c>
      <c r="F298" s="18" t="inlineStr">
        <is>
          <t>generation3</t>
        </is>
      </c>
      <c r="G298" s="18" t="inlineStr">
        <is>
          <t>normal</t>
        </is>
      </c>
      <c r="H298" s="18" t="inlineStr"/>
      <c r="I298" s="18" t="inlineStr">
        <is>
          <t>예</t>
        </is>
      </c>
      <c r="J298" s="18" t="inlineStr">
        <is>
          <t>예</t>
        </is>
      </c>
      <c r="K298" s="18" t="inlineStr">
        <is>
          <t>예</t>
        </is>
      </c>
      <c r="L298" s="18" t="inlineStr">
        <is>
          <t>Cobblemon 동일</t>
        </is>
      </c>
      <c r="M298" s="18">
        <f>COUNTIF('스폰_편집'!$D$5:$D$3125,A298)</f>
        <v/>
      </c>
      <c r="N298" s="18">
        <f>COUNTIFS('스폰_편집'!$D$5:$D$3125,A298,'스폰_편집'!$B$5:$B$3125,"사용")</f>
        <v/>
      </c>
      <c r="O298" s="18" t="n">
        <v>2</v>
      </c>
      <c r="P298" s="18" t="inlineStr">
        <is>
          <t>#cobblemon:is_deep_dark; #cobblemon:is_overworld</t>
        </is>
      </c>
      <c r="Q298" s="18" t="inlineStr">
        <is>
          <t>common; uncommon</t>
        </is>
      </c>
      <c r="R298" s="18" t="inlineStr">
        <is>
          <t>region_01; region_02</t>
        </is>
      </c>
      <c r="S298" s="18" t="inlineStr">
        <is>
          <t>cobbleventure:generation_3</t>
        </is>
      </c>
      <c r="T298" s="18">
        <f>IF(M298=0,"없음",IF(N298=0,"전부 제외","사용"))</f>
        <v/>
      </c>
      <c r="U298" s="18" t="inlineStr"/>
    </row>
    <row r="299" ht="30" customHeight="1">
      <c r="A299" s="18" t="n">
        <v>295</v>
      </c>
      <c r="B299" s="18" t="inlineStr">
        <is>
          <t>폭음룡</t>
        </is>
      </c>
      <c r="C299" s="18" t="inlineStr">
        <is>
          <t>exploud</t>
        </is>
      </c>
      <c r="D299" s="18" t="inlineStr">
        <is>
          <t>Exploud</t>
        </is>
      </c>
      <c r="E299" s="18" t="n">
        <v>3</v>
      </c>
      <c r="F299" s="18" t="inlineStr">
        <is>
          <t>generation3</t>
        </is>
      </c>
      <c r="G299" s="18" t="inlineStr">
        <is>
          <t>normal</t>
        </is>
      </c>
      <c r="H299" s="18" t="inlineStr"/>
      <c r="I299" s="18" t="inlineStr">
        <is>
          <t>예</t>
        </is>
      </c>
      <c r="J299" s="18" t="inlineStr">
        <is>
          <t>예</t>
        </is>
      </c>
      <c r="K299" s="18" t="inlineStr">
        <is>
          <t>예</t>
        </is>
      </c>
      <c r="L299" s="18" t="inlineStr">
        <is>
          <t>Cobblemon 동일</t>
        </is>
      </c>
      <c r="M299" s="18">
        <f>COUNTIF('스폰_편집'!$D$5:$D$3125,A299)</f>
        <v/>
      </c>
      <c r="N299" s="18">
        <f>COUNTIFS('스폰_편집'!$D$5:$D$3125,A299,'스폰_편집'!$B$5:$B$3125,"사용")</f>
        <v/>
      </c>
      <c r="O299" s="18" t="n">
        <v>2</v>
      </c>
      <c r="P299" s="18" t="inlineStr">
        <is>
          <t>#cobblemon:is_deep_dark; #cobblemon:is_overworld</t>
        </is>
      </c>
      <c r="Q299" s="18" t="inlineStr">
        <is>
          <t>common; uncommon</t>
        </is>
      </c>
      <c r="R299" s="18" t="inlineStr">
        <is>
          <t>region_01; region_02</t>
        </is>
      </c>
      <c r="S299" s="18" t="inlineStr">
        <is>
          <t>cobbleventure:generation_3</t>
        </is>
      </c>
      <c r="T299" s="18">
        <f>IF(M299=0,"없음",IF(N299=0,"전부 제외","사용"))</f>
        <v/>
      </c>
      <c r="U299" s="18" t="inlineStr"/>
    </row>
    <row r="300" ht="30" customHeight="1">
      <c r="A300" s="18" t="n">
        <v>296</v>
      </c>
      <c r="B300" s="18" t="inlineStr">
        <is>
          <t>마크탕</t>
        </is>
      </c>
      <c r="C300" s="18" t="inlineStr">
        <is>
          <t>makuhita</t>
        </is>
      </c>
      <c r="D300" s="18" t="inlineStr">
        <is>
          <t>Makuhita</t>
        </is>
      </c>
      <c r="E300" s="18" t="n">
        <v>3</v>
      </c>
      <c r="F300" s="18" t="inlineStr">
        <is>
          <t>generation3</t>
        </is>
      </c>
      <c r="G300" s="18" t="inlineStr">
        <is>
          <t>fighting</t>
        </is>
      </c>
      <c r="H300" s="18" t="inlineStr"/>
      <c r="I300" s="18" t="inlineStr">
        <is>
          <t>예</t>
        </is>
      </c>
      <c r="J300" s="18" t="inlineStr">
        <is>
          <t>예</t>
        </is>
      </c>
      <c r="K300" s="18" t="inlineStr">
        <is>
          <t>예</t>
        </is>
      </c>
      <c r="L300" s="18" t="inlineStr">
        <is>
          <t>Cobblemon 동일</t>
        </is>
      </c>
      <c r="M300" s="18">
        <f>COUNTIF('스폰_편집'!$D$5:$D$3125,A300)</f>
        <v/>
      </c>
      <c r="N300" s="18">
        <f>COUNTIFS('스폰_편집'!$D$5:$D$3125,A300,'스폰_편집'!$B$5:$B$3125,"사용")</f>
        <v/>
      </c>
      <c r="O300" s="18" t="n">
        <v>1</v>
      </c>
      <c r="P300" s="18" t="inlineStr">
        <is>
          <t>#cobblemon:is_mountain</t>
        </is>
      </c>
      <c r="Q300" s="18" t="inlineStr">
        <is>
          <t>common</t>
        </is>
      </c>
      <c r="R300" s="18" t="inlineStr"/>
      <c r="S300" s="18" t="inlineStr">
        <is>
          <t>cobbleventure:generation_3</t>
        </is>
      </c>
      <c r="T300" s="18">
        <f>IF(M300=0,"없음",IF(N300=0,"전부 제외","사용"))</f>
        <v/>
      </c>
      <c r="U300" s="18" t="inlineStr"/>
    </row>
    <row r="301" ht="30" customHeight="1">
      <c r="A301" s="18" t="n">
        <v>297</v>
      </c>
      <c r="B301" s="18" t="inlineStr">
        <is>
          <t>하리뭉</t>
        </is>
      </c>
      <c r="C301" s="18" t="inlineStr">
        <is>
          <t>hariyama</t>
        </is>
      </c>
      <c r="D301" s="18" t="inlineStr">
        <is>
          <t>Hariyama</t>
        </is>
      </c>
      <c r="E301" s="18" t="n">
        <v>3</v>
      </c>
      <c r="F301" s="18" t="inlineStr">
        <is>
          <t>generation3</t>
        </is>
      </c>
      <c r="G301" s="18" t="inlineStr">
        <is>
          <t>fighting</t>
        </is>
      </c>
      <c r="H301" s="18" t="inlineStr"/>
      <c r="I301" s="18" t="inlineStr">
        <is>
          <t>예</t>
        </is>
      </c>
      <c r="J301" s="18" t="inlineStr">
        <is>
          <t>예</t>
        </is>
      </c>
      <c r="K301" s="18" t="inlineStr">
        <is>
          <t>예</t>
        </is>
      </c>
      <c r="L301" s="18" t="inlineStr">
        <is>
          <t>Cobblemon 동일</t>
        </is>
      </c>
      <c r="M301" s="18">
        <f>COUNTIF('스폰_편집'!$D$5:$D$3125,A301)</f>
        <v/>
      </c>
      <c r="N301" s="18">
        <f>COUNTIFS('스폰_편집'!$D$5:$D$3125,A301,'스폰_편집'!$B$5:$B$3125,"사용")</f>
        <v/>
      </c>
      <c r="O301" s="18" t="n">
        <v>1</v>
      </c>
      <c r="P301" s="18" t="inlineStr">
        <is>
          <t>#cobblemon:is_mountain</t>
        </is>
      </c>
      <c r="Q301" s="18" t="inlineStr">
        <is>
          <t>common</t>
        </is>
      </c>
      <c r="R301" s="18" t="inlineStr"/>
      <c r="S301" s="18" t="inlineStr">
        <is>
          <t>cobbleventure:generation_3</t>
        </is>
      </c>
      <c r="T301" s="18">
        <f>IF(M301=0,"없음",IF(N301=0,"전부 제외","사용"))</f>
        <v/>
      </c>
      <c r="U301" s="18" t="inlineStr"/>
    </row>
    <row r="302" ht="30" customHeight="1">
      <c r="A302" s="18" t="n">
        <v>298</v>
      </c>
      <c r="B302" s="18" t="inlineStr">
        <is>
          <t>루리리</t>
        </is>
      </c>
      <c r="C302" s="18" t="inlineStr">
        <is>
          <t>azurill</t>
        </is>
      </c>
      <c r="D302" s="18" t="inlineStr">
        <is>
          <t>Azurill</t>
        </is>
      </c>
      <c r="E302" s="18" t="n">
        <v>3</v>
      </c>
      <c r="F302" s="18" t="inlineStr">
        <is>
          <t>generation3</t>
        </is>
      </c>
      <c r="G302" s="18" t="inlineStr">
        <is>
          <t>normal</t>
        </is>
      </c>
      <c r="H302" s="18" t="inlineStr">
        <is>
          <t>fairy</t>
        </is>
      </c>
      <c r="I302" s="18" t="inlineStr">
        <is>
          <t>예</t>
        </is>
      </c>
      <c r="J302" s="18" t="inlineStr">
        <is>
          <t>예</t>
        </is>
      </c>
      <c r="K302" s="18" t="inlineStr">
        <is>
          <t>예</t>
        </is>
      </c>
      <c r="L302" s="18" t="inlineStr">
        <is>
          <t>Cobblemon 동일</t>
        </is>
      </c>
      <c r="M302" s="18">
        <f>COUNTIF('스폰_편집'!$D$5:$D$3125,A302)</f>
        <v/>
      </c>
      <c r="N302" s="18">
        <f>COUNTIFS('스폰_편집'!$D$5:$D$3125,A302,'스폰_편집'!$B$5:$B$3125,"사용")</f>
        <v/>
      </c>
      <c r="O302" s="18" t="n">
        <v>7</v>
      </c>
      <c r="P302" s="18" t="inlineStr">
        <is>
          <t>#cobblemon:is_floral; #cobblemon:is_hills; #cobblemon:is_magical; #cobblemon:is_river; #cobblemon:is_snowy_forest; #cobblemon:is_taiga; #cobblemon:is_temperate</t>
        </is>
      </c>
      <c r="Q302" s="18" t="inlineStr">
        <is>
          <t>common; uncommon</t>
        </is>
      </c>
      <c r="R302" s="18" t="inlineStr">
        <is>
          <t>region_01</t>
        </is>
      </c>
      <c r="S302" s="18" t="inlineStr">
        <is>
          <t>cobbleventure:generation_3</t>
        </is>
      </c>
      <c r="T302" s="18">
        <f>IF(M302=0,"없음",IF(N302=0,"전부 제외","사용"))</f>
        <v/>
      </c>
      <c r="U302" s="18" t="inlineStr"/>
    </row>
    <row r="303" ht="30" customHeight="1">
      <c r="A303" s="18" t="n">
        <v>299</v>
      </c>
      <c r="B303" s="18" t="inlineStr">
        <is>
          <t>코코파스</t>
        </is>
      </c>
      <c r="C303" s="18" t="inlineStr">
        <is>
          <t>nosepass</t>
        </is>
      </c>
      <c r="D303" s="18" t="inlineStr">
        <is>
          <t>Nosepass</t>
        </is>
      </c>
      <c r="E303" s="18" t="n">
        <v>3</v>
      </c>
      <c r="F303" s="18" t="inlineStr">
        <is>
          <t>generation3</t>
        </is>
      </c>
      <c r="G303" s="18" t="inlineStr">
        <is>
          <t>rock</t>
        </is>
      </c>
      <c r="H303" s="18" t="inlineStr"/>
      <c r="I303" s="18" t="inlineStr">
        <is>
          <t>예</t>
        </is>
      </c>
      <c r="J303" s="18" t="inlineStr">
        <is>
          <t>예</t>
        </is>
      </c>
      <c r="K303" s="18" t="inlineStr">
        <is>
          <t>예</t>
        </is>
      </c>
      <c r="L303" s="18" t="inlineStr">
        <is>
          <t>Cobblemon 동일</t>
        </is>
      </c>
      <c r="M303" s="18">
        <f>COUNTIF('스폰_편집'!$D$5:$D$3125,A303)</f>
        <v/>
      </c>
      <c r="N303" s="18">
        <f>COUNTIFS('스폰_편집'!$D$5:$D$3125,A303,'스폰_편집'!$B$5:$B$3125,"사용")</f>
        <v/>
      </c>
      <c r="O303" s="18" t="n">
        <v>1</v>
      </c>
      <c r="P303" s="18" t="inlineStr">
        <is>
          <t>#cobblemon:is_overworld</t>
        </is>
      </c>
      <c r="Q303" s="18" t="inlineStr">
        <is>
          <t>uncommon</t>
        </is>
      </c>
      <c r="R303" s="18" t="inlineStr">
        <is>
          <t>region_01; region_02</t>
        </is>
      </c>
      <c r="S303" s="18" t="inlineStr">
        <is>
          <t>cobbleventure:generation_3</t>
        </is>
      </c>
      <c r="T303" s="18">
        <f>IF(M303=0,"없음",IF(N303=0,"전부 제외","사용"))</f>
        <v/>
      </c>
      <c r="U303" s="18" t="inlineStr"/>
    </row>
    <row r="304" ht="30" customHeight="1">
      <c r="A304" s="18" t="n">
        <v>300</v>
      </c>
      <c r="B304" s="18" t="inlineStr">
        <is>
          <t>에나비</t>
        </is>
      </c>
      <c r="C304" s="18" t="inlineStr">
        <is>
          <t>skitty</t>
        </is>
      </c>
      <c r="D304" s="18" t="inlineStr">
        <is>
          <t>Skitty</t>
        </is>
      </c>
      <c r="E304" s="18" t="n">
        <v>3</v>
      </c>
      <c r="F304" s="18" t="inlineStr">
        <is>
          <t>generation3</t>
        </is>
      </c>
      <c r="G304" s="18" t="inlineStr">
        <is>
          <t>normal</t>
        </is>
      </c>
      <c r="H304" s="18" t="inlineStr"/>
      <c r="I304" s="18" t="inlineStr">
        <is>
          <t>아니오</t>
        </is>
      </c>
      <c r="J304" s="18" t="inlineStr">
        <is>
          <t>아니오</t>
        </is>
      </c>
      <c r="K304" s="18" t="inlineStr">
        <is>
          <t>예</t>
        </is>
      </c>
      <c r="L304" s="18" t="inlineStr">
        <is>
          <t>COBBLEVERSE 추가</t>
        </is>
      </c>
      <c r="M304" s="18">
        <f>COUNTIF('스폰_편집'!$D$5:$D$3125,A304)</f>
        <v/>
      </c>
      <c r="N304" s="18">
        <f>COUNTIFS('스폰_편집'!$D$5:$D$3125,A304,'스폰_편집'!$B$5:$B$3125,"사용")</f>
        <v/>
      </c>
      <c r="O304" s="18" t="n">
        <v>3</v>
      </c>
      <c r="P304" s="18" t="inlineStr">
        <is>
          <t>#cobblemon:is_arid; #cobblemon:is_overworld; minecraft:cherry_grove</t>
        </is>
      </c>
      <c r="Q304" s="18" t="inlineStr">
        <is>
          <t>common</t>
        </is>
      </c>
      <c r="R304" s="18" t="inlineStr">
        <is>
          <t>region_01; region_02</t>
        </is>
      </c>
      <c r="S304" s="18" t="inlineStr">
        <is>
          <t>cobbleventure:generation_3</t>
        </is>
      </c>
      <c r="T304" s="18">
        <f>IF(M304=0,"없음",IF(N304=0,"전부 제외","사용"))</f>
        <v/>
      </c>
      <c r="U304" s="18" t="inlineStr"/>
    </row>
    <row r="305" ht="30" customHeight="1">
      <c r="A305" s="18" t="n">
        <v>301</v>
      </c>
      <c r="B305" s="18" t="inlineStr">
        <is>
          <t>델케티</t>
        </is>
      </c>
      <c r="C305" s="18" t="inlineStr">
        <is>
          <t>delcatty</t>
        </is>
      </c>
      <c r="D305" s="18" t="inlineStr">
        <is>
          <t>Delcatty</t>
        </is>
      </c>
      <c r="E305" s="18" t="n">
        <v>3</v>
      </c>
      <c r="F305" s="18" t="inlineStr">
        <is>
          <t>generation3</t>
        </is>
      </c>
      <c r="G305" s="18" t="inlineStr">
        <is>
          <t>normal</t>
        </is>
      </c>
      <c r="H305" s="18" t="inlineStr"/>
      <c r="I305" s="18" t="inlineStr">
        <is>
          <t>아니오</t>
        </is>
      </c>
      <c r="J305" s="18" t="inlineStr">
        <is>
          <t>아니오</t>
        </is>
      </c>
      <c r="K305" s="18" t="inlineStr">
        <is>
          <t>예</t>
        </is>
      </c>
      <c r="L305" s="18" t="inlineStr">
        <is>
          <t>COBBLEVERSE 추가</t>
        </is>
      </c>
      <c r="M305" s="18">
        <f>COUNTIF('스폰_편집'!$D$5:$D$3125,A305)</f>
        <v/>
      </c>
      <c r="N305" s="18">
        <f>COUNTIFS('스폰_편집'!$D$5:$D$3125,A305,'스폰_편집'!$B$5:$B$3125,"사용")</f>
        <v/>
      </c>
      <c r="O305" s="18" t="n">
        <v>3</v>
      </c>
      <c r="P305" s="18" t="inlineStr">
        <is>
          <t>#cobblemon:is_arid; #cobblemon:is_overworld; minecraft:cherry_grove</t>
        </is>
      </c>
      <c r="Q305" s="18" t="inlineStr">
        <is>
          <t>uncommon</t>
        </is>
      </c>
      <c r="R305" s="18" t="inlineStr">
        <is>
          <t>region_01; region_02</t>
        </is>
      </c>
      <c r="S305" s="18" t="inlineStr">
        <is>
          <t>cobbleventure:generation_3</t>
        </is>
      </c>
      <c r="T305" s="18">
        <f>IF(M305=0,"없음",IF(N305=0,"전부 제외","사용"))</f>
        <v/>
      </c>
      <c r="U305" s="18" t="inlineStr"/>
    </row>
    <row r="306" ht="30" customHeight="1">
      <c r="A306" s="18" t="n">
        <v>302</v>
      </c>
      <c r="B306" s="18" t="inlineStr">
        <is>
          <t>깜까미</t>
        </is>
      </c>
      <c r="C306" s="18" t="inlineStr">
        <is>
          <t>sableye</t>
        </is>
      </c>
      <c r="D306" s="18" t="inlineStr">
        <is>
          <t>Sableye</t>
        </is>
      </c>
      <c r="E306" s="18" t="n">
        <v>3</v>
      </c>
      <c r="F306" s="18" t="inlineStr">
        <is>
          <t>generation3</t>
        </is>
      </c>
      <c r="G306" s="18" t="inlineStr">
        <is>
          <t>dark</t>
        </is>
      </c>
      <c r="H306" s="18" t="inlineStr">
        <is>
          <t>ghost</t>
        </is>
      </c>
      <c r="I306" s="18" t="inlineStr">
        <is>
          <t>예</t>
        </is>
      </c>
      <c r="J306" s="18" t="inlineStr">
        <is>
          <t>예</t>
        </is>
      </c>
      <c r="K306" s="18" t="inlineStr">
        <is>
          <t>예</t>
        </is>
      </c>
      <c r="L306" s="18" t="inlineStr">
        <is>
          <t>COBBLEVERSE 수정</t>
        </is>
      </c>
      <c r="M306" s="18">
        <f>COUNTIF('스폰_편집'!$D$5:$D$3125,A306)</f>
        <v/>
      </c>
      <c r="N306" s="18">
        <f>COUNTIFS('스폰_편집'!$D$5:$D$3125,A306,'스폰_편집'!$B$5:$B$3125,"사용")</f>
        <v/>
      </c>
      <c r="O306" s="18" t="n">
        <v>2</v>
      </c>
      <c r="P306" s="18" t="inlineStr">
        <is>
          <t>#cobblemon:is_deep_dark; #cobblemon:is_overworld</t>
        </is>
      </c>
      <c r="Q306" s="18" t="inlineStr">
        <is>
          <t>common; rare</t>
        </is>
      </c>
      <c r="R306" s="18" t="inlineStr">
        <is>
          <t>region_01; region_02</t>
        </is>
      </c>
      <c r="S306" s="18" t="inlineStr">
        <is>
          <t>cobbleventure:generation_3</t>
        </is>
      </c>
      <c r="T306" s="18">
        <f>IF(M306=0,"없음",IF(N306=0,"전부 제외","사용"))</f>
        <v/>
      </c>
      <c r="U306" s="18" t="inlineStr"/>
    </row>
    <row r="307" ht="30" customHeight="1">
      <c r="A307" s="18" t="n">
        <v>303</v>
      </c>
      <c r="B307" s="18" t="inlineStr">
        <is>
          <t>입치트</t>
        </is>
      </c>
      <c r="C307" s="18" t="inlineStr">
        <is>
          <t>mawile</t>
        </is>
      </c>
      <c r="D307" s="18" t="inlineStr">
        <is>
          <t>Mawile</t>
        </is>
      </c>
      <c r="E307" s="18" t="n">
        <v>3</v>
      </c>
      <c r="F307" s="18" t="inlineStr">
        <is>
          <t>generation3</t>
        </is>
      </c>
      <c r="G307" s="18" t="inlineStr">
        <is>
          <t>steel</t>
        </is>
      </c>
      <c r="H307" s="18" t="inlineStr">
        <is>
          <t>fairy</t>
        </is>
      </c>
      <c r="I307" s="18" t="inlineStr">
        <is>
          <t>예</t>
        </is>
      </c>
      <c r="J307" s="18" t="inlineStr">
        <is>
          <t>예</t>
        </is>
      </c>
      <c r="K307" s="18" t="inlineStr">
        <is>
          <t>예</t>
        </is>
      </c>
      <c r="L307" s="18" t="inlineStr">
        <is>
          <t>Cobblemon 동일</t>
        </is>
      </c>
      <c r="M307" s="18">
        <f>COUNTIF('스폰_편집'!$D$5:$D$3125,A307)</f>
        <v/>
      </c>
      <c r="N307" s="18">
        <f>COUNTIFS('스폰_편집'!$D$5:$D$3125,A307,'스폰_편집'!$B$5:$B$3125,"사용")</f>
        <v/>
      </c>
      <c r="O307" s="18" t="n">
        <v>2</v>
      </c>
      <c r="P307" s="18" t="inlineStr">
        <is>
          <t>#cobblemon:is_deep_dark; #cobblemon:is_overworld</t>
        </is>
      </c>
      <c r="Q307" s="18" t="inlineStr">
        <is>
          <t>rare; uncommon</t>
        </is>
      </c>
      <c r="R307" s="18" t="inlineStr">
        <is>
          <t>region_01; region_02</t>
        </is>
      </c>
      <c r="S307" s="18" t="inlineStr">
        <is>
          <t>cobbleventure:generation_3</t>
        </is>
      </c>
      <c r="T307" s="18">
        <f>IF(M307=0,"없음",IF(N307=0,"전부 제외","사용"))</f>
        <v/>
      </c>
      <c r="U307" s="18" t="inlineStr"/>
    </row>
    <row r="308" ht="30" customHeight="1">
      <c r="A308" s="18" t="n">
        <v>304</v>
      </c>
      <c r="B308" s="18" t="inlineStr">
        <is>
          <t>가보리</t>
        </is>
      </c>
      <c r="C308" s="18" t="inlineStr">
        <is>
          <t>aron</t>
        </is>
      </c>
      <c r="D308" s="18" t="inlineStr">
        <is>
          <t>Aron</t>
        </is>
      </c>
      <c r="E308" s="18" t="n">
        <v>3</v>
      </c>
      <c r="F308" s="18" t="inlineStr">
        <is>
          <t>generation3</t>
        </is>
      </c>
      <c r="G308" s="18" t="inlineStr">
        <is>
          <t>steel</t>
        </is>
      </c>
      <c r="H308" s="18" t="inlineStr">
        <is>
          <t>rock</t>
        </is>
      </c>
      <c r="I308" s="18" t="inlineStr">
        <is>
          <t>예</t>
        </is>
      </c>
      <c r="J308" s="18" t="inlineStr">
        <is>
          <t>예</t>
        </is>
      </c>
      <c r="K308" s="18" t="inlineStr">
        <is>
          <t>예</t>
        </is>
      </c>
      <c r="L308" s="18" t="inlineStr">
        <is>
          <t>COBBLEVERSE 수정</t>
        </is>
      </c>
      <c r="M308" s="18">
        <f>COUNTIF('스폰_편집'!$D$5:$D$3125,A308)</f>
        <v/>
      </c>
      <c r="N308" s="18">
        <f>COUNTIFS('스폰_편집'!$D$5:$D$3125,A308,'스폰_편집'!$B$5:$B$3125,"사용")</f>
        <v/>
      </c>
      <c r="O308" s="18" t="n">
        <v>2</v>
      </c>
      <c r="P308" s="18" t="inlineStr">
        <is>
          <t>#cobblemon:is_mountain; #cobblemon:is_overworld</t>
        </is>
      </c>
      <c r="Q308" s="18" t="inlineStr">
        <is>
          <t>common</t>
        </is>
      </c>
      <c r="R308" s="18" t="inlineStr">
        <is>
          <t>region_01; region_02</t>
        </is>
      </c>
      <c r="S308" s="18" t="inlineStr">
        <is>
          <t>cobbleventure:generation_3</t>
        </is>
      </c>
      <c r="T308" s="18">
        <f>IF(M308=0,"없음",IF(N308=0,"전부 제외","사용"))</f>
        <v/>
      </c>
      <c r="U308" s="18" t="inlineStr"/>
    </row>
    <row r="309" ht="30" customHeight="1">
      <c r="A309" s="18" t="n">
        <v>305</v>
      </c>
      <c r="B309" s="18" t="inlineStr">
        <is>
          <t>갱도라</t>
        </is>
      </c>
      <c r="C309" s="18" t="inlineStr">
        <is>
          <t>lairon</t>
        </is>
      </c>
      <c r="D309" s="18" t="inlineStr">
        <is>
          <t>Lairon</t>
        </is>
      </c>
      <c r="E309" s="18" t="n">
        <v>3</v>
      </c>
      <c r="F309" s="18" t="inlineStr">
        <is>
          <t>generation3</t>
        </is>
      </c>
      <c r="G309" s="18" t="inlineStr">
        <is>
          <t>steel</t>
        </is>
      </c>
      <c r="H309" s="18" t="inlineStr">
        <is>
          <t>rock</t>
        </is>
      </c>
      <c r="I309" s="18" t="inlineStr">
        <is>
          <t>예</t>
        </is>
      </c>
      <c r="J309" s="18" t="inlineStr">
        <is>
          <t>예</t>
        </is>
      </c>
      <c r="K309" s="18" t="inlineStr">
        <is>
          <t>예</t>
        </is>
      </c>
      <c r="L309" s="18" t="inlineStr">
        <is>
          <t>COBBLEVERSE 수정</t>
        </is>
      </c>
      <c r="M309" s="18">
        <f>COUNTIF('스폰_편집'!$D$5:$D$3125,A309)</f>
        <v/>
      </c>
      <c r="N309" s="18">
        <f>COUNTIFS('스폰_편집'!$D$5:$D$3125,A309,'스폰_편집'!$B$5:$B$3125,"사용")</f>
        <v/>
      </c>
      <c r="O309" s="18" t="n">
        <v>2</v>
      </c>
      <c r="P309" s="18" t="inlineStr">
        <is>
          <t>#cobblemon:is_mountain; #cobblemon:is_overworld</t>
        </is>
      </c>
      <c r="Q309" s="18" t="inlineStr">
        <is>
          <t>common</t>
        </is>
      </c>
      <c r="R309" s="18" t="inlineStr">
        <is>
          <t>region_01; region_02</t>
        </is>
      </c>
      <c r="S309" s="18" t="inlineStr">
        <is>
          <t>cobbleventure:generation_3</t>
        </is>
      </c>
      <c r="T309" s="18">
        <f>IF(M309=0,"없음",IF(N309=0,"전부 제외","사용"))</f>
        <v/>
      </c>
      <c r="U309" s="18" t="inlineStr"/>
    </row>
    <row r="310" ht="30" customHeight="1">
      <c r="A310" s="18" t="n">
        <v>306</v>
      </c>
      <c r="B310" s="18" t="inlineStr">
        <is>
          <t>보스로라</t>
        </is>
      </c>
      <c r="C310" s="18" t="inlineStr">
        <is>
          <t>aggron</t>
        </is>
      </c>
      <c r="D310" s="18" t="inlineStr">
        <is>
          <t>Aggron</t>
        </is>
      </c>
      <c r="E310" s="18" t="n">
        <v>3</v>
      </c>
      <c r="F310" s="18" t="inlineStr">
        <is>
          <t>generation3</t>
        </is>
      </c>
      <c r="G310" s="18" t="inlineStr">
        <is>
          <t>steel</t>
        </is>
      </c>
      <c r="H310" s="18" t="inlineStr">
        <is>
          <t>rock</t>
        </is>
      </c>
      <c r="I310" s="18" t="inlineStr">
        <is>
          <t>예</t>
        </is>
      </c>
      <c r="J310" s="18" t="inlineStr">
        <is>
          <t>예</t>
        </is>
      </c>
      <c r="K310" s="18" t="inlineStr">
        <is>
          <t>예</t>
        </is>
      </c>
      <c r="L310" s="18" t="inlineStr">
        <is>
          <t>COBBLEVERSE 수정</t>
        </is>
      </c>
      <c r="M310" s="18">
        <f>COUNTIF('스폰_편집'!$D$5:$D$3125,A310)</f>
        <v/>
      </c>
      <c r="N310" s="18">
        <f>COUNTIFS('스폰_편집'!$D$5:$D$3125,A310,'스폰_편집'!$B$5:$B$3125,"사용")</f>
        <v/>
      </c>
      <c r="O310" s="18" t="n">
        <v>2</v>
      </c>
      <c r="P310" s="18" t="inlineStr">
        <is>
          <t>#cobblemon:is_mountain; #cobblemon:is_overworld</t>
        </is>
      </c>
      <c r="Q310" s="18" t="inlineStr">
        <is>
          <t>common</t>
        </is>
      </c>
      <c r="R310" s="18" t="inlineStr">
        <is>
          <t>region_01; region_02</t>
        </is>
      </c>
      <c r="S310" s="18" t="inlineStr">
        <is>
          <t>cobbleventure:generation_3</t>
        </is>
      </c>
      <c r="T310" s="18">
        <f>IF(M310=0,"없음",IF(N310=0,"전부 제외","사용"))</f>
        <v/>
      </c>
      <c r="U310" s="18" t="inlineStr"/>
    </row>
    <row r="311" ht="30" customHeight="1">
      <c r="A311" s="18" t="n">
        <v>307</v>
      </c>
      <c r="B311" s="18" t="inlineStr">
        <is>
          <t>요가랑</t>
        </is>
      </c>
      <c r="C311" s="18" t="inlineStr">
        <is>
          <t>meditite</t>
        </is>
      </c>
      <c r="D311" s="18" t="inlineStr">
        <is>
          <t>Meditite</t>
        </is>
      </c>
      <c r="E311" s="18" t="n">
        <v>3</v>
      </c>
      <c r="F311" s="18" t="inlineStr">
        <is>
          <t>generation3</t>
        </is>
      </c>
      <c r="G311" s="18" t="inlineStr">
        <is>
          <t>fighting</t>
        </is>
      </c>
      <c r="H311" s="18" t="inlineStr">
        <is>
          <t>psychic</t>
        </is>
      </c>
      <c r="I311" s="18" t="inlineStr">
        <is>
          <t>예</t>
        </is>
      </c>
      <c r="J311" s="18" t="inlineStr">
        <is>
          <t>예</t>
        </is>
      </c>
      <c r="K311" s="18" t="inlineStr">
        <is>
          <t>예</t>
        </is>
      </c>
      <c r="L311" s="18" t="inlineStr">
        <is>
          <t>COBBLEVERSE 수정</t>
        </is>
      </c>
      <c r="M311" s="18">
        <f>COUNTIF('스폰_편집'!$D$5:$D$3125,A311)</f>
        <v/>
      </c>
      <c r="N311" s="18">
        <f>COUNTIFS('스폰_편집'!$D$5:$D$3125,A311,'스폰_편집'!$B$5:$B$3125,"사용")</f>
        <v/>
      </c>
      <c r="O311" s="18" t="n">
        <v>1</v>
      </c>
      <c r="P311" s="18" t="inlineStr">
        <is>
          <t>#cobblemon:is_peak</t>
        </is>
      </c>
      <c r="Q311" s="18" t="inlineStr">
        <is>
          <t>common</t>
        </is>
      </c>
      <c r="R311" s="18" t="inlineStr"/>
      <c r="S311" s="18" t="inlineStr">
        <is>
          <t>cobbleventure:generation_3</t>
        </is>
      </c>
      <c r="T311" s="18">
        <f>IF(M311=0,"없음",IF(N311=0,"전부 제외","사용"))</f>
        <v/>
      </c>
      <c r="U311" s="18" t="inlineStr"/>
    </row>
    <row r="312" ht="30" customHeight="1">
      <c r="A312" s="18" t="n">
        <v>308</v>
      </c>
      <c r="B312" s="18" t="inlineStr">
        <is>
          <t>요가램</t>
        </is>
      </c>
      <c r="C312" s="18" t="inlineStr">
        <is>
          <t>medicham</t>
        </is>
      </c>
      <c r="D312" s="18" t="inlineStr">
        <is>
          <t>Medicham</t>
        </is>
      </c>
      <c r="E312" s="18" t="n">
        <v>3</v>
      </c>
      <c r="F312" s="18" t="inlineStr">
        <is>
          <t>generation3</t>
        </is>
      </c>
      <c r="G312" s="18" t="inlineStr">
        <is>
          <t>fighting</t>
        </is>
      </c>
      <c r="H312" s="18" t="inlineStr">
        <is>
          <t>psychic</t>
        </is>
      </c>
      <c r="I312" s="18" t="inlineStr">
        <is>
          <t>예</t>
        </is>
      </c>
      <c r="J312" s="18" t="inlineStr">
        <is>
          <t>예</t>
        </is>
      </c>
      <c r="K312" s="18" t="inlineStr">
        <is>
          <t>예</t>
        </is>
      </c>
      <c r="L312" s="18" t="inlineStr">
        <is>
          <t>COBBLEVERSE 수정</t>
        </is>
      </c>
      <c r="M312" s="18">
        <f>COUNTIF('스폰_편집'!$D$5:$D$3125,A312)</f>
        <v/>
      </c>
      <c r="N312" s="18">
        <f>COUNTIFS('스폰_편집'!$D$5:$D$3125,A312,'스폰_편집'!$B$5:$B$3125,"사용")</f>
        <v/>
      </c>
      <c r="O312" s="18" t="n">
        <v>2</v>
      </c>
      <c r="P312" s="18" t="inlineStr">
        <is>
          <t>#cobblemon:is_overworld; #cobblemon:is_peak</t>
        </is>
      </c>
      <c r="Q312" s="18" t="inlineStr">
        <is>
          <t>common</t>
        </is>
      </c>
      <c r="R312" s="18" t="inlineStr">
        <is>
          <t>region_01; region_02</t>
        </is>
      </c>
      <c r="S312" s="18" t="inlineStr">
        <is>
          <t>cobbleventure:generation_3</t>
        </is>
      </c>
      <c r="T312" s="18">
        <f>IF(M312=0,"없음",IF(N312=0,"전부 제외","사용"))</f>
        <v/>
      </c>
      <c r="U312" s="18" t="inlineStr"/>
    </row>
    <row r="313" ht="30" customHeight="1">
      <c r="A313" s="18" t="n">
        <v>309</v>
      </c>
      <c r="B313" s="18" t="inlineStr">
        <is>
          <t>썬더라이</t>
        </is>
      </c>
      <c r="C313" s="18" t="inlineStr">
        <is>
          <t>electrike</t>
        </is>
      </c>
      <c r="D313" s="18" t="inlineStr">
        <is>
          <t>Electrike</t>
        </is>
      </c>
      <c r="E313" s="18" t="n">
        <v>3</v>
      </c>
      <c r="F313" s="18" t="inlineStr">
        <is>
          <t>generation3</t>
        </is>
      </c>
      <c r="G313" s="18" t="inlineStr">
        <is>
          <t>electric</t>
        </is>
      </c>
      <c r="H313" s="18" t="inlineStr"/>
      <c r="I313" s="18" t="inlineStr">
        <is>
          <t>예</t>
        </is>
      </c>
      <c r="J313" s="18" t="inlineStr">
        <is>
          <t>예</t>
        </is>
      </c>
      <c r="K313" s="18" t="inlineStr">
        <is>
          <t>예</t>
        </is>
      </c>
      <c r="L313" s="18" t="inlineStr">
        <is>
          <t>Cobblemon 동일</t>
        </is>
      </c>
      <c r="M313" s="18">
        <f>COUNTIF('스폰_편집'!$D$5:$D$3125,A313)</f>
        <v/>
      </c>
      <c r="N313" s="18">
        <f>COUNTIFS('스폰_편집'!$D$5:$D$3125,A313,'스폰_편집'!$B$5:$B$3125,"사용")</f>
        <v/>
      </c>
      <c r="O313" s="18" t="n">
        <v>2</v>
      </c>
      <c r="P313" s="18" t="inlineStr">
        <is>
          <t>#cobblemon:is_grassland; #cobblemon:is_hills</t>
        </is>
      </c>
      <c r="Q313" s="18" t="inlineStr">
        <is>
          <t>common</t>
        </is>
      </c>
      <c r="R313" s="18" t="inlineStr">
        <is>
          <t>region_01</t>
        </is>
      </c>
      <c r="S313" s="18" t="inlineStr">
        <is>
          <t>cobbleventure:generation_3</t>
        </is>
      </c>
      <c r="T313" s="18">
        <f>IF(M313=0,"없음",IF(N313=0,"전부 제외","사용"))</f>
        <v/>
      </c>
      <c r="U313" s="18" t="inlineStr"/>
    </row>
    <row r="314" ht="30" customHeight="1">
      <c r="A314" s="18" t="n">
        <v>310</v>
      </c>
      <c r="B314" s="18" t="inlineStr">
        <is>
          <t>썬더볼트</t>
        </is>
      </c>
      <c r="C314" s="18" t="inlineStr">
        <is>
          <t>manectric</t>
        </is>
      </c>
      <c r="D314" s="18" t="inlineStr">
        <is>
          <t>Manectric</t>
        </is>
      </c>
      <c r="E314" s="18" t="n">
        <v>3</v>
      </c>
      <c r="F314" s="18" t="inlineStr">
        <is>
          <t>generation3</t>
        </is>
      </c>
      <c r="G314" s="18" t="inlineStr">
        <is>
          <t>electric</t>
        </is>
      </c>
      <c r="H314" s="18" t="inlineStr"/>
      <c r="I314" s="18" t="inlineStr">
        <is>
          <t>예</t>
        </is>
      </c>
      <c r="J314" s="18" t="inlineStr">
        <is>
          <t>예</t>
        </is>
      </c>
      <c r="K314" s="18" t="inlineStr">
        <is>
          <t>예</t>
        </is>
      </c>
      <c r="L314" s="18" t="inlineStr">
        <is>
          <t>Cobblemon 동일</t>
        </is>
      </c>
      <c r="M314" s="18">
        <f>COUNTIF('스폰_편집'!$D$5:$D$3125,A314)</f>
        <v/>
      </c>
      <c r="N314" s="18">
        <f>COUNTIFS('스폰_편집'!$D$5:$D$3125,A314,'스폰_편집'!$B$5:$B$3125,"사용")</f>
        <v/>
      </c>
      <c r="O314" s="18" t="n">
        <v>2</v>
      </c>
      <c r="P314" s="18" t="inlineStr">
        <is>
          <t>#cobblemon:is_grassland; #cobblemon:is_hills</t>
        </is>
      </c>
      <c r="Q314" s="18" t="inlineStr">
        <is>
          <t>common</t>
        </is>
      </c>
      <c r="R314" s="18" t="inlineStr">
        <is>
          <t>region_01</t>
        </is>
      </c>
      <c r="S314" s="18" t="inlineStr">
        <is>
          <t>cobbleventure:generation_3</t>
        </is>
      </c>
      <c r="T314" s="18">
        <f>IF(M314=0,"없음",IF(N314=0,"전부 제외","사용"))</f>
        <v/>
      </c>
      <c r="U314" s="18" t="inlineStr"/>
    </row>
    <row r="315" ht="30" customHeight="1">
      <c r="A315" s="18" t="n">
        <v>311</v>
      </c>
      <c r="B315" s="18" t="inlineStr">
        <is>
          <t>플러시</t>
        </is>
      </c>
      <c r="C315" s="18" t="inlineStr">
        <is>
          <t>plusle</t>
        </is>
      </c>
      <c r="D315" s="18" t="inlineStr">
        <is>
          <t>Plusle</t>
        </is>
      </c>
      <c r="E315" s="18" t="n">
        <v>3</v>
      </c>
      <c r="F315" s="18" t="inlineStr">
        <is>
          <t>generation3</t>
        </is>
      </c>
      <c r="G315" s="18" t="inlineStr">
        <is>
          <t>electric</t>
        </is>
      </c>
      <c r="H315" s="18" t="inlineStr"/>
      <c r="I315" s="18" t="inlineStr">
        <is>
          <t>예</t>
        </is>
      </c>
      <c r="J315" s="18" t="inlineStr">
        <is>
          <t>예</t>
        </is>
      </c>
      <c r="K315" s="18" t="inlineStr">
        <is>
          <t>예</t>
        </is>
      </c>
      <c r="L315" s="18" t="inlineStr">
        <is>
          <t>COBBLEVERSE 수정</t>
        </is>
      </c>
      <c r="M315" s="18">
        <f>COUNTIF('스폰_편집'!$D$5:$D$3125,A315)</f>
        <v/>
      </c>
      <c r="N315" s="18">
        <f>COUNTIFS('스폰_편집'!$D$5:$D$3125,A315,'스폰_편집'!$B$5:$B$3125,"사용")</f>
        <v/>
      </c>
      <c r="O315" s="18" t="n">
        <v>1</v>
      </c>
      <c r="P315" s="18" t="inlineStr">
        <is>
          <t>#cobblemon:is_plains</t>
        </is>
      </c>
      <c r="Q315" s="18" t="inlineStr">
        <is>
          <t>uncommon</t>
        </is>
      </c>
      <c r="R315" s="18" t="inlineStr">
        <is>
          <t>region_01</t>
        </is>
      </c>
      <c r="S315" s="18" t="inlineStr">
        <is>
          <t>cobbleventure:generation_3</t>
        </is>
      </c>
      <c r="T315" s="18">
        <f>IF(M315=0,"없음",IF(N315=0,"전부 제외","사용"))</f>
        <v/>
      </c>
      <c r="U315" s="18" t="inlineStr"/>
    </row>
    <row r="316" ht="30" customHeight="1">
      <c r="A316" s="18" t="n">
        <v>312</v>
      </c>
      <c r="B316" s="18" t="inlineStr">
        <is>
          <t>마이농</t>
        </is>
      </c>
      <c r="C316" s="18" t="inlineStr">
        <is>
          <t>minun</t>
        </is>
      </c>
      <c r="D316" s="18" t="inlineStr">
        <is>
          <t>Minun</t>
        </is>
      </c>
      <c r="E316" s="18" t="n">
        <v>3</v>
      </c>
      <c r="F316" s="18" t="inlineStr">
        <is>
          <t>generation3</t>
        </is>
      </c>
      <c r="G316" s="18" t="inlineStr">
        <is>
          <t>electric</t>
        </is>
      </c>
      <c r="H316" s="18" t="inlineStr"/>
      <c r="I316" s="18" t="inlineStr">
        <is>
          <t>예</t>
        </is>
      </c>
      <c r="J316" s="18" t="inlineStr">
        <is>
          <t>예</t>
        </is>
      </c>
      <c r="K316" s="18" t="inlineStr">
        <is>
          <t>예</t>
        </is>
      </c>
      <c r="L316" s="18" t="inlineStr">
        <is>
          <t>COBBLEVERSE 수정</t>
        </is>
      </c>
      <c r="M316" s="18">
        <f>COUNTIF('스폰_편집'!$D$5:$D$3125,A316)</f>
        <v/>
      </c>
      <c r="N316" s="18">
        <f>COUNTIFS('스폰_편집'!$D$5:$D$3125,A316,'스폰_편집'!$B$5:$B$3125,"사용")</f>
        <v/>
      </c>
      <c r="O316" s="18" t="n">
        <v>1</v>
      </c>
      <c r="P316" s="18" t="inlineStr">
        <is>
          <t>#cobblemon:is_plains</t>
        </is>
      </c>
      <c r="Q316" s="18" t="inlineStr">
        <is>
          <t>uncommon</t>
        </is>
      </c>
      <c r="R316" s="18" t="inlineStr">
        <is>
          <t>region_01</t>
        </is>
      </c>
      <c r="S316" s="18" t="inlineStr">
        <is>
          <t>cobbleventure:generation_3</t>
        </is>
      </c>
      <c r="T316" s="18">
        <f>IF(M316=0,"없음",IF(N316=0,"전부 제외","사용"))</f>
        <v/>
      </c>
      <c r="U316" s="18" t="inlineStr"/>
    </row>
    <row r="317" ht="30" customHeight="1">
      <c r="A317" s="18" t="n">
        <v>313</v>
      </c>
      <c r="B317" s="18" t="inlineStr">
        <is>
          <t>볼비트</t>
        </is>
      </c>
      <c r="C317" s="18" t="inlineStr">
        <is>
          <t>volbeat</t>
        </is>
      </c>
      <c r="D317" s="18" t="inlineStr">
        <is>
          <t>Volbeat</t>
        </is>
      </c>
      <c r="E317" s="18" t="n">
        <v>3</v>
      </c>
      <c r="F317" s="18" t="inlineStr">
        <is>
          <t>generation3</t>
        </is>
      </c>
      <c r="G317" s="18" t="inlineStr">
        <is>
          <t>bug</t>
        </is>
      </c>
      <c r="H317" s="18" t="inlineStr"/>
      <c r="I317" s="18" t="inlineStr">
        <is>
          <t>예</t>
        </is>
      </c>
      <c r="J317" s="18" t="inlineStr">
        <is>
          <t>예</t>
        </is>
      </c>
      <c r="K317" s="18" t="inlineStr">
        <is>
          <t>예</t>
        </is>
      </c>
      <c r="L317" s="18" t="inlineStr">
        <is>
          <t>Cobblemon 동일</t>
        </is>
      </c>
      <c r="M317" s="18">
        <f>COUNTIF('스폰_편집'!$D$5:$D$3125,A317)</f>
        <v/>
      </c>
      <c r="N317" s="18">
        <f>COUNTIFS('스폰_편집'!$D$5:$D$3125,A317,'스폰_편집'!$B$5:$B$3125,"사용")</f>
        <v/>
      </c>
      <c r="O317" s="18" t="n">
        <v>3</v>
      </c>
      <c r="P317" s="18" t="inlineStr">
        <is>
          <t>#cobblemon:is_freshwater; #the_bumblezone:the_bumblezone; the_bumblezone:floral_meadow</t>
        </is>
      </c>
      <c r="Q317" s="18" t="inlineStr">
        <is>
          <t>common; uncommon</t>
        </is>
      </c>
      <c r="R317" s="18" t="inlineStr">
        <is>
          <t>region_02</t>
        </is>
      </c>
      <c r="S317" s="18" t="inlineStr">
        <is>
          <t>cobbleventure:generation_3</t>
        </is>
      </c>
      <c r="T317" s="18">
        <f>IF(M317=0,"없음",IF(N317=0,"전부 제외","사용"))</f>
        <v/>
      </c>
      <c r="U317" s="18" t="inlineStr"/>
    </row>
    <row r="318" ht="30" customHeight="1">
      <c r="A318" s="18" t="n">
        <v>314</v>
      </c>
      <c r="B318" s="18" t="inlineStr">
        <is>
          <t>네오비트</t>
        </is>
      </c>
      <c r="C318" s="18" t="inlineStr">
        <is>
          <t>illumise</t>
        </is>
      </c>
      <c r="D318" s="18" t="inlineStr">
        <is>
          <t>Illumise</t>
        </is>
      </c>
      <c r="E318" s="18" t="n">
        <v>3</v>
      </c>
      <c r="F318" s="18" t="inlineStr">
        <is>
          <t>generation3</t>
        </is>
      </c>
      <c r="G318" s="18" t="inlineStr">
        <is>
          <t>bug</t>
        </is>
      </c>
      <c r="H318" s="18" t="inlineStr"/>
      <c r="I318" s="18" t="inlineStr">
        <is>
          <t>예</t>
        </is>
      </c>
      <c r="J318" s="18" t="inlineStr">
        <is>
          <t>예</t>
        </is>
      </c>
      <c r="K318" s="18" t="inlineStr">
        <is>
          <t>예</t>
        </is>
      </c>
      <c r="L318" s="18" t="inlineStr">
        <is>
          <t>Cobblemon 동일</t>
        </is>
      </c>
      <c r="M318" s="18">
        <f>COUNTIF('스폰_편집'!$D$5:$D$3125,A318)</f>
        <v/>
      </c>
      <c r="N318" s="18">
        <f>COUNTIFS('스폰_편집'!$D$5:$D$3125,A318,'스폰_편집'!$B$5:$B$3125,"사용")</f>
        <v/>
      </c>
      <c r="O318" s="18" t="n">
        <v>3</v>
      </c>
      <c r="P318" s="18" t="inlineStr">
        <is>
          <t>#cobblemon:is_freshwater; #the_bumblezone:the_bumblezone; the_bumblezone:floral_meadow</t>
        </is>
      </c>
      <c r="Q318" s="18" t="inlineStr">
        <is>
          <t>common; uncommon</t>
        </is>
      </c>
      <c r="R318" s="18" t="inlineStr">
        <is>
          <t>region_02</t>
        </is>
      </c>
      <c r="S318" s="18" t="inlineStr">
        <is>
          <t>cobbleventure:generation_3</t>
        </is>
      </c>
      <c r="T318" s="18">
        <f>IF(M318=0,"없음",IF(N318=0,"전부 제외","사용"))</f>
        <v/>
      </c>
      <c r="U318" s="18" t="inlineStr"/>
    </row>
    <row r="319" ht="30" customHeight="1">
      <c r="A319" s="18" t="n">
        <v>315</v>
      </c>
      <c r="B319" s="18" t="inlineStr">
        <is>
          <t>로젤리아</t>
        </is>
      </c>
      <c r="C319" s="18" t="inlineStr">
        <is>
          <t>roselia</t>
        </is>
      </c>
      <c r="D319" s="18" t="inlineStr">
        <is>
          <t>Roselia</t>
        </is>
      </c>
      <c r="E319" s="18" t="n">
        <v>3</v>
      </c>
      <c r="F319" s="18" t="inlineStr">
        <is>
          <t>generation3</t>
        </is>
      </c>
      <c r="G319" s="18" t="inlineStr">
        <is>
          <t>grass</t>
        </is>
      </c>
      <c r="H319" s="18" t="inlineStr">
        <is>
          <t>poison</t>
        </is>
      </c>
      <c r="I319" s="18" t="inlineStr">
        <is>
          <t>예</t>
        </is>
      </c>
      <c r="J319" s="18" t="inlineStr">
        <is>
          <t>예</t>
        </is>
      </c>
      <c r="K319" s="18" t="inlineStr">
        <is>
          <t>예</t>
        </is>
      </c>
      <c r="L319" s="18" t="inlineStr">
        <is>
          <t>COBBLEVERSE 수정</t>
        </is>
      </c>
      <c r="M319" s="18">
        <f>COUNTIF('스폰_편집'!$D$5:$D$3125,A319)</f>
        <v/>
      </c>
      <c r="N319" s="18">
        <f>COUNTIFS('스폰_편집'!$D$5:$D$3125,A319,'스폰_편집'!$B$5:$B$3125,"사용")</f>
        <v/>
      </c>
      <c r="O319" s="18" t="n">
        <v>2</v>
      </c>
      <c r="P319" s="18" t="inlineStr">
        <is>
          <t>#aether:is_aether; #cobblemon:is_floral</t>
        </is>
      </c>
      <c r="Q319" s="18" t="inlineStr">
        <is>
          <t>common</t>
        </is>
      </c>
      <c r="R319" s="18" t="inlineStr"/>
      <c r="S319" s="18" t="inlineStr">
        <is>
          <t>cobbleventure:generation_3</t>
        </is>
      </c>
      <c r="T319" s="18">
        <f>IF(M319=0,"없음",IF(N319=0,"전부 제외","사용"))</f>
        <v/>
      </c>
      <c r="U319" s="18" t="inlineStr"/>
    </row>
    <row r="320" ht="30" customHeight="1">
      <c r="A320" s="18" t="n">
        <v>316</v>
      </c>
      <c r="B320" s="18" t="inlineStr">
        <is>
          <t>꼴깍몬</t>
        </is>
      </c>
      <c r="C320" s="18" t="inlineStr">
        <is>
          <t>gulpin</t>
        </is>
      </c>
      <c r="D320" s="18" t="inlineStr">
        <is>
          <t>Gulpin</t>
        </is>
      </c>
      <c r="E320" s="18" t="n">
        <v>3</v>
      </c>
      <c r="F320" s="18" t="inlineStr">
        <is>
          <t>generation3</t>
        </is>
      </c>
      <c r="G320" s="18" t="inlineStr">
        <is>
          <t>poison</t>
        </is>
      </c>
      <c r="H320" s="18" t="inlineStr"/>
      <c r="I320" s="18" t="inlineStr">
        <is>
          <t>아니오</t>
        </is>
      </c>
      <c r="J320" s="18" t="inlineStr">
        <is>
          <t>아니오</t>
        </is>
      </c>
      <c r="K320" s="18" t="inlineStr">
        <is>
          <t>예</t>
        </is>
      </c>
      <c r="L320" s="18" t="inlineStr">
        <is>
          <t>COBBLEVERSE 추가</t>
        </is>
      </c>
      <c r="M320" s="18">
        <f>COUNTIF('스폰_편집'!$D$5:$D$3125,A320)</f>
        <v/>
      </c>
      <c r="N320" s="18">
        <f>COUNTIFS('스폰_편집'!$D$5:$D$3125,A320,'스폰_편집'!$B$5:$B$3125,"사용")</f>
        <v/>
      </c>
      <c r="O320" s="18" t="n">
        <v>1</v>
      </c>
      <c r="P320" s="18" t="inlineStr">
        <is>
          <t>#cobblemon:is_swamp</t>
        </is>
      </c>
      <c r="Q320" s="18" t="inlineStr">
        <is>
          <t>common</t>
        </is>
      </c>
      <c r="R320" s="18" t="inlineStr">
        <is>
          <t>region_02</t>
        </is>
      </c>
      <c r="S320" s="18" t="inlineStr">
        <is>
          <t>cobbleventure:generation_3</t>
        </is>
      </c>
      <c r="T320" s="18">
        <f>IF(M320=0,"없음",IF(N320=0,"전부 제외","사용"))</f>
        <v/>
      </c>
      <c r="U320" s="18" t="inlineStr"/>
    </row>
    <row r="321" ht="30" customHeight="1">
      <c r="A321" s="18" t="n">
        <v>317</v>
      </c>
      <c r="B321" s="18" t="inlineStr">
        <is>
          <t>꿀꺽몬</t>
        </is>
      </c>
      <c r="C321" s="18" t="inlineStr">
        <is>
          <t>swalot</t>
        </is>
      </c>
      <c r="D321" s="18" t="inlineStr">
        <is>
          <t>Swalot</t>
        </is>
      </c>
      <c r="E321" s="18" t="n">
        <v>3</v>
      </c>
      <c r="F321" s="18" t="inlineStr">
        <is>
          <t>generation3</t>
        </is>
      </c>
      <c r="G321" s="18" t="inlineStr">
        <is>
          <t>poison</t>
        </is>
      </c>
      <c r="H321" s="18" t="inlineStr"/>
      <c r="I321" s="18" t="inlineStr">
        <is>
          <t>아니오</t>
        </is>
      </c>
      <c r="J321" s="18" t="inlineStr">
        <is>
          <t>아니오</t>
        </is>
      </c>
      <c r="K321" s="18" t="inlineStr">
        <is>
          <t>예</t>
        </is>
      </c>
      <c r="L321" s="18" t="inlineStr">
        <is>
          <t>COBBLEVERSE 추가</t>
        </is>
      </c>
      <c r="M321" s="18">
        <f>COUNTIF('스폰_편집'!$D$5:$D$3125,A321)</f>
        <v/>
      </c>
      <c r="N321" s="18">
        <f>COUNTIFS('스폰_편집'!$D$5:$D$3125,A321,'스폰_편집'!$B$5:$B$3125,"사용")</f>
        <v/>
      </c>
      <c r="O321" s="18" t="n">
        <v>1</v>
      </c>
      <c r="P321" s="18" t="inlineStr">
        <is>
          <t>#cobblemon:is_swamp</t>
        </is>
      </c>
      <c r="Q321" s="18" t="inlineStr">
        <is>
          <t>uncommon</t>
        </is>
      </c>
      <c r="R321" s="18" t="inlineStr">
        <is>
          <t>region_02</t>
        </is>
      </c>
      <c r="S321" s="18" t="inlineStr">
        <is>
          <t>cobbleventure:generation_3</t>
        </is>
      </c>
      <c r="T321" s="18">
        <f>IF(M321=0,"없음",IF(N321=0,"전부 제외","사용"))</f>
        <v/>
      </c>
      <c r="U321" s="18" t="inlineStr"/>
    </row>
    <row r="322" ht="30" customHeight="1">
      <c r="A322" s="18" t="n">
        <v>318</v>
      </c>
      <c r="B322" s="18" t="inlineStr">
        <is>
          <t>샤프니아</t>
        </is>
      </c>
      <c r="C322" s="18" t="inlineStr">
        <is>
          <t>carvanha</t>
        </is>
      </c>
      <c r="D322" s="18" t="inlineStr">
        <is>
          <t>Carvanha</t>
        </is>
      </c>
      <c r="E322" s="18" t="n">
        <v>3</v>
      </c>
      <c r="F322" s="18" t="inlineStr">
        <is>
          <t>generation3</t>
        </is>
      </c>
      <c r="G322" s="18" t="inlineStr">
        <is>
          <t>water</t>
        </is>
      </c>
      <c r="H322" s="18" t="inlineStr">
        <is>
          <t>dark</t>
        </is>
      </c>
      <c r="I322" s="18" t="inlineStr">
        <is>
          <t>예</t>
        </is>
      </c>
      <c r="J322" s="18" t="inlineStr">
        <is>
          <t>예</t>
        </is>
      </c>
      <c r="K322" s="18" t="inlineStr">
        <is>
          <t>예</t>
        </is>
      </c>
      <c r="L322" s="18" t="inlineStr">
        <is>
          <t>Cobblemon 동일</t>
        </is>
      </c>
      <c r="M322" s="18">
        <f>COUNTIF('스폰_편집'!$D$5:$D$3125,A322)</f>
        <v/>
      </c>
      <c r="N322" s="18">
        <f>COUNTIFS('스폰_편집'!$D$5:$D$3125,A322,'스폰_편집'!$B$5:$B$3125,"사용")</f>
        <v/>
      </c>
      <c r="O322" s="18" t="n">
        <v>4</v>
      </c>
      <c r="P322" s="18" t="inlineStr">
        <is>
          <t>#cobblemon:is_jungle; #cobblemon:is_ocean; #cobblemon:is_overworld; #cobblemon:is_swamp</t>
        </is>
      </c>
      <c r="Q322" s="18" t="inlineStr">
        <is>
          <t>common</t>
        </is>
      </c>
      <c r="R322" s="18" t="inlineStr">
        <is>
          <t>region_01; region_02</t>
        </is>
      </c>
      <c r="S322" s="18" t="inlineStr">
        <is>
          <t>cobbleventure:generation_3</t>
        </is>
      </c>
      <c r="T322" s="18">
        <f>IF(M322=0,"없음",IF(N322=0,"전부 제외","사용"))</f>
        <v/>
      </c>
      <c r="U322" s="18" t="inlineStr"/>
    </row>
    <row r="323" ht="30" customHeight="1">
      <c r="A323" s="18" t="n">
        <v>319</v>
      </c>
      <c r="B323" s="18" t="inlineStr">
        <is>
          <t>샤크니아</t>
        </is>
      </c>
      <c r="C323" s="18" t="inlineStr">
        <is>
          <t>sharpedo</t>
        </is>
      </c>
      <c r="D323" s="18" t="inlineStr">
        <is>
          <t>Sharpedo</t>
        </is>
      </c>
      <c r="E323" s="18" t="n">
        <v>3</v>
      </c>
      <c r="F323" s="18" t="inlineStr">
        <is>
          <t>generation3</t>
        </is>
      </c>
      <c r="G323" s="18" t="inlineStr">
        <is>
          <t>water</t>
        </is>
      </c>
      <c r="H323" s="18" t="inlineStr">
        <is>
          <t>dark</t>
        </is>
      </c>
      <c r="I323" s="18" t="inlineStr">
        <is>
          <t>예</t>
        </is>
      </c>
      <c r="J323" s="18" t="inlineStr">
        <is>
          <t>예</t>
        </is>
      </c>
      <c r="K323" s="18" t="inlineStr">
        <is>
          <t>예</t>
        </is>
      </c>
      <c r="L323" s="18" t="inlineStr">
        <is>
          <t>Cobblemon 동일</t>
        </is>
      </c>
      <c r="M323" s="18">
        <f>COUNTIF('스폰_편집'!$D$5:$D$3125,A323)</f>
        <v/>
      </c>
      <c r="N323" s="18">
        <f>COUNTIFS('스폰_편집'!$D$5:$D$3125,A323,'스폰_편집'!$B$5:$B$3125,"사용")</f>
        <v/>
      </c>
      <c r="O323" s="18" t="n">
        <v>2</v>
      </c>
      <c r="P323" s="18" t="inlineStr">
        <is>
          <t>#cobblemon:is_ocean; #cobblemon:is_overworld</t>
        </is>
      </c>
      <c r="Q323" s="18" t="inlineStr">
        <is>
          <t>common</t>
        </is>
      </c>
      <c r="R323" s="18" t="inlineStr">
        <is>
          <t>region_01; region_02</t>
        </is>
      </c>
      <c r="S323" s="18" t="inlineStr">
        <is>
          <t>cobbleventure:generation_3</t>
        </is>
      </c>
      <c r="T323" s="18">
        <f>IF(M323=0,"없음",IF(N323=0,"전부 제외","사용"))</f>
        <v/>
      </c>
      <c r="U323" s="18" t="inlineStr"/>
    </row>
    <row r="324" ht="30" customHeight="1">
      <c r="A324" s="18" t="n">
        <v>320</v>
      </c>
      <c r="B324" s="18" t="inlineStr">
        <is>
          <t>고래왕자</t>
        </is>
      </c>
      <c r="C324" s="18" t="inlineStr">
        <is>
          <t>wailmer</t>
        </is>
      </c>
      <c r="D324" s="18" t="inlineStr">
        <is>
          <t>Wailmer</t>
        </is>
      </c>
      <c r="E324" s="18" t="n">
        <v>3</v>
      </c>
      <c r="F324" s="18" t="inlineStr">
        <is>
          <t>generation3</t>
        </is>
      </c>
      <c r="G324" s="18" t="inlineStr">
        <is>
          <t>water</t>
        </is>
      </c>
      <c r="H324" s="18" t="inlineStr"/>
      <c r="I324" s="18" t="inlineStr">
        <is>
          <t>예</t>
        </is>
      </c>
      <c r="J324" s="18" t="inlineStr">
        <is>
          <t>예</t>
        </is>
      </c>
      <c r="K324" s="18" t="inlineStr">
        <is>
          <t>예</t>
        </is>
      </c>
      <c r="L324" s="18" t="inlineStr">
        <is>
          <t>Cobblemon 동일</t>
        </is>
      </c>
      <c r="M324" s="18">
        <f>COUNTIF('스폰_편집'!$D$5:$D$3125,A324)</f>
        <v/>
      </c>
      <c r="N324" s="18">
        <f>COUNTIFS('스폰_편집'!$D$5:$D$3125,A324,'스폰_편집'!$B$5:$B$3125,"사용")</f>
        <v/>
      </c>
      <c r="O324" s="18" t="n">
        <v>2</v>
      </c>
      <c r="P324" s="18" t="inlineStr">
        <is>
          <t>#cobblemon:is_deep_ocean; #cobblemon:is_ocean</t>
        </is>
      </c>
      <c r="Q324" s="18" t="inlineStr">
        <is>
          <t>common; uncommon</t>
        </is>
      </c>
      <c r="R324" s="18" t="inlineStr"/>
      <c r="S324" s="18" t="inlineStr">
        <is>
          <t>cobbleventure:generation_3</t>
        </is>
      </c>
      <c r="T324" s="18">
        <f>IF(M324=0,"없음",IF(N324=0,"전부 제외","사용"))</f>
        <v/>
      </c>
      <c r="U324" s="18" t="inlineStr"/>
    </row>
    <row r="325" ht="30" customHeight="1">
      <c r="A325" s="18" t="n">
        <v>321</v>
      </c>
      <c r="B325" s="18" t="inlineStr">
        <is>
          <t>고래왕</t>
        </is>
      </c>
      <c r="C325" s="18" t="inlineStr">
        <is>
          <t>wailord</t>
        </is>
      </c>
      <c r="D325" s="18" t="inlineStr">
        <is>
          <t>Wailord</t>
        </is>
      </c>
      <c r="E325" s="18" t="n">
        <v>3</v>
      </c>
      <c r="F325" s="18" t="inlineStr">
        <is>
          <t>generation3</t>
        </is>
      </c>
      <c r="G325" s="18" t="inlineStr">
        <is>
          <t>water</t>
        </is>
      </c>
      <c r="H325" s="18" t="inlineStr"/>
      <c r="I325" s="18" t="inlineStr">
        <is>
          <t>예</t>
        </is>
      </c>
      <c r="J325" s="18" t="inlineStr">
        <is>
          <t>예</t>
        </is>
      </c>
      <c r="K325" s="18" t="inlineStr">
        <is>
          <t>예</t>
        </is>
      </c>
      <c r="L325" s="18" t="inlineStr">
        <is>
          <t>Cobblemon 동일</t>
        </is>
      </c>
      <c r="M325" s="18">
        <f>COUNTIF('스폰_편집'!$D$5:$D$3125,A325)</f>
        <v/>
      </c>
      <c r="N325" s="18">
        <f>COUNTIFS('스폰_편집'!$D$5:$D$3125,A325,'스폰_편집'!$B$5:$B$3125,"사용")</f>
        <v/>
      </c>
      <c r="O325" s="18" t="n">
        <v>2</v>
      </c>
      <c r="P325" s="18" t="inlineStr">
        <is>
          <t>#cobblemon:is_deep_ocean; #cobblemon:is_ocean</t>
        </is>
      </c>
      <c r="Q325" s="18" t="inlineStr">
        <is>
          <t>common; uncommon</t>
        </is>
      </c>
      <c r="R325" s="18" t="inlineStr"/>
      <c r="S325" s="18" t="inlineStr">
        <is>
          <t>cobbleventure:generation_3</t>
        </is>
      </c>
      <c r="T325" s="18">
        <f>IF(M325=0,"없음",IF(N325=0,"전부 제외","사용"))</f>
        <v/>
      </c>
      <c r="U325" s="18" t="inlineStr"/>
    </row>
    <row r="326" ht="30" customHeight="1">
      <c r="A326" s="18" t="n">
        <v>322</v>
      </c>
      <c r="B326" s="18" t="inlineStr">
        <is>
          <t>둔타</t>
        </is>
      </c>
      <c r="C326" s="18" t="inlineStr">
        <is>
          <t>numel</t>
        </is>
      </c>
      <c r="D326" s="18" t="inlineStr">
        <is>
          <t>Numel</t>
        </is>
      </c>
      <c r="E326" s="18" t="n">
        <v>3</v>
      </c>
      <c r="F326" s="18" t="inlineStr">
        <is>
          <t>generation3</t>
        </is>
      </c>
      <c r="G326" s="18" t="inlineStr">
        <is>
          <t>fire</t>
        </is>
      </c>
      <c r="H326" s="18" t="inlineStr">
        <is>
          <t>ground</t>
        </is>
      </c>
      <c r="I326" s="18" t="inlineStr">
        <is>
          <t>예</t>
        </is>
      </c>
      <c r="J326" s="18" t="inlineStr">
        <is>
          <t>예</t>
        </is>
      </c>
      <c r="K326" s="18" t="inlineStr">
        <is>
          <t>예</t>
        </is>
      </c>
      <c r="L326" s="18" t="inlineStr">
        <is>
          <t>Cobblemon 동일</t>
        </is>
      </c>
      <c r="M326" s="18">
        <f>COUNTIF('스폰_편집'!$D$5:$D$3125,A326)</f>
        <v/>
      </c>
      <c r="N326" s="18">
        <f>COUNTIFS('스폰_편집'!$D$5:$D$3125,A326,'스폰_편집'!$B$5:$B$3125,"사용")</f>
        <v/>
      </c>
      <c r="O326" s="18" t="n">
        <v>4</v>
      </c>
      <c r="P326" s="18" t="inlineStr">
        <is>
          <t>#cobblemon:is_badlands; #cobblemon:is_volcanic; #cobblemon:nether/is_overgrowth; #cobblemon:nether/is_wasteland</t>
        </is>
      </c>
      <c r="Q326" s="18" t="inlineStr">
        <is>
          <t>common</t>
        </is>
      </c>
      <c r="R326" s="18" t="inlineStr"/>
      <c r="S326" s="18" t="inlineStr">
        <is>
          <t>cobbleventure:generation_3</t>
        </is>
      </c>
      <c r="T326" s="18">
        <f>IF(M326=0,"없음",IF(N326=0,"전부 제외","사용"))</f>
        <v/>
      </c>
      <c r="U326" s="18" t="inlineStr"/>
    </row>
    <row r="327" ht="30" customHeight="1">
      <c r="A327" s="18" t="n">
        <v>323</v>
      </c>
      <c r="B327" s="18" t="inlineStr">
        <is>
          <t>폭타</t>
        </is>
      </c>
      <c r="C327" s="18" t="inlineStr">
        <is>
          <t>camerupt</t>
        </is>
      </c>
      <c r="D327" s="18" t="inlineStr">
        <is>
          <t>Camerupt</t>
        </is>
      </c>
      <c r="E327" s="18" t="n">
        <v>3</v>
      </c>
      <c r="F327" s="18" t="inlineStr">
        <is>
          <t>generation3</t>
        </is>
      </c>
      <c r="G327" s="18" t="inlineStr">
        <is>
          <t>fire</t>
        </is>
      </c>
      <c r="H327" s="18" t="inlineStr">
        <is>
          <t>ground</t>
        </is>
      </c>
      <c r="I327" s="18" t="inlineStr">
        <is>
          <t>예</t>
        </is>
      </c>
      <c r="J327" s="18" t="inlineStr">
        <is>
          <t>예</t>
        </is>
      </c>
      <c r="K327" s="18" t="inlineStr">
        <is>
          <t>예</t>
        </is>
      </c>
      <c r="L327" s="18" t="inlineStr">
        <is>
          <t>Cobblemon 동일</t>
        </is>
      </c>
      <c r="M327" s="18">
        <f>COUNTIF('스폰_편집'!$D$5:$D$3125,A327)</f>
        <v/>
      </c>
      <c r="N327" s="18">
        <f>COUNTIFS('스폰_편집'!$D$5:$D$3125,A327,'스폰_편집'!$B$5:$B$3125,"사용")</f>
        <v/>
      </c>
      <c r="O327" s="18" t="n">
        <v>4</v>
      </c>
      <c r="P327" s="18" t="inlineStr">
        <is>
          <t>#cobblemon:is_badlands; #cobblemon:is_volcanic; #cobblemon:nether/is_overgrowth; #cobblemon:nether/is_wasteland</t>
        </is>
      </c>
      <c r="Q327" s="18" t="inlineStr">
        <is>
          <t>common</t>
        </is>
      </c>
      <c r="R327" s="18" t="inlineStr"/>
      <c r="S327" s="18" t="inlineStr">
        <is>
          <t>cobbleventure:generation_3</t>
        </is>
      </c>
      <c r="T327" s="18">
        <f>IF(M327=0,"없음",IF(N327=0,"전부 제외","사용"))</f>
        <v/>
      </c>
      <c r="U327" s="18" t="inlineStr"/>
    </row>
    <row r="328" ht="30" customHeight="1">
      <c r="A328" s="18" t="n">
        <v>324</v>
      </c>
      <c r="B328" s="18" t="inlineStr">
        <is>
          <t>코터스</t>
        </is>
      </c>
      <c r="C328" s="18" t="inlineStr">
        <is>
          <t>torkoal</t>
        </is>
      </c>
      <c r="D328" s="18" t="inlineStr">
        <is>
          <t>Torkoal</t>
        </is>
      </c>
      <c r="E328" s="18" t="n">
        <v>3</v>
      </c>
      <c r="F328" s="18" t="inlineStr">
        <is>
          <t>generation3</t>
        </is>
      </c>
      <c r="G328" s="18" t="inlineStr">
        <is>
          <t>fire</t>
        </is>
      </c>
      <c r="H328" s="18" t="inlineStr"/>
      <c r="I328" s="18" t="inlineStr">
        <is>
          <t>예</t>
        </is>
      </c>
      <c r="J328" s="18" t="inlineStr">
        <is>
          <t>예</t>
        </is>
      </c>
      <c r="K328" s="18" t="inlineStr">
        <is>
          <t>예</t>
        </is>
      </c>
      <c r="L328" s="18" t="inlineStr">
        <is>
          <t>COBBLEVERSE 수정</t>
        </is>
      </c>
      <c r="M328" s="18">
        <f>COUNTIF('스폰_편집'!$D$5:$D$3125,A328)</f>
        <v/>
      </c>
      <c r="N328" s="18">
        <f>COUNTIFS('스폰_편집'!$D$5:$D$3125,A328,'스폰_편집'!$B$5:$B$3125,"사용")</f>
        <v/>
      </c>
      <c r="O328" s="18" t="n">
        <v>4</v>
      </c>
      <c r="P328" s="18" t="inlineStr">
        <is>
          <t>#cobblemon:is_mountain; #cobblemon:is_overworld; #cobblemon:is_thermal; #cobblemon:nether/is_basalt</t>
        </is>
      </c>
      <c r="Q328" s="18" t="inlineStr">
        <is>
          <t>common; uncommon</t>
        </is>
      </c>
      <c r="R328" s="18" t="inlineStr">
        <is>
          <t>region_02</t>
        </is>
      </c>
      <c r="S328" s="18" t="inlineStr">
        <is>
          <t>cobbleventure:generation_3</t>
        </is>
      </c>
      <c r="T328" s="18">
        <f>IF(M328=0,"없음",IF(N328=0,"전부 제외","사용"))</f>
        <v/>
      </c>
      <c r="U328" s="18" t="inlineStr"/>
    </row>
    <row r="329" ht="30" customHeight="1">
      <c r="A329" s="18" t="n">
        <v>325</v>
      </c>
      <c r="B329" s="18" t="inlineStr">
        <is>
          <t>피그점프</t>
        </is>
      </c>
      <c r="C329" s="18" t="inlineStr">
        <is>
          <t>spoink</t>
        </is>
      </c>
      <c r="D329" s="18" t="inlineStr">
        <is>
          <t>Spoink</t>
        </is>
      </c>
      <c r="E329" s="18" t="n">
        <v>3</v>
      </c>
      <c r="F329" s="18" t="inlineStr">
        <is>
          <t>generation3</t>
        </is>
      </c>
      <c r="G329" s="18" t="inlineStr">
        <is>
          <t>psychic</t>
        </is>
      </c>
      <c r="H329" s="18" t="inlineStr"/>
      <c r="I329" s="18" t="inlineStr">
        <is>
          <t>예</t>
        </is>
      </c>
      <c r="J329" s="18" t="inlineStr">
        <is>
          <t>예</t>
        </is>
      </c>
      <c r="K329" s="18" t="inlineStr">
        <is>
          <t>예</t>
        </is>
      </c>
      <c r="L329" s="18" t="inlineStr">
        <is>
          <t>Cobblemon 동일</t>
        </is>
      </c>
      <c r="M329" s="18">
        <f>COUNTIF('스폰_편집'!$D$5:$D$3125,A329)</f>
        <v/>
      </c>
      <c r="N329" s="18">
        <f>COUNTIFS('스폰_편집'!$D$5:$D$3125,A329,'스폰_편집'!$B$5:$B$3125,"사용")</f>
        <v/>
      </c>
      <c r="O329" s="18" t="n">
        <v>2</v>
      </c>
      <c r="P329" s="18" t="inlineStr">
        <is>
          <t>#cobblemon:is_hills; #cobblemon:nether/is_fungus</t>
        </is>
      </c>
      <c r="Q329" s="18" t="inlineStr">
        <is>
          <t>common</t>
        </is>
      </c>
      <c r="R329" s="18" t="inlineStr"/>
      <c r="S329" s="18" t="inlineStr">
        <is>
          <t>cobbleventure:generation_3</t>
        </is>
      </c>
      <c r="T329" s="18">
        <f>IF(M329=0,"없음",IF(N329=0,"전부 제외","사용"))</f>
        <v/>
      </c>
      <c r="U329" s="18" t="inlineStr"/>
    </row>
    <row r="330" ht="30" customHeight="1">
      <c r="A330" s="18" t="n">
        <v>326</v>
      </c>
      <c r="B330" s="18" t="inlineStr">
        <is>
          <t>피그킹</t>
        </is>
      </c>
      <c r="C330" s="18" t="inlineStr">
        <is>
          <t>grumpig</t>
        </is>
      </c>
      <c r="D330" s="18" t="inlineStr">
        <is>
          <t>Grumpig</t>
        </is>
      </c>
      <c r="E330" s="18" t="n">
        <v>3</v>
      </c>
      <c r="F330" s="18" t="inlineStr">
        <is>
          <t>generation3</t>
        </is>
      </c>
      <c r="G330" s="18" t="inlineStr">
        <is>
          <t>psychic</t>
        </is>
      </c>
      <c r="H330" s="18" t="inlineStr"/>
      <c r="I330" s="18" t="inlineStr">
        <is>
          <t>예</t>
        </is>
      </c>
      <c r="J330" s="18" t="inlineStr">
        <is>
          <t>예</t>
        </is>
      </c>
      <c r="K330" s="18" t="inlineStr">
        <is>
          <t>예</t>
        </is>
      </c>
      <c r="L330" s="18" t="inlineStr">
        <is>
          <t>Cobblemon 동일</t>
        </is>
      </c>
      <c r="M330" s="18">
        <f>COUNTIF('스폰_편집'!$D$5:$D$3125,A330)</f>
        <v/>
      </c>
      <c r="N330" s="18">
        <f>COUNTIFS('스폰_편집'!$D$5:$D$3125,A330,'스폰_편집'!$B$5:$B$3125,"사용")</f>
        <v/>
      </c>
      <c r="O330" s="18" t="n">
        <v>2</v>
      </c>
      <c r="P330" s="18" t="inlineStr">
        <is>
          <t>#cobblemon:is_hills; #cobblemon:nether/is_fungus</t>
        </is>
      </c>
      <c r="Q330" s="18" t="inlineStr">
        <is>
          <t>common</t>
        </is>
      </c>
      <c r="R330" s="18" t="inlineStr"/>
      <c r="S330" s="18" t="inlineStr">
        <is>
          <t>cobbleventure:generation_3</t>
        </is>
      </c>
      <c r="T330" s="18">
        <f>IF(M330=0,"없음",IF(N330=0,"전부 제외","사용"))</f>
        <v/>
      </c>
      <c r="U330" s="18" t="inlineStr"/>
    </row>
    <row r="331" ht="30" customHeight="1">
      <c r="A331" s="18" t="n">
        <v>327</v>
      </c>
      <c r="B331" s="18" t="inlineStr">
        <is>
          <t>얼루기</t>
        </is>
      </c>
      <c r="C331" s="18" t="inlineStr">
        <is>
          <t>spinda</t>
        </is>
      </c>
      <c r="D331" s="18" t="inlineStr">
        <is>
          <t>Spinda</t>
        </is>
      </c>
      <c r="E331" s="18" t="n">
        <v>3</v>
      </c>
      <c r="F331" s="18" t="inlineStr">
        <is>
          <t>generation3</t>
        </is>
      </c>
      <c r="G331" s="18" t="inlineStr">
        <is>
          <t>normal</t>
        </is>
      </c>
      <c r="H331" s="18" t="inlineStr"/>
      <c r="I331" s="18" t="inlineStr">
        <is>
          <t>예</t>
        </is>
      </c>
      <c r="J331" s="18" t="inlineStr">
        <is>
          <t>예</t>
        </is>
      </c>
      <c r="K331" s="18" t="inlineStr">
        <is>
          <t>예</t>
        </is>
      </c>
      <c r="L331" s="18" t="inlineStr">
        <is>
          <t>Cobblemon 동일</t>
        </is>
      </c>
      <c r="M331" s="18">
        <f>COUNTIF('스폰_편집'!$D$5:$D$3125,A331)</f>
        <v/>
      </c>
      <c r="N331" s="18">
        <f>COUNTIFS('스폰_편집'!$D$5:$D$3125,A331,'스폰_편집'!$B$5:$B$3125,"사용")</f>
        <v/>
      </c>
      <c r="O331" s="18" t="n">
        <v>2</v>
      </c>
      <c r="P331" s="18" t="inlineStr">
        <is>
          <t>#cobblemon:is_bamboo; #cobblemon:is_hills</t>
        </is>
      </c>
      <c r="Q331" s="18" t="inlineStr">
        <is>
          <t>uncommon</t>
        </is>
      </c>
      <c r="R331" s="18" t="inlineStr"/>
      <c r="S331" s="18" t="inlineStr">
        <is>
          <t>cobbleventure:generation_3</t>
        </is>
      </c>
      <c r="T331" s="18">
        <f>IF(M331=0,"없음",IF(N331=0,"전부 제외","사용"))</f>
        <v/>
      </c>
      <c r="U331" s="18" t="inlineStr"/>
    </row>
    <row r="332" ht="30" customHeight="1">
      <c r="A332" s="18" t="n">
        <v>328</v>
      </c>
      <c r="B332" s="18" t="inlineStr">
        <is>
          <t>톱치</t>
        </is>
      </c>
      <c r="C332" s="18" t="inlineStr">
        <is>
          <t>trapinch</t>
        </is>
      </c>
      <c r="D332" s="18" t="inlineStr">
        <is>
          <t>Trapinch</t>
        </is>
      </c>
      <c r="E332" s="18" t="n">
        <v>3</v>
      </c>
      <c r="F332" s="18" t="inlineStr">
        <is>
          <t>generation3</t>
        </is>
      </c>
      <c r="G332" s="18" t="inlineStr">
        <is>
          <t>ground</t>
        </is>
      </c>
      <c r="H332" s="18" t="inlineStr"/>
      <c r="I332" s="18" t="inlineStr">
        <is>
          <t>예</t>
        </is>
      </c>
      <c r="J332" s="18" t="inlineStr">
        <is>
          <t>예</t>
        </is>
      </c>
      <c r="K332" s="18" t="inlineStr">
        <is>
          <t>예</t>
        </is>
      </c>
      <c r="L332" s="18" t="inlineStr">
        <is>
          <t>Cobblemon 동일</t>
        </is>
      </c>
      <c r="M332" s="18">
        <f>COUNTIF('스폰_편집'!$D$5:$D$3125,A332)</f>
        <v/>
      </c>
      <c r="N332" s="18">
        <f>COUNTIFS('스폰_편집'!$D$5:$D$3125,A332,'스폰_편집'!$B$5:$B$3125,"사용")</f>
        <v/>
      </c>
      <c r="O332" s="18" t="n">
        <v>1</v>
      </c>
      <c r="P332" s="18" t="inlineStr">
        <is>
          <t>#cobblemon:is_desert</t>
        </is>
      </c>
      <c r="Q332" s="18" t="inlineStr">
        <is>
          <t>rare; uncommon</t>
        </is>
      </c>
      <c r="R332" s="18" t="inlineStr">
        <is>
          <t>region_02</t>
        </is>
      </c>
      <c r="S332" s="18" t="inlineStr">
        <is>
          <t>cobbleventure:generation_3</t>
        </is>
      </c>
      <c r="T332" s="18">
        <f>IF(M332=0,"없음",IF(N332=0,"전부 제외","사용"))</f>
        <v/>
      </c>
      <c r="U332" s="18" t="inlineStr"/>
    </row>
    <row r="333" ht="30" customHeight="1">
      <c r="A333" s="18" t="n">
        <v>329</v>
      </c>
      <c r="B333" s="18" t="inlineStr">
        <is>
          <t>비브라바</t>
        </is>
      </c>
      <c r="C333" s="18" t="inlineStr">
        <is>
          <t>vibrava</t>
        </is>
      </c>
      <c r="D333" s="18" t="inlineStr">
        <is>
          <t>Vibrava</t>
        </is>
      </c>
      <c r="E333" s="18" t="n">
        <v>3</v>
      </c>
      <c r="F333" s="18" t="inlineStr">
        <is>
          <t>generation3</t>
        </is>
      </c>
      <c r="G333" s="18" t="inlineStr">
        <is>
          <t>ground</t>
        </is>
      </c>
      <c r="H333" s="18" t="inlineStr">
        <is>
          <t>dragon</t>
        </is>
      </c>
      <c r="I333" s="18" t="inlineStr">
        <is>
          <t>예</t>
        </is>
      </c>
      <c r="J333" s="18" t="inlineStr">
        <is>
          <t>예</t>
        </is>
      </c>
      <c r="K333" s="18" t="inlineStr">
        <is>
          <t>예</t>
        </is>
      </c>
      <c r="L333" s="18" t="inlineStr">
        <is>
          <t>Cobblemon 동일</t>
        </is>
      </c>
      <c r="M333" s="18">
        <f>COUNTIF('스폰_편집'!$D$5:$D$3125,A333)</f>
        <v/>
      </c>
      <c r="N333" s="18">
        <f>COUNTIFS('스폰_편집'!$D$5:$D$3125,A333,'스폰_편집'!$B$5:$B$3125,"사용")</f>
        <v/>
      </c>
      <c r="O333" s="18" t="n">
        <v>1</v>
      </c>
      <c r="P333" s="18" t="inlineStr">
        <is>
          <t>#cobblemon:is_desert</t>
        </is>
      </c>
      <c r="Q333" s="18" t="inlineStr">
        <is>
          <t>rare</t>
        </is>
      </c>
      <c r="R333" s="18" t="inlineStr">
        <is>
          <t>region_02</t>
        </is>
      </c>
      <c r="S333" s="18" t="inlineStr">
        <is>
          <t>cobbleventure:generation_3</t>
        </is>
      </c>
      <c r="T333" s="18">
        <f>IF(M333=0,"없음",IF(N333=0,"전부 제외","사용"))</f>
        <v/>
      </c>
      <c r="U333" s="18" t="inlineStr"/>
    </row>
    <row r="334" ht="30" customHeight="1">
      <c r="A334" s="18" t="n">
        <v>330</v>
      </c>
      <c r="B334" s="18" t="inlineStr">
        <is>
          <t>플라이곤</t>
        </is>
      </c>
      <c r="C334" s="18" t="inlineStr">
        <is>
          <t>flygon</t>
        </is>
      </c>
      <c r="D334" s="18" t="inlineStr">
        <is>
          <t>Flygon</t>
        </is>
      </c>
      <c r="E334" s="18" t="n">
        <v>3</v>
      </c>
      <c r="F334" s="18" t="inlineStr">
        <is>
          <t>generation3</t>
        </is>
      </c>
      <c r="G334" s="18" t="inlineStr">
        <is>
          <t>ground</t>
        </is>
      </c>
      <c r="H334" s="18" t="inlineStr">
        <is>
          <t>dragon</t>
        </is>
      </c>
      <c r="I334" s="18" t="inlineStr">
        <is>
          <t>예</t>
        </is>
      </c>
      <c r="J334" s="18" t="inlineStr">
        <is>
          <t>예</t>
        </is>
      </c>
      <c r="K334" s="18" t="inlineStr">
        <is>
          <t>예</t>
        </is>
      </c>
      <c r="L334" s="18" t="inlineStr">
        <is>
          <t>Cobblemon 동일</t>
        </is>
      </c>
      <c r="M334" s="18">
        <f>COUNTIF('스폰_편집'!$D$5:$D$3125,A334)</f>
        <v/>
      </c>
      <c r="N334" s="18">
        <f>COUNTIFS('스폰_편집'!$D$5:$D$3125,A334,'스폰_편집'!$B$5:$B$3125,"사용")</f>
        <v/>
      </c>
      <c r="O334" s="18" t="n">
        <v>1</v>
      </c>
      <c r="P334" s="18" t="inlineStr">
        <is>
          <t>#cobblemon:is_desert</t>
        </is>
      </c>
      <c r="Q334" s="18" t="inlineStr">
        <is>
          <t>rare</t>
        </is>
      </c>
      <c r="R334" s="18" t="inlineStr">
        <is>
          <t>region_02</t>
        </is>
      </c>
      <c r="S334" s="18" t="inlineStr">
        <is>
          <t>cobbleventure:generation_3</t>
        </is>
      </c>
      <c r="T334" s="18">
        <f>IF(M334=0,"없음",IF(N334=0,"전부 제외","사용"))</f>
        <v/>
      </c>
      <c r="U334" s="18" t="inlineStr"/>
    </row>
    <row r="335" ht="30" customHeight="1">
      <c r="A335" s="18" t="n">
        <v>331</v>
      </c>
      <c r="B335" s="18" t="inlineStr">
        <is>
          <t>선인왕</t>
        </is>
      </c>
      <c r="C335" s="18" t="inlineStr">
        <is>
          <t>cacnea</t>
        </is>
      </c>
      <c r="D335" s="18" t="inlineStr">
        <is>
          <t>Cacnea</t>
        </is>
      </c>
      <c r="E335" s="18" t="n">
        <v>3</v>
      </c>
      <c r="F335" s="18" t="inlineStr">
        <is>
          <t>generation3</t>
        </is>
      </c>
      <c r="G335" s="18" t="inlineStr">
        <is>
          <t>grass</t>
        </is>
      </c>
      <c r="H335" s="18" t="inlineStr"/>
      <c r="I335" s="18" t="inlineStr">
        <is>
          <t>예</t>
        </is>
      </c>
      <c r="J335" s="18" t="inlineStr">
        <is>
          <t>예</t>
        </is>
      </c>
      <c r="K335" s="18" t="inlineStr">
        <is>
          <t>예</t>
        </is>
      </c>
      <c r="L335" s="18" t="inlineStr">
        <is>
          <t>Cobblemon 동일</t>
        </is>
      </c>
      <c r="M335" s="18">
        <f>COUNTIF('스폰_편집'!$D$5:$D$3125,A335)</f>
        <v/>
      </c>
      <c r="N335" s="18">
        <f>COUNTIFS('스폰_편집'!$D$5:$D$3125,A335,'스폰_편집'!$B$5:$B$3125,"사용")</f>
        <v/>
      </c>
      <c r="O335" s="18" t="n">
        <v>2</v>
      </c>
      <c r="P335" s="18" t="inlineStr">
        <is>
          <t>#cobblemon:is_badlands; #cobblemon:is_desert</t>
        </is>
      </c>
      <c r="Q335" s="18" t="inlineStr">
        <is>
          <t>common</t>
        </is>
      </c>
      <c r="R335" s="18" t="inlineStr">
        <is>
          <t>region_02</t>
        </is>
      </c>
      <c r="S335" s="18" t="inlineStr">
        <is>
          <t>cobbleventure:generation_3</t>
        </is>
      </c>
      <c r="T335" s="18">
        <f>IF(M335=0,"없음",IF(N335=0,"전부 제외","사용"))</f>
        <v/>
      </c>
      <c r="U335" s="18" t="inlineStr"/>
    </row>
    <row r="336" ht="30" customHeight="1">
      <c r="A336" s="18" t="n">
        <v>332</v>
      </c>
      <c r="B336" s="18" t="inlineStr">
        <is>
          <t>밤선인</t>
        </is>
      </c>
      <c r="C336" s="18" t="inlineStr">
        <is>
          <t>cacturne</t>
        </is>
      </c>
      <c r="D336" s="18" t="inlineStr">
        <is>
          <t>Cacturne</t>
        </is>
      </c>
      <c r="E336" s="18" t="n">
        <v>3</v>
      </c>
      <c r="F336" s="18" t="inlineStr">
        <is>
          <t>generation3</t>
        </is>
      </c>
      <c r="G336" s="18" t="inlineStr">
        <is>
          <t>grass</t>
        </is>
      </c>
      <c r="H336" s="18" t="inlineStr">
        <is>
          <t>dark</t>
        </is>
      </c>
      <c r="I336" s="18" t="inlineStr">
        <is>
          <t>예</t>
        </is>
      </c>
      <c r="J336" s="18" t="inlineStr">
        <is>
          <t>예</t>
        </is>
      </c>
      <c r="K336" s="18" t="inlineStr">
        <is>
          <t>예</t>
        </is>
      </c>
      <c r="L336" s="18" t="inlineStr">
        <is>
          <t>Cobblemon 동일</t>
        </is>
      </c>
      <c r="M336" s="18">
        <f>COUNTIF('스폰_편집'!$D$5:$D$3125,A336)</f>
        <v/>
      </c>
      <c r="N336" s="18">
        <f>COUNTIFS('스폰_편집'!$D$5:$D$3125,A336,'스폰_편집'!$B$5:$B$3125,"사용")</f>
        <v/>
      </c>
      <c r="O336" s="18" t="n">
        <v>2</v>
      </c>
      <c r="P336" s="18" t="inlineStr">
        <is>
          <t>#cobblemon:is_badlands; #cobblemon:is_desert</t>
        </is>
      </c>
      <c r="Q336" s="18" t="inlineStr">
        <is>
          <t>common</t>
        </is>
      </c>
      <c r="R336" s="18" t="inlineStr">
        <is>
          <t>region_02</t>
        </is>
      </c>
      <c r="S336" s="18" t="inlineStr">
        <is>
          <t>cobbleventure:generation_3</t>
        </is>
      </c>
      <c r="T336" s="18">
        <f>IF(M336=0,"없음",IF(N336=0,"전부 제외","사용"))</f>
        <v/>
      </c>
      <c r="U336" s="18" t="inlineStr"/>
    </row>
    <row r="337" ht="30" customHeight="1">
      <c r="A337" s="18" t="n">
        <v>333</v>
      </c>
      <c r="B337" s="18" t="inlineStr">
        <is>
          <t>파비코</t>
        </is>
      </c>
      <c r="C337" s="18" t="inlineStr">
        <is>
          <t>swablu</t>
        </is>
      </c>
      <c r="D337" s="18" t="inlineStr">
        <is>
          <t>Swablu</t>
        </is>
      </c>
      <c r="E337" s="18" t="n">
        <v>3</v>
      </c>
      <c r="F337" s="18" t="inlineStr">
        <is>
          <t>generation3</t>
        </is>
      </c>
      <c r="G337" s="18" t="inlineStr">
        <is>
          <t>normal</t>
        </is>
      </c>
      <c r="H337" s="18" t="inlineStr">
        <is>
          <t>flying</t>
        </is>
      </c>
      <c r="I337" s="18" t="inlineStr">
        <is>
          <t>예</t>
        </is>
      </c>
      <c r="J337" s="18" t="inlineStr">
        <is>
          <t>예</t>
        </is>
      </c>
      <c r="K337" s="18" t="inlineStr">
        <is>
          <t>예</t>
        </is>
      </c>
      <c r="L337" s="18" t="inlineStr">
        <is>
          <t>Cobblemon 동일</t>
        </is>
      </c>
      <c r="M337" s="18">
        <f>COUNTIF('스폰_편집'!$D$5:$D$3125,A337)</f>
        <v/>
      </c>
      <c r="N337" s="18">
        <f>COUNTIFS('스폰_편집'!$D$5:$D$3125,A337,'스폰_편집'!$B$5:$B$3125,"사용")</f>
        <v/>
      </c>
      <c r="O337" s="18" t="n">
        <v>5</v>
      </c>
      <c r="P337" s="18" t="inlineStr">
        <is>
          <t>#cobblemon:is_overworld; #cobblemon:is_peak; #cobblemon:is_sky; aether:skyroot_grove; aether:skyroot_meadow</t>
        </is>
      </c>
      <c r="Q337" s="18" t="inlineStr">
        <is>
          <t>common; uncommon</t>
        </is>
      </c>
      <c r="R337" s="18" t="inlineStr">
        <is>
          <t>region_01; region_02</t>
        </is>
      </c>
      <c r="S337" s="18" t="inlineStr">
        <is>
          <t>cobbleventure:generation_3</t>
        </is>
      </c>
      <c r="T337" s="18">
        <f>IF(M337=0,"없음",IF(N337=0,"전부 제외","사용"))</f>
        <v/>
      </c>
      <c r="U337" s="18" t="inlineStr"/>
    </row>
    <row r="338" ht="30" customHeight="1">
      <c r="A338" s="18" t="n">
        <v>334</v>
      </c>
      <c r="B338" s="18" t="inlineStr">
        <is>
          <t>파비코리</t>
        </is>
      </c>
      <c r="C338" s="18" t="inlineStr">
        <is>
          <t>altaria</t>
        </is>
      </c>
      <c r="D338" s="18" t="inlineStr">
        <is>
          <t>Altaria</t>
        </is>
      </c>
      <c r="E338" s="18" t="n">
        <v>3</v>
      </c>
      <c r="F338" s="18" t="inlineStr">
        <is>
          <t>generation3</t>
        </is>
      </c>
      <c r="G338" s="18" t="inlineStr">
        <is>
          <t>dragon</t>
        </is>
      </c>
      <c r="H338" s="18" t="inlineStr">
        <is>
          <t>flying</t>
        </is>
      </c>
      <c r="I338" s="18" t="inlineStr">
        <is>
          <t>예</t>
        </is>
      </c>
      <c r="J338" s="18" t="inlineStr">
        <is>
          <t>예</t>
        </is>
      </c>
      <c r="K338" s="18" t="inlineStr">
        <is>
          <t>예</t>
        </is>
      </c>
      <c r="L338" s="18" t="inlineStr">
        <is>
          <t>Cobblemon 동일</t>
        </is>
      </c>
      <c r="M338" s="18">
        <f>COUNTIF('스폰_편집'!$D$5:$D$3125,A338)</f>
        <v/>
      </c>
      <c r="N338" s="18">
        <f>COUNTIFS('스폰_편집'!$D$5:$D$3125,A338,'스폰_편집'!$B$5:$B$3125,"사용")</f>
        <v/>
      </c>
      <c r="O338" s="18" t="n">
        <v>5</v>
      </c>
      <c r="P338" s="18" t="inlineStr">
        <is>
          <t>#cobblemon:is_overworld; #cobblemon:is_peak; #cobblemon:is_sky; aether:skyroot_grove; aether:skyroot_meadow</t>
        </is>
      </c>
      <c r="Q338" s="18" t="inlineStr">
        <is>
          <t>common; uncommon</t>
        </is>
      </c>
      <c r="R338" s="18" t="inlineStr">
        <is>
          <t>region_01; region_02</t>
        </is>
      </c>
      <c r="S338" s="18" t="inlineStr">
        <is>
          <t>cobbleventure:generation_3</t>
        </is>
      </c>
      <c r="T338" s="18">
        <f>IF(M338=0,"없음",IF(N338=0,"전부 제외","사용"))</f>
        <v/>
      </c>
      <c r="U338" s="18" t="inlineStr"/>
    </row>
    <row r="339" ht="30" customHeight="1">
      <c r="A339" s="18" t="n">
        <v>335</v>
      </c>
      <c r="B339" s="18" t="inlineStr">
        <is>
          <t>쟝고</t>
        </is>
      </c>
      <c r="C339" s="18" t="inlineStr">
        <is>
          <t>zangoose</t>
        </is>
      </c>
      <c r="D339" s="18" t="inlineStr">
        <is>
          <t>Zangoose</t>
        </is>
      </c>
      <c r="E339" s="18" t="n">
        <v>3</v>
      </c>
      <c r="F339" s="18" t="inlineStr">
        <is>
          <t>generation3</t>
        </is>
      </c>
      <c r="G339" s="18" t="inlineStr">
        <is>
          <t>normal</t>
        </is>
      </c>
      <c r="H339" s="18" t="inlineStr"/>
      <c r="I339" s="18" t="inlineStr">
        <is>
          <t>아니오</t>
        </is>
      </c>
      <c r="J339" s="18" t="inlineStr">
        <is>
          <t>아니오</t>
        </is>
      </c>
      <c r="K339" s="18" t="inlineStr">
        <is>
          <t>예</t>
        </is>
      </c>
      <c r="L339" s="18" t="inlineStr">
        <is>
          <t>COBBLEVERSE 추가</t>
        </is>
      </c>
      <c r="M339" s="18">
        <f>COUNTIF('스폰_편집'!$D$5:$D$3125,A339)</f>
        <v/>
      </c>
      <c r="N339" s="18">
        <f>COUNTIFS('스폰_편집'!$D$5:$D$3125,A339,'스폰_편집'!$B$5:$B$3125,"사용")</f>
        <v/>
      </c>
      <c r="O339" s="18" t="n">
        <v>1</v>
      </c>
      <c r="P339" s="18" t="inlineStr">
        <is>
          <t>#cobblemon:is_plains</t>
        </is>
      </c>
      <c r="Q339" s="18" t="inlineStr">
        <is>
          <t>uncommon</t>
        </is>
      </c>
      <c r="R339" s="18" t="inlineStr">
        <is>
          <t>region_01</t>
        </is>
      </c>
      <c r="S339" s="18" t="inlineStr">
        <is>
          <t>cobbleventure:generation_3</t>
        </is>
      </c>
      <c r="T339" s="18">
        <f>IF(M339=0,"없음",IF(N339=0,"전부 제외","사용"))</f>
        <v/>
      </c>
      <c r="U339" s="18" t="inlineStr"/>
    </row>
    <row r="340" ht="30" customHeight="1">
      <c r="A340" s="18" t="n">
        <v>336</v>
      </c>
      <c r="B340" s="18" t="inlineStr">
        <is>
          <t>세비퍼</t>
        </is>
      </c>
      <c r="C340" s="18" t="inlineStr">
        <is>
          <t>seviper</t>
        </is>
      </c>
      <c r="D340" s="18" t="inlineStr">
        <is>
          <t>Seviper</t>
        </is>
      </c>
      <c r="E340" s="18" t="n">
        <v>3</v>
      </c>
      <c r="F340" s="18" t="inlineStr">
        <is>
          <t>generation3</t>
        </is>
      </c>
      <c r="G340" s="18" t="inlineStr">
        <is>
          <t>poison</t>
        </is>
      </c>
      <c r="H340" s="18" t="inlineStr"/>
      <c r="I340" s="18" t="inlineStr">
        <is>
          <t>아니오</t>
        </is>
      </c>
      <c r="J340" s="18" t="inlineStr">
        <is>
          <t>아니오</t>
        </is>
      </c>
      <c r="K340" s="18" t="inlineStr">
        <is>
          <t>예</t>
        </is>
      </c>
      <c r="L340" s="18" t="inlineStr">
        <is>
          <t>COBBLEVERSE 추가</t>
        </is>
      </c>
      <c r="M340" s="18">
        <f>COUNTIF('스폰_편집'!$D$5:$D$3125,A340)</f>
        <v/>
      </c>
      <c r="N340" s="18">
        <f>COUNTIFS('스폰_편집'!$D$5:$D$3125,A340,'스폰_편집'!$B$5:$B$3125,"사용")</f>
        <v/>
      </c>
      <c r="O340" s="18" t="n">
        <v>1</v>
      </c>
      <c r="P340" s="18" t="inlineStr">
        <is>
          <t>#cobblemon:is_desert</t>
        </is>
      </c>
      <c r="Q340" s="18" t="inlineStr">
        <is>
          <t>uncommon</t>
        </is>
      </c>
      <c r="R340" s="18" t="inlineStr">
        <is>
          <t>region_02</t>
        </is>
      </c>
      <c r="S340" s="18" t="inlineStr">
        <is>
          <t>cobbleventure:generation_3</t>
        </is>
      </c>
      <c r="T340" s="18">
        <f>IF(M340=0,"없음",IF(N340=0,"전부 제외","사용"))</f>
        <v/>
      </c>
      <c r="U340" s="18" t="inlineStr"/>
    </row>
    <row r="341" ht="30" customHeight="1">
      <c r="A341" s="18" t="n">
        <v>337</v>
      </c>
      <c r="B341" s="18" t="inlineStr">
        <is>
          <t>루나톤</t>
        </is>
      </c>
      <c r="C341" s="18" t="inlineStr">
        <is>
          <t>lunatone</t>
        </is>
      </c>
      <c r="D341" s="18" t="inlineStr">
        <is>
          <t>Lunatone</t>
        </is>
      </c>
      <c r="E341" s="18" t="n">
        <v>3</v>
      </c>
      <c r="F341" s="18" t="inlineStr">
        <is>
          <t>generation3</t>
        </is>
      </c>
      <c r="G341" s="18" t="inlineStr">
        <is>
          <t>rock</t>
        </is>
      </c>
      <c r="H341" s="18" t="inlineStr">
        <is>
          <t>psychic</t>
        </is>
      </c>
      <c r="I341" s="18" t="inlineStr">
        <is>
          <t>예</t>
        </is>
      </c>
      <c r="J341" s="18" t="inlineStr">
        <is>
          <t>예</t>
        </is>
      </c>
      <c r="K341" s="18" t="inlineStr">
        <is>
          <t>예</t>
        </is>
      </c>
      <c r="L341" s="18" t="inlineStr">
        <is>
          <t>Cobblemon 동일</t>
        </is>
      </c>
      <c r="M341" s="18">
        <f>COUNTIF('스폰_편집'!$D$5:$D$3125,A341)</f>
        <v/>
      </c>
      <c r="N341" s="18">
        <f>COUNTIFS('스폰_편집'!$D$5:$D$3125,A341,'스폰_편집'!$B$5:$B$3125,"사용")</f>
        <v/>
      </c>
      <c r="O341" s="18" t="n">
        <v>3</v>
      </c>
      <c r="P341" s="18" t="inlineStr">
        <is>
          <t>#cobblemon:is_dripstone; #cobblemon:is_mountain; #cobblemon:is_overworld</t>
        </is>
      </c>
      <c r="Q341" s="18" t="inlineStr">
        <is>
          <t>common; uncommon</t>
        </is>
      </c>
      <c r="R341" s="18" t="inlineStr">
        <is>
          <t>region_01; region_02</t>
        </is>
      </c>
      <c r="S341" s="18" t="inlineStr">
        <is>
          <t>cobbleventure:generation_3</t>
        </is>
      </c>
      <c r="T341" s="18">
        <f>IF(M341=0,"없음",IF(N341=0,"전부 제외","사용"))</f>
        <v/>
      </c>
      <c r="U341" s="18" t="inlineStr"/>
    </row>
    <row r="342" ht="30" customHeight="1">
      <c r="A342" s="18" t="n">
        <v>338</v>
      </c>
      <c r="B342" s="18" t="inlineStr">
        <is>
          <t>솔록</t>
        </is>
      </c>
      <c r="C342" s="18" t="inlineStr">
        <is>
          <t>solrock</t>
        </is>
      </c>
      <c r="D342" s="18" t="inlineStr">
        <is>
          <t>Solrock</t>
        </is>
      </c>
      <c r="E342" s="18" t="n">
        <v>3</v>
      </c>
      <c r="F342" s="18" t="inlineStr">
        <is>
          <t>generation3</t>
        </is>
      </c>
      <c r="G342" s="18" t="inlineStr">
        <is>
          <t>rock</t>
        </is>
      </c>
      <c r="H342" s="18" t="inlineStr">
        <is>
          <t>psychic</t>
        </is>
      </c>
      <c r="I342" s="18" t="inlineStr">
        <is>
          <t>예</t>
        </is>
      </c>
      <c r="J342" s="18" t="inlineStr">
        <is>
          <t>예</t>
        </is>
      </c>
      <c r="K342" s="18" t="inlineStr">
        <is>
          <t>예</t>
        </is>
      </c>
      <c r="L342" s="18" t="inlineStr">
        <is>
          <t>Cobblemon 동일</t>
        </is>
      </c>
      <c r="M342" s="18">
        <f>COUNTIF('스폰_편집'!$D$5:$D$3125,A342)</f>
        <v/>
      </c>
      <c r="N342" s="18">
        <f>COUNTIFS('스폰_편집'!$D$5:$D$3125,A342,'스폰_편집'!$B$5:$B$3125,"사용")</f>
        <v/>
      </c>
      <c r="O342" s="18" t="n">
        <v>5</v>
      </c>
      <c r="P342" s="18" t="inlineStr">
        <is>
          <t>#cobblemon:is_dripstone; #cobblemon:is_mountain; #cobblemon:is_overworld; aether:skyroot_grove; aether:skyroot_meadow</t>
        </is>
      </c>
      <c r="Q342" s="18" t="inlineStr">
        <is>
          <t>common; uncommon</t>
        </is>
      </c>
      <c r="R342" s="18" t="inlineStr">
        <is>
          <t>region_01; region_02</t>
        </is>
      </c>
      <c r="S342" s="18" t="inlineStr">
        <is>
          <t>cobbleventure:generation_3</t>
        </is>
      </c>
      <c r="T342" s="18">
        <f>IF(M342=0,"없음",IF(N342=0,"전부 제외","사용"))</f>
        <v/>
      </c>
      <c r="U342" s="18" t="inlineStr"/>
    </row>
    <row r="343" ht="30" customHeight="1">
      <c r="A343" s="18" t="n">
        <v>339</v>
      </c>
      <c r="B343" s="18" t="inlineStr">
        <is>
          <t>미꾸리</t>
        </is>
      </c>
      <c r="C343" s="18" t="inlineStr">
        <is>
          <t>barboach</t>
        </is>
      </c>
      <c r="D343" s="18" t="inlineStr">
        <is>
          <t>Barboach</t>
        </is>
      </c>
      <c r="E343" s="18" t="n">
        <v>3</v>
      </c>
      <c r="F343" s="18" t="inlineStr">
        <is>
          <t>generation3</t>
        </is>
      </c>
      <c r="G343" s="18" t="inlineStr">
        <is>
          <t>water</t>
        </is>
      </c>
      <c r="H343" s="18" t="inlineStr">
        <is>
          <t>ground</t>
        </is>
      </c>
      <c r="I343" s="18" t="inlineStr">
        <is>
          <t>예</t>
        </is>
      </c>
      <c r="J343" s="18" t="inlineStr">
        <is>
          <t>예</t>
        </is>
      </c>
      <c r="K343" s="18" t="inlineStr">
        <is>
          <t>예</t>
        </is>
      </c>
      <c r="L343" s="18" t="inlineStr">
        <is>
          <t>Cobblemon 동일</t>
        </is>
      </c>
      <c r="M343" s="18">
        <f>COUNTIF('스폰_편집'!$D$5:$D$3125,A343)</f>
        <v/>
      </c>
      <c r="N343" s="18">
        <f>COUNTIFS('스폰_편집'!$D$5:$D$3125,A343,'스폰_편집'!$B$5:$B$3125,"사용")</f>
        <v/>
      </c>
      <c r="O343" s="18" t="n">
        <v>8</v>
      </c>
      <c r="P343" s="18" t="inlineStr">
        <is>
          <t>#cobblemon:is_arid; #cobblemon:is_freshwater; #cobblemon:is_hills; #cobblemon:is_jungle; #cobblemon:is_mushroom; #cobblemon:is_overworld; #cobblemon:is_swamp; #cobblemon:is_temperate</t>
        </is>
      </c>
      <c r="Q343" s="18" t="inlineStr">
        <is>
          <t>common; uncommon</t>
        </is>
      </c>
      <c r="R343" s="18" t="inlineStr">
        <is>
          <t>region_01; region_02</t>
        </is>
      </c>
      <c r="S343" s="18" t="inlineStr">
        <is>
          <t>cobbleventure:generation_3</t>
        </is>
      </c>
      <c r="T343" s="18">
        <f>IF(M343=0,"없음",IF(N343=0,"전부 제외","사용"))</f>
        <v/>
      </c>
      <c r="U343" s="18" t="inlineStr"/>
    </row>
    <row r="344" ht="30" customHeight="1">
      <c r="A344" s="18" t="n">
        <v>340</v>
      </c>
      <c r="B344" s="18" t="inlineStr">
        <is>
          <t>메깅</t>
        </is>
      </c>
      <c r="C344" s="18" t="inlineStr">
        <is>
          <t>whiscash</t>
        </is>
      </c>
      <c r="D344" s="18" t="inlineStr">
        <is>
          <t>Whiscash</t>
        </is>
      </c>
      <c r="E344" s="18" t="n">
        <v>3</v>
      </c>
      <c r="F344" s="18" t="inlineStr">
        <is>
          <t>generation3</t>
        </is>
      </c>
      <c r="G344" s="18" t="inlineStr">
        <is>
          <t>water</t>
        </is>
      </c>
      <c r="H344" s="18" t="inlineStr">
        <is>
          <t>ground</t>
        </is>
      </c>
      <c r="I344" s="18" t="inlineStr">
        <is>
          <t>예</t>
        </is>
      </c>
      <c r="J344" s="18" t="inlineStr">
        <is>
          <t>예</t>
        </is>
      </c>
      <c r="K344" s="18" t="inlineStr">
        <is>
          <t>예</t>
        </is>
      </c>
      <c r="L344" s="18" t="inlineStr">
        <is>
          <t>Cobblemon 동일</t>
        </is>
      </c>
      <c r="M344" s="18">
        <f>COUNTIF('스폰_편집'!$D$5:$D$3125,A344)</f>
        <v/>
      </c>
      <c r="N344" s="18">
        <f>COUNTIFS('스폰_편집'!$D$5:$D$3125,A344,'스폰_편집'!$B$5:$B$3125,"사용")</f>
        <v/>
      </c>
      <c r="O344" s="18" t="n">
        <v>8</v>
      </c>
      <c r="P344" s="18" t="inlineStr">
        <is>
          <t>#cobblemon:is_arid; #cobblemon:is_freshwater; #cobblemon:is_hills; #cobblemon:is_jungle; #cobblemon:is_mushroom; #cobblemon:is_overworld; #cobblemon:is_swamp; #cobblemon:is_temperate</t>
        </is>
      </c>
      <c r="Q344" s="18" t="inlineStr">
        <is>
          <t>common; rare; uncommon</t>
        </is>
      </c>
      <c r="R344" s="18" t="inlineStr">
        <is>
          <t>region_01; region_02</t>
        </is>
      </c>
      <c r="S344" s="18" t="inlineStr">
        <is>
          <t>cobbleventure:generation_3</t>
        </is>
      </c>
      <c r="T344" s="18">
        <f>IF(M344=0,"없음",IF(N344=0,"전부 제외","사용"))</f>
        <v/>
      </c>
      <c r="U344" s="18" t="inlineStr"/>
    </row>
    <row r="345" ht="30" customHeight="1">
      <c r="A345" s="18" t="n">
        <v>341</v>
      </c>
      <c r="B345" s="18" t="inlineStr">
        <is>
          <t>가재군</t>
        </is>
      </c>
      <c r="C345" s="18" t="inlineStr">
        <is>
          <t>corphish</t>
        </is>
      </c>
      <c r="D345" s="18" t="inlineStr">
        <is>
          <t>Corphish</t>
        </is>
      </c>
      <c r="E345" s="18" t="n">
        <v>3</v>
      </c>
      <c r="F345" s="18" t="inlineStr">
        <is>
          <t>generation3</t>
        </is>
      </c>
      <c r="G345" s="18" t="inlineStr">
        <is>
          <t>water</t>
        </is>
      </c>
      <c r="H345" s="18" t="inlineStr"/>
      <c r="I345" s="18" t="inlineStr">
        <is>
          <t>예</t>
        </is>
      </c>
      <c r="J345" s="18" t="inlineStr">
        <is>
          <t>예</t>
        </is>
      </c>
      <c r="K345" s="18" t="inlineStr">
        <is>
          <t>예</t>
        </is>
      </c>
      <c r="L345" s="18" t="inlineStr">
        <is>
          <t>Cobblemon 동일</t>
        </is>
      </c>
      <c r="M345" s="18">
        <f>COUNTIF('스폰_편집'!$D$5:$D$3125,A345)</f>
        <v/>
      </c>
      <c r="N345" s="18">
        <f>COUNTIFS('스폰_편집'!$D$5:$D$3125,A345,'스폰_편집'!$B$5:$B$3125,"사용")</f>
        <v/>
      </c>
      <c r="O345" s="18" t="n">
        <v>5</v>
      </c>
      <c r="P345" s="18" t="inlineStr">
        <is>
          <t>#cobblemon:is_arid; #cobblemon:is_freshwater; #cobblemon:is_hills; #cobblemon:is_jungle; #cobblemon:is_temperate</t>
        </is>
      </c>
      <c r="Q345" s="18" t="inlineStr">
        <is>
          <t>common</t>
        </is>
      </c>
      <c r="R345" s="18" t="inlineStr">
        <is>
          <t>region_01; region_02</t>
        </is>
      </c>
      <c r="S345" s="18" t="inlineStr">
        <is>
          <t>cobbleventure:generation_3</t>
        </is>
      </c>
      <c r="T345" s="18">
        <f>IF(M345=0,"없음",IF(N345=0,"전부 제외","사용"))</f>
        <v/>
      </c>
      <c r="U345" s="18" t="inlineStr"/>
    </row>
    <row r="346" ht="30" customHeight="1">
      <c r="A346" s="18" t="n">
        <v>342</v>
      </c>
      <c r="B346" s="18" t="inlineStr">
        <is>
          <t>가재장군</t>
        </is>
      </c>
      <c r="C346" s="18" t="inlineStr">
        <is>
          <t>crawdaunt</t>
        </is>
      </c>
      <c r="D346" s="18" t="inlineStr">
        <is>
          <t>Crawdaunt</t>
        </is>
      </c>
      <c r="E346" s="18" t="n">
        <v>3</v>
      </c>
      <c r="F346" s="18" t="inlineStr">
        <is>
          <t>generation3</t>
        </is>
      </c>
      <c r="G346" s="18" t="inlineStr">
        <is>
          <t>water</t>
        </is>
      </c>
      <c r="H346" s="18" t="inlineStr">
        <is>
          <t>dark</t>
        </is>
      </c>
      <c r="I346" s="18" t="inlineStr">
        <is>
          <t>예</t>
        </is>
      </c>
      <c r="J346" s="18" t="inlineStr">
        <is>
          <t>예</t>
        </is>
      </c>
      <c r="K346" s="18" t="inlineStr">
        <is>
          <t>예</t>
        </is>
      </c>
      <c r="L346" s="18" t="inlineStr">
        <is>
          <t>Cobblemon 동일</t>
        </is>
      </c>
      <c r="M346" s="18">
        <f>COUNTIF('스폰_편집'!$D$5:$D$3125,A346)</f>
        <v/>
      </c>
      <c r="N346" s="18">
        <f>COUNTIFS('스폰_편집'!$D$5:$D$3125,A346,'스폰_편집'!$B$5:$B$3125,"사용")</f>
        <v/>
      </c>
      <c r="O346" s="18" t="n">
        <v>5</v>
      </c>
      <c r="P346" s="18" t="inlineStr">
        <is>
          <t>#cobblemon:is_arid; #cobblemon:is_freshwater; #cobblemon:is_hills; #cobblemon:is_jungle; #cobblemon:is_temperate</t>
        </is>
      </c>
      <c r="Q346" s="18" t="inlineStr">
        <is>
          <t>common</t>
        </is>
      </c>
      <c r="R346" s="18" t="inlineStr">
        <is>
          <t>region_01; region_02</t>
        </is>
      </c>
      <c r="S346" s="18" t="inlineStr">
        <is>
          <t>cobbleventure:generation_3</t>
        </is>
      </c>
      <c r="T346" s="18">
        <f>IF(M346=0,"없음",IF(N346=0,"전부 제외","사용"))</f>
        <v/>
      </c>
      <c r="U346" s="18" t="inlineStr"/>
    </row>
    <row r="347" ht="30" customHeight="1">
      <c r="A347" s="18" t="n">
        <v>343</v>
      </c>
      <c r="B347" s="18" t="inlineStr">
        <is>
          <t>오뚝군</t>
        </is>
      </c>
      <c r="C347" s="18" t="inlineStr">
        <is>
          <t>baltoy</t>
        </is>
      </c>
      <c r="D347" s="18" t="inlineStr">
        <is>
          <t>Baltoy</t>
        </is>
      </c>
      <c r="E347" s="18" t="n">
        <v>3</v>
      </c>
      <c r="F347" s="18" t="inlineStr">
        <is>
          <t>generation3</t>
        </is>
      </c>
      <c r="G347" s="18" t="inlineStr">
        <is>
          <t>ground</t>
        </is>
      </c>
      <c r="H347" s="18" t="inlineStr">
        <is>
          <t>psychic</t>
        </is>
      </c>
      <c r="I347" s="18" t="inlineStr">
        <is>
          <t>예</t>
        </is>
      </c>
      <c r="J347" s="18" t="inlineStr">
        <is>
          <t>예</t>
        </is>
      </c>
      <c r="K347" s="18" t="inlineStr">
        <is>
          <t>예</t>
        </is>
      </c>
      <c r="L347" s="18" t="inlineStr">
        <is>
          <t>COBBLEVERSE 수정</t>
        </is>
      </c>
      <c r="M347" s="18">
        <f>COUNTIF('스폰_편집'!$D$5:$D$3125,A347)</f>
        <v/>
      </c>
      <c r="N347" s="18">
        <f>COUNTIFS('스폰_편집'!$D$5:$D$3125,A347,'스폰_편집'!$B$5:$B$3125,"사용")</f>
        <v/>
      </c>
      <c r="O347" s="18" t="n">
        <v>2</v>
      </c>
      <c r="P347" s="18" t="inlineStr">
        <is>
          <t>#cobblemon:is_badlands; #cobblemon:is_desert</t>
        </is>
      </c>
      <c r="Q347" s="18" t="inlineStr">
        <is>
          <t>uncommon</t>
        </is>
      </c>
      <c r="R347" s="18" t="inlineStr">
        <is>
          <t>region_02</t>
        </is>
      </c>
      <c r="S347" s="18" t="inlineStr">
        <is>
          <t>cobbleventure:generation_3</t>
        </is>
      </c>
      <c r="T347" s="18">
        <f>IF(M347=0,"없음",IF(N347=0,"전부 제외","사용"))</f>
        <v/>
      </c>
      <c r="U347" s="18" t="inlineStr"/>
    </row>
    <row r="348" ht="30" customHeight="1">
      <c r="A348" s="18" t="n">
        <v>344</v>
      </c>
      <c r="B348" s="18" t="inlineStr">
        <is>
          <t>점토도리</t>
        </is>
      </c>
      <c r="C348" s="18" t="inlineStr">
        <is>
          <t>claydol</t>
        </is>
      </c>
      <c r="D348" s="18" t="inlineStr">
        <is>
          <t>Claydol</t>
        </is>
      </c>
      <c r="E348" s="18" t="n">
        <v>3</v>
      </c>
      <c r="F348" s="18" t="inlineStr">
        <is>
          <t>generation3</t>
        </is>
      </c>
      <c r="G348" s="18" t="inlineStr">
        <is>
          <t>ground</t>
        </is>
      </c>
      <c r="H348" s="18" t="inlineStr">
        <is>
          <t>psychic</t>
        </is>
      </c>
      <c r="I348" s="18" t="inlineStr">
        <is>
          <t>예</t>
        </is>
      </c>
      <c r="J348" s="18" t="inlineStr">
        <is>
          <t>예</t>
        </is>
      </c>
      <c r="K348" s="18" t="inlineStr">
        <is>
          <t>예</t>
        </is>
      </c>
      <c r="L348" s="18" t="inlineStr">
        <is>
          <t>COBBLEVERSE 수정</t>
        </is>
      </c>
      <c r="M348" s="18">
        <f>COUNTIF('스폰_편집'!$D$5:$D$3125,A348)</f>
        <v/>
      </c>
      <c r="N348" s="18">
        <f>COUNTIFS('스폰_편집'!$D$5:$D$3125,A348,'스폰_편집'!$B$5:$B$3125,"사용")</f>
        <v/>
      </c>
      <c r="O348" s="18" t="n">
        <v>3</v>
      </c>
      <c r="P348" s="18" t="inlineStr">
        <is>
          <t>#cobblemon:is_badlands; #cobblemon:is_desert; #cobblemon:is_overworld</t>
        </is>
      </c>
      <c r="Q348" s="18" t="inlineStr">
        <is>
          <t>common; uncommon</t>
        </is>
      </c>
      <c r="R348" s="18" t="inlineStr">
        <is>
          <t>region_01; region_02</t>
        </is>
      </c>
      <c r="S348" s="18" t="inlineStr">
        <is>
          <t>cobbleventure:generation_3</t>
        </is>
      </c>
      <c r="T348" s="18">
        <f>IF(M348=0,"없음",IF(N348=0,"전부 제외","사용"))</f>
        <v/>
      </c>
      <c r="U348" s="18" t="inlineStr"/>
    </row>
    <row r="349" ht="30" customHeight="1">
      <c r="A349" s="18" t="n">
        <v>345</v>
      </c>
      <c r="B349" s="18" t="inlineStr">
        <is>
          <t>릴링</t>
        </is>
      </c>
      <c r="C349" s="18" t="inlineStr">
        <is>
          <t>lileep</t>
        </is>
      </c>
      <c r="D349" s="18" t="inlineStr">
        <is>
          <t>Lileep</t>
        </is>
      </c>
      <c r="E349" s="18" t="n">
        <v>3</v>
      </c>
      <c r="F349" s="18" t="inlineStr">
        <is>
          <t>generation3</t>
        </is>
      </c>
      <c r="G349" s="18" t="inlineStr">
        <is>
          <t>rock</t>
        </is>
      </c>
      <c r="H349" s="18" t="inlineStr">
        <is>
          <t>grass</t>
        </is>
      </c>
      <c r="I349" s="18" t="inlineStr">
        <is>
          <t>예</t>
        </is>
      </c>
      <c r="J349" s="18" t="inlineStr">
        <is>
          <t>예</t>
        </is>
      </c>
      <c r="K349" s="18" t="inlineStr">
        <is>
          <t>예</t>
        </is>
      </c>
      <c r="L349" s="18" t="inlineStr">
        <is>
          <t>Cobblemon 동일</t>
        </is>
      </c>
      <c r="M349" s="18">
        <f>COUNTIF('스폰_편집'!$D$5:$D$3125,A349)</f>
        <v/>
      </c>
      <c r="N349" s="18">
        <f>COUNTIFS('스폰_편집'!$D$5:$D$3125,A349,'스폰_편집'!$B$5:$B$3125,"사용")</f>
        <v/>
      </c>
      <c r="O349" s="18" t="n">
        <v>1</v>
      </c>
      <c r="P349" s="18" t="inlineStr">
        <is>
          <t>#cobblemon:is_lush</t>
        </is>
      </c>
      <c r="Q349" s="18" t="inlineStr">
        <is>
          <t>ultra-rare</t>
        </is>
      </c>
      <c r="R349" s="18" t="inlineStr"/>
      <c r="S349" s="18" t="inlineStr">
        <is>
          <t>cobbleventure:generation_3</t>
        </is>
      </c>
      <c r="T349" s="18">
        <f>IF(M349=0,"없음",IF(N349=0,"전부 제외","사용"))</f>
        <v/>
      </c>
      <c r="U349" s="18" t="inlineStr"/>
    </row>
    <row r="350" ht="30" customHeight="1">
      <c r="A350" s="18" t="n">
        <v>346</v>
      </c>
      <c r="B350" s="18" t="inlineStr">
        <is>
          <t>릴리요</t>
        </is>
      </c>
      <c r="C350" s="18" t="inlineStr">
        <is>
          <t>cradily</t>
        </is>
      </c>
      <c r="D350" s="18" t="inlineStr">
        <is>
          <t>Cradily</t>
        </is>
      </c>
      <c r="E350" s="18" t="n">
        <v>3</v>
      </c>
      <c r="F350" s="18" t="inlineStr">
        <is>
          <t>generation3</t>
        </is>
      </c>
      <c r="G350" s="18" t="inlineStr">
        <is>
          <t>rock</t>
        </is>
      </c>
      <c r="H350" s="18" t="inlineStr">
        <is>
          <t>grass</t>
        </is>
      </c>
      <c r="I350" s="18" t="inlineStr">
        <is>
          <t>예</t>
        </is>
      </c>
      <c r="J350" s="18" t="inlineStr">
        <is>
          <t>예</t>
        </is>
      </c>
      <c r="K350" s="18" t="inlineStr">
        <is>
          <t>예</t>
        </is>
      </c>
      <c r="L350" s="18" t="inlineStr">
        <is>
          <t>Cobblemon 동일</t>
        </is>
      </c>
      <c r="M350" s="18">
        <f>COUNTIF('스폰_편집'!$D$5:$D$3125,A350)</f>
        <v/>
      </c>
      <c r="N350" s="18">
        <f>COUNTIFS('스폰_편집'!$D$5:$D$3125,A350,'스폰_편집'!$B$5:$B$3125,"사용")</f>
        <v/>
      </c>
      <c r="O350" s="18" t="n">
        <v>1</v>
      </c>
      <c r="P350" s="18" t="inlineStr">
        <is>
          <t>#cobblemon:is_lush</t>
        </is>
      </c>
      <c r="Q350" s="18" t="inlineStr">
        <is>
          <t>ultra-rare</t>
        </is>
      </c>
      <c r="R350" s="18" t="inlineStr"/>
      <c r="S350" s="18" t="inlineStr">
        <is>
          <t>cobbleventure:generation_3</t>
        </is>
      </c>
      <c r="T350" s="18">
        <f>IF(M350=0,"없음",IF(N350=0,"전부 제외","사용"))</f>
        <v/>
      </c>
      <c r="U350" s="18" t="inlineStr"/>
    </row>
    <row r="351" ht="30" customHeight="1">
      <c r="A351" s="18" t="n">
        <v>347</v>
      </c>
      <c r="B351" s="18" t="inlineStr">
        <is>
          <t>아노딥스</t>
        </is>
      </c>
      <c r="C351" s="18" t="inlineStr">
        <is>
          <t>anorith</t>
        </is>
      </c>
      <c r="D351" s="18" t="inlineStr">
        <is>
          <t>Anorith</t>
        </is>
      </c>
      <c r="E351" s="18" t="n">
        <v>3</v>
      </c>
      <c r="F351" s="18" t="inlineStr">
        <is>
          <t>generation3</t>
        </is>
      </c>
      <c r="G351" s="18" t="inlineStr">
        <is>
          <t>rock</t>
        </is>
      </c>
      <c r="H351" s="18" t="inlineStr">
        <is>
          <t>bug</t>
        </is>
      </c>
      <c r="I351" s="18" t="inlineStr">
        <is>
          <t>예</t>
        </is>
      </c>
      <c r="J351" s="18" t="inlineStr">
        <is>
          <t>예</t>
        </is>
      </c>
      <c r="K351" s="18" t="inlineStr">
        <is>
          <t>예</t>
        </is>
      </c>
      <c r="L351" s="18" t="inlineStr">
        <is>
          <t>Cobblemon 동일</t>
        </is>
      </c>
      <c r="M351" s="18">
        <f>COUNTIF('스폰_편집'!$D$5:$D$3125,A351)</f>
        <v/>
      </c>
      <c r="N351" s="18">
        <f>COUNTIFS('스폰_편집'!$D$5:$D$3125,A351,'스폰_편집'!$B$5:$B$3125,"사용")</f>
        <v/>
      </c>
      <c r="O351" s="18" t="n">
        <v>1</v>
      </c>
      <c r="P351" s="18" t="inlineStr">
        <is>
          <t>#cobblemon:is_lush</t>
        </is>
      </c>
      <c r="Q351" s="18" t="inlineStr">
        <is>
          <t>ultra-rare</t>
        </is>
      </c>
      <c r="R351" s="18" t="inlineStr"/>
      <c r="S351" s="18" t="inlineStr">
        <is>
          <t>cobbleventure:generation_3</t>
        </is>
      </c>
      <c r="T351" s="18">
        <f>IF(M351=0,"없음",IF(N351=0,"전부 제외","사용"))</f>
        <v/>
      </c>
      <c r="U351" s="18" t="inlineStr"/>
    </row>
    <row r="352" ht="30" customHeight="1">
      <c r="A352" s="18" t="n">
        <v>348</v>
      </c>
      <c r="B352" s="18" t="inlineStr">
        <is>
          <t>아말도</t>
        </is>
      </c>
      <c r="C352" s="18" t="inlineStr">
        <is>
          <t>armaldo</t>
        </is>
      </c>
      <c r="D352" s="18" t="inlineStr">
        <is>
          <t>Armaldo</t>
        </is>
      </c>
      <c r="E352" s="18" t="n">
        <v>3</v>
      </c>
      <c r="F352" s="18" t="inlineStr">
        <is>
          <t>generation3</t>
        </is>
      </c>
      <c r="G352" s="18" t="inlineStr">
        <is>
          <t>rock</t>
        </is>
      </c>
      <c r="H352" s="18" t="inlineStr">
        <is>
          <t>bug</t>
        </is>
      </c>
      <c r="I352" s="18" t="inlineStr">
        <is>
          <t>예</t>
        </is>
      </c>
      <c r="J352" s="18" t="inlineStr">
        <is>
          <t>예</t>
        </is>
      </c>
      <c r="K352" s="18" t="inlineStr">
        <is>
          <t>예</t>
        </is>
      </c>
      <c r="L352" s="18" t="inlineStr">
        <is>
          <t>Cobblemon 동일</t>
        </is>
      </c>
      <c r="M352" s="18">
        <f>COUNTIF('스폰_편집'!$D$5:$D$3125,A352)</f>
        <v/>
      </c>
      <c r="N352" s="18">
        <f>COUNTIFS('스폰_편집'!$D$5:$D$3125,A352,'스폰_편집'!$B$5:$B$3125,"사용")</f>
        <v/>
      </c>
      <c r="O352" s="18" t="n">
        <v>1</v>
      </c>
      <c r="P352" s="18" t="inlineStr">
        <is>
          <t>#cobblemon:is_lush</t>
        </is>
      </c>
      <c r="Q352" s="18" t="inlineStr">
        <is>
          <t>ultra-rare</t>
        </is>
      </c>
      <c r="R352" s="18" t="inlineStr"/>
      <c r="S352" s="18" t="inlineStr">
        <is>
          <t>cobbleventure:generation_3</t>
        </is>
      </c>
      <c r="T352" s="18">
        <f>IF(M352=0,"없음",IF(N352=0,"전부 제외","사용"))</f>
        <v/>
      </c>
      <c r="U352" s="18" t="inlineStr"/>
    </row>
    <row r="353" ht="30" customHeight="1">
      <c r="A353" s="18" t="n">
        <v>349</v>
      </c>
      <c r="B353" s="18" t="inlineStr">
        <is>
          <t>빈티나</t>
        </is>
      </c>
      <c r="C353" s="18" t="inlineStr">
        <is>
          <t>feebas</t>
        </is>
      </c>
      <c r="D353" s="18" t="inlineStr">
        <is>
          <t>Feebas</t>
        </is>
      </c>
      <c r="E353" s="18" t="n">
        <v>3</v>
      </c>
      <c r="F353" s="18" t="inlineStr">
        <is>
          <t>generation3</t>
        </is>
      </c>
      <c r="G353" s="18" t="inlineStr">
        <is>
          <t>water</t>
        </is>
      </c>
      <c r="H353" s="18" t="inlineStr"/>
      <c r="I353" s="18" t="inlineStr">
        <is>
          <t>예</t>
        </is>
      </c>
      <c r="J353" s="18" t="inlineStr">
        <is>
          <t>예</t>
        </is>
      </c>
      <c r="K353" s="18" t="inlineStr">
        <is>
          <t>예</t>
        </is>
      </c>
      <c r="L353" s="18" t="inlineStr">
        <is>
          <t>Cobblemon 동일</t>
        </is>
      </c>
      <c r="M353" s="18">
        <f>COUNTIF('스폰_편집'!$D$5:$D$3125,A353)</f>
        <v/>
      </c>
      <c r="N353" s="18">
        <f>COUNTIFS('스폰_편집'!$D$5:$D$3125,A353,'스폰_편집'!$B$5:$B$3125,"사용")</f>
        <v/>
      </c>
      <c r="O353" s="18" t="n">
        <v>1</v>
      </c>
      <c r="P353" s="18" t="inlineStr">
        <is>
          <t>#cobblemon:is_overworld</t>
        </is>
      </c>
      <c r="Q353" s="18" t="inlineStr">
        <is>
          <t>common</t>
        </is>
      </c>
      <c r="R353" s="18" t="inlineStr">
        <is>
          <t>region_01; region_02</t>
        </is>
      </c>
      <c r="S353" s="18" t="inlineStr">
        <is>
          <t>cobbleventure:generation_3</t>
        </is>
      </c>
      <c r="T353" s="18">
        <f>IF(M353=0,"없음",IF(N353=0,"전부 제외","사용"))</f>
        <v/>
      </c>
      <c r="U353" s="18" t="inlineStr"/>
    </row>
    <row r="354" ht="30" customHeight="1">
      <c r="A354" s="18" t="n">
        <v>350</v>
      </c>
      <c r="B354" s="18" t="inlineStr">
        <is>
          <t>밀로틱</t>
        </is>
      </c>
      <c r="C354" s="18" t="inlineStr">
        <is>
          <t>milotic</t>
        </is>
      </c>
      <c r="D354" s="18" t="inlineStr">
        <is>
          <t>Milotic</t>
        </is>
      </c>
      <c r="E354" s="18" t="n">
        <v>3</v>
      </c>
      <c r="F354" s="18" t="inlineStr">
        <is>
          <t>generation3</t>
        </is>
      </c>
      <c r="G354" s="18" t="inlineStr">
        <is>
          <t>water</t>
        </is>
      </c>
      <c r="H354" s="18" t="inlineStr"/>
      <c r="I354" s="18" t="inlineStr">
        <is>
          <t>예</t>
        </is>
      </c>
      <c r="J354" s="18" t="inlineStr">
        <is>
          <t>예</t>
        </is>
      </c>
      <c r="K354" s="18" t="inlineStr">
        <is>
          <t>예</t>
        </is>
      </c>
      <c r="L354" s="18" t="inlineStr">
        <is>
          <t>Cobblemon 동일</t>
        </is>
      </c>
      <c r="M354" s="18">
        <f>COUNTIF('스폰_편집'!$D$5:$D$3125,A354)</f>
        <v/>
      </c>
      <c r="N354" s="18">
        <f>COUNTIFS('스폰_편집'!$D$5:$D$3125,A354,'스폰_편집'!$B$5:$B$3125,"사용")</f>
        <v/>
      </c>
      <c r="O354" s="18" t="n">
        <v>1</v>
      </c>
      <c r="P354" s="18" t="inlineStr">
        <is>
          <t>#cobblemon:is_overworld</t>
        </is>
      </c>
      <c r="Q354" s="18" t="inlineStr">
        <is>
          <t>common</t>
        </is>
      </c>
      <c r="R354" s="18" t="inlineStr">
        <is>
          <t>region_01; region_02</t>
        </is>
      </c>
      <c r="S354" s="18" t="inlineStr">
        <is>
          <t>cobbleventure:generation_3</t>
        </is>
      </c>
      <c r="T354" s="18">
        <f>IF(M354=0,"없음",IF(N354=0,"전부 제외","사용"))</f>
        <v/>
      </c>
      <c r="U354" s="18" t="inlineStr"/>
    </row>
    <row r="355" ht="30" customHeight="1">
      <c r="A355" s="18" t="n">
        <v>351</v>
      </c>
      <c r="B355" s="18" t="inlineStr">
        <is>
          <t>캐스퐁</t>
        </is>
      </c>
      <c r="C355" s="18" t="inlineStr">
        <is>
          <t>castform</t>
        </is>
      </c>
      <c r="D355" s="18" t="inlineStr">
        <is>
          <t>Castform</t>
        </is>
      </c>
      <c r="E355" s="18" t="n">
        <v>3</v>
      </c>
      <c r="F355" s="18" t="inlineStr">
        <is>
          <t>generation3</t>
        </is>
      </c>
      <c r="G355" s="18" t="inlineStr">
        <is>
          <t>normal</t>
        </is>
      </c>
      <c r="H355" s="18" t="inlineStr"/>
      <c r="I355" s="18" t="inlineStr">
        <is>
          <t>아니오</t>
        </is>
      </c>
      <c r="J355" s="18" t="inlineStr">
        <is>
          <t>아니오</t>
        </is>
      </c>
      <c r="K355" s="18" t="inlineStr">
        <is>
          <t>예</t>
        </is>
      </c>
      <c r="L355" s="18" t="inlineStr">
        <is>
          <t>COBBLEVERSE 추가</t>
        </is>
      </c>
      <c r="M355" s="18">
        <f>COUNTIF('스폰_편집'!$D$5:$D$3125,A355)</f>
        <v/>
      </c>
      <c r="N355" s="18">
        <f>COUNTIFS('스폰_편집'!$D$5:$D$3125,A355,'스폰_편집'!$B$5:$B$3125,"사용")</f>
        <v/>
      </c>
      <c r="O355" s="18" t="n">
        <v>5</v>
      </c>
      <c r="P355" s="18" t="inlineStr">
        <is>
          <t>#cobblemon:is_arid; #cobblemon:is_beach; #cobblemon:is_freezing; #cobblemon:is_plains; #minecraft:is_overworld</t>
        </is>
      </c>
      <c r="Q355" s="18" t="inlineStr">
        <is>
          <t>uncommon</t>
        </is>
      </c>
      <c r="R355" s="18" t="inlineStr">
        <is>
          <t>region_01; region_02</t>
        </is>
      </c>
      <c r="S355" s="18" t="inlineStr">
        <is>
          <t>cobbleventure:generation_3</t>
        </is>
      </c>
      <c r="T355" s="18">
        <f>IF(M355=0,"없음",IF(N355=0,"전부 제외","사용"))</f>
        <v/>
      </c>
      <c r="U355" s="18" t="inlineStr"/>
    </row>
    <row r="356" ht="30" customHeight="1">
      <c r="A356" s="18" t="n">
        <v>352</v>
      </c>
      <c r="B356" s="18" t="inlineStr">
        <is>
          <t>켈리몬</t>
        </is>
      </c>
      <c r="C356" s="18" t="inlineStr">
        <is>
          <t>kecleon</t>
        </is>
      </c>
      <c r="D356" s="18" t="inlineStr">
        <is>
          <t>Kecleon</t>
        </is>
      </c>
      <c r="E356" s="18" t="n">
        <v>3</v>
      </c>
      <c r="F356" s="18" t="inlineStr">
        <is>
          <t>generation3</t>
        </is>
      </c>
      <c r="G356" s="18" t="inlineStr">
        <is>
          <t>normal</t>
        </is>
      </c>
      <c r="H356" s="18" t="inlineStr"/>
      <c r="I356" s="18" t="inlineStr">
        <is>
          <t>예</t>
        </is>
      </c>
      <c r="J356" s="18" t="inlineStr">
        <is>
          <t>예</t>
        </is>
      </c>
      <c r="K356" s="18" t="inlineStr">
        <is>
          <t>예</t>
        </is>
      </c>
      <c r="L356" s="18" t="inlineStr">
        <is>
          <t>Cobblemon 동일</t>
        </is>
      </c>
      <c r="M356" s="18">
        <f>COUNTIF('스폰_편집'!$D$5:$D$3125,A356)</f>
        <v/>
      </c>
      <c r="N356" s="18">
        <f>COUNTIFS('스폰_편집'!$D$5:$D$3125,A356,'스폰_편집'!$B$5:$B$3125,"사용")</f>
        <v/>
      </c>
      <c r="O356" s="18" t="n">
        <v>2</v>
      </c>
      <c r="P356" s="18" t="inlineStr">
        <is>
          <t>#cobblemon:is_jungle; #cobblemon:is_tropical_island</t>
        </is>
      </c>
      <c r="Q356" s="18" t="inlineStr">
        <is>
          <t>uncommon</t>
        </is>
      </c>
      <c r="R356" s="18" t="inlineStr"/>
      <c r="S356" s="18" t="inlineStr">
        <is>
          <t>cobbleventure:generation_3</t>
        </is>
      </c>
      <c r="T356" s="18">
        <f>IF(M356=0,"없음",IF(N356=0,"전부 제외","사용"))</f>
        <v/>
      </c>
      <c r="U356" s="18" t="inlineStr"/>
    </row>
    <row r="357" ht="30" customHeight="1">
      <c r="A357" s="18" t="n">
        <v>353</v>
      </c>
      <c r="B357" s="18" t="inlineStr">
        <is>
          <t>어둠대신</t>
        </is>
      </c>
      <c r="C357" s="18" t="inlineStr">
        <is>
          <t>shuppet</t>
        </is>
      </c>
      <c r="D357" s="18" t="inlineStr">
        <is>
          <t>Shuppet</t>
        </is>
      </c>
      <c r="E357" s="18" t="n">
        <v>3</v>
      </c>
      <c r="F357" s="18" t="inlineStr">
        <is>
          <t>generation3</t>
        </is>
      </c>
      <c r="G357" s="18" t="inlineStr">
        <is>
          <t>ghost</t>
        </is>
      </c>
      <c r="H357" s="18" t="inlineStr"/>
      <c r="I357" s="18" t="inlineStr">
        <is>
          <t>예</t>
        </is>
      </c>
      <c r="J357" s="18" t="inlineStr">
        <is>
          <t>예</t>
        </is>
      </c>
      <c r="K357" s="18" t="inlineStr">
        <is>
          <t>예</t>
        </is>
      </c>
      <c r="L357" s="18" t="inlineStr">
        <is>
          <t>COBBLEVERSE 수정</t>
        </is>
      </c>
      <c r="M357" s="18">
        <f>COUNTIF('스폰_편집'!$D$5:$D$3125,A357)</f>
        <v/>
      </c>
      <c r="N357" s="18">
        <f>COUNTIFS('스폰_편집'!$D$5:$D$3125,A357,'스폰_편집'!$B$5:$B$3125,"사용")</f>
        <v/>
      </c>
      <c r="O357" s="18" t="n">
        <v>2</v>
      </c>
      <c r="P357" s="18" t="inlineStr">
        <is>
          <t>#cobblemon:is_overworld; #cobblemon:is_spooky</t>
        </is>
      </c>
      <c r="Q357" s="18" t="inlineStr">
        <is>
          <t>common; uncommon</t>
        </is>
      </c>
      <c r="R357" s="18" t="inlineStr">
        <is>
          <t>region_01; region_02</t>
        </is>
      </c>
      <c r="S357" s="18" t="inlineStr">
        <is>
          <t>cobbleventure:generation_3</t>
        </is>
      </c>
      <c r="T357" s="18">
        <f>IF(M357=0,"없음",IF(N357=0,"전부 제외","사용"))</f>
        <v/>
      </c>
      <c r="U357" s="18" t="inlineStr"/>
    </row>
    <row r="358" ht="30" customHeight="1">
      <c r="A358" s="18" t="n">
        <v>354</v>
      </c>
      <c r="B358" s="18" t="inlineStr">
        <is>
          <t>다크펫</t>
        </is>
      </c>
      <c r="C358" s="18" t="inlineStr">
        <is>
          <t>banette</t>
        </is>
      </c>
      <c r="D358" s="18" t="inlineStr">
        <is>
          <t>Banette</t>
        </is>
      </c>
      <c r="E358" s="18" t="n">
        <v>3</v>
      </c>
      <c r="F358" s="18" t="inlineStr">
        <is>
          <t>generation3</t>
        </is>
      </c>
      <c r="G358" s="18" t="inlineStr">
        <is>
          <t>ghost</t>
        </is>
      </c>
      <c r="H358" s="18" t="inlineStr"/>
      <c r="I358" s="18" t="inlineStr">
        <is>
          <t>예</t>
        </is>
      </c>
      <c r="J358" s="18" t="inlineStr">
        <is>
          <t>예</t>
        </is>
      </c>
      <c r="K358" s="18" t="inlineStr">
        <is>
          <t>예</t>
        </is>
      </c>
      <c r="L358" s="18" t="inlineStr">
        <is>
          <t>COBBLEVERSE 수정</t>
        </is>
      </c>
      <c r="M358" s="18">
        <f>COUNTIF('스폰_편집'!$D$5:$D$3125,A358)</f>
        <v/>
      </c>
      <c r="N358" s="18">
        <f>COUNTIFS('스폰_편집'!$D$5:$D$3125,A358,'스폰_편집'!$B$5:$B$3125,"사용")</f>
        <v/>
      </c>
      <c r="O358" s="18" t="n">
        <v>2</v>
      </c>
      <c r="P358" s="18" t="inlineStr">
        <is>
          <t>#cobblemon:is_overworld; #cobblemon:is_spooky</t>
        </is>
      </c>
      <c r="Q358" s="18" t="inlineStr">
        <is>
          <t>common; uncommon</t>
        </is>
      </c>
      <c r="R358" s="18" t="inlineStr">
        <is>
          <t>region_01; region_02</t>
        </is>
      </c>
      <c r="S358" s="18" t="inlineStr">
        <is>
          <t>cobbleventure:generation_3</t>
        </is>
      </c>
      <c r="T358" s="18">
        <f>IF(M358=0,"없음",IF(N358=0,"전부 제외","사용"))</f>
        <v/>
      </c>
      <c r="U358" s="18" t="inlineStr"/>
    </row>
    <row r="359" ht="30" customHeight="1">
      <c r="A359" s="18" t="n">
        <v>355</v>
      </c>
      <c r="B359" s="18" t="inlineStr">
        <is>
          <t>해골몽</t>
        </is>
      </c>
      <c r="C359" s="18" t="inlineStr">
        <is>
          <t>duskull</t>
        </is>
      </c>
      <c r="D359" s="18" t="inlineStr">
        <is>
          <t>Duskull</t>
        </is>
      </c>
      <c r="E359" s="18" t="n">
        <v>3</v>
      </c>
      <c r="F359" s="18" t="inlineStr">
        <is>
          <t>generation3</t>
        </is>
      </c>
      <c r="G359" s="18" t="inlineStr">
        <is>
          <t>ghost</t>
        </is>
      </c>
      <c r="H359" s="18" t="inlineStr"/>
      <c r="I359" s="18" t="inlineStr">
        <is>
          <t>예</t>
        </is>
      </c>
      <c r="J359" s="18" t="inlineStr">
        <is>
          <t>예</t>
        </is>
      </c>
      <c r="K359" s="18" t="inlineStr">
        <is>
          <t>예</t>
        </is>
      </c>
      <c r="L359" s="18" t="inlineStr">
        <is>
          <t>Cobblemon 동일</t>
        </is>
      </c>
      <c r="M359" s="18">
        <f>COUNTIF('스폰_편집'!$D$5:$D$3125,A359)</f>
        <v/>
      </c>
      <c r="N359" s="18">
        <f>COUNTIFS('스폰_편집'!$D$5:$D$3125,A359,'스폰_편집'!$B$5:$B$3125,"사용")</f>
        <v/>
      </c>
      <c r="O359" s="18" t="n">
        <v>2</v>
      </c>
      <c r="P359" s="18" t="inlineStr">
        <is>
          <t>#cobblemon:is_spooky; #cobblemon:nether/is_soul_sand</t>
        </is>
      </c>
      <c r="Q359" s="18" t="inlineStr">
        <is>
          <t>common</t>
        </is>
      </c>
      <c r="R359" s="18" t="inlineStr"/>
      <c r="S359" s="18" t="inlineStr">
        <is>
          <t>cobbleventure:generation_3</t>
        </is>
      </c>
      <c r="T359" s="18">
        <f>IF(M359=0,"없음",IF(N359=0,"전부 제외","사용"))</f>
        <v/>
      </c>
      <c r="U359" s="18" t="inlineStr"/>
    </row>
    <row r="360" ht="30" customHeight="1">
      <c r="A360" s="18" t="n">
        <v>356</v>
      </c>
      <c r="B360" s="18" t="inlineStr">
        <is>
          <t>미라몽</t>
        </is>
      </c>
      <c r="C360" s="18" t="inlineStr">
        <is>
          <t>dusclops</t>
        </is>
      </c>
      <c r="D360" s="18" t="inlineStr">
        <is>
          <t>Dusclops</t>
        </is>
      </c>
      <c r="E360" s="18" t="n">
        <v>3</v>
      </c>
      <c r="F360" s="18" t="inlineStr">
        <is>
          <t>generation3</t>
        </is>
      </c>
      <c r="G360" s="18" t="inlineStr">
        <is>
          <t>ghost</t>
        </is>
      </c>
      <c r="H360" s="18" t="inlineStr"/>
      <c r="I360" s="18" t="inlineStr">
        <is>
          <t>예</t>
        </is>
      </c>
      <c r="J360" s="18" t="inlineStr">
        <is>
          <t>예</t>
        </is>
      </c>
      <c r="K360" s="18" t="inlineStr">
        <is>
          <t>예</t>
        </is>
      </c>
      <c r="L360" s="18" t="inlineStr">
        <is>
          <t>Cobblemon 동일</t>
        </is>
      </c>
      <c r="M360" s="18">
        <f>COUNTIF('스폰_편집'!$D$5:$D$3125,A360)</f>
        <v/>
      </c>
      <c r="N360" s="18">
        <f>COUNTIFS('스폰_편집'!$D$5:$D$3125,A360,'스폰_편집'!$B$5:$B$3125,"사용")</f>
        <v/>
      </c>
      <c r="O360" s="18" t="n">
        <v>2</v>
      </c>
      <c r="P360" s="18" t="inlineStr">
        <is>
          <t>#cobblemon:is_spooky; #cobblemon:nether/is_soul_sand</t>
        </is>
      </c>
      <c r="Q360" s="18" t="inlineStr">
        <is>
          <t>common</t>
        </is>
      </c>
      <c r="R360" s="18" t="inlineStr"/>
      <c r="S360" s="18" t="inlineStr">
        <is>
          <t>cobbleventure:generation_3</t>
        </is>
      </c>
      <c r="T360" s="18">
        <f>IF(M360=0,"없음",IF(N360=0,"전부 제외","사용"))</f>
        <v/>
      </c>
      <c r="U360" s="18" t="inlineStr"/>
    </row>
    <row r="361" ht="30" customHeight="1">
      <c r="A361" s="18" t="n">
        <v>357</v>
      </c>
      <c r="B361" s="18" t="inlineStr">
        <is>
          <t>트로피우스</t>
        </is>
      </c>
      <c r="C361" s="18" t="inlineStr">
        <is>
          <t>tropius</t>
        </is>
      </c>
      <c r="D361" s="18" t="inlineStr">
        <is>
          <t>Tropius</t>
        </is>
      </c>
      <c r="E361" s="18" t="n">
        <v>3</v>
      </c>
      <c r="F361" s="18" t="inlineStr">
        <is>
          <t>generation3</t>
        </is>
      </c>
      <c r="G361" s="18" t="inlineStr">
        <is>
          <t>grass</t>
        </is>
      </c>
      <c r="H361" s="18" t="inlineStr">
        <is>
          <t>flying</t>
        </is>
      </c>
      <c r="I361" s="18" t="inlineStr">
        <is>
          <t>예</t>
        </is>
      </c>
      <c r="J361" s="18" t="inlineStr">
        <is>
          <t>예</t>
        </is>
      </c>
      <c r="K361" s="18" t="inlineStr">
        <is>
          <t>예</t>
        </is>
      </c>
      <c r="L361" s="18" t="inlineStr">
        <is>
          <t>Cobblemon 동일</t>
        </is>
      </c>
      <c r="M361" s="18">
        <f>COUNTIF('스폰_편집'!$D$5:$D$3125,A361)</f>
        <v/>
      </c>
      <c r="N361" s="18">
        <f>COUNTIFS('스폰_편집'!$D$5:$D$3125,A361,'스폰_편집'!$B$5:$B$3125,"사용")</f>
        <v/>
      </c>
      <c r="O361" s="18" t="n">
        <v>2</v>
      </c>
      <c r="P361" s="18" t="inlineStr">
        <is>
          <t>#aether:is_aether; #cobblemon:is_jungle</t>
        </is>
      </c>
      <c r="Q361" s="18" t="inlineStr">
        <is>
          <t>uncommon</t>
        </is>
      </c>
      <c r="R361" s="18" t="inlineStr"/>
      <c r="S361" s="18" t="inlineStr">
        <is>
          <t>cobbleventure:generation_3</t>
        </is>
      </c>
      <c r="T361" s="18">
        <f>IF(M361=0,"없음",IF(N361=0,"전부 제외","사용"))</f>
        <v/>
      </c>
      <c r="U361" s="18" t="inlineStr"/>
    </row>
    <row r="362" ht="30" customHeight="1">
      <c r="A362" s="18" t="n">
        <v>358</v>
      </c>
      <c r="B362" s="18" t="inlineStr">
        <is>
          <t>치렁</t>
        </is>
      </c>
      <c r="C362" s="18" t="inlineStr">
        <is>
          <t>chimecho</t>
        </is>
      </c>
      <c r="D362" s="18" t="inlineStr">
        <is>
          <t>Chimecho</t>
        </is>
      </c>
      <c r="E362" s="18" t="n">
        <v>3</v>
      </c>
      <c r="F362" s="18" t="inlineStr">
        <is>
          <t>generation3</t>
        </is>
      </c>
      <c r="G362" s="18" t="inlineStr">
        <is>
          <t>psychic</t>
        </is>
      </c>
      <c r="H362" s="18" t="inlineStr"/>
      <c r="I362" s="18" t="inlineStr">
        <is>
          <t>예</t>
        </is>
      </c>
      <c r="J362" s="18" t="inlineStr">
        <is>
          <t>예</t>
        </is>
      </c>
      <c r="K362" s="18" t="inlineStr">
        <is>
          <t>예</t>
        </is>
      </c>
      <c r="L362" s="18" t="inlineStr">
        <is>
          <t>COBBLEVERSE 수정</t>
        </is>
      </c>
      <c r="M362" s="18">
        <f>COUNTIF('스폰_편집'!$D$5:$D$3125,A362)</f>
        <v/>
      </c>
      <c r="N362" s="18">
        <f>COUNTIFS('스폰_편집'!$D$5:$D$3125,A362,'스폰_편집'!$B$5:$B$3125,"사용")</f>
        <v/>
      </c>
      <c r="O362" s="18" t="n">
        <v>6</v>
      </c>
      <c r="P362" s="18" t="inlineStr">
        <is>
          <t>#cobblemon:is_forest; #cobblemon:is_magical; #cobblemon:is_mountain; #cobblemon:is_overworld; #cobblemon:is_spooky; #cobblemon:is_taiga</t>
        </is>
      </c>
      <c r="Q362" s="18" t="inlineStr">
        <is>
          <t>uncommon</t>
        </is>
      </c>
      <c r="R362" s="18" t="inlineStr">
        <is>
          <t>region_01; region_02</t>
        </is>
      </c>
      <c r="S362" s="18" t="inlineStr">
        <is>
          <t>cobbleventure:generation_3</t>
        </is>
      </c>
      <c r="T362" s="18">
        <f>IF(M362=0,"없음",IF(N362=0,"전부 제외","사용"))</f>
        <v/>
      </c>
      <c r="U362" s="18" t="inlineStr"/>
    </row>
    <row r="363" ht="30" customHeight="1">
      <c r="A363" s="18" t="n">
        <v>359</v>
      </c>
      <c r="B363" s="18" t="inlineStr">
        <is>
          <t>앱솔</t>
        </is>
      </c>
      <c r="C363" s="18" t="inlineStr">
        <is>
          <t>absol</t>
        </is>
      </c>
      <c r="D363" s="18" t="inlineStr">
        <is>
          <t>Absol</t>
        </is>
      </c>
      <c r="E363" s="18" t="n">
        <v>3</v>
      </c>
      <c r="F363" s="18" t="inlineStr">
        <is>
          <t>generation3</t>
        </is>
      </c>
      <c r="G363" s="18" t="inlineStr">
        <is>
          <t>dark</t>
        </is>
      </c>
      <c r="H363" s="18" t="inlineStr"/>
      <c r="I363" s="18" t="inlineStr">
        <is>
          <t>예</t>
        </is>
      </c>
      <c r="J363" s="18" t="inlineStr">
        <is>
          <t>예</t>
        </is>
      </c>
      <c r="K363" s="18" t="inlineStr">
        <is>
          <t>예</t>
        </is>
      </c>
      <c r="L363" s="18" t="inlineStr">
        <is>
          <t>Cobblemon 동일</t>
        </is>
      </c>
      <c r="M363" s="18">
        <f>COUNTIF('스폰_편집'!$D$5:$D$3125,A363)</f>
        <v/>
      </c>
      <c r="N363" s="18">
        <f>COUNTIFS('스폰_편집'!$D$5:$D$3125,A363,'스폰_편집'!$B$5:$B$3125,"사용")</f>
        <v/>
      </c>
      <c r="O363" s="18" t="n">
        <v>3</v>
      </c>
      <c r="P363" s="18" t="inlineStr">
        <is>
          <t>#cobblemon:is_mountain; #cobblemon:is_snowy_forest; #cobblemon:is_taiga</t>
        </is>
      </c>
      <c r="Q363" s="18" t="inlineStr">
        <is>
          <t>rare</t>
        </is>
      </c>
      <c r="R363" s="18" t="inlineStr"/>
      <c r="S363" s="18" t="inlineStr">
        <is>
          <t>cobbleventure:generation_3</t>
        </is>
      </c>
      <c r="T363" s="18">
        <f>IF(M363=0,"없음",IF(N363=0,"전부 제외","사용"))</f>
        <v/>
      </c>
      <c r="U363" s="18" t="inlineStr"/>
    </row>
    <row r="364" ht="30" customHeight="1">
      <c r="A364" s="18" t="n">
        <v>360</v>
      </c>
      <c r="B364" s="18" t="inlineStr">
        <is>
          <t>마자</t>
        </is>
      </c>
      <c r="C364" s="18" t="inlineStr">
        <is>
          <t>wynaut</t>
        </is>
      </c>
      <c r="D364" s="18" t="inlineStr">
        <is>
          <t>Wynaut</t>
        </is>
      </c>
      <c r="E364" s="18" t="n">
        <v>3</v>
      </c>
      <c r="F364" s="18" t="inlineStr">
        <is>
          <t>generation3</t>
        </is>
      </c>
      <c r="G364" s="18" t="inlineStr">
        <is>
          <t>psychic</t>
        </is>
      </c>
      <c r="H364" s="18" t="inlineStr"/>
      <c r="I364" s="18" t="inlineStr">
        <is>
          <t>예</t>
        </is>
      </c>
      <c r="J364" s="18" t="inlineStr">
        <is>
          <t>예</t>
        </is>
      </c>
      <c r="K364" s="18" t="inlineStr">
        <is>
          <t>예</t>
        </is>
      </c>
      <c r="L364" s="18" t="inlineStr">
        <is>
          <t>COBBLEVERSE 수정</t>
        </is>
      </c>
      <c r="M364" s="18">
        <f>COUNTIF('스폰_편집'!$D$5:$D$3125,A364)</f>
        <v/>
      </c>
      <c r="N364" s="18">
        <f>COUNTIFS('스폰_편집'!$D$5:$D$3125,A364,'스폰_편집'!$B$5:$B$3125,"사용")</f>
        <v/>
      </c>
      <c r="O364" s="18" t="n">
        <v>1</v>
      </c>
      <c r="P364" s="18" t="inlineStr">
        <is>
          <t>#cobblemon:is_plains</t>
        </is>
      </c>
      <c r="Q364" s="18" t="inlineStr">
        <is>
          <t>rare</t>
        </is>
      </c>
      <c r="R364" s="18" t="inlineStr">
        <is>
          <t>region_01</t>
        </is>
      </c>
      <c r="S364" s="18" t="inlineStr">
        <is>
          <t>cobbleventure:generation_3</t>
        </is>
      </c>
      <c r="T364" s="18">
        <f>IF(M364=0,"없음",IF(N364=0,"전부 제외","사용"))</f>
        <v/>
      </c>
      <c r="U364" s="18" t="inlineStr"/>
    </row>
    <row r="365" ht="30" customHeight="1">
      <c r="A365" s="18" t="n">
        <v>361</v>
      </c>
      <c r="B365" s="18" t="inlineStr">
        <is>
          <t>눈꼬마</t>
        </is>
      </c>
      <c r="C365" s="18" t="inlineStr">
        <is>
          <t>snorunt</t>
        </is>
      </c>
      <c r="D365" s="18" t="inlineStr">
        <is>
          <t>Snorunt</t>
        </is>
      </c>
      <c r="E365" s="18" t="n">
        <v>3</v>
      </c>
      <c r="F365" s="18" t="inlineStr">
        <is>
          <t>generation3</t>
        </is>
      </c>
      <c r="G365" s="18" t="inlineStr">
        <is>
          <t>ice</t>
        </is>
      </c>
      <c r="H365" s="18" t="inlineStr"/>
      <c r="I365" s="18" t="inlineStr">
        <is>
          <t>예</t>
        </is>
      </c>
      <c r="J365" s="18" t="inlineStr">
        <is>
          <t>예</t>
        </is>
      </c>
      <c r="K365" s="18" t="inlineStr">
        <is>
          <t>예</t>
        </is>
      </c>
      <c r="L365" s="18" t="inlineStr">
        <is>
          <t>Cobblemon 동일</t>
        </is>
      </c>
      <c r="M365" s="18">
        <f>COUNTIF('스폰_편집'!$D$5:$D$3125,A365)</f>
        <v/>
      </c>
      <c r="N365" s="18">
        <f>COUNTIFS('스폰_편집'!$D$5:$D$3125,A365,'스폰_편집'!$B$5:$B$3125,"사용")</f>
        <v/>
      </c>
      <c r="O365" s="18" t="n">
        <v>5</v>
      </c>
      <c r="P365" s="18" t="inlineStr">
        <is>
          <t>#cobblemon:is_glacial; #cobblemon:is_overworld; #cobblemon:is_snowy; #cobblemon:is_tundra; #cobblemon:nether/is_frozen</t>
        </is>
      </c>
      <c r="Q365" s="18" t="inlineStr">
        <is>
          <t>common; uncommon</t>
        </is>
      </c>
      <c r="R365" s="18" t="inlineStr">
        <is>
          <t>region_01; region_02</t>
        </is>
      </c>
      <c r="S365" s="18" t="inlineStr">
        <is>
          <t>cobbleventure:generation_3</t>
        </is>
      </c>
      <c r="T365" s="18">
        <f>IF(M365=0,"없음",IF(N365=0,"전부 제외","사용"))</f>
        <v/>
      </c>
      <c r="U365" s="18" t="inlineStr"/>
    </row>
    <row r="366" ht="30" customHeight="1">
      <c r="A366" s="18" t="n">
        <v>362</v>
      </c>
      <c r="B366" s="18" t="inlineStr">
        <is>
          <t>얼음귀신</t>
        </is>
      </c>
      <c r="C366" s="18" t="inlineStr">
        <is>
          <t>glalie</t>
        </is>
      </c>
      <c r="D366" s="18" t="inlineStr">
        <is>
          <t>Glalie</t>
        </is>
      </c>
      <c r="E366" s="18" t="n">
        <v>3</v>
      </c>
      <c r="F366" s="18" t="inlineStr">
        <is>
          <t>generation3</t>
        </is>
      </c>
      <c r="G366" s="18" t="inlineStr">
        <is>
          <t>ice</t>
        </is>
      </c>
      <c r="H366" s="18" t="inlineStr"/>
      <c r="I366" s="18" t="inlineStr">
        <is>
          <t>예</t>
        </is>
      </c>
      <c r="J366" s="18" t="inlineStr">
        <is>
          <t>예</t>
        </is>
      </c>
      <c r="K366" s="18" t="inlineStr">
        <is>
          <t>예</t>
        </is>
      </c>
      <c r="L366" s="18" t="inlineStr">
        <is>
          <t>COBBLEVERSE 수정</t>
        </is>
      </c>
      <c r="M366" s="18">
        <f>COUNTIF('스폰_편집'!$D$5:$D$3125,A366)</f>
        <v/>
      </c>
      <c r="N366" s="18">
        <f>COUNTIFS('스폰_편집'!$D$5:$D$3125,A366,'스폰_편집'!$B$5:$B$3125,"사용")</f>
        <v/>
      </c>
      <c r="O366" s="18" t="n">
        <v>4</v>
      </c>
      <c r="P366" s="18" t="inlineStr">
        <is>
          <t>#cobblemon:is_glacial; #cobblemon:is_snowy_forest; #cobblemon:is_tundra; #cobblemon:nether/is_frozen</t>
        </is>
      </c>
      <c r="Q366" s="18" t="inlineStr">
        <is>
          <t>uncommon</t>
        </is>
      </c>
      <c r="R366" s="18" t="inlineStr"/>
      <c r="S366" s="18" t="inlineStr">
        <is>
          <t>cobbleventure:generation_3</t>
        </is>
      </c>
      <c r="T366" s="18">
        <f>IF(M366=0,"없음",IF(N366=0,"전부 제외","사용"))</f>
        <v/>
      </c>
      <c r="U366" s="18" t="inlineStr"/>
    </row>
    <row r="367" ht="30" customHeight="1">
      <c r="A367" s="18" t="n">
        <v>363</v>
      </c>
      <c r="B367" s="18" t="inlineStr">
        <is>
          <t>대굴레오</t>
        </is>
      </c>
      <c r="C367" s="18" t="inlineStr">
        <is>
          <t>spheal</t>
        </is>
      </c>
      <c r="D367" s="18" t="inlineStr">
        <is>
          <t>Spheal</t>
        </is>
      </c>
      <c r="E367" s="18" t="n">
        <v>3</v>
      </c>
      <c r="F367" s="18" t="inlineStr">
        <is>
          <t>generation3</t>
        </is>
      </c>
      <c r="G367" s="18" t="inlineStr">
        <is>
          <t>ice</t>
        </is>
      </c>
      <c r="H367" s="18" t="inlineStr">
        <is>
          <t>water</t>
        </is>
      </c>
      <c r="I367" s="18" t="inlineStr">
        <is>
          <t>예</t>
        </is>
      </c>
      <c r="J367" s="18" t="inlineStr">
        <is>
          <t>예</t>
        </is>
      </c>
      <c r="K367" s="18" t="inlineStr">
        <is>
          <t>예</t>
        </is>
      </c>
      <c r="L367" s="18" t="inlineStr">
        <is>
          <t>Cobblemon 동일</t>
        </is>
      </c>
      <c r="M367" s="18">
        <f>COUNTIF('스폰_편집'!$D$5:$D$3125,A367)</f>
        <v/>
      </c>
      <c r="N367" s="18">
        <f>COUNTIFS('스폰_편집'!$D$5:$D$3125,A367,'스폰_편집'!$B$5:$B$3125,"사용")</f>
        <v/>
      </c>
      <c r="O367" s="18" t="n">
        <v>2</v>
      </c>
      <c r="P367" s="18" t="inlineStr">
        <is>
          <t>#cobblemon:is_cold_ocean; #cobblemon:is_frozen_ocean</t>
        </is>
      </c>
      <c r="Q367" s="18" t="inlineStr">
        <is>
          <t>common</t>
        </is>
      </c>
      <c r="R367" s="18" t="inlineStr"/>
      <c r="S367" s="18" t="inlineStr">
        <is>
          <t>cobbleventure:generation_3</t>
        </is>
      </c>
      <c r="T367" s="18">
        <f>IF(M367=0,"없음",IF(N367=0,"전부 제외","사용"))</f>
        <v/>
      </c>
      <c r="U367" s="18" t="inlineStr"/>
    </row>
    <row r="368" ht="30" customHeight="1">
      <c r="A368" s="18" t="n">
        <v>364</v>
      </c>
      <c r="B368" s="18" t="inlineStr">
        <is>
          <t>씨레오</t>
        </is>
      </c>
      <c r="C368" s="18" t="inlineStr">
        <is>
          <t>sealeo</t>
        </is>
      </c>
      <c r="D368" s="18" t="inlineStr">
        <is>
          <t>Sealeo</t>
        </is>
      </c>
      <c r="E368" s="18" t="n">
        <v>3</v>
      </c>
      <c r="F368" s="18" t="inlineStr">
        <is>
          <t>generation3</t>
        </is>
      </c>
      <c r="G368" s="18" t="inlineStr">
        <is>
          <t>ice</t>
        </is>
      </c>
      <c r="H368" s="18" t="inlineStr">
        <is>
          <t>water</t>
        </is>
      </c>
      <c r="I368" s="18" t="inlineStr">
        <is>
          <t>예</t>
        </is>
      </c>
      <c r="J368" s="18" t="inlineStr">
        <is>
          <t>예</t>
        </is>
      </c>
      <c r="K368" s="18" t="inlineStr">
        <is>
          <t>예</t>
        </is>
      </c>
      <c r="L368" s="18" t="inlineStr">
        <is>
          <t>Cobblemon 동일</t>
        </is>
      </c>
      <c r="M368" s="18">
        <f>COUNTIF('스폰_편집'!$D$5:$D$3125,A368)</f>
        <v/>
      </c>
      <c r="N368" s="18">
        <f>COUNTIFS('스폰_편집'!$D$5:$D$3125,A368,'스폰_편집'!$B$5:$B$3125,"사용")</f>
        <v/>
      </c>
      <c r="O368" s="18" t="n">
        <v>2</v>
      </c>
      <c r="P368" s="18" t="inlineStr">
        <is>
          <t>#cobblemon:is_cold_ocean; #cobblemon:is_frozen_ocean</t>
        </is>
      </c>
      <c r="Q368" s="18" t="inlineStr">
        <is>
          <t>common</t>
        </is>
      </c>
      <c r="R368" s="18" t="inlineStr"/>
      <c r="S368" s="18" t="inlineStr">
        <is>
          <t>cobbleventure:generation_3</t>
        </is>
      </c>
      <c r="T368" s="18">
        <f>IF(M368=0,"없음",IF(N368=0,"전부 제외","사용"))</f>
        <v/>
      </c>
      <c r="U368" s="18" t="inlineStr"/>
    </row>
    <row r="369" ht="30" customHeight="1">
      <c r="A369" s="18" t="n">
        <v>365</v>
      </c>
      <c r="B369" s="18" t="inlineStr">
        <is>
          <t>씨카이저</t>
        </is>
      </c>
      <c r="C369" s="18" t="inlineStr">
        <is>
          <t>walrein</t>
        </is>
      </c>
      <c r="D369" s="18" t="inlineStr">
        <is>
          <t>Walrein</t>
        </is>
      </c>
      <c r="E369" s="18" t="n">
        <v>3</v>
      </c>
      <c r="F369" s="18" t="inlineStr">
        <is>
          <t>generation3</t>
        </is>
      </c>
      <c r="G369" s="18" t="inlineStr">
        <is>
          <t>ice</t>
        </is>
      </c>
      <c r="H369" s="18" t="inlineStr">
        <is>
          <t>water</t>
        </is>
      </c>
      <c r="I369" s="18" t="inlineStr">
        <is>
          <t>예</t>
        </is>
      </c>
      <c r="J369" s="18" t="inlineStr">
        <is>
          <t>예</t>
        </is>
      </c>
      <c r="K369" s="18" t="inlineStr">
        <is>
          <t>예</t>
        </is>
      </c>
      <c r="L369" s="18" t="inlineStr">
        <is>
          <t>Cobblemon 동일</t>
        </is>
      </c>
      <c r="M369" s="18">
        <f>COUNTIF('스폰_편집'!$D$5:$D$3125,A369)</f>
        <v/>
      </c>
      <c r="N369" s="18">
        <f>COUNTIFS('스폰_편집'!$D$5:$D$3125,A369,'스폰_편집'!$B$5:$B$3125,"사용")</f>
        <v/>
      </c>
      <c r="O369" s="18" t="n">
        <v>2</v>
      </c>
      <c r="P369" s="18" t="inlineStr">
        <is>
          <t>#cobblemon:is_cold_ocean; #cobblemon:is_frozen_ocean</t>
        </is>
      </c>
      <c r="Q369" s="18" t="inlineStr">
        <is>
          <t>common</t>
        </is>
      </c>
      <c r="R369" s="18" t="inlineStr"/>
      <c r="S369" s="18" t="inlineStr">
        <is>
          <t>cobbleventure:generation_3</t>
        </is>
      </c>
      <c r="T369" s="18">
        <f>IF(M369=0,"없음",IF(N369=0,"전부 제외","사용"))</f>
        <v/>
      </c>
      <c r="U369" s="18" t="inlineStr"/>
    </row>
    <row r="370" ht="30" customHeight="1">
      <c r="A370" s="18" t="n">
        <v>366</v>
      </c>
      <c r="B370" s="18" t="inlineStr">
        <is>
          <t>진주몽</t>
        </is>
      </c>
      <c r="C370" s="18" t="inlineStr">
        <is>
          <t>clamperl</t>
        </is>
      </c>
      <c r="D370" s="18" t="inlineStr">
        <is>
          <t>Clamperl</t>
        </is>
      </c>
      <c r="E370" s="18" t="n">
        <v>3</v>
      </c>
      <c r="F370" s="18" t="inlineStr">
        <is>
          <t>generation3</t>
        </is>
      </c>
      <c r="G370" s="18" t="inlineStr">
        <is>
          <t>water</t>
        </is>
      </c>
      <c r="H370" s="18" t="inlineStr"/>
      <c r="I370" s="18" t="inlineStr">
        <is>
          <t>예</t>
        </is>
      </c>
      <c r="J370" s="18" t="inlineStr">
        <is>
          <t>예</t>
        </is>
      </c>
      <c r="K370" s="18" t="inlineStr">
        <is>
          <t>예</t>
        </is>
      </c>
      <c r="L370" s="18" t="inlineStr">
        <is>
          <t>Cobblemon 동일</t>
        </is>
      </c>
      <c r="M370" s="18">
        <f>COUNTIF('스폰_편집'!$D$5:$D$3125,A370)</f>
        <v/>
      </c>
      <c r="N370" s="18">
        <f>COUNTIFS('스폰_편집'!$D$5:$D$3125,A370,'스폰_편집'!$B$5:$B$3125,"사용")</f>
        <v/>
      </c>
      <c r="O370" s="18" t="n">
        <v>4</v>
      </c>
      <c r="P370" s="18" t="inlineStr">
        <is>
          <t>#cobblemon:is_deep_ocean; #cobblemon:is_ocean; #cobblemon:is_overworld; #cobblemon:is_warm_ocean</t>
        </is>
      </c>
      <c r="Q370" s="18" t="inlineStr">
        <is>
          <t>rare; uncommon</t>
        </is>
      </c>
      <c r="R370" s="18" t="inlineStr">
        <is>
          <t>region_01; region_02</t>
        </is>
      </c>
      <c r="S370" s="18" t="inlineStr">
        <is>
          <t>cobbleventure:generation_3</t>
        </is>
      </c>
      <c r="T370" s="18">
        <f>IF(M370=0,"없음",IF(N370=0,"전부 제외","사용"))</f>
        <v/>
      </c>
      <c r="U370" s="18" t="inlineStr"/>
    </row>
    <row r="371" ht="30" customHeight="1">
      <c r="A371" s="18" t="n">
        <v>367</v>
      </c>
      <c r="B371" s="18" t="inlineStr">
        <is>
          <t>헌테일</t>
        </is>
      </c>
      <c r="C371" s="18" t="inlineStr">
        <is>
          <t>huntail</t>
        </is>
      </c>
      <c r="D371" s="18" t="inlineStr">
        <is>
          <t>Huntail</t>
        </is>
      </c>
      <c r="E371" s="18" t="n">
        <v>3</v>
      </c>
      <c r="F371" s="18" t="inlineStr">
        <is>
          <t>generation3</t>
        </is>
      </c>
      <c r="G371" s="18" t="inlineStr">
        <is>
          <t>water</t>
        </is>
      </c>
      <c r="H371" s="18" t="inlineStr"/>
      <c r="I371" s="18" t="inlineStr">
        <is>
          <t>예</t>
        </is>
      </c>
      <c r="J371" s="18" t="inlineStr">
        <is>
          <t>예</t>
        </is>
      </c>
      <c r="K371" s="18" t="inlineStr">
        <is>
          <t>예</t>
        </is>
      </c>
      <c r="L371" s="18" t="inlineStr">
        <is>
          <t>Cobblemon 동일</t>
        </is>
      </c>
      <c r="M371" s="18">
        <f>COUNTIF('스폰_편집'!$D$5:$D$3125,A371)</f>
        <v/>
      </c>
      <c r="N371" s="18">
        <f>COUNTIFS('스폰_편집'!$D$5:$D$3125,A371,'스폰_편집'!$B$5:$B$3125,"사용")</f>
        <v/>
      </c>
      <c r="O371" s="18" t="n">
        <v>4</v>
      </c>
      <c r="P371" s="18" t="inlineStr">
        <is>
          <t>#cobblemon:is_deep_ocean; #cobblemon:is_ocean; #cobblemon:is_overworld; #cobblemon:is_warm_ocean</t>
        </is>
      </c>
      <c r="Q371" s="18" t="inlineStr">
        <is>
          <t>rare; uncommon</t>
        </is>
      </c>
      <c r="R371" s="18" t="inlineStr">
        <is>
          <t>region_01; region_02</t>
        </is>
      </c>
      <c r="S371" s="18" t="inlineStr">
        <is>
          <t>cobbleventure:generation_3</t>
        </is>
      </c>
      <c r="T371" s="18">
        <f>IF(M371=0,"없음",IF(N371=0,"전부 제외","사용"))</f>
        <v/>
      </c>
      <c r="U371" s="18" t="inlineStr"/>
    </row>
    <row r="372" ht="30" customHeight="1">
      <c r="A372" s="18" t="n">
        <v>368</v>
      </c>
      <c r="B372" s="18" t="inlineStr">
        <is>
          <t>분홍장이</t>
        </is>
      </c>
      <c r="C372" s="18" t="inlineStr">
        <is>
          <t>gorebyss</t>
        </is>
      </c>
      <c r="D372" s="18" t="inlineStr">
        <is>
          <t>Gorebyss</t>
        </is>
      </c>
      <c r="E372" s="18" t="n">
        <v>3</v>
      </c>
      <c r="F372" s="18" t="inlineStr">
        <is>
          <t>generation3</t>
        </is>
      </c>
      <c r="G372" s="18" t="inlineStr">
        <is>
          <t>water</t>
        </is>
      </c>
      <c r="H372" s="18" t="inlineStr"/>
      <c r="I372" s="18" t="inlineStr">
        <is>
          <t>예</t>
        </is>
      </c>
      <c r="J372" s="18" t="inlineStr">
        <is>
          <t>예</t>
        </is>
      </c>
      <c r="K372" s="18" t="inlineStr">
        <is>
          <t>예</t>
        </is>
      </c>
      <c r="L372" s="18" t="inlineStr">
        <is>
          <t>Cobblemon 동일</t>
        </is>
      </c>
      <c r="M372" s="18">
        <f>COUNTIF('스폰_편집'!$D$5:$D$3125,A372)</f>
        <v/>
      </c>
      <c r="N372" s="18">
        <f>COUNTIFS('스폰_편집'!$D$5:$D$3125,A372,'스폰_편집'!$B$5:$B$3125,"사용")</f>
        <v/>
      </c>
      <c r="O372" s="18" t="n">
        <v>4</v>
      </c>
      <c r="P372" s="18" t="inlineStr">
        <is>
          <t>#cobblemon:is_deep_ocean; #cobblemon:is_ocean; #cobblemon:is_overworld; #cobblemon:is_warm_ocean</t>
        </is>
      </c>
      <c r="Q372" s="18" t="inlineStr">
        <is>
          <t>rare; uncommon</t>
        </is>
      </c>
      <c r="R372" s="18" t="inlineStr">
        <is>
          <t>region_01; region_02</t>
        </is>
      </c>
      <c r="S372" s="18" t="inlineStr">
        <is>
          <t>cobbleventure:generation_3</t>
        </is>
      </c>
      <c r="T372" s="18">
        <f>IF(M372=0,"없음",IF(N372=0,"전부 제외","사용"))</f>
        <v/>
      </c>
      <c r="U372" s="18" t="inlineStr"/>
    </row>
    <row r="373" ht="30" customHeight="1">
      <c r="A373" s="18" t="n">
        <v>369</v>
      </c>
      <c r="B373" s="18" t="inlineStr">
        <is>
          <t>시라칸</t>
        </is>
      </c>
      <c r="C373" s="18" t="inlineStr">
        <is>
          <t>relicanth</t>
        </is>
      </c>
      <c r="D373" s="18" t="inlineStr">
        <is>
          <t>Relicanth</t>
        </is>
      </c>
      <c r="E373" s="18" t="n">
        <v>3</v>
      </c>
      <c r="F373" s="18" t="inlineStr">
        <is>
          <t>generation3</t>
        </is>
      </c>
      <c r="G373" s="18" t="inlineStr">
        <is>
          <t>water</t>
        </is>
      </c>
      <c r="H373" s="18" t="inlineStr">
        <is>
          <t>rock</t>
        </is>
      </c>
      <c r="I373" s="18" t="inlineStr">
        <is>
          <t>예</t>
        </is>
      </c>
      <c r="J373" s="18" t="inlineStr">
        <is>
          <t>예</t>
        </is>
      </c>
      <c r="K373" s="18" t="inlineStr">
        <is>
          <t>예</t>
        </is>
      </c>
      <c r="L373" s="18" t="inlineStr">
        <is>
          <t>Cobblemon 동일</t>
        </is>
      </c>
      <c r="M373" s="18">
        <f>COUNTIF('스폰_편집'!$D$5:$D$3125,A373)</f>
        <v/>
      </c>
      <c r="N373" s="18">
        <f>COUNTIFS('스폰_편집'!$D$5:$D$3125,A373,'스폰_편집'!$B$5:$B$3125,"사용")</f>
        <v/>
      </c>
      <c r="O373" s="18" t="n">
        <v>3</v>
      </c>
      <c r="P373" s="18" t="inlineStr">
        <is>
          <t>#cobblemon:is_deep_ocean; #cobblemon:is_ocean; #cobblemon:is_overworld</t>
        </is>
      </c>
      <c r="Q373" s="18" t="inlineStr">
        <is>
          <t>common; rare; uncommon</t>
        </is>
      </c>
      <c r="R373" s="18" t="inlineStr">
        <is>
          <t>region_01; region_02</t>
        </is>
      </c>
      <c r="S373" s="18" t="inlineStr">
        <is>
          <t>cobbleventure:generation_3</t>
        </is>
      </c>
      <c r="T373" s="18">
        <f>IF(M373=0,"없음",IF(N373=0,"전부 제외","사용"))</f>
        <v/>
      </c>
      <c r="U373" s="18" t="inlineStr"/>
    </row>
    <row r="374" ht="30" customHeight="1">
      <c r="A374" s="18" t="n">
        <v>370</v>
      </c>
      <c r="B374" s="18" t="inlineStr">
        <is>
          <t>사랑동이</t>
        </is>
      </c>
      <c r="C374" s="18" t="inlineStr">
        <is>
          <t>luvdisc</t>
        </is>
      </c>
      <c r="D374" s="18" t="inlineStr">
        <is>
          <t>Luvdisc</t>
        </is>
      </c>
      <c r="E374" s="18" t="n">
        <v>3</v>
      </c>
      <c r="F374" s="18" t="inlineStr">
        <is>
          <t>generation3</t>
        </is>
      </c>
      <c r="G374" s="18" t="inlineStr">
        <is>
          <t>water</t>
        </is>
      </c>
      <c r="H374" s="18" t="inlineStr"/>
      <c r="I374" s="18" t="inlineStr">
        <is>
          <t>예</t>
        </is>
      </c>
      <c r="J374" s="18" t="inlineStr">
        <is>
          <t>예</t>
        </is>
      </c>
      <c r="K374" s="18" t="inlineStr">
        <is>
          <t>예</t>
        </is>
      </c>
      <c r="L374" s="18" t="inlineStr">
        <is>
          <t>Cobblemon 동일</t>
        </is>
      </c>
      <c r="M374" s="18">
        <f>COUNTIF('스폰_편집'!$D$5:$D$3125,A374)</f>
        <v/>
      </c>
      <c r="N374" s="18">
        <f>COUNTIFS('스폰_편집'!$D$5:$D$3125,A374,'스폰_편집'!$B$5:$B$3125,"사용")</f>
        <v/>
      </c>
      <c r="O374" s="18" t="n">
        <v>1</v>
      </c>
      <c r="P374" s="18" t="inlineStr">
        <is>
          <t>#cobblemon:is_warm_ocean</t>
        </is>
      </c>
      <c r="Q374" s="18" t="inlineStr">
        <is>
          <t>common</t>
        </is>
      </c>
      <c r="R374" s="18" t="inlineStr"/>
      <c r="S374" s="18" t="inlineStr">
        <is>
          <t>cobbleventure:generation_3</t>
        </is>
      </c>
      <c r="T374" s="18">
        <f>IF(M374=0,"없음",IF(N374=0,"전부 제외","사용"))</f>
        <v/>
      </c>
      <c r="U374" s="18" t="inlineStr"/>
    </row>
    <row r="375" ht="30" customHeight="1">
      <c r="A375" s="18" t="n">
        <v>371</v>
      </c>
      <c r="B375" s="18" t="inlineStr">
        <is>
          <t>아공이</t>
        </is>
      </c>
      <c r="C375" s="18" t="inlineStr">
        <is>
          <t>bagon</t>
        </is>
      </c>
      <c r="D375" s="18" t="inlineStr">
        <is>
          <t>Bagon</t>
        </is>
      </c>
      <c r="E375" s="18" t="n">
        <v>3</v>
      </c>
      <c r="F375" s="18" t="inlineStr">
        <is>
          <t>generation3</t>
        </is>
      </c>
      <c r="G375" s="18" t="inlineStr">
        <is>
          <t>dragon</t>
        </is>
      </c>
      <c r="H375" s="18" t="inlineStr"/>
      <c r="I375" s="18" t="inlineStr">
        <is>
          <t>예</t>
        </is>
      </c>
      <c r="J375" s="18" t="inlineStr">
        <is>
          <t>예</t>
        </is>
      </c>
      <c r="K375" s="18" t="inlineStr">
        <is>
          <t>예</t>
        </is>
      </c>
      <c r="L375" s="18" t="inlineStr">
        <is>
          <t>Cobblemon 동일</t>
        </is>
      </c>
      <c r="M375" s="18">
        <f>COUNTIF('스폰_편집'!$D$5:$D$3125,A375)</f>
        <v/>
      </c>
      <c r="N375" s="18">
        <f>COUNTIFS('스폰_편집'!$D$5:$D$3125,A375,'스폰_편집'!$B$5:$B$3125,"사용")</f>
        <v/>
      </c>
      <c r="O375" s="18" t="n">
        <v>3</v>
      </c>
      <c r="P375" s="18" t="inlineStr">
        <is>
          <t>#aether:is_aether; #cobblemon:is_dripstone; #cobblemon:is_peak</t>
        </is>
      </c>
      <c r="Q375" s="18" t="inlineStr">
        <is>
          <t>rare; ultra-rare</t>
        </is>
      </c>
      <c r="R375" s="18" t="inlineStr"/>
      <c r="S375" s="18" t="inlineStr">
        <is>
          <t>cobbleventure:generation_3</t>
        </is>
      </c>
      <c r="T375" s="18">
        <f>IF(M375=0,"없음",IF(N375=0,"전부 제외","사용"))</f>
        <v/>
      </c>
      <c r="U375" s="18" t="inlineStr"/>
    </row>
    <row r="376" ht="30" customHeight="1">
      <c r="A376" s="18" t="n">
        <v>372</v>
      </c>
      <c r="B376" s="18" t="inlineStr">
        <is>
          <t>쉘곤</t>
        </is>
      </c>
      <c r="C376" s="18" t="inlineStr">
        <is>
          <t>shelgon</t>
        </is>
      </c>
      <c r="D376" s="18" t="inlineStr">
        <is>
          <t>Shelgon</t>
        </is>
      </c>
      <c r="E376" s="18" t="n">
        <v>3</v>
      </c>
      <c r="F376" s="18" t="inlineStr">
        <is>
          <t>generation3</t>
        </is>
      </c>
      <c r="G376" s="18" t="inlineStr">
        <is>
          <t>dragon</t>
        </is>
      </c>
      <c r="H376" s="18" t="inlineStr"/>
      <c r="I376" s="18" t="inlineStr">
        <is>
          <t>예</t>
        </is>
      </c>
      <c r="J376" s="18" t="inlineStr">
        <is>
          <t>예</t>
        </is>
      </c>
      <c r="K376" s="18" t="inlineStr">
        <is>
          <t>예</t>
        </is>
      </c>
      <c r="L376" s="18" t="inlineStr">
        <is>
          <t>Cobblemon 동일</t>
        </is>
      </c>
      <c r="M376" s="18">
        <f>COUNTIF('스폰_편집'!$D$5:$D$3125,A376)</f>
        <v/>
      </c>
      <c r="N376" s="18">
        <f>COUNTIFS('스폰_편집'!$D$5:$D$3125,A376,'스폰_편집'!$B$5:$B$3125,"사용")</f>
        <v/>
      </c>
      <c r="O376" s="18" t="n">
        <v>2</v>
      </c>
      <c r="P376" s="18" t="inlineStr">
        <is>
          <t>#aether:is_aether; #cobblemon:is_dripstone</t>
        </is>
      </c>
      <c r="Q376" s="18" t="inlineStr">
        <is>
          <t>rare; ultra-rare</t>
        </is>
      </c>
      <c r="R376" s="18" t="inlineStr"/>
      <c r="S376" s="18" t="inlineStr">
        <is>
          <t>cobbleventure:generation_3</t>
        </is>
      </c>
      <c r="T376" s="18">
        <f>IF(M376=0,"없음",IF(N376=0,"전부 제외","사용"))</f>
        <v/>
      </c>
      <c r="U376" s="18" t="inlineStr"/>
    </row>
    <row r="377" ht="30" customHeight="1">
      <c r="A377" s="18" t="n">
        <v>373</v>
      </c>
      <c r="B377" s="18" t="inlineStr">
        <is>
          <t>보만다</t>
        </is>
      </c>
      <c r="C377" s="18" t="inlineStr">
        <is>
          <t>salamence</t>
        </is>
      </c>
      <c r="D377" s="18" t="inlineStr">
        <is>
          <t>Salamence</t>
        </is>
      </c>
      <c r="E377" s="18" t="n">
        <v>3</v>
      </c>
      <c r="F377" s="18" t="inlineStr">
        <is>
          <t>generation3</t>
        </is>
      </c>
      <c r="G377" s="18" t="inlineStr">
        <is>
          <t>dragon</t>
        </is>
      </c>
      <c r="H377" s="18" t="inlineStr">
        <is>
          <t>flying</t>
        </is>
      </c>
      <c r="I377" s="18" t="inlineStr">
        <is>
          <t>예</t>
        </is>
      </c>
      <c r="J377" s="18" t="inlineStr">
        <is>
          <t>예</t>
        </is>
      </c>
      <c r="K377" s="18" t="inlineStr">
        <is>
          <t>예</t>
        </is>
      </c>
      <c r="L377" s="18" t="inlineStr">
        <is>
          <t>Cobblemon 동일</t>
        </is>
      </c>
      <c r="M377" s="18">
        <f>COUNTIF('스폰_편집'!$D$5:$D$3125,A377)</f>
        <v/>
      </c>
      <c r="N377" s="18">
        <f>COUNTIFS('스폰_편집'!$D$5:$D$3125,A377,'스폰_편집'!$B$5:$B$3125,"사용")</f>
        <v/>
      </c>
      <c r="O377" s="18" t="n">
        <v>4</v>
      </c>
      <c r="P377" s="18" t="inlineStr">
        <is>
          <t>#aether:is_aether; #cobblemon:is_dripstone; #cobblemon:is_peak; #cobblemon:is_sky</t>
        </is>
      </c>
      <c r="Q377" s="18" t="inlineStr">
        <is>
          <t>rare; ultra-rare</t>
        </is>
      </c>
      <c r="R377" s="18" t="inlineStr"/>
      <c r="S377" s="18" t="inlineStr">
        <is>
          <t>cobbleventure:generation_3</t>
        </is>
      </c>
      <c r="T377" s="18">
        <f>IF(M377=0,"없음",IF(N377=0,"전부 제외","사용"))</f>
        <v/>
      </c>
      <c r="U377" s="18" t="inlineStr"/>
    </row>
    <row r="378" ht="30" customHeight="1">
      <c r="A378" s="18" t="n">
        <v>374</v>
      </c>
      <c r="B378" s="18" t="inlineStr">
        <is>
          <t>메탕</t>
        </is>
      </c>
      <c r="C378" s="18" t="inlineStr">
        <is>
          <t>beldum</t>
        </is>
      </c>
      <c r="D378" s="18" t="inlineStr">
        <is>
          <t>Beldum</t>
        </is>
      </c>
      <c r="E378" s="18" t="n">
        <v>3</v>
      </c>
      <c r="F378" s="18" t="inlineStr">
        <is>
          <t>generation3</t>
        </is>
      </c>
      <c r="G378" s="18" t="inlineStr">
        <is>
          <t>steel</t>
        </is>
      </c>
      <c r="H378" s="18" t="inlineStr">
        <is>
          <t>psychic</t>
        </is>
      </c>
      <c r="I378" s="18" t="inlineStr">
        <is>
          <t>예</t>
        </is>
      </c>
      <c r="J378" s="18" t="inlineStr">
        <is>
          <t>예</t>
        </is>
      </c>
      <c r="K378" s="18" t="inlineStr">
        <is>
          <t>예</t>
        </is>
      </c>
      <c r="L378" s="18" t="inlineStr">
        <is>
          <t>Cobblemon 동일</t>
        </is>
      </c>
      <c r="M378" s="18">
        <f>COUNTIF('스폰_편집'!$D$5:$D$3125,A378)</f>
        <v/>
      </c>
      <c r="N378" s="18">
        <f>COUNTIFS('스폰_편집'!$D$5:$D$3125,A378,'스폰_편집'!$B$5:$B$3125,"사용")</f>
        <v/>
      </c>
      <c r="O378" s="18" t="n">
        <v>5</v>
      </c>
      <c r="P378" s="18" t="inlineStr">
        <is>
          <t>#aether:is_aether; #cobblemon:is_dripstone; #cobblemon:is_end; #cobblemon:is_peak; the_bumblezone:howling_constructs</t>
        </is>
      </c>
      <c r="Q378" s="18" t="inlineStr">
        <is>
          <t>rare; ultra-rare; uncommon</t>
        </is>
      </c>
      <c r="R378" s="18" t="inlineStr"/>
      <c r="S378" s="18" t="inlineStr">
        <is>
          <t>cobbleventure:generation_3</t>
        </is>
      </c>
      <c r="T378" s="18">
        <f>IF(M378=0,"없음",IF(N378=0,"전부 제외","사용"))</f>
        <v/>
      </c>
      <c r="U378" s="18" t="inlineStr"/>
    </row>
    <row r="379" ht="30" customHeight="1">
      <c r="A379" s="18" t="n">
        <v>375</v>
      </c>
      <c r="B379" s="18" t="inlineStr">
        <is>
          <t>메탕구</t>
        </is>
      </c>
      <c r="C379" s="18" t="inlineStr">
        <is>
          <t>metang</t>
        </is>
      </c>
      <c r="D379" s="18" t="inlineStr">
        <is>
          <t>Metang</t>
        </is>
      </c>
      <c r="E379" s="18" t="n">
        <v>3</v>
      </c>
      <c r="F379" s="18" t="inlineStr">
        <is>
          <t>generation3</t>
        </is>
      </c>
      <c r="G379" s="18" t="inlineStr">
        <is>
          <t>steel</t>
        </is>
      </c>
      <c r="H379" s="18" t="inlineStr">
        <is>
          <t>psychic</t>
        </is>
      </c>
      <c r="I379" s="18" t="inlineStr">
        <is>
          <t>예</t>
        </is>
      </c>
      <c r="J379" s="18" t="inlineStr">
        <is>
          <t>예</t>
        </is>
      </c>
      <c r="K379" s="18" t="inlineStr">
        <is>
          <t>예</t>
        </is>
      </c>
      <c r="L379" s="18" t="inlineStr">
        <is>
          <t>Cobblemon 동일</t>
        </is>
      </c>
      <c r="M379" s="18">
        <f>COUNTIF('스폰_편집'!$D$5:$D$3125,A379)</f>
        <v/>
      </c>
      <c r="N379" s="18">
        <f>COUNTIFS('스폰_편집'!$D$5:$D$3125,A379,'스폰_편집'!$B$5:$B$3125,"사용")</f>
        <v/>
      </c>
      <c r="O379" s="18" t="n">
        <v>5</v>
      </c>
      <c r="P379" s="18" t="inlineStr">
        <is>
          <t>#aether:is_aether; #cobblemon:is_dripstone; #cobblemon:is_end; #cobblemon:is_peak; the_bumblezone:howling_constructs</t>
        </is>
      </c>
      <c r="Q379" s="18" t="inlineStr">
        <is>
          <t>rare; ultra-rare; uncommon</t>
        </is>
      </c>
      <c r="R379" s="18" t="inlineStr"/>
      <c r="S379" s="18" t="inlineStr">
        <is>
          <t>cobbleventure:generation_3</t>
        </is>
      </c>
      <c r="T379" s="18">
        <f>IF(M379=0,"없음",IF(N379=0,"전부 제외","사용"))</f>
        <v/>
      </c>
      <c r="U379" s="18" t="inlineStr"/>
    </row>
    <row r="380" ht="30" customHeight="1">
      <c r="A380" s="18" t="n">
        <v>376</v>
      </c>
      <c r="B380" s="18" t="inlineStr">
        <is>
          <t>메타그로스</t>
        </is>
      </c>
      <c r="C380" s="18" t="inlineStr">
        <is>
          <t>metagross</t>
        </is>
      </c>
      <c r="D380" s="18" t="inlineStr">
        <is>
          <t>Metagross</t>
        </is>
      </c>
      <c r="E380" s="18" t="n">
        <v>3</v>
      </c>
      <c r="F380" s="18" t="inlineStr">
        <is>
          <t>generation3</t>
        </is>
      </c>
      <c r="G380" s="18" t="inlineStr">
        <is>
          <t>steel</t>
        </is>
      </c>
      <c r="H380" s="18" t="inlineStr">
        <is>
          <t>psychic</t>
        </is>
      </c>
      <c r="I380" s="18" t="inlineStr">
        <is>
          <t>예</t>
        </is>
      </c>
      <c r="J380" s="18" t="inlineStr">
        <is>
          <t>예</t>
        </is>
      </c>
      <c r="K380" s="18" t="inlineStr">
        <is>
          <t>예</t>
        </is>
      </c>
      <c r="L380" s="18" t="inlineStr">
        <is>
          <t>Cobblemon 동일</t>
        </is>
      </c>
      <c r="M380" s="18">
        <f>COUNTIF('스폰_편집'!$D$5:$D$3125,A380)</f>
        <v/>
      </c>
      <c r="N380" s="18">
        <f>COUNTIFS('스폰_편집'!$D$5:$D$3125,A380,'스폰_편집'!$B$5:$B$3125,"사용")</f>
        <v/>
      </c>
      <c r="O380" s="18" t="n">
        <v>5</v>
      </c>
      <c r="P380" s="18" t="inlineStr">
        <is>
          <t>#aether:is_aether; #cobblemon:is_dripstone; #cobblemon:is_end; #cobblemon:is_peak; the_bumblezone:howling_constructs</t>
        </is>
      </c>
      <c r="Q380" s="18" t="inlineStr">
        <is>
          <t>rare; ultra-rare; uncommon</t>
        </is>
      </c>
      <c r="R380" s="18" t="inlineStr"/>
      <c r="S380" s="18" t="inlineStr">
        <is>
          <t>cobbleventure:generation_3</t>
        </is>
      </c>
      <c r="T380" s="18">
        <f>IF(M380=0,"없음",IF(N380=0,"전부 제외","사용"))</f>
        <v/>
      </c>
      <c r="U380" s="18" t="inlineStr"/>
    </row>
    <row r="381" ht="30" customHeight="1">
      <c r="A381" s="18" t="n">
        <v>377</v>
      </c>
      <c r="B381" s="18" t="inlineStr">
        <is>
          <t>레지락</t>
        </is>
      </c>
      <c r="C381" s="18" t="inlineStr">
        <is>
          <t>regirock</t>
        </is>
      </c>
      <c r="D381" s="18" t="inlineStr">
        <is>
          <t>Regirock</t>
        </is>
      </c>
      <c r="E381" s="18" t="n">
        <v>3</v>
      </c>
      <c r="F381" s="18" t="inlineStr">
        <is>
          <t>generation3</t>
        </is>
      </c>
      <c r="G381" s="18" t="inlineStr">
        <is>
          <t>rock</t>
        </is>
      </c>
      <c r="H381" s="18" t="inlineStr"/>
      <c r="I381" s="18" t="inlineStr">
        <is>
          <t>예</t>
        </is>
      </c>
      <c r="J381" s="18" t="inlineStr">
        <is>
          <t>아니오</t>
        </is>
      </c>
      <c r="K381" s="18" t="inlineStr">
        <is>
          <t>예</t>
        </is>
      </c>
      <c r="L381" s="18" t="inlineStr">
        <is>
          <t>COBBLEVERSE 추가</t>
        </is>
      </c>
      <c r="M381" s="18">
        <f>COUNTIF('스폰_편집'!$D$5:$D$3125,A381)</f>
        <v/>
      </c>
      <c r="N381" s="18">
        <f>COUNTIFS('스폰_편집'!$D$5:$D$3125,A381,'스폰_편집'!$B$5:$B$3125,"사용")</f>
        <v/>
      </c>
      <c r="O381" s="18" t="n">
        <v>1</v>
      </c>
      <c r="P381" s="18" t="inlineStr">
        <is>
          <t>cobbleverse:custom_spawn/regirock_temple</t>
        </is>
      </c>
      <c r="Q381" s="18" t="inlineStr">
        <is>
          <t>ultra-rare</t>
        </is>
      </c>
      <c r="R381" s="18" t="inlineStr"/>
      <c r="S381" s="18" t="inlineStr">
        <is>
          <t>cobbleventure:generation_3</t>
        </is>
      </c>
      <c r="T381" s="18">
        <f>IF(M381=0,"없음",IF(N381=0,"전부 제외","사용"))</f>
        <v/>
      </c>
      <c r="U381" s="18" t="inlineStr"/>
    </row>
    <row r="382" ht="30" customHeight="1">
      <c r="A382" s="18" t="n">
        <v>378</v>
      </c>
      <c r="B382" s="18" t="inlineStr">
        <is>
          <t>레지아이스</t>
        </is>
      </c>
      <c r="C382" s="18" t="inlineStr">
        <is>
          <t>regice</t>
        </is>
      </c>
      <c r="D382" s="18" t="inlineStr">
        <is>
          <t>Regice</t>
        </is>
      </c>
      <c r="E382" s="18" t="n">
        <v>3</v>
      </c>
      <c r="F382" s="18" t="inlineStr">
        <is>
          <t>generation3</t>
        </is>
      </c>
      <c r="G382" s="18" t="inlineStr">
        <is>
          <t>ice</t>
        </is>
      </c>
      <c r="H382" s="18" t="inlineStr"/>
      <c r="I382" s="18" t="inlineStr">
        <is>
          <t>예</t>
        </is>
      </c>
      <c r="J382" s="18" t="inlineStr">
        <is>
          <t>아니오</t>
        </is>
      </c>
      <c r="K382" s="18" t="inlineStr">
        <is>
          <t>예</t>
        </is>
      </c>
      <c r="L382" s="18" t="inlineStr">
        <is>
          <t>COBBLEVERSE 추가</t>
        </is>
      </c>
      <c r="M382" s="18">
        <f>COUNTIF('스폰_편집'!$D$5:$D$3125,A382)</f>
        <v/>
      </c>
      <c r="N382" s="18">
        <f>COUNTIFS('스폰_편집'!$D$5:$D$3125,A382,'스폰_편집'!$B$5:$B$3125,"사용")</f>
        <v/>
      </c>
      <c r="O382" s="18" t="n">
        <v>1</v>
      </c>
      <c r="P382" s="18" t="inlineStr">
        <is>
          <t>cobbleverse:custom_spawn/regice_temple</t>
        </is>
      </c>
      <c r="Q382" s="18" t="inlineStr">
        <is>
          <t>ultra-rare</t>
        </is>
      </c>
      <c r="R382" s="18" t="inlineStr"/>
      <c r="S382" s="18" t="inlineStr">
        <is>
          <t>cobbleventure:generation_3</t>
        </is>
      </c>
      <c r="T382" s="18">
        <f>IF(M382=0,"없음",IF(N382=0,"전부 제외","사용"))</f>
        <v/>
      </c>
      <c r="U382" s="18" t="inlineStr"/>
    </row>
    <row r="383" ht="30" customHeight="1">
      <c r="A383" s="18" t="n">
        <v>379</v>
      </c>
      <c r="B383" s="18" t="inlineStr">
        <is>
          <t>레지스틸</t>
        </is>
      </c>
      <c r="C383" s="18" t="inlineStr">
        <is>
          <t>registeel</t>
        </is>
      </c>
      <c r="D383" s="18" t="inlineStr">
        <is>
          <t>Registeel</t>
        </is>
      </c>
      <c r="E383" s="18" t="n">
        <v>3</v>
      </c>
      <c r="F383" s="18" t="inlineStr">
        <is>
          <t>generation3</t>
        </is>
      </c>
      <c r="G383" s="18" t="inlineStr">
        <is>
          <t>steel</t>
        </is>
      </c>
      <c r="H383" s="18" t="inlineStr"/>
      <c r="I383" s="18" t="inlineStr">
        <is>
          <t>예</t>
        </is>
      </c>
      <c r="J383" s="18" t="inlineStr">
        <is>
          <t>아니오</t>
        </is>
      </c>
      <c r="K383" s="18" t="inlineStr">
        <is>
          <t>예</t>
        </is>
      </c>
      <c r="L383" s="18" t="inlineStr">
        <is>
          <t>COBBLEVERSE 추가</t>
        </is>
      </c>
      <c r="M383" s="18">
        <f>COUNTIF('스폰_편집'!$D$5:$D$3125,A383)</f>
        <v/>
      </c>
      <c r="N383" s="18">
        <f>COUNTIFS('스폰_편집'!$D$5:$D$3125,A383,'스폰_편집'!$B$5:$B$3125,"사용")</f>
        <v/>
      </c>
      <c r="O383" s="18" t="n">
        <v>1</v>
      </c>
      <c r="P383" s="18" t="inlineStr">
        <is>
          <t>cobbleverse:custom_spawn/registeel_temple</t>
        </is>
      </c>
      <c r="Q383" s="18" t="inlineStr">
        <is>
          <t>ultra-rare</t>
        </is>
      </c>
      <c r="R383" s="18" t="inlineStr"/>
      <c r="S383" s="18" t="inlineStr">
        <is>
          <t>cobbleventure:generation_3</t>
        </is>
      </c>
      <c r="T383" s="18">
        <f>IF(M383=0,"없음",IF(N383=0,"전부 제외","사용"))</f>
        <v/>
      </c>
      <c r="U383" s="18" t="inlineStr"/>
    </row>
    <row r="384" ht="30" customHeight="1">
      <c r="A384" s="18" t="n">
        <v>380</v>
      </c>
      <c r="B384" s="18" t="inlineStr">
        <is>
          <t>라티아스</t>
        </is>
      </c>
      <c r="C384" s="18" t="inlineStr">
        <is>
          <t>latias</t>
        </is>
      </c>
      <c r="D384" s="18" t="inlineStr">
        <is>
          <t>Latias</t>
        </is>
      </c>
      <c r="E384" s="18" t="n">
        <v>3</v>
      </c>
      <c r="F384" s="18" t="inlineStr">
        <is>
          <t>generation3</t>
        </is>
      </c>
      <c r="G384" s="18" t="inlineStr">
        <is>
          <t>dragon</t>
        </is>
      </c>
      <c r="H384" s="18" t="inlineStr">
        <is>
          <t>psychic</t>
        </is>
      </c>
      <c r="I384" s="18" t="inlineStr">
        <is>
          <t>예</t>
        </is>
      </c>
      <c r="J384" s="18" t="inlineStr">
        <is>
          <t>아니오</t>
        </is>
      </c>
      <c r="K384" s="18" t="inlineStr">
        <is>
          <t>예</t>
        </is>
      </c>
      <c r="L384" s="18" t="inlineStr">
        <is>
          <t>COBBLEVERSE 추가</t>
        </is>
      </c>
      <c r="M384" s="18">
        <f>COUNTIF('스폰_편집'!$D$5:$D$3125,A384)</f>
        <v/>
      </c>
      <c r="N384" s="18">
        <f>COUNTIFS('스폰_편집'!$D$5:$D$3125,A384,'스폰_편집'!$B$5:$B$3125,"사용")</f>
        <v/>
      </c>
      <c r="O384" s="18" t="n">
        <v>1</v>
      </c>
      <c r="P384" s="18" t="inlineStr">
        <is>
          <t>cobbleverse:custom_spawn/secret_garden</t>
        </is>
      </c>
      <c r="Q384" s="18" t="inlineStr">
        <is>
          <t>ultra-rare</t>
        </is>
      </c>
      <c r="R384" s="18" t="inlineStr"/>
      <c r="S384" s="18" t="inlineStr">
        <is>
          <t>cobbleventure:generation_3</t>
        </is>
      </c>
      <c r="T384" s="18">
        <f>IF(M384=0,"없음",IF(N384=0,"전부 제외","사용"))</f>
        <v/>
      </c>
      <c r="U384" s="18" t="inlineStr"/>
    </row>
    <row r="385" ht="30" customHeight="1">
      <c r="A385" s="18" t="n">
        <v>381</v>
      </c>
      <c r="B385" s="18" t="inlineStr">
        <is>
          <t>라티오스</t>
        </is>
      </c>
      <c r="C385" s="18" t="inlineStr">
        <is>
          <t>latios</t>
        </is>
      </c>
      <c r="D385" s="18" t="inlineStr">
        <is>
          <t>Latios</t>
        </is>
      </c>
      <c r="E385" s="18" t="n">
        <v>3</v>
      </c>
      <c r="F385" s="18" t="inlineStr">
        <is>
          <t>generation3</t>
        </is>
      </c>
      <c r="G385" s="18" t="inlineStr">
        <is>
          <t>dragon</t>
        </is>
      </c>
      <c r="H385" s="18" t="inlineStr">
        <is>
          <t>psychic</t>
        </is>
      </c>
      <c r="I385" s="18" t="inlineStr">
        <is>
          <t>예</t>
        </is>
      </c>
      <c r="J385" s="18" t="inlineStr">
        <is>
          <t>아니오</t>
        </is>
      </c>
      <c r="K385" s="18" t="inlineStr">
        <is>
          <t>예</t>
        </is>
      </c>
      <c r="L385" s="18" t="inlineStr">
        <is>
          <t>COBBLEVERSE 추가</t>
        </is>
      </c>
      <c r="M385" s="18">
        <f>COUNTIF('스폰_편집'!$D$5:$D$3125,A385)</f>
        <v/>
      </c>
      <c r="N385" s="18">
        <f>COUNTIFS('스폰_편집'!$D$5:$D$3125,A385,'스폰_편집'!$B$5:$B$3125,"사용")</f>
        <v/>
      </c>
      <c r="O385" s="18" t="n">
        <v>1</v>
      </c>
      <c r="P385" s="18" t="inlineStr">
        <is>
          <t>cobbleverse:custom_spawn/secret_garden</t>
        </is>
      </c>
      <c r="Q385" s="18" t="inlineStr">
        <is>
          <t>ultra-rare</t>
        </is>
      </c>
      <c r="R385" s="18" t="inlineStr"/>
      <c r="S385" s="18" t="inlineStr">
        <is>
          <t>cobbleventure:generation_3</t>
        </is>
      </c>
      <c r="T385" s="18">
        <f>IF(M385=0,"없음",IF(N385=0,"전부 제외","사용"))</f>
        <v/>
      </c>
      <c r="U385" s="18" t="inlineStr"/>
    </row>
    <row r="386" ht="30" customHeight="1">
      <c r="A386" s="18" t="n">
        <v>382</v>
      </c>
      <c r="B386" s="18" t="inlineStr">
        <is>
          <t>가이오가</t>
        </is>
      </c>
      <c r="C386" s="18" t="inlineStr">
        <is>
          <t>kyogre</t>
        </is>
      </c>
      <c r="D386" s="18" t="inlineStr">
        <is>
          <t>Kyogre</t>
        </is>
      </c>
      <c r="E386" s="18" t="n">
        <v>3</v>
      </c>
      <c r="F386" s="18" t="inlineStr">
        <is>
          <t>generation3</t>
        </is>
      </c>
      <c r="G386" s="18" t="inlineStr">
        <is>
          <t>water</t>
        </is>
      </c>
      <c r="H386" s="18" t="inlineStr"/>
      <c r="I386" s="18" t="inlineStr">
        <is>
          <t>아니오</t>
        </is>
      </c>
      <c r="J386" s="18" t="inlineStr">
        <is>
          <t>아니오</t>
        </is>
      </c>
      <c r="K386" s="18" t="inlineStr">
        <is>
          <t>예</t>
        </is>
      </c>
      <c r="L386" s="18" t="inlineStr">
        <is>
          <t>COBBLEVERSE 추가</t>
        </is>
      </c>
      <c r="M386" s="18">
        <f>COUNTIF('스폰_편집'!$D$5:$D$3125,A386)</f>
        <v/>
      </c>
      <c r="N386" s="18">
        <f>COUNTIFS('스폰_편집'!$D$5:$D$3125,A386,'스폰_편집'!$B$5:$B$3125,"사용")</f>
        <v/>
      </c>
      <c r="O386" s="18" t="n">
        <v>1</v>
      </c>
      <c r="P386" s="18" t="inlineStr">
        <is>
          <t>cobbleverse:custom_spawn/kyogre_temple</t>
        </is>
      </c>
      <c r="Q386" s="18" t="inlineStr">
        <is>
          <t>ultra-rare</t>
        </is>
      </c>
      <c r="R386" s="18" t="inlineStr"/>
      <c r="S386" s="18" t="inlineStr">
        <is>
          <t>cobbleventure:generation_3</t>
        </is>
      </c>
      <c r="T386" s="18">
        <f>IF(M386=0,"없음",IF(N386=0,"전부 제외","사용"))</f>
        <v/>
      </c>
      <c r="U386" s="18" t="inlineStr"/>
    </row>
    <row r="387" ht="30" customHeight="1">
      <c r="A387" s="18" t="n">
        <v>383</v>
      </c>
      <c r="B387" s="18" t="inlineStr">
        <is>
          <t>그란돈</t>
        </is>
      </c>
      <c r="C387" s="18" t="inlineStr">
        <is>
          <t>groudon</t>
        </is>
      </c>
      <c r="D387" s="18" t="inlineStr">
        <is>
          <t>Groudon</t>
        </is>
      </c>
      <c r="E387" s="18" t="n">
        <v>3</v>
      </c>
      <c r="F387" s="18" t="inlineStr">
        <is>
          <t>generation3</t>
        </is>
      </c>
      <c r="G387" s="18" t="inlineStr">
        <is>
          <t>ground</t>
        </is>
      </c>
      <c r="H387" s="18" t="inlineStr"/>
      <c r="I387" s="18" t="inlineStr">
        <is>
          <t>아니오</t>
        </is>
      </c>
      <c r="J387" s="18" t="inlineStr">
        <is>
          <t>아니오</t>
        </is>
      </c>
      <c r="K387" s="18" t="inlineStr">
        <is>
          <t>예</t>
        </is>
      </c>
      <c r="L387" s="18" t="inlineStr">
        <is>
          <t>COBBLEVERSE 추가</t>
        </is>
      </c>
      <c r="M387" s="18">
        <f>COUNTIF('스폰_편집'!$D$5:$D$3125,A387)</f>
        <v/>
      </c>
      <c r="N387" s="18">
        <f>COUNTIFS('스폰_편집'!$D$5:$D$3125,A387,'스폰_편집'!$B$5:$B$3125,"사용")</f>
        <v/>
      </c>
      <c r="O387" s="18" t="n">
        <v>1</v>
      </c>
      <c r="P387" s="18" t="inlineStr">
        <is>
          <t>cobbleverse:custom_spawn/groudon_vulcano</t>
        </is>
      </c>
      <c r="Q387" s="18" t="inlineStr">
        <is>
          <t>ultra-rare</t>
        </is>
      </c>
      <c r="R387" s="18" t="inlineStr"/>
      <c r="S387" s="18" t="inlineStr">
        <is>
          <t>cobbleventure:generation_3</t>
        </is>
      </c>
      <c r="T387" s="18">
        <f>IF(M387=0,"없음",IF(N387=0,"전부 제외","사용"))</f>
        <v/>
      </c>
      <c r="U387" s="18" t="inlineStr"/>
    </row>
    <row r="388" ht="30" customHeight="1">
      <c r="A388" s="18" t="n">
        <v>384</v>
      </c>
      <c r="B388" s="18" t="inlineStr">
        <is>
          <t>레쿠쟈</t>
        </is>
      </c>
      <c r="C388" s="18" t="inlineStr">
        <is>
          <t>rayquaza</t>
        </is>
      </c>
      <c r="D388" s="18" t="inlineStr">
        <is>
          <t>Rayquaza</t>
        </is>
      </c>
      <c r="E388" s="18" t="n">
        <v>3</v>
      </c>
      <c r="F388" s="18" t="inlineStr">
        <is>
          <t>generation3</t>
        </is>
      </c>
      <c r="G388" s="18" t="inlineStr">
        <is>
          <t>dragon</t>
        </is>
      </c>
      <c r="H388" s="18" t="inlineStr">
        <is>
          <t>flying</t>
        </is>
      </c>
      <c r="I388" s="18" t="inlineStr">
        <is>
          <t>예</t>
        </is>
      </c>
      <c r="J388" s="18" t="inlineStr">
        <is>
          <t>아니오</t>
        </is>
      </c>
      <c r="K388" s="18" t="inlineStr">
        <is>
          <t>예</t>
        </is>
      </c>
      <c r="L388" s="18" t="inlineStr">
        <is>
          <t>COBBLEVERSE 추가</t>
        </is>
      </c>
      <c r="M388" s="18">
        <f>COUNTIF('스폰_편집'!$D$5:$D$3125,A388)</f>
        <v/>
      </c>
      <c r="N388" s="18">
        <f>COUNTIFS('스폰_편집'!$D$5:$D$3125,A388,'스폰_편집'!$B$5:$B$3125,"사용")</f>
        <v/>
      </c>
      <c r="O388" s="18" t="n">
        <v>1</v>
      </c>
      <c r="P388" s="18" t="inlineStr">
        <is>
          <t>cobbleverse:custom_spawn/sky_pillar</t>
        </is>
      </c>
      <c r="Q388" s="18" t="inlineStr">
        <is>
          <t>ultra-rare</t>
        </is>
      </c>
      <c r="R388" s="18" t="inlineStr"/>
      <c r="S388" s="18" t="inlineStr">
        <is>
          <t>cobbleventure:generation_3</t>
        </is>
      </c>
      <c r="T388" s="18">
        <f>IF(M388=0,"없음",IF(N388=0,"전부 제외","사용"))</f>
        <v/>
      </c>
      <c r="U388" s="18" t="inlineStr"/>
    </row>
    <row r="389" ht="30" customHeight="1">
      <c r="A389" s="18" t="n">
        <v>385</v>
      </c>
      <c r="B389" s="18" t="inlineStr">
        <is>
          <t>지라치</t>
        </is>
      </c>
      <c r="C389" s="18" t="inlineStr">
        <is>
          <t>jirachi</t>
        </is>
      </c>
      <c r="D389" s="18" t="inlineStr">
        <is>
          <t>Jirachi</t>
        </is>
      </c>
      <c r="E389" s="18" t="n">
        <v>3</v>
      </c>
      <c r="F389" s="18" t="inlineStr">
        <is>
          <t>generation3</t>
        </is>
      </c>
      <c r="G389" s="18" t="inlineStr">
        <is>
          <t>steel</t>
        </is>
      </c>
      <c r="H389" s="18" t="inlineStr">
        <is>
          <t>psychic</t>
        </is>
      </c>
      <c r="I389" s="18" t="inlineStr">
        <is>
          <t>아니오</t>
        </is>
      </c>
      <c r="J389" s="18" t="inlineStr">
        <is>
          <t>아니오</t>
        </is>
      </c>
      <c r="K389" s="18" t="inlineStr">
        <is>
          <t>예</t>
        </is>
      </c>
      <c r="L389" s="18" t="inlineStr">
        <is>
          <t>COBBLEVERSE 추가</t>
        </is>
      </c>
      <c r="M389" s="18">
        <f>COUNTIF('스폰_편집'!$D$5:$D$3125,A389)</f>
        <v/>
      </c>
      <c r="N389" s="18">
        <f>COUNTIFS('스폰_편집'!$D$5:$D$3125,A389,'스폰_편집'!$B$5:$B$3125,"사용")</f>
        <v/>
      </c>
      <c r="O389" s="18" t="n">
        <v>1</v>
      </c>
      <c r="P389" s="18" t="inlineStr">
        <is>
          <t>cobbleverse:custom_spawn/jirachi_structure</t>
        </is>
      </c>
      <c r="Q389" s="18" t="inlineStr">
        <is>
          <t>ultra-rare</t>
        </is>
      </c>
      <c r="R389" s="18" t="inlineStr"/>
      <c r="S389" s="18" t="inlineStr">
        <is>
          <t>cobbleventure:generation_3</t>
        </is>
      </c>
      <c r="T389" s="18">
        <f>IF(M389=0,"없음",IF(N389=0,"전부 제외","사용"))</f>
        <v/>
      </c>
      <c r="U389" s="18" t="inlineStr"/>
    </row>
    <row r="390" ht="30" customHeight="1">
      <c r="A390" s="18" t="n">
        <v>386</v>
      </c>
      <c r="B390" s="18" t="inlineStr">
        <is>
          <t>테오키스</t>
        </is>
      </c>
      <c r="C390" s="18" t="inlineStr">
        <is>
          <t>deoxys</t>
        </is>
      </c>
      <c r="D390" s="18" t="inlineStr">
        <is>
          <t>Deoxys</t>
        </is>
      </c>
      <c r="E390" s="18" t="n">
        <v>3</v>
      </c>
      <c r="F390" s="18" t="inlineStr">
        <is>
          <t>generation3</t>
        </is>
      </c>
      <c r="G390" s="18" t="inlineStr">
        <is>
          <t>psychic</t>
        </is>
      </c>
      <c r="H390" s="18" t="inlineStr"/>
      <c r="I390" s="18" t="inlineStr">
        <is>
          <t>아니오</t>
        </is>
      </c>
      <c r="J390" s="18" t="inlineStr">
        <is>
          <t>아니오</t>
        </is>
      </c>
      <c r="K390" s="18" t="inlineStr">
        <is>
          <t>예</t>
        </is>
      </c>
      <c r="L390" s="18" t="inlineStr">
        <is>
          <t>COBBLEVERSE 추가</t>
        </is>
      </c>
      <c r="M390" s="18">
        <f>COUNTIF('스폰_편집'!$D$5:$D$3125,A390)</f>
        <v/>
      </c>
      <c r="N390" s="18">
        <f>COUNTIFS('스폰_편집'!$D$5:$D$3125,A390,'스폰_편집'!$B$5:$B$3125,"사용")</f>
        <v/>
      </c>
      <c r="O390" s="18" t="n">
        <v>1</v>
      </c>
      <c r="P390" s="18" t="inlineStr">
        <is>
          <t>cobbleverse:custom_spawn/deoxys_meteorite</t>
        </is>
      </c>
      <c r="Q390" s="18" t="inlineStr">
        <is>
          <t>ultra-rare</t>
        </is>
      </c>
      <c r="R390" s="18" t="inlineStr"/>
      <c r="S390" s="18" t="inlineStr">
        <is>
          <t>cobbleventure:generation_3</t>
        </is>
      </c>
      <c r="T390" s="18">
        <f>IF(M390=0,"없음",IF(N390=0,"전부 제외","사용"))</f>
        <v/>
      </c>
      <c r="U390" s="18" t="inlineStr"/>
    </row>
    <row r="391" ht="30" customHeight="1">
      <c r="A391" s="18" t="n">
        <v>387</v>
      </c>
      <c r="B391" s="18" t="inlineStr">
        <is>
          <t>모부기</t>
        </is>
      </c>
      <c r="C391" s="18" t="inlineStr">
        <is>
          <t>turtwig</t>
        </is>
      </c>
      <c r="D391" s="18" t="inlineStr">
        <is>
          <t>Turtwig</t>
        </is>
      </c>
      <c r="E391" s="18" t="n">
        <v>4</v>
      </c>
      <c r="F391" s="18" t="inlineStr">
        <is>
          <t>generation4</t>
        </is>
      </c>
      <c r="G391" s="18" t="inlineStr">
        <is>
          <t>grass</t>
        </is>
      </c>
      <c r="H391" s="18" t="inlineStr"/>
      <c r="I391" s="18" t="inlineStr">
        <is>
          <t>예</t>
        </is>
      </c>
      <c r="J391" s="18" t="inlineStr">
        <is>
          <t>예</t>
        </is>
      </c>
      <c r="K391" s="18" t="inlineStr">
        <is>
          <t>예</t>
        </is>
      </c>
      <c r="L391" s="18" t="inlineStr">
        <is>
          <t>Cobblemon 동일</t>
        </is>
      </c>
      <c r="M391" s="18">
        <f>COUNTIF('스폰_편집'!$D$5:$D$3125,A391)</f>
        <v/>
      </c>
      <c r="N391" s="18">
        <f>COUNTIFS('스폰_편집'!$D$5:$D$3125,A391,'스폰_편집'!$B$5:$B$3125,"사용")</f>
        <v/>
      </c>
      <c r="O391" s="18" t="n">
        <v>1</v>
      </c>
      <c r="P391" s="18" t="inlineStr">
        <is>
          <t>#cobblemon:is_forest</t>
        </is>
      </c>
      <c r="Q391" s="18" t="inlineStr">
        <is>
          <t>ultra-rare</t>
        </is>
      </c>
      <c r="R391" s="18" t="inlineStr">
        <is>
          <t>region_01</t>
        </is>
      </c>
      <c r="S391" s="18" t="inlineStr">
        <is>
          <t>cobbleventure:generation_4</t>
        </is>
      </c>
      <c r="T391" s="18">
        <f>IF(M391=0,"없음",IF(N391=0,"전부 제외","사용"))</f>
        <v/>
      </c>
      <c r="U391" s="18" t="inlineStr"/>
    </row>
    <row r="392" ht="30" customHeight="1">
      <c r="A392" s="18" t="n">
        <v>388</v>
      </c>
      <c r="B392" s="18" t="inlineStr">
        <is>
          <t>수풀부기</t>
        </is>
      </c>
      <c r="C392" s="18" t="inlineStr">
        <is>
          <t>grotle</t>
        </is>
      </c>
      <c r="D392" s="18" t="inlineStr">
        <is>
          <t>Grotle</t>
        </is>
      </c>
      <c r="E392" s="18" t="n">
        <v>4</v>
      </c>
      <c r="F392" s="18" t="inlineStr">
        <is>
          <t>generation4</t>
        </is>
      </c>
      <c r="G392" s="18" t="inlineStr">
        <is>
          <t>grass</t>
        </is>
      </c>
      <c r="H392" s="18" t="inlineStr"/>
      <c r="I392" s="18" t="inlineStr">
        <is>
          <t>예</t>
        </is>
      </c>
      <c r="J392" s="18" t="inlineStr">
        <is>
          <t>예</t>
        </is>
      </c>
      <c r="K392" s="18" t="inlineStr">
        <is>
          <t>예</t>
        </is>
      </c>
      <c r="L392" s="18" t="inlineStr">
        <is>
          <t>Cobblemon 동일</t>
        </is>
      </c>
      <c r="M392" s="18">
        <f>COUNTIF('스폰_편집'!$D$5:$D$3125,A392)</f>
        <v/>
      </c>
      <c r="N392" s="18">
        <f>COUNTIFS('스폰_편집'!$D$5:$D$3125,A392,'스폰_편집'!$B$5:$B$3125,"사용")</f>
        <v/>
      </c>
      <c r="O392" s="18" t="n">
        <v>1</v>
      </c>
      <c r="P392" s="18" t="inlineStr">
        <is>
          <t>#cobblemon:is_forest</t>
        </is>
      </c>
      <c r="Q392" s="18" t="inlineStr">
        <is>
          <t>ultra-rare</t>
        </is>
      </c>
      <c r="R392" s="18" t="inlineStr">
        <is>
          <t>region_01</t>
        </is>
      </c>
      <c r="S392" s="18" t="inlineStr">
        <is>
          <t>cobbleventure:generation_4</t>
        </is>
      </c>
      <c r="T392" s="18">
        <f>IF(M392=0,"없음",IF(N392=0,"전부 제외","사용"))</f>
        <v/>
      </c>
      <c r="U392" s="18" t="inlineStr"/>
    </row>
    <row r="393" ht="30" customHeight="1">
      <c r="A393" s="18" t="n">
        <v>389</v>
      </c>
      <c r="B393" s="18" t="inlineStr">
        <is>
          <t>토대부기</t>
        </is>
      </c>
      <c r="C393" s="18" t="inlineStr">
        <is>
          <t>torterra</t>
        </is>
      </c>
      <c r="D393" s="18" t="inlineStr">
        <is>
          <t>Torterra</t>
        </is>
      </c>
      <c r="E393" s="18" t="n">
        <v>4</v>
      </c>
      <c r="F393" s="18" t="inlineStr">
        <is>
          <t>generation4</t>
        </is>
      </c>
      <c r="G393" s="18" t="inlineStr">
        <is>
          <t>grass</t>
        </is>
      </c>
      <c r="H393" s="18" t="inlineStr">
        <is>
          <t>ground</t>
        </is>
      </c>
      <c r="I393" s="18" t="inlineStr">
        <is>
          <t>예</t>
        </is>
      </c>
      <c r="J393" s="18" t="inlineStr">
        <is>
          <t>예</t>
        </is>
      </c>
      <c r="K393" s="18" t="inlineStr">
        <is>
          <t>예</t>
        </is>
      </c>
      <c r="L393" s="18" t="inlineStr">
        <is>
          <t>Cobblemon 동일</t>
        </is>
      </c>
      <c r="M393" s="18">
        <f>COUNTIF('스폰_편집'!$D$5:$D$3125,A393)</f>
        <v/>
      </c>
      <c r="N393" s="18">
        <f>COUNTIFS('스폰_편집'!$D$5:$D$3125,A393,'스폰_편집'!$B$5:$B$3125,"사용")</f>
        <v/>
      </c>
      <c r="O393" s="18" t="n">
        <v>1</v>
      </c>
      <c r="P393" s="18" t="inlineStr">
        <is>
          <t>#cobblemon:is_forest</t>
        </is>
      </c>
      <c r="Q393" s="18" t="inlineStr">
        <is>
          <t>ultra-rare</t>
        </is>
      </c>
      <c r="R393" s="18" t="inlineStr">
        <is>
          <t>region_01</t>
        </is>
      </c>
      <c r="S393" s="18" t="inlineStr">
        <is>
          <t>cobbleventure:generation_4</t>
        </is>
      </c>
      <c r="T393" s="18">
        <f>IF(M393=0,"없음",IF(N393=0,"전부 제외","사용"))</f>
        <v/>
      </c>
      <c r="U393" s="18" t="inlineStr"/>
    </row>
    <row r="394" ht="30" customHeight="1">
      <c r="A394" s="18" t="n">
        <v>390</v>
      </c>
      <c r="B394" s="18" t="inlineStr">
        <is>
          <t>불꽃숭이</t>
        </is>
      </c>
      <c r="C394" s="18" t="inlineStr">
        <is>
          <t>chimchar</t>
        </is>
      </c>
      <c r="D394" s="18" t="inlineStr">
        <is>
          <t>Chimchar</t>
        </is>
      </c>
      <c r="E394" s="18" t="n">
        <v>4</v>
      </c>
      <c r="F394" s="18" t="inlineStr">
        <is>
          <t>generation4</t>
        </is>
      </c>
      <c r="G394" s="18" t="inlineStr">
        <is>
          <t>fire</t>
        </is>
      </c>
      <c r="H394" s="18" t="inlineStr"/>
      <c r="I394" s="18" t="inlineStr">
        <is>
          <t>예</t>
        </is>
      </c>
      <c r="J394" s="18" t="inlineStr">
        <is>
          <t>예</t>
        </is>
      </c>
      <c r="K394" s="18" t="inlineStr">
        <is>
          <t>예</t>
        </is>
      </c>
      <c r="L394" s="18" t="inlineStr">
        <is>
          <t>COBBLEVERSE 수정</t>
        </is>
      </c>
      <c r="M394" s="18">
        <f>COUNTIF('스폰_편집'!$D$5:$D$3125,A394)</f>
        <v/>
      </c>
      <c r="N394" s="18">
        <f>COUNTIFS('스폰_편집'!$D$5:$D$3125,A394,'스폰_편집'!$B$5:$B$3125,"사용")</f>
        <v/>
      </c>
      <c r="O394" s="18" t="n">
        <v>2</v>
      </c>
      <c r="P394" s="18" t="inlineStr">
        <is>
          <t>#cobblemon:is_mountain; #cobblemon:nether/is_forest</t>
        </is>
      </c>
      <c r="Q394" s="18" t="inlineStr">
        <is>
          <t>ultra-rare</t>
        </is>
      </c>
      <c r="R394" s="18" t="inlineStr"/>
      <c r="S394" s="18" t="inlineStr">
        <is>
          <t>cobbleventure:generation_4</t>
        </is>
      </c>
      <c r="T394" s="18">
        <f>IF(M394=0,"없음",IF(N394=0,"전부 제외","사용"))</f>
        <v/>
      </c>
      <c r="U394" s="18" t="inlineStr"/>
    </row>
    <row r="395" ht="30" customHeight="1">
      <c r="A395" s="18" t="n">
        <v>391</v>
      </c>
      <c r="B395" s="18" t="inlineStr">
        <is>
          <t>파이숭이</t>
        </is>
      </c>
      <c r="C395" s="18" t="inlineStr">
        <is>
          <t>monferno</t>
        </is>
      </c>
      <c r="D395" s="18" t="inlineStr">
        <is>
          <t>Monferno</t>
        </is>
      </c>
      <c r="E395" s="18" t="n">
        <v>4</v>
      </c>
      <c r="F395" s="18" t="inlineStr">
        <is>
          <t>generation4</t>
        </is>
      </c>
      <c r="G395" s="18" t="inlineStr">
        <is>
          <t>fire</t>
        </is>
      </c>
      <c r="H395" s="18" t="inlineStr">
        <is>
          <t>fighting</t>
        </is>
      </c>
      <c r="I395" s="18" t="inlineStr">
        <is>
          <t>예</t>
        </is>
      </c>
      <c r="J395" s="18" t="inlineStr">
        <is>
          <t>예</t>
        </is>
      </c>
      <c r="K395" s="18" t="inlineStr">
        <is>
          <t>예</t>
        </is>
      </c>
      <c r="L395" s="18" t="inlineStr">
        <is>
          <t>COBBLEVERSE 수정</t>
        </is>
      </c>
      <c r="M395" s="18">
        <f>COUNTIF('스폰_편집'!$D$5:$D$3125,A395)</f>
        <v/>
      </c>
      <c r="N395" s="18">
        <f>COUNTIFS('스폰_편집'!$D$5:$D$3125,A395,'스폰_편집'!$B$5:$B$3125,"사용")</f>
        <v/>
      </c>
      <c r="O395" s="18" t="n">
        <v>2</v>
      </c>
      <c r="P395" s="18" t="inlineStr">
        <is>
          <t>#cobblemon:is_mountain; #cobblemon:nether/is_forest</t>
        </is>
      </c>
      <c r="Q395" s="18" t="inlineStr">
        <is>
          <t>ultra-rare</t>
        </is>
      </c>
      <c r="R395" s="18" t="inlineStr"/>
      <c r="S395" s="18" t="inlineStr">
        <is>
          <t>cobbleventure:generation_4</t>
        </is>
      </c>
      <c r="T395" s="18">
        <f>IF(M395=0,"없음",IF(N395=0,"전부 제외","사용"))</f>
        <v/>
      </c>
      <c r="U395" s="18" t="inlineStr"/>
    </row>
    <row r="396" ht="30" customHeight="1">
      <c r="A396" s="18" t="n">
        <v>392</v>
      </c>
      <c r="B396" s="18" t="inlineStr">
        <is>
          <t>초염몽</t>
        </is>
      </c>
      <c r="C396" s="18" t="inlineStr">
        <is>
          <t>infernape</t>
        </is>
      </c>
      <c r="D396" s="18" t="inlineStr">
        <is>
          <t>Infernape</t>
        </is>
      </c>
      <c r="E396" s="18" t="n">
        <v>4</v>
      </c>
      <c r="F396" s="18" t="inlineStr">
        <is>
          <t>generation4</t>
        </is>
      </c>
      <c r="G396" s="18" t="inlineStr">
        <is>
          <t>fire</t>
        </is>
      </c>
      <c r="H396" s="18" t="inlineStr">
        <is>
          <t>fighting</t>
        </is>
      </c>
      <c r="I396" s="18" t="inlineStr">
        <is>
          <t>예</t>
        </is>
      </c>
      <c r="J396" s="18" t="inlineStr">
        <is>
          <t>예</t>
        </is>
      </c>
      <c r="K396" s="18" t="inlineStr">
        <is>
          <t>예</t>
        </is>
      </c>
      <c r="L396" s="18" t="inlineStr">
        <is>
          <t>COBBLEVERSE 수정</t>
        </is>
      </c>
      <c r="M396" s="18">
        <f>COUNTIF('스폰_편집'!$D$5:$D$3125,A396)</f>
        <v/>
      </c>
      <c r="N396" s="18">
        <f>COUNTIFS('스폰_편집'!$D$5:$D$3125,A396,'스폰_편집'!$B$5:$B$3125,"사용")</f>
        <v/>
      </c>
      <c r="O396" s="18" t="n">
        <v>2</v>
      </c>
      <c r="P396" s="18" t="inlineStr">
        <is>
          <t>#cobblemon:is_mountain; #cobblemon:nether/is_forest</t>
        </is>
      </c>
      <c r="Q396" s="18" t="inlineStr">
        <is>
          <t>ultra-rare</t>
        </is>
      </c>
      <c r="R396" s="18" t="inlineStr"/>
      <c r="S396" s="18" t="inlineStr">
        <is>
          <t>cobbleventure:generation_4</t>
        </is>
      </c>
      <c r="T396" s="18">
        <f>IF(M396=0,"없음",IF(N396=0,"전부 제외","사용"))</f>
        <v/>
      </c>
      <c r="U396" s="18" t="inlineStr"/>
    </row>
    <row r="397" ht="30" customHeight="1">
      <c r="A397" s="18" t="n">
        <v>393</v>
      </c>
      <c r="B397" s="18" t="inlineStr">
        <is>
          <t>팽도리</t>
        </is>
      </c>
      <c r="C397" s="18" t="inlineStr">
        <is>
          <t>piplup</t>
        </is>
      </c>
      <c r="D397" s="18" t="inlineStr">
        <is>
          <t>Piplup</t>
        </is>
      </c>
      <c r="E397" s="18" t="n">
        <v>4</v>
      </c>
      <c r="F397" s="18" t="inlineStr">
        <is>
          <t>generation4</t>
        </is>
      </c>
      <c r="G397" s="18" t="inlineStr">
        <is>
          <t>water</t>
        </is>
      </c>
      <c r="H397" s="18" t="inlineStr"/>
      <c r="I397" s="18" t="inlineStr">
        <is>
          <t>예</t>
        </is>
      </c>
      <c r="J397" s="18" t="inlineStr">
        <is>
          <t>예</t>
        </is>
      </c>
      <c r="K397" s="18" t="inlineStr">
        <is>
          <t>예</t>
        </is>
      </c>
      <c r="L397" s="18" t="inlineStr">
        <is>
          <t>Cobblemon 동일</t>
        </is>
      </c>
      <c r="M397" s="18">
        <f>COUNTIF('스폰_편집'!$D$5:$D$3125,A397)</f>
        <v/>
      </c>
      <c r="N397" s="18">
        <f>COUNTIFS('스폰_편집'!$D$5:$D$3125,A397,'스폰_편집'!$B$5:$B$3125,"사용")</f>
        <v/>
      </c>
      <c r="O397" s="18" t="n">
        <v>5</v>
      </c>
      <c r="P397" s="18" t="inlineStr">
        <is>
          <t>#cobblemon:is_cold_ocean; #cobblemon:is_frozen_ocean; #cobblemon:is_glacial; #cobblemon:is_tundra; minecraft:frozen_river</t>
        </is>
      </c>
      <c r="Q397" s="18" t="inlineStr">
        <is>
          <t>ultra-rare</t>
        </is>
      </c>
      <c r="R397" s="18" t="inlineStr"/>
      <c r="S397" s="18" t="inlineStr">
        <is>
          <t>cobbleventure:generation_4</t>
        </is>
      </c>
      <c r="T397" s="18">
        <f>IF(M397=0,"없음",IF(N397=0,"전부 제외","사용"))</f>
        <v/>
      </c>
      <c r="U397" s="18" t="inlineStr"/>
    </row>
    <row r="398" ht="30" customHeight="1">
      <c r="A398" s="18" t="n">
        <v>394</v>
      </c>
      <c r="B398" s="18" t="inlineStr">
        <is>
          <t>팽태자</t>
        </is>
      </c>
      <c r="C398" s="18" t="inlineStr">
        <is>
          <t>prinplup</t>
        </is>
      </c>
      <c r="D398" s="18" t="inlineStr">
        <is>
          <t>Prinplup</t>
        </is>
      </c>
      <c r="E398" s="18" t="n">
        <v>4</v>
      </c>
      <c r="F398" s="18" t="inlineStr">
        <is>
          <t>generation4</t>
        </is>
      </c>
      <c r="G398" s="18" t="inlineStr">
        <is>
          <t>water</t>
        </is>
      </c>
      <c r="H398" s="18" t="inlineStr"/>
      <c r="I398" s="18" t="inlineStr">
        <is>
          <t>예</t>
        </is>
      </c>
      <c r="J398" s="18" t="inlineStr">
        <is>
          <t>예</t>
        </is>
      </c>
      <c r="K398" s="18" t="inlineStr">
        <is>
          <t>예</t>
        </is>
      </c>
      <c r="L398" s="18" t="inlineStr">
        <is>
          <t>Cobblemon 동일</t>
        </is>
      </c>
      <c r="M398" s="18">
        <f>COUNTIF('스폰_편집'!$D$5:$D$3125,A398)</f>
        <v/>
      </c>
      <c r="N398" s="18">
        <f>COUNTIFS('스폰_편집'!$D$5:$D$3125,A398,'스폰_편집'!$B$5:$B$3125,"사용")</f>
        <v/>
      </c>
      <c r="O398" s="18" t="n">
        <v>5</v>
      </c>
      <c r="P398" s="18" t="inlineStr">
        <is>
          <t>#cobblemon:is_cold_ocean; #cobblemon:is_frozen_ocean; #cobblemon:is_glacial; #cobblemon:is_tundra; minecraft:frozen_river</t>
        </is>
      </c>
      <c r="Q398" s="18" t="inlineStr">
        <is>
          <t>ultra-rare</t>
        </is>
      </c>
      <c r="R398" s="18" t="inlineStr"/>
      <c r="S398" s="18" t="inlineStr">
        <is>
          <t>cobbleventure:generation_4</t>
        </is>
      </c>
      <c r="T398" s="18">
        <f>IF(M398=0,"없음",IF(N398=0,"전부 제외","사용"))</f>
        <v/>
      </c>
      <c r="U398" s="18" t="inlineStr"/>
    </row>
    <row r="399" ht="30" customHeight="1">
      <c r="A399" s="18" t="n">
        <v>395</v>
      </c>
      <c r="B399" s="18" t="inlineStr">
        <is>
          <t>엠페르트</t>
        </is>
      </c>
      <c r="C399" s="18" t="inlineStr">
        <is>
          <t>empoleon</t>
        </is>
      </c>
      <c r="D399" s="18" t="inlineStr">
        <is>
          <t>Empoleon</t>
        </is>
      </c>
      <c r="E399" s="18" t="n">
        <v>4</v>
      </c>
      <c r="F399" s="18" t="inlineStr">
        <is>
          <t>generation4</t>
        </is>
      </c>
      <c r="G399" s="18" t="inlineStr">
        <is>
          <t>water</t>
        </is>
      </c>
      <c r="H399" s="18" t="inlineStr">
        <is>
          <t>steel</t>
        </is>
      </c>
      <c r="I399" s="18" t="inlineStr">
        <is>
          <t>예</t>
        </is>
      </c>
      <c r="J399" s="18" t="inlineStr">
        <is>
          <t>예</t>
        </is>
      </c>
      <c r="K399" s="18" t="inlineStr">
        <is>
          <t>예</t>
        </is>
      </c>
      <c r="L399" s="18" t="inlineStr">
        <is>
          <t>Cobblemon 동일</t>
        </is>
      </c>
      <c r="M399" s="18">
        <f>COUNTIF('스폰_편집'!$D$5:$D$3125,A399)</f>
        <v/>
      </c>
      <c r="N399" s="18">
        <f>COUNTIFS('스폰_편집'!$D$5:$D$3125,A399,'스폰_편집'!$B$5:$B$3125,"사용")</f>
        <v/>
      </c>
      <c r="O399" s="18" t="n">
        <v>5</v>
      </c>
      <c r="P399" s="18" t="inlineStr">
        <is>
          <t>#cobblemon:is_cold_ocean; #cobblemon:is_frozen_ocean; #cobblemon:is_glacial; #cobblemon:is_tundra; minecraft:frozen_river</t>
        </is>
      </c>
      <c r="Q399" s="18" t="inlineStr">
        <is>
          <t>ultra-rare</t>
        </is>
      </c>
      <c r="R399" s="18" t="inlineStr"/>
      <c r="S399" s="18" t="inlineStr">
        <is>
          <t>cobbleventure:generation_4</t>
        </is>
      </c>
      <c r="T399" s="18">
        <f>IF(M399=0,"없음",IF(N399=0,"전부 제외","사용"))</f>
        <v/>
      </c>
      <c r="U399" s="18" t="inlineStr"/>
    </row>
    <row r="400" ht="30" customHeight="1">
      <c r="A400" s="18" t="n">
        <v>396</v>
      </c>
      <c r="B400" s="18" t="inlineStr">
        <is>
          <t>찌르꼬</t>
        </is>
      </c>
      <c r="C400" s="18" t="inlineStr">
        <is>
          <t>starly</t>
        </is>
      </c>
      <c r="D400" s="18" t="inlineStr">
        <is>
          <t>Starly</t>
        </is>
      </c>
      <c r="E400" s="18" t="n">
        <v>4</v>
      </c>
      <c r="F400" s="18" t="inlineStr">
        <is>
          <t>generation4</t>
        </is>
      </c>
      <c r="G400" s="18" t="inlineStr">
        <is>
          <t>normal</t>
        </is>
      </c>
      <c r="H400" s="18" t="inlineStr">
        <is>
          <t>flying</t>
        </is>
      </c>
      <c r="I400" s="18" t="inlineStr">
        <is>
          <t>예</t>
        </is>
      </c>
      <c r="J400" s="18" t="inlineStr">
        <is>
          <t>예</t>
        </is>
      </c>
      <c r="K400" s="18" t="inlineStr">
        <is>
          <t>예</t>
        </is>
      </c>
      <c r="L400" s="18" t="inlineStr">
        <is>
          <t>Cobblemon 동일</t>
        </is>
      </c>
      <c r="M400" s="18">
        <f>COUNTIF('스폰_편집'!$D$5:$D$3125,A400)</f>
        <v/>
      </c>
      <c r="N400" s="18">
        <f>COUNTIFS('스폰_편집'!$D$5:$D$3125,A400,'스폰_편집'!$B$5:$B$3125,"사용")</f>
        <v/>
      </c>
      <c r="O400" s="18" t="n">
        <v>4</v>
      </c>
      <c r="P400" s="18" t="inlineStr">
        <is>
          <t>#cobblemon:is_hills; #cobblemon:is_sky; #cobblemon:is_snowy_forest; #cobblemon:is_taiga</t>
        </is>
      </c>
      <c r="Q400" s="18" t="inlineStr">
        <is>
          <t>common</t>
        </is>
      </c>
      <c r="R400" s="18" t="inlineStr"/>
      <c r="S400" s="18" t="inlineStr">
        <is>
          <t>cobbleventure:generation_4</t>
        </is>
      </c>
      <c r="T400" s="18">
        <f>IF(M400=0,"없음",IF(N400=0,"전부 제외","사용"))</f>
        <v/>
      </c>
      <c r="U400" s="18" t="inlineStr"/>
    </row>
    <row r="401" ht="30" customHeight="1">
      <c r="A401" s="18" t="n">
        <v>397</v>
      </c>
      <c r="B401" s="18" t="inlineStr">
        <is>
          <t>찌르버드</t>
        </is>
      </c>
      <c r="C401" s="18" t="inlineStr">
        <is>
          <t>staravia</t>
        </is>
      </c>
      <c r="D401" s="18" t="inlineStr">
        <is>
          <t>Staravia</t>
        </is>
      </c>
      <c r="E401" s="18" t="n">
        <v>4</v>
      </c>
      <c r="F401" s="18" t="inlineStr">
        <is>
          <t>generation4</t>
        </is>
      </c>
      <c r="G401" s="18" t="inlineStr">
        <is>
          <t>normal</t>
        </is>
      </c>
      <c r="H401" s="18" t="inlineStr">
        <is>
          <t>flying</t>
        </is>
      </c>
      <c r="I401" s="18" t="inlineStr">
        <is>
          <t>예</t>
        </is>
      </c>
      <c r="J401" s="18" t="inlineStr">
        <is>
          <t>예</t>
        </is>
      </c>
      <c r="K401" s="18" t="inlineStr">
        <is>
          <t>예</t>
        </is>
      </c>
      <c r="L401" s="18" t="inlineStr">
        <is>
          <t>Cobblemon 동일</t>
        </is>
      </c>
      <c r="M401" s="18">
        <f>COUNTIF('스폰_편집'!$D$5:$D$3125,A401)</f>
        <v/>
      </c>
      <c r="N401" s="18">
        <f>COUNTIFS('스폰_편집'!$D$5:$D$3125,A401,'스폰_편집'!$B$5:$B$3125,"사용")</f>
        <v/>
      </c>
      <c r="O401" s="18" t="n">
        <v>4</v>
      </c>
      <c r="P401" s="18" t="inlineStr">
        <is>
          <t>#cobblemon:is_hills; #cobblemon:is_sky; #cobblemon:is_snowy_forest; #cobblemon:is_taiga</t>
        </is>
      </c>
      <c r="Q401" s="18" t="inlineStr">
        <is>
          <t>common</t>
        </is>
      </c>
      <c r="R401" s="18" t="inlineStr"/>
      <c r="S401" s="18" t="inlineStr">
        <is>
          <t>cobbleventure:generation_4</t>
        </is>
      </c>
      <c r="T401" s="18">
        <f>IF(M401=0,"없음",IF(N401=0,"전부 제외","사용"))</f>
        <v/>
      </c>
      <c r="U401" s="18" t="inlineStr"/>
    </row>
    <row r="402" ht="30" customHeight="1">
      <c r="A402" s="18" t="n">
        <v>398</v>
      </c>
      <c r="B402" s="18" t="inlineStr">
        <is>
          <t>찌르호크</t>
        </is>
      </c>
      <c r="C402" s="18" t="inlineStr">
        <is>
          <t>staraptor</t>
        </is>
      </c>
      <c r="D402" s="18" t="inlineStr">
        <is>
          <t>Staraptor</t>
        </is>
      </c>
      <c r="E402" s="18" t="n">
        <v>4</v>
      </c>
      <c r="F402" s="18" t="inlineStr">
        <is>
          <t>generation4</t>
        </is>
      </c>
      <c r="G402" s="18" t="inlineStr">
        <is>
          <t>normal</t>
        </is>
      </c>
      <c r="H402" s="18" t="inlineStr">
        <is>
          <t>flying</t>
        </is>
      </c>
      <c r="I402" s="18" t="inlineStr">
        <is>
          <t>예</t>
        </is>
      </c>
      <c r="J402" s="18" t="inlineStr">
        <is>
          <t>예</t>
        </is>
      </c>
      <c r="K402" s="18" t="inlineStr">
        <is>
          <t>예</t>
        </is>
      </c>
      <c r="L402" s="18" t="inlineStr">
        <is>
          <t>Cobblemon 동일</t>
        </is>
      </c>
      <c r="M402" s="18">
        <f>COUNTIF('스폰_편집'!$D$5:$D$3125,A402)</f>
        <v/>
      </c>
      <c r="N402" s="18">
        <f>COUNTIFS('스폰_편집'!$D$5:$D$3125,A402,'스폰_편집'!$B$5:$B$3125,"사용")</f>
        <v/>
      </c>
      <c r="O402" s="18" t="n">
        <v>4</v>
      </c>
      <c r="P402" s="18" t="inlineStr">
        <is>
          <t>#cobblemon:is_hills; #cobblemon:is_sky; #cobblemon:is_snowy_forest; #cobblemon:is_taiga</t>
        </is>
      </c>
      <c r="Q402" s="18" t="inlineStr">
        <is>
          <t>common</t>
        </is>
      </c>
      <c r="R402" s="18" t="inlineStr"/>
      <c r="S402" s="18" t="inlineStr">
        <is>
          <t>cobbleventure:generation_4</t>
        </is>
      </c>
      <c r="T402" s="18">
        <f>IF(M402=0,"없음",IF(N402=0,"전부 제외","사용"))</f>
        <v/>
      </c>
      <c r="U402" s="18" t="inlineStr"/>
    </row>
    <row r="403" ht="30" customHeight="1">
      <c r="A403" s="18" t="n">
        <v>399</v>
      </c>
      <c r="B403" s="18" t="inlineStr">
        <is>
          <t>비버니</t>
        </is>
      </c>
      <c r="C403" s="18" t="inlineStr">
        <is>
          <t>bidoof</t>
        </is>
      </c>
      <c r="D403" s="18" t="inlineStr">
        <is>
          <t>Bidoof</t>
        </is>
      </c>
      <c r="E403" s="18" t="n">
        <v>4</v>
      </c>
      <c r="F403" s="18" t="inlineStr">
        <is>
          <t>generation4</t>
        </is>
      </c>
      <c r="G403" s="18" t="inlineStr">
        <is>
          <t>normal</t>
        </is>
      </c>
      <c r="H403" s="18" t="inlineStr"/>
      <c r="I403" s="18" t="inlineStr">
        <is>
          <t>예</t>
        </is>
      </c>
      <c r="J403" s="18" t="inlineStr">
        <is>
          <t>예</t>
        </is>
      </c>
      <c r="K403" s="18" t="inlineStr">
        <is>
          <t>예</t>
        </is>
      </c>
      <c r="L403" s="18" t="inlineStr">
        <is>
          <t>Cobblemon 동일</t>
        </is>
      </c>
      <c r="M403" s="18">
        <f>COUNTIF('스폰_편집'!$D$5:$D$3125,A403)</f>
        <v/>
      </c>
      <c r="N403" s="18">
        <f>COUNTIFS('스폰_편집'!$D$5:$D$3125,A403,'스폰_편집'!$B$5:$B$3125,"사용")</f>
        <v/>
      </c>
      <c r="O403" s="18" t="n">
        <v>4</v>
      </c>
      <c r="P403" s="18" t="inlineStr">
        <is>
          <t>#cobblemon:is_forest; #cobblemon:is_freshwater; #cobblemon:is_snowy_forest; #cobblemon:is_taiga</t>
        </is>
      </c>
      <c r="Q403" s="18" t="inlineStr">
        <is>
          <t>common; uncommon</t>
        </is>
      </c>
      <c r="R403" s="18" t="inlineStr">
        <is>
          <t>region_01; region_02</t>
        </is>
      </c>
      <c r="S403" s="18" t="inlineStr">
        <is>
          <t>cobbleventure:generation_4</t>
        </is>
      </c>
      <c r="T403" s="18">
        <f>IF(M403=0,"없음",IF(N403=0,"전부 제외","사용"))</f>
        <v/>
      </c>
      <c r="U403" s="18" t="inlineStr"/>
    </row>
    <row r="404" ht="30" customHeight="1">
      <c r="A404" s="18" t="n">
        <v>400</v>
      </c>
      <c r="B404" s="18" t="inlineStr">
        <is>
          <t>비버통</t>
        </is>
      </c>
      <c r="C404" s="18" t="inlineStr">
        <is>
          <t>bibarel</t>
        </is>
      </c>
      <c r="D404" s="18" t="inlineStr">
        <is>
          <t>Bibarel</t>
        </is>
      </c>
      <c r="E404" s="18" t="n">
        <v>4</v>
      </c>
      <c r="F404" s="18" t="inlineStr">
        <is>
          <t>generation4</t>
        </is>
      </c>
      <c r="G404" s="18" t="inlineStr">
        <is>
          <t>normal</t>
        </is>
      </c>
      <c r="H404" s="18" t="inlineStr">
        <is>
          <t>water</t>
        </is>
      </c>
      <c r="I404" s="18" t="inlineStr">
        <is>
          <t>예</t>
        </is>
      </c>
      <c r="J404" s="18" t="inlineStr">
        <is>
          <t>예</t>
        </is>
      </c>
      <c r="K404" s="18" t="inlineStr">
        <is>
          <t>예</t>
        </is>
      </c>
      <c r="L404" s="18" t="inlineStr">
        <is>
          <t>Cobblemon 동일</t>
        </is>
      </c>
      <c r="M404" s="18">
        <f>COUNTIF('스폰_편집'!$D$5:$D$3125,A404)</f>
        <v/>
      </c>
      <c r="N404" s="18">
        <f>COUNTIFS('스폰_편집'!$D$5:$D$3125,A404,'스폰_편집'!$B$5:$B$3125,"사용")</f>
        <v/>
      </c>
      <c r="O404" s="18" t="n">
        <v>4</v>
      </c>
      <c r="P404" s="18" t="inlineStr">
        <is>
          <t>#cobblemon:is_forest; #cobblemon:is_freshwater; #cobblemon:is_snowy_forest; #cobblemon:is_taiga</t>
        </is>
      </c>
      <c r="Q404" s="18" t="inlineStr">
        <is>
          <t>common; uncommon</t>
        </is>
      </c>
      <c r="R404" s="18" t="inlineStr">
        <is>
          <t>region_01; region_02</t>
        </is>
      </c>
      <c r="S404" s="18" t="inlineStr">
        <is>
          <t>cobbleventure:generation_4</t>
        </is>
      </c>
      <c r="T404" s="18">
        <f>IF(M404=0,"없음",IF(N404=0,"전부 제외","사용"))</f>
        <v/>
      </c>
      <c r="U404" s="18" t="inlineStr"/>
    </row>
    <row r="405" ht="30" customHeight="1">
      <c r="A405" s="18" t="n">
        <v>401</v>
      </c>
      <c r="B405" s="18" t="inlineStr">
        <is>
          <t>귀뚤뚜기</t>
        </is>
      </c>
      <c r="C405" s="18" t="inlineStr">
        <is>
          <t>kricketot</t>
        </is>
      </c>
      <c r="D405" s="18" t="inlineStr">
        <is>
          <t>Kricketot</t>
        </is>
      </c>
      <c r="E405" s="18" t="n">
        <v>4</v>
      </c>
      <c r="F405" s="18" t="inlineStr">
        <is>
          <t>generation4</t>
        </is>
      </c>
      <c r="G405" s="18" t="inlineStr">
        <is>
          <t>bug</t>
        </is>
      </c>
      <c r="H405" s="18" t="inlineStr"/>
      <c r="I405" s="18" t="inlineStr">
        <is>
          <t>예</t>
        </is>
      </c>
      <c r="J405" s="18" t="inlineStr">
        <is>
          <t>예</t>
        </is>
      </c>
      <c r="K405" s="18" t="inlineStr">
        <is>
          <t>예</t>
        </is>
      </c>
      <c r="L405" s="18" t="inlineStr">
        <is>
          <t>Cobblemon 동일</t>
        </is>
      </c>
      <c r="M405" s="18">
        <f>COUNTIF('스폰_편집'!$D$5:$D$3125,A405)</f>
        <v/>
      </c>
      <c r="N405" s="18">
        <f>COUNTIFS('스폰_편집'!$D$5:$D$3125,A405,'스폰_편집'!$B$5:$B$3125,"사용")</f>
        <v/>
      </c>
      <c r="O405" s="18" t="n">
        <v>2</v>
      </c>
      <c r="P405" s="18" t="inlineStr">
        <is>
          <t>#cobblemon:is_forest; #cobblemon:is_swamp</t>
        </is>
      </c>
      <c r="Q405" s="18" t="inlineStr">
        <is>
          <t>common</t>
        </is>
      </c>
      <c r="R405" s="18" t="inlineStr">
        <is>
          <t>region_01; region_02</t>
        </is>
      </c>
      <c r="S405" s="18" t="inlineStr">
        <is>
          <t>cobbleventure:generation_4</t>
        </is>
      </c>
      <c r="T405" s="18">
        <f>IF(M405=0,"없음",IF(N405=0,"전부 제외","사용"))</f>
        <v/>
      </c>
      <c r="U405" s="18" t="inlineStr"/>
    </row>
    <row r="406" ht="30" customHeight="1">
      <c r="A406" s="18" t="n">
        <v>402</v>
      </c>
      <c r="B406" s="18" t="inlineStr">
        <is>
          <t>귀뚤톡크</t>
        </is>
      </c>
      <c r="C406" s="18" t="inlineStr">
        <is>
          <t>kricketune</t>
        </is>
      </c>
      <c r="D406" s="18" t="inlineStr">
        <is>
          <t>Kricketune</t>
        </is>
      </c>
      <c r="E406" s="18" t="n">
        <v>4</v>
      </c>
      <c r="F406" s="18" t="inlineStr">
        <is>
          <t>generation4</t>
        </is>
      </c>
      <c r="G406" s="18" t="inlineStr">
        <is>
          <t>bug</t>
        </is>
      </c>
      <c r="H406" s="18" t="inlineStr"/>
      <c r="I406" s="18" t="inlineStr">
        <is>
          <t>예</t>
        </is>
      </c>
      <c r="J406" s="18" t="inlineStr">
        <is>
          <t>예</t>
        </is>
      </c>
      <c r="K406" s="18" t="inlineStr">
        <is>
          <t>예</t>
        </is>
      </c>
      <c r="L406" s="18" t="inlineStr">
        <is>
          <t>Cobblemon 동일</t>
        </is>
      </c>
      <c r="M406" s="18">
        <f>COUNTIF('스폰_편집'!$D$5:$D$3125,A406)</f>
        <v/>
      </c>
      <c r="N406" s="18">
        <f>COUNTIFS('스폰_편집'!$D$5:$D$3125,A406,'스폰_편집'!$B$5:$B$3125,"사용")</f>
        <v/>
      </c>
      <c r="O406" s="18" t="n">
        <v>2</v>
      </c>
      <c r="P406" s="18" t="inlineStr">
        <is>
          <t>#cobblemon:is_forest; #cobblemon:is_swamp</t>
        </is>
      </c>
      <c r="Q406" s="18" t="inlineStr">
        <is>
          <t>common</t>
        </is>
      </c>
      <c r="R406" s="18" t="inlineStr">
        <is>
          <t>region_01; region_02</t>
        </is>
      </c>
      <c r="S406" s="18" t="inlineStr">
        <is>
          <t>cobbleventure:generation_4</t>
        </is>
      </c>
      <c r="T406" s="18">
        <f>IF(M406=0,"없음",IF(N406=0,"전부 제외","사용"))</f>
        <v/>
      </c>
      <c r="U406" s="18" t="inlineStr"/>
    </row>
    <row r="407" ht="30" customHeight="1">
      <c r="A407" s="18" t="n">
        <v>403</v>
      </c>
      <c r="B407" s="18" t="inlineStr">
        <is>
          <t>꼬링크</t>
        </is>
      </c>
      <c r="C407" s="18" t="inlineStr">
        <is>
          <t>shinx</t>
        </is>
      </c>
      <c r="D407" s="18" t="inlineStr">
        <is>
          <t>Shinx</t>
        </is>
      </c>
      <c r="E407" s="18" t="n">
        <v>4</v>
      </c>
      <c r="F407" s="18" t="inlineStr">
        <is>
          <t>generation4</t>
        </is>
      </c>
      <c r="G407" s="18" t="inlineStr">
        <is>
          <t>electric</t>
        </is>
      </c>
      <c r="H407" s="18" t="inlineStr"/>
      <c r="I407" s="18" t="inlineStr">
        <is>
          <t>예</t>
        </is>
      </c>
      <c r="J407" s="18" t="inlineStr">
        <is>
          <t>예</t>
        </is>
      </c>
      <c r="K407" s="18" t="inlineStr">
        <is>
          <t>예</t>
        </is>
      </c>
      <c r="L407" s="18" t="inlineStr">
        <is>
          <t>Cobblemon 동일</t>
        </is>
      </c>
      <c r="M407" s="18">
        <f>COUNTIF('스폰_편집'!$D$5:$D$3125,A407)</f>
        <v/>
      </c>
      <c r="N407" s="18">
        <f>COUNTIFS('스폰_편집'!$D$5:$D$3125,A407,'스폰_편집'!$B$5:$B$3125,"사용")</f>
        <v/>
      </c>
      <c r="O407" s="18" t="n">
        <v>2</v>
      </c>
      <c r="P407" s="18" t="inlineStr">
        <is>
          <t>#cobblemon:is_desert; #cobblemon:is_savanna</t>
        </is>
      </c>
      <c r="Q407" s="18" t="inlineStr">
        <is>
          <t>uncommon</t>
        </is>
      </c>
      <c r="R407" s="18" t="inlineStr">
        <is>
          <t>region_02</t>
        </is>
      </c>
      <c r="S407" s="18" t="inlineStr">
        <is>
          <t>cobbleventure:generation_4</t>
        </is>
      </c>
      <c r="T407" s="18">
        <f>IF(M407=0,"없음",IF(N407=0,"전부 제외","사용"))</f>
        <v/>
      </c>
      <c r="U407" s="18" t="inlineStr"/>
    </row>
    <row r="408" ht="30" customHeight="1">
      <c r="A408" s="18" t="n">
        <v>404</v>
      </c>
      <c r="B408" s="18" t="inlineStr">
        <is>
          <t>럭시오</t>
        </is>
      </c>
      <c r="C408" s="18" t="inlineStr">
        <is>
          <t>luxio</t>
        </is>
      </c>
      <c r="D408" s="18" t="inlineStr">
        <is>
          <t>Luxio</t>
        </is>
      </c>
      <c r="E408" s="18" t="n">
        <v>4</v>
      </c>
      <c r="F408" s="18" t="inlineStr">
        <is>
          <t>generation4</t>
        </is>
      </c>
      <c r="G408" s="18" t="inlineStr">
        <is>
          <t>electric</t>
        </is>
      </c>
      <c r="H408" s="18" t="inlineStr"/>
      <c r="I408" s="18" t="inlineStr">
        <is>
          <t>예</t>
        </is>
      </c>
      <c r="J408" s="18" t="inlineStr">
        <is>
          <t>예</t>
        </is>
      </c>
      <c r="K408" s="18" t="inlineStr">
        <is>
          <t>예</t>
        </is>
      </c>
      <c r="L408" s="18" t="inlineStr">
        <is>
          <t>Cobblemon 동일</t>
        </is>
      </c>
      <c r="M408" s="18">
        <f>COUNTIF('스폰_편집'!$D$5:$D$3125,A408)</f>
        <v/>
      </c>
      <c r="N408" s="18">
        <f>COUNTIFS('스폰_편집'!$D$5:$D$3125,A408,'스폰_편집'!$B$5:$B$3125,"사용")</f>
        <v/>
      </c>
      <c r="O408" s="18" t="n">
        <v>2</v>
      </c>
      <c r="P408" s="18" t="inlineStr">
        <is>
          <t>#cobblemon:is_desert; #cobblemon:is_savanna</t>
        </is>
      </c>
      <c r="Q408" s="18" t="inlineStr">
        <is>
          <t>uncommon</t>
        </is>
      </c>
      <c r="R408" s="18" t="inlineStr">
        <is>
          <t>region_02</t>
        </is>
      </c>
      <c r="S408" s="18" t="inlineStr">
        <is>
          <t>cobbleventure:generation_4</t>
        </is>
      </c>
      <c r="T408" s="18">
        <f>IF(M408=0,"없음",IF(N408=0,"전부 제외","사용"))</f>
        <v/>
      </c>
      <c r="U408" s="18" t="inlineStr"/>
    </row>
    <row r="409" ht="30" customHeight="1">
      <c r="A409" s="18" t="n">
        <v>405</v>
      </c>
      <c r="B409" s="18" t="inlineStr">
        <is>
          <t>렌트라</t>
        </is>
      </c>
      <c r="C409" s="18" t="inlineStr">
        <is>
          <t>luxray</t>
        </is>
      </c>
      <c r="D409" s="18" t="inlineStr">
        <is>
          <t>Luxray</t>
        </is>
      </c>
      <c r="E409" s="18" t="n">
        <v>4</v>
      </c>
      <c r="F409" s="18" t="inlineStr">
        <is>
          <t>generation4</t>
        </is>
      </c>
      <c r="G409" s="18" t="inlineStr">
        <is>
          <t>electric</t>
        </is>
      </c>
      <c r="H409" s="18" t="inlineStr"/>
      <c r="I409" s="18" t="inlineStr">
        <is>
          <t>예</t>
        </is>
      </c>
      <c r="J409" s="18" t="inlineStr">
        <is>
          <t>예</t>
        </is>
      </c>
      <c r="K409" s="18" t="inlineStr">
        <is>
          <t>예</t>
        </is>
      </c>
      <c r="L409" s="18" t="inlineStr">
        <is>
          <t>Cobblemon 동일</t>
        </is>
      </c>
      <c r="M409" s="18">
        <f>COUNTIF('스폰_편집'!$D$5:$D$3125,A409)</f>
        <v/>
      </c>
      <c r="N409" s="18">
        <f>COUNTIFS('스폰_편집'!$D$5:$D$3125,A409,'스폰_편집'!$B$5:$B$3125,"사용")</f>
        <v/>
      </c>
      <c r="O409" s="18" t="n">
        <v>2</v>
      </c>
      <c r="P409" s="18" t="inlineStr">
        <is>
          <t>#cobblemon:is_desert; #cobblemon:is_savanna</t>
        </is>
      </c>
      <c r="Q409" s="18" t="inlineStr">
        <is>
          <t>uncommon</t>
        </is>
      </c>
      <c r="R409" s="18" t="inlineStr">
        <is>
          <t>region_02</t>
        </is>
      </c>
      <c r="S409" s="18" t="inlineStr">
        <is>
          <t>cobbleventure:generation_4</t>
        </is>
      </c>
      <c r="T409" s="18">
        <f>IF(M409=0,"없음",IF(N409=0,"전부 제외","사용"))</f>
        <v/>
      </c>
      <c r="U409" s="18" t="inlineStr"/>
    </row>
    <row r="410" ht="30" customHeight="1">
      <c r="A410" s="18" t="n">
        <v>406</v>
      </c>
      <c r="B410" s="18" t="inlineStr">
        <is>
          <t>꼬몽울</t>
        </is>
      </c>
      <c r="C410" s="18" t="inlineStr">
        <is>
          <t>budew</t>
        </is>
      </c>
      <c r="D410" s="18" t="inlineStr">
        <is>
          <t>Budew</t>
        </is>
      </c>
      <c r="E410" s="18" t="n">
        <v>4</v>
      </c>
      <c r="F410" s="18" t="inlineStr">
        <is>
          <t>generation4</t>
        </is>
      </c>
      <c r="G410" s="18" t="inlineStr">
        <is>
          <t>grass</t>
        </is>
      </c>
      <c r="H410" s="18" t="inlineStr">
        <is>
          <t>poison</t>
        </is>
      </c>
      <c r="I410" s="18" t="inlineStr">
        <is>
          <t>예</t>
        </is>
      </c>
      <c r="J410" s="18" t="inlineStr">
        <is>
          <t>예</t>
        </is>
      </c>
      <c r="K410" s="18" t="inlineStr">
        <is>
          <t>예</t>
        </is>
      </c>
      <c r="L410" s="18" t="inlineStr">
        <is>
          <t>Cobblemon 동일</t>
        </is>
      </c>
      <c r="M410" s="18">
        <f>COUNTIF('스폰_편집'!$D$5:$D$3125,A410)</f>
        <v/>
      </c>
      <c r="N410" s="18">
        <f>COUNTIFS('스폰_편집'!$D$5:$D$3125,A410,'스폰_편집'!$B$5:$B$3125,"사용")</f>
        <v/>
      </c>
      <c r="O410" s="18" t="n">
        <v>3</v>
      </c>
      <c r="P410" s="18" t="inlineStr">
        <is>
          <t>#aether:is_aether; #cobblemon:is_floral; the_bumblezone:floral_meadow</t>
        </is>
      </c>
      <c r="Q410" s="18" t="inlineStr">
        <is>
          <t>common</t>
        </is>
      </c>
      <c r="R410" s="18" t="inlineStr"/>
      <c r="S410" s="18" t="inlineStr">
        <is>
          <t>cobbleventure:generation_4</t>
        </is>
      </c>
      <c r="T410" s="18">
        <f>IF(M410=0,"없음",IF(N410=0,"전부 제외","사용"))</f>
        <v/>
      </c>
      <c r="U410" s="18" t="inlineStr"/>
    </row>
    <row r="411" ht="30" customHeight="1">
      <c r="A411" s="18" t="n">
        <v>407</v>
      </c>
      <c r="B411" s="18" t="inlineStr">
        <is>
          <t>로즈레이드</t>
        </is>
      </c>
      <c r="C411" s="18" t="inlineStr">
        <is>
          <t>roserade</t>
        </is>
      </c>
      <c r="D411" s="18" t="inlineStr">
        <is>
          <t>Roserade</t>
        </is>
      </c>
      <c r="E411" s="18" t="n">
        <v>4</v>
      </c>
      <c r="F411" s="18" t="inlineStr">
        <is>
          <t>generation4</t>
        </is>
      </c>
      <c r="G411" s="18" t="inlineStr">
        <is>
          <t>grass</t>
        </is>
      </c>
      <c r="H411" s="18" t="inlineStr">
        <is>
          <t>poison</t>
        </is>
      </c>
      <c r="I411" s="18" t="inlineStr">
        <is>
          <t>예</t>
        </is>
      </c>
      <c r="J411" s="18" t="inlineStr">
        <is>
          <t>예</t>
        </is>
      </c>
      <c r="K411" s="18" t="inlineStr">
        <is>
          <t>예</t>
        </is>
      </c>
      <c r="L411" s="18" t="inlineStr">
        <is>
          <t>Cobblemon 동일</t>
        </is>
      </c>
      <c r="M411" s="18">
        <f>COUNTIF('스폰_편집'!$D$5:$D$3125,A411)</f>
        <v/>
      </c>
      <c r="N411" s="18">
        <f>COUNTIFS('스폰_편집'!$D$5:$D$3125,A411,'스폰_편집'!$B$5:$B$3125,"사용")</f>
        <v/>
      </c>
      <c r="O411" s="18" t="n">
        <v>3</v>
      </c>
      <c r="P411" s="18" t="inlineStr">
        <is>
          <t>#aether:is_aether; #cobblemon:is_floral; the_bumblezone:floral_meadow</t>
        </is>
      </c>
      <c r="Q411" s="18" t="inlineStr">
        <is>
          <t>common</t>
        </is>
      </c>
      <c r="R411" s="18" t="inlineStr"/>
      <c r="S411" s="18" t="inlineStr">
        <is>
          <t>cobbleventure:generation_4</t>
        </is>
      </c>
      <c r="T411" s="18">
        <f>IF(M411=0,"없음",IF(N411=0,"전부 제외","사용"))</f>
        <v/>
      </c>
      <c r="U411" s="18" t="inlineStr"/>
    </row>
    <row r="412" ht="30" customHeight="1">
      <c r="A412" s="18" t="n">
        <v>408</v>
      </c>
      <c r="B412" s="18" t="inlineStr">
        <is>
          <t>두개도스</t>
        </is>
      </c>
      <c r="C412" s="18" t="inlineStr">
        <is>
          <t>cranidos</t>
        </is>
      </c>
      <c r="D412" s="18" t="inlineStr">
        <is>
          <t>Cranidos</t>
        </is>
      </c>
      <c r="E412" s="18" t="n">
        <v>4</v>
      </c>
      <c r="F412" s="18" t="inlineStr">
        <is>
          <t>generation4</t>
        </is>
      </c>
      <c r="G412" s="18" t="inlineStr">
        <is>
          <t>rock</t>
        </is>
      </c>
      <c r="H412" s="18" t="inlineStr"/>
      <c r="I412" s="18" t="inlineStr">
        <is>
          <t>예</t>
        </is>
      </c>
      <c r="J412" s="18" t="inlineStr">
        <is>
          <t>예</t>
        </is>
      </c>
      <c r="K412" s="18" t="inlineStr">
        <is>
          <t>예</t>
        </is>
      </c>
      <c r="L412" s="18" t="inlineStr">
        <is>
          <t>Cobblemon 동일</t>
        </is>
      </c>
      <c r="M412" s="18">
        <f>COUNTIF('스폰_편집'!$D$5:$D$3125,A412)</f>
        <v/>
      </c>
      <c r="N412" s="18">
        <f>COUNTIFS('스폰_편집'!$D$5:$D$3125,A412,'스폰_편집'!$B$5:$B$3125,"사용")</f>
        <v/>
      </c>
      <c r="O412" s="18" t="n">
        <v>1</v>
      </c>
      <c r="P412" s="18" t="inlineStr">
        <is>
          <t>#cobblemon:is_lush</t>
        </is>
      </c>
      <c r="Q412" s="18" t="inlineStr">
        <is>
          <t>ultra-rare</t>
        </is>
      </c>
      <c r="R412" s="18" t="inlineStr"/>
      <c r="S412" s="18" t="inlineStr">
        <is>
          <t>cobbleventure:generation_4</t>
        </is>
      </c>
      <c r="T412" s="18">
        <f>IF(M412=0,"없음",IF(N412=0,"전부 제외","사용"))</f>
        <v/>
      </c>
      <c r="U412" s="18" t="inlineStr"/>
    </row>
    <row r="413" ht="30" customHeight="1">
      <c r="A413" s="18" t="n">
        <v>409</v>
      </c>
      <c r="B413" s="18" t="inlineStr">
        <is>
          <t>램펄드</t>
        </is>
      </c>
      <c r="C413" s="18" t="inlineStr">
        <is>
          <t>rampardos</t>
        </is>
      </c>
      <c r="D413" s="18" t="inlineStr">
        <is>
          <t>Rampardos</t>
        </is>
      </c>
      <c r="E413" s="18" t="n">
        <v>4</v>
      </c>
      <c r="F413" s="18" t="inlineStr">
        <is>
          <t>generation4</t>
        </is>
      </c>
      <c r="G413" s="18" t="inlineStr">
        <is>
          <t>rock</t>
        </is>
      </c>
      <c r="H413" s="18" t="inlineStr"/>
      <c r="I413" s="18" t="inlineStr">
        <is>
          <t>예</t>
        </is>
      </c>
      <c r="J413" s="18" t="inlineStr">
        <is>
          <t>예</t>
        </is>
      </c>
      <c r="K413" s="18" t="inlineStr">
        <is>
          <t>예</t>
        </is>
      </c>
      <c r="L413" s="18" t="inlineStr">
        <is>
          <t>Cobblemon 동일</t>
        </is>
      </c>
      <c r="M413" s="18">
        <f>COUNTIF('스폰_편집'!$D$5:$D$3125,A413)</f>
        <v/>
      </c>
      <c r="N413" s="18">
        <f>COUNTIFS('스폰_편집'!$D$5:$D$3125,A413,'스폰_편집'!$B$5:$B$3125,"사용")</f>
        <v/>
      </c>
      <c r="O413" s="18" t="n">
        <v>1</v>
      </c>
      <c r="P413" s="18" t="inlineStr">
        <is>
          <t>#cobblemon:is_lush</t>
        </is>
      </c>
      <c r="Q413" s="18" t="inlineStr">
        <is>
          <t>ultra-rare</t>
        </is>
      </c>
      <c r="R413" s="18" t="inlineStr"/>
      <c r="S413" s="18" t="inlineStr">
        <is>
          <t>cobbleventure:generation_4</t>
        </is>
      </c>
      <c r="T413" s="18">
        <f>IF(M413=0,"없음",IF(N413=0,"전부 제외","사용"))</f>
        <v/>
      </c>
      <c r="U413" s="18" t="inlineStr"/>
    </row>
    <row r="414" ht="30" customHeight="1">
      <c r="A414" s="18" t="n">
        <v>410</v>
      </c>
      <c r="B414" s="18" t="inlineStr">
        <is>
          <t>방패톱스</t>
        </is>
      </c>
      <c r="C414" s="18" t="inlineStr">
        <is>
          <t>shieldon</t>
        </is>
      </c>
      <c r="D414" s="18" t="inlineStr">
        <is>
          <t>Shieldon</t>
        </is>
      </c>
      <c r="E414" s="18" t="n">
        <v>4</v>
      </c>
      <c r="F414" s="18" t="inlineStr">
        <is>
          <t>generation4</t>
        </is>
      </c>
      <c r="G414" s="18" t="inlineStr">
        <is>
          <t>rock</t>
        </is>
      </c>
      <c r="H414" s="18" t="inlineStr">
        <is>
          <t>steel</t>
        </is>
      </c>
      <c r="I414" s="18" t="inlineStr">
        <is>
          <t>예</t>
        </is>
      </c>
      <c r="J414" s="18" t="inlineStr">
        <is>
          <t>예</t>
        </is>
      </c>
      <c r="K414" s="18" t="inlineStr">
        <is>
          <t>예</t>
        </is>
      </c>
      <c r="L414" s="18" t="inlineStr">
        <is>
          <t>Cobblemon 동일</t>
        </is>
      </c>
      <c r="M414" s="18">
        <f>COUNTIF('스폰_편집'!$D$5:$D$3125,A414)</f>
        <v/>
      </c>
      <c r="N414" s="18">
        <f>COUNTIFS('스폰_편집'!$D$5:$D$3125,A414,'스폰_편집'!$B$5:$B$3125,"사용")</f>
        <v/>
      </c>
      <c r="O414" s="18" t="n">
        <v>1</v>
      </c>
      <c r="P414" s="18" t="inlineStr">
        <is>
          <t>#cobblemon:is_lush</t>
        </is>
      </c>
      <c r="Q414" s="18" t="inlineStr">
        <is>
          <t>ultra-rare</t>
        </is>
      </c>
      <c r="R414" s="18" t="inlineStr"/>
      <c r="S414" s="18" t="inlineStr">
        <is>
          <t>cobbleventure:generation_4</t>
        </is>
      </c>
      <c r="T414" s="18">
        <f>IF(M414=0,"없음",IF(N414=0,"전부 제외","사용"))</f>
        <v/>
      </c>
      <c r="U414" s="18" t="inlineStr"/>
    </row>
    <row r="415" ht="30" customHeight="1">
      <c r="A415" s="18" t="n">
        <v>411</v>
      </c>
      <c r="B415" s="18" t="inlineStr">
        <is>
          <t>바리톱스</t>
        </is>
      </c>
      <c r="C415" s="18" t="inlineStr">
        <is>
          <t>bastiodon</t>
        </is>
      </c>
      <c r="D415" s="18" t="inlineStr">
        <is>
          <t>Bastiodon</t>
        </is>
      </c>
      <c r="E415" s="18" t="n">
        <v>4</v>
      </c>
      <c r="F415" s="18" t="inlineStr">
        <is>
          <t>generation4</t>
        </is>
      </c>
      <c r="G415" s="18" t="inlineStr">
        <is>
          <t>rock</t>
        </is>
      </c>
      <c r="H415" s="18" t="inlineStr">
        <is>
          <t>steel</t>
        </is>
      </c>
      <c r="I415" s="18" t="inlineStr">
        <is>
          <t>예</t>
        </is>
      </c>
      <c r="J415" s="18" t="inlineStr">
        <is>
          <t>예</t>
        </is>
      </c>
      <c r="K415" s="18" t="inlineStr">
        <is>
          <t>예</t>
        </is>
      </c>
      <c r="L415" s="18" t="inlineStr">
        <is>
          <t>Cobblemon 동일</t>
        </is>
      </c>
      <c r="M415" s="18">
        <f>COUNTIF('스폰_편집'!$D$5:$D$3125,A415)</f>
        <v/>
      </c>
      <c r="N415" s="18">
        <f>COUNTIFS('스폰_편집'!$D$5:$D$3125,A415,'스폰_편집'!$B$5:$B$3125,"사용")</f>
        <v/>
      </c>
      <c r="O415" s="18" t="n">
        <v>1</v>
      </c>
      <c r="P415" s="18" t="inlineStr">
        <is>
          <t>#cobblemon:is_lush</t>
        </is>
      </c>
      <c r="Q415" s="18" t="inlineStr">
        <is>
          <t>ultra-rare</t>
        </is>
      </c>
      <c r="R415" s="18" t="inlineStr"/>
      <c r="S415" s="18" t="inlineStr">
        <is>
          <t>cobbleventure:generation_4</t>
        </is>
      </c>
      <c r="T415" s="18">
        <f>IF(M415=0,"없음",IF(N415=0,"전부 제외","사용"))</f>
        <v/>
      </c>
      <c r="U415" s="18" t="inlineStr"/>
    </row>
    <row r="416" ht="30" customHeight="1">
      <c r="A416" s="18" t="n">
        <v>412</v>
      </c>
      <c r="B416" s="18" t="inlineStr">
        <is>
          <t>도롱충이</t>
        </is>
      </c>
      <c r="C416" s="18" t="inlineStr">
        <is>
          <t>burmy</t>
        </is>
      </c>
      <c r="D416" s="18" t="inlineStr">
        <is>
          <t>Burmy</t>
        </is>
      </c>
      <c r="E416" s="18" t="n">
        <v>4</v>
      </c>
      <c r="F416" s="18" t="inlineStr">
        <is>
          <t>generation4</t>
        </is>
      </c>
      <c r="G416" s="18" t="inlineStr">
        <is>
          <t>bug</t>
        </is>
      </c>
      <c r="H416" s="18" t="inlineStr"/>
      <c r="I416" s="18" t="inlineStr">
        <is>
          <t>아니오</t>
        </is>
      </c>
      <c r="J416" s="18" t="inlineStr">
        <is>
          <t>아니오</t>
        </is>
      </c>
      <c r="K416" s="18" t="inlineStr">
        <is>
          <t>예</t>
        </is>
      </c>
      <c r="L416" s="18" t="inlineStr">
        <is>
          <t>COBBLEVERSE 추가</t>
        </is>
      </c>
      <c r="M416" s="18">
        <f>COUNTIF('스폰_편집'!$D$5:$D$3125,A416)</f>
        <v/>
      </c>
      <c r="N416" s="18">
        <f>COUNTIFS('스폰_편집'!$D$5:$D$3125,A416,'스폰_편집'!$B$5:$B$3125,"사용")</f>
        <v/>
      </c>
      <c r="O416" s="18" t="n">
        <v>5</v>
      </c>
      <c r="P416" s="18" t="inlineStr">
        <is>
          <t>#cobblemon:is_desert; #cobblemon:is_floral; #cobblemon:is_forest; #cobblemon:is_plains; #cobblemon:is_sandy</t>
        </is>
      </c>
      <c r="Q416" s="18" t="inlineStr">
        <is>
          <t>common; uncommon</t>
        </is>
      </c>
      <c r="R416" s="18" t="inlineStr">
        <is>
          <t>region_01; region_02</t>
        </is>
      </c>
      <c r="S416" s="18" t="inlineStr">
        <is>
          <t>cobbleventure:generation_4</t>
        </is>
      </c>
      <c r="T416" s="18">
        <f>IF(M416=0,"없음",IF(N416=0,"전부 제외","사용"))</f>
        <v/>
      </c>
      <c r="U416" s="18" t="inlineStr"/>
    </row>
    <row r="417" ht="30" customHeight="1">
      <c r="A417" s="18" t="n">
        <v>413</v>
      </c>
      <c r="B417" s="18" t="inlineStr">
        <is>
          <t>도롱마담</t>
        </is>
      </c>
      <c r="C417" s="18" t="inlineStr">
        <is>
          <t>wormadam</t>
        </is>
      </c>
      <c r="D417" s="18" t="inlineStr">
        <is>
          <t>Wormadam</t>
        </is>
      </c>
      <c r="E417" s="18" t="n">
        <v>4</v>
      </c>
      <c r="F417" s="18" t="inlineStr">
        <is>
          <t>generation4</t>
        </is>
      </c>
      <c r="G417" s="18" t="inlineStr">
        <is>
          <t>bug</t>
        </is>
      </c>
      <c r="H417" s="18" t="inlineStr">
        <is>
          <t>grass</t>
        </is>
      </c>
      <c r="I417" s="18" t="inlineStr">
        <is>
          <t>아니오</t>
        </is>
      </c>
      <c r="J417" s="18" t="inlineStr">
        <is>
          <t>아니오</t>
        </is>
      </c>
      <c r="K417" s="18" t="inlineStr">
        <is>
          <t>예</t>
        </is>
      </c>
      <c r="L417" s="18" t="inlineStr">
        <is>
          <t>COBBLEVERSE 추가</t>
        </is>
      </c>
      <c r="M417" s="18">
        <f>COUNTIF('스폰_편집'!$D$5:$D$3125,A417)</f>
        <v/>
      </c>
      <c r="N417" s="18">
        <f>COUNTIFS('스폰_편집'!$D$5:$D$3125,A417,'스폰_편집'!$B$5:$B$3125,"사용")</f>
        <v/>
      </c>
      <c r="O417" s="18" t="n">
        <v>4</v>
      </c>
      <c r="P417" s="18" t="inlineStr">
        <is>
          <t>#cobblemon:is_desert; #cobblemon:is_floral; #cobblemon:is_forest; #cobblemon:is_sandy</t>
        </is>
      </c>
      <c r="Q417" s="18" t="inlineStr">
        <is>
          <t>uncommon</t>
        </is>
      </c>
      <c r="R417" s="18" t="inlineStr">
        <is>
          <t>region_01; region_02</t>
        </is>
      </c>
      <c r="S417" s="18" t="inlineStr">
        <is>
          <t>cobbleventure:generation_4</t>
        </is>
      </c>
      <c r="T417" s="18">
        <f>IF(M417=0,"없음",IF(N417=0,"전부 제외","사용"))</f>
        <v/>
      </c>
      <c r="U417" s="18" t="inlineStr"/>
    </row>
    <row r="418" ht="30" customHeight="1">
      <c r="A418" s="18" t="n">
        <v>414</v>
      </c>
      <c r="B418" s="18" t="inlineStr">
        <is>
          <t>나메일</t>
        </is>
      </c>
      <c r="C418" s="18" t="inlineStr">
        <is>
          <t>mothim</t>
        </is>
      </c>
      <c r="D418" s="18" t="inlineStr">
        <is>
          <t>Mothim</t>
        </is>
      </c>
      <c r="E418" s="18" t="n">
        <v>4</v>
      </c>
      <c r="F418" s="18" t="inlineStr">
        <is>
          <t>generation4</t>
        </is>
      </c>
      <c r="G418" s="18" t="inlineStr">
        <is>
          <t>bug</t>
        </is>
      </c>
      <c r="H418" s="18" t="inlineStr">
        <is>
          <t>flying</t>
        </is>
      </c>
      <c r="I418" s="18" t="inlineStr">
        <is>
          <t>아니오</t>
        </is>
      </c>
      <c r="J418" s="18" t="inlineStr">
        <is>
          <t>아니오</t>
        </is>
      </c>
      <c r="K418" s="18" t="inlineStr">
        <is>
          <t>예</t>
        </is>
      </c>
      <c r="L418" s="18" t="inlineStr">
        <is>
          <t>COBBLEVERSE 추가</t>
        </is>
      </c>
      <c r="M418" s="18">
        <f>COUNTIF('스폰_편집'!$D$5:$D$3125,A418)</f>
        <v/>
      </c>
      <c r="N418" s="18">
        <f>COUNTIFS('스폰_편집'!$D$5:$D$3125,A418,'스폰_편집'!$B$5:$B$3125,"사용")</f>
        <v/>
      </c>
      <c r="O418" s="18" t="n">
        <v>1</v>
      </c>
      <c r="P418" s="18" t="inlineStr">
        <is>
          <t>#cobblemon:is_forest</t>
        </is>
      </c>
      <c r="Q418" s="18" t="inlineStr">
        <is>
          <t>rare</t>
        </is>
      </c>
      <c r="R418" s="18" t="inlineStr">
        <is>
          <t>region_01</t>
        </is>
      </c>
      <c r="S418" s="18" t="inlineStr">
        <is>
          <t>cobbleventure:generation_4</t>
        </is>
      </c>
      <c r="T418" s="18">
        <f>IF(M418=0,"없음",IF(N418=0,"전부 제외","사용"))</f>
        <v/>
      </c>
      <c r="U418" s="18" t="inlineStr"/>
    </row>
    <row r="419" ht="30" customHeight="1">
      <c r="A419" s="18" t="n">
        <v>415</v>
      </c>
      <c r="B419" s="18" t="inlineStr">
        <is>
          <t>세꿀버리</t>
        </is>
      </c>
      <c r="C419" s="18" t="inlineStr">
        <is>
          <t>combee</t>
        </is>
      </c>
      <c r="D419" s="18" t="inlineStr">
        <is>
          <t>Combee</t>
        </is>
      </c>
      <c r="E419" s="18" t="n">
        <v>4</v>
      </c>
      <c r="F419" s="18" t="inlineStr">
        <is>
          <t>generation4</t>
        </is>
      </c>
      <c r="G419" s="18" t="inlineStr">
        <is>
          <t>bug</t>
        </is>
      </c>
      <c r="H419" s="18" t="inlineStr">
        <is>
          <t>flying</t>
        </is>
      </c>
      <c r="I419" s="18" t="inlineStr">
        <is>
          <t>예</t>
        </is>
      </c>
      <c r="J419" s="18" t="inlineStr">
        <is>
          <t>예</t>
        </is>
      </c>
      <c r="K419" s="18" t="inlineStr">
        <is>
          <t>예</t>
        </is>
      </c>
      <c r="L419" s="18" t="inlineStr">
        <is>
          <t>Cobblemon 동일</t>
        </is>
      </c>
      <c r="M419" s="18">
        <f>COUNTIF('스폰_편집'!$D$5:$D$3125,A419)</f>
        <v/>
      </c>
      <c r="N419" s="18">
        <f>COUNTIFS('스폰_편집'!$D$5:$D$3125,A419,'스폰_편집'!$B$5:$B$3125,"사용")</f>
        <v/>
      </c>
      <c r="O419" s="18" t="n">
        <v>4</v>
      </c>
      <c r="P419" s="18" t="inlineStr">
        <is>
          <t>#aether:is_aether; #cobblemon:is_overworld; #cobblemon:is_temperate; #the_bumblezone:the_bumblezone</t>
        </is>
      </c>
      <c r="Q419" s="18" t="inlineStr">
        <is>
          <t>common</t>
        </is>
      </c>
      <c r="R419" s="18" t="inlineStr">
        <is>
          <t>region_01; region_02</t>
        </is>
      </c>
      <c r="S419" s="18" t="inlineStr">
        <is>
          <t>cobbleventure:generation_4</t>
        </is>
      </c>
      <c r="T419" s="18">
        <f>IF(M419=0,"없음",IF(N419=0,"전부 제외","사용"))</f>
        <v/>
      </c>
      <c r="U419" s="18" t="inlineStr"/>
    </row>
    <row r="420" ht="30" customHeight="1">
      <c r="A420" s="18" t="n">
        <v>416</v>
      </c>
      <c r="B420" s="18" t="inlineStr">
        <is>
          <t>비퀸</t>
        </is>
      </c>
      <c r="C420" s="18" t="inlineStr">
        <is>
          <t>vespiquen</t>
        </is>
      </c>
      <c r="D420" s="18" t="inlineStr">
        <is>
          <t>Vespiquen</t>
        </is>
      </c>
      <c r="E420" s="18" t="n">
        <v>4</v>
      </c>
      <c r="F420" s="18" t="inlineStr">
        <is>
          <t>generation4</t>
        </is>
      </c>
      <c r="G420" s="18" t="inlineStr">
        <is>
          <t>bug</t>
        </is>
      </c>
      <c r="H420" s="18" t="inlineStr">
        <is>
          <t>flying</t>
        </is>
      </c>
      <c r="I420" s="18" t="inlineStr">
        <is>
          <t>예</t>
        </is>
      </c>
      <c r="J420" s="18" t="inlineStr">
        <is>
          <t>예</t>
        </is>
      </c>
      <c r="K420" s="18" t="inlineStr">
        <is>
          <t>예</t>
        </is>
      </c>
      <c r="L420" s="18" t="inlineStr">
        <is>
          <t>Cobblemon 동일</t>
        </is>
      </c>
      <c r="M420" s="18">
        <f>COUNTIF('스폰_편집'!$D$5:$D$3125,A420)</f>
        <v/>
      </c>
      <c r="N420" s="18">
        <f>COUNTIFS('스폰_편집'!$D$5:$D$3125,A420,'스폰_편집'!$B$5:$B$3125,"사용")</f>
        <v/>
      </c>
      <c r="O420" s="18" t="n">
        <v>4</v>
      </c>
      <c r="P420" s="18" t="inlineStr">
        <is>
          <t>#aether:is_aether; #cobblemon:is_overworld; #cobblemon:is_temperate; #the_bumblezone:the_bumblezone</t>
        </is>
      </c>
      <c r="Q420" s="18" t="inlineStr">
        <is>
          <t>common</t>
        </is>
      </c>
      <c r="R420" s="18" t="inlineStr">
        <is>
          <t>region_01; region_02</t>
        </is>
      </c>
      <c r="S420" s="18" t="inlineStr">
        <is>
          <t>cobbleventure:generation_4</t>
        </is>
      </c>
      <c r="T420" s="18">
        <f>IF(M420=0,"없음",IF(N420=0,"전부 제외","사용"))</f>
        <v/>
      </c>
      <c r="U420" s="18" t="inlineStr"/>
    </row>
    <row r="421" ht="30" customHeight="1">
      <c r="A421" s="18" t="n">
        <v>417</v>
      </c>
      <c r="B421" s="18" t="inlineStr">
        <is>
          <t>파치리스</t>
        </is>
      </c>
      <c r="C421" s="18" t="inlineStr">
        <is>
          <t>pachirisu</t>
        </is>
      </c>
      <c r="D421" s="18" t="inlineStr">
        <is>
          <t>Pachirisu</t>
        </is>
      </c>
      <c r="E421" s="18" t="n">
        <v>4</v>
      </c>
      <c r="F421" s="18" t="inlineStr">
        <is>
          <t>generation4</t>
        </is>
      </c>
      <c r="G421" s="18" t="inlineStr">
        <is>
          <t>electric</t>
        </is>
      </c>
      <c r="H421" s="18" t="inlineStr"/>
      <c r="I421" s="18" t="inlineStr">
        <is>
          <t>예</t>
        </is>
      </c>
      <c r="J421" s="18" t="inlineStr">
        <is>
          <t>예</t>
        </is>
      </c>
      <c r="K421" s="18" t="inlineStr">
        <is>
          <t>예</t>
        </is>
      </c>
      <c r="L421" s="18" t="inlineStr">
        <is>
          <t>Cobblemon 동일</t>
        </is>
      </c>
      <c r="M421" s="18">
        <f>COUNTIF('스폰_편집'!$D$5:$D$3125,A421)</f>
        <v/>
      </c>
      <c r="N421" s="18">
        <f>COUNTIFS('스폰_편집'!$D$5:$D$3125,A421,'스폰_편집'!$B$5:$B$3125,"사용")</f>
        <v/>
      </c>
      <c r="O421" s="18" t="n">
        <v>3</v>
      </c>
      <c r="P421" s="18" t="inlineStr">
        <is>
          <t>#cobblemon:is_forest; aether:skyroot_forest; aether:skyroot_woodland</t>
        </is>
      </c>
      <c r="Q421" s="18" t="inlineStr">
        <is>
          <t>uncommon</t>
        </is>
      </c>
      <c r="R421" s="18" t="inlineStr">
        <is>
          <t>region_01</t>
        </is>
      </c>
      <c r="S421" s="18" t="inlineStr">
        <is>
          <t>cobbleventure:generation_4</t>
        </is>
      </c>
      <c r="T421" s="18">
        <f>IF(M421=0,"없음",IF(N421=0,"전부 제외","사용"))</f>
        <v/>
      </c>
      <c r="U421" s="18" t="inlineStr"/>
    </row>
    <row r="422" ht="30" customHeight="1">
      <c r="A422" s="18" t="n">
        <v>418</v>
      </c>
      <c r="B422" s="18" t="inlineStr">
        <is>
          <t>브이젤</t>
        </is>
      </c>
      <c r="C422" s="18" t="inlineStr">
        <is>
          <t>buizel</t>
        </is>
      </c>
      <c r="D422" s="18" t="inlineStr">
        <is>
          <t>Buizel</t>
        </is>
      </c>
      <c r="E422" s="18" t="n">
        <v>4</v>
      </c>
      <c r="F422" s="18" t="inlineStr">
        <is>
          <t>generation4</t>
        </is>
      </c>
      <c r="G422" s="18" t="inlineStr">
        <is>
          <t>water</t>
        </is>
      </c>
      <c r="H422" s="18" t="inlineStr"/>
      <c r="I422" s="18" t="inlineStr">
        <is>
          <t>예</t>
        </is>
      </c>
      <c r="J422" s="18" t="inlineStr">
        <is>
          <t>예</t>
        </is>
      </c>
      <c r="K422" s="18" t="inlineStr">
        <is>
          <t>예</t>
        </is>
      </c>
      <c r="L422" s="18" t="inlineStr">
        <is>
          <t>Cobblemon 동일</t>
        </is>
      </c>
      <c r="M422" s="18">
        <f>COUNTIF('스폰_편집'!$D$5:$D$3125,A422)</f>
        <v/>
      </c>
      <c r="N422" s="18">
        <f>COUNTIFS('스폰_편집'!$D$5:$D$3125,A422,'스폰_편집'!$B$5:$B$3125,"사용")</f>
        <v/>
      </c>
      <c r="O422" s="18" t="n">
        <v>6</v>
      </c>
      <c r="P422" s="18" t="inlineStr">
        <is>
          <t>#cobblemon:is_forest; #cobblemon:is_freshwater; #cobblemon:is_grassland; #cobblemon:is_hills; #cobblemon:is_jungle; #cobblemon:is_taiga</t>
        </is>
      </c>
      <c r="Q422" s="18" t="inlineStr">
        <is>
          <t>common; uncommon</t>
        </is>
      </c>
      <c r="R422" s="18" t="inlineStr">
        <is>
          <t>region_01; region_02</t>
        </is>
      </c>
      <c r="S422" s="18" t="inlineStr">
        <is>
          <t>cobbleventure:generation_4</t>
        </is>
      </c>
      <c r="T422" s="18">
        <f>IF(M422=0,"없음",IF(N422=0,"전부 제외","사용"))</f>
        <v/>
      </c>
      <c r="U422" s="18" t="inlineStr"/>
    </row>
    <row r="423" ht="30" customHeight="1">
      <c r="A423" s="18" t="n">
        <v>419</v>
      </c>
      <c r="B423" s="18" t="inlineStr">
        <is>
          <t>플로젤</t>
        </is>
      </c>
      <c r="C423" s="18" t="inlineStr">
        <is>
          <t>floatzel</t>
        </is>
      </c>
      <c r="D423" s="18" t="inlineStr">
        <is>
          <t>Floatzel</t>
        </is>
      </c>
      <c r="E423" s="18" t="n">
        <v>4</v>
      </c>
      <c r="F423" s="18" t="inlineStr">
        <is>
          <t>generation4</t>
        </is>
      </c>
      <c r="G423" s="18" t="inlineStr">
        <is>
          <t>water</t>
        </is>
      </c>
      <c r="H423" s="18" t="inlineStr"/>
      <c r="I423" s="18" t="inlineStr">
        <is>
          <t>예</t>
        </is>
      </c>
      <c r="J423" s="18" t="inlineStr">
        <is>
          <t>예</t>
        </is>
      </c>
      <c r="K423" s="18" t="inlineStr">
        <is>
          <t>예</t>
        </is>
      </c>
      <c r="L423" s="18" t="inlineStr">
        <is>
          <t>Cobblemon 동일</t>
        </is>
      </c>
      <c r="M423" s="18">
        <f>COUNTIF('스폰_편집'!$D$5:$D$3125,A423)</f>
        <v/>
      </c>
      <c r="N423" s="18">
        <f>COUNTIFS('스폰_편집'!$D$5:$D$3125,A423,'스폰_편집'!$B$5:$B$3125,"사용")</f>
        <v/>
      </c>
      <c r="O423" s="18" t="n">
        <v>6</v>
      </c>
      <c r="P423" s="18" t="inlineStr">
        <is>
          <t>#cobblemon:is_forest; #cobblemon:is_freshwater; #cobblemon:is_grassland; #cobblemon:is_hills; #cobblemon:is_jungle; #cobblemon:is_taiga</t>
        </is>
      </c>
      <c r="Q423" s="18" t="inlineStr">
        <is>
          <t>common; uncommon</t>
        </is>
      </c>
      <c r="R423" s="18" t="inlineStr">
        <is>
          <t>region_01; region_02</t>
        </is>
      </c>
      <c r="S423" s="18" t="inlineStr">
        <is>
          <t>cobbleventure:generation_4</t>
        </is>
      </c>
      <c r="T423" s="18">
        <f>IF(M423=0,"없음",IF(N423=0,"전부 제외","사용"))</f>
        <v/>
      </c>
      <c r="U423" s="18" t="inlineStr"/>
    </row>
    <row r="424" ht="30" customHeight="1">
      <c r="A424" s="18" t="n">
        <v>420</v>
      </c>
      <c r="B424" s="18" t="inlineStr">
        <is>
          <t>체리버</t>
        </is>
      </c>
      <c r="C424" s="18" t="inlineStr">
        <is>
          <t>cherubi</t>
        </is>
      </c>
      <c r="D424" s="18" t="inlineStr">
        <is>
          <t>Cherubi</t>
        </is>
      </c>
      <c r="E424" s="18" t="n">
        <v>4</v>
      </c>
      <c r="F424" s="18" t="inlineStr">
        <is>
          <t>generation4</t>
        </is>
      </c>
      <c r="G424" s="18" t="inlineStr">
        <is>
          <t>grass</t>
        </is>
      </c>
      <c r="H424" s="18" t="inlineStr"/>
      <c r="I424" s="18" t="inlineStr">
        <is>
          <t>아니오</t>
        </is>
      </c>
      <c r="J424" s="18" t="inlineStr">
        <is>
          <t>아니오</t>
        </is>
      </c>
      <c r="K424" s="18" t="inlineStr">
        <is>
          <t>예</t>
        </is>
      </c>
      <c r="L424" s="18" t="inlineStr">
        <is>
          <t>COBBLEVERSE 추가</t>
        </is>
      </c>
      <c r="M424" s="18">
        <f>COUNTIF('스폰_편집'!$D$5:$D$3125,A424)</f>
        <v/>
      </c>
      <c r="N424" s="18">
        <f>COUNTIFS('스폰_편집'!$D$5:$D$3125,A424,'스폰_편집'!$B$5:$B$3125,"사용")</f>
        <v/>
      </c>
      <c r="O424" s="18" t="n">
        <v>3</v>
      </c>
      <c r="P424" s="18" t="inlineStr">
        <is>
          <t>#cobblemon:is_forest; #cobblemon:is_jungle; #cobblemon:is_taiga</t>
        </is>
      </c>
      <c r="Q424" s="18" t="inlineStr">
        <is>
          <t>common</t>
        </is>
      </c>
      <c r="R424" s="18" t="inlineStr">
        <is>
          <t>region_01</t>
        </is>
      </c>
      <c r="S424" s="18" t="inlineStr">
        <is>
          <t>cobbleventure:generation_4</t>
        </is>
      </c>
      <c r="T424" s="18">
        <f>IF(M424=0,"없음",IF(N424=0,"전부 제외","사용"))</f>
        <v/>
      </c>
      <c r="U424" s="18" t="inlineStr"/>
    </row>
    <row r="425" ht="30" customHeight="1">
      <c r="A425" s="18" t="n">
        <v>421</v>
      </c>
      <c r="B425" s="18" t="inlineStr">
        <is>
          <t>체리꼬</t>
        </is>
      </c>
      <c r="C425" s="18" t="inlineStr">
        <is>
          <t>cherrim</t>
        </is>
      </c>
      <c r="D425" s="18" t="inlineStr">
        <is>
          <t>Cherrim</t>
        </is>
      </c>
      <c r="E425" s="18" t="n">
        <v>4</v>
      </c>
      <c r="F425" s="18" t="inlineStr">
        <is>
          <t>generation4</t>
        </is>
      </c>
      <c r="G425" s="18" t="inlineStr">
        <is>
          <t>grass</t>
        </is>
      </c>
      <c r="H425" s="18" t="inlineStr"/>
      <c r="I425" s="18" t="inlineStr">
        <is>
          <t>아니오</t>
        </is>
      </c>
      <c r="J425" s="18" t="inlineStr">
        <is>
          <t>아니오</t>
        </is>
      </c>
      <c r="K425" s="18" t="inlineStr">
        <is>
          <t>예</t>
        </is>
      </c>
      <c r="L425" s="18" t="inlineStr">
        <is>
          <t>COBBLEVERSE 추가</t>
        </is>
      </c>
      <c r="M425" s="18">
        <f>COUNTIF('스폰_편집'!$D$5:$D$3125,A425)</f>
        <v/>
      </c>
      <c r="N425" s="18">
        <f>COUNTIFS('스폰_편집'!$D$5:$D$3125,A425,'스폰_편집'!$B$5:$B$3125,"사용")</f>
        <v/>
      </c>
      <c r="O425" s="18" t="n">
        <v>3</v>
      </c>
      <c r="P425" s="18" t="inlineStr">
        <is>
          <t>#cobblemon:is_forest; #cobblemon:is_jungle; #cobblemon:is_taiga</t>
        </is>
      </c>
      <c r="Q425" s="18" t="inlineStr">
        <is>
          <t>uncommon</t>
        </is>
      </c>
      <c r="R425" s="18" t="inlineStr">
        <is>
          <t>region_01</t>
        </is>
      </c>
      <c r="S425" s="18" t="inlineStr">
        <is>
          <t>cobbleventure:generation_4</t>
        </is>
      </c>
      <c r="T425" s="18">
        <f>IF(M425=0,"없음",IF(N425=0,"전부 제외","사용"))</f>
        <v/>
      </c>
      <c r="U425" s="18" t="inlineStr"/>
    </row>
    <row r="426" ht="30" customHeight="1">
      <c r="A426" s="18" t="n">
        <v>422</v>
      </c>
      <c r="B426" s="18" t="inlineStr">
        <is>
          <t>깝질무</t>
        </is>
      </c>
      <c r="C426" s="18" t="inlineStr">
        <is>
          <t>shellos</t>
        </is>
      </c>
      <c r="D426" s="18" t="inlineStr">
        <is>
          <t>Shellos</t>
        </is>
      </c>
      <c r="E426" s="18" t="n">
        <v>4</v>
      </c>
      <c r="F426" s="18" t="inlineStr">
        <is>
          <t>generation4</t>
        </is>
      </c>
      <c r="G426" s="18" t="inlineStr">
        <is>
          <t>water</t>
        </is>
      </c>
      <c r="H426" s="18" t="inlineStr"/>
      <c r="I426" s="18" t="inlineStr">
        <is>
          <t>예</t>
        </is>
      </c>
      <c r="J426" s="18" t="inlineStr">
        <is>
          <t>예</t>
        </is>
      </c>
      <c r="K426" s="18" t="inlineStr">
        <is>
          <t>예</t>
        </is>
      </c>
      <c r="L426" s="18" t="inlineStr">
        <is>
          <t>Cobblemon 동일</t>
        </is>
      </c>
      <c r="M426" s="18">
        <f>COUNTIF('스폰_편집'!$D$5:$D$3125,A426)</f>
        <v/>
      </c>
      <c r="N426" s="18">
        <f>COUNTIFS('스폰_편집'!$D$5:$D$3125,A426,'스폰_편집'!$B$5:$B$3125,"사용")</f>
        <v/>
      </c>
      <c r="O426" s="18" t="n">
        <v>5</v>
      </c>
      <c r="P426" s="18" t="inlineStr">
        <is>
          <t>#cobblemon:is_beach; #cobblemon:is_cold_ocean; #cobblemon:is_frozen_ocean; #cobblemon:is_lukewarm_ocean; #cobblemon:is_warm_ocean</t>
        </is>
      </c>
      <c r="Q426" s="18" t="inlineStr">
        <is>
          <t>common; uncommon</t>
        </is>
      </c>
      <c r="R426" s="18" t="inlineStr"/>
      <c r="S426" s="18" t="inlineStr">
        <is>
          <t>cobbleventure:generation_4</t>
        </is>
      </c>
      <c r="T426" s="18">
        <f>IF(M426=0,"없음",IF(N426=0,"전부 제외","사용"))</f>
        <v/>
      </c>
      <c r="U426" s="18" t="inlineStr"/>
    </row>
    <row r="427" ht="30" customHeight="1">
      <c r="A427" s="18" t="n">
        <v>423</v>
      </c>
      <c r="B427" s="18" t="inlineStr">
        <is>
          <t>트리토돈</t>
        </is>
      </c>
      <c r="C427" s="18" t="inlineStr">
        <is>
          <t>gastrodon</t>
        </is>
      </c>
      <c r="D427" s="18" t="inlineStr">
        <is>
          <t>Gastrodon</t>
        </is>
      </c>
      <c r="E427" s="18" t="n">
        <v>4</v>
      </c>
      <c r="F427" s="18" t="inlineStr">
        <is>
          <t>generation4</t>
        </is>
      </c>
      <c r="G427" s="18" t="inlineStr">
        <is>
          <t>water</t>
        </is>
      </c>
      <c r="H427" s="18" t="inlineStr">
        <is>
          <t>ground</t>
        </is>
      </c>
      <c r="I427" s="18" t="inlineStr">
        <is>
          <t>예</t>
        </is>
      </c>
      <c r="J427" s="18" t="inlineStr">
        <is>
          <t>예</t>
        </is>
      </c>
      <c r="K427" s="18" t="inlineStr">
        <is>
          <t>예</t>
        </is>
      </c>
      <c r="L427" s="18" t="inlineStr">
        <is>
          <t>Cobblemon 동일</t>
        </is>
      </c>
      <c r="M427" s="18">
        <f>COUNTIF('스폰_편집'!$D$5:$D$3125,A427)</f>
        <v/>
      </c>
      <c r="N427" s="18">
        <f>COUNTIFS('스폰_편집'!$D$5:$D$3125,A427,'스폰_편집'!$B$5:$B$3125,"사용")</f>
        <v/>
      </c>
      <c r="O427" s="18" t="n">
        <v>5</v>
      </c>
      <c r="P427" s="18" t="inlineStr">
        <is>
          <t>#cobblemon:is_beach; #cobblemon:is_cold_ocean; #cobblemon:is_frozen_ocean; #cobblemon:is_lukewarm_ocean; #cobblemon:is_warm_ocean</t>
        </is>
      </c>
      <c r="Q427" s="18" t="inlineStr">
        <is>
          <t>common; uncommon</t>
        </is>
      </c>
      <c r="R427" s="18" t="inlineStr"/>
      <c r="S427" s="18" t="inlineStr">
        <is>
          <t>cobbleventure:generation_4</t>
        </is>
      </c>
      <c r="T427" s="18">
        <f>IF(M427=0,"없음",IF(N427=0,"전부 제외","사용"))</f>
        <v/>
      </c>
      <c r="U427" s="18" t="inlineStr"/>
    </row>
    <row r="428" ht="30" customHeight="1">
      <c r="A428" s="18" t="n">
        <v>424</v>
      </c>
      <c r="B428" s="18" t="inlineStr">
        <is>
          <t>겟핸보숭</t>
        </is>
      </c>
      <c r="C428" s="18" t="inlineStr">
        <is>
          <t>ambipom</t>
        </is>
      </c>
      <c r="D428" s="18" t="inlineStr">
        <is>
          <t>Ambipom</t>
        </is>
      </c>
      <c r="E428" s="18" t="n">
        <v>4</v>
      </c>
      <c r="F428" s="18" t="inlineStr">
        <is>
          <t>generation4</t>
        </is>
      </c>
      <c r="G428" s="18" t="inlineStr">
        <is>
          <t>normal</t>
        </is>
      </c>
      <c r="H428" s="18" t="inlineStr"/>
      <c r="I428" s="18" t="inlineStr">
        <is>
          <t>예</t>
        </is>
      </c>
      <c r="J428" s="18" t="inlineStr">
        <is>
          <t>예</t>
        </is>
      </c>
      <c r="K428" s="18" t="inlineStr">
        <is>
          <t>예</t>
        </is>
      </c>
      <c r="L428" s="18" t="inlineStr">
        <is>
          <t>Cobblemon 동일</t>
        </is>
      </c>
      <c r="M428" s="18">
        <f>COUNTIF('스폰_편집'!$D$5:$D$3125,A428)</f>
        <v/>
      </c>
      <c r="N428" s="18">
        <f>COUNTIFS('스폰_편집'!$D$5:$D$3125,A428,'스폰_편집'!$B$5:$B$3125,"사용")</f>
        <v/>
      </c>
      <c r="O428" s="18" t="n">
        <v>3</v>
      </c>
      <c r="P428" s="18" t="inlineStr">
        <is>
          <t>#cobblemon:is_jungle; #cobblemon:is_overworld; #cobblemon:is_tropical_island</t>
        </is>
      </c>
      <c r="Q428" s="18" t="inlineStr">
        <is>
          <t>common</t>
        </is>
      </c>
      <c r="R428" s="18" t="inlineStr">
        <is>
          <t>region_01; region_02</t>
        </is>
      </c>
      <c r="S428" s="18" t="inlineStr">
        <is>
          <t>cobbleventure:generation_4</t>
        </is>
      </c>
      <c r="T428" s="18">
        <f>IF(M428=0,"없음",IF(N428=0,"전부 제외","사용"))</f>
        <v/>
      </c>
      <c r="U428" s="18" t="inlineStr"/>
    </row>
    <row r="429" ht="30" customHeight="1">
      <c r="A429" s="18" t="n">
        <v>425</v>
      </c>
      <c r="B429" s="18" t="inlineStr">
        <is>
          <t>흔들풍손</t>
        </is>
      </c>
      <c r="C429" s="18" t="inlineStr">
        <is>
          <t>drifloon</t>
        </is>
      </c>
      <c r="D429" s="18" t="inlineStr">
        <is>
          <t>Drifloon</t>
        </is>
      </c>
      <c r="E429" s="18" t="n">
        <v>4</v>
      </c>
      <c r="F429" s="18" t="inlineStr">
        <is>
          <t>generation4</t>
        </is>
      </c>
      <c r="G429" s="18" t="inlineStr">
        <is>
          <t>ghost</t>
        </is>
      </c>
      <c r="H429" s="18" t="inlineStr">
        <is>
          <t>flying</t>
        </is>
      </c>
      <c r="I429" s="18" t="inlineStr">
        <is>
          <t>예</t>
        </is>
      </c>
      <c r="J429" s="18" t="inlineStr">
        <is>
          <t>예</t>
        </is>
      </c>
      <c r="K429" s="18" t="inlineStr">
        <is>
          <t>예</t>
        </is>
      </c>
      <c r="L429" s="18" t="inlineStr">
        <is>
          <t>COBBLEVERSE 수정</t>
        </is>
      </c>
      <c r="M429" s="18">
        <f>COUNTIF('스폰_편집'!$D$5:$D$3125,A429)</f>
        <v/>
      </c>
      <c r="N429" s="18">
        <f>COUNTIFS('스폰_편집'!$D$5:$D$3125,A429,'스폰_편집'!$B$5:$B$3125,"사용")</f>
        <v/>
      </c>
      <c r="O429" s="18" t="n">
        <v>2</v>
      </c>
      <c r="P429" s="18" t="inlineStr">
        <is>
          <t>#cobblemon:is_overworld; #cobblemon:is_sky</t>
        </is>
      </c>
      <c r="Q429" s="18" t="inlineStr">
        <is>
          <t>common; uncommon</t>
        </is>
      </c>
      <c r="R429" s="18" t="inlineStr">
        <is>
          <t>region_01</t>
        </is>
      </c>
      <c r="S429" s="18" t="inlineStr">
        <is>
          <t>cobbleventure:generation_4</t>
        </is>
      </c>
      <c r="T429" s="18">
        <f>IF(M429=0,"없음",IF(N429=0,"전부 제외","사용"))</f>
        <v/>
      </c>
      <c r="U429" s="18" t="inlineStr"/>
    </row>
    <row r="430" ht="30" customHeight="1">
      <c r="A430" s="18" t="n">
        <v>426</v>
      </c>
      <c r="B430" s="18" t="inlineStr">
        <is>
          <t>둥실라이드</t>
        </is>
      </c>
      <c r="C430" s="18" t="inlineStr">
        <is>
          <t>drifblim</t>
        </is>
      </c>
      <c r="D430" s="18" t="inlineStr">
        <is>
          <t>Drifblim</t>
        </is>
      </c>
      <c r="E430" s="18" t="n">
        <v>4</v>
      </c>
      <c r="F430" s="18" t="inlineStr">
        <is>
          <t>generation4</t>
        </is>
      </c>
      <c r="G430" s="18" t="inlineStr">
        <is>
          <t>ghost</t>
        </is>
      </c>
      <c r="H430" s="18" t="inlineStr">
        <is>
          <t>flying</t>
        </is>
      </c>
      <c r="I430" s="18" t="inlineStr">
        <is>
          <t>예</t>
        </is>
      </c>
      <c r="J430" s="18" t="inlineStr">
        <is>
          <t>예</t>
        </is>
      </c>
      <c r="K430" s="18" t="inlineStr">
        <is>
          <t>예</t>
        </is>
      </c>
      <c r="L430" s="18" t="inlineStr">
        <is>
          <t>COBBLEVERSE 수정</t>
        </is>
      </c>
      <c r="M430" s="18">
        <f>COUNTIF('스폰_편집'!$D$5:$D$3125,A430)</f>
        <v/>
      </c>
      <c r="N430" s="18">
        <f>COUNTIFS('스폰_편집'!$D$5:$D$3125,A430,'스폰_편집'!$B$5:$B$3125,"사용")</f>
        <v/>
      </c>
      <c r="O430" s="18" t="n">
        <v>2</v>
      </c>
      <c r="P430" s="18" t="inlineStr">
        <is>
          <t>#cobblemon:is_overworld; #cobblemon:is_sky</t>
        </is>
      </c>
      <c r="Q430" s="18" t="inlineStr">
        <is>
          <t>common; uncommon</t>
        </is>
      </c>
      <c r="R430" s="18" t="inlineStr">
        <is>
          <t>region_01</t>
        </is>
      </c>
      <c r="S430" s="18" t="inlineStr">
        <is>
          <t>cobbleventure:generation_4</t>
        </is>
      </c>
      <c r="T430" s="18">
        <f>IF(M430=0,"없음",IF(N430=0,"전부 제외","사용"))</f>
        <v/>
      </c>
      <c r="U430" s="18" t="inlineStr"/>
    </row>
    <row r="431" ht="30" customHeight="1">
      <c r="A431" s="18" t="n">
        <v>427</v>
      </c>
      <c r="B431" s="18" t="inlineStr">
        <is>
          <t>이어롤</t>
        </is>
      </c>
      <c r="C431" s="18" t="inlineStr">
        <is>
          <t>buneary</t>
        </is>
      </c>
      <c r="D431" s="18" t="inlineStr">
        <is>
          <t>Buneary</t>
        </is>
      </c>
      <c r="E431" s="18" t="n">
        <v>4</v>
      </c>
      <c r="F431" s="18" t="inlineStr">
        <is>
          <t>generation4</t>
        </is>
      </c>
      <c r="G431" s="18" t="inlineStr">
        <is>
          <t>normal</t>
        </is>
      </c>
      <c r="H431" s="18" t="inlineStr"/>
      <c r="I431" s="18" t="inlineStr">
        <is>
          <t>예</t>
        </is>
      </c>
      <c r="J431" s="18" t="inlineStr">
        <is>
          <t>예</t>
        </is>
      </c>
      <c r="K431" s="18" t="inlineStr">
        <is>
          <t>예</t>
        </is>
      </c>
      <c r="L431" s="18" t="inlineStr">
        <is>
          <t>Cobblemon 동일</t>
        </is>
      </c>
      <c r="M431" s="18">
        <f>COUNTIF('스폰_편집'!$D$5:$D$3125,A431)</f>
        <v/>
      </c>
      <c r="N431" s="18">
        <f>COUNTIFS('스폰_편집'!$D$5:$D$3125,A431,'스폰_편집'!$B$5:$B$3125,"사용")</f>
        <v/>
      </c>
      <c r="O431" s="18" t="n">
        <v>5</v>
      </c>
      <c r="P431" s="18" t="inlineStr">
        <is>
          <t>#cobblemon:is_forest; #cobblemon:is_hills; #cobblemon:is_snowy_forest; #cobblemon:is_snowy_taiga; #cobblemon:is_taiga</t>
        </is>
      </c>
      <c r="Q431" s="18" t="inlineStr">
        <is>
          <t>common</t>
        </is>
      </c>
      <c r="R431" s="18" t="inlineStr">
        <is>
          <t>region_01</t>
        </is>
      </c>
      <c r="S431" s="18" t="inlineStr">
        <is>
          <t>cobbleventure:generation_4</t>
        </is>
      </c>
      <c r="T431" s="18">
        <f>IF(M431=0,"없음",IF(N431=0,"전부 제외","사용"))</f>
        <v/>
      </c>
      <c r="U431" s="18" t="inlineStr"/>
    </row>
    <row r="432" ht="30" customHeight="1">
      <c r="A432" s="18" t="n">
        <v>428</v>
      </c>
      <c r="B432" s="18" t="inlineStr">
        <is>
          <t>이어롭</t>
        </is>
      </c>
      <c r="C432" s="18" t="inlineStr">
        <is>
          <t>lopunny</t>
        </is>
      </c>
      <c r="D432" s="18" t="inlineStr">
        <is>
          <t>Lopunny</t>
        </is>
      </c>
      <c r="E432" s="18" t="n">
        <v>4</v>
      </c>
      <c r="F432" s="18" t="inlineStr">
        <is>
          <t>generation4</t>
        </is>
      </c>
      <c r="G432" s="18" t="inlineStr">
        <is>
          <t>normal</t>
        </is>
      </c>
      <c r="H432" s="18" t="inlineStr"/>
      <c r="I432" s="18" t="inlineStr">
        <is>
          <t>예</t>
        </is>
      </c>
      <c r="J432" s="18" t="inlineStr">
        <is>
          <t>예</t>
        </is>
      </c>
      <c r="K432" s="18" t="inlineStr">
        <is>
          <t>예</t>
        </is>
      </c>
      <c r="L432" s="18" t="inlineStr">
        <is>
          <t>Cobblemon 동일</t>
        </is>
      </c>
      <c r="M432" s="18">
        <f>COUNTIF('스폰_편집'!$D$5:$D$3125,A432)</f>
        <v/>
      </c>
      <c r="N432" s="18">
        <f>COUNTIFS('스폰_편집'!$D$5:$D$3125,A432,'스폰_편집'!$B$5:$B$3125,"사용")</f>
        <v/>
      </c>
      <c r="O432" s="18" t="n">
        <v>5</v>
      </c>
      <c r="P432" s="18" t="inlineStr">
        <is>
          <t>#cobblemon:is_forest; #cobblemon:is_hills; #cobblemon:is_snowy_forest; #cobblemon:is_snowy_taiga; #cobblemon:is_taiga</t>
        </is>
      </c>
      <c r="Q432" s="18" t="inlineStr">
        <is>
          <t>common</t>
        </is>
      </c>
      <c r="R432" s="18" t="inlineStr">
        <is>
          <t>region_01</t>
        </is>
      </c>
      <c r="S432" s="18" t="inlineStr">
        <is>
          <t>cobbleventure:generation_4</t>
        </is>
      </c>
      <c r="T432" s="18">
        <f>IF(M432=0,"없음",IF(N432=0,"전부 제외","사용"))</f>
        <v/>
      </c>
      <c r="U432" s="18" t="inlineStr"/>
    </row>
    <row r="433" ht="30" customHeight="1">
      <c r="A433" s="18" t="n">
        <v>429</v>
      </c>
      <c r="B433" s="18" t="inlineStr">
        <is>
          <t>무우마직</t>
        </is>
      </c>
      <c r="C433" s="18" t="inlineStr">
        <is>
          <t>mismagius</t>
        </is>
      </c>
      <c r="D433" s="18" t="inlineStr">
        <is>
          <t>Mismagius</t>
        </is>
      </c>
      <c r="E433" s="18" t="n">
        <v>4</v>
      </c>
      <c r="F433" s="18" t="inlineStr">
        <is>
          <t>generation4</t>
        </is>
      </c>
      <c r="G433" s="18" t="inlineStr">
        <is>
          <t>ghost</t>
        </is>
      </c>
      <c r="H433" s="18" t="inlineStr"/>
      <c r="I433" s="18" t="inlineStr">
        <is>
          <t>예</t>
        </is>
      </c>
      <c r="J433" s="18" t="inlineStr">
        <is>
          <t>예</t>
        </is>
      </c>
      <c r="K433" s="18" t="inlineStr">
        <is>
          <t>예</t>
        </is>
      </c>
      <c r="L433" s="18" t="inlineStr">
        <is>
          <t>Cobblemon 동일</t>
        </is>
      </c>
      <c r="M433" s="18">
        <f>COUNTIF('스폰_편집'!$D$5:$D$3125,A433)</f>
        <v/>
      </c>
      <c r="N433" s="18">
        <f>COUNTIFS('스폰_편집'!$D$5:$D$3125,A433,'스폰_편집'!$B$5:$B$3125,"사용")</f>
        <v/>
      </c>
      <c r="O433" s="18" t="n">
        <v>4</v>
      </c>
      <c r="P433" s="18" t="inlineStr">
        <is>
          <t>#cobblemon:is_overworld; #cobblemon:is_spooky; #cobblemon:is_swamp; #cobblemon:nether/is_warped</t>
        </is>
      </c>
      <c r="Q433" s="18" t="inlineStr">
        <is>
          <t>common</t>
        </is>
      </c>
      <c r="R433" s="18" t="inlineStr">
        <is>
          <t>region_01; region_02</t>
        </is>
      </c>
      <c r="S433" s="18" t="inlineStr">
        <is>
          <t>cobbleventure:generation_4</t>
        </is>
      </c>
      <c r="T433" s="18">
        <f>IF(M433=0,"없음",IF(N433=0,"전부 제외","사용"))</f>
        <v/>
      </c>
      <c r="U433" s="18" t="inlineStr"/>
    </row>
    <row r="434" ht="30" customHeight="1">
      <c r="A434" s="18" t="n">
        <v>430</v>
      </c>
      <c r="B434" s="18" t="inlineStr">
        <is>
          <t>돈크로우</t>
        </is>
      </c>
      <c r="C434" s="18" t="inlineStr">
        <is>
          <t>honchkrow</t>
        </is>
      </c>
      <c r="D434" s="18" t="inlineStr">
        <is>
          <t>Honchkrow</t>
        </is>
      </c>
      <c r="E434" s="18" t="n">
        <v>4</v>
      </c>
      <c r="F434" s="18" t="inlineStr">
        <is>
          <t>generation4</t>
        </is>
      </c>
      <c r="G434" s="18" t="inlineStr">
        <is>
          <t>dark</t>
        </is>
      </c>
      <c r="H434" s="18" t="inlineStr">
        <is>
          <t>flying</t>
        </is>
      </c>
      <c r="I434" s="18" t="inlineStr">
        <is>
          <t>예</t>
        </is>
      </c>
      <c r="J434" s="18" t="inlineStr">
        <is>
          <t>예</t>
        </is>
      </c>
      <c r="K434" s="18" t="inlineStr">
        <is>
          <t>예</t>
        </is>
      </c>
      <c r="L434" s="18" t="inlineStr">
        <is>
          <t>Cobblemon 동일</t>
        </is>
      </c>
      <c r="M434" s="18">
        <f>COUNTIF('스폰_편집'!$D$5:$D$3125,A434)</f>
        <v/>
      </c>
      <c r="N434" s="18">
        <f>COUNTIFS('스폰_편집'!$D$5:$D$3125,A434,'스폰_편집'!$B$5:$B$3125,"사용")</f>
        <v/>
      </c>
      <c r="O434" s="18" t="n">
        <v>4</v>
      </c>
      <c r="P434" s="18" t="inlineStr">
        <is>
          <t>#cobblemon:is_sky; #cobblemon:is_spooky; #cobblemon:is_swamp; #cobblemon:is_taiga</t>
        </is>
      </c>
      <c r="Q434" s="18" t="inlineStr">
        <is>
          <t>common</t>
        </is>
      </c>
      <c r="R434" s="18" t="inlineStr">
        <is>
          <t>region_02</t>
        </is>
      </c>
      <c r="S434" s="18" t="inlineStr">
        <is>
          <t>cobbleventure:generation_4</t>
        </is>
      </c>
      <c r="T434" s="18">
        <f>IF(M434=0,"없음",IF(N434=0,"전부 제외","사용"))</f>
        <v/>
      </c>
      <c r="U434" s="18" t="inlineStr"/>
    </row>
    <row r="435" ht="30" customHeight="1">
      <c r="A435" s="18" t="n">
        <v>431</v>
      </c>
      <c r="B435" s="18" t="inlineStr">
        <is>
          <t>나옹마</t>
        </is>
      </c>
      <c r="C435" s="18" t="inlineStr">
        <is>
          <t>glameow</t>
        </is>
      </c>
      <c r="D435" s="18" t="inlineStr">
        <is>
          <t>Glameow</t>
        </is>
      </c>
      <c r="E435" s="18" t="n">
        <v>4</v>
      </c>
      <c r="F435" s="18" t="inlineStr">
        <is>
          <t>generation4</t>
        </is>
      </c>
      <c r="G435" s="18" t="inlineStr">
        <is>
          <t>normal</t>
        </is>
      </c>
      <c r="H435" s="18" t="inlineStr"/>
      <c r="I435" s="18" t="inlineStr">
        <is>
          <t>예</t>
        </is>
      </c>
      <c r="J435" s="18" t="inlineStr">
        <is>
          <t>예</t>
        </is>
      </c>
      <c r="K435" s="18" t="inlineStr">
        <is>
          <t>예</t>
        </is>
      </c>
      <c r="L435" s="18" t="inlineStr">
        <is>
          <t>COBBLEVERSE 수정</t>
        </is>
      </c>
      <c r="M435" s="18">
        <f>COUNTIF('스폰_편집'!$D$5:$D$3125,A435)</f>
        <v/>
      </c>
      <c r="N435" s="18">
        <f>COUNTIFS('스폰_편집'!$D$5:$D$3125,A435,'스폰_편집'!$B$5:$B$3125,"사용")</f>
        <v/>
      </c>
      <c r="O435" s="18" t="n">
        <v>4</v>
      </c>
      <c r="P435" s="18" t="inlineStr">
        <is>
          <t>#cobblemon:is_arid; #cobblemon:is_freezing; #cobblemon:is_overworld; #cobblemon:is_plains</t>
        </is>
      </c>
      <c r="Q435" s="18" t="inlineStr">
        <is>
          <t>common</t>
        </is>
      </c>
      <c r="R435" s="18" t="inlineStr">
        <is>
          <t>region_01; region_02</t>
        </is>
      </c>
      <c r="S435" s="18" t="inlineStr">
        <is>
          <t>cobbleventure:generation_4</t>
        </is>
      </c>
      <c r="T435" s="18">
        <f>IF(M435=0,"없음",IF(N435=0,"전부 제외","사용"))</f>
        <v/>
      </c>
      <c r="U435" s="18" t="inlineStr"/>
    </row>
    <row r="436" ht="30" customHeight="1">
      <c r="A436" s="18" t="n">
        <v>432</v>
      </c>
      <c r="B436" s="18" t="inlineStr">
        <is>
          <t>몬냥이</t>
        </is>
      </c>
      <c r="C436" s="18" t="inlineStr">
        <is>
          <t>purugly</t>
        </is>
      </c>
      <c r="D436" s="18" t="inlineStr">
        <is>
          <t>Purugly</t>
        </is>
      </c>
      <c r="E436" s="18" t="n">
        <v>4</v>
      </c>
      <c r="F436" s="18" t="inlineStr">
        <is>
          <t>generation4</t>
        </is>
      </c>
      <c r="G436" s="18" t="inlineStr">
        <is>
          <t>normal</t>
        </is>
      </c>
      <c r="H436" s="18" t="inlineStr"/>
      <c r="I436" s="18" t="inlineStr">
        <is>
          <t>예</t>
        </is>
      </c>
      <c r="J436" s="18" t="inlineStr">
        <is>
          <t>예</t>
        </is>
      </c>
      <c r="K436" s="18" t="inlineStr">
        <is>
          <t>예</t>
        </is>
      </c>
      <c r="L436" s="18" t="inlineStr">
        <is>
          <t>COBBLEVERSE 수정</t>
        </is>
      </c>
      <c r="M436" s="18">
        <f>COUNTIF('스폰_편집'!$D$5:$D$3125,A436)</f>
        <v/>
      </c>
      <c r="N436" s="18">
        <f>COUNTIFS('스폰_편집'!$D$5:$D$3125,A436,'스폰_편집'!$B$5:$B$3125,"사용")</f>
        <v/>
      </c>
      <c r="O436" s="18" t="n">
        <v>3</v>
      </c>
      <c r="P436" s="18" t="inlineStr">
        <is>
          <t>#cobblemon:is_arid; #cobblemon:is_freezing; #cobblemon:is_overworld</t>
        </is>
      </c>
      <c r="Q436" s="18" t="inlineStr">
        <is>
          <t>common</t>
        </is>
      </c>
      <c r="R436" s="18" t="inlineStr">
        <is>
          <t>region_01; region_02</t>
        </is>
      </c>
      <c r="S436" s="18" t="inlineStr">
        <is>
          <t>cobbleventure:generation_4</t>
        </is>
      </c>
      <c r="T436" s="18">
        <f>IF(M436=0,"없음",IF(N436=0,"전부 제외","사용"))</f>
        <v/>
      </c>
      <c r="U436" s="18" t="inlineStr"/>
    </row>
    <row r="437" ht="30" customHeight="1">
      <c r="A437" s="18" t="n">
        <v>433</v>
      </c>
      <c r="B437" s="18" t="inlineStr">
        <is>
          <t>랑딸랑</t>
        </is>
      </c>
      <c r="C437" s="18" t="inlineStr">
        <is>
          <t>chingling</t>
        </is>
      </c>
      <c r="D437" s="18" t="inlineStr">
        <is>
          <t>Chingling</t>
        </is>
      </c>
      <c r="E437" s="18" t="n">
        <v>4</v>
      </c>
      <c r="F437" s="18" t="inlineStr">
        <is>
          <t>generation4</t>
        </is>
      </c>
      <c r="G437" s="18" t="inlineStr">
        <is>
          <t>psychic</t>
        </is>
      </c>
      <c r="H437" s="18" t="inlineStr"/>
      <c r="I437" s="18" t="inlineStr">
        <is>
          <t>예</t>
        </is>
      </c>
      <c r="J437" s="18" t="inlineStr">
        <is>
          <t>예</t>
        </is>
      </c>
      <c r="K437" s="18" t="inlineStr">
        <is>
          <t>예</t>
        </is>
      </c>
      <c r="L437" s="18" t="inlineStr">
        <is>
          <t>Cobblemon 동일</t>
        </is>
      </c>
      <c r="M437" s="18">
        <f>COUNTIF('스폰_편집'!$D$5:$D$3125,A437)</f>
        <v/>
      </c>
      <c r="N437" s="18">
        <f>COUNTIFS('스폰_편집'!$D$5:$D$3125,A437,'스폰_편집'!$B$5:$B$3125,"사용")</f>
        <v/>
      </c>
      <c r="O437" s="18" t="n">
        <v>6</v>
      </c>
      <c r="P437" s="18" t="inlineStr">
        <is>
          <t>#cobblemon:is_forest; #cobblemon:is_magical; #cobblemon:is_mountain; #cobblemon:is_overworld; #cobblemon:is_spooky; #cobblemon:is_taiga</t>
        </is>
      </c>
      <c r="Q437" s="18" t="inlineStr">
        <is>
          <t>uncommon</t>
        </is>
      </c>
      <c r="R437" s="18" t="inlineStr">
        <is>
          <t>region_01; region_02</t>
        </is>
      </c>
      <c r="S437" s="18" t="inlineStr">
        <is>
          <t>cobbleventure:generation_4</t>
        </is>
      </c>
      <c r="T437" s="18">
        <f>IF(M437=0,"없음",IF(N437=0,"전부 제외","사용"))</f>
        <v/>
      </c>
      <c r="U437" s="18" t="inlineStr"/>
    </row>
    <row r="438" ht="30" customHeight="1">
      <c r="A438" s="18" t="n">
        <v>434</v>
      </c>
      <c r="B438" s="18" t="inlineStr">
        <is>
          <t>스컹뿡</t>
        </is>
      </c>
      <c r="C438" s="18" t="inlineStr">
        <is>
          <t>stunky</t>
        </is>
      </c>
      <c r="D438" s="18" t="inlineStr">
        <is>
          <t>Stunky</t>
        </is>
      </c>
      <c r="E438" s="18" t="n">
        <v>4</v>
      </c>
      <c r="F438" s="18" t="inlineStr">
        <is>
          <t>generation4</t>
        </is>
      </c>
      <c r="G438" s="18" t="inlineStr">
        <is>
          <t>poison</t>
        </is>
      </c>
      <c r="H438" s="18" t="inlineStr">
        <is>
          <t>dark</t>
        </is>
      </c>
      <c r="I438" s="18" t="inlineStr">
        <is>
          <t>아니오</t>
        </is>
      </c>
      <c r="J438" s="18" t="inlineStr">
        <is>
          <t>아니오</t>
        </is>
      </c>
      <c r="K438" s="18" t="inlineStr">
        <is>
          <t>예</t>
        </is>
      </c>
      <c r="L438" s="18" t="inlineStr">
        <is>
          <t>COBBLEVERSE 추가</t>
        </is>
      </c>
      <c r="M438" s="18">
        <f>COUNTIF('스폰_편집'!$D$5:$D$3125,A438)</f>
        <v/>
      </c>
      <c r="N438" s="18">
        <f>COUNTIFS('스폰_편집'!$D$5:$D$3125,A438,'스폰_편집'!$B$5:$B$3125,"사용")</f>
        <v/>
      </c>
      <c r="O438" s="18" t="n">
        <v>1</v>
      </c>
      <c r="P438" s="18" t="inlineStr">
        <is>
          <t>#cobblemon:is_swamp</t>
        </is>
      </c>
      <c r="Q438" s="18" t="inlineStr">
        <is>
          <t>common</t>
        </is>
      </c>
      <c r="R438" s="18" t="inlineStr">
        <is>
          <t>region_02</t>
        </is>
      </c>
      <c r="S438" s="18" t="inlineStr">
        <is>
          <t>cobbleventure:generation_4</t>
        </is>
      </c>
      <c r="T438" s="18">
        <f>IF(M438=0,"없음",IF(N438=0,"전부 제외","사용"))</f>
        <v/>
      </c>
      <c r="U438" s="18" t="inlineStr"/>
    </row>
    <row r="439" ht="30" customHeight="1">
      <c r="A439" s="18" t="n">
        <v>435</v>
      </c>
      <c r="B439" s="18" t="inlineStr">
        <is>
          <t>스컹탱크</t>
        </is>
      </c>
      <c r="C439" s="18" t="inlineStr">
        <is>
          <t>skuntank</t>
        </is>
      </c>
      <c r="D439" s="18" t="inlineStr">
        <is>
          <t>Skuntank</t>
        </is>
      </c>
      <c r="E439" s="18" t="n">
        <v>4</v>
      </c>
      <c r="F439" s="18" t="inlineStr">
        <is>
          <t>generation4</t>
        </is>
      </c>
      <c r="G439" s="18" t="inlineStr">
        <is>
          <t>poison</t>
        </is>
      </c>
      <c r="H439" s="18" t="inlineStr">
        <is>
          <t>dark</t>
        </is>
      </c>
      <c r="I439" s="18" t="inlineStr">
        <is>
          <t>아니오</t>
        </is>
      </c>
      <c r="J439" s="18" t="inlineStr">
        <is>
          <t>아니오</t>
        </is>
      </c>
      <c r="K439" s="18" t="inlineStr">
        <is>
          <t>예</t>
        </is>
      </c>
      <c r="L439" s="18" t="inlineStr">
        <is>
          <t>COBBLEVERSE 추가</t>
        </is>
      </c>
      <c r="M439" s="18">
        <f>COUNTIF('스폰_편집'!$D$5:$D$3125,A439)</f>
        <v/>
      </c>
      <c r="N439" s="18">
        <f>COUNTIFS('스폰_편집'!$D$5:$D$3125,A439,'스폰_편집'!$B$5:$B$3125,"사용")</f>
        <v/>
      </c>
      <c r="O439" s="18" t="n">
        <v>1</v>
      </c>
      <c r="P439" s="18" t="inlineStr">
        <is>
          <t>#cobblemon:is_swamp</t>
        </is>
      </c>
      <c r="Q439" s="18" t="inlineStr">
        <is>
          <t>uncommon</t>
        </is>
      </c>
      <c r="R439" s="18" t="inlineStr">
        <is>
          <t>region_02</t>
        </is>
      </c>
      <c r="S439" s="18" t="inlineStr">
        <is>
          <t>cobbleventure:generation_4</t>
        </is>
      </c>
      <c r="T439" s="18">
        <f>IF(M439=0,"없음",IF(N439=0,"전부 제외","사용"))</f>
        <v/>
      </c>
      <c r="U439" s="18" t="inlineStr"/>
    </row>
    <row r="440" ht="30" customHeight="1">
      <c r="A440" s="18" t="n">
        <v>436</v>
      </c>
      <c r="B440" s="18" t="inlineStr">
        <is>
          <t>동미러</t>
        </is>
      </c>
      <c r="C440" s="18" t="inlineStr">
        <is>
          <t>bronzor</t>
        </is>
      </c>
      <c r="D440" s="18" t="inlineStr">
        <is>
          <t>Bronzor</t>
        </is>
      </c>
      <c r="E440" s="18" t="n">
        <v>4</v>
      </c>
      <c r="F440" s="18" t="inlineStr">
        <is>
          <t>generation4</t>
        </is>
      </c>
      <c r="G440" s="18" t="inlineStr">
        <is>
          <t>steel</t>
        </is>
      </c>
      <c r="H440" s="18" t="inlineStr">
        <is>
          <t>psychic</t>
        </is>
      </c>
      <c r="I440" s="18" t="inlineStr">
        <is>
          <t>예</t>
        </is>
      </c>
      <c r="J440" s="18" t="inlineStr">
        <is>
          <t>예</t>
        </is>
      </c>
      <c r="K440" s="18" t="inlineStr">
        <is>
          <t>예</t>
        </is>
      </c>
      <c r="L440" s="18" t="inlineStr">
        <is>
          <t>Cobblemon 동일</t>
        </is>
      </c>
      <c r="M440" s="18">
        <f>COUNTIF('스폰_편집'!$D$5:$D$3125,A440)</f>
        <v/>
      </c>
      <c r="N440" s="18">
        <f>COUNTIFS('스폰_편집'!$D$5:$D$3125,A440,'스폰_편집'!$B$5:$B$3125,"사용")</f>
        <v/>
      </c>
      <c r="O440" s="18" t="n">
        <v>4</v>
      </c>
      <c r="P440" s="18" t="inlineStr">
        <is>
          <t>#cobblemon:is_jungle; #cobblemon:is_overworld; #cobblemon:is_peak; the_bumblezone:howling_constructs</t>
        </is>
      </c>
      <c r="Q440" s="18" t="inlineStr">
        <is>
          <t>common; uncommon</t>
        </is>
      </c>
      <c r="R440" s="18" t="inlineStr">
        <is>
          <t>region_01; region_02</t>
        </is>
      </c>
      <c r="S440" s="18" t="inlineStr">
        <is>
          <t>cobbleventure:generation_4</t>
        </is>
      </c>
      <c r="T440" s="18">
        <f>IF(M440=0,"없음",IF(N440=0,"전부 제외","사용"))</f>
        <v/>
      </c>
      <c r="U440" s="18" t="inlineStr"/>
    </row>
    <row r="441" ht="30" customHeight="1">
      <c r="A441" s="18" t="n">
        <v>437</v>
      </c>
      <c r="B441" s="18" t="inlineStr">
        <is>
          <t>동탁군</t>
        </is>
      </c>
      <c r="C441" s="18" t="inlineStr">
        <is>
          <t>bronzong</t>
        </is>
      </c>
      <c r="D441" s="18" t="inlineStr">
        <is>
          <t>Bronzong</t>
        </is>
      </c>
      <c r="E441" s="18" t="n">
        <v>4</v>
      </c>
      <c r="F441" s="18" t="inlineStr">
        <is>
          <t>generation4</t>
        </is>
      </c>
      <c r="G441" s="18" t="inlineStr">
        <is>
          <t>steel</t>
        </is>
      </c>
      <c r="H441" s="18" t="inlineStr">
        <is>
          <t>psychic</t>
        </is>
      </c>
      <c r="I441" s="18" t="inlineStr">
        <is>
          <t>예</t>
        </is>
      </c>
      <c r="J441" s="18" t="inlineStr">
        <is>
          <t>예</t>
        </is>
      </c>
      <c r="K441" s="18" t="inlineStr">
        <is>
          <t>예</t>
        </is>
      </c>
      <c r="L441" s="18" t="inlineStr">
        <is>
          <t>Cobblemon 동일</t>
        </is>
      </c>
      <c r="M441" s="18">
        <f>COUNTIF('스폰_편집'!$D$5:$D$3125,A441)</f>
        <v/>
      </c>
      <c r="N441" s="18">
        <f>COUNTIFS('스폰_편집'!$D$5:$D$3125,A441,'스폰_편집'!$B$5:$B$3125,"사용")</f>
        <v/>
      </c>
      <c r="O441" s="18" t="n">
        <v>4</v>
      </c>
      <c r="P441" s="18" t="inlineStr">
        <is>
          <t>#cobblemon:is_jungle; #cobblemon:is_overworld; #cobblemon:is_peak; the_bumblezone:howling_constructs</t>
        </is>
      </c>
      <c r="Q441" s="18" t="inlineStr">
        <is>
          <t>common; uncommon</t>
        </is>
      </c>
      <c r="R441" s="18" t="inlineStr">
        <is>
          <t>region_01; region_02</t>
        </is>
      </c>
      <c r="S441" s="18" t="inlineStr">
        <is>
          <t>cobbleventure:generation_4</t>
        </is>
      </c>
      <c r="T441" s="18">
        <f>IF(M441=0,"없음",IF(N441=0,"전부 제외","사용"))</f>
        <v/>
      </c>
      <c r="U441" s="18" t="inlineStr"/>
    </row>
    <row r="442" ht="30" customHeight="1">
      <c r="A442" s="18" t="n">
        <v>438</v>
      </c>
      <c r="B442" s="18" t="inlineStr">
        <is>
          <t>꼬지지</t>
        </is>
      </c>
      <c r="C442" s="18" t="inlineStr">
        <is>
          <t>bonsly</t>
        </is>
      </c>
      <c r="D442" s="18" t="inlineStr">
        <is>
          <t>Bonsly</t>
        </is>
      </c>
      <c r="E442" s="18" t="n">
        <v>4</v>
      </c>
      <c r="F442" s="18" t="inlineStr">
        <is>
          <t>generation4</t>
        </is>
      </c>
      <c r="G442" s="18" t="inlineStr">
        <is>
          <t>rock</t>
        </is>
      </c>
      <c r="H442" s="18" t="inlineStr"/>
      <c r="I442" s="18" t="inlineStr">
        <is>
          <t>예</t>
        </is>
      </c>
      <c r="J442" s="18" t="inlineStr">
        <is>
          <t>예</t>
        </is>
      </c>
      <c r="K442" s="18" t="inlineStr">
        <is>
          <t>예</t>
        </is>
      </c>
      <c r="L442" s="18" t="inlineStr">
        <is>
          <t>Cobblemon 동일</t>
        </is>
      </c>
      <c r="M442" s="18">
        <f>COUNTIF('스폰_편집'!$D$5:$D$3125,A442)</f>
        <v/>
      </c>
      <c r="N442" s="18">
        <f>COUNTIFS('스폰_편집'!$D$5:$D$3125,A442,'스폰_편집'!$B$5:$B$3125,"사용")</f>
        <v/>
      </c>
      <c r="O442" s="18" t="n">
        <v>1</v>
      </c>
      <c r="P442" s="18" t="inlineStr">
        <is>
          <t>#cobblemon:is_forest</t>
        </is>
      </c>
      <c r="Q442" s="18" t="inlineStr">
        <is>
          <t>uncommon</t>
        </is>
      </c>
      <c r="R442" s="18" t="inlineStr">
        <is>
          <t>region_01</t>
        </is>
      </c>
      <c r="S442" s="18" t="inlineStr">
        <is>
          <t>cobbleventure:generation_4</t>
        </is>
      </c>
      <c r="T442" s="18">
        <f>IF(M442=0,"없음",IF(N442=0,"전부 제외","사용"))</f>
        <v/>
      </c>
      <c r="U442" s="18" t="inlineStr"/>
    </row>
    <row r="443" ht="30" customHeight="1">
      <c r="A443" s="18" t="n">
        <v>439</v>
      </c>
      <c r="B443" s="18" t="inlineStr">
        <is>
          <t>흉내내</t>
        </is>
      </c>
      <c r="C443" s="18" t="inlineStr">
        <is>
          <t>mimejr</t>
        </is>
      </c>
      <c r="D443" s="18" t="inlineStr">
        <is>
          <t>Mime Jr.</t>
        </is>
      </c>
      <c r="E443" s="18" t="n">
        <v>4</v>
      </c>
      <c r="F443" s="18" t="inlineStr">
        <is>
          <t>generation4</t>
        </is>
      </c>
      <c r="G443" s="18" t="inlineStr">
        <is>
          <t>psychic</t>
        </is>
      </c>
      <c r="H443" s="18" t="inlineStr">
        <is>
          <t>fairy</t>
        </is>
      </c>
      <c r="I443" s="18" t="inlineStr">
        <is>
          <t>예</t>
        </is>
      </c>
      <c r="J443" s="18" t="inlineStr">
        <is>
          <t>예</t>
        </is>
      </c>
      <c r="K443" s="18" t="inlineStr">
        <is>
          <t>예</t>
        </is>
      </c>
      <c r="L443" s="18" t="inlineStr">
        <is>
          <t>COBBLEVERSE 수정</t>
        </is>
      </c>
      <c r="M443" s="18">
        <f>COUNTIF('스폰_편집'!$D$5:$D$3125,A443)</f>
        <v/>
      </c>
      <c r="N443" s="18">
        <f>COUNTIFS('스폰_편집'!$D$5:$D$3125,A443,'스폰_편집'!$B$5:$B$3125,"사용")</f>
        <v/>
      </c>
      <c r="O443" s="18" t="n">
        <v>2</v>
      </c>
      <c r="P443" s="18" t="inlineStr">
        <is>
          <t>#cobblemon:is_freezing; #cobblemon:is_overworld</t>
        </is>
      </c>
      <c r="Q443" s="18" t="inlineStr">
        <is>
          <t>common; uncommon</t>
        </is>
      </c>
      <c r="R443" s="18" t="inlineStr">
        <is>
          <t>region_01; region_02</t>
        </is>
      </c>
      <c r="S443" s="18" t="inlineStr">
        <is>
          <t>cobbleventure:generation_4</t>
        </is>
      </c>
      <c r="T443" s="18">
        <f>IF(M443=0,"없음",IF(N443=0,"전부 제외","사용"))</f>
        <v/>
      </c>
      <c r="U443" s="18" t="inlineStr"/>
    </row>
    <row r="444" ht="30" customHeight="1">
      <c r="A444" s="18" t="n">
        <v>440</v>
      </c>
      <c r="B444" s="18" t="inlineStr">
        <is>
          <t>핑복</t>
        </is>
      </c>
      <c r="C444" s="18" t="inlineStr">
        <is>
          <t>happiny</t>
        </is>
      </c>
      <c r="D444" s="18" t="inlineStr">
        <is>
          <t>Happiny</t>
        </is>
      </c>
      <c r="E444" s="18" t="n">
        <v>4</v>
      </c>
      <c r="F444" s="18" t="inlineStr">
        <is>
          <t>generation4</t>
        </is>
      </c>
      <c r="G444" s="18" t="inlineStr">
        <is>
          <t>normal</t>
        </is>
      </c>
      <c r="H444" s="18" t="inlineStr"/>
      <c r="I444" s="18" t="inlineStr">
        <is>
          <t>예</t>
        </is>
      </c>
      <c r="J444" s="18" t="inlineStr">
        <is>
          <t>예</t>
        </is>
      </c>
      <c r="K444" s="18" t="inlineStr">
        <is>
          <t>예</t>
        </is>
      </c>
      <c r="L444" s="18" t="inlineStr">
        <is>
          <t>COBBLEVERSE 수정</t>
        </is>
      </c>
      <c r="M444" s="18">
        <f>COUNTIF('스폰_편집'!$D$5:$D$3125,A444)</f>
        <v/>
      </c>
      <c r="N444" s="18">
        <f>COUNTIFS('스폰_편집'!$D$5:$D$3125,A444,'스폰_편집'!$B$5:$B$3125,"사용")</f>
        <v/>
      </c>
      <c r="O444" s="18" t="n">
        <v>2</v>
      </c>
      <c r="P444" s="18" t="inlineStr">
        <is>
          <t>#aether:is_aether; #cobblemon:is_overworld</t>
        </is>
      </c>
      <c r="Q444" s="18" t="inlineStr">
        <is>
          <t>rare</t>
        </is>
      </c>
      <c r="R444" s="18" t="inlineStr">
        <is>
          <t>region_01; region_02</t>
        </is>
      </c>
      <c r="S444" s="18" t="inlineStr">
        <is>
          <t>cobbleventure:generation_4</t>
        </is>
      </c>
      <c r="T444" s="18">
        <f>IF(M444=0,"없음",IF(N444=0,"전부 제외","사용"))</f>
        <v/>
      </c>
      <c r="U444" s="18" t="inlineStr"/>
    </row>
    <row r="445" ht="30" customHeight="1">
      <c r="A445" s="18" t="n">
        <v>441</v>
      </c>
      <c r="B445" s="18" t="inlineStr">
        <is>
          <t>페라페</t>
        </is>
      </c>
      <c r="C445" s="18" t="inlineStr">
        <is>
          <t>chatot</t>
        </is>
      </c>
      <c r="D445" s="18" t="inlineStr">
        <is>
          <t>Chatot</t>
        </is>
      </c>
      <c r="E445" s="18" t="n">
        <v>4</v>
      </c>
      <c r="F445" s="18" t="inlineStr">
        <is>
          <t>generation4</t>
        </is>
      </c>
      <c r="G445" s="18" t="inlineStr">
        <is>
          <t>normal</t>
        </is>
      </c>
      <c r="H445" s="18" t="inlineStr">
        <is>
          <t>flying</t>
        </is>
      </c>
      <c r="I445" s="18" t="inlineStr">
        <is>
          <t>예</t>
        </is>
      </c>
      <c r="J445" s="18" t="inlineStr">
        <is>
          <t>예</t>
        </is>
      </c>
      <c r="K445" s="18" t="inlineStr">
        <is>
          <t>예</t>
        </is>
      </c>
      <c r="L445" s="18" t="inlineStr">
        <is>
          <t>Cobblemon 동일</t>
        </is>
      </c>
      <c r="M445" s="18">
        <f>COUNTIF('스폰_편집'!$D$5:$D$3125,A445)</f>
        <v/>
      </c>
      <c r="N445" s="18">
        <f>COUNTIFS('스폰_편집'!$D$5:$D$3125,A445,'스폰_편집'!$B$5:$B$3125,"사용")</f>
        <v/>
      </c>
      <c r="O445" s="18" t="n">
        <v>6</v>
      </c>
      <c r="P445" s="18" t="inlineStr">
        <is>
          <t>#cobblemon:is_jungle; #cobblemon:is_overworld; #cobblemon:is_sky; #cobblemon:is_tropical_island; aether:skyroot_forest; aether:skyroot_woodland</t>
        </is>
      </c>
      <c r="Q445" s="18" t="inlineStr">
        <is>
          <t>common; uncommon</t>
        </is>
      </c>
      <c r="R445" s="18" t="inlineStr">
        <is>
          <t>region_01; region_02</t>
        </is>
      </c>
      <c r="S445" s="18" t="inlineStr">
        <is>
          <t>cobbleventure:generation_4</t>
        </is>
      </c>
      <c r="T445" s="18">
        <f>IF(M445=0,"없음",IF(N445=0,"전부 제외","사용"))</f>
        <v/>
      </c>
      <c r="U445" s="18" t="inlineStr"/>
    </row>
    <row r="446" ht="30" customHeight="1">
      <c r="A446" s="18" t="n">
        <v>442</v>
      </c>
      <c r="B446" s="18" t="inlineStr">
        <is>
          <t>화강돌</t>
        </is>
      </c>
      <c r="C446" s="18" t="inlineStr">
        <is>
          <t>spiritomb</t>
        </is>
      </c>
      <c r="D446" s="18" t="inlineStr">
        <is>
          <t>Spiritomb</t>
        </is>
      </c>
      <c r="E446" s="18" t="n">
        <v>4</v>
      </c>
      <c r="F446" s="18" t="inlineStr">
        <is>
          <t>generation4</t>
        </is>
      </c>
      <c r="G446" s="18" t="inlineStr">
        <is>
          <t>ghost</t>
        </is>
      </c>
      <c r="H446" s="18" t="inlineStr">
        <is>
          <t>dark</t>
        </is>
      </c>
      <c r="I446" s="18" t="inlineStr">
        <is>
          <t>예</t>
        </is>
      </c>
      <c r="J446" s="18" t="inlineStr">
        <is>
          <t>예</t>
        </is>
      </c>
      <c r="K446" s="18" t="inlineStr">
        <is>
          <t>예</t>
        </is>
      </c>
      <c r="L446" s="18" t="inlineStr">
        <is>
          <t>Cobblemon 동일</t>
        </is>
      </c>
      <c r="M446" s="18">
        <f>COUNTIF('스폰_편집'!$D$5:$D$3125,A446)</f>
        <v/>
      </c>
      <c r="N446" s="18">
        <f>COUNTIFS('스폰_편집'!$D$5:$D$3125,A446,'스폰_편집'!$B$5:$B$3125,"사용")</f>
        <v/>
      </c>
      <c r="O446" s="18" t="n">
        <v>5</v>
      </c>
      <c r="P446" s="18" t="inlineStr">
        <is>
          <t>#cobblemon:is_deep_dark; #cobblemon:is_desert; #cobblemon:is_jungle; #cobblemon:is_overworld; the_bumblezone:howling_constructs</t>
        </is>
      </c>
      <c r="Q446" s="18" t="inlineStr">
        <is>
          <t>rare; uncommon</t>
        </is>
      </c>
      <c r="R446" s="18" t="inlineStr">
        <is>
          <t>region_01; region_02</t>
        </is>
      </c>
      <c r="S446" s="18" t="inlineStr">
        <is>
          <t>cobbleventure:generation_4</t>
        </is>
      </c>
      <c r="T446" s="18">
        <f>IF(M446=0,"없음",IF(N446=0,"전부 제외","사용"))</f>
        <v/>
      </c>
      <c r="U446" s="18" t="inlineStr"/>
    </row>
    <row r="447" ht="30" customHeight="1">
      <c r="A447" s="18" t="n">
        <v>443</v>
      </c>
      <c r="B447" s="18" t="inlineStr">
        <is>
          <t>딥상어동</t>
        </is>
      </c>
      <c r="C447" s="18" t="inlineStr">
        <is>
          <t>gible</t>
        </is>
      </c>
      <c r="D447" s="18" t="inlineStr">
        <is>
          <t>Gible</t>
        </is>
      </c>
      <c r="E447" s="18" t="n">
        <v>4</v>
      </c>
      <c r="F447" s="18" t="inlineStr">
        <is>
          <t>generation4</t>
        </is>
      </c>
      <c r="G447" s="18" t="inlineStr">
        <is>
          <t>dragon</t>
        </is>
      </c>
      <c r="H447" s="18" t="inlineStr">
        <is>
          <t>ground</t>
        </is>
      </c>
      <c r="I447" s="18" t="inlineStr">
        <is>
          <t>예</t>
        </is>
      </c>
      <c r="J447" s="18" t="inlineStr">
        <is>
          <t>예</t>
        </is>
      </c>
      <c r="K447" s="18" t="inlineStr">
        <is>
          <t>예</t>
        </is>
      </c>
      <c r="L447" s="18" t="inlineStr">
        <is>
          <t>Cobblemon 동일</t>
        </is>
      </c>
      <c r="M447" s="18">
        <f>COUNTIF('스폰_편집'!$D$5:$D$3125,A447)</f>
        <v/>
      </c>
      <c r="N447" s="18">
        <f>COUNTIFS('스폰_편집'!$D$5:$D$3125,A447,'스폰_편집'!$B$5:$B$3125,"사용")</f>
        <v/>
      </c>
      <c r="O447" s="18" t="n">
        <v>5</v>
      </c>
      <c r="P447" s="18" t="inlineStr">
        <is>
          <t>#aether:is_aether; #cobblemon:is_badlands; #cobblemon:is_mountain; #cobblemon:is_overworld; #cobblemon:is_thermal</t>
        </is>
      </c>
      <c r="Q447" s="18" t="inlineStr">
        <is>
          <t>rare; ultra-rare</t>
        </is>
      </c>
      <c r="R447" s="18" t="inlineStr">
        <is>
          <t>region_01; region_02</t>
        </is>
      </c>
      <c r="S447" s="18" t="inlineStr">
        <is>
          <t>cobbleventure:generation_4</t>
        </is>
      </c>
      <c r="T447" s="18">
        <f>IF(M447=0,"없음",IF(N447=0,"전부 제외","사용"))</f>
        <v/>
      </c>
      <c r="U447" s="18" t="inlineStr"/>
    </row>
    <row r="448" ht="30" customHeight="1">
      <c r="A448" s="18" t="n">
        <v>444</v>
      </c>
      <c r="B448" s="18" t="inlineStr">
        <is>
          <t>한바이트</t>
        </is>
      </c>
      <c r="C448" s="18" t="inlineStr">
        <is>
          <t>gabite</t>
        </is>
      </c>
      <c r="D448" s="18" t="inlineStr">
        <is>
          <t>Gabite</t>
        </is>
      </c>
      <c r="E448" s="18" t="n">
        <v>4</v>
      </c>
      <c r="F448" s="18" t="inlineStr">
        <is>
          <t>generation4</t>
        </is>
      </c>
      <c r="G448" s="18" t="inlineStr">
        <is>
          <t>dragon</t>
        </is>
      </c>
      <c r="H448" s="18" t="inlineStr">
        <is>
          <t>ground</t>
        </is>
      </c>
      <c r="I448" s="18" t="inlineStr">
        <is>
          <t>예</t>
        </is>
      </c>
      <c r="J448" s="18" t="inlineStr">
        <is>
          <t>예</t>
        </is>
      </c>
      <c r="K448" s="18" t="inlineStr">
        <is>
          <t>예</t>
        </is>
      </c>
      <c r="L448" s="18" t="inlineStr">
        <is>
          <t>Cobblemon 동일</t>
        </is>
      </c>
      <c r="M448" s="18">
        <f>COUNTIF('스폰_편집'!$D$5:$D$3125,A448)</f>
        <v/>
      </c>
      <c r="N448" s="18">
        <f>COUNTIFS('스폰_편집'!$D$5:$D$3125,A448,'스폰_편집'!$B$5:$B$3125,"사용")</f>
        <v/>
      </c>
      <c r="O448" s="18" t="n">
        <v>5</v>
      </c>
      <c r="P448" s="18" t="inlineStr">
        <is>
          <t>#aether:is_aether; #cobblemon:is_badlands; #cobblemon:is_mountain; #cobblemon:is_overworld; #cobblemon:is_thermal</t>
        </is>
      </c>
      <c r="Q448" s="18" t="inlineStr">
        <is>
          <t>rare; ultra-rare</t>
        </is>
      </c>
      <c r="R448" s="18" t="inlineStr">
        <is>
          <t>region_01; region_02</t>
        </is>
      </c>
      <c r="S448" s="18" t="inlineStr">
        <is>
          <t>cobbleventure:generation_4</t>
        </is>
      </c>
      <c r="T448" s="18">
        <f>IF(M448=0,"없음",IF(N448=0,"전부 제외","사용"))</f>
        <v/>
      </c>
      <c r="U448" s="18" t="inlineStr"/>
    </row>
    <row r="449" ht="30" customHeight="1">
      <c r="A449" s="18" t="n">
        <v>445</v>
      </c>
      <c r="B449" s="18" t="inlineStr">
        <is>
          <t>한카리아스</t>
        </is>
      </c>
      <c r="C449" s="18" t="inlineStr">
        <is>
          <t>garchomp</t>
        </is>
      </c>
      <c r="D449" s="18" t="inlineStr">
        <is>
          <t>Garchomp</t>
        </is>
      </c>
      <c r="E449" s="18" t="n">
        <v>4</v>
      </c>
      <c r="F449" s="18" t="inlineStr">
        <is>
          <t>generation4</t>
        </is>
      </c>
      <c r="G449" s="18" t="inlineStr">
        <is>
          <t>dragon</t>
        </is>
      </c>
      <c r="H449" s="18" t="inlineStr">
        <is>
          <t>ground</t>
        </is>
      </c>
      <c r="I449" s="18" t="inlineStr">
        <is>
          <t>예</t>
        </is>
      </c>
      <c r="J449" s="18" t="inlineStr">
        <is>
          <t>예</t>
        </is>
      </c>
      <c r="K449" s="18" t="inlineStr">
        <is>
          <t>예</t>
        </is>
      </c>
      <c r="L449" s="18" t="inlineStr">
        <is>
          <t>Cobblemon 동일</t>
        </is>
      </c>
      <c r="M449" s="18">
        <f>COUNTIF('스폰_편집'!$D$5:$D$3125,A449)</f>
        <v/>
      </c>
      <c r="N449" s="18">
        <f>COUNTIFS('스폰_편집'!$D$5:$D$3125,A449,'스폰_편집'!$B$5:$B$3125,"사용")</f>
        <v/>
      </c>
      <c r="O449" s="18" t="n">
        <v>5</v>
      </c>
      <c r="P449" s="18" t="inlineStr">
        <is>
          <t>#aether:is_aether; #cobblemon:is_badlands; #cobblemon:is_mountain; #cobblemon:is_overworld; #cobblemon:is_thermal</t>
        </is>
      </c>
      <c r="Q449" s="18" t="inlineStr">
        <is>
          <t>rare; ultra-rare</t>
        </is>
      </c>
      <c r="R449" s="18" t="inlineStr">
        <is>
          <t>region_01; region_02</t>
        </is>
      </c>
      <c r="S449" s="18" t="inlineStr">
        <is>
          <t>cobbleventure:generation_4</t>
        </is>
      </c>
      <c r="T449" s="18">
        <f>IF(M449=0,"없음",IF(N449=0,"전부 제외","사용"))</f>
        <v/>
      </c>
      <c r="U449" s="18" t="inlineStr"/>
    </row>
    <row r="450" ht="30" customHeight="1">
      <c r="A450" s="18" t="n">
        <v>446</v>
      </c>
      <c r="B450" s="18" t="inlineStr">
        <is>
          <t>먹고자</t>
        </is>
      </c>
      <c r="C450" s="18" t="inlineStr">
        <is>
          <t>munchlax</t>
        </is>
      </c>
      <c r="D450" s="18" t="inlineStr">
        <is>
          <t>Munchlax</t>
        </is>
      </c>
      <c r="E450" s="18" t="n">
        <v>4</v>
      </c>
      <c r="F450" s="18" t="inlineStr">
        <is>
          <t>generation4</t>
        </is>
      </c>
      <c r="G450" s="18" t="inlineStr">
        <is>
          <t>normal</t>
        </is>
      </c>
      <c r="H450" s="18" t="inlineStr"/>
      <c r="I450" s="18" t="inlineStr">
        <is>
          <t>예</t>
        </is>
      </c>
      <c r="J450" s="18" t="inlineStr">
        <is>
          <t>예</t>
        </is>
      </c>
      <c r="K450" s="18" t="inlineStr">
        <is>
          <t>예</t>
        </is>
      </c>
      <c r="L450" s="18" t="inlineStr">
        <is>
          <t>Cobblemon 동일</t>
        </is>
      </c>
      <c r="M450" s="18">
        <f>COUNTIF('스폰_편집'!$D$5:$D$3125,A450)</f>
        <v/>
      </c>
      <c r="N450" s="18">
        <f>COUNTIFS('스폰_편집'!$D$5:$D$3125,A450,'스폰_편집'!$B$5:$B$3125,"사용")</f>
        <v/>
      </c>
      <c r="O450" s="18" t="n">
        <v>7</v>
      </c>
      <c r="P450" s="18" t="inlineStr">
        <is>
          <t>#aether:is_aether; #cobblemon:is_forest; #cobblemon:is_hills; #cobblemon:is_overworld; #cobblemon:is_snowy_forest; aether:skyroot_forest; aether:skyroot_woodland</t>
        </is>
      </c>
      <c r="Q450" s="18" t="inlineStr">
        <is>
          <t>rare; uncommon</t>
        </is>
      </c>
      <c r="R450" s="18" t="inlineStr">
        <is>
          <t>region_01; region_02</t>
        </is>
      </c>
      <c r="S450" s="18" t="inlineStr">
        <is>
          <t>cobbleventure:generation_4</t>
        </is>
      </c>
      <c r="T450" s="18">
        <f>IF(M450=0,"없음",IF(N450=0,"전부 제외","사용"))</f>
        <v/>
      </c>
      <c r="U450" s="18" t="inlineStr"/>
    </row>
    <row r="451" ht="30" customHeight="1">
      <c r="A451" s="18" t="n">
        <v>447</v>
      </c>
      <c r="B451" s="18" t="inlineStr">
        <is>
          <t>리오르</t>
        </is>
      </c>
      <c r="C451" s="18" t="inlineStr">
        <is>
          <t>riolu</t>
        </is>
      </c>
      <c r="D451" s="18" t="inlineStr">
        <is>
          <t>Riolu</t>
        </is>
      </c>
      <c r="E451" s="18" t="n">
        <v>4</v>
      </c>
      <c r="F451" s="18" t="inlineStr">
        <is>
          <t>generation4</t>
        </is>
      </c>
      <c r="G451" s="18" t="inlineStr">
        <is>
          <t>fighting</t>
        </is>
      </c>
      <c r="H451" s="18" t="inlineStr"/>
      <c r="I451" s="18" t="inlineStr">
        <is>
          <t>예</t>
        </is>
      </c>
      <c r="J451" s="18" t="inlineStr">
        <is>
          <t>예</t>
        </is>
      </c>
      <c r="K451" s="18" t="inlineStr">
        <is>
          <t>예</t>
        </is>
      </c>
      <c r="L451" s="18" t="inlineStr">
        <is>
          <t>Cobblemon 동일</t>
        </is>
      </c>
      <c r="M451" s="18">
        <f>COUNTIF('스폰_편집'!$D$5:$D$3125,A451)</f>
        <v/>
      </c>
      <c r="N451" s="18">
        <f>COUNTIFS('스폰_편집'!$D$5:$D$3125,A451,'스폰_편집'!$B$5:$B$3125,"사용")</f>
        <v/>
      </c>
      <c r="O451" s="18" t="n">
        <v>2</v>
      </c>
      <c r="P451" s="18" t="inlineStr">
        <is>
          <t>#aether:is_aether; #cobblemon:is_mountain</t>
        </is>
      </c>
      <c r="Q451" s="18" t="inlineStr">
        <is>
          <t>rare</t>
        </is>
      </c>
      <c r="R451" s="18" t="inlineStr"/>
      <c r="S451" s="18" t="inlineStr">
        <is>
          <t>cobbleventure:generation_4</t>
        </is>
      </c>
      <c r="T451" s="18">
        <f>IF(M451=0,"없음",IF(N451=0,"전부 제외","사용"))</f>
        <v/>
      </c>
      <c r="U451" s="18" t="inlineStr"/>
    </row>
    <row r="452" ht="30" customHeight="1">
      <c r="A452" s="18" t="n">
        <v>448</v>
      </c>
      <c r="B452" s="18" t="inlineStr">
        <is>
          <t>루카리오</t>
        </is>
      </c>
      <c r="C452" s="18" t="inlineStr">
        <is>
          <t>lucario</t>
        </is>
      </c>
      <c r="D452" s="18" t="inlineStr">
        <is>
          <t>Lucario</t>
        </is>
      </c>
      <c r="E452" s="18" t="n">
        <v>4</v>
      </c>
      <c r="F452" s="18" t="inlineStr">
        <is>
          <t>generation4</t>
        </is>
      </c>
      <c r="G452" s="18" t="inlineStr">
        <is>
          <t>fighting</t>
        </is>
      </c>
      <c r="H452" s="18" t="inlineStr">
        <is>
          <t>steel</t>
        </is>
      </c>
      <c r="I452" s="18" t="inlineStr">
        <is>
          <t>예</t>
        </is>
      </c>
      <c r="J452" s="18" t="inlineStr">
        <is>
          <t>예</t>
        </is>
      </c>
      <c r="K452" s="18" t="inlineStr">
        <is>
          <t>예</t>
        </is>
      </c>
      <c r="L452" s="18" t="inlineStr">
        <is>
          <t>Cobblemon 동일</t>
        </is>
      </c>
      <c r="M452" s="18">
        <f>COUNTIF('스폰_편집'!$D$5:$D$3125,A452)</f>
        <v/>
      </c>
      <c r="N452" s="18">
        <f>COUNTIFS('스폰_편집'!$D$5:$D$3125,A452,'스폰_편집'!$B$5:$B$3125,"사용")</f>
        <v/>
      </c>
      <c r="O452" s="18" t="n">
        <v>2</v>
      </c>
      <c r="P452" s="18" t="inlineStr">
        <is>
          <t>#aether:is_aether; #cobblemon:is_mountain</t>
        </is>
      </c>
      <c r="Q452" s="18" t="inlineStr">
        <is>
          <t>rare</t>
        </is>
      </c>
      <c r="R452" s="18" t="inlineStr"/>
      <c r="S452" s="18" t="inlineStr">
        <is>
          <t>cobbleventure:generation_4</t>
        </is>
      </c>
      <c r="T452" s="18">
        <f>IF(M452=0,"없음",IF(N452=0,"전부 제외","사용"))</f>
        <v/>
      </c>
      <c r="U452" s="18" t="inlineStr"/>
    </row>
    <row r="453" ht="30" customHeight="1">
      <c r="A453" s="18" t="n">
        <v>449</v>
      </c>
      <c r="B453" s="18" t="inlineStr">
        <is>
          <t>히포포타스</t>
        </is>
      </c>
      <c r="C453" s="18" t="inlineStr">
        <is>
          <t>hippopotas</t>
        </is>
      </c>
      <c r="D453" s="18" t="inlineStr">
        <is>
          <t>Hippopotas</t>
        </is>
      </c>
      <c r="E453" s="18" t="n">
        <v>4</v>
      </c>
      <c r="F453" s="18" t="inlineStr">
        <is>
          <t>generation4</t>
        </is>
      </c>
      <c r="G453" s="18" t="inlineStr">
        <is>
          <t>ground</t>
        </is>
      </c>
      <c r="H453" s="18" t="inlineStr"/>
      <c r="I453" s="18" t="inlineStr">
        <is>
          <t>예</t>
        </is>
      </c>
      <c r="J453" s="18" t="inlineStr">
        <is>
          <t>예</t>
        </is>
      </c>
      <c r="K453" s="18" t="inlineStr">
        <is>
          <t>예</t>
        </is>
      </c>
      <c r="L453" s="18" t="inlineStr">
        <is>
          <t>Cobblemon 동일</t>
        </is>
      </c>
      <c r="M453" s="18">
        <f>COUNTIF('스폰_편집'!$D$5:$D$3125,A453)</f>
        <v/>
      </c>
      <c r="N453" s="18">
        <f>COUNTIFS('스폰_편집'!$D$5:$D$3125,A453,'스폰_편집'!$B$5:$B$3125,"사용")</f>
        <v/>
      </c>
      <c r="O453" s="18" t="n">
        <v>1</v>
      </c>
      <c r="P453" s="18" t="inlineStr">
        <is>
          <t>#cobblemon:is_desert</t>
        </is>
      </c>
      <c r="Q453" s="18" t="inlineStr">
        <is>
          <t>common</t>
        </is>
      </c>
      <c r="R453" s="18" t="inlineStr">
        <is>
          <t>region_02</t>
        </is>
      </c>
      <c r="S453" s="18" t="inlineStr">
        <is>
          <t>cobbleventure:generation_4</t>
        </is>
      </c>
      <c r="T453" s="18">
        <f>IF(M453=0,"없음",IF(N453=0,"전부 제외","사용"))</f>
        <v/>
      </c>
      <c r="U453" s="18" t="inlineStr"/>
    </row>
    <row r="454" ht="30" customHeight="1">
      <c r="A454" s="18" t="n">
        <v>450</v>
      </c>
      <c r="B454" s="18" t="inlineStr">
        <is>
          <t>하마돈</t>
        </is>
      </c>
      <c r="C454" s="18" t="inlineStr">
        <is>
          <t>hippowdon</t>
        </is>
      </c>
      <c r="D454" s="18" t="inlineStr">
        <is>
          <t>Hippowdon</t>
        </is>
      </c>
      <c r="E454" s="18" t="n">
        <v>4</v>
      </c>
      <c r="F454" s="18" t="inlineStr">
        <is>
          <t>generation4</t>
        </is>
      </c>
      <c r="G454" s="18" t="inlineStr">
        <is>
          <t>ground</t>
        </is>
      </c>
      <c r="H454" s="18" t="inlineStr"/>
      <c r="I454" s="18" t="inlineStr">
        <is>
          <t>예</t>
        </is>
      </c>
      <c r="J454" s="18" t="inlineStr">
        <is>
          <t>예</t>
        </is>
      </c>
      <c r="K454" s="18" t="inlineStr">
        <is>
          <t>예</t>
        </is>
      </c>
      <c r="L454" s="18" t="inlineStr">
        <is>
          <t>Cobblemon 동일</t>
        </is>
      </c>
      <c r="M454" s="18">
        <f>COUNTIF('스폰_편집'!$D$5:$D$3125,A454)</f>
        <v/>
      </c>
      <c r="N454" s="18">
        <f>COUNTIFS('스폰_편집'!$D$5:$D$3125,A454,'스폰_편집'!$B$5:$B$3125,"사용")</f>
        <v/>
      </c>
      <c r="O454" s="18" t="n">
        <v>1</v>
      </c>
      <c r="P454" s="18" t="inlineStr">
        <is>
          <t>#cobblemon:is_desert</t>
        </is>
      </c>
      <c r="Q454" s="18" t="inlineStr">
        <is>
          <t>common</t>
        </is>
      </c>
      <c r="R454" s="18" t="inlineStr">
        <is>
          <t>region_02</t>
        </is>
      </c>
      <c r="S454" s="18" t="inlineStr">
        <is>
          <t>cobbleventure:generation_4</t>
        </is>
      </c>
      <c r="T454" s="18">
        <f>IF(M454=0,"없음",IF(N454=0,"전부 제외","사용"))</f>
        <v/>
      </c>
      <c r="U454" s="18" t="inlineStr"/>
    </row>
    <row r="455" ht="30" customHeight="1">
      <c r="A455" s="18" t="n">
        <v>451</v>
      </c>
      <c r="B455" s="18" t="inlineStr">
        <is>
          <t>스콜피</t>
        </is>
      </c>
      <c r="C455" s="18" t="inlineStr">
        <is>
          <t>skorupi</t>
        </is>
      </c>
      <c r="D455" s="18" t="inlineStr">
        <is>
          <t>Skorupi</t>
        </is>
      </c>
      <c r="E455" s="18" t="n">
        <v>4</v>
      </c>
      <c r="F455" s="18" t="inlineStr">
        <is>
          <t>generation4</t>
        </is>
      </c>
      <c r="G455" s="18" t="inlineStr">
        <is>
          <t>poison</t>
        </is>
      </c>
      <c r="H455" s="18" t="inlineStr">
        <is>
          <t>bug</t>
        </is>
      </c>
      <c r="I455" s="18" t="inlineStr">
        <is>
          <t>예</t>
        </is>
      </c>
      <c r="J455" s="18" t="inlineStr">
        <is>
          <t>예</t>
        </is>
      </c>
      <c r="K455" s="18" t="inlineStr">
        <is>
          <t>예</t>
        </is>
      </c>
      <c r="L455" s="18" t="inlineStr">
        <is>
          <t>COBBLEVERSE 수정</t>
        </is>
      </c>
      <c r="M455" s="18">
        <f>COUNTIF('스폰_편집'!$D$5:$D$3125,A455)</f>
        <v/>
      </c>
      <c r="N455" s="18">
        <f>COUNTIFS('스폰_편집'!$D$5:$D$3125,A455,'스폰_편집'!$B$5:$B$3125,"사용")</f>
        <v/>
      </c>
      <c r="O455" s="18" t="n">
        <v>3</v>
      </c>
      <c r="P455" s="18" t="inlineStr">
        <is>
          <t>#cobblemon:is_badlands; #cobblemon:is_desert; #cobblemon:is_swamp</t>
        </is>
      </c>
      <c r="Q455" s="18" t="inlineStr">
        <is>
          <t>common</t>
        </is>
      </c>
      <c r="R455" s="18" t="inlineStr">
        <is>
          <t>region_02</t>
        </is>
      </c>
      <c r="S455" s="18" t="inlineStr">
        <is>
          <t>cobbleventure:generation_4</t>
        </is>
      </c>
      <c r="T455" s="18">
        <f>IF(M455=0,"없음",IF(N455=0,"전부 제외","사용"))</f>
        <v/>
      </c>
      <c r="U455" s="18" t="inlineStr"/>
    </row>
    <row r="456" ht="30" customHeight="1">
      <c r="A456" s="18" t="n">
        <v>452</v>
      </c>
      <c r="B456" s="18" t="inlineStr">
        <is>
          <t>드래피온</t>
        </is>
      </c>
      <c r="C456" s="18" t="inlineStr">
        <is>
          <t>drapion</t>
        </is>
      </c>
      <c r="D456" s="18" t="inlineStr">
        <is>
          <t>Drapion</t>
        </is>
      </c>
      <c r="E456" s="18" t="n">
        <v>4</v>
      </c>
      <c r="F456" s="18" t="inlineStr">
        <is>
          <t>generation4</t>
        </is>
      </c>
      <c r="G456" s="18" t="inlineStr">
        <is>
          <t>poison</t>
        </is>
      </c>
      <c r="H456" s="18" t="inlineStr">
        <is>
          <t>dark</t>
        </is>
      </c>
      <c r="I456" s="18" t="inlineStr">
        <is>
          <t>예</t>
        </is>
      </c>
      <c r="J456" s="18" t="inlineStr">
        <is>
          <t>예</t>
        </is>
      </c>
      <c r="K456" s="18" t="inlineStr">
        <is>
          <t>예</t>
        </is>
      </c>
      <c r="L456" s="18" t="inlineStr">
        <is>
          <t>COBBLEVERSE 수정</t>
        </is>
      </c>
      <c r="M456" s="18">
        <f>COUNTIF('스폰_편집'!$D$5:$D$3125,A456)</f>
        <v/>
      </c>
      <c r="N456" s="18">
        <f>COUNTIFS('스폰_편집'!$D$5:$D$3125,A456,'스폰_편집'!$B$5:$B$3125,"사용")</f>
        <v/>
      </c>
      <c r="O456" s="18" t="n">
        <v>3</v>
      </c>
      <c r="P456" s="18" t="inlineStr">
        <is>
          <t>#cobblemon:is_badlands; #cobblemon:is_desert; #cobblemon:is_swamp</t>
        </is>
      </c>
      <c r="Q456" s="18" t="inlineStr">
        <is>
          <t>common</t>
        </is>
      </c>
      <c r="R456" s="18" t="inlineStr">
        <is>
          <t>region_02</t>
        </is>
      </c>
      <c r="S456" s="18" t="inlineStr">
        <is>
          <t>cobbleventure:generation_4</t>
        </is>
      </c>
      <c r="T456" s="18">
        <f>IF(M456=0,"없음",IF(N456=0,"전부 제외","사용"))</f>
        <v/>
      </c>
      <c r="U456" s="18" t="inlineStr"/>
    </row>
    <row r="457" ht="30" customHeight="1">
      <c r="A457" s="18" t="n">
        <v>453</v>
      </c>
      <c r="B457" s="18" t="inlineStr">
        <is>
          <t>삐딱구리</t>
        </is>
      </c>
      <c r="C457" s="18" t="inlineStr">
        <is>
          <t>croagunk</t>
        </is>
      </c>
      <c r="D457" s="18" t="inlineStr">
        <is>
          <t>Croagunk</t>
        </is>
      </c>
      <c r="E457" s="18" t="n">
        <v>4</v>
      </c>
      <c r="F457" s="18" t="inlineStr">
        <is>
          <t>generation4</t>
        </is>
      </c>
      <c r="G457" s="18" t="inlineStr">
        <is>
          <t>poison</t>
        </is>
      </c>
      <c r="H457" s="18" t="inlineStr">
        <is>
          <t>fighting</t>
        </is>
      </c>
      <c r="I457" s="18" t="inlineStr">
        <is>
          <t>예</t>
        </is>
      </c>
      <c r="J457" s="18" t="inlineStr">
        <is>
          <t>예</t>
        </is>
      </c>
      <c r="K457" s="18" t="inlineStr">
        <is>
          <t>예</t>
        </is>
      </c>
      <c r="L457" s="18" t="inlineStr">
        <is>
          <t>Cobblemon 동일</t>
        </is>
      </c>
      <c r="M457" s="18">
        <f>COUNTIF('스폰_편집'!$D$5:$D$3125,A457)</f>
        <v/>
      </c>
      <c r="N457" s="18">
        <f>COUNTIFS('스폰_편집'!$D$5:$D$3125,A457,'스폰_편집'!$B$5:$B$3125,"사용")</f>
        <v/>
      </c>
      <c r="O457" s="18" t="n">
        <v>2</v>
      </c>
      <c r="P457" s="18" t="inlineStr">
        <is>
          <t>#cobblemon:is_jungle; #cobblemon:is_swamp</t>
        </is>
      </c>
      <c r="Q457" s="18" t="inlineStr">
        <is>
          <t>common</t>
        </is>
      </c>
      <c r="R457" s="18" t="inlineStr">
        <is>
          <t>region_02</t>
        </is>
      </c>
      <c r="S457" s="18" t="inlineStr">
        <is>
          <t>cobbleventure:generation_4</t>
        </is>
      </c>
      <c r="T457" s="18">
        <f>IF(M457=0,"없음",IF(N457=0,"전부 제외","사용"))</f>
        <v/>
      </c>
      <c r="U457" s="18" t="inlineStr"/>
    </row>
    <row r="458" ht="30" customHeight="1">
      <c r="A458" s="18" t="n">
        <v>454</v>
      </c>
      <c r="B458" s="18" t="inlineStr">
        <is>
          <t>독개굴</t>
        </is>
      </c>
      <c r="C458" s="18" t="inlineStr">
        <is>
          <t>toxicroak</t>
        </is>
      </c>
      <c r="D458" s="18" t="inlineStr">
        <is>
          <t>Toxicroak</t>
        </is>
      </c>
      <c r="E458" s="18" t="n">
        <v>4</v>
      </c>
      <c r="F458" s="18" t="inlineStr">
        <is>
          <t>generation4</t>
        </is>
      </c>
      <c r="G458" s="18" t="inlineStr">
        <is>
          <t>poison</t>
        </is>
      </c>
      <c r="H458" s="18" t="inlineStr">
        <is>
          <t>fighting</t>
        </is>
      </c>
      <c r="I458" s="18" t="inlineStr">
        <is>
          <t>예</t>
        </is>
      </c>
      <c r="J458" s="18" t="inlineStr">
        <is>
          <t>예</t>
        </is>
      </c>
      <c r="K458" s="18" t="inlineStr">
        <is>
          <t>예</t>
        </is>
      </c>
      <c r="L458" s="18" t="inlineStr">
        <is>
          <t>Cobblemon 동일</t>
        </is>
      </c>
      <c r="M458" s="18">
        <f>COUNTIF('스폰_편집'!$D$5:$D$3125,A458)</f>
        <v/>
      </c>
      <c r="N458" s="18">
        <f>COUNTIFS('스폰_편집'!$D$5:$D$3125,A458,'스폰_편집'!$B$5:$B$3125,"사용")</f>
        <v/>
      </c>
      <c r="O458" s="18" t="n">
        <v>2</v>
      </c>
      <c r="P458" s="18" t="inlineStr">
        <is>
          <t>#cobblemon:is_jungle; #cobblemon:is_swamp</t>
        </is>
      </c>
      <c r="Q458" s="18" t="inlineStr">
        <is>
          <t>common</t>
        </is>
      </c>
      <c r="R458" s="18" t="inlineStr">
        <is>
          <t>region_02</t>
        </is>
      </c>
      <c r="S458" s="18" t="inlineStr">
        <is>
          <t>cobbleventure:generation_4</t>
        </is>
      </c>
      <c r="T458" s="18">
        <f>IF(M458=0,"없음",IF(N458=0,"전부 제외","사용"))</f>
        <v/>
      </c>
      <c r="U458" s="18" t="inlineStr"/>
    </row>
    <row r="459" ht="30" customHeight="1">
      <c r="A459" s="18" t="n">
        <v>455</v>
      </c>
      <c r="B459" s="18" t="inlineStr">
        <is>
          <t>무스틈니</t>
        </is>
      </c>
      <c r="C459" s="18" t="inlineStr">
        <is>
          <t>carnivine</t>
        </is>
      </c>
      <c r="D459" s="18" t="inlineStr">
        <is>
          <t>Carnivine</t>
        </is>
      </c>
      <c r="E459" s="18" t="n">
        <v>4</v>
      </c>
      <c r="F459" s="18" t="inlineStr">
        <is>
          <t>generation4</t>
        </is>
      </c>
      <c r="G459" s="18" t="inlineStr">
        <is>
          <t>grass</t>
        </is>
      </c>
      <c r="H459" s="18" t="inlineStr"/>
      <c r="I459" s="18" t="inlineStr">
        <is>
          <t>예</t>
        </is>
      </c>
      <c r="J459" s="18" t="inlineStr">
        <is>
          <t>예</t>
        </is>
      </c>
      <c r="K459" s="18" t="inlineStr">
        <is>
          <t>예</t>
        </is>
      </c>
      <c r="L459" s="18" t="inlineStr">
        <is>
          <t>Cobblemon 동일</t>
        </is>
      </c>
      <c r="M459" s="18">
        <f>COUNTIF('스폰_편집'!$D$5:$D$3125,A459)</f>
        <v/>
      </c>
      <c r="N459" s="18">
        <f>COUNTIFS('스폰_편집'!$D$5:$D$3125,A459,'스폰_편집'!$B$5:$B$3125,"사용")</f>
        <v/>
      </c>
      <c r="O459" s="18" t="n">
        <v>5</v>
      </c>
      <c r="P459" s="18" t="inlineStr">
        <is>
          <t>#cobblemon:is_lush; #cobblemon:is_overworld; #cobblemon:is_swamp; aether:skyroot_forest; aether:skyroot_woodland</t>
        </is>
      </c>
      <c r="Q459" s="18" t="inlineStr">
        <is>
          <t>uncommon</t>
        </is>
      </c>
      <c r="R459" s="18" t="inlineStr">
        <is>
          <t>region_01; region_02</t>
        </is>
      </c>
      <c r="S459" s="18" t="inlineStr">
        <is>
          <t>cobbleventure:generation_4</t>
        </is>
      </c>
      <c r="T459" s="18">
        <f>IF(M459=0,"없음",IF(N459=0,"전부 제외","사용"))</f>
        <v/>
      </c>
      <c r="U459" s="18" t="inlineStr"/>
    </row>
    <row r="460" ht="30" customHeight="1">
      <c r="A460" s="18" t="n">
        <v>456</v>
      </c>
      <c r="B460" s="18" t="inlineStr">
        <is>
          <t>형광어</t>
        </is>
      </c>
      <c r="C460" s="18" t="inlineStr">
        <is>
          <t>finneon</t>
        </is>
      </c>
      <c r="D460" s="18" t="inlineStr">
        <is>
          <t>Finneon</t>
        </is>
      </c>
      <c r="E460" s="18" t="n">
        <v>4</v>
      </c>
      <c r="F460" s="18" t="inlineStr">
        <is>
          <t>generation4</t>
        </is>
      </c>
      <c r="G460" s="18" t="inlineStr">
        <is>
          <t>water</t>
        </is>
      </c>
      <c r="H460" s="18" t="inlineStr"/>
      <c r="I460" s="18" t="inlineStr">
        <is>
          <t>예</t>
        </is>
      </c>
      <c r="J460" s="18" t="inlineStr">
        <is>
          <t>예</t>
        </is>
      </c>
      <c r="K460" s="18" t="inlineStr">
        <is>
          <t>예</t>
        </is>
      </c>
      <c r="L460" s="18" t="inlineStr">
        <is>
          <t>Cobblemon 동일</t>
        </is>
      </c>
      <c r="M460" s="18">
        <f>COUNTIF('스폰_편집'!$D$5:$D$3125,A460)</f>
        <v/>
      </c>
      <c r="N460" s="18">
        <f>COUNTIFS('스폰_편집'!$D$5:$D$3125,A460,'스폰_편집'!$B$5:$B$3125,"사용")</f>
        <v/>
      </c>
      <c r="O460" s="18" t="n">
        <v>3</v>
      </c>
      <c r="P460" s="18" t="inlineStr">
        <is>
          <t>#cobblemon:is_deep_ocean; #cobblemon:is_ocean; #cobblemon:is_overworld</t>
        </is>
      </c>
      <c r="Q460" s="18" t="inlineStr">
        <is>
          <t>common</t>
        </is>
      </c>
      <c r="R460" s="18" t="inlineStr">
        <is>
          <t>region_01; region_02</t>
        </is>
      </c>
      <c r="S460" s="18" t="inlineStr">
        <is>
          <t>cobbleventure:generation_4</t>
        </is>
      </c>
      <c r="T460" s="18">
        <f>IF(M460=0,"없음",IF(N460=0,"전부 제외","사용"))</f>
        <v/>
      </c>
      <c r="U460" s="18" t="inlineStr"/>
    </row>
    <row r="461" ht="30" customHeight="1">
      <c r="A461" s="18" t="n">
        <v>457</v>
      </c>
      <c r="B461" s="18" t="inlineStr">
        <is>
          <t>네오라이트</t>
        </is>
      </c>
      <c r="C461" s="18" t="inlineStr">
        <is>
          <t>lumineon</t>
        </is>
      </c>
      <c r="D461" s="18" t="inlineStr">
        <is>
          <t>Lumineon</t>
        </is>
      </c>
      <c r="E461" s="18" t="n">
        <v>4</v>
      </c>
      <c r="F461" s="18" t="inlineStr">
        <is>
          <t>generation4</t>
        </is>
      </c>
      <c r="G461" s="18" t="inlineStr">
        <is>
          <t>water</t>
        </is>
      </c>
      <c r="H461" s="18" t="inlineStr"/>
      <c r="I461" s="18" t="inlineStr">
        <is>
          <t>예</t>
        </is>
      </c>
      <c r="J461" s="18" t="inlineStr">
        <is>
          <t>예</t>
        </is>
      </c>
      <c r="K461" s="18" t="inlineStr">
        <is>
          <t>예</t>
        </is>
      </c>
      <c r="L461" s="18" t="inlineStr">
        <is>
          <t>Cobblemon 동일</t>
        </is>
      </c>
      <c r="M461" s="18">
        <f>COUNTIF('스폰_편집'!$D$5:$D$3125,A461)</f>
        <v/>
      </c>
      <c r="N461" s="18">
        <f>COUNTIFS('스폰_편집'!$D$5:$D$3125,A461,'스폰_편집'!$B$5:$B$3125,"사용")</f>
        <v/>
      </c>
      <c r="O461" s="18" t="n">
        <v>3</v>
      </c>
      <c r="P461" s="18" t="inlineStr">
        <is>
          <t>#cobblemon:is_deep_ocean; #cobblemon:is_ocean; #cobblemon:is_overworld</t>
        </is>
      </c>
      <c r="Q461" s="18" t="inlineStr">
        <is>
          <t>common</t>
        </is>
      </c>
      <c r="R461" s="18" t="inlineStr">
        <is>
          <t>region_01; region_02</t>
        </is>
      </c>
      <c r="S461" s="18" t="inlineStr">
        <is>
          <t>cobbleventure:generation_4</t>
        </is>
      </c>
      <c r="T461" s="18">
        <f>IF(M461=0,"없음",IF(N461=0,"전부 제외","사용"))</f>
        <v/>
      </c>
      <c r="U461" s="18" t="inlineStr"/>
    </row>
    <row r="462" ht="30" customHeight="1">
      <c r="A462" s="18" t="n">
        <v>458</v>
      </c>
      <c r="B462" s="18" t="inlineStr">
        <is>
          <t>타만타</t>
        </is>
      </c>
      <c r="C462" s="18" t="inlineStr">
        <is>
          <t>mantyke</t>
        </is>
      </c>
      <c r="D462" s="18" t="inlineStr">
        <is>
          <t>Mantyke</t>
        </is>
      </c>
      <c r="E462" s="18" t="n">
        <v>4</v>
      </c>
      <c r="F462" s="18" t="inlineStr">
        <is>
          <t>generation4</t>
        </is>
      </c>
      <c r="G462" s="18" t="inlineStr">
        <is>
          <t>water</t>
        </is>
      </c>
      <c r="H462" s="18" t="inlineStr">
        <is>
          <t>flying</t>
        </is>
      </c>
      <c r="I462" s="18" t="inlineStr">
        <is>
          <t>예</t>
        </is>
      </c>
      <c r="J462" s="18" t="inlineStr">
        <is>
          <t>예</t>
        </is>
      </c>
      <c r="K462" s="18" t="inlineStr">
        <is>
          <t>예</t>
        </is>
      </c>
      <c r="L462" s="18" t="inlineStr">
        <is>
          <t>Cobblemon 동일</t>
        </is>
      </c>
      <c r="M462" s="18">
        <f>COUNTIF('스폰_편집'!$D$5:$D$3125,A462)</f>
        <v/>
      </c>
      <c r="N462" s="18">
        <f>COUNTIFS('스폰_편집'!$D$5:$D$3125,A462,'스폰_편집'!$B$5:$B$3125,"사용")</f>
        <v/>
      </c>
      <c r="O462" s="18" t="n">
        <v>3</v>
      </c>
      <c r="P462" s="18" t="inlineStr">
        <is>
          <t>#cobblemon:is_lukewarm_ocean; #cobblemon:is_ocean; #cobblemon:is_warm_ocean</t>
        </is>
      </c>
      <c r="Q462" s="18" t="inlineStr">
        <is>
          <t>common; uncommon</t>
        </is>
      </c>
      <c r="R462" s="18" t="inlineStr"/>
      <c r="S462" s="18" t="inlineStr">
        <is>
          <t>cobbleventure:generation_4</t>
        </is>
      </c>
      <c r="T462" s="18">
        <f>IF(M462=0,"없음",IF(N462=0,"전부 제외","사용"))</f>
        <v/>
      </c>
      <c r="U462" s="18" t="inlineStr"/>
    </row>
    <row r="463" ht="30" customHeight="1">
      <c r="A463" s="18" t="n">
        <v>459</v>
      </c>
      <c r="B463" s="18" t="inlineStr">
        <is>
          <t>눈쓰개</t>
        </is>
      </c>
      <c r="C463" s="18" t="inlineStr">
        <is>
          <t>snover</t>
        </is>
      </c>
      <c r="D463" s="18" t="inlineStr">
        <is>
          <t>Snover</t>
        </is>
      </c>
      <c r="E463" s="18" t="n">
        <v>4</v>
      </c>
      <c r="F463" s="18" t="inlineStr">
        <is>
          <t>generation4</t>
        </is>
      </c>
      <c r="G463" s="18" t="inlineStr">
        <is>
          <t>grass</t>
        </is>
      </c>
      <c r="H463" s="18" t="inlineStr">
        <is>
          <t>ice</t>
        </is>
      </c>
      <c r="I463" s="18" t="inlineStr">
        <is>
          <t>아니오</t>
        </is>
      </c>
      <c r="J463" s="18" t="inlineStr">
        <is>
          <t>아니오</t>
        </is>
      </c>
      <c r="K463" s="18" t="inlineStr">
        <is>
          <t>예</t>
        </is>
      </c>
      <c r="L463" s="18" t="inlineStr">
        <is>
          <t>COBBLEVERSE 추가</t>
        </is>
      </c>
      <c r="M463" s="18">
        <f>COUNTIF('스폰_편집'!$D$5:$D$3125,A463)</f>
        <v/>
      </c>
      <c r="N463" s="18">
        <f>COUNTIFS('스폰_편집'!$D$5:$D$3125,A463,'스폰_편집'!$B$5:$B$3125,"사용")</f>
        <v/>
      </c>
      <c r="O463" s="18" t="n">
        <v>2</v>
      </c>
      <c r="P463" s="18" t="inlineStr">
        <is>
          <t>#cobblemon:is_snowy_forest; #cobblemon:is_snowy_taiga</t>
        </is>
      </c>
      <c r="Q463" s="18" t="inlineStr">
        <is>
          <t>common</t>
        </is>
      </c>
      <c r="R463" s="18" t="inlineStr"/>
      <c r="S463" s="18" t="inlineStr">
        <is>
          <t>cobbleventure:generation_4</t>
        </is>
      </c>
      <c r="T463" s="18">
        <f>IF(M463=0,"없음",IF(N463=0,"전부 제외","사용"))</f>
        <v/>
      </c>
      <c r="U463" s="18" t="inlineStr"/>
    </row>
    <row r="464" ht="30" customHeight="1">
      <c r="A464" s="18" t="n">
        <v>460</v>
      </c>
      <c r="B464" s="18" t="inlineStr">
        <is>
          <t>눈설왕</t>
        </is>
      </c>
      <c r="C464" s="18" t="inlineStr">
        <is>
          <t>abomasnow</t>
        </is>
      </c>
      <c r="D464" s="18" t="inlineStr">
        <is>
          <t>Abomasnow</t>
        </is>
      </c>
      <c r="E464" s="18" t="n">
        <v>4</v>
      </c>
      <c r="F464" s="18" t="inlineStr">
        <is>
          <t>generation4</t>
        </is>
      </c>
      <c r="G464" s="18" t="inlineStr">
        <is>
          <t>grass</t>
        </is>
      </c>
      <c r="H464" s="18" t="inlineStr">
        <is>
          <t>ice</t>
        </is>
      </c>
      <c r="I464" s="18" t="inlineStr">
        <is>
          <t>아니오</t>
        </is>
      </c>
      <c r="J464" s="18" t="inlineStr">
        <is>
          <t>아니오</t>
        </is>
      </c>
      <c r="K464" s="18" t="inlineStr">
        <is>
          <t>예</t>
        </is>
      </c>
      <c r="L464" s="18" t="inlineStr">
        <is>
          <t>COBBLEVERSE 추가</t>
        </is>
      </c>
      <c r="M464" s="18">
        <f>COUNTIF('스폰_편집'!$D$5:$D$3125,A464)</f>
        <v/>
      </c>
      <c r="N464" s="18">
        <f>COUNTIFS('스폰_편집'!$D$5:$D$3125,A464,'스폰_편집'!$B$5:$B$3125,"사용")</f>
        <v/>
      </c>
      <c r="O464" s="18" t="n">
        <v>2</v>
      </c>
      <c r="P464" s="18" t="inlineStr">
        <is>
          <t>#cobblemon:is_snowy_forest; #cobblemon:is_snowy_taiga</t>
        </is>
      </c>
      <c r="Q464" s="18" t="inlineStr">
        <is>
          <t>uncommon</t>
        </is>
      </c>
      <c r="R464" s="18" t="inlineStr"/>
      <c r="S464" s="18" t="inlineStr">
        <is>
          <t>cobbleventure:generation_4</t>
        </is>
      </c>
      <c r="T464" s="18">
        <f>IF(M464=0,"없음",IF(N464=0,"전부 제외","사용"))</f>
        <v/>
      </c>
      <c r="U464" s="18" t="inlineStr"/>
    </row>
    <row r="465" ht="30" customHeight="1">
      <c r="A465" s="18" t="n">
        <v>461</v>
      </c>
      <c r="B465" s="18" t="inlineStr">
        <is>
          <t>포푸니라</t>
        </is>
      </c>
      <c r="C465" s="18" t="inlineStr">
        <is>
          <t>weavile</t>
        </is>
      </c>
      <c r="D465" s="18" t="inlineStr">
        <is>
          <t>Weavile</t>
        </is>
      </c>
      <c r="E465" s="18" t="n">
        <v>4</v>
      </c>
      <c r="F465" s="18" t="inlineStr">
        <is>
          <t>generation4</t>
        </is>
      </c>
      <c r="G465" s="18" t="inlineStr">
        <is>
          <t>dark</t>
        </is>
      </c>
      <c r="H465" s="18" t="inlineStr">
        <is>
          <t>ice</t>
        </is>
      </c>
      <c r="I465" s="18" t="inlineStr">
        <is>
          <t>예</t>
        </is>
      </c>
      <c r="J465" s="18" t="inlineStr">
        <is>
          <t>예</t>
        </is>
      </c>
      <c r="K465" s="18" t="inlineStr">
        <is>
          <t>예</t>
        </is>
      </c>
      <c r="L465" s="18" t="inlineStr">
        <is>
          <t>Cobblemon 동일</t>
        </is>
      </c>
      <c r="M465" s="18">
        <f>COUNTIF('스폰_편집'!$D$5:$D$3125,A465)</f>
        <v/>
      </c>
      <c r="N465" s="18">
        <f>COUNTIFS('스폰_편집'!$D$5:$D$3125,A465,'스폰_편집'!$B$5:$B$3125,"사용")</f>
        <v/>
      </c>
      <c r="O465" s="18" t="n">
        <v>1</v>
      </c>
      <c r="P465" s="18" t="inlineStr">
        <is>
          <t>#cobblemon:is_taiga</t>
        </is>
      </c>
      <c r="Q465" s="18" t="inlineStr">
        <is>
          <t>uncommon</t>
        </is>
      </c>
      <c r="R465" s="18" t="inlineStr"/>
      <c r="S465" s="18" t="inlineStr">
        <is>
          <t>cobbleventure:generation_4</t>
        </is>
      </c>
      <c r="T465" s="18">
        <f>IF(M465=0,"없음",IF(N465=0,"전부 제외","사용"))</f>
        <v/>
      </c>
      <c r="U465" s="18" t="inlineStr"/>
    </row>
    <row r="466" ht="30" customHeight="1">
      <c r="A466" s="18" t="n">
        <v>462</v>
      </c>
      <c r="B466" s="18" t="inlineStr">
        <is>
          <t>자포코일</t>
        </is>
      </c>
      <c r="C466" s="18" t="inlineStr">
        <is>
          <t>magnezone</t>
        </is>
      </c>
      <c r="D466" s="18" t="inlineStr">
        <is>
          <t>Magnezone</t>
        </is>
      </c>
      <c r="E466" s="18" t="n">
        <v>4</v>
      </c>
      <c r="F466" s="18" t="inlineStr">
        <is>
          <t>generation4</t>
        </is>
      </c>
      <c r="G466" s="18" t="inlineStr">
        <is>
          <t>electric</t>
        </is>
      </c>
      <c r="H466" s="18" t="inlineStr">
        <is>
          <t>steel</t>
        </is>
      </c>
      <c r="I466" s="18" t="inlineStr">
        <is>
          <t>예</t>
        </is>
      </c>
      <c r="J466" s="18" t="inlineStr">
        <is>
          <t>예</t>
        </is>
      </c>
      <c r="K466" s="18" t="inlineStr">
        <is>
          <t>예</t>
        </is>
      </c>
      <c r="L466" s="18" t="inlineStr">
        <is>
          <t>COBBLEVERSE 수정</t>
        </is>
      </c>
      <c r="M466" s="18">
        <f>COUNTIF('스폰_편집'!$D$5:$D$3125,A466)</f>
        <v/>
      </c>
      <c r="N466" s="18">
        <f>COUNTIFS('스폰_편집'!$D$5:$D$3125,A466,'스폰_편집'!$B$5:$B$3125,"사용")</f>
        <v/>
      </c>
      <c r="O466" s="18" t="n">
        <v>2</v>
      </c>
      <c r="P466" s="18" t="inlineStr">
        <is>
          <t>#cobblemon:is_overworld; #cobblemon:is_sandy</t>
        </is>
      </c>
      <c r="Q466" s="18" t="inlineStr">
        <is>
          <t>common; uncommon</t>
        </is>
      </c>
      <c r="R466" s="18" t="inlineStr">
        <is>
          <t>region_01; region_02</t>
        </is>
      </c>
      <c r="S466" s="18" t="inlineStr">
        <is>
          <t>cobbleventure:generation_4</t>
        </is>
      </c>
      <c r="T466" s="18">
        <f>IF(M466=0,"없음",IF(N466=0,"전부 제외","사용"))</f>
        <v/>
      </c>
      <c r="U466" s="18" t="inlineStr"/>
    </row>
    <row r="467" ht="30" customHeight="1">
      <c r="A467" s="18" t="n">
        <v>463</v>
      </c>
      <c r="B467" s="18" t="inlineStr">
        <is>
          <t>내룸벨트</t>
        </is>
      </c>
      <c r="C467" s="18" t="inlineStr">
        <is>
          <t>lickilicky</t>
        </is>
      </c>
      <c r="D467" s="18" t="inlineStr">
        <is>
          <t>Lickilicky</t>
        </is>
      </c>
      <c r="E467" s="18" t="n">
        <v>4</v>
      </c>
      <c r="F467" s="18" t="inlineStr">
        <is>
          <t>generation4</t>
        </is>
      </c>
      <c r="G467" s="18" t="inlineStr">
        <is>
          <t>normal</t>
        </is>
      </c>
      <c r="H467" s="18" t="inlineStr"/>
      <c r="I467" s="18" t="inlineStr">
        <is>
          <t>예</t>
        </is>
      </c>
      <c r="J467" s="18" t="inlineStr">
        <is>
          <t>예</t>
        </is>
      </c>
      <c r="K467" s="18" t="inlineStr">
        <is>
          <t>예</t>
        </is>
      </c>
      <c r="L467" s="18" t="inlineStr">
        <is>
          <t>Cobblemon 동일</t>
        </is>
      </c>
      <c r="M467" s="18">
        <f>COUNTIF('스폰_편집'!$D$5:$D$3125,A467)</f>
        <v/>
      </c>
      <c r="N467" s="18">
        <f>COUNTIFS('스폰_편집'!$D$5:$D$3125,A467,'스폰_편집'!$B$5:$B$3125,"사용")</f>
        <v/>
      </c>
      <c r="O467" s="18" t="n">
        <v>1</v>
      </c>
      <c r="P467" s="18" t="inlineStr">
        <is>
          <t>#cobblemon:is_grassland</t>
        </is>
      </c>
      <c r="Q467" s="18" t="inlineStr">
        <is>
          <t>uncommon</t>
        </is>
      </c>
      <c r="R467" s="18" t="inlineStr">
        <is>
          <t>region_01</t>
        </is>
      </c>
      <c r="S467" s="18" t="inlineStr">
        <is>
          <t>cobbleventure:generation_4</t>
        </is>
      </c>
      <c r="T467" s="18">
        <f>IF(M467=0,"없음",IF(N467=0,"전부 제외","사용"))</f>
        <v/>
      </c>
      <c r="U467" s="18" t="inlineStr"/>
    </row>
    <row r="468" ht="30" customHeight="1">
      <c r="A468" s="18" t="n">
        <v>464</v>
      </c>
      <c r="B468" s="18" t="inlineStr">
        <is>
          <t>거대코뿌리</t>
        </is>
      </c>
      <c r="C468" s="18" t="inlineStr">
        <is>
          <t>rhyperior</t>
        </is>
      </c>
      <c r="D468" s="18" t="inlineStr">
        <is>
          <t>Rhyperior</t>
        </is>
      </c>
      <c r="E468" s="18" t="n">
        <v>4</v>
      </c>
      <c r="F468" s="18" t="inlineStr">
        <is>
          <t>generation4</t>
        </is>
      </c>
      <c r="G468" s="18" t="inlineStr">
        <is>
          <t>ground</t>
        </is>
      </c>
      <c r="H468" s="18" t="inlineStr">
        <is>
          <t>rock</t>
        </is>
      </c>
      <c r="I468" s="18" t="inlineStr">
        <is>
          <t>예</t>
        </is>
      </c>
      <c r="J468" s="18" t="inlineStr">
        <is>
          <t>예</t>
        </is>
      </c>
      <c r="K468" s="18" t="inlineStr">
        <is>
          <t>예</t>
        </is>
      </c>
      <c r="L468" s="18" t="inlineStr">
        <is>
          <t>Cobblemon 동일</t>
        </is>
      </c>
      <c r="M468" s="18">
        <f>COUNTIF('스폰_편집'!$D$5:$D$3125,A468)</f>
        <v/>
      </c>
      <c r="N468" s="18">
        <f>COUNTIFS('스폰_편집'!$D$5:$D$3125,A468,'스폰_편집'!$B$5:$B$3125,"사용")</f>
        <v/>
      </c>
      <c r="O468" s="18" t="n">
        <v>2</v>
      </c>
      <c r="P468" s="18" t="inlineStr">
        <is>
          <t>#cobblemon:is_mountain; #cobblemon:is_savanna</t>
        </is>
      </c>
      <c r="Q468" s="18" t="inlineStr">
        <is>
          <t>common</t>
        </is>
      </c>
      <c r="R468" s="18" t="inlineStr"/>
      <c r="S468" s="18" t="inlineStr">
        <is>
          <t>cobbleventure:generation_4</t>
        </is>
      </c>
      <c r="T468" s="18">
        <f>IF(M468=0,"없음",IF(N468=0,"전부 제외","사용"))</f>
        <v/>
      </c>
      <c r="U468" s="18" t="inlineStr"/>
    </row>
    <row r="469" ht="30" customHeight="1">
      <c r="A469" s="18" t="n">
        <v>465</v>
      </c>
      <c r="B469" s="18" t="inlineStr">
        <is>
          <t>덩쿠림보</t>
        </is>
      </c>
      <c r="C469" s="18" t="inlineStr">
        <is>
          <t>tangrowth</t>
        </is>
      </c>
      <c r="D469" s="18" t="inlineStr">
        <is>
          <t>Tangrowth</t>
        </is>
      </c>
      <c r="E469" s="18" t="n">
        <v>4</v>
      </c>
      <c r="F469" s="18" t="inlineStr">
        <is>
          <t>generation4</t>
        </is>
      </c>
      <c r="G469" s="18" t="inlineStr">
        <is>
          <t>grass</t>
        </is>
      </c>
      <c r="H469" s="18" t="inlineStr"/>
      <c r="I469" s="18" t="inlineStr">
        <is>
          <t>예</t>
        </is>
      </c>
      <c r="J469" s="18" t="inlineStr">
        <is>
          <t>예</t>
        </is>
      </c>
      <c r="K469" s="18" t="inlineStr">
        <is>
          <t>예</t>
        </is>
      </c>
      <c r="L469" s="18" t="inlineStr">
        <is>
          <t>Cobblemon 동일</t>
        </is>
      </c>
      <c r="M469" s="18">
        <f>COUNTIF('스폰_편집'!$D$5:$D$3125,A469)</f>
        <v/>
      </c>
      <c r="N469" s="18">
        <f>COUNTIFS('스폰_편집'!$D$5:$D$3125,A469,'스폰_편집'!$B$5:$B$3125,"사용")</f>
        <v/>
      </c>
      <c r="O469" s="18" t="n">
        <v>1</v>
      </c>
      <c r="P469" s="18" t="inlineStr">
        <is>
          <t>#cobblemon:is_jungle</t>
        </is>
      </c>
      <c r="Q469" s="18" t="inlineStr">
        <is>
          <t>common</t>
        </is>
      </c>
      <c r="R469" s="18" t="inlineStr"/>
      <c r="S469" s="18" t="inlineStr">
        <is>
          <t>cobbleventure:generation_4</t>
        </is>
      </c>
      <c r="T469" s="18">
        <f>IF(M469=0,"없음",IF(N469=0,"전부 제외","사용"))</f>
        <v/>
      </c>
      <c r="U469" s="18" t="inlineStr"/>
    </row>
    <row r="470" ht="30" customHeight="1">
      <c r="A470" s="18" t="n">
        <v>466</v>
      </c>
      <c r="B470" s="18" t="inlineStr">
        <is>
          <t>에레키블</t>
        </is>
      </c>
      <c r="C470" s="18" t="inlineStr">
        <is>
          <t>electivire</t>
        </is>
      </c>
      <c r="D470" s="18" t="inlineStr">
        <is>
          <t>Electivire</t>
        </is>
      </c>
      <c r="E470" s="18" t="n">
        <v>4</v>
      </c>
      <c r="F470" s="18" t="inlineStr">
        <is>
          <t>generation4</t>
        </is>
      </c>
      <c r="G470" s="18" t="inlineStr">
        <is>
          <t>electric</t>
        </is>
      </c>
      <c r="H470" s="18" t="inlineStr"/>
      <c r="I470" s="18" t="inlineStr">
        <is>
          <t>예</t>
        </is>
      </c>
      <c r="J470" s="18" t="inlineStr">
        <is>
          <t>예</t>
        </is>
      </c>
      <c r="K470" s="18" t="inlineStr">
        <is>
          <t>예</t>
        </is>
      </c>
      <c r="L470" s="18" t="inlineStr">
        <is>
          <t>Cobblemon 동일</t>
        </is>
      </c>
      <c r="M470" s="18">
        <f>COUNTIF('스폰_편집'!$D$5:$D$3125,A470)</f>
        <v/>
      </c>
      <c r="N470" s="18">
        <f>COUNTIFS('스폰_편집'!$D$5:$D$3125,A470,'스폰_편집'!$B$5:$B$3125,"사용")</f>
        <v/>
      </c>
      <c r="O470" s="18" t="n">
        <v>2</v>
      </c>
      <c r="P470" s="18" t="inlineStr">
        <is>
          <t>#cobblemon:is_hills; #cobblemon:is_plains</t>
        </is>
      </c>
      <c r="Q470" s="18" t="inlineStr">
        <is>
          <t>uncommon</t>
        </is>
      </c>
      <c r="R470" s="18" t="inlineStr">
        <is>
          <t>region_01</t>
        </is>
      </c>
      <c r="S470" s="18" t="inlineStr">
        <is>
          <t>cobbleventure:generation_4</t>
        </is>
      </c>
      <c r="T470" s="18">
        <f>IF(M470=0,"없음",IF(N470=0,"전부 제외","사용"))</f>
        <v/>
      </c>
      <c r="U470" s="18" t="inlineStr"/>
    </row>
    <row r="471" ht="30" customHeight="1">
      <c r="A471" s="18" t="n">
        <v>467</v>
      </c>
      <c r="B471" s="18" t="inlineStr">
        <is>
          <t>마그마번</t>
        </is>
      </c>
      <c r="C471" s="18" t="inlineStr">
        <is>
          <t>magmortar</t>
        </is>
      </c>
      <c r="D471" s="18" t="inlineStr">
        <is>
          <t>Magmortar</t>
        </is>
      </c>
      <c r="E471" s="18" t="n">
        <v>4</v>
      </c>
      <c r="F471" s="18" t="inlineStr">
        <is>
          <t>generation4</t>
        </is>
      </c>
      <c r="G471" s="18" t="inlineStr">
        <is>
          <t>fire</t>
        </is>
      </c>
      <c r="H471" s="18" t="inlineStr"/>
      <c r="I471" s="18" t="inlineStr">
        <is>
          <t>예</t>
        </is>
      </c>
      <c r="J471" s="18" t="inlineStr">
        <is>
          <t>예</t>
        </is>
      </c>
      <c r="K471" s="18" t="inlineStr">
        <is>
          <t>예</t>
        </is>
      </c>
      <c r="L471" s="18" t="inlineStr">
        <is>
          <t>COBBLEVERSE 수정</t>
        </is>
      </c>
      <c r="M471" s="18">
        <f>COUNTIF('스폰_편집'!$D$5:$D$3125,A471)</f>
        <v/>
      </c>
      <c r="N471" s="18">
        <f>COUNTIFS('스폰_편집'!$D$5:$D$3125,A471,'스폰_편집'!$B$5:$B$3125,"사용")</f>
        <v/>
      </c>
      <c r="O471" s="18" t="n">
        <v>4</v>
      </c>
      <c r="P471" s="18" t="inlineStr">
        <is>
          <t>#cobblemon:is_hills; #cobblemon:is_volcanic; #cobblemon:nether/is_basalt; #cobblemon:nether/is_wasteland</t>
        </is>
      </c>
      <c r="Q471" s="18" t="inlineStr">
        <is>
          <t>common</t>
        </is>
      </c>
      <c r="R471" s="18" t="inlineStr"/>
      <c r="S471" s="18" t="inlineStr">
        <is>
          <t>cobbleventure:generation_4</t>
        </is>
      </c>
      <c r="T471" s="18">
        <f>IF(M471=0,"없음",IF(N471=0,"전부 제외","사용"))</f>
        <v/>
      </c>
      <c r="U471" s="18" t="inlineStr"/>
    </row>
    <row r="472" ht="30" customHeight="1">
      <c r="A472" s="18" t="n">
        <v>468</v>
      </c>
      <c r="B472" s="18" t="inlineStr">
        <is>
          <t>토게키스</t>
        </is>
      </c>
      <c r="C472" s="18" t="inlineStr">
        <is>
          <t>togekiss</t>
        </is>
      </c>
      <c r="D472" s="18" t="inlineStr">
        <is>
          <t>Togekiss</t>
        </is>
      </c>
      <c r="E472" s="18" t="n">
        <v>4</v>
      </c>
      <c r="F472" s="18" t="inlineStr">
        <is>
          <t>generation4</t>
        </is>
      </c>
      <c r="G472" s="18" t="inlineStr">
        <is>
          <t>fairy</t>
        </is>
      </c>
      <c r="H472" s="18" t="inlineStr">
        <is>
          <t>flying</t>
        </is>
      </c>
      <c r="I472" s="18" t="inlineStr">
        <is>
          <t>예</t>
        </is>
      </c>
      <c r="J472" s="18" t="inlineStr">
        <is>
          <t>예</t>
        </is>
      </c>
      <c r="K472" s="18" t="inlineStr">
        <is>
          <t>예</t>
        </is>
      </c>
      <c r="L472" s="18" t="inlineStr">
        <is>
          <t>Cobblemon 동일</t>
        </is>
      </c>
      <c r="M472" s="18">
        <f>COUNTIF('스폰_편집'!$D$5:$D$3125,A472)</f>
        <v/>
      </c>
      <c r="N472" s="18">
        <f>COUNTIFS('스폰_편집'!$D$5:$D$3125,A472,'스폰_편집'!$B$5:$B$3125,"사용")</f>
        <v/>
      </c>
      <c r="O472" s="18" t="n">
        <v>6</v>
      </c>
      <c r="P472" s="18" t="inlineStr">
        <is>
          <t>#cobblemon:is_floral; #cobblemon:is_magical; #cobblemon:is_sky; aether:skyroot_grove; aether:skyroot_meadow; the_bumblezone:floral_meadow</t>
        </is>
      </c>
      <c r="Q472" s="18" t="inlineStr">
        <is>
          <t>rare</t>
        </is>
      </c>
      <c r="R472" s="18" t="inlineStr"/>
      <c r="S472" s="18" t="inlineStr">
        <is>
          <t>cobbleventure:generation_4</t>
        </is>
      </c>
      <c r="T472" s="18">
        <f>IF(M472=0,"없음",IF(N472=0,"전부 제외","사용"))</f>
        <v/>
      </c>
      <c r="U472" s="18" t="inlineStr"/>
    </row>
    <row r="473" ht="30" customHeight="1">
      <c r="A473" s="18" t="n">
        <v>469</v>
      </c>
      <c r="B473" s="18" t="inlineStr">
        <is>
          <t>메가자리</t>
        </is>
      </c>
      <c r="C473" s="18" t="inlineStr">
        <is>
          <t>yanmega</t>
        </is>
      </c>
      <c r="D473" s="18" t="inlineStr">
        <is>
          <t>Yanmega</t>
        </is>
      </c>
      <c r="E473" s="18" t="n">
        <v>4</v>
      </c>
      <c r="F473" s="18" t="inlineStr">
        <is>
          <t>generation4</t>
        </is>
      </c>
      <c r="G473" s="18" t="inlineStr">
        <is>
          <t>bug</t>
        </is>
      </c>
      <c r="H473" s="18" t="inlineStr">
        <is>
          <t>flying</t>
        </is>
      </c>
      <c r="I473" s="18" t="inlineStr">
        <is>
          <t>예</t>
        </is>
      </c>
      <c r="J473" s="18" t="inlineStr">
        <is>
          <t>예</t>
        </is>
      </c>
      <c r="K473" s="18" t="inlineStr">
        <is>
          <t>예</t>
        </is>
      </c>
      <c r="L473" s="18" t="inlineStr">
        <is>
          <t>Cobblemon 동일</t>
        </is>
      </c>
      <c r="M473" s="18">
        <f>COUNTIF('스폰_편집'!$D$5:$D$3125,A473)</f>
        <v/>
      </c>
      <c r="N473" s="18">
        <f>COUNTIFS('스폰_편집'!$D$5:$D$3125,A473,'스폰_편집'!$B$5:$B$3125,"사용")</f>
        <v/>
      </c>
      <c r="O473" s="18" t="n">
        <v>5</v>
      </c>
      <c r="P473" s="18" t="inlineStr">
        <is>
          <t>#aether:is_aether; #cobblemon:is_freshwater; #cobblemon:is_lush; #cobblemon:is_overworld; #the_bumblezone:the_bumblezone</t>
        </is>
      </c>
      <c r="Q473" s="18" t="inlineStr">
        <is>
          <t>uncommon</t>
        </is>
      </c>
      <c r="R473" s="18" t="inlineStr">
        <is>
          <t>region_01; region_02</t>
        </is>
      </c>
      <c r="S473" s="18" t="inlineStr">
        <is>
          <t>cobbleventure:generation_4</t>
        </is>
      </c>
      <c r="T473" s="18">
        <f>IF(M473=0,"없음",IF(N473=0,"전부 제외","사용"))</f>
        <v/>
      </c>
      <c r="U473" s="18" t="inlineStr"/>
    </row>
    <row r="474" ht="30" customHeight="1">
      <c r="A474" s="18" t="n">
        <v>470</v>
      </c>
      <c r="B474" s="18" t="inlineStr">
        <is>
          <t>리피아</t>
        </is>
      </c>
      <c r="C474" s="18" t="inlineStr">
        <is>
          <t>leafeon</t>
        </is>
      </c>
      <c r="D474" s="18" t="inlineStr">
        <is>
          <t>Leafeon</t>
        </is>
      </c>
      <c r="E474" s="18" t="n">
        <v>4</v>
      </c>
      <c r="F474" s="18" t="inlineStr">
        <is>
          <t>generation4</t>
        </is>
      </c>
      <c r="G474" s="18" t="inlineStr">
        <is>
          <t>grass</t>
        </is>
      </c>
      <c r="H474" s="18" t="inlineStr"/>
      <c r="I474" s="18" t="inlineStr">
        <is>
          <t>예</t>
        </is>
      </c>
      <c r="J474" s="18" t="inlineStr">
        <is>
          <t>예</t>
        </is>
      </c>
      <c r="K474" s="18" t="inlineStr">
        <is>
          <t>예</t>
        </is>
      </c>
      <c r="L474" s="18" t="inlineStr">
        <is>
          <t>Cobblemon 동일</t>
        </is>
      </c>
      <c r="M474" s="18">
        <f>COUNTIF('스폰_편집'!$D$5:$D$3125,A474)</f>
        <v/>
      </c>
      <c r="N474" s="18">
        <f>COUNTIFS('스폰_편집'!$D$5:$D$3125,A474,'스폰_편집'!$B$5:$B$3125,"사용")</f>
        <v/>
      </c>
      <c r="O474" s="18" t="n">
        <v>5</v>
      </c>
      <c r="P474" s="18" t="inlineStr">
        <is>
          <t>#cobblemon:is_forest; #cobblemon:is_jungle; #cobblemon:is_overworld; aether:skyroot_forest; aether:skyroot_woodland</t>
        </is>
      </c>
      <c r="Q474" s="18" t="inlineStr">
        <is>
          <t>ultra-rare; uncommon</t>
        </is>
      </c>
      <c r="R474" s="18" t="inlineStr">
        <is>
          <t>region_01; region_02</t>
        </is>
      </c>
      <c r="S474" s="18" t="inlineStr">
        <is>
          <t>cobbleventure:generation_4</t>
        </is>
      </c>
      <c r="T474" s="18">
        <f>IF(M474=0,"없음",IF(N474=0,"전부 제외","사용"))</f>
        <v/>
      </c>
      <c r="U474" s="18" t="inlineStr"/>
    </row>
    <row r="475" ht="30" customHeight="1">
      <c r="A475" s="18" t="n">
        <v>471</v>
      </c>
      <c r="B475" s="18" t="inlineStr">
        <is>
          <t>글레이시아</t>
        </is>
      </c>
      <c r="C475" s="18" t="inlineStr">
        <is>
          <t>glaceon</t>
        </is>
      </c>
      <c r="D475" s="18" t="inlineStr">
        <is>
          <t>Glaceon</t>
        </is>
      </c>
      <c r="E475" s="18" t="n">
        <v>4</v>
      </c>
      <c r="F475" s="18" t="inlineStr">
        <is>
          <t>generation4</t>
        </is>
      </c>
      <c r="G475" s="18" t="inlineStr">
        <is>
          <t>ice</t>
        </is>
      </c>
      <c r="H475" s="18" t="inlineStr"/>
      <c r="I475" s="18" t="inlineStr">
        <is>
          <t>예</t>
        </is>
      </c>
      <c r="J475" s="18" t="inlineStr">
        <is>
          <t>예</t>
        </is>
      </c>
      <c r="K475" s="18" t="inlineStr">
        <is>
          <t>예</t>
        </is>
      </c>
      <c r="L475" s="18" t="inlineStr">
        <is>
          <t>Cobblemon 동일</t>
        </is>
      </c>
      <c r="M475" s="18">
        <f>COUNTIF('스폰_편집'!$D$5:$D$3125,A475)</f>
        <v/>
      </c>
      <c r="N475" s="18">
        <f>COUNTIFS('스폰_편집'!$D$5:$D$3125,A475,'스폰_편집'!$B$5:$B$3125,"사용")</f>
        <v/>
      </c>
      <c r="O475" s="18" t="n">
        <v>2</v>
      </c>
      <c r="P475" s="18" t="inlineStr">
        <is>
          <t>#cobblemon:is_freezing; #cobblemon:is_overworld</t>
        </is>
      </c>
      <c r="Q475" s="18" t="inlineStr">
        <is>
          <t>ultra-rare; uncommon</t>
        </is>
      </c>
      <c r="R475" s="18" t="inlineStr">
        <is>
          <t>region_01; region_02</t>
        </is>
      </c>
      <c r="S475" s="18" t="inlineStr">
        <is>
          <t>cobbleventure:generation_4</t>
        </is>
      </c>
      <c r="T475" s="18">
        <f>IF(M475=0,"없음",IF(N475=0,"전부 제외","사용"))</f>
        <v/>
      </c>
      <c r="U475" s="18" t="inlineStr"/>
    </row>
    <row r="476" ht="30" customHeight="1">
      <c r="A476" s="18" t="n">
        <v>472</v>
      </c>
      <c r="B476" s="18" t="inlineStr">
        <is>
          <t>글라이온</t>
        </is>
      </c>
      <c r="C476" s="18" t="inlineStr">
        <is>
          <t>gliscor</t>
        </is>
      </c>
      <c r="D476" s="18" t="inlineStr">
        <is>
          <t>Gliscor</t>
        </is>
      </c>
      <c r="E476" s="18" t="n">
        <v>4</v>
      </c>
      <c r="F476" s="18" t="inlineStr">
        <is>
          <t>generation4</t>
        </is>
      </c>
      <c r="G476" s="18" t="inlineStr">
        <is>
          <t>ground</t>
        </is>
      </c>
      <c r="H476" s="18" t="inlineStr">
        <is>
          <t>flying</t>
        </is>
      </c>
      <c r="I476" s="18" t="inlineStr">
        <is>
          <t>예</t>
        </is>
      </c>
      <c r="J476" s="18" t="inlineStr">
        <is>
          <t>예</t>
        </is>
      </c>
      <c r="K476" s="18" t="inlineStr">
        <is>
          <t>예</t>
        </is>
      </c>
      <c r="L476" s="18" t="inlineStr">
        <is>
          <t>Cobblemon 동일</t>
        </is>
      </c>
      <c r="M476" s="18">
        <f>COUNTIF('스폰_편집'!$D$5:$D$3125,A476)</f>
        <v/>
      </c>
      <c r="N476" s="18">
        <f>COUNTIFS('스폰_편집'!$D$5:$D$3125,A476,'스폰_편집'!$B$5:$B$3125,"사용")</f>
        <v/>
      </c>
      <c r="O476" s="18" t="n">
        <v>2</v>
      </c>
      <c r="P476" s="18" t="inlineStr">
        <is>
          <t>#cobblemon:is_badlands; #cobblemon:nether/is_mountain</t>
        </is>
      </c>
      <c r="Q476" s="18" t="inlineStr">
        <is>
          <t>common; uncommon</t>
        </is>
      </c>
      <c r="R476" s="18" t="inlineStr"/>
      <c r="S476" s="18" t="inlineStr">
        <is>
          <t>cobbleventure:generation_4</t>
        </is>
      </c>
      <c r="T476" s="18">
        <f>IF(M476=0,"없음",IF(N476=0,"전부 제외","사용"))</f>
        <v/>
      </c>
      <c r="U476" s="18" t="inlineStr"/>
    </row>
    <row r="477" ht="30" customHeight="1">
      <c r="A477" s="18" t="n">
        <v>473</v>
      </c>
      <c r="B477" s="18" t="inlineStr">
        <is>
          <t>맘모꾸리</t>
        </is>
      </c>
      <c r="C477" s="18" t="inlineStr">
        <is>
          <t>mamoswine</t>
        </is>
      </c>
      <c r="D477" s="18" t="inlineStr">
        <is>
          <t>Mamoswine</t>
        </is>
      </c>
      <c r="E477" s="18" t="n">
        <v>4</v>
      </c>
      <c r="F477" s="18" t="inlineStr">
        <is>
          <t>generation4</t>
        </is>
      </c>
      <c r="G477" s="18" t="inlineStr">
        <is>
          <t>ice</t>
        </is>
      </c>
      <c r="H477" s="18" t="inlineStr">
        <is>
          <t>ground</t>
        </is>
      </c>
      <c r="I477" s="18" t="inlineStr">
        <is>
          <t>예</t>
        </is>
      </c>
      <c r="J477" s="18" t="inlineStr">
        <is>
          <t>예</t>
        </is>
      </c>
      <c r="K477" s="18" t="inlineStr">
        <is>
          <t>예</t>
        </is>
      </c>
      <c r="L477" s="18" t="inlineStr">
        <is>
          <t>Cobblemon 동일</t>
        </is>
      </c>
      <c r="M477" s="18">
        <f>COUNTIF('스폰_편집'!$D$5:$D$3125,A477)</f>
        <v/>
      </c>
      <c r="N477" s="18">
        <f>COUNTIFS('스폰_편집'!$D$5:$D$3125,A477,'스폰_편집'!$B$5:$B$3125,"사용")</f>
        <v/>
      </c>
      <c r="O477" s="18" t="n">
        <v>1</v>
      </c>
      <c r="P477" s="18" t="inlineStr">
        <is>
          <t>#cobblemon:is_tundra</t>
        </is>
      </c>
      <c r="Q477" s="18" t="inlineStr">
        <is>
          <t>common</t>
        </is>
      </c>
      <c r="R477" s="18" t="inlineStr"/>
      <c r="S477" s="18" t="inlineStr">
        <is>
          <t>cobbleventure:generation_4</t>
        </is>
      </c>
      <c r="T477" s="18">
        <f>IF(M477=0,"없음",IF(N477=0,"전부 제외","사용"))</f>
        <v/>
      </c>
      <c r="U477" s="18" t="inlineStr"/>
    </row>
    <row r="478" ht="30" customHeight="1">
      <c r="A478" s="18" t="n">
        <v>474</v>
      </c>
      <c r="B478" s="18" t="inlineStr">
        <is>
          <t>폴리곤Z</t>
        </is>
      </c>
      <c r="C478" s="18" t="inlineStr">
        <is>
          <t>porygonz</t>
        </is>
      </c>
      <c r="D478" s="18" t="inlineStr">
        <is>
          <t>Porygon-Z</t>
        </is>
      </c>
      <c r="E478" s="18" t="n">
        <v>4</v>
      </c>
      <c r="F478" s="18" t="inlineStr">
        <is>
          <t>generation4</t>
        </is>
      </c>
      <c r="G478" s="18" t="inlineStr">
        <is>
          <t>normal</t>
        </is>
      </c>
      <c r="H478" s="18" t="inlineStr"/>
      <c r="I478" s="18" t="inlineStr">
        <is>
          <t>예</t>
        </is>
      </c>
      <c r="J478" s="18" t="inlineStr">
        <is>
          <t>예</t>
        </is>
      </c>
      <c r="K478" s="18" t="inlineStr">
        <is>
          <t>예</t>
        </is>
      </c>
      <c r="L478" s="18" t="inlineStr">
        <is>
          <t>COBBLEVERSE 수정</t>
        </is>
      </c>
      <c r="M478" s="18">
        <f>COUNTIF('스폰_편집'!$D$5:$D$3125,A478)</f>
        <v/>
      </c>
      <c r="N478" s="18">
        <f>COUNTIFS('스폰_편집'!$D$5:$D$3125,A478,'스폰_편집'!$B$5:$B$3125,"사용")</f>
        <v/>
      </c>
      <c r="O478" s="18" t="n">
        <v>1</v>
      </c>
      <c r="P478" s="18" t="inlineStr">
        <is>
          <t>#cobblemon:is_end</t>
        </is>
      </c>
      <c r="Q478" s="18" t="inlineStr">
        <is>
          <t>rare</t>
        </is>
      </c>
      <c r="R478" s="18" t="inlineStr"/>
      <c r="S478" s="18" t="inlineStr">
        <is>
          <t>cobbleventure:generation_4</t>
        </is>
      </c>
      <c r="T478" s="18">
        <f>IF(M478=0,"없음",IF(N478=0,"전부 제외","사용"))</f>
        <v/>
      </c>
      <c r="U478" s="18" t="inlineStr"/>
    </row>
    <row r="479" ht="30" customHeight="1">
      <c r="A479" s="18" t="n">
        <v>475</v>
      </c>
      <c r="B479" s="18" t="inlineStr">
        <is>
          <t>엘레이드</t>
        </is>
      </c>
      <c r="C479" s="18" t="inlineStr">
        <is>
          <t>gallade</t>
        </is>
      </c>
      <c r="D479" s="18" t="inlineStr">
        <is>
          <t>Gallade</t>
        </is>
      </c>
      <c r="E479" s="18" t="n">
        <v>4</v>
      </c>
      <c r="F479" s="18" t="inlineStr">
        <is>
          <t>generation4</t>
        </is>
      </c>
      <c r="G479" s="18" t="inlineStr">
        <is>
          <t>psychic</t>
        </is>
      </c>
      <c r="H479" s="18" t="inlineStr">
        <is>
          <t>fighting</t>
        </is>
      </c>
      <c r="I479" s="18" t="inlineStr">
        <is>
          <t>예</t>
        </is>
      </c>
      <c r="J479" s="18" t="inlineStr">
        <is>
          <t>예</t>
        </is>
      </c>
      <c r="K479" s="18" t="inlineStr">
        <is>
          <t>예</t>
        </is>
      </c>
      <c r="L479" s="18" t="inlineStr">
        <is>
          <t>COBBLEVERSE 수정</t>
        </is>
      </c>
      <c r="M479" s="18">
        <f>COUNTIF('스폰_편집'!$D$5:$D$3125,A479)</f>
        <v/>
      </c>
      <c r="N479" s="18">
        <f>COUNTIFS('스폰_편집'!$D$5:$D$3125,A479,'스폰_편집'!$B$5:$B$3125,"사용")</f>
        <v/>
      </c>
      <c r="O479" s="18" t="n">
        <v>6</v>
      </c>
      <c r="P479" s="18" t="inlineStr">
        <is>
          <t>#cobblemon:is_floral; #cobblemon:is_magical; #cobblemon:is_overworld; #cobblemon:is_snowy_forest; aether:skyroot_grove; aether:skyroot_meadow</t>
        </is>
      </c>
      <c r="Q479" s="18" t="inlineStr">
        <is>
          <t>common; rare</t>
        </is>
      </c>
      <c r="R479" s="18" t="inlineStr">
        <is>
          <t>region_01; region_02</t>
        </is>
      </c>
      <c r="S479" s="18" t="inlineStr">
        <is>
          <t>cobbleventure:generation_4</t>
        </is>
      </c>
      <c r="T479" s="18">
        <f>IF(M479=0,"없음",IF(N479=0,"전부 제외","사용"))</f>
        <v/>
      </c>
      <c r="U479" s="18" t="inlineStr"/>
    </row>
    <row r="480" ht="30" customHeight="1">
      <c r="A480" s="18" t="n">
        <v>476</v>
      </c>
      <c r="B480" s="18" t="inlineStr">
        <is>
          <t>대코파스</t>
        </is>
      </c>
      <c r="C480" s="18" t="inlineStr">
        <is>
          <t>probopass</t>
        </is>
      </c>
      <c r="D480" s="18" t="inlineStr">
        <is>
          <t>Probopass</t>
        </is>
      </c>
      <c r="E480" s="18" t="n">
        <v>4</v>
      </c>
      <c r="F480" s="18" t="inlineStr">
        <is>
          <t>generation4</t>
        </is>
      </c>
      <c r="G480" s="18" t="inlineStr">
        <is>
          <t>rock</t>
        </is>
      </c>
      <c r="H480" s="18" t="inlineStr">
        <is>
          <t>steel</t>
        </is>
      </c>
      <c r="I480" s="18" t="inlineStr">
        <is>
          <t>예</t>
        </is>
      </c>
      <c r="J480" s="18" t="inlineStr">
        <is>
          <t>예</t>
        </is>
      </c>
      <c r="K480" s="18" t="inlineStr">
        <is>
          <t>예</t>
        </is>
      </c>
      <c r="L480" s="18" t="inlineStr">
        <is>
          <t>Cobblemon 동일</t>
        </is>
      </c>
      <c r="M480" s="18">
        <f>COUNTIF('스폰_편집'!$D$5:$D$3125,A480)</f>
        <v/>
      </c>
      <c r="N480" s="18">
        <f>COUNTIFS('스폰_편집'!$D$5:$D$3125,A480,'스폰_편집'!$B$5:$B$3125,"사용")</f>
        <v/>
      </c>
      <c r="O480" s="18" t="n">
        <v>1</v>
      </c>
      <c r="P480" s="18" t="inlineStr">
        <is>
          <t>#cobblemon:is_overworld</t>
        </is>
      </c>
      <c r="Q480" s="18" t="inlineStr">
        <is>
          <t>uncommon</t>
        </is>
      </c>
      <c r="R480" s="18" t="inlineStr">
        <is>
          <t>region_01; region_02</t>
        </is>
      </c>
      <c r="S480" s="18" t="inlineStr">
        <is>
          <t>cobbleventure:generation_4</t>
        </is>
      </c>
      <c r="T480" s="18">
        <f>IF(M480=0,"없음",IF(N480=0,"전부 제외","사용"))</f>
        <v/>
      </c>
      <c r="U480" s="18" t="inlineStr"/>
    </row>
    <row r="481" ht="30" customHeight="1">
      <c r="A481" s="18" t="n">
        <v>477</v>
      </c>
      <c r="B481" s="18" t="inlineStr">
        <is>
          <t>야느와르몽</t>
        </is>
      </c>
      <c r="C481" s="18" t="inlineStr">
        <is>
          <t>dusknoir</t>
        </is>
      </c>
      <c r="D481" s="18" t="inlineStr">
        <is>
          <t>Dusknoir</t>
        </is>
      </c>
      <c r="E481" s="18" t="n">
        <v>4</v>
      </c>
      <c r="F481" s="18" t="inlineStr">
        <is>
          <t>generation4</t>
        </is>
      </c>
      <c r="G481" s="18" t="inlineStr">
        <is>
          <t>ghost</t>
        </is>
      </c>
      <c r="H481" s="18" t="inlineStr"/>
      <c r="I481" s="18" t="inlineStr">
        <is>
          <t>예</t>
        </is>
      </c>
      <c r="J481" s="18" t="inlineStr">
        <is>
          <t>예</t>
        </is>
      </c>
      <c r="K481" s="18" t="inlineStr">
        <is>
          <t>예</t>
        </is>
      </c>
      <c r="L481" s="18" t="inlineStr">
        <is>
          <t>COBBLEVERSE 수정</t>
        </is>
      </c>
      <c r="M481" s="18">
        <f>COUNTIF('스폰_편집'!$D$5:$D$3125,A481)</f>
        <v/>
      </c>
      <c r="N481" s="18">
        <f>COUNTIFS('스폰_편집'!$D$5:$D$3125,A481,'스폰_편집'!$B$5:$B$3125,"사용")</f>
        <v/>
      </c>
      <c r="O481" s="18" t="n">
        <v>2</v>
      </c>
      <c r="P481" s="18" t="inlineStr">
        <is>
          <t>#cobblemon:is_spooky; #cobblemon:nether/is_soul_sand</t>
        </is>
      </c>
      <c r="Q481" s="18" t="inlineStr">
        <is>
          <t>common</t>
        </is>
      </c>
      <c r="R481" s="18" t="inlineStr"/>
      <c r="S481" s="18" t="inlineStr">
        <is>
          <t>cobbleventure:generation_4</t>
        </is>
      </c>
      <c r="T481" s="18">
        <f>IF(M481=0,"없음",IF(N481=0,"전부 제외","사용"))</f>
        <v/>
      </c>
      <c r="U481" s="18" t="inlineStr"/>
    </row>
    <row r="482" ht="30" customHeight="1">
      <c r="A482" s="18" t="n">
        <v>478</v>
      </c>
      <c r="B482" s="18" t="inlineStr">
        <is>
          <t>눈여아</t>
        </is>
      </c>
      <c r="C482" s="18" t="inlineStr">
        <is>
          <t>froslass</t>
        </is>
      </c>
      <c r="D482" s="18" t="inlineStr">
        <is>
          <t>Froslass</t>
        </is>
      </c>
      <c r="E482" s="18" t="n">
        <v>4</v>
      </c>
      <c r="F482" s="18" t="inlineStr">
        <is>
          <t>generation4</t>
        </is>
      </c>
      <c r="G482" s="18" t="inlineStr">
        <is>
          <t>ice</t>
        </is>
      </c>
      <c r="H482" s="18" t="inlineStr">
        <is>
          <t>ghost</t>
        </is>
      </c>
      <c r="I482" s="18" t="inlineStr">
        <is>
          <t>예</t>
        </is>
      </c>
      <c r="J482" s="18" t="inlineStr">
        <is>
          <t>예</t>
        </is>
      </c>
      <c r="K482" s="18" t="inlineStr">
        <is>
          <t>예</t>
        </is>
      </c>
      <c r="L482" s="18" t="inlineStr">
        <is>
          <t>Cobblemon 동일</t>
        </is>
      </c>
      <c r="M482" s="18">
        <f>COUNTIF('스폰_편집'!$D$5:$D$3125,A482)</f>
        <v/>
      </c>
      <c r="N482" s="18">
        <f>COUNTIFS('스폰_편집'!$D$5:$D$3125,A482,'스폰_편집'!$B$5:$B$3125,"사용")</f>
        <v/>
      </c>
      <c r="O482" s="18" t="n">
        <v>5</v>
      </c>
      <c r="P482" s="18" t="inlineStr">
        <is>
          <t>#cobblemon:is_glacial; #cobblemon:is_overworld; #cobblemon:is_snowy; #cobblemon:is_tundra; #cobblemon:nether/is_frozen</t>
        </is>
      </c>
      <c r="Q482" s="18" t="inlineStr">
        <is>
          <t>common; uncommon</t>
        </is>
      </c>
      <c r="R482" s="18" t="inlineStr">
        <is>
          <t>region_01; region_02</t>
        </is>
      </c>
      <c r="S482" s="18" t="inlineStr">
        <is>
          <t>cobbleventure:generation_4</t>
        </is>
      </c>
      <c r="T482" s="18">
        <f>IF(M482=0,"없음",IF(N482=0,"전부 제외","사용"))</f>
        <v/>
      </c>
      <c r="U482" s="18" t="inlineStr"/>
    </row>
    <row r="483" ht="30" customHeight="1">
      <c r="A483" s="18" t="n">
        <v>479</v>
      </c>
      <c r="B483" s="18" t="inlineStr">
        <is>
          <t>로토무</t>
        </is>
      </c>
      <c r="C483" s="18" t="inlineStr">
        <is>
          <t>rotom</t>
        </is>
      </c>
      <c r="D483" s="18" t="inlineStr">
        <is>
          <t>Rotom</t>
        </is>
      </c>
      <c r="E483" s="18" t="n">
        <v>4</v>
      </c>
      <c r="F483" s="18" t="inlineStr">
        <is>
          <t>generation4</t>
        </is>
      </c>
      <c r="G483" s="18" t="inlineStr">
        <is>
          <t>electric</t>
        </is>
      </c>
      <c r="H483" s="18" t="inlineStr">
        <is>
          <t>ghost</t>
        </is>
      </c>
      <c r="I483" s="18" t="inlineStr">
        <is>
          <t>예</t>
        </is>
      </c>
      <c r="J483" s="18" t="inlineStr">
        <is>
          <t>아니오</t>
        </is>
      </c>
      <c r="K483" s="18" t="inlineStr">
        <is>
          <t>예</t>
        </is>
      </c>
      <c r="L483" s="18" t="inlineStr">
        <is>
          <t>COBBLEVERSE 추가</t>
        </is>
      </c>
      <c r="M483" s="18">
        <f>COUNTIF('스폰_편집'!$D$5:$D$3125,A483)</f>
        <v/>
      </c>
      <c r="N483" s="18">
        <f>COUNTIFS('스폰_편집'!$D$5:$D$3125,A483,'스폰_편집'!$B$5:$B$3125,"사용")</f>
        <v/>
      </c>
      <c r="O483" s="18" t="n">
        <v>1</v>
      </c>
      <c r="P483" s="18" t="inlineStr">
        <is>
          <t>#cobblemon:is_overworld</t>
        </is>
      </c>
      <c r="Q483" s="18" t="inlineStr">
        <is>
          <t>rare</t>
        </is>
      </c>
      <c r="R483" s="18" t="inlineStr">
        <is>
          <t>region_01; region_02</t>
        </is>
      </c>
      <c r="S483" s="18" t="inlineStr">
        <is>
          <t>cobbleventure:generation_4</t>
        </is>
      </c>
      <c r="T483" s="18">
        <f>IF(M483=0,"없음",IF(N483=0,"전부 제외","사용"))</f>
        <v/>
      </c>
      <c r="U483" s="18" t="inlineStr"/>
    </row>
    <row r="484" ht="30" customHeight="1">
      <c r="A484" s="18" t="n">
        <v>480</v>
      </c>
      <c r="B484" s="18" t="inlineStr">
        <is>
          <t>유크시</t>
        </is>
      </c>
      <c r="C484" s="18" t="inlineStr">
        <is>
          <t>uxie</t>
        </is>
      </c>
      <c r="D484" s="18" t="inlineStr">
        <is>
          <t>Uxie</t>
        </is>
      </c>
      <c r="E484" s="18" t="n">
        <v>4</v>
      </c>
      <c r="F484" s="18" t="inlineStr">
        <is>
          <t>generation4</t>
        </is>
      </c>
      <c r="G484" s="18" t="inlineStr">
        <is>
          <t>psychic</t>
        </is>
      </c>
      <c r="H484" s="18" t="inlineStr"/>
      <c r="I484" s="18" t="inlineStr">
        <is>
          <t>아니오</t>
        </is>
      </c>
      <c r="J484" s="18" t="inlineStr">
        <is>
          <t>아니오</t>
        </is>
      </c>
      <c r="K484" s="18" t="inlineStr">
        <is>
          <t>예</t>
        </is>
      </c>
      <c r="L484" s="18" t="inlineStr">
        <is>
          <t>COBBLEVERSE 추가</t>
        </is>
      </c>
      <c r="M484" s="18">
        <f>COUNTIF('스폰_편집'!$D$5:$D$3125,A484)</f>
        <v/>
      </c>
      <c r="N484" s="18">
        <f>COUNTIFS('스폰_편집'!$D$5:$D$3125,A484,'스폰_편집'!$B$5:$B$3125,"사용")</f>
        <v/>
      </c>
      <c r="O484" s="18" t="n">
        <v>1</v>
      </c>
      <c r="P484" s="18" t="inlineStr">
        <is>
          <t>cobbleverse:custom_spawn</t>
        </is>
      </c>
      <c r="Q484" s="18" t="inlineStr">
        <is>
          <t>ultra-rare</t>
        </is>
      </c>
      <c r="R484" s="18" t="inlineStr"/>
      <c r="S484" s="18" t="inlineStr">
        <is>
          <t>cobbleventure:generation_4</t>
        </is>
      </c>
      <c r="T484" s="18">
        <f>IF(M484=0,"없음",IF(N484=0,"전부 제외","사용"))</f>
        <v/>
      </c>
      <c r="U484" s="18" t="inlineStr"/>
    </row>
    <row r="485" ht="30" customHeight="1">
      <c r="A485" s="18" t="n">
        <v>481</v>
      </c>
      <c r="B485" s="18" t="inlineStr">
        <is>
          <t>엠라이트</t>
        </is>
      </c>
      <c r="C485" s="18" t="inlineStr">
        <is>
          <t>mesprit</t>
        </is>
      </c>
      <c r="D485" s="18" t="inlineStr">
        <is>
          <t>Mesprit</t>
        </is>
      </c>
      <c r="E485" s="18" t="n">
        <v>4</v>
      </c>
      <c r="F485" s="18" t="inlineStr">
        <is>
          <t>generation4</t>
        </is>
      </c>
      <c r="G485" s="18" t="inlineStr">
        <is>
          <t>psychic</t>
        </is>
      </c>
      <c r="H485" s="18" t="inlineStr"/>
      <c r="I485" s="18" t="inlineStr">
        <is>
          <t>아니오</t>
        </is>
      </c>
      <c r="J485" s="18" t="inlineStr">
        <is>
          <t>아니오</t>
        </is>
      </c>
      <c r="K485" s="18" t="inlineStr">
        <is>
          <t>예</t>
        </is>
      </c>
      <c r="L485" s="18" t="inlineStr">
        <is>
          <t>COBBLEVERSE 추가</t>
        </is>
      </c>
      <c r="M485" s="18">
        <f>COUNTIF('스폰_편집'!$D$5:$D$3125,A485)</f>
        <v/>
      </c>
      <c r="N485" s="18">
        <f>COUNTIFS('스폰_편집'!$D$5:$D$3125,A485,'스폰_편집'!$B$5:$B$3125,"사용")</f>
        <v/>
      </c>
      <c r="O485" s="18" t="n">
        <v>1</v>
      </c>
      <c r="P485" s="18" t="inlineStr">
        <is>
          <t>cobbleverse:custom_spawn</t>
        </is>
      </c>
      <c r="Q485" s="18" t="inlineStr">
        <is>
          <t>ultra-rare</t>
        </is>
      </c>
      <c r="R485" s="18" t="inlineStr"/>
      <c r="S485" s="18" t="inlineStr">
        <is>
          <t>cobbleventure:generation_4</t>
        </is>
      </c>
      <c r="T485" s="18">
        <f>IF(M485=0,"없음",IF(N485=0,"전부 제외","사용"))</f>
        <v/>
      </c>
      <c r="U485" s="18" t="inlineStr"/>
    </row>
    <row r="486" ht="30" customHeight="1">
      <c r="A486" s="18" t="n">
        <v>482</v>
      </c>
      <c r="B486" s="18" t="inlineStr">
        <is>
          <t>아그놈</t>
        </is>
      </c>
      <c r="C486" s="18" t="inlineStr">
        <is>
          <t>azelf</t>
        </is>
      </c>
      <c r="D486" s="18" t="inlineStr">
        <is>
          <t>Azelf</t>
        </is>
      </c>
      <c r="E486" s="18" t="n">
        <v>4</v>
      </c>
      <c r="F486" s="18" t="inlineStr">
        <is>
          <t>generation4</t>
        </is>
      </c>
      <c r="G486" s="18" t="inlineStr">
        <is>
          <t>psychic</t>
        </is>
      </c>
      <c r="H486" s="18" t="inlineStr"/>
      <c r="I486" s="18" t="inlineStr">
        <is>
          <t>아니오</t>
        </is>
      </c>
      <c r="J486" s="18" t="inlineStr">
        <is>
          <t>아니오</t>
        </is>
      </c>
      <c r="K486" s="18" t="inlineStr">
        <is>
          <t>예</t>
        </is>
      </c>
      <c r="L486" s="18" t="inlineStr">
        <is>
          <t>COBBLEVERSE 추가</t>
        </is>
      </c>
      <c r="M486" s="18">
        <f>COUNTIF('스폰_편집'!$D$5:$D$3125,A486)</f>
        <v/>
      </c>
      <c r="N486" s="18">
        <f>COUNTIFS('스폰_편집'!$D$5:$D$3125,A486,'스폰_편집'!$B$5:$B$3125,"사용")</f>
        <v/>
      </c>
      <c r="O486" s="18" t="n">
        <v>1</v>
      </c>
      <c r="P486" s="18" t="inlineStr">
        <is>
          <t>cobbleverse:custom_spawn</t>
        </is>
      </c>
      <c r="Q486" s="18" t="inlineStr">
        <is>
          <t>ultra-rare</t>
        </is>
      </c>
      <c r="R486" s="18" t="inlineStr"/>
      <c r="S486" s="18" t="inlineStr">
        <is>
          <t>cobbleventure:generation_4</t>
        </is>
      </c>
      <c r="T486" s="18">
        <f>IF(M486=0,"없음",IF(N486=0,"전부 제외","사용"))</f>
        <v/>
      </c>
      <c r="U486" s="18" t="inlineStr"/>
    </row>
    <row r="487" ht="30" customHeight="1">
      <c r="A487" s="18" t="n">
        <v>483</v>
      </c>
      <c r="B487" s="18" t="inlineStr">
        <is>
          <t>디아루가</t>
        </is>
      </c>
      <c r="C487" s="18" t="inlineStr">
        <is>
          <t>dialga</t>
        </is>
      </c>
      <c r="D487" s="18" t="inlineStr">
        <is>
          <t>Dialga</t>
        </is>
      </c>
      <c r="E487" s="18" t="n">
        <v>4</v>
      </c>
      <c r="F487" s="18" t="inlineStr">
        <is>
          <t>generation4</t>
        </is>
      </c>
      <c r="G487" s="18" t="inlineStr">
        <is>
          <t>steel</t>
        </is>
      </c>
      <c r="H487" s="18" t="inlineStr">
        <is>
          <t>dragon</t>
        </is>
      </c>
      <c r="I487" s="18" t="inlineStr">
        <is>
          <t>아니오</t>
        </is>
      </c>
      <c r="J487" s="18" t="inlineStr">
        <is>
          <t>아니오</t>
        </is>
      </c>
      <c r="K487" s="18" t="inlineStr">
        <is>
          <t>예</t>
        </is>
      </c>
      <c r="L487" s="18" t="inlineStr">
        <is>
          <t>COBBLEVERSE 추가</t>
        </is>
      </c>
      <c r="M487" s="18">
        <f>COUNTIF('스폰_편집'!$D$5:$D$3125,A487)</f>
        <v/>
      </c>
      <c r="N487" s="18">
        <f>COUNTIFS('스폰_편집'!$D$5:$D$3125,A487,'스폰_편집'!$B$5:$B$3125,"사용")</f>
        <v/>
      </c>
      <c r="O487" s="18" t="n">
        <v>1</v>
      </c>
      <c r="P487" s="18" t="inlineStr">
        <is>
          <t>cobbleverse:custom_spawn</t>
        </is>
      </c>
      <c r="Q487" s="18" t="inlineStr">
        <is>
          <t>ultra-rare</t>
        </is>
      </c>
      <c r="R487" s="18" t="inlineStr"/>
      <c r="S487" s="18" t="inlineStr">
        <is>
          <t>cobbleventure:generation_4</t>
        </is>
      </c>
      <c r="T487" s="18">
        <f>IF(M487=0,"없음",IF(N487=0,"전부 제외","사용"))</f>
        <v/>
      </c>
      <c r="U487" s="18" t="inlineStr"/>
    </row>
    <row r="488" ht="30" customHeight="1">
      <c r="A488" s="18" t="n">
        <v>484</v>
      </c>
      <c r="B488" s="18" t="inlineStr">
        <is>
          <t>펄기아</t>
        </is>
      </c>
      <c r="C488" s="18" t="inlineStr">
        <is>
          <t>palkia</t>
        </is>
      </c>
      <c r="D488" s="18" t="inlineStr">
        <is>
          <t>Palkia</t>
        </is>
      </c>
      <c r="E488" s="18" t="n">
        <v>4</v>
      </c>
      <c r="F488" s="18" t="inlineStr">
        <is>
          <t>generation4</t>
        </is>
      </c>
      <c r="G488" s="18" t="inlineStr">
        <is>
          <t>water</t>
        </is>
      </c>
      <c r="H488" s="18" t="inlineStr">
        <is>
          <t>dragon</t>
        </is>
      </c>
      <c r="I488" s="18" t="inlineStr">
        <is>
          <t>아니오</t>
        </is>
      </c>
      <c r="J488" s="18" t="inlineStr">
        <is>
          <t>아니오</t>
        </is>
      </c>
      <c r="K488" s="18" t="inlineStr">
        <is>
          <t>예</t>
        </is>
      </c>
      <c r="L488" s="18" t="inlineStr">
        <is>
          <t>COBBLEVERSE 추가</t>
        </is>
      </c>
      <c r="M488" s="18">
        <f>COUNTIF('스폰_편집'!$D$5:$D$3125,A488)</f>
        <v/>
      </c>
      <c r="N488" s="18">
        <f>COUNTIFS('스폰_편집'!$D$5:$D$3125,A488,'스폰_편집'!$B$5:$B$3125,"사용")</f>
        <v/>
      </c>
      <c r="O488" s="18" t="n">
        <v>1</v>
      </c>
      <c r="P488" s="18" t="inlineStr">
        <is>
          <t>cobbleverse:custom_spawn</t>
        </is>
      </c>
      <c r="Q488" s="18" t="inlineStr">
        <is>
          <t>ultra-rare</t>
        </is>
      </c>
      <c r="R488" s="18" t="inlineStr"/>
      <c r="S488" s="18" t="inlineStr">
        <is>
          <t>cobbleventure:generation_4</t>
        </is>
      </c>
      <c r="T488" s="18">
        <f>IF(M488=0,"없음",IF(N488=0,"전부 제외","사용"))</f>
        <v/>
      </c>
      <c r="U488" s="18" t="inlineStr"/>
    </row>
    <row r="489" ht="30" customHeight="1">
      <c r="A489" s="18" t="n">
        <v>485</v>
      </c>
      <c r="B489" s="18" t="inlineStr">
        <is>
          <t>히드런</t>
        </is>
      </c>
      <c r="C489" s="18" t="inlineStr">
        <is>
          <t>heatran</t>
        </is>
      </c>
      <c r="D489" s="18" t="inlineStr">
        <is>
          <t>Heatran</t>
        </is>
      </c>
      <c r="E489" s="18" t="n">
        <v>4</v>
      </c>
      <c r="F489" s="18" t="inlineStr">
        <is>
          <t>generation4</t>
        </is>
      </c>
      <c r="G489" s="18" t="inlineStr">
        <is>
          <t>fire</t>
        </is>
      </c>
      <c r="H489" s="18" t="inlineStr">
        <is>
          <t>steel</t>
        </is>
      </c>
      <c r="I489" s="18" t="inlineStr">
        <is>
          <t>아니오</t>
        </is>
      </c>
      <c r="J489" s="18" t="inlineStr">
        <is>
          <t>아니오</t>
        </is>
      </c>
      <c r="K489" s="18" t="inlineStr">
        <is>
          <t>예</t>
        </is>
      </c>
      <c r="L489" s="18" t="inlineStr">
        <is>
          <t>COBBLEVERSE 추가</t>
        </is>
      </c>
      <c r="M489" s="18">
        <f>COUNTIF('스폰_편집'!$D$5:$D$3125,A489)</f>
        <v/>
      </c>
      <c r="N489" s="18">
        <f>COUNTIFS('스폰_편집'!$D$5:$D$3125,A489,'스폰_편집'!$B$5:$B$3125,"사용")</f>
        <v/>
      </c>
      <c r="O489" s="18" t="n">
        <v>1</v>
      </c>
      <c r="P489" s="18" t="inlineStr">
        <is>
          <t>cobbleverse:custom_spawn</t>
        </is>
      </c>
      <c r="Q489" s="18" t="inlineStr">
        <is>
          <t>ultra-rare</t>
        </is>
      </c>
      <c r="R489" s="18" t="inlineStr"/>
      <c r="S489" s="18" t="inlineStr">
        <is>
          <t>cobbleventure:generation_4</t>
        </is>
      </c>
      <c r="T489" s="18">
        <f>IF(M489=0,"없음",IF(N489=0,"전부 제외","사용"))</f>
        <v/>
      </c>
      <c r="U489" s="18" t="inlineStr"/>
    </row>
    <row r="490" ht="30" customHeight="1">
      <c r="A490" s="18" t="n">
        <v>486</v>
      </c>
      <c r="B490" s="18" t="inlineStr">
        <is>
          <t>레지기가스</t>
        </is>
      </c>
      <c r="C490" s="18" t="inlineStr">
        <is>
          <t>regigigas</t>
        </is>
      </c>
      <c r="D490" s="18" t="inlineStr">
        <is>
          <t>Regigigas</t>
        </is>
      </c>
      <c r="E490" s="18" t="n">
        <v>4</v>
      </c>
      <c r="F490" s="18" t="inlineStr">
        <is>
          <t>generation4</t>
        </is>
      </c>
      <c r="G490" s="18" t="inlineStr">
        <is>
          <t>normal</t>
        </is>
      </c>
      <c r="H490" s="18" t="inlineStr"/>
      <c r="I490" s="18" t="inlineStr">
        <is>
          <t>예</t>
        </is>
      </c>
      <c r="J490" s="18" t="inlineStr">
        <is>
          <t>아니오</t>
        </is>
      </c>
      <c r="K490" s="18" t="inlineStr">
        <is>
          <t>예</t>
        </is>
      </c>
      <c r="L490" s="18" t="inlineStr">
        <is>
          <t>COBBLEVERSE 추가</t>
        </is>
      </c>
      <c r="M490" s="18">
        <f>COUNTIF('스폰_편집'!$D$5:$D$3125,A490)</f>
        <v/>
      </c>
      <c r="N490" s="18">
        <f>COUNTIFS('스폰_편집'!$D$5:$D$3125,A490,'스폰_편집'!$B$5:$B$3125,"사용")</f>
        <v/>
      </c>
      <c r="O490" s="18" t="n">
        <v>1</v>
      </c>
      <c r="P490" s="18" t="inlineStr">
        <is>
          <t>cobbleverse:custom_spawn</t>
        </is>
      </c>
      <c r="Q490" s="18" t="inlineStr">
        <is>
          <t>ultra-rare</t>
        </is>
      </c>
      <c r="R490" s="18" t="inlineStr"/>
      <c r="S490" s="18" t="inlineStr">
        <is>
          <t>cobbleventure:generation_4</t>
        </is>
      </c>
      <c r="T490" s="18">
        <f>IF(M490=0,"없음",IF(N490=0,"전부 제외","사용"))</f>
        <v/>
      </c>
      <c r="U490" s="18" t="inlineStr"/>
    </row>
    <row r="491" ht="30" customHeight="1">
      <c r="A491" s="18" t="n">
        <v>487</v>
      </c>
      <c r="B491" s="18" t="inlineStr">
        <is>
          <t>기라티나</t>
        </is>
      </c>
      <c r="C491" s="18" t="inlineStr">
        <is>
          <t>giratina</t>
        </is>
      </c>
      <c r="D491" s="18" t="inlineStr">
        <is>
          <t>Giratina</t>
        </is>
      </c>
      <c r="E491" s="18" t="n">
        <v>4</v>
      </c>
      <c r="F491" s="18" t="inlineStr">
        <is>
          <t>generation4</t>
        </is>
      </c>
      <c r="G491" s="18" t="inlineStr">
        <is>
          <t>ghost</t>
        </is>
      </c>
      <c r="H491" s="18" t="inlineStr">
        <is>
          <t>dragon</t>
        </is>
      </c>
      <c r="I491" s="18" t="inlineStr">
        <is>
          <t>아니오</t>
        </is>
      </c>
      <c r="J491" s="18" t="inlineStr">
        <is>
          <t>아니오</t>
        </is>
      </c>
      <c r="K491" s="18" t="inlineStr">
        <is>
          <t>예</t>
        </is>
      </c>
      <c r="L491" s="18" t="inlineStr">
        <is>
          <t>COBBLEVERSE 추가</t>
        </is>
      </c>
      <c r="M491" s="18">
        <f>COUNTIF('스폰_편집'!$D$5:$D$3125,A491)</f>
        <v/>
      </c>
      <c r="N491" s="18">
        <f>COUNTIFS('스폰_편집'!$D$5:$D$3125,A491,'스폰_편집'!$B$5:$B$3125,"사용")</f>
        <v/>
      </c>
      <c r="O491" s="18" t="n">
        <v>1</v>
      </c>
      <c r="P491" s="18" t="inlineStr">
        <is>
          <t>cobbleverse:custom_spawn</t>
        </is>
      </c>
      <c r="Q491" s="18" t="inlineStr">
        <is>
          <t>ultra-rare</t>
        </is>
      </c>
      <c r="R491" s="18" t="inlineStr"/>
      <c r="S491" s="18" t="inlineStr">
        <is>
          <t>cobbleventure:generation_4</t>
        </is>
      </c>
      <c r="T491" s="18">
        <f>IF(M491=0,"없음",IF(N491=0,"전부 제외","사용"))</f>
        <v/>
      </c>
      <c r="U491" s="18" t="inlineStr"/>
    </row>
    <row r="492" ht="30" customHeight="1">
      <c r="A492" s="18" t="n">
        <v>488</v>
      </c>
      <c r="B492" s="18" t="inlineStr">
        <is>
          <t>크레세리아</t>
        </is>
      </c>
      <c r="C492" s="18" t="inlineStr">
        <is>
          <t>cresselia</t>
        </is>
      </c>
      <c r="D492" s="18" t="inlineStr">
        <is>
          <t>Cresselia</t>
        </is>
      </c>
      <c r="E492" s="18" t="n">
        <v>4</v>
      </c>
      <c r="F492" s="18" t="inlineStr">
        <is>
          <t>generation4</t>
        </is>
      </c>
      <c r="G492" s="18" t="inlineStr">
        <is>
          <t>psychic</t>
        </is>
      </c>
      <c r="H492" s="18" t="inlineStr"/>
      <c r="I492" s="18" t="inlineStr">
        <is>
          <t>아니오</t>
        </is>
      </c>
      <c r="J492" s="18" t="inlineStr">
        <is>
          <t>아니오</t>
        </is>
      </c>
      <c r="K492" s="18" t="inlineStr">
        <is>
          <t>예</t>
        </is>
      </c>
      <c r="L492" s="18" t="inlineStr">
        <is>
          <t>COBBLEVERSE 추가</t>
        </is>
      </c>
      <c r="M492" s="18">
        <f>COUNTIF('스폰_편집'!$D$5:$D$3125,A492)</f>
        <v/>
      </c>
      <c r="N492" s="18">
        <f>COUNTIFS('스폰_편집'!$D$5:$D$3125,A492,'스폰_편집'!$B$5:$B$3125,"사용")</f>
        <v/>
      </c>
      <c r="O492" s="18" t="n">
        <v>1</v>
      </c>
      <c r="P492" s="18" t="inlineStr">
        <is>
          <t>cobbleverse:custom_spawn</t>
        </is>
      </c>
      <c r="Q492" s="18" t="inlineStr">
        <is>
          <t>ultra-rare</t>
        </is>
      </c>
      <c r="R492" s="18" t="inlineStr"/>
      <c r="S492" s="18" t="inlineStr">
        <is>
          <t>cobbleventure:generation_4</t>
        </is>
      </c>
      <c r="T492" s="18">
        <f>IF(M492=0,"없음",IF(N492=0,"전부 제외","사용"))</f>
        <v/>
      </c>
      <c r="U492" s="18" t="inlineStr"/>
    </row>
    <row r="493" ht="30" customHeight="1">
      <c r="A493" s="18" t="n">
        <v>489</v>
      </c>
      <c r="B493" s="18" t="inlineStr">
        <is>
          <t>피오네</t>
        </is>
      </c>
      <c r="C493" s="18" t="inlineStr">
        <is>
          <t>phione</t>
        </is>
      </c>
      <c r="D493" s="18" t="inlineStr">
        <is>
          <t>Phione</t>
        </is>
      </c>
      <c r="E493" s="18" t="n">
        <v>4</v>
      </c>
      <c r="F493" s="18" t="inlineStr">
        <is>
          <t>generation4</t>
        </is>
      </c>
      <c r="G493" s="18" t="inlineStr">
        <is>
          <t>water</t>
        </is>
      </c>
      <c r="H493" s="18" t="inlineStr"/>
      <c r="I493" s="18" t="inlineStr">
        <is>
          <t>아니오</t>
        </is>
      </c>
      <c r="J493" s="18" t="inlineStr">
        <is>
          <t>아니오</t>
        </is>
      </c>
      <c r="K493" s="18" t="inlineStr">
        <is>
          <t>예</t>
        </is>
      </c>
      <c r="L493" s="18" t="inlineStr">
        <is>
          <t>COBBLEVERSE 추가</t>
        </is>
      </c>
      <c r="M493" s="18">
        <f>COUNTIF('스폰_편집'!$D$5:$D$3125,A493)</f>
        <v/>
      </c>
      <c r="N493" s="18">
        <f>COUNTIFS('스폰_편집'!$D$5:$D$3125,A493,'스폰_편집'!$B$5:$B$3125,"사용")</f>
        <v/>
      </c>
      <c r="O493" s="18" t="n">
        <v>1</v>
      </c>
      <c r="P493" s="18" t="inlineStr">
        <is>
          <t>cobbleverse:custom_spawn</t>
        </is>
      </c>
      <c r="Q493" s="18" t="inlineStr">
        <is>
          <t>ultra-rare</t>
        </is>
      </c>
      <c r="R493" s="18" t="inlineStr"/>
      <c r="S493" s="18" t="inlineStr">
        <is>
          <t>cobbleventure:generation_4</t>
        </is>
      </c>
      <c r="T493" s="18">
        <f>IF(M493=0,"없음",IF(N493=0,"전부 제외","사용"))</f>
        <v/>
      </c>
      <c r="U493" s="18" t="inlineStr"/>
    </row>
    <row r="494" ht="30" customHeight="1">
      <c r="A494" s="18" t="n">
        <v>490</v>
      </c>
      <c r="B494" s="18" t="inlineStr">
        <is>
          <t>마나피</t>
        </is>
      </c>
      <c r="C494" s="18" t="inlineStr">
        <is>
          <t>manaphy</t>
        </is>
      </c>
      <c r="D494" s="18" t="inlineStr">
        <is>
          <t>Manaphy</t>
        </is>
      </c>
      <c r="E494" s="18" t="n">
        <v>4</v>
      </c>
      <c r="F494" s="18" t="inlineStr">
        <is>
          <t>generation4</t>
        </is>
      </c>
      <c r="G494" s="18" t="inlineStr">
        <is>
          <t>water</t>
        </is>
      </c>
      <c r="H494" s="18" t="inlineStr"/>
      <c r="I494" s="18" t="inlineStr">
        <is>
          <t>아니오</t>
        </is>
      </c>
      <c r="J494" s="18" t="inlineStr">
        <is>
          <t>아니오</t>
        </is>
      </c>
      <c r="K494" s="18" t="inlineStr">
        <is>
          <t>예</t>
        </is>
      </c>
      <c r="L494" s="18" t="inlineStr">
        <is>
          <t>COBBLEVERSE 추가</t>
        </is>
      </c>
      <c r="M494" s="18">
        <f>COUNTIF('스폰_편집'!$D$5:$D$3125,A494)</f>
        <v/>
      </c>
      <c r="N494" s="18">
        <f>COUNTIFS('스폰_편집'!$D$5:$D$3125,A494,'스폰_편집'!$B$5:$B$3125,"사용")</f>
        <v/>
      </c>
      <c r="O494" s="18" t="n">
        <v>1</v>
      </c>
      <c r="P494" s="18" t="inlineStr">
        <is>
          <t>cobbleverse:custom_spawn</t>
        </is>
      </c>
      <c r="Q494" s="18" t="inlineStr">
        <is>
          <t>ultra-rare</t>
        </is>
      </c>
      <c r="R494" s="18" t="inlineStr"/>
      <c r="S494" s="18" t="inlineStr">
        <is>
          <t>cobbleventure:generation_4</t>
        </is>
      </c>
      <c r="T494" s="18">
        <f>IF(M494=0,"없음",IF(N494=0,"전부 제외","사용"))</f>
        <v/>
      </c>
      <c r="U494" s="18" t="inlineStr"/>
    </row>
    <row r="495" ht="30" customHeight="1">
      <c r="A495" s="18" t="n">
        <v>491</v>
      </c>
      <c r="B495" s="18" t="inlineStr">
        <is>
          <t>다크라이</t>
        </is>
      </c>
      <c r="C495" s="18" t="inlineStr">
        <is>
          <t>darkrai</t>
        </is>
      </c>
      <c r="D495" s="18" t="inlineStr">
        <is>
          <t>Darkrai</t>
        </is>
      </c>
      <c r="E495" s="18" t="n">
        <v>4</v>
      </c>
      <c r="F495" s="18" t="inlineStr">
        <is>
          <t>generation4</t>
        </is>
      </c>
      <c r="G495" s="18" t="inlineStr">
        <is>
          <t>dark</t>
        </is>
      </c>
      <c r="H495" s="18" t="inlineStr"/>
      <c r="I495" s="18" t="inlineStr">
        <is>
          <t>아니오</t>
        </is>
      </c>
      <c r="J495" s="18" t="inlineStr">
        <is>
          <t>아니오</t>
        </is>
      </c>
      <c r="K495" s="18" t="inlineStr">
        <is>
          <t>예</t>
        </is>
      </c>
      <c r="L495" s="18" t="inlineStr">
        <is>
          <t>COBBLEVERSE 추가</t>
        </is>
      </c>
      <c r="M495" s="18">
        <f>COUNTIF('스폰_편집'!$D$5:$D$3125,A495)</f>
        <v/>
      </c>
      <c r="N495" s="18">
        <f>COUNTIFS('스폰_편집'!$D$5:$D$3125,A495,'스폰_편집'!$B$5:$B$3125,"사용")</f>
        <v/>
      </c>
      <c r="O495" s="18" t="n">
        <v>1</v>
      </c>
      <c r="P495" s="18" t="inlineStr">
        <is>
          <t>cobbleverse:custom_spawn/newmoon_island</t>
        </is>
      </c>
      <c r="Q495" s="18" t="inlineStr">
        <is>
          <t>ultra-rare</t>
        </is>
      </c>
      <c r="R495" s="18" t="inlineStr"/>
      <c r="S495" s="18" t="inlineStr">
        <is>
          <t>cobbleventure:generation_4</t>
        </is>
      </c>
      <c r="T495" s="18">
        <f>IF(M495=0,"없음",IF(N495=0,"전부 제외","사용"))</f>
        <v/>
      </c>
      <c r="U495" s="18" t="inlineStr"/>
    </row>
    <row r="496" ht="30" customHeight="1">
      <c r="A496" s="18" t="n">
        <v>492</v>
      </c>
      <c r="B496" s="18" t="inlineStr">
        <is>
          <t>쉐이미</t>
        </is>
      </c>
      <c r="C496" s="18" t="inlineStr">
        <is>
          <t>shaymin</t>
        </is>
      </c>
      <c r="D496" s="18" t="inlineStr">
        <is>
          <t>Shaymin</t>
        </is>
      </c>
      <c r="E496" s="18" t="n">
        <v>4</v>
      </c>
      <c r="F496" s="18" t="inlineStr">
        <is>
          <t>generation4</t>
        </is>
      </c>
      <c r="G496" s="18" t="inlineStr">
        <is>
          <t>grass</t>
        </is>
      </c>
      <c r="H496" s="18" t="inlineStr"/>
      <c r="I496" s="18" t="inlineStr">
        <is>
          <t>아니오</t>
        </is>
      </c>
      <c r="J496" s="18" t="inlineStr">
        <is>
          <t>아니오</t>
        </is>
      </c>
      <c r="K496" s="18" t="inlineStr">
        <is>
          <t>예</t>
        </is>
      </c>
      <c r="L496" s="18" t="inlineStr">
        <is>
          <t>COBBLEVERSE 추가</t>
        </is>
      </c>
      <c r="M496" s="18">
        <f>COUNTIF('스폰_편집'!$D$5:$D$3125,A496)</f>
        <v/>
      </c>
      <c r="N496" s="18">
        <f>COUNTIFS('스폰_편집'!$D$5:$D$3125,A496,'스폰_편집'!$B$5:$B$3125,"사용")</f>
        <v/>
      </c>
      <c r="O496" s="18" t="n">
        <v>1</v>
      </c>
      <c r="P496" s="18" t="inlineStr">
        <is>
          <t>cobbleverse:custom_spawn/flower_paradise</t>
        </is>
      </c>
      <c r="Q496" s="18" t="inlineStr">
        <is>
          <t>ultra-rare</t>
        </is>
      </c>
      <c r="R496" s="18" t="inlineStr"/>
      <c r="S496" s="18" t="inlineStr">
        <is>
          <t>cobbleventure:generation_4</t>
        </is>
      </c>
      <c r="T496" s="18">
        <f>IF(M496=0,"없음",IF(N496=0,"전부 제외","사용"))</f>
        <v/>
      </c>
      <c r="U496" s="18" t="inlineStr"/>
    </row>
    <row r="497" ht="30" customHeight="1">
      <c r="A497" s="18" t="n">
        <v>493</v>
      </c>
      <c r="B497" s="18" t="inlineStr">
        <is>
          <t>아르세우스</t>
        </is>
      </c>
      <c r="C497" s="18" t="inlineStr">
        <is>
          <t>arceus</t>
        </is>
      </c>
      <c r="D497" s="18" t="inlineStr">
        <is>
          <t>Arceus</t>
        </is>
      </c>
      <c r="E497" s="18" t="n">
        <v>4</v>
      </c>
      <c r="F497" s="18" t="inlineStr">
        <is>
          <t>generation4</t>
        </is>
      </c>
      <c r="G497" s="18" t="inlineStr">
        <is>
          <t>normal</t>
        </is>
      </c>
      <c r="H497" s="18" t="inlineStr"/>
      <c r="I497" s="18" t="inlineStr">
        <is>
          <t>아니오</t>
        </is>
      </c>
      <c r="J497" s="18" t="inlineStr">
        <is>
          <t>아니오</t>
        </is>
      </c>
      <c r="K497" s="18" t="inlineStr">
        <is>
          <t>예</t>
        </is>
      </c>
      <c r="L497" s="18" t="inlineStr">
        <is>
          <t>COBBLEVERSE 추가</t>
        </is>
      </c>
      <c r="M497" s="18">
        <f>COUNTIF('스폰_편집'!$D$5:$D$3125,A497)</f>
        <v/>
      </c>
      <c r="N497" s="18">
        <f>COUNTIFS('스폰_편집'!$D$5:$D$3125,A497,'스폰_편집'!$B$5:$B$3125,"사용")</f>
        <v/>
      </c>
      <c r="O497" s="18" t="n">
        <v>1</v>
      </c>
      <c r="P497" s="18" t="inlineStr">
        <is>
          <t>cobbleverse:custom_spawn/sinnoh_temple</t>
        </is>
      </c>
      <c r="Q497" s="18" t="inlineStr">
        <is>
          <t>ultra-rare</t>
        </is>
      </c>
      <c r="R497" s="18" t="inlineStr"/>
      <c r="S497" s="18" t="inlineStr">
        <is>
          <t>cobbleventure:generation_4</t>
        </is>
      </c>
      <c r="T497" s="18">
        <f>IF(M497=0,"없음",IF(N497=0,"전부 제외","사용"))</f>
        <v/>
      </c>
      <c r="U497" s="18" t="inlineStr"/>
    </row>
    <row r="498" ht="30" customHeight="1">
      <c r="A498" s="18" t="n">
        <v>494</v>
      </c>
      <c r="B498" s="18" t="inlineStr">
        <is>
          <t>비크티니</t>
        </is>
      </c>
      <c r="C498" s="18" t="inlineStr">
        <is>
          <t>victini</t>
        </is>
      </c>
      <c r="D498" s="18" t="inlineStr">
        <is>
          <t>Victini</t>
        </is>
      </c>
      <c r="E498" s="18" t="n">
        <v>5</v>
      </c>
      <c r="F498" s="18" t="inlineStr">
        <is>
          <t>generation5</t>
        </is>
      </c>
      <c r="G498" s="18" t="inlineStr">
        <is>
          <t>psychic</t>
        </is>
      </c>
      <c r="H498" s="18" t="inlineStr">
        <is>
          <t>fire</t>
        </is>
      </c>
      <c r="I498" s="18" t="inlineStr">
        <is>
          <t>아니오</t>
        </is>
      </c>
      <c r="J498" s="18" t="inlineStr">
        <is>
          <t>아니오</t>
        </is>
      </c>
      <c r="K498" s="18" t="inlineStr">
        <is>
          <t>예</t>
        </is>
      </c>
      <c r="L498" s="18" t="inlineStr">
        <is>
          <t>COBBLEVERSE 추가</t>
        </is>
      </c>
      <c r="M498" s="18">
        <f>COUNTIF('스폰_편집'!$D$5:$D$3125,A498)</f>
        <v/>
      </c>
      <c r="N498" s="18">
        <f>COUNTIFS('스폰_편집'!$D$5:$D$3125,A498,'스폰_편집'!$B$5:$B$3125,"사용")</f>
        <v/>
      </c>
      <c r="O498" s="18" t="n">
        <v>1</v>
      </c>
      <c r="P498" s="18" t="inlineStr">
        <is>
          <t>minecraft:crimson_forest</t>
        </is>
      </c>
      <c r="Q498" s="18" t="inlineStr">
        <is>
          <t>ultra-rare</t>
        </is>
      </c>
      <c r="R498" s="18" t="inlineStr"/>
      <c r="S498" s="18" t="inlineStr">
        <is>
          <t>cobbleventure:generation_5</t>
        </is>
      </c>
      <c r="T498" s="18">
        <f>IF(M498=0,"없음",IF(N498=0,"전부 제외","사용"))</f>
        <v/>
      </c>
      <c r="U498" s="18" t="inlineStr"/>
    </row>
    <row r="499" ht="30" customHeight="1">
      <c r="A499" s="18" t="n">
        <v>495</v>
      </c>
      <c r="B499" s="18" t="inlineStr">
        <is>
          <t>주리비얀</t>
        </is>
      </c>
      <c r="C499" s="18" t="inlineStr">
        <is>
          <t>snivy</t>
        </is>
      </c>
      <c r="D499" s="18" t="inlineStr">
        <is>
          <t>Snivy</t>
        </is>
      </c>
      <c r="E499" s="18" t="n">
        <v>5</v>
      </c>
      <c r="F499" s="18" t="inlineStr">
        <is>
          <t>generation5</t>
        </is>
      </c>
      <c r="G499" s="18" t="inlineStr">
        <is>
          <t>grass</t>
        </is>
      </c>
      <c r="H499" s="18" t="inlineStr"/>
      <c r="I499" s="18" t="inlineStr">
        <is>
          <t>예</t>
        </is>
      </c>
      <c r="J499" s="18" t="inlineStr">
        <is>
          <t>예</t>
        </is>
      </c>
      <c r="K499" s="18" t="inlineStr">
        <is>
          <t>예</t>
        </is>
      </c>
      <c r="L499" s="18" t="inlineStr">
        <is>
          <t>Cobblemon 동일</t>
        </is>
      </c>
      <c r="M499" s="18">
        <f>COUNTIF('스폰_편집'!$D$5:$D$3125,A499)</f>
        <v/>
      </c>
      <c r="N499" s="18">
        <f>COUNTIFS('스폰_편집'!$D$5:$D$3125,A499,'스폰_편집'!$B$5:$B$3125,"사용")</f>
        <v/>
      </c>
      <c r="O499" s="18" t="n">
        <v>1</v>
      </c>
      <c r="P499" s="18" t="inlineStr">
        <is>
          <t>#cobblemon:is_jungle</t>
        </is>
      </c>
      <c r="Q499" s="18" t="inlineStr">
        <is>
          <t>ultra-rare</t>
        </is>
      </c>
      <c r="R499" s="18" t="inlineStr"/>
      <c r="S499" s="18" t="inlineStr">
        <is>
          <t>cobbleventure:generation_5</t>
        </is>
      </c>
      <c r="T499" s="18">
        <f>IF(M499=0,"없음",IF(N499=0,"전부 제외","사용"))</f>
        <v/>
      </c>
      <c r="U499" s="18" t="inlineStr"/>
    </row>
    <row r="500" ht="30" customHeight="1">
      <c r="A500" s="18" t="n">
        <v>496</v>
      </c>
      <c r="B500" s="18" t="inlineStr">
        <is>
          <t>샤비</t>
        </is>
      </c>
      <c r="C500" s="18" t="inlineStr">
        <is>
          <t>servine</t>
        </is>
      </c>
      <c r="D500" s="18" t="inlineStr">
        <is>
          <t>Servine</t>
        </is>
      </c>
      <c r="E500" s="18" t="n">
        <v>5</v>
      </c>
      <c r="F500" s="18" t="inlineStr">
        <is>
          <t>generation5</t>
        </is>
      </c>
      <c r="G500" s="18" t="inlineStr">
        <is>
          <t>grass</t>
        </is>
      </c>
      <c r="H500" s="18" t="inlineStr"/>
      <c r="I500" s="18" t="inlineStr">
        <is>
          <t>예</t>
        </is>
      </c>
      <c r="J500" s="18" t="inlineStr">
        <is>
          <t>예</t>
        </is>
      </c>
      <c r="K500" s="18" t="inlineStr">
        <is>
          <t>예</t>
        </is>
      </c>
      <c r="L500" s="18" t="inlineStr">
        <is>
          <t>Cobblemon 동일</t>
        </is>
      </c>
      <c r="M500" s="18">
        <f>COUNTIF('스폰_편집'!$D$5:$D$3125,A500)</f>
        <v/>
      </c>
      <c r="N500" s="18">
        <f>COUNTIFS('스폰_편집'!$D$5:$D$3125,A500,'스폰_편집'!$B$5:$B$3125,"사용")</f>
        <v/>
      </c>
      <c r="O500" s="18" t="n">
        <v>1</v>
      </c>
      <c r="P500" s="18" t="inlineStr">
        <is>
          <t>#cobblemon:is_jungle</t>
        </is>
      </c>
      <c r="Q500" s="18" t="inlineStr">
        <is>
          <t>ultra-rare</t>
        </is>
      </c>
      <c r="R500" s="18" t="inlineStr"/>
      <c r="S500" s="18" t="inlineStr">
        <is>
          <t>cobbleventure:generation_5</t>
        </is>
      </c>
      <c r="T500" s="18">
        <f>IF(M500=0,"없음",IF(N500=0,"전부 제외","사용"))</f>
        <v/>
      </c>
      <c r="U500" s="18" t="inlineStr"/>
    </row>
    <row r="501" ht="30" customHeight="1">
      <c r="A501" s="18" t="n">
        <v>497</v>
      </c>
      <c r="B501" s="18" t="inlineStr">
        <is>
          <t>샤로다</t>
        </is>
      </c>
      <c r="C501" s="18" t="inlineStr">
        <is>
          <t>serperior</t>
        </is>
      </c>
      <c r="D501" s="18" t="inlineStr">
        <is>
          <t>Serperior</t>
        </is>
      </c>
      <c r="E501" s="18" t="n">
        <v>5</v>
      </c>
      <c r="F501" s="18" t="inlineStr">
        <is>
          <t>generation5</t>
        </is>
      </c>
      <c r="G501" s="18" t="inlineStr">
        <is>
          <t>grass</t>
        </is>
      </c>
      <c r="H501" s="18" t="inlineStr"/>
      <c r="I501" s="18" t="inlineStr">
        <is>
          <t>예</t>
        </is>
      </c>
      <c r="J501" s="18" t="inlineStr">
        <is>
          <t>예</t>
        </is>
      </c>
      <c r="K501" s="18" t="inlineStr">
        <is>
          <t>예</t>
        </is>
      </c>
      <c r="L501" s="18" t="inlineStr">
        <is>
          <t>Cobblemon 동일</t>
        </is>
      </c>
      <c r="M501" s="18">
        <f>COUNTIF('스폰_편집'!$D$5:$D$3125,A501)</f>
        <v/>
      </c>
      <c r="N501" s="18">
        <f>COUNTIFS('스폰_편집'!$D$5:$D$3125,A501,'스폰_편집'!$B$5:$B$3125,"사용")</f>
        <v/>
      </c>
      <c r="O501" s="18" t="n">
        <v>1</v>
      </c>
      <c r="P501" s="18" t="inlineStr">
        <is>
          <t>#cobblemon:is_jungle</t>
        </is>
      </c>
      <c r="Q501" s="18" t="inlineStr">
        <is>
          <t>ultra-rare</t>
        </is>
      </c>
      <c r="R501" s="18" t="inlineStr"/>
      <c r="S501" s="18" t="inlineStr">
        <is>
          <t>cobbleventure:generation_5</t>
        </is>
      </c>
      <c r="T501" s="18">
        <f>IF(M501=0,"없음",IF(N501=0,"전부 제외","사용"))</f>
        <v/>
      </c>
      <c r="U501" s="18" t="inlineStr"/>
    </row>
    <row r="502" ht="30" customHeight="1">
      <c r="A502" s="18" t="n">
        <v>498</v>
      </c>
      <c r="B502" s="18" t="inlineStr">
        <is>
          <t>뚜꾸리</t>
        </is>
      </c>
      <c r="C502" s="18" t="inlineStr">
        <is>
          <t>tepig</t>
        </is>
      </c>
      <c r="D502" s="18" t="inlineStr">
        <is>
          <t>Tepig</t>
        </is>
      </c>
      <c r="E502" s="18" t="n">
        <v>5</v>
      </c>
      <c r="F502" s="18" t="inlineStr">
        <is>
          <t>generation5</t>
        </is>
      </c>
      <c r="G502" s="18" t="inlineStr">
        <is>
          <t>fire</t>
        </is>
      </c>
      <c r="H502" s="18" t="inlineStr"/>
      <c r="I502" s="18" t="inlineStr">
        <is>
          <t>예</t>
        </is>
      </c>
      <c r="J502" s="18" t="inlineStr">
        <is>
          <t>예</t>
        </is>
      </c>
      <c r="K502" s="18" t="inlineStr">
        <is>
          <t>예</t>
        </is>
      </c>
      <c r="L502" s="18" t="inlineStr">
        <is>
          <t>Cobblemon 동일</t>
        </is>
      </c>
      <c r="M502" s="18">
        <f>COUNTIF('스폰_편집'!$D$5:$D$3125,A502)</f>
        <v/>
      </c>
      <c r="N502" s="18">
        <f>COUNTIFS('스폰_편집'!$D$5:$D$3125,A502,'스폰_편집'!$B$5:$B$3125,"사용")</f>
        <v/>
      </c>
      <c r="O502" s="18" t="n">
        <v>3</v>
      </c>
      <c r="P502" s="18" t="inlineStr">
        <is>
          <t>#cobblemon:is_plains; #cobblemon:nether/is_crimson; #cobblemon:nether/is_overgrowth</t>
        </is>
      </c>
      <c r="Q502" s="18" t="inlineStr">
        <is>
          <t>ultra-rare</t>
        </is>
      </c>
      <c r="R502" s="18" t="inlineStr">
        <is>
          <t>region_01</t>
        </is>
      </c>
      <c r="S502" s="18" t="inlineStr">
        <is>
          <t>cobbleventure:generation_5</t>
        </is>
      </c>
      <c r="T502" s="18">
        <f>IF(M502=0,"없음",IF(N502=0,"전부 제외","사용"))</f>
        <v/>
      </c>
      <c r="U502" s="18" t="inlineStr"/>
    </row>
    <row r="503" ht="30" customHeight="1">
      <c r="A503" s="18" t="n">
        <v>499</v>
      </c>
      <c r="B503" s="18" t="inlineStr">
        <is>
          <t>차오꿀</t>
        </is>
      </c>
      <c r="C503" s="18" t="inlineStr">
        <is>
          <t>pignite</t>
        </is>
      </c>
      <c r="D503" s="18" t="inlineStr">
        <is>
          <t>Pignite</t>
        </is>
      </c>
      <c r="E503" s="18" t="n">
        <v>5</v>
      </c>
      <c r="F503" s="18" t="inlineStr">
        <is>
          <t>generation5</t>
        </is>
      </c>
      <c r="G503" s="18" t="inlineStr">
        <is>
          <t>fire</t>
        </is>
      </c>
      <c r="H503" s="18" t="inlineStr">
        <is>
          <t>fighting</t>
        </is>
      </c>
      <c r="I503" s="18" t="inlineStr">
        <is>
          <t>예</t>
        </is>
      </c>
      <c r="J503" s="18" t="inlineStr">
        <is>
          <t>예</t>
        </is>
      </c>
      <c r="K503" s="18" t="inlineStr">
        <is>
          <t>예</t>
        </is>
      </c>
      <c r="L503" s="18" t="inlineStr">
        <is>
          <t>Cobblemon 동일</t>
        </is>
      </c>
      <c r="M503" s="18">
        <f>COUNTIF('스폰_편집'!$D$5:$D$3125,A503)</f>
        <v/>
      </c>
      <c r="N503" s="18">
        <f>COUNTIFS('스폰_편집'!$D$5:$D$3125,A503,'스폰_편집'!$B$5:$B$3125,"사용")</f>
        <v/>
      </c>
      <c r="O503" s="18" t="n">
        <v>3</v>
      </c>
      <c r="P503" s="18" t="inlineStr">
        <is>
          <t>#cobblemon:is_plains; #cobblemon:nether/is_crimson; #cobblemon:nether/is_overgrowth</t>
        </is>
      </c>
      <c r="Q503" s="18" t="inlineStr">
        <is>
          <t>ultra-rare</t>
        </is>
      </c>
      <c r="R503" s="18" t="inlineStr">
        <is>
          <t>region_01</t>
        </is>
      </c>
      <c r="S503" s="18" t="inlineStr">
        <is>
          <t>cobbleventure:generation_5</t>
        </is>
      </c>
      <c r="T503" s="18">
        <f>IF(M503=0,"없음",IF(N503=0,"전부 제외","사용"))</f>
        <v/>
      </c>
      <c r="U503" s="18" t="inlineStr"/>
    </row>
    <row r="504" ht="30" customHeight="1">
      <c r="A504" s="18" t="n">
        <v>500</v>
      </c>
      <c r="B504" s="18" t="inlineStr">
        <is>
          <t>염무왕</t>
        </is>
      </c>
      <c r="C504" s="18" t="inlineStr">
        <is>
          <t>emboar</t>
        </is>
      </c>
      <c r="D504" s="18" t="inlineStr">
        <is>
          <t>Emboar</t>
        </is>
      </c>
      <c r="E504" s="18" t="n">
        <v>5</v>
      </c>
      <c r="F504" s="18" t="inlineStr">
        <is>
          <t>generation5</t>
        </is>
      </c>
      <c r="G504" s="18" t="inlineStr">
        <is>
          <t>fire</t>
        </is>
      </c>
      <c r="H504" s="18" t="inlineStr">
        <is>
          <t>fighting</t>
        </is>
      </c>
      <c r="I504" s="18" t="inlineStr">
        <is>
          <t>예</t>
        </is>
      </c>
      <c r="J504" s="18" t="inlineStr">
        <is>
          <t>예</t>
        </is>
      </c>
      <c r="K504" s="18" t="inlineStr">
        <is>
          <t>예</t>
        </is>
      </c>
      <c r="L504" s="18" t="inlineStr">
        <is>
          <t>Cobblemon 동일</t>
        </is>
      </c>
      <c r="M504" s="18">
        <f>COUNTIF('스폰_편집'!$D$5:$D$3125,A504)</f>
        <v/>
      </c>
      <c r="N504" s="18">
        <f>COUNTIFS('스폰_편집'!$D$5:$D$3125,A504,'스폰_편집'!$B$5:$B$3125,"사용")</f>
        <v/>
      </c>
      <c r="O504" s="18" t="n">
        <v>3</v>
      </c>
      <c r="P504" s="18" t="inlineStr">
        <is>
          <t>#cobblemon:is_plains; #cobblemon:nether/is_crimson; #cobblemon:nether/is_overgrowth</t>
        </is>
      </c>
      <c r="Q504" s="18" t="inlineStr">
        <is>
          <t>ultra-rare</t>
        </is>
      </c>
      <c r="R504" s="18" t="inlineStr">
        <is>
          <t>region_01</t>
        </is>
      </c>
      <c r="S504" s="18" t="inlineStr">
        <is>
          <t>cobbleventure:generation_5</t>
        </is>
      </c>
      <c r="T504" s="18">
        <f>IF(M504=0,"없음",IF(N504=0,"전부 제외","사용"))</f>
        <v/>
      </c>
      <c r="U504" s="18" t="inlineStr"/>
    </row>
    <row r="505" ht="30" customHeight="1">
      <c r="A505" s="18" t="n">
        <v>501</v>
      </c>
      <c r="B505" s="18" t="inlineStr">
        <is>
          <t>수댕이</t>
        </is>
      </c>
      <c r="C505" s="18" t="inlineStr">
        <is>
          <t>oshawott</t>
        </is>
      </c>
      <c r="D505" s="18" t="inlineStr">
        <is>
          <t>Oshawott</t>
        </is>
      </c>
      <c r="E505" s="18" t="n">
        <v>5</v>
      </c>
      <c r="F505" s="18" t="inlineStr">
        <is>
          <t>generation5</t>
        </is>
      </c>
      <c r="G505" s="18" t="inlineStr">
        <is>
          <t>water</t>
        </is>
      </c>
      <c r="H505" s="18" t="inlineStr"/>
      <c r="I505" s="18" t="inlineStr">
        <is>
          <t>예</t>
        </is>
      </c>
      <c r="J505" s="18" t="inlineStr">
        <is>
          <t>예</t>
        </is>
      </c>
      <c r="K505" s="18" t="inlineStr">
        <is>
          <t>예</t>
        </is>
      </c>
      <c r="L505" s="18" t="inlineStr">
        <is>
          <t>Cobblemon 동일</t>
        </is>
      </c>
      <c r="M505" s="18">
        <f>COUNTIF('스폰_편집'!$D$5:$D$3125,A505)</f>
        <v/>
      </c>
      <c r="N505" s="18">
        <f>COUNTIFS('스폰_편집'!$D$5:$D$3125,A505,'스폰_편집'!$B$5:$B$3125,"사용")</f>
        <v/>
      </c>
      <c r="O505" s="18" t="n">
        <v>6</v>
      </c>
      <c r="P505" s="18" t="inlineStr">
        <is>
          <t>#cobblemon:is_beach; #cobblemon:is_coast; #cobblemon:is_cold_ocean; #cobblemon:is_ocean; #cobblemon:is_tropical_island; minecraft:snowy_beach</t>
        </is>
      </c>
      <c r="Q505" s="18" t="inlineStr">
        <is>
          <t>ultra-rare</t>
        </is>
      </c>
      <c r="R505" s="18" t="inlineStr"/>
      <c r="S505" s="18" t="inlineStr">
        <is>
          <t>cobbleventure:generation_5</t>
        </is>
      </c>
      <c r="T505" s="18">
        <f>IF(M505=0,"없음",IF(N505=0,"전부 제외","사용"))</f>
        <v/>
      </c>
      <c r="U505" s="18" t="inlineStr"/>
    </row>
    <row r="506" ht="30" customHeight="1">
      <c r="A506" s="18" t="n">
        <v>502</v>
      </c>
      <c r="B506" s="18" t="inlineStr">
        <is>
          <t>쌍검자비</t>
        </is>
      </c>
      <c r="C506" s="18" t="inlineStr">
        <is>
          <t>dewott</t>
        </is>
      </c>
      <c r="D506" s="18" t="inlineStr">
        <is>
          <t>Dewott</t>
        </is>
      </c>
      <c r="E506" s="18" t="n">
        <v>5</v>
      </c>
      <c r="F506" s="18" t="inlineStr">
        <is>
          <t>generation5</t>
        </is>
      </c>
      <c r="G506" s="18" t="inlineStr">
        <is>
          <t>water</t>
        </is>
      </c>
      <c r="H506" s="18" t="inlineStr"/>
      <c r="I506" s="18" t="inlineStr">
        <is>
          <t>예</t>
        </is>
      </c>
      <c r="J506" s="18" t="inlineStr">
        <is>
          <t>예</t>
        </is>
      </c>
      <c r="K506" s="18" t="inlineStr">
        <is>
          <t>예</t>
        </is>
      </c>
      <c r="L506" s="18" t="inlineStr">
        <is>
          <t>Cobblemon 동일</t>
        </is>
      </c>
      <c r="M506" s="18">
        <f>COUNTIF('스폰_편집'!$D$5:$D$3125,A506)</f>
        <v/>
      </c>
      <c r="N506" s="18">
        <f>COUNTIFS('스폰_편집'!$D$5:$D$3125,A506,'스폰_편집'!$B$5:$B$3125,"사용")</f>
        <v/>
      </c>
      <c r="O506" s="18" t="n">
        <v>6</v>
      </c>
      <c r="P506" s="18" t="inlineStr">
        <is>
          <t>#cobblemon:is_beach; #cobblemon:is_coast; #cobblemon:is_cold_ocean; #cobblemon:is_ocean; #cobblemon:is_tropical_island; minecraft:snowy_beach</t>
        </is>
      </c>
      <c r="Q506" s="18" t="inlineStr">
        <is>
          <t>ultra-rare</t>
        </is>
      </c>
      <c r="R506" s="18" t="inlineStr"/>
      <c r="S506" s="18" t="inlineStr">
        <is>
          <t>cobbleventure:generation_5</t>
        </is>
      </c>
      <c r="T506" s="18">
        <f>IF(M506=0,"없음",IF(N506=0,"전부 제외","사용"))</f>
        <v/>
      </c>
      <c r="U506" s="18" t="inlineStr"/>
    </row>
    <row r="507" ht="30" customHeight="1">
      <c r="A507" s="18" t="n">
        <v>503</v>
      </c>
      <c r="B507" s="18" t="inlineStr">
        <is>
          <t>대검귀</t>
        </is>
      </c>
      <c r="C507" s="18" t="inlineStr">
        <is>
          <t>samurott</t>
        </is>
      </c>
      <c r="D507" s="18" t="inlineStr">
        <is>
          <t>Samurott</t>
        </is>
      </c>
      <c r="E507" s="18" t="n">
        <v>5</v>
      </c>
      <c r="F507" s="18" t="inlineStr">
        <is>
          <t>generation5</t>
        </is>
      </c>
      <c r="G507" s="18" t="inlineStr">
        <is>
          <t>water</t>
        </is>
      </c>
      <c r="H507" s="18" t="inlineStr"/>
      <c r="I507" s="18" t="inlineStr">
        <is>
          <t>예</t>
        </is>
      </c>
      <c r="J507" s="18" t="inlineStr">
        <is>
          <t>예</t>
        </is>
      </c>
      <c r="K507" s="18" t="inlineStr">
        <is>
          <t>예</t>
        </is>
      </c>
      <c r="L507" s="18" t="inlineStr">
        <is>
          <t>Cobblemon 동일</t>
        </is>
      </c>
      <c r="M507" s="18">
        <f>COUNTIF('스폰_편집'!$D$5:$D$3125,A507)</f>
        <v/>
      </c>
      <c r="N507" s="18">
        <f>COUNTIFS('스폰_편집'!$D$5:$D$3125,A507,'스폰_편집'!$B$5:$B$3125,"사용")</f>
        <v/>
      </c>
      <c r="O507" s="18" t="n">
        <v>6</v>
      </c>
      <c r="P507" s="18" t="inlineStr">
        <is>
          <t>#cobblemon:is_beach; #cobblemon:is_coast; #cobblemon:is_cold_ocean; #cobblemon:is_ocean; #cobblemon:is_tropical_island; minecraft:snowy_beach</t>
        </is>
      </c>
      <c r="Q507" s="18" t="inlineStr">
        <is>
          <t>ultra-rare</t>
        </is>
      </c>
      <c r="R507" s="18" t="inlineStr"/>
      <c r="S507" s="18" t="inlineStr">
        <is>
          <t>cobbleventure:generation_5</t>
        </is>
      </c>
      <c r="T507" s="18">
        <f>IF(M507=0,"없음",IF(N507=0,"전부 제외","사용"))</f>
        <v/>
      </c>
      <c r="U507" s="18" t="inlineStr"/>
    </row>
    <row r="508" ht="30" customHeight="1">
      <c r="A508" s="18" t="n">
        <v>504</v>
      </c>
      <c r="B508" s="18" t="inlineStr">
        <is>
          <t>보르쥐</t>
        </is>
      </c>
      <c r="C508" s="18" t="inlineStr">
        <is>
          <t>patrat</t>
        </is>
      </c>
      <c r="D508" s="18" t="inlineStr">
        <is>
          <t>Patrat</t>
        </is>
      </c>
      <c r="E508" s="18" t="n">
        <v>5</v>
      </c>
      <c r="F508" s="18" t="inlineStr">
        <is>
          <t>generation5</t>
        </is>
      </c>
      <c r="G508" s="18" t="inlineStr">
        <is>
          <t>normal</t>
        </is>
      </c>
      <c r="H508" s="18" t="inlineStr"/>
      <c r="I508" s="18" t="inlineStr">
        <is>
          <t>예</t>
        </is>
      </c>
      <c r="J508" s="18" t="inlineStr">
        <is>
          <t>예</t>
        </is>
      </c>
      <c r="K508" s="18" t="inlineStr">
        <is>
          <t>예</t>
        </is>
      </c>
      <c r="L508" s="18" t="inlineStr">
        <is>
          <t>Cobblemon 동일</t>
        </is>
      </c>
      <c r="M508" s="18">
        <f>COUNTIF('스폰_편집'!$D$5:$D$3125,A508)</f>
        <v/>
      </c>
      <c r="N508" s="18">
        <f>COUNTIFS('스폰_편집'!$D$5:$D$3125,A508,'스폰_편집'!$B$5:$B$3125,"사용")</f>
        <v/>
      </c>
      <c r="O508" s="18" t="n">
        <v>1</v>
      </c>
      <c r="P508" s="18" t="inlineStr">
        <is>
          <t>#cobblemon:is_grassland</t>
        </is>
      </c>
      <c r="Q508" s="18" t="inlineStr">
        <is>
          <t>common</t>
        </is>
      </c>
      <c r="R508" s="18" t="inlineStr">
        <is>
          <t>region_01</t>
        </is>
      </c>
      <c r="S508" s="18" t="inlineStr">
        <is>
          <t>cobbleventure:generation_5</t>
        </is>
      </c>
      <c r="T508" s="18">
        <f>IF(M508=0,"없음",IF(N508=0,"전부 제외","사용"))</f>
        <v/>
      </c>
      <c r="U508" s="18" t="inlineStr"/>
    </row>
    <row r="509" ht="30" customHeight="1">
      <c r="A509" s="18" t="n">
        <v>505</v>
      </c>
      <c r="B509" s="18" t="inlineStr">
        <is>
          <t>보르그</t>
        </is>
      </c>
      <c r="C509" s="18" t="inlineStr">
        <is>
          <t>watchog</t>
        </is>
      </c>
      <c r="D509" s="18" t="inlineStr">
        <is>
          <t>Watchog</t>
        </is>
      </c>
      <c r="E509" s="18" t="n">
        <v>5</v>
      </c>
      <c r="F509" s="18" t="inlineStr">
        <is>
          <t>generation5</t>
        </is>
      </c>
      <c r="G509" s="18" t="inlineStr">
        <is>
          <t>normal</t>
        </is>
      </c>
      <c r="H509" s="18" t="inlineStr"/>
      <c r="I509" s="18" t="inlineStr">
        <is>
          <t>예</t>
        </is>
      </c>
      <c r="J509" s="18" t="inlineStr">
        <is>
          <t>예</t>
        </is>
      </c>
      <c r="K509" s="18" t="inlineStr">
        <is>
          <t>예</t>
        </is>
      </c>
      <c r="L509" s="18" t="inlineStr">
        <is>
          <t>Cobblemon 동일</t>
        </is>
      </c>
      <c r="M509" s="18">
        <f>COUNTIF('스폰_편집'!$D$5:$D$3125,A509)</f>
        <v/>
      </c>
      <c r="N509" s="18">
        <f>COUNTIFS('스폰_편집'!$D$5:$D$3125,A509,'스폰_편집'!$B$5:$B$3125,"사용")</f>
        <v/>
      </c>
      <c r="O509" s="18" t="n">
        <v>1</v>
      </c>
      <c r="P509" s="18" t="inlineStr">
        <is>
          <t>#cobblemon:is_grassland</t>
        </is>
      </c>
      <c r="Q509" s="18" t="inlineStr">
        <is>
          <t>common</t>
        </is>
      </c>
      <c r="R509" s="18" t="inlineStr">
        <is>
          <t>region_01</t>
        </is>
      </c>
      <c r="S509" s="18" t="inlineStr">
        <is>
          <t>cobbleventure:generation_5</t>
        </is>
      </c>
      <c r="T509" s="18">
        <f>IF(M509=0,"없음",IF(N509=0,"전부 제외","사용"))</f>
        <v/>
      </c>
      <c r="U509" s="18" t="inlineStr"/>
    </row>
    <row r="510" ht="30" customHeight="1">
      <c r="A510" s="18" t="n">
        <v>506</v>
      </c>
      <c r="B510" s="18" t="inlineStr">
        <is>
          <t>요테리</t>
        </is>
      </c>
      <c r="C510" s="18" t="inlineStr">
        <is>
          <t>lillipup</t>
        </is>
      </c>
      <c r="D510" s="18" t="inlineStr">
        <is>
          <t>Lillipup</t>
        </is>
      </c>
      <c r="E510" s="18" t="n">
        <v>5</v>
      </c>
      <c r="F510" s="18" t="inlineStr">
        <is>
          <t>generation5</t>
        </is>
      </c>
      <c r="G510" s="18" t="inlineStr">
        <is>
          <t>normal</t>
        </is>
      </c>
      <c r="H510" s="18" t="inlineStr"/>
      <c r="I510" s="18" t="inlineStr">
        <is>
          <t>예</t>
        </is>
      </c>
      <c r="J510" s="18" t="inlineStr">
        <is>
          <t>예</t>
        </is>
      </c>
      <c r="K510" s="18" t="inlineStr">
        <is>
          <t>예</t>
        </is>
      </c>
      <c r="L510" s="18" t="inlineStr">
        <is>
          <t>COBBLEVERSE 수정</t>
        </is>
      </c>
      <c r="M510" s="18">
        <f>COUNTIF('스폰_편집'!$D$5:$D$3125,A510)</f>
        <v/>
      </c>
      <c r="N510" s="18">
        <f>COUNTIFS('스폰_편집'!$D$5:$D$3125,A510,'스폰_편집'!$B$5:$B$3125,"사용")</f>
        <v/>
      </c>
      <c r="O510" s="18" t="n">
        <v>1</v>
      </c>
      <c r="P510" s="18" t="inlineStr">
        <is>
          <t>#cobblemon:is_overworld</t>
        </is>
      </c>
      <c r="Q510" s="18" t="inlineStr">
        <is>
          <t>common</t>
        </is>
      </c>
      <c r="R510" s="18" t="inlineStr">
        <is>
          <t>region_01</t>
        </is>
      </c>
      <c r="S510" s="18" t="inlineStr">
        <is>
          <t>cobbleventure:generation_5</t>
        </is>
      </c>
      <c r="T510" s="18">
        <f>IF(M510=0,"없음",IF(N510=0,"전부 제외","사용"))</f>
        <v/>
      </c>
      <c r="U510" s="18" t="inlineStr"/>
    </row>
    <row r="511" ht="30" customHeight="1">
      <c r="A511" s="18" t="n">
        <v>507</v>
      </c>
      <c r="B511" s="18" t="inlineStr">
        <is>
          <t>하데리어</t>
        </is>
      </c>
      <c r="C511" s="18" t="inlineStr">
        <is>
          <t>herdier</t>
        </is>
      </c>
      <c r="D511" s="18" t="inlineStr">
        <is>
          <t>Herdier</t>
        </is>
      </c>
      <c r="E511" s="18" t="n">
        <v>5</v>
      </c>
      <c r="F511" s="18" t="inlineStr">
        <is>
          <t>generation5</t>
        </is>
      </c>
      <c r="G511" s="18" t="inlineStr">
        <is>
          <t>normal</t>
        </is>
      </c>
      <c r="H511" s="18" t="inlineStr"/>
      <c r="I511" s="18" t="inlineStr">
        <is>
          <t>예</t>
        </is>
      </c>
      <c r="J511" s="18" t="inlineStr">
        <is>
          <t>예</t>
        </is>
      </c>
      <c r="K511" s="18" t="inlineStr">
        <is>
          <t>예</t>
        </is>
      </c>
      <c r="L511" s="18" t="inlineStr">
        <is>
          <t>COBBLEVERSE 수정</t>
        </is>
      </c>
      <c r="M511" s="18">
        <f>COUNTIF('스폰_편집'!$D$5:$D$3125,A511)</f>
        <v/>
      </c>
      <c r="N511" s="18">
        <f>COUNTIFS('스폰_편집'!$D$5:$D$3125,A511,'스폰_편집'!$B$5:$B$3125,"사용")</f>
        <v/>
      </c>
      <c r="O511" s="18" t="n">
        <v>1</v>
      </c>
      <c r="P511" s="18" t="inlineStr">
        <is>
          <t>#cobblemon:is_overworld</t>
        </is>
      </c>
      <c r="Q511" s="18" t="inlineStr">
        <is>
          <t>common</t>
        </is>
      </c>
      <c r="R511" s="18" t="inlineStr">
        <is>
          <t>region_01</t>
        </is>
      </c>
      <c r="S511" s="18" t="inlineStr">
        <is>
          <t>cobbleventure:generation_5</t>
        </is>
      </c>
      <c r="T511" s="18">
        <f>IF(M511=0,"없음",IF(N511=0,"전부 제외","사용"))</f>
        <v/>
      </c>
      <c r="U511" s="18" t="inlineStr"/>
    </row>
    <row r="512" ht="30" customHeight="1">
      <c r="A512" s="18" t="n">
        <v>508</v>
      </c>
      <c r="B512" s="18" t="inlineStr">
        <is>
          <t>바랜드</t>
        </is>
      </c>
      <c r="C512" s="18" t="inlineStr">
        <is>
          <t>stoutland</t>
        </is>
      </c>
      <c r="D512" s="18" t="inlineStr">
        <is>
          <t>Stoutland</t>
        </is>
      </c>
      <c r="E512" s="18" t="n">
        <v>5</v>
      </c>
      <c r="F512" s="18" t="inlineStr">
        <is>
          <t>generation5</t>
        </is>
      </c>
      <c r="G512" s="18" t="inlineStr">
        <is>
          <t>normal</t>
        </is>
      </c>
      <c r="H512" s="18" t="inlineStr"/>
      <c r="I512" s="18" t="inlineStr">
        <is>
          <t>예</t>
        </is>
      </c>
      <c r="J512" s="18" t="inlineStr">
        <is>
          <t>예</t>
        </is>
      </c>
      <c r="K512" s="18" t="inlineStr">
        <is>
          <t>예</t>
        </is>
      </c>
      <c r="L512" s="18" t="inlineStr">
        <is>
          <t>COBBLEVERSE 수정</t>
        </is>
      </c>
      <c r="M512" s="18">
        <f>COUNTIF('스폰_편집'!$D$5:$D$3125,A512)</f>
        <v/>
      </c>
      <c r="N512" s="18">
        <f>COUNTIFS('스폰_편집'!$D$5:$D$3125,A512,'스폰_편집'!$B$5:$B$3125,"사용")</f>
        <v/>
      </c>
      <c r="O512" s="18" t="n">
        <v>1</v>
      </c>
      <c r="P512" s="18" t="inlineStr">
        <is>
          <t>#cobblemon:is_overworld</t>
        </is>
      </c>
      <c r="Q512" s="18" t="inlineStr">
        <is>
          <t>common</t>
        </is>
      </c>
      <c r="R512" s="18" t="inlineStr">
        <is>
          <t>region_01</t>
        </is>
      </c>
      <c r="S512" s="18" t="inlineStr">
        <is>
          <t>cobbleventure:generation_5</t>
        </is>
      </c>
      <c r="T512" s="18">
        <f>IF(M512=0,"없음",IF(N512=0,"전부 제외","사용"))</f>
        <v/>
      </c>
      <c r="U512" s="18" t="inlineStr"/>
    </row>
    <row r="513" ht="30" customHeight="1">
      <c r="A513" s="18" t="n">
        <v>509</v>
      </c>
      <c r="B513" s="18" t="inlineStr">
        <is>
          <t>쌔비냥</t>
        </is>
      </c>
      <c r="C513" s="18" t="inlineStr">
        <is>
          <t>purrloin</t>
        </is>
      </c>
      <c r="D513" s="18" t="inlineStr">
        <is>
          <t>Purrloin</t>
        </is>
      </c>
      <c r="E513" s="18" t="n">
        <v>5</v>
      </c>
      <c r="F513" s="18" t="inlineStr">
        <is>
          <t>generation5</t>
        </is>
      </c>
      <c r="G513" s="18" t="inlineStr">
        <is>
          <t>dark</t>
        </is>
      </c>
      <c r="H513" s="18" t="inlineStr"/>
      <c r="I513" s="18" t="inlineStr">
        <is>
          <t>예</t>
        </is>
      </c>
      <c r="J513" s="18" t="inlineStr">
        <is>
          <t>예</t>
        </is>
      </c>
      <c r="K513" s="18" t="inlineStr">
        <is>
          <t>예</t>
        </is>
      </c>
      <c r="L513" s="18" t="inlineStr">
        <is>
          <t>Cobblemon 동일</t>
        </is>
      </c>
      <c r="M513" s="18">
        <f>COUNTIF('스폰_편집'!$D$5:$D$3125,A513)</f>
        <v/>
      </c>
      <c r="N513" s="18">
        <f>COUNTIFS('스폰_편집'!$D$5:$D$3125,A513,'스폰_편집'!$B$5:$B$3125,"사용")</f>
        <v/>
      </c>
      <c r="O513" s="18" t="n">
        <v>5</v>
      </c>
      <c r="P513" s="18" t="inlineStr">
        <is>
          <t>#cobblemon:is_jungle; #cobblemon:is_overworld; #cobblemon:is_savanna; #cobblemon:is_swamp; #cobblemon:is_temperate</t>
        </is>
      </c>
      <c r="Q513" s="18" t="inlineStr">
        <is>
          <t>common</t>
        </is>
      </c>
      <c r="R513" s="18" t="inlineStr">
        <is>
          <t>region_01; region_02</t>
        </is>
      </c>
      <c r="S513" s="18" t="inlineStr">
        <is>
          <t>cobbleventure:generation_5</t>
        </is>
      </c>
      <c r="T513" s="18">
        <f>IF(M513=0,"없음",IF(N513=0,"전부 제외","사용"))</f>
        <v/>
      </c>
      <c r="U513" s="18" t="inlineStr"/>
    </row>
    <row r="514" ht="30" customHeight="1">
      <c r="A514" s="18" t="n">
        <v>510</v>
      </c>
      <c r="B514" s="18" t="inlineStr">
        <is>
          <t>레파르다스</t>
        </is>
      </c>
      <c r="C514" s="18" t="inlineStr">
        <is>
          <t>liepard</t>
        </is>
      </c>
      <c r="D514" s="18" t="inlineStr">
        <is>
          <t>Liepard</t>
        </is>
      </c>
      <c r="E514" s="18" t="n">
        <v>5</v>
      </c>
      <c r="F514" s="18" t="inlineStr">
        <is>
          <t>generation5</t>
        </is>
      </c>
      <c r="G514" s="18" t="inlineStr">
        <is>
          <t>dark</t>
        </is>
      </c>
      <c r="H514" s="18" t="inlineStr"/>
      <c r="I514" s="18" t="inlineStr">
        <is>
          <t>예</t>
        </is>
      </c>
      <c r="J514" s="18" t="inlineStr">
        <is>
          <t>예</t>
        </is>
      </c>
      <c r="K514" s="18" t="inlineStr">
        <is>
          <t>예</t>
        </is>
      </c>
      <c r="L514" s="18" t="inlineStr">
        <is>
          <t>Cobblemon 동일</t>
        </is>
      </c>
      <c r="M514" s="18">
        <f>COUNTIF('스폰_편집'!$D$5:$D$3125,A514)</f>
        <v/>
      </c>
      <c r="N514" s="18">
        <f>COUNTIFS('스폰_편집'!$D$5:$D$3125,A514,'스폰_편집'!$B$5:$B$3125,"사용")</f>
        <v/>
      </c>
      <c r="O514" s="18" t="n">
        <v>5</v>
      </c>
      <c r="P514" s="18" t="inlineStr">
        <is>
          <t>#cobblemon:is_jungle; #cobblemon:is_overworld; #cobblemon:is_savanna; #cobblemon:is_swamp; #cobblemon:is_temperate</t>
        </is>
      </c>
      <c r="Q514" s="18" t="inlineStr">
        <is>
          <t>common</t>
        </is>
      </c>
      <c r="R514" s="18" t="inlineStr">
        <is>
          <t>region_01; region_02</t>
        </is>
      </c>
      <c r="S514" s="18" t="inlineStr">
        <is>
          <t>cobbleventure:generation_5</t>
        </is>
      </c>
      <c r="T514" s="18">
        <f>IF(M514=0,"없음",IF(N514=0,"전부 제외","사용"))</f>
        <v/>
      </c>
      <c r="U514" s="18" t="inlineStr"/>
    </row>
    <row r="515" ht="30" customHeight="1">
      <c r="A515" s="18" t="n">
        <v>511</v>
      </c>
      <c r="B515" s="18" t="inlineStr">
        <is>
          <t>야나프</t>
        </is>
      </c>
      <c r="C515" s="18" t="inlineStr">
        <is>
          <t>pansage</t>
        </is>
      </c>
      <c r="D515" s="18" t="inlineStr">
        <is>
          <t>Pansage</t>
        </is>
      </c>
      <c r="E515" s="18" t="n">
        <v>5</v>
      </c>
      <c r="F515" s="18" t="inlineStr">
        <is>
          <t>generation5</t>
        </is>
      </c>
      <c r="G515" s="18" t="inlineStr">
        <is>
          <t>grass</t>
        </is>
      </c>
      <c r="H515" s="18" t="inlineStr"/>
      <c r="I515" s="18" t="inlineStr">
        <is>
          <t>예</t>
        </is>
      </c>
      <c r="J515" s="18" t="inlineStr">
        <is>
          <t>예</t>
        </is>
      </c>
      <c r="K515" s="18" t="inlineStr">
        <is>
          <t>예</t>
        </is>
      </c>
      <c r="L515" s="18" t="inlineStr">
        <is>
          <t>Cobblemon 동일</t>
        </is>
      </c>
      <c r="M515" s="18">
        <f>COUNTIF('스폰_편집'!$D$5:$D$3125,A515)</f>
        <v/>
      </c>
      <c r="N515" s="18">
        <f>COUNTIFS('스폰_편집'!$D$5:$D$3125,A515,'스폰_편집'!$B$5:$B$3125,"사용")</f>
        <v/>
      </c>
      <c r="O515" s="18" t="n">
        <v>5</v>
      </c>
      <c r="P515" s="18" t="inlineStr">
        <is>
          <t>#cobblemon:is_forest; #cobblemon:is_jungle; #cobblemon:is_tropical_island; aether:skyroot_forest; aether:skyroot_woodland</t>
        </is>
      </c>
      <c r="Q515" s="18" t="inlineStr">
        <is>
          <t>uncommon</t>
        </is>
      </c>
      <c r="R515" s="18" t="inlineStr">
        <is>
          <t>region_01</t>
        </is>
      </c>
      <c r="S515" s="18" t="inlineStr">
        <is>
          <t>cobbleventure:generation_5</t>
        </is>
      </c>
      <c r="T515" s="18">
        <f>IF(M515=0,"없음",IF(N515=0,"전부 제외","사용"))</f>
        <v/>
      </c>
      <c r="U515" s="18" t="inlineStr"/>
    </row>
    <row r="516" ht="30" customHeight="1">
      <c r="A516" s="18" t="n">
        <v>512</v>
      </c>
      <c r="B516" s="18" t="inlineStr">
        <is>
          <t>야나키</t>
        </is>
      </c>
      <c r="C516" s="18" t="inlineStr">
        <is>
          <t>simisage</t>
        </is>
      </c>
      <c r="D516" s="18" t="inlineStr">
        <is>
          <t>Simisage</t>
        </is>
      </c>
      <c r="E516" s="18" t="n">
        <v>5</v>
      </c>
      <c r="F516" s="18" t="inlineStr">
        <is>
          <t>generation5</t>
        </is>
      </c>
      <c r="G516" s="18" t="inlineStr">
        <is>
          <t>grass</t>
        </is>
      </c>
      <c r="H516" s="18" t="inlineStr"/>
      <c r="I516" s="18" t="inlineStr">
        <is>
          <t>예</t>
        </is>
      </c>
      <c r="J516" s="18" t="inlineStr">
        <is>
          <t>예</t>
        </is>
      </c>
      <c r="K516" s="18" t="inlineStr">
        <is>
          <t>예</t>
        </is>
      </c>
      <c r="L516" s="18" t="inlineStr">
        <is>
          <t>Cobblemon 동일</t>
        </is>
      </c>
      <c r="M516" s="18">
        <f>COUNTIF('스폰_편집'!$D$5:$D$3125,A516)</f>
        <v/>
      </c>
      <c r="N516" s="18">
        <f>COUNTIFS('스폰_편집'!$D$5:$D$3125,A516,'스폰_편집'!$B$5:$B$3125,"사용")</f>
        <v/>
      </c>
      <c r="O516" s="18" t="n">
        <v>5</v>
      </c>
      <c r="P516" s="18" t="inlineStr">
        <is>
          <t>#cobblemon:is_forest; #cobblemon:is_jungle; #cobblemon:is_tropical_island; aether:skyroot_forest; aether:skyroot_woodland</t>
        </is>
      </c>
      <c r="Q516" s="18" t="inlineStr">
        <is>
          <t>uncommon</t>
        </is>
      </c>
      <c r="R516" s="18" t="inlineStr">
        <is>
          <t>region_01</t>
        </is>
      </c>
      <c r="S516" s="18" t="inlineStr">
        <is>
          <t>cobbleventure:generation_5</t>
        </is>
      </c>
      <c r="T516" s="18">
        <f>IF(M516=0,"없음",IF(N516=0,"전부 제외","사용"))</f>
        <v/>
      </c>
      <c r="U516" s="18" t="inlineStr"/>
    </row>
    <row r="517" ht="30" customHeight="1">
      <c r="A517" s="18" t="n">
        <v>513</v>
      </c>
      <c r="B517" s="18" t="inlineStr">
        <is>
          <t>바오프</t>
        </is>
      </c>
      <c r="C517" s="18" t="inlineStr">
        <is>
          <t>pansear</t>
        </is>
      </c>
      <c r="D517" s="18" t="inlineStr">
        <is>
          <t>Pansear</t>
        </is>
      </c>
      <c r="E517" s="18" t="n">
        <v>5</v>
      </c>
      <c r="F517" s="18" t="inlineStr">
        <is>
          <t>generation5</t>
        </is>
      </c>
      <c r="G517" s="18" t="inlineStr">
        <is>
          <t>fire</t>
        </is>
      </c>
      <c r="H517" s="18" t="inlineStr"/>
      <c r="I517" s="18" t="inlineStr">
        <is>
          <t>예</t>
        </is>
      </c>
      <c r="J517" s="18" t="inlineStr">
        <is>
          <t>예</t>
        </is>
      </c>
      <c r="K517" s="18" t="inlineStr">
        <is>
          <t>예</t>
        </is>
      </c>
      <c r="L517" s="18" t="inlineStr">
        <is>
          <t>Cobblemon 동일</t>
        </is>
      </c>
      <c r="M517" s="18">
        <f>COUNTIF('스폰_편집'!$D$5:$D$3125,A517)</f>
        <v/>
      </c>
      <c r="N517" s="18">
        <f>COUNTIFS('스폰_편집'!$D$5:$D$3125,A517,'스폰_편집'!$B$5:$B$3125,"사용")</f>
        <v/>
      </c>
      <c r="O517" s="18" t="n">
        <v>3</v>
      </c>
      <c r="P517" s="18" t="inlineStr">
        <is>
          <t>#cobblemon:is_jungle; #cobblemon:is_tropical_island; #cobblemon:is_volcanic</t>
        </is>
      </c>
      <c r="Q517" s="18" t="inlineStr">
        <is>
          <t>uncommon</t>
        </is>
      </c>
      <c r="R517" s="18" t="inlineStr"/>
      <c r="S517" s="18" t="inlineStr">
        <is>
          <t>cobbleventure:generation_5</t>
        </is>
      </c>
      <c r="T517" s="18">
        <f>IF(M517=0,"없음",IF(N517=0,"전부 제외","사용"))</f>
        <v/>
      </c>
      <c r="U517" s="18" t="inlineStr"/>
    </row>
    <row r="518" ht="30" customHeight="1">
      <c r="A518" s="18" t="n">
        <v>514</v>
      </c>
      <c r="B518" s="18" t="inlineStr">
        <is>
          <t>바오키</t>
        </is>
      </c>
      <c r="C518" s="18" t="inlineStr">
        <is>
          <t>simisear</t>
        </is>
      </c>
      <c r="D518" s="18" t="inlineStr">
        <is>
          <t>Simisear</t>
        </is>
      </c>
      <c r="E518" s="18" t="n">
        <v>5</v>
      </c>
      <c r="F518" s="18" t="inlineStr">
        <is>
          <t>generation5</t>
        </is>
      </c>
      <c r="G518" s="18" t="inlineStr">
        <is>
          <t>fire</t>
        </is>
      </c>
      <c r="H518" s="18" t="inlineStr"/>
      <c r="I518" s="18" t="inlineStr">
        <is>
          <t>예</t>
        </is>
      </c>
      <c r="J518" s="18" t="inlineStr">
        <is>
          <t>예</t>
        </is>
      </c>
      <c r="K518" s="18" t="inlineStr">
        <is>
          <t>예</t>
        </is>
      </c>
      <c r="L518" s="18" t="inlineStr">
        <is>
          <t>Cobblemon 동일</t>
        </is>
      </c>
      <c r="M518" s="18">
        <f>COUNTIF('스폰_편집'!$D$5:$D$3125,A518)</f>
        <v/>
      </c>
      <c r="N518" s="18">
        <f>COUNTIFS('스폰_편집'!$D$5:$D$3125,A518,'스폰_편집'!$B$5:$B$3125,"사용")</f>
        <v/>
      </c>
      <c r="O518" s="18" t="n">
        <v>3</v>
      </c>
      <c r="P518" s="18" t="inlineStr">
        <is>
          <t>#cobblemon:is_jungle; #cobblemon:is_tropical_island; #cobblemon:is_volcanic</t>
        </is>
      </c>
      <c r="Q518" s="18" t="inlineStr">
        <is>
          <t>uncommon</t>
        </is>
      </c>
      <c r="R518" s="18" t="inlineStr"/>
      <c r="S518" s="18" t="inlineStr">
        <is>
          <t>cobbleventure:generation_5</t>
        </is>
      </c>
      <c r="T518" s="18">
        <f>IF(M518=0,"없음",IF(N518=0,"전부 제외","사용"))</f>
        <v/>
      </c>
      <c r="U518" s="18" t="inlineStr"/>
    </row>
    <row r="519" ht="30" customHeight="1">
      <c r="A519" s="18" t="n">
        <v>515</v>
      </c>
      <c r="B519" s="18" t="inlineStr">
        <is>
          <t>앗차프</t>
        </is>
      </c>
      <c r="C519" s="18" t="inlineStr">
        <is>
          <t>panpour</t>
        </is>
      </c>
      <c r="D519" s="18" t="inlineStr">
        <is>
          <t>Panpour</t>
        </is>
      </c>
      <c r="E519" s="18" t="n">
        <v>5</v>
      </c>
      <c r="F519" s="18" t="inlineStr">
        <is>
          <t>generation5</t>
        </is>
      </c>
      <c r="G519" s="18" t="inlineStr">
        <is>
          <t>water</t>
        </is>
      </c>
      <c r="H519" s="18" t="inlineStr"/>
      <c r="I519" s="18" t="inlineStr">
        <is>
          <t>예</t>
        </is>
      </c>
      <c r="J519" s="18" t="inlineStr">
        <is>
          <t>예</t>
        </is>
      </c>
      <c r="K519" s="18" t="inlineStr">
        <is>
          <t>예</t>
        </is>
      </c>
      <c r="L519" s="18" t="inlineStr">
        <is>
          <t>Cobblemon 동일</t>
        </is>
      </c>
      <c r="M519" s="18">
        <f>COUNTIF('스폰_편집'!$D$5:$D$3125,A519)</f>
        <v/>
      </c>
      <c r="N519" s="18">
        <f>COUNTIFS('스폰_편집'!$D$5:$D$3125,A519,'스폰_편집'!$B$5:$B$3125,"사용")</f>
        <v/>
      </c>
      <c r="O519" s="18" t="n">
        <v>3</v>
      </c>
      <c r="P519" s="18" t="inlineStr">
        <is>
          <t>#cobblemon:is_jungle; #cobblemon:is_river; #cobblemon:is_tropical_island</t>
        </is>
      </c>
      <c r="Q519" s="18" t="inlineStr">
        <is>
          <t>uncommon</t>
        </is>
      </c>
      <c r="R519" s="18" t="inlineStr"/>
      <c r="S519" s="18" t="inlineStr">
        <is>
          <t>cobbleventure:generation_5</t>
        </is>
      </c>
      <c r="T519" s="18">
        <f>IF(M519=0,"없음",IF(N519=0,"전부 제외","사용"))</f>
        <v/>
      </c>
      <c r="U519" s="18" t="inlineStr"/>
    </row>
    <row r="520" ht="30" customHeight="1">
      <c r="A520" s="18" t="n">
        <v>516</v>
      </c>
      <c r="B520" s="18" t="inlineStr">
        <is>
          <t>앗차키</t>
        </is>
      </c>
      <c r="C520" s="18" t="inlineStr">
        <is>
          <t>simipour</t>
        </is>
      </c>
      <c r="D520" s="18" t="inlineStr">
        <is>
          <t>Simipour</t>
        </is>
      </c>
      <c r="E520" s="18" t="n">
        <v>5</v>
      </c>
      <c r="F520" s="18" t="inlineStr">
        <is>
          <t>generation5</t>
        </is>
      </c>
      <c r="G520" s="18" t="inlineStr">
        <is>
          <t>water</t>
        </is>
      </c>
      <c r="H520" s="18" t="inlineStr"/>
      <c r="I520" s="18" t="inlineStr">
        <is>
          <t>예</t>
        </is>
      </c>
      <c r="J520" s="18" t="inlineStr">
        <is>
          <t>예</t>
        </is>
      </c>
      <c r="K520" s="18" t="inlineStr">
        <is>
          <t>예</t>
        </is>
      </c>
      <c r="L520" s="18" t="inlineStr">
        <is>
          <t>Cobblemon 동일</t>
        </is>
      </c>
      <c r="M520" s="18">
        <f>COUNTIF('스폰_편집'!$D$5:$D$3125,A520)</f>
        <v/>
      </c>
      <c r="N520" s="18">
        <f>COUNTIFS('스폰_편집'!$D$5:$D$3125,A520,'스폰_편집'!$B$5:$B$3125,"사용")</f>
        <v/>
      </c>
      <c r="O520" s="18" t="n">
        <v>3</v>
      </c>
      <c r="P520" s="18" t="inlineStr">
        <is>
          <t>#cobblemon:is_jungle; #cobblemon:is_river; #cobblemon:is_tropical_island</t>
        </is>
      </c>
      <c r="Q520" s="18" t="inlineStr">
        <is>
          <t>uncommon</t>
        </is>
      </c>
      <c r="R520" s="18" t="inlineStr"/>
      <c r="S520" s="18" t="inlineStr">
        <is>
          <t>cobbleventure:generation_5</t>
        </is>
      </c>
      <c r="T520" s="18">
        <f>IF(M520=0,"없음",IF(N520=0,"전부 제외","사용"))</f>
        <v/>
      </c>
      <c r="U520" s="18" t="inlineStr"/>
    </row>
    <row r="521" ht="30" customHeight="1">
      <c r="A521" s="18" t="n">
        <v>517</v>
      </c>
      <c r="B521" s="18" t="inlineStr">
        <is>
          <t>몽나</t>
        </is>
      </c>
      <c r="C521" s="18" t="inlineStr">
        <is>
          <t>munna</t>
        </is>
      </c>
      <c r="D521" s="18" t="inlineStr">
        <is>
          <t>Munna</t>
        </is>
      </c>
      <c r="E521" s="18" t="n">
        <v>5</v>
      </c>
      <c r="F521" s="18" t="inlineStr">
        <is>
          <t>generation5</t>
        </is>
      </c>
      <c r="G521" s="18" t="inlineStr">
        <is>
          <t>psychic</t>
        </is>
      </c>
      <c r="H521" s="18" t="inlineStr"/>
      <c r="I521" s="18" t="inlineStr">
        <is>
          <t>예</t>
        </is>
      </c>
      <c r="J521" s="18" t="inlineStr">
        <is>
          <t>예</t>
        </is>
      </c>
      <c r="K521" s="18" t="inlineStr">
        <is>
          <t>예</t>
        </is>
      </c>
      <c r="L521" s="18" t="inlineStr">
        <is>
          <t>COBBLEVERSE 수정</t>
        </is>
      </c>
      <c r="M521" s="18">
        <f>COUNTIF('스폰_편집'!$D$5:$D$3125,A521)</f>
        <v/>
      </c>
      <c r="N521" s="18">
        <f>COUNTIFS('스폰_편집'!$D$5:$D$3125,A521,'스폰_편집'!$B$5:$B$3125,"사용")</f>
        <v/>
      </c>
      <c r="O521" s="18" t="n">
        <v>1</v>
      </c>
      <c r="P521" s="18" t="inlineStr">
        <is>
          <t>#cobblemon:is_overworld</t>
        </is>
      </c>
      <c r="Q521" s="18" t="inlineStr">
        <is>
          <t>common</t>
        </is>
      </c>
      <c r="R521" s="18" t="inlineStr">
        <is>
          <t>region_01; region_02</t>
        </is>
      </c>
      <c r="S521" s="18" t="inlineStr">
        <is>
          <t>cobbleventure:generation_5</t>
        </is>
      </c>
      <c r="T521" s="18">
        <f>IF(M521=0,"없음",IF(N521=0,"전부 제외","사용"))</f>
        <v/>
      </c>
      <c r="U521" s="18" t="inlineStr"/>
    </row>
    <row r="522" ht="30" customHeight="1">
      <c r="A522" s="18" t="n">
        <v>518</v>
      </c>
      <c r="B522" s="18" t="inlineStr">
        <is>
          <t>몽얌나</t>
        </is>
      </c>
      <c r="C522" s="18" t="inlineStr">
        <is>
          <t>musharna</t>
        </is>
      </c>
      <c r="D522" s="18" t="inlineStr">
        <is>
          <t>Musharna</t>
        </is>
      </c>
      <c r="E522" s="18" t="n">
        <v>5</v>
      </c>
      <c r="F522" s="18" t="inlineStr">
        <is>
          <t>generation5</t>
        </is>
      </c>
      <c r="G522" s="18" t="inlineStr">
        <is>
          <t>psychic</t>
        </is>
      </c>
      <c r="H522" s="18" t="inlineStr"/>
      <c r="I522" s="18" t="inlineStr">
        <is>
          <t>예</t>
        </is>
      </c>
      <c r="J522" s="18" t="inlineStr">
        <is>
          <t>예</t>
        </is>
      </c>
      <c r="K522" s="18" t="inlineStr">
        <is>
          <t>예</t>
        </is>
      </c>
      <c r="L522" s="18" t="inlineStr">
        <is>
          <t>COBBLEVERSE 수정</t>
        </is>
      </c>
      <c r="M522" s="18">
        <f>COUNTIF('스폰_편집'!$D$5:$D$3125,A522)</f>
        <v/>
      </c>
      <c r="N522" s="18">
        <f>COUNTIFS('스폰_편집'!$D$5:$D$3125,A522,'스폰_편집'!$B$5:$B$3125,"사용")</f>
        <v/>
      </c>
      <c r="O522" s="18" t="n">
        <v>1</v>
      </c>
      <c r="P522" s="18" t="inlineStr">
        <is>
          <t>#cobblemon:is_overworld</t>
        </is>
      </c>
      <c r="Q522" s="18" t="inlineStr">
        <is>
          <t>common</t>
        </is>
      </c>
      <c r="R522" s="18" t="inlineStr">
        <is>
          <t>region_01; region_02</t>
        </is>
      </c>
      <c r="S522" s="18" t="inlineStr">
        <is>
          <t>cobbleventure:generation_5</t>
        </is>
      </c>
      <c r="T522" s="18">
        <f>IF(M522=0,"없음",IF(N522=0,"전부 제외","사용"))</f>
        <v/>
      </c>
      <c r="U522" s="18" t="inlineStr"/>
    </row>
    <row r="523" ht="30" customHeight="1">
      <c r="A523" s="18" t="n">
        <v>519</v>
      </c>
      <c r="B523" s="18" t="inlineStr">
        <is>
          <t>콩둘기</t>
        </is>
      </c>
      <c r="C523" s="18" t="inlineStr">
        <is>
          <t>pidove</t>
        </is>
      </c>
      <c r="D523" s="18" t="inlineStr">
        <is>
          <t>Pidove</t>
        </is>
      </c>
      <c r="E523" s="18" t="n">
        <v>5</v>
      </c>
      <c r="F523" s="18" t="inlineStr">
        <is>
          <t>generation5</t>
        </is>
      </c>
      <c r="G523" s="18" t="inlineStr">
        <is>
          <t>normal</t>
        </is>
      </c>
      <c r="H523" s="18" t="inlineStr">
        <is>
          <t>flying</t>
        </is>
      </c>
      <c r="I523" s="18" t="inlineStr">
        <is>
          <t>예</t>
        </is>
      </c>
      <c r="J523" s="18" t="inlineStr">
        <is>
          <t>예</t>
        </is>
      </c>
      <c r="K523" s="18" t="inlineStr">
        <is>
          <t>예</t>
        </is>
      </c>
      <c r="L523" s="18" t="inlineStr">
        <is>
          <t>Cobblemon 동일</t>
        </is>
      </c>
      <c r="M523" s="18">
        <f>COUNTIF('스폰_편집'!$D$5:$D$3125,A523)</f>
        <v/>
      </c>
      <c r="N523" s="18">
        <f>COUNTIFS('스폰_편집'!$D$5:$D$3125,A523,'스폰_편집'!$B$5:$B$3125,"사용")</f>
        <v/>
      </c>
      <c r="O523" s="18" t="n">
        <v>3</v>
      </c>
      <c r="P523" s="18" t="inlineStr">
        <is>
          <t>#cobblemon:is_mountain; #cobblemon:is_overworld; #cobblemon:is_sky</t>
        </is>
      </c>
      <c r="Q523" s="18" t="inlineStr">
        <is>
          <t>common</t>
        </is>
      </c>
      <c r="R523" s="18" t="inlineStr">
        <is>
          <t>region_01</t>
        </is>
      </c>
      <c r="S523" s="18" t="inlineStr">
        <is>
          <t>cobbleventure:generation_5</t>
        </is>
      </c>
      <c r="T523" s="18">
        <f>IF(M523=0,"없음",IF(N523=0,"전부 제외","사용"))</f>
        <v/>
      </c>
      <c r="U523" s="18" t="inlineStr"/>
    </row>
    <row r="524" ht="30" customHeight="1">
      <c r="A524" s="18" t="n">
        <v>520</v>
      </c>
      <c r="B524" s="18" t="inlineStr">
        <is>
          <t>유토브</t>
        </is>
      </c>
      <c r="C524" s="18" t="inlineStr">
        <is>
          <t>tranquill</t>
        </is>
      </c>
      <c r="D524" s="18" t="inlineStr">
        <is>
          <t>Tranquill</t>
        </is>
      </c>
      <c r="E524" s="18" t="n">
        <v>5</v>
      </c>
      <c r="F524" s="18" t="inlineStr">
        <is>
          <t>generation5</t>
        </is>
      </c>
      <c r="G524" s="18" t="inlineStr">
        <is>
          <t>normal</t>
        </is>
      </c>
      <c r="H524" s="18" t="inlineStr">
        <is>
          <t>flying</t>
        </is>
      </c>
      <c r="I524" s="18" t="inlineStr">
        <is>
          <t>예</t>
        </is>
      </c>
      <c r="J524" s="18" t="inlineStr">
        <is>
          <t>예</t>
        </is>
      </c>
      <c r="K524" s="18" t="inlineStr">
        <is>
          <t>예</t>
        </is>
      </c>
      <c r="L524" s="18" t="inlineStr">
        <is>
          <t>Cobblemon 동일</t>
        </is>
      </c>
      <c r="M524" s="18">
        <f>COUNTIF('스폰_편집'!$D$5:$D$3125,A524)</f>
        <v/>
      </c>
      <c r="N524" s="18">
        <f>COUNTIFS('스폰_편집'!$D$5:$D$3125,A524,'스폰_편집'!$B$5:$B$3125,"사용")</f>
        <v/>
      </c>
      <c r="O524" s="18" t="n">
        <v>3</v>
      </c>
      <c r="P524" s="18" t="inlineStr">
        <is>
          <t>#cobblemon:is_mountain; #cobblemon:is_overworld; #cobblemon:is_sky</t>
        </is>
      </c>
      <c r="Q524" s="18" t="inlineStr">
        <is>
          <t>common</t>
        </is>
      </c>
      <c r="R524" s="18" t="inlineStr">
        <is>
          <t>region_01</t>
        </is>
      </c>
      <c r="S524" s="18" t="inlineStr">
        <is>
          <t>cobbleventure:generation_5</t>
        </is>
      </c>
      <c r="T524" s="18">
        <f>IF(M524=0,"없음",IF(N524=0,"전부 제외","사용"))</f>
        <v/>
      </c>
      <c r="U524" s="18" t="inlineStr"/>
    </row>
    <row r="525" ht="30" customHeight="1">
      <c r="A525" s="18" t="n">
        <v>521</v>
      </c>
      <c r="B525" s="18" t="inlineStr">
        <is>
          <t>켄호로우</t>
        </is>
      </c>
      <c r="C525" s="18" t="inlineStr">
        <is>
          <t>unfezant</t>
        </is>
      </c>
      <c r="D525" s="18" t="inlineStr">
        <is>
          <t>Unfezant</t>
        </is>
      </c>
      <c r="E525" s="18" t="n">
        <v>5</v>
      </c>
      <c r="F525" s="18" t="inlineStr">
        <is>
          <t>generation5</t>
        </is>
      </c>
      <c r="G525" s="18" t="inlineStr">
        <is>
          <t>normal</t>
        </is>
      </c>
      <c r="H525" s="18" t="inlineStr">
        <is>
          <t>flying</t>
        </is>
      </c>
      <c r="I525" s="18" t="inlineStr">
        <is>
          <t>예</t>
        </is>
      </c>
      <c r="J525" s="18" t="inlineStr">
        <is>
          <t>예</t>
        </is>
      </c>
      <c r="K525" s="18" t="inlineStr">
        <is>
          <t>예</t>
        </is>
      </c>
      <c r="L525" s="18" t="inlineStr">
        <is>
          <t>Cobblemon 동일</t>
        </is>
      </c>
      <c r="M525" s="18">
        <f>COUNTIF('스폰_편집'!$D$5:$D$3125,A525)</f>
        <v/>
      </c>
      <c r="N525" s="18">
        <f>COUNTIFS('스폰_편집'!$D$5:$D$3125,A525,'스폰_편집'!$B$5:$B$3125,"사용")</f>
        <v/>
      </c>
      <c r="O525" s="18" t="n">
        <v>3</v>
      </c>
      <c r="P525" s="18" t="inlineStr">
        <is>
          <t>#cobblemon:is_mountain; #cobblemon:is_overworld; #cobblemon:is_sky</t>
        </is>
      </c>
      <c r="Q525" s="18" t="inlineStr">
        <is>
          <t>common</t>
        </is>
      </c>
      <c r="R525" s="18" t="inlineStr">
        <is>
          <t>region_01</t>
        </is>
      </c>
      <c r="S525" s="18" t="inlineStr">
        <is>
          <t>cobbleventure:generation_5</t>
        </is>
      </c>
      <c r="T525" s="18">
        <f>IF(M525=0,"없음",IF(N525=0,"전부 제외","사용"))</f>
        <v/>
      </c>
      <c r="U525" s="18" t="inlineStr"/>
    </row>
    <row r="526" ht="30" customHeight="1">
      <c r="A526" s="18" t="n">
        <v>522</v>
      </c>
      <c r="B526" s="18" t="inlineStr">
        <is>
          <t>줄뮤마</t>
        </is>
      </c>
      <c r="C526" s="18" t="inlineStr">
        <is>
          <t>blitzle</t>
        </is>
      </c>
      <c r="D526" s="18" t="inlineStr">
        <is>
          <t>Blitzle</t>
        </is>
      </c>
      <c r="E526" s="18" t="n">
        <v>5</v>
      </c>
      <c r="F526" s="18" t="inlineStr">
        <is>
          <t>generation5</t>
        </is>
      </c>
      <c r="G526" s="18" t="inlineStr">
        <is>
          <t>electric</t>
        </is>
      </c>
      <c r="H526" s="18" t="inlineStr"/>
      <c r="I526" s="18" t="inlineStr">
        <is>
          <t>예</t>
        </is>
      </c>
      <c r="J526" s="18" t="inlineStr">
        <is>
          <t>예</t>
        </is>
      </c>
      <c r="K526" s="18" t="inlineStr">
        <is>
          <t>예</t>
        </is>
      </c>
      <c r="L526" s="18" t="inlineStr">
        <is>
          <t>Cobblemon 동일</t>
        </is>
      </c>
      <c r="M526" s="18">
        <f>COUNTIF('스폰_편집'!$D$5:$D$3125,A526)</f>
        <v/>
      </c>
      <c r="N526" s="18">
        <f>COUNTIFS('스폰_편집'!$D$5:$D$3125,A526,'스폰_편집'!$B$5:$B$3125,"사용")</f>
        <v/>
      </c>
      <c r="O526" s="18" t="n">
        <v>1</v>
      </c>
      <c r="P526" s="18" t="inlineStr">
        <is>
          <t>#cobblemon:is_savanna</t>
        </is>
      </c>
      <c r="Q526" s="18" t="inlineStr">
        <is>
          <t>common</t>
        </is>
      </c>
      <c r="R526" s="18" t="inlineStr"/>
      <c r="S526" s="18" t="inlineStr">
        <is>
          <t>cobbleventure:generation_5</t>
        </is>
      </c>
      <c r="T526" s="18">
        <f>IF(M526=0,"없음",IF(N526=0,"전부 제외","사용"))</f>
        <v/>
      </c>
      <c r="U526" s="18" t="inlineStr"/>
    </row>
    <row r="527" ht="30" customHeight="1">
      <c r="A527" s="18" t="n">
        <v>523</v>
      </c>
      <c r="B527" s="18" t="inlineStr">
        <is>
          <t>제브라이카</t>
        </is>
      </c>
      <c r="C527" s="18" t="inlineStr">
        <is>
          <t>zebstrika</t>
        </is>
      </c>
      <c r="D527" s="18" t="inlineStr">
        <is>
          <t>Zebstrika</t>
        </is>
      </c>
      <c r="E527" s="18" t="n">
        <v>5</v>
      </c>
      <c r="F527" s="18" t="inlineStr">
        <is>
          <t>generation5</t>
        </is>
      </c>
      <c r="G527" s="18" t="inlineStr">
        <is>
          <t>electric</t>
        </is>
      </c>
      <c r="H527" s="18" t="inlineStr"/>
      <c r="I527" s="18" t="inlineStr">
        <is>
          <t>예</t>
        </is>
      </c>
      <c r="J527" s="18" t="inlineStr">
        <is>
          <t>예</t>
        </is>
      </c>
      <c r="K527" s="18" t="inlineStr">
        <is>
          <t>예</t>
        </is>
      </c>
      <c r="L527" s="18" t="inlineStr">
        <is>
          <t>Cobblemon 동일</t>
        </is>
      </c>
      <c r="M527" s="18">
        <f>COUNTIF('스폰_편집'!$D$5:$D$3125,A527)</f>
        <v/>
      </c>
      <c r="N527" s="18">
        <f>COUNTIFS('스폰_편집'!$D$5:$D$3125,A527,'스폰_편집'!$B$5:$B$3125,"사용")</f>
        <v/>
      </c>
      <c r="O527" s="18" t="n">
        <v>1</v>
      </c>
      <c r="P527" s="18" t="inlineStr">
        <is>
          <t>#cobblemon:is_savanna</t>
        </is>
      </c>
      <c r="Q527" s="18" t="inlineStr">
        <is>
          <t>common</t>
        </is>
      </c>
      <c r="R527" s="18" t="inlineStr"/>
      <c r="S527" s="18" t="inlineStr">
        <is>
          <t>cobbleventure:generation_5</t>
        </is>
      </c>
      <c r="T527" s="18">
        <f>IF(M527=0,"없음",IF(N527=0,"전부 제외","사용"))</f>
        <v/>
      </c>
      <c r="U527" s="18" t="inlineStr"/>
    </row>
    <row r="528" ht="30" customHeight="1">
      <c r="A528" s="18" t="n">
        <v>524</v>
      </c>
      <c r="B528" s="18" t="inlineStr">
        <is>
          <t>단굴</t>
        </is>
      </c>
      <c r="C528" s="18" t="inlineStr">
        <is>
          <t>roggenrola</t>
        </is>
      </c>
      <c r="D528" s="18" t="inlineStr">
        <is>
          <t>Roggenrola</t>
        </is>
      </c>
      <c r="E528" s="18" t="n">
        <v>5</v>
      </c>
      <c r="F528" s="18" t="inlineStr">
        <is>
          <t>generation5</t>
        </is>
      </c>
      <c r="G528" s="18" t="inlineStr">
        <is>
          <t>rock</t>
        </is>
      </c>
      <c r="H528" s="18" t="inlineStr"/>
      <c r="I528" s="18" t="inlineStr">
        <is>
          <t>예</t>
        </is>
      </c>
      <c r="J528" s="18" t="inlineStr">
        <is>
          <t>예</t>
        </is>
      </c>
      <c r="K528" s="18" t="inlineStr">
        <is>
          <t>예</t>
        </is>
      </c>
      <c r="L528" s="18" t="inlineStr">
        <is>
          <t>Cobblemon 동일</t>
        </is>
      </c>
      <c r="M528" s="18">
        <f>COUNTIF('스폰_편집'!$D$5:$D$3125,A528)</f>
        <v/>
      </c>
      <c r="N528" s="18">
        <f>COUNTIFS('스폰_편집'!$D$5:$D$3125,A528,'스폰_편집'!$B$5:$B$3125,"사용")</f>
        <v/>
      </c>
      <c r="O528" s="18" t="n">
        <v>2</v>
      </c>
      <c r="P528" s="18" t="inlineStr">
        <is>
          <t>#cobblemon:is_deep_dark; #cobblemon:is_overworld</t>
        </is>
      </c>
      <c r="Q528" s="18" t="inlineStr">
        <is>
          <t>common; uncommon</t>
        </is>
      </c>
      <c r="R528" s="18" t="inlineStr">
        <is>
          <t>region_01; region_02</t>
        </is>
      </c>
      <c r="S528" s="18" t="inlineStr">
        <is>
          <t>cobbleventure:generation_5</t>
        </is>
      </c>
      <c r="T528" s="18">
        <f>IF(M528=0,"없음",IF(N528=0,"전부 제외","사용"))</f>
        <v/>
      </c>
      <c r="U528" s="18" t="inlineStr"/>
    </row>
    <row r="529" ht="30" customHeight="1">
      <c r="A529" s="18" t="n">
        <v>525</v>
      </c>
      <c r="B529" s="18" t="inlineStr">
        <is>
          <t>암트르</t>
        </is>
      </c>
      <c r="C529" s="18" t="inlineStr">
        <is>
          <t>boldore</t>
        </is>
      </c>
      <c r="D529" s="18" t="inlineStr">
        <is>
          <t>Boldore</t>
        </is>
      </c>
      <c r="E529" s="18" t="n">
        <v>5</v>
      </c>
      <c r="F529" s="18" t="inlineStr">
        <is>
          <t>generation5</t>
        </is>
      </c>
      <c r="G529" s="18" t="inlineStr">
        <is>
          <t>rock</t>
        </is>
      </c>
      <c r="H529" s="18" t="inlineStr"/>
      <c r="I529" s="18" t="inlineStr">
        <is>
          <t>예</t>
        </is>
      </c>
      <c r="J529" s="18" t="inlineStr">
        <is>
          <t>예</t>
        </is>
      </c>
      <c r="K529" s="18" t="inlineStr">
        <is>
          <t>예</t>
        </is>
      </c>
      <c r="L529" s="18" t="inlineStr">
        <is>
          <t>Cobblemon 동일</t>
        </is>
      </c>
      <c r="M529" s="18">
        <f>COUNTIF('스폰_편집'!$D$5:$D$3125,A529)</f>
        <v/>
      </c>
      <c r="N529" s="18">
        <f>COUNTIFS('스폰_편집'!$D$5:$D$3125,A529,'스폰_편집'!$B$5:$B$3125,"사용")</f>
        <v/>
      </c>
      <c r="O529" s="18" t="n">
        <v>2</v>
      </c>
      <c r="P529" s="18" t="inlineStr">
        <is>
          <t>#cobblemon:is_deep_dark; #cobblemon:is_overworld</t>
        </is>
      </c>
      <c r="Q529" s="18" t="inlineStr">
        <is>
          <t>common; uncommon</t>
        </is>
      </c>
      <c r="R529" s="18" t="inlineStr">
        <is>
          <t>region_01; region_02</t>
        </is>
      </c>
      <c r="S529" s="18" t="inlineStr">
        <is>
          <t>cobbleventure:generation_5</t>
        </is>
      </c>
      <c r="T529" s="18">
        <f>IF(M529=0,"없음",IF(N529=0,"전부 제외","사용"))</f>
        <v/>
      </c>
      <c r="U529" s="18" t="inlineStr"/>
    </row>
    <row r="530" ht="30" customHeight="1">
      <c r="A530" s="18" t="n">
        <v>526</v>
      </c>
      <c r="B530" s="18" t="inlineStr">
        <is>
          <t>기가이어스</t>
        </is>
      </c>
      <c r="C530" s="18" t="inlineStr">
        <is>
          <t>gigalith</t>
        </is>
      </c>
      <c r="D530" s="18" t="inlineStr">
        <is>
          <t>Gigalith</t>
        </is>
      </c>
      <c r="E530" s="18" t="n">
        <v>5</v>
      </c>
      <c r="F530" s="18" t="inlineStr">
        <is>
          <t>generation5</t>
        </is>
      </c>
      <c r="G530" s="18" t="inlineStr">
        <is>
          <t>rock</t>
        </is>
      </c>
      <c r="H530" s="18" t="inlineStr"/>
      <c r="I530" s="18" t="inlineStr">
        <is>
          <t>예</t>
        </is>
      </c>
      <c r="J530" s="18" t="inlineStr">
        <is>
          <t>예</t>
        </is>
      </c>
      <c r="K530" s="18" t="inlineStr">
        <is>
          <t>예</t>
        </is>
      </c>
      <c r="L530" s="18" t="inlineStr">
        <is>
          <t>Cobblemon 동일</t>
        </is>
      </c>
      <c r="M530" s="18">
        <f>COUNTIF('스폰_편집'!$D$5:$D$3125,A530)</f>
        <v/>
      </c>
      <c r="N530" s="18">
        <f>COUNTIFS('스폰_편집'!$D$5:$D$3125,A530,'스폰_편집'!$B$5:$B$3125,"사용")</f>
        <v/>
      </c>
      <c r="O530" s="18" t="n">
        <v>2</v>
      </c>
      <c r="P530" s="18" t="inlineStr">
        <is>
          <t>#cobblemon:is_deep_dark; #cobblemon:is_overworld</t>
        </is>
      </c>
      <c r="Q530" s="18" t="inlineStr">
        <is>
          <t>common; uncommon</t>
        </is>
      </c>
      <c r="R530" s="18" t="inlineStr">
        <is>
          <t>region_01; region_02</t>
        </is>
      </c>
      <c r="S530" s="18" t="inlineStr">
        <is>
          <t>cobbleventure:generation_5</t>
        </is>
      </c>
      <c r="T530" s="18">
        <f>IF(M530=0,"없음",IF(N530=0,"전부 제외","사용"))</f>
        <v/>
      </c>
      <c r="U530" s="18" t="inlineStr"/>
    </row>
    <row r="531" ht="30" customHeight="1">
      <c r="A531" s="18" t="n">
        <v>527</v>
      </c>
      <c r="B531" s="18" t="inlineStr">
        <is>
          <t>또르박쥐</t>
        </is>
      </c>
      <c r="C531" s="18" t="inlineStr">
        <is>
          <t>woobat</t>
        </is>
      </c>
      <c r="D531" s="18" t="inlineStr">
        <is>
          <t>Woobat</t>
        </is>
      </c>
      <c r="E531" s="18" t="n">
        <v>5</v>
      </c>
      <c r="F531" s="18" t="inlineStr">
        <is>
          <t>generation5</t>
        </is>
      </c>
      <c r="G531" s="18" t="inlineStr">
        <is>
          <t>psychic</t>
        </is>
      </c>
      <c r="H531" s="18" t="inlineStr">
        <is>
          <t>flying</t>
        </is>
      </c>
      <c r="I531" s="18" t="inlineStr">
        <is>
          <t>예</t>
        </is>
      </c>
      <c r="J531" s="18" t="inlineStr">
        <is>
          <t>예</t>
        </is>
      </c>
      <c r="K531" s="18" t="inlineStr">
        <is>
          <t>예</t>
        </is>
      </c>
      <c r="L531" s="18" t="inlineStr">
        <is>
          <t>COBBLEVERSE 수정</t>
        </is>
      </c>
      <c r="M531" s="18">
        <f>COUNTIF('스폰_편집'!$D$5:$D$3125,A531)</f>
        <v/>
      </c>
      <c r="N531" s="18">
        <f>COUNTIFS('스폰_편집'!$D$5:$D$3125,A531,'스폰_편집'!$B$5:$B$3125,"사용")</f>
        <v/>
      </c>
      <c r="O531" s="18" t="n">
        <v>2</v>
      </c>
      <c r="P531" s="18" t="inlineStr">
        <is>
          <t>#cobblemon:is_jungle; #cobblemon:is_savanna</t>
        </is>
      </c>
      <c r="Q531" s="18" t="inlineStr">
        <is>
          <t>common</t>
        </is>
      </c>
      <c r="R531" s="18" t="inlineStr"/>
      <c r="S531" s="18" t="inlineStr">
        <is>
          <t>cobbleventure:generation_5</t>
        </is>
      </c>
      <c r="T531" s="18">
        <f>IF(M531=0,"없음",IF(N531=0,"전부 제외","사용"))</f>
        <v/>
      </c>
      <c r="U531" s="18" t="inlineStr"/>
    </row>
    <row r="532" ht="30" customHeight="1">
      <c r="A532" s="18" t="n">
        <v>528</v>
      </c>
      <c r="B532" s="18" t="inlineStr">
        <is>
          <t>맘박쥐</t>
        </is>
      </c>
      <c r="C532" s="18" t="inlineStr">
        <is>
          <t>swoobat</t>
        </is>
      </c>
      <c r="D532" s="18" t="inlineStr">
        <is>
          <t>Swoobat</t>
        </is>
      </c>
      <c r="E532" s="18" t="n">
        <v>5</v>
      </c>
      <c r="F532" s="18" t="inlineStr">
        <is>
          <t>generation5</t>
        </is>
      </c>
      <c r="G532" s="18" t="inlineStr">
        <is>
          <t>psychic</t>
        </is>
      </c>
      <c r="H532" s="18" t="inlineStr">
        <is>
          <t>flying</t>
        </is>
      </c>
      <c r="I532" s="18" t="inlineStr">
        <is>
          <t>예</t>
        </is>
      </c>
      <c r="J532" s="18" t="inlineStr">
        <is>
          <t>예</t>
        </is>
      </c>
      <c r="K532" s="18" t="inlineStr">
        <is>
          <t>예</t>
        </is>
      </c>
      <c r="L532" s="18" t="inlineStr">
        <is>
          <t>COBBLEVERSE 수정</t>
        </is>
      </c>
      <c r="M532" s="18">
        <f>COUNTIF('스폰_편집'!$D$5:$D$3125,A532)</f>
        <v/>
      </c>
      <c r="N532" s="18">
        <f>COUNTIFS('스폰_편집'!$D$5:$D$3125,A532,'스폰_편집'!$B$5:$B$3125,"사용")</f>
        <v/>
      </c>
      <c r="O532" s="18" t="n">
        <v>2</v>
      </c>
      <c r="P532" s="18" t="inlineStr">
        <is>
          <t>#cobblemon:is_jungle; #cobblemon:is_savanna</t>
        </is>
      </c>
      <c r="Q532" s="18" t="inlineStr">
        <is>
          <t>common</t>
        </is>
      </c>
      <c r="R532" s="18" t="inlineStr"/>
      <c r="S532" s="18" t="inlineStr">
        <is>
          <t>cobbleventure:generation_5</t>
        </is>
      </c>
      <c r="T532" s="18">
        <f>IF(M532=0,"없음",IF(N532=0,"전부 제외","사용"))</f>
        <v/>
      </c>
      <c r="U532" s="18" t="inlineStr"/>
    </row>
    <row r="533" ht="30" customHeight="1">
      <c r="A533" s="18" t="n">
        <v>529</v>
      </c>
      <c r="B533" s="18" t="inlineStr">
        <is>
          <t>두더류</t>
        </is>
      </c>
      <c r="C533" s="18" t="inlineStr">
        <is>
          <t>drilbur</t>
        </is>
      </c>
      <c r="D533" s="18" t="inlineStr">
        <is>
          <t>Drilbur</t>
        </is>
      </c>
      <c r="E533" s="18" t="n">
        <v>5</v>
      </c>
      <c r="F533" s="18" t="inlineStr">
        <is>
          <t>generation5</t>
        </is>
      </c>
      <c r="G533" s="18" t="inlineStr">
        <is>
          <t>ground</t>
        </is>
      </c>
      <c r="H533" s="18" t="inlineStr"/>
      <c r="I533" s="18" t="inlineStr">
        <is>
          <t>예</t>
        </is>
      </c>
      <c r="J533" s="18" t="inlineStr">
        <is>
          <t>예</t>
        </is>
      </c>
      <c r="K533" s="18" t="inlineStr">
        <is>
          <t>예</t>
        </is>
      </c>
      <c r="L533" s="18" t="inlineStr">
        <is>
          <t>Cobblemon 동일</t>
        </is>
      </c>
      <c r="M533" s="18">
        <f>COUNTIF('스폰_편집'!$D$5:$D$3125,A533)</f>
        <v/>
      </c>
      <c r="N533" s="18">
        <f>COUNTIFS('스폰_편집'!$D$5:$D$3125,A533,'스폰_편집'!$B$5:$B$3125,"사용")</f>
        <v/>
      </c>
      <c r="O533" s="18" t="n">
        <v>1</v>
      </c>
      <c r="P533" s="18" t="inlineStr">
        <is>
          <t>#cobblemon:is_overworld</t>
        </is>
      </c>
      <c r="Q533" s="18" t="inlineStr">
        <is>
          <t>common</t>
        </is>
      </c>
      <c r="R533" s="18" t="inlineStr">
        <is>
          <t>region_01; region_02</t>
        </is>
      </c>
      <c r="S533" s="18" t="inlineStr">
        <is>
          <t>cobbleventure:generation_5</t>
        </is>
      </c>
      <c r="T533" s="18">
        <f>IF(M533=0,"없음",IF(N533=0,"전부 제외","사용"))</f>
        <v/>
      </c>
      <c r="U533" s="18" t="inlineStr"/>
    </row>
    <row r="534" ht="30" customHeight="1">
      <c r="A534" s="18" t="n">
        <v>530</v>
      </c>
      <c r="B534" s="18" t="inlineStr">
        <is>
          <t>몰드류</t>
        </is>
      </c>
      <c r="C534" s="18" t="inlineStr">
        <is>
          <t>excadrill</t>
        </is>
      </c>
      <c r="D534" s="18" t="inlineStr">
        <is>
          <t>Excadrill</t>
        </is>
      </c>
      <c r="E534" s="18" t="n">
        <v>5</v>
      </c>
      <c r="F534" s="18" t="inlineStr">
        <is>
          <t>generation5</t>
        </is>
      </c>
      <c r="G534" s="18" t="inlineStr">
        <is>
          <t>ground</t>
        </is>
      </c>
      <c r="H534" s="18" t="inlineStr">
        <is>
          <t>steel</t>
        </is>
      </c>
      <c r="I534" s="18" t="inlineStr">
        <is>
          <t>예</t>
        </is>
      </c>
      <c r="J534" s="18" t="inlineStr">
        <is>
          <t>예</t>
        </is>
      </c>
      <c r="K534" s="18" t="inlineStr">
        <is>
          <t>예</t>
        </is>
      </c>
      <c r="L534" s="18" t="inlineStr">
        <is>
          <t>Cobblemon 동일</t>
        </is>
      </c>
      <c r="M534" s="18">
        <f>COUNTIF('스폰_편집'!$D$5:$D$3125,A534)</f>
        <v/>
      </c>
      <c r="N534" s="18">
        <f>COUNTIFS('스폰_편집'!$D$5:$D$3125,A534,'스폰_편집'!$B$5:$B$3125,"사용")</f>
        <v/>
      </c>
      <c r="O534" s="18" t="n">
        <v>1</v>
      </c>
      <c r="P534" s="18" t="inlineStr">
        <is>
          <t>#cobblemon:is_overworld</t>
        </is>
      </c>
      <c r="Q534" s="18" t="inlineStr">
        <is>
          <t>common</t>
        </is>
      </c>
      <c r="R534" s="18" t="inlineStr">
        <is>
          <t>region_01; region_02</t>
        </is>
      </c>
      <c r="S534" s="18" t="inlineStr">
        <is>
          <t>cobbleventure:generation_5</t>
        </is>
      </c>
      <c r="T534" s="18">
        <f>IF(M534=0,"없음",IF(N534=0,"전부 제외","사용"))</f>
        <v/>
      </c>
      <c r="U534" s="18" t="inlineStr"/>
    </row>
    <row r="535" ht="30" customHeight="1">
      <c r="A535" s="18" t="n">
        <v>531</v>
      </c>
      <c r="B535" s="18" t="inlineStr">
        <is>
          <t>다부니</t>
        </is>
      </c>
      <c r="C535" s="18" t="inlineStr">
        <is>
          <t>audino</t>
        </is>
      </c>
      <c r="D535" s="18" t="inlineStr">
        <is>
          <t>Audino</t>
        </is>
      </c>
      <c r="E535" s="18" t="n">
        <v>5</v>
      </c>
      <c r="F535" s="18" t="inlineStr">
        <is>
          <t>generation5</t>
        </is>
      </c>
      <c r="G535" s="18" t="inlineStr">
        <is>
          <t>normal</t>
        </is>
      </c>
      <c r="H535" s="18" t="inlineStr"/>
      <c r="I535" s="18" t="inlineStr">
        <is>
          <t>아니오</t>
        </is>
      </c>
      <c r="J535" s="18" t="inlineStr">
        <is>
          <t>아니오</t>
        </is>
      </c>
      <c r="K535" s="18" t="inlineStr">
        <is>
          <t>예</t>
        </is>
      </c>
      <c r="L535" s="18" t="inlineStr">
        <is>
          <t>COBBLEVERSE 추가</t>
        </is>
      </c>
      <c r="M535" s="18">
        <f>COUNTIF('스폰_편집'!$D$5:$D$3125,A535)</f>
        <v/>
      </c>
      <c r="N535" s="18">
        <f>COUNTIFS('스폰_편집'!$D$5:$D$3125,A535,'스폰_편집'!$B$5:$B$3125,"사용")</f>
        <v/>
      </c>
      <c r="O535" s="18" t="n">
        <v>3</v>
      </c>
      <c r="P535" s="18" t="inlineStr">
        <is>
          <t>#cobblemon:is_forest; #cobblemon:is_highlands; #cobblemon:is_plains</t>
        </is>
      </c>
      <c r="Q535" s="18" t="inlineStr">
        <is>
          <t>rare</t>
        </is>
      </c>
      <c r="R535" s="18" t="inlineStr">
        <is>
          <t>region_01</t>
        </is>
      </c>
      <c r="S535" s="18" t="inlineStr">
        <is>
          <t>cobbleventure:generation_5</t>
        </is>
      </c>
      <c r="T535" s="18">
        <f>IF(M535=0,"없음",IF(N535=0,"전부 제외","사용"))</f>
        <v/>
      </c>
      <c r="U535" s="18" t="inlineStr"/>
    </row>
    <row r="536" ht="30" customHeight="1">
      <c r="A536" s="18" t="n">
        <v>532</v>
      </c>
      <c r="B536" s="18" t="inlineStr">
        <is>
          <t>으랏차</t>
        </is>
      </c>
      <c r="C536" s="18" t="inlineStr">
        <is>
          <t>timburr</t>
        </is>
      </c>
      <c r="D536" s="18" t="inlineStr">
        <is>
          <t>Timburr</t>
        </is>
      </c>
      <c r="E536" s="18" t="n">
        <v>5</v>
      </c>
      <c r="F536" s="18" t="inlineStr">
        <is>
          <t>generation5</t>
        </is>
      </c>
      <c r="G536" s="18" t="inlineStr">
        <is>
          <t>fighting</t>
        </is>
      </c>
      <c r="H536" s="18" t="inlineStr"/>
      <c r="I536" s="18" t="inlineStr">
        <is>
          <t>예</t>
        </is>
      </c>
      <c r="J536" s="18" t="inlineStr">
        <is>
          <t>예</t>
        </is>
      </c>
      <c r="K536" s="18" t="inlineStr">
        <is>
          <t>예</t>
        </is>
      </c>
      <c r="L536" s="18" t="inlineStr">
        <is>
          <t>COBBLEVERSE 수정</t>
        </is>
      </c>
      <c r="M536" s="18">
        <f>COUNTIF('스폰_편집'!$D$5:$D$3125,A536)</f>
        <v/>
      </c>
      <c r="N536" s="18">
        <f>COUNTIFS('스폰_편집'!$D$5:$D$3125,A536,'스폰_편집'!$B$5:$B$3125,"사용")</f>
        <v/>
      </c>
      <c r="O536" s="18" t="n">
        <v>1</v>
      </c>
      <c r="P536" s="18" t="inlineStr">
        <is>
          <t>#cobblemon:is_overworld</t>
        </is>
      </c>
      <c r="Q536" s="18" t="inlineStr">
        <is>
          <t>common</t>
        </is>
      </c>
      <c r="R536" s="18" t="inlineStr">
        <is>
          <t>region_01</t>
        </is>
      </c>
      <c r="S536" s="18" t="inlineStr">
        <is>
          <t>cobbleventure:generation_5</t>
        </is>
      </c>
      <c r="T536" s="18">
        <f>IF(M536=0,"없음",IF(N536=0,"전부 제외","사용"))</f>
        <v/>
      </c>
      <c r="U536" s="18" t="inlineStr"/>
    </row>
    <row r="537" ht="30" customHeight="1">
      <c r="A537" s="18" t="n">
        <v>533</v>
      </c>
      <c r="B537" s="18" t="inlineStr">
        <is>
          <t>토쇠골</t>
        </is>
      </c>
      <c r="C537" s="18" t="inlineStr">
        <is>
          <t>gurdurr</t>
        </is>
      </c>
      <c r="D537" s="18" t="inlineStr">
        <is>
          <t>Gurdurr</t>
        </is>
      </c>
      <c r="E537" s="18" t="n">
        <v>5</v>
      </c>
      <c r="F537" s="18" t="inlineStr">
        <is>
          <t>generation5</t>
        </is>
      </c>
      <c r="G537" s="18" t="inlineStr">
        <is>
          <t>fighting</t>
        </is>
      </c>
      <c r="H537" s="18" t="inlineStr"/>
      <c r="I537" s="18" t="inlineStr">
        <is>
          <t>예</t>
        </is>
      </c>
      <c r="J537" s="18" t="inlineStr">
        <is>
          <t>예</t>
        </is>
      </c>
      <c r="K537" s="18" t="inlineStr">
        <is>
          <t>예</t>
        </is>
      </c>
      <c r="L537" s="18" t="inlineStr">
        <is>
          <t>COBBLEVERSE 수정</t>
        </is>
      </c>
      <c r="M537" s="18">
        <f>COUNTIF('스폰_편집'!$D$5:$D$3125,A537)</f>
        <v/>
      </c>
      <c r="N537" s="18">
        <f>COUNTIFS('스폰_편집'!$D$5:$D$3125,A537,'스폰_편집'!$B$5:$B$3125,"사용")</f>
        <v/>
      </c>
      <c r="O537" s="18" t="n">
        <v>1</v>
      </c>
      <c r="P537" s="18" t="inlineStr">
        <is>
          <t>#cobblemon:is_overworld</t>
        </is>
      </c>
      <c r="Q537" s="18" t="inlineStr">
        <is>
          <t>common</t>
        </is>
      </c>
      <c r="R537" s="18" t="inlineStr">
        <is>
          <t>region_01</t>
        </is>
      </c>
      <c r="S537" s="18" t="inlineStr">
        <is>
          <t>cobbleventure:generation_5</t>
        </is>
      </c>
      <c r="T537" s="18">
        <f>IF(M537=0,"없음",IF(N537=0,"전부 제외","사용"))</f>
        <v/>
      </c>
      <c r="U537" s="18" t="inlineStr"/>
    </row>
    <row r="538" ht="30" customHeight="1">
      <c r="A538" s="18" t="n">
        <v>534</v>
      </c>
      <c r="B538" s="18" t="inlineStr">
        <is>
          <t>노보청</t>
        </is>
      </c>
      <c r="C538" s="18" t="inlineStr">
        <is>
          <t>conkeldurr</t>
        </is>
      </c>
      <c r="D538" s="18" t="inlineStr">
        <is>
          <t>Conkeldurr</t>
        </is>
      </c>
      <c r="E538" s="18" t="n">
        <v>5</v>
      </c>
      <c r="F538" s="18" t="inlineStr">
        <is>
          <t>generation5</t>
        </is>
      </c>
      <c r="G538" s="18" t="inlineStr">
        <is>
          <t>fighting</t>
        </is>
      </c>
      <c r="H538" s="18" t="inlineStr"/>
      <c r="I538" s="18" t="inlineStr">
        <is>
          <t>예</t>
        </is>
      </c>
      <c r="J538" s="18" t="inlineStr">
        <is>
          <t>예</t>
        </is>
      </c>
      <c r="K538" s="18" t="inlineStr">
        <is>
          <t>예</t>
        </is>
      </c>
      <c r="L538" s="18" t="inlineStr">
        <is>
          <t>COBBLEVERSE 수정</t>
        </is>
      </c>
      <c r="M538" s="18">
        <f>COUNTIF('스폰_편집'!$D$5:$D$3125,A538)</f>
        <v/>
      </c>
      <c r="N538" s="18">
        <f>COUNTIFS('스폰_편집'!$D$5:$D$3125,A538,'스폰_편집'!$B$5:$B$3125,"사용")</f>
        <v/>
      </c>
      <c r="O538" s="18" t="n">
        <v>1</v>
      </c>
      <c r="P538" s="18" t="inlineStr">
        <is>
          <t>#cobblemon:is_overworld</t>
        </is>
      </c>
      <c r="Q538" s="18" t="inlineStr">
        <is>
          <t>common</t>
        </is>
      </c>
      <c r="R538" s="18" t="inlineStr">
        <is>
          <t>region_01</t>
        </is>
      </c>
      <c r="S538" s="18" t="inlineStr">
        <is>
          <t>cobbleventure:generation_5</t>
        </is>
      </c>
      <c r="T538" s="18">
        <f>IF(M538=0,"없음",IF(N538=0,"전부 제외","사용"))</f>
        <v/>
      </c>
      <c r="U538" s="18" t="inlineStr"/>
    </row>
    <row r="539" ht="30" customHeight="1">
      <c r="A539" s="18" t="n">
        <v>535</v>
      </c>
      <c r="B539" s="18" t="inlineStr">
        <is>
          <t>동챙이</t>
        </is>
      </c>
      <c r="C539" s="18" t="inlineStr">
        <is>
          <t>tympole</t>
        </is>
      </c>
      <c r="D539" s="18" t="inlineStr">
        <is>
          <t>Tympole</t>
        </is>
      </c>
      <c r="E539" s="18" t="n">
        <v>5</v>
      </c>
      <c r="F539" s="18" t="inlineStr">
        <is>
          <t>generation5</t>
        </is>
      </c>
      <c r="G539" s="18" t="inlineStr">
        <is>
          <t>water</t>
        </is>
      </c>
      <c r="H539" s="18" t="inlineStr"/>
      <c r="I539" s="18" t="inlineStr">
        <is>
          <t>아니오</t>
        </is>
      </c>
      <c r="J539" s="18" t="inlineStr">
        <is>
          <t>아니오</t>
        </is>
      </c>
      <c r="K539" s="18" t="inlineStr">
        <is>
          <t>예</t>
        </is>
      </c>
      <c r="L539" s="18" t="inlineStr">
        <is>
          <t>COBBLEVERSE 추가</t>
        </is>
      </c>
      <c r="M539" s="18">
        <f>COUNTIF('스폰_편집'!$D$5:$D$3125,A539)</f>
        <v/>
      </c>
      <c r="N539" s="18">
        <f>COUNTIFS('스폰_편집'!$D$5:$D$3125,A539,'스폰_편집'!$B$5:$B$3125,"사용")</f>
        <v/>
      </c>
      <c r="O539" s="18" t="n">
        <v>8</v>
      </c>
      <c r="P539" s="18" t="inlineStr">
        <is>
          <t>#aether:is_aether; #cobblemon:has_block/mud; #cobblemon:is_arid; #cobblemon:is_lush; #cobblemon:is_mushroom; #cobblemon:is_overworld; #cobblemon:is_savanna; #cobblemon:is_swamp</t>
        </is>
      </c>
      <c r="Q539" s="18" t="inlineStr">
        <is>
          <t>common; uncommon</t>
        </is>
      </c>
      <c r="R539" s="18" t="inlineStr">
        <is>
          <t>region_01; region_02</t>
        </is>
      </c>
      <c r="S539" s="18" t="inlineStr">
        <is>
          <t>cobbleventure:generation_5</t>
        </is>
      </c>
      <c r="T539" s="18">
        <f>IF(M539=0,"없음",IF(N539=0,"전부 제외","사용"))</f>
        <v/>
      </c>
      <c r="U539" s="18" t="inlineStr"/>
    </row>
    <row r="540" ht="30" customHeight="1">
      <c r="A540" s="18" t="n">
        <v>536</v>
      </c>
      <c r="B540" s="18" t="inlineStr">
        <is>
          <t>두까비</t>
        </is>
      </c>
      <c r="C540" s="18" t="inlineStr">
        <is>
          <t>palpitoad</t>
        </is>
      </c>
      <c r="D540" s="18" t="inlineStr">
        <is>
          <t>Palpitoad</t>
        </is>
      </c>
      <c r="E540" s="18" t="n">
        <v>5</v>
      </c>
      <c r="F540" s="18" t="inlineStr">
        <is>
          <t>generation5</t>
        </is>
      </c>
      <c r="G540" s="18" t="inlineStr">
        <is>
          <t>water</t>
        </is>
      </c>
      <c r="H540" s="18" t="inlineStr">
        <is>
          <t>ground</t>
        </is>
      </c>
      <c r="I540" s="18" t="inlineStr">
        <is>
          <t>아니오</t>
        </is>
      </c>
      <c r="J540" s="18" t="inlineStr">
        <is>
          <t>아니오</t>
        </is>
      </c>
      <c r="K540" s="18" t="inlineStr">
        <is>
          <t>예</t>
        </is>
      </c>
      <c r="L540" s="18" t="inlineStr">
        <is>
          <t>COBBLEVERSE 추가</t>
        </is>
      </c>
      <c r="M540" s="18">
        <f>COUNTIF('스폰_편집'!$D$5:$D$3125,A540)</f>
        <v/>
      </c>
      <c r="N540" s="18">
        <f>COUNTIFS('스폰_편집'!$D$5:$D$3125,A540,'스폰_편집'!$B$5:$B$3125,"사용")</f>
        <v/>
      </c>
      <c r="O540" s="18" t="n">
        <v>5</v>
      </c>
      <c r="P540" s="18" t="inlineStr">
        <is>
          <t>#aether:is_aether; #cobblemon:is_lush; #cobblemon:is_mushroom; #cobblemon:is_overworld; #cobblemon:is_swamp</t>
        </is>
      </c>
      <c r="Q540" s="18" t="inlineStr">
        <is>
          <t>common; uncommon</t>
        </is>
      </c>
      <c r="R540" s="18" t="inlineStr">
        <is>
          <t>region_01; region_02</t>
        </is>
      </c>
      <c r="S540" s="18" t="inlineStr">
        <is>
          <t>cobbleventure:generation_5</t>
        </is>
      </c>
      <c r="T540" s="18">
        <f>IF(M540=0,"없음",IF(N540=0,"전부 제외","사용"))</f>
        <v/>
      </c>
      <c r="U540" s="18" t="inlineStr"/>
    </row>
    <row r="541" ht="30" customHeight="1">
      <c r="A541" s="18" t="n">
        <v>537</v>
      </c>
      <c r="B541" s="18" t="inlineStr">
        <is>
          <t>두빅굴</t>
        </is>
      </c>
      <c r="C541" s="18" t="inlineStr">
        <is>
          <t>seismitoad</t>
        </is>
      </c>
      <c r="D541" s="18" t="inlineStr">
        <is>
          <t>Seismitoad</t>
        </is>
      </c>
      <c r="E541" s="18" t="n">
        <v>5</v>
      </c>
      <c r="F541" s="18" t="inlineStr">
        <is>
          <t>generation5</t>
        </is>
      </c>
      <c r="G541" s="18" t="inlineStr">
        <is>
          <t>water</t>
        </is>
      </c>
      <c r="H541" s="18" t="inlineStr">
        <is>
          <t>ground</t>
        </is>
      </c>
      <c r="I541" s="18" t="inlineStr">
        <is>
          <t>아니오</t>
        </is>
      </c>
      <c r="J541" s="18" t="inlineStr">
        <is>
          <t>아니오</t>
        </is>
      </c>
      <c r="K541" s="18" t="inlineStr">
        <is>
          <t>예</t>
        </is>
      </c>
      <c r="L541" s="18" t="inlineStr">
        <is>
          <t>COBBLEVERSE 추가</t>
        </is>
      </c>
      <c r="M541" s="18">
        <f>COUNTIF('스폰_편집'!$D$5:$D$3125,A541)</f>
        <v/>
      </c>
      <c r="N541" s="18">
        <f>COUNTIFS('스폰_편집'!$D$5:$D$3125,A541,'스폰_편집'!$B$5:$B$3125,"사용")</f>
        <v/>
      </c>
      <c r="O541" s="18" t="n">
        <v>5</v>
      </c>
      <c r="P541" s="18" t="inlineStr">
        <is>
          <t>#aether:is_aether; #cobblemon:is_lush; #cobblemon:is_mushroom; #cobblemon:is_overworld; #cobblemon:is_swamp</t>
        </is>
      </c>
      <c r="Q541" s="18" t="inlineStr">
        <is>
          <t>common; uncommon</t>
        </is>
      </c>
      <c r="R541" s="18" t="inlineStr">
        <is>
          <t>region_01; region_02</t>
        </is>
      </c>
      <c r="S541" s="18" t="inlineStr">
        <is>
          <t>cobbleventure:generation_5</t>
        </is>
      </c>
      <c r="T541" s="18">
        <f>IF(M541=0,"없음",IF(N541=0,"전부 제외","사용"))</f>
        <v/>
      </c>
      <c r="U541" s="18" t="inlineStr"/>
    </row>
    <row r="542" ht="30" customHeight="1">
      <c r="A542" s="18" t="n">
        <v>538</v>
      </c>
      <c r="B542" s="18" t="inlineStr">
        <is>
          <t>던지미</t>
        </is>
      </c>
      <c r="C542" s="18" t="inlineStr">
        <is>
          <t>throh</t>
        </is>
      </c>
      <c r="D542" s="18" t="inlineStr">
        <is>
          <t>Throh</t>
        </is>
      </c>
      <c r="E542" s="18" t="n">
        <v>5</v>
      </c>
      <c r="F542" s="18" t="inlineStr">
        <is>
          <t>generation5</t>
        </is>
      </c>
      <c r="G542" s="18" t="inlineStr">
        <is>
          <t>fighting</t>
        </is>
      </c>
      <c r="H542" s="18" t="inlineStr"/>
      <c r="I542" s="18" t="inlineStr">
        <is>
          <t>예</t>
        </is>
      </c>
      <c r="J542" s="18" t="inlineStr">
        <is>
          <t>예</t>
        </is>
      </c>
      <c r="K542" s="18" t="inlineStr">
        <is>
          <t>예</t>
        </is>
      </c>
      <c r="L542" s="18" t="inlineStr">
        <is>
          <t>COBBLEVERSE 수정</t>
        </is>
      </c>
      <c r="M542" s="18">
        <f>COUNTIF('스폰_편집'!$D$5:$D$3125,A542)</f>
        <v/>
      </c>
      <c r="N542" s="18">
        <f>COUNTIFS('스폰_편집'!$D$5:$D$3125,A542,'스폰_편집'!$B$5:$B$3125,"사용")</f>
        <v/>
      </c>
      <c r="O542" s="18" t="n">
        <v>1</v>
      </c>
      <c r="P542" s="18" t="inlineStr">
        <is>
          <t>#cobblemon:is_arid</t>
        </is>
      </c>
      <c r="Q542" s="18" t="inlineStr">
        <is>
          <t>rare</t>
        </is>
      </c>
      <c r="R542" s="18" t="inlineStr">
        <is>
          <t>region_02</t>
        </is>
      </c>
      <c r="S542" s="18" t="inlineStr">
        <is>
          <t>cobbleventure:generation_5</t>
        </is>
      </c>
      <c r="T542" s="18">
        <f>IF(M542=0,"없음",IF(N542=0,"전부 제외","사용"))</f>
        <v/>
      </c>
      <c r="U542" s="18" t="inlineStr"/>
    </row>
    <row r="543" ht="30" customHeight="1">
      <c r="A543" s="18" t="n">
        <v>539</v>
      </c>
      <c r="B543" s="18" t="inlineStr">
        <is>
          <t>타격귀</t>
        </is>
      </c>
      <c r="C543" s="18" t="inlineStr">
        <is>
          <t>sawk</t>
        </is>
      </c>
      <c r="D543" s="18" t="inlineStr">
        <is>
          <t>Sawk</t>
        </is>
      </c>
      <c r="E543" s="18" t="n">
        <v>5</v>
      </c>
      <c r="F543" s="18" t="inlineStr">
        <is>
          <t>generation5</t>
        </is>
      </c>
      <c r="G543" s="18" t="inlineStr">
        <is>
          <t>fighting</t>
        </is>
      </c>
      <c r="H543" s="18" t="inlineStr"/>
      <c r="I543" s="18" t="inlineStr">
        <is>
          <t>예</t>
        </is>
      </c>
      <c r="J543" s="18" t="inlineStr">
        <is>
          <t>예</t>
        </is>
      </c>
      <c r="K543" s="18" t="inlineStr">
        <is>
          <t>예</t>
        </is>
      </c>
      <c r="L543" s="18" t="inlineStr">
        <is>
          <t>COBBLEVERSE 수정</t>
        </is>
      </c>
      <c r="M543" s="18">
        <f>COUNTIF('스폰_편집'!$D$5:$D$3125,A543)</f>
        <v/>
      </c>
      <c r="N543" s="18">
        <f>COUNTIFS('스폰_편집'!$D$5:$D$3125,A543,'스폰_편집'!$B$5:$B$3125,"사용")</f>
        <v/>
      </c>
      <c r="O543" s="18" t="n">
        <v>1</v>
      </c>
      <c r="P543" s="18" t="inlineStr">
        <is>
          <t>#cobblemon:is_arid</t>
        </is>
      </c>
      <c r="Q543" s="18" t="inlineStr">
        <is>
          <t>rare</t>
        </is>
      </c>
      <c r="R543" s="18" t="inlineStr">
        <is>
          <t>region_02</t>
        </is>
      </c>
      <c r="S543" s="18" t="inlineStr">
        <is>
          <t>cobbleventure:generation_5</t>
        </is>
      </c>
      <c r="T543" s="18">
        <f>IF(M543=0,"없음",IF(N543=0,"전부 제외","사용"))</f>
        <v/>
      </c>
      <c r="U543" s="18" t="inlineStr"/>
    </row>
    <row r="544" ht="30" customHeight="1">
      <c r="A544" s="18" t="n">
        <v>540</v>
      </c>
      <c r="B544" s="18" t="inlineStr">
        <is>
          <t>두르보</t>
        </is>
      </c>
      <c r="C544" s="18" t="inlineStr">
        <is>
          <t>sewaddle</t>
        </is>
      </c>
      <c r="D544" s="18" t="inlineStr">
        <is>
          <t>Sewaddle</t>
        </is>
      </c>
      <c r="E544" s="18" t="n">
        <v>5</v>
      </c>
      <c r="F544" s="18" t="inlineStr">
        <is>
          <t>generation5</t>
        </is>
      </c>
      <c r="G544" s="18" t="inlineStr">
        <is>
          <t>bug</t>
        </is>
      </c>
      <c r="H544" s="18" t="inlineStr">
        <is>
          <t>grass</t>
        </is>
      </c>
      <c r="I544" s="18" t="inlineStr">
        <is>
          <t>예</t>
        </is>
      </c>
      <c r="J544" s="18" t="inlineStr">
        <is>
          <t>예</t>
        </is>
      </c>
      <c r="K544" s="18" t="inlineStr">
        <is>
          <t>예</t>
        </is>
      </c>
      <c r="L544" s="18" t="inlineStr">
        <is>
          <t>Cobblemon 동일</t>
        </is>
      </c>
      <c r="M544" s="18">
        <f>COUNTIF('스폰_편집'!$D$5:$D$3125,A544)</f>
        <v/>
      </c>
      <c r="N544" s="18">
        <f>COUNTIFS('스폰_편집'!$D$5:$D$3125,A544,'스폰_편집'!$B$5:$B$3125,"사용")</f>
        <v/>
      </c>
      <c r="O544" s="18" t="n">
        <v>1</v>
      </c>
      <c r="P544" s="18" t="inlineStr">
        <is>
          <t>#cobblemon:is_forest</t>
        </is>
      </c>
      <c r="Q544" s="18" t="inlineStr">
        <is>
          <t>common</t>
        </is>
      </c>
      <c r="R544" s="18" t="inlineStr">
        <is>
          <t>region_01</t>
        </is>
      </c>
      <c r="S544" s="18" t="inlineStr">
        <is>
          <t>cobbleventure:generation_5</t>
        </is>
      </c>
      <c r="T544" s="18">
        <f>IF(M544=0,"없음",IF(N544=0,"전부 제외","사용"))</f>
        <v/>
      </c>
      <c r="U544" s="18" t="inlineStr"/>
    </row>
    <row r="545" ht="30" customHeight="1">
      <c r="A545" s="18" t="n">
        <v>541</v>
      </c>
      <c r="B545" s="18" t="inlineStr">
        <is>
          <t>두르쿤</t>
        </is>
      </c>
      <c r="C545" s="18" t="inlineStr">
        <is>
          <t>swadloon</t>
        </is>
      </c>
      <c r="D545" s="18" t="inlineStr">
        <is>
          <t>Swadloon</t>
        </is>
      </c>
      <c r="E545" s="18" t="n">
        <v>5</v>
      </c>
      <c r="F545" s="18" t="inlineStr">
        <is>
          <t>generation5</t>
        </is>
      </c>
      <c r="G545" s="18" t="inlineStr">
        <is>
          <t>bug</t>
        </is>
      </c>
      <c r="H545" s="18" t="inlineStr">
        <is>
          <t>grass</t>
        </is>
      </c>
      <c r="I545" s="18" t="inlineStr">
        <is>
          <t>예</t>
        </is>
      </c>
      <c r="J545" s="18" t="inlineStr">
        <is>
          <t>예</t>
        </is>
      </c>
      <c r="K545" s="18" t="inlineStr">
        <is>
          <t>예</t>
        </is>
      </c>
      <c r="L545" s="18" t="inlineStr">
        <is>
          <t>Cobblemon 동일</t>
        </is>
      </c>
      <c r="M545" s="18">
        <f>COUNTIF('스폰_편집'!$D$5:$D$3125,A545)</f>
        <v/>
      </c>
      <c r="N545" s="18">
        <f>COUNTIFS('스폰_편집'!$D$5:$D$3125,A545,'스폰_편집'!$B$5:$B$3125,"사용")</f>
        <v/>
      </c>
      <c r="O545" s="18" t="n">
        <v>1</v>
      </c>
      <c r="P545" s="18" t="inlineStr">
        <is>
          <t>#cobblemon:is_forest</t>
        </is>
      </c>
      <c r="Q545" s="18" t="inlineStr">
        <is>
          <t>common</t>
        </is>
      </c>
      <c r="R545" s="18" t="inlineStr">
        <is>
          <t>region_01</t>
        </is>
      </c>
      <c r="S545" s="18" t="inlineStr">
        <is>
          <t>cobbleventure:generation_5</t>
        </is>
      </c>
      <c r="T545" s="18">
        <f>IF(M545=0,"없음",IF(N545=0,"전부 제외","사용"))</f>
        <v/>
      </c>
      <c r="U545" s="18" t="inlineStr"/>
    </row>
    <row r="546" ht="30" customHeight="1">
      <c r="A546" s="18" t="n">
        <v>542</v>
      </c>
      <c r="B546" s="18" t="inlineStr">
        <is>
          <t>모아머</t>
        </is>
      </c>
      <c r="C546" s="18" t="inlineStr">
        <is>
          <t>leavanny</t>
        </is>
      </c>
      <c r="D546" s="18" t="inlineStr">
        <is>
          <t>Leavanny</t>
        </is>
      </c>
      <c r="E546" s="18" t="n">
        <v>5</v>
      </c>
      <c r="F546" s="18" t="inlineStr">
        <is>
          <t>generation5</t>
        </is>
      </c>
      <c r="G546" s="18" t="inlineStr">
        <is>
          <t>bug</t>
        </is>
      </c>
      <c r="H546" s="18" t="inlineStr">
        <is>
          <t>grass</t>
        </is>
      </c>
      <c r="I546" s="18" t="inlineStr">
        <is>
          <t>예</t>
        </is>
      </c>
      <c r="J546" s="18" t="inlineStr">
        <is>
          <t>예</t>
        </is>
      </c>
      <c r="K546" s="18" t="inlineStr">
        <is>
          <t>예</t>
        </is>
      </c>
      <c r="L546" s="18" t="inlineStr">
        <is>
          <t>Cobblemon 동일</t>
        </is>
      </c>
      <c r="M546" s="18">
        <f>COUNTIF('스폰_편집'!$D$5:$D$3125,A546)</f>
        <v/>
      </c>
      <c r="N546" s="18">
        <f>COUNTIFS('스폰_편집'!$D$5:$D$3125,A546,'스폰_편집'!$B$5:$B$3125,"사용")</f>
        <v/>
      </c>
      <c r="O546" s="18" t="n">
        <v>1</v>
      </c>
      <c r="P546" s="18" t="inlineStr">
        <is>
          <t>#cobblemon:is_forest</t>
        </is>
      </c>
      <c r="Q546" s="18" t="inlineStr">
        <is>
          <t>common</t>
        </is>
      </c>
      <c r="R546" s="18" t="inlineStr">
        <is>
          <t>region_01</t>
        </is>
      </c>
      <c r="S546" s="18" t="inlineStr">
        <is>
          <t>cobbleventure:generation_5</t>
        </is>
      </c>
      <c r="T546" s="18">
        <f>IF(M546=0,"없음",IF(N546=0,"전부 제외","사용"))</f>
        <v/>
      </c>
      <c r="U546" s="18" t="inlineStr"/>
    </row>
    <row r="547" ht="30" customHeight="1">
      <c r="A547" s="18" t="n">
        <v>543</v>
      </c>
      <c r="B547" s="18" t="inlineStr">
        <is>
          <t>마디네</t>
        </is>
      </c>
      <c r="C547" s="18" t="inlineStr">
        <is>
          <t>venipede</t>
        </is>
      </c>
      <c r="D547" s="18" t="inlineStr">
        <is>
          <t>Venipede</t>
        </is>
      </c>
      <c r="E547" s="18" t="n">
        <v>5</v>
      </c>
      <c r="F547" s="18" t="inlineStr">
        <is>
          <t>generation5</t>
        </is>
      </c>
      <c r="G547" s="18" t="inlineStr">
        <is>
          <t>bug</t>
        </is>
      </c>
      <c r="H547" s="18" t="inlineStr">
        <is>
          <t>poison</t>
        </is>
      </c>
      <c r="I547" s="18" t="inlineStr">
        <is>
          <t>예</t>
        </is>
      </c>
      <c r="J547" s="18" t="inlineStr">
        <is>
          <t>예</t>
        </is>
      </c>
      <c r="K547" s="18" t="inlineStr">
        <is>
          <t>예</t>
        </is>
      </c>
      <c r="L547" s="18" t="inlineStr">
        <is>
          <t>COBBLEVERSE 수정</t>
        </is>
      </c>
      <c r="M547" s="18">
        <f>COUNTIF('스폰_편집'!$D$5:$D$3125,A547)</f>
        <v/>
      </c>
      <c r="N547" s="18">
        <f>COUNTIFS('스폰_편집'!$D$5:$D$3125,A547,'스폰_편집'!$B$5:$B$3125,"사용")</f>
        <v/>
      </c>
      <c r="O547" s="18" t="n">
        <v>6</v>
      </c>
      <c r="P547" s="18" t="inlineStr">
        <is>
          <t>#cobblemon:is_forest; #cobblemon:is_jungle; #cobblemon:is_lush; #cobblemon:is_overworld; #cobblemon:nether/is_forest; #cobblemon:nether/is_fungus</t>
        </is>
      </c>
      <c r="Q547" s="18" t="inlineStr">
        <is>
          <t>common</t>
        </is>
      </c>
      <c r="R547" s="18" t="inlineStr">
        <is>
          <t>region_01; region_02</t>
        </is>
      </c>
      <c r="S547" s="18" t="inlineStr">
        <is>
          <t>cobbleventure:generation_5</t>
        </is>
      </c>
      <c r="T547" s="18">
        <f>IF(M547=0,"없음",IF(N547=0,"전부 제외","사용"))</f>
        <v/>
      </c>
      <c r="U547" s="18" t="inlineStr"/>
    </row>
    <row r="548" ht="30" customHeight="1">
      <c r="A548" s="18" t="n">
        <v>544</v>
      </c>
      <c r="B548" s="18" t="inlineStr">
        <is>
          <t>휠구</t>
        </is>
      </c>
      <c r="C548" s="18" t="inlineStr">
        <is>
          <t>whirlipede</t>
        </is>
      </c>
      <c r="D548" s="18" t="inlineStr">
        <is>
          <t>Whirlipede</t>
        </is>
      </c>
      <c r="E548" s="18" t="n">
        <v>5</v>
      </c>
      <c r="F548" s="18" t="inlineStr">
        <is>
          <t>generation5</t>
        </is>
      </c>
      <c r="G548" s="18" t="inlineStr">
        <is>
          <t>bug</t>
        </is>
      </c>
      <c r="H548" s="18" t="inlineStr">
        <is>
          <t>poison</t>
        </is>
      </c>
      <c r="I548" s="18" t="inlineStr">
        <is>
          <t>예</t>
        </is>
      </c>
      <c r="J548" s="18" t="inlineStr">
        <is>
          <t>예</t>
        </is>
      </c>
      <c r="K548" s="18" t="inlineStr">
        <is>
          <t>예</t>
        </is>
      </c>
      <c r="L548" s="18" t="inlineStr">
        <is>
          <t>Cobblemon 동일</t>
        </is>
      </c>
      <c r="M548" s="18">
        <f>COUNTIF('스폰_편집'!$D$5:$D$3125,A548)</f>
        <v/>
      </c>
      <c r="N548" s="18">
        <f>COUNTIFS('스폰_편집'!$D$5:$D$3125,A548,'스폰_편집'!$B$5:$B$3125,"사용")</f>
        <v/>
      </c>
      <c r="O548" s="18" t="n">
        <v>6</v>
      </c>
      <c r="P548" s="18" t="inlineStr">
        <is>
          <t>#cobblemon:is_forest; #cobblemon:is_jungle; #cobblemon:is_lush; #cobblemon:is_overworld; #cobblemon:nether/is_forest; #cobblemon:nether/is_fungus</t>
        </is>
      </c>
      <c r="Q548" s="18" t="inlineStr">
        <is>
          <t>common</t>
        </is>
      </c>
      <c r="R548" s="18" t="inlineStr">
        <is>
          <t>region_01; region_02</t>
        </is>
      </c>
      <c r="S548" s="18" t="inlineStr">
        <is>
          <t>cobbleventure:generation_5</t>
        </is>
      </c>
      <c r="T548" s="18">
        <f>IF(M548=0,"없음",IF(N548=0,"전부 제외","사용"))</f>
        <v/>
      </c>
      <c r="U548" s="18" t="inlineStr"/>
    </row>
    <row r="549" ht="30" customHeight="1">
      <c r="A549" s="18" t="n">
        <v>545</v>
      </c>
      <c r="B549" s="18" t="inlineStr">
        <is>
          <t>펜드라</t>
        </is>
      </c>
      <c r="C549" s="18" t="inlineStr">
        <is>
          <t>scolipede</t>
        </is>
      </c>
      <c r="D549" s="18" t="inlineStr">
        <is>
          <t>Scolipede</t>
        </is>
      </c>
      <c r="E549" s="18" t="n">
        <v>5</v>
      </c>
      <c r="F549" s="18" t="inlineStr">
        <is>
          <t>generation5</t>
        </is>
      </c>
      <c r="G549" s="18" t="inlineStr">
        <is>
          <t>bug</t>
        </is>
      </c>
      <c r="H549" s="18" t="inlineStr">
        <is>
          <t>poison</t>
        </is>
      </c>
      <c r="I549" s="18" t="inlineStr">
        <is>
          <t>예</t>
        </is>
      </c>
      <c r="J549" s="18" t="inlineStr">
        <is>
          <t>예</t>
        </is>
      </c>
      <c r="K549" s="18" t="inlineStr">
        <is>
          <t>예</t>
        </is>
      </c>
      <c r="L549" s="18" t="inlineStr">
        <is>
          <t>Cobblemon 동일</t>
        </is>
      </c>
      <c r="M549" s="18">
        <f>COUNTIF('스폰_편집'!$D$5:$D$3125,A549)</f>
        <v/>
      </c>
      <c r="N549" s="18">
        <f>COUNTIFS('스폰_편집'!$D$5:$D$3125,A549,'스폰_편집'!$B$5:$B$3125,"사용")</f>
        <v/>
      </c>
      <c r="O549" s="18" t="n">
        <v>6</v>
      </c>
      <c r="P549" s="18" t="inlineStr">
        <is>
          <t>#cobblemon:is_forest; #cobblemon:is_jungle; #cobblemon:is_lush; #cobblemon:is_overworld; #cobblemon:nether/is_forest; #cobblemon:nether/is_fungus</t>
        </is>
      </c>
      <c r="Q549" s="18" t="inlineStr">
        <is>
          <t>common</t>
        </is>
      </c>
      <c r="R549" s="18" t="inlineStr">
        <is>
          <t>region_01; region_02</t>
        </is>
      </c>
      <c r="S549" s="18" t="inlineStr">
        <is>
          <t>cobbleventure:generation_5</t>
        </is>
      </c>
      <c r="T549" s="18">
        <f>IF(M549=0,"없음",IF(N549=0,"전부 제외","사용"))</f>
        <v/>
      </c>
      <c r="U549" s="18" t="inlineStr"/>
    </row>
    <row r="550" ht="30" customHeight="1">
      <c r="A550" s="18" t="n">
        <v>546</v>
      </c>
      <c r="B550" s="18" t="inlineStr">
        <is>
          <t>소미안</t>
        </is>
      </c>
      <c r="C550" s="18" t="inlineStr">
        <is>
          <t>cottonee</t>
        </is>
      </c>
      <c r="D550" s="18" t="inlineStr">
        <is>
          <t>Cottonee</t>
        </is>
      </c>
      <c r="E550" s="18" t="n">
        <v>5</v>
      </c>
      <c r="F550" s="18" t="inlineStr">
        <is>
          <t>generation5</t>
        </is>
      </c>
      <c r="G550" s="18" t="inlineStr">
        <is>
          <t>grass</t>
        </is>
      </c>
      <c r="H550" s="18" t="inlineStr">
        <is>
          <t>fairy</t>
        </is>
      </c>
      <c r="I550" s="18" t="inlineStr">
        <is>
          <t>예</t>
        </is>
      </c>
      <c r="J550" s="18" t="inlineStr">
        <is>
          <t>예</t>
        </is>
      </c>
      <c r="K550" s="18" t="inlineStr">
        <is>
          <t>예</t>
        </is>
      </c>
      <c r="L550" s="18" t="inlineStr">
        <is>
          <t>Cobblemon 동일</t>
        </is>
      </c>
      <c r="M550" s="18">
        <f>COUNTIF('스폰_편집'!$D$5:$D$3125,A550)</f>
        <v/>
      </c>
      <c r="N550" s="18">
        <f>COUNTIFS('스폰_편집'!$D$5:$D$3125,A550,'스폰_편집'!$B$5:$B$3125,"사용")</f>
        <v/>
      </c>
      <c r="O550" s="18" t="n">
        <v>3</v>
      </c>
      <c r="P550" s="18" t="inlineStr">
        <is>
          <t>#cobblemon:is_plains; aether:skyroot_grove; aether:skyroot_meadow</t>
        </is>
      </c>
      <c r="Q550" s="18" t="inlineStr">
        <is>
          <t>common</t>
        </is>
      </c>
      <c r="R550" s="18" t="inlineStr">
        <is>
          <t>region_01</t>
        </is>
      </c>
      <c r="S550" s="18" t="inlineStr">
        <is>
          <t>cobbleventure:generation_5</t>
        </is>
      </c>
      <c r="T550" s="18">
        <f>IF(M550=0,"없음",IF(N550=0,"전부 제외","사용"))</f>
        <v/>
      </c>
      <c r="U550" s="18" t="inlineStr"/>
    </row>
    <row r="551" ht="30" customHeight="1">
      <c r="A551" s="18" t="n">
        <v>547</v>
      </c>
      <c r="B551" s="18" t="inlineStr">
        <is>
          <t>엘풍</t>
        </is>
      </c>
      <c r="C551" s="18" t="inlineStr">
        <is>
          <t>whimsicott</t>
        </is>
      </c>
      <c r="D551" s="18" t="inlineStr">
        <is>
          <t>Whimsicott</t>
        </is>
      </c>
      <c r="E551" s="18" t="n">
        <v>5</v>
      </c>
      <c r="F551" s="18" t="inlineStr">
        <is>
          <t>generation5</t>
        </is>
      </c>
      <c r="G551" s="18" t="inlineStr">
        <is>
          <t>grass</t>
        </is>
      </c>
      <c r="H551" s="18" t="inlineStr">
        <is>
          <t>fairy</t>
        </is>
      </c>
      <c r="I551" s="18" t="inlineStr">
        <is>
          <t>예</t>
        </is>
      </c>
      <c r="J551" s="18" t="inlineStr">
        <is>
          <t>예</t>
        </is>
      </c>
      <c r="K551" s="18" t="inlineStr">
        <is>
          <t>예</t>
        </is>
      </c>
      <c r="L551" s="18" t="inlineStr">
        <is>
          <t>Cobblemon 동일</t>
        </is>
      </c>
      <c r="M551" s="18">
        <f>COUNTIF('스폰_편집'!$D$5:$D$3125,A551)</f>
        <v/>
      </c>
      <c r="N551" s="18">
        <f>COUNTIFS('스폰_편집'!$D$5:$D$3125,A551,'스폰_편집'!$B$5:$B$3125,"사용")</f>
        <v/>
      </c>
      <c r="O551" s="18" t="n">
        <v>3</v>
      </c>
      <c r="P551" s="18" t="inlineStr">
        <is>
          <t>#cobblemon:is_plains; aether:skyroot_grove; aether:skyroot_meadow</t>
        </is>
      </c>
      <c r="Q551" s="18" t="inlineStr">
        <is>
          <t>common</t>
        </is>
      </c>
      <c r="R551" s="18" t="inlineStr">
        <is>
          <t>region_01</t>
        </is>
      </c>
      <c r="S551" s="18" t="inlineStr">
        <is>
          <t>cobbleventure:generation_5</t>
        </is>
      </c>
      <c r="T551" s="18">
        <f>IF(M551=0,"없음",IF(N551=0,"전부 제외","사용"))</f>
        <v/>
      </c>
      <c r="U551" s="18" t="inlineStr"/>
    </row>
    <row r="552" ht="30" customHeight="1">
      <c r="A552" s="18" t="n">
        <v>548</v>
      </c>
      <c r="B552" s="18" t="inlineStr">
        <is>
          <t>치릴리</t>
        </is>
      </c>
      <c r="C552" s="18" t="inlineStr">
        <is>
          <t>petilil</t>
        </is>
      </c>
      <c r="D552" s="18" t="inlineStr">
        <is>
          <t>Petilil</t>
        </is>
      </c>
      <c r="E552" s="18" t="n">
        <v>5</v>
      </c>
      <c r="F552" s="18" t="inlineStr">
        <is>
          <t>generation5</t>
        </is>
      </c>
      <c r="G552" s="18" t="inlineStr">
        <is>
          <t>grass</t>
        </is>
      </c>
      <c r="H552" s="18" t="inlineStr"/>
      <c r="I552" s="18" t="inlineStr">
        <is>
          <t>예</t>
        </is>
      </c>
      <c r="J552" s="18" t="inlineStr">
        <is>
          <t>예</t>
        </is>
      </c>
      <c r="K552" s="18" t="inlineStr">
        <is>
          <t>예</t>
        </is>
      </c>
      <c r="L552" s="18" t="inlineStr">
        <is>
          <t>Cobblemon 동일</t>
        </is>
      </c>
      <c r="M552" s="18">
        <f>COUNTIF('스폰_편집'!$D$5:$D$3125,A552)</f>
        <v/>
      </c>
      <c r="N552" s="18">
        <f>COUNTIFS('스폰_편집'!$D$5:$D$3125,A552,'스폰_편집'!$B$5:$B$3125,"사용")</f>
        <v/>
      </c>
      <c r="O552" s="18" t="n">
        <v>6</v>
      </c>
      <c r="P552" s="18" t="inlineStr">
        <is>
          <t>#aether:is_aether; #cobblemon:is_floral; #cobblemon:is_forest; #cobblemon:is_hills; #cobblemon:is_tropical_island; the_bumblezone:floral_meadow</t>
        </is>
      </c>
      <c r="Q552" s="18" t="inlineStr">
        <is>
          <t>common</t>
        </is>
      </c>
      <c r="R552" s="18" t="inlineStr">
        <is>
          <t>region_01</t>
        </is>
      </c>
      <c r="S552" s="18" t="inlineStr">
        <is>
          <t>cobbleventure:generation_5</t>
        </is>
      </c>
      <c r="T552" s="18">
        <f>IF(M552=0,"없음",IF(N552=0,"전부 제외","사용"))</f>
        <v/>
      </c>
      <c r="U552" s="18" t="inlineStr"/>
    </row>
    <row r="553" ht="30" customHeight="1">
      <c r="A553" s="18" t="n">
        <v>549</v>
      </c>
      <c r="B553" s="18" t="inlineStr">
        <is>
          <t>드레디어</t>
        </is>
      </c>
      <c r="C553" s="18" t="inlineStr">
        <is>
          <t>lilligant</t>
        </is>
      </c>
      <c r="D553" s="18" t="inlineStr">
        <is>
          <t>Lilligant</t>
        </is>
      </c>
      <c r="E553" s="18" t="n">
        <v>5</v>
      </c>
      <c r="F553" s="18" t="inlineStr">
        <is>
          <t>generation5</t>
        </is>
      </c>
      <c r="G553" s="18" t="inlineStr">
        <is>
          <t>grass</t>
        </is>
      </c>
      <c r="H553" s="18" t="inlineStr"/>
      <c r="I553" s="18" t="inlineStr">
        <is>
          <t>예</t>
        </is>
      </c>
      <c r="J553" s="18" t="inlineStr">
        <is>
          <t>예</t>
        </is>
      </c>
      <c r="K553" s="18" t="inlineStr">
        <is>
          <t>예</t>
        </is>
      </c>
      <c r="L553" s="18" t="inlineStr">
        <is>
          <t>Cobblemon 동일</t>
        </is>
      </c>
      <c r="M553" s="18">
        <f>COUNTIF('스폰_편집'!$D$5:$D$3125,A553)</f>
        <v/>
      </c>
      <c r="N553" s="18">
        <f>COUNTIFS('스폰_편집'!$D$5:$D$3125,A553,'스폰_편집'!$B$5:$B$3125,"사용")</f>
        <v/>
      </c>
      <c r="O553" s="18" t="n">
        <v>6</v>
      </c>
      <c r="P553" s="18" t="inlineStr">
        <is>
          <t>#aether:is_aether; #cobblemon:is_floral; #cobblemon:is_forest; #cobblemon:is_hills; #cobblemon:is_tropical_island; the_bumblezone:floral_meadow</t>
        </is>
      </c>
      <c r="Q553" s="18" t="inlineStr">
        <is>
          <t>common</t>
        </is>
      </c>
      <c r="R553" s="18" t="inlineStr">
        <is>
          <t>region_01</t>
        </is>
      </c>
      <c r="S553" s="18" t="inlineStr">
        <is>
          <t>cobbleventure:generation_5</t>
        </is>
      </c>
      <c r="T553" s="18">
        <f>IF(M553=0,"없음",IF(N553=0,"전부 제외","사용"))</f>
        <v/>
      </c>
      <c r="U553" s="18" t="inlineStr"/>
    </row>
    <row r="554" ht="30" customHeight="1">
      <c r="A554" s="18" t="n">
        <v>550</v>
      </c>
      <c r="B554" s="18" t="inlineStr">
        <is>
          <t>배쓰나이</t>
        </is>
      </c>
      <c r="C554" s="18" t="inlineStr">
        <is>
          <t>basculin</t>
        </is>
      </c>
      <c r="D554" s="18" t="inlineStr">
        <is>
          <t>Basculin</t>
        </is>
      </c>
      <c r="E554" s="18" t="n">
        <v>5</v>
      </c>
      <c r="F554" s="18" t="inlineStr">
        <is>
          <t>generation5</t>
        </is>
      </c>
      <c r="G554" s="18" t="inlineStr">
        <is>
          <t>water</t>
        </is>
      </c>
      <c r="H554" s="18" t="inlineStr"/>
      <c r="I554" s="18" t="inlineStr">
        <is>
          <t>예</t>
        </is>
      </c>
      <c r="J554" s="18" t="inlineStr">
        <is>
          <t>예</t>
        </is>
      </c>
      <c r="K554" s="18" t="inlineStr">
        <is>
          <t>예</t>
        </is>
      </c>
      <c r="L554" s="18" t="inlineStr">
        <is>
          <t>Cobblemon 동일</t>
        </is>
      </c>
      <c r="M554" s="18">
        <f>COUNTIF('스폰_편집'!$D$5:$D$3125,A554)</f>
        <v/>
      </c>
      <c r="N554" s="18">
        <f>COUNTIFS('스폰_편집'!$D$5:$D$3125,A554,'스폰_편집'!$B$5:$B$3125,"사용")</f>
        <v/>
      </c>
      <c r="O554" s="18" t="n">
        <v>9</v>
      </c>
      <c r="P554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554" s="18" t="inlineStr">
        <is>
          <t>common</t>
        </is>
      </c>
      <c r="R554" s="18" t="inlineStr">
        <is>
          <t>region_01; region_02</t>
        </is>
      </c>
      <c r="S554" s="18" t="inlineStr">
        <is>
          <t>cobbleventure:generation_5</t>
        </is>
      </c>
      <c r="T554" s="18">
        <f>IF(M554=0,"없음",IF(N554=0,"전부 제외","사용"))</f>
        <v/>
      </c>
      <c r="U554" s="18" t="inlineStr"/>
    </row>
    <row r="555" ht="30" customHeight="1">
      <c r="A555" s="18" t="n">
        <v>551</v>
      </c>
      <c r="B555" s="18" t="inlineStr">
        <is>
          <t>깜눈크</t>
        </is>
      </c>
      <c r="C555" s="18" t="inlineStr">
        <is>
          <t>sandile</t>
        </is>
      </c>
      <c r="D555" s="18" t="inlineStr">
        <is>
          <t>Sandile</t>
        </is>
      </c>
      <c r="E555" s="18" t="n">
        <v>5</v>
      </c>
      <c r="F555" s="18" t="inlineStr">
        <is>
          <t>generation5</t>
        </is>
      </c>
      <c r="G555" s="18" t="inlineStr">
        <is>
          <t>ground</t>
        </is>
      </c>
      <c r="H555" s="18" t="inlineStr">
        <is>
          <t>dark</t>
        </is>
      </c>
      <c r="I555" s="18" t="inlineStr">
        <is>
          <t>예</t>
        </is>
      </c>
      <c r="J555" s="18" t="inlineStr">
        <is>
          <t>예</t>
        </is>
      </c>
      <c r="K555" s="18" t="inlineStr">
        <is>
          <t>예</t>
        </is>
      </c>
      <c r="L555" s="18" t="inlineStr">
        <is>
          <t>Cobblemon 동일</t>
        </is>
      </c>
      <c r="M555" s="18">
        <f>COUNTIF('스폰_편집'!$D$5:$D$3125,A555)</f>
        <v/>
      </c>
      <c r="N555" s="18">
        <f>COUNTIFS('스폰_편집'!$D$5:$D$3125,A555,'스폰_편집'!$B$5:$B$3125,"사용")</f>
        <v/>
      </c>
      <c r="O555" s="18" t="n">
        <v>1</v>
      </c>
      <c r="P555" s="18" t="inlineStr">
        <is>
          <t>#cobblemon:is_desert</t>
        </is>
      </c>
      <c r="Q555" s="18" t="inlineStr">
        <is>
          <t>common</t>
        </is>
      </c>
      <c r="R555" s="18" t="inlineStr">
        <is>
          <t>region_02</t>
        </is>
      </c>
      <c r="S555" s="18" t="inlineStr">
        <is>
          <t>cobbleventure:generation_5</t>
        </is>
      </c>
      <c r="T555" s="18">
        <f>IF(M555=0,"없음",IF(N555=0,"전부 제외","사용"))</f>
        <v/>
      </c>
      <c r="U555" s="18" t="inlineStr"/>
    </row>
    <row r="556" ht="30" customHeight="1">
      <c r="A556" s="18" t="n">
        <v>552</v>
      </c>
      <c r="B556" s="18" t="inlineStr">
        <is>
          <t>악비르</t>
        </is>
      </c>
      <c r="C556" s="18" t="inlineStr">
        <is>
          <t>krokorok</t>
        </is>
      </c>
      <c r="D556" s="18" t="inlineStr">
        <is>
          <t>Krokorok</t>
        </is>
      </c>
      <c r="E556" s="18" t="n">
        <v>5</v>
      </c>
      <c r="F556" s="18" t="inlineStr">
        <is>
          <t>generation5</t>
        </is>
      </c>
      <c r="G556" s="18" t="inlineStr">
        <is>
          <t>ground</t>
        </is>
      </c>
      <c r="H556" s="18" t="inlineStr">
        <is>
          <t>dark</t>
        </is>
      </c>
      <c r="I556" s="18" t="inlineStr">
        <is>
          <t>예</t>
        </is>
      </c>
      <c r="J556" s="18" t="inlineStr">
        <is>
          <t>예</t>
        </is>
      </c>
      <c r="K556" s="18" t="inlineStr">
        <is>
          <t>예</t>
        </is>
      </c>
      <c r="L556" s="18" t="inlineStr">
        <is>
          <t>Cobblemon 동일</t>
        </is>
      </c>
      <c r="M556" s="18">
        <f>COUNTIF('스폰_편집'!$D$5:$D$3125,A556)</f>
        <v/>
      </c>
      <c r="N556" s="18">
        <f>COUNTIFS('스폰_편집'!$D$5:$D$3125,A556,'스폰_편집'!$B$5:$B$3125,"사용")</f>
        <v/>
      </c>
      <c r="O556" s="18" t="n">
        <v>1</v>
      </c>
      <c r="P556" s="18" t="inlineStr">
        <is>
          <t>#cobblemon:is_desert</t>
        </is>
      </c>
      <c r="Q556" s="18" t="inlineStr">
        <is>
          <t>common</t>
        </is>
      </c>
      <c r="R556" s="18" t="inlineStr">
        <is>
          <t>region_02</t>
        </is>
      </c>
      <c r="S556" s="18" t="inlineStr">
        <is>
          <t>cobbleventure:generation_5</t>
        </is>
      </c>
      <c r="T556" s="18">
        <f>IF(M556=0,"없음",IF(N556=0,"전부 제외","사용"))</f>
        <v/>
      </c>
      <c r="U556" s="18" t="inlineStr"/>
    </row>
    <row r="557" ht="30" customHeight="1">
      <c r="A557" s="18" t="n">
        <v>553</v>
      </c>
      <c r="B557" s="18" t="inlineStr">
        <is>
          <t>악비아르</t>
        </is>
      </c>
      <c r="C557" s="18" t="inlineStr">
        <is>
          <t>krookodile</t>
        </is>
      </c>
      <c r="D557" s="18" t="inlineStr">
        <is>
          <t>Krookodile</t>
        </is>
      </c>
      <c r="E557" s="18" t="n">
        <v>5</v>
      </c>
      <c r="F557" s="18" t="inlineStr">
        <is>
          <t>generation5</t>
        </is>
      </c>
      <c r="G557" s="18" t="inlineStr">
        <is>
          <t>ground</t>
        </is>
      </c>
      <c r="H557" s="18" t="inlineStr">
        <is>
          <t>dark</t>
        </is>
      </c>
      <c r="I557" s="18" t="inlineStr">
        <is>
          <t>예</t>
        </is>
      </c>
      <c r="J557" s="18" t="inlineStr">
        <is>
          <t>예</t>
        </is>
      </c>
      <c r="K557" s="18" t="inlineStr">
        <is>
          <t>예</t>
        </is>
      </c>
      <c r="L557" s="18" t="inlineStr">
        <is>
          <t>Cobblemon 동일</t>
        </is>
      </c>
      <c r="M557" s="18">
        <f>COUNTIF('스폰_편집'!$D$5:$D$3125,A557)</f>
        <v/>
      </c>
      <c r="N557" s="18">
        <f>COUNTIFS('스폰_편집'!$D$5:$D$3125,A557,'스폰_편집'!$B$5:$B$3125,"사용")</f>
        <v/>
      </c>
      <c r="O557" s="18" t="n">
        <v>1</v>
      </c>
      <c r="P557" s="18" t="inlineStr">
        <is>
          <t>#cobblemon:is_desert</t>
        </is>
      </c>
      <c r="Q557" s="18" t="inlineStr">
        <is>
          <t>common</t>
        </is>
      </c>
      <c r="R557" s="18" t="inlineStr">
        <is>
          <t>region_02</t>
        </is>
      </c>
      <c r="S557" s="18" t="inlineStr">
        <is>
          <t>cobbleventure:generation_5</t>
        </is>
      </c>
      <c r="T557" s="18">
        <f>IF(M557=0,"없음",IF(N557=0,"전부 제외","사용"))</f>
        <v/>
      </c>
      <c r="U557" s="18" t="inlineStr"/>
    </row>
    <row r="558" ht="30" customHeight="1">
      <c r="A558" s="18" t="n">
        <v>554</v>
      </c>
      <c r="B558" s="18" t="inlineStr">
        <is>
          <t>달막화</t>
        </is>
      </c>
      <c r="C558" s="18" t="inlineStr">
        <is>
          <t>darumaka</t>
        </is>
      </c>
      <c r="D558" s="18" t="inlineStr">
        <is>
          <t>Darumaka</t>
        </is>
      </c>
      <c r="E558" s="18" t="n">
        <v>5</v>
      </c>
      <c r="F558" s="18" t="inlineStr">
        <is>
          <t>generation5</t>
        </is>
      </c>
      <c r="G558" s="18" t="inlineStr">
        <is>
          <t>fire</t>
        </is>
      </c>
      <c r="H558" s="18" t="inlineStr"/>
      <c r="I558" s="18" t="inlineStr">
        <is>
          <t>예</t>
        </is>
      </c>
      <c r="J558" s="18" t="inlineStr">
        <is>
          <t>예</t>
        </is>
      </c>
      <c r="K558" s="18" t="inlineStr">
        <is>
          <t>예</t>
        </is>
      </c>
      <c r="L558" s="18" t="inlineStr">
        <is>
          <t>COBBLEVERSE 수정</t>
        </is>
      </c>
      <c r="M558" s="18">
        <f>COUNTIF('스폰_편집'!$D$5:$D$3125,A558)</f>
        <v/>
      </c>
      <c r="N558" s="18">
        <f>COUNTIFS('스폰_편집'!$D$5:$D$3125,A558,'스폰_편집'!$B$5:$B$3125,"사용")</f>
        <v/>
      </c>
      <c r="O558" s="18" t="n">
        <v>7</v>
      </c>
      <c r="P558" s="18" t="inlineStr">
        <is>
          <t>#cobblemon:is_cold; #cobblemon:is_desert; #cobblemon:is_freezing; #cobblemon:is_jungle; #minecraft:is_nether; minecraft:frozen_peaks; minecraft:ice_spikes</t>
        </is>
      </c>
      <c r="Q558" s="18" t="inlineStr">
        <is>
          <t>common; uncommon</t>
        </is>
      </c>
      <c r="R558" s="18" t="inlineStr">
        <is>
          <t>region_02</t>
        </is>
      </c>
      <c r="S558" s="18" t="inlineStr">
        <is>
          <t>cobbleventure:generation_5</t>
        </is>
      </c>
      <c r="T558" s="18">
        <f>IF(M558=0,"없음",IF(N558=0,"전부 제외","사용"))</f>
        <v/>
      </c>
      <c r="U558" s="18" t="inlineStr"/>
    </row>
    <row r="559" ht="30" customHeight="1">
      <c r="A559" s="18" t="n">
        <v>555</v>
      </c>
      <c r="B559" s="18" t="inlineStr">
        <is>
          <t>불비달마</t>
        </is>
      </c>
      <c r="C559" s="18" t="inlineStr">
        <is>
          <t>darmanitan</t>
        </is>
      </c>
      <c r="D559" s="18" t="inlineStr">
        <is>
          <t>Darmanitan</t>
        </is>
      </c>
      <c r="E559" s="18" t="n">
        <v>5</v>
      </c>
      <c r="F559" s="18" t="inlineStr">
        <is>
          <t>generation5</t>
        </is>
      </c>
      <c r="G559" s="18" t="inlineStr">
        <is>
          <t>fire</t>
        </is>
      </c>
      <c r="H559" s="18" t="inlineStr"/>
      <c r="I559" s="18" t="inlineStr">
        <is>
          <t>예</t>
        </is>
      </c>
      <c r="J559" s="18" t="inlineStr">
        <is>
          <t>예</t>
        </is>
      </c>
      <c r="K559" s="18" t="inlineStr">
        <is>
          <t>예</t>
        </is>
      </c>
      <c r="L559" s="18" t="inlineStr">
        <is>
          <t>Cobblemon 동일</t>
        </is>
      </c>
      <c r="M559" s="18">
        <f>COUNTIF('스폰_편집'!$D$5:$D$3125,A559)</f>
        <v/>
      </c>
      <c r="N559" s="18">
        <f>COUNTIFS('스폰_편집'!$D$5:$D$3125,A559,'스폰_편집'!$B$5:$B$3125,"사용")</f>
        <v/>
      </c>
      <c r="O559" s="18" t="n">
        <v>7</v>
      </c>
      <c r="P559" s="18" t="inlineStr">
        <is>
          <t>#cobblemon:is_cold; #cobblemon:is_desert; #cobblemon:is_freezing; #cobblemon:is_jungle; #minecraft:is_nether; minecraft:frozen_peaks; minecraft:ice_spikes</t>
        </is>
      </c>
      <c r="Q559" s="18" t="inlineStr">
        <is>
          <t>common; rare</t>
        </is>
      </c>
      <c r="R559" s="18" t="inlineStr">
        <is>
          <t>region_02</t>
        </is>
      </c>
      <c r="S559" s="18" t="inlineStr">
        <is>
          <t>cobbleventure:generation_5</t>
        </is>
      </c>
      <c r="T559" s="18">
        <f>IF(M559=0,"없음",IF(N559=0,"전부 제외","사용"))</f>
        <v/>
      </c>
      <c r="U559" s="18" t="inlineStr"/>
    </row>
    <row r="560" ht="30" customHeight="1">
      <c r="A560" s="18" t="n">
        <v>556</v>
      </c>
      <c r="B560" s="18" t="inlineStr">
        <is>
          <t>마라카치</t>
        </is>
      </c>
      <c r="C560" s="18" t="inlineStr">
        <is>
          <t>maractus</t>
        </is>
      </c>
      <c r="D560" s="18" t="inlineStr">
        <is>
          <t>Maractus</t>
        </is>
      </c>
      <c r="E560" s="18" t="n">
        <v>5</v>
      </c>
      <c r="F560" s="18" t="inlineStr">
        <is>
          <t>generation5</t>
        </is>
      </c>
      <c r="G560" s="18" t="inlineStr">
        <is>
          <t>grass</t>
        </is>
      </c>
      <c r="H560" s="18" t="inlineStr"/>
      <c r="I560" s="18" t="inlineStr">
        <is>
          <t>예</t>
        </is>
      </c>
      <c r="J560" s="18" t="inlineStr">
        <is>
          <t>예</t>
        </is>
      </c>
      <c r="K560" s="18" t="inlineStr">
        <is>
          <t>예</t>
        </is>
      </c>
      <c r="L560" s="18" t="inlineStr">
        <is>
          <t>Cobblemon 동일</t>
        </is>
      </c>
      <c r="M560" s="18">
        <f>COUNTIF('스폰_편집'!$D$5:$D$3125,A560)</f>
        <v/>
      </c>
      <c r="N560" s="18">
        <f>COUNTIFS('스폰_편집'!$D$5:$D$3125,A560,'스폰_편집'!$B$5:$B$3125,"사용")</f>
        <v/>
      </c>
      <c r="O560" s="18" t="n">
        <v>2</v>
      </c>
      <c r="P560" s="18" t="inlineStr">
        <is>
          <t>#cobblemon:is_badlands; #cobblemon:is_desert</t>
        </is>
      </c>
      <c r="Q560" s="18" t="inlineStr">
        <is>
          <t>common</t>
        </is>
      </c>
      <c r="R560" s="18" t="inlineStr">
        <is>
          <t>region_02</t>
        </is>
      </c>
      <c r="S560" s="18" t="inlineStr">
        <is>
          <t>cobbleventure:generation_5</t>
        </is>
      </c>
      <c r="T560" s="18">
        <f>IF(M560=0,"없음",IF(N560=0,"전부 제외","사용"))</f>
        <v/>
      </c>
      <c r="U560" s="18" t="inlineStr"/>
    </row>
    <row r="561" ht="30" customHeight="1">
      <c r="A561" s="18" t="n">
        <v>557</v>
      </c>
      <c r="B561" s="18" t="inlineStr">
        <is>
          <t>돌살이</t>
        </is>
      </c>
      <c r="C561" s="18" t="inlineStr">
        <is>
          <t>dwebble</t>
        </is>
      </c>
      <c r="D561" s="18" t="inlineStr">
        <is>
          <t>Dwebble</t>
        </is>
      </c>
      <c r="E561" s="18" t="n">
        <v>5</v>
      </c>
      <c r="F561" s="18" t="inlineStr">
        <is>
          <t>generation5</t>
        </is>
      </c>
      <c r="G561" s="18" t="inlineStr">
        <is>
          <t>bug</t>
        </is>
      </c>
      <c r="H561" s="18" t="inlineStr">
        <is>
          <t>rock</t>
        </is>
      </c>
      <c r="I561" s="18" t="inlineStr">
        <is>
          <t>예</t>
        </is>
      </c>
      <c r="J561" s="18" t="inlineStr">
        <is>
          <t>예</t>
        </is>
      </c>
      <c r="K561" s="18" t="inlineStr">
        <is>
          <t>예</t>
        </is>
      </c>
      <c r="L561" s="18" t="inlineStr">
        <is>
          <t>Cobblemon 동일</t>
        </is>
      </c>
      <c r="M561" s="18">
        <f>COUNTIF('스폰_편집'!$D$5:$D$3125,A561)</f>
        <v/>
      </c>
      <c r="N561" s="18">
        <f>COUNTIFS('스폰_편집'!$D$5:$D$3125,A561,'스폰_편집'!$B$5:$B$3125,"사용")</f>
        <v/>
      </c>
      <c r="O561" s="18" t="n">
        <v>1</v>
      </c>
      <c r="P561" s="18" t="inlineStr">
        <is>
          <t>#cobblemon:is_badlands</t>
        </is>
      </c>
      <c r="Q561" s="18" t="inlineStr">
        <is>
          <t>common</t>
        </is>
      </c>
      <c r="R561" s="18" t="inlineStr"/>
      <c r="S561" s="18" t="inlineStr">
        <is>
          <t>cobbleventure:generation_5</t>
        </is>
      </c>
      <c r="T561" s="18">
        <f>IF(M561=0,"없음",IF(N561=0,"전부 제외","사용"))</f>
        <v/>
      </c>
      <c r="U561" s="18" t="inlineStr"/>
    </row>
    <row r="562" ht="30" customHeight="1">
      <c r="A562" s="18" t="n">
        <v>558</v>
      </c>
      <c r="B562" s="18" t="inlineStr">
        <is>
          <t>암팰리스</t>
        </is>
      </c>
      <c r="C562" s="18" t="inlineStr">
        <is>
          <t>crustle</t>
        </is>
      </c>
      <c r="D562" s="18" t="inlineStr">
        <is>
          <t>Crustle</t>
        </is>
      </c>
      <c r="E562" s="18" t="n">
        <v>5</v>
      </c>
      <c r="F562" s="18" t="inlineStr">
        <is>
          <t>generation5</t>
        </is>
      </c>
      <c r="G562" s="18" t="inlineStr">
        <is>
          <t>bug</t>
        </is>
      </c>
      <c r="H562" s="18" t="inlineStr">
        <is>
          <t>rock</t>
        </is>
      </c>
      <c r="I562" s="18" t="inlineStr">
        <is>
          <t>예</t>
        </is>
      </c>
      <c r="J562" s="18" t="inlineStr">
        <is>
          <t>예</t>
        </is>
      </c>
      <c r="K562" s="18" t="inlineStr">
        <is>
          <t>예</t>
        </is>
      </c>
      <c r="L562" s="18" t="inlineStr">
        <is>
          <t>Cobblemon 동일</t>
        </is>
      </c>
      <c r="M562" s="18">
        <f>COUNTIF('스폰_편집'!$D$5:$D$3125,A562)</f>
        <v/>
      </c>
      <c r="N562" s="18">
        <f>COUNTIFS('스폰_편집'!$D$5:$D$3125,A562,'스폰_편집'!$B$5:$B$3125,"사용")</f>
        <v/>
      </c>
      <c r="O562" s="18" t="n">
        <v>1</v>
      </c>
      <c r="P562" s="18" t="inlineStr">
        <is>
          <t>#cobblemon:is_badlands</t>
        </is>
      </c>
      <c r="Q562" s="18" t="inlineStr">
        <is>
          <t>common</t>
        </is>
      </c>
      <c r="R562" s="18" t="inlineStr"/>
      <c r="S562" s="18" t="inlineStr">
        <is>
          <t>cobbleventure:generation_5</t>
        </is>
      </c>
      <c r="T562" s="18">
        <f>IF(M562=0,"없음",IF(N562=0,"전부 제외","사용"))</f>
        <v/>
      </c>
      <c r="U562" s="18" t="inlineStr"/>
    </row>
    <row r="563" ht="30" customHeight="1">
      <c r="A563" s="18" t="n">
        <v>559</v>
      </c>
      <c r="B563" s="18" t="inlineStr">
        <is>
          <t>곤율랭</t>
        </is>
      </c>
      <c r="C563" s="18" t="inlineStr">
        <is>
          <t>scraggy</t>
        </is>
      </c>
      <c r="D563" s="18" t="inlineStr">
        <is>
          <t>Scraggy</t>
        </is>
      </c>
      <c r="E563" s="18" t="n">
        <v>5</v>
      </c>
      <c r="F563" s="18" t="inlineStr">
        <is>
          <t>generation5</t>
        </is>
      </c>
      <c r="G563" s="18" t="inlineStr">
        <is>
          <t>dark</t>
        </is>
      </c>
      <c r="H563" s="18" t="inlineStr">
        <is>
          <t>fighting</t>
        </is>
      </c>
      <c r="I563" s="18" t="inlineStr">
        <is>
          <t>예</t>
        </is>
      </c>
      <c r="J563" s="18" t="inlineStr">
        <is>
          <t>예</t>
        </is>
      </c>
      <c r="K563" s="18" t="inlineStr">
        <is>
          <t>예</t>
        </is>
      </c>
      <c r="L563" s="18" t="inlineStr">
        <is>
          <t>COBBLEVERSE 수정</t>
        </is>
      </c>
      <c r="M563" s="18">
        <f>COUNTIF('스폰_편집'!$D$5:$D$3125,A563)</f>
        <v/>
      </c>
      <c r="N563" s="18">
        <f>COUNTIFS('스폰_편집'!$D$5:$D$3125,A563,'스폰_편집'!$B$5:$B$3125,"사용")</f>
        <v/>
      </c>
      <c r="O563" s="18" t="n">
        <v>2</v>
      </c>
      <c r="P563" s="18" t="inlineStr">
        <is>
          <t>#cobblemon:is_arid; #cobblemon:is_badlands</t>
        </is>
      </c>
      <c r="Q563" s="18" t="inlineStr">
        <is>
          <t>common</t>
        </is>
      </c>
      <c r="R563" s="18" t="inlineStr">
        <is>
          <t>region_02</t>
        </is>
      </c>
      <c r="S563" s="18" t="inlineStr">
        <is>
          <t>cobbleventure:generation_5</t>
        </is>
      </c>
      <c r="T563" s="18">
        <f>IF(M563=0,"없음",IF(N563=0,"전부 제외","사용"))</f>
        <v/>
      </c>
      <c r="U563" s="18" t="inlineStr"/>
    </row>
    <row r="564" ht="30" customHeight="1">
      <c r="A564" s="18" t="n">
        <v>560</v>
      </c>
      <c r="B564" s="18" t="inlineStr">
        <is>
          <t>곤율거니</t>
        </is>
      </c>
      <c r="C564" s="18" t="inlineStr">
        <is>
          <t>scrafty</t>
        </is>
      </c>
      <c r="D564" s="18" t="inlineStr">
        <is>
          <t>Scrafty</t>
        </is>
      </c>
      <c r="E564" s="18" t="n">
        <v>5</v>
      </c>
      <c r="F564" s="18" t="inlineStr">
        <is>
          <t>generation5</t>
        </is>
      </c>
      <c r="G564" s="18" t="inlineStr">
        <is>
          <t>dark</t>
        </is>
      </c>
      <c r="H564" s="18" t="inlineStr">
        <is>
          <t>fighting</t>
        </is>
      </c>
      <c r="I564" s="18" t="inlineStr">
        <is>
          <t>예</t>
        </is>
      </c>
      <c r="J564" s="18" t="inlineStr">
        <is>
          <t>예</t>
        </is>
      </c>
      <c r="K564" s="18" t="inlineStr">
        <is>
          <t>예</t>
        </is>
      </c>
      <c r="L564" s="18" t="inlineStr">
        <is>
          <t>COBBLEVERSE 수정</t>
        </is>
      </c>
      <c r="M564" s="18">
        <f>COUNTIF('스폰_편집'!$D$5:$D$3125,A564)</f>
        <v/>
      </c>
      <c r="N564" s="18">
        <f>COUNTIFS('스폰_편집'!$D$5:$D$3125,A564,'스폰_편집'!$B$5:$B$3125,"사용")</f>
        <v/>
      </c>
      <c r="O564" s="18" t="n">
        <v>2</v>
      </c>
      <c r="P564" s="18" t="inlineStr">
        <is>
          <t>#cobblemon:is_arid; #cobblemon:is_badlands</t>
        </is>
      </c>
      <c r="Q564" s="18" t="inlineStr">
        <is>
          <t>common</t>
        </is>
      </c>
      <c r="R564" s="18" t="inlineStr">
        <is>
          <t>region_02</t>
        </is>
      </c>
      <c r="S564" s="18" t="inlineStr">
        <is>
          <t>cobbleventure:generation_5</t>
        </is>
      </c>
      <c r="T564" s="18">
        <f>IF(M564=0,"없음",IF(N564=0,"전부 제외","사용"))</f>
        <v/>
      </c>
      <c r="U564" s="18" t="inlineStr"/>
    </row>
    <row r="565" ht="30" customHeight="1">
      <c r="A565" s="18" t="n">
        <v>561</v>
      </c>
      <c r="B565" s="18" t="inlineStr">
        <is>
          <t>심보러</t>
        </is>
      </c>
      <c r="C565" s="18" t="inlineStr">
        <is>
          <t>sigilyph</t>
        </is>
      </c>
      <c r="D565" s="18" t="inlineStr">
        <is>
          <t>Sigilyph</t>
        </is>
      </c>
      <c r="E565" s="18" t="n">
        <v>5</v>
      </c>
      <c r="F565" s="18" t="inlineStr">
        <is>
          <t>generation5</t>
        </is>
      </c>
      <c r="G565" s="18" t="inlineStr">
        <is>
          <t>psychic</t>
        </is>
      </c>
      <c r="H565" s="18" t="inlineStr">
        <is>
          <t>flying</t>
        </is>
      </c>
      <c r="I565" s="18" t="inlineStr">
        <is>
          <t>예</t>
        </is>
      </c>
      <c r="J565" s="18" t="inlineStr">
        <is>
          <t>예</t>
        </is>
      </c>
      <c r="K565" s="18" t="inlineStr">
        <is>
          <t>예</t>
        </is>
      </c>
      <c r="L565" s="18" t="inlineStr">
        <is>
          <t>COBBLEVERSE 수정</t>
        </is>
      </c>
      <c r="M565" s="18">
        <f>COUNTIF('스폰_편집'!$D$5:$D$3125,A565)</f>
        <v/>
      </c>
      <c r="N565" s="18">
        <f>COUNTIFS('스폰_편집'!$D$5:$D$3125,A565,'스폰_편집'!$B$5:$B$3125,"사용")</f>
        <v/>
      </c>
      <c r="O565" s="18" t="n">
        <v>6</v>
      </c>
      <c r="P565" s="18" t="inlineStr">
        <is>
          <t>#aether:is_aether; #cobblemon:is_badlands; #cobblemon:is_desert; #cobblemon:is_end; #cobblemon:is_overworld; the_bumblezone:howling_constructs</t>
        </is>
      </c>
      <c r="Q565" s="18" t="inlineStr">
        <is>
          <t>common; uncommon</t>
        </is>
      </c>
      <c r="R565" s="18" t="inlineStr">
        <is>
          <t>region_01; region_02</t>
        </is>
      </c>
      <c r="S565" s="18" t="inlineStr">
        <is>
          <t>cobbleventure:generation_5</t>
        </is>
      </c>
      <c r="T565" s="18">
        <f>IF(M565=0,"없음",IF(N565=0,"전부 제외","사용"))</f>
        <v/>
      </c>
      <c r="U565" s="18" t="inlineStr"/>
    </row>
    <row r="566" ht="30" customHeight="1">
      <c r="A566" s="18" t="n">
        <v>562</v>
      </c>
      <c r="B566" s="18" t="inlineStr">
        <is>
          <t>데스마스</t>
        </is>
      </c>
      <c r="C566" s="18" t="inlineStr">
        <is>
          <t>yamask</t>
        </is>
      </c>
      <c r="D566" s="18" t="inlineStr">
        <is>
          <t>Yamask</t>
        </is>
      </c>
      <c r="E566" s="18" t="n">
        <v>5</v>
      </c>
      <c r="F566" s="18" t="inlineStr">
        <is>
          <t>generation5</t>
        </is>
      </c>
      <c r="G566" s="18" t="inlineStr">
        <is>
          <t>ghost</t>
        </is>
      </c>
      <c r="H566" s="18" t="inlineStr"/>
      <c r="I566" s="18" t="inlineStr">
        <is>
          <t>예</t>
        </is>
      </c>
      <c r="J566" s="18" t="inlineStr">
        <is>
          <t>예</t>
        </is>
      </c>
      <c r="K566" s="18" t="inlineStr">
        <is>
          <t>예</t>
        </is>
      </c>
      <c r="L566" s="18" t="inlineStr">
        <is>
          <t>Cobblemon 동일</t>
        </is>
      </c>
      <c r="M566" s="18">
        <f>COUNTIF('스폰_편집'!$D$5:$D$3125,A566)</f>
        <v/>
      </c>
      <c r="N566" s="18">
        <f>COUNTIFS('스폰_편집'!$D$5:$D$3125,A566,'스폰_편집'!$B$5:$B$3125,"사용")</f>
        <v/>
      </c>
      <c r="O566" s="18" t="n">
        <v>2</v>
      </c>
      <c r="P566" s="18" t="inlineStr">
        <is>
          <t>#cobblemon:is_desert; #cobblemon:is_overworld</t>
        </is>
      </c>
      <c r="Q566" s="18" t="inlineStr">
        <is>
          <t>common; uncommon</t>
        </is>
      </c>
      <c r="R566" s="18" t="inlineStr">
        <is>
          <t>region_01; region_02</t>
        </is>
      </c>
      <c r="S566" s="18" t="inlineStr">
        <is>
          <t>cobbleventure:generation_5</t>
        </is>
      </c>
      <c r="T566" s="18">
        <f>IF(M566=0,"없음",IF(N566=0,"전부 제외","사용"))</f>
        <v/>
      </c>
      <c r="U566" s="18" t="inlineStr"/>
    </row>
    <row r="567" ht="30" customHeight="1">
      <c r="A567" s="18" t="n">
        <v>563</v>
      </c>
      <c r="B567" s="18" t="inlineStr">
        <is>
          <t>데스니칸</t>
        </is>
      </c>
      <c r="C567" s="18" t="inlineStr">
        <is>
          <t>cofagrigus</t>
        </is>
      </c>
      <c r="D567" s="18" t="inlineStr">
        <is>
          <t>Cofagrigus</t>
        </is>
      </c>
      <c r="E567" s="18" t="n">
        <v>5</v>
      </c>
      <c r="F567" s="18" t="inlineStr">
        <is>
          <t>generation5</t>
        </is>
      </c>
      <c r="G567" s="18" t="inlineStr">
        <is>
          <t>ghost</t>
        </is>
      </c>
      <c r="H567" s="18" t="inlineStr"/>
      <c r="I567" s="18" t="inlineStr">
        <is>
          <t>예</t>
        </is>
      </c>
      <c r="J567" s="18" t="inlineStr">
        <is>
          <t>예</t>
        </is>
      </c>
      <c r="K567" s="18" t="inlineStr">
        <is>
          <t>예</t>
        </is>
      </c>
      <c r="L567" s="18" t="inlineStr">
        <is>
          <t>Cobblemon 동일</t>
        </is>
      </c>
      <c r="M567" s="18">
        <f>COUNTIF('스폰_편집'!$D$5:$D$3125,A567)</f>
        <v/>
      </c>
      <c r="N567" s="18">
        <f>COUNTIFS('스폰_편집'!$D$5:$D$3125,A567,'스폰_편집'!$B$5:$B$3125,"사용")</f>
        <v/>
      </c>
      <c r="O567" s="18" t="n">
        <v>2</v>
      </c>
      <c r="P567" s="18" t="inlineStr">
        <is>
          <t>#cobblemon:is_desert; #cobblemon:is_overworld</t>
        </is>
      </c>
      <c r="Q567" s="18" t="inlineStr">
        <is>
          <t>common; uncommon</t>
        </is>
      </c>
      <c r="R567" s="18" t="inlineStr">
        <is>
          <t>region_01; region_02</t>
        </is>
      </c>
      <c r="S567" s="18" t="inlineStr">
        <is>
          <t>cobbleventure:generation_5</t>
        </is>
      </c>
      <c r="T567" s="18">
        <f>IF(M567=0,"없음",IF(N567=0,"전부 제외","사용"))</f>
        <v/>
      </c>
      <c r="U567" s="18" t="inlineStr"/>
    </row>
    <row r="568" ht="30" customHeight="1">
      <c r="A568" s="18" t="n">
        <v>564</v>
      </c>
      <c r="B568" s="18" t="inlineStr">
        <is>
          <t>프로토가</t>
        </is>
      </c>
      <c r="C568" s="18" t="inlineStr">
        <is>
          <t>tirtouga</t>
        </is>
      </c>
      <c r="D568" s="18" t="inlineStr">
        <is>
          <t>Tirtouga</t>
        </is>
      </c>
      <c r="E568" s="18" t="n">
        <v>5</v>
      </c>
      <c r="F568" s="18" t="inlineStr">
        <is>
          <t>generation5</t>
        </is>
      </c>
      <c r="G568" s="18" t="inlineStr">
        <is>
          <t>water</t>
        </is>
      </c>
      <c r="H568" s="18" t="inlineStr">
        <is>
          <t>rock</t>
        </is>
      </c>
      <c r="I568" s="18" t="inlineStr">
        <is>
          <t>예</t>
        </is>
      </c>
      <c r="J568" s="18" t="inlineStr">
        <is>
          <t>예</t>
        </is>
      </c>
      <c r="K568" s="18" t="inlineStr">
        <is>
          <t>예</t>
        </is>
      </c>
      <c r="L568" s="18" t="inlineStr">
        <is>
          <t>Cobblemon 동일</t>
        </is>
      </c>
      <c r="M568" s="18">
        <f>COUNTIF('스폰_편집'!$D$5:$D$3125,A568)</f>
        <v/>
      </c>
      <c r="N568" s="18">
        <f>COUNTIFS('스폰_편집'!$D$5:$D$3125,A568,'스폰_편집'!$B$5:$B$3125,"사용")</f>
        <v/>
      </c>
      <c r="O568" s="18" t="n">
        <v>1</v>
      </c>
      <c r="P568" s="18" t="inlineStr">
        <is>
          <t>#cobblemon:is_lush</t>
        </is>
      </c>
      <c r="Q568" s="18" t="inlineStr">
        <is>
          <t>ultra-rare</t>
        </is>
      </c>
      <c r="R568" s="18" t="inlineStr"/>
      <c r="S568" s="18" t="inlineStr">
        <is>
          <t>cobbleventure:generation_5</t>
        </is>
      </c>
      <c r="T568" s="18">
        <f>IF(M568=0,"없음",IF(N568=0,"전부 제외","사용"))</f>
        <v/>
      </c>
      <c r="U568" s="18" t="inlineStr"/>
    </row>
    <row r="569" ht="30" customHeight="1">
      <c r="A569" s="18" t="n">
        <v>565</v>
      </c>
      <c r="B569" s="18" t="inlineStr">
        <is>
          <t>늑골라</t>
        </is>
      </c>
      <c r="C569" s="18" t="inlineStr">
        <is>
          <t>carracosta</t>
        </is>
      </c>
      <c r="D569" s="18" t="inlineStr">
        <is>
          <t>Carracosta</t>
        </is>
      </c>
      <c r="E569" s="18" t="n">
        <v>5</v>
      </c>
      <c r="F569" s="18" t="inlineStr">
        <is>
          <t>generation5</t>
        </is>
      </c>
      <c r="G569" s="18" t="inlineStr">
        <is>
          <t>water</t>
        </is>
      </c>
      <c r="H569" s="18" t="inlineStr">
        <is>
          <t>rock</t>
        </is>
      </c>
      <c r="I569" s="18" t="inlineStr">
        <is>
          <t>예</t>
        </is>
      </c>
      <c r="J569" s="18" t="inlineStr">
        <is>
          <t>예</t>
        </is>
      </c>
      <c r="K569" s="18" t="inlineStr">
        <is>
          <t>예</t>
        </is>
      </c>
      <c r="L569" s="18" t="inlineStr">
        <is>
          <t>Cobblemon 동일</t>
        </is>
      </c>
      <c r="M569" s="18">
        <f>COUNTIF('스폰_편집'!$D$5:$D$3125,A569)</f>
        <v/>
      </c>
      <c r="N569" s="18">
        <f>COUNTIFS('스폰_편집'!$D$5:$D$3125,A569,'스폰_편집'!$B$5:$B$3125,"사용")</f>
        <v/>
      </c>
      <c r="O569" s="18" t="n">
        <v>1</v>
      </c>
      <c r="P569" s="18" t="inlineStr">
        <is>
          <t>#cobblemon:is_lush</t>
        </is>
      </c>
      <c r="Q569" s="18" t="inlineStr">
        <is>
          <t>ultra-rare</t>
        </is>
      </c>
      <c r="R569" s="18" t="inlineStr"/>
      <c r="S569" s="18" t="inlineStr">
        <is>
          <t>cobbleventure:generation_5</t>
        </is>
      </c>
      <c r="T569" s="18">
        <f>IF(M569=0,"없음",IF(N569=0,"전부 제외","사용"))</f>
        <v/>
      </c>
      <c r="U569" s="18" t="inlineStr"/>
    </row>
    <row r="570" ht="30" customHeight="1">
      <c r="A570" s="18" t="n">
        <v>566</v>
      </c>
      <c r="B570" s="18" t="inlineStr">
        <is>
          <t>아켄</t>
        </is>
      </c>
      <c r="C570" s="18" t="inlineStr">
        <is>
          <t>archen</t>
        </is>
      </c>
      <c r="D570" s="18" t="inlineStr">
        <is>
          <t>Archen</t>
        </is>
      </c>
      <c r="E570" s="18" t="n">
        <v>5</v>
      </c>
      <c r="F570" s="18" t="inlineStr">
        <is>
          <t>generation5</t>
        </is>
      </c>
      <c r="G570" s="18" t="inlineStr">
        <is>
          <t>rock</t>
        </is>
      </c>
      <c r="H570" s="18" t="inlineStr">
        <is>
          <t>flying</t>
        </is>
      </c>
      <c r="I570" s="18" t="inlineStr">
        <is>
          <t>예</t>
        </is>
      </c>
      <c r="J570" s="18" t="inlineStr">
        <is>
          <t>예</t>
        </is>
      </c>
      <c r="K570" s="18" t="inlineStr">
        <is>
          <t>예</t>
        </is>
      </c>
      <c r="L570" s="18" t="inlineStr">
        <is>
          <t>Cobblemon 동일</t>
        </is>
      </c>
      <c r="M570" s="18">
        <f>COUNTIF('스폰_편집'!$D$5:$D$3125,A570)</f>
        <v/>
      </c>
      <c r="N570" s="18">
        <f>COUNTIFS('스폰_편집'!$D$5:$D$3125,A570,'스폰_편집'!$B$5:$B$3125,"사용")</f>
        <v/>
      </c>
      <c r="O570" s="18" t="n">
        <v>1</v>
      </c>
      <c r="P570" s="18" t="inlineStr">
        <is>
          <t>#cobblemon:is_lush</t>
        </is>
      </c>
      <c r="Q570" s="18" t="inlineStr">
        <is>
          <t>ultra-rare</t>
        </is>
      </c>
      <c r="R570" s="18" t="inlineStr"/>
      <c r="S570" s="18" t="inlineStr">
        <is>
          <t>cobbleventure:generation_5</t>
        </is>
      </c>
      <c r="T570" s="18">
        <f>IF(M570=0,"없음",IF(N570=0,"전부 제외","사용"))</f>
        <v/>
      </c>
      <c r="U570" s="18" t="inlineStr"/>
    </row>
    <row r="571" ht="30" customHeight="1">
      <c r="A571" s="18" t="n">
        <v>567</v>
      </c>
      <c r="B571" s="18" t="inlineStr">
        <is>
          <t>아케오스</t>
        </is>
      </c>
      <c r="C571" s="18" t="inlineStr">
        <is>
          <t>archeops</t>
        </is>
      </c>
      <c r="D571" s="18" t="inlineStr">
        <is>
          <t>Archeops</t>
        </is>
      </c>
      <c r="E571" s="18" t="n">
        <v>5</v>
      </c>
      <c r="F571" s="18" t="inlineStr">
        <is>
          <t>generation5</t>
        </is>
      </c>
      <c r="G571" s="18" t="inlineStr">
        <is>
          <t>rock</t>
        </is>
      </c>
      <c r="H571" s="18" t="inlineStr">
        <is>
          <t>flying</t>
        </is>
      </c>
      <c r="I571" s="18" t="inlineStr">
        <is>
          <t>예</t>
        </is>
      </c>
      <c r="J571" s="18" t="inlineStr">
        <is>
          <t>예</t>
        </is>
      </c>
      <c r="K571" s="18" t="inlineStr">
        <is>
          <t>예</t>
        </is>
      </c>
      <c r="L571" s="18" t="inlineStr">
        <is>
          <t>Cobblemon 동일</t>
        </is>
      </c>
      <c r="M571" s="18">
        <f>COUNTIF('스폰_편집'!$D$5:$D$3125,A571)</f>
        <v/>
      </c>
      <c r="N571" s="18">
        <f>COUNTIFS('스폰_편집'!$D$5:$D$3125,A571,'스폰_편집'!$B$5:$B$3125,"사용")</f>
        <v/>
      </c>
      <c r="O571" s="18" t="n">
        <v>1</v>
      </c>
      <c r="P571" s="18" t="inlineStr">
        <is>
          <t>#cobblemon:is_lush</t>
        </is>
      </c>
      <c r="Q571" s="18" t="inlineStr">
        <is>
          <t>ultra-rare</t>
        </is>
      </c>
      <c r="R571" s="18" t="inlineStr"/>
      <c r="S571" s="18" t="inlineStr">
        <is>
          <t>cobbleventure:generation_5</t>
        </is>
      </c>
      <c r="T571" s="18">
        <f>IF(M571=0,"없음",IF(N571=0,"전부 제외","사용"))</f>
        <v/>
      </c>
      <c r="U571" s="18" t="inlineStr"/>
    </row>
    <row r="572" ht="30" customHeight="1">
      <c r="A572" s="18" t="n">
        <v>568</v>
      </c>
      <c r="B572" s="18" t="inlineStr">
        <is>
          <t>깨봉이</t>
        </is>
      </c>
      <c r="C572" s="18" t="inlineStr">
        <is>
          <t>trubbish</t>
        </is>
      </c>
      <c r="D572" s="18" t="inlineStr">
        <is>
          <t>Trubbish</t>
        </is>
      </c>
      <c r="E572" s="18" t="n">
        <v>5</v>
      </c>
      <c r="F572" s="18" t="inlineStr">
        <is>
          <t>generation5</t>
        </is>
      </c>
      <c r="G572" s="18" t="inlineStr">
        <is>
          <t>poison</t>
        </is>
      </c>
      <c r="H572" s="18" t="inlineStr"/>
      <c r="I572" s="18" t="inlineStr">
        <is>
          <t>예</t>
        </is>
      </c>
      <c r="J572" s="18" t="inlineStr">
        <is>
          <t>예</t>
        </is>
      </c>
      <c r="K572" s="18" t="inlineStr">
        <is>
          <t>예</t>
        </is>
      </c>
      <c r="L572" s="18" t="inlineStr">
        <is>
          <t>COBBLEVERSE 수정</t>
        </is>
      </c>
      <c r="M572" s="18">
        <f>COUNTIF('스폰_편집'!$D$5:$D$3125,A572)</f>
        <v/>
      </c>
      <c r="N572" s="18">
        <f>COUNTIFS('스폰_편집'!$D$5:$D$3125,A572,'스폰_편집'!$B$5:$B$3125,"사용")</f>
        <v/>
      </c>
      <c r="O572" s="18" t="n">
        <v>2</v>
      </c>
      <c r="P572" s="18" t="inlineStr">
        <is>
          <t>#cobblemon:is_overworld; #cobblemon:is_swamp</t>
        </is>
      </c>
      <c r="Q572" s="18" t="inlineStr">
        <is>
          <t>common</t>
        </is>
      </c>
      <c r="R572" s="18" t="inlineStr">
        <is>
          <t>region_01; region_02</t>
        </is>
      </c>
      <c r="S572" s="18" t="inlineStr">
        <is>
          <t>cobbleventure:generation_5</t>
        </is>
      </c>
      <c r="T572" s="18">
        <f>IF(M572=0,"없음",IF(N572=0,"전부 제외","사용"))</f>
        <v/>
      </c>
      <c r="U572" s="18" t="inlineStr"/>
    </row>
    <row r="573" ht="30" customHeight="1">
      <c r="A573" s="18" t="n">
        <v>569</v>
      </c>
      <c r="B573" s="18" t="inlineStr">
        <is>
          <t>더스트나</t>
        </is>
      </c>
      <c r="C573" s="18" t="inlineStr">
        <is>
          <t>garbodor</t>
        </is>
      </c>
      <c r="D573" s="18" t="inlineStr">
        <is>
          <t>Garbodor</t>
        </is>
      </c>
      <c r="E573" s="18" t="n">
        <v>5</v>
      </c>
      <c r="F573" s="18" t="inlineStr">
        <is>
          <t>generation5</t>
        </is>
      </c>
      <c r="G573" s="18" t="inlineStr">
        <is>
          <t>poison</t>
        </is>
      </c>
      <c r="H573" s="18" t="inlineStr"/>
      <c r="I573" s="18" t="inlineStr">
        <is>
          <t>예</t>
        </is>
      </c>
      <c r="J573" s="18" t="inlineStr">
        <is>
          <t>예</t>
        </is>
      </c>
      <c r="K573" s="18" t="inlineStr">
        <is>
          <t>예</t>
        </is>
      </c>
      <c r="L573" s="18" t="inlineStr">
        <is>
          <t>COBBLEVERSE 수정</t>
        </is>
      </c>
      <c r="M573" s="18">
        <f>COUNTIF('스폰_편집'!$D$5:$D$3125,A573)</f>
        <v/>
      </c>
      <c r="N573" s="18">
        <f>COUNTIFS('스폰_편집'!$D$5:$D$3125,A573,'스폰_편집'!$B$5:$B$3125,"사용")</f>
        <v/>
      </c>
      <c r="O573" s="18" t="n">
        <v>2</v>
      </c>
      <c r="P573" s="18" t="inlineStr">
        <is>
          <t>#cobblemon:is_overworld; #cobblemon:is_swamp</t>
        </is>
      </c>
      <c r="Q573" s="18" t="inlineStr">
        <is>
          <t>common</t>
        </is>
      </c>
      <c r="R573" s="18" t="inlineStr">
        <is>
          <t>region_01; region_02</t>
        </is>
      </c>
      <c r="S573" s="18" t="inlineStr">
        <is>
          <t>cobbleventure:generation_5</t>
        </is>
      </c>
      <c r="T573" s="18">
        <f>IF(M573=0,"없음",IF(N573=0,"전부 제외","사용"))</f>
        <v/>
      </c>
      <c r="U573" s="18" t="inlineStr"/>
    </row>
    <row r="574" ht="30" customHeight="1">
      <c r="A574" s="18" t="n">
        <v>570</v>
      </c>
      <c r="B574" s="18" t="inlineStr">
        <is>
          <t>조로아</t>
        </is>
      </c>
      <c r="C574" s="18" t="inlineStr">
        <is>
          <t>zorua</t>
        </is>
      </c>
      <c r="D574" s="18" t="inlineStr">
        <is>
          <t>Zorua</t>
        </is>
      </c>
      <c r="E574" s="18" t="n">
        <v>5</v>
      </c>
      <c r="F574" s="18" t="inlineStr">
        <is>
          <t>generation5</t>
        </is>
      </c>
      <c r="G574" s="18" t="inlineStr">
        <is>
          <t>dark</t>
        </is>
      </c>
      <c r="H574" s="18" t="inlineStr"/>
      <c r="I574" s="18" t="inlineStr">
        <is>
          <t>예</t>
        </is>
      </c>
      <c r="J574" s="18" t="inlineStr">
        <is>
          <t>예</t>
        </is>
      </c>
      <c r="K574" s="18" t="inlineStr">
        <is>
          <t>예</t>
        </is>
      </c>
      <c r="L574" s="18" t="inlineStr">
        <is>
          <t>Cobblemon 동일</t>
        </is>
      </c>
      <c r="M574" s="18">
        <f>COUNTIF('스폰_편집'!$D$5:$D$3125,A574)</f>
        <v/>
      </c>
      <c r="N574" s="18">
        <f>COUNTIFS('스폰_편집'!$D$5:$D$3125,A574,'스폰_편집'!$B$5:$B$3125,"사용")</f>
        <v/>
      </c>
      <c r="O574" s="18" t="n">
        <v>4</v>
      </c>
      <c r="P574" s="18" t="inlineStr">
        <is>
          <t>#cobblemon:is_forest; #cobblemon:is_snowy_forest; #cobblemon:is_snowy_taiga; #minecraft:is_nether</t>
        </is>
      </c>
      <c r="Q574" s="18" t="inlineStr">
        <is>
          <t>uncommon</t>
        </is>
      </c>
      <c r="R574" s="18" t="inlineStr">
        <is>
          <t>region_01</t>
        </is>
      </c>
      <c r="S574" s="18" t="inlineStr">
        <is>
          <t>cobbleventure:generation_5</t>
        </is>
      </c>
      <c r="T574" s="18">
        <f>IF(M574=0,"없음",IF(N574=0,"전부 제외","사용"))</f>
        <v/>
      </c>
      <c r="U574" s="18" t="inlineStr"/>
    </row>
    <row r="575" ht="30" customHeight="1">
      <c r="A575" s="18" t="n">
        <v>571</v>
      </c>
      <c r="B575" s="18" t="inlineStr">
        <is>
          <t>조로아크</t>
        </is>
      </c>
      <c r="C575" s="18" t="inlineStr">
        <is>
          <t>zoroark</t>
        </is>
      </c>
      <c r="D575" s="18" t="inlineStr">
        <is>
          <t>Zoroark</t>
        </is>
      </c>
      <c r="E575" s="18" t="n">
        <v>5</v>
      </c>
      <c r="F575" s="18" t="inlineStr">
        <is>
          <t>generation5</t>
        </is>
      </c>
      <c r="G575" s="18" t="inlineStr">
        <is>
          <t>dark</t>
        </is>
      </c>
      <c r="H575" s="18" t="inlineStr"/>
      <c r="I575" s="18" t="inlineStr">
        <is>
          <t>예</t>
        </is>
      </c>
      <c r="J575" s="18" t="inlineStr">
        <is>
          <t>예</t>
        </is>
      </c>
      <c r="K575" s="18" t="inlineStr">
        <is>
          <t>예</t>
        </is>
      </c>
      <c r="L575" s="18" t="inlineStr">
        <is>
          <t>Cobblemon 동일</t>
        </is>
      </c>
      <c r="M575" s="18">
        <f>COUNTIF('스폰_편집'!$D$5:$D$3125,A575)</f>
        <v/>
      </c>
      <c r="N575" s="18">
        <f>COUNTIFS('스폰_편집'!$D$5:$D$3125,A575,'스폰_편집'!$B$5:$B$3125,"사용")</f>
        <v/>
      </c>
      <c r="O575" s="18" t="n">
        <v>4</v>
      </c>
      <c r="P575" s="18" t="inlineStr">
        <is>
          <t>#cobblemon:is_forest; #cobblemon:is_snowy_forest; #cobblemon:is_snowy_taiga; #minecraft:is_nether</t>
        </is>
      </c>
      <c r="Q575" s="18" t="inlineStr">
        <is>
          <t>uncommon</t>
        </is>
      </c>
      <c r="R575" s="18" t="inlineStr">
        <is>
          <t>region_01</t>
        </is>
      </c>
      <c r="S575" s="18" t="inlineStr">
        <is>
          <t>cobbleventure:generation_5</t>
        </is>
      </c>
      <c r="T575" s="18">
        <f>IF(M575=0,"없음",IF(N575=0,"전부 제외","사용"))</f>
        <v/>
      </c>
      <c r="U575" s="18" t="inlineStr"/>
    </row>
    <row r="576" ht="30" customHeight="1">
      <c r="A576" s="18" t="n">
        <v>572</v>
      </c>
      <c r="B576" s="18" t="inlineStr">
        <is>
          <t>치라미</t>
        </is>
      </c>
      <c r="C576" s="18" t="inlineStr">
        <is>
          <t>minccino</t>
        </is>
      </c>
      <c r="D576" s="18" t="inlineStr">
        <is>
          <t>Minccino</t>
        </is>
      </c>
      <c r="E576" s="18" t="n">
        <v>5</v>
      </c>
      <c r="F576" s="18" t="inlineStr">
        <is>
          <t>generation5</t>
        </is>
      </c>
      <c r="G576" s="18" t="inlineStr">
        <is>
          <t>normal</t>
        </is>
      </c>
      <c r="H576" s="18" t="inlineStr"/>
      <c r="I576" s="18" t="inlineStr">
        <is>
          <t>예</t>
        </is>
      </c>
      <c r="J576" s="18" t="inlineStr">
        <is>
          <t>예</t>
        </is>
      </c>
      <c r="K576" s="18" t="inlineStr">
        <is>
          <t>예</t>
        </is>
      </c>
      <c r="L576" s="18" t="inlineStr">
        <is>
          <t>Cobblemon 동일</t>
        </is>
      </c>
      <c r="M576" s="18">
        <f>COUNTIF('스폰_편집'!$D$5:$D$3125,A576)</f>
        <v/>
      </c>
      <c r="N576" s="18">
        <f>COUNTIFS('스폰_편집'!$D$5:$D$3125,A576,'스폰_편집'!$B$5:$B$3125,"사용")</f>
        <v/>
      </c>
      <c r="O576" s="18" t="n">
        <v>2</v>
      </c>
      <c r="P576" s="18" t="inlineStr">
        <is>
          <t>#cobblemon:is_magical; #cobblemon:is_overworld</t>
        </is>
      </c>
      <c r="Q576" s="18" t="inlineStr">
        <is>
          <t>common</t>
        </is>
      </c>
      <c r="R576" s="18" t="inlineStr">
        <is>
          <t>region_01; region_02</t>
        </is>
      </c>
      <c r="S576" s="18" t="inlineStr">
        <is>
          <t>cobbleventure:generation_5</t>
        </is>
      </c>
      <c r="T576" s="18">
        <f>IF(M576=0,"없음",IF(N576=0,"전부 제외","사용"))</f>
        <v/>
      </c>
      <c r="U576" s="18" t="inlineStr"/>
    </row>
    <row r="577" ht="30" customHeight="1">
      <c r="A577" s="18" t="n">
        <v>573</v>
      </c>
      <c r="B577" s="18" t="inlineStr">
        <is>
          <t>치라치노</t>
        </is>
      </c>
      <c r="C577" s="18" t="inlineStr">
        <is>
          <t>cinccino</t>
        </is>
      </c>
      <c r="D577" s="18" t="inlineStr">
        <is>
          <t>Cinccino</t>
        </is>
      </c>
      <c r="E577" s="18" t="n">
        <v>5</v>
      </c>
      <c r="F577" s="18" t="inlineStr">
        <is>
          <t>generation5</t>
        </is>
      </c>
      <c r="G577" s="18" t="inlineStr">
        <is>
          <t>normal</t>
        </is>
      </c>
      <c r="H577" s="18" t="inlineStr"/>
      <c r="I577" s="18" t="inlineStr">
        <is>
          <t>예</t>
        </is>
      </c>
      <c r="J577" s="18" t="inlineStr">
        <is>
          <t>예</t>
        </is>
      </c>
      <c r="K577" s="18" t="inlineStr">
        <is>
          <t>예</t>
        </is>
      </c>
      <c r="L577" s="18" t="inlineStr">
        <is>
          <t>Cobblemon 동일</t>
        </is>
      </c>
      <c r="M577" s="18">
        <f>COUNTIF('스폰_편집'!$D$5:$D$3125,A577)</f>
        <v/>
      </c>
      <c r="N577" s="18">
        <f>COUNTIFS('스폰_편집'!$D$5:$D$3125,A577,'스폰_편집'!$B$5:$B$3125,"사용")</f>
        <v/>
      </c>
      <c r="O577" s="18" t="n">
        <v>2</v>
      </c>
      <c r="P577" s="18" t="inlineStr">
        <is>
          <t>#cobblemon:is_magical; #cobblemon:is_overworld</t>
        </is>
      </c>
      <c r="Q577" s="18" t="inlineStr">
        <is>
          <t>common</t>
        </is>
      </c>
      <c r="R577" s="18" t="inlineStr">
        <is>
          <t>region_01; region_02</t>
        </is>
      </c>
      <c r="S577" s="18" t="inlineStr">
        <is>
          <t>cobbleventure:generation_5</t>
        </is>
      </c>
      <c r="T577" s="18">
        <f>IF(M577=0,"없음",IF(N577=0,"전부 제외","사용"))</f>
        <v/>
      </c>
      <c r="U577" s="18" t="inlineStr"/>
    </row>
    <row r="578" ht="30" customHeight="1">
      <c r="A578" s="18" t="n">
        <v>574</v>
      </c>
      <c r="B578" s="18" t="inlineStr">
        <is>
          <t>고디탱</t>
        </is>
      </c>
      <c r="C578" s="18" t="inlineStr">
        <is>
          <t>gothita</t>
        </is>
      </c>
      <c r="D578" s="18" t="inlineStr">
        <is>
          <t>Gothita</t>
        </is>
      </c>
      <c r="E578" s="18" t="n">
        <v>5</v>
      </c>
      <c r="F578" s="18" t="inlineStr">
        <is>
          <t>generation5</t>
        </is>
      </c>
      <c r="G578" s="18" t="inlineStr">
        <is>
          <t>psychic</t>
        </is>
      </c>
      <c r="H578" s="18" t="inlineStr"/>
      <c r="I578" s="18" t="inlineStr">
        <is>
          <t>예</t>
        </is>
      </c>
      <c r="J578" s="18" t="inlineStr">
        <is>
          <t>예</t>
        </is>
      </c>
      <c r="K578" s="18" t="inlineStr">
        <is>
          <t>예</t>
        </is>
      </c>
      <c r="L578" s="18" t="inlineStr">
        <is>
          <t>Cobblemon 동일</t>
        </is>
      </c>
      <c r="M578" s="18">
        <f>COUNTIF('스폰_편집'!$D$5:$D$3125,A578)</f>
        <v/>
      </c>
      <c r="N578" s="18">
        <f>COUNTIFS('스폰_편집'!$D$5:$D$3125,A578,'스폰_편집'!$B$5:$B$3125,"사용")</f>
        <v/>
      </c>
      <c r="O578" s="18" t="n">
        <v>2</v>
      </c>
      <c r="P578" s="18" t="inlineStr">
        <is>
          <t>#cobblemon:is_end; #cobblemon:is_overworld</t>
        </is>
      </c>
      <c r="Q578" s="18" t="inlineStr">
        <is>
          <t>common; uncommon</t>
        </is>
      </c>
      <c r="R578" s="18" t="inlineStr">
        <is>
          <t>region_01; region_02</t>
        </is>
      </c>
      <c r="S578" s="18" t="inlineStr">
        <is>
          <t>cobbleventure:generation_5</t>
        </is>
      </c>
      <c r="T578" s="18">
        <f>IF(M578=0,"없음",IF(N578=0,"전부 제외","사용"))</f>
        <v/>
      </c>
      <c r="U578" s="18" t="inlineStr"/>
    </row>
    <row r="579" ht="30" customHeight="1">
      <c r="A579" s="18" t="n">
        <v>575</v>
      </c>
      <c r="B579" s="18" t="inlineStr">
        <is>
          <t>고디보미</t>
        </is>
      </c>
      <c r="C579" s="18" t="inlineStr">
        <is>
          <t>gothorita</t>
        </is>
      </c>
      <c r="D579" s="18" t="inlineStr">
        <is>
          <t>Gothorita</t>
        </is>
      </c>
      <c r="E579" s="18" t="n">
        <v>5</v>
      </c>
      <c r="F579" s="18" t="inlineStr">
        <is>
          <t>generation5</t>
        </is>
      </c>
      <c r="G579" s="18" t="inlineStr">
        <is>
          <t>psychic</t>
        </is>
      </c>
      <c r="H579" s="18" t="inlineStr"/>
      <c r="I579" s="18" t="inlineStr">
        <is>
          <t>예</t>
        </is>
      </c>
      <c r="J579" s="18" t="inlineStr">
        <is>
          <t>예</t>
        </is>
      </c>
      <c r="K579" s="18" t="inlineStr">
        <is>
          <t>예</t>
        </is>
      </c>
      <c r="L579" s="18" t="inlineStr">
        <is>
          <t>Cobblemon 동일</t>
        </is>
      </c>
      <c r="M579" s="18">
        <f>COUNTIF('스폰_편집'!$D$5:$D$3125,A579)</f>
        <v/>
      </c>
      <c r="N579" s="18">
        <f>COUNTIFS('스폰_편집'!$D$5:$D$3125,A579,'스폰_편집'!$B$5:$B$3125,"사용")</f>
        <v/>
      </c>
      <c r="O579" s="18" t="n">
        <v>2</v>
      </c>
      <c r="P579" s="18" t="inlineStr">
        <is>
          <t>#cobblemon:is_end; #cobblemon:is_overworld</t>
        </is>
      </c>
      <c r="Q579" s="18" t="inlineStr">
        <is>
          <t>common; uncommon</t>
        </is>
      </c>
      <c r="R579" s="18" t="inlineStr">
        <is>
          <t>region_01; region_02</t>
        </is>
      </c>
      <c r="S579" s="18" t="inlineStr">
        <is>
          <t>cobbleventure:generation_5</t>
        </is>
      </c>
      <c r="T579" s="18">
        <f>IF(M579=0,"없음",IF(N579=0,"전부 제외","사용"))</f>
        <v/>
      </c>
      <c r="U579" s="18" t="inlineStr"/>
    </row>
    <row r="580" ht="30" customHeight="1">
      <c r="A580" s="18" t="n">
        <v>576</v>
      </c>
      <c r="B580" s="18" t="inlineStr">
        <is>
          <t>고디모아젤</t>
        </is>
      </c>
      <c r="C580" s="18" t="inlineStr">
        <is>
          <t>gothitelle</t>
        </is>
      </c>
      <c r="D580" s="18" t="inlineStr">
        <is>
          <t>Gothitelle</t>
        </is>
      </c>
      <c r="E580" s="18" t="n">
        <v>5</v>
      </c>
      <c r="F580" s="18" t="inlineStr">
        <is>
          <t>generation5</t>
        </is>
      </c>
      <c r="G580" s="18" t="inlineStr">
        <is>
          <t>psychic</t>
        </is>
      </c>
      <c r="H580" s="18" t="inlineStr"/>
      <c r="I580" s="18" t="inlineStr">
        <is>
          <t>예</t>
        </is>
      </c>
      <c r="J580" s="18" t="inlineStr">
        <is>
          <t>예</t>
        </is>
      </c>
      <c r="K580" s="18" t="inlineStr">
        <is>
          <t>예</t>
        </is>
      </c>
      <c r="L580" s="18" t="inlineStr">
        <is>
          <t>Cobblemon 동일</t>
        </is>
      </c>
      <c r="M580" s="18">
        <f>COUNTIF('스폰_편집'!$D$5:$D$3125,A580)</f>
        <v/>
      </c>
      <c r="N580" s="18">
        <f>COUNTIFS('스폰_편집'!$D$5:$D$3125,A580,'스폰_편집'!$B$5:$B$3125,"사용")</f>
        <v/>
      </c>
      <c r="O580" s="18" t="n">
        <v>2</v>
      </c>
      <c r="P580" s="18" t="inlineStr">
        <is>
          <t>#cobblemon:is_end; #cobblemon:is_overworld</t>
        </is>
      </c>
      <c r="Q580" s="18" t="inlineStr">
        <is>
          <t>common; uncommon</t>
        </is>
      </c>
      <c r="R580" s="18" t="inlineStr">
        <is>
          <t>region_01; region_02</t>
        </is>
      </c>
      <c r="S580" s="18" t="inlineStr">
        <is>
          <t>cobbleventure:generation_5</t>
        </is>
      </c>
      <c r="T580" s="18">
        <f>IF(M580=0,"없음",IF(N580=0,"전부 제외","사용"))</f>
        <v/>
      </c>
      <c r="U580" s="18" t="inlineStr"/>
    </row>
    <row r="581" ht="30" customHeight="1">
      <c r="A581" s="18" t="n">
        <v>577</v>
      </c>
      <c r="B581" s="18" t="inlineStr">
        <is>
          <t>유니란</t>
        </is>
      </c>
      <c r="C581" s="18" t="inlineStr">
        <is>
          <t>solosis</t>
        </is>
      </c>
      <c r="D581" s="18" t="inlineStr">
        <is>
          <t>Solosis</t>
        </is>
      </c>
      <c r="E581" s="18" t="n">
        <v>5</v>
      </c>
      <c r="F581" s="18" t="inlineStr">
        <is>
          <t>generation5</t>
        </is>
      </c>
      <c r="G581" s="18" t="inlineStr">
        <is>
          <t>psychic</t>
        </is>
      </c>
      <c r="H581" s="18" t="inlineStr"/>
      <c r="I581" s="18" t="inlineStr">
        <is>
          <t>예</t>
        </is>
      </c>
      <c r="J581" s="18" t="inlineStr">
        <is>
          <t>예</t>
        </is>
      </c>
      <c r="K581" s="18" t="inlineStr">
        <is>
          <t>예</t>
        </is>
      </c>
      <c r="L581" s="18" t="inlineStr">
        <is>
          <t>COBBLEVERSE 수정</t>
        </is>
      </c>
      <c r="M581" s="18">
        <f>COUNTIF('스폰_편집'!$D$5:$D$3125,A581)</f>
        <v/>
      </c>
      <c r="N581" s="18">
        <f>COUNTIFS('스폰_편집'!$D$5:$D$3125,A581,'스폰_편집'!$B$5:$B$3125,"사용")</f>
        <v/>
      </c>
      <c r="O581" s="18" t="n">
        <v>2</v>
      </c>
      <c r="P581" s="18" t="inlineStr">
        <is>
          <t>#cobblemon:is_end; #cobblemon:is_lush</t>
        </is>
      </c>
      <c r="Q581" s="18" t="inlineStr">
        <is>
          <t>rare</t>
        </is>
      </c>
      <c r="R581" s="18" t="inlineStr"/>
      <c r="S581" s="18" t="inlineStr">
        <is>
          <t>cobbleventure:generation_5</t>
        </is>
      </c>
      <c r="T581" s="18">
        <f>IF(M581=0,"없음",IF(N581=0,"전부 제외","사용"))</f>
        <v/>
      </c>
      <c r="U581" s="18" t="inlineStr"/>
    </row>
    <row r="582" ht="30" customHeight="1">
      <c r="A582" s="18" t="n">
        <v>578</v>
      </c>
      <c r="B582" s="18" t="inlineStr">
        <is>
          <t>듀란</t>
        </is>
      </c>
      <c r="C582" s="18" t="inlineStr">
        <is>
          <t>duosion</t>
        </is>
      </c>
      <c r="D582" s="18" t="inlineStr">
        <is>
          <t>Duosion</t>
        </is>
      </c>
      <c r="E582" s="18" t="n">
        <v>5</v>
      </c>
      <c r="F582" s="18" t="inlineStr">
        <is>
          <t>generation5</t>
        </is>
      </c>
      <c r="G582" s="18" t="inlineStr">
        <is>
          <t>psychic</t>
        </is>
      </c>
      <c r="H582" s="18" t="inlineStr"/>
      <c r="I582" s="18" t="inlineStr">
        <is>
          <t>예</t>
        </is>
      </c>
      <c r="J582" s="18" t="inlineStr">
        <is>
          <t>예</t>
        </is>
      </c>
      <c r="K582" s="18" t="inlineStr">
        <is>
          <t>예</t>
        </is>
      </c>
      <c r="L582" s="18" t="inlineStr">
        <is>
          <t>COBBLEVERSE 수정</t>
        </is>
      </c>
      <c r="M582" s="18">
        <f>COUNTIF('스폰_편집'!$D$5:$D$3125,A582)</f>
        <v/>
      </c>
      <c r="N582" s="18">
        <f>COUNTIFS('스폰_편집'!$D$5:$D$3125,A582,'스폰_편집'!$B$5:$B$3125,"사용")</f>
        <v/>
      </c>
      <c r="O582" s="18" t="n">
        <v>2</v>
      </c>
      <c r="P582" s="18" t="inlineStr">
        <is>
          <t>#cobblemon:is_end; #cobblemon:lush</t>
        </is>
      </c>
      <c r="Q582" s="18" t="inlineStr">
        <is>
          <t>uncommon</t>
        </is>
      </c>
      <c r="R582" s="18" t="inlineStr"/>
      <c r="S582" s="18" t="inlineStr">
        <is>
          <t>cobbleventure:generation_5</t>
        </is>
      </c>
      <c r="T582" s="18">
        <f>IF(M582=0,"없음",IF(N582=0,"전부 제외","사용"))</f>
        <v/>
      </c>
      <c r="U582" s="18" t="inlineStr"/>
    </row>
    <row r="583" ht="30" customHeight="1">
      <c r="A583" s="18" t="n">
        <v>579</v>
      </c>
      <c r="B583" s="18" t="inlineStr">
        <is>
          <t>란쿨루스</t>
        </is>
      </c>
      <c r="C583" s="18" t="inlineStr">
        <is>
          <t>reuniclus</t>
        </is>
      </c>
      <c r="D583" s="18" t="inlineStr">
        <is>
          <t>Reuniclus</t>
        </is>
      </c>
      <c r="E583" s="18" t="n">
        <v>5</v>
      </c>
      <c r="F583" s="18" t="inlineStr">
        <is>
          <t>generation5</t>
        </is>
      </c>
      <c r="G583" s="18" t="inlineStr">
        <is>
          <t>psychic</t>
        </is>
      </c>
      <c r="H583" s="18" t="inlineStr"/>
      <c r="I583" s="18" t="inlineStr">
        <is>
          <t>예</t>
        </is>
      </c>
      <c r="J583" s="18" t="inlineStr">
        <is>
          <t>예</t>
        </is>
      </c>
      <c r="K583" s="18" t="inlineStr">
        <is>
          <t>예</t>
        </is>
      </c>
      <c r="L583" s="18" t="inlineStr">
        <is>
          <t>COBBLEVERSE 수정</t>
        </is>
      </c>
      <c r="M583" s="18">
        <f>COUNTIF('스폰_편집'!$D$5:$D$3125,A583)</f>
        <v/>
      </c>
      <c r="N583" s="18">
        <f>COUNTIFS('스폰_편집'!$D$5:$D$3125,A583,'스폰_편집'!$B$5:$B$3125,"사용")</f>
        <v/>
      </c>
      <c r="O583" s="18" t="n">
        <v>2</v>
      </c>
      <c r="P583" s="18" t="inlineStr">
        <is>
          <t>#cobblemon:is_end; #cobblemon:is_lush</t>
        </is>
      </c>
      <c r="Q583" s="18" t="inlineStr">
        <is>
          <t>uncommon</t>
        </is>
      </c>
      <c r="R583" s="18" t="inlineStr"/>
      <c r="S583" s="18" t="inlineStr">
        <is>
          <t>cobbleventure:generation_5</t>
        </is>
      </c>
      <c r="T583" s="18">
        <f>IF(M583=0,"없음",IF(N583=0,"전부 제외","사용"))</f>
        <v/>
      </c>
      <c r="U583" s="18" t="inlineStr"/>
    </row>
    <row r="584" ht="30" customHeight="1">
      <c r="A584" s="18" t="n">
        <v>580</v>
      </c>
      <c r="B584" s="18" t="inlineStr">
        <is>
          <t>꼬지보리</t>
        </is>
      </c>
      <c r="C584" s="18" t="inlineStr">
        <is>
          <t>ducklett</t>
        </is>
      </c>
      <c r="D584" s="18" t="inlineStr">
        <is>
          <t>Ducklett</t>
        </is>
      </c>
      <c r="E584" s="18" t="n">
        <v>5</v>
      </c>
      <c r="F584" s="18" t="inlineStr">
        <is>
          <t>generation5</t>
        </is>
      </c>
      <c r="G584" s="18" t="inlineStr">
        <is>
          <t>water</t>
        </is>
      </c>
      <c r="H584" s="18" t="inlineStr">
        <is>
          <t>flying</t>
        </is>
      </c>
      <c r="I584" s="18" t="inlineStr">
        <is>
          <t>예</t>
        </is>
      </c>
      <c r="J584" s="18" t="inlineStr">
        <is>
          <t>예</t>
        </is>
      </c>
      <c r="K584" s="18" t="inlineStr">
        <is>
          <t>예</t>
        </is>
      </c>
      <c r="L584" s="18" t="inlineStr">
        <is>
          <t>Cobblemon 동일</t>
        </is>
      </c>
      <c r="M584" s="18">
        <f>COUNTIF('스폰_편집'!$D$5:$D$3125,A584)</f>
        <v/>
      </c>
      <c r="N584" s="18">
        <f>COUNTIFS('스폰_편집'!$D$5:$D$3125,A584,'스폰_편집'!$B$5:$B$3125,"사용")</f>
        <v/>
      </c>
      <c r="O584" s="18" t="n">
        <v>3</v>
      </c>
      <c r="P584" s="18" t="inlineStr">
        <is>
          <t>#aether:is_aether; #cobblemon:is_freshwater; #cobblemon:is_sky</t>
        </is>
      </c>
      <c r="Q584" s="18" t="inlineStr">
        <is>
          <t>common; uncommon</t>
        </is>
      </c>
      <c r="R584" s="18" t="inlineStr">
        <is>
          <t>region_02</t>
        </is>
      </c>
      <c r="S584" s="18" t="inlineStr">
        <is>
          <t>cobbleventure:generation_5</t>
        </is>
      </c>
      <c r="T584" s="18">
        <f>IF(M584=0,"없음",IF(N584=0,"전부 제외","사용"))</f>
        <v/>
      </c>
      <c r="U584" s="18" t="inlineStr"/>
    </row>
    <row r="585" ht="30" customHeight="1">
      <c r="A585" s="18" t="n">
        <v>581</v>
      </c>
      <c r="B585" s="18" t="inlineStr">
        <is>
          <t>스완나</t>
        </is>
      </c>
      <c r="C585" s="18" t="inlineStr">
        <is>
          <t>swanna</t>
        </is>
      </c>
      <c r="D585" s="18" t="inlineStr">
        <is>
          <t>Swanna</t>
        </is>
      </c>
      <c r="E585" s="18" t="n">
        <v>5</v>
      </c>
      <c r="F585" s="18" t="inlineStr">
        <is>
          <t>generation5</t>
        </is>
      </c>
      <c r="G585" s="18" t="inlineStr">
        <is>
          <t>water</t>
        </is>
      </c>
      <c r="H585" s="18" t="inlineStr">
        <is>
          <t>flying</t>
        </is>
      </c>
      <c r="I585" s="18" t="inlineStr">
        <is>
          <t>예</t>
        </is>
      </c>
      <c r="J585" s="18" t="inlineStr">
        <is>
          <t>예</t>
        </is>
      </c>
      <c r="K585" s="18" t="inlineStr">
        <is>
          <t>예</t>
        </is>
      </c>
      <c r="L585" s="18" t="inlineStr">
        <is>
          <t>Cobblemon 동일</t>
        </is>
      </c>
      <c r="M585" s="18">
        <f>COUNTIF('스폰_편집'!$D$5:$D$3125,A585)</f>
        <v/>
      </c>
      <c r="N585" s="18">
        <f>COUNTIFS('스폰_편집'!$D$5:$D$3125,A585,'스폰_편집'!$B$5:$B$3125,"사용")</f>
        <v/>
      </c>
      <c r="O585" s="18" t="n">
        <v>3</v>
      </c>
      <c r="P585" s="18" t="inlineStr">
        <is>
          <t>#aether:is_aether; #cobblemon:is_freshwater; #cobblemon:is_sky</t>
        </is>
      </c>
      <c r="Q585" s="18" t="inlineStr">
        <is>
          <t>common; uncommon</t>
        </is>
      </c>
      <c r="R585" s="18" t="inlineStr">
        <is>
          <t>region_02</t>
        </is>
      </c>
      <c r="S585" s="18" t="inlineStr">
        <is>
          <t>cobbleventure:generation_5</t>
        </is>
      </c>
      <c r="T585" s="18">
        <f>IF(M585=0,"없음",IF(N585=0,"전부 제외","사용"))</f>
        <v/>
      </c>
      <c r="U585" s="18" t="inlineStr"/>
    </row>
    <row r="586" ht="30" customHeight="1">
      <c r="A586" s="18" t="n">
        <v>582</v>
      </c>
      <c r="B586" s="18" t="inlineStr">
        <is>
          <t>바닐프티</t>
        </is>
      </c>
      <c r="C586" s="18" t="inlineStr">
        <is>
          <t>vanillite</t>
        </is>
      </c>
      <c r="D586" s="18" t="inlineStr">
        <is>
          <t>Vanillite</t>
        </is>
      </c>
      <c r="E586" s="18" t="n">
        <v>5</v>
      </c>
      <c r="F586" s="18" t="inlineStr">
        <is>
          <t>generation5</t>
        </is>
      </c>
      <c r="G586" s="18" t="inlineStr">
        <is>
          <t>ice</t>
        </is>
      </c>
      <c r="H586" s="18" t="inlineStr"/>
      <c r="I586" s="18" t="inlineStr">
        <is>
          <t>예</t>
        </is>
      </c>
      <c r="J586" s="18" t="inlineStr">
        <is>
          <t>예</t>
        </is>
      </c>
      <c r="K586" s="18" t="inlineStr">
        <is>
          <t>예</t>
        </is>
      </c>
      <c r="L586" s="18" t="inlineStr">
        <is>
          <t>Cobblemon 동일</t>
        </is>
      </c>
      <c r="M586" s="18">
        <f>COUNTIF('스폰_편집'!$D$5:$D$3125,A586)</f>
        <v/>
      </c>
      <c r="N586" s="18">
        <f>COUNTIFS('스폰_편집'!$D$5:$D$3125,A586,'스폰_편집'!$B$5:$B$3125,"사용")</f>
        <v/>
      </c>
      <c r="O586" s="18" t="n">
        <v>2</v>
      </c>
      <c r="P586" s="18" t="inlineStr">
        <is>
          <t>#cobblemon:is_freezing; #cobblemon:nether/is_frozen</t>
        </is>
      </c>
      <c r="Q586" s="18" t="inlineStr">
        <is>
          <t>common; uncommon</t>
        </is>
      </c>
      <c r="R586" s="18" t="inlineStr"/>
      <c r="S586" s="18" t="inlineStr">
        <is>
          <t>cobbleventure:generation_5</t>
        </is>
      </c>
      <c r="T586" s="18">
        <f>IF(M586=0,"없음",IF(N586=0,"전부 제외","사용"))</f>
        <v/>
      </c>
      <c r="U586" s="18" t="inlineStr"/>
    </row>
    <row r="587" ht="30" customHeight="1">
      <c r="A587" s="18" t="n">
        <v>583</v>
      </c>
      <c r="B587" s="18" t="inlineStr">
        <is>
          <t>바닐리치</t>
        </is>
      </c>
      <c r="C587" s="18" t="inlineStr">
        <is>
          <t>vanillish</t>
        </is>
      </c>
      <c r="D587" s="18" t="inlineStr">
        <is>
          <t>Vanillish</t>
        </is>
      </c>
      <c r="E587" s="18" t="n">
        <v>5</v>
      </c>
      <c r="F587" s="18" t="inlineStr">
        <is>
          <t>generation5</t>
        </is>
      </c>
      <c r="G587" s="18" t="inlineStr">
        <is>
          <t>ice</t>
        </is>
      </c>
      <c r="H587" s="18" t="inlineStr"/>
      <c r="I587" s="18" t="inlineStr">
        <is>
          <t>예</t>
        </is>
      </c>
      <c r="J587" s="18" t="inlineStr">
        <is>
          <t>예</t>
        </is>
      </c>
      <c r="K587" s="18" t="inlineStr">
        <is>
          <t>예</t>
        </is>
      </c>
      <c r="L587" s="18" t="inlineStr">
        <is>
          <t>Cobblemon 동일</t>
        </is>
      </c>
      <c r="M587" s="18">
        <f>COUNTIF('스폰_편집'!$D$5:$D$3125,A587)</f>
        <v/>
      </c>
      <c r="N587" s="18">
        <f>COUNTIFS('스폰_편집'!$D$5:$D$3125,A587,'스폰_편집'!$B$5:$B$3125,"사용")</f>
        <v/>
      </c>
      <c r="O587" s="18" t="n">
        <v>2</v>
      </c>
      <c r="P587" s="18" t="inlineStr">
        <is>
          <t>#cobblemon:is_freezing; #cobblemon:nether/is_frozen</t>
        </is>
      </c>
      <c r="Q587" s="18" t="inlineStr">
        <is>
          <t>common; uncommon</t>
        </is>
      </c>
      <c r="R587" s="18" t="inlineStr"/>
      <c r="S587" s="18" t="inlineStr">
        <is>
          <t>cobbleventure:generation_5</t>
        </is>
      </c>
      <c r="T587" s="18">
        <f>IF(M587=0,"없음",IF(N587=0,"전부 제외","사용"))</f>
        <v/>
      </c>
      <c r="U587" s="18" t="inlineStr"/>
    </row>
    <row r="588" ht="30" customHeight="1">
      <c r="A588" s="18" t="n">
        <v>584</v>
      </c>
      <c r="B588" s="18" t="inlineStr">
        <is>
          <t>배바닐라</t>
        </is>
      </c>
      <c r="C588" s="18" t="inlineStr">
        <is>
          <t>vanilluxe</t>
        </is>
      </c>
      <c r="D588" s="18" t="inlineStr">
        <is>
          <t>Vanilluxe</t>
        </is>
      </c>
      <c r="E588" s="18" t="n">
        <v>5</v>
      </c>
      <c r="F588" s="18" t="inlineStr">
        <is>
          <t>generation5</t>
        </is>
      </c>
      <c r="G588" s="18" t="inlineStr">
        <is>
          <t>ice</t>
        </is>
      </c>
      <c r="H588" s="18" t="inlineStr"/>
      <c r="I588" s="18" t="inlineStr">
        <is>
          <t>예</t>
        </is>
      </c>
      <c r="J588" s="18" t="inlineStr">
        <is>
          <t>예</t>
        </is>
      </c>
      <c r="K588" s="18" t="inlineStr">
        <is>
          <t>예</t>
        </is>
      </c>
      <c r="L588" s="18" t="inlineStr">
        <is>
          <t>Cobblemon 동일</t>
        </is>
      </c>
      <c r="M588" s="18">
        <f>COUNTIF('스폰_편집'!$D$5:$D$3125,A588)</f>
        <v/>
      </c>
      <c r="N588" s="18">
        <f>COUNTIFS('스폰_편집'!$D$5:$D$3125,A588,'스폰_편집'!$B$5:$B$3125,"사용")</f>
        <v/>
      </c>
      <c r="O588" s="18" t="n">
        <v>2</v>
      </c>
      <c r="P588" s="18" t="inlineStr">
        <is>
          <t>#cobblemon:is_freezing; #cobblemon:nether/is_frozen</t>
        </is>
      </c>
      <c r="Q588" s="18" t="inlineStr">
        <is>
          <t>common; uncommon</t>
        </is>
      </c>
      <c r="R588" s="18" t="inlineStr"/>
      <c r="S588" s="18" t="inlineStr">
        <is>
          <t>cobbleventure:generation_5</t>
        </is>
      </c>
      <c r="T588" s="18">
        <f>IF(M588=0,"없음",IF(N588=0,"전부 제외","사용"))</f>
        <v/>
      </c>
      <c r="U588" s="18" t="inlineStr"/>
    </row>
    <row r="589" ht="30" customHeight="1">
      <c r="A589" s="18" t="n">
        <v>585</v>
      </c>
      <c r="B589" s="18" t="inlineStr">
        <is>
          <t>사철록</t>
        </is>
      </c>
      <c r="C589" s="18" t="inlineStr">
        <is>
          <t>deerling</t>
        </is>
      </c>
      <c r="D589" s="18" t="inlineStr">
        <is>
          <t>Deerling</t>
        </is>
      </c>
      <c r="E589" s="18" t="n">
        <v>5</v>
      </c>
      <c r="F589" s="18" t="inlineStr">
        <is>
          <t>generation5</t>
        </is>
      </c>
      <c r="G589" s="18" t="inlineStr">
        <is>
          <t>normal</t>
        </is>
      </c>
      <c r="H589" s="18" t="inlineStr">
        <is>
          <t>grass</t>
        </is>
      </c>
      <c r="I589" s="18" t="inlineStr">
        <is>
          <t>예</t>
        </is>
      </c>
      <c r="J589" s="18" t="inlineStr">
        <is>
          <t>예</t>
        </is>
      </c>
      <c r="K589" s="18" t="inlineStr">
        <is>
          <t>예</t>
        </is>
      </c>
      <c r="L589" s="18" t="inlineStr">
        <is>
          <t>Cobblemon 동일</t>
        </is>
      </c>
      <c r="M589" s="18">
        <f>COUNTIF('스폰_편집'!$D$5:$D$3125,A589)</f>
        <v/>
      </c>
      <c r="N589" s="18">
        <f>COUNTIFS('스폰_편집'!$D$5:$D$3125,A589,'스폰_편집'!$B$5:$B$3125,"사용")</f>
        <v/>
      </c>
      <c r="O589" s="18" t="n">
        <v>8</v>
      </c>
      <c r="P589" s="18" t="inlineStr">
        <is>
          <t>#aether:is_aether; #cobblemon:is_floral; #cobblemon:is_forest; #cobblemon:is_hills; #cobblemon:is_plains; #cobblemon:is_snowy_forest; #cobblemon:is_taiga; the_bumblezone:floral_meadow</t>
        </is>
      </c>
      <c r="Q589" s="18" t="inlineStr">
        <is>
          <t>common; uncommon</t>
        </is>
      </c>
      <c r="R589" s="18" t="inlineStr">
        <is>
          <t>region_01</t>
        </is>
      </c>
      <c r="S589" s="18" t="inlineStr">
        <is>
          <t>cobbleventure:generation_5</t>
        </is>
      </c>
      <c r="T589" s="18">
        <f>IF(M589=0,"없음",IF(N589=0,"전부 제외","사용"))</f>
        <v/>
      </c>
      <c r="U589" s="18" t="inlineStr"/>
    </row>
    <row r="590" ht="30" customHeight="1">
      <c r="A590" s="18" t="n">
        <v>586</v>
      </c>
      <c r="B590" s="18" t="inlineStr">
        <is>
          <t>바라철록</t>
        </is>
      </c>
      <c r="C590" s="18" t="inlineStr">
        <is>
          <t>sawsbuck</t>
        </is>
      </c>
      <c r="D590" s="18" t="inlineStr">
        <is>
          <t>Sawsbuck</t>
        </is>
      </c>
      <c r="E590" s="18" t="n">
        <v>5</v>
      </c>
      <c r="F590" s="18" t="inlineStr">
        <is>
          <t>generation5</t>
        </is>
      </c>
      <c r="G590" s="18" t="inlineStr">
        <is>
          <t>normal</t>
        </is>
      </c>
      <c r="H590" s="18" t="inlineStr">
        <is>
          <t>grass</t>
        </is>
      </c>
      <c r="I590" s="18" t="inlineStr">
        <is>
          <t>예</t>
        </is>
      </c>
      <c r="J590" s="18" t="inlineStr">
        <is>
          <t>예</t>
        </is>
      </c>
      <c r="K590" s="18" t="inlineStr">
        <is>
          <t>예</t>
        </is>
      </c>
      <c r="L590" s="18" t="inlineStr">
        <is>
          <t>Cobblemon 동일</t>
        </is>
      </c>
      <c r="M590" s="18">
        <f>COUNTIF('스폰_편집'!$D$5:$D$3125,A590)</f>
        <v/>
      </c>
      <c r="N590" s="18">
        <f>COUNTIFS('스폰_편집'!$D$5:$D$3125,A590,'스폰_편집'!$B$5:$B$3125,"사용")</f>
        <v/>
      </c>
      <c r="O590" s="18" t="n">
        <v>8</v>
      </c>
      <c r="P590" s="18" t="inlineStr">
        <is>
          <t>#aether:is_aether; #cobblemon:is_floral; #cobblemon:is_forest; #cobblemon:is_hills; #cobblemon:is_plains; #cobblemon:is_snowy_forest; #cobblemon:is_taiga; the_bumblezone:floral_meadow</t>
        </is>
      </c>
      <c r="Q590" s="18" t="inlineStr">
        <is>
          <t>common; uncommon</t>
        </is>
      </c>
      <c r="R590" s="18" t="inlineStr">
        <is>
          <t>region_01</t>
        </is>
      </c>
      <c r="S590" s="18" t="inlineStr">
        <is>
          <t>cobbleventure:generation_5</t>
        </is>
      </c>
      <c r="T590" s="18">
        <f>IF(M590=0,"없음",IF(N590=0,"전부 제외","사용"))</f>
        <v/>
      </c>
      <c r="U590" s="18" t="inlineStr"/>
    </row>
    <row r="591" ht="30" customHeight="1">
      <c r="A591" s="18" t="n">
        <v>587</v>
      </c>
      <c r="B591" s="18" t="inlineStr">
        <is>
          <t>에몽가</t>
        </is>
      </c>
      <c r="C591" s="18" t="inlineStr">
        <is>
          <t>emolga</t>
        </is>
      </c>
      <c r="D591" s="18" t="inlineStr">
        <is>
          <t>Emolga</t>
        </is>
      </c>
      <c r="E591" s="18" t="n">
        <v>5</v>
      </c>
      <c r="F591" s="18" t="inlineStr">
        <is>
          <t>generation5</t>
        </is>
      </c>
      <c r="G591" s="18" t="inlineStr">
        <is>
          <t>electric</t>
        </is>
      </c>
      <c r="H591" s="18" t="inlineStr">
        <is>
          <t>flying</t>
        </is>
      </c>
      <c r="I591" s="18" t="inlineStr">
        <is>
          <t>예</t>
        </is>
      </c>
      <c r="J591" s="18" t="inlineStr">
        <is>
          <t>예</t>
        </is>
      </c>
      <c r="K591" s="18" t="inlineStr">
        <is>
          <t>예</t>
        </is>
      </c>
      <c r="L591" s="18" t="inlineStr">
        <is>
          <t>Cobblemon 동일</t>
        </is>
      </c>
      <c r="M591" s="18">
        <f>COUNTIF('스폰_편집'!$D$5:$D$3125,A591)</f>
        <v/>
      </c>
      <c r="N591" s="18">
        <f>COUNTIFS('스폰_편집'!$D$5:$D$3125,A591,'스폰_편집'!$B$5:$B$3125,"사용")</f>
        <v/>
      </c>
      <c r="O591" s="18" t="n">
        <v>1</v>
      </c>
      <c r="P591" s="18" t="inlineStr">
        <is>
          <t>#cobblemon:is_taiga</t>
        </is>
      </c>
      <c r="Q591" s="18" t="inlineStr">
        <is>
          <t>uncommon</t>
        </is>
      </c>
      <c r="R591" s="18" t="inlineStr"/>
      <c r="S591" s="18" t="inlineStr">
        <is>
          <t>cobbleventure:generation_5</t>
        </is>
      </c>
      <c r="T591" s="18">
        <f>IF(M591=0,"없음",IF(N591=0,"전부 제외","사용"))</f>
        <v/>
      </c>
      <c r="U591" s="18" t="inlineStr"/>
    </row>
    <row r="592" ht="30" customHeight="1">
      <c r="A592" s="18" t="n">
        <v>588</v>
      </c>
      <c r="B592" s="18" t="inlineStr">
        <is>
          <t>딱정곤</t>
        </is>
      </c>
      <c r="C592" s="18" t="inlineStr">
        <is>
          <t>karrablast</t>
        </is>
      </c>
      <c r="D592" s="18" t="inlineStr">
        <is>
          <t>Karrablast</t>
        </is>
      </c>
      <c r="E592" s="18" t="n">
        <v>5</v>
      </c>
      <c r="F592" s="18" t="inlineStr">
        <is>
          <t>generation5</t>
        </is>
      </c>
      <c r="G592" s="18" t="inlineStr">
        <is>
          <t>bug</t>
        </is>
      </c>
      <c r="H592" s="18" t="inlineStr"/>
      <c r="I592" s="18" t="inlineStr">
        <is>
          <t>예</t>
        </is>
      </c>
      <c r="J592" s="18" t="inlineStr">
        <is>
          <t>예</t>
        </is>
      </c>
      <c r="K592" s="18" t="inlineStr">
        <is>
          <t>예</t>
        </is>
      </c>
      <c r="L592" s="18" t="inlineStr">
        <is>
          <t>Cobblemon 동일</t>
        </is>
      </c>
      <c r="M592" s="18">
        <f>COUNTIF('스폰_편집'!$D$5:$D$3125,A592)</f>
        <v/>
      </c>
      <c r="N592" s="18">
        <f>COUNTIFS('스폰_편집'!$D$5:$D$3125,A592,'스폰_편집'!$B$5:$B$3125,"사용")</f>
        <v/>
      </c>
      <c r="O592" s="18" t="n">
        <v>1</v>
      </c>
      <c r="P592" s="18" t="inlineStr">
        <is>
          <t>#cobblemon:is_swamp</t>
        </is>
      </c>
      <c r="Q592" s="18" t="inlineStr">
        <is>
          <t>common</t>
        </is>
      </c>
      <c r="R592" s="18" t="inlineStr">
        <is>
          <t>region_02</t>
        </is>
      </c>
      <c r="S592" s="18" t="inlineStr">
        <is>
          <t>cobbleventure:generation_5</t>
        </is>
      </c>
      <c r="T592" s="18">
        <f>IF(M592=0,"없음",IF(N592=0,"전부 제외","사용"))</f>
        <v/>
      </c>
      <c r="U592" s="18" t="inlineStr"/>
    </row>
    <row r="593" ht="30" customHeight="1">
      <c r="A593" s="18" t="n">
        <v>589</v>
      </c>
      <c r="B593" s="18" t="inlineStr">
        <is>
          <t>슈바르고</t>
        </is>
      </c>
      <c r="C593" s="18" t="inlineStr">
        <is>
          <t>escavalier</t>
        </is>
      </c>
      <c r="D593" s="18" t="inlineStr">
        <is>
          <t>Escavalier</t>
        </is>
      </c>
      <c r="E593" s="18" t="n">
        <v>5</v>
      </c>
      <c r="F593" s="18" t="inlineStr">
        <is>
          <t>generation5</t>
        </is>
      </c>
      <c r="G593" s="18" t="inlineStr">
        <is>
          <t>bug</t>
        </is>
      </c>
      <c r="H593" s="18" t="inlineStr">
        <is>
          <t>steel</t>
        </is>
      </c>
      <c r="I593" s="18" t="inlineStr">
        <is>
          <t>예</t>
        </is>
      </c>
      <c r="J593" s="18" t="inlineStr">
        <is>
          <t>예</t>
        </is>
      </c>
      <c r="K593" s="18" t="inlineStr">
        <is>
          <t>예</t>
        </is>
      </c>
      <c r="L593" s="18" t="inlineStr">
        <is>
          <t>Cobblemon 동일</t>
        </is>
      </c>
      <c r="M593" s="18">
        <f>COUNTIF('스폰_편집'!$D$5:$D$3125,A593)</f>
        <v/>
      </c>
      <c r="N593" s="18">
        <f>COUNTIFS('스폰_편집'!$D$5:$D$3125,A593,'스폰_편집'!$B$5:$B$3125,"사용")</f>
        <v/>
      </c>
      <c r="O593" s="18" t="n">
        <v>1</v>
      </c>
      <c r="P593" s="18" t="inlineStr">
        <is>
          <t>#cobblemon:is_swamp</t>
        </is>
      </c>
      <c r="Q593" s="18" t="inlineStr">
        <is>
          <t>common</t>
        </is>
      </c>
      <c r="R593" s="18" t="inlineStr">
        <is>
          <t>region_02</t>
        </is>
      </c>
      <c r="S593" s="18" t="inlineStr">
        <is>
          <t>cobbleventure:generation_5</t>
        </is>
      </c>
      <c r="T593" s="18">
        <f>IF(M593=0,"없음",IF(N593=0,"전부 제외","사용"))</f>
        <v/>
      </c>
      <c r="U593" s="18" t="inlineStr"/>
    </row>
    <row r="594" ht="30" customHeight="1">
      <c r="A594" s="18" t="n">
        <v>590</v>
      </c>
      <c r="B594" s="18" t="inlineStr">
        <is>
          <t>깜놀버슬</t>
        </is>
      </c>
      <c r="C594" s="18" t="inlineStr">
        <is>
          <t>foongus</t>
        </is>
      </c>
      <c r="D594" s="18" t="inlineStr">
        <is>
          <t>Foongus</t>
        </is>
      </c>
      <c r="E594" s="18" t="n">
        <v>5</v>
      </c>
      <c r="F594" s="18" t="inlineStr">
        <is>
          <t>generation5</t>
        </is>
      </c>
      <c r="G594" s="18" t="inlineStr">
        <is>
          <t>grass</t>
        </is>
      </c>
      <c r="H594" s="18" t="inlineStr">
        <is>
          <t>poison</t>
        </is>
      </c>
      <c r="I594" s="18" t="inlineStr">
        <is>
          <t>예</t>
        </is>
      </c>
      <c r="J594" s="18" t="inlineStr">
        <is>
          <t>예</t>
        </is>
      </c>
      <c r="K594" s="18" t="inlineStr">
        <is>
          <t>예</t>
        </is>
      </c>
      <c r="L594" s="18" t="inlineStr">
        <is>
          <t>COBBLEVERSE 수정</t>
        </is>
      </c>
      <c r="M594" s="18">
        <f>COUNTIF('스폰_편집'!$D$5:$D$3125,A594)</f>
        <v/>
      </c>
      <c r="N594" s="18">
        <f>COUNTIFS('스폰_편집'!$D$5:$D$3125,A594,'스폰_편집'!$B$5:$B$3125,"사용")</f>
        <v/>
      </c>
      <c r="O594" s="18" t="n">
        <v>2</v>
      </c>
      <c r="P594" s="18" t="inlineStr">
        <is>
          <t>#cobblemon:is_mushroom; #cobblemon:is_swamp</t>
        </is>
      </c>
      <c r="Q594" s="18" t="inlineStr">
        <is>
          <t>common</t>
        </is>
      </c>
      <c r="R594" s="18" t="inlineStr">
        <is>
          <t>region_02</t>
        </is>
      </c>
      <c r="S594" s="18" t="inlineStr">
        <is>
          <t>cobbleventure:generation_5</t>
        </is>
      </c>
      <c r="T594" s="18">
        <f>IF(M594=0,"없음",IF(N594=0,"전부 제외","사용"))</f>
        <v/>
      </c>
      <c r="U594" s="18" t="inlineStr"/>
    </row>
    <row r="595" ht="30" customHeight="1">
      <c r="A595" s="18" t="n">
        <v>591</v>
      </c>
      <c r="B595" s="18" t="inlineStr">
        <is>
          <t>뽀록나</t>
        </is>
      </c>
      <c r="C595" s="18" t="inlineStr">
        <is>
          <t>amoonguss</t>
        </is>
      </c>
      <c r="D595" s="18" t="inlineStr">
        <is>
          <t>Amoonguss</t>
        </is>
      </c>
      <c r="E595" s="18" t="n">
        <v>5</v>
      </c>
      <c r="F595" s="18" t="inlineStr">
        <is>
          <t>generation5</t>
        </is>
      </c>
      <c r="G595" s="18" t="inlineStr">
        <is>
          <t>grass</t>
        </is>
      </c>
      <c r="H595" s="18" t="inlineStr">
        <is>
          <t>poison</t>
        </is>
      </c>
      <c r="I595" s="18" t="inlineStr">
        <is>
          <t>예</t>
        </is>
      </c>
      <c r="J595" s="18" t="inlineStr">
        <is>
          <t>예</t>
        </is>
      </c>
      <c r="K595" s="18" t="inlineStr">
        <is>
          <t>예</t>
        </is>
      </c>
      <c r="L595" s="18" t="inlineStr">
        <is>
          <t>COBBLEVERSE 수정</t>
        </is>
      </c>
      <c r="M595" s="18">
        <f>COUNTIF('스폰_편집'!$D$5:$D$3125,A595)</f>
        <v/>
      </c>
      <c r="N595" s="18">
        <f>COUNTIFS('스폰_편집'!$D$5:$D$3125,A595,'스폰_편집'!$B$5:$B$3125,"사용")</f>
        <v/>
      </c>
      <c r="O595" s="18" t="n">
        <v>2</v>
      </c>
      <c r="P595" s="18" t="inlineStr">
        <is>
          <t>#cobblemon:is_mushroom; #cobblemon:is_swamp</t>
        </is>
      </c>
      <c r="Q595" s="18" t="inlineStr">
        <is>
          <t>common</t>
        </is>
      </c>
      <c r="R595" s="18" t="inlineStr">
        <is>
          <t>region_02</t>
        </is>
      </c>
      <c r="S595" s="18" t="inlineStr">
        <is>
          <t>cobbleventure:generation_5</t>
        </is>
      </c>
      <c r="T595" s="18">
        <f>IF(M595=0,"없음",IF(N595=0,"전부 제외","사용"))</f>
        <v/>
      </c>
      <c r="U595" s="18" t="inlineStr"/>
    </row>
    <row r="596" ht="30" customHeight="1">
      <c r="A596" s="18" t="n">
        <v>592</v>
      </c>
      <c r="B596" s="18" t="inlineStr">
        <is>
          <t>탱그릴</t>
        </is>
      </c>
      <c r="C596" s="18" t="inlineStr">
        <is>
          <t>frillish</t>
        </is>
      </c>
      <c r="D596" s="18" t="inlineStr">
        <is>
          <t>Frillish</t>
        </is>
      </c>
      <c r="E596" s="18" t="n">
        <v>5</v>
      </c>
      <c r="F596" s="18" t="inlineStr">
        <is>
          <t>generation5</t>
        </is>
      </c>
      <c r="G596" s="18" t="inlineStr">
        <is>
          <t>water</t>
        </is>
      </c>
      <c r="H596" s="18" t="inlineStr">
        <is>
          <t>ghost</t>
        </is>
      </c>
      <c r="I596" s="18" t="inlineStr">
        <is>
          <t>예</t>
        </is>
      </c>
      <c r="J596" s="18" t="inlineStr">
        <is>
          <t>예</t>
        </is>
      </c>
      <c r="K596" s="18" t="inlineStr">
        <is>
          <t>예</t>
        </is>
      </c>
      <c r="L596" s="18" t="inlineStr">
        <is>
          <t>COBBLEVERSE 수정</t>
        </is>
      </c>
      <c r="M596" s="18">
        <f>COUNTIF('스폰_편집'!$D$5:$D$3125,A596)</f>
        <v/>
      </c>
      <c r="N596" s="18">
        <f>COUNTIFS('스폰_편집'!$D$5:$D$3125,A596,'스폰_편집'!$B$5:$B$3125,"사용")</f>
        <v/>
      </c>
      <c r="O596" s="18" t="n">
        <v>2</v>
      </c>
      <c r="P596" s="18" t="inlineStr">
        <is>
          <t>#cobblemon:is_ocean; #cobblemon:is_overworld</t>
        </is>
      </c>
      <c r="Q596" s="18" t="inlineStr">
        <is>
          <t>common</t>
        </is>
      </c>
      <c r="R596" s="18" t="inlineStr">
        <is>
          <t>region_01; region_02</t>
        </is>
      </c>
      <c r="S596" s="18" t="inlineStr">
        <is>
          <t>cobbleventure:generation_5</t>
        </is>
      </c>
      <c r="T596" s="18">
        <f>IF(M596=0,"없음",IF(N596=0,"전부 제외","사용"))</f>
        <v/>
      </c>
      <c r="U596" s="18" t="inlineStr"/>
    </row>
    <row r="597" ht="30" customHeight="1">
      <c r="A597" s="18" t="n">
        <v>593</v>
      </c>
      <c r="B597" s="18" t="inlineStr">
        <is>
          <t>탱탱겔</t>
        </is>
      </c>
      <c r="C597" s="18" t="inlineStr">
        <is>
          <t>jellicent</t>
        </is>
      </c>
      <c r="D597" s="18" t="inlineStr">
        <is>
          <t>Jellicent</t>
        </is>
      </c>
      <c r="E597" s="18" t="n">
        <v>5</v>
      </c>
      <c r="F597" s="18" t="inlineStr">
        <is>
          <t>generation5</t>
        </is>
      </c>
      <c r="G597" s="18" t="inlineStr">
        <is>
          <t>water</t>
        </is>
      </c>
      <c r="H597" s="18" t="inlineStr">
        <is>
          <t>ghost</t>
        </is>
      </c>
      <c r="I597" s="18" t="inlineStr">
        <is>
          <t>예</t>
        </is>
      </c>
      <c r="J597" s="18" t="inlineStr">
        <is>
          <t>예</t>
        </is>
      </c>
      <c r="K597" s="18" t="inlineStr">
        <is>
          <t>예</t>
        </is>
      </c>
      <c r="L597" s="18" t="inlineStr">
        <is>
          <t>COBBLEVERSE 수정</t>
        </is>
      </c>
      <c r="M597" s="18">
        <f>COUNTIF('스폰_편집'!$D$5:$D$3125,A597)</f>
        <v/>
      </c>
      <c r="N597" s="18">
        <f>COUNTIFS('스폰_편집'!$D$5:$D$3125,A597,'스폰_편집'!$B$5:$B$3125,"사용")</f>
        <v/>
      </c>
      <c r="O597" s="18" t="n">
        <v>2</v>
      </c>
      <c r="P597" s="18" t="inlineStr">
        <is>
          <t>#cobblemon:is_ocean; #cobblemon:is_overworld</t>
        </is>
      </c>
      <c r="Q597" s="18" t="inlineStr">
        <is>
          <t>common</t>
        </is>
      </c>
      <c r="R597" s="18" t="inlineStr">
        <is>
          <t>region_01; region_02</t>
        </is>
      </c>
      <c r="S597" s="18" t="inlineStr">
        <is>
          <t>cobbleventure:generation_5</t>
        </is>
      </c>
      <c r="T597" s="18">
        <f>IF(M597=0,"없음",IF(N597=0,"전부 제외","사용"))</f>
        <v/>
      </c>
      <c r="U597" s="18" t="inlineStr"/>
    </row>
    <row r="598" ht="30" customHeight="1">
      <c r="A598" s="18" t="n">
        <v>594</v>
      </c>
      <c r="B598" s="18" t="inlineStr">
        <is>
          <t>맘복치</t>
        </is>
      </c>
      <c r="C598" s="18" t="inlineStr">
        <is>
          <t>alomomola</t>
        </is>
      </c>
      <c r="D598" s="18" t="inlineStr">
        <is>
          <t>Alomomola</t>
        </is>
      </c>
      <c r="E598" s="18" t="n">
        <v>5</v>
      </c>
      <c r="F598" s="18" t="inlineStr">
        <is>
          <t>generation5</t>
        </is>
      </c>
      <c r="G598" s="18" t="inlineStr">
        <is>
          <t>water</t>
        </is>
      </c>
      <c r="H598" s="18" t="inlineStr"/>
      <c r="I598" s="18" t="inlineStr">
        <is>
          <t>예</t>
        </is>
      </c>
      <c r="J598" s="18" t="inlineStr">
        <is>
          <t>예</t>
        </is>
      </c>
      <c r="K598" s="18" t="inlineStr">
        <is>
          <t>예</t>
        </is>
      </c>
      <c r="L598" s="18" t="inlineStr">
        <is>
          <t>Cobblemon 동일</t>
        </is>
      </c>
      <c r="M598" s="18">
        <f>COUNTIF('스폰_편집'!$D$5:$D$3125,A598)</f>
        <v/>
      </c>
      <c r="N598" s="18">
        <f>COUNTIFS('스폰_편집'!$D$5:$D$3125,A598,'스폰_편집'!$B$5:$B$3125,"사용")</f>
        <v/>
      </c>
      <c r="O598" s="18" t="n">
        <v>2</v>
      </c>
      <c r="P598" s="18" t="inlineStr">
        <is>
          <t>#cobblemon:is_deep_ocean; #cobblemon:is_ocean</t>
        </is>
      </c>
      <c r="Q598" s="18" t="inlineStr">
        <is>
          <t>common; uncommon</t>
        </is>
      </c>
      <c r="R598" s="18" t="inlineStr"/>
      <c r="S598" s="18" t="inlineStr">
        <is>
          <t>cobbleventure:generation_5</t>
        </is>
      </c>
      <c r="T598" s="18">
        <f>IF(M598=0,"없음",IF(N598=0,"전부 제외","사용"))</f>
        <v/>
      </c>
      <c r="U598" s="18" t="inlineStr"/>
    </row>
    <row r="599" ht="30" customHeight="1">
      <c r="A599" s="18" t="n">
        <v>595</v>
      </c>
      <c r="B599" s="18" t="inlineStr">
        <is>
          <t>파쪼옥</t>
        </is>
      </c>
      <c r="C599" s="18" t="inlineStr">
        <is>
          <t>joltik</t>
        </is>
      </c>
      <c r="D599" s="18" t="inlineStr">
        <is>
          <t>Joltik</t>
        </is>
      </c>
      <c r="E599" s="18" t="n">
        <v>5</v>
      </c>
      <c r="F599" s="18" t="inlineStr">
        <is>
          <t>generation5</t>
        </is>
      </c>
      <c r="G599" s="18" t="inlineStr">
        <is>
          <t>bug</t>
        </is>
      </c>
      <c r="H599" s="18" t="inlineStr">
        <is>
          <t>electric</t>
        </is>
      </c>
      <c r="I599" s="18" t="inlineStr">
        <is>
          <t>예</t>
        </is>
      </c>
      <c r="J599" s="18" t="inlineStr">
        <is>
          <t>예</t>
        </is>
      </c>
      <c r="K599" s="18" t="inlineStr">
        <is>
          <t>예</t>
        </is>
      </c>
      <c r="L599" s="18" t="inlineStr">
        <is>
          <t>Cobblemon 동일</t>
        </is>
      </c>
      <c r="M599" s="18">
        <f>COUNTIF('스폰_편집'!$D$5:$D$3125,A599)</f>
        <v/>
      </c>
      <c r="N599" s="18">
        <f>COUNTIFS('스폰_편집'!$D$5:$D$3125,A599,'스폰_편집'!$B$5:$B$3125,"사용")</f>
        <v/>
      </c>
      <c r="O599" s="18" t="n">
        <v>4</v>
      </c>
      <c r="P599" s="18" t="inlineStr">
        <is>
          <t>#cobblemon:is_badlands; #cobblemon:is_jungle; #cobblemon:is_overworld; #cobblemon:is_savanna</t>
        </is>
      </c>
      <c r="Q599" s="18" t="inlineStr">
        <is>
          <t>common</t>
        </is>
      </c>
      <c r="R599" s="18" t="inlineStr">
        <is>
          <t>region_01; region_02</t>
        </is>
      </c>
      <c r="S599" s="18" t="inlineStr">
        <is>
          <t>cobbleventure:generation_5</t>
        </is>
      </c>
      <c r="T599" s="18">
        <f>IF(M599=0,"없음",IF(N599=0,"전부 제외","사용"))</f>
        <v/>
      </c>
      <c r="U599" s="18" t="inlineStr"/>
    </row>
    <row r="600" ht="30" customHeight="1">
      <c r="A600" s="18" t="n">
        <v>596</v>
      </c>
      <c r="B600" s="18" t="inlineStr">
        <is>
          <t>전툴라</t>
        </is>
      </c>
      <c r="C600" s="18" t="inlineStr">
        <is>
          <t>galvantula</t>
        </is>
      </c>
      <c r="D600" s="18" t="inlineStr">
        <is>
          <t>Galvantula</t>
        </is>
      </c>
      <c r="E600" s="18" t="n">
        <v>5</v>
      </c>
      <c r="F600" s="18" t="inlineStr">
        <is>
          <t>generation5</t>
        </is>
      </c>
      <c r="G600" s="18" t="inlineStr">
        <is>
          <t>bug</t>
        </is>
      </c>
      <c r="H600" s="18" t="inlineStr">
        <is>
          <t>electric</t>
        </is>
      </c>
      <c r="I600" s="18" t="inlineStr">
        <is>
          <t>예</t>
        </is>
      </c>
      <c r="J600" s="18" t="inlineStr">
        <is>
          <t>예</t>
        </is>
      </c>
      <c r="K600" s="18" t="inlineStr">
        <is>
          <t>예</t>
        </is>
      </c>
      <c r="L600" s="18" t="inlineStr">
        <is>
          <t>Cobblemon 동일</t>
        </is>
      </c>
      <c r="M600" s="18">
        <f>COUNTIF('스폰_편집'!$D$5:$D$3125,A600)</f>
        <v/>
      </c>
      <c r="N600" s="18">
        <f>COUNTIFS('스폰_편집'!$D$5:$D$3125,A600,'스폰_편집'!$B$5:$B$3125,"사용")</f>
        <v/>
      </c>
      <c r="O600" s="18" t="n">
        <v>4</v>
      </c>
      <c r="P600" s="18" t="inlineStr">
        <is>
          <t>#cobblemon:is_badlands; #cobblemon:is_jungle; #cobblemon:is_overworld; #cobblemon:is_savanna</t>
        </is>
      </c>
      <c r="Q600" s="18" t="inlineStr">
        <is>
          <t>common</t>
        </is>
      </c>
      <c r="R600" s="18" t="inlineStr">
        <is>
          <t>region_01; region_02</t>
        </is>
      </c>
      <c r="S600" s="18" t="inlineStr">
        <is>
          <t>cobbleventure:generation_5</t>
        </is>
      </c>
      <c r="T600" s="18">
        <f>IF(M600=0,"없음",IF(N600=0,"전부 제외","사용"))</f>
        <v/>
      </c>
      <c r="U600" s="18" t="inlineStr"/>
    </row>
    <row r="601" ht="30" customHeight="1">
      <c r="A601" s="18" t="n">
        <v>597</v>
      </c>
      <c r="B601" s="18" t="inlineStr">
        <is>
          <t>철시드</t>
        </is>
      </c>
      <c r="C601" s="18" t="inlineStr">
        <is>
          <t>ferroseed</t>
        </is>
      </c>
      <c r="D601" s="18" t="inlineStr">
        <is>
          <t>Ferroseed</t>
        </is>
      </c>
      <c r="E601" s="18" t="n">
        <v>5</v>
      </c>
      <c r="F601" s="18" t="inlineStr">
        <is>
          <t>generation5</t>
        </is>
      </c>
      <c r="G601" s="18" t="inlineStr">
        <is>
          <t>grass</t>
        </is>
      </c>
      <c r="H601" s="18" t="inlineStr">
        <is>
          <t>steel</t>
        </is>
      </c>
      <c r="I601" s="18" t="inlineStr">
        <is>
          <t>예</t>
        </is>
      </c>
      <c r="J601" s="18" t="inlineStr">
        <is>
          <t>예</t>
        </is>
      </c>
      <c r="K601" s="18" t="inlineStr">
        <is>
          <t>예</t>
        </is>
      </c>
      <c r="L601" s="18" t="inlineStr">
        <is>
          <t>COBBLEVERSE 수정</t>
        </is>
      </c>
      <c r="M601" s="18">
        <f>COUNTIF('스폰_편집'!$D$5:$D$3125,A601)</f>
        <v/>
      </c>
      <c r="N601" s="18">
        <f>COUNTIFS('스폰_편집'!$D$5:$D$3125,A601,'스폰_편집'!$B$5:$B$3125,"사용")</f>
        <v/>
      </c>
      <c r="O601" s="18" t="n">
        <v>2</v>
      </c>
      <c r="P601" s="18" t="inlineStr">
        <is>
          <t>#cobblemon:is_lush; #cobblemon:is_overworld</t>
        </is>
      </c>
      <c r="Q601" s="18" t="inlineStr">
        <is>
          <t>common</t>
        </is>
      </c>
      <c r="R601" s="18" t="inlineStr">
        <is>
          <t>region_01; region_02</t>
        </is>
      </c>
      <c r="S601" s="18" t="inlineStr">
        <is>
          <t>cobbleventure:generation_5</t>
        </is>
      </c>
      <c r="T601" s="18">
        <f>IF(M601=0,"없음",IF(N601=0,"전부 제외","사용"))</f>
        <v/>
      </c>
      <c r="U601" s="18" t="inlineStr"/>
    </row>
    <row r="602" ht="30" customHeight="1">
      <c r="A602" s="18" t="n">
        <v>598</v>
      </c>
      <c r="B602" s="18" t="inlineStr">
        <is>
          <t>너트령</t>
        </is>
      </c>
      <c r="C602" s="18" t="inlineStr">
        <is>
          <t>ferrothorn</t>
        </is>
      </c>
      <c r="D602" s="18" t="inlineStr">
        <is>
          <t>Ferrothorn</t>
        </is>
      </c>
      <c r="E602" s="18" t="n">
        <v>5</v>
      </c>
      <c r="F602" s="18" t="inlineStr">
        <is>
          <t>generation5</t>
        </is>
      </c>
      <c r="G602" s="18" t="inlineStr">
        <is>
          <t>grass</t>
        </is>
      </c>
      <c r="H602" s="18" t="inlineStr">
        <is>
          <t>steel</t>
        </is>
      </c>
      <c r="I602" s="18" t="inlineStr">
        <is>
          <t>예</t>
        </is>
      </c>
      <c r="J602" s="18" t="inlineStr">
        <is>
          <t>예</t>
        </is>
      </c>
      <c r="K602" s="18" t="inlineStr">
        <is>
          <t>예</t>
        </is>
      </c>
      <c r="L602" s="18" t="inlineStr">
        <is>
          <t>COBBLEVERSE 수정</t>
        </is>
      </c>
      <c r="M602" s="18">
        <f>COUNTIF('스폰_편집'!$D$5:$D$3125,A602)</f>
        <v/>
      </c>
      <c r="N602" s="18">
        <f>COUNTIFS('스폰_편집'!$D$5:$D$3125,A602,'스폰_편집'!$B$5:$B$3125,"사용")</f>
        <v/>
      </c>
      <c r="O602" s="18" t="n">
        <v>2</v>
      </c>
      <c r="P602" s="18" t="inlineStr">
        <is>
          <t>#cobblemon:is_lush; #cobblemon:is_overworld</t>
        </is>
      </c>
      <c r="Q602" s="18" t="inlineStr">
        <is>
          <t>common</t>
        </is>
      </c>
      <c r="R602" s="18" t="inlineStr">
        <is>
          <t>region_01; region_02</t>
        </is>
      </c>
      <c r="S602" s="18" t="inlineStr">
        <is>
          <t>cobbleventure:generation_5</t>
        </is>
      </c>
      <c r="T602" s="18">
        <f>IF(M602=0,"없음",IF(N602=0,"전부 제외","사용"))</f>
        <v/>
      </c>
      <c r="U602" s="18" t="inlineStr"/>
    </row>
    <row r="603" ht="30" customHeight="1">
      <c r="A603" s="18" t="n">
        <v>599</v>
      </c>
      <c r="B603" s="18" t="inlineStr">
        <is>
          <t>기어르</t>
        </is>
      </c>
      <c r="C603" s="18" t="inlineStr">
        <is>
          <t>klink</t>
        </is>
      </c>
      <c r="D603" s="18" t="inlineStr">
        <is>
          <t>Klink</t>
        </is>
      </c>
      <c r="E603" s="18" t="n">
        <v>5</v>
      </c>
      <c r="F603" s="18" t="inlineStr">
        <is>
          <t>generation5</t>
        </is>
      </c>
      <c r="G603" s="18" t="inlineStr">
        <is>
          <t>steel</t>
        </is>
      </c>
      <c r="H603" s="18" t="inlineStr"/>
      <c r="I603" s="18" t="inlineStr">
        <is>
          <t>예</t>
        </is>
      </c>
      <c r="J603" s="18" t="inlineStr">
        <is>
          <t>예</t>
        </is>
      </c>
      <c r="K603" s="18" t="inlineStr">
        <is>
          <t>예</t>
        </is>
      </c>
      <c r="L603" s="18" t="inlineStr">
        <is>
          <t>COBBLEVERSE 수정</t>
        </is>
      </c>
      <c r="M603" s="18">
        <f>COUNTIF('스폰_편집'!$D$5:$D$3125,A603)</f>
        <v/>
      </c>
      <c r="N603" s="18">
        <f>COUNTIFS('스폰_편집'!$D$5:$D$3125,A603,'스폰_편집'!$B$5:$B$3125,"사용")</f>
        <v/>
      </c>
      <c r="O603" s="18" t="n">
        <v>2</v>
      </c>
      <c r="P603" s="18" t="inlineStr">
        <is>
          <t>#cobblemon:is_badlands; #cobblemon:is_cave</t>
        </is>
      </c>
      <c r="Q603" s="18" t="inlineStr">
        <is>
          <t>common</t>
        </is>
      </c>
      <c r="R603" s="18" t="inlineStr"/>
      <c r="S603" s="18" t="inlineStr">
        <is>
          <t>cobbleventure:generation_5</t>
        </is>
      </c>
      <c r="T603" s="18">
        <f>IF(M603=0,"없음",IF(N603=0,"전부 제외","사용"))</f>
        <v/>
      </c>
      <c r="U603" s="18" t="inlineStr"/>
    </row>
    <row r="604" ht="30" customHeight="1">
      <c r="A604" s="18" t="n">
        <v>600</v>
      </c>
      <c r="B604" s="18" t="inlineStr">
        <is>
          <t>기기어르</t>
        </is>
      </c>
      <c r="C604" s="18" t="inlineStr">
        <is>
          <t>klang</t>
        </is>
      </c>
      <c r="D604" s="18" t="inlineStr">
        <is>
          <t>Klang</t>
        </is>
      </c>
      <c r="E604" s="18" t="n">
        <v>5</v>
      </c>
      <c r="F604" s="18" t="inlineStr">
        <is>
          <t>generation5</t>
        </is>
      </c>
      <c r="G604" s="18" t="inlineStr">
        <is>
          <t>steel</t>
        </is>
      </c>
      <c r="H604" s="18" t="inlineStr"/>
      <c r="I604" s="18" t="inlineStr">
        <is>
          <t>예</t>
        </is>
      </c>
      <c r="J604" s="18" t="inlineStr">
        <is>
          <t>예</t>
        </is>
      </c>
      <c r="K604" s="18" t="inlineStr">
        <is>
          <t>예</t>
        </is>
      </c>
      <c r="L604" s="18" t="inlineStr">
        <is>
          <t>COBBLEVERSE 수정</t>
        </is>
      </c>
      <c r="M604" s="18">
        <f>COUNTIF('스폰_편집'!$D$5:$D$3125,A604)</f>
        <v/>
      </c>
      <c r="N604" s="18">
        <f>COUNTIFS('스폰_편집'!$D$5:$D$3125,A604,'스폰_편집'!$B$5:$B$3125,"사용")</f>
        <v/>
      </c>
      <c r="O604" s="18" t="n">
        <v>2</v>
      </c>
      <c r="P604" s="18" t="inlineStr">
        <is>
          <t>#cobblemon:is_badlands; #cobblemon:is_cave</t>
        </is>
      </c>
      <c r="Q604" s="18" t="inlineStr">
        <is>
          <t>common</t>
        </is>
      </c>
      <c r="R604" s="18" t="inlineStr"/>
      <c r="S604" s="18" t="inlineStr">
        <is>
          <t>cobbleventure:generation_5</t>
        </is>
      </c>
      <c r="T604" s="18">
        <f>IF(M604=0,"없음",IF(N604=0,"전부 제외","사용"))</f>
        <v/>
      </c>
      <c r="U604" s="18" t="inlineStr"/>
    </row>
    <row r="605" ht="30" customHeight="1">
      <c r="A605" s="18" t="n">
        <v>601</v>
      </c>
      <c r="B605" s="18" t="inlineStr">
        <is>
          <t>기기기어르</t>
        </is>
      </c>
      <c r="C605" s="18" t="inlineStr">
        <is>
          <t>klinklang</t>
        </is>
      </c>
      <c r="D605" s="18" t="inlineStr">
        <is>
          <t>Klinklang</t>
        </is>
      </c>
      <c r="E605" s="18" t="n">
        <v>5</v>
      </c>
      <c r="F605" s="18" t="inlineStr">
        <is>
          <t>generation5</t>
        </is>
      </c>
      <c r="G605" s="18" t="inlineStr">
        <is>
          <t>steel</t>
        </is>
      </c>
      <c r="H605" s="18" t="inlineStr"/>
      <c r="I605" s="18" t="inlineStr">
        <is>
          <t>예</t>
        </is>
      </c>
      <c r="J605" s="18" t="inlineStr">
        <is>
          <t>예</t>
        </is>
      </c>
      <c r="K605" s="18" t="inlineStr">
        <is>
          <t>예</t>
        </is>
      </c>
      <c r="L605" s="18" t="inlineStr">
        <is>
          <t>COBBLEVERSE 수정</t>
        </is>
      </c>
      <c r="M605" s="18">
        <f>COUNTIF('스폰_편집'!$D$5:$D$3125,A605)</f>
        <v/>
      </c>
      <c r="N605" s="18">
        <f>COUNTIFS('스폰_편집'!$D$5:$D$3125,A605,'스폰_편집'!$B$5:$B$3125,"사용")</f>
        <v/>
      </c>
      <c r="O605" s="18" t="n">
        <v>2</v>
      </c>
      <c r="P605" s="18" t="inlineStr">
        <is>
          <t>#cobblemon:is_badlands; #cobblemon:is_cave</t>
        </is>
      </c>
      <c r="Q605" s="18" t="inlineStr">
        <is>
          <t>common</t>
        </is>
      </c>
      <c r="R605" s="18" t="inlineStr"/>
      <c r="S605" s="18" t="inlineStr">
        <is>
          <t>cobbleventure:generation_5</t>
        </is>
      </c>
      <c r="T605" s="18">
        <f>IF(M605=0,"없음",IF(N605=0,"전부 제외","사용"))</f>
        <v/>
      </c>
      <c r="U605" s="18" t="inlineStr"/>
    </row>
    <row r="606" ht="30" customHeight="1">
      <c r="A606" s="18" t="n">
        <v>602</v>
      </c>
      <c r="B606" s="18" t="inlineStr">
        <is>
          <t>저리어</t>
        </is>
      </c>
      <c r="C606" s="18" t="inlineStr">
        <is>
          <t>tynamo</t>
        </is>
      </c>
      <c r="D606" s="18" t="inlineStr">
        <is>
          <t>Tynamo</t>
        </is>
      </c>
      <c r="E606" s="18" t="n">
        <v>5</v>
      </c>
      <c r="F606" s="18" t="inlineStr">
        <is>
          <t>generation5</t>
        </is>
      </c>
      <c r="G606" s="18" t="inlineStr">
        <is>
          <t>electric</t>
        </is>
      </c>
      <c r="H606" s="18" t="inlineStr"/>
      <c r="I606" s="18" t="inlineStr">
        <is>
          <t>예</t>
        </is>
      </c>
      <c r="J606" s="18" t="inlineStr">
        <is>
          <t>예</t>
        </is>
      </c>
      <c r="K606" s="18" t="inlineStr">
        <is>
          <t>예</t>
        </is>
      </c>
      <c r="L606" s="18" t="inlineStr">
        <is>
          <t>Cobblemon 동일</t>
        </is>
      </c>
      <c r="M606" s="18">
        <f>COUNTIF('스폰_편집'!$D$5:$D$3125,A606)</f>
        <v/>
      </c>
      <c r="N606" s="18">
        <f>COUNTIFS('스폰_편집'!$D$5:$D$3125,A606,'스폰_편집'!$B$5:$B$3125,"사용")</f>
        <v/>
      </c>
      <c r="O606" s="18" t="n">
        <v>2</v>
      </c>
      <c r="P606" s="18" t="inlineStr">
        <is>
          <t>#cobblemon:is_ocean; #cobblemon:is_overworld</t>
        </is>
      </c>
      <c r="Q606" s="18" t="inlineStr">
        <is>
          <t>common; uncommon</t>
        </is>
      </c>
      <c r="R606" s="18" t="inlineStr">
        <is>
          <t>region_01; region_02</t>
        </is>
      </c>
      <c r="S606" s="18" t="inlineStr">
        <is>
          <t>cobbleventure:generation_5</t>
        </is>
      </c>
      <c r="T606" s="18">
        <f>IF(M606=0,"없음",IF(N606=0,"전부 제외","사용"))</f>
        <v/>
      </c>
      <c r="U606" s="18" t="inlineStr"/>
    </row>
    <row r="607" ht="30" customHeight="1">
      <c r="A607" s="18" t="n">
        <v>603</v>
      </c>
      <c r="B607" s="18" t="inlineStr">
        <is>
          <t>저리릴</t>
        </is>
      </c>
      <c r="C607" s="18" t="inlineStr">
        <is>
          <t>eelektrik</t>
        </is>
      </c>
      <c r="D607" s="18" t="inlineStr">
        <is>
          <t>Eelektrik</t>
        </is>
      </c>
      <c r="E607" s="18" t="n">
        <v>5</v>
      </c>
      <c r="F607" s="18" t="inlineStr">
        <is>
          <t>generation5</t>
        </is>
      </c>
      <c r="G607" s="18" t="inlineStr">
        <is>
          <t>electric</t>
        </is>
      </c>
      <c r="H607" s="18" t="inlineStr"/>
      <c r="I607" s="18" t="inlineStr">
        <is>
          <t>예</t>
        </is>
      </c>
      <c r="J607" s="18" t="inlineStr">
        <is>
          <t>예</t>
        </is>
      </c>
      <c r="K607" s="18" t="inlineStr">
        <is>
          <t>예</t>
        </is>
      </c>
      <c r="L607" s="18" t="inlineStr">
        <is>
          <t>Cobblemon 동일</t>
        </is>
      </c>
      <c r="M607" s="18">
        <f>COUNTIF('스폰_편집'!$D$5:$D$3125,A607)</f>
        <v/>
      </c>
      <c r="N607" s="18">
        <f>COUNTIFS('스폰_편집'!$D$5:$D$3125,A607,'스폰_편집'!$B$5:$B$3125,"사용")</f>
        <v/>
      </c>
      <c r="O607" s="18" t="n">
        <v>2</v>
      </c>
      <c r="P607" s="18" t="inlineStr">
        <is>
          <t>#cobblemon:is_ocean; #cobblemon:is_overworld</t>
        </is>
      </c>
      <c r="Q607" s="18" t="inlineStr">
        <is>
          <t>common; uncommon</t>
        </is>
      </c>
      <c r="R607" s="18" t="inlineStr">
        <is>
          <t>region_01; region_02</t>
        </is>
      </c>
      <c r="S607" s="18" t="inlineStr">
        <is>
          <t>cobbleventure:generation_5</t>
        </is>
      </c>
      <c r="T607" s="18">
        <f>IF(M607=0,"없음",IF(N607=0,"전부 제외","사용"))</f>
        <v/>
      </c>
      <c r="U607" s="18" t="inlineStr"/>
    </row>
    <row r="608" ht="30" customHeight="1">
      <c r="A608" s="18" t="n">
        <v>604</v>
      </c>
      <c r="B608" s="18" t="inlineStr">
        <is>
          <t>저리더프</t>
        </is>
      </c>
      <c r="C608" s="18" t="inlineStr">
        <is>
          <t>eelektross</t>
        </is>
      </c>
      <c r="D608" s="18" t="inlineStr">
        <is>
          <t>Eelektross</t>
        </is>
      </c>
      <c r="E608" s="18" t="n">
        <v>5</v>
      </c>
      <c r="F608" s="18" t="inlineStr">
        <is>
          <t>generation5</t>
        </is>
      </c>
      <c r="G608" s="18" t="inlineStr">
        <is>
          <t>electric</t>
        </is>
      </c>
      <c r="H608" s="18" t="inlineStr"/>
      <c r="I608" s="18" t="inlineStr">
        <is>
          <t>예</t>
        </is>
      </c>
      <c r="J608" s="18" t="inlineStr">
        <is>
          <t>예</t>
        </is>
      </c>
      <c r="K608" s="18" t="inlineStr">
        <is>
          <t>예</t>
        </is>
      </c>
      <c r="L608" s="18" t="inlineStr">
        <is>
          <t>Cobblemon 동일</t>
        </is>
      </c>
      <c r="M608" s="18">
        <f>COUNTIF('스폰_편집'!$D$5:$D$3125,A608)</f>
        <v/>
      </c>
      <c r="N608" s="18">
        <f>COUNTIFS('스폰_편집'!$D$5:$D$3125,A608,'스폰_편집'!$B$5:$B$3125,"사용")</f>
        <v/>
      </c>
      <c r="O608" s="18" t="n">
        <v>2</v>
      </c>
      <c r="P608" s="18" t="inlineStr">
        <is>
          <t>#cobblemon:is_ocean; #cobblemon:is_overworld</t>
        </is>
      </c>
      <c r="Q608" s="18" t="inlineStr">
        <is>
          <t>common; uncommon</t>
        </is>
      </c>
      <c r="R608" s="18" t="inlineStr">
        <is>
          <t>region_01; region_02</t>
        </is>
      </c>
      <c r="S608" s="18" t="inlineStr">
        <is>
          <t>cobbleventure:generation_5</t>
        </is>
      </c>
      <c r="T608" s="18">
        <f>IF(M608=0,"없음",IF(N608=0,"전부 제외","사용"))</f>
        <v/>
      </c>
      <c r="U608" s="18" t="inlineStr"/>
    </row>
    <row r="609" ht="30" customHeight="1">
      <c r="A609" s="18" t="n">
        <v>605</v>
      </c>
      <c r="B609" s="18" t="inlineStr">
        <is>
          <t>리그레</t>
        </is>
      </c>
      <c r="C609" s="18" t="inlineStr">
        <is>
          <t>elgyem</t>
        </is>
      </c>
      <c r="D609" s="18" t="inlineStr">
        <is>
          <t>Elgyem</t>
        </is>
      </c>
      <c r="E609" s="18" t="n">
        <v>5</v>
      </c>
      <c r="F609" s="18" t="inlineStr">
        <is>
          <t>generation5</t>
        </is>
      </c>
      <c r="G609" s="18" t="inlineStr">
        <is>
          <t>psychic</t>
        </is>
      </c>
      <c r="H609" s="18" t="inlineStr"/>
      <c r="I609" s="18" t="inlineStr">
        <is>
          <t>예</t>
        </is>
      </c>
      <c r="J609" s="18" t="inlineStr">
        <is>
          <t>예</t>
        </is>
      </c>
      <c r="K609" s="18" t="inlineStr">
        <is>
          <t>예</t>
        </is>
      </c>
      <c r="L609" s="18" t="inlineStr">
        <is>
          <t>COBBLEVERSE 수정</t>
        </is>
      </c>
      <c r="M609" s="18">
        <f>COUNTIF('스폰_편집'!$D$5:$D$3125,A609)</f>
        <v/>
      </c>
      <c r="N609" s="18">
        <f>COUNTIFS('스폰_편집'!$D$5:$D$3125,A609,'스폰_편집'!$B$5:$B$3125,"사용")</f>
        <v/>
      </c>
      <c r="O609" s="18" t="n">
        <v>2</v>
      </c>
      <c r="P609" s="18" t="inlineStr">
        <is>
          <t>#cobblemon:is_end; the_bumblezone:howling_constructs</t>
        </is>
      </c>
      <c r="Q609" s="18" t="inlineStr">
        <is>
          <t>common; uncommon</t>
        </is>
      </c>
      <c r="R609" s="18" t="inlineStr"/>
      <c r="S609" s="18" t="inlineStr">
        <is>
          <t>cobbleventure:generation_5</t>
        </is>
      </c>
      <c r="T609" s="18">
        <f>IF(M609=0,"없음",IF(N609=0,"전부 제외","사용"))</f>
        <v/>
      </c>
      <c r="U609" s="18" t="inlineStr"/>
    </row>
    <row r="610" ht="30" customHeight="1">
      <c r="A610" s="18" t="n">
        <v>606</v>
      </c>
      <c r="B610" s="18" t="inlineStr">
        <is>
          <t>벰크</t>
        </is>
      </c>
      <c r="C610" s="18" t="inlineStr">
        <is>
          <t>beheeyem</t>
        </is>
      </c>
      <c r="D610" s="18" t="inlineStr">
        <is>
          <t>Beheeyem</t>
        </is>
      </c>
      <c r="E610" s="18" t="n">
        <v>5</v>
      </c>
      <c r="F610" s="18" t="inlineStr">
        <is>
          <t>generation5</t>
        </is>
      </c>
      <c r="G610" s="18" t="inlineStr">
        <is>
          <t>psychic</t>
        </is>
      </c>
      <c r="H610" s="18" t="inlineStr"/>
      <c r="I610" s="18" t="inlineStr">
        <is>
          <t>예</t>
        </is>
      </c>
      <c r="J610" s="18" t="inlineStr">
        <is>
          <t>예</t>
        </is>
      </c>
      <c r="K610" s="18" t="inlineStr">
        <is>
          <t>예</t>
        </is>
      </c>
      <c r="L610" s="18" t="inlineStr">
        <is>
          <t>COBBLEVERSE 수정</t>
        </is>
      </c>
      <c r="M610" s="18">
        <f>COUNTIF('스폰_편집'!$D$5:$D$3125,A610)</f>
        <v/>
      </c>
      <c r="N610" s="18">
        <f>COUNTIFS('스폰_편집'!$D$5:$D$3125,A610,'스폰_편집'!$B$5:$B$3125,"사용")</f>
        <v/>
      </c>
      <c r="O610" s="18" t="n">
        <v>2</v>
      </c>
      <c r="P610" s="18" t="inlineStr">
        <is>
          <t>#cobblemon:is_end; the_bumblezone:howling_constructs</t>
        </is>
      </c>
      <c r="Q610" s="18" t="inlineStr">
        <is>
          <t>common; uncommon</t>
        </is>
      </c>
      <c r="R610" s="18" t="inlineStr"/>
      <c r="S610" s="18" t="inlineStr">
        <is>
          <t>cobbleventure:generation_5</t>
        </is>
      </c>
      <c r="T610" s="18">
        <f>IF(M610=0,"없음",IF(N610=0,"전부 제외","사용"))</f>
        <v/>
      </c>
      <c r="U610" s="18" t="inlineStr"/>
    </row>
    <row r="611" ht="30" customHeight="1">
      <c r="A611" s="18" t="n">
        <v>607</v>
      </c>
      <c r="B611" s="18" t="inlineStr">
        <is>
          <t>불켜미</t>
        </is>
      </c>
      <c r="C611" s="18" t="inlineStr">
        <is>
          <t>litwick</t>
        </is>
      </c>
      <c r="D611" s="18" t="inlineStr">
        <is>
          <t>Litwick</t>
        </is>
      </c>
      <c r="E611" s="18" t="n">
        <v>5</v>
      </c>
      <c r="F611" s="18" t="inlineStr">
        <is>
          <t>generation5</t>
        </is>
      </c>
      <c r="G611" s="18" t="inlineStr">
        <is>
          <t>ghost</t>
        </is>
      </c>
      <c r="H611" s="18" t="inlineStr">
        <is>
          <t>fire</t>
        </is>
      </c>
      <c r="I611" s="18" t="inlineStr">
        <is>
          <t>예</t>
        </is>
      </c>
      <c r="J611" s="18" t="inlineStr">
        <is>
          <t>예</t>
        </is>
      </c>
      <c r="K611" s="18" t="inlineStr">
        <is>
          <t>예</t>
        </is>
      </c>
      <c r="L611" s="18" t="inlineStr">
        <is>
          <t>Cobblemon 동일</t>
        </is>
      </c>
      <c r="M611" s="18">
        <f>COUNTIF('스폰_편집'!$D$5:$D$3125,A611)</f>
        <v/>
      </c>
      <c r="N611" s="18">
        <f>COUNTIFS('스폰_편집'!$D$5:$D$3125,A611,'스폰_편집'!$B$5:$B$3125,"사용")</f>
        <v/>
      </c>
      <c r="O611" s="18" t="n">
        <v>2</v>
      </c>
      <c r="P611" s="18" t="inlineStr">
        <is>
          <t>#cobblemon:is_overworld; #cobblemon:nether/is_soul_fire</t>
        </is>
      </c>
      <c r="Q611" s="18" t="inlineStr">
        <is>
          <t>common</t>
        </is>
      </c>
      <c r="R611" s="18" t="inlineStr">
        <is>
          <t>region_01; region_02</t>
        </is>
      </c>
      <c r="S611" s="18" t="inlineStr">
        <is>
          <t>cobbleventure:generation_5</t>
        </is>
      </c>
      <c r="T611" s="18">
        <f>IF(M611=0,"없음",IF(N611=0,"전부 제외","사용"))</f>
        <v/>
      </c>
      <c r="U611" s="18" t="inlineStr"/>
    </row>
    <row r="612" ht="30" customHeight="1">
      <c r="A612" s="18" t="n">
        <v>608</v>
      </c>
      <c r="B612" s="18" t="inlineStr">
        <is>
          <t>램프라</t>
        </is>
      </c>
      <c r="C612" s="18" t="inlineStr">
        <is>
          <t>lampent</t>
        </is>
      </c>
      <c r="D612" s="18" t="inlineStr">
        <is>
          <t>Lampent</t>
        </is>
      </c>
      <c r="E612" s="18" t="n">
        <v>5</v>
      </c>
      <c r="F612" s="18" t="inlineStr">
        <is>
          <t>generation5</t>
        </is>
      </c>
      <c r="G612" s="18" t="inlineStr">
        <is>
          <t>ghost</t>
        </is>
      </c>
      <c r="H612" s="18" t="inlineStr">
        <is>
          <t>fire</t>
        </is>
      </c>
      <c r="I612" s="18" t="inlineStr">
        <is>
          <t>예</t>
        </is>
      </c>
      <c r="J612" s="18" t="inlineStr">
        <is>
          <t>예</t>
        </is>
      </c>
      <c r="K612" s="18" t="inlineStr">
        <is>
          <t>예</t>
        </is>
      </c>
      <c r="L612" s="18" t="inlineStr">
        <is>
          <t>Cobblemon 동일</t>
        </is>
      </c>
      <c r="M612" s="18">
        <f>COUNTIF('스폰_편집'!$D$5:$D$3125,A612)</f>
        <v/>
      </c>
      <c r="N612" s="18">
        <f>COUNTIFS('스폰_편집'!$D$5:$D$3125,A612,'스폰_편집'!$B$5:$B$3125,"사용")</f>
        <v/>
      </c>
      <c r="O612" s="18" t="n">
        <v>2</v>
      </c>
      <c r="P612" s="18" t="inlineStr">
        <is>
          <t>#cobblemon:is_overworld; #cobblemon:nether/is_soul_fire</t>
        </is>
      </c>
      <c r="Q612" s="18" t="inlineStr">
        <is>
          <t>common</t>
        </is>
      </c>
      <c r="R612" s="18" t="inlineStr">
        <is>
          <t>region_01; region_02</t>
        </is>
      </c>
      <c r="S612" s="18" t="inlineStr">
        <is>
          <t>cobbleventure:generation_5</t>
        </is>
      </c>
      <c r="T612" s="18">
        <f>IF(M612=0,"없음",IF(N612=0,"전부 제외","사용"))</f>
        <v/>
      </c>
      <c r="U612" s="18" t="inlineStr"/>
    </row>
    <row r="613" ht="30" customHeight="1">
      <c r="A613" s="18" t="n">
        <v>609</v>
      </c>
      <c r="B613" s="18" t="inlineStr">
        <is>
          <t>샹델라</t>
        </is>
      </c>
      <c r="C613" s="18" t="inlineStr">
        <is>
          <t>chandelure</t>
        </is>
      </c>
      <c r="D613" s="18" t="inlineStr">
        <is>
          <t>Chandelure</t>
        </is>
      </c>
      <c r="E613" s="18" t="n">
        <v>5</v>
      </c>
      <c r="F613" s="18" t="inlineStr">
        <is>
          <t>generation5</t>
        </is>
      </c>
      <c r="G613" s="18" t="inlineStr">
        <is>
          <t>ghost</t>
        </is>
      </c>
      <c r="H613" s="18" t="inlineStr">
        <is>
          <t>fire</t>
        </is>
      </c>
      <c r="I613" s="18" t="inlineStr">
        <is>
          <t>예</t>
        </is>
      </c>
      <c r="J613" s="18" t="inlineStr">
        <is>
          <t>예</t>
        </is>
      </c>
      <c r="K613" s="18" t="inlineStr">
        <is>
          <t>예</t>
        </is>
      </c>
      <c r="L613" s="18" t="inlineStr">
        <is>
          <t>Cobblemon 동일</t>
        </is>
      </c>
      <c r="M613" s="18">
        <f>COUNTIF('스폰_편집'!$D$5:$D$3125,A613)</f>
        <v/>
      </c>
      <c r="N613" s="18">
        <f>COUNTIFS('스폰_편집'!$D$5:$D$3125,A613,'스폰_편집'!$B$5:$B$3125,"사용")</f>
        <v/>
      </c>
      <c r="O613" s="18" t="n">
        <v>2</v>
      </c>
      <c r="P613" s="18" t="inlineStr">
        <is>
          <t>#cobblemon:is_overworld; #cobblemon:nether/is_soul_fire</t>
        </is>
      </c>
      <c r="Q613" s="18" t="inlineStr">
        <is>
          <t>common</t>
        </is>
      </c>
      <c r="R613" s="18" t="inlineStr">
        <is>
          <t>region_01; region_02</t>
        </is>
      </c>
      <c r="S613" s="18" t="inlineStr">
        <is>
          <t>cobbleventure:generation_5</t>
        </is>
      </c>
      <c r="T613" s="18">
        <f>IF(M613=0,"없음",IF(N613=0,"전부 제외","사용"))</f>
        <v/>
      </c>
      <c r="U613" s="18" t="inlineStr"/>
    </row>
    <row r="614" ht="30" customHeight="1">
      <c r="A614" s="18" t="n">
        <v>610</v>
      </c>
      <c r="B614" s="18" t="inlineStr">
        <is>
          <t>터검니</t>
        </is>
      </c>
      <c r="C614" s="18" t="inlineStr">
        <is>
          <t>axew</t>
        </is>
      </c>
      <c r="D614" s="18" t="inlineStr">
        <is>
          <t>Axew</t>
        </is>
      </c>
      <c r="E614" s="18" t="n">
        <v>5</v>
      </c>
      <c r="F614" s="18" t="inlineStr">
        <is>
          <t>generation5</t>
        </is>
      </c>
      <c r="G614" s="18" t="inlineStr">
        <is>
          <t>dragon</t>
        </is>
      </c>
      <c r="H614" s="18" t="inlineStr"/>
      <c r="I614" s="18" t="inlineStr">
        <is>
          <t>예</t>
        </is>
      </c>
      <c r="J614" s="18" t="inlineStr">
        <is>
          <t>예</t>
        </is>
      </c>
      <c r="K614" s="18" t="inlineStr">
        <is>
          <t>예</t>
        </is>
      </c>
      <c r="L614" s="18" t="inlineStr">
        <is>
          <t>Cobblemon 동일</t>
        </is>
      </c>
      <c r="M614" s="18">
        <f>COUNTIF('스폰_편집'!$D$5:$D$3125,A614)</f>
        <v/>
      </c>
      <c r="N614" s="18">
        <f>COUNTIFS('스폰_편집'!$D$5:$D$3125,A614,'스폰_편집'!$B$5:$B$3125,"사용")</f>
        <v/>
      </c>
      <c r="O614" s="18" t="n">
        <v>1</v>
      </c>
      <c r="P614" s="18" t="inlineStr">
        <is>
          <t>#cobblemon:is_mountain</t>
        </is>
      </c>
      <c r="Q614" s="18" t="inlineStr">
        <is>
          <t>ultra-rare</t>
        </is>
      </c>
      <c r="R614" s="18" t="inlineStr"/>
      <c r="S614" s="18" t="inlineStr">
        <is>
          <t>cobbleventure:generation_5</t>
        </is>
      </c>
      <c r="T614" s="18">
        <f>IF(M614=0,"없음",IF(N614=0,"전부 제외","사용"))</f>
        <v/>
      </c>
      <c r="U614" s="18" t="inlineStr"/>
    </row>
    <row r="615" ht="30" customHeight="1">
      <c r="A615" s="18" t="n">
        <v>611</v>
      </c>
      <c r="B615" s="18" t="inlineStr">
        <is>
          <t>액슨도</t>
        </is>
      </c>
      <c r="C615" s="18" t="inlineStr">
        <is>
          <t>fraxure</t>
        </is>
      </c>
      <c r="D615" s="18" t="inlineStr">
        <is>
          <t>Fraxure</t>
        </is>
      </c>
      <c r="E615" s="18" t="n">
        <v>5</v>
      </c>
      <c r="F615" s="18" t="inlineStr">
        <is>
          <t>generation5</t>
        </is>
      </c>
      <c r="G615" s="18" t="inlineStr">
        <is>
          <t>dragon</t>
        </is>
      </c>
      <c r="H615" s="18" t="inlineStr"/>
      <c r="I615" s="18" t="inlineStr">
        <is>
          <t>예</t>
        </is>
      </c>
      <c r="J615" s="18" t="inlineStr">
        <is>
          <t>예</t>
        </is>
      </c>
      <c r="K615" s="18" t="inlineStr">
        <is>
          <t>예</t>
        </is>
      </c>
      <c r="L615" s="18" t="inlineStr">
        <is>
          <t>Cobblemon 동일</t>
        </is>
      </c>
      <c r="M615" s="18">
        <f>COUNTIF('스폰_편집'!$D$5:$D$3125,A615)</f>
        <v/>
      </c>
      <c r="N615" s="18">
        <f>COUNTIFS('스폰_편집'!$D$5:$D$3125,A615,'스폰_편집'!$B$5:$B$3125,"사용")</f>
        <v/>
      </c>
      <c r="O615" s="18" t="n">
        <v>1</v>
      </c>
      <c r="P615" s="18" t="inlineStr">
        <is>
          <t>#cobblemon:is_mountain</t>
        </is>
      </c>
      <c r="Q615" s="18" t="inlineStr">
        <is>
          <t>ultra-rare</t>
        </is>
      </c>
      <c r="R615" s="18" t="inlineStr"/>
      <c r="S615" s="18" t="inlineStr">
        <is>
          <t>cobbleventure:generation_5</t>
        </is>
      </c>
      <c r="T615" s="18">
        <f>IF(M615=0,"없음",IF(N615=0,"전부 제외","사용"))</f>
        <v/>
      </c>
      <c r="U615" s="18" t="inlineStr"/>
    </row>
    <row r="616" ht="30" customHeight="1">
      <c r="A616" s="18" t="n">
        <v>612</v>
      </c>
      <c r="B616" s="18" t="inlineStr">
        <is>
          <t>액스라이즈</t>
        </is>
      </c>
      <c r="C616" s="18" t="inlineStr">
        <is>
          <t>haxorus</t>
        </is>
      </c>
      <c r="D616" s="18" t="inlineStr">
        <is>
          <t>Haxorus</t>
        </is>
      </c>
      <c r="E616" s="18" t="n">
        <v>5</v>
      </c>
      <c r="F616" s="18" t="inlineStr">
        <is>
          <t>generation5</t>
        </is>
      </c>
      <c r="G616" s="18" t="inlineStr">
        <is>
          <t>dragon</t>
        </is>
      </c>
      <c r="H616" s="18" t="inlineStr"/>
      <c r="I616" s="18" t="inlineStr">
        <is>
          <t>예</t>
        </is>
      </c>
      <c r="J616" s="18" t="inlineStr">
        <is>
          <t>예</t>
        </is>
      </c>
      <c r="K616" s="18" t="inlineStr">
        <is>
          <t>예</t>
        </is>
      </c>
      <c r="L616" s="18" t="inlineStr">
        <is>
          <t>Cobblemon 동일</t>
        </is>
      </c>
      <c r="M616" s="18">
        <f>COUNTIF('스폰_편집'!$D$5:$D$3125,A616)</f>
        <v/>
      </c>
      <c r="N616" s="18">
        <f>COUNTIFS('스폰_편집'!$D$5:$D$3125,A616,'스폰_편집'!$B$5:$B$3125,"사용")</f>
        <v/>
      </c>
      <c r="O616" s="18" t="n">
        <v>1</v>
      </c>
      <c r="P616" s="18" t="inlineStr">
        <is>
          <t>#cobblemon:is_mountain</t>
        </is>
      </c>
      <c r="Q616" s="18" t="inlineStr">
        <is>
          <t>ultra-rare</t>
        </is>
      </c>
      <c r="R616" s="18" t="inlineStr"/>
      <c r="S616" s="18" t="inlineStr">
        <is>
          <t>cobbleventure:generation_5</t>
        </is>
      </c>
      <c r="T616" s="18">
        <f>IF(M616=0,"없음",IF(N616=0,"전부 제외","사용"))</f>
        <v/>
      </c>
      <c r="U616" s="18" t="inlineStr"/>
    </row>
    <row r="617" ht="30" customHeight="1">
      <c r="A617" s="18" t="n">
        <v>613</v>
      </c>
      <c r="B617" s="18" t="inlineStr">
        <is>
          <t>코고미</t>
        </is>
      </c>
      <c r="C617" s="18" t="inlineStr">
        <is>
          <t>cubchoo</t>
        </is>
      </c>
      <c r="D617" s="18" t="inlineStr">
        <is>
          <t>Cubchoo</t>
        </is>
      </c>
      <c r="E617" s="18" t="n">
        <v>5</v>
      </c>
      <c r="F617" s="18" t="inlineStr">
        <is>
          <t>generation5</t>
        </is>
      </c>
      <c r="G617" s="18" t="inlineStr">
        <is>
          <t>ice</t>
        </is>
      </c>
      <c r="H617" s="18" t="inlineStr"/>
      <c r="I617" s="18" t="inlineStr">
        <is>
          <t>예</t>
        </is>
      </c>
      <c r="J617" s="18" t="inlineStr">
        <is>
          <t>예</t>
        </is>
      </c>
      <c r="K617" s="18" t="inlineStr">
        <is>
          <t>예</t>
        </is>
      </c>
      <c r="L617" s="18" t="inlineStr">
        <is>
          <t>Cobblemon 동일</t>
        </is>
      </c>
      <c r="M617" s="18">
        <f>COUNTIF('스폰_편집'!$D$5:$D$3125,A617)</f>
        <v/>
      </c>
      <c r="N617" s="18">
        <f>COUNTIFS('스폰_편집'!$D$5:$D$3125,A617,'스폰_편집'!$B$5:$B$3125,"사용")</f>
        <v/>
      </c>
      <c r="O617" s="18" t="n">
        <v>1</v>
      </c>
      <c r="P617" s="18" t="inlineStr">
        <is>
          <t>#cobblemon:is_frozen_ocean</t>
        </is>
      </c>
      <c r="Q617" s="18" t="inlineStr">
        <is>
          <t>common</t>
        </is>
      </c>
      <c r="R617" s="18" t="inlineStr"/>
      <c r="S617" s="18" t="inlineStr">
        <is>
          <t>cobbleventure:generation_5</t>
        </is>
      </c>
      <c r="T617" s="18">
        <f>IF(M617=0,"없음",IF(N617=0,"전부 제외","사용"))</f>
        <v/>
      </c>
      <c r="U617" s="18" t="inlineStr"/>
    </row>
    <row r="618" ht="30" customHeight="1">
      <c r="A618" s="18" t="n">
        <v>614</v>
      </c>
      <c r="B618" s="18" t="inlineStr">
        <is>
          <t>툰베어</t>
        </is>
      </c>
      <c r="C618" s="18" t="inlineStr">
        <is>
          <t>beartic</t>
        </is>
      </c>
      <c r="D618" s="18" t="inlineStr">
        <is>
          <t>Beartic</t>
        </is>
      </c>
      <c r="E618" s="18" t="n">
        <v>5</v>
      </c>
      <c r="F618" s="18" t="inlineStr">
        <is>
          <t>generation5</t>
        </is>
      </c>
      <c r="G618" s="18" t="inlineStr">
        <is>
          <t>ice</t>
        </is>
      </c>
      <c r="H618" s="18" t="inlineStr"/>
      <c r="I618" s="18" t="inlineStr">
        <is>
          <t>예</t>
        </is>
      </c>
      <c r="J618" s="18" t="inlineStr">
        <is>
          <t>예</t>
        </is>
      </c>
      <c r="K618" s="18" t="inlineStr">
        <is>
          <t>예</t>
        </is>
      </c>
      <c r="L618" s="18" t="inlineStr">
        <is>
          <t>Cobblemon 동일</t>
        </is>
      </c>
      <c r="M618" s="18">
        <f>COUNTIF('스폰_편집'!$D$5:$D$3125,A618)</f>
        <v/>
      </c>
      <c r="N618" s="18">
        <f>COUNTIFS('스폰_편집'!$D$5:$D$3125,A618,'스폰_편집'!$B$5:$B$3125,"사용")</f>
        <v/>
      </c>
      <c r="O618" s="18" t="n">
        <v>1</v>
      </c>
      <c r="P618" s="18" t="inlineStr">
        <is>
          <t>#cobblemon:is_frozen_ocean</t>
        </is>
      </c>
      <c r="Q618" s="18" t="inlineStr">
        <is>
          <t>common</t>
        </is>
      </c>
      <c r="R618" s="18" t="inlineStr"/>
      <c r="S618" s="18" t="inlineStr">
        <is>
          <t>cobbleventure:generation_5</t>
        </is>
      </c>
      <c r="T618" s="18">
        <f>IF(M618=0,"없음",IF(N618=0,"전부 제외","사용"))</f>
        <v/>
      </c>
      <c r="U618" s="18" t="inlineStr"/>
    </row>
    <row r="619" ht="30" customHeight="1">
      <c r="A619" s="18" t="n">
        <v>615</v>
      </c>
      <c r="B619" s="18" t="inlineStr">
        <is>
          <t>프리지오</t>
        </is>
      </c>
      <c r="C619" s="18" t="inlineStr">
        <is>
          <t>cryogonal</t>
        </is>
      </c>
      <c r="D619" s="18" t="inlineStr">
        <is>
          <t>Cryogonal</t>
        </is>
      </c>
      <c r="E619" s="18" t="n">
        <v>5</v>
      </c>
      <c r="F619" s="18" t="inlineStr">
        <is>
          <t>generation5</t>
        </is>
      </c>
      <c r="G619" s="18" t="inlineStr">
        <is>
          <t>ice</t>
        </is>
      </c>
      <c r="H619" s="18" t="inlineStr"/>
      <c r="I619" s="18" t="inlineStr">
        <is>
          <t>예</t>
        </is>
      </c>
      <c r="J619" s="18" t="inlineStr">
        <is>
          <t>예</t>
        </is>
      </c>
      <c r="K619" s="18" t="inlineStr">
        <is>
          <t>예</t>
        </is>
      </c>
      <c r="L619" s="18" t="inlineStr">
        <is>
          <t>Cobblemon 동일</t>
        </is>
      </c>
      <c r="M619" s="18">
        <f>COUNTIF('스폰_편집'!$D$5:$D$3125,A619)</f>
        <v/>
      </c>
      <c r="N619" s="18">
        <f>COUNTIFS('스폰_편집'!$D$5:$D$3125,A619,'스폰_편집'!$B$5:$B$3125,"사용")</f>
        <v/>
      </c>
      <c r="O619" s="18" t="n">
        <v>2</v>
      </c>
      <c r="P619" s="18" t="inlineStr">
        <is>
          <t>#cobblemon:is_freezing; #cobblemon:nether/is_frozen</t>
        </is>
      </c>
      <c r="Q619" s="18" t="inlineStr">
        <is>
          <t>common; uncommon</t>
        </is>
      </c>
      <c r="R619" s="18" t="inlineStr"/>
      <c r="S619" s="18" t="inlineStr">
        <is>
          <t>cobbleventure:generation_5</t>
        </is>
      </c>
      <c r="T619" s="18">
        <f>IF(M619=0,"없음",IF(N619=0,"전부 제외","사용"))</f>
        <v/>
      </c>
      <c r="U619" s="18" t="inlineStr"/>
    </row>
    <row r="620" ht="30" customHeight="1">
      <c r="A620" s="18" t="n">
        <v>616</v>
      </c>
      <c r="B620" s="18" t="inlineStr">
        <is>
          <t>쪼마리</t>
        </is>
      </c>
      <c r="C620" s="18" t="inlineStr">
        <is>
          <t>shelmet</t>
        </is>
      </c>
      <c r="D620" s="18" t="inlineStr">
        <is>
          <t>Shelmet</t>
        </is>
      </c>
      <c r="E620" s="18" t="n">
        <v>5</v>
      </c>
      <c r="F620" s="18" t="inlineStr">
        <is>
          <t>generation5</t>
        </is>
      </c>
      <c r="G620" s="18" t="inlineStr">
        <is>
          <t>bug</t>
        </is>
      </c>
      <c r="H620" s="18" t="inlineStr"/>
      <c r="I620" s="18" t="inlineStr">
        <is>
          <t>예</t>
        </is>
      </c>
      <c r="J620" s="18" t="inlineStr">
        <is>
          <t>예</t>
        </is>
      </c>
      <c r="K620" s="18" t="inlineStr">
        <is>
          <t>예</t>
        </is>
      </c>
      <c r="L620" s="18" t="inlineStr">
        <is>
          <t>Cobblemon 동일</t>
        </is>
      </c>
      <c r="M620" s="18">
        <f>COUNTIF('스폰_편집'!$D$5:$D$3125,A620)</f>
        <v/>
      </c>
      <c r="N620" s="18">
        <f>COUNTIFS('스폰_편집'!$D$5:$D$3125,A620,'스폰_편집'!$B$5:$B$3125,"사용")</f>
        <v/>
      </c>
      <c r="O620" s="18" t="n">
        <v>1</v>
      </c>
      <c r="P620" s="18" t="inlineStr">
        <is>
          <t>#cobblemon:is_swamp</t>
        </is>
      </c>
      <c r="Q620" s="18" t="inlineStr">
        <is>
          <t>common</t>
        </is>
      </c>
      <c r="R620" s="18" t="inlineStr">
        <is>
          <t>region_02</t>
        </is>
      </c>
      <c r="S620" s="18" t="inlineStr">
        <is>
          <t>cobbleventure:generation_5</t>
        </is>
      </c>
      <c r="T620" s="18">
        <f>IF(M620=0,"없음",IF(N620=0,"전부 제외","사용"))</f>
        <v/>
      </c>
      <c r="U620" s="18" t="inlineStr"/>
    </row>
    <row r="621" ht="30" customHeight="1">
      <c r="A621" s="18" t="n">
        <v>617</v>
      </c>
      <c r="B621" s="18" t="inlineStr">
        <is>
          <t>어지리더</t>
        </is>
      </c>
      <c r="C621" s="18" t="inlineStr">
        <is>
          <t>accelgor</t>
        </is>
      </c>
      <c r="D621" s="18" t="inlineStr">
        <is>
          <t>Accelgor</t>
        </is>
      </c>
      <c r="E621" s="18" t="n">
        <v>5</v>
      </c>
      <c r="F621" s="18" t="inlineStr">
        <is>
          <t>generation5</t>
        </is>
      </c>
      <c r="G621" s="18" t="inlineStr">
        <is>
          <t>bug</t>
        </is>
      </c>
      <c r="H621" s="18" t="inlineStr"/>
      <c r="I621" s="18" t="inlineStr">
        <is>
          <t>예</t>
        </is>
      </c>
      <c r="J621" s="18" t="inlineStr">
        <is>
          <t>예</t>
        </is>
      </c>
      <c r="K621" s="18" t="inlineStr">
        <is>
          <t>예</t>
        </is>
      </c>
      <c r="L621" s="18" t="inlineStr">
        <is>
          <t>Cobblemon 동일</t>
        </is>
      </c>
      <c r="M621" s="18">
        <f>COUNTIF('스폰_편집'!$D$5:$D$3125,A621)</f>
        <v/>
      </c>
      <c r="N621" s="18">
        <f>COUNTIFS('스폰_편집'!$D$5:$D$3125,A621,'스폰_편집'!$B$5:$B$3125,"사용")</f>
        <v/>
      </c>
      <c r="O621" s="18" t="n">
        <v>1</v>
      </c>
      <c r="P621" s="18" t="inlineStr">
        <is>
          <t>#cobblemon:is_swamp</t>
        </is>
      </c>
      <c r="Q621" s="18" t="inlineStr">
        <is>
          <t>common</t>
        </is>
      </c>
      <c r="R621" s="18" t="inlineStr">
        <is>
          <t>region_02</t>
        </is>
      </c>
      <c r="S621" s="18" t="inlineStr">
        <is>
          <t>cobbleventure:generation_5</t>
        </is>
      </c>
      <c r="T621" s="18">
        <f>IF(M621=0,"없음",IF(N621=0,"전부 제외","사용"))</f>
        <v/>
      </c>
      <c r="U621" s="18" t="inlineStr"/>
    </row>
    <row r="622" ht="30" customHeight="1">
      <c r="A622" s="18" t="n">
        <v>618</v>
      </c>
      <c r="B622" s="18" t="inlineStr">
        <is>
          <t>메더</t>
        </is>
      </c>
      <c r="C622" s="18" t="inlineStr">
        <is>
          <t>stunfisk</t>
        </is>
      </c>
      <c r="D622" s="18" t="inlineStr">
        <is>
          <t>Stunfisk</t>
        </is>
      </c>
      <c r="E622" s="18" t="n">
        <v>5</v>
      </c>
      <c r="F622" s="18" t="inlineStr">
        <is>
          <t>generation5</t>
        </is>
      </c>
      <c r="G622" s="18" t="inlineStr">
        <is>
          <t>ground</t>
        </is>
      </c>
      <c r="H622" s="18" t="inlineStr">
        <is>
          <t>electric</t>
        </is>
      </c>
      <c r="I622" s="18" t="inlineStr">
        <is>
          <t>예</t>
        </is>
      </c>
      <c r="J622" s="18" t="inlineStr">
        <is>
          <t>예</t>
        </is>
      </c>
      <c r="K622" s="18" t="inlineStr">
        <is>
          <t>예</t>
        </is>
      </c>
      <c r="L622" s="18" t="inlineStr">
        <is>
          <t>Cobblemon 동일</t>
        </is>
      </c>
      <c r="M622" s="18">
        <f>COUNTIF('스폰_편집'!$D$5:$D$3125,A622)</f>
        <v/>
      </c>
      <c r="N622" s="18">
        <f>COUNTIFS('스폰_편집'!$D$5:$D$3125,A622,'스폰_편집'!$B$5:$B$3125,"사용")</f>
        <v/>
      </c>
      <c r="O622" s="18" t="n">
        <v>3</v>
      </c>
      <c r="P622" s="18" t="inlineStr">
        <is>
          <t>#cobblemon:is_arid; #cobblemon:is_jungle; #cobblemon:is_swamp</t>
        </is>
      </c>
      <c r="Q622" s="18" t="inlineStr">
        <is>
          <t>common</t>
        </is>
      </c>
      <c r="R622" s="18" t="inlineStr">
        <is>
          <t>region_02</t>
        </is>
      </c>
      <c r="S622" s="18" t="inlineStr">
        <is>
          <t>cobbleventure:generation_5</t>
        </is>
      </c>
      <c r="T622" s="18">
        <f>IF(M622=0,"없음",IF(N622=0,"전부 제외","사용"))</f>
        <v/>
      </c>
      <c r="U622" s="18" t="inlineStr"/>
    </row>
    <row r="623" ht="30" customHeight="1">
      <c r="A623" s="18" t="n">
        <v>619</v>
      </c>
      <c r="B623" s="18" t="inlineStr">
        <is>
          <t>비조푸</t>
        </is>
      </c>
      <c r="C623" s="18" t="inlineStr">
        <is>
          <t>mienfoo</t>
        </is>
      </c>
      <c r="D623" s="18" t="inlineStr">
        <is>
          <t>Mienfoo</t>
        </is>
      </c>
      <c r="E623" s="18" t="n">
        <v>5</v>
      </c>
      <c r="F623" s="18" t="inlineStr">
        <is>
          <t>generation5</t>
        </is>
      </c>
      <c r="G623" s="18" t="inlineStr">
        <is>
          <t>fighting</t>
        </is>
      </c>
      <c r="H623" s="18" t="inlineStr"/>
      <c r="I623" s="18" t="inlineStr">
        <is>
          <t>예</t>
        </is>
      </c>
      <c r="J623" s="18" t="inlineStr">
        <is>
          <t>예</t>
        </is>
      </c>
      <c r="K623" s="18" t="inlineStr">
        <is>
          <t>예</t>
        </is>
      </c>
      <c r="L623" s="18" t="inlineStr">
        <is>
          <t>Cobblemon 동일</t>
        </is>
      </c>
      <c r="M623" s="18">
        <f>COUNTIF('스폰_편집'!$D$5:$D$3125,A623)</f>
        <v/>
      </c>
      <c r="N623" s="18">
        <f>COUNTIFS('스폰_편집'!$D$5:$D$3125,A623,'스폰_편집'!$B$5:$B$3125,"사용")</f>
        <v/>
      </c>
      <c r="O623" s="18" t="n">
        <v>1</v>
      </c>
      <c r="P623" s="18" t="inlineStr">
        <is>
          <t>#cobblemon:is_mountain</t>
        </is>
      </c>
      <c r="Q623" s="18" t="inlineStr">
        <is>
          <t>uncommon</t>
        </is>
      </c>
      <c r="R623" s="18" t="inlineStr"/>
      <c r="S623" s="18" t="inlineStr">
        <is>
          <t>cobbleventure:generation_5</t>
        </is>
      </c>
      <c r="T623" s="18">
        <f>IF(M623=0,"없음",IF(N623=0,"전부 제외","사용"))</f>
        <v/>
      </c>
      <c r="U623" s="18" t="inlineStr"/>
    </row>
    <row r="624" ht="30" customHeight="1">
      <c r="A624" s="18" t="n">
        <v>620</v>
      </c>
      <c r="B624" s="18" t="inlineStr">
        <is>
          <t>비조도</t>
        </is>
      </c>
      <c r="C624" s="18" t="inlineStr">
        <is>
          <t>mienshao</t>
        </is>
      </c>
      <c r="D624" s="18" t="inlineStr">
        <is>
          <t>Mienshao</t>
        </is>
      </c>
      <c r="E624" s="18" t="n">
        <v>5</v>
      </c>
      <c r="F624" s="18" t="inlineStr">
        <is>
          <t>generation5</t>
        </is>
      </c>
      <c r="G624" s="18" t="inlineStr">
        <is>
          <t>fighting</t>
        </is>
      </c>
      <c r="H624" s="18" t="inlineStr"/>
      <c r="I624" s="18" t="inlineStr">
        <is>
          <t>예</t>
        </is>
      </c>
      <c r="J624" s="18" t="inlineStr">
        <is>
          <t>예</t>
        </is>
      </c>
      <c r="K624" s="18" t="inlineStr">
        <is>
          <t>예</t>
        </is>
      </c>
      <c r="L624" s="18" t="inlineStr">
        <is>
          <t>Cobblemon 동일</t>
        </is>
      </c>
      <c r="M624" s="18">
        <f>COUNTIF('스폰_편집'!$D$5:$D$3125,A624)</f>
        <v/>
      </c>
      <c r="N624" s="18">
        <f>COUNTIFS('스폰_편집'!$D$5:$D$3125,A624,'스폰_편집'!$B$5:$B$3125,"사용")</f>
        <v/>
      </c>
      <c r="O624" s="18" t="n">
        <v>1</v>
      </c>
      <c r="P624" s="18" t="inlineStr">
        <is>
          <t>#cobblemon:is_mountain</t>
        </is>
      </c>
      <c r="Q624" s="18" t="inlineStr">
        <is>
          <t>uncommon</t>
        </is>
      </c>
      <c r="R624" s="18" t="inlineStr"/>
      <c r="S624" s="18" t="inlineStr">
        <is>
          <t>cobbleventure:generation_5</t>
        </is>
      </c>
      <c r="T624" s="18">
        <f>IF(M624=0,"없음",IF(N624=0,"전부 제외","사용"))</f>
        <v/>
      </c>
      <c r="U624" s="18" t="inlineStr"/>
    </row>
    <row r="625" ht="30" customHeight="1">
      <c r="A625" s="18" t="n">
        <v>621</v>
      </c>
      <c r="B625" s="18" t="inlineStr">
        <is>
          <t>크리만</t>
        </is>
      </c>
      <c r="C625" s="18" t="inlineStr">
        <is>
          <t>druddigon</t>
        </is>
      </c>
      <c r="D625" s="18" t="inlineStr">
        <is>
          <t>Druddigon</t>
        </is>
      </c>
      <c r="E625" s="18" t="n">
        <v>5</v>
      </c>
      <c r="F625" s="18" t="inlineStr">
        <is>
          <t>generation5</t>
        </is>
      </c>
      <c r="G625" s="18" t="inlineStr">
        <is>
          <t>dragon</t>
        </is>
      </c>
      <c r="H625" s="18" t="inlineStr"/>
      <c r="I625" s="18" t="inlineStr">
        <is>
          <t>예</t>
        </is>
      </c>
      <c r="J625" s="18" t="inlineStr">
        <is>
          <t>예</t>
        </is>
      </c>
      <c r="K625" s="18" t="inlineStr">
        <is>
          <t>예</t>
        </is>
      </c>
      <c r="L625" s="18" t="inlineStr">
        <is>
          <t>Cobblemon 동일</t>
        </is>
      </c>
      <c r="M625" s="18">
        <f>COUNTIF('스폰_편집'!$D$5:$D$3125,A625)</f>
        <v/>
      </c>
      <c r="N625" s="18">
        <f>COUNTIFS('스폰_편집'!$D$5:$D$3125,A625,'스폰_편집'!$B$5:$B$3125,"사용")</f>
        <v/>
      </c>
      <c r="O625" s="18" t="n">
        <v>2</v>
      </c>
      <c r="P625" s="18" t="inlineStr">
        <is>
          <t>#cobblemon:is_mountain; #cobblemon:is_overworld</t>
        </is>
      </c>
      <c r="Q625" s="18" t="inlineStr">
        <is>
          <t>rare; uncommon</t>
        </is>
      </c>
      <c r="R625" s="18" t="inlineStr">
        <is>
          <t>region_01; region_02</t>
        </is>
      </c>
      <c r="S625" s="18" t="inlineStr">
        <is>
          <t>cobbleventure:generation_5</t>
        </is>
      </c>
      <c r="T625" s="18">
        <f>IF(M625=0,"없음",IF(N625=0,"전부 제외","사용"))</f>
        <v/>
      </c>
      <c r="U625" s="18" t="inlineStr"/>
    </row>
    <row r="626" ht="30" customHeight="1">
      <c r="A626" s="18" t="n">
        <v>622</v>
      </c>
      <c r="B626" s="18" t="inlineStr">
        <is>
          <t>골비람</t>
        </is>
      </c>
      <c r="C626" s="18" t="inlineStr">
        <is>
          <t>golett</t>
        </is>
      </c>
      <c r="D626" s="18" t="inlineStr">
        <is>
          <t>Golett</t>
        </is>
      </c>
      <c r="E626" s="18" t="n">
        <v>5</v>
      </c>
      <c r="F626" s="18" t="inlineStr">
        <is>
          <t>generation5</t>
        </is>
      </c>
      <c r="G626" s="18" t="inlineStr">
        <is>
          <t>ground</t>
        </is>
      </c>
      <c r="H626" s="18" t="inlineStr">
        <is>
          <t>ghost</t>
        </is>
      </c>
      <c r="I626" s="18" t="inlineStr">
        <is>
          <t>예</t>
        </is>
      </c>
      <c r="J626" s="18" t="inlineStr">
        <is>
          <t>예</t>
        </is>
      </c>
      <c r="K626" s="18" t="inlineStr">
        <is>
          <t>예</t>
        </is>
      </c>
      <c r="L626" s="18" t="inlineStr">
        <is>
          <t>Cobblemon 동일</t>
        </is>
      </c>
      <c r="M626" s="18">
        <f>COUNTIF('스폰_편집'!$D$5:$D$3125,A626)</f>
        <v/>
      </c>
      <c r="N626" s="18">
        <f>COUNTIFS('스폰_편집'!$D$5:$D$3125,A626,'스폰_편집'!$B$5:$B$3125,"사용")</f>
        <v/>
      </c>
      <c r="O626" s="18" t="n">
        <v>5</v>
      </c>
      <c r="P626" s="18" t="inlineStr">
        <is>
          <t>#cobblemon:is_deep_dark; #cobblemon:is_desert; #cobblemon:is_jungle; #cobblemon:is_overworld; the_bumblezone:howling_constructs</t>
        </is>
      </c>
      <c r="Q626" s="18" t="inlineStr">
        <is>
          <t>common; rare; uncommon</t>
        </is>
      </c>
      <c r="R626" s="18" t="inlineStr">
        <is>
          <t>region_01; region_02</t>
        </is>
      </c>
      <c r="S626" s="18" t="inlineStr">
        <is>
          <t>cobbleventure:generation_5</t>
        </is>
      </c>
      <c r="T626" s="18">
        <f>IF(M626=0,"없음",IF(N626=0,"전부 제외","사용"))</f>
        <v/>
      </c>
      <c r="U626" s="18" t="inlineStr"/>
    </row>
    <row r="627" ht="30" customHeight="1">
      <c r="A627" s="18" t="n">
        <v>623</v>
      </c>
      <c r="B627" s="18" t="inlineStr">
        <is>
          <t>골루그</t>
        </is>
      </c>
      <c r="C627" s="18" t="inlineStr">
        <is>
          <t>golurk</t>
        </is>
      </c>
      <c r="D627" s="18" t="inlineStr">
        <is>
          <t>Golurk</t>
        </is>
      </c>
      <c r="E627" s="18" t="n">
        <v>5</v>
      </c>
      <c r="F627" s="18" t="inlineStr">
        <is>
          <t>generation5</t>
        </is>
      </c>
      <c r="G627" s="18" t="inlineStr">
        <is>
          <t>ground</t>
        </is>
      </c>
      <c r="H627" s="18" t="inlineStr">
        <is>
          <t>ghost</t>
        </is>
      </c>
      <c r="I627" s="18" t="inlineStr">
        <is>
          <t>예</t>
        </is>
      </c>
      <c r="J627" s="18" t="inlineStr">
        <is>
          <t>예</t>
        </is>
      </c>
      <c r="K627" s="18" t="inlineStr">
        <is>
          <t>예</t>
        </is>
      </c>
      <c r="L627" s="18" t="inlineStr">
        <is>
          <t>Cobblemon 동일</t>
        </is>
      </c>
      <c r="M627" s="18">
        <f>COUNTIF('스폰_편집'!$D$5:$D$3125,A627)</f>
        <v/>
      </c>
      <c r="N627" s="18">
        <f>COUNTIFS('스폰_편집'!$D$5:$D$3125,A627,'스폰_편집'!$B$5:$B$3125,"사용")</f>
        <v/>
      </c>
      <c r="O627" s="18" t="n">
        <v>5</v>
      </c>
      <c r="P627" s="18" t="inlineStr">
        <is>
          <t>#cobblemon:is_deep_dark; #cobblemon:is_desert; #cobblemon:is_jungle; #cobblemon:is_overworld; the_bumblezone:howling_constructs</t>
        </is>
      </c>
      <c r="Q627" s="18" t="inlineStr">
        <is>
          <t>common; rare; uncommon</t>
        </is>
      </c>
      <c r="R627" s="18" t="inlineStr">
        <is>
          <t>region_01; region_02</t>
        </is>
      </c>
      <c r="S627" s="18" t="inlineStr">
        <is>
          <t>cobbleventure:generation_5</t>
        </is>
      </c>
      <c r="T627" s="18">
        <f>IF(M627=0,"없음",IF(N627=0,"전부 제외","사용"))</f>
        <v/>
      </c>
      <c r="U627" s="18" t="inlineStr"/>
    </row>
    <row r="628" ht="30" customHeight="1">
      <c r="A628" s="18" t="n">
        <v>624</v>
      </c>
      <c r="B628" s="18" t="inlineStr">
        <is>
          <t>자망칼</t>
        </is>
      </c>
      <c r="C628" s="18" t="inlineStr">
        <is>
          <t>pawniard</t>
        </is>
      </c>
      <c r="D628" s="18" t="inlineStr">
        <is>
          <t>Pawniard</t>
        </is>
      </c>
      <c r="E628" s="18" t="n">
        <v>5</v>
      </c>
      <c r="F628" s="18" t="inlineStr">
        <is>
          <t>generation5</t>
        </is>
      </c>
      <c r="G628" s="18" t="inlineStr">
        <is>
          <t>dark</t>
        </is>
      </c>
      <c r="H628" s="18" t="inlineStr">
        <is>
          <t>steel</t>
        </is>
      </c>
      <c r="I628" s="18" t="inlineStr">
        <is>
          <t>아니오</t>
        </is>
      </c>
      <c r="J628" s="18" t="inlineStr">
        <is>
          <t>아니오</t>
        </is>
      </c>
      <c r="K628" s="18" t="inlineStr">
        <is>
          <t>예</t>
        </is>
      </c>
      <c r="L628" s="18" t="inlineStr">
        <is>
          <t>COBBLEVERSE 추가</t>
        </is>
      </c>
      <c r="M628" s="18">
        <f>COUNTIF('스폰_편집'!$D$5:$D$3125,A628)</f>
        <v/>
      </c>
      <c r="N628" s="18">
        <f>COUNTIFS('스폰_편집'!$D$5:$D$3125,A628,'스폰_편집'!$B$5:$B$3125,"사용")</f>
        <v/>
      </c>
      <c r="O628" s="18" t="n">
        <v>1</v>
      </c>
      <c r="P628" s="18" t="inlineStr">
        <is>
          <t>minecraft:bamboo_jungle</t>
        </is>
      </c>
      <c r="Q628" s="18" t="inlineStr">
        <is>
          <t>uncommon</t>
        </is>
      </c>
      <c r="R628" s="18" t="inlineStr"/>
      <c r="S628" s="18" t="inlineStr">
        <is>
          <t>cobbleventure:generation_5</t>
        </is>
      </c>
      <c r="T628" s="18">
        <f>IF(M628=0,"없음",IF(N628=0,"전부 제외","사용"))</f>
        <v/>
      </c>
      <c r="U628" s="18" t="inlineStr"/>
    </row>
    <row r="629" ht="30" customHeight="1">
      <c r="A629" s="18" t="n">
        <v>625</v>
      </c>
      <c r="B629" s="18" t="inlineStr">
        <is>
          <t>절각참</t>
        </is>
      </c>
      <c r="C629" s="18" t="inlineStr">
        <is>
          <t>bisharp</t>
        </is>
      </c>
      <c r="D629" s="18" t="inlineStr">
        <is>
          <t>Bisharp</t>
        </is>
      </c>
      <c r="E629" s="18" t="n">
        <v>5</v>
      </c>
      <c r="F629" s="18" t="inlineStr">
        <is>
          <t>generation5</t>
        </is>
      </c>
      <c r="G629" s="18" t="inlineStr">
        <is>
          <t>dark</t>
        </is>
      </c>
      <c r="H629" s="18" t="inlineStr">
        <is>
          <t>steel</t>
        </is>
      </c>
      <c r="I629" s="18" t="inlineStr">
        <is>
          <t>아니오</t>
        </is>
      </c>
      <c r="J629" s="18" t="inlineStr">
        <is>
          <t>아니오</t>
        </is>
      </c>
      <c r="K629" s="18" t="inlineStr">
        <is>
          <t>예</t>
        </is>
      </c>
      <c r="L629" s="18" t="inlineStr">
        <is>
          <t>COBBLEVERSE 추가</t>
        </is>
      </c>
      <c r="M629" s="18">
        <f>COUNTIF('스폰_편집'!$D$5:$D$3125,A629)</f>
        <v/>
      </c>
      <c r="N629" s="18">
        <f>COUNTIFS('스폰_편집'!$D$5:$D$3125,A629,'스폰_편집'!$B$5:$B$3125,"사용")</f>
        <v/>
      </c>
      <c r="O629" s="18" t="n">
        <v>1</v>
      </c>
      <c r="P629" s="18" t="inlineStr">
        <is>
          <t>minecraft:bamboo_jungle</t>
        </is>
      </c>
      <c r="Q629" s="18" t="inlineStr">
        <is>
          <t>rare</t>
        </is>
      </c>
      <c r="R629" s="18" t="inlineStr"/>
      <c r="S629" s="18" t="inlineStr">
        <is>
          <t>cobbleventure:generation_5</t>
        </is>
      </c>
      <c r="T629" s="18">
        <f>IF(M629=0,"없음",IF(N629=0,"전부 제외","사용"))</f>
        <v/>
      </c>
      <c r="U629" s="18" t="inlineStr"/>
    </row>
    <row r="630" ht="30" customHeight="1">
      <c r="A630" s="18" t="n">
        <v>626</v>
      </c>
      <c r="B630" s="18" t="inlineStr">
        <is>
          <t>버프론</t>
        </is>
      </c>
      <c r="C630" s="18" t="inlineStr">
        <is>
          <t>bouffalant</t>
        </is>
      </c>
      <c r="D630" s="18" t="inlineStr">
        <is>
          <t>Bouffalant</t>
        </is>
      </c>
      <c r="E630" s="18" t="n">
        <v>5</v>
      </c>
      <c r="F630" s="18" t="inlineStr">
        <is>
          <t>generation5</t>
        </is>
      </c>
      <c r="G630" s="18" t="inlineStr">
        <is>
          <t>normal</t>
        </is>
      </c>
      <c r="H630" s="18" t="inlineStr"/>
      <c r="I630" s="18" t="inlineStr">
        <is>
          <t>예</t>
        </is>
      </c>
      <c r="J630" s="18" t="inlineStr">
        <is>
          <t>예</t>
        </is>
      </c>
      <c r="K630" s="18" t="inlineStr">
        <is>
          <t>예</t>
        </is>
      </c>
      <c r="L630" s="18" t="inlineStr">
        <is>
          <t>Cobblemon 동일</t>
        </is>
      </c>
      <c r="M630" s="18">
        <f>COUNTIF('스폰_편집'!$D$5:$D$3125,A630)</f>
        <v/>
      </c>
      <c r="N630" s="18">
        <f>COUNTIFS('스폰_편집'!$D$5:$D$3125,A630,'스폰_편집'!$B$5:$B$3125,"사용")</f>
        <v/>
      </c>
      <c r="O630" s="18" t="n">
        <v>1</v>
      </c>
      <c r="P630" s="18" t="inlineStr">
        <is>
          <t>#cobblemon:is_plains</t>
        </is>
      </c>
      <c r="Q630" s="18" t="inlineStr">
        <is>
          <t>common</t>
        </is>
      </c>
      <c r="R630" s="18" t="inlineStr">
        <is>
          <t>region_01</t>
        </is>
      </c>
      <c r="S630" s="18" t="inlineStr">
        <is>
          <t>cobbleventure:generation_5</t>
        </is>
      </c>
      <c r="T630" s="18">
        <f>IF(M630=0,"없음",IF(N630=0,"전부 제외","사용"))</f>
        <v/>
      </c>
      <c r="U630" s="18" t="inlineStr"/>
    </row>
    <row r="631" ht="30" customHeight="1">
      <c r="A631" s="18" t="n">
        <v>627</v>
      </c>
      <c r="B631" s="18" t="inlineStr">
        <is>
          <t>수리둥보</t>
        </is>
      </c>
      <c r="C631" s="18" t="inlineStr">
        <is>
          <t>rufflet</t>
        </is>
      </c>
      <c r="D631" s="18" t="inlineStr">
        <is>
          <t>Rufflet</t>
        </is>
      </c>
      <c r="E631" s="18" t="n">
        <v>5</v>
      </c>
      <c r="F631" s="18" t="inlineStr">
        <is>
          <t>generation5</t>
        </is>
      </c>
      <c r="G631" s="18" t="inlineStr">
        <is>
          <t>normal</t>
        </is>
      </c>
      <c r="H631" s="18" t="inlineStr">
        <is>
          <t>flying</t>
        </is>
      </c>
      <c r="I631" s="18" t="inlineStr">
        <is>
          <t>예</t>
        </is>
      </c>
      <c r="J631" s="18" t="inlineStr">
        <is>
          <t>예</t>
        </is>
      </c>
      <c r="K631" s="18" t="inlineStr">
        <is>
          <t>예</t>
        </is>
      </c>
      <c r="L631" s="18" t="inlineStr">
        <is>
          <t>Cobblemon 동일</t>
        </is>
      </c>
      <c r="M631" s="18">
        <f>COUNTIF('스폰_편집'!$D$5:$D$3125,A631)</f>
        <v/>
      </c>
      <c r="N631" s="18">
        <f>COUNTIFS('스폰_편집'!$D$5:$D$3125,A631,'스폰_편집'!$B$5:$B$3125,"사용")</f>
        <v/>
      </c>
      <c r="O631" s="18" t="n">
        <v>4</v>
      </c>
      <c r="P631" s="18" t="inlineStr">
        <is>
          <t>#cobblemon:is_badlands; #cobblemon:is_hills; #cobblemon:is_mountain; #cobblemon:is_sky</t>
        </is>
      </c>
      <c r="Q631" s="18" t="inlineStr">
        <is>
          <t>common; uncommon</t>
        </is>
      </c>
      <c r="R631" s="18" t="inlineStr"/>
      <c r="S631" s="18" t="inlineStr">
        <is>
          <t>cobbleventure:generation_5</t>
        </is>
      </c>
      <c r="T631" s="18">
        <f>IF(M631=0,"없음",IF(N631=0,"전부 제외","사용"))</f>
        <v/>
      </c>
      <c r="U631" s="18" t="inlineStr"/>
    </row>
    <row r="632" ht="30" customHeight="1">
      <c r="A632" s="18" t="n">
        <v>628</v>
      </c>
      <c r="B632" s="18" t="inlineStr">
        <is>
          <t>워글</t>
        </is>
      </c>
      <c r="C632" s="18" t="inlineStr">
        <is>
          <t>braviary</t>
        </is>
      </c>
      <c r="D632" s="18" t="inlineStr">
        <is>
          <t>Braviary</t>
        </is>
      </c>
      <c r="E632" s="18" t="n">
        <v>5</v>
      </c>
      <c r="F632" s="18" t="inlineStr">
        <is>
          <t>generation5</t>
        </is>
      </c>
      <c r="G632" s="18" t="inlineStr">
        <is>
          <t>normal</t>
        </is>
      </c>
      <c r="H632" s="18" t="inlineStr">
        <is>
          <t>flying</t>
        </is>
      </c>
      <c r="I632" s="18" t="inlineStr">
        <is>
          <t>예</t>
        </is>
      </c>
      <c r="J632" s="18" t="inlineStr">
        <is>
          <t>예</t>
        </is>
      </c>
      <c r="K632" s="18" t="inlineStr">
        <is>
          <t>예</t>
        </is>
      </c>
      <c r="L632" s="18" t="inlineStr">
        <is>
          <t>Cobblemon 동일</t>
        </is>
      </c>
      <c r="M632" s="18">
        <f>COUNTIF('스폰_편집'!$D$5:$D$3125,A632)</f>
        <v/>
      </c>
      <c r="N632" s="18">
        <f>COUNTIFS('스폰_편집'!$D$5:$D$3125,A632,'스폰_편집'!$B$5:$B$3125,"사용")</f>
        <v/>
      </c>
      <c r="O632" s="18" t="n">
        <v>4</v>
      </c>
      <c r="P632" s="18" t="inlineStr">
        <is>
          <t>#cobblemon:is_badlands; #cobblemon:is_hills; #cobblemon:is_mountain; #cobblemon:is_sky</t>
        </is>
      </c>
      <c r="Q632" s="18" t="inlineStr">
        <is>
          <t>common; uncommon</t>
        </is>
      </c>
      <c r="R632" s="18" t="inlineStr"/>
      <c r="S632" s="18" t="inlineStr">
        <is>
          <t>cobbleventure:generation_5</t>
        </is>
      </c>
      <c r="T632" s="18">
        <f>IF(M632=0,"없음",IF(N632=0,"전부 제외","사용"))</f>
        <v/>
      </c>
      <c r="U632" s="18" t="inlineStr"/>
    </row>
    <row r="633" ht="30" customHeight="1">
      <c r="A633" s="18" t="n">
        <v>629</v>
      </c>
      <c r="B633" s="18" t="inlineStr">
        <is>
          <t>벌차이</t>
        </is>
      </c>
      <c r="C633" s="18" t="inlineStr">
        <is>
          <t>vullaby</t>
        </is>
      </c>
      <c r="D633" s="18" t="inlineStr">
        <is>
          <t>Vullaby</t>
        </is>
      </c>
      <c r="E633" s="18" t="n">
        <v>5</v>
      </c>
      <c r="F633" s="18" t="inlineStr">
        <is>
          <t>generation5</t>
        </is>
      </c>
      <c r="G633" s="18" t="inlineStr">
        <is>
          <t>dark</t>
        </is>
      </c>
      <c r="H633" s="18" t="inlineStr">
        <is>
          <t>flying</t>
        </is>
      </c>
      <c r="I633" s="18" t="inlineStr">
        <is>
          <t>아니오</t>
        </is>
      </c>
      <c r="J633" s="18" t="inlineStr">
        <is>
          <t>아니오</t>
        </is>
      </c>
      <c r="K633" s="18" t="inlineStr">
        <is>
          <t>예</t>
        </is>
      </c>
      <c r="L633" s="18" t="inlineStr">
        <is>
          <t>COBBLEVERSE 추가</t>
        </is>
      </c>
      <c r="M633" s="18">
        <f>COUNTIF('스폰_편집'!$D$5:$D$3125,A633)</f>
        <v/>
      </c>
      <c r="N633" s="18">
        <f>COUNTIFS('스폰_편집'!$D$5:$D$3125,A633,'스폰_편집'!$B$5:$B$3125,"사용")</f>
        <v/>
      </c>
      <c r="O633" s="18" t="n">
        <v>2</v>
      </c>
      <c r="P633" s="18" t="inlineStr">
        <is>
          <t>#cobblemon:is_badlands; #cobblemon:is_desert</t>
        </is>
      </c>
      <c r="Q633" s="18" t="inlineStr">
        <is>
          <t>common</t>
        </is>
      </c>
      <c r="R633" s="18" t="inlineStr">
        <is>
          <t>region_02</t>
        </is>
      </c>
      <c r="S633" s="18" t="inlineStr">
        <is>
          <t>cobbleventure:generation_5</t>
        </is>
      </c>
      <c r="T633" s="18">
        <f>IF(M633=0,"없음",IF(N633=0,"전부 제외","사용"))</f>
        <v/>
      </c>
      <c r="U633" s="18" t="inlineStr"/>
    </row>
    <row r="634" ht="30" customHeight="1">
      <c r="A634" s="18" t="n">
        <v>630</v>
      </c>
      <c r="B634" s="18" t="inlineStr">
        <is>
          <t>버랜지나</t>
        </is>
      </c>
      <c r="C634" s="18" t="inlineStr">
        <is>
          <t>mandibuzz</t>
        </is>
      </c>
      <c r="D634" s="18" t="inlineStr">
        <is>
          <t>Mandibuzz</t>
        </is>
      </c>
      <c r="E634" s="18" t="n">
        <v>5</v>
      </c>
      <c r="F634" s="18" t="inlineStr">
        <is>
          <t>generation5</t>
        </is>
      </c>
      <c r="G634" s="18" t="inlineStr">
        <is>
          <t>dark</t>
        </is>
      </c>
      <c r="H634" s="18" t="inlineStr">
        <is>
          <t>flying</t>
        </is>
      </c>
      <c r="I634" s="18" t="inlineStr">
        <is>
          <t>아니오</t>
        </is>
      </c>
      <c r="J634" s="18" t="inlineStr">
        <is>
          <t>아니오</t>
        </is>
      </c>
      <c r="K634" s="18" t="inlineStr">
        <is>
          <t>예</t>
        </is>
      </c>
      <c r="L634" s="18" t="inlineStr">
        <is>
          <t>COBBLEVERSE 추가</t>
        </is>
      </c>
      <c r="M634" s="18">
        <f>COUNTIF('스폰_편집'!$D$5:$D$3125,A634)</f>
        <v/>
      </c>
      <c r="N634" s="18">
        <f>COUNTIFS('스폰_편집'!$D$5:$D$3125,A634,'스폰_편집'!$B$5:$B$3125,"사용")</f>
        <v/>
      </c>
      <c r="O634" s="18" t="n">
        <v>2</v>
      </c>
      <c r="P634" s="18" t="inlineStr">
        <is>
          <t>#cobblemon:is_badlands; #cobblemon:is_desert</t>
        </is>
      </c>
      <c r="Q634" s="18" t="inlineStr">
        <is>
          <t>uncommon</t>
        </is>
      </c>
      <c r="R634" s="18" t="inlineStr">
        <is>
          <t>region_02</t>
        </is>
      </c>
      <c r="S634" s="18" t="inlineStr">
        <is>
          <t>cobbleventure:generation_5</t>
        </is>
      </c>
      <c r="T634" s="18">
        <f>IF(M634=0,"없음",IF(N634=0,"전부 제외","사용"))</f>
        <v/>
      </c>
      <c r="U634" s="18" t="inlineStr"/>
    </row>
    <row r="635" ht="30" customHeight="1">
      <c r="A635" s="18" t="n">
        <v>631</v>
      </c>
      <c r="B635" s="18" t="inlineStr">
        <is>
          <t>앤티골</t>
        </is>
      </c>
      <c r="C635" s="18" t="inlineStr">
        <is>
          <t>heatmor</t>
        </is>
      </c>
      <c r="D635" s="18" t="inlineStr">
        <is>
          <t>Heatmor</t>
        </is>
      </c>
      <c r="E635" s="18" t="n">
        <v>5</v>
      </c>
      <c r="F635" s="18" t="inlineStr">
        <is>
          <t>generation5</t>
        </is>
      </c>
      <c r="G635" s="18" t="inlineStr">
        <is>
          <t>fire</t>
        </is>
      </c>
      <c r="H635" s="18" t="inlineStr"/>
      <c r="I635" s="18" t="inlineStr">
        <is>
          <t>예</t>
        </is>
      </c>
      <c r="J635" s="18" t="inlineStr">
        <is>
          <t>예</t>
        </is>
      </c>
      <c r="K635" s="18" t="inlineStr">
        <is>
          <t>예</t>
        </is>
      </c>
      <c r="L635" s="18" t="inlineStr">
        <is>
          <t>Cobblemon 동일</t>
        </is>
      </c>
      <c r="M635" s="18">
        <f>COUNTIF('스폰_편집'!$D$5:$D$3125,A635)</f>
        <v/>
      </c>
      <c r="N635" s="18">
        <f>COUNTIFS('스폰_편집'!$D$5:$D$3125,A635,'스폰_편집'!$B$5:$B$3125,"사용")</f>
        <v/>
      </c>
      <c r="O635" s="18" t="n">
        <v>3</v>
      </c>
      <c r="P635" s="18" t="inlineStr">
        <is>
          <t>#cobblemon:is_badlands; #cobblemon:is_hills; #cobblemon:nether/is_mountain</t>
        </is>
      </c>
      <c r="Q635" s="18" t="inlineStr">
        <is>
          <t>common; uncommon</t>
        </is>
      </c>
      <c r="R635" s="18" t="inlineStr"/>
      <c r="S635" s="18" t="inlineStr">
        <is>
          <t>cobbleventure:generation_5</t>
        </is>
      </c>
      <c r="T635" s="18">
        <f>IF(M635=0,"없음",IF(N635=0,"전부 제외","사용"))</f>
        <v/>
      </c>
      <c r="U635" s="18" t="inlineStr"/>
    </row>
    <row r="636" ht="30" customHeight="1">
      <c r="A636" s="18" t="n">
        <v>632</v>
      </c>
      <c r="B636" s="18" t="inlineStr">
        <is>
          <t>아이앤트</t>
        </is>
      </c>
      <c r="C636" s="18" t="inlineStr">
        <is>
          <t>durant</t>
        </is>
      </c>
      <c r="D636" s="18" t="inlineStr">
        <is>
          <t>Durant</t>
        </is>
      </c>
      <c r="E636" s="18" t="n">
        <v>5</v>
      </c>
      <c r="F636" s="18" t="inlineStr">
        <is>
          <t>generation5</t>
        </is>
      </c>
      <c r="G636" s="18" t="inlineStr">
        <is>
          <t>bug</t>
        </is>
      </c>
      <c r="H636" s="18" t="inlineStr">
        <is>
          <t>steel</t>
        </is>
      </c>
      <c r="I636" s="18" t="inlineStr">
        <is>
          <t>예</t>
        </is>
      </c>
      <c r="J636" s="18" t="inlineStr">
        <is>
          <t>예</t>
        </is>
      </c>
      <c r="K636" s="18" t="inlineStr">
        <is>
          <t>예</t>
        </is>
      </c>
      <c r="L636" s="18" t="inlineStr">
        <is>
          <t>Cobblemon 동일</t>
        </is>
      </c>
      <c r="M636" s="18">
        <f>COUNTIF('스폰_편집'!$D$5:$D$3125,A636)</f>
        <v/>
      </c>
      <c r="N636" s="18">
        <f>COUNTIFS('스폰_편집'!$D$5:$D$3125,A636,'스폰_편집'!$B$5:$B$3125,"사용")</f>
        <v/>
      </c>
      <c r="O636" s="18" t="n">
        <v>3</v>
      </c>
      <c r="P636" s="18" t="inlineStr">
        <is>
          <t>#cobblemon:is_badlands; #cobblemon:is_hills; #cobblemon:nether/is_mountain</t>
        </is>
      </c>
      <c r="Q636" s="18" t="inlineStr">
        <is>
          <t>common</t>
        </is>
      </c>
      <c r="R636" s="18" t="inlineStr"/>
      <c r="S636" s="18" t="inlineStr">
        <is>
          <t>cobbleventure:generation_5</t>
        </is>
      </c>
      <c r="T636" s="18">
        <f>IF(M636=0,"없음",IF(N636=0,"전부 제외","사용"))</f>
        <v/>
      </c>
      <c r="U636" s="18" t="inlineStr"/>
    </row>
    <row r="637" ht="30" customHeight="1">
      <c r="A637" s="18" t="n">
        <v>633</v>
      </c>
      <c r="B637" s="18" t="inlineStr">
        <is>
          <t>모노두</t>
        </is>
      </c>
      <c r="C637" s="18" t="inlineStr">
        <is>
          <t>deino</t>
        </is>
      </c>
      <c r="D637" s="18" t="inlineStr">
        <is>
          <t>Deino</t>
        </is>
      </c>
      <c r="E637" s="18" t="n">
        <v>5</v>
      </c>
      <c r="F637" s="18" t="inlineStr">
        <is>
          <t>generation5</t>
        </is>
      </c>
      <c r="G637" s="18" t="inlineStr">
        <is>
          <t>dark</t>
        </is>
      </c>
      <c r="H637" s="18" t="inlineStr">
        <is>
          <t>dragon</t>
        </is>
      </c>
      <c r="I637" s="18" t="inlineStr">
        <is>
          <t>예</t>
        </is>
      </c>
      <c r="J637" s="18" t="inlineStr">
        <is>
          <t>예</t>
        </is>
      </c>
      <c r="K637" s="18" t="inlineStr">
        <is>
          <t>예</t>
        </is>
      </c>
      <c r="L637" s="18" t="inlineStr">
        <is>
          <t>Cobblemon 동일</t>
        </is>
      </c>
      <c r="M637" s="18">
        <f>COUNTIF('스폰_편집'!$D$5:$D$3125,A637)</f>
        <v/>
      </c>
      <c r="N637" s="18">
        <f>COUNTIFS('스폰_편집'!$D$5:$D$3125,A637,'스폰_편집'!$B$5:$B$3125,"사용")</f>
        <v/>
      </c>
      <c r="O637" s="18" t="n">
        <v>3</v>
      </c>
      <c r="P637" s="18" t="inlineStr">
        <is>
          <t>#aether:is_aether; #cobblemon:is_deep_dark; #cobblemon:is_overworld</t>
        </is>
      </c>
      <c r="Q637" s="18" t="inlineStr">
        <is>
          <t>rare; ultra-rare</t>
        </is>
      </c>
      <c r="R637" s="18" t="inlineStr">
        <is>
          <t>region_01; region_02</t>
        </is>
      </c>
      <c r="S637" s="18" t="inlineStr">
        <is>
          <t>cobbleventure:generation_5</t>
        </is>
      </c>
      <c r="T637" s="18">
        <f>IF(M637=0,"없음",IF(N637=0,"전부 제외","사용"))</f>
        <v/>
      </c>
      <c r="U637" s="18" t="inlineStr"/>
    </row>
    <row r="638" ht="30" customHeight="1">
      <c r="A638" s="18" t="n">
        <v>634</v>
      </c>
      <c r="B638" s="18" t="inlineStr">
        <is>
          <t>디헤드</t>
        </is>
      </c>
      <c r="C638" s="18" t="inlineStr">
        <is>
          <t>zweilous</t>
        </is>
      </c>
      <c r="D638" s="18" t="inlineStr">
        <is>
          <t>Zweilous</t>
        </is>
      </c>
      <c r="E638" s="18" t="n">
        <v>5</v>
      </c>
      <c r="F638" s="18" t="inlineStr">
        <is>
          <t>generation5</t>
        </is>
      </c>
      <c r="G638" s="18" t="inlineStr">
        <is>
          <t>dark</t>
        </is>
      </c>
      <c r="H638" s="18" t="inlineStr">
        <is>
          <t>dragon</t>
        </is>
      </c>
      <c r="I638" s="18" t="inlineStr">
        <is>
          <t>예</t>
        </is>
      </c>
      <c r="J638" s="18" t="inlineStr">
        <is>
          <t>예</t>
        </is>
      </c>
      <c r="K638" s="18" t="inlineStr">
        <is>
          <t>예</t>
        </is>
      </c>
      <c r="L638" s="18" t="inlineStr">
        <is>
          <t>Cobblemon 동일</t>
        </is>
      </c>
      <c r="M638" s="18">
        <f>COUNTIF('스폰_편집'!$D$5:$D$3125,A638)</f>
        <v/>
      </c>
      <c r="N638" s="18">
        <f>COUNTIFS('스폰_편집'!$D$5:$D$3125,A638,'스폰_편집'!$B$5:$B$3125,"사용")</f>
        <v/>
      </c>
      <c r="O638" s="18" t="n">
        <v>3</v>
      </c>
      <c r="P638" s="18" t="inlineStr">
        <is>
          <t>#aether:is_aether; #cobblemon:is_deep_dark; #cobblemon:is_overworld</t>
        </is>
      </c>
      <c r="Q638" s="18" t="inlineStr">
        <is>
          <t>rare; ultra-rare</t>
        </is>
      </c>
      <c r="R638" s="18" t="inlineStr">
        <is>
          <t>region_01; region_02</t>
        </is>
      </c>
      <c r="S638" s="18" t="inlineStr">
        <is>
          <t>cobbleventure:generation_5</t>
        </is>
      </c>
      <c r="T638" s="18">
        <f>IF(M638=0,"없음",IF(N638=0,"전부 제외","사용"))</f>
        <v/>
      </c>
      <c r="U638" s="18" t="inlineStr"/>
    </row>
    <row r="639" ht="30" customHeight="1">
      <c r="A639" s="18" t="n">
        <v>635</v>
      </c>
      <c r="B639" s="18" t="inlineStr">
        <is>
          <t>삼삼드래</t>
        </is>
      </c>
      <c r="C639" s="18" t="inlineStr">
        <is>
          <t>hydreigon</t>
        </is>
      </c>
      <c r="D639" s="18" t="inlineStr">
        <is>
          <t>Hydreigon</t>
        </is>
      </c>
      <c r="E639" s="18" t="n">
        <v>5</v>
      </c>
      <c r="F639" s="18" t="inlineStr">
        <is>
          <t>generation5</t>
        </is>
      </c>
      <c r="G639" s="18" t="inlineStr">
        <is>
          <t>dark</t>
        </is>
      </c>
      <c r="H639" s="18" t="inlineStr">
        <is>
          <t>dragon</t>
        </is>
      </c>
      <c r="I639" s="18" t="inlineStr">
        <is>
          <t>예</t>
        </is>
      </c>
      <c r="J639" s="18" t="inlineStr">
        <is>
          <t>예</t>
        </is>
      </c>
      <c r="K639" s="18" t="inlineStr">
        <is>
          <t>예</t>
        </is>
      </c>
      <c r="L639" s="18" t="inlineStr">
        <is>
          <t>Cobblemon 동일</t>
        </is>
      </c>
      <c r="M639" s="18">
        <f>COUNTIF('스폰_편집'!$D$5:$D$3125,A639)</f>
        <v/>
      </c>
      <c r="N639" s="18">
        <f>COUNTIFS('스폰_편집'!$D$5:$D$3125,A639,'스폰_편집'!$B$5:$B$3125,"사용")</f>
        <v/>
      </c>
      <c r="O639" s="18" t="n">
        <v>3</v>
      </c>
      <c r="P639" s="18" t="inlineStr">
        <is>
          <t>#aether:is_aether; #cobblemon:is_deep_dark; #cobblemon:is_overworld</t>
        </is>
      </c>
      <c r="Q639" s="18" t="inlineStr">
        <is>
          <t>rare; ultra-rare</t>
        </is>
      </c>
      <c r="R639" s="18" t="inlineStr">
        <is>
          <t>region_01; region_02</t>
        </is>
      </c>
      <c r="S639" s="18" t="inlineStr">
        <is>
          <t>cobbleventure:generation_5</t>
        </is>
      </c>
      <c r="T639" s="18">
        <f>IF(M639=0,"없음",IF(N639=0,"전부 제외","사용"))</f>
        <v/>
      </c>
      <c r="U639" s="18" t="inlineStr"/>
    </row>
    <row r="640" ht="30" customHeight="1">
      <c r="A640" s="18" t="n">
        <v>636</v>
      </c>
      <c r="B640" s="18" t="inlineStr">
        <is>
          <t>활화르바</t>
        </is>
      </c>
      <c r="C640" s="18" t="inlineStr">
        <is>
          <t>larvesta</t>
        </is>
      </c>
      <c r="D640" s="18" t="inlineStr">
        <is>
          <t>Larvesta</t>
        </is>
      </c>
      <c r="E640" s="18" t="n">
        <v>5</v>
      </c>
      <c r="F640" s="18" t="inlineStr">
        <is>
          <t>generation5</t>
        </is>
      </c>
      <c r="G640" s="18" t="inlineStr">
        <is>
          <t>bug</t>
        </is>
      </c>
      <c r="H640" s="18" t="inlineStr">
        <is>
          <t>fire</t>
        </is>
      </c>
      <c r="I640" s="18" t="inlineStr">
        <is>
          <t>예</t>
        </is>
      </c>
      <c r="J640" s="18" t="inlineStr">
        <is>
          <t>예</t>
        </is>
      </c>
      <c r="K640" s="18" t="inlineStr">
        <is>
          <t>예</t>
        </is>
      </c>
      <c r="L640" s="18" t="inlineStr">
        <is>
          <t>Cobblemon 동일</t>
        </is>
      </c>
      <c r="M640" s="18">
        <f>COUNTIF('스폰_편집'!$D$5:$D$3125,A640)</f>
        <v/>
      </c>
      <c r="N640" s="18">
        <f>COUNTIFS('스폰_편집'!$D$5:$D$3125,A640,'스폰_편집'!$B$5:$B$3125,"사용")</f>
        <v/>
      </c>
      <c r="O640" s="18" t="n">
        <v>5</v>
      </c>
      <c r="P640" s="18" t="inlineStr">
        <is>
          <t>#aether:is_aether; #cobblemon:is_desert; #cobblemon:is_jungle; #cobblemon:nether/is_crimson; #cobblemon:nether/is_forest</t>
        </is>
      </c>
      <c r="Q640" s="18" t="inlineStr">
        <is>
          <t>uncommon</t>
        </is>
      </c>
      <c r="R640" s="18" t="inlineStr">
        <is>
          <t>region_02</t>
        </is>
      </c>
      <c r="S640" s="18" t="inlineStr">
        <is>
          <t>cobbleventure:generation_5</t>
        </is>
      </c>
      <c r="T640" s="18">
        <f>IF(M640=0,"없음",IF(N640=0,"전부 제외","사용"))</f>
        <v/>
      </c>
      <c r="U640" s="18" t="inlineStr"/>
    </row>
    <row r="641" ht="30" customHeight="1">
      <c r="A641" s="18" t="n">
        <v>637</v>
      </c>
      <c r="B641" s="18" t="inlineStr">
        <is>
          <t>불카모스</t>
        </is>
      </c>
      <c r="C641" s="18" t="inlineStr">
        <is>
          <t>volcarona</t>
        </is>
      </c>
      <c r="D641" s="18" t="inlineStr">
        <is>
          <t>Volcarona</t>
        </is>
      </c>
      <c r="E641" s="18" t="n">
        <v>5</v>
      </c>
      <c r="F641" s="18" t="inlineStr">
        <is>
          <t>generation5</t>
        </is>
      </c>
      <c r="G641" s="18" t="inlineStr">
        <is>
          <t>bug</t>
        </is>
      </c>
      <c r="H641" s="18" t="inlineStr">
        <is>
          <t>fire</t>
        </is>
      </c>
      <c r="I641" s="18" t="inlineStr">
        <is>
          <t>예</t>
        </is>
      </c>
      <c r="J641" s="18" t="inlineStr">
        <is>
          <t>예</t>
        </is>
      </c>
      <c r="K641" s="18" t="inlineStr">
        <is>
          <t>예</t>
        </is>
      </c>
      <c r="L641" s="18" t="inlineStr">
        <is>
          <t>Cobblemon 동일</t>
        </is>
      </c>
      <c r="M641" s="18">
        <f>COUNTIF('스폰_편집'!$D$5:$D$3125,A641)</f>
        <v/>
      </c>
      <c r="N641" s="18">
        <f>COUNTIFS('스폰_편집'!$D$5:$D$3125,A641,'스폰_편집'!$B$5:$B$3125,"사용")</f>
        <v/>
      </c>
      <c r="O641" s="18" t="n">
        <v>5</v>
      </c>
      <c r="P641" s="18" t="inlineStr">
        <is>
          <t>#aether:is_aether; #cobblemon:is_desert; #cobblemon:is_jungle; #cobblemon:nether/is_crimson; #cobblemon:nether/is_forest</t>
        </is>
      </c>
      <c r="Q641" s="18" t="inlineStr">
        <is>
          <t>uncommon</t>
        </is>
      </c>
      <c r="R641" s="18" t="inlineStr">
        <is>
          <t>region_02</t>
        </is>
      </c>
      <c r="S641" s="18" t="inlineStr">
        <is>
          <t>cobbleventure:generation_5</t>
        </is>
      </c>
      <c r="T641" s="18">
        <f>IF(M641=0,"없음",IF(N641=0,"전부 제외","사용"))</f>
        <v/>
      </c>
      <c r="U641" s="18" t="inlineStr"/>
    </row>
    <row r="642" ht="30" customHeight="1">
      <c r="A642" s="18" t="n">
        <v>638</v>
      </c>
      <c r="B642" s="18" t="inlineStr">
        <is>
          <t>코바르온</t>
        </is>
      </c>
      <c r="C642" s="18" t="inlineStr">
        <is>
          <t>cobalion</t>
        </is>
      </c>
      <c r="D642" s="18" t="inlineStr">
        <is>
          <t>Cobalion</t>
        </is>
      </c>
      <c r="E642" s="18" t="n">
        <v>5</v>
      </c>
      <c r="F642" s="18" t="inlineStr">
        <is>
          <t>generation5</t>
        </is>
      </c>
      <c r="G642" s="18" t="inlineStr">
        <is>
          <t>steel</t>
        </is>
      </c>
      <c r="H642" s="18" t="inlineStr">
        <is>
          <t>fighting</t>
        </is>
      </c>
      <c r="I642" s="18" t="inlineStr">
        <is>
          <t>아니오</t>
        </is>
      </c>
      <c r="J642" s="18" t="inlineStr">
        <is>
          <t>아니오</t>
        </is>
      </c>
      <c r="K642" s="18" t="inlineStr">
        <is>
          <t>예</t>
        </is>
      </c>
      <c r="L642" s="18" t="inlineStr">
        <is>
          <t>COBBLEVERSE 추가</t>
        </is>
      </c>
      <c r="M642" s="18">
        <f>COUNTIF('스폰_편집'!$D$5:$D$3125,A642)</f>
        <v/>
      </c>
      <c r="N642" s="18">
        <f>COUNTIFS('스폰_편집'!$D$5:$D$3125,A642,'스폰_편집'!$B$5:$B$3125,"사용")</f>
        <v/>
      </c>
      <c r="O642" s="18" t="n">
        <v>1</v>
      </c>
      <c r="P642" s="18" t="inlineStr">
        <is>
          <t>minecraft:windswept_forest</t>
        </is>
      </c>
      <c r="Q642" s="18" t="inlineStr">
        <is>
          <t>ultra-rare</t>
        </is>
      </c>
      <c r="R642" s="18" t="inlineStr"/>
      <c r="S642" s="18" t="inlineStr">
        <is>
          <t>cobbleventure:generation_5</t>
        </is>
      </c>
      <c r="T642" s="18">
        <f>IF(M642=0,"없음",IF(N642=0,"전부 제외","사용"))</f>
        <v/>
      </c>
      <c r="U642" s="18" t="inlineStr"/>
    </row>
    <row r="643" ht="30" customHeight="1">
      <c r="A643" s="18" t="n">
        <v>639</v>
      </c>
      <c r="B643" s="18" t="inlineStr">
        <is>
          <t>테라키온</t>
        </is>
      </c>
      <c r="C643" s="18" t="inlineStr">
        <is>
          <t>terrakion</t>
        </is>
      </c>
      <c r="D643" s="18" t="inlineStr">
        <is>
          <t>Terrakion</t>
        </is>
      </c>
      <c r="E643" s="18" t="n">
        <v>5</v>
      </c>
      <c r="F643" s="18" t="inlineStr">
        <is>
          <t>generation5</t>
        </is>
      </c>
      <c r="G643" s="18" t="inlineStr">
        <is>
          <t>rock</t>
        </is>
      </c>
      <c r="H643" s="18" t="inlineStr">
        <is>
          <t>fighting</t>
        </is>
      </c>
      <c r="I643" s="18" t="inlineStr">
        <is>
          <t>아니오</t>
        </is>
      </c>
      <c r="J643" s="18" t="inlineStr">
        <is>
          <t>아니오</t>
        </is>
      </c>
      <c r="K643" s="18" t="inlineStr">
        <is>
          <t>예</t>
        </is>
      </c>
      <c r="L643" s="18" t="inlineStr">
        <is>
          <t>COBBLEVERSE 추가</t>
        </is>
      </c>
      <c r="M643" s="18">
        <f>COUNTIF('스폰_편집'!$D$5:$D$3125,A643)</f>
        <v/>
      </c>
      <c r="N643" s="18">
        <f>COUNTIFS('스폰_편집'!$D$5:$D$3125,A643,'스폰_편집'!$B$5:$B$3125,"사용")</f>
        <v/>
      </c>
      <c r="O643" s="18" t="n">
        <v>1</v>
      </c>
      <c r="P643" s="18" t="inlineStr">
        <is>
          <t>#cobblemon:is_savanna</t>
        </is>
      </c>
      <c r="Q643" s="18" t="inlineStr">
        <is>
          <t>ultra-rare</t>
        </is>
      </c>
      <c r="R643" s="18" t="inlineStr"/>
      <c r="S643" s="18" t="inlineStr">
        <is>
          <t>cobbleventure:generation_5</t>
        </is>
      </c>
      <c r="T643" s="18">
        <f>IF(M643=0,"없음",IF(N643=0,"전부 제외","사용"))</f>
        <v/>
      </c>
      <c r="U643" s="18" t="inlineStr"/>
    </row>
    <row r="644" ht="30" customHeight="1">
      <c r="A644" s="18" t="n">
        <v>640</v>
      </c>
      <c r="B644" s="18" t="inlineStr">
        <is>
          <t>비리디온</t>
        </is>
      </c>
      <c r="C644" s="18" t="inlineStr">
        <is>
          <t>virizion</t>
        </is>
      </c>
      <c r="D644" s="18" t="inlineStr">
        <is>
          <t>Virizion</t>
        </is>
      </c>
      <c r="E644" s="18" t="n">
        <v>5</v>
      </c>
      <c r="F644" s="18" t="inlineStr">
        <is>
          <t>generation5</t>
        </is>
      </c>
      <c r="G644" s="18" t="inlineStr">
        <is>
          <t>grass</t>
        </is>
      </c>
      <c r="H644" s="18" t="inlineStr">
        <is>
          <t>fighting</t>
        </is>
      </c>
      <c r="I644" s="18" t="inlineStr">
        <is>
          <t>아니오</t>
        </is>
      </c>
      <c r="J644" s="18" t="inlineStr">
        <is>
          <t>아니오</t>
        </is>
      </c>
      <c r="K644" s="18" t="inlineStr">
        <is>
          <t>예</t>
        </is>
      </c>
      <c r="L644" s="18" t="inlineStr">
        <is>
          <t>COBBLEVERSE 추가</t>
        </is>
      </c>
      <c r="M644" s="18">
        <f>COUNTIF('스폰_편집'!$D$5:$D$3125,A644)</f>
        <v/>
      </c>
      <c r="N644" s="18">
        <f>COUNTIFS('스폰_편집'!$D$5:$D$3125,A644,'스폰_편집'!$B$5:$B$3125,"사용")</f>
        <v/>
      </c>
      <c r="O644" s="18" t="n">
        <v>1</v>
      </c>
      <c r="P644" s="18" t="inlineStr">
        <is>
          <t>#cobblemon:is_forest</t>
        </is>
      </c>
      <c r="Q644" s="18" t="inlineStr">
        <is>
          <t>ultra-rare</t>
        </is>
      </c>
      <c r="R644" s="18" t="inlineStr">
        <is>
          <t>region_01</t>
        </is>
      </c>
      <c r="S644" s="18" t="inlineStr">
        <is>
          <t>cobbleventure:generation_5</t>
        </is>
      </c>
      <c r="T644" s="18">
        <f>IF(M644=0,"없음",IF(N644=0,"전부 제외","사용"))</f>
        <v/>
      </c>
      <c r="U644" s="18" t="inlineStr"/>
    </row>
    <row r="645" ht="30" customHeight="1">
      <c r="A645" s="18" t="n">
        <v>641</v>
      </c>
      <c r="B645" s="18" t="inlineStr">
        <is>
          <t>토네로스</t>
        </is>
      </c>
      <c r="C645" s="18" t="inlineStr">
        <is>
          <t>tornadus</t>
        </is>
      </c>
      <c r="D645" s="18" t="inlineStr">
        <is>
          <t>Tornadus</t>
        </is>
      </c>
      <c r="E645" s="18" t="n">
        <v>5</v>
      </c>
      <c r="F645" s="18" t="inlineStr">
        <is>
          <t>generation5</t>
        </is>
      </c>
      <c r="G645" s="18" t="inlineStr">
        <is>
          <t>flying</t>
        </is>
      </c>
      <c r="H645" s="18" t="inlineStr"/>
      <c r="I645" s="18" t="inlineStr">
        <is>
          <t>아니오</t>
        </is>
      </c>
      <c r="J645" s="18" t="inlineStr">
        <is>
          <t>아니오</t>
        </is>
      </c>
      <c r="K645" s="18" t="inlineStr">
        <is>
          <t>예</t>
        </is>
      </c>
      <c r="L645" s="18" t="inlineStr">
        <is>
          <t>COBBLEVERSE 추가</t>
        </is>
      </c>
      <c r="M645" s="18">
        <f>COUNTIF('스폰_편집'!$D$5:$D$3125,A645)</f>
        <v/>
      </c>
      <c r="N645" s="18">
        <f>COUNTIFS('스폰_편집'!$D$5:$D$3125,A645,'스폰_편집'!$B$5:$B$3125,"사용")</f>
        <v/>
      </c>
      <c r="O645" s="18" t="n">
        <v>1</v>
      </c>
      <c r="P645" s="18" t="inlineStr">
        <is>
          <t>#cobblemon:is_ocean</t>
        </is>
      </c>
      <c r="Q645" s="18" t="inlineStr">
        <is>
          <t>ultra-rare</t>
        </is>
      </c>
      <c r="R645" s="18" t="inlineStr"/>
      <c r="S645" s="18" t="inlineStr">
        <is>
          <t>cobbleventure:generation_5</t>
        </is>
      </c>
      <c r="T645" s="18">
        <f>IF(M645=0,"없음",IF(N645=0,"전부 제외","사용"))</f>
        <v/>
      </c>
      <c r="U645" s="18" t="inlineStr"/>
    </row>
    <row r="646" ht="30" customHeight="1">
      <c r="A646" s="18" t="n">
        <v>642</v>
      </c>
      <c r="B646" s="18" t="inlineStr">
        <is>
          <t>볼트로스</t>
        </is>
      </c>
      <c r="C646" s="18" t="inlineStr">
        <is>
          <t>thundurus</t>
        </is>
      </c>
      <c r="D646" s="18" t="inlineStr">
        <is>
          <t>Thundurus</t>
        </is>
      </c>
      <c r="E646" s="18" t="n">
        <v>5</v>
      </c>
      <c r="F646" s="18" t="inlineStr">
        <is>
          <t>generation5</t>
        </is>
      </c>
      <c r="G646" s="18" t="inlineStr">
        <is>
          <t>electric</t>
        </is>
      </c>
      <c r="H646" s="18" t="inlineStr">
        <is>
          <t>flying</t>
        </is>
      </c>
      <c r="I646" s="18" t="inlineStr">
        <is>
          <t>아니오</t>
        </is>
      </c>
      <c r="J646" s="18" t="inlineStr">
        <is>
          <t>아니오</t>
        </is>
      </c>
      <c r="K646" s="18" t="inlineStr">
        <is>
          <t>예</t>
        </is>
      </c>
      <c r="L646" s="18" t="inlineStr">
        <is>
          <t>COBBLEVERSE 추가</t>
        </is>
      </c>
      <c r="M646" s="18">
        <f>COUNTIF('스폰_편집'!$D$5:$D$3125,A646)</f>
        <v/>
      </c>
      <c r="N646" s="18">
        <f>COUNTIFS('스폰_편집'!$D$5:$D$3125,A646,'스폰_편집'!$B$5:$B$3125,"사용")</f>
        <v/>
      </c>
      <c r="O646" s="18" t="n">
        <v>1</v>
      </c>
      <c r="P646" s="18" t="inlineStr">
        <is>
          <t>#cobblemon:is_mountain</t>
        </is>
      </c>
      <c r="Q646" s="18" t="inlineStr">
        <is>
          <t>ultra-rare</t>
        </is>
      </c>
      <c r="R646" s="18" t="inlineStr"/>
      <c r="S646" s="18" t="inlineStr">
        <is>
          <t>cobbleventure:generation_5</t>
        </is>
      </c>
      <c r="T646" s="18">
        <f>IF(M646=0,"없음",IF(N646=0,"전부 제외","사용"))</f>
        <v/>
      </c>
      <c r="U646" s="18" t="inlineStr"/>
    </row>
    <row r="647" ht="30" customHeight="1">
      <c r="A647" s="18" t="n">
        <v>643</v>
      </c>
      <c r="B647" s="18" t="inlineStr">
        <is>
          <t>레시라무</t>
        </is>
      </c>
      <c r="C647" s="18" t="inlineStr">
        <is>
          <t>reshiram</t>
        </is>
      </c>
      <c r="D647" s="18" t="inlineStr">
        <is>
          <t>Reshiram</t>
        </is>
      </c>
      <c r="E647" s="18" t="n">
        <v>5</v>
      </c>
      <c r="F647" s="18" t="inlineStr">
        <is>
          <t>generation5</t>
        </is>
      </c>
      <c r="G647" s="18" t="inlineStr">
        <is>
          <t>dragon</t>
        </is>
      </c>
      <c r="H647" s="18" t="inlineStr">
        <is>
          <t>fire</t>
        </is>
      </c>
      <c r="I647" s="18" t="inlineStr">
        <is>
          <t>아니오</t>
        </is>
      </c>
      <c r="J647" s="18" t="inlineStr">
        <is>
          <t>아니오</t>
        </is>
      </c>
      <c r="K647" s="18" t="inlineStr">
        <is>
          <t>예</t>
        </is>
      </c>
      <c r="L647" s="18" t="inlineStr">
        <is>
          <t>COBBLEVERSE 추가</t>
        </is>
      </c>
      <c r="M647" s="18">
        <f>COUNTIF('스폰_편집'!$D$5:$D$3125,A647)</f>
        <v/>
      </c>
      <c r="N647" s="18">
        <f>COUNTIFS('스폰_편집'!$D$5:$D$3125,A647,'스폰_편집'!$B$5:$B$3125,"사용")</f>
        <v/>
      </c>
      <c r="O647" s="18" t="n">
        <v>1</v>
      </c>
      <c r="P647" s="18" t="inlineStr">
        <is>
          <t>#cobblemon:is_mountain</t>
        </is>
      </c>
      <c r="Q647" s="18" t="inlineStr">
        <is>
          <t>ultra-rare</t>
        </is>
      </c>
      <c r="R647" s="18" t="inlineStr"/>
      <c r="S647" s="18" t="inlineStr">
        <is>
          <t>cobbleventure:generation_5</t>
        </is>
      </c>
      <c r="T647" s="18">
        <f>IF(M647=0,"없음",IF(N647=0,"전부 제외","사용"))</f>
        <v/>
      </c>
      <c r="U647" s="18" t="inlineStr"/>
    </row>
    <row r="648" ht="30" customHeight="1">
      <c r="A648" s="18" t="n">
        <v>644</v>
      </c>
      <c r="B648" s="18" t="inlineStr">
        <is>
          <t>제크로무</t>
        </is>
      </c>
      <c r="C648" s="18" t="inlineStr">
        <is>
          <t>zekrom</t>
        </is>
      </c>
      <c r="D648" s="18" t="inlineStr">
        <is>
          <t>Zekrom</t>
        </is>
      </c>
      <c r="E648" s="18" t="n">
        <v>5</v>
      </c>
      <c r="F648" s="18" t="inlineStr">
        <is>
          <t>generation5</t>
        </is>
      </c>
      <c r="G648" s="18" t="inlineStr">
        <is>
          <t>dragon</t>
        </is>
      </c>
      <c r="H648" s="18" t="inlineStr">
        <is>
          <t>electric</t>
        </is>
      </c>
      <c r="I648" s="18" t="inlineStr">
        <is>
          <t>아니오</t>
        </is>
      </c>
      <c r="J648" s="18" t="inlineStr">
        <is>
          <t>아니오</t>
        </is>
      </c>
      <c r="K648" s="18" t="inlineStr">
        <is>
          <t>예</t>
        </is>
      </c>
      <c r="L648" s="18" t="inlineStr">
        <is>
          <t>COBBLEVERSE 추가</t>
        </is>
      </c>
      <c r="M648" s="18">
        <f>COUNTIF('스폰_편집'!$D$5:$D$3125,A648)</f>
        <v/>
      </c>
      <c r="N648" s="18">
        <f>COUNTIFS('스폰_편집'!$D$5:$D$3125,A648,'스폰_편집'!$B$5:$B$3125,"사용")</f>
        <v/>
      </c>
      <c r="O648" s="18" t="n">
        <v>1</v>
      </c>
      <c r="P648" s="18" t="inlineStr">
        <is>
          <t>#cobblemon:is_mountain</t>
        </is>
      </c>
      <c r="Q648" s="18" t="inlineStr">
        <is>
          <t>ultra-rare</t>
        </is>
      </c>
      <c r="R648" s="18" t="inlineStr"/>
      <c r="S648" s="18" t="inlineStr">
        <is>
          <t>cobbleventure:generation_5</t>
        </is>
      </c>
      <c r="T648" s="18">
        <f>IF(M648=0,"없음",IF(N648=0,"전부 제외","사용"))</f>
        <v/>
      </c>
      <c r="U648" s="18" t="inlineStr"/>
    </row>
    <row r="649" ht="30" customHeight="1">
      <c r="A649" s="18" t="n">
        <v>645</v>
      </c>
      <c r="B649" s="18" t="inlineStr">
        <is>
          <t>랜드로스</t>
        </is>
      </c>
      <c r="C649" s="18" t="inlineStr">
        <is>
          <t>landorus</t>
        </is>
      </c>
      <c r="D649" s="18" t="inlineStr">
        <is>
          <t>Landorus</t>
        </is>
      </c>
      <c r="E649" s="18" t="n">
        <v>5</v>
      </c>
      <c r="F649" s="18" t="inlineStr">
        <is>
          <t>generation5</t>
        </is>
      </c>
      <c r="G649" s="18" t="inlineStr">
        <is>
          <t>ground</t>
        </is>
      </c>
      <c r="H649" s="18" t="inlineStr">
        <is>
          <t>flying</t>
        </is>
      </c>
      <c r="I649" s="18" t="inlineStr">
        <is>
          <t>아니오</t>
        </is>
      </c>
      <c r="J649" s="18" t="inlineStr">
        <is>
          <t>아니오</t>
        </is>
      </c>
      <c r="K649" s="18" t="inlineStr">
        <is>
          <t>예</t>
        </is>
      </c>
      <c r="L649" s="18" t="inlineStr">
        <is>
          <t>COBBLEVERSE 추가</t>
        </is>
      </c>
      <c r="M649" s="18">
        <f>COUNTIF('스폰_편집'!$D$5:$D$3125,A649)</f>
        <v/>
      </c>
      <c r="N649" s="18">
        <f>COUNTIFS('스폰_편집'!$D$5:$D$3125,A649,'스폰_편집'!$B$5:$B$3125,"사용")</f>
        <v/>
      </c>
      <c r="O649" s="18" t="n">
        <v>1</v>
      </c>
      <c r="P649" s="18" t="inlineStr">
        <is>
          <t>#cobblemon:is_badlands</t>
        </is>
      </c>
      <c r="Q649" s="18" t="inlineStr">
        <is>
          <t>ultra-rare</t>
        </is>
      </c>
      <c r="R649" s="18" t="inlineStr"/>
      <c r="S649" s="18" t="inlineStr">
        <is>
          <t>cobbleventure:generation_5</t>
        </is>
      </c>
      <c r="T649" s="18">
        <f>IF(M649=0,"없음",IF(N649=0,"전부 제외","사용"))</f>
        <v/>
      </c>
      <c r="U649" s="18" t="inlineStr"/>
    </row>
    <row r="650" ht="30" customHeight="1">
      <c r="A650" s="18" t="n">
        <v>646</v>
      </c>
      <c r="B650" s="18" t="inlineStr">
        <is>
          <t>큐레무</t>
        </is>
      </c>
      <c r="C650" s="18" t="inlineStr">
        <is>
          <t>kyurem</t>
        </is>
      </c>
      <c r="D650" s="18" t="inlineStr">
        <is>
          <t>Kyurem</t>
        </is>
      </c>
      <c r="E650" s="18" t="n">
        <v>5</v>
      </c>
      <c r="F650" s="18" t="inlineStr">
        <is>
          <t>generation5</t>
        </is>
      </c>
      <c r="G650" s="18" t="inlineStr">
        <is>
          <t>dragon</t>
        </is>
      </c>
      <c r="H650" s="18" t="inlineStr">
        <is>
          <t>ice</t>
        </is>
      </c>
      <c r="I650" s="18" t="inlineStr">
        <is>
          <t>아니오</t>
        </is>
      </c>
      <c r="J650" s="18" t="inlineStr">
        <is>
          <t>아니오</t>
        </is>
      </c>
      <c r="K650" s="18" t="inlineStr">
        <is>
          <t>예</t>
        </is>
      </c>
      <c r="L650" s="18" t="inlineStr">
        <is>
          <t>COBBLEVERSE 추가</t>
        </is>
      </c>
      <c r="M650" s="18">
        <f>COUNTIF('스폰_편집'!$D$5:$D$3125,A650)</f>
        <v/>
      </c>
      <c r="N650" s="18">
        <f>COUNTIFS('스폰_편집'!$D$5:$D$3125,A650,'스폰_편집'!$B$5:$B$3125,"사용")</f>
        <v/>
      </c>
      <c r="O650" s="18" t="n">
        <v>1</v>
      </c>
      <c r="P650" s="18" t="inlineStr">
        <is>
          <t>minecraft:ice_spikes</t>
        </is>
      </c>
      <c r="Q650" s="18" t="inlineStr">
        <is>
          <t>ultra-rare</t>
        </is>
      </c>
      <c r="R650" s="18" t="inlineStr"/>
      <c r="S650" s="18" t="inlineStr">
        <is>
          <t>cobbleventure:generation_5</t>
        </is>
      </c>
      <c r="T650" s="18">
        <f>IF(M650=0,"없음",IF(N650=0,"전부 제외","사용"))</f>
        <v/>
      </c>
      <c r="U650" s="18" t="inlineStr"/>
    </row>
    <row r="651" ht="30" customHeight="1">
      <c r="A651" s="18" t="n">
        <v>647</v>
      </c>
      <c r="B651" s="18" t="inlineStr">
        <is>
          <t>케르디오</t>
        </is>
      </c>
      <c r="C651" s="18" t="inlineStr">
        <is>
          <t>keldeo</t>
        </is>
      </c>
      <c r="D651" s="18" t="inlineStr">
        <is>
          <t>Keldeo</t>
        </is>
      </c>
      <c r="E651" s="18" t="n">
        <v>5</v>
      </c>
      <c r="F651" s="18" t="inlineStr">
        <is>
          <t>generation5</t>
        </is>
      </c>
      <c r="G651" s="18" t="inlineStr">
        <is>
          <t>water</t>
        </is>
      </c>
      <c r="H651" s="18" t="inlineStr">
        <is>
          <t>fighting</t>
        </is>
      </c>
      <c r="I651" s="18" t="inlineStr">
        <is>
          <t>아니오</t>
        </is>
      </c>
      <c r="J651" s="18" t="inlineStr">
        <is>
          <t>아니오</t>
        </is>
      </c>
      <c r="K651" s="18" t="inlineStr">
        <is>
          <t>예</t>
        </is>
      </c>
      <c r="L651" s="18" t="inlineStr">
        <is>
          <t>COBBLEVERSE 추가</t>
        </is>
      </c>
      <c r="M651" s="18">
        <f>COUNTIF('스폰_편집'!$D$5:$D$3125,A651)</f>
        <v/>
      </c>
      <c r="N651" s="18">
        <f>COUNTIFS('스폰_편집'!$D$5:$D$3125,A651,'스폰_편집'!$B$5:$B$3125,"사용")</f>
        <v/>
      </c>
      <c r="O651" s="18" t="n">
        <v>2</v>
      </c>
      <c r="P651" s="18" t="inlineStr">
        <is>
          <t>terralith:sakura_grove; terralith:sakura_valley</t>
        </is>
      </c>
      <c r="Q651" s="18" t="inlineStr">
        <is>
          <t>ultra-rare</t>
        </is>
      </c>
      <c r="R651" s="18" t="inlineStr"/>
      <c r="S651" s="18" t="inlineStr">
        <is>
          <t>cobbleventure:generation_5</t>
        </is>
      </c>
      <c r="T651" s="18">
        <f>IF(M651=0,"없음",IF(N651=0,"전부 제외","사용"))</f>
        <v/>
      </c>
      <c r="U651" s="18" t="inlineStr"/>
    </row>
    <row r="652" ht="30" customHeight="1">
      <c r="A652" s="18" t="n">
        <v>648</v>
      </c>
      <c r="B652" s="18" t="inlineStr">
        <is>
          <t>메로엣타</t>
        </is>
      </c>
      <c r="C652" s="18" t="inlineStr">
        <is>
          <t>meloetta</t>
        </is>
      </c>
      <c r="D652" s="18" t="inlineStr">
        <is>
          <t>Meloetta</t>
        </is>
      </c>
      <c r="E652" s="18" t="n">
        <v>5</v>
      </c>
      <c r="F652" s="18" t="inlineStr">
        <is>
          <t>generation5</t>
        </is>
      </c>
      <c r="G652" s="18" t="inlineStr">
        <is>
          <t>normal</t>
        </is>
      </c>
      <c r="H652" s="18" t="inlineStr">
        <is>
          <t>psychic</t>
        </is>
      </c>
      <c r="I652" s="18" t="inlineStr">
        <is>
          <t>아니오</t>
        </is>
      </c>
      <c r="J652" s="18" t="inlineStr">
        <is>
          <t>아니오</t>
        </is>
      </c>
      <c r="K652" s="18" t="inlineStr">
        <is>
          <t>예</t>
        </is>
      </c>
      <c r="L652" s="18" t="inlineStr">
        <is>
          <t>COBBLEVERSE 추가</t>
        </is>
      </c>
      <c r="M652" s="18">
        <f>COUNTIF('스폰_편집'!$D$5:$D$3125,A652)</f>
        <v/>
      </c>
      <c r="N652" s="18">
        <f>COUNTIFS('스폰_편집'!$D$5:$D$3125,A652,'스폰_편집'!$B$5:$B$3125,"사용")</f>
        <v/>
      </c>
      <c r="O652" s="18" t="n">
        <v>1</v>
      </c>
      <c r="P652" s="18" t="inlineStr">
        <is>
          <t>minecraft:sunflower_plains</t>
        </is>
      </c>
      <c r="Q652" s="18" t="inlineStr">
        <is>
          <t>rare</t>
        </is>
      </c>
      <c r="R652" s="18" t="inlineStr"/>
      <c r="S652" s="18" t="inlineStr">
        <is>
          <t>cobbleventure:generation_5</t>
        </is>
      </c>
      <c r="T652" s="18">
        <f>IF(M652=0,"없음",IF(N652=0,"전부 제외","사용"))</f>
        <v/>
      </c>
      <c r="U652" s="18" t="inlineStr"/>
    </row>
    <row r="653" ht="30" customHeight="1">
      <c r="A653" s="18" t="n">
        <v>649</v>
      </c>
      <c r="B653" s="18" t="inlineStr">
        <is>
          <t>게노세크트</t>
        </is>
      </c>
      <c r="C653" s="18" t="inlineStr">
        <is>
          <t>genesect</t>
        </is>
      </c>
      <c r="D653" s="18" t="inlineStr">
        <is>
          <t>Genesect</t>
        </is>
      </c>
      <c r="E653" s="18" t="n">
        <v>5</v>
      </c>
      <c r="F653" s="18" t="inlineStr">
        <is>
          <t>generation5</t>
        </is>
      </c>
      <c r="G653" s="18" t="inlineStr">
        <is>
          <t>bug</t>
        </is>
      </c>
      <c r="H653" s="18" t="inlineStr">
        <is>
          <t>steel</t>
        </is>
      </c>
      <c r="I653" s="18" t="inlineStr">
        <is>
          <t>아니오</t>
        </is>
      </c>
      <c r="J653" s="18" t="inlineStr">
        <is>
          <t>아니오</t>
        </is>
      </c>
      <c r="K653" s="18" t="inlineStr">
        <is>
          <t>예</t>
        </is>
      </c>
      <c r="L653" s="18" t="inlineStr">
        <is>
          <t>COBBLEVERSE 추가</t>
        </is>
      </c>
      <c r="M653" s="18">
        <f>COUNTIF('스폰_편집'!$D$5:$D$3125,A653)</f>
        <v/>
      </c>
      <c r="N653" s="18">
        <f>COUNTIFS('스폰_편집'!$D$5:$D$3125,A653,'스폰_편집'!$B$5:$B$3125,"사용")</f>
        <v/>
      </c>
      <c r="O653" s="18" t="n">
        <v>1</v>
      </c>
      <c r="P653" s="18" t="inlineStr">
        <is>
          <t>#cobblemon:is_dripstone</t>
        </is>
      </c>
      <c r="Q653" s="18" t="inlineStr">
        <is>
          <t>ultra-rare</t>
        </is>
      </c>
      <c r="R653" s="18" t="inlineStr"/>
      <c r="S653" s="18" t="inlineStr">
        <is>
          <t>cobbleventure:generation_5</t>
        </is>
      </c>
      <c r="T653" s="18">
        <f>IF(M653=0,"없음",IF(N653=0,"전부 제외","사용"))</f>
        <v/>
      </c>
      <c r="U653" s="18" t="inlineStr"/>
    </row>
    <row r="654" ht="30" customHeight="1">
      <c r="A654" s="18" t="n">
        <v>650</v>
      </c>
      <c r="B654" s="18" t="inlineStr">
        <is>
          <t>도치마론</t>
        </is>
      </c>
      <c r="C654" s="18" t="inlineStr">
        <is>
          <t>chespin</t>
        </is>
      </c>
      <c r="D654" s="18" t="inlineStr">
        <is>
          <t>Chespin</t>
        </is>
      </c>
      <c r="E654" s="18" t="n">
        <v>6</v>
      </c>
      <c r="F654" s="18" t="inlineStr">
        <is>
          <t>generation6</t>
        </is>
      </c>
      <c r="G654" s="18" t="inlineStr">
        <is>
          <t>grass</t>
        </is>
      </c>
      <c r="H654" s="18" t="inlineStr"/>
      <c r="I654" s="18" t="inlineStr">
        <is>
          <t>예</t>
        </is>
      </c>
      <c r="J654" s="18" t="inlineStr">
        <is>
          <t>예</t>
        </is>
      </c>
      <c r="K654" s="18" t="inlineStr">
        <is>
          <t>예</t>
        </is>
      </c>
      <c r="L654" s="18" t="inlineStr">
        <is>
          <t>Cobblemon 동일</t>
        </is>
      </c>
      <c r="M654" s="18">
        <f>COUNTIF('스폰_편집'!$D$5:$D$3125,A654)</f>
        <v/>
      </c>
      <c r="N654" s="18">
        <f>COUNTIFS('스폰_편집'!$D$5:$D$3125,A654,'스폰_편집'!$B$5:$B$3125,"사용")</f>
        <v/>
      </c>
      <c r="O654" s="18" t="n">
        <v>1</v>
      </c>
      <c r="P654" s="18" t="inlineStr">
        <is>
          <t>#cobblemon:is_forest</t>
        </is>
      </c>
      <c r="Q654" s="18" t="inlineStr">
        <is>
          <t>ultra-rare</t>
        </is>
      </c>
      <c r="R654" s="18" t="inlineStr">
        <is>
          <t>region_01</t>
        </is>
      </c>
      <c r="S654" s="18" t="inlineStr">
        <is>
          <t>cobbleventure:generation_6</t>
        </is>
      </c>
      <c r="T654" s="18">
        <f>IF(M654=0,"없음",IF(N654=0,"전부 제외","사용"))</f>
        <v/>
      </c>
      <c r="U654" s="18" t="inlineStr"/>
    </row>
    <row r="655" ht="30" customHeight="1">
      <c r="A655" s="18" t="n">
        <v>651</v>
      </c>
      <c r="B655" s="18" t="inlineStr">
        <is>
          <t>도치보구</t>
        </is>
      </c>
      <c r="C655" s="18" t="inlineStr">
        <is>
          <t>quilladin</t>
        </is>
      </c>
      <c r="D655" s="18" t="inlineStr">
        <is>
          <t>Quilladin</t>
        </is>
      </c>
      <c r="E655" s="18" t="n">
        <v>6</v>
      </c>
      <c r="F655" s="18" t="inlineStr">
        <is>
          <t>generation6</t>
        </is>
      </c>
      <c r="G655" s="18" t="inlineStr">
        <is>
          <t>grass</t>
        </is>
      </c>
      <c r="H655" s="18" t="inlineStr"/>
      <c r="I655" s="18" t="inlineStr">
        <is>
          <t>예</t>
        </is>
      </c>
      <c r="J655" s="18" t="inlineStr">
        <is>
          <t>예</t>
        </is>
      </c>
      <c r="K655" s="18" t="inlineStr">
        <is>
          <t>예</t>
        </is>
      </c>
      <c r="L655" s="18" t="inlineStr">
        <is>
          <t>Cobblemon 동일</t>
        </is>
      </c>
      <c r="M655" s="18">
        <f>COUNTIF('스폰_편집'!$D$5:$D$3125,A655)</f>
        <v/>
      </c>
      <c r="N655" s="18">
        <f>COUNTIFS('스폰_편집'!$D$5:$D$3125,A655,'스폰_편집'!$B$5:$B$3125,"사용")</f>
        <v/>
      </c>
      <c r="O655" s="18" t="n">
        <v>1</v>
      </c>
      <c r="P655" s="18" t="inlineStr">
        <is>
          <t>#cobblemon:is_forest</t>
        </is>
      </c>
      <c r="Q655" s="18" t="inlineStr">
        <is>
          <t>ultra-rare</t>
        </is>
      </c>
      <c r="R655" s="18" t="inlineStr">
        <is>
          <t>region_01</t>
        </is>
      </c>
      <c r="S655" s="18" t="inlineStr">
        <is>
          <t>cobbleventure:generation_6</t>
        </is>
      </c>
      <c r="T655" s="18">
        <f>IF(M655=0,"없음",IF(N655=0,"전부 제외","사용"))</f>
        <v/>
      </c>
      <c r="U655" s="18" t="inlineStr"/>
    </row>
    <row r="656" ht="30" customHeight="1">
      <c r="A656" s="18" t="n">
        <v>652</v>
      </c>
      <c r="B656" s="18" t="inlineStr">
        <is>
          <t>브리가론</t>
        </is>
      </c>
      <c r="C656" s="18" t="inlineStr">
        <is>
          <t>chesnaught</t>
        </is>
      </c>
      <c r="D656" s="18" t="inlineStr">
        <is>
          <t>Chesnaught</t>
        </is>
      </c>
      <c r="E656" s="18" t="n">
        <v>6</v>
      </c>
      <c r="F656" s="18" t="inlineStr">
        <is>
          <t>generation6</t>
        </is>
      </c>
      <c r="G656" s="18" t="inlineStr">
        <is>
          <t>grass</t>
        </is>
      </c>
      <c r="H656" s="18" t="inlineStr">
        <is>
          <t>fighting</t>
        </is>
      </c>
      <c r="I656" s="18" t="inlineStr">
        <is>
          <t>예</t>
        </is>
      </c>
      <c r="J656" s="18" t="inlineStr">
        <is>
          <t>예</t>
        </is>
      </c>
      <c r="K656" s="18" t="inlineStr">
        <is>
          <t>예</t>
        </is>
      </c>
      <c r="L656" s="18" t="inlineStr">
        <is>
          <t>Cobblemon 동일</t>
        </is>
      </c>
      <c r="M656" s="18">
        <f>COUNTIF('스폰_편집'!$D$5:$D$3125,A656)</f>
        <v/>
      </c>
      <c r="N656" s="18">
        <f>COUNTIFS('스폰_편집'!$D$5:$D$3125,A656,'스폰_편집'!$B$5:$B$3125,"사용")</f>
        <v/>
      </c>
      <c r="O656" s="18" t="n">
        <v>1</v>
      </c>
      <c r="P656" s="18" t="inlineStr">
        <is>
          <t>#cobblemon:is_forest</t>
        </is>
      </c>
      <c r="Q656" s="18" t="inlineStr">
        <is>
          <t>ultra-rare</t>
        </is>
      </c>
      <c r="R656" s="18" t="inlineStr">
        <is>
          <t>region_01</t>
        </is>
      </c>
      <c r="S656" s="18" t="inlineStr">
        <is>
          <t>cobbleventure:generation_6</t>
        </is>
      </c>
      <c r="T656" s="18">
        <f>IF(M656=0,"없음",IF(N656=0,"전부 제외","사용"))</f>
        <v/>
      </c>
      <c r="U656" s="18" t="inlineStr"/>
    </row>
    <row r="657" ht="30" customHeight="1">
      <c r="A657" s="18" t="n">
        <v>653</v>
      </c>
      <c r="B657" s="18" t="inlineStr">
        <is>
          <t>푸호꼬</t>
        </is>
      </c>
      <c r="C657" s="18" t="inlineStr">
        <is>
          <t>fennekin</t>
        </is>
      </c>
      <c r="D657" s="18" t="inlineStr">
        <is>
          <t>Fennekin</t>
        </is>
      </c>
      <c r="E657" s="18" t="n">
        <v>6</v>
      </c>
      <c r="F657" s="18" t="inlineStr">
        <is>
          <t>generation6</t>
        </is>
      </c>
      <c r="G657" s="18" t="inlineStr">
        <is>
          <t>fire</t>
        </is>
      </c>
      <c r="H657" s="18" t="inlineStr"/>
      <c r="I657" s="18" t="inlineStr">
        <is>
          <t>예</t>
        </is>
      </c>
      <c r="J657" s="18" t="inlineStr">
        <is>
          <t>예</t>
        </is>
      </c>
      <c r="K657" s="18" t="inlineStr">
        <is>
          <t>예</t>
        </is>
      </c>
      <c r="L657" s="18" t="inlineStr">
        <is>
          <t>Cobblemon 동일</t>
        </is>
      </c>
      <c r="M657" s="18">
        <f>COUNTIF('스폰_편집'!$D$5:$D$3125,A657)</f>
        <v/>
      </c>
      <c r="N657" s="18">
        <f>COUNTIFS('스폰_편집'!$D$5:$D$3125,A657,'스폰_편집'!$B$5:$B$3125,"사용")</f>
        <v/>
      </c>
      <c r="O657" s="18" t="n">
        <v>1</v>
      </c>
      <c r="P657" s="18" t="inlineStr">
        <is>
          <t>#cobblemon:is_desert</t>
        </is>
      </c>
      <c r="Q657" s="18" t="inlineStr">
        <is>
          <t>ultra-rare</t>
        </is>
      </c>
      <c r="R657" s="18" t="inlineStr">
        <is>
          <t>region_02</t>
        </is>
      </c>
      <c r="S657" s="18" t="inlineStr">
        <is>
          <t>cobbleventure:generation_6</t>
        </is>
      </c>
      <c r="T657" s="18">
        <f>IF(M657=0,"없음",IF(N657=0,"전부 제외","사용"))</f>
        <v/>
      </c>
      <c r="U657" s="18" t="inlineStr"/>
    </row>
    <row r="658" ht="30" customHeight="1">
      <c r="A658" s="18" t="n">
        <v>654</v>
      </c>
      <c r="B658" s="18" t="inlineStr">
        <is>
          <t>테르나</t>
        </is>
      </c>
      <c r="C658" s="18" t="inlineStr">
        <is>
          <t>braixen</t>
        </is>
      </c>
      <c r="D658" s="18" t="inlineStr">
        <is>
          <t>Braixen</t>
        </is>
      </c>
      <c r="E658" s="18" t="n">
        <v>6</v>
      </c>
      <c r="F658" s="18" t="inlineStr">
        <is>
          <t>generation6</t>
        </is>
      </c>
      <c r="G658" s="18" t="inlineStr">
        <is>
          <t>fire</t>
        </is>
      </c>
      <c r="H658" s="18" t="inlineStr"/>
      <c r="I658" s="18" t="inlineStr">
        <is>
          <t>예</t>
        </is>
      </c>
      <c r="J658" s="18" t="inlineStr">
        <is>
          <t>예</t>
        </is>
      </c>
      <c r="K658" s="18" t="inlineStr">
        <is>
          <t>예</t>
        </is>
      </c>
      <c r="L658" s="18" t="inlineStr">
        <is>
          <t>Cobblemon 동일</t>
        </is>
      </c>
      <c r="M658" s="18">
        <f>COUNTIF('스폰_편집'!$D$5:$D$3125,A658)</f>
        <v/>
      </c>
      <c r="N658" s="18">
        <f>COUNTIFS('스폰_편집'!$D$5:$D$3125,A658,'스폰_편집'!$B$5:$B$3125,"사용")</f>
        <v/>
      </c>
      <c r="O658" s="18" t="n">
        <v>1</v>
      </c>
      <c r="P658" s="18" t="inlineStr">
        <is>
          <t>#cobblemon:is_desert</t>
        </is>
      </c>
      <c r="Q658" s="18" t="inlineStr">
        <is>
          <t>ultra-rare</t>
        </is>
      </c>
      <c r="R658" s="18" t="inlineStr">
        <is>
          <t>region_02</t>
        </is>
      </c>
      <c r="S658" s="18" t="inlineStr">
        <is>
          <t>cobbleventure:generation_6</t>
        </is>
      </c>
      <c r="T658" s="18">
        <f>IF(M658=0,"없음",IF(N658=0,"전부 제외","사용"))</f>
        <v/>
      </c>
      <c r="U658" s="18" t="inlineStr"/>
    </row>
    <row r="659" ht="30" customHeight="1">
      <c r="A659" s="18" t="n">
        <v>655</v>
      </c>
      <c r="B659" s="18" t="inlineStr">
        <is>
          <t>마폭시</t>
        </is>
      </c>
      <c r="C659" s="18" t="inlineStr">
        <is>
          <t>delphox</t>
        </is>
      </c>
      <c r="D659" s="18" t="inlineStr">
        <is>
          <t>Delphox</t>
        </is>
      </c>
      <c r="E659" s="18" t="n">
        <v>6</v>
      </c>
      <c r="F659" s="18" t="inlineStr">
        <is>
          <t>generation6</t>
        </is>
      </c>
      <c r="G659" s="18" t="inlineStr">
        <is>
          <t>fire</t>
        </is>
      </c>
      <c r="H659" s="18" t="inlineStr">
        <is>
          <t>psychic</t>
        </is>
      </c>
      <c r="I659" s="18" t="inlineStr">
        <is>
          <t>예</t>
        </is>
      </c>
      <c r="J659" s="18" t="inlineStr">
        <is>
          <t>예</t>
        </is>
      </c>
      <c r="K659" s="18" t="inlineStr">
        <is>
          <t>예</t>
        </is>
      </c>
      <c r="L659" s="18" t="inlineStr">
        <is>
          <t>Cobblemon 동일</t>
        </is>
      </c>
      <c r="M659" s="18">
        <f>COUNTIF('스폰_편집'!$D$5:$D$3125,A659)</f>
        <v/>
      </c>
      <c r="N659" s="18">
        <f>COUNTIFS('스폰_편집'!$D$5:$D$3125,A659,'스폰_편집'!$B$5:$B$3125,"사용")</f>
        <v/>
      </c>
      <c r="O659" s="18" t="n">
        <v>1</v>
      </c>
      <c r="P659" s="18" t="inlineStr">
        <is>
          <t>#cobblemon:is_desert</t>
        </is>
      </c>
      <c r="Q659" s="18" t="inlineStr">
        <is>
          <t>ultra-rare</t>
        </is>
      </c>
      <c r="R659" s="18" t="inlineStr">
        <is>
          <t>region_02</t>
        </is>
      </c>
      <c r="S659" s="18" t="inlineStr">
        <is>
          <t>cobbleventure:generation_6</t>
        </is>
      </c>
      <c r="T659" s="18">
        <f>IF(M659=0,"없음",IF(N659=0,"전부 제외","사용"))</f>
        <v/>
      </c>
      <c r="U659" s="18" t="inlineStr"/>
    </row>
    <row r="660" ht="30" customHeight="1">
      <c r="A660" s="18" t="n">
        <v>656</v>
      </c>
      <c r="B660" s="18" t="inlineStr">
        <is>
          <t>개구마르</t>
        </is>
      </c>
      <c r="C660" s="18" t="inlineStr">
        <is>
          <t>froakie</t>
        </is>
      </c>
      <c r="D660" s="18" t="inlineStr">
        <is>
          <t>Froakie</t>
        </is>
      </c>
      <c r="E660" s="18" t="n">
        <v>6</v>
      </c>
      <c r="F660" s="18" t="inlineStr">
        <is>
          <t>generation6</t>
        </is>
      </c>
      <c r="G660" s="18" t="inlineStr">
        <is>
          <t>water</t>
        </is>
      </c>
      <c r="H660" s="18" t="inlineStr"/>
      <c r="I660" s="18" t="inlineStr">
        <is>
          <t>예</t>
        </is>
      </c>
      <c r="J660" s="18" t="inlineStr">
        <is>
          <t>예</t>
        </is>
      </c>
      <c r="K660" s="18" t="inlineStr">
        <is>
          <t>예</t>
        </is>
      </c>
      <c r="L660" s="18" t="inlineStr">
        <is>
          <t>Cobblemon 동일</t>
        </is>
      </c>
      <c r="M660" s="18">
        <f>COUNTIF('스폰_편집'!$D$5:$D$3125,A660)</f>
        <v/>
      </c>
      <c r="N660" s="18">
        <f>COUNTIFS('스폰_편집'!$D$5:$D$3125,A660,'스폰_편집'!$B$5:$B$3125,"사용")</f>
        <v/>
      </c>
      <c r="O660" s="18" t="n">
        <v>3</v>
      </c>
      <c r="P660" s="18" t="inlineStr">
        <is>
          <t>#cobblemon:is_bamboo; #cobblemon:is_freshwater; #cobblemon:is_jungle</t>
        </is>
      </c>
      <c r="Q660" s="18" t="inlineStr">
        <is>
          <t>ultra-rare</t>
        </is>
      </c>
      <c r="R660" s="18" t="inlineStr">
        <is>
          <t>region_02</t>
        </is>
      </c>
      <c r="S660" s="18" t="inlineStr">
        <is>
          <t>cobbleventure:generation_6</t>
        </is>
      </c>
      <c r="T660" s="18">
        <f>IF(M660=0,"없음",IF(N660=0,"전부 제외","사용"))</f>
        <v/>
      </c>
      <c r="U660" s="18" t="inlineStr"/>
    </row>
    <row r="661" ht="30" customHeight="1">
      <c r="A661" s="18" t="n">
        <v>657</v>
      </c>
      <c r="B661" s="18" t="inlineStr">
        <is>
          <t>개굴반장</t>
        </is>
      </c>
      <c r="C661" s="18" t="inlineStr">
        <is>
          <t>frogadier</t>
        </is>
      </c>
      <c r="D661" s="18" t="inlineStr">
        <is>
          <t>Frogadier</t>
        </is>
      </c>
      <c r="E661" s="18" t="n">
        <v>6</v>
      </c>
      <c r="F661" s="18" t="inlineStr">
        <is>
          <t>generation6</t>
        </is>
      </c>
      <c r="G661" s="18" t="inlineStr">
        <is>
          <t>water</t>
        </is>
      </c>
      <c r="H661" s="18" t="inlineStr"/>
      <c r="I661" s="18" t="inlineStr">
        <is>
          <t>예</t>
        </is>
      </c>
      <c r="J661" s="18" t="inlineStr">
        <is>
          <t>예</t>
        </is>
      </c>
      <c r="K661" s="18" t="inlineStr">
        <is>
          <t>예</t>
        </is>
      </c>
      <c r="L661" s="18" t="inlineStr">
        <is>
          <t>Cobblemon 동일</t>
        </is>
      </c>
      <c r="M661" s="18">
        <f>COUNTIF('스폰_편집'!$D$5:$D$3125,A661)</f>
        <v/>
      </c>
      <c r="N661" s="18">
        <f>COUNTIFS('스폰_편집'!$D$5:$D$3125,A661,'스폰_편집'!$B$5:$B$3125,"사용")</f>
        <v/>
      </c>
      <c r="O661" s="18" t="n">
        <v>3</v>
      </c>
      <c r="P661" s="18" t="inlineStr">
        <is>
          <t>#cobblemon:is_bamboo; #cobblemon:is_freshwater; #cobblemon:is_jungle</t>
        </is>
      </c>
      <c r="Q661" s="18" t="inlineStr">
        <is>
          <t>ultra-rare</t>
        </is>
      </c>
      <c r="R661" s="18" t="inlineStr">
        <is>
          <t>region_02</t>
        </is>
      </c>
      <c r="S661" s="18" t="inlineStr">
        <is>
          <t>cobbleventure:generation_6</t>
        </is>
      </c>
      <c r="T661" s="18">
        <f>IF(M661=0,"없음",IF(N661=0,"전부 제외","사용"))</f>
        <v/>
      </c>
      <c r="U661" s="18" t="inlineStr"/>
    </row>
    <row r="662" ht="30" customHeight="1">
      <c r="A662" s="18" t="n">
        <v>658</v>
      </c>
      <c r="B662" s="18" t="inlineStr">
        <is>
          <t>개굴닌자</t>
        </is>
      </c>
      <c r="C662" s="18" t="inlineStr">
        <is>
          <t>greninja</t>
        </is>
      </c>
      <c r="D662" s="18" t="inlineStr">
        <is>
          <t>Greninja</t>
        </is>
      </c>
      <c r="E662" s="18" t="n">
        <v>6</v>
      </c>
      <c r="F662" s="18" t="inlineStr">
        <is>
          <t>generation6</t>
        </is>
      </c>
      <c r="G662" s="18" t="inlineStr">
        <is>
          <t>water</t>
        </is>
      </c>
      <c r="H662" s="18" t="inlineStr">
        <is>
          <t>dark</t>
        </is>
      </c>
      <c r="I662" s="18" t="inlineStr">
        <is>
          <t>예</t>
        </is>
      </c>
      <c r="J662" s="18" t="inlineStr">
        <is>
          <t>예</t>
        </is>
      </c>
      <c r="K662" s="18" t="inlineStr">
        <is>
          <t>예</t>
        </is>
      </c>
      <c r="L662" s="18" t="inlineStr">
        <is>
          <t>Cobblemon 동일</t>
        </is>
      </c>
      <c r="M662" s="18">
        <f>COUNTIF('스폰_편집'!$D$5:$D$3125,A662)</f>
        <v/>
      </c>
      <c r="N662" s="18">
        <f>COUNTIFS('스폰_편집'!$D$5:$D$3125,A662,'스폰_편집'!$B$5:$B$3125,"사용")</f>
        <v/>
      </c>
      <c r="O662" s="18" t="n">
        <v>3</v>
      </c>
      <c r="P662" s="18" t="inlineStr">
        <is>
          <t>#cobblemon:is_bamboo; #cobblemon:is_freshwater; #cobblemon:is_jungle</t>
        </is>
      </c>
      <c r="Q662" s="18" t="inlineStr">
        <is>
          <t>ultra-rare</t>
        </is>
      </c>
      <c r="R662" s="18" t="inlineStr">
        <is>
          <t>region_02</t>
        </is>
      </c>
      <c r="S662" s="18" t="inlineStr">
        <is>
          <t>cobbleventure:generation_6</t>
        </is>
      </c>
      <c r="T662" s="18">
        <f>IF(M662=0,"없음",IF(N662=0,"전부 제외","사용"))</f>
        <v/>
      </c>
      <c r="U662" s="18" t="inlineStr"/>
    </row>
    <row r="663" ht="30" customHeight="1">
      <c r="A663" s="18" t="n">
        <v>659</v>
      </c>
      <c r="B663" s="18" t="inlineStr">
        <is>
          <t>파르빗</t>
        </is>
      </c>
      <c r="C663" s="18" t="inlineStr">
        <is>
          <t>bunnelby</t>
        </is>
      </c>
      <c r="D663" s="18" t="inlineStr">
        <is>
          <t>Bunnelby</t>
        </is>
      </c>
      <c r="E663" s="18" t="n">
        <v>6</v>
      </c>
      <c r="F663" s="18" t="inlineStr">
        <is>
          <t>generation6</t>
        </is>
      </c>
      <c r="G663" s="18" t="inlineStr">
        <is>
          <t>normal</t>
        </is>
      </c>
      <c r="H663" s="18" t="inlineStr"/>
      <c r="I663" s="18" t="inlineStr">
        <is>
          <t>예</t>
        </is>
      </c>
      <c r="J663" s="18" t="inlineStr">
        <is>
          <t>예</t>
        </is>
      </c>
      <c r="K663" s="18" t="inlineStr">
        <is>
          <t>예</t>
        </is>
      </c>
      <c r="L663" s="18" t="inlineStr">
        <is>
          <t>Cobblemon 동일</t>
        </is>
      </c>
      <c r="M663" s="18">
        <f>COUNTIF('스폰_편집'!$D$5:$D$3125,A663)</f>
        <v/>
      </c>
      <c r="N663" s="18">
        <f>COUNTIFS('스폰_편집'!$D$5:$D$3125,A663,'스폰_편집'!$B$5:$B$3125,"사용")</f>
        <v/>
      </c>
      <c r="O663" s="18" t="n">
        <v>2</v>
      </c>
      <c r="P663" s="18" t="inlineStr">
        <is>
          <t>#cobblemon:is_hills; #cobblemon:is_temperate</t>
        </is>
      </c>
      <c r="Q663" s="18" t="inlineStr">
        <is>
          <t>common</t>
        </is>
      </c>
      <c r="R663" s="18" t="inlineStr">
        <is>
          <t>region_01</t>
        </is>
      </c>
      <c r="S663" s="18" t="inlineStr">
        <is>
          <t>cobbleventure:generation_6</t>
        </is>
      </c>
      <c r="T663" s="18">
        <f>IF(M663=0,"없음",IF(N663=0,"전부 제외","사용"))</f>
        <v/>
      </c>
      <c r="U663" s="18" t="inlineStr"/>
    </row>
    <row r="664" ht="30" customHeight="1">
      <c r="A664" s="18" t="n">
        <v>660</v>
      </c>
      <c r="B664" s="18" t="inlineStr">
        <is>
          <t>파르토</t>
        </is>
      </c>
      <c r="C664" s="18" t="inlineStr">
        <is>
          <t>diggersby</t>
        </is>
      </c>
      <c r="D664" s="18" t="inlineStr">
        <is>
          <t>Diggersby</t>
        </is>
      </c>
      <c r="E664" s="18" t="n">
        <v>6</v>
      </c>
      <c r="F664" s="18" t="inlineStr">
        <is>
          <t>generation6</t>
        </is>
      </c>
      <c r="G664" s="18" t="inlineStr">
        <is>
          <t>normal</t>
        </is>
      </c>
      <c r="H664" s="18" t="inlineStr">
        <is>
          <t>ground</t>
        </is>
      </c>
      <c r="I664" s="18" t="inlineStr">
        <is>
          <t>예</t>
        </is>
      </c>
      <c r="J664" s="18" t="inlineStr">
        <is>
          <t>예</t>
        </is>
      </c>
      <c r="K664" s="18" t="inlineStr">
        <is>
          <t>예</t>
        </is>
      </c>
      <c r="L664" s="18" t="inlineStr">
        <is>
          <t>Cobblemon 동일</t>
        </is>
      </c>
      <c r="M664" s="18">
        <f>COUNTIF('스폰_편집'!$D$5:$D$3125,A664)</f>
        <v/>
      </c>
      <c r="N664" s="18">
        <f>COUNTIFS('스폰_편집'!$D$5:$D$3125,A664,'스폰_편집'!$B$5:$B$3125,"사용")</f>
        <v/>
      </c>
      <c r="O664" s="18" t="n">
        <v>2</v>
      </c>
      <c r="P664" s="18" t="inlineStr">
        <is>
          <t>#cobblemon:is_hills; #cobblemon:is_temperate</t>
        </is>
      </c>
      <c r="Q664" s="18" t="inlineStr">
        <is>
          <t>common</t>
        </is>
      </c>
      <c r="R664" s="18" t="inlineStr">
        <is>
          <t>region_01</t>
        </is>
      </c>
      <c r="S664" s="18" t="inlineStr">
        <is>
          <t>cobbleventure:generation_6</t>
        </is>
      </c>
      <c r="T664" s="18">
        <f>IF(M664=0,"없음",IF(N664=0,"전부 제외","사용"))</f>
        <v/>
      </c>
      <c r="U664" s="18" t="inlineStr"/>
    </row>
    <row r="665" ht="30" customHeight="1">
      <c r="A665" s="18" t="n">
        <v>661</v>
      </c>
      <c r="B665" s="18" t="inlineStr">
        <is>
          <t>화살꼬빈</t>
        </is>
      </c>
      <c r="C665" s="18" t="inlineStr">
        <is>
          <t>fletchling</t>
        </is>
      </c>
      <c r="D665" s="18" t="inlineStr">
        <is>
          <t>Fletchling</t>
        </is>
      </c>
      <c r="E665" s="18" t="n">
        <v>6</v>
      </c>
      <c r="F665" s="18" t="inlineStr">
        <is>
          <t>generation6</t>
        </is>
      </c>
      <c r="G665" s="18" t="inlineStr">
        <is>
          <t>normal</t>
        </is>
      </c>
      <c r="H665" s="18" t="inlineStr">
        <is>
          <t>flying</t>
        </is>
      </c>
      <c r="I665" s="18" t="inlineStr">
        <is>
          <t>예</t>
        </is>
      </c>
      <c r="J665" s="18" t="inlineStr">
        <is>
          <t>예</t>
        </is>
      </c>
      <c r="K665" s="18" t="inlineStr">
        <is>
          <t>예</t>
        </is>
      </c>
      <c r="L665" s="18" t="inlineStr">
        <is>
          <t>Cobblemon 동일</t>
        </is>
      </c>
      <c r="M665" s="18">
        <f>COUNTIF('스폰_편집'!$D$5:$D$3125,A665)</f>
        <v/>
      </c>
      <c r="N665" s="18">
        <f>COUNTIFS('스폰_편집'!$D$5:$D$3125,A665,'스폰_편집'!$B$5:$B$3125,"사용")</f>
        <v/>
      </c>
      <c r="O665" s="18" t="n">
        <v>7</v>
      </c>
      <c r="P665" s="18" t="inlineStr">
        <is>
          <t>#cobblemon:is_forest; #cobblemon:is_sky; #cobblemon:is_taiga; #cobblemon:nether/is_forest; #cobblemon:nether/is_fungus; aether:skyroot_forest; aether:skyroot_woodland</t>
        </is>
      </c>
      <c r="Q665" s="18" t="inlineStr">
        <is>
          <t>common</t>
        </is>
      </c>
      <c r="R665" s="18" t="inlineStr">
        <is>
          <t>region_01</t>
        </is>
      </c>
      <c r="S665" s="18" t="inlineStr">
        <is>
          <t>cobbleventure:generation_6</t>
        </is>
      </c>
      <c r="T665" s="18">
        <f>IF(M665=0,"없음",IF(N665=0,"전부 제외","사용"))</f>
        <v/>
      </c>
      <c r="U665" s="18" t="inlineStr"/>
    </row>
    <row r="666" ht="30" customHeight="1">
      <c r="A666" s="18" t="n">
        <v>662</v>
      </c>
      <c r="B666" s="18" t="inlineStr">
        <is>
          <t>불화살빈</t>
        </is>
      </c>
      <c r="C666" s="18" t="inlineStr">
        <is>
          <t>fletchinder</t>
        </is>
      </c>
      <c r="D666" s="18" t="inlineStr">
        <is>
          <t>Fletchinder</t>
        </is>
      </c>
      <c r="E666" s="18" t="n">
        <v>6</v>
      </c>
      <c r="F666" s="18" t="inlineStr">
        <is>
          <t>generation6</t>
        </is>
      </c>
      <c r="G666" s="18" t="inlineStr">
        <is>
          <t>fire</t>
        </is>
      </c>
      <c r="H666" s="18" t="inlineStr">
        <is>
          <t>flying</t>
        </is>
      </c>
      <c r="I666" s="18" t="inlineStr">
        <is>
          <t>예</t>
        </is>
      </c>
      <c r="J666" s="18" t="inlineStr">
        <is>
          <t>예</t>
        </is>
      </c>
      <c r="K666" s="18" t="inlineStr">
        <is>
          <t>예</t>
        </is>
      </c>
      <c r="L666" s="18" t="inlineStr">
        <is>
          <t>Cobblemon 동일</t>
        </is>
      </c>
      <c r="M666" s="18">
        <f>COUNTIF('스폰_편집'!$D$5:$D$3125,A666)</f>
        <v/>
      </c>
      <c r="N666" s="18">
        <f>COUNTIFS('스폰_편집'!$D$5:$D$3125,A666,'스폰_편집'!$B$5:$B$3125,"사용")</f>
        <v/>
      </c>
      <c r="O666" s="18" t="n">
        <v>7</v>
      </c>
      <c r="P666" s="18" t="inlineStr">
        <is>
          <t>#cobblemon:is_forest; #cobblemon:is_sky; #cobblemon:is_taiga; #cobblemon:nether/is_forest; #cobblemon:nether/is_fungus; aether:skyroot_forest; aether:skyroot_woodland</t>
        </is>
      </c>
      <c r="Q666" s="18" t="inlineStr">
        <is>
          <t>common</t>
        </is>
      </c>
      <c r="R666" s="18" t="inlineStr">
        <is>
          <t>region_01</t>
        </is>
      </c>
      <c r="S666" s="18" t="inlineStr">
        <is>
          <t>cobbleventure:generation_6</t>
        </is>
      </c>
      <c r="T666" s="18">
        <f>IF(M666=0,"없음",IF(N666=0,"전부 제외","사용"))</f>
        <v/>
      </c>
      <c r="U666" s="18" t="inlineStr"/>
    </row>
    <row r="667" ht="30" customHeight="1">
      <c r="A667" s="18" t="n">
        <v>663</v>
      </c>
      <c r="B667" s="18" t="inlineStr">
        <is>
          <t>파이어로</t>
        </is>
      </c>
      <c r="C667" s="18" t="inlineStr">
        <is>
          <t>talonflame</t>
        </is>
      </c>
      <c r="D667" s="18" t="inlineStr">
        <is>
          <t>Talonflame</t>
        </is>
      </c>
      <c r="E667" s="18" t="n">
        <v>6</v>
      </c>
      <c r="F667" s="18" t="inlineStr">
        <is>
          <t>generation6</t>
        </is>
      </c>
      <c r="G667" s="18" t="inlineStr">
        <is>
          <t>fire</t>
        </is>
      </c>
      <c r="H667" s="18" t="inlineStr">
        <is>
          <t>flying</t>
        </is>
      </c>
      <c r="I667" s="18" t="inlineStr">
        <is>
          <t>예</t>
        </is>
      </c>
      <c r="J667" s="18" t="inlineStr">
        <is>
          <t>예</t>
        </is>
      </c>
      <c r="K667" s="18" t="inlineStr">
        <is>
          <t>예</t>
        </is>
      </c>
      <c r="L667" s="18" t="inlineStr">
        <is>
          <t>Cobblemon 동일</t>
        </is>
      </c>
      <c r="M667" s="18">
        <f>COUNTIF('스폰_편집'!$D$5:$D$3125,A667)</f>
        <v/>
      </c>
      <c r="N667" s="18">
        <f>COUNTIFS('스폰_편집'!$D$5:$D$3125,A667,'스폰_편집'!$B$5:$B$3125,"사용")</f>
        <v/>
      </c>
      <c r="O667" s="18" t="n">
        <v>7</v>
      </c>
      <c r="P667" s="18" t="inlineStr">
        <is>
          <t>#cobblemon:is_forest; #cobblemon:is_sky; #cobblemon:is_taiga; #cobblemon:nether/is_forest; #cobblemon:nether/is_fungus; aether:skyroot_forest; aether:skyroot_woodland</t>
        </is>
      </c>
      <c r="Q667" s="18" t="inlineStr">
        <is>
          <t>common</t>
        </is>
      </c>
      <c r="R667" s="18" t="inlineStr">
        <is>
          <t>region_01</t>
        </is>
      </c>
      <c r="S667" s="18" t="inlineStr">
        <is>
          <t>cobbleventure:generation_6</t>
        </is>
      </c>
      <c r="T667" s="18">
        <f>IF(M667=0,"없음",IF(N667=0,"전부 제외","사용"))</f>
        <v/>
      </c>
      <c r="U667" s="18" t="inlineStr"/>
    </row>
    <row r="668" ht="30" customHeight="1">
      <c r="A668" s="18" t="n">
        <v>664</v>
      </c>
      <c r="B668" s="18" t="inlineStr">
        <is>
          <t>분이벌레</t>
        </is>
      </c>
      <c r="C668" s="18" t="inlineStr">
        <is>
          <t>scatterbug</t>
        </is>
      </c>
      <c r="D668" s="18" t="inlineStr">
        <is>
          <t>Scatterbug</t>
        </is>
      </c>
      <c r="E668" s="18" t="n">
        <v>6</v>
      </c>
      <c r="F668" s="18" t="inlineStr">
        <is>
          <t>generation6</t>
        </is>
      </c>
      <c r="G668" s="18" t="inlineStr">
        <is>
          <t>bug</t>
        </is>
      </c>
      <c r="H668" s="18" t="inlineStr"/>
      <c r="I668" s="18" t="inlineStr">
        <is>
          <t>예</t>
        </is>
      </c>
      <c r="J668" s="18" t="inlineStr">
        <is>
          <t>예</t>
        </is>
      </c>
      <c r="K668" s="18" t="inlineStr">
        <is>
          <t>예</t>
        </is>
      </c>
      <c r="L668" s="18" t="inlineStr">
        <is>
          <t>Cobblemon 동일</t>
        </is>
      </c>
      <c r="M668" s="18">
        <f>COUNTIF('스폰_편집'!$D$5:$D$3125,A668)</f>
        <v/>
      </c>
      <c r="N668" s="18">
        <f>COUNTIFS('스폰_편집'!$D$5:$D$3125,A668,'스폰_편집'!$B$5:$B$3125,"사용")</f>
        <v/>
      </c>
      <c r="O668" s="18" t="n">
        <v>5</v>
      </c>
      <c r="P668" s="18" t="inlineStr">
        <is>
          <t>#aether:is_aether; #cobblemon:is_floral; #cobblemon:is_plains; #cobblemon:is_savanna; the_bumblezone:floral_meadow</t>
        </is>
      </c>
      <c r="Q668" s="18" t="inlineStr">
        <is>
          <t>common</t>
        </is>
      </c>
      <c r="R668" s="18" t="inlineStr">
        <is>
          <t>region_01</t>
        </is>
      </c>
      <c r="S668" s="18" t="inlineStr">
        <is>
          <t>cobbleventure:generation_6</t>
        </is>
      </c>
      <c r="T668" s="18">
        <f>IF(M668=0,"없음",IF(N668=0,"전부 제외","사용"))</f>
        <v/>
      </c>
      <c r="U668" s="18" t="inlineStr"/>
    </row>
    <row r="669" ht="30" customHeight="1">
      <c r="A669" s="18" t="n">
        <v>665</v>
      </c>
      <c r="B669" s="18" t="inlineStr">
        <is>
          <t>분떠도리</t>
        </is>
      </c>
      <c r="C669" s="18" t="inlineStr">
        <is>
          <t>spewpa</t>
        </is>
      </c>
      <c r="D669" s="18" t="inlineStr">
        <is>
          <t>Spewpa</t>
        </is>
      </c>
      <c r="E669" s="18" t="n">
        <v>6</v>
      </c>
      <c r="F669" s="18" t="inlineStr">
        <is>
          <t>generation6</t>
        </is>
      </c>
      <c r="G669" s="18" t="inlineStr">
        <is>
          <t>bug</t>
        </is>
      </c>
      <c r="H669" s="18" t="inlineStr"/>
      <c r="I669" s="18" t="inlineStr">
        <is>
          <t>예</t>
        </is>
      </c>
      <c r="J669" s="18" t="inlineStr">
        <is>
          <t>예</t>
        </is>
      </c>
      <c r="K669" s="18" t="inlineStr">
        <is>
          <t>예</t>
        </is>
      </c>
      <c r="L669" s="18" t="inlineStr">
        <is>
          <t>Cobblemon 동일</t>
        </is>
      </c>
      <c r="M669" s="18">
        <f>COUNTIF('스폰_편집'!$D$5:$D$3125,A669)</f>
        <v/>
      </c>
      <c r="N669" s="18">
        <f>COUNTIFS('스폰_편집'!$D$5:$D$3125,A669,'스폰_편집'!$B$5:$B$3125,"사용")</f>
        <v/>
      </c>
      <c r="O669" s="18" t="n">
        <v>5</v>
      </c>
      <c r="P669" s="18" t="inlineStr">
        <is>
          <t>#aether:is_aether; #cobblemon:is_floral; #cobblemon:is_plains; #cobblemon:is_savanna; the_bumblezone:floral_meadow</t>
        </is>
      </c>
      <c r="Q669" s="18" t="inlineStr">
        <is>
          <t>common</t>
        </is>
      </c>
      <c r="R669" s="18" t="inlineStr">
        <is>
          <t>region_01</t>
        </is>
      </c>
      <c r="S669" s="18" t="inlineStr">
        <is>
          <t>cobbleventure:generation_6</t>
        </is>
      </c>
      <c r="T669" s="18">
        <f>IF(M669=0,"없음",IF(N669=0,"전부 제외","사용"))</f>
        <v/>
      </c>
      <c r="U669" s="18" t="inlineStr"/>
    </row>
    <row r="670" ht="30" customHeight="1">
      <c r="A670" s="18" t="n">
        <v>666</v>
      </c>
      <c r="B670" s="18" t="inlineStr">
        <is>
          <t>비비용</t>
        </is>
      </c>
      <c r="C670" s="18" t="inlineStr">
        <is>
          <t>vivillon</t>
        </is>
      </c>
      <c r="D670" s="18" t="inlineStr">
        <is>
          <t>Vivillon</t>
        </is>
      </c>
      <c r="E670" s="18" t="n">
        <v>6</v>
      </c>
      <c r="F670" s="18" t="inlineStr">
        <is>
          <t>generation6</t>
        </is>
      </c>
      <c r="G670" s="18" t="inlineStr">
        <is>
          <t>bug</t>
        </is>
      </c>
      <c r="H670" s="18" t="inlineStr">
        <is>
          <t>flying</t>
        </is>
      </c>
      <c r="I670" s="18" t="inlineStr">
        <is>
          <t>예</t>
        </is>
      </c>
      <c r="J670" s="18" t="inlineStr">
        <is>
          <t>예</t>
        </is>
      </c>
      <c r="K670" s="18" t="inlineStr">
        <is>
          <t>예</t>
        </is>
      </c>
      <c r="L670" s="18" t="inlineStr">
        <is>
          <t>Cobblemon 동일</t>
        </is>
      </c>
      <c r="M670" s="18">
        <f>COUNTIF('스폰_편집'!$D$5:$D$3125,A670)</f>
        <v/>
      </c>
      <c r="N670" s="18">
        <f>COUNTIFS('스폰_편집'!$D$5:$D$3125,A670,'스폰_편집'!$B$5:$B$3125,"사용")</f>
        <v/>
      </c>
      <c r="O670" s="18" t="n">
        <v>27</v>
      </c>
      <c r="P670" s="18" t="inlineStr">
        <is>
          <t>#aether:is_aether; #cobblemon:is_badlands; #cobblemon:is_cherry_blossom; #cobblemon:is_coast; #cobblemon:is_desert; #cobblemon:is_floral; #cobblemon:is_forest; #cobblemon:is_freshwater; #cobblemon:is_frozen_ocean; #cobblemon:is_glacial; #cobblemon:is_jungle; #cobblemon:is_magical; #cobblemon:is_mountain; #cobblemon:is_mushroom; #cobblemon:is_ocean; #cobblemon:is_overworld; #cobblemon:is_plains; #cobblemon:is_savanna; #cobblemon:is_sky; #cobblemon:is_snowy_forest; #cobblemon:is_spooky; #cobblemon:is_taiga; #cobblemon:is_tropical_island; #cobblemon:is_tundra; #cobblemon:is_warm_ocean; minecraft:sunflower_plains; the_bumblezone:floral_meadow</t>
        </is>
      </c>
      <c r="Q670" s="18" t="inlineStr">
        <is>
          <t>common</t>
        </is>
      </c>
      <c r="R670" s="18" t="inlineStr">
        <is>
          <t>region_01; region_02</t>
        </is>
      </c>
      <c r="S670" s="18" t="inlineStr">
        <is>
          <t>cobbleventure:generation_6</t>
        </is>
      </c>
      <c r="T670" s="18">
        <f>IF(M670=0,"없음",IF(N670=0,"전부 제외","사용"))</f>
        <v/>
      </c>
      <c r="U670" s="18" t="inlineStr"/>
    </row>
    <row r="671" ht="30" customHeight="1">
      <c r="A671" s="18" t="n">
        <v>667</v>
      </c>
      <c r="B671" s="18" t="inlineStr">
        <is>
          <t>레오꼬</t>
        </is>
      </c>
      <c r="C671" s="18" t="inlineStr">
        <is>
          <t>litleo</t>
        </is>
      </c>
      <c r="D671" s="18" t="inlineStr">
        <is>
          <t>Litleo</t>
        </is>
      </c>
      <c r="E671" s="18" t="n">
        <v>6</v>
      </c>
      <c r="F671" s="18" t="inlineStr">
        <is>
          <t>generation6</t>
        </is>
      </c>
      <c r="G671" s="18" t="inlineStr">
        <is>
          <t>fire</t>
        </is>
      </c>
      <c r="H671" s="18" t="inlineStr">
        <is>
          <t>normal</t>
        </is>
      </c>
      <c r="I671" s="18" t="inlineStr">
        <is>
          <t>예</t>
        </is>
      </c>
      <c r="J671" s="18" t="inlineStr">
        <is>
          <t>예</t>
        </is>
      </c>
      <c r="K671" s="18" t="inlineStr">
        <is>
          <t>예</t>
        </is>
      </c>
      <c r="L671" s="18" t="inlineStr">
        <is>
          <t>COBBLEVERSE 수정</t>
        </is>
      </c>
      <c r="M671" s="18">
        <f>COUNTIF('스폰_편집'!$D$5:$D$3125,A671)</f>
        <v/>
      </c>
      <c r="N671" s="18">
        <f>COUNTIFS('스폰_편집'!$D$5:$D$3125,A671,'스폰_편집'!$B$5:$B$3125,"사용")</f>
        <v/>
      </c>
      <c r="O671" s="18" t="n">
        <v>3</v>
      </c>
      <c r="P671" s="18" t="inlineStr">
        <is>
          <t>#cobblemon:is_badlands; #cobblemon:is_jungle; #cobblemon:is_savanna</t>
        </is>
      </c>
      <c r="Q671" s="18" t="inlineStr">
        <is>
          <t>common</t>
        </is>
      </c>
      <c r="R671" s="18" t="inlineStr"/>
      <c r="S671" s="18" t="inlineStr">
        <is>
          <t>cobbleventure:generation_6</t>
        </is>
      </c>
      <c r="T671" s="18">
        <f>IF(M671=0,"없음",IF(N671=0,"전부 제외","사용"))</f>
        <v/>
      </c>
      <c r="U671" s="18" t="inlineStr"/>
    </row>
    <row r="672" ht="30" customHeight="1">
      <c r="A672" s="18" t="n">
        <v>668</v>
      </c>
      <c r="B672" s="18" t="inlineStr">
        <is>
          <t>화염레오</t>
        </is>
      </c>
      <c r="C672" s="18" t="inlineStr">
        <is>
          <t>pyroar</t>
        </is>
      </c>
      <c r="D672" s="18" t="inlineStr">
        <is>
          <t>Pyroar</t>
        </is>
      </c>
      <c r="E672" s="18" t="n">
        <v>6</v>
      </c>
      <c r="F672" s="18" t="inlineStr">
        <is>
          <t>generation6</t>
        </is>
      </c>
      <c r="G672" s="18" t="inlineStr">
        <is>
          <t>fire</t>
        </is>
      </c>
      <c r="H672" s="18" t="inlineStr">
        <is>
          <t>normal</t>
        </is>
      </c>
      <c r="I672" s="18" t="inlineStr">
        <is>
          <t>예</t>
        </is>
      </c>
      <c r="J672" s="18" t="inlineStr">
        <is>
          <t>예</t>
        </is>
      </c>
      <c r="K672" s="18" t="inlineStr">
        <is>
          <t>예</t>
        </is>
      </c>
      <c r="L672" s="18" t="inlineStr">
        <is>
          <t>COBBLEVERSE 수정</t>
        </is>
      </c>
      <c r="M672" s="18">
        <f>COUNTIF('스폰_편집'!$D$5:$D$3125,A672)</f>
        <v/>
      </c>
      <c r="N672" s="18">
        <f>COUNTIFS('스폰_편집'!$D$5:$D$3125,A672,'스폰_편집'!$B$5:$B$3125,"사용")</f>
        <v/>
      </c>
      <c r="O672" s="18" t="n">
        <v>3</v>
      </c>
      <c r="P672" s="18" t="inlineStr">
        <is>
          <t>#cobblemon:is_badlands; #cobblemon:is_jungle; #cobblemon:is_savanna</t>
        </is>
      </c>
      <c r="Q672" s="18" t="inlineStr">
        <is>
          <t>uncommon</t>
        </is>
      </c>
      <c r="R672" s="18" t="inlineStr"/>
      <c r="S672" s="18" t="inlineStr">
        <is>
          <t>cobbleventure:generation_6</t>
        </is>
      </c>
      <c r="T672" s="18">
        <f>IF(M672=0,"없음",IF(N672=0,"전부 제외","사용"))</f>
        <v/>
      </c>
      <c r="U672" s="18" t="inlineStr"/>
    </row>
    <row r="673" ht="30" customHeight="1">
      <c r="A673" s="18" t="n">
        <v>669</v>
      </c>
      <c r="B673" s="18" t="inlineStr">
        <is>
          <t>플라베베</t>
        </is>
      </c>
      <c r="C673" s="18" t="inlineStr">
        <is>
          <t>flabebe</t>
        </is>
      </c>
      <c r="D673" s="18" t="inlineStr">
        <is>
          <t>Flabébé</t>
        </is>
      </c>
      <c r="E673" s="18" t="n">
        <v>6</v>
      </c>
      <c r="F673" s="18" t="inlineStr">
        <is>
          <t>generation6</t>
        </is>
      </c>
      <c r="G673" s="18" t="inlineStr">
        <is>
          <t>fairy</t>
        </is>
      </c>
      <c r="H673" s="18" t="inlineStr"/>
      <c r="I673" s="18" t="inlineStr">
        <is>
          <t>예</t>
        </is>
      </c>
      <c r="J673" s="18" t="inlineStr">
        <is>
          <t>예</t>
        </is>
      </c>
      <c r="K673" s="18" t="inlineStr">
        <is>
          <t>예</t>
        </is>
      </c>
      <c r="L673" s="18" t="inlineStr">
        <is>
          <t>Cobblemon 동일</t>
        </is>
      </c>
      <c r="M673" s="18">
        <f>COUNTIF('스폰_편집'!$D$5:$D$3125,A673)</f>
        <v/>
      </c>
      <c r="N673" s="18">
        <f>COUNTIFS('스폰_편집'!$D$5:$D$3125,A673,'스폰_편집'!$B$5:$B$3125,"사용")</f>
        <v/>
      </c>
      <c r="O673" s="18" t="n">
        <v>3</v>
      </c>
      <c r="P673" s="18" t="inlineStr">
        <is>
          <t>#aether:is_aether; #cobblemon:is_overworld; the_bumblezone:floral_meadow</t>
        </is>
      </c>
      <c r="Q673" s="18" t="inlineStr">
        <is>
          <t>common</t>
        </is>
      </c>
      <c r="R673" s="18" t="inlineStr">
        <is>
          <t>region_01; region_02</t>
        </is>
      </c>
      <c r="S673" s="18" t="inlineStr">
        <is>
          <t>cobbleventure:generation_6</t>
        </is>
      </c>
      <c r="T673" s="18">
        <f>IF(M673=0,"없음",IF(N673=0,"전부 제외","사용"))</f>
        <v/>
      </c>
      <c r="U673" s="18" t="inlineStr"/>
    </row>
    <row r="674" ht="30" customHeight="1">
      <c r="A674" s="18" t="n">
        <v>670</v>
      </c>
      <c r="B674" s="18" t="inlineStr">
        <is>
          <t>플라엣테</t>
        </is>
      </c>
      <c r="C674" s="18" t="inlineStr">
        <is>
          <t>floette</t>
        </is>
      </c>
      <c r="D674" s="18" t="inlineStr">
        <is>
          <t>Floette</t>
        </is>
      </c>
      <c r="E674" s="18" t="n">
        <v>6</v>
      </c>
      <c r="F674" s="18" t="inlineStr">
        <is>
          <t>generation6</t>
        </is>
      </c>
      <c r="G674" s="18" t="inlineStr">
        <is>
          <t>fairy</t>
        </is>
      </c>
      <c r="H674" s="18" t="inlineStr"/>
      <c r="I674" s="18" t="inlineStr">
        <is>
          <t>예</t>
        </is>
      </c>
      <c r="J674" s="18" t="inlineStr">
        <is>
          <t>예</t>
        </is>
      </c>
      <c r="K674" s="18" t="inlineStr">
        <is>
          <t>예</t>
        </is>
      </c>
      <c r="L674" s="18" t="inlineStr">
        <is>
          <t>COBBLEVERSE 수정</t>
        </is>
      </c>
      <c r="M674" s="18">
        <f>COUNTIF('스폰_편집'!$D$5:$D$3125,A674)</f>
        <v/>
      </c>
      <c r="N674" s="18">
        <f>COUNTIFS('스폰_편집'!$D$5:$D$3125,A674,'스폰_편집'!$B$5:$B$3125,"사용")</f>
        <v/>
      </c>
      <c r="O674" s="18" t="n">
        <v>2</v>
      </c>
      <c r="P674" s="18" t="inlineStr">
        <is>
          <t>#aether:is_aether; #cobblemon:is_overworld</t>
        </is>
      </c>
      <c r="Q674" s="18" t="inlineStr">
        <is>
          <t>common; ultra-rare</t>
        </is>
      </c>
      <c r="R674" s="18" t="inlineStr">
        <is>
          <t>region_01; region_02</t>
        </is>
      </c>
      <c r="S674" s="18" t="inlineStr">
        <is>
          <t>cobbleventure:generation_6</t>
        </is>
      </c>
      <c r="T674" s="18">
        <f>IF(M674=0,"없음",IF(N674=0,"전부 제외","사용"))</f>
        <v/>
      </c>
      <c r="U674" s="18" t="inlineStr"/>
    </row>
    <row r="675" ht="30" customHeight="1">
      <c r="A675" s="18" t="n">
        <v>671</v>
      </c>
      <c r="B675" s="18" t="inlineStr">
        <is>
          <t>플라제스</t>
        </is>
      </c>
      <c r="C675" s="18" t="inlineStr">
        <is>
          <t>florges</t>
        </is>
      </c>
      <c r="D675" s="18" t="inlineStr">
        <is>
          <t>Florges</t>
        </is>
      </c>
      <c r="E675" s="18" t="n">
        <v>6</v>
      </c>
      <c r="F675" s="18" t="inlineStr">
        <is>
          <t>generation6</t>
        </is>
      </c>
      <c r="G675" s="18" t="inlineStr">
        <is>
          <t>fairy</t>
        </is>
      </c>
      <c r="H675" s="18" t="inlineStr"/>
      <c r="I675" s="18" t="inlineStr">
        <is>
          <t>예</t>
        </is>
      </c>
      <c r="J675" s="18" t="inlineStr">
        <is>
          <t>예</t>
        </is>
      </c>
      <c r="K675" s="18" t="inlineStr">
        <is>
          <t>예</t>
        </is>
      </c>
      <c r="L675" s="18" t="inlineStr">
        <is>
          <t>Cobblemon 동일</t>
        </is>
      </c>
      <c r="M675" s="18">
        <f>COUNTIF('스폰_편집'!$D$5:$D$3125,A675)</f>
        <v/>
      </c>
      <c r="N675" s="18">
        <f>COUNTIFS('스폰_편집'!$D$5:$D$3125,A675,'스폰_편집'!$B$5:$B$3125,"사용")</f>
        <v/>
      </c>
      <c r="O675" s="18" t="n">
        <v>3</v>
      </c>
      <c r="P675" s="18" t="inlineStr">
        <is>
          <t>#aether:is_aether; #cobblemon:is_overworld; the_bumblezone:floral_meadow</t>
        </is>
      </c>
      <c r="Q675" s="18" t="inlineStr">
        <is>
          <t>common</t>
        </is>
      </c>
      <c r="R675" s="18" t="inlineStr">
        <is>
          <t>region_01; region_02</t>
        </is>
      </c>
      <c r="S675" s="18" t="inlineStr">
        <is>
          <t>cobbleventure:generation_6</t>
        </is>
      </c>
      <c r="T675" s="18">
        <f>IF(M675=0,"없음",IF(N675=0,"전부 제외","사용"))</f>
        <v/>
      </c>
      <c r="U675" s="18" t="inlineStr"/>
    </row>
    <row r="676" ht="30" customHeight="1">
      <c r="A676" s="18" t="n">
        <v>672</v>
      </c>
      <c r="B676" s="18" t="inlineStr">
        <is>
          <t>메이클</t>
        </is>
      </c>
      <c r="C676" s="18" t="inlineStr">
        <is>
          <t>skiddo</t>
        </is>
      </c>
      <c r="D676" s="18" t="inlineStr">
        <is>
          <t>Skiddo</t>
        </is>
      </c>
      <c r="E676" s="18" t="n">
        <v>6</v>
      </c>
      <c r="F676" s="18" t="inlineStr">
        <is>
          <t>generation6</t>
        </is>
      </c>
      <c r="G676" s="18" t="inlineStr">
        <is>
          <t>grass</t>
        </is>
      </c>
      <c r="H676" s="18" t="inlineStr"/>
      <c r="I676" s="18" t="inlineStr">
        <is>
          <t>예</t>
        </is>
      </c>
      <c r="J676" s="18" t="inlineStr">
        <is>
          <t>예</t>
        </is>
      </c>
      <c r="K676" s="18" t="inlineStr">
        <is>
          <t>예</t>
        </is>
      </c>
      <c r="L676" s="18" t="inlineStr">
        <is>
          <t>Cobblemon 동일</t>
        </is>
      </c>
      <c r="M676" s="18">
        <f>COUNTIF('스폰_편집'!$D$5:$D$3125,A676)</f>
        <v/>
      </c>
      <c r="N676" s="18">
        <f>COUNTIFS('스폰_편집'!$D$5:$D$3125,A676,'스폰_편집'!$B$5:$B$3125,"사용")</f>
        <v/>
      </c>
      <c r="O676" s="18" t="n">
        <v>1</v>
      </c>
      <c r="P676" s="18" t="inlineStr">
        <is>
          <t>#cobblemon:is_mountain</t>
        </is>
      </c>
      <c r="Q676" s="18" t="inlineStr">
        <is>
          <t>common</t>
        </is>
      </c>
      <c r="R676" s="18" t="inlineStr"/>
      <c r="S676" s="18" t="inlineStr">
        <is>
          <t>cobbleventure:generation_6</t>
        </is>
      </c>
      <c r="T676" s="18">
        <f>IF(M676=0,"없음",IF(N676=0,"전부 제외","사용"))</f>
        <v/>
      </c>
      <c r="U676" s="18" t="inlineStr"/>
    </row>
    <row r="677" ht="30" customHeight="1">
      <c r="A677" s="18" t="n">
        <v>673</v>
      </c>
      <c r="B677" s="18" t="inlineStr">
        <is>
          <t>고고트</t>
        </is>
      </c>
      <c r="C677" s="18" t="inlineStr">
        <is>
          <t>gogoat</t>
        </is>
      </c>
      <c r="D677" s="18" t="inlineStr">
        <is>
          <t>Gogoat</t>
        </is>
      </c>
      <c r="E677" s="18" t="n">
        <v>6</v>
      </c>
      <c r="F677" s="18" t="inlineStr">
        <is>
          <t>generation6</t>
        </is>
      </c>
      <c r="G677" s="18" t="inlineStr">
        <is>
          <t>grass</t>
        </is>
      </c>
      <c r="H677" s="18" t="inlineStr"/>
      <c r="I677" s="18" t="inlineStr">
        <is>
          <t>예</t>
        </is>
      </c>
      <c r="J677" s="18" t="inlineStr">
        <is>
          <t>예</t>
        </is>
      </c>
      <c r="K677" s="18" t="inlineStr">
        <is>
          <t>예</t>
        </is>
      </c>
      <c r="L677" s="18" t="inlineStr">
        <is>
          <t>Cobblemon 동일</t>
        </is>
      </c>
      <c r="M677" s="18">
        <f>COUNTIF('스폰_편집'!$D$5:$D$3125,A677)</f>
        <v/>
      </c>
      <c r="N677" s="18">
        <f>COUNTIFS('스폰_편집'!$D$5:$D$3125,A677,'스폰_편집'!$B$5:$B$3125,"사용")</f>
        <v/>
      </c>
      <c r="O677" s="18" t="n">
        <v>1</v>
      </c>
      <c r="P677" s="18" t="inlineStr">
        <is>
          <t>#cobblemon:is_mountain</t>
        </is>
      </c>
      <c r="Q677" s="18" t="inlineStr">
        <is>
          <t>common</t>
        </is>
      </c>
      <c r="R677" s="18" t="inlineStr"/>
      <c r="S677" s="18" t="inlineStr">
        <is>
          <t>cobbleventure:generation_6</t>
        </is>
      </c>
      <c r="T677" s="18">
        <f>IF(M677=0,"없음",IF(N677=0,"전부 제외","사용"))</f>
        <v/>
      </c>
      <c r="U677" s="18" t="inlineStr"/>
    </row>
    <row r="678" ht="30" customHeight="1">
      <c r="A678" s="18" t="n">
        <v>674</v>
      </c>
      <c r="B678" s="18" t="inlineStr">
        <is>
          <t>판짱</t>
        </is>
      </c>
      <c r="C678" s="18" t="inlineStr">
        <is>
          <t>pancham</t>
        </is>
      </c>
      <c r="D678" s="18" t="inlineStr">
        <is>
          <t>Pancham</t>
        </is>
      </c>
      <c r="E678" s="18" t="n">
        <v>6</v>
      </c>
      <c r="F678" s="18" t="inlineStr">
        <is>
          <t>generation6</t>
        </is>
      </c>
      <c r="G678" s="18" t="inlineStr">
        <is>
          <t>fighting</t>
        </is>
      </c>
      <c r="H678" s="18" t="inlineStr"/>
      <c r="I678" s="18" t="inlineStr">
        <is>
          <t>아니오</t>
        </is>
      </c>
      <c r="J678" s="18" t="inlineStr">
        <is>
          <t>아니오</t>
        </is>
      </c>
      <c r="K678" s="18" t="inlineStr">
        <is>
          <t>예</t>
        </is>
      </c>
      <c r="L678" s="18" t="inlineStr">
        <is>
          <t>COBBLEVERSE 추가</t>
        </is>
      </c>
      <c r="M678" s="18">
        <f>COUNTIF('스폰_편집'!$D$5:$D$3125,A678)</f>
        <v/>
      </c>
      <c r="N678" s="18">
        <f>COUNTIFS('스폰_편집'!$D$5:$D$3125,A678,'스폰_편집'!$B$5:$B$3125,"사용")</f>
        <v/>
      </c>
      <c r="O678" s="18" t="n">
        <v>2</v>
      </c>
      <c r="P678" s="18" t="inlineStr">
        <is>
          <t>#cobblemon:is_forest; #cobblemon:is_jungle</t>
        </is>
      </c>
      <c r="Q678" s="18" t="inlineStr">
        <is>
          <t>common; rare</t>
        </is>
      </c>
      <c r="R678" s="18" t="inlineStr">
        <is>
          <t>region_01</t>
        </is>
      </c>
      <c r="S678" s="18" t="inlineStr">
        <is>
          <t>cobbleventure:generation_6</t>
        </is>
      </c>
      <c r="T678" s="18">
        <f>IF(M678=0,"없음",IF(N678=0,"전부 제외","사용"))</f>
        <v/>
      </c>
      <c r="U678" s="18" t="inlineStr"/>
    </row>
    <row r="679" ht="30" customHeight="1">
      <c r="A679" s="18" t="n">
        <v>675</v>
      </c>
      <c r="B679" s="18" t="inlineStr">
        <is>
          <t>부란다</t>
        </is>
      </c>
      <c r="C679" s="18" t="inlineStr">
        <is>
          <t>pangoro</t>
        </is>
      </c>
      <c r="D679" s="18" t="inlineStr">
        <is>
          <t>Pangoro</t>
        </is>
      </c>
      <c r="E679" s="18" t="n">
        <v>6</v>
      </c>
      <c r="F679" s="18" t="inlineStr">
        <is>
          <t>generation6</t>
        </is>
      </c>
      <c r="G679" s="18" t="inlineStr">
        <is>
          <t>fighting</t>
        </is>
      </c>
      <c r="H679" s="18" t="inlineStr">
        <is>
          <t>dark</t>
        </is>
      </c>
      <c r="I679" s="18" t="inlineStr">
        <is>
          <t>아니오</t>
        </is>
      </c>
      <c r="J679" s="18" t="inlineStr">
        <is>
          <t>아니오</t>
        </is>
      </c>
      <c r="K679" s="18" t="inlineStr">
        <is>
          <t>예</t>
        </is>
      </c>
      <c r="L679" s="18" t="inlineStr">
        <is>
          <t>COBBLEVERSE 추가</t>
        </is>
      </c>
      <c r="M679" s="18">
        <f>COUNTIF('스폰_편집'!$D$5:$D$3125,A679)</f>
        <v/>
      </c>
      <c r="N679" s="18">
        <f>COUNTIFS('스폰_편집'!$D$5:$D$3125,A679,'스폰_편집'!$B$5:$B$3125,"사용")</f>
        <v/>
      </c>
      <c r="O679" s="18" t="n">
        <v>2</v>
      </c>
      <c r="P679" s="18" t="inlineStr">
        <is>
          <t>#cobblemon:is_forest; #cobblemon:is_jungle</t>
        </is>
      </c>
      <c r="Q679" s="18" t="inlineStr">
        <is>
          <t>rare; uncommon</t>
        </is>
      </c>
      <c r="R679" s="18" t="inlineStr">
        <is>
          <t>region_01</t>
        </is>
      </c>
      <c r="S679" s="18" t="inlineStr">
        <is>
          <t>cobbleventure:generation_6</t>
        </is>
      </c>
      <c r="T679" s="18">
        <f>IF(M679=0,"없음",IF(N679=0,"전부 제외","사용"))</f>
        <v/>
      </c>
      <c r="U679" s="18" t="inlineStr"/>
    </row>
    <row r="680" ht="30" customHeight="1">
      <c r="A680" s="18" t="n">
        <v>676</v>
      </c>
      <c r="B680" s="18" t="inlineStr">
        <is>
          <t>트리미앙</t>
        </is>
      </c>
      <c r="C680" s="18" t="inlineStr">
        <is>
          <t>furfrou</t>
        </is>
      </c>
      <c r="D680" s="18" t="inlineStr">
        <is>
          <t>Furfrou</t>
        </is>
      </c>
      <c r="E680" s="18" t="n">
        <v>6</v>
      </c>
      <c r="F680" s="18" t="inlineStr">
        <is>
          <t>generation6</t>
        </is>
      </c>
      <c r="G680" s="18" t="inlineStr">
        <is>
          <t>normal</t>
        </is>
      </c>
      <c r="H680" s="18" t="inlineStr"/>
      <c r="I680" s="18" t="inlineStr">
        <is>
          <t>예</t>
        </is>
      </c>
      <c r="J680" s="18" t="inlineStr">
        <is>
          <t>예</t>
        </is>
      </c>
      <c r="K680" s="18" t="inlineStr">
        <is>
          <t>예</t>
        </is>
      </c>
      <c r="L680" s="18" t="inlineStr">
        <is>
          <t>COBBLEVERSE 수정</t>
        </is>
      </c>
      <c r="M680" s="18">
        <f>COUNTIF('스폰_편집'!$D$5:$D$3125,A680)</f>
        <v/>
      </c>
      <c r="N680" s="18">
        <f>COUNTIFS('스폰_편집'!$D$5:$D$3125,A680,'스폰_편집'!$B$5:$B$3125,"사용")</f>
        <v/>
      </c>
      <c r="O680" s="18" t="n">
        <v>2</v>
      </c>
      <c r="P680" s="18" t="inlineStr">
        <is>
          <t>#cobblemon:is_floral; #cobblemon:is_overworld</t>
        </is>
      </c>
      <c r="Q680" s="18" t="inlineStr">
        <is>
          <t>common; uncommon</t>
        </is>
      </c>
      <c r="R680" s="18" t="inlineStr">
        <is>
          <t>region_01; region_02</t>
        </is>
      </c>
      <c r="S680" s="18" t="inlineStr">
        <is>
          <t>cobbleventure:generation_6</t>
        </is>
      </c>
      <c r="T680" s="18">
        <f>IF(M680=0,"없음",IF(N680=0,"전부 제외","사용"))</f>
        <v/>
      </c>
      <c r="U680" s="18" t="inlineStr"/>
    </row>
    <row r="681" ht="30" customHeight="1">
      <c r="A681" s="18" t="n">
        <v>677</v>
      </c>
      <c r="B681" s="18" t="inlineStr">
        <is>
          <t>냐스퍼</t>
        </is>
      </c>
      <c r="C681" s="18" t="inlineStr">
        <is>
          <t>espurr</t>
        </is>
      </c>
      <c r="D681" s="18" t="inlineStr">
        <is>
          <t>Espurr</t>
        </is>
      </c>
      <c r="E681" s="18" t="n">
        <v>6</v>
      </c>
      <c r="F681" s="18" t="inlineStr">
        <is>
          <t>generation6</t>
        </is>
      </c>
      <c r="G681" s="18" t="inlineStr">
        <is>
          <t>psychic</t>
        </is>
      </c>
      <c r="H681" s="18" t="inlineStr"/>
      <c r="I681" s="18" t="inlineStr">
        <is>
          <t>예</t>
        </is>
      </c>
      <c r="J681" s="18" t="inlineStr">
        <is>
          <t>예</t>
        </is>
      </c>
      <c r="K681" s="18" t="inlineStr">
        <is>
          <t>예</t>
        </is>
      </c>
      <c r="L681" s="18" t="inlineStr">
        <is>
          <t>COBBLEVERSE 수정</t>
        </is>
      </c>
      <c r="M681" s="18">
        <f>COUNTIF('스폰_편집'!$D$5:$D$3125,A681)</f>
        <v/>
      </c>
      <c r="N681" s="18">
        <f>COUNTIFS('스폰_편집'!$D$5:$D$3125,A681,'스폰_편집'!$B$5:$B$3125,"사용")</f>
        <v/>
      </c>
      <c r="O681" s="18" t="n">
        <v>4</v>
      </c>
      <c r="P681" s="18" t="inlineStr">
        <is>
          <t>#cobblemon:is_arid; #cobblemon:is_end; #cobblemon:is_freezing; #cobblemon:is_overworld</t>
        </is>
      </c>
      <c r="Q681" s="18" t="inlineStr">
        <is>
          <t>common</t>
        </is>
      </c>
      <c r="R681" s="18" t="inlineStr">
        <is>
          <t>region_01; region_02</t>
        </is>
      </c>
      <c r="S681" s="18" t="inlineStr">
        <is>
          <t>cobbleventure:generation_6</t>
        </is>
      </c>
      <c r="T681" s="18">
        <f>IF(M681=0,"없음",IF(N681=0,"전부 제외","사용"))</f>
        <v/>
      </c>
      <c r="U681" s="18" t="inlineStr"/>
    </row>
    <row r="682" ht="30" customHeight="1">
      <c r="A682" s="18" t="n">
        <v>678</v>
      </c>
      <c r="B682" s="18" t="inlineStr">
        <is>
          <t>냐오닉스</t>
        </is>
      </c>
      <c r="C682" s="18" t="inlineStr">
        <is>
          <t>meowstic</t>
        </is>
      </c>
      <c r="D682" s="18" t="inlineStr">
        <is>
          <t>Meowstic</t>
        </is>
      </c>
      <c r="E682" s="18" t="n">
        <v>6</v>
      </c>
      <c r="F682" s="18" t="inlineStr">
        <is>
          <t>generation6</t>
        </is>
      </c>
      <c r="G682" s="18" t="inlineStr">
        <is>
          <t>psychic</t>
        </is>
      </c>
      <c r="H682" s="18" t="inlineStr"/>
      <c r="I682" s="18" t="inlineStr">
        <is>
          <t>예</t>
        </is>
      </c>
      <c r="J682" s="18" t="inlineStr">
        <is>
          <t>예</t>
        </is>
      </c>
      <c r="K682" s="18" t="inlineStr">
        <is>
          <t>예</t>
        </is>
      </c>
      <c r="L682" s="18" t="inlineStr">
        <is>
          <t>COBBLEVERSE 수정</t>
        </is>
      </c>
      <c r="M682" s="18">
        <f>COUNTIF('스폰_편집'!$D$5:$D$3125,A682)</f>
        <v/>
      </c>
      <c r="N682" s="18">
        <f>COUNTIFS('스폰_편집'!$D$5:$D$3125,A682,'스폰_편집'!$B$5:$B$3125,"사용")</f>
        <v/>
      </c>
      <c r="O682" s="18" t="n">
        <v>4</v>
      </c>
      <c r="P682" s="18" t="inlineStr">
        <is>
          <t>#cobblemon:is_arid; #cobblemon:is_end; #cobblemon:is_freezing; #cobblemon:is_overworld</t>
        </is>
      </c>
      <c r="Q682" s="18" t="inlineStr">
        <is>
          <t>common</t>
        </is>
      </c>
      <c r="R682" s="18" t="inlineStr">
        <is>
          <t>region_01; region_02</t>
        </is>
      </c>
      <c r="S682" s="18" t="inlineStr">
        <is>
          <t>cobbleventure:generation_6</t>
        </is>
      </c>
      <c r="T682" s="18">
        <f>IF(M682=0,"없음",IF(N682=0,"전부 제외","사용"))</f>
        <v/>
      </c>
      <c r="U682" s="18" t="inlineStr"/>
    </row>
    <row r="683" ht="30" customHeight="1">
      <c r="A683" s="18" t="n">
        <v>679</v>
      </c>
      <c r="B683" s="18" t="inlineStr">
        <is>
          <t>단칼빙</t>
        </is>
      </c>
      <c r="C683" s="18" t="inlineStr">
        <is>
          <t>honedge</t>
        </is>
      </c>
      <c r="D683" s="18" t="inlineStr">
        <is>
          <t>Honedge</t>
        </is>
      </c>
      <c r="E683" s="18" t="n">
        <v>6</v>
      </c>
      <c r="F683" s="18" t="inlineStr">
        <is>
          <t>generation6</t>
        </is>
      </c>
      <c r="G683" s="18" t="inlineStr">
        <is>
          <t>steel</t>
        </is>
      </c>
      <c r="H683" s="18" t="inlineStr">
        <is>
          <t>ghost</t>
        </is>
      </c>
      <c r="I683" s="18" t="inlineStr">
        <is>
          <t>예</t>
        </is>
      </c>
      <c r="J683" s="18" t="inlineStr">
        <is>
          <t>예</t>
        </is>
      </c>
      <c r="K683" s="18" t="inlineStr">
        <is>
          <t>예</t>
        </is>
      </c>
      <c r="L683" s="18" t="inlineStr">
        <is>
          <t>COBBLEVERSE 수정</t>
        </is>
      </c>
      <c r="M683" s="18">
        <f>COUNTIF('스폰_편집'!$D$5:$D$3125,A683)</f>
        <v/>
      </c>
      <c r="N683" s="18">
        <f>COUNTIFS('스폰_편집'!$D$5:$D$3125,A683,'스폰_편집'!$B$5:$B$3125,"사용")</f>
        <v/>
      </c>
      <c r="O683" s="18" t="n">
        <v>3</v>
      </c>
      <c r="P683" s="18" t="inlineStr">
        <is>
          <t>#aether:is_aether; #cobblemon:is_overworld; #minecraft:is_nether</t>
        </is>
      </c>
      <c r="Q683" s="18" t="inlineStr">
        <is>
          <t>uncommon</t>
        </is>
      </c>
      <c r="R683" s="18" t="inlineStr">
        <is>
          <t>region_01; region_02</t>
        </is>
      </c>
      <c r="S683" s="18" t="inlineStr">
        <is>
          <t>cobbleventure:generation_6</t>
        </is>
      </c>
      <c r="T683" s="18">
        <f>IF(M683=0,"없음",IF(N683=0,"전부 제외","사용"))</f>
        <v/>
      </c>
      <c r="U683" s="18" t="inlineStr"/>
    </row>
    <row r="684" ht="30" customHeight="1">
      <c r="A684" s="18" t="n">
        <v>680</v>
      </c>
      <c r="B684" s="18" t="inlineStr">
        <is>
          <t>쌍검킬</t>
        </is>
      </c>
      <c r="C684" s="18" t="inlineStr">
        <is>
          <t>doublade</t>
        </is>
      </c>
      <c r="D684" s="18" t="inlineStr">
        <is>
          <t>Doublade</t>
        </is>
      </c>
      <c r="E684" s="18" t="n">
        <v>6</v>
      </c>
      <c r="F684" s="18" t="inlineStr">
        <is>
          <t>generation6</t>
        </is>
      </c>
      <c r="G684" s="18" t="inlineStr">
        <is>
          <t>steel</t>
        </is>
      </c>
      <c r="H684" s="18" t="inlineStr">
        <is>
          <t>ghost</t>
        </is>
      </c>
      <c r="I684" s="18" t="inlineStr">
        <is>
          <t>예</t>
        </is>
      </c>
      <c r="J684" s="18" t="inlineStr">
        <is>
          <t>예</t>
        </is>
      </c>
      <c r="K684" s="18" t="inlineStr">
        <is>
          <t>예</t>
        </is>
      </c>
      <c r="L684" s="18" t="inlineStr">
        <is>
          <t>COBBLEVERSE 수정</t>
        </is>
      </c>
      <c r="M684" s="18">
        <f>COUNTIF('스폰_편집'!$D$5:$D$3125,A684)</f>
        <v/>
      </c>
      <c r="N684" s="18">
        <f>COUNTIFS('스폰_편집'!$D$5:$D$3125,A684,'스폰_편집'!$B$5:$B$3125,"사용")</f>
        <v/>
      </c>
      <c r="O684" s="18" t="n">
        <v>3</v>
      </c>
      <c r="P684" s="18" t="inlineStr">
        <is>
          <t>#aether:is_aether; #cobblemon:is_overworld; #minecraft:is_nether</t>
        </is>
      </c>
      <c r="Q684" s="18" t="inlineStr">
        <is>
          <t>uncommon</t>
        </is>
      </c>
      <c r="R684" s="18" t="inlineStr">
        <is>
          <t>region_01; region_02</t>
        </is>
      </c>
      <c r="S684" s="18" t="inlineStr">
        <is>
          <t>cobbleventure:generation_6</t>
        </is>
      </c>
      <c r="T684" s="18">
        <f>IF(M684=0,"없음",IF(N684=0,"전부 제외","사용"))</f>
        <v/>
      </c>
      <c r="U684" s="18" t="inlineStr"/>
    </row>
    <row r="685" ht="30" customHeight="1">
      <c r="A685" s="18" t="n">
        <v>681</v>
      </c>
      <c r="B685" s="18" t="inlineStr">
        <is>
          <t>킬가르도</t>
        </is>
      </c>
      <c r="C685" s="18" t="inlineStr">
        <is>
          <t>aegislash</t>
        </is>
      </c>
      <c r="D685" s="18" t="inlineStr">
        <is>
          <t>Aegislash</t>
        </is>
      </c>
      <c r="E685" s="18" t="n">
        <v>6</v>
      </c>
      <c r="F685" s="18" t="inlineStr">
        <is>
          <t>generation6</t>
        </is>
      </c>
      <c r="G685" s="18" t="inlineStr">
        <is>
          <t>steel</t>
        </is>
      </c>
      <c r="H685" s="18" t="inlineStr">
        <is>
          <t>ghost</t>
        </is>
      </c>
      <c r="I685" s="18" t="inlineStr">
        <is>
          <t>예</t>
        </is>
      </c>
      <c r="J685" s="18" t="inlineStr">
        <is>
          <t>예</t>
        </is>
      </c>
      <c r="K685" s="18" t="inlineStr">
        <is>
          <t>예</t>
        </is>
      </c>
      <c r="L685" s="18" t="inlineStr">
        <is>
          <t>Cobblemon 동일</t>
        </is>
      </c>
      <c r="M685" s="18">
        <f>COUNTIF('스폰_편집'!$D$5:$D$3125,A685)</f>
        <v/>
      </c>
      <c r="N685" s="18">
        <f>COUNTIFS('스폰_편집'!$D$5:$D$3125,A685,'스폰_편집'!$B$5:$B$3125,"사용")</f>
        <v/>
      </c>
      <c r="O685" s="18" t="n">
        <v>3</v>
      </c>
      <c r="P685" s="18" t="inlineStr">
        <is>
          <t>#aether:is_aether; #cobblemon:is_overworld; #minecraft:is_nether</t>
        </is>
      </c>
      <c r="Q685" s="18" t="inlineStr">
        <is>
          <t>uncommon</t>
        </is>
      </c>
      <c r="R685" s="18" t="inlineStr">
        <is>
          <t>region_01; region_02</t>
        </is>
      </c>
      <c r="S685" s="18" t="inlineStr">
        <is>
          <t>cobbleventure:generation_6</t>
        </is>
      </c>
      <c r="T685" s="18">
        <f>IF(M685=0,"없음",IF(N685=0,"전부 제외","사용"))</f>
        <v/>
      </c>
      <c r="U685" s="18" t="inlineStr"/>
    </row>
    <row r="686" ht="30" customHeight="1">
      <c r="A686" s="18" t="n">
        <v>682</v>
      </c>
      <c r="B686" s="18" t="inlineStr">
        <is>
          <t>슈쁘</t>
        </is>
      </c>
      <c r="C686" s="18" t="inlineStr">
        <is>
          <t>spritzee</t>
        </is>
      </c>
      <c r="D686" s="18" t="inlineStr">
        <is>
          <t>Spritzee</t>
        </is>
      </c>
      <c r="E686" s="18" t="n">
        <v>6</v>
      </c>
      <c r="F686" s="18" t="inlineStr">
        <is>
          <t>generation6</t>
        </is>
      </c>
      <c r="G686" s="18" t="inlineStr">
        <is>
          <t>fairy</t>
        </is>
      </c>
      <c r="H686" s="18" t="inlineStr"/>
      <c r="I686" s="18" t="inlineStr">
        <is>
          <t>예</t>
        </is>
      </c>
      <c r="J686" s="18" t="inlineStr">
        <is>
          <t>예</t>
        </is>
      </c>
      <c r="K686" s="18" t="inlineStr">
        <is>
          <t>예</t>
        </is>
      </c>
      <c r="L686" s="18" t="inlineStr">
        <is>
          <t>COBBLEVERSE 수정</t>
        </is>
      </c>
      <c r="M686" s="18">
        <f>COUNTIF('스폰_편집'!$D$5:$D$3125,A686)</f>
        <v/>
      </c>
      <c r="N686" s="18">
        <f>COUNTIFS('스폰_편집'!$D$5:$D$3125,A686,'스폰_편집'!$B$5:$B$3125,"사용")</f>
        <v/>
      </c>
      <c r="O686" s="18" t="n">
        <v>2</v>
      </c>
      <c r="P686" s="18" t="inlineStr">
        <is>
          <t>#cobblemon:is_floral; #cobblemon:is_forest</t>
        </is>
      </c>
      <c r="Q686" s="18" t="inlineStr">
        <is>
          <t>common</t>
        </is>
      </c>
      <c r="R686" s="18" t="inlineStr">
        <is>
          <t>region_01</t>
        </is>
      </c>
      <c r="S686" s="18" t="inlineStr">
        <is>
          <t>cobbleventure:generation_6</t>
        </is>
      </c>
      <c r="T686" s="18">
        <f>IF(M686=0,"없음",IF(N686=0,"전부 제외","사용"))</f>
        <v/>
      </c>
      <c r="U686" s="18" t="inlineStr"/>
    </row>
    <row r="687" ht="30" customHeight="1">
      <c r="A687" s="18" t="n">
        <v>683</v>
      </c>
      <c r="B687" s="18" t="inlineStr">
        <is>
          <t>프레프티르</t>
        </is>
      </c>
      <c r="C687" s="18" t="inlineStr">
        <is>
          <t>aromatisse</t>
        </is>
      </c>
      <c r="D687" s="18" t="inlineStr">
        <is>
          <t>Aromatisse</t>
        </is>
      </c>
      <c r="E687" s="18" t="n">
        <v>6</v>
      </c>
      <c r="F687" s="18" t="inlineStr">
        <is>
          <t>generation6</t>
        </is>
      </c>
      <c r="G687" s="18" t="inlineStr">
        <is>
          <t>fairy</t>
        </is>
      </c>
      <c r="H687" s="18" t="inlineStr"/>
      <c r="I687" s="18" t="inlineStr">
        <is>
          <t>예</t>
        </is>
      </c>
      <c r="J687" s="18" t="inlineStr">
        <is>
          <t>예</t>
        </is>
      </c>
      <c r="K687" s="18" t="inlineStr">
        <is>
          <t>예</t>
        </is>
      </c>
      <c r="L687" s="18" t="inlineStr">
        <is>
          <t>COBBLEVERSE 수정</t>
        </is>
      </c>
      <c r="M687" s="18">
        <f>COUNTIF('스폰_편집'!$D$5:$D$3125,A687)</f>
        <v/>
      </c>
      <c r="N687" s="18">
        <f>COUNTIFS('스폰_편집'!$D$5:$D$3125,A687,'스폰_편집'!$B$5:$B$3125,"사용")</f>
        <v/>
      </c>
      <c r="O687" s="18" t="n">
        <v>2</v>
      </c>
      <c r="P687" s="18" t="inlineStr">
        <is>
          <t>#cobblemon:is_floral; #cobblemon:is_forest</t>
        </is>
      </c>
      <c r="Q687" s="18" t="inlineStr">
        <is>
          <t>uncommon</t>
        </is>
      </c>
      <c r="R687" s="18" t="inlineStr">
        <is>
          <t>region_01</t>
        </is>
      </c>
      <c r="S687" s="18" t="inlineStr">
        <is>
          <t>cobbleventure:generation_6</t>
        </is>
      </c>
      <c r="T687" s="18">
        <f>IF(M687=0,"없음",IF(N687=0,"전부 제외","사용"))</f>
        <v/>
      </c>
      <c r="U687" s="18" t="inlineStr"/>
    </row>
    <row r="688" ht="30" customHeight="1">
      <c r="A688" s="18" t="n">
        <v>684</v>
      </c>
      <c r="B688" s="18" t="inlineStr">
        <is>
          <t>나룸퍼프</t>
        </is>
      </c>
      <c r="C688" s="18" t="inlineStr">
        <is>
          <t>swirlix</t>
        </is>
      </c>
      <c r="D688" s="18" t="inlineStr">
        <is>
          <t>Swirlix</t>
        </is>
      </c>
      <c r="E688" s="18" t="n">
        <v>6</v>
      </c>
      <c r="F688" s="18" t="inlineStr">
        <is>
          <t>generation6</t>
        </is>
      </c>
      <c r="G688" s="18" t="inlineStr">
        <is>
          <t>fairy</t>
        </is>
      </c>
      <c r="H688" s="18" t="inlineStr"/>
      <c r="I688" s="18" t="inlineStr">
        <is>
          <t>예</t>
        </is>
      </c>
      <c r="J688" s="18" t="inlineStr">
        <is>
          <t>예</t>
        </is>
      </c>
      <c r="K688" s="18" t="inlineStr">
        <is>
          <t>예</t>
        </is>
      </c>
      <c r="L688" s="18" t="inlineStr">
        <is>
          <t>COBBLEVERSE 수정</t>
        </is>
      </c>
      <c r="M688" s="18">
        <f>COUNTIF('스폰_편집'!$D$5:$D$3125,A688)</f>
        <v/>
      </c>
      <c r="N688" s="18">
        <f>COUNTIFS('스폰_편집'!$D$5:$D$3125,A688,'스폰_편집'!$B$5:$B$3125,"사용")</f>
        <v/>
      </c>
      <c r="O688" s="18" t="n">
        <v>2</v>
      </c>
      <c r="P688" s="18" t="inlineStr">
        <is>
          <t>minecraft:cherry_grove; minecraft:flower_forest</t>
        </is>
      </c>
      <c r="Q688" s="18" t="inlineStr">
        <is>
          <t>common</t>
        </is>
      </c>
      <c r="R688" s="18" t="inlineStr"/>
      <c r="S688" s="18" t="inlineStr">
        <is>
          <t>cobbleventure:generation_6</t>
        </is>
      </c>
      <c r="T688" s="18">
        <f>IF(M688=0,"없음",IF(N688=0,"전부 제외","사용"))</f>
        <v/>
      </c>
      <c r="U688" s="18" t="inlineStr"/>
    </row>
    <row r="689" ht="30" customHeight="1">
      <c r="A689" s="18" t="n">
        <v>685</v>
      </c>
      <c r="B689" s="18" t="inlineStr">
        <is>
          <t>나루림</t>
        </is>
      </c>
      <c r="C689" s="18" t="inlineStr">
        <is>
          <t>slurpuff</t>
        </is>
      </c>
      <c r="D689" s="18" t="inlineStr">
        <is>
          <t>Slurpuff</t>
        </is>
      </c>
      <c r="E689" s="18" t="n">
        <v>6</v>
      </c>
      <c r="F689" s="18" t="inlineStr">
        <is>
          <t>generation6</t>
        </is>
      </c>
      <c r="G689" s="18" t="inlineStr">
        <is>
          <t>fairy</t>
        </is>
      </c>
      <c r="H689" s="18" t="inlineStr"/>
      <c r="I689" s="18" t="inlineStr">
        <is>
          <t>예</t>
        </is>
      </c>
      <c r="J689" s="18" t="inlineStr">
        <is>
          <t>예</t>
        </is>
      </c>
      <c r="K689" s="18" t="inlineStr">
        <is>
          <t>예</t>
        </is>
      </c>
      <c r="L689" s="18" t="inlineStr">
        <is>
          <t>COBBLEVERSE 수정</t>
        </is>
      </c>
      <c r="M689" s="18">
        <f>COUNTIF('스폰_편집'!$D$5:$D$3125,A689)</f>
        <v/>
      </c>
      <c r="N689" s="18">
        <f>COUNTIFS('스폰_편집'!$D$5:$D$3125,A689,'스폰_편집'!$B$5:$B$3125,"사용")</f>
        <v/>
      </c>
      <c r="O689" s="18" t="n">
        <v>2</v>
      </c>
      <c r="P689" s="18" t="inlineStr">
        <is>
          <t>minecraft:cherry_grove; minecraft:flower_forest</t>
        </is>
      </c>
      <c r="Q689" s="18" t="inlineStr">
        <is>
          <t>rare</t>
        </is>
      </c>
      <c r="R689" s="18" t="inlineStr"/>
      <c r="S689" s="18" t="inlineStr">
        <is>
          <t>cobbleventure:generation_6</t>
        </is>
      </c>
      <c r="T689" s="18">
        <f>IF(M689=0,"없음",IF(N689=0,"전부 제외","사용"))</f>
        <v/>
      </c>
      <c r="U689" s="18" t="inlineStr"/>
    </row>
    <row r="690" ht="30" customHeight="1">
      <c r="A690" s="18" t="n">
        <v>686</v>
      </c>
      <c r="B690" s="18" t="inlineStr">
        <is>
          <t>오케이징</t>
        </is>
      </c>
      <c r="C690" s="18" t="inlineStr">
        <is>
          <t>inkay</t>
        </is>
      </c>
      <c r="D690" s="18" t="inlineStr">
        <is>
          <t>Inkay</t>
        </is>
      </c>
      <c r="E690" s="18" t="n">
        <v>6</v>
      </c>
      <c r="F690" s="18" t="inlineStr">
        <is>
          <t>generation6</t>
        </is>
      </c>
      <c r="G690" s="18" t="inlineStr">
        <is>
          <t>dark</t>
        </is>
      </c>
      <c r="H690" s="18" t="inlineStr">
        <is>
          <t>psychic</t>
        </is>
      </c>
      <c r="I690" s="18" t="inlineStr">
        <is>
          <t>예</t>
        </is>
      </c>
      <c r="J690" s="18" t="inlineStr">
        <is>
          <t>예</t>
        </is>
      </c>
      <c r="K690" s="18" t="inlineStr">
        <is>
          <t>예</t>
        </is>
      </c>
      <c r="L690" s="18" t="inlineStr">
        <is>
          <t>COBBLEVERSE 수정</t>
        </is>
      </c>
      <c r="M690" s="18">
        <f>COUNTIF('스폰_편집'!$D$5:$D$3125,A690)</f>
        <v/>
      </c>
      <c r="N690" s="18">
        <f>COUNTIFS('스폰_편집'!$D$5:$D$3125,A690,'스폰_편집'!$B$5:$B$3125,"사용")</f>
        <v/>
      </c>
      <c r="O690" s="18" t="n">
        <v>4</v>
      </c>
      <c r="P690" s="18" t="inlineStr">
        <is>
          <t>#cobblemon:is_coast; #cobblemon:is_end; #cobblemon:is_ocean; #cobblemon:is_overworld</t>
        </is>
      </c>
      <c r="Q690" s="18" t="inlineStr">
        <is>
          <t>common; uncommon</t>
        </is>
      </c>
      <c r="R690" s="18" t="inlineStr">
        <is>
          <t>region_01; region_02</t>
        </is>
      </c>
      <c r="S690" s="18" t="inlineStr">
        <is>
          <t>cobbleventure:generation_6</t>
        </is>
      </c>
      <c r="T690" s="18">
        <f>IF(M690=0,"없음",IF(N690=0,"전부 제외","사용"))</f>
        <v/>
      </c>
      <c r="U690" s="18" t="inlineStr"/>
    </row>
    <row r="691" ht="30" customHeight="1">
      <c r="A691" s="18" t="n">
        <v>687</v>
      </c>
      <c r="B691" s="18" t="inlineStr">
        <is>
          <t>칼라마네로</t>
        </is>
      </c>
      <c r="C691" s="18" t="inlineStr">
        <is>
          <t>malamar</t>
        </is>
      </c>
      <c r="D691" s="18" t="inlineStr">
        <is>
          <t>Malamar</t>
        </is>
      </c>
      <c r="E691" s="18" t="n">
        <v>6</v>
      </c>
      <c r="F691" s="18" t="inlineStr">
        <is>
          <t>generation6</t>
        </is>
      </c>
      <c r="G691" s="18" t="inlineStr">
        <is>
          <t>dark</t>
        </is>
      </c>
      <c r="H691" s="18" t="inlineStr">
        <is>
          <t>psychic</t>
        </is>
      </c>
      <c r="I691" s="18" t="inlineStr">
        <is>
          <t>예</t>
        </is>
      </c>
      <c r="J691" s="18" t="inlineStr">
        <is>
          <t>예</t>
        </is>
      </c>
      <c r="K691" s="18" t="inlineStr">
        <is>
          <t>예</t>
        </is>
      </c>
      <c r="L691" s="18" t="inlineStr">
        <is>
          <t>COBBLEVERSE 수정</t>
        </is>
      </c>
      <c r="M691" s="18">
        <f>COUNTIF('스폰_편집'!$D$5:$D$3125,A691)</f>
        <v/>
      </c>
      <c r="N691" s="18">
        <f>COUNTIFS('스폰_편집'!$D$5:$D$3125,A691,'스폰_편집'!$B$5:$B$3125,"사용")</f>
        <v/>
      </c>
      <c r="O691" s="18" t="n">
        <v>4</v>
      </c>
      <c r="P691" s="18" t="inlineStr">
        <is>
          <t>#cobblemon:is_coast; #cobblemon:is_end; #cobblemon:is_ocean; #cobblemon:is_overworld</t>
        </is>
      </c>
      <c r="Q691" s="18" t="inlineStr">
        <is>
          <t>common; uncommon</t>
        </is>
      </c>
      <c r="R691" s="18" t="inlineStr">
        <is>
          <t>region_01; region_02</t>
        </is>
      </c>
      <c r="S691" s="18" t="inlineStr">
        <is>
          <t>cobbleventure:generation_6</t>
        </is>
      </c>
      <c r="T691" s="18">
        <f>IF(M691=0,"없음",IF(N691=0,"전부 제외","사용"))</f>
        <v/>
      </c>
      <c r="U691" s="18" t="inlineStr"/>
    </row>
    <row r="692" ht="30" customHeight="1">
      <c r="A692" s="18" t="n">
        <v>688</v>
      </c>
      <c r="B692" s="18" t="inlineStr">
        <is>
          <t>거북손손</t>
        </is>
      </c>
      <c r="C692" s="18" t="inlineStr">
        <is>
          <t>binacle</t>
        </is>
      </c>
      <c r="D692" s="18" t="inlineStr">
        <is>
          <t>Binacle</t>
        </is>
      </c>
      <c r="E692" s="18" t="n">
        <v>6</v>
      </c>
      <c r="F692" s="18" t="inlineStr">
        <is>
          <t>generation6</t>
        </is>
      </c>
      <c r="G692" s="18" t="inlineStr">
        <is>
          <t>rock</t>
        </is>
      </c>
      <c r="H692" s="18" t="inlineStr">
        <is>
          <t>water</t>
        </is>
      </c>
      <c r="I692" s="18" t="inlineStr">
        <is>
          <t>예</t>
        </is>
      </c>
      <c r="J692" s="18" t="inlineStr">
        <is>
          <t>예</t>
        </is>
      </c>
      <c r="K692" s="18" t="inlineStr">
        <is>
          <t>예</t>
        </is>
      </c>
      <c r="L692" s="18" t="inlineStr">
        <is>
          <t>Cobblemon 동일</t>
        </is>
      </c>
      <c r="M692" s="18">
        <f>COUNTIF('스폰_편집'!$D$5:$D$3125,A692)</f>
        <v/>
      </c>
      <c r="N692" s="18">
        <f>COUNTIFS('스폰_편집'!$D$5:$D$3125,A692,'스폰_편집'!$B$5:$B$3125,"사용")</f>
        <v/>
      </c>
      <c r="O692" s="18" t="n">
        <v>2</v>
      </c>
      <c r="P692" s="18" t="inlineStr">
        <is>
          <t>#cobblemon:is_coast; #cobblemon:is_ocean</t>
        </is>
      </c>
      <c r="Q692" s="18" t="inlineStr">
        <is>
          <t>common; uncommon</t>
        </is>
      </c>
      <c r="R692" s="18" t="inlineStr"/>
      <c r="S692" s="18" t="inlineStr">
        <is>
          <t>cobbleventure:generation_6</t>
        </is>
      </c>
      <c r="T692" s="18">
        <f>IF(M692=0,"없음",IF(N692=0,"전부 제외","사용"))</f>
        <v/>
      </c>
      <c r="U692" s="18" t="inlineStr"/>
    </row>
    <row r="693" ht="30" customHeight="1">
      <c r="A693" s="18" t="n">
        <v>689</v>
      </c>
      <c r="B693" s="18" t="inlineStr">
        <is>
          <t>거북손데스</t>
        </is>
      </c>
      <c r="C693" s="18" t="inlineStr">
        <is>
          <t>barbaracle</t>
        </is>
      </c>
      <c r="D693" s="18" t="inlineStr">
        <is>
          <t>Barbaracle</t>
        </is>
      </c>
      <c r="E693" s="18" t="n">
        <v>6</v>
      </c>
      <c r="F693" s="18" t="inlineStr">
        <is>
          <t>generation6</t>
        </is>
      </c>
      <c r="G693" s="18" t="inlineStr">
        <is>
          <t>rock</t>
        </is>
      </c>
      <c r="H693" s="18" t="inlineStr">
        <is>
          <t>water</t>
        </is>
      </c>
      <c r="I693" s="18" t="inlineStr">
        <is>
          <t>예</t>
        </is>
      </c>
      <c r="J693" s="18" t="inlineStr">
        <is>
          <t>예</t>
        </is>
      </c>
      <c r="K693" s="18" t="inlineStr">
        <is>
          <t>예</t>
        </is>
      </c>
      <c r="L693" s="18" t="inlineStr">
        <is>
          <t>Cobblemon 동일</t>
        </is>
      </c>
      <c r="M693" s="18">
        <f>COUNTIF('스폰_편집'!$D$5:$D$3125,A693)</f>
        <v/>
      </c>
      <c r="N693" s="18">
        <f>COUNTIFS('스폰_편집'!$D$5:$D$3125,A693,'스폰_편집'!$B$5:$B$3125,"사용")</f>
        <v/>
      </c>
      <c r="O693" s="18" t="n">
        <v>2</v>
      </c>
      <c r="P693" s="18" t="inlineStr">
        <is>
          <t>#cobblemon:is_coast; #cobblemon:is_ocean</t>
        </is>
      </c>
      <c r="Q693" s="18" t="inlineStr">
        <is>
          <t>common; uncommon</t>
        </is>
      </c>
      <c r="R693" s="18" t="inlineStr"/>
      <c r="S693" s="18" t="inlineStr">
        <is>
          <t>cobbleventure:generation_6</t>
        </is>
      </c>
      <c r="T693" s="18">
        <f>IF(M693=0,"없음",IF(N693=0,"전부 제외","사용"))</f>
        <v/>
      </c>
      <c r="U693" s="18" t="inlineStr"/>
    </row>
    <row r="694" ht="30" customHeight="1">
      <c r="A694" s="18" t="n">
        <v>690</v>
      </c>
      <c r="B694" s="18" t="inlineStr">
        <is>
          <t>수레기</t>
        </is>
      </c>
      <c r="C694" s="18" t="inlineStr">
        <is>
          <t>skrelp</t>
        </is>
      </c>
      <c r="D694" s="18" t="inlineStr">
        <is>
          <t>Skrelp</t>
        </is>
      </c>
      <c r="E694" s="18" t="n">
        <v>6</v>
      </c>
      <c r="F694" s="18" t="inlineStr">
        <is>
          <t>generation6</t>
        </is>
      </c>
      <c r="G694" s="18" t="inlineStr">
        <is>
          <t>poison</t>
        </is>
      </c>
      <c r="H694" s="18" t="inlineStr">
        <is>
          <t>water</t>
        </is>
      </c>
      <c r="I694" s="18" t="inlineStr">
        <is>
          <t>예</t>
        </is>
      </c>
      <c r="J694" s="18" t="inlineStr">
        <is>
          <t>예</t>
        </is>
      </c>
      <c r="K694" s="18" t="inlineStr">
        <is>
          <t>예</t>
        </is>
      </c>
      <c r="L694" s="18" t="inlineStr">
        <is>
          <t>COBBLEVERSE 수정</t>
        </is>
      </c>
      <c r="M694" s="18">
        <f>COUNTIF('스폰_편집'!$D$5:$D$3125,A694)</f>
        <v/>
      </c>
      <c r="N694" s="18">
        <f>COUNTIFS('스폰_편집'!$D$5:$D$3125,A694,'스폰_편집'!$B$5:$B$3125,"사용")</f>
        <v/>
      </c>
      <c r="O694" s="18" t="n">
        <v>3</v>
      </c>
      <c r="P694" s="18" t="inlineStr">
        <is>
          <t>#cobblemon:is_coast; #cobblemon:is_ocean; #cobblemon:is_overworld</t>
        </is>
      </c>
      <c r="Q694" s="18" t="inlineStr">
        <is>
          <t>common</t>
        </is>
      </c>
      <c r="R694" s="18" t="inlineStr">
        <is>
          <t>region_01; region_02</t>
        </is>
      </c>
      <c r="S694" s="18" t="inlineStr">
        <is>
          <t>cobbleventure:generation_6</t>
        </is>
      </c>
      <c r="T694" s="18">
        <f>IF(M694=0,"없음",IF(N694=0,"전부 제외","사용"))</f>
        <v/>
      </c>
      <c r="U694" s="18" t="inlineStr"/>
    </row>
    <row r="695" ht="30" customHeight="1">
      <c r="A695" s="18" t="n">
        <v>691</v>
      </c>
      <c r="B695" s="18" t="inlineStr">
        <is>
          <t>드래캄</t>
        </is>
      </c>
      <c r="C695" s="18" t="inlineStr">
        <is>
          <t>dragalge</t>
        </is>
      </c>
      <c r="D695" s="18" t="inlineStr">
        <is>
          <t>Dragalge</t>
        </is>
      </c>
      <c r="E695" s="18" t="n">
        <v>6</v>
      </c>
      <c r="F695" s="18" t="inlineStr">
        <is>
          <t>generation6</t>
        </is>
      </c>
      <c r="G695" s="18" t="inlineStr">
        <is>
          <t>poison</t>
        </is>
      </c>
      <c r="H695" s="18" t="inlineStr">
        <is>
          <t>dragon</t>
        </is>
      </c>
      <c r="I695" s="18" t="inlineStr">
        <is>
          <t>예</t>
        </is>
      </c>
      <c r="J695" s="18" t="inlineStr">
        <is>
          <t>예</t>
        </is>
      </c>
      <c r="K695" s="18" t="inlineStr">
        <is>
          <t>예</t>
        </is>
      </c>
      <c r="L695" s="18" t="inlineStr">
        <is>
          <t>COBBLEVERSE 수정</t>
        </is>
      </c>
      <c r="M695" s="18">
        <f>COUNTIF('스폰_편집'!$D$5:$D$3125,A695)</f>
        <v/>
      </c>
      <c r="N695" s="18">
        <f>COUNTIFS('스폰_편집'!$D$5:$D$3125,A695,'스폰_편집'!$B$5:$B$3125,"사용")</f>
        <v/>
      </c>
      <c r="O695" s="18" t="n">
        <v>3</v>
      </c>
      <c r="P695" s="18" t="inlineStr">
        <is>
          <t>#cobblemon:is_coast; #cobblemon:is_ocean; #cobblemon:is_overworld</t>
        </is>
      </c>
      <c r="Q695" s="18" t="inlineStr">
        <is>
          <t>common</t>
        </is>
      </c>
      <c r="R695" s="18" t="inlineStr">
        <is>
          <t>region_01; region_02</t>
        </is>
      </c>
      <c r="S695" s="18" t="inlineStr">
        <is>
          <t>cobbleventure:generation_6</t>
        </is>
      </c>
      <c r="T695" s="18">
        <f>IF(M695=0,"없음",IF(N695=0,"전부 제외","사용"))</f>
        <v/>
      </c>
      <c r="U695" s="18" t="inlineStr"/>
    </row>
    <row r="696" ht="30" customHeight="1">
      <c r="A696" s="18" t="n">
        <v>692</v>
      </c>
      <c r="B696" s="18" t="inlineStr">
        <is>
          <t>완철포</t>
        </is>
      </c>
      <c r="C696" s="18" t="inlineStr">
        <is>
          <t>clauncher</t>
        </is>
      </c>
      <c r="D696" s="18" t="inlineStr">
        <is>
          <t>Clauncher</t>
        </is>
      </c>
      <c r="E696" s="18" t="n">
        <v>6</v>
      </c>
      <c r="F696" s="18" t="inlineStr">
        <is>
          <t>generation6</t>
        </is>
      </c>
      <c r="G696" s="18" t="inlineStr">
        <is>
          <t>water</t>
        </is>
      </c>
      <c r="H696" s="18" t="inlineStr"/>
      <c r="I696" s="18" t="inlineStr">
        <is>
          <t>예</t>
        </is>
      </c>
      <c r="J696" s="18" t="inlineStr">
        <is>
          <t>예</t>
        </is>
      </c>
      <c r="K696" s="18" t="inlineStr">
        <is>
          <t>예</t>
        </is>
      </c>
      <c r="L696" s="18" t="inlineStr">
        <is>
          <t>COBBLEVERSE 수정</t>
        </is>
      </c>
      <c r="M696" s="18">
        <f>COUNTIF('스폰_편집'!$D$5:$D$3125,A696)</f>
        <v/>
      </c>
      <c r="N696" s="18">
        <f>COUNTIFS('스폰_편집'!$D$5:$D$3125,A696,'스폰_편집'!$B$5:$B$3125,"사용")</f>
        <v/>
      </c>
      <c r="O696" s="18" t="n">
        <v>2</v>
      </c>
      <c r="P696" s="18" t="inlineStr">
        <is>
          <t>#cobblemon:is_coast; #cobblemon:is_ocean</t>
        </is>
      </c>
      <c r="Q696" s="18" t="inlineStr">
        <is>
          <t>common</t>
        </is>
      </c>
      <c r="R696" s="18" t="inlineStr"/>
      <c r="S696" s="18" t="inlineStr">
        <is>
          <t>cobbleventure:generation_6</t>
        </is>
      </c>
      <c r="T696" s="18">
        <f>IF(M696=0,"없음",IF(N696=0,"전부 제외","사용"))</f>
        <v/>
      </c>
      <c r="U696" s="18" t="inlineStr"/>
    </row>
    <row r="697" ht="30" customHeight="1">
      <c r="A697" s="18" t="n">
        <v>693</v>
      </c>
      <c r="B697" s="18" t="inlineStr">
        <is>
          <t>블로스터</t>
        </is>
      </c>
      <c r="C697" s="18" t="inlineStr">
        <is>
          <t>clawitzer</t>
        </is>
      </c>
      <c r="D697" s="18" t="inlineStr">
        <is>
          <t>Clawitzer</t>
        </is>
      </c>
      <c r="E697" s="18" t="n">
        <v>6</v>
      </c>
      <c r="F697" s="18" t="inlineStr">
        <is>
          <t>generation6</t>
        </is>
      </c>
      <c r="G697" s="18" t="inlineStr">
        <is>
          <t>water</t>
        </is>
      </c>
      <c r="H697" s="18" t="inlineStr"/>
      <c r="I697" s="18" t="inlineStr">
        <is>
          <t>예</t>
        </is>
      </c>
      <c r="J697" s="18" t="inlineStr">
        <is>
          <t>예</t>
        </is>
      </c>
      <c r="K697" s="18" t="inlineStr">
        <is>
          <t>예</t>
        </is>
      </c>
      <c r="L697" s="18" t="inlineStr">
        <is>
          <t>Cobblemon 동일</t>
        </is>
      </c>
      <c r="M697" s="18">
        <f>COUNTIF('스폰_편집'!$D$5:$D$3125,A697)</f>
        <v/>
      </c>
      <c r="N697" s="18">
        <f>COUNTIFS('스폰_편집'!$D$5:$D$3125,A697,'스폰_편집'!$B$5:$B$3125,"사용")</f>
        <v/>
      </c>
      <c r="O697" s="18" t="n">
        <v>2</v>
      </c>
      <c r="P697" s="18" t="inlineStr">
        <is>
          <t>#cobblemon:is_coast; #cobblemon:is_ocean</t>
        </is>
      </c>
      <c r="Q697" s="18" t="inlineStr">
        <is>
          <t>common</t>
        </is>
      </c>
      <c r="R697" s="18" t="inlineStr"/>
      <c r="S697" s="18" t="inlineStr">
        <is>
          <t>cobbleventure:generation_6</t>
        </is>
      </c>
      <c r="T697" s="18">
        <f>IF(M697=0,"없음",IF(N697=0,"전부 제외","사용"))</f>
        <v/>
      </c>
      <c r="U697" s="18" t="inlineStr"/>
    </row>
    <row r="698" ht="30" customHeight="1">
      <c r="A698" s="18" t="n">
        <v>694</v>
      </c>
      <c r="B698" s="18" t="inlineStr">
        <is>
          <t>목도리키텔</t>
        </is>
      </c>
      <c r="C698" s="18" t="inlineStr">
        <is>
          <t>helioptile</t>
        </is>
      </c>
      <c r="D698" s="18" t="inlineStr">
        <is>
          <t>Helioptile</t>
        </is>
      </c>
      <c r="E698" s="18" t="n">
        <v>6</v>
      </c>
      <c r="F698" s="18" t="inlineStr">
        <is>
          <t>generation6</t>
        </is>
      </c>
      <c r="G698" s="18" t="inlineStr">
        <is>
          <t>electric</t>
        </is>
      </c>
      <c r="H698" s="18" t="inlineStr">
        <is>
          <t>normal</t>
        </is>
      </c>
      <c r="I698" s="18" t="inlineStr">
        <is>
          <t>아니오</t>
        </is>
      </c>
      <c r="J698" s="18" t="inlineStr">
        <is>
          <t>아니오</t>
        </is>
      </c>
      <c r="K698" s="18" t="inlineStr">
        <is>
          <t>예</t>
        </is>
      </c>
      <c r="L698" s="18" t="inlineStr">
        <is>
          <t>COBBLEVERSE 추가</t>
        </is>
      </c>
      <c r="M698" s="18">
        <f>COUNTIF('스폰_편집'!$D$5:$D$3125,A698)</f>
        <v/>
      </c>
      <c r="N698" s="18">
        <f>COUNTIFS('스폰_편집'!$D$5:$D$3125,A698,'스폰_편집'!$B$5:$B$3125,"사용")</f>
        <v/>
      </c>
      <c r="O698" s="18" t="n">
        <v>1</v>
      </c>
      <c r="P698" s="18" t="inlineStr">
        <is>
          <t>#cobblemon:is_sandy</t>
        </is>
      </c>
      <c r="Q698" s="18" t="inlineStr">
        <is>
          <t>uncommon</t>
        </is>
      </c>
      <c r="R698" s="18" t="inlineStr">
        <is>
          <t>region_02</t>
        </is>
      </c>
      <c r="S698" s="18" t="inlineStr">
        <is>
          <t>cobbleventure:generation_6</t>
        </is>
      </c>
      <c r="T698" s="18">
        <f>IF(M698=0,"없음",IF(N698=0,"전부 제외","사용"))</f>
        <v/>
      </c>
      <c r="U698" s="18" t="inlineStr"/>
    </row>
    <row r="699" ht="30" customHeight="1">
      <c r="A699" s="18" t="n">
        <v>695</v>
      </c>
      <c r="B699" s="18" t="inlineStr">
        <is>
          <t>일레도리자드</t>
        </is>
      </c>
      <c r="C699" s="18" t="inlineStr">
        <is>
          <t>heliolisk</t>
        </is>
      </c>
      <c r="D699" s="18" t="inlineStr">
        <is>
          <t>Heliolisk</t>
        </is>
      </c>
      <c r="E699" s="18" t="n">
        <v>6</v>
      </c>
      <c r="F699" s="18" t="inlineStr">
        <is>
          <t>generation6</t>
        </is>
      </c>
      <c r="G699" s="18" t="inlineStr">
        <is>
          <t>electric</t>
        </is>
      </c>
      <c r="H699" s="18" t="inlineStr">
        <is>
          <t>normal</t>
        </is>
      </c>
      <c r="I699" s="18" t="inlineStr">
        <is>
          <t>아니오</t>
        </is>
      </c>
      <c r="J699" s="18" t="inlineStr">
        <is>
          <t>아니오</t>
        </is>
      </c>
      <c r="K699" s="18" t="inlineStr">
        <is>
          <t>예</t>
        </is>
      </c>
      <c r="L699" s="18" t="inlineStr">
        <is>
          <t>COBBLEVERSE 추가</t>
        </is>
      </c>
      <c r="M699" s="18">
        <f>COUNTIF('스폰_편집'!$D$5:$D$3125,A699)</f>
        <v/>
      </c>
      <c r="N699" s="18">
        <f>COUNTIFS('스폰_편집'!$D$5:$D$3125,A699,'스폰_편집'!$B$5:$B$3125,"사용")</f>
        <v/>
      </c>
      <c r="O699" s="18" t="n">
        <v>1</v>
      </c>
      <c r="P699" s="18" t="inlineStr">
        <is>
          <t>#cobblemon:is_sandy</t>
        </is>
      </c>
      <c r="Q699" s="18" t="inlineStr">
        <is>
          <t>rare</t>
        </is>
      </c>
      <c r="R699" s="18" t="inlineStr">
        <is>
          <t>region_02</t>
        </is>
      </c>
      <c r="S699" s="18" t="inlineStr">
        <is>
          <t>cobbleventure:generation_6</t>
        </is>
      </c>
      <c r="T699" s="18">
        <f>IF(M699=0,"없음",IF(N699=0,"전부 제외","사용"))</f>
        <v/>
      </c>
      <c r="U699" s="18" t="inlineStr"/>
    </row>
    <row r="700" ht="30" customHeight="1">
      <c r="A700" s="18" t="n">
        <v>696</v>
      </c>
      <c r="B700" s="18" t="inlineStr">
        <is>
          <t>티고라스</t>
        </is>
      </c>
      <c r="C700" s="18" t="inlineStr">
        <is>
          <t>tyrunt</t>
        </is>
      </c>
      <c r="D700" s="18" t="inlineStr">
        <is>
          <t>Tyrunt</t>
        </is>
      </c>
      <c r="E700" s="18" t="n">
        <v>6</v>
      </c>
      <c r="F700" s="18" t="inlineStr">
        <is>
          <t>generation6</t>
        </is>
      </c>
      <c r="G700" s="18" t="inlineStr">
        <is>
          <t>rock</t>
        </is>
      </c>
      <c r="H700" s="18" t="inlineStr">
        <is>
          <t>dragon</t>
        </is>
      </c>
      <c r="I700" s="18" t="inlineStr">
        <is>
          <t>예</t>
        </is>
      </c>
      <c r="J700" s="18" t="inlineStr">
        <is>
          <t>예</t>
        </is>
      </c>
      <c r="K700" s="18" t="inlineStr">
        <is>
          <t>예</t>
        </is>
      </c>
      <c r="L700" s="18" t="inlineStr">
        <is>
          <t>Cobblemon 동일</t>
        </is>
      </c>
      <c r="M700" s="18">
        <f>COUNTIF('스폰_편집'!$D$5:$D$3125,A700)</f>
        <v/>
      </c>
      <c r="N700" s="18">
        <f>COUNTIFS('스폰_편집'!$D$5:$D$3125,A700,'스폰_편집'!$B$5:$B$3125,"사용")</f>
        <v/>
      </c>
      <c r="O700" s="18" t="n">
        <v>1</v>
      </c>
      <c r="P700" s="18" t="inlineStr">
        <is>
          <t>#cobblemon:is_lush</t>
        </is>
      </c>
      <c r="Q700" s="18" t="inlineStr">
        <is>
          <t>ultra-rare</t>
        </is>
      </c>
      <c r="R700" s="18" t="inlineStr"/>
      <c r="S700" s="18" t="inlineStr">
        <is>
          <t>cobbleventure:generation_6</t>
        </is>
      </c>
      <c r="T700" s="18">
        <f>IF(M700=0,"없음",IF(N700=0,"전부 제외","사용"))</f>
        <v/>
      </c>
      <c r="U700" s="18" t="inlineStr"/>
    </row>
    <row r="701" ht="30" customHeight="1">
      <c r="A701" s="18" t="n">
        <v>697</v>
      </c>
      <c r="B701" s="18" t="inlineStr">
        <is>
          <t>견고라스</t>
        </is>
      </c>
      <c r="C701" s="18" t="inlineStr">
        <is>
          <t>tyrantrum</t>
        </is>
      </c>
      <c r="D701" s="18" t="inlineStr">
        <is>
          <t>Tyrantrum</t>
        </is>
      </c>
      <c r="E701" s="18" t="n">
        <v>6</v>
      </c>
      <c r="F701" s="18" t="inlineStr">
        <is>
          <t>generation6</t>
        </is>
      </c>
      <c r="G701" s="18" t="inlineStr">
        <is>
          <t>rock</t>
        </is>
      </c>
      <c r="H701" s="18" t="inlineStr">
        <is>
          <t>dragon</t>
        </is>
      </c>
      <c r="I701" s="18" t="inlineStr">
        <is>
          <t>예</t>
        </is>
      </c>
      <c r="J701" s="18" t="inlineStr">
        <is>
          <t>예</t>
        </is>
      </c>
      <c r="K701" s="18" t="inlineStr">
        <is>
          <t>예</t>
        </is>
      </c>
      <c r="L701" s="18" t="inlineStr">
        <is>
          <t>Cobblemon 동일</t>
        </is>
      </c>
      <c r="M701" s="18">
        <f>COUNTIF('스폰_편집'!$D$5:$D$3125,A701)</f>
        <v/>
      </c>
      <c r="N701" s="18">
        <f>COUNTIFS('스폰_편집'!$D$5:$D$3125,A701,'스폰_편집'!$B$5:$B$3125,"사용")</f>
        <v/>
      </c>
      <c r="O701" s="18" t="n">
        <v>1</v>
      </c>
      <c r="P701" s="18" t="inlineStr">
        <is>
          <t>#cobblemon:is_lush</t>
        </is>
      </c>
      <c r="Q701" s="18" t="inlineStr">
        <is>
          <t>ultra-rare</t>
        </is>
      </c>
      <c r="R701" s="18" t="inlineStr"/>
      <c r="S701" s="18" t="inlineStr">
        <is>
          <t>cobbleventure:generation_6</t>
        </is>
      </c>
      <c r="T701" s="18">
        <f>IF(M701=0,"없음",IF(N701=0,"전부 제외","사용"))</f>
        <v/>
      </c>
      <c r="U701" s="18" t="inlineStr"/>
    </row>
    <row r="702" ht="30" customHeight="1">
      <c r="A702" s="18" t="n">
        <v>698</v>
      </c>
      <c r="B702" s="18" t="inlineStr">
        <is>
          <t>아마루스</t>
        </is>
      </c>
      <c r="C702" s="18" t="inlineStr">
        <is>
          <t>amaura</t>
        </is>
      </c>
      <c r="D702" s="18" t="inlineStr">
        <is>
          <t>Amaura</t>
        </is>
      </c>
      <c r="E702" s="18" t="n">
        <v>6</v>
      </c>
      <c r="F702" s="18" t="inlineStr">
        <is>
          <t>generation6</t>
        </is>
      </c>
      <c r="G702" s="18" t="inlineStr">
        <is>
          <t>rock</t>
        </is>
      </c>
      <c r="H702" s="18" t="inlineStr">
        <is>
          <t>ice</t>
        </is>
      </c>
      <c r="I702" s="18" t="inlineStr">
        <is>
          <t>예</t>
        </is>
      </c>
      <c r="J702" s="18" t="inlineStr">
        <is>
          <t>예</t>
        </is>
      </c>
      <c r="K702" s="18" t="inlineStr">
        <is>
          <t>예</t>
        </is>
      </c>
      <c r="L702" s="18" t="inlineStr">
        <is>
          <t>Cobblemon 동일</t>
        </is>
      </c>
      <c r="M702" s="18">
        <f>COUNTIF('스폰_편집'!$D$5:$D$3125,A702)</f>
        <v/>
      </c>
      <c r="N702" s="18">
        <f>COUNTIFS('스폰_편집'!$D$5:$D$3125,A702,'스폰_편집'!$B$5:$B$3125,"사용")</f>
        <v/>
      </c>
      <c r="O702" s="18" t="n">
        <v>1</v>
      </c>
      <c r="P702" s="18" t="inlineStr">
        <is>
          <t>#cobblemon:is_lush</t>
        </is>
      </c>
      <c r="Q702" s="18" t="inlineStr">
        <is>
          <t>ultra-rare</t>
        </is>
      </c>
      <c r="R702" s="18" t="inlineStr"/>
      <c r="S702" s="18" t="inlineStr">
        <is>
          <t>cobbleventure:generation_6</t>
        </is>
      </c>
      <c r="T702" s="18">
        <f>IF(M702=0,"없음",IF(N702=0,"전부 제외","사용"))</f>
        <v/>
      </c>
      <c r="U702" s="18" t="inlineStr"/>
    </row>
    <row r="703" ht="30" customHeight="1">
      <c r="A703" s="18" t="n">
        <v>699</v>
      </c>
      <c r="B703" s="18" t="inlineStr">
        <is>
          <t>아마루르가</t>
        </is>
      </c>
      <c r="C703" s="18" t="inlineStr">
        <is>
          <t>aurorus</t>
        </is>
      </c>
      <c r="D703" s="18" t="inlineStr">
        <is>
          <t>Aurorus</t>
        </is>
      </c>
      <c r="E703" s="18" t="n">
        <v>6</v>
      </c>
      <c r="F703" s="18" t="inlineStr">
        <is>
          <t>generation6</t>
        </is>
      </c>
      <c r="G703" s="18" t="inlineStr">
        <is>
          <t>rock</t>
        </is>
      </c>
      <c r="H703" s="18" t="inlineStr">
        <is>
          <t>ice</t>
        </is>
      </c>
      <c r="I703" s="18" t="inlineStr">
        <is>
          <t>예</t>
        </is>
      </c>
      <c r="J703" s="18" t="inlineStr">
        <is>
          <t>예</t>
        </is>
      </c>
      <c r="K703" s="18" t="inlineStr">
        <is>
          <t>예</t>
        </is>
      </c>
      <c r="L703" s="18" t="inlineStr">
        <is>
          <t>Cobblemon 동일</t>
        </is>
      </c>
      <c r="M703" s="18">
        <f>COUNTIF('스폰_편집'!$D$5:$D$3125,A703)</f>
        <v/>
      </c>
      <c r="N703" s="18">
        <f>COUNTIFS('스폰_편집'!$D$5:$D$3125,A703,'스폰_편집'!$B$5:$B$3125,"사용")</f>
        <v/>
      </c>
      <c r="O703" s="18" t="n">
        <v>1</v>
      </c>
      <c r="P703" s="18" t="inlineStr">
        <is>
          <t>#cobblemon:is_lush</t>
        </is>
      </c>
      <c r="Q703" s="18" t="inlineStr">
        <is>
          <t>ultra-rare</t>
        </is>
      </c>
      <c r="R703" s="18" t="inlineStr"/>
      <c r="S703" s="18" t="inlineStr">
        <is>
          <t>cobbleventure:generation_6</t>
        </is>
      </c>
      <c r="T703" s="18">
        <f>IF(M703=0,"없음",IF(N703=0,"전부 제외","사용"))</f>
        <v/>
      </c>
      <c r="U703" s="18" t="inlineStr"/>
    </row>
    <row r="704" ht="30" customHeight="1">
      <c r="A704" s="18" t="n">
        <v>700</v>
      </c>
      <c r="B704" s="18" t="inlineStr">
        <is>
          <t>님피아</t>
        </is>
      </c>
      <c r="C704" s="18" t="inlineStr">
        <is>
          <t>sylveon</t>
        </is>
      </c>
      <c r="D704" s="18" t="inlineStr">
        <is>
          <t>Sylveon</t>
        </is>
      </c>
      <c r="E704" s="18" t="n">
        <v>6</v>
      </c>
      <c r="F704" s="18" t="inlineStr">
        <is>
          <t>generation6</t>
        </is>
      </c>
      <c r="G704" s="18" t="inlineStr">
        <is>
          <t>fairy</t>
        </is>
      </c>
      <c r="H704" s="18" t="inlineStr"/>
      <c r="I704" s="18" t="inlineStr">
        <is>
          <t>예</t>
        </is>
      </c>
      <c r="J704" s="18" t="inlineStr">
        <is>
          <t>예</t>
        </is>
      </c>
      <c r="K704" s="18" t="inlineStr">
        <is>
          <t>예</t>
        </is>
      </c>
      <c r="L704" s="18" t="inlineStr">
        <is>
          <t>Cobblemon 동일</t>
        </is>
      </c>
      <c r="M704" s="18">
        <f>COUNTIF('스폰_편집'!$D$5:$D$3125,A704)</f>
        <v/>
      </c>
      <c r="N704" s="18">
        <f>COUNTIFS('스폰_편집'!$D$5:$D$3125,A704,'스폰_편집'!$B$5:$B$3125,"사용")</f>
        <v/>
      </c>
      <c r="O704" s="18" t="n">
        <v>5</v>
      </c>
      <c r="P704" s="18" t="inlineStr">
        <is>
          <t>#cobblemon:is_floral; #cobblemon:is_magical; #cobblemon:is_overworld; aether:skyroot_grove; aether:skyroot_meadow</t>
        </is>
      </c>
      <c r="Q704" s="18" t="inlineStr">
        <is>
          <t>ultra-rare; uncommon</t>
        </is>
      </c>
      <c r="R704" s="18" t="inlineStr">
        <is>
          <t>region_01; region_02</t>
        </is>
      </c>
      <c r="S704" s="18" t="inlineStr">
        <is>
          <t>cobbleventure:generation_6</t>
        </is>
      </c>
      <c r="T704" s="18">
        <f>IF(M704=0,"없음",IF(N704=0,"전부 제외","사용"))</f>
        <v/>
      </c>
      <c r="U704" s="18" t="inlineStr"/>
    </row>
    <row r="705" ht="30" customHeight="1">
      <c r="A705" s="18" t="n">
        <v>701</v>
      </c>
      <c r="B705" s="18" t="inlineStr">
        <is>
          <t>루차불</t>
        </is>
      </c>
      <c r="C705" s="18" t="inlineStr">
        <is>
          <t>hawlucha</t>
        </is>
      </c>
      <c r="D705" s="18" t="inlineStr">
        <is>
          <t>Hawlucha</t>
        </is>
      </c>
      <c r="E705" s="18" t="n">
        <v>6</v>
      </c>
      <c r="F705" s="18" t="inlineStr">
        <is>
          <t>generation6</t>
        </is>
      </c>
      <c r="G705" s="18" t="inlineStr">
        <is>
          <t>fighting</t>
        </is>
      </c>
      <c r="H705" s="18" t="inlineStr">
        <is>
          <t>flying</t>
        </is>
      </c>
      <c r="I705" s="18" t="inlineStr">
        <is>
          <t>예</t>
        </is>
      </c>
      <c r="J705" s="18" t="inlineStr">
        <is>
          <t>예</t>
        </is>
      </c>
      <c r="K705" s="18" t="inlineStr">
        <is>
          <t>예</t>
        </is>
      </c>
      <c r="L705" s="18" t="inlineStr">
        <is>
          <t>COBBLEVERSE 수정</t>
        </is>
      </c>
      <c r="M705" s="18">
        <f>COUNTIF('스폰_편집'!$D$5:$D$3125,A705)</f>
        <v/>
      </c>
      <c r="N705" s="18">
        <f>COUNTIFS('스폰_편집'!$D$5:$D$3125,A705,'스폰_편집'!$B$5:$B$3125,"사용")</f>
        <v/>
      </c>
      <c r="O705" s="18" t="n">
        <v>4</v>
      </c>
      <c r="P705" s="18" t="inlineStr">
        <is>
          <t>#cobblemon:is_badlands; #cobblemon:is_jungle; #cobblemon:is_overworld; #cobblemon:is_tropical_island</t>
        </is>
      </c>
      <c r="Q705" s="18" t="inlineStr">
        <is>
          <t>common; uncommon</t>
        </is>
      </c>
      <c r="R705" s="18" t="inlineStr">
        <is>
          <t>region_01; region_02</t>
        </is>
      </c>
      <c r="S705" s="18" t="inlineStr">
        <is>
          <t>cobbleventure:generation_6</t>
        </is>
      </c>
      <c r="T705" s="18">
        <f>IF(M705=0,"없음",IF(N705=0,"전부 제외","사용"))</f>
        <v/>
      </c>
      <c r="U705" s="18" t="inlineStr"/>
    </row>
    <row r="706" ht="30" customHeight="1">
      <c r="A706" s="18" t="n">
        <v>702</v>
      </c>
      <c r="B706" s="18" t="inlineStr">
        <is>
          <t>데덴네</t>
        </is>
      </c>
      <c r="C706" s="18" t="inlineStr">
        <is>
          <t>dedenne</t>
        </is>
      </c>
      <c r="D706" s="18" t="inlineStr">
        <is>
          <t>Dedenne</t>
        </is>
      </c>
      <c r="E706" s="18" t="n">
        <v>6</v>
      </c>
      <c r="F706" s="18" t="inlineStr">
        <is>
          <t>generation6</t>
        </is>
      </c>
      <c r="G706" s="18" t="inlineStr">
        <is>
          <t>electric</t>
        </is>
      </c>
      <c r="H706" s="18" t="inlineStr">
        <is>
          <t>fairy</t>
        </is>
      </c>
      <c r="I706" s="18" t="inlineStr">
        <is>
          <t>예</t>
        </is>
      </c>
      <c r="J706" s="18" t="inlineStr">
        <is>
          <t>예</t>
        </is>
      </c>
      <c r="K706" s="18" t="inlineStr">
        <is>
          <t>예</t>
        </is>
      </c>
      <c r="L706" s="18" t="inlineStr">
        <is>
          <t>Cobblemon 동일</t>
        </is>
      </c>
      <c r="M706" s="18">
        <f>COUNTIF('스폰_편집'!$D$5:$D$3125,A706)</f>
        <v/>
      </c>
      <c r="N706" s="18">
        <f>COUNTIFS('스폰_편집'!$D$5:$D$3125,A706,'스폰_편집'!$B$5:$B$3125,"사용")</f>
        <v/>
      </c>
      <c r="O706" s="18" t="n">
        <v>2</v>
      </c>
      <c r="P706" s="18" t="inlineStr">
        <is>
          <t>#cobblemon:is_savanna; #cobblemon:is_shrubland</t>
        </is>
      </c>
      <c r="Q706" s="18" t="inlineStr">
        <is>
          <t>uncommon</t>
        </is>
      </c>
      <c r="R706" s="18" t="inlineStr"/>
      <c r="S706" s="18" t="inlineStr">
        <is>
          <t>cobbleventure:generation_6</t>
        </is>
      </c>
      <c r="T706" s="18">
        <f>IF(M706=0,"없음",IF(N706=0,"전부 제외","사용"))</f>
        <v/>
      </c>
      <c r="U706" s="18" t="inlineStr"/>
    </row>
    <row r="707" ht="30" customHeight="1">
      <c r="A707" s="18" t="n">
        <v>703</v>
      </c>
      <c r="B707" s="18" t="inlineStr">
        <is>
          <t>멜리시</t>
        </is>
      </c>
      <c r="C707" s="18" t="inlineStr">
        <is>
          <t>carbink</t>
        </is>
      </c>
      <c r="D707" s="18" t="inlineStr">
        <is>
          <t>Carbink</t>
        </is>
      </c>
      <c r="E707" s="18" t="n">
        <v>6</v>
      </c>
      <c r="F707" s="18" t="inlineStr">
        <is>
          <t>generation6</t>
        </is>
      </c>
      <c r="G707" s="18" t="inlineStr">
        <is>
          <t>rock</t>
        </is>
      </c>
      <c r="H707" s="18" t="inlineStr">
        <is>
          <t>fairy</t>
        </is>
      </c>
      <c r="I707" s="18" t="inlineStr">
        <is>
          <t>예</t>
        </is>
      </c>
      <c r="J707" s="18" t="inlineStr">
        <is>
          <t>예</t>
        </is>
      </c>
      <c r="K707" s="18" t="inlineStr">
        <is>
          <t>예</t>
        </is>
      </c>
      <c r="L707" s="18" t="inlineStr">
        <is>
          <t>COBBLEVERSE 수정</t>
        </is>
      </c>
      <c r="M707" s="18">
        <f>COUNTIF('스폰_편집'!$D$5:$D$3125,A707)</f>
        <v/>
      </c>
      <c r="N707" s="18">
        <f>COUNTIFS('스폰_편집'!$D$5:$D$3125,A707,'스폰_편집'!$B$5:$B$3125,"사용")</f>
        <v/>
      </c>
      <c r="O707" s="18" t="n">
        <v>3</v>
      </c>
      <c r="P707" s="18" t="inlineStr">
        <is>
          <t>#cobblemon:is_overworld; #cobblemon:nether/is_wasteland; the_bumblezone:crystal_canyon</t>
        </is>
      </c>
      <c r="Q707" s="18" t="inlineStr">
        <is>
          <t>common; uncommon</t>
        </is>
      </c>
      <c r="R707" s="18" t="inlineStr">
        <is>
          <t>region_01; region_02</t>
        </is>
      </c>
      <c r="S707" s="18" t="inlineStr">
        <is>
          <t>cobbleventure:generation_6</t>
        </is>
      </c>
      <c r="T707" s="18">
        <f>IF(M707=0,"없음",IF(N707=0,"전부 제외","사용"))</f>
        <v/>
      </c>
      <c r="U707" s="18" t="inlineStr"/>
    </row>
    <row r="708" ht="30" customHeight="1">
      <c r="A708" s="18" t="n">
        <v>704</v>
      </c>
      <c r="B708" s="18" t="inlineStr">
        <is>
          <t>미끄메라</t>
        </is>
      </c>
      <c r="C708" s="18" t="inlineStr">
        <is>
          <t>goomy</t>
        </is>
      </c>
      <c r="D708" s="18" t="inlineStr">
        <is>
          <t>Goomy</t>
        </is>
      </c>
      <c r="E708" s="18" t="n">
        <v>6</v>
      </c>
      <c r="F708" s="18" t="inlineStr">
        <is>
          <t>generation6</t>
        </is>
      </c>
      <c r="G708" s="18" t="inlineStr">
        <is>
          <t>dragon</t>
        </is>
      </c>
      <c r="H708" s="18" t="inlineStr"/>
      <c r="I708" s="18" t="inlineStr">
        <is>
          <t>예</t>
        </is>
      </c>
      <c r="J708" s="18" t="inlineStr">
        <is>
          <t>예</t>
        </is>
      </c>
      <c r="K708" s="18" t="inlineStr">
        <is>
          <t>예</t>
        </is>
      </c>
      <c r="L708" s="18" t="inlineStr">
        <is>
          <t>Cobblemon 동일</t>
        </is>
      </c>
      <c r="M708" s="18">
        <f>COUNTIF('스폰_편집'!$D$5:$D$3125,A708)</f>
        <v/>
      </c>
      <c r="N708" s="18">
        <f>COUNTIFS('스폰_편집'!$D$5:$D$3125,A708,'스폰_편집'!$B$5:$B$3125,"사용")</f>
        <v/>
      </c>
      <c r="O708" s="18" t="n">
        <v>4</v>
      </c>
      <c r="P708" s="18" t="inlineStr">
        <is>
          <t>#cobblemon:is_dripstone; #cobblemon:is_lush; #cobblemon:is_overworld; #cobblemon:is_swamp</t>
        </is>
      </c>
      <c r="Q708" s="18" t="inlineStr">
        <is>
          <t>common; rare; ultra-rare</t>
        </is>
      </c>
      <c r="R708" s="18" t="inlineStr">
        <is>
          <t>region_01; region_02</t>
        </is>
      </c>
      <c r="S708" s="18" t="inlineStr">
        <is>
          <t>cobbleventure:generation_6</t>
        </is>
      </c>
      <c r="T708" s="18">
        <f>IF(M708=0,"없음",IF(N708=0,"전부 제외","사용"))</f>
        <v/>
      </c>
      <c r="U708" s="18" t="inlineStr"/>
    </row>
    <row r="709" ht="30" customHeight="1">
      <c r="A709" s="18" t="n">
        <v>705</v>
      </c>
      <c r="B709" s="18" t="inlineStr">
        <is>
          <t>미끄네일</t>
        </is>
      </c>
      <c r="C709" s="18" t="inlineStr">
        <is>
          <t>sliggoo</t>
        </is>
      </c>
      <c r="D709" s="18" t="inlineStr">
        <is>
          <t>Sliggoo</t>
        </is>
      </c>
      <c r="E709" s="18" t="n">
        <v>6</v>
      </c>
      <c r="F709" s="18" t="inlineStr">
        <is>
          <t>generation6</t>
        </is>
      </c>
      <c r="G709" s="18" t="inlineStr">
        <is>
          <t>dragon</t>
        </is>
      </c>
      <c r="H709" s="18" t="inlineStr"/>
      <c r="I709" s="18" t="inlineStr">
        <is>
          <t>예</t>
        </is>
      </c>
      <c r="J709" s="18" t="inlineStr">
        <is>
          <t>예</t>
        </is>
      </c>
      <c r="K709" s="18" t="inlineStr">
        <is>
          <t>예</t>
        </is>
      </c>
      <c r="L709" s="18" t="inlineStr">
        <is>
          <t>Cobblemon 동일</t>
        </is>
      </c>
      <c r="M709" s="18">
        <f>COUNTIF('스폰_편집'!$D$5:$D$3125,A709)</f>
        <v/>
      </c>
      <c r="N709" s="18">
        <f>COUNTIFS('스폰_편집'!$D$5:$D$3125,A709,'스폰_편집'!$B$5:$B$3125,"사용")</f>
        <v/>
      </c>
      <c r="O709" s="18" t="n">
        <v>4</v>
      </c>
      <c r="P709" s="18" t="inlineStr">
        <is>
          <t>#cobblemon:is_dripstone; #cobblemon:is_lush; #cobblemon:is_overworld; #cobblemon:is_swamp</t>
        </is>
      </c>
      <c r="Q709" s="18" t="inlineStr">
        <is>
          <t>common; rare; ultra-rare</t>
        </is>
      </c>
      <c r="R709" s="18" t="inlineStr">
        <is>
          <t>region_01; region_02</t>
        </is>
      </c>
      <c r="S709" s="18" t="inlineStr">
        <is>
          <t>cobbleventure:generation_6</t>
        </is>
      </c>
      <c r="T709" s="18">
        <f>IF(M709=0,"없음",IF(N709=0,"전부 제외","사용"))</f>
        <v/>
      </c>
      <c r="U709" s="18" t="inlineStr"/>
    </row>
    <row r="710" ht="30" customHeight="1">
      <c r="A710" s="18" t="n">
        <v>706</v>
      </c>
      <c r="B710" s="18" t="inlineStr">
        <is>
          <t>미끄래곤</t>
        </is>
      </c>
      <c r="C710" s="18" t="inlineStr">
        <is>
          <t>goodra</t>
        </is>
      </c>
      <c r="D710" s="18" t="inlineStr">
        <is>
          <t>Goodra</t>
        </is>
      </c>
      <c r="E710" s="18" t="n">
        <v>6</v>
      </c>
      <c r="F710" s="18" t="inlineStr">
        <is>
          <t>generation6</t>
        </is>
      </c>
      <c r="G710" s="18" t="inlineStr">
        <is>
          <t>dragon</t>
        </is>
      </c>
      <c r="H710" s="18" t="inlineStr"/>
      <c r="I710" s="18" t="inlineStr">
        <is>
          <t>예</t>
        </is>
      </c>
      <c r="J710" s="18" t="inlineStr">
        <is>
          <t>예</t>
        </is>
      </c>
      <c r="K710" s="18" t="inlineStr">
        <is>
          <t>예</t>
        </is>
      </c>
      <c r="L710" s="18" t="inlineStr">
        <is>
          <t>Cobblemon 동일</t>
        </is>
      </c>
      <c r="M710" s="18">
        <f>COUNTIF('스폰_편집'!$D$5:$D$3125,A710)</f>
        <v/>
      </c>
      <c r="N710" s="18">
        <f>COUNTIFS('스폰_편집'!$D$5:$D$3125,A710,'스폰_편집'!$B$5:$B$3125,"사용")</f>
        <v/>
      </c>
      <c r="O710" s="18" t="n">
        <v>4</v>
      </c>
      <c r="P710" s="18" t="inlineStr">
        <is>
          <t>#cobblemon:is_dripstone; #cobblemon:is_lush; #cobblemon:is_overworld; #cobblemon:is_swamp</t>
        </is>
      </c>
      <c r="Q710" s="18" t="inlineStr">
        <is>
          <t>common; rare; ultra-rare</t>
        </is>
      </c>
      <c r="R710" s="18" t="inlineStr">
        <is>
          <t>region_01; region_02</t>
        </is>
      </c>
      <c r="S710" s="18" t="inlineStr">
        <is>
          <t>cobbleventure:generation_6</t>
        </is>
      </c>
      <c r="T710" s="18">
        <f>IF(M710=0,"없음",IF(N710=0,"전부 제외","사용"))</f>
        <v/>
      </c>
      <c r="U710" s="18" t="inlineStr"/>
    </row>
    <row r="711" ht="30" customHeight="1">
      <c r="A711" s="18" t="n">
        <v>707</v>
      </c>
      <c r="B711" s="18" t="inlineStr">
        <is>
          <t>클레피</t>
        </is>
      </c>
      <c r="C711" s="18" t="inlineStr">
        <is>
          <t>klefki</t>
        </is>
      </c>
      <c r="D711" s="18" t="inlineStr">
        <is>
          <t>Klefki</t>
        </is>
      </c>
      <c r="E711" s="18" t="n">
        <v>6</v>
      </c>
      <c r="F711" s="18" t="inlineStr">
        <is>
          <t>generation6</t>
        </is>
      </c>
      <c r="G711" s="18" t="inlineStr">
        <is>
          <t>steel</t>
        </is>
      </c>
      <c r="H711" s="18" t="inlineStr">
        <is>
          <t>fairy</t>
        </is>
      </c>
      <c r="I711" s="18" t="inlineStr">
        <is>
          <t>예</t>
        </is>
      </c>
      <c r="J711" s="18" t="inlineStr">
        <is>
          <t>예</t>
        </is>
      </c>
      <c r="K711" s="18" t="inlineStr">
        <is>
          <t>예</t>
        </is>
      </c>
      <c r="L711" s="18" t="inlineStr">
        <is>
          <t>COBBLEVERSE 수정</t>
        </is>
      </c>
      <c r="M711" s="18">
        <f>COUNTIF('스폰_편집'!$D$5:$D$3125,A711)</f>
        <v/>
      </c>
      <c r="N711" s="18">
        <f>COUNTIFS('스폰_편집'!$D$5:$D$3125,A711,'스폰_편집'!$B$5:$B$3125,"사용")</f>
        <v/>
      </c>
      <c r="O711" s="18" t="n">
        <v>1</v>
      </c>
      <c r="P711" s="18" t="inlineStr">
        <is>
          <t>#cobblemon:is_overworld</t>
        </is>
      </c>
      <c r="Q711" s="18" t="inlineStr">
        <is>
          <t>common; uncommon</t>
        </is>
      </c>
      <c r="R711" s="18" t="inlineStr">
        <is>
          <t>region_01; region_02</t>
        </is>
      </c>
      <c r="S711" s="18" t="inlineStr">
        <is>
          <t>cobbleventure:generation_6</t>
        </is>
      </c>
      <c r="T711" s="18">
        <f>IF(M711=0,"없음",IF(N711=0,"전부 제외","사용"))</f>
        <v/>
      </c>
      <c r="U711" s="18" t="inlineStr"/>
    </row>
    <row r="712" ht="30" customHeight="1">
      <c r="A712" s="18" t="n">
        <v>708</v>
      </c>
      <c r="B712" s="18" t="inlineStr">
        <is>
          <t>나목령</t>
        </is>
      </c>
      <c r="C712" s="18" t="inlineStr">
        <is>
          <t>phantump</t>
        </is>
      </c>
      <c r="D712" s="18" t="inlineStr">
        <is>
          <t>Phantump</t>
        </is>
      </c>
      <c r="E712" s="18" t="n">
        <v>6</v>
      </c>
      <c r="F712" s="18" t="inlineStr">
        <is>
          <t>generation6</t>
        </is>
      </c>
      <c r="G712" s="18" t="inlineStr">
        <is>
          <t>ghost</t>
        </is>
      </c>
      <c r="H712" s="18" t="inlineStr">
        <is>
          <t>grass</t>
        </is>
      </c>
      <c r="I712" s="18" t="inlineStr">
        <is>
          <t>예</t>
        </is>
      </c>
      <c r="J712" s="18" t="inlineStr">
        <is>
          <t>예</t>
        </is>
      </c>
      <c r="K712" s="18" t="inlineStr">
        <is>
          <t>예</t>
        </is>
      </c>
      <c r="L712" s="18" t="inlineStr">
        <is>
          <t>Cobblemon 동일</t>
        </is>
      </c>
      <c r="M712" s="18">
        <f>COUNTIF('스폰_편집'!$D$5:$D$3125,A712)</f>
        <v/>
      </c>
      <c r="N712" s="18">
        <f>COUNTIFS('스폰_편집'!$D$5:$D$3125,A712,'스폰_편집'!$B$5:$B$3125,"사용")</f>
        <v/>
      </c>
      <c r="O712" s="18" t="n">
        <v>3</v>
      </c>
      <c r="P712" s="18" t="inlineStr">
        <is>
          <t>#cobblemon:is_forest; #cobblemon:is_spooky; #cobblemon:is_taiga</t>
        </is>
      </c>
      <c r="Q712" s="18" t="inlineStr">
        <is>
          <t>common</t>
        </is>
      </c>
      <c r="R712" s="18" t="inlineStr">
        <is>
          <t>region_01</t>
        </is>
      </c>
      <c r="S712" s="18" t="inlineStr">
        <is>
          <t>cobbleventure:generation_6</t>
        </is>
      </c>
      <c r="T712" s="18">
        <f>IF(M712=0,"없음",IF(N712=0,"전부 제외","사용"))</f>
        <v/>
      </c>
      <c r="U712" s="18" t="inlineStr"/>
    </row>
    <row r="713" ht="30" customHeight="1">
      <c r="A713" s="18" t="n">
        <v>709</v>
      </c>
      <c r="B713" s="18" t="inlineStr">
        <is>
          <t>대로트</t>
        </is>
      </c>
      <c r="C713" s="18" t="inlineStr">
        <is>
          <t>trevenant</t>
        </is>
      </c>
      <c r="D713" s="18" t="inlineStr">
        <is>
          <t>Trevenant</t>
        </is>
      </c>
      <c r="E713" s="18" t="n">
        <v>6</v>
      </c>
      <c r="F713" s="18" t="inlineStr">
        <is>
          <t>generation6</t>
        </is>
      </c>
      <c r="G713" s="18" t="inlineStr">
        <is>
          <t>ghost</t>
        </is>
      </c>
      <c r="H713" s="18" t="inlineStr">
        <is>
          <t>grass</t>
        </is>
      </c>
      <c r="I713" s="18" t="inlineStr">
        <is>
          <t>예</t>
        </is>
      </c>
      <c r="J713" s="18" t="inlineStr">
        <is>
          <t>예</t>
        </is>
      </c>
      <c r="K713" s="18" t="inlineStr">
        <is>
          <t>예</t>
        </is>
      </c>
      <c r="L713" s="18" t="inlineStr">
        <is>
          <t>COBBLEVERSE 수정</t>
        </is>
      </c>
      <c r="M713" s="18">
        <f>COUNTIF('스폰_편집'!$D$5:$D$3125,A713)</f>
        <v/>
      </c>
      <c r="N713" s="18">
        <f>COUNTIFS('스폰_편집'!$D$5:$D$3125,A713,'스폰_편집'!$B$5:$B$3125,"사용")</f>
        <v/>
      </c>
      <c r="O713" s="18" t="n">
        <v>4</v>
      </c>
      <c r="P713" s="18" t="inlineStr">
        <is>
          <t>#cobblemon:is_forest; #cobblemon:is_spooky; #cobblemon:is_taiga; minecraft:pale_garden</t>
        </is>
      </c>
      <c r="Q713" s="18" t="inlineStr">
        <is>
          <t>common</t>
        </is>
      </c>
      <c r="R713" s="18" t="inlineStr">
        <is>
          <t>region_01</t>
        </is>
      </c>
      <c r="S713" s="18" t="inlineStr">
        <is>
          <t>cobbleventure:generation_6</t>
        </is>
      </c>
      <c r="T713" s="18">
        <f>IF(M713=0,"없음",IF(N713=0,"전부 제외","사용"))</f>
        <v/>
      </c>
      <c r="U713" s="18" t="inlineStr"/>
    </row>
    <row r="714" ht="30" customHeight="1">
      <c r="A714" s="18" t="n">
        <v>710</v>
      </c>
      <c r="B714" s="18" t="inlineStr">
        <is>
          <t>호바귀</t>
        </is>
      </c>
      <c r="C714" s="18" t="inlineStr">
        <is>
          <t>pumpkaboo</t>
        </is>
      </c>
      <c r="D714" s="18" t="inlineStr">
        <is>
          <t>Pumpkaboo</t>
        </is>
      </c>
      <c r="E714" s="18" t="n">
        <v>6</v>
      </c>
      <c r="F714" s="18" t="inlineStr">
        <is>
          <t>generation6</t>
        </is>
      </c>
      <c r="G714" s="18" t="inlineStr">
        <is>
          <t>ghost</t>
        </is>
      </c>
      <c r="H714" s="18" t="inlineStr">
        <is>
          <t>grass</t>
        </is>
      </c>
      <c r="I714" s="18" t="inlineStr">
        <is>
          <t>예</t>
        </is>
      </c>
      <c r="J714" s="18" t="inlineStr">
        <is>
          <t>예</t>
        </is>
      </c>
      <c r="K714" s="18" t="inlineStr">
        <is>
          <t>예</t>
        </is>
      </c>
      <c r="L714" s="18" t="inlineStr">
        <is>
          <t>Cobblemon 동일</t>
        </is>
      </c>
      <c r="M714" s="18">
        <f>COUNTIF('스폰_편집'!$D$5:$D$3125,A714)</f>
        <v/>
      </c>
      <c r="N714" s="18">
        <f>COUNTIFS('스폰_편집'!$D$5:$D$3125,A714,'스폰_편집'!$B$5:$B$3125,"사용")</f>
        <v/>
      </c>
      <c r="O714" s="18" t="n">
        <v>2</v>
      </c>
      <c r="P714" s="18" t="inlineStr">
        <is>
          <t>#cobblemon:is_overworld; #cobblemon:nether/is_overgrowth</t>
        </is>
      </c>
      <c r="Q714" s="18" t="inlineStr">
        <is>
          <t>common; uncommon</t>
        </is>
      </c>
      <c r="R714" s="18" t="inlineStr">
        <is>
          <t>region_01; region_02</t>
        </is>
      </c>
      <c r="S714" s="18" t="inlineStr">
        <is>
          <t>cobbleventure:generation_6</t>
        </is>
      </c>
      <c r="T714" s="18">
        <f>IF(M714=0,"없음",IF(N714=0,"전부 제외","사용"))</f>
        <v/>
      </c>
      <c r="U714" s="18" t="inlineStr"/>
    </row>
    <row r="715" ht="30" customHeight="1">
      <c r="A715" s="18" t="n">
        <v>711</v>
      </c>
      <c r="B715" s="18" t="inlineStr">
        <is>
          <t>펌킨인</t>
        </is>
      </c>
      <c r="C715" s="18" t="inlineStr">
        <is>
          <t>gourgeist</t>
        </is>
      </c>
      <c r="D715" s="18" t="inlineStr">
        <is>
          <t>Gourgeist</t>
        </is>
      </c>
      <c r="E715" s="18" t="n">
        <v>6</v>
      </c>
      <c r="F715" s="18" t="inlineStr">
        <is>
          <t>generation6</t>
        </is>
      </c>
      <c r="G715" s="18" t="inlineStr">
        <is>
          <t>ghost</t>
        </is>
      </c>
      <c r="H715" s="18" t="inlineStr">
        <is>
          <t>grass</t>
        </is>
      </c>
      <c r="I715" s="18" t="inlineStr">
        <is>
          <t>예</t>
        </is>
      </c>
      <c r="J715" s="18" t="inlineStr">
        <is>
          <t>예</t>
        </is>
      </c>
      <c r="K715" s="18" t="inlineStr">
        <is>
          <t>예</t>
        </is>
      </c>
      <c r="L715" s="18" t="inlineStr">
        <is>
          <t>Cobblemon 동일</t>
        </is>
      </c>
      <c r="M715" s="18">
        <f>COUNTIF('스폰_편집'!$D$5:$D$3125,A715)</f>
        <v/>
      </c>
      <c r="N715" s="18">
        <f>COUNTIFS('스폰_편집'!$D$5:$D$3125,A715,'스폰_편집'!$B$5:$B$3125,"사용")</f>
        <v/>
      </c>
      <c r="O715" s="18" t="n">
        <v>2</v>
      </c>
      <c r="P715" s="18" t="inlineStr">
        <is>
          <t>#cobblemon:is_overworld; #cobblemon:nether/is_overgrowth</t>
        </is>
      </c>
      <c r="Q715" s="18" t="inlineStr">
        <is>
          <t>common; uncommon</t>
        </is>
      </c>
      <c r="R715" s="18" t="inlineStr">
        <is>
          <t>region_01; region_02</t>
        </is>
      </c>
      <c r="S715" s="18" t="inlineStr">
        <is>
          <t>cobbleventure:generation_6</t>
        </is>
      </c>
      <c r="T715" s="18">
        <f>IF(M715=0,"없음",IF(N715=0,"전부 제외","사용"))</f>
        <v/>
      </c>
      <c r="U715" s="18" t="inlineStr"/>
    </row>
    <row r="716" ht="30" customHeight="1">
      <c r="A716" s="18" t="n">
        <v>712</v>
      </c>
      <c r="B716" s="18" t="inlineStr">
        <is>
          <t>꽁어름</t>
        </is>
      </c>
      <c r="C716" s="18" t="inlineStr">
        <is>
          <t>bergmite</t>
        </is>
      </c>
      <c r="D716" s="18" t="inlineStr">
        <is>
          <t>Bergmite</t>
        </is>
      </c>
      <c r="E716" s="18" t="n">
        <v>6</v>
      </c>
      <c r="F716" s="18" t="inlineStr">
        <is>
          <t>generation6</t>
        </is>
      </c>
      <c r="G716" s="18" t="inlineStr">
        <is>
          <t>ice</t>
        </is>
      </c>
      <c r="H716" s="18" t="inlineStr"/>
      <c r="I716" s="18" t="inlineStr">
        <is>
          <t>예</t>
        </is>
      </c>
      <c r="J716" s="18" t="inlineStr">
        <is>
          <t>예</t>
        </is>
      </c>
      <c r="K716" s="18" t="inlineStr">
        <is>
          <t>예</t>
        </is>
      </c>
      <c r="L716" s="18" t="inlineStr">
        <is>
          <t>COBBLEVERSE 수정</t>
        </is>
      </c>
      <c r="M716" s="18">
        <f>COUNTIF('스폰_편집'!$D$5:$D$3125,A716)</f>
        <v/>
      </c>
      <c r="N716" s="18">
        <f>COUNTIFS('스폰_편집'!$D$5:$D$3125,A716,'스폰_편집'!$B$5:$B$3125,"사용")</f>
        <v/>
      </c>
      <c r="O716" s="18" t="n">
        <v>3</v>
      </c>
      <c r="P716" s="18" t="inlineStr">
        <is>
          <t>#cobblemon:is_freezing; #cobblemon:is_frozen_ocean; #cobblemon:nether/is_frozen</t>
        </is>
      </c>
      <c r="Q716" s="18" t="inlineStr">
        <is>
          <t>common; uncommon</t>
        </is>
      </c>
      <c r="R716" s="18" t="inlineStr"/>
      <c r="S716" s="18" t="inlineStr">
        <is>
          <t>cobbleventure:generation_6</t>
        </is>
      </c>
      <c r="T716" s="18">
        <f>IF(M716=0,"없음",IF(N716=0,"전부 제외","사용"))</f>
        <v/>
      </c>
      <c r="U716" s="18" t="inlineStr"/>
    </row>
    <row r="717" ht="30" customHeight="1">
      <c r="A717" s="18" t="n">
        <v>713</v>
      </c>
      <c r="B717" s="18" t="inlineStr">
        <is>
          <t>크레베이스</t>
        </is>
      </c>
      <c r="C717" s="18" t="inlineStr">
        <is>
          <t>avalugg</t>
        </is>
      </c>
      <c r="D717" s="18" t="inlineStr">
        <is>
          <t>Avalugg</t>
        </is>
      </c>
      <c r="E717" s="18" t="n">
        <v>6</v>
      </c>
      <c r="F717" s="18" t="inlineStr">
        <is>
          <t>generation6</t>
        </is>
      </c>
      <c r="G717" s="18" t="inlineStr">
        <is>
          <t>ice</t>
        </is>
      </c>
      <c r="H717" s="18" t="inlineStr"/>
      <c r="I717" s="18" t="inlineStr">
        <is>
          <t>예</t>
        </is>
      </c>
      <c r="J717" s="18" t="inlineStr">
        <is>
          <t>예</t>
        </is>
      </c>
      <c r="K717" s="18" t="inlineStr">
        <is>
          <t>예</t>
        </is>
      </c>
      <c r="L717" s="18" t="inlineStr">
        <is>
          <t>COBBLEVERSE 수정</t>
        </is>
      </c>
      <c r="M717" s="18">
        <f>COUNTIF('스폰_편집'!$D$5:$D$3125,A717)</f>
        <v/>
      </c>
      <c r="N717" s="18">
        <f>COUNTIFS('스폰_편집'!$D$5:$D$3125,A717,'스폰_편집'!$B$5:$B$3125,"사용")</f>
        <v/>
      </c>
      <c r="O717" s="18" t="n">
        <v>5</v>
      </c>
      <c r="P717" s="18" t="inlineStr">
        <is>
          <t>#cobblemon:is_frozen_ocean; #cobblemon:is_snowy_forest; #cobblemon:nether/is_frozen; minecraft:frozen_peaks; minecraft:snowy_slopes</t>
        </is>
      </c>
      <c r="Q717" s="18" t="inlineStr">
        <is>
          <t>common; rare; uncommon</t>
        </is>
      </c>
      <c r="R717" s="18" t="inlineStr"/>
      <c r="S717" s="18" t="inlineStr">
        <is>
          <t>cobbleventure:generation_6</t>
        </is>
      </c>
      <c r="T717" s="18">
        <f>IF(M717=0,"없음",IF(N717=0,"전부 제외","사용"))</f>
        <v/>
      </c>
      <c r="U717" s="18" t="inlineStr"/>
    </row>
    <row r="718" ht="30" customHeight="1">
      <c r="A718" s="18" t="n">
        <v>714</v>
      </c>
      <c r="B718" s="18" t="inlineStr">
        <is>
          <t>음뱃</t>
        </is>
      </c>
      <c r="C718" s="18" t="inlineStr">
        <is>
          <t>noibat</t>
        </is>
      </c>
      <c r="D718" s="18" t="inlineStr">
        <is>
          <t>Noibat</t>
        </is>
      </c>
      <c r="E718" s="18" t="n">
        <v>6</v>
      </c>
      <c r="F718" s="18" t="inlineStr">
        <is>
          <t>generation6</t>
        </is>
      </c>
      <c r="G718" s="18" t="inlineStr">
        <is>
          <t>flying</t>
        </is>
      </c>
      <c r="H718" s="18" t="inlineStr">
        <is>
          <t>dragon</t>
        </is>
      </c>
      <c r="I718" s="18" t="inlineStr">
        <is>
          <t>예</t>
        </is>
      </c>
      <c r="J718" s="18" t="inlineStr">
        <is>
          <t>예</t>
        </is>
      </c>
      <c r="K718" s="18" t="inlineStr">
        <is>
          <t>예</t>
        </is>
      </c>
      <c r="L718" s="18" t="inlineStr">
        <is>
          <t>Cobblemon 동일</t>
        </is>
      </c>
      <c r="M718" s="18">
        <f>COUNTIF('스폰_편집'!$D$5:$D$3125,A718)</f>
        <v/>
      </c>
      <c r="N718" s="18">
        <f>COUNTIFS('스폰_편집'!$D$5:$D$3125,A718,'스폰_편집'!$B$5:$B$3125,"사용")</f>
        <v/>
      </c>
      <c r="O718" s="18" t="n">
        <v>3</v>
      </c>
      <c r="P718" s="18" t="inlineStr">
        <is>
          <t>#aether:is_aether; #cobblemon:is_deep_dark; #cobblemon:is_overworld</t>
        </is>
      </c>
      <c r="Q718" s="18" t="inlineStr">
        <is>
          <t>rare; uncommon</t>
        </is>
      </c>
      <c r="R718" s="18" t="inlineStr">
        <is>
          <t>region_01; region_02</t>
        </is>
      </c>
      <c r="S718" s="18" t="inlineStr">
        <is>
          <t>cobbleventure:generation_6</t>
        </is>
      </c>
      <c r="T718" s="18">
        <f>IF(M718=0,"없음",IF(N718=0,"전부 제외","사용"))</f>
        <v/>
      </c>
      <c r="U718" s="18" t="inlineStr"/>
    </row>
    <row r="719" ht="30" customHeight="1">
      <c r="A719" s="18" t="n">
        <v>715</v>
      </c>
      <c r="B719" s="18" t="inlineStr">
        <is>
          <t>음번</t>
        </is>
      </c>
      <c r="C719" s="18" t="inlineStr">
        <is>
          <t>noivern</t>
        </is>
      </c>
      <c r="D719" s="18" t="inlineStr">
        <is>
          <t>Noivern</t>
        </is>
      </c>
      <c r="E719" s="18" t="n">
        <v>6</v>
      </c>
      <c r="F719" s="18" t="inlineStr">
        <is>
          <t>generation6</t>
        </is>
      </c>
      <c r="G719" s="18" t="inlineStr">
        <is>
          <t>flying</t>
        </is>
      </c>
      <c r="H719" s="18" t="inlineStr">
        <is>
          <t>dragon</t>
        </is>
      </c>
      <c r="I719" s="18" t="inlineStr">
        <is>
          <t>예</t>
        </is>
      </c>
      <c r="J719" s="18" t="inlineStr">
        <is>
          <t>예</t>
        </is>
      </c>
      <c r="K719" s="18" t="inlineStr">
        <is>
          <t>예</t>
        </is>
      </c>
      <c r="L719" s="18" t="inlineStr">
        <is>
          <t>Cobblemon 동일</t>
        </is>
      </c>
      <c r="M719" s="18">
        <f>COUNTIF('스폰_편집'!$D$5:$D$3125,A719)</f>
        <v/>
      </c>
      <c r="N719" s="18">
        <f>COUNTIFS('스폰_편집'!$D$5:$D$3125,A719,'스폰_편집'!$B$5:$B$3125,"사용")</f>
        <v/>
      </c>
      <c r="O719" s="18" t="n">
        <v>3</v>
      </c>
      <c r="P719" s="18" t="inlineStr">
        <is>
          <t>#aether:is_aether; #cobblemon:is_deep_dark; #cobblemon:is_overworld</t>
        </is>
      </c>
      <c r="Q719" s="18" t="inlineStr">
        <is>
          <t>rare; uncommon</t>
        </is>
      </c>
      <c r="R719" s="18" t="inlineStr">
        <is>
          <t>region_01; region_02</t>
        </is>
      </c>
      <c r="S719" s="18" t="inlineStr">
        <is>
          <t>cobbleventure:generation_6</t>
        </is>
      </c>
      <c r="T719" s="18">
        <f>IF(M719=0,"없음",IF(N719=0,"전부 제외","사용"))</f>
        <v/>
      </c>
      <c r="U719" s="18" t="inlineStr"/>
    </row>
    <row r="720" ht="30" customHeight="1">
      <c r="A720" s="18" t="n">
        <v>716</v>
      </c>
      <c r="B720" s="18" t="inlineStr">
        <is>
          <t>제르네아스</t>
        </is>
      </c>
      <c r="C720" s="18" t="inlineStr">
        <is>
          <t>xerneas</t>
        </is>
      </c>
      <c r="D720" s="18" t="inlineStr">
        <is>
          <t>Xerneas</t>
        </is>
      </c>
      <c r="E720" s="18" t="n">
        <v>6</v>
      </c>
      <c r="F720" s="18" t="inlineStr">
        <is>
          <t>generation6</t>
        </is>
      </c>
      <c r="G720" s="18" t="inlineStr">
        <is>
          <t>fairy</t>
        </is>
      </c>
      <c r="H720" s="18" t="inlineStr"/>
      <c r="I720" s="18" t="inlineStr">
        <is>
          <t>예</t>
        </is>
      </c>
      <c r="J720" s="18" t="inlineStr">
        <is>
          <t>아니오</t>
        </is>
      </c>
      <c r="K720" s="18" t="inlineStr">
        <is>
          <t>예</t>
        </is>
      </c>
      <c r="L720" s="18" t="inlineStr">
        <is>
          <t>COBBLEVERSE 추가</t>
        </is>
      </c>
      <c r="M720" s="18">
        <f>COUNTIF('스폰_편집'!$D$5:$D$3125,A720)</f>
        <v/>
      </c>
      <c r="N720" s="18">
        <f>COUNTIFS('스폰_편집'!$D$5:$D$3125,A720,'스폰_편집'!$B$5:$B$3125,"사용")</f>
        <v/>
      </c>
      <c r="O720" s="18" t="n">
        <v>1</v>
      </c>
      <c r="P720" s="18" t="inlineStr">
        <is>
          <t>#cobblemon:is_floral</t>
        </is>
      </c>
      <c r="Q720" s="18" t="inlineStr">
        <is>
          <t>ultra-rare</t>
        </is>
      </c>
      <c r="R720" s="18" t="inlineStr"/>
      <c r="S720" s="18" t="inlineStr">
        <is>
          <t>cobbleventure:generation_6</t>
        </is>
      </c>
      <c r="T720" s="18">
        <f>IF(M720=0,"없음",IF(N720=0,"전부 제외","사용"))</f>
        <v/>
      </c>
      <c r="U720" s="18" t="inlineStr"/>
    </row>
    <row r="721" ht="30" customHeight="1">
      <c r="A721" s="18" t="n">
        <v>717</v>
      </c>
      <c r="B721" s="18" t="inlineStr">
        <is>
          <t>이벨타르</t>
        </is>
      </c>
      <c r="C721" s="18" t="inlineStr">
        <is>
          <t>yveltal</t>
        </is>
      </c>
      <c r="D721" s="18" t="inlineStr">
        <is>
          <t>Yveltal</t>
        </is>
      </c>
      <c r="E721" s="18" t="n">
        <v>6</v>
      </c>
      <c r="F721" s="18" t="inlineStr">
        <is>
          <t>generation6</t>
        </is>
      </c>
      <c r="G721" s="18" t="inlineStr">
        <is>
          <t>dark</t>
        </is>
      </c>
      <c r="H721" s="18" t="inlineStr">
        <is>
          <t>flying</t>
        </is>
      </c>
      <c r="I721" s="18" t="inlineStr">
        <is>
          <t>아니오</t>
        </is>
      </c>
      <c r="J721" s="18" t="inlineStr">
        <is>
          <t>아니오</t>
        </is>
      </c>
      <c r="K721" s="18" t="inlineStr">
        <is>
          <t>예</t>
        </is>
      </c>
      <c r="L721" s="18" t="inlineStr">
        <is>
          <t>COBBLEVERSE 추가</t>
        </is>
      </c>
      <c r="M721" s="18">
        <f>COUNTIF('스폰_편집'!$D$5:$D$3125,A721)</f>
        <v/>
      </c>
      <c r="N721" s="18">
        <f>COUNTIFS('스폰_편집'!$D$5:$D$3125,A721,'스폰_편집'!$B$5:$B$3125,"사용")</f>
        <v/>
      </c>
      <c r="O721" s="18" t="n">
        <v>1</v>
      </c>
      <c r="P721" s="18" t="inlineStr">
        <is>
          <t>#cobblemon:is_spooky</t>
        </is>
      </c>
      <c r="Q721" s="18" t="inlineStr">
        <is>
          <t>ultra-rare</t>
        </is>
      </c>
      <c r="R721" s="18" t="inlineStr"/>
      <c r="S721" s="18" t="inlineStr">
        <is>
          <t>cobbleventure:generation_6</t>
        </is>
      </c>
      <c r="T721" s="18">
        <f>IF(M721=0,"없음",IF(N721=0,"전부 제외","사용"))</f>
        <v/>
      </c>
      <c r="U721" s="18" t="inlineStr"/>
    </row>
    <row r="722" ht="30" customHeight="1">
      <c r="A722" s="18" t="n">
        <v>718</v>
      </c>
      <c r="B722" s="18" t="inlineStr">
        <is>
          <t>지가르데</t>
        </is>
      </c>
      <c r="C722" s="18" t="inlineStr">
        <is>
          <t>zygarde</t>
        </is>
      </c>
      <c r="D722" s="18" t="inlineStr">
        <is>
          <t>Zygarde</t>
        </is>
      </c>
      <c r="E722" s="18" t="n">
        <v>6</v>
      </c>
      <c r="F722" s="18" t="inlineStr">
        <is>
          <t>generation6</t>
        </is>
      </c>
      <c r="G722" s="18" t="inlineStr">
        <is>
          <t>dragon</t>
        </is>
      </c>
      <c r="H722" s="18" t="inlineStr">
        <is>
          <t>ground</t>
        </is>
      </c>
      <c r="I722" s="18" t="inlineStr">
        <is>
          <t>아니오</t>
        </is>
      </c>
      <c r="J722" s="18" t="inlineStr">
        <is>
          <t>아니오</t>
        </is>
      </c>
      <c r="K722" s="18" t="inlineStr">
        <is>
          <t>예</t>
        </is>
      </c>
      <c r="L722" s="18" t="inlineStr">
        <is>
          <t>COBBLEVERSE 추가</t>
        </is>
      </c>
      <c r="M722" s="18">
        <f>COUNTIF('스폰_편집'!$D$5:$D$3125,A722)</f>
        <v/>
      </c>
      <c r="N722" s="18">
        <f>COUNTIFS('스폰_편집'!$D$5:$D$3125,A722,'스폰_편집'!$B$5:$B$3125,"사용")</f>
        <v/>
      </c>
      <c r="O722" s="18" t="n">
        <v>2</v>
      </c>
      <c r="P722" s="18" t="inlineStr">
        <is>
          <t>minecraft:dripstone_caves; minecraft:lush_caves</t>
        </is>
      </c>
      <c r="Q722" s="18" t="inlineStr">
        <is>
          <t>ultra-rare</t>
        </is>
      </c>
      <c r="R722" s="18" t="inlineStr"/>
      <c r="S722" s="18" t="inlineStr">
        <is>
          <t>cobbleventure:generation_6</t>
        </is>
      </c>
      <c r="T722" s="18">
        <f>IF(M722=0,"없음",IF(N722=0,"전부 제외","사용"))</f>
        <v/>
      </c>
      <c r="U722" s="18" t="inlineStr"/>
    </row>
    <row r="723" ht="30" customHeight="1">
      <c r="A723" s="18" t="n">
        <v>719</v>
      </c>
      <c r="B723" s="18" t="inlineStr">
        <is>
          <t>디안시</t>
        </is>
      </c>
      <c r="C723" s="18" t="inlineStr">
        <is>
          <t>diancie</t>
        </is>
      </c>
      <c r="D723" s="18" t="inlineStr">
        <is>
          <t>Diancie</t>
        </is>
      </c>
      <c r="E723" s="18" t="n">
        <v>6</v>
      </c>
      <c r="F723" s="18" t="inlineStr">
        <is>
          <t>generation6</t>
        </is>
      </c>
      <c r="G723" s="18" t="inlineStr">
        <is>
          <t>rock</t>
        </is>
      </c>
      <c r="H723" s="18" t="inlineStr">
        <is>
          <t>fairy</t>
        </is>
      </c>
      <c r="I723" s="18" t="inlineStr">
        <is>
          <t>아니오</t>
        </is>
      </c>
      <c r="J723" s="18" t="inlineStr">
        <is>
          <t>아니오</t>
        </is>
      </c>
      <c r="K723" s="18" t="inlineStr">
        <is>
          <t>예</t>
        </is>
      </c>
      <c r="L723" s="18" t="inlineStr">
        <is>
          <t>COBBLEVERSE 추가</t>
        </is>
      </c>
      <c r="M723" s="18">
        <f>COUNTIF('스폰_편집'!$D$5:$D$3125,A723)</f>
        <v/>
      </c>
      <c r="N723" s="18">
        <f>COUNTIFS('스폰_편집'!$D$5:$D$3125,A723,'스폰_편집'!$B$5:$B$3125,"사용")</f>
        <v/>
      </c>
      <c r="O723" s="18" t="n">
        <v>1</v>
      </c>
      <c r="P723" s="18" t="inlineStr">
        <is>
          <t>minecraft:lush_caves</t>
        </is>
      </c>
      <c r="Q723" s="18" t="inlineStr">
        <is>
          <t>ultra-rare</t>
        </is>
      </c>
      <c r="R723" s="18" t="inlineStr"/>
      <c r="S723" s="18" t="inlineStr">
        <is>
          <t>cobbleventure:generation_6</t>
        </is>
      </c>
      <c r="T723" s="18">
        <f>IF(M723=0,"없음",IF(N723=0,"전부 제외","사용"))</f>
        <v/>
      </c>
      <c r="U723" s="18" t="inlineStr"/>
    </row>
    <row r="724" ht="30" customHeight="1">
      <c r="A724" s="18" t="n">
        <v>720</v>
      </c>
      <c r="B724" s="18" t="inlineStr">
        <is>
          <t>후파</t>
        </is>
      </c>
      <c r="C724" s="18" t="inlineStr">
        <is>
          <t>hoopa</t>
        </is>
      </c>
      <c r="D724" s="18" t="inlineStr">
        <is>
          <t>Hoopa</t>
        </is>
      </c>
      <c r="E724" s="18" t="n">
        <v>6</v>
      </c>
      <c r="F724" s="18" t="inlineStr">
        <is>
          <t>generation6</t>
        </is>
      </c>
      <c r="G724" s="18" t="inlineStr">
        <is>
          <t>psychic</t>
        </is>
      </c>
      <c r="H724" s="18" t="inlineStr">
        <is>
          <t>ghost</t>
        </is>
      </c>
      <c r="I724" s="18" t="inlineStr">
        <is>
          <t>아니오</t>
        </is>
      </c>
      <c r="J724" s="18" t="inlineStr">
        <is>
          <t>아니오</t>
        </is>
      </c>
      <c r="K724" s="18" t="inlineStr">
        <is>
          <t>예</t>
        </is>
      </c>
      <c r="L724" s="18" t="inlineStr">
        <is>
          <t>COBBLEVERSE 추가</t>
        </is>
      </c>
      <c r="M724" s="18">
        <f>COUNTIF('스폰_편집'!$D$5:$D$3125,A724)</f>
        <v/>
      </c>
      <c r="N724" s="18">
        <f>COUNTIFS('스폰_편집'!$D$5:$D$3125,A724,'스폰_편집'!$B$5:$B$3125,"사용")</f>
        <v/>
      </c>
      <c r="O724" s="18" t="n">
        <v>1</v>
      </c>
      <c r="P724" s="18" t="inlineStr">
        <is>
          <t>#cobblemon:is_end</t>
        </is>
      </c>
      <c r="Q724" s="18" t="inlineStr">
        <is>
          <t>ultra-rare</t>
        </is>
      </c>
      <c r="R724" s="18" t="inlineStr"/>
      <c r="S724" s="18" t="inlineStr">
        <is>
          <t>cobbleventure:generation_6</t>
        </is>
      </c>
      <c r="T724" s="18">
        <f>IF(M724=0,"없음",IF(N724=0,"전부 제외","사용"))</f>
        <v/>
      </c>
      <c r="U724" s="18" t="inlineStr"/>
    </row>
    <row r="725" ht="30" customHeight="1">
      <c r="A725" s="18" t="n">
        <v>721</v>
      </c>
      <c r="B725" s="18" t="inlineStr">
        <is>
          <t>볼케니온</t>
        </is>
      </c>
      <c r="C725" s="18" t="inlineStr">
        <is>
          <t>volcanion</t>
        </is>
      </c>
      <c r="D725" s="18" t="inlineStr">
        <is>
          <t>Volcanion</t>
        </is>
      </c>
      <c r="E725" s="18" t="n">
        <v>6</v>
      </c>
      <c r="F725" s="18" t="inlineStr">
        <is>
          <t>generation6</t>
        </is>
      </c>
      <c r="G725" s="18" t="inlineStr">
        <is>
          <t>fire</t>
        </is>
      </c>
      <c r="H725" s="18" t="inlineStr">
        <is>
          <t>water</t>
        </is>
      </c>
      <c r="I725" s="18" t="inlineStr">
        <is>
          <t>아니오</t>
        </is>
      </c>
      <c r="J725" s="18" t="inlineStr">
        <is>
          <t>아니오</t>
        </is>
      </c>
      <c r="K725" s="18" t="inlineStr">
        <is>
          <t>예</t>
        </is>
      </c>
      <c r="L725" s="18" t="inlineStr">
        <is>
          <t>COBBLEVERSE 추가</t>
        </is>
      </c>
      <c r="M725" s="18">
        <f>COUNTIF('스폰_편집'!$D$5:$D$3125,A725)</f>
        <v/>
      </c>
      <c r="N725" s="18">
        <f>COUNTIFS('스폰_편집'!$D$5:$D$3125,A725,'스폰_편집'!$B$5:$B$3125,"사용")</f>
        <v/>
      </c>
      <c r="O725" s="18" t="n">
        <v>1</v>
      </c>
      <c r="P725" s="18" t="inlineStr">
        <is>
          <t>#cobblemon:is_mountain</t>
        </is>
      </c>
      <c r="Q725" s="18" t="inlineStr">
        <is>
          <t>ultra-rare</t>
        </is>
      </c>
      <c r="R725" s="18" t="inlineStr"/>
      <c r="S725" s="18" t="inlineStr">
        <is>
          <t>cobbleventure:generation_6</t>
        </is>
      </c>
      <c r="T725" s="18">
        <f>IF(M725=0,"없음",IF(N725=0,"전부 제외","사용"))</f>
        <v/>
      </c>
      <c r="U725" s="18" t="inlineStr"/>
    </row>
    <row r="726" ht="30" customHeight="1">
      <c r="A726" s="18" t="n">
        <v>722</v>
      </c>
      <c r="B726" s="18" t="inlineStr">
        <is>
          <t>나몰빼미</t>
        </is>
      </c>
      <c r="C726" s="18" t="inlineStr">
        <is>
          <t>rowlet</t>
        </is>
      </c>
      <c r="D726" s="18" t="inlineStr">
        <is>
          <t>Rowlet</t>
        </is>
      </c>
      <c r="E726" s="18" t="n">
        <v>7</v>
      </c>
      <c r="F726" s="18" t="inlineStr">
        <is>
          <t>generation7</t>
        </is>
      </c>
      <c r="G726" s="18" t="inlineStr">
        <is>
          <t>grass</t>
        </is>
      </c>
      <c r="H726" s="18" t="inlineStr">
        <is>
          <t>flying</t>
        </is>
      </c>
      <c r="I726" s="18" t="inlineStr">
        <is>
          <t>예</t>
        </is>
      </c>
      <c r="J726" s="18" t="inlineStr">
        <is>
          <t>예</t>
        </is>
      </c>
      <c r="K726" s="18" t="inlineStr">
        <is>
          <t>예</t>
        </is>
      </c>
      <c r="L726" s="18" t="inlineStr">
        <is>
          <t>Cobblemon 동일</t>
        </is>
      </c>
      <c r="M726" s="18">
        <f>COUNTIF('스폰_편집'!$D$5:$D$3125,A726)</f>
        <v/>
      </c>
      <c r="N726" s="18">
        <f>COUNTIFS('스폰_편집'!$D$5:$D$3125,A726,'스폰_편집'!$B$5:$B$3125,"사용")</f>
        <v/>
      </c>
      <c r="O726" s="18" t="n">
        <v>6</v>
      </c>
      <c r="P726" s="18" t="inlineStr">
        <is>
          <t>#cobblemon:is_forest; #cobblemon:is_snowy_forest; #cobblemon:is_snowy_taiga; #cobblemon:is_taiga; aether:skyroot_forest; aether:skyroot_woodland</t>
        </is>
      </c>
      <c r="Q726" s="18" t="inlineStr">
        <is>
          <t>ultra-rare</t>
        </is>
      </c>
      <c r="R726" s="18" t="inlineStr">
        <is>
          <t>region_01</t>
        </is>
      </c>
      <c r="S726" s="18" t="inlineStr">
        <is>
          <t>cobbleventure:generation_7</t>
        </is>
      </c>
      <c r="T726" s="18">
        <f>IF(M726=0,"없음",IF(N726=0,"전부 제외","사용"))</f>
        <v/>
      </c>
      <c r="U726" s="18" t="inlineStr"/>
    </row>
    <row r="727" ht="30" customHeight="1">
      <c r="A727" s="18" t="n">
        <v>723</v>
      </c>
      <c r="B727" s="18" t="inlineStr">
        <is>
          <t>빼미스로우</t>
        </is>
      </c>
      <c r="C727" s="18" t="inlineStr">
        <is>
          <t>dartrix</t>
        </is>
      </c>
      <c r="D727" s="18" t="inlineStr">
        <is>
          <t>Dartrix</t>
        </is>
      </c>
      <c r="E727" s="18" t="n">
        <v>7</v>
      </c>
      <c r="F727" s="18" t="inlineStr">
        <is>
          <t>generation7</t>
        </is>
      </c>
      <c r="G727" s="18" t="inlineStr">
        <is>
          <t>grass</t>
        </is>
      </c>
      <c r="H727" s="18" t="inlineStr">
        <is>
          <t>flying</t>
        </is>
      </c>
      <c r="I727" s="18" t="inlineStr">
        <is>
          <t>예</t>
        </is>
      </c>
      <c r="J727" s="18" t="inlineStr">
        <is>
          <t>예</t>
        </is>
      </c>
      <c r="K727" s="18" t="inlineStr">
        <is>
          <t>예</t>
        </is>
      </c>
      <c r="L727" s="18" t="inlineStr">
        <is>
          <t>Cobblemon 동일</t>
        </is>
      </c>
      <c r="M727" s="18">
        <f>COUNTIF('스폰_편집'!$D$5:$D$3125,A727)</f>
        <v/>
      </c>
      <c r="N727" s="18">
        <f>COUNTIFS('스폰_편집'!$D$5:$D$3125,A727,'스폰_편집'!$B$5:$B$3125,"사용")</f>
        <v/>
      </c>
      <c r="O727" s="18" t="n">
        <v>6</v>
      </c>
      <c r="P727" s="18" t="inlineStr">
        <is>
          <t>#cobblemon:is_forest; #cobblemon:is_snowy_forest; #cobblemon:is_snowy_taiga; #cobblemon:is_taiga; aether:skyroot_forest; aether:skyroot_woodland</t>
        </is>
      </c>
      <c r="Q727" s="18" t="inlineStr">
        <is>
          <t>ultra-rare</t>
        </is>
      </c>
      <c r="R727" s="18" t="inlineStr">
        <is>
          <t>region_01</t>
        </is>
      </c>
      <c r="S727" s="18" t="inlineStr">
        <is>
          <t>cobbleventure:generation_7</t>
        </is>
      </c>
      <c r="T727" s="18">
        <f>IF(M727=0,"없음",IF(N727=0,"전부 제외","사용"))</f>
        <v/>
      </c>
      <c r="U727" s="18" t="inlineStr"/>
    </row>
    <row r="728" ht="30" customHeight="1">
      <c r="A728" s="18" t="n">
        <v>724</v>
      </c>
      <c r="B728" s="18" t="inlineStr">
        <is>
          <t>모크나이퍼</t>
        </is>
      </c>
      <c r="C728" s="18" t="inlineStr">
        <is>
          <t>decidueye</t>
        </is>
      </c>
      <c r="D728" s="18" t="inlineStr">
        <is>
          <t>Decidueye</t>
        </is>
      </c>
      <c r="E728" s="18" t="n">
        <v>7</v>
      </c>
      <c r="F728" s="18" t="inlineStr">
        <is>
          <t>generation7</t>
        </is>
      </c>
      <c r="G728" s="18" t="inlineStr">
        <is>
          <t>grass</t>
        </is>
      </c>
      <c r="H728" s="18" t="inlineStr">
        <is>
          <t>ghost</t>
        </is>
      </c>
      <c r="I728" s="18" t="inlineStr">
        <is>
          <t>예</t>
        </is>
      </c>
      <c r="J728" s="18" t="inlineStr">
        <is>
          <t>예</t>
        </is>
      </c>
      <c r="K728" s="18" t="inlineStr">
        <is>
          <t>예</t>
        </is>
      </c>
      <c r="L728" s="18" t="inlineStr">
        <is>
          <t>Cobblemon 동일</t>
        </is>
      </c>
      <c r="M728" s="18">
        <f>COUNTIF('스폰_편집'!$D$5:$D$3125,A728)</f>
        <v/>
      </c>
      <c r="N728" s="18">
        <f>COUNTIFS('스폰_편집'!$D$5:$D$3125,A728,'스폰_편집'!$B$5:$B$3125,"사용")</f>
        <v/>
      </c>
      <c r="O728" s="18" t="n">
        <v>6</v>
      </c>
      <c r="P728" s="18" t="inlineStr">
        <is>
          <t>#cobblemon:is_forest; #cobblemon:is_snowy_forest; #cobblemon:is_snowy_taiga; #cobblemon:is_taiga; aether:skyroot_forest; aether:skyroot_woodland</t>
        </is>
      </c>
      <c r="Q728" s="18" t="inlineStr">
        <is>
          <t>ultra-rare</t>
        </is>
      </c>
      <c r="R728" s="18" t="inlineStr">
        <is>
          <t>region_01</t>
        </is>
      </c>
      <c r="S728" s="18" t="inlineStr">
        <is>
          <t>cobbleventure:generation_7</t>
        </is>
      </c>
      <c r="T728" s="18">
        <f>IF(M728=0,"없음",IF(N728=0,"전부 제외","사용"))</f>
        <v/>
      </c>
      <c r="U728" s="18" t="inlineStr"/>
    </row>
    <row r="729" ht="30" customHeight="1">
      <c r="A729" s="18" t="n">
        <v>725</v>
      </c>
      <c r="B729" s="18" t="inlineStr">
        <is>
          <t>냐오불</t>
        </is>
      </c>
      <c r="C729" s="18" t="inlineStr">
        <is>
          <t>litten</t>
        </is>
      </c>
      <c r="D729" s="18" t="inlineStr">
        <is>
          <t>Litten</t>
        </is>
      </c>
      <c r="E729" s="18" t="n">
        <v>7</v>
      </c>
      <c r="F729" s="18" t="inlineStr">
        <is>
          <t>generation7</t>
        </is>
      </c>
      <c r="G729" s="18" t="inlineStr">
        <is>
          <t>fire</t>
        </is>
      </c>
      <c r="H729" s="18" t="inlineStr"/>
      <c r="I729" s="18" t="inlineStr">
        <is>
          <t>예</t>
        </is>
      </c>
      <c r="J729" s="18" t="inlineStr">
        <is>
          <t>예</t>
        </is>
      </c>
      <c r="K729" s="18" t="inlineStr">
        <is>
          <t>예</t>
        </is>
      </c>
      <c r="L729" s="18" t="inlineStr">
        <is>
          <t>COBBLEVERSE 수정</t>
        </is>
      </c>
      <c r="M729" s="18">
        <f>COUNTIF('스폰_편집'!$D$5:$D$3125,A729)</f>
        <v/>
      </c>
      <c r="N729" s="18">
        <f>COUNTIFS('스폰_편집'!$D$5:$D$3125,A729,'스폰_편집'!$B$5:$B$3125,"사용")</f>
        <v/>
      </c>
      <c r="O729" s="18" t="n">
        <v>2</v>
      </c>
      <c r="P729" s="18" t="inlineStr">
        <is>
          <t>#cobblemon:is_jungle; minecraft:crimson_forest</t>
        </is>
      </c>
      <c r="Q729" s="18" t="inlineStr">
        <is>
          <t>ultra-rare</t>
        </is>
      </c>
      <c r="R729" s="18" t="inlineStr"/>
      <c r="S729" s="18" t="inlineStr">
        <is>
          <t>cobbleventure:generation_7</t>
        </is>
      </c>
      <c r="T729" s="18">
        <f>IF(M729=0,"없음",IF(N729=0,"전부 제외","사용"))</f>
        <v/>
      </c>
      <c r="U729" s="18" t="inlineStr"/>
    </row>
    <row r="730" ht="30" customHeight="1">
      <c r="A730" s="18" t="n">
        <v>726</v>
      </c>
      <c r="B730" s="18" t="inlineStr">
        <is>
          <t>냐오히트</t>
        </is>
      </c>
      <c r="C730" s="18" t="inlineStr">
        <is>
          <t>torracat</t>
        </is>
      </c>
      <c r="D730" s="18" t="inlineStr">
        <is>
          <t>Torracat</t>
        </is>
      </c>
      <c r="E730" s="18" t="n">
        <v>7</v>
      </c>
      <c r="F730" s="18" t="inlineStr">
        <is>
          <t>generation7</t>
        </is>
      </c>
      <c r="G730" s="18" t="inlineStr">
        <is>
          <t>fire</t>
        </is>
      </c>
      <c r="H730" s="18" t="inlineStr"/>
      <c r="I730" s="18" t="inlineStr">
        <is>
          <t>예</t>
        </is>
      </c>
      <c r="J730" s="18" t="inlineStr">
        <is>
          <t>예</t>
        </is>
      </c>
      <c r="K730" s="18" t="inlineStr">
        <is>
          <t>예</t>
        </is>
      </c>
      <c r="L730" s="18" t="inlineStr">
        <is>
          <t>COBBLEVERSE 수정</t>
        </is>
      </c>
      <c r="M730" s="18">
        <f>COUNTIF('스폰_편집'!$D$5:$D$3125,A730)</f>
        <v/>
      </c>
      <c r="N730" s="18">
        <f>COUNTIFS('스폰_편집'!$D$5:$D$3125,A730,'스폰_편집'!$B$5:$B$3125,"사용")</f>
        <v/>
      </c>
      <c r="O730" s="18" t="n">
        <v>2</v>
      </c>
      <c r="P730" s="18" t="inlineStr">
        <is>
          <t>#cobblemon:is_jungle; minecraft:crimson_forest</t>
        </is>
      </c>
      <c r="Q730" s="18" t="inlineStr">
        <is>
          <t>ultra-rare</t>
        </is>
      </c>
      <c r="R730" s="18" t="inlineStr"/>
      <c r="S730" s="18" t="inlineStr">
        <is>
          <t>cobbleventure:generation_7</t>
        </is>
      </c>
      <c r="T730" s="18">
        <f>IF(M730=0,"없음",IF(N730=0,"전부 제외","사용"))</f>
        <v/>
      </c>
      <c r="U730" s="18" t="inlineStr"/>
    </row>
    <row r="731" ht="30" customHeight="1">
      <c r="A731" s="18" t="n">
        <v>727</v>
      </c>
      <c r="B731" s="18" t="inlineStr">
        <is>
          <t>어흥염</t>
        </is>
      </c>
      <c r="C731" s="18" t="inlineStr">
        <is>
          <t>incineroar</t>
        </is>
      </c>
      <c r="D731" s="18" t="inlineStr">
        <is>
          <t>Incineroar</t>
        </is>
      </c>
      <c r="E731" s="18" t="n">
        <v>7</v>
      </c>
      <c r="F731" s="18" t="inlineStr">
        <is>
          <t>generation7</t>
        </is>
      </c>
      <c r="G731" s="18" t="inlineStr">
        <is>
          <t>fire</t>
        </is>
      </c>
      <c r="H731" s="18" t="inlineStr">
        <is>
          <t>dark</t>
        </is>
      </c>
      <c r="I731" s="18" t="inlineStr">
        <is>
          <t>예</t>
        </is>
      </c>
      <c r="J731" s="18" t="inlineStr">
        <is>
          <t>예</t>
        </is>
      </c>
      <c r="K731" s="18" t="inlineStr">
        <is>
          <t>예</t>
        </is>
      </c>
      <c r="L731" s="18" t="inlineStr">
        <is>
          <t>COBBLEVERSE 수정</t>
        </is>
      </c>
      <c r="M731" s="18">
        <f>COUNTIF('스폰_편집'!$D$5:$D$3125,A731)</f>
        <v/>
      </c>
      <c r="N731" s="18">
        <f>COUNTIFS('스폰_편집'!$D$5:$D$3125,A731,'스폰_편집'!$B$5:$B$3125,"사용")</f>
        <v/>
      </c>
      <c r="O731" s="18" t="n">
        <v>2</v>
      </c>
      <c r="P731" s="18" t="inlineStr">
        <is>
          <t>#cobblemon:is_jungle; minecraft:crimson_forest</t>
        </is>
      </c>
      <c r="Q731" s="18" t="inlineStr">
        <is>
          <t>ultra-rare</t>
        </is>
      </c>
      <c r="R731" s="18" t="inlineStr"/>
      <c r="S731" s="18" t="inlineStr">
        <is>
          <t>cobbleventure:generation_7</t>
        </is>
      </c>
      <c r="T731" s="18">
        <f>IF(M731=0,"없음",IF(N731=0,"전부 제외","사용"))</f>
        <v/>
      </c>
      <c r="U731" s="18" t="inlineStr"/>
    </row>
    <row r="732" ht="30" customHeight="1">
      <c r="A732" s="18" t="n">
        <v>728</v>
      </c>
      <c r="B732" s="18" t="inlineStr">
        <is>
          <t>누리공</t>
        </is>
      </c>
      <c r="C732" s="18" t="inlineStr">
        <is>
          <t>popplio</t>
        </is>
      </c>
      <c r="D732" s="18" t="inlineStr">
        <is>
          <t>Popplio</t>
        </is>
      </c>
      <c r="E732" s="18" t="n">
        <v>7</v>
      </c>
      <c r="F732" s="18" t="inlineStr">
        <is>
          <t>generation7</t>
        </is>
      </c>
      <c r="G732" s="18" t="inlineStr">
        <is>
          <t>water</t>
        </is>
      </c>
      <c r="H732" s="18" t="inlineStr"/>
      <c r="I732" s="18" t="inlineStr">
        <is>
          <t>예</t>
        </is>
      </c>
      <c r="J732" s="18" t="inlineStr">
        <is>
          <t>예</t>
        </is>
      </c>
      <c r="K732" s="18" t="inlineStr">
        <is>
          <t>예</t>
        </is>
      </c>
      <c r="L732" s="18" t="inlineStr">
        <is>
          <t>Cobblemon 동일</t>
        </is>
      </c>
      <c r="M732" s="18">
        <f>COUNTIF('스폰_편집'!$D$5:$D$3125,A732)</f>
        <v/>
      </c>
      <c r="N732" s="18">
        <f>COUNTIFS('스폰_편집'!$D$5:$D$3125,A732,'스폰_편집'!$B$5:$B$3125,"사용")</f>
        <v/>
      </c>
      <c r="O732" s="18" t="n">
        <v>3</v>
      </c>
      <c r="P732" s="18" t="inlineStr">
        <is>
          <t>#cobblemon:is_coast; #cobblemon:is_ocean; #cobblemon:is_tropical_island</t>
        </is>
      </c>
      <c r="Q732" s="18" t="inlineStr">
        <is>
          <t>ultra-rare</t>
        </is>
      </c>
      <c r="R732" s="18" t="inlineStr"/>
      <c r="S732" s="18" t="inlineStr">
        <is>
          <t>cobbleventure:generation_7</t>
        </is>
      </c>
      <c r="T732" s="18">
        <f>IF(M732=0,"없음",IF(N732=0,"전부 제외","사용"))</f>
        <v/>
      </c>
      <c r="U732" s="18" t="inlineStr"/>
    </row>
    <row r="733" ht="30" customHeight="1">
      <c r="A733" s="18" t="n">
        <v>729</v>
      </c>
      <c r="B733" s="18" t="inlineStr">
        <is>
          <t>키요공</t>
        </is>
      </c>
      <c r="C733" s="18" t="inlineStr">
        <is>
          <t>brionne</t>
        </is>
      </c>
      <c r="D733" s="18" t="inlineStr">
        <is>
          <t>Brionne</t>
        </is>
      </c>
      <c r="E733" s="18" t="n">
        <v>7</v>
      </c>
      <c r="F733" s="18" t="inlineStr">
        <is>
          <t>generation7</t>
        </is>
      </c>
      <c r="G733" s="18" t="inlineStr">
        <is>
          <t>water</t>
        </is>
      </c>
      <c r="H733" s="18" t="inlineStr"/>
      <c r="I733" s="18" t="inlineStr">
        <is>
          <t>예</t>
        </is>
      </c>
      <c r="J733" s="18" t="inlineStr">
        <is>
          <t>예</t>
        </is>
      </c>
      <c r="K733" s="18" t="inlineStr">
        <is>
          <t>예</t>
        </is>
      </c>
      <c r="L733" s="18" t="inlineStr">
        <is>
          <t>Cobblemon 동일</t>
        </is>
      </c>
      <c r="M733" s="18">
        <f>COUNTIF('스폰_편집'!$D$5:$D$3125,A733)</f>
        <v/>
      </c>
      <c r="N733" s="18">
        <f>COUNTIFS('스폰_편집'!$D$5:$D$3125,A733,'스폰_편집'!$B$5:$B$3125,"사용")</f>
        <v/>
      </c>
      <c r="O733" s="18" t="n">
        <v>3</v>
      </c>
      <c r="P733" s="18" t="inlineStr">
        <is>
          <t>#cobblemon:is_coast; #cobblemon:is_ocean; #cobblemon:is_tropical_island</t>
        </is>
      </c>
      <c r="Q733" s="18" t="inlineStr">
        <is>
          <t>ultra-rare</t>
        </is>
      </c>
      <c r="R733" s="18" t="inlineStr"/>
      <c r="S733" s="18" t="inlineStr">
        <is>
          <t>cobbleventure:generation_7</t>
        </is>
      </c>
      <c r="T733" s="18">
        <f>IF(M733=0,"없음",IF(N733=0,"전부 제외","사용"))</f>
        <v/>
      </c>
      <c r="U733" s="18" t="inlineStr"/>
    </row>
    <row r="734" ht="30" customHeight="1">
      <c r="A734" s="18" t="n">
        <v>730</v>
      </c>
      <c r="B734" s="18" t="inlineStr">
        <is>
          <t>누리레느</t>
        </is>
      </c>
      <c r="C734" s="18" t="inlineStr">
        <is>
          <t>primarina</t>
        </is>
      </c>
      <c r="D734" s="18" t="inlineStr">
        <is>
          <t>Primarina</t>
        </is>
      </c>
      <c r="E734" s="18" t="n">
        <v>7</v>
      </c>
      <c r="F734" s="18" t="inlineStr">
        <is>
          <t>generation7</t>
        </is>
      </c>
      <c r="G734" s="18" t="inlineStr">
        <is>
          <t>water</t>
        </is>
      </c>
      <c r="H734" s="18" t="inlineStr">
        <is>
          <t>fairy</t>
        </is>
      </c>
      <c r="I734" s="18" t="inlineStr">
        <is>
          <t>예</t>
        </is>
      </c>
      <c r="J734" s="18" t="inlineStr">
        <is>
          <t>예</t>
        </is>
      </c>
      <c r="K734" s="18" t="inlineStr">
        <is>
          <t>예</t>
        </is>
      </c>
      <c r="L734" s="18" t="inlineStr">
        <is>
          <t>Cobblemon 동일</t>
        </is>
      </c>
      <c r="M734" s="18">
        <f>COUNTIF('스폰_편집'!$D$5:$D$3125,A734)</f>
        <v/>
      </c>
      <c r="N734" s="18">
        <f>COUNTIFS('스폰_편집'!$D$5:$D$3125,A734,'스폰_편집'!$B$5:$B$3125,"사용")</f>
        <v/>
      </c>
      <c r="O734" s="18" t="n">
        <v>3</v>
      </c>
      <c r="P734" s="18" t="inlineStr">
        <is>
          <t>#cobblemon:is_coast; #cobblemon:is_ocean; #cobblemon:is_tropical_island</t>
        </is>
      </c>
      <c r="Q734" s="18" t="inlineStr">
        <is>
          <t>ultra-rare</t>
        </is>
      </c>
      <c r="R734" s="18" t="inlineStr"/>
      <c r="S734" s="18" t="inlineStr">
        <is>
          <t>cobbleventure:generation_7</t>
        </is>
      </c>
      <c r="T734" s="18">
        <f>IF(M734=0,"없음",IF(N734=0,"전부 제외","사용"))</f>
        <v/>
      </c>
      <c r="U734" s="18" t="inlineStr"/>
    </row>
    <row r="735" ht="30" customHeight="1">
      <c r="A735" s="18" t="n">
        <v>731</v>
      </c>
      <c r="B735" s="18" t="inlineStr">
        <is>
          <t>콕코구리</t>
        </is>
      </c>
      <c r="C735" s="18" t="inlineStr">
        <is>
          <t>pikipek</t>
        </is>
      </c>
      <c r="D735" s="18" t="inlineStr">
        <is>
          <t>Pikipek</t>
        </is>
      </c>
      <c r="E735" s="18" t="n">
        <v>7</v>
      </c>
      <c r="F735" s="18" t="inlineStr">
        <is>
          <t>generation7</t>
        </is>
      </c>
      <c r="G735" s="18" t="inlineStr">
        <is>
          <t>normal</t>
        </is>
      </c>
      <c r="H735" s="18" t="inlineStr">
        <is>
          <t>flying</t>
        </is>
      </c>
      <c r="I735" s="18" t="inlineStr">
        <is>
          <t>예</t>
        </is>
      </c>
      <c r="J735" s="18" t="inlineStr">
        <is>
          <t>예</t>
        </is>
      </c>
      <c r="K735" s="18" t="inlineStr">
        <is>
          <t>예</t>
        </is>
      </c>
      <c r="L735" s="18" t="inlineStr">
        <is>
          <t>Cobblemon 동일</t>
        </is>
      </c>
      <c r="M735" s="18">
        <f>COUNTIF('스폰_편집'!$D$5:$D$3125,A735)</f>
        <v/>
      </c>
      <c r="N735" s="18">
        <f>COUNTIFS('스폰_편집'!$D$5:$D$3125,A735,'스폰_편집'!$B$5:$B$3125,"사용")</f>
        <v/>
      </c>
      <c r="O735" s="18" t="n">
        <v>3</v>
      </c>
      <c r="P735" s="18" t="inlineStr">
        <is>
          <t>#cobblemon:is_jungle; #cobblemon:is_sky; #cobblemon:is_tropical_island</t>
        </is>
      </c>
      <c r="Q735" s="18" t="inlineStr">
        <is>
          <t>common</t>
        </is>
      </c>
      <c r="R735" s="18" t="inlineStr"/>
      <c r="S735" s="18" t="inlineStr">
        <is>
          <t>cobbleventure:generation_7</t>
        </is>
      </c>
      <c r="T735" s="18">
        <f>IF(M735=0,"없음",IF(N735=0,"전부 제외","사용"))</f>
        <v/>
      </c>
      <c r="U735" s="18" t="inlineStr"/>
    </row>
    <row r="736" ht="30" customHeight="1">
      <c r="A736" s="18" t="n">
        <v>732</v>
      </c>
      <c r="B736" s="18" t="inlineStr">
        <is>
          <t>크라파</t>
        </is>
      </c>
      <c r="C736" s="18" t="inlineStr">
        <is>
          <t>trumbeak</t>
        </is>
      </c>
      <c r="D736" s="18" t="inlineStr">
        <is>
          <t>Trumbeak</t>
        </is>
      </c>
      <c r="E736" s="18" t="n">
        <v>7</v>
      </c>
      <c r="F736" s="18" t="inlineStr">
        <is>
          <t>generation7</t>
        </is>
      </c>
      <c r="G736" s="18" t="inlineStr">
        <is>
          <t>normal</t>
        </is>
      </c>
      <c r="H736" s="18" t="inlineStr">
        <is>
          <t>flying</t>
        </is>
      </c>
      <c r="I736" s="18" t="inlineStr">
        <is>
          <t>예</t>
        </is>
      </c>
      <c r="J736" s="18" t="inlineStr">
        <is>
          <t>예</t>
        </is>
      </c>
      <c r="K736" s="18" t="inlineStr">
        <is>
          <t>예</t>
        </is>
      </c>
      <c r="L736" s="18" t="inlineStr">
        <is>
          <t>Cobblemon 동일</t>
        </is>
      </c>
      <c r="M736" s="18">
        <f>COUNTIF('스폰_편집'!$D$5:$D$3125,A736)</f>
        <v/>
      </c>
      <c r="N736" s="18">
        <f>COUNTIFS('스폰_편집'!$D$5:$D$3125,A736,'스폰_편집'!$B$5:$B$3125,"사용")</f>
        <v/>
      </c>
      <c r="O736" s="18" t="n">
        <v>3</v>
      </c>
      <c r="P736" s="18" t="inlineStr">
        <is>
          <t>#cobblemon:is_jungle; #cobblemon:is_sky; #cobblemon:is_tropical_island</t>
        </is>
      </c>
      <c r="Q736" s="18" t="inlineStr">
        <is>
          <t>common</t>
        </is>
      </c>
      <c r="R736" s="18" t="inlineStr"/>
      <c r="S736" s="18" t="inlineStr">
        <is>
          <t>cobbleventure:generation_7</t>
        </is>
      </c>
      <c r="T736" s="18">
        <f>IF(M736=0,"없음",IF(N736=0,"전부 제외","사용"))</f>
        <v/>
      </c>
      <c r="U736" s="18" t="inlineStr"/>
    </row>
    <row r="737" ht="30" customHeight="1">
      <c r="A737" s="18" t="n">
        <v>733</v>
      </c>
      <c r="B737" s="18" t="inlineStr">
        <is>
          <t>왕큰부리</t>
        </is>
      </c>
      <c r="C737" s="18" t="inlineStr">
        <is>
          <t>toucannon</t>
        </is>
      </c>
      <c r="D737" s="18" t="inlineStr">
        <is>
          <t>Toucannon</t>
        </is>
      </c>
      <c r="E737" s="18" t="n">
        <v>7</v>
      </c>
      <c r="F737" s="18" t="inlineStr">
        <is>
          <t>generation7</t>
        </is>
      </c>
      <c r="G737" s="18" t="inlineStr">
        <is>
          <t>normal</t>
        </is>
      </c>
      <c r="H737" s="18" t="inlineStr">
        <is>
          <t>flying</t>
        </is>
      </c>
      <c r="I737" s="18" t="inlineStr">
        <is>
          <t>예</t>
        </is>
      </c>
      <c r="J737" s="18" t="inlineStr">
        <is>
          <t>예</t>
        </is>
      </c>
      <c r="K737" s="18" t="inlineStr">
        <is>
          <t>예</t>
        </is>
      </c>
      <c r="L737" s="18" t="inlineStr">
        <is>
          <t>Cobblemon 동일</t>
        </is>
      </c>
      <c r="M737" s="18">
        <f>COUNTIF('스폰_편집'!$D$5:$D$3125,A737)</f>
        <v/>
      </c>
      <c r="N737" s="18">
        <f>COUNTIFS('스폰_편집'!$D$5:$D$3125,A737,'스폰_편집'!$B$5:$B$3125,"사용")</f>
        <v/>
      </c>
      <c r="O737" s="18" t="n">
        <v>3</v>
      </c>
      <c r="P737" s="18" t="inlineStr">
        <is>
          <t>#cobblemon:is_jungle; #cobblemon:is_sky; #cobblemon:is_tropical_island</t>
        </is>
      </c>
      <c r="Q737" s="18" t="inlineStr">
        <is>
          <t>common</t>
        </is>
      </c>
      <c r="R737" s="18" t="inlineStr"/>
      <c r="S737" s="18" t="inlineStr">
        <is>
          <t>cobbleventure:generation_7</t>
        </is>
      </c>
      <c r="T737" s="18">
        <f>IF(M737=0,"없음",IF(N737=0,"전부 제외","사용"))</f>
        <v/>
      </c>
      <c r="U737" s="18" t="inlineStr"/>
    </row>
    <row r="738" ht="30" customHeight="1">
      <c r="A738" s="18" t="n">
        <v>734</v>
      </c>
      <c r="B738" s="18" t="inlineStr">
        <is>
          <t>영구스</t>
        </is>
      </c>
      <c r="C738" s="18" t="inlineStr">
        <is>
          <t>yungoos</t>
        </is>
      </c>
      <c r="D738" s="18" t="inlineStr">
        <is>
          <t>Yungoos</t>
        </is>
      </c>
      <c r="E738" s="18" t="n">
        <v>7</v>
      </c>
      <c r="F738" s="18" t="inlineStr">
        <is>
          <t>generation7</t>
        </is>
      </c>
      <c r="G738" s="18" t="inlineStr">
        <is>
          <t>normal</t>
        </is>
      </c>
      <c r="H738" s="18" t="inlineStr"/>
      <c r="I738" s="18" t="inlineStr">
        <is>
          <t>예</t>
        </is>
      </c>
      <c r="J738" s="18" t="inlineStr">
        <is>
          <t>예</t>
        </is>
      </c>
      <c r="K738" s="18" t="inlineStr">
        <is>
          <t>예</t>
        </is>
      </c>
      <c r="L738" s="18" t="inlineStr">
        <is>
          <t>COBBLEVERSE 수정</t>
        </is>
      </c>
      <c r="M738" s="18">
        <f>COUNTIF('스폰_편집'!$D$5:$D$3125,A738)</f>
        <v/>
      </c>
      <c r="N738" s="18">
        <f>COUNTIFS('스폰_편집'!$D$5:$D$3125,A738,'스폰_편집'!$B$5:$B$3125,"사용")</f>
        <v/>
      </c>
      <c r="O738" s="18" t="n">
        <v>2</v>
      </c>
      <c r="P738" s="18" t="inlineStr">
        <is>
          <t>#cobblemon:is_plains; #cobblemon:is_savanna</t>
        </is>
      </c>
      <c r="Q738" s="18" t="inlineStr">
        <is>
          <t>common</t>
        </is>
      </c>
      <c r="R738" s="18" t="inlineStr">
        <is>
          <t>region_01</t>
        </is>
      </c>
      <c r="S738" s="18" t="inlineStr">
        <is>
          <t>cobbleventure:generation_7</t>
        </is>
      </c>
      <c r="T738" s="18">
        <f>IF(M738=0,"없음",IF(N738=0,"전부 제외","사용"))</f>
        <v/>
      </c>
      <c r="U738" s="18" t="inlineStr"/>
    </row>
    <row r="739" ht="30" customHeight="1">
      <c r="A739" s="18" t="n">
        <v>735</v>
      </c>
      <c r="B739" s="18" t="inlineStr">
        <is>
          <t>형사구스</t>
        </is>
      </c>
      <c r="C739" s="18" t="inlineStr">
        <is>
          <t>gumshoos</t>
        </is>
      </c>
      <c r="D739" s="18" t="inlineStr">
        <is>
          <t>Gumshoos</t>
        </is>
      </c>
      <c r="E739" s="18" t="n">
        <v>7</v>
      </c>
      <c r="F739" s="18" t="inlineStr">
        <is>
          <t>generation7</t>
        </is>
      </c>
      <c r="G739" s="18" t="inlineStr">
        <is>
          <t>normal</t>
        </is>
      </c>
      <c r="H739" s="18" t="inlineStr"/>
      <c r="I739" s="18" t="inlineStr">
        <is>
          <t>예</t>
        </is>
      </c>
      <c r="J739" s="18" t="inlineStr">
        <is>
          <t>예</t>
        </is>
      </c>
      <c r="K739" s="18" t="inlineStr">
        <is>
          <t>예</t>
        </is>
      </c>
      <c r="L739" s="18" t="inlineStr">
        <is>
          <t>COBBLEVERSE 수정</t>
        </is>
      </c>
      <c r="M739" s="18">
        <f>COUNTIF('스폰_편집'!$D$5:$D$3125,A739)</f>
        <v/>
      </c>
      <c r="N739" s="18">
        <f>COUNTIFS('스폰_편집'!$D$5:$D$3125,A739,'스폰_편집'!$B$5:$B$3125,"사용")</f>
        <v/>
      </c>
      <c r="O739" s="18" t="n">
        <v>2</v>
      </c>
      <c r="P739" s="18" t="inlineStr">
        <is>
          <t>#cobblemon:is_plains; #cobblemon:is_savanna</t>
        </is>
      </c>
      <c r="Q739" s="18" t="inlineStr">
        <is>
          <t>common</t>
        </is>
      </c>
      <c r="R739" s="18" t="inlineStr">
        <is>
          <t>region_01</t>
        </is>
      </c>
      <c r="S739" s="18" t="inlineStr">
        <is>
          <t>cobbleventure:generation_7</t>
        </is>
      </c>
      <c r="T739" s="18">
        <f>IF(M739=0,"없음",IF(N739=0,"전부 제외","사용"))</f>
        <v/>
      </c>
      <c r="U739" s="18" t="inlineStr"/>
    </row>
    <row r="740" ht="30" customHeight="1">
      <c r="A740" s="18" t="n">
        <v>736</v>
      </c>
      <c r="B740" s="18" t="inlineStr">
        <is>
          <t>턱지충이</t>
        </is>
      </c>
      <c r="C740" s="18" t="inlineStr">
        <is>
          <t>grubbin</t>
        </is>
      </c>
      <c r="D740" s="18" t="inlineStr">
        <is>
          <t>Grubbin</t>
        </is>
      </c>
      <c r="E740" s="18" t="n">
        <v>7</v>
      </c>
      <c r="F740" s="18" t="inlineStr">
        <is>
          <t>generation7</t>
        </is>
      </c>
      <c r="G740" s="18" t="inlineStr">
        <is>
          <t>bug</t>
        </is>
      </c>
      <c r="H740" s="18" t="inlineStr"/>
      <c r="I740" s="18" t="inlineStr">
        <is>
          <t>아니오</t>
        </is>
      </c>
      <c r="J740" s="18" t="inlineStr">
        <is>
          <t>아니오</t>
        </is>
      </c>
      <c r="K740" s="18" t="inlineStr">
        <is>
          <t>예</t>
        </is>
      </c>
      <c r="L740" s="18" t="inlineStr">
        <is>
          <t>COBBLEVERSE 추가</t>
        </is>
      </c>
      <c r="M740" s="18">
        <f>COUNTIF('스폰_편집'!$D$5:$D$3125,A740)</f>
        <v/>
      </c>
      <c r="N740" s="18">
        <f>COUNTIFS('스폰_편집'!$D$5:$D$3125,A740,'스폰_편집'!$B$5:$B$3125,"사용")</f>
        <v/>
      </c>
      <c r="O740" s="18" t="n">
        <v>2</v>
      </c>
      <c r="P740" s="18" t="inlineStr">
        <is>
          <t>#cobblemon:is_badlands; #cobblemon:is_jungle</t>
        </is>
      </c>
      <c r="Q740" s="18" t="inlineStr">
        <is>
          <t>common</t>
        </is>
      </c>
      <c r="R740" s="18" t="inlineStr"/>
      <c r="S740" s="18" t="inlineStr">
        <is>
          <t>cobbleventure:generation_7</t>
        </is>
      </c>
      <c r="T740" s="18">
        <f>IF(M740=0,"없음",IF(N740=0,"전부 제외","사용"))</f>
        <v/>
      </c>
      <c r="U740" s="18" t="inlineStr"/>
    </row>
    <row r="741" ht="30" customHeight="1">
      <c r="A741" s="18" t="n">
        <v>737</v>
      </c>
      <c r="B741" s="18" t="inlineStr">
        <is>
          <t>전지충이</t>
        </is>
      </c>
      <c r="C741" s="18" t="inlineStr">
        <is>
          <t>charjabug</t>
        </is>
      </c>
      <c r="D741" s="18" t="inlineStr">
        <is>
          <t>Charjabug</t>
        </is>
      </c>
      <c r="E741" s="18" t="n">
        <v>7</v>
      </c>
      <c r="F741" s="18" t="inlineStr">
        <is>
          <t>generation7</t>
        </is>
      </c>
      <c r="G741" s="18" t="inlineStr">
        <is>
          <t>bug</t>
        </is>
      </c>
      <c r="H741" s="18" t="inlineStr">
        <is>
          <t>electric</t>
        </is>
      </c>
      <c r="I741" s="18" t="inlineStr">
        <is>
          <t>아니오</t>
        </is>
      </c>
      <c r="J741" s="18" t="inlineStr">
        <is>
          <t>아니오</t>
        </is>
      </c>
      <c r="K741" s="18" t="inlineStr">
        <is>
          <t>예</t>
        </is>
      </c>
      <c r="L741" s="18" t="inlineStr">
        <is>
          <t>COBBLEVERSE 추가</t>
        </is>
      </c>
      <c r="M741" s="18">
        <f>COUNTIF('스폰_편집'!$D$5:$D$3125,A741)</f>
        <v/>
      </c>
      <c r="N741" s="18">
        <f>COUNTIFS('스폰_편집'!$D$5:$D$3125,A741,'스폰_편집'!$B$5:$B$3125,"사용")</f>
        <v/>
      </c>
      <c r="O741" s="18" t="n">
        <v>2</v>
      </c>
      <c r="P741" s="18" t="inlineStr">
        <is>
          <t>#cobblemon:is_badlands; #cobblemon:is_jungle</t>
        </is>
      </c>
      <c r="Q741" s="18" t="inlineStr">
        <is>
          <t>uncommon</t>
        </is>
      </c>
      <c r="R741" s="18" t="inlineStr"/>
      <c r="S741" s="18" t="inlineStr">
        <is>
          <t>cobbleventure:generation_7</t>
        </is>
      </c>
      <c r="T741" s="18">
        <f>IF(M741=0,"없음",IF(N741=0,"전부 제외","사용"))</f>
        <v/>
      </c>
      <c r="U741" s="18" t="inlineStr"/>
    </row>
    <row r="742" ht="30" customHeight="1">
      <c r="A742" s="18" t="n">
        <v>738</v>
      </c>
      <c r="B742" s="18" t="inlineStr">
        <is>
          <t>투구뿌논</t>
        </is>
      </c>
      <c r="C742" s="18" t="inlineStr">
        <is>
          <t>vikavolt</t>
        </is>
      </c>
      <c r="D742" s="18" t="inlineStr">
        <is>
          <t>Vikavolt</t>
        </is>
      </c>
      <c r="E742" s="18" t="n">
        <v>7</v>
      </c>
      <c r="F742" s="18" t="inlineStr">
        <is>
          <t>generation7</t>
        </is>
      </c>
      <c r="G742" s="18" t="inlineStr">
        <is>
          <t>bug</t>
        </is>
      </c>
      <c r="H742" s="18" t="inlineStr">
        <is>
          <t>electric</t>
        </is>
      </c>
      <c r="I742" s="18" t="inlineStr">
        <is>
          <t>아니오</t>
        </is>
      </c>
      <c r="J742" s="18" t="inlineStr">
        <is>
          <t>아니오</t>
        </is>
      </c>
      <c r="K742" s="18" t="inlineStr">
        <is>
          <t>예</t>
        </is>
      </c>
      <c r="L742" s="18" t="inlineStr">
        <is>
          <t>COBBLEVERSE 추가</t>
        </is>
      </c>
      <c r="M742" s="18">
        <f>COUNTIF('스폰_편집'!$D$5:$D$3125,A742)</f>
        <v/>
      </c>
      <c r="N742" s="18">
        <f>COUNTIFS('스폰_편집'!$D$5:$D$3125,A742,'스폰_편집'!$B$5:$B$3125,"사용")</f>
        <v/>
      </c>
      <c r="O742" s="18" t="n">
        <v>2</v>
      </c>
      <c r="P742" s="18" t="inlineStr">
        <is>
          <t>#cobblemon:is_badlands; #cobblemon:is_jungle</t>
        </is>
      </c>
      <c r="Q742" s="18" t="inlineStr">
        <is>
          <t>rare</t>
        </is>
      </c>
      <c r="R742" s="18" t="inlineStr"/>
      <c r="S742" s="18" t="inlineStr">
        <is>
          <t>cobbleventure:generation_7</t>
        </is>
      </c>
      <c r="T742" s="18">
        <f>IF(M742=0,"없음",IF(N742=0,"전부 제외","사용"))</f>
        <v/>
      </c>
      <c r="U742" s="18" t="inlineStr"/>
    </row>
    <row r="743" ht="30" customHeight="1">
      <c r="A743" s="18" t="n">
        <v>739</v>
      </c>
      <c r="B743" s="18" t="inlineStr">
        <is>
          <t>오기지게</t>
        </is>
      </c>
      <c r="C743" s="18" t="inlineStr">
        <is>
          <t>crabrawler</t>
        </is>
      </c>
      <c r="D743" s="18" t="inlineStr">
        <is>
          <t>Crabrawler</t>
        </is>
      </c>
      <c r="E743" s="18" t="n">
        <v>7</v>
      </c>
      <c r="F743" s="18" t="inlineStr">
        <is>
          <t>generation7</t>
        </is>
      </c>
      <c r="G743" s="18" t="inlineStr">
        <is>
          <t>fighting</t>
        </is>
      </c>
      <c r="H743" s="18" t="inlineStr"/>
      <c r="I743" s="18" t="inlineStr">
        <is>
          <t>예</t>
        </is>
      </c>
      <c r="J743" s="18" t="inlineStr">
        <is>
          <t>예</t>
        </is>
      </c>
      <c r="K743" s="18" t="inlineStr">
        <is>
          <t>예</t>
        </is>
      </c>
      <c r="L743" s="18" t="inlineStr">
        <is>
          <t>Cobblemon 동일</t>
        </is>
      </c>
      <c r="M743" s="18">
        <f>COUNTIF('스폰_편집'!$D$5:$D$3125,A743)</f>
        <v/>
      </c>
      <c r="N743" s="18">
        <f>COUNTIFS('스폰_편집'!$D$5:$D$3125,A743,'스폰_편집'!$B$5:$B$3125,"사용")</f>
        <v/>
      </c>
      <c r="O743" s="18" t="n">
        <v>1</v>
      </c>
      <c r="P743" s="18" t="inlineStr">
        <is>
          <t>#cobblemon:is_coast</t>
        </is>
      </c>
      <c r="Q743" s="18" t="inlineStr">
        <is>
          <t>common</t>
        </is>
      </c>
      <c r="R743" s="18" t="inlineStr"/>
      <c r="S743" s="18" t="inlineStr">
        <is>
          <t>cobbleventure:generation_7</t>
        </is>
      </c>
      <c r="T743" s="18">
        <f>IF(M743=0,"없음",IF(N743=0,"전부 제외","사용"))</f>
        <v/>
      </c>
      <c r="U743" s="18" t="inlineStr"/>
    </row>
    <row r="744" ht="30" customHeight="1">
      <c r="A744" s="18" t="n">
        <v>740</v>
      </c>
      <c r="B744" s="18" t="inlineStr">
        <is>
          <t>모단단게</t>
        </is>
      </c>
      <c r="C744" s="18" t="inlineStr">
        <is>
          <t>crabominable</t>
        </is>
      </c>
      <c r="D744" s="18" t="inlineStr">
        <is>
          <t>Crabominable</t>
        </is>
      </c>
      <c r="E744" s="18" t="n">
        <v>7</v>
      </c>
      <c r="F744" s="18" t="inlineStr">
        <is>
          <t>generation7</t>
        </is>
      </c>
      <c r="G744" s="18" t="inlineStr">
        <is>
          <t>fighting</t>
        </is>
      </c>
      <c r="H744" s="18" t="inlineStr">
        <is>
          <t>ice</t>
        </is>
      </c>
      <c r="I744" s="18" t="inlineStr">
        <is>
          <t>예</t>
        </is>
      </c>
      <c r="J744" s="18" t="inlineStr">
        <is>
          <t>예</t>
        </is>
      </c>
      <c r="K744" s="18" t="inlineStr">
        <is>
          <t>예</t>
        </is>
      </c>
      <c r="L744" s="18" t="inlineStr">
        <is>
          <t>Cobblemon 동일</t>
        </is>
      </c>
      <c r="M744" s="18">
        <f>COUNTIF('스폰_편집'!$D$5:$D$3125,A744)</f>
        <v/>
      </c>
      <c r="N744" s="18">
        <f>COUNTIFS('스폰_편집'!$D$5:$D$3125,A744,'스폰_편집'!$B$5:$B$3125,"사용")</f>
        <v/>
      </c>
      <c r="O744" s="18" t="n">
        <v>1</v>
      </c>
      <c r="P744" s="18" t="inlineStr">
        <is>
          <t>#cobblemon:is_peak</t>
        </is>
      </c>
      <c r="Q744" s="18" t="inlineStr">
        <is>
          <t>uncommon</t>
        </is>
      </c>
      <c r="R744" s="18" t="inlineStr"/>
      <c r="S744" s="18" t="inlineStr">
        <is>
          <t>cobbleventure:generation_7</t>
        </is>
      </c>
      <c r="T744" s="18">
        <f>IF(M744=0,"없음",IF(N744=0,"전부 제외","사용"))</f>
        <v/>
      </c>
      <c r="U744" s="18" t="inlineStr"/>
    </row>
    <row r="745" ht="30" customHeight="1">
      <c r="A745" s="18" t="n">
        <v>741</v>
      </c>
      <c r="B745" s="18" t="inlineStr">
        <is>
          <t>춤추새</t>
        </is>
      </c>
      <c r="C745" s="18" t="inlineStr">
        <is>
          <t>oricorio</t>
        </is>
      </c>
      <c r="D745" s="18" t="inlineStr">
        <is>
          <t>Oricorio</t>
        </is>
      </c>
      <c r="E745" s="18" t="n">
        <v>7</v>
      </c>
      <c r="F745" s="18" t="inlineStr">
        <is>
          <t>generation7</t>
        </is>
      </c>
      <c r="G745" s="18" t="inlineStr">
        <is>
          <t>fire</t>
        </is>
      </c>
      <c r="H745" s="18" t="inlineStr">
        <is>
          <t>flying</t>
        </is>
      </c>
      <c r="I745" s="18" t="inlineStr">
        <is>
          <t>아니오</t>
        </is>
      </c>
      <c r="J745" s="18" t="inlineStr">
        <is>
          <t>아니오</t>
        </is>
      </c>
      <c r="K745" s="18" t="inlineStr">
        <is>
          <t>예</t>
        </is>
      </c>
      <c r="L745" s="18" t="inlineStr">
        <is>
          <t>COBBLEVERSE 추가</t>
        </is>
      </c>
      <c r="M745" s="18">
        <f>COUNTIF('스폰_편집'!$D$5:$D$3125,A745)</f>
        <v/>
      </c>
      <c r="N745" s="18">
        <f>COUNTIFS('스폰_편집'!$D$5:$D$3125,A745,'스폰_편집'!$B$5:$B$3125,"사용")</f>
        <v/>
      </c>
      <c r="O745" s="18" t="n">
        <v>6</v>
      </c>
      <c r="P745" s="18" t="inlineStr">
        <is>
          <t>#cobblemon:is_floral; #cobblemon:is_forest; #cobblemon:is_hills; #cobblemon:is_jungle; #cobblemon:is_mountain; #cobblemon:is_plains</t>
        </is>
      </c>
      <c r="Q745" s="18" t="inlineStr">
        <is>
          <t>uncommon</t>
        </is>
      </c>
      <c r="R745" s="18" t="inlineStr">
        <is>
          <t>region_01</t>
        </is>
      </c>
      <c r="S745" s="18" t="inlineStr">
        <is>
          <t>cobbleventure:generation_7</t>
        </is>
      </c>
      <c r="T745" s="18">
        <f>IF(M745=0,"없음",IF(N745=0,"전부 제외","사용"))</f>
        <v/>
      </c>
      <c r="U745" s="18" t="inlineStr"/>
    </row>
    <row r="746" ht="30" customHeight="1">
      <c r="A746" s="18" t="n">
        <v>742</v>
      </c>
      <c r="B746" s="18" t="inlineStr">
        <is>
          <t>에블리</t>
        </is>
      </c>
      <c r="C746" s="18" t="inlineStr">
        <is>
          <t>cutiefly</t>
        </is>
      </c>
      <c r="D746" s="18" t="inlineStr">
        <is>
          <t>Cutiefly</t>
        </is>
      </c>
      <c r="E746" s="18" t="n">
        <v>7</v>
      </c>
      <c r="F746" s="18" t="inlineStr">
        <is>
          <t>generation7</t>
        </is>
      </c>
      <c r="G746" s="18" t="inlineStr">
        <is>
          <t>bug</t>
        </is>
      </c>
      <c r="H746" s="18" t="inlineStr">
        <is>
          <t>fairy</t>
        </is>
      </c>
      <c r="I746" s="18" t="inlineStr">
        <is>
          <t>예</t>
        </is>
      </c>
      <c r="J746" s="18" t="inlineStr">
        <is>
          <t>예</t>
        </is>
      </c>
      <c r="K746" s="18" t="inlineStr">
        <is>
          <t>예</t>
        </is>
      </c>
      <c r="L746" s="18" t="inlineStr">
        <is>
          <t>COBBLEVERSE 수정</t>
        </is>
      </c>
      <c r="M746" s="18">
        <f>COUNTIF('스폰_편집'!$D$5:$D$3125,A746)</f>
        <v/>
      </c>
      <c r="N746" s="18">
        <f>COUNTIFS('스폰_편집'!$D$5:$D$3125,A746,'스폰_편집'!$B$5:$B$3125,"사용")</f>
        <v/>
      </c>
      <c r="O746" s="18" t="n">
        <v>5</v>
      </c>
      <c r="P746" s="18" t="inlineStr">
        <is>
          <t>#aether:is_aether; #cobblemon:is_floral; #cobblemon:is_overworld; the_bumblezone:floral_meadow; the_bumblezone:pollinated_fields</t>
        </is>
      </c>
      <c r="Q746" s="18" t="inlineStr">
        <is>
          <t>common</t>
        </is>
      </c>
      <c r="R746" s="18" t="inlineStr">
        <is>
          <t>region_01; region_02</t>
        </is>
      </c>
      <c r="S746" s="18" t="inlineStr">
        <is>
          <t>cobbleventure:generation_7</t>
        </is>
      </c>
      <c r="T746" s="18">
        <f>IF(M746=0,"없음",IF(N746=0,"전부 제외","사용"))</f>
        <v/>
      </c>
      <c r="U746" s="18" t="inlineStr"/>
    </row>
    <row r="747" ht="30" customHeight="1">
      <c r="A747" s="18" t="n">
        <v>743</v>
      </c>
      <c r="B747" s="18" t="inlineStr">
        <is>
          <t>에리본</t>
        </is>
      </c>
      <c r="C747" s="18" t="inlineStr">
        <is>
          <t>ribombee</t>
        </is>
      </c>
      <c r="D747" s="18" t="inlineStr">
        <is>
          <t>Ribombee</t>
        </is>
      </c>
      <c r="E747" s="18" t="n">
        <v>7</v>
      </c>
      <c r="F747" s="18" t="inlineStr">
        <is>
          <t>generation7</t>
        </is>
      </c>
      <c r="G747" s="18" t="inlineStr">
        <is>
          <t>bug</t>
        </is>
      </c>
      <c r="H747" s="18" t="inlineStr">
        <is>
          <t>fairy</t>
        </is>
      </c>
      <c r="I747" s="18" t="inlineStr">
        <is>
          <t>예</t>
        </is>
      </c>
      <c r="J747" s="18" t="inlineStr">
        <is>
          <t>예</t>
        </is>
      </c>
      <c r="K747" s="18" t="inlineStr">
        <is>
          <t>예</t>
        </is>
      </c>
      <c r="L747" s="18" t="inlineStr">
        <is>
          <t>COBBLEVERSE 수정</t>
        </is>
      </c>
      <c r="M747" s="18">
        <f>COUNTIF('스폰_편집'!$D$5:$D$3125,A747)</f>
        <v/>
      </c>
      <c r="N747" s="18">
        <f>COUNTIFS('스폰_편집'!$D$5:$D$3125,A747,'스폰_편집'!$B$5:$B$3125,"사용")</f>
        <v/>
      </c>
      <c r="O747" s="18" t="n">
        <v>5</v>
      </c>
      <c r="P747" s="18" t="inlineStr">
        <is>
          <t>#aether:is_aether; #cobblemon:is_floral; #cobblemon:is_overworld; the_bumblezone:floral_meadow; the_bumblezone:pollinated_fields</t>
        </is>
      </c>
      <c r="Q747" s="18" t="inlineStr">
        <is>
          <t>common</t>
        </is>
      </c>
      <c r="R747" s="18" t="inlineStr">
        <is>
          <t>region_01; region_02</t>
        </is>
      </c>
      <c r="S747" s="18" t="inlineStr">
        <is>
          <t>cobbleventure:generation_7</t>
        </is>
      </c>
      <c r="T747" s="18">
        <f>IF(M747=0,"없음",IF(N747=0,"전부 제외","사용"))</f>
        <v/>
      </c>
      <c r="U747" s="18" t="inlineStr"/>
    </row>
    <row r="748" ht="30" customHeight="1">
      <c r="A748" s="18" t="n">
        <v>744</v>
      </c>
      <c r="B748" s="18" t="inlineStr">
        <is>
          <t>암멍이</t>
        </is>
      </c>
      <c r="C748" s="18" t="inlineStr">
        <is>
          <t>rockruff</t>
        </is>
      </c>
      <c r="D748" s="18" t="inlineStr">
        <is>
          <t>Rockruff</t>
        </is>
      </c>
      <c r="E748" s="18" t="n">
        <v>7</v>
      </c>
      <c r="F748" s="18" t="inlineStr">
        <is>
          <t>generation7</t>
        </is>
      </c>
      <c r="G748" s="18" t="inlineStr">
        <is>
          <t>rock</t>
        </is>
      </c>
      <c r="H748" s="18" t="inlineStr"/>
      <c r="I748" s="18" t="inlineStr">
        <is>
          <t>아니오</t>
        </is>
      </c>
      <c r="J748" s="18" t="inlineStr">
        <is>
          <t>아니오</t>
        </is>
      </c>
      <c r="K748" s="18" t="inlineStr">
        <is>
          <t>예</t>
        </is>
      </c>
      <c r="L748" s="18" t="inlineStr">
        <is>
          <t>COBBLEVERSE 추가</t>
        </is>
      </c>
      <c r="M748" s="18">
        <f>COUNTIF('스폰_편집'!$D$5:$D$3125,A748)</f>
        <v/>
      </c>
      <c r="N748" s="18">
        <f>COUNTIFS('스폰_편집'!$D$5:$D$3125,A748,'스폰_편집'!$B$5:$B$3125,"사용")</f>
        <v/>
      </c>
      <c r="O748" s="18" t="n">
        <v>1</v>
      </c>
      <c r="P748" s="18" t="inlineStr">
        <is>
          <t>#cobblemon:is_hills</t>
        </is>
      </c>
      <c r="Q748" s="18" t="inlineStr">
        <is>
          <t>uncommon</t>
        </is>
      </c>
      <c r="R748" s="18" t="inlineStr"/>
      <c r="S748" s="18" t="inlineStr">
        <is>
          <t>cobbleventure:generation_7</t>
        </is>
      </c>
      <c r="T748" s="18">
        <f>IF(M748=0,"없음",IF(N748=0,"전부 제외","사용"))</f>
        <v/>
      </c>
      <c r="U748" s="18" t="inlineStr"/>
    </row>
    <row r="749" ht="30" customHeight="1">
      <c r="A749" s="18" t="n">
        <v>745</v>
      </c>
      <c r="B749" s="18" t="inlineStr">
        <is>
          <t>루가루암</t>
        </is>
      </c>
      <c r="C749" s="18" t="inlineStr">
        <is>
          <t>lycanroc</t>
        </is>
      </c>
      <c r="D749" s="18" t="inlineStr">
        <is>
          <t>Lycanroc</t>
        </is>
      </c>
      <c r="E749" s="18" t="n">
        <v>7</v>
      </c>
      <c r="F749" s="18" t="inlineStr">
        <is>
          <t>generation7</t>
        </is>
      </c>
      <c r="G749" s="18" t="inlineStr">
        <is>
          <t>rock</t>
        </is>
      </c>
      <c r="H749" s="18" t="inlineStr"/>
      <c r="I749" s="18" t="inlineStr">
        <is>
          <t>아니오</t>
        </is>
      </c>
      <c r="J749" s="18" t="inlineStr">
        <is>
          <t>아니오</t>
        </is>
      </c>
      <c r="K749" s="18" t="inlineStr">
        <is>
          <t>예</t>
        </is>
      </c>
      <c r="L749" s="18" t="inlineStr">
        <is>
          <t>COBBLEVERSE 추가</t>
        </is>
      </c>
      <c r="M749" s="18">
        <f>COUNTIF('스폰_편집'!$D$5:$D$3125,A749)</f>
        <v/>
      </c>
      <c r="N749" s="18">
        <f>COUNTIFS('스폰_편집'!$D$5:$D$3125,A749,'스폰_편집'!$B$5:$B$3125,"사용")</f>
        <v/>
      </c>
      <c r="O749" s="18" t="n">
        <v>2</v>
      </c>
      <c r="P749" s="18" t="inlineStr">
        <is>
          <t>#cobblemon:is_hills; #cobblemon:is_mountain</t>
        </is>
      </c>
      <c r="Q749" s="18" t="inlineStr">
        <is>
          <t>uncommon</t>
        </is>
      </c>
      <c r="R749" s="18" t="inlineStr"/>
      <c r="S749" s="18" t="inlineStr">
        <is>
          <t>cobbleventure:generation_7</t>
        </is>
      </c>
      <c r="T749" s="18">
        <f>IF(M749=0,"없음",IF(N749=0,"전부 제외","사용"))</f>
        <v/>
      </c>
      <c r="U749" s="18" t="inlineStr"/>
    </row>
    <row r="750" ht="30" customHeight="1">
      <c r="A750" s="18" t="n">
        <v>746</v>
      </c>
      <c r="B750" s="18" t="inlineStr">
        <is>
          <t>약어리</t>
        </is>
      </c>
      <c r="C750" s="18" t="inlineStr">
        <is>
          <t>wishiwashi</t>
        </is>
      </c>
      <c r="D750" s="18" t="inlineStr">
        <is>
          <t>Wishiwashi</t>
        </is>
      </c>
      <c r="E750" s="18" t="n">
        <v>7</v>
      </c>
      <c r="F750" s="18" t="inlineStr">
        <is>
          <t>generation7</t>
        </is>
      </c>
      <c r="G750" s="18" t="inlineStr">
        <is>
          <t>water</t>
        </is>
      </c>
      <c r="H750" s="18" t="inlineStr"/>
      <c r="I750" s="18" t="inlineStr">
        <is>
          <t>예</t>
        </is>
      </c>
      <c r="J750" s="18" t="inlineStr">
        <is>
          <t>예</t>
        </is>
      </c>
      <c r="K750" s="18" t="inlineStr">
        <is>
          <t>예</t>
        </is>
      </c>
      <c r="L750" s="18" t="inlineStr">
        <is>
          <t>Cobblemon 동일</t>
        </is>
      </c>
      <c r="M750" s="18">
        <f>COUNTIF('스폰_편집'!$D$5:$D$3125,A750)</f>
        <v/>
      </c>
      <c r="N750" s="18">
        <f>COUNTIFS('스폰_편집'!$D$5:$D$3125,A750,'스폰_편집'!$B$5:$B$3125,"사용")</f>
        <v/>
      </c>
      <c r="O750" s="18" t="n">
        <v>2</v>
      </c>
      <c r="P750" s="18" t="inlineStr">
        <is>
          <t>#cobblemon:is_coast; #cobblemon:is_ocean</t>
        </is>
      </c>
      <c r="Q750" s="18" t="inlineStr">
        <is>
          <t>common</t>
        </is>
      </c>
      <c r="R750" s="18" t="inlineStr"/>
      <c r="S750" s="18" t="inlineStr">
        <is>
          <t>cobbleventure:generation_7</t>
        </is>
      </c>
      <c r="T750" s="18">
        <f>IF(M750=0,"없음",IF(N750=0,"전부 제외","사용"))</f>
        <v/>
      </c>
      <c r="U750" s="18" t="inlineStr"/>
    </row>
    <row r="751" ht="30" customHeight="1">
      <c r="A751" s="18" t="n">
        <v>747</v>
      </c>
      <c r="B751" s="18" t="inlineStr">
        <is>
          <t>시마사리</t>
        </is>
      </c>
      <c r="C751" s="18" t="inlineStr">
        <is>
          <t>mareanie</t>
        </is>
      </c>
      <c r="D751" s="18" t="inlineStr">
        <is>
          <t>Mareanie</t>
        </is>
      </c>
      <c r="E751" s="18" t="n">
        <v>7</v>
      </c>
      <c r="F751" s="18" t="inlineStr">
        <is>
          <t>generation7</t>
        </is>
      </c>
      <c r="G751" s="18" t="inlineStr">
        <is>
          <t>poison</t>
        </is>
      </c>
      <c r="H751" s="18" t="inlineStr">
        <is>
          <t>water</t>
        </is>
      </c>
      <c r="I751" s="18" t="inlineStr">
        <is>
          <t>예</t>
        </is>
      </c>
      <c r="J751" s="18" t="inlineStr">
        <is>
          <t>예</t>
        </is>
      </c>
      <c r="K751" s="18" t="inlineStr">
        <is>
          <t>예</t>
        </is>
      </c>
      <c r="L751" s="18" t="inlineStr">
        <is>
          <t>Cobblemon 동일</t>
        </is>
      </c>
      <c r="M751" s="18">
        <f>COUNTIF('스폰_편집'!$D$5:$D$3125,A751)</f>
        <v/>
      </c>
      <c r="N751" s="18">
        <f>COUNTIFS('스폰_편집'!$D$5:$D$3125,A751,'스폰_편집'!$B$5:$B$3125,"사용")</f>
        <v/>
      </c>
      <c r="O751" s="18" t="n">
        <v>2</v>
      </c>
      <c r="P751" s="18" t="inlineStr">
        <is>
          <t>#cobblemon:is_coast; #cobblemon:is_warm_ocean</t>
        </is>
      </c>
      <c r="Q751" s="18" t="inlineStr">
        <is>
          <t>common; uncommon</t>
        </is>
      </c>
      <c r="R751" s="18" t="inlineStr"/>
      <c r="S751" s="18" t="inlineStr">
        <is>
          <t>cobbleventure:generation_7</t>
        </is>
      </c>
      <c r="T751" s="18">
        <f>IF(M751=0,"없음",IF(N751=0,"전부 제외","사용"))</f>
        <v/>
      </c>
      <c r="U751" s="18" t="inlineStr"/>
    </row>
    <row r="752" ht="30" customHeight="1">
      <c r="A752" s="18" t="n">
        <v>748</v>
      </c>
      <c r="B752" s="18" t="inlineStr">
        <is>
          <t>더시마사리</t>
        </is>
      </c>
      <c r="C752" s="18" t="inlineStr">
        <is>
          <t>toxapex</t>
        </is>
      </c>
      <c r="D752" s="18" t="inlineStr">
        <is>
          <t>Toxapex</t>
        </is>
      </c>
      <c r="E752" s="18" t="n">
        <v>7</v>
      </c>
      <c r="F752" s="18" t="inlineStr">
        <is>
          <t>generation7</t>
        </is>
      </c>
      <c r="G752" s="18" t="inlineStr">
        <is>
          <t>poison</t>
        </is>
      </c>
      <c r="H752" s="18" t="inlineStr">
        <is>
          <t>water</t>
        </is>
      </c>
      <c r="I752" s="18" t="inlineStr">
        <is>
          <t>예</t>
        </is>
      </c>
      <c r="J752" s="18" t="inlineStr">
        <is>
          <t>예</t>
        </is>
      </c>
      <c r="K752" s="18" t="inlineStr">
        <is>
          <t>예</t>
        </is>
      </c>
      <c r="L752" s="18" t="inlineStr">
        <is>
          <t>Cobblemon 동일</t>
        </is>
      </c>
      <c r="M752" s="18">
        <f>COUNTIF('스폰_편집'!$D$5:$D$3125,A752)</f>
        <v/>
      </c>
      <c r="N752" s="18">
        <f>COUNTIFS('스폰_편집'!$D$5:$D$3125,A752,'스폰_편집'!$B$5:$B$3125,"사용")</f>
        <v/>
      </c>
      <c r="O752" s="18" t="n">
        <v>2</v>
      </c>
      <c r="P752" s="18" t="inlineStr">
        <is>
          <t>#cobblemon:is_coast; #cobblemon:is_warm_ocean</t>
        </is>
      </c>
      <c r="Q752" s="18" t="inlineStr">
        <is>
          <t>common; uncommon</t>
        </is>
      </c>
      <c r="R752" s="18" t="inlineStr"/>
      <c r="S752" s="18" t="inlineStr">
        <is>
          <t>cobbleventure:generation_7</t>
        </is>
      </c>
      <c r="T752" s="18">
        <f>IF(M752=0,"없음",IF(N752=0,"전부 제외","사용"))</f>
        <v/>
      </c>
      <c r="U752" s="18" t="inlineStr"/>
    </row>
    <row r="753" ht="30" customHeight="1">
      <c r="A753" s="18" t="n">
        <v>749</v>
      </c>
      <c r="B753" s="18" t="inlineStr">
        <is>
          <t>머드나기</t>
        </is>
      </c>
      <c r="C753" s="18" t="inlineStr">
        <is>
          <t>mudbray</t>
        </is>
      </c>
      <c r="D753" s="18" t="inlineStr">
        <is>
          <t>Mudbray</t>
        </is>
      </c>
      <c r="E753" s="18" t="n">
        <v>7</v>
      </c>
      <c r="F753" s="18" t="inlineStr">
        <is>
          <t>generation7</t>
        </is>
      </c>
      <c r="G753" s="18" t="inlineStr">
        <is>
          <t>ground</t>
        </is>
      </c>
      <c r="H753" s="18" t="inlineStr"/>
      <c r="I753" s="18" t="inlineStr">
        <is>
          <t>예</t>
        </is>
      </c>
      <c r="J753" s="18" t="inlineStr">
        <is>
          <t>예</t>
        </is>
      </c>
      <c r="K753" s="18" t="inlineStr">
        <is>
          <t>예</t>
        </is>
      </c>
      <c r="L753" s="18" t="inlineStr">
        <is>
          <t>Cobblemon 동일</t>
        </is>
      </c>
      <c r="M753" s="18">
        <f>COUNTIF('스폰_편집'!$D$5:$D$3125,A753)</f>
        <v/>
      </c>
      <c r="N753" s="18">
        <f>COUNTIFS('스폰_편집'!$D$5:$D$3125,A753,'스폰_편집'!$B$5:$B$3125,"사용")</f>
        <v/>
      </c>
      <c r="O753" s="18" t="n">
        <v>2</v>
      </c>
      <c r="P753" s="18" t="inlineStr">
        <is>
          <t>#cobblemon:is_badlands; #cobblemon:is_grassland</t>
        </is>
      </c>
      <c r="Q753" s="18" t="inlineStr">
        <is>
          <t>common</t>
        </is>
      </c>
      <c r="R753" s="18" t="inlineStr">
        <is>
          <t>region_01</t>
        </is>
      </c>
      <c r="S753" s="18" t="inlineStr">
        <is>
          <t>cobbleventure:generation_7</t>
        </is>
      </c>
      <c r="T753" s="18">
        <f>IF(M753=0,"없음",IF(N753=0,"전부 제외","사용"))</f>
        <v/>
      </c>
      <c r="U753" s="18" t="inlineStr"/>
    </row>
    <row r="754" ht="30" customHeight="1">
      <c r="A754" s="18" t="n">
        <v>750</v>
      </c>
      <c r="B754" s="18" t="inlineStr">
        <is>
          <t>만마드</t>
        </is>
      </c>
      <c r="C754" s="18" t="inlineStr">
        <is>
          <t>mudsdale</t>
        </is>
      </c>
      <c r="D754" s="18" t="inlineStr">
        <is>
          <t>Mudsdale</t>
        </is>
      </c>
      <c r="E754" s="18" t="n">
        <v>7</v>
      </c>
      <c r="F754" s="18" t="inlineStr">
        <is>
          <t>generation7</t>
        </is>
      </c>
      <c r="G754" s="18" t="inlineStr">
        <is>
          <t>ground</t>
        </is>
      </c>
      <c r="H754" s="18" t="inlineStr"/>
      <c r="I754" s="18" t="inlineStr">
        <is>
          <t>예</t>
        </is>
      </c>
      <c r="J754" s="18" t="inlineStr">
        <is>
          <t>예</t>
        </is>
      </c>
      <c r="K754" s="18" t="inlineStr">
        <is>
          <t>예</t>
        </is>
      </c>
      <c r="L754" s="18" t="inlineStr">
        <is>
          <t>Cobblemon 동일</t>
        </is>
      </c>
      <c r="M754" s="18">
        <f>COUNTIF('스폰_편집'!$D$5:$D$3125,A754)</f>
        <v/>
      </c>
      <c r="N754" s="18">
        <f>COUNTIFS('스폰_편집'!$D$5:$D$3125,A754,'스폰_편집'!$B$5:$B$3125,"사용")</f>
        <v/>
      </c>
      <c r="O754" s="18" t="n">
        <v>2</v>
      </c>
      <c r="P754" s="18" t="inlineStr">
        <is>
          <t>#cobblemon:is_badlands; #cobblemon:is_grassland</t>
        </is>
      </c>
      <c r="Q754" s="18" t="inlineStr">
        <is>
          <t>common</t>
        </is>
      </c>
      <c r="R754" s="18" t="inlineStr">
        <is>
          <t>region_01</t>
        </is>
      </c>
      <c r="S754" s="18" t="inlineStr">
        <is>
          <t>cobbleventure:generation_7</t>
        </is>
      </c>
      <c r="T754" s="18">
        <f>IF(M754=0,"없음",IF(N754=0,"전부 제외","사용"))</f>
        <v/>
      </c>
      <c r="U754" s="18" t="inlineStr"/>
    </row>
    <row r="755" ht="30" customHeight="1">
      <c r="A755" s="18" t="n">
        <v>751</v>
      </c>
      <c r="B755" s="18" t="inlineStr">
        <is>
          <t>물거미</t>
        </is>
      </c>
      <c r="C755" s="18" t="inlineStr">
        <is>
          <t>dewpider</t>
        </is>
      </c>
      <c r="D755" s="18" t="inlineStr">
        <is>
          <t>Dewpider</t>
        </is>
      </c>
      <c r="E755" s="18" t="n">
        <v>7</v>
      </c>
      <c r="F755" s="18" t="inlineStr">
        <is>
          <t>generation7</t>
        </is>
      </c>
      <c r="G755" s="18" t="inlineStr">
        <is>
          <t>water</t>
        </is>
      </c>
      <c r="H755" s="18" t="inlineStr">
        <is>
          <t>bug</t>
        </is>
      </c>
      <c r="I755" s="18" t="inlineStr">
        <is>
          <t>예</t>
        </is>
      </c>
      <c r="J755" s="18" t="inlineStr">
        <is>
          <t>예</t>
        </is>
      </c>
      <c r="K755" s="18" t="inlineStr">
        <is>
          <t>예</t>
        </is>
      </c>
      <c r="L755" s="18" t="inlineStr">
        <is>
          <t>COBBLEVERSE 수정</t>
        </is>
      </c>
      <c r="M755" s="18">
        <f>COUNTIF('스폰_편집'!$D$5:$D$3125,A755)</f>
        <v/>
      </c>
      <c r="N755" s="18">
        <f>COUNTIFS('스폰_편집'!$D$5:$D$3125,A755,'스폰_편집'!$B$5:$B$3125,"사용")</f>
        <v/>
      </c>
      <c r="O755" s="18" t="n">
        <v>5</v>
      </c>
      <c r="P755" s="18" t="inlineStr">
        <is>
          <t>#cobblemon:is_forest; #cobblemon:is_freshwater; #cobblemon:is_grassland; #cobblemon:is_jungle; #cobblemon:is_swamp</t>
        </is>
      </c>
      <c r="Q755" s="18" t="inlineStr">
        <is>
          <t>common; uncommon</t>
        </is>
      </c>
      <c r="R755" s="18" t="inlineStr">
        <is>
          <t>region_01; region_02</t>
        </is>
      </c>
      <c r="S755" s="18" t="inlineStr">
        <is>
          <t>cobbleventure:generation_7</t>
        </is>
      </c>
      <c r="T755" s="18">
        <f>IF(M755=0,"없음",IF(N755=0,"전부 제외","사용"))</f>
        <v/>
      </c>
      <c r="U755" s="18" t="inlineStr"/>
    </row>
    <row r="756" ht="30" customHeight="1">
      <c r="A756" s="18" t="n">
        <v>752</v>
      </c>
      <c r="B756" s="18" t="inlineStr">
        <is>
          <t>깨비물거미</t>
        </is>
      </c>
      <c r="C756" s="18" t="inlineStr">
        <is>
          <t>araquanid</t>
        </is>
      </c>
      <c r="D756" s="18" t="inlineStr">
        <is>
          <t>Araquanid</t>
        </is>
      </c>
      <c r="E756" s="18" t="n">
        <v>7</v>
      </c>
      <c r="F756" s="18" t="inlineStr">
        <is>
          <t>generation7</t>
        </is>
      </c>
      <c r="G756" s="18" t="inlineStr">
        <is>
          <t>water</t>
        </is>
      </c>
      <c r="H756" s="18" t="inlineStr">
        <is>
          <t>bug</t>
        </is>
      </c>
      <c r="I756" s="18" t="inlineStr">
        <is>
          <t>예</t>
        </is>
      </c>
      <c r="J756" s="18" t="inlineStr">
        <is>
          <t>예</t>
        </is>
      </c>
      <c r="K756" s="18" t="inlineStr">
        <is>
          <t>예</t>
        </is>
      </c>
      <c r="L756" s="18" t="inlineStr">
        <is>
          <t>Cobblemon 동일</t>
        </is>
      </c>
      <c r="M756" s="18">
        <f>COUNTIF('스폰_편집'!$D$5:$D$3125,A756)</f>
        <v/>
      </c>
      <c r="N756" s="18">
        <f>COUNTIFS('스폰_편집'!$D$5:$D$3125,A756,'스폰_편집'!$B$5:$B$3125,"사용")</f>
        <v/>
      </c>
      <c r="O756" s="18" t="n">
        <v>4</v>
      </c>
      <c r="P756" s="18" t="inlineStr">
        <is>
          <t>#cobblemon:is_forest; #cobblemon:is_freshwater; #cobblemon:is_grassland; #cobblemon:is_jungle</t>
        </is>
      </c>
      <c r="Q756" s="18" t="inlineStr">
        <is>
          <t>common; uncommon</t>
        </is>
      </c>
      <c r="R756" s="18" t="inlineStr">
        <is>
          <t>region_01; region_02</t>
        </is>
      </c>
      <c r="S756" s="18" t="inlineStr">
        <is>
          <t>cobbleventure:generation_7</t>
        </is>
      </c>
      <c r="T756" s="18">
        <f>IF(M756=0,"없음",IF(N756=0,"전부 제외","사용"))</f>
        <v/>
      </c>
      <c r="U756" s="18" t="inlineStr"/>
    </row>
    <row r="757" ht="30" customHeight="1">
      <c r="A757" s="18" t="n">
        <v>753</v>
      </c>
      <c r="B757" s="18" t="inlineStr">
        <is>
          <t>짜랑랑</t>
        </is>
      </c>
      <c r="C757" s="18" t="inlineStr">
        <is>
          <t>fomantis</t>
        </is>
      </c>
      <c r="D757" s="18" t="inlineStr">
        <is>
          <t>Fomantis</t>
        </is>
      </c>
      <c r="E757" s="18" t="n">
        <v>7</v>
      </c>
      <c r="F757" s="18" t="inlineStr">
        <is>
          <t>generation7</t>
        </is>
      </c>
      <c r="G757" s="18" t="inlineStr">
        <is>
          <t>grass</t>
        </is>
      </c>
      <c r="H757" s="18" t="inlineStr"/>
      <c r="I757" s="18" t="inlineStr">
        <is>
          <t>예</t>
        </is>
      </c>
      <c r="J757" s="18" t="inlineStr">
        <is>
          <t>예</t>
        </is>
      </c>
      <c r="K757" s="18" t="inlineStr">
        <is>
          <t>예</t>
        </is>
      </c>
      <c r="L757" s="18" t="inlineStr">
        <is>
          <t>Cobblemon 동일</t>
        </is>
      </c>
      <c r="M757" s="18">
        <f>COUNTIF('스폰_편집'!$D$5:$D$3125,A757)</f>
        <v/>
      </c>
      <c r="N757" s="18">
        <f>COUNTIFS('스폰_편집'!$D$5:$D$3125,A757,'스폰_편집'!$B$5:$B$3125,"사용")</f>
        <v/>
      </c>
      <c r="O757" s="18" t="n">
        <v>4</v>
      </c>
      <c r="P757" s="18" t="inlineStr">
        <is>
          <t>#cobblemon:is_floral; #cobblemon:is_jungle; #cobblemon:is_tropical_island; the_bumblezone:floral_meadow</t>
        </is>
      </c>
      <c r="Q757" s="18" t="inlineStr">
        <is>
          <t>common</t>
        </is>
      </c>
      <c r="R757" s="18" t="inlineStr"/>
      <c r="S757" s="18" t="inlineStr">
        <is>
          <t>cobbleventure:generation_7</t>
        </is>
      </c>
      <c r="T757" s="18">
        <f>IF(M757=0,"없음",IF(N757=0,"전부 제외","사용"))</f>
        <v/>
      </c>
      <c r="U757" s="18" t="inlineStr"/>
    </row>
    <row r="758" ht="30" customHeight="1">
      <c r="A758" s="18" t="n">
        <v>754</v>
      </c>
      <c r="B758" s="18" t="inlineStr">
        <is>
          <t>라란티스</t>
        </is>
      </c>
      <c r="C758" s="18" t="inlineStr">
        <is>
          <t>lurantis</t>
        </is>
      </c>
      <c r="D758" s="18" t="inlineStr">
        <is>
          <t>Lurantis</t>
        </is>
      </c>
      <c r="E758" s="18" t="n">
        <v>7</v>
      </c>
      <c r="F758" s="18" t="inlineStr">
        <is>
          <t>generation7</t>
        </is>
      </c>
      <c r="G758" s="18" t="inlineStr">
        <is>
          <t>grass</t>
        </is>
      </c>
      <c r="H758" s="18" t="inlineStr"/>
      <c r="I758" s="18" t="inlineStr">
        <is>
          <t>예</t>
        </is>
      </c>
      <c r="J758" s="18" t="inlineStr">
        <is>
          <t>예</t>
        </is>
      </c>
      <c r="K758" s="18" t="inlineStr">
        <is>
          <t>예</t>
        </is>
      </c>
      <c r="L758" s="18" t="inlineStr">
        <is>
          <t>Cobblemon 동일</t>
        </is>
      </c>
      <c r="M758" s="18">
        <f>COUNTIF('스폰_편집'!$D$5:$D$3125,A758)</f>
        <v/>
      </c>
      <c r="N758" s="18">
        <f>COUNTIFS('스폰_편집'!$D$5:$D$3125,A758,'스폰_편집'!$B$5:$B$3125,"사용")</f>
        <v/>
      </c>
      <c r="O758" s="18" t="n">
        <v>4</v>
      </c>
      <c r="P758" s="18" t="inlineStr">
        <is>
          <t>#cobblemon:is_floral; #cobblemon:is_jungle; #cobblemon:is_tropical_island; the_bumblezone:floral_meadow</t>
        </is>
      </c>
      <c r="Q758" s="18" t="inlineStr">
        <is>
          <t>common</t>
        </is>
      </c>
      <c r="R758" s="18" t="inlineStr"/>
      <c r="S758" s="18" t="inlineStr">
        <is>
          <t>cobbleventure:generation_7</t>
        </is>
      </c>
      <c r="T758" s="18">
        <f>IF(M758=0,"없음",IF(N758=0,"전부 제외","사용"))</f>
        <v/>
      </c>
      <c r="U758" s="18" t="inlineStr"/>
    </row>
    <row r="759" ht="30" customHeight="1">
      <c r="A759" s="18" t="n">
        <v>755</v>
      </c>
      <c r="B759" s="18" t="inlineStr">
        <is>
          <t>자마슈</t>
        </is>
      </c>
      <c r="C759" s="18" t="inlineStr">
        <is>
          <t>morelull</t>
        </is>
      </c>
      <c r="D759" s="18" t="inlineStr">
        <is>
          <t>Morelull</t>
        </is>
      </c>
      <c r="E759" s="18" t="n">
        <v>7</v>
      </c>
      <c r="F759" s="18" t="inlineStr">
        <is>
          <t>generation7</t>
        </is>
      </c>
      <c r="G759" s="18" t="inlineStr">
        <is>
          <t>grass</t>
        </is>
      </c>
      <c r="H759" s="18" t="inlineStr">
        <is>
          <t>fairy</t>
        </is>
      </c>
      <c r="I759" s="18" t="inlineStr">
        <is>
          <t>예</t>
        </is>
      </c>
      <c r="J759" s="18" t="inlineStr">
        <is>
          <t>예</t>
        </is>
      </c>
      <c r="K759" s="18" t="inlineStr">
        <is>
          <t>예</t>
        </is>
      </c>
      <c r="L759" s="18" t="inlineStr">
        <is>
          <t>Cobblemon 동일</t>
        </is>
      </c>
      <c r="M759" s="18">
        <f>COUNTIF('스폰_편집'!$D$5:$D$3125,A759)</f>
        <v/>
      </c>
      <c r="N759" s="18">
        <f>COUNTIFS('스폰_편집'!$D$5:$D$3125,A759,'스폰_편집'!$B$5:$B$3125,"사용")</f>
        <v/>
      </c>
      <c r="O759" s="18" t="n">
        <v>7</v>
      </c>
      <c r="P759" s="18" t="inlineStr">
        <is>
          <t>#aether:is_aether; #cobblemon:is_jungle; #cobblemon:is_lush; #cobblemon:is_magical; #cobblemon:is_mushroom; #cobblemon:is_overworld; #cobblemon:nether/is_fungus</t>
        </is>
      </c>
      <c r="Q759" s="18" t="inlineStr">
        <is>
          <t>common</t>
        </is>
      </c>
      <c r="R759" s="18" t="inlineStr">
        <is>
          <t>region_01; region_02</t>
        </is>
      </c>
      <c r="S759" s="18" t="inlineStr">
        <is>
          <t>cobbleventure:generation_7</t>
        </is>
      </c>
      <c r="T759" s="18">
        <f>IF(M759=0,"없음",IF(N759=0,"전부 제외","사용"))</f>
        <v/>
      </c>
      <c r="U759" s="18" t="inlineStr"/>
    </row>
    <row r="760" ht="30" customHeight="1">
      <c r="A760" s="18" t="n">
        <v>756</v>
      </c>
      <c r="B760" s="18" t="inlineStr">
        <is>
          <t>마셰이드</t>
        </is>
      </c>
      <c r="C760" s="18" t="inlineStr">
        <is>
          <t>shiinotic</t>
        </is>
      </c>
      <c r="D760" s="18" t="inlineStr">
        <is>
          <t>Shiinotic</t>
        </is>
      </c>
      <c r="E760" s="18" t="n">
        <v>7</v>
      </c>
      <c r="F760" s="18" t="inlineStr">
        <is>
          <t>generation7</t>
        </is>
      </c>
      <c r="G760" s="18" t="inlineStr">
        <is>
          <t>grass</t>
        </is>
      </c>
      <c r="H760" s="18" t="inlineStr">
        <is>
          <t>fairy</t>
        </is>
      </c>
      <c r="I760" s="18" t="inlineStr">
        <is>
          <t>예</t>
        </is>
      </c>
      <c r="J760" s="18" t="inlineStr">
        <is>
          <t>예</t>
        </is>
      </c>
      <c r="K760" s="18" t="inlineStr">
        <is>
          <t>예</t>
        </is>
      </c>
      <c r="L760" s="18" t="inlineStr">
        <is>
          <t>Cobblemon 동일</t>
        </is>
      </c>
      <c r="M760" s="18">
        <f>COUNTIF('스폰_편집'!$D$5:$D$3125,A760)</f>
        <v/>
      </c>
      <c r="N760" s="18">
        <f>COUNTIFS('스폰_편집'!$D$5:$D$3125,A760,'스폰_편집'!$B$5:$B$3125,"사용")</f>
        <v/>
      </c>
      <c r="O760" s="18" t="n">
        <v>7</v>
      </c>
      <c r="P760" s="18" t="inlineStr">
        <is>
          <t>#aether:is_aether; #cobblemon:is_jungle; #cobblemon:is_lush; #cobblemon:is_magical; #cobblemon:is_mushroom; #cobblemon:is_overworld; #cobblemon:nether/is_fungus</t>
        </is>
      </c>
      <c r="Q760" s="18" t="inlineStr">
        <is>
          <t>common</t>
        </is>
      </c>
      <c r="R760" s="18" t="inlineStr">
        <is>
          <t>region_01; region_02</t>
        </is>
      </c>
      <c r="S760" s="18" t="inlineStr">
        <is>
          <t>cobbleventure:generation_7</t>
        </is>
      </c>
      <c r="T760" s="18">
        <f>IF(M760=0,"없음",IF(N760=0,"전부 제외","사용"))</f>
        <v/>
      </c>
      <c r="U760" s="18" t="inlineStr"/>
    </row>
    <row r="761" ht="30" customHeight="1">
      <c r="A761" s="18" t="n">
        <v>757</v>
      </c>
      <c r="B761" s="18" t="inlineStr">
        <is>
          <t>야도뇽</t>
        </is>
      </c>
      <c r="C761" s="18" t="inlineStr">
        <is>
          <t>salandit</t>
        </is>
      </c>
      <c r="D761" s="18" t="inlineStr">
        <is>
          <t>Salandit</t>
        </is>
      </c>
      <c r="E761" s="18" t="n">
        <v>7</v>
      </c>
      <c r="F761" s="18" t="inlineStr">
        <is>
          <t>generation7</t>
        </is>
      </c>
      <c r="G761" s="18" t="inlineStr">
        <is>
          <t>poison</t>
        </is>
      </c>
      <c r="H761" s="18" t="inlineStr">
        <is>
          <t>fire</t>
        </is>
      </c>
      <c r="I761" s="18" t="inlineStr">
        <is>
          <t>예</t>
        </is>
      </c>
      <c r="J761" s="18" t="inlineStr">
        <is>
          <t>예</t>
        </is>
      </c>
      <c r="K761" s="18" t="inlineStr">
        <is>
          <t>예</t>
        </is>
      </c>
      <c r="L761" s="18" t="inlineStr">
        <is>
          <t>Cobblemon 동일</t>
        </is>
      </c>
      <c r="M761" s="18">
        <f>COUNTIF('스폰_편집'!$D$5:$D$3125,A761)</f>
        <v/>
      </c>
      <c r="N761" s="18">
        <f>COUNTIFS('스폰_편집'!$D$5:$D$3125,A761,'스폰_편집'!$B$5:$B$3125,"사용")</f>
        <v/>
      </c>
      <c r="O761" s="18" t="n">
        <v>5</v>
      </c>
      <c r="P761" s="18" t="inlineStr">
        <is>
          <t>#cobblemon:is_badlands; #cobblemon:is_mountain; #cobblemon:is_volcanic; #cobblemon:nether/is_basalt; #cobblemon:nether/is_desert</t>
        </is>
      </c>
      <c r="Q761" s="18" t="inlineStr">
        <is>
          <t>common</t>
        </is>
      </c>
      <c r="R761" s="18" t="inlineStr"/>
      <c r="S761" s="18" t="inlineStr">
        <is>
          <t>cobbleventure:generation_7</t>
        </is>
      </c>
      <c r="T761" s="18">
        <f>IF(M761=0,"없음",IF(N761=0,"전부 제외","사용"))</f>
        <v/>
      </c>
      <c r="U761" s="18" t="inlineStr"/>
    </row>
    <row r="762" ht="30" customHeight="1">
      <c r="A762" s="18" t="n">
        <v>758</v>
      </c>
      <c r="B762" s="18" t="inlineStr">
        <is>
          <t>염뉴트</t>
        </is>
      </c>
      <c r="C762" s="18" t="inlineStr">
        <is>
          <t>salazzle</t>
        </is>
      </c>
      <c r="D762" s="18" t="inlineStr">
        <is>
          <t>Salazzle</t>
        </is>
      </c>
      <c r="E762" s="18" t="n">
        <v>7</v>
      </c>
      <c r="F762" s="18" t="inlineStr">
        <is>
          <t>generation7</t>
        </is>
      </c>
      <c r="G762" s="18" t="inlineStr">
        <is>
          <t>poison</t>
        </is>
      </c>
      <c r="H762" s="18" t="inlineStr">
        <is>
          <t>fire</t>
        </is>
      </c>
      <c r="I762" s="18" t="inlineStr">
        <is>
          <t>예</t>
        </is>
      </c>
      <c r="J762" s="18" t="inlineStr">
        <is>
          <t>예</t>
        </is>
      </c>
      <c r="K762" s="18" t="inlineStr">
        <is>
          <t>예</t>
        </is>
      </c>
      <c r="L762" s="18" t="inlineStr">
        <is>
          <t>Cobblemon 동일</t>
        </is>
      </c>
      <c r="M762" s="18">
        <f>COUNTIF('스폰_편집'!$D$5:$D$3125,A762)</f>
        <v/>
      </c>
      <c r="N762" s="18">
        <f>COUNTIFS('스폰_편집'!$D$5:$D$3125,A762,'스폰_편집'!$B$5:$B$3125,"사용")</f>
        <v/>
      </c>
      <c r="O762" s="18" t="n">
        <v>5</v>
      </c>
      <c r="P762" s="18" t="inlineStr">
        <is>
          <t>#cobblemon:is_badlands; #cobblemon:is_mountain; #cobblemon:is_volcanic; #cobblemon:nether/is_basalt; #cobblemon:nether/is_desert</t>
        </is>
      </c>
      <c r="Q762" s="18" t="inlineStr">
        <is>
          <t>common</t>
        </is>
      </c>
      <c r="R762" s="18" t="inlineStr"/>
      <c r="S762" s="18" t="inlineStr">
        <is>
          <t>cobbleventure:generation_7</t>
        </is>
      </c>
      <c r="T762" s="18">
        <f>IF(M762=0,"없음",IF(N762=0,"전부 제외","사용"))</f>
        <v/>
      </c>
      <c r="U762" s="18" t="inlineStr"/>
    </row>
    <row r="763" ht="30" customHeight="1">
      <c r="A763" s="18" t="n">
        <v>759</v>
      </c>
      <c r="B763" s="18" t="inlineStr">
        <is>
          <t>포곰곰</t>
        </is>
      </c>
      <c r="C763" s="18" t="inlineStr">
        <is>
          <t>stufful</t>
        </is>
      </c>
      <c r="D763" s="18" t="inlineStr">
        <is>
          <t>Stufful</t>
        </is>
      </c>
      <c r="E763" s="18" t="n">
        <v>7</v>
      </c>
      <c r="F763" s="18" t="inlineStr">
        <is>
          <t>generation7</t>
        </is>
      </c>
      <c r="G763" s="18" t="inlineStr">
        <is>
          <t>normal</t>
        </is>
      </c>
      <c r="H763" s="18" t="inlineStr">
        <is>
          <t>fighting</t>
        </is>
      </c>
      <c r="I763" s="18" t="inlineStr">
        <is>
          <t>예</t>
        </is>
      </c>
      <c r="J763" s="18" t="inlineStr">
        <is>
          <t>예</t>
        </is>
      </c>
      <c r="K763" s="18" t="inlineStr">
        <is>
          <t>예</t>
        </is>
      </c>
      <c r="L763" s="18" t="inlineStr">
        <is>
          <t>Cobblemon 동일</t>
        </is>
      </c>
      <c r="M763" s="18">
        <f>COUNTIF('스폰_편집'!$D$5:$D$3125,A763)</f>
        <v/>
      </c>
      <c r="N763" s="18">
        <f>COUNTIFS('스폰_편집'!$D$5:$D$3125,A763,'스폰_편집'!$B$5:$B$3125,"사용")</f>
        <v/>
      </c>
      <c r="O763" s="18" t="n">
        <v>1</v>
      </c>
      <c r="P763" s="18" t="inlineStr">
        <is>
          <t>#cobblemon:is_bamboo</t>
        </is>
      </c>
      <c r="Q763" s="18" t="inlineStr">
        <is>
          <t>common</t>
        </is>
      </c>
      <c r="R763" s="18" t="inlineStr"/>
      <c r="S763" s="18" t="inlineStr">
        <is>
          <t>cobbleventure:generation_7</t>
        </is>
      </c>
      <c r="T763" s="18">
        <f>IF(M763=0,"없음",IF(N763=0,"전부 제외","사용"))</f>
        <v/>
      </c>
      <c r="U763" s="18" t="inlineStr"/>
    </row>
    <row r="764" ht="30" customHeight="1">
      <c r="A764" s="18" t="n">
        <v>760</v>
      </c>
      <c r="B764" s="18" t="inlineStr">
        <is>
          <t>이븐곰</t>
        </is>
      </c>
      <c r="C764" s="18" t="inlineStr">
        <is>
          <t>bewear</t>
        </is>
      </c>
      <c r="D764" s="18" t="inlineStr">
        <is>
          <t>Bewear</t>
        </is>
      </c>
      <c r="E764" s="18" t="n">
        <v>7</v>
      </c>
      <c r="F764" s="18" t="inlineStr">
        <is>
          <t>generation7</t>
        </is>
      </c>
      <c r="G764" s="18" t="inlineStr">
        <is>
          <t>normal</t>
        </is>
      </c>
      <c r="H764" s="18" t="inlineStr">
        <is>
          <t>fighting</t>
        </is>
      </c>
      <c r="I764" s="18" t="inlineStr">
        <is>
          <t>예</t>
        </is>
      </c>
      <c r="J764" s="18" t="inlineStr">
        <is>
          <t>예</t>
        </is>
      </c>
      <c r="K764" s="18" t="inlineStr">
        <is>
          <t>예</t>
        </is>
      </c>
      <c r="L764" s="18" t="inlineStr">
        <is>
          <t>Cobblemon 동일</t>
        </is>
      </c>
      <c r="M764" s="18">
        <f>COUNTIF('스폰_편집'!$D$5:$D$3125,A764)</f>
        <v/>
      </c>
      <c r="N764" s="18">
        <f>COUNTIFS('스폰_편집'!$D$5:$D$3125,A764,'스폰_편집'!$B$5:$B$3125,"사용")</f>
        <v/>
      </c>
      <c r="O764" s="18" t="n">
        <v>1</v>
      </c>
      <c r="P764" s="18" t="inlineStr">
        <is>
          <t>#cobblemon:is_bamboo</t>
        </is>
      </c>
      <c r="Q764" s="18" t="inlineStr">
        <is>
          <t>common</t>
        </is>
      </c>
      <c r="R764" s="18" t="inlineStr"/>
      <c r="S764" s="18" t="inlineStr">
        <is>
          <t>cobbleventure:generation_7</t>
        </is>
      </c>
      <c r="T764" s="18">
        <f>IF(M764=0,"없음",IF(N764=0,"전부 제외","사용"))</f>
        <v/>
      </c>
      <c r="U764" s="18" t="inlineStr"/>
    </row>
    <row r="765" ht="30" customHeight="1">
      <c r="A765" s="18" t="n">
        <v>761</v>
      </c>
      <c r="B765" s="18" t="inlineStr">
        <is>
          <t>달콤아</t>
        </is>
      </c>
      <c r="C765" s="18" t="inlineStr">
        <is>
          <t>bounsweet</t>
        </is>
      </c>
      <c r="D765" s="18" t="inlineStr">
        <is>
          <t>Bounsweet</t>
        </is>
      </c>
      <c r="E765" s="18" t="n">
        <v>7</v>
      </c>
      <c r="F765" s="18" t="inlineStr">
        <is>
          <t>generation7</t>
        </is>
      </c>
      <c r="G765" s="18" t="inlineStr">
        <is>
          <t>grass</t>
        </is>
      </c>
      <c r="H765" s="18" t="inlineStr"/>
      <c r="I765" s="18" t="inlineStr">
        <is>
          <t>예</t>
        </is>
      </c>
      <c r="J765" s="18" t="inlineStr">
        <is>
          <t>예</t>
        </is>
      </c>
      <c r="K765" s="18" t="inlineStr">
        <is>
          <t>예</t>
        </is>
      </c>
      <c r="L765" s="18" t="inlineStr">
        <is>
          <t>Cobblemon 동일</t>
        </is>
      </c>
      <c r="M765" s="18">
        <f>COUNTIF('스폰_편집'!$D$5:$D$3125,A765)</f>
        <v/>
      </c>
      <c r="N765" s="18">
        <f>COUNTIFS('스폰_편집'!$D$5:$D$3125,A765,'스폰_편집'!$B$5:$B$3125,"사용")</f>
        <v/>
      </c>
      <c r="O765" s="18" t="n">
        <v>2</v>
      </c>
      <c r="P765" s="18" t="inlineStr">
        <is>
          <t>#cobblemon:is_jungle; #cobblemon:is_tropical_island</t>
        </is>
      </c>
      <c r="Q765" s="18" t="inlineStr">
        <is>
          <t>common</t>
        </is>
      </c>
      <c r="R765" s="18" t="inlineStr"/>
      <c r="S765" s="18" t="inlineStr">
        <is>
          <t>cobbleventure:generation_7</t>
        </is>
      </c>
      <c r="T765" s="18">
        <f>IF(M765=0,"없음",IF(N765=0,"전부 제외","사용"))</f>
        <v/>
      </c>
      <c r="U765" s="18" t="inlineStr"/>
    </row>
    <row r="766" ht="30" customHeight="1">
      <c r="A766" s="18" t="n">
        <v>762</v>
      </c>
      <c r="B766" s="18" t="inlineStr">
        <is>
          <t>달무리나</t>
        </is>
      </c>
      <c r="C766" s="18" t="inlineStr">
        <is>
          <t>steenee</t>
        </is>
      </c>
      <c r="D766" s="18" t="inlineStr">
        <is>
          <t>Steenee</t>
        </is>
      </c>
      <c r="E766" s="18" t="n">
        <v>7</v>
      </c>
      <c r="F766" s="18" t="inlineStr">
        <is>
          <t>generation7</t>
        </is>
      </c>
      <c r="G766" s="18" t="inlineStr">
        <is>
          <t>grass</t>
        </is>
      </c>
      <c r="H766" s="18" t="inlineStr"/>
      <c r="I766" s="18" t="inlineStr">
        <is>
          <t>예</t>
        </is>
      </c>
      <c r="J766" s="18" t="inlineStr">
        <is>
          <t>예</t>
        </is>
      </c>
      <c r="K766" s="18" t="inlineStr">
        <is>
          <t>예</t>
        </is>
      </c>
      <c r="L766" s="18" t="inlineStr">
        <is>
          <t>Cobblemon 동일</t>
        </is>
      </c>
      <c r="M766" s="18">
        <f>COUNTIF('스폰_편집'!$D$5:$D$3125,A766)</f>
        <v/>
      </c>
      <c r="N766" s="18">
        <f>COUNTIFS('스폰_편집'!$D$5:$D$3125,A766,'스폰_편집'!$B$5:$B$3125,"사용")</f>
        <v/>
      </c>
      <c r="O766" s="18" t="n">
        <v>2</v>
      </c>
      <c r="P766" s="18" t="inlineStr">
        <is>
          <t>#cobblemon:is_jungle; #cobblemon:is_tropical_island</t>
        </is>
      </c>
      <c r="Q766" s="18" t="inlineStr">
        <is>
          <t>common</t>
        </is>
      </c>
      <c r="R766" s="18" t="inlineStr"/>
      <c r="S766" s="18" t="inlineStr">
        <is>
          <t>cobbleventure:generation_7</t>
        </is>
      </c>
      <c r="T766" s="18">
        <f>IF(M766=0,"없음",IF(N766=0,"전부 제외","사용"))</f>
        <v/>
      </c>
      <c r="U766" s="18" t="inlineStr"/>
    </row>
    <row r="767" ht="30" customHeight="1">
      <c r="A767" s="18" t="n">
        <v>763</v>
      </c>
      <c r="B767" s="18" t="inlineStr">
        <is>
          <t>달코퀸</t>
        </is>
      </c>
      <c r="C767" s="18" t="inlineStr">
        <is>
          <t>tsareena</t>
        </is>
      </c>
      <c r="D767" s="18" t="inlineStr">
        <is>
          <t>Tsareena</t>
        </is>
      </c>
      <c r="E767" s="18" t="n">
        <v>7</v>
      </c>
      <c r="F767" s="18" t="inlineStr">
        <is>
          <t>generation7</t>
        </is>
      </c>
      <c r="G767" s="18" t="inlineStr">
        <is>
          <t>grass</t>
        </is>
      </c>
      <c r="H767" s="18" t="inlineStr"/>
      <c r="I767" s="18" t="inlineStr">
        <is>
          <t>예</t>
        </is>
      </c>
      <c r="J767" s="18" t="inlineStr">
        <is>
          <t>예</t>
        </is>
      </c>
      <c r="K767" s="18" t="inlineStr">
        <is>
          <t>예</t>
        </is>
      </c>
      <c r="L767" s="18" t="inlineStr">
        <is>
          <t>Cobblemon 동일</t>
        </is>
      </c>
      <c r="M767" s="18">
        <f>COUNTIF('스폰_편집'!$D$5:$D$3125,A767)</f>
        <v/>
      </c>
      <c r="N767" s="18">
        <f>COUNTIFS('스폰_편집'!$D$5:$D$3125,A767,'스폰_편집'!$B$5:$B$3125,"사용")</f>
        <v/>
      </c>
      <c r="O767" s="18" t="n">
        <v>2</v>
      </c>
      <c r="P767" s="18" t="inlineStr">
        <is>
          <t>#cobblemon:is_jungle; #cobblemon:is_tropical_island</t>
        </is>
      </c>
      <c r="Q767" s="18" t="inlineStr">
        <is>
          <t>common</t>
        </is>
      </c>
      <c r="R767" s="18" t="inlineStr"/>
      <c r="S767" s="18" t="inlineStr">
        <is>
          <t>cobbleventure:generation_7</t>
        </is>
      </c>
      <c r="T767" s="18">
        <f>IF(M767=0,"없음",IF(N767=0,"전부 제외","사용"))</f>
        <v/>
      </c>
      <c r="U767" s="18" t="inlineStr"/>
    </row>
    <row r="768" ht="30" customHeight="1">
      <c r="A768" s="18" t="n">
        <v>764</v>
      </c>
      <c r="B768" s="18" t="inlineStr">
        <is>
          <t>큐아링</t>
        </is>
      </c>
      <c r="C768" s="18" t="inlineStr">
        <is>
          <t>comfey</t>
        </is>
      </c>
      <c r="D768" s="18" t="inlineStr">
        <is>
          <t>Comfey</t>
        </is>
      </c>
      <c r="E768" s="18" t="n">
        <v>7</v>
      </c>
      <c r="F768" s="18" t="inlineStr">
        <is>
          <t>generation7</t>
        </is>
      </c>
      <c r="G768" s="18" t="inlineStr">
        <is>
          <t>fairy</t>
        </is>
      </c>
      <c r="H768" s="18" t="inlineStr"/>
      <c r="I768" s="18" t="inlineStr">
        <is>
          <t>예</t>
        </is>
      </c>
      <c r="J768" s="18" t="inlineStr">
        <is>
          <t>예</t>
        </is>
      </c>
      <c r="K768" s="18" t="inlineStr">
        <is>
          <t>예</t>
        </is>
      </c>
      <c r="L768" s="18" t="inlineStr">
        <is>
          <t>Cobblemon 동일</t>
        </is>
      </c>
      <c r="M768" s="18">
        <f>COUNTIF('스폰_편집'!$D$5:$D$3125,A768)</f>
        <v/>
      </c>
      <c r="N768" s="18">
        <f>COUNTIFS('스폰_편집'!$D$5:$D$3125,A768,'스폰_편집'!$B$5:$B$3125,"사용")</f>
        <v/>
      </c>
      <c r="O768" s="18" t="n">
        <v>5</v>
      </c>
      <c r="P768" s="18" t="inlineStr">
        <is>
          <t>#aether:is_aether; #cobblemon:is_floral; #cobblemon:is_overworld; #cobblemon:is_tropical_island; the_bumblezone:floral_meadow</t>
        </is>
      </c>
      <c r="Q768" s="18" t="inlineStr">
        <is>
          <t>rare; uncommon</t>
        </is>
      </c>
      <c r="R768" s="18" t="inlineStr">
        <is>
          <t>region_01; region_02</t>
        </is>
      </c>
      <c r="S768" s="18" t="inlineStr">
        <is>
          <t>cobbleventure:generation_7</t>
        </is>
      </c>
      <c r="T768" s="18">
        <f>IF(M768=0,"없음",IF(N768=0,"전부 제외","사용"))</f>
        <v/>
      </c>
      <c r="U768" s="18" t="inlineStr"/>
    </row>
    <row r="769" ht="30" customHeight="1">
      <c r="A769" s="18" t="n">
        <v>765</v>
      </c>
      <c r="B769" s="18" t="inlineStr">
        <is>
          <t>하랑우탄</t>
        </is>
      </c>
      <c r="C769" s="18" t="inlineStr">
        <is>
          <t>oranguru</t>
        </is>
      </c>
      <c r="D769" s="18" t="inlineStr">
        <is>
          <t>Oranguru</t>
        </is>
      </c>
      <c r="E769" s="18" t="n">
        <v>7</v>
      </c>
      <c r="F769" s="18" t="inlineStr">
        <is>
          <t>generation7</t>
        </is>
      </c>
      <c r="G769" s="18" t="inlineStr">
        <is>
          <t>normal</t>
        </is>
      </c>
      <c r="H769" s="18" t="inlineStr">
        <is>
          <t>psychic</t>
        </is>
      </c>
      <c r="I769" s="18" t="inlineStr">
        <is>
          <t>아니오</t>
        </is>
      </c>
      <c r="J769" s="18" t="inlineStr">
        <is>
          <t>아니오</t>
        </is>
      </c>
      <c r="K769" s="18" t="inlineStr">
        <is>
          <t>예</t>
        </is>
      </c>
      <c r="L769" s="18" t="inlineStr">
        <is>
          <t>COBBLEVERSE 추가</t>
        </is>
      </c>
      <c r="M769" s="18">
        <f>COUNTIF('스폰_편집'!$D$5:$D$3125,A769)</f>
        <v/>
      </c>
      <c r="N769" s="18">
        <f>COUNTIFS('스폰_편집'!$D$5:$D$3125,A769,'스폰_편집'!$B$5:$B$3125,"사용")</f>
        <v/>
      </c>
      <c r="O769" s="18" t="n">
        <v>1</v>
      </c>
      <c r="P769" s="18" t="inlineStr">
        <is>
          <t>#cobblemon:is_jungle</t>
        </is>
      </c>
      <c r="Q769" s="18" t="inlineStr">
        <is>
          <t>rare</t>
        </is>
      </c>
      <c r="R769" s="18" t="inlineStr"/>
      <c r="S769" s="18" t="inlineStr">
        <is>
          <t>cobbleventure:generation_7</t>
        </is>
      </c>
      <c r="T769" s="18">
        <f>IF(M769=0,"없음",IF(N769=0,"전부 제외","사용"))</f>
        <v/>
      </c>
      <c r="U769" s="18" t="inlineStr"/>
    </row>
    <row r="770" ht="30" customHeight="1">
      <c r="A770" s="18" t="n">
        <v>766</v>
      </c>
      <c r="B770" s="18" t="inlineStr">
        <is>
          <t>내던숭이</t>
        </is>
      </c>
      <c r="C770" s="18" t="inlineStr">
        <is>
          <t>passimian</t>
        </is>
      </c>
      <c r="D770" s="18" t="inlineStr">
        <is>
          <t>Passimian</t>
        </is>
      </c>
      <c r="E770" s="18" t="n">
        <v>7</v>
      </c>
      <c r="F770" s="18" t="inlineStr">
        <is>
          <t>generation7</t>
        </is>
      </c>
      <c r="G770" s="18" t="inlineStr">
        <is>
          <t>fighting</t>
        </is>
      </c>
      <c r="H770" s="18" t="inlineStr"/>
      <c r="I770" s="18" t="inlineStr">
        <is>
          <t>아니오</t>
        </is>
      </c>
      <c r="J770" s="18" t="inlineStr">
        <is>
          <t>아니오</t>
        </is>
      </c>
      <c r="K770" s="18" t="inlineStr">
        <is>
          <t>예</t>
        </is>
      </c>
      <c r="L770" s="18" t="inlineStr">
        <is>
          <t>COBBLEVERSE 추가</t>
        </is>
      </c>
      <c r="M770" s="18">
        <f>COUNTIF('스폰_편집'!$D$5:$D$3125,A770)</f>
        <v/>
      </c>
      <c r="N770" s="18">
        <f>COUNTIFS('스폰_편집'!$D$5:$D$3125,A770,'스폰_편집'!$B$5:$B$3125,"사용")</f>
        <v/>
      </c>
      <c r="O770" s="18" t="n">
        <v>1</v>
      </c>
      <c r="P770" s="18" t="inlineStr">
        <is>
          <t>#cobblemon:is_jungle</t>
        </is>
      </c>
      <c r="Q770" s="18" t="inlineStr">
        <is>
          <t>rare</t>
        </is>
      </c>
      <c r="R770" s="18" t="inlineStr"/>
      <c r="S770" s="18" t="inlineStr">
        <is>
          <t>cobbleventure:generation_7</t>
        </is>
      </c>
      <c r="T770" s="18">
        <f>IF(M770=0,"없음",IF(N770=0,"전부 제외","사용"))</f>
        <v/>
      </c>
      <c r="U770" s="18" t="inlineStr"/>
    </row>
    <row r="771" ht="30" customHeight="1">
      <c r="A771" s="18" t="n">
        <v>767</v>
      </c>
      <c r="B771" s="18" t="inlineStr">
        <is>
          <t>꼬시레</t>
        </is>
      </c>
      <c r="C771" s="18" t="inlineStr">
        <is>
          <t>wimpod</t>
        </is>
      </c>
      <c r="D771" s="18" t="inlineStr">
        <is>
          <t>Wimpod</t>
        </is>
      </c>
      <c r="E771" s="18" t="n">
        <v>7</v>
      </c>
      <c r="F771" s="18" t="inlineStr">
        <is>
          <t>generation7</t>
        </is>
      </c>
      <c r="G771" s="18" t="inlineStr">
        <is>
          <t>bug</t>
        </is>
      </c>
      <c r="H771" s="18" t="inlineStr">
        <is>
          <t>water</t>
        </is>
      </c>
      <c r="I771" s="18" t="inlineStr">
        <is>
          <t>예</t>
        </is>
      </c>
      <c r="J771" s="18" t="inlineStr">
        <is>
          <t>예</t>
        </is>
      </c>
      <c r="K771" s="18" t="inlineStr">
        <is>
          <t>예</t>
        </is>
      </c>
      <c r="L771" s="18" t="inlineStr">
        <is>
          <t>Cobblemon 동일</t>
        </is>
      </c>
      <c r="M771" s="18">
        <f>COUNTIF('스폰_편집'!$D$5:$D$3125,A771)</f>
        <v/>
      </c>
      <c r="N771" s="18">
        <f>COUNTIFS('스폰_편집'!$D$5:$D$3125,A771,'스폰_편집'!$B$5:$B$3125,"사용")</f>
        <v/>
      </c>
      <c r="O771" s="18" t="n">
        <v>3</v>
      </c>
      <c r="P771" s="18" t="inlineStr">
        <is>
          <t>#cobblemon:is_coast; #cobblemon:is_overworld; #cobblemon:is_tropical_island</t>
        </is>
      </c>
      <c r="Q771" s="18" t="inlineStr">
        <is>
          <t>common; uncommon</t>
        </is>
      </c>
      <c r="R771" s="18" t="inlineStr">
        <is>
          <t>region_01; region_02</t>
        </is>
      </c>
      <c r="S771" s="18" t="inlineStr">
        <is>
          <t>cobbleventure:generation_7</t>
        </is>
      </c>
      <c r="T771" s="18">
        <f>IF(M771=0,"없음",IF(N771=0,"전부 제외","사용"))</f>
        <v/>
      </c>
      <c r="U771" s="18" t="inlineStr"/>
    </row>
    <row r="772" ht="30" customHeight="1">
      <c r="A772" s="18" t="n">
        <v>768</v>
      </c>
      <c r="B772" s="18" t="inlineStr">
        <is>
          <t>갑주무사</t>
        </is>
      </c>
      <c r="C772" s="18" t="inlineStr">
        <is>
          <t>golisopod</t>
        </is>
      </c>
      <c r="D772" s="18" t="inlineStr">
        <is>
          <t>Golisopod</t>
        </is>
      </c>
      <c r="E772" s="18" t="n">
        <v>7</v>
      </c>
      <c r="F772" s="18" t="inlineStr">
        <is>
          <t>generation7</t>
        </is>
      </c>
      <c r="G772" s="18" t="inlineStr">
        <is>
          <t>bug</t>
        </is>
      </c>
      <c r="H772" s="18" t="inlineStr">
        <is>
          <t>water</t>
        </is>
      </c>
      <c r="I772" s="18" t="inlineStr">
        <is>
          <t>예</t>
        </is>
      </c>
      <c r="J772" s="18" t="inlineStr">
        <is>
          <t>예</t>
        </is>
      </c>
      <c r="K772" s="18" t="inlineStr">
        <is>
          <t>예</t>
        </is>
      </c>
      <c r="L772" s="18" t="inlineStr">
        <is>
          <t>Cobblemon 동일</t>
        </is>
      </c>
      <c r="M772" s="18">
        <f>COUNTIF('스폰_편집'!$D$5:$D$3125,A772)</f>
        <v/>
      </c>
      <c r="N772" s="18">
        <f>COUNTIFS('스폰_편집'!$D$5:$D$3125,A772,'스폰_편집'!$B$5:$B$3125,"사용")</f>
        <v/>
      </c>
      <c r="O772" s="18" t="n">
        <v>3</v>
      </c>
      <c r="P772" s="18" t="inlineStr">
        <is>
          <t>#cobblemon:is_coast; #cobblemon:is_overworld; #cobblemon:is_tropical_island</t>
        </is>
      </c>
      <c r="Q772" s="18" t="inlineStr">
        <is>
          <t>common; uncommon</t>
        </is>
      </c>
      <c r="R772" s="18" t="inlineStr">
        <is>
          <t>region_01; region_02</t>
        </is>
      </c>
      <c r="S772" s="18" t="inlineStr">
        <is>
          <t>cobbleventure:generation_7</t>
        </is>
      </c>
      <c r="T772" s="18">
        <f>IF(M772=0,"없음",IF(N772=0,"전부 제외","사용"))</f>
        <v/>
      </c>
      <c r="U772" s="18" t="inlineStr"/>
    </row>
    <row r="773" ht="30" customHeight="1">
      <c r="A773" s="18" t="n">
        <v>769</v>
      </c>
      <c r="B773" s="18" t="inlineStr">
        <is>
          <t>모래꿍</t>
        </is>
      </c>
      <c r="C773" s="18" t="inlineStr">
        <is>
          <t>sandygast</t>
        </is>
      </c>
      <c r="D773" s="18" t="inlineStr">
        <is>
          <t>Sandygast</t>
        </is>
      </c>
      <c r="E773" s="18" t="n">
        <v>7</v>
      </c>
      <c r="F773" s="18" t="inlineStr">
        <is>
          <t>generation7</t>
        </is>
      </c>
      <c r="G773" s="18" t="inlineStr">
        <is>
          <t>ghost</t>
        </is>
      </c>
      <c r="H773" s="18" t="inlineStr">
        <is>
          <t>ground</t>
        </is>
      </c>
      <c r="I773" s="18" t="inlineStr">
        <is>
          <t>예</t>
        </is>
      </c>
      <c r="J773" s="18" t="inlineStr">
        <is>
          <t>예</t>
        </is>
      </c>
      <c r="K773" s="18" t="inlineStr">
        <is>
          <t>예</t>
        </is>
      </c>
      <c r="L773" s="18" t="inlineStr">
        <is>
          <t>COBBLEVERSE 수정</t>
        </is>
      </c>
      <c r="M773" s="18">
        <f>COUNTIF('스폰_편집'!$D$5:$D$3125,A773)</f>
        <v/>
      </c>
      <c r="N773" s="18">
        <f>COUNTIFS('스폰_편집'!$D$5:$D$3125,A773,'스폰_편집'!$B$5:$B$3125,"사용")</f>
        <v/>
      </c>
      <c r="O773" s="18" t="n">
        <v>1</v>
      </c>
      <c r="P773" s="18" t="inlineStr">
        <is>
          <t>#cobblemon:is_beach</t>
        </is>
      </c>
      <c r="Q773" s="18" t="inlineStr">
        <is>
          <t>common</t>
        </is>
      </c>
      <c r="R773" s="18" t="inlineStr"/>
      <c r="S773" s="18" t="inlineStr">
        <is>
          <t>cobbleventure:generation_7</t>
        </is>
      </c>
      <c r="T773" s="18">
        <f>IF(M773=0,"없음",IF(N773=0,"전부 제외","사용"))</f>
        <v/>
      </c>
      <c r="U773" s="18" t="inlineStr"/>
    </row>
    <row r="774" ht="30" customHeight="1">
      <c r="A774" s="18" t="n">
        <v>770</v>
      </c>
      <c r="B774" s="18" t="inlineStr">
        <is>
          <t>모래성이당</t>
        </is>
      </c>
      <c r="C774" s="18" t="inlineStr">
        <is>
          <t>palossand</t>
        </is>
      </c>
      <c r="D774" s="18" t="inlineStr">
        <is>
          <t>Palossand</t>
        </is>
      </c>
      <c r="E774" s="18" t="n">
        <v>7</v>
      </c>
      <c r="F774" s="18" t="inlineStr">
        <is>
          <t>generation7</t>
        </is>
      </c>
      <c r="G774" s="18" t="inlineStr">
        <is>
          <t>ghost</t>
        </is>
      </c>
      <c r="H774" s="18" t="inlineStr">
        <is>
          <t>ground</t>
        </is>
      </c>
      <c r="I774" s="18" t="inlineStr">
        <is>
          <t>예</t>
        </is>
      </c>
      <c r="J774" s="18" t="inlineStr">
        <is>
          <t>예</t>
        </is>
      </c>
      <c r="K774" s="18" t="inlineStr">
        <is>
          <t>예</t>
        </is>
      </c>
      <c r="L774" s="18" t="inlineStr">
        <is>
          <t>COBBLEVERSE 수정</t>
        </is>
      </c>
      <c r="M774" s="18">
        <f>COUNTIF('스폰_편집'!$D$5:$D$3125,A774)</f>
        <v/>
      </c>
      <c r="N774" s="18">
        <f>COUNTIFS('스폰_편집'!$D$5:$D$3125,A774,'스폰_편집'!$B$5:$B$3125,"사용")</f>
        <v/>
      </c>
      <c r="O774" s="18" t="n">
        <v>1</v>
      </c>
      <c r="P774" s="18" t="inlineStr">
        <is>
          <t>#cobblemon:is_beach</t>
        </is>
      </c>
      <c r="Q774" s="18" t="inlineStr">
        <is>
          <t>common</t>
        </is>
      </c>
      <c r="R774" s="18" t="inlineStr"/>
      <c r="S774" s="18" t="inlineStr">
        <is>
          <t>cobbleventure:generation_7</t>
        </is>
      </c>
      <c r="T774" s="18">
        <f>IF(M774=0,"없음",IF(N774=0,"전부 제외","사용"))</f>
        <v/>
      </c>
      <c r="U774" s="18" t="inlineStr"/>
    </row>
    <row r="775" ht="30" customHeight="1">
      <c r="A775" s="18" t="n">
        <v>771</v>
      </c>
      <c r="B775" s="18" t="inlineStr">
        <is>
          <t>해무기</t>
        </is>
      </c>
      <c r="C775" s="18" t="inlineStr">
        <is>
          <t>pyukumuku</t>
        </is>
      </c>
      <c r="D775" s="18" t="inlineStr">
        <is>
          <t>Pyukumuku</t>
        </is>
      </c>
      <c r="E775" s="18" t="n">
        <v>7</v>
      </c>
      <c r="F775" s="18" t="inlineStr">
        <is>
          <t>generation7</t>
        </is>
      </c>
      <c r="G775" s="18" t="inlineStr">
        <is>
          <t>water</t>
        </is>
      </c>
      <c r="H775" s="18" t="inlineStr"/>
      <c r="I775" s="18" t="inlineStr">
        <is>
          <t>예</t>
        </is>
      </c>
      <c r="J775" s="18" t="inlineStr">
        <is>
          <t>예</t>
        </is>
      </c>
      <c r="K775" s="18" t="inlineStr">
        <is>
          <t>예</t>
        </is>
      </c>
      <c r="L775" s="18" t="inlineStr">
        <is>
          <t>Cobblemon 동일</t>
        </is>
      </c>
      <c r="M775" s="18">
        <f>COUNTIF('스폰_편집'!$D$5:$D$3125,A775)</f>
        <v/>
      </c>
      <c r="N775" s="18">
        <f>COUNTIFS('스폰_편집'!$D$5:$D$3125,A775,'스폰_편집'!$B$5:$B$3125,"사용")</f>
        <v/>
      </c>
      <c r="O775" s="18" t="n">
        <v>3</v>
      </c>
      <c r="P775" s="18" t="inlineStr">
        <is>
          <t>#cobblemon:is_beach; #cobblemon:is_ocean; #cobblemon:is_warm_ocean</t>
        </is>
      </c>
      <c r="Q775" s="18" t="inlineStr">
        <is>
          <t>common; uncommon</t>
        </is>
      </c>
      <c r="R775" s="18" t="inlineStr"/>
      <c r="S775" s="18" t="inlineStr">
        <is>
          <t>cobbleventure:generation_7</t>
        </is>
      </c>
      <c r="T775" s="18">
        <f>IF(M775=0,"없음",IF(N775=0,"전부 제외","사용"))</f>
        <v/>
      </c>
      <c r="U775" s="18" t="inlineStr"/>
    </row>
    <row r="776" ht="30" customHeight="1">
      <c r="A776" s="18" t="n">
        <v>772</v>
      </c>
      <c r="B776" s="18" t="inlineStr">
        <is>
          <t>타입:널</t>
        </is>
      </c>
      <c r="C776" s="18" t="inlineStr">
        <is>
          <t>typenull</t>
        </is>
      </c>
      <c r="D776" s="18" t="inlineStr">
        <is>
          <t>Type: Null</t>
        </is>
      </c>
      <c r="E776" s="18" t="n">
        <v>7</v>
      </c>
      <c r="F776" s="18" t="inlineStr">
        <is>
          <t>generation7</t>
        </is>
      </c>
      <c r="G776" s="18" t="inlineStr">
        <is>
          <t>normal</t>
        </is>
      </c>
      <c r="H776" s="18" t="inlineStr"/>
      <c r="I776" s="18" t="inlineStr">
        <is>
          <t>아니오</t>
        </is>
      </c>
      <c r="J776" s="18" t="inlineStr">
        <is>
          <t>아니오</t>
        </is>
      </c>
      <c r="K776" s="18" t="inlineStr">
        <is>
          <t>아니오</t>
        </is>
      </c>
      <c r="L776" s="18" t="inlineStr">
        <is>
          <t>자연스폰 없음</t>
        </is>
      </c>
      <c r="M776" s="18">
        <f>COUNTIF('스폰_편집'!$D$5:$D$3125,A776)</f>
        <v/>
      </c>
      <c r="N776" s="18">
        <f>COUNTIFS('스폰_편집'!$D$5:$D$3125,A776,'스폰_편집'!$B$5:$B$3125,"사용")</f>
        <v/>
      </c>
      <c r="O776" s="18" t="n">
        <v>0</v>
      </c>
      <c r="P776" s="18" t="inlineStr"/>
      <c r="Q776" s="18" t="inlineStr"/>
      <c r="R776" s="18" t="inlineStr"/>
      <c r="S776" s="18" t="inlineStr">
        <is>
          <t>cobbleventure:generation_7</t>
        </is>
      </c>
      <c r="T776" s="18">
        <f>IF(M776=0,"없음",IF(N776=0,"전부 제외","사용"))</f>
        <v/>
      </c>
      <c r="U776" s="18" t="inlineStr">
        <is>
          <t>자연 스폰 JSON 없음: 진화·복원·기타 획득 방식 확인 필요</t>
        </is>
      </c>
    </row>
    <row r="777" ht="30" customHeight="1">
      <c r="A777" s="18" t="n">
        <v>773</v>
      </c>
      <c r="B777" s="18" t="inlineStr">
        <is>
          <t>실버디</t>
        </is>
      </c>
      <c r="C777" s="18" t="inlineStr">
        <is>
          <t>silvally</t>
        </is>
      </c>
      <c r="D777" s="18" t="inlineStr">
        <is>
          <t>Silvally</t>
        </is>
      </c>
      <c r="E777" s="18" t="n">
        <v>7</v>
      </c>
      <c r="F777" s="18" t="inlineStr">
        <is>
          <t>generation7</t>
        </is>
      </c>
      <c r="G777" s="18" t="inlineStr">
        <is>
          <t>normal</t>
        </is>
      </c>
      <c r="H777" s="18" t="inlineStr"/>
      <c r="I777" s="18" t="inlineStr">
        <is>
          <t>아니오</t>
        </is>
      </c>
      <c r="J777" s="18" t="inlineStr">
        <is>
          <t>아니오</t>
        </is>
      </c>
      <c r="K777" s="18" t="inlineStr">
        <is>
          <t>아니오</t>
        </is>
      </c>
      <c r="L777" s="18" t="inlineStr">
        <is>
          <t>자연스폰 없음</t>
        </is>
      </c>
      <c r="M777" s="18">
        <f>COUNTIF('스폰_편집'!$D$5:$D$3125,A777)</f>
        <v/>
      </c>
      <c r="N777" s="18">
        <f>COUNTIFS('스폰_편집'!$D$5:$D$3125,A777,'스폰_편집'!$B$5:$B$3125,"사용")</f>
        <v/>
      </c>
      <c r="O777" s="18" t="n">
        <v>0</v>
      </c>
      <c r="P777" s="18" t="inlineStr"/>
      <c r="Q777" s="18" t="inlineStr"/>
      <c r="R777" s="18" t="inlineStr"/>
      <c r="S777" s="18" t="inlineStr">
        <is>
          <t>cobbleventure:generation_7</t>
        </is>
      </c>
      <c r="T777" s="18">
        <f>IF(M777=0,"없음",IF(N777=0,"전부 제외","사용"))</f>
        <v/>
      </c>
      <c r="U777" s="18" t="inlineStr">
        <is>
          <t>자연 스폰 JSON 없음: 진화·복원·기타 획득 방식 확인 필요</t>
        </is>
      </c>
    </row>
    <row r="778" ht="30" customHeight="1">
      <c r="A778" s="18" t="n">
        <v>774</v>
      </c>
      <c r="B778" s="18" t="inlineStr">
        <is>
          <t>메테노</t>
        </is>
      </c>
      <c r="C778" s="18" t="inlineStr">
        <is>
          <t>minior</t>
        </is>
      </c>
      <c r="D778" s="18" t="inlineStr">
        <is>
          <t>Minior</t>
        </is>
      </c>
      <c r="E778" s="18" t="n">
        <v>7</v>
      </c>
      <c r="F778" s="18" t="inlineStr">
        <is>
          <t>generation7</t>
        </is>
      </c>
      <c r="G778" s="18" t="inlineStr">
        <is>
          <t>rock</t>
        </is>
      </c>
      <c r="H778" s="18" t="inlineStr">
        <is>
          <t>flying</t>
        </is>
      </c>
      <c r="I778" s="18" t="inlineStr">
        <is>
          <t>아니오</t>
        </is>
      </c>
      <c r="J778" s="18" t="inlineStr">
        <is>
          <t>아니오</t>
        </is>
      </c>
      <c r="K778" s="18" t="inlineStr">
        <is>
          <t>예</t>
        </is>
      </c>
      <c r="L778" s="18" t="inlineStr">
        <is>
          <t>COBBLEVERSE 추가</t>
        </is>
      </c>
      <c r="M778" s="18">
        <f>COUNTIF('스폰_편집'!$D$5:$D$3125,A778)</f>
        <v/>
      </c>
      <c r="N778" s="18">
        <f>COUNTIFS('스폰_편집'!$D$5:$D$3125,A778,'스폰_편집'!$B$5:$B$3125,"사용")</f>
        <v/>
      </c>
      <c r="O778" s="18" t="n">
        <v>8</v>
      </c>
      <c r="P778" s="18" t="inlineStr">
        <is>
          <t>#cobblemon:is_cold; #cobblemon:is_freshwater; #cobblemon:is_hills; #cobblemon:is_jungle; #cobblemon:is_mountain; #cobblemon:is_overworld; #cobblemon:is_plains; #cobblemon:is_savanna</t>
        </is>
      </c>
      <c r="Q778" s="18" t="inlineStr">
        <is>
          <t>rare; uncommon</t>
        </is>
      </c>
      <c r="R778" s="18" t="inlineStr">
        <is>
          <t>region_01; region_02</t>
        </is>
      </c>
      <c r="S778" s="18" t="inlineStr">
        <is>
          <t>cobbleventure:generation_7</t>
        </is>
      </c>
      <c r="T778" s="18">
        <f>IF(M778=0,"없음",IF(N778=0,"전부 제외","사용"))</f>
        <v/>
      </c>
      <c r="U778" s="18" t="inlineStr"/>
    </row>
    <row r="779" ht="30" customHeight="1">
      <c r="A779" s="18" t="n">
        <v>775</v>
      </c>
      <c r="B779" s="18" t="inlineStr">
        <is>
          <t>자말라</t>
        </is>
      </c>
      <c r="C779" s="18" t="inlineStr">
        <is>
          <t>komala</t>
        </is>
      </c>
      <c r="D779" s="18" t="inlineStr">
        <is>
          <t>Komala</t>
        </is>
      </c>
      <c r="E779" s="18" t="n">
        <v>7</v>
      </c>
      <c r="F779" s="18" t="inlineStr">
        <is>
          <t>generation7</t>
        </is>
      </c>
      <c r="G779" s="18" t="inlineStr">
        <is>
          <t>normal</t>
        </is>
      </c>
      <c r="H779" s="18" t="inlineStr"/>
      <c r="I779" s="18" t="inlineStr">
        <is>
          <t>예</t>
        </is>
      </c>
      <c r="J779" s="18" t="inlineStr">
        <is>
          <t>예</t>
        </is>
      </c>
      <c r="K779" s="18" t="inlineStr">
        <is>
          <t>예</t>
        </is>
      </c>
      <c r="L779" s="18" t="inlineStr">
        <is>
          <t>Cobblemon 동일</t>
        </is>
      </c>
      <c r="M779" s="18">
        <f>COUNTIF('스폰_편집'!$D$5:$D$3125,A779)</f>
        <v/>
      </c>
      <c r="N779" s="18">
        <f>COUNTIFS('스폰_편집'!$D$5:$D$3125,A779,'스폰_편집'!$B$5:$B$3125,"사용")</f>
        <v/>
      </c>
      <c r="O779" s="18" t="n">
        <v>3</v>
      </c>
      <c r="P779" s="18" t="inlineStr">
        <is>
          <t>#cobblemon:is_savanna; aether:skyroot_forest; aether:skyroot_woodland</t>
        </is>
      </c>
      <c r="Q779" s="18" t="inlineStr">
        <is>
          <t>common</t>
        </is>
      </c>
      <c r="R779" s="18" t="inlineStr"/>
      <c r="S779" s="18" t="inlineStr">
        <is>
          <t>cobbleventure:generation_7</t>
        </is>
      </c>
      <c r="T779" s="18">
        <f>IF(M779=0,"없음",IF(N779=0,"전부 제외","사용"))</f>
        <v/>
      </c>
      <c r="U779" s="18" t="inlineStr"/>
    </row>
    <row r="780" ht="30" customHeight="1">
      <c r="A780" s="18" t="n">
        <v>776</v>
      </c>
      <c r="B780" s="18" t="inlineStr">
        <is>
          <t>폭거북스</t>
        </is>
      </c>
      <c r="C780" s="18" t="inlineStr">
        <is>
          <t>turtonator</t>
        </is>
      </c>
      <c r="D780" s="18" t="inlineStr">
        <is>
          <t>Turtonator</t>
        </is>
      </c>
      <c r="E780" s="18" t="n">
        <v>7</v>
      </c>
      <c r="F780" s="18" t="inlineStr">
        <is>
          <t>generation7</t>
        </is>
      </c>
      <c r="G780" s="18" t="inlineStr">
        <is>
          <t>fire</t>
        </is>
      </c>
      <c r="H780" s="18" t="inlineStr">
        <is>
          <t>dragon</t>
        </is>
      </c>
      <c r="I780" s="18" t="inlineStr">
        <is>
          <t>예</t>
        </is>
      </c>
      <c r="J780" s="18" t="inlineStr">
        <is>
          <t>예</t>
        </is>
      </c>
      <c r="K780" s="18" t="inlineStr">
        <is>
          <t>예</t>
        </is>
      </c>
      <c r="L780" s="18" t="inlineStr">
        <is>
          <t>Cobblemon 동일</t>
        </is>
      </c>
      <c r="M780" s="18">
        <f>COUNTIF('스폰_편집'!$D$5:$D$3125,A780)</f>
        <v/>
      </c>
      <c r="N780" s="18">
        <f>COUNTIFS('스폰_편집'!$D$5:$D$3125,A780,'스폰_편집'!$B$5:$B$3125,"사용")</f>
        <v/>
      </c>
      <c r="O780" s="18" t="n">
        <v>1</v>
      </c>
      <c r="P780" s="18" t="inlineStr">
        <is>
          <t>#cobblemon:nether/is_basalt</t>
        </is>
      </c>
      <c r="Q780" s="18" t="inlineStr">
        <is>
          <t>uncommon</t>
        </is>
      </c>
      <c r="R780" s="18" t="inlineStr"/>
      <c r="S780" s="18" t="inlineStr">
        <is>
          <t>cobbleventure:generation_7</t>
        </is>
      </c>
      <c r="T780" s="18">
        <f>IF(M780=0,"없음",IF(N780=0,"전부 제외","사용"))</f>
        <v/>
      </c>
      <c r="U780" s="18" t="inlineStr"/>
    </row>
    <row r="781" ht="30" customHeight="1">
      <c r="A781" s="18" t="n">
        <v>777</v>
      </c>
      <c r="B781" s="18" t="inlineStr">
        <is>
          <t>토게데마루</t>
        </is>
      </c>
      <c r="C781" s="18" t="inlineStr">
        <is>
          <t>togedemaru</t>
        </is>
      </c>
      <c r="D781" s="18" t="inlineStr">
        <is>
          <t>Togedemaru</t>
        </is>
      </c>
      <c r="E781" s="18" t="n">
        <v>7</v>
      </c>
      <c r="F781" s="18" t="inlineStr">
        <is>
          <t>generation7</t>
        </is>
      </c>
      <c r="G781" s="18" t="inlineStr">
        <is>
          <t>electric</t>
        </is>
      </c>
      <c r="H781" s="18" t="inlineStr">
        <is>
          <t>steel</t>
        </is>
      </c>
      <c r="I781" s="18" t="inlineStr">
        <is>
          <t>예</t>
        </is>
      </c>
      <c r="J781" s="18" t="inlineStr">
        <is>
          <t>예</t>
        </is>
      </c>
      <c r="K781" s="18" t="inlineStr">
        <is>
          <t>예</t>
        </is>
      </c>
      <c r="L781" s="18" t="inlineStr">
        <is>
          <t>Cobblemon 동일</t>
        </is>
      </c>
      <c r="M781" s="18">
        <f>COUNTIF('스폰_편집'!$D$5:$D$3125,A781)</f>
        <v/>
      </c>
      <c r="N781" s="18">
        <f>COUNTIFS('스폰_편집'!$D$5:$D$3125,A781,'스폰_편집'!$B$5:$B$3125,"사용")</f>
        <v/>
      </c>
      <c r="O781" s="18" t="n">
        <v>1</v>
      </c>
      <c r="P781" s="18" t="inlineStr">
        <is>
          <t>#cobblemon:is_hills</t>
        </is>
      </c>
      <c r="Q781" s="18" t="inlineStr">
        <is>
          <t>uncommon</t>
        </is>
      </c>
      <c r="R781" s="18" t="inlineStr"/>
      <c r="S781" s="18" t="inlineStr">
        <is>
          <t>cobbleventure:generation_7</t>
        </is>
      </c>
      <c r="T781" s="18">
        <f>IF(M781=0,"없음",IF(N781=0,"전부 제외","사용"))</f>
        <v/>
      </c>
      <c r="U781" s="18" t="inlineStr"/>
    </row>
    <row r="782" ht="30" customHeight="1">
      <c r="A782" s="18" t="n">
        <v>778</v>
      </c>
      <c r="B782" s="18" t="inlineStr">
        <is>
          <t>따라큐</t>
        </is>
      </c>
      <c r="C782" s="18" t="inlineStr">
        <is>
          <t>mimikyu</t>
        </is>
      </c>
      <c r="D782" s="18" t="inlineStr">
        <is>
          <t>Mimikyu</t>
        </is>
      </c>
      <c r="E782" s="18" t="n">
        <v>7</v>
      </c>
      <c r="F782" s="18" t="inlineStr">
        <is>
          <t>generation7</t>
        </is>
      </c>
      <c r="G782" s="18" t="inlineStr">
        <is>
          <t>ghost</t>
        </is>
      </c>
      <c r="H782" s="18" t="inlineStr">
        <is>
          <t>fairy</t>
        </is>
      </c>
      <c r="I782" s="18" t="inlineStr">
        <is>
          <t>예</t>
        </is>
      </c>
      <c r="J782" s="18" t="inlineStr">
        <is>
          <t>예</t>
        </is>
      </c>
      <c r="K782" s="18" t="inlineStr">
        <is>
          <t>예</t>
        </is>
      </c>
      <c r="L782" s="18" t="inlineStr">
        <is>
          <t>COBBLEVERSE 수정</t>
        </is>
      </c>
      <c r="M782" s="18">
        <f>COUNTIF('스폰_편집'!$D$5:$D$3125,A782)</f>
        <v/>
      </c>
      <c r="N782" s="18">
        <f>COUNTIFS('스폰_편집'!$D$5:$D$3125,A782,'스폰_편집'!$B$5:$B$3125,"사용")</f>
        <v/>
      </c>
      <c r="O782" s="18" t="n">
        <v>2</v>
      </c>
      <c r="P782" s="18" t="inlineStr">
        <is>
          <t>#cobblemon:is_overworld; #cobblemon:is_spooky</t>
        </is>
      </c>
      <c r="Q782" s="18" t="inlineStr">
        <is>
          <t>rare; uncommon</t>
        </is>
      </c>
      <c r="R782" s="18" t="inlineStr">
        <is>
          <t>region_01; region_02</t>
        </is>
      </c>
      <c r="S782" s="18" t="inlineStr">
        <is>
          <t>cobbleventure:generation_7</t>
        </is>
      </c>
      <c r="T782" s="18">
        <f>IF(M782=0,"없음",IF(N782=0,"전부 제외","사용"))</f>
        <v/>
      </c>
      <c r="U782" s="18" t="inlineStr"/>
    </row>
    <row r="783" ht="30" customHeight="1">
      <c r="A783" s="18" t="n">
        <v>779</v>
      </c>
      <c r="B783" s="18" t="inlineStr">
        <is>
          <t>치갈기</t>
        </is>
      </c>
      <c r="C783" s="18" t="inlineStr">
        <is>
          <t>bruxish</t>
        </is>
      </c>
      <c r="D783" s="18" t="inlineStr">
        <is>
          <t>Bruxish</t>
        </is>
      </c>
      <c r="E783" s="18" t="n">
        <v>7</v>
      </c>
      <c r="F783" s="18" t="inlineStr">
        <is>
          <t>generation7</t>
        </is>
      </c>
      <c r="G783" s="18" t="inlineStr">
        <is>
          <t>water</t>
        </is>
      </c>
      <c r="H783" s="18" t="inlineStr">
        <is>
          <t>psychic</t>
        </is>
      </c>
      <c r="I783" s="18" t="inlineStr">
        <is>
          <t>예</t>
        </is>
      </c>
      <c r="J783" s="18" t="inlineStr">
        <is>
          <t>예</t>
        </is>
      </c>
      <c r="K783" s="18" t="inlineStr">
        <is>
          <t>예</t>
        </is>
      </c>
      <c r="L783" s="18" t="inlineStr">
        <is>
          <t>Cobblemon 동일</t>
        </is>
      </c>
      <c r="M783" s="18">
        <f>COUNTIF('스폰_편집'!$D$5:$D$3125,A783)</f>
        <v/>
      </c>
      <c r="N783" s="18">
        <f>COUNTIFS('스폰_편집'!$D$5:$D$3125,A783,'스폰_편집'!$B$5:$B$3125,"사용")</f>
        <v/>
      </c>
      <c r="O783" s="18" t="n">
        <v>1</v>
      </c>
      <c r="P783" s="18" t="inlineStr">
        <is>
          <t>#cobblemon:is_warm_ocean</t>
        </is>
      </c>
      <c r="Q783" s="18" t="inlineStr">
        <is>
          <t>common; uncommon</t>
        </is>
      </c>
      <c r="R783" s="18" t="inlineStr"/>
      <c r="S783" s="18" t="inlineStr">
        <is>
          <t>cobbleventure:generation_7</t>
        </is>
      </c>
      <c r="T783" s="18">
        <f>IF(M783=0,"없음",IF(N783=0,"전부 제외","사용"))</f>
        <v/>
      </c>
      <c r="U783" s="18" t="inlineStr"/>
    </row>
    <row r="784" ht="30" customHeight="1">
      <c r="A784" s="18" t="n">
        <v>780</v>
      </c>
      <c r="B784" s="18" t="inlineStr">
        <is>
          <t>할비롱</t>
        </is>
      </c>
      <c r="C784" s="18" t="inlineStr">
        <is>
          <t>drampa</t>
        </is>
      </c>
      <c r="D784" s="18" t="inlineStr">
        <is>
          <t>Drampa</t>
        </is>
      </c>
      <c r="E784" s="18" t="n">
        <v>7</v>
      </c>
      <c r="F784" s="18" t="inlineStr">
        <is>
          <t>generation7</t>
        </is>
      </c>
      <c r="G784" s="18" t="inlineStr">
        <is>
          <t>normal</t>
        </is>
      </c>
      <c r="H784" s="18" t="inlineStr">
        <is>
          <t>dragon</t>
        </is>
      </c>
      <c r="I784" s="18" t="inlineStr">
        <is>
          <t>예</t>
        </is>
      </c>
      <c r="J784" s="18" t="inlineStr">
        <is>
          <t>예</t>
        </is>
      </c>
      <c r="K784" s="18" t="inlineStr">
        <is>
          <t>예</t>
        </is>
      </c>
      <c r="L784" s="18" t="inlineStr">
        <is>
          <t>Cobblemon 동일</t>
        </is>
      </c>
      <c r="M784" s="18">
        <f>COUNTIF('스폰_편집'!$D$5:$D$3125,A784)</f>
        <v/>
      </c>
      <c r="N784" s="18">
        <f>COUNTIFS('스폰_편집'!$D$5:$D$3125,A784,'스폰_편집'!$B$5:$B$3125,"사용")</f>
        <v/>
      </c>
      <c r="O784" s="18" t="n">
        <v>2</v>
      </c>
      <c r="P784" s="18" t="inlineStr">
        <is>
          <t>#cobblemon:is_peak; #cobblemon:is_sky</t>
        </is>
      </c>
      <c r="Q784" s="18" t="inlineStr">
        <is>
          <t>uncommon</t>
        </is>
      </c>
      <c r="R784" s="18" t="inlineStr"/>
      <c r="S784" s="18" t="inlineStr">
        <is>
          <t>cobbleventure:generation_7</t>
        </is>
      </c>
      <c r="T784" s="18">
        <f>IF(M784=0,"없음",IF(N784=0,"전부 제외","사용"))</f>
        <v/>
      </c>
      <c r="U784" s="18" t="inlineStr"/>
    </row>
    <row r="785" ht="30" customHeight="1">
      <c r="A785" s="18" t="n">
        <v>781</v>
      </c>
      <c r="B785" s="18" t="inlineStr">
        <is>
          <t>타타륜</t>
        </is>
      </c>
      <c r="C785" s="18" t="inlineStr">
        <is>
          <t>dhelmise</t>
        </is>
      </c>
      <c r="D785" s="18" t="inlineStr">
        <is>
          <t>Dhelmise</t>
        </is>
      </c>
      <c r="E785" s="18" t="n">
        <v>7</v>
      </c>
      <c r="F785" s="18" t="inlineStr">
        <is>
          <t>generation7</t>
        </is>
      </c>
      <c r="G785" s="18" t="inlineStr">
        <is>
          <t>ghost</t>
        </is>
      </c>
      <c r="H785" s="18" t="inlineStr">
        <is>
          <t>grass</t>
        </is>
      </c>
      <c r="I785" s="18" t="inlineStr">
        <is>
          <t>예</t>
        </is>
      </c>
      <c r="J785" s="18" t="inlineStr">
        <is>
          <t>예</t>
        </is>
      </c>
      <c r="K785" s="18" t="inlineStr">
        <is>
          <t>예</t>
        </is>
      </c>
      <c r="L785" s="18" t="inlineStr">
        <is>
          <t>Cobblemon 동일</t>
        </is>
      </c>
      <c r="M785" s="18">
        <f>COUNTIF('스폰_편집'!$D$5:$D$3125,A785)</f>
        <v/>
      </c>
      <c r="N785" s="18">
        <f>COUNTIFS('스폰_편집'!$D$5:$D$3125,A785,'스폰_편집'!$B$5:$B$3125,"사용")</f>
        <v/>
      </c>
      <c r="O785" s="18" t="n">
        <v>1</v>
      </c>
      <c r="P785" s="18" t="inlineStr">
        <is>
          <t>#cobblemon:is_ocean</t>
        </is>
      </c>
      <c r="Q785" s="18" t="inlineStr">
        <is>
          <t>common; rare</t>
        </is>
      </c>
      <c r="R785" s="18" t="inlineStr"/>
      <c r="S785" s="18" t="inlineStr">
        <is>
          <t>cobbleventure:generation_7</t>
        </is>
      </c>
      <c r="T785" s="18">
        <f>IF(M785=0,"없음",IF(N785=0,"전부 제외","사용"))</f>
        <v/>
      </c>
      <c r="U785" s="18" t="inlineStr"/>
    </row>
    <row r="786" ht="30" customHeight="1">
      <c r="A786" s="18" t="n">
        <v>782</v>
      </c>
      <c r="B786" s="18" t="inlineStr">
        <is>
          <t>짜랑꼬</t>
        </is>
      </c>
      <c r="C786" s="18" t="inlineStr">
        <is>
          <t>jangmoo</t>
        </is>
      </c>
      <c r="D786" s="18" t="inlineStr">
        <is>
          <t>Jangmo-o</t>
        </is>
      </c>
      <c r="E786" s="18" t="n">
        <v>7</v>
      </c>
      <c r="F786" s="18" t="inlineStr">
        <is>
          <t>generation7</t>
        </is>
      </c>
      <c r="G786" s="18" t="inlineStr">
        <is>
          <t>dragon</t>
        </is>
      </c>
      <c r="H786" s="18" t="inlineStr"/>
      <c r="I786" s="18" t="inlineStr">
        <is>
          <t>예</t>
        </is>
      </c>
      <c r="J786" s="18" t="inlineStr">
        <is>
          <t>예</t>
        </is>
      </c>
      <c r="K786" s="18" t="inlineStr">
        <is>
          <t>예</t>
        </is>
      </c>
      <c r="L786" s="18" t="inlineStr">
        <is>
          <t>Cobblemon 동일</t>
        </is>
      </c>
      <c r="M786" s="18">
        <f>COUNTIF('스폰_편집'!$D$5:$D$3125,A786)</f>
        <v/>
      </c>
      <c r="N786" s="18">
        <f>COUNTIFS('스폰_편집'!$D$5:$D$3125,A786,'스폰_편집'!$B$5:$B$3125,"사용")</f>
        <v/>
      </c>
      <c r="O786" s="18" t="n">
        <v>2</v>
      </c>
      <c r="P786" s="18" t="inlineStr">
        <is>
          <t>#cobblemon:is_jungle; #cobblemon:is_tropical_island</t>
        </is>
      </c>
      <c r="Q786" s="18" t="inlineStr">
        <is>
          <t>rare; ultra-rare</t>
        </is>
      </c>
      <c r="R786" s="18" t="inlineStr"/>
      <c r="S786" s="18" t="inlineStr">
        <is>
          <t>cobbleventure:generation_7</t>
        </is>
      </c>
      <c r="T786" s="18">
        <f>IF(M786=0,"없음",IF(N786=0,"전부 제외","사용"))</f>
        <v/>
      </c>
      <c r="U786" s="18" t="inlineStr"/>
    </row>
    <row r="787" ht="30" customHeight="1">
      <c r="A787" s="18" t="n">
        <v>783</v>
      </c>
      <c r="B787" s="18" t="inlineStr">
        <is>
          <t>짜랑고우</t>
        </is>
      </c>
      <c r="C787" s="18" t="inlineStr">
        <is>
          <t>hakamoo</t>
        </is>
      </c>
      <c r="D787" s="18" t="inlineStr">
        <is>
          <t>Hakamo-o</t>
        </is>
      </c>
      <c r="E787" s="18" t="n">
        <v>7</v>
      </c>
      <c r="F787" s="18" t="inlineStr">
        <is>
          <t>generation7</t>
        </is>
      </c>
      <c r="G787" s="18" t="inlineStr">
        <is>
          <t>dragon</t>
        </is>
      </c>
      <c r="H787" s="18" t="inlineStr">
        <is>
          <t>fighting</t>
        </is>
      </c>
      <c r="I787" s="18" t="inlineStr">
        <is>
          <t>예</t>
        </is>
      </c>
      <c r="J787" s="18" t="inlineStr">
        <is>
          <t>예</t>
        </is>
      </c>
      <c r="K787" s="18" t="inlineStr">
        <is>
          <t>예</t>
        </is>
      </c>
      <c r="L787" s="18" t="inlineStr">
        <is>
          <t>Cobblemon 동일</t>
        </is>
      </c>
      <c r="M787" s="18">
        <f>COUNTIF('스폰_편집'!$D$5:$D$3125,A787)</f>
        <v/>
      </c>
      <c r="N787" s="18">
        <f>COUNTIFS('스폰_편집'!$D$5:$D$3125,A787,'스폰_편집'!$B$5:$B$3125,"사용")</f>
        <v/>
      </c>
      <c r="O787" s="18" t="n">
        <v>2</v>
      </c>
      <c r="P787" s="18" t="inlineStr">
        <is>
          <t>#cobblemon:is_jungle; #cobblemon:is_tropical_island</t>
        </is>
      </c>
      <c r="Q787" s="18" t="inlineStr">
        <is>
          <t>rare; ultra-rare</t>
        </is>
      </c>
      <c r="R787" s="18" t="inlineStr"/>
      <c r="S787" s="18" t="inlineStr">
        <is>
          <t>cobbleventure:generation_7</t>
        </is>
      </c>
      <c r="T787" s="18">
        <f>IF(M787=0,"없음",IF(N787=0,"전부 제외","사용"))</f>
        <v/>
      </c>
      <c r="U787" s="18" t="inlineStr"/>
    </row>
    <row r="788" ht="30" customHeight="1">
      <c r="A788" s="18" t="n">
        <v>784</v>
      </c>
      <c r="B788" s="18" t="inlineStr">
        <is>
          <t>짜랑고우거</t>
        </is>
      </c>
      <c r="C788" s="18" t="inlineStr">
        <is>
          <t>kommoo</t>
        </is>
      </c>
      <c r="D788" s="18" t="inlineStr">
        <is>
          <t>Kommo-o</t>
        </is>
      </c>
      <c r="E788" s="18" t="n">
        <v>7</v>
      </c>
      <c r="F788" s="18" t="inlineStr">
        <is>
          <t>generation7</t>
        </is>
      </c>
      <c r="G788" s="18" t="inlineStr">
        <is>
          <t>dragon</t>
        </is>
      </c>
      <c r="H788" s="18" t="inlineStr">
        <is>
          <t>fighting</t>
        </is>
      </c>
      <c r="I788" s="18" t="inlineStr">
        <is>
          <t>예</t>
        </is>
      </c>
      <c r="J788" s="18" t="inlineStr">
        <is>
          <t>예</t>
        </is>
      </c>
      <c r="K788" s="18" t="inlineStr">
        <is>
          <t>예</t>
        </is>
      </c>
      <c r="L788" s="18" t="inlineStr">
        <is>
          <t>Cobblemon 동일</t>
        </is>
      </c>
      <c r="M788" s="18">
        <f>COUNTIF('스폰_편집'!$D$5:$D$3125,A788)</f>
        <v/>
      </c>
      <c r="N788" s="18">
        <f>COUNTIFS('스폰_편집'!$D$5:$D$3125,A788,'스폰_편집'!$B$5:$B$3125,"사용")</f>
        <v/>
      </c>
      <c r="O788" s="18" t="n">
        <v>2</v>
      </c>
      <c r="P788" s="18" t="inlineStr">
        <is>
          <t>#cobblemon:is_jungle; #cobblemon:is_tropical_island</t>
        </is>
      </c>
      <c r="Q788" s="18" t="inlineStr">
        <is>
          <t>rare; ultra-rare</t>
        </is>
      </c>
      <c r="R788" s="18" t="inlineStr"/>
      <c r="S788" s="18" t="inlineStr">
        <is>
          <t>cobbleventure:generation_7</t>
        </is>
      </c>
      <c r="T788" s="18">
        <f>IF(M788=0,"없음",IF(N788=0,"전부 제외","사용"))</f>
        <v/>
      </c>
      <c r="U788" s="18" t="inlineStr"/>
    </row>
    <row r="789" ht="30" customHeight="1">
      <c r="A789" s="18" t="n">
        <v>785</v>
      </c>
      <c r="B789" s="18" t="inlineStr">
        <is>
          <t>카푸꼬꼬꼭</t>
        </is>
      </c>
      <c r="C789" s="18" t="inlineStr">
        <is>
          <t>tapukoko</t>
        </is>
      </c>
      <c r="D789" s="18" t="inlineStr">
        <is>
          <t>Tapu Koko</t>
        </is>
      </c>
      <c r="E789" s="18" t="n">
        <v>7</v>
      </c>
      <c r="F789" s="18" t="inlineStr">
        <is>
          <t>generation7</t>
        </is>
      </c>
      <c r="G789" s="18" t="inlineStr">
        <is>
          <t>electric</t>
        </is>
      </c>
      <c r="H789" s="18" t="inlineStr">
        <is>
          <t>fairy</t>
        </is>
      </c>
      <c r="I789" s="18" t="inlineStr">
        <is>
          <t>아니오</t>
        </is>
      </c>
      <c r="J789" s="18" t="inlineStr">
        <is>
          <t>아니오</t>
        </is>
      </c>
      <c r="K789" s="18" t="inlineStr">
        <is>
          <t>예</t>
        </is>
      </c>
      <c r="L789" s="18" t="inlineStr">
        <is>
          <t>COBBLEVERSE 추가</t>
        </is>
      </c>
      <c r="M789" s="18">
        <f>COUNTIF('스폰_편집'!$D$5:$D$3125,A789)</f>
        <v/>
      </c>
      <c r="N789" s="18">
        <f>COUNTIFS('스폰_편집'!$D$5:$D$3125,A789,'스폰_편집'!$B$5:$B$3125,"사용")</f>
        <v/>
      </c>
      <c r="O789" s="18" t="n">
        <v>2</v>
      </c>
      <c r="P789" s="18" t="inlineStr">
        <is>
          <t>#cobblemon:is_jungle; #cobblemon:is_savanna</t>
        </is>
      </c>
      <c r="Q789" s="18" t="inlineStr">
        <is>
          <t>ultra-rare</t>
        </is>
      </c>
      <c r="R789" s="18" t="inlineStr"/>
      <c r="S789" s="18" t="inlineStr">
        <is>
          <t>cobbleventure:generation_7</t>
        </is>
      </c>
      <c r="T789" s="18">
        <f>IF(M789=0,"없음",IF(N789=0,"전부 제외","사용"))</f>
        <v/>
      </c>
      <c r="U789" s="18" t="inlineStr"/>
    </row>
    <row r="790" ht="30" customHeight="1">
      <c r="A790" s="18" t="n">
        <v>786</v>
      </c>
      <c r="B790" s="18" t="inlineStr">
        <is>
          <t>카푸나비나</t>
        </is>
      </c>
      <c r="C790" s="18" t="inlineStr">
        <is>
          <t>tapulele</t>
        </is>
      </c>
      <c r="D790" s="18" t="inlineStr">
        <is>
          <t>Tapu Lele</t>
        </is>
      </c>
      <c r="E790" s="18" t="n">
        <v>7</v>
      </c>
      <c r="F790" s="18" t="inlineStr">
        <is>
          <t>generation7</t>
        </is>
      </c>
      <c r="G790" s="18" t="inlineStr">
        <is>
          <t>psychic</t>
        </is>
      </c>
      <c r="H790" s="18" t="inlineStr">
        <is>
          <t>fairy</t>
        </is>
      </c>
      <c r="I790" s="18" t="inlineStr">
        <is>
          <t>아니오</t>
        </is>
      </c>
      <c r="J790" s="18" t="inlineStr">
        <is>
          <t>아니오</t>
        </is>
      </c>
      <c r="K790" s="18" t="inlineStr">
        <is>
          <t>예</t>
        </is>
      </c>
      <c r="L790" s="18" t="inlineStr">
        <is>
          <t>COBBLEVERSE 추가</t>
        </is>
      </c>
      <c r="M790" s="18">
        <f>COUNTIF('스폰_편집'!$D$5:$D$3125,A790)</f>
        <v/>
      </c>
      <c r="N790" s="18">
        <f>COUNTIFS('스폰_편집'!$D$5:$D$3125,A790,'스폰_편집'!$B$5:$B$3125,"사용")</f>
        <v/>
      </c>
      <c r="O790" s="18" t="n">
        <v>2</v>
      </c>
      <c r="P790" s="18" t="inlineStr">
        <is>
          <t>#cobblemon:is_floral; #minecraft:is_beach</t>
        </is>
      </c>
      <c r="Q790" s="18" t="inlineStr">
        <is>
          <t>ultra-rare</t>
        </is>
      </c>
      <c r="R790" s="18" t="inlineStr"/>
      <c r="S790" s="18" t="inlineStr">
        <is>
          <t>cobbleventure:generation_7</t>
        </is>
      </c>
      <c r="T790" s="18">
        <f>IF(M790=0,"없음",IF(N790=0,"전부 제외","사용"))</f>
        <v/>
      </c>
      <c r="U790" s="18" t="inlineStr"/>
    </row>
    <row r="791" ht="30" customHeight="1">
      <c r="A791" s="18" t="n">
        <v>787</v>
      </c>
      <c r="B791" s="18" t="inlineStr">
        <is>
          <t>카푸브루루</t>
        </is>
      </c>
      <c r="C791" s="18" t="inlineStr">
        <is>
          <t>tapubulu</t>
        </is>
      </c>
      <c r="D791" s="18" t="inlineStr">
        <is>
          <t>Tapu Bulu</t>
        </is>
      </c>
      <c r="E791" s="18" t="n">
        <v>7</v>
      </c>
      <c r="F791" s="18" t="inlineStr">
        <is>
          <t>generation7</t>
        </is>
      </c>
      <c r="G791" s="18" t="inlineStr">
        <is>
          <t>grass</t>
        </is>
      </c>
      <c r="H791" s="18" t="inlineStr">
        <is>
          <t>fairy</t>
        </is>
      </c>
      <c r="I791" s="18" t="inlineStr">
        <is>
          <t>아니오</t>
        </is>
      </c>
      <c r="J791" s="18" t="inlineStr">
        <is>
          <t>아니오</t>
        </is>
      </c>
      <c r="K791" s="18" t="inlineStr">
        <is>
          <t>예</t>
        </is>
      </c>
      <c r="L791" s="18" t="inlineStr">
        <is>
          <t>COBBLEVERSE 추가</t>
        </is>
      </c>
      <c r="M791" s="18">
        <f>COUNTIF('스폰_편집'!$D$5:$D$3125,A791)</f>
        <v/>
      </c>
      <c r="N791" s="18">
        <f>COUNTIFS('스폰_편집'!$D$5:$D$3125,A791,'스폰_편집'!$B$5:$B$3125,"사용")</f>
        <v/>
      </c>
      <c r="O791" s="18" t="n">
        <v>2</v>
      </c>
      <c r="P791" s="18" t="inlineStr">
        <is>
          <t>#cobblemon:is_jungle; #cobblemon:is_river</t>
        </is>
      </c>
      <c r="Q791" s="18" t="inlineStr">
        <is>
          <t>ultra-rare</t>
        </is>
      </c>
      <c r="R791" s="18" t="inlineStr"/>
      <c r="S791" s="18" t="inlineStr">
        <is>
          <t>cobbleventure:generation_7</t>
        </is>
      </c>
      <c r="T791" s="18">
        <f>IF(M791=0,"없음",IF(N791=0,"전부 제외","사용"))</f>
        <v/>
      </c>
      <c r="U791" s="18" t="inlineStr"/>
    </row>
    <row r="792" ht="30" customHeight="1">
      <c r="A792" s="18" t="n">
        <v>788</v>
      </c>
      <c r="B792" s="18" t="inlineStr">
        <is>
          <t>카푸느지느</t>
        </is>
      </c>
      <c r="C792" s="18" t="inlineStr">
        <is>
          <t>tapufini</t>
        </is>
      </c>
      <c r="D792" s="18" t="inlineStr">
        <is>
          <t>Tapu Fini</t>
        </is>
      </c>
      <c r="E792" s="18" t="n">
        <v>7</v>
      </c>
      <c r="F792" s="18" t="inlineStr">
        <is>
          <t>generation7</t>
        </is>
      </c>
      <c r="G792" s="18" t="inlineStr">
        <is>
          <t>water</t>
        </is>
      </c>
      <c r="H792" s="18" t="inlineStr">
        <is>
          <t>fairy</t>
        </is>
      </c>
      <c r="I792" s="18" t="inlineStr">
        <is>
          <t>아니오</t>
        </is>
      </c>
      <c r="J792" s="18" t="inlineStr">
        <is>
          <t>아니오</t>
        </is>
      </c>
      <c r="K792" s="18" t="inlineStr">
        <is>
          <t>예</t>
        </is>
      </c>
      <c r="L792" s="18" t="inlineStr">
        <is>
          <t>COBBLEVERSE 추가</t>
        </is>
      </c>
      <c r="M792" s="18">
        <f>COUNTIF('스폰_편집'!$D$5:$D$3125,A792)</f>
        <v/>
      </c>
      <c r="N792" s="18">
        <f>COUNTIFS('스폰_편집'!$D$5:$D$3125,A792,'스폰_편집'!$B$5:$B$3125,"사용")</f>
        <v/>
      </c>
      <c r="O792" s="18" t="n">
        <v>2</v>
      </c>
      <c r="P792" s="18" t="inlineStr">
        <is>
          <t>#cobblemon:is_river; #minecraft:is_beach</t>
        </is>
      </c>
      <c r="Q792" s="18" t="inlineStr">
        <is>
          <t>ultra-rare</t>
        </is>
      </c>
      <c r="R792" s="18" t="inlineStr"/>
      <c r="S792" s="18" t="inlineStr">
        <is>
          <t>cobbleventure:generation_7</t>
        </is>
      </c>
      <c r="T792" s="18">
        <f>IF(M792=0,"없음",IF(N792=0,"전부 제외","사용"))</f>
        <v/>
      </c>
      <c r="U792" s="18" t="inlineStr"/>
    </row>
    <row r="793" ht="30" customHeight="1">
      <c r="A793" s="18" t="n">
        <v>789</v>
      </c>
      <c r="B793" s="18" t="inlineStr">
        <is>
          <t>코스모그</t>
        </is>
      </c>
      <c r="C793" s="18" t="inlineStr">
        <is>
          <t>cosmog</t>
        </is>
      </c>
      <c r="D793" s="18" t="inlineStr">
        <is>
          <t>Cosmog</t>
        </is>
      </c>
      <c r="E793" s="18" t="n">
        <v>7</v>
      </c>
      <c r="F793" s="18" t="inlineStr">
        <is>
          <t>generation7</t>
        </is>
      </c>
      <c r="G793" s="18" t="inlineStr">
        <is>
          <t>psychic</t>
        </is>
      </c>
      <c r="H793" s="18" t="inlineStr"/>
      <c r="I793" s="18" t="inlineStr">
        <is>
          <t>아니오</t>
        </is>
      </c>
      <c r="J793" s="18" t="inlineStr">
        <is>
          <t>아니오</t>
        </is>
      </c>
      <c r="K793" s="18" t="inlineStr">
        <is>
          <t>예</t>
        </is>
      </c>
      <c r="L793" s="18" t="inlineStr">
        <is>
          <t>COBBLEVERSE 추가</t>
        </is>
      </c>
      <c r="M793" s="18">
        <f>COUNTIF('스폰_편집'!$D$5:$D$3125,A793)</f>
        <v/>
      </c>
      <c r="N793" s="18">
        <f>COUNTIFS('스폰_편집'!$D$5:$D$3125,A793,'스폰_편집'!$B$5:$B$3125,"사용")</f>
        <v/>
      </c>
      <c r="O793" s="18" t="n">
        <v>1</v>
      </c>
      <c r="P793" s="18" t="inlineStr">
        <is>
          <t>#minecraft:is_end</t>
        </is>
      </c>
      <c r="Q793" s="18" t="inlineStr">
        <is>
          <t>ultra-rare</t>
        </is>
      </c>
      <c r="R793" s="18" t="inlineStr"/>
      <c r="S793" s="18" t="inlineStr">
        <is>
          <t>cobbleventure:generation_7</t>
        </is>
      </c>
      <c r="T793" s="18">
        <f>IF(M793=0,"없음",IF(N793=0,"전부 제외","사용"))</f>
        <v/>
      </c>
      <c r="U793" s="18" t="inlineStr"/>
    </row>
    <row r="794" ht="30" customHeight="1">
      <c r="A794" s="18" t="n">
        <v>790</v>
      </c>
      <c r="B794" s="18" t="inlineStr">
        <is>
          <t>코스모움</t>
        </is>
      </c>
      <c r="C794" s="18" t="inlineStr">
        <is>
          <t>cosmoem</t>
        </is>
      </c>
      <c r="D794" s="18" t="inlineStr">
        <is>
          <t>Cosmoem</t>
        </is>
      </c>
      <c r="E794" s="18" t="n">
        <v>7</v>
      </c>
      <c r="F794" s="18" t="inlineStr">
        <is>
          <t>generation7</t>
        </is>
      </c>
      <c r="G794" s="18" t="inlineStr">
        <is>
          <t>psychic</t>
        </is>
      </c>
      <c r="H794" s="18" t="inlineStr"/>
      <c r="I794" s="18" t="inlineStr">
        <is>
          <t>아니오</t>
        </is>
      </c>
      <c r="J794" s="18" t="inlineStr">
        <is>
          <t>아니오</t>
        </is>
      </c>
      <c r="K794" s="18" t="inlineStr">
        <is>
          <t>예</t>
        </is>
      </c>
      <c r="L794" s="18" t="inlineStr">
        <is>
          <t>COBBLEVERSE 추가</t>
        </is>
      </c>
      <c r="M794" s="18">
        <f>COUNTIF('스폰_편집'!$D$5:$D$3125,A794)</f>
        <v/>
      </c>
      <c r="N794" s="18">
        <f>COUNTIFS('스폰_편집'!$D$5:$D$3125,A794,'스폰_편집'!$B$5:$B$3125,"사용")</f>
        <v/>
      </c>
      <c r="O794" s="18" t="n">
        <v>1</v>
      </c>
      <c r="P794" s="18" t="inlineStr">
        <is>
          <t>#minecraft:is_end</t>
        </is>
      </c>
      <c r="Q794" s="18" t="inlineStr">
        <is>
          <t>ultra-rare</t>
        </is>
      </c>
      <c r="R794" s="18" t="inlineStr"/>
      <c r="S794" s="18" t="inlineStr">
        <is>
          <t>cobbleventure:generation_7</t>
        </is>
      </c>
      <c r="T794" s="18">
        <f>IF(M794=0,"없음",IF(N794=0,"전부 제외","사용"))</f>
        <v/>
      </c>
      <c r="U794" s="18" t="inlineStr"/>
    </row>
    <row r="795" ht="30" customHeight="1">
      <c r="A795" s="18" t="n">
        <v>791</v>
      </c>
      <c r="B795" s="18" t="inlineStr">
        <is>
          <t>솔가레오</t>
        </is>
      </c>
      <c r="C795" s="18" t="inlineStr">
        <is>
          <t>solgaleo</t>
        </is>
      </c>
      <c r="D795" s="18" t="inlineStr">
        <is>
          <t>Solgaleo</t>
        </is>
      </c>
      <c r="E795" s="18" t="n">
        <v>7</v>
      </c>
      <c r="F795" s="18" t="inlineStr">
        <is>
          <t>generation7</t>
        </is>
      </c>
      <c r="G795" s="18" t="inlineStr">
        <is>
          <t>psychic</t>
        </is>
      </c>
      <c r="H795" s="18" t="inlineStr">
        <is>
          <t>steel</t>
        </is>
      </c>
      <c r="I795" s="18" t="inlineStr">
        <is>
          <t>아니오</t>
        </is>
      </c>
      <c r="J795" s="18" t="inlineStr">
        <is>
          <t>아니오</t>
        </is>
      </c>
      <c r="K795" s="18" t="inlineStr">
        <is>
          <t>예</t>
        </is>
      </c>
      <c r="L795" s="18" t="inlineStr">
        <is>
          <t>COBBLEVERSE 추가</t>
        </is>
      </c>
      <c r="M795" s="18">
        <f>COUNTIF('스폰_편집'!$D$5:$D$3125,A795)</f>
        <v/>
      </c>
      <c r="N795" s="18">
        <f>COUNTIFS('스폰_편집'!$D$5:$D$3125,A795,'스폰_편집'!$B$5:$B$3125,"사용")</f>
        <v/>
      </c>
      <c r="O795" s="18" t="n">
        <v>2</v>
      </c>
      <c r="P795" s="18" t="inlineStr">
        <is>
          <t>#cobblemon:is_savanna; #minecraft:is_end</t>
        </is>
      </c>
      <c r="Q795" s="18" t="inlineStr">
        <is>
          <t>ultra-rare</t>
        </is>
      </c>
      <c r="R795" s="18" t="inlineStr"/>
      <c r="S795" s="18" t="inlineStr">
        <is>
          <t>cobbleventure:generation_7</t>
        </is>
      </c>
      <c r="T795" s="18">
        <f>IF(M795=0,"없음",IF(N795=0,"전부 제외","사용"))</f>
        <v/>
      </c>
      <c r="U795" s="18" t="inlineStr"/>
    </row>
    <row r="796" ht="30" customHeight="1">
      <c r="A796" s="18" t="n">
        <v>792</v>
      </c>
      <c r="B796" s="18" t="inlineStr">
        <is>
          <t>루나아라</t>
        </is>
      </c>
      <c r="C796" s="18" t="inlineStr">
        <is>
          <t>lunala</t>
        </is>
      </c>
      <c r="D796" s="18" t="inlineStr">
        <is>
          <t>Lunala</t>
        </is>
      </c>
      <c r="E796" s="18" t="n">
        <v>7</v>
      </c>
      <c r="F796" s="18" t="inlineStr">
        <is>
          <t>generation7</t>
        </is>
      </c>
      <c r="G796" s="18" t="inlineStr">
        <is>
          <t>psychic</t>
        </is>
      </c>
      <c r="H796" s="18" t="inlineStr">
        <is>
          <t>ghost</t>
        </is>
      </c>
      <c r="I796" s="18" t="inlineStr">
        <is>
          <t>아니오</t>
        </is>
      </c>
      <c r="J796" s="18" t="inlineStr">
        <is>
          <t>아니오</t>
        </is>
      </c>
      <c r="K796" s="18" t="inlineStr">
        <is>
          <t>예</t>
        </is>
      </c>
      <c r="L796" s="18" t="inlineStr">
        <is>
          <t>COBBLEVERSE 추가</t>
        </is>
      </c>
      <c r="M796" s="18">
        <f>COUNTIF('스폰_편집'!$D$5:$D$3125,A796)</f>
        <v/>
      </c>
      <c r="N796" s="18">
        <f>COUNTIFS('스폰_편집'!$D$5:$D$3125,A796,'스폰_편집'!$B$5:$B$3125,"사용")</f>
        <v/>
      </c>
      <c r="O796" s="18" t="n">
        <v>2</v>
      </c>
      <c r="P796" s="18" t="inlineStr">
        <is>
          <t>#cobblemon:is_spooky; #minecraft:is_end</t>
        </is>
      </c>
      <c r="Q796" s="18" t="inlineStr">
        <is>
          <t>ultra-rare</t>
        </is>
      </c>
      <c r="R796" s="18" t="inlineStr"/>
      <c r="S796" s="18" t="inlineStr">
        <is>
          <t>cobbleventure:generation_7</t>
        </is>
      </c>
      <c r="T796" s="18">
        <f>IF(M796=0,"없음",IF(N796=0,"전부 제외","사용"))</f>
        <v/>
      </c>
      <c r="U796" s="18" t="inlineStr"/>
    </row>
    <row r="797" ht="30" customHeight="1">
      <c r="A797" s="18" t="n">
        <v>793</v>
      </c>
      <c r="B797" s="18" t="inlineStr">
        <is>
          <t>텅비드</t>
        </is>
      </c>
      <c r="C797" s="18" t="inlineStr">
        <is>
          <t>nihilego</t>
        </is>
      </c>
      <c r="D797" s="18" t="inlineStr">
        <is>
          <t>Nihilego</t>
        </is>
      </c>
      <c r="E797" s="18" t="n">
        <v>7</v>
      </c>
      <c r="F797" s="18" t="inlineStr">
        <is>
          <t>generation7</t>
        </is>
      </c>
      <c r="G797" s="18" t="inlineStr">
        <is>
          <t>rock</t>
        </is>
      </c>
      <c r="H797" s="18" t="inlineStr">
        <is>
          <t>poison</t>
        </is>
      </c>
      <c r="I797" s="18" t="inlineStr">
        <is>
          <t>아니오</t>
        </is>
      </c>
      <c r="J797" s="18" t="inlineStr">
        <is>
          <t>아니오</t>
        </is>
      </c>
      <c r="K797" s="18" t="inlineStr">
        <is>
          <t>예</t>
        </is>
      </c>
      <c r="L797" s="18" t="inlineStr">
        <is>
          <t>COBBLEVERSE 추가</t>
        </is>
      </c>
      <c r="M797" s="18">
        <f>COUNTIF('스폰_편집'!$D$5:$D$3125,A797)</f>
        <v/>
      </c>
      <c r="N797" s="18">
        <f>COUNTIFS('스폰_편집'!$D$5:$D$3125,A797,'스폰_편집'!$B$5:$B$3125,"사용")</f>
        <v/>
      </c>
      <c r="O797" s="18" t="n">
        <v>1</v>
      </c>
      <c r="P797" s="18" t="inlineStr">
        <is>
          <t>#cobblemon:is_ocean</t>
        </is>
      </c>
      <c r="Q797" s="18" t="inlineStr">
        <is>
          <t>ultra-rare</t>
        </is>
      </c>
      <c r="R797" s="18" t="inlineStr"/>
      <c r="S797" s="18" t="inlineStr">
        <is>
          <t>cobbleventure:generation_7</t>
        </is>
      </c>
      <c r="T797" s="18">
        <f>IF(M797=0,"없음",IF(N797=0,"전부 제외","사용"))</f>
        <v/>
      </c>
      <c r="U797" s="18" t="inlineStr"/>
    </row>
    <row r="798" ht="30" customHeight="1">
      <c r="A798" s="18" t="n">
        <v>794</v>
      </c>
      <c r="B798" s="18" t="inlineStr">
        <is>
          <t>매시붕</t>
        </is>
      </c>
      <c r="C798" s="18" t="inlineStr">
        <is>
          <t>buzzwole</t>
        </is>
      </c>
      <c r="D798" s="18" t="inlineStr">
        <is>
          <t>Buzzwole</t>
        </is>
      </c>
      <c r="E798" s="18" t="n">
        <v>7</v>
      </c>
      <c r="F798" s="18" t="inlineStr">
        <is>
          <t>generation7</t>
        </is>
      </c>
      <c r="G798" s="18" t="inlineStr">
        <is>
          <t>bug</t>
        </is>
      </c>
      <c r="H798" s="18" t="inlineStr">
        <is>
          <t>fighting</t>
        </is>
      </c>
      <c r="I798" s="18" t="inlineStr">
        <is>
          <t>아니오</t>
        </is>
      </c>
      <c r="J798" s="18" t="inlineStr">
        <is>
          <t>아니오</t>
        </is>
      </c>
      <c r="K798" s="18" t="inlineStr">
        <is>
          <t>예</t>
        </is>
      </c>
      <c r="L798" s="18" t="inlineStr">
        <is>
          <t>COBBLEVERSE 추가</t>
        </is>
      </c>
      <c r="M798" s="18">
        <f>COUNTIF('스폰_편집'!$D$5:$D$3125,A798)</f>
        <v/>
      </c>
      <c r="N798" s="18">
        <f>COUNTIFS('스폰_편집'!$D$5:$D$3125,A798,'스폰_편집'!$B$5:$B$3125,"사용")</f>
        <v/>
      </c>
      <c r="O798" s="18" t="n">
        <v>1</v>
      </c>
      <c r="P798" s="18" t="inlineStr">
        <is>
          <t>#cobblemon:is_jungle</t>
        </is>
      </c>
      <c r="Q798" s="18" t="inlineStr">
        <is>
          <t>ultra-rare</t>
        </is>
      </c>
      <c r="R798" s="18" t="inlineStr"/>
      <c r="S798" s="18" t="inlineStr">
        <is>
          <t>cobbleventure:generation_7</t>
        </is>
      </c>
      <c r="T798" s="18">
        <f>IF(M798=0,"없음",IF(N798=0,"전부 제외","사용"))</f>
        <v/>
      </c>
      <c r="U798" s="18" t="inlineStr"/>
    </row>
    <row r="799" ht="30" customHeight="1">
      <c r="A799" s="18" t="n">
        <v>795</v>
      </c>
      <c r="B799" s="18" t="inlineStr">
        <is>
          <t>페로코체</t>
        </is>
      </c>
      <c r="C799" s="18" t="inlineStr">
        <is>
          <t>pheromosa</t>
        </is>
      </c>
      <c r="D799" s="18" t="inlineStr">
        <is>
          <t>Pheromosa</t>
        </is>
      </c>
      <c r="E799" s="18" t="n">
        <v>7</v>
      </c>
      <c r="F799" s="18" t="inlineStr">
        <is>
          <t>generation7</t>
        </is>
      </c>
      <c r="G799" s="18" t="inlineStr">
        <is>
          <t>bug</t>
        </is>
      </c>
      <c r="H799" s="18" t="inlineStr">
        <is>
          <t>fighting</t>
        </is>
      </c>
      <c r="I799" s="18" t="inlineStr">
        <is>
          <t>아니오</t>
        </is>
      </c>
      <c r="J799" s="18" t="inlineStr">
        <is>
          <t>아니오</t>
        </is>
      </c>
      <c r="K799" s="18" t="inlineStr">
        <is>
          <t>예</t>
        </is>
      </c>
      <c r="L799" s="18" t="inlineStr">
        <is>
          <t>COBBLEVERSE 추가</t>
        </is>
      </c>
      <c r="M799" s="18">
        <f>COUNTIF('스폰_편집'!$D$5:$D$3125,A799)</f>
        <v/>
      </c>
      <c r="N799" s="18">
        <f>COUNTIFS('스폰_편집'!$D$5:$D$3125,A799,'스폰_편집'!$B$5:$B$3125,"사용")</f>
        <v/>
      </c>
      <c r="O799" s="18" t="n">
        <v>4</v>
      </c>
      <c r="P799" s="18" t="inlineStr">
        <is>
          <t>#cobblemon:is_end; terralith:blooming_valley; terralith:steppe; terralith:white_cliffs</t>
        </is>
      </c>
      <c r="Q799" s="18" t="inlineStr">
        <is>
          <t>ultra-rare</t>
        </is>
      </c>
      <c r="R799" s="18" t="inlineStr"/>
      <c r="S799" s="18" t="inlineStr">
        <is>
          <t>cobbleventure:generation_7</t>
        </is>
      </c>
      <c r="T799" s="18">
        <f>IF(M799=0,"없음",IF(N799=0,"전부 제외","사용"))</f>
        <v/>
      </c>
      <c r="U799" s="18" t="inlineStr"/>
    </row>
    <row r="800" ht="30" customHeight="1">
      <c r="A800" s="18" t="n">
        <v>796</v>
      </c>
      <c r="B800" s="18" t="inlineStr">
        <is>
          <t>전수목</t>
        </is>
      </c>
      <c r="C800" s="18" t="inlineStr">
        <is>
          <t>xurkitree</t>
        </is>
      </c>
      <c r="D800" s="18" t="inlineStr">
        <is>
          <t>Xurkitree</t>
        </is>
      </c>
      <c r="E800" s="18" t="n">
        <v>7</v>
      </c>
      <c r="F800" s="18" t="inlineStr">
        <is>
          <t>generation7</t>
        </is>
      </c>
      <c r="G800" s="18" t="inlineStr">
        <is>
          <t>electric</t>
        </is>
      </c>
      <c r="H800" s="18" t="inlineStr"/>
      <c r="I800" s="18" t="inlineStr">
        <is>
          <t>아니오</t>
        </is>
      </c>
      <c r="J800" s="18" t="inlineStr">
        <is>
          <t>아니오</t>
        </is>
      </c>
      <c r="K800" s="18" t="inlineStr">
        <is>
          <t>예</t>
        </is>
      </c>
      <c r="L800" s="18" t="inlineStr">
        <is>
          <t>COBBLEVERSE 추가</t>
        </is>
      </c>
      <c r="M800" s="18">
        <f>COUNTIF('스폰_편집'!$D$5:$D$3125,A800)</f>
        <v/>
      </c>
      <c r="N800" s="18">
        <f>COUNTIFS('스폰_편집'!$D$5:$D$3125,A800,'스폰_편집'!$B$5:$B$3125,"사용")</f>
        <v/>
      </c>
      <c r="O800" s="18" t="n">
        <v>1</v>
      </c>
      <c r="P800" s="18" t="inlineStr">
        <is>
          <t>#cobblemon:is_end</t>
        </is>
      </c>
      <c r="Q800" s="18" t="inlineStr">
        <is>
          <t>ultra-rare</t>
        </is>
      </c>
      <c r="R800" s="18" t="inlineStr"/>
      <c r="S800" s="18" t="inlineStr">
        <is>
          <t>cobbleventure:generation_7</t>
        </is>
      </c>
      <c r="T800" s="18">
        <f>IF(M800=0,"없음",IF(N800=0,"전부 제외","사용"))</f>
        <v/>
      </c>
      <c r="U800" s="18" t="inlineStr"/>
    </row>
    <row r="801" ht="30" customHeight="1">
      <c r="A801" s="18" t="n">
        <v>797</v>
      </c>
      <c r="B801" s="18" t="inlineStr">
        <is>
          <t>철화구야</t>
        </is>
      </c>
      <c r="C801" s="18" t="inlineStr">
        <is>
          <t>celesteela</t>
        </is>
      </c>
      <c r="D801" s="18" t="inlineStr">
        <is>
          <t>Celesteela</t>
        </is>
      </c>
      <c r="E801" s="18" t="n">
        <v>7</v>
      </c>
      <c r="F801" s="18" t="inlineStr">
        <is>
          <t>generation7</t>
        </is>
      </c>
      <c r="G801" s="18" t="inlineStr">
        <is>
          <t>steel</t>
        </is>
      </c>
      <c r="H801" s="18" t="inlineStr">
        <is>
          <t>flying</t>
        </is>
      </c>
      <c r="I801" s="18" t="inlineStr">
        <is>
          <t>아니오</t>
        </is>
      </c>
      <c r="J801" s="18" t="inlineStr">
        <is>
          <t>아니오</t>
        </is>
      </c>
      <c r="K801" s="18" t="inlineStr">
        <is>
          <t>예</t>
        </is>
      </c>
      <c r="L801" s="18" t="inlineStr">
        <is>
          <t>COBBLEVERSE 추가</t>
        </is>
      </c>
      <c r="M801" s="18">
        <f>COUNTIF('스폰_편집'!$D$5:$D$3125,A801)</f>
        <v/>
      </c>
      <c r="N801" s="18">
        <f>COUNTIFS('스폰_편집'!$D$5:$D$3125,A801,'스폰_편집'!$B$5:$B$3125,"사용")</f>
        <v/>
      </c>
      <c r="O801" s="18" t="n">
        <v>1</v>
      </c>
      <c r="P801" s="18" t="inlineStr">
        <is>
          <t>#cobblemon:is_end</t>
        </is>
      </c>
      <c r="Q801" s="18" t="inlineStr">
        <is>
          <t>ultra-rare</t>
        </is>
      </c>
      <c r="R801" s="18" t="inlineStr"/>
      <c r="S801" s="18" t="inlineStr">
        <is>
          <t>cobbleventure:generation_7</t>
        </is>
      </c>
      <c r="T801" s="18">
        <f>IF(M801=0,"없음",IF(N801=0,"전부 제외","사용"))</f>
        <v/>
      </c>
      <c r="U801" s="18" t="inlineStr"/>
    </row>
    <row r="802" ht="30" customHeight="1">
      <c r="A802" s="18" t="n">
        <v>798</v>
      </c>
      <c r="B802" s="18" t="inlineStr">
        <is>
          <t>종이신도</t>
        </is>
      </c>
      <c r="C802" s="18" t="inlineStr">
        <is>
          <t>kartana</t>
        </is>
      </c>
      <c r="D802" s="18" t="inlineStr">
        <is>
          <t>Kartana</t>
        </is>
      </c>
      <c r="E802" s="18" t="n">
        <v>7</v>
      </c>
      <c r="F802" s="18" t="inlineStr">
        <is>
          <t>generation7</t>
        </is>
      </c>
      <c r="G802" s="18" t="inlineStr">
        <is>
          <t>grass</t>
        </is>
      </c>
      <c r="H802" s="18" t="inlineStr">
        <is>
          <t>steel</t>
        </is>
      </c>
      <c r="I802" s="18" t="inlineStr">
        <is>
          <t>아니오</t>
        </is>
      </c>
      <c r="J802" s="18" t="inlineStr">
        <is>
          <t>아니오</t>
        </is>
      </c>
      <c r="K802" s="18" t="inlineStr">
        <is>
          <t>예</t>
        </is>
      </c>
      <c r="L802" s="18" t="inlineStr">
        <is>
          <t>COBBLEVERSE 추가</t>
        </is>
      </c>
      <c r="M802" s="18">
        <f>COUNTIF('스폰_편집'!$D$5:$D$3125,A802)</f>
        <v/>
      </c>
      <c r="N802" s="18">
        <f>COUNTIFS('스폰_편집'!$D$5:$D$3125,A802,'스폰_편집'!$B$5:$B$3125,"사용")</f>
        <v/>
      </c>
      <c r="O802" s="18" t="n">
        <v>1</v>
      </c>
      <c r="P802" s="18" t="inlineStr">
        <is>
          <t>minecraft:cherry_grove</t>
        </is>
      </c>
      <c r="Q802" s="18" t="inlineStr">
        <is>
          <t>ultra-rare</t>
        </is>
      </c>
      <c r="R802" s="18" t="inlineStr"/>
      <c r="S802" s="18" t="inlineStr">
        <is>
          <t>cobbleventure:generation_7</t>
        </is>
      </c>
      <c r="T802" s="18">
        <f>IF(M802=0,"없음",IF(N802=0,"전부 제외","사용"))</f>
        <v/>
      </c>
      <c r="U802" s="18" t="inlineStr"/>
    </row>
    <row r="803" ht="30" customHeight="1">
      <c r="A803" s="18" t="n">
        <v>799</v>
      </c>
      <c r="B803" s="18" t="inlineStr">
        <is>
          <t>악식킹</t>
        </is>
      </c>
      <c r="C803" s="18" t="inlineStr">
        <is>
          <t>guzzlord</t>
        </is>
      </c>
      <c r="D803" s="18" t="inlineStr">
        <is>
          <t>Guzzlord</t>
        </is>
      </c>
      <c r="E803" s="18" t="n">
        <v>7</v>
      </c>
      <c r="F803" s="18" t="inlineStr">
        <is>
          <t>generation7</t>
        </is>
      </c>
      <c r="G803" s="18" t="inlineStr">
        <is>
          <t>dark</t>
        </is>
      </c>
      <c r="H803" s="18" t="inlineStr">
        <is>
          <t>dragon</t>
        </is>
      </c>
      <c r="I803" s="18" t="inlineStr">
        <is>
          <t>아니오</t>
        </is>
      </c>
      <c r="J803" s="18" t="inlineStr">
        <is>
          <t>아니오</t>
        </is>
      </c>
      <c r="K803" s="18" t="inlineStr">
        <is>
          <t>예</t>
        </is>
      </c>
      <c r="L803" s="18" t="inlineStr">
        <is>
          <t>COBBLEVERSE 추가</t>
        </is>
      </c>
      <c r="M803" s="18">
        <f>COUNTIF('스폰_편집'!$D$5:$D$3125,A803)</f>
        <v/>
      </c>
      <c r="N803" s="18">
        <f>COUNTIFS('스폰_편집'!$D$5:$D$3125,A803,'스폰_편집'!$B$5:$B$3125,"사용")</f>
        <v/>
      </c>
      <c r="O803" s="18" t="n">
        <v>1</v>
      </c>
      <c r="P803" s="18" t="inlineStr">
        <is>
          <t>#cobblemon:is_end</t>
        </is>
      </c>
      <c r="Q803" s="18" t="inlineStr">
        <is>
          <t>ultra-rare</t>
        </is>
      </c>
      <c r="R803" s="18" t="inlineStr"/>
      <c r="S803" s="18" t="inlineStr">
        <is>
          <t>cobbleventure:generation_7</t>
        </is>
      </c>
      <c r="T803" s="18">
        <f>IF(M803=0,"없음",IF(N803=0,"전부 제외","사용"))</f>
        <v/>
      </c>
      <c r="U803" s="18" t="inlineStr"/>
    </row>
    <row r="804" ht="30" customHeight="1">
      <c r="A804" s="18" t="n">
        <v>800</v>
      </c>
      <c r="B804" s="18" t="inlineStr">
        <is>
          <t>네크로즈마</t>
        </is>
      </c>
      <c r="C804" s="18" t="inlineStr">
        <is>
          <t>necrozma</t>
        </is>
      </c>
      <c r="D804" s="18" t="inlineStr">
        <is>
          <t>Necrozma</t>
        </is>
      </c>
      <c r="E804" s="18" t="n">
        <v>7</v>
      </c>
      <c r="F804" s="18" t="inlineStr">
        <is>
          <t>generation7</t>
        </is>
      </c>
      <c r="G804" s="18" t="inlineStr">
        <is>
          <t>psychic</t>
        </is>
      </c>
      <c r="H804" s="18" t="inlineStr"/>
      <c r="I804" s="18" t="inlineStr">
        <is>
          <t>아니오</t>
        </is>
      </c>
      <c r="J804" s="18" t="inlineStr">
        <is>
          <t>아니오</t>
        </is>
      </c>
      <c r="K804" s="18" t="inlineStr">
        <is>
          <t>예</t>
        </is>
      </c>
      <c r="L804" s="18" t="inlineStr">
        <is>
          <t>COBBLEVERSE 추가</t>
        </is>
      </c>
      <c r="M804" s="18">
        <f>COUNTIF('스폰_편집'!$D$5:$D$3125,A804)</f>
        <v/>
      </c>
      <c r="N804" s="18">
        <f>COUNTIFS('스폰_편집'!$D$5:$D$3125,A804,'스폰_편집'!$B$5:$B$3125,"사용")</f>
        <v/>
      </c>
      <c r="O804" s="18" t="n">
        <v>1</v>
      </c>
      <c r="P804" s="18" t="inlineStr">
        <is>
          <t>#cobblemon:is_end</t>
        </is>
      </c>
      <c r="Q804" s="18" t="inlineStr">
        <is>
          <t>ultra-rare</t>
        </is>
      </c>
      <c r="R804" s="18" t="inlineStr"/>
      <c r="S804" s="18" t="inlineStr">
        <is>
          <t>cobbleventure:generation_7</t>
        </is>
      </c>
      <c r="T804" s="18">
        <f>IF(M804=0,"없음",IF(N804=0,"전부 제외","사용"))</f>
        <v/>
      </c>
      <c r="U804" s="18" t="inlineStr"/>
    </row>
    <row r="805" ht="30" customHeight="1">
      <c r="A805" s="18" t="n">
        <v>801</v>
      </c>
      <c r="B805" s="18" t="inlineStr">
        <is>
          <t>마기아나</t>
        </is>
      </c>
      <c r="C805" s="18" t="inlineStr">
        <is>
          <t>magearna</t>
        </is>
      </c>
      <c r="D805" s="18" t="inlineStr">
        <is>
          <t>Magearna</t>
        </is>
      </c>
      <c r="E805" s="18" t="n">
        <v>7</v>
      </c>
      <c r="F805" s="18" t="inlineStr">
        <is>
          <t>generation7</t>
        </is>
      </c>
      <c r="G805" s="18" t="inlineStr">
        <is>
          <t>steel</t>
        </is>
      </c>
      <c r="H805" s="18" t="inlineStr">
        <is>
          <t>fairy</t>
        </is>
      </c>
      <c r="I805" s="18" t="inlineStr">
        <is>
          <t>아니오</t>
        </is>
      </c>
      <c r="J805" s="18" t="inlineStr">
        <is>
          <t>아니오</t>
        </is>
      </c>
      <c r="K805" s="18" t="inlineStr">
        <is>
          <t>예</t>
        </is>
      </c>
      <c r="L805" s="18" t="inlineStr">
        <is>
          <t>COBBLEVERSE 추가</t>
        </is>
      </c>
      <c r="M805" s="18">
        <f>COUNTIF('스폰_편집'!$D$5:$D$3125,A805)</f>
        <v/>
      </c>
      <c r="N805" s="18">
        <f>COUNTIFS('스폰_편집'!$D$5:$D$3125,A805,'스폰_편집'!$B$5:$B$3125,"사용")</f>
        <v/>
      </c>
      <c r="O805" s="18" t="n">
        <v>1</v>
      </c>
      <c r="P805" s="18" t="inlineStr">
        <is>
          <t>#cobblemon:is_taiga</t>
        </is>
      </c>
      <c r="Q805" s="18" t="inlineStr">
        <is>
          <t>ultra-rare</t>
        </is>
      </c>
      <c r="R805" s="18" t="inlineStr"/>
      <c r="S805" s="18" t="inlineStr">
        <is>
          <t>cobbleventure:generation_7</t>
        </is>
      </c>
      <c r="T805" s="18">
        <f>IF(M805=0,"없음",IF(N805=0,"전부 제외","사용"))</f>
        <v/>
      </c>
      <c r="U805" s="18" t="inlineStr"/>
    </row>
    <row r="806" ht="30" customHeight="1">
      <c r="A806" s="18" t="n">
        <v>802</v>
      </c>
      <c r="B806" s="18" t="inlineStr">
        <is>
          <t>마샤도</t>
        </is>
      </c>
      <c r="C806" s="18" t="inlineStr">
        <is>
          <t>marshadow</t>
        </is>
      </c>
      <c r="D806" s="18" t="inlineStr">
        <is>
          <t>Marshadow</t>
        </is>
      </c>
      <c r="E806" s="18" t="n">
        <v>7</v>
      </c>
      <c r="F806" s="18" t="inlineStr">
        <is>
          <t>generation7</t>
        </is>
      </c>
      <c r="G806" s="18" t="inlineStr">
        <is>
          <t>fighting</t>
        </is>
      </c>
      <c r="H806" s="18" t="inlineStr">
        <is>
          <t>ghost</t>
        </is>
      </c>
      <c r="I806" s="18" t="inlineStr">
        <is>
          <t>아니오</t>
        </is>
      </c>
      <c r="J806" s="18" t="inlineStr">
        <is>
          <t>아니오</t>
        </is>
      </c>
      <c r="K806" s="18" t="inlineStr">
        <is>
          <t>예</t>
        </is>
      </c>
      <c r="L806" s="18" t="inlineStr">
        <is>
          <t>COBBLEVERSE 추가</t>
        </is>
      </c>
      <c r="M806" s="18">
        <f>COUNTIF('스폰_편집'!$D$5:$D$3125,A806)</f>
        <v/>
      </c>
      <c r="N806" s="18">
        <f>COUNTIFS('스폰_편집'!$D$5:$D$3125,A806,'스폰_편집'!$B$5:$B$3125,"사용")</f>
        <v/>
      </c>
      <c r="O806" s="18" t="n">
        <v>1</v>
      </c>
      <c r="P806" s="18" t="inlineStr">
        <is>
          <t>#cobblemon:is_deep_dark</t>
        </is>
      </c>
      <c r="Q806" s="18" t="inlineStr">
        <is>
          <t>ultra-rare</t>
        </is>
      </c>
      <c r="R806" s="18" t="inlineStr"/>
      <c r="S806" s="18" t="inlineStr">
        <is>
          <t>cobbleventure:generation_7</t>
        </is>
      </c>
      <c r="T806" s="18">
        <f>IF(M806=0,"없음",IF(N806=0,"전부 제외","사용"))</f>
        <v/>
      </c>
      <c r="U806" s="18" t="inlineStr"/>
    </row>
    <row r="807" ht="30" customHeight="1">
      <c r="A807" s="18" t="n">
        <v>803</v>
      </c>
      <c r="B807" s="18" t="inlineStr">
        <is>
          <t>베베놈</t>
        </is>
      </c>
      <c r="C807" s="18" t="inlineStr">
        <is>
          <t>poipole</t>
        </is>
      </c>
      <c r="D807" s="18" t="inlineStr">
        <is>
          <t>Poipole</t>
        </is>
      </c>
      <c r="E807" s="18" t="n">
        <v>7</v>
      </c>
      <c r="F807" s="18" t="inlineStr">
        <is>
          <t>generation7</t>
        </is>
      </c>
      <c r="G807" s="18" t="inlineStr">
        <is>
          <t>poison</t>
        </is>
      </c>
      <c r="H807" s="18" t="inlineStr"/>
      <c r="I807" s="18" t="inlineStr">
        <is>
          <t>예</t>
        </is>
      </c>
      <c r="J807" s="18" t="inlineStr">
        <is>
          <t>아니오</t>
        </is>
      </c>
      <c r="K807" s="18" t="inlineStr">
        <is>
          <t>예</t>
        </is>
      </c>
      <c r="L807" s="18" t="inlineStr">
        <is>
          <t>COBBLEVERSE 추가</t>
        </is>
      </c>
      <c r="M807" s="18">
        <f>COUNTIF('스폰_편집'!$D$5:$D$3125,A807)</f>
        <v/>
      </c>
      <c r="N807" s="18">
        <f>COUNTIFS('스폰_편집'!$D$5:$D$3125,A807,'스폰_편집'!$B$5:$B$3125,"사용")</f>
        <v/>
      </c>
      <c r="O807" s="18" t="n">
        <v>1</v>
      </c>
      <c r="P807" s="18" t="inlineStr">
        <is>
          <t>#cobblemon:is_end</t>
        </is>
      </c>
      <c r="Q807" s="18" t="inlineStr">
        <is>
          <t>ultra-rare</t>
        </is>
      </c>
      <c r="R807" s="18" t="inlineStr"/>
      <c r="S807" s="18" t="inlineStr">
        <is>
          <t>cobbleventure:generation_7</t>
        </is>
      </c>
      <c r="T807" s="18">
        <f>IF(M807=0,"없음",IF(N807=0,"전부 제외","사용"))</f>
        <v/>
      </c>
      <c r="U807" s="18" t="inlineStr"/>
    </row>
    <row r="808" ht="30" customHeight="1">
      <c r="A808" s="18" t="n">
        <v>804</v>
      </c>
      <c r="B808" s="18" t="inlineStr">
        <is>
          <t>아고용</t>
        </is>
      </c>
      <c r="C808" s="18" t="inlineStr">
        <is>
          <t>naganadel</t>
        </is>
      </c>
      <c r="D808" s="18" t="inlineStr">
        <is>
          <t>Naganadel</t>
        </is>
      </c>
      <c r="E808" s="18" t="n">
        <v>7</v>
      </c>
      <c r="F808" s="18" t="inlineStr">
        <is>
          <t>generation7</t>
        </is>
      </c>
      <c r="G808" s="18" t="inlineStr">
        <is>
          <t>poison</t>
        </is>
      </c>
      <c r="H808" s="18" t="inlineStr">
        <is>
          <t>dragon</t>
        </is>
      </c>
      <c r="I808" s="18" t="inlineStr">
        <is>
          <t>예</t>
        </is>
      </c>
      <c r="J808" s="18" t="inlineStr">
        <is>
          <t>아니오</t>
        </is>
      </c>
      <c r="K808" s="18" t="inlineStr">
        <is>
          <t>예</t>
        </is>
      </c>
      <c r="L808" s="18" t="inlineStr">
        <is>
          <t>COBBLEVERSE 추가</t>
        </is>
      </c>
      <c r="M808" s="18">
        <f>COUNTIF('스폰_편집'!$D$5:$D$3125,A808)</f>
        <v/>
      </c>
      <c r="N808" s="18">
        <f>COUNTIFS('스폰_편집'!$D$5:$D$3125,A808,'스폰_편집'!$B$5:$B$3125,"사용")</f>
        <v/>
      </c>
      <c r="O808" s="18" t="n">
        <v>1</v>
      </c>
      <c r="P808" s="18" t="inlineStr">
        <is>
          <t>#minecraft:is_end</t>
        </is>
      </c>
      <c r="Q808" s="18" t="inlineStr">
        <is>
          <t>ultra-rare</t>
        </is>
      </c>
      <c r="R808" s="18" t="inlineStr"/>
      <c r="S808" s="18" t="inlineStr">
        <is>
          <t>cobbleventure:generation_7</t>
        </is>
      </c>
      <c r="T808" s="18">
        <f>IF(M808=0,"없음",IF(N808=0,"전부 제외","사용"))</f>
        <v/>
      </c>
      <c r="U808" s="18" t="inlineStr"/>
    </row>
    <row r="809" ht="30" customHeight="1">
      <c r="A809" s="18" t="n">
        <v>805</v>
      </c>
      <c r="B809" s="18" t="inlineStr">
        <is>
          <t>차곡차곡</t>
        </is>
      </c>
      <c r="C809" s="18" t="inlineStr">
        <is>
          <t>stakataka</t>
        </is>
      </c>
      <c r="D809" s="18" t="inlineStr">
        <is>
          <t>Stakataka</t>
        </is>
      </c>
      <c r="E809" s="18" t="n">
        <v>7</v>
      </c>
      <c r="F809" s="18" t="inlineStr">
        <is>
          <t>generation7</t>
        </is>
      </c>
      <c r="G809" s="18" t="inlineStr">
        <is>
          <t>rock</t>
        </is>
      </c>
      <c r="H809" s="18" t="inlineStr">
        <is>
          <t>steel</t>
        </is>
      </c>
      <c r="I809" s="18" t="inlineStr">
        <is>
          <t>아니오</t>
        </is>
      </c>
      <c r="J809" s="18" t="inlineStr">
        <is>
          <t>아니오</t>
        </is>
      </c>
      <c r="K809" s="18" t="inlineStr">
        <is>
          <t>예</t>
        </is>
      </c>
      <c r="L809" s="18" t="inlineStr">
        <is>
          <t>COBBLEVERSE 추가</t>
        </is>
      </c>
      <c r="M809" s="18">
        <f>COUNTIF('스폰_편집'!$D$5:$D$3125,A809)</f>
        <v/>
      </c>
      <c r="N809" s="18">
        <f>COUNTIFS('스폰_편집'!$D$5:$D$3125,A809,'스폰_편집'!$B$5:$B$3125,"사용")</f>
        <v/>
      </c>
      <c r="O809" s="18" t="n">
        <v>1</v>
      </c>
      <c r="P809" s="18" t="inlineStr">
        <is>
          <t>minecraft:deep_dark</t>
        </is>
      </c>
      <c r="Q809" s="18" t="inlineStr">
        <is>
          <t>ultra-rare</t>
        </is>
      </c>
      <c r="R809" s="18" t="inlineStr"/>
      <c r="S809" s="18" t="inlineStr">
        <is>
          <t>cobbleventure:generation_7</t>
        </is>
      </c>
      <c r="T809" s="18">
        <f>IF(M809=0,"없음",IF(N809=0,"전부 제외","사용"))</f>
        <v/>
      </c>
      <c r="U809" s="18" t="inlineStr"/>
    </row>
    <row r="810" ht="30" customHeight="1">
      <c r="A810" s="18" t="n">
        <v>806</v>
      </c>
      <c r="B810" s="18" t="inlineStr">
        <is>
          <t>두파팡</t>
        </is>
      </c>
      <c r="C810" s="18" t="inlineStr">
        <is>
          <t>blacephalon</t>
        </is>
      </c>
      <c r="D810" s="18" t="inlineStr">
        <is>
          <t>Blacephalon</t>
        </is>
      </c>
      <c r="E810" s="18" t="n">
        <v>7</v>
      </c>
      <c r="F810" s="18" t="inlineStr">
        <is>
          <t>generation7</t>
        </is>
      </c>
      <c r="G810" s="18" t="inlineStr">
        <is>
          <t>fire</t>
        </is>
      </c>
      <c r="H810" s="18" t="inlineStr">
        <is>
          <t>ghost</t>
        </is>
      </c>
      <c r="I810" s="18" t="inlineStr">
        <is>
          <t>아니오</t>
        </is>
      </c>
      <c r="J810" s="18" t="inlineStr">
        <is>
          <t>아니오</t>
        </is>
      </c>
      <c r="K810" s="18" t="inlineStr">
        <is>
          <t>예</t>
        </is>
      </c>
      <c r="L810" s="18" t="inlineStr">
        <is>
          <t>COBBLEVERSE 추가</t>
        </is>
      </c>
      <c r="M810" s="18">
        <f>COUNTIF('스폰_편집'!$D$5:$D$3125,A810)</f>
        <v/>
      </c>
      <c r="N810" s="18">
        <f>COUNTIFS('스폰_편집'!$D$5:$D$3125,A810,'스폰_편집'!$B$5:$B$3125,"사용")</f>
        <v/>
      </c>
      <c r="O810" s="18" t="n">
        <v>1</v>
      </c>
      <c r="P810" s="18" t="inlineStr">
        <is>
          <t>#cobblemon:is_spooky</t>
        </is>
      </c>
      <c r="Q810" s="18" t="inlineStr">
        <is>
          <t>ultra-rare</t>
        </is>
      </c>
      <c r="R810" s="18" t="inlineStr"/>
      <c r="S810" s="18" t="inlineStr">
        <is>
          <t>cobbleventure:generation_7</t>
        </is>
      </c>
      <c r="T810" s="18">
        <f>IF(M810=0,"없음",IF(N810=0,"전부 제외","사용"))</f>
        <v/>
      </c>
      <c r="U810" s="18" t="inlineStr"/>
    </row>
    <row r="811" ht="30" customHeight="1">
      <c r="A811" s="18" t="n">
        <v>807</v>
      </c>
      <c r="B811" s="18" t="inlineStr">
        <is>
          <t>제라오라</t>
        </is>
      </c>
      <c r="C811" s="18" t="inlineStr">
        <is>
          <t>zeraora</t>
        </is>
      </c>
      <c r="D811" s="18" t="inlineStr">
        <is>
          <t>Zeraora</t>
        </is>
      </c>
      <c r="E811" s="18" t="n">
        <v>7</v>
      </c>
      <c r="F811" s="18" t="inlineStr">
        <is>
          <t>generation7</t>
        </is>
      </c>
      <c r="G811" s="18" t="inlineStr">
        <is>
          <t>electric</t>
        </is>
      </c>
      <c r="H811" s="18" t="inlineStr"/>
      <c r="I811" s="18" t="inlineStr">
        <is>
          <t>아니오</t>
        </is>
      </c>
      <c r="J811" s="18" t="inlineStr">
        <is>
          <t>아니오</t>
        </is>
      </c>
      <c r="K811" s="18" t="inlineStr">
        <is>
          <t>예</t>
        </is>
      </c>
      <c r="L811" s="18" t="inlineStr">
        <is>
          <t>COBBLEVERSE 추가</t>
        </is>
      </c>
      <c r="M811" s="18">
        <f>COUNTIF('스폰_편집'!$D$5:$D$3125,A811)</f>
        <v/>
      </c>
      <c r="N811" s="18">
        <f>COUNTIFS('스폰_편집'!$D$5:$D$3125,A811,'스폰_편집'!$B$5:$B$3125,"사용")</f>
        <v/>
      </c>
      <c r="O811" s="18" t="n">
        <v>2</v>
      </c>
      <c r="P811" s="18" t="inlineStr">
        <is>
          <t>#cobblemon:is_badlands; #minecraft:is_forest</t>
        </is>
      </c>
      <c r="Q811" s="18" t="inlineStr">
        <is>
          <t>ultra-rare</t>
        </is>
      </c>
      <c r="R811" s="18" t="inlineStr">
        <is>
          <t>region_01</t>
        </is>
      </c>
      <c r="S811" s="18" t="inlineStr">
        <is>
          <t>cobbleventure:generation_7</t>
        </is>
      </c>
      <c r="T811" s="18">
        <f>IF(M811=0,"없음",IF(N811=0,"전부 제외","사용"))</f>
        <v/>
      </c>
      <c r="U811" s="18" t="inlineStr"/>
    </row>
    <row r="812" ht="30" customHeight="1">
      <c r="A812" s="18" t="n">
        <v>808</v>
      </c>
      <c r="B812" s="18" t="inlineStr">
        <is>
          <t>멜탄</t>
        </is>
      </c>
      <c r="C812" s="18" t="inlineStr">
        <is>
          <t>meltan</t>
        </is>
      </c>
      <c r="D812" s="18" t="inlineStr">
        <is>
          <t>Meltan</t>
        </is>
      </c>
      <c r="E812" s="18" t="n">
        <v>7</v>
      </c>
      <c r="F812" s="18" t="inlineStr">
        <is>
          <t>generation7b</t>
        </is>
      </c>
      <c r="G812" s="18" t="inlineStr">
        <is>
          <t>steel</t>
        </is>
      </c>
      <c r="H812" s="18" t="inlineStr"/>
      <c r="I812" s="18" t="inlineStr">
        <is>
          <t>아니오</t>
        </is>
      </c>
      <c r="J812" s="18" t="inlineStr">
        <is>
          <t>아니오</t>
        </is>
      </c>
      <c r="K812" s="18" t="inlineStr">
        <is>
          <t>예</t>
        </is>
      </c>
      <c r="L812" s="18" t="inlineStr">
        <is>
          <t>COBBLEVERSE 추가</t>
        </is>
      </c>
      <c r="M812" s="18">
        <f>COUNTIF('스폰_편집'!$D$5:$D$3125,A812)</f>
        <v/>
      </c>
      <c r="N812" s="18">
        <f>COUNTIFS('스폰_편집'!$D$5:$D$3125,A812,'스폰_편집'!$B$5:$B$3125,"사용")</f>
        <v/>
      </c>
      <c r="O812" s="18" t="n">
        <v>2</v>
      </c>
      <c r="P812" s="18" t="inlineStr">
        <is>
          <t>#cobblemon:is_overworld; minecraft:beach</t>
        </is>
      </c>
      <c r="Q812" s="18" t="inlineStr">
        <is>
          <t>ultra-rare</t>
        </is>
      </c>
      <c r="R812" s="18" t="inlineStr">
        <is>
          <t>region_01; region_02</t>
        </is>
      </c>
      <c r="S812" s="18" t="inlineStr">
        <is>
          <t>cobbleventure:generation_7</t>
        </is>
      </c>
      <c r="T812" s="18">
        <f>IF(M812=0,"없음",IF(N812=0,"전부 제외","사용"))</f>
        <v/>
      </c>
      <c r="U812" s="18" t="inlineStr"/>
    </row>
    <row r="813" ht="30" customHeight="1">
      <c r="A813" s="18" t="n">
        <v>809</v>
      </c>
      <c r="B813" s="18" t="inlineStr">
        <is>
          <t>멜메탈</t>
        </is>
      </c>
      <c r="C813" s="18" t="inlineStr">
        <is>
          <t>melmetal</t>
        </is>
      </c>
      <c r="D813" s="18" t="inlineStr">
        <is>
          <t>Melmetal</t>
        </is>
      </c>
      <c r="E813" s="18" t="n">
        <v>7</v>
      </c>
      <c r="F813" s="18" t="inlineStr">
        <is>
          <t>generation7b</t>
        </is>
      </c>
      <c r="G813" s="18" t="inlineStr">
        <is>
          <t>steel</t>
        </is>
      </c>
      <c r="H813" s="18" t="inlineStr"/>
      <c r="I813" s="18" t="inlineStr">
        <is>
          <t>아니오</t>
        </is>
      </c>
      <c r="J813" s="18" t="inlineStr">
        <is>
          <t>아니오</t>
        </is>
      </c>
      <c r="K813" s="18" t="inlineStr">
        <is>
          <t>아니오</t>
        </is>
      </c>
      <c r="L813" s="18" t="inlineStr">
        <is>
          <t>자연스폰 없음</t>
        </is>
      </c>
      <c r="M813" s="18">
        <f>COUNTIF('스폰_편집'!$D$5:$D$3125,A813)</f>
        <v/>
      </c>
      <c r="N813" s="18">
        <f>COUNTIFS('스폰_편집'!$D$5:$D$3125,A813,'스폰_편집'!$B$5:$B$3125,"사용")</f>
        <v/>
      </c>
      <c r="O813" s="18" t="n">
        <v>0</v>
      </c>
      <c r="P813" s="18" t="inlineStr"/>
      <c r="Q813" s="18" t="inlineStr"/>
      <c r="R813" s="18" t="inlineStr"/>
      <c r="S813" s="18" t="inlineStr">
        <is>
          <t>cobbleventure:generation_7</t>
        </is>
      </c>
      <c r="T813" s="18">
        <f>IF(M813=0,"없음",IF(N813=0,"전부 제외","사용"))</f>
        <v/>
      </c>
      <c r="U813" s="18" t="inlineStr">
        <is>
          <t>자연 스폰 JSON 없음: 진화·복원·기타 획득 방식 확인 필요</t>
        </is>
      </c>
    </row>
    <row r="814" ht="30" customHeight="1">
      <c r="A814" s="18" t="n">
        <v>810</v>
      </c>
      <c r="B814" s="18" t="inlineStr">
        <is>
          <t>흥나숭</t>
        </is>
      </c>
      <c r="C814" s="18" t="inlineStr">
        <is>
          <t>grookey</t>
        </is>
      </c>
      <c r="D814" s="18" t="inlineStr">
        <is>
          <t>Grookey</t>
        </is>
      </c>
      <c r="E814" s="18" t="n">
        <v>8</v>
      </c>
      <c r="F814" s="18" t="inlineStr">
        <is>
          <t>generation8</t>
        </is>
      </c>
      <c r="G814" s="18" t="inlineStr">
        <is>
          <t>grass</t>
        </is>
      </c>
      <c r="H814" s="18" t="inlineStr"/>
      <c r="I814" s="18" t="inlineStr">
        <is>
          <t>예</t>
        </is>
      </c>
      <c r="J814" s="18" t="inlineStr">
        <is>
          <t>예</t>
        </is>
      </c>
      <c r="K814" s="18" t="inlineStr">
        <is>
          <t>예</t>
        </is>
      </c>
      <c r="L814" s="18" t="inlineStr">
        <is>
          <t>Cobblemon 동일</t>
        </is>
      </c>
      <c r="M814" s="18">
        <f>COUNTIF('스폰_편집'!$D$5:$D$3125,A814)</f>
        <v/>
      </c>
      <c r="N814" s="18">
        <f>COUNTIFS('스폰_편집'!$D$5:$D$3125,A814,'스폰_편집'!$B$5:$B$3125,"사용")</f>
        <v/>
      </c>
      <c r="O814" s="18" t="n">
        <v>2</v>
      </c>
      <c r="P814" s="18" t="inlineStr">
        <is>
          <t>#cobblemon:is_jungle; #cobblemon:is_tropical_island</t>
        </is>
      </c>
      <c r="Q814" s="18" t="inlineStr">
        <is>
          <t>ultra-rare</t>
        </is>
      </c>
      <c r="R814" s="18" t="inlineStr"/>
      <c r="S814" s="18" t="inlineStr">
        <is>
          <t>cobbleventure:generation_8</t>
        </is>
      </c>
      <c r="T814" s="18">
        <f>IF(M814=0,"없음",IF(N814=0,"전부 제외","사용"))</f>
        <v/>
      </c>
      <c r="U814" s="18" t="inlineStr"/>
    </row>
    <row r="815" ht="30" customHeight="1">
      <c r="A815" s="18" t="n">
        <v>811</v>
      </c>
      <c r="B815" s="18" t="inlineStr">
        <is>
          <t>채키몽</t>
        </is>
      </c>
      <c r="C815" s="18" t="inlineStr">
        <is>
          <t>thwackey</t>
        </is>
      </c>
      <c r="D815" s="18" t="inlineStr">
        <is>
          <t>Thwackey</t>
        </is>
      </c>
      <c r="E815" s="18" t="n">
        <v>8</v>
      </c>
      <c r="F815" s="18" t="inlineStr">
        <is>
          <t>generation8</t>
        </is>
      </c>
      <c r="G815" s="18" t="inlineStr">
        <is>
          <t>grass</t>
        </is>
      </c>
      <c r="H815" s="18" t="inlineStr"/>
      <c r="I815" s="18" t="inlineStr">
        <is>
          <t>예</t>
        </is>
      </c>
      <c r="J815" s="18" t="inlineStr">
        <is>
          <t>예</t>
        </is>
      </c>
      <c r="K815" s="18" t="inlineStr">
        <is>
          <t>예</t>
        </is>
      </c>
      <c r="L815" s="18" t="inlineStr">
        <is>
          <t>Cobblemon 동일</t>
        </is>
      </c>
      <c r="M815" s="18">
        <f>COUNTIF('스폰_편집'!$D$5:$D$3125,A815)</f>
        <v/>
      </c>
      <c r="N815" s="18">
        <f>COUNTIFS('스폰_편집'!$D$5:$D$3125,A815,'스폰_편집'!$B$5:$B$3125,"사용")</f>
        <v/>
      </c>
      <c r="O815" s="18" t="n">
        <v>2</v>
      </c>
      <c r="P815" s="18" t="inlineStr">
        <is>
          <t>#cobblemon:is_jungle; #cobblemon:is_tropical_island</t>
        </is>
      </c>
      <c r="Q815" s="18" t="inlineStr">
        <is>
          <t>ultra-rare</t>
        </is>
      </c>
      <c r="R815" s="18" t="inlineStr"/>
      <c r="S815" s="18" t="inlineStr">
        <is>
          <t>cobbleventure:generation_8</t>
        </is>
      </c>
      <c r="T815" s="18">
        <f>IF(M815=0,"없음",IF(N815=0,"전부 제외","사용"))</f>
        <v/>
      </c>
      <c r="U815" s="18" t="inlineStr"/>
    </row>
    <row r="816" ht="30" customHeight="1">
      <c r="A816" s="18" t="n">
        <v>812</v>
      </c>
      <c r="B816" s="18" t="inlineStr">
        <is>
          <t>고릴타</t>
        </is>
      </c>
      <c r="C816" s="18" t="inlineStr">
        <is>
          <t>rillaboom</t>
        </is>
      </c>
      <c r="D816" s="18" t="inlineStr">
        <is>
          <t>Rillaboom</t>
        </is>
      </c>
      <c r="E816" s="18" t="n">
        <v>8</v>
      </c>
      <c r="F816" s="18" t="inlineStr">
        <is>
          <t>generation8</t>
        </is>
      </c>
      <c r="G816" s="18" t="inlineStr">
        <is>
          <t>grass</t>
        </is>
      </c>
      <c r="H816" s="18" t="inlineStr"/>
      <c r="I816" s="18" t="inlineStr">
        <is>
          <t>예</t>
        </is>
      </c>
      <c r="J816" s="18" t="inlineStr">
        <is>
          <t>예</t>
        </is>
      </c>
      <c r="K816" s="18" t="inlineStr">
        <is>
          <t>예</t>
        </is>
      </c>
      <c r="L816" s="18" t="inlineStr">
        <is>
          <t>Cobblemon 동일</t>
        </is>
      </c>
      <c r="M816" s="18">
        <f>COUNTIF('스폰_편집'!$D$5:$D$3125,A816)</f>
        <v/>
      </c>
      <c r="N816" s="18">
        <f>COUNTIFS('스폰_편집'!$D$5:$D$3125,A816,'스폰_편집'!$B$5:$B$3125,"사용")</f>
        <v/>
      </c>
      <c r="O816" s="18" t="n">
        <v>2</v>
      </c>
      <c r="P816" s="18" t="inlineStr">
        <is>
          <t>#cobblemon:is_jungle; #cobblemon:is_tropical_island</t>
        </is>
      </c>
      <c r="Q816" s="18" t="inlineStr">
        <is>
          <t>ultra-rare</t>
        </is>
      </c>
      <c r="R816" s="18" t="inlineStr"/>
      <c r="S816" s="18" t="inlineStr">
        <is>
          <t>cobbleventure:generation_8</t>
        </is>
      </c>
      <c r="T816" s="18">
        <f>IF(M816=0,"없음",IF(N816=0,"전부 제외","사용"))</f>
        <v/>
      </c>
      <c r="U816" s="18" t="inlineStr"/>
    </row>
    <row r="817" ht="30" customHeight="1">
      <c r="A817" s="18" t="n">
        <v>813</v>
      </c>
      <c r="B817" s="18" t="inlineStr">
        <is>
          <t>염버니</t>
        </is>
      </c>
      <c r="C817" s="18" t="inlineStr">
        <is>
          <t>scorbunny</t>
        </is>
      </c>
      <c r="D817" s="18" t="inlineStr">
        <is>
          <t>Scorbunny</t>
        </is>
      </c>
      <c r="E817" s="18" t="n">
        <v>8</v>
      </c>
      <c r="F817" s="18" t="inlineStr">
        <is>
          <t>generation8</t>
        </is>
      </c>
      <c r="G817" s="18" t="inlineStr">
        <is>
          <t>fire</t>
        </is>
      </c>
      <c r="H817" s="18" t="inlineStr"/>
      <c r="I817" s="18" t="inlineStr">
        <is>
          <t>예</t>
        </is>
      </c>
      <c r="J817" s="18" t="inlineStr">
        <is>
          <t>예</t>
        </is>
      </c>
      <c r="K817" s="18" t="inlineStr">
        <is>
          <t>예</t>
        </is>
      </c>
      <c r="L817" s="18" t="inlineStr">
        <is>
          <t>COBBLEVERSE 수정</t>
        </is>
      </c>
      <c r="M817" s="18">
        <f>COUNTIF('스폰_편집'!$D$5:$D$3125,A817)</f>
        <v/>
      </c>
      <c r="N817" s="18">
        <f>COUNTIFS('스폰_편집'!$D$5:$D$3125,A817,'스폰_편집'!$B$5:$B$3125,"사용")</f>
        <v/>
      </c>
      <c r="O817" s="18" t="n">
        <v>3</v>
      </c>
      <c r="P817" s="18" t="inlineStr">
        <is>
          <t>#cobblemon:is_grassland; aether:skyroot_grove; aether:skyroot_meadow</t>
        </is>
      </c>
      <c r="Q817" s="18" t="inlineStr">
        <is>
          <t>ultra-rare</t>
        </is>
      </c>
      <c r="R817" s="18" t="inlineStr">
        <is>
          <t>region_01</t>
        </is>
      </c>
      <c r="S817" s="18" t="inlineStr">
        <is>
          <t>cobbleventure:generation_8</t>
        </is>
      </c>
      <c r="T817" s="18">
        <f>IF(M817=0,"없음",IF(N817=0,"전부 제외","사용"))</f>
        <v/>
      </c>
      <c r="U817" s="18" t="inlineStr"/>
    </row>
    <row r="818" ht="30" customHeight="1">
      <c r="A818" s="18" t="n">
        <v>814</v>
      </c>
      <c r="B818" s="18" t="inlineStr">
        <is>
          <t>래비풋</t>
        </is>
      </c>
      <c r="C818" s="18" t="inlineStr">
        <is>
          <t>raboot</t>
        </is>
      </c>
      <c r="D818" s="18" t="inlineStr">
        <is>
          <t>Raboot</t>
        </is>
      </c>
      <c r="E818" s="18" t="n">
        <v>8</v>
      </c>
      <c r="F818" s="18" t="inlineStr">
        <is>
          <t>generation8</t>
        </is>
      </c>
      <c r="G818" s="18" t="inlineStr">
        <is>
          <t>fire</t>
        </is>
      </c>
      <c r="H818" s="18" t="inlineStr"/>
      <c r="I818" s="18" t="inlineStr">
        <is>
          <t>예</t>
        </is>
      </c>
      <c r="J818" s="18" t="inlineStr">
        <is>
          <t>예</t>
        </is>
      </c>
      <c r="K818" s="18" t="inlineStr">
        <is>
          <t>예</t>
        </is>
      </c>
      <c r="L818" s="18" t="inlineStr">
        <is>
          <t>COBBLEVERSE 수정</t>
        </is>
      </c>
      <c r="M818" s="18">
        <f>COUNTIF('스폰_편집'!$D$5:$D$3125,A818)</f>
        <v/>
      </c>
      <c r="N818" s="18">
        <f>COUNTIFS('스폰_편집'!$D$5:$D$3125,A818,'스폰_편집'!$B$5:$B$3125,"사용")</f>
        <v/>
      </c>
      <c r="O818" s="18" t="n">
        <v>3</v>
      </c>
      <c r="P818" s="18" t="inlineStr">
        <is>
          <t>#cobblemon:is_grassland; aether:skyroot_grove; aether:skyroot_meadow</t>
        </is>
      </c>
      <c r="Q818" s="18" t="inlineStr">
        <is>
          <t>ultra-rare</t>
        </is>
      </c>
      <c r="R818" s="18" t="inlineStr">
        <is>
          <t>region_01</t>
        </is>
      </c>
      <c r="S818" s="18" t="inlineStr">
        <is>
          <t>cobbleventure:generation_8</t>
        </is>
      </c>
      <c r="T818" s="18">
        <f>IF(M818=0,"없음",IF(N818=0,"전부 제외","사용"))</f>
        <v/>
      </c>
      <c r="U818" s="18" t="inlineStr"/>
    </row>
    <row r="819" ht="30" customHeight="1">
      <c r="A819" s="18" t="n">
        <v>815</v>
      </c>
      <c r="B819" s="18" t="inlineStr">
        <is>
          <t>에이스번</t>
        </is>
      </c>
      <c r="C819" s="18" t="inlineStr">
        <is>
          <t>cinderace</t>
        </is>
      </c>
      <c r="D819" s="18" t="inlineStr">
        <is>
          <t>Cinderace</t>
        </is>
      </c>
      <c r="E819" s="18" t="n">
        <v>8</v>
      </c>
      <c r="F819" s="18" t="inlineStr">
        <is>
          <t>generation8</t>
        </is>
      </c>
      <c r="G819" s="18" t="inlineStr">
        <is>
          <t>fire</t>
        </is>
      </c>
      <c r="H819" s="18" t="inlineStr"/>
      <c r="I819" s="18" t="inlineStr">
        <is>
          <t>예</t>
        </is>
      </c>
      <c r="J819" s="18" t="inlineStr">
        <is>
          <t>예</t>
        </is>
      </c>
      <c r="K819" s="18" t="inlineStr">
        <is>
          <t>예</t>
        </is>
      </c>
      <c r="L819" s="18" t="inlineStr">
        <is>
          <t>COBBLEVERSE 수정</t>
        </is>
      </c>
      <c r="M819" s="18">
        <f>COUNTIF('스폰_편집'!$D$5:$D$3125,A819)</f>
        <v/>
      </c>
      <c r="N819" s="18">
        <f>COUNTIFS('스폰_편집'!$D$5:$D$3125,A819,'스폰_편집'!$B$5:$B$3125,"사용")</f>
        <v/>
      </c>
      <c r="O819" s="18" t="n">
        <v>3</v>
      </c>
      <c r="P819" s="18" t="inlineStr">
        <is>
          <t>#cobblemon:is_grassland; aether:skyroot_grove; aether:skyroot_meadow</t>
        </is>
      </c>
      <c r="Q819" s="18" t="inlineStr">
        <is>
          <t>ultra-rare</t>
        </is>
      </c>
      <c r="R819" s="18" t="inlineStr">
        <is>
          <t>region_01</t>
        </is>
      </c>
      <c r="S819" s="18" t="inlineStr">
        <is>
          <t>cobbleventure:generation_8</t>
        </is>
      </c>
      <c r="T819" s="18">
        <f>IF(M819=0,"없음",IF(N819=0,"전부 제외","사용"))</f>
        <v/>
      </c>
      <c r="U819" s="18" t="inlineStr"/>
    </row>
    <row r="820" ht="30" customHeight="1">
      <c r="A820" s="18" t="n">
        <v>816</v>
      </c>
      <c r="B820" s="18" t="inlineStr">
        <is>
          <t>울머기</t>
        </is>
      </c>
      <c r="C820" s="18" t="inlineStr">
        <is>
          <t>sobble</t>
        </is>
      </c>
      <c r="D820" s="18" t="inlineStr">
        <is>
          <t>Sobble</t>
        </is>
      </c>
      <c r="E820" s="18" t="n">
        <v>8</v>
      </c>
      <c r="F820" s="18" t="inlineStr">
        <is>
          <t>generation8</t>
        </is>
      </c>
      <c r="G820" s="18" t="inlineStr">
        <is>
          <t>water</t>
        </is>
      </c>
      <c r="H820" s="18" t="inlineStr"/>
      <c r="I820" s="18" t="inlineStr">
        <is>
          <t>예</t>
        </is>
      </c>
      <c r="J820" s="18" t="inlineStr">
        <is>
          <t>예</t>
        </is>
      </c>
      <c r="K820" s="18" t="inlineStr">
        <is>
          <t>예</t>
        </is>
      </c>
      <c r="L820" s="18" t="inlineStr">
        <is>
          <t>Cobblemon 동일</t>
        </is>
      </c>
      <c r="M820" s="18">
        <f>COUNTIF('스폰_편집'!$D$5:$D$3125,A820)</f>
        <v/>
      </c>
      <c r="N820" s="18">
        <f>COUNTIFS('스폰_편집'!$D$5:$D$3125,A820,'스폰_편집'!$B$5:$B$3125,"사용")</f>
        <v/>
      </c>
      <c r="O820" s="18" t="n">
        <v>3</v>
      </c>
      <c r="P820" s="18" t="inlineStr">
        <is>
          <t>#cobblemon:is_forest; #cobblemon:is_jungle; #cobblemon:is_swamp</t>
        </is>
      </c>
      <c r="Q820" s="18" t="inlineStr">
        <is>
          <t>ultra-rare</t>
        </is>
      </c>
      <c r="R820" s="18" t="inlineStr">
        <is>
          <t>region_01; region_02</t>
        </is>
      </c>
      <c r="S820" s="18" t="inlineStr">
        <is>
          <t>cobbleventure:generation_8</t>
        </is>
      </c>
      <c r="T820" s="18">
        <f>IF(M820=0,"없음",IF(N820=0,"전부 제외","사용"))</f>
        <v/>
      </c>
      <c r="U820" s="18" t="inlineStr"/>
    </row>
    <row r="821" ht="30" customHeight="1">
      <c r="A821" s="18" t="n">
        <v>817</v>
      </c>
      <c r="B821" s="18" t="inlineStr">
        <is>
          <t>누겔레온</t>
        </is>
      </c>
      <c r="C821" s="18" t="inlineStr">
        <is>
          <t>drizzile</t>
        </is>
      </c>
      <c r="D821" s="18" t="inlineStr">
        <is>
          <t>Drizzile</t>
        </is>
      </c>
      <c r="E821" s="18" t="n">
        <v>8</v>
      </c>
      <c r="F821" s="18" t="inlineStr">
        <is>
          <t>generation8</t>
        </is>
      </c>
      <c r="G821" s="18" t="inlineStr">
        <is>
          <t>water</t>
        </is>
      </c>
      <c r="H821" s="18" t="inlineStr"/>
      <c r="I821" s="18" t="inlineStr">
        <is>
          <t>예</t>
        </is>
      </c>
      <c r="J821" s="18" t="inlineStr">
        <is>
          <t>예</t>
        </is>
      </c>
      <c r="K821" s="18" t="inlineStr">
        <is>
          <t>예</t>
        </is>
      </c>
      <c r="L821" s="18" t="inlineStr">
        <is>
          <t>Cobblemon 동일</t>
        </is>
      </c>
      <c r="M821" s="18">
        <f>COUNTIF('스폰_편집'!$D$5:$D$3125,A821)</f>
        <v/>
      </c>
      <c r="N821" s="18">
        <f>COUNTIFS('스폰_편집'!$D$5:$D$3125,A821,'스폰_편집'!$B$5:$B$3125,"사용")</f>
        <v/>
      </c>
      <c r="O821" s="18" t="n">
        <v>3</v>
      </c>
      <c r="P821" s="18" t="inlineStr">
        <is>
          <t>#cobblemon:is_forest; #cobblemon:is_jungle; #cobblemon:is_swamp</t>
        </is>
      </c>
      <c r="Q821" s="18" t="inlineStr">
        <is>
          <t>ultra-rare</t>
        </is>
      </c>
      <c r="R821" s="18" t="inlineStr">
        <is>
          <t>region_01; region_02</t>
        </is>
      </c>
      <c r="S821" s="18" t="inlineStr">
        <is>
          <t>cobbleventure:generation_8</t>
        </is>
      </c>
      <c r="T821" s="18">
        <f>IF(M821=0,"없음",IF(N821=0,"전부 제외","사용"))</f>
        <v/>
      </c>
      <c r="U821" s="18" t="inlineStr"/>
    </row>
    <row r="822" ht="30" customHeight="1">
      <c r="A822" s="18" t="n">
        <v>818</v>
      </c>
      <c r="B822" s="18" t="inlineStr">
        <is>
          <t>인텔리레온</t>
        </is>
      </c>
      <c r="C822" s="18" t="inlineStr">
        <is>
          <t>inteleon</t>
        </is>
      </c>
      <c r="D822" s="18" t="inlineStr">
        <is>
          <t>Inteleon</t>
        </is>
      </c>
      <c r="E822" s="18" t="n">
        <v>8</v>
      </c>
      <c r="F822" s="18" t="inlineStr">
        <is>
          <t>generation8</t>
        </is>
      </c>
      <c r="G822" s="18" t="inlineStr">
        <is>
          <t>water</t>
        </is>
      </c>
      <c r="H822" s="18" t="inlineStr"/>
      <c r="I822" s="18" t="inlineStr">
        <is>
          <t>예</t>
        </is>
      </c>
      <c r="J822" s="18" t="inlineStr">
        <is>
          <t>예</t>
        </is>
      </c>
      <c r="K822" s="18" t="inlineStr">
        <is>
          <t>예</t>
        </is>
      </c>
      <c r="L822" s="18" t="inlineStr">
        <is>
          <t>Cobblemon 동일</t>
        </is>
      </c>
      <c r="M822" s="18">
        <f>COUNTIF('스폰_편집'!$D$5:$D$3125,A822)</f>
        <v/>
      </c>
      <c r="N822" s="18">
        <f>COUNTIFS('스폰_편집'!$D$5:$D$3125,A822,'스폰_편집'!$B$5:$B$3125,"사용")</f>
        <v/>
      </c>
      <c r="O822" s="18" t="n">
        <v>3</v>
      </c>
      <c r="P822" s="18" t="inlineStr">
        <is>
          <t>#cobblemon:is_forest; #cobblemon:is_jungle; #cobblemon:is_swamp</t>
        </is>
      </c>
      <c r="Q822" s="18" t="inlineStr">
        <is>
          <t>ultra-rare</t>
        </is>
      </c>
      <c r="R822" s="18" t="inlineStr">
        <is>
          <t>region_01; region_02</t>
        </is>
      </c>
      <c r="S822" s="18" t="inlineStr">
        <is>
          <t>cobbleventure:generation_8</t>
        </is>
      </c>
      <c r="T822" s="18">
        <f>IF(M822=0,"없음",IF(N822=0,"전부 제외","사용"))</f>
        <v/>
      </c>
      <c r="U822" s="18" t="inlineStr"/>
    </row>
    <row r="823" ht="30" customHeight="1">
      <c r="A823" s="18" t="n">
        <v>819</v>
      </c>
      <c r="B823" s="18" t="inlineStr">
        <is>
          <t>탐리스</t>
        </is>
      </c>
      <c r="C823" s="18" t="inlineStr">
        <is>
          <t>skwovet</t>
        </is>
      </c>
      <c r="D823" s="18" t="inlineStr">
        <is>
          <t>Skwovet</t>
        </is>
      </c>
      <c r="E823" s="18" t="n">
        <v>8</v>
      </c>
      <c r="F823" s="18" t="inlineStr">
        <is>
          <t>generation8</t>
        </is>
      </c>
      <c r="G823" s="18" t="inlineStr">
        <is>
          <t>normal</t>
        </is>
      </c>
      <c r="H823" s="18" t="inlineStr"/>
      <c r="I823" s="18" t="inlineStr">
        <is>
          <t>예</t>
        </is>
      </c>
      <c r="J823" s="18" t="inlineStr">
        <is>
          <t>예</t>
        </is>
      </c>
      <c r="K823" s="18" t="inlineStr">
        <is>
          <t>예</t>
        </is>
      </c>
      <c r="L823" s="18" t="inlineStr">
        <is>
          <t>Cobblemon 동일</t>
        </is>
      </c>
      <c r="M823" s="18">
        <f>COUNTIF('스폰_편집'!$D$5:$D$3125,A823)</f>
        <v/>
      </c>
      <c r="N823" s="18">
        <f>COUNTIFS('스폰_편집'!$D$5:$D$3125,A823,'스폰_편집'!$B$5:$B$3125,"사용")</f>
        <v/>
      </c>
      <c r="O823" s="18" t="n">
        <v>2</v>
      </c>
      <c r="P823" s="18" t="inlineStr">
        <is>
          <t>#cobblemon:is_forest; #cobblemon:is_taiga</t>
        </is>
      </c>
      <c r="Q823" s="18" t="inlineStr">
        <is>
          <t>common</t>
        </is>
      </c>
      <c r="R823" s="18" t="inlineStr">
        <is>
          <t>region_01</t>
        </is>
      </c>
      <c r="S823" s="18" t="inlineStr">
        <is>
          <t>cobbleventure:generation_8</t>
        </is>
      </c>
      <c r="T823" s="18">
        <f>IF(M823=0,"없음",IF(N823=0,"전부 제외","사용"))</f>
        <v/>
      </c>
      <c r="U823" s="18" t="inlineStr"/>
    </row>
    <row r="824" ht="30" customHeight="1">
      <c r="A824" s="18" t="n">
        <v>820</v>
      </c>
      <c r="B824" s="18" t="inlineStr">
        <is>
          <t>요씽리스</t>
        </is>
      </c>
      <c r="C824" s="18" t="inlineStr">
        <is>
          <t>greedent</t>
        </is>
      </c>
      <c r="D824" s="18" t="inlineStr">
        <is>
          <t>Greedent</t>
        </is>
      </c>
      <c r="E824" s="18" t="n">
        <v>8</v>
      </c>
      <c r="F824" s="18" t="inlineStr">
        <is>
          <t>generation8</t>
        </is>
      </c>
      <c r="G824" s="18" t="inlineStr">
        <is>
          <t>normal</t>
        </is>
      </c>
      <c r="H824" s="18" t="inlineStr"/>
      <c r="I824" s="18" t="inlineStr">
        <is>
          <t>예</t>
        </is>
      </c>
      <c r="J824" s="18" t="inlineStr">
        <is>
          <t>예</t>
        </is>
      </c>
      <c r="K824" s="18" t="inlineStr">
        <is>
          <t>예</t>
        </is>
      </c>
      <c r="L824" s="18" t="inlineStr">
        <is>
          <t>Cobblemon 동일</t>
        </is>
      </c>
      <c r="M824" s="18">
        <f>COUNTIF('스폰_편집'!$D$5:$D$3125,A824)</f>
        <v/>
      </c>
      <c r="N824" s="18">
        <f>COUNTIFS('스폰_편집'!$D$5:$D$3125,A824,'스폰_편집'!$B$5:$B$3125,"사용")</f>
        <v/>
      </c>
      <c r="O824" s="18" t="n">
        <v>2</v>
      </c>
      <c r="P824" s="18" t="inlineStr">
        <is>
          <t>#cobblemon:is_forest; #cobblemon:is_taiga</t>
        </is>
      </c>
      <c r="Q824" s="18" t="inlineStr">
        <is>
          <t>common</t>
        </is>
      </c>
      <c r="R824" s="18" t="inlineStr">
        <is>
          <t>region_01</t>
        </is>
      </c>
      <c r="S824" s="18" t="inlineStr">
        <is>
          <t>cobbleventure:generation_8</t>
        </is>
      </c>
      <c r="T824" s="18">
        <f>IF(M824=0,"없음",IF(N824=0,"전부 제외","사용"))</f>
        <v/>
      </c>
      <c r="U824" s="18" t="inlineStr"/>
    </row>
    <row r="825" ht="30" customHeight="1">
      <c r="A825" s="18" t="n">
        <v>821</v>
      </c>
      <c r="B825" s="18" t="inlineStr">
        <is>
          <t>파라꼬</t>
        </is>
      </c>
      <c r="C825" s="18" t="inlineStr">
        <is>
          <t>rookidee</t>
        </is>
      </c>
      <c r="D825" s="18" t="inlineStr">
        <is>
          <t>Rookidee</t>
        </is>
      </c>
      <c r="E825" s="18" t="n">
        <v>8</v>
      </c>
      <c r="F825" s="18" t="inlineStr">
        <is>
          <t>generation8</t>
        </is>
      </c>
      <c r="G825" s="18" t="inlineStr">
        <is>
          <t>flying</t>
        </is>
      </c>
      <c r="H825" s="18" t="inlineStr"/>
      <c r="I825" s="18" t="inlineStr">
        <is>
          <t>예</t>
        </is>
      </c>
      <c r="J825" s="18" t="inlineStr">
        <is>
          <t>예</t>
        </is>
      </c>
      <c r="K825" s="18" t="inlineStr">
        <is>
          <t>예</t>
        </is>
      </c>
      <c r="L825" s="18" t="inlineStr">
        <is>
          <t>Cobblemon 동일</t>
        </is>
      </c>
      <c r="M825" s="18">
        <f>COUNTIF('스폰_편집'!$D$5:$D$3125,A825)</f>
        <v/>
      </c>
      <c r="N825" s="18">
        <f>COUNTIFS('스폰_편집'!$D$5:$D$3125,A825,'스폰_편집'!$B$5:$B$3125,"사용")</f>
        <v/>
      </c>
      <c r="O825" s="18" t="n">
        <v>4</v>
      </c>
      <c r="P825" s="18" t="inlineStr">
        <is>
          <t>#cobblemon:is_hills; #cobblemon:is_sky; #cobblemon:is_spooky; #cobblemon:is_taiga</t>
        </is>
      </c>
      <c r="Q825" s="18" t="inlineStr">
        <is>
          <t>common</t>
        </is>
      </c>
      <c r="R825" s="18" t="inlineStr"/>
      <c r="S825" s="18" t="inlineStr">
        <is>
          <t>cobbleventure:generation_8</t>
        </is>
      </c>
      <c r="T825" s="18">
        <f>IF(M825=0,"없음",IF(N825=0,"전부 제외","사용"))</f>
        <v/>
      </c>
      <c r="U825" s="18" t="inlineStr"/>
    </row>
    <row r="826" ht="30" customHeight="1">
      <c r="A826" s="18" t="n">
        <v>822</v>
      </c>
      <c r="B826" s="18" t="inlineStr">
        <is>
          <t>파크로우</t>
        </is>
      </c>
      <c r="C826" s="18" t="inlineStr">
        <is>
          <t>corvisquire</t>
        </is>
      </c>
      <c r="D826" s="18" t="inlineStr">
        <is>
          <t>Corvisquire</t>
        </is>
      </c>
      <c r="E826" s="18" t="n">
        <v>8</v>
      </c>
      <c r="F826" s="18" t="inlineStr">
        <is>
          <t>generation8</t>
        </is>
      </c>
      <c r="G826" s="18" t="inlineStr">
        <is>
          <t>flying</t>
        </is>
      </c>
      <c r="H826" s="18" t="inlineStr"/>
      <c r="I826" s="18" t="inlineStr">
        <is>
          <t>예</t>
        </is>
      </c>
      <c r="J826" s="18" t="inlineStr">
        <is>
          <t>예</t>
        </is>
      </c>
      <c r="K826" s="18" t="inlineStr">
        <is>
          <t>예</t>
        </is>
      </c>
      <c r="L826" s="18" t="inlineStr">
        <is>
          <t>Cobblemon 동일</t>
        </is>
      </c>
      <c r="M826" s="18">
        <f>COUNTIF('스폰_편집'!$D$5:$D$3125,A826)</f>
        <v/>
      </c>
      <c r="N826" s="18">
        <f>COUNTIFS('스폰_편집'!$D$5:$D$3125,A826,'스폰_편집'!$B$5:$B$3125,"사용")</f>
        <v/>
      </c>
      <c r="O826" s="18" t="n">
        <v>4</v>
      </c>
      <c r="P826" s="18" t="inlineStr">
        <is>
          <t>#cobblemon:is_hills; #cobblemon:is_sky; #cobblemon:is_spooky; #cobblemon:is_taiga</t>
        </is>
      </c>
      <c r="Q826" s="18" t="inlineStr">
        <is>
          <t>common</t>
        </is>
      </c>
      <c r="R826" s="18" t="inlineStr"/>
      <c r="S826" s="18" t="inlineStr">
        <is>
          <t>cobbleventure:generation_8</t>
        </is>
      </c>
      <c r="T826" s="18">
        <f>IF(M826=0,"없음",IF(N826=0,"전부 제외","사용"))</f>
        <v/>
      </c>
      <c r="U826" s="18" t="inlineStr"/>
    </row>
    <row r="827" ht="30" customHeight="1">
      <c r="A827" s="18" t="n">
        <v>823</v>
      </c>
      <c r="B827" s="18" t="inlineStr">
        <is>
          <t>아머까오</t>
        </is>
      </c>
      <c r="C827" s="18" t="inlineStr">
        <is>
          <t>corviknight</t>
        </is>
      </c>
      <c r="D827" s="18" t="inlineStr">
        <is>
          <t>Corviknight</t>
        </is>
      </c>
      <c r="E827" s="18" t="n">
        <v>8</v>
      </c>
      <c r="F827" s="18" t="inlineStr">
        <is>
          <t>generation8</t>
        </is>
      </c>
      <c r="G827" s="18" t="inlineStr">
        <is>
          <t>flying</t>
        </is>
      </c>
      <c r="H827" s="18" t="inlineStr">
        <is>
          <t>steel</t>
        </is>
      </c>
      <c r="I827" s="18" t="inlineStr">
        <is>
          <t>예</t>
        </is>
      </c>
      <c r="J827" s="18" t="inlineStr">
        <is>
          <t>예</t>
        </is>
      </c>
      <c r="K827" s="18" t="inlineStr">
        <is>
          <t>예</t>
        </is>
      </c>
      <c r="L827" s="18" t="inlineStr">
        <is>
          <t>Cobblemon 동일</t>
        </is>
      </c>
      <c r="M827" s="18">
        <f>COUNTIF('스폰_편집'!$D$5:$D$3125,A827)</f>
        <v/>
      </c>
      <c r="N827" s="18">
        <f>COUNTIFS('스폰_편집'!$D$5:$D$3125,A827,'스폰_편집'!$B$5:$B$3125,"사용")</f>
        <v/>
      </c>
      <c r="O827" s="18" t="n">
        <v>4</v>
      </c>
      <c r="P827" s="18" t="inlineStr">
        <is>
          <t>#cobblemon:is_hills; #cobblemon:is_sky; #cobblemon:is_spooky; #cobblemon:is_taiga</t>
        </is>
      </c>
      <c r="Q827" s="18" t="inlineStr">
        <is>
          <t>common</t>
        </is>
      </c>
      <c r="R827" s="18" t="inlineStr"/>
      <c r="S827" s="18" t="inlineStr">
        <is>
          <t>cobbleventure:generation_8</t>
        </is>
      </c>
      <c r="T827" s="18">
        <f>IF(M827=0,"없음",IF(N827=0,"전부 제외","사용"))</f>
        <v/>
      </c>
      <c r="U827" s="18" t="inlineStr"/>
    </row>
    <row r="828" ht="30" customHeight="1">
      <c r="A828" s="18" t="n">
        <v>824</v>
      </c>
      <c r="B828" s="18" t="inlineStr">
        <is>
          <t>두루지벌레</t>
        </is>
      </c>
      <c r="C828" s="18" t="inlineStr">
        <is>
          <t>blipbug</t>
        </is>
      </c>
      <c r="D828" s="18" t="inlineStr">
        <is>
          <t>Blipbug</t>
        </is>
      </c>
      <c r="E828" s="18" t="n">
        <v>8</v>
      </c>
      <c r="F828" s="18" t="inlineStr">
        <is>
          <t>generation8</t>
        </is>
      </c>
      <c r="G828" s="18" t="inlineStr">
        <is>
          <t>bug</t>
        </is>
      </c>
      <c r="H828" s="18" t="inlineStr"/>
      <c r="I828" s="18" t="inlineStr">
        <is>
          <t>아니오</t>
        </is>
      </c>
      <c r="J828" s="18" t="inlineStr">
        <is>
          <t>아니오</t>
        </is>
      </c>
      <c r="K828" s="18" t="inlineStr">
        <is>
          <t>예</t>
        </is>
      </c>
      <c r="L828" s="18" t="inlineStr">
        <is>
          <t>COBBLEVERSE 추가</t>
        </is>
      </c>
      <c r="M828" s="18">
        <f>COUNTIF('스폰_편집'!$D$5:$D$3125,A828)</f>
        <v/>
      </c>
      <c r="N828" s="18">
        <f>COUNTIFS('스폰_편집'!$D$5:$D$3125,A828,'스폰_편집'!$B$5:$B$3125,"사용")</f>
        <v/>
      </c>
      <c r="O828" s="18" t="n">
        <v>2</v>
      </c>
      <c r="P828" s="18" t="inlineStr">
        <is>
          <t>#cobblemon:is_forest; #cobblemon:is_plains</t>
        </is>
      </c>
      <c r="Q828" s="18" t="inlineStr">
        <is>
          <t>common</t>
        </is>
      </c>
      <c r="R828" s="18" t="inlineStr">
        <is>
          <t>region_01</t>
        </is>
      </c>
      <c r="S828" s="18" t="inlineStr">
        <is>
          <t>cobbleventure:generation_8</t>
        </is>
      </c>
      <c r="T828" s="18">
        <f>IF(M828=0,"없음",IF(N828=0,"전부 제외","사용"))</f>
        <v/>
      </c>
      <c r="U828" s="18" t="inlineStr"/>
    </row>
    <row r="829" ht="30" customHeight="1">
      <c r="A829" s="18" t="n">
        <v>825</v>
      </c>
      <c r="B829" s="18" t="inlineStr">
        <is>
          <t>레돔벌레</t>
        </is>
      </c>
      <c r="C829" s="18" t="inlineStr">
        <is>
          <t>dottler</t>
        </is>
      </c>
      <c r="D829" s="18" t="inlineStr">
        <is>
          <t>Dottler</t>
        </is>
      </c>
      <c r="E829" s="18" t="n">
        <v>8</v>
      </c>
      <c r="F829" s="18" t="inlineStr">
        <is>
          <t>generation8</t>
        </is>
      </c>
      <c r="G829" s="18" t="inlineStr">
        <is>
          <t>bug</t>
        </is>
      </c>
      <c r="H829" s="18" t="inlineStr">
        <is>
          <t>psychic</t>
        </is>
      </c>
      <c r="I829" s="18" t="inlineStr">
        <is>
          <t>아니오</t>
        </is>
      </c>
      <c r="J829" s="18" t="inlineStr">
        <is>
          <t>아니오</t>
        </is>
      </c>
      <c r="K829" s="18" t="inlineStr">
        <is>
          <t>예</t>
        </is>
      </c>
      <c r="L829" s="18" t="inlineStr">
        <is>
          <t>COBBLEVERSE 추가</t>
        </is>
      </c>
      <c r="M829" s="18">
        <f>COUNTIF('스폰_편집'!$D$5:$D$3125,A829)</f>
        <v/>
      </c>
      <c r="N829" s="18">
        <f>COUNTIFS('스폰_편집'!$D$5:$D$3125,A829,'스폰_편집'!$B$5:$B$3125,"사용")</f>
        <v/>
      </c>
      <c r="O829" s="18" t="n">
        <v>2</v>
      </c>
      <c r="P829" s="18" t="inlineStr">
        <is>
          <t>#cobblemon:is_forest; #cobblemon:is_plains</t>
        </is>
      </c>
      <c r="Q829" s="18" t="inlineStr">
        <is>
          <t>uncommon</t>
        </is>
      </c>
      <c r="R829" s="18" t="inlineStr">
        <is>
          <t>region_01</t>
        </is>
      </c>
      <c r="S829" s="18" t="inlineStr">
        <is>
          <t>cobbleventure:generation_8</t>
        </is>
      </c>
      <c r="T829" s="18">
        <f>IF(M829=0,"없음",IF(N829=0,"전부 제외","사용"))</f>
        <v/>
      </c>
      <c r="U829" s="18" t="inlineStr"/>
    </row>
    <row r="830" ht="30" customHeight="1">
      <c r="A830" s="18" t="n">
        <v>826</v>
      </c>
      <c r="B830" s="18" t="inlineStr">
        <is>
          <t>이올브</t>
        </is>
      </c>
      <c r="C830" s="18" t="inlineStr">
        <is>
          <t>orbeetle</t>
        </is>
      </c>
      <c r="D830" s="18" t="inlineStr">
        <is>
          <t>Orbeetle</t>
        </is>
      </c>
      <c r="E830" s="18" t="n">
        <v>8</v>
      </c>
      <c r="F830" s="18" t="inlineStr">
        <is>
          <t>generation8</t>
        </is>
      </c>
      <c r="G830" s="18" t="inlineStr">
        <is>
          <t>bug</t>
        </is>
      </c>
      <c r="H830" s="18" t="inlineStr">
        <is>
          <t>psychic</t>
        </is>
      </c>
      <c r="I830" s="18" t="inlineStr">
        <is>
          <t>아니오</t>
        </is>
      </c>
      <c r="J830" s="18" t="inlineStr">
        <is>
          <t>아니오</t>
        </is>
      </c>
      <c r="K830" s="18" t="inlineStr">
        <is>
          <t>예</t>
        </is>
      </c>
      <c r="L830" s="18" t="inlineStr">
        <is>
          <t>COBBLEVERSE 추가</t>
        </is>
      </c>
      <c r="M830" s="18">
        <f>COUNTIF('스폰_편집'!$D$5:$D$3125,A830)</f>
        <v/>
      </c>
      <c r="N830" s="18">
        <f>COUNTIFS('스폰_편집'!$D$5:$D$3125,A830,'스폰_편집'!$B$5:$B$3125,"사용")</f>
        <v/>
      </c>
      <c r="O830" s="18" t="n">
        <v>1</v>
      </c>
      <c r="P830" s="18" t="inlineStr">
        <is>
          <t>#cobblemon:is_plains</t>
        </is>
      </c>
      <c r="Q830" s="18" t="inlineStr">
        <is>
          <t>rare</t>
        </is>
      </c>
      <c r="R830" s="18" t="inlineStr">
        <is>
          <t>region_01</t>
        </is>
      </c>
      <c r="S830" s="18" t="inlineStr">
        <is>
          <t>cobbleventure:generation_8</t>
        </is>
      </c>
      <c r="T830" s="18">
        <f>IF(M830=0,"없음",IF(N830=0,"전부 제외","사용"))</f>
        <v/>
      </c>
      <c r="U830" s="18" t="inlineStr"/>
    </row>
    <row r="831" ht="30" customHeight="1">
      <c r="A831" s="18" t="n">
        <v>827</v>
      </c>
      <c r="B831" s="18" t="inlineStr">
        <is>
          <t>훔처우</t>
        </is>
      </c>
      <c r="C831" s="18" t="inlineStr">
        <is>
          <t>nickit</t>
        </is>
      </c>
      <c r="D831" s="18" t="inlineStr">
        <is>
          <t>Nickit</t>
        </is>
      </c>
      <c r="E831" s="18" t="n">
        <v>8</v>
      </c>
      <c r="F831" s="18" t="inlineStr">
        <is>
          <t>generation8</t>
        </is>
      </c>
      <c r="G831" s="18" t="inlineStr">
        <is>
          <t>dark</t>
        </is>
      </c>
      <c r="H831" s="18" t="inlineStr"/>
      <c r="I831" s="18" t="inlineStr">
        <is>
          <t>예</t>
        </is>
      </c>
      <c r="J831" s="18" t="inlineStr">
        <is>
          <t>예</t>
        </is>
      </c>
      <c r="K831" s="18" t="inlineStr">
        <is>
          <t>예</t>
        </is>
      </c>
      <c r="L831" s="18" t="inlineStr">
        <is>
          <t>COBBLEVERSE 수정</t>
        </is>
      </c>
      <c r="M831" s="18">
        <f>COUNTIF('스폰_편집'!$D$5:$D$3125,A831)</f>
        <v/>
      </c>
      <c r="N831" s="18">
        <f>COUNTIFS('스폰_편집'!$D$5:$D$3125,A831,'스폰_편집'!$B$5:$B$3125,"사용")</f>
        <v/>
      </c>
      <c r="O831" s="18" t="n">
        <v>3</v>
      </c>
      <c r="P831" s="18" t="inlineStr">
        <is>
          <t>#cobblemon:is_forest; #cobblemon:is_plains; #cobblemon:is_taiga</t>
        </is>
      </c>
      <c r="Q831" s="18" t="inlineStr">
        <is>
          <t>common; uncommon</t>
        </is>
      </c>
      <c r="R831" s="18" t="inlineStr">
        <is>
          <t>region_01</t>
        </is>
      </c>
      <c r="S831" s="18" t="inlineStr">
        <is>
          <t>cobbleventure:generation_8</t>
        </is>
      </c>
      <c r="T831" s="18">
        <f>IF(M831=0,"없음",IF(N831=0,"전부 제외","사용"))</f>
        <v/>
      </c>
      <c r="U831" s="18" t="inlineStr"/>
    </row>
    <row r="832" ht="30" customHeight="1">
      <c r="A832" s="18" t="n">
        <v>828</v>
      </c>
      <c r="B832" s="18" t="inlineStr">
        <is>
          <t>폭슬라이</t>
        </is>
      </c>
      <c r="C832" s="18" t="inlineStr">
        <is>
          <t>thievul</t>
        </is>
      </c>
      <c r="D832" s="18" t="inlineStr">
        <is>
          <t>Thievul</t>
        </is>
      </c>
      <c r="E832" s="18" t="n">
        <v>8</v>
      </c>
      <c r="F832" s="18" t="inlineStr">
        <is>
          <t>generation8</t>
        </is>
      </c>
      <c r="G832" s="18" t="inlineStr">
        <is>
          <t>dark</t>
        </is>
      </c>
      <c r="H832" s="18" t="inlineStr"/>
      <c r="I832" s="18" t="inlineStr">
        <is>
          <t>예</t>
        </is>
      </c>
      <c r="J832" s="18" t="inlineStr">
        <is>
          <t>예</t>
        </is>
      </c>
      <c r="K832" s="18" t="inlineStr">
        <is>
          <t>예</t>
        </is>
      </c>
      <c r="L832" s="18" t="inlineStr">
        <is>
          <t>COBBLEVERSE 수정</t>
        </is>
      </c>
      <c r="M832" s="18">
        <f>COUNTIF('스폰_편집'!$D$5:$D$3125,A832)</f>
        <v/>
      </c>
      <c r="N832" s="18">
        <f>COUNTIFS('스폰_편집'!$D$5:$D$3125,A832,'스폰_편집'!$B$5:$B$3125,"사용")</f>
        <v/>
      </c>
      <c r="O832" s="18" t="n">
        <v>3</v>
      </c>
      <c r="P832" s="18" t="inlineStr">
        <is>
          <t>#cobblemon:is_forest; #cobblemon:is_plains; #cobblemon:is_taiga</t>
        </is>
      </c>
      <c r="Q832" s="18" t="inlineStr">
        <is>
          <t>common; uncommon</t>
        </is>
      </c>
      <c r="R832" s="18" t="inlineStr">
        <is>
          <t>region_01</t>
        </is>
      </c>
      <c r="S832" s="18" t="inlineStr">
        <is>
          <t>cobbleventure:generation_8</t>
        </is>
      </c>
      <c r="T832" s="18">
        <f>IF(M832=0,"없음",IF(N832=0,"전부 제외","사용"))</f>
        <v/>
      </c>
      <c r="U832" s="18" t="inlineStr"/>
    </row>
    <row r="833" ht="30" customHeight="1">
      <c r="A833" s="18" t="n">
        <v>829</v>
      </c>
      <c r="B833" s="18" t="inlineStr">
        <is>
          <t>꼬모카</t>
        </is>
      </c>
      <c r="C833" s="18" t="inlineStr">
        <is>
          <t>gossifleur</t>
        </is>
      </c>
      <c r="D833" s="18" t="inlineStr">
        <is>
          <t>Gossifleur</t>
        </is>
      </c>
      <c r="E833" s="18" t="n">
        <v>8</v>
      </c>
      <c r="F833" s="18" t="inlineStr">
        <is>
          <t>generation8</t>
        </is>
      </c>
      <c r="G833" s="18" t="inlineStr">
        <is>
          <t>grass</t>
        </is>
      </c>
      <c r="H833" s="18" t="inlineStr"/>
      <c r="I833" s="18" t="inlineStr">
        <is>
          <t>예</t>
        </is>
      </c>
      <c r="J833" s="18" t="inlineStr">
        <is>
          <t>예</t>
        </is>
      </c>
      <c r="K833" s="18" t="inlineStr">
        <is>
          <t>예</t>
        </is>
      </c>
      <c r="L833" s="18" t="inlineStr">
        <is>
          <t>Cobblemon 동일</t>
        </is>
      </c>
      <c r="M833" s="18">
        <f>COUNTIF('스폰_편집'!$D$5:$D$3125,A833)</f>
        <v/>
      </c>
      <c r="N833" s="18">
        <f>COUNTIFS('스폰_편집'!$D$5:$D$3125,A833,'스폰_편집'!$B$5:$B$3125,"사용")</f>
        <v/>
      </c>
      <c r="O833" s="18" t="n">
        <v>4</v>
      </c>
      <c r="P833" s="18" t="inlineStr">
        <is>
          <t>#cobblemon:is_floral; aether:skyroot_grove; aether:skyroot_meadow; the_bumblezone:floral_meadow</t>
        </is>
      </c>
      <c r="Q833" s="18" t="inlineStr">
        <is>
          <t>common</t>
        </is>
      </c>
      <c r="R833" s="18" t="inlineStr"/>
      <c r="S833" s="18" t="inlineStr">
        <is>
          <t>cobbleventure:generation_8</t>
        </is>
      </c>
      <c r="T833" s="18">
        <f>IF(M833=0,"없음",IF(N833=0,"전부 제외","사용"))</f>
        <v/>
      </c>
      <c r="U833" s="18" t="inlineStr"/>
    </row>
    <row r="834" ht="30" customHeight="1">
      <c r="A834" s="18" t="n">
        <v>830</v>
      </c>
      <c r="B834" s="18" t="inlineStr">
        <is>
          <t>백솜모카</t>
        </is>
      </c>
      <c r="C834" s="18" t="inlineStr">
        <is>
          <t>eldegoss</t>
        </is>
      </c>
      <c r="D834" s="18" t="inlineStr">
        <is>
          <t>Eldegoss</t>
        </is>
      </c>
      <c r="E834" s="18" t="n">
        <v>8</v>
      </c>
      <c r="F834" s="18" t="inlineStr">
        <is>
          <t>generation8</t>
        </is>
      </c>
      <c r="G834" s="18" t="inlineStr">
        <is>
          <t>grass</t>
        </is>
      </c>
      <c r="H834" s="18" t="inlineStr"/>
      <c r="I834" s="18" t="inlineStr">
        <is>
          <t>예</t>
        </is>
      </c>
      <c r="J834" s="18" t="inlineStr">
        <is>
          <t>예</t>
        </is>
      </c>
      <c r="K834" s="18" t="inlineStr">
        <is>
          <t>예</t>
        </is>
      </c>
      <c r="L834" s="18" t="inlineStr">
        <is>
          <t>Cobblemon 동일</t>
        </is>
      </c>
      <c r="M834" s="18">
        <f>COUNTIF('스폰_편집'!$D$5:$D$3125,A834)</f>
        <v/>
      </c>
      <c r="N834" s="18">
        <f>COUNTIFS('스폰_편집'!$D$5:$D$3125,A834,'스폰_편집'!$B$5:$B$3125,"사용")</f>
        <v/>
      </c>
      <c r="O834" s="18" t="n">
        <v>4</v>
      </c>
      <c r="P834" s="18" t="inlineStr">
        <is>
          <t>#cobblemon:is_floral; aether:skyroot_grove; aether:skyroot_meadow; the_bumblezone:floral_meadow</t>
        </is>
      </c>
      <c r="Q834" s="18" t="inlineStr">
        <is>
          <t>common</t>
        </is>
      </c>
      <c r="R834" s="18" t="inlineStr"/>
      <c r="S834" s="18" t="inlineStr">
        <is>
          <t>cobbleventure:generation_8</t>
        </is>
      </c>
      <c r="T834" s="18">
        <f>IF(M834=0,"없음",IF(N834=0,"전부 제외","사용"))</f>
        <v/>
      </c>
      <c r="U834" s="18" t="inlineStr"/>
    </row>
    <row r="835" ht="30" customHeight="1">
      <c r="A835" s="18" t="n">
        <v>831</v>
      </c>
      <c r="B835" s="18" t="inlineStr">
        <is>
          <t>우르</t>
        </is>
      </c>
      <c r="C835" s="18" t="inlineStr">
        <is>
          <t>wooloo</t>
        </is>
      </c>
      <c r="D835" s="18" t="inlineStr">
        <is>
          <t>Wooloo</t>
        </is>
      </c>
      <c r="E835" s="18" t="n">
        <v>8</v>
      </c>
      <c r="F835" s="18" t="inlineStr">
        <is>
          <t>generation8</t>
        </is>
      </c>
      <c r="G835" s="18" t="inlineStr">
        <is>
          <t>normal</t>
        </is>
      </c>
      <c r="H835" s="18" t="inlineStr"/>
      <c r="I835" s="18" t="inlineStr">
        <is>
          <t>예</t>
        </is>
      </c>
      <c r="J835" s="18" t="inlineStr">
        <is>
          <t>예</t>
        </is>
      </c>
      <c r="K835" s="18" t="inlineStr">
        <is>
          <t>예</t>
        </is>
      </c>
      <c r="L835" s="18" t="inlineStr">
        <is>
          <t>Cobblemon 동일</t>
        </is>
      </c>
      <c r="M835" s="18">
        <f>COUNTIF('스폰_편집'!$D$5:$D$3125,A835)</f>
        <v/>
      </c>
      <c r="N835" s="18">
        <f>COUNTIFS('스폰_편집'!$D$5:$D$3125,A835,'스폰_편집'!$B$5:$B$3125,"사용")</f>
        <v/>
      </c>
      <c r="O835" s="18" t="n">
        <v>4</v>
      </c>
      <c r="P835" s="18" t="inlineStr">
        <is>
          <t>#cobblemon:is_mountain; #cobblemon:is_plains; aether:skyroot_grove; aether:skyroot_meadow</t>
        </is>
      </c>
      <c r="Q835" s="18" t="inlineStr">
        <is>
          <t>common</t>
        </is>
      </c>
      <c r="R835" s="18" t="inlineStr">
        <is>
          <t>region_01</t>
        </is>
      </c>
      <c r="S835" s="18" t="inlineStr">
        <is>
          <t>cobbleventure:generation_8</t>
        </is>
      </c>
      <c r="T835" s="18">
        <f>IF(M835=0,"없음",IF(N835=0,"전부 제외","사용"))</f>
        <v/>
      </c>
      <c r="U835" s="18" t="inlineStr"/>
    </row>
    <row r="836" ht="30" customHeight="1">
      <c r="A836" s="18" t="n">
        <v>832</v>
      </c>
      <c r="B836" s="18" t="inlineStr">
        <is>
          <t>배우르</t>
        </is>
      </c>
      <c r="C836" s="18" t="inlineStr">
        <is>
          <t>dubwool</t>
        </is>
      </c>
      <c r="D836" s="18" t="inlineStr">
        <is>
          <t>Dubwool</t>
        </is>
      </c>
      <c r="E836" s="18" t="n">
        <v>8</v>
      </c>
      <c r="F836" s="18" t="inlineStr">
        <is>
          <t>generation8</t>
        </is>
      </c>
      <c r="G836" s="18" t="inlineStr">
        <is>
          <t>normal</t>
        </is>
      </c>
      <c r="H836" s="18" t="inlineStr"/>
      <c r="I836" s="18" t="inlineStr">
        <is>
          <t>예</t>
        </is>
      </c>
      <c r="J836" s="18" t="inlineStr">
        <is>
          <t>예</t>
        </is>
      </c>
      <c r="K836" s="18" t="inlineStr">
        <is>
          <t>예</t>
        </is>
      </c>
      <c r="L836" s="18" t="inlineStr">
        <is>
          <t>Cobblemon 동일</t>
        </is>
      </c>
      <c r="M836" s="18">
        <f>COUNTIF('스폰_편집'!$D$5:$D$3125,A836)</f>
        <v/>
      </c>
      <c r="N836" s="18">
        <f>COUNTIFS('스폰_편집'!$D$5:$D$3125,A836,'스폰_편집'!$B$5:$B$3125,"사용")</f>
        <v/>
      </c>
      <c r="O836" s="18" t="n">
        <v>4</v>
      </c>
      <c r="P836" s="18" t="inlineStr">
        <is>
          <t>#cobblemon:is_mountain; #cobblemon:is_plains; aether:skyroot_grove; aether:skyroot_meadow</t>
        </is>
      </c>
      <c r="Q836" s="18" t="inlineStr">
        <is>
          <t>common</t>
        </is>
      </c>
      <c r="R836" s="18" t="inlineStr">
        <is>
          <t>region_01</t>
        </is>
      </c>
      <c r="S836" s="18" t="inlineStr">
        <is>
          <t>cobbleventure:generation_8</t>
        </is>
      </c>
      <c r="T836" s="18">
        <f>IF(M836=0,"없음",IF(N836=0,"전부 제외","사용"))</f>
        <v/>
      </c>
      <c r="U836" s="18" t="inlineStr"/>
    </row>
    <row r="837" ht="30" customHeight="1">
      <c r="A837" s="18" t="n">
        <v>833</v>
      </c>
      <c r="B837" s="18" t="inlineStr">
        <is>
          <t>깨물부기</t>
        </is>
      </c>
      <c r="C837" s="18" t="inlineStr">
        <is>
          <t>chewtle</t>
        </is>
      </c>
      <c r="D837" s="18" t="inlineStr">
        <is>
          <t>Chewtle</t>
        </is>
      </c>
      <c r="E837" s="18" t="n">
        <v>8</v>
      </c>
      <c r="F837" s="18" t="inlineStr">
        <is>
          <t>generation8</t>
        </is>
      </c>
      <c r="G837" s="18" t="inlineStr">
        <is>
          <t>water</t>
        </is>
      </c>
      <c r="H837" s="18" t="inlineStr"/>
      <c r="I837" s="18" t="inlineStr">
        <is>
          <t>예</t>
        </is>
      </c>
      <c r="J837" s="18" t="inlineStr">
        <is>
          <t>예</t>
        </is>
      </c>
      <c r="K837" s="18" t="inlineStr">
        <is>
          <t>예</t>
        </is>
      </c>
      <c r="L837" s="18" t="inlineStr">
        <is>
          <t>Cobblemon 동일</t>
        </is>
      </c>
      <c r="M837" s="18">
        <f>COUNTIF('스폰_편집'!$D$5:$D$3125,A837)</f>
        <v/>
      </c>
      <c r="N837" s="18">
        <f>COUNTIFS('스폰_편집'!$D$5:$D$3125,A837,'스폰_편집'!$B$5:$B$3125,"사용")</f>
        <v/>
      </c>
      <c r="O837" s="18" t="n">
        <v>5</v>
      </c>
      <c r="P837" s="18" t="inlineStr">
        <is>
          <t>#cobblemon:is_arid; #cobblemon:is_freshwater; #cobblemon:is_hills; #cobblemon:is_jungle; #cobblemon:is_temperate</t>
        </is>
      </c>
      <c r="Q837" s="18" t="inlineStr">
        <is>
          <t>common</t>
        </is>
      </c>
      <c r="R837" s="18" t="inlineStr">
        <is>
          <t>region_01; region_02</t>
        </is>
      </c>
      <c r="S837" s="18" t="inlineStr">
        <is>
          <t>cobbleventure:generation_8</t>
        </is>
      </c>
      <c r="T837" s="18">
        <f>IF(M837=0,"없음",IF(N837=0,"전부 제외","사용"))</f>
        <v/>
      </c>
      <c r="U837" s="18" t="inlineStr"/>
    </row>
    <row r="838" ht="30" customHeight="1">
      <c r="A838" s="18" t="n">
        <v>834</v>
      </c>
      <c r="B838" s="18" t="inlineStr">
        <is>
          <t>갈가부기</t>
        </is>
      </c>
      <c r="C838" s="18" t="inlineStr">
        <is>
          <t>drednaw</t>
        </is>
      </c>
      <c r="D838" s="18" t="inlineStr">
        <is>
          <t>Drednaw</t>
        </is>
      </c>
      <c r="E838" s="18" t="n">
        <v>8</v>
      </c>
      <c r="F838" s="18" t="inlineStr">
        <is>
          <t>generation8</t>
        </is>
      </c>
      <c r="G838" s="18" t="inlineStr">
        <is>
          <t>water</t>
        </is>
      </c>
      <c r="H838" s="18" t="inlineStr">
        <is>
          <t>rock</t>
        </is>
      </c>
      <c r="I838" s="18" t="inlineStr">
        <is>
          <t>예</t>
        </is>
      </c>
      <c r="J838" s="18" t="inlineStr">
        <is>
          <t>예</t>
        </is>
      </c>
      <c r="K838" s="18" t="inlineStr">
        <is>
          <t>예</t>
        </is>
      </c>
      <c r="L838" s="18" t="inlineStr">
        <is>
          <t>Cobblemon 동일</t>
        </is>
      </c>
      <c r="M838" s="18">
        <f>COUNTIF('스폰_편집'!$D$5:$D$3125,A838)</f>
        <v/>
      </c>
      <c r="N838" s="18">
        <f>COUNTIFS('스폰_편집'!$D$5:$D$3125,A838,'스폰_편집'!$B$5:$B$3125,"사용")</f>
        <v/>
      </c>
      <c r="O838" s="18" t="n">
        <v>5</v>
      </c>
      <c r="P838" s="18" t="inlineStr">
        <is>
          <t>#cobblemon:is_arid; #cobblemon:is_freshwater; #cobblemon:is_hills; #cobblemon:is_jungle; #cobblemon:is_temperate</t>
        </is>
      </c>
      <c r="Q838" s="18" t="inlineStr">
        <is>
          <t>common</t>
        </is>
      </c>
      <c r="R838" s="18" t="inlineStr">
        <is>
          <t>region_01; region_02</t>
        </is>
      </c>
      <c r="S838" s="18" t="inlineStr">
        <is>
          <t>cobbleventure:generation_8</t>
        </is>
      </c>
      <c r="T838" s="18">
        <f>IF(M838=0,"없음",IF(N838=0,"전부 제외","사용"))</f>
        <v/>
      </c>
      <c r="U838" s="18" t="inlineStr"/>
    </row>
    <row r="839" ht="30" customHeight="1">
      <c r="A839" s="18" t="n">
        <v>835</v>
      </c>
      <c r="B839" s="18" t="inlineStr">
        <is>
          <t>멍파치</t>
        </is>
      </c>
      <c r="C839" s="18" t="inlineStr">
        <is>
          <t>yamper</t>
        </is>
      </c>
      <c r="D839" s="18" t="inlineStr">
        <is>
          <t>Yamper</t>
        </is>
      </c>
      <c r="E839" s="18" t="n">
        <v>8</v>
      </c>
      <c r="F839" s="18" t="inlineStr">
        <is>
          <t>generation8</t>
        </is>
      </c>
      <c r="G839" s="18" t="inlineStr">
        <is>
          <t>electric</t>
        </is>
      </c>
      <c r="H839" s="18" t="inlineStr"/>
      <c r="I839" s="18" t="inlineStr">
        <is>
          <t>예</t>
        </is>
      </c>
      <c r="J839" s="18" t="inlineStr">
        <is>
          <t>예</t>
        </is>
      </c>
      <c r="K839" s="18" t="inlineStr">
        <is>
          <t>예</t>
        </is>
      </c>
      <c r="L839" s="18" t="inlineStr">
        <is>
          <t>COBBLEVERSE 수정</t>
        </is>
      </c>
      <c r="M839" s="18">
        <f>COUNTIF('스폰_편집'!$D$5:$D$3125,A839)</f>
        <v/>
      </c>
      <c r="N839" s="18">
        <f>COUNTIFS('스폰_편집'!$D$5:$D$3125,A839,'스폰_편집'!$B$5:$B$3125,"사용")</f>
        <v/>
      </c>
      <c r="O839" s="18" t="n">
        <v>1</v>
      </c>
      <c r="P839" s="18" t="inlineStr">
        <is>
          <t>#cobblemon:is_overworld</t>
        </is>
      </c>
      <c r="Q839" s="18" t="inlineStr">
        <is>
          <t>common</t>
        </is>
      </c>
      <c r="R839" s="18" t="inlineStr">
        <is>
          <t>region_01; region_02</t>
        </is>
      </c>
      <c r="S839" s="18" t="inlineStr">
        <is>
          <t>cobbleventure:generation_8</t>
        </is>
      </c>
      <c r="T839" s="18">
        <f>IF(M839=0,"없음",IF(N839=0,"전부 제외","사용"))</f>
        <v/>
      </c>
      <c r="U839" s="18" t="inlineStr"/>
    </row>
    <row r="840" ht="30" customHeight="1">
      <c r="A840" s="18" t="n">
        <v>836</v>
      </c>
      <c r="B840" s="18" t="inlineStr">
        <is>
          <t>펄스멍</t>
        </is>
      </c>
      <c r="C840" s="18" t="inlineStr">
        <is>
          <t>boltund</t>
        </is>
      </c>
      <c r="D840" s="18" t="inlineStr">
        <is>
          <t>Boltund</t>
        </is>
      </c>
      <c r="E840" s="18" t="n">
        <v>8</v>
      </c>
      <c r="F840" s="18" t="inlineStr">
        <is>
          <t>generation8</t>
        </is>
      </c>
      <c r="G840" s="18" t="inlineStr">
        <is>
          <t>electric</t>
        </is>
      </c>
      <c r="H840" s="18" t="inlineStr"/>
      <c r="I840" s="18" t="inlineStr">
        <is>
          <t>예</t>
        </is>
      </c>
      <c r="J840" s="18" t="inlineStr">
        <is>
          <t>예</t>
        </is>
      </c>
      <c r="K840" s="18" t="inlineStr">
        <is>
          <t>예</t>
        </is>
      </c>
      <c r="L840" s="18" t="inlineStr">
        <is>
          <t>Cobblemon 동일</t>
        </is>
      </c>
      <c r="M840" s="18">
        <f>COUNTIF('스폰_편집'!$D$5:$D$3125,A840)</f>
        <v/>
      </c>
      <c r="N840" s="18">
        <f>COUNTIFS('스폰_편집'!$D$5:$D$3125,A840,'스폰_편집'!$B$5:$B$3125,"사용")</f>
        <v/>
      </c>
      <c r="O840" s="18" t="n">
        <v>1</v>
      </c>
      <c r="P840" s="18" t="inlineStr">
        <is>
          <t>#cobblemon:is_overworld</t>
        </is>
      </c>
      <c r="Q840" s="18" t="inlineStr">
        <is>
          <t>common</t>
        </is>
      </c>
      <c r="R840" s="18" t="inlineStr">
        <is>
          <t>region_01; region_02</t>
        </is>
      </c>
      <c r="S840" s="18" t="inlineStr">
        <is>
          <t>cobbleventure:generation_8</t>
        </is>
      </c>
      <c r="T840" s="18">
        <f>IF(M840=0,"없음",IF(N840=0,"전부 제외","사용"))</f>
        <v/>
      </c>
      <c r="U840" s="18" t="inlineStr"/>
    </row>
    <row r="841" ht="30" customHeight="1">
      <c r="A841" s="18" t="n">
        <v>837</v>
      </c>
      <c r="B841" s="18" t="inlineStr">
        <is>
          <t>탄동</t>
        </is>
      </c>
      <c r="C841" s="18" t="inlineStr">
        <is>
          <t>rolycoly</t>
        </is>
      </c>
      <c r="D841" s="18" t="inlineStr">
        <is>
          <t>Rolycoly</t>
        </is>
      </c>
      <c r="E841" s="18" t="n">
        <v>8</v>
      </c>
      <c r="F841" s="18" t="inlineStr">
        <is>
          <t>generation8</t>
        </is>
      </c>
      <c r="G841" s="18" t="inlineStr">
        <is>
          <t>rock</t>
        </is>
      </c>
      <c r="H841" s="18" t="inlineStr"/>
      <c r="I841" s="18" t="inlineStr">
        <is>
          <t>아니오</t>
        </is>
      </c>
      <c r="J841" s="18" t="inlineStr">
        <is>
          <t>아니오</t>
        </is>
      </c>
      <c r="K841" s="18" t="inlineStr">
        <is>
          <t>예</t>
        </is>
      </c>
      <c r="L841" s="18" t="inlineStr">
        <is>
          <t>COBBLEVERSE 추가</t>
        </is>
      </c>
      <c r="M841" s="18">
        <f>COUNTIF('스폰_편집'!$D$5:$D$3125,A841)</f>
        <v/>
      </c>
      <c r="N841" s="18">
        <f>COUNTIFS('스폰_편집'!$D$5:$D$3125,A841,'스폰_편집'!$B$5:$B$3125,"사용")</f>
        <v/>
      </c>
      <c r="O841" s="18" t="n">
        <v>2</v>
      </c>
      <c r="P841" s="18" t="inlineStr">
        <is>
          <t>#cobblemon:is_cave; #cobblemon:is_mountain</t>
        </is>
      </c>
      <c r="Q841" s="18" t="inlineStr">
        <is>
          <t>common; uncommon</t>
        </is>
      </c>
      <c r="R841" s="18" t="inlineStr"/>
      <c r="S841" s="18" t="inlineStr">
        <is>
          <t>cobbleventure:generation_8</t>
        </is>
      </c>
      <c r="T841" s="18">
        <f>IF(M841=0,"없음",IF(N841=0,"전부 제외","사용"))</f>
        <v/>
      </c>
      <c r="U841" s="18" t="inlineStr"/>
    </row>
    <row r="842" ht="30" customHeight="1">
      <c r="A842" s="18" t="n">
        <v>838</v>
      </c>
      <c r="B842" s="18" t="inlineStr">
        <is>
          <t>탄차곤</t>
        </is>
      </c>
      <c r="C842" s="18" t="inlineStr">
        <is>
          <t>carkol</t>
        </is>
      </c>
      <c r="D842" s="18" t="inlineStr">
        <is>
          <t>Carkol</t>
        </is>
      </c>
      <c r="E842" s="18" t="n">
        <v>8</v>
      </c>
      <c r="F842" s="18" t="inlineStr">
        <is>
          <t>generation8</t>
        </is>
      </c>
      <c r="G842" s="18" t="inlineStr">
        <is>
          <t>rock</t>
        </is>
      </c>
      <c r="H842" s="18" t="inlineStr">
        <is>
          <t>fire</t>
        </is>
      </c>
      <c r="I842" s="18" t="inlineStr">
        <is>
          <t>아니오</t>
        </is>
      </c>
      <c r="J842" s="18" t="inlineStr">
        <is>
          <t>아니오</t>
        </is>
      </c>
      <c r="K842" s="18" t="inlineStr">
        <is>
          <t>예</t>
        </is>
      </c>
      <c r="L842" s="18" t="inlineStr">
        <is>
          <t>COBBLEVERSE 추가</t>
        </is>
      </c>
      <c r="M842" s="18">
        <f>COUNTIF('스폰_편집'!$D$5:$D$3125,A842)</f>
        <v/>
      </c>
      <c r="N842" s="18">
        <f>COUNTIFS('스폰_편집'!$D$5:$D$3125,A842,'스폰_편집'!$B$5:$B$3125,"사용")</f>
        <v/>
      </c>
      <c r="O842" s="18" t="n">
        <v>2</v>
      </c>
      <c r="P842" s="18" t="inlineStr">
        <is>
          <t>#cobblemon:is_cave; #cobblemon:is_mountain</t>
        </is>
      </c>
      <c r="Q842" s="18" t="inlineStr">
        <is>
          <t>common; uncommon</t>
        </is>
      </c>
      <c r="R842" s="18" t="inlineStr"/>
      <c r="S842" s="18" t="inlineStr">
        <is>
          <t>cobbleventure:generation_8</t>
        </is>
      </c>
      <c r="T842" s="18">
        <f>IF(M842=0,"없음",IF(N842=0,"전부 제외","사용"))</f>
        <v/>
      </c>
      <c r="U842" s="18" t="inlineStr"/>
    </row>
    <row r="843" ht="30" customHeight="1">
      <c r="A843" s="18" t="n">
        <v>839</v>
      </c>
      <c r="B843" s="18" t="inlineStr">
        <is>
          <t>석탄산</t>
        </is>
      </c>
      <c r="C843" s="18" t="inlineStr">
        <is>
          <t>coalossal</t>
        </is>
      </c>
      <c r="D843" s="18" t="inlineStr">
        <is>
          <t>Coalossal</t>
        </is>
      </c>
      <c r="E843" s="18" t="n">
        <v>8</v>
      </c>
      <c r="F843" s="18" t="inlineStr">
        <is>
          <t>generation8</t>
        </is>
      </c>
      <c r="G843" s="18" t="inlineStr">
        <is>
          <t>rock</t>
        </is>
      </c>
      <c r="H843" s="18" t="inlineStr">
        <is>
          <t>fire</t>
        </is>
      </c>
      <c r="I843" s="18" t="inlineStr">
        <is>
          <t>아니오</t>
        </is>
      </c>
      <c r="J843" s="18" t="inlineStr">
        <is>
          <t>아니오</t>
        </is>
      </c>
      <c r="K843" s="18" t="inlineStr">
        <is>
          <t>예</t>
        </is>
      </c>
      <c r="L843" s="18" t="inlineStr">
        <is>
          <t>COBBLEVERSE 추가</t>
        </is>
      </c>
      <c r="M843" s="18">
        <f>COUNTIF('스폰_편집'!$D$5:$D$3125,A843)</f>
        <v/>
      </c>
      <c r="N843" s="18">
        <f>COUNTIFS('스폰_편집'!$D$5:$D$3125,A843,'스폰_편집'!$B$5:$B$3125,"사용")</f>
        <v/>
      </c>
      <c r="O843" s="18" t="n">
        <v>2</v>
      </c>
      <c r="P843" s="18" t="inlineStr">
        <is>
          <t>#cobblemon:is_cave; #cobblemon:is_mountain</t>
        </is>
      </c>
      <c r="Q843" s="18" t="inlineStr">
        <is>
          <t>rare; ultra-rare</t>
        </is>
      </c>
      <c r="R843" s="18" t="inlineStr"/>
      <c r="S843" s="18" t="inlineStr">
        <is>
          <t>cobbleventure:generation_8</t>
        </is>
      </c>
      <c r="T843" s="18">
        <f>IF(M843=0,"없음",IF(N843=0,"전부 제외","사용"))</f>
        <v/>
      </c>
      <c r="U843" s="18" t="inlineStr"/>
    </row>
    <row r="844" ht="30" customHeight="1">
      <c r="A844" s="18" t="n">
        <v>840</v>
      </c>
      <c r="B844" s="18" t="inlineStr">
        <is>
          <t>과사삭벌레</t>
        </is>
      </c>
      <c r="C844" s="18" t="inlineStr">
        <is>
          <t>applin</t>
        </is>
      </c>
      <c r="D844" s="18" t="inlineStr">
        <is>
          <t>Applin</t>
        </is>
      </c>
      <c r="E844" s="18" t="n">
        <v>8</v>
      </c>
      <c r="F844" s="18" t="inlineStr">
        <is>
          <t>generation8</t>
        </is>
      </c>
      <c r="G844" s="18" t="inlineStr">
        <is>
          <t>grass</t>
        </is>
      </c>
      <c r="H844" s="18" t="inlineStr">
        <is>
          <t>dragon</t>
        </is>
      </c>
      <c r="I844" s="18" t="inlineStr">
        <is>
          <t>아니오</t>
        </is>
      </c>
      <c r="J844" s="18" t="inlineStr">
        <is>
          <t>아니오</t>
        </is>
      </c>
      <c r="K844" s="18" t="inlineStr">
        <is>
          <t>예</t>
        </is>
      </c>
      <c r="L844" s="18" t="inlineStr">
        <is>
          <t>COBBLEVERSE 추가</t>
        </is>
      </c>
      <c r="M844" s="18">
        <f>COUNTIF('스폰_편집'!$D$5:$D$3125,A844)</f>
        <v/>
      </c>
      <c r="N844" s="18">
        <f>COUNTIFS('스폰_편집'!$D$5:$D$3125,A844,'스폰_편집'!$B$5:$B$3125,"사용")</f>
        <v/>
      </c>
      <c r="O844" s="18" t="n">
        <v>1</v>
      </c>
      <c r="P844" s="18" t="inlineStr">
        <is>
          <t>#cobblemon:is_forest</t>
        </is>
      </c>
      <c r="Q844" s="18" t="inlineStr">
        <is>
          <t>uncommon</t>
        </is>
      </c>
      <c r="R844" s="18" t="inlineStr">
        <is>
          <t>region_01</t>
        </is>
      </c>
      <c r="S844" s="18" t="inlineStr">
        <is>
          <t>cobbleventure:generation_8</t>
        </is>
      </c>
      <c r="T844" s="18">
        <f>IF(M844=0,"없음",IF(N844=0,"전부 제외","사용"))</f>
        <v/>
      </c>
      <c r="U844" s="18" t="inlineStr"/>
    </row>
    <row r="845" ht="30" customHeight="1">
      <c r="A845" s="18" t="n">
        <v>841</v>
      </c>
      <c r="B845" s="18" t="inlineStr">
        <is>
          <t>애프룡</t>
        </is>
      </c>
      <c r="C845" s="18" t="inlineStr">
        <is>
          <t>flapple</t>
        </is>
      </c>
      <c r="D845" s="18" t="inlineStr">
        <is>
          <t>Flapple</t>
        </is>
      </c>
      <c r="E845" s="18" t="n">
        <v>8</v>
      </c>
      <c r="F845" s="18" t="inlineStr">
        <is>
          <t>generation8</t>
        </is>
      </c>
      <c r="G845" s="18" t="inlineStr">
        <is>
          <t>grass</t>
        </is>
      </c>
      <c r="H845" s="18" t="inlineStr">
        <is>
          <t>dragon</t>
        </is>
      </c>
      <c r="I845" s="18" t="inlineStr">
        <is>
          <t>아니오</t>
        </is>
      </c>
      <c r="J845" s="18" t="inlineStr">
        <is>
          <t>아니오</t>
        </is>
      </c>
      <c r="K845" s="18" t="inlineStr">
        <is>
          <t>예</t>
        </is>
      </c>
      <c r="L845" s="18" t="inlineStr">
        <is>
          <t>COBBLEVERSE 추가</t>
        </is>
      </c>
      <c r="M845" s="18">
        <f>COUNTIF('스폰_편집'!$D$5:$D$3125,A845)</f>
        <v/>
      </c>
      <c r="N845" s="18">
        <f>COUNTIFS('스폰_편집'!$D$5:$D$3125,A845,'스폰_편집'!$B$5:$B$3125,"사용")</f>
        <v/>
      </c>
      <c r="O845" s="18" t="n">
        <v>1</v>
      </c>
      <c r="P845" s="18" t="inlineStr">
        <is>
          <t>#cobblemon:is_forest</t>
        </is>
      </c>
      <c r="Q845" s="18" t="inlineStr">
        <is>
          <t>rare</t>
        </is>
      </c>
      <c r="R845" s="18" t="inlineStr">
        <is>
          <t>region_01</t>
        </is>
      </c>
      <c r="S845" s="18" t="inlineStr">
        <is>
          <t>cobbleventure:generation_8</t>
        </is>
      </c>
      <c r="T845" s="18">
        <f>IF(M845=0,"없음",IF(N845=0,"전부 제외","사용"))</f>
        <v/>
      </c>
      <c r="U845" s="18" t="inlineStr"/>
    </row>
    <row r="846" ht="30" customHeight="1">
      <c r="A846" s="18" t="n">
        <v>842</v>
      </c>
      <c r="B846" s="18" t="inlineStr">
        <is>
          <t>단지래플</t>
        </is>
      </c>
      <c r="C846" s="18" t="inlineStr">
        <is>
          <t>appletun</t>
        </is>
      </c>
      <c r="D846" s="18" t="inlineStr">
        <is>
          <t>Appletun</t>
        </is>
      </c>
      <c r="E846" s="18" t="n">
        <v>8</v>
      </c>
      <c r="F846" s="18" t="inlineStr">
        <is>
          <t>generation8</t>
        </is>
      </c>
      <c r="G846" s="18" t="inlineStr">
        <is>
          <t>grass</t>
        </is>
      </c>
      <c r="H846" s="18" t="inlineStr">
        <is>
          <t>dragon</t>
        </is>
      </c>
      <c r="I846" s="18" t="inlineStr">
        <is>
          <t>아니오</t>
        </is>
      </c>
      <c r="J846" s="18" t="inlineStr">
        <is>
          <t>아니오</t>
        </is>
      </c>
      <c r="K846" s="18" t="inlineStr">
        <is>
          <t>예</t>
        </is>
      </c>
      <c r="L846" s="18" t="inlineStr">
        <is>
          <t>COBBLEVERSE 추가</t>
        </is>
      </c>
      <c r="M846" s="18">
        <f>COUNTIF('스폰_편집'!$D$5:$D$3125,A846)</f>
        <v/>
      </c>
      <c r="N846" s="18">
        <f>COUNTIFS('스폰_편집'!$D$5:$D$3125,A846,'스폰_편집'!$B$5:$B$3125,"사용")</f>
        <v/>
      </c>
      <c r="O846" s="18" t="n">
        <v>1</v>
      </c>
      <c r="P846" s="18" t="inlineStr">
        <is>
          <t>#cobblemon:is_forest</t>
        </is>
      </c>
      <c r="Q846" s="18" t="inlineStr">
        <is>
          <t>rare</t>
        </is>
      </c>
      <c r="R846" s="18" t="inlineStr">
        <is>
          <t>region_01</t>
        </is>
      </c>
      <c r="S846" s="18" t="inlineStr">
        <is>
          <t>cobbleventure:generation_8</t>
        </is>
      </c>
      <c r="T846" s="18">
        <f>IF(M846=0,"없음",IF(N846=0,"전부 제외","사용"))</f>
        <v/>
      </c>
      <c r="U846" s="18" t="inlineStr"/>
    </row>
    <row r="847" ht="30" customHeight="1">
      <c r="A847" s="18" t="n">
        <v>843</v>
      </c>
      <c r="B847" s="18" t="inlineStr">
        <is>
          <t>모래뱀</t>
        </is>
      </c>
      <c r="C847" s="18" t="inlineStr">
        <is>
          <t>silicobra</t>
        </is>
      </c>
      <c r="D847" s="18" t="inlineStr">
        <is>
          <t>Silicobra</t>
        </is>
      </c>
      <c r="E847" s="18" t="n">
        <v>8</v>
      </c>
      <c r="F847" s="18" t="inlineStr">
        <is>
          <t>generation8</t>
        </is>
      </c>
      <c r="G847" s="18" t="inlineStr">
        <is>
          <t>ground</t>
        </is>
      </c>
      <c r="H847" s="18" t="inlineStr"/>
      <c r="I847" s="18" t="inlineStr">
        <is>
          <t>예</t>
        </is>
      </c>
      <c r="J847" s="18" t="inlineStr">
        <is>
          <t>예</t>
        </is>
      </c>
      <c r="K847" s="18" t="inlineStr">
        <is>
          <t>예</t>
        </is>
      </c>
      <c r="L847" s="18" t="inlineStr">
        <is>
          <t>Cobblemon 동일</t>
        </is>
      </c>
      <c r="M847" s="18">
        <f>COUNTIF('스폰_편집'!$D$5:$D$3125,A847)</f>
        <v/>
      </c>
      <c r="N847" s="18">
        <f>COUNTIFS('스폰_편집'!$D$5:$D$3125,A847,'스폰_편집'!$B$5:$B$3125,"사용")</f>
        <v/>
      </c>
      <c r="O847" s="18" t="n">
        <v>1</v>
      </c>
      <c r="P847" s="18" t="inlineStr">
        <is>
          <t>#cobblemon:is_desert</t>
        </is>
      </c>
      <c r="Q847" s="18" t="inlineStr">
        <is>
          <t>common</t>
        </is>
      </c>
      <c r="R847" s="18" t="inlineStr">
        <is>
          <t>region_02</t>
        </is>
      </c>
      <c r="S847" s="18" t="inlineStr">
        <is>
          <t>cobbleventure:generation_8</t>
        </is>
      </c>
      <c r="T847" s="18">
        <f>IF(M847=0,"없음",IF(N847=0,"전부 제외","사용"))</f>
        <v/>
      </c>
      <c r="U847" s="18" t="inlineStr"/>
    </row>
    <row r="848" ht="30" customHeight="1">
      <c r="A848" s="18" t="n">
        <v>844</v>
      </c>
      <c r="B848" s="18" t="inlineStr">
        <is>
          <t>사다이사</t>
        </is>
      </c>
      <c r="C848" s="18" t="inlineStr">
        <is>
          <t>sandaconda</t>
        </is>
      </c>
      <c r="D848" s="18" t="inlineStr">
        <is>
          <t>Sandaconda</t>
        </is>
      </c>
      <c r="E848" s="18" t="n">
        <v>8</v>
      </c>
      <c r="F848" s="18" t="inlineStr">
        <is>
          <t>generation8</t>
        </is>
      </c>
      <c r="G848" s="18" t="inlineStr">
        <is>
          <t>ground</t>
        </is>
      </c>
      <c r="H848" s="18" t="inlineStr"/>
      <c r="I848" s="18" t="inlineStr">
        <is>
          <t>예</t>
        </is>
      </c>
      <c r="J848" s="18" t="inlineStr">
        <is>
          <t>예</t>
        </is>
      </c>
      <c r="K848" s="18" t="inlineStr">
        <is>
          <t>예</t>
        </is>
      </c>
      <c r="L848" s="18" t="inlineStr">
        <is>
          <t>Cobblemon 동일</t>
        </is>
      </c>
      <c r="M848" s="18">
        <f>COUNTIF('스폰_편집'!$D$5:$D$3125,A848)</f>
        <v/>
      </c>
      <c r="N848" s="18">
        <f>COUNTIFS('스폰_편집'!$D$5:$D$3125,A848,'스폰_편집'!$B$5:$B$3125,"사용")</f>
        <v/>
      </c>
      <c r="O848" s="18" t="n">
        <v>1</v>
      </c>
      <c r="P848" s="18" t="inlineStr">
        <is>
          <t>#cobblemon:is_desert</t>
        </is>
      </c>
      <c r="Q848" s="18" t="inlineStr">
        <is>
          <t>common</t>
        </is>
      </c>
      <c r="R848" s="18" t="inlineStr">
        <is>
          <t>region_02</t>
        </is>
      </c>
      <c r="S848" s="18" t="inlineStr">
        <is>
          <t>cobbleventure:generation_8</t>
        </is>
      </c>
      <c r="T848" s="18">
        <f>IF(M848=0,"없음",IF(N848=0,"전부 제외","사용"))</f>
        <v/>
      </c>
      <c r="U848" s="18" t="inlineStr"/>
    </row>
    <row r="849" ht="30" customHeight="1">
      <c r="A849" s="18" t="n">
        <v>845</v>
      </c>
      <c r="B849" s="18" t="inlineStr">
        <is>
          <t>윽우지</t>
        </is>
      </c>
      <c r="C849" s="18" t="inlineStr">
        <is>
          <t>cramorant</t>
        </is>
      </c>
      <c r="D849" s="18" t="inlineStr">
        <is>
          <t>Cramorant</t>
        </is>
      </c>
      <c r="E849" s="18" t="n">
        <v>8</v>
      </c>
      <c r="F849" s="18" t="inlineStr">
        <is>
          <t>generation8</t>
        </is>
      </c>
      <c r="G849" s="18" t="inlineStr">
        <is>
          <t>flying</t>
        </is>
      </c>
      <c r="H849" s="18" t="inlineStr">
        <is>
          <t>water</t>
        </is>
      </c>
      <c r="I849" s="18" t="inlineStr">
        <is>
          <t>예</t>
        </is>
      </c>
      <c r="J849" s="18" t="inlineStr">
        <is>
          <t>예</t>
        </is>
      </c>
      <c r="K849" s="18" t="inlineStr">
        <is>
          <t>예</t>
        </is>
      </c>
      <c r="L849" s="18" t="inlineStr">
        <is>
          <t>Cobblemon 동일</t>
        </is>
      </c>
      <c r="M849" s="18">
        <f>COUNTIF('스폰_편집'!$D$5:$D$3125,A849)</f>
        <v/>
      </c>
      <c r="N849" s="18">
        <f>COUNTIFS('스폰_편집'!$D$5:$D$3125,A849,'스폰_편집'!$B$5:$B$3125,"사용")</f>
        <v/>
      </c>
      <c r="O849" s="18" t="n">
        <v>5</v>
      </c>
      <c r="P849" s="18" t="inlineStr">
        <is>
          <t>#aether:is_aether; #cobblemon:is_coast; #cobblemon:is_island; #cobblemon:is_ocean; #cobblemon:is_sky</t>
        </is>
      </c>
      <c r="Q849" s="18" t="inlineStr">
        <is>
          <t>common; uncommon</t>
        </is>
      </c>
      <c r="R849" s="18" t="inlineStr"/>
      <c r="S849" s="18" t="inlineStr">
        <is>
          <t>cobbleventure:generation_8</t>
        </is>
      </c>
      <c r="T849" s="18">
        <f>IF(M849=0,"없음",IF(N849=0,"전부 제외","사용"))</f>
        <v/>
      </c>
      <c r="U849" s="18" t="inlineStr"/>
    </row>
    <row r="850" ht="30" customHeight="1">
      <c r="A850" s="18" t="n">
        <v>846</v>
      </c>
      <c r="B850" s="18" t="inlineStr">
        <is>
          <t>찌로꼬치</t>
        </is>
      </c>
      <c r="C850" s="18" t="inlineStr">
        <is>
          <t>arrokuda</t>
        </is>
      </c>
      <c r="D850" s="18" t="inlineStr">
        <is>
          <t>Arrokuda</t>
        </is>
      </c>
      <c r="E850" s="18" t="n">
        <v>8</v>
      </c>
      <c r="F850" s="18" t="inlineStr">
        <is>
          <t>generation8</t>
        </is>
      </c>
      <c r="G850" s="18" t="inlineStr">
        <is>
          <t>water</t>
        </is>
      </c>
      <c r="H850" s="18" t="inlineStr"/>
      <c r="I850" s="18" t="inlineStr">
        <is>
          <t>예</t>
        </is>
      </c>
      <c r="J850" s="18" t="inlineStr">
        <is>
          <t>예</t>
        </is>
      </c>
      <c r="K850" s="18" t="inlineStr">
        <is>
          <t>예</t>
        </is>
      </c>
      <c r="L850" s="18" t="inlineStr">
        <is>
          <t>Cobblemon 동일</t>
        </is>
      </c>
      <c r="M850" s="18">
        <f>COUNTIF('스폰_편집'!$D$5:$D$3125,A850)</f>
        <v/>
      </c>
      <c r="N850" s="18">
        <f>COUNTIFS('스폰_편집'!$D$5:$D$3125,A850,'스폰_편집'!$B$5:$B$3125,"사용")</f>
        <v/>
      </c>
      <c r="O850" s="18" t="n">
        <v>4</v>
      </c>
      <c r="P850" s="18" t="inlineStr">
        <is>
          <t>#aether:is_aether; #cobblemon:is_coast; #cobblemon:is_ocean; #cobblemon:is_swamp</t>
        </is>
      </c>
      <c r="Q850" s="18" t="inlineStr">
        <is>
          <t>common</t>
        </is>
      </c>
      <c r="R850" s="18" t="inlineStr">
        <is>
          <t>region_02</t>
        </is>
      </c>
      <c r="S850" s="18" t="inlineStr">
        <is>
          <t>cobbleventure:generation_8</t>
        </is>
      </c>
      <c r="T850" s="18">
        <f>IF(M850=0,"없음",IF(N850=0,"전부 제외","사용"))</f>
        <v/>
      </c>
      <c r="U850" s="18" t="inlineStr"/>
    </row>
    <row r="851" ht="30" customHeight="1">
      <c r="A851" s="18" t="n">
        <v>847</v>
      </c>
      <c r="B851" s="18" t="inlineStr">
        <is>
          <t>꼬치조</t>
        </is>
      </c>
      <c r="C851" s="18" t="inlineStr">
        <is>
          <t>barraskewda</t>
        </is>
      </c>
      <c r="D851" s="18" t="inlineStr">
        <is>
          <t>Barraskewda</t>
        </is>
      </c>
      <c r="E851" s="18" t="n">
        <v>8</v>
      </c>
      <c r="F851" s="18" t="inlineStr">
        <is>
          <t>generation8</t>
        </is>
      </c>
      <c r="G851" s="18" t="inlineStr">
        <is>
          <t>water</t>
        </is>
      </c>
      <c r="H851" s="18" t="inlineStr"/>
      <c r="I851" s="18" t="inlineStr">
        <is>
          <t>예</t>
        </is>
      </c>
      <c r="J851" s="18" t="inlineStr">
        <is>
          <t>예</t>
        </is>
      </c>
      <c r="K851" s="18" t="inlineStr">
        <is>
          <t>예</t>
        </is>
      </c>
      <c r="L851" s="18" t="inlineStr">
        <is>
          <t>Cobblemon 동일</t>
        </is>
      </c>
      <c r="M851" s="18">
        <f>COUNTIF('스폰_편집'!$D$5:$D$3125,A851)</f>
        <v/>
      </c>
      <c r="N851" s="18">
        <f>COUNTIFS('스폰_편집'!$D$5:$D$3125,A851,'스폰_편집'!$B$5:$B$3125,"사용")</f>
        <v/>
      </c>
      <c r="O851" s="18" t="n">
        <v>4</v>
      </c>
      <c r="P851" s="18" t="inlineStr">
        <is>
          <t>#aether:is_aether; #cobblemon:is_coast; #cobblemon:is_ocean; #cobblemon:is_swamp</t>
        </is>
      </c>
      <c r="Q851" s="18" t="inlineStr">
        <is>
          <t>common</t>
        </is>
      </c>
      <c r="R851" s="18" t="inlineStr">
        <is>
          <t>region_02</t>
        </is>
      </c>
      <c r="S851" s="18" t="inlineStr">
        <is>
          <t>cobbleventure:generation_8</t>
        </is>
      </c>
      <c r="T851" s="18">
        <f>IF(M851=0,"없음",IF(N851=0,"전부 제외","사용"))</f>
        <v/>
      </c>
      <c r="U851" s="18" t="inlineStr"/>
    </row>
    <row r="852" ht="30" customHeight="1">
      <c r="A852" s="18" t="n">
        <v>848</v>
      </c>
      <c r="B852" s="18" t="inlineStr">
        <is>
          <t>일레즌</t>
        </is>
      </c>
      <c r="C852" s="18" t="inlineStr">
        <is>
          <t>toxel</t>
        </is>
      </c>
      <c r="D852" s="18" t="inlineStr">
        <is>
          <t>Toxel</t>
        </is>
      </c>
      <c r="E852" s="18" t="n">
        <v>8</v>
      </c>
      <c r="F852" s="18" t="inlineStr">
        <is>
          <t>generation8</t>
        </is>
      </c>
      <c r="G852" s="18" t="inlineStr">
        <is>
          <t>electric</t>
        </is>
      </c>
      <c r="H852" s="18" t="inlineStr">
        <is>
          <t>poison</t>
        </is>
      </c>
      <c r="I852" s="18" t="inlineStr">
        <is>
          <t>예</t>
        </is>
      </c>
      <c r="J852" s="18" t="inlineStr">
        <is>
          <t>예</t>
        </is>
      </c>
      <c r="K852" s="18" t="inlineStr">
        <is>
          <t>예</t>
        </is>
      </c>
      <c r="L852" s="18" t="inlineStr">
        <is>
          <t>COBBLEVERSE 수정</t>
        </is>
      </c>
      <c r="M852" s="18">
        <f>COUNTIF('스폰_편집'!$D$5:$D$3125,A852)</f>
        <v/>
      </c>
      <c r="N852" s="18">
        <f>COUNTIFS('스폰_편집'!$D$5:$D$3125,A852,'스폰_편집'!$B$5:$B$3125,"사용")</f>
        <v/>
      </c>
      <c r="O852" s="18" t="n">
        <v>2</v>
      </c>
      <c r="P852" s="18" t="inlineStr">
        <is>
          <t>#cobblemon:is_overworld; #cobblemon:is_swamp</t>
        </is>
      </c>
      <c r="Q852" s="18" t="inlineStr">
        <is>
          <t>common; uncommon</t>
        </is>
      </c>
      <c r="R852" s="18" t="inlineStr">
        <is>
          <t>region_01; region_02</t>
        </is>
      </c>
      <c r="S852" s="18" t="inlineStr">
        <is>
          <t>cobbleventure:generation_8</t>
        </is>
      </c>
      <c r="T852" s="18">
        <f>IF(M852=0,"없음",IF(N852=0,"전부 제외","사용"))</f>
        <v/>
      </c>
      <c r="U852" s="18" t="inlineStr"/>
    </row>
    <row r="853" ht="30" customHeight="1">
      <c r="A853" s="18" t="n">
        <v>849</v>
      </c>
      <c r="B853" s="18" t="inlineStr">
        <is>
          <t>스트린더</t>
        </is>
      </c>
      <c r="C853" s="18" t="inlineStr">
        <is>
          <t>toxtricity</t>
        </is>
      </c>
      <c r="D853" s="18" t="inlineStr">
        <is>
          <t>Toxtricity</t>
        </is>
      </c>
      <c r="E853" s="18" t="n">
        <v>8</v>
      </c>
      <c r="F853" s="18" t="inlineStr">
        <is>
          <t>generation8</t>
        </is>
      </c>
      <c r="G853" s="18" t="inlineStr">
        <is>
          <t>electric</t>
        </is>
      </c>
      <c r="H853" s="18" t="inlineStr">
        <is>
          <t>poison</t>
        </is>
      </c>
      <c r="I853" s="18" t="inlineStr">
        <is>
          <t>예</t>
        </is>
      </c>
      <c r="J853" s="18" t="inlineStr">
        <is>
          <t>예</t>
        </is>
      </c>
      <c r="K853" s="18" t="inlineStr">
        <is>
          <t>예</t>
        </is>
      </c>
      <c r="L853" s="18" t="inlineStr">
        <is>
          <t>COBBLEVERSE 수정</t>
        </is>
      </c>
      <c r="M853" s="18">
        <f>COUNTIF('스폰_편집'!$D$5:$D$3125,A853)</f>
        <v/>
      </c>
      <c r="N853" s="18">
        <f>COUNTIFS('스폰_편집'!$D$5:$D$3125,A853,'스폰_편집'!$B$5:$B$3125,"사용")</f>
        <v/>
      </c>
      <c r="O853" s="18" t="n">
        <v>2</v>
      </c>
      <c r="P853" s="18" t="inlineStr">
        <is>
          <t>#cobblemon:is_overworld; #cobblemon:is_swamp</t>
        </is>
      </c>
      <c r="Q853" s="18" t="inlineStr">
        <is>
          <t>common; uncommon</t>
        </is>
      </c>
      <c r="R853" s="18" t="inlineStr">
        <is>
          <t>region_01; region_02</t>
        </is>
      </c>
      <c r="S853" s="18" t="inlineStr">
        <is>
          <t>cobbleventure:generation_8</t>
        </is>
      </c>
      <c r="T853" s="18">
        <f>IF(M853=0,"없음",IF(N853=0,"전부 제외","사용"))</f>
        <v/>
      </c>
      <c r="U853" s="18" t="inlineStr"/>
    </row>
    <row r="854" ht="30" customHeight="1">
      <c r="A854" s="18" t="n">
        <v>850</v>
      </c>
      <c r="B854" s="18" t="inlineStr">
        <is>
          <t>태우지네</t>
        </is>
      </c>
      <c r="C854" s="18" t="inlineStr">
        <is>
          <t>sizzlipede</t>
        </is>
      </c>
      <c r="D854" s="18" t="inlineStr">
        <is>
          <t>Sizzlipede</t>
        </is>
      </c>
      <c r="E854" s="18" t="n">
        <v>8</v>
      </c>
      <c r="F854" s="18" t="inlineStr">
        <is>
          <t>generation8</t>
        </is>
      </c>
      <c r="G854" s="18" t="inlineStr">
        <is>
          <t>fire</t>
        </is>
      </c>
      <c r="H854" s="18" t="inlineStr">
        <is>
          <t>bug</t>
        </is>
      </c>
      <c r="I854" s="18" t="inlineStr">
        <is>
          <t>예</t>
        </is>
      </c>
      <c r="J854" s="18" t="inlineStr">
        <is>
          <t>예</t>
        </is>
      </c>
      <c r="K854" s="18" t="inlineStr">
        <is>
          <t>예</t>
        </is>
      </c>
      <c r="L854" s="18" t="inlineStr">
        <is>
          <t>Cobblemon 동일</t>
        </is>
      </c>
      <c r="M854" s="18">
        <f>COUNTIF('스폰_편집'!$D$5:$D$3125,A854)</f>
        <v/>
      </c>
      <c r="N854" s="18">
        <f>COUNTIFS('스폰_편집'!$D$5:$D$3125,A854,'스폰_편집'!$B$5:$B$3125,"사용")</f>
        <v/>
      </c>
      <c r="O854" s="18" t="n">
        <v>4</v>
      </c>
      <c r="P854" s="18" t="inlineStr">
        <is>
          <t>#cobblemon:is_badlands; #cobblemon:is_volcanic; #cobblemon:nether/is_basalt; #cobblemon:nether/is_wasteland</t>
        </is>
      </c>
      <c r="Q854" s="18" t="inlineStr">
        <is>
          <t>common</t>
        </is>
      </c>
      <c r="R854" s="18" t="inlineStr"/>
      <c r="S854" s="18" t="inlineStr">
        <is>
          <t>cobbleventure:generation_8</t>
        </is>
      </c>
      <c r="T854" s="18">
        <f>IF(M854=0,"없음",IF(N854=0,"전부 제외","사용"))</f>
        <v/>
      </c>
      <c r="U854" s="18" t="inlineStr"/>
    </row>
    <row r="855" ht="30" customHeight="1">
      <c r="A855" s="18" t="n">
        <v>851</v>
      </c>
      <c r="B855" s="18" t="inlineStr">
        <is>
          <t>다태우지네</t>
        </is>
      </c>
      <c r="C855" s="18" t="inlineStr">
        <is>
          <t>centiskorch</t>
        </is>
      </c>
      <c r="D855" s="18" t="inlineStr">
        <is>
          <t>Centiskorch</t>
        </is>
      </c>
      <c r="E855" s="18" t="n">
        <v>8</v>
      </c>
      <c r="F855" s="18" t="inlineStr">
        <is>
          <t>generation8</t>
        </is>
      </c>
      <c r="G855" s="18" t="inlineStr">
        <is>
          <t>fire</t>
        </is>
      </c>
      <c r="H855" s="18" t="inlineStr">
        <is>
          <t>bug</t>
        </is>
      </c>
      <c r="I855" s="18" t="inlineStr">
        <is>
          <t>예</t>
        </is>
      </c>
      <c r="J855" s="18" t="inlineStr">
        <is>
          <t>예</t>
        </is>
      </c>
      <c r="K855" s="18" t="inlineStr">
        <is>
          <t>예</t>
        </is>
      </c>
      <c r="L855" s="18" t="inlineStr">
        <is>
          <t>Cobblemon 동일</t>
        </is>
      </c>
      <c r="M855" s="18">
        <f>COUNTIF('스폰_편집'!$D$5:$D$3125,A855)</f>
        <v/>
      </c>
      <c r="N855" s="18">
        <f>COUNTIFS('스폰_편집'!$D$5:$D$3125,A855,'스폰_편집'!$B$5:$B$3125,"사용")</f>
        <v/>
      </c>
      <c r="O855" s="18" t="n">
        <v>4</v>
      </c>
      <c r="P855" s="18" t="inlineStr">
        <is>
          <t>#cobblemon:is_badlands; #cobblemon:is_volcanic; #cobblemon:nether/is_basalt; #cobblemon:nether/is_wasteland</t>
        </is>
      </c>
      <c r="Q855" s="18" t="inlineStr">
        <is>
          <t>common</t>
        </is>
      </c>
      <c r="R855" s="18" t="inlineStr"/>
      <c r="S855" s="18" t="inlineStr">
        <is>
          <t>cobbleventure:generation_8</t>
        </is>
      </c>
      <c r="T855" s="18">
        <f>IF(M855=0,"없음",IF(N855=0,"전부 제외","사용"))</f>
        <v/>
      </c>
      <c r="U855" s="18" t="inlineStr"/>
    </row>
    <row r="856" ht="30" customHeight="1">
      <c r="A856" s="18" t="n">
        <v>852</v>
      </c>
      <c r="B856" s="18" t="inlineStr">
        <is>
          <t>때때무노</t>
        </is>
      </c>
      <c r="C856" s="18" t="inlineStr">
        <is>
          <t>clobbopus</t>
        </is>
      </c>
      <c r="D856" s="18" t="inlineStr">
        <is>
          <t>Clobbopus</t>
        </is>
      </c>
      <c r="E856" s="18" t="n">
        <v>8</v>
      </c>
      <c r="F856" s="18" t="inlineStr">
        <is>
          <t>generation8</t>
        </is>
      </c>
      <c r="G856" s="18" t="inlineStr">
        <is>
          <t>fighting</t>
        </is>
      </c>
      <c r="H856" s="18" t="inlineStr"/>
      <c r="I856" s="18" t="inlineStr">
        <is>
          <t>예</t>
        </is>
      </c>
      <c r="J856" s="18" t="inlineStr">
        <is>
          <t>예</t>
        </is>
      </c>
      <c r="K856" s="18" t="inlineStr">
        <is>
          <t>예</t>
        </is>
      </c>
      <c r="L856" s="18" t="inlineStr">
        <is>
          <t>Cobblemon 동일</t>
        </is>
      </c>
      <c r="M856" s="18">
        <f>COUNTIF('스폰_편집'!$D$5:$D$3125,A856)</f>
        <v/>
      </c>
      <c r="N856" s="18">
        <f>COUNTIFS('스폰_편집'!$D$5:$D$3125,A856,'스폰_편집'!$B$5:$B$3125,"사용")</f>
        <v/>
      </c>
      <c r="O856" s="18" t="n">
        <v>4</v>
      </c>
      <c r="P856" s="18" t="inlineStr">
        <is>
          <t>#cobblemon:is_coast; #cobblemon:is_ocean; #cobblemon:is_overworld; #cobblemon:is_tropical_island</t>
        </is>
      </c>
      <c r="Q856" s="18" t="inlineStr">
        <is>
          <t>common; uncommon</t>
        </is>
      </c>
      <c r="R856" s="18" t="inlineStr">
        <is>
          <t>region_01; region_02</t>
        </is>
      </c>
      <c r="S856" s="18" t="inlineStr">
        <is>
          <t>cobbleventure:generation_8</t>
        </is>
      </c>
      <c r="T856" s="18">
        <f>IF(M856=0,"없음",IF(N856=0,"전부 제외","사용"))</f>
        <v/>
      </c>
      <c r="U856" s="18" t="inlineStr"/>
    </row>
    <row r="857" ht="30" customHeight="1">
      <c r="A857" s="18" t="n">
        <v>853</v>
      </c>
      <c r="B857" s="18" t="inlineStr">
        <is>
          <t>케오퍼스</t>
        </is>
      </c>
      <c r="C857" s="18" t="inlineStr">
        <is>
          <t>grapploct</t>
        </is>
      </c>
      <c r="D857" s="18" t="inlineStr">
        <is>
          <t>Grapploct</t>
        </is>
      </c>
      <c r="E857" s="18" t="n">
        <v>8</v>
      </c>
      <c r="F857" s="18" t="inlineStr">
        <is>
          <t>generation8</t>
        </is>
      </c>
      <c r="G857" s="18" t="inlineStr">
        <is>
          <t>fighting</t>
        </is>
      </c>
      <c r="H857" s="18" t="inlineStr"/>
      <c r="I857" s="18" t="inlineStr">
        <is>
          <t>예</t>
        </is>
      </c>
      <c r="J857" s="18" t="inlineStr">
        <is>
          <t>예</t>
        </is>
      </c>
      <c r="K857" s="18" t="inlineStr">
        <is>
          <t>예</t>
        </is>
      </c>
      <c r="L857" s="18" t="inlineStr">
        <is>
          <t>Cobblemon 동일</t>
        </is>
      </c>
      <c r="M857" s="18">
        <f>COUNTIF('스폰_편집'!$D$5:$D$3125,A857)</f>
        <v/>
      </c>
      <c r="N857" s="18">
        <f>COUNTIFS('스폰_편집'!$D$5:$D$3125,A857,'스폰_편집'!$B$5:$B$3125,"사용")</f>
        <v/>
      </c>
      <c r="O857" s="18" t="n">
        <v>4</v>
      </c>
      <c r="P857" s="18" t="inlineStr">
        <is>
          <t>#cobblemon:is_coast; #cobblemon:is_ocean; #cobblemon:is_overworld; #cobblemon:is_tropical_island</t>
        </is>
      </c>
      <c r="Q857" s="18" t="inlineStr">
        <is>
          <t>common; uncommon</t>
        </is>
      </c>
      <c r="R857" s="18" t="inlineStr">
        <is>
          <t>region_01; region_02</t>
        </is>
      </c>
      <c r="S857" s="18" t="inlineStr">
        <is>
          <t>cobbleventure:generation_8</t>
        </is>
      </c>
      <c r="T857" s="18">
        <f>IF(M857=0,"없음",IF(N857=0,"전부 제외","사용"))</f>
        <v/>
      </c>
      <c r="U857" s="18" t="inlineStr"/>
    </row>
    <row r="858" ht="30" customHeight="1">
      <c r="A858" s="18" t="n">
        <v>854</v>
      </c>
      <c r="B858" s="18" t="inlineStr">
        <is>
          <t>데인차</t>
        </is>
      </c>
      <c r="C858" s="18" t="inlineStr">
        <is>
          <t>sinistea</t>
        </is>
      </c>
      <c r="D858" s="18" t="inlineStr">
        <is>
          <t>Sinistea</t>
        </is>
      </c>
      <c r="E858" s="18" t="n">
        <v>8</v>
      </c>
      <c r="F858" s="18" t="inlineStr">
        <is>
          <t>generation8</t>
        </is>
      </c>
      <c r="G858" s="18" t="inlineStr">
        <is>
          <t>ghost</t>
        </is>
      </c>
      <c r="H858" s="18" t="inlineStr"/>
      <c r="I858" s="18" t="inlineStr">
        <is>
          <t>예</t>
        </is>
      </c>
      <c r="J858" s="18" t="inlineStr">
        <is>
          <t>예</t>
        </is>
      </c>
      <c r="K858" s="18" t="inlineStr">
        <is>
          <t>예</t>
        </is>
      </c>
      <c r="L858" s="18" t="inlineStr">
        <is>
          <t>COBBLEVERSE 수정</t>
        </is>
      </c>
      <c r="M858" s="18">
        <f>COUNTIF('스폰_편집'!$D$5:$D$3125,A858)</f>
        <v/>
      </c>
      <c r="N858" s="18">
        <f>COUNTIFS('스폰_편집'!$D$5:$D$3125,A858,'스폰_편집'!$B$5:$B$3125,"사용")</f>
        <v/>
      </c>
      <c r="O858" s="18" t="n">
        <v>9</v>
      </c>
      <c r="P858" s="18" t="inlineStr">
        <is>
          <t>#cobblemon:is_floral; #cobblemon:is_magical; #cobblemon:is_mountain; #cobblemon:is_overworld; #cobblemon:is_plains; #cobblemon:is_snowy; #cobblemon:is_spooky; #cobblemon:is_taiga; #cobblemon:is_tundra</t>
        </is>
      </c>
      <c r="Q858" s="18" t="inlineStr">
        <is>
          <t>common; uncommon</t>
        </is>
      </c>
      <c r="R858" s="18" t="inlineStr">
        <is>
          <t>region_01; region_02</t>
        </is>
      </c>
      <c r="S858" s="18" t="inlineStr">
        <is>
          <t>cobbleventure:generation_8</t>
        </is>
      </c>
      <c r="T858" s="18">
        <f>IF(M858=0,"없음",IF(N858=0,"전부 제외","사용"))</f>
        <v/>
      </c>
      <c r="U858" s="18" t="inlineStr"/>
    </row>
    <row r="859" ht="30" customHeight="1">
      <c r="A859" s="18" t="n">
        <v>855</v>
      </c>
      <c r="B859" s="18" t="inlineStr">
        <is>
          <t>포트데스</t>
        </is>
      </c>
      <c r="C859" s="18" t="inlineStr">
        <is>
          <t>polteageist</t>
        </is>
      </c>
      <c r="D859" s="18" t="inlineStr">
        <is>
          <t>Polteageist</t>
        </is>
      </c>
      <c r="E859" s="18" t="n">
        <v>8</v>
      </c>
      <c r="F859" s="18" t="inlineStr">
        <is>
          <t>generation8</t>
        </is>
      </c>
      <c r="G859" s="18" t="inlineStr">
        <is>
          <t>ghost</t>
        </is>
      </c>
      <c r="H859" s="18" t="inlineStr"/>
      <c r="I859" s="18" t="inlineStr">
        <is>
          <t>예</t>
        </is>
      </c>
      <c r="J859" s="18" t="inlineStr">
        <is>
          <t>예</t>
        </is>
      </c>
      <c r="K859" s="18" t="inlineStr">
        <is>
          <t>예</t>
        </is>
      </c>
      <c r="L859" s="18" t="inlineStr">
        <is>
          <t>COBBLEVERSE 수정</t>
        </is>
      </c>
      <c r="M859" s="18">
        <f>COUNTIF('스폰_편집'!$D$5:$D$3125,A859)</f>
        <v/>
      </c>
      <c r="N859" s="18">
        <f>COUNTIFS('스폰_편집'!$D$5:$D$3125,A859,'스폰_편집'!$B$5:$B$3125,"사용")</f>
        <v/>
      </c>
      <c r="O859" s="18" t="n">
        <v>9</v>
      </c>
      <c r="P859" s="18" t="inlineStr">
        <is>
          <t>#cobblemon:is_floral; #cobblemon:is_magical; #cobblemon:is_mountain; #cobblemon:is_overworld; #cobblemon:is_plains; #cobblemon:is_snowy; #cobblemon:is_spooky; #cobblemon:is_taiga; #cobblemon:is_tundra</t>
        </is>
      </c>
      <c r="Q859" s="18" t="inlineStr">
        <is>
          <t>common; uncommon</t>
        </is>
      </c>
      <c r="R859" s="18" t="inlineStr">
        <is>
          <t>region_01; region_02</t>
        </is>
      </c>
      <c r="S859" s="18" t="inlineStr">
        <is>
          <t>cobbleventure:generation_8</t>
        </is>
      </c>
      <c r="T859" s="18">
        <f>IF(M859=0,"없음",IF(N859=0,"전부 제외","사용"))</f>
        <v/>
      </c>
      <c r="U859" s="18" t="inlineStr"/>
    </row>
    <row r="860" ht="30" customHeight="1">
      <c r="A860" s="18" t="n">
        <v>856</v>
      </c>
      <c r="B860" s="18" t="inlineStr">
        <is>
          <t>몸지브림</t>
        </is>
      </c>
      <c r="C860" s="18" t="inlineStr">
        <is>
          <t>hatenna</t>
        </is>
      </c>
      <c r="D860" s="18" t="inlineStr">
        <is>
          <t>Hatenna</t>
        </is>
      </c>
      <c r="E860" s="18" t="n">
        <v>8</v>
      </c>
      <c r="F860" s="18" t="inlineStr">
        <is>
          <t>generation8</t>
        </is>
      </c>
      <c r="G860" s="18" t="inlineStr">
        <is>
          <t>psychic</t>
        </is>
      </c>
      <c r="H860" s="18" t="inlineStr"/>
      <c r="I860" s="18" t="inlineStr">
        <is>
          <t>예</t>
        </is>
      </c>
      <c r="J860" s="18" t="inlineStr">
        <is>
          <t>예</t>
        </is>
      </c>
      <c r="K860" s="18" t="inlineStr">
        <is>
          <t>예</t>
        </is>
      </c>
      <c r="L860" s="18" t="inlineStr">
        <is>
          <t>Cobblemon 동일</t>
        </is>
      </c>
      <c r="M860" s="18">
        <f>COUNTIF('스폰_편집'!$D$5:$D$3125,A860)</f>
        <v/>
      </c>
      <c r="N860" s="18">
        <f>COUNTIFS('스폰_편집'!$D$5:$D$3125,A860,'스폰_편집'!$B$5:$B$3125,"사용")</f>
        <v/>
      </c>
      <c r="O860" s="18" t="n">
        <v>4</v>
      </c>
      <c r="P860" s="18" t="inlineStr">
        <is>
          <t>#cobblemon:is_magical; #cobblemon:is_overworld; aether:skyroot_forest; aether:skyroot_woodland</t>
        </is>
      </c>
      <c r="Q860" s="18" t="inlineStr">
        <is>
          <t>common; uncommon</t>
        </is>
      </c>
      <c r="R860" s="18" t="inlineStr">
        <is>
          <t>region_01; region_02</t>
        </is>
      </c>
      <c r="S860" s="18" t="inlineStr">
        <is>
          <t>cobbleventure:generation_8</t>
        </is>
      </c>
      <c r="T860" s="18">
        <f>IF(M860=0,"없음",IF(N860=0,"전부 제외","사용"))</f>
        <v/>
      </c>
      <c r="U860" s="18" t="inlineStr"/>
    </row>
    <row r="861" ht="30" customHeight="1">
      <c r="A861" s="18" t="n">
        <v>857</v>
      </c>
      <c r="B861" s="18" t="inlineStr">
        <is>
          <t>손지브림</t>
        </is>
      </c>
      <c r="C861" s="18" t="inlineStr">
        <is>
          <t>hattrem</t>
        </is>
      </c>
      <c r="D861" s="18" t="inlineStr">
        <is>
          <t>Hattrem</t>
        </is>
      </c>
      <c r="E861" s="18" t="n">
        <v>8</v>
      </c>
      <c r="F861" s="18" t="inlineStr">
        <is>
          <t>generation8</t>
        </is>
      </c>
      <c r="G861" s="18" t="inlineStr">
        <is>
          <t>psychic</t>
        </is>
      </c>
      <c r="H861" s="18" t="inlineStr"/>
      <c r="I861" s="18" t="inlineStr">
        <is>
          <t>예</t>
        </is>
      </c>
      <c r="J861" s="18" t="inlineStr">
        <is>
          <t>예</t>
        </is>
      </c>
      <c r="K861" s="18" t="inlineStr">
        <is>
          <t>예</t>
        </is>
      </c>
      <c r="L861" s="18" t="inlineStr">
        <is>
          <t>Cobblemon 동일</t>
        </is>
      </c>
      <c r="M861" s="18">
        <f>COUNTIF('스폰_편집'!$D$5:$D$3125,A861)</f>
        <v/>
      </c>
      <c r="N861" s="18">
        <f>COUNTIFS('스폰_편집'!$D$5:$D$3125,A861,'스폰_편집'!$B$5:$B$3125,"사용")</f>
        <v/>
      </c>
      <c r="O861" s="18" t="n">
        <v>4</v>
      </c>
      <c r="P861" s="18" t="inlineStr">
        <is>
          <t>#cobblemon:is_magical; #cobblemon:is_overworld; aether:skyroot_forest; aether:skyroot_woodland</t>
        </is>
      </c>
      <c r="Q861" s="18" t="inlineStr">
        <is>
          <t>common; uncommon</t>
        </is>
      </c>
      <c r="R861" s="18" t="inlineStr">
        <is>
          <t>region_01; region_02</t>
        </is>
      </c>
      <c r="S861" s="18" t="inlineStr">
        <is>
          <t>cobbleventure:generation_8</t>
        </is>
      </c>
      <c r="T861" s="18">
        <f>IF(M861=0,"없음",IF(N861=0,"전부 제외","사용"))</f>
        <v/>
      </c>
      <c r="U861" s="18" t="inlineStr"/>
    </row>
    <row r="862" ht="30" customHeight="1">
      <c r="A862" s="18" t="n">
        <v>858</v>
      </c>
      <c r="B862" s="18" t="inlineStr">
        <is>
          <t>브리무음</t>
        </is>
      </c>
      <c r="C862" s="18" t="inlineStr">
        <is>
          <t>hatterene</t>
        </is>
      </c>
      <c r="D862" s="18" t="inlineStr">
        <is>
          <t>Hatterene</t>
        </is>
      </c>
      <c r="E862" s="18" t="n">
        <v>8</v>
      </c>
      <c r="F862" s="18" t="inlineStr">
        <is>
          <t>generation8</t>
        </is>
      </c>
      <c r="G862" s="18" t="inlineStr">
        <is>
          <t>psychic</t>
        </is>
      </c>
      <c r="H862" s="18" t="inlineStr">
        <is>
          <t>fairy</t>
        </is>
      </c>
      <c r="I862" s="18" t="inlineStr">
        <is>
          <t>예</t>
        </is>
      </c>
      <c r="J862" s="18" t="inlineStr">
        <is>
          <t>예</t>
        </is>
      </c>
      <c r="K862" s="18" t="inlineStr">
        <is>
          <t>예</t>
        </is>
      </c>
      <c r="L862" s="18" t="inlineStr">
        <is>
          <t>Cobblemon 동일</t>
        </is>
      </c>
      <c r="M862" s="18">
        <f>COUNTIF('스폰_편집'!$D$5:$D$3125,A862)</f>
        <v/>
      </c>
      <c r="N862" s="18">
        <f>COUNTIFS('스폰_편집'!$D$5:$D$3125,A862,'스폰_편집'!$B$5:$B$3125,"사용")</f>
        <v/>
      </c>
      <c r="O862" s="18" t="n">
        <v>4</v>
      </c>
      <c r="P862" s="18" t="inlineStr">
        <is>
          <t>#cobblemon:is_magical; #cobblemon:is_overworld; aether:skyroot_forest; aether:skyroot_woodland</t>
        </is>
      </c>
      <c r="Q862" s="18" t="inlineStr">
        <is>
          <t>common; uncommon</t>
        </is>
      </c>
      <c r="R862" s="18" t="inlineStr">
        <is>
          <t>region_01; region_02</t>
        </is>
      </c>
      <c r="S862" s="18" t="inlineStr">
        <is>
          <t>cobbleventure:generation_8</t>
        </is>
      </c>
      <c r="T862" s="18">
        <f>IF(M862=0,"없음",IF(N862=0,"전부 제외","사용"))</f>
        <v/>
      </c>
      <c r="U862" s="18" t="inlineStr"/>
    </row>
    <row r="863" ht="30" customHeight="1">
      <c r="A863" s="18" t="n">
        <v>859</v>
      </c>
      <c r="B863" s="18" t="inlineStr">
        <is>
          <t>메롱꿍</t>
        </is>
      </c>
      <c r="C863" s="18" t="inlineStr">
        <is>
          <t>impidimp</t>
        </is>
      </c>
      <c r="D863" s="18" t="inlineStr">
        <is>
          <t>Impidimp</t>
        </is>
      </c>
      <c r="E863" s="18" t="n">
        <v>8</v>
      </c>
      <c r="F863" s="18" t="inlineStr">
        <is>
          <t>generation8</t>
        </is>
      </c>
      <c r="G863" s="18" t="inlineStr">
        <is>
          <t>dark</t>
        </is>
      </c>
      <c r="H863" s="18" t="inlineStr">
        <is>
          <t>fairy</t>
        </is>
      </c>
      <c r="I863" s="18" t="inlineStr">
        <is>
          <t>예</t>
        </is>
      </c>
      <c r="J863" s="18" t="inlineStr">
        <is>
          <t>예</t>
        </is>
      </c>
      <c r="K863" s="18" t="inlineStr">
        <is>
          <t>예</t>
        </is>
      </c>
      <c r="L863" s="18" t="inlineStr">
        <is>
          <t>COBBLEVERSE 수정</t>
        </is>
      </c>
      <c r="M863" s="18">
        <f>COUNTIF('스폰_편집'!$D$5:$D$3125,A863)</f>
        <v/>
      </c>
      <c r="N863" s="18">
        <f>COUNTIFS('스폰_편집'!$D$5:$D$3125,A863,'스폰_편집'!$B$5:$B$3125,"사용")</f>
        <v/>
      </c>
      <c r="O863" s="18" t="n">
        <v>4</v>
      </c>
      <c r="P863" s="18" t="inlineStr">
        <is>
          <t>#cobblemon:is_magical; #cobblemon:is_spooky; #cobblemon:nether/is_forest; #cobblemon:nether/is_warped</t>
        </is>
      </c>
      <c r="Q863" s="18" t="inlineStr">
        <is>
          <t>common</t>
        </is>
      </c>
      <c r="R863" s="18" t="inlineStr"/>
      <c r="S863" s="18" t="inlineStr">
        <is>
          <t>cobbleventure:generation_8</t>
        </is>
      </c>
      <c r="T863" s="18">
        <f>IF(M863=0,"없음",IF(N863=0,"전부 제외","사용"))</f>
        <v/>
      </c>
      <c r="U863" s="18" t="inlineStr"/>
    </row>
    <row r="864" ht="30" customHeight="1">
      <c r="A864" s="18" t="n">
        <v>860</v>
      </c>
      <c r="B864" s="18" t="inlineStr">
        <is>
          <t>쏘겨모</t>
        </is>
      </c>
      <c r="C864" s="18" t="inlineStr">
        <is>
          <t>morgrem</t>
        </is>
      </c>
      <c r="D864" s="18" t="inlineStr">
        <is>
          <t>Morgrem</t>
        </is>
      </c>
      <c r="E864" s="18" t="n">
        <v>8</v>
      </c>
      <c r="F864" s="18" t="inlineStr">
        <is>
          <t>generation8</t>
        </is>
      </c>
      <c r="G864" s="18" t="inlineStr">
        <is>
          <t>dark</t>
        </is>
      </c>
      <c r="H864" s="18" t="inlineStr">
        <is>
          <t>fairy</t>
        </is>
      </c>
      <c r="I864" s="18" t="inlineStr">
        <is>
          <t>예</t>
        </is>
      </c>
      <c r="J864" s="18" t="inlineStr">
        <is>
          <t>예</t>
        </is>
      </c>
      <c r="K864" s="18" t="inlineStr">
        <is>
          <t>예</t>
        </is>
      </c>
      <c r="L864" s="18" t="inlineStr">
        <is>
          <t>Cobblemon 동일</t>
        </is>
      </c>
      <c r="M864" s="18">
        <f>COUNTIF('스폰_편집'!$D$5:$D$3125,A864)</f>
        <v/>
      </c>
      <c r="N864" s="18">
        <f>COUNTIFS('스폰_편집'!$D$5:$D$3125,A864,'스폰_편집'!$B$5:$B$3125,"사용")</f>
        <v/>
      </c>
      <c r="O864" s="18" t="n">
        <v>3</v>
      </c>
      <c r="P864" s="18" t="inlineStr">
        <is>
          <t>#cobblemon:is_magical; #cobblemon:nether/is_forest; #cobblemon:nether/is_warped</t>
        </is>
      </c>
      <c r="Q864" s="18" t="inlineStr">
        <is>
          <t>common</t>
        </is>
      </c>
      <c r="R864" s="18" t="inlineStr"/>
      <c r="S864" s="18" t="inlineStr">
        <is>
          <t>cobbleventure:generation_8</t>
        </is>
      </c>
      <c r="T864" s="18">
        <f>IF(M864=0,"없음",IF(N864=0,"전부 제외","사용"))</f>
        <v/>
      </c>
      <c r="U864" s="18" t="inlineStr"/>
    </row>
    <row r="865" ht="30" customHeight="1">
      <c r="A865" s="18" t="n">
        <v>861</v>
      </c>
      <c r="B865" s="18" t="inlineStr">
        <is>
          <t>오롱털</t>
        </is>
      </c>
      <c r="C865" s="18" t="inlineStr">
        <is>
          <t>grimmsnarl</t>
        </is>
      </c>
      <c r="D865" s="18" t="inlineStr">
        <is>
          <t>Grimmsnarl</t>
        </is>
      </c>
      <c r="E865" s="18" t="n">
        <v>8</v>
      </c>
      <c r="F865" s="18" t="inlineStr">
        <is>
          <t>generation8</t>
        </is>
      </c>
      <c r="G865" s="18" t="inlineStr">
        <is>
          <t>dark</t>
        </is>
      </c>
      <c r="H865" s="18" t="inlineStr">
        <is>
          <t>fairy</t>
        </is>
      </c>
      <c r="I865" s="18" t="inlineStr">
        <is>
          <t>예</t>
        </is>
      </c>
      <c r="J865" s="18" t="inlineStr">
        <is>
          <t>예</t>
        </is>
      </c>
      <c r="K865" s="18" t="inlineStr">
        <is>
          <t>예</t>
        </is>
      </c>
      <c r="L865" s="18" t="inlineStr">
        <is>
          <t>Cobblemon 동일</t>
        </is>
      </c>
      <c r="M865" s="18">
        <f>COUNTIF('스폰_편집'!$D$5:$D$3125,A865)</f>
        <v/>
      </c>
      <c r="N865" s="18">
        <f>COUNTIFS('스폰_편집'!$D$5:$D$3125,A865,'스폰_편집'!$B$5:$B$3125,"사용")</f>
        <v/>
      </c>
      <c r="O865" s="18" t="n">
        <v>3</v>
      </c>
      <c r="P865" s="18" t="inlineStr">
        <is>
          <t>#cobblemon:is_magical; #cobblemon:nether/is_forest; #cobblemon:nether/is_warped</t>
        </is>
      </c>
      <c r="Q865" s="18" t="inlineStr">
        <is>
          <t>common</t>
        </is>
      </c>
      <c r="R865" s="18" t="inlineStr"/>
      <c r="S865" s="18" t="inlineStr">
        <is>
          <t>cobbleventure:generation_8</t>
        </is>
      </c>
      <c r="T865" s="18">
        <f>IF(M865=0,"없음",IF(N865=0,"전부 제외","사용"))</f>
        <v/>
      </c>
      <c r="U865" s="18" t="inlineStr"/>
    </row>
    <row r="866" ht="30" customHeight="1">
      <c r="A866" s="18" t="n">
        <v>862</v>
      </c>
      <c r="B866" s="18" t="inlineStr">
        <is>
          <t>가로막구리</t>
        </is>
      </c>
      <c r="C866" s="18" t="inlineStr">
        <is>
          <t>obstagoon</t>
        </is>
      </c>
      <c r="D866" s="18" t="inlineStr">
        <is>
          <t>Obstagoon</t>
        </is>
      </c>
      <c r="E866" s="18" t="n">
        <v>8</v>
      </c>
      <c r="F866" s="18" t="inlineStr">
        <is>
          <t>generation8</t>
        </is>
      </c>
      <c r="G866" s="18" t="inlineStr">
        <is>
          <t>dark</t>
        </is>
      </c>
      <c r="H866" s="18" t="inlineStr">
        <is>
          <t>normal</t>
        </is>
      </c>
      <c r="I866" s="18" t="inlineStr">
        <is>
          <t>예</t>
        </is>
      </c>
      <c r="J866" s="18" t="inlineStr">
        <is>
          <t>예</t>
        </is>
      </c>
      <c r="K866" s="18" t="inlineStr">
        <is>
          <t>예</t>
        </is>
      </c>
      <c r="L866" s="18" t="inlineStr">
        <is>
          <t>Cobblemon 동일</t>
        </is>
      </c>
      <c r="M866" s="18">
        <f>COUNTIF('스폰_편집'!$D$5:$D$3125,A866)</f>
        <v/>
      </c>
      <c r="N866" s="18">
        <f>COUNTIFS('스폰_편집'!$D$5:$D$3125,A866,'스폰_편집'!$B$5:$B$3125,"사용")</f>
        <v/>
      </c>
      <c r="O866" s="18" t="n">
        <v>1</v>
      </c>
      <c r="P866" s="18" t="inlineStr">
        <is>
          <t>#cobblemon:is_taiga</t>
        </is>
      </c>
      <c r="Q866" s="18" t="inlineStr">
        <is>
          <t>common</t>
        </is>
      </c>
      <c r="R866" s="18" t="inlineStr"/>
      <c r="S866" s="18" t="inlineStr">
        <is>
          <t>cobbleventure:generation_8</t>
        </is>
      </c>
      <c r="T866" s="18">
        <f>IF(M866=0,"없음",IF(N866=0,"전부 제외","사용"))</f>
        <v/>
      </c>
      <c r="U866" s="18" t="inlineStr"/>
    </row>
    <row r="867" ht="30" customHeight="1">
      <c r="A867" s="18" t="n">
        <v>863</v>
      </c>
      <c r="B867" s="18" t="inlineStr">
        <is>
          <t>나이킹</t>
        </is>
      </c>
      <c r="C867" s="18" t="inlineStr">
        <is>
          <t>perrserker</t>
        </is>
      </c>
      <c r="D867" s="18" t="inlineStr">
        <is>
          <t>Perrserker</t>
        </is>
      </c>
      <c r="E867" s="18" t="n">
        <v>8</v>
      </c>
      <c r="F867" s="18" t="inlineStr">
        <is>
          <t>generation8</t>
        </is>
      </c>
      <c r="G867" s="18" t="inlineStr">
        <is>
          <t>steel</t>
        </is>
      </c>
      <c r="H867" s="18" t="inlineStr"/>
      <c r="I867" s="18" t="inlineStr">
        <is>
          <t>예</t>
        </is>
      </c>
      <c r="J867" s="18" t="inlineStr">
        <is>
          <t>예</t>
        </is>
      </c>
      <c r="K867" s="18" t="inlineStr">
        <is>
          <t>예</t>
        </is>
      </c>
      <c r="L867" s="18" t="inlineStr">
        <is>
          <t>COBBLEVERSE 수정</t>
        </is>
      </c>
      <c r="M867" s="18">
        <f>COUNTIF('스폰_편집'!$D$5:$D$3125,A867)</f>
        <v/>
      </c>
      <c r="N867" s="18">
        <f>COUNTIFS('스폰_편집'!$D$5:$D$3125,A867,'스폰_편집'!$B$5:$B$3125,"사용")</f>
        <v/>
      </c>
      <c r="O867" s="18" t="n">
        <v>2</v>
      </c>
      <c r="P867" s="18" t="inlineStr">
        <is>
          <t>#cobblemon:is_freezing; #cobblemon:is_taiga</t>
        </is>
      </c>
      <c r="Q867" s="18" t="inlineStr">
        <is>
          <t>common</t>
        </is>
      </c>
      <c r="R867" s="18" t="inlineStr"/>
      <c r="S867" s="18" t="inlineStr">
        <is>
          <t>cobbleventure:generation_8</t>
        </is>
      </c>
      <c r="T867" s="18">
        <f>IF(M867=0,"없음",IF(N867=0,"전부 제외","사용"))</f>
        <v/>
      </c>
      <c r="U867" s="18" t="inlineStr"/>
    </row>
    <row r="868" ht="30" customHeight="1">
      <c r="A868" s="18" t="n">
        <v>864</v>
      </c>
      <c r="B868" s="18" t="inlineStr">
        <is>
          <t>산호르곤</t>
        </is>
      </c>
      <c r="C868" s="18" t="inlineStr">
        <is>
          <t>cursola</t>
        </is>
      </c>
      <c r="D868" s="18" t="inlineStr">
        <is>
          <t>Cursola</t>
        </is>
      </c>
      <c r="E868" s="18" t="n">
        <v>8</v>
      </c>
      <c r="F868" s="18" t="inlineStr">
        <is>
          <t>generation8</t>
        </is>
      </c>
      <c r="G868" s="18" t="inlineStr">
        <is>
          <t>ghost</t>
        </is>
      </c>
      <c r="H868" s="18" t="inlineStr"/>
      <c r="I868" s="18" t="inlineStr">
        <is>
          <t>예</t>
        </is>
      </c>
      <c r="J868" s="18" t="inlineStr">
        <is>
          <t>예</t>
        </is>
      </c>
      <c r="K868" s="18" t="inlineStr">
        <is>
          <t>예</t>
        </is>
      </c>
      <c r="L868" s="18" t="inlineStr">
        <is>
          <t>Cobblemon 동일</t>
        </is>
      </c>
      <c r="M868" s="18">
        <f>COUNTIF('스폰_편집'!$D$5:$D$3125,A868)</f>
        <v/>
      </c>
      <c r="N868" s="18">
        <f>COUNTIFS('스폰_편집'!$D$5:$D$3125,A868,'스폰_편집'!$B$5:$B$3125,"사용")</f>
        <v/>
      </c>
      <c r="O868" s="18" t="n">
        <v>5</v>
      </c>
      <c r="P868" s="18" t="inlineStr">
        <is>
          <t>#cobblemon:is_beach; #cobblemon:is_overworld; #cobblemon:is_warm_ocean; #cobblemon:nether/is_quartz; byg:warped_desert</t>
        </is>
      </c>
      <c r="Q868" s="18" t="inlineStr">
        <is>
          <t>common; uncommon</t>
        </is>
      </c>
      <c r="R868" s="18" t="inlineStr">
        <is>
          <t>region_01; region_02</t>
        </is>
      </c>
      <c r="S868" s="18" t="inlineStr">
        <is>
          <t>cobbleventure:generation_8</t>
        </is>
      </c>
      <c r="T868" s="18">
        <f>IF(M868=0,"없음",IF(N868=0,"전부 제외","사용"))</f>
        <v/>
      </c>
      <c r="U868" s="18" t="inlineStr"/>
    </row>
    <row r="869" ht="30" customHeight="1">
      <c r="A869" s="18" t="n">
        <v>865</v>
      </c>
      <c r="B869" s="18" t="inlineStr">
        <is>
          <t>창파나이트</t>
        </is>
      </c>
      <c r="C869" s="18" t="inlineStr">
        <is>
          <t>sirfetchd</t>
        </is>
      </c>
      <c r="D869" s="18" t="inlineStr">
        <is>
          <t>Sirfetch'd</t>
        </is>
      </c>
      <c r="E869" s="18" t="n">
        <v>8</v>
      </c>
      <c r="F869" s="18" t="inlineStr">
        <is>
          <t>generation8</t>
        </is>
      </c>
      <c r="G869" s="18" t="inlineStr">
        <is>
          <t>fighting</t>
        </is>
      </c>
      <c r="H869" s="18" t="inlineStr"/>
      <c r="I869" s="18" t="inlineStr">
        <is>
          <t>예</t>
        </is>
      </c>
      <c r="J869" s="18" t="inlineStr">
        <is>
          <t>예</t>
        </is>
      </c>
      <c r="K869" s="18" t="inlineStr">
        <is>
          <t>예</t>
        </is>
      </c>
      <c r="L869" s="18" t="inlineStr">
        <is>
          <t>Cobblemon 동일</t>
        </is>
      </c>
      <c r="M869" s="18">
        <f>COUNTIF('스폰_편집'!$D$5:$D$3125,A869)</f>
        <v/>
      </c>
      <c r="N869" s="18">
        <f>COUNTIFS('스폰_편집'!$D$5:$D$3125,A869,'스폰_편집'!$B$5:$B$3125,"사용")</f>
        <v/>
      </c>
      <c r="O869" s="18" t="n">
        <v>1</v>
      </c>
      <c r="P869" s="18" t="inlineStr">
        <is>
          <t>#cobblemon:is_forest</t>
        </is>
      </c>
      <c r="Q869" s="18" t="inlineStr">
        <is>
          <t>rare</t>
        </is>
      </c>
      <c r="R869" s="18" t="inlineStr">
        <is>
          <t>region_01</t>
        </is>
      </c>
      <c r="S869" s="18" t="inlineStr">
        <is>
          <t>cobbleventure:generation_8</t>
        </is>
      </c>
      <c r="T869" s="18">
        <f>IF(M869=0,"없음",IF(N869=0,"전부 제외","사용"))</f>
        <v/>
      </c>
      <c r="U869" s="18" t="inlineStr"/>
    </row>
    <row r="870" ht="30" customHeight="1">
      <c r="A870" s="18" t="n">
        <v>866</v>
      </c>
      <c r="B870" s="18" t="inlineStr">
        <is>
          <t>마임꽁꽁</t>
        </is>
      </c>
      <c r="C870" s="18" t="inlineStr">
        <is>
          <t>mrrime</t>
        </is>
      </c>
      <c r="D870" s="18" t="inlineStr">
        <is>
          <t>Mr. Rime</t>
        </is>
      </c>
      <c r="E870" s="18" t="n">
        <v>8</v>
      </c>
      <c r="F870" s="18" t="inlineStr">
        <is>
          <t>generation8</t>
        </is>
      </c>
      <c r="G870" s="18" t="inlineStr">
        <is>
          <t>ice</t>
        </is>
      </c>
      <c r="H870" s="18" t="inlineStr">
        <is>
          <t>psychic</t>
        </is>
      </c>
      <c r="I870" s="18" t="inlineStr">
        <is>
          <t>예</t>
        </is>
      </c>
      <c r="J870" s="18" t="inlineStr">
        <is>
          <t>예</t>
        </is>
      </c>
      <c r="K870" s="18" t="inlineStr">
        <is>
          <t>예</t>
        </is>
      </c>
      <c r="L870" s="18" t="inlineStr">
        <is>
          <t>COBBLEVERSE 수정</t>
        </is>
      </c>
      <c r="M870" s="18">
        <f>COUNTIF('스폰_편집'!$D$5:$D$3125,A870)</f>
        <v/>
      </c>
      <c r="N870" s="18">
        <f>COUNTIFS('스폰_편집'!$D$5:$D$3125,A870,'스폰_편집'!$B$5:$B$3125,"사용")</f>
        <v/>
      </c>
      <c r="O870" s="18" t="n">
        <v>1</v>
      </c>
      <c r="P870" s="18" t="inlineStr">
        <is>
          <t>#cobblemon:is_freezing</t>
        </is>
      </c>
      <c r="Q870" s="18" t="inlineStr">
        <is>
          <t>uncommon</t>
        </is>
      </c>
      <c r="R870" s="18" t="inlineStr"/>
      <c r="S870" s="18" t="inlineStr">
        <is>
          <t>cobbleventure:generation_8</t>
        </is>
      </c>
      <c r="T870" s="18">
        <f>IF(M870=0,"없음",IF(N870=0,"전부 제외","사용"))</f>
        <v/>
      </c>
      <c r="U870" s="18" t="inlineStr"/>
    </row>
    <row r="871" ht="30" customHeight="1">
      <c r="A871" s="18" t="n">
        <v>867</v>
      </c>
      <c r="B871" s="18" t="inlineStr">
        <is>
          <t>데스판</t>
        </is>
      </c>
      <c r="C871" s="18" t="inlineStr">
        <is>
          <t>runerigus</t>
        </is>
      </c>
      <c r="D871" s="18" t="inlineStr">
        <is>
          <t>Runerigus</t>
        </is>
      </c>
      <c r="E871" s="18" t="n">
        <v>8</v>
      </c>
      <c r="F871" s="18" t="inlineStr">
        <is>
          <t>generation8</t>
        </is>
      </c>
      <c r="G871" s="18" t="inlineStr">
        <is>
          <t>ground</t>
        </is>
      </c>
      <c r="H871" s="18" t="inlineStr">
        <is>
          <t>ghost</t>
        </is>
      </c>
      <c r="I871" s="18" t="inlineStr">
        <is>
          <t>아니오</t>
        </is>
      </c>
      <c r="J871" s="18" t="inlineStr">
        <is>
          <t>아니오</t>
        </is>
      </c>
      <c r="K871" s="18" t="inlineStr">
        <is>
          <t>예</t>
        </is>
      </c>
      <c r="L871" s="18" t="inlineStr">
        <is>
          <t>COBBLEVERSE 추가</t>
        </is>
      </c>
      <c r="M871" s="18">
        <f>COUNTIF('스폰_편집'!$D$5:$D$3125,A871)</f>
        <v/>
      </c>
      <c r="N871" s="18">
        <f>COUNTIFS('스폰_편집'!$D$5:$D$3125,A871,'스폰_편집'!$B$5:$B$3125,"사용")</f>
        <v/>
      </c>
      <c r="O871" s="18" t="n">
        <v>2</v>
      </c>
      <c r="P871" s="18" t="inlineStr">
        <is>
          <t>#cobblemon:is_overworld; #cobblemon:is_spooky</t>
        </is>
      </c>
      <c r="Q871" s="18" t="inlineStr">
        <is>
          <t>rare; uncommon</t>
        </is>
      </c>
      <c r="R871" s="18" t="inlineStr">
        <is>
          <t>region_01; region_02</t>
        </is>
      </c>
      <c r="S871" s="18" t="inlineStr">
        <is>
          <t>cobbleventure:generation_8</t>
        </is>
      </c>
      <c r="T871" s="18">
        <f>IF(M871=0,"없음",IF(N871=0,"전부 제외","사용"))</f>
        <v/>
      </c>
      <c r="U871" s="18" t="inlineStr"/>
    </row>
    <row r="872" ht="30" customHeight="1">
      <c r="A872" s="18" t="n">
        <v>868</v>
      </c>
      <c r="B872" s="18" t="inlineStr">
        <is>
          <t>마빌크</t>
        </is>
      </c>
      <c r="C872" s="18" t="inlineStr">
        <is>
          <t>milcery</t>
        </is>
      </c>
      <c r="D872" s="18" t="inlineStr">
        <is>
          <t>Milcery</t>
        </is>
      </c>
      <c r="E872" s="18" t="n">
        <v>8</v>
      </c>
      <c r="F872" s="18" t="inlineStr">
        <is>
          <t>generation8</t>
        </is>
      </c>
      <c r="G872" s="18" t="inlineStr">
        <is>
          <t>fairy</t>
        </is>
      </c>
      <c r="H872" s="18" t="inlineStr"/>
      <c r="I872" s="18" t="inlineStr">
        <is>
          <t>예</t>
        </is>
      </c>
      <c r="J872" s="18" t="inlineStr">
        <is>
          <t>예</t>
        </is>
      </c>
      <c r="K872" s="18" t="inlineStr">
        <is>
          <t>예</t>
        </is>
      </c>
      <c r="L872" s="18" t="inlineStr">
        <is>
          <t>COBBLEVERSE 수정</t>
        </is>
      </c>
      <c r="M872" s="18">
        <f>COUNTIF('스폰_편집'!$D$5:$D$3125,A872)</f>
        <v/>
      </c>
      <c r="N872" s="18">
        <f>COUNTIFS('스폰_편집'!$D$5:$D$3125,A872,'스폰_편집'!$B$5:$B$3125,"사용")</f>
        <v/>
      </c>
      <c r="O872" s="18" t="n">
        <v>2</v>
      </c>
      <c r="P872" s="18" t="inlineStr">
        <is>
          <t>#aether:is_aether; #cobblemon:is_overworld</t>
        </is>
      </c>
      <c r="Q872" s="18" t="inlineStr">
        <is>
          <t>common; uncommon</t>
        </is>
      </c>
      <c r="R872" s="18" t="inlineStr">
        <is>
          <t>region_01; region_02</t>
        </is>
      </c>
      <c r="S872" s="18" t="inlineStr">
        <is>
          <t>cobbleventure:generation_8</t>
        </is>
      </c>
      <c r="T872" s="18">
        <f>IF(M872=0,"없음",IF(N872=0,"전부 제외","사용"))</f>
        <v/>
      </c>
      <c r="U872" s="18" t="inlineStr"/>
    </row>
    <row r="873" ht="30" customHeight="1">
      <c r="A873" s="18" t="n">
        <v>869</v>
      </c>
      <c r="B873" s="18" t="inlineStr">
        <is>
          <t>마휘핑</t>
        </is>
      </c>
      <c r="C873" s="18" t="inlineStr">
        <is>
          <t>alcremie</t>
        </is>
      </c>
      <c r="D873" s="18" t="inlineStr">
        <is>
          <t>Alcremie</t>
        </is>
      </c>
      <c r="E873" s="18" t="n">
        <v>8</v>
      </c>
      <c r="F873" s="18" t="inlineStr">
        <is>
          <t>generation8</t>
        </is>
      </c>
      <c r="G873" s="18" t="inlineStr">
        <is>
          <t>fairy</t>
        </is>
      </c>
      <c r="H873" s="18" t="inlineStr"/>
      <c r="I873" s="18" t="inlineStr">
        <is>
          <t>예</t>
        </is>
      </c>
      <c r="J873" s="18" t="inlineStr">
        <is>
          <t>예</t>
        </is>
      </c>
      <c r="K873" s="18" t="inlineStr">
        <is>
          <t>예</t>
        </is>
      </c>
      <c r="L873" s="18" t="inlineStr">
        <is>
          <t>COBBLEVERSE 수정</t>
        </is>
      </c>
      <c r="M873" s="18">
        <f>COUNTIF('스폰_편집'!$D$5:$D$3125,A873)</f>
        <v/>
      </c>
      <c r="N873" s="18">
        <f>COUNTIFS('스폰_편집'!$D$5:$D$3125,A873,'스폰_편집'!$B$5:$B$3125,"사용")</f>
        <v/>
      </c>
      <c r="O873" s="18" t="n">
        <v>2</v>
      </c>
      <c r="P873" s="18" t="inlineStr">
        <is>
          <t>#aether:is_aether; #cobblemon:is_overworld</t>
        </is>
      </c>
      <c r="Q873" s="18" t="inlineStr">
        <is>
          <t>common; uncommon</t>
        </is>
      </c>
      <c r="R873" s="18" t="inlineStr">
        <is>
          <t>region_01; region_02</t>
        </is>
      </c>
      <c r="S873" s="18" t="inlineStr">
        <is>
          <t>cobbleventure:generation_8</t>
        </is>
      </c>
      <c r="T873" s="18">
        <f>IF(M873=0,"없음",IF(N873=0,"전부 제외","사용"))</f>
        <v/>
      </c>
      <c r="U873" s="18" t="inlineStr"/>
    </row>
    <row r="874" ht="30" customHeight="1">
      <c r="A874" s="18" t="n">
        <v>870</v>
      </c>
      <c r="B874" s="18" t="inlineStr">
        <is>
          <t>대여르</t>
        </is>
      </c>
      <c r="C874" s="18" t="inlineStr">
        <is>
          <t>falinks</t>
        </is>
      </c>
      <c r="D874" s="18" t="inlineStr">
        <is>
          <t>Falinks</t>
        </is>
      </c>
      <c r="E874" s="18" t="n">
        <v>8</v>
      </c>
      <c r="F874" s="18" t="inlineStr">
        <is>
          <t>generation8</t>
        </is>
      </c>
      <c r="G874" s="18" t="inlineStr">
        <is>
          <t>fighting</t>
        </is>
      </c>
      <c r="H874" s="18" t="inlineStr"/>
      <c r="I874" s="18" t="inlineStr">
        <is>
          <t>예</t>
        </is>
      </c>
      <c r="J874" s="18" t="inlineStr">
        <is>
          <t>예</t>
        </is>
      </c>
      <c r="K874" s="18" t="inlineStr">
        <is>
          <t>예</t>
        </is>
      </c>
      <c r="L874" s="18" t="inlineStr">
        <is>
          <t>Cobblemon 동일</t>
        </is>
      </c>
      <c r="M874" s="18">
        <f>COUNTIF('스폰_편집'!$D$5:$D$3125,A874)</f>
        <v/>
      </c>
      <c r="N874" s="18">
        <f>COUNTIFS('스폰_편집'!$D$5:$D$3125,A874,'스폰_편집'!$B$5:$B$3125,"사용")</f>
        <v/>
      </c>
      <c r="O874" s="18" t="n">
        <v>2</v>
      </c>
      <c r="P874" s="18" t="inlineStr">
        <is>
          <t>#cobblemon:is_badlands; #minecraft:is_nether</t>
        </is>
      </c>
      <c r="Q874" s="18" t="inlineStr">
        <is>
          <t>uncommon</t>
        </is>
      </c>
      <c r="R874" s="18" t="inlineStr"/>
      <c r="S874" s="18" t="inlineStr">
        <is>
          <t>cobbleventure:generation_8</t>
        </is>
      </c>
      <c r="T874" s="18">
        <f>IF(M874=0,"없음",IF(N874=0,"전부 제외","사용"))</f>
        <v/>
      </c>
      <c r="U874" s="18" t="inlineStr"/>
    </row>
    <row r="875" ht="30" customHeight="1">
      <c r="A875" s="18" t="n">
        <v>871</v>
      </c>
      <c r="B875" s="18" t="inlineStr">
        <is>
          <t>찌르성게</t>
        </is>
      </c>
      <c r="C875" s="18" t="inlineStr">
        <is>
          <t>pincurchin</t>
        </is>
      </c>
      <c r="D875" s="18" t="inlineStr">
        <is>
          <t>Pincurchin</t>
        </is>
      </c>
      <c r="E875" s="18" t="n">
        <v>8</v>
      </c>
      <c r="F875" s="18" t="inlineStr">
        <is>
          <t>generation8</t>
        </is>
      </c>
      <c r="G875" s="18" t="inlineStr">
        <is>
          <t>electric</t>
        </is>
      </c>
      <c r="H875" s="18" t="inlineStr"/>
      <c r="I875" s="18" t="inlineStr">
        <is>
          <t>예</t>
        </is>
      </c>
      <c r="J875" s="18" t="inlineStr">
        <is>
          <t>예</t>
        </is>
      </c>
      <c r="K875" s="18" t="inlineStr">
        <is>
          <t>예</t>
        </is>
      </c>
      <c r="L875" s="18" t="inlineStr">
        <is>
          <t>Cobblemon 동일</t>
        </is>
      </c>
      <c r="M875" s="18">
        <f>COUNTIF('스폰_편집'!$D$5:$D$3125,A875)</f>
        <v/>
      </c>
      <c r="N875" s="18">
        <f>COUNTIFS('스폰_편집'!$D$5:$D$3125,A875,'스폰_편집'!$B$5:$B$3125,"사용")</f>
        <v/>
      </c>
      <c r="O875" s="18" t="n">
        <v>3</v>
      </c>
      <c r="P875" s="18" t="inlineStr">
        <is>
          <t>#cobblemon:is_coast; #cobblemon:is_ocean; #cobblemon:is_overworld</t>
        </is>
      </c>
      <c r="Q875" s="18" t="inlineStr">
        <is>
          <t>common; uncommon</t>
        </is>
      </c>
      <c r="R875" s="18" t="inlineStr">
        <is>
          <t>region_01; region_02</t>
        </is>
      </c>
      <c r="S875" s="18" t="inlineStr">
        <is>
          <t>cobbleventure:generation_8</t>
        </is>
      </c>
      <c r="T875" s="18">
        <f>IF(M875=0,"없음",IF(N875=0,"전부 제외","사용"))</f>
        <v/>
      </c>
      <c r="U875" s="18" t="inlineStr"/>
    </row>
    <row r="876" ht="30" customHeight="1">
      <c r="A876" s="18" t="n">
        <v>872</v>
      </c>
      <c r="B876" s="18" t="inlineStr">
        <is>
          <t>누니머기</t>
        </is>
      </c>
      <c r="C876" s="18" t="inlineStr">
        <is>
          <t>snom</t>
        </is>
      </c>
      <c r="D876" s="18" t="inlineStr">
        <is>
          <t>Snom</t>
        </is>
      </c>
      <c r="E876" s="18" t="n">
        <v>8</v>
      </c>
      <c r="F876" s="18" t="inlineStr">
        <is>
          <t>generation8</t>
        </is>
      </c>
      <c r="G876" s="18" t="inlineStr">
        <is>
          <t>ice</t>
        </is>
      </c>
      <c r="H876" s="18" t="inlineStr">
        <is>
          <t>bug</t>
        </is>
      </c>
      <c r="I876" s="18" t="inlineStr">
        <is>
          <t>아니오</t>
        </is>
      </c>
      <c r="J876" s="18" t="inlineStr">
        <is>
          <t>아니오</t>
        </is>
      </c>
      <c r="K876" s="18" t="inlineStr">
        <is>
          <t>예</t>
        </is>
      </c>
      <c r="L876" s="18" t="inlineStr">
        <is>
          <t>COBBLEVERSE 추가</t>
        </is>
      </c>
      <c r="M876" s="18">
        <f>COUNTIF('스폰_편집'!$D$5:$D$3125,A876)</f>
        <v/>
      </c>
      <c r="N876" s="18">
        <f>COUNTIFS('스폰_편집'!$D$5:$D$3125,A876,'스폰_편집'!$B$5:$B$3125,"사용")</f>
        <v/>
      </c>
      <c r="O876" s="18" t="n">
        <v>1</v>
      </c>
      <c r="P876" s="18" t="inlineStr">
        <is>
          <t>#cobblemon:is_freezing</t>
        </is>
      </c>
      <c r="Q876" s="18" t="inlineStr">
        <is>
          <t>common</t>
        </is>
      </c>
      <c r="R876" s="18" t="inlineStr"/>
      <c r="S876" s="18" t="inlineStr">
        <is>
          <t>cobbleventure:generation_8</t>
        </is>
      </c>
      <c r="T876" s="18">
        <f>IF(M876=0,"없음",IF(N876=0,"전부 제외","사용"))</f>
        <v/>
      </c>
      <c r="U876" s="18" t="inlineStr"/>
    </row>
    <row r="877" ht="30" customHeight="1">
      <c r="A877" s="18" t="n">
        <v>873</v>
      </c>
      <c r="B877" s="18" t="inlineStr">
        <is>
          <t>모스노우</t>
        </is>
      </c>
      <c r="C877" s="18" t="inlineStr">
        <is>
          <t>frosmoth</t>
        </is>
      </c>
      <c r="D877" s="18" t="inlineStr">
        <is>
          <t>Frosmoth</t>
        </is>
      </c>
      <c r="E877" s="18" t="n">
        <v>8</v>
      </c>
      <c r="F877" s="18" t="inlineStr">
        <is>
          <t>generation8</t>
        </is>
      </c>
      <c r="G877" s="18" t="inlineStr">
        <is>
          <t>ice</t>
        </is>
      </c>
      <c r="H877" s="18" t="inlineStr">
        <is>
          <t>bug</t>
        </is>
      </c>
      <c r="I877" s="18" t="inlineStr">
        <is>
          <t>아니오</t>
        </is>
      </c>
      <c r="J877" s="18" t="inlineStr">
        <is>
          <t>아니오</t>
        </is>
      </c>
      <c r="K877" s="18" t="inlineStr">
        <is>
          <t>예</t>
        </is>
      </c>
      <c r="L877" s="18" t="inlineStr">
        <is>
          <t>COBBLEVERSE 추가</t>
        </is>
      </c>
      <c r="M877" s="18">
        <f>COUNTIF('스폰_편집'!$D$5:$D$3125,A877)</f>
        <v/>
      </c>
      <c r="N877" s="18">
        <f>COUNTIFS('스폰_편집'!$D$5:$D$3125,A877,'스폰_편집'!$B$5:$B$3125,"사용")</f>
        <v/>
      </c>
      <c r="O877" s="18" t="n">
        <v>1</v>
      </c>
      <c r="P877" s="18" t="inlineStr">
        <is>
          <t>#cobblemon:is_freezing</t>
        </is>
      </c>
      <c r="Q877" s="18" t="inlineStr">
        <is>
          <t>uncommon</t>
        </is>
      </c>
      <c r="R877" s="18" t="inlineStr"/>
      <c r="S877" s="18" t="inlineStr">
        <is>
          <t>cobbleventure:generation_8</t>
        </is>
      </c>
      <c r="T877" s="18">
        <f>IF(M877=0,"없음",IF(N877=0,"전부 제외","사용"))</f>
        <v/>
      </c>
      <c r="U877" s="18" t="inlineStr"/>
    </row>
    <row r="878" ht="30" customHeight="1">
      <c r="A878" s="18" t="n">
        <v>874</v>
      </c>
      <c r="B878" s="18" t="inlineStr">
        <is>
          <t>돌헨진</t>
        </is>
      </c>
      <c r="C878" s="18" t="inlineStr">
        <is>
          <t>stonjourner</t>
        </is>
      </c>
      <c r="D878" s="18" t="inlineStr">
        <is>
          <t>Stonjourner</t>
        </is>
      </c>
      <c r="E878" s="18" t="n">
        <v>8</v>
      </c>
      <c r="F878" s="18" t="inlineStr">
        <is>
          <t>generation8</t>
        </is>
      </c>
      <c r="G878" s="18" t="inlineStr">
        <is>
          <t>rock</t>
        </is>
      </c>
      <c r="H878" s="18" t="inlineStr"/>
      <c r="I878" s="18" t="inlineStr">
        <is>
          <t>예</t>
        </is>
      </c>
      <c r="J878" s="18" t="inlineStr">
        <is>
          <t>예</t>
        </is>
      </c>
      <c r="K878" s="18" t="inlineStr">
        <is>
          <t>예</t>
        </is>
      </c>
      <c r="L878" s="18" t="inlineStr">
        <is>
          <t>Cobblemon 동일</t>
        </is>
      </c>
      <c r="M878" s="18">
        <f>COUNTIF('스폰_편집'!$D$5:$D$3125,A878)</f>
        <v/>
      </c>
      <c r="N878" s="18">
        <f>COUNTIFS('스폰_편집'!$D$5:$D$3125,A878,'스폰_편집'!$B$5:$B$3125,"사용")</f>
        <v/>
      </c>
      <c r="O878" s="18" t="n">
        <v>2</v>
      </c>
      <c r="P878" s="18" t="inlineStr">
        <is>
          <t>#cobblemon:is_overworld; #cobblemon:is_plains</t>
        </is>
      </c>
      <c r="Q878" s="18" t="inlineStr">
        <is>
          <t>common; rare; uncommon</t>
        </is>
      </c>
      <c r="R878" s="18" t="inlineStr">
        <is>
          <t>region_01; region_02</t>
        </is>
      </c>
      <c r="S878" s="18" t="inlineStr">
        <is>
          <t>cobbleventure:generation_8</t>
        </is>
      </c>
      <c r="T878" s="18">
        <f>IF(M878=0,"없음",IF(N878=0,"전부 제외","사용"))</f>
        <v/>
      </c>
      <c r="U878" s="18" t="inlineStr"/>
    </row>
    <row r="879" ht="30" customHeight="1">
      <c r="A879" s="18" t="n">
        <v>875</v>
      </c>
      <c r="B879" s="18" t="inlineStr">
        <is>
          <t>빙큐보</t>
        </is>
      </c>
      <c r="C879" s="18" t="inlineStr">
        <is>
          <t>eiscue</t>
        </is>
      </c>
      <c r="D879" s="18" t="inlineStr">
        <is>
          <t>Eiscue</t>
        </is>
      </c>
      <c r="E879" s="18" t="n">
        <v>8</v>
      </c>
      <c r="F879" s="18" t="inlineStr">
        <is>
          <t>generation8</t>
        </is>
      </c>
      <c r="G879" s="18" t="inlineStr">
        <is>
          <t>ice</t>
        </is>
      </c>
      <c r="H879" s="18" t="inlineStr"/>
      <c r="I879" s="18" t="inlineStr">
        <is>
          <t>예</t>
        </is>
      </c>
      <c r="J879" s="18" t="inlineStr">
        <is>
          <t>예</t>
        </is>
      </c>
      <c r="K879" s="18" t="inlineStr">
        <is>
          <t>예</t>
        </is>
      </c>
      <c r="L879" s="18" t="inlineStr">
        <is>
          <t>Cobblemon 동일</t>
        </is>
      </c>
      <c r="M879" s="18">
        <f>COUNTIF('스폰_편집'!$D$5:$D$3125,A879)</f>
        <v/>
      </c>
      <c r="N879" s="18">
        <f>COUNTIFS('스폰_편집'!$D$5:$D$3125,A879,'스폰_편집'!$B$5:$B$3125,"사용")</f>
        <v/>
      </c>
      <c r="O879" s="18" t="n">
        <v>3</v>
      </c>
      <c r="P879" s="18" t="inlineStr">
        <is>
          <t>#cobblemon:is_frozen_ocean; #cobblemon:is_glacial; #cobblemon:is_tundra</t>
        </is>
      </c>
      <c r="Q879" s="18" t="inlineStr">
        <is>
          <t>common</t>
        </is>
      </c>
      <c r="R879" s="18" t="inlineStr"/>
      <c r="S879" s="18" t="inlineStr">
        <is>
          <t>cobbleventure:generation_8</t>
        </is>
      </c>
      <c r="T879" s="18">
        <f>IF(M879=0,"없음",IF(N879=0,"전부 제외","사용"))</f>
        <v/>
      </c>
      <c r="U879" s="18" t="inlineStr"/>
    </row>
    <row r="880" ht="30" customHeight="1">
      <c r="A880" s="18" t="n">
        <v>876</v>
      </c>
      <c r="B880" s="18" t="inlineStr">
        <is>
          <t>에써르</t>
        </is>
      </c>
      <c r="C880" s="18" t="inlineStr">
        <is>
          <t>indeedee</t>
        </is>
      </c>
      <c r="D880" s="18" t="inlineStr">
        <is>
          <t>Indeedee</t>
        </is>
      </c>
      <c r="E880" s="18" t="n">
        <v>8</v>
      </c>
      <c r="F880" s="18" t="inlineStr">
        <is>
          <t>generation8</t>
        </is>
      </c>
      <c r="G880" s="18" t="inlineStr">
        <is>
          <t>psychic</t>
        </is>
      </c>
      <c r="H880" s="18" t="inlineStr">
        <is>
          <t>normal</t>
        </is>
      </c>
      <c r="I880" s="18" t="inlineStr">
        <is>
          <t>아니오</t>
        </is>
      </c>
      <c r="J880" s="18" t="inlineStr">
        <is>
          <t>아니오</t>
        </is>
      </c>
      <c r="K880" s="18" t="inlineStr">
        <is>
          <t>예</t>
        </is>
      </c>
      <c r="L880" s="18" t="inlineStr">
        <is>
          <t>COBBLEVERSE 추가</t>
        </is>
      </c>
      <c r="M880" s="18">
        <f>COUNTIF('스폰_편집'!$D$5:$D$3125,A880)</f>
        <v/>
      </c>
      <c r="N880" s="18">
        <f>COUNTIFS('스폰_편집'!$D$5:$D$3125,A880,'스폰_편집'!$B$5:$B$3125,"사용")</f>
        <v/>
      </c>
      <c r="O880" s="18" t="n">
        <v>1</v>
      </c>
      <c r="P880" s="18" t="inlineStr">
        <is>
          <t>#cobblemon:is_magical</t>
        </is>
      </c>
      <c r="Q880" s="18" t="inlineStr">
        <is>
          <t>rare</t>
        </is>
      </c>
      <c r="R880" s="18" t="inlineStr"/>
      <c r="S880" s="18" t="inlineStr">
        <is>
          <t>cobbleventure:generation_8</t>
        </is>
      </c>
      <c r="T880" s="18">
        <f>IF(M880=0,"없음",IF(N880=0,"전부 제외","사용"))</f>
        <v/>
      </c>
      <c r="U880" s="18" t="inlineStr"/>
    </row>
    <row r="881" ht="30" customHeight="1">
      <c r="A881" s="18" t="n">
        <v>877</v>
      </c>
      <c r="B881" s="18" t="inlineStr">
        <is>
          <t>모르페코</t>
        </is>
      </c>
      <c r="C881" s="18" t="inlineStr">
        <is>
          <t>morpeko</t>
        </is>
      </c>
      <c r="D881" s="18" t="inlineStr">
        <is>
          <t>Morpeko</t>
        </is>
      </c>
      <c r="E881" s="18" t="n">
        <v>8</v>
      </c>
      <c r="F881" s="18" t="inlineStr">
        <is>
          <t>generation8</t>
        </is>
      </c>
      <c r="G881" s="18" t="inlineStr">
        <is>
          <t>electric</t>
        </is>
      </c>
      <c r="H881" s="18" t="inlineStr">
        <is>
          <t>dark</t>
        </is>
      </c>
      <c r="I881" s="18" t="inlineStr">
        <is>
          <t>예</t>
        </is>
      </c>
      <c r="J881" s="18" t="inlineStr">
        <is>
          <t>예</t>
        </is>
      </c>
      <c r="K881" s="18" t="inlineStr">
        <is>
          <t>예</t>
        </is>
      </c>
      <c r="L881" s="18" t="inlineStr">
        <is>
          <t>COBBLEVERSE 수정</t>
        </is>
      </c>
      <c r="M881" s="18">
        <f>COUNTIF('스폰_편집'!$D$5:$D$3125,A881)</f>
        <v/>
      </c>
      <c r="N881" s="18">
        <f>COUNTIFS('스폰_편집'!$D$5:$D$3125,A881,'스폰_편집'!$B$5:$B$3125,"사용")</f>
        <v/>
      </c>
      <c r="O881" s="18" t="n">
        <v>1</v>
      </c>
      <c r="P881" s="18" t="inlineStr">
        <is>
          <t>#cobblemon:is_forest</t>
        </is>
      </c>
      <c r="Q881" s="18" t="inlineStr">
        <is>
          <t>uncommon</t>
        </is>
      </c>
      <c r="R881" s="18" t="inlineStr">
        <is>
          <t>region_01</t>
        </is>
      </c>
      <c r="S881" s="18" t="inlineStr">
        <is>
          <t>cobbleventure:generation_8</t>
        </is>
      </c>
      <c r="T881" s="18">
        <f>IF(M881=0,"없음",IF(N881=0,"전부 제외","사용"))</f>
        <v/>
      </c>
      <c r="U881" s="18" t="inlineStr"/>
    </row>
    <row r="882" ht="30" customHeight="1">
      <c r="A882" s="18" t="n">
        <v>878</v>
      </c>
      <c r="B882" s="18" t="inlineStr">
        <is>
          <t>끼리동</t>
        </is>
      </c>
      <c r="C882" s="18" t="inlineStr">
        <is>
          <t>cufant</t>
        </is>
      </c>
      <c r="D882" s="18" t="inlineStr">
        <is>
          <t>Cufant</t>
        </is>
      </c>
      <c r="E882" s="18" t="n">
        <v>8</v>
      </c>
      <c r="F882" s="18" t="inlineStr">
        <is>
          <t>generation8</t>
        </is>
      </c>
      <c r="G882" s="18" t="inlineStr">
        <is>
          <t>steel</t>
        </is>
      </c>
      <c r="H882" s="18" t="inlineStr"/>
      <c r="I882" s="18" t="inlineStr">
        <is>
          <t>예</t>
        </is>
      </c>
      <c r="J882" s="18" t="inlineStr">
        <is>
          <t>예</t>
        </is>
      </c>
      <c r="K882" s="18" t="inlineStr">
        <is>
          <t>예</t>
        </is>
      </c>
      <c r="L882" s="18" t="inlineStr">
        <is>
          <t>Cobblemon 동일</t>
        </is>
      </c>
      <c r="M882" s="18">
        <f>COUNTIF('스폰_편집'!$D$5:$D$3125,A882)</f>
        <v/>
      </c>
      <c r="N882" s="18">
        <f>COUNTIFS('스폰_편집'!$D$5:$D$3125,A882,'스폰_편집'!$B$5:$B$3125,"사용")</f>
        <v/>
      </c>
      <c r="O882" s="18" t="n">
        <v>3</v>
      </c>
      <c r="P882" s="18" t="inlineStr">
        <is>
          <t>#cobblemon:is_badlands; #cobblemon:is_hills; #cobblemon:is_savanna</t>
        </is>
      </c>
      <c r="Q882" s="18" t="inlineStr">
        <is>
          <t>uncommon</t>
        </is>
      </c>
      <c r="R882" s="18" t="inlineStr"/>
      <c r="S882" s="18" t="inlineStr">
        <is>
          <t>cobbleventure:generation_8</t>
        </is>
      </c>
      <c r="T882" s="18">
        <f>IF(M882=0,"없음",IF(N882=0,"전부 제외","사용"))</f>
        <v/>
      </c>
      <c r="U882" s="18" t="inlineStr"/>
    </row>
    <row r="883" ht="30" customHeight="1">
      <c r="A883" s="18" t="n">
        <v>879</v>
      </c>
      <c r="B883" s="18" t="inlineStr">
        <is>
          <t>대왕끼리동</t>
        </is>
      </c>
      <c r="C883" s="18" t="inlineStr">
        <is>
          <t>copperajah</t>
        </is>
      </c>
      <c r="D883" s="18" t="inlineStr">
        <is>
          <t>Copperajah</t>
        </is>
      </c>
      <c r="E883" s="18" t="n">
        <v>8</v>
      </c>
      <c r="F883" s="18" t="inlineStr">
        <is>
          <t>generation8</t>
        </is>
      </c>
      <c r="G883" s="18" t="inlineStr">
        <is>
          <t>steel</t>
        </is>
      </c>
      <c r="H883" s="18" t="inlineStr"/>
      <c r="I883" s="18" t="inlineStr">
        <is>
          <t>예</t>
        </is>
      </c>
      <c r="J883" s="18" t="inlineStr">
        <is>
          <t>예</t>
        </is>
      </c>
      <c r="K883" s="18" t="inlineStr">
        <is>
          <t>예</t>
        </is>
      </c>
      <c r="L883" s="18" t="inlineStr">
        <is>
          <t>Cobblemon 동일</t>
        </is>
      </c>
      <c r="M883" s="18">
        <f>COUNTIF('스폰_편집'!$D$5:$D$3125,A883)</f>
        <v/>
      </c>
      <c r="N883" s="18">
        <f>COUNTIFS('스폰_편집'!$D$5:$D$3125,A883,'스폰_편집'!$B$5:$B$3125,"사용")</f>
        <v/>
      </c>
      <c r="O883" s="18" t="n">
        <v>3</v>
      </c>
      <c r="P883" s="18" t="inlineStr">
        <is>
          <t>#cobblemon:is_badlands; #cobblemon:is_hills; #cobblemon:is_savanna</t>
        </is>
      </c>
      <c r="Q883" s="18" t="inlineStr">
        <is>
          <t>uncommon</t>
        </is>
      </c>
      <c r="R883" s="18" t="inlineStr"/>
      <c r="S883" s="18" t="inlineStr">
        <is>
          <t>cobbleventure:generation_8</t>
        </is>
      </c>
      <c r="T883" s="18">
        <f>IF(M883=0,"없음",IF(N883=0,"전부 제외","사용"))</f>
        <v/>
      </c>
      <c r="U883" s="18" t="inlineStr"/>
    </row>
    <row r="884" ht="30" customHeight="1">
      <c r="A884" s="18" t="n">
        <v>880</v>
      </c>
      <c r="B884" s="18" t="inlineStr">
        <is>
          <t>파치래곤</t>
        </is>
      </c>
      <c r="C884" s="18" t="inlineStr">
        <is>
          <t>dracozolt</t>
        </is>
      </c>
      <c r="D884" s="18" t="inlineStr">
        <is>
          <t>Dracozolt</t>
        </is>
      </c>
      <c r="E884" s="18" t="n">
        <v>8</v>
      </c>
      <c r="F884" s="18" t="inlineStr">
        <is>
          <t>generation8</t>
        </is>
      </c>
      <c r="G884" s="18" t="inlineStr">
        <is>
          <t>electric</t>
        </is>
      </c>
      <c r="H884" s="18" t="inlineStr">
        <is>
          <t>dragon</t>
        </is>
      </c>
      <c r="I884" s="18" t="inlineStr">
        <is>
          <t>예</t>
        </is>
      </c>
      <c r="J884" s="18" t="inlineStr">
        <is>
          <t>아니오</t>
        </is>
      </c>
      <c r="K884" s="18" t="inlineStr">
        <is>
          <t>아니오</t>
        </is>
      </c>
      <c r="L884" s="18" t="inlineStr">
        <is>
          <t>자연스폰 없음</t>
        </is>
      </c>
      <c r="M884" s="18">
        <f>COUNTIF('스폰_편집'!$D$5:$D$3125,A884)</f>
        <v/>
      </c>
      <c r="N884" s="18">
        <f>COUNTIFS('스폰_편집'!$D$5:$D$3125,A884,'스폰_편집'!$B$5:$B$3125,"사용")</f>
        <v/>
      </c>
      <c r="O884" s="18" t="n">
        <v>0</v>
      </c>
      <c r="P884" s="18" t="inlineStr"/>
      <c r="Q884" s="18" t="inlineStr"/>
      <c r="R884" s="18" t="inlineStr"/>
      <c r="S884" s="18" t="inlineStr">
        <is>
          <t>cobbleventure:generation_8</t>
        </is>
      </c>
      <c r="T884" s="18">
        <f>IF(M884=0,"없음",IF(N884=0,"전부 제외","사용"))</f>
        <v/>
      </c>
      <c r="U884" s="18" t="inlineStr">
        <is>
          <t>자연 스폰 JSON 없음: 진화·복원·기타 획득 방식 확인 필요</t>
        </is>
      </c>
    </row>
    <row r="885" ht="30" customHeight="1">
      <c r="A885" s="18" t="n">
        <v>881</v>
      </c>
      <c r="B885" s="18" t="inlineStr">
        <is>
          <t>파치르돈</t>
        </is>
      </c>
      <c r="C885" s="18" t="inlineStr">
        <is>
          <t>arctozolt</t>
        </is>
      </c>
      <c r="D885" s="18" t="inlineStr">
        <is>
          <t>Arctozolt</t>
        </is>
      </c>
      <c r="E885" s="18" t="n">
        <v>8</v>
      </c>
      <c r="F885" s="18" t="inlineStr">
        <is>
          <t>generation8</t>
        </is>
      </c>
      <c r="G885" s="18" t="inlineStr">
        <is>
          <t>electric</t>
        </is>
      </c>
      <c r="H885" s="18" t="inlineStr">
        <is>
          <t>ice</t>
        </is>
      </c>
      <c r="I885" s="18" t="inlineStr">
        <is>
          <t>예</t>
        </is>
      </c>
      <c r="J885" s="18" t="inlineStr">
        <is>
          <t>아니오</t>
        </is>
      </c>
      <c r="K885" s="18" t="inlineStr">
        <is>
          <t>아니오</t>
        </is>
      </c>
      <c r="L885" s="18" t="inlineStr">
        <is>
          <t>자연스폰 없음</t>
        </is>
      </c>
      <c r="M885" s="18">
        <f>COUNTIF('스폰_편집'!$D$5:$D$3125,A885)</f>
        <v/>
      </c>
      <c r="N885" s="18">
        <f>COUNTIFS('스폰_편집'!$D$5:$D$3125,A885,'스폰_편집'!$B$5:$B$3125,"사용")</f>
        <v/>
      </c>
      <c r="O885" s="18" t="n">
        <v>0</v>
      </c>
      <c r="P885" s="18" t="inlineStr"/>
      <c r="Q885" s="18" t="inlineStr"/>
      <c r="R885" s="18" t="inlineStr"/>
      <c r="S885" s="18" t="inlineStr">
        <is>
          <t>cobbleventure:generation_8</t>
        </is>
      </c>
      <c r="T885" s="18">
        <f>IF(M885=0,"없음",IF(N885=0,"전부 제외","사용"))</f>
        <v/>
      </c>
      <c r="U885" s="18" t="inlineStr">
        <is>
          <t>자연 스폰 JSON 없음: 진화·복원·기타 획득 방식 확인 필요</t>
        </is>
      </c>
    </row>
    <row r="886" ht="30" customHeight="1">
      <c r="A886" s="18" t="n">
        <v>882</v>
      </c>
      <c r="B886" s="18" t="inlineStr">
        <is>
          <t>어래곤</t>
        </is>
      </c>
      <c r="C886" s="18" t="inlineStr">
        <is>
          <t>dracovish</t>
        </is>
      </c>
      <c r="D886" s="18" t="inlineStr">
        <is>
          <t>Dracovish</t>
        </is>
      </c>
      <c r="E886" s="18" t="n">
        <v>8</v>
      </c>
      <c r="F886" s="18" t="inlineStr">
        <is>
          <t>generation8</t>
        </is>
      </c>
      <c r="G886" s="18" t="inlineStr">
        <is>
          <t>water</t>
        </is>
      </c>
      <c r="H886" s="18" t="inlineStr">
        <is>
          <t>dragon</t>
        </is>
      </c>
      <c r="I886" s="18" t="inlineStr">
        <is>
          <t>예</t>
        </is>
      </c>
      <c r="J886" s="18" t="inlineStr">
        <is>
          <t>아니오</t>
        </is>
      </c>
      <c r="K886" s="18" t="inlineStr">
        <is>
          <t>아니오</t>
        </is>
      </c>
      <c r="L886" s="18" t="inlineStr">
        <is>
          <t>자연스폰 없음</t>
        </is>
      </c>
      <c r="M886" s="18">
        <f>COUNTIF('스폰_편집'!$D$5:$D$3125,A886)</f>
        <v/>
      </c>
      <c r="N886" s="18">
        <f>COUNTIFS('스폰_편집'!$D$5:$D$3125,A886,'스폰_편집'!$B$5:$B$3125,"사용")</f>
        <v/>
      </c>
      <c r="O886" s="18" t="n">
        <v>0</v>
      </c>
      <c r="P886" s="18" t="inlineStr"/>
      <c r="Q886" s="18" t="inlineStr"/>
      <c r="R886" s="18" t="inlineStr"/>
      <c r="S886" s="18" t="inlineStr">
        <is>
          <t>cobbleventure:generation_8</t>
        </is>
      </c>
      <c r="T886" s="18">
        <f>IF(M886=0,"없음",IF(N886=0,"전부 제외","사용"))</f>
        <v/>
      </c>
      <c r="U886" s="18" t="inlineStr">
        <is>
          <t>자연 스폰 JSON 없음: 진화·복원·기타 획득 방식 확인 필요</t>
        </is>
      </c>
    </row>
    <row r="887" ht="30" customHeight="1">
      <c r="A887" s="18" t="n">
        <v>883</v>
      </c>
      <c r="B887" s="18" t="inlineStr">
        <is>
          <t>어치르돈</t>
        </is>
      </c>
      <c r="C887" s="18" t="inlineStr">
        <is>
          <t>arctovish</t>
        </is>
      </c>
      <c r="D887" s="18" t="inlineStr">
        <is>
          <t>Arctovish</t>
        </is>
      </c>
      <c r="E887" s="18" t="n">
        <v>8</v>
      </c>
      <c r="F887" s="18" t="inlineStr">
        <is>
          <t>generation8</t>
        </is>
      </c>
      <c r="G887" s="18" t="inlineStr">
        <is>
          <t>water</t>
        </is>
      </c>
      <c r="H887" s="18" t="inlineStr">
        <is>
          <t>ice</t>
        </is>
      </c>
      <c r="I887" s="18" t="inlineStr">
        <is>
          <t>예</t>
        </is>
      </c>
      <c r="J887" s="18" t="inlineStr">
        <is>
          <t>아니오</t>
        </is>
      </c>
      <c r="K887" s="18" t="inlineStr">
        <is>
          <t>아니오</t>
        </is>
      </c>
      <c r="L887" s="18" t="inlineStr">
        <is>
          <t>자연스폰 없음</t>
        </is>
      </c>
      <c r="M887" s="18">
        <f>COUNTIF('스폰_편집'!$D$5:$D$3125,A887)</f>
        <v/>
      </c>
      <c r="N887" s="18">
        <f>COUNTIFS('스폰_편집'!$D$5:$D$3125,A887,'스폰_편집'!$B$5:$B$3125,"사용")</f>
        <v/>
      </c>
      <c r="O887" s="18" t="n">
        <v>0</v>
      </c>
      <c r="P887" s="18" t="inlineStr"/>
      <c r="Q887" s="18" t="inlineStr"/>
      <c r="R887" s="18" t="inlineStr"/>
      <c r="S887" s="18" t="inlineStr">
        <is>
          <t>cobbleventure:generation_8</t>
        </is>
      </c>
      <c r="T887" s="18">
        <f>IF(M887=0,"없음",IF(N887=0,"전부 제외","사용"))</f>
        <v/>
      </c>
      <c r="U887" s="18" t="inlineStr">
        <is>
          <t>자연 스폰 JSON 없음: 진화·복원·기타 획득 방식 확인 필요</t>
        </is>
      </c>
    </row>
    <row r="888" ht="30" customHeight="1">
      <c r="A888" s="18" t="n">
        <v>884</v>
      </c>
      <c r="B888" s="18" t="inlineStr">
        <is>
          <t>두랄루돈</t>
        </is>
      </c>
      <c r="C888" s="18" t="inlineStr">
        <is>
          <t>duraludon</t>
        </is>
      </c>
      <c r="D888" s="18" t="inlineStr">
        <is>
          <t>Duraludon</t>
        </is>
      </c>
      <c r="E888" s="18" t="n">
        <v>8</v>
      </c>
      <c r="F888" s="18" t="inlineStr">
        <is>
          <t>generation8</t>
        </is>
      </c>
      <c r="G888" s="18" t="inlineStr">
        <is>
          <t>steel</t>
        </is>
      </c>
      <c r="H888" s="18" t="inlineStr">
        <is>
          <t>dragon</t>
        </is>
      </c>
      <c r="I888" s="18" t="inlineStr">
        <is>
          <t>아니오</t>
        </is>
      </c>
      <c r="J888" s="18" t="inlineStr">
        <is>
          <t>아니오</t>
        </is>
      </c>
      <c r="K888" s="18" t="inlineStr">
        <is>
          <t>예</t>
        </is>
      </c>
      <c r="L888" s="18" t="inlineStr">
        <is>
          <t>COBBLEVERSE 추가</t>
        </is>
      </c>
      <c r="M888" s="18">
        <f>COUNTIF('스폰_편집'!$D$5:$D$3125,A888)</f>
        <v/>
      </c>
      <c r="N888" s="18">
        <f>COUNTIFS('스폰_편집'!$D$5:$D$3125,A888,'스폰_편집'!$B$5:$B$3125,"사용")</f>
        <v/>
      </c>
      <c r="O888" s="18" t="n">
        <v>1</v>
      </c>
      <c r="P888" s="18" t="inlineStr">
        <is>
          <t>#cobblemon:is_end</t>
        </is>
      </c>
      <c r="Q888" s="18" t="inlineStr">
        <is>
          <t>rare</t>
        </is>
      </c>
      <c r="R888" s="18" t="inlineStr"/>
      <c r="S888" s="18" t="inlineStr">
        <is>
          <t>cobbleventure:generation_8</t>
        </is>
      </c>
      <c r="T888" s="18">
        <f>IF(M888=0,"없음",IF(N888=0,"전부 제외","사용"))</f>
        <v/>
      </c>
      <c r="U888" s="18" t="inlineStr"/>
    </row>
    <row r="889" ht="30" customHeight="1">
      <c r="A889" s="18" t="n">
        <v>885</v>
      </c>
      <c r="B889" s="18" t="inlineStr">
        <is>
          <t>드라꼰</t>
        </is>
      </c>
      <c r="C889" s="18" t="inlineStr">
        <is>
          <t>dreepy</t>
        </is>
      </c>
      <c r="D889" s="18" t="inlineStr">
        <is>
          <t>Dreepy</t>
        </is>
      </c>
      <c r="E889" s="18" t="n">
        <v>8</v>
      </c>
      <c r="F889" s="18" t="inlineStr">
        <is>
          <t>generation8</t>
        </is>
      </c>
      <c r="G889" s="18" t="inlineStr">
        <is>
          <t>dragon</t>
        </is>
      </c>
      <c r="H889" s="18" t="inlineStr">
        <is>
          <t>ghost</t>
        </is>
      </c>
      <c r="I889" s="18" t="inlineStr">
        <is>
          <t>예</t>
        </is>
      </c>
      <c r="J889" s="18" t="inlineStr">
        <is>
          <t>예</t>
        </is>
      </c>
      <c r="K889" s="18" t="inlineStr">
        <is>
          <t>예</t>
        </is>
      </c>
      <c r="L889" s="18" t="inlineStr">
        <is>
          <t>COBBLEVERSE 수정</t>
        </is>
      </c>
      <c r="M889" s="18">
        <f>COUNTIF('스폰_편집'!$D$5:$D$3125,A889)</f>
        <v/>
      </c>
      <c r="N889" s="18">
        <f>COUNTIFS('스폰_편집'!$D$5:$D$3125,A889,'스폰_편집'!$B$5:$B$3125,"사용")</f>
        <v/>
      </c>
      <c r="O889" s="18" t="n">
        <v>2</v>
      </c>
      <c r="P889" s="18" t="inlineStr">
        <is>
          <t>#cobblemon:is_coast; #cobblemon:is_ocean</t>
        </is>
      </c>
      <c r="Q889" s="18" t="inlineStr">
        <is>
          <t>ultra-rare</t>
        </is>
      </c>
      <c r="R889" s="18" t="inlineStr"/>
      <c r="S889" s="18" t="inlineStr">
        <is>
          <t>cobbleventure:generation_8</t>
        </is>
      </c>
      <c r="T889" s="18">
        <f>IF(M889=0,"없음",IF(N889=0,"전부 제외","사용"))</f>
        <v/>
      </c>
      <c r="U889" s="18" t="inlineStr"/>
    </row>
    <row r="890" ht="30" customHeight="1">
      <c r="A890" s="18" t="n">
        <v>886</v>
      </c>
      <c r="B890" s="18" t="inlineStr">
        <is>
          <t>드래런치</t>
        </is>
      </c>
      <c r="C890" s="18" t="inlineStr">
        <is>
          <t>drakloak</t>
        </is>
      </c>
      <c r="D890" s="18" t="inlineStr">
        <is>
          <t>Drakloak</t>
        </is>
      </c>
      <c r="E890" s="18" t="n">
        <v>8</v>
      </c>
      <c r="F890" s="18" t="inlineStr">
        <is>
          <t>generation8</t>
        </is>
      </c>
      <c r="G890" s="18" t="inlineStr">
        <is>
          <t>dragon</t>
        </is>
      </c>
      <c r="H890" s="18" t="inlineStr">
        <is>
          <t>ghost</t>
        </is>
      </c>
      <c r="I890" s="18" t="inlineStr">
        <is>
          <t>예</t>
        </is>
      </c>
      <c r="J890" s="18" t="inlineStr">
        <is>
          <t>예</t>
        </is>
      </c>
      <c r="K890" s="18" t="inlineStr">
        <is>
          <t>예</t>
        </is>
      </c>
      <c r="L890" s="18" t="inlineStr">
        <is>
          <t>COBBLEVERSE 수정</t>
        </is>
      </c>
      <c r="M890" s="18">
        <f>COUNTIF('스폰_편집'!$D$5:$D$3125,A890)</f>
        <v/>
      </c>
      <c r="N890" s="18">
        <f>COUNTIFS('스폰_편집'!$D$5:$D$3125,A890,'스폰_편집'!$B$5:$B$3125,"사용")</f>
        <v/>
      </c>
      <c r="O890" s="18" t="n">
        <v>2</v>
      </c>
      <c r="P890" s="18" t="inlineStr">
        <is>
          <t>#cobblemon:is_coast; #cobblemon:is_ocean</t>
        </is>
      </c>
      <c r="Q890" s="18" t="inlineStr">
        <is>
          <t>ultra-rare</t>
        </is>
      </c>
      <c r="R890" s="18" t="inlineStr"/>
      <c r="S890" s="18" t="inlineStr">
        <is>
          <t>cobbleventure:generation_8</t>
        </is>
      </c>
      <c r="T890" s="18">
        <f>IF(M890=0,"없음",IF(N890=0,"전부 제외","사용"))</f>
        <v/>
      </c>
      <c r="U890" s="18" t="inlineStr"/>
    </row>
    <row r="891" ht="30" customHeight="1">
      <c r="A891" s="18" t="n">
        <v>887</v>
      </c>
      <c r="B891" s="18" t="inlineStr">
        <is>
          <t>드래펄트</t>
        </is>
      </c>
      <c r="C891" s="18" t="inlineStr">
        <is>
          <t>dragapult</t>
        </is>
      </c>
      <c r="D891" s="18" t="inlineStr">
        <is>
          <t>Dragapult</t>
        </is>
      </c>
      <c r="E891" s="18" t="n">
        <v>8</v>
      </c>
      <c r="F891" s="18" t="inlineStr">
        <is>
          <t>generation8</t>
        </is>
      </c>
      <c r="G891" s="18" t="inlineStr">
        <is>
          <t>dragon</t>
        </is>
      </c>
      <c r="H891" s="18" t="inlineStr">
        <is>
          <t>ghost</t>
        </is>
      </c>
      <c r="I891" s="18" t="inlineStr">
        <is>
          <t>예</t>
        </is>
      </c>
      <c r="J891" s="18" t="inlineStr">
        <is>
          <t>예</t>
        </is>
      </c>
      <c r="K891" s="18" t="inlineStr">
        <is>
          <t>예</t>
        </is>
      </c>
      <c r="L891" s="18" t="inlineStr">
        <is>
          <t>COBBLEVERSE 수정</t>
        </is>
      </c>
      <c r="M891" s="18">
        <f>COUNTIF('스폰_편집'!$D$5:$D$3125,A891)</f>
        <v/>
      </c>
      <c r="N891" s="18">
        <f>COUNTIFS('스폰_편집'!$D$5:$D$3125,A891,'스폰_편집'!$B$5:$B$3125,"사용")</f>
        <v/>
      </c>
      <c r="O891" s="18" t="n">
        <v>2</v>
      </c>
      <c r="P891" s="18" t="inlineStr">
        <is>
          <t>#cobblemon:is_coast; #cobblemon:is_ocean</t>
        </is>
      </c>
      <c r="Q891" s="18" t="inlineStr">
        <is>
          <t>ultra-rare</t>
        </is>
      </c>
      <c r="R891" s="18" t="inlineStr"/>
      <c r="S891" s="18" t="inlineStr">
        <is>
          <t>cobbleventure:generation_8</t>
        </is>
      </c>
      <c r="T891" s="18">
        <f>IF(M891=0,"없음",IF(N891=0,"전부 제외","사용"))</f>
        <v/>
      </c>
      <c r="U891" s="18" t="inlineStr"/>
    </row>
    <row r="892" ht="30" customHeight="1">
      <c r="A892" s="18" t="n">
        <v>888</v>
      </c>
      <c r="B892" s="18" t="inlineStr">
        <is>
          <t>자시안</t>
        </is>
      </c>
      <c r="C892" s="18" t="inlineStr">
        <is>
          <t>zacian</t>
        </is>
      </c>
      <c r="D892" s="18" t="inlineStr">
        <is>
          <t>Zacian</t>
        </is>
      </c>
      <c r="E892" s="18" t="n">
        <v>8</v>
      </c>
      <c r="F892" s="18" t="inlineStr">
        <is>
          <t>generation8</t>
        </is>
      </c>
      <c r="G892" s="18" t="inlineStr">
        <is>
          <t>fairy</t>
        </is>
      </c>
      <c r="H892" s="18" t="inlineStr"/>
      <c r="I892" s="18" t="inlineStr">
        <is>
          <t>아니오</t>
        </is>
      </c>
      <c r="J892" s="18" t="inlineStr">
        <is>
          <t>아니오</t>
        </is>
      </c>
      <c r="K892" s="18" t="inlineStr">
        <is>
          <t>예</t>
        </is>
      </c>
      <c r="L892" s="18" t="inlineStr">
        <is>
          <t>COBBLEVERSE 추가</t>
        </is>
      </c>
      <c r="M892" s="18">
        <f>COUNTIF('스폰_편집'!$D$5:$D$3125,A892)</f>
        <v/>
      </c>
      <c r="N892" s="18">
        <f>COUNTIFS('스폰_편집'!$D$5:$D$3125,A892,'스폰_편집'!$B$5:$B$3125,"사용")</f>
        <v/>
      </c>
      <c r="O892" s="18" t="n">
        <v>1</v>
      </c>
      <c r="P892" s="18" t="inlineStr">
        <is>
          <t>minecraft:dark_forest</t>
        </is>
      </c>
      <c r="Q892" s="18" t="inlineStr">
        <is>
          <t>ultra-rare</t>
        </is>
      </c>
      <c r="R892" s="18" t="inlineStr"/>
      <c r="S892" s="18" t="inlineStr">
        <is>
          <t>cobbleventure:generation_8</t>
        </is>
      </c>
      <c r="T892" s="18">
        <f>IF(M892=0,"없음",IF(N892=0,"전부 제외","사용"))</f>
        <v/>
      </c>
      <c r="U892" s="18" t="inlineStr"/>
    </row>
    <row r="893" ht="30" customHeight="1">
      <c r="A893" s="18" t="n">
        <v>889</v>
      </c>
      <c r="B893" s="18" t="inlineStr">
        <is>
          <t>자마젠타</t>
        </is>
      </c>
      <c r="C893" s="18" t="inlineStr">
        <is>
          <t>zamazenta</t>
        </is>
      </c>
      <c r="D893" s="18" t="inlineStr">
        <is>
          <t>Zamazenta</t>
        </is>
      </c>
      <c r="E893" s="18" t="n">
        <v>8</v>
      </c>
      <c r="F893" s="18" t="inlineStr">
        <is>
          <t>generation8</t>
        </is>
      </c>
      <c r="G893" s="18" t="inlineStr">
        <is>
          <t>fighting</t>
        </is>
      </c>
      <c r="H893" s="18" t="inlineStr"/>
      <c r="I893" s="18" t="inlineStr">
        <is>
          <t>아니오</t>
        </is>
      </c>
      <c r="J893" s="18" t="inlineStr">
        <is>
          <t>아니오</t>
        </is>
      </c>
      <c r="K893" s="18" t="inlineStr">
        <is>
          <t>예</t>
        </is>
      </c>
      <c r="L893" s="18" t="inlineStr">
        <is>
          <t>COBBLEVERSE 추가</t>
        </is>
      </c>
      <c r="M893" s="18">
        <f>COUNTIF('스폰_편집'!$D$5:$D$3125,A893)</f>
        <v/>
      </c>
      <c r="N893" s="18">
        <f>COUNTIFS('스폰_편집'!$D$5:$D$3125,A893,'스폰_편집'!$B$5:$B$3125,"사용")</f>
        <v/>
      </c>
      <c r="O893" s="18" t="n">
        <v>1</v>
      </c>
      <c r="P893" s="18" t="inlineStr">
        <is>
          <t>minecraft:dark_forest</t>
        </is>
      </c>
      <c r="Q893" s="18" t="inlineStr">
        <is>
          <t>ultra-rare</t>
        </is>
      </c>
      <c r="R893" s="18" t="inlineStr"/>
      <c r="S893" s="18" t="inlineStr">
        <is>
          <t>cobbleventure:generation_8</t>
        </is>
      </c>
      <c r="T893" s="18">
        <f>IF(M893=0,"없음",IF(N893=0,"전부 제외","사용"))</f>
        <v/>
      </c>
      <c r="U893" s="18" t="inlineStr"/>
    </row>
    <row r="894" ht="30" customHeight="1">
      <c r="A894" s="18" t="n">
        <v>890</v>
      </c>
      <c r="B894" s="18" t="inlineStr">
        <is>
          <t>무한다이노</t>
        </is>
      </c>
      <c r="C894" s="18" t="inlineStr">
        <is>
          <t>eternatus</t>
        </is>
      </c>
      <c r="D894" s="18" t="inlineStr">
        <is>
          <t>Eternatus</t>
        </is>
      </c>
      <c r="E894" s="18" t="n">
        <v>8</v>
      </c>
      <c r="F894" s="18" t="inlineStr">
        <is>
          <t>generation8</t>
        </is>
      </c>
      <c r="G894" s="18" t="inlineStr">
        <is>
          <t>poison</t>
        </is>
      </c>
      <c r="H894" s="18" t="inlineStr">
        <is>
          <t>dragon</t>
        </is>
      </c>
      <c r="I894" s="18" t="inlineStr">
        <is>
          <t>아니오</t>
        </is>
      </c>
      <c r="J894" s="18" t="inlineStr">
        <is>
          <t>아니오</t>
        </is>
      </c>
      <c r="K894" s="18" t="inlineStr">
        <is>
          <t>예</t>
        </is>
      </c>
      <c r="L894" s="18" t="inlineStr">
        <is>
          <t>COBBLEVERSE 추가</t>
        </is>
      </c>
      <c r="M894" s="18">
        <f>COUNTIF('스폰_편집'!$D$5:$D$3125,A894)</f>
        <v/>
      </c>
      <c r="N894" s="18">
        <f>COUNTIFS('스폰_편집'!$D$5:$D$3125,A894,'스폰_편집'!$B$5:$B$3125,"사용")</f>
        <v/>
      </c>
      <c r="O894" s="18" t="n">
        <v>1</v>
      </c>
      <c r="P894" s="18" t="inlineStr">
        <is>
          <t>cobbleverse:custom_spawn/eternatus_cocoon</t>
        </is>
      </c>
      <c r="Q894" s="18" t="inlineStr">
        <is>
          <t>ultra-rare</t>
        </is>
      </c>
      <c r="R894" s="18" t="inlineStr"/>
      <c r="S894" s="18" t="inlineStr">
        <is>
          <t>cobbleventure:generation_8</t>
        </is>
      </c>
      <c r="T894" s="18">
        <f>IF(M894=0,"없음",IF(N894=0,"전부 제외","사용"))</f>
        <v/>
      </c>
      <c r="U894" s="18" t="inlineStr"/>
    </row>
    <row r="895" ht="30" customHeight="1">
      <c r="A895" s="18" t="n">
        <v>891</v>
      </c>
      <c r="B895" s="18" t="inlineStr">
        <is>
          <t>치고마</t>
        </is>
      </c>
      <c r="C895" s="18" t="inlineStr">
        <is>
          <t>kubfu</t>
        </is>
      </c>
      <c r="D895" s="18" t="inlineStr">
        <is>
          <t>Kubfu</t>
        </is>
      </c>
      <c r="E895" s="18" t="n">
        <v>8</v>
      </c>
      <c r="F895" s="18" t="inlineStr">
        <is>
          <t>generation8</t>
        </is>
      </c>
      <c r="G895" s="18" t="inlineStr">
        <is>
          <t>fighting</t>
        </is>
      </c>
      <c r="H895" s="18" t="inlineStr"/>
      <c r="I895" s="18" t="inlineStr">
        <is>
          <t>아니오</t>
        </is>
      </c>
      <c r="J895" s="18" t="inlineStr">
        <is>
          <t>아니오</t>
        </is>
      </c>
      <c r="K895" s="18" t="inlineStr">
        <is>
          <t>예</t>
        </is>
      </c>
      <c r="L895" s="18" t="inlineStr">
        <is>
          <t>COBBLEVERSE 추가</t>
        </is>
      </c>
      <c r="M895" s="18">
        <f>COUNTIF('스폰_편집'!$D$5:$D$3125,A895)</f>
        <v/>
      </c>
      <c r="N895" s="18">
        <f>COUNTIFS('스폰_편집'!$D$5:$D$3125,A895,'스폰_편집'!$B$5:$B$3125,"사용")</f>
        <v/>
      </c>
      <c r="O895" s="18" t="n">
        <v>1</v>
      </c>
      <c r="P895" s="18" t="inlineStr">
        <is>
          <t>minecraft:cherry_grove</t>
        </is>
      </c>
      <c r="Q895" s="18" t="inlineStr">
        <is>
          <t>ultra-rare</t>
        </is>
      </c>
      <c r="R895" s="18" t="inlineStr"/>
      <c r="S895" s="18" t="inlineStr">
        <is>
          <t>cobbleventure:generation_8</t>
        </is>
      </c>
      <c r="T895" s="18">
        <f>IF(M895=0,"없음",IF(N895=0,"전부 제외","사용"))</f>
        <v/>
      </c>
      <c r="U895" s="18" t="inlineStr"/>
    </row>
    <row r="896" ht="30" customHeight="1">
      <c r="A896" s="18" t="n">
        <v>892</v>
      </c>
      <c r="B896" s="18" t="inlineStr">
        <is>
          <t>우라오스</t>
        </is>
      </c>
      <c r="C896" s="18" t="inlineStr">
        <is>
          <t>urshifu</t>
        </is>
      </c>
      <c r="D896" s="18" t="inlineStr">
        <is>
          <t>Urshifu</t>
        </is>
      </c>
      <c r="E896" s="18" t="n">
        <v>8</v>
      </c>
      <c r="F896" s="18" t="inlineStr">
        <is>
          <t>generation8</t>
        </is>
      </c>
      <c r="G896" s="18" t="inlineStr">
        <is>
          <t>fighting</t>
        </is>
      </c>
      <c r="H896" s="18" t="inlineStr">
        <is>
          <t>dark</t>
        </is>
      </c>
      <c r="I896" s="18" t="inlineStr">
        <is>
          <t>아니오</t>
        </is>
      </c>
      <c r="J896" s="18" t="inlineStr">
        <is>
          <t>아니오</t>
        </is>
      </c>
      <c r="K896" s="18" t="inlineStr">
        <is>
          <t>예</t>
        </is>
      </c>
      <c r="L896" s="18" t="inlineStr">
        <is>
          <t>COBBLEVERSE 추가</t>
        </is>
      </c>
      <c r="M896" s="18">
        <f>COUNTIF('스폰_편집'!$D$5:$D$3125,A896)</f>
        <v/>
      </c>
      <c r="N896" s="18">
        <f>COUNTIFS('스폰_편집'!$D$5:$D$3125,A896,'스폰_편집'!$B$5:$B$3125,"사용")</f>
        <v/>
      </c>
      <c r="O896" s="18" t="n">
        <v>1</v>
      </c>
      <c r="P896" s="18" t="inlineStr">
        <is>
          <t>minecraft:cherry_grove</t>
        </is>
      </c>
      <c r="Q896" s="18" t="inlineStr">
        <is>
          <t>ultra-rare</t>
        </is>
      </c>
      <c r="R896" s="18" t="inlineStr"/>
      <c r="S896" s="18" t="inlineStr">
        <is>
          <t>cobbleventure:generation_8</t>
        </is>
      </c>
      <c r="T896" s="18">
        <f>IF(M896=0,"없음",IF(N896=0,"전부 제외","사용"))</f>
        <v/>
      </c>
      <c r="U896" s="18" t="inlineStr"/>
    </row>
    <row r="897" ht="30" customHeight="1">
      <c r="A897" s="18" t="n">
        <v>893</v>
      </c>
      <c r="B897" s="18" t="inlineStr">
        <is>
          <t>자루도</t>
        </is>
      </c>
      <c r="C897" s="18" t="inlineStr">
        <is>
          <t>zarude</t>
        </is>
      </c>
      <c r="D897" s="18" t="inlineStr">
        <is>
          <t>Zarude</t>
        </is>
      </c>
      <c r="E897" s="18" t="n">
        <v>8</v>
      </c>
      <c r="F897" s="18" t="inlineStr">
        <is>
          <t>generation8</t>
        </is>
      </c>
      <c r="G897" s="18" t="inlineStr">
        <is>
          <t>dark</t>
        </is>
      </c>
      <c r="H897" s="18" t="inlineStr">
        <is>
          <t>grass</t>
        </is>
      </c>
      <c r="I897" s="18" t="inlineStr">
        <is>
          <t>예</t>
        </is>
      </c>
      <c r="J897" s="18" t="inlineStr">
        <is>
          <t>아니오</t>
        </is>
      </c>
      <c r="K897" s="18" t="inlineStr">
        <is>
          <t>예</t>
        </is>
      </c>
      <c r="L897" s="18" t="inlineStr">
        <is>
          <t>COBBLEVERSE 추가</t>
        </is>
      </c>
      <c r="M897" s="18">
        <f>COUNTIF('스폰_편집'!$D$5:$D$3125,A897)</f>
        <v/>
      </c>
      <c r="N897" s="18">
        <f>COUNTIFS('스폰_편집'!$D$5:$D$3125,A897,'스폰_편집'!$B$5:$B$3125,"사용")</f>
        <v/>
      </c>
      <c r="O897" s="18" t="n">
        <v>1</v>
      </c>
      <c r="P897" s="18" t="inlineStr">
        <is>
          <t>minecraft:jungle</t>
        </is>
      </c>
      <c r="Q897" s="18" t="inlineStr">
        <is>
          <t>ultra-rare</t>
        </is>
      </c>
      <c r="R897" s="18" t="inlineStr"/>
      <c r="S897" s="18" t="inlineStr">
        <is>
          <t>cobbleventure:generation_8</t>
        </is>
      </c>
      <c r="T897" s="18">
        <f>IF(M897=0,"없음",IF(N897=0,"전부 제외","사용"))</f>
        <v/>
      </c>
      <c r="U897" s="18" t="inlineStr"/>
    </row>
    <row r="898" ht="30" customHeight="1">
      <c r="A898" s="18" t="n">
        <v>894</v>
      </c>
      <c r="B898" s="18" t="inlineStr">
        <is>
          <t>레지에레키</t>
        </is>
      </c>
      <c r="C898" s="18" t="inlineStr">
        <is>
          <t>regieleki</t>
        </is>
      </c>
      <c r="D898" s="18" t="inlineStr">
        <is>
          <t>Regieleki</t>
        </is>
      </c>
      <c r="E898" s="18" t="n">
        <v>8</v>
      </c>
      <c r="F898" s="18" t="inlineStr">
        <is>
          <t>generation8</t>
        </is>
      </c>
      <c r="G898" s="18" t="inlineStr">
        <is>
          <t>electric</t>
        </is>
      </c>
      <c r="H898" s="18" t="inlineStr"/>
      <c r="I898" s="18" t="inlineStr">
        <is>
          <t>예</t>
        </is>
      </c>
      <c r="J898" s="18" t="inlineStr">
        <is>
          <t>아니오</t>
        </is>
      </c>
      <c r="K898" s="18" t="inlineStr">
        <is>
          <t>예</t>
        </is>
      </c>
      <c r="L898" s="18" t="inlineStr">
        <is>
          <t>COBBLEVERSE 추가</t>
        </is>
      </c>
      <c r="M898" s="18">
        <f>COUNTIF('스폰_편집'!$D$5:$D$3125,A898)</f>
        <v/>
      </c>
      <c r="N898" s="18">
        <f>COUNTIFS('스폰_편집'!$D$5:$D$3125,A898,'스폰_편집'!$B$5:$B$3125,"사용")</f>
        <v/>
      </c>
      <c r="O898" s="18" t="n">
        <v>1</v>
      </c>
      <c r="P898" s="18" t="inlineStr">
        <is>
          <t>cobbleverse:custom_spawn/split_decision_temple</t>
        </is>
      </c>
      <c r="Q898" s="18" t="inlineStr">
        <is>
          <t>ultra-rare</t>
        </is>
      </c>
      <c r="R898" s="18" t="inlineStr"/>
      <c r="S898" s="18" t="inlineStr">
        <is>
          <t>cobbleventure:generation_8</t>
        </is>
      </c>
      <c r="T898" s="18">
        <f>IF(M898=0,"없음",IF(N898=0,"전부 제외","사용"))</f>
        <v/>
      </c>
      <c r="U898" s="18" t="inlineStr"/>
    </row>
    <row r="899" ht="30" customHeight="1">
      <c r="A899" s="18" t="n">
        <v>895</v>
      </c>
      <c r="B899" s="18" t="inlineStr">
        <is>
          <t>레지드래고</t>
        </is>
      </c>
      <c r="C899" s="18" t="inlineStr">
        <is>
          <t>regidrago</t>
        </is>
      </c>
      <c r="D899" s="18" t="inlineStr">
        <is>
          <t>Regidrago</t>
        </is>
      </c>
      <c r="E899" s="18" t="n">
        <v>8</v>
      </c>
      <c r="F899" s="18" t="inlineStr">
        <is>
          <t>generation8</t>
        </is>
      </c>
      <c r="G899" s="18" t="inlineStr">
        <is>
          <t>dragon</t>
        </is>
      </c>
      <c r="H899" s="18" t="inlineStr"/>
      <c r="I899" s="18" t="inlineStr">
        <is>
          <t>예</t>
        </is>
      </c>
      <c r="J899" s="18" t="inlineStr">
        <is>
          <t>아니오</t>
        </is>
      </c>
      <c r="K899" s="18" t="inlineStr">
        <is>
          <t>예</t>
        </is>
      </c>
      <c r="L899" s="18" t="inlineStr">
        <is>
          <t>COBBLEVERSE 추가</t>
        </is>
      </c>
      <c r="M899" s="18">
        <f>COUNTIF('스폰_편집'!$D$5:$D$3125,A899)</f>
        <v/>
      </c>
      <c r="N899" s="18">
        <f>COUNTIFS('스폰_편집'!$D$5:$D$3125,A899,'스폰_편집'!$B$5:$B$3125,"사용")</f>
        <v/>
      </c>
      <c r="O899" s="18" t="n">
        <v>1</v>
      </c>
      <c r="P899" s="18" t="inlineStr">
        <is>
          <t>cobbleverse:custom_spawn/split_decision_temple</t>
        </is>
      </c>
      <c r="Q899" s="18" t="inlineStr">
        <is>
          <t>ultra-rare</t>
        </is>
      </c>
      <c r="R899" s="18" t="inlineStr"/>
      <c r="S899" s="18" t="inlineStr">
        <is>
          <t>cobbleventure:generation_8</t>
        </is>
      </c>
      <c r="T899" s="18">
        <f>IF(M899=0,"없음",IF(N899=0,"전부 제외","사용"))</f>
        <v/>
      </c>
      <c r="U899" s="18" t="inlineStr"/>
    </row>
    <row r="900" ht="30" customHeight="1">
      <c r="A900" s="18" t="n">
        <v>896</v>
      </c>
      <c r="B900" s="18" t="inlineStr">
        <is>
          <t>블리자포스</t>
        </is>
      </c>
      <c r="C900" s="18" t="inlineStr">
        <is>
          <t>glastrier</t>
        </is>
      </c>
      <c r="D900" s="18" t="inlineStr">
        <is>
          <t>Glastrier</t>
        </is>
      </c>
      <c r="E900" s="18" t="n">
        <v>8</v>
      </c>
      <c r="F900" s="18" t="inlineStr">
        <is>
          <t>generation8</t>
        </is>
      </c>
      <c r="G900" s="18" t="inlineStr">
        <is>
          <t>ice</t>
        </is>
      </c>
      <c r="H900" s="18" t="inlineStr"/>
      <c r="I900" s="18" t="inlineStr">
        <is>
          <t>아니오</t>
        </is>
      </c>
      <c r="J900" s="18" t="inlineStr">
        <is>
          <t>아니오</t>
        </is>
      </c>
      <c r="K900" s="18" t="inlineStr">
        <is>
          <t>예</t>
        </is>
      </c>
      <c r="L900" s="18" t="inlineStr">
        <is>
          <t>COBBLEVERSE 추가</t>
        </is>
      </c>
      <c r="M900" s="18">
        <f>COUNTIF('스폰_편집'!$D$5:$D$3125,A900)</f>
        <v/>
      </c>
      <c r="N900" s="18">
        <f>COUNTIFS('스폰_편집'!$D$5:$D$3125,A900,'스폰_편집'!$B$5:$B$3125,"사용")</f>
        <v/>
      </c>
      <c r="O900" s="18" t="n">
        <v>1</v>
      </c>
      <c r="P900" s="18" t="inlineStr">
        <is>
          <t>cobbleverse:custom_spawn/crown_spire</t>
        </is>
      </c>
      <c r="Q900" s="18" t="inlineStr">
        <is>
          <t>ultra-rare</t>
        </is>
      </c>
      <c r="R900" s="18" t="inlineStr"/>
      <c r="S900" s="18" t="inlineStr">
        <is>
          <t>cobbleventure:generation_8</t>
        </is>
      </c>
      <c r="T900" s="18">
        <f>IF(M900=0,"없음",IF(N900=0,"전부 제외","사용"))</f>
        <v/>
      </c>
      <c r="U900" s="18" t="inlineStr"/>
    </row>
    <row r="901" ht="30" customHeight="1">
      <c r="A901" s="18" t="n">
        <v>897</v>
      </c>
      <c r="B901" s="18" t="inlineStr">
        <is>
          <t>레이스포스</t>
        </is>
      </c>
      <c r="C901" s="18" t="inlineStr">
        <is>
          <t>spectrier</t>
        </is>
      </c>
      <c r="D901" s="18" t="inlineStr">
        <is>
          <t>Spectrier</t>
        </is>
      </c>
      <c r="E901" s="18" t="n">
        <v>8</v>
      </c>
      <c r="F901" s="18" t="inlineStr">
        <is>
          <t>generation8</t>
        </is>
      </c>
      <c r="G901" s="18" t="inlineStr">
        <is>
          <t>ghost</t>
        </is>
      </c>
      <c r="H901" s="18" t="inlineStr"/>
      <c r="I901" s="18" t="inlineStr">
        <is>
          <t>아니오</t>
        </is>
      </c>
      <c r="J901" s="18" t="inlineStr">
        <is>
          <t>아니오</t>
        </is>
      </c>
      <c r="K901" s="18" t="inlineStr">
        <is>
          <t>예</t>
        </is>
      </c>
      <c r="L901" s="18" t="inlineStr">
        <is>
          <t>COBBLEVERSE 추가</t>
        </is>
      </c>
      <c r="M901" s="18">
        <f>COUNTIF('스폰_편집'!$D$5:$D$3125,A901)</f>
        <v/>
      </c>
      <c r="N901" s="18">
        <f>COUNTIFS('스폰_편집'!$D$5:$D$3125,A901,'스폰_편집'!$B$5:$B$3125,"사용")</f>
        <v/>
      </c>
      <c r="O901" s="18" t="n">
        <v>1</v>
      </c>
      <c r="P901" s="18" t="inlineStr">
        <is>
          <t>cobbleverse:custom_spawn/crown_cemetery</t>
        </is>
      </c>
      <c r="Q901" s="18" t="inlineStr">
        <is>
          <t>ultra-rare</t>
        </is>
      </c>
      <c r="R901" s="18" t="inlineStr"/>
      <c r="S901" s="18" t="inlineStr">
        <is>
          <t>cobbleventure:generation_8</t>
        </is>
      </c>
      <c r="T901" s="18">
        <f>IF(M901=0,"없음",IF(N901=0,"전부 제외","사용"))</f>
        <v/>
      </c>
      <c r="U901" s="18" t="inlineStr"/>
    </row>
    <row r="902" ht="30" customHeight="1">
      <c r="A902" s="18" t="n">
        <v>898</v>
      </c>
      <c r="B902" s="18" t="inlineStr">
        <is>
          <t>버드렉스</t>
        </is>
      </c>
      <c r="C902" s="18" t="inlineStr">
        <is>
          <t>calyrex</t>
        </is>
      </c>
      <c r="D902" s="18" t="inlineStr">
        <is>
          <t>Calyrex</t>
        </is>
      </c>
      <c r="E902" s="18" t="n">
        <v>8</v>
      </c>
      <c r="F902" s="18" t="inlineStr">
        <is>
          <t>generation8</t>
        </is>
      </c>
      <c r="G902" s="18" t="inlineStr">
        <is>
          <t>psychic</t>
        </is>
      </c>
      <c r="H902" s="18" t="inlineStr">
        <is>
          <t>grass</t>
        </is>
      </c>
      <c r="I902" s="18" t="inlineStr">
        <is>
          <t>아니오</t>
        </is>
      </c>
      <c r="J902" s="18" t="inlineStr">
        <is>
          <t>아니오</t>
        </is>
      </c>
      <c r="K902" s="18" t="inlineStr">
        <is>
          <t>예</t>
        </is>
      </c>
      <c r="L902" s="18" t="inlineStr">
        <is>
          <t>COBBLEVERSE 추가</t>
        </is>
      </c>
      <c r="M902" s="18">
        <f>COUNTIF('스폰_편집'!$D$5:$D$3125,A902)</f>
        <v/>
      </c>
      <c r="N902" s="18">
        <f>COUNTIFS('스폰_편집'!$D$5:$D$3125,A902,'스폰_편집'!$B$5:$B$3125,"사용")</f>
        <v/>
      </c>
      <c r="O902" s="18" t="n">
        <v>1</v>
      </c>
      <c r="P902" s="18" t="inlineStr">
        <is>
          <t>cobbleverse:custom_spawn</t>
        </is>
      </c>
      <c r="Q902" s="18" t="inlineStr">
        <is>
          <t>ultra-rare</t>
        </is>
      </c>
      <c r="R902" s="18" t="inlineStr"/>
      <c r="S902" s="18" t="inlineStr">
        <is>
          <t>cobbleventure:generation_8</t>
        </is>
      </c>
      <c r="T902" s="18">
        <f>IF(M902=0,"없음",IF(N902=0,"전부 제외","사용"))</f>
        <v/>
      </c>
      <c r="U902" s="18" t="inlineStr"/>
    </row>
    <row r="903" ht="30" customHeight="1">
      <c r="A903" s="18" t="n">
        <v>899</v>
      </c>
      <c r="B903" s="18" t="inlineStr">
        <is>
          <t>신비록</t>
        </is>
      </c>
      <c r="C903" s="18" t="inlineStr">
        <is>
          <t>wyrdeer</t>
        </is>
      </c>
      <c r="D903" s="18" t="inlineStr">
        <is>
          <t>Wyrdeer</t>
        </is>
      </c>
      <c r="E903" s="18" t="n">
        <v>8</v>
      </c>
      <c r="F903" s="18" t="inlineStr">
        <is>
          <t>generation8a</t>
        </is>
      </c>
      <c r="G903" s="18" t="inlineStr">
        <is>
          <t>normal</t>
        </is>
      </c>
      <c r="H903" s="18" t="inlineStr">
        <is>
          <t>psychic</t>
        </is>
      </c>
      <c r="I903" s="18" t="inlineStr">
        <is>
          <t>예</t>
        </is>
      </c>
      <c r="J903" s="18" t="inlineStr">
        <is>
          <t>예</t>
        </is>
      </c>
      <c r="K903" s="18" t="inlineStr">
        <is>
          <t>예</t>
        </is>
      </c>
      <c r="L903" s="18" t="inlineStr">
        <is>
          <t>Cobblemon 동일</t>
        </is>
      </c>
      <c r="M903" s="18">
        <f>COUNTIF('스폰_편집'!$D$5:$D$3125,A903)</f>
        <v/>
      </c>
      <c r="N903" s="18">
        <f>COUNTIFS('스폰_편집'!$D$5:$D$3125,A903,'스폰_편집'!$B$5:$B$3125,"사용")</f>
        <v/>
      </c>
      <c r="O903" s="18" t="n">
        <v>3</v>
      </c>
      <c r="P903" s="18" t="inlineStr">
        <is>
          <t>#cobblemon:is_snowy_forest; #cobblemon:is_snowy_taiga; #cobblemon:is_tundra</t>
        </is>
      </c>
      <c r="Q903" s="18" t="inlineStr">
        <is>
          <t>common</t>
        </is>
      </c>
      <c r="R903" s="18" t="inlineStr"/>
      <c r="S903" s="18" t="inlineStr">
        <is>
          <t>cobbleventure:generation_8</t>
        </is>
      </c>
      <c r="T903" s="18">
        <f>IF(M903=0,"없음",IF(N903=0,"전부 제외","사용"))</f>
        <v/>
      </c>
      <c r="U903" s="18" t="inlineStr"/>
    </row>
    <row r="904" ht="30" customHeight="1">
      <c r="A904" s="18" t="n">
        <v>900</v>
      </c>
      <c r="B904" s="18" t="inlineStr">
        <is>
          <t>사마자르</t>
        </is>
      </c>
      <c r="C904" s="18" t="inlineStr">
        <is>
          <t>kleavor</t>
        </is>
      </c>
      <c r="D904" s="18" t="inlineStr">
        <is>
          <t>Kleavor</t>
        </is>
      </c>
      <c r="E904" s="18" t="n">
        <v>8</v>
      </c>
      <c r="F904" s="18" t="inlineStr">
        <is>
          <t>generation8a</t>
        </is>
      </c>
      <c r="G904" s="18" t="inlineStr">
        <is>
          <t>bug</t>
        </is>
      </c>
      <c r="H904" s="18" t="inlineStr">
        <is>
          <t>rock</t>
        </is>
      </c>
      <c r="I904" s="18" t="inlineStr">
        <is>
          <t>예</t>
        </is>
      </c>
      <c r="J904" s="18" t="inlineStr">
        <is>
          <t>예</t>
        </is>
      </c>
      <c r="K904" s="18" t="inlineStr">
        <is>
          <t>예</t>
        </is>
      </c>
      <c r="L904" s="18" t="inlineStr">
        <is>
          <t>Cobblemon 동일</t>
        </is>
      </c>
      <c r="M904" s="18">
        <f>COUNTIF('스폰_편집'!$D$5:$D$3125,A904)</f>
        <v/>
      </c>
      <c r="N904" s="18">
        <f>COUNTIFS('스폰_편집'!$D$5:$D$3125,A904,'스폰_편집'!$B$5:$B$3125,"사용")</f>
        <v/>
      </c>
      <c r="O904" s="18" t="n">
        <v>4</v>
      </c>
      <c r="P904" s="18" t="inlineStr">
        <is>
          <t>#cobblemon:is_forest; #cobblemon:is_hills; aether:skyroot_forest; aether:skyroot_woodland</t>
        </is>
      </c>
      <c r="Q904" s="18" t="inlineStr">
        <is>
          <t>rare</t>
        </is>
      </c>
      <c r="R904" s="18" t="inlineStr">
        <is>
          <t>region_01</t>
        </is>
      </c>
      <c r="S904" s="18" t="inlineStr">
        <is>
          <t>cobbleventure:generation_8</t>
        </is>
      </c>
      <c r="T904" s="18">
        <f>IF(M904=0,"없음",IF(N904=0,"전부 제외","사용"))</f>
        <v/>
      </c>
      <c r="U904" s="18" t="inlineStr"/>
    </row>
    <row r="905" ht="30" customHeight="1">
      <c r="A905" s="18" t="n">
        <v>901</v>
      </c>
      <c r="B905" s="18" t="inlineStr">
        <is>
          <t>다투곰</t>
        </is>
      </c>
      <c r="C905" s="18" t="inlineStr">
        <is>
          <t>ursaluna</t>
        </is>
      </c>
      <c r="D905" s="18" t="inlineStr">
        <is>
          <t>Ursaluna</t>
        </is>
      </c>
      <c r="E905" s="18" t="n">
        <v>8</v>
      </c>
      <c r="F905" s="18" t="inlineStr">
        <is>
          <t>generation8a</t>
        </is>
      </c>
      <c r="G905" s="18" t="inlineStr">
        <is>
          <t>ground</t>
        </is>
      </c>
      <c r="H905" s="18" t="inlineStr">
        <is>
          <t>normal</t>
        </is>
      </c>
      <c r="I905" s="18" t="inlineStr">
        <is>
          <t>예</t>
        </is>
      </c>
      <c r="J905" s="18" t="inlineStr">
        <is>
          <t>예</t>
        </is>
      </c>
      <c r="K905" s="18" t="inlineStr">
        <is>
          <t>예</t>
        </is>
      </c>
      <c r="L905" s="18" t="inlineStr">
        <is>
          <t>COBBLEVERSE 수정</t>
        </is>
      </c>
      <c r="M905" s="18">
        <f>COUNTIF('스폰_편집'!$D$5:$D$3125,A905)</f>
        <v/>
      </c>
      <c r="N905" s="18">
        <f>COUNTIFS('스폰_편집'!$D$5:$D$3125,A905,'스폰_편집'!$B$5:$B$3125,"사용")</f>
        <v/>
      </c>
      <c r="O905" s="18" t="n">
        <v>9</v>
      </c>
      <c r="P905" s="18" t="inlineStr">
        <is>
          <t>#aether:is_aether; #cobblemon:is_forest; #cobblemon:is_mountain; #cobblemon:is_overworld; #cobblemon:is_taiga; aether:skyroot_forest; aether:skyroot_woodland; the_bumblezone:crystal_canyon; the_bumblezone:floral_meadow</t>
        </is>
      </c>
      <c r="Q905" s="18" t="inlineStr">
        <is>
          <t>common; rare</t>
        </is>
      </c>
      <c r="R905" s="18" t="inlineStr">
        <is>
          <t>region_01; region_02</t>
        </is>
      </c>
      <c r="S905" s="18" t="inlineStr">
        <is>
          <t>cobbleventure:generation_8</t>
        </is>
      </c>
      <c r="T905" s="18">
        <f>IF(M905=0,"없음",IF(N905=0,"전부 제외","사용"))</f>
        <v/>
      </c>
      <c r="U905" s="18" t="inlineStr"/>
    </row>
    <row r="906" ht="30" customHeight="1">
      <c r="A906" s="18" t="n">
        <v>902</v>
      </c>
      <c r="B906" s="18" t="inlineStr">
        <is>
          <t>대쓰여너</t>
        </is>
      </c>
      <c r="C906" s="18" t="inlineStr">
        <is>
          <t>basculegion</t>
        </is>
      </c>
      <c r="D906" s="18" t="inlineStr">
        <is>
          <t>Basculegion</t>
        </is>
      </c>
      <c r="E906" s="18" t="n">
        <v>8</v>
      </c>
      <c r="F906" s="18" t="inlineStr">
        <is>
          <t>generation8a</t>
        </is>
      </c>
      <c r="G906" s="18" t="inlineStr">
        <is>
          <t>water</t>
        </is>
      </c>
      <c r="H906" s="18" t="inlineStr">
        <is>
          <t>ghost</t>
        </is>
      </c>
      <c r="I906" s="18" t="inlineStr">
        <is>
          <t>예</t>
        </is>
      </c>
      <c r="J906" s="18" t="inlineStr">
        <is>
          <t>예</t>
        </is>
      </c>
      <c r="K906" s="18" t="inlineStr">
        <is>
          <t>예</t>
        </is>
      </c>
      <c r="L906" s="18" t="inlineStr">
        <is>
          <t>Cobblemon 동일</t>
        </is>
      </c>
      <c r="M906" s="18">
        <f>COUNTIF('스폰_편집'!$D$5:$D$3125,A906)</f>
        <v/>
      </c>
      <c r="N906" s="18">
        <f>COUNTIFS('스폰_편집'!$D$5:$D$3125,A906,'스폰_편집'!$B$5:$B$3125,"사용")</f>
        <v/>
      </c>
      <c r="O906" s="18" t="n">
        <v>9</v>
      </c>
      <c r="P906" s="18" t="inlineStr">
        <is>
          <t>#cobblemon:is_arid; #cobblemon:is_forest; #cobblemon:is_freshwater; #cobblemon:is_grassland; #cobblemon:is_jungle; #cobblemon:is_mountain; #cobblemon:is_snowy_forest; #cobblemon:is_taiga; #cobblemon:is_tundra</t>
        </is>
      </c>
      <c r="Q906" s="18" t="inlineStr">
        <is>
          <t>common</t>
        </is>
      </c>
      <c r="R906" s="18" t="inlineStr">
        <is>
          <t>region_01; region_02</t>
        </is>
      </c>
      <c r="S906" s="18" t="inlineStr">
        <is>
          <t>cobbleventure:generation_8</t>
        </is>
      </c>
      <c r="T906" s="18">
        <f>IF(M906=0,"없음",IF(N906=0,"전부 제외","사용"))</f>
        <v/>
      </c>
      <c r="U906" s="18" t="inlineStr"/>
    </row>
    <row r="907" ht="30" customHeight="1">
      <c r="A907" s="18" t="n">
        <v>903</v>
      </c>
      <c r="B907" s="18" t="inlineStr">
        <is>
          <t>포푸니크</t>
        </is>
      </c>
      <c r="C907" s="18" t="inlineStr">
        <is>
          <t>sneasler</t>
        </is>
      </c>
      <c r="D907" s="18" t="inlineStr">
        <is>
          <t>Sneasler</t>
        </is>
      </c>
      <c r="E907" s="18" t="n">
        <v>8</v>
      </c>
      <c r="F907" s="18" t="inlineStr">
        <is>
          <t>generation8a</t>
        </is>
      </c>
      <c r="G907" s="18" t="inlineStr">
        <is>
          <t>fighting</t>
        </is>
      </c>
      <c r="H907" s="18" t="inlineStr">
        <is>
          <t>poison</t>
        </is>
      </c>
      <c r="I907" s="18" t="inlineStr">
        <is>
          <t>예</t>
        </is>
      </c>
      <c r="J907" s="18" t="inlineStr">
        <is>
          <t>예</t>
        </is>
      </c>
      <c r="K907" s="18" t="inlineStr">
        <is>
          <t>예</t>
        </is>
      </c>
      <c r="L907" s="18" t="inlineStr">
        <is>
          <t>Cobblemon 동일</t>
        </is>
      </c>
      <c r="M907" s="18">
        <f>COUNTIF('스폰_편집'!$D$5:$D$3125,A907)</f>
        <v/>
      </c>
      <c r="N907" s="18">
        <f>COUNTIFS('스폰_편집'!$D$5:$D$3125,A907,'스폰_편집'!$B$5:$B$3125,"사용")</f>
        <v/>
      </c>
      <c r="O907" s="18" t="n">
        <v>1</v>
      </c>
      <c r="P907" s="18" t="inlineStr">
        <is>
          <t>#cobblemon:is_mountain</t>
        </is>
      </c>
      <c r="Q907" s="18" t="inlineStr">
        <is>
          <t>uncommon</t>
        </is>
      </c>
      <c r="R907" s="18" t="inlineStr"/>
      <c r="S907" s="18" t="inlineStr">
        <is>
          <t>cobbleventure:generation_8</t>
        </is>
      </c>
      <c r="T907" s="18">
        <f>IF(M907=0,"없음",IF(N907=0,"전부 제외","사용"))</f>
        <v/>
      </c>
      <c r="U907" s="18" t="inlineStr"/>
    </row>
    <row r="908" ht="30" customHeight="1">
      <c r="A908" s="18" t="n">
        <v>904</v>
      </c>
      <c r="B908" s="18" t="inlineStr">
        <is>
          <t>장침바루</t>
        </is>
      </c>
      <c r="C908" s="18" t="inlineStr">
        <is>
          <t>overqwil</t>
        </is>
      </c>
      <c r="D908" s="18" t="inlineStr">
        <is>
          <t>Overqwil</t>
        </is>
      </c>
      <c r="E908" s="18" t="n">
        <v>8</v>
      </c>
      <c r="F908" s="18" t="inlineStr">
        <is>
          <t>generation8a</t>
        </is>
      </c>
      <c r="G908" s="18" t="inlineStr">
        <is>
          <t>dark</t>
        </is>
      </c>
      <c r="H908" s="18" t="inlineStr">
        <is>
          <t>poison</t>
        </is>
      </c>
      <c r="I908" s="18" t="inlineStr">
        <is>
          <t>예</t>
        </is>
      </c>
      <c r="J908" s="18" t="inlineStr">
        <is>
          <t>예</t>
        </is>
      </c>
      <c r="K908" s="18" t="inlineStr">
        <is>
          <t>예</t>
        </is>
      </c>
      <c r="L908" s="18" t="inlineStr">
        <is>
          <t>COBBLEVERSE 수정</t>
        </is>
      </c>
      <c r="M908" s="18">
        <f>COUNTIF('스폰_편집'!$D$5:$D$3125,A908)</f>
        <v/>
      </c>
      <c r="N908" s="18">
        <f>COUNTIFS('스폰_편집'!$D$5:$D$3125,A908,'스폰_편집'!$B$5:$B$3125,"사용")</f>
        <v/>
      </c>
      <c r="O908" s="18" t="n">
        <v>3</v>
      </c>
      <c r="P908" s="18" t="inlineStr">
        <is>
          <t>#cobblemon:is_cold; #cobblemon:is_cold_ocean; #cobblemon:is_frozen_ocean</t>
        </is>
      </c>
      <c r="Q908" s="18" t="inlineStr">
        <is>
          <t>common; uncommon</t>
        </is>
      </c>
      <c r="R908" s="18" t="inlineStr"/>
      <c r="S908" s="18" t="inlineStr">
        <is>
          <t>cobbleventure:generation_8</t>
        </is>
      </c>
      <c r="T908" s="18">
        <f>IF(M908=0,"없음",IF(N908=0,"전부 제외","사용"))</f>
        <v/>
      </c>
      <c r="U908" s="18" t="inlineStr"/>
    </row>
    <row r="909" ht="30" customHeight="1">
      <c r="A909" s="18" t="n">
        <v>905</v>
      </c>
      <c r="B909" s="18" t="inlineStr">
        <is>
          <t>러브로스</t>
        </is>
      </c>
      <c r="C909" s="18" t="inlineStr">
        <is>
          <t>enamorus</t>
        </is>
      </c>
      <c r="D909" s="18" t="inlineStr">
        <is>
          <t>Enamorus</t>
        </is>
      </c>
      <c r="E909" s="18" t="n">
        <v>8</v>
      </c>
      <c r="F909" s="18" t="inlineStr">
        <is>
          <t>generation8a</t>
        </is>
      </c>
      <c r="G909" s="18" t="inlineStr">
        <is>
          <t>fairy</t>
        </is>
      </c>
      <c r="H909" s="18" t="inlineStr">
        <is>
          <t>flying</t>
        </is>
      </c>
      <c r="I909" s="18" t="inlineStr">
        <is>
          <t>아니오</t>
        </is>
      </c>
      <c r="J909" s="18" t="inlineStr">
        <is>
          <t>아니오</t>
        </is>
      </c>
      <c r="K909" s="18" t="inlineStr">
        <is>
          <t>예</t>
        </is>
      </c>
      <c r="L909" s="18" t="inlineStr">
        <is>
          <t>COBBLEVERSE 추가</t>
        </is>
      </c>
      <c r="M909" s="18">
        <f>COUNTIF('스폰_편집'!$D$5:$D$3125,A909)</f>
        <v/>
      </c>
      <c r="N909" s="18">
        <f>COUNTIFS('스폰_편집'!$D$5:$D$3125,A909,'스폰_편집'!$B$5:$B$3125,"사용")</f>
        <v/>
      </c>
      <c r="O909" s="18" t="n">
        <v>1</v>
      </c>
      <c r="P909" s="18" t="inlineStr">
        <is>
          <t>#cobblemon:is_mountain</t>
        </is>
      </c>
      <c r="Q909" s="18" t="inlineStr">
        <is>
          <t>ultra-rare</t>
        </is>
      </c>
      <c r="R909" s="18" t="inlineStr"/>
      <c r="S909" s="18" t="inlineStr">
        <is>
          <t>cobbleventure:generation_8</t>
        </is>
      </c>
      <c r="T909" s="18">
        <f>IF(M909=0,"없음",IF(N909=0,"전부 제외","사용"))</f>
        <v/>
      </c>
      <c r="U909" s="18" t="inlineStr"/>
    </row>
    <row r="910" ht="30" customHeight="1">
      <c r="A910" s="18" t="n">
        <v>906</v>
      </c>
      <c r="B910" s="18" t="inlineStr">
        <is>
          <t>나오하</t>
        </is>
      </c>
      <c r="C910" s="18" t="inlineStr">
        <is>
          <t>sprigatito</t>
        </is>
      </c>
      <c r="D910" s="18" t="inlineStr">
        <is>
          <t>Sprigatito</t>
        </is>
      </c>
      <c r="E910" s="18" t="n">
        <v>9</v>
      </c>
      <c r="F910" s="18" t="inlineStr">
        <is>
          <t>generation9</t>
        </is>
      </c>
      <c r="G910" s="18" t="inlineStr">
        <is>
          <t>grass</t>
        </is>
      </c>
      <c r="H910" s="18" t="inlineStr"/>
      <c r="I910" s="18" t="inlineStr">
        <is>
          <t>예</t>
        </is>
      </c>
      <c r="J910" s="18" t="inlineStr">
        <is>
          <t>예</t>
        </is>
      </c>
      <c r="K910" s="18" t="inlineStr">
        <is>
          <t>예</t>
        </is>
      </c>
      <c r="L910" s="18" t="inlineStr">
        <is>
          <t>Cobblemon 동일</t>
        </is>
      </c>
      <c r="M910" s="18">
        <f>COUNTIF('스폰_편집'!$D$5:$D$3125,A910)</f>
        <v/>
      </c>
      <c r="N910" s="18">
        <f>COUNTIFS('스폰_편집'!$D$5:$D$3125,A910,'스폰_편집'!$B$5:$B$3125,"사용")</f>
        <v/>
      </c>
      <c r="O910" s="18" t="n">
        <v>2</v>
      </c>
      <c r="P910" s="18" t="inlineStr">
        <is>
          <t>#cobblemon:is_floral; #cobblemon:is_magical</t>
        </is>
      </c>
      <c r="Q910" s="18" t="inlineStr">
        <is>
          <t>ultra-rare</t>
        </is>
      </c>
      <c r="R910" s="18" t="inlineStr"/>
      <c r="S910" s="18" t="inlineStr">
        <is>
          <t>cobbleventure:generation_9</t>
        </is>
      </c>
      <c r="T910" s="18">
        <f>IF(M910=0,"없음",IF(N910=0,"전부 제외","사용"))</f>
        <v/>
      </c>
      <c r="U910" s="18" t="inlineStr"/>
    </row>
    <row r="911" ht="30" customHeight="1">
      <c r="A911" s="18" t="n">
        <v>907</v>
      </c>
      <c r="B911" s="18" t="inlineStr">
        <is>
          <t>나로테</t>
        </is>
      </c>
      <c r="C911" s="18" t="inlineStr">
        <is>
          <t>floragato</t>
        </is>
      </c>
      <c r="D911" s="18" t="inlineStr">
        <is>
          <t>Floragato</t>
        </is>
      </c>
      <c r="E911" s="18" t="n">
        <v>9</v>
      </c>
      <c r="F911" s="18" t="inlineStr">
        <is>
          <t>generation9</t>
        </is>
      </c>
      <c r="G911" s="18" t="inlineStr">
        <is>
          <t>grass</t>
        </is>
      </c>
      <c r="H911" s="18" t="inlineStr"/>
      <c r="I911" s="18" t="inlineStr">
        <is>
          <t>예</t>
        </is>
      </c>
      <c r="J911" s="18" t="inlineStr">
        <is>
          <t>예</t>
        </is>
      </c>
      <c r="K911" s="18" t="inlineStr">
        <is>
          <t>예</t>
        </is>
      </c>
      <c r="L911" s="18" t="inlineStr">
        <is>
          <t>Cobblemon 동일</t>
        </is>
      </c>
      <c r="M911" s="18">
        <f>COUNTIF('스폰_편집'!$D$5:$D$3125,A911)</f>
        <v/>
      </c>
      <c r="N911" s="18">
        <f>COUNTIFS('스폰_편집'!$D$5:$D$3125,A911,'스폰_편집'!$B$5:$B$3125,"사용")</f>
        <v/>
      </c>
      <c r="O911" s="18" t="n">
        <v>2</v>
      </c>
      <c r="P911" s="18" t="inlineStr">
        <is>
          <t>#cobblemon:is_floral; #cobblemon:is_magical</t>
        </is>
      </c>
      <c r="Q911" s="18" t="inlineStr">
        <is>
          <t>ultra-rare</t>
        </is>
      </c>
      <c r="R911" s="18" t="inlineStr"/>
      <c r="S911" s="18" t="inlineStr">
        <is>
          <t>cobbleventure:generation_9</t>
        </is>
      </c>
      <c r="T911" s="18">
        <f>IF(M911=0,"없음",IF(N911=0,"전부 제외","사용"))</f>
        <v/>
      </c>
      <c r="U911" s="18" t="inlineStr"/>
    </row>
    <row r="912" ht="30" customHeight="1">
      <c r="A912" s="18" t="n">
        <v>908</v>
      </c>
      <c r="B912" s="18" t="inlineStr">
        <is>
          <t>마스카나</t>
        </is>
      </c>
      <c r="C912" s="18" t="inlineStr">
        <is>
          <t>meowscarada</t>
        </is>
      </c>
      <c r="D912" s="18" t="inlineStr">
        <is>
          <t>Meowscarada</t>
        </is>
      </c>
      <c r="E912" s="18" t="n">
        <v>9</v>
      </c>
      <c r="F912" s="18" t="inlineStr">
        <is>
          <t>generation9</t>
        </is>
      </c>
      <c r="G912" s="18" t="inlineStr">
        <is>
          <t>grass</t>
        </is>
      </c>
      <c r="H912" s="18" t="inlineStr">
        <is>
          <t>dark</t>
        </is>
      </c>
      <c r="I912" s="18" t="inlineStr">
        <is>
          <t>예</t>
        </is>
      </c>
      <c r="J912" s="18" t="inlineStr">
        <is>
          <t>예</t>
        </is>
      </c>
      <c r="K912" s="18" t="inlineStr">
        <is>
          <t>예</t>
        </is>
      </c>
      <c r="L912" s="18" t="inlineStr">
        <is>
          <t>Cobblemon 동일</t>
        </is>
      </c>
      <c r="M912" s="18">
        <f>COUNTIF('스폰_편집'!$D$5:$D$3125,A912)</f>
        <v/>
      </c>
      <c r="N912" s="18">
        <f>COUNTIFS('스폰_편집'!$D$5:$D$3125,A912,'스폰_편집'!$B$5:$B$3125,"사용")</f>
        <v/>
      </c>
      <c r="O912" s="18" t="n">
        <v>2</v>
      </c>
      <c r="P912" s="18" t="inlineStr">
        <is>
          <t>#cobblemon:is_floral; #cobblemon:is_magical</t>
        </is>
      </c>
      <c r="Q912" s="18" t="inlineStr">
        <is>
          <t>ultra-rare</t>
        </is>
      </c>
      <c r="R912" s="18" t="inlineStr"/>
      <c r="S912" s="18" t="inlineStr">
        <is>
          <t>cobbleventure:generation_9</t>
        </is>
      </c>
      <c r="T912" s="18">
        <f>IF(M912=0,"없음",IF(N912=0,"전부 제외","사용"))</f>
        <v/>
      </c>
      <c r="U912" s="18" t="inlineStr"/>
    </row>
    <row r="913" ht="30" customHeight="1">
      <c r="A913" s="18" t="n">
        <v>909</v>
      </c>
      <c r="B913" s="18" t="inlineStr">
        <is>
          <t>뜨아거</t>
        </is>
      </c>
      <c r="C913" s="18" t="inlineStr">
        <is>
          <t>fuecoco</t>
        </is>
      </c>
      <c r="D913" s="18" t="inlineStr">
        <is>
          <t>Fuecoco</t>
        </is>
      </c>
      <c r="E913" s="18" t="n">
        <v>9</v>
      </c>
      <c r="F913" s="18" t="inlineStr">
        <is>
          <t>generation9</t>
        </is>
      </c>
      <c r="G913" s="18" t="inlineStr">
        <is>
          <t>fire</t>
        </is>
      </c>
      <c r="H913" s="18" t="inlineStr"/>
      <c r="I913" s="18" t="inlineStr">
        <is>
          <t>예</t>
        </is>
      </c>
      <c r="J913" s="18" t="inlineStr">
        <is>
          <t>예</t>
        </is>
      </c>
      <c r="K913" s="18" t="inlineStr">
        <is>
          <t>예</t>
        </is>
      </c>
      <c r="L913" s="18" t="inlineStr">
        <is>
          <t>Cobblemon 동일</t>
        </is>
      </c>
      <c r="M913" s="18">
        <f>COUNTIF('스폰_편집'!$D$5:$D$3125,A913)</f>
        <v/>
      </c>
      <c r="N913" s="18">
        <f>COUNTIFS('스폰_편집'!$D$5:$D$3125,A913,'스폰_편집'!$B$5:$B$3125,"사용")</f>
        <v/>
      </c>
      <c r="O913" s="18" t="n">
        <v>2</v>
      </c>
      <c r="P913" s="18" t="inlineStr">
        <is>
          <t>#cobblemon:is_badlands; #cobblemon:nether/is_wasteland</t>
        </is>
      </c>
      <c r="Q913" s="18" t="inlineStr">
        <is>
          <t>ultra-rare</t>
        </is>
      </c>
      <c r="R913" s="18" t="inlineStr"/>
      <c r="S913" s="18" t="inlineStr">
        <is>
          <t>cobbleventure:generation_9</t>
        </is>
      </c>
      <c r="T913" s="18">
        <f>IF(M913=0,"없음",IF(N913=0,"전부 제외","사용"))</f>
        <v/>
      </c>
      <c r="U913" s="18" t="inlineStr"/>
    </row>
    <row r="914" ht="30" customHeight="1">
      <c r="A914" s="18" t="n">
        <v>910</v>
      </c>
      <c r="B914" s="18" t="inlineStr">
        <is>
          <t>악뜨거</t>
        </is>
      </c>
      <c r="C914" s="18" t="inlineStr">
        <is>
          <t>crocalor</t>
        </is>
      </c>
      <c r="D914" s="18" t="inlineStr">
        <is>
          <t>Crocalor</t>
        </is>
      </c>
      <c r="E914" s="18" t="n">
        <v>9</v>
      </c>
      <c r="F914" s="18" t="inlineStr">
        <is>
          <t>generation9</t>
        </is>
      </c>
      <c r="G914" s="18" t="inlineStr">
        <is>
          <t>fire</t>
        </is>
      </c>
      <c r="H914" s="18" t="inlineStr"/>
      <c r="I914" s="18" t="inlineStr">
        <is>
          <t>예</t>
        </is>
      </c>
      <c r="J914" s="18" t="inlineStr">
        <is>
          <t>예</t>
        </is>
      </c>
      <c r="K914" s="18" t="inlineStr">
        <is>
          <t>예</t>
        </is>
      </c>
      <c r="L914" s="18" t="inlineStr">
        <is>
          <t>Cobblemon 동일</t>
        </is>
      </c>
      <c r="M914" s="18">
        <f>COUNTIF('스폰_편집'!$D$5:$D$3125,A914)</f>
        <v/>
      </c>
      <c r="N914" s="18">
        <f>COUNTIFS('스폰_편집'!$D$5:$D$3125,A914,'스폰_편집'!$B$5:$B$3125,"사용")</f>
        <v/>
      </c>
      <c r="O914" s="18" t="n">
        <v>2</v>
      </c>
      <c r="P914" s="18" t="inlineStr">
        <is>
          <t>#cobblemon:is_badlands; #cobblemon:nether/is_wasteland</t>
        </is>
      </c>
      <c r="Q914" s="18" t="inlineStr">
        <is>
          <t>ultra-rare</t>
        </is>
      </c>
      <c r="R914" s="18" t="inlineStr"/>
      <c r="S914" s="18" t="inlineStr">
        <is>
          <t>cobbleventure:generation_9</t>
        </is>
      </c>
      <c r="T914" s="18">
        <f>IF(M914=0,"없음",IF(N914=0,"전부 제외","사용"))</f>
        <v/>
      </c>
      <c r="U914" s="18" t="inlineStr"/>
    </row>
    <row r="915" ht="30" customHeight="1">
      <c r="A915" s="18" t="n">
        <v>911</v>
      </c>
      <c r="B915" s="18" t="inlineStr">
        <is>
          <t>라우드본</t>
        </is>
      </c>
      <c r="C915" s="18" t="inlineStr">
        <is>
          <t>skeledirge</t>
        </is>
      </c>
      <c r="D915" s="18" t="inlineStr">
        <is>
          <t>Skeledirge</t>
        </is>
      </c>
      <c r="E915" s="18" t="n">
        <v>9</v>
      </c>
      <c r="F915" s="18" t="inlineStr">
        <is>
          <t>generation9</t>
        </is>
      </c>
      <c r="G915" s="18" t="inlineStr">
        <is>
          <t>fire</t>
        </is>
      </c>
      <c r="H915" s="18" t="inlineStr">
        <is>
          <t>ghost</t>
        </is>
      </c>
      <c r="I915" s="18" t="inlineStr">
        <is>
          <t>예</t>
        </is>
      </c>
      <c r="J915" s="18" t="inlineStr">
        <is>
          <t>예</t>
        </is>
      </c>
      <c r="K915" s="18" t="inlineStr">
        <is>
          <t>예</t>
        </is>
      </c>
      <c r="L915" s="18" t="inlineStr">
        <is>
          <t>Cobblemon 동일</t>
        </is>
      </c>
      <c r="M915" s="18">
        <f>COUNTIF('스폰_편집'!$D$5:$D$3125,A915)</f>
        <v/>
      </c>
      <c r="N915" s="18">
        <f>COUNTIFS('스폰_편집'!$D$5:$D$3125,A915,'스폰_편집'!$B$5:$B$3125,"사용")</f>
        <v/>
      </c>
      <c r="O915" s="18" t="n">
        <v>2</v>
      </c>
      <c r="P915" s="18" t="inlineStr">
        <is>
          <t>#cobblemon:is_badlands; #cobblemon:nether/is_wasteland</t>
        </is>
      </c>
      <c r="Q915" s="18" t="inlineStr">
        <is>
          <t>ultra-rare</t>
        </is>
      </c>
      <c r="R915" s="18" t="inlineStr"/>
      <c r="S915" s="18" t="inlineStr">
        <is>
          <t>cobbleventure:generation_9</t>
        </is>
      </c>
      <c r="T915" s="18">
        <f>IF(M915=0,"없음",IF(N915=0,"전부 제외","사용"))</f>
        <v/>
      </c>
      <c r="U915" s="18" t="inlineStr"/>
    </row>
    <row r="916" ht="30" customHeight="1">
      <c r="A916" s="18" t="n">
        <v>912</v>
      </c>
      <c r="B916" s="18" t="inlineStr">
        <is>
          <t>꾸왁스</t>
        </is>
      </c>
      <c r="C916" s="18" t="inlineStr">
        <is>
          <t>quaxly</t>
        </is>
      </c>
      <c r="D916" s="18" t="inlineStr">
        <is>
          <t>Quaxly</t>
        </is>
      </c>
      <c r="E916" s="18" t="n">
        <v>9</v>
      </c>
      <c r="F916" s="18" t="inlineStr">
        <is>
          <t>generation9</t>
        </is>
      </c>
      <c r="G916" s="18" t="inlineStr">
        <is>
          <t>water</t>
        </is>
      </c>
      <c r="H916" s="18" t="inlineStr"/>
      <c r="I916" s="18" t="inlineStr">
        <is>
          <t>예</t>
        </is>
      </c>
      <c r="J916" s="18" t="inlineStr">
        <is>
          <t>예</t>
        </is>
      </c>
      <c r="K916" s="18" t="inlineStr">
        <is>
          <t>예</t>
        </is>
      </c>
      <c r="L916" s="18" t="inlineStr">
        <is>
          <t>Cobblemon 동일</t>
        </is>
      </c>
      <c r="M916" s="18">
        <f>COUNTIF('스폰_편집'!$D$5:$D$3125,A916)</f>
        <v/>
      </c>
      <c r="N916" s="18">
        <f>COUNTIFS('스폰_편집'!$D$5:$D$3125,A916,'스폰_편집'!$B$5:$B$3125,"사용")</f>
        <v/>
      </c>
      <c r="O916" s="18" t="n">
        <v>5</v>
      </c>
      <c r="P916" s="18" t="inlineStr">
        <is>
          <t>#cobblemon:is_forest; #cobblemon:is_freshwater; #cobblemon:is_grassland; #cobblemon:is_jungle; #cobblemon:is_river</t>
        </is>
      </c>
      <c r="Q916" s="18" t="inlineStr">
        <is>
          <t>ultra-rare</t>
        </is>
      </c>
      <c r="R916" s="18" t="inlineStr">
        <is>
          <t>region_01; region_02</t>
        </is>
      </c>
      <c r="S916" s="18" t="inlineStr">
        <is>
          <t>cobbleventure:generation_9</t>
        </is>
      </c>
      <c r="T916" s="18">
        <f>IF(M916=0,"없음",IF(N916=0,"전부 제외","사용"))</f>
        <v/>
      </c>
      <c r="U916" s="18" t="inlineStr"/>
    </row>
    <row r="917" ht="30" customHeight="1">
      <c r="A917" s="18" t="n">
        <v>913</v>
      </c>
      <c r="B917" s="18" t="inlineStr">
        <is>
          <t>아꾸왁</t>
        </is>
      </c>
      <c r="C917" s="18" t="inlineStr">
        <is>
          <t>quaxwell</t>
        </is>
      </c>
      <c r="D917" s="18" t="inlineStr">
        <is>
          <t>Quaxwell</t>
        </is>
      </c>
      <c r="E917" s="18" t="n">
        <v>9</v>
      </c>
      <c r="F917" s="18" t="inlineStr">
        <is>
          <t>generation9</t>
        </is>
      </c>
      <c r="G917" s="18" t="inlineStr">
        <is>
          <t>water</t>
        </is>
      </c>
      <c r="H917" s="18" t="inlineStr"/>
      <c r="I917" s="18" t="inlineStr">
        <is>
          <t>예</t>
        </is>
      </c>
      <c r="J917" s="18" t="inlineStr">
        <is>
          <t>예</t>
        </is>
      </c>
      <c r="K917" s="18" t="inlineStr">
        <is>
          <t>예</t>
        </is>
      </c>
      <c r="L917" s="18" t="inlineStr">
        <is>
          <t>Cobblemon 동일</t>
        </is>
      </c>
      <c r="M917" s="18">
        <f>COUNTIF('스폰_편집'!$D$5:$D$3125,A917)</f>
        <v/>
      </c>
      <c r="N917" s="18">
        <f>COUNTIFS('스폰_편집'!$D$5:$D$3125,A917,'스폰_편집'!$B$5:$B$3125,"사용")</f>
        <v/>
      </c>
      <c r="O917" s="18" t="n">
        <v>5</v>
      </c>
      <c r="P917" s="18" t="inlineStr">
        <is>
          <t>#cobblemon:is_forest; #cobblemon:is_freshwater; #cobblemon:is_grassland; #cobblemon:is_jungle; #cobblemon:is_river</t>
        </is>
      </c>
      <c r="Q917" s="18" t="inlineStr">
        <is>
          <t>ultra-rare</t>
        </is>
      </c>
      <c r="R917" s="18" t="inlineStr">
        <is>
          <t>region_01; region_02</t>
        </is>
      </c>
      <c r="S917" s="18" t="inlineStr">
        <is>
          <t>cobbleventure:generation_9</t>
        </is>
      </c>
      <c r="T917" s="18">
        <f>IF(M917=0,"없음",IF(N917=0,"전부 제외","사용"))</f>
        <v/>
      </c>
      <c r="U917" s="18" t="inlineStr"/>
    </row>
    <row r="918" ht="30" customHeight="1">
      <c r="A918" s="18" t="n">
        <v>914</v>
      </c>
      <c r="B918" s="18" t="inlineStr">
        <is>
          <t>웨이니발</t>
        </is>
      </c>
      <c r="C918" s="18" t="inlineStr">
        <is>
          <t>quaquaval</t>
        </is>
      </c>
      <c r="D918" s="18" t="inlineStr">
        <is>
          <t>Quaquaval</t>
        </is>
      </c>
      <c r="E918" s="18" t="n">
        <v>9</v>
      </c>
      <c r="F918" s="18" t="inlineStr">
        <is>
          <t>generation9</t>
        </is>
      </c>
      <c r="G918" s="18" t="inlineStr">
        <is>
          <t>water</t>
        </is>
      </c>
      <c r="H918" s="18" t="inlineStr">
        <is>
          <t>fighting</t>
        </is>
      </c>
      <c r="I918" s="18" t="inlineStr">
        <is>
          <t>예</t>
        </is>
      </c>
      <c r="J918" s="18" t="inlineStr">
        <is>
          <t>예</t>
        </is>
      </c>
      <c r="K918" s="18" t="inlineStr">
        <is>
          <t>예</t>
        </is>
      </c>
      <c r="L918" s="18" t="inlineStr">
        <is>
          <t>Cobblemon 동일</t>
        </is>
      </c>
      <c r="M918" s="18">
        <f>COUNTIF('스폰_편집'!$D$5:$D$3125,A918)</f>
        <v/>
      </c>
      <c r="N918" s="18">
        <f>COUNTIFS('스폰_편집'!$D$5:$D$3125,A918,'스폰_편집'!$B$5:$B$3125,"사용")</f>
        <v/>
      </c>
      <c r="O918" s="18" t="n">
        <v>5</v>
      </c>
      <c r="P918" s="18" t="inlineStr">
        <is>
          <t>#cobblemon:is_forest; #cobblemon:is_freshwater; #cobblemon:is_grassland; #cobblemon:is_jungle; #cobblemon:is_river</t>
        </is>
      </c>
      <c r="Q918" s="18" t="inlineStr">
        <is>
          <t>ultra-rare</t>
        </is>
      </c>
      <c r="R918" s="18" t="inlineStr">
        <is>
          <t>region_01; region_02</t>
        </is>
      </c>
      <c r="S918" s="18" t="inlineStr">
        <is>
          <t>cobbleventure:generation_9</t>
        </is>
      </c>
      <c r="T918" s="18">
        <f>IF(M918=0,"없음",IF(N918=0,"전부 제외","사용"))</f>
        <v/>
      </c>
      <c r="U918" s="18" t="inlineStr"/>
    </row>
    <row r="919" ht="30" customHeight="1">
      <c r="A919" s="18" t="n">
        <v>915</v>
      </c>
      <c r="B919" s="18" t="inlineStr">
        <is>
          <t>맛보돈</t>
        </is>
      </c>
      <c r="C919" s="18" t="inlineStr">
        <is>
          <t>lechonk</t>
        </is>
      </c>
      <c r="D919" s="18" t="inlineStr">
        <is>
          <t>Lechonk</t>
        </is>
      </c>
      <c r="E919" s="18" t="n">
        <v>9</v>
      </c>
      <c r="F919" s="18" t="inlineStr">
        <is>
          <t>generation9</t>
        </is>
      </c>
      <c r="G919" s="18" t="inlineStr">
        <is>
          <t>normal</t>
        </is>
      </c>
      <c r="H919" s="18" t="inlineStr"/>
      <c r="I919" s="18" t="inlineStr">
        <is>
          <t>예</t>
        </is>
      </c>
      <c r="J919" s="18" t="inlineStr">
        <is>
          <t>예</t>
        </is>
      </c>
      <c r="K919" s="18" t="inlineStr">
        <is>
          <t>예</t>
        </is>
      </c>
      <c r="L919" s="18" t="inlineStr">
        <is>
          <t>COBBLEVERSE 수정</t>
        </is>
      </c>
      <c r="M919" s="18">
        <f>COUNTIF('스폰_편집'!$D$5:$D$3125,A919)</f>
        <v/>
      </c>
      <c r="N919" s="18">
        <f>COUNTIFS('스폰_편집'!$D$5:$D$3125,A919,'스폰_편집'!$B$5:$B$3125,"사용")</f>
        <v/>
      </c>
      <c r="O919" s="18" t="n">
        <v>3</v>
      </c>
      <c r="P919" s="18" t="inlineStr">
        <is>
          <t>#cobblemon:is_mushroom; #cobblemon:is_swamp; #cobblemon:is_temperate</t>
        </is>
      </c>
      <c r="Q919" s="18" t="inlineStr">
        <is>
          <t>common</t>
        </is>
      </c>
      <c r="R919" s="18" t="inlineStr">
        <is>
          <t>region_01; region_02</t>
        </is>
      </c>
      <c r="S919" s="18" t="inlineStr">
        <is>
          <t>cobbleventure:generation_9</t>
        </is>
      </c>
      <c r="T919" s="18">
        <f>IF(M919=0,"없음",IF(N919=0,"전부 제외","사용"))</f>
        <v/>
      </c>
      <c r="U919" s="18" t="inlineStr"/>
    </row>
    <row r="920" ht="30" customHeight="1">
      <c r="A920" s="18" t="n">
        <v>916</v>
      </c>
      <c r="B920" s="18" t="inlineStr">
        <is>
          <t>퍼퓨돈</t>
        </is>
      </c>
      <c r="C920" s="18" t="inlineStr">
        <is>
          <t>oinkologne</t>
        </is>
      </c>
      <c r="D920" s="18" t="inlineStr">
        <is>
          <t>Oinkologne</t>
        </is>
      </c>
      <c r="E920" s="18" t="n">
        <v>9</v>
      </c>
      <c r="F920" s="18" t="inlineStr">
        <is>
          <t>generation9</t>
        </is>
      </c>
      <c r="G920" s="18" t="inlineStr">
        <is>
          <t>normal</t>
        </is>
      </c>
      <c r="H920" s="18" t="inlineStr"/>
      <c r="I920" s="18" t="inlineStr">
        <is>
          <t>예</t>
        </is>
      </c>
      <c r="J920" s="18" t="inlineStr">
        <is>
          <t>예</t>
        </is>
      </c>
      <c r="K920" s="18" t="inlineStr">
        <is>
          <t>예</t>
        </is>
      </c>
      <c r="L920" s="18" t="inlineStr">
        <is>
          <t>COBBLEVERSE 수정</t>
        </is>
      </c>
      <c r="M920" s="18">
        <f>COUNTIF('스폰_편집'!$D$5:$D$3125,A920)</f>
        <v/>
      </c>
      <c r="N920" s="18">
        <f>COUNTIFS('스폰_편집'!$D$5:$D$3125,A920,'스폰_편집'!$B$5:$B$3125,"사용")</f>
        <v/>
      </c>
      <c r="O920" s="18" t="n">
        <v>3</v>
      </c>
      <c r="P920" s="18" t="inlineStr">
        <is>
          <t>#cobblemon:is_mushroom; #cobblemon:is_swamp; #cobblemon:is_temperate</t>
        </is>
      </c>
      <c r="Q920" s="18" t="inlineStr">
        <is>
          <t>common</t>
        </is>
      </c>
      <c r="R920" s="18" t="inlineStr">
        <is>
          <t>region_01; region_02</t>
        </is>
      </c>
      <c r="S920" s="18" t="inlineStr">
        <is>
          <t>cobbleventure:generation_9</t>
        </is>
      </c>
      <c r="T920" s="18">
        <f>IF(M920=0,"없음",IF(N920=0,"전부 제외","사용"))</f>
        <v/>
      </c>
      <c r="U920" s="18" t="inlineStr"/>
    </row>
    <row r="921" ht="30" customHeight="1">
      <c r="A921" s="18" t="n">
        <v>917</v>
      </c>
      <c r="B921" s="18" t="inlineStr">
        <is>
          <t>타랜툴라</t>
        </is>
      </c>
      <c r="C921" s="18" t="inlineStr">
        <is>
          <t>tarountula</t>
        </is>
      </c>
      <c r="D921" s="18" t="inlineStr">
        <is>
          <t>Tarountula</t>
        </is>
      </c>
      <c r="E921" s="18" t="n">
        <v>9</v>
      </c>
      <c r="F921" s="18" t="inlineStr">
        <is>
          <t>generation9</t>
        </is>
      </c>
      <c r="G921" s="18" t="inlineStr">
        <is>
          <t>bug</t>
        </is>
      </c>
      <c r="H921" s="18" t="inlineStr"/>
      <c r="I921" s="18" t="inlineStr">
        <is>
          <t>예</t>
        </is>
      </c>
      <c r="J921" s="18" t="inlineStr">
        <is>
          <t>예</t>
        </is>
      </c>
      <c r="K921" s="18" t="inlineStr">
        <is>
          <t>예</t>
        </is>
      </c>
      <c r="L921" s="18" t="inlineStr">
        <is>
          <t>COBBLEVERSE 수정</t>
        </is>
      </c>
      <c r="M921" s="18">
        <f>COUNTIF('스폰_편집'!$D$5:$D$3125,A921)</f>
        <v/>
      </c>
      <c r="N921" s="18">
        <f>COUNTIFS('스폰_편집'!$D$5:$D$3125,A921,'스폰_편집'!$B$5:$B$3125,"사용")</f>
        <v/>
      </c>
      <c r="O921" s="18" t="n">
        <v>3</v>
      </c>
      <c r="P921" s="18" t="inlineStr">
        <is>
          <t>#cobblemon:is_forest; #cobblemon:is_jungle; #cobblemon:is_swamp</t>
        </is>
      </c>
      <c r="Q921" s="18" t="inlineStr">
        <is>
          <t>common</t>
        </is>
      </c>
      <c r="R921" s="18" t="inlineStr">
        <is>
          <t>region_01; region_02</t>
        </is>
      </c>
      <c r="S921" s="18" t="inlineStr">
        <is>
          <t>cobbleventure:generation_9</t>
        </is>
      </c>
      <c r="T921" s="18">
        <f>IF(M921=0,"없음",IF(N921=0,"전부 제외","사용"))</f>
        <v/>
      </c>
      <c r="U921" s="18" t="inlineStr"/>
    </row>
    <row r="922" ht="30" customHeight="1">
      <c r="A922" s="18" t="n">
        <v>918</v>
      </c>
      <c r="B922" s="18" t="inlineStr">
        <is>
          <t>트래피더</t>
        </is>
      </c>
      <c r="C922" s="18" t="inlineStr">
        <is>
          <t>spidops</t>
        </is>
      </c>
      <c r="D922" s="18" t="inlineStr">
        <is>
          <t>Spidops</t>
        </is>
      </c>
      <c r="E922" s="18" t="n">
        <v>9</v>
      </c>
      <c r="F922" s="18" t="inlineStr">
        <is>
          <t>generation9</t>
        </is>
      </c>
      <c r="G922" s="18" t="inlineStr">
        <is>
          <t>bug</t>
        </is>
      </c>
      <c r="H922" s="18" t="inlineStr"/>
      <c r="I922" s="18" t="inlineStr">
        <is>
          <t>예</t>
        </is>
      </c>
      <c r="J922" s="18" t="inlineStr">
        <is>
          <t>예</t>
        </is>
      </c>
      <c r="K922" s="18" t="inlineStr">
        <is>
          <t>예</t>
        </is>
      </c>
      <c r="L922" s="18" t="inlineStr">
        <is>
          <t>COBBLEVERSE 수정</t>
        </is>
      </c>
      <c r="M922" s="18">
        <f>COUNTIF('스폰_편집'!$D$5:$D$3125,A922)</f>
        <v/>
      </c>
      <c r="N922" s="18">
        <f>COUNTIFS('스폰_편집'!$D$5:$D$3125,A922,'스폰_편집'!$B$5:$B$3125,"사용")</f>
        <v/>
      </c>
      <c r="O922" s="18" t="n">
        <v>3</v>
      </c>
      <c r="P922" s="18" t="inlineStr">
        <is>
          <t>#cobblemon:is_forest; #cobblemon:is_jungle; #cobblemon:is_swamp</t>
        </is>
      </c>
      <c r="Q922" s="18" t="inlineStr">
        <is>
          <t>common</t>
        </is>
      </c>
      <c r="R922" s="18" t="inlineStr">
        <is>
          <t>region_01; region_02</t>
        </is>
      </c>
      <c r="S922" s="18" t="inlineStr">
        <is>
          <t>cobbleventure:generation_9</t>
        </is>
      </c>
      <c r="T922" s="18">
        <f>IF(M922=0,"없음",IF(N922=0,"전부 제외","사용"))</f>
        <v/>
      </c>
      <c r="U922" s="18" t="inlineStr"/>
    </row>
    <row r="923" ht="30" customHeight="1">
      <c r="A923" s="18" t="n">
        <v>919</v>
      </c>
      <c r="B923" s="18" t="inlineStr">
        <is>
          <t>콩알뚜기</t>
        </is>
      </c>
      <c r="C923" s="18" t="inlineStr">
        <is>
          <t>nymble</t>
        </is>
      </c>
      <c r="D923" s="18" t="inlineStr">
        <is>
          <t>Nymble</t>
        </is>
      </c>
      <c r="E923" s="18" t="n">
        <v>9</v>
      </c>
      <c r="F923" s="18" t="inlineStr">
        <is>
          <t>generation9</t>
        </is>
      </c>
      <c r="G923" s="18" t="inlineStr">
        <is>
          <t>bug</t>
        </is>
      </c>
      <c r="H923" s="18" t="inlineStr"/>
      <c r="I923" s="18" t="inlineStr">
        <is>
          <t>아니오</t>
        </is>
      </c>
      <c r="J923" s="18" t="inlineStr">
        <is>
          <t>아니오</t>
        </is>
      </c>
      <c r="K923" s="18" t="inlineStr">
        <is>
          <t>예</t>
        </is>
      </c>
      <c r="L923" s="18" t="inlineStr">
        <is>
          <t>COBBLEVERSE 추가</t>
        </is>
      </c>
      <c r="M923" s="18">
        <f>COUNTIF('스폰_편집'!$D$5:$D$3125,A923)</f>
        <v/>
      </c>
      <c r="N923" s="18">
        <f>COUNTIFS('스폰_편집'!$D$5:$D$3125,A923,'스폰_편집'!$B$5:$B$3125,"사용")</f>
        <v/>
      </c>
      <c r="O923" s="18" t="n">
        <v>2</v>
      </c>
      <c r="P923" s="18" t="inlineStr">
        <is>
          <t>#cobblemon:is_badlands; #cobblemon:is_savanna</t>
        </is>
      </c>
      <c r="Q923" s="18" t="inlineStr">
        <is>
          <t>common</t>
        </is>
      </c>
      <c r="R923" s="18" t="inlineStr"/>
      <c r="S923" s="18" t="inlineStr">
        <is>
          <t>cobbleventure:generation_9</t>
        </is>
      </c>
      <c r="T923" s="18">
        <f>IF(M923=0,"없음",IF(N923=0,"전부 제외","사용"))</f>
        <v/>
      </c>
      <c r="U923" s="18" t="inlineStr"/>
    </row>
    <row r="924" ht="30" customHeight="1">
      <c r="A924" s="18" t="n">
        <v>920</v>
      </c>
      <c r="B924" s="18" t="inlineStr">
        <is>
          <t>엑스레그</t>
        </is>
      </c>
      <c r="C924" s="18" t="inlineStr">
        <is>
          <t>lokix</t>
        </is>
      </c>
      <c r="D924" s="18" t="inlineStr">
        <is>
          <t>Lokix</t>
        </is>
      </c>
      <c r="E924" s="18" t="n">
        <v>9</v>
      </c>
      <c r="F924" s="18" t="inlineStr">
        <is>
          <t>generation9</t>
        </is>
      </c>
      <c r="G924" s="18" t="inlineStr">
        <is>
          <t>bug</t>
        </is>
      </c>
      <c r="H924" s="18" t="inlineStr">
        <is>
          <t>dark</t>
        </is>
      </c>
      <c r="I924" s="18" t="inlineStr">
        <is>
          <t>아니오</t>
        </is>
      </c>
      <c r="J924" s="18" t="inlineStr">
        <is>
          <t>아니오</t>
        </is>
      </c>
      <c r="K924" s="18" t="inlineStr">
        <is>
          <t>예</t>
        </is>
      </c>
      <c r="L924" s="18" t="inlineStr">
        <is>
          <t>COBBLEVERSE 추가</t>
        </is>
      </c>
      <c r="M924" s="18">
        <f>COUNTIF('스폰_편집'!$D$5:$D$3125,A924)</f>
        <v/>
      </c>
      <c r="N924" s="18">
        <f>COUNTIFS('스폰_편집'!$D$5:$D$3125,A924,'스폰_편집'!$B$5:$B$3125,"사용")</f>
        <v/>
      </c>
      <c r="O924" s="18" t="n">
        <v>2</v>
      </c>
      <c r="P924" s="18" t="inlineStr">
        <is>
          <t>#cobblemon:is_badlands; #cobblemon:is_savanna</t>
        </is>
      </c>
      <c r="Q924" s="18" t="inlineStr">
        <is>
          <t>rare</t>
        </is>
      </c>
      <c r="R924" s="18" t="inlineStr"/>
      <c r="S924" s="18" t="inlineStr">
        <is>
          <t>cobbleventure:generation_9</t>
        </is>
      </c>
      <c r="T924" s="18">
        <f>IF(M924=0,"없음",IF(N924=0,"전부 제외","사용"))</f>
        <v/>
      </c>
      <c r="U924" s="18" t="inlineStr"/>
    </row>
    <row r="925" ht="30" customHeight="1">
      <c r="A925" s="18" t="n">
        <v>921</v>
      </c>
      <c r="B925" s="18" t="inlineStr">
        <is>
          <t>빠모</t>
        </is>
      </c>
      <c r="C925" s="18" t="inlineStr">
        <is>
          <t>pawmi</t>
        </is>
      </c>
      <c r="D925" s="18" t="inlineStr">
        <is>
          <t>Pawmi</t>
        </is>
      </c>
      <c r="E925" s="18" t="n">
        <v>9</v>
      </c>
      <c r="F925" s="18" t="inlineStr">
        <is>
          <t>generation9</t>
        </is>
      </c>
      <c r="G925" s="18" t="inlineStr">
        <is>
          <t>electric</t>
        </is>
      </c>
      <c r="H925" s="18" t="inlineStr"/>
      <c r="I925" s="18" t="inlineStr">
        <is>
          <t>아니오</t>
        </is>
      </c>
      <c r="J925" s="18" t="inlineStr">
        <is>
          <t>아니오</t>
        </is>
      </c>
      <c r="K925" s="18" t="inlineStr">
        <is>
          <t>예</t>
        </is>
      </c>
      <c r="L925" s="18" t="inlineStr">
        <is>
          <t>COBBLEVERSE 추가</t>
        </is>
      </c>
      <c r="M925" s="18">
        <f>COUNTIF('스폰_편집'!$D$5:$D$3125,A925)</f>
        <v/>
      </c>
      <c r="N925" s="18">
        <f>COUNTIFS('스폰_편집'!$D$5:$D$3125,A925,'스폰_편집'!$B$5:$B$3125,"사용")</f>
        <v/>
      </c>
      <c r="O925" s="18" t="n">
        <v>1</v>
      </c>
      <c r="P925" s="18" t="inlineStr">
        <is>
          <t>#cobblemon:is_plains</t>
        </is>
      </c>
      <c r="Q925" s="18" t="inlineStr">
        <is>
          <t>uncommon</t>
        </is>
      </c>
      <c r="R925" s="18" t="inlineStr">
        <is>
          <t>region_01</t>
        </is>
      </c>
      <c r="S925" s="18" t="inlineStr">
        <is>
          <t>cobbleventure:generation_9</t>
        </is>
      </c>
      <c r="T925" s="18">
        <f>IF(M925=0,"없음",IF(N925=0,"전부 제외","사용"))</f>
        <v/>
      </c>
      <c r="U925" s="18" t="inlineStr"/>
    </row>
    <row r="926" ht="30" customHeight="1">
      <c r="A926" s="18" t="n">
        <v>922</v>
      </c>
      <c r="B926" s="18" t="inlineStr">
        <is>
          <t>빠모트</t>
        </is>
      </c>
      <c r="C926" s="18" t="inlineStr">
        <is>
          <t>pawmo</t>
        </is>
      </c>
      <c r="D926" s="18" t="inlineStr">
        <is>
          <t>Pawmo</t>
        </is>
      </c>
      <c r="E926" s="18" t="n">
        <v>9</v>
      </c>
      <c r="F926" s="18" t="inlineStr">
        <is>
          <t>generation9</t>
        </is>
      </c>
      <c r="G926" s="18" t="inlineStr">
        <is>
          <t>electric</t>
        </is>
      </c>
      <c r="H926" s="18" t="inlineStr">
        <is>
          <t>fighting</t>
        </is>
      </c>
      <c r="I926" s="18" t="inlineStr">
        <is>
          <t>아니오</t>
        </is>
      </c>
      <c r="J926" s="18" t="inlineStr">
        <is>
          <t>아니오</t>
        </is>
      </c>
      <c r="K926" s="18" t="inlineStr">
        <is>
          <t>예</t>
        </is>
      </c>
      <c r="L926" s="18" t="inlineStr">
        <is>
          <t>COBBLEVERSE 추가</t>
        </is>
      </c>
      <c r="M926" s="18">
        <f>COUNTIF('스폰_편집'!$D$5:$D$3125,A926)</f>
        <v/>
      </c>
      <c r="N926" s="18">
        <f>COUNTIFS('스폰_편집'!$D$5:$D$3125,A926,'스폰_편집'!$B$5:$B$3125,"사용")</f>
        <v/>
      </c>
      <c r="O926" s="18" t="n">
        <v>1</v>
      </c>
      <c r="P926" s="18" t="inlineStr">
        <is>
          <t>#cobblemon:is_plains</t>
        </is>
      </c>
      <c r="Q926" s="18" t="inlineStr">
        <is>
          <t>uncommon</t>
        </is>
      </c>
      <c r="R926" s="18" t="inlineStr">
        <is>
          <t>region_01</t>
        </is>
      </c>
      <c r="S926" s="18" t="inlineStr">
        <is>
          <t>cobbleventure:generation_9</t>
        </is>
      </c>
      <c r="T926" s="18">
        <f>IF(M926=0,"없음",IF(N926=0,"전부 제외","사용"))</f>
        <v/>
      </c>
      <c r="U926" s="18" t="inlineStr"/>
    </row>
    <row r="927" ht="30" customHeight="1">
      <c r="A927" s="18" t="n">
        <v>923</v>
      </c>
      <c r="B927" s="18" t="inlineStr">
        <is>
          <t>빠르모트</t>
        </is>
      </c>
      <c r="C927" s="18" t="inlineStr">
        <is>
          <t>pawmot</t>
        </is>
      </c>
      <c r="D927" s="18" t="inlineStr">
        <is>
          <t>Pawmot</t>
        </is>
      </c>
      <c r="E927" s="18" t="n">
        <v>9</v>
      </c>
      <c r="F927" s="18" t="inlineStr">
        <is>
          <t>generation9</t>
        </is>
      </c>
      <c r="G927" s="18" t="inlineStr">
        <is>
          <t>electric</t>
        </is>
      </c>
      <c r="H927" s="18" t="inlineStr">
        <is>
          <t>fighting</t>
        </is>
      </c>
      <c r="I927" s="18" t="inlineStr">
        <is>
          <t>아니오</t>
        </is>
      </c>
      <c r="J927" s="18" t="inlineStr">
        <is>
          <t>아니오</t>
        </is>
      </c>
      <c r="K927" s="18" t="inlineStr">
        <is>
          <t>예</t>
        </is>
      </c>
      <c r="L927" s="18" t="inlineStr">
        <is>
          <t>COBBLEVERSE 추가</t>
        </is>
      </c>
      <c r="M927" s="18">
        <f>COUNTIF('스폰_편집'!$D$5:$D$3125,A927)</f>
        <v/>
      </c>
      <c r="N927" s="18">
        <f>COUNTIFS('스폰_편집'!$D$5:$D$3125,A927,'스폰_편집'!$B$5:$B$3125,"사용")</f>
        <v/>
      </c>
      <c r="O927" s="18" t="n">
        <v>1</v>
      </c>
      <c r="P927" s="18" t="inlineStr">
        <is>
          <t>#cobblemon:is_plains</t>
        </is>
      </c>
      <c r="Q927" s="18" t="inlineStr">
        <is>
          <t>rare</t>
        </is>
      </c>
      <c r="R927" s="18" t="inlineStr">
        <is>
          <t>region_01</t>
        </is>
      </c>
      <c r="S927" s="18" t="inlineStr">
        <is>
          <t>cobbleventure:generation_9</t>
        </is>
      </c>
      <c r="T927" s="18">
        <f>IF(M927=0,"없음",IF(N927=0,"전부 제외","사용"))</f>
        <v/>
      </c>
      <c r="U927" s="18" t="inlineStr"/>
    </row>
    <row r="928" ht="30" customHeight="1">
      <c r="A928" s="18" t="n">
        <v>924</v>
      </c>
      <c r="B928" s="18" t="inlineStr">
        <is>
          <t>두리쥐</t>
        </is>
      </c>
      <c r="C928" s="18" t="inlineStr">
        <is>
          <t>tandemaus</t>
        </is>
      </c>
      <c r="D928" s="18" t="inlineStr">
        <is>
          <t>Tandemaus</t>
        </is>
      </c>
      <c r="E928" s="18" t="n">
        <v>9</v>
      </c>
      <c r="F928" s="18" t="inlineStr">
        <is>
          <t>generation9</t>
        </is>
      </c>
      <c r="G928" s="18" t="inlineStr">
        <is>
          <t>normal</t>
        </is>
      </c>
      <c r="H928" s="18" t="inlineStr"/>
      <c r="I928" s="18" t="inlineStr">
        <is>
          <t>예</t>
        </is>
      </c>
      <c r="J928" s="18" t="inlineStr">
        <is>
          <t>예</t>
        </is>
      </c>
      <c r="K928" s="18" t="inlineStr">
        <is>
          <t>예</t>
        </is>
      </c>
      <c r="L928" s="18" t="inlineStr">
        <is>
          <t>Cobblemon 동일</t>
        </is>
      </c>
      <c r="M928" s="18">
        <f>COUNTIF('스폰_편집'!$D$5:$D$3125,A928)</f>
        <v/>
      </c>
      <c r="N928" s="18">
        <f>COUNTIFS('스폰_편집'!$D$5:$D$3125,A928,'스폰_편집'!$B$5:$B$3125,"사용")</f>
        <v/>
      </c>
      <c r="O928" s="18" t="n">
        <v>3</v>
      </c>
      <c r="P928" s="18" t="inlineStr">
        <is>
          <t>#aether:is_aether; #cobblemon:is_overworld; #cobblemon:is_temperate</t>
        </is>
      </c>
      <c r="Q928" s="18" t="inlineStr">
        <is>
          <t>common</t>
        </is>
      </c>
      <c r="R928" s="18" t="inlineStr">
        <is>
          <t>region_01; region_02</t>
        </is>
      </c>
      <c r="S928" s="18" t="inlineStr">
        <is>
          <t>cobbleventure:generation_9</t>
        </is>
      </c>
      <c r="T928" s="18">
        <f>IF(M928=0,"없음",IF(N928=0,"전부 제외","사용"))</f>
        <v/>
      </c>
      <c r="U928" s="18" t="inlineStr"/>
    </row>
    <row r="929" ht="30" customHeight="1">
      <c r="A929" s="18" t="n">
        <v>925</v>
      </c>
      <c r="B929" s="18" t="inlineStr">
        <is>
          <t>파밀리쥐</t>
        </is>
      </c>
      <c r="C929" s="18" t="inlineStr">
        <is>
          <t>maushold</t>
        </is>
      </c>
      <c r="D929" s="18" t="inlineStr">
        <is>
          <t>Maushold</t>
        </is>
      </c>
      <c r="E929" s="18" t="n">
        <v>9</v>
      </c>
      <c r="F929" s="18" t="inlineStr">
        <is>
          <t>generation9</t>
        </is>
      </c>
      <c r="G929" s="18" t="inlineStr">
        <is>
          <t>normal</t>
        </is>
      </c>
      <c r="H929" s="18" t="inlineStr"/>
      <c r="I929" s="18" t="inlineStr">
        <is>
          <t>예</t>
        </is>
      </c>
      <c r="J929" s="18" t="inlineStr">
        <is>
          <t>예</t>
        </is>
      </c>
      <c r="K929" s="18" t="inlineStr">
        <is>
          <t>예</t>
        </is>
      </c>
      <c r="L929" s="18" t="inlineStr">
        <is>
          <t>Cobblemon 동일</t>
        </is>
      </c>
      <c r="M929" s="18">
        <f>COUNTIF('스폰_편집'!$D$5:$D$3125,A929)</f>
        <v/>
      </c>
      <c r="N929" s="18">
        <f>COUNTIFS('스폰_편집'!$D$5:$D$3125,A929,'스폰_편집'!$B$5:$B$3125,"사용")</f>
        <v/>
      </c>
      <c r="O929" s="18" t="n">
        <v>3</v>
      </c>
      <c r="P929" s="18" t="inlineStr">
        <is>
          <t>#aether:is_aether; #cobblemon:is_overworld; #cobblemon:is_temperate</t>
        </is>
      </c>
      <c r="Q929" s="18" t="inlineStr">
        <is>
          <t>common</t>
        </is>
      </c>
      <c r="R929" s="18" t="inlineStr">
        <is>
          <t>region_01; region_02</t>
        </is>
      </c>
      <c r="S929" s="18" t="inlineStr">
        <is>
          <t>cobbleventure:generation_9</t>
        </is>
      </c>
      <c r="T929" s="18">
        <f>IF(M929=0,"없음",IF(N929=0,"전부 제외","사용"))</f>
        <v/>
      </c>
      <c r="U929" s="18" t="inlineStr"/>
    </row>
    <row r="930" ht="30" customHeight="1">
      <c r="A930" s="18" t="n">
        <v>926</v>
      </c>
      <c r="B930" s="18" t="inlineStr">
        <is>
          <t>쫀도기</t>
        </is>
      </c>
      <c r="C930" s="18" t="inlineStr">
        <is>
          <t>fidough</t>
        </is>
      </c>
      <c r="D930" s="18" t="inlineStr">
        <is>
          <t>Fidough</t>
        </is>
      </c>
      <c r="E930" s="18" t="n">
        <v>9</v>
      </c>
      <c r="F930" s="18" t="inlineStr">
        <is>
          <t>generation9</t>
        </is>
      </c>
      <c r="G930" s="18" t="inlineStr">
        <is>
          <t>fairy</t>
        </is>
      </c>
      <c r="H930" s="18" t="inlineStr"/>
      <c r="I930" s="18" t="inlineStr">
        <is>
          <t>예</t>
        </is>
      </c>
      <c r="J930" s="18" t="inlineStr">
        <is>
          <t>예</t>
        </is>
      </c>
      <c r="K930" s="18" t="inlineStr">
        <is>
          <t>예</t>
        </is>
      </c>
      <c r="L930" s="18" t="inlineStr">
        <is>
          <t>COBBLEVERSE 수정</t>
        </is>
      </c>
      <c r="M930" s="18">
        <f>COUNTIF('스폰_편집'!$D$5:$D$3125,A930)</f>
        <v/>
      </c>
      <c r="N930" s="18">
        <f>COUNTIFS('스폰_편집'!$D$5:$D$3125,A930,'스폰_편집'!$B$5:$B$3125,"사용")</f>
        <v/>
      </c>
      <c r="O930" s="18" t="n">
        <v>1</v>
      </c>
      <c r="P930" s="18" t="inlineStr">
        <is>
          <t>#cobblemon:is_overworld</t>
        </is>
      </c>
      <c r="Q930" s="18" t="inlineStr">
        <is>
          <t>common</t>
        </is>
      </c>
      <c r="R930" s="18" t="inlineStr">
        <is>
          <t>region_01; region_02</t>
        </is>
      </c>
      <c r="S930" s="18" t="inlineStr">
        <is>
          <t>cobbleventure:generation_9</t>
        </is>
      </c>
      <c r="T930" s="18">
        <f>IF(M930=0,"없음",IF(N930=0,"전부 제외","사용"))</f>
        <v/>
      </c>
      <c r="U930" s="18" t="inlineStr"/>
    </row>
    <row r="931" ht="30" customHeight="1">
      <c r="A931" s="18" t="n">
        <v>927</v>
      </c>
      <c r="B931" s="18" t="inlineStr">
        <is>
          <t>바우첼</t>
        </is>
      </c>
      <c r="C931" s="18" t="inlineStr">
        <is>
          <t>dachsbun</t>
        </is>
      </c>
      <c r="D931" s="18" t="inlineStr">
        <is>
          <t>Dachsbun</t>
        </is>
      </c>
      <c r="E931" s="18" t="n">
        <v>9</v>
      </c>
      <c r="F931" s="18" t="inlineStr">
        <is>
          <t>generation9</t>
        </is>
      </c>
      <c r="G931" s="18" t="inlineStr">
        <is>
          <t>fairy</t>
        </is>
      </c>
      <c r="H931" s="18" t="inlineStr"/>
      <c r="I931" s="18" t="inlineStr">
        <is>
          <t>예</t>
        </is>
      </c>
      <c r="J931" s="18" t="inlineStr">
        <is>
          <t>예</t>
        </is>
      </c>
      <c r="K931" s="18" t="inlineStr">
        <is>
          <t>예</t>
        </is>
      </c>
      <c r="L931" s="18" t="inlineStr">
        <is>
          <t>COBBLEVERSE 수정</t>
        </is>
      </c>
      <c r="M931" s="18">
        <f>COUNTIF('스폰_편집'!$D$5:$D$3125,A931)</f>
        <v/>
      </c>
      <c r="N931" s="18">
        <f>COUNTIFS('스폰_편집'!$D$5:$D$3125,A931,'스폰_편집'!$B$5:$B$3125,"사용")</f>
        <v/>
      </c>
      <c r="O931" s="18" t="n">
        <v>1</v>
      </c>
      <c r="P931" s="18" t="inlineStr">
        <is>
          <t>#cobblemon:is_overworld</t>
        </is>
      </c>
      <c r="Q931" s="18" t="inlineStr">
        <is>
          <t>common</t>
        </is>
      </c>
      <c r="R931" s="18" t="inlineStr">
        <is>
          <t>region_01; region_02</t>
        </is>
      </c>
      <c r="S931" s="18" t="inlineStr">
        <is>
          <t>cobbleventure:generation_9</t>
        </is>
      </c>
      <c r="T931" s="18">
        <f>IF(M931=0,"없음",IF(N931=0,"전부 제외","사용"))</f>
        <v/>
      </c>
      <c r="U931" s="18" t="inlineStr"/>
    </row>
    <row r="932" ht="30" customHeight="1">
      <c r="A932" s="18" t="n">
        <v>928</v>
      </c>
      <c r="B932" s="18" t="inlineStr">
        <is>
          <t>미니브</t>
        </is>
      </c>
      <c r="C932" s="18" t="inlineStr">
        <is>
          <t>smoliv</t>
        </is>
      </c>
      <c r="D932" s="18" t="inlineStr">
        <is>
          <t>Smoliv</t>
        </is>
      </c>
      <c r="E932" s="18" t="n">
        <v>9</v>
      </c>
      <c r="F932" s="18" t="inlineStr">
        <is>
          <t>generation9</t>
        </is>
      </c>
      <c r="G932" s="18" t="inlineStr">
        <is>
          <t>grass</t>
        </is>
      </c>
      <c r="H932" s="18" t="inlineStr">
        <is>
          <t>normal</t>
        </is>
      </c>
      <c r="I932" s="18" t="inlineStr">
        <is>
          <t>예</t>
        </is>
      </c>
      <c r="J932" s="18" t="inlineStr">
        <is>
          <t>예</t>
        </is>
      </c>
      <c r="K932" s="18" t="inlineStr">
        <is>
          <t>예</t>
        </is>
      </c>
      <c r="L932" s="18" t="inlineStr">
        <is>
          <t>COBBLEVERSE 수정</t>
        </is>
      </c>
      <c r="M932" s="18">
        <f>COUNTIF('스폰_편집'!$D$5:$D$3125,A932)</f>
        <v/>
      </c>
      <c r="N932" s="18">
        <f>COUNTIFS('스폰_편집'!$D$5:$D$3125,A932,'스폰_편집'!$B$5:$B$3125,"사용")</f>
        <v/>
      </c>
      <c r="O932" s="18" t="n">
        <v>1</v>
      </c>
      <c r="P932" s="18" t="inlineStr">
        <is>
          <t>#cobblemon:is_grassland</t>
        </is>
      </c>
      <c r="Q932" s="18" t="inlineStr">
        <is>
          <t>uncommon</t>
        </is>
      </c>
      <c r="R932" s="18" t="inlineStr">
        <is>
          <t>region_01</t>
        </is>
      </c>
      <c r="S932" s="18" t="inlineStr">
        <is>
          <t>cobbleventure:generation_9</t>
        </is>
      </c>
      <c r="T932" s="18">
        <f>IF(M932=0,"없음",IF(N932=0,"전부 제외","사용"))</f>
        <v/>
      </c>
      <c r="U932" s="18" t="inlineStr"/>
    </row>
    <row r="933" ht="30" customHeight="1">
      <c r="A933" s="18" t="n">
        <v>929</v>
      </c>
      <c r="B933" s="18" t="inlineStr">
        <is>
          <t>올리뇨</t>
        </is>
      </c>
      <c r="C933" s="18" t="inlineStr">
        <is>
          <t>dolliv</t>
        </is>
      </c>
      <c r="D933" s="18" t="inlineStr">
        <is>
          <t>Dolliv</t>
        </is>
      </c>
      <c r="E933" s="18" t="n">
        <v>9</v>
      </c>
      <c r="F933" s="18" t="inlineStr">
        <is>
          <t>generation9</t>
        </is>
      </c>
      <c r="G933" s="18" t="inlineStr">
        <is>
          <t>grass</t>
        </is>
      </c>
      <c r="H933" s="18" t="inlineStr">
        <is>
          <t>normal</t>
        </is>
      </c>
      <c r="I933" s="18" t="inlineStr">
        <is>
          <t>예</t>
        </is>
      </c>
      <c r="J933" s="18" t="inlineStr">
        <is>
          <t>예</t>
        </is>
      </c>
      <c r="K933" s="18" t="inlineStr">
        <is>
          <t>예</t>
        </is>
      </c>
      <c r="L933" s="18" t="inlineStr">
        <is>
          <t>COBBLEVERSE 수정</t>
        </is>
      </c>
      <c r="M933" s="18">
        <f>COUNTIF('스폰_편집'!$D$5:$D$3125,A933)</f>
        <v/>
      </c>
      <c r="N933" s="18">
        <f>COUNTIFS('스폰_편집'!$D$5:$D$3125,A933,'스폰_편집'!$B$5:$B$3125,"사용")</f>
        <v/>
      </c>
      <c r="O933" s="18" t="n">
        <v>1</v>
      </c>
      <c r="P933" s="18" t="inlineStr">
        <is>
          <t>#cobblemon:is_grassland</t>
        </is>
      </c>
      <c r="Q933" s="18" t="inlineStr">
        <is>
          <t>uncommon</t>
        </is>
      </c>
      <c r="R933" s="18" t="inlineStr">
        <is>
          <t>region_01</t>
        </is>
      </c>
      <c r="S933" s="18" t="inlineStr">
        <is>
          <t>cobbleventure:generation_9</t>
        </is>
      </c>
      <c r="T933" s="18">
        <f>IF(M933=0,"없음",IF(N933=0,"전부 제외","사용"))</f>
        <v/>
      </c>
      <c r="U933" s="18" t="inlineStr"/>
    </row>
    <row r="934" ht="30" customHeight="1">
      <c r="A934" s="18" t="n">
        <v>930</v>
      </c>
      <c r="B934" s="18" t="inlineStr">
        <is>
          <t>올리르바</t>
        </is>
      </c>
      <c r="C934" s="18" t="inlineStr">
        <is>
          <t>arboliva</t>
        </is>
      </c>
      <c r="D934" s="18" t="inlineStr">
        <is>
          <t>Arboliva</t>
        </is>
      </c>
      <c r="E934" s="18" t="n">
        <v>9</v>
      </c>
      <c r="F934" s="18" t="inlineStr">
        <is>
          <t>generation9</t>
        </is>
      </c>
      <c r="G934" s="18" t="inlineStr">
        <is>
          <t>grass</t>
        </is>
      </c>
      <c r="H934" s="18" t="inlineStr">
        <is>
          <t>normal</t>
        </is>
      </c>
      <c r="I934" s="18" t="inlineStr">
        <is>
          <t>예</t>
        </is>
      </c>
      <c r="J934" s="18" t="inlineStr">
        <is>
          <t>예</t>
        </is>
      </c>
      <c r="K934" s="18" t="inlineStr">
        <is>
          <t>예</t>
        </is>
      </c>
      <c r="L934" s="18" t="inlineStr">
        <is>
          <t>COBBLEVERSE 수정</t>
        </is>
      </c>
      <c r="M934" s="18">
        <f>COUNTIF('스폰_편집'!$D$5:$D$3125,A934)</f>
        <v/>
      </c>
      <c r="N934" s="18">
        <f>COUNTIFS('스폰_편집'!$D$5:$D$3125,A934,'스폰_편집'!$B$5:$B$3125,"사용")</f>
        <v/>
      </c>
      <c r="O934" s="18" t="n">
        <v>1</v>
      </c>
      <c r="P934" s="18" t="inlineStr">
        <is>
          <t>#cobblemon:is_grassland</t>
        </is>
      </c>
      <c r="Q934" s="18" t="inlineStr">
        <is>
          <t>uncommon</t>
        </is>
      </c>
      <c r="R934" s="18" t="inlineStr">
        <is>
          <t>region_01</t>
        </is>
      </c>
      <c r="S934" s="18" t="inlineStr">
        <is>
          <t>cobbleventure:generation_9</t>
        </is>
      </c>
      <c r="T934" s="18">
        <f>IF(M934=0,"없음",IF(N934=0,"전부 제외","사용"))</f>
        <v/>
      </c>
      <c r="U934" s="18" t="inlineStr"/>
    </row>
    <row r="935" ht="30" customHeight="1">
      <c r="A935" s="18" t="n">
        <v>931</v>
      </c>
      <c r="B935" s="18" t="inlineStr">
        <is>
          <t>시비꼬</t>
        </is>
      </c>
      <c r="C935" s="18" t="inlineStr">
        <is>
          <t>squawkabilly</t>
        </is>
      </c>
      <c r="D935" s="18" t="inlineStr">
        <is>
          <t>Squawkabilly</t>
        </is>
      </c>
      <c r="E935" s="18" t="n">
        <v>9</v>
      </c>
      <c r="F935" s="18" t="inlineStr">
        <is>
          <t>generation9</t>
        </is>
      </c>
      <c r="G935" s="18" t="inlineStr">
        <is>
          <t>normal</t>
        </is>
      </c>
      <c r="H935" s="18" t="inlineStr">
        <is>
          <t>flying</t>
        </is>
      </c>
      <c r="I935" s="18" t="inlineStr">
        <is>
          <t>예</t>
        </is>
      </c>
      <c r="J935" s="18" t="inlineStr">
        <is>
          <t>예</t>
        </is>
      </c>
      <c r="K935" s="18" t="inlineStr">
        <is>
          <t>예</t>
        </is>
      </c>
      <c r="L935" s="18" t="inlineStr">
        <is>
          <t>Cobblemon 동일</t>
        </is>
      </c>
      <c r="M935" s="18">
        <f>COUNTIF('스폰_편집'!$D$5:$D$3125,A935)</f>
        <v/>
      </c>
      <c r="N935" s="18">
        <f>COUNTIFS('스폰_편집'!$D$5:$D$3125,A935,'스폰_편집'!$B$5:$B$3125,"사용")</f>
        <v/>
      </c>
      <c r="O935" s="18" t="n">
        <v>5</v>
      </c>
      <c r="P935" s="18" t="inlineStr">
        <is>
          <t>#cobblemon:is_jungle; #cobblemon:is_overworld; #cobblemon:is_savanna; #cobblemon:is_sky; #cobblemon:is_tropical_island</t>
        </is>
      </c>
      <c r="Q935" s="18" t="inlineStr">
        <is>
          <t>common</t>
        </is>
      </c>
      <c r="R935" s="18" t="inlineStr">
        <is>
          <t>region_01</t>
        </is>
      </c>
      <c r="S935" s="18" t="inlineStr">
        <is>
          <t>cobbleventure:generation_9</t>
        </is>
      </c>
      <c r="T935" s="18">
        <f>IF(M935=0,"없음",IF(N935=0,"전부 제외","사용"))</f>
        <v/>
      </c>
      <c r="U935" s="18" t="inlineStr"/>
    </row>
    <row r="936" ht="30" customHeight="1">
      <c r="A936" s="18" t="n">
        <v>932</v>
      </c>
      <c r="B936" s="18" t="inlineStr">
        <is>
          <t>베베솔트</t>
        </is>
      </c>
      <c r="C936" s="18" t="inlineStr">
        <is>
          <t>nacli</t>
        </is>
      </c>
      <c r="D936" s="18" t="inlineStr">
        <is>
          <t>Nacli</t>
        </is>
      </c>
      <c r="E936" s="18" t="n">
        <v>9</v>
      </c>
      <c r="F936" s="18" t="inlineStr">
        <is>
          <t>generation9</t>
        </is>
      </c>
      <c r="G936" s="18" t="inlineStr">
        <is>
          <t>rock</t>
        </is>
      </c>
      <c r="H936" s="18" t="inlineStr"/>
      <c r="I936" s="18" t="inlineStr">
        <is>
          <t>예</t>
        </is>
      </c>
      <c r="J936" s="18" t="inlineStr">
        <is>
          <t>예</t>
        </is>
      </c>
      <c r="K936" s="18" t="inlineStr">
        <is>
          <t>예</t>
        </is>
      </c>
      <c r="L936" s="18" t="inlineStr">
        <is>
          <t>Cobblemon 동일</t>
        </is>
      </c>
      <c r="M936" s="18">
        <f>COUNTIF('스폰_편집'!$D$5:$D$3125,A936)</f>
        <v/>
      </c>
      <c r="N936" s="18">
        <f>COUNTIFS('스폰_편집'!$D$5:$D$3125,A936,'스폰_편집'!$B$5:$B$3125,"사용")</f>
        <v/>
      </c>
      <c r="O936" s="18" t="n">
        <v>2</v>
      </c>
      <c r="P936" s="18" t="inlineStr">
        <is>
          <t>#cobblemon:is_badlands; #cobblemon:nether/is_quartz</t>
        </is>
      </c>
      <c r="Q936" s="18" t="inlineStr">
        <is>
          <t>common</t>
        </is>
      </c>
      <c r="R936" s="18" t="inlineStr">
        <is>
          <t>region_01; region_02</t>
        </is>
      </c>
      <c r="S936" s="18" t="inlineStr">
        <is>
          <t>cobbleventure:generation_9</t>
        </is>
      </c>
      <c r="T936" s="18">
        <f>IF(M936=0,"없음",IF(N936=0,"전부 제외","사용"))</f>
        <v/>
      </c>
      <c r="U936" s="18" t="inlineStr"/>
    </row>
    <row r="937" ht="30" customHeight="1">
      <c r="A937" s="18" t="n">
        <v>933</v>
      </c>
      <c r="B937" s="18" t="inlineStr">
        <is>
          <t>스태솔트</t>
        </is>
      </c>
      <c r="C937" s="18" t="inlineStr">
        <is>
          <t>naclstack</t>
        </is>
      </c>
      <c r="D937" s="18" t="inlineStr">
        <is>
          <t>Naclstack</t>
        </is>
      </c>
      <c r="E937" s="18" t="n">
        <v>9</v>
      </c>
      <c r="F937" s="18" t="inlineStr">
        <is>
          <t>generation9</t>
        </is>
      </c>
      <c r="G937" s="18" t="inlineStr">
        <is>
          <t>rock</t>
        </is>
      </c>
      <c r="H937" s="18" t="inlineStr"/>
      <c r="I937" s="18" t="inlineStr">
        <is>
          <t>예</t>
        </is>
      </c>
      <c r="J937" s="18" t="inlineStr">
        <is>
          <t>예</t>
        </is>
      </c>
      <c r="K937" s="18" t="inlineStr">
        <is>
          <t>예</t>
        </is>
      </c>
      <c r="L937" s="18" t="inlineStr">
        <is>
          <t>Cobblemon 동일</t>
        </is>
      </c>
      <c r="M937" s="18">
        <f>COUNTIF('스폰_편집'!$D$5:$D$3125,A937)</f>
        <v/>
      </c>
      <c r="N937" s="18">
        <f>COUNTIFS('스폰_편집'!$D$5:$D$3125,A937,'스폰_편집'!$B$5:$B$3125,"사용")</f>
        <v/>
      </c>
      <c r="O937" s="18" t="n">
        <v>2</v>
      </c>
      <c r="P937" s="18" t="inlineStr">
        <is>
          <t>#cobblemon:is_badlands; #cobblemon:nether/is_quartz</t>
        </is>
      </c>
      <c r="Q937" s="18" t="inlineStr">
        <is>
          <t>common</t>
        </is>
      </c>
      <c r="R937" s="18" t="inlineStr">
        <is>
          <t>region_01; region_02</t>
        </is>
      </c>
      <c r="S937" s="18" t="inlineStr">
        <is>
          <t>cobbleventure:generation_9</t>
        </is>
      </c>
      <c r="T937" s="18">
        <f>IF(M937=0,"없음",IF(N937=0,"전부 제외","사용"))</f>
        <v/>
      </c>
      <c r="U937" s="18" t="inlineStr"/>
    </row>
    <row r="938" ht="30" customHeight="1">
      <c r="A938" s="18" t="n">
        <v>934</v>
      </c>
      <c r="B938" s="18" t="inlineStr">
        <is>
          <t>콜로솔트</t>
        </is>
      </c>
      <c r="C938" s="18" t="inlineStr">
        <is>
          <t>garganacl</t>
        </is>
      </c>
      <c r="D938" s="18" t="inlineStr">
        <is>
          <t>Garganacl</t>
        </is>
      </c>
      <c r="E938" s="18" t="n">
        <v>9</v>
      </c>
      <c r="F938" s="18" t="inlineStr">
        <is>
          <t>generation9</t>
        </is>
      </c>
      <c r="G938" s="18" t="inlineStr">
        <is>
          <t>rock</t>
        </is>
      </c>
      <c r="H938" s="18" t="inlineStr"/>
      <c r="I938" s="18" t="inlineStr">
        <is>
          <t>예</t>
        </is>
      </c>
      <c r="J938" s="18" t="inlineStr">
        <is>
          <t>예</t>
        </is>
      </c>
      <c r="K938" s="18" t="inlineStr">
        <is>
          <t>예</t>
        </is>
      </c>
      <c r="L938" s="18" t="inlineStr">
        <is>
          <t>Cobblemon 동일</t>
        </is>
      </c>
      <c r="M938" s="18">
        <f>COUNTIF('스폰_편집'!$D$5:$D$3125,A938)</f>
        <v/>
      </c>
      <c r="N938" s="18">
        <f>COUNTIFS('스폰_편집'!$D$5:$D$3125,A938,'스폰_편집'!$B$5:$B$3125,"사용")</f>
        <v/>
      </c>
      <c r="O938" s="18" t="n">
        <v>2</v>
      </c>
      <c r="P938" s="18" t="inlineStr">
        <is>
          <t>#cobblemon:is_badlands; #cobblemon:nether/is_quartz</t>
        </is>
      </c>
      <c r="Q938" s="18" t="inlineStr">
        <is>
          <t>common</t>
        </is>
      </c>
      <c r="R938" s="18" t="inlineStr">
        <is>
          <t>region_01; region_02</t>
        </is>
      </c>
      <c r="S938" s="18" t="inlineStr">
        <is>
          <t>cobbleventure:generation_9</t>
        </is>
      </c>
      <c r="T938" s="18">
        <f>IF(M938=0,"없음",IF(N938=0,"전부 제외","사용"))</f>
        <v/>
      </c>
      <c r="U938" s="18" t="inlineStr"/>
    </row>
    <row r="939" ht="30" customHeight="1">
      <c r="A939" s="18" t="n">
        <v>935</v>
      </c>
      <c r="B939" s="18" t="inlineStr">
        <is>
          <t>카르본</t>
        </is>
      </c>
      <c r="C939" s="18" t="inlineStr">
        <is>
          <t>charcadet</t>
        </is>
      </c>
      <c r="D939" s="18" t="inlineStr">
        <is>
          <t>Charcadet</t>
        </is>
      </c>
      <c r="E939" s="18" t="n">
        <v>9</v>
      </c>
      <c r="F939" s="18" t="inlineStr">
        <is>
          <t>generation9</t>
        </is>
      </c>
      <c r="G939" s="18" t="inlineStr">
        <is>
          <t>fire</t>
        </is>
      </c>
      <c r="H939" s="18" t="inlineStr"/>
      <c r="I939" s="18" t="inlineStr">
        <is>
          <t>예</t>
        </is>
      </c>
      <c r="J939" s="18" t="inlineStr">
        <is>
          <t>예</t>
        </is>
      </c>
      <c r="K939" s="18" t="inlineStr">
        <is>
          <t>예</t>
        </is>
      </c>
      <c r="L939" s="18" t="inlineStr">
        <is>
          <t>COBBLEVERSE 수정</t>
        </is>
      </c>
      <c r="M939" s="18">
        <f>COUNTIF('스폰_편집'!$D$5:$D$3125,A939)</f>
        <v/>
      </c>
      <c r="N939" s="18">
        <f>COUNTIFS('스폰_편집'!$D$5:$D$3125,A939,'스폰_편집'!$B$5:$B$3125,"사용")</f>
        <v/>
      </c>
      <c r="O939" s="18" t="n">
        <v>3</v>
      </c>
      <c r="P939" s="18" t="inlineStr">
        <is>
          <t>#aether:is_aether; #cobblemon:is_overworld; #minecraft:is_nether</t>
        </is>
      </c>
      <c r="Q939" s="18" t="inlineStr">
        <is>
          <t>uncommon</t>
        </is>
      </c>
      <c r="R939" s="18" t="inlineStr">
        <is>
          <t>region_01; region_02</t>
        </is>
      </c>
      <c r="S939" s="18" t="inlineStr">
        <is>
          <t>cobbleventure:generation_9</t>
        </is>
      </c>
      <c r="T939" s="18">
        <f>IF(M939=0,"없음",IF(N939=0,"전부 제외","사용"))</f>
        <v/>
      </c>
      <c r="U939" s="18" t="inlineStr"/>
    </row>
    <row r="940" ht="30" customHeight="1">
      <c r="A940" s="18" t="n">
        <v>936</v>
      </c>
      <c r="B940" s="18" t="inlineStr">
        <is>
          <t>카디나르마</t>
        </is>
      </c>
      <c r="C940" s="18" t="inlineStr">
        <is>
          <t>armarouge</t>
        </is>
      </c>
      <c r="D940" s="18" t="inlineStr">
        <is>
          <t>Armarouge</t>
        </is>
      </c>
      <c r="E940" s="18" t="n">
        <v>9</v>
      </c>
      <c r="F940" s="18" t="inlineStr">
        <is>
          <t>generation9</t>
        </is>
      </c>
      <c r="G940" s="18" t="inlineStr">
        <is>
          <t>fire</t>
        </is>
      </c>
      <c r="H940" s="18" t="inlineStr">
        <is>
          <t>psychic</t>
        </is>
      </c>
      <c r="I940" s="18" t="inlineStr">
        <is>
          <t>예</t>
        </is>
      </c>
      <c r="J940" s="18" t="inlineStr">
        <is>
          <t>예</t>
        </is>
      </c>
      <c r="K940" s="18" t="inlineStr">
        <is>
          <t>예</t>
        </is>
      </c>
      <c r="L940" s="18" t="inlineStr">
        <is>
          <t>COBBLEVERSE 수정</t>
        </is>
      </c>
      <c r="M940" s="18">
        <f>COUNTIF('스폰_편집'!$D$5:$D$3125,A940)</f>
        <v/>
      </c>
      <c r="N940" s="18">
        <f>COUNTIFS('스폰_편집'!$D$5:$D$3125,A940,'스폰_편집'!$B$5:$B$3125,"사용")</f>
        <v/>
      </c>
      <c r="O940" s="18" t="n">
        <v>3</v>
      </c>
      <c r="P940" s="18" t="inlineStr">
        <is>
          <t>#aether:is_aether; #cobblemon:is_overworld; #minecraft:is_nether</t>
        </is>
      </c>
      <c r="Q940" s="18" t="inlineStr">
        <is>
          <t>rare; uncommon</t>
        </is>
      </c>
      <c r="R940" s="18" t="inlineStr">
        <is>
          <t>region_01; region_02</t>
        </is>
      </c>
      <c r="S940" s="18" t="inlineStr">
        <is>
          <t>cobbleventure:generation_9</t>
        </is>
      </c>
      <c r="T940" s="18">
        <f>IF(M940=0,"없음",IF(N940=0,"전부 제외","사용"))</f>
        <v/>
      </c>
      <c r="U940" s="18" t="inlineStr"/>
    </row>
    <row r="941" ht="30" customHeight="1">
      <c r="A941" s="18" t="n">
        <v>937</v>
      </c>
      <c r="B941" s="18" t="inlineStr">
        <is>
          <t>파라블레이즈</t>
        </is>
      </c>
      <c r="C941" s="18" t="inlineStr">
        <is>
          <t>ceruledge</t>
        </is>
      </c>
      <c r="D941" s="18" t="inlineStr">
        <is>
          <t>Ceruledge</t>
        </is>
      </c>
      <c r="E941" s="18" t="n">
        <v>9</v>
      </c>
      <c r="F941" s="18" t="inlineStr">
        <is>
          <t>generation9</t>
        </is>
      </c>
      <c r="G941" s="18" t="inlineStr">
        <is>
          <t>fire</t>
        </is>
      </c>
      <c r="H941" s="18" t="inlineStr">
        <is>
          <t>ghost</t>
        </is>
      </c>
      <c r="I941" s="18" t="inlineStr">
        <is>
          <t>예</t>
        </is>
      </c>
      <c r="J941" s="18" t="inlineStr">
        <is>
          <t>예</t>
        </is>
      </c>
      <c r="K941" s="18" t="inlineStr">
        <is>
          <t>예</t>
        </is>
      </c>
      <c r="L941" s="18" t="inlineStr">
        <is>
          <t>COBBLEVERSE 수정</t>
        </is>
      </c>
      <c r="M941" s="18">
        <f>COUNTIF('스폰_편집'!$D$5:$D$3125,A941)</f>
        <v/>
      </c>
      <c r="N941" s="18">
        <f>COUNTIFS('스폰_편집'!$D$5:$D$3125,A941,'스폰_편집'!$B$5:$B$3125,"사용")</f>
        <v/>
      </c>
      <c r="O941" s="18" t="n">
        <v>3</v>
      </c>
      <c r="P941" s="18" t="inlineStr">
        <is>
          <t>#aether:is_aether; #cobblemon:is_overworld; #minecraft:is_nether</t>
        </is>
      </c>
      <c r="Q941" s="18" t="inlineStr">
        <is>
          <t>uncommon</t>
        </is>
      </c>
      <c r="R941" s="18" t="inlineStr">
        <is>
          <t>region_01; region_02</t>
        </is>
      </c>
      <c r="S941" s="18" t="inlineStr">
        <is>
          <t>cobbleventure:generation_9</t>
        </is>
      </c>
      <c r="T941" s="18">
        <f>IF(M941=0,"없음",IF(N941=0,"전부 제외","사용"))</f>
        <v/>
      </c>
      <c r="U941" s="18" t="inlineStr"/>
    </row>
    <row r="942" ht="30" customHeight="1">
      <c r="A942" s="18" t="n">
        <v>938</v>
      </c>
      <c r="B942" s="18" t="inlineStr">
        <is>
          <t>빈나두</t>
        </is>
      </c>
      <c r="C942" s="18" t="inlineStr">
        <is>
          <t>tadbulb</t>
        </is>
      </c>
      <c r="D942" s="18" t="inlineStr">
        <is>
          <t>Tadbulb</t>
        </is>
      </c>
      <c r="E942" s="18" t="n">
        <v>9</v>
      </c>
      <c r="F942" s="18" t="inlineStr">
        <is>
          <t>generation9</t>
        </is>
      </c>
      <c r="G942" s="18" t="inlineStr">
        <is>
          <t>electric</t>
        </is>
      </c>
      <c r="H942" s="18" t="inlineStr"/>
      <c r="I942" s="18" t="inlineStr">
        <is>
          <t>예</t>
        </is>
      </c>
      <c r="J942" s="18" t="inlineStr">
        <is>
          <t>예</t>
        </is>
      </c>
      <c r="K942" s="18" t="inlineStr">
        <is>
          <t>예</t>
        </is>
      </c>
      <c r="L942" s="18" t="inlineStr">
        <is>
          <t>COBBLEVERSE 수정</t>
        </is>
      </c>
      <c r="M942" s="18">
        <f>COUNTIF('스폰_편집'!$D$5:$D$3125,A942)</f>
        <v/>
      </c>
      <c r="N942" s="18">
        <f>COUNTIFS('스폰_편집'!$D$5:$D$3125,A942,'스폰_편집'!$B$5:$B$3125,"사용")</f>
        <v/>
      </c>
      <c r="O942" s="18" t="n">
        <v>2</v>
      </c>
      <c r="P942" s="18" t="inlineStr">
        <is>
          <t>#cobblemon:is_freshwater; #cobblemon:is_river</t>
        </is>
      </c>
      <c r="Q942" s="18" t="inlineStr">
        <is>
          <t>common</t>
        </is>
      </c>
      <c r="R942" s="18" t="inlineStr">
        <is>
          <t>region_02</t>
        </is>
      </c>
      <c r="S942" s="18" t="inlineStr">
        <is>
          <t>cobbleventure:generation_9</t>
        </is>
      </c>
      <c r="T942" s="18">
        <f>IF(M942=0,"없음",IF(N942=0,"전부 제외","사용"))</f>
        <v/>
      </c>
      <c r="U942" s="18" t="inlineStr"/>
    </row>
    <row r="943" ht="30" customHeight="1">
      <c r="A943" s="18" t="n">
        <v>939</v>
      </c>
      <c r="B943" s="18" t="inlineStr">
        <is>
          <t>찌리배리</t>
        </is>
      </c>
      <c r="C943" s="18" t="inlineStr">
        <is>
          <t>bellibolt</t>
        </is>
      </c>
      <c r="D943" s="18" t="inlineStr">
        <is>
          <t>Bellibolt</t>
        </is>
      </c>
      <c r="E943" s="18" t="n">
        <v>9</v>
      </c>
      <c r="F943" s="18" t="inlineStr">
        <is>
          <t>generation9</t>
        </is>
      </c>
      <c r="G943" s="18" t="inlineStr">
        <is>
          <t>electric</t>
        </is>
      </c>
      <c r="H943" s="18" t="inlineStr"/>
      <c r="I943" s="18" t="inlineStr">
        <is>
          <t>예</t>
        </is>
      </c>
      <c r="J943" s="18" t="inlineStr">
        <is>
          <t>예</t>
        </is>
      </c>
      <c r="K943" s="18" t="inlineStr">
        <is>
          <t>예</t>
        </is>
      </c>
      <c r="L943" s="18" t="inlineStr">
        <is>
          <t>COBBLEVERSE 수정</t>
        </is>
      </c>
      <c r="M943" s="18">
        <f>COUNTIF('스폰_편집'!$D$5:$D$3125,A943)</f>
        <v/>
      </c>
      <c r="N943" s="18">
        <f>COUNTIFS('스폰_편집'!$D$5:$D$3125,A943,'스폰_편집'!$B$5:$B$3125,"사용")</f>
        <v/>
      </c>
      <c r="O943" s="18" t="n">
        <v>2</v>
      </c>
      <c r="P943" s="18" t="inlineStr">
        <is>
          <t>#cobblemon:is_freshwater; #cobblemon:is_savanna</t>
        </is>
      </c>
      <c r="Q943" s="18" t="inlineStr">
        <is>
          <t>common</t>
        </is>
      </c>
      <c r="R943" s="18" t="inlineStr">
        <is>
          <t>region_02</t>
        </is>
      </c>
      <c r="S943" s="18" t="inlineStr">
        <is>
          <t>cobbleventure:generation_9</t>
        </is>
      </c>
      <c r="T943" s="18">
        <f>IF(M943=0,"없음",IF(N943=0,"전부 제외","사용"))</f>
        <v/>
      </c>
      <c r="U943" s="18" t="inlineStr"/>
    </row>
    <row r="944" ht="30" customHeight="1">
      <c r="A944" s="18" t="n">
        <v>940</v>
      </c>
      <c r="B944" s="18" t="inlineStr">
        <is>
          <t>찌리비</t>
        </is>
      </c>
      <c r="C944" s="18" t="inlineStr">
        <is>
          <t>wattrel</t>
        </is>
      </c>
      <c r="D944" s="18" t="inlineStr">
        <is>
          <t>Wattrel</t>
        </is>
      </c>
      <c r="E944" s="18" t="n">
        <v>9</v>
      </c>
      <c r="F944" s="18" t="inlineStr">
        <is>
          <t>generation9</t>
        </is>
      </c>
      <c r="G944" s="18" t="inlineStr">
        <is>
          <t>electric</t>
        </is>
      </c>
      <c r="H944" s="18" t="inlineStr">
        <is>
          <t>flying</t>
        </is>
      </c>
      <c r="I944" s="18" t="inlineStr">
        <is>
          <t>예</t>
        </is>
      </c>
      <c r="J944" s="18" t="inlineStr">
        <is>
          <t>예</t>
        </is>
      </c>
      <c r="K944" s="18" t="inlineStr">
        <is>
          <t>예</t>
        </is>
      </c>
      <c r="L944" s="18" t="inlineStr">
        <is>
          <t>COBBLEVERSE 수정</t>
        </is>
      </c>
      <c r="M944" s="18">
        <f>COUNTIF('스폰_편집'!$D$5:$D$3125,A944)</f>
        <v/>
      </c>
      <c r="N944" s="18">
        <f>COUNTIFS('스폰_편집'!$D$5:$D$3125,A944,'스폰_편집'!$B$5:$B$3125,"사용")</f>
        <v/>
      </c>
      <c r="O944" s="18" t="n">
        <v>4</v>
      </c>
      <c r="P944" s="18" t="inlineStr">
        <is>
          <t>#cobblemon:is_coast; #cobblemon:is_island; #cobblemon:is_ocean; #cobblemon:is_sky</t>
        </is>
      </c>
      <c r="Q944" s="18" t="inlineStr">
        <is>
          <t>common; uncommon</t>
        </is>
      </c>
      <c r="R944" s="18" t="inlineStr"/>
      <c r="S944" s="18" t="inlineStr">
        <is>
          <t>cobbleventure:generation_9</t>
        </is>
      </c>
      <c r="T944" s="18">
        <f>IF(M944=0,"없음",IF(N944=0,"전부 제외","사용"))</f>
        <v/>
      </c>
      <c r="U944" s="18" t="inlineStr"/>
    </row>
    <row r="945" ht="30" customHeight="1">
      <c r="A945" s="18" t="n">
        <v>941</v>
      </c>
      <c r="B945" s="18" t="inlineStr">
        <is>
          <t>찌리비크</t>
        </is>
      </c>
      <c r="C945" s="18" t="inlineStr">
        <is>
          <t>kilowattrel</t>
        </is>
      </c>
      <c r="D945" s="18" t="inlineStr">
        <is>
          <t>Kilowattrel</t>
        </is>
      </c>
      <c r="E945" s="18" t="n">
        <v>9</v>
      </c>
      <c r="F945" s="18" t="inlineStr">
        <is>
          <t>generation9</t>
        </is>
      </c>
      <c r="G945" s="18" t="inlineStr">
        <is>
          <t>electric</t>
        </is>
      </c>
      <c r="H945" s="18" t="inlineStr">
        <is>
          <t>flying</t>
        </is>
      </c>
      <c r="I945" s="18" t="inlineStr">
        <is>
          <t>예</t>
        </is>
      </c>
      <c r="J945" s="18" t="inlineStr">
        <is>
          <t>예</t>
        </is>
      </c>
      <c r="K945" s="18" t="inlineStr">
        <is>
          <t>예</t>
        </is>
      </c>
      <c r="L945" s="18" t="inlineStr">
        <is>
          <t>COBBLEVERSE 수정</t>
        </is>
      </c>
      <c r="M945" s="18">
        <f>COUNTIF('스폰_편집'!$D$5:$D$3125,A945)</f>
        <v/>
      </c>
      <c r="N945" s="18">
        <f>COUNTIFS('스폰_편집'!$D$5:$D$3125,A945,'스폰_편집'!$B$5:$B$3125,"사용")</f>
        <v/>
      </c>
      <c r="O945" s="18" t="n">
        <v>4</v>
      </c>
      <c r="P945" s="18" t="inlineStr">
        <is>
          <t>#cobblemon:is_coast; #cobblemon:is_island; #cobblemon:is_ocean; #cobblemon:is_sky</t>
        </is>
      </c>
      <c r="Q945" s="18" t="inlineStr">
        <is>
          <t>common; uncommon</t>
        </is>
      </c>
      <c r="R945" s="18" t="inlineStr"/>
      <c r="S945" s="18" t="inlineStr">
        <is>
          <t>cobbleventure:generation_9</t>
        </is>
      </c>
      <c r="T945" s="18">
        <f>IF(M945=0,"없음",IF(N945=0,"전부 제외","사용"))</f>
        <v/>
      </c>
      <c r="U945" s="18" t="inlineStr"/>
    </row>
    <row r="946" ht="30" customHeight="1">
      <c r="A946" s="18" t="n">
        <v>942</v>
      </c>
      <c r="B946" s="18" t="inlineStr">
        <is>
          <t>오라티프</t>
        </is>
      </c>
      <c r="C946" s="18" t="inlineStr">
        <is>
          <t>maschiff</t>
        </is>
      </c>
      <c r="D946" s="18" t="inlineStr">
        <is>
          <t>Maschiff</t>
        </is>
      </c>
      <c r="E946" s="18" t="n">
        <v>9</v>
      </c>
      <c r="F946" s="18" t="inlineStr">
        <is>
          <t>generation9</t>
        </is>
      </c>
      <c r="G946" s="18" t="inlineStr">
        <is>
          <t>dark</t>
        </is>
      </c>
      <c r="H946" s="18" t="inlineStr"/>
      <c r="I946" s="18" t="inlineStr">
        <is>
          <t>예</t>
        </is>
      </c>
      <c r="J946" s="18" t="inlineStr">
        <is>
          <t>예</t>
        </is>
      </c>
      <c r="K946" s="18" t="inlineStr">
        <is>
          <t>예</t>
        </is>
      </c>
      <c r="L946" s="18" t="inlineStr">
        <is>
          <t>COBBLEVERSE 수정</t>
        </is>
      </c>
      <c r="M946" s="18">
        <f>COUNTIF('스폰_편집'!$D$5:$D$3125,A946)</f>
        <v/>
      </c>
      <c r="N946" s="18">
        <f>COUNTIFS('스폰_편집'!$D$5:$D$3125,A946,'스폰_편집'!$B$5:$B$3125,"사용")</f>
        <v/>
      </c>
      <c r="O946" s="18" t="n">
        <v>1</v>
      </c>
      <c r="P946" s="18" t="inlineStr">
        <is>
          <t>#cobblemon:is_overworld</t>
        </is>
      </c>
      <c r="Q946" s="18" t="inlineStr">
        <is>
          <t>common</t>
        </is>
      </c>
      <c r="R946" s="18" t="inlineStr">
        <is>
          <t>region_01; region_02</t>
        </is>
      </c>
      <c r="S946" s="18" t="inlineStr">
        <is>
          <t>cobbleventure:generation_9</t>
        </is>
      </c>
      <c r="T946" s="18">
        <f>IF(M946=0,"없음",IF(N946=0,"전부 제외","사용"))</f>
        <v/>
      </c>
      <c r="U946" s="18" t="inlineStr"/>
    </row>
    <row r="947" ht="30" customHeight="1">
      <c r="A947" s="18" t="n">
        <v>943</v>
      </c>
      <c r="B947" s="18" t="inlineStr">
        <is>
          <t>마피티프</t>
        </is>
      </c>
      <c r="C947" s="18" t="inlineStr">
        <is>
          <t>mabosstiff</t>
        </is>
      </c>
      <c r="D947" s="18" t="inlineStr">
        <is>
          <t>Mabosstiff</t>
        </is>
      </c>
      <c r="E947" s="18" t="n">
        <v>9</v>
      </c>
      <c r="F947" s="18" t="inlineStr">
        <is>
          <t>generation9</t>
        </is>
      </c>
      <c r="G947" s="18" t="inlineStr">
        <is>
          <t>dark</t>
        </is>
      </c>
      <c r="H947" s="18" t="inlineStr"/>
      <c r="I947" s="18" t="inlineStr">
        <is>
          <t>예</t>
        </is>
      </c>
      <c r="J947" s="18" t="inlineStr">
        <is>
          <t>예</t>
        </is>
      </c>
      <c r="K947" s="18" t="inlineStr">
        <is>
          <t>예</t>
        </is>
      </c>
      <c r="L947" s="18" t="inlineStr">
        <is>
          <t>COBBLEVERSE 수정</t>
        </is>
      </c>
      <c r="M947" s="18">
        <f>COUNTIF('스폰_편집'!$D$5:$D$3125,A947)</f>
        <v/>
      </c>
      <c r="N947" s="18">
        <f>COUNTIFS('스폰_편집'!$D$5:$D$3125,A947,'스폰_편집'!$B$5:$B$3125,"사용")</f>
        <v/>
      </c>
      <c r="O947" s="18" t="n">
        <v>1</v>
      </c>
      <c r="P947" s="18" t="inlineStr">
        <is>
          <t>#cobblemon:is_overworld</t>
        </is>
      </c>
      <c r="Q947" s="18" t="inlineStr">
        <is>
          <t>common</t>
        </is>
      </c>
      <c r="R947" s="18" t="inlineStr">
        <is>
          <t>region_01; region_02</t>
        </is>
      </c>
      <c r="S947" s="18" t="inlineStr">
        <is>
          <t>cobbleventure:generation_9</t>
        </is>
      </c>
      <c r="T947" s="18">
        <f>IF(M947=0,"없음",IF(N947=0,"전부 제외","사용"))</f>
        <v/>
      </c>
      <c r="U947" s="18" t="inlineStr"/>
    </row>
    <row r="948" ht="30" customHeight="1">
      <c r="A948" s="18" t="n">
        <v>944</v>
      </c>
      <c r="B948" s="18" t="inlineStr">
        <is>
          <t>땃쭈르</t>
        </is>
      </c>
      <c r="C948" s="18" t="inlineStr">
        <is>
          <t>shroodle</t>
        </is>
      </c>
      <c r="D948" s="18" t="inlineStr">
        <is>
          <t>Shroodle</t>
        </is>
      </c>
      <c r="E948" s="18" t="n">
        <v>9</v>
      </c>
      <c r="F948" s="18" t="inlineStr">
        <is>
          <t>generation9</t>
        </is>
      </c>
      <c r="G948" s="18" t="inlineStr">
        <is>
          <t>poison</t>
        </is>
      </c>
      <c r="H948" s="18" t="inlineStr">
        <is>
          <t>normal</t>
        </is>
      </c>
      <c r="I948" s="18" t="inlineStr">
        <is>
          <t>예</t>
        </is>
      </c>
      <c r="J948" s="18" t="inlineStr">
        <is>
          <t>예</t>
        </is>
      </c>
      <c r="K948" s="18" t="inlineStr">
        <is>
          <t>예</t>
        </is>
      </c>
      <c r="L948" s="18" t="inlineStr">
        <is>
          <t>Cobblemon 동일</t>
        </is>
      </c>
      <c r="M948" s="18">
        <f>COUNTIF('스폰_편집'!$D$5:$D$3125,A948)</f>
        <v/>
      </c>
      <c r="N948" s="18">
        <f>COUNTIFS('스폰_편집'!$D$5:$D$3125,A948,'스폰_편집'!$B$5:$B$3125,"사용")</f>
        <v/>
      </c>
      <c r="O948" s="18" t="n">
        <v>2</v>
      </c>
      <c r="P948" s="18" t="inlineStr">
        <is>
          <t>#cobblemon:is_jungle; #cobblemon:is_tropical_island</t>
        </is>
      </c>
      <c r="Q948" s="18" t="inlineStr">
        <is>
          <t>common</t>
        </is>
      </c>
      <c r="R948" s="18" t="inlineStr"/>
      <c r="S948" s="18" t="inlineStr">
        <is>
          <t>cobbleventure:generation_9</t>
        </is>
      </c>
      <c r="T948" s="18">
        <f>IF(M948=0,"없음",IF(N948=0,"전부 제외","사용"))</f>
        <v/>
      </c>
      <c r="U948" s="18" t="inlineStr"/>
    </row>
    <row r="949" ht="30" customHeight="1">
      <c r="A949" s="18" t="n">
        <v>945</v>
      </c>
      <c r="B949" s="18" t="inlineStr">
        <is>
          <t>태깅구르</t>
        </is>
      </c>
      <c r="C949" s="18" t="inlineStr">
        <is>
          <t>grafaiai</t>
        </is>
      </c>
      <c r="D949" s="18" t="inlineStr">
        <is>
          <t>Grafaiai</t>
        </is>
      </c>
      <c r="E949" s="18" t="n">
        <v>9</v>
      </c>
      <c r="F949" s="18" t="inlineStr">
        <is>
          <t>generation9</t>
        </is>
      </c>
      <c r="G949" s="18" t="inlineStr">
        <is>
          <t>poison</t>
        </is>
      </c>
      <c r="H949" s="18" t="inlineStr">
        <is>
          <t>normal</t>
        </is>
      </c>
      <c r="I949" s="18" t="inlineStr">
        <is>
          <t>예</t>
        </is>
      </c>
      <c r="J949" s="18" t="inlineStr">
        <is>
          <t>예</t>
        </is>
      </c>
      <c r="K949" s="18" t="inlineStr">
        <is>
          <t>예</t>
        </is>
      </c>
      <c r="L949" s="18" t="inlineStr">
        <is>
          <t>Cobblemon 동일</t>
        </is>
      </c>
      <c r="M949" s="18">
        <f>COUNTIF('스폰_편집'!$D$5:$D$3125,A949)</f>
        <v/>
      </c>
      <c r="N949" s="18">
        <f>COUNTIFS('스폰_편집'!$D$5:$D$3125,A949,'스폰_편집'!$B$5:$B$3125,"사용")</f>
        <v/>
      </c>
      <c r="O949" s="18" t="n">
        <v>2</v>
      </c>
      <c r="P949" s="18" t="inlineStr">
        <is>
          <t>#cobblemon:is_jungle; #cobblemon:is_tropical_island</t>
        </is>
      </c>
      <c r="Q949" s="18" t="inlineStr">
        <is>
          <t>common</t>
        </is>
      </c>
      <c r="R949" s="18" t="inlineStr"/>
      <c r="S949" s="18" t="inlineStr">
        <is>
          <t>cobbleventure:generation_9</t>
        </is>
      </c>
      <c r="T949" s="18">
        <f>IF(M949=0,"없음",IF(N949=0,"전부 제외","사용"))</f>
        <v/>
      </c>
      <c r="U949" s="18" t="inlineStr"/>
    </row>
    <row r="950" ht="30" customHeight="1">
      <c r="A950" s="18" t="n">
        <v>946</v>
      </c>
      <c r="B950" s="18" t="inlineStr">
        <is>
          <t>그푸리</t>
        </is>
      </c>
      <c r="C950" s="18" t="inlineStr">
        <is>
          <t>bramblin</t>
        </is>
      </c>
      <c r="D950" s="18" t="inlineStr">
        <is>
          <t>Bramblin</t>
        </is>
      </c>
      <c r="E950" s="18" t="n">
        <v>9</v>
      </c>
      <c r="F950" s="18" t="inlineStr">
        <is>
          <t>generation9</t>
        </is>
      </c>
      <c r="G950" s="18" t="inlineStr">
        <is>
          <t>grass</t>
        </is>
      </c>
      <c r="H950" s="18" t="inlineStr">
        <is>
          <t>ghost</t>
        </is>
      </c>
      <c r="I950" s="18" t="inlineStr">
        <is>
          <t>예</t>
        </is>
      </c>
      <c r="J950" s="18" t="inlineStr">
        <is>
          <t>예</t>
        </is>
      </c>
      <c r="K950" s="18" t="inlineStr">
        <is>
          <t>예</t>
        </is>
      </c>
      <c r="L950" s="18" t="inlineStr">
        <is>
          <t>Cobblemon 동일</t>
        </is>
      </c>
      <c r="M950" s="18">
        <f>COUNTIF('스폰_편집'!$D$5:$D$3125,A950)</f>
        <v/>
      </c>
      <c r="N950" s="18">
        <f>COUNTIFS('스폰_편집'!$D$5:$D$3125,A950,'스폰_편집'!$B$5:$B$3125,"사용")</f>
        <v/>
      </c>
      <c r="O950" s="18" t="n">
        <v>3</v>
      </c>
      <c r="P950" s="18" t="inlineStr">
        <is>
          <t>#cobblemon:is_badlands; #cobblemon:is_desert; #cobblemon:nether/is_desert</t>
        </is>
      </c>
      <c r="Q950" s="18" t="inlineStr">
        <is>
          <t>common</t>
        </is>
      </c>
      <c r="R950" s="18" t="inlineStr">
        <is>
          <t>region_02</t>
        </is>
      </c>
      <c r="S950" s="18" t="inlineStr">
        <is>
          <t>cobbleventure:generation_9</t>
        </is>
      </c>
      <c r="T950" s="18">
        <f>IF(M950=0,"없음",IF(N950=0,"전부 제외","사용"))</f>
        <v/>
      </c>
      <c r="U950" s="18" t="inlineStr"/>
    </row>
    <row r="951" ht="30" customHeight="1">
      <c r="A951" s="18" t="n">
        <v>947</v>
      </c>
      <c r="B951" s="18" t="inlineStr">
        <is>
          <t>공푸리</t>
        </is>
      </c>
      <c r="C951" s="18" t="inlineStr">
        <is>
          <t>brambleghast</t>
        </is>
      </c>
      <c r="D951" s="18" t="inlineStr">
        <is>
          <t>Brambleghast</t>
        </is>
      </c>
      <c r="E951" s="18" t="n">
        <v>9</v>
      </c>
      <c r="F951" s="18" t="inlineStr">
        <is>
          <t>generation9</t>
        </is>
      </c>
      <c r="G951" s="18" t="inlineStr">
        <is>
          <t>grass</t>
        </is>
      </c>
      <c r="H951" s="18" t="inlineStr">
        <is>
          <t>ghost</t>
        </is>
      </c>
      <c r="I951" s="18" t="inlineStr">
        <is>
          <t>예</t>
        </is>
      </c>
      <c r="J951" s="18" t="inlineStr">
        <is>
          <t>예</t>
        </is>
      </c>
      <c r="K951" s="18" t="inlineStr">
        <is>
          <t>예</t>
        </is>
      </c>
      <c r="L951" s="18" t="inlineStr">
        <is>
          <t>Cobblemon 동일</t>
        </is>
      </c>
      <c r="M951" s="18">
        <f>COUNTIF('스폰_편집'!$D$5:$D$3125,A951)</f>
        <v/>
      </c>
      <c r="N951" s="18">
        <f>COUNTIFS('스폰_편집'!$D$5:$D$3125,A951,'스폰_편집'!$B$5:$B$3125,"사용")</f>
        <v/>
      </c>
      <c r="O951" s="18" t="n">
        <v>3</v>
      </c>
      <c r="P951" s="18" t="inlineStr">
        <is>
          <t>#cobblemon:is_badlands; #cobblemon:is_desert; #cobblemon:nether/is_desert</t>
        </is>
      </c>
      <c r="Q951" s="18" t="inlineStr">
        <is>
          <t>common</t>
        </is>
      </c>
      <c r="R951" s="18" t="inlineStr">
        <is>
          <t>region_02</t>
        </is>
      </c>
      <c r="S951" s="18" t="inlineStr">
        <is>
          <t>cobbleventure:generation_9</t>
        </is>
      </c>
      <c r="T951" s="18">
        <f>IF(M951=0,"없음",IF(N951=0,"전부 제외","사용"))</f>
        <v/>
      </c>
      <c r="U951" s="18" t="inlineStr"/>
    </row>
    <row r="952" ht="30" customHeight="1">
      <c r="A952" s="18" t="n">
        <v>948</v>
      </c>
      <c r="B952" s="18" t="inlineStr">
        <is>
          <t>들눈해</t>
        </is>
      </c>
      <c r="C952" s="18" t="inlineStr">
        <is>
          <t>toedscool</t>
        </is>
      </c>
      <c r="D952" s="18" t="inlineStr">
        <is>
          <t>Toedscool</t>
        </is>
      </c>
      <c r="E952" s="18" t="n">
        <v>9</v>
      </c>
      <c r="F952" s="18" t="inlineStr">
        <is>
          <t>generation9</t>
        </is>
      </c>
      <c r="G952" s="18" t="inlineStr">
        <is>
          <t>ground</t>
        </is>
      </c>
      <c r="H952" s="18" t="inlineStr">
        <is>
          <t>grass</t>
        </is>
      </c>
      <c r="I952" s="18" t="inlineStr">
        <is>
          <t>예</t>
        </is>
      </c>
      <c r="J952" s="18" t="inlineStr">
        <is>
          <t>예</t>
        </is>
      </c>
      <c r="K952" s="18" t="inlineStr">
        <is>
          <t>예</t>
        </is>
      </c>
      <c r="L952" s="18" t="inlineStr">
        <is>
          <t>COBBLEVERSE 수정</t>
        </is>
      </c>
      <c r="M952" s="18">
        <f>COUNTIF('스폰_편집'!$D$5:$D$3125,A952)</f>
        <v/>
      </c>
      <c r="N952" s="18">
        <f>COUNTIFS('스폰_편집'!$D$5:$D$3125,A952,'스폰_편집'!$B$5:$B$3125,"사용")</f>
        <v/>
      </c>
      <c r="O952" s="18" t="n">
        <v>2</v>
      </c>
      <c r="P952" s="18" t="inlineStr">
        <is>
          <t>#cobblemon:is_savanna; #cobblemon:nether/is_fungus</t>
        </is>
      </c>
      <c r="Q952" s="18" t="inlineStr">
        <is>
          <t>common</t>
        </is>
      </c>
      <c r="R952" s="18" t="inlineStr"/>
      <c r="S952" s="18" t="inlineStr">
        <is>
          <t>cobbleventure:generation_9</t>
        </is>
      </c>
      <c r="T952" s="18">
        <f>IF(M952=0,"없음",IF(N952=0,"전부 제외","사용"))</f>
        <v/>
      </c>
      <c r="U952" s="18" t="inlineStr"/>
    </row>
    <row r="953" ht="30" customHeight="1">
      <c r="A953" s="18" t="n">
        <v>949</v>
      </c>
      <c r="B953" s="18" t="inlineStr">
        <is>
          <t>육파리</t>
        </is>
      </c>
      <c r="C953" s="18" t="inlineStr">
        <is>
          <t>toedscruel</t>
        </is>
      </c>
      <c r="D953" s="18" t="inlineStr">
        <is>
          <t>Toedscruel</t>
        </is>
      </c>
      <c r="E953" s="18" t="n">
        <v>9</v>
      </c>
      <c r="F953" s="18" t="inlineStr">
        <is>
          <t>generation9</t>
        </is>
      </c>
      <c r="G953" s="18" t="inlineStr">
        <is>
          <t>ground</t>
        </is>
      </c>
      <c r="H953" s="18" t="inlineStr">
        <is>
          <t>grass</t>
        </is>
      </c>
      <c r="I953" s="18" t="inlineStr">
        <is>
          <t>예</t>
        </is>
      </c>
      <c r="J953" s="18" t="inlineStr">
        <is>
          <t>예</t>
        </is>
      </c>
      <c r="K953" s="18" t="inlineStr">
        <is>
          <t>예</t>
        </is>
      </c>
      <c r="L953" s="18" t="inlineStr">
        <is>
          <t>COBBLEVERSE 수정</t>
        </is>
      </c>
      <c r="M953" s="18">
        <f>COUNTIF('스폰_편집'!$D$5:$D$3125,A953)</f>
        <v/>
      </c>
      <c r="N953" s="18">
        <f>COUNTIFS('스폰_편집'!$D$5:$D$3125,A953,'스폰_편집'!$B$5:$B$3125,"사용")</f>
        <v/>
      </c>
      <c r="O953" s="18" t="n">
        <v>2</v>
      </c>
      <c r="P953" s="18" t="inlineStr">
        <is>
          <t>#cobblemon:is_savanna; #cobblemon:nether/is_fungus</t>
        </is>
      </c>
      <c r="Q953" s="18" t="inlineStr">
        <is>
          <t>common</t>
        </is>
      </c>
      <c r="R953" s="18" t="inlineStr"/>
      <c r="S953" s="18" t="inlineStr">
        <is>
          <t>cobbleventure:generation_9</t>
        </is>
      </c>
      <c r="T953" s="18">
        <f>IF(M953=0,"없음",IF(N953=0,"전부 제외","사용"))</f>
        <v/>
      </c>
      <c r="U953" s="18" t="inlineStr"/>
    </row>
    <row r="954" ht="30" customHeight="1">
      <c r="A954" s="18" t="n">
        <v>950</v>
      </c>
      <c r="B954" s="18" t="inlineStr">
        <is>
          <t>절벼게</t>
        </is>
      </c>
      <c r="C954" s="18" t="inlineStr">
        <is>
          <t>klawf</t>
        </is>
      </c>
      <c r="D954" s="18" t="inlineStr">
        <is>
          <t>Klawf</t>
        </is>
      </c>
      <c r="E954" s="18" t="n">
        <v>9</v>
      </c>
      <c r="F954" s="18" t="inlineStr">
        <is>
          <t>generation9</t>
        </is>
      </c>
      <c r="G954" s="18" t="inlineStr">
        <is>
          <t>rock</t>
        </is>
      </c>
      <c r="H954" s="18" t="inlineStr"/>
      <c r="I954" s="18" t="inlineStr">
        <is>
          <t>예</t>
        </is>
      </c>
      <c r="J954" s="18" t="inlineStr">
        <is>
          <t>예</t>
        </is>
      </c>
      <c r="K954" s="18" t="inlineStr">
        <is>
          <t>예</t>
        </is>
      </c>
      <c r="L954" s="18" t="inlineStr">
        <is>
          <t>Cobblemon 동일</t>
        </is>
      </c>
      <c r="M954" s="18">
        <f>COUNTIF('스폰_편집'!$D$5:$D$3125,A954)</f>
        <v/>
      </c>
      <c r="N954" s="18">
        <f>COUNTIFS('스폰_편집'!$D$5:$D$3125,A954,'스폰_편집'!$B$5:$B$3125,"사용")</f>
        <v/>
      </c>
      <c r="O954" s="18" t="n">
        <v>1</v>
      </c>
      <c r="P954" s="18" t="inlineStr">
        <is>
          <t>#cobblemon:is_badlands</t>
        </is>
      </c>
      <c r="Q954" s="18" t="inlineStr">
        <is>
          <t>uncommon</t>
        </is>
      </c>
      <c r="R954" s="18" t="inlineStr"/>
      <c r="S954" s="18" t="inlineStr">
        <is>
          <t>cobbleventure:generation_9</t>
        </is>
      </c>
      <c r="T954" s="18">
        <f>IF(M954=0,"없음",IF(N954=0,"전부 제외","사용"))</f>
        <v/>
      </c>
      <c r="U954" s="18" t="inlineStr"/>
    </row>
    <row r="955" ht="30" customHeight="1">
      <c r="A955" s="18" t="n">
        <v>951</v>
      </c>
      <c r="B955" s="18" t="inlineStr">
        <is>
          <t>캡싸이</t>
        </is>
      </c>
      <c r="C955" s="18" t="inlineStr">
        <is>
          <t>capsakid</t>
        </is>
      </c>
      <c r="D955" s="18" t="inlineStr">
        <is>
          <t>Capsakid</t>
        </is>
      </c>
      <c r="E955" s="18" t="n">
        <v>9</v>
      </c>
      <c r="F955" s="18" t="inlineStr">
        <is>
          <t>generation9</t>
        </is>
      </c>
      <c r="G955" s="18" t="inlineStr">
        <is>
          <t>grass</t>
        </is>
      </c>
      <c r="H955" s="18" t="inlineStr"/>
      <c r="I955" s="18" t="inlineStr">
        <is>
          <t>예</t>
        </is>
      </c>
      <c r="J955" s="18" t="inlineStr">
        <is>
          <t>예</t>
        </is>
      </c>
      <c r="K955" s="18" t="inlineStr">
        <is>
          <t>예</t>
        </is>
      </c>
      <c r="L955" s="18" t="inlineStr">
        <is>
          <t>Cobblemon 동일</t>
        </is>
      </c>
      <c r="M955" s="18">
        <f>COUNTIF('스폰_편집'!$D$5:$D$3125,A955)</f>
        <v/>
      </c>
      <c r="N955" s="18">
        <f>COUNTIFS('스폰_편집'!$D$5:$D$3125,A955,'스폰_편집'!$B$5:$B$3125,"사용")</f>
        <v/>
      </c>
      <c r="O955" s="18" t="n">
        <v>2</v>
      </c>
      <c r="P955" s="18" t="inlineStr">
        <is>
          <t>#cobblemon:is_arid; #cobblemon:nether/is_overgrowth</t>
        </is>
      </c>
      <c r="Q955" s="18" t="inlineStr">
        <is>
          <t>common</t>
        </is>
      </c>
      <c r="R955" s="18" t="inlineStr">
        <is>
          <t>region_02</t>
        </is>
      </c>
      <c r="S955" s="18" t="inlineStr">
        <is>
          <t>cobbleventure:generation_9</t>
        </is>
      </c>
      <c r="T955" s="18">
        <f>IF(M955=0,"없음",IF(N955=0,"전부 제외","사용"))</f>
        <v/>
      </c>
      <c r="U955" s="18" t="inlineStr"/>
    </row>
    <row r="956" ht="30" customHeight="1">
      <c r="A956" s="18" t="n">
        <v>952</v>
      </c>
      <c r="B956" s="18" t="inlineStr">
        <is>
          <t>스코빌런</t>
        </is>
      </c>
      <c r="C956" s="18" t="inlineStr">
        <is>
          <t>scovillain</t>
        </is>
      </c>
      <c r="D956" s="18" t="inlineStr">
        <is>
          <t>Scovillain</t>
        </is>
      </c>
      <c r="E956" s="18" t="n">
        <v>9</v>
      </c>
      <c r="F956" s="18" t="inlineStr">
        <is>
          <t>generation9</t>
        </is>
      </c>
      <c r="G956" s="18" t="inlineStr">
        <is>
          <t>grass</t>
        </is>
      </c>
      <c r="H956" s="18" t="inlineStr">
        <is>
          <t>fire</t>
        </is>
      </c>
      <c r="I956" s="18" t="inlineStr">
        <is>
          <t>예</t>
        </is>
      </c>
      <c r="J956" s="18" t="inlineStr">
        <is>
          <t>예</t>
        </is>
      </c>
      <c r="K956" s="18" t="inlineStr">
        <is>
          <t>예</t>
        </is>
      </c>
      <c r="L956" s="18" t="inlineStr">
        <is>
          <t>Cobblemon 동일</t>
        </is>
      </c>
      <c r="M956" s="18">
        <f>COUNTIF('스폰_편집'!$D$5:$D$3125,A956)</f>
        <v/>
      </c>
      <c r="N956" s="18">
        <f>COUNTIFS('스폰_편집'!$D$5:$D$3125,A956,'스폰_편집'!$B$5:$B$3125,"사용")</f>
        <v/>
      </c>
      <c r="O956" s="18" t="n">
        <v>2</v>
      </c>
      <c r="P956" s="18" t="inlineStr">
        <is>
          <t>#cobblemon:is_arid; #cobblemon:nether/is_overgrowth</t>
        </is>
      </c>
      <c r="Q956" s="18" t="inlineStr">
        <is>
          <t>common</t>
        </is>
      </c>
      <c r="R956" s="18" t="inlineStr">
        <is>
          <t>region_02</t>
        </is>
      </c>
      <c r="S956" s="18" t="inlineStr">
        <is>
          <t>cobbleventure:generation_9</t>
        </is>
      </c>
      <c r="T956" s="18">
        <f>IF(M956=0,"없음",IF(N956=0,"전부 제외","사용"))</f>
        <v/>
      </c>
      <c r="U956" s="18" t="inlineStr"/>
    </row>
    <row r="957" ht="30" customHeight="1">
      <c r="A957" s="18" t="n">
        <v>953</v>
      </c>
      <c r="B957" s="18" t="inlineStr">
        <is>
          <t>구르데</t>
        </is>
      </c>
      <c r="C957" s="18" t="inlineStr">
        <is>
          <t>rellor</t>
        </is>
      </c>
      <c r="D957" s="18" t="inlineStr">
        <is>
          <t>Rellor</t>
        </is>
      </c>
      <c r="E957" s="18" t="n">
        <v>9</v>
      </c>
      <c r="F957" s="18" t="inlineStr">
        <is>
          <t>generation9</t>
        </is>
      </c>
      <c r="G957" s="18" t="inlineStr">
        <is>
          <t>bug</t>
        </is>
      </c>
      <c r="H957" s="18" t="inlineStr"/>
      <c r="I957" s="18" t="inlineStr">
        <is>
          <t>예</t>
        </is>
      </c>
      <c r="J957" s="18" t="inlineStr">
        <is>
          <t>예</t>
        </is>
      </c>
      <c r="K957" s="18" t="inlineStr">
        <is>
          <t>예</t>
        </is>
      </c>
      <c r="L957" s="18" t="inlineStr">
        <is>
          <t>Cobblemon 동일</t>
        </is>
      </c>
      <c r="M957" s="18">
        <f>COUNTIF('스폰_편집'!$D$5:$D$3125,A957)</f>
        <v/>
      </c>
      <c r="N957" s="18">
        <f>COUNTIFS('스폰_편집'!$D$5:$D$3125,A957,'스폰_편집'!$B$5:$B$3125,"사용")</f>
        <v/>
      </c>
      <c r="O957" s="18" t="n">
        <v>1</v>
      </c>
      <c r="P957" s="18" t="inlineStr">
        <is>
          <t>#cobblemon:is_arid</t>
        </is>
      </c>
      <c r="Q957" s="18" t="inlineStr">
        <is>
          <t>common</t>
        </is>
      </c>
      <c r="R957" s="18" t="inlineStr">
        <is>
          <t>region_02</t>
        </is>
      </c>
      <c r="S957" s="18" t="inlineStr">
        <is>
          <t>cobbleventure:generation_9</t>
        </is>
      </c>
      <c r="T957" s="18">
        <f>IF(M957=0,"없음",IF(N957=0,"전부 제외","사용"))</f>
        <v/>
      </c>
      <c r="U957" s="18" t="inlineStr"/>
    </row>
    <row r="958" ht="30" customHeight="1">
      <c r="A958" s="18" t="n">
        <v>954</v>
      </c>
      <c r="B958" s="18" t="inlineStr">
        <is>
          <t>베라카스</t>
        </is>
      </c>
      <c r="C958" s="18" t="inlineStr">
        <is>
          <t>rabsca</t>
        </is>
      </c>
      <c r="D958" s="18" t="inlineStr">
        <is>
          <t>Rabsca</t>
        </is>
      </c>
      <c r="E958" s="18" t="n">
        <v>9</v>
      </c>
      <c r="F958" s="18" t="inlineStr">
        <is>
          <t>generation9</t>
        </is>
      </c>
      <c r="G958" s="18" t="inlineStr">
        <is>
          <t>bug</t>
        </is>
      </c>
      <c r="H958" s="18" t="inlineStr">
        <is>
          <t>psychic</t>
        </is>
      </c>
      <c r="I958" s="18" t="inlineStr">
        <is>
          <t>예</t>
        </is>
      </c>
      <c r="J958" s="18" t="inlineStr">
        <is>
          <t>예</t>
        </is>
      </c>
      <c r="K958" s="18" t="inlineStr">
        <is>
          <t>예</t>
        </is>
      </c>
      <c r="L958" s="18" t="inlineStr">
        <is>
          <t>Cobblemon 동일</t>
        </is>
      </c>
      <c r="M958" s="18">
        <f>COUNTIF('스폰_편집'!$D$5:$D$3125,A958)</f>
        <v/>
      </c>
      <c r="N958" s="18">
        <f>COUNTIFS('스폰_편집'!$D$5:$D$3125,A958,'스폰_편집'!$B$5:$B$3125,"사용")</f>
        <v/>
      </c>
      <c r="O958" s="18" t="n">
        <v>1</v>
      </c>
      <c r="P958" s="18" t="inlineStr">
        <is>
          <t>#cobblemon:is_arid</t>
        </is>
      </c>
      <c r="Q958" s="18" t="inlineStr">
        <is>
          <t>common</t>
        </is>
      </c>
      <c r="R958" s="18" t="inlineStr">
        <is>
          <t>region_02</t>
        </is>
      </c>
      <c r="S958" s="18" t="inlineStr">
        <is>
          <t>cobbleventure:generation_9</t>
        </is>
      </c>
      <c r="T958" s="18">
        <f>IF(M958=0,"없음",IF(N958=0,"전부 제외","사용"))</f>
        <v/>
      </c>
      <c r="U958" s="18" t="inlineStr"/>
    </row>
    <row r="959" ht="30" customHeight="1">
      <c r="A959" s="18" t="n">
        <v>955</v>
      </c>
      <c r="B959" s="18" t="inlineStr">
        <is>
          <t>하느라기</t>
        </is>
      </c>
      <c r="C959" s="18" t="inlineStr">
        <is>
          <t>flittle</t>
        </is>
      </c>
      <c r="D959" s="18" t="inlineStr">
        <is>
          <t>Flittle</t>
        </is>
      </c>
      <c r="E959" s="18" t="n">
        <v>9</v>
      </c>
      <c r="F959" s="18" t="inlineStr">
        <is>
          <t>generation9</t>
        </is>
      </c>
      <c r="G959" s="18" t="inlineStr">
        <is>
          <t>psychic</t>
        </is>
      </c>
      <c r="H959" s="18" t="inlineStr"/>
      <c r="I959" s="18" t="inlineStr">
        <is>
          <t>예</t>
        </is>
      </c>
      <c r="J959" s="18" t="inlineStr">
        <is>
          <t>예</t>
        </is>
      </c>
      <c r="K959" s="18" t="inlineStr">
        <is>
          <t>예</t>
        </is>
      </c>
      <c r="L959" s="18" t="inlineStr">
        <is>
          <t>Cobblemon 동일</t>
        </is>
      </c>
      <c r="M959" s="18">
        <f>COUNTIF('스폰_편집'!$D$5:$D$3125,A959)</f>
        <v/>
      </c>
      <c r="N959" s="18">
        <f>COUNTIFS('스폰_편집'!$D$5:$D$3125,A959,'스폰_편집'!$B$5:$B$3125,"사용")</f>
        <v/>
      </c>
      <c r="O959" s="18" t="n">
        <v>1</v>
      </c>
      <c r="P959" s="18" t="inlineStr">
        <is>
          <t>#cobblemon:is_arid</t>
        </is>
      </c>
      <c r="Q959" s="18" t="inlineStr">
        <is>
          <t>uncommon</t>
        </is>
      </c>
      <c r="R959" s="18" t="inlineStr">
        <is>
          <t>region_02</t>
        </is>
      </c>
      <c r="S959" s="18" t="inlineStr">
        <is>
          <t>cobbleventure:generation_9</t>
        </is>
      </c>
      <c r="T959" s="18">
        <f>IF(M959=0,"없음",IF(N959=0,"전부 제외","사용"))</f>
        <v/>
      </c>
      <c r="U959" s="18" t="inlineStr"/>
    </row>
    <row r="960" ht="30" customHeight="1">
      <c r="A960" s="18" t="n">
        <v>956</v>
      </c>
      <c r="B960" s="18" t="inlineStr">
        <is>
          <t>클레스퍼트라</t>
        </is>
      </c>
      <c r="C960" s="18" t="inlineStr">
        <is>
          <t>espathra</t>
        </is>
      </c>
      <c r="D960" s="18" t="inlineStr">
        <is>
          <t>Espathra</t>
        </is>
      </c>
      <c r="E960" s="18" t="n">
        <v>9</v>
      </c>
      <c r="F960" s="18" t="inlineStr">
        <is>
          <t>generation9</t>
        </is>
      </c>
      <c r="G960" s="18" t="inlineStr">
        <is>
          <t>psychic</t>
        </is>
      </c>
      <c r="H960" s="18" t="inlineStr"/>
      <c r="I960" s="18" t="inlineStr">
        <is>
          <t>예</t>
        </is>
      </c>
      <c r="J960" s="18" t="inlineStr">
        <is>
          <t>예</t>
        </is>
      </c>
      <c r="K960" s="18" t="inlineStr">
        <is>
          <t>예</t>
        </is>
      </c>
      <c r="L960" s="18" t="inlineStr">
        <is>
          <t>Cobblemon 동일</t>
        </is>
      </c>
      <c r="M960" s="18">
        <f>COUNTIF('스폰_편집'!$D$5:$D$3125,A960)</f>
        <v/>
      </c>
      <c r="N960" s="18">
        <f>COUNTIFS('스폰_편집'!$D$5:$D$3125,A960,'스폰_편집'!$B$5:$B$3125,"사용")</f>
        <v/>
      </c>
      <c r="O960" s="18" t="n">
        <v>1</v>
      </c>
      <c r="P960" s="18" t="inlineStr">
        <is>
          <t>#cobblemon:is_arid</t>
        </is>
      </c>
      <c r="Q960" s="18" t="inlineStr">
        <is>
          <t>uncommon</t>
        </is>
      </c>
      <c r="R960" s="18" t="inlineStr">
        <is>
          <t>region_02</t>
        </is>
      </c>
      <c r="S960" s="18" t="inlineStr">
        <is>
          <t>cobbleventure:generation_9</t>
        </is>
      </c>
      <c r="T960" s="18">
        <f>IF(M960=0,"없음",IF(N960=0,"전부 제외","사용"))</f>
        <v/>
      </c>
      <c r="U960" s="18" t="inlineStr"/>
    </row>
    <row r="961" ht="30" customHeight="1">
      <c r="A961" s="18" t="n">
        <v>957</v>
      </c>
      <c r="B961" s="18" t="inlineStr">
        <is>
          <t>어리짱</t>
        </is>
      </c>
      <c r="C961" s="18" t="inlineStr">
        <is>
          <t>tinkatink</t>
        </is>
      </c>
      <c r="D961" s="18" t="inlineStr">
        <is>
          <t>Tinkatink</t>
        </is>
      </c>
      <c r="E961" s="18" t="n">
        <v>9</v>
      </c>
      <c r="F961" s="18" t="inlineStr">
        <is>
          <t>generation9</t>
        </is>
      </c>
      <c r="G961" s="18" t="inlineStr">
        <is>
          <t>fairy</t>
        </is>
      </c>
      <c r="H961" s="18" t="inlineStr">
        <is>
          <t>steel</t>
        </is>
      </c>
      <c r="I961" s="18" t="inlineStr">
        <is>
          <t>예</t>
        </is>
      </c>
      <c r="J961" s="18" t="inlineStr">
        <is>
          <t>예</t>
        </is>
      </c>
      <c r="K961" s="18" t="inlineStr">
        <is>
          <t>예</t>
        </is>
      </c>
      <c r="L961" s="18" t="inlineStr">
        <is>
          <t>Cobblemon 동일</t>
        </is>
      </c>
      <c r="M961" s="18">
        <f>COUNTIF('스폰_편집'!$D$5:$D$3125,A961)</f>
        <v/>
      </c>
      <c r="N961" s="18">
        <f>COUNTIFS('스폰_편집'!$D$5:$D$3125,A961,'스폰_편집'!$B$5:$B$3125,"사용")</f>
        <v/>
      </c>
      <c r="O961" s="18" t="n">
        <v>2</v>
      </c>
      <c r="P961" s="18" t="inlineStr">
        <is>
          <t>#aether:is_aether; #cobblemon:is_overworld</t>
        </is>
      </c>
      <c r="Q961" s="18" t="inlineStr">
        <is>
          <t>common; uncommon</t>
        </is>
      </c>
      <c r="R961" s="18" t="inlineStr">
        <is>
          <t>region_01; region_02</t>
        </is>
      </c>
      <c r="S961" s="18" t="inlineStr">
        <is>
          <t>cobbleventure:generation_9</t>
        </is>
      </c>
      <c r="T961" s="18">
        <f>IF(M961=0,"없음",IF(N961=0,"전부 제외","사용"))</f>
        <v/>
      </c>
      <c r="U961" s="18" t="inlineStr"/>
    </row>
    <row r="962" ht="30" customHeight="1">
      <c r="A962" s="18" t="n">
        <v>958</v>
      </c>
      <c r="B962" s="18" t="inlineStr">
        <is>
          <t>벼리짱</t>
        </is>
      </c>
      <c r="C962" s="18" t="inlineStr">
        <is>
          <t>tinkatuff</t>
        </is>
      </c>
      <c r="D962" s="18" t="inlineStr">
        <is>
          <t>Tinkatuff</t>
        </is>
      </c>
      <c r="E962" s="18" t="n">
        <v>9</v>
      </c>
      <c r="F962" s="18" t="inlineStr">
        <is>
          <t>generation9</t>
        </is>
      </c>
      <c r="G962" s="18" t="inlineStr">
        <is>
          <t>fairy</t>
        </is>
      </c>
      <c r="H962" s="18" t="inlineStr">
        <is>
          <t>steel</t>
        </is>
      </c>
      <c r="I962" s="18" t="inlineStr">
        <is>
          <t>예</t>
        </is>
      </c>
      <c r="J962" s="18" t="inlineStr">
        <is>
          <t>예</t>
        </is>
      </c>
      <c r="K962" s="18" t="inlineStr">
        <is>
          <t>예</t>
        </is>
      </c>
      <c r="L962" s="18" t="inlineStr">
        <is>
          <t>Cobblemon 동일</t>
        </is>
      </c>
      <c r="M962" s="18">
        <f>COUNTIF('스폰_편집'!$D$5:$D$3125,A962)</f>
        <v/>
      </c>
      <c r="N962" s="18">
        <f>COUNTIFS('스폰_편집'!$D$5:$D$3125,A962,'스폰_편집'!$B$5:$B$3125,"사용")</f>
        <v/>
      </c>
      <c r="O962" s="18" t="n">
        <v>2</v>
      </c>
      <c r="P962" s="18" t="inlineStr">
        <is>
          <t>#aether:is_aether; #cobblemon:is_overworld</t>
        </is>
      </c>
      <c r="Q962" s="18" t="inlineStr">
        <is>
          <t>common; uncommon</t>
        </is>
      </c>
      <c r="R962" s="18" t="inlineStr">
        <is>
          <t>region_01; region_02</t>
        </is>
      </c>
      <c r="S962" s="18" t="inlineStr">
        <is>
          <t>cobbleventure:generation_9</t>
        </is>
      </c>
      <c r="T962" s="18">
        <f>IF(M962=0,"없음",IF(N962=0,"전부 제외","사용"))</f>
        <v/>
      </c>
      <c r="U962" s="18" t="inlineStr"/>
    </row>
    <row r="963" ht="30" customHeight="1">
      <c r="A963" s="18" t="n">
        <v>959</v>
      </c>
      <c r="B963" s="18" t="inlineStr">
        <is>
          <t>두드리짱</t>
        </is>
      </c>
      <c r="C963" s="18" t="inlineStr">
        <is>
          <t>tinkaton</t>
        </is>
      </c>
      <c r="D963" s="18" t="inlineStr">
        <is>
          <t>Tinkaton</t>
        </is>
      </c>
      <c r="E963" s="18" t="n">
        <v>9</v>
      </c>
      <c r="F963" s="18" t="inlineStr">
        <is>
          <t>generation9</t>
        </is>
      </c>
      <c r="G963" s="18" t="inlineStr">
        <is>
          <t>fairy</t>
        </is>
      </c>
      <c r="H963" s="18" t="inlineStr">
        <is>
          <t>steel</t>
        </is>
      </c>
      <c r="I963" s="18" t="inlineStr">
        <is>
          <t>예</t>
        </is>
      </c>
      <c r="J963" s="18" t="inlineStr">
        <is>
          <t>예</t>
        </is>
      </c>
      <c r="K963" s="18" t="inlineStr">
        <is>
          <t>예</t>
        </is>
      </c>
      <c r="L963" s="18" t="inlineStr">
        <is>
          <t>Cobblemon 동일</t>
        </is>
      </c>
      <c r="M963" s="18">
        <f>COUNTIF('스폰_편집'!$D$5:$D$3125,A963)</f>
        <v/>
      </c>
      <c r="N963" s="18">
        <f>COUNTIFS('스폰_편집'!$D$5:$D$3125,A963,'스폰_편집'!$B$5:$B$3125,"사용")</f>
        <v/>
      </c>
      <c r="O963" s="18" t="n">
        <v>2</v>
      </c>
      <c r="P963" s="18" t="inlineStr">
        <is>
          <t>#aether:is_aether; #cobblemon:is_overworld</t>
        </is>
      </c>
      <c r="Q963" s="18" t="inlineStr">
        <is>
          <t>common; uncommon</t>
        </is>
      </c>
      <c r="R963" s="18" t="inlineStr">
        <is>
          <t>region_01; region_02</t>
        </is>
      </c>
      <c r="S963" s="18" t="inlineStr">
        <is>
          <t>cobbleventure:generation_9</t>
        </is>
      </c>
      <c r="T963" s="18">
        <f>IF(M963=0,"없음",IF(N963=0,"전부 제외","사용"))</f>
        <v/>
      </c>
      <c r="U963" s="18" t="inlineStr"/>
    </row>
    <row r="964" ht="30" customHeight="1">
      <c r="A964" s="18" t="n">
        <v>960</v>
      </c>
      <c r="B964" s="18" t="inlineStr">
        <is>
          <t>바다그다</t>
        </is>
      </c>
      <c r="C964" s="18" t="inlineStr">
        <is>
          <t>wiglett</t>
        </is>
      </c>
      <c r="D964" s="18" t="inlineStr">
        <is>
          <t>Wiglett</t>
        </is>
      </c>
      <c r="E964" s="18" t="n">
        <v>9</v>
      </c>
      <c r="F964" s="18" t="inlineStr">
        <is>
          <t>generation9</t>
        </is>
      </c>
      <c r="G964" s="18" t="inlineStr">
        <is>
          <t>water</t>
        </is>
      </c>
      <c r="H964" s="18" t="inlineStr"/>
      <c r="I964" s="18" t="inlineStr">
        <is>
          <t>예</t>
        </is>
      </c>
      <c r="J964" s="18" t="inlineStr">
        <is>
          <t>예</t>
        </is>
      </c>
      <c r="K964" s="18" t="inlineStr">
        <is>
          <t>예</t>
        </is>
      </c>
      <c r="L964" s="18" t="inlineStr">
        <is>
          <t>Cobblemon 동일</t>
        </is>
      </c>
      <c r="M964" s="18">
        <f>COUNTIF('스폰_편집'!$D$5:$D$3125,A964)</f>
        <v/>
      </c>
      <c r="N964" s="18">
        <f>COUNTIFS('스폰_편집'!$D$5:$D$3125,A964,'스폰_편집'!$B$5:$B$3125,"사용")</f>
        <v/>
      </c>
      <c r="O964" s="18" t="n">
        <v>3</v>
      </c>
      <c r="P964" s="18" t="inlineStr">
        <is>
          <t>#cobblemon:is_beach; #cobblemon:is_lukewarm_ocean; #cobblemon:is_warm_ocean</t>
        </is>
      </c>
      <c r="Q964" s="18" t="inlineStr">
        <is>
          <t>common</t>
        </is>
      </c>
      <c r="R964" s="18" t="inlineStr"/>
      <c r="S964" s="18" t="inlineStr">
        <is>
          <t>cobbleventure:generation_9</t>
        </is>
      </c>
      <c r="T964" s="18">
        <f>IF(M964=0,"없음",IF(N964=0,"전부 제외","사용"))</f>
        <v/>
      </c>
      <c r="U964" s="18" t="inlineStr"/>
    </row>
    <row r="965" ht="30" customHeight="1">
      <c r="A965" s="18" t="n">
        <v>961</v>
      </c>
      <c r="B965" s="18" t="inlineStr">
        <is>
          <t>바닥트리오</t>
        </is>
      </c>
      <c r="C965" s="18" t="inlineStr">
        <is>
          <t>wugtrio</t>
        </is>
      </c>
      <c r="D965" s="18" t="inlineStr">
        <is>
          <t>Wugtrio</t>
        </is>
      </c>
      <c r="E965" s="18" t="n">
        <v>9</v>
      </c>
      <c r="F965" s="18" t="inlineStr">
        <is>
          <t>generation9</t>
        </is>
      </c>
      <c r="G965" s="18" t="inlineStr">
        <is>
          <t>water</t>
        </is>
      </c>
      <c r="H965" s="18" t="inlineStr"/>
      <c r="I965" s="18" t="inlineStr">
        <is>
          <t>예</t>
        </is>
      </c>
      <c r="J965" s="18" t="inlineStr">
        <is>
          <t>예</t>
        </is>
      </c>
      <c r="K965" s="18" t="inlineStr">
        <is>
          <t>예</t>
        </is>
      </c>
      <c r="L965" s="18" t="inlineStr">
        <is>
          <t>Cobblemon 동일</t>
        </is>
      </c>
      <c r="M965" s="18">
        <f>COUNTIF('스폰_편집'!$D$5:$D$3125,A965)</f>
        <v/>
      </c>
      <c r="N965" s="18">
        <f>COUNTIFS('스폰_편집'!$D$5:$D$3125,A965,'스폰_편집'!$B$5:$B$3125,"사용")</f>
        <v/>
      </c>
      <c r="O965" s="18" t="n">
        <v>3</v>
      </c>
      <c r="P965" s="18" t="inlineStr">
        <is>
          <t>#cobblemon:is_beach; #cobblemon:is_lukewarm_ocean; #cobblemon:is_warm_ocean</t>
        </is>
      </c>
      <c r="Q965" s="18" t="inlineStr">
        <is>
          <t>common</t>
        </is>
      </c>
      <c r="R965" s="18" t="inlineStr"/>
      <c r="S965" s="18" t="inlineStr">
        <is>
          <t>cobbleventure:generation_9</t>
        </is>
      </c>
      <c r="T965" s="18">
        <f>IF(M965=0,"없음",IF(N965=0,"전부 제외","사용"))</f>
        <v/>
      </c>
      <c r="U965" s="18" t="inlineStr"/>
    </row>
    <row r="966" ht="30" customHeight="1">
      <c r="A966" s="18" t="n">
        <v>962</v>
      </c>
      <c r="B966" s="18" t="inlineStr">
        <is>
          <t>떨구새</t>
        </is>
      </c>
      <c r="C966" s="18" t="inlineStr">
        <is>
          <t>bombirdier</t>
        </is>
      </c>
      <c r="D966" s="18" t="inlineStr">
        <is>
          <t>Bombirdier</t>
        </is>
      </c>
      <c r="E966" s="18" t="n">
        <v>9</v>
      </c>
      <c r="F966" s="18" t="inlineStr">
        <is>
          <t>generation9</t>
        </is>
      </c>
      <c r="G966" s="18" t="inlineStr">
        <is>
          <t>flying</t>
        </is>
      </c>
      <c r="H966" s="18" t="inlineStr">
        <is>
          <t>dark</t>
        </is>
      </c>
      <c r="I966" s="18" t="inlineStr">
        <is>
          <t>아니오</t>
        </is>
      </c>
      <c r="J966" s="18" t="inlineStr">
        <is>
          <t>아니오</t>
        </is>
      </c>
      <c r="K966" s="18" t="inlineStr">
        <is>
          <t>예</t>
        </is>
      </c>
      <c r="L966" s="18" t="inlineStr">
        <is>
          <t>COBBLEVERSE 추가</t>
        </is>
      </c>
      <c r="M966" s="18">
        <f>COUNTIF('스폰_편집'!$D$5:$D$3125,A966)</f>
        <v/>
      </c>
      <c r="N966" s="18">
        <f>COUNTIFS('스폰_편집'!$D$5:$D$3125,A966,'스폰_편집'!$B$5:$B$3125,"사용")</f>
        <v/>
      </c>
      <c r="O966" s="18" t="n">
        <v>2</v>
      </c>
      <c r="P966" s="18" t="inlineStr">
        <is>
          <t>#cobblemon:is_beach; #cobblemon:is_river</t>
        </is>
      </c>
      <c r="Q966" s="18" t="inlineStr">
        <is>
          <t>uncommon</t>
        </is>
      </c>
      <c r="R966" s="18" t="inlineStr"/>
      <c r="S966" s="18" t="inlineStr">
        <is>
          <t>cobbleventure:generation_9</t>
        </is>
      </c>
      <c r="T966" s="18">
        <f>IF(M966=0,"없음",IF(N966=0,"전부 제외","사용"))</f>
        <v/>
      </c>
      <c r="U966" s="18" t="inlineStr"/>
    </row>
    <row r="967" ht="30" customHeight="1">
      <c r="A967" s="18" t="n">
        <v>963</v>
      </c>
      <c r="B967" s="18" t="inlineStr">
        <is>
          <t>맨돌핀</t>
        </is>
      </c>
      <c r="C967" s="18" t="inlineStr">
        <is>
          <t>finizen</t>
        </is>
      </c>
      <c r="D967" s="18" t="inlineStr">
        <is>
          <t>Finizen</t>
        </is>
      </c>
      <c r="E967" s="18" t="n">
        <v>9</v>
      </c>
      <c r="F967" s="18" t="inlineStr">
        <is>
          <t>generation9</t>
        </is>
      </c>
      <c r="G967" s="18" t="inlineStr">
        <is>
          <t>water</t>
        </is>
      </c>
      <c r="H967" s="18" t="inlineStr"/>
      <c r="I967" s="18" t="inlineStr">
        <is>
          <t>예</t>
        </is>
      </c>
      <c r="J967" s="18" t="inlineStr">
        <is>
          <t>예</t>
        </is>
      </c>
      <c r="K967" s="18" t="inlineStr">
        <is>
          <t>예</t>
        </is>
      </c>
      <c r="L967" s="18" t="inlineStr">
        <is>
          <t>Cobblemon 동일</t>
        </is>
      </c>
      <c r="M967" s="18">
        <f>COUNTIF('스폰_편집'!$D$5:$D$3125,A967)</f>
        <v/>
      </c>
      <c r="N967" s="18">
        <f>COUNTIFS('스폰_편집'!$D$5:$D$3125,A967,'스폰_편집'!$B$5:$B$3125,"사용")</f>
        <v/>
      </c>
      <c r="O967" s="18" t="n">
        <v>1</v>
      </c>
      <c r="P967" s="18" t="inlineStr">
        <is>
          <t>#cobblemon:is_ocean</t>
        </is>
      </c>
      <c r="Q967" s="18" t="inlineStr">
        <is>
          <t>common; uncommon</t>
        </is>
      </c>
      <c r="R967" s="18" t="inlineStr"/>
      <c r="S967" s="18" t="inlineStr">
        <is>
          <t>cobbleventure:generation_9</t>
        </is>
      </c>
      <c r="T967" s="18">
        <f>IF(M967=0,"없음",IF(N967=0,"전부 제외","사용"))</f>
        <v/>
      </c>
      <c r="U967" s="18" t="inlineStr"/>
    </row>
    <row r="968" ht="30" customHeight="1">
      <c r="A968" s="18" t="n">
        <v>964</v>
      </c>
      <c r="B968" s="18" t="inlineStr">
        <is>
          <t>돌핀맨</t>
        </is>
      </c>
      <c r="C968" s="18" t="inlineStr">
        <is>
          <t>palafin</t>
        </is>
      </c>
      <c r="D968" s="18" t="inlineStr">
        <is>
          <t>Palafin</t>
        </is>
      </c>
      <c r="E968" s="18" t="n">
        <v>9</v>
      </c>
      <c r="F968" s="18" t="inlineStr">
        <is>
          <t>generation9</t>
        </is>
      </c>
      <c r="G968" s="18" t="inlineStr">
        <is>
          <t>water</t>
        </is>
      </c>
      <c r="H968" s="18" t="inlineStr"/>
      <c r="I968" s="18" t="inlineStr">
        <is>
          <t>예</t>
        </is>
      </c>
      <c r="J968" s="18" t="inlineStr">
        <is>
          <t>예</t>
        </is>
      </c>
      <c r="K968" s="18" t="inlineStr">
        <is>
          <t>예</t>
        </is>
      </c>
      <c r="L968" s="18" t="inlineStr">
        <is>
          <t>Cobblemon 동일</t>
        </is>
      </c>
      <c r="M968" s="18">
        <f>COUNTIF('스폰_편집'!$D$5:$D$3125,A968)</f>
        <v/>
      </c>
      <c r="N968" s="18">
        <f>COUNTIFS('스폰_편집'!$D$5:$D$3125,A968,'스폰_편집'!$B$5:$B$3125,"사용")</f>
        <v/>
      </c>
      <c r="O968" s="18" t="n">
        <v>1</v>
      </c>
      <c r="P968" s="18" t="inlineStr">
        <is>
          <t>#cobblemon:is_ocean</t>
        </is>
      </c>
      <c r="Q968" s="18" t="inlineStr">
        <is>
          <t>common; uncommon</t>
        </is>
      </c>
      <c r="R968" s="18" t="inlineStr"/>
      <c r="S968" s="18" t="inlineStr">
        <is>
          <t>cobbleventure:generation_9</t>
        </is>
      </c>
      <c r="T968" s="18">
        <f>IF(M968=0,"없음",IF(N968=0,"전부 제외","사용"))</f>
        <v/>
      </c>
      <c r="U968" s="18" t="inlineStr"/>
    </row>
    <row r="969" ht="30" customHeight="1">
      <c r="A969" s="18" t="n">
        <v>965</v>
      </c>
      <c r="B969" s="18" t="inlineStr">
        <is>
          <t>부르롱</t>
        </is>
      </c>
      <c r="C969" s="18" t="inlineStr">
        <is>
          <t>varoom</t>
        </is>
      </c>
      <c r="D969" s="18" t="inlineStr">
        <is>
          <t>Varoom</t>
        </is>
      </c>
      <c r="E969" s="18" t="n">
        <v>9</v>
      </c>
      <c r="F969" s="18" t="inlineStr">
        <is>
          <t>generation9</t>
        </is>
      </c>
      <c r="G969" s="18" t="inlineStr">
        <is>
          <t>steel</t>
        </is>
      </c>
      <c r="H969" s="18" t="inlineStr">
        <is>
          <t>poison</t>
        </is>
      </c>
      <c r="I969" s="18" t="inlineStr">
        <is>
          <t>예</t>
        </is>
      </c>
      <c r="J969" s="18" t="inlineStr">
        <is>
          <t>예</t>
        </is>
      </c>
      <c r="K969" s="18" t="inlineStr">
        <is>
          <t>예</t>
        </is>
      </c>
      <c r="L969" s="18" t="inlineStr">
        <is>
          <t>Cobblemon 동일</t>
        </is>
      </c>
      <c r="M969" s="18">
        <f>COUNTIF('스폰_편집'!$D$5:$D$3125,A969)</f>
        <v/>
      </c>
      <c r="N969" s="18">
        <f>COUNTIFS('스폰_편집'!$D$5:$D$3125,A969,'스폰_편집'!$B$5:$B$3125,"사용")</f>
        <v/>
      </c>
      <c r="O969" s="18" t="n">
        <v>2</v>
      </c>
      <c r="P969" s="18" t="inlineStr">
        <is>
          <t>#cobblemon:is_badlands; #cobblemon:is_overworld</t>
        </is>
      </c>
      <c r="Q969" s="18" t="inlineStr">
        <is>
          <t>uncommon</t>
        </is>
      </c>
      <c r="R969" s="18" t="inlineStr">
        <is>
          <t>region_01; region_02</t>
        </is>
      </c>
      <c r="S969" s="18" t="inlineStr">
        <is>
          <t>cobbleventure:generation_9</t>
        </is>
      </c>
      <c r="T969" s="18">
        <f>IF(M969=0,"없음",IF(N969=0,"전부 제외","사용"))</f>
        <v/>
      </c>
      <c r="U969" s="18" t="inlineStr"/>
    </row>
    <row r="970" ht="30" customHeight="1">
      <c r="A970" s="18" t="n">
        <v>966</v>
      </c>
      <c r="B970" s="18" t="inlineStr">
        <is>
          <t>부르르룸</t>
        </is>
      </c>
      <c r="C970" s="18" t="inlineStr">
        <is>
          <t>revavroom</t>
        </is>
      </c>
      <c r="D970" s="18" t="inlineStr">
        <is>
          <t>Revavroom</t>
        </is>
      </c>
      <c r="E970" s="18" t="n">
        <v>9</v>
      </c>
      <c r="F970" s="18" t="inlineStr">
        <is>
          <t>generation9</t>
        </is>
      </c>
      <c r="G970" s="18" t="inlineStr">
        <is>
          <t>steel</t>
        </is>
      </c>
      <c r="H970" s="18" t="inlineStr">
        <is>
          <t>poison</t>
        </is>
      </c>
      <c r="I970" s="18" t="inlineStr">
        <is>
          <t>예</t>
        </is>
      </c>
      <c r="J970" s="18" t="inlineStr">
        <is>
          <t>예</t>
        </is>
      </c>
      <c r="K970" s="18" t="inlineStr">
        <is>
          <t>예</t>
        </is>
      </c>
      <c r="L970" s="18" t="inlineStr">
        <is>
          <t>Cobblemon 동일</t>
        </is>
      </c>
      <c r="M970" s="18">
        <f>COUNTIF('스폰_편집'!$D$5:$D$3125,A970)</f>
        <v/>
      </c>
      <c r="N970" s="18">
        <f>COUNTIFS('스폰_편집'!$D$5:$D$3125,A970,'스폰_편집'!$B$5:$B$3125,"사용")</f>
        <v/>
      </c>
      <c r="O970" s="18" t="n">
        <v>2</v>
      </c>
      <c r="P970" s="18" t="inlineStr">
        <is>
          <t>#cobblemon:is_badlands; #cobblemon:is_overworld</t>
        </is>
      </c>
      <c r="Q970" s="18" t="inlineStr">
        <is>
          <t>uncommon</t>
        </is>
      </c>
      <c r="R970" s="18" t="inlineStr">
        <is>
          <t>region_01; region_02</t>
        </is>
      </c>
      <c r="S970" s="18" t="inlineStr">
        <is>
          <t>cobbleventure:generation_9</t>
        </is>
      </c>
      <c r="T970" s="18">
        <f>IF(M970=0,"없음",IF(N970=0,"전부 제외","사용"))</f>
        <v/>
      </c>
      <c r="U970" s="18" t="inlineStr"/>
    </row>
    <row r="971" ht="30" customHeight="1">
      <c r="A971" s="18" t="n">
        <v>967</v>
      </c>
      <c r="B971" s="18" t="inlineStr">
        <is>
          <t>모토마</t>
        </is>
      </c>
      <c r="C971" s="18" t="inlineStr">
        <is>
          <t>cyclizar</t>
        </is>
      </c>
      <c r="D971" s="18" t="inlineStr">
        <is>
          <t>Cyclizar</t>
        </is>
      </c>
      <c r="E971" s="18" t="n">
        <v>9</v>
      </c>
      <c r="F971" s="18" t="inlineStr">
        <is>
          <t>generation9</t>
        </is>
      </c>
      <c r="G971" s="18" t="inlineStr">
        <is>
          <t>dragon</t>
        </is>
      </c>
      <c r="H971" s="18" t="inlineStr">
        <is>
          <t>normal</t>
        </is>
      </c>
      <c r="I971" s="18" t="inlineStr">
        <is>
          <t>예</t>
        </is>
      </c>
      <c r="J971" s="18" t="inlineStr">
        <is>
          <t>예</t>
        </is>
      </c>
      <c r="K971" s="18" t="inlineStr">
        <is>
          <t>예</t>
        </is>
      </c>
      <c r="L971" s="18" t="inlineStr">
        <is>
          <t>Cobblemon 동일</t>
        </is>
      </c>
      <c r="M971" s="18">
        <f>COUNTIF('스폰_편집'!$D$5:$D$3125,A971)</f>
        <v/>
      </c>
      <c r="N971" s="18">
        <f>COUNTIFS('스폰_편집'!$D$5:$D$3125,A971,'스폰_편집'!$B$5:$B$3125,"사용")</f>
        <v/>
      </c>
      <c r="O971" s="18" t="n">
        <v>2</v>
      </c>
      <c r="P971" s="18" t="inlineStr">
        <is>
          <t>#cobblemon:is_badlands; #cobblemon:is_grassland</t>
        </is>
      </c>
      <c r="Q971" s="18" t="inlineStr">
        <is>
          <t>rare</t>
        </is>
      </c>
      <c r="R971" s="18" t="inlineStr">
        <is>
          <t>region_01</t>
        </is>
      </c>
      <c r="S971" s="18" t="inlineStr">
        <is>
          <t>cobbleventure:generation_9</t>
        </is>
      </c>
      <c r="T971" s="18">
        <f>IF(M971=0,"없음",IF(N971=0,"전부 제외","사용"))</f>
        <v/>
      </c>
      <c r="U971" s="18" t="inlineStr"/>
    </row>
    <row r="972" ht="30" customHeight="1">
      <c r="A972" s="18" t="n">
        <v>968</v>
      </c>
      <c r="B972" s="18" t="inlineStr">
        <is>
          <t>꿈트렁</t>
        </is>
      </c>
      <c r="C972" s="18" t="inlineStr">
        <is>
          <t>orthworm</t>
        </is>
      </c>
      <c r="D972" s="18" t="inlineStr">
        <is>
          <t>Orthworm</t>
        </is>
      </c>
      <c r="E972" s="18" t="n">
        <v>9</v>
      </c>
      <c r="F972" s="18" t="inlineStr">
        <is>
          <t>generation9</t>
        </is>
      </c>
      <c r="G972" s="18" t="inlineStr">
        <is>
          <t>steel</t>
        </is>
      </c>
      <c r="H972" s="18" t="inlineStr"/>
      <c r="I972" s="18" t="inlineStr">
        <is>
          <t>예</t>
        </is>
      </c>
      <c r="J972" s="18" t="inlineStr">
        <is>
          <t>예</t>
        </is>
      </c>
      <c r="K972" s="18" t="inlineStr">
        <is>
          <t>예</t>
        </is>
      </c>
      <c r="L972" s="18" t="inlineStr">
        <is>
          <t>Cobblemon 동일</t>
        </is>
      </c>
      <c r="M972" s="18">
        <f>COUNTIF('스폰_편집'!$D$5:$D$3125,A972)</f>
        <v/>
      </c>
      <c r="N972" s="18">
        <f>COUNTIFS('스폰_편집'!$D$5:$D$3125,A972,'스폰_편집'!$B$5:$B$3125,"사용")</f>
        <v/>
      </c>
      <c r="O972" s="18" t="n">
        <v>4</v>
      </c>
      <c r="P972" s="18" t="inlineStr">
        <is>
          <t>#cobblemon:is_badlands; #cobblemon:is_desert; #cobblemon:is_overworld; #cobblemon:nether/is_desert</t>
        </is>
      </c>
      <c r="Q972" s="18" t="inlineStr">
        <is>
          <t>common; uncommon</t>
        </is>
      </c>
      <c r="R972" s="18" t="inlineStr">
        <is>
          <t>region_01; region_02</t>
        </is>
      </c>
      <c r="S972" s="18" t="inlineStr">
        <is>
          <t>cobbleventure:generation_9</t>
        </is>
      </c>
      <c r="T972" s="18">
        <f>IF(M972=0,"없음",IF(N972=0,"전부 제외","사용"))</f>
        <v/>
      </c>
      <c r="U972" s="18" t="inlineStr"/>
    </row>
    <row r="973" ht="30" customHeight="1">
      <c r="A973" s="18" t="n">
        <v>969</v>
      </c>
      <c r="B973" s="18" t="inlineStr">
        <is>
          <t>초롱순</t>
        </is>
      </c>
      <c r="C973" s="18" t="inlineStr">
        <is>
          <t>glimmet</t>
        </is>
      </c>
      <c r="D973" s="18" t="inlineStr">
        <is>
          <t>Glimmet</t>
        </is>
      </c>
      <c r="E973" s="18" t="n">
        <v>9</v>
      </c>
      <c r="F973" s="18" t="inlineStr">
        <is>
          <t>generation9</t>
        </is>
      </c>
      <c r="G973" s="18" t="inlineStr">
        <is>
          <t>rock</t>
        </is>
      </c>
      <c r="H973" s="18" t="inlineStr">
        <is>
          <t>poison</t>
        </is>
      </c>
      <c r="I973" s="18" t="inlineStr">
        <is>
          <t>예</t>
        </is>
      </c>
      <c r="J973" s="18" t="inlineStr">
        <is>
          <t>예</t>
        </is>
      </c>
      <c r="K973" s="18" t="inlineStr">
        <is>
          <t>예</t>
        </is>
      </c>
      <c r="L973" s="18" t="inlineStr">
        <is>
          <t>COBBLEVERSE 수정</t>
        </is>
      </c>
      <c r="M973" s="18">
        <f>COUNTIF('스폰_편집'!$D$5:$D$3125,A973)</f>
        <v/>
      </c>
      <c r="N973" s="18">
        <f>COUNTIFS('스폰_편집'!$D$5:$D$3125,A973,'스폰_편집'!$B$5:$B$3125,"사용")</f>
        <v/>
      </c>
      <c r="O973" s="18" t="n">
        <v>4</v>
      </c>
      <c r="P973" s="18" t="inlineStr">
        <is>
          <t>#cobblemon:is_overworld; #cobblemon:nether/is_quartz; biomesoplenty:crystalline_chasm; the_bumblezone:crystal_canyon</t>
        </is>
      </c>
      <c r="Q973" s="18" t="inlineStr">
        <is>
          <t>common</t>
        </is>
      </c>
      <c r="R973" s="18" t="inlineStr">
        <is>
          <t>region_01; region_02</t>
        </is>
      </c>
      <c r="S973" s="18" t="inlineStr">
        <is>
          <t>cobbleventure:generation_9</t>
        </is>
      </c>
      <c r="T973" s="18">
        <f>IF(M973=0,"없음",IF(N973=0,"전부 제외","사용"))</f>
        <v/>
      </c>
      <c r="U973" s="18" t="inlineStr"/>
    </row>
    <row r="974" ht="30" customHeight="1">
      <c r="A974" s="18" t="n">
        <v>970</v>
      </c>
      <c r="B974" s="18" t="inlineStr">
        <is>
          <t>킬라플로르</t>
        </is>
      </c>
      <c r="C974" s="18" t="inlineStr">
        <is>
          <t>glimmora</t>
        </is>
      </c>
      <c r="D974" s="18" t="inlineStr">
        <is>
          <t>Glimmora</t>
        </is>
      </c>
      <c r="E974" s="18" t="n">
        <v>9</v>
      </c>
      <c r="F974" s="18" t="inlineStr">
        <is>
          <t>generation9</t>
        </is>
      </c>
      <c r="G974" s="18" t="inlineStr">
        <is>
          <t>rock</t>
        </is>
      </c>
      <c r="H974" s="18" t="inlineStr">
        <is>
          <t>poison</t>
        </is>
      </c>
      <c r="I974" s="18" t="inlineStr">
        <is>
          <t>예</t>
        </is>
      </c>
      <c r="J974" s="18" t="inlineStr">
        <is>
          <t>예</t>
        </is>
      </c>
      <c r="K974" s="18" t="inlineStr">
        <is>
          <t>예</t>
        </is>
      </c>
      <c r="L974" s="18" t="inlineStr">
        <is>
          <t>COBBLEVERSE 수정</t>
        </is>
      </c>
      <c r="M974" s="18">
        <f>COUNTIF('스폰_편집'!$D$5:$D$3125,A974)</f>
        <v/>
      </c>
      <c r="N974" s="18">
        <f>COUNTIFS('스폰_편집'!$D$5:$D$3125,A974,'스폰_편집'!$B$5:$B$3125,"사용")</f>
        <v/>
      </c>
      <c r="O974" s="18" t="n">
        <v>4</v>
      </c>
      <c r="P974" s="18" t="inlineStr">
        <is>
          <t>#cobblemon:is_overworld; #cobblemon:nether/is_quartz; biomesoplenty:crystalline_chasm; the_bumblezone:crystal_canyon</t>
        </is>
      </c>
      <c r="Q974" s="18" t="inlineStr">
        <is>
          <t>common</t>
        </is>
      </c>
      <c r="R974" s="18" t="inlineStr">
        <is>
          <t>region_01; region_02</t>
        </is>
      </c>
      <c r="S974" s="18" t="inlineStr">
        <is>
          <t>cobbleventure:generation_9</t>
        </is>
      </c>
      <c r="T974" s="18">
        <f>IF(M974=0,"없음",IF(N974=0,"전부 제외","사용"))</f>
        <v/>
      </c>
      <c r="U974" s="18" t="inlineStr"/>
    </row>
    <row r="975" ht="30" customHeight="1">
      <c r="A975" s="18" t="n">
        <v>971</v>
      </c>
      <c r="B975" s="18" t="inlineStr">
        <is>
          <t>망망이</t>
        </is>
      </c>
      <c r="C975" s="18" t="inlineStr">
        <is>
          <t>greavard</t>
        </is>
      </c>
      <c r="D975" s="18" t="inlineStr">
        <is>
          <t>Greavard</t>
        </is>
      </c>
      <c r="E975" s="18" t="n">
        <v>9</v>
      </c>
      <c r="F975" s="18" t="inlineStr">
        <is>
          <t>generation9</t>
        </is>
      </c>
      <c r="G975" s="18" t="inlineStr">
        <is>
          <t>ghost</t>
        </is>
      </c>
      <c r="H975" s="18" t="inlineStr"/>
      <c r="I975" s="18" t="inlineStr">
        <is>
          <t>아니오</t>
        </is>
      </c>
      <c r="J975" s="18" t="inlineStr">
        <is>
          <t>아니오</t>
        </is>
      </c>
      <c r="K975" s="18" t="inlineStr">
        <is>
          <t>예</t>
        </is>
      </c>
      <c r="L975" s="18" t="inlineStr">
        <is>
          <t>COBBLEVERSE 추가</t>
        </is>
      </c>
      <c r="M975" s="18">
        <f>COUNTIF('스폰_편집'!$D$5:$D$3125,A975)</f>
        <v/>
      </c>
      <c r="N975" s="18">
        <f>COUNTIFS('스폰_편집'!$D$5:$D$3125,A975,'스폰_편집'!$B$5:$B$3125,"사용")</f>
        <v/>
      </c>
      <c r="O975" s="18" t="n">
        <v>2</v>
      </c>
      <c r="P975" s="18" t="inlineStr">
        <is>
          <t>#cobblemon:is_spooky; minecraft:dark_forest</t>
        </is>
      </c>
      <c r="Q975" s="18" t="inlineStr">
        <is>
          <t>rare</t>
        </is>
      </c>
      <c r="R975" s="18" t="inlineStr"/>
      <c r="S975" s="18" t="inlineStr">
        <is>
          <t>cobbleventure:generation_9</t>
        </is>
      </c>
      <c r="T975" s="18">
        <f>IF(M975=0,"없음",IF(N975=0,"전부 제외","사용"))</f>
        <v/>
      </c>
      <c r="U975" s="18" t="inlineStr"/>
    </row>
    <row r="976" ht="30" customHeight="1">
      <c r="A976" s="18" t="n">
        <v>972</v>
      </c>
      <c r="B976" s="18" t="inlineStr">
        <is>
          <t>묘두기</t>
        </is>
      </c>
      <c r="C976" s="18" t="inlineStr">
        <is>
          <t>houndstone</t>
        </is>
      </c>
      <c r="D976" s="18" t="inlineStr">
        <is>
          <t>Houndstone</t>
        </is>
      </c>
      <c r="E976" s="18" t="n">
        <v>9</v>
      </c>
      <c r="F976" s="18" t="inlineStr">
        <is>
          <t>generation9</t>
        </is>
      </c>
      <c r="G976" s="18" t="inlineStr">
        <is>
          <t>ghost</t>
        </is>
      </c>
      <c r="H976" s="18" t="inlineStr"/>
      <c r="I976" s="18" t="inlineStr">
        <is>
          <t>아니오</t>
        </is>
      </c>
      <c r="J976" s="18" t="inlineStr">
        <is>
          <t>아니오</t>
        </is>
      </c>
      <c r="K976" s="18" t="inlineStr">
        <is>
          <t>예</t>
        </is>
      </c>
      <c r="L976" s="18" t="inlineStr">
        <is>
          <t>COBBLEVERSE 추가</t>
        </is>
      </c>
      <c r="M976" s="18">
        <f>COUNTIF('스폰_편집'!$D$5:$D$3125,A976)</f>
        <v/>
      </c>
      <c r="N976" s="18">
        <f>COUNTIFS('스폰_편집'!$D$5:$D$3125,A976,'스폰_편집'!$B$5:$B$3125,"사용")</f>
        <v/>
      </c>
      <c r="O976" s="18" t="n">
        <v>2</v>
      </c>
      <c r="P976" s="18" t="inlineStr">
        <is>
          <t>#cobblemon:is_spooky; minecraft:dark_forest</t>
        </is>
      </c>
      <c r="Q976" s="18" t="inlineStr">
        <is>
          <t>rare</t>
        </is>
      </c>
      <c r="R976" s="18" t="inlineStr"/>
      <c r="S976" s="18" t="inlineStr">
        <is>
          <t>cobbleventure:generation_9</t>
        </is>
      </c>
      <c r="T976" s="18">
        <f>IF(M976=0,"없음",IF(N976=0,"전부 제외","사용"))</f>
        <v/>
      </c>
      <c r="U976" s="18" t="inlineStr"/>
    </row>
    <row r="977" ht="30" customHeight="1">
      <c r="A977" s="18" t="n">
        <v>973</v>
      </c>
      <c r="B977" s="18" t="inlineStr">
        <is>
          <t>꼬이밍고</t>
        </is>
      </c>
      <c r="C977" s="18" t="inlineStr">
        <is>
          <t>flamigo</t>
        </is>
      </c>
      <c r="D977" s="18" t="inlineStr">
        <is>
          <t>Flamigo</t>
        </is>
      </c>
      <c r="E977" s="18" t="n">
        <v>9</v>
      </c>
      <c r="F977" s="18" t="inlineStr">
        <is>
          <t>generation9</t>
        </is>
      </c>
      <c r="G977" s="18" t="inlineStr">
        <is>
          <t>flying</t>
        </is>
      </c>
      <c r="H977" s="18" t="inlineStr">
        <is>
          <t>fighting</t>
        </is>
      </c>
      <c r="I977" s="18" t="inlineStr">
        <is>
          <t>예</t>
        </is>
      </c>
      <c r="J977" s="18" t="inlineStr">
        <is>
          <t>예</t>
        </is>
      </c>
      <c r="K977" s="18" t="inlineStr">
        <is>
          <t>예</t>
        </is>
      </c>
      <c r="L977" s="18" t="inlineStr">
        <is>
          <t>Cobblemon 동일</t>
        </is>
      </c>
      <c r="M977" s="18">
        <f>COUNTIF('스폰_편집'!$D$5:$D$3125,A977)</f>
        <v/>
      </c>
      <c r="N977" s="18">
        <f>COUNTIFS('스폰_편집'!$D$5:$D$3125,A977,'스폰_편집'!$B$5:$B$3125,"사용")</f>
        <v/>
      </c>
      <c r="O977" s="18" t="n">
        <v>5</v>
      </c>
      <c r="P977" s="18" t="inlineStr">
        <is>
          <t>#aether:is_aether; #cobblemon:is_jungle; #cobblemon:is_savanna; #cobblemon:is_swamp; #cobblemon:is_tropical_island</t>
        </is>
      </c>
      <c r="Q977" s="18" t="inlineStr">
        <is>
          <t>common; uncommon</t>
        </is>
      </c>
      <c r="R977" s="18" t="inlineStr">
        <is>
          <t>region_02</t>
        </is>
      </c>
      <c r="S977" s="18" t="inlineStr">
        <is>
          <t>cobbleventure:generation_9</t>
        </is>
      </c>
      <c r="T977" s="18">
        <f>IF(M977=0,"없음",IF(N977=0,"전부 제외","사용"))</f>
        <v/>
      </c>
      <c r="U977" s="18" t="inlineStr"/>
    </row>
    <row r="978" ht="30" customHeight="1">
      <c r="A978" s="18" t="n">
        <v>974</v>
      </c>
      <c r="B978" s="18" t="inlineStr">
        <is>
          <t>터벅고래</t>
        </is>
      </c>
      <c r="C978" s="18" t="inlineStr">
        <is>
          <t>cetoddle</t>
        </is>
      </c>
      <c r="D978" s="18" t="inlineStr">
        <is>
          <t>Cetoddle</t>
        </is>
      </c>
      <c r="E978" s="18" t="n">
        <v>9</v>
      </c>
      <c r="F978" s="18" t="inlineStr">
        <is>
          <t>generation9</t>
        </is>
      </c>
      <c r="G978" s="18" t="inlineStr">
        <is>
          <t>ice</t>
        </is>
      </c>
      <c r="H978" s="18" t="inlineStr"/>
      <c r="I978" s="18" t="inlineStr">
        <is>
          <t>예</t>
        </is>
      </c>
      <c r="J978" s="18" t="inlineStr">
        <is>
          <t>예</t>
        </is>
      </c>
      <c r="K978" s="18" t="inlineStr">
        <is>
          <t>예</t>
        </is>
      </c>
      <c r="L978" s="18" t="inlineStr">
        <is>
          <t>Cobblemon 동일</t>
        </is>
      </c>
      <c r="M978" s="18">
        <f>COUNTIF('스폰_편집'!$D$5:$D$3125,A978)</f>
        <v/>
      </c>
      <c r="N978" s="18">
        <f>COUNTIFS('스폰_편집'!$D$5:$D$3125,A978,'스폰_편집'!$B$5:$B$3125,"사용")</f>
        <v/>
      </c>
      <c r="O978" s="18" t="n">
        <v>3</v>
      </c>
      <c r="P978" s="18" t="inlineStr">
        <is>
          <t>#cobblemon:is_frozen_ocean; #cobblemon:is_glacial; #cobblemon:is_tundra</t>
        </is>
      </c>
      <c r="Q978" s="18" t="inlineStr">
        <is>
          <t>uncommon</t>
        </is>
      </c>
      <c r="R978" s="18" t="inlineStr"/>
      <c r="S978" s="18" t="inlineStr">
        <is>
          <t>cobbleventure:generation_9</t>
        </is>
      </c>
      <c r="T978" s="18">
        <f>IF(M978=0,"없음",IF(N978=0,"전부 제외","사용"))</f>
        <v/>
      </c>
      <c r="U978" s="18" t="inlineStr"/>
    </row>
    <row r="979" ht="30" customHeight="1">
      <c r="A979" s="18" t="n">
        <v>975</v>
      </c>
      <c r="B979" s="18" t="inlineStr">
        <is>
          <t>우락고래</t>
        </is>
      </c>
      <c r="C979" s="18" t="inlineStr">
        <is>
          <t>cetitan</t>
        </is>
      </c>
      <c r="D979" s="18" t="inlineStr">
        <is>
          <t>Cetitan</t>
        </is>
      </c>
      <c r="E979" s="18" t="n">
        <v>9</v>
      </c>
      <c r="F979" s="18" t="inlineStr">
        <is>
          <t>generation9</t>
        </is>
      </c>
      <c r="G979" s="18" t="inlineStr">
        <is>
          <t>ice</t>
        </is>
      </c>
      <c r="H979" s="18" t="inlineStr"/>
      <c r="I979" s="18" t="inlineStr">
        <is>
          <t>예</t>
        </is>
      </c>
      <c r="J979" s="18" t="inlineStr">
        <is>
          <t>예</t>
        </is>
      </c>
      <c r="K979" s="18" t="inlineStr">
        <is>
          <t>예</t>
        </is>
      </c>
      <c r="L979" s="18" t="inlineStr">
        <is>
          <t>Cobblemon 동일</t>
        </is>
      </c>
      <c r="M979" s="18">
        <f>COUNTIF('스폰_편집'!$D$5:$D$3125,A979)</f>
        <v/>
      </c>
      <c r="N979" s="18">
        <f>COUNTIFS('스폰_편집'!$D$5:$D$3125,A979,'스폰_편집'!$B$5:$B$3125,"사용")</f>
        <v/>
      </c>
      <c r="O979" s="18" t="n">
        <v>3</v>
      </c>
      <c r="P979" s="18" t="inlineStr">
        <is>
          <t>#cobblemon:is_frozen_ocean; #cobblemon:is_glacial; #cobblemon:is_tundra</t>
        </is>
      </c>
      <c r="Q979" s="18" t="inlineStr">
        <is>
          <t>uncommon</t>
        </is>
      </c>
      <c r="R979" s="18" t="inlineStr"/>
      <c r="S979" s="18" t="inlineStr">
        <is>
          <t>cobbleventure:generation_9</t>
        </is>
      </c>
      <c r="T979" s="18">
        <f>IF(M979=0,"없음",IF(N979=0,"전부 제외","사용"))</f>
        <v/>
      </c>
      <c r="U979" s="18" t="inlineStr"/>
    </row>
    <row r="980" ht="30" customHeight="1">
      <c r="A980" s="18" t="n">
        <v>976</v>
      </c>
      <c r="B980" s="18" t="inlineStr">
        <is>
          <t>가비루사</t>
        </is>
      </c>
      <c r="C980" s="18" t="inlineStr">
        <is>
          <t>veluza</t>
        </is>
      </c>
      <c r="D980" s="18" t="inlineStr">
        <is>
          <t>Veluza</t>
        </is>
      </c>
      <c r="E980" s="18" t="n">
        <v>9</v>
      </c>
      <c r="F980" s="18" t="inlineStr">
        <is>
          <t>generation9</t>
        </is>
      </c>
      <c r="G980" s="18" t="inlineStr">
        <is>
          <t>water</t>
        </is>
      </c>
      <c r="H980" s="18" t="inlineStr">
        <is>
          <t>psychic</t>
        </is>
      </c>
      <c r="I980" s="18" t="inlineStr">
        <is>
          <t>예</t>
        </is>
      </c>
      <c r="J980" s="18" t="inlineStr">
        <is>
          <t>예</t>
        </is>
      </c>
      <c r="K980" s="18" t="inlineStr">
        <is>
          <t>예</t>
        </is>
      </c>
      <c r="L980" s="18" t="inlineStr">
        <is>
          <t>Cobblemon 동일</t>
        </is>
      </c>
      <c r="M980" s="18">
        <f>COUNTIF('스폰_편집'!$D$5:$D$3125,A980)</f>
        <v/>
      </c>
      <c r="N980" s="18">
        <f>COUNTIFS('스폰_편집'!$D$5:$D$3125,A980,'스폰_편집'!$B$5:$B$3125,"사용")</f>
        <v/>
      </c>
      <c r="O980" s="18" t="n">
        <v>2</v>
      </c>
      <c r="P980" s="18" t="inlineStr">
        <is>
          <t>#cobblemon:is_ocean; #cobblemon:is_overworld</t>
        </is>
      </c>
      <c r="Q980" s="18" t="inlineStr">
        <is>
          <t>common; uncommon</t>
        </is>
      </c>
      <c r="R980" s="18" t="inlineStr">
        <is>
          <t>region_01; region_02</t>
        </is>
      </c>
      <c r="S980" s="18" t="inlineStr">
        <is>
          <t>cobbleventure:generation_9</t>
        </is>
      </c>
      <c r="T980" s="18">
        <f>IF(M980=0,"없음",IF(N980=0,"전부 제외","사용"))</f>
        <v/>
      </c>
      <c r="U980" s="18" t="inlineStr"/>
    </row>
    <row r="981" ht="30" customHeight="1">
      <c r="A981" s="18" t="n">
        <v>977</v>
      </c>
      <c r="B981" s="18" t="inlineStr">
        <is>
          <t>어써러셔</t>
        </is>
      </c>
      <c r="C981" s="18" t="inlineStr">
        <is>
          <t>dondozo</t>
        </is>
      </c>
      <c r="D981" s="18" t="inlineStr">
        <is>
          <t>Dondozo</t>
        </is>
      </c>
      <c r="E981" s="18" t="n">
        <v>9</v>
      </c>
      <c r="F981" s="18" t="inlineStr">
        <is>
          <t>generation9</t>
        </is>
      </c>
      <c r="G981" s="18" t="inlineStr">
        <is>
          <t>water</t>
        </is>
      </c>
      <c r="H981" s="18" t="inlineStr"/>
      <c r="I981" s="18" t="inlineStr">
        <is>
          <t>예</t>
        </is>
      </c>
      <c r="J981" s="18" t="inlineStr">
        <is>
          <t>예</t>
        </is>
      </c>
      <c r="K981" s="18" t="inlineStr">
        <is>
          <t>예</t>
        </is>
      </c>
      <c r="L981" s="18" t="inlineStr">
        <is>
          <t>Cobblemon 동일</t>
        </is>
      </c>
      <c r="M981" s="18">
        <f>COUNTIF('스폰_편집'!$D$5:$D$3125,A981)</f>
        <v/>
      </c>
      <c r="N981" s="18">
        <f>COUNTIFS('스폰_편집'!$D$5:$D$3125,A981,'스폰_편집'!$B$5:$B$3125,"사용")</f>
        <v/>
      </c>
      <c r="O981" s="18" t="n">
        <v>4</v>
      </c>
      <c r="P981" s="18" t="inlineStr">
        <is>
          <t>#cobblemon:is_bamboo; #cobblemon:is_forest; #cobblemon:is_jungle; #cobblemon:is_swamp</t>
        </is>
      </c>
      <c r="Q981" s="18" t="inlineStr">
        <is>
          <t>rare</t>
        </is>
      </c>
      <c r="R981" s="18" t="inlineStr">
        <is>
          <t>region_01; region_02</t>
        </is>
      </c>
      <c r="S981" s="18" t="inlineStr">
        <is>
          <t>cobbleventure:generation_9</t>
        </is>
      </c>
      <c r="T981" s="18">
        <f>IF(M981=0,"없음",IF(N981=0,"전부 제외","사용"))</f>
        <v/>
      </c>
      <c r="U981" s="18" t="inlineStr"/>
    </row>
    <row r="982" ht="30" customHeight="1">
      <c r="A982" s="18" t="n">
        <v>978</v>
      </c>
      <c r="B982" s="18" t="inlineStr">
        <is>
          <t>싸리용</t>
        </is>
      </c>
      <c r="C982" s="18" t="inlineStr">
        <is>
          <t>tatsugiri</t>
        </is>
      </c>
      <c r="D982" s="18" t="inlineStr">
        <is>
          <t>Tatsugiri</t>
        </is>
      </c>
      <c r="E982" s="18" t="n">
        <v>9</v>
      </c>
      <c r="F982" s="18" t="inlineStr">
        <is>
          <t>generation9</t>
        </is>
      </c>
      <c r="G982" s="18" t="inlineStr">
        <is>
          <t>dragon</t>
        </is>
      </c>
      <c r="H982" s="18" t="inlineStr">
        <is>
          <t>water</t>
        </is>
      </c>
      <c r="I982" s="18" t="inlineStr">
        <is>
          <t>예</t>
        </is>
      </c>
      <c r="J982" s="18" t="inlineStr">
        <is>
          <t>예</t>
        </is>
      </c>
      <c r="K982" s="18" t="inlineStr">
        <is>
          <t>예</t>
        </is>
      </c>
      <c r="L982" s="18" t="inlineStr">
        <is>
          <t>Cobblemon 동일</t>
        </is>
      </c>
      <c r="M982" s="18">
        <f>COUNTIF('스폰_편집'!$D$5:$D$3125,A982)</f>
        <v/>
      </c>
      <c r="N982" s="18">
        <f>COUNTIFS('스폰_편집'!$D$5:$D$3125,A982,'스폰_편집'!$B$5:$B$3125,"사용")</f>
        <v/>
      </c>
      <c r="O982" s="18" t="n">
        <v>4</v>
      </c>
      <c r="P982" s="18" t="inlineStr">
        <is>
          <t>#cobblemon:is_bamboo; #cobblemon:is_forest; #cobblemon:is_jungle; #cobblemon:is_swamp</t>
        </is>
      </c>
      <c r="Q982" s="18" t="inlineStr">
        <is>
          <t>rare</t>
        </is>
      </c>
      <c r="R982" s="18" t="inlineStr">
        <is>
          <t>region_01; region_02</t>
        </is>
      </c>
      <c r="S982" s="18" t="inlineStr">
        <is>
          <t>cobbleventure:generation_9</t>
        </is>
      </c>
      <c r="T982" s="18">
        <f>IF(M982=0,"없음",IF(N982=0,"전부 제외","사용"))</f>
        <v/>
      </c>
      <c r="U982" s="18" t="inlineStr"/>
    </row>
    <row r="983" ht="30" customHeight="1">
      <c r="A983" s="18" t="n">
        <v>979</v>
      </c>
      <c r="B983" s="18" t="inlineStr">
        <is>
          <t>저승갓숭</t>
        </is>
      </c>
      <c r="C983" s="18" t="inlineStr">
        <is>
          <t>annihilape</t>
        </is>
      </c>
      <c r="D983" s="18" t="inlineStr">
        <is>
          <t>Annihilape</t>
        </is>
      </c>
      <c r="E983" s="18" t="n">
        <v>9</v>
      </c>
      <c r="F983" s="18" t="inlineStr">
        <is>
          <t>generation9</t>
        </is>
      </c>
      <c r="G983" s="18" t="inlineStr">
        <is>
          <t>fighting</t>
        </is>
      </c>
      <c r="H983" s="18" t="inlineStr">
        <is>
          <t>ghost</t>
        </is>
      </c>
      <c r="I983" s="18" t="inlineStr">
        <is>
          <t>예</t>
        </is>
      </c>
      <c r="J983" s="18" t="inlineStr">
        <is>
          <t>예</t>
        </is>
      </c>
      <c r="K983" s="18" t="inlineStr">
        <is>
          <t>예</t>
        </is>
      </c>
      <c r="L983" s="18" t="inlineStr">
        <is>
          <t>Cobblemon 동일</t>
        </is>
      </c>
      <c r="M983" s="18">
        <f>COUNTIF('스폰_편집'!$D$5:$D$3125,A983)</f>
        <v/>
      </c>
      <c r="N983" s="18">
        <f>COUNTIFS('스폰_편집'!$D$5:$D$3125,A983,'스폰_편집'!$B$5:$B$3125,"사용")</f>
        <v/>
      </c>
      <c r="O983" s="18" t="n">
        <v>2</v>
      </c>
      <c r="P983" s="18" t="inlineStr">
        <is>
          <t>#cobblemon:is_hills; #cobblemon:is_jungle</t>
        </is>
      </c>
      <c r="Q983" s="18" t="inlineStr">
        <is>
          <t>common</t>
        </is>
      </c>
      <c r="R983" s="18" t="inlineStr"/>
      <c r="S983" s="18" t="inlineStr">
        <is>
          <t>cobbleventure:generation_9</t>
        </is>
      </c>
      <c r="T983" s="18">
        <f>IF(M983=0,"없음",IF(N983=0,"전부 제외","사용"))</f>
        <v/>
      </c>
      <c r="U983" s="18" t="inlineStr"/>
    </row>
    <row r="984" ht="30" customHeight="1">
      <c r="A984" s="18" t="n">
        <v>980</v>
      </c>
      <c r="B984" s="18" t="inlineStr">
        <is>
          <t>토오</t>
        </is>
      </c>
      <c r="C984" s="18" t="inlineStr">
        <is>
          <t>clodsire</t>
        </is>
      </c>
      <c r="D984" s="18" t="inlineStr">
        <is>
          <t>Clodsire</t>
        </is>
      </c>
      <c r="E984" s="18" t="n">
        <v>9</v>
      </c>
      <c r="F984" s="18" t="inlineStr">
        <is>
          <t>generation9</t>
        </is>
      </c>
      <c r="G984" s="18" t="inlineStr">
        <is>
          <t>poison</t>
        </is>
      </c>
      <c r="H984" s="18" t="inlineStr">
        <is>
          <t>ground</t>
        </is>
      </c>
      <c r="I984" s="18" t="inlineStr">
        <is>
          <t>예</t>
        </is>
      </c>
      <c r="J984" s="18" t="inlineStr">
        <is>
          <t>예</t>
        </is>
      </c>
      <c r="K984" s="18" t="inlineStr">
        <is>
          <t>예</t>
        </is>
      </c>
      <c r="L984" s="18" t="inlineStr">
        <is>
          <t>Cobblemon 동일</t>
        </is>
      </c>
      <c r="M984" s="18">
        <f>COUNTIF('스폰_편집'!$D$5:$D$3125,A984)</f>
        <v/>
      </c>
      <c r="N984" s="18">
        <f>COUNTIFS('스폰_편집'!$D$5:$D$3125,A984,'스폰_편집'!$B$5:$B$3125,"사용")</f>
        <v/>
      </c>
      <c r="O984" s="18" t="n">
        <v>3</v>
      </c>
      <c r="P984" s="18" t="inlineStr">
        <is>
          <t>#cobblemon:has_block/mud; #cobblemon:is_arid; #cobblemon:is_savanna</t>
        </is>
      </c>
      <c r="Q984" s="18" t="inlineStr">
        <is>
          <t>common; uncommon</t>
        </is>
      </c>
      <c r="R984" s="18" t="inlineStr">
        <is>
          <t>region_02</t>
        </is>
      </c>
      <c r="S984" s="18" t="inlineStr">
        <is>
          <t>cobbleventure:generation_9</t>
        </is>
      </c>
      <c r="T984" s="18">
        <f>IF(M984=0,"없음",IF(N984=0,"전부 제외","사용"))</f>
        <v/>
      </c>
      <c r="U984" s="18" t="inlineStr"/>
    </row>
    <row r="985" ht="30" customHeight="1">
      <c r="A985" s="18" t="n">
        <v>981</v>
      </c>
      <c r="B985" s="18" t="inlineStr">
        <is>
          <t>키키링</t>
        </is>
      </c>
      <c r="C985" s="18" t="inlineStr">
        <is>
          <t>farigiraf</t>
        </is>
      </c>
      <c r="D985" s="18" t="inlineStr">
        <is>
          <t>Farigiraf</t>
        </is>
      </c>
      <c r="E985" s="18" t="n">
        <v>9</v>
      </c>
      <c r="F985" s="18" t="inlineStr">
        <is>
          <t>generation9</t>
        </is>
      </c>
      <c r="G985" s="18" t="inlineStr">
        <is>
          <t>normal</t>
        </is>
      </c>
      <c r="H985" s="18" t="inlineStr">
        <is>
          <t>psychic</t>
        </is>
      </c>
      <c r="I985" s="18" t="inlineStr">
        <is>
          <t>예</t>
        </is>
      </c>
      <c r="J985" s="18" t="inlineStr">
        <is>
          <t>예</t>
        </is>
      </c>
      <c r="K985" s="18" t="inlineStr">
        <is>
          <t>예</t>
        </is>
      </c>
      <c r="L985" s="18" t="inlineStr">
        <is>
          <t>Cobblemon 동일</t>
        </is>
      </c>
      <c r="M985" s="18">
        <f>COUNTIF('스폰_편집'!$D$5:$D$3125,A985)</f>
        <v/>
      </c>
      <c r="N985" s="18">
        <f>COUNTIFS('스폰_편집'!$D$5:$D$3125,A985,'스폰_편집'!$B$5:$B$3125,"사용")</f>
        <v/>
      </c>
      <c r="O985" s="18" t="n">
        <v>1</v>
      </c>
      <c r="P985" s="18" t="inlineStr">
        <is>
          <t>#cobblemon:is_savanna</t>
        </is>
      </c>
      <c r="Q985" s="18" t="inlineStr">
        <is>
          <t>common</t>
        </is>
      </c>
      <c r="R985" s="18" t="inlineStr"/>
      <c r="S985" s="18" t="inlineStr">
        <is>
          <t>cobbleventure:generation_9</t>
        </is>
      </c>
      <c r="T985" s="18">
        <f>IF(M985=0,"없음",IF(N985=0,"전부 제외","사용"))</f>
        <v/>
      </c>
      <c r="U985" s="18" t="inlineStr"/>
    </row>
    <row r="986" ht="30" customHeight="1">
      <c r="A986" s="18" t="n">
        <v>982</v>
      </c>
      <c r="B986" s="18" t="inlineStr">
        <is>
          <t>노고고치</t>
        </is>
      </c>
      <c r="C986" s="18" t="inlineStr">
        <is>
          <t>dudunsparce</t>
        </is>
      </c>
      <c r="D986" s="18" t="inlineStr">
        <is>
          <t>Dudunsparce</t>
        </is>
      </c>
      <c r="E986" s="18" t="n">
        <v>9</v>
      </c>
      <c r="F986" s="18" t="inlineStr">
        <is>
          <t>generation9</t>
        </is>
      </c>
      <c r="G986" s="18" t="inlineStr">
        <is>
          <t>normal</t>
        </is>
      </c>
      <c r="H986" s="18" t="inlineStr"/>
      <c r="I986" s="18" t="inlineStr">
        <is>
          <t>예</t>
        </is>
      </c>
      <c r="J986" s="18" t="inlineStr">
        <is>
          <t>예</t>
        </is>
      </c>
      <c r="K986" s="18" t="inlineStr">
        <is>
          <t>예</t>
        </is>
      </c>
      <c r="L986" s="18" t="inlineStr">
        <is>
          <t>Cobblemon 동일</t>
        </is>
      </c>
      <c r="M986" s="18">
        <f>COUNTIF('스폰_편집'!$D$5:$D$3125,A986)</f>
        <v/>
      </c>
      <c r="N986" s="18">
        <f>COUNTIFS('스폰_편집'!$D$5:$D$3125,A986,'스폰_편집'!$B$5:$B$3125,"사용")</f>
        <v/>
      </c>
      <c r="O986" s="18" t="n">
        <v>1</v>
      </c>
      <c r="P986" s="18" t="inlineStr">
        <is>
          <t>#cobblemon:is_overworld</t>
        </is>
      </c>
      <c r="Q986" s="18" t="inlineStr">
        <is>
          <t>uncommon</t>
        </is>
      </c>
      <c r="R986" s="18" t="inlineStr">
        <is>
          <t>region_01; region_02</t>
        </is>
      </c>
      <c r="S986" s="18" t="inlineStr">
        <is>
          <t>cobbleventure:generation_9</t>
        </is>
      </c>
      <c r="T986" s="18">
        <f>IF(M986=0,"없음",IF(N986=0,"전부 제외","사용"))</f>
        <v/>
      </c>
      <c r="U986" s="18" t="inlineStr"/>
    </row>
    <row r="987" ht="30" customHeight="1">
      <c r="A987" s="18" t="n">
        <v>983</v>
      </c>
      <c r="B987" s="18" t="inlineStr">
        <is>
          <t>대도각참</t>
        </is>
      </c>
      <c r="C987" s="18" t="inlineStr">
        <is>
          <t>kingambit</t>
        </is>
      </c>
      <c r="D987" s="18" t="inlineStr">
        <is>
          <t>Kingambit</t>
        </is>
      </c>
      <c r="E987" s="18" t="n">
        <v>9</v>
      </c>
      <c r="F987" s="18" t="inlineStr">
        <is>
          <t>generation9</t>
        </is>
      </c>
      <c r="G987" s="18" t="inlineStr">
        <is>
          <t>dark</t>
        </is>
      </c>
      <c r="H987" s="18" t="inlineStr">
        <is>
          <t>steel</t>
        </is>
      </c>
      <c r="I987" s="18" t="inlineStr">
        <is>
          <t>아니오</t>
        </is>
      </c>
      <c r="J987" s="18" t="inlineStr">
        <is>
          <t>아니오</t>
        </is>
      </c>
      <c r="K987" s="18" t="inlineStr">
        <is>
          <t>예</t>
        </is>
      </c>
      <c r="L987" s="18" t="inlineStr">
        <is>
          <t>COBBLEVERSE 추가</t>
        </is>
      </c>
      <c r="M987" s="18">
        <f>COUNTIF('스폰_편집'!$D$5:$D$3125,A987)</f>
        <v/>
      </c>
      <c r="N987" s="18">
        <f>COUNTIFS('스폰_편집'!$D$5:$D$3125,A987,'스폰_편집'!$B$5:$B$3125,"사용")</f>
        <v/>
      </c>
      <c r="O987" s="18" t="n">
        <v>1</v>
      </c>
      <c r="P987" s="18" t="inlineStr">
        <is>
          <t>minecraft:bamboo_jungle</t>
        </is>
      </c>
      <c r="Q987" s="18" t="inlineStr">
        <is>
          <t>ultra-rare</t>
        </is>
      </c>
      <c r="R987" s="18" t="inlineStr"/>
      <c r="S987" s="18" t="inlineStr">
        <is>
          <t>cobbleventure:generation_9</t>
        </is>
      </c>
      <c r="T987" s="18">
        <f>IF(M987=0,"없음",IF(N987=0,"전부 제외","사용"))</f>
        <v/>
      </c>
      <c r="U987" s="18" t="inlineStr"/>
    </row>
    <row r="988" ht="30" customHeight="1">
      <c r="A988" s="18" t="n">
        <v>984</v>
      </c>
      <c r="B988" s="18" t="inlineStr">
        <is>
          <t>위대한엄니</t>
        </is>
      </c>
      <c r="C988" s="18" t="inlineStr">
        <is>
          <t>greattusk</t>
        </is>
      </c>
      <c r="D988" s="18" t="inlineStr">
        <is>
          <t>Great Tusk</t>
        </is>
      </c>
      <c r="E988" s="18" t="n">
        <v>9</v>
      </c>
      <c r="F988" s="18" t="inlineStr">
        <is>
          <t>generation9</t>
        </is>
      </c>
      <c r="G988" s="18" t="inlineStr">
        <is>
          <t>ground</t>
        </is>
      </c>
      <c r="H988" s="18" t="inlineStr">
        <is>
          <t>fighting</t>
        </is>
      </c>
      <c r="I988" s="18" t="inlineStr">
        <is>
          <t>아니오</t>
        </is>
      </c>
      <c r="J988" s="18" t="inlineStr">
        <is>
          <t>아니오</t>
        </is>
      </c>
      <c r="K988" s="18" t="inlineStr">
        <is>
          <t>예</t>
        </is>
      </c>
      <c r="L988" s="18" t="inlineStr">
        <is>
          <t>COBBLEVERSE 추가</t>
        </is>
      </c>
      <c r="M988" s="18">
        <f>COUNTIF('스폰_편집'!$D$5:$D$3125,A988)</f>
        <v/>
      </c>
      <c r="N988" s="18">
        <f>COUNTIFS('스폰_편집'!$D$5:$D$3125,A988,'스폰_편집'!$B$5:$B$3125,"사용")</f>
        <v/>
      </c>
      <c r="O988" s="18" t="n">
        <v>1</v>
      </c>
      <c r="P988" s="18" t="inlineStr">
        <is>
          <t>#cobblemon:is_arid</t>
        </is>
      </c>
      <c r="Q988" s="18" t="inlineStr">
        <is>
          <t>rare</t>
        </is>
      </c>
      <c r="R988" s="18" t="inlineStr">
        <is>
          <t>region_02</t>
        </is>
      </c>
      <c r="S988" s="18" t="inlineStr">
        <is>
          <t>cobbleventure:generation_9</t>
        </is>
      </c>
      <c r="T988" s="18">
        <f>IF(M988=0,"없음",IF(N988=0,"전부 제외","사용"))</f>
        <v/>
      </c>
      <c r="U988" s="18" t="inlineStr"/>
    </row>
    <row r="989" ht="30" customHeight="1">
      <c r="A989" s="18" t="n">
        <v>985</v>
      </c>
      <c r="B989" s="18" t="inlineStr">
        <is>
          <t>우렁찬꼬리</t>
        </is>
      </c>
      <c r="C989" s="18" t="inlineStr">
        <is>
          <t>screamtail</t>
        </is>
      </c>
      <c r="D989" s="18" t="inlineStr">
        <is>
          <t>Scream Tail</t>
        </is>
      </c>
      <c r="E989" s="18" t="n">
        <v>9</v>
      </c>
      <c r="F989" s="18" t="inlineStr">
        <is>
          <t>generation9</t>
        </is>
      </c>
      <c r="G989" s="18" t="inlineStr">
        <is>
          <t>fairy</t>
        </is>
      </c>
      <c r="H989" s="18" t="inlineStr">
        <is>
          <t>psychic</t>
        </is>
      </c>
      <c r="I989" s="18" t="inlineStr">
        <is>
          <t>아니오</t>
        </is>
      </c>
      <c r="J989" s="18" t="inlineStr">
        <is>
          <t>아니오</t>
        </is>
      </c>
      <c r="K989" s="18" t="inlineStr">
        <is>
          <t>예</t>
        </is>
      </c>
      <c r="L989" s="18" t="inlineStr">
        <is>
          <t>COBBLEVERSE 추가</t>
        </is>
      </c>
      <c r="M989" s="18">
        <f>COUNTIF('스폰_편집'!$D$5:$D$3125,A989)</f>
        <v/>
      </c>
      <c r="N989" s="18">
        <f>COUNTIFS('스폰_편집'!$D$5:$D$3125,A989,'스폰_편집'!$B$5:$B$3125,"사용")</f>
        <v/>
      </c>
      <c r="O989" s="18" t="n">
        <v>1</v>
      </c>
      <c r="P989" s="18" t="inlineStr">
        <is>
          <t>#cobblemon:is_floral</t>
        </is>
      </c>
      <c r="Q989" s="18" t="inlineStr">
        <is>
          <t>rare</t>
        </is>
      </c>
      <c r="R989" s="18" t="inlineStr"/>
      <c r="S989" s="18" t="inlineStr">
        <is>
          <t>cobbleventure:generation_9</t>
        </is>
      </c>
      <c r="T989" s="18">
        <f>IF(M989=0,"없음",IF(N989=0,"전부 제외","사용"))</f>
        <v/>
      </c>
      <c r="U989" s="18" t="inlineStr"/>
    </row>
    <row r="990" ht="30" customHeight="1">
      <c r="A990" s="18" t="n">
        <v>986</v>
      </c>
      <c r="B990" s="18" t="inlineStr">
        <is>
          <t>사나운버섯</t>
        </is>
      </c>
      <c r="C990" s="18" t="inlineStr">
        <is>
          <t>brutebonnet</t>
        </is>
      </c>
      <c r="D990" s="18" t="inlineStr">
        <is>
          <t>Brute Bonnet</t>
        </is>
      </c>
      <c r="E990" s="18" t="n">
        <v>9</v>
      </c>
      <c r="F990" s="18" t="inlineStr">
        <is>
          <t>generation9</t>
        </is>
      </c>
      <c r="G990" s="18" t="inlineStr">
        <is>
          <t>grass</t>
        </is>
      </c>
      <c r="H990" s="18" t="inlineStr">
        <is>
          <t>dark</t>
        </is>
      </c>
      <c r="I990" s="18" t="inlineStr">
        <is>
          <t>아니오</t>
        </is>
      </c>
      <c r="J990" s="18" t="inlineStr">
        <is>
          <t>아니오</t>
        </is>
      </c>
      <c r="K990" s="18" t="inlineStr">
        <is>
          <t>예</t>
        </is>
      </c>
      <c r="L990" s="18" t="inlineStr">
        <is>
          <t>COBBLEVERSE 추가</t>
        </is>
      </c>
      <c r="M990" s="18">
        <f>COUNTIF('스폰_편집'!$D$5:$D$3125,A990)</f>
        <v/>
      </c>
      <c r="N990" s="18">
        <f>COUNTIFS('스폰_편집'!$D$5:$D$3125,A990,'스폰_편집'!$B$5:$B$3125,"사용")</f>
        <v/>
      </c>
      <c r="O990" s="18" t="n">
        <v>1</v>
      </c>
      <c r="P990" s="18" t="inlineStr">
        <is>
          <t>#cobblemon:is_jungle</t>
        </is>
      </c>
      <c r="Q990" s="18" t="inlineStr">
        <is>
          <t>rare</t>
        </is>
      </c>
      <c r="R990" s="18" t="inlineStr"/>
      <c r="S990" s="18" t="inlineStr">
        <is>
          <t>cobbleventure:generation_9</t>
        </is>
      </c>
      <c r="T990" s="18">
        <f>IF(M990=0,"없음",IF(N990=0,"전부 제외","사용"))</f>
        <v/>
      </c>
      <c r="U990" s="18" t="inlineStr"/>
    </row>
    <row r="991" ht="30" customHeight="1">
      <c r="A991" s="18" t="n">
        <v>987</v>
      </c>
      <c r="B991" s="18" t="inlineStr">
        <is>
          <t>날개치는머리</t>
        </is>
      </c>
      <c r="C991" s="18" t="inlineStr">
        <is>
          <t>fluttermane</t>
        </is>
      </c>
      <c r="D991" s="18" t="inlineStr">
        <is>
          <t>Flutter Mane</t>
        </is>
      </c>
      <c r="E991" s="18" t="n">
        <v>9</v>
      </c>
      <c r="F991" s="18" t="inlineStr">
        <is>
          <t>generation9</t>
        </is>
      </c>
      <c r="G991" s="18" t="inlineStr">
        <is>
          <t>ghost</t>
        </is>
      </c>
      <c r="H991" s="18" t="inlineStr">
        <is>
          <t>fairy</t>
        </is>
      </c>
      <c r="I991" s="18" t="inlineStr">
        <is>
          <t>아니오</t>
        </is>
      </c>
      <c r="J991" s="18" t="inlineStr">
        <is>
          <t>아니오</t>
        </is>
      </c>
      <c r="K991" s="18" t="inlineStr">
        <is>
          <t>예</t>
        </is>
      </c>
      <c r="L991" s="18" t="inlineStr">
        <is>
          <t>COBBLEVERSE 추가</t>
        </is>
      </c>
      <c r="M991" s="18">
        <f>COUNTIF('스폰_편집'!$D$5:$D$3125,A991)</f>
        <v/>
      </c>
      <c r="N991" s="18">
        <f>COUNTIFS('스폰_편집'!$D$5:$D$3125,A991,'스폰_편집'!$B$5:$B$3125,"사용")</f>
        <v/>
      </c>
      <c r="O991" s="18" t="n">
        <v>2</v>
      </c>
      <c r="P991" s="18" t="inlineStr">
        <is>
          <t>#cobblemon:is_spooky; minecraft:deep_dark</t>
        </is>
      </c>
      <c r="Q991" s="18" t="inlineStr">
        <is>
          <t>rare</t>
        </is>
      </c>
      <c r="R991" s="18" t="inlineStr"/>
      <c r="S991" s="18" t="inlineStr">
        <is>
          <t>cobbleventure:generation_9</t>
        </is>
      </c>
      <c r="T991" s="18">
        <f>IF(M991=0,"없음",IF(N991=0,"전부 제외","사용"))</f>
        <v/>
      </c>
      <c r="U991" s="18" t="inlineStr"/>
    </row>
    <row r="992" ht="30" customHeight="1">
      <c r="A992" s="18" t="n">
        <v>988</v>
      </c>
      <c r="B992" s="18" t="inlineStr">
        <is>
          <t>땅을기는날개</t>
        </is>
      </c>
      <c r="C992" s="18" t="inlineStr">
        <is>
          <t>slitherwing</t>
        </is>
      </c>
      <c r="D992" s="18" t="inlineStr">
        <is>
          <t>Slither Wing</t>
        </is>
      </c>
      <c r="E992" s="18" t="n">
        <v>9</v>
      </c>
      <c r="F992" s="18" t="inlineStr">
        <is>
          <t>generation9</t>
        </is>
      </c>
      <c r="G992" s="18" t="inlineStr">
        <is>
          <t>bug</t>
        </is>
      </c>
      <c r="H992" s="18" t="inlineStr">
        <is>
          <t>fighting</t>
        </is>
      </c>
      <c r="I992" s="18" t="inlineStr">
        <is>
          <t>아니오</t>
        </is>
      </c>
      <c r="J992" s="18" t="inlineStr">
        <is>
          <t>아니오</t>
        </is>
      </c>
      <c r="K992" s="18" t="inlineStr">
        <is>
          <t>예</t>
        </is>
      </c>
      <c r="L992" s="18" t="inlineStr">
        <is>
          <t>COBBLEVERSE 추가</t>
        </is>
      </c>
      <c r="M992" s="18">
        <f>COUNTIF('스폰_편집'!$D$5:$D$3125,A992)</f>
        <v/>
      </c>
      <c r="N992" s="18">
        <f>COUNTIFS('스폰_편집'!$D$5:$D$3125,A992,'스폰_편집'!$B$5:$B$3125,"사용")</f>
        <v/>
      </c>
      <c r="O992" s="18" t="n">
        <v>2</v>
      </c>
      <c r="P992" s="18" t="inlineStr">
        <is>
          <t>#cobblemon:is_jungle; minecraft:crimson_forest</t>
        </is>
      </c>
      <c r="Q992" s="18" t="inlineStr">
        <is>
          <t>rare; ultra-rare</t>
        </is>
      </c>
      <c r="R992" s="18" t="inlineStr"/>
      <c r="S992" s="18" t="inlineStr">
        <is>
          <t>cobbleventure:generation_9</t>
        </is>
      </c>
      <c r="T992" s="18">
        <f>IF(M992=0,"없음",IF(N992=0,"전부 제외","사용"))</f>
        <v/>
      </c>
      <c r="U992" s="18" t="inlineStr"/>
    </row>
    <row r="993" ht="30" customHeight="1">
      <c r="A993" s="18" t="n">
        <v>989</v>
      </c>
      <c r="B993" s="18" t="inlineStr">
        <is>
          <t>모래털가죽</t>
        </is>
      </c>
      <c r="C993" s="18" t="inlineStr">
        <is>
          <t>sandyshocks</t>
        </is>
      </c>
      <c r="D993" s="18" t="inlineStr">
        <is>
          <t>Sandy Shocks</t>
        </is>
      </c>
      <c r="E993" s="18" t="n">
        <v>9</v>
      </c>
      <c r="F993" s="18" t="inlineStr">
        <is>
          <t>generation9</t>
        </is>
      </c>
      <c r="G993" s="18" t="inlineStr">
        <is>
          <t>electric</t>
        </is>
      </c>
      <c r="H993" s="18" t="inlineStr">
        <is>
          <t>ground</t>
        </is>
      </c>
      <c r="I993" s="18" t="inlineStr">
        <is>
          <t>아니오</t>
        </is>
      </c>
      <c r="J993" s="18" t="inlineStr">
        <is>
          <t>아니오</t>
        </is>
      </c>
      <c r="K993" s="18" t="inlineStr">
        <is>
          <t>예</t>
        </is>
      </c>
      <c r="L993" s="18" t="inlineStr">
        <is>
          <t>COBBLEVERSE 추가</t>
        </is>
      </c>
      <c r="M993" s="18">
        <f>COUNTIF('스폰_편집'!$D$5:$D$3125,A993)</f>
        <v/>
      </c>
      <c r="N993" s="18">
        <f>COUNTIFS('스폰_편집'!$D$5:$D$3125,A993,'스폰_편집'!$B$5:$B$3125,"사용")</f>
        <v/>
      </c>
      <c r="O993" s="18" t="n">
        <v>1</v>
      </c>
      <c r="P993" s="18" t="inlineStr">
        <is>
          <t>#cobblemon:is_arid</t>
        </is>
      </c>
      <c r="Q993" s="18" t="inlineStr">
        <is>
          <t>rare</t>
        </is>
      </c>
      <c r="R993" s="18" t="inlineStr">
        <is>
          <t>region_02</t>
        </is>
      </c>
      <c r="S993" s="18" t="inlineStr">
        <is>
          <t>cobbleventure:generation_9</t>
        </is>
      </c>
      <c r="T993" s="18">
        <f>IF(M993=0,"없음",IF(N993=0,"전부 제외","사용"))</f>
        <v/>
      </c>
      <c r="U993" s="18" t="inlineStr"/>
    </row>
    <row r="994" ht="30" customHeight="1">
      <c r="A994" s="18" t="n">
        <v>990</v>
      </c>
      <c r="B994" s="18" t="inlineStr">
        <is>
          <t>무쇠바퀴</t>
        </is>
      </c>
      <c r="C994" s="18" t="inlineStr">
        <is>
          <t>irontreads</t>
        </is>
      </c>
      <c r="D994" s="18" t="inlineStr">
        <is>
          <t>Iron Treads</t>
        </is>
      </c>
      <c r="E994" s="18" t="n">
        <v>9</v>
      </c>
      <c r="F994" s="18" t="inlineStr">
        <is>
          <t>generation9</t>
        </is>
      </c>
      <c r="G994" s="18" t="inlineStr">
        <is>
          <t>ground</t>
        </is>
      </c>
      <c r="H994" s="18" t="inlineStr">
        <is>
          <t>steel</t>
        </is>
      </c>
      <c r="I994" s="18" t="inlineStr">
        <is>
          <t>아니오</t>
        </is>
      </c>
      <c r="J994" s="18" t="inlineStr">
        <is>
          <t>아니오</t>
        </is>
      </c>
      <c r="K994" s="18" t="inlineStr">
        <is>
          <t>예</t>
        </is>
      </c>
      <c r="L994" s="18" t="inlineStr">
        <is>
          <t>COBBLEVERSE 추가</t>
        </is>
      </c>
      <c r="M994" s="18">
        <f>COUNTIF('스폰_편집'!$D$5:$D$3125,A994)</f>
        <v/>
      </c>
      <c r="N994" s="18">
        <f>COUNTIFS('스폰_편집'!$D$5:$D$3125,A994,'스폰_편집'!$B$5:$B$3125,"사용")</f>
        <v/>
      </c>
      <c r="O994" s="18" t="n">
        <v>2</v>
      </c>
      <c r="P994" s="18" t="inlineStr">
        <is>
          <t>#cobblemon:is_arid; #cobblemon:is_mountain</t>
        </is>
      </c>
      <c r="Q994" s="18" t="inlineStr">
        <is>
          <t>rare</t>
        </is>
      </c>
      <c r="R994" s="18" t="inlineStr">
        <is>
          <t>region_02</t>
        </is>
      </c>
      <c r="S994" s="18" t="inlineStr">
        <is>
          <t>cobbleventure:generation_9</t>
        </is>
      </c>
      <c r="T994" s="18">
        <f>IF(M994=0,"없음",IF(N994=0,"전부 제외","사용"))</f>
        <v/>
      </c>
      <c r="U994" s="18" t="inlineStr"/>
    </row>
    <row r="995" ht="30" customHeight="1">
      <c r="A995" s="18" t="n">
        <v>991</v>
      </c>
      <c r="B995" s="18" t="inlineStr">
        <is>
          <t>무쇠보따리</t>
        </is>
      </c>
      <c r="C995" s="18" t="inlineStr">
        <is>
          <t>ironbundle</t>
        </is>
      </c>
      <c r="D995" s="18" t="inlineStr">
        <is>
          <t>Iron Bundle</t>
        </is>
      </c>
      <c r="E995" s="18" t="n">
        <v>9</v>
      </c>
      <c r="F995" s="18" t="inlineStr">
        <is>
          <t>generation9</t>
        </is>
      </c>
      <c r="G995" s="18" t="inlineStr">
        <is>
          <t>ice</t>
        </is>
      </c>
      <c r="H995" s="18" t="inlineStr">
        <is>
          <t>water</t>
        </is>
      </c>
      <c r="I995" s="18" t="inlineStr">
        <is>
          <t>아니오</t>
        </is>
      </c>
      <c r="J995" s="18" t="inlineStr">
        <is>
          <t>아니오</t>
        </is>
      </c>
      <c r="K995" s="18" t="inlineStr">
        <is>
          <t>예</t>
        </is>
      </c>
      <c r="L995" s="18" t="inlineStr">
        <is>
          <t>COBBLEVERSE 추가</t>
        </is>
      </c>
      <c r="M995" s="18">
        <f>COUNTIF('스폰_편집'!$D$5:$D$3125,A995)</f>
        <v/>
      </c>
      <c r="N995" s="18">
        <f>COUNTIFS('스폰_편집'!$D$5:$D$3125,A995,'스폰_편집'!$B$5:$B$3125,"사용")</f>
        <v/>
      </c>
      <c r="O995" s="18" t="n">
        <v>3</v>
      </c>
      <c r="P995" s="18" t="inlineStr">
        <is>
          <t>#cobblemon:is_freezing; #cobblemon:is_glacial; #cobblemon:is_tundra</t>
        </is>
      </c>
      <c r="Q995" s="18" t="inlineStr">
        <is>
          <t>rare</t>
        </is>
      </c>
      <c r="R995" s="18" t="inlineStr"/>
      <c r="S995" s="18" t="inlineStr">
        <is>
          <t>cobbleventure:generation_9</t>
        </is>
      </c>
      <c r="T995" s="18">
        <f>IF(M995=0,"없음",IF(N995=0,"전부 제외","사용"))</f>
        <v/>
      </c>
      <c r="U995" s="18" t="inlineStr"/>
    </row>
    <row r="996" ht="30" customHeight="1">
      <c r="A996" s="18" t="n">
        <v>992</v>
      </c>
      <c r="B996" s="18" t="inlineStr">
        <is>
          <t>무쇠손</t>
        </is>
      </c>
      <c r="C996" s="18" t="inlineStr">
        <is>
          <t>ironhands</t>
        </is>
      </c>
      <c r="D996" s="18" t="inlineStr">
        <is>
          <t>Iron Hands</t>
        </is>
      </c>
      <c r="E996" s="18" t="n">
        <v>9</v>
      </c>
      <c r="F996" s="18" t="inlineStr">
        <is>
          <t>generation9</t>
        </is>
      </c>
      <c r="G996" s="18" t="inlineStr">
        <is>
          <t>fighting</t>
        </is>
      </c>
      <c r="H996" s="18" t="inlineStr">
        <is>
          <t>electric</t>
        </is>
      </c>
      <c r="I996" s="18" t="inlineStr">
        <is>
          <t>아니오</t>
        </is>
      </c>
      <c r="J996" s="18" t="inlineStr">
        <is>
          <t>아니오</t>
        </is>
      </c>
      <c r="K996" s="18" t="inlineStr">
        <is>
          <t>예</t>
        </is>
      </c>
      <c r="L996" s="18" t="inlineStr">
        <is>
          <t>COBBLEVERSE 추가</t>
        </is>
      </c>
      <c r="M996" s="18">
        <f>COUNTIF('스폰_편집'!$D$5:$D$3125,A996)</f>
        <v/>
      </c>
      <c r="N996" s="18">
        <f>COUNTIFS('스폰_편집'!$D$5:$D$3125,A996,'스폰_편집'!$B$5:$B$3125,"사용")</f>
        <v/>
      </c>
      <c r="O996" s="18" t="n">
        <v>1</v>
      </c>
      <c r="P996" s="18" t="inlineStr">
        <is>
          <t>minecraft:desert</t>
        </is>
      </c>
      <c r="Q996" s="18" t="inlineStr">
        <is>
          <t>rare</t>
        </is>
      </c>
      <c r="R996" s="18" t="inlineStr">
        <is>
          <t>region_02</t>
        </is>
      </c>
      <c r="S996" s="18" t="inlineStr">
        <is>
          <t>cobbleventure:generation_9</t>
        </is>
      </c>
      <c r="T996" s="18">
        <f>IF(M996=0,"없음",IF(N996=0,"전부 제외","사용"))</f>
        <v/>
      </c>
      <c r="U996" s="18" t="inlineStr"/>
    </row>
    <row r="997" ht="30" customHeight="1">
      <c r="A997" s="18" t="n">
        <v>993</v>
      </c>
      <c r="B997" s="18" t="inlineStr">
        <is>
          <t>무쇠머리</t>
        </is>
      </c>
      <c r="C997" s="18" t="inlineStr">
        <is>
          <t>ironjugulis</t>
        </is>
      </c>
      <c r="D997" s="18" t="inlineStr">
        <is>
          <t>Iron Jugulis</t>
        </is>
      </c>
      <c r="E997" s="18" t="n">
        <v>9</v>
      </c>
      <c r="F997" s="18" t="inlineStr">
        <is>
          <t>generation9</t>
        </is>
      </c>
      <c r="G997" s="18" t="inlineStr">
        <is>
          <t>dark</t>
        </is>
      </c>
      <c r="H997" s="18" t="inlineStr">
        <is>
          <t>flying</t>
        </is>
      </c>
      <c r="I997" s="18" t="inlineStr">
        <is>
          <t>아니오</t>
        </is>
      </c>
      <c r="J997" s="18" t="inlineStr">
        <is>
          <t>아니오</t>
        </is>
      </c>
      <c r="K997" s="18" t="inlineStr">
        <is>
          <t>예</t>
        </is>
      </c>
      <c r="L997" s="18" t="inlineStr">
        <is>
          <t>COBBLEVERSE 추가</t>
        </is>
      </c>
      <c r="M997" s="18">
        <f>COUNTIF('스폰_편집'!$D$5:$D$3125,A997)</f>
        <v/>
      </c>
      <c r="N997" s="18">
        <f>COUNTIFS('스폰_편집'!$D$5:$D$3125,A997,'스폰_편집'!$B$5:$B$3125,"사용")</f>
        <v/>
      </c>
      <c r="O997" s="18" t="n">
        <v>1</v>
      </c>
      <c r="P997" s="18" t="inlineStr">
        <is>
          <t>#cobblemon:is_mountain</t>
        </is>
      </c>
      <c r="Q997" s="18" t="inlineStr">
        <is>
          <t>rare</t>
        </is>
      </c>
      <c r="R997" s="18" t="inlineStr"/>
      <c r="S997" s="18" t="inlineStr">
        <is>
          <t>cobbleventure:generation_9</t>
        </is>
      </c>
      <c r="T997" s="18">
        <f>IF(M997=0,"없음",IF(N997=0,"전부 제외","사용"))</f>
        <v/>
      </c>
      <c r="U997" s="18" t="inlineStr"/>
    </row>
    <row r="998" ht="30" customHeight="1">
      <c r="A998" s="18" t="n">
        <v>994</v>
      </c>
      <c r="B998" s="18" t="inlineStr">
        <is>
          <t>무쇠독나방</t>
        </is>
      </c>
      <c r="C998" s="18" t="inlineStr">
        <is>
          <t>ironmoth</t>
        </is>
      </c>
      <c r="D998" s="18" t="inlineStr">
        <is>
          <t>Iron Moth</t>
        </is>
      </c>
      <c r="E998" s="18" t="n">
        <v>9</v>
      </c>
      <c r="F998" s="18" t="inlineStr">
        <is>
          <t>generation9</t>
        </is>
      </c>
      <c r="G998" s="18" t="inlineStr">
        <is>
          <t>fire</t>
        </is>
      </c>
      <c r="H998" s="18" t="inlineStr">
        <is>
          <t>poison</t>
        </is>
      </c>
      <c r="I998" s="18" t="inlineStr">
        <is>
          <t>아니오</t>
        </is>
      </c>
      <c r="J998" s="18" t="inlineStr">
        <is>
          <t>아니오</t>
        </is>
      </c>
      <c r="K998" s="18" t="inlineStr">
        <is>
          <t>예</t>
        </is>
      </c>
      <c r="L998" s="18" t="inlineStr">
        <is>
          <t>COBBLEVERSE 추가</t>
        </is>
      </c>
      <c r="M998" s="18">
        <f>COUNTIF('스폰_편집'!$D$5:$D$3125,A998)</f>
        <v/>
      </c>
      <c r="N998" s="18">
        <f>COUNTIFS('스폰_편집'!$D$5:$D$3125,A998,'스폰_편집'!$B$5:$B$3125,"사용")</f>
        <v/>
      </c>
      <c r="O998" s="18" t="n">
        <v>1</v>
      </c>
      <c r="P998" s="18" t="inlineStr">
        <is>
          <t>#cobblemon:is_hills</t>
        </is>
      </c>
      <c r="Q998" s="18" t="inlineStr">
        <is>
          <t>rare</t>
        </is>
      </c>
      <c r="R998" s="18" t="inlineStr"/>
      <c r="S998" s="18" t="inlineStr">
        <is>
          <t>cobbleventure:generation_9</t>
        </is>
      </c>
      <c r="T998" s="18">
        <f>IF(M998=0,"없음",IF(N998=0,"전부 제외","사용"))</f>
        <v/>
      </c>
      <c r="U998" s="18" t="inlineStr"/>
    </row>
    <row r="999" ht="30" customHeight="1">
      <c r="A999" s="18" t="n">
        <v>995</v>
      </c>
      <c r="B999" s="18" t="inlineStr">
        <is>
          <t>무쇠가시</t>
        </is>
      </c>
      <c r="C999" s="18" t="inlineStr">
        <is>
          <t>ironthorns</t>
        </is>
      </c>
      <c r="D999" s="18" t="inlineStr">
        <is>
          <t>Iron Thorns</t>
        </is>
      </c>
      <c r="E999" s="18" t="n">
        <v>9</v>
      </c>
      <c r="F999" s="18" t="inlineStr">
        <is>
          <t>generation9</t>
        </is>
      </c>
      <c r="G999" s="18" t="inlineStr">
        <is>
          <t>rock</t>
        </is>
      </c>
      <c r="H999" s="18" t="inlineStr">
        <is>
          <t>electric</t>
        </is>
      </c>
      <c r="I999" s="18" t="inlineStr">
        <is>
          <t>아니오</t>
        </is>
      </c>
      <c r="J999" s="18" t="inlineStr">
        <is>
          <t>아니오</t>
        </is>
      </c>
      <c r="K999" s="18" t="inlineStr">
        <is>
          <t>예</t>
        </is>
      </c>
      <c r="L999" s="18" t="inlineStr">
        <is>
          <t>COBBLEVERSE 추가</t>
        </is>
      </c>
      <c r="M999" s="18">
        <f>COUNTIF('스폰_편집'!$D$5:$D$3125,A999)</f>
        <v/>
      </c>
      <c r="N999" s="18">
        <f>COUNTIFS('스폰_편집'!$D$5:$D$3125,A999,'스폰_편집'!$B$5:$B$3125,"사용")</f>
        <v/>
      </c>
      <c r="O999" s="18" t="n">
        <v>1</v>
      </c>
      <c r="P999" s="18" t="inlineStr">
        <is>
          <t>#cobblemon:is_mountain</t>
        </is>
      </c>
      <c r="Q999" s="18" t="inlineStr">
        <is>
          <t>rare</t>
        </is>
      </c>
      <c r="R999" s="18" t="inlineStr"/>
      <c r="S999" s="18" t="inlineStr">
        <is>
          <t>cobbleventure:generation_9</t>
        </is>
      </c>
      <c r="T999" s="18">
        <f>IF(M999=0,"없음",IF(N999=0,"전부 제외","사용"))</f>
        <v/>
      </c>
      <c r="U999" s="18" t="inlineStr"/>
    </row>
    <row r="1000" ht="30" customHeight="1">
      <c r="A1000" s="18" t="n">
        <v>996</v>
      </c>
      <c r="B1000" s="18" t="inlineStr">
        <is>
          <t>드니차</t>
        </is>
      </c>
      <c r="C1000" s="18" t="inlineStr">
        <is>
          <t>frigibax</t>
        </is>
      </c>
      <c r="D1000" s="18" t="inlineStr">
        <is>
          <t>Frigibax</t>
        </is>
      </c>
      <c r="E1000" s="18" t="n">
        <v>9</v>
      </c>
      <c r="F1000" s="18" t="inlineStr">
        <is>
          <t>generation9</t>
        </is>
      </c>
      <c r="G1000" s="18" t="inlineStr">
        <is>
          <t>dragon</t>
        </is>
      </c>
      <c r="H1000" s="18" t="inlineStr">
        <is>
          <t>ice</t>
        </is>
      </c>
      <c r="I1000" s="18" t="inlineStr">
        <is>
          <t>아니오</t>
        </is>
      </c>
      <c r="J1000" s="18" t="inlineStr">
        <is>
          <t>아니오</t>
        </is>
      </c>
      <c r="K1000" s="18" t="inlineStr">
        <is>
          <t>예</t>
        </is>
      </c>
      <c r="L1000" s="18" t="inlineStr">
        <is>
          <t>COBBLEVERSE 추가</t>
        </is>
      </c>
      <c r="M1000" s="18">
        <f>COUNTIF('스폰_편집'!$D$5:$D$3125,A1000)</f>
        <v/>
      </c>
      <c r="N1000" s="18">
        <f>COUNTIFS('스폰_편집'!$D$5:$D$3125,A1000,'스폰_편집'!$B$5:$B$3125,"사용")</f>
        <v/>
      </c>
      <c r="O1000" s="18" t="n">
        <v>1</v>
      </c>
      <c r="P1000" s="18" t="inlineStr">
        <is>
          <t>#cobblemon:is_glacial</t>
        </is>
      </c>
      <c r="Q1000" s="18" t="inlineStr">
        <is>
          <t>rare</t>
        </is>
      </c>
      <c r="R1000" s="18" t="inlineStr"/>
      <c r="S1000" s="18" t="inlineStr">
        <is>
          <t>cobbleventure:generation_9</t>
        </is>
      </c>
      <c r="T1000" s="18">
        <f>IF(M1000=0,"없음",IF(N1000=0,"전부 제외","사용"))</f>
        <v/>
      </c>
      <c r="U1000" s="18" t="inlineStr"/>
    </row>
    <row r="1001" ht="30" customHeight="1">
      <c r="A1001" s="18" t="n">
        <v>997</v>
      </c>
      <c r="B1001" s="18" t="inlineStr">
        <is>
          <t>드니꽁</t>
        </is>
      </c>
      <c r="C1001" s="18" t="inlineStr">
        <is>
          <t>arctibax</t>
        </is>
      </c>
      <c r="D1001" s="18" t="inlineStr">
        <is>
          <t>Arctibax</t>
        </is>
      </c>
      <c r="E1001" s="18" t="n">
        <v>9</v>
      </c>
      <c r="F1001" s="18" t="inlineStr">
        <is>
          <t>generation9</t>
        </is>
      </c>
      <c r="G1001" s="18" t="inlineStr">
        <is>
          <t>dragon</t>
        </is>
      </c>
      <c r="H1001" s="18" t="inlineStr">
        <is>
          <t>ice</t>
        </is>
      </c>
      <c r="I1001" s="18" t="inlineStr">
        <is>
          <t>아니오</t>
        </is>
      </c>
      <c r="J1001" s="18" t="inlineStr">
        <is>
          <t>아니오</t>
        </is>
      </c>
      <c r="K1001" s="18" t="inlineStr">
        <is>
          <t>예</t>
        </is>
      </c>
      <c r="L1001" s="18" t="inlineStr">
        <is>
          <t>COBBLEVERSE 추가</t>
        </is>
      </c>
      <c r="M1001" s="18">
        <f>COUNTIF('스폰_편집'!$D$5:$D$3125,A1001)</f>
        <v/>
      </c>
      <c r="N1001" s="18">
        <f>COUNTIFS('스폰_편집'!$D$5:$D$3125,A1001,'스폰_편집'!$B$5:$B$3125,"사용")</f>
        <v/>
      </c>
      <c r="O1001" s="18" t="n">
        <v>1</v>
      </c>
      <c r="P1001" s="18" t="inlineStr">
        <is>
          <t>#cobblemon:is_glacial</t>
        </is>
      </c>
      <c r="Q1001" s="18" t="inlineStr">
        <is>
          <t>rare</t>
        </is>
      </c>
      <c r="R1001" s="18" t="inlineStr"/>
      <c r="S1001" s="18" t="inlineStr">
        <is>
          <t>cobbleventure:generation_9</t>
        </is>
      </c>
      <c r="T1001" s="18">
        <f>IF(M1001=0,"없음",IF(N1001=0,"전부 제외","사용"))</f>
        <v/>
      </c>
      <c r="U1001" s="18" t="inlineStr"/>
    </row>
    <row r="1002" ht="30" customHeight="1">
      <c r="A1002" s="18" t="n">
        <v>998</v>
      </c>
      <c r="B1002" s="18" t="inlineStr">
        <is>
          <t>드닐레이브</t>
        </is>
      </c>
      <c r="C1002" s="18" t="inlineStr">
        <is>
          <t>baxcalibur</t>
        </is>
      </c>
      <c r="D1002" s="18" t="inlineStr">
        <is>
          <t>Baxcalibur</t>
        </is>
      </c>
      <c r="E1002" s="18" t="n">
        <v>9</v>
      </c>
      <c r="F1002" s="18" t="inlineStr">
        <is>
          <t>generation9</t>
        </is>
      </c>
      <c r="G1002" s="18" t="inlineStr">
        <is>
          <t>dragon</t>
        </is>
      </c>
      <c r="H1002" s="18" t="inlineStr">
        <is>
          <t>ice</t>
        </is>
      </c>
      <c r="I1002" s="18" t="inlineStr">
        <is>
          <t>아니오</t>
        </is>
      </c>
      <c r="J1002" s="18" t="inlineStr">
        <is>
          <t>아니오</t>
        </is>
      </c>
      <c r="K1002" s="18" t="inlineStr">
        <is>
          <t>예</t>
        </is>
      </c>
      <c r="L1002" s="18" t="inlineStr">
        <is>
          <t>COBBLEVERSE 추가</t>
        </is>
      </c>
      <c r="M1002" s="18">
        <f>COUNTIF('스폰_편집'!$D$5:$D$3125,A1002)</f>
        <v/>
      </c>
      <c r="N1002" s="18">
        <f>COUNTIFS('스폰_편집'!$D$5:$D$3125,A1002,'스폰_편집'!$B$5:$B$3125,"사용")</f>
        <v/>
      </c>
      <c r="O1002" s="18" t="n">
        <v>1</v>
      </c>
      <c r="P1002" s="18" t="inlineStr">
        <is>
          <t>#cobblemon:is_glacial</t>
        </is>
      </c>
      <c r="Q1002" s="18" t="inlineStr">
        <is>
          <t>ultra-rare</t>
        </is>
      </c>
      <c r="R1002" s="18" t="inlineStr"/>
      <c r="S1002" s="18" t="inlineStr">
        <is>
          <t>cobbleventure:generation_9</t>
        </is>
      </c>
      <c r="T1002" s="18">
        <f>IF(M1002=0,"없음",IF(N1002=0,"전부 제외","사용"))</f>
        <v/>
      </c>
      <c r="U1002" s="18" t="inlineStr"/>
    </row>
    <row r="1003" ht="30" customHeight="1">
      <c r="A1003" s="18" t="n">
        <v>999</v>
      </c>
      <c r="B1003" s="18" t="inlineStr">
        <is>
          <t>모으령</t>
        </is>
      </c>
      <c r="C1003" s="18" t="inlineStr">
        <is>
          <t>gimmighoul</t>
        </is>
      </c>
      <c r="D1003" s="18" t="inlineStr">
        <is>
          <t>Gimmighoul</t>
        </is>
      </c>
      <c r="E1003" s="18" t="n">
        <v>9</v>
      </c>
      <c r="F1003" s="18" t="inlineStr">
        <is>
          <t>generation9</t>
        </is>
      </c>
      <c r="G1003" s="18" t="inlineStr">
        <is>
          <t>ghost</t>
        </is>
      </c>
      <c r="H1003" s="18" t="inlineStr"/>
      <c r="I1003" s="18" t="inlineStr">
        <is>
          <t>예</t>
        </is>
      </c>
      <c r="J1003" s="18" t="inlineStr">
        <is>
          <t>예</t>
        </is>
      </c>
      <c r="K1003" s="18" t="inlineStr">
        <is>
          <t>예</t>
        </is>
      </c>
      <c r="L1003" s="18" t="inlineStr">
        <is>
          <t>Cobblemon 동일</t>
        </is>
      </c>
      <c r="M1003" s="18">
        <f>COUNTIF('스폰_편집'!$D$5:$D$3125,A1003)</f>
        <v/>
      </c>
      <c r="N1003" s="18">
        <f>COUNTIFS('스폰_편집'!$D$5:$D$3125,A1003,'스폰_편집'!$B$5:$B$3125,"사용")</f>
        <v/>
      </c>
      <c r="O1003" s="18" t="n">
        <v>2</v>
      </c>
      <c r="P1003" s="18" t="inlineStr">
        <is>
          <t>#aether:is_aether; #cobblemon:is_overworld</t>
        </is>
      </c>
      <c r="Q1003" s="18" t="inlineStr">
        <is>
          <t>common; rare; uncommon</t>
        </is>
      </c>
      <c r="R1003" s="18" t="inlineStr">
        <is>
          <t>region_01; region_02</t>
        </is>
      </c>
      <c r="S1003" s="18" t="inlineStr">
        <is>
          <t>cobbleventure:generation_9</t>
        </is>
      </c>
      <c r="T1003" s="18">
        <f>IF(M1003=0,"없음",IF(N1003=0,"전부 제외","사용"))</f>
        <v/>
      </c>
      <c r="U1003" s="18" t="inlineStr"/>
    </row>
    <row r="1004" ht="30" customHeight="1">
      <c r="A1004" s="18" t="n">
        <v>1000</v>
      </c>
      <c r="B1004" s="18" t="inlineStr">
        <is>
          <t>타부자고</t>
        </is>
      </c>
      <c r="C1004" s="18" t="inlineStr">
        <is>
          <t>gholdengo</t>
        </is>
      </c>
      <c r="D1004" s="18" t="inlineStr">
        <is>
          <t>Gholdengo</t>
        </is>
      </c>
      <c r="E1004" s="18" t="n">
        <v>9</v>
      </c>
      <c r="F1004" s="18" t="inlineStr">
        <is>
          <t>generation9</t>
        </is>
      </c>
      <c r="G1004" s="18" t="inlineStr">
        <is>
          <t>steel</t>
        </is>
      </c>
      <c r="H1004" s="18" t="inlineStr">
        <is>
          <t>ghost</t>
        </is>
      </c>
      <c r="I1004" s="18" t="inlineStr">
        <is>
          <t>예</t>
        </is>
      </c>
      <c r="J1004" s="18" t="inlineStr">
        <is>
          <t>아니오</t>
        </is>
      </c>
      <c r="K1004" s="18" t="inlineStr">
        <is>
          <t>아니오</t>
        </is>
      </c>
      <c r="L1004" s="18" t="inlineStr">
        <is>
          <t>자연스폰 없음</t>
        </is>
      </c>
      <c r="M1004" s="18">
        <f>COUNTIF('스폰_편집'!$D$5:$D$3125,A1004)</f>
        <v/>
      </c>
      <c r="N1004" s="18">
        <f>COUNTIFS('스폰_편집'!$D$5:$D$3125,A1004,'스폰_편집'!$B$5:$B$3125,"사용")</f>
        <v/>
      </c>
      <c r="O1004" s="18" t="n">
        <v>0</v>
      </c>
      <c r="P1004" s="18" t="inlineStr"/>
      <c r="Q1004" s="18" t="inlineStr"/>
      <c r="R1004" s="18" t="inlineStr"/>
      <c r="S1004" s="18" t="inlineStr">
        <is>
          <t>cobbleventure:generation_9</t>
        </is>
      </c>
      <c r="T1004" s="18">
        <f>IF(M1004=0,"없음",IF(N1004=0,"전부 제외","사용"))</f>
        <v/>
      </c>
      <c r="U1004" s="18" t="inlineStr">
        <is>
          <t>자연 스폰 JSON 없음: 진화·복원·기타 획득 방식 확인 필요</t>
        </is>
      </c>
    </row>
    <row r="1005" ht="30" customHeight="1">
      <c r="A1005" s="18" t="n">
        <v>1001</v>
      </c>
      <c r="B1005" s="18" t="inlineStr">
        <is>
          <t>총지엔</t>
        </is>
      </c>
      <c r="C1005" s="18" t="inlineStr">
        <is>
          <t>wochien</t>
        </is>
      </c>
      <c r="D1005" s="18" t="inlineStr">
        <is>
          <t>Wo-Chien</t>
        </is>
      </c>
      <c r="E1005" s="18" t="n">
        <v>9</v>
      </c>
      <c r="F1005" s="18" t="inlineStr">
        <is>
          <t>generation9</t>
        </is>
      </c>
      <c r="G1005" s="18" t="inlineStr">
        <is>
          <t>dark</t>
        </is>
      </c>
      <c r="H1005" s="18" t="inlineStr">
        <is>
          <t>grass</t>
        </is>
      </c>
      <c r="I1005" s="18" t="inlineStr">
        <is>
          <t>아니오</t>
        </is>
      </c>
      <c r="J1005" s="18" t="inlineStr">
        <is>
          <t>아니오</t>
        </is>
      </c>
      <c r="K1005" s="18" t="inlineStr">
        <is>
          <t>예</t>
        </is>
      </c>
      <c r="L1005" s="18" t="inlineStr">
        <is>
          <t>COBBLEVERSE 추가</t>
        </is>
      </c>
      <c r="M1005" s="18">
        <f>COUNTIF('스폰_편집'!$D$5:$D$3125,A1005)</f>
        <v/>
      </c>
      <c r="N1005" s="18">
        <f>COUNTIFS('스폰_편집'!$D$5:$D$3125,A1005,'스폰_편집'!$B$5:$B$3125,"사용")</f>
        <v/>
      </c>
      <c r="O1005" s="18" t="n">
        <v>1</v>
      </c>
      <c r="P1005" s="18" t="inlineStr">
        <is>
          <t>cobbleverse:custom_spawn/grasswither_shrine</t>
        </is>
      </c>
      <c r="Q1005" s="18" t="inlineStr">
        <is>
          <t>ultra-rare</t>
        </is>
      </c>
      <c r="R1005" s="18" t="inlineStr"/>
      <c r="S1005" s="18" t="inlineStr">
        <is>
          <t>cobbleventure:generation_9</t>
        </is>
      </c>
      <c r="T1005" s="18">
        <f>IF(M1005=0,"없음",IF(N1005=0,"전부 제외","사용"))</f>
        <v/>
      </c>
      <c r="U1005" s="18" t="inlineStr"/>
    </row>
    <row r="1006" ht="30" customHeight="1">
      <c r="A1006" s="18" t="n">
        <v>1002</v>
      </c>
      <c r="B1006" s="18" t="inlineStr">
        <is>
          <t>파오젠</t>
        </is>
      </c>
      <c r="C1006" s="18" t="inlineStr">
        <is>
          <t>chienpao</t>
        </is>
      </c>
      <c r="D1006" s="18" t="inlineStr">
        <is>
          <t>Chien-Pao</t>
        </is>
      </c>
      <c r="E1006" s="18" t="n">
        <v>9</v>
      </c>
      <c r="F1006" s="18" t="inlineStr">
        <is>
          <t>generation9</t>
        </is>
      </c>
      <c r="G1006" s="18" t="inlineStr">
        <is>
          <t>dark</t>
        </is>
      </c>
      <c r="H1006" s="18" t="inlineStr">
        <is>
          <t>ice</t>
        </is>
      </c>
      <c r="I1006" s="18" t="inlineStr">
        <is>
          <t>아니오</t>
        </is>
      </c>
      <c r="J1006" s="18" t="inlineStr">
        <is>
          <t>아니오</t>
        </is>
      </c>
      <c r="K1006" s="18" t="inlineStr">
        <is>
          <t>예</t>
        </is>
      </c>
      <c r="L1006" s="18" t="inlineStr">
        <is>
          <t>COBBLEVERSE 추가</t>
        </is>
      </c>
      <c r="M1006" s="18">
        <f>COUNTIF('스폰_편집'!$D$5:$D$3125,A1006)</f>
        <v/>
      </c>
      <c r="N1006" s="18">
        <f>COUNTIFS('스폰_편집'!$D$5:$D$3125,A1006,'스폰_편집'!$B$5:$B$3125,"사용")</f>
        <v/>
      </c>
      <c r="O1006" s="18" t="n">
        <v>1</v>
      </c>
      <c r="P1006" s="18" t="inlineStr">
        <is>
          <t>cobbleverse:custom_spawn/icerend_shrine</t>
        </is>
      </c>
      <c r="Q1006" s="18" t="inlineStr">
        <is>
          <t>ultra-rare</t>
        </is>
      </c>
      <c r="R1006" s="18" t="inlineStr"/>
      <c r="S1006" s="18" t="inlineStr">
        <is>
          <t>cobbleventure:generation_9</t>
        </is>
      </c>
      <c r="T1006" s="18">
        <f>IF(M1006=0,"없음",IF(N1006=0,"전부 제외","사용"))</f>
        <v/>
      </c>
      <c r="U1006" s="18" t="inlineStr"/>
    </row>
    <row r="1007" ht="30" customHeight="1">
      <c r="A1007" s="18" t="n">
        <v>1003</v>
      </c>
      <c r="B1007" s="18" t="inlineStr">
        <is>
          <t>딩루</t>
        </is>
      </c>
      <c r="C1007" s="18" t="inlineStr">
        <is>
          <t>tinglu</t>
        </is>
      </c>
      <c r="D1007" s="18" t="inlineStr">
        <is>
          <t>Ting-Lu</t>
        </is>
      </c>
      <c r="E1007" s="18" t="n">
        <v>9</v>
      </c>
      <c r="F1007" s="18" t="inlineStr">
        <is>
          <t>generation9</t>
        </is>
      </c>
      <c r="G1007" s="18" t="inlineStr">
        <is>
          <t>dark</t>
        </is>
      </c>
      <c r="H1007" s="18" t="inlineStr">
        <is>
          <t>ground</t>
        </is>
      </c>
      <c r="I1007" s="18" t="inlineStr">
        <is>
          <t>아니오</t>
        </is>
      </c>
      <c r="J1007" s="18" t="inlineStr">
        <is>
          <t>아니오</t>
        </is>
      </c>
      <c r="K1007" s="18" t="inlineStr">
        <is>
          <t>예</t>
        </is>
      </c>
      <c r="L1007" s="18" t="inlineStr">
        <is>
          <t>COBBLEVERSE 추가</t>
        </is>
      </c>
      <c r="M1007" s="18">
        <f>COUNTIF('스폰_편집'!$D$5:$D$3125,A1007)</f>
        <v/>
      </c>
      <c r="N1007" s="18">
        <f>COUNTIFS('스폰_편집'!$D$5:$D$3125,A1007,'스폰_편집'!$B$5:$B$3125,"사용")</f>
        <v/>
      </c>
      <c r="O1007" s="18" t="n">
        <v>1</v>
      </c>
      <c r="P1007" s="18" t="inlineStr">
        <is>
          <t>cobbleverse:custom_spawn/groundblight_shrine</t>
        </is>
      </c>
      <c r="Q1007" s="18" t="inlineStr">
        <is>
          <t>ultra-rare</t>
        </is>
      </c>
      <c r="R1007" s="18" t="inlineStr"/>
      <c r="S1007" s="18" t="inlineStr">
        <is>
          <t>cobbleventure:generation_9</t>
        </is>
      </c>
      <c r="T1007" s="18">
        <f>IF(M1007=0,"없음",IF(N1007=0,"전부 제외","사용"))</f>
        <v/>
      </c>
      <c r="U1007" s="18" t="inlineStr"/>
    </row>
    <row r="1008" ht="30" customHeight="1">
      <c r="A1008" s="18" t="n">
        <v>1004</v>
      </c>
      <c r="B1008" s="18" t="inlineStr">
        <is>
          <t>위유이</t>
        </is>
      </c>
      <c r="C1008" s="18" t="inlineStr">
        <is>
          <t>chiyu</t>
        </is>
      </c>
      <c r="D1008" s="18" t="inlineStr">
        <is>
          <t>Chi-Yu</t>
        </is>
      </c>
      <c r="E1008" s="18" t="n">
        <v>9</v>
      </c>
      <c r="F1008" s="18" t="inlineStr">
        <is>
          <t>generation9</t>
        </is>
      </c>
      <c r="G1008" s="18" t="inlineStr">
        <is>
          <t>dark</t>
        </is>
      </c>
      <c r="H1008" s="18" t="inlineStr">
        <is>
          <t>fire</t>
        </is>
      </c>
      <c r="I1008" s="18" t="inlineStr">
        <is>
          <t>아니오</t>
        </is>
      </c>
      <c r="J1008" s="18" t="inlineStr">
        <is>
          <t>아니오</t>
        </is>
      </c>
      <c r="K1008" s="18" t="inlineStr">
        <is>
          <t>예</t>
        </is>
      </c>
      <c r="L1008" s="18" t="inlineStr">
        <is>
          <t>COBBLEVERSE 추가</t>
        </is>
      </c>
      <c r="M1008" s="18">
        <f>COUNTIF('스폰_편집'!$D$5:$D$3125,A1008)</f>
        <v/>
      </c>
      <c r="N1008" s="18">
        <f>COUNTIFS('스폰_편집'!$D$5:$D$3125,A1008,'스폰_편집'!$B$5:$B$3125,"사용")</f>
        <v/>
      </c>
      <c r="O1008" s="18" t="n">
        <v>1</v>
      </c>
      <c r="P1008" s="18" t="inlineStr">
        <is>
          <t>cobbleverse:custom_spawn/firescoruge_shrine</t>
        </is>
      </c>
      <c r="Q1008" s="18" t="inlineStr">
        <is>
          <t>ultra-rare</t>
        </is>
      </c>
      <c r="R1008" s="18" t="inlineStr"/>
      <c r="S1008" s="18" t="inlineStr">
        <is>
          <t>cobbleventure:generation_9</t>
        </is>
      </c>
      <c r="T1008" s="18">
        <f>IF(M1008=0,"없음",IF(N1008=0,"전부 제외","사용"))</f>
        <v/>
      </c>
      <c r="U1008" s="18" t="inlineStr"/>
    </row>
    <row r="1009" ht="30" customHeight="1">
      <c r="A1009" s="18" t="n">
        <v>1005</v>
      </c>
      <c r="B1009" s="18" t="inlineStr">
        <is>
          <t>고동치는달</t>
        </is>
      </c>
      <c r="C1009" s="18" t="inlineStr">
        <is>
          <t>roaringmoon</t>
        </is>
      </c>
      <c r="D1009" s="18" t="inlineStr">
        <is>
          <t>Roaring Moon</t>
        </is>
      </c>
      <c r="E1009" s="18" t="n">
        <v>9</v>
      </c>
      <c r="F1009" s="18" t="inlineStr">
        <is>
          <t>generation9</t>
        </is>
      </c>
      <c r="G1009" s="18" t="inlineStr">
        <is>
          <t>dragon</t>
        </is>
      </c>
      <c r="H1009" s="18" t="inlineStr">
        <is>
          <t>dark</t>
        </is>
      </c>
      <c r="I1009" s="18" t="inlineStr">
        <is>
          <t>아니오</t>
        </is>
      </c>
      <c r="J1009" s="18" t="inlineStr">
        <is>
          <t>아니오</t>
        </is>
      </c>
      <c r="K1009" s="18" t="inlineStr">
        <is>
          <t>예</t>
        </is>
      </c>
      <c r="L1009" s="18" t="inlineStr">
        <is>
          <t>COBBLEVERSE 추가</t>
        </is>
      </c>
      <c r="M1009" s="18">
        <f>COUNTIF('스폰_편집'!$D$5:$D$3125,A1009)</f>
        <v/>
      </c>
      <c r="N1009" s="18">
        <f>COUNTIFS('스폰_편집'!$D$5:$D$3125,A1009,'스폰_편집'!$B$5:$B$3125,"사용")</f>
        <v/>
      </c>
      <c r="O1009" s="18" t="n">
        <v>1</v>
      </c>
      <c r="P1009" s="18" t="inlineStr">
        <is>
          <t>#cobblemon:is_mountain</t>
        </is>
      </c>
      <c r="Q1009" s="18" t="inlineStr">
        <is>
          <t>rare</t>
        </is>
      </c>
      <c r="R1009" s="18" t="inlineStr"/>
      <c r="S1009" s="18" t="inlineStr">
        <is>
          <t>cobbleventure:generation_9</t>
        </is>
      </c>
      <c r="T1009" s="18">
        <f>IF(M1009=0,"없음",IF(N1009=0,"전부 제외","사용"))</f>
        <v/>
      </c>
      <c r="U1009" s="18" t="inlineStr"/>
    </row>
    <row r="1010" ht="30" customHeight="1">
      <c r="A1010" s="18" t="n">
        <v>1006</v>
      </c>
      <c r="B1010" s="18" t="inlineStr">
        <is>
          <t>무쇠무인</t>
        </is>
      </c>
      <c r="C1010" s="18" t="inlineStr">
        <is>
          <t>ironvaliant</t>
        </is>
      </c>
      <c r="D1010" s="18" t="inlineStr">
        <is>
          <t>Iron Valiant</t>
        </is>
      </c>
      <c r="E1010" s="18" t="n">
        <v>9</v>
      </c>
      <c r="F1010" s="18" t="inlineStr">
        <is>
          <t>generation9</t>
        </is>
      </c>
      <c r="G1010" s="18" t="inlineStr">
        <is>
          <t>fairy</t>
        </is>
      </c>
      <c r="H1010" s="18" t="inlineStr">
        <is>
          <t>fighting</t>
        </is>
      </c>
      <c r="I1010" s="18" t="inlineStr">
        <is>
          <t>아니오</t>
        </is>
      </c>
      <c r="J1010" s="18" t="inlineStr">
        <is>
          <t>아니오</t>
        </is>
      </c>
      <c r="K1010" s="18" t="inlineStr">
        <is>
          <t>예</t>
        </is>
      </c>
      <c r="L1010" s="18" t="inlineStr">
        <is>
          <t>COBBLEVERSE 추가</t>
        </is>
      </c>
      <c r="M1010" s="18">
        <f>COUNTIF('스폰_편집'!$D$5:$D$3125,A1010)</f>
        <v/>
      </c>
      <c r="N1010" s="18">
        <f>COUNTIFS('스폰_편집'!$D$5:$D$3125,A1010,'스폰_편집'!$B$5:$B$3125,"사용")</f>
        <v/>
      </c>
      <c r="O1010" s="18" t="n">
        <v>1</v>
      </c>
      <c r="P1010" s="18" t="inlineStr">
        <is>
          <t>#cobblemon:is_plains</t>
        </is>
      </c>
      <c r="Q1010" s="18" t="inlineStr">
        <is>
          <t>rare</t>
        </is>
      </c>
      <c r="R1010" s="18" t="inlineStr">
        <is>
          <t>region_01</t>
        </is>
      </c>
      <c r="S1010" s="18" t="inlineStr">
        <is>
          <t>cobbleventure:generation_9</t>
        </is>
      </c>
      <c r="T1010" s="18">
        <f>IF(M1010=0,"없음",IF(N1010=0,"전부 제외","사용"))</f>
        <v/>
      </c>
      <c r="U1010" s="18" t="inlineStr"/>
    </row>
    <row r="1011" ht="30" customHeight="1">
      <c r="A1011" s="18" t="n">
        <v>1007</v>
      </c>
      <c r="B1011" s="18" t="inlineStr">
        <is>
          <t>코라이돈</t>
        </is>
      </c>
      <c r="C1011" s="18" t="inlineStr">
        <is>
          <t>koraidon</t>
        </is>
      </c>
      <c r="D1011" s="18" t="inlineStr">
        <is>
          <t>Koraidon</t>
        </is>
      </c>
      <c r="E1011" s="18" t="n">
        <v>9</v>
      </c>
      <c r="F1011" s="18" t="inlineStr">
        <is>
          <t>generation9</t>
        </is>
      </c>
      <c r="G1011" s="18" t="inlineStr">
        <is>
          <t>fighting</t>
        </is>
      </c>
      <c r="H1011" s="18" t="inlineStr">
        <is>
          <t>dragon</t>
        </is>
      </c>
      <c r="I1011" s="18" t="inlineStr">
        <is>
          <t>아니오</t>
        </is>
      </c>
      <c r="J1011" s="18" t="inlineStr">
        <is>
          <t>아니오</t>
        </is>
      </c>
      <c r="K1011" s="18" t="inlineStr">
        <is>
          <t>예</t>
        </is>
      </c>
      <c r="L1011" s="18" t="inlineStr">
        <is>
          <t>COBBLEVERSE 추가</t>
        </is>
      </c>
      <c r="M1011" s="18">
        <f>COUNTIF('스폰_편집'!$D$5:$D$3125,A1011)</f>
        <v/>
      </c>
      <c r="N1011" s="18">
        <f>COUNTIFS('스폰_편집'!$D$5:$D$3125,A1011,'스폰_편집'!$B$5:$B$3125,"사용")</f>
        <v/>
      </c>
      <c r="O1011" s="18" t="n">
        <v>1</v>
      </c>
      <c r="P1011" s="18" t="inlineStr">
        <is>
          <t>minecraft:beach</t>
        </is>
      </c>
      <c r="Q1011" s="18" t="inlineStr">
        <is>
          <t>ultra-rare</t>
        </is>
      </c>
      <c r="R1011" s="18" t="inlineStr"/>
      <c r="S1011" s="18" t="inlineStr">
        <is>
          <t>cobbleventure:generation_9</t>
        </is>
      </c>
      <c r="T1011" s="18">
        <f>IF(M1011=0,"없음",IF(N1011=0,"전부 제외","사용"))</f>
        <v/>
      </c>
      <c r="U1011" s="18" t="inlineStr"/>
    </row>
    <row r="1012" ht="30" customHeight="1">
      <c r="A1012" s="18" t="n">
        <v>1008</v>
      </c>
      <c r="B1012" s="18" t="inlineStr">
        <is>
          <t>미라이돈</t>
        </is>
      </c>
      <c r="C1012" s="18" t="inlineStr">
        <is>
          <t>miraidon</t>
        </is>
      </c>
      <c r="D1012" s="18" t="inlineStr">
        <is>
          <t>Miraidon</t>
        </is>
      </c>
      <c r="E1012" s="18" t="n">
        <v>9</v>
      </c>
      <c r="F1012" s="18" t="inlineStr">
        <is>
          <t>generation9</t>
        </is>
      </c>
      <c r="G1012" s="18" t="inlineStr">
        <is>
          <t>electric</t>
        </is>
      </c>
      <c r="H1012" s="18" t="inlineStr">
        <is>
          <t>dragon</t>
        </is>
      </c>
      <c r="I1012" s="18" t="inlineStr">
        <is>
          <t>아니오</t>
        </is>
      </c>
      <c r="J1012" s="18" t="inlineStr">
        <is>
          <t>아니오</t>
        </is>
      </c>
      <c r="K1012" s="18" t="inlineStr">
        <is>
          <t>예</t>
        </is>
      </c>
      <c r="L1012" s="18" t="inlineStr">
        <is>
          <t>COBBLEVERSE 추가</t>
        </is>
      </c>
      <c r="M1012" s="18">
        <f>COUNTIF('스폰_편집'!$D$5:$D$3125,A1012)</f>
        <v/>
      </c>
      <c r="N1012" s="18">
        <f>COUNTIFS('스폰_편집'!$D$5:$D$3125,A1012,'스폰_편집'!$B$5:$B$3125,"사용")</f>
        <v/>
      </c>
      <c r="O1012" s="18" t="n">
        <v>1</v>
      </c>
      <c r="P1012" s="18" t="inlineStr">
        <is>
          <t>minecraft:beach</t>
        </is>
      </c>
      <c r="Q1012" s="18" t="inlineStr">
        <is>
          <t>ultra-rare</t>
        </is>
      </c>
      <c r="R1012" s="18" t="inlineStr"/>
      <c r="S1012" s="18" t="inlineStr">
        <is>
          <t>cobbleventure:generation_9</t>
        </is>
      </c>
      <c r="T1012" s="18">
        <f>IF(M1012=0,"없음",IF(N1012=0,"전부 제외","사용"))</f>
        <v/>
      </c>
      <c r="U1012" s="18" t="inlineStr"/>
    </row>
    <row r="1013" ht="30" customHeight="1">
      <c r="A1013" s="18" t="n">
        <v>1009</v>
      </c>
      <c r="B1013" s="18" t="inlineStr">
        <is>
          <t>굽이치는물결</t>
        </is>
      </c>
      <c r="C1013" s="18" t="inlineStr">
        <is>
          <t>walkingwake</t>
        </is>
      </c>
      <c r="D1013" s="18" t="inlineStr">
        <is>
          <t>Walking Wake</t>
        </is>
      </c>
      <c r="E1013" s="18" t="n">
        <v>9</v>
      </c>
      <c r="F1013" s="18" t="inlineStr">
        <is>
          <t>generation9</t>
        </is>
      </c>
      <c r="G1013" s="18" t="inlineStr">
        <is>
          <t>water</t>
        </is>
      </c>
      <c r="H1013" s="18" t="inlineStr">
        <is>
          <t>dragon</t>
        </is>
      </c>
      <c r="I1013" s="18" t="inlineStr">
        <is>
          <t>예</t>
        </is>
      </c>
      <c r="J1013" s="18" t="inlineStr">
        <is>
          <t>아니오</t>
        </is>
      </c>
      <c r="K1013" s="18" t="inlineStr">
        <is>
          <t>예</t>
        </is>
      </c>
      <c r="L1013" s="18" t="inlineStr">
        <is>
          <t>COBBLEVERSE 추가</t>
        </is>
      </c>
      <c r="M1013" s="18">
        <f>COUNTIF('스폰_편집'!$D$5:$D$3125,A1013)</f>
        <v/>
      </c>
      <c r="N1013" s="18">
        <f>COUNTIFS('스폰_편집'!$D$5:$D$3125,A1013,'스폰_편집'!$B$5:$B$3125,"사용")</f>
        <v/>
      </c>
      <c r="O1013" s="18" t="n">
        <v>1</v>
      </c>
      <c r="P1013" s="18" t="inlineStr">
        <is>
          <t>#cobblemon:is_mountain</t>
        </is>
      </c>
      <c r="Q1013" s="18" t="inlineStr">
        <is>
          <t>ultra-rare</t>
        </is>
      </c>
      <c r="R1013" s="18" t="inlineStr"/>
      <c r="S1013" s="18" t="inlineStr">
        <is>
          <t>cobbleventure:generation_9</t>
        </is>
      </c>
      <c r="T1013" s="18">
        <f>IF(M1013=0,"없음",IF(N1013=0,"전부 제외","사용"))</f>
        <v/>
      </c>
      <c r="U1013" s="18" t="inlineStr"/>
    </row>
    <row r="1014" ht="30" customHeight="1">
      <c r="A1014" s="18" t="n">
        <v>1010</v>
      </c>
      <c r="B1014" s="18" t="inlineStr">
        <is>
          <t>무쇠잎새</t>
        </is>
      </c>
      <c r="C1014" s="18" t="inlineStr">
        <is>
          <t>ironleaves</t>
        </is>
      </c>
      <c r="D1014" s="18" t="inlineStr">
        <is>
          <t>Iron Leaves</t>
        </is>
      </c>
      <c r="E1014" s="18" t="n">
        <v>9</v>
      </c>
      <c r="F1014" s="18" t="inlineStr">
        <is>
          <t>generation9</t>
        </is>
      </c>
      <c r="G1014" s="18" t="inlineStr">
        <is>
          <t>grass</t>
        </is>
      </c>
      <c r="H1014" s="18" t="inlineStr">
        <is>
          <t>psychic</t>
        </is>
      </c>
      <c r="I1014" s="18" t="inlineStr">
        <is>
          <t>예</t>
        </is>
      </c>
      <c r="J1014" s="18" t="inlineStr">
        <is>
          <t>아니오</t>
        </is>
      </c>
      <c r="K1014" s="18" t="inlineStr">
        <is>
          <t>예</t>
        </is>
      </c>
      <c r="L1014" s="18" t="inlineStr">
        <is>
          <t>COBBLEVERSE 추가</t>
        </is>
      </c>
      <c r="M1014" s="18">
        <f>COUNTIF('스폰_편집'!$D$5:$D$3125,A1014)</f>
        <v/>
      </c>
      <c r="N1014" s="18">
        <f>COUNTIFS('스폰_편집'!$D$5:$D$3125,A1014,'스폰_편집'!$B$5:$B$3125,"사용")</f>
        <v/>
      </c>
      <c r="O1014" s="18" t="n">
        <v>1</v>
      </c>
      <c r="P1014" s="18" t="inlineStr">
        <is>
          <t>#cobblemon:is_forest</t>
        </is>
      </c>
      <c r="Q1014" s="18" t="inlineStr">
        <is>
          <t>ultra-rare</t>
        </is>
      </c>
      <c r="R1014" s="18" t="inlineStr">
        <is>
          <t>region_01</t>
        </is>
      </c>
      <c r="S1014" s="18" t="inlineStr">
        <is>
          <t>cobbleventure:generation_9</t>
        </is>
      </c>
      <c r="T1014" s="18">
        <f>IF(M1014=0,"없음",IF(N1014=0,"전부 제외","사용"))</f>
        <v/>
      </c>
      <c r="U1014" s="18" t="inlineStr"/>
    </row>
    <row r="1015" ht="30" customHeight="1">
      <c r="A1015" s="18" t="n">
        <v>1011</v>
      </c>
      <c r="B1015" s="18" t="inlineStr">
        <is>
          <t>과미르</t>
        </is>
      </c>
      <c r="C1015" s="18" t="inlineStr">
        <is>
          <t>dipplin</t>
        </is>
      </c>
      <c r="D1015" s="18" t="inlineStr">
        <is>
          <t>Dipplin</t>
        </is>
      </c>
      <c r="E1015" s="18" t="n">
        <v>9</v>
      </c>
      <c r="F1015" s="18" t="inlineStr">
        <is>
          <t>generation9</t>
        </is>
      </c>
      <c r="G1015" s="18" t="inlineStr">
        <is>
          <t>grass</t>
        </is>
      </c>
      <c r="H1015" s="18" t="inlineStr">
        <is>
          <t>dragon</t>
        </is>
      </c>
      <c r="I1015" s="18" t="inlineStr">
        <is>
          <t>아니오</t>
        </is>
      </c>
      <c r="J1015" s="18" t="inlineStr">
        <is>
          <t>아니오</t>
        </is>
      </c>
      <c r="K1015" s="18" t="inlineStr">
        <is>
          <t>예</t>
        </is>
      </c>
      <c r="L1015" s="18" t="inlineStr">
        <is>
          <t>COBBLEVERSE 추가</t>
        </is>
      </c>
      <c r="M1015" s="18">
        <f>COUNTIF('스폰_편집'!$D$5:$D$3125,A1015)</f>
        <v/>
      </c>
      <c r="N1015" s="18">
        <f>COUNTIFS('스폰_편집'!$D$5:$D$3125,A1015,'스폰_편집'!$B$5:$B$3125,"사용")</f>
        <v/>
      </c>
      <c r="O1015" s="18" t="n">
        <v>1</v>
      </c>
      <c r="P1015" s="18" t="inlineStr">
        <is>
          <t>#cobblemon:is_floral</t>
        </is>
      </c>
      <c r="Q1015" s="18" t="inlineStr">
        <is>
          <t>rare</t>
        </is>
      </c>
      <c r="R1015" s="18" t="inlineStr"/>
      <c r="S1015" s="18" t="inlineStr">
        <is>
          <t>cobbleventure:generation_9</t>
        </is>
      </c>
      <c r="T1015" s="18">
        <f>IF(M1015=0,"없음",IF(N1015=0,"전부 제외","사용"))</f>
        <v/>
      </c>
      <c r="U1015" s="18" t="inlineStr"/>
    </row>
    <row r="1016" ht="30" customHeight="1">
      <c r="A1016" s="18" t="n">
        <v>1012</v>
      </c>
      <c r="B1016" s="18" t="inlineStr">
        <is>
          <t>차데스</t>
        </is>
      </c>
      <c r="C1016" s="18" t="inlineStr">
        <is>
          <t>poltchageist</t>
        </is>
      </c>
      <c r="D1016" s="18" t="inlineStr">
        <is>
          <t>Poltchageist</t>
        </is>
      </c>
      <c r="E1016" s="18" t="n">
        <v>9</v>
      </c>
      <c r="F1016" s="18" t="inlineStr">
        <is>
          <t>generation9</t>
        </is>
      </c>
      <c r="G1016" s="18" t="inlineStr">
        <is>
          <t>grass</t>
        </is>
      </c>
      <c r="H1016" s="18" t="inlineStr">
        <is>
          <t>ghost</t>
        </is>
      </c>
      <c r="I1016" s="18" t="inlineStr">
        <is>
          <t>예</t>
        </is>
      </c>
      <c r="J1016" s="18" t="inlineStr">
        <is>
          <t>예</t>
        </is>
      </c>
      <c r="K1016" s="18" t="inlineStr">
        <is>
          <t>예</t>
        </is>
      </c>
      <c r="L1016" s="18" t="inlineStr">
        <is>
          <t>Cobblemon 동일</t>
        </is>
      </c>
      <c r="M1016" s="18">
        <f>COUNTIF('스폰_편집'!$D$5:$D$3125,A1016)</f>
        <v/>
      </c>
      <c r="N1016" s="18">
        <f>COUNTIFS('스폰_편집'!$D$5:$D$3125,A1016,'스폰_편집'!$B$5:$B$3125,"사용")</f>
        <v/>
      </c>
      <c r="O1016" s="18" t="n">
        <v>10</v>
      </c>
      <c r="P1016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1016" s="18" t="inlineStr">
        <is>
          <t>uncommon</t>
        </is>
      </c>
      <c r="R1016" s="18" t="inlineStr">
        <is>
          <t>region_01; region_02</t>
        </is>
      </c>
      <c r="S1016" s="18" t="inlineStr">
        <is>
          <t>cobbleventure:generation_9</t>
        </is>
      </c>
      <c r="T1016" s="18">
        <f>IF(M1016=0,"없음",IF(N1016=0,"전부 제외","사용"))</f>
        <v/>
      </c>
      <c r="U1016" s="18" t="inlineStr"/>
    </row>
    <row r="1017" ht="30" customHeight="1">
      <c r="A1017" s="18" t="n">
        <v>1013</v>
      </c>
      <c r="B1017" s="18" t="inlineStr">
        <is>
          <t>그우린차</t>
        </is>
      </c>
      <c r="C1017" s="18" t="inlineStr">
        <is>
          <t>sinistcha</t>
        </is>
      </c>
      <c r="D1017" s="18" t="inlineStr">
        <is>
          <t>Sinistcha</t>
        </is>
      </c>
      <c r="E1017" s="18" t="n">
        <v>9</v>
      </c>
      <c r="F1017" s="18" t="inlineStr">
        <is>
          <t>generation9</t>
        </is>
      </c>
      <c r="G1017" s="18" t="inlineStr">
        <is>
          <t>grass</t>
        </is>
      </c>
      <c r="H1017" s="18" t="inlineStr">
        <is>
          <t>ghost</t>
        </is>
      </c>
      <c r="I1017" s="18" t="inlineStr">
        <is>
          <t>예</t>
        </is>
      </c>
      <c r="J1017" s="18" t="inlineStr">
        <is>
          <t>예</t>
        </is>
      </c>
      <c r="K1017" s="18" t="inlineStr">
        <is>
          <t>예</t>
        </is>
      </c>
      <c r="L1017" s="18" t="inlineStr">
        <is>
          <t>Cobblemon 동일</t>
        </is>
      </c>
      <c r="M1017" s="18">
        <f>COUNTIF('스폰_편집'!$D$5:$D$3125,A1017)</f>
        <v/>
      </c>
      <c r="N1017" s="18">
        <f>COUNTIFS('스폰_편집'!$D$5:$D$3125,A1017,'스폰_편집'!$B$5:$B$3125,"사용")</f>
        <v/>
      </c>
      <c r="O1017" s="18" t="n">
        <v>10</v>
      </c>
      <c r="P1017" s="18" t="inlineStr">
        <is>
          <t>#cobblemon:is_arid; #cobblemon:is_bamboo; #cobblemon:is_cherry_blossom; #cobblemon:is_forest; #cobblemon:is_island; #cobblemon:is_jungle; #cobblemon:is_ocean; #cobblemon:is_swamp; #cobblemon:is_thermal; #cobblemon:is_volcanic</t>
        </is>
      </c>
      <c r="Q1017" s="18" t="inlineStr">
        <is>
          <t>uncommon</t>
        </is>
      </c>
      <c r="R1017" s="18" t="inlineStr">
        <is>
          <t>region_01; region_02</t>
        </is>
      </c>
      <c r="S1017" s="18" t="inlineStr">
        <is>
          <t>cobbleventure:generation_9</t>
        </is>
      </c>
      <c r="T1017" s="18">
        <f>IF(M1017=0,"없음",IF(N1017=0,"전부 제외","사용"))</f>
        <v/>
      </c>
      <c r="U1017" s="18" t="inlineStr"/>
    </row>
    <row r="1018" ht="30" customHeight="1">
      <c r="A1018" s="18" t="n">
        <v>1014</v>
      </c>
      <c r="B1018" s="18" t="inlineStr">
        <is>
          <t>조타구</t>
        </is>
      </c>
      <c r="C1018" s="18" t="inlineStr">
        <is>
          <t>okidogi</t>
        </is>
      </c>
      <c r="D1018" s="18" t="inlineStr">
        <is>
          <t>Okidogi</t>
        </is>
      </c>
      <c r="E1018" s="18" t="n">
        <v>9</v>
      </c>
      <c r="F1018" s="18" t="inlineStr">
        <is>
          <t>generation9</t>
        </is>
      </c>
      <c r="G1018" s="18" t="inlineStr">
        <is>
          <t>poison</t>
        </is>
      </c>
      <c r="H1018" s="18" t="inlineStr">
        <is>
          <t>fighting</t>
        </is>
      </c>
      <c r="I1018" s="18" t="inlineStr">
        <is>
          <t>아니오</t>
        </is>
      </c>
      <c r="J1018" s="18" t="inlineStr">
        <is>
          <t>아니오</t>
        </is>
      </c>
      <c r="K1018" s="18" t="inlineStr">
        <is>
          <t>예</t>
        </is>
      </c>
      <c r="L1018" s="18" t="inlineStr">
        <is>
          <t>COBBLEVERSE 추가</t>
        </is>
      </c>
      <c r="M1018" s="18">
        <f>COUNTIF('스폰_편집'!$D$5:$D$3125,A1018)</f>
        <v/>
      </c>
      <c r="N1018" s="18">
        <f>COUNTIFS('스폰_편집'!$D$5:$D$3125,A1018,'스폰_편집'!$B$5:$B$3125,"사용")</f>
        <v/>
      </c>
      <c r="O1018" s="18" t="n">
        <v>1</v>
      </c>
      <c r="P1018" s="18" t="inlineStr">
        <is>
          <t>#cobblemon:is_savanna</t>
        </is>
      </c>
      <c r="Q1018" s="18" t="inlineStr">
        <is>
          <t>ultra-rare</t>
        </is>
      </c>
      <c r="R1018" s="18" t="inlineStr"/>
      <c r="S1018" s="18" t="inlineStr">
        <is>
          <t>cobbleventure:generation_9</t>
        </is>
      </c>
      <c r="T1018" s="18">
        <f>IF(M1018=0,"없음",IF(N1018=0,"전부 제외","사용"))</f>
        <v/>
      </c>
      <c r="U1018" s="18" t="inlineStr"/>
    </row>
    <row r="1019" ht="30" customHeight="1">
      <c r="A1019" s="18" t="n">
        <v>1015</v>
      </c>
      <c r="B1019" s="18" t="inlineStr">
        <is>
          <t>이야후</t>
        </is>
      </c>
      <c r="C1019" s="18" t="inlineStr">
        <is>
          <t>munkidori</t>
        </is>
      </c>
      <c r="D1019" s="18" t="inlineStr">
        <is>
          <t>Munkidori</t>
        </is>
      </c>
      <c r="E1019" s="18" t="n">
        <v>9</v>
      </c>
      <c r="F1019" s="18" t="inlineStr">
        <is>
          <t>generation9</t>
        </is>
      </c>
      <c r="G1019" s="18" t="inlineStr">
        <is>
          <t>poison</t>
        </is>
      </c>
      <c r="H1019" s="18" t="inlineStr">
        <is>
          <t>psychic</t>
        </is>
      </c>
      <c r="I1019" s="18" t="inlineStr">
        <is>
          <t>아니오</t>
        </is>
      </c>
      <c r="J1019" s="18" t="inlineStr">
        <is>
          <t>아니오</t>
        </is>
      </c>
      <c r="K1019" s="18" t="inlineStr">
        <is>
          <t>예</t>
        </is>
      </c>
      <c r="L1019" s="18" t="inlineStr">
        <is>
          <t>COBBLEVERSE 추가</t>
        </is>
      </c>
      <c r="M1019" s="18">
        <f>COUNTIF('스폰_편집'!$D$5:$D$3125,A1019)</f>
        <v/>
      </c>
      <c r="N1019" s="18">
        <f>COUNTIFS('스폰_편집'!$D$5:$D$3125,A1019,'스폰_편집'!$B$5:$B$3125,"사용")</f>
        <v/>
      </c>
      <c r="O1019" s="18" t="n">
        <v>1</v>
      </c>
      <c r="P1019" s="18" t="inlineStr">
        <is>
          <t>#cobblemon:is_jungle</t>
        </is>
      </c>
      <c r="Q1019" s="18" t="inlineStr">
        <is>
          <t>ultra-rare</t>
        </is>
      </c>
      <c r="R1019" s="18" t="inlineStr"/>
      <c r="S1019" s="18" t="inlineStr">
        <is>
          <t>cobbleventure:generation_9</t>
        </is>
      </c>
      <c r="T1019" s="18">
        <f>IF(M1019=0,"없음",IF(N1019=0,"전부 제외","사용"))</f>
        <v/>
      </c>
      <c r="U1019" s="18" t="inlineStr"/>
    </row>
    <row r="1020" ht="30" customHeight="1">
      <c r="A1020" s="18" t="n">
        <v>1016</v>
      </c>
      <c r="B1020" s="18" t="inlineStr">
        <is>
          <t>기로치</t>
        </is>
      </c>
      <c r="C1020" s="18" t="inlineStr">
        <is>
          <t>fezandipiti</t>
        </is>
      </c>
      <c r="D1020" s="18" t="inlineStr">
        <is>
          <t>Fezandipiti</t>
        </is>
      </c>
      <c r="E1020" s="18" t="n">
        <v>9</v>
      </c>
      <c r="F1020" s="18" t="inlineStr">
        <is>
          <t>generation9</t>
        </is>
      </c>
      <c r="G1020" s="18" t="inlineStr">
        <is>
          <t>poison</t>
        </is>
      </c>
      <c r="H1020" s="18" t="inlineStr">
        <is>
          <t>fairy</t>
        </is>
      </c>
      <c r="I1020" s="18" t="inlineStr">
        <is>
          <t>아니오</t>
        </is>
      </c>
      <c r="J1020" s="18" t="inlineStr">
        <is>
          <t>아니오</t>
        </is>
      </c>
      <c r="K1020" s="18" t="inlineStr">
        <is>
          <t>예</t>
        </is>
      </c>
      <c r="L1020" s="18" t="inlineStr">
        <is>
          <t>COBBLEVERSE 추가</t>
        </is>
      </c>
      <c r="M1020" s="18">
        <f>COUNTIF('스폰_편집'!$D$5:$D$3125,A1020)</f>
        <v/>
      </c>
      <c r="N1020" s="18">
        <f>COUNTIFS('스폰_편집'!$D$5:$D$3125,A1020,'스폰_편집'!$B$5:$B$3125,"사용")</f>
        <v/>
      </c>
      <c r="O1020" s="18" t="n">
        <v>1</v>
      </c>
      <c r="P1020" s="18" t="inlineStr">
        <is>
          <t>#cobblemon:is_peak</t>
        </is>
      </c>
      <c r="Q1020" s="18" t="inlineStr">
        <is>
          <t>ultra-rare</t>
        </is>
      </c>
      <c r="R1020" s="18" t="inlineStr"/>
      <c r="S1020" s="18" t="inlineStr">
        <is>
          <t>cobbleventure:generation_9</t>
        </is>
      </c>
      <c r="T1020" s="18">
        <f>IF(M1020=0,"없음",IF(N1020=0,"전부 제외","사용"))</f>
        <v/>
      </c>
      <c r="U1020" s="18" t="inlineStr"/>
    </row>
    <row r="1021" ht="30" customHeight="1">
      <c r="A1021" s="18" t="n">
        <v>1017</v>
      </c>
      <c r="B1021" s="18" t="inlineStr">
        <is>
          <t>오거폰</t>
        </is>
      </c>
      <c r="C1021" s="18" t="inlineStr">
        <is>
          <t>ogerpon</t>
        </is>
      </c>
      <c r="D1021" s="18" t="inlineStr">
        <is>
          <t>Ogerpon</t>
        </is>
      </c>
      <c r="E1021" s="18" t="n">
        <v>9</v>
      </c>
      <c r="F1021" s="18" t="inlineStr">
        <is>
          <t>generation9</t>
        </is>
      </c>
      <c r="G1021" s="18" t="inlineStr">
        <is>
          <t>grass</t>
        </is>
      </c>
      <c r="H1021" s="18" t="inlineStr"/>
      <c r="I1021" s="18" t="inlineStr">
        <is>
          <t>아니오</t>
        </is>
      </c>
      <c r="J1021" s="18" t="inlineStr">
        <is>
          <t>아니오</t>
        </is>
      </c>
      <c r="K1021" s="18" t="inlineStr">
        <is>
          <t>예</t>
        </is>
      </c>
      <c r="L1021" s="18" t="inlineStr">
        <is>
          <t>COBBLEVERSE 추가</t>
        </is>
      </c>
      <c r="M1021" s="18">
        <f>COUNTIF('스폰_편집'!$D$5:$D$3125,A1021)</f>
        <v/>
      </c>
      <c r="N1021" s="18">
        <f>COUNTIFS('스폰_편집'!$D$5:$D$3125,A1021,'스폰_편집'!$B$5:$B$3125,"사용")</f>
        <v/>
      </c>
      <c r="O1021" s="18" t="n">
        <v>1</v>
      </c>
      <c r="P1021" s="18" t="inlineStr">
        <is>
          <t>#cobblemon:is_lush</t>
        </is>
      </c>
      <c r="Q1021" s="18" t="inlineStr">
        <is>
          <t>ultra-rare</t>
        </is>
      </c>
      <c r="R1021" s="18" t="inlineStr"/>
      <c r="S1021" s="18" t="inlineStr">
        <is>
          <t>cobbleventure:generation_9</t>
        </is>
      </c>
      <c r="T1021" s="18">
        <f>IF(M1021=0,"없음",IF(N1021=0,"전부 제외","사용"))</f>
        <v/>
      </c>
      <c r="U1021" s="18" t="inlineStr"/>
    </row>
    <row r="1022" ht="30" customHeight="1">
      <c r="A1022" s="18" t="n">
        <v>1018</v>
      </c>
      <c r="B1022" s="18" t="inlineStr">
        <is>
          <t>브리두라스</t>
        </is>
      </c>
      <c r="C1022" s="18" t="inlineStr">
        <is>
          <t>archaludon</t>
        </is>
      </c>
      <c r="D1022" s="18" t="inlineStr">
        <is>
          <t>Archaludon</t>
        </is>
      </c>
      <c r="E1022" s="18" t="n">
        <v>9</v>
      </c>
      <c r="F1022" s="18" t="inlineStr">
        <is>
          <t>generation9</t>
        </is>
      </c>
      <c r="G1022" s="18" t="inlineStr">
        <is>
          <t>steel</t>
        </is>
      </c>
      <c r="H1022" s="18" t="inlineStr">
        <is>
          <t>dragon</t>
        </is>
      </c>
      <c r="I1022" s="18" t="inlineStr">
        <is>
          <t>아니오</t>
        </is>
      </c>
      <c r="J1022" s="18" t="inlineStr">
        <is>
          <t>아니오</t>
        </is>
      </c>
      <c r="K1022" s="18" t="inlineStr">
        <is>
          <t>예</t>
        </is>
      </c>
      <c r="L1022" s="18" t="inlineStr">
        <is>
          <t>COBBLEVERSE 추가</t>
        </is>
      </c>
      <c r="M1022" s="18">
        <f>COUNTIF('스폰_편집'!$D$5:$D$3125,A1022)</f>
        <v/>
      </c>
      <c r="N1022" s="18">
        <f>COUNTIFS('스폰_편집'!$D$5:$D$3125,A1022,'스폰_편집'!$B$5:$B$3125,"사용")</f>
        <v/>
      </c>
      <c r="O1022" s="18" t="n">
        <v>1</v>
      </c>
      <c r="P1022" s="18" t="inlineStr">
        <is>
          <t>#cobblemon:is_glacial</t>
        </is>
      </c>
      <c r="Q1022" s="18" t="inlineStr">
        <is>
          <t>ultra-rare</t>
        </is>
      </c>
      <c r="R1022" s="18" t="inlineStr"/>
      <c r="S1022" s="18" t="inlineStr">
        <is>
          <t>cobbleventure:generation_9</t>
        </is>
      </c>
      <c r="T1022" s="18">
        <f>IF(M1022=0,"없음",IF(N1022=0,"전부 제외","사용"))</f>
        <v/>
      </c>
      <c r="U1022" s="18" t="inlineStr"/>
    </row>
    <row r="1023" ht="30" customHeight="1">
      <c r="A1023" s="18" t="n">
        <v>1019</v>
      </c>
      <c r="B1023" s="18" t="inlineStr">
        <is>
          <t>과미드라</t>
        </is>
      </c>
      <c r="C1023" s="18" t="inlineStr">
        <is>
          <t>hydrapple</t>
        </is>
      </c>
      <c r="D1023" s="18" t="inlineStr">
        <is>
          <t>Hydrapple</t>
        </is>
      </c>
      <c r="E1023" s="18" t="n">
        <v>9</v>
      </c>
      <c r="F1023" s="18" t="inlineStr">
        <is>
          <t>generation9</t>
        </is>
      </c>
      <c r="G1023" s="18" t="inlineStr">
        <is>
          <t>grass</t>
        </is>
      </c>
      <c r="H1023" s="18" t="inlineStr">
        <is>
          <t>dragon</t>
        </is>
      </c>
      <c r="I1023" s="18" t="inlineStr">
        <is>
          <t>아니오</t>
        </is>
      </c>
      <c r="J1023" s="18" t="inlineStr">
        <is>
          <t>아니오</t>
        </is>
      </c>
      <c r="K1023" s="18" t="inlineStr">
        <is>
          <t>예</t>
        </is>
      </c>
      <c r="L1023" s="18" t="inlineStr">
        <is>
          <t>COBBLEVERSE 추가</t>
        </is>
      </c>
      <c r="M1023" s="18">
        <f>COUNTIF('스폰_편집'!$D$5:$D$3125,A1023)</f>
        <v/>
      </c>
      <c r="N1023" s="18">
        <f>COUNTIFS('스폰_편집'!$D$5:$D$3125,A1023,'스폰_편집'!$B$5:$B$3125,"사용")</f>
        <v/>
      </c>
      <c r="O1023" s="18" t="n">
        <v>1</v>
      </c>
      <c r="P1023" s="18" t="inlineStr">
        <is>
          <t>#cobblemon:is_floral</t>
        </is>
      </c>
      <c r="Q1023" s="18" t="inlineStr">
        <is>
          <t>ultra-rare</t>
        </is>
      </c>
      <c r="R1023" s="18" t="inlineStr"/>
      <c r="S1023" s="18" t="inlineStr">
        <is>
          <t>cobbleventure:generation_9</t>
        </is>
      </c>
      <c r="T1023" s="18">
        <f>IF(M1023=0,"없음",IF(N1023=0,"전부 제외","사용"))</f>
        <v/>
      </c>
      <c r="U1023" s="18" t="inlineStr"/>
    </row>
    <row r="1024" ht="30" customHeight="1">
      <c r="A1024" s="18" t="n">
        <v>1020</v>
      </c>
      <c r="B1024" s="18" t="inlineStr">
        <is>
          <t>꿰뚫는화염</t>
        </is>
      </c>
      <c r="C1024" s="18" t="inlineStr">
        <is>
          <t>gougingfire</t>
        </is>
      </c>
      <c r="D1024" s="18" t="inlineStr">
        <is>
          <t>Gouging Fire</t>
        </is>
      </c>
      <c r="E1024" s="18" t="n">
        <v>9</v>
      </c>
      <c r="F1024" s="18" t="inlineStr">
        <is>
          <t>generation9</t>
        </is>
      </c>
      <c r="G1024" s="18" t="inlineStr">
        <is>
          <t>fire</t>
        </is>
      </c>
      <c r="H1024" s="18" t="inlineStr">
        <is>
          <t>dragon</t>
        </is>
      </c>
      <c r="I1024" s="18" t="inlineStr">
        <is>
          <t>아니오</t>
        </is>
      </c>
      <c r="J1024" s="18" t="inlineStr">
        <is>
          <t>아니오</t>
        </is>
      </c>
      <c r="K1024" s="18" t="inlineStr">
        <is>
          <t>예</t>
        </is>
      </c>
      <c r="L1024" s="18" t="inlineStr">
        <is>
          <t>COBBLEVERSE 추가</t>
        </is>
      </c>
      <c r="M1024" s="18">
        <f>COUNTIF('스폰_편집'!$D$5:$D$3125,A1024)</f>
        <v/>
      </c>
      <c r="N1024" s="18">
        <f>COUNTIFS('스폰_편집'!$D$5:$D$3125,A1024,'스폰_편집'!$B$5:$B$3125,"사용")</f>
        <v/>
      </c>
      <c r="O1024" s="18" t="n">
        <v>1</v>
      </c>
      <c r="P1024" s="18" t="inlineStr">
        <is>
          <t>minecraft:basalt_deltas</t>
        </is>
      </c>
      <c r="Q1024" s="18" t="inlineStr">
        <is>
          <t>ultra-rare</t>
        </is>
      </c>
      <c r="R1024" s="18" t="inlineStr"/>
      <c r="S1024" s="18" t="inlineStr">
        <is>
          <t>cobbleventure:generation_9</t>
        </is>
      </c>
      <c r="T1024" s="18">
        <f>IF(M1024=0,"없음",IF(N1024=0,"전부 제외","사용"))</f>
        <v/>
      </c>
      <c r="U1024" s="18" t="inlineStr"/>
    </row>
    <row r="1025" ht="30" customHeight="1">
      <c r="A1025" s="18" t="n">
        <v>1021</v>
      </c>
      <c r="B1025" s="18" t="inlineStr">
        <is>
          <t>날뛰는우레</t>
        </is>
      </c>
      <c r="C1025" s="18" t="inlineStr">
        <is>
          <t>ragingbolt</t>
        </is>
      </c>
      <c r="D1025" s="18" t="inlineStr">
        <is>
          <t>Raging Bolt</t>
        </is>
      </c>
      <c r="E1025" s="18" t="n">
        <v>9</v>
      </c>
      <c r="F1025" s="18" t="inlineStr">
        <is>
          <t>generation9</t>
        </is>
      </c>
      <c r="G1025" s="18" t="inlineStr">
        <is>
          <t>electric</t>
        </is>
      </c>
      <c r="H1025" s="18" t="inlineStr">
        <is>
          <t>dragon</t>
        </is>
      </c>
      <c r="I1025" s="18" t="inlineStr">
        <is>
          <t>아니오</t>
        </is>
      </c>
      <c r="J1025" s="18" t="inlineStr">
        <is>
          <t>아니오</t>
        </is>
      </c>
      <c r="K1025" s="18" t="inlineStr">
        <is>
          <t>예</t>
        </is>
      </c>
      <c r="L1025" s="18" t="inlineStr">
        <is>
          <t>COBBLEVERSE 추가</t>
        </is>
      </c>
      <c r="M1025" s="18">
        <f>COUNTIF('스폰_편집'!$D$5:$D$3125,A1025)</f>
        <v/>
      </c>
      <c r="N1025" s="18">
        <f>COUNTIFS('스폰_편집'!$D$5:$D$3125,A1025,'스폰_편집'!$B$5:$B$3125,"사용")</f>
        <v/>
      </c>
      <c r="O1025" s="18" t="n">
        <v>1</v>
      </c>
      <c r="P1025" s="18" t="inlineStr">
        <is>
          <t>#cobblemon:is_arid</t>
        </is>
      </c>
      <c r="Q1025" s="18" t="inlineStr">
        <is>
          <t>ultra-rare</t>
        </is>
      </c>
      <c r="R1025" s="18" t="inlineStr">
        <is>
          <t>region_02</t>
        </is>
      </c>
      <c r="S1025" s="18" t="inlineStr">
        <is>
          <t>cobbleventure:generation_9</t>
        </is>
      </c>
      <c r="T1025" s="18">
        <f>IF(M1025=0,"없음",IF(N1025=0,"전부 제외","사용"))</f>
        <v/>
      </c>
      <c r="U1025" s="18" t="inlineStr"/>
    </row>
    <row r="1026" ht="30" customHeight="1">
      <c r="A1026" s="18" t="n">
        <v>1022</v>
      </c>
      <c r="B1026" s="18" t="inlineStr">
        <is>
          <t>무쇠암석</t>
        </is>
      </c>
      <c r="C1026" s="18" t="inlineStr">
        <is>
          <t>ironboulder</t>
        </is>
      </c>
      <c r="D1026" s="18" t="inlineStr">
        <is>
          <t>Iron Boulder</t>
        </is>
      </c>
      <c r="E1026" s="18" t="n">
        <v>9</v>
      </c>
      <c r="F1026" s="18" t="inlineStr">
        <is>
          <t>generation9</t>
        </is>
      </c>
      <c r="G1026" s="18" t="inlineStr">
        <is>
          <t>rock</t>
        </is>
      </c>
      <c r="H1026" s="18" t="inlineStr">
        <is>
          <t>psychic</t>
        </is>
      </c>
      <c r="I1026" s="18" t="inlineStr">
        <is>
          <t>아니오</t>
        </is>
      </c>
      <c r="J1026" s="18" t="inlineStr">
        <is>
          <t>아니오</t>
        </is>
      </c>
      <c r="K1026" s="18" t="inlineStr">
        <is>
          <t>예</t>
        </is>
      </c>
      <c r="L1026" s="18" t="inlineStr">
        <is>
          <t>COBBLEVERSE 추가</t>
        </is>
      </c>
      <c r="M1026" s="18">
        <f>COUNTIF('스폰_편집'!$D$5:$D$3125,A1026)</f>
        <v/>
      </c>
      <c r="N1026" s="18">
        <f>COUNTIFS('스폰_편집'!$D$5:$D$3125,A1026,'스폰_편집'!$B$5:$B$3125,"사용")</f>
        <v/>
      </c>
      <c r="O1026" s="18" t="n">
        <v>1</v>
      </c>
      <c r="P1026" s="18" t="inlineStr">
        <is>
          <t>minecraft:dark_forest</t>
        </is>
      </c>
      <c r="Q1026" s="18" t="inlineStr">
        <is>
          <t>ultra-rare</t>
        </is>
      </c>
      <c r="R1026" s="18" t="inlineStr"/>
      <c r="S1026" s="18" t="inlineStr">
        <is>
          <t>cobbleventure:generation_9</t>
        </is>
      </c>
      <c r="T1026" s="18">
        <f>IF(M1026=0,"없음",IF(N1026=0,"전부 제외","사용"))</f>
        <v/>
      </c>
      <c r="U1026" s="18" t="inlineStr"/>
    </row>
    <row r="1027" ht="30" customHeight="1">
      <c r="A1027" s="18" t="n">
        <v>1023</v>
      </c>
      <c r="B1027" s="18" t="inlineStr">
        <is>
          <t>무쇠감투</t>
        </is>
      </c>
      <c r="C1027" s="18" t="inlineStr">
        <is>
          <t>ironcrown</t>
        </is>
      </c>
      <c r="D1027" s="18" t="inlineStr">
        <is>
          <t>Iron Crown</t>
        </is>
      </c>
      <c r="E1027" s="18" t="n">
        <v>9</v>
      </c>
      <c r="F1027" s="18" t="inlineStr">
        <is>
          <t>generation9</t>
        </is>
      </c>
      <c r="G1027" s="18" t="inlineStr">
        <is>
          <t>steel</t>
        </is>
      </c>
      <c r="H1027" s="18" t="inlineStr">
        <is>
          <t>psychic</t>
        </is>
      </c>
      <c r="I1027" s="18" t="inlineStr">
        <is>
          <t>아니오</t>
        </is>
      </c>
      <c r="J1027" s="18" t="inlineStr">
        <is>
          <t>아니오</t>
        </is>
      </c>
      <c r="K1027" s="18" t="inlineStr">
        <is>
          <t>예</t>
        </is>
      </c>
      <c r="L1027" s="18" t="inlineStr">
        <is>
          <t>COBBLEVERSE 추가</t>
        </is>
      </c>
      <c r="M1027" s="18">
        <f>COUNTIF('스폰_편집'!$D$5:$D$3125,A1027)</f>
        <v/>
      </c>
      <c r="N1027" s="18">
        <f>COUNTIFS('스폰_편집'!$D$5:$D$3125,A1027,'스폰_편집'!$B$5:$B$3125,"사용")</f>
        <v/>
      </c>
      <c r="O1027" s="18" t="n">
        <v>1</v>
      </c>
      <c r="P1027" s="18" t="inlineStr">
        <is>
          <t>#cobblemon:is_lush</t>
        </is>
      </c>
      <c r="Q1027" s="18" t="inlineStr">
        <is>
          <t>ultra-rare</t>
        </is>
      </c>
      <c r="R1027" s="18" t="inlineStr"/>
      <c r="S1027" s="18" t="inlineStr">
        <is>
          <t>cobbleventure:generation_9</t>
        </is>
      </c>
      <c r="T1027" s="18">
        <f>IF(M1027=0,"없음",IF(N1027=0,"전부 제외","사용"))</f>
        <v/>
      </c>
      <c r="U1027" s="18" t="inlineStr"/>
    </row>
    <row r="1028" ht="30" customHeight="1">
      <c r="A1028" s="18" t="n">
        <v>1024</v>
      </c>
      <c r="B1028" s="18" t="inlineStr">
        <is>
          <t>테라파고스</t>
        </is>
      </c>
      <c r="C1028" s="18" t="inlineStr">
        <is>
          <t>terapagos</t>
        </is>
      </c>
      <c r="D1028" s="18" t="inlineStr">
        <is>
          <t>Terapagos</t>
        </is>
      </c>
      <c r="E1028" s="18" t="n">
        <v>9</v>
      </c>
      <c r="F1028" s="18" t="inlineStr">
        <is>
          <t>generation9</t>
        </is>
      </c>
      <c r="G1028" s="18" t="inlineStr">
        <is>
          <t>normal</t>
        </is>
      </c>
      <c r="H1028" s="18" t="inlineStr"/>
      <c r="I1028" s="18" t="inlineStr">
        <is>
          <t>아니오</t>
        </is>
      </c>
      <c r="J1028" s="18" t="inlineStr">
        <is>
          <t>아니오</t>
        </is>
      </c>
      <c r="K1028" s="18" t="inlineStr">
        <is>
          <t>예</t>
        </is>
      </c>
      <c r="L1028" s="18" t="inlineStr">
        <is>
          <t>COBBLEVERSE 추가</t>
        </is>
      </c>
      <c r="M1028" s="18">
        <f>COUNTIF('스폰_편집'!$D$5:$D$3125,A1028)</f>
        <v/>
      </c>
      <c r="N1028" s="18">
        <f>COUNTIFS('스폰_편집'!$D$5:$D$3125,A1028,'스폰_편집'!$B$5:$B$3125,"사용")</f>
        <v/>
      </c>
      <c r="O1028" s="18" t="n">
        <v>1</v>
      </c>
      <c r="P1028" s="18" t="inlineStr">
        <is>
          <t>#cobblemon:is_cave</t>
        </is>
      </c>
      <c r="Q1028" s="18" t="inlineStr">
        <is>
          <t>ultra-rare</t>
        </is>
      </c>
      <c r="R1028" s="18" t="inlineStr"/>
      <c r="S1028" s="18" t="inlineStr">
        <is>
          <t>cobbleventure:generation_9</t>
        </is>
      </c>
      <c r="T1028" s="18">
        <f>IF(M1028=0,"없음",IF(N1028=0,"전부 제외","사용"))</f>
        <v/>
      </c>
      <c r="U1028" s="18" t="inlineStr"/>
    </row>
    <row r="1029" ht="30" customHeight="1">
      <c r="A1029" s="18" t="n">
        <v>1025</v>
      </c>
      <c r="B1029" s="18" t="inlineStr">
        <is>
          <t>복숭악동</t>
        </is>
      </c>
      <c r="C1029" s="18" t="inlineStr">
        <is>
          <t>pecharunt</t>
        </is>
      </c>
      <c r="D1029" s="18" t="inlineStr">
        <is>
          <t>Pecharunt</t>
        </is>
      </c>
      <c r="E1029" s="18" t="n">
        <v>9</v>
      </c>
      <c r="F1029" s="18" t="inlineStr">
        <is>
          <t>generation9</t>
        </is>
      </c>
      <c r="G1029" s="18" t="inlineStr">
        <is>
          <t>poison</t>
        </is>
      </c>
      <c r="H1029" s="18" t="inlineStr">
        <is>
          <t>ghost</t>
        </is>
      </c>
      <c r="I1029" s="18" t="inlineStr">
        <is>
          <t>아니오</t>
        </is>
      </c>
      <c r="J1029" s="18" t="inlineStr">
        <is>
          <t>아니오</t>
        </is>
      </c>
      <c r="K1029" s="18" t="inlineStr">
        <is>
          <t>예</t>
        </is>
      </c>
      <c r="L1029" s="18" t="inlineStr">
        <is>
          <t>COBBLEVERSE 추가</t>
        </is>
      </c>
      <c r="M1029" s="18">
        <f>COUNTIF('스폰_편집'!$D$5:$D$3125,A1029)</f>
        <v/>
      </c>
      <c r="N1029" s="18">
        <f>COUNTIFS('스폰_편집'!$D$5:$D$3125,A1029,'스폰_편집'!$B$5:$B$3125,"사용")</f>
        <v/>
      </c>
      <c r="O1029" s="18" t="n">
        <v>1</v>
      </c>
      <c r="P1029" s="18" t="inlineStr">
        <is>
          <t>#cobblemon:is_spooky</t>
        </is>
      </c>
      <c r="Q1029" s="18" t="inlineStr">
        <is>
          <t>ultra-rare</t>
        </is>
      </c>
      <c r="R1029" s="18" t="inlineStr"/>
      <c r="S1029" s="18" t="inlineStr">
        <is>
          <t>cobbleventure:generation_9</t>
        </is>
      </c>
      <c r="T1029" s="18">
        <f>IF(M1029=0,"없음",IF(N1029=0,"전부 제외","사용"))</f>
        <v/>
      </c>
      <c r="U1029" s="18" t="inlineStr"/>
    </row>
  </sheetData>
  <autoFilter ref="A4:U1029"/>
  <mergeCells count="2">
    <mergeCell ref="A1:U1"/>
    <mergeCell ref="A2:U2"/>
  </mergeCells>
  <conditionalFormatting sqref="I5:I1029">
    <cfRule type="expression" priority="1" dxfId="2">
      <formula>$I5="아니오"</formula>
    </cfRule>
  </conditionalFormatting>
  <conditionalFormatting sqref="L5:L1029">
    <cfRule type="expression" priority="2" dxfId="1">
      <formula>ISNUMBER(SEARCH("추가",$L5))</formula>
    </cfRule>
  </conditionalFormatting>
  <conditionalFormatting sqref="T5:T1029">
    <cfRule type="expression" priority="3" dxfId="2">
      <formula>$T5="없음"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5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16" customWidth="1" min="4" max="4"/>
    <col width="14" customWidth="1" min="5" max="5"/>
    <col width="42" customWidth="1" min="6" max="6"/>
    <col width="22" customWidth="1" min="7" max="7"/>
    <col width="1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58" customWidth="1" min="18" max="18"/>
  </cols>
  <sheetData>
    <row r="1" ht="30" customHeight="1">
      <c r="A1" s="15" t="inlineStr">
        <is>
          <t>바이옴·태그별 포켓몬 출현 요약</t>
        </is>
      </c>
    </row>
    <row r="2" ht="32" customHeight="1">
      <c r="A2" s="16" t="inlineStr">
        <is>
          <t>스폰 조건의 biomes 값을 그대로 집계했습니다. #으로 시작하는 값은 바이옴 태그이며, 실제 포함 바이옴은 ‘바이옴_태그’ 시트에서 확인합니다.</t>
        </is>
      </c>
    </row>
    <row r="4" ht="34" customHeight="1">
      <c r="A4" s="17" t="inlineStr">
        <is>
          <t>바이옴·태그</t>
        </is>
      </c>
      <c r="B4" s="17" t="inlineStr">
        <is>
          <t>구분</t>
        </is>
      </c>
      <c r="C4" s="17" t="inlineStr">
        <is>
          <t>출현엔트리수</t>
        </is>
      </c>
      <c r="D4" s="17" t="inlineStr">
        <is>
          <t>고유포켓몬수</t>
        </is>
      </c>
      <c r="E4" s="17" t="inlineStr">
        <is>
          <t>제외조건수</t>
        </is>
      </c>
      <c r="F4" s="17" t="inlineStr">
        <is>
          <t>희귀도분포</t>
        </is>
      </c>
      <c r="G4" s="17" t="inlineStr">
        <is>
          <t>지역후보</t>
        </is>
      </c>
      <c r="H4" s="17" t="inlineStr">
        <is>
          <t>세대목록</t>
        </is>
      </c>
      <c r="I4" s="17" t="inlineStr">
        <is>
          <t>1세대_엔트리</t>
        </is>
      </c>
      <c r="J4" s="17" t="inlineStr">
        <is>
          <t>2세대_엔트리</t>
        </is>
      </c>
      <c r="K4" s="17" t="inlineStr">
        <is>
          <t>3세대_엔트리</t>
        </is>
      </c>
      <c r="L4" s="17" t="inlineStr">
        <is>
          <t>4세대_엔트리</t>
        </is>
      </c>
      <c r="M4" s="17" t="inlineStr">
        <is>
          <t>5세대_엔트리</t>
        </is>
      </c>
      <c r="N4" s="17" t="inlineStr">
        <is>
          <t>6세대_엔트리</t>
        </is>
      </c>
      <c r="O4" s="17" t="inlineStr">
        <is>
          <t>7세대_엔트리</t>
        </is>
      </c>
      <c r="P4" s="17" t="inlineStr">
        <is>
          <t>8세대_엔트리</t>
        </is>
      </c>
      <c r="Q4" s="17" t="inlineStr">
        <is>
          <t>9세대_엔트리</t>
        </is>
      </c>
      <c r="R4" s="17" t="inlineStr">
        <is>
          <t>태그원본경로</t>
        </is>
      </c>
    </row>
    <row r="5" ht="28" customHeight="1">
      <c r="A5" s="18" t="inlineStr">
        <is>
          <t>#aether:is_aether</t>
        </is>
      </c>
      <c r="B5" s="18" t="inlineStr">
        <is>
          <t>태그</t>
        </is>
      </c>
      <c r="C5" s="18" t="n">
        <v>189</v>
      </c>
      <c r="D5" s="18" t="n">
        <v>108</v>
      </c>
      <c r="E5" s="18" t="n">
        <v>0</v>
      </c>
      <c r="F5" s="18" t="inlineStr">
        <is>
          <t>common:67; rare:23; ultra-rare:9; uncommon:90</t>
        </is>
      </c>
      <c r="G5" s="18" t="inlineStr"/>
      <c r="H5" s="18" t="inlineStr">
        <is>
          <t>1; 2; 3; 4; 5; 6; 7; 8; 9</t>
        </is>
      </c>
      <c r="I5" s="18" t="n">
        <v>72</v>
      </c>
      <c r="J5" s="18" t="n">
        <v>24</v>
      </c>
      <c r="K5" s="18" t="n">
        <v>13</v>
      </c>
      <c r="L5" s="18" t="n">
        <v>12</v>
      </c>
      <c r="M5" s="18" t="n">
        <v>25</v>
      </c>
      <c r="N5" s="18" t="n">
        <v>11</v>
      </c>
      <c r="O5" s="18" t="n">
        <v>5</v>
      </c>
      <c r="P5" s="18" t="n">
        <v>15</v>
      </c>
      <c r="Q5" s="18" t="n">
        <v>12</v>
      </c>
      <c r="R5" s="18" t="inlineStr"/>
    </row>
    <row r="6" ht="28" customHeight="1">
      <c r="A6" s="18" t="inlineStr">
        <is>
          <t>#cobblemon:end</t>
        </is>
      </c>
      <c r="B6" s="18" t="inlineStr">
        <is>
          <t>태그</t>
        </is>
      </c>
      <c r="C6" s="18" t="n">
        <v>1</v>
      </c>
      <c r="D6" s="18" t="n">
        <v>1</v>
      </c>
      <c r="E6" s="18" t="n">
        <v>0</v>
      </c>
      <c r="F6" s="18" t="inlineStr">
        <is>
          <t>uncommon:1</t>
        </is>
      </c>
      <c r="G6" s="18" t="inlineStr"/>
      <c r="H6" s="18" t="inlineStr">
        <is>
          <t>2</t>
        </is>
      </c>
      <c r="I6" s="18" t="n">
        <v>0</v>
      </c>
      <c r="J6" s="18" t="n">
        <v>1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  <c r="Q6" s="18" t="n">
        <v>0</v>
      </c>
      <c r="R6" s="18" t="inlineStr"/>
    </row>
    <row r="7" ht="28" customHeight="1">
      <c r="A7" s="18" t="inlineStr">
        <is>
          <t>#cobblemon:has_block/mud</t>
        </is>
      </c>
      <c r="B7" s="18" t="inlineStr">
        <is>
          <t>태그</t>
        </is>
      </c>
      <c r="C7" s="18" t="n">
        <v>15</v>
      </c>
      <c r="D7" s="18" t="n">
        <v>3</v>
      </c>
      <c r="E7" s="18" t="n">
        <v>33</v>
      </c>
      <c r="F7" s="18" t="inlineStr">
        <is>
          <t>common:15</t>
        </is>
      </c>
      <c r="G7" s="18" t="inlineStr"/>
      <c r="H7" s="18" t="inlineStr">
        <is>
          <t>2; 5; 9</t>
        </is>
      </c>
      <c r="I7" s="18" t="n">
        <v>0</v>
      </c>
      <c r="J7" s="18" t="n">
        <v>5</v>
      </c>
      <c r="K7" s="18" t="n">
        <v>0</v>
      </c>
      <c r="L7" s="18" t="n">
        <v>0</v>
      </c>
      <c r="M7" s="18" t="n">
        <v>5</v>
      </c>
      <c r="N7" s="18" t="n">
        <v>0</v>
      </c>
      <c r="O7" s="18" t="n">
        <v>0</v>
      </c>
      <c r="P7" s="18" t="n">
        <v>0</v>
      </c>
      <c r="Q7" s="18" t="n">
        <v>5</v>
      </c>
      <c r="R7" s="18" t="inlineStr"/>
    </row>
    <row r="8" ht="28" customHeight="1">
      <c r="A8" s="18" t="inlineStr">
        <is>
          <t>#cobblemon:is_arid</t>
        </is>
      </c>
      <c r="B8" s="18" t="inlineStr">
        <is>
          <t>태그</t>
        </is>
      </c>
      <c r="C8" s="18" t="n">
        <v>103</v>
      </c>
      <c r="D8" s="18" t="n">
        <v>42</v>
      </c>
      <c r="E8" s="18" t="n">
        <v>47</v>
      </c>
      <c r="F8" s="18" t="inlineStr">
        <is>
          <t>common:71; rare:7; ultra-rare:7; uncommon:18</t>
        </is>
      </c>
      <c r="G8" s="18" t="inlineStr">
        <is>
          <t>region_02</t>
        </is>
      </c>
      <c r="H8" s="18" t="inlineStr">
        <is>
          <t>1; 2; 3; 4; 5; 6; 8; 9</t>
        </is>
      </c>
      <c r="I8" s="18" t="n">
        <v>18</v>
      </c>
      <c r="J8" s="18" t="n">
        <v>10</v>
      </c>
      <c r="K8" s="18" t="n">
        <v>13</v>
      </c>
      <c r="L8" s="18" t="n">
        <v>4</v>
      </c>
      <c r="M8" s="18" t="n">
        <v>26</v>
      </c>
      <c r="N8" s="18" t="n">
        <v>4</v>
      </c>
      <c r="O8" s="18" t="n">
        <v>0</v>
      </c>
      <c r="P8" s="18" t="n">
        <v>6</v>
      </c>
      <c r="Q8" s="18" t="n">
        <v>22</v>
      </c>
      <c r="R8" s="18" t="inlineStr">
        <is>
          <t>data/cobblemon/tags/worldgen/biome/is_arid.json</t>
        </is>
      </c>
    </row>
    <row r="9" ht="28" customHeight="1">
      <c r="A9" s="18" t="inlineStr">
        <is>
          <t>#cobblemon:is_badlands</t>
        </is>
      </c>
      <c r="B9" s="18" t="inlineStr">
        <is>
          <t>태그</t>
        </is>
      </c>
      <c r="C9" s="18" t="n">
        <v>88</v>
      </c>
      <c r="D9" s="18" t="n">
        <v>80</v>
      </c>
      <c r="E9" s="18" t="n">
        <v>17</v>
      </c>
      <c r="F9" s="18" t="inlineStr">
        <is>
          <t>common:45; rare:7; ultra-rare:15; uncommon:21</t>
        </is>
      </c>
      <c r="G9" s="18" t="inlineStr"/>
      <c r="H9" s="18" t="inlineStr">
        <is>
          <t>1; 2; 3; 4; 5; 6; 7; 8; 9</t>
        </is>
      </c>
      <c r="I9" s="18" t="n">
        <v>5</v>
      </c>
      <c r="J9" s="18" t="n">
        <v>8</v>
      </c>
      <c r="K9" s="18" t="n">
        <v>14</v>
      </c>
      <c r="L9" s="18" t="n">
        <v>9</v>
      </c>
      <c r="M9" s="18" t="n">
        <v>19</v>
      </c>
      <c r="N9" s="18" t="n">
        <v>4</v>
      </c>
      <c r="O9" s="18" t="n">
        <v>8</v>
      </c>
      <c r="P9" s="18" t="n">
        <v>5</v>
      </c>
      <c r="Q9" s="18" t="n">
        <v>16</v>
      </c>
      <c r="R9" s="18" t="inlineStr">
        <is>
          <t>data/cobblemon/tags/worldgen/biome/is_badlands.json</t>
        </is>
      </c>
    </row>
    <row r="10" ht="28" customHeight="1">
      <c r="A10" s="18" t="inlineStr">
        <is>
          <t>#cobblemon:is_bamboo</t>
        </is>
      </c>
      <c r="B10" s="18" t="inlineStr">
        <is>
          <t>태그</t>
        </is>
      </c>
      <c r="C10" s="18" t="n">
        <v>32</v>
      </c>
      <c r="D10" s="18" t="n">
        <v>12</v>
      </c>
      <c r="E10" s="18" t="n">
        <v>8</v>
      </c>
      <c r="F10" s="18" t="inlineStr">
        <is>
          <t>common:6; rare:4; ultra-rare:9; uncommon:13</t>
        </is>
      </c>
      <c r="G10" s="18" t="inlineStr"/>
      <c r="H10" s="18" t="inlineStr">
        <is>
          <t>1; 3; 6; 7; 9</t>
        </is>
      </c>
      <c r="I10" s="18" t="n">
        <v>4</v>
      </c>
      <c r="J10" s="18" t="n">
        <v>0</v>
      </c>
      <c r="K10" s="18" t="n">
        <v>5</v>
      </c>
      <c r="L10" s="18" t="n">
        <v>0</v>
      </c>
      <c r="M10" s="18" t="n">
        <v>0</v>
      </c>
      <c r="N10" s="18" t="n">
        <v>9</v>
      </c>
      <c r="O10" s="18" t="n">
        <v>2</v>
      </c>
      <c r="P10" s="18" t="n">
        <v>0</v>
      </c>
      <c r="Q10" s="18" t="n">
        <v>12</v>
      </c>
      <c r="R10" s="18" t="inlineStr">
        <is>
          <t>data/cobblemon/tags/worldgen/biome/is_bamboo.json</t>
        </is>
      </c>
    </row>
    <row r="11" ht="28" customHeight="1">
      <c r="A11" s="18" t="inlineStr">
        <is>
          <t>#cobblemon:is_beach</t>
        </is>
      </c>
      <c r="B11" s="18" t="inlineStr">
        <is>
          <t>태그</t>
        </is>
      </c>
      <c r="C11" s="18" t="n">
        <v>50</v>
      </c>
      <c r="D11" s="18" t="n">
        <v>24</v>
      </c>
      <c r="E11" s="18" t="n">
        <v>23</v>
      </c>
      <c r="F11" s="18" t="inlineStr">
        <is>
          <t>common:20; rare:1; ultra-rare:9; uncommon:20</t>
        </is>
      </c>
      <c r="G11" s="18" t="inlineStr"/>
      <c r="H11" s="18" t="inlineStr">
        <is>
          <t>1; 2; 3; 4; 5; 7; 8; 9</t>
        </is>
      </c>
      <c r="I11" s="18" t="n">
        <v>14</v>
      </c>
      <c r="J11" s="18" t="n">
        <v>9</v>
      </c>
      <c r="K11" s="18" t="n">
        <v>1</v>
      </c>
      <c r="L11" s="18" t="n">
        <v>4</v>
      </c>
      <c r="M11" s="18" t="n">
        <v>9</v>
      </c>
      <c r="N11" s="18" t="n">
        <v>0</v>
      </c>
      <c r="O11" s="18" t="n">
        <v>5</v>
      </c>
      <c r="P11" s="18" t="n">
        <v>5</v>
      </c>
      <c r="Q11" s="18" t="n">
        <v>3</v>
      </c>
      <c r="R11" s="18" t="inlineStr">
        <is>
          <t>data/cobblemon/tags/worldgen/biome/is_beach.json</t>
        </is>
      </c>
    </row>
    <row r="12" ht="28" customHeight="1">
      <c r="A12" s="18" t="inlineStr">
        <is>
          <t>#cobblemon:is_cave</t>
        </is>
      </c>
      <c r="B12" s="18" t="inlineStr">
        <is>
          <t>태그</t>
        </is>
      </c>
      <c r="C12" s="18" t="n">
        <v>10</v>
      </c>
      <c r="D12" s="18" t="n">
        <v>7</v>
      </c>
      <c r="E12" s="18" t="n">
        <v>0</v>
      </c>
      <c r="F12" s="18" t="inlineStr">
        <is>
          <t>common:5; rare:1; ultra-rare:2; uncommon:2</t>
        </is>
      </c>
      <c r="G12" s="18" t="inlineStr"/>
      <c r="H12" s="18" t="inlineStr">
        <is>
          <t>5; 8; 9</t>
        </is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3</v>
      </c>
      <c r="N12" s="18" t="n">
        <v>0</v>
      </c>
      <c r="O12" s="18" t="n">
        <v>0</v>
      </c>
      <c r="P12" s="18" t="n">
        <v>6</v>
      </c>
      <c r="Q12" s="18" t="n">
        <v>1</v>
      </c>
      <c r="R12" s="18" t="inlineStr">
        <is>
          <t>data/cobblemon/tags/worldgen/biome/is_cave.json</t>
        </is>
      </c>
    </row>
    <row r="13" ht="28" customHeight="1">
      <c r="A13" s="18" t="inlineStr">
        <is>
          <t>#cobblemon:is_cherry_blossom</t>
        </is>
      </c>
      <c r="B13" s="18" t="inlineStr">
        <is>
          <t>태그</t>
        </is>
      </c>
      <c r="C13" s="18" t="n">
        <v>9</v>
      </c>
      <c r="D13" s="18" t="n">
        <v>3</v>
      </c>
      <c r="E13" s="18" t="n">
        <v>10</v>
      </c>
      <c r="F13" s="18" t="inlineStr">
        <is>
          <t>common:1; uncommon:8</t>
        </is>
      </c>
      <c r="G13" s="18" t="inlineStr"/>
      <c r="H13" s="18" t="inlineStr">
        <is>
          <t>6; 9</t>
        </is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1</v>
      </c>
      <c r="O13" s="18" t="n">
        <v>0</v>
      </c>
      <c r="P13" s="18" t="n">
        <v>0</v>
      </c>
      <c r="Q13" s="18" t="n">
        <v>8</v>
      </c>
      <c r="R13" s="18" t="inlineStr">
        <is>
          <t>data/cobblemon/tags/worldgen/biome/is_cherry_blossom.json</t>
        </is>
      </c>
    </row>
    <row r="14" ht="28" customHeight="1">
      <c r="A14" s="18" t="inlineStr">
        <is>
          <t>#cobblemon:is_coast</t>
        </is>
      </c>
      <c r="B14" s="18" t="inlineStr">
        <is>
          <t>태그</t>
        </is>
      </c>
      <c r="C14" s="18" t="n">
        <v>129</v>
      </c>
      <c r="D14" s="18" t="n">
        <v>40</v>
      </c>
      <c r="E14" s="18" t="n">
        <v>7</v>
      </c>
      <c r="F14" s="18" t="inlineStr">
        <is>
          <t>common:57; ultra-rare:36; uncommon:36</t>
        </is>
      </c>
      <c r="G14" s="18" t="inlineStr"/>
      <c r="H14" s="18" t="inlineStr">
        <is>
          <t>1; 3; 5; 6; 7; 8; 9</t>
        </is>
      </c>
      <c r="I14" s="18" t="n">
        <v>22</v>
      </c>
      <c r="J14" s="18" t="n">
        <v>0</v>
      </c>
      <c r="K14" s="18" t="n">
        <v>2</v>
      </c>
      <c r="L14" s="18" t="n">
        <v>0</v>
      </c>
      <c r="M14" s="18" t="n">
        <v>9</v>
      </c>
      <c r="N14" s="18" t="n">
        <v>25</v>
      </c>
      <c r="O14" s="18" t="n">
        <v>32</v>
      </c>
      <c r="P14" s="18" t="n">
        <v>35</v>
      </c>
      <c r="Q14" s="18" t="n">
        <v>4</v>
      </c>
      <c r="R14" s="18" t="inlineStr">
        <is>
          <t>data/cobblemon/tags/worldgen/biome/is_coast.json</t>
        </is>
      </c>
    </row>
    <row r="15" ht="28" customHeight="1">
      <c r="A15" s="18" t="inlineStr">
        <is>
          <t>#cobblemon:is_cold</t>
        </is>
      </c>
      <c r="B15" s="18" t="inlineStr">
        <is>
          <t>태그</t>
        </is>
      </c>
      <c r="C15" s="18" t="n">
        <v>9</v>
      </c>
      <c r="D15" s="18" t="n">
        <v>5</v>
      </c>
      <c r="E15" s="18" t="n">
        <v>9</v>
      </c>
      <c r="F15" s="18" t="inlineStr">
        <is>
          <t>common:2; rare:1; uncommon:6</t>
        </is>
      </c>
      <c r="G15" s="18" t="inlineStr"/>
      <c r="H15" s="18" t="inlineStr">
        <is>
          <t>2; 5; 7; 8</t>
        </is>
      </c>
      <c r="I15" s="18" t="n">
        <v>0</v>
      </c>
      <c r="J15" s="18" t="n">
        <v>3</v>
      </c>
      <c r="K15" s="18" t="n">
        <v>0</v>
      </c>
      <c r="L15" s="18" t="n">
        <v>0</v>
      </c>
      <c r="M15" s="18" t="n">
        <v>2</v>
      </c>
      <c r="N15" s="18" t="n">
        <v>0</v>
      </c>
      <c r="O15" s="18" t="n">
        <v>1</v>
      </c>
      <c r="P15" s="18" t="n">
        <v>3</v>
      </c>
      <c r="Q15" s="18" t="n">
        <v>0</v>
      </c>
      <c r="R15" s="18" t="inlineStr">
        <is>
          <t>data/cobblemon/tags/worldgen/biome/is_cold.json</t>
        </is>
      </c>
    </row>
    <row r="16" ht="28" customHeight="1">
      <c r="A16" s="18" t="inlineStr">
        <is>
          <t>#cobblemon:is_cold_ocean</t>
        </is>
      </c>
      <c r="B16" s="18" t="inlineStr">
        <is>
          <t>태그</t>
        </is>
      </c>
      <c r="C16" s="18" t="n">
        <v>51</v>
      </c>
      <c r="D16" s="18" t="n">
        <v>17</v>
      </c>
      <c r="E16" s="18" t="n">
        <v>25</v>
      </c>
      <c r="F16" s="18" t="inlineStr">
        <is>
          <t>common:34; ultra-rare:9; uncommon:8</t>
        </is>
      </c>
      <c r="G16" s="18" t="inlineStr"/>
      <c r="H16" s="18" t="inlineStr">
        <is>
          <t>1; 2; 3; 4; 5; 8</t>
        </is>
      </c>
      <c r="I16" s="18" t="n">
        <v>10</v>
      </c>
      <c r="J16" s="18" t="n">
        <v>10</v>
      </c>
      <c r="K16" s="18" t="n">
        <v>6</v>
      </c>
      <c r="L16" s="18" t="n">
        <v>12</v>
      </c>
      <c r="M16" s="18" t="n">
        <v>3</v>
      </c>
      <c r="N16" s="18" t="n">
        <v>0</v>
      </c>
      <c r="O16" s="18" t="n">
        <v>0</v>
      </c>
      <c r="P16" s="18" t="n">
        <v>10</v>
      </c>
      <c r="Q16" s="18" t="n">
        <v>0</v>
      </c>
      <c r="R16" s="18" t="inlineStr">
        <is>
          <t>data/cobblemon/tags/worldgen/biome/is_cold_ocean.json</t>
        </is>
      </c>
    </row>
    <row r="17" ht="28" customHeight="1">
      <c r="A17" s="18" t="inlineStr">
        <is>
          <t>#cobblemon:is_deep_dark</t>
        </is>
      </c>
      <c r="B17" s="18" t="inlineStr">
        <is>
          <t>태그</t>
        </is>
      </c>
      <c r="C17" s="18" t="n">
        <v>23</v>
      </c>
      <c r="D17" s="18" t="n">
        <v>23</v>
      </c>
      <c r="E17" s="18" t="n">
        <v>98</v>
      </c>
      <c r="F17" s="18" t="inlineStr">
        <is>
          <t>common:2; rare:4; ultra-rare:1; uncommon:16</t>
        </is>
      </c>
      <c r="G17" s="18" t="inlineStr"/>
      <c r="H17" s="18" t="inlineStr">
        <is>
          <t>1; 2; 3; 4; 5; 6; 7</t>
        </is>
      </c>
      <c r="I17" s="18" t="n">
        <v>5</v>
      </c>
      <c r="J17" s="18" t="n">
        <v>1</v>
      </c>
      <c r="K17" s="18" t="n">
        <v>5</v>
      </c>
      <c r="L17" s="18" t="n">
        <v>1</v>
      </c>
      <c r="M17" s="18" t="n">
        <v>8</v>
      </c>
      <c r="N17" s="18" t="n">
        <v>2</v>
      </c>
      <c r="O17" s="18" t="n">
        <v>1</v>
      </c>
      <c r="P17" s="18" t="n">
        <v>0</v>
      </c>
      <c r="Q17" s="18" t="n">
        <v>0</v>
      </c>
      <c r="R17" s="18" t="inlineStr">
        <is>
          <t>data/cobblemon/tags/worldgen/biome/is_deep_dark.json</t>
        </is>
      </c>
    </row>
    <row r="18" ht="28" customHeight="1">
      <c r="A18" s="18" t="inlineStr">
        <is>
          <t>#cobblemon:is_deep_ocean</t>
        </is>
      </c>
      <c r="B18" s="18" t="inlineStr">
        <is>
          <t>태그</t>
        </is>
      </c>
      <c r="C18" s="18" t="n">
        <v>22</v>
      </c>
      <c r="D18" s="18" t="n">
        <v>11</v>
      </c>
      <c r="E18" s="18" t="n">
        <v>5</v>
      </c>
      <c r="F18" s="18" t="inlineStr">
        <is>
          <t>common:9; uncommon:13</t>
        </is>
      </c>
      <c r="G18" s="18" t="inlineStr"/>
      <c r="H18" s="18" t="inlineStr">
        <is>
          <t>2; 3; 4; 5</t>
        </is>
      </c>
      <c r="I18" s="18" t="n">
        <v>0</v>
      </c>
      <c r="J18" s="18" t="n">
        <v>4</v>
      </c>
      <c r="K18" s="18" t="n">
        <v>12</v>
      </c>
      <c r="L18" s="18" t="n">
        <v>4</v>
      </c>
      <c r="M18" s="18" t="n">
        <v>2</v>
      </c>
      <c r="N18" s="18" t="n">
        <v>0</v>
      </c>
      <c r="O18" s="18" t="n">
        <v>0</v>
      </c>
      <c r="P18" s="18" t="n">
        <v>0</v>
      </c>
      <c r="Q18" s="18" t="n">
        <v>0</v>
      </c>
      <c r="R18" s="18" t="inlineStr">
        <is>
          <t>data/cobblemon/tags/worldgen/biome/is_deep_ocean.json</t>
        </is>
      </c>
    </row>
    <row r="19" ht="28" customHeight="1">
      <c r="A19" s="18" t="inlineStr">
        <is>
          <t>#cobblemon:is_desert</t>
        </is>
      </c>
      <c r="B19" s="18" t="inlineStr">
        <is>
          <t>태그</t>
        </is>
      </c>
      <c r="C19" s="18" t="n">
        <v>52</v>
      </c>
      <c r="D19" s="18" t="n">
        <v>48</v>
      </c>
      <c r="E19" s="18" t="n">
        <v>14</v>
      </c>
      <c r="F19" s="18" t="inlineStr">
        <is>
          <t>common:28; rare:5; ultra-rare:4; uncommon:15</t>
        </is>
      </c>
      <c r="G19" s="18" t="inlineStr">
        <is>
          <t>region_02</t>
        </is>
      </c>
      <c r="H19" s="18" t="inlineStr">
        <is>
          <t>1; 2; 3; 4; 5; 6; 8; 9</t>
        </is>
      </c>
      <c r="I19" s="18" t="n">
        <v>5</v>
      </c>
      <c r="J19" s="18" t="n">
        <v>1</v>
      </c>
      <c r="K19" s="18" t="n">
        <v>9</v>
      </c>
      <c r="L19" s="18" t="n">
        <v>10</v>
      </c>
      <c r="M19" s="18" t="n">
        <v>17</v>
      </c>
      <c r="N19" s="18" t="n">
        <v>4</v>
      </c>
      <c r="O19" s="18" t="n">
        <v>0</v>
      </c>
      <c r="P19" s="18" t="n">
        <v>2</v>
      </c>
      <c r="Q19" s="18" t="n">
        <v>4</v>
      </c>
      <c r="R19" s="18" t="inlineStr">
        <is>
          <t>data/cobblemon/tags/worldgen/biome/is_desert.json</t>
        </is>
      </c>
    </row>
    <row r="20" ht="28" customHeight="1">
      <c r="A20" s="18" t="inlineStr">
        <is>
          <t>#cobblemon:is_dripstone</t>
        </is>
      </c>
      <c r="B20" s="18" t="inlineStr">
        <is>
          <t>태그</t>
        </is>
      </c>
      <c r="C20" s="18" t="n">
        <v>29</v>
      </c>
      <c r="D20" s="18" t="n">
        <v>15</v>
      </c>
      <c r="E20" s="18" t="n">
        <v>23</v>
      </c>
      <c r="F20" s="18" t="inlineStr">
        <is>
          <t>common:5; rare:9; ultra-rare:7; uncommon:8</t>
        </is>
      </c>
      <c r="G20" s="18" t="inlineStr"/>
      <c r="H20" s="18" t="inlineStr">
        <is>
          <t>1; 2; 3; 5; 6</t>
        </is>
      </c>
      <c r="I20" s="18" t="n">
        <v>4</v>
      </c>
      <c r="J20" s="18" t="n">
        <v>2</v>
      </c>
      <c r="K20" s="18" t="n">
        <v>13</v>
      </c>
      <c r="L20" s="18" t="n">
        <v>0</v>
      </c>
      <c r="M20" s="18" t="n">
        <v>1</v>
      </c>
      <c r="N20" s="18" t="n">
        <v>9</v>
      </c>
      <c r="O20" s="18" t="n">
        <v>0</v>
      </c>
      <c r="P20" s="18" t="n">
        <v>0</v>
      </c>
      <c r="Q20" s="18" t="n">
        <v>0</v>
      </c>
      <c r="R20" s="18" t="inlineStr">
        <is>
          <t>data/cobblemon/tags/worldgen/biome/is_dripstone.json</t>
        </is>
      </c>
    </row>
    <row r="21" ht="28" customHeight="1">
      <c r="A21" s="18" t="inlineStr">
        <is>
          <t>#cobblemon:is_end</t>
        </is>
      </c>
      <c r="B21" s="18" t="inlineStr">
        <is>
          <t>태그</t>
        </is>
      </c>
      <c r="C21" s="18" t="n">
        <v>54</v>
      </c>
      <c r="D21" s="18" t="n">
        <v>27</v>
      </c>
      <c r="E21" s="18" t="n">
        <v>0</v>
      </c>
      <c r="F21" s="18" t="inlineStr">
        <is>
          <t>common:30; rare:6; ultra-rare:7; uncommon:11</t>
        </is>
      </c>
      <c r="G21" s="18" t="inlineStr"/>
      <c r="H21" s="18" t="inlineStr">
        <is>
          <t>1; 2; 3; 4; 5; 6; 7; 8</t>
        </is>
      </c>
      <c r="I21" s="18" t="n">
        <v>1</v>
      </c>
      <c r="J21" s="18" t="n">
        <v>28</v>
      </c>
      <c r="K21" s="18" t="n">
        <v>3</v>
      </c>
      <c r="L21" s="18" t="n">
        <v>1</v>
      </c>
      <c r="M21" s="18" t="n">
        <v>9</v>
      </c>
      <c r="N21" s="18" t="n">
        <v>5</v>
      </c>
      <c r="O21" s="18" t="n">
        <v>6</v>
      </c>
      <c r="P21" s="18" t="n">
        <v>1</v>
      </c>
      <c r="Q21" s="18" t="n">
        <v>0</v>
      </c>
      <c r="R21" s="18" t="inlineStr">
        <is>
          <t>data/cobblemon/tags/worldgen/biome/is_end.json</t>
        </is>
      </c>
    </row>
    <row r="22" ht="28" customHeight="1">
      <c r="A22" s="18" t="inlineStr">
        <is>
          <t>#cobblemon:is_floral</t>
        </is>
      </c>
      <c r="B22" s="18" t="inlineStr">
        <is>
          <t>태그</t>
        </is>
      </c>
      <c r="C22" s="18" t="n">
        <v>68</v>
      </c>
      <c r="D22" s="18" t="n">
        <v>57</v>
      </c>
      <c r="E22" s="18" t="n">
        <v>12</v>
      </c>
      <c r="F22" s="18" t="inlineStr">
        <is>
          <t>common:33; rare:9; ultra-rare:10; uncommon:16</t>
        </is>
      </c>
      <c r="G22" s="18" t="inlineStr"/>
      <c r="H22" s="18" t="inlineStr">
        <is>
          <t>1; 2; 3; 4; 5; 6; 7; 8; 9</t>
        </is>
      </c>
      <c r="I22" s="18" t="n">
        <v>9</v>
      </c>
      <c r="J22" s="18" t="n">
        <v>11</v>
      </c>
      <c r="K22" s="18" t="n">
        <v>7</v>
      </c>
      <c r="L22" s="18" t="n">
        <v>6</v>
      </c>
      <c r="M22" s="18" t="n">
        <v>4</v>
      </c>
      <c r="N22" s="18" t="n">
        <v>8</v>
      </c>
      <c r="O22" s="18" t="n">
        <v>7</v>
      </c>
      <c r="P22" s="18" t="n">
        <v>10</v>
      </c>
      <c r="Q22" s="18" t="n">
        <v>6</v>
      </c>
      <c r="R22" s="18" t="inlineStr">
        <is>
          <t>data/cobblemon/tags/worldgen/biome/is_floral.json</t>
        </is>
      </c>
    </row>
    <row r="23" ht="28" customHeight="1">
      <c r="A23" s="18" t="inlineStr">
        <is>
          <t>#cobblemon:is_forest</t>
        </is>
      </c>
      <c r="B23" s="18" t="inlineStr">
        <is>
          <t>태그</t>
        </is>
      </c>
      <c r="C23" s="18" t="n">
        <v>188</v>
      </c>
      <c r="D23" s="18" t="n">
        <v>130</v>
      </c>
      <c r="E23" s="18" t="n">
        <v>8</v>
      </c>
      <c r="F23" s="18" t="inlineStr">
        <is>
          <t>common:94; rare:18; ultra-rare:30; uncommon:46</t>
        </is>
      </c>
      <c r="G23" s="18" t="inlineStr">
        <is>
          <t>region_01</t>
        </is>
      </c>
      <c r="H23" s="18" t="inlineStr">
        <is>
          <t>1; 2; 3; 4; 5; 6; 7; 8; 9</t>
        </is>
      </c>
      <c r="I23" s="18" t="n">
        <v>22</v>
      </c>
      <c r="J23" s="18" t="n">
        <v>11</v>
      </c>
      <c r="K23" s="18" t="n">
        <v>27</v>
      </c>
      <c r="L23" s="18" t="n">
        <v>30</v>
      </c>
      <c r="M23" s="18" t="n">
        <v>30</v>
      </c>
      <c r="N23" s="18" t="n">
        <v>13</v>
      </c>
      <c r="O23" s="18" t="n">
        <v>12</v>
      </c>
      <c r="P23" s="18" t="n">
        <v>19</v>
      </c>
      <c r="Q23" s="18" t="n">
        <v>24</v>
      </c>
      <c r="R23" s="18" t="inlineStr">
        <is>
          <t>data/cobblemon/tags/worldgen/biome/is_forest.json</t>
        </is>
      </c>
    </row>
    <row r="24" ht="28" customHeight="1">
      <c r="A24" s="18" t="inlineStr">
        <is>
          <t>#cobblemon:is_freezing</t>
        </is>
      </c>
      <c r="B24" s="18" t="inlineStr">
        <is>
          <t>태그</t>
        </is>
      </c>
      <c r="C24" s="18" t="n">
        <v>43</v>
      </c>
      <c r="D24" s="18" t="n">
        <v>26</v>
      </c>
      <c r="E24" s="18" t="n">
        <v>316</v>
      </c>
      <c r="F24" s="18" t="inlineStr">
        <is>
          <t>common:22; rare:2; ultra-rare:1; uncommon:18</t>
        </is>
      </c>
      <c r="G24" s="18" t="inlineStr"/>
      <c r="H24" s="18" t="inlineStr">
        <is>
          <t>1; 2; 3; 4; 5; 6; 8; 9</t>
        </is>
      </c>
      <c r="I24" s="18" t="n">
        <v>12</v>
      </c>
      <c r="J24" s="18" t="n">
        <v>2</v>
      </c>
      <c r="K24" s="18" t="n">
        <v>1</v>
      </c>
      <c r="L24" s="18" t="n">
        <v>7</v>
      </c>
      <c r="M24" s="18" t="n">
        <v>9</v>
      </c>
      <c r="N24" s="18" t="n">
        <v>5</v>
      </c>
      <c r="O24" s="18" t="n">
        <v>0</v>
      </c>
      <c r="P24" s="18" t="n">
        <v>6</v>
      </c>
      <c r="Q24" s="18" t="n">
        <v>1</v>
      </c>
      <c r="R24" s="18" t="inlineStr">
        <is>
          <t>data/cobblemon/tags/worldgen/biome/is_freezing.json</t>
        </is>
      </c>
    </row>
    <row r="25" ht="28" customHeight="1">
      <c r="A25" s="18" t="inlineStr">
        <is>
          <t>#cobblemon:is_freshwater</t>
        </is>
      </c>
      <c r="B25" s="18" t="inlineStr">
        <is>
          <t>태그</t>
        </is>
      </c>
      <c r="C25" s="18" t="n">
        <v>166</v>
      </c>
      <c r="D25" s="18" t="n">
        <v>47</v>
      </c>
      <c r="E25" s="18" t="n">
        <v>0</v>
      </c>
      <c r="F25" s="18" t="inlineStr">
        <is>
          <t>common:113; rare:2; ultra-rare:30; uncommon:21</t>
        </is>
      </c>
      <c r="G25" s="18" t="inlineStr">
        <is>
          <t>region_02</t>
        </is>
      </c>
      <c r="H25" s="18" t="inlineStr">
        <is>
          <t>1; 2; 3; 4; 5; 6; 7; 8; 9</t>
        </is>
      </c>
      <c r="I25" s="18" t="n">
        <v>51</v>
      </c>
      <c r="J25" s="18" t="n">
        <v>6</v>
      </c>
      <c r="K25" s="18" t="n">
        <v>20</v>
      </c>
      <c r="L25" s="18" t="n">
        <v>17</v>
      </c>
      <c r="M25" s="18" t="n">
        <v>32</v>
      </c>
      <c r="N25" s="18" t="n">
        <v>10</v>
      </c>
      <c r="O25" s="18" t="n">
        <v>13</v>
      </c>
      <c r="P25" s="18" t="n">
        <v>12</v>
      </c>
      <c r="Q25" s="18" t="n">
        <v>5</v>
      </c>
      <c r="R25" s="18" t="inlineStr">
        <is>
          <t>data/cobblemon/tags/worldgen/biome/is_freshwater.json</t>
        </is>
      </c>
    </row>
    <row r="26" ht="28" customHeight="1">
      <c r="A26" s="18" t="inlineStr">
        <is>
          <t>#cobblemon:is_frozen_ocean</t>
        </is>
      </c>
      <c r="B26" s="18" t="inlineStr">
        <is>
          <t>태그</t>
        </is>
      </c>
      <c r="C26" s="18" t="n">
        <v>81</v>
      </c>
      <c r="D26" s="18" t="n">
        <v>23</v>
      </c>
      <c r="E26" s="18" t="n">
        <v>42</v>
      </c>
      <c r="F26" s="18" t="inlineStr">
        <is>
          <t>common:61; ultra-rare:15; uncommon:5</t>
        </is>
      </c>
      <c r="G26" s="18" t="inlineStr"/>
      <c r="H26" s="18" t="inlineStr">
        <is>
          <t>1; 2; 3; 4; 5; 6; 8; 9</t>
        </is>
      </c>
      <c r="I26" s="18" t="n">
        <v>21</v>
      </c>
      <c r="J26" s="18" t="n">
        <v>4</v>
      </c>
      <c r="K26" s="18" t="n">
        <v>15</v>
      </c>
      <c r="L26" s="18" t="n">
        <v>21</v>
      </c>
      <c r="M26" s="18" t="n">
        <v>2</v>
      </c>
      <c r="N26" s="18" t="n">
        <v>9</v>
      </c>
      <c r="O26" s="18" t="n">
        <v>0</v>
      </c>
      <c r="P26" s="18" t="n">
        <v>7</v>
      </c>
      <c r="Q26" s="18" t="n">
        <v>2</v>
      </c>
      <c r="R26" s="18" t="inlineStr">
        <is>
          <t>data/cobblemon/tags/worldgen/biome/is_frozen_ocean.json</t>
        </is>
      </c>
    </row>
    <row r="27" ht="28" customHeight="1">
      <c r="A27" s="18" t="inlineStr">
        <is>
          <t>#cobblemon:is_glacial</t>
        </is>
      </c>
      <c r="B27" s="18" t="inlineStr">
        <is>
          <t>태그</t>
        </is>
      </c>
      <c r="C27" s="18" t="n">
        <v>20</v>
      </c>
      <c r="D27" s="18" t="n">
        <v>17</v>
      </c>
      <c r="E27" s="18" t="n">
        <v>0</v>
      </c>
      <c r="F27" s="18" t="inlineStr">
        <is>
          <t>common:2; rare:3; ultra-rare:8; uncommon:7</t>
        </is>
      </c>
      <c r="G27" s="18" t="inlineStr"/>
      <c r="H27" s="18" t="inlineStr">
        <is>
          <t>1; 3; 4; 6; 8; 9</t>
        </is>
      </c>
      <c r="I27" s="18" t="n">
        <v>2</v>
      </c>
      <c r="J27" s="18" t="n">
        <v>0</v>
      </c>
      <c r="K27" s="18" t="n">
        <v>2</v>
      </c>
      <c r="L27" s="18" t="n">
        <v>7</v>
      </c>
      <c r="M27" s="18" t="n">
        <v>0</v>
      </c>
      <c r="N27" s="18" t="n">
        <v>1</v>
      </c>
      <c r="O27" s="18" t="n">
        <v>0</v>
      </c>
      <c r="P27" s="18" t="n">
        <v>1</v>
      </c>
      <c r="Q27" s="18" t="n">
        <v>7</v>
      </c>
      <c r="R27" s="18" t="inlineStr">
        <is>
          <t>data/cobblemon/tags/worldgen/biome/is_glacial.json</t>
        </is>
      </c>
    </row>
    <row r="28" ht="28" customHeight="1">
      <c r="A28" s="18" t="inlineStr">
        <is>
          <t>#cobblemon:is_grassland</t>
        </is>
      </c>
      <c r="B28" s="18" t="inlineStr">
        <is>
          <t>태그</t>
        </is>
      </c>
      <c r="C28" s="18" t="n">
        <v>64</v>
      </c>
      <c r="D28" s="18" t="n">
        <v>34</v>
      </c>
      <c r="E28" s="18" t="n">
        <v>0</v>
      </c>
      <c r="F28" s="18" t="inlineStr">
        <is>
          <t>common:38; rare:2; ultra-rare:13; uncommon:11</t>
        </is>
      </c>
      <c r="G28" s="18" t="inlineStr">
        <is>
          <t>region_01</t>
        </is>
      </c>
      <c r="H28" s="18" t="inlineStr">
        <is>
          <t>1; 2; 3; 4; 5; 7; 8; 9</t>
        </is>
      </c>
      <c r="I28" s="18" t="n">
        <v>13</v>
      </c>
      <c r="J28" s="18" t="n">
        <v>2</v>
      </c>
      <c r="K28" s="18" t="n">
        <v>2</v>
      </c>
      <c r="L28" s="18" t="n">
        <v>3</v>
      </c>
      <c r="M28" s="18" t="n">
        <v>16</v>
      </c>
      <c r="N28" s="18" t="n">
        <v>0</v>
      </c>
      <c r="O28" s="18" t="n">
        <v>10</v>
      </c>
      <c r="P28" s="18" t="n">
        <v>5</v>
      </c>
      <c r="Q28" s="18" t="n">
        <v>13</v>
      </c>
      <c r="R28" s="18" t="inlineStr">
        <is>
          <t>data/cobblemon/tags/worldgen/biome/is_grassland.json</t>
        </is>
      </c>
    </row>
    <row r="29" ht="28" customHeight="1">
      <c r="A29" s="18" t="inlineStr">
        <is>
          <t>#cobblemon:is_highlands</t>
        </is>
      </c>
      <c r="B29" s="18" t="inlineStr">
        <is>
          <t>태그</t>
        </is>
      </c>
      <c r="C29" s="18" t="n">
        <v>7</v>
      </c>
      <c r="D29" s="18" t="n">
        <v>5</v>
      </c>
      <c r="E29" s="18" t="n">
        <v>0</v>
      </c>
      <c r="F29" s="18" t="inlineStr">
        <is>
          <t>common:6; rare:1</t>
        </is>
      </c>
      <c r="G29" s="18" t="inlineStr"/>
      <c r="H29" s="18" t="inlineStr">
        <is>
          <t>1; 2; 5</t>
        </is>
      </c>
      <c r="I29" s="18" t="n">
        <v>3</v>
      </c>
      <c r="J29" s="18" t="n">
        <v>3</v>
      </c>
      <c r="K29" s="18" t="n">
        <v>0</v>
      </c>
      <c r="L29" s="18" t="n">
        <v>0</v>
      </c>
      <c r="M29" s="18" t="n">
        <v>1</v>
      </c>
      <c r="N29" s="18" t="n">
        <v>0</v>
      </c>
      <c r="O29" s="18" t="n">
        <v>0</v>
      </c>
      <c r="P29" s="18" t="n">
        <v>0</v>
      </c>
      <c r="Q29" s="18" t="n">
        <v>0</v>
      </c>
      <c r="R29" s="18" t="inlineStr">
        <is>
          <t>data/cobblemon/tags/worldgen/biome/is_highlands.json</t>
        </is>
      </c>
    </row>
    <row r="30" ht="28" customHeight="1">
      <c r="A30" s="18" t="inlineStr">
        <is>
          <t>#cobblemon:is_hills</t>
        </is>
      </c>
      <c r="B30" s="18" t="inlineStr">
        <is>
          <t>태그</t>
        </is>
      </c>
      <c r="C30" s="18" t="n">
        <v>125</v>
      </c>
      <c r="D30" s="18" t="n">
        <v>79</v>
      </c>
      <c r="E30" s="18" t="n">
        <v>9</v>
      </c>
      <c r="F30" s="18" t="inlineStr">
        <is>
          <t>common:69; rare:10; ultra-rare:19; uncommon:27</t>
        </is>
      </c>
      <c r="G30" s="18" t="inlineStr"/>
      <c r="H30" s="18" t="inlineStr">
        <is>
          <t>1; 2; 3; 4; 5; 6; 7; 8; 9</t>
        </is>
      </c>
      <c r="I30" s="18" t="n">
        <v>49</v>
      </c>
      <c r="J30" s="18" t="n">
        <v>15</v>
      </c>
      <c r="K30" s="18" t="n">
        <v>21</v>
      </c>
      <c r="L30" s="18" t="n">
        <v>10</v>
      </c>
      <c r="M30" s="18" t="n">
        <v>9</v>
      </c>
      <c r="N30" s="18" t="n">
        <v>2</v>
      </c>
      <c r="O30" s="18" t="n">
        <v>7</v>
      </c>
      <c r="P30" s="18" t="n">
        <v>10</v>
      </c>
      <c r="Q30" s="18" t="n">
        <v>2</v>
      </c>
      <c r="R30" s="18" t="inlineStr">
        <is>
          <t>data/cobblemon/tags/worldgen/biome/is_hills.json</t>
        </is>
      </c>
    </row>
    <row r="31" ht="28" customHeight="1">
      <c r="A31" s="18" t="inlineStr">
        <is>
          <t>#cobblemon:is_island</t>
        </is>
      </c>
      <c r="B31" s="18" t="inlineStr">
        <is>
          <t>태그</t>
        </is>
      </c>
      <c r="C31" s="18" t="n">
        <v>14</v>
      </c>
      <c r="D31" s="18" t="n">
        <v>5</v>
      </c>
      <c r="E31" s="18" t="n">
        <v>8</v>
      </c>
      <c r="F31" s="18" t="inlineStr">
        <is>
          <t>common:2; uncommon:12</t>
        </is>
      </c>
      <c r="G31" s="18" t="inlineStr"/>
      <c r="H31" s="18" t="inlineStr">
        <is>
          <t>8; 9</t>
        </is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2</v>
      </c>
      <c r="Q31" s="18" t="n">
        <v>12</v>
      </c>
      <c r="R31" s="18" t="inlineStr">
        <is>
          <t>data/cobblemon/tags/worldgen/biome/is_island.json</t>
        </is>
      </c>
    </row>
    <row r="32" ht="28" customHeight="1">
      <c r="A32" s="18" t="inlineStr">
        <is>
          <t>#cobblemon:is_jungle</t>
        </is>
      </c>
      <c r="B32" s="18" t="inlineStr">
        <is>
          <t>태그</t>
        </is>
      </c>
      <c r="C32" s="18" t="n">
        <v>267</v>
      </c>
      <c r="D32" s="18" t="n">
        <v>170</v>
      </c>
      <c r="E32" s="18" t="n">
        <v>10</v>
      </c>
      <c r="F32" s="18" t="inlineStr">
        <is>
          <t>common:138; rare:12; ultra-rare:75; uncommon:42</t>
        </is>
      </c>
      <c r="G32" s="18" t="inlineStr"/>
      <c r="H32" s="18" t="inlineStr">
        <is>
          <t>1; 2; 3; 4; 5; 6; 7; 8; 9</t>
        </is>
      </c>
      <c r="I32" s="18" t="n">
        <v>59</v>
      </c>
      <c r="J32" s="18" t="n">
        <v>17</v>
      </c>
      <c r="K32" s="18" t="n">
        <v>40</v>
      </c>
      <c r="L32" s="18" t="n">
        <v>14</v>
      </c>
      <c r="M32" s="18" t="n">
        <v>44</v>
      </c>
      <c r="N32" s="18" t="n">
        <v>15</v>
      </c>
      <c r="O32" s="18" t="n">
        <v>34</v>
      </c>
      <c r="P32" s="18" t="n">
        <v>18</v>
      </c>
      <c r="Q32" s="18" t="n">
        <v>26</v>
      </c>
      <c r="R32" s="18" t="inlineStr">
        <is>
          <t>data/cobblemon/tags/worldgen/biome/is_jungle.json</t>
        </is>
      </c>
    </row>
    <row r="33" ht="28" customHeight="1">
      <c r="A33" s="18" t="inlineStr">
        <is>
          <t>#cobblemon:is_lukewarm_ocean</t>
        </is>
      </c>
      <c r="B33" s="18" t="inlineStr">
        <is>
          <t>태그</t>
        </is>
      </c>
      <c r="C33" s="18" t="n">
        <v>24</v>
      </c>
      <c r="D33" s="18" t="n">
        <v>10</v>
      </c>
      <c r="E33" s="18" t="n">
        <v>1</v>
      </c>
      <c r="F33" s="18" t="inlineStr">
        <is>
          <t>common:17; uncommon:7</t>
        </is>
      </c>
      <c r="G33" s="18" t="inlineStr"/>
      <c r="H33" s="18" t="inlineStr">
        <is>
          <t>1; 2; 4; 9</t>
        </is>
      </c>
      <c r="I33" s="18" t="n">
        <v>4</v>
      </c>
      <c r="J33" s="18" t="n">
        <v>10</v>
      </c>
      <c r="K33" s="18" t="n">
        <v>0</v>
      </c>
      <c r="L33" s="18" t="n">
        <v>8</v>
      </c>
      <c r="M33" s="18" t="n">
        <v>0</v>
      </c>
      <c r="N33" s="18" t="n">
        <v>0</v>
      </c>
      <c r="O33" s="18" t="n">
        <v>0</v>
      </c>
      <c r="P33" s="18" t="n">
        <v>0</v>
      </c>
      <c r="Q33" s="18" t="n">
        <v>2</v>
      </c>
      <c r="R33" s="18" t="inlineStr">
        <is>
          <t>data/cobblemon/tags/worldgen/biome/is_lukewarm_ocean.json</t>
        </is>
      </c>
    </row>
    <row r="34" ht="28" customHeight="1">
      <c r="A34" s="18" t="inlineStr">
        <is>
          <t>#cobblemon:is_lush</t>
        </is>
      </c>
      <c r="B34" s="18" t="inlineStr">
        <is>
          <t>태그</t>
        </is>
      </c>
      <c r="C34" s="18" t="n">
        <v>89</v>
      </c>
      <c r="D34" s="18" t="n">
        <v>54</v>
      </c>
      <c r="E34" s="18" t="n">
        <v>91</v>
      </c>
      <c r="F34" s="18" t="inlineStr">
        <is>
          <t>common:33; rare:8; ultra-rare:40; uncommon:8</t>
        </is>
      </c>
      <c r="G34" s="18" t="inlineStr"/>
      <c r="H34" s="18" t="inlineStr">
        <is>
          <t>1; 2; 3; 4; 5; 6; 7; 9</t>
        </is>
      </c>
      <c r="I34" s="18" t="n">
        <v>20</v>
      </c>
      <c r="J34" s="18" t="n">
        <v>12</v>
      </c>
      <c r="K34" s="18" t="n">
        <v>15</v>
      </c>
      <c r="L34" s="18" t="n">
        <v>6</v>
      </c>
      <c r="M34" s="18" t="n">
        <v>19</v>
      </c>
      <c r="N34" s="18" t="n">
        <v>13</v>
      </c>
      <c r="O34" s="18" t="n">
        <v>2</v>
      </c>
      <c r="P34" s="18" t="n">
        <v>0</v>
      </c>
      <c r="Q34" s="18" t="n">
        <v>2</v>
      </c>
      <c r="R34" s="18" t="inlineStr">
        <is>
          <t>data/cobblemon/tags/worldgen/biome/is_lush.json</t>
        </is>
      </c>
    </row>
    <row r="35" ht="28" customHeight="1">
      <c r="A35" s="18" t="inlineStr">
        <is>
          <t>#cobblemon:is_magical</t>
        </is>
      </c>
      <c r="B35" s="18" t="inlineStr">
        <is>
          <t>태그</t>
        </is>
      </c>
      <c r="C35" s="18" t="n">
        <v>89</v>
      </c>
      <c r="D35" s="18" t="n">
        <v>52</v>
      </c>
      <c r="E35" s="18" t="n">
        <v>17</v>
      </c>
      <c r="F35" s="18" t="inlineStr">
        <is>
          <t>common:46; rare:9; ultra-rare:13; uncommon:21</t>
        </is>
      </c>
      <c r="G35" s="18" t="inlineStr"/>
      <c r="H35" s="18" t="inlineStr">
        <is>
          <t>1; 2; 3; 4; 5; 6; 7; 8; 9</t>
        </is>
      </c>
      <c r="I35" s="18" t="n">
        <v>43</v>
      </c>
      <c r="J35" s="18" t="n">
        <v>12</v>
      </c>
      <c r="K35" s="18" t="n">
        <v>6</v>
      </c>
      <c r="L35" s="18" t="n">
        <v>3</v>
      </c>
      <c r="M35" s="18" t="n">
        <v>2</v>
      </c>
      <c r="N35" s="18" t="n">
        <v>2</v>
      </c>
      <c r="O35" s="18" t="n">
        <v>2</v>
      </c>
      <c r="P35" s="18" t="n">
        <v>16</v>
      </c>
      <c r="Q35" s="18" t="n">
        <v>3</v>
      </c>
      <c r="R35" s="18" t="inlineStr">
        <is>
          <t>data/cobblemon/tags/worldgen/biome/is_magical.json</t>
        </is>
      </c>
    </row>
    <row r="36" ht="28" customHeight="1">
      <c r="A36" s="18" t="inlineStr">
        <is>
          <t>#cobblemon:is_mountain</t>
        </is>
      </c>
      <c r="B36" s="18" t="inlineStr">
        <is>
          <t>태그</t>
        </is>
      </c>
      <c r="C36" s="18" t="n">
        <v>107</v>
      </c>
      <c r="D36" s="18" t="n">
        <v>73</v>
      </c>
      <c r="E36" s="18" t="n">
        <v>14</v>
      </c>
      <c r="F36" s="18" t="inlineStr">
        <is>
          <t>common:47; rare:15; ultra-rare:19; uncommon:26</t>
        </is>
      </c>
      <c r="G36" s="18" t="inlineStr"/>
      <c r="H36" s="18" t="inlineStr">
        <is>
          <t>1; 2; 3; 4; 5; 6; 7; 8; 9</t>
        </is>
      </c>
      <c r="I36" s="18" t="n">
        <v>9</v>
      </c>
      <c r="J36" s="18" t="n">
        <v>9</v>
      </c>
      <c r="K36" s="18" t="n">
        <v>10</v>
      </c>
      <c r="L36" s="18" t="n">
        <v>13</v>
      </c>
      <c r="M36" s="18" t="n">
        <v>29</v>
      </c>
      <c r="N36" s="18" t="n">
        <v>4</v>
      </c>
      <c r="O36" s="18" t="n">
        <v>7</v>
      </c>
      <c r="P36" s="18" t="n">
        <v>21</v>
      </c>
      <c r="Q36" s="18" t="n">
        <v>5</v>
      </c>
      <c r="R36" s="18" t="inlineStr">
        <is>
          <t>data/cobblemon/tags/worldgen/biome/is_mountain.json</t>
        </is>
      </c>
    </row>
    <row r="37" ht="28" customHeight="1">
      <c r="A37" s="18" t="inlineStr">
        <is>
          <t>#cobblemon:is_mushroom</t>
        </is>
      </c>
      <c r="B37" s="18" t="inlineStr">
        <is>
          <t>태그</t>
        </is>
      </c>
      <c r="C37" s="18" t="n">
        <v>63</v>
      </c>
      <c r="D37" s="18" t="n">
        <v>25</v>
      </c>
      <c r="E37" s="18" t="n">
        <v>3</v>
      </c>
      <c r="F37" s="18" t="inlineStr">
        <is>
          <t>common:51; rare:2; ultra-rare:6; uncommon:4</t>
        </is>
      </c>
      <c r="G37" s="18" t="inlineStr"/>
      <c r="H37" s="18" t="inlineStr">
        <is>
          <t>1; 2; 3; 5; 6; 7; 9</t>
        </is>
      </c>
      <c r="I37" s="18" t="n">
        <v>17</v>
      </c>
      <c r="J37" s="18" t="n">
        <v>13</v>
      </c>
      <c r="K37" s="18" t="n">
        <v>14</v>
      </c>
      <c r="L37" s="18" t="n">
        <v>0</v>
      </c>
      <c r="M37" s="18" t="n">
        <v>14</v>
      </c>
      <c r="N37" s="18" t="n">
        <v>1</v>
      </c>
      <c r="O37" s="18" t="n">
        <v>2</v>
      </c>
      <c r="P37" s="18" t="n">
        <v>0</v>
      </c>
      <c r="Q37" s="18" t="n">
        <v>2</v>
      </c>
      <c r="R37" s="18" t="inlineStr">
        <is>
          <t>data/cobblemon/tags/worldgen/biome/is_mushroom.json</t>
        </is>
      </c>
    </row>
    <row r="38" ht="28" customHeight="1">
      <c r="A38" s="18" t="inlineStr">
        <is>
          <t>#cobblemon:is_ocean</t>
        </is>
      </c>
      <c r="B38" s="18" t="inlineStr">
        <is>
          <t>태그</t>
        </is>
      </c>
      <c r="C38" s="18" t="n">
        <v>267</v>
      </c>
      <c r="D38" s="18" t="n">
        <v>78</v>
      </c>
      <c r="E38" s="18" t="n">
        <v>18</v>
      </c>
      <c r="F38" s="18" t="inlineStr">
        <is>
          <t>common:151; rare:10; ultra-rare:32; uncommon:74</t>
        </is>
      </c>
      <c r="G38" s="18" t="inlineStr"/>
      <c r="H38" s="18" t="inlineStr">
        <is>
          <t>1; 2; 3; 4; 5; 6; 7; 8; 9</t>
        </is>
      </c>
      <c r="I38" s="18" t="n">
        <v>54</v>
      </c>
      <c r="J38" s="18" t="n">
        <v>21</v>
      </c>
      <c r="K38" s="18" t="n">
        <v>28</v>
      </c>
      <c r="L38" s="18" t="n">
        <v>8</v>
      </c>
      <c r="M38" s="18" t="n">
        <v>27</v>
      </c>
      <c r="N38" s="18" t="n">
        <v>36</v>
      </c>
      <c r="O38" s="18" t="n">
        <v>22</v>
      </c>
      <c r="P38" s="18" t="n">
        <v>37</v>
      </c>
      <c r="Q38" s="18" t="n">
        <v>34</v>
      </c>
      <c r="R38" s="18" t="inlineStr">
        <is>
          <t>data/cobblemon/tags/worldgen/biome/is_ocean.json</t>
        </is>
      </c>
    </row>
    <row r="39" ht="28" customHeight="1">
      <c r="A39" s="18" t="inlineStr">
        <is>
          <t>#cobblemon:is_overworld</t>
        </is>
      </c>
      <c r="B39" s="18" t="inlineStr">
        <is>
          <t>태그</t>
        </is>
      </c>
      <c r="C39" s="18" t="n">
        <v>672</v>
      </c>
      <c r="D39" s="18" t="n">
        <v>291</v>
      </c>
      <c r="E39" s="18" t="n">
        <v>0</v>
      </c>
      <c r="F39" s="18" t="inlineStr">
        <is>
          <t>common:398; rare:54; ultra-rare:28; uncommon:192</t>
        </is>
      </c>
      <c r="G39" s="18" t="inlineStr">
        <is>
          <t>region_01; region_02</t>
        </is>
      </c>
      <c r="H39" s="18" t="inlineStr">
        <is>
          <t>1; 2; 3; 4; 5; 6; 7; 8; 9</t>
        </is>
      </c>
      <c r="I39" s="18" t="n">
        <v>181</v>
      </c>
      <c r="J39" s="18" t="n">
        <v>95</v>
      </c>
      <c r="K39" s="18" t="n">
        <v>68</v>
      </c>
      <c r="L39" s="18" t="n">
        <v>52</v>
      </c>
      <c r="M39" s="18" t="n">
        <v>101</v>
      </c>
      <c r="N39" s="18" t="n">
        <v>79</v>
      </c>
      <c r="O39" s="18" t="n">
        <v>14</v>
      </c>
      <c r="P39" s="18" t="n">
        <v>38</v>
      </c>
      <c r="Q39" s="18" t="n">
        <v>44</v>
      </c>
      <c r="R39" s="18" t="inlineStr">
        <is>
          <t>data/cobblemon/tags/worldgen/biome/is_overworld.json</t>
        </is>
      </c>
    </row>
    <row r="40" ht="28" customHeight="1">
      <c r="A40" s="18" t="inlineStr">
        <is>
          <t>#cobblemon:is_peak</t>
        </is>
      </c>
      <c r="B40" s="18" t="inlineStr">
        <is>
          <t>태그</t>
        </is>
      </c>
      <c r="C40" s="18" t="n">
        <v>17</v>
      </c>
      <c r="D40" s="18" t="n">
        <v>17</v>
      </c>
      <c r="E40" s="18" t="n">
        <v>2</v>
      </c>
      <c r="F40" s="18" t="inlineStr">
        <is>
          <t>common:2; rare:1; ultra-rare:6; uncommon:8</t>
        </is>
      </c>
      <c r="G40" s="18" t="inlineStr"/>
      <c r="H40" s="18" t="inlineStr">
        <is>
          <t>1; 2; 3; 4; 7; 9</t>
        </is>
      </c>
      <c r="I40" s="18" t="n">
        <v>2</v>
      </c>
      <c r="J40" s="18" t="n">
        <v>1</v>
      </c>
      <c r="K40" s="18" t="n">
        <v>9</v>
      </c>
      <c r="L40" s="18" t="n">
        <v>2</v>
      </c>
      <c r="M40" s="18" t="n">
        <v>0</v>
      </c>
      <c r="N40" s="18" t="n">
        <v>0</v>
      </c>
      <c r="O40" s="18" t="n">
        <v>2</v>
      </c>
      <c r="P40" s="18" t="n">
        <v>0</v>
      </c>
      <c r="Q40" s="18" t="n">
        <v>1</v>
      </c>
      <c r="R40" s="18" t="inlineStr">
        <is>
          <t>data/cobblemon/tags/worldgen/biome/is_peak.json</t>
        </is>
      </c>
    </row>
    <row r="41" ht="28" customHeight="1">
      <c r="A41" s="18" t="inlineStr">
        <is>
          <t>#cobblemon:is_plains</t>
        </is>
      </c>
      <c r="B41" s="18" t="inlineStr">
        <is>
          <t>태그</t>
        </is>
      </c>
      <c r="C41" s="18" t="n">
        <v>63</v>
      </c>
      <c r="D41" s="18" t="n">
        <v>56</v>
      </c>
      <c r="E41" s="18" t="n">
        <v>5</v>
      </c>
      <c r="F41" s="18" t="inlineStr">
        <is>
          <t>common:28; rare:6; ultra-rare:6; uncommon:23</t>
        </is>
      </c>
      <c r="G41" s="18" t="inlineStr">
        <is>
          <t>region_01</t>
        </is>
      </c>
      <c r="H41" s="18" t="inlineStr">
        <is>
          <t>1; 2; 3; 4; 5; 6; 7; 8; 9</t>
        </is>
      </c>
      <c r="I41" s="18" t="n">
        <v>5</v>
      </c>
      <c r="J41" s="18" t="n">
        <v>10</v>
      </c>
      <c r="K41" s="18" t="n">
        <v>8</v>
      </c>
      <c r="L41" s="18" t="n">
        <v>3</v>
      </c>
      <c r="M41" s="18" t="n">
        <v>9</v>
      </c>
      <c r="N41" s="18" t="n">
        <v>3</v>
      </c>
      <c r="O41" s="18" t="n">
        <v>4</v>
      </c>
      <c r="P41" s="18" t="n">
        <v>17</v>
      </c>
      <c r="Q41" s="18" t="n">
        <v>4</v>
      </c>
      <c r="R41" s="18" t="inlineStr">
        <is>
          <t>data/cobblemon/tags/worldgen/biome/is_plains.json</t>
        </is>
      </c>
    </row>
    <row r="42" ht="28" customHeight="1">
      <c r="A42" s="18" t="inlineStr">
        <is>
          <t>#cobblemon:is_plateau</t>
        </is>
      </c>
      <c r="B42" s="18" t="inlineStr">
        <is>
          <t>태그</t>
        </is>
      </c>
      <c r="C42" s="18" t="n">
        <v>2</v>
      </c>
      <c r="D42" s="18" t="n">
        <v>2</v>
      </c>
      <c r="E42" s="18" t="n">
        <v>0</v>
      </c>
      <c r="F42" s="18" t="inlineStr">
        <is>
          <t>common:2</t>
        </is>
      </c>
      <c r="G42" s="18" t="inlineStr"/>
      <c r="H42" s="18" t="inlineStr">
        <is>
          <t>2</t>
        </is>
      </c>
      <c r="I42" s="18" t="n">
        <v>0</v>
      </c>
      <c r="J42" s="18" t="n">
        <v>2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8" t="n">
        <v>0</v>
      </c>
      <c r="R42" s="18" t="inlineStr">
        <is>
          <t>data/cobblemon/tags/worldgen/biome/is_plateau.json</t>
        </is>
      </c>
    </row>
    <row r="43" ht="28" customHeight="1">
      <c r="A43" s="18" t="inlineStr">
        <is>
          <t>#cobblemon:is_river</t>
        </is>
      </c>
      <c r="B43" s="18" t="inlineStr">
        <is>
          <t>태그</t>
        </is>
      </c>
      <c r="C43" s="18" t="n">
        <v>29</v>
      </c>
      <c r="D43" s="18" t="n">
        <v>15</v>
      </c>
      <c r="E43" s="18" t="n">
        <v>0</v>
      </c>
      <c r="F43" s="18" t="inlineStr">
        <is>
          <t>common:15; ultra-rare:8; uncommon:6</t>
        </is>
      </c>
      <c r="G43" s="18" t="inlineStr"/>
      <c r="H43" s="18" t="inlineStr">
        <is>
          <t>1; 2; 3; 5; 7; 9</t>
        </is>
      </c>
      <c r="I43" s="18" t="n">
        <v>5</v>
      </c>
      <c r="J43" s="18" t="n">
        <v>8</v>
      </c>
      <c r="K43" s="18" t="n">
        <v>4</v>
      </c>
      <c r="L43" s="18" t="n">
        <v>0</v>
      </c>
      <c r="M43" s="18" t="n">
        <v>2</v>
      </c>
      <c r="N43" s="18" t="n">
        <v>0</v>
      </c>
      <c r="O43" s="18" t="n">
        <v>2</v>
      </c>
      <c r="P43" s="18" t="n">
        <v>0</v>
      </c>
      <c r="Q43" s="18" t="n">
        <v>8</v>
      </c>
      <c r="R43" s="18" t="inlineStr">
        <is>
          <t>data/cobblemon/tags/worldgen/biome/is_river.json</t>
        </is>
      </c>
    </row>
    <row r="44" ht="28" customHeight="1">
      <c r="A44" s="18" t="inlineStr">
        <is>
          <t>#cobblemon:is_sandy</t>
        </is>
      </c>
      <c r="B44" s="18" t="inlineStr">
        <is>
          <t>태그</t>
        </is>
      </c>
      <c r="C44" s="18" t="n">
        <v>5</v>
      </c>
      <c r="D44" s="18" t="n">
        <v>5</v>
      </c>
      <c r="E44" s="18" t="n">
        <v>18</v>
      </c>
      <c r="F44" s="18" t="inlineStr">
        <is>
          <t>common:2; rare:1; uncommon:2</t>
        </is>
      </c>
      <c r="G44" s="18" t="inlineStr">
        <is>
          <t>region_02</t>
        </is>
      </c>
      <c r="H44" s="18" t="inlineStr">
        <is>
          <t>4; 6</t>
        </is>
      </c>
      <c r="I44" s="18" t="n">
        <v>0</v>
      </c>
      <c r="J44" s="18" t="n">
        <v>0</v>
      </c>
      <c r="K44" s="18" t="n">
        <v>0</v>
      </c>
      <c r="L44" s="18" t="n">
        <v>3</v>
      </c>
      <c r="M44" s="18" t="n">
        <v>0</v>
      </c>
      <c r="N44" s="18" t="n">
        <v>2</v>
      </c>
      <c r="O44" s="18" t="n">
        <v>0</v>
      </c>
      <c r="P44" s="18" t="n">
        <v>0</v>
      </c>
      <c r="Q44" s="18" t="n">
        <v>0</v>
      </c>
      <c r="R44" s="18" t="inlineStr">
        <is>
          <t>data/cobblemon/tags/worldgen/biome/is_sandy.json</t>
        </is>
      </c>
    </row>
    <row r="45" ht="28" customHeight="1">
      <c r="A45" s="18" t="inlineStr">
        <is>
          <t>#cobblemon:is_savanna</t>
        </is>
      </c>
      <c r="B45" s="18" t="inlineStr">
        <is>
          <t>태그</t>
        </is>
      </c>
      <c r="C45" s="18" t="n">
        <v>84</v>
      </c>
      <c r="D45" s="18" t="n">
        <v>68</v>
      </c>
      <c r="E45" s="18" t="n">
        <v>3</v>
      </c>
      <c r="F45" s="18" t="inlineStr">
        <is>
          <t>common:48; rare:2; ultra-rare:10; uncommon:24</t>
        </is>
      </c>
      <c r="G45" s="18" t="inlineStr"/>
      <c r="H45" s="18" t="inlineStr">
        <is>
          <t>1; 2; 3; 4; 5; 6; 7; 8; 9</t>
        </is>
      </c>
      <c r="I45" s="18" t="n">
        <v>18</v>
      </c>
      <c r="J45" s="18" t="n">
        <v>9</v>
      </c>
      <c r="K45" s="18" t="n">
        <v>8</v>
      </c>
      <c r="L45" s="18" t="n">
        <v>4</v>
      </c>
      <c r="M45" s="18" t="n">
        <v>18</v>
      </c>
      <c r="N45" s="18" t="n">
        <v>6</v>
      </c>
      <c r="O45" s="18" t="n">
        <v>6</v>
      </c>
      <c r="P45" s="18" t="n">
        <v>2</v>
      </c>
      <c r="Q45" s="18" t="n">
        <v>13</v>
      </c>
      <c r="R45" s="18" t="inlineStr">
        <is>
          <t>data/cobblemon/tags/worldgen/biome/is_savanna.json</t>
        </is>
      </c>
    </row>
    <row r="46" ht="28" customHeight="1">
      <c r="A46" s="18" t="inlineStr">
        <is>
          <t>#cobblemon:is_shrubland</t>
        </is>
      </c>
      <c r="B46" s="18" t="inlineStr">
        <is>
          <t>태그</t>
        </is>
      </c>
      <c r="C46" s="18" t="n">
        <v>1</v>
      </c>
      <c r="D46" s="18" t="n">
        <v>1</v>
      </c>
      <c r="E46" s="18" t="n">
        <v>0</v>
      </c>
      <c r="F46" s="18" t="inlineStr">
        <is>
          <t>uncommon:1</t>
        </is>
      </c>
      <c r="G46" s="18" t="inlineStr"/>
      <c r="H46" s="18" t="inlineStr">
        <is>
          <t>6</t>
        </is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1</v>
      </c>
      <c r="O46" s="18" t="n">
        <v>0</v>
      </c>
      <c r="P46" s="18" t="n">
        <v>0</v>
      </c>
      <c r="Q46" s="18" t="n">
        <v>0</v>
      </c>
      <c r="R46" s="18" t="inlineStr">
        <is>
          <t>data/cobblemon/tags/worldgen/biome/is_shrubland.json</t>
        </is>
      </c>
    </row>
    <row r="47" ht="28" customHeight="1">
      <c r="A47" s="18" t="inlineStr">
        <is>
          <t>#cobblemon:is_sky</t>
        </is>
      </c>
      <c r="B47" s="18" t="inlineStr">
        <is>
          <t>태그</t>
        </is>
      </c>
      <c r="C47" s="18" t="n">
        <v>59</v>
      </c>
      <c r="D47" s="18" t="n">
        <v>48</v>
      </c>
      <c r="E47" s="18" t="n">
        <v>2</v>
      </c>
      <c r="F47" s="18" t="inlineStr">
        <is>
          <t>common:42; rare:4; ultra-rare:2; uncommon:11</t>
        </is>
      </c>
      <c r="G47" s="18" t="inlineStr"/>
      <c r="H47" s="18" t="inlineStr">
        <is>
          <t>1; 2; 3; 4; 5; 6; 7; 8; 9</t>
        </is>
      </c>
      <c r="I47" s="18" t="n">
        <v>6</v>
      </c>
      <c r="J47" s="18" t="n">
        <v>5</v>
      </c>
      <c r="K47" s="18" t="n">
        <v>7</v>
      </c>
      <c r="L47" s="18" t="n">
        <v>8</v>
      </c>
      <c r="M47" s="18" t="n">
        <v>11</v>
      </c>
      <c r="N47" s="18" t="n">
        <v>4</v>
      </c>
      <c r="O47" s="18" t="n">
        <v>4</v>
      </c>
      <c r="P47" s="18" t="n">
        <v>5</v>
      </c>
      <c r="Q47" s="18" t="n">
        <v>9</v>
      </c>
      <c r="R47" s="18" t="inlineStr">
        <is>
          <t>data/cobblemon/tags/worldgen/biome/is_sky.json</t>
        </is>
      </c>
    </row>
    <row r="48" ht="28" customHeight="1">
      <c r="A48" s="18" t="inlineStr">
        <is>
          <t>#cobblemon:is_snowy</t>
        </is>
      </c>
      <c r="B48" s="18" t="inlineStr">
        <is>
          <t>태그</t>
        </is>
      </c>
      <c r="C48" s="18" t="n">
        <v>10</v>
      </c>
      <c r="D48" s="18" t="n">
        <v>4</v>
      </c>
      <c r="E48" s="18" t="n">
        <v>0</v>
      </c>
      <c r="F48" s="18" t="inlineStr">
        <is>
          <t>uncommon:10</t>
        </is>
      </c>
      <c r="G48" s="18" t="inlineStr"/>
      <c r="H48" s="18" t="inlineStr">
        <is>
          <t>3; 4; 8</t>
        </is>
      </c>
      <c r="I48" s="18" t="n">
        <v>0</v>
      </c>
      <c r="J48" s="18" t="n">
        <v>0</v>
      </c>
      <c r="K48" s="18" t="n">
        <v>1</v>
      </c>
      <c r="L48" s="18" t="n">
        <v>1</v>
      </c>
      <c r="M48" s="18" t="n">
        <v>0</v>
      </c>
      <c r="N48" s="18" t="n">
        <v>0</v>
      </c>
      <c r="O48" s="18" t="n">
        <v>0</v>
      </c>
      <c r="P48" s="18" t="n">
        <v>8</v>
      </c>
      <c r="Q48" s="18" t="n">
        <v>0</v>
      </c>
      <c r="R48" s="18" t="inlineStr">
        <is>
          <t>data/cobblemon/tags/worldgen/biome/is_snowy.json</t>
        </is>
      </c>
    </row>
    <row r="49" ht="28" customHeight="1">
      <c r="A49" s="18" t="inlineStr">
        <is>
          <t>#cobblemon:is_snowy_forest</t>
        </is>
      </c>
      <c r="B49" s="18" t="inlineStr">
        <is>
          <t>태그</t>
        </is>
      </c>
      <c r="C49" s="18" t="n">
        <v>54</v>
      </c>
      <c r="D49" s="18" t="n">
        <v>35</v>
      </c>
      <c r="E49" s="18" t="n">
        <v>0</v>
      </c>
      <c r="F49" s="18" t="inlineStr">
        <is>
          <t>common:37; rare:8; ultra-rare:3; uncommon:6</t>
        </is>
      </c>
      <c r="G49" s="18" t="inlineStr"/>
      <c r="H49" s="18" t="inlineStr">
        <is>
          <t>1; 2; 3; 4; 5; 6; 7; 8</t>
        </is>
      </c>
      <c r="I49" s="18" t="n">
        <v>3</v>
      </c>
      <c r="J49" s="18" t="n">
        <v>5</v>
      </c>
      <c r="K49" s="18" t="n">
        <v>7</v>
      </c>
      <c r="L49" s="18" t="n">
        <v>13</v>
      </c>
      <c r="M49" s="18" t="n">
        <v>18</v>
      </c>
      <c r="N49" s="18" t="n">
        <v>2</v>
      </c>
      <c r="O49" s="18" t="n">
        <v>3</v>
      </c>
      <c r="P49" s="18" t="n">
        <v>3</v>
      </c>
      <c r="Q49" s="18" t="n">
        <v>0</v>
      </c>
      <c r="R49" s="18" t="inlineStr">
        <is>
          <t>data/cobblemon/tags/worldgen/biome/is_snowy_forest.json</t>
        </is>
      </c>
    </row>
    <row r="50" ht="28" customHeight="1">
      <c r="A50" s="18" t="inlineStr">
        <is>
          <t>#cobblemon:is_snowy_taiga</t>
        </is>
      </c>
      <c r="B50" s="18" t="inlineStr">
        <is>
          <t>태그</t>
        </is>
      </c>
      <c r="C50" s="18" t="n">
        <v>13</v>
      </c>
      <c r="D50" s="18" t="n">
        <v>13</v>
      </c>
      <c r="E50" s="18" t="n">
        <v>0</v>
      </c>
      <c r="F50" s="18" t="inlineStr">
        <is>
          <t>common:5; ultra-rare:3; uncommon:5</t>
        </is>
      </c>
      <c r="G50" s="18" t="inlineStr"/>
      <c r="H50" s="18" t="inlineStr">
        <is>
          <t>1; 2; 4; 5; 7; 8</t>
        </is>
      </c>
      <c r="I50" s="18" t="n">
        <v>2</v>
      </c>
      <c r="J50" s="18" t="n">
        <v>1</v>
      </c>
      <c r="K50" s="18" t="n">
        <v>0</v>
      </c>
      <c r="L50" s="18" t="n">
        <v>4</v>
      </c>
      <c r="M50" s="18" t="n">
        <v>2</v>
      </c>
      <c r="N50" s="18" t="n">
        <v>0</v>
      </c>
      <c r="O50" s="18" t="n">
        <v>3</v>
      </c>
      <c r="P50" s="18" t="n">
        <v>1</v>
      </c>
      <c r="Q50" s="18" t="n">
        <v>0</v>
      </c>
      <c r="R50" s="18" t="inlineStr">
        <is>
          <t>data/cobblemon/tags/worldgen/biome/is_snowy_taiga.json</t>
        </is>
      </c>
    </row>
    <row r="51" ht="28" customHeight="1">
      <c r="A51" s="18" t="inlineStr">
        <is>
          <t>#cobblemon:is_spooky</t>
        </is>
      </c>
      <c r="B51" s="18" t="inlineStr">
        <is>
          <t>태그</t>
        </is>
      </c>
      <c r="C51" s="18" t="n">
        <v>58</v>
      </c>
      <c r="D51" s="18" t="n">
        <v>46</v>
      </c>
      <c r="E51" s="18" t="n">
        <v>69</v>
      </c>
      <c r="F51" s="18" t="inlineStr">
        <is>
          <t>common:35; rare:4; ultra-rare:5; uncommon:14</t>
        </is>
      </c>
      <c r="G51" s="18" t="inlineStr"/>
      <c r="H51" s="18" t="inlineStr">
        <is>
          <t>1; 2; 3; 4; 6; 7; 8; 9</t>
        </is>
      </c>
      <c r="I51" s="18" t="n">
        <v>13</v>
      </c>
      <c r="J51" s="18" t="n">
        <v>10</v>
      </c>
      <c r="K51" s="18" t="n">
        <v>5</v>
      </c>
      <c r="L51" s="18" t="n">
        <v>6</v>
      </c>
      <c r="M51" s="18" t="n">
        <v>0</v>
      </c>
      <c r="N51" s="18" t="n">
        <v>4</v>
      </c>
      <c r="O51" s="18" t="n">
        <v>3</v>
      </c>
      <c r="P51" s="18" t="n">
        <v>13</v>
      </c>
      <c r="Q51" s="18" t="n">
        <v>4</v>
      </c>
      <c r="R51" s="18" t="inlineStr">
        <is>
          <t>data/cobblemon/tags/worldgen/biome/is_spooky.json</t>
        </is>
      </c>
    </row>
    <row r="52" ht="28" customHeight="1">
      <c r="A52" s="18" t="inlineStr">
        <is>
          <t>#cobblemon:is_swamp</t>
        </is>
      </c>
      <c r="B52" s="18" t="inlineStr">
        <is>
          <t>태그</t>
        </is>
      </c>
      <c r="C52" s="18" t="n">
        <v>202</v>
      </c>
      <c r="D52" s="18" t="n">
        <v>76</v>
      </c>
      <c r="E52" s="18" t="n">
        <v>45</v>
      </c>
      <c r="F52" s="18" t="inlineStr">
        <is>
          <t>common:118; rare:18; ultra-rare:45; uncommon:21</t>
        </is>
      </c>
      <c r="G52" s="18" t="inlineStr">
        <is>
          <t>region_02</t>
        </is>
      </c>
      <c r="H52" s="18" t="inlineStr">
        <is>
          <t>1; 2; 3; 4; 5; 6; 7; 8; 9</t>
        </is>
      </c>
      <c r="I52" s="18" t="n">
        <v>23</v>
      </c>
      <c r="J52" s="18" t="n">
        <v>38</v>
      </c>
      <c r="K52" s="18" t="n">
        <v>37</v>
      </c>
      <c r="L52" s="18" t="n">
        <v>13</v>
      </c>
      <c r="M52" s="18" t="n">
        <v>33</v>
      </c>
      <c r="N52" s="18" t="n">
        <v>15</v>
      </c>
      <c r="O52" s="18" t="n">
        <v>1</v>
      </c>
      <c r="P52" s="18" t="n">
        <v>19</v>
      </c>
      <c r="Q52" s="18" t="n">
        <v>23</v>
      </c>
      <c r="R52" s="18" t="inlineStr">
        <is>
          <t>data/cobblemon/tags/worldgen/biome/is_swamp.json</t>
        </is>
      </c>
    </row>
    <row r="53" ht="28" customHeight="1">
      <c r="A53" s="18" t="inlineStr">
        <is>
          <t>#cobblemon:is_taiga</t>
        </is>
      </c>
      <c r="B53" s="18" t="inlineStr">
        <is>
          <t>태그</t>
        </is>
      </c>
      <c r="C53" s="18" t="n">
        <v>99</v>
      </c>
      <c r="D53" s="18" t="n">
        <v>64</v>
      </c>
      <c r="E53" s="18" t="n">
        <v>10</v>
      </c>
      <c r="F53" s="18" t="inlineStr">
        <is>
          <t>common:67; rare:1; ultra-rare:8; uncommon:23</t>
        </is>
      </c>
      <c r="G53" s="18" t="inlineStr"/>
      <c r="H53" s="18" t="inlineStr">
        <is>
          <t>1; 2; 3; 4; 5; 6; 7; 8</t>
        </is>
      </c>
      <c r="I53" s="18" t="n">
        <v>8</v>
      </c>
      <c r="J53" s="18" t="n">
        <v>15</v>
      </c>
      <c r="K53" s="18" t="n">
        <v>6</v>
      </c>
      <c r="L53" s="18" t="n">
        <v>21</v>
      </c>
      <c r="M53" s="18" t="n">
        <v>17</v>
      </c>
      <c r="N53" s="18" t="n">
        <v>6</v>
      </c>
      <c r="O53" s="18" t="n">
        <v>5</v>
      </c>
      <c r="P53" s="18" t="n">
        <v>21</v>
      </c>
      <c r="Q53" s="18" t="n">
        <v>0</v>
      </c>
      <c r="R53" s="18" t="inlineStr">
        <is>
          <t>data/cobblemon/tags/worldgen/biome/is_taiga.json</t>
        </is>
      </c>
    </row>
    <row r="54" ht="28" customHeight="1">
      <c r="A54" s="18" t="inlineStr">
        <is>
          <t>#cobblemon:is_temperate</t>
        </is>
      </c>
      <c r="B54" s="18" t="inlineStr">
        <is>
          <t>태그</t>
        </is>
      </c>
      <c r="C54" s="18" t="n">
        <v>95</v>
      </c>
      <c r="D54" s="18" t="n">
        <v>51</v>
      </c>
      <c r="E54" s="18" t="n">
        <v>1</v>
      </c>
      <c r="F54" s="18" t="inlineStr">
        <is>
          <t>common:68; rare:6; ultra-rare:21</t>
        </is>
      </c>
      <c r="G54" s="18" t="inlineStr">
        <is>
          <t>region_01</t>
        </is>
      </c>
      <c r="H54" s="18" t="inlineStr">
        <is>
          <t>1; 2; 3; 4; 5; 6; 8; 9</t>
        </is>
      </c>
      <c r="I54" s="18" t="n">
        <v>48</v>
      </c>
      <c r="J54" s="18" t="n">
        <v>16</v>
      </c>
      <c r="K54" s="18" t="n">
        <v>16</v>
      </c>
      <c r="L54" s="18" t="n">
        <v>2</v>
      </c>
      <c r="M54" s="18" t="n">
        <v>2</v>
      </c>
      <c r="N54" s="18" t="n">
        <v>2</v>
      </c>
      <c r="O54" s="18" t="n">
        <v>0</v>
      </c>
      <c r="P54" s="18" t="n">
        <v>4</v>
      </c>
      <c r="Q54" s="18" t="n">
        <v>5</v>
      </c>
      <c r="R54" s="18" t="inlineStr">
        <is>
          <t>data/cobblemon/tags/worldgen/biome/is_temperate.json</t>
        </is>
      </c>
    </row>
    <row r="55" ht="28" customHeight="1">
      <c r="A55" s="18" t="inlineStr">
        <is>
          <t>#cobblemon:is_temperate_ocean</t>
        </is>
      </c>
      <c r="B55" s="18" t="inlineStr">
        <is>
          <t>태그</t>
        </is>
      </c>
      <c r="C55" s="18" t="n">
        <v>0</v>
      </c>
      <c r="D55" s="18" t="n">
        <v>0</v>
      </c>
      <c r="E55" s="18" t="n">
        <v>1</v>
      </c>
      <c r="F55" s="18" t="inlineStr"/>
      <c r="G55" s="18" t="inlineStr"/>
      <c r="H55" s="18" t="inlineStr"/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  <c r="Q55" s="18" t="n">
        <v>0</v>
      </c>
      <c r="R55" s="18" t="inlineStr">
        <is>
          <t>data/cobblemon/tags/worldgen/biome/is_temperate_ocean.json</t>
        </is>
      </c>
    </row>
    <row r="56" ht="28" customHeight="1">
      <c r="A56" s="18" t="inlineStr">
        <is>
          <t>#cobblemon:is_thermal</t>
        </is>
      </c>
      <c r="B56" s="18" t="inlineStr">
        <is>
          <t>태그</t>
        </is>
      </c>
      <c r="C56" s="18" t="n">
        <v>12</v>
      </c>
      <c r="D56" s="18" t="n">
        <v>6</v>
      </c>
      <c r="E56" s="18" t="n">
        <v>15</v>
      </c>
      <c r="F56" s="18" t="inlineStr">
        <is>
          <t>common:1; rare:3; uncommon:8</t>
        </is>
      </c>
      <c r="G56" s="18" t="inlineStr"/>
      <c r="H56" s="18" t="inlineStr">
        <is>
          <t>3; 4; 9</t>
        </is>
      </c>
      <c r="I56" s="18" t="n">
        <v>0</v>
      </c>
      <c r="J56" s="18" t="n">
        <v>0</v>
      </c>
      <c r="K56" s="18" t="n">
        <v>1</v>
      </c>
      <c r="L56" s="18" t="n">
        <v>3</v>
      </c>
      <c r="M56" s="18" t="n">
        <v>0</v>
      </c>
      <c r="N56" s="18" t="n">
        <v>0</v>
      </c>
      <c r="O56" s="18" t="n">
        <v>0</v>
      </c>
      <c r="P56" s="18" t="n">
        <v>0</v>
      </c>
      <c r="Q56" s="18" t="n">
        <v>8</v>
      </c>
      <c r="R56" s="18" t="inlineStr">
        <is>
          <t>data/cobblemon/tags/worldgen/biome/is_thermal.json</t>
        </is>
      </c>
    </row>
    <row r="57" ht="28" customHeight="1">
      <c r="A57" s="18" t="inlineStr">
        <is>
          <t>#cobblemon:is_tropical_island</t>
        </is>
      </c>
      <c r="B57" s="18" t="inlineStr">
        <is>
          <t>태그</t>
        </is>
      </c>
      <c r="C57" s="18" t="n">
        <v>121</v>
      </c>
      <c r="D57" s="18" t="n">
        <v>73</v>
      </c>
      <c r="E57" s="18" t="n">
        <v>1</v>
      </c>
      <c r="F57" s="18" t="inlineStr">
        <is>
          <t>common:54; rare:4; ultra-rare:33; uncommon:30</t>
        </is>
      </c>
      <c r="G57" s="18" t="inlineStr"/>
      <c r="H57" s="18" t="inlineStr">
        <is>
          <t>1; 2; 3; 4; 5; 6; 7; 8; 9</t>
        </is>
      </c>
      <c r="I57" s="18" t="n">
        <v>52</v>
      </c>
      <c r="J57" s="18" t="n">
        <v>7</v>
      </c>
      <c r="K57" s="18" t="n">
        <v>3</v>
      </c>
      <c r="L57" s="18" t="n">
        <v>2</v>
      </c>
      <c r="M57" s="18" t="n">
        <v>11</v>
      </c>
      <c r="N57" s="18" t="n">
        <v>2</v>
      </c>
      <c r="O57" s="18" t="n">
        <v>28</v>
      </c>
      <c r="P57" s="18" t="n">
        <v>11</v>
      </c>
      <c r="Q57" s="18" t="n">
        <v>5</v>
      </c>
      <c r="R57" s="18" t="inlineStr">
        <is>
          <t>data/cobblemon/tags/worldgen/biome/is_tropical_island.json</t>
        </is>
      </c>
    </row>
    <row r="58" ht="28" customHeight="1">
      <c r="A58" s="18" t="inlineStr">
        <is>
          <t>#cobblemon:is_tundra</t>
        </is>
      </c>
      <c r="B58" s="18" t="inlineStr">
        <is>
          <t>태그</t>
        </is>
      </c>
      <c r="C58" s="18" t="n">
        <v>45</v>
      </c>
      <c r="D58" s="18" t="n">
        <v>22</v>
      </c>
      <c r="E58" s="18" t="n">
        <v>16</v>
      </c>
      <c r="F58" s="18" t="inlineStr">
        <is>
          <t>common:25; rare:1; ultra-rare:6; uncommon:13</t>
        </is>
      </c>
      <c r="G58" s="18" t="inlineStr"/>
      <c r="H58" s="18" t="inlineStr">
        <is>
          <t>2; 3; 4; 5; 6; 8; 9</t>
        </is>
      </c>
      <c r="I58" s="18" t="n">
        <v>0</v>
      </c>
      <c r="J58" s="18" t="n">
        <v>5</v>
      </c>
      <c r="K58" s="18" t="n">
        <v>2</v>
      </c>
      <c r="L58" s="18" t="n">
        <v>8</v>
      </c>
      <c r="M58" s="18" t="n">
        <v>14</v>
      </c>
      <c r="N58" s="18" t="n">
        <v>1</v>
      </c>
      <c r="O58" s="18" t="n">
        <v>0</v>
      </c>
      <c r="P58" s="18" t="n">
        <v>12</v>
      </c>
      <c r="Q58" s="18" t="n">
        <v>3</v>
      </c>
      <c r="R58" s="18" t="inlineStr">
        <is>
          <t>data/cobblemon/tags/worldgen/biome/is_tundra.json</t>
        </is>
      </c>
    </row>
    <row r="59" ht="28" customHeight="1">
      <c r="A59" s="18" t="inlineStr">
        <is>
          <t>#cobblemon:is_volcanic</t>
        </is>
      </c>
      <c r="B59" s="18" t="inlineStr">
        <is>
          <t>태그</t>
        </is>
      </c>
      <c r="C59" s="18" t="n">
        <v>28</v>
      </c>
      <c r="D59" s="18" t="n">
        <v>20</v>
      </c>
      <c r="E59" s="18" t="n">
        <v>35</v>
      </c>
      <c r="F59" s="18" t="inlineStr">
        <is>
          <t>common:15; ultra-rare:3; uncommon:10</t>
        </is>
      </c>
      <c r="G59" s="18" t="inlineStr"/>
      <c r="H59" s="18" t="inlineStr">
        <is>
          <t>1; 2; 3; 4; 5; 7; 8; 9</t>
        </is>
      </c>
      <c r="I59" s="18" t="n">
        <v>6</v>
      </c>
      <c r="J59" s="18" t="n">
        <v>5</v>
      </c>
      <c r="K59" s="18" t="n">
        <v>2</v>
      </c>
      <c r="L59" s="18" t="n">
        <v>1</v>
      </c>
      <c r="M59" s="18" t="n">
        <v>2</v>
      </c>
      <c r="N59" s="18" t="n">
        <v>0</v>
      </c>
      <c r="O59" s="18" t="n">
        <v>2</v>
      </c>
      <c r="P59" s="18" t="n">
        <v>2</v>
      </c>
      <c r="Q59" s="18" t="n">
        <v>8</v>
      </c>
      <c r="R59" s="18" t="inlineStr">
        <is>
          <t>data/cobblemon/tags/worldgen/biome/is_volcanic.json</t>
        </is>
      </c>
    </row>
    <row r="60" ht="28" customHeight="1">
      <c r="A60" s="18" t="inlineStr">
        <is>
          <t>#cobblemon:is_warm_ocean</t>
        </is>
      </c>
      <c r="B60" s="18" t="inlineStr">
        <is>
          <t>태그</t>
        </is>
      </c>
      <c r="C60" s="18" t="n">
        <v>64</v>
      </c>
      <c r="D60" s="18" t="n">
        <v>21</v>
      </c>
      <c r="E60" s="18" t="n">
        <v>5</v>
      </c>
      <c r="F60" s="18" t="inlineStr">
        <is>
          <t>common:40; rare:5; uncommon:19</t>
        </is>
      </c>
      <c r="G60" s="18" t="inlineStr"/>
      <c r="H60" s="18" t="inlineStr">
        <is>
          <t>1; 2; 3; 4; 6; 7; 8; 9</t>
        </is>
      </c>
      <c r="I60" s="18" t="n">
        <v>4</v>
      </c>
      <c r="J60" s="18" t="n">
        <v>17</v>
      </c>
      <c r="K60" s="18" t="n">
        <v>9</v>
      </c>
      <c r="L60" s="18" t="n">
        <v>8</v>
      </c>
      <c r="M60" s="18" t="n">
        <v>0</v>
      </c>
      <c r="N60" s="18" t="n">
        <v>1</v>
      </c>
      <c r="O60" s="18" t="n">
        <v>19</v>
      </c>
      <c r="P60" s="18" t="n">
        <v>4</v>
      </c>
      <c r="Q60" s="18" t="n">
        <v>2</v>
      </c>
      <c r="R60" s="18" t="inlineStr">
        <is>
          <t>data/cobblemon/tags/worldgen/biome/is_warm_ocean.json</t>
        </is>
      </c>
    </row>
    <row r="61" ht="28" customHeight="1">
      <c r="A61" s="18" t="inlineStr">
        <is>
          <t>#cobblemon:lush</t>
        </is>
      </c>
      <c r="B61" s="18" t="inlineStr">
        <is>
          <t>태그</t>
        </is>
      </c>
      <c r="C61" s="18" t="n">
        <v>1</v>
      </c>
      <c r="D61" s="18" t="n">
        <v>1</v>
      </c>
      <c r="E61" s="18" t="n">
        <v>0</v>
      </c>
      <c r="F61" s="18" t="inlineStr">
        <is>
          <t>uncommon:1</t>
        </is>
      </c>
      <c r="G61" s="18" t="inlineStr"/>
      <c r="H61" s="18" t="inlineStr">
        <is>
          <t>5</t>
        </is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1</v>
      </c>
      <c r="N61" s="18" t="n">
        <v>0</v>
      </c>
      <c r="O61" s="18" t="n">
        <v>0</v>
      </c>
      <c r="P61" s="18" t="n">
        <v>0</v>
      </c>
      <c r="Q61" s="18" t="n">
        <v>0</v>
      </c>
      <c r="R61" s="18" t="inlineStr"/>
    </row>
    <row r="62" ht="28" customHeight="1">
      <c r="A62" s="18" t="inlineStr">
        <is>
          <t>#cobblemon:nether/is_basalt</t>
        </is>
      </c>
      <c r="B62" s="18" t="inlineStr">
        <is>
          <t>태그</t>
        </is>
      </c>
      <c r="C62" s="18" t="n">
        <v>17</v>
      </c>
      <c r="D62" s="18" t="n">
        <v>17</v>
      </c>
      <c r="E62" s="18" t="n">
        <v>0</v>
      </c>
      <c r="F62" s="18" t="inlineStr">
        <is>
          <t>common:10; ultra-rare:3; uncommon:4</t>
        </is>
      </c>
      <c r="G62" s="18" t="inlineStr"/>
      <c r="H62" s="18" t="inlineStr">
        <is>
          <t>1; 2; 3; 4; 7; 8</t>
        </is>
      </c>
      <c r="I62" s="18" t="n">
        <v>6</v>
      </c>
      <c r="J62" s="18" t="n">
        <v>4</v>
      </c>
      <c r="K62" s="18" t="n">
        <v>1</v>
      </c>
      <c r="L62" s="18" t="n">
        <v>1</v>
      </c>
      <c r="M62" s="18" t="n">
        <v>0</v>
      </c>
      <c r="N62" s="18" t="n">
        <v>0</v>
      </c>
      <c r="O62" s="18" t="n">
        <v>3</v>
      </c>
      <c r="P62" s="18" t="n">
        <v>2</v>
      </c>
      <c r="Q62" s="18" t="n">
        <v>0</v>
      </c>
      <c r="R62" s="18" t="inlineStr"/>
    </row>
    <row r="63" ht="28" customHeight="1">
      <c r="A63" s="18" t="inlineStr">
        <is>
          <t>#cobblemon:nether/is_crimson</t>
        </is>
      </c>
      <c r="B63" s="18" t="inlineStr">
        <is>
          <t>태그</t>
        </is>
      </c>
      <c r="C63" s="18" t="n">
        <v>8</v>
      </c>
      <c r="D63" s="18" t="n">
        <v>8</v>
      </c>
      <c r="E63" s="18" t="n">
        <v>0</v>
      </c>
      <c r="F63" s="18" t="inlineStr">
        <is>
          <t>ultra-rare:6; uncommon:2</t>
        </is>
      </c>
      <c r="G63" s="18" t="inlineStr"/>
      <c r="H63" s="18" t="inlineStr">
        <is>
          <t>2; 5</t>
        </is>
      </c>
      <c r="I63" s="18" t="n">
        <v>0</v>
      </c>
      <c r="J63" s="18" t="n">
        <v>3</v>
      </c>
      <c r="K63" s="18" t="n">
        <v>0</v>
      </c>
      <c r="L63" s="18" t="n">
        <v>0</v>
      </c>
      <c r="M63" s="18" t="n">
        <v>5</v>
      </c>
      <c r="N63" s="18" t="n">
        <v>0</v>
      </c>
      <c r="O63" s="18" t="n">
        <v>0</v>
      </c>
      <c r="P63" s="18" t="n">
        <v>0</v>
      </c>
      <c r="Q63" s="18" t="n">
        <v>0</v>
      </c>
      <c r="R63" s="18" t="inlineStr"/>
    </row>
    <row r="64" ht="28" customHeight="1">
      <c r="A64" s="18" t="inlineStr">
        <is>
          <t>#cobblemon:nether/is_desert</t>
        </is>
      </c>
      <c r="B64" s="18" t="inlineStr">
        <is>
          <t>태그</t>
        </is>
      </c>
      <c r="C64" s="18" t="n">
        <v>7</v>
      </c>
      <c r="D64" s="18" t="n">
        <v>7</v>
      </c>
      <c r="E64" s="18" t="n">
        <v>3</v>
      </c>
      <c r="F64" s="18" t="inlineStr">
        <is>
          <t>common:6; uncommon:1</t>
        </is>
      </c>
      <c r="G64" s="18" t="inlineStr"/>
      <c r="H64" s="18" t="inlineStr">
        <is>
          <t>1; 7; 9</t>
        </is>
      </c>
      <c r="I64" s="18" t="n">
        <v>2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2</v>
      </c>
      <c r="P64" s="18" t="n">
        <v>0</v>
      </c>
      <c r="Q64" s="18" t="n">
        <v>3</v>
      </c>
      <c r="R64" s="18" t="inlineStr"/>
    </row>
    <row r="65" ht="28" customHeight="1">
      <c r="A65" s="18" t="inlineStr">
        <is>
          <t>#cobblemon:nether/is_forest</t>
        </is>
      </c>
      <c r="B65" s="18" t="inlineStr">
        <is>
          <t>태그</t>
        </is>
      </c>
      <c r="C65" s="18" t="n">
        <v>19</v>
      </c>
      <c r="D65" s="18" t="n">
        <v>19</v>
      </c>
      <c r="E65" s="18" t="n">
        <v>0</v>
      </c>
      <c r="F65" s="18" t="inlineStr">
        <is>
          <t>common:11; ultra-rare:6; uncommon:2</t>
        </is>
      </c>
      <c r="G65" s="18" t="inlineStr"/>
      <c r="H65" s="18" t="inlineStr">
        <is>
          <t>1; 2; 4; 5; 6; 8</t>
        </is>
      </c>
      <c r="I65" s="18" t="n">
        <v>2</v>
      </c>
      <c r="J65" s="18" t="n">
        <v>3</v>
      </c>
      <c r="K65" s="18" t="n">
        <v>0</v>
      </c>
      <c r="L65" s="18" t="n">
        <v>3</v>
      </c>
      <c r="M65" s="18" t="n">
        <v>5</v>
      </c>
      <c r="N65" s="18" t="n">
        <v>3</v>
      </c>
      <c r="O65" s="18" t="n">
        <v>0</v>
      </c>
      <c r="P65" s="18" t="n">
        <v>3</v>
      </c>
      <c r="Q65" s="18" t="n">
        <v>0</v>
      </c>
      <c r="R65" s="18" t="inlineStr"/>
    </row>
    <row r="66" ht="28" customHeight="1">
      <c r="A66" s="18" t="inlineStr">
        <is>
          <t>#cobblemon:nether/is_frozen</t>
        </is>
      </c>
      <c r="B66" s="18" t="inlineStr">
        <is>
          <t>태그</t>
        </is>
      </c>
      <c r="C66" s="18" t="n">
        <v>9</v>
      </c>
      <c r="D66" s="18" t="n">
        <v>9</v>
      </c>
      <c r="E66" s="18" t="n">
        <v>4</v>
      </c>
      <c r="F66" s="18" t="inlineStr">
        <is>
          <t>common:6; uncommon:3</t>
        </is>
      </c>
      <c r="G66" s="18" t="inlineStr"/>
      <c r="H66" s="18" t="inlineStr">
        <is>
          <t>3; 4; 5; 6</t>
        </is>
      </c>
      <c r="I66" s="18" t="n">
        <v>0</v>
      </c>
      <c r="J66" s="18" t="n">
        <v>0</v>
      </c>
      <c r="K66" s="18" t="n">
        <v>2</v>
      </c>
      <c r="L66" s="18" t="n">
        <v>1</v>
      </c>
      <c r="M66" s="18" t="n">
        <v>4</v>
      </c>
      <c r="N66" s="18" t="n">
        <v>2</v>
      </c>
      <c r="O66" s="18" t="n">
        <v>0</v>
      </c>
      <c r="P66" s="18" t="n">
        <v>0</v>
      </c>
      <c r="Q66" s="18" t="n">
        <v>0</v>
      </c>
      <c r="R66" s="18" t="inlineStr"/>
    </row>
    <row r="67" ht="28" customHeight="1">
      <c r="A67" s="18" t="inlineStr">
        <is>
          <t>#cobblemon:nether/is_fungus</t>
        </is>
      </c>
      <c r="B67" s="18" t="inlineStr">
        <is>
          <t>태그</t>
        </is>
      </c>
      <c r="C67" s="18" t="n">
        <v>14</v>
      </c>
      <c r="D67" s="18" t="n">
        <v>14</v>
      </c>
      <c r="E67" s="18" t="n">
        <v>0</v>
      </c>
      <c r="F67" s="18" t="inlineStr">
        <is>
          <t>common:14</t>
        </is>
      </c>
      <c r="G67" s="18" t="inlineStr"/>
      <c r="H67" s="18" t="inlineStr">
        <is>
          <t>1; 3; 5; 6; 7; 9</t>
        </is>
      </c>
      <c r="I67" s="18" t="n">
        <v>2</v>
      </c>
      <c r="J67" s="18" t="n">
        <v>0</v>
      </c>
      <c r="K67" s="18" t="n">
        <v>2</v>
      </c>
      <c r="L67" s="18" t="n">
        <v>0</v>
      </c>
      <c r="M67" s="18" t="n">
        <v>3</v>
      </c>
      <c r="N67" s="18" t="n">
        <v>3</v>
      </c>
      <c r="O67" s="18" t="n">
        <v>2</v>
      </c>
      <c r="P67" s="18" t="n">
        <v>0</v>
      </c>
      <c r="Q67" s="18" t="n">
        <v>2</v>
      </c>
      <c r="R67" s="18" t="inlineStr"/>
    </row>
    <row r="68" ht="28" customHeight="1">
      <c r="A68" s="18" t="inlineStr">
        <is>
          <t>#cobblemon:nether/is_mountain</t>
        </is>
      </c>
      <c r="B68" s="18" t="inlineStr">
        <is>
          <t>태그</t>
        </is>
      </c>
      <c r="C68" s="18" t="n">
        <v>4</v>
      </c>
      <c r="D68" s="18" t="n">
        <v>4</v>
      </c>
      <c r="E68" s="18" t="n">
        <v>0</v>
      </c>
      <c r="F68" s="18" t="inlineStr">
        <is>
          <t>common:4</t>
        </is>
      </c>
      <c r="G68" s="18" t="inlineStr"/>
      <c r="H68" s="18" t="inlineStr">
        <is>
          <t>2; 4; 5</t>
        </is>
      </c>
      <c r="I68" s="18" t="n">
        <v>0</v>
      </c>
      <c r="J68" s="18" t="n">
        <v>1</v>
      </c>
      <c r="K68" s="18" t="n">
        <v>0</v>
      </c>
      <c r="L68" s="18" t="n">
        <v>1</v>
      </c>
      <c r="M68" s="18" t="n">
        <v>2</v>
      </c>
      <c r="N68" s="18" t="n">
        <v>0</v>
      </c>
      <c r="O68" s="18" t="n">
        <v>0</v>
      </c>
      <c r="P68" s="18" t="n">
        <v>0</v>
      </c>
      <c r="Q68" s="18" t="n">
        <v>0</v>
      </c>
      <c r="R68" s="18" t="inlineStr"/>
    </row>
    <row r="69" ht="28" customHeight="1">
      <c r="A69" s="18" t="inlineStr">
        <is>
          <t>#cobblemon:nether/is_overgrowth</t>
        </is>
      </c>
      <c r="B69" s="18" t="inlineStr">
        <is>
          <t>태그</t>
        </is>
      </c>
      <c r="C69" s="18" t="n">
        <v>14</v>
      </c>
      <c r="D69" s="18" t="n">
        <v>14</v>
      </c>
      <c r="E69" s="18" t="n">
        <v>0</v>
      </c>
      <c r="F69" s="18" t="inlineStr">
        <is>
          <t>common:6; ultra-rare:6; uncommon:2</t>
        </is>
      </c>
      <c r="G69" s="18" t="inlineStr"/>
      <c r="H69" s="18" t="inlineStr">
        <is>
          <t>1; 2; 3; 5; 6; 9</t>
        </is>
      </c>
      <c r="I69" s="18" t="n">
        <v>2</v>
      </c>
      <c r="J69" s="18" t="n">
        <v>3</v>
      </c>
      <c r="K69" s="18" t="n">
        <v>2</v>
      </c>
      <c r="L69" s="18" t="n">
        <v>0</v>
      </c>
      <c r="M69" s="18" t="n">
        <v>3</v>
      </c>
      <c r="N69" s="18" t="n">
        <v>2</v>
      </c>
      <c r="O69" s="18" t="n">
        <v>0</v>
      </c>
      <c r="P69" s="18" t="n">
        <v>0</v>
      </c>
      <c r="Q69" s="18" t="n">
        <v>2</v>
      </c>
      <c r="R69" s="18" t="inlineStr"/>
    </row>
    <row r="70" ht="28" customHeight="1">
      <c r="A70" s="18" t="inlineStr">
        <is>
          <t>#cobblemon:nether/is_quartz</t>
        </is>
      </c>
      <c r="B70" s="18" t="inlineStr">
        <is>
          <t>태그</t>
        </is>
      </c>
      <c r="C70" s="18" t="n">
        <v>7</v>
      </c>
      <c r="D70" s="18" t="n">
        <v>7</v>
      </c>
      <c r="E70" s="18" t="n">
        <v>2</v>
      </c>
      <c r="F70" s="18" t="inlineStr">
        <is>
          <t>common:5; uncommon:2</t>
        </is>
      </c>
      <c r="G70" s="18" t="inlineStr"/>
      <c r="H70" s="18" t="inlineStr">
        <is>
          <t>2; 8; 9</t>
        </is>
      </c>
      <c r="I70" s="18" t="n">
        <v>0</v>
      </c>
      <c r="J70" s="18" t="n">
        <v>1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1</v>
      </c>
      <c r="Q70" s="18" t="n">
        <v>5</v>
      </c>
      <c r="R70" s="18" t="inlineStr"/>
    </row>
    <row r="71" ht="28" customHeight="1">
      <c r="A71" s="18" t="inlineStr">
        <is>
          <t>#cobblemon:nether/is_soul_fire</t>
        </is>
      </c>
      <c r="B71" s="18" t="inlineStr">
        <is>
          <t>태그</t>
        </is>
      </c>
      <c r="C71" s="18" t="n">
        <v>3</v>
      </c>
      <c r="D71" s="18" t="n">
        <v>3</v>
      </c>
      <c r="E71" s="18" t="n">
        <v>0</v>
      </c>
      <c r="F71" s="18" t="inlineStr">
        <is>
          <t>common:3</t>
        </is>
      </c>
      <c r="G71" s="18" t="inlineStr"/>
      <c r="H71" s="18" t="inlineStr">
        <is>
          <t>5</t>
        </is>
      </c>
      <c r="I71" s="18" t="n">
        <v>0</v>
      </c>
      <c r="J71" s="18" t="n">
        <v>0</v>
      </c>
      <c r="K71" s="18" t="n">
        <v>0</v>
      </c>
      <c r="L71" s="18" t="n">
        <v>0</v>
      </c>
      <c r="M71" s="18" t="n">
        <v>3</v>
      </c>
      <c r="N71" s="18" t="n">
        <v>0</v>
      </c>
      <c r="O71" s="18" t="n">
        <v>0</v>
      </c>
      <c r="P71" s="18" t="n">
        <v>0</v>
      </c>
      <c r="Q71" s="18" t="n">
        <v>0</v>
      </c>
      <c r="R71" s="18" t="inlineStr"/>
    </row>
    <row r="72" ht="28" customHeight="1">
      <c r="A72" s="18" t="inlineStr">
        <is>
          <t>#cobblemon:nether/is_soul_sand</t>
        </is>
      </c>
      <c r="B72" s="18" t="inlineStr">
        <is>
          <t>태그</t>
        </is>
      </c>
      <c r="C72" s="18" t="n">
        <v>3</v>
      </c>
      <c r="D72" s="18" t="n">
        <v>3</v>
      </c>
      <c r="E72" s="18" t="n">
        <v>0</v>
      </c>
      <c r="F72" s="18" t="inlineStr">
        <is>
          <t>common:3</t>
        </is>
      </c>
      <c r="G72" s="18" t="inlineStr"/>
      <c r="H72" s="18" t="inlineStr">
        <is>
          <t>3; 4</t>
        </is>
      </c>
      <c r="I72" s="18" t="n">
        <v>0</v>
      </c>
      <c r="J72" s="18" t="n">
        <v>0</v>
      </c>
      <c r="K72" s="18" t="n">
        <v>2</v>
      </c>
      <c r="L72" s="18" t="n">
        <v>1</v>
      </c>
      <c r="M72" s="18" t="n">
        <v>0</v>
      </c>
      <c r="N72" s="18" t="n">
        <v>0</v>
      </c>
      <c r="O72" s="18" t="n">
        <v>0</v>
      </c>
      <c r="P72" s="18" t="n">
        <v>0</v>
      </c>
      <c r="Q72" s="18" t="n">
        <v>0</v>
      </c>
      <c r="R72" s="18" t="inlineStr"/>
    </row>
    <row r="73" ht="28" customHeight="1">
      <c r="A73" s="18" t="inlineStr">
        <is>
          <t>#cobblemon:nether/is_toxic</t>
        </is>
      </c>
      <c r="B73" s="18" t="inlineStr">
        <is>
          <t>태그</t>
        </is>
      </c>
      <c r="C73" s="18" t="n">
        <v>0</v>
      </c>
      <c r="D73" s="18" t="n">
        <v>0</v>
      </c>
      <c r="E73" s="18" t="n">
        <v>2</v>
      </c>
      <c r="F73" s="18" t="inlineStr"/>
      <c r="G73" s="18" t="inlineStr"/>
      <c r="H73" s="18" t="inlineStr"/>
      <c r="I73" s="18" t="n">
        <v>0</v>
      </c>
      <c r="J73" s="18" t="n">
        <v>0</v>
      </c>
      <c r="K73" s="18" t="n">
        <v>0</v>
      </c>
      <c r="L73" s="18" t="n">
        <v>0</v>
      </c>
      <c r="M73" s="18" t="n">
        <v>0</v>
      </c>
      <c r="N73" s="18" t="n">
        <v>0</v>
      </c>
      <c r="O73" s="18" t="n">
        <v>0</v>
      </c>
      <c r="P73" s="18" t="n">
        <v>0</v>
      </c>
      <c r="Q73" s="18" t="n">
        <v>0</v>
      </c>
      <c r="R73" s="18" t="inlineStr"/>
    </row>
    <row r="74" ht="28" customHeight="1">
      <c r="A74" s="18" t="inlineStr">
        <is>
          <t>#cobblemon:nether/is_warped</t>
        </is>
      </c>
      <c r="B74" s="18" t="inlineStr">
        <is>
          <t>태그</t>
        </is>
      </c>
      <c r="C74" s="18" t="n">
        <v>5</v>
      </c>
      <c r="D74" s="18" t="n">
        <v>5</v>
      </c>
      <c r="E74" s="18" t="n">
        <v>7</v>
      </c>
      <c r="F74" s="18" t="inlineStr">
        <is>
          <t>common:5</t>
        </is>
      </c>
      <c r="G74" s="18" t="inlineStr"/>
      <c r="H74" s="18" t="inlineStr">
        <is>
          <t>2; 4; 8</t>
        </is>
      </c>
      <c r="I74" s="18" t="n">
        <v>0</v>
      </c>
      <c r="J74" s="18" t="n">
        <v>1</v>
      </c>
      <c r="K74" s="18" t="n">
        <v>0</v>
      </c>
      <c r="L74" s="18" t="n">
        <v>1</v>
      </c>
      <c r="M74" s="18" t="n">
        <v>0</v>
      </c>
      <c r="N74" s="18" t="n">
        <v>0</v>
      </c>
      <c r="O74" s="18" t="n">
        <v>0</v>
      </c>
      <c r="P74" s="18" t="n">
        <v>3</v>
      </c>
      <c r="Q74" s="18" t="n">
        <v>0</v>
      </c>
      <c r="R74" s="18" t="inlineStr"/>
    </row>
    <row r="75" ht="28" customHeight="1">
      <c r="A75" s="18" t="inlineStr">
        <is>
          <t>#cobblemon:nether/is_wasteland</t>
        </is>
      </c>
      <c r="B75" s="18" t="inlineStr">
        <is>
          <t>태그</t>
        </is>
      </c>
      <c r="C75" s="18" t="n">
        <v>15</v>
      </c>
      <c r="D75" s="18" t="n">
        <v>15</v>
      </c>
      <c r="E75" s="18" t="n">
        <v>0</v>
      </c>
      <c r="F75" s="18" t="inlineStr">
        <is>
          <t>common:11; ultra-rare:3; uncommon:1</t>
        </is>
      </c>
      <c r="G75" s="18" t="inlineStr"/>
      <c r="H75" s="18" t="inlineStr">
        <is>
          <t>1; 2; 3; 4; 6; 8; 9</t>
        </is>
      </c>
      <c r="I75" s="18" t="n">
        <v>3</v>
      </c>
      <c r="J75" s="18" t="n">
        <v>3</v>
      </c>
      <c r="K75" s="18" t="n">
        <v>2</v>
      </c>
      <c r="L75" s="18" t="n">
        <v>1</v>
      </c>
      <c r="M75" s="18" t="n">
        <v>0</v>
      </c>
      <c r="N75" s="18" t="n">
        <v>1</v>
      </c>
      <c r="O75" s="18" t="n">
        <v>0</v>
      </c>
      <c r="P75" s="18" t="n">
        <v>2</v>
      </c>
      <c r="Q75" s="18" t="n">
        <v>3</v>
      </c>
      <c r="R75" s="18" t="inlineStr"/>
    </row>
    <row r="76" ht="28" customHeight="1">
      <c r="A76" s="18" t="inlineStr">
        <is>
          <t>#minecraft:is_badlands</t>
        </is>
      </c>
      <c r="B76" s="18" t="inlineStr">
        <is>
          <t>태그</t>
        </is>
      </c>
      <c r="C76" s="18" t="n">
        <v>1</v>
      </c>
      <c r="D76" s="18" t="n">
        <v>1</v>
      </c>
      <c r="E76" s="18" t="n">
        <v>0</v>
      </c>
      <c r="F76" s="18" t="inlineStr">
        <is>
          <t>rare:1</t>
        </is>
      </c>
      <c r="G76" s="18" t="inlineStr"/>
      <c r="H76" s="18" t="inlineStr">
        <is>
          <t>1</t>
        </is>
      </c>
      <c r="I76" s="18" t="n">
        <v>1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  <c r="Q76" s="18" t="n">
        <v>0</v>
      </c>
      <c r="R76" s="18" t="inlineStr"/>
    </row>
    <row r="77" ht="28" customHeight="1">
      <c r="A77" s="18" t="inlineStr">
        <is>
          <t>#minecraft:is_beach</t>
        </is>
      </c>
      <c r="B77" s="18" t="inlineStr">
        <is>
          <t>태그</t>
        </is>
      </c>
      <c r="C77" s="18" t="n">
        <v>4</v>
      </c>
      <c r="D77" s="18" t="n">
        <v>4</v>
      </c>
      <c r="E77" s="18" t="n">
        <v>0</v>
      </c>
      <c r="F77" s="18" t="inlineStr">
        <is>
          <t>common:1; rare:1; ultra-rare:2</t>
        </is>
      </c>
      <c r="G77" s="18" t="inlineStr"/>
      <c r="H77" s="18" t="inlineStr">
        <is>
          <t>1; 7</t>
        </is>
      </c>
      <c r="I77" s="18" t="n">
        <v>2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2</v>
      </c>
      <c r="P77" s="18" t="n">
        <v>0</v>
      </c>
      <c r="Q77" s="18" t="n">
        <v>0</v>
      </c>
      <c r="R77" s="18" t="inlineStr"/>
    </row>
    <row r="78" ht="28" customHeight="1">
      <c r="A78" s="18" t="inlineStr">
        <is>
          <t>#minecraft:is_end</t>
        </is>
      </c>
      <c r="B78" s="18" t="inlineStr">
        <is>
          <t>태그</t>
        </is>
      </c>
      <c r="C78" s="18" t="n">
        <v>5</v>
      </c>
      <c r="D78" s="18" t="n">
        <v>5</v>
      </c>
      <c r="E78" s="18" t="n">
        <v>0</v>
      </c>
      <c r="F78" s="18" t="inlineStr">
        <is>
          <t>ultra-rare:5</t>
        </is>
      </c>
      <c r="G78" s="18" t="inlineStr"/>
      <c r="H78" s="18" t="inlineStr">
        <is>
          <t>7</t>
        </is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5</v>
      </c>
      <c r="P78" s="18" t="n">
        <v>0</v>
      </c>
      <c r="Q78" s="18" t="n">
        <v>0</v>
      </c>
      <c r="R78" s="18" t="inlineStr"/>
    </row>
    <row r="79" ht="28" customHeight="1">
      <c r="A79" s="18" t="inlineStr">
        <is>
          <t>#minecraft:is_forest</t>
        </is>
      </c>
      <c r="B79" s="18" t="inlineStr">
        <is>
          <t>태그</t>
        </is>
      </c>
      <c r="C79" s="18" t="n">
        <v>1</v>
      </c>
      <c r="D79" s="18" t="n">
        <v>1</v>
      </c>
      <c r="E79" s="18" t="n">
        <v>0</v>
      </c>
      <c r="F79" s="18" t="inlineStr">
        <is>
          <t>ultra-rare:1</t>
        </is>
      </c>
      <c r="G79" s="18" t="inlineStr">
        <is>
          <t>region_01</t>
        </is>
      </c>
      <c r="H79" s="18" t="inlineStr">
        <is>
          <t>7</t>
        </is>
      </c>
      <c r="I79" s="18" t="n">
        <v>0</v>
      </c>
      <c r="J79" s="18" t="n">
        <v>0</v>
      </c>
      <c r="K79" s="18" t="n">
        <v>0</v>
      </c>
      <c r="L79" s="18" t="n">
        <v>0</v>
      </c>
      <c r="M79" s="18" t="n">
        <v>0</v>
      </c>
      <c r="N79" s="18" t="n">
        <v>0</v>
      </c>
      <c r="O79" s="18" t="n">
        <v>1</v>
      </c>
      <c r="P79" s="18" t="n">
        <v>0</v>
      </c>
      <c r="Q79" s="18" t="n">
        <v>0</v>
      </c>
      <c r="R79" s="18" t="inlineStr"/>
    </row>
    <row r="80" ht="28" customHeight="1">
      <c r="A80" s="18" t="inlineStr">
        <is>
          <t>#minecraft:is_jungle</t>
        </is>
      </c>
      <c r="B80" s="18" t="inlineStr">
        <is>
          <t>태그</t>
        </is>
      </c>
      <c r="C80" s="18" t="n">
        <v>1</v>
      </c>
      <c r="D80" s="18" t="n">
        <v>1</v>
      </c>
      <c r="E80" s="18" t="n">
        <v>0</v>
      </c>
      <c r="F80" s="18" t="inlineStr">
        <is>
          <t>rare:1</t>
        </is>
      </c>
      <c r="G80" s="18" t="inlineStr"/>
      <c r="H80" s="18" t="inlineStr">
        <is>
          <t>1</t>
        </is>
      </c>
      <c r="I80" s="18" t="n">
        <v>1</v>
      </c>
      <c r="J80" s="18" t="n">
        <v>0</v>
      </c>
      <c r="K80" s="18" t="n">
        <v>0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  <c r="Q80" s="18" t="n">
        <v>0</v>
      </c>
      <c r="R80" s="18" t="inlineStr"/>
    </row>
    <row r="81" ht="28" customHeight="1">
      <c r="A81" s="18" t="inlineStr">
        <is>
          <t>#minecraft:is_nether</t>
        </is>
      </c>
      <c r="B81" s="18" t="inlineStr">
        <is>
          <t>태그</t>
        </is>
      </c>
      <c r="C81" s="18" t="n">
        <v>18</v>
      </c>
      <c r="D81" s="18" t="n">
        <v>18</v>
      </c>
      <c r="E81" s="18" t="n">
        <v>0</v>
      </c>
      <c r="F81" s="18" t="inlineStr">
        <is>
          <t>common:8; rare:1; uncommon:9</t>
        </is>
      </c>
      <c r="G81" s="18" t="inlineStr"/>
      <c r="H81" s="18" t="inlineStr">
        <is>
          <t>1; 2; 5; 6; 8; 9</t>
        </is>
      </c>
      <c r="I81" s="18" t="n">
        <v>3</v>
      </c>
      <c r="J81" s="18" t="n">
        <v>4</v>
      </c>
      <c r="K81" s="18" t="n">
        <v>0</v>
      </c>
      <c r="L81" s="18" t="n">
        <v>0</v>
      </c>
      <c r="M81" s="18" t="n">
        <v>4</v>
      </c>
      <c r="N81" s="18" t="n">
        <v>3</v>
      </c>
      <c r="O81" s="18" t="n">
        <v>0</v>
      </c>
      <c r="P81" s="18" t="n">
        <v>1</v>
      </c>
      <c r="Q81" s="18" t="n">
        <v>3</v>
      </c>
      <c r="R81" s="18" t="inlineStr"/>
    </row>
    <row r="82" ht="28" customHeight="1">
      <c r="A82" s="18" t="inlineStr">
        <is>
          <t>#minecraft:is_overworld</t>
        </is>
      </c>
      <c r="B82" s="18" t="inlineStr">
        <is>
          <t>태그</t>
        </is>
      </c>
      <c r="C82" s="18" t="n">
        <v>1</v>
      </c>
      <c r="D82" s="18" t="n">
        <v>1</v>
      </c>
      <c r="E82" s="18" t="n">
        <v>0</v>
      </c>
      <c r="F82" s="18" t="inlineStr">
        <is>
          <t>uncommon:1</t>
        </is>
      </c>
      <c r="G82" s="18" t="inlineStr">
        <is>
          <t>region_01; region_02</t>
        </is>
      </c>
      <c r="H82" s="18" t="inlineStr">
        <is>
          <t>3</t>
        </is>
      </c>
      <c r="I82" s="18" t="n">
        <v>0</v>
      </c>
      <c r="J82" s="18" t="n">
        <v>0</v>
      </c>
      <c r="K82" s="18" t="n">
        <v>1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</v>
      </c>
      <c r="R82" s="18" t="inlineStr"/>
    </row>
    <row r="83" ht="28" customHeight="1">
      <c r="A83" s="18" t="inlineStr">
        <is>
          <t>#minecraft:is_savanna</t>
        </is>
      </c>
      <c r="B83" s="18" t="inlineStr">
        <is>
          <t>태그</t>
        </is>
      </c>
      <c r="C83" s="18" t="n">
        <v>1</v>
      </c>
      <c r="D83" s="18" t="n">
        <v>1</v>
      </c>
      <c r="E83" s="18" t="n">
        <v>0</v>
      </c>
      <c r="F83" s="18" t="inlineStr">
        <is>
          <t>rare:1</t>
        </is>
      </c>
      <c r="G83" s="18" t="inlineStr"/>
      <c r="H83" s="18" t="inlineStr">
        <is>
          <t>1</t>
        </is>
      </c>
      <c r="I83" s="18" t="n">
        <v>1</v>
      </c>
      <c r="J83" s="18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0</v>
      </c>
      <c r="R83" s="18" t="inlineStr"/>
    </row>
    <row r="84" ht="28" customHeight="1">
      <c r="A84" s="18" t="inlineStr">
        <is>
          <t>#the_bumblezone:the_bumblezone</t>
        </is>
      </c>
      <c r="B84" s="18" t="inlineStr">
        <is>
          <t>태그</t>
        </is>
      </c>
      <c r="C84" s="18" t="n">
        <v>11</v>
      </c>
      <c r="D84" s="18" t="n">
        <v>11</v>
      </c>
      <c r="E84" s="18" t="n">
        <v>0</v>
      </c>
      <c r="F84" s="18" t="inlineStr">
        <is>
          <t>common:5; uncommon:6</t>
        </is>
      </c>
      <c r="G84" s="18" t="inlineStr"/>
      <c r="H84" s="18" t="inlineStr">
        <is>
          <t>1; 2; 3; 4</t>
        </is>
      </c>
      <c r="I84" s="18" t="n">
        <v>3</v>
      </c>
      <c r="J84" s="18" t="n">
        <v>1</v>
      </c>
      <c r="K84" s="18" t="n">
        <v>4</v>
      </c>
      <c r="L84" s="18" t="n">
        <v>3</v>
      </c>
      <c r="M84" s="18" t="n">
        <v>0</v>
      </c>
      <c r="N84" s="18" t="n">
        <v>0</v>
      </c>
      <c r="O84" s="18" t="n">
        <v>0</v>
      </c>
      <c r="P84" s="18" t="n">
        <v>0</v>
      </c>
      <c r="Q84" s="18" t="n">
        <v>0</v>
      </c>
      <c r="R84" s="18" t="inlineStr"/>
    </row>
    <row r="85" ht="28" customHeight="1">
      <c r="A85" s="18" t="inlineStr">
        <is>
          <t>aether:skyroot_forest</t>
        </is>
      </c>
      <c r="B85" s="18" t="inlineStr">
        <is>
          <t>바이옴</t>
        </is>
      </c>
      <c r="C85" s="18" t="n">
        <v>48</v>
      </c>
      <c r="D85" s="18" t="n">
        <v>48</v>
      </c>
      <c r="E85" s="18" t="n">
        <v>0</v>
      </c>
      <c r="F85" s="18" t="inlineStr">
        <is>
          <t>common:25; rare:5; ultra-rare:7; uncommon:11</t>
        </is>
      </c>
      <c r="G85" s="18" t="inlineStr"/>
      <c r="H85" s="18" t="inlineStr">
        <is>
          <t>1; 2; 3; 4; 5; 6; 7; 8</t>
        </is>
      </c>
      <c r="I85" s="18" t="n">
        <v>12</v>
      </c>
      <c r="J85" s="18" t="n">
        <v>4</v>
      </c>
      <c r="K85" s="18" t="n">
        <v>13</v>
      </c>
      <c r="L85" s="18" t="n">
        <v>5</v>
      </c>
      <c r="M85" s="18" t="n">
        <v>2</v>
      </c>
      <c r="N85" s="18" t="n">
        <v>3</v>
      </c>
      <c r="O85" s="18" t="n">
        <v>4</v>
      </c>
      <c r="P85" s="18" t="n">
        <v>5</v>
      </c>
      <c r="Q85" s="18" t="n">
        <v>0</v>
      </c>
      <c r="R85" s="18" t="inlineStr"/>
    </row>
    <row r="86" ht="28" customHeight="1">
      <c r="A86" s="18" t="inlineStr">
        <is>
          <t>aether:skyroot_grove</t>
        </is>
      </c>
      <c r="B86" s="18" t="inlineStr">
        <is>
          <t>바이옴</t>
        </is>
      </c>
      <c r="C86" s="18" t="n">
        <v>33</v>
      </c>
      <c r="D86" s="18" t="n">
        <v>33</v>
      </c>
      <c r="E86" s="18" t="n">
        <v>0</v>
      </c>
      <c r="F86" s="18" t="inlineStr">
        <is>
          <t>common:18; rare:7; ultra-rare:7; uncommon:1</t>
        </is>
      </c>
      <c r="G86" s="18" t="inlineStr"/>
      <c r="H86" s="18" t="inlineStr">
        <is>
          <t>1; 2; 3; 4; 5; 6; 8</t>
        </is>
      </c>
      <c r="I86" s="18" t="n">
        <v>4</v>
      </c>
      <c r="J86" s="18" t="n">
        <v>8</v>
      </c>
      <c r="K86" s="18" t="n">
        <v>9</v>
      </c>
      <c r="L86" s="18" t="n">
        <v>2</v>
      </c>
      <c r="M86" s="18" t="n">
        <v>2</v>
      </c>
      <c r="N86" s="18" t="n">
        <v>1</v>
      </c>
      <c r="O86" s="18" t="n">
        <v>0</v>
      </c>
      <c r="P86" s="18" t="n">
        <v>7</v>
      </c>
      <c r="Q86" s="18" t="n">
        <v>0</v>
      </c>
      <c r="R86" s="18" t="inlineStr"/>
    </row>
    <row r="87" ht="28" customHeight="1">
      <c r="A87" s="18" t="inlineStr">
        <is>
          <t>aether:skyroot_meadow</t>
        </is>
      </c>
      <c r="B87" s="18" t="inlineStr">
        <is>
          <t>바이옴</t>
        </is>
      </c>
      <c r="C87" s="18" t="n">
        <v>33</v>
      </c>
      <c r="D87" s="18" t="n">
        <v>33</v>
      </c>
      <c r="E87" s="18" t="n">
        <v>0</v>
      </c>
      <c r="F87" s="18" t="inlineStr">
        <is>
          <t>common:18; rare:7; ultra-rare:7; uncommon:1</t>
        </is>
      </c>
      <c r="G87" s="18" t="inlineStr"/>
      <c r="H87" s="18" t="inlineStr">
        <is>
          <t>1; 2; 3; 4; 5; 6; 8</t>
        </is>
      </c>
      <c r="I87" s="18" t="n">
        <v>4</v>
      </c>
      <c r="J87" s="18" t="n">
        <v>8</v>
      </c>
      <c r="K87" s="18" t="n">
        <v>9</v>
      </c>
      <c r="L87" s="18" t="n">
        <v>2</v>
      </c>
      <c r="M87" s="18" t="n">
        <v>2</v>
      </c>
      <c r="N87" s="18" t="n">
        <v>1</v>
      </c>
      <c r="O87" s="18" t="n">
        <v>0</v>
      </c>
      <c r="P87" s="18" t="n">
        <v>7</v>
      </c>
      <c r="Q87" s="18" t="n">
        <v>0</v>
      </c>
      <c r="R87" s="18" t="inlineStr"/>
    </row>
    <row r="88" ht="28" customHeight="1">
      <c r="A88" s="18" t="inlineStr">
        <is>
          <t>aether:skyroot_woodland</t>
        </is>
      </c>
      <c r="B88" s="18" t="inlineStr">
        <is>
          <t>바이옴</t>
        </is>
      </c>
      <c r="C88" s="18" t="n">
        <v>48</v>
      </c>
      <c r="D88" s="18" t="n">
        <v>48</v>
      </c>
      <c r="E88" s="18" t="n">
        <v>0</v>
      </c>
      <c r="F88" s="18" t="inlineStr">
        <is>
          <t>common:25; rare:5; ultra-rare:7; uncommon:11</t>
        </is>
      </c>
      <c r="G88" s="18" t="inlineStr"/>
      <c r="H88" s="18" t="inlineStr">
        <is>
          <t>1; 2; 3; 4; 5; 6; 7; 8</t>
        </is>
      </c>
      <c r="I88" s="18" t="n">
        <v>12</v>
      </c>
      <c r="J88" s="18" t="n">
        <v>4</v>
      </c>
      <c r="K88" s="18" t="n">
        <v>13</v>
      </c>
      <c r="L88" s="18" t="n">
        <v>5</v>
      </c>
      <c r="M88" s="18" t="n">
        <v>2</v>
      </c>
      <c r="N88" s="18" t="n">
        <v>3</v>
      </c>
      <c r="O88" s="18" t="n">
        <v>4</v>
      </c>
      <c r="P88" s="18" t="n">
        <v>5</v>
      </c>
      <c r="Q88" s="18" t="n">
        <v>0</v>
      </c>
      <c r="R88" s="18" t="inlineStr"/>
    </row>
    <row r="89" ht="28" customHeight="1">
      <c r="A89" s="18" t="inlineStr">
        <is>
          <t>biomesoplenty:crystalline_chasm</t>
        </is>
      </c>
      <c r="B89" s="18" t="inlineStr">
        <is>
          <t>바이옴</t>
        </is>
      </c>
      <c r="C89" s="18" t="n">
        <v>2</v>
      </c>
      <c r="D89" s="18" t="n">
        <v>2</v>
      </c>
      <c r="E89" s="18" t="n">
        <v>0</v>
      </c>
      <c r="F89" s="18" t="inlineStr">
        <is>
          <t>common:2</t>
        </is>
      </c>
      <c r="G89" s="18" t="inlineStr"/>
      <c r="H89" s="18" t="inlineStr">
        <is>
          <t>9</t>
        </is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2</v>
      </c>
      <c r="R89" s="18" t="inlineStr"/>
    </row>
    <row r="90" ht="28" customHeight="1">
      <c r="A90" s="18" t="inlineStr">
        <is>
          <t>byg:warped_desert</t>
        </is>
      </c>
      <c r="B90" s="18" t="inlineStr">
        <is>
          <t>바이옴</t>
        </is>
      </c>
      <c r="C90" s="18" t="n">
        <v>2</v>
      </c>
      <c r="D90" s="18" t="n">
        <v>2</v>
      </c>
      <c r="E90" s="18" t="n">
        <v>0</v>
      </c>
      <c r="F90" s="18" t="inlineStr">
        <is>
          <t>common:2</t>
        </is>
      </c>
      <c r="G90" s="18" t="inlineStr"/>
      <c r="H90" s="18" t="inlineStr">
        <is>
          <t>2; 8</t>
        </is>
      </c>
      <c r="I90" s="18" t="n">
        <v>0</v>
      </c>
      <c r="J90" s="18" t="n">
        <v>1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1</v>
      </c>
      <c r="Q90" s="18" t="n">
        <v>0</v>
      </c>
      <c r="R90" s="18" t="inlineStr"/>
    </row>
    <row r="91" ht="28" customHeight="1">
      <c r="A91" s="18" t="inlineStr">
        <is>
          <t>cobbleverse:custom_spawn</t>
        </is>
      </c>
      <c r="B91" s="18" t="inlineStr">
        <is>
          <t>바이옴</t>
        </is>
      </c>
      <c r="C91" s="18" t="n">
        <v>12</v>
      </c>
      <c r="D91" s="18" t="n">
        <v>12</v>
      </c>
      <c r="E91" s="18" t="n">
        <v>0</v>
      </c>
      <c r="F91" s="18" t="inlineStr">
        <is>
          <t>ultra-rare:12</t>
        </is>
      </c>
      <c r="G91" s="18" t="inlineStr"/>
      <c r="H91" s="18" t="inlineStr">
        <is>
          <t>4; 8</t>
        </is>
      </c>
      <c r="I91" s="18" t="n">
        <v>0</v>
      </c>
      <c r="J91" s="18" t="n">
        <v>0</v>
      </c>
      <c r="K91" s="18" t="n">
        <v>0</v>
      </c>
      <c r="L91" s="18" t="n">
        <v>11</v>
      </c>
      <c r="M91" s="18" t="n">
        <v>0</v>
      </c>
      <c r="N91" s="18" t="n">
        <v>0</v>
      </c>
      <c r="O91" s="18" t="n">
        <v>0</v>
      </c>
      <c r="P91" s="18" t="n">
        <v>1</v>
      </c>
      <c r="Q91" s="18" t="n">
        <v>0</v>
      </c>
      <c r="R91" s="18" t="inlineStr"/>
    </row>
    <row r="92" ht="28" customHeight="1">
      <c r="A92" s="18" t="inlineStr">
        <is>
          <t>cobbleverse:custom_spawn/articuno_tower</t>
        </is>
      </c>
      <c r="B92" s="18" t="inlineStr">
        <is>
          <t>바이옴</t>
        </is>
      </c>
      <c r="C92" s="18" t="n">
        <v>1</v>
      </c>
      <c r="D92" s="18" t="n">
        <v>1</v>
      </c>
      <c r="E92" s="18" t="n">
        <v>0</v>
      </c>
      <c r="F92" s="18" t="inlineStr">
        <is>
          <t>ultra-rare:1</t>
        </is>
      </c>
      <c r="G92" s="18" t="inlineStr"/>
      <c r="H92" s="18" t="inlineStr">
        <is>
          <t>1</t>
        </is>
      </c>
      <c r="I92" s="18" t="n">
        <v>1</v>
      </c>
      <c r="J92" s="18" t="n">
        <v>0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</v>
      </c>
      <c r="R92" s="18" t="inlineStr"/>
    </row>
    <row r="93" ht="28" customHeight="1">
      <c r="A93" s="18" t="inlineStr">
        <is>
          <t>cobbleverse:custom_spawn/bell_tower</t>
        </is>
      </c>
      <c r="B93" s="18" t="inlineStr">
        <is>
          <t>바이옴</t>
        </is>
      </c>
      <c r="C93" s="18" t="n">
        <v>1</v>
      </c>
      <c r="D93" s="18" t="n">
        <v>1</v>
      </c>
      <c r="E93" s="18" t="n">
        <v>0</v>
      </c>
      <c r="F93" s="18" t="inlineStr">
        <is>
          <t>ultra-rare:1</t>
        </is>
      </c>
      <c r="G93" s="18" t="inlineStr"/>
      <c r="H93" s="18" t="inlineStr">
        <is>
          <t>2</t>
        </is>
      </c>
      <c r="I93" s="18" t="n">
        <v>0</v>
      </c>
      <c r="J93" s="18" t="n">
        <v>1</v>
      </c>
      <c r="K93" s="18" t="n">
        <v>0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  <c r="Q93" s="18" t="n">
        <v>0</v>
      </c>
      <c r="R93" s="18" t="inlineStr"/>
    </row>
    <row r="94" ht="28" customHeight="1">
      <c r="A94" s="18" t="inlineStr">
        <is>
          <t>cobbleverse:custom_spawn/crown_cemetery</t>
        </is>
      </c>
      <c r="B94" s="18" t="inlineStr">
        <is>
          <t>바이옴</t>
        </is>
      </c>
      <c r="C94" s="18" t="n">
        <v>1</v>
      </c>
      <c r="D94" s="18" t="n">
        <v>1</v>
      </c>
      <c r="E94" s="18" t="n">
        <v>0</v>
      </c>
      <c r="F94" s="18" t="inlineStr">
        <is>
          <t>ultra-rare:1</t>
        </is>
      </c>
      <c r="G94" s="18" t="inlineStr"/>
      <c r="H94" s="18" t="inlineStr">
        <is>
          <t>8</t>
        </is>
      </c>
      <c r="I94" s="18" t="n">
        <v>0</v>
      </c>
      <c r="J94" s="18" t="n">
        <v>0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1</v>
      </c>
      <c r="Q94" s="18" t="n">
        <v>0</v>
      </c>
      <c r="R94" s="18" t="inlineStr"/>
    </row>
    <row r="95" ht="28" customHeight="1">
      <c r="A95" s="18" t="inlineStr">
        <is>
          <t>cobbleverse:custom_spawn/crown_spire</t>
        </is>
      </c>
      <c r="B95" s="18" t="inlineStr">
        <is>
          <t>바이옴</t>
        </is>
      </c>
      <c r="C95" s="18" t="n">
        <v>1</v>
      </c>
      <c r="D95" s="18" t="n">
        <v>1</v>
      </c>
      <c r="E95" s="18" t="n">
        <v>0</v>
      </c>
      <c r="F95" s="18" t="inlineStr">
        <is>
          <t>ultra-rare:1</t>
        </is>
      </c>
      <c r="G95" s="18" t="inlineStr"/>
      <c r="H95" s="18" t="inlineStr">
        <is>
          <t>8</t>
        </is>
      </c>
      <c r="I95" s="18" t="n">
        <v>0</v>
      </c>
      <c r="J95" s="18" t="n">
        <v>0</v>
      </c>
      <c r="K95" s="18" t="n">
        <v>0</v>
      </c>
      <c r="L95" s="18" t="n">
        <v>0</v>
      </c>
      <c r="M95" s="18" t="n">
        <v>0</v>
      </c>
      <c r="N95" s="18" t="n">
        <v>0</v>
      </c>
      <c r="O95" s="18" t="n">
        <v>0</v>
      </c>
      <c r="P95" s="18" t="n">
        <v>1</v>
      </c>
      <c r="Q95" s="18" t="n">
        <v>0</v>
      </c>
      <c r="R95" s="18" t="inlineStr"/>
    </row>
    <row r="96" ht="28" customHeight="1">
      <c r="A96" s="18" t="inlineStr">
        <is>
          <t>cobbleverse:custom_spawn/deoxys_meteorite</t>
        </is>
      </c>
      <c r="B96" s="18" t="inlineStr">
        <is>
          <t>바이옴</t>
        </is>
      </c>
      <c r="C96" s="18" t="n">
        <v>1</v>
      </c>
      <c r="D96" s="18" t="n">
        <v>1</v>
      </c>
      <c r="E96" s="18" t="n">
        <v>0</v>
      </c>
      <c r="F96" s="18" t="inlineStr">
        <is>
          <t>ultra-rare:1</t>
        </is>
      </c>
      <c r="G96" s="18" t="inlineStr"/>
      <c r="H96" s="18" t="inlineStr">
        <is>
          <t>3</t>
        </is>
      </c>
      <c r="I96" s="18" t="n">
        <v>0</v>
      </c>
      <c r="J96" s="18" t="n">
        <v>0</v>
      </c>
      <c r="K96" s="18" t="n">
        <v>1</v>
      </c>
      <c r="L96" s="18" t="n">
        <v>0</v>
      </c>
      <c r="M96" s="18" t="n">
        <v>0</v>
      </c>
      <c r="N96" s="18" t="n">
        <v>0</v>
      </c>
      <c r="O96" s="18" t="n">
        <v>0</v>
      </c>
      <c r="P96" s="18" t="n">
        <v>0</v>
      </c>
      <c r="Q96" s="18" t="n">
        <v>0</v>
      </c>
      <c r="R96" s="18" t="inlineStr"/>
    </row>
    <row r="97" ht="28" customHeight="1">
      <c r="A97" s="18" t="inlineStr">
        <is>
          <t>cobbleverse:custom_spawn/eternatus_cocoon</t>
        </is>
      </c>
      <c r="B97" s="18" t="inlineStr">
        <is>
          <t>바이옴</t>
        </is>
      </c>
      <c r="C97" s="18" t="n">
        <v>1</v>
      </c>
      <c r="D97" s="18" t="n">
        <v>1</v>
      </c>
      <c r="E97" s="18" t="n">
        <v>0</v>
      </c>
      <c r="F97" s="18" t="inlineStr">
        <is>
          <t>ultra-rare:1</t>
        </is>
      </c>
      <c r="G97" s="18" t="inlineStr"/>
      <c r="H97" s="18" t="inlineStr">
        <is>
          <t>8</t>
        </is>
      </c>
      <c r="I97" s="18" t="n">
        <v>0</v>
      </c>
      <c r="J97" s="18" t="n">
        <v>0</v>
      </c>
      <c r="K97" s="18" t="n">
        <v>0</v>
      </c>
      <c r="L97" s="18" t="n">
        <v>0</v>
      </c>
      <c r="M97" s="18" t="n">
        <v>0</v>
      </c>
      <c r="N97" s="18" t="n">
        <v>0</v>
      </c>
      <c r="O97" s="18" t="n">
        <v>0</v>
      </c>
      <c r="P97" s="18" t="n">
        <v>1</v>
      </c>
      <c r="Q97" s="18" t="n">
        <v>0</v>
      </c>
      <c r="R97" s="18" t="inlineStr"/>
    </row>
    <row r="98" ht="28" customHeight="1">
      <c r="A98" s="18" t="inlineStr">
        <is>
          <t>cobbleverse:custom_spawn/firescoruge_shrine</t>
        </is>
      </c>
      <c r="B98" s="18" t="inlineStr">
        <is>
          <t>바이옴</t>
        </is>
      </c>
      <c r="C98" s="18" t="n">
        <v>1</v>
      </c>
      <c r="D98" s="18" t="n">
        <v>1</v>
      </c>
      <c r="E98" s="18" t="n">
        <v>0</v>
      </c>
      <c r="F98" s="18" t="inlineStr">
        <is>
          <t>ultra-rare:1</t>
        </is>
      </c>
      <c r="G98" s="18" t="inlineStr"/>
      <c r="H98" s="18" t="inlineStr">
        <is>
          <t>9</t>
        </is>
      </c>
      <c r="I98" s="18" t="n">
        <v>0</v>
      </c>
      <c r="J98" s="18" t="n">
        <v>0</v>
      </c>
      <c r="K98" s="18" t="n">
        <v>0</v>
      </c>
      <c r="L98" s="18" t="n">
        <v>0</v>
      </c>
      <c r="M98" s="18" t="n">
        <v>0</v>
      </c>
      <c r="N98" s="18" t="n">
        <v>0</v>
      </c>
      <c r="O98" s="18" t="n">
        <v>0</v>
      </c>
      <c r="P98" s="18" t="n">
        <v>0</v>
      </c>
      <c r="Q98" s="18" t="n">
        <v>1</v>
      </c>
      <c r="R98" s="18" t="inlineStr"/>
    </row>
    <row r="99" ht="28" customHeight="1">
      <c r="A99" s="18" t="inlineStr">
        <is>
          <t>cobbleverse:custom_spawn/flower_paradise</t>
        </is>
      </c>
      <c r="B99" s="18" t="inlineStr">
        <is>
          <t>바이옴</t>
        </is>
      </c>
      <c r="C99" s="18" t="n">
        <v>1</v>
      </c>
      <c r="D99" s="18" t="n">
        <v>1</v>
      </c>
      <c r="E99" s="18" t="n">
        <v>0</v>
      </c>
      <c r="F99" s="18" t="inlineStr">
        <is>
          <t>ultra-rare:1</t>
        </is>
      </c>
      <c r="G99" s="18" t="inlineStr"/>
      <c r="H99" s="18" t="inlineStr">
        <is>
          <t>4</t>
        </is>
      </c>
      <c r="I99" s="18" t="n">
        <v>0</v>
      </c>
      <c r="J99" s="18" t="n">
        <v>0</v>
      </c>
      <c r="K99" s="18" t="n">
        <v>0</v>
      </c>
      <c r="L99" s="18" t="n">
        <v>1</v>
      </c>
      <c r="M99" s="18" t="n">
        <v>0</v>
      </c>
      <c r="N99" s="18" t="n">
        <v>0</v>
      </c>
      <c r="O99" s="18" t="n">
        <v>0</v>
      </c>
      <c r="P99" s="18" t="n">
        <v>0</v>
      </c>
      <c r="Q99" s="18" t="n">
        <v>0</v>
      </c>
      <c r="R99" s="18" t="inlineStr"/>
    </row>
    <row r="100" ht="28" customHeight="1">
      <c r="A100" s="18" t="inlineStr">
        <is>
          <t>cobbleverse:custom_spawn/grasswither_shrine</t>
        </is>
      </c>
      <c r="B100" s="18" t="inlineStr">
        <is>
          <t>바이옴</t>
        </is>
      </c>
      <c r="C100" s="18" t="n">
        <v>1</v>
      </c>
      <c r="D100" s="18" t="n">
        <v>1</v>
      </c>
      <c r="E100" s="18" t="n">
        <v>0</v>
      </c>
      <c r="F100" s="18" t="inlineStr">
        <is>
          <t>ultra-rare:1</t>
        </is>
      </c>
      <c r="G100" s="18" t="inlineStr"/>
      <c r="H100" s="18" t="inlineStr">
        <is>
          <t>9</t>
        </is>
      </c>
      <c r="I100" s="18" t="n">
        <v>0</v>
      </c>
      <c r="J100" s="18" t="n">
        <v>0</v>
      </c>
      <c r="K100" s="18" t="n">
        <v>0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0</v>
      </c>
      <c r="Q100" s="18" t="n">
        <v>1</v>
      </c>
      <c r="R100" s="18" t="inlineStr"/>
    </row>
    <row r="101" ht="28" customHeight="1">
      <c r="A101" s="18" t="inlineStr">
        <is>
          <t>cobbleverse:custom_spawn/groudon_vulcano</t>
        </is>
      </c>
      <c r="B101" s="18" t="inlineStr">
        <is>
          <t>바이옴</t>
        </is>
      </c>
      <c r="C101" s="18" t="n">
        <v>1</v>
      </c>
      <c r="D101" s="18" t="n">
        <v>1</v>
      </c>
      <c r="E101" s="18" t="n">
        <v>0</v>
      </c>
      <c r="F101" s="18" t="inlineStr">
        <is>
          <t>ultra-rare:1</t>
        </is>
      </c>
      <c r="G101" s="18" t="inlineStr"/>
      <c r="H101" s="18" t="inlineStr">
        <is>
          <t>3</t>
        </is>
      </c>
      <c r="I101" s="18" t="n">
        <v>0</v>
      </c>
      <c r="J101" s="18" t="n">
        <v>0</v>
      </c>
      <c r="K101" s="18" t="n">
        <v>1</v>
      </c>
      <c r="L101" s="18" t="n">
        <v>0</v>
      </c>
      <c r="M101" s="18" t="n">
        <v>0</v>
      </c>
      <c r="N101" s="18" t="n">
        <v>0</v>
      </c>
      <c r="O101" s="18" t="n">
        <v>0</v>
      </c>
      <c r="P101" s="18" t="n">
        <v>0</v>
      </c>
      <c r="Q101" s="18" t="n">
        <v>0</v>
      </c>
      <c r="R101" s="18" t="inlineStr"/>
    </row>
    <row r="102" ht="28" customHeight="1">
      <c r="A102" s="18" t="inlineStr">
        <is>
          <t>cobbleverse:custom_spawn/groundblight_shrine</t>
        </is>
      </c>
      <c r="B102" s="18" t="inlineStr">
        <is>
          <t>바이옴</t>
        </is>
      </c>
      <c r="C102" s="18" t="n">
        <v>1</v>
      </c>
      <c r="D102" s="18" t="n">
        <v>1</v>
      </c>
      <c r="E102" s="18" t="n">
        <v>0</v>
      </c>
      <c r="F102" s="18" t="inlineStr">
        <is>
          <t>ultra-rare:1</t>
        </is>
      </c>
      <c r="G102" s="18" t="inlineStr"/>
      <c r="H102" s="18" t="inlineStr">
        <is>
          <t>9</t>
        </is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  <c r="Q102" s="18" t="n">
        <v>1</v>
      </c>
      <c r="R102" s="18" t="inlineStr"/>
    </row>
    <row r="103" ht="28" customHeight="1">
      <c r="A103" s="18" t="inlineStr">
        <is>
          <t>cobbleverse:custom_spawn/icerend_shrine</t>
        </is>
      </c>
      <c r="B103" s="18" t="inlineStr">
        <is>
          <t>바이옴</t>
        </is>
      </c>
      <c r="C103" s="18" t="n">
        <v>1</v>
      </c>
      <c r="D103" s="18" t="n">
        <v>1</v>
      </c>
      <c r="E103" s="18" t="n">
        <v>0</v>
      </c>
      <c r="F103" s="18" t="inlineStr">
        <is>
          <t>ultra-rare:1</t>
        </is>
      </c>
      <c r="G103" s="18" t="inlineStr"/>
      <c r="H103" s="18" t="inlineStr">
        <is>
          <t>9</t>
        </is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  <c r="Q103" s="18" t="n">
        <v>1</v>
      </c>
      <c r="R103" s="18" t="inlineStr"/>
    </row>
    <row r="104" ht="28" customHeight="1">
      <c r="A104" s="18" t="inlineStr">
        <is>
          <t>cobbleverse:custom_spawn/ilex_shrine</t>
        </is>
      </c>
      <c r="B104" s="18" t="inlineStr">
        <is>
          <t>바이옴</t>
        </is>
      </c>
      <c r="C104" s="18" t="n">
        <v>1</v>
      </c>
      <c r="D104" s="18" t="n">
        <v>1</v>
      </c>
      <c r="E104" s="18" t="n">
        <v>0</v>
      </c>
      <c r="F104" s="18" t="inlineStr">
        <is>
          <t>ultra-rare:1</t>
        </is>
      </c>
      <c r="G104" s="18" t="inlineStr"/>
      <c r="H104" s="18" t="inlineStr">
        <is>
          <t>2</t>
        </is>
      </c>
      <c r="I104" s="18" t="n">
        <v>0</v>
      </c>
      <c r="J104" s="18" t="n">
        <v>1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0</v>
      </c>
      <c r="Q104" s="18" t="n">
        <v>0</v>
      </c>
      <c r="R104" s="18" t="inlineStr"/>
    </row>
    <row r="105" ht="28" customHeight="1">
      <c r="A105" s="18" t="inlineStr">
        <is>
          <t>cobbleverse:custom_spawn/jirachi_structure</t>
        </is>
      </c>
      <c r="B105" s="18" t="inlineStr">
        <is>
          <t>바이옴</t>
        </is>
      </c>
      <c r="C105" s="18" t="n">
        <v>1</v>
      </c>
      <c r="D105" s="18" t="n">
        <v>1</v>
      </c>
      <c r="E105" s="18" t="n">
        <v>0</v>
      </c>
      <c r="F105" s="18" t="inlineStr">
        <is>
          <t>ultra-rare:1</t>
        </is>
      </c>
      <c r="G105" s="18" t="inlineStr"/>
      <c r="H105" s="18" t="inlineStr">
        <is>
          <t>3</t>
        </is>
      </c>
      <c r="I105" s="18" t="n">
        <v>0</v>
      </c>
      <c r="J105" s="18" t="n">
        <v>0</v>
      </c>
      <c r="K105" s="18" t="n">
        <v>1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0</v>
      </c>
      <c r="Q105" s="18" t="n">
        <v>0</v>
      </c>
      <c r="R105" s="18" t="inlineStr"/>
    </row>
    <row r="106" ht="28" customHeight="1">
      <c r="A106" s="18" t="inlineStr">
        <is>
          <t>cobbleverse:custom_spawn/kyogre_temple</t>
        </is>
      </c>
      <c r="B106" s="18" t="inlineStr">
        <is>
          <t>바이옴</t>
        </is>
      </c>
      <c r="C106" s="18" t="n">
        <v>1</v>
      </c>
      <c r="D106" s="18" t="n">
        <v>1</v>
      </c>
      <c r="E106" s="18" t="n">
        <v>0</v>
      </c>
      <c r="F106" s="18" t="inlineStr">
        <is>
          <t>ultra-rare:1</t>
        </is>
      </c>
      <c r="G106" s="18" t="inlineStr"/>
      <c r="H106" s="18" t="inlineStr">
        <is>
          <t>3</t>
        </is>
      </c>
      <c r="I106" s="18" t="n">
        <v>0</v>
      </c>
      <c r="J106" s="18" t="n">
        <v>0</v>
      </c>
      <c r="K106" s="18" t="n">
        <v>1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  <c r="Q106" s="18" t="n">
        <v>0</v>
      </c>
      <c r="R106" s="18" t="inlineStr"/>
    </row>
    <row r="107" ht="28" customHeight="1">
      <c r="A107" s="18" t="inlineStr">
        <is>
          <t>cobbleverse:custom_spawn/moltres_tower</t>
        </is>
      </c>
      <c r="B107" s="18" t="inlineStr">
        <is>
          <t>바이옴</t>
        </is>
      </c>
      <c r="C107" s="18" t="n">
        <v>1</v>
      </c>
      <c r="D107" s="18" t="n">
        <v>1</v>
      </c>
      <c r="E107" s="18" t="n">
        <v>0</v>
      </c>
      <c r="F107" s="18" t="inlineStr">
        <is>
          <t>ultra-rare:1</t>
        </is>
      </c>
      <c r="G107" s="18" t="inlineStr"/>
      <c r="H107" s="18" t="inlineStr">
        <is>
          <t>1</t>
        </is>
      </c>
      <c r="I107" s="18" t="n">
        <v>1</v>
      </c>
      <c r="J107" s="18" t="n">
        <v>0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0</v>
      </c>
      <c r="Q107" s="18" t="n">
        <v>0</v>
      </c>
      <c r="R107" s="18" t="inlineStr"/>
    </row>
    <row r="108" ht="28" customHeight="1">
      <c r="A108" s="18" t="inlineStr">
        <is>
          <t>cobbleverse:custom_spawn/newmoon_island</t>
        </is>
      </c>
      <c r="B108" s="18" t="inlineStr">
        <is>
          <t>바이옴</t>
        </is>
      </c>
      <c r="C108" s="18" t="n">
        <v>1</v>
      </c>
      <c r="D108" s="18" t="n">
        <v>1</v>
      </c>
      <c r="E108" s="18" t="n">
        <v>0</v>
      </c>
      <c r="F108" s="18" t="inlineStr">
        <is>
          <t>ultra-rare:1</t>
        </is>
      </c>
      <c r="G108" s="18" t="inlineStr"/>
      <c r="H108" s="18" t="inlineStr">
        <is>
          <t>4</t>
        </is>
      </c>
      <c r="I108" s="18" t="n">
        <v>0</v>
      </c>
      <c r="J108" s="18" t="n">
        <v>0</v>
      </c>
      <c r="K108" s="18" t="n">
        <v>0</v>
      </c>
      <c r="L108" s="18" t="n">
        <v>1</v>
      </c>
      <c r="M108" s="18" t="n">
        <v>0</v>
      </c>
      <c r="N108" s="18" t="n">
        <v>0</v>
      </c>
      <c r="O108" s="18" t="n">
        <v>0</v>
      </c>
      <c r="P108" s="18" t="n">
        <v>0</v>
      </c>
      <c r="Q108" s="18" t="n">
        <v>0</v>
      </c>
      <c r="R108" s="18" t="inlineStr"/>
    </row>
    <row r="109" ht="28" customHeight="1">
      <c r="A109" s="18" t="inlineStr">
        <is>
          <t>cobbleverse:custom_spawn/origin_temple</t>
        </is>
      </c>
      <c r="B109" s="18" t="inlineStr">
        <is>
          <t>바이옴</t>
        </is>
      </c>
      <c r="C109" s="18" t="n">
        <v>1</v>
      </c>
      <c r="D109" s="18" t="n">
        <v>1</v>
      </c>
      <c r="E109" s="18" t="n">
        <v>0</v>
      </c>
      <c r="F109" s="18" t="inlineStr">
        <is>
          <t>ultra-rare:1</t>
        </is>
      </c>
      <c r="G109" s="18" t="inlineStr"/>
      <c r="H109" s="18" t="inlineStr">
        <is>
          <t>1</t>
        </is>
      </c>
      <c r="I109" s="18" t="n">
        <v>1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0</v>
      </c>
      <c r="R109" s="18" t="inlineStr"/>
    </row>
    <row r="110" ht="28" customHeight="1">
      <c r="A110" s="18" t="inlineStr">
        <is>
          <t>cobbleverse:custom_spawn/regice_temple</t>
        </is>
      </c>
      <c r="B110" s="18" t="inlineStr">
        <is>
          <t>바이옴</t>
        </is>
      </c>
      <c r="C110" s="18" t="n">
        <v>1</v>
      </c>
      <c r="D110" s="18" t="n">
        <v>1</v>
      </c>
      <c r="E110" s="18" t="n">
        <v>0</v>
      </c>
      <c r="F110" s="18" t="inlineStr">
        <is>
          <t>ultra-rare:1</t>
        </is>
      </c>
      <c r="G110" s="18" t="inlineStr"/>
      <c r="H110" s="18" t="inlineStr">
        <is>
          <t>3</t>
        </is>
      </c>
      <c r="I110" s="18" t="n">
        <v>0</v>
      </c>
      <c r="J110" s="18" t="n">
        <v>0</v>
      </c>
      <c r="K110" s="18" t="n">
        <v>1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0</v>
      </c>
      <c r="R110" s="18" t="inlineStr"/>
    </row>
    <row r="111" ht="28" customHeight="1">
      <c r="A111" s="18" t="inlineStr">
        <is>
          <t>cobbleverse:custom_spawn/regirock_temple</t>
        </is>
      </c>
      <c r="B111" s="18" t="inlineStr">
        <is>
          <t>바이옴</t>
        </is>
      </c>
      <c r="C111" s="18" t="n">
        <v>1</v>
      </c>
      <c r="D111" s="18" t="n">
        <v>1</v>
      </c>
      <c r="E111" s="18" t="n">
        <v>0</v>
      </c>
      <c r="F111" s="18" t="inlineStr">
        <is>
          <t>ultra-rare:1</t>
        </is>
      </c>
      <c r="G111" s="18" t="inlineStr"/>
      <c r="H111" s="18" t="inlineStr">
        <is>
          <t>3</t>
        </is>
      </c>
      <c r="I111" s="18" t="n">
        <v>0</v>
      </c>
      <c r="J111" s="18" t="n">
        <v>0</v>
      </c>
      <c r="K111" s="18" t="n">
        <v>1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  <c r="Q111" s="18" t="n">
        <v>0</v>
      </c>
      <c r="R111" s="18" t="inlineStr"/>
    </row>
    <row r="112" ht="28" customHeight="1">
      <c r="A112" s="18" t="inlineStr">
        <is>
          <t>cobbleverse:custom_spawn/registeel_temple</t>
        </is>
      </c>
      <c r="B112" s="18" t="inlineStr">
        <is>
          <t>바이옴</t>
        </is>
      </c>
      <c r="C112" s="18" t="n">
        <v>1</v>
      </c>
      <c r="D112" s="18" t="n">
        <v>1</v>
      </c>
      <c r="E112" s="18" t="n">
        <v>0</v>
      </c>
      <c r="F112" s="18" t="inlineStr">
        <is>
          <t>ultra-rare:1</t>
        </is>
      </c>
      <c r="G112" s="18" t="inlineStr"/>
      <c r="H112" s="18" t="inlineStr">
        <is>
          <t>3</t>
        </is>
      </c>
      <c r="I112" s="18" t="n">
        <v>0</v>
      </c>
      <c r="J112" s="18" t="n">
        <v>0</v>
      </c>
      <c r="K112" s="18" t="n">
        <v>1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0</v>
      </c>
      <c r="Q112" s="18" t="n">
        <v>0</v>
      </c>
      <c r="R112" s="18" t="inlineStr"/>
    </row>
    <row r="113" ht="28" customHeight="1">
      <c r="A113" s="18" t="inlineStr">
        <is>
          <t>cobbleverse:custom_spawn/secret_garden</t>
        </is>
      </c>
      <c r="B113" s="18" t="inlineStr">
        <is>
          <t>바이옴</t>
        </is>
      </c>
      <c r="C113" s="18" t="n">
        <v>2</v>
      </c>
      <c r="D113" s="18" t="n">
        <v>2</v>
      </c>
      <c r="E113" s="18" t="n">
        <v>0</v>
      </c>
      <c r="F113" s="18" t="inlineStr">
        <is>
          <t>ultra-rare:2</t>
        </is>
      </c>
      <c r="G113" s="18" t="inlineStr"/>
      <c r="H113" s="18" t="inlineStr">
        <is>
          <t>3</t>
        </is>
      </c>
      <c r="I113" s="18" t="n">
        <v>0</v>
      </c>
      <c r="J113" s="18" t="n">
        <v>0</v>
      </c>
      <c r="K113" s="18" t="n">
        <v>2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  <c r="Q113" s="18" t="n">
        <v>0</v>
      </c>
      <c r="R113" s="18" t="inlineStr"/>
    </row>
    <row r="114" ht="28" customHeight="1">
      <c r="A114" s="18" t="inlineStr">
        <is>
          <t>cobbleverse:custom_spawn/sinnoh_temple</t>
        </is>
      </c>
      <c r="B114" s="18" t="inlineStr">
        <is>
          <t>바이옴</t>
        </is>
      </c>
      <c r="C114" s="18" t="n">
        <v>1</v>
      </c>
      <c r="D114" s="18" t="n">
        <v>1</v>
      </c>
      <c r="E114" s="18" t="n">
        <v>0</v>
      </c>
      <c r="F114" s="18" t="inlineStr">
        <is>
          <t>ultra-rare:1</t>
        </is>
      </c>
      <c r="G114" s="18" t="inlineStr"/>
      <c r="H114" s="18" t="inlineStr">
        <is>
          <t>4</t>
        </is>
      </c>
      <c r="I114" s="18" t="n">
        <v>0</v>
      </c>
      <c r="J114" s="18" t="n">
        <v>0</v>
      </c>
      <c r="K114" s="18" t="n">
        <v>0</v>
      </c>
      <c r="L114" s="18" t="n">
        <v>1</v>
      </c>
      <c r="M114" s="18" t="n">
        <v>0</v>
      </c>
      <c r="N114" s="18" t="n">
        <v>0</v>
      </c>
      <c r="O114" s="18" t="n">
        <v>0</v>
      </c>
      <c r="P114" s="18" t="n">
        <v>0</v>
      </c>
      <c r="Q114" s="18" t="n">
        <v>0</v>
      </c>
      <c r="R114" s="18" t="inlineStr"/>
    </row>
    <row r="115" ht="28" customHeight="1">
      <c r="A115" s="18" t="inlineStr">
        <is>
          <t>cobbleverse:custom_spawn/sky_pillar</t>
        </is>
      </c>
      <c r="B115" s="18" t="inlineStr">
        <is>
          <t>바이옴</t>
        </is>
      </c>
      <c r="C115" s="18" t="n">
        <v>1</v>
      </c>
      <c r="D115" s="18" t="n">
        <v>1</v>
      </c>
      <c r="E115" s="18" t="n">
        <v>0</v>
      </c>
      <c r="F115" s="18" t="inlineStr">
        <is>
          <t>ultra-rare:1</t>
        </is>
      </c>
      <c r="G115" s="18" t="inlineStr"/>
      <c r="H115" s="18" t="inlineStr">
        <is>
          <t>3</t>
        </is>
      </c>
      <c r="I115" s="18" t="n">
        <v>0</v>
      </c>
      <c r="J115" s="18" t="n">
        <v>0</v>
      </c>
      <c r="K115" s="18" t="n">
        <v>1</v>
      </c>
      <c r="L115" s="18" t="n">
        <v>0</v>
      </c>
      <c r="M115" s="18" t="n">
        <v>0</v>
      </c>
      <c r="N115" s="18" t="n">
        <v>0</v>
      </c>
      <c r="O115" s="18" t="n">
        <v>0</v>
      </c>
      <c r="P115" s="18" t="n">
        <v>0</v>
      </c>
      <c r="Q115" s="18" t="n">
        <v>0</v>
      </c>
      <c r="R115" s="18" t="inlineStr"/>
    </row>
    <row r="116" ht="28" customHeight="1">
      <c r="A116" s="18" t="inlineStr">
        <is>
          <t>cobbleverse:custom_spawn/split_decision_temple</t>
        </is>
      </c>
      <c r="B116" s="18" t="inlineStr">
        <is>
          <t>바이옴</t>
        </is>
      </c>
      <c r="C116" s="18" t="n">
        <v>2</v>
      </c>
      <c r="D116" s="18" t="n">
        <v>2</v>
      </c>
      <c r="E116" s="18" t="n">
        <v>0</v>
      </c>
      <c r="F116" s="18" t="inlineStr">
        <is>
          <t>ultra-rare:2</t>
        </is>
      </c>
      <c r="G116" s="18" t="inlineStr"/>
      <c r="H116" s="18" t="inlineStr">
        <is>
          <t>8</t>
        </is>
      </c>
      <c r="I116" s="18" t="n">
        <v>0</v>
      </c>
      <c r="J116" s="18" t="n">
        <v>0</v>
      </c>
      <c r="K116" s="18" t="n">
        <v>0</v>
      </c>
      <c r="L116" s="18" t="n">
        <v>0</v>
      </c>
      <c r="M116" s="18" t="n">
        <v>0</v>
      </c>
      <c r="N116" s="18" t="n">
        <v>0</v>
      </c>
      <c r="O116" s="18" t="n">
        <v>0</v>
      </c>
      <c r="P116" s="18" t="n">
        <v>2</v>
      </c>
      <c r="Q116" s="18" t="n">
        <v>0</v>
      </c>
      <c r="R116" s="18" t="inlineStr"/>
    </row>
    <row r="117" ht="28" customHeight="1">
      <c r="A117" s="18" t="inlineStr">
        <is>
          <t>cobbleverse:custom_spawn/team_rocket_radio</t>
        </is>
      </c>
      <c r="B117" s="18" t="inlineStr">
        <is>
          <t>바이옴</t>
        </is>
      </c>
      <c r="C117" s="18" t="n">
        <v>1</v>
      </c>
      <c r="D117" s="18" t="n">
        <v>1</v>
      </c>
      <c r="E117" s="18" t="n">
        <v>0</v>
      </c>
      <c r="F117" s="18" t="inlineStr">
        <is>
          <t>ultra-rare:1</t>
        </is>
      </c>
      <c r="G117" s="18" t="inlineStr"/>
      <c r="H117" s="18" t="inlineStr">
        <is>
          <t>1</t>
        </is>
      </c>
      <c r="I117" s="18" t="n">
        <v>1</v>
      </c>
      <c r="J117" s="18" t="n">
        <v>0</v>
      </c>
      <c r="K117" s="18" t="n">
        <v>0</v>
      </c>
      <c r="L117" s="18" t="n">
        <v>0</v>
      </c>
      <c r="M117" s="18" t="n">
        <v>0</v>
      </c>
      <c r="N117" s="18" t="n">
        <v>0</v>
      </c>
      <c r="O117" s="18" t="n">
        <v>0</v>
      </c>
      <c r="P117" s="18" t="n">
        <v>0</v>
      </c>
      <c r="Q117" s="18" t="n">
        <v>0</v>
      </c>
      <c r="R117" s="18" t="inlineStr"/>
    </row>
    <row r="118" ht="28" customHeight="1">
      <c r="A118" s="18" t="inlineStr">
        <is>
          <t>cobbleverse:custom_spawn/whirl_island</t>
        </is>
      </c>
      <c r="B118" s="18" t="inlineStr">
        <is>
          <t>바이옴</t>
        </is>
      </c>
      <c r="C118" s="18" t="n">
        <v>1</v>
      </c>
      <c r="D118" s="18" t="n">
        <v>1</v>
      </c>
      <c r="E118" s="18" t="n">
        <v>0</v>
      </c>
      <c r="F118" s="18" t="inlineStr">
        <is>
          <t>ultra-rare:1</t>
        </is>
      </c>
      <c r="G118" s="18" t="inlineStr"/>
      <c r="H118" s="18" t="inlineStr">
        <is>
          <t>2</t>
        </is>
      </c>
      <c r="I118" s="18" t="n">
        <v>0</v>
      </c>
      <c r="J118" s="18" t="n">
        <v>1</v>
      </c>
      <c r="K118" s="18" t="n">
        <v>0</v>
      </c>
      <c r="L118" s="18" t="n">
        <v>0</v>
      </c>
      <c r="M118" s="18" t="n">
        <v>0</v>
      </c>
      <c r="N118" s="18" t="n">
        <v>0</v>
      </c>
      <c r="O118" s="18" t="n">
        <v>0</v>
      </c>
      <c r="P118" s="18" t="n">
        <v>0</v>
      </c>
      <c r="Q118" s="18" t="n">
        <v>0</v>
      </c>
      <c r="R118" s="18" t="inlineStr"/>
    </row>
    <row r="119" ht="28" customHeight="1">
      <c r="A119" s="18" t="inlineStr">
        <is>
          <t>cobbleverse:custom_spawn/zapdos_tower</t>
        </is>
      </c>
      <c r="B119" s="18" t="inlineStr">
        <is>
          <t>바이옴</t>
        </is>
      </c>
      <c r="C119" s="18" t="n">
        <v>1</v>
      </c>
      <c r="D119" s="18" t="n">
        <v>1</v>
      </c>
      <c r="E119" s="18" t="n">
        <v>0</v>
      </c>
      <c r="F119" s="18" t="inlineStr">
        <is>
          <t>ultra-rare:1</t>
        </is>
      </c>
      <c r="G119" s="18" t="inlineStr"/>
      <c r="H119" s="18" t="inlineStr">
        <is>
          <t>1</t>
        </is>
      </c>
      <c r="I119" s="18" t="n">
        <v>1</v>
      </c>
      <c r="J119" s="18" t="n">
        <v>0</v>
      </c>
      <c r="K119" s="18" t="n">
        <v>0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0</v>
      </c>
      <c r="Q119" s="18" t="n">
        <v>0</v>
      </c>
      <c r="R119" s="18" t="inlineStr"/>
    </row>
    <row r="120" ht="28" customHeight="1">
      <c r="A120" s="18" t="inlineStr">
        <is>
          <t>cobbleverse:not_spawn</t>
        </is>
      </c>
      <c r="B120" s="18" t="inlineStr">
        <is>
          <t>바이옴</t>
        </is>
      </c>
      <c r="C120" s="18" t="n">
        <v>1</v>
      </c>
      <c r="D120" s="18" t="n">
        <v>1</v>
      </c>
      <c r="E120" s="18" t="n">
        <v>0</v>
      </c>
      <c r="F120" s="18" t="inlineStr">
        <is>
          <t>uncommon:1</t>
        </is>
      </c>
      <c r="G120" s="18" t="inlineStr"/>
      <c r="H120" s="18" t="inlineStr">
        <is>
          <t>1</t>
        </is>
      </c>
      <c r="I120" s="18" t="n">
        <v>1</v>
      </c>
      <c r="J120" s="18" t="n">
        <v>0</v>
      </c>
      <c r="K120" s="18" t="n">
        <v>0</v>
      </c>
      <c r="L120" s="18" t="n">
        <v>0</v>
      </c>
      <c r="M120" s="18" t="n">
        <v>0</v>
      </c>
      <c r="N120" s="18" t="n">
        <v>0</v>
      </c>
      <c r="O120" s="18" t="n">
        <v>0</v>
      </c>
      <c r="P120" s="18" t="n">
        <v>0</v>
      </c>
      <c r="Q120" s="18" t="n">
        <v>0</v>
      </c>
      <c r="R120" s="18" t="inlineStr"/>
    </row>
    <row r="121" ht="28" customHeight="1">
      <c r="A121" s="18" t="inlineStr">
        <is>
          <t>is_warm_ocean</t>
        </is>
      </c>
      <c r="B121" s="18" t="inlineStr">
        <is>
          <t>바이옴</t>
        </is>
      </c>
      <c r="C121" s="18" t="n">
        <v>1</v>
      </c>
      <c r="D121" s="18" t="n">
        <v>1</v>
      </c>
      <c r="E121" s="18" t="n">
        <v>0</v>
      </c>
      <c r="F121" s="18" t="inlineStr">
        <is>
          <t>common:1</t>
        </is>
      </c>
      <c r="G121" s="18" t="inlineStr"/>
      <c r="H121" s="18" t="inlineStr">
        <is>
          <t>2</t>
        </is>
      </c>
      <c r="I121" s="18" t="n">
        <v>0</v>
      </c>
      <c r="J121" s="18" t="n">
        <v>1</v>
      </c>
      <c r="K121" s="18" t="n">
        <v>0</v>
      </c>
      <c r="L121" s="18" t="n">
        <v>0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0</v>
      </c>
      <c r="R121" s="18" t="inlineStr"/>
    </row>
    <row r="122" ht="28" customHeight="1">
      <c r="A122" s="18" t="inlineStr">
        <is>
          <t>minecraft:bamboo_jungle</t>
        </is>
      </c>
      <c r="B122" s="18" t="inlineStr">
        <is>
          <t>바이옴</t>
        </is>
      </c>
      <c r="C122" s="18" t="n">
        <v>3</v>
      </c>
      <c r="D122" s="18" t="n">
        <v>3</v>
      </c>
      <c r="E122" s="18" t="n">
        <v>0</v>
      </c>
      <c r="F122" s="18" t="inlineStr">
        <is>
          <t>rare:1; ultra-rare:1; uncommon:1</t>
        </is>
      </c>
      <c r="G122" s="18" t="inlineStr"/>
      <c r="H122" s="18" t="inlineStr">
        <is>
          <t>5; 9</t>
        </is>
      </c>
      <c r="I122" s="18" t="n">
        <v>0</v>
      </c>
      <c r="J122" s="18" t="n">
        <v>0</v>
      </c>
      <c r="K122" s="18" t="n">
        <v>0</v>
      </c>
      <c r="L122" s="18" t="n">
        <v>0</v>
      </c>
      <c r="M122" s="18" t="n">
        <v>2</v>
      </c>
      <c r="N122" s="18" t="n">
        <v>0</v>
      </c>
      <c r="O122" s="18" t="n">
        <v>0</v>
      </c>
      <c r="P122" s="18" t="n">
        <v>0</v>
      </c>
      <c r="Q122" s="18" t="n">
        <v>1</v>
      </c>
      <c r="R122" s="18" t="inlineStr"/>
    </row>
    <row r="123" ht="28" customHeight="1">
      <c r="A123" s="18" t="inlineStr">
        <is>
          <t>minecraft:basalt_deltas</t>
        </is>
      </c>
      <c r="B123" s="18" t="inlineStr">
        <is>
          <t>바이옴</t>
        </is>
      </c>
      <c r="C123" s="18" t="n">
        <v>1</v>
      </c>
      <c r="D123" s="18" t="n">
        <v>1</v>
      </c>
      <c r="E123" s="18" t="n">
        <v>0</v>
      </c>
      <c r="F123" s="18" t="inlineStr">
        <is>
          <t>ultra-rare:1</t>
        </is>
      </c>
      <c r="G123" s="18" t="inlineStr"/>
      <c r="H123" s="18" t="inlineStr">
        <is>
          <t>9</t>
        </is>
      </c>
      <c r="I123" s="18" t="n">
        <v>0</v>
      </c>
      <c r="J123" s="18" t="n">
        <v>0</v>
      </c>
      <c r="K123" s="18" t="n">
        <v>0</v>
      </c>
      <c r="L123" s="18" t="n">
        <v>0</v>
      </c>
      <c r="M123" s="18" t="n">
        <v>0</v>
      </c>
      <c r="N123" s="18" t="n">
        <v>0</v>
      </c>
      <c r="O123" s="18" t="n">
        <v>0</v>
      </c>
      <c r="P123" s="18" t="n">
        <v>0</v>
      </c>
      <c r="Q123" s="18" t="n">
        <v>1</v>
      </c>
      <c r="R123" s="18" t="inlineStr"/>
    </row>
    <row r="124" ht="28" customHeight="1">
      <c r="A124" s="18" t="inlineStr">
        <is>
          <t>minecraft:beach</t>
        </is>
      </c>
      <c r="B124" s="18" t="inlineStr">
        <is>
          <t>바이옴</t>
        </is>
      </c>
      <c r="C124" s="18" t="n">
        <v>3</v>
      </c>
      <c r="D124" s="18" t="n">
        <v>3</v>
      </c>
      <c r="E124" s="18" t="n">
        <v>0</v>
      </c>
      <c r="F124" s="18" t="inlineStr">
        <is>
          <t>ultra-rare:3</t>
        </is>
      </c>
      <c r="G124" s="18" t="inlineStr"/>
      <c r="H124" s="18" t="inlineStr">
        <is>
          <t>7; 9</t>
        </is>
      </c>
      <c r="I124" s="18" t="n">
        <v>0</v>
      </c>
      <c r="J124" s="18" t="n">
        <v>0</v>
      </c>
      <c r="K124" s="18" t="n">
        <v>0</v>
      </c>
      <c r="L124" s="18" t="n">
        <v>0</v>
      </c>
      <c r="M124" s="18" t="n">
        <v>0</v>
      </c>
      <c r="N124" s="18" t="n">
        <v>0</v>
      </c>
      <c r="O124" s="18" t="n">
        <v>1</v>
      </c>
      <c r="P124" s="18" t="n">
        <v>0</v>
      </c>
      <c r="Q124" s="18" t="n">
        <v>2</v>
      </c>
      <c r="R124" s="18" t="inlineStr"/>
    </row>
    <row r="125" ht="28" customHeight="1">
      <c r="A125" s="18" t="inlineStr">
        <is>
          <t>minecraft:cherry_grove</t>
        </is>
      </c>
      <c r="B125" s="18" t="inlineStr">
        <is>
          <t>바이옴</t>
        </is>
      </c>
      <c r="C125" s="18" t="n">
        <v>8</v>
      </c>
      <c r="D125" s="18" t="n">
        <v>8</v>
      </c>
      <c r="E125" s="18" t="n">
        <v>0</v>
      </c>
      <c r="F125" s="18" t="inlineStr">
        <is>
          <t>common:2; rare:2; ultra-rare:3; uncommon:1</t>
        </is>
      </c>
      <c r="G125" s="18" t="inlineStr"/>
      <c r="H125" s="18" t="inlineStr">
        <is>
          <t>1; 3; 6; 7; 8</t>
        </is>
      </c>
      <c r="I125" s="18" t="n">
        <v>1</v>
      </c>
      <c r="J125" s="18" t="n">
        <v>0</v>
      </c>
      <c r="K125" s="18" t="n">
        <v>2</v>
      </c>
      <c r="L125" s="18" t="n">
        <v>0</v>
      </c>
      <c r="M125" s="18" t="n">
        <v>0</v>
      </c>
      <c r="N125" s="18" t="n">
        <v>2</v>
      </c>
      <c r="O125" s="18" t="n">
        <v>1</v>
      </c>
      <c r="P125" s="18" t="n">
        <v>2</v>
      </c>
      <c r="Q125" s="18" t="n">
        <v>0</v>
      </c>
      <c r="R125" s="18" t="inlineStr"/>
    </row>
    <row r="126" ht="28" customHeight="1">
      <c r="A126" s="18" t="inlineStr">
        <is>
          <t>minecraft:cold_ocean</t>
        </is>
      </c>
      <c r="B126" s="18" t="inlineStr">
        <is>
          <t>바이옴</t>
        </is>
      </c>
      <c r="C126" s="18" t="n">
        <v>1</v>
      </c>
      <c r="D126" s="18" t="n">
        <v>1</v>
      </c>
      <c r="E126" s="18" t="n">
        <v>0</v>
      </c>
      <c r="F126" s="18" t="inlineStr">
        <is>
          <t>common:1</t>
        </is>
      </c>
      <c r="G126" s="18" t="inlineStr"/>
      <c r="H126" s="18" t="inlineStr">
        <is>
          <t>1</t>
        </is>
      </c>
      <c r="I126" s="18" t="n">
        <v>1</v>
      </c>
      <c r="J126" s="18" t="n">
        <v>0</v>
      </c>
      <c r="K126" s="18" t="n">
        <v>0</v>
      </c>
      <c r="L126" s="18" t="n">
        <v>0</v>
      </c>
      <c r="M126" s="18" t="n">
        <v>0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inlineStr"/>
    </row>
    <row r="127" ht="28" customHeight="1">
      <c r="A127" s="18" t="inlineStr">
        <is>
          <t>minecraft:crimson_forest</t>
        </is>
      </c>
      <c r="B127" s="18" t="inlineStr">
        <is>
          <t>바이옴</t>
        </is>
      </c>
      <c r="C127" s="18" t="n">
        <v>5</v>
      </c>
      <c r="D127" s="18" t="n">
        <v>5</v>
      </c>
      <c r="E127" s="18" t="n">
        <v>0</v>
      </c>
      <c r="F127" s="18" t="inlineStr">
        <is>
          <t>rare:1; ultra-rare:4</t>
        </is>
      </c>
      <c r="G127" s="18" t="inlineStr"/>
      <c r="H127" s="18" t="inlineStr">
        <is>
          <t>5; 7; 9</t>
        </is>
      </c>
      <c r="I127" s="18" t="n">
        <v>0</v>
      </c>
      <c r="J127" s="18" t="n">
        <v>0</v>
      </c>
      <c r="K127" s="18" t="n">
        <v>0</v>
      </c>
      <c r="L127" s="18" t="n">
        <v>0</v>
      </c>
      <c r="M127" s="18" t="n">
        <v>1</v>
      </c>
      <c r="N127" s="18" t="n">
        <v>0</v>
      </c>
      <c r="O127" s="18" t="n">
        <v>3</v>
      </c>
      <c r="P127" s="18" t="n">
        <v>0</v>
      </c>
      <c r="Q127" s="18" t="n">
        <v>1</v>
      </c>
      <c r="R127" s="18" t="inlineStr"/>
    </row>
    <row r="128" ht="28" customHeight="1">
      <c r="A128" s="18" t="inlineStr">
        <is>
          <t>minecraft:dark_forest</t>
        </is>
      </c>
      <c r="B128" s="18" t="inlineStr">
        <is>
          <t>바이옴</t>
        </is>
      </c>
      <c r="C128" s="18" t="n">
        <v>5</v>
      </c>
      <c r="D128" s="18" t="n">
        <v>5</v>
      </c>
      <c r="E128" s="18" t="n">
        <v>0</v>
      </c>
      <c r="F128" s="18" t="inlineStr">
        <is>
          <t>rare:2; ultra-rare:3</t>
        </is>
      </c>
      <c r="G128" s="18" t="inlineStr"/>
      <c r="H128" s="18" t="inlineStr">
        <is>
          <t>8; 9</t>
        </is>
      </c>
      <c r="I128" s="18" t="n">
        <v>0</v>
      </c>
      <c r="J128" s="18" t="n">
        <v>0</v>
      </c>
      <c r="K128" s="18" t="n">
        <v>0</v>
      </c>
      <c r="L128" s="18" t="n">
        <v>0</v>
      </c>
      <c r="M128" s="18" t="n">
        <v>0</v>
      </c>
      <c r="N128" s="18" t="n">
        <v>0</v>
      </c>
      <c r="O128" s="18" t="n">
        <v>0</v>
      </c>
      <c r="P128" s="18" t="n">
        <v>2</v>
      </c>
      <c r="Q128" s="18" t="n">
        <v>3</v>
      </c>
      <c r="R128" s="18" t="inlineStr"/>
    </row>
    <row r="129" ht="28" customHeight="1">
      <c r="A129" s="18" t="inlineStr">
        <is>
          <t>minecraft:deep_dark</t>
        </is>
      </c>
      <c r="B129" s="18" t="inlineStr">
        <is>
          <t>바이옴</t>
        </is>
      </c>
      <c r="C129" s="18" t="n">
        <v>4</v>
      </c>
      <c r="D129" s="18" t="n">
        <v>4</v>
      </c>
      <c r="E129" s="18" t="n">
        <v>0</v>
      </c>
      <c r="F129" s="18" t="inlineStr">
        <is>
          <t>common:2; rare:1; ultra-rare:1</t>
        </is>
      </c>
      <c r="G129" s="18" t="inlineStr"/>
      <c r="H129" s="18" t="inlineStr">
        <is>
          <t>1; 7; 9</t>
        </is>
      </c>
      <c r="I129" s="18" t="n">
        <v>2</v>
      </c>
      <c r="J129" s="18" t="n">
        <v>0</v>
      </c>
      <c r="K129" s="18" t="n">
        <v>0</v>
      </c>
      <c r="L129" s="18" t="n">
        <v>0</v>
      </c>
      <c r="M129" s="18" t="n">
        <v>0</v>
      </c>
      <c r="N129" s="18" t="n">
        <v>0</v>
      </c>
      <c r="O129" s="18" t="n">
        <v>1</v>
      </c>
      <c r="P129" s="18" t="n">
        <v>0</v>
      </c>
      <c r="Q129" s="18" t="n">
        <v>1</v>
      </c>
      <c r="R129" s="18" t="inlineStr"/>
    </row>
    <row r="130" ht="28" customHeight="1">
      <c r="A130" s="18" t="inlineStr">
        <is>
          <t>minecraft:desert</t>
        </is>
      </c>
      <c r="B130" s="18" t="inlineStr">
        <is>
          <t>바이옴</t>
        </is>
      </c>
      <c r="C130" s="18" t="n">
        <v>1</v>
      </c>
      <c r="D130" s="18" t="n">
        <v>1</v>
      </c>
      <c r="E130" s="18" t="n">
        <v>0</v>
      </c>
      <c r="F130" s="18" t="inlineStr">
        <is>
          <t>rare:1</t>
        </is>
      </c>
      <c r="G130" s="18" t="inlineStr">
        <is>
          <t>region_02</t>
        </is>
      </c>
      <c r="H130" s="18" t="inlineStr">
        <is>
          <t>9</t>
        </is>
      </c>
      <c r="I130" s="18" t="n">
        <v>0</v>
      </c>
      <c r="J130" s="18" t="n">
        <v>0</v>
      </c>
      <c r="K130" s="18" t="n">
        <v>0</v>
      </c>
      <c r="L130" s="18" t="n">
        <v>0</v>
      </c>
      <c r="M130" s="18" t="n">
        <v>0</v>
      </c>
      <c r="N130" s="18" t="n">
        <v>0</v>
      </c>
      <c r="O130" s="18" t="n">
        <v>0</v>
      </c>
      <c r="P130" s="18" t="n">
        <v>0</v>
      </c>
      <c r="Q130" s="18" t="n">
        <v>1</v>
      </c>
      <c r="R130" s="18" t="inlineStr"/>
    </row>
    <row r="131" ht="28" customHeight="1">
      <c r="A131" s="18" t="inlineStr">
        <is>
          <t>minecraft:dripstone_caves</t>
        </is>
      </c>
      <c r="B131" s="18" t="inlineStr">
        <is>
          <t>바이옴</t>
        </is>
      </c>
      <c r="C131" s="18" t="n">
        <v>1</v>
      </c>
      <c r="D131" s="18" t="n">
        <v>1</v>
      </c>
      <c r="E131" s="18" t="n">
        <v>0</v>
      </c>
      <c r="F131" s="18" t="inlineStr">
        <is>
          <t>ultra-rare:1</t>
        </is>
      </c>
      <c r="G131" s="18" t="inlineStr"/>
      <c r="H131" s="18" t="inlineStr">
        <is>
          <t>6</t>
        </is>
      </c>
      <c r="I131" s="18" t="n">
        <v>0</v>
      </c>
      <c r="J131" s="18" t="n">
        <v>0</v>
      </c>
      <c r="K131" s="18" t="n">
        <v>0</v>
      </c>
      <c r="L131" s="18" t="n">
        <v>0</v>
      </c>
      <c r="M131" s="18" t="n">
        <v>0</v>
      </c>
      <c r="N131" s="18" t="n">
        <v>1</v>
      </c>
      <c r="O131" s="18" t="n">
        <v>0</v>
      </c>
      <c r="P131" s="18" t="n">
        <v>0</v>
      </c>
      <c r="Q131" s="18" t="n">
        <v>0</v>
      </c>
      <c r="R131" s="18" t="inlineStr"/>
    </row>
    <row r="132" ht="28" customHeight="1">
      <c r="A132" s="18" t="inlineStr">
        <is>
          <t>minecraft:flower_forest</t>
        </is>
      </c>
      <c r="B132" s="18" t="inlineStr">
        <is>
          <t>바이옴</t>
        </is>
      </c>
      <c r="C132" s="18" t="n">
        <v>2</v>
      </c>
      <c r="D132" s="18" t="n">
        <v>2</v>
      </c>
      <c r="E132" s="18" t="n">
        <v>0</v>
      </c>
      <c r="F132" s="18" t="inlineStr">
        <is>
          <t>common:1; rare:1</t>
        </is>
      </c>
      <c r="G132" s="18" t="inlineStr"/>
      <c r="H132" s="18" t="inlineStr">
        <is>
          <t>6</t>
        </is>
      </c>
      <c r="I132" s="18" t="n">
        <v>0</v>
      </c>
      <c r="J132" s="18" t="n">
        <v>0</v>
      </c>
      <c r="K132" s="18" t="n">
        <v>0</v>
      </c>
      <c r="L132" s="18" t="n">
        <v>0</v>
      </c>
      <c r="M132" s="18" t="n">
        <v>0</v>
      </c>
      <c r="N132" s="18" t="n">
        <v>2</v>
      </c>
      <c r="O132" s="18" t="n">
        <v>0</v>
      </c>
      <c r="P132" s="18" t="n">
        <v>0</v>
      </c>
      <c r="Q132" s="18" t="n">
        <v>0</v>
      </c>
      <c r="R132" s="18" t="inlineStr"/>
    </row>
    <row r="133" ht="28" customHeight="1">
      <c r="A133" s="18" t="inlineStr">
        <is>
          <t>minecraft:frozen_peaks</t>
        </is>
      </c>
      <c r="B133" s="18" t="inlineStr">
        <is>
          <t>바이옴</t>
        </is>
      </c>
      <c r="C133" s="18" t="n">
        <v>3</v>
      </c>
      <c r="D133" s="18" t="n">
        <v>3</v>
      </c>
      <c r="E133" s="18" t="n">
        <v>0</v>
      </c>
      <c r="F133" s="18" t="inlineStr">
        <is>
          <t>rare:1; uncommon:2</t>
        </is>
      </c>
      <c r="G133" s="18" t="inlineStr"/>
      <c r="H133" s="18" t="inlineStr">
        <is>
          <t>5; 6</t>
        </is>
      </c>
      <c r="I133" s="18" t="n">
        <v>0</v>
      </c>
      <c r="J133" s="18" t="n">
        <v>0</v>
      </c>
      <c r="K133" s="18" t="n">
        <v>0</v>
      </c>
      <c r="L133" s="18" t="n">
        <v>0</v>
      </c>
      <c r="M133" s="18" t="n">
        <v>2</v>
      </c>
      <c r="N133" s="18" t="n">
        <v>1</v>
      </c>
      <c r="O133" s="18" t="n">
        <v>0</v>
      </c>
      <c r="P133" s="18" t="n">
        <v>0</v>
      </c>
      <c r="Q133" s="18" t="n">
        <v>0</v>
      </c>
      <c r="R133" s="18" t="inlineStr"/>
    </row>
    <row r="134" ht="28" customHeight="1">
      <c r="A134" s="18" t="inlineStr">
        <is>
          <t>minecraft:frozen_river</t>
        </is>
      </c>
      <c r="B134" s="18" t="inlineStr">
        <is>
          <t>바이옴</t>
        </is>
      </c>
      <c r="C134" s="18" t="n">
        <v>6</v>
      </c>
      <c r="D134" s="18" t="n">
        <v>3</v>
      </c>
      <c r="E134" s="18" t="n">
        <v>0</v>
      </c>
      <c r="F134" s="18" t="inlineStr">
        <is>
          <t>ultra-rare:6</t>
        </is>
      </c>
      <c r="G134" s="18" t="inlineStr"/>
      <c r="H134" s="18" t="inlineStr">
        <is>
          <t>4</t>
        </is>
      </c>
      <c r="I134" s="18" t="n">
        <v>0</v>
      </c>
      <c r="J134" s="18" t="n">
        <v>0</v>
      </c>
      <c r="K134" s="18" t="n">
        <v>0</v>
      </c>
      <c r="L134" s="18" t="n">
        <v>6</v>
      </c>
      <c r="M134" s="18" t="n">
        <v>0</v>
      </c>
      <c r="N134" s="18" t="n">
        <v>0</v>
      </c>
      <c r="O134" s="18" t="n">
        <v>0</v>
      </c>
      <c r="P134" s="18" t="n">
        <v>0</v>
      </c>
      <c r="Q134" s="18" t="n">
        <v>0</v>
      </c>
      <c r="R134" s="18" t="inlineStr"/>
    </row>
    <row r="135" ht="28" customHeight="1">
      <c r="A135" s="18" t="inlineStr">
        <is>
          <t>minecraft:ice_spikes</t>
        </is>
      </c>
      <c r="B135" s="18" t="inlineStr">
        <is>
          <t>바이옴</t>
        </is>
      </c>
      <c r="C135" s="18" t="n">
        <v>3</v>
      </c>
      <c r="D135" s="18" t="n">
        <v>3</v>
      </c>
      <c r="E135" s="18" t="n">
        <v>0</v>
      </c>
      <c r="F135" s="18" t="inlineStr">
        <is>
          <t>rare:1; ultra-rare:1; uncommon:1</t>
        </is>
      </c>
      <c r="G135" s="18" t="inlineStr"/>
      <c r="H135" s="18" t="inlineStr">
        <is>
          <t>5</t>
        </is>
      </c>
      <c r="I135" s="18" t="n">
        <v>0</v>
      </c>
      <c r="J135" s="18" t="n">
        <v>0</v>
      </c>
      <c r="K135" s="18" t="n">
        <v>0</v>
      </c>
      <c r="L135" s="18" t="n">
        <v>0</v>
      </c>
      <c r="M135" s="18" t="n">
        <v>3</v>
      </c>
      <c r="N135" s="18" t="n">
        <v>0</v>
      </c>
      <c r="O135" s="18" t="n">
        <v>0</v>
      </c>
      <c r="P135" s="18" t="n">
        <v>0</v>
      </c>
      <c r="Q135" s="18" t="n">
        <v>0</v>
      </c>
      <c r="R135" s="18" t="inlineStr"/>
    </row>
    <row r="136" ht="28" customHeight="1">
      <c r="A136" s="18" t="inlineStr">
        <is>
          <t>minecraft:jungle</t>
        </is>
      </c>
      <c r="B136" s="18" t="inlineStr">
        <is>
          <t>바이옴</t>
        </is>
      </c>
      <c r="C136" s="18" t="n">
        <v>1</v>
      </c>
      <c r="D136" s="18" t="n">
        <v>1</v>
      </c>
      <c r="E136" s="18" t="n">
        <v>0</v>
      </c>
      <c r="F136" s="18" t="inlineStr">
        <is>
          <t>ultra-rare:1</t>
        </is>
      </c>
      <c r="G136" s="18" t="inlineStr"/>
      <c r="H136" s="18" t="inlineStr">
        <is>
          <t>8</t>
        </is>
      </c>
      <c r="I136" s="18" t="n">
        <v>0</v>
      </c>
      <c r="J136" s="18" t="n">
        <v>0</v>
      </c>
      <c r="K136" s="18" t="n">
        <v>0</v>
      </c>
      <c r="L136" s="18" t="n">
        <v>0</v>
      </c>
      <c r="M136" s="18" t="n">
        <v>0</v>
      </c>
      <c r="N136" s="18" t="n">
        <v>0</v>
      </c>
      <c r="O136" s="18" t="n">
        <v>0</v>
      </c>
      <c r="P136" s="18" t="n">
        <v>1</v>
      </c>
      <c r="Q136" s="18" t="n">
        <v>0</v>
      </c>
      <c r="R136" s="18" t="inlineStr"/>
    </row>
    <row r="137" ht="28" customHeight="1">
      <c r="A137" s="18" t="inlineStr">
        <is>
          <t>minecraft:lush_caves</t>
        </is>
      </c>
      <c r="B137" s="18" t="inlineStr">
        <is>
          <t>바이옴</t>
        </is>
      </c>
      <c r="C137" s="18" t="n">
        <v>2</v>
      </c>
      <c r="D137" s="18" t="n">
        <v>2</v>
      </c>
      <c r="E137" s="18" t="n">
        <v>0</v>
      </c>
      <c r="F137" s="18" t="inlineStr">
        <is>
          <t>ultra-rare:2</t>
        </is>
      </c>
      <c r="G137" s="18" t="inlineStr"/>
      <c r="H137" s="18" t="inlineStr">
        <is>
          <t>6</t>
        </is>
      </c>
      <c r="I137" s="18" t="n">
        <v>0</v>
      </c>
      <c r="J137" s="18" t="n">
        <v>0</v>
      </c>
      <c r="K137" s="18" t="n">
        <v>0</v>
      </c>
      <c r="L137" s="18" t="n">
        <v>0</v>
      </c>
      <c r="M137" s="18" t="n">
        <v>0</v>
      </c>
      <c r="N137" s="18" t="n">
        <v>2</v>
      </c>
      <c r="O137" s="18" t="n">
        <v>0</v>
      </c>
      <c r="P137" s="18" t="n">
        <v>0</v>
      </c>
      <c r="Q137" s="18" t="n">
        <v>0</v>
      </c>
      <c r="R137" s="18" t="inlineStr"/>
    </row>
    <row r="138" ht="28" customHeight="1">
      <c r="A138" s="18" t="inlineStr">
        <is>
          <t>minecraft:mushroom_fields</t>
        </is>
      </c>
      <c r="B138" s="18" t="inlineStr">
        <is>
          <t>바이옴</t>
        </is>
      </c>
      <c r="C138" s="18" t="n">
        <v>11</v>
      </c>
      <c r="D138" s="18" t="n">
        <v>4</v>
      </c>
      <c r="E138" s="18" t="n">
        <v>2</v>
      </c>
      <c r="F138" s="18" t="inlineStr">
        <is>
          <t>common:11</t>
        </is>
      </c>
      <c r="G138" s="18" t="inlineStr"/>
      <c r="H138" s="18" t="inlineStr">
        <is>
          <t>1; 2</t>
        </is>
      </c>
      <c r="I138" s="18" t="n">
        <v>6</v>
      </c>
      <c r="J138" s="18" t="n">
        <v>5</v>
      </c>
      <c r="K138" s="18" t="n">
        <v>0</v>
      </c>
      <c r="L138" s="18" t="n">
        <v>0</v>
      </c>
      <c r="M138" s="18" t="n">
        <v>0</v>
      </c>
      <c r="N138" s="18" t="n">
        <v>0</v>
      </c>
      <c r="O138" s="18" t="n">
        <v>0</v>
      </c>
      <c r="P138" s="18" t="n">
        <v>0</v>
      </c>
      <c r="Q138" s="18" t="n">
        <v>0</v>
      </c>
      <c r="R138" s="18" t="inlineStr"/>
    </row>
    <row r="139" ht="28" customHeight="1">
      <c r="A139" s="18" t="inlineStr">
        <is>
          <t>minecraft:pale_garden</t>
        </is>
      </c>
      <c r="B139" s="18" t="inlineStr">
        <is>
          <t>바이옴</t>
        </is>
      </c>
      <c r="C139" s="18" t="n">
        <v>1</v>
      </c>
      <c r="D139" s="18" t="n">
        <v>1</v>
      </c>
      <c r="E139" s="18" t="n">
        <v>0</v>
      </c>
      <c r="F139" s="18" t="inlineStr">
        <is>
          <t>common:1</t>
        </is>
      </c>
      <c r="G139" s="18" t="inlineStr"/>
      <c r="H139" s="18" t="inlineStr">
        <is>
          <t>6</t>
        </is>
      </c>
      <c r="I139" s="18" t="n">
        <v>0</v>
      </c>
      <c r="J139" s="18" t="n">
        <v>0</v>
      </c>
      <c r="K139" s="18" t="n">
        <v>0</v>
      </c>
      <c r="L139" s="18" t="n">
        <v>0</v>
      </c>
      <c r="M139" s="18" t="n">
        <v>0</v>
      </c>
      <c r="N139" s="18" t="n">
        <v>1</v>
      </c>
      <c r="O139" s="18" t="n">
        <v>0</v>
      </c>
      <c r="P139" s="18" t="n">
        <v>0</v>
      </c>
      <c r="Q139" s="18" t="n">
        <v>0</v>
      </c>
      <c r="R139" s="18" t="inlineStr"/>
    </row>
    <row r="140" ht="28" customHeight="1">
      <c r="A140" s="18" t="inlineStr">
        <is>
          <t>minecraft:snowy_beach</t>
        </is>
      </c>
      <c r="B140" s="18" t="inlineStr">
        <is>
          <t>바이옴</t>
        </is>
      </c>
      <c r="C140" s="18" t="n">
        <v>6</v>
      </c>
      <c r="D140" s="18" t="n">
        <v>3</v>
      </c>
      <c r="E140" s="18" t="n">
        <v>0</v>
      </c>
      <c r="F140" s="18" t="inlineStr">
        <is>
          <t>ultra-rare:6</t>
        </is>
      </c>
      <c r="G140" s="18" t="inlineStr"/>
      <c r="H140" s="18" t="inlineStr">
        <is>
          <t>5</t>
        </is>
      </c>
      <c r="I140" s="18" t="n">
        <v>0</v>
      </c>
      <c r="J140" s="18" t="n">
        <v>0</v>
      </c>
      <c r="K140" s="18" t="n">
        <v>0</v>
      </c>
      <c r="L140" s="18" t="n">
        <v>0</v>
      </c>
      <c r="M140" s="18" t="n">
        <v>6</v>
      </c>
      <c r="N140" s="18" t="n">
        <v>0</v>
      </c>
      <c r="O140" s="18" t="n">
        <v>0</v>
      </c>
      <c r="P140" s="18" t="n">
        <v>0</v>
      </c>
      <c r="Q140" s="18" t="n">
        <v>0</v>
      </c>
      <c r="R140" s="18" t="inlineStr"/>
    </row>
    <row r="141" ht="28" customHeight="1">
      <c r="A141" s="18" t="inlineStr">
        <is>
          <t>minecraft:snowy_plains</t>
        </is>
      </c>
      <c r="B141" s="18" t="inlineStr">
        <is>
          <t>바이옴</t>
        </is>
      </c>
      <c r="C141" s="18" t="n">
        <v>1</v>
      </c>
      <c r="D141" s="18" t="n">
        <v>1</v>
      </c>
      <c r="E141" s="18" t="n">
        <v>0</v>
      </c>
      <c r="F141" s="18" t="inlineStr">
        <is>
          <t>rare:1</t>
        </is>
      </c>
      <c r="G141" s="18" t="inlineStr"/>
      <c r="H141" s="18" t="inlineStr">
        <is>
          <t>1</t>
        </is>
      </c>
      <c r="I141" s="18" t="n">
        <v>1</v>
      </c>
      <c r="J141" s="18" t="n">
        <v>0</v>
      </c>
      <c r="K141" s="18" t="n">
        <v>0</v>
      </c>
      <c r="L141" s="18" t="n">
        <v>0</v>
      </c>
      <c r="M141" s="18" t="n">
        <v>0</v>
      </c>
      <c r="N141" s="18" t="n">
        <v>0</v>
      </c>
      <c r="O141" s="18" t="n">
        <v>0</v>
      </c>
      <c r="P141" s="18" t="n">
        <v>0</v>
      </c>
      <c r="Q141" s="18" t="n">
        <v>0</v>
      </c>
      <c r="R141" s="18" t="inlineStr"/>
    </row>
    <row r="142" ht="28" customHeight="1">
      <c r="A142" s="18" t="inlineStr">
        <is>
          <t>minecraft:snowy_slopes</t>
        </is>
      </c>
      <c r="B142" s="18" t="inlineStr">
        <is>
          <t>바이옴</t>
        </is>
      </c>
      <c r="C142" s="18" t="n">
        <v>1</v>
      </c>
      <c r="D142" s="18" t="n">
        <v>1</v>
      </c>
      <c r="E142" s="18" t="n">
        <v>0</v>
      </c>
      <c r="F142" s="18" t="inlineStr">
        <is>
          <t>uncommon:1</t>
        </is>
      </c>
      <c r="G142" s="18" t="inlineStr"/>
      <c r="H142" s="18" t="inlineStr">
        <is>
          <t>6</t>
        </is>
      </c>
      <c r="I142" s="18" t="n">
        <v>0</v>
      </c>
      <c r="J142" s="18" t="n">
        <v>0</v>
      </c>
      <c r="K142" s="18" t="n">
        <v>0</v>
      </c>
      <c r="L142" s="18" t="n">
        <v>0</v>
      </c>
      <c r="M142" s="18" t="n">
        <v>0</v>
      </c>
      <c r="N142" s="18" t="n">
        <v>1</v>
      </c>
      <c r="O142" s="18" t="n">
        <v>0</v>
      </c>
      <c r="P142" s="18" t="n">
        <v>0</v>
      </c>
      <c r="Q142" s="18" t="n">
        <v>0</v>
      </c>
      <c r="R142" s="18" t="inlineStr"/>
    </row>
    <row r="143" ht="28" customHeight="1">
      <c r="A143" s="18" t="inlineStr">
        <is>
          <t>minecraft:soul_sand_valley</t>
        </is>
      </c>
      <c r="B143" s="18" t="inlineStr">
        <is>
          <t>바이옴</t>
        </is>
      </c>
      <c r="C143" s="18" t="n">
        <v>2</v>
      </c>
      <c r="D143" s="18" t="n">
        <v>2</v>
      </c>
      <c r="E143" s="18" t="n">
        <v>0</v>
      </c>
      <c r="F143" s="18" t="inlineStr">
        <is>
          <t>common:2</t>
        </is>
      </c>
      <c r="G143" s="18" t="inlineStr"/>
      <c r="H143" s="18" t="inlineStr">
        <is>
          <t>1</t>
        </is>
      </c>
      <c r="I143" s="18" t="n">
        <v>2</v>
      </c>
      <c r="J143" s="18" t="n">
        <v>0</v>
      </c>
      <c r="K143" s="18" t="n">
        <v>0</v>
      </c>
      <c r="L143" s="18" t="n">
        <v>0</v>
      </c>
      <c r="M143" s="18" t="n">
        <v>0</v>
      </c>
      <c r="N143" s="18" t="n">
        <v>0</v>
      </c>
      <c r="O143" s="18" t="n">
        <v>0</v>
      </c>
      <c r="P143" s="18" t="n">
        <v>0</v>
      </c>
      <c r="Q143" s="18" t="n">
        <v>0</v>
      </c>
      <c r="R143" s="18" t="inlineStr"/>
    </row>
    <row r="144" ht="28" customHeight="1">
      <c r="A144" s="18" t="inlineStr">
        <is>
          <t>minecraft:sunflower_plains</t>
        </is>
      </c>
      <c r="B144" s="18" t="inlineStr">
        <is>
          <t>바이옴</t>
        </is>
      </c>
      <c r="C144" s="18" t="n">
        <v>5</v>
      </c>
      <c r="D144" s="18" t="n">
        <v>5</v>
      </c>
      <c r="E144" s="18" t="n">
        <v>4</v>
      </c>
      <c r="F144" s="18" t="inlineStr">
        <is>
          <t>common:3; rare:2</t>
        </is>
      </c>
      <c r="G144" s="18" t="inlineStr"/>
      <c r="H144" s="18" t="inlineStr">
        <is>
          <t>1; 2; 5; 6</t>
        </is>
      </c>
      <c r="I144" s="18" t="n">
        <v>1</v>
      </c>
      <c r="J144" s="18" t="n">
        <v>2</v>
      </c>
      <c r="K144" s="18" t="n">
        <v>0</v>
      </c>
      <c r="L144" s="18" t="n">
        <v>0</v>
      </c>
      <c r="M144" s="18" t="n">
        <v>1</v>
      </c>
      <c r="N144" s="18" t="n">
        <v>1</v>
      </c>
      <c r="O144" s="18" t="n">
        <v>0</v>
      </c>
      <c r="P144" s="18" t="n">
        <v>0</v>
      </c>
      <c r="Q144" s="18" t="n">
        <v>0</v>
      </c>
      <c r="R144" s="18" t="inlineStr"/>
    </row>
    <row r="145" ht="28" customHeight="1">
      <c r="A145" s="18" t="inlineStr">
        <is>
          <t>minecraft:windswept_forest</t>
        </is>
      </c>
      <c r="B145" s="18" t="inlineStr">
        <is>
          <t>바이옴</t>
        </is>
      </c>
      <c r="C145" s="18" t="n">
        <v>1</v>
      </c>
      <c r="D145" s="18" t="n">
        <v>1</v>
      </c>
      <c r="E145" s="18" t="n">
        <v>0</v>
      </c>
      <c r="F145" s="18" t="inlineStr">
        <is>
          <t>ultra-rare:1</t>
        </is>
      </c>
      <c r="G145" s="18" t="inlineStr"/>
      <c r="H145" s="18" t="inlineStr">
        <is>
          <t>5</t>
        </is>
      </c>
      <c r="I145" s="18" t="n">
        <v>0</v>
      </c>
      <c r="J145" s="18" t="n">
        <v>0</v>
      </c>
      <c r="K145" s="18" t="n">
        <v>0</v>
      </c>
      <c r="L145" s="18" t="n">
        <v>0</v>
      </c>
      <c r="M145" s="18" t="n">
        <v>1</v>
      </c>
      <c r="N145" s="18" t="n">
        <v>0</v>
      </c>
      <c r="O145" s="18" t="n">
        <v>0</v>
      </c>
      <c r="P145" s="18" t="n">
        <v>0</v>
      </c>
      <c r="Q145" s="18" t="n">
        <v>0</v>
      </c>
      <c r="R145" s="18" t="inlineStr"/>
    </row>
    <row r="146" ht="28" customHeight="1">
      <c r="A146" s="18" t="inlineStr">
        <is>
          <t>terralith:blooming_valley</t>
        </is>
      </c>
      <c r="B146" s="18" t="inlineStr">
        <is>
          <t>바이옴</t>
        </is>
      </c>
      <c r="C146" s="18" t="n">
        <v>1</v>
      </c>
      <c r="D146" s="18" t="n">
        <v>1</v>
      </c>
      <c r="E146" s="18" t="n">
        <v>0</v>
      </c>
      <c r="F146" s="18" t="inlineStr">
        <is>
          <t>ultra-rare:1</t>
        </is>
      </c>
      <c r="G146" s="18" t="inlineStr"/>
      <c r="H146" s="18" t="inlineStr">
        <is>
          <t>7</t>
        </is>
      </c>
      <c r="I146" s="18" t="n">
        <v>0</v>
      </c>
      <c r="J146" s="18" t="n">
        <v>0</v>
      </c>
      <c r="K146" s="18" t="n">
        <v>0</v>
      </c>
      <c r="L146" s="18" t="n">
        <v>0</v>
      </c>
      <c r="M146" s="18" t="n">
        <v>0</v>
      </c>
      <c r="N146" s="18" t="n">
        <v>0</v>
      </c>
      <c r="O146" s="18" t="n">
        <v>1</v>
      </c>
      <c r="P146" s="18" t="n">
        <v>0</v>
      </c>
      <c r="Q146" s="18" t="n">
        <v>0</v>
      </c>
      <c r="R146" s="18" t="inlineStr"/>
    </row>
    <row r="147" ht="28" customHeight="1">
      <c r="A147" s="18" t="inlineStr">
        <is>
          <t>terralith:sakura_grove</t>
        </is>
      </c>
      <c r="B147" s="18" t="inlineStr">
        <is>
          <t>바이옴</t>
        </is>
      </c>
      <c r="C147" s="18" t="n">
        <v>2</v>
      </c>
      <c r="D147" s="18" t="n">
        <v>1</v>
      </c>
      <c r="E147" s="18" t="n">
        <v>0</v>
      </c>
      <c r="F147" s="18" t="inlineStr">
        <is>
          <t>ultra-rare:2</t>
        </is>
      </c>
      <c r="G147" s="18" t="inlineStr"/>
      <c r="H147" s="18" t="inlineStr">
        <is>
          <t>5</t>
        </is>
      </c>
      <c r="I147" s="18" t="n">
        <v>0</v>
      </c>
      <c r="J147" s="18" t="n">
        <v>0</v>
      </c>
      <c r="K147" s="18" t="n">
        <v>0</v>
      </c>
      <c r="L147" s="18" t="n">
        <v>0</v>
      </c>
      <c r="M147" s="18" t="n">
        <v>2</v>
      </c>
      <c r="N147" s="18" t="n">
        <v>0</v>
      </c>
      <c r="O147" s="18" t="n">
        <v>0</v>
      </c>
      <c r="P147" s="18" t="n">
        <v>0</v>
      </c>
      <c r="Q147" s="18" t="n">
        <v>0</v>
      </c>
      <c r="R147" s="18" t="inlineStr"/>
    </row>
    <row r="148" ht="28" customHeight="1">
      <c r="A148" s="18" t="inlineStr">
        <is>
          <t>terralith:sakura_valley</t>
        </is>
      </c>
      <c r="B148" s="18" t="inlineStr">
        <is>
          <t>바이옴</t>
        </is>
      </c>
      <c r="C148" s="18" t="n">
        <v>2</v>
      </c>
      <c r="D148" s="18" t="n">
        <v>1</v>
      </c>
      <c r="E148" s="18" t="n">
        <v>0</v>
      </c>
      <c r="F148" s="18" t="inlineStr">
        <is>
          <t>ultra-rare:2</t>
        </is>
      </c>
      <c r="G148" s="18" t="inlineStr"/>
      <c r="H148" s="18" t="inlineStr">
        <is>
          <t>5</t>
        </is>
      </c>
      <c r="I148" s="18" t="n">
        <v>0</v>
      </c>
      <c r="J148" s="18" t="n">
        <v>0</v>
      </c>
      <c r="K148" s="18" t="n">
        <v>0</v>
      </c>
      <c r="L148" s="18" t="n">
        <v>0</v>
      </c>
      <c r="M148" s="18" t="n">
        <v>2</v>
      </c>
      <c r="N148" s="18" t="n">
        <v>0</v>
      </c>
      <c r="O148" s="18" t="n">
        <v>0</v>
      </c>
      <c r="P148" s="18" t="n">
        <v>0</v>
      </c>
      <c r="Q148" s="18" t="n">
        <v>0</v>
      </c>
      <c r="R148" s="18" t="inlineStr"/>
    </row>
    <row r="149" ht="28" customHeight="1">
      <c r="A149" s="18" t="inlineStr">
        <is>
          <t>terralith:steppe</t>
        </is>
      </c>
      <c r="B149" s="18" t="inlineStr">
        <is>
          <t>바이옴</t>
        </is>
      </c>
      <c r="C149" s="18" t="n">
        <v>1</v>
      </c>
      <c r="D149" s="18" t="n">
        <v>1</v>
      </c>
      <c r="E149" s="18" t="n">
        <v>0</v>
      </c>
      <c r="F149" s="18" t="inlineStr">
        <is>
          <t>ultra-rare:1</t>
        </is>
      </c>
      <c r="G149" s="18" t="inlineStr"/>
      <c r="H149" s="18" t="inlineStr">
        <is>
          <t>7</t>
        </is>
      </c>
      <c r="I149" s="18" t="n">
        <v>0</v>
      </c>
      <c r="J149" s="18" t="n">
        <v>0</v>
      </c>
      <c r="K149" s="18" t="n">
        <v>0</v>
      </c>
      <c r="L149" s="18" t="n">
        <v>0</v>
      </c>
      <c r="M149" s="18" t="n">
        <v>0</v>
      </c>
      <c r="N149" s="18" t="n">
        <v>0</v>
      </c>
      <c r="O149" s="18" t="n">
        <v>1</v>
      </c>
      <c r="P149" s="18" t="n">
        <v>0</v>
      </c>
      <c r="Q149" s="18" t="n">
        <v>0</v>
      </c>
      <c r="R149" s="18" t="inlineStr"/>
    </row>
    <row r="150" ht="28" customHeight="1">
      <c r="A150" s="18" t="inlineStr">
        <is>
          <t>terralith:white_cliffs</t>
        </is>
      </c>
      <c r="B150" s="18" t="inlineStr">
        <is>
          <t>바이옴</t>
        </is>
      </c>
      <c r="C150" s="18" t="n">
        <v>1</v>
      </c>
      <c r="D150" s="18" t="n">
        <v>1</v>
      </c>
      <c r="E150" s="18" t="n">
        <v>0</v>
      </c>
      <c r="F150" s="18" t="inlineStr">
        <is>
          <t>ultra-rare:1</t>
        </is>
      </c>
      <c r="G150" s="18" t="inlineStr"/>
      <c r="H150" s="18" t="inlineStr">
        <is>
          <t>7</t>
        </is>
      </c>
      <c r="I150" s="18" t="n">
        <v>0</v>
      </c>
      <c r="J150" s="18" t="n">
        <v>0</v>
      </c>
      <c r="K150" s="18" t="n">
        <v>0</v>
      </c>
      <c r="L150" s="18" t="n">
        <v>0</v>
      </c>
      <c r="M150" s="18" t="n">
        <v>0</v>
      </c>
      <c r="N150" s="18" t="n">
        <v>0</v>
      </c>
      <c r="O150" s="18" t="n">
        <v>1</v>
      </c>
      <c r="P150" s="18" t="n">
        <v>0</v>
      </c>
      <c r="Q150" s="18" t="n">
        <v>0</v>
      </c>
      <c r="R150" s="18" t="inlineStr"/>
    </row>
    <row r="151" ht="28" customHeight="1">
      <c r="A151" s="18" t="inlineStr">
        <is>
          <t>the_bumblezone:crystal_canyon</t>
        </is>
      </c>
      <c r="B151" s="18" t="inlineStr">
        <is>
          <t>바이옴</t>
        </is>
      </c>
      <c r="C151" s="18" t="n">
        <v>7</v>
      </c>
      <c r="D151" s="18" t="n">
        <v>7</v>
      </c>
      <c r="E151" s="18" t="n">
        <v>0</v>
      </c>
      <c r="F151" s="18" t="inlineStr">
        <is>
          <t>common:6; uncommon:1</t>
        </is>
      </c>
      <c r="G151" s="18" t="inlineStr"/>
      <c r="H151" s="18" t="inlineStr">
        <is>
          <t>2; 6; 8; 9</t>
        </is>
      </c>
      <c r="I151" s="18" t="n">
        <v>0</v>
      </c>
      <c r="J151" s="18" t="n">
        <v>3</v>
      </c>
      <c r="K151" s="18" t="n">
        <v>0</v>
      </c>
      <c r="L151" s="18" t="n">
        <v>0</v>
      </c>
      <c r="M151" s="18" t="n">
        <v>0</v>
      </c>
      <c r="N151" s="18" t="n">
        <v>1</v>
      </c>
      <c r="O151" s="18" t="n">
        <v>0</v>
      </c>
      <c r="P151" s="18" t="n">
        <v>1</v>
      </c>
      <c r="Q151" s="18" t="n">
        <v>2</v>
      </c>
      <c r="R151" s="18" t="inlineStr"/>
    </row>
    <row r="152" ht="28" customHeight="1">
      <c r="A152" s="18" t="inlineStr">
        <is>
          <t>the_bumblezone:floral_meadow</t>
        </is>
      </c>
      <c r="B152" s="18" t="inlineStr">
        <is>
          <t>바이옴</t>
        </is>
      </c>
      <c r="C152" s="18" t="n">
        <v>49</v>
      </c>
      <c r="D152" s="18" t="n">
        <v>39</v>
      </c>
      <c r="E152" s="18" t="n">
        <v>0</v>
      </c>
      <c r="F152" s="18" t="inlineStr">
        <is>
          <t>common:40; rare:3; ultra-rare:3; uncommon:3</t>
        </is>
      </c>
      <c r="G152" s="18" t="inlineStr"/>
      <c r="H152" s="18" t="inlineStr">
        <is>
          <t>1; 2; 3; 4; 5; 6; 7; 8</t>
        </is>
      </c>
      <c r="I152" s="18" t="n">
        <v>3</v>
      </c>
      <c r="J152" s="18" t="n">
        <v>14</v>
      </c>
      <c r="K152" s="18" t="n">
        <v>2</v>
      </c>
      <c r="L152" s="18" t="n">
        <v>3</v>
      </c>
      <c r="M152" s="18" t="n">
        <v>4</v>
      </c>
      <c r="N152" s="18" t="n">
        <v>15</v>
      </c>
      <c r="O152" s="18" t="n">
        <v>5</v>
      </c>
      <c r="P152" s="18" t="n">
        <v>3</v>
      </c>
      <c r="Q152" s="18" t="n">
        <v>0</v>
      </c>
      <c r="R152" s="18" t="inlineStr"/>
    </row>
    <row r="153" ht="28" customHeight="1">
      <c r="A153" s="18" t="inlineStr">
        <is>
          <t>the_bumblezone:howling_constructs</t>
        </is>
      </c>
      <c r="B153" s="18" t="inlineStr">
        <is>
          <t>바이옴</t>
        </is>
      </c>
      <c r="C153" s="18" t="n">
        <v>39</v>
      </c>
      <c r="D153" s="18" t="n">
        <v>12</v>
      </c>
      <c r="E153" s="18" t="n">
        <v>0</v>
      </c>
      <c r="F153" s="18" t="inlineStr">
        <is>
          <t>common:35; rare:4</t>
        </is>
      </c>
      <c r="G153" s="18" t="inlineStr"/>
      <c r="H153" s="18" t="inlineStr">
        <is>
          <t>2; 3; 4; 5</t>
        </is>
      </c>
      <c r="I153" s="18" t="n">
        <v>0</v>
      </c>
      <c r="J153" s="18" t="n">
        <v>28</v>
      </c>
      <c r="K153" s="18" t="n">
        <v>3</v>
      </c>
      <c r="L153" s="18" t="n">
        <v>3</v>
      </c>
      <c r="M153" s="18" t="n">
        <v>5</v>
      </c>
      <c r="N153" s="18" t="n">
        <v>0</v>
      </c>
      <c r="O153" s="18" t="n">
        <v>0</v>
      </c>
      <c r="P153" s="18" t="n">
        <v>0</v>
      </c>
      <c r="Q153" s="18" t="n">
        <v>0</v>
      </c>
      <c r="R153" s="18" t="inlineStr"/>
    </row>
    <row r="154" ht="28" customHeight="1">
      <c r="A154" s="18" t="inlineStr">
        <is>
          <t>the_bumblezone:pollinated_fields</t>
        </is>
      </c>
      <c r="B154" s="18" t="inlineStr">
        <is>
          <t>바이옴</t>
        </is>
      </c>
      <c r="C154" s="18" t="n">
        <v>2</v>
      </c>
      <c r="D154" s="18" t="n">
        <v>2</v>
      </c>
      <c r="E154" s="18" t="n">
        <v>0</v>
      </c>
      <c r="F154" s="18" t="inlineStr">
        <is>
          <t>common:2</t>
        </is>
      </c>
      <c r="G154" s="18" t="inlineStr"/>
      <c r="H154" s="18" t="inlineStr">
        <is>
          <t>7</t>
        </is>
      </c>
      <c r="I154" s="18" t="n">
        <v>0</v>
      </c>
      <c r="J154" s="18" t="n">
        <v>0</v>
      </c>
      <c r="K154" s="18" t="n">
        <v>0</v>
      </c>
      <c r="L154" s="18" t="n">
        <v>0</v>
      </c>
      <c r="M154" s="18" t="n">
        <v>0</v>
      </c>
      <c r="N154" s="18" t="n">
        <v>0</v>
      </c>
      <c r="O154" s="18" t="n">
        <v>2</v>
      </c>
      <c r="P154" s="18" t="n">
        <v>0</v>
      </c>
      <c r="Q154" s="18" t="n">
        <v>0</v>
      </c>
      <c r="R154" s="18" t="inlineStr"/>
    </row>
  </sheetData>
  <autoFilter ref="A4:R154"/>
  <mergeCells count="2">
    <mergeCell ref="A2:R2"/>
    <mergeCell ref="A1:R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10" customWidth="1" min="3" max="3"/>
    <col width="50" customWidth="1" min="4" max="4"/>
    <col width="70" customWidth="1" min="5" max="5"/>
    <col width="35" customWidth="1" min="6" max="6"/>
  </cols>
  <sheetData>
    <row r="1" ht="30" customHeight="1">
      <c r="A1" s="15" t="inlineStr">
        <is>
          <t>Cobblemon 바이옴 태그 정의</t>
        </is>
      </c>
    </row>
    <row r="2" ht="32" customHeight="1">
      <c r="A2" s="16" t="inlineStr">
        <is>
          <t>Cobblemon 1.7.3 태그의 직접 values를 기록했습니다. 외부 모드 태그와 Minecraft 내부 태그는 완전 전개하지 않았으므로 프로젝트 지역 후보는 참고용입니다.</t>
        </is>
      </c>
    </row>
    <row r="4" ht="34" customHeight="1">
      <c r="A4" s="17" t="inlineStr">
        <is>
          <t>태그</t>
        </is>
      </c>
      <c r="B4" s="17" t="inlineStr">
        <is>
          <t>직접값수</t>
        </is>
      </c>
      <c r="C4" s="17" t="inlineStr">
        <is>
          <t>직접포함값</t>
        </is>
      </c>
      <c r="D4" s="17" t="inlineStr">
        <is>
          <t>프로젝트바이옴_해석</t>
        </is>
      </c>
      <c r="E4" s="17" t="inlineStr">
        <is>
          <t>원본경로</t>
        </is>
      </c>
      <c r="F4" s="17" t="inlineStr">
        <is>
          <t>해석주의</t>
        </is>
      </c>
    </row>
    <row r="5" ht="34" customHeight="1">
      <c r="A5" s="18" t="inlineStr">
        <is>
          <t>#cobblemon:is_arid</t>
        </is>
      </c>
      <c r="B5" s="18" t="n">
        <v>3</v>
      </c>
      <c r="C5" s="18" t="inlineStr">
        <is>
          <t>#cobblemon:is_badlands; #cobblemon:is_desert; #cobblemon:is_savanna</t>
        </is>
      </c>
      <c r="D5" s="18" t="inlineStr">
        <is>
          <t>minecraft:desert</t>
        </is>
      </c>
      <c r="E5" s="18" t="inlineStr">
        <is>
          <t>data/cobblemon/tags/worldgen/biome/is_arid.json</t>
        </is>
      </c>
      <c r="F5" s="18" t="inlineStr"/>
    </row>
    <row r="6" ht="34" customHeight="1">
      <c r="A6" s="18" t="inlineStr">
        <is>
          <t>#cobblemon:is_badlands</t>
        </is>
      </c>
      <c r="B6" s="18" t="n">
        <v>8</v>
      </c>
      <c r="C6" s="18" t="inlineStr">
        <is>
          <t>#minecraft:is_badlands; #c:is_badlands; #clifftree:dry_badlands; terralith:ashen_savanna; terralith:red_oasis; terralith:warped_mesa; terralith:white_mesa; wythers:danakil_desert</t>
        </is>
      </c>
      <c r="D6" s="18" t="inlineStr"/>
      <c r="E6" s="18" t="inlineStr">
        <is>
          <t>data/cobblemon/tags/worldgen/biome/is_badlands.json</t>
        </is>
      </c>
      <c r="F6" s="18" t="inlineStr">
        <is>
          <t>외부/바닐라 중첩 태그는 부분 해석</t>
        </is>
      </c>
    </row>
    <row r="7" ht="34" customHeight="1">
      <c r="A7" s="18" t="inlineStr">
        <is>
          <t>#cobblemon:is_bamboo</t>
        </is>
      </c>
      <c r="B7" s="18" t="n">
        <v>13</v>
      </c>
      <c r="C7" s="18" t="inlineStr">
        <is>
          <t>minecraft:bamboo_jungle; byg:bamboo_forest; wythers:bamboo_jungle_canyon; wythers:bamboo_jungle_highlands; wythers:bamboo_jungle_swamp; wythers:bamboo_swamp; wythers:jade_highlands; wythers:maple_mountains; wythers:mushroom_island; wythers:sakura_forest; wythers:sandy_jungle; wythers:sparse_bamboo_jungle; wythers:waterlily_swamp</t>
        </is>
      </c>
      <c r="D7" s="18" t="inlineStr"/>
      <c r="E7" s="18" t="inlineStr">
        <is>
          <t>data/cobblemon/tags/worldgen/biome/is_bamboo.json</t>
        </is>
      </c>
      <c r="F7" s="18" t="inlineStr"/>
    </row>
    <row r="8" ht="34" customHeight="1">
      <c r="A8" s="18" t="inlineStr">
        <is>
          <t>#cobblemon:is_beach</t>
        </is>
      </c>
      <c r="B8" s="18" t="n">
        <v>4</v>
      </c>
      <c r="C8" s="18" t="inlineStr">
        <is>
          <t>#minecraft:is_beach; biomesoplenty:dune_beach; wythers:guelta; wythers:sand_dunes</t>
        </is>
      </c>
      <c r="D8" s="18" t="inlineStr"/>
      <c r="E8" s="18" t="inlineStr">
        <is>
          <t>data/cobblemon/tags/worldgen/biome/is_beach.json</t>
        </is>
      </c>
      <c r="F8" s="18" t="inlineStr">
        <is>
          <t>외부/바닐라 중첩 태그는 부분 해석</t>
        </is>
      </c>
    </row>
    <row r="9" ht="34" customHeight="1">
      <c r="A9" s="18" t="inlineStr">
        <is>
          <t>#cobblemon:is_cave</t>
        </is>
      </c>
      <c r="B9" s="18" t="n">
        <v>29</v>
      </c>
      <c r="C9" s="18" t="inlineStr">
        <is>
          <t>minecraft:dripstone_caves; minecraft:lush_caves; #c:is_cave; #c:is_underground; #clifftree:all_caves; biomesoplenty:glowing_grotto; biomesoplenty:spider_nest; terralith:cave/andesite_caves; terralith:cave/desert_caves; terralith:cave/diorite_caves; terralith:cave/fungal_caves; terralith:cave/granite_caves; terralith:cave/infested_caves; terralith:cave/thermal_caves; terralith:cave/underground_jungle; wythers:calcite_caverns; wythers:deep_dark_incursion; wythers:deep_underground; wythers:fungous_dripstone_caves; wythers:lichenous_caves; wythers:lichenous_dripstone_caves; wythers:lush_dripstone_caves; wythers:lush_fungous_dripstone_caves; wythers:lush_shroom_caves; wythers:mossy_caves; wythers:mossy_dripstone_caves; wythers:mushroom_caves; wythers:underground; wythers:volcanic_chamber</t>
        </is>
      </c>
      <c r="D9" s="18" t="inlineStr"/>
      <c r="E9" s="18" t="inlineStr">
        <is>
          <t>data/cobblemon/tags/worldgen/biome/is_cave.json</t>
        </is>
      </c>
      <c r="F9" s="18" t="inlineStr">
        <is>
          <t>외부/바닐라 중첩 태그는 부분 해석</t>
        </is>
      </c>
    </row>
    <row r="10" ht="34" customHeight="1">
      <c r="A10" s="18" t="inlineStr">
        <is>
          <t>#cobblemon:is_cherry_blossom</t>
        </is>
      </c>
      <c r="B10" s="18" t="n">
        <v>7</v>
      </c>
      <c r="C10" s="18" t="inlineStr">
        <is>
          <t>minecraft:cherry_grove; blooming_biosphere:snowy_cherry_grove; byg:cherry_blossom_forest; byg:bamboo_forest; terralith:sakura_grove; terralith:sakura_valley; wythers:sakura_forest</t>
        </is>
      </c>
      <c r="D10" s="18" t="inlineStr"/>
      <c r="E10" s="18" t="inlineStr">
        <is>
          <t>data/cobblemon/tags/worldgen/biome/is_cherry_blossom.json</t>
        </is>
      </c>
      <c r="F10" s="18" t="inlineStr"/>
    </row>
    <row r="11" ht="34" customHeight="1">
      <c r="A11" s="18" t="inlineStr">
        <is>
          <t>#cobblemon:is_coast</t>
        </is>
      </c>
      <c r="B11" s="18" t="n">
        <v>22</v>
      </c>
      <c r="C11" s="18" t="inlineStr">
        <is>
          <t>minecraft:stony_shore; #cobblemon:is_beach; #c:is_beach; #c:is_stony_shores; #clifftree:is_cliff; blooming_biosphere:tidepools; terralith:basalt_cliffs; terralith:granite_cliffs; terralith:white_cliffs; wythers:calcite_coast; wythers:coastal_mangroves; wythers:cold_island; wythers:cold_stony_shore; wythers:deepslate_shore; wythers:frigid_island; wythers:frozen_island; wythers:gravelly_beach; wythers:icy_shore; wythers:mediterranean_island; wythers:temperate_island; wythers:tropical_island; wythers:warm_stony_shore</t>
        </is>
      </c>
      <c r="D11" s="18" t="inlineStr"/>
      <c r="E11" s="18" t="inlineStr">
        <is>
          <t>data/cobblemon/tags/worldgen/biome/is_coast.json</t>
        </is>
      </c>
      <c r="F11" s="18" t="inlineStr">
        <is>
          <t>외부/바닐라 중첩 태그는 부분 해석</t>
        </is>
      </c>
    </row>
    <row r="12" ht="34" customHeight="1">
      <c r="A12" s="18" t="inlineStr">
        <is>
          <t>#cobblemon:is_cold</t>
        </is>
      </c>
      <c r="B12" s="18" t="n">
        <v>21</v>
      </c>
      <c r="C12" s="18" t="inlineStr">
        <is>
          <t>#cobblemon:is_cold_ocean; #cobblemon:is_freezing; #cobblemon:is_peak; #cobblemon:is_taiga; #cobblemon:is_tundra; #byg:is_cold; #c:is_cold; #c:is_cold/overworld; biomesoplenty:aspen_forest; biomesoplenty:bog; biomesoplenty:cold_desert; biomesoplenty:dead_forest; biomesoplenty:hot_springs; biomesoplenty:maple_woods; biomesoplenty:old_growth_dead_forest; biomesoplenty:pumpkin_patch; biomesoplenty:seasonal_forest; biomesoplenty:seasonal_orchard; clifftree:cold_caves; clifftree:cold_river; wythers:berry_bog</t>
        </is>
      </c>
      <c r="D12" s="18" t="inlineStr"/>
      <c r="E12" s="18" t="inlineStr">
        <is>
          <t>data/cobblemon/tags/worldgen/biome/is_cold.json</t>
        </is>
      </c>
      <c r="F12" s="18" t="inlineStr">
        <is>
          <t>외부/바닐라 중첩 태그는 부분 해석</t>
        </is>
      </c>
    </row>
    <row r="13" ht="34" customHeight="1">
      <c r="A13" s="18" t="inlineStr">
        <is>
          <t>#cobblemon:is_cold_ocean</t>
        </is>
      </c>
      <c r="B13" s="18" t="n">
        <v>2</v>
      </c>
      <c r="C13" s="18" t="inlineStr">
        <is>
          <t>minecraft:cold_ocean; minecraft:deep_cold_ocean</t>
        </is>
      </c>
      <c r="D13" s="18" t="inlineStr"/>
      <c r="E13" s="18" t="inlineStr">
        <is>
          <t>data/cobblemon/tags/worldgen/biome/is_cold_ocean.json</t>
        </is>
      </c>
      <c r="F13" s="18" t="inlineStr"/>
    </row>
    <row r="14" ht="34" customHeight="1">
      <c r="A14" s="18" t="inlineStr">
        <is>
          <t>#cobblemon:is_deep_dark</t>
        </is>
      </c>
      <c r="B14" s="18" t="n">
        <v>8</v>
      </c>
      <c r="C14" s="18" t="inlineStr">
        <is>
          <t>minecraft:deep_dark; terralith:cave/crystal_caves; terralith:cave/deep_caves; terralith:cave/frostfire_caves; terralith:cave/mantle_caves; terralith:cave/tuff_caves; wythers:deep_dark_forest; wythers:deep_dark_incursion</t>
        </is>
      </c>
      <c r="D14" s="18" t="inlineStr"/>
      <c r="E14" s="18" t="inlineStr">
        <is>
          <t>data/cobblemon/tags/worldgen/biome/is_deep_dark.json</t>
        </is>
      </c>
      <c r="F14" s="18" t="inlineStr"/>
    </row>
    <row r="15" ht="34" customHeight="1">
      <c r="A15" s="18" t="inlineStr">
        <is>
          <t>#cobblemon:is_deep_ocean</t>
        </is>
      </c>
      <c r="B15" s="18" t="n">
        <v>3</v>
      </c>
      <c r="C15" s="18" t="inlineStr">
        <is>
          <t>#minecraft:is_deep_ocean; #c:is_deep_ocean; wythers:deep_icy_ocean</t>
        </is>
      </c>
      <c r="D15" s="18" t="inlineStr"/>
      <c r="E15" s="18" t="inlineStr">
        <is>
          <t>data/cobblemon/tags/worldgen/biome/is_deep_ocean.json</t>
        </is>
      </c>
      <c r="F15" s="18" t="inlineStr">
        <is>
          <t>외부/바닐라 중첩 태그는 부분 해석</t>
        </is>
      </c>
    </row>
    <row r="16" ht="34" customHeight="1">
      <c r="A16" s="18" t="inlineStr">
        <is>
          <t>#cobblemon:is_desert</t>
        </is>
      </c>
      <c r="B16" s="18" t="n">
        <v>22</v>
      </c>
      <c r="C16" s="18" t="inlineStr">
        <is>
          <t>minecraft:desert; #byg:is_desert; #c:is_desert; #clifftree:is_desert; #wythers:is_desert; biomesoplenty:lush_desert; clifftree:desert_cliff; darkerdepths:sandy_catacombs; terralith:ancient_sands; terralith:desert_canyon; terralith:cave/desert_caves; terralith:desert_oasis; terralith:desert_spires; terralith:lush_desert; terralith:red_oasis; terralith:sandstone_valley; wythers:badlands_desert; wythers:desert_island; wythers:kwongan_heath; wythers:outback_desert; wythers:red_desert; wythers:sandy_jungle</t>
        </is>
      </c>
      <c r="D16" s="18" t="inlineStr">
        <is>
          <t>minecraft:desert</t>
        </is>
      </c>
      <c r="E16" s="18" t="inlineStr">
        <is>
          <t>data/cobblemon/tags/worldgen/biome/is_desert.json</t>
        </is>
      </c>
      <c r="F16" s="18" t="inlineStr">
        <is>
          <t>외부/바닐라 중첩 태그는 부분 해석</t>
        </is>
      </c>
    </row>
    <row r="17" ht="34" customHeight="1">
      <c r="A17" s="18" t="inlineStr">
        <is>
          <t>#cobblemon:is_dripstone</t>
        </is>
      </c>
      <c r="B17" s="18" t="n">
        <v>10</v>
      </c>
      <c r="C17" s="18" t="inlineStr">
        <is>
          <t>minecraft:dripstone_caves; terralith:fractured_savanna; biomesoplenty:fungal_jungle; byg:dead_sea; terralith:stony_spires; wythers:fungous_dripstone_caves; wythers:lichenous_dripstone_caves; wythers:lush_dripstone_caves; wythers:lush_fungous_dripstone_caves; wythers:mossy_dripstone_caves</t>
        </is>
      </c>
      <c r="D17" s="18" t="inlineStr"/>
      <c r="E17" s="18" t="inlineStr">
        <is>
          <t>data/cobblemon/tags/worldgen/biome/is_dripstone.json</t>
        </is>
      </c>
      <c r="F17" s="18" t="inlineStr"/>
    </row>
    <row r="18" ht="34" customHeight="1">
      <c r="A18" s="18" t="inlineStr">
        <is>
          <t>#cobblemon:is_end</t>
        </is>
      </c>
      <c r="B18" s="18" t="n">
        <v>4</v>
      </c>
      <c r="C18" s="18" t="inlineStr">
        <is>
          <t>#minecraft:is_end; #c:is_end; endercon:end_border; endercon:end_hallows</t>
        </is>
      </c>
      <c r="D18" s="18" t="inlineStr"/>
      <c r="E18" s="18" t="inlineStr">
        <is>
          <t>data/cobblemon/tags/worldgen/biome/is_end.json</t>
        </is>
      </c>
      <c r="F18" s="18" t="inlineStr">
        <is>
          <t>외부/바닐라 중첩 태그는 부분 해석</t>
        </is>
      </c>
    </row>
    <row r="19" ht="34" customHeight="1">
      <c r="A19" s="18" t="inlineStr">
        <is>
          <t>#cobblemon:is_floral</t>
        </is>
      </c>
      <c r="B19" s="18" t="n">
        <v>31</v>
      </c>
      <c r="C19" s="18" t="inlineStr">
        <is>
          <t>minecraft:cherry_grove; minecraft:flower_forest; minecraft:meadow; minecraft:sunflower_plains; #cobblemon:is_cherry_blossom; #byg:is_floral; #c:is_floral; #c:flower_forest; biomesoplenty:field; biomesoplenty:highland_moor; biomesoplenty:lavender_field; biomesoplenty:lavender_forest; biomesoplenty:lush_savanna; biomesoplenty:mystic_grove; biomesoplenty:orchard; byg:amaranth_fields; byg:allium_fields; byg:rose_fields; byg:skyris_vale; byg:orchard; terralith:blooming_plateau; terralith:blooming_valley; terralith:cloud_forest; terralith:lavender_forest; terralith:lavender_valley; wythers:autumnal_flower_forest; wythers:flowering_pantanal; wythers:jacaranda_savanna; wythers:lapacho_plains; wythers:spring_flower_fields; wythers:spring_flower_forest</t>
        </is>
      </c>
      <c r="D19" s="18" t="inlineStr"/>
      <c r="E19" s="18" t="inlineStr">
        <is>
          <t>data/cobblemon/tags/worldgen/biome/is_floral.json</t>
        </is>
      </c>
      <c r="F19" s="18" t="inlineStr">
        <is>
          <t>외부/바닐라 중첩 태그는 부분 해석</t>
        </is>
      </c>
    </row>
    <row r="20" ht="34" customHeight="1">
      <c r="A20" s="18" t="inlineStr">
        <is>
          <t>#cobblemon:is_forest</t>
        </is>
      </c>
      <c r="B20" s="18" t="n">
        <v>35</v>
      </c>
      <c r="C20" s="18" t="inlineStr">
        <is>
          <t>#minecraft:is_forest; minecraft:cherry_grove; #c:is_flower_forest; #c:is_forest; #c:tree/deciduous; biomesoplenty:lavender_forest; biomesoplenty:maple_woods; biomesoplenty:mediterranean_forest; biomesoplenty:mystic_grove; biomesoplenty:old_growth_woodland; biomesoplenty:ominous_woods; biomesoplenty:orchard; biomesoplenty:origin_valley; biomesoplenty:prairie; biomesoplenty:seasonal_forest; biomesoplenty:seasonal_orchard; biomesoplenty:woodland; blooming_biosphere:autumnal_forest; blooming_biosphere:oak_woodland; terralith:alpha_islands; terralith:alpha_islands_winter; terralith:blooming_valley; terralith:forested_highlands; terralith:lavender_forest; terralith:lavender_valley; terralith:mirage_isles; terralith:sakura_grove; terralith:sakura_valley; terralith:temperate_highlands; wythers:dry_tropical_forest; wythers:birch_taiga; wythers:boreal_forest_red; wythers:boreal_forest_yellow; wythers:tangled_forest; wythers:tropical_forest</t>
        </is>
      </c>
      <c r="D20" s="18" t="inlineStr">
        <is>
          <t>minecraft:forest</t>
        </is>
      </c>
      <c r="E20" s="18" t="inlineStr">
        <is>
          <t>data/cobblemon/tags/worldgen/biome/is_forest.json</t>
        </is>
      </c>
      <c r="F20" s="18" t="inlineStr">
        <is>
          <t>외부/바닐라 중첩 태그는 부분 해석</t>
        </is>
      </c>
    </row>
    <row r="21" ht="34" customHeight="1">
      <c r="A21" s="18" t="inlineStr">
        <is>
          <t>#cobblemon:is_freezing</t>
        </is>
      </c>
      <c r="B21" s="18" t="n">
        <v>22</v>
      </c>
      <c r="C21" s="18" t="inlineStr">
        <is>
          <t>minecraft:frozen_river; minecraft:jagged_peaks; minecraft:snowy_beach; minecraft:snowy_plains; minecraft:snowy_slopes; #cobblemon:is_frozen_ocean; #cobblemon:is_glacial; #cobblemon:is_snowy; #byg:is_snowy; #c:snowy; byg:cardinal_tundra; clifftree:frozen_caves; terralith:emerald_peaks; terralith:scarlet_mountains; terralith:skylands_winter; terralith:snowy_badlands; wythers:crimson_tundra; wythers:frozen_island; wythers:snowy_bog; wythers:snowy_canyon; wythers:snowy_peaks; wythers:snowy_tundra</t>
        </is>
      </c>
      <c r="D21" s="18" t="inlineStr"/>
      <c r="E21" s="18" t="inlineStr">
        <is>
          <t>data/cobblemon/tags/worldgen/biome/is_freezing.json</t>
        </is>
      </c>
      <c r="F21" s="18" t="inlineStr">
        <is>
          <t>외부/바닐라 중첩 태그는 부분 해석</t>
        </is>
      </c>
    </row>
    <row r="22" ht="34" customHeight="1">
      <c r="A22" s="18" t="inlineStr">
        <is>
          <t>#cobblemon:is_freshwater</t>
        </is>
      </c>
      <c r="B22" s="18" t="n">
        <v>5</v>
      </c>
      <c r="C22" s="18" t="inlineStr">
        <is>
          <t>#cobblemon:is_river; #cobblemon:is_swamp; wythers:desert_lakes; wythers:guelta; wythers:tropical_forest_river</t>
        </is>
      </c>
      <c r="D22" s="18" t="inlineStr">
        <is>
          <t>minecraft:swamp</t>
        </is>
      </c>
      <c r="E22" s="18" t="inlineStr">
        <is>
          <t>data/cobblemon/tags/worldgen/biome/is_freshwater.json</t>
        </is>
      </c>
      <c r="F22" s="18" t="inlineStr"/>
    </row>
    <row r="23" ht="34" customHeight="1">
      <c r="A23" s="18" t="inlineStr">
        <is>
          <t>#cobblemon:is_frozen_ocean</t>
        </is>
      </c>
      <c r="B23" s="18" t="n">
        <v>5</v>
      </c>
      <c r="C23" s="18" t="inlineStr">
        <is>
          <t>minecraft:deep_frozen_ocean; minecraft:frozen_ocean; terralith:frozen_cliffs; wythers:deep_icy_ocean; wythers:icy_ocean</t>
        </is>
      </c>
      <c r="D23" s="18" t="inlineStr"/>
      <c r="E23" s="18" t="inlineStr">
        <is>
          <t>data/cobblemon/tags/worldgen/biome/is_frozen_ocean.json</t>
        </is>
      </c>
      <c r="F23" s="18" t="inlineStr"/>
    </row>
    <row r="24" ht="34" customHeight="1">
      <c r="A24" s="18" t="inlineStr">
        <is>
          <t>#cobblemon:is_glacial</t>
        </is>
      </c>
      <c r="B24" s="18" t="n">
        <v>13</v>
      </c>
      <c r="C24" s="18" t="inlineStr">
        <is>
          <t>minecraft:frozen_peaks; minecraft:ice_spikes; #byg:is_icy; #c:is_icy; clifftree:glacier_cliff; clifftree:glacier_valley; terralith:cave/frostfire_caves; terralith:frozen_cliffs; terralith:glacial_chasm; wythers:glacial_cliffs; wythers:ice_cap; wythers:icy_crags; wythers:frozen_island</t>
        </is>
      </c>
      <c r="D24" s="18" t="inlineStr"/>
      <c r="E24" s="18" t="inlineStr">
        <is>
          <t>data/cobblemon/tags/worldgen/biome/is_glacial.json</t>
        </is>
      </c>
      <c r="F24" s="18" t="inlineStr">
        <is>
          <t>외부/바닐라 중첩 태그는 부분 해석</t>
        </is>
      </c>
    </row>
    <row r="25" ht="34" customHeight="1">
      <c r="A25" s="18" t="inlineStr">
        <is>
          <t>#cobblemon:is_grassland</t>
        </is>
      </c>
      <c r="B25" s="18" t="n">
        <v>2</v>
      </c>
      <c r="C25" s="18" t="inlineStr">
        <is>
          <t>#cobblemon:is_plains; #cobblemon:is_savanna</t>
        </is>
      </c>
      <c r="D25" s="18" t="inlineStr">
        <is>
          <t>minecraft:plains</t>
        </is>
      </c>
      <c r="E25" s="18" t="inlineStr">
        <is>
          <t>data/cobblemon/tags/worldgen/biome/is_grassland.json</t>
        </is>
      </c>
      <c r="F25" s="18" t="inlineStr"/>
    </row>
    <row r="26" ht="34" customHeight="1">
      <c r="A26" s="18" t="inlineStr">
        <is>
          <t>#cobblemon:is_highlands</t>
        </is>
      </c>
      <c r="B26" s="18" t="n">
        <v>15</v>
      </c>
      <c r="C26" s="18" t="inlineStr">
        <is>
          <t>minecraft:meadow; biomesoplenty:highland; biomesoplenty:highland_moor; terralith:alpine_highlands; terralith:arid_highlands; terralith:blooming_plateau; terralith:highlands; wythers:bamboo_jungle_highlands; wythers:eucalyptus_deanei_forest; wythers:forested_highlands; wythers:highlands; wythers:huangshan_highlands; wythers:highland_tropical_rainforest; wythers:jade_highlands; wythers:wistman_woods</t>
        </is>
      </c>
      <c r="D26" s="18" t="inlineStr"/>
      <c r="E26" s="18" t="inlineStr">
        <is>
          <t>data/cobblemon/tags/worldgen/biome/is_highlands.json</t>
        </is>
      </c>
      <c r="F26" s="18" t="inlineStr"/>
    </row>
    <row r="27" ht="34" customHeight="1">
      <c r="A27" s="18" t="inlineStr">
        <is>
          <t>#cobblemon:is_hills</t>
        </is>
      </c>
      <c r="B27" s="18" t="n">
        <v>24</v>
      </c>
      <c r="C27" s="18" t="inlineStr">
        <is>
          <t>#minecraft:is_hill; #cobblemon:is_highlands; #c:is_hill; #c:is_mountain/slope; #c:is_windswept; biomesoplenty:jade_cliffs; biomesoplenty:mediterranean_forest; terralith:blooming_valley; terralith:forested_highlands; terralith:lavender_valley; terralith:lush_valley; terralith:moonlight_valley; terralith:sakura_valley; terralith:savanna_slopes; terralith:temperate_highlands; terralith:yosemite_lowlands; wythers:autumnal_crags; wythers:ayers_rock; wythers:icy_crags; wythers:old_growth_taiga_crags; wythers:taiga_crags; wythers:temperate_rainforest_crags; wythers:thermal_taiga_crags; wythers:windswept_jungle</t>
        </is>
      </c>
      <c r="D27" s="18" t="inlineStr"/>
      <c r="E27" s="18" t="inlineStr">
        <is>
          <t>data/cobblemon/tags/worldgen/biome/is_hills.json</t>
        </is>
      </c>
      <c r="F27" s="18" t="inlineStr">
        <is>
          <t>외부/바닐라 중첩 태그는 부분 해석</t>
        </is>
      </c>
    </row>
    <row r="28" ht="34" customHeight="1">
      <c r="A28" s="18" t="inlineStr">
        <is>
          <t>#cobblemon:is_island</t>
        </is>
      </c>
      <c r="B28" s="18" t="n">
        <v>17</v>
      </c>
      <c r="C28" s="18" t="inlineStr">
        <is>
          <t>minecraft:mushroom_fields; #cobblemon:is_tropical_island; byg:lush_stacks; terralith:alpha_islands; terralith:alpha_islands_winter; terralith:mirage_isles; terralith:warped_mesa; wythers:cold_island; wythers:desert_island; wythers:frigid_island; wythers:frozen_island; wythers:jungle_island; wythers:mediterranean_island; wythers:mediterranean_island_thermal_springs; wythers:mushroom_island; wythers:temperate_island; wythers:tropical_island</t>
        </is>
      </c>
      <c r="D28" s="18" t="inlineStr"/>
      <c r="E28" s="18" t="inlineStr">
        <is>
          <t>data/cobblemon/tags/worldgen/biome/is_island.json</t>
        </is>
      </c>
      <c r="F28" s="18" t="inlineStr"/>
    </row>
    <row r="29" ht="34" customHeight="1">
      <c r="A29" s="18" t="inlineStr">
        <is>
          <t>#cobblemon:is_jungle</t>
        </is>
      </c>
      <c r="B29" s="18" t="n">
        <v>20</v>
      </c>
      <c r="C29" s="18" t="inlineStr">
        <is>
          <t>#minecraft:is_jungle; #c:is_jungle; terralith:cave/underground_jungle; biomesoplenty:floodplain; biomesoplenty:rainforest; blooming_biosphere:rainforest; clifftree:tropical_river; wythers:dripleaf_swamp; wythers:eucalyptus_deanei_forest; wythers:highland_tropical_rainforest; wythers:humid_tropical_grassland; wythers:jungle_canyon; wythers:subtropical_forest; wythers:subtropical_forest_edge; wythers:subtropical_grassland; wythers:tropical_forest; wythers:tropical_forest_canyon; wythers:tropical_grassland; wythers:tropical_island; wythers:tropical_rainforest</t>
        </is>
      </c>
      <c r="D29" s="18" t="inlineStr"/>
      <c r="E29" s="18" t="inlineStr">
        <is>
          <t>data/cobblemon/tags/worldgen/biome/is_jungle.json</t>
        </is>
      </c>
      <c r="F29" s="18" t="inlineStr">
        <is>
          <t>외부/바닐라 중첩 태그는 부분 해석</t>
        </is>
      </c>
    </row>
    <row r="30" ht="34" customHeight="1">
      <c r="A30" s="18" t="inlineStr">
        <is>
          <t>#cobblemon:is_lukewarm_ocean</t>
        </is>
      </c>
      <c r="B30" s="18" t="n">
        <v>5</v>
      </c>
      <c r="C30" s="18" t="inlineStr">
        <is>
          <t>minecraft:deep_lukewarm_ocean; minecraft:lukewarm_ocean; wythers:tropical_beach; wythers:tropical_island; wythers:warm_stony_shore</t>
        </is>
      </c>
      <c r="D30" s="18" t="inlineStr"/>
      <c r="E30" s="18" t="inlineStr">
        <is>
          <t>data/cobblemon/tags/worldgen/biome/is_lukewarm_ocean.json</t>
        </is>
      </c>
      <c r="F30" s="18" t="inlineStr"/>
    </row>
    <row r="31" ht="34" customHeight="1">
      <c r="A31" s="18" t="inlineStr">
        <is>
          <t>#cobblemon:is_lush</t>
        </is>
      </c>
      <c r="B31" s="18" t="n">
        <v>11</v>
      </c>
      <c r="C31" s="18" t="inlineStr">
        <is>
          <t>minecraft:lush_caves; #c:is_lush; byg:lush_stacks; terralith:cave/fungal_caves; terralith:cave/underground_jungle; wythers:dripleaf_swamp; wythers:lichenous_caves; wythers:lichenous_dripstone_caves; wythers:lush_dripstone_caves; wythers:lush_fungous_dripstone_caves; wythers:lush_shroom_caves</t>
        </is>
      </c>
      <c r="D31" s="18" t="inlineStr"/>
      <c r="E31" s="18" t="inlineStr">
        <is>
          <t>data/cobblemon/tags/worldgen/biome/is_lush.json</t>
        </is>
      </c>
      <c r="F31" s="18" t="inlineStr">
        <is>
          <t>외부/바닐라 중첩 태그는 부분 해석</t>
        </is>
      </c>
    </row>
    <row r="32" ht="34" customHeight="1">
      <c r="A32" s="18" t="inlineStr">
        <is>
          <t>#cobblemon:is_magical</t>
        </is>
      </c>
      <c r="B32" s="18" t="n">
        <v>15</v>
      </c>
      <c r="C32" s="18" t="inlineStr">
        <is>
          <t>minecraft:dark_forest; #byg:is_magical; #c:is_magical; #wythers:is_dark_forest; biomesoplenty:aspen_forest; biomesoplenty:mystic_grove; byg:skyris_vale; terralith:amethyst_canyon; terralith:amethyst_rainforest; terralith:mirage_isles; terralith:moonlight_grove; terralith:moonlight_valley; wythers:lantern_river; wythers:mushroom_island; wythers:snowy_thermal_taiga</t>
        </is>
      </c>
      <c r="D32" s="18" t="inlineStr"/>
      <c r="E32" s="18" t="inlineStr">
        <is>
          <t>data/cobblemon/tags/worldgen/biome/is_magical.json</t>
        </is>
      </c>
      <c r="F32" s="18" t="inlineStr">
        <is>
          <t>외부/바닐라 중첩 태그는 부분 해석</t>
        </is>
      </c>
    </row>
    <row r="33" ht="34" customHeight="1">
      <c r="A33" s="18" t="inlineStr">
        <is>
          <t>#cobblemon:is_mirage_island</t>
        </is>
      </c>
      <c r="B33" s="18" t="n">
        <v>1</v>
      </c>
      <c r="C33" s="18" t="inlineStr">
        <is>
          <t>terralith:mirage_isles</t>
        </is>
      </c>
      <c r="D33" s="18" t="inlineStr"/>
      <c r="E33" s="18" t="inlineStr">
        <is>
          <t>data/cobblemon/tags/worldgen/biome/is_mirage_island.json</t>
        </is>
      </c>
      <c r="F33" s="18" t="inlineStr"/>
    </row>
    <row r="34" ht="34" customHeight="1">
      <c r="A34" s="18" t="inlineStr">
        <is>
          <t>#cobblemon:is_mountain</t>
        </is>
      </c>
      <c r="B34" s="18" t="n">
        <v>13</v>
      </c>
      <c r="C34" s="18" t="inlineStr">
        <is>
          <t>#minecraft:is_mountain; #cobblemon:is_hills; #c:is_mountain; biomesoplenty:crag; blooming_biosphere:snowy_cherry_grove; terralith:stony_spires; terralith:volcanic_peaks; terralith:windswept_spires; terralith:yosemite_cliffs; wythers:tibesti_mountains; wythers:tropical_volcano; wythers:tsingy_forest; wythers:volcano</t>
        </is>
      </c>
      <c r="D34" s="18" t="inlineStr"/>
      <c r="E34" s="18" t="inlineStr">
        <is>
          <t>data/cobblemon/tags/worldgen/biome/is_mountain.json</t>
        </is>
      </c>
      <c r="F34" s="18" t="inlineStr">
        <is>
          <t>외부/바닐라 중첩 태그는 부분 해석</t>
        </is>
      </c>
    </row>
    <row r="35" ht="34" customHeight="1">
      <c r="A35" s="18" t="inlineStr">
        <is>
          <t>#cobblemon:is_mushroom</t>
        </is>
      </c>
      <c r="B35" s="18" t="n">
        <v>20</v>
      </c>
      <c r="C35" s="18" t="inlineStr">
        <is>
          <t>minecraft:dark_forest; minecraft:mushroom_fields; #c:is_mushroom; #c:is_mushroom_island; terralith:cave/fungal_caves; biomesoplenty:fungal_jungle; biomesoplenty:glowing_grotto; biomesoplenty:mystic_grove; blooming_biosphere:rainforest; byg:temperate_rainforest; byg:tropical_rainforest; byg:weeping_witch_forest; darkerdepths:glowshroom_forest; terralith:mirage_isles; wythers:ancient_taiga; wythers:deep_dark_incursion; wythers:forbidden_forest; wythers:mushroom_island; wythers:phantasmal_forest; wythers:phantasmal_forest</t>
        </is>
      </c>
      <c r="D35" s="18" t="inlineStr"/>
      <c r="E35" s="18" t="inlineStr">
        <is>
          <t>data/cobblemon/tags/worldgen/biome/is_mushroom.json</t>
        </is>
      </c>
      <c r="F35" s="18" t="inlineStr">
        <is>
          <t>외부/바닐라 중첩 태그는 부분 해석</t>
        </is>
      </c>
    </row>
    <row r="36" ht="34" customHeight="1">
      <c r="A36" s="18" t="inlineStr">
        <is>
          <t>#cobblemon:is_ocean</t>
        </is>
      </c>
      <c r="B36" s="18" t="n">
        <v>9</v>
      </c>
      <c r="C36" s="18" t="inlineStr">
        <is>
          <t>#minecraft:is_ocean; #cobblemon:is_cold_ocean; #cobblemon:is_deep_ocean; #cobblemon:is_frozen_ocean; #cobblemon:is_lukewarm_ocean; #cobblemon:is_temperate_ocean; #cobblemon:is_warm_ocean; #c:is_ocean; clifftree:stone_ocean</t>
        </is>
      </c>
      <c r="D36" s="18" t="inlineStr"/>
      <c r="E36" s="18" t="inlineStr">
        <is>
          <t>data/cobblemon/tags/worldgen/biome/is_ocean.json</t>
        </is>
      </c>
      <c r="F36" s="18" t="inlineStr">
        <is>
          <t>외부/바닐라 중첩 태그는 부분 해석</t>
        </is>
      </c>
    </row>
    <row r="37" ht="34" customHeight="1">
      <c r="A37" s="18" t="inlineStr">
        <is>
          <t>#cobblemon:is_overworld</t>
        </is>
      </c>
      <c r="B37" s="18" t="n">
        <v>2</v>
      </c>
      <c r="C37" s="18" t="inlineStr">
        <is>
          <t>#minecraft:is_overworld; #c:is_overworld</t>
        </is>
      </c>
      <c r="D37" s="18" t="inlineStr">
        <is>
          <t>minecraft:desert; minecraft:forest; minecraft:plains; minecraft:swamp</t>
        </is>
      </c>
      <c r="E37" s="18" t="inlineStr">
        <is>
          <t>data/cobblemon/tags/worldgen/biome/is_overworld.json</t>
        </is>
      </c>
      <c r="F37" s="18" t="inlineStr">
        <is>
          <t>외부/바닐라 중첩 태그는 부분 해석</t>
        </is>
      </c>
    </row>
    <row r="38" ht="34" customHeight="1">
      <c r="A38" s="18" t="inlineStr">
        <is>
          <t>#cobblemon:is_peak</t>
        </is>
      </c>
      <c r="B38" s="18" t="n">
        <v>11</v>
      </c>
      <c r="C38" s="18" t="inlineStr">
        <is>
          <t>minecraft:frozen_peaks; minecraft:jagged_peaks; minecraft:snowy_slopes; minecraft:stony_peaks; #c:is_mountain/peak; terralith:emerald_peaks; terralith:rocky_mountains; terralith:scarlet_mountains; terralith:windswept_spires; wythers:andesite_crags; wythers:aspen_crags</t>
        </is>
      </c>
      <c r="D38" s="18" t="inlineStr"/>
      <c r="E38" s="18" t="inlineStr">
        <is>
          <t>data/cobblemon/tags/worldgen/biome/is_peak.json</t>
        </is>
      </c>
      <c r="F38" s="18" t="inlineStr">
        <is>
          <t>외부/바닐라 중첩 태그는 부분 해석</t>
        </is>
      </c>
    </row>
    <row r="39" ht="34" customHeight="1">
      <c r="A39" s="18" t="inlineStr">
        <is>
          <t>#cobblemon:is_plains</t>
        </is>
      </c>
      <c r="B39" s="18" t="n">
        <v>28</v>
      </c>
      <c r="C39" s="18" t="inlineStr">
        <is>
          <t>minecraft:plains; minecraft:sunflower_plains; #cobblemon:is_highlands; #byg:is_plains; #c:is_plains; biomesoplenty:clover_patch; biomesoplenty:field; biomesoplenty:fir_clearing; biomesoplenty:grassland; biomesoplenty:lavender_field; biomesoplenty:marsh; biomesoplenty:orchard; biomesoplenty:pasture; biomesoplenty:prairie; biomesoplenty:seasonal_orchard; blooming_biosphere:chaparral; clifftree:sparse_forest; terralith:shrubland; terralith:brushland; terralith:steppe; terralith:valley_clearing; wythers:berry_bog; wythers:cool_forest_edge; wythers:dry_tropical_grassland; wythers:forest_edge; wythers:spring_flower_fields; wythers:subtropical_forest_edge; wythers:tropical_grassland</t>
        </is>
      </c>
      <c r="D39" s="18" t="inlineStr">
        <is>
          <t>minecraft:plains</t>
        </is>
      </c>
      <c r="E39" s="18" t="inlineStr">
        <is>
          <t>data/cobblemon/tags/worldgen/biome/is_plains.json</t>
        </is>
      </c>
      <c r="F39" s="18" t="inlineStr">
        <is>
          <t>외부/바닐라 중첩 태그는 부분 해석</t>
        </is>
      </c>
    </row>
    <row r="40" ht="34" customHeight="1">
      <c r="A40" s="18" t="inlineStr">
        <is>
          <t>#cobblemon:is_plateau</t>
        </is>
      </c>
      <c r="B40" s="18" t="n">
        <v>4</v>
      </c>
      <c r="C40" s="18" t="inlineStr">
        <is>
          <t>minecraft:savanna_plateau; #byg:is_plateau; #c:is_plateau; wythers:ayers_rock</t>
        </is>
      </c>
      <c r="D40" s="18" t="inlineStr"/>
      <c r="E40" s="18" t="inlineStr">
        <is>
          <t>data/cobblemon/tags/worldgen/biome/is_plateau.json</t>
        </is>
      </c>
      <c r="F40" s="18" t="inlineStr">
        <is>
          <t>외부/바닐라 중첩 태그는 부분 해석</t>
        </is>
      </c>
    </row>
    <row r="41" ht="34" customHeight="1">
      <c r="A41" s="18" t="inlineStr">
        <is>
          <t>#cobblemon:is_river</t>
        </is>
      </c>
      <c r="B41" s="18" t="n">
        <v>5</v>
      </c>
      <c r="C41" s="18" t="inlineStr">
        <is>
          <t>#minecraft:is_river; #c:is_river; terralith:warm_river; wythers:guelta; wythers:tropical_forest_river</t>
        </is>
      </c>
      <c r="D41" s="18" t="inlineStr"/>
      <c r="E41" s="18" t="inlineStr">
        <is>
          <t>data/cobblemon/tags/worldgen/biome/is_river.json</t>
        </is>
      </c>
      <c r="F41" s="18" t="inlineStr">
        <is>
          <t>외부/바닐라 중첩 태그는 부분 해석</t>
        </is>
      </c>
    </row>
    <row r="42" ht="34" customHeight="1">
      <c r="A42" s="18" t="inlineStr">
        <is>
          <t>#cobblemon:is_sandy</t>
        </is>
      </c>
      <c r="B42" s="18" t="n">
        <v>5</v>
      </c>
      <c r="C42" s="18" t="inlineStr">
        <is>
          <t>#cobblemon:is_badlands; #cobblemon:is_desert; #byg:is_sandy; #c:is_sandy; clifftree:warm_river</t>
        </is>
      </c>
      <c r="D42" s="18" t="inlineStr">
        <is>
          <t>minecraft:desert</t>
        </is>
      </c>
      <c r="E42" s="18" t="inlineStr">
        <is>
          <t>data/cobblemon/tags/worldgen/biome/is_sandy.json</t>
        </is>
      </c>
      <c r="F42" s="18" t="inlineStr">
        <is>
          <t>외부/바닐라 중첩 태그는 부분 해석</t>
        </is>
      </c>
    </row>
    <row r="43" ht="34" customHeight="1">
      <c r="A43" s="18" t="inlineStr">
        <is>
          <t>#cobblemon:is_savanna</t>
        </is>
      </c>
      <c r="B43" s="18" t="n">
        <v>20</v>
      </c>
      <c r="C43" s="18" t="inlineStr">
        <is>
          <t>#minecraft:is_savanna; #c:is_savanna; biomesoplenty:lush_desert; biomesoplenty:lush_savanna; blooming_biosphere:chaparral; clifftree:oasis; clifftree:shrubland; terralith:arid_highlands; terralith:ashen_savanna; terralith:brushland; terralith:desert_oasis; terralith:fractured_savanna; terralith:hot_shrubland; terralith:red_oasis; terralith:savanna_badlands; terralith:savanna_slopes; terralith:shrubland; wythers:granite_canyon; wythers:tropical_forest_canyon; wythers:tropical_forest</t>
        </is>
      </c>
      <c r="D43" s="18" t="inlineStr"/>
      <c r="E43" s="18" t="inlineStr">
        <is>
          <t>data/cobblemon/tags/worldgen/biome/is_savanna.json</t>
        </is>
      </c>
      <c r="F43" s="18" t="inlineStr">
        <is>
          <t>외부/바닐라 중첩 태그는 부분 해석</t>
        </is>
      </c>
    </row>
    <row r="44" ht="34" customHeight="1">
      <c r="A44" s="18" t="inlineStr">
        <is>
          <t>#cobblemon:is_shrubland</t>
        </is>
      </c>
      <c r="B44" s="18" t="n">
        <v>32</v>
      </c>
      <c r="C44" s="18" t="inlineStr">
        <is>
          <t>biomesoplenty:bog; biomesoplenty:dryland; biomesoplenty:field; biomesoplenty:fungal_jungle; biomesoplenty:lush_desert; biomesoplenty:mediterranean_forest; biomesoplenty:pumpkin_patch; biomesoplenty:scrubland; biomesoplenty:shrubland; biomesoplenty:rocky_shrubland; blooming_biosphere:chaparral; clifftree:shrubland; terralith:alpine_highlands; terralith:arid_highlands; terralith:brushland; terralith:cold_shrubland; terralith:hot_shrubland; terralith:rocky_shrubland; terralith:shrubland; wythers:berry_bog; wythers:chaparral; wythers:crimson_tundra; wythers:dry_tropical_grassland; wythers:eucalyptus_salubris_woodland; wythers:forest_edge; wythers:kwongan_heath; wythers:mediterranean_island; wythers:outback; wythers:scrub_forest; wythers:scrubland; wythers:tropical_grassland; wythers:tundra</t>
        </is>
      </c>
      <c r="D44" s="18" t="inlineStr"/>
      <c r="E44" s="18" t="inlineStr">
        <is>
          <t>data/cobblemon/tags/worldgen/biome/is_shrubland.json</t>
        </is>
      </c>
      <c r="F44" s="18" t="inlineStr"/>
    </row>
    <row r="45" ht="34" customHeight="1">
      <c r="A45" s="18" t="inlineStr">
        <is>
          <t>#cobblemon:is_sky</t>
        </is>
      </c>
      <c r="B45" s="18" t="n">
        <v>4</v>
      </c>
      <c r="C45" s="18" t="inlineStr">
        <is>
          <t>terralith:skylands_autumn; terralith:skylands_spring; terralith:skylands_summer; terralith:skylands_winter</t>
        </is>
      </c>
      <c r="D45" s="18" t="inlineStr"/>
      <c r="E45" s="18" t="inlineStr">
        <is>
          <t>data/cobblemon/tags/worldgen/biome/is_sky.json</t>
        </is>
      </c>
      <c r="F45" s="18" t="inlineStr"/>
    </row>
    <row r="46" ht="34" customHeight="1">
      <c r="A46" s="18" t="inlineStr">
        <is>
          <t>#cobblemon:is_snowy</t>
        </is>
      </c>
      <c r="B46" s="18" t="n">
        <v>23</v>
      </c>
      <c r="C46" s="18" t="inlineStr">
        <is>
          <t>minecraft:jagged_peaks; minecraft:snowy_beach; minecraft:snowy_plains; minecraft:snowy_slopes; #cobblemon:is_glacial; #cobblemon:is_snowy_forest; #cobblemon:is_snowy_taiga; #byg:is_snowy; #c:is_snowy; byg:cardinal_tundra; clifftree:bog; clifftree:snowy_diorite_shore; clifftree:tundra; terralith:emerald_peaks; terralith:scarlet_mountains; terralith:skylands_winter; terralith:snowy_badlands; wythers:crimson_tundra; wythers:frozen_island; wythers:snowy_bog; wythers:snowy_canyon; wythers:snowy_peaks; wythers:snowy_tundra</t>
        </is>
      </c>
      <c r="D46" s="18" t="inlineStr"/>
      <c r="E46" s="18" t="inlineStr">
        <is>
          <t>data/cobblemon/tags/worldgen/biome/is_snowy.json</t>
        </is>
      </c>
      <c r="F46" s="18" t="inlineStr">
        <is>
          <t>외부/바닐라 중첩 태그는 부분 해석</t>
        </is>
      </c>
    </row>
    <row r="47" ht="34" customHeight="1">
      <c r="A47" s="18" t="inlineStr">
        <is>
          <t>#cobblemon:is_snowy_forest</t>
        </is>
      </c>
      <c r="B47" s="18" t="n">
        <v>12</v>
      </c>
      <c r="C47" s="18" t="inlineStr">
        <is>
          <t>biomesoplenty:auroral_garden; biomesoplenty:muskeg; biomesoplenty:snowy_maple_woods; blooming_biosphere:snowy_cherry_grove; terralith:alpha_islands_winter; terralith:ice_marsh; terralith:siberian_grove; terralith:snowy_cherry_grove; terralith:snowy_maple_forest; wythers:huangshan_highlands; wythers:jade_highlands; wythers:snowy_fen</t>
        </is>
      </c>
      <c r="D47" s="18" t="inlineStr"/>
      <c r="E47" s="18" t="inlineStr">
        <is>
          <t>data/cobblemon/tags/worldgen/biome/is_snowy_forest.json</t>
        </is>
      </c>
      <c r="F47" s="18" t="inlineStr"/>
    </row>
    <row r="48" ht="34" customHeight="1">
      <c r="A48" s="18" t="inlineStr">
        <is>
          <t>#cobblemon:is_snowy_taiga</t>
        </is>
      </c>
      <c r="B48" s="18" t="n">
        <v>16</v>
      </c>
      <c r="C48" s="18" t="inlineStr">
        <is>
          <t>minecraft:grove; minecraft:snowy_taiga; biomesoplenty:snowy_coniferous_forest; biomesoplenty:snowy_fir_clearing; biomesoplenty:snowy_maple_woods; clifftree:snowy_old_growth_taiga; terralith:alpine_grove; terralith:cold_shrubland; terralith:siberian_grove; terralith:snowy_maple_forest; terralith:snowy_shield; terralith:wintry_forest; terralith:wintry_lowlands; wythers:cold_island; wythers:deep_snowy_taiga; wythers:snowy_thermal_taiga</t>
        </is>
      </c>
      <c r="D48" s="18" t="inlineStr"/>
      <c r="E48" s="18" t="inlineStr">
        <is>
          <t>data/cobblemon/tags/worldgen/biome/is_snowy_taiga.json</t>
        </is>
      </c>
      <c r="F48" s="18" t="inlineStr"/>
    </row>
    <row r="49" ht="34" customHeight="1">
      <c r="A49" s="18" t="inlineStr">
        <is>
          <t>#cobblemon:is_spooky</t>
        </is>
      </c>
      <c r="B49" s="18" t="n">
        <v>9</v>
      </c>
      <c r="C49" s="18" t="inlineStr">
        <is>
          <t>minecraft:dark_forest; #byg:is_spooky; #c:is_spooky; #wythers:is_dark_forest; biomesoplenty:ominous_woods; byg:ebony_woods; wythers:ancient_taiga; wythers:tangled_forest; wythers:twilight_meadow</t>
        </is>
      </c>
      <c r="D49" s="18" t="inlineStr"/>
      <c r="E49" s="18" t="inlineStr">
        <is>
          <t>data/cobblemon/tags/worldgen/biome/is_spooky.json</t>
        </is>
      </c>
      <c r="F49" s="18" t="inlineStr">
        <is>
          <t>외부/바닐라 중첩 태그는 부분 해석</t>
        </is>
      </c>
    </row>
    <row r="50" ht="34" customHeight="1">
      <c r="A50" s="18" t="inlineStr">
        <is>
          <t>#cobblemon:is_swamp</t>
        </is>
      </c>
      <c r="B50" s="18" t="n">
        <v>15</v>
      </c>
      <c r="C50" s="18" t="inlineStr">
        <is>
          <t>minecraft:mangrove_swamp; minecraft:swamp; #byg:is_swamp; #c:is_swamp; #clifftree:is_swamp; #wythers:is_swamp; biomesoplenty:bayou; biomesoplenty:bog; biomesoplenty:floodplain; biomesoplenty:marsh; biomesoplenty:wetland; blooming_biosphere:marsh; terralith:ice_marsh; terralith:orchid_swamp; wythers:billabong</t>
        </is>
      </c>
      <c r="D50" s="18" t="inlineStr">
        <is>
          <t>minecraft:swamp</t>
        </is>
      </c>
      <c r="E50" s="18" t="inlineStr">
        <is>
          <t>data/cobblemon/tags/worldgen/biome/is_swamp.json</t>
        </is>
      </c>
      <c r="F50" s="18" t="inlineStr">
        <is>
          <t>외부/바닐라 중첩 태그는 부분 해석</t>
        </is>
      </c>
    </row>
    <row r="51" ht="34" customHeight="1">
      <c r="A51" s="18" t="inlineStr">
        <is>
          <t>#cobblemon:is_taiga</t>
        </is>
      </c>
      <c r="B51" s="18" t="n">
        <v>42</v>
      </c>
      <c r="C51" s="18" t="inlineStr">
        <is>
          <t>#minecraft:is_taiga; #cobblemon:is_snowy_taiga; #c:is_taiga; #c:tree/coniferous; biomesoplenty:coniferous_forest; biomesoplenty:dead_forest; biomesoplenty:fir_clearing; biomesoplenty:forested_field; biomesoplenty:jade_cliffs; biomesoplenty:mediterranean_forest; biomesoplenty:redwood_forest; biomesoplenty:wetland; blooming_biosphere:autumnal_forest; clifftree:cold_river; terralith:bryce_canyon; terralith:cloud_forest; terralith:haze_mountain; terralith:ice_marsh; terralith:moonlight_grove; terralith:moonlight_valley; terralith:shield; terralith:siberian_taiga; terralith:yellowstone; terralith:yosemite_lowlands; wythers:ancient_taiga; wythers:birch_taiga; wythers:boreal_forest_red; wythers:boreal_forest_yellow; wythers:fen; wythers:flooded_temperate_rainforest; wythers:forested_highlands; wythers:huangshan_highlands; wythers:jade_highlands; wythers:larch_taiga; wythers:old_growth_taiga_crags; wythers:old_growth_taiga_swamp; wythers:pine_barrens; wythers:taiga_crags; wythers:temperate_rainforest; wythers:temperate_rainforest_crags; wythers:thermal_taiga; wythers:thermal_taiga_crags</t>
        </is>
      </c>
      <c r="D51" s="18" t="inlineStr"/>
      <c r="E51" s="18" t="inlineStr">
        <is>
          <t>data/cobblemon/tags/worldgen/biome/is_taiga.json</t>
        </is>
      </c>
      <c r="F51" s="18" t="inlineStr">
        <is>
          <t>외부/바닐라 중첩 태그는 부분 해석</t>
        </is>
      </c>
    </row>
    <row r="52" ht="34" customHeight="1">
      <c r="A52" s="18" t="inlineStr">
        <is>
          <t>#cobblemon:is_temperate</t>
        </is>
      </c>
      <c r="B52" s="18" t="n">
        <v>2</v>
      </c>
      <c r="C52" s="18" t="inlineStr">
        <is>
          <t>#cobblemon:is_forest; #cobblemon:is_plains</t>
        </is>
      </c>
      <c r="D52" s="18" t="inlineStr">
        <is>
          <t>minecraft:forest; minecraft:plains</t>
        </is>
      </c>
      <c r="E52" s="18" t="inlineStr">
        <is>
          <t>data/cobblemon/tags/worldgen/biome/is_temperate.json</t>
        </is>
      </c>
      <c r="F52" s="18" t="inlineStr"/>
    </row>
    <row r="53" ht="34" customHeight="1">
      <c r="A53" s="18" t="inlineStr">
        <is>
          <t>#cobblemon:is_temperate_ocean</t>
        </is>
      </c>
      <c r="B53" s="18" t="n">
        <v>3</v>
      </c>
      <c r="C53" s="18" t="inlineStr">
        <is>
          <t>minecraft:ocean; minecraft:deep_ocean; clifftree:stone_ocean</t>
        </is>
      </c>
      <c r="D53" s="18" t="inlineStr"/>
      <c r="E53" s="18" t="inlineStr">
        <is>
          <t>data/cobblemon/tags/worldgen/biome/is_temperate_ocean.json</t>
        </is>
      </c>
      <c r="F53" s="18" t="inlineStr"/>
    </row>
    <row r="54" ht="34" customHeight="1">
      <c r="A54" s="18" t="inlineStr">
        <is>
          <t>#cobblemon:is_thermal</t>
        </is>
      </c>
      <c r="B54" s="18" t="n">
        <v>12</v>
      </c>
      <c r="C54" s="18" t="inlineStr">
        <is>
          <t>biomesoplenty:hot_springs; clifftree:inferno; terralith:caldera; terralith:cave/thermal_caves; terralith:yellowstone; wythers:calcite_caverns; wythers:mediterranean_island_thermal_springs; wythers:snowy_thermal_taiga; wythers:thermal_taiga_crags; wythers:thermal_taiga; wythers:tibesti_mountains; wythers:danakil_desert</t>
        </is>
      </c>
      <c r="D54" s="18" t="inlineStr"/>
      <c r="E54" s="18" t="inlineStr">
        <is>
          <t>data/cobblemon/tags/worldgen/biome/is_thermal.json</t>
        </is>
      </c>
      <c r="F54" s="18" t="inlineStr"/>
    </row>
    <row r="55" ht="34" customHeight="1">
      <c r="A55" s="18" t="inlineStr">
        <is>
          <t>#cobblemon:is_tropical_island</t>
        </is>
      </c>
      <c r="B55" s="18" t="n">
        <v>4</v>
      </c>
      <c r="C55" s="18" t="inlineStr">
        <is>
          <t>biomesoplenty:tropics; wythers:tropical_beach; wythers:tropical_island; wythers:tropical_volcano</t>
        </is>
      </c>
      <c r="D55" s="18" t="inlineStr"/>
      <c r="E55" s="18" t="inlineStr">
        <is>
          <t>data/cobblemon/tags/worldgen/biome/is_tropical_island.json</t>
        </is>
      </c>
      <c r="F55" s="18" t="inlineStr"/>
    </row>
    <row r="56" ht="34" customHeight="1">
      <c r="A56" s="18" t="inlineStr">
        <is>
          <t>#cobblemon:is_tundra</t>
        </is>
      </c>
      <c r="B56" s="18" t="n">
        <v>21</v>
      </c>
      <c r="C56" s="18" t="inlineStr">
        <is>
          <t>minecraft:ice_spikes; minecraft:snowy_plains; #c:is_snowy_plains; biomesoplenty:cold_desert; biomesoplenty:muskeg; biomesoplenty:snowy_fir_clearing; biomesoplenty:tundra; byg:cardinal_tundra; clifftree:bog; clifftree:tundra; terralith:cold_shrubland; terralith:gravel_desert; terralith:rocky_shrubland; terralith:snowy_badlands; terralith:yellowstone; wythers:crimson_tundra; wythers:frigid_island; wythers:ice_cap; wythers:icy_crags; wythers:snowy_tundra; wythers:tundra</t>
        </is>
      </c>
      <c r="D56" s="18" t="inlineStr"/>
      <c r="E56" s="18" t="inlineStr">
        <is>
          <t>data/cobblemon/tags/worldgen/biome/is_tundra.json</t>
        </is>
      </c>
      <c r="F56" s="18" t="inlineStr">
        <is>
          <t>외부/바닐라 중첩 태그는 부분 해석</t>
        </is>
      </c>
    </row>
    <row r="57" ht="34" customHeight="1">
      <c r="A57" s="18" t="inlineStr">
        <is>
          <t>#cobblemon:is_volcanic</t>
        </is>
      </c>
      <c r="B57" s="18" t="n">
        <v>11</v>
      </c>
      <c r="C57" s="18" t="inlineStr">
        <is>
          <t>biomesoplenty:volcanic_plains; biomesoplenty:volcano; darkerdepths:molten_cavern; terralith:cave/mantle_caves; terralith:volcanic_crater; terralith:volcanic_peaks; wythers:icy_volcano; wythers:tropical_volcano; wythers:volcano; wythers:volcanic_chamber; wythers:volcanic_crater</t>
        </is>
      </c>
      <c r="D57" s="18" t="inlineStr"/>
      <c r="E57" s="18" t="inlineStr">
        <is>
          <t>data/cobblemon/tags/worldgen/biome/is_volcanic.json</t>
        </is>
      </c>
      <c r="F57" s="18" t="inlineStr"/>
    </row>
    <row r="58" ht="34" customHeight="1">
      <c r="A58" s="18" t="inlineStr">
        <is>
          <t>#cobblemon:is_warm_ocean</t>
        </is>
      </c>
      <c r="B58" s="18" t="n">
        <v>3</v>
      </c>
      <c r="C58" s="18" t="inlineStr">
        <is>
          <t>minecraft:warm_ocean; blooming_biosphere:tidepools; byg:lush_stacks</t>
        </is>
      </c>
      <c r="D58" s="18" t="inlineStr"/>
      <c r="E58" s="18" t="inlineStr">
        <is>
          <t>data/cobblemon/tags/worldgen/biome/is_warm_ocean.json</t>
        </is>
      </c>
      <c r="F58" s="18" t="inlineStr"/>
    </row>
  </sheetData>
  <autoFilter ref="A4:F58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1" customWidth="1" min="3" max="3"/>
    <col width="48" customWidth="1" min="4" max="4"/>
    <col width="40" customWidth="1" min="5" max="5"/>
    <col width="48" customWidth="1" min="6" max="6"/>
    <col width="18" customWidth="1" min="7" max="7"/>
    <col width="18" customWidth="1" min="8" max="8"/>
    <col width="58" customWidth="1" min="9" max="9"/>
    <col width="30" customWidth="1" min="10" max="10"/>
  </cols>
  <sheetData>
    <row r="1" ht="30" customHeight="1">
      <c r="A1" s="15" t="inlineStr">
        <is>
          <t>세대 월드 지역·바이옴 배정</t>
        </is>
      </c>
    </row>
    <row r="2" ht="32" customHeight="1">
      <c r="A2" s="16" t="inlineStr">
        <is>
          <t>기존 문서의 세대당 8지역 구조를 반영했습니다. 현재 JSON이 있는 1·2지역만 채웠으며 3~8지역은 편집용 자리입니다.</t>
        </is>
      </c>
    </row>
    <row r="4" ht="34" customHeight="1">
      <c r="A4" s="17" t="inlineStr">
        <is>
          <t>세대</t>
        </is>
      </c>
      <c r="B4" s="17" t="inlineStr">
        <is>
          <t>지역ID</t>
        </is>
      </c>
      <c r="C4" s="17" t="inlineStr">
        <is>
          <t>차원</t>
        </is>
      </c>
      <c r="D4" s="17" t="inlineStr">
        <is>
          <t>바이옴풀_편집</t>
        </is>
      </c>
      <c r="E4" s="17" t="inlineStr">
        <is>
          <t>스폰프로필</t>
        </is>
      </c>
      <c r="F4" s="17" t="inlineStr">
        <is>
          <t>경계</t>
        </is>
      </c>
      <c r="G4" s="17" t="inlineStr">
        <is>
          <t>지역후보스폰수</t>
        </is>
      </c>
      <c r="H4" s="17" t="inlineStr">
        <is>
          <t>직접배정스폰수</t>
        </is>
      </c>
      <c r="I4" s="17" t="inlineStr">
        <is>
          <t>원본파일</t>
        </is>
      </c>
      <c r="J4" s="17" t="inlineStr">
        <is>
          <t>상태·메모_편집</t>
        </is>
      </c>
    </row>
    <row r="5" ht="38" customHeight="1">
      <c r="A5" s="18" t="n">
        <v>1</v>
      </c>
      <c r="B5" s="18" t="inlineStr">
        <is>
          <t>region_01</t>
        </is>
      </c>
      <c r="C5" s="18" t="inlineStr">
        <is>
          <t>cobbleventure:generation_1</t>
        </is>
      </c>
      <c r="D5" s="19" t="inlineStr">
        <is>
          <t>minecraft:plains; minecraft:forest</t>
        </is>
      </c>
      <c r="E5" s="18" t="inlineStr">
        <is>
          <t>cobbleventure:generation_1_region_01</t>
        </is>
      </c>
      <c r="F5" s="18" t="inlineStr">
        <is>
          <t>{"protection_profile":"cobbleventure:adventure_field","template":"cobbleventure:region_wall","type":"COMBINED"}</t>
        </is>
      </c>
      <c r="G5" s="18">
        <f>COUNTIF('스폰_편집'!$N$5:$N$3125,"*"&amp;B5&amp;"*")</f>
        <v/>
      </c>
      <c r="H5" s="18">
        <f>COUNTIF('스폰_편집'!$O$5:$O$3125,B5)</f>
        <v/>
      </c>
      <c r="I5" s="18" t="inlineStr">
        <is>
          <t>content/regions/generation_1/region_01.json</t>
        </is>
      </c>
      <c r="J5" s="19" t="inlineStr">
        <is>
          <t>구현 JSON 있음</t>
        </is>
      </c>
    </row>
    <row r="6" ht="38" customHeight="1">
      <c r="A6" s="18" t="n">
        <v>1</v>
      </c>
      <c r="B6" s="18" t="inlineStr">
        <is>
          <t>region_02</t>
        </is>
      </c>
      <c r="C6" s="18" t="inlineStr">
        <is>
          <t>cobbleventure:generation_1</t>
        </is>
      </c>
      <c r="D6" s="19" t="inlineStr">
        <is>
          <t>minecraft:desert; minecraft:swamp</t>
        </is>
      </c>
      <c r="E6" s="18" t="inlineStr">
        <is>
          <t>cobbleventure:generation_1_region_02</t>
        </is>
      </c>
      <c r="F6" s="18" t="inlineStr">
        <is>
          <t>{"protection_profile":"cobbleventure:adventure_field","template":"cobbleventure:region_wall","type":"COMBINED"}</t>
        </is>
      </c>
      <c r="G6" s="18">
        <f>COUNTIF('스폰_편집'!$N$5:$N$3125,"*"&amp;B6&amp;"*")</f>
        <v/>
      </c>
      <c r="H6" s="18">
        <f>COUNTIF('스폰_편집'!$O$5:$O$3125,B6)</f>
        <v/>
      </c>
      <c r="I6" s="18" t="inlineStr">
        <is>
          <t>content/regions/generation_1/region_02.json</t>
        </is>
      </c>
      <c r="J6" s="19" t="inlineStr">
        <is>
          <t>구현 JSON 있음</t>
        </is>
      </c>
    </row>
    <row r="7" ht="38" customHeight="1">
      <c r="A7" s="18" t="n">
        <v>1</v>
      </c>
      <c r="B7" s="18" t="inlineStr">
        <is>
          <t>region_03</t>
        </is>
      </c>
      <c r="C7" s="18" t="inlineStr">
        <is>
          <t>cobbleventure:generation_1</t>
        </is>
      </c>
      <c r="D7" s="19" t="inlineStr"/>
      <c r="E7" s="18" t="inlineStr"/>
      <c r="F7" s="18" t="inlineStr"/>
      <c r="G7" s="18">
        <f>COUNTIF('스폰_편집'!$N$5:$N$3125,"*"&amp;B7&amp;"*")</f>
        <v/>
      </c>
      <c r="H7" s="18">
        <f>COUNTIF('스폰_편집'!$O$5:$O$3125,B7)</f>
        <v/>
      </c>
      <c r="I7" s="18" t="inlineStr"/>
      <c r="J7" s="19" t="inlineStr">
        <is>
          <t>미정</t>
        </is>
      </c>
    </row>
    <row r="8" ht="38" customHeight="1">
      <c r="A8" s="18" t="n">
        <v>1</v>
      </c>
      <c r="B8" s="18" t="inlineStr">
        <is>
          <t>region_04</t>
        </is>
      </c>
      <c r="C8" s="18" t="inlineStr">
        <is>
          <t>cobbleventure:generation_1</t>
        </is>
      </c>
      <c r="D8" s="19" t="inlineStr"/>
      <c r="E8" s="18" t="inlineStr"/>
      <c r="F8" s="18" t="inlineStr"/>
      <c r="G8" s="18">
        <f>COUNTIF('스폰_편집'!$N$5:$N$3125,"*"&amp;B8&amp;"*")</f>
        <v/>
      </c>
      <c r="H8" s="18">
        <f>COUNTIF('스폰_편집'!$O$5:$O$3125,B8)</f>
        <v/>
      </c>
      <c r="I8" s="18" t="inlineStr"/>
      <c r="J8" s="19" t="inlineStr">
        <is>
          <t>미정</t>
        </is>
      </c>
    </row>
    <row r="9" ht="38" customHeight="1">
      <c r="A9" s="18" t="n">
        <v>1</v>
      </c>
      <c r="B9" s="18" t="inlineStr">
        <is>
          <t>region_05</t>
        </is>
      </c>
      <c r="C9" s="18" t="inlineStr">
        <is>
          <t>cobbleventure:generation_1</t>
        </is>
      </c>
      <c r="D9" s="19" t="inlineStr"/>
      <c r="E9" s="18" t="inlineStr"/>
      <c r="F9" s="18" t="inlineStr"/>
      <c r="G9" s="18">
        <f>COUNTIF('스폰_편집'!$N$5:$N$3125,"*"&amp;B9&amp;"*")</f>
        <v/>
      </c>
      <c r="H9" s="18">
        <f>COUNTIF('스폰_편집'!$O$5:$O$3125,B9)</f>
        <v/>
      </c>
      <c r="I9" s="18" t="inlineStr"/>
      <c r="J9" s="19" t="inlineStr">
        <is>
          <t>미정</t>
        </is>
      </c>
    </row>
    <row r="10" ht="38" customHeight="1">
      <c r="A10" s="18" t="n">
        <v>1</v>
      </c>
      <c r="B10" s="18" t="inlineStr">
        <is>
          <t>region_06</t>
        </is>
      </c>
      <c r="C10" s="18" t="inlineStr">
        <is>
          <t>cobbleventure:generation_1</t>
        </is>
      </c>
      <c r="D10" s="19" t="inlineStr"/>
      <c r="E10" s="18" t="inlineStr"/>
      <c r="F10" s="18" t="inlineStr"/>
      <c r="G10" s="18">
        <f>COUNTIF('스폰_편집'!$N$5:$N$3125,"*"&amp;B10&amp;"*")</f>
        <v/>
      </c>
      <c r="H10" s="18">
        <f>COUNTIF('스폰_편집'!$O$5:$O$3125,B10)</f>
        <v/>
      </c>
      <c r="I10" s="18" t="inlineStr"/>
      <c r="J10" s="19" t="inlineStr">
        <is>
          <t>미정</t>
        </is>
      </c>
    </row>
    <row r="11" ht="38" customHeight="1">
      <c r="A11" s="18" t="n">
        <v>1</v>
      </c>
      <c r="B11" s="18" t="inlineStr">
        <is>
          <t>region_07</t>
        </is>
      </c>
      <c r="C11" s="18" t="inlineStr">
        <is>
          <t>cobbleventure:generation_1</t>
        </is>
      </c>
      <c r="D11" s="19" t="inlineStr"/>
      <c r="E11" s="18" t="inlineStr"/>
      <c r="F11" s="18" t="inlineStr"/>
      <c r="G11" s="18">
        <f>COUNTIF('스폰_편집'!$N$5:$N$3125,"*"&amp;B11&amp;"*")</f>
        <v/>
      </c>
      <c r="H11" s="18">
        <f>COUNTIF('스폰_편집'!$O$5:$O$3125,B11)</f>
        <v/>
      </c>
      <c r="I11" s="18" t="inlineStr"/>
      <c r="J11" s="19" t="inlineStr">
        <is>
          <t>미정</t>
        </is>
      </c>
    </row>
    <row r="12" ht="38" customHeight="1">
      <c r="A12" s="18" t="n">
        <v>1</v>
      </c>
      <c r="B12" s="18" t="inlineStr">
        <is>
          <t>region_08</t>
        </is>
      </c>
      <c r="C12" s="18" t="inlineStr">
        <is>
          <t>cobbleventure:generation_1</t>
        </is>
      </c>
      <c r="D12" s="19" t="inlineStr"/>
      <c r="E12" s="18" t="inlineStr"/>
      <c r="F12" s="18" t="inlineStr"/>
      <c r="G12" s="18">
        <f>COUNTIF('스폰_편집'!$N$5:$N$3125,"*"&amp;B12&amp;"*")</f>
        <v/>
      </c>
      <c r="H12" s="18">
        <f>COUNTIF('스폰_편집'!$O$5:$O$3125,B12)</f>
        <v/>
      </c>
      <c r="I12" s="18" t="inlineStr"/>
      <c r="J12" s="19" t="inlineStr">
        <is>
          <t>미정</t>
        </is>
      </c>
    </row>
  </sheetData>
  <autoFilter ref="A4:J12"/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1" customWidth="1" min="5" max="5"/>
    <col width="11" customWidth="1" min="6" max="6"/>
    <col width="16" customWidth="1" min="7" max="7"/>
    <col width="18" customWidth="1" min="8" max="8"/>
    <col width="45" customWidth="1" min="9" max="9"/>
  </cols>
  <sheetData>
    <row r="1" ht="30" customHeight="1">
      <c r="A1" s="15" t="inlineStr">
        <is>
          <t>세대 구분 및 기본 월드 배정</t>
        </is>
      </c>
    </row>
    <row r="2" ht="32" customHeight="1">
      <c r="A2" s="16" t="inlineStr">
        <is>
          <t>기본 배정은 원종의 최초 등장 세대입니다. 알로라·가라르·히스이·팔데아 폼 선택자는 폼 도입 세대를 중심 세대로 사용합니다.</t>
        </is>
      </c>
    </row>
    <row r="4" ht="34" customHeight="1">
      <c r="A4" s="17" t="inlineStr">
        <is>
          <t>세대</t>
        </is>
      </c>
      <c r="B4" s="17" t="inlineStr">
        <is>
          <t>도감시작</t>
        </is>
      </c>
      <c r="C4" s="17" t="inlineStr">
        <is>
          <t>도감끝</t>
        </is>
      </c>
      <c r="D4" s="17" t="inlineStr">
        <is>
          <t>대표지역</t>
        </is>
      </c>
      <c r="E4" s="17" t="inlineStr">
        <is>
          <t>기본차원</t>
        </is>
      </c>
      <c r="F4" s="17" t="inlineStr">
        <is>
          <t>종수</t>
        </is>
      </c>
      <c r="G4" s="17" t="inlineStr">
        <is>
          <t>스폰엔트리수</t>
        </is>
      </c>
      <c r="H4" s="17" t="inlineStr">
        <is>
          <t>정책</t>
        </is>
      </c>
      <c r="I4" s="17" t="inlineStr">
        <is>
          <t>비고</t>
        </is>
      </c>
    </row>
    <row r="5" ht="34" customHeight="1">
      <c r="A5" s="18" t="n">
        <v>1</v>
      </c>
      <c r="B5" s="18" t="n">
        <v>1</v>
      </c>
      <c r="C5" s="18" t="n">
        <v>151</v>
      </c>
      <c r="D5" s="18" t="inlineStr">
        <is>
          <t>관동</t>
        </is>
      </c>
      <c r="E5" s="18" t="inlineStr">
        <is>
          <t>cobbleventure:generation_1</t>
        </is>
      </c>
      <c r="F5" s="18">
        <f>COUNTIF('포켓몬_요약'!$E$5:$E$1029,A5)</f>
        <v/>
      </c>
      <c r="G5" s="18">
        <f>COUNTIF('스폰_편집'!$K$5:$K$3125,A5)</f>
        <v/>
      </c>
      <c r="H5" s="18" t="inlineStr">
        <is>
          <t>세대 중심 혼합</t>
        </is>
      </c>
      <c r="I5" s="18" t="inlineStr">
        <is>
          <t>타 세대 혼합 비율·예외는 플레이테스트 후 확정</t>
        </is>
      </c>
    </row>
    <row r="6" ht="34" customHeight="1">
      <c r="A6" s="18" t="n">
        <v>2</v>
      </c>
      <c r="B6" s="18" t="n">
        <v>152</v>
      </c>
      <c r="C6" s="18" t="n">
        <v>251</v>
      </c>
      <c r="D6" s="18" t="inlineStr">
        <is>
          <t>성도</t>
        </is>
      </c>
      <c r="E6" s="18" t="inlineStr">
        <is>
          <t>cobbleventure:generation_2</t>
        </is>
      </c>
      <c r="F6" s="18">
        <f>COUNTIF('포켓몬_요약'!$E$5:$E$1029,A6)</f>
        <v/>
      </c>
      <c r="G6" s="18">
        <f>COUNTIF('스폰_편집'!$K$5:$K$3125,A6)</f>
        <v/>
      </c>
      <c r="H6" s="18" t="inlineStr">
        <is>
          <t>세대 중심 혼합</t>
        </is>
      </c>
      <c r="I6" s="18" t="inlineStr">
        <is>
          <t>타 세대 혼합 비율·예외는 플레이테스트 후 확정</t>
        </is>
      </c>
    </row>
    <row r="7" ht="34" customHeight="1">
      <c r="A7" s="18" t="n">
        <v>3</v>
      </c>
      <c r="B7" s="18" t="n">
        <v>252</v>
      </c>
      <c r="C7" s="18" t="n">
        <v>386</v>
      </c>
      <c r="D7" s="18" t="inlineStr">
        <is>
          <t>호연</t>
        </is>
      </c>
      <c r="E7" s="18" t="inlineStr">
        <is>
          <t>cobbleventure:generation_3</t>
        </is>
      </c>
      <c r="F7" s="18">
        <f>COUNTIF('포켓몬_요약'!$E$5:$E$1029,A7)</f>
        <v/>
      </c>
      <c r="G7" s="18">
        <f>COUNTIF('스폰_편집'!$K$5:$K$3125,A7)</f>
        <v/>
      </c>
      <c r="H7" s="18" t="inlineStr">
        <is>
          <t>세대 중심 혼합</t>
        </is>
      </c>
      <c r="I7" s="18" t="inlineStr">
        <is>
          <t>타 세대 혼합 비율·예외는 플레이테스트 후 확정</t>
        </is>
      </c>
    </row>
    <row r="8" ht="34" customHeight="1">
      <c r="A8" s="18" t="n">
        <v>4</v>
      </c>
      <c r="B8" s="18" t="n">
        <v>387</v>
      </c>
      <c r="C8" s="18" t="n">
        <v>493</v>
      </c>
      <c r="D8" s="18" t="inlineStr">
        <is>
          <t>신오</t>
        </is>
      </c>
      <c r="E8" s="18" t="inlineStr">
        <is>
          <t>cobbleventure:generation_4</t>
        </is>
      </c>
      <c r="F8" s="18">
        <f>COUNTIF('포켓몬_요약'!$E$5:$E$1029,A8)</f>
        <v/>
      </c>
      <c r="G8" s="18">
        <f>COUNTIF('스폰_편집'!$K$5:$K$3125,A8)</f>
        <v/>
      </c>
      <c r="H8" s="18" t="inlineStr">
        <is>
          <t>세대 중심 혼합</t>
        </is>
      </c>
      <c r="I8" s="18" t="inlineStr">
        <is>
          <t>타 세대 혼합 비율·예외는 플레이테스트 후 확정</t>
        </is>
      </c>
    </row>
    <row r="9" ht="34" customHeight="1">
      <c r="A9" s="18" t="n">
        <v>5</v>
      </c>
      <c r="B9" s="18" t="n">
        <v>494</v>
      </c>
      <c r="C9" s="18" t="n">
        <v>649</v>
      </c>
      <c r="D9" s="18" t="inlineStr">
        <is>
          <t>하나</t>
        </is>
      </c>
      <c r="E9" s="18" t="inlineStr">
        <is>
          <t>cobbleventure:generation_5</t>
        </is>
      </c>
      <c r="F9" s="18">
        <f>COUNTIF('포켓몬_요약'!$E$5:$E$1029,A9)</f>
        <v/>
      </c>
      <c r="G9" s="18">
        <f>COUNTIF('스폰_편집'!$K$5:$K$3125,A9)</f>
        <v/>
      </c>
      <c r="H9" s="18" t="inlineStr">
        <is>
          <t>세대 중심 혼합</t>
        </is>
      </c>
      <c r="I9" s="18" t="inlineStr">
        <is>
          <t>타 세대 혼합 비율·예외는 플레이테스트 후 확정</t>
        </is>
      </c>
    </row>
    <row r="10" ht="34" customHeight="1">
      <c r="A10" s="18" t="n">
        <v>6</v>
      </c>
      <c r="B10" s="18" t="n">
        <v>650</v>
      </c>
      <c r="C10" s="18" t="n">
        <v>721</v>
      </c>
      <c r="D10" s="18" t="inlineStr">
        <is>
          <t>칼로스</t>
        </is>
      </c>
      <c r="E10" s="18" t="inlineStr">
        <is>
          <t>cobbleventure:generation_6</t>
        </is>
      </c>
      <c r="F10" s="18">
        <f>COUNTIF('포켓몬_요약'!$E$5:$E$1029,A10)</f>
        <v/>
      </c>
      <c r="G10" s="18">
        <f>COUNTIF('스폰_편집'!$K$5:$K$3125,A10)</f>
        <v/>
      </c>
      <c r="H10" s="18" t="inlineStr">
        <is>
          <t>세대 중심 혼합</t>
        </is>
      </c>
      <c r="I10" s="18" t="inlineStr">
        <is>
          <t>타 세대 혼합 비율·예외는 플레이테스트 후 확정</t>
        </is>
      </c>
    </row>
    <row r="11" ht="34" customHeight="1">
      <c r="A11" s="18" t="n">
        <v>7</v>
      </c>
      <c r="B11" s="18" t="n">
        <v>722</v>
      </c>
      <c r="C11" s="18" t="n">
        <v>809</v>
      </c>
      <c r="D11" s="18" t="inlineStr">
        <is>
          <t>알로라</t>
        </is>
      </c>
      <c r="E11" s="18" t="inlineStr">
        <is>
          <t>cobbleventure:generation_7</t>
        </is>
      </c>
      <c r="F11" s="18">
        <f>COUNTIF('포켓몬_요약'!$E$5:$E$1029,A11)</f>
        <v/>
      </c>
      <c r="G11" s="18">
        <f>COUNTIF('스폰_편집'!$K$5:$K$3125,A11)</f>
        <v/>
      </c>
      <c r="H11" s="18" t="inlineStr">
        <is>
          <t>세대 중심 혼합</t>
        </is>
      </c>
      <c r="I11" s="18" t="inlineStr">
        <is>
          <t>타 세대 혼합 비율·예외는 플레이테스트 후 확정</t>
        </is>
      </c>
    </row>
    <row r="12" ht="34" customHeight="1">
      <c r="A12" s="18" t="n">
        <v>8</v>
      </c>
      <c r="B12" s="18" t="n">
        <v>810</v>
      </c>
      <c r="C12" s="18" t="n">
        <v>905</v>
      </c>
      <c r="D12" s="18" t="inlineStr">
        <is>
          <t>가라르·히스이</t>
        </is>
      </c>
      <c r="E12" s="18" t="inlineStr">
        <is>
          <t>cobbleventure:generation_8</t>
        </is>
      </c>
      <c r="F12" s="18">
        <f>COUNTIF('포켓몬_요약'!$E$5:$E$1029,A12)</f>
        <v/>
      </c>
      <c r="G12" s="18">
        <f>COUNTIF('스폰_편집'!$K$5:$K$3125,A12)</f>
        <v/>
      </c>
      <c r="H12" s="18" t="inlineStr">
        <is>
          <t>세대 중심 혼합</t>
        </is>
      </c>
      <c r="I12" s="18" t="inlineStr">
        <is>
          <t>타 세대 혼합 비율·예외는 플레이테스트 후 확정</t>
        </is>
      </c>
    </row>
    <row r="13" ht="34" customHeight="1">
      <c r="A13" s="18" t="n">
        <v>9</v>
      </c>
      <c r="B13" s="18" t="n">
        <v>906</v>
      </c>
      <c r="C13" s="18" t="n">
        <v>1025</v>
      </c>
      <c r="D13" s="18" t="inlineStr">
        <is>
          <t>팔데아</t>
        </is>
      </c>
      <c r="E13" s="18" t="inlineStr">
        <is>
          <t>cobbleventure:generation_9</t>
        </is>
      </c>
      <c r="F13" s="18">
        <f>COUNTIF('포켓몬_요약'!$E$5:$E$1029,A13)</f>
        <v/>
      </c>
      <c r="G13" s="18">
        <f>COUNTIF('스폰_편집'!$K$5:$K$3125,A13)</f>
        <v/>
      </c>
      <c r="H13" s="18" t="inlineStr">
        <is>
          <t>세대 중심 혼합</t>
        </is>
      </c>
      <c r="I13" s="18" t="inlineStr">
        <is>
          <t>타 세대 혼합 비율·예외는 플레이테스트 후 확정</t>
        </is>
      </c>
    </row>
  </sheetData>
  <autoFilter ref="A4:I13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72" customWidth="1" min="3" max="3"/>
    <col width="76" customWidth="1" min="4" max="4"/>
  </cols>
  <sheetData>
    <row r="1" ht="30" customHeight="1">
      <c r="A1" s="15" t="inlineStr">
        <is>
          <t>원본 버전·해시·데이터 계보</t>
        </is>
      </c>
    </row>
    <row r="2" ht="32" customHeight="1">
      <c r="A2" s="16" t="inlineStr">
        <is>
          <t>엑셀을 다시 생성하거나 게임 데이터로 반영할 때 반드시 버전과 해시를 함께 확인합니다.</t>
        </is>
      </c>
    </row>
    <row r="4" ht="34" customHeight="1">
      <c r="A4" s="17" t="inlineStr">
        <is>
          <t>항목</t>
        </is>
      </c>
      <c r="B4" s="17" t="inlineStr">
        <is>
          <t>값</t>
        </is>
      </c>
      <c r="C4" s="17" t="inlineStr">
        <is>
          <t>출처URL</t>
        </is>
      </c>
      <c r="D4" s="17" t="inlineStr">
        <is>
          <t>설명</t>
        </is>
      </c>
    </row>
    <row r="5" ht="38" customHeight="1">
      <c r="A5" s="18" t="inlineStr">
        <is>
          <t>기준일</t>
        </is>
      </c>
      <c r="B5" s="18" t="inlineStr">
        <is>
          <t>2026-08-06</t>
        </is>
      </c>
      <c r="C5" s="18" t="inlineStr"/>
      <c r="D5" s="18" t="inlineStr">
        <is>
          <t>Asia/Seoul</t>
        </is>
      </c>
    </row>
    <row r="6" ht="38" customHeight="1">
      <c r="A6" s="18" t="inlineStr">
        <is>
          <t>Minecraft</t>
        </is>
      </c>
      <c r="B6" s="18" t="inlineStr">
        <is>
          <t>1.21.1</t>
        </is>
      </c>
      <c r="C6" s="18" t="inlineStr"/>
      <c r="D6" s="18" t="inlineStr">
        <is>
          <t>프로젝트 dependencies.lock.json</t>
        </is>
      </c>
    </row>
    <row r="7" ht="38" customHeight="1">
      <c r="A7" s="18" t="inlineStr">
        <is>
          <t>Cobblemon</t>
        </is>
      </c>
      <c r="B7" s="18" t="inlineStr">
        <is>
          <t>1.7.3</t>
        </is>
      </c>
      <c r="C7" s="22" t="inlineStr">
        <is>
          <t>https://gitlab.com/cable-mc/cobblemon/-/tree/1.7.3</t>
        </is>
      </c>
      <c r="D7" s="18" t="inlineStr">
        <is>
          <t>공식 GitLab 태그 e6fda6137e00cfe6035c863a3736ba30fc236696</t>
        </is>
      </c>
    </row>
    <row r="8" ht="38" customHeight="1">
      <c r="A8" s="18" t="inlineStr">
        <is>
          <t>Cobblemon 라이선스</t>
        </is>
      </c>
      <c r="B8" s="18" t="inlineStr">
        <is>
          <t>MPL-2.0</t>
        </is>
      </c>
      <c r="C8" s="22" t="inlineStr">
        <is>
          <t>https://www.mozilla.org/MPL/2.0/</t>
        </is>
      </c>
      <c r="D8" s="18" t="inlineStr">
        <is>
          <t>공식 소스 LICENSE</t>
        </is>
      </c>
    </row>
    <row r="9" ht="38" customHeight="1">
      <c r="A9" s="18" t="inlineStr">
        <is>
          <t>Cobblemon 스폰 원본</t>
        </is>
      </c>
      <c r="B9" s="18" t="inlineStr">
        <is>
          <t>824개 파일</t>
        </is>
      </c>
      <c r="C9" s="22" t="inlineStr">
        <is>
          <t>https://gitlab.com/cable-mc/cobblemon/-/tree/1.7.3/common/src/main/resources/data/cobblemon/spawn_pool_world</t>
        </is>
      </c>
      <c r="D9" s="18" t="inlineStr">
        <is>
          <t>비활성 herd 테스트 파일 1개 포함</t>
        </is>
      </c>
    </row>
    <row r="10" ht="38" customHeight="1">
      <c r="A10" s="18" t="inlineStr">
        <is>
          <t>Cobblemon 구현 종</t>
        </is>
      </c>
      <c r="B10" s="18" t="inlineStr">
        <is>
          <t>851 / 1025</t>
        </is>
      </c>
      <c r="C10" s="22" t="inlineStr">
        <is>
          <t>https://gitlab.com/cable-mc/cobblemon/-/tree/1.7.3</t>
        </is>
      </c>
      <c r="D10" s="18" t="inlineStr">
        <is>
          <t>species JSON의 implemented 값</t>
        </is>
      </c>
    </row>
    <row r="11" ht="38" customHeight="1">
      <c r="A11" s="18" t="inlineStr">
        <is>
          <t>COBBLEVERSE</t>
        </is>
      </c>
      <c r="B11" s="18" t="inlineStr">
        <is>
          <t>1.7.42</t>
        </is>
      </c>
      <c r="C11" s="22" t="inlineStr">
        <is>
          <t>https://modrinth.com/modpack/cobbleverse/version/1.7.42</t>
        </is>
      </c>
      <c r="D11" s="18" t="inlineStr">
        <is>
          <t>공식 Modrinth 배포판</t>
        </is>
      </c>
    </row>
    <row r="12" ht="38" customHeight="1">
      <c r="A12" s="18" t="inlineStr">
        <is>
          <t>COBBLEVERSE 라이선스</t>
        </is>
      </c>
      <c r="B12" s="18" t="inlineStr">
        <is>
          <t>All Rights Reserved</t>
        </is>
      </c>
      <c r="C12" s="22" t="inlineStr">
        <is>
          <t>https://modrinth.com/modpack/cobbleverse</t>
        </is>
      </c>
      <c r="D12" s="18" t="inlineStr">
        <is>
          <t>워크북은 내부 분석·편집 참고용; 원본 팩/자산 재배포 금지</t>
        </is>
      </c>
    </row>
    <row r="13" ht="38" customHeight="1">
      <c r="A13" s="18" t="inlineStr">
        <is>
          <t>COBBLEVERSE MRPACK SHA-256</t>
        </is>
      </c>
      <c r="B13" s="18" t="inlineStr">
        <is>
          <t>dcaf01062c7c387e0ed07209aab993e2e3b27111e778f5832c52558d28bccd88</t>
        </is>
      </c>
      <c r="C13" s="22" t="inlineStr">
        <is>
          <t>https://cdn.modrinth.com/data/Jkb29YJU/versions/4SKGla61/COBBLEVERSE%201.7.42.mrpack</t>
        </is>
      </c>
      <c r="D13" s="18" t="inlineStr">
        <is>
          <t>다운로드 파일 무결성</t>
        </is>
      </c>
    </row>
    <row r="14" ht="38" customHeight="1">
      <c r="A14" s="18" t="inlineStr">
        <is>
          <t>COBBLEVERSE 메인 데이터팩</t>
        </is>
      </c>
      <c r="B14" s="18" t="inlineStr">
        <is>
          <t>COBBLEVERSE-DP-v31.zip</t>
        </is>
      </c>
      <c r="C14" s="22" t="inlineStr">
        <is>
          <t>https://modrinth.com/modpack/cobbleverse/version/1.7.42</t>
        </is>
      </c>
      <c r="D14" s="18" t="inlineStr">
        <is>
          <t>overrides/datapacks/COBBLEVERSE-DP-v31.zip</t>
        </is>
      </c>
    </row>
    <row r="15" ht="38" customHeight="1">
      <c r="A15" s="18" t="inlineStr">
        <is>
          <t>메인 데이터팩 SHA-256</t>
        </is>
      </c>
      <c r="B15" s="18" t="inlineStr">
        <is>
          <t>24344c64d49cad1e4743276472f5598ed32d1c002f5ebb881b9e0cf7bc1a77c6</t>
        </is>
      </c>
      <c r="C15" s="22" t="inlineStr">
        <is>
          <t>https://modrinth.com/modpack/cobbleverse/version/1.7.42</t>
        </is>
      </c>
      <c r="D15" s="18" t="inlineStr">
        <is>
          <t>MRPACK 내부 파일 기준</t>
        </is>
      </c>
    </row>
    <row r="16" ht="38" customHeight="1">
      <c r="A16" s="18" t="inlineStr">
        <is>
          <t>COBBLEVERSE 스폰 파일</t>
        </is>
      </c>
      <c r="B16" s="18" t="inlineStr">
        <is>
          <t>1024개</t>
        </is>
      </c>
      <c r="C16" s="22" t="inlineStr">
        <is>
          <t>https://modrinth.com/modpack/cobbleverse/version/1.7.42</t>
        </is>
      </c>
      <c r="D16" s="18" t="inlineStr">
        <is>
          <t>도감 번호가 있는 자연 스폰 파일 1,017종, 파일 1,024개</t>
        </is>
      </c>
    </row>
    <row r="17" ht="38" customHeight="1">
      <c r="A17" s="18" t="inlineStr">
        <is>
          <t>동일 파일</t>
        </is>
      </c>
      <c r="B17" s="18" t="inlineStr">
        <is>
          <t>620개</t>
        </is>
      </c>
      <c r="C17" s="18" t="inlineStr"/>
      <c r="D17" s="18" t="inlineStr">
        <is>
          <t>Cobblemon과 COBBLEVERSE JSON 의미상 동일</t>
        </is>
      </c>
    </row>
    <row r="18" ht="38" customHeight="1">
      <c r="A18" s="18" t="inlineStr">
        <is>
          <t>수정 파일</t>
        </is>
      </c>
      <c r="B18" s="18" t="inlineStr">
        <is>
          <t>203개</t>
        </is>
      </c>
      <c r="C18" s="18" t="inlineStr"/>
      <c r="D18" s="18" t="inlineStr">
        <is>
          <t>같은 경로에서 COBBLEVERSE가 덮어씀</t>
        </is>
      </c>
    </row>
    <row r="19" ht="38" customHeight="1">
      <c r="A19" s="18" t="inlineStr">
        <is>
          <t>추가 파일</t>
        </is>
      </c>
      <c r="B19" s="18" t="inlineStr">
        <is>
          <t>201개</t>
        </is>
      </c>
      <c r="C19" s="18" t="inlineStr"/>
      <c r="D19" s="18" t="inlineStr">
        <is>
          <t>Cobblemon에 없는 자연 스폰 파일</t>
        </is>
      </c>
    </row>
    <row r="20" ht="38" customHeight="1">
      <c r="A20" s="18" t="inlineStr">
        <is>
          <t>유효 스폰 엔트리</t>
        </is>
      </c>
      <c r="B20" s="18" t="inlineStr">
        <is>
          <t>3121개</t>
        </is>
      </c>
      <c r="C20" s="18" t="inlineStr"/>
      <c r="D20" s="18" t="inlineStr">
        <is>
          <t>COBBLEVERSE 우선 + Cobblemon 전용 파일 결합</t>
        </is>
      </c>
    </row>
    <row r="21" ht="38" customHeight="1">
      <c r="A21" s="18" t="inlineStr">
        <is>
          <t>프로젝트 스폰 정책</t>
        </is>
      </c>
      <c r="B21" s="18" t="inlineStr">
        <is>
          <t>세대 중심 혼합</t>
        </is>
      </c>
      <c r="C21" s="18" t="inlineStr"/>
      <c r="D21" s="18" t="inlineStr">
        <is>
          <t>docs/implementation/POKEMON_SPAWNS.md</t>
        </is>
      </c>
    </row>
    <row r="22" ht="38" customHeight="1">
      <c r="A22" s="18" t="inlineStr">
        <is>
          <t>지역 후보 해석</t>
        </is>
      </c>
      <c r="B22" s="18" t="inlineStr">
        <is>
          <t>부분 해석</t>
        </is>
      </c>
      <c r="C22" s="18" t="inlineStr"/>
      <c r="D22" s="18" t="inlineStr">
        <is>
          <t>Cobblemon 태그와 현재 region_01~02만 사용; 외부/바닐라 중첩 태그는 완전 전개하지 않음</t>
        </is>
      </c>
    </row>
  </sheetData>
  <autoFilter ref="A4:D22"/>
  <mergeCells count="2">
    <mergeCell ref="A1:D1"/>
    <mergeCell ref="A2:D2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2026-08-06T01:30:45Z</dcterms:created>
  <dcterms:modified xsi:type="dcterms:W3CDTF">2026-08-06T01:30:54Z</dcterms:modified>
</cp:coreProperties>
</file>